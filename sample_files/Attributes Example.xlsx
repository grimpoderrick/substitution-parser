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ocal Analysis Files\001 Product Development\Substitution for Choice Analyzer\sample_files\"/>
    </mc:Choice>
  </mc:AlternateContent>
  <xr:revisionPtr revIDLastSave="0" documentId="13_ncr:1_{05FAB17D-4FF2-4DF6-B201-B77019B1BE66}" xr6:coauthVersionLast="47" xr6:coauthVersionMax="47" xr10:uidLastSave="{00000000-0000-0000-0000-000000000000}"/>
  <bookViews>
    <workbookView xWindow="-28920" yWindow="-165" windowWidth="29040" windowHeight="15720" xr2:uid="{00000000-000D-0000-FFFF-FFFF00000000}"/>
  </bookViews>
  <sheets>
    <sheet name="Load" sheetId="3" r:id="rId1"/>
    <sheet name="Sheet1" sheetId="18" state="hidden" r:id="rId2"/>
    <sheet name="O1_12" sheetId="16" state="hidden" r:id="rId3"/>
  </sheets>
  <definedNames>
    <definedName name="_xlnm._FilterDatabase" localSheetId="0" hidden="1">Load!$A$1:$M$356</definedName>
    <definedName name="_xlnm._FilterDatabase" localSheetId="2" hidden="1">O1_12!$A$1:$E$36</definedName>
    <definedName name="_xlnm._FilterDatabase" localSheetId="1" hidden="1">Sheet1!$A$1:$L$6001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UmYwHTVRInNL1XNiZ5oYt89pAKBQvq2hFIXlaCwJ+Ns="/>
    </ext>
  </extLst>
</workbook>
</file>

<file path=xl/calcChain.xml><?xml version="1.0" encoding="utf-8"?>
<calcChain xmlns="http://schemas.openxmlformats.org/spreadsheetml/2006/main">
  <c r="B3" i="18" l="1"/>
  <c r="C3" i="18"/>
  <c r="D3" i="18"/>
  <c r="E3" i="18"/>
  <c r="F3" i="18"/>
  <c r="G3" i="18"/>
  <c r="H3" i="18"/>
  <c r="I3" i="18"/>
  <c r="J3" i="18"/>
  <c r="K3" i="18"/>
  <c r="L3" i="18"/>
  <c r="B4" i="18"/>
  <c r="C4" i="18"/>
  <c r="D4" i="18"/>
  <c r="E4" i="18"/>
  <c r="F4" i="18"/>
  <c r="G4" i="18"/>
  <c r="H4" i="18"/>
  <c r="I4" i="18"/>
  <c r="J4" i="18"/>
  <c r="K4" i="18"/>
  <c r="L4" i="18"/>
  <c r="B5" i="18"/>
  <c r="C5" i="18"/>
  <c r="D5" i="18"/>
  <c r="E5" i="18"/>
  <c r="F5" i="18"/>
  <c r="G5" i="18"/>
  <c r="H5" i="18"/>
  <c r="I5" i="18"/>
  <c r="J5" i="18"/>
  <c r="K5" i="18"/>
  <c r="L5" i="18"/>
  <c r="B6" i="18"/>
  <c r="C6" i="18"/>
  <c r="D6" i="18"/>
  <c r="E6" i="18"/>
  <c r="F6" i="18"/>
  <c r="G6" i="18"/>
  <c r="H6" i="18"/>
  <c r="I6" i="18"/>
  <c r="J6" i="18"/>
  <c r="K6" i="18"/>
  <c r="L6" i="18"/>
  <c r="B7" i="18"/>
  <c r="C7" i="18"/>
  <c r="D7" i="18"/>
  <c r="E7" i="18"/>
  <c r="F7" i="18"/>
  <c r="G7" i="18"/>
  <c r="H7" i="18"/>
  <c r="I7" i="18"/>
  <c r="J7" i="18"/>
  <c r="K7" i="18"/>
  <c r="L7" i="18"/>
  <c r="B8" i="18"/>
  <c r="C8" i="18"/>
  <c r="D8" i="18"/>
  <c r="E8" i="18"/>
  <c r="F8" i="18"/>
  <c r="G8" i="18"/>
  <c r="H8" i="18"/>
  <c r="I8" i="18"/>
  <c r="J8" i="18"/>
  <c r="K8" i="18"/>
  <c r="L8" i="18"/>
  <c r="B9" i="18"/>
  <c r="C9" i="18"/>
  <c r="D9" i="18"/>
  <c r="E9" i="18"/>
  <c r="F9" i="18"/>
  <c r="G9" i="18"/>
  <c r="H9" i="18"/>
  <c r="I9" i="18"/>
  <c r="J9" i="18"/>
  <c r="K9" i="18"/>
  <c r="L9" i="18"/>
  <c r="B10" i="18"/>
  <c r="C10" i="18"/>
  <c r="D10" i="18"/>
  <c r="E10" i="18"/>
  <c r="F10" i="18"/>
  <c r="G10" i="18"/>
  <c r="H10" i="18"/>
  <c r="I10" i="18"/>
  <c r="J10" i="18"/>
  <c r="K10" i="18"/>
  <c r="L10" i="18"/>
  <c r="B11" i="18"/>
  <c r="C11" i="18"/>
  <c r="D11" i="18"/>
  <c r="E11" i="18"/>
  <c r="F11" i="18"/>
  <c r="G11" i="18"/>
  <c r="H11" i="18"/>
  <c r="I11" i="18"/>
  <c r="J11" i="18"/>
  <c r="K11" i="18"/>
  <c r="L11" i="18"/>
  <c r="B12" i="18"/>
  <c r="C12" i="18"/>
  <c r="D12" i="18"/>
  <c r="E12" i="18"/>
  <c r="F12" i="18"/>
  <c r="G12" i="18"/>
  <c r="H12" i="18"/>
  <c r="I12" i="18"/>
  <c r="J12" i="18"/>
  <c r="K12" i="18"/>
  <c r="L12" i="18"/>
  <c r="B13" i="18"/>
  <c r="C13" i="18"/>
  <c r="D13" i="18"/>
  <c r="E13" i="18"/>
  <c r="F13" i="18"/>
  <c r="G13" i="18"/>
  <c r="H13" i="18"/>
  <c r="I13" i="18"/>
  <c r="J13" i="18"/>
  <c r="K13" i="18"/>
  <c r="L13" i="18"/>
  <c r="B14" i="18"/>
  <c r="C14" i="18"/>
  <c r="D14" i="18"/>
  <c r="E14" i="18"/>
  <c r="F14" i="18"/>
  <c r="G14" i="18"/>
  <c r="H14" i="18"/>
  <c r="I14" i="18"/>
  <c r="J14" i="18"/>
  <c r="K14" i="18"/>
  <c r="L14" i="18"/>
  <c r="B15" i="18"/>
  <c r="C15" i="18"/>
  <c r="D15" i="18"/>
  <c r="E15" i="18"/>
  <c r="F15" i="18"/>
  <c r="G15" i="18"/>
  <c r="H15" i="18"/>
  <c r="I15" i="18"/>
  <c r="J15" i="18"/>
  <c r="K15" i="18"/>
  <c r="L15" i="18"/>
  <c r="B16" i="18"/>
  <c r="C16" i="18"/>
  <c r="D16" i="18"/>
  <c r="E16" i="18"/>
  <c r="F16" i="18"/>
  <c r="G16" i="18"/>
  <c r="H16" i="18"/>
  <c r="I16" i="18"/>
  <c r="J16" i="18"/>
  <c r="K16" i="18"/>
  <c r="L16" i="18"/>
  <c r="B17" i="18"/>
  <c r="C17" i="18"/>
  <c r="D17" i="18"/>
  <c r="E17" i="18"/>
  <c r="F17" i="18"/>
  <c r="G17" i="18"/>
  <c r="H17" i="18"/>
  <c r="I17" i="18"/>
  <c r="J17" i="18"/>
  <c r="K17" i="18"/>
  <c r="L17" i="18"/>
  <c r="B18" i="18"/>
  <c r="C18" i="18"/>
  <c r="D18" i="18"/>
  <c r="E18" i="18"/>
  <c r="F18" i="18"/>
  <c r="G18" i="18"/>
  <c r="H18" i="18"/>
  <c r="I18" i="18"/>
  <c r="J18" i="18"/>
  <c r="K18" i="18"/>
  <c r="L18" i="18"/>
  <c r="B19" i="18"/>
  <c r="C19" i="18"/>
  <c r="D19" i="18"/>
  <c r="E19" i="18"/>
  <c r="F19" i="18"/>
  <c r="G19" i="18"/>
  <c r="H19" i="18"/>
  <c r="I19" i="18"/>
  <c r="J19" i="18"/>
  <c r="K19" i="18"/>
  <c r="L19" i="18"/>
  <c r="B20" i="18"/>
  <c r="C20" i="18"/>
  <c r="D20" i="18"/>
  <c r="E20" i="18"/>
  <c r="F20" i="18"/>
  <c r="G20" i="18"/>
  <c r="H20" i="18"/>
  <c r="I20" i="18"/>
  <c r="J20" i="18"/>
  <c r="K20" i="18"/>
  <c r="L20" i="18"/>
  <c r="B21" i="18"/>
  <c r="C21" i="18"/>
  <c r="D21" i="18"/>
  <c r="E21" i="18"/>
  <c r="F21" i="18"/>
  <c r="G21" i="18"/>
  <c r="H21" i="18"/>
  <c r="I21" i="18"/>
  <c r="J21" i="18"/>
  <c r="K21" i="18"/>
  <c r="L21" i="18"/>
  <c r="B22" i="18"/>
  <c r="C22" i="18"/>
  <c r="D22" i="18"/>
  <c r="E22" i="18"/>
  <c r="F22" i="18"/>
  <c r="G22" i="18"/>
  <c r="H22" i="18"/>
  <c r="I22" i="18"/>
  <c r="J22" i="18"/>
  <c r="K22" i="18"/>
  <c r="L22" i="18"/>
  <c r="B23" i="18"/>
  <c r="C23" i="18"/>
  <c r="D23" i="18"/>
  <c r="E23" i="18"/>
  <c r="F23" i="18"/>
  <c r="G23" i="18"/>
  <c r="H23" i="18"/>
  <c r="I23" i="18"/>
  <c r="J23" i="18"/>
  <c r="K23" i="18"/>
  <c r="L23" i="18"/>
  <c r="B24" i="18"/>
  <c r="C24" i="18"/>
  <c r="D24" i="18"/>
  <c r="E24" i="18"/>
  <c r="F24" i="18"/>
  <c r="G24" i="18"/>
  <c r="H24" i="18"/>
  <c r="I24" i="18"/>
  <c r="J24" i="18"/>
  <c r="K24" i="18"/>
  <c r="L24" i="18"/>
  <c r="B25" i="18"/>
  <c r="C25" i="18"/>
  <c r="D25" i="18"/>
  <c r="E25" i="18"/>
  <c r="F25" i="18"/>
  <c r="G25" i="18"/>
  <c r="H25" i="18"/>
  <c r="I25" i="18"/>
  <c r="J25" i="18"/>
  <c r="K25" i="18"/>
  <c r="L25" i="18"/>
  <c r="B26" i="18"/>
  <c r="C26" i="18"/>
  <c r="D26" i="18"/>
  <c r="E26" i="18"/>
  <c r="F26" i="18"/>
  <c r="G26" i="18"/>
  <c r="H26" i="18"/>
  <c r="I26" i="18"/>
  <c r="J26" i="18"/>
  <c r="K26" i="18"/>
  <c r="L26" i="18"/>
  <c r="B27" i="18"/>
  <c r="C27" i="18"/>
  <c r="D27" i="18"/>
  <c r="E27" i="18"/>
  <c r="F27" i="18"/>
  <c r="G27" i="18"/>
  <c r="H27" i="18"/>
  <c r="I27" i="18"/>
  <c r="J27" i="18"/>
  <c r="K27" i="18"/>
  <c r="L27" i="18"/>
  <c r="B28" i="18"/>
  <c r="C28" i="18"/>
  <c r="D28" i="18"/>
  <c r="E28" i="18"/>
  <c r="F28" i="18"/>
  <c r="G28" i="18"/>
  <c r="H28" i="18"/>
  <c r="I28" i="18"/>
  <c r="J28" i="18"/>
  <c r="K28" i="18"/>
  <c r="L28" i="18"/>
  <c r="B29" i="18"/>
  <c r="C29" i="18"/>
  <c r="D29" i="18"/>
  <c r="E29" i="18"/>
  <c r="F29" i="18"/>
  <c r="G29" i="18"/>
  <c r="H29" i="18"/>
  <c r="I29" i="18"/>
  <c r="J29" i="18"/>
  <c r="K29" i="18"/>
  <c r="L29" i="18"/>
  <c r="B30" i="18"/>
  <c r="C30" i="18"/>
  <c r="D30" i="18"/>
  <c r="E30" i="18"/>
  <c r="F30" i="18"/>
  <c r="G30" i="18"/>
  <c r="H30" i="18"/>
  <c r="I30" i="18"/>
  <c r="J30" i="18"/>
  <c r="K30" i="18"/>
  <c r="L30" i="18"/>
  <c r="B31" i="18"/>
  <c r="C31" i="18"/>
  <c r="D31" i="18"/>
  <c r="E31" i="18"/>
  <c r="F31" i="18"/>
  <c r="G31" i="18"/>
  <c r="H31" i="18"/>
  <c r="I31" i="18"/>
  <c r="J31" i="18"/>
  <c r="K31" i="18"/>
  <c r="L31" i="18"/>
  <c r="B32" i="18"/>
  <c r="C32" i="18"/>
  <c r="D32" i="18"/>
  <c r="E32" i="18"/>
  <c r="F32" i="18"/>
  <c r="G32" i="18"/>
  <c r="H32" i="18"/>
  <c r="I32" i="18"/>
  <c r="J32" i="18"/>
  <c r="K32" i="18"/>
  <c r="L32" i="18"/>
  <c r="B33" i="18"/>
  <c r="C33" i="18"/>
  <c r="D33" i="18"/>
  <c r="E33" i="18"/>
  <c r="F33" i="18"/>
  <c r="G33" i="18"/>
  <c r="H33" i="18"/>
  <c r="I33" i="18"/>
  <c r="J33" i="18"/>
  <c r="K33" i="18"/>
  <c r="L33" i="18"/>
  <c r="B34" i="18"/>
  <c r="C34" i="18"/>
  <c r="D34" i="18"/>
  <c r="E34" i="18"/>
  <c r="F34" i="18"/>
  <c r="G34" i="18"/>
  <c r="H34" i="18"/>
  <c r="I34" i="18"/>
  <c r="J34" i="18"/>
  <c r="K34" i="18"/>
  <c r="L34" i="18"/>
  <c r="B35" i="18"/>
  <c r="C35" i="18"/>
  <c r="D35" i="18"/>
  <c r="E35" i="18"/>
  <c r="F35" i="18"/>
  <c r="G35" i="18"/>
  <c r="H35" i="18"/>
  <c r="I35" i="18"/>
  <c r="J35" i="18"/>
  <c r="K35" i="18"/>
  <c r="L35" i="18"/>
  <c r="B36" i="18"/>
  <c r="C36" i="18"/>
  <c r="D36" i="18"/>
  <c r="E36" i="18"/>
  <c r="F36" i="18"/>
  <c r="G36" i="18"/>
  <c r="H36" i="18"/>
  <c r="I36" i="18"/>
  <c r="J36" i="18"/>
  <c r="K36" i="18"/>
  <c r="L36" i="18"/>
  <c r="B37" i="18"/>
  <c r="C37" i="18"/>
  <c r="D37" i="18"/>
  <c r="E37" i="18"/>
  <c r="F37" i="18"/>
  <c r="G37" i="18"/>
  <c r="H37" i="18"/>
  <c r="I37" i="18"/>
  <c r="J37" i="18"/>
  <c r="K37" i="18"/>
  <c r="L37" i="18"/>
  <c r="B38" i="18"/>
  <c r="C38" i="18"/>
  <c r="D38" i="18"/>
  <c r="E38" i="18"/>
  <c r="F38" i="18"/>
  <c r="G38" i="18"/>
  <c r="H38" i="18"/>
  <c r="I38" i="18"/>
  <c r="J38" i="18"/>
  <c r="K38" i="18"/>
  <c r="L38" i="18"/>
  <c r="B39" i="18"/>
  <c r="C39" i="18"/>
  <c r="D39" i="18"/>
  <c r="E39" i="18"/>
  <c r="F39" i="18"/>
  <c r="G39" i="18"/>
  <c r="H39" i="18"/>
  <c r="I39" i="18"/>
  <c r="J39" i="18"/>
  <c r="K39" i="18"/>
  <c r="L39" i="18"/>
  <c r="B40" i="18"/>
  <c r="C40" i="18"/>
  <c r="D40" i="18"/>
  <c r="E40" i="18"/>
  <c r="F40" i="18"/>
  <c r="G40" i="18"/>
  <c r="H40" i="18"/>
  <c r="I40" i="18"/>
  <c r="J40" i="18"/>
  <c r="K40" i="18"/>
  <c r="L40" i="18"/>
  <c r="B41" i="18"/>
  <c r="C41" i="18"/>
  <c r="D41" i="18"/>
  <c r="E41" i="18"/>
  <c r="F41" i="18"/>
  <c r="G41" i="18"/>
  <c r="H41" i="18"/>
  <c r="I41" i="18"/>
  <c r="J41" i="18"/>
  <c r="K41" i="18"/>
  <c r="L41" i="18"/>
  <c r="B42" i="18"/>
  <c r="C42" i="18"/>
  <c r="D42" i="18"/>
  <c r="E42" i="18"/>
  <c r="F42" i="18"/>
  <c r="G42" i="18"/>
  <c r="H42" i="18"/>
  <c r="I42" i="18"/>
  <c r="J42" i="18"/>
  <c r="K42" i="18"/>
  <c r="L42" i="18"/>
  <c r="B43" i="18"/>
  <c r="C43" i="18"/>
  <c r="D43" i="18"/>
  <c r="E43" i="18"/>
  <c r="F43" i="18"/>
  <c r="G43" i="18"/>
  <c r="H43" i="18"/>
  <c r="I43" i="18"/>
  <c r="J43" i="18"/>
  <c r="K43" i="18"/>
  <c r="L43" i="18"/>
  <c r="B44" i="18"/>
  <c r="C44" i="18"/>
  <c r="D44" i="18"/>
  <c r="E44" i="18"/>
  <c r="F44" i="18"/>
  <c r="G44" i="18"/>
  <c r="H44" i="18"/>
  <c r="I44" i="18"/>
  <c r="J44" i="18"/>
  <c r="K44" i="18"/>
  <c r="L44" i="18"/>
  <c r="B45" i="18"/>
  <c r="C45" i="18"/>
  <c r="D45" i="18"/>
  <c r="E45" i="18"/>
  <c r="F45" i="18"/>
  <c r="G45" i="18"/>
  <c r="H45" i="18"/>
  <c r="I45" i="18"/>
  <c r="J45" i="18"/>
  <c r="K45" i="18"/>
  <c r="L45" i="18"/>
  <c r="B46" i="18"/>
  <c r="C46" i="18"/>
  <c r="D46" i="18"/>
  <c r="E46" i="18"/>
  <c r="F46" i="18"/>
  <c r="G46" i="18"/>
  <c r="H46" i="18"/>
  <c r="I46" i="18"/>
  <c r="J46" i="18"/>
  <c r="K46" i="18"/>
  <c r="L46" i="18"/>
  <c r="B47" i="18"/>
  <c r="C47" i="18"/>
  <c r="D47" i="18"/>
  <c r="E47" i="18"/>
  <c r="F47" i="18"/>
  <c r="G47" i="18"/>
  <c r="H47" i="18"/>
  <c r="I47" i="18"/>
  <c r="J47" i="18"/>
  <c r="K47" i="18"/>
  <c r="L47" i="18"/>
  <c r="B48" i="18"/>
  <c r="C48" i="18"/>
  <c r="D48" i="18"/>
  <c r="E48" i="18"/>
  <c r="F48" i="18"/>
  <c r="G48" i="18"/>
  <c r="H48" i="18"/>
  <c r="I48" i="18"/>
  <c r="J48" i="18"/>
  <c r="K48" i="18"/>
  <c r="L48" i="18"/>
  <c r="B49" i="18"/>
  <c r="C49" i="18"/>
  <c r="D49" i="18"/>
  <c r="E49" i="18"/>
  <c r="F49" i="18"/>
  <c r="G49" i="18"/>
  <c r="H49" i="18"/>
  <c r="I49" i="18"/>
  <c r="J49" i="18"/>
  <c r="K49" i="18"/>
  <c r="L49" i="18"/>
  <c r="B50" i="18"/>
  <c r="C50" i="18"/>
  <c r="D50" i="18"/>
  <c r="E50" i="18"/>
  <c r="F50" i="18"/>
  <c r="G50" i="18"/>
  <c r="H50" i="18"/>
  <c r="I50" i="18"/>
  <c r="J50" i="18"/>
  <c r="K50" i="18"/>
  <c r="L50" i="18"/>
  <c r="B51" i="18"/>
  <c r="C51" i="18"/>
  <c r="D51" i="18"/>
  <c r="E51" i="18"/>
  <c r="F51" i="18"/>
  <c r="G51" i="18"/>
  <c r="H51" i="18"/>
  <c r="I51" i="18"/>
  <c r="J51" i="18"/>
  <c r="K51" i="18"/>
  <c r="L51" i="18"/>
  <c r="B52" i="18"/>
  <c r="C52" i="18"/>
  <c r="D52" i="18"/>
  <c r="E52" i="18"/>
  <c r="F52" i="18"/>
  <c r="G52" i="18"/>
  <c r="H52" i="18"/>
  <c r="I52" i="18"/>
  <c r="J52" i="18"/>
  <c r="K52" i="18"/>
  <c r="L52" i="18"/>
  <c r="B53" i="18"/>
  <c r="C53" i="18"/>
  <c r="D53" i="18"/>
  <c r="E53" i="18"/>
  <c r="F53" i="18"/>
  <c r="G53" i="18"/>
  <c r="H53" i="18"/>
  <c r="I53" i="18"/>
  <c r="J53" i="18"/>
  <c r="K53" i="18"/>
  <c r="L53" i="18"/>
  <c r="B54" i="18"/>
  <c r="C54" i="18"/>
  <c r="D54" i="18"/>
  <c r="E54" i="18"/>
  <c r="F54" i="18"/>
  <c r="G54" i="18"/>
  <c r="H54" i="18"/>
  <c r="I54" i="18"/>
  <c r="J54" i="18"/>
  <c r="K54" i="18"/>
  <c r="L54" i="18"/>
  <c r="B55" i="18"/>
  <c r="C55" i="18"/>
  <c r="D55" i="18"/>
  <c r="E55" i="18"/>
  <c r="F55" i="18"/>
  <c r="G55" i="18"/>
  <c r="H55" i="18"/>
  <c r="I55" i="18"/>
  <c r="J55" i="18"/>
  <c r="K55" i="18"/>
  <c r="L55" i="18"/>
  <c r="B56" i="18"/>
  <c r="C56" i="18"/>
  <c r="D56" i="18"/>
  <c r="E56" i="18"/>
  <c r="F56" i="18"/>
  <c r="G56" i="18"/>
  <c r="H56" i="18"/>
  <c r="I56" i="18"/>
  <c r="J56" i="18"/>
  <c r="K56" i="18"/>
  <c r="L56" i="18"/>
  <c r="B57" i="18"/>
  <c r="C57" i="18"/>
  <c r="D57" i="18"/>
  <c r="E57" i="18"/>
  <c r="F57" i="18"/>
  <c r="G57" i="18"/>
  <c r="H57" i="18"/>
  <c r="I57" i="18"/>
  <c r="J57" i="18"/>
  <c r="K57" i="18"/>
  <c r="L57" i="18"/>
  <c r="B58" i="18"/>
  <c r="C58" i="18"/>
  <c r="D58" i="18"/>
  <c r="E58" i="18"/>
  <c r="F58" i="18"/>
  <c r="G58" i="18"/>
  <c r="H58" i="18"/>
  <c r="I58" i="18"/>
  <c r="J58" i="18"/>
  <c r="K58" i="18"/>
  <c r="L58" i="18"/>
  <c r="B59" i="18"/>
  <c r="C59" i="18"/>
  <c r="D59" i="18"/>
  <c r="E59" i="18"/>
  <c r="F59" i="18"/>
  <c r="G59" i="18"/>
  <c r="H59" i="18"/>
  <c r="I59" i="18"/>
  <c r="J59" i="18"/>
  <c r="K59" i="18"/>
  <c r="L59" i="18"/>
  <c r="B60" i="18"/>
  <c r="C60" i="18"/>
  <c r="D60" i="18"/>
  <c r="E60" i="18"/>
  <c r="F60" i="18"/>
  <c r="G60" i="18"/>
  <c r="H60" i="18"/>
  <c r="I60" i="18"/>
  <c r="J60" i="18"/>
  <c r="K60" i="18"/>
  <c r="L60" i="18"/>
  <c r="B61" i="18"/>
  <c r="C61" i="18"/>
  <c r="D61" i="18"/>
  <c r="E61" i="18"/>
  <c r="F61" i="18"/>
  <c r="G61" i="18"/>
  <c r="H61" i="18"/>
  <c r="I61" i="18"/>
  <c r="J61" i="18"/>
  <c r="K61" i="18"/>
  <c r="L61" i="18"/>
  <c r="B62" i="18"/>
  <c r="C62" i="18"/>
  <c r="D62" i="18"/>
  <c r="E62" i="18"/>
  <c r="F62" i="18"/>
  <c r="G62" i="18"/>
  <c r="H62" i="18"/>
  <c r="I62" i="18"/>
  <c r="J62" i="18"/>
  <c r="K62" i="18"/>
  <c r="L62" i="18"/>
  <c r="B63" i="18"/>
  <c r="C63" i="18"/>
  <c r="D63" i="18"/>
  <c r="E63" i="18"/>
  <c r="F63" i="18"/>
  <c r="G63" i="18"/>
  <c r="H63" i="18"/>
  <c r="I63" i="18"/>
  <c r="J63" i="18"/>
  <c r="K63" i="18"/>
  <c r="L63" i="18"/>
  <c r="B64" i="18"/>
  <c r="C64" i="18"/>
  <c r="D64" i="18"/>
  <c r="E64" i="18"/>
  <c r="F64" i="18"/>
  <c r="G64" i="18"/>
  <c r="H64" i="18"/>
  <c r="I64" i="18"/>
  <c r="J64" i="18"/>
  <c r="K64" i="18"/>
  <c r="L64" i="18"/>
  <c r="B65" i="18"/>
  <c r="C65" i="18"/>
  <c r="D65" i="18"/>
  <c r="E65" i="18"/>
  <c r="F65" i="18"/>
  <c r="G65" i="18"/>
  <c r="H65" i="18"/>
  <c r="I65" i="18"/>
  <c r="J65" i="18"/>
  <c r="K65" i="18"/>
  <c r="L65" i="18"/>
  <c r="B66" i="18"/>
  <c r="C66" i="18"/>
  <c r="D66" i="18"/>
  <c r="E66" i="18"/>
  <c r="F66" i="18"/>
  <c r="G66" i="18"/>
  <c r="H66" i="18"/>
  <c r="I66" i="18"/>
  <c r="J66" i="18"/>
  <c r="K66" i="18"/>
  <c r="L66" i="18"/>
  <c r="B67" i="18"/>
  <c r="C67" i="18"/>
  <c r="D67" i="18"/>
  <c r="E67" i="18"/>
  <c r="F67" i="18"/>
  <c r="G67" i="18"/>
  <c r="H67" i="18"/>
  <c r="I67" i="18"/>
  <c r="J67" i="18"/>
  <c r="K67" i="18"/>
  <c r="L67" i="18"/>
  <c r="B68" i="18"/>
  <c r="C68" i="18"/>
  <c r="D68" i="18"/>
  <c r="E68" i="18"/>
  <c r="F68" i="18"/>
  <c r="G68" i="18"/>
  <c r="H68" i="18"/>
  <c r="I68" i="18"/>
  <c r="J68" i="18"/>
  <c r="K68" i="18"/>
  <c r="L68" i="18"/>
  <c r="B69" i="18"/>
  <c r="C69" i="18"/>
  <c r="D69" i="18"/>
  <c r="E69" i="18"/>
  <c r="F69" i="18"/>
  <c r="G69" i="18"/>
  <c r="H69" i="18"/>
  <c r="I69" i="18"/>
  <c r="J69" i="18"/>
  <c r="K69" i="18"/>
  <c r="L69" i="18"/>
  <c r="B70" i="18"/>
  <c r="C70" i="18"/>
  <c r="D70" i="18"/>
  <c r="E70" i="18"/>
  <c r="F70" i="18"/>
  <c r="G70" i="18"/>
  <c r="H70" i="18"/>
  <c r="I70" i="18"/>
  <c r="J70" i="18"/>
  <c r="K70" i="18"/>
  <c r="L70" i="18"/>
  <c r="B71" i="18"/>
  <c r="C71" i="18"/>
  <c r="D71" i="18"/>
  <c r="E71" i="18"/>
  <c r="F71" i="18"/>
  <c r="G71" i="18"/>
  <c r="H71" i="18"/>
  <c r="I71" i="18"/>
  <c r="J71" i="18"/>
  <c r="K71" i="18"/>
  <c r="L71" i="18"/>
  <c r="B72" i="18"/>
  <c r="C72" i="18"/>
  <c r="D72" i="18"/>
  <c r="E72" i="18"/>
  <c r="F72" i="18"/>
  <c r="G72" i="18"/>
  <c r="H72" i="18"/>
  <c r="I72" i="18"/>
  <c r="J72" i="18"/>
  <c r="K72" i="18"/>
  <c r="L72" i="18"/>
  <c r="B73" i="18"/>
  <c r="C73" i="18"/>
  <c r="D73" i="18"/>
  <c r="E73" i="18"/>
  <c r="F73" i="18"/>
  <c r="G73" i="18"/>
  <c r="H73" i="18"/>
  <c r="I73" i="18"/>
  <c r="J73" i="18"/>
  <c r="K73" i="18"/>
  <c r="L73" i="18"/>
  <c r="B74" i="18"/>
  <c r="C74" i="18"/>
  <c r="D74" i="18"/>
  <c r="E74" i="18"/>
  <c r="F74" i="18"/>
  <c r="G74" i="18"/>
  <c r="H74" i="18"/>
  <c r="I74" i="18"/>
  <c r="J74" i="18"/>
  <c r="K74" i="18"/>
  <c r="L74" i="18"/>
  <c r="B75" i="18"/>
  <c r="C75" i="18"/>
  <c r="D75" i="18"/>
  <c r="E75" i="18"/>
  <c r="F75" i="18"/>
  <c r="G75" i="18"/>
  <c r="H75" i="18"/>
  <c r="I75" i="18"/>
  <c r="J75" i="18"/>
  <c r="K75" i="18"/>
  <c r="L75" i="18"/>
  <c r="B76" i="18"/>
  <c r="C76" i="18"/>
  <c r="D76" i="18"/>
  <c r="E76" i="18"/>
  <c r="F76" i="18"/>
  <c r="G76" i="18"/>
  <c r="H76" i="18"/>
  <c r="I76" i="18"/>
  <c r="J76" i="18"/>
  <c r="K76" i="18"/>
  <c r="L76" i="18"/>
  <c r="B77" i="18"/>
  <c r="C77" i="18"/>
  <c r="D77" i="18"/>
  <c r="E77" i="18"/>
  <c r="F77" i="18"/>
  <c r="G77" i="18"/>
  <c r="H77" i="18"/>
  <c r="I77" i="18"/>
  <c r="J77" i="18"/>
  <c r="K77" i="18"/>
  <c r="L77" i="18"/>
  <c r="B78" i="18"/>
  <c r="C78" i="18"/>
  <c r="D78" i="18"/>
  <c r="E78" i="18"/>
  <c r="F78" i="18"/>
  <c r="G78" i="18"/>
  <c r="H78" i="18"/>
  <c r="I78" i="18"/>
  <c r="J78" i="18"/>
  <c r="K78" i="18"/>
  <c r="L78" i="18"/>
  <c r="B79" i="18"/>
  <c r="C79" i="18"/>
  <c r="D79" i="18"/>
  <c r="E79" i="18"/>
  <c r="F79" i="18"/>
  <c r="G79" i="18"/>
  <c r="H79" i="18"/>
  <c r="I79" i="18"/>
  <c r="J79" i="18"/>
  <c r="K79" i="18"/>
  <c r="L79" i="18"/>
  <c r="B80" i="18"/>
  <c r="C80" i="18"/>
  <c r="D80" i="18"/>
  <c r="E80" i="18"/>
  <c r="F80" i="18"/>
  <c r="G80" i="18"/>
  <c r="H80" i="18"/>
  <c r="I80" i="18"/>
  <c r="J80" i="18"/>
  <c r="K80" i="18"/>
  <c r="L80" i="18"/>
  <c r="B81" i="18"/>
  <c r="C81" i="18"/>
  <c r="D81" i="18"/>
  <c r="E81" i="18"/>
  <c r="F81" i="18"/>
  <c r="G81" i="18"/>
  <c r="H81" i="18"/>
  <c r="I81" i="18"/>
  <c r="J81" i="18"/>
  <c r="K81" i="18"/>
  <c r="L81" i="18"/>
  <c r="B82" i="18"/>
  <c r="C82" i="18"/>
  <c r="D82" i="18"/>
  <c r="E82" i="18"/>
  <c r="F82" i="18"/>
  <c r="G82" i="18"/>
  <c r="H82" i="18"/>
  <c r="I82" i="18"/>
  <c r="J82" i="18"/>
  <c r="K82" i="18"/>
  <c r="L82" i="18"/>
  <c r="B83" i="18"/>
  <c r="C83" i="18"/>
  <c r="D83" i="18"/>
  <c r="E83" i="18"/>
  <c r="F83" i="18"/>
  <c r="G83" i="18"/>
  <c r="H83" i="18"/>
  <c r="I83" i="18"/>
  <c r="J83" i="18"/>
  <c r="K83" i="18"/>
  <c r="L83" i="18"/>
  <c r="B84" i="18"/>
  <c r="C84" i="18"/>
  <c r="D84" i="18"/>
  <c r="E84" i="18"/>
  <c r="F84" i="18"/>
  <c r="G84" i="18"/>
  <c r="H84" i="18"/>
  <c r="I84" i="18"/>
  <c r="J84" i="18"/>
  <c r="K84" i="18"/>
  <c r="L84" i="18"/>
  <c r="B85" i="18"/>
  <c r="C85" i="18"/>
  <c r="D85" i="18"/>
  <c r="E85" i="18"/>
  <c r="F85" i="18"/>
  <c r="G85" i="18"/>
  <c r="H85" i="18"/>
  <c r="I85" i="18"/>
  <c r="J85" i="18"/>
  <c r="K85" i="18"/>
  <c r="L85" i="18"/>
  <c r="B86" i="18"/>
  <c r="C86" i="18"/>
  <c r="D86" i="18"/>
  <c r="E86" i="18"/>
  <c r="F86" i="18"/>
  <c r="G86" i="18"/>
  <c r="H86" i="18"/>
  <c r="I86" i="18"/>
  <c r="J86" i="18"/>
  <c r="K86" i="18"/>
  <c r="L86" i="18"/>
  <c r="B87" i="18"/>
  <c r="C87" i="18"/>
  <c r="D87" i="18"/>
  <c r="E87" i="18"/>
  <c r="F87" i="18"/>
  <c r="G87" i="18"/>
  <c r="H87" i="18"/>
  <c r="I87" i="18"/>
  <c r="J87" i="18"/>
  <c r="K87" i="18"/>
  <c r="L87" i="18"/>
  <c r="B88" i="18"/>
  <c r="C88" i="18"/>
  <c r="D88" i="18"/>
  <c r="E88" i="18"/>
  <c r="F88" i="18"/>
  <c r="G88" i="18"/>
  <c r="H88" i="18"/>
  <c r="I88" i="18"/>
  <c r="J88" i="18"/>
  <c r="K88" i="18"/>
  <c r="L88" i="18"/>
  <c r="B89" i="18"/>
  <c r="C89" i="18"/>
  <c r="D89" i="18"/>
  <c r="E89" i="18"/>
  <c r="F89" i="18"/>
  <c r="G89" i="18"/>
  <c r="H89" i="18"/>
  <c r="I89" i="18"/>
  <c r="J89" i="18"/>
  <c r="K89" i="18"/>
  <c r="L89" i="18"/>
  <c r="B90" i="18"/>
  <c r="C90" i="18"/>
  <c r="D90" i="18"/>
  <c r="E90" i="18"/>
  <c r="F90" i="18"/>
  <c r="G90" i="18"/>
  <c r="H90" i="18"/>
  <c r="I90" i="18"/>
  <c r="J90" i="18"/>
  <c r="K90" i="18"/>
  <c r="L90" i="18"/>
  <c r="B91" i="18"/>
  <c r="C91" i="18"/>
  <c r="D91" i="18"/>
  <c r="E91" i="18"/>
  <c r="F91" i="18"/>
  <c r="G91" i="18"/>
  <c r="H91" i="18"/>
  <c r="I91" i="18"/>
  <c r="J91" i="18"/>
  <c r="K91" i="18"/>
  <c r="L91" i="18"/>
  <c r="B92" i="18"/>
  <c r="C92" i="18"/>
  <c r="D92" i="18"/>
  <c r="E92" i="18"/>
  <c r="F92" i="18"/>
  <c r="G92" i="18"/>
  <c r="H92" i="18"/>
  <c r="I92" i="18"/>
  <c r="J92" i="18"/>
  <c r="K92" i="18"/>
  <c r="L92" i="18"/>
  <c r="B93" i="18"/>
  <c r="C93" i="18"/>
  <c r="D93" i="18"/>
  <c r="E93" i="18"/>
  <c r="F93" i="18"/>
  <c r="G93" i="18"/>
  <c r="H93" i="18"/>
  <c r="I93" i="18"/>
  <c r="J93" i="18"/>
  <c r="K93" i="18"/>
  <c r="L93" i="18"/>
  <c r="B94" i="18"/>
  <c r="C94" i="18"/>
  <c r="D94" i="18"/>
  <c r="E94" i="18"/>
  <c r="F94" i="18"/>
  <c r="G94" i="18"/>
  <c r="H94" i="18"/>
  <c r="I94" i="18"/>
  <c r="J94" i="18"/>
  <c r="K94" i="18"/>
  <c r="L94" i="18"/>
  <c r="B95" i="18"/>
  <c r="C95" i="18"/>
  <c r="D95" i="18"/>
  <c r="E95" i="18"/>
  <c r="F95" i="18"/>
  <c r="G95" i="18"/>
  <c r="H95" i="18"/>
  <c r="I95" i="18"/>
  <c r="J95" i="18"/>
  <c r="K95" i="18"/>
  <c r="L95" i="18"/>
  <c r="B96" i="18"/>
  <c r="C96" i="18"/>
  <c r="D96" i="18"/>
  <c r="E96" i="18"/>
  <c r="F96" i="18"/>
  <c r="G96" i="18"/>
  <c r="H96" i="18"/>
  <c r="I96" i="18"/>
  <c r="J96" i="18"/>
  <c r="K96" i="18"/>
  <c r="L96" i="18"/>
  <c r="B97" i="18"/>
  <c r="C97" i="18"/>
  <c r="D97" i="18"/>
  <c r="E97" i="18"/>
  <c r="F97" i="18"/>
  <c r="G97" i="18"/>
  <c r="H97" i="18"/>
  <c r="I97" i="18"/>
  <c r="J97" i="18"/>
  <c r="K97" i="18"/>
  <c r="L97" i="18"/>
  <c r="B98" i="18"/>
  <c r="C98" i="18"/>
  <c r="D98" i="18"/>
  <c r="E98" i="18"/>
  <c r="F98" i="18"/>
  <c r="G98" i="18"/>
  <c r="H98" i="18"/>
  <c r="I98" i="18"/>
  <c r="J98" i="18"/>
  <c r="K98" i="18"/>
  <c r="L98" i="18"/>
  <c r="B99" i="18"/>
  <c r="C99" i="18"/>
  <c r="D99" i="18"/>
  <c r="E99" i="18"/>
  <c r="F99" i="18"/>
  <c r="G99" i="18"/>
  <c r="H99" i="18"/>
  <c r="I99" i="18"/>
  <c r="J99" i="18"/>
  <c r="K99" i="18"/>
  <c r="L99" i="18"/>
  <c r="B100" i="18"/>
  <c r="C100" i="18"/>
  <c r="D100" i="18"/>
  <c r="E100" i="18"/>
  <c r="F100" i="18"/>
  <c r="G100" i="18"/>
  <c r="H100" i="18"/>
  <c r="I100" i="18"/>
  <c r="J100" i="18"/>
  <c r="K100" i="18"/>
  <c r="L100" i="18"/>
  <c r="B101" i="18"/>
  <c r="C101" i="18"/>
  <c r="D101" i="18"/>
  <c r="E101" i="18"/>
  <c r="F101" i="18"/>
  <c r="G101" i="18"/>
  <c r="H101" i="18"/>
  <c r="I101" i="18"/>
  <c r="J101" i="18"/>
  <c r="K101" i="18"/>
  <c r="L101" i="18"/>
  <c r="B102" i="18"/>
  <c r="C102" i="18"/>
  <c r="D102" i="18"/>
  <c r="E102" i="18"/>
  <c r="F102" i="18"/>
  <c r="G102" i="18"/>
  <c r="H102" i="18"/>
  <c r="I102" i="18"/>
  <c r="J102" i="18"/>
  <c r="K102" i="18"/>
  <c r="L102" i="18"/>
  <c r="B103" i="18"/>
  <c r="C103" i="18"/>
  <c r="D103" i="18"/>
  <c r="E103" i="18"/>
  <c r="F103" i="18"/>
  <c r="G103" i="18"/>
  <c r="H103" i="18"/>
  <c r="I103" i="18"/>
  <c r="J103" i="18"/>
  <c r="K103" i="18"/>
  <c r="L103" i="18"/>
  <c r="B104" i="18"/>
  <c r="C104" i="18"/>
  <c r="D104" i="18"/>
  <c r="E104" i="18"/>
  <c r="F104" i="18"/>
  <c r="G104" i="18"/>
  <c r="H104" i="18"/>
  <c r="I104" i="18"/>
  <c r="J104" i="18"/>
  <c r="K104" i="18"/>
  <c r="L104" i="18"/>
  <c r="B105" i="18"/>
  <c r="C105" i="18"/>
  <c r="D105" i="18"/>
  <c r="E105" i="18"/>
  <c r="F105" i="18"/>
  <c r="G105" i="18"/>
  <c r="H105" i="18"/>
  <c r="I105" i="18"/>
  <c r="J105" i="18"/>
  <c r="K105" i="18"/>
  <c r="L105" i="18"/>
  <c r="B106" i="18"/>
  <c r="C106" i="18"/>
  <c r="D106" i="18"/>
  <c r="E106" i="18"/>
  <c r="F106" i="18"/>
  <c r="G106" i="18"/>
  <c r="H106" i="18"/>
  <c r="I106" i="18"/>
  <c r="J106" i="18"/>
  <c r="K106" i="18"/>
  <c r="L106" i="18"/>
  <c r="B107" i="18"/>
  <c r="C107" i="18"/>
  <c r="D107" i="18"/>
  <c r="E107" i="18"/>
  <c r="F107" i="18"/>
  <c r="G107" i="18"/>
  <c r="H107" i="18"/>
  <c r="I107" i="18"/>
  <c r="J107" i="18"/>
  <c r="K107" i="18"/>
  <c r="L107" i="18"/>
  <c r="B108" i="18"/>
  <c r="C108" i="18"/>
  <c r="D108" i="18"/>
  <c r="E108" i="18"/>
  <c r="F108" i="18"/>
  <c r="G108" i="18"/>
  <c r="H108" i="18"/>
  <c r="I108" i="18"/>
  <c r="J108" i="18"/>
  <c r="K108" i="18"/>
  <c r="L108" i="18"/>
  <c r="B109" i="18"/>
  <c r="C109" i="18"/>
  <c r="D109" i="18"/>
  <c r="E109" i="18"/>
  <c r="F109" i="18"/>
  <c r="G109" i="18"/>
  <c r="H109" i="18"/>
  <c r="I109" i="18"/>
  <c r="J109" i="18"/>
  <c r="K109" i="18"/>
  <c r="L109" i="18"/>
  <c r="B110" i="18"/>
  <c r="C110" i="18"/>
  <c r="D110" i="18"/>
  <c r="E110" i="18"/>
  <c r="F110" i="18"/>
  <c r="G110" i="18"/>
  <c r="H110" i="18"/>
  <c r="I110" i="18"/>
  <c r="J110" i="18"/>
  <c r="K110" i="18"/>
  <c r="L110" i="18"/>
  <c r="B111" i="18"/>
  <c r="C111" i="18"/>
  <c r="D111" i="18"/>
  <c r="E111" i="18"/>
  <c r="F111" i="18"/>
  <c r="G111" i="18"/>
  <c r="H111" i="18"/>
  <c r="I111" i="18"/>
  <c r="J111" i="18"/>
  <c r="K111" i="18"/>
  <c r="L111" i="18"/>
  <c r="B112" i="18"/>
  <c r="C112" i="18"/>
  <c r="D112" i="18"/>
  <c r="E112" i="18"/>
  <c r="F112" i="18"/>
  <c r="G112" i="18"/>
  <c r="H112" i="18"/>
  <c r="I112" i="18"/>
  <c r="J112" i="18"/>
  <c r="K112" i="18"/>
  <c r="L112" i="18"/>
  <c r="B113" i="18"/>
  <c r="C113" i="18"/>
  <c r="D113" i="18"/>
  <c r="E113" i="18"/>
  <c r="F113" i="18"/>
  <c r="G113" i="18"/>
  <c r="H113" i="18"/>
  <c r="I113" i="18"/>
  <c r="J113" i="18"/>
  <c r="K113" i="18"/>
  <c r="L113" i="18"/>
  <c r="B114" i="18"/>
  <c r="C114" i="18"/>
  <c r="D114" i="18"/>
  <c r="E114" i="18"/>
  <c r="F114" i="18"/>
  <c r="G114" i="18"/>
  <c r="H114" i="18"/>
  <c r="I114" i="18"/>
  <c r="J114" i="18"/>
  <c r="K114" i="18"/>
  <c r="L114" i="18"/>
  <c r="B115" i="18"/>
  <c r="C115" i="18"/>
  <c r="D115" i="18"/>
  <c r="E115" i="18"/>
  <c r="F115" i="18"/>
  <c r="G115" i="18"/>
  <c r="H115" i="18"/>
  <c r="I115" i="18"/>
  <c r="J115" i="18"/>
  <c r="K115" i="18"/>
  <c r="L115" i="18"/>
  <c r="B116" i="18"/>
  <c r="C116" i="18"/>
  <c r="D116" i="18"/>
  <c r="E116" i="18"/>
  <c r="F116" i="18"/>
  <c r="G116" i="18"/>
  <c r="H116" i="18"/>
  <c r="I116" i="18"/>
  <c r="J116" i="18"/>
  <c r="K116" i="18"/>
  <c r="L116" i="18"/>
  <c r="B117" i="18"/>
  <c r="C117" i="18"/>
  <c r="D117" i="18"/>
  <c r="E117" i="18"/>
  <c r="F117" i="18"/>
  <c r="G117" i="18"/>
  <c r="H117" i="18"/>
  <c r="I117" i="18"/>
  <c r="J117" i="18"/>
  <c r="K117" i="18"/>
  <c r="L117" i="18"/>
  <c r="B118" i="18"/>
  <c r="C118" i="18"/>
  <c r="D118" i="18"/>
  <c r="E118" i="18"/>
  <c r="F118" i="18"/>
  <c r="G118" i="18"/>
  <c r="H118" i="18"/>
  <c r="I118" i="18"/>
  <c r="J118" i="18"/>
  <c r="K118" i="18"/>
  <c r="L118" i="18"/>
  <c r="B119" i="18"/>
  <c r="C119" i="18"/>
  <c r="D119" i="18"/>
  <c r="E119" i="18"/>
  <c r="F119" i="18"/>
  <c r="G119" i="18"/>
  <c r="H119" i="18"/>
  <c r="I119" i="18"/>
  <c r="J119" i="18"/>
  <c r="K119" i="18"/>
  <c r="L119" i="18"/>
  <c r="B120" i="18"/>
  <c r="C120" i="18"/>
  <c r="D120" i="18"/>
  <c r="E120" i="18"/>
  <c r="F120" i="18"/>
  <c r="G120" i="18"/>
  <c r="H120" i="18"/>
  <c r="I120" i="18"/>
  <c r="J120" i="18"/>
  <c r="K120" i="18"/>
  <c r="L120" i="18"/>
  <c r="B121" i="18"/>
  <c r="C121" i="18"/>
  <c r="D121" i="18"/>
  <c r="E121" i="18"/>
  <c r="F121" i="18"/>
  <c r="G121" i="18"/>
  <c r="H121" i="18"/>
  <c r="I121" i="18"/>
  <c r="J121" i="18"/>
  <c r="K121" i="18"/>
  <c r="L121" i="18"/>
  <c r="B122" i="18"/>
  <c r="C122" i="18"/>
  <c r="D122" i="18"/>
  <c r="E122" i="18"/>
  <c r="F122" i="18"/>
  <c r="G122" i="18"/>
  <c r="H122" i="18"/>
  <c r="I122" i="18"/>
  <c r="J122" i="18"/>
  <c r="K122" i="18"/>
  <c r="L122" i="18"/>
  <c r="B123" i="18"/>
  <c r="C123" i="18"/>
  <c r="D123" i="18"/>
  <c r="E123" i="18"/>
  <c r="F123" i="18"/>
  <c r="G123" i="18"/>
  <c r="H123" i="18"/>
  <c r="I123" i="18"/>
  <c r="J123" i="18"/>
  <c r="K123" i="18"/>
  <c r="L123" i="18"/>
  <c r="B124" i="18"/>
  <c r="C124" i="18"/>
  <c r="D124" i="18"/>
  <c r="E124" i="18"/>
  <c r="F124" i="18"/>
  <c r="G124" i="18"/>
  <c r="H124" i="18"/>
  <c r="I124" i="18"/>
  <c r="J124" i="18"/>
  <c r="K124" i="18"/>
  <c r="L124" i="18"/>
  <c r="B125" i="18"/>
  <c r="C125" i="18"/>
  <c r="D125" i="18"/>
  <c r="E125" i="18"/>
  <c r="F125" i="18"/>
  <c r="G125" i="18"/>
  <c r="H125" i="18"/>
  <c r="I125" i="18"/>
  <c r="J125" i="18"/>
  <c r="K125" i="18"/>
  <c r="L125" i="18"/>
  <c r="B126" i="18"/>
  <c r="C126" i="18"/>
  <c r="D126" i="18"/>
  <c r="E126" i="18"/>
  <c r="F126" i="18"/>
  <c r="G126" i="18"/>
  <c r="H126" i="18"/>
  <c r="I126" i="18"/>
  <c r="J126" i="18"/>
  <c r="K126" i="18"/>
  <c r="L126" i="18"/>
  <c r="B127" i="18"/>
  <c r="C127" i="18"/>
  <c r="D127" i="18"/>
  <c r="E127" i="18"/>
  <c r="F127" i="18"/>
  <c r="G127" i="18"/>
  <c r="H127" i="18"/>
  <c r="I127" i="18"/>
  <c r="J127" i="18"/>
  <c r="K127" i="18"/>
  <c r="L127" i="18"/>
  <c r="B128" i="18"/>
  <c r="C128" i="18"/>
  <c r="D128" i="18"/>
  <c r="E128" i="18"/>
  <c r="F128" i="18"/>
  <c r="G128" i="18"/>
  <c r="H128" i="18"/>
  <c r="I128" i="18"/>
  <c r="J128" i="18"/>
  <c r="K128" i="18"/>
  <c r="L128" i="18"/>
  <c r="B129" i="18"/>
  <c r="C129" i="18"/>
  <c r="D129" i="18"/>
  <c r="E129" i="18"/>
  <c r="F129" i="18"/>
  <c r="G129" i="18"/>
  <c r="H129" i="18"/>
  <c r="I129" i="18"/>
  <c r="J129" i="18"/>
  <c r="K129" i="18"/>
  <c r="L129" i="18"/>
  <c r="B130" i="18"/>
  <c r="C130" i="18"/>
  <c r="D130" i="18"/>
  <c r="E130" i="18"/>
  <c r="F130" i="18"/>
  <c r="G130" i="18"/>
  <c r="H130" i="18"/>
  <c r="I130" i="18"/>
  <c r="J130" i="18"/>
  <c r="K130" i="18"/>
  <c r="L130" i="18"/>
  <c r="B131" i="18"/>
  <c r="C131" i="18"/>
  <c r="D131" i="18"/>
  <c r="E131" i="18"/>
  <c r="F131" i="18"/>
  <c r="G131" i="18"/>
  <c r="H131" i="18"/>
  <c r="I131" i="18"/>
  <c r="J131" i="18"/>
  <c r="K131" i="18"/>
  <c r="L131" i="18"/>
  <c r="B132" i="18"/>
  <c r="C132" i="18"/>
  <c r="D132" i="18"/>
  <c r="E132" i="18"/>
  <c r="F132" i="18"/>
  <c r="G132" i="18"/>
  <c r="H132" i="18"/>
  <c r="I132" i="18"/>
  <c r="J132" i="18"/>
  <c r="K132" i="18"/>
  <c r="L132" i="18"/>
  <c r="B133" i="18"/>
  <c r="C133" i="18"/>
  <c r="D133" i="18"/>
  <c r="E133" i="18"/>
  <c r="F133" i="18"/>
  <c r="G133" i="18"/>
  <c r="H133" i="18"/>
  <c r="I133" i="18"/>
  <c r="J133" i="18"/>
  <c r="K133" i="18"/>
  <c r="L133" i="18"/>
  <c r="B134" i="18"/>
  <c r="C134" i="18"/>
  <c r="D134" i="18"/>
  <c r="E134" i="18"/>
  <c r="F134" i="18"/>
  <c r="G134" i="18"/>
  <c r="H134" i="18"/>
  <c r="I134" i="18"/>
  <c r="J134" i="18"/>
  <c r="K134" i="18"/>
  <c r="L134" i="18"/>
  <c r="B135" i="18"/>
  <c r="C135" i="18"/>
  <c r="D135" i="18"/>
  <c r="E135" i="18"/>
  <c r="F135" i="18"/>
  <c r="G135" i="18"/>
  <c r="H135" i="18"/>
  <c r="I135" i="18"/>
  <c r="J135" i="18"/>
  <c r="K135" i="18"/>
  <c r="L135" i="18"/>
  <c r="B136" i="18"/>
  <c r="C136" i="18"/>
  <c r="D136" i="18"/>
  <c r="E136" i="18"/>
  <c r="F136" i="18"/>
  <c r="G136" i="18"/>
  <c r="H136" i="18"/>
  <c r="I136" i="18"/>
  <c r="J136" i="18"/>
  <c r="K136" i="18"/>
  <c r="L136" i="18"/>
  <c r="B137" i="18"/>
  <c r="C137" i="18"/>
  <c r="D137" i="18"/>
  <c r="E137" i="18"/>
  <c r="F137" i="18"/>
  <c r="G137" i="18"/>
  <c r="H137" i="18"/>
  <c r="I137" i="18"/>
  <c r="J137" i="18"/>
  <c r="K137" i="18"/>
  <c r="L137" i="18"/>
  <c r="B138" i="18"/>
  <c r="C138" i="18"/>
  <c r="D138" i="18"/>
  <c r="E138" i="18"/>
  <c r="F138" i="18"/>
  <c r="G138" i="18"/>
  <c r="H138" i="18"/>
  <c r="I138" i="18"/>
  <c r="J138" i="18"/>
  <c r="K138" i="18"/>
  <c r="L138" i="18"/>
  <c r="B139" i="18"/>
  <c r="C139" i="18"/>
  <c r="D139" i="18"/>
  <c r="E139" i="18"/>
  <c r="F139" i="18"/>
  <c r="G139" i="18"/>
  <c r="H139" i="18"/>
  <c r="I139" i="18"/>
  <c r="J139" i="18"/>
  <c r="K139" i="18"/>
  <c r="L139" i="18"/>
  <c r="B140" i="18"/>
  <c r="C140" i="18"/>
  <c r="D140" i="18"/>
  <c r="E140" i="18"/>
  <c r="F140" i="18"/>
  <c r="G140" i="18"/>
  <c r="H140" i="18"/>
  <c r="I140" i="18"/>
  <c r="J140" i="18"/>
  <c r="K140" i="18"/>
  <c r="L140" i="18"/>
  <c r="B141" i="18"/>
  <c r="C141" i="18"/>
  <c r="D141" i="18"/>
  <c r="E141" i="18"/>
  <c r="F141" i="18"/>
  <c r="G141" i="18"/>
  <c r="H141" i="18"/>
  <c r="I141" i="18"/>
  <c r="J141" i="18"/>
  <c r="K141" i="18"/>
  <c r="L141" i="18"/>
  <c r="B142" i="18"/>
  <c r="C142" i="18"/>
  <c r="D142" i="18"/>
  <c r="E142" i="18"/>
  <c r="F142" i="18"/>
  <c r="G142" i="18"/>
  <c r="H142" i="18"/>
  <c r="I142" i="18"/>
  <c r="J142" i="18"/>
  <c r="K142" i="18"/>
  <c r="L142" i="18"/>
  <c r="B143" i="18"/>
  <c r="C143" i="18"/>
  <c r="D143" i="18"/>
  <c r="E143" i="18"/>
  <c r="F143" i="18"/>
  <c r="G143" i="18"/>
  <c r="H143" i="18"/>
  <c r="I143" i="18"/>
  <c r="J143" i="18"/>
  <c r="K143" i="18"/>
  <c r="L143" i="18"/>
  <c r="B144" i="18"/>
  <c r="C144" i="18"/>
  <c r="D144" i="18"/>
  <c r="E144" i="18"/>
  <c r="F144" i="18"/>
  <c r="G144" i="18"/>
  <c r="H144" i="18"/>
  <c r="I144" i="18"/>
  <c r="J144" i="18"/>
  <c r="K144" i="18"/>
  <c r="L144" i="18"/>
  <c r="B145" i="18"/>
  <c r="C145" i="18"/>
  <c r="D145" i="18"/>
  <c r="E145" i="18"/>
  <c r="F145" i="18"/>
  <c r="G145" i="18"/>
  <c r="H145" i="18"/>
  <c r="I145" i="18"/>
  <c r="J145" i="18"/>
  <c r="K145" i="18"/>
  <c r="L145" i="18"/>
  <c r="B146" i="18"/>
  <c r="C146" i="18"/>
  <c r="D146" i="18"/>
  <c r="E146" i="18"/>
  <c r="F146" i="18"/>
  <c r="G146" i="18"/>
  <c r="H146" i="18"/>
  <c r="I146" i="18"/>
  <c r="J146" i="18"/>
  <c r="K146" i="18"/>
  <c r="L146" i="18"/>
  <c r="B147" i="18"/>
  <c r="C147" i="18"/>
  <c r="D147" i="18"/>
  <c r="E147" i="18"/>
  <c r="F147" i="18"/>
  <c r="G147" i="18"/>
  <c r="H147" i="18"/>
  <c r="I147" i="18"/>
  <c r="J147" i="18"/>
  <c r="K147" i="18"/>
  <c r="L147" i="18"/>
  <c r="B148" i="18"/>
  <c r="C148" i="18"/>
  <c r="D148" i="18"/>
  <c r="E148" i="18"/>
  <c r="F148" i="18"/>
  <c r="G148" i="18"/>
  <c r="H148" i="18"/>
  <c r="I148" i="18"/>
  <c r="J148" i="18"/>
  <c r="K148" i="18"/>
  <c r="L148" i="18"/>
  <c r="B149" i="18"/>
  <c r="C149" i="18"/>
  <c r="D149" i="18"/>
  <c r="E149" i="18"/>
  <c r="F149" i="18"/>
  <c r="G149" i="18"/>
  <c r="H149" i="18"/>
  <c r="I149" i="18"/>
  <c r="J149" i="18"/>
  <c r="K149" i="18"/>
  <c r="L149" i="18"/>
  <c r="B150" i="18"/>
  <c r="C150" i="18"/>
  <c r="D150" i="18"/>
  <c r="E150" i="18"/>
  <c r="F150" i="18"/>
  <c r="G150" i="18"/>
  <c r="H150" i="18"/>
  <c r="I150" i="18"/>
  <c r="J150" i="18"/>
  <c r="K150" i="18"/>
  <c r="L150" i="18"/>
  <c r="B151" i="18"/>
  <c r="C151" i="18"/>
  <c r="D151" i="18"/>
  <c r="E151" i="18"/>
  <c r="F151" i="18"/>
  <c r="G151" i="18"/>
  <c r="H151" i="18"/>
  <c r="I151" i="18"/>
  <c r="J151" i="18"/>
  <c r="K151" i="18"/>
  <c r="L151" i="18"/>
  <c r="B152" i="18"/>
  <c r="C152" i="18"/>
  <c r="D152" i="18"/>
  <c r="E152" i="18"/>
  <c r="F152" i="18"/>
  <c r="G152" i="18"/>
  <c r="H152" i="18"/>
  <c r="I152" i="18"/>
  <c r="J152" i="18"/>
  <c r="K152" i="18"/>
  <c r="L152" i="18"/>
  <c r="B153" i="18"/>
  <c r="C153" i="18"/>
  <c r="D153" i="18"/>
  <c r="E153" i="18"/>
  <c r="F153" i="18"/>
  <c r="G153" i="18"/>
  <c r="H153" i="18"/>
  <c r="I153" i="18"/>
  <c r="J153" i="18"/>
  <c r="K153" i="18"/>
  <c r="L153" i="18"/>
  <c r="B154" i="18"/>
  <c r="C154" i="18"/>
  <c r="D154" i="18"/>
  <c r="E154" i="18"/>
  <c r="F154" i="18"/>
  <c r="G154" i="18"/>
  <c r="H154" i="18"/>
  <c r="I154" i="18"/>
  <c r="J154" i="18"/>
  <c r="K154" i="18"/>
  <c r="L154" i="18"/>
  <c r="B155" i="18"/>
  <c r="C155" i="18"/>
  <c r="D155" i="18"/>
  <c r="E155" i="18"/>
  <c r="F155" i="18"/>
  <c r="G155" i="18"/>
  <c r="H155" i="18"/>
  <c r="I155" i="18"/>
  <c r="J155" i="18"/>
  <c r="K155" i="18"/>
  <c r="L155" i="18"/>
  <c r="B156" i="18"/>
  <c r="C156" i="18"/>
  <c r="D156" i="18"/>
  <c r="E156" i="18"/>
  <c r="F156" i="18"/>
  <c r="G156" i="18"/>
  <c r="H156" i="18"/>
  <c r="I156" i="18"/>
  <c r="J156" i="18"/>
  <c r="K156" i="18"/>
  <c r="L156" i="18"/>
  <c r="B157" i="18"/>
  <c r="C157" i="18"/>
  <c r="D157" i="18"/>
  <c r="E157" i="18"/>
  <c r="F157" i="18"/>
  <c r="G157" i="18"/>
  <c r="H157" i="18"/>
  <c r="I157" i="18"/>
  <c r="J157" i="18"/>
  <c r="K157" i="18"/>
  <c r="L157" i="18"/>
  <c r="B158" i="18"/>
  <c r="C158" i="18"/>
  <c r="D158" i="18"/>
  <c r="E158" i="18"/>
  <c r="F158" i="18"/>
  <c r="G158" i="18"/>
  <c r="H158" i="18"/>
  <c r="I158" i="18"/>
  <c r="J158" i="18"/>
  <c r="K158" i="18"/>
  <c r="L158" i="18"/>
  <c r="B159" i="18"/>
  <c r="C159" i="18"/>
  <c r="D159" i="18"/>
  <c r="E159" i="18"/>
  <c r="F159" i="18"/>
  <c r="G159" i="18"/>
  <c r="H159" i="18"/>
  <c r="I159" i="18"/>
  <c r="J159" i="18"/>
  <c r="K159" i="18"/>
  <c r="L159" i="18"/>
  <c r="B160" i="18"/>
  <c r="C160" i="18"/>
  <c r="D160" i="18"/>
  <c r="E160" i="18"/>
  <c r="F160" i="18"/>
  <c r="G160" i="18"/>
  <c r="H160" i="18"/>
  <c r="I160" i="18"/>
  <c r="J160" i="18"/>
  <c r="K160" i="18"/>
  <c r="L160" i="18"/>
  <c r="B161" i="18"/>
  <c r="C161" i="18"/>
  <c r="D161" i="18"/>
  <c r="E161" i="18"/>
  <c r="F161" i="18"/>
  <c r="G161" i="18"/>
  <c r="H161" i="18"/>
  <c r="I161" i="18"/>
  <c r="J161" i="18"/>
  <c r="K161" i="18"/>
  <c r="L161" i="18"/>
  <c r="B162" i="18"/>
  <c r="C162" i="18"/>
  <c r="D162" i="18"/>
  <c r="E162" i="18"/>
  <c r="F162" i="18"/>
  <c r="G162" i="18"/>
  <c r="H162" i="18"/>
  <c r="I162" i="18"/>
  <c r="J162" i="18"/>
  <c r="K162" i="18"/>
  <c r="L162" i="18"/>
  <c r="B163" i="18"/>
  <c r="C163" i="18"/>
  <c r="D163" i="18"/>
  <c r="E163" i="18"/>
  <c r="F163" i="18"/>
  <c r="G163" i="18"/>
  <c r="H163" i="18"/>
  <c r="I163" i="18"/>
  <c r="J163" i="18"/>
  <c r="K163" i="18"/>
  <c r="L163" i="18"/>
  <c r="B164" i="18"/>
  <c r="C164" i="18"/>
  <c r="D164" i="18"/>
  <c r="E164" i="18"/>
  <c r="F164" i="18"/>
  <c r="G164" i="18"/>
  <c r="H164" i="18"/>
  <c r="I164" i="18"/>
  <c r="J164" i="18"/>
  <c r="K164" i="18"/>
  <c r="L164" i="18"/>
  <c r="B165" i="18"/>
  <c r="C165" i="18"/>
  <c r="D165" i="18"/>
  <c r="E165" i="18"/>
  <c r="F165" i="18"/>
  <c r="G165" i="18"/>
  <c r="H165" i="18"/>
  <c r="I165" i="18"/>
  <c r="J165" i="18"/>
  <c r="K165" i="18"/>
  <c r="L165" i="18"/>
  <c r="B166" i="18"/>
  <c r="C166" i="18"/>
  <c r="D166" i="18"/>
  <c r="E166" i="18"/>
  <c r="F166" i="18"/>
  <c r="G166" i="18"/>
  <c r="H166" i="18"/>
  <c r="I166" i="18"/>
  <c r="J166" i="18"/>
  <c r="K166" i="18"/>
  <c r="L166" i="18"/>
  <c r="B167" i="18"/>
  <c r="C167" i="18"/>
  <c r="D167" i="18"/>
  <c r="E167" i="18"/>
  <c r="F167" i="18"/>
  <c r="G167" i="18"/>
  <c r="H167" i="18"/>
  <c r="I167" i="18"/>
  <c r="J167" i="18"/>
  <c r="K167" i="18"/>
  <c r="L167" i="18"/>
  <c r="B168" i="18"/>
  <c r="C168" i="18"/>
  <c r="D168" i="18"/>
  <c r="E168" i="18"/>
  <c r="F168" i="18"/>
  <c r="G168" i="18"/>
  <c r="H168" i="18"/>
  <c r="I168" i="18"/>
  <c r="J168" i="18"/>
  <c r="K168" i="18"/>
  <c r="L168" i="18"/>
  <c r="B169" i="18"/>
  <c r="C169" i="18"/>
  <c r="D169" i="18"/>
  <c r="E169" i="18"/>
  <c r="F169" i="18"/>
  <c r="G169" i="18"/>
  <c r="H169" i="18"/>
  <c r="I169" i="18"/>
  <c r="J169" i="18"/>
  <c r="K169" i="18"/>
  <c r="L169" i="18"/>
  <c r="B170" i="18"/>
  <c r="C170" i="18"/>
  <c r="D170" i="18"/>
  <c r="E170" i="18"/>
  <c r="F170" i="18"/>
  <c r="G170" i="18"/>
  <c r="H170" i="18"/>
  <c r="I170" i="18"/>
  <c r="J170" i="18"/>
  <c r="K170" i="18"/>
  <c r="L170" i="18"/>
  <c r="B171" i="18"/>
  <c r="C171" i="18"/>
  <c r="D171" i="18"/>
  <c r="E171" i="18"/>
  <c r="F171" i="18"/>
  <c r="G171" i="18"/>
  <c r="H171" i="18"/>
  <c r="I171" i="18"/>
  <c r="J171" i="18"/>
  <c r="K171" i="18"/>
  <c r="L171" i="18"/>
  <c r="B172" i="18"/>
  <c r="C172" i="18"/>
  <c r="D172" i="18"/>
  <c r="E172" i="18"/>
  <c r="F172" i="18"/>
  <c r="G172" i="18"/>
  <c r="H172" i="18"/>
  <c r="I172" i="18"/>
  <c r="J172" i="18"/>
  <c r="K172" i="18"/>
  <c r="L172" i="18"/>
  <c r="B173" i="18"/>
  <c r="C173" i="18"/>
  <c r="D173" i="18"/>
  <c r="E173" i="18"/>
  <c r="F173" i="18"/>
  <c r="G173" i="18"/>
  <c r="H173" i="18"/>
  <c r="I173" i="18"/>
  <c r="J173" i="18"/>
  <c r="K173" i="18"/>
  <c r="L173" i="18"/>
  <c r="B174" i="18"/>
  <c r="C174" i="18"/>
  <c r="D174" i="18"/>
  <c r="E174" i="18"/>
  <c r="F174" i="18"/>
  <c r="G174" i="18"/>
  <c r="H174" i="18"/>
  <c r="I174" i="18"/>
  <c r="J174" i="18"/>
  <c r="K174" i="18"/>
  <c r="L174" i="18"/>
  <c r="B175" i="18"/>
  <c r="C175" i="18"/>
  <c r="D175" i="18"/>
  <c r="E175" i="18"/>
  <c r="F175" i="18"/>
  <c r="G175" i="18"/>
  <c r="H175" i="18"/>
  <c r="I175" i="18"/>
  <c r="J175" i="18"/>
  <c r="K175" i="18"/>
  <c r="L175" i="18"/>
  <c r="B176" i="18"/>
  <c r="C176" i="18"/>
  <c r="D176" i="18"/>
  <c r="E176" i="18"/>
  <c r="F176" i="18"/>
  <c r="G176" i="18"/>
  <c r="H176" i="18"/>
  <c r="I176" i="18"/>
  <c r="J176" i="18"/>
  <c r="K176" i="18"/>
  <c r="L176" i="18"/>
  <c r="B177" i="18"/>
  <c r="C177" i="18"/>
  <c r="D177" i="18"/>
  <c r="E177" i="18"/>
  <c r="F177" i="18"/>
  <c r="G177" i="18"/>
  <c r="H177" i="18"/>
  <c r="I177" i="18"/>
  <c r="J177" i="18"/>
  <c r="K177" i="18"/>
  <c r="L177" i="18"/>
  <c r="B178" i="18"/>
  <c r="C178" i="18"/>
  <c r="D178" i="18"/>
  <c r="E178" i="18"/>
  <c r="F178" i="18"/>
  <c r="G178" i="18"/>
  <c r="H178" i="18"/>
  <c r="I178" i="18"/>
  <c r="J178" i="18"/>
  <c r="K178" i="18"/>
  <c r="L178" i="18"/>
  <c r="B179" i="18"/>
  <c r="C179" i="18"/>
  <c r="D179" i="18"/>
  <c r="E179" i="18"/>
  <c r="F179" i="18"/>
  <c r="G179" i="18"/>
  <c r="H179" i="18"/>
  <c r="I179" i="18"/>
  <c r="J179" i="18"/>
  <c r="K179" i="18"/>
  <c r="L179" i="18"/>
  <c r="B180" i="18"/>
  <c r="C180" i="18"/>
  <c r="D180" i="18"/>
  <c r="E180" i="18"/>
  <c r="F180" i="18"/>
  <c r="G180" i="18"/>
  <c r="H180" i="18"/>
  <c r="I180" i="18"/>
  <c r="J180" i="18"/>
  <c r="K180" i="18"/>
  <c r="L180" i="18"/>
  <c r="B181" i="18"/>
  <c r="C181" i="18"/>
  <c r="D181" i="18"/>
  <c r="E181" i="18"/>
  <c r="F181" i="18"/>
  <c r="G181" i="18"/>
  <c r="H181" i="18"/>
  <c r="I181" i="18"/>
  <c r="J181" i="18"/>
  <c r="K181" i="18"/>
  <c r="L181" i="18"/>
  <c r="B182" i="18"/>
  <c r="C182" i="18"/>
  <c r="D182" i="18"/>
  <c r="E182" i="18"/>
  <c r="F182" i="18"/>
  <c r="G182" i="18"/>
  <c r="H182" i="18"/>
  <c r="I182" i="18"/>
  <c r="J182" i="18"/>
  <c r="K182" i="18"/>
  <c r="L182" i="18"/>
  <c r="B183" i="18"/>
  <c r="C183" i="18"/>
  <c r="D183" i="18"/>
  <c r="E183" i="18"/>
  <c r="F183" i="18"/>
  <c r="G183" i="18"/>
  <c r="H183" i="18"/>
  <c r="I183" i="18"/>
  <c r="J183" i="18"/>
  <c r="K183" i="18"/>
  <c r="L183" i="18"/>
  <c r="B184" i="18"/>
  <c r="C184" i="18"/>
  <c r="D184" i="18"/>
  <c r="E184" i="18"/>
  <c r="F184" i="18"/>
  <c r="G184" i="18"/>
  <c r="H184" i="18"/>
  <c r="I184" i="18"/>
  <c r="J184" i="18"/>
  <c r="K184" i="18"/>
  <c r="L184" i="18"/>
  <c r="B185" i="18"/>
  <c r="C185" i="18"/>
  <c r="D185" i="18"/>
  <c r="E185" i="18"/>
  <c r="F185" i="18"/>
  <c r="G185" i="18"/>
  <c r="H185" i="18"/>
  <c r="I185" i="18"/>
  <c r="J185" i="18"/>
  <c r="K185" i="18"/>
  <c r="L185" i="18"/>
  <c r="B186" i="18"/>
  <c r="C186" i="18"/>
  <c r="D186" i="18"/>
  <c r="E186" i="18"/>
  <c r="F186" i="18"/>
  <c r="G186" i="18"/>
  <c r="H186" i="18"/>
  <c r="I186" i="18"/>
  <c r="J186" i="18"/>
  <c r="K186" i="18"/>
  <c r="L186" i="18"/>
  <c r="B187" i="18"/>
  <c r="C187" i="18"/>
  <c r="D187" i="18"/>
  <c r="E187" i="18"/>
  <c r="F187" i="18"/>
  <c r="G187" i="18"/>
  <c r="H187" i="18"/>
  <c r="I187" i="18"/>
  <c r="J187" i="18"/>
  <c r="K187" i="18"/>
  <c r="L187" i="18"/>
  <c r="B188" i="18"/>
  <c r="C188" i="18"/>
  <c r="D188" i="18"/>
  <c r="E188" i="18"/>
  <c r="F188" i="18"/>
  <c r="G188" i="18"/>
  <c r="H188" i="18"/>
  <c r="I188" i="18"/>
  <c r="J188" i="18"/>
  <c r="K188" i="18"/>
  <c r="L188" i="18"/>
  <c r="B189" i="18"/>
  <c r="C189" i="18"/>
  <c r="D189" i="18"/>
  <c r="E189" i="18"/>
  <c r="F189" i="18"/>
  <c r="G189" i="18"/>
  <c r="H189" i="18"/>
  <c r="I189" i="18"/>
  <c r="J189" i="18"/>
  <c r="K189" i="18"/>
  <c r="L189" i="18"/>
  <c r="B190" i="18"/>
  <c r="C190" i="18"/>
  <c r="D190" i="18"/>
  <c r="E190" i="18"/>
  <c r="F190" i="18"/>
  <c r="G190" i="18"/>
  <c r="H190" i="18"/>
  <c r="I190" i="18"/>
  <c r="J190" i="18"/>
  <c r="K190" i="18"/>
  <c r="L190" i="18"/>
  <c r="B191" i="18"/>
  <c r="C191" i="18"/>
  <c r="D191" i="18"/>
  <c r="E191" i="18"/>
  <c r="F191" i="18"/>
  <c r="G191" i="18"/>
  <c r="H191" i="18"/>
  <c r="I191" i="18"/>
  <c r="J191" i="18"/>
  <c r="K191" i="18"/>
  <c r="L191" i="18"/>
  <c r="B192" i="18"/>
  <c r="C192" i="18"/>
  <c r="D192" i="18"/>
  <c r="E192" i="18"/>
  <c r="F192" i="18"/>
  <c r="G192" i="18"/>
  <c r="H192" i="18"/>
  <c r="I192" i="18"/>
  <c r="J192" i="18"/>
  <c r="K192" i="18"/>
  <c r="L192" i="18"/>
  <c r="B193" i="18"/>
  <c r="C193" i="18"/>
  <c r="D193" i="18"/>
  <c r="E193" i="18"/>
  <c r="F193" i="18"/>
  <c r="G193" i="18"/>
  <c r="H193" i="18"/>
  <c r="I193" i="18"/>
  <c r="J193" i="18"/>
  <c r="K193" i="18"/>
  <c r="L193" i="18"/>
  <c r="B194" i="18"/>
  <c r="C194" i="18"/>
  <c r="D194" i="18"/>
  <c r="E194" i="18"/>
  <c r="F194" i="18"/>
  <c r="G194" i="18"/>
  <c r="H194" i="18"/>
  <c r="I194" i="18"/>
  <c r="J194" i="18"/>
  <c r="K194" i="18"/>
  <c r="L194" i="18"/>
  <c r="B195" i="18"/>
  <c r="C195" i="18"/>
  <c r="D195" i="18"/>
  <c r="E195" i="18"/>
  <c r="F195" i="18"/>
  <c r="G195" i="18"/>
  <c r="H195" i="18"/>
  <c r="I195" i="18"/>
  <c r="J195" i="18"/>
  <c r="K195" i="18"/>
  <c r="L195" i="18"/>
  <c r="B196" i="18"/>
  <c r="C196" i="18"/>
  <c r="D196" i="18"/>
  <c r="E196" i="18"/>
  <c r="F196" i="18"/>
  <c r="G196" i="18"/>
  <c r="H196" i="18"/>
  <c r="I196" i="18"/>
  <c r="J196" i="18"/>
  <c r="K196" i="18"/>
  <c r="L196" i="18"/>
  <c r="B197" i="18"/>
  <c r="C197" i="18"/>
  <c r="D197" i="18"/>
  <c r="E197" i="18"/>
  <c r="F197" i="18"/>
  <c r="G197" i="18"/>
  <c r="H197" i="18"/>
  <c r="I197" i="18"/>
  <c r="J197" i="18"/>
  <c r="K197" i="18"/>
  <c r="L197" i="18"/>
  <c r="B198" i="18"/>
  <c r="C198" i="18"/>
  <c r="D198" i="18"/>
  <c r="E198" i="18"/>
  <c r="F198" i="18"/>
  <c r="G198" i="18"/>
  <c r="H198" i="18"/>
  <c r="I198" i="18"/>
  <c r="J198" i="18"/>
  <c r="K198" i="18"/>
  <c r="L198" i="18"/>
  <c r="B199" i="18"/>
  <c r="C199" i="18"/>
  <c r="D199" i="18"/>
  <c r="E199" i="18"/>
  <c r="F199" i="18"/>
  <c r="G199" i="18"/>
  <c r="H199" i="18"/>
  <c r="I199" i="18"/>
  <c r="J199" i="18"/>
  <c r="K199" i="18"/>
  <c r="L199" i="18"/>
  <c r="B200" i="18"/>
  <c r="C200" i="18"/>
  <c r="D200" i="18"/>
  <c r="E200" i="18"/>
  <c r="F200" i="18"/>
  <c r="G200" i="18"/>
  <c r="H200" i="18"/>
  <c r="I200" i="18"/>
  <c r="J200" i="18"/>
  <c r="K200" i="18"/>
  <c r="L200" i="18"/>
  <c r="B201" i="18"/>
  <c r="C201" i="18"/>
  <c r="D201" i="18"/>
  <c r="E201" i="18"/>
  <c r="F201" i="18"/>
  <c r="G201" i="18"/>
  <c r="H201" i="18"/>
  <c r="I201" i="18"/>
  <c r="J201" i="18"/>
  <c r="K201" i="18"/>
  <c r="L201" i="18"/>
  <c r="B202" i="18"/>
  <c r="C202" i="18"/>
  <c r="D202" i="18"/>
  <c r="E202" i="18"/>
  <c r="F202" i="18"/>
  <c r="G202" i="18"/>
  <c r="H202" i="18"/>
  <c r="I202" i="18"/>
  <c r="J202" i="18"/>
  <c r="K202" i="18"/>
  <c r="L202" i="18"/>
  <c r="B203" i="18"/>
  <c r="C203" i="18"/>
  <c r="D203" i="18"/>
  <c r="E203" i="18"/>
  <c r="F203" i="18"/>
  <c r="G203" i="18"/>
  <c r="H203" i="18"/>
  <c r="I203" i="18"/>
  <c r="J203" i="18"/>
  <c r="K203" i="18"/>
  <c r="L203" i="18"/>
  <c r="B204" i="18"/>
  <c r="C204" i="18"/>
  <c r="D204" i="18"/>
  <c r="E204" i="18"/>
  <c r="F204" i="18"/>
  <c r="G204" i="18"/>
  <c r="H204" i="18"/>
  <c r="I204" i="18"/>
  <c r="J204" i="18"/>
  <c r="K204" i="18"/>
  <c r="L204" i="18"/>
  <c r="B205" i="18"/>
  <c r="C205" i="18"/>
  <c r="D205" i="18"/>
  <c r="E205" i="18"/>
  <c r="F205" i="18"/>
  <c r="G205" i="18"/>
  <c r="H205" i="18"/>
  <c r="I205" i="18"/>
  <c r="J205" i="18"/>
  <c r="K205" i="18"/>
  <c r="L205" i="18"/>
  <c r="B206" i="18"/>
  <c r="C206" i="18"/>
  <c r="D206" i="18"/>
  <c r="E206" i="18"/>
  <c r="F206" i="18"/>
  <c r="G206" i="18"/>
  <c r="H206" i="18"/>
  <c r="I206" i="18"/>
  <c r="J206" i="18"/>
  <c r="K206" i="18"/>
  <c r="L206" i="18"/>
  <c r="B207" i="18"/>
  <c r="C207" i="18"/>
  <c r="D207" i="18"/>
  <c r="E207" i="18"/>
  <c r="F207" i="18"/>
  <c r="G207" i="18"/>
  <c r="H207" i="18"/>
  <c r="I207" i="18"/>
  <c r="J207" i="18"/>
  <c r="K207" i="18"/>
  <c r="L207" i="18"/>
  <c r="B208" i="18"/>
  <c r="C208" i="18"/>
  <c r="D208" i="18"/>
  <c r="E208" i="18"/>
  <c r="F208" i="18"/>
  <c r="G208" i="18"/>
  <c r="H208" i="18"/>
  <c r="I208" i="18"/>
  <c r="J208" i="18"/>
  <c r="K208" i="18"/>
  <c r="L208" i="18"/>
  <c r="B209" i="18"/>
  <c r="C209" i="18"/>
  <c r="D209" i="18"/>
  <c r="E209" i="18"/>
  <c r="F209" i="18"/>
  <c r="G209" i="18"/>
  <c r="H209" i="18"/>
  <c r="I209" i="18"/>
  <c r="J209" i="18"/>
  <c r="K209" i="18"/>
  <c r="L209" i="18"/>
  <c r="B210" i="18"/>
  <c r="C210" i="18"/>
  <c r="D210" i="18"/>
  <c r="E210" i="18"/>
  <c r="F210" i="18"/>
  <c r="G210" i="18"/>
  <c r="H210" i="18"/>
  <c r="I210" i="18"/>
  <c r="J210" i="18"/>
  <c r="K210" i="18"/>
  <c r="L210" i="18"/>
  <c r="B211" i="18"/>
  <c r="C211" i="18"/>
  <c r="D211" i="18"/>
  <c r="E211" i="18"/>
  <c r="F211" i="18"/>
  <c r="G211" i="18"/>
  <c r="H211" i="18"/>
  <c r="I211" i="18"/>
  <c r="J211" i="18"/>
  <c r="K211" i="18"/>
  <c r="L211" i="18"/>
  <c r="B212" i="18"/>
  <c r="C212" i="18"/>
  <c r="D212" i="18"/>
  <c r="E212" i="18"/>
  <c r="F212" i="18"/>
  <c r="G212" i="18"/>
  <c r="H212" i="18"/>
  <c r="I212" i="18"/>
  <c r="J212" i="18"/>
  <c r="K212" i="18"/>
  <c r="L212" i="18"/>
  <c r="B213" i="18"/>
  <c r="C213" i="18"/>
  <c r="D213" i="18"/>
  <c r="E213" i="18"/>
  <c r="F213" i="18"/>
  <c r="G213" i="18"/>
  <c r="H213" i="18"/>
  <c r="I213" i="18"/>
  <c r="J213" i="18"/>
  <c r="K213" i="18"/>
  <c r="L213" i="18"/>
  <c r="B214" i="18"/>
  <c r="C214" i="18"/>
  <c r="D214" i="18"/>
  <c r="E214" i="18"/>
  <c r="F214" i="18"/>
  <c r="G214" i="18"/>
  <c r="H214" i="18"/>
  <c r="I214" i="18"/>
  <c r="J214" i="18"/>
  <c r="K214" i="18"/>
  <c r="L214" i="18"/>
  <c r="B215" i="18"/>
  <c r="C215" i="18"/>
  <c r="D215" i="18"/>
  <c r="E215" i="18"/>
  <c r="F215" i="18"/>
  <c r="G215" i="18"/>
  <c r="H215" i="18"/>
  <c r="I215" i="18"/>
  <c r="J215" i="18"/>
  <c r="K215" i="18"/>
  <c r="L215" i="18"/>
  <c r="B216" i="18"/>
  <c r="C216" i="18"/>
  <c r="D216" i="18"/>
  <c r="E216" i="18"/>
  <c r="F216" i="18"/>
  <c r="G216" i="18"/>
  <c r="H216" i="18"/>
  <c r="I216" i="18"/>
  <c r="J216" i="18"/>
  <c r="K216" i="18"/>
  <c r="L216" i="18"/>
  <c r="B217" i="18"/>
  <c r="C217" i="18"/>
  <c r="D217" i="18"/>
  <c r="E217" i="18"/>
  <c r="F217" i="18"/>
  <c r="G217" i="18"/>
  <c r="H217" i="18"/>
  <c r="I217" i="18"/>
  <c r="J217" i="18"/>
  <c r="K217" i="18"/>
  <c r="L217" i="18"/>
  <c r="B218" i="18"/>
  <c r="C218" i="18"/>
  <c r="D218" i="18"/>
  <c r="E218" i="18"/>
  <c r="F218" i="18"/>
  <c r="G218" i="18"/>
  <c r="H218" i="18"/>
  <c r="I218" i="18"/>
  <c r="J218" i="18"/>
  <c r="K218" i="18"/>
  <c r="L218" i="18"/>
  <c r="B219" i="18"/>
  <c r="C219" i="18"/>
  <c r="D219" i="18"/>
  <c r="E219" i="18"/>
  <c r="F219" i="18"/>
  <c r="G219" i="18"/>
  <c r="H219" i="18"/>
  <c r="I219" i="18"/>
  <c r="J219" i="18"/>
  <c r="K219" i="18"/>
  <c r="L219" i="18"/>
  <c r="B220" i="18"/>
  <c r="C220" i="18"/>
  <c r="D220" i="18"/>
  <c r="E220" i="18"/>
  <c r="F220" i="18"/>
  <c r="G220" i="18"/>
  <c r="H220" i="18"/>
  <c r="I220" i="18"/>
  <c r="J220" i="18"/>
  <c r="K220" i="18"/>
  <c r="L220" i="18"/>
  <c r="B221" i="18"/>
  <c r="C221" i="18"/>
  <c r="D221" i="18"/>
  <c r="E221" i="18"/>
  <c r="F221" i="18"/>
  <c r="G221" i="18"/>
  <c r="H221" i="18"/>
  <c r="I221" i="18"/>
  <c r="J221" i="18"/>
  <c r="K221" i="18"/>
  <c r="L221" i="18"/>
  <c r="B222" i="18"/>
  <c r="C222" i="18"/>
  <c r="D222" i="18"/>
  <c r="E222" i="18"/>
  <c r="F222" i="18"/>
  <c r="G222" i="18"/>
  <c r="H222" i="18"/>
  <c r="I222" i="18"/>
  <c r="J222" i="18"/>
  <c r="K222" i="18"/>
  <c r="L222" i="18"/>
  <c r="B223" i="18"/>
  <c r="C223" i="18"/>
  <c r="D223" i="18"/>
  <c r="E223" i="18"/>
  <c r="F223" i="18"/>
  <c r="G223" i="18"/>
  <c r="H223" i="18"/>
  <c r="I223" i="18"/>
  <c r="J223" i="18"/>
  <c r="K223" i="18"/>
  <c r="L223" i="18"/>
  <c r="B224" i="18"/>
  <c r="C224" i="18"/>
  <c r="D224" i="18"/>
  <c r="E224" i="18"/>
  <c r="F224" i="18"/>
  <c r="G224" i="18"/>
  <c r="H224" i="18"/>
  <c r="I224" i="18"/>
  <c r="J224" i="18"/>
  <c r="K224" i="18"/>
  <c r="L224" i="18"/>
  <c r="B225" i="18"/>
  <c r="C225" i="18"/>
  <c r="D225" i="18"/>
  <c r="E225" i="18"/>
  <c r="F225" i="18"/>
  <c r="G225" i="18"/>
  <c r="H225" i="18"/>
  <c r="I225" i="18"/>
  <c r="J225" i="18"/>
  <c r="K225" i="18"/>
  <c r="L225" i="18"/>
  <c r="B226" i="18"/>
  <c r="C226" i="18"/>
  <c r="D226" i="18"/>
  <c r="E226" i="18"/>
  <c r="F226" i="18"/>
  <c r="G226" i="18"/>
  <c r="H226" i="18"/>
  <c r="I226" i="18"/>
  <c r="J226" i="18"/>
  <c r="K226" i="18"/>
  <c r="L226" i="18"/>
  <c r="B227" i="18"/>
  <c r="C227" i="18"/>
  <c r="D227" i="18"/>
  <c r="E227" i="18"/>
  <c r="F227" i="18"/>
  <c r="G227" i="18"/>
  <c r="H227" i="18"/>
  <c r="I227" i="18"/>
  <c r="J227" i="18"/>
  <c r="K227" i="18"/>
  <c r="L227" i="18"/>
  <c r="B228" i="18"/>
  <c r="C228" i="18"/>
  <c r="D228" i="18"/>
  <c r="E228" i="18"/>
  <c r="F228" i="18"/>
  <c r="G228" i="18"/>
  <c r="H228" i="18"/>
  <c r="I228" i="18"/>
  <c r="J228" i="18"/>
  <c r="K228" i="18"/>
  <c r="L228" i="18"/>
  <c r="B229" i="18"/>
  <c r="C229" i="18"/>
  <c r="D229" i="18"/>
  <c r="E229" i="18"/>
  <c r="F229" i="18"/>
  <c r="G229" i="18"/>
  <c r="H229" i="18"/>
  <c r="I229" i="18"/>
  <c r="J229" i="18"/>
  <c r="K229" i="18"/>
  <c r="L229" i="18"/>
  <c r="B230" i="18"/>
  <c r="C230" i="18"/>
  <c r="D230" i="18"/>
  <c r="E230" i="18"/>
  <c r="F230" i="18"/>
  <c r="G230" i="18"/>
  <c r="H230" i="18"/>
  <c r="I230" i="18"/>
  <c r="J230" i="18"/>
  <c r="K230" i="18"/>
  <c r="L230" i="18"/>
  <c r="B231" i="18"/>
  <c r="C231" i="18"/>
  <c r="D231" i="18"/>
  <c r="E231" i="18"/>
  <c r="F231" i="18"/>
  <c r="G231" i="18"/>
  <c r="H231" i="18"/>
  <c r="I231" i="18"/>
  <c r="J231" i="18"/>
  <c r="K231" i="18"/>
  <c r="L231" i="18"/>
  <c r="B232" i="18"/>
  <c r="C232" i="18"/>
  <c r="D232" i="18"/>
  <c r="E232" i="18"/>
  <c r="F232" i="18"/>
  <c r="G232" i="18"/>
  <c r="H232" i="18"/>
  <c r="I232" i="18"/>
  <c r="J232" i="18"/>
  <c r="K232" i="18"/>
  <c r="L232" i="18"/>
  <c r="B233" i="18"/>
  <c r="C233" i="18"/>
  <c r="D233" i="18"/>
  <c r="E233" i="18"/>
  <c r="F233" i="18"/>
  <c r="G233" i="18"/>
  <c r="H233" i="18"/>
  <c r="I233" i="18"/>
  <c r="J233" i="18"/>
  <c r="K233" i="18"/>
  <c r="L233" i="18"/>
  <c r="B234" i="18"/>
  <c r="C234" i="18"/>
  <c r="D234" i="18"/>
  <c r="E234" i="18"/>
  <c r="F234" i="18"/>
  <c r="G234" i="18"/>
  <c r="H234" i="18"/>
  <c r="I234" i="18"/>
  <c r="J234" i="18"/>
  <c r="K234" i="18"/>
  <c r="L234" i="18"/>
  <c r="B235" i="18"/>
  <c r="C235" i="18"/>
  <c r="D235" i="18"/>
  <c r="E235" i="18"/>
  <c r="F235" i="18"/>
  <c r="G235" i="18"/>
  <c r="H235" i="18"/>
  <c r="I235" i="18"/>
  <c r="J235" i="18"/>
  <c r="K235" i="18"/>
  <c r="L235" i="18"/>
  <c r="B236" i="18"/>
  <c r="C236" i="18"/>
  <c r="D236" i="18"/>
  <c r="E236" i="18"/>
  <c r="F236" i="18"/>
  <c r="G236" i="18"/>
  <c r="H236" i="18"/>
  <c r="I236" i="18"/>
  <c r="J236" i="18"/>
  <c r="K236" i="18"/>
  <c r="L236" i="18"/>
  <c r="B237" i="18"/>
  <c r="C237" i="18"/>
  <c r="D237" i="18"/>
  <c r="E237" i="18"/>
  <c r="F237" i="18"/>
  <c r="G237" i="18"/>
  <c r="H237" i="18"/>
  <c r="I237" i="18"/>
  <c r="J237" i="18"/>
  <c r="K237" i="18"/>
  <c r="L237" i="18"/>
  <c r="B238" i="18"/>
  <c r="C238" i="18"/>
  <c r="D238" i="18"/>
  <c r="E238" i="18"/>
  <c r="F238" i="18"/>
  <c r="G238" i="18"/>
  <c r="H238" i="18"/>
  <c r="I238" i="18"/>
  <c r="J238" i="18"/>
  <c r="K238" i="18"/>
  <c r="L238" i="18"/>
  <c r="B239" i="18"/>
  <c r="C239" i="18"/>
  <c r="D239" i="18"/>
  <c r="E239" i="18"/>
  <c r="F239" i="18"/>
  <c r="G239" i="18"/>
  <c r="H239" i="18"/>
  <c r="I239" i="18"/>
  <c r="J239" i="18"/>
  <c r="K239" i="18"/>
  <c r="L239" i="18"/>
  <c r="B240" i="18"/>
  <c r="C240" i="18"/>
  <c r="D240" i="18"/>
  <c r="E240" i="18"/>
  <c r="F240" i="18"/>
  <c r="G240" i="18"/>
  <c r="H240" i="18"/>
  <c r="I240" i="18"/>
  <c r="J240" i="18"/>
  <c r="K240" i="18"/>
  <c r="L240" i="18"/>
  <c r="B241" i="18"/>
  <c r="C241" i="18"/>
  <c r="D241" i="18"/>
  <c r="E241" i="18"/>
  <c r="F241" i="18"/>
  <c r="G241" i="18"/>
  <c r="H241" i="18"/>
  <c r="I241" i="18"/>
  <c r="J241" i="18"/>
  <c r="K241" i="18"/>
  <c r="L241" i="18"/>
  <c r="B242" i="18"/>
  <c r="C242" i="18"/>
  <c r="D242" i="18"/>
  <c r="E242" i="18"/>
  <c r="F242" i="18"/>
  <c r="G242" i="18"/>
  <c r="H242" i="18"/>
  <c r="I242" i="18"/>
  <c r="J242" i="18"/>
  <c r="K242" i="18"/>
  <c r="L242" i="18"/>
  <c r="B243" i="18"/>
  <c r="C243" i="18"/>
  <c r="D243" i="18"/>
  <c r="E243" i="18"/>
  <c r="F243" i="18"/>
  <c r="G243" i="18"/>
  <c r="H243" i="18"/>
  <c r="I243" i="18"/>
  <c r="J243" i="18"/>
  <c r="K243" i="18"/>
  <c r="L243" i="18"/>
  <c r="B244" i="18"/>
  <c r="C244" i="18"/>
  <c r="D244" i="18"/>
  <c r="E244" i="18"/>
  <c r="F244" i="18"/>
  <c r="G244" i="18"/>
  <c r="H244" i="18"/>
  <c r="I244" i="18"/>
  <c r="J244" i="18"/>
  <c r="K244" i="18"/>
  <c r="L244" i="18"/>
  <c r="B245" i="18"/>
  <c r="C245" i="18"/>
  <c r="D245" i="18"/>
  <c r="E245" i="18"/>
  <c r="F245" i="18"/>
  <c r="G245" i="18"/>
  <c r="H245" i="18"/>
  <c r="I245" i="18"/>
  <c r="J245" i="18"/>
  <c r="K245" i="18"/>
  <c r="L245" i="18"/>
  <c r="B246" i="18"/>
  <c r="C246" i="18"/>
  <c r="D246" i="18"/>
  <c r="E246" i="18"/>
  <c r="F246" i="18"/>
  <c r="G246" i="18"/>
  <c r="H246" i="18"/>
  <c r="I246" i="18"/>
  <c r="J246" i="18"/>
  <c r="K246" i="18"/>
  <c r="L246" i="18"/>
  <c r="B247" i="18"/>
  <c r="C247" i="18"/>
  <c r="D247" i="18"/>
  <c r="E247" i="18"/>
  <c r="F247" i="18"/>
  <c r="G247" i="18"/>
  <c r="H247" i="18"/>
  <c r="I247" i="18"/>
  <c r="J247" i="18"/>
  <c r="K247" i="18"/>
  <c r="L247" i="18"/>
  <c r="B248" i="18"/>
  <c r="C248" i="18"/>
  <c r="D248" i="18"/>
  <c r="E248" i="18"/>
  <c r="F248" i="18"/>
  <c r="G248" i="18"/>
  <c r="H248" i="18"/>
  <c r="I248" i="18"/>
  <c r="J248" i="18"/>
  <c r="K248" i="18"/>
  <c r="L248" i="18"/>
  <c r="B249" i="18"/>
  <c r="C249" i="18"/>
  <c r="D249" i="18"/>
  <c r="E249" i="18"/>
  <c r="F249" i="18"/>
  <c r="G249" i="18"/>
  <c r="H249" i="18"/>
  <c r="I249" i="18"/>
  <c r="J249" i="18"/>
  <c r="K249" i="18"/>
  <c r="L249" i="18"/>
  <c r="B250" i="18"/>
  <c r="C250" i="18"/>
  <c r="D250" i="18"/>
  <c r="E250" i="18"/>
  <c r="F250" i="18"/>
  <c r="G250" i="18"/>
  <c r="H250" i="18"/>
  <c r="I250" i="18"/>
  <c r="J250" i="18"/>
  <c r="K250" i="18"/>
  <c r="L250" i="18"/>
  <c r="B251" i="18"/>
  <c r="C251" i="18"/>
  <c r="D251" i="18"/>
  <c r="E251" i="18"/>
  <c r="F251" i="18"/>
  <c r="G251" i="18"/>
  <c r="H251" i="18"/>
  <c r="I251" i="18"/>
  <c r="J251" i="18"/>
  <c r="K251" i="18"/>
  <c r="L251" i="18"/>
  <c r="B252" i="18"/>
  <c r="C252" i="18"/>
  <c r="D252" i="18"/>
  <c r="E252" i="18"/>
  <c r="F252" i="18"/>
  <c r="G252" i="18"/>
  <c r="H252" i="18"/>
  <c r="I252" i="18"/>
  <c r="J252" i="18"/>
  <c r="K252" i="18"/>
  <c r="L252" i="18"/>
  <c r="B253" i="18"/>
  <c r="C253" i="18"/>
  <c r="D253" i="18"/>
  <c r="E253" i="18"/>
  <c r="F253" i="18"/>
  <c r="G253" i="18"/>
  <c r="H253" i="18"/>
  <c r="I253" i="18"/>
  <c r="J253" i="18"/>
  <c r="K253" i="18"/>
  <c r="L253" i="18"/>
  <c r="B254" i="18"/>
  <c r="C254" i="18"/>
  <c r="D254" i="18"/>
  <c r="E254" i="18"/>
  <c r="F254" i="18"/>
  <c r="G254" i="18"/>
  <c r="H254" i="18"/>
  <c r="I254" i="18"/>
  <c r="J254" i="18"/>
  <c r="K254" i="18"/>
  <c r="L254" i="18"/>
  <c r="B255" i="18"/>
  <c r="C255" i="18"/>
  <c r="D255" i="18"/>
  <c r="E255" i="18"/>
  <c r="F255" i="18"/>
  <c r="G255" i="18"/>
  <c r="H255" i="18"/>
  <c r="I255" i="18"/>
  <c r="J255" i="18"/>
  <c r="K255" i="18"/>
  <c r="L255" i="18"/>
  <c r="B256" i="18"/>
  <c r="C256" i="18"/>
  <c r="D256" i="18"/>
  <c r="E256" i="18"/>
  <c r="F256" i="18"/>
  <c r="G256" i="18"/>
  <c r="H256" i="18"/>
  <c r="I256" i="18"/>
  <c r="J256" i="18"/>
  <c r="K256" i="18"/>
  <c r="L256" i="18"/>
  <c r="B257" i="18"/>
  <c r="C257" i="18"/>
  <c r="D257" i="18"/>
  <c r="E257" i="18"/>
  <c r="F257" i="18"/>
  <c r="G257" i="18"/>
  <c r="H257" i="18"/>
  <c r="I257" i="18"/>
  <c r="J257" i="18"/>
  <c r="K257" i="18"/>
  <c r="L257" i="18"/>
  <c r="B258" i="18"/>
  <c r="C258" i="18"/>
  <c r="D258" i="18"/>
  <c r="E258" i="18"/>
  <c r="F258" i="18"/>
  <c r="G258" i="18"/>
  <c r="H258" i="18"/>
  <c r="I258" i="18"/>
  <c r="J258" i="18"/>
  <c r="K258" i="18"/>
  <c r="L258" i="18"/>
  <c r="B259" i="18"/>
  <c r="C259" i="18"/>
  <c r="D259" i="18"/>
  <c r="E259" i="18"/>
  <c r="F259" i="18"/>
  <c r="G259" i="18"/>
  <c r="H259" i="18"/>
  <c r="I259" i="18"/>
  <c r="J259" i="18"/>
  <c r="K259" i="18"/>
  <c r="L259" i="18"/>
  <c r="B260" i="18"/>
  <c r="C260" i="18"/>
  <c r="D260" i="18"/>
  <c r="E260" i="18"/>
  <c r="F260" i="18"/>
  <c r="G260" i="18"/>
  <c r="H260" i="18"/>
  <c r="I260" i="18"/>
  <c r="J260" i="18"/>
  <c r="K260" i="18"/>
  <c r="L260" i="18"/>
  <c r="B261" i="18"/>
  <c r="C261" i="18"/>
  <c r="D261" i="18"/>
  <c r="E261" i="18"/>
  <c r="F261" i="18"/>
  <c r="G261" i="18"/>
  <c r="H261" i="18"/>
  <c r="I261" i="18"/>
  <c r="J261" i="18"/>
  <c r="K261" i="18"/>
  <c r="L261" i="18"/>
  <c r="B262" i="18"/>
  <c r="C262" i="18"/>
  <c r="D262" i="18"/>
  <c r="E262" i="18"/>
  <c r="F262" i="18"/>
  <c r="G262" i="18"/>
  <c r="H262" i="18"/>
  <c r="I262" i="18"/>
  <c r="J262" i="18"/>
  <c r="K262" i="18"/>
  <c r="L262" i="18"/>
  <c r="B263" i="18"/>
  <c r="C263" i="18"/>
  <c r="D263" i="18"/>
  <c r="E263" i="18"/>
  <c r="F263" i="18"/>
  <c r="G263" i="18"/>
  <c r="H263" i="18"/>
  <c r="I263" i="18"/>
  <c r="J263" i="18"/>
  <c r="K263" i="18"/>
  <c r="L263" i="18"/>
  <c r="B264" i="18"/>
  <c r="C264" i="18"/>
  <c r="D264" i="18"/>
  <c r="E264" i="18"/>
  <c r="F264" i="18"/>
  <c r="G264" i="18"/>
  <c r="H264" i="18"/>
  <c r="I264" i="18"/>
  <c r="J264" i="18"/>
  <c r="K264" i="18"/>
  <c r="L264" i="18"/>
  <c r="B265" i="18"/>
  <c r="C265" i="18"/>
  <c r="D265" i="18"/>
  <c r="E265" i="18"/>
  <c r="F265" i="18"/>
  <c r="G265" i="18"/>
  <c r="H265" i="18"/>
  <c r="I265" i="18"/>
  <c r="J265" i="18"/>
  <c r="K265" i="18"/>
  <c r="L265" i="18"/>
  <c r="B266" i="18"/>
  <c r="C266" i="18"/>
  <c r="D266" i="18"/>
  <c r="E266" i="18"/>
  <c r="F266" i="18"/>
  <c r="G266" i="18"/>
  <c r="H266" i="18"/>
  <c r="I266" i="18"/>
  <c r="J266" i="18"/>
  <c r="K266" i="18"/>
  <c r="L266" i="18"/>
  <c r="B267" i="18"/>
  <c r="C267" i="18"/>
  <c r="D267" i="18"/>
  <c r="E267" i="18"/>
  <c r="F267" i="18"/>
  <c r="G267" i="18"/>
  <c r="H267" i="18"/>
  <c r="I267" i="18"/>
  <c r="J267" i="18"/>
  <c r="K267" i="18"/>
  <c r="L267" i="18"/>
  <c r="B268" i="18"/>
  <c r="C268" i="18"/>
  <c r="D268" i="18"/>
  <c r="E268" i="18"/>
  <c r="F268" i="18"/>
  <c r="G268" i="18"/>
  <c r="H268" i="18"/>
  <c r="I268" i="18"/>
  <c r="J268" i="18"/>
  <c r="K268" i="18"/>
  <c r="L268" i="18"/>
  <c r="B269" i="18"/>
  <c r="C269" i="18"/>
  <c r="D269" i="18"/>
  <c r="E269" i="18"/>
  <c r="F269" i="18"/>
  <c r="G269" i="18"/>
  <c r="H269" i="18"/>
  <c r="I269" i="18"/>
  <c r="J269" i="18"/>
  <c r="K269" i="18"/>
  <c r="L269" i="18"/>
  <c r="B270" i="18"/>
  <c r="C270" i="18"/>
  <c r="D270" i="18"/>
  <c r="E270" i="18"/>
  <c r="F270" i="18"/>
  <c r="G270" i="18"/>
  <c r="H270" i="18"/>
  <c r="I270" i="18"/>
  <c r="J270" i="18"/>
  <c r="K270" i="18"/>
  <c r="L270" i="18"/>
  <c r="B271" i="18"/>
  <c r="C271" i="18"/>
  <c r="D271" i="18"/>
  <c r="E271" i="18"/>
  <c r="F271" i="18"/>
  <c r="G271" i="18"/>
  <c r="H271" i="18"/>
  <c r="I271" i="18"/>
  <c r="J271" i="18"/>
  <c r="K271" i="18"/>
  <c r="L271" i="18"/>
  <c r="B272" i="18"/>
  <c r="C272" i="18"/>
  <c r="D272" i="18"/>
  <c r="E272" i="18"/>
  <c r="F272" i="18"/>
  <c r="G272" i="18"/>
  <c r="H272" i="18"/>
  <c r="I272" i="18"/>
  <c r="J272" i="18"/>
  <c r="K272" i="18"/>
  <c r="L272" i="18"/>
  <c r="B273" i="18"/>
  <c r="C273" i="18"/>
  <c r="D273" i="18"/>
  <c r="E273" i="18"/>
  <c r="F273" i="18"/>
  <c r="G273" i="18"/>
  <c r="H273" i="18"/>
  <c r="I273" i="18"/>
  <c r="J273" i="18"/>
  <c r="K273" i="18"/>
  <c r="L273" i="18"/>
  <c r="B274" i="18"/>
  <c r="C274" i="18"/>
  <c r="D274" i="18"/>
  <c r="E274" i="18"/>
  <c r="F274" i="18"/>
  <c r="G274" i="18"/>
  <c r="H274" i="18"/>
  <c r="I274" i="18"/>
  <c r="J274" i="18"/>
  <c r="K274" i="18"/>
  <c r="L274" i="18"/>
  <c r="B275" i="18"/>
  <c r="C275" i="18"/>
  <c r="D275" i="18"/>
  <c r="E275" i="18"/>
  <c r="F275" i="18"/>
  <c r="G275" i="18"/>
  <c r="H275" i="18"/>
  <c r="I275" i="18"/>
  <c r="J275" i="18"/>
  <c r="K275" i="18"/>
  <c r="L275" i="18"/>
  <c r="B276" i="18"/>
  <c r="C276" i="18"/>
  <c r="D276" i="18"/>
  <c r="E276" i="18"/>
  <c r="F276" i="18"/>
  <c r="G276" i="18"/>
  <c r="H276" i="18"/>
  <c r="I276" i="18"/>
  <c r="J276" i="18"/>
  <c r="K276" i="18"/>
  <c r="L276" i="18"/>
  <c r="B277" i="18"/>
  <c r="C277" i="18"/>
  <c r="D277" i="18"/>
  <c r="E277" i="18"/>
  <c r="F277" i="18"/>
  <c r="G277" i="18"/>
  <c r="H277" i="18"/>
  <c r="I277" i="18"/>
  <c r="J277" i="18"/>
  <c r="K277" i="18"/>
  <c r="L277" i="18"/>
  <c r="B278" i="18"/>
  <c r="C278" i="18"/>
  <c r="D278" i="18"/>
  <c r="E278" i="18"/>
  <c r="F278" i="18"/>
  <c r="G278" i="18"/>
  <c r="H278" i="18"/>
  <c r="I278" i="18"/>
  <c r="J278" i="18"/>
  <c r="K278" i="18"/>
  <c r="L278" i="18"/>
  <c r="B279" i="18"/>
  <c r="C279" i="18"/>
  <c r="D279" i="18"/>
  <c r="E279" i="18"/>
  <c r="F279" i="18"/>
  <c r="G279" i="18"/>
  <c r="H279" i="18"/>
  <c r="I279" i="18"/>
  <c r="J279" i="18"/>
  <c r="K279" i="18"/>
  <c r="L279" i="18"/>
  <c r="B280" i="18"/>
  <c r="C280" i="18"/>
  <c r="D280" i="18"/>
  <c r="E280" i="18"/>
  <c r="F280" i="18"/>
  <c r="G280" i="18"/>
  <c r="H280" i="18"/>
  <c r="I280" i="18"/>
  <c r="J280" i="18"/>
  <c r="K280" i="18"/>
  <c r="L280" i="18"/>
  <c r="B281" i="18"/>
  <c r="C281" i="18"/>
  <c r="D281" i="18"/>
  <c r="E281" i="18"/>
  <c r="F281" i="18"/>
  <c r="G281" i="18"/>
  <c r="H281" i="18"/>
  <c r="I281" i="18"/>
  <c r="J281" i="18"/>
  <c r="K281" i="18"/>
  <c r="L281" i="18"/>
  <c r="B282" i="18"/>
  <c r="C282" i="18"/>
  <c r="D282" i="18"/>
  <c r="E282" i="18"/>
  <c r="F282" i="18"/>
  <c r="G282" i="18"/>
  <c r="H282" i="18"/>
  <c r="I282" i="18"/>
  <c r="J282" i="18"/>
  <c r="K282" i="18"/>
  <c r="L282" i="18"/>
  <c r="B283" i="18"/>
  <c r="C283" i="18"/>
  <c r="D283" i="18"/>
  <c r="E283" i="18"/>
  <c r="F283" i="18"/>
  <c r="G283" i="18"/>
  <c r="H283" i="18"/>
  <c r="I283" i="18"/>
  <c r="J283" i="18"/>
  <c r="K283" i="18"/>
  <c r="L283" i="18"/>
  <c r="B284" i="18"/>
  <c r="C284" i="18"/>
  <c r="D284" i="18"/>
  <c r="E284" i="18"/>
  <c r="F284" i="18"/>
  <c r="G284" i="18"/>
  <c r="H284" i="18"/>
  <c r="I284" i="18"/>
  <c r="J284" i="18"/>
  <c r="K284" i="18"/>
  <c r="L284" i="18"/>
  <c r="B285" i="18"/>
  <c r="C285" i="18"/>
  <c r="D285" i="18"/>
  <c r="E285" i="18"/>
  <c r="F285" i="18"/>
  <c r="G285" i="18"/>
  <c r="H285" i="18"/>
  <c r="I285" i="18"/>
  <c r="J285" i="18"/>
  <c r="K285" i="18"/>
  <c r="L285" i="18"/>
  <c r="B286" i="18"/>
  <c r="C286" i="18"/>
  <c r="D286" i="18"/>
  <c r="E286" i="18"/>
  <c r="F286" i="18"/>
  <c r="G286" i="18"/>
  <c r="H286" i="18"/>
  <c r="I286" i="18"/>
  <c r="J286" i="18"/>
  <c r="K286" i="18"/>
  <c r="L286" i="18"/>
  <c r="B287" i="18"/>
  <c r="C287" i="18"/>
  <c r="D287" i="18"/>
  <c r="E287" i="18"/>
  <c r="F287" i="18"/>
  <c r="G287" i="18"/>
  <c r="H287" i="18"/>
  <c r="I287" i="18"/>
  <c r="J287" i="18"/>
  <c r="K287" i="18"/>
  <c r="L287" i="18"/>
  <c r="B288" i="18"/>
  <c r="C288" i="18"/>
  <c r="D288" i="18"/>
  <c r="E288" i="18"/>
  <c r="F288" i="18"/>
  <c r="G288" i="18"/>
  <c r="H288" i="18"/>
  <c r="I288" i="18"/>
  <c r="J288" i="18"/>
  <c r="K288" i="18"/>
  <c r="L288" i="18"/>
  <c r="B289" i="18"/>
  <c r="C289" i="18"/>
  <c r="D289" i="18"/>
  <c r="E289" i="18"/>
  <c r="F289" i="18"/>
  <c r="G289" i="18"/>
  <c r="H289" i="18"/>
  <c r="I289" i="18"/>
  <c r="J289" i="18"/>
  <c r="K289" i="18"/>
  <c r="L289" i="18"/>
  <c r="B290" i="18"/>
  <c r="C290" i="18"/>
  <c r="D290" i="18"/>
  <c r="E290" i="18"/>
  <c r="F290" i="18"/>
  <c r="G290" i="18"/>
  <c r="H290" i="18"/>
  <c r="I290" i="18"/>
  <c r="J290" i="18"/>
  <c r="K290" i="18"/>
  <c r="L290" i="18"/>
  <c r="B291" i="18"/>
  <c r="C291" i="18"/>
  <c r="D291" i="18"/>
  <c r="E291" i="18"/>
  <c r="F291" i="18"/>
  <c r="G291" i="18"/>
  <c r="H291" i="18"/>
  <c r="I291" i="18"/>
  <c r="J291" i="18"/>
  <c r="K291" i="18"/>
  <c r="L291" i="18"/>
  <c r="B292" i="18"/>
  <c r="C292" i="18"/>
  <c r="D292" i="18"/>
  <c r="E292" i="18"/>
  <c r="F292" i="18"/>
  <c r="G292" i="18"/>
  <c r="H292" i="18"/>
  <c r="I292" i="18"/>
  <c r="J292" i="18"/>
  <c r="K292" i="18"/>
  <c r="L292" i="18"/>
  <c r="B293" i="18"/>
  <c r="C293" i="18"/>
  <c r="D293" i="18"/>
  <c r="E293" i="18"/>
  <c r="F293" i="18"/>
  <c r="G293" i="18"/>
  <c r="H293" i="18"/>
  <c r="I293" i="18"/>
  <c r="J293" i="18"/>
  <c r="K293" i="18"/>
  <c r="L293" i="18"/>
  <c r="B294" i="18"/>
  <c r="C294" i="18"/>
  <c r="D294" i="18"/>
  <c r="E294" i="18"/>
  <c r="F294" i="18"/>
  <c r="G294" i="18"/>
  <c r="H294" i="18"/>
  <c r="I294" i="18"/>
  <c r="J294" i="18"/>
  <c r="K294" i="18"/>
  <c r="L294" i="18"/>
  <c r="B295" i="18"/>
  <c r="C295" i="18"/>
  <c r="D295" i="18"/>
  <c r="E295" i="18"/>
  <c r="F295" i="18"/>
  <c r="G295" i="18"/>
  <c r="H295" i="18"/>
  <c r="I295" i="18"/>
  <c r="J295" i="18"/>
  <c r="K295" i="18"/>
  <c r="L295" i="18"/>
  <c r="B296" i="18"/>
  <c r="C296" i="18"/>
  <c r="D296" i="18"/>
  <c r="E296" i="18"/>
  <c r="F296" i="18"/>
  <c r="G296" i="18"/>
  <c r="H296" i="18"/>
  <c r="I296" i="18"/>
  <c r="J296" i="18"/>
  <c r="K296" i="18"/>
  <c r="L296" i="18"/>
  <c r="B297" i="18"/>
  <c r="C297" i="18"/>
  <c r="D297" i="18"/>
  <c r="E297" i="18"/>
  <c r="F297" i="18"/>
  <c r="G297" i="18"/>
  <c r="H297" i="18"/>
  <c r="I297" i="18"/>
  <c r="J297" i="18"/>
  <c r="K297" i="18"/>
  <c r="L297" i="18"/>
  <c r="B298" i="18"/>
  <c r="C298" i="18"/>
  <c r="D298" i="18"/>
  <c r="E298" i="18"/>
  <c r="F298" i="18"/>
  <c r="G298" i="18"/>
  <c r="H298" i="18"/>
  <c r="I298" i="18"/>
  <c r="J298" i="18"/>
  <c r="K298" i="18"/>
  <c r="L298" i="18"/>
  <c r="B299" i="18"/>
  <c r="C299" i="18"/>
  <c r="D299" i="18"/>
  <c r="E299" i="18"/>
  <c r="F299" i="18"/>
  <c r="G299" i="18"/>
  <c r="H299" i="18"/>
  <c r="I299" i="18"/>
  <c r="J299" i="18"/>
  <c r="K299" i="18"/>
  <c r="L299" i="18"/>
  <c r="B300" i="18"/>
  <c r="C300" i="18"/>
  <c r="D300" i="18"/>
  <c r="E300" i="18"/>
  <c r="F300" i="18"/>
  <c r="G300" i="18"/>
  <c r="H300" i="18"/>
  <c r="I300" i="18"/>
  <c r="J300" i="18"/>
  <c r="K300" i="18"/>
  <c r="L300" i="18"/>
  <c r="B301" i="18"/>
  <c r="C301" i="18"/>
  <c r="D301" i="18"/>
  <c r="E301" i="18"/>
  <c r="F301" i="18"/>
  <c r="G301" i="18"/>
  <c r="H301" i="18"/>
  <c r="I301" i="18"/>
  <c r="J301" i="18"/>
  <c r="K301" i="18"/>
  <c r="L301" i="18"/>
  <c r="B302" i="18"/>
  <c r="C302" i="18"/>
  <c r="D302" i="18"/>
  <c r="E302" i="18"/>
  <c r="F302" i="18"/>
  <c r="G302" i="18"/>
  <c r="H302" i="18"/>
  <c r="I302" i="18"/>
  <c r="J302" i="18"/>
  <c r="K302" i="18"/>
  <c r="L302" i="18"/>
  <c r="B303" i="18"/>
  <c r="C303" i="18"/>
  <c r="D303" i="18"/>
  <c r="E303" i="18"/>
  <c r="F303" i="18"/>
  <c r="G303" i="18"/>
  <c r="H303" i="18"/>
  <c r="I303" i="18"/>
  <c r="J303" i="18"/>
  <c r="K303" i="18"/>
  <c r="L303" i="18"/>
  <c r="B304" i="18"/>
  <c r="C304" i="18"/>
  <c r="D304" i="18"/>
  <c r="E304" i="18"/>
  <c r="F304" i="18"/>
  <c r="G304" i="18"/>
  <c r="H304" i="18"/>
  <c r="I304" i="18"/>
  <c r="J304" i="18"/>
  <c r="K304" i="18"/>
  <c r="L304" i="18"/>
  <c r="B305" i="18"/>
  <c r="C305" i="18"/>
  <c r="D305" i="18"/>
  <c r="E305" i="18"/>
  <c r="F305" i="18"/>
  <c r="G305" i="18"/>
  <c r="H305" i="18"/>
  <c r="I305" i="18"/>
  <c r="J305" i="18"/>
  <c r="K305" i="18"/>
  <c r="L305" i="18"/>
  <c r="B306" i="18"/>
  <c r="C306" i="18"/>
  <c r="D306" i="18"/>
  <c r="E306" i="18"/>
  <c r="F306" i="18"/>
  <c r="G306" i="18"/>
  <c r="H306" i="18"/>
  <c r="I306" i="18"/>
  <c r="J306" i="18"/>
  <c r="K306" i="18"/>
  <c r="L306" i="18"/>
  <c r="B307" i="18"/>
  <c r="C307" i="18"/>
  <c r="D307" i="18"/>
  <c r="E307" i="18"/>
  <c r="F307" i="18"/>
  <c r="G307" i="18"/>
  <c r="H307" i="18"/>
  <c r="I307" i="18"/>
  <c r="J307" i="18"/>
  <c r="K307" i="18"/>
  <c r="L307" i="18"/>
  <c r="B308" i="18"/>
  <c r="C308" i="18"/>
  <c r="D308" i="18"/>
  <c r="E308" i="18"/>
  <c r="F308" i="18"/>
  <c r="G308" i="18"/>
  <c r="H308" i="18"/>
  <c r="I308" i="18"/>
  <c r="J308" i="18"/>
  <c r="K308" i="18"/>
  <c r="L308" i="18"/>
  <c r="B309" i="18"/>
  <c r="C309" i="18"/>
  <c r="D309" i="18"/>
  <c r="E309" i="18"/>
  <c r="F309" i="18"/>
  <c r="G309" i="18"/>
  <c r="H309" i="18"/>
  <c r="I309" i="18"/>
  <c r="J309" i="18"/>
  <c r="K309" i="18"/>
  <c r="L309" i="18"/>
  <c r="B310" i="18"/>
  <c r="C310" i="18"/>
  <c r="D310" i="18"/>
  <c r="E310" i="18"/>
  <c r="F310" i="18"/>
  <c r="G310" i="18"/>
  <c r="H310" i="18"/>
  <c r="I310" i="18"/>
  <c r="J310" i="18"/>
  <c r="K310" i="18"/>
  <c r="L310" i="18"/>
  <c r="B311" i="18"/>
  <c r="C311" i="18"/>
  <c r="D311" i="18"/>
  <c r="E311" i="18"/>
  <c r="F311" i="18"/>
  <c r="G311" i="18"/>
  <c r="H311" i="18"/>
  <c r="I311" i="18"/>
  <c r="J311" i="18"/>
  <c r="K311" i="18"/>
  <c r="L311" i="18"/>
  <c r="B312" i="18"/>
  <c r="C312" i="18"/>
  <c r="D312" i="18"/>
  <c r="E312" i="18"/>
  <c r="F312" i="18"/>
  <c r="G312" i="18"/>
  <c r="H312" i="18"/>
  <c r="I312" i="18"/>
  <c r="J312" i="18"/>
  <c r="K312" i="18"/>
  <c r="L312" i="18"/>
  <c r="B313" i="18"/>
  <c r="C313" i="18"/>
  <c r="D313" i="18"/>
  <c r="E313" i="18"/>
  <c r="F313" i="18"/>
  <c r="G313" i="18"/>
  <c r="H313" i="18"/>
  <c r="I313" i="18"/>
  <c r="J313" i="18"/>
  <c r="K313" i="18"/>
  <c r="L313" i="18"/>
  <c r="B314" i="18"/>
  <c r="C314" i="18"/>
  <c r="D314" i="18"/>
  <c r="E314" i="18"/>
  <c r="F314" i="18"/>
  <c r="G314" i="18"/>
  <c r="H314" i="18"/>
  <c r="I314" i="18"/>
  <c r="J314" i="18"/>
  <c r="K314" i="18"/>
  <c r="L314" i="18"/>
  <c r="B315" i="18"/>
  <c r="C315" i="18"/>
  <c r="D315" i="18"/>
  <c r="E315" i="18"/>
  <c r="F315" i="18"/>
  <c r="G315" i="18"/>
  <c r="H315" i="18"/>
  <c r="I315" i="18"/>
  <c r="J315" i="18"/>
  <c r="K315" i="18"/>
  <c r="L315" i="18"/>
  <c r="B316" i="18"/>
  <c r="C316" i="18"/>
  <c r="D316" i="18"/>
  <c r="E316" i="18"/>
  <c r="F316" i="18"/>
  <c r="G316" i="18"/>
  <c r="H316" i="18"/>
  <c r="I316" i="18"/>
  <c r="J316" i="18"/>
  <c r="K316" i="18"/>
  <c r="L316" i="18"/>
  <c r="B317" i="18"/>
  <c r="C317" i="18"/>
  <c r="D317" i="18"/>
  <c r="E317" i="18"/>
  <c r="F317" i="18"/>
  <c r="G317" i="18"/>
  <c r="H317" i="18"/>
  <c r="I317" i="18"/>
  <c r="J317" i="18"/>
  <c r="K317" i="18"/>
  <c r="L317" i="18"/>
  <c r="B318" i="18"/>
  <c r="C318" i="18"/>
  <c r="D318" i="18"/>
  <c r="E318" i="18"/>
  <c r="F318" i="18"/>
  <c r="G318" i="18"/>
  <c r="H318" i="18"/>
  <c r="I318" i="18"/>
  <c r="J318" i="18"/>
  <c r="K318" i="18"/>
  <c r="L318" i="18"/>
  <c r="B319" i="18"/>
  <c r="C319" i="18"/>
  <c r="D319" i="18"/>
  <c r="E319" i="18"/>
  <c r="F319" i="18"/>
  <c r="G319" i="18"/>
  <c r="H319" i="18"/>
  <c r="I319" i="18"/>
  <c r="J319" i="18"/>
  <c r="K319" i="18"/>
  <c r="L319" i="18"/>
  <c r="B320" i="18"/>
  <c r="C320" i="18"/>
  <c r="D320" i="18"/>
  <c r="E320" i="18"/>
  <c r="F320" i="18"/>
  <c r="G320" i="18"/>
  <c r="H320" i="18"/>
  <c r="I320" i="18"/>
  <c r="J320" i="18"/>
  <c r="K320" i="18"/>
  <c r="L320" i="18"/>
  <c r="B321" i="18"/>
  <c r="C321" i="18"/>
  <c r="D321" i="18"/>
  <c r="E321" i="18"/>
  <c r="F321" i="18"/>
  <c r="G321" i="18"/>
  <c r="H321" i="18"/>
  <c r="I321" i="18"/>
  <c r="J321" i="18"/>
  <c r="K321" i="18"/>
  <c r="L321" i="18"/>
  <c r="B322" i="18"/>
  <c r="C322" i="18"/>
  <c r="D322" i="18"/>
  <c r="E322" i="18"/>
  <c r="F322" i="18"/>
  <c r="G322" i="18"/>
  <c r="H322" i="18"/>
  <c r="I322" i="18"/>
  <c r="J322" i="18"/>
  <c r="K322" i="18"/>
  <c r="L322" i="18"/>
  <c r="B323" i="18"/>
  <c r="C323" i="18"/>
  <c r="D323" i="18"/>
  <c r="E323" i="18"/>
  <c r="F323" i="18"/>
  <c r="G323" i="18"/>
  <c r="H323" i="18"/>
  <c r="I323" i="18"/>
  <c r="J323" i="18"/>
  <c r="K323" i="18"/>
  <c r="L323" i="18"/>
  <c r="B324" i="18"/>
  <c r="C324" i="18"/>
  <c r="D324" i="18"/>
  <c r="E324" i="18"/>
  <c r="F324" i="18"/>
  <c r="G324" i="18"/>
  <c r="H324" i="18"/>
  <c r="I324" i="18"/>
  <c r="J324" i="18"/>
  <c r="K324" i="18"/>
  <c r="L324" i="18"/>
  <c r="B325" i="18"/>
  <c r="C325" i="18"/>
  <c r="D325" i="18"/>
  <c r="E325" i="18"/>
  <c r="F325" i="18"/>
  <c r="G325" i="18"/>
  <c r="H325" i="18"/>
  <c r="I325" i="18"/>
  <c r="J325" i="18"/>
  <c r="K325" i="18"/>
  <c r="L325" i="18"/>
  <c r="B326" i="18"/>
  <c r="C326" i="18"/>
  <c r="D326" i="18"/>
  <c r="E326" i="18"/>
  <c r="F326" i="18"/>
  <c r="G326" i="18"/>
  <c r="H326" i="18"/>
  <c r="I326" i="18"/>
  <c r="J326" i="18"/>
  <c r="K326" i="18"/>
  <c r="L326" i="18"/>
  <c r="B327" i="18"/>
  <c r="C327" i="18"/>
  <c r="D327" i="18"/>
  <c r="E327" i="18"/>
  <c r="F327" i="18"/>
  <c r="G327" i="18"/>
  <c r="H327" i="18"/>
  <c r="I327" i="18"/>
  <c r="J327" i="18"/>
  <c r="K327" i="18"/>
  <c r="L327" i="18"/>
  <c r="B328" i="18"/>
  <c r="C328" i="18"/>
  <c r="D328" i="18"/>
  <c r="E328" i="18"/>
  <c r="F328" i="18"/>
  <c r="G328" i="18"/>
  <c r="H328" i="18"/>
  <c r="I328" i="18"/>
  <c r="J328" i="18"/>
  <c r="K328" i="18"/>
  <c r="L328" i="18"/>
  <c r="B329" i="18"/>
  <c r="C329" i="18"/>
  <c r="D329" i="18"/>
  <c r="E329" i="18"/>
  <c r="F329" i="18"/>
  <c r="G329" i="18"/>
  <c r="H329" i="18"/>
  <c r="I329" i="18"/>
  <c r="J329" i="18"/>
  <c r="K329" i="18"/>
  <c r="L329" i="18"/>
  <c r="B330" i="18"/>
  <c r="C330" i="18"/>
  <c r="D330" i="18"/>
  <c r="E330" i="18"/>
  <c r="F330" i="18"/>
  <c r="G330" i="18"/>
  <c r="H330" i="18"/>
  <c r="I330" i="18"/>
  <c r="J330" i="18"/>
  <c r="K330" i="18"/>
  <c r="L330" i="18"/>
  <c r="B331" i="18"/>
  <c r="C331" i="18"/>
  <c r="D331" i="18"/>
  <c r="E331" i="18"/>
  <c r="F331" i="18"/>
  <c r="G331" i="18"/>
  <c r="H331" i="18"/>
  <c r="I331" i="18"/>
  <c r="J331" i="18"/>
  <c r="K331" i="18"/>
  <c r="L331" i="18"/>
  <c r="B332" i="18"/>
  <c r="C332" i="18"/>
  <c r="D332" i="18"/>
  <c r="E332" i="18"/>
  <c r="F332" i="18"/>
  <c r="G332" i="18"/>
  <c r="H332" i="18"/>
  <c r="I332" i="18"/>
  <c r="J332" i="18"/>
  <c r="K332" i="18"/>
  <c r="L332" i="18"/>
  <c r="B333" i="18"/>
  <c r="C333" i="18"/>
  <c r="D333" i="18"/>
  <c r="E333" i="18"/>
  <c r="F333" i="18"/>
  <c r="G333" i="18"/>
  <c r="H333" i="18"/>
  <c r="I333" i="18"/>
  <c r="J333" i="18"/>
  <c r="K333" i="18"/>
  <c r="L333" i="18"/>
  <c r="B334" i="18"/>
  <c r="C334" i="18"/>
  <c r="D334" i="18"/>
  <c r="E334" i="18"/>
  <c r="F334" i="18"/>
  <c r="G334" i="18"/>
  <c r="H334" i="18"/>
  <c r="I334" i="18"/>
  <c r="J334" i="18"/>
  <c r="K334" i="18"/>
  <c r="L334" i="18"/>
  <c r="B335" i="18"/>
  <c r="C335" i="18"/>
  <c r="D335" i="18"/>
  <c r="E335" i="18"/>
  <c r="F335" i="18"/>
  <c r="G335" i="18"/>
  <c r="H335" i="18"/>
  <c r="I335" i="18"/>
  <c r="J335" i="18"/>
  <c r="K335" i="18"/>
  <c r="L335" i="18"/>
  <c r="B336" i="18"/>
  <c r="C336" i="18"/>
  <c r="D336" i="18"/>
  <c r="E336" i="18"/>
  <c r="F336" i="18"/>
  <c r="G336" i="18"/>
  <c r="H336" i="18"/>
  <c r="I336" i="18"/>
  <c r="J336" i="18"/>
  <c r="K336" i="18"/>
  <c r="L336" i="18"/>
  <c r="B337" i="18"/>
  <c r="C337" i="18"/>
  <c r="D337" i="18"/>
  <c r="E337" i="18"/>
  <c r="F337" i="18"/>
  <c r="G337" i="18"/>
  <c r="H337" i="18"/>
  <c r="I337" i="18"/>
  <c r="J337" i="18"/>
  <c r="K337" i="18"/>
  <c r="L337" i="18"/>
  <c r="B338" i="18"/>
  <c r="C338" i="18"/>
  <c r="D338" i="18"/>
  <c r="E338" i="18"/>
  <c r="F338" i="18"/>
  <c r="G338" i="18"/>
  <c r="H338" i="18"/>
  <c r="I338" i="18"/>
  <c r="J338" i="18"/>
  <c r="K338" i="18"/>
  <c r="L338" i="18"/>
  <c r="B339" i="18"/>
  <c r="C339" i="18"/>
  <c r="D339" i="18"/>
  <c r="E339" i="18"/>
  <c r="F339" i="18"/>
  <c r="G339" i="18"/>
  <c r="H339" i="18"/>
  <c r="I339" i="18"/>
  <c r="J339" i="18"/>
  <c r="K339" i="18"/>
  <c r="L339" i="18"/>
  <c r="B340" i="18"/>
  <c r="C340" i="18"/>
  <c r="D340" i="18"/>
  <c r="E340" i="18"/>
  <c r="F340" i="18"/>
  <c r="G340" i="18"/>
  <c r="H340" i="18"/>
  <c r="I340" i="18"/>
  <c r="J340" i="18"/>
  <c r="K340" i="18"/>
  <c r="L340" i="18"/>
  <c r="B341" i="18"/>
  <c r="C341" i="18"/>
  <c r="D341" i="18"/>
  <c r="E341" i="18"/>
  <c r="F341" i="18"/>
  <c r="G341" i="18"/>
  <c r="H341" i="18"/>
  <c r="I341" i="18"/>
  <c r="J341" i="18"/>
  <c r="K341" i="18"/>
  <c r="L341" i="18"/>
  <c r="B342" i="18"/>
  <c r="C342" i="18"/>
  <c r="D342" i="18"/>
  <c r="E342" i="18"/>
  <c r="F342" i="18"/>
  <c r="G342" i="18"/>
  <c r="H342" i="18"/>
  <c r="I342" i="18"/>
  <c r="J342" i="18"/>
  <c r="K342" i="18"/>
  <c r="L342" i="18"/>
  <c r="B343" i="18"/>
  <c r="C343" i="18"/>
  <c r="D343" i="18"/>
  <c r="E343" i="18"/>
  <c r="F343" i="18"/>
  <c r="G343" i="18"/>
  <c r="H343" i="18"/>
  <c r="I343" i="18"/>
  <c r="J343" i="18"/>
  <c r="K343" i="18"/>
  <c r="L343" i="18"/>
  <c r="B344" i="18"/>
  <c r="C344" i="18"/>
  <c r="D344" i="18"/>
  <c r="E344" i="18"/>
  <c r="F344" i="18"/>
  <c r="G344" i="18"/>
  <c r="H344" i="18"/>
  <c r="I344" i="18"/>
  <c r="J344" i="18"/>
  <c r="K344" i="18"/>
  <c r="L344" i="18"/>
  <c r="B345" i="18"/>
  <c r="C345" i="18"/>
  <c r="D345" i="18"/>
  <c r="E345" i="18"/>
  <c r="F345" i="18"/>
  <c r="G345" i="18"/>
  <c r="H345" i="18"/>
  <c r="I345" i="18"/>
  <c r="J345" i="18"/>
  <c r="K345" i="18"/>
  <c r="L345" i="18"/>
  <c r="B346" i="18"/>
  <c r="C346" i="18"/>
  <c r="D346" i="18"/>
  <c r="E346" i="18"/>
  <c r="F346" i="18"/>
  <c r="G346" i="18"/>
  <c r="H346" i="18"/>
  <c r="I346" i="18"/>
  <c r="J346" i="18"/>
  <c r="K346" i="18"/>
  <c r="L346" i="18"/>
  <c r="B347" i="18"/>
  <c r="C347" i="18"/>
  <c r="D347" i="18"/>
  <c r="E347" i="18"/>
  <c r="F347" i="18"/>
  <c r="G347" i="18"/>
  <c r="H347" i="18"/>
  <c r="I347" i="18"/>
  <c r="J347" i="18"/>
  <c r="K347" i="18"/>
  <c r="L347" i="18"/>
  <c r="B348" i="18"/>
  <c r="C348" i="18"/>
  <c r="D348" i="18"/>
  <c r="E348" i="18"/>
  <c r="F348" i="18"/>
  <c r="G348" i="18"/>
  <c r="H348" i="18"/>
  <c r="I348" i="18"/>
  <c r="J348" i="18"/>
  <c r="K348" i="18"/>
  <c r="L348" i="18"/>
  <c r="B349" i="18"/>
  <c r="C349" i="18"/>
  <c r="D349" i="18"/>
  <c r="E349" i="18"/>
  <c r="F349" i="18"/>
  <c r="G349" i="18"/>
  <c r="H349" i="18"/>
  <c r="I349" i="18"/>
  <c r="J349" i="18"/>
  <c r="K349" i="18"/>
  <c r="L349" i="18"/>
  <c r="B350" i="18"/>
  <c r="C350" i="18"/>
  <c r="D350" i="18"/>
  <c r="E350" i="18"/>
  <c r="F350" i="18"/>
  <c r="G350" i="18"/>
  <c r="H350" i="18"/>
  <c r="I350" i="18"/>
  <c r="J350" i="18"/>
  <c r="K350" i="18"/>
  <c r="L350" i="18"/>
  <c r="B351" i="18"/>
  <c r="C351" i="18"/>
  <c r="D351" i="18"/>
  <c r="E351" i="18"/>
  <c r="F351" i="18"/>
  <c r="G351" i="18"/>
  <c r="H351" i="18"/>
  <c r="I351" i="18"/>
  <c r="J351" i="18"/>
  <c r="K351" i="18"/>
  <c r="L351" i="18"/>
  <c r="B352" i="18"/>
  <c r="C352" i="18"/>
  <c r="D352" i="18"/>
  <c r="E352" i="18"/>
  <c r="F352" i="18"/>
  <c r="G352" i="18"/>
  <c r="H352" i="18"/>
  <c r="I352" i="18"/>
  <c r="J352" i="18"/>
  <c r="K352" i="18"/>
  <c r="L352" i="18"/>
  <c r="B353" i="18"/>
  <c r="C353" i="18"/>
  <c r="D353" i="18"/>
  <c r="E353" i="18"/>
  <c r="F353" i="18"/>
  <c r="G353" i="18"/>
  <c r="H353" i="18"/>
  <c r="I353" i="18"/>
  <c r="J353" i="18"/>
  <c r="K353" i="18"/>
  <c r="L353" i="18"/>
  <c r="B354" i="18"/>
  <c r="C354" i="18"/>
  <c r="D354" i="18"/>
  <c r="E354" i="18"/>
  <c r="F354" i="18"/>
  <c r="G354" i="18"/>
  <c r="H354" i="18"/>
  <c r="I354" i="18"/>
  <c r="J354" i="18"/>
  <c r="K354" i="18"/>
  <c r="L354" i="18"/>
  <c r="B355" i="18"/>
  <c r="C355" i="18"/>
  <c r="D355" i="18"/>
  <c r="E355" i="18"/>
  <c r="F355" i="18"/>
  <c r="G355" i="18"/>
  <c r="H355" i="18"/>
  <c r="I355" i="18"/>
  <c r="J355" i="18"/>
  <c r="K355" i="18"/>
  <c r="L355" i="18"/>
  <c r="B356" i="18"/>
  <c r="C356" i="18"/>
  <c r="D356" i="18"/>
  <c r="E356" i="18"/>
  <c r="F356" i="18"/>
  <c r="G356" i="18"/>
  <c r="H356" i="18"/>
  <c r="I356" i="18"/>
  <c r="J356" i="18"/>
  <c r="K356" i="18"/>
  <c r="L356" i="18"/>
  <c r="B357" i="18"/>
  <c r="C357" i="18"/>
  <c r="D357" i="18"/>
  <c r="E357" i="18"/>
  <c r="F357" i="18"/>
  <c r="G357" i="18"/>
  <c r="H357" i="18"/>
  <c r="I357" i="18"/>
  <c r="J357" i="18"/>
  <c r="K357" i="18"/>
  <c r="L357" i="18"/>
  <c r="B358" i="18"/>
  <c r="C358" i="18"/>
  <c r="D358" i="18"/>
  <c r="E358" i="18"/>
  <c r="F358" i="18"/>
  <c r="G358" i="18"/>
  <c r="H358" i="18"/>
  <c r="I358" i="18"/>
  <c r="J358" i="18"/>
  <c r="K358" i="18"/>
  <c r="L358" i="18"/>
  <c r="B359" i="18"/>
  <c r="C359" i="18"/>
  <c r="D359" i="18"/>
  <c r="E359" i="18"/>
  <c r="F359" i="18"/>
  <c r="G359" i="18"/>
  <c r="H359" i="18"/>
  <c r="I359" i="18"/>
  <c r="J359" i="18"/>
  <c r="K359" i="18"/>
  <c r="L359" i="18"/>
  <c r="B360" i="18"/>
  <c r="C360" i="18"/>
  <c r="D360" i="18"/>
  <c r="E360" i="18"/>
  <c r="F360" i="18"/>
  <c r="G360" i="18"/>
  <c r="H360" i="18"/>
  <c r="I360" i="18"/>
  <c r="J360" i="18"/>
  <c r="K360" i="18"/>
  <c r="L360" i="18"/>
  <c r="B361" i="18"/>
  <c r="C361" i="18"/>
  <c r="D361" i="18"/>
  <c r="E361" i="18"/>
  <c r="F361" i="18"/>
  <c r="G361" i="18"/>
  <c r="H361" i="18"/>
  <c r="I361" i="18"/>
  <c r="J361" i="18"/>
  <c r="K361" i="18"/>
  <c r="L361" i="18"/>
  <c r="B362" i="18"/>
  <c r="C362" i="18"/>
  <c r="D362" i="18"/>
  <c r="E362" i="18"/>
  <c r="F362" i="18"/>
  <c r="G362" i="18"/>
  <c r="H362" i="18"/>
  <c r="I362" i="18"/>
  <c r="J362" i="18"/>
  <c r="K362" i="18"/>
  <c r="L362" i="18"/>
  <c r="B363" i="18"/>
  <c r="C363" i="18"/>
  <c r="D363" i="18"/>
  <c r="E363" i="18"/>
  <c r="F363" i="18"/>
  <c r="G363" i="18"/>
  <c r="H363" i="18"/>
  <c r="I363" i="18"/>
  <c r="J363" i="18"/>
  <c r="K363" i="18"/>
  <c r="L363" i="18"/>
  <c r="B364" i="18"/>
  <c r="C364" i="18"/>
  <c r="D364" i="18"/>
  <c r="E364" i="18"/>
  <c r="F364" i="18"/>
  <c r="G364" i="18"/>
  <c r="H364" i="18"/>
  <c r="I364" i="18"/>
  <c r="J364" i="18"/>
  <c r="K364" i="18"/>
  <c r="L364" i="18"/>
  <c r="B365" i="18"/>
  <c r="C365" i="18"/>
  <c r="D365" i="18"/>
  <c r="E365" i="18"/>
  <c r="F365" i="18"/>
  <c r="G365" i="18"/>
  <c r="H365" i="18"/>
  <c r="I365" i="18"/>
  <c r="J365" i="18"/>
  <c r="K365" i="18"/>
  <c r="L365" i="18"/>
  <c r="B366" i="18"/>
  <c r="C366" i="18"/>
  <c r="D366" i="18"/>
  <c r="E366" i="18"/>
  <c r="F366" i="18"/>
  <c r="G366" i="18"/>
  <c r="H366" i="18"/>
  <c r="I366" i="18"/>
  <c r="J366" i="18"/>
  <c r="K366" i="18"/>
  <c r="L366" i="18"/>
  <c r="B367" i="18"/>
  <c r="C367" i="18"/>
  <c r="D367" i="18"/>
  <c r="E367" i="18"/>
  <c r="F367" i="18"/>
  <c r="G367" i="18"/>
  <c r="H367" i="18"/>
  <c r="I367" i="18"/>
  <c r="J367" i="18"/>
  <c r="K367" i="18"/>
  <c r="L367" i="18"/>
  <c r="B368" i="18"/>
  <c r="C368" i="18"/>
  <c r="D368" i="18"/>
  <c r="E368" i="18"/>
  <c r="F368" i="18"/>
  <c r="G368" i="18"/>
  <c r="H368" i="18"/>
  <c r="I368" i="18"/>
  <c r="J368" i="18"/>
  <c r="K368" i="18"/>
  <c r="L368" i="18"/>
  <c r="B369" i="18"/>
  <c r="C369" i="18"/>
  <c r="D369" i="18"/>
  <c r="E369" i="18"/>
  <c r="F369" i="18"/>
  <c r="G369" i="18"/>
  <c r="H369" i="18"/>
  <c r="I369" i="18"/>
  <c r="J369" i="18"/>
  <c r="K369" i="18"/>
  <c r="L369" i="18"/>
  <c r="B370" i="18"/>
  <c r="C370" i="18"/>
  <c r="D370" i="18"/>
  <c r="E370" i="18"/>
  <c r="F370" i="18"/>
  <c r="G370" i="18"/>
  <c r="H370" i="18"/>
  <c r="I370" i="18"/>
  <c r="J370" i="18"/>
  <c r="K370" i="18"/>
  <c r="L370" i="18"/>
  <c r="B371" i="18"/>
  <c r="C371" i="18"/>
  <c r="D371" i="18"/>
  <c r="E371" i="18"/>
  <c r="F371" i="18"/>
  <c r="G371" i="18"/>
  <c r="H371" i="18"/>
  <c r="I371" i="18"/>
  <c r="J371" i="18"/>
  <c r="K371" i="18"/>
  <c r="L371" i="18"/>
  <c r="B372" i="18"/>
  <c r="C372" i="18"/>
  <c r="D372" i="18"/>
  <c r="E372" i="18"/>
  <c r="F372" i="18"/>
  <c r="G372" i="18"/>
  <c r="H372" i="18"/>
  <c r="I372" i="18"/>
  <c r="J372" i="18"/>
  <c r="K372" i="18"/>
  <c r="L372" i="18"/>
  <c r="B373" i="18"/>
  <c r="C373" i="18"/>
  <c r="D373" i="18"/>
  <c r="E373" i="18"/>
  <c r="F373" i="18"/>
  <c r="G373" i="18"/>
  <c r="H373" i="18"/>
  <c r="I373" i="18"/>
  <c r="J373" i="18"/>
  <c r="K373" i="18"/>
  <c r="L373" i="18"/>
  <c r="B374" i="18"/>
  <c r="C374" i="18"/>
  <c r="D374" i="18"/>
  <c r="E374" i="18"/>
  <c r="F374" i="18"/>
  <c r="G374" i="18"/>
  <c r="H374" i="18"/>
  <c r="I374" i="18"/>
  <c r="J374" i="18"/>
  <c r="K374" i="18"/>
  <c r="L374" i="18"/>
  <c r="B375" i="18"/>
  <c r="C375" i="18"/>
  <c r="D375" i="18"/>
  <c r="E375" i="18"/>
  <c r="F375" i="18"/>
  <c r="G375" i="18"/>
  <c r="H375" i="18"/>
  <c r="I375" i="18"/>
  <c r="J375" i="18"/>
  <c r="K375" i="18"/>
  <c r="L375" i="18"/>
  <c r="B376" i="18"/>
  <c r="C376" i="18"/>
  <c r="D376" i="18"/>
  <c r="E376" i="18"/>
  <c r="F376" i="18"/>
  <c r="G376" i="18"/>
  <c r="H376" i="18"/>
  <c r="I376" i="18"/>
  <c r="J376" i="18"/>
  <c r="K376" i="18"/>
  <c r="L376" i="18"/>
  <c r="B377" i="18"/>
  <c r="C377" i="18"/>
  <c r="D377" i="18"/>
  <c r="E377" i="18"/>
  <c r="F377" i="18"/>
  <c r="G377" i="18"/>
  <c r="H377" i="18"/>
  <c r="I377" i="18"/>
  <c r="J377" i="18"/>
  <c r="K377" i="18"/>
  <c r="L377" i="18"/>
  <c r="B378" i="18"/>
  <c r="C378" i="18"/>
  <c r="D378" i="18"/>
  <c r="E378" i="18"/>
  <c r="F378" i="18"/>
  <c r="G378" i="18"/>
  <c r="H378" i="18"/>
  <c r="I378" i="18"/>
  <c r="J378" i="18"/>
  <c r="K378" i="18"/>
  <c r="L378" i="18"/>
  <c r="B379" i="18"/>
  <c r="C379" i="18"/>
  <c r="D379" i="18"/>
  <c r="E379" i="18"/>
  <c r="F379" i="18"/>
  <c r="G379" i="18"/>
  <c r="H379" i="18"/>
  <c r="I379" i="18"/>
  <c r="J379" i="18"/>
  <c r="K379" i="18"/>
  <c r="L379" i="18"/>
  <c r="B380" i="18"/>
  <c r="C380" i="18"/>
  <c r="D380" i="18"/>
  <c r="E380" i="18"/>
  <c r="F380" i="18"/>
  <c r="G380" i="18"/>
  <c r="H380" i="18"/>
  <c r="I380" i="18"/>
  <c r="J380" i="18"/>
  <c r="K380" i="18"/>
  <c r="L380" i="18"/>
  <c r="B381" i="18"/>
  <c r="C381" i="18"/>
  <c r="D381" i="18"/>
  <c r="E381" i="18"/>
  <c r="F381" i="18"/>
  <c r="G381" i="18"/>
  <c r="H381" i="18"/>
  <c r="I381" i="18"/>
  <c r="J381" i="18"/>
  <c r="K381" i="18"/>
  <c r="L381" i="18"/>
  <c r="B382" i="18"/>
  <c r="C382" i="18"/>
  <c r="D382" i="18"/>
  <c r="E382" i="18"/>
  <c r="F382" i="18"/>
  <c r="G382" i="18"/>
  <c r="H382" i="18"/>
  <c r="I382" i="18"/>
  <c r="J382" i="18"/>
  <c r="K382" i="18"/>
  <c r="L382" i="18"/>
  <c r="B383" i="18"/>
  <c r="C383" i="18"/>
  <c r="D383" i="18"/>
  <c r="E383" i="18"/>
  <c r="F383" i="18"/>
  <c r="G383" i="18"/>
  <c r="H383" i="18"/>
  <c r="I383" i="18"/>
  <c r="J383" i="18"/>
  <c r="K383" i="18"/>
  <c r="L383" i="18"/>
  <c r="B384" i="18"/>
  <c r="C384" i="18"/>
  <c r="D384" i="18"/>
  <c r="E384" i="18"/>
  <c r="F384" i="18"/>
  <c r="G384" i="18"/>
  <c r="H384" i="18"/>
  <c r="I384" i="18"/>
  <c r="J384" i="18"/>
  <c r="K384" i="18"/>
  <c r="L384" i="18"/>
  <c r="B385" i="18"/>
  <c r="C385" i="18"/>
  <c r="D385" i="18"/>
  <c r="E385" i="18"/>
  <c r="F385" i="18"/>
  <c r="G385" i="18"/>
  <c r="H385" i="18"/>
  <c r="I385" i="18"/>
  <c r="J385" i="18"/>
  <c r="K385" i="18"/>
  <c r="L385" i="18"/>
  <c r="B386" i="18"/>
  <c r="C386" i="18"/>
  <c r="D386" i="18"/>
  <c r="E386" i="18"/>
  <c r="F386" i="18"/>
  <c r="G386" i="18"/>
  <c r="H386" i="18"/>
  <c r="I386" i="18"/>
  <c r="J386" i="18"/>
  <c r="K386" i="18"/>
  <c r="L386" i="18"/>
  <c r="B387" i="18"/>
  <c r="C387" i="18"/>
  <c r="D387" i="18"/>
  <c r="E387" i="18"/>
  <c r="F387" i="18"/>
  <c r="G387" i="18"/>
  <c r="H387" i="18"/>
  <c r="I387" i="18"/>
  <c r="J387" i="18"/>
  <c r="K387" i="18"/>
  <c r="L387" i="18"/>
  <c r="B388" i="18"/>
  <c r="C388" i="18"/>
  <c r="D388" i="18"/>
  <c r="E388" i="18"/>
  <c r="F388" i="18"/>
  <c r="G388" i="18"/>
  <c r="H388" i="18"/>
  <c r="I388" i="18"/>
  <c r="J388" i="18"/>
  <c r="K388" i="18"/>
  <c r="L388" i="18"/>
  <c r="B389" i="18"/>
  <c r="C389" i="18"/>
  <c r="D389" i="18"/>
  <c r="E389" i="18"/>
  <c r="F389" i="18"/>
  <c r="G389" i="18"/>
  <c r="H389" i="18"/>
  <c r="I389" i="18"/>
  <c r="J389" i="18"/>
  <c r="K389" i="18"/>
  <c r="L389" i="18"/>
  <c r="B390" i="18"/>
  <c r="C390" i="18"/>
  <c r="D390" i="18"/>
  <c r="E390" i="18"/>
  <c r="F390" i="18"/>
  <c r="G390" i="18"/>
  <c r="H390" i="18"/>
  <c r="I390" i="18"/>
  <c r="J390" i="18"/>
  <c r="K390" i="18"/>
  <c r="L390" i="18"/>
  <c r="B391" i="18"/>
  <c r="C391" i="18"/>
  <c r="D391" i="18"/>
  <c r="E391" i="18"/>
  <c r="F391" i="18"/>
  <c r="G391" i="18"/>
  <c r="H391" i="18"/>
  <c r="I391" i="18"/>
  <c r="J391" i="18"/>
  <c r="K391" i="18"/>
  <c r="L391" i="18"/>
  <c r="B392" i="18"/>
  <c r="C392" i="18"/>
  <c r="D392" i="18"/>
  <c r="E392" i="18"/>
  <c r="F392" i="18"/>
  <c r="G392" i="18"/>
  <c r="H392" i="18"/>
  <c r="I392" i="18"/>
  <c r="J392" i="18"/>
  <c r="K392" i="18"/>
  <c r="L392" i="18"/>
  <c r="B393" i="18"/>
  <c r="C393" i="18"/>
  <c r="D393" i="18"/>
  <c r="E393" i="18"/>
  <c r="F393" i="18"/>
  <c r="G393" i="18"/>
  <c r="H393" i="18"/>
  <c r="I393" i="18"/>
  <c r="J393" i="18"/>
  <c r="K393" i="18"/>
  <c r="L393" i="18"/>
  <c r="B394" i="18"/>
  <c r="C394" i="18"/>
  <c r="D394" i="18"/>
  <c r="E394" i="18"/>
  <c r="F394" i="18"/>
  <c r="G394" i="18"/>
  <c r="H394" i="18"/>
  <c r="I394" i="18"/>
  <c r="J394" i="18"/>
  <c r="K394" i="18"/>
  <c r="L394" i="18"/>
  <c r="B395" i="18"/>
  <c r="C395" i="18"/>
  <c r="D395" i="18"/>
  <c r="E395" i="18"/>
  <c r="F395" i="18"/>
  <c r="G395" i="18"/>
  <c r="H395" i="18"/>
  <c r="I395" i="18"/>
  <c r="J395" i="18"/>
  <c r="K395" i="18"/>
  <c r="L395" i="18"/>
  <c r="B396" i="18"/>
  <c r="C396" i="18"/>
  <c r="D396" i="18"/>
  <c r="E396" i="18"/>
  <c r="F396" i="18"/>
  <c r="G396" i="18"/>
  <c r="H396" i="18"/>
  <c r="I396" i="18"/>
  <c r="J396" i="18"/>
  <c r="K396" i="18"/>
  <c r="L396" i="18"/>
  <c r="B397" i="18"/>
  <c r="C397" i="18"/>
  <c r="D397" i="18"/>
  <c r="E397" i="18"/>
  <c r="F397" i="18"/>
  <c r="G397" i="18"/>
  <c r="H397" i="18"/>
  <c r="I397" i="18"/>
  <c r="J397" i="18"/>
  <c r="K397" i="18"/>
  <c r="L397" i="18"/>
  <c r="B398" i="18"/>
  <c r="C398" i="18"/>
  <c r="D398" i="18"/>
  <c r="E398" i="18"/>
  <c r="F398" i="18"/>
  <c r="G398" i="18"/>
  <c r="H398" i="18"/>
  <c r="I398" i="18"/>
  <c r="J398" i="18"/>
  <c r="K398" i="18"/>
  <c r="L398" i="18"/>
  <c r="B399" i="18"/>
  <c r="C399" i="18"/>
  <c r="D399" i="18"/>
  <c r="E399" i="18"/>
  <c r="F399" i="18"/>
  <c r="G399" i="18"/>
  <c r="H399" i="18"/>
  <c r="I399" i="18"/>
  <c r="J399" i="18"/>
  <c r="K399" i="18"/>
  <c r="L399" i="18"/>
  <c r="B400" i="18"/>
  <c r="C400" i="18"/>
  <c r="D400" i="18"/>
  <c r="E400" i="18"/>
  <c r="F400" i="18"/>
  <c r="G400" i="18"/>
  <c r="H400" i="18"/>
  <c r="I400" i="18"/>
  <c r="J400" i="18"/>
  <c r="K400" i="18"/>
  <c r="L400" i="18"/>
  <c r="B401" i="18"/>
  <c r="C401" i="18"/>
  <c r="D401" i="18"/>
  <c r="E401" i="18"/>
  <c r="F401" i="18"/>
  <c r="G401" i="18"/>
  <c r="H401" i="18"/>
  <c r="I401" i="18"/>
  <c r="J401" i="18"/>
  <c r="K401" i="18"/>
  <c r="L401" i="18"/>
  <c r="B402" i="18"/>
  <c r="C402" i="18"/>
  <c r="D402" i="18"/>
  <c r="E402" i="18"/>
  <c r="F402" i="18"/>
  <c r="G402" i="18"/>
  <c r="H402" i="18"/>
  <c r="I402" i="18"/>
  <c r="J402" i="18"/>
  <c r="K402" i="18"/>
  <c r="L402" i="18"/>
  <c r="B403" i="18"/>
  <c r="C403" i="18"/>
  <c r="D403" i="18"/>
  <c r="E403" i="18"/>
  <c r="F403" i="18"/>
  <c r="G403" i="18"/>
  <c r="H403" i="18"/>
  <c r="I403" i="18"/>
  <c r="J403" i="18"/>
  <c r="K403" i="18"/>
  <c r="L403" i="18"/>
  <c r="B404" i="18"/>
  <c r="C404" i="18"/>
  <c r="D404" i="18"/>
  <c r="E404" i="18"/>
  <c r="F404" i="18"/>
  <c r="G404" i="18"/>
  <c r="H404" i="18"/>
  <c r="I404" i="18"/>
  <c r="J404" i="18"/>
  <c r="K404" i="18"/>
  <c r="L404" i="18"/>
  <c r="B405" i="18"/>
  <c r="C405" i="18"/>
  <c r="D405" i="18"/>
  <c r="E405" i="18"/>
  <c r="F405" i="18"/>
  <c r="G405" i="18"/>
  <c r="H405" i="18"/>
  <c r="I405" i="18"/>
  <c r="J405" i="18"/>
  <c r="K405" i="18"/>
  <c r="L405" i="18"/>
  <c r="B406" i="18"/>
  <c r="C406" i="18"/>
  <c r="D406" i="18"/>
  <c r="E406" i="18"/>
  <c r="F406" i="18"/>
  <c r="G406" i="18"/>
  <c r="H406" i="18"/>
  <c r="I406" i="18"/>
  <c r="J406" i="18"/>
  <c r="K406" i="18"/>
  <c r="L406" i="18"/>
  <c r="B407" i="18"/>
  <c r="C407" i="18"/>
  <c r="D407" i="18"/>
  <c r="E407" i="18"/>
  <c r="F407" i="18"/>
  <c r="G407" i="18"/>
  <c r="H407" i="18"/>
  <c r="I407" i="18"/>
  <c r="J407" i="18"/>
  <c r="K407" i="18"/>
  <c r="L407" i="18"/>
  <c r="B408" i="18"/>
  <c r="C408" i="18"/>
  <c r="D408" i="18"/>
  <c r="E408" i="18"/>
  <c r="F408" i="18"/>
  <c r="G408" i="18"/>
  <c r="H408" i="18"/>
  <c r="I408" i="18"/>
  <c r="J408" i="18"/>
  <c r="K408" i="18"/>
  <c r="L408" i="18"/>
  <c r="B409" i="18"/>
  <c r="C409" i="18"/>
  <c r="D409" i="18"/>
  <c r="E409" i="18"/>
  <c r="F409" i="18"/>
  <c r="G409" i="18"/>
  <c r="H409" i="18"/>
  <c r="I409" i="18"/>
  <c r="J409" i="18"/>
  <c r="K409" i="18"/>
  <c r="L409" i="18"/>
  <c r="B410" i="18"/>
  <c r="C410" i="18"/>
  <c r="D410" i="18"/>
  <c r="E410" i="18"/>
  <c r="F410" i="18"/>
  <c r="G410" i="18"/>
  <c r="H410" i="18"/>
  <c r="I410" i="18"/>
  <c r="J410" i="18"/>
  <c r="K410" i="18"/>
  <c r="L410" i="18"/>
  <c r="B411" i="18"/>
  <c r="C411" i="18"/>
  <c r="D411" i="18"/>
  <c r="E411" i="18"/>
  <c r="F411" i="18"/>
  <c r="G411" i="18"/>
  <c r="H411" i="18"/>
  <c r="I411" i="18"/>
  <c r="J411" i="18"/>
  <c r="K411" i="18"/>
  <c r="L411" i="18"/>
  <c r="B412" i="18"/>
  <c r="C412" i="18"/>
  <c r="D412" i="18"/>
  <c r="E412" i="18"/>
  <c r="F412" i="18"/>
  <c r="G412" i="18"/>
  <c r="H412" i="18"/>
  <c r="I412" i="18"/>
  <c r="J412" i="18"/>
  <c r="K412" i="18"/>
  <c r="L412" i="18"/>
  <c r="B413" i="18"/>
  <c r="C413" i="18"/>
  <c r="D413" i="18"/>
  <c r="E413" i="18"/>
  <c r="F413" i="18"/>
  <c r="G413" i="18"/>
  <c r="H413" i="18"/>
  <c r="I413" i="18"/>
  <c r="J413" i="18"/>
  <c r="K413" i="18"/>
  <c r="L413" i="18"/>
  <c r="B414" i="18"/>
  <c r="C414" i="18"/>
  <c r="D414" i="18"/>
  <c r="E414" i="18"/>
  <c r="F414" i="18"/>
  <c r="G414" i="18"/>
  <c r="H414" i="18"/>
  <c r="I414" i="18"/>
  <c r="J414" i="18"/>
  <c r="K414" i="18"/>
  <c r="L414" i="18"/>
  <c r="B415" i="18"/>
  <c r="C415" i="18"/>
  <c r="D415" i="18"/>
  <c r="E415" i="18"/>
  <c r="F415" i="18"/>
  <c r="G415" i="18"/>
  <c r="H415" i="18"/>
  <c r="I415" i="18"/>
  <c r="J415" i="18"/>
  <c r="K415" i="18"/>
  <c r="L415" i="18"/>
  <c r="B416" i="18"/>
  <c r="C416" i="18"/>
  <c r="D416" i="18"/>
  <c r="E416" i="18"/>
  <c r="F416" i="18"/>
  <c r="G416" i="18"/>
  <c r="H416" i="18"/>
  <c r="I416" i="18"/>
  <c r="J416" i="18"/>
  <c r="K416" i="18"/>
  <c r="L416" i="18"/>
  <c r="B417" i="18"/>
  <c r="C417" i="18"/>
  <c r="D417" i="18"/>
  <c r="E417" i="18"/>
  <c r="F417" i="18"/>
  <c r="G417" i="18"/>
  <c r="H417" i="18"/>
  <c r="I417" i="18"/>
  <c r="J417" i="18"/>
  <c r="K417" i="18"/>
  <c r="L417" i="18"/>
  <c r="B418" i="18"/>
  <c r="C418" i="18"/>
  <c r="D418" i="18"/>
  <c r="E418" i="18"/>
  <c r="F418" i="18"/>
  <c r="G418" i="18"/>
  <c r="H418" i="18"/>
  <c r="I418" i="18"/>
  <c r="J418" i="18"/>
  <c r="K418" i="18"/>
  <c r="L418" i="18"/>
  <c r="B419" i="18"/>
  <c r="C419" i="18"/>
  <c r="D419" i="18"/>
  <c r="E419" i="18"/>
  <c r="F419" i="18"/>
  <c r="G419" i="18"/>
  <c r="H419" i="18"/>
  <c r="I419" i="18"/>
  <c r="J419" i="18"/>
  <c r="K419" i="18"/>
  <c r="L419" i="18"/>
  <c r="B420" i="18"/>
  <c r="C420" i="18"/>
  <c r="D420" i="18"/>
  <c r="E420" i="18"/>
  <c r="F420" i="18"/>
  <c r="G420" i="18"/>
  <c r="H420" i="18"/>
  <c r="I420" i="18"/>
  <c r="J420" i="18"/>
  <c r="K420" i="18"/>
  <c r="L420" i="18"/>
  <c r="B421" i="18"/>
  <c r="C421" i="18"/>
  <c r="D421" i="18"/>
  <c r="E421" i="18"/>
  <c r="F421" i="18"/>
  <c r="G421" i="18"/>
  <c r="H421" i="18"/>
  <c r="I421" i="18"/>
  <c r="J421" i="18"/>
  <c r="K421" i="18"/>
  <c r="L421" i="18"/>
  <c r="B422" i="18"/>
  <c r="C422" i="18"/>
  <c r="D422" i="18"/>
  <c r="E422" i="18"/>
  <c r="F422" i="18"/>
  <c r="G422" i="18"/>
  <c r="H422" i="18"/>
  <c r="I422" i="18"/>
  <c r="J422" i="18"/>
  <c r="K422" i="18"/>
  <c r="L422" i="18"/>
  <c r="B423" i="18"/>
  <c r="C423" i="18"/>
  <c r="D423" i="18"/>
  <c r="E423" i="18"/>
  <c r="F423" i="18"/>
  <c r="G423" i="18"/>
  <c r="H423" i="18"/>
  <c r="I423" i="18"/>
  <c r="J423" i="18"/>
  <c r="K423" i="18"/>
  <c r="L423" i="18"/>
  <c r="B424" i="18"/>
  <c r="C424" i="18"/>
  <c r="D424" i="18"/>
  <c r="E424" i="18"/>
  <c r="F424" i="18"/>
  <c r="G424" i="18"/>
  <c r="H424" i="18"/>
  <c r="I424" i="18"/>
  <c r="J424" i="18"/>
  <c r="K424" i="18"/>
  <c r="L424" i="18"/>
  <c r="B425" i="18"/>
  <c r="C425" i="18"/>
  <c r="D425" i="18"/>
  <c r="E425" i="18"/>
  <c r="F425" i="18"/>
  <c r="G425" i="18"/>
  <c r="H425" i="18"/>
  <c r="I425" i="18"/>
  <c r="J425" i="18"/>
  <c r="K425" i="18"/>
  <c r="L425" i="18"/>
  <c r="B426" i="18"/>
  <c r="C426" i="18"/>
  <c r="D426" i="18"/>
  <c r="E426" i="18"/>
  <c r="F426" i="18"/>
  <c r="G426" i="18"/>
  <c r="H426" i="18"/>
  <c r="I426" i="18"/>
  <c r="J426" i="18"/>
  <c r="K426" i="18"/>
  <c r="L426" i="18"/>
  <c r="B427" i="18"/>
  <c r="C427" i="18"/>
  <c r="D427" i="18"/>
  <c r="E427" i="18"/>
  <c r="F427" i="18"/>
  <c r="G427" i="18"/>
  <c r="H427" i="18"/>
  <c r="I427" i="18"/>
  <c r="J427" i="18"/>
  <c r="K427" i="18"/>
  <c r="L427" i="18"/>
  <c r="B428" i="18"/>
  <c r="C428" i="18"/>
  <c r="D428" i="18"/>
  <c r="E428" i="18"/>
  <c r="F428" i="18"/>
  <c r="G428" i="18"/>
  <c r="H428" i="18"/>
  <c r="I428" i="18"/>
  <c r="J428" i="18"/>
  <c r="K428" i="18"/>
  <c r="L428" i="18"/>
  <c r="B429" i="18"/>
  <c r="C429" i="18"/>
  <c r="D429" i="18"/>
  <c r="E429" i="18"/>
  <c r="F429" i="18"/>
  <c r="G429" i="18"/>
  <c r="H429" i="18"/>
  <c r="I429" i="18"/>
  <c r="J429" i="18"/>
  <c r="K429" i="18"/>
  <c r="L429" i="18"/>
  <c r="B430" i="18"/>
  <c r="C430" i="18"/>
  <c r="D430" i="18"/>
  <c r="E430" i="18"/>
  <c r="F430" i="18"/>
  <c r="G430" i="18"/>
  <c r="H430" i="18"/>
  <c r="I430" i="18"/>
  <c r="J430" i="18"/>
  <c r="K430" i="18"/>
  <c r="L430" i="18"/>
  <c r="B431" i="18"/>
  <c r="C431" i="18"/>
  <c r="D431" i="18"/>
  <c r="E431" i="18"/>
  <c r="F431" i="18"/>
  <c r="G431" i="18"/>
  <c r="H431" i="18"/>
  <c r="I431" i="18"/>
  <c r="J431" i="18"/>
  <c r="K431" i="18"/>
  <c r="L431" i="18"/>
  <c r="B432" i="18"/>
  <c r="C432" i="18"/>
  <c r="D432" i="18"/>
  <c r="E432" i="18"/>
  <c r="F432" i="18"/>
  <c r="G432" i="18"/>
  <c r="H432" i="18"/>
  <c r="I432" i="18"/>
  <c r="J432" i="18"/>
  <c r="K432" i="18"/>
  <c r="L432" i="18"/>
  <c r="B433" i="18"/>
  <c r="C433" i="18"/>
  <c r="D433" i="18"/>
  <c r="E433" i="18"/>
  <c r="F433" i="18"/>
  <c r="G433" i="18"/>
  <c r="H433" i="18"/>
  <c r="I433" i="18"/>
  <c r="J433" i="18"/>
  <c r="K433" i="18"/>
  <c r="L433" i="18"/>
  <c r="B434" i="18"/>
  <c r="C434" i="18"/>
  <c r="D434" i="18"/>
  <c r="E434" i="18"/>
  <c r="F434" i="18"/>
  <c r="G434" i="18"/>
  <c r="H434" i="18"/>
  <c r="I434" i="18"/>
  <c r="J434" i="18"/>
  <c r="K434" i="18"/>
  <c r="L434" i="18"/>
  <c r="B435" i="18"/>
  <c r="C435" i="18"/>
  <c r="D435" i="18"/>
  <c r="E435" i="18"/>
  <c r="F435" i="18"/>
  <c r="G435" i="18"/>
  <c r="H435" i="18"/>
  <c r="I435" i="18"/>
  <c r="J435" i="18"/>
  <c r="K435" i="18"/>
  <c r="L435" i="18"/>
  <c r="B436" i="18"/>
  <c r="C436" i="18"/>
  <c r="D436" i="18"/>
  <c r="E436" i="18"/>
  <c r="F436" i="18"/>
  <c r="G436" i="18"/>
  <c r="H436" i="18"/>
  <c r="I436" i="18"/>
  <c r="J436" i="18"/>
  <c r="K436" i="18"/>
  <c r="L436" i="18"/>
  <c r="B437" i="18"/>
  <c r="C437" i="18"/>
  <c r="D437" i="18"/>
  <c r="E437" i="18"/>
  <c r="F437" i="18"/>
  <c r="G437" i="18"/>
  <c r="H437" i="18"/>
  <c r="I437" i="18"/>
  <c r="J437" i="18"/>
  <c r="K437" i="18"/>
  <c r="L437" i="18"/>
  <c r="B438" i="18"/>
  <c r="C438" i="18"/>
  <c r="D438" i="18"/>
  <c r="E438" i="18"/>
  <c r="F438" i="18"/>
  <c r="G438" i="18"/>
  <c r="H438" i="18"/>
  <c r="I438" i="18"/>
  <c r="J438" i="18"/>
  <c r="K438" i="18"/>
  <c r="L438" i="18"/>
  <c r="B439" i="18"/>
  <c r="C439" i="18"/>
  <c r="D439" i="18"/>
  <c r="E439" i="18"/>
  <c r="F439" i="18"/>
  <c r="G439" i="18"/>
  <c r="H439" i="18"/>
  <c r="I439" i="18"/>
  <c r="J439" i="18"/>
  <c r="K439" i="18"/>
  <c r="L439" i="18"/>
  <c r="B440" i="18"/>
  <c r="C440" i="18"/>
  <c r="D440" i="18"/>
  <c r="E440" i="18"/>
  <c r="F440" i="18"/>
  <c r="G440" i="18"/>
  <c r="H440" i="18"/>
  <c r="I440" i="18"/>
  <c r="J440" i="18"/>
  <c r="K440" i="18"/>
  <c r="L440" i="18"/>
  <c r="B441" i="18"/>
  <c r="C441" i="18"/>
  <c r="D441" i="18"/>
  <c r="E441" i="18"/>
  <c r="F441" i="18"/>
  <c r="G441" i="18"/>
  <c r="H441" i="18"/>
  <c r="I441" i="18"/>
  <c r="J441" i="18"/>
  <c r="K441" i="18"/>
  <c r="L441" i="18"/>
  <c r="B442" i="18"/>
  <c r="C442" i="18"/>
  <c r="D442" i="18"/>
  <c r="E442" i="18"/>
  <c r="F442" i="18"/>
  <c r="G442" i="18"/>
  <c r="H442" i="18"/>
  <c r="I442" i="18"/>
  <c r="J442" i="18"/>
  <c r="K442" i="18"/>
  <c r="L442" i="18"/>
  <c r="B443" i="18"/>
  <c r="C443" i="18"/>
  <c r="D443" i="18"/>
  <c r="E443" i="18"/>
  <c r="F443" i="18"/>
  <c r="G443" i="18"/>
  <c r="H443" i="18"/>
  <c r="I443" i="18"/>
  <c r="J443" i="18"/>
  <c r="K443" i="18"/>
  <c r="L443" i="18"/>
  <c r="B444" i="18"/>
  <c r="C444" i="18"/>
  <c r="D444" i="18"/>
  <c r="E444" i="18"/>
  <c r="F444" i="18"/>
  <c r="G444" i="18"/>
  <c r="H444" i="18"/>
  <c r="I444" i="18"/>
  <c r="J444" i="18"/>
  <c r="K444" i="18"/>
  <c r="L444" i="18"/>
  <c r="B445" i="18"/>
  <c r="C445" i="18"/>
  <c r="D445" i="18"/>
  <c r="E445" i="18"/>
  <c r="F445" i="18"/>
  <c r="G445" i="18"/>
  <c r="H445" i="18"/>
  <c r="I445" i="18"/>
  <c r="J445" i="18"/>
  <c r="K445" i="18"/>
  <c r="L445" i="18"/>
  <c r="B446" i="18"/>
  <c r="C446" i="18"/>
  <c r="D446" i="18"/>
  <c r="E446" i="18"/>
  <c r="F446" i="18"/>
  <c r="G446" i="18"/>
  <c r="H446" i="18"/>
  <c r="I446" i="18"/>
  <c r="J446" i="18"/>
  <c r="K446" i="18"/>
  <c r="L446" i="18"/>
  <c r="B447" i="18"/>
  <c r="C447" i="18"/>
  <c r="D447" i="18"/>
  <c r="E447" i="18"/>
  <c r="F447" i="18"/>
  <c r="G447" i="18"/>
  <c r="H447" i="18"/>
  <c r="I447" i="18"/>
  <c r="J447" i="18"/>
  <c r="K447" i="18"/>
  <c r="L447" i="18"/>
  <c r="B448" i="18"/>
  <c r="C448" i="18"/>
  <c r="D448" i="18"/>
  <c r="E448" i="18"/>
  <c r="F448" i="18"/>
  <c r="G448" i="18"/>
  <c r="H448" i="18"/>
  <c r="I448" i="18"/>
  <c r="J448" i="18"/>
  <c r="K448" i="18"/>
  <c r="L448" i="18"/>
  <c r="B449" i="18"/>
  <c r="C449" i="18"/>
  <c r="D449" i="18"/>
  <c r="E449" i="18"/>
  <c r="F449" i="18"/>
  <c r="G449" i="18"/>
  <c r="H449" i="18"/>
  <c r="I449" i="18"/>
  <c r="J449" i="18"/>
  <c r="K449" i="18"/>
  <c r="L449" i="18"/>
  <c r="B450" i="18"/>
  <c r="C450" i="18"/>
  <c r="D450" i="18"/>
  <c r="E450" i="18"/>
  <c r="F450" i="18"/>
  <c r="G450" i="18"/>
  <c r="H450" i="18"/>
  <c r="I450" i="18"/>
  <c r="J450" i="18"/>
  <c r="K450" i="18"/>
  <c r="L450" i="18"/>
  <c r="B451" i="18"/>
  <c r="C451" i="18"/>
  <c r="D451" i="18"/>
  <c r="E451" i="18"/>
  <c r="F451" i="18"/>
  <c r="G451" i="18"/>
  <c r="H451" i="18"/>
  <c r="I451" i="18"/>
  <c r="J451" i="18"/>
  <c r="K451" i="18"/>
  <c r="L451" i="18"/>
  <c r="B452" i="18"/>
  <c r="C452" i="18"/>
  <c r="D452" i="18"/>
  <c r="E452" i="18"/>
  <c r="F452" i="18"/>
  <c r="G452" i="18"/>
  <c r="H452" i="18"/>
  <c r="I452" i="18"/>
  <c r="J452" i="18"/>
  <c r="K452" i="18"/>
  <c r="L452" i="18"/>
  <c r="B453" i="18"/>
  <c r="C453" i="18"/>
  <c r="D453" i="18"/>
  <c r="E453" i="18"/>
  <c r="F453" i="18"/>
  <c r="G453" i="18"/>
  <c r="H453" i="18"/>
  <c r="I453" i="18"/>
  <c r="J453" i="18"/>
  <c r="K453" i="18"/>
  <c r="L453" i="18"/>
  <c r="B454" i="18"/>
  <c r="C454" i="18"/>
  <c r="D454" i="18"/>
  <c r="E454" i="18"/>
  <c r="F454" i="18"/>
  <c r="G454" i="18"/>
  <c r="H454" i="18"/>
  <c r="I454" i="18"/>
  <c r="J454" i="18"/>
  <c r="K454" i="18"/>
  <c r="L454" i="18"/>
  <c r="B455" i="18"/>
  <c r="C455" i="18"/>
  <c r="D455" i="18"/>
  <c r="E455" i="18"/>
  <c r="F455" i="18"/>
  <c r="G455" i="18"/>
  <c r="H455" i="18"/>
  <c r="I455" i="18"/>
  <c r="J455" i="18"/>
  <c r="K455" i="18"/>
  <c r="L455" i="18"/>
  <c r="B456" i="18"/>
  <c r="C456" i="18"/>
  <c r="D456" i="18"/>
  <c r="E456" i="18"/>
  <c r="F456" i="18"/>
  <c r="G456" i="18"/>
  <c r="H456" i="18"/>
  <c r="I456" i="18"/>
  <c r="J456" i="18"/>
  <c r="K456" i="18"/>
  <c r="L456" i="18"/>
  <c r="B457" i="18"/>
  <c r="C457" i="18"/>
  <c r="D457" i="18"/>
  <c r="E457" i="18"/>
  <c r="F457" i="18"/>
  <c r="G457" i="18"/>
  <c r="H457" i="18"/>
  <c r="I457" i="18"/>
  <c r="J457" i="18"/>
  <c r="K457" i="18"/>
  <c r="L457" i="18"/>
  <c r="B458" i="18"/>
  <c r="C458" i="18"/>
  <c r="D458" i="18"/>
  <c r="E458" i="18"/>
  <c r="F458" i="18"/>
  <c r="G458" i="18"/>
  <c r="H458" i="18"/>
  <c r="I458" i="18"/>
  <c r="J458" i="18"/>
  <c r="K458" i="18"/>
  <c r="L458" i="18"/>
  <c r="B459" i="18"/>
  <c r="C459" i="18"/>
  <c r="D459" i="18"/>
  <c r="E459" i="18"/>
  <c r="F459" i="18"/>
  <c r="G459" i="18"/>
  <c r="H459" i="18"/>
  <c r="I459" i="18"/>
  <c r="J459" i="18"/>
  <c r="K459" i="18"/>
  <c r="L459" i="18"/>
  <c r="B460" i="18"/>
  <c r="C460" i="18"/>
  <c r="D460" i="18"/>
  <c r="E460" i="18"/>
  <c r="F460" i="18"/>
  <c r="G460" i="18"/>
  <c r="H460" i="18"/>
  <c r="I460" i="18"/>
  <c r="J460" i="18"/>
  <c r="K460" i="18"/>
  <c r="L460" i="18"/>
  <c r="B461" i="18"/>
  <c r="C461" i="18"/>
  <c r="D461" i="18"/>
  <c r="E461" i="18"/>
  <c r="F461" i="18"/>
  <c r="G461" i="18"/>
  <c r="H461" i="18"/>
  <c r="I461" i="18"/>
  <c r="J461" i="18"/>
  <c r="K461" i="18"/>
  <c r="L461" i="18"/>
  <c r="B462" i="18"/>
  <c r="C462" i="18"/>
  <c r="D462" i="18"/>
  <c r="E462" i="18"/>
  <c r="F462" i="18"/>
  <c r="G462" i="18"/>
  <c r="H462" i="18"/>
  <c r="I462" i="18"/>
  <c r="J462" i="18"/>
  <c r="K462" i="18"/>
  <c r="L462" i="18"/>
  <c r="B463" i="18"/>
  <c r="C463" i="18"/>
  <c r="D463" i="18"/>
  <c r="E463" i="18"/>
  <c r="F463" i="18"/>
  <c r="G463" i="18"/>
  <c r="H463" i="18"/>
  <c r="I463" i="18"/>
  <c r="J463" i="18"/>
  <c r="K463" i="18"/>
  <c r="L463" i="18"/>
  <c r="B464" i="18"/>
  <c r="C464" i="18"/>
  <c r="D464" i="18"/>
  <c r="E464" i="18"/>
  <c r="F464" i="18"/>
  <c r="G464" i="18"/>
  <c r="H464" i="18"/>
  <c r="I464" i="18"/>
  <c r="J464" i="18"/>
  <c r="K464" i="18"/>
  <c r="L464" i="18"/>
  <c r="B465" i="18"/>
  <c r="C465" i="18"/>
  <c r="D465" i="18"/>
  <c r="E465" i="18"/>
  <c r="F465" i="18"/>
  <c r="G465" i="18"/>
  <c r="H465" i="18"/>
  <c r="I465" i="18"/>
  <c r="J465" i="18"/>
  <c r="K465" i="18"/>
  <c r="L465" i="18"/>
  <c r="B466" i="18"/>
  <c r="C466" i="18"/>
  <c r="D466" i="18"/>
  <c r="E466" i="18"/>
  <c r="F466" i="18"/>
  <c r="G466" i="18"/>
  <c r="H466" i="18"/>
  <c r="I466" i="18"/>
  <c r="J466" i="18"/>
  <c r="K466" i="18"/>
  <c r="L466" i="18"/>
  <c r="B467" i="18"/>
  <c r="C467" i="18"/>
  <c r="D467" i="18"/>
  <c r="E467" i="18"/>
  <c r="F467" i="18"/>
  <c r="G467" i="18"/>
  <c r="H467" i="18"/>
  <c r="I467" i="18"/>
  <c r="J467" i="18"/>
  <c r="K467" i="18"/>
  <c r="L467" i="18"/>
  <c r="B468" i="18"/>
  <c r="C468" i="18"/>
  <c r="D468" i="18"/>
  <c r="E468" i="18"/>
  <c r="F468" i="18"/>
  <c r="G468" i="18"/>
  <c r="H468" i="18"/>
  <c r="I468" i="18"/>
  <c r="J468" i="18"/>
  <c r="K468" i="18"/>
  <c r="L468" i="18"/>
  <c r="B469" i="18"/>
  <c r="C469" i="18"/>
  <c r="D469" i="18"/>
  <c r="E469" i="18"/>
  <c r="F469" i="18"/>
  <c r="G469" i="18"/>
  <c r="H469" i="18"/>
  <c r="I469" i="18"/>
  <c r="J469" i="18"/>
  <c r="K469" i="18"/>
  <c r="L469" i="18"/>
  <c r="B470" i="18"/>
  <c r="C470" i="18"/>
  <c r="D470" i="18"/>
  <c r="E470" i="18"/>
  <c r="F470" i="18"/>
  <c r="G470" i="18"/>
  <c r="H470" i="18"/>
  <c r="I470" i="18"/>
  <c r="J470" i="18"/>
  <c r="K470" i="18"/>
  <c r="L470" i="18"/>
  <c r="B471" i="18"/>
  <c r="C471" i="18"/>
  <c r="D471" i="18"/>
  <c r="E471" i="18"/>
  <c r="F471" i="18"/>
  <c r="G471" i="18"/>
  <c r="H471" i="18"/>
  <c r="I471" i="18"/>
  <c r="J471" i="18"/>
  <c r="K471" i="18"/>
  <c r="L471" i="18"/>
  <c r="B472" i="18"/>
  <c r="C472" i="18"/>
  <c r="D472" i="18"/>
  <c r="E472" i="18"/>
  <c r="F472" i="18"/>
  <c r="G472" i="18"/>
  <c r="H472" i="18"/>
  <c r="I472" i="18"/>
  <c r="J472" i="18"/>
  <c r="K472" i="18"/>
  <c r="L472" i="18"/>
  <c r="B473" i="18"/>
  <c r="C473" i="18"/>
  <c r="D473" i="18"/>
  <c r="E473" i="18"/>
  <c r="F473" i="18"/>
  <c r="G473" i="18"/>
  <c r="H473" i="18"/>
  <c r="I473" i="18"/>
  <c r="J473" i="18"/>
  <c r="K473" i="18"/>
  <c r="L473" i="18"/>
  <c r="B474" i="18"/>
  <c r="C474" i="18"/>
  <c r="D474" i="18"/>
  <c r="E474" i="18"/>
  <c r="F474" i="18"/>
  <c r="G474" i="18"/>
  <c r="H474" i="18"/>
  <c r="I474" i="18"/>
  <c r="J474" i="18"/>
  <c r="K474" i="18"/>
  <c r="L474" i="18"/>
  <c r="B475" i="18"/>
  <c r="C475" i="18"/>
  <c r="D475" i="18"/>
  <c r="E475" i="18"/>
  <c r="F475" i="18"/>
  <c r="G475" i="18"/>
  <c r="H475" i="18"/>
  <c r="I475" i="18"/>
  <c r="J475" i="18"/>
  <c r="K475" i="18"/>
  <c r="L475" i="18"/>
  <c r="B476" i="18"/>
  <c r="C476" i="18"/>
  <c r="D476" i="18"/>
  <c r="E476" i="18"/>
  <c r="F476" i="18"/>
  <c r="G476" i="18"/>
  <c r="H476" i="18"/>
  <c r="I476" i="18"/>
  <c r="J476" i="18"/>
  <c r="K476" i="18"/>
  <c r="L476" i="18"/>
  <c r="B477" i="18"/>
  <c r="C477" i="18"/>
  <c r="D477" i="18"/>
  <c r="E477" i="18"/>
  <c r="F477" i="18"/>
  <c r="G477" i="18"/>
  <c r="H477" i="18"/>
  <c r="I477" i="18"/>
  <c r="J477" i="18"/>
  <c r="K477" i="18"/>
  <c r="L477" i="18"/>
  <c r="B478" i="18"/>
  <c r="C478" i="18"/>
  <c r="D478" i="18"/>
  <c r="E478" i="18"/>
  <c r="F478" i="18"/>
  <c r="G478" i="18"/>
  <c r="H478" i="18"/>
  <c r="I478" i="18"/>
  <c r="J478" i="18"/>
  <c r="K478" i="18"/>
  <c r="L478" i="18"/>
  <c r="B479" i="18"/>
  <c r="C479" i="18"/>
  <c r="D479" i="18"/>
  <c r="E479" i="18"/>
  <c r="F479" i="18"/>
  <c r="G479" i="18"/>
  <c r="H479" i="18"/>
  <c r="I479" i="18"/>
  <c r="J479" i="18"/>
  <c r="K479" i="18"/>
  <c r="L479" i="18"/>
  <c r="B480" i="18"/>
  <c r="C480" i="18"/>
  <c r="D480" i="18"/>
  <c r="E480" i="18"/>
  <c r="F480" i="18"/>
  <c r="G480" i="18"/>
  <c r="H480" i="18"/>
  <c r="I480" i="18"/>
  <c r="J480" i="18"/>
  <c r="K480" i="18"/>
  <c r="L480" i="18"/>
  <c r="B481" i="18"/>
  <c r="C481" i="18"/>
  <c r="D481" i="18"/>
  <c r="E481" i="18"/>
  <c r="F481" i="18"/>
  <c r="G481" i="18"/>
  <c r="H481" i="18"/>
  <c r="I481" i="18"/>
  <c r="J481" i="18"/>
  <c r="K481" i="18"/>
  <c r="L481" i="18"/>
  <c r="B482" i="18"/>
  <c r="C482" i="18"/>
  <c r="D482" i="18"/>
  <c r="E482" i="18"/>
  <c r="F482" i="18"/>
  <c r="G482" i="18"/>
  <c r="H482" i="18"/>
  <c r="I482" i="18"/>
  <c r="J482" i="18"/>
  <c r="K482" i="18"/>
  <c r="L482" i="18"/>
  <c r="B483" i="18"/>
  <c r="C483" i="18"/>
  <c r="D483" i="18"/>
  <c r="E483" i="18"/>
  <c r="F483" i="18"/>
  <c r="G483" i="18"/>
  <c r="H483" i="18"/>
  <c r="I483" i="18"/>
  <c r="J483" i="18"/>
  <c r="K483" i="18"/>
  <c r="L483" i="18"/>
  <c r="B484" i="18"/>
  <c r="C484" i="18"/>
  <c r="D484" i="18"/>
  <c r="E484" i="18"/>
  <c r="F484" i="18"/>
  <c r="G484" i="18"/>
  <c r="H484" i="18"/>
  <c r="I484" i="18"/>
  <c r="J484" i="18"/>
  <c r="K484" i="18"/>
  <c r="L484" i="18"/>
  <c r="B485" i="18"/>
  <c r="C485" i="18"/>
  <c r="D485" i="18"/>
  <c r="E485" i="18"/>
  <c r="F485" i="18"/>
  <c r="G485" i="18"/>
  <c r="H485" i="18"/>
  <c r="I485" i="18"/>
  <c r="J485" i="18"/>
  <c r="K485" i="18"/>
  <c r="L485" i="18"/>
  <c r="B486" i="18"/>
  <c r="C486" i="18"/>
  <c r="D486" i="18"/>
  <c r="E486" i="18"/>
  <c r="F486" i="18"/>
  <c r="G486" i="18"/>
  <c r="H486" i="18"/>
  <c r="I486" i="18"/>
  <c r="J486" i="18"/>
  <c r="K486" i="18"/>
  <c r="L486" i="18"/>
  <c r="B487" i="18"/>
  <c r="C487" i="18"/>
  <c r="D487" i="18"/>
  <c r="E487" i="18"/>
  <c r="F487" i="18"/>
  <c r="G487" i="18"/>
  <c r="H487" i="18"/>
  <c r="I487" i="18"/>
  <c r="J487" i="18"/>
  <c r="K487" i="18"/>
  <c r="L487" i="18"/>
  <c r="B488" i="18"/>
  <c r="C488" i="18"/>
  <c r="D488" i="18"/>
  <c r="E488" i="18"/>
  <c r="F488" i="18"/>
  <c r="G488" i="18"/>
  <c r="H488" i="18"/>
  <c r="I488" i="18"/>
  <c r="J488" i="18"/>
  <c r="K488" i="18"/>
  <c r="L488" i="18"/>
  <c r="B489" i="18"/>
  <c r="C489" i="18"/>
  <c r="D489" i="18"/>
  <c r="E489" i="18"/>
  <c r="F489" i="18"/>
  <c r="G489" i="18"/>
  <c r="H489" i="18"/>
  <c r="I489" i="18"/>
  <c r="J489" i="18"/>
  <c r="K489" i="18"/>
  <c r="L489" i="18"/>
  <c r="B490" i="18"/>
  <c r="C490" i="18"/>
  <c r="D490" i="18"/>
  <c r="E490" i="18"/>
  <c r="F490" i="18"/>
  <c r="G490" i="18"/>
  <c r="H490" i="18"/>
  <c r="I490" i="18"/>
  <c r="J490" i="18"/>
  <c r="K490" i="18"/>
  <c r="L490" i="18"/>
  <c r="B491" i="18"/>
  <c r="C491" i="18"/>
  <c r="D491" i="18"/>
  <c r="E491" i="18"/>
  <c r="F491" i="18"/>
  <c r="G491" i="18"/>
  <c r="H491" i="18"/>
  <c r="I491" i="18"/>
  <c r="J491" i="18"/>
  <c r="K491" i="18"/>
  <c r="L491" i="18"/>
  <c r="B492" i="18"/>
  <c r="C492" i="18"/>
  <c r="D492" i="18"/>
  <c r="E492" i="18"/>
  <c r="F492" i="18"/>
  <c r="G492" i="18"/>
  <c r="H492" i="18"/>
  <c r="I492" i="18"/>
  <c r="J492" i="18"/>
  <c r="K492" i="18"/>
  <c r="L492" i="18"/>
  <c r="B493" i="18"/>
  <c r="C493" i="18"/>
  <c r="D493" i="18"/>
  <c r="E493" i="18"/>
  <c r="F493" i="18"/>
  <c r="G493" i="18"/>
  <c r="H493" i="18"/>
  <c r="I493" i="18"/>
  <c r="J493" i="18"/>
  <c r="K493" i="18"/>
  <c r="L493" i="18"/>
  <c r="B494" i="18"/>
  <c r="C494" i="18"/>
  <c r="D494" i="18"/>
  <c r="E494" i="18"/>
  <c r="F494" i="18"/>
  <c r="G494" i="18"/>
  <c r="H494" i="18"/>
  <c r="I494" i="18"/>
  <c r="J494" i="18"/>
  <c r="K494" i="18"/>
  <c r="L494" i="18"/>
  <c r="B495" i="18"/>
  <c r="C495" i="18"/>
  <c r="D495" i="18"/>
  <c r="E495" i="18"/>
  <c r="F495" i="18"/>
  <c r="G495" i="18"/>
  <c r="H495" i="18"/>
  <c r="I495" i="18"/>
  <c r="J495" i="18"/>
  <c r="K495" i="18"/>
  <c r="L495" i="18"/>
  <c r="B496" i="18"/>
  <c r="C496" i="18"/>
  <c r="D496" i="18"/>
  <c r="E496" i="18"/>
  <c r="F496" i="18"/>
  <c r="G496" i="18"/>
  <c r="H496" i="18"/>
  <c r="I496" i="18"/>
  <c r="J496" i="18"/>
  <c r="K496" i="18"/>
  <c r="L496" i="18"/>
  <c r="B497" i="18"/>
  <c r="C497" i="18"/>
  <c r="D497" i="18"/>
  <c r="E497" i="18"/>
  <c r="F497" i="18"/>
  <c r="G497" i="18"/>
  <c r="H497" i="18"/>
  <c r="I497" i="18"/>
  <c r="J497" i="18"/>
  <c r="K497" i="18"/>
  <c r="L497" i="18"/>
  <c r="B498" i="18"/>
  <c r="C498" i="18"/>
  <c r="D498" i="18"/>
  <c r="E498" i="18"/>
  <c r="F498" i="18"/>
  <c r="G498" i="18"/>
  <c r="H498" i="18"/>
  <c r="I498" i="18"/>
  <c r="J498" i="18"/>
  <c r="K498" i="18"/>
  <c r="L498" i="18"/>
  <c r="B499" i="18"/>
  <c r="C499" i="18"/>
  <c r="D499" i="18"/>
  <c r="E499" i="18"/>
  <c r="F499" i="18"/>
  <c r="G499" i="18"/>
  <c r="H499" i="18"/>
  <c r="I499" i="18"/>
  <c r="J499" i="18"/>
  <c r="K499" i="18"/>
  <c r="L499" i="18"/>
  <c r="B500" i="18"/>
  <c r="C500" i="18"/>
  <c r="D500" i="18"/>
  <c r="E500" i="18"/>
  <c r="F500" i="18"/>
  <c r="G500" i="18"/>
  <c r="H500" i="18"/>
  <c r="I500" i="18"/>
  <c r="J500" i="18"/>
  <c r="K500" i="18"/>
  <c r="L500" i="18"/>
  <c r="B501" i="18"/>
  <c r="C501" i="18"/>
  <c r="D501" i="18"/>
  <c r="E501" i="18"/>
  <c r="F501" i="18"/>
  <c r="G501" i="18"/>
  <c r="H501" i="18"/>
  <c r="I501" i="18"/>
  <c r="J501" i="18"/>
  <c r="K501" i="18"/>
  <c r="L501" i="18"/>
  <c r="B502" i="18"/>
  <c r="C502" i="18"/>
  <c r="D502" i="18"/>
  <c r="E502" i="18"/>
  <c r="F502" i="18"/>
  <c r="G502" i="18"/>
  <c r="H502" i="18"/>
  <c r="I502" i="18"/>
  <c r="J502" i="18"/>
  <c r="K502" i="18"/>
  <c r="L502" i="18"/>
  <c r="B503" i="18"/>
  <c r="C503" i="18"/>
  <c r="D503" i="18"/>
  <c r="E503" i="18"/>
  <c r="F503" i="18"/>
  <c r="G503" i="18"/>
  <c r="H503" i="18"/>
  <c r="I503" i="18"/>
  <c r="J503" i="18"/>
  <c r="K503" i="18"/>
  <c r="L503" i="18"/>
  <c r="B504" i="18"/>
  <c r="C504" i="18"/>
  <c r="D504" i="18"/>
  <c r="E504" i="18"/>
  <c r="F504" i="18"/>
  <c r="G504" i="18"/>
  <c r="H504" i="18"/>
  <c r="I504" i="18"/>
  <c r="J504" i="18"/>
  <c r="K504" i="18"/>
  <c r="L504" i="18"/>
  <c r="B505" i="18"/>
  <c r="C505" i="18"/>
  <c r="D505" i="18"/>
  <c r="E505" i="18"/>
  <c r="F505" i="18"/>
  <c r="G505" i="18"/>
  <c r="H505" i="18"/>
  <c r="I505" i="18"/>
  <c r="J505" i="18"/>
  <c r="K505" i="18"/>
  <c r="L505" i="18"/>
  <c r="B506" i="18"/>
  <c r="C506" i="18"/>
  <c r="D506" i="18"/>
  <c r="E506" i="18"/>
  <c r="F506" i="18"/>
  <c r="G506" i="18"/>
  <c r="H506" i="18"/>
  <c r="I506" i="18"/>
  <c r="J506" i="18"/>
  <c r="K506" i="18"/>
  <c r="L506" i="18"/>
  <c r="B507" i="18"/>
  <c r="C507" i="18"/>
  <c r="D507" i="18"/>
  <c r="E507" i="18"/>
  <c r="F507" i="18"/>
  <c r="G507" i="18"/>
  <c r="H507" i="18"/>
  <c r="I507" i="18"/>
  <c r="J507" i="18"/>
  <c r="K507" i="18"/>
  <c r="L507" i="18"/>
  <c r="B508" i="18"/>
  <c r="C508" i="18"/>
  <c r="D508" i="18"/>
  <c r="E508" i="18"/>
  <c r="F508" i="18"/>
  <c r="G508" i="18"/>
  <c r="H508" i="18"/>
  <c r="I508" i="18"/>
  <c r="J508" i="18"/>
  <c r="K508" i="18"/>
  <c r="L508" i="18"/>
  <c r="B509" i="18"/>
  <c r="C509" i="18"/>
  <c r="D509" i="18"/>
  <c r="E509" i="18"/>
  <c r="F509" i="18"/>
  <c r="G509" i="18"/>
  <c r="H509" i="18"/>
  <c r="I509" i="18"/>
  <c r="J509" i="18"/>
  <c r="K509" i="18"/>
  <c r="L509" i="18"/>
  <c r="B510" i="18"/>
  <c r="C510" i="18"/>
  <c r="D510" i="18"/>
  <c r="E510" i="18"/>
  <c r="F510" i="18"/>
  <c r="G510" i="18"/>
  <c r="H510" i="18"/>
  <c r="I510" i="18"/>
  <c r="J510" i="18"/>
  <c r="K510" i="18"/>
  <c r="L510" i="18"/>
  <c r="B511" i="18"/>
  <c r="C511" i="18"/>
  <c r="D511" i="18"/>
  <c r="E511" i="18"/>
  <c r="F511" i="18"/>
  <c r="G511" i="18"/>
  <c r="H511" i="18"/>
  <c r="I511" i="18"/>
  <c r="J511" i="18"/>
  <c r="K511" i="18"/>
  <c r="L511" i="18"/>
  <c r="B512" i="18"/>
  <c r="C512" i="18"/>
  <c r="D512" i="18"/>
  <c r="E512" i="18"/>
  <c r="F512" i="18"/>
  <c r="G512" i="18"/>
  <c r="H512" i="18"/>
  <c r="I512" i="18"/>
  <c r="J512" i="18"/>
  <c r="K512" i="18"/>
  <c r="L512" i="18"/>
  <c r="B513" i="18"/>
  <c r="C513" i="18"/>
  <c r="D513" i="18"/>
  <c r="E513" i="18"/>
  <c r="F513" i="18"/>
  <c r="G513" i="18"/>
  <c r="H513" i="18"/>
  <c r="I513" i="18"/>
  <c r="J513" i="18"/>
  <c r="K513" i="18"/>
  <c r="L513" i="18"/>
  <c r="B514" i="18"/>
  <c r="C514" i="18"/>
  <c r="D514" i="18"/>
  <c r="E514" i="18"/>
  <c r="F514" i="18"/>
  <c r="G514" i="18"/>
  <c r="H514" i="18"/>
  <c r="I514" i="18"/>
  <c r="J514" i="18"/>
  <c r="K514" i="18"/>
  <c r="L514" i="18"/>
  <c r="B515" i="18"/>
  <c r="C515" i="18"/>
  <c r="D515" i="18"/>
  <c r="E515" i="18"/>
  <c r="F515" i="18"/>
  <c r="G515" i="18"/>
  <c r="H515" i="18"/>
  <c r="I515" i="18"/>
  <c r="J515" i="18"/>
  <c r="K515" i="18"/>
  <c r="L515" i="18"/>
  <c r="B516" i="18"/>
  <c r="C516" i="18"/>
  <c r="D516" i="18"/>
  <c r="E516" i="18"/>
  <c r="F516" i="18"/>
  <c r="G516" i="18"/>
  <c r="H516" i="18"/>
  <c r="I516" i="18"/>
  <c r="J516" i="18"/>
  <c r="K516" i="18"/>
  <c r="L516" i="18"/>
  <c r="B517" i="18"/>
  <c r="C517" i="18"/>
  <c r="D517" i="18"/>
  <c r="E517" i="18"/>
  <c r="F517" i="18"/>
  <c r="G517" i="18"/>
  <c r="H517" i="18"/>
  <c r="I517" i="18"/>
  <c r="J517" i="18"/>
  <c r="K517" i="18"/>
  <c r="L517" i="18"/>
  <c r="B518" i="18"/>
  <c r="C518" i="18"/>
  <c r="D518" i="18"/>
  <c r="E518" i="18"/>
  <c r="F518" i="18"/>
  <c r="G518" i="18"/>
  <c r="H518" i="18"/>
  <c r="I518" i="18"/>
  <c r="J518" i="18"/>
  <c r="K518" i="18"/>
  <c r="L518" i="18"/>
  <c r="B519" i="18"/>
  <c r="C519" i="18"/>
  <c r="D519" i="18"/>
  <c r="E519" i="18"/>
  <c r="F519" i="18"/>
  <c r="G519" i="18"/>
  <c r="H519" i="18"/>
  <c r="I519" i="18"/>
  <c r="J519" i="18"/>
  <c r="K519" i="18"/>
  <c r="L519" i="18"/>
  <c r="B520" i="18"/>
  <c r="C520" i="18"/>
  <c r="D520" i="18"/>
  <c r="E520" i="18"/>
  <c r="F520" i="18"/>
  <c r="G520" i="18"/>
  <c r="H520" i="18"/>
  <c r="I520" i="18"/>
  <c r="J520" i="18"/>
  <c r="K520" i="18"/>
  <c r="L520" i="18"/>
  <c r="B521" i="18"/>
  <c r="C521" i="18"/>
  <c r="D521" i="18"/>
  <c r="E521" i="18"/>
  <c r="F521" i="18"/>
  <c r="G521" i="18"/>
  <c r="H521" i="18"/>
  <c r="I521" i="18"/>
  <c r="J521" i="18"/>
  <c r="K521" i="18"/>
  <c r="L521" i="18"/>
  <c r="B522" i="18"/>
  <c r="C522" i="18"/>
  <c r="D522" i="18"/>
  <c r="E522" i="18"/>
  <c r="F522" i="18"/>
  <c r="G522" i="18"/>
  <c r="H522" i="18"/>
  <c r="I522" i="18"/>
  <c r="J522" i="18"/>
  <c r="K522" i="18"/>
  <c r="L522" i="18"/>
  <c r="B523" i="18"/>
  <c r="C523" i="18"/>
  <c r="D523" i="18"/>
  <c r="E523" i="18"/>
  <c r="F523" i="18"/>
  <c r="G523" i="18"/>
  <c r="H523" i="18"/>
  <c r="I523" i="18"/>
  <c r="J523" i="18"/>
  <c r="K523" i="18"/>
  <c r="L523" i="18"/>
  <c r="B524" i="18"/>
  <c r="C524" i="18"/>
  <c r="D524" i="18"/>
  <c r="E524" i="18"/>
  <c r="F524" i="18"/>
  <c r="G524" i="18"/>
  <c r="H524" i="18"/>
  <c r="I524" i="18"/>
  <c r="J524" i="18"/>
  <c r="K524" i="18"/>
  <c r="L524" i="18"/>
  <c r="B525" i="18"/>
  <c r="C525" i="18"/>
  <c r="D525" i="18"/>
  <c r="E525" i="18"/>
  <c r="F525" i="18"/>
  <c r="G525" i="18"/>
  <c r="H525" i="18"/>
  <c r="I525" i="18"/>
  <c r="J525" i="18"/>
  <c r="K525" i="18"/>
  <c r="L525" i="18"/>
  <c r="B526" i="18"/>
  <c r="C526" i="18"/>
  <c r="D526" i="18"/>
  <c r="E526" i="18"/>
  <c r="F526" i="18"/>
  <c r="G526" i="18"/>
  <c r="H526" i="18"/>
  <c r="I526" i="18"/>
  <c r="J526" i="18"/>
  <c r="K526" i="18"/>
  <c r="L526" i="18"/>
  <c r="B527" i="18"/>
  <c r="C527" i="18"/>
  <c r="D527" i="18"/>
  <c r="E527" i="18"/>
  <c r="F527" i="18"/>
  <c r="G527" i="18"/>
  <c r="H527" i="18"/>
  <c r="I527" i="18"/>
  <c r="J527" i="18"/>
  <c r="K527" i="18"/>
  <c r="L527" i="18"/>
  <c r="B528" i="18"/>
  <c r="C528" i="18"/>
  <c r="D528" i="18"/>
  <c r="E528" i="18"/>
  <c r="F528" i="18"/>
  <c r="G528" i="18"/>
  <c r="H528" i="18"/>
  <c r="I528" i="18"/>
  <c r="J528" i="18"/>
  <c r="K528" i="18"/>
  <c r="L528" i="18"/>
  <c r="B529" i="18"/>
  <c r="C529" i="18"/>
  <c r="D529" i="18"/>
  <c r="E529" i="18"/>
  <c r="F529" i="18"/>
  <c r="G529" i="18"/>
  <c r="H529" i="18"/>
  <c r="I529" i="18"/>
  <c r="J529" i="18"/>
  <c r="K529" i="18"/>
  <c r="L529" i="18"/>
  <c r="B530" i="18"/>
  <c r="C530" i="18"/>
  <c r="D530" i="18"/>
  <c r="E530" i="18"/>
  <c r="F530" i="18"/>
  <c r="G530" i="18"/>
  <c r="H530" i="18"/>
  <c r="I530" i="18"/>
  <c r="J530" i="18"/>
  <c r="K530" i="18"/>
  <c r="L530" i="18"/>
  <c r="B531" i="18"/>
  <c r="C531" i="18"/>
  <c r="D531" i="18"/>
  <c r="E531" i="18"/>
  <c r="F531" i="18"/>
  <c r="G531" i="18"/>
  <c r="H531" i="18"/>
  <c r="I531" i="18"/>
  <c r="J531" i="18"/>
  <c r="K531" i="18"/>
  <c r="L531" i="18"/>
  <c r="B532" i="18"/>
  <c r="C532" i="18"/>
  <c r="D532" i="18"/>
  <c r="E532" i="18"/>
  <c r="F532" i="18"/>
  <c r="G532" i="18"/>
  <c r="H532" i="18"/>
  <c r="I532" i="18"/>
  <c r="J532" i="18"/>
  <c r="K532" i="18"/>
  <c r="L532" i="18"/>
  <c r="B533" i="18"/>
  <c r="C533" i="18"/>
  <c r="D533" i="18"/>
  <c r="E533" i="18"/>
  <c r="F533" i="18"/>
  <c r="G533" i="18"/>
  <c r="H533" i="18"/>
  <c r="I533" i="18"/>
  <c r="J533" i="18"/>
  <c r="K533" i="18"/>
  <c r="L533" i="18"/>
  <c r="B534" i="18"/>
  <c r="C534" i="18"/>
  <c r="D534" i="18"/>
  <c r="E534" i="18"/>
  <c r="F534" i="18"/>
  <c r="G534" i="18"/>
  <c r="H534" i="18"/>
  <c r="I534" i="18"/>
  <c r="J534" i="18"/>
  <c r="K534" i="18"/>
  <c r="L534" i="18"/>
  <c r="B535" i="18"/>
  <c r="C535" i="18"/>
  <c r="D535" i="18"/>
  <c r="E535" i="18"/>
  <c r="F535" i="18"/>
  <c r="G535" i="18"/>
  <c r="H535" i="18"/>
  <c r="I535" i="18"/>
  <c r="J535" i="18"/>
  <c r="K535" i="18"/>
  <c r="L535" i="18"/>
  <c r="B536" i="18"/>
  <c r="C536" i="18"/>
  <c r="D536" i="18"/>
  <c r="E536" i="18"/>
  <c r="F536" i="18"/>
  <c r="G536" i="18"/>
  <c r="H536" i="18"/>
  <c r="I536" i="18"/>
  <c r="J536" i="18"/>
  <c r="K536" i="18"/>
  <c r="L536" i="18"/>
  <c r="B537" i="18"/>
  <c r="C537" i="18"/>
  <c r="D537" i="18"/>
  <c r="E537" i="18"/>
  <c r="F537" i="18"/>
  <c r="G537" i="18"/>
  <c r="H537" i="18"/>
  <c r="I537" i="18"/>
  <c r="J537" i="18"/>
  <c r="K537" i="18"/>
  <c r="L537" i="18"/>
  <c r="B538" i="18"/>
  <c r="C538" i="18"/>
  <c r="D538" i="18"/>
  <c r="E538" i="18"/>
  <c r="F538" i="18"/>
  <c r="G538" i="18"/>
  <c r="H538" i="18"/>
  <c r="I538" i="18"/>
  <c r="J538" i="18"/>
  <c r="K538" i="18"/>
  <c r="L538" i="18"/>
  <c r="B539" i="18"/>
  <c r="C539" i="18"/>
  <c r="D539" i="18"/>
  <c r="E539" i="18"/>
  <c r="F539" i="18"/>
  <c r="G539" i="18"/>
  <c r="H539" i="18"/>
  <c r="I539" i="18"/>
  <c r="J539" i="18"/>
  <c r="K539" i="18"/>
  <c r="L539" i="18"/>
  <c r="B540" i="18"/>
  <c r="C540" i="18"/>
  <c r="D540" i="18"/>
  <c r="E540" i="18"/>
  <c r="F540" i="18"/>
  <c r="G540" i="18"/>
  <c r="H540" i="18"/>
  <c r="I540" i="18"/>
  <c r="J540" i="18"/>
  <c r="K540" i="18"/>
  <c r="L540" i="18"/>
  <c r="B541" i="18"/>
  <c r="C541" i="18"/>
  <c r="D541" i="18"/>
  <c r="E541" i="18"/>
  <c r="F541" i="18"/>
  <c r="G541" i="18"/>
  <c r="H541" i="18"/>
  <c r="I541" i="18"/>
  <c r="J541" i="18"/>
  <c r="K541" i="18"/>
  <c r="L541" i="18"/>
  <c r="B542" i="18"/>
  <c r="C542" i="18"/>
  <c r="D542" i="18"/>
  <c r="E542" i="18"/>
  <c r="F542" i="18"/>
  <c r="G542" i="18"/>
  <c r="H542" i="18"/>
  <c r="I542" i="18"/>
  <c r="J542" i="18"/>
  <c r="K542" i="18"/>
  <c r="L542" i="18"/>
  <c r="B543" i="18"/>
  <c r="C543" i="18"/>
  <c r="D543" i="18"/>
  <c r="E543" i="18"/>
  <c r="F543" i="18"/>
  <c r="G543" i="18"/>
  <c r="H543" i="18"/>
  <c r="I543" i="18"/>
  <c r="J543" i="18"/>
  <c r="K543" i="18"/>
  <c r="L543" i="18"/>
  <c r="B544" i="18"/>
  <c r="C544" i="18"/>
  <c r="D544" i="18"/>
  <c r="E544" i="18"/>
  <c r="F544" i="18"/>
  <c r="G544" i="18"/>
  <c r="H544" i="18"/>
  <c r="I544" i="18"/>
  <c r="J544" i="18"/>
  <c r="K544" i="18"/>
  <c r="L544" i="18"/>
  <c r="B545" i="18"/>
  <c r="C545" i="18"/>
  <c r="D545" i="18"/>
  <c r="E545" i="18"/>
  <c r="F545" i="18"/>
  <c r="G545" i="18"/>
  <c r="H545" i="18"/>
  <c r="I545" i="18"/>
  <c r="J545" i="18"/>
  <c r="K545" i="18"/>
  <c r="L545" i="18"/>
  <c r="B546" i="18"/>
  <c r="C546" i="18"/>
  <c r="D546" i="18"/>
  <c r="E546" i="18"/>
  <c r="F546" i="18"/>
  <c r="G546" i="18"/>
  <c r="H546" i="18"/>
  <c r="I546" i="18"/>
  <c r="J546" i="18"/>
  <c r="K546" i="18"/>
  <c r="L546" i="18"/>
  <c r="B547" i="18"/>
  <c r="C547" i="18"/>
  <c r="D547" i="18"/>
  <c r="E547" i="18"/>
  <c r="F547" i="18"/>
  <c r="G547" i="18"/>
  <c r="H547" i="18"/>
  <c r="I547" i="18"/>
  <c r="J547" i="18"/>
  <c r="K547" i="18"/>
  <c r="L547" i="18"/>
  <c r="B548" i="18"/>
  <c r="C548" i="18"/>
  <c r="D548" i="18"/>
  <c r="E548" i="18"/>
  <c r="F548" i="18"/>
  <c r="G548" i="18"/>
  <c r="H548" i="18"/>
  <c r="I548" i="18"/>
  <c r="J548" i="18"/>
  <c r="K548" i="18"/>
  <c r="L548" i="18"/>
  <c r="B549" i="18"/>
  <c r="C549" i="18"/>
  <c r="D549" i="18"/>
  <c r="E549" i="18"/>
  <c r="F549" i="18"/>
  <c r="G549" i="18"/>
  <c r="H549" i="18"/>
  <c r="I549" i="18"/>
  <c r="J549" i="18"/>
  <c r="K549" i="18"/>
  <c r="L549" i="18"/>
  <c r="B550" i="18"/>
  <c r="C550" i="18"/>
  <c r="D550" i="18"/>
  <c r="E550" i="18"/>
  <c r="F550" i="18"/>
  <c r="G550" i="18"/>
  <c r="H550" i="18"/>
  <c r="I550" i="18"/>
  <c r="J550" i="18"/>
  <c r="K550" i="18"/>
  <c r="L550" i="18"/>
  <c r="B551" i="18"/>
  <c r="C551" i="18"/>
  <c r="D551" i="18"/>
  <c r="E551" i="18"/>
  <c r="F551" i="18"/>
  <c r="G551" i="18"/>
  <c r="H551" i="18"/>
  <c r="I551" i="18"/>
  <c r="J551" i="18"/>
  <c r="K551" i="18"/>
  <c r="L551" i="18"/>
  <c r="B552" i="18"/>
  <c r="C552" i="18"/>
  <c r="D552" i="18"/>
  <c r="E552" i="18"/>
  <c r="F552" i="18"/>
  <c r="G552" i="18"/>
  <c r="H552" i="18"/>
  <c r="I552" i="18"/>
  <c r="J552" i="18"/>
  <c r="K552" i="18"/>
  <c r="L552" i="18"/>
  <c r="B553" i="18"/>
  <c r="C553" i="18"/>
  <c r="D553" i="18"/>
  <c r="E553" i="18"/>
  <c r="F553" i="18"/>
  <c r="G553" i="18"/>
  <c r="H553" i="18"/>
  <c r="I553" i="18"/>
  <c r="J553" i="18"/>
  <c r="K553" i="18"/>
  <c r="L553" i="18"/>
  <c r="B554" i="18"/>
  <c r="C554" i="18"/>
  <c r="D554" i="18"/>
  <c r="E554" i="18"/>
  <c r="F554" i="18"/>
  <c r="G554" i="18"/>
  <c r="H554" i="18"/>
  <c r="I554" i="18"/>
  <c r="J554" i="18"/>
  <c r="K554" i="18"/>
  <c r="L554" i="18"/>
  <c r="B555" i="18"/>
  <c r="C555" i="18"/>
  <c r="D555" i="18"/>
  <c r="E555" i="18"/>
  <c r="F555" i="18"/>
  <c r="G555" i="18"/>
  <c r="H555" i="18"/>
  <c r="I555" i="18"/>
  <c r="J555" i="18"/>
  <c r="K555" i="18"/>
  <c r="L555" i="18"/>
  <c r="B556" i="18"/>
  <c r="C556" i="18"/>
  <c r="D556" i="18"/>
  <c r="E556" i="18"/>
  <c r="F556" i="18"/>
  <c r="G556" i="18"/>
  <c r="H556" i="18"/>
  <c r="I556" i="18"/>
  <c r="J556" i="18"/>
  <c r="K556" i="18"/>
  <c r="L556" i="18"/>
  <c r="B557" i="18"/>
  <c r="C557" i="18"/>
  <c r="D557" i="18"/>
  <c r="E557" i="18"/>
  <c r="F557" i="18"/>
  <c r="G557" i="18"/>
  <c r="H557" i="18"/>
  <c r="I557" i="18"/>
  <c r="J557" i="18"/>
  <c r="K557" i="18"/>
  <c r="L557" i="18"/>
  <c r="B558" i="18"/>
  <c r="C558" i="18"/>
  <c r="D558" i="18"/>
  <c r="E558" i="18"/>
  <c r="F558" i="18"/>
  <c r="G558" i="18"/>
  <c r="H558" i="18"/>
  <c r="I558" i="18"/>
  <c r="J558" i="18"/>
  <c r="K558" i="18"/>
  <c r="L558" i="18"/>
  <c r="B559" i="18"/>
  <c r="C559" i="18"/>
  <c r="D559" i="18"/>
  <c r="E559" i="18"/>
  <c r="F559" i="18"/>
  <c r="G559" i="18"/>
  <c r="H559" i="18"/>
  <c r="I559" i="18"/>
  <c r="J559" i="18"/>
  <c r="K559" i="18"/>
  <c r="L559" i="18"/>
  <c r="B560" i="18"/>
  <c r="C560" i="18"/>
  <c r="D560" i="18"/>
  <c r="E560" i="18"/>
  <c r="F560" i="18"/>
  <c r="G560" i="18"/>
  <c r="H560" i="18"/>
  <c r="I560" i="18"/>
  <c r="J560" i="18"/>
  <c r="K560" i="18"/>
  <c r="L560" i="18"/>
  <c r="B561" i="18"/>
  <c r="C561" i="18"/>
  <c r="D561" i="18"/>
  <c r="E561" i="18"/>
  <c r="F561" i="18"/>
  <c r="G561" i="18"/>
  <c r="H561" i="18"/>
  <c r="I561" i="18"/>
  <c r="J561" i="18"/>
  <c r="K561" i="18"/>
  <c r="L561" i="18"/>
  <c r="B562" i="18"/>
  <c r="C562" i="18"/>
  <c r="D562" i="18"/>
  <c r="E562" i="18"/>
  <c r="F562" i="18"/>
  <c r="G562" i="18"/>
  <c r="H562" i="18"/>
  <c r="I562" i="18"/>
  <c r="J562" i="18"/>
  <c r="K562" i="18"/>
  <c r="L562" i="18"/>
  <c r="B563" i="18"/>
  <c r="C563" i="18"/>
  <c r="D563" i="18"/>
  <c r="E563" i="18"/>
  <c r="F563" i="18"/>
  <c r="G563" i="18"/>
  <c r="H563" i="18"/>
  <c r="I563" i="18"/>
  <c r="J563" i="18"/>
  <c r="K563" i="18"/>
  <c r="L563" i="18"/>
  <c r="B564" i="18"/>
  <c r="C564" i="18"/>
  <c r="D564" i="18"/>
  <c r="E564" i="18"/>
  <c r="F564" i="18"/>
  <c r="G564" i="18"/>
  <c r="H564" i="18"/>
  <c r="I564" i="18"/>
  <c r="J564" i="18"/>
  <c r="K564" i="18"/>
  <c r="L564" i="18"/>
  <c r="B565" i="18"/>
  <c r="C565" i="18"/>
  <c r="D565" i="18"/>
  <c r="E565" i="18"/>
  <c r="F565" i="18"/>
  <c r="G565" i="18"/>
  <c r="H565" i="18"/>
  <c r="I565" i="18"/>
  <c r="J565" i="18"/>
  <c r="K565" i="18"/>
  <c r="L565" i="18"/>
  <c r="B566" i="18"/>
  <c r="C566" i="18"/>
  <c r="D566" i="18"/>
  <c r="E566" i="18"/>
  <c r="F566" i="18"/>
  <c r="G566" i="18"/>
  <c r="H566" i="18"/>
  <c r="I566" i="18"/>
  <c r="J566" i="18"/>
  <c r="K566" i="18"/>
  <c r="L566" i="18"/>
  <c r="B567" i="18"/>
  <c r="C567" i="18"/>
  <c r="D567" i="18"/>
  <c r="E567" i="18"/>
  <c r="F567" i="18"/>
  <c r="G567" i="18"/>
  <c r="H567" i="18"/>
  <c r="I567" i="18"/>
  <c r="J567" i="18"/>
  <c r="K567" i="18"/>
  <c r="L567" i="18"/>
  <c r="B568" i="18"/>
  <c r="C568" i="18"/>
  <c r="D568" i="18"/>
  <c r="E568" i="18"/>
  <c r="F568" i="18"/>
  <c r="G568" i="18"/>
  <c r="H568" i="18"/>
  <c r="I568" i="18"/>
  <c r="J568" i="18"/>
  <c r="K568" i="18"/>
  <c r="L568" i="18"/>
  <c r="B569" i="18"/>
  <c r="C569" i="18"/>
  <c r="D569" i="18"/>
  <c r="E569" i="18"/>
  <c r="F569" i="18"/>
  <c r="G569" i="18"/>
  <c r="H569" i="18"/>
  <c r="I569" i="18"/>
  <c r="J569" i="18"/>
  <c r="K569" i="18"/>
  <c r="L569" i="18"/>
  <c r="B570" i="18"/>
  <c r="C570" i="18"/>
  <c r="D570" i="18"/>
  <c r="E570" i="18"/>
  <c r="F570" i="18"/>
  <c r="G570" i="18"/>
  <c r="H570" i="18"/>
  <c r="I570" i="18"/>
  <c r="J570" i="18"/>
  <c r="K570" i="18"/>
  <c r="L570" i="18"/>
  <c r="B571" i="18"/>
  <c r="C571" i="18"/>
  <c r="D571" i="18"/>
  <c r="E571" i="18"/>
  <c r="F571" i="18"/>
  <c r="G571" i="18"/>
  <c r="H571" i="18"/>
  <c r="I571" i="18"/>
  <c r="J571" i="18"/>
  <c r="K571" i="18"/>
  <c r="L571" i="18"/>
  <c r="B572" i="18"/>
  <c r="C572" i="18"/>
  <c r="D572" i="18"/>
  <c r="E572" i="18"/>
  <c r="F572" i="18"/>
  <c r="G572" i="18"/>
  <c r="H572" i="18"/>
  <c r="I572" i="18"/>
  <c r="J572" i="18"/>
  <c r="K572" i="18"/>
  <c r="L572" i="18"/>
  <c r="B573" i="18"/>
  <c r="C573" i="18"/>
  <c r="D573" i="18"/>
  <c r="E573" i="18"/>
  <c r="F573" i="18"/>
  <c r="G573" i="18"/>
  <c r="H573" i="18"/>
  <c r="I573" i="18"/>
  <c r="J573" i="18"/>
  <c r="K573" i="18"/>
  <c r="L573" i="18"/>
  <c r="B574" i="18"/>
  <c r="C574" i="18"/>
  <c r="D574" i="18"/>
  <c r="E574" i="18"/>
  <c r="F574" i="18"/>
  <c r="G574" i="18"/>
  <c r="H574" i="18"/>
  <c r="I574" i="18"/>
  <c r="J574" i="18"/>
  <c r="K574" i="18"/>
  <c r="L574" i="18"/>
  <c r="B575" i="18"/>
  <c r="C575" i="18"/>
  <c r="D575" i="18"/>
  <c r="E575" i="18"/>
  <c r="F575" i="18"/>
  <c r="G575" i="18"/>
  <c r="H575" i="18"/>
  <c r="I575" i="18"/>
  <c r="J575" i="18"/>
  <c r="K575" i="18"/>
  <c r="L575" i="18"/>
  <c r="B576" i="18"/>
  <c r="C576" i="18"/>
  <c r="D576" i="18"/>
  <c r="E576" i="18"/>
  <c r="F576" i="18"/>
  <c r="G576" i="18"/>
  <c r="H576" i="18"/>
  <c r="I576" i="18"/>
  <c r="J576" i="18"/>
  <c r="K576" i="18"/>
  <c r="L576" i="18"/>
  <c r="B577" i="18"/>
  <c r="C577" i="18"/>
  <c r="D577" i="18"/>
  <c r="E577" i="18"/>
  <c r="F577" i="18"/>
  <c r="G577" i="18"/>
  <c r="H577" i="18"/>
  <c r="I577" i="18"/>
  <c r="J577" i="18"/>
  <c r="K577" i="18"/>
  <c r="L577" i="18"/>
  <c r="B578" i="18"/>
  <c r="C578" i="18"/>
  <c r="D578" i="18"/>
  <c r="E578" i="18"/>
  <c r="F578" i="18"/>
  <c r="G578" i="18"/>
  <c r="H578" i="18"/>
  <c r="I578" i="18"/>
  <c r="J578" i="18"/>
  <c r="K578" i="18"/>
  <c r="L578" i="18"/>
  <c r="B579" i="18"/>
  <c r="C579" i="18"/>
  <c r="D579" i="18"/>
  <c r="E579" i="18"/>
  <c r="F579" i="18"/>
  <c r="G579" i="18"/>
  <c r="H579" i="18"/>
  <c r="I579" i="18"/>
  <c r="J579" i="18"/>
  <c r="K579" i="18"/>
  <c r="L579" i="18"/>
  <c r="B580" i="18"/>
  <c r="C580" i="18"/>
  <c r="D580" i="18"/>
  <c r="E580" i="18"/>
  <c r="F580" i="18"/>
  <c r="G580" i="18"/>
  <c r="H580" i="18"/>
  <c r="I580" i="18"/>
  <c r="J580" i="18"/>
  <c r="K580" i="18"/>
  <c r="L580" i="18"/>
  <c r="B581" i="18"/>
  <c r="C581" i="18"/>
  <c r="D581" i="18"/>
  <c r="E581" i="18"/>
  <c r="F581" i="18"/>
  <c r="G581" i="18"/>
  <c r="H581" i="18"/>
  <c r="I581" i="18"/>
  <c r="J581" i="18"/>
  <c r="K581" i="18"/>
  <c r="L581" i="18"/>
  <c r="B582" i="18"/>
  <c r="C582" i="18"/>
  <c r="D582" i="18"/>
  <c r="E582" i="18"/>
  <c r="F582" i="18"/>
  <c r="G582" i="18"/>
  <c r="H582" i="18"/>
  <c r="I582" i="18"/>
  <c r="J582" i="18"/>
  <c r="K582" i="18"/>
  <c r="L582" i="18"/>
  <c r="B583" i="18"/>
  <c r="C583" i="18"/>
  <c r="D583" i="18"/>
  <c r="E583" i="18"/>
  <c r="F583" i="18"/>
  <c r="G583" i="18"/>
  <c r="H583" i="18"/>
  <c r="I583" i="18"/>
  <c r="J583" i="18"/>
  <c r="K583" i="18"/>
  <c r="L583" i="18"/>
  <c r="B584" i="18"/>
  <c r="C584" i="18"/>
  <c r="D584" i="18"/>
  <c r="E584" i="18"/>
  <c r="F584" i="18"/>
  <c r="G584" i="18"/>
  <c r="H584" i="18"/>
  <c r="I584" i="18"/>
  <c r="J584" i="18"/>
  <c r="K584" i="18"/>
  <c r="L584" i="18"/>
  <c r="B585" i="18"/>
  <c r="C585" i="18"/>
  <c r="D585" i="18"/>
  <c r="E585" i="18"/>
  <c r="F585" i="18"/>
  <c r="G585" i="18"/>
  <c r="H585" i="18"/>
  <c r="I585" i="18"/>
  <c r="J585" i="18"/>
  <c r="K585" i="18"/>
  <c r="L585" i="18"/>
  <c r="B586" i="18"/>
  <c r="C586" i="18"/>
  <c r="D586" i="18"/>
  <c r="E586" i="18"/>
  <c r="F586" i="18"/>
  <c r="G586" i="18"/>
  <c r="H586" i="18"/>
  <c r="I586" i="18"/>
  <c r="J586" i="18"/>
  <c r="K586" i="18"/>
  <c r="L586" i="18"/>
  <c r="B587" i="18"/>
  <c r="C587" i="18"/>
  <c r="D587" i="18"/>
  <c r="E587" i="18"/>
  <c r="F587" i="18"/>
  <c r="G587" i="18"/>
  <c r="H587" i="18"/>
  <c r="I587" i="18"/>
  <c r="J587" i="18"/>
  <c r="K587" i="18"/>
  <c r="L587" i="18"/>
  <c r="B588" i="18"/>
  <c r="C588" i="18"/>
  <c r="D588" i="18"/>
  <c r="E588" i="18"/>
  <c r="F588" i="18"/>
  <c r="G588" i="18"/>
  <c r="H588" i="18"/>
  <c r="I588" i="18"/>
  <c r="J588" i="18"/>
  <c r="K588" i="18"/>
  <c r="L588" i="18"/>
  <c r="B589" i="18"/>
  <c r="C589" i="18"/>
  <c r="D589" i="18"/>
  <c r="E589" i="18"/>
  <c r="F589" i="18"/>
  <c r="G589" i="18"/>
  <c r="H589" i="18"/>
  <c r="I589" i="18"/>
  <c r="J589" i="18"/>
  <c r="K589" i="18"/>
  <c r="L589" i="18"/>
  <c r="B590" i="18"/>
  <c r="C590" i="18"/>
  <c r="D590" i="18"/>
  <c r="E590" i="18"/>
  <c r="F590" i="18"/>
  <c r="G590" i="18"/>
  <c r="H590" i="18"/>
  <c r="I590" i="18"/>
  <c r="J590" i="18"/>
  <c r="K590" i="18"/>
  <c r="L590" i="18"/>
  <c r="B591" i="18"/>
  <c r="C591" i="18"/>
  <c r="D591" i="18"/>
  <c r="E591" i="18"/>
  <c r="F591" i="18"/>
  <c r="G591" i="18"/>
  <c r="H591" i="18"/>
  <c r="I591" i="18"/>
  <c r="J591" i="18"/>
  <c r="K591" i="18"/>
  <c r="L591" i="18"/>
  <c r="B592" i="18"/>
  <c r="C592" i="18"/>
  <c r="D592" i="18"/>
  <c r="E592" i="18"/>
  <c r="F592" i="18"/>
  <c r="G592" i="18"/>
  <c r="H592" i="18"/>
  <c r="I592" i="18"/>
  <c r="J592" i="18"/>
  <c r="K592" i="18"/>
  <c r="L592" i="18"/>
  <c r="B593" i="18"/>
  <c r="C593" i="18"/>
  <c r="D593" i="18"/>
  <c r="E593" i="18"/>
  <c r="F593" i="18"/>
  <c r="G593" i="18"/>
  <c r="H593" i="18"/>
  <c r="I593" i="18"/>
  <c r="J593" i="18"/>
  <c r="K593" i="18"/>
  <c r="L593" i="18"/>
  <c r="B594" i="18"/>
  <c r="C594" i="18"/>
  <c r="D594" i="18"/>
  <c r="E594" i="18"/>
  <c r="F594" i="18"/>
  <c r="G594" i="18"/>
  <c r="H594" i="18"/>
  <c r="I594" i="18"/>
  <c r="J594" i="18"/>
  <c r="K594" i="18"/>
  <c r="L594" i="18"/>
  <c r="B595" i="18"/>
  <c r="C595" i="18"/>
  <c r="D595" i="18"/>
  <c r="E595" i="18"/>
  <c r="F595" i="18"/>
  <c r="G595" i="18"/>
  <c r="H595" i="18"/>
  <c r="I595" i="18"/>
  <c r="J595" i="18"/>
  <c r="K595" i="18"/>
  <c r="L595" i="18"/>
  <c r="B596" i="18"/>
  <c r="C596" i="18"/>
  <c r="D596" i="18"/>
  <c r="E596" i="18"/>
  <c r="F596" i="18"/>
  <c r="G596" i="18"/>
  <c r="H596" i="18"/>
  <c r="I596" i="18"/>
  <c r="J596" i="18"/>
  <c r="K596" i="18"/>
  <c r="L596" i="18"/>
  <c r="B597" i="18"/>
  <c r="C597" i="18"/>
  <c r="D597" i="18"/>
  <c r="E597" i="18"/>
  <c r="F597" i="18"/>
  <c r="G597" i="18"/>
  <c r="H597" i="18"/>
  <c r="I597" i="18"/>
  <c r="J597" i="18"/>
  <c r="K597" i="18"/>
  <c r="L597" i="18"/>
  <c r="B598" i="18"/>
  <c r="C598" i="18"/>
  <c r="D598" i="18"/>
  <c r="E598" i="18"/>
  <c r="F598" i="18"/>
  <c r="G598" i="18"/>
  <c r="H598" i="18"/>
  <c r="I598" i="18"/>
  <c r="J598" i="18"/>
  <c r="K598" i="18"/>
  <c r="L598" i="18"/>
  <c r="B599" i="18"/>
  <c r="C599" i="18"/>
  <c r="D599" i="18"/>
  <c r="E599" i="18"/>
  <c r="F599" i="18"/>
  <c r="G599" i="18"/>
  <c r="H599" i="18"/>
  <c r="I599" i="18"/>
  <c r="J599" i="18"/>
  <c r="K599" i="18"/>
  <c r="L599" i="18"/>
  <c r="B600" i="18"/>
  <c r="C600" i="18"/>
  <c r="D600" i="18"/>
  <c r="E600" i="18"/>
  <c r="F600" i="18"/>
  <c r="G600" i="18"/>
  <c r="H600" i="18"/>
  <c r="I600" i="18"/>
  <c r="J600" i="18"/>
  <c r="K600" i="18"/>
  <c r="L600" i="18"/>
  <c r="B601" i="18"/>
  <c r="C601" i="18"/>
  <c r="D601" i="18"/>
  <c r="E601" i="18"/>
  <c r="F601" i="18"/>
  <c r="G601" i="18"/>
  <c r="H601" i="18"/>
  <c r="I601" i="18"/>
  <c r="J601" i="18"/>
  <c r="K601" i="18"/>
  <c r="L601" i="18"/>
  <c r="B602" i="18"/>
  <c r="C602" i="18"/>
  <c r="D602" i="18"/>
  <c r="E602" i="18"/>
  <c r="F602" i="18"/>
  <c r="G602" i="18"/>
  <c r="H602" i="18"/>
  <c r="I602" i="18"/>
  <c r="J602" i="18"/>
  <c r="K602" i="18"/>
  <c r="L602" i="18"/>
  <c r="B603" i="18"/>
  <c r="C603" i="18"/>
  <c r="D603" i="18"/>
  <c r="E603" i="18"/>
  <c r="F603" i="18"/>
  <c r="G603" i="18"/>
  <c r="H603" i="18"/>
  <c r="I603" i="18"/>
  <c r="J603" i="18"/>
  <c r="K603" i="18"/>
  <c r="L603" i="18"/>
  <c r="B604" i="18"/>
  <c r="C604" i="18"/>
  <c r="D604" i="18"/>
  <c r="E604" i="18"/>
  <c r="F604" i="18"/>
  <c r="G604" i="18"/>
  <c r="H604" i="18"/>
  <c r="I604" i="18"/>
  <c r="J604" i="18"/>
  <c r="K604" i="18"/>
  <c r="L604" i="18"/>
  <c r="B605" i="18"/>
  <c r="C605" i="18"/>
  <c r="D605" i="18"/>
  <c r="E605" i="18"/>
  <c r="F605" i="18"/>
  <c r="G605" i="18"/>
  <c r="H605" i="18"/>
  <c r="I605" i="18"/>
  <c r="J605" i="18"/>
  <c r="K605" i="18"/>
  <c r="L605" i="18"/>
  <c r="B606" i="18"/>
  <c r="C606" i="18"/>
  <c r="D606" i="18"/>
  <c r="E606" i="18"/>
  <c r="F606" i="18"/>
  <c r="G606" i="18"/>
  <c r="H606" i="18"/>
  <c r="I606" i="18"/>
  <c r="J606" i="18"/>
  <c r="K606" i="18"/>
  <c r="L606" i="18"/>
  <c r="B607" i="18"/>
  <c r="C607" i="18"/>
  <c r="D607" i="18"/>
  <c r="E607" i="18"/>
  <c r="F607" i="18"/>
  <c r="G607" i="18"/>
  <c r="H607" i="18"/>
  <c r="I607" i="18"/>
  <c r="J607" i="18"/>
  <c r="K607" i="18"/>
  <c r="L607" i="18"/>
  <c r="B608" i="18"/>
  <c r="C608" i="18"/>
  <c r="D608" i="18"/>
  <c r="E608" i="18"/>
  <c r="F608" i="18"/>
  <c r="G608" i="18"/>
  <c r="H608" i="18"/>
  <c r="I608" i="18"/>
  <c r="J608" i="18"/>
  <c r="K608" i="18"/>
  <c r="L608" i="18"/>
  <c r="B609" i="18"/>
  <c r="C609" i="18"/>
  <c r="D609" i="18"/>
  <c r="E609" i="18"/>
  <c r="F609" i="18"/>
  <c r="G609" i="18"/>
  <c r="H609" i="18"/>
  <c r="I609" i="18"/>
  <c r="J609" i="18"/>
  <c r="K609" i="18"/>
  <c r="L609" i="18"/>
  <c r="B610" i="18"/>
  <c r="C610" i="18"/>
  <c r="D610" i="18"/>
  <c r="E610" i="18"/>
  <c r="F610" i="18"/>
  <c r="G610" i="18"/>
  <c r="H610" i="18"/>
  <c r="I610" i="18"/>
  <c r="J610" i="18"/>
  <c r="K610" i="18"/>
  <c r="L610" i="18"/>
  <c r="B611" i="18"/>
  <c r="C611" i="18"/>
  <c r="D611" i="18"/>
  <c r="E611" i="18"/>
  <c r="F611" i="18"/>
  <c r="G611" i="18"/>
  <c r="H611" i="18"/>
  <c r="I611" i="18"/>
  <c r="J611" i="18"/>
  <c r="K611" i="18"/>
  <c r="L611" i="18"/>
  <c r="B612" i="18"/>
  <c r="C612" i="18"/>
  <c r="D612" i="18"/>
  <c r="E612" i="18"/>
  <c r="F612" i="18"/>
  <c r="G612" i="18"/>
  <c r="H612" i="18"/>
  <c r="I612" i="18"/>
  <c r="J612" i="18"/>
  <c r="K612" i="18"/>
  <c r="L612" i="18"/>
  <c r="B613" i="18"/>
  <c r="C613" i="18"/>
  <c r="D613" i="18"/>
  <c r="E613" i="18"/>
  <c r="F613" i="18"/>
  <c r="G613" i="18"/>
  <c r="H613" i="18"/>
  <c r="I613" i="18"/>
  <c r="J613" i="18"/>
  <c r="K613" i="18"/>
  <c r="L613" i="18"/>
  <c r="B614" i="18"/>
  <c r="C614" i="18"/>
  <c r="D614" i="18"/>
  <c r="E614" i="18"/>
  <c r="F614" i="18"/>
  <c r="G614" i="18"/>
  <c r="H614" i="18"/>
  <c r="I614" i="18"/>
  <c r="J614" i="18"/>
  <c r="K614" i="18"/>
  <c r="L614" i="18"/>
  <c r="B615" i="18"/>
  <c r="C615" i="18"/>
  <c r="D615" i="18"/>
  <c r="E615" i="18"/>
  <c r="F615" i="18"/>
  <c r="G615" i="18"/>
  <c r="H615" i="18"/>
  <c r="I615" i="18"/>
  <c r="J615" i="18"/>
  <c r="K615" i="18"/>
  <c r="L615" i="18"/>
  <c r="B616" i="18"/>
  <c r="C616" i="18"/>
  <c r="D616" i="18"/>
  <c r="E616" i="18"/>
  <c r="F616" i="18"/>
  <c r="G616" i="18"/>
  <c r="H616" i="18"/>
  <c r="I616" i="18"/>
  <c r="J616" i="18"/>
  <c r="K616" i="18"/>
  <c r="L616" i="18"/>
  <c r="B617" i="18"/>
  <c r="C617" i="18"/>
  <c r="D617" i="18"/>
  <c r="E617" i="18"/>
  <c r="F617" i="18"/>
  <c r="G617" i="18"/>
  <c r="H617" i="18"/>
  <c r="I617" i="18"/>
  <c r="J617" i="18"/>
  <c r="K617" i="18"/>
  <c r="L617" i="18"/>
  <c r="B618" i="18"/>
  <c r="C618" i="18"/>
  <c r="D618" i="18"/>
  <c r="E618" i="18"/>
  <c r="F618" i="18"/>
  <c r="G618" i="18"/>
  <c r="H618" i="18"/>
  <c r="I618" i="18"/>
  <c r="J618" i="18"/>
  <c r="K618" i="18"/>
  <c r="L618" i="18"/>
  <c r="B619" i="18"/>
  <c r="C619" i="18"/>
  <c r="D619" i="18"/>
  <c r="E619" i="18"/>
  <c r="F619" i="18"/>
  <c r="G619" i="18"/>
  <c r="H619" i="18"/>
  <c r="I619" i="18"/>
  <c r="J619" i="18"/>
  <c r="K619" i="18"/>
  <c r="L619" i="18"/>
  <c r="B620" i="18"/>
  <c r="C620" i="18"/>
  <c r="D620" i="18"/>
  <c r="E620" i="18"/>
  <c r="F620" i="18"/>
  <c r="G620" i="18"/>
  <c r="H620" i="18"/>
  <c r="I620" i="18"/>
  <c r="J620" i="18"/>
  <c r="K620" i="18"/>
  <c r="L620" i="18"/>
  <c r="B621" i="18"/>
  <c r="C621" i="18"/>
  <c r="D621" i="18"/>
  <c r="E621" i="18"/>
  <c r="F621" i="18"/>
  <c r="G621" i="18"/>
  <c r="H621" i="18"/>
  <c r="I621" i="18"/>
  <c r="J621" i="18"/>
  <c r="K621" i="18"/>
  <c r="L621" i="18"/>
  <c r="B622" i="18"/>
  <c r="C622" i="18"/>
  <c r="D622" i="18"/>
  <c r="E622" i="18"/>
  <c r="F622" i="18"/>
  <c r="G622" i="18"/>
  <c r="H622" i="18"/>
  <c r="I622" i="18"/>
  <c r="J622" i="18"/>
  <c r="K622" i="18"/>
  <c r="L622" i="18"/>
  <c r="B623" i="18"/>
  <c r="C623" i="18"/>
  <c r="D623" i="18"/>
  <c r="E623" i="18"/>
  <c r="F623" i="18"/>
  <c r="G623" i="18"/>
  <c r="H623" i="18"/>
  <c r="I623" i="18"/>
  <c r="J623" i="18"/>
  <c r="K623" i="18"/>
  <c r="L623" i="18"/>
  <c r="B624" i="18"/>
  <c r="C624" i="18"/>
  <c r="D624" i="18"/>
  <c r="E624" i="18"/>
  <c r="F624" i="18"/>
  <c r="G624" i="18"/>
  <c r="H624" i="18"/>
  <c r="I624" i="18"/>
  <c r="J624" i="18"/>
  <c r="K624" i="18"/>
  <c r="L624" i="18"/>
  <c r="B625" i="18"/>
  <c r="C625" i="18"/>
  <c r="D625" i="18"/>
  <c r="E625" i="18"/>
  <c r="F625" i="18"/>
  <c r="G625" i="18"/>
  <c r="H625" i="18"/>
  <c r="I625" i="18"/>
  <c r="J625" i="18"/>
  <c r="K625" i="18"/>
  <c r="L625" i="18"/>
  <c r="B626" i="18"/>
  <c r="C626" i="18"/>
  <c r="D626" i="18"/>
  <c r="E626" i="18"/>
  <c r="F626" i="18"/>
  <c r="G626" i="18"/>
  <c r="H626" i="18"/>
  <c r="I626" i="18"/>
  <c r="J626" i="18"/>
  <c r="K626" i="18"/>
  <c r="L626" i="18"/>
  <c r="B627" i="18"/>
  <c r="C627" i="18"/>
  <c r="D627" i="18"/>
  <c r="E627" i="18"/>
  <c r="F627" i="18"/>
  <c r="G627" i="18"/>
  <c r="H627" i="18"/>
  <c r="I627" i="18"/>
  <c r="J627" i="18"/>
  <c r="K627" i="18"/>
  <c r="L627" i="18"/>
  <c r="B628" i="18"/>
  <c r="C628" i="18"/>
  <c r="D628" i="18"/>
  <c r="E628" i="18"/>
  <c r="F628" i="18"/>
  <c r="G628" i="18"/>
  <c r="H628" i="18"/>
  <c r="I628" i="18"/>
  <c r="J628" i="18"/>
  <c r="K628" i="18"/>
  <c r="L628" i="18"/>
  <c r="B629" i="18"/>
  <c r="C629" i="18"/>
  <c r="D629" i="18"/>
  <c r="E629" i="18"/>
  <c r="F629" i="18"/>
  <c r="G629" i="18"/>
  <c r="H629" i="18"/>
  <c r="I629" i="18"/>
  <c r="J629" i="18"/>
  <c r="K629" i="18"/>
  <c r="L629" i="18"/>
  <c r="B630" i="18"/>
  <c r="C630" i="18"/>
  <c r="D630" i="18"/>
  <c r="E630" i="18"/>
  <c r="F630" i="18"/>
  <c r="G630" i="18"/>
  <c r="H630" i="18"/>
  <c r="I630" i="18"/>
  <c r="J630" i="18"/>
  <c r="K630" i="18"/>
  <c r="L630" i="18"/>
  <c r="B631" i="18"/>
  <c r="C631" i="18"/>
  <c r="D631" i="18"/>
  <c r="E631" i="18"/>
  <c r="F631" i="18"/>
  <c r="G631" i="18"/>
  <c r="H631" i="18"/>
  <c r="I631" i="18"/>
  <c r="J631" i="18"/>
  <c r="K631" i="18"/>
  <c r="L631" i="18"/>
  <c r="B632" i="18"/>
  <c r="C632" i="18"/>
  <c r="D632" i="18"/>
  <c r="E632" i="18"/>
  <c r="F632" i="18"/>
  <c r="G632" i="18"/>
  <c r="H632" i="18"/>
  <c r="I632" i="18"/>
  <c r="J632" i="18"/>
  <c r="K632" i="18"/>
  <c r="L632" i="18"/>
  <c r="B633" i="18"/>
  <c r="C633" i="18"/>
  <c r="D633" i="18"/>
  <c r="E633" i="18"/>
  <c r="F633" i="18"/>
  <c r="G633" i="18"/>
  <c r="H633" i="18"/>
  <c r="I633" i="18"/>
  <c r="J633" i="18"/>
  <c r="K633" i="18"/>
  <c r="L633" i="18"/>
  <c r="B634" i="18"/>
  <c r="C634" i="18"/>
  <c r="D634" i="18"/>
  <c r="E634" i="18"/>
  <c r="F634" i="18"/>
  <c r="G634" i="18"/>
  <c r="H634" i="18"/>
  <c r="I634" i="18"/>
  <c r="J634" i="18"/>
  <c r="K634" i="18"/>
  <c r="L634" i="18"/>
  <c r="B635" i="18"/>
  <c r="C635" i="18"/>
  <c r="D635" i="18"/>
  <c r="E635" i="18"/>
  <c r="F635" i="18"/>
  <c r="G635" i="18"/>
  <c r="H635" i="18"/>
  <c r="I635" i="18"/>
  <c r="J635" i="18"/>
  <c r="K635" i="18"/>
  <c r="L635" i="18"/>
  <c r="B636" i="18"/>
  <c r="C636" i="18"/>
  <c r="D636" i="18"/>
  <c r="E636" i="18"/>
  <c r="F636" i="18"/>
  <c r="G636" i="18"/>
  <c r="H636" i="18"/>
  <c r="I636" i="18"/>
  <c r="J636" i="18"/>
  <c r="K636" i="18"/>
  <c r="L636" i="18"/>
  <c r="B637" i="18"/>
  <c r="C637" i="18"/>
  <c r="D637" i="18"/>
  <c r="E637" i="18"/>
  <c r="F637" i="18"/>
  <c r="G637" i="18"/>
  <c r="H637" i="18"/>
  <c r="I637" i="18"/>
  <c r="J637" i="18"/>
  <c r="K637" i="18"/>
  <c r="L637" i="18"/>
  <c r="B638" i="18"/>
  <c r="C638" i="18"/>
  <c r="D638" i="18"/>
  <c r="E638" i="18"/>
  <c r="F638" i="18"/>
  <c r="G638" i="18"/>
  <c r="H638" i="18"/>
  <c r="I638" i="18"/>
  <c r="J638" i="18"/>
  <c r="K638" i="18"/>
  <c r="L638" i="18"/>
  <c r="B639" i="18"/>
  <c r="C639" i="18"/>
  <c r="D639" i="18"/>
  <c r="E639" i="18"/>
  <c r="F639" i="18"/>
  <c r="G639" i="18"/>
  <c r="H639" i="18"/>
  <c r="I639" i="18"/>
  <c r="J639" i="18"/>
  <c r="K639" i="18"/>
  <c r="L639" i="18"/>
  <c r="B640" i="18"/>
  <c r="C640" i="18"/>
  <c r="D640" i="18"/>
  <c r="E640" i="18"/>
  <c r="F640" i="18"/>
  <c r="G640" i="18"/>
  <c r="H640" i="18"/>
  <c r="I640" i="18"/>
  <c r="J640" i="18"/>
  <c r="K640" i="18"/>
  <c r="L640" i="18"/>
  <c r="B641" i="18"/>
  <c r="C641" i="18"/>
  <c r="D641" i="18"/>
  <c r="E641" i="18"/>
  <c r="F641" i="18"/>
  <c r="G641" i="18"/>
  <c r="H641" i="18"/>
  <c r="I641" i="18"/>
  <c r="J641" i="18"/>
  <c r="K641" i="18"/>
  <c r="L641" i="18"/>
  <c r="B642" i="18"/>
  <c r="C642" i="18"/>
  <c r="D642" i="18"/>
  <c r="E642" i="18"/>
  <c r="F642" i="18"/>
  <c r="G642" i="18"/>
  <c r="H642" i="18"/>
  <c r="I642" i="18"/>
  <c r="J642" i="18"/>
  <c r="K642" i="18"/>
  <c r="L642" i="18"/>
  <c r="B643" i="18"/>
  <c r="C643" i="18"/>
  <c r="D643" i="18"/>
  <c r="E643" i="18"/>
  <c r="F643" i="18"/>
  <c r="G643" i="18"/>
  <c r="H643" i="18"/>
  <c r="I643" i="18"/>
  <c r="J643" i="18"/>
  <c r="K643" i="18"/>
  <c r="L643" i="18"/>
  <c r="B644" i="18"/>
  <c r="C644" i="18"/>
  <c r="D644" i="18"/>
  <c r="E644" i="18"/>
  <c r="F644" i="18"/>
  <c r="G644" i="18"/>
  <c r="H644" i="18"/>
  <c r="I644" i="18"/>
  <c r="J644" i="18"/>
  <c r="K644" i="18"/>
  <c r="L644" i="18"/>
  <c r="B645" i="18"/>
  <c r="C645" i="18"/>
  <c r="D645" i="18"/>
  <c r="E645" i="18"/>
  <c r="F645" i="18"/>
  <c r="G645" i="18"/>
  <c r="H645" i="18"/>
  <c r="I645" i="18"/>
  <c r="J645" i="18"/>
  <c r="K645" i="18"/>
  <c r="L645" i="18"/>
  <c r="B646" i="18"/>
  <c r="C646" i="18"/>
  <c r="D646" i="18"/>
  <c r="E646" i="18"/>
  <c r="F646" i="18"/>
  <c r="G646" i="18"/>
  <c r="H646" i="18"/>
  <c r="I646" i="18"/>
  <c r="J646" i="18"/>
  <c r="K646" i="18"/>
  <c r="L646" i="18"/>
  <c r="B647" i="18"/>
  <c r="C647" i="18"/>
  <c r="D647" i="18"/>
  <c r="E647" i="18"/>
  <c r="F647" i="18"/>
  <c r="G647" i="18"/>
  <c r="H647" i="18"/>
  <c r="I647" i="18"/>
  <c r="J647" i="18"/>
  <c r="K647" i="18"/>
  <c r="L647" i="18"/>
  <c r="B648" i="18"/>
  <c r="C648" i="18"/>
  <c r="D648" i="18"/>
  <c r="E648" i="18"/>
  <c r="F648" i="18"/>
  <c r="G648" i="18"/>
  <c r="H648" i="18"/>
  <c r="I648" i="18"/>
  <c r="J648" i="18"/>
  <c r="K648" i="18"/>
  <c r="L648" i="18"/>
  <c r="B649" i="18"/>
  <c r="C649" i="18"/>
  <c r="D649" i="18"/>
  <c r="E649" i="18"/>
  <c r="F649" i="18"/>
  <c r="G649" i="18"/>
  <c r="H649" i="18"/>
  <c r="I649" i="18"/>
  <c r="J649" i="18"/>
  <c r="K649" i="18"/>
  <c r="L649" i="18"/>
  <c r="B650" i="18"/>
  <c r="C650" i="18"/>
  <c r="D650" i="18"/>
  <c r="E650" i="18"/>
  <c r="F650" i="18"/>
  <c r="G650" i="18"/>
  <c r="H650" i="18"/>
  <c r="I650" i="18"/>
  <c r="J650" i="18"/>
  <c r="K650" i="18"/>
  <c r="L650" i="18"/>
  <c r="B651" i="18"/>
  <c r="C651" i="18"/>
  <c r="D651" i="18"/>
  <c r="E651" i="18"/>
  <c r="F651" i="18"/>
  <c r="G651" i="18"/>
  <c r="H651" i="18"/>
  <c r="I651" i="18"/>
  <c r="J651" i="18"/>
  <c r="K651" i="18"/>
  <c r="L651" i="18"/>
  <c r="B652" i="18"/>
  <c r="C652" i="18"/>
  <c r="D652" i="18"/>
  <c r="E652" i="18"/>
  <c r="F652" i="18"/>
  <c r="G652" i="18"/>
  <c r="H652" i="18"/>
  <c r="I652" i="18"/>
  <c r="J652" i="18"/>
  <c r="K652" i="18"/>
  <c r="L652" i="18"/>
  <c r="B653" i="18"/>
  <c r="C653" i="18"/>
  <c r="D653" i="18"/>
  <c r="E653" i="18"/>
  <c r="F653" i="18"/>
  <c r="G653" i="18"/>
  <c r="H653" i="18"/>
  <c r="I653" i="18"/>
  <c r="J653" i="18"/>
  <c r="K653" i="18"/>
  <c r="L653" i="18"/>
  <c r="B654" i="18"/>
  <c r="C654" i="18"/>
  <c r="D654" i="18"/>
  <c r="E654" i="18"/>
  <c r="F654" i="18"/>
  <c r="G654" i="18"/>
  <c r="H654" i="18"/>
  <c r="I654" i="18"/>
  <c r="J654" i="18"/>
  <c r="K654" i="18"/>
  <c r="L654" i="18"/>
  <c r="B655" i="18"/>
  <c r="C655" i="18"/>
  <c r="D655" i="18"/>
  <c r="E655" i="18"/>
  <c r="F655" i="18"/>
  <c r="G655" i="18"/>
  <c r="H655" i="18"/>
  <c r="I655" i="18"/>
  <c r="J655" i="18"/>
  <c r="K655" i="18"/>
  <c r="L655" i="18"/>
  <c r="B656" i="18"/>
  <c r="C656" i="18"/>
  <c r="D656" i="18"/>
  <c r="E656" i="18"/>
  <c r="F656" i="18"/>
  <c r="G656" i="18"/>
  <c r="H656" i="18"/>
  <c r="I656" i="18"/>
  <c r="J656" i="18"/>
  <c r="K656" i="18"/>
  <c r="L656" i="18"/>
  <c r="B657" i="18"/>
  <c r="C657" i="18"/>
  <c r="D657" i="18"/>
  <c r="E657" i="18"/>
  <c r="F657" i="18"/>
  <c r="G657" i="18"/>
  <c r="H657" i="18"/>
  <c r="I657" i="18"/>
  <c r="J657" i="18"/>
  <c r="K657" i="18"/>
  <c r="L657" i="18"/>
  <c r="B658" i="18"/>
  <c r="C658" i="18"/>
  <c r="D658" i="18"/>
  <c r="E658" i="18"/>
  <c r="F658" i="18"/>
  <c r="G658" i="18"/>
  <c r="H658" i="18"/>
  <c r="I658" i="18"/>
  <c r="J658" i="18"/>
  <c r="K658" i="18"/>
  <c r="L658" i="18"/>
  <c r="B659" i="18"/>
  <c r="C659" i="18"/>
  <c r="D659" i="18"/>
  <c r="E659" i="18"/>
  <c r="F659" i="18"/>
  <c r="G659" i="18"/>
  <c r="H659" i="18"/>
  <c r="I659" i="18"/>
  <c r="J659" i="18"/>
  <c r="K659" i="18"/>
  <c r="L659" i="18"/>
  <c r="B660" i="18"/>
  <c r="C660" i="18"/>
  <c r="D660" i="18"/>
  <c r="E660" i="18"/>
  <c r="F660" i="18"/>
  <c r="G660" i="18"/>
  <c r="H660" i="18"/>
  <c r="I660" i="18"/>
  <c r="J660" i="18"/>
  <c r="K660" i="18"/>
  <c r="L660" i="18"/>
  <c r="B661" i="18"/>
  <c r="C661" i="18"/>
  <c r="D661" i="18"/>
  <c r="E661" i="18"/>
  <c r="F661" i="18"/>
  <c r="G661" i="18"/>
  <c r="H661" i="18"/>
  <c r="I661" i="18"/>
  <c r="J661" i="18"/>
  <c r="K661" i="18"/>
  <c r="L661" i="18"/>
  <c r="B662" i="18"/>
  <c r="C662" i="18"/>
  <c r="D662" i="18"/>
  <c r="E662" i="18"/>
  <c r="F662" i="18"/>
  <c r="G662" i="18"/>
  <c r="H662" i="18"/>
  <c r="I662" i="18"/>
  <c r="J662" i="18"/>
  <c r="K662" i="18"/>
  <c r="L662" i="18"/>
  <c r="B663" i="18"/>
  <c r="C663" i="18"/>
  <c r="D663" i="18"/>
  <c r="E663" i="18"/>
  <c r="F663" i="18"/>
  <c r="G663" i="18"/>
  <c r="H663" i="18"/>
  <c r="I663" i="18"/>
  <c r="J663" i="18"/>
  <c r="K663" i="18"/>
  <c r="L663" i="18"/>
  <c r="B664" i="18"/>
  <c r="C664" i="18"/>
  <c r="D664" i="18"/>
  <c r="E664" i="18"/>
  <c r="F664" i="18"/>
  <c r="G664" i="18"/>
  <c r="H664" i="18"/>
  <c r="I664" i="18"/>
  <c r="J664" i="18"/>
  <c r="K664" i="18"/>
  <c r="L664" i="18"/>
  <c r="B665" i="18"/>
  <c r="C665" i="18"/>
  <c r="D665" i="18"/>
  <c r="E665" i="18"/>
  <c r="F665" i="18"/>
  <c r="G665" i="18"/>
  <c r="H665" i="18"/>
  <c r="I665" i="18"/>
  <c r="J665" i="18"/>
  <c r="K665" i="18"/>
  <c r="L665" i="18"/>
  <c r="B666" i="18"/>
  <c r="C666" i="18"/>
  <c r="D666" i="18"/>
  <c r="E666" i="18"/>
  <c r="F666" i="18"/>
  <c r="G666" i="18"/>
  <c r="H666" i="18"/>
  <c r="I666" i="18"/>
  <c r="J666" i="18"/>
  <c r="K666" i="18"/>
  <c r="L666" i="18"/>
  <c r="B667" i="18"/>
  <c r="C667" i="18"/>
  <c r="D667" i="18"/>
  <c r="E667" i="18"/>
  <c r="F667" i="18"/>
  <c r="G667" i="18"/>
  <c r="H667" i="18"/>
  <c r="I667" i="18"/>
  <c r="J667" i="18"/>
  <c r="K667" i="18"/>
  <c r="L667" i="18"/>
  <c r="B668" i="18"/>
  <c r="C668" i="18"/>
  <c r="D668" i="18"/>
  <c r="E668" i="18"/>
  <c r="F668" i="18"/>
  <c r="G668" i="18"/>
  <c r="H668" i="18"/>
  <c r="I668" i="18"/>
  <c r="J668" i="18"/>
  <c r="K668" i="18"/>
  <c r="L668" i="18"/>
  <c r="B669" i="18"/>
  <c r="C669" i="18"/>
  <c r="D669" i="18"/>
  <c r="E669" i="18"/>
  <c r="F669" i="18"/>
  <c r="G669" i="18"/>
  <c r="H669" i="18"/>
  <c r="I669" i="18"/>
  <c r="J669" i="18"/>
  <c r="K669" i="18"/>
  <c r="L669" i="18"/>
  <c r="B670" i="18"/>
  <c r="C670" i="18"/>
  <c r="D670" i="18"/>
  <c r="E670" i="18"/>
  <c r="F670" i="18"/>
  <c r="G670" i="18"/>
  <c r="H670" i="18"/>
  <c r="I670" i="18"/>
  <c r="J670" i="18"/>
  <c r="K670" i="18"/>
  <c r="L670" i="18"/>
  <c r="B671" i="18"/>
  <c r="C671" i="18"/>
  <c r="D671" i="18"/>
  <c r="E671" i="18"/>
  <c r="F671" i="18"/>
  <c r="G671" i="18"/>
  <c r="H671" i="18"/>
  <c r="I671" i="18"/>
  <c r="J671" i="18"/>
  <c r="K671" i="18"/>
  <c r="L671" i="18"/>
  <c r="B672" i="18"/>
  <c r="C672" i="18"/>
  <c r="D672" i="18"/>
  <c r="E672" i="18"/>
  <c r="F672" i="18"/>
  <c r="G672" i="18"/>
  <c r="H672" i="18"/>
  <c r="I672" i="18"/>
  <c r="J672" i="18"/>
  <c r="K672" i="18"/>
  <c r="L672" i="18"/>
  <c r="B673" i="18"/>
  <c r="C673" i="18"/>
  <c r="D673" i="18"/>
  <c r="E673" i="18"/>
  <c r="F673" i="18"/>
  <c r="G673" i="18"/>
  <c r="H673" i="18"/>
  <c r="I673" i="18"/>
  <c r="J673" i="18"/>
  <c r="K673" i="18"/>
  <c r="L673" i="18"/>
  <c r="B674" i="18"/>
  <c r="C674" i="18"/>
  <c r="D674" i="18"/>
  <c r="E674" i="18"/>
  <c r="F674" i="18"/>
  <c r="G674" i="18"/>
  <c r="H674" i="18"/>
  <c r="I674" i="18"/>
  <c r="J674" i="18"/>
  <c r="K674" i="18"/>
  <c r="L674" i="18"/>
  <c r="B675" i="18"/>
  <c r="C675" i="18"/>
  <c r="D675" i="18"/>
  <c r="E675" i="18"/>
  <c r="F675" i="18"/>
  <c r="G675" i="18"/>
  <c r="H675" i="18"/>
  <c r="I675" i="18"/>
  <c r="J675" i="18"/>
  <c r="K675" i="18"/>
  <c r="L675" i="18"/>
  <c r="B676" i="18"/>
  <c r="C676" i="18"/>
  <c r="D676" i="18"/>
  <c r="E676" i="18"/>
  <c r="F676" i="18"/>
  <c r="G676" i="18"/>
  <c r="H676" i="18"/>
  <c r="I676" i="18"/>
  <c r="J676" i="18"/>
  <c r="K676" i="18"/>
  <c r="L676" i="18"/>
  <c r="B677" i="18"/>
  <c r="C677" i="18"/>
  <c r="D677" i="18"/>
  <c r="E677" i="18"/>
  <c r="F677" i="18"/>
  <c r="G677" i="18"/>
  <c r="H677" i="18"/>
  <c r="I677" i="18"/>
  <c r="J677" i="18"/>
  <c r="K677" i="18"/>
  <c r="L677" i="18"/>
  <c r="B678" i="18"/>
  <c r="C678" i="18"/>
  <c r="D678" i="18"/>
  <c r="E678" i="18"/>
  <c r="F678" i="18"/>
  <c r="G678" i="18"/>
  <c r="H678" i="18"/>
  <c r="I678" i="18"/>
  <c r="J678" i="18"/>
  <c r="K678" i="18"/>
  <c r="L678" i="18"/>
  <c r="B679" i="18"/>
  <c r="C679" i="18"/>
  <c r="D679" i="18"/>
  <c r="E679" i="18"/>
  <c r="F679" i="18"/>
  <c r="G679" i="18"/>
  <c r="H679" i="18"/>
  <c r="I679" i="18"/>
  <c r="J679" i="18"/>
  <c r="K679" i="18"/>
  <c r="L679" i="18"/>
  <c r="B680" i="18"/>
  <c r="C680" i="18"/>
  <c r="D680" i="18"/>
  <c r="E680" i="18"/>
  <c r="F680" i="18"/>
  <c r="G680" i="18"/>
  <c r="H680" i="18"/>
  <c r="I680" i="18"/>
  <c r="J680" i="18"/>
  <c r="K680" i="18"/>
  <c r="L680" i="18"/>
  <c r="B681" i="18"/>
  <c r="C681" i="18"/>
  <c r="D681" i="18"/>
  <c r="E681" i="18"/>
  <c r="F681" i="18"/>
  <c r="G681" i="18"/>
  <c r="H681" i="18"/>
  <c r="I681" i="18"/>
  <c r="J681" i="18"/>
  <c r="K681" i="18"/>
  <c r="L681" i="18"/>
  <c r="B682" i="18"/>
  <c r="C682" i="18"/>
  <c r="D682" i="18"/>
  <c r="E682" i="18"/>
  <c r="F682" i="18"/>
  <c r="G682" i="18"/>
  <c r="H682" i="18"/>
  <c r="I682" i="18"/>
  <c r="J682" i="18"/>
  <c r="K682" i="18"/>
  <c r="L682" i="18"/>
  <c r="B683" i="18"/>
  <c r="C683" i="18"/>
  <c r="D683" i="18"/>
  <c r="E683" i="18"/>
  <c r="F683" i="18"/>
  <c r="G683" i="18"/>
  <c r="H683" i="18"/>
  <c r="I683" i="18"/>
  <c r="J683" i="18"/>
  <c r="K683" i="18"/>
  <c r="L683" i="18"/>
  <c r="B684" i="18"/>
  <c r="C684" i="18"/>
  <c r="D684" i="18"/>
  <c r="E684" i="18"/>
  <c r="F684" i="18"/>
  <c r="G684" i="18"/>
  <c r="H684" i="18"/>
  <c r="I684" i="18"/>
  <c r="J684" i="18"/>
  <c r="K684" i="18"/>
  <c r="L684" i="18"/>
  <c r="B685" i="18"/>
  <c r="C685" i="18"/>
  <c r="D685" i="18"/>
  <c r="E685" i="18"/>
  <c r="F685" i="18"/>
  <c r="G685" i="18"/>
  <c r="H685" i="18"/>
  <c r="I685" i="18"/>
  <c r="J685" i="18"/>
  <c r="K685" i="18"/>
  <c r="L685" i="18"/>
  <c r="B686" i="18"/>
  <c r="C686" i="18"/>
  <c r="D686" i="18"/>
  <c r="E686" i="18"/>
  <c r="F686" i="18"/>
  <c r="G686" i="18"/>
  <c r="H686" i="18"/>
  <c r="I686" i="18"/>
  <c r="J686" i="18"/>
  <c r="K686" i="18"/>
  <c r="L686" i="18"/>
  <c r="B687" i="18"/>
  <c r="C687" i="18"/>
  <c r="D687" i="18"/>
  <c r="E687" i="18"/>
  <c r="F687" i="18"/>
  <c r="G687" i="18"/>
  <c r="H687" i="18"/>
  <c r="I687" i="18"/>
  <c r="J687" i="18"/>
  <c r="K687" i="18"/>
  <c r="L687" i="18"/>
  <c r="B688" i="18"/>
  <c r="C688" i="18"/>
  <c r="D688" i="18"/>
  <c r="E688" i="18"/>
  <c r="F688" i="18"/>
  <c r="G688" i="18"/>
  <c r="H688" i="18"/>
  <c r="I688" i="18"/>
  <c r="J688" i="18"/>
  <c r="K688" i="18"/>
  <c r="L688" i="18"/>
  <c r="B689" i="18"/>
  <c r="C689" i="18"/>
  <c r="D689" i="18"/>
  <c r="E689" i="18"/>
  <c r="F689" i="18"/>
  <c r="G689" i="18"/>
  <c r="H689" i="18"/>
  <c r="I689" i="18"/>
  <c r="J689" i="18"/>
  <c r="K689" i="18"/>
  <c r="L689" i="18"/>
  <c r="B690" i="18"/>
  <c r="C690" i="18"/>
  <c r="D690" i="18"/>
  <c r="E690" i="18"/>
  <c r="F690" i="18"/>
  <c r="G690" i="18"/>
  <c r="H690" i="18"/>
  <c r="I690" i="18"/>
  <c r="J690" i="18"/>
  <c r="K690" i="18"/>
  <c r="L690" i="18"/>
  <c r="B691" i="18"/>
  <c r="C691" i="18"/>
  <c r="D691" i="18"/>
  <c r="E691" i="18"/>
  <c r="F691" i="18"/>
  <c r="G691" i="18"/>
  <c r="H691" i="18"/>
  <c r="I691" i="18"/>
  <c r="J691" i="18"/>
  <c r="K691" i="18"/>
  <c r="L691" i="18"/>
  <c r="B692" i="18"/>
  <c r="C692" i="18"/>
  <c r="D692" i="18"/>
  <c r="E692" i="18"/>
  <c r="F692" i="18"/>
  <c r="G692" i="18"/>
  <c r="H692" i="18"/>
  <c r="I692" i="18"/>
  <c r="J692" i="18"/>
  <c r="K692" i="18"/>
  <c r="L692" i="18"/>
  <c r="B693" i="18"/>
  <c r="C693" i="18"/>
  <c r="D693" i="18"/>
  <c r="E693" i="18"/>
  <c r="F693" i="18"/>
  <c r="G693" i="18"/>
  <c r="H693" i="18"/>
  <c r="I693" i="18"/>
  <c r="J693" i="18"/>
  <c r="K693" i="18"/>
  <c r="L693" i="18"/>
  <c r="B694" i="18"/>
  <c r="C694" i="18"/>
  <c r="D694" i="18"/>
  <c r="E694" i="18"/>
  <c r="F694" i="18"/>
  <c r="G694" i="18"/>
  <c r="H694" i="18"/>
  <c r="I694" i="18"/>
  <c r="J694" i="18"/>
  <c r="K694" i="18"/>
  <c r="L694" i="18"/>
  <c r="B695" i="18"/>
  <c r="C695" i="18"/>
  <c r="D695" i="18"/>
  <c r="E695" i="18"/>
  <c r="F695" i="18"/>
  <c r="G695" i="18"/>
  <c r="H695" i="18"/>
  <c r="I695" i="18"/>
  <c r="J695" i="18"/>
  <c r="K695" i="18"/>
  <c r="L695" i="18"/>
  <c r="B696" i="18"/>
  <c r="C696" i="18"/>
  <c r="D696" i="18"/>
  <c r="E696" i="18"/>
  <c r="F696" i="18"/>
  <c r="G696" i="18"/>
  <c r="H696" i="18"/>
  <c r="I696" i="18"/>
  <c r="J696" i="18"/>
  <c r="K696" i="18"/>
  <c r="L696" i="18"/>
  <c r="B697" i="18"/>
  <c r="C697" i="18"/>
  <c r="D697" i="18"/>
  <c r="E697" i="18"/>
  <c r="F697" i="18"/>
  <c r="G697" i="18"/>
  <c r="H697" i="18"/>
  <c r="I697" i="18"/>
  <c r="J697" i="18"/>
  <c r="K697" i="18"/>
  <c r="L697" i="18"/>
  <c r="B698" i="18"/>
  <c r="C698" i="18"/>
  <c r="D698" i="18"/>
  <c r="E698" i="18"/>
  <c r="F698" i="18"/>
  <c r="G698" i="18"/>
  <c r="H698" i="18"/>
  <c r="I698" i="18"/>
  <c r="J698" i="18"/>
  <c r="K698" i="18"/>
  <c r="L698" i="18"/>
  <c r="B699" i="18"/>
  <c r="C699" i="18"/>
  <c r="D699" i="18"/>
  <c r="E699" i="18"/>
  <c r="F699" i="18"/>
  <c r="G699" i="18"/>
  <c r="H699" i="18"/>
  <c r="I699" i="18"/>
  <c r="J699" i="18"/>
  <c r="K699" i="18"/>
  <c r="L699" i="18"/>
  <c r="B700" i="18"/>
  <c r="C700" i="18"/>
  <c r="D700" i="18"/>
  <c r="E700" i="18"/>
  <c r="F700" i="18"/>
  <c r="G700" i="18"/>
  <c r="H700" i="18"/>
  <c r="I700" i="18"/>
  <c r="J700" i="18"/>
  <c r="K700" i="18"/>
  <c r="L700" i="18"/>
  <c r="B701" i="18"/>
  <c r="C701" i="18"/>
  <c r="D701" i="18"/>
  <c r="E701" i="18"/>
  <c r="F701" i="18"/>
  <c r="G701" i="18"/>
  <c r="H701" i="18"/>
  <c r="I701" i="18"/>
  <c r="J701" i="18"/>
  <c r="K701" i="18"/>
  <c r="L701" i="18"/>
  <c r="B702" i="18"/>
  <c r="C702" i="18"/>
  <c r="D702" i="18"/>
  <c r="E702" i="18"/>
  <c r="F702" i="18"/>
  <c r="G702" i="18"/>
  <c r="H702" i="18"/>
  <c r="I702" i="18"/>
  <c r="J702" i="18"/>
  <c r="K702" i="18"/>
  <c r="L702" i="18"/>
  <c r="B703" i="18"/>
  <c r="C703" i="18"/>
  <c r="D703" i="18"/>
  <c r="E703" i="18"/>
  <c r="F703" i="18"/>
  <c r="G703" i="18"/>
  <c r="H703" i="18"/>
  <c r="I703" i="18"/>
  <c r="J703" i="18"/>
  <c r="K703" i="18"/>
  <c r="L703" i="18"/>
  <c r="B704" i="18"/>
  <c r="C704" i="18"/>
  <c r="D704" i="18"/>
  <c r="E704" i="18"/>
  <c r="F704" i="18"/>
  <c r="G704" i="18"/>
  <c r="H704" i="18"/>
  <c r="I704" i="18"/>
  <c r="J704" i="18"/>
  <c r="K704" i="18"/>
  <c r="L704" i="18"/>
  <c r="B705" i="18"/>
  <c r="C705" i="18"/>
  <c r="D705" i="18"/>
  <c r="E705" i="18"/>
  <c r="F705" i="18"/>
  <c r="G705" i="18"/>
  <c r="H705" i="18"/>
  <c r="I705" i="18"/>
  <c r="J705" i="18"/>
  <c r="K705" i="18"/>
  <c r="L705" i="18"/>
  <c r="B706" i="18"/>
  <c r="C706" i="18"/>
  <c r="D706" i="18"/>
  <c r="E706" i="18"/>
  <c r="F706" i="18"/>
  <c r="G706" i="18"/>
  <c r="H706" i="18"/>
  <c r="I706" i="18"/>
  <c r="J706" i="18"/>
  <c r="K706" i="18"/>
  <c r="L706" i="18"/>
  <c r="B707" i="18"/>
  <c r="C707" i="18"/>
  <c r="D707" i="18"/>
  <c r="E707" i="18"/>
  <c r="F707" i="18"/>
  <c r="G707" i="18"/>
  <c r="H707" i="18"/>
  <c r="I707" i="18"/>
  <c r="J707" i="18"/>
  <c r="K707" i="18"/>
  <c r="L707" i="18"/>
  <c r="B708" i="18"/>
  <c r="C708" i="18"/>
  <c r="D708" i="18"/>
  <c r="E708" i="18"/>
  <c r="F708" i="18"/>
  <c r="G708" i="18"/>
  <c r="H708" i="18"/>
  <c r="I708" i="18"/>
  <c r="J708" i="18"/>
  <c r="K708" i="18"/>
  <c r="L708" i="18"/>
  <c r="B709" i="18"/>
  <c r="C709" i="18"/>
  <c r="D709" i="18"/>
  <c r="E709" i="18"/>
  <c r="F709" i="18"/>
  <c r="G709" i="18"/>
  <c r="H709" i="18"/>
  <c r="I709" i="18"/>
  <c r="J709" i="18"/>
  <c r="K709" i="18"/>
  <c r="L709" i="18"/>
  <c r="B710" i="18"/>
  <c r="C710" i="18"/>
  <c r="D710" i="18"/>
  <c r="E710" i="18"/>
  <c r="F710" i="18"/>
  <c r="G710" i="18"/>
  <c r="H710" i="18"/>
  <c r="I710" i="18"/>
  <c r="J710" i="18"/>
  <c r="K710" i="18"/>
  <c r="L710" i="18"/>
  <c r="B711" i="18"/>
  <c r="C711" i="18"/>
  <c r="D711" i="18"/>
  <c r="E711" i="18"/>
  <c r="F711" i="18"/>
  <c r="G711" i="18"/>
  <c r="H711" i="18"/>
  <c r="I711" i="18"/>
  <c r="J711" i="18"/>
  <c r="K711" i="18"/>
  <c r="L711" i="18"/>
  <c r="B712" i="18"/>
  <c r="C712" i="18"/>
  <c r="D712" i="18"/>
  <c r="E712" i="18"/>
  <c r="F712" i="18"/>
  <c r="G712" i="18"/>
  <c r="H712" i="18"/>
  <c r="I712" i="18"/>
  <c r="J712" i="18"/>
  <c r="K712" i="18"/>
  <c r="L712" i="18"/>
  <c r="B713" i="18"/>
  <c r="C713" i="18"/>
  <c r="D713" i="18"/>
  <c r="E713" i="18"/>
  <c r="F713" i="18"/>
  <c r="G713" i="18"/>
  <c r="H713" i="18"/>
  <c r="I713" i="18"/>
  <c r="J713" i="18"/>
  <c r="K713" i="18"/>
  <c r="L713" i="18"/>
  <c r="B714" i="18"/>
  <c r="C714" i="18"/>
  <c r="D714" i="18"/>
  <c r="E714" i="18"/>
  <c r="F714" i="18"/>
  <c r="G714" i="18"/>
  <c r="H714" i="18"/>
  <c r="I714" i="18"/>
  <c r="J714" i="18"/>
  <c r="K714" i="18"/>
  <c r="L714" i="18"/>
  <c r="B715" i="18"/>
  <c r="C715" i="18"/>
  <c r="D715" i="18"/>
  <c r="E715" i="18"/>
  <c r="F715" i="18"/>
  <c r="G715" i="18"/>
  <c r="H715" i="18"/>
  <c r="I715" i="18"/>
  <c r="J715" i="18"/>
  <c r="K715" i="18"/>
  <c r="L715" i="18"/>
  <c r="B716" i="18"/>
  <c r="C716" i="18"/>
  <c r="D716" i="18"/>
  <c r="E716" i="18"/>
  <c r="F716" i="18"/>
  <c r="G716" i="18"/>
  <c r="H716" i="18"/>
  <c r="I716" i="18"/>
  <c r="J716" i="18"/>
  <c r="K716" i="18"/>
  <c r="L716" i="18"/>
  <c r="B717" i="18"/>
  <c r="C717" i="18"/>
  <c r="D717" i="18"/>
  <c r="E717" i="18"/>
  <c r="F717" i="18"/>
  <c r="G717" i="18"/>
  <c r="H717" i="18"/>
  <c r="I717" i="18"/>
  <c r="J717" i="18"/>
  <c r="K717" i="18"/>
  <c r="L717" i="18"/>
  <c r="B718" i="18"/>
  <c r="C718" i="18"/>
  <c r="D718" i="18"/>
  <c r="E718" i="18"/>
  <c r="F718" i="18"/>
  <c r="G718" i="18"/>
  <c r="H718" i="18"/>
  <c r="I718" i="18"/>
  <c r="J718" i="18"/>
  <c r="K718" i="18"/>
  <c r="L718" i="18"/>
  <c r="B719" i="18"/>
  <c r="C719" i="18"/>
  <c r="D719" i="18"/>
  <c r="E719" i="18"/>
  <c r="F719" i="18"/>
  <c r="G719" i="18"/>
  <c r="H719" i="18"/>
  <c r="I719" i="18"/>
  <c r="J719" i="18"/>
  <c r="K719" i="18"/>
  <c r="L719" i="18"/>
  <c r="B720" i="18"/>
  <c r="C720" i="18"/>
  <c r="D720" i="18"/>
  <c r="E720" i="18"/>
  <c r="F720" i="18"/>
  <c r="G720" i="18"/>
  <c r="H720" i="18"/>
  <c r="I720" i="18"/>
  <c r="J720" i="18"/>
  <c r="K720" i="18"/>
  <c r="L720" i="18"/>
  <c r="B721" i="18"/>
  <c r="C721" i="18"/>
  <c r="D721" i="18"/>
  <c r="E721" i="18"/>
  <c r="F721" i="18"/>
  <c r="G721" i="18"/>
  <c r="H721" i="18"/>
  <c r="I721" i="18"/>
  <c r="J721" i="18"/>
  <c r="K721" i="18"/>
  <c r="L721" i="18"/>
  <c r="B722" i="18"/>
  <c r="C722" i="18"/>
  <c r="D722" i="18"/>
  <c r="E722" i="18"/>
  <c r="F722" i="18"/>
  <c r="G722" i="18"/>
  <c r="H722" i="18"/>
  <c r="I722" i="18"/>
  <c r="J722" i="18"/>
  <c r="K722" i="18"/>
  <c r="L722" i="18"/>
  <c r="B723" i="18"/>
  <c r="C723" i="18"/>
  <c r="D723" i="18"/>
  <c r="E723" i="18"/>
  <c r="F723" i="18"/>
  <c r="G723" i="18"/>
  <c r="H723" i="18"/>
  <c r="I723" i="18"/>
  <c r="J723" i="18"/>
  <c r="K723" i="18"/>
  <c r="L723" i="18"/>
  <c r="B724" i="18"/>
  <c r="C724" i="18"/>
  <c r="D724" i="18"/>
  <c r="E724" i="18"/>
  <c r="F724" i="18"/>
  <c r="G724" i="18"/>
  <c r="H724" i="18"/>
  <c r="I724" i="18"/>
  <c r="J724" i="18"/>
  <c r="K724" i="18"/>
  <c r="L724" i="18"/>
  <c r="B725" i="18"/>
  <c r="C725" i="18"/>
  <c r="D725" i="18"/>
  <c r="E725" i="18"/>
  <c r="F725" i="18"/>
  <c r="G725" i="18"/>
  <c r="H725" i="18"/>
  <c r="I725" i="18"/>
  <c r="J725" i="18"/>
  <c r="K725" i="18"/>
  <c r="L725" i="18"/>
  <c r="B726" i="18"/>
  <c r="C726" i="18"/>
  <c r="D726" i="18"/>
  <c r="E726" i="18"/>
  <c r="F726" i="18"/>
  <c r="G726" i="18"/>
  <c r="H726" i="18"/>
  <c r="I726" i="18"/>
  <c r="J726" i="18"/>
  <c r="K726" i="18"/>
  <c r="L726" i="18"/>
  <c r="B727" i="18"/>
  <c r="C727" i="18"/>
  <c r="D727" i="18"/>
  <c r="E727" i="18"/>
  <c r="F727" i="18"/>
  <c r="G727" i="18"/>
  <c r="H727" i="18"/>
  <c r="I727" i="18"/>
  <c r="J727" i="18"/>
  <c r="K727" i="18"/>
  <c r="L727" i="18"/>
  <c r="B728" i="18"/>
  <c r="C728" i="18"/>
  <c r="D728" i="18"/>
  <c r="E728" i="18"/>
  <c r="F728" i="18"/>
  <c r="G728" i="18"/>
  <c r="H728" i="18"/>
  <c r="I728" i="18"/>
  <c r="J728" i="18"/>
  <c r="K728" i="18"/>
  <c r="L728" i="18"/>
  <c r="B729" i="18"/>
  <c r="C729" i="18"/>
  <c r="D729" i="18"/>
  <c r="E729" i="18"/>
  <c r="F729" i="18"/>
  <c r="G729" i="18"/>
  <c r="H729" i="18"/>
  <c r="I729" i="18"/>
  <c r="J729" i="18"/>
  <c r="K729" i="18"/>
  <c r="L729" i="18"/>
  <c r="B730" i="18"/>
  <c r="C730" i="18"/>
  <c r="D730" i="18"/>
  <c r="E730" i="18"/>
  <c r="F730" i="18"/>
  <c r="G730" i="18"/>
  <c r="H730" i="18"/>
  <c r="I730" i="18"/>
  <c r="J730" i="18"/>
  <c r="K730" i="18"/>
  <c r="L730" i="18"/>
  <c r="B731" i="18"/>
  <c r="C731" i="18"/>
  <c r="D731" i="18"/>
  <c r="E731" i="18"/>
  <c r="F731" i="18"/>
  <c r="G731" i="18"/>
  <c r="H731" i="18"/>
  <c r="I731" i="18"/>
  <c r="J731" i="18"/>
  <c r="K731" i="18"/>
  <c r="L731" i="18"/>
  <c r="B732" i="18"/>
  <c r="C732" i="18"/>
  <c r="D732" i="18"/>
  <c r="E732" i="18"/>
  <c r="F732" i="18"/>
  <c r="G732" i="18"/>
  <c r="H732" i="18"/>
  <c r="I732" i="18"/>
  <c r="J732" i="18"/>
  <c r="K732" i="18"/>
  <c r="L732" i="18"/>
  <c r="B733" i="18"/>
  <c r="C733" i="18"/>
  <c r="D733" i="18"/>
  <c r="E733" i="18"/>
  <c r="F733" i="18"/>
  <c r="G733" i="18"/>
  <c r="H733" i="18"/>
  <c r="I733" i="18"/>
  <c r="J733" i="18"/>
  <c r="K733" i="18"/>
  <c r="L733" i="18"/>
  <c r="B734" i="18"/>
  <c r="C734" i="18"/>
  <c r="D734" i="18"/>
  <c r="E734" i="18"/>
  <c r="F734" i="18"/>
  <c r="G734" i="18"/>
  <c r="H734" i="18"/>
  <c r="I734" i="18"/>
  <c r="J734" i="18"/>
  <c r="K734" i="18"/>
  <c r="L734" i="18"/>
  <c r="B735" i="18"/>
  <c r="C735" i="18"/>
  <c r="D735" i="18"/>
  <c r="E735" i="18"/>
  <c r="F735" i="18"/>
  <c r="G735" i="18"/>
  <c r="H735" i="18"/>
  <c r="I735" i="18"/>
  <c r="J735" i="18"/>
  <c r="K735" i="18"/>
  <c r="L735" i="18"/>
  <c r="B736" i="18"/>
  <c r="C736" i="18"/>
  <c r="D736" i="18"/>
  <c r="E736" i="18"/>
  <c r="F736" i="18"/>
  <c r="G736" i="18"/>
  <c r="H736" i="18"/>
  <c r="I736" i="18"/>
  <c r="J736" i="18"/>
  <c r="K736" i="18"/>
  <c r="L736" i="18"/>
  <c r="B737" i="18"/>
  <c r="C737" i="18"/>
  <c r="D737" i="18"/>
  <c r="E737" i="18"/>
  <c r="F737" i="18"/>
  <c r="G737" i="18"/>
  <c r="H737" i="18"/>
  <c r="I737" i="18"/>
  <c r="J737" i="18"/>
  <c r="K737" i="18"/>
  <c r="L737" i="18"/>
  <c r="B738" i="18"/>
  <c r="C738" i="18"/>
  <c r="D738" i="18"/>
  <c r="E738" i="18"/>
  <c r="F738" i="18"/>
  <c r="G738" i="18"/>
  <c r="H738" i="18"/>
  <c r="I738" i="18"/>
  <c r="J738" i="18"/>
  <c r="K738" i="18"/>
  <c r="L738" i="18"/>
  <c r="B739" i="18"/>
  <c r="C739" i="18"/>
  <c r="D739" i="18"/>
  <c r="E739" i="18"/>
  <c r="F739" i="18"/>
  <c r="G739" i="18"/>
  <c r="H739" i="18"/>
  <c r="I739" i="18"/>
  <c r="J739" i="18"/>
  <c r="K739" i="18"/>
  <c r="L739" i="18"/>
  <c r="B740" i="18"/>
  <c r="C740" i="18"/>
  <c r="D740" i="18"/>
  <c r="E740" i="18"/>
  <c r="F740" i="18"/>
  <c r="G740" i="18"/>
  <c r="H740" i="18"/>
  <c r="I740" i="18"/>
  <c r="J740" i="18"/>
  <c r="K740" i="18"/>
  <c r="L740" i="18"/>
  <c r="B741" i="18"/>
  <c r="C741" i="18"/>
  <c r="D741" i="18"/>
  <c r="E741" i="18"/>
  <c r="F741" i="18"/>
  <c r="G741" i="18"/>
  <c r="H741" i="18"/>
  <c r="I741" i="18"/>
  <c r="J741" i="18"/>
  <c r="K741" i="18"/>
  <c r="L741" i="18"/>
  <c r="B742" i="18"/>
  <c r="C742" i="18"/>
  <c r="D742" i="18"/>
  <c r="E742" i="18"/>
  <c r="F742" i="18"/>
  <c r="G742" i="18"/>
  <c r="H742" i="18"/>
  <c r="I742" i="18"/>
  <c r="J742" i="18"/>
  <c r="K742" i="18"/>
  <c r="L742" i="18"/>
  <c r="B743" i="18"/>
  <c r="C743" i="18"/>
  <c r="D743" i="18"/>
  <c r="E743" i="18"/>
  <c r="F743" i="18"/>
  <c r="G743" i="18"/>
  <c r="H743" i="18"/>
  <c r="I743" i="18"/>
  <c r="J743" i="18"/>
  <c r="K743" i="18"/>
  <c r="L743" i="18"/>
  <c r="B744" i="18"/>
  <c r="C744" i="18"/>
  <c r="D744" i="18"/>
  <c r="E744" i="18"/>
  <c r="F744" i="18"/>
  <c r="G744" i="18"/>
  <c r="H744" i="18"/>
  <c r="I744" i="18"/>
  <c r="J744" i="18"/>
  <c r="K744" i="18"/>
  <c r="L744" i="18"/>
  <c r="B745" i="18"/>
  <c r="C745" i="18"/>
  <c r="D745" i="18"/>
  <c r="E745" i="18"/>
  <c r="F745" i="18"/>
  <c r="G745" i="18"/>
  <c r="H745" i="18"/>
  <c r="I745" i="18"/>
  <c r="J745" i="18"/>
  <c r="K745" i="18"/>
  <c r="L745" i="18"/>
  <c r="B746" i="18"/>
  <c r="C746" i="18"/>
  <c r="D746" i="18"/>
  <c r="E746" i="18"/>
  <c r="F746" i="18"/>
  <c r="G746" i="18"/>
  <c r="H746" i="18"/>
  <c r="I746" i="18"/>
  <c r="J746" i="18"/>
  <c r="K746" i="18"/>
  <c r="L746" i="18"/>
  <c r="B747" i="18"/>
  <c r="C747" i="18"/>
  <c r="D747" i="18"/>
  <c r="E747" i="18"/>
  <c r="F747" i="18"/>
  <c r="G747" i="18"/>
  <c r="H747" i="18"/>
  <c r="I747" i="18"/>
  <c r="J747" i="18"/>
  <c r="K747" i="18"/>
  <c r="L747" i="18"/>
  <c r="B748" i="18"/>
  <c r="C748" i="18"/>
  <c r="D748" i="18"/>
  <c r="E748" i="18"/>
  <c r="F748" i="18"/>
  <c r="G748" i="18"/>
  <c r="H748" i="18"/>
  <c r="I748" i="18"/>
  <c r="J748" i="18"/>
  <c r="K748" i="18"/>
  <c r="L748" i="18"/>
  <c r="B749" i="18"/>
  <c r="C749" i="18"/>
  <c r="D749" i="18"/>
  <c r="E749" i="18"/>
  <c r="F749" i="18"/>
  <c r="G749" i="18"/>
  <c r="H749" i="18"/>
  <c r="I749" i="18"/>
  <c r="J749" i="18"/>
  <c r="K749" i="18"/>
  <c r="L749" i="18"/>
  <c r="B750" i="18"/>
  <c r="C750" i="18"/>
  <c r="D750" i="18"/>
  <c r="E750" i="18"/>
  <c r="F750" i="18"/>
  <c r="G750" i="18"/>
  <c r="H750" i="18"/>
  <c r="I750" i="18"/>
  <c r="J750" i="18"/>
  <c r="K750" i="18"/>
  <c r="L750" i="18"/>
  <c r="B751" i="18"/>
  <c r="C751" i="18"/>
  <c r="D751" i="18"/>
  <c r="E751" i="18"/>
  <c r="F751" i="18"/>
  <c r="G751" i="18"/>
  <c r="H751" i="18"/>
  <c r="I751" i="18"/>
  <c r="J751" i="18"/>
  <c r="K751" i="18"/>
  <c r="L751" i="18"/>
  <c r="B752" i="18"/>
  <c r="C752" i="18"/>
  <c r="D752" i="18"/>
  <c r="E752" i="18"/>
  <c r="F752" i="18"/>
  <c r="G752" i="18"/>
  <c r="H752" i="18"/>
  <c r="I752" i="18"/>
  <c r="J752" i="18"/>
  <c r="K752" i="18"/>
  <c r="L752" i="18"/>
  <c r="B753" i="18"/>
  <c r="C753" i="18"/>
  <c r="D753" i="18"/>
  <c r="E753" i="18"/>
  <c r="F753" i="18"/>
  <c r="G753" i="18"/>
  <c r="H753" i="18"/>
  <c r="I753" i="18"/>
  <c r="J753" i="18"/>
  <c r="K753" i="18"/>
  <c r="L753" i="18"/>
  <c r="B754" i="18"/>
  <c r="C754" i="18"/>
  <c r="D754" i="18"/>
  <c r="E754" i="18"/>
  <c r="F754" i="18"/>
  <c r="G754" i="18"/>
  <c r="H754" i="18"/>
  <c r="I754" i="18"/>
  <c r="J754" i="18"/>
  <c r="K754" i="18"/>
  <c r="L754" i="18"/>
  <c r="B755" i="18"/>
  <c r="C755" i="18"/>
  <c r="D755" i="18"/>
  <c r="E755" i="18"/>
  <c r="F755" i="18"/>
  <c r="G755" i="18"/>
  <c r="H755" i="18"/>
  <c r="I755" i="18"/>
  <c r="J755" i="18"/>
  <c r="K755" i="18"/>
  <c r="L755" i="18"/>
  <c r="B756" i="18"/>
  <c r="C756" i="18"/>
  <c r="D756" i="18"/>
  <c r="E756" i="18"/>
  <c r="F756" i="18"/>
  <c r="G756" i="18"/>
  <c r="H756" i="18"/>
  <c r="I756" i="18"/>
  <c r="J756" i="18"/>
  <c r="K756" i="18"/>
  <c r="L756" i="18"/>
  <c r="B757" i="18"/>
  <c r="C757" i="18"/>
  <c r="D757" i="18"/>
  <c r="E757" i="18"/>
  <c r="F757" i="18"/>
  <c r="G757" i="18"/>
  <c r="H757" i="18"/>
  <c r="I757" i="18"/>
  <c r="J757" i="18"/>
  <c r="K757" i="18"/>
  <c r="L757" i="18"/>
  <c r="B758" i="18"/>
  <c r="C758" i="18"/>
  <c r="D758" i="18"/>
  <c r="E758" i="18"/>
  <c r="F758" i="18"/>
  <c r="G758" i="18"/>
  <c r="H758" i="18"/>
  <c r="I758" i="18"/>
  <c r="J758" i="18"/>
  <c r="K758" i="18"/>
  <c r="L758" i="18"/>
  <c r="B759" i="18"/>
  <c r="C759" i="18"/>
  <c r="D759" i="18"/>
  <c r="E759" i="18"/>
  <c r="F759" i="18"/>
  <c r="G759" i="18"/>
  <c r="H759" i="18"/>
  <c r="I759" i="18"/>
  <c r="J759" i="18"/>
  <c r="K759" i="18"/>
  <c r="L759" i="18"/>
  <c r="B760" i="18"/>
  <c r="C760" i="18"/>
  <c r="D760" i="18"/>
  <c r="E760" i="18"/>
  <c r="F760" i="18"/>
  <c r="G760" i="18"/>
  <c r="H760" i="18"/>
  <c r="I760" i="18"/>
  <c r="J760" i="18"/>
  <c r="K760" i="18"/>
  <c r="L760" i="18"/>
  <c r="B761" i="18"/>
  <c r="C761" i="18"/>
  <c r="D761" i="18"/>
  <c r="E761" i="18"/>
  <c r="F761" i="18"/>
  <c r="G761" i="18"/>
  <c r="H761" i="18"/>
  <c r="I761" i="18"/>
  <c r="J761" i="18"/>
  <c r="K761" i="18"/>
  <c r="L761" i="18"/>
  <c r="B762" i="18"/>
  <c r="C762" i="18"/>
  <c r="D762" i="18"/>
  <c r="E762" i="18"/>
  <c r="F762" i="18"/>
  <c r="G762" i="18"/>
  <c r="H762" i="18"/>
  <c r="I762" i="18"/>
  <c r="J762" i="18"/>
  <c r="K762" i="18"/>
  <c r="L762" i="18"/>
  <c r="B763" i="18"/>
  <c r="C763" i="18"/>
  <c r="D763" i="18"/>
  <c r="E763" i="18"/>
  <c r="F763" i="18"/>
  <c r="G763" i="18"/>
  <c r="H763" i="18"/>
  <c r="I763" i="18"/>
  <c r="J763" i="18"/>
  <c r="K763" i="18"/>
  <c r="L763" i="18"/>
  <c r="B764" i="18"/>
  <c r="C764" i="18"/>
  <c r="D764" i="18"/>
  <c r="E764" i="18"/>
  <c r="F764" i="18"/>
  <c r="G764" i="18"/>
  <c r="H764" i="18"/>
  <c r="I764" i="18"/>
  <c r="J764" i="18"/>
  <c r="K764" i="18"/>
  <c r="L764" i="18"/>
  <c r="B765" i="18"/>
  <c r="C765" i="18"/>
  <c r="D765" i="18"/>
  <c r="E765" i="18"/>
  <c r="F765" i="18"/>
  <c r="G765" i="18"/>
  <c r="H765" i="18"/>
  <c r="I765" i="18"/>
  <c r="J765" i="18"/>
  <c r="K765" i="18"/>
  <c r="L765" i="18"/>
  <c r="B766" i="18"/>
  <c r="C766" i="18"/>
  <c r="D766" i="18"/>
  <c r="E766" i="18"/>
  <c r="F766" i="18"/>
  <c r="G766" i="18"/>
  <c r="H766" i="18"/>
  <c r="I766" i="18"/>
  <c r="J766" i="18"/>
  <c r="K766" i="18"/>
  <c r="L766" i="18"/>
  <c r="B767" i="18"/>
  <c r="C767" i="18"/>
  <c r="D767" i="18"/>
  <c r="E767" i="18"/>
  <c r="F767" i="18"/>
  <c r="G767" i="18"/>
  <c r="H767" i="18"/>
  <c r="I767" i="18"/>
  <c r="J767" i="18"/>
  <c r="K767" i="18"/>
  <c r="L767" i="18"/>
  <c r="B768" i="18"/>
  <c r="C768" i="18"/>
  <c r="D768" i="18"/>
  <c r="E768" i="18"/>
  <c r="F768" i="18"/>
  <c r="G768" i="18"/>
  <c r="H768" i="18"/>
  <c r="I768" i="18"/>
  <c r="J768" i="18"/>
  <c r="K768" i="18"/>
  <c r="L768" i="18"/>
  <c r="B769" i="18"/>
  <c r="C769" i="18"/>
  <c r="D769" i="18"/>
  <c r="E769" i="18"/>
  <c r="F769" i="18"/>
  <c r="G769" i="18"/>
  <c r="H769" i="18"/>
  <c r="I769" i="18"/>
  <c r="J769" i="18"/>
  <c r="K769" i="18"/>
  <c r="L769" i="18"/>
  <c r="B770" i="18"/>
  <c r="C770" i="18"/>
  <c r="D770" i="18"/>
  <c r="E770" i="18"/>
  <c r="F770" i="18"/>
  <c r="G770" i="18"/>
  <c r="H770" i="18"/>
  <c r="I770" i="18"/>
  <c r="J770" i="18"/>
  <c r="K770" i="18"/>
  <c r="L770" i="18"/>
  <c r="B771" i="18"/>
  <c r="C771" i="18"/>
  <c r="D771" i="18"/>
  <c r="E771" i="18"/>
  <c r="F771" i="18"/>
  <c r="G771" i="18"/>
  <c r="H771" i="18"/>
  <c r="I771" i="18"/>
  <c r="J771" i="18"/>
  <c r="K771" i="18"/>
  <c r="L771" i="18"/>
  <c r="B772" i="18"/>
  <c r="C772" i="18"/>
  <c r="D772" i="18"/>
  <c r="E772" i="18"/>
  <c r="F772" i="18"/>
  <c r="G772" i="18"/>
  <c r="H772" i="18"/>
  <c r="I772" i="18"/>
  <c r="J772" i="18"/>
  <c r="K772" i="18"/>
  <c r="L772" i="18"/>
  <c r="B773" i="18"/>
  <c r="C773" i="18"/>
  <c r="D773" i="18"/>
  <c r="E773" i="18"/>
  <c r="F773" i="18"/>
  <c r="G773" i="18"/>
  <c r="H773" i="18"/>
  <c r="I773" i="18"/>
  <c r="J773" i="18"/>
  <c r="K773" i="18"/>
  <c r="L773" i="18"/>
  <c r="B774" i="18"/>
  <c r="C774" i="18"/>
  <c r="D774" i="18"/>
  <c r="E774" i="18"/>
  <c r="F774" i="18"/>
  <c r="G774" i="18"/>
  <c r="H774" i="18"/>
  <c r="I774" i="18"/>
  <c r="J774" i="18"/>
  <c r="K774" i="18"/>
  <c r="L774" i="18"/>
  <c r="B775" i="18"/>
  <c r="C775" i="18"/>
  <c r="D775" i="18"/>
  <c r="E775" i="18"/>
  <c r="F775" i="18"/>
  <c r="G775" i="18"/>
  <c r="H775" i="18"/>
  <c r="I775" i="18"/>
  <c r="J775" i="18"/>
  <c r="K775" i="18"/>
  <c r="L775" i="18"/>
  <c r="B776" i="18"/>
  <c r="C776" i="18"/>
  <c r="D776" i="18"/>
  <c r="E776" i="18"/>
  <c r="F776" i="18"/>
  <c r="G776" i="18"/>
  <c r="H776" i="18"/>
  <c r="I776" i="18"/>
  <c r="J776" i="18"/>
  <c r="K776" i="18"/>
  <c r="L776" i="18"/>
  <c r="B777" i="18"/>
  <c r="C777" i="18"/>
  <c r="D777" i="18"/>
  <c r="E777" i="18"/>
  <c r="F777" i="18"/>
  <c r="G777" i="18"/>
  <c r="H777" i="18"/>
  <c r="I777" i="18"/>
  <c r="J777" i="18"/>
  <c r="K777" i="18"/>
  <c r="L777" i="18"/>
  <c r="B778" i="18"/>
  <c r="C778" i="18"/>
  <c r="D778" i="18"/>
  <c r="E778" i="18"/>
  <c r="F778" i="18"/>
  <c r="G778" i="18"/>
  <c r="H778" i="18"/>
  <c r="I778" i="18"/>
  <c r="J778" i="18"/>
  <c r="K778" i="18"/>
  <c r="L778" i="18"/>
  <c r="B779" i="18"/>
  <c r="C779" i="18"/>
  <c r="D779" i="18"/>
  <c r="E779" i="18"/>
  <c r="F779" i="18"/>
  <c r="G779" i="18"/>
  <c r="H779" i="18"/>
  <c r="I779" i="18"/>
  <c r="J779" i="18"/>
  <c r="K779" i="18"/>
  <c r="L779" i="18"/>
  <c r="B780" i="18"/>
  <c r="C780" i="18"/>
  <c r="D780" i="18"/>
  <c r="E780" i="18"/>
  <c r="F780" i="18"/>
  <c r="G780" i="18"/>
  <c r="H780" i="18"/>
  <c r="I780" i="18"/>
  <c r="J780" i="18"/>
  <c r="K780" i="18"/>
  <c r="L780" i="18"/>
  <c r="B781" i="18"/>
  <c r="C781" i="18"/>
  <c r="D781" i="18"/>
  <c r="E781" i="18"/>
  <c r="F781" i="18"/>
  <c r="G781" i="18"/>
  <c r="H781" i="18"/>
  <c r="I781" i="18"/>
  <c r="J781" i="18"/>
  <c r="K781" i="18"/>
  <c r="L781" i="18"/>
  <c r="B782" i="18"/>
  <c r="C782" i="18"/>
  <c r="D782" i="18"/>
  <c r="E782" i="18"/>
  <c r="F782" i="18"/>
  <c r="G782" i="18"/>
  <c r="H782" i="18"/>
  <c r="I782" i="18"/>
  <c r="J782" i="18"/>
  <c r="K782" i="18"/>
  <c r="L782" i="18"/>
  <c r="B783" i="18"/>
  <c r="C783" i="18"/>
  <c r="D783" i="18"/>
  <c r="E783" i="18"/>
  <c r="F783" i="18"/>
  <c r="G783" i="18"/>
  <c r="H783" i="18"/>
  <c r="I783" i="18"/>
  <c r="J783" i="18"/>
  <c r="K783" i="18"/>
  <c r="L783" i="18"/>
  <c r="B784" i="18"/>
  <c r="C784" i="18"/>
  <c r="D784" i="18"/>
  <c r="E784" i="18"/>
  <c r="F784" i="18"/>
  <c r="G784" i="18"/>
  <c r="H784" i="18"/>
  <c r="I784" i="18"/>
  <c r="J784" i="18"/>
  <c r="K784" i="18"/>
  <c r="L784" i="18"/>
  <c r="B785" i="18"/>
  <c r="C785" i="18"/>
  <c r="D785" i="18"/>
  <c r="E785" i="18"/>
  <c r="F785" i="18"/>
  <c r="G785" i="18"/>
  <c r="H785" i="18"/>
  <c r="I785" i="18"/>
  <c r="J785" i="18"/>
  <c r="K785" i="18"/>
  <c r="L785" i="18"/>
  <c r="B786" i="18"/>
  <c r="C786" i="18"/>
  <c r="D786" i="18"/>
  <c r="E786" i="18"/>
  <c r="F786" i="18"/>
  <c r="G786" i="18"/>
  <c r="H786" i="18"/>
  <c r="I786" i="18"/>
  <c r="J786" i="18"/>
  <c r="K786" i="18"/>
  <c r="L786" i="18"/>
  <c r="B787" i="18"/>
  <c r="C787" i="18"/>
  <c r="D787" i="18"/>
  <c r="E787" i="18"/>
  <c r="F787" i="18"/>
  <c r="G787" i="18"/>
  <c r="H787" i="18"/>
  <c r="I787" i="18"/>
  <c r="J787" i="18"/>
  <c r="K787" i="18"/>
  <c r="L787" i="18"/>
  <c r="B788" i="18"/>
  <c r="C788" i="18"/>
  <c r="D788" i="18"/>
  <c r="E788" i="18"/>
  <c r="F788" i="18"/>
  <c r="G788" i="18"/>
  <c r="H788" i="18"/>
  <c r="I788" i="18"/>
  <c r="J788" i="18"/>
  <c r="K788" i="18"/>
  <c r="L788" i="18"/>
  <c r="B789" i="18"/>
  <c r="C789" i="18"/>
  <c r="D789" i="18"/>
  <c r="E789" i="18"/>
  <c r="F789" i="18"/>
  <c r="G789" i="18"/>
  <c r="H789" i="18"/>
  <c r="I789" i="18"/>
  <c r="J789" i="18"/>
  <c r="K789" i="18"/>
  <c r="L789" i="18"/>
  <c r="B790" i="18"/>
  <c r="C790" i="18"/>
  <c r="D790" i="18"/>
  <c r="E790" i="18"/>
  <c r="F790" i="18"/>
  <c r="G790" i="18"/>
  <c r="H790" i="18"/>
  <c r="I790" i="18"/>
  <c r="J790" i="18"/>
  <c r="K790" i="18"/>
  <c r="L790" i="18"/>
  <c r="B791" i="18"/>
  <c r="C791" i="18"/>
  <c r="D791" i="18"/>
  <c r="E791" i="18"/>
  <c r="F791" i="18"/>
  <c r="G791" i="18"/>
  <c r="H791" i="18"/>
  <c r="I791" i="18"/>
  <c r="J791" i="18"/>
  <c r="K791" i="18"/>
  <c r="L791" i="18"/>
  <c r="B792" i="18"/>
  <c r="C792" i="18"/>
  <c r="D792" i="18"/>
  <c r="E792" i="18"/>
  <c r="F792" i="18"/>
  <c r="G792" i="18"/>
  <c r="H792" i="18"/>
  <c r="I792" i="18"/>
  <c r="J792" i="18"/>
  <c r="K792" i="18"/>
  <c r="L792" i="18"/>
  <c r="B793" i="18"/>
  <c r="C793" i="18"/>
  <c r="D793" i="18"/>
  <c r="E793" i="18"/>
  <c r="F793" i="18"/>
  <c r="G793" i="18"/>
  <c r="H793" i="18"/>
  <c r="I793" i="18"/>
  <c r="J793" i="18"/>
  <c r="K793" i="18"/>
  <c r="L793" i="18"/>
  <c r="B794" i="18"/>
  <c r="C794" i="18"/>
  <c r="D794" i="18"/>
  <c r="E794" i="18"/>
  <c r="F794" i="18"/>
  <c r="G794" i="18"/>
  <c r="H794" i="18"/>
  <c r="I794" i="18"/>
  <c r="J794" i="18"/>
  <c r="K794" i="18"/>
  <c r="L794" i="18"/>
  <c r="B795" i="18"/>
  <c r="C795" i="18"/>
  <c r="D795" i="18"/>
  <c r="E795" i="18"/>
  <c r="F795" i="18"/>
  <c r="G795" i="18"/>
  <c r="H795" i="18"/>
  <c r="I795" i="18"/>
  <c r="J795" i="18"/>
  <c r="K795" i="18"/>
  <c r="L795" i="18"/>
  <c r="B796" i="18"/>
  <c r="C796" i="18"/>
  <c r="D796" i="18"/>
  <c r="E796" i="18"/>
  <c r="F796" i="18"/>
  <c r="G796" i="18"/>
  <c r="H796" i="18"/>
  <c r="I796" i="18"/>
  <c r="J796" i="18"/>
  <c r="K796" i="18"/>
  <c r="L796" i="18"/>
  <c r="B797" i="18"/>
  <c r="C797" i="18"/>
  <c r="D797" i="18"/>
  <c r="E797" i="18"/>
  <c r="F797" i="18"/>
  <c r="G797" i="18"/>
  <c r="H797" i="18"/>
  <c r="I797" i="18"/>
  <c r="J797" i="18"/>
  <c r="K797" i="18"/>
  <c r="L797" i="18"/>
  <c r="B798" i="18"/>
  <c r="C798" i="18"/>
  <c r="D798" i="18"/>
  <c r="E798" i="18"/>
  <c r="F798" i="18"/>
  <c r="G798" i="18"/>
  <c r="H798" i="18"/>
  <c r="I798" i="18"/>
  <c r="J798" i="18"/>
  <c r="K798" i="18"/>
  <c r="L798" i="18"/>
  <c r="B799" i="18"/>
  <c r="C799" i="18"/>
  <c r="D799" i="18"/>
  <c r="E799" i="18"/>
  <c r="F799" i="18"/>
  <c r="G799" i="18"/>
  <c r="H799" i="18"/>
  <c r="I799" i="18"/>
  <c r="J799" i="18"/>
  <c r="K799" i="18"/>
  <c r="L799" i="18"/>
  <c r="B800" i="18"/>
  <c r="C800" i="18"/>
  <c r="D800" i="18"/>
  <c r="E800" i="18"/>
  <c r="F800" i="18"/>
  <c r="G800" i="18"/>
  <c r="H800" i="18"/>
  <c r="I800" i="18"/>
  <c r="J800" i="18"/>
  <c r="K800" i="18"/>
  <c r="L800" i="18"/>
  <c r="B801" i="18"/>
  <c r="C801" i="18"/>
  <c r="D801" i="18"/>
  <c r="E801" i="18"/>
  <c r="F801" i="18"/>
  <c r="G801" i="18"/>
  <c r="H801" i="18"/>
  <c r="I801" i="18"/>
  <c r="J801" i="18"/>
  <c r="K801" i="18"/>
  <c r="L801" i="18"/>
  <c r="B802" i="18"/>
  <c r="C802" i="18"/>
  <c r="D802" i="18"/>
  <c r="E802" i="18"/>
  <c r="F802" i="18"/>
  <c r="G802" i="18"/>
  <c r="H802" i="18"/>
  <c r="I802" i="18"/>
  <c r="J802" i="18"/>
  <c r="K802" i="18"/>
  <c r="L802" i="18"/>
  <c r="B803" i="18"/>
  <c r="C803" i="18"/>
  <c r="D803" i="18"/>
  <c r="E803" i="18"/>
  <c r="F803" i="18"/>
  <c r="G803" i="18"/>
  <c r="H803" i="18"/>
  <c r="I803" i="18"/>
  <c r="J803" i="18"/>
  <c r="K803" i="18"/>
  <c r="L803" i="18"/>
  <c r="B804" i="18"/>
  <c r="C804" i="18"/>
  <c r="D804" i="18"/>
  <c r="E804" i="18"/>
  <c r="F804" i="18"/>
  <c r="G804" i="18"/>
  <c r="H804" i="18"/>
  <c r="I804" i="18"/>
  <c r="J804" i="18"/>
  <c r="K804" i="18"/>
  <c r="L804" i="18"/>
  <c r="B805" i="18"/>
  <c r="C805" i="18"/>
  <c r="D805" i="18"/>
  <c r="E805" i="18"/>
  <c r="F805" i="18"/>
  <c r="G805" i="18"/>
  <c r="H805" i="18"/>
  <c r="I805" i="18"/>
  <c r="J805" i="18"/>
  <c r="K805" i="18"/>
  <c r="L805" i="18"/>
  <c r="B806" i="18"/>
  <c r="C806" i="18"/>
  <c r="D806" i="18"/>
  <c r="E806" i="18"/>
  <c r="F806" i="18"/>
  <c r="G806" i="18"/>
  <c r="H806" i="18"/>
  <c r="I806" i="18"/>
  <c r="J806" i="18"/>
  <c r="K806" i="18"/>
  <c r="L806" i="18"/>
  <c r="B807" i="18"/>
  <c r="C807" i="18"/>
  <c r="D807" i="18"/>
  <c r="E807" i="18"/>
  <c r="F807" i="18"/>
  <c r="G807" i="18"/>
  <c r="H807" i="18"/>
  <c r="I807" i="18"/>
  <c r="J807" i="18"/>
  <c r="K807" i="18"/>
  <c r="L807" i="18"/>
  <c r="B808" i="18"/>
  <c r="C808" i="18"/>
  <c r="D808" i="18"/>
  <c r="E808" i="18"/>
  <c r="F808" i="18"/>
  <c r="G808" i="18"/>
  <c r="H808" i="18"/>
  <c r="I808" i="18"/>
  <c r="J808" i="18"/>
  <c r="K808" i="18"/>
  <c r="L808" i="18"/>
  <c r="B809" i="18"/>
  <c r="C809" i="18"/>
  <c r="D809" i="18"/>
  <c r="E809" i="18"/>
  <c r="F809" i="18"/>
  <c r="G809" i="18"/>
  <c r="H809" i="18"/>
  <c r="I809" i="18"/>
  <c r="J809" i="18"/>
  <c r="K809" i="18"/>
  <c r="L809" i="18"/>
  <c r="B810" i="18"/>
  <c r="C810" i="18"/>
  <c r="D810" i="18"/>
  <c r="E810" i="18"/>
  <c r="F810" i="18"/>
  <c r="G810" i="18"/>
  <c r="H810" i="18"/>
  <c r="I810" i="18"/>
  <c r="J810" i="18"/>
  <c r="K810" i="18"/>
  <c r="L810" i="18"/>
  <c r="B811" i="18"/>
  <c r="C811" i="18"/>
  <c r="D811" i="18"/>
  <c r="E811" i="18"/>
  <c r="F811" i="18"/>
  <c r="G811" i="18"/>
  <c r="H811" i="18"/>
  <c r="I811" i="18"/>
  <c r="J811" i="18"/>
  <c r="K811" i="18"/>
  <c r="L811" i="18"/>
  <c r="B812" i="18"/>
  <c r="C812" i="18"/>
  <c r="D812" i="18"/>
  <c r="E812" i="18"/>
  <c r="F812" i="18"/>
  <c r="G812" i="18"/>
  <c r="H812" i="18"/>
  <c r="I812" i="18"/>
  <c r="J812" i="18"/>
  <c r="K812" i="18"/>
  <c r="L812" i="18"/>
  <c r="B813" i="18"/>
  <c r="C813" i="18"/>
  <c r="D813" i="18"/>
  <c r="E813" i="18"/>
  <c r="F813" i="18"/>
  <c r="G813" i="18"/>
  <c r="H813" i="18"/>
  <c r="I813" i="18"/>
  <c r="J813" i="18"/>
  <c r="K813" i="18"/>
  <c r="L813" i="18"/>
  <c r="B814" i="18"/>
  <c r="C814" i="18"/>
  <c r="D814" i="18"/>
  <c r="E814" i="18"/>
  <c r="F814" i="18"/>
  <c r="G814" i="18"/>
  <c r="H814" i="18"/>
  <c r="I814" i="18"/>
  <c r="J814" i="18"/>
  <c r="K814" i="18"/>
  <c r="L814" i="18"/>
  <c r="B815" i="18"/>
  <c r="C815" i="18"/>
  <c r="D815" i="18"/>
  <c r="E815" i="18"/>
  <c r="F815" i="18"/>
  <c r="G815" i="18"/>
  <c r="H815" i="18"/>
  <c r="I815" i="18"/>
  <c r="J815" i="18"/>
  <c r="K815" i="18"/>
  <c r="L815" i="18"/>
  <c r="B816" i="18"/>
  <c r="C816" i="18"/>
  <c r="D816" i="18"/>
  <c r="E816" i="18"/>
  <c r="F816" i="18"/>
  <c r="G816" i="18"/>
  <c r="H816" i="18"/>
  <c r="I816" i="18"/>
  <c r="J816" i="18"/>
  <c r="K816" i="18"/>
  <c r="L816" i="18"/>
  <c r="B817" i="18"/>
  <c r="C817" i="18"/>
  <c r="D817" i="18"/>
  <c r="E817" i="18"/>
  <c r="F817" i="18"/>
  <c r="G817" i="18"/>
  <c r="H817" i="18"/>
  <c r="I817" i="18"/>
  <c r="J817" i="18"/>
  <c r="K817" i="18"/>
  <c r="L817" i="18"/>
  <c r="B818" i="18"/>
  <c r="C818" i="18"/>
  <c r="D818" i="18"/>
  <c r="E818" i="18"/>
  <c r="F818" i="18"/>
  <c r="G818" i="18"/>
  <c r="H818" i="18"/>
  <c r="I818" i="18"/>
  <c r="J818" i="18"/>
  <c r="K818" i="18"/>
  <c r="L818" i="18"/>
  <c r="B819" i="18"/>
  <c r="C819" i="18"/>
  <c r="D819" i="18"/>
  <c r="E819" i="18"/>
  <c r="F819" i="18"/>
  <c r="G819" i="18"/>
  <c r="H819" i="18"/>
  <c r="I819" i="18"/>
  <c r="J819" i="18"/>
  <c r="K819" i="18"/>
  <c r="L819" i="18"/>
  <c r="B820" i="18"/>
  <c r="C820" i="18"/>
  <c r="D820" i="18"/>
  <c r="E820" i="18"/>
  <c r="F820" i="18"/>
  <c r="G820" i="18"/>
  <c r="H820" i="18"/>
  <c r="I820" i="18"/>
  <c r="J820" i="18"/>
  <c r="K820" i="18"/>
  <c r="L820" i="18"/>
  <c r="B821" i="18"/>
  <c r="C821" i="18"/>
  <c r="D821" i="18"/>
  <c r="E821" i="18"/>
  <c r="F821" i="18"/>
  <c r="G821" i="18"/>
  <c r="H821" i="18"/>
  <c r="I821" i="18"/>
  <c r="J821" i="18"/>
  <c r="K821" i="18"/>
  <c r="L821" i="18"/>
  <c r="B822" i="18"/>
  <c r="C822" i="18"/>
  <c r="D822" i="18"/>
  <c r="E822" i="18"/>
  <c r="F822" i="18"/>
  <c r="G822" i="18"/>
  <c r="H822" i="18"/>
  <c r="I822" i="18"/>
  <c r="J822" i="18"/>
  <c r="K822" i="18"/>
  <c r="L822" i="18"/>
  <c r="B823" i="18"/>
  <c r="C823" i="18"/>
  <c r="D823" i="18"/>
  <c r="E823" i="18"/>
  <c r="F823" i="18"/>
  <c r="G823" i="18"/>
  <c r="H823" i="18"/>
  <c r="I823" i="18"/>
  <c r="J823" i="18"/>
  <c r="K823" i="18"/>
  <c r="L823" i="18"/>
  <c r="B824" i="18"/>
  <c r="C824" i="18"/>
  <c r="D824" i="18"/>
  <c r="E824" i="18"/>
  <c r="F824" i="18"/>
  <c r="G824" i="18"/>
  <c r="H824" i="18"/>
  <c r="I824" i="18"/>
  <c r="J824" i="18"/>
  <c r="K824" i="18"/>
  <c r="L824" i="18"/>
  <c r="B825" i="18"/>
  <c r="C825" i="18"/>
  <c r="D825" i="18"/>
  <c r="E825" i="18"/>
  <c r="F825" i="18"/>
  <c r="G825" i="18"/>
  <c r="H825" i="18"/>
  <c r="I825" i="18"/>
  <c r="J825" i="18"/>
  <c r="K825" i="18"/>
  <c r="L825" i="18"/>
  <c r="B826" i="18"/>
  <c r="C826" i="18"/>
  <c r="D826" i="18"/>
  <c r="E826" i="18"/>
  <c r="F826" i="18"/>
  <c r="G826" i="18"/>
  <c r="H826" i="18"/>
  <c r="I826" i="18"/>
  <c r="J826" i="18"/>
  <c r="K826" i="18"/>
  <c r="L826" i="18"/>
  <c r="B827" i="18"/>
  <c r="C827" i="18"/>
  <c r="D827" i="18"/>
  <c r="E827" i="18"/>
  <c r="F827" i="18"/>
  <c r="G827" i="18"/>
  <c r="H827" i="18"/>
  <c r="I827" i="18"/>
  <c r="J827" i="18"/>
  <c r="K827" i="18"/>
  <c r="L827" i="18"/>
  <c r="B828" i="18"/>
  <c r="C828" i="18"/>
  <c r="D828" i="18"/>
  <c r="E828" i="18"/>
  <c r="F828" i="18"/>
  <c r="G828" i="18"/>
  <c r="H828" i="18"/>
  <c r="I828" i="18"/>
  <c r="J828" i="18"/>
  <c r="K828" i="18"/>
  <c r="L828" i="18"/>
  <c r="B829" i="18"/>
  <c r="C829" i="18"/>
  <c r="D829" i="18"/>
  <c r="E829" i="18"/>
  <c r="F829" i="18"/>
  <c r="G829" i="18"/>
  <c r="H829" i="18"/>
  <c r="I829" i="18"/>
  <c r="J829" i="18"/>
  <c r="K829" i="18"/>
  <c r="L829" i="18"/>
  <c r="B830" i="18"/>
  <c r="C830" i="18"/>
  <c r="D830" i="18"/>
  <c r="E830" i="18"/>
  <c r="F830" i="18"/>
  <c r="G830" i="18"/>
  <c r="H830" i="18"/>
  <c r="I830" i="18"/>
  <c r="J830" i="18"/>
  <c r="K830" i="18"/>
  <c r="L830" i="18"/>
  <c r="B831" i="18"/>
  <c r="C831" i="18"/>
  <c r="D831" i="18"/>
  <c r="E831" i="18"/>
  <c r="F831" i="18"/>
  <c r="G831" i="18"/>
  <c r="H831" i="18"/>
  <c r="I831" i="18"/>
  <c r="J831" i="18"/>
  <c r="K831" i="18"/>
  <c r="L831" i="18"/>
  <c r="B832" i="18"/>
  <c r="C832" i="18"/>
  <c r="D832" i="18"/>
  <c r="E832" i="18"/>
  <c r="F832" i="18"/>
  <c r="G832" i="18"/>
  <c r="H832" i="18"/>
  <c r="I832" i="18"/>
  <c r="J832" i="18"/>
  <c r="K832" i="18"/>
  <c r="L832" i="18"/>
  <c r="B833" i="18"/>
  <c r="C833" i="18"/>
  <c r="D833" i="18"/>
  <c r="E833" i="18"/>
  <c r="F833" i="18"/>
  <c r="G833" i="18"/>
  <c r="H833" i="18"/>
  <c r="I833" i="18"/>
  <c r="J833" i="18"/>
  <c r="K833" i="18"/>
  <c r="L833" i="18"/>
  <c r="B834" i="18"/>
  <c r="C834" i="18"/>
  <c r="D834" i="18"/>
  <c r="E834" i="18"/>
  <c r="F834" i="18"/>
  <c r="G834" i="18"/>
  <c r="H834" i="18"/>
  <c r="I834" i="18"/>
  <c r="J834" i="18"/>
  <c r="K834" i="18"/>
  <c r="L834" i="18"/>
  <c r="B835" i="18"/>
  <c r="C835" i="18"/>
  <c r="D835" i="18"/>
  <c r="E835" i="18"/>
  <c r="F835" i="18"/>
  <c r="G835" i="18"/>
  <c r="H835" i="18"/>
  <c r="I835" i="18"/>
  <c r="J835" i="18"/>
  <c r="K835" i="18"/>
  <c r="L835" i="18"/>
  <c r="B836" i="18"/>
  <c r="C836" i="18"/>
  <c r="D836" i="18"/>
  <c r="E836" i="18"/>
  <c r="F836" i="18"/>
  <c r="G836" i="18"/>
  <c r="H836" i="18"/>
  <c r="I836" i="18"/>
  <c r="J836" i="18"/>
  <c r="K836" i="18"/>
  <c r="L836" i="18"/>
  <c r="B837" i="18"/>
  <c r="C837" i="18"/>
  <c r="D837" i="18"/>
  <c r="E837" i="18"/>
  <c r="F837" i="18"/>
  <c r="G837" i="18"/>
  <c r="H837" i="18"/>
  <c r="I837" i="18"/>
  <c r="J837" i="18"/>
  <c r="K837" i="18"/>
  <c r="L837" i="18"/>
  <c r="B838" i="18"/>
  <c r="C838" i="18"/>
  <c r="D838" i="18"/>
  <c r="E838" i="18"/>
  <c r="F838" i="18"/>
  <c r="G838" i="18"/>
  <c r="H838" i="18"/>
  <c r="I838" i="18"/>
  <c r="J838" i="18"/>
  <c r="K838" i="18"/>
  <c r="L838" i="18"/>
  <c r="B839" i="18"/>
  <c r="C839" i="18"/>
  <c r="D839" i="18"/>
  <c r="E839" i="18"/>
  <c r="F839" i="18"/>
  <c r="G839" i="18"/>
  <c r="H839" i="18"/>
  <c r="I839" i="18"/>
  <c r="J839" i="18"/>
  <c r="K839" i="18"/>
  <c r="L839" i="18"/>
  <c r="B840" i="18"/>
  <c r="C840" i="18"/>
  <c r="D840" i="18"/>
  <c r="E840" i="18"/>
  <c r="F840" i="18"/>
  <c r="G840" i="18"/>
  <c r="H840" i="18"/>
  <c r="I840" i="18"/>
  <c r="J840" i="18"/>
  <c r="K840" i="18"/>
  <c r="L840" i="18"/>
  <c r="B841" i="18"/>
  <c r="C841" i="18"/>
  <c r="D841" i="18"/>
  <c r="E841" i="18"/>
  <c r="F841" i="18"/>
  <c r="G841" i="18"/>
  <c r="H841" i="18"/>
  <c r="I841" i="18"/>
  <c r="J841" i="18"/>
  <c r="K841" i="18"/>
  <c r="L841" i="18"/>
  <c r="B842" i="18"/>
  <c r="C842" i="18"/>
  <c r="D842" i="18"/>
  <c r="E842" i="18"/>
  <c r="F842" i="18"/>
  <c r="G842" i="18"/>
  <c r="H842" i="18"/>
  <c r="I842" i="18"/>
  <c r="J842" i="18"/>
  <c r="K842" i="18"/>
  <c r="L842" i="18"/>
  <c r="B843" i="18"/>
  <c r="C843" i="18"/>
  <c r="D843" i="18"/>
  <c r="E843" i="18"/>
  <c r="F843" i="18"/>
  <c r="G843" i="18"/>
  <c r="H843" i="18"/>
  <c r="I843" i="18"/>
  <c r="J843" i="18"/>
  <c r="K843" i="18"/>
  <c r="L843" i="18"/>
  <c r="B844" i="18"/>
  <c r="C844" i="18"/>
  <c r="D844" i="18"/>
  <c r="E844" i="18"/>
  <c r="F844" i="18"/>
  <c r="G844" i="18"/>
  <c r="H844" i="18"/>
  <c r="I844" i="18"/>
  <c r="J844" i="18"/>
  <c r="K844" i="18"/>
  <c r="L844" i="18"/>
  <c r="B845" i="18"/>
  <c r="C845" i="18"/>
  <c r="D845" i="18"/>
  <c r="E845" i="18"/>
  <c r="F845" i="18"/>
  <c r="G845" i="18"/>
  <c r="H845" i="18"/>
  <c r="I845" i="18"/>
  <c r="J845" i="18"/>
  <c r="K845" i="18"/>
  <c r="L845" i="18"/>
  <c r="B846" i="18"/>
  <c r="C846" i="18"/>
  <c r="D846" i="18"/>
  <c r="E846" i="18"/>
  <c r="F846" i="18"/>
  <c r="G846" i="18"/>
  <c r="H846" i="18"/>
  <c r="I846" i="18"/>
  <c r="J846" i="18"/>
  <c r="K846" i="18"/>
  <c r="L846" i="18"/>
  <c r="B847" i="18"/>
  <c r="C847" i="18"/>
  <c r="D847" i="18"/>
  <c r="E847" i="18"/>
  <c r="F847" i="18"/>
  <c r="G847" i="18"/>
  <c r="H847" i="18"/>
  <c r="I847" i="18"/>
  <c r="J847" i="18"/>
  <c r="K847" i="18"/>
  <c r="L847" i="18"/>
  <c r="B848" i="18"/>
  <c r="C848" i="18"/>
  <c r="D848" i="18"/>
  <c r="E848" i="18"/>
  <c r="F848" i="18"/>
  <c r="G848" i="18"/>
  <c r="H848" i="18"/>
  <c r="I848" i="18"/>
  <c r="J848" i="18"/>
  <c r="K848" i="18"/>
  <c r="L848" i="18"/>
  <c r="B849" i="18"/>
  <c r="C849" i="18"/>
  <c r="D849" i="18"/>
  <c r="E849" i="18"/>
  <c r="F849" i="18"/>
  <c r="G849" i="18"/>
  <c r="H849" i="18"/>
  <c r="I849" i="18"/>
  <c r="J849" i="18"/>
  <c r="K849" i="18"/>
  <c r="L849" i="18"/>
  <c r="B850" i="18"/>
  <c r="C850" i="18"/>
  <c r="D850" i="18"/>
  <c r="E850" i="18"/>
  <c r="F850" i="18"/>
  <c r="G850" i="18"/>
  <c r="H850" i="18"/>
  <c r="I850" i="18"/>
  <c r="J850" i="18"/>
  <c r="K850" i="18"/>
  <c r="L850" i="18"/>
  <c r="B851" i="18"/>
  <c r="C851" i="18"/>
  <c r="D851" i="18"/>
  <c r="E851" i="18"/>
  <c r="F851" i="18"/>
  <c r="G851" i="18"/>
  <c r="H851" i="18"/>
  <c r="I851" i="18"/>
  <c r="J851" i="18"/>
  <c r="K851" i="18"/>
  <c r="L851" i="18"/>
  <c r="B852" i="18"/>
  <c r="C852" i="18"/>
  <c r="D852" i="18"/>
  <c r="E852" i="18"/>
  <c r="F852" i="18"/>
  <c r="G852" i="18"/>
  <c r="H852" i="18"/>
  <c r="I852" i="18"/>
  <c r="J852" i="18"/>
  <c r="K852" i="18"/>
  <c r="L852" i="18"/>
  <c r="B853" i="18"/>
  <c r="C853" i="18"/>
  <c r="D853" i="18"/>
  <c r="E853" i="18"/>
  <c r="F853" i="18"/>
  <c r="G853" i="18"/>
  <c r="H853" i="18"/>
  <c r="I853" i="18"/>
  <c r="J853" i="18"/>
  <c r="K853" i="18"/>
  <c r="L853" i="18"/>
  <c r="B854" i="18"/>
  <c r="C854" i="18"/>
  <c r="D854" i="18"/>
  <c r="E854" i="18"/>
  <c r="F854" i="18"/>
  <c r="G854" i="18"/>
  <c r="H854" i="18"/>
  <c r="I854" i="18"/>
  <c r="J854" i="18"/>
  <c r="K854" i="18"/>
  <c r="L854" i="18"/>
  <c r="B855" i="18"/>
  <c r="C855" i="18"/>
  <c r="D855" i="18"/>
  <c r="E855" i="18"/>
  <c r="F855" i="18"/>
  <c r="G855" i="18"/>
  <c r="H855" i="18"/>
  <c r="I855" i="18"/>
  <c r="J855" i="18"/>
  <c r="K855" i="18"/>
  <c r="L855" i="18"/>
  <c r="B856" i="18"/>
  <c r="C856" i="18"/>
  <c r="D856" i="18"/>
  <c r="E856" i="18"/>
  <c r="F856" i="18"/>
  <c r="G856" i="18"/>
  <c r="H856" i="18"/>
  <c r="I856" i="18"/>
  <c r="J856" i="18"/>
  <c r="K856" i="18"/>
  <c r="L856" i="18"/>
  <c r="B857" i="18"/>
  <c r="C857" i="18"/>
  <c r="D857" i="18"/>
  <c r="E857" i="18"/>
  <c r="F857" i="18"/>
  <c r="G857" i="18"/>
  <c r="H857" i="18"/>
  <c r="I857" i="18"/>
  <c r="J857" i="18"/>
  <c r="K857" i="18"/>
  <c r="L857" i="18"/>
  <c r="B858" i="18"/>
  <c r="C858" i="18"/>
  <c r="D858" i="18"/>
  <c r="E858" i="18"/>
  <c r="F858" i="18"/>
  <c r="G858" i="18"/>
  <c r="H858" i="18"/>
  <c r="I858" i="18"/>
  <c r="J858" i="18"/>
  <c r="K858" i="18"/>
  <c r="L858" i="18"/>
  <c r="B859" i="18"/>
  <c r="C859" i="18"/>
  <c r="D859" i="18"/>
  <c r="E859" i="18"/>
  <c r="F859" i="18"/>
  <c r="G859" i="18"/>
  <c r="H859" i="18"/>
  <c r="I859" i="18"/>
  <c r="J859" i="18"/>
  <c r="K859" i="18"/>
  <c r="L859" i="18"/>
  <c r="B860" i="18"/>
  <c r="C860" i="18"/>
  <c r="D860" i="18"/>
  <c r="E860" i="18"/>
  <c r="F860" i="18"/>
  <c r="G860" i="18"/>
  <c r="H860" i="18"/>
  <c r="I860" i="18"/>
  <c r="J860" i="18"/>
  <c r="K860" i="18"/>
  <c r="L860" i="18"/>
  <c r="B861" i="18"/>
  <c r="C861" i="18"/>
  <c r="D861" i="18"/>
  <c r="E861" i="18"/>
  <c r="F861" i="18"/>
  <c r="G861" i="18"/>
  <c r="H861" i="18"/>
  <c r="I861" i="18"/>
  <c r="J861" i="18"/>
  <c r="K861" i="18"/>
  <c r="L861" i="18"/>
  <c r="B862" i="18"/>
  <c r="C862" i="18"/>
  <c r="D862" i="18"/>
  <c r="E862" i="18"/>
  <c r="F862" i="18"/>
  <c r="G862" i="18"/>
  <c r="H862" i="18"/>
  <c r="I862" i="18"/>
  <c r="J862" i="18"/>
  <c r="K862" i="18"/>
  <c r="L862" i="18"/>
  <c r="B863" i="18"/>
  <c r="C863" i="18"/>
  <c r="D863" i="18"/>
  <c r="E863" i="18"/>
  <c r="F863" i="18"/>
  <c r="G863" i="18"/>
  <c r="H863" i="18"/>
  <c r="I863" i="18"/>
  <c r="J863" i="18"/>
  <c r="K863" i="18"/>
  <c r="L863" i="18"/>
  <c r="B864" i="18"/>
  <c r="C864" i="18"/>
  <c r="D864" i="18"/>
  <c r="E864" i="18"/>
  <c r="F864" i="18"/>
  <c r="G864" i="18"/>
  <c r="H864" i="18"/>
  <c r="I864" i="18"/>
  <c r="J864" i="18"/>
  <c r="K864" i="18"/>
  <c r="L864" i="18"/>
  <c r="B865" i="18"/>
  <c r="C865" i="18"/>
  <c r="D865" i="18"/>
  <c r="E865" i="18"/>
  <c r="F865" i="18"/>
  <c r="G865" i="18"/>
  <c r="H865" i="18"/>
  <c r="I865" i="18"/>
  <c r="J865" i="18"/>
  <c r="K865" i="18"/>
  <c r="L865" i="18"/>
  <c r="B866" i="18"/>
  <c r="C866" i="18"/>
  <c r="D866" i="18"/>
  <c r="E866" i="18"/>
  <c r="F866" i="18"/>
  <c r="G866" i="18"/>
  <c r="H866" i="18"/>
  <c r="I866" i="18"/>
  <c r="J866" i="18"/>
  <c r="K866" i="18"/>
  <c r="L866" i="18"/>
  <c r="B867" i="18"/>
  <c r="C867" i="18"/>
  <c r="D867" i="18"/>
  <c r="E867" i="18"/>
  <c r="F867" i="18"/>
  <c r="G867" i="18"/>
  <c r="H867" i="18"/>
  <c r="I867" i="18"/>
  <c r="J867" i="18"/>
  <c r="K867" i="18"/>
  <c r="L867" i="18"/>
  <c r="B868" i="18"/>
  <c r="C868" i="18"/>
  <c r="D868" i="18"/>
  <c r="E868" i="18"/>
  <c r="F868" i="18"/>
  <c r="G868" i="18"/>
  <c r="H868" i="18"/>
  <c r="I868" i="18"/>
  <c r="J868" i="18"/>
  <c r="K868" i="18"/>
  <c r="L868" i="18"/>
  <c r="B869" i="18"/>
  <c r="C869" i="18"/>
  <c r="D869" i="18"/>
  <c r="E869" i="18"/>
  <c r="F869" i="18"/>
  <c r="G869" i="18"/>
  <c r="H869" i="18"/>
  <c r="I869" i="18"/>
  <c r="J869" i="18"/>
  <c r="K869" i="18"/>
  <c r="L869" i="18"/>
  <c r="B870" i="18"/>
  <c r="C870" i="18"/>
  <c r="D870" i="18"/>
  <c r="E870" i="18"/>
  <c r="F870" i="18"/>
  <c r="G870" i="18"/>
  <c r="H870" i="18"/>
  <c r="I870" i="18"/>
  <c r="J870" i="18"/>
  <c r="K870" i="18"/>
  <c r="L870" i="18"/>
  <c r="B871" i="18"/>
  <c r="C871" i="18"/>
  <c r="D871" i="18"/>
  <c r="E871" i="18"/>
  <c r="F871" i="18"/>
  <c r="G871" i="18"/>
  <c r="H871" i="18"/>
  <c r="I871" i="18"/>
  <c r="J871" i="18"/>
  <c r="K871" i="18"/>
  <c r="L871" i="18"/>
  <c r="B872" i="18"/>
  <c r="C872" i="18"/>
  <c r="D872" i="18"/>
  <c r="E872" i="18"/>
  <c r="F872" i="18"/>
  <c r="G872" i="18"/>
  <c r="H872" i="18"/>
  <c r="I872" i="18"/>
  <c r="J872" i="18"/>
  <c r="K872" i="18"/>
  <c r="L872" i="18"/>
  <c r="B873" i="18"/>
  <c r="C873" i="18"/>
  <c r="D873" i="18"/>
  <c r="E873" i="18"/>
  <c r="F873" i="18"/>
  <c r="G873" i="18"/>
  <c r="H873" i="18"/>
  <c r="I873" i="18"/>
  <c r="J873" i="18"/>
  <c r="K873" i="18"/>
  <c r="L873" i="18"/>
  <c r="B874" i="18"/>
  <c r="C874" i="18"/>
  <c r="D874" i="18"/>
  <c r="E874" i="18"/>
  <c r="F874" i="18"/>
  <c r="G874" i="18"/>
  <c r="H874" i="18"/>
  <c r="I874" i="18"/>
  <c r="J874" i="18"/>
  <c r="K874" i="18"/>
  <c r="L874" i="18"/>
  <c r="B875" i="18"/>
  <c r="C875" i="18"/>
  <c r="D875" i="18"/>
  <c r="E875" i="18"/>
  <c r="F875" i="18"/>
  <c r="G875" i="18"/>
  <c r="H875" i="18"/>
  <c r="I875" i="18"/>
  <c r="J875" i="18"/>
  <c r="K875" i="18"/>
  <c r="L875" i="18"/>
  <c r="B876" i="18"/>
  <c r="C876" i="18"/>
  <c r="D876" i="18"/>
  <c r="E876" i="18"/>
  <c r="F876" i="18"/>
  <c r="G876" i="18"/>
  <c r="H876" i="18"/>
  <c r="I876" i="18"/>
  <c r="J876" i="18"/>
  <c r="K876" i="18"/>
  <c r="L876" i="18"/>
  <c r="B877" i="18"/>
  <c r="C877" i="18"/>
  <c r="D877" i="18"/>
  <c r="E877" i="18"/>
  <c r="F877" i="18"/>
  <c r="G877" i="18"/>
  <c r="H877" i="18"/>
  <c r="I877" i="18"/>
  <c r="J877" i="18"/>
  <c r="K877" i="18"/>
  <c r="L877" i="18"/>
  <c r="B878" i="18"/>
  <c r="C878" i="18"/>
  <c r="D878" i="18"/>
  <c r="E878" i="18"/>
  <c r="F878" i="18"/>
  <c r="G878" i="18"/>
  <c r="H878" i="18"/>
  <c r="I878" i="18"/>
  <c r="J878" i="18"/>
  <c r="K878" i="18"/>
  <c r="L878" i="18"/>
  <c r="B879" i="18"/>
  <c r="C879" i="18"/>
  <c r="D879" i="18"/>
  <c r="E879" i="18"/>
  <c r="F879" i="18"/>
  <c r="G879" i="18"/>
  <c r="H879" i="18"/>
  <c r="I879" i="18"/>
  <c r="J879" i="18"/>
  <c r="K879" i="18"/>
  <c r="L879" i="18"/>
  <c r="B880" i="18"/>
  <c r="C880" i="18"/>
  <c r="D880" i="18"/>
  <c r="E880" i="18"/>
  <c r="F880" i="18"/>
  <c r="G880" i="18"/>
  <c r="H880" i="18"/>
  <c r="I880" i="18"/>
  <c r="J880" i="18"/>
  <c r="K880" i="18"/>
  <c r="L880" i="18"/>
  <c r="B881" i="18"/>
  <c r="C881" i="18"/>
  <c r="D881" i="18"/>
  <c r="E881" i="18"/>
  <c r="F881" i="18"/>
  <c r="G881" i="18"/>
  <c r="H881" i="18"/>
  <c r="I881" i="18"/>
  <c r="J881" i="18"/>
  <c r="K881" i="18"/>
  <c r="L881" i="18"/>
  <c r="B882" i="18"/>
  <c r="C882" i="18"/>
  <c r="D882" i="18"/>
  <c r="E882" i="18"/>
  <c r="F882" i="18"/>
  <c r="G882" i="18"/>
  <c r="H882" i="18"/>
  <c r="I882" i="18"/>
  <c r="J882" i="18"/>
  <c r="K882" i="18"/>
  <c r="L882" i="18"/>
  <c r="B883" i="18"/>
  <c r="C883" i="18"/>
  <c r="D883" i="18"/>
  <c r="E883" i="18"/>
  <c r="F883" i="18"/>
  <c r="G883" i="18"/>
  <c r="H883" i="18"/>
  <c r="I883" i="18"/>
  <c r="J883" i="18"/>
  <c r="K883" i="18"/>
  <c r="L883" i="18"/>
  <c r="B884" i="18"/>
  <c r="C884" i="18"/>
  <c r="D884" i="18"/>
  <c r="E884" i="18"/>
  <c r="F884" i="18"/>
  <c r="G884" i="18"/>
  <c r="H884" i="18"/>
  <c r="I884" i="18"/>
  <c r="J884" i="18"/>
  <c r="K884" i="18"/>
  <c r="L884" i="18"/>
  <c r="B885" i="18"/>
  <c r="C885" i="18"/>
  <c r="D885" i="18"/>
  <c r="E885" i="18"/>
  <c r="F885" i="18"/>
  <c r="G885" i="18"/>
  <c r="H885" i="18"/>
  <c r="I885" i="18"/>
  <c r="J885" i="18"/>
  <c r="K885" i="18"/>
  <c r="L885" i="18"/>
  <c r="B886" i="18"/>
  <c r="C886" i="18"/>
  <c r="D886" i="18"/>
  <c r="E886" i="18"/>
  <c r="F886" i="18"/>
  <c r="G886" i="18"/>
  <c r="H886" i="18"/>
  <c r="I886" i="18"/>
  <c r="J886" i="18"/>
  <c r="K886" i="18"/>
  <c r="L886" i="18"/>
  <c r="B887" i="18"/>
  <c r="C887" i="18"/>
  <c r="D887" i="18"/>
  <c r="E887" i="18"/>
  <c r="F887" i="18"/>
  <c r="G887" i="18"/>
  <c r="H887" i="18"/>
  <c r="I887" i="18"/>
  <c r="J887" i="18"/>
  <c r="K887" i="18"/>
  <c r="L887" i="18"/>
  <c r="B888" i="18"/>
  <c r="C888" i="18"/>
  <c r="D888" i="18"/>
  <c r="E888" i="18"/>
  <c r="F888" i="18"/>
  <c r="G888" i="18"/>
  <c r="H888" i="18"/>
  <c r="I888" i="18"/>
  <c r="J888" i="18"/>
  <c r="K888" i="18"/>
  <c r="L888" i="18"/>
  <c r="B889" i="18"/>
  <c r="C889" i="18"/>
  <c r="D889" i="18"/>
  <c r="E889" i="18"/>
  <c r="F889" i="18"/>
  <c r="G889" i="18"/>
  <c r="H889" i="18"/>
  <c r="I889" i="18"/>
  <c r="J889" i="18"/>
  <c r="K889" i="18"/>
  <c r="L889" i="18"/>
  <c r="B890" i="18"/>
  <c r="C890" i="18"/>
  <c r="D890" i="18"/>
  <c r="E890" i="18"/>
  <c r="F890" i="18"/>
  <c r="G890" i="18"/>
  <c r="H890" i="18"/>
  <c r="I890" i="18"/>
  <c r="J890" i="18"/>
  <c r="K890" i="18"/>
  <c r="L890" i="18"/>
  <c r="B891" i="18"/>
  <c r="C891" i="18"/>
  <c r="D891" i="18"/>
  <c r="E891" i="18"/>
  <c r="F891" i="18"/>
  <c r="G891" i="18"/>
  <c r="H891" i="18"/>
  <c r="I891" i="18"/>
  <c r="J891" i="18"/>
  <c r="K891" i="18"/>
  <c r="L891" i="18"/>
  <c r="B892" i="18"/>
  <c r="C892" i="18"/>
  <c r="D892" i="18"/>
  <c r="E892" i="18"/>
  <c r="F892" i="18"/>
  <c r="G892" i="18"/>
  <c r="H892" i="18"/>
  <c r="I892" i="18"/>
  <c r="J892" i="18"/>
  <c r="K892" i="18"/>
  <c r="L892" i="18"/>
  <c r="B893" i="18"/>
  <c r="C893" i="18"/>
  <c r="D893" i="18"/>
  <c r="E893" i="18"/>
  <c r="F893" i="18"/>
  <c r="G893" i="18"/>
  <c r="H893" i="18"/>
  <c r="I893" i="18"/>
  <c r="J893" i="18"/>
  <c r="K893" i="18"/>
  <c r="L893" i="18"/>
  <c r="B894" i="18"/>
  <c r="C894" i="18"/>
  <c r="D894" i="18"/>
  <c r="E894" i="18"/>
  <c r="F894" i="18"/>
  <c r="G894" i="18"/>
  <c r="H894" i="18"/>
  <c r="I894" i="18"/>
  <c r="J894" i="18"/>
  <c r="K894" i="18"/>
  <c r="L894" i="18"/>
  <c r="B895" i="18"/>
  <c r="C895" i="18"/>
  <c r="D895" i="18"/>
  <c r="E895" i="18"/>
  <c r="F895" i="18"/>
  <c r="G895" i="18"/>
  <c r="H895" i="18"/>
  <c r="I895" i="18"/>
  <c r="J895" i="18"/>
  <c r="K895" i="18"/>
  <c r="L895" i="18"/>
  <c r="B896" i="18"/>
  <c r="C896" i="18"/>
  <c r="D896" i="18"/>
  <c r="E896" i="18"/>
  <c r="F896" i="18"/>
  <c r="G896" i="18"/>
  <c r="H896" i="18"/>
  <c r="I896" i="18"/>
  <c r="J896" i="18"/>
  <c r="K896" i="18"/>
  <c r="L896" i="18"/>
  <c r="B897" i="18"/>
  <c r="C897" i="18"/>
  <c r="D897" i="18"/>
  <c r="E897" i="18"/>
  <c r="F897" i="18"/>
  <c r="G897" i="18"/>
  <c r="H897" i="18"/>
  <c r="I897" i="18"/>
  <c r="J897" i="18"/>
  <c r="K897" i="18"/>
  <c r="L897" i="18"/>
  <c r="B898" i="18"/>
  <c r="C898" i="18"/>
  <c r="D898" i="18"/>
  <c r="E898" i="18"/>
  <c r="F898" i="18"/>
  <c r="G898" i="18"/>
  <c r="H898" i="18"/>
  <c r="I898" i="18"/>
  <c r="J898" i="18"/>
  <c r="K898" i="18"/>
  <c r="L898" i="18"/>
  <c r="B899" i="18"/>
  <c r="C899" i="18"/>
  <c r="D899" i="18"/>
  <c r="E899" i="18"/>
  <c r="F899" i="18"/>
  <c r="G899" i="18"/>
  <c r="H899" i="18"/>
  <c r="I899" i="18"/>
  <c r="J899" i="18"/>
  <c r="K899" i="18"/>
  <c r="L899" i="18"/>
  <c r="B900" i="18"/>
  <c r="C900" i="18"/>
  <c r="D900" i="18"/>
  <c r="E900" i="18"/>
  <c r="F900" i="18"/>
  <c r="G900" i="18"/>
  <c r="H900" i="18"/>
  <c r="I900" i="18"/>
  <c r="J900" i="18"/>
  <c r="K900" i="18"/>
  <c r="L900" i="18"/>
  <c r="B901" i="18"/>
  <c r="C901" i="18"/>
  <c r="D901" i="18"/>
  <c r="E901" i="18"/>
  <c r="F901" i="18"/>
  <c r="G901" i="18"/>
  <c r="H901" i="18"/>
  <c r="I901" i="18"/>
  <c r="J901" i="18"/>
  <c r="K901" i="18"/>
  <c r="L901" i="18"/>
  <c r="B902" i="18"/>
  <c r="C902" i="18"/>
  <c r="D902" i="18"/>
  <c r="E902" i="18"/>
  <c r="F902" i="18"/>
  <c r="G902" i="18"/>
  <c r="H902" i="18"/>
  <c r="I902" i="18"/>
  <c r="J902" i="18"/>
  <c r="K902" i="18"/>
  <c r="L902" i="18"/>
  <c r="B903" i="18"/>
  <c r="C903" i="18"/>
  <c r="D903" i="18"/>
  <c r="E903" i="18"/>
  <c r="F903" i="18"/>
  <c r="G903" i="18"/>
  <c r="H903" i="18"/>
  <c r="I903" i="18"/>
  <c r="J903" i="18"/>
  <c r="K903" i="18"/>
  <c r="L903" i="18"/>
  <c r="B904" i="18"/>
  <c r="C904" i="18"/>
  <c r="D904" i="18"/>
  <c r="E904" i="18"/>
  <c r="F904" i="18"/>
  <c r="G904" i="18"/>
  <c r="H904" i="18"/>
  <c r="I904" i="18"/>
  <c r="J904" i="18"/>
  <c r="K904" i="18"/>
  <c r="L904" i="18"/>
  <c r="B905" i="18"/>
  <c r="C905" i="18"/>
  <c r="D905" i="18"/>
  <c r="E905" i="18"/>
  <c r="F905" i="18"/>
  <c r="G905" i="18"/>
  <c r="H905" i="18"/>
  <c r="I905" i="18"/>
  <c r="J905" i="18"/>
  <c r="K905" i="18"/>
  <c r="L905" i="18"/>
  <c r="B906" i="18"/>
  <c r="C906" i="18"/>
  <c r="D906" i="18"/>
  <c r="E906" i="18"/>
  <c r="F906" i="18"/>
  <c r="G906" i="18"/>
  <c r="H906" i="18"/>
  <c r="I906" i="18"/>
  <c r="J906" i="18"/>
  <c r="K906" i="18"/>
  <c r="L906" i="18"/>
  <c r="B907" i="18"/>
  <c r="C907" i="18"/>
  <c r="D907" i="18"/>
  <c r="E907" i="18"/>
  <c r="F907" i="18"/>
  <c r="G907" i="18"/>
  <c r="H907" i="18"/>
  <c r="I907" i="18"/>
  <c r="J907" i="18"/>
  <c r="K907" i="18"/>
  <c r="L907" i="18"/>
  <c r="B908" i="18"/>
  <c r="C908" i="18"/>
  <c r="D908" i="18"/>
  <c r="E908" i="18"/>
  <c r="F908" i="18"/>
  <c r="G908" i="18"/>
  <c r="H908" i="18"/>
  <c r="I908" i="18"/>
  <c r="J908" i="18"/>
  <c r="K908" i="18"/>
  <c r="L908" i="18"/>
  <c r="B909" i="18"/>
  <c r="C909" i="18"/>
  <c r="D909" i="18"/>
  <c r="E909" i="18"/>
  <c r="F909" i="18"/>
  <c r="G909" i="18"/>
  <c r="H909" i="18"/>
  <c r="I909" i="18"/>
  <c r="J909" i="18"/>
  <c r="K909" i="18"/>
  <c r="L909" i="18"/>
  <c r="B910" i="18"/>
  <c r="C910" i="18"/>
  <c r="D910" i="18"/>
  <c r="E910" i="18"/>
  <c r="F910" i="18"/>
  <c r="G910" i="18"/>
  <c r="H910" i="18"/>
  <c r="I910" i="18"/>
  <c r="J910" i="18"/>
  <c r="K910" i="18"/>
  <c r="L910" i="18"/>
  <c r="B911" i="18"/>
  <c r="C911" i="18"/>
  <c r="D911" i="18"/>
  <c r="E911" i="18"/>
  <c r="F911" i="18"/>
  <c r="G911" i="18"/>
  <c r="H911" i="18"/>
  <c r="I911" i="18"/>
  <c r="J911" i="18"/>
  <c r="K911" i="18"/>
  <c r="L911" i="18"/>
  <c r="B912" i="18"/>
  <c r="C912" i="18"/>
  <c r="D912" i="18"/>
  <c r="E912" i="18"/>
  <c r="F912" i="18"/>
  <c r="G912" i="18"/>
  <c r="H912" i="18"/>
  <c r="I912" i="18"/>
  <c r="J912" i="18"/>
  <c r="K912" i="18"/>
  <c r="L912" i="18"/>
  <c r="B913" i="18"/>
  <c r="C913" i="18"/>
  <c r="D913" i="18"/>
  <c r="E913" i="18"/>
  <c r="F913" i="18"/>
  <c r="G913" i="18"/>
  <c r="H913" i="18"/>
  <c r="I913" i="18"/>
  <c r="J913" i="18"/>
  <c r="K913" i="18"/>
  <c r="L913" i="18"/>
  <c r="B914" i="18"/>
  <c r="C914" i="18"/>
  <c r="D914" i="18"/>
  <c r="E914" i="18"/>
  <c r="F914" i="18"/>
  <c r="G914" i="18"/>
  <c r="H914" i="18"/>
  <c r="I914" i="18"/>
  <c r="J914" i="18"/>
  <c r="K914" i="18"/>
  <c r="L914" i="18"/>
  <c r="B915" i="18"/>
  <c r="C915" i="18"/>
  <c r="D915" i="18"/>
  <c r="E915" i="18"/>
  <c r="F915" i="18"/>
  <c r="G915" i="18"/>
  <c r="H915" i="18"/>
  <c r="I915" i="18"/>
  <c r="J915" i="18"/>
  <c r="K915" i="18"/>
  <c r="L915" i="18"/>
  <c r="B916" i="18"/>
  <c r="C916" i="18"/>
  <c r="D916" i="18"/>
  <c r="E916" i="18"/>
  <c r="F916" i="18"/>
  <c r="G916" i="18"/>
  <c r="H916" i="18"/>
  <c r="I916" i="18"/>
  <c r="J916" i="18"/>
  <c r="K916" i="18"/>
  <c r="L916" i="18"/>
  <c r="B917" i="18"/>
  <c r="C917" i="18"/>
  <c r="D917" i="18"/>
  <c r="E917" i="18"/>
  <c r="F917" i="18"/>
  <c r="G917" i="18"/>
  <c r="H917" i="18"/>
  <c r="I917" i="18"/>
  <c r="J917" i="18"/>
  <c r="K917" i="18"/>
  <c r="L917" i="18"/>
  <c r="B918" i="18"/>
  <c r="C918" i="18"/>
  <c r="D918" i="18"/>
  <c r="E918" i="18"/>
  <c r="F918" i="18"/>
  <c r="G918" i="18"/>
  <c r="H918" i="18"/>
  <c r="I918" i="18"/>
  <c r="J918" i="18"/>
  <c r="K918" i="18"/>
  <c r="L918" i="18"/>
  <c r="B919" i="18"/>
  <c r="C919" i="18"/>
  <c r="D919" i="18"/>
  <c r="E919" i="18"/>
  <c r="F919" i="18"/>
  <c r="G919" i="18"/>
  <c r="H919" i="18"/>
  <c r="I919" i="18"/>
  <c r="J919" i="18"/>
  <c r="K919" i="18"/>
  <c r="L919" i="18"/>
  <c r="B920" i="18"/>
  <c r="C920" i="18"/>
  <c r="D920" i="18"/>
  <c r="E920" i="18"/>
  <c r="F920" i="18"/>
  <c r="G920" i="18"/>
  <c r="H920" i="18"/>
  <c r="I920" i="18"/>
  <c r="J920" i="18"/>
  <c r="K920" i="18"/>
  <c r="L920" i="18"/>
  <c r="B921" i="18"/>
  <c r="C921" i="18"/>
  <c r="D921" i="18"/>
  <c r="E921" i="18"/>
  <c r="F921" i="18"/>
  <c r="G921" i="18"/>
  <c r="H921" i="18"/>
  <c r="I921" i="18"/>
  <c r="J921" i="18"/>
  <c r="K921" i="18"/>
  <c r="L921" i="18"/>
  <c r="B922" i="18"/>
  <c r="C922" i="18"/>
  <c r="D922" i="18"/>
  <c r="E922" i="18"/>
  <c r="F922" i="18"/>
  <c r="G922" i="18"/>
  <c r="H922" i="18"/>
  <c r="I922" i="18"/>
  <c r="J922" i="18"/>
  <c r="K922" i="18"/>
  <c r="L922" i="18"/>
  <c r="B923" i="18"/>
  <c r="C923" i="18"/>
  <c r="D923" i="18"/>
  <c r="E923" i="18"/>
  <c r="F923" i="18"/>
  <c r="G923" i="18"/>
  <c r="H923" i="18"/>
  <c r="I923" i="18"/>
  <c r="J923" i="18"/>
  <c r="K923" i="18"/>
  <c r="L923" i="18"/>
  <c r="B924" i="18"/>
  <c r="C924" i="18"/>
  <c r="D924" i="18"/>
  <c r="E924" i="18"/>
  <c r="F924" i="18"/>
  <c r="G924" i="18"/>
  <c r="H924" i="18"/>
  <c r="I924" i="18"/>
  <c r="J924" i="18"/>
  <c r="K924" i="18"/>
  <c r="L924" i="18"/>
  <c r="B925" i="18"/>
  <c r="C925" i="18"/>
  <c r="D925" i="18"/>
  <c r="E925" i="18"/>
  <c r="F925" i="18"/>
  <c r="G925" i="18"/>
  <c r="H925" i="18"/>
  <c r="I925" i="18"/>
  <c r="J925" i="18"/>
  <c r="K925" i="18"/>
  <c r="L925" i="18"/>
  <c r="B926" i="18"/>
  <c r="C926" i="18"/>
  <c r="D926" i="18"/>
  <c r="E926" i="18"/>
  <c r="F926" i="18"/>
  <c r="G926" i="18"/>
  <c r="H926" i="18"/>
  <c r="I926" i="18"/>
  <c r="J926" i="18"/>
  <c r="K926" i="18"/>
  <c r="L926" i="18"/>
  <c r="B927" i="18"/>
  <c r="C927" i="18"/>
  <c r="D927" i="18"/>
  <c r="E927" i="18"/>
  <c r="F927" i="18"/>
  <c r="G927" i="18"/>
  <c r="H927" i="18"/>
  <c r="I927" i="18"/>
  <c r="J927" i="18"/>
  <c r="K927" i="18"/>
  <c r="L927" i="18"/>
  <c r="B928" i="18"/>
  <c r="C928" i="18"/>
  <c r="D928" i="18"/>
  <c r="E928" i="18"/>
  <c r="F928" i="18"/>
  <c r="G928" i="18"/>
  <c r="H928" i="18"/>
  <c r="I928" i="18"/>
  <c r="J928" i="18"/>
  <c r="K928" i="18"/>
  <c r="L928" i="18"/>
  <c r="B929" i="18"/>
  <c r="C929" i="18"/>
  <c r="D929" i="18"/>
  <c r="E929" i="18"/>
  <c r="F929" i="18"/>
  <c r="G929" i="18"/>
  <c r="H929" i="18"/>
  <c r="I929" i="18"/>
  <c r="J929" i="18"/>
  <c r="K929" i="18"/>
  <c r="L929" i="18"/>
  <c r="B930" i="18"/>
  <c r="C930" i="18"/>
  <c r="D930" i="18"/>
  <c r="E930" i="18"/>
  <c r="F930" i="18"/>
  <c r="G930" i="18"/>
  <c r="H930" i="18"/>
  <c r="I930" i="18"/>
  <c r="J930" i="18"/>
  <c r="K930" i="18"/>
  <c r="L930" i="18"/>
  <c r="B931" i="18"/>
  <c r="C931" i="18"/>
  <c r="D931" i="18"/>
  <c r="E931" i="18"/>
  <c r="F931" i="18"/>
  <c r="G931" i="18"/>
  <c r="H931" i="18"/>
  <c r="I931" i="18"/>
  <c r="J931" i="18"/>
  <c r="K931" i="18"/>
  <c r="L931" i="18"/>
  <c r="B932" i="18"/>
  <c r="C932" i="18"/>
  <c r="D932" i="18"/>
  <c r="E932" i="18"/>
  <c r="F932" i="18"/>
  <c r="G932" i="18"/>
  <c r="H932" i="18"/>
  <c r="I932" i="18"/>
  <c r="J932" i="18"/>
  <c r="K932" i="18"/>
  <c r="L932" i="18"/>
  <c r="B933" i="18"/>
  <c r="C933" i="18"/>
  <c r="D933" i="18"/>
  <c r="E933" i="18"/>
  <c r="F933" i="18"/>
  <c r="G933" i="18"/>
  <c r="H933" i="18"/>
  <c r="I933" i="18"/>
  <c r="J933" i="18"/>
  <c r="K933" i="18"/>
  <c r="L933" i="18"/>
  <c r="B934" i="18"/>
  <c r="C934" i="18"/>
  <c r="D934" i="18"/>
  <c r="E934" i="18"/>
  <c r="F934" i="18"/>
  <c r="G934" i="18"/>
  <c r="H934" i="18"/>
  <c r="I934" i="18"/>
  <c r="J934" i="18"/>
  <c r="K934" i="18"/>
  <c r="L934" i="18"/>
  <c r="B935" i="18"/>
  <c r="C935" i="18"/>
  <c r="D935" i="18"/>
  <c r="E935" i="18"/>
  <c r="F935" i="18"/>
  <c r="G935" i="18"/>
  <c r="H935" i="18"/>
  <c r="I935" i="18"/>
  <c r="J935" i="18"/>
  <c r="K935" i="18"/>
  <c r="L935" i="18"/>
  <c r="B936" i="18"/>
  <c r="C936" i="18"/>
  <c r="D936" i="18"/>
  <c r="E936" i="18"/>
  <c r="F936" i="18"/>
  <c r="G936" i="18"/>
  <c r="H936" i="18"/>
  <c r="I936" i="18"/>
  <c r="J936" i="18"/>
  <c r="K936" i="18"/>
  <c r="L936" i="18"/>
  <c r="B937" i="18"/>
  <c r="C937" i="18"/>
  <c r="D937" i="18"/>
  <c r="E937" i="18"/>
  <c r="F937" i="18"/>
  <c r="G937" i="18"/>
  <c r="H937" i="18"/>
  <c r="I937" i="18"/>
  <c r="J937" i="18"/>
  <c r="K937" i="18"/>
  <c r="L937" i="18"/>
  <c r="B938" i="18"/>
  <c r="C938" i="18"/>
  <c r="D938" i="18"/>
  <c r="E938" i="18"/>
  <c r="F938" i="18"/>
  <c r="G938" i="18"/>
  <c r="H938" i="18"/>
  <c r="I938" i="18"/>
  <c r="J938" i="18"/>
  <c r="K938" i="18"/>
  <c r="L938" i="18"/>
  <c r="B939" i="18"/>
  <c r="C939" i="18"/>
  <c r="D939" i="18"/>
  <c r="E939" i="18"/>
  <c r="F939" i="18"/>
  <c r="G939" i="18"/>
  <c r="H939" i="18"/>
  <c r="I939" i="18"/>
  <c r="J939" i="18"/>
  <c r="K939" i="18"/>
  <c r="L939" i="18"/>
  <c r="B940" i="18"/>
  <c r="C940" i="18"/>
  <c r="D940" i="18"/>
  <c r="E940" i="18"/>
  <c r="F940" i="18"/>
  <c r="G940" i="18"/>
  <c r="H940" i="18"/>
  <c r="I940" i="18"/>
  <c r="J940" i="18"/>
  <c r="K940" i="18"/>
  <c r="L940" i="18"/>
  <c r="B941" i="18"/>
  <c r="C941" i="18"/>
  <c r="D941" i="18"/>
  <c r="E941" i="18"/>
  <c r="F941" i="18"/>
  <c r="G941" i="18"/>
  <c r="H941" i="18"/>
  <c r="I941" i="18"/>
  <c r="J941" i="18"/>
  <c r="K941" i="18"/>
  <c r="L941" i="18"/>
  <c r="B942" i="18"/>
  <c r="C942" i="18"/>
  <c r="D942" i="18"/>
  <c r="E942" i="18"/>
  <c r="F942" i="18"/>
  <c r="G942" i="18"/>
  <c r="H942" i="18"/>
  <c r="I942" i="18"/>
  <c r="J942" i="18"/>
  <c r="K942" i="18"/>
  <c r="L942" i="18"/>
  <c r="B943" i="18"/>
  <c r="C943" i="18"/>
  <c r="D943" i="18"/>
  <c r="E943" i="18"/>
  <c r="F943" i="18"/>
  <c r="G943" i="18"/>
  <c r="H943" i="18"/>
  <c r="I943" i="18"/>
  <c r="J943" i="18"/>
  <c r="K943" i="18"/>
  <c r="L943" i="18"/>
  <c r="B944" i="18"/>
  <c r="C944" i="18"/>
  <c r="D944" i="18"/>
  <c r="E944" i="18"/>
  <c r="F944" i="18"/>
  <c r="G944" i="18"/>
  <c r="H944" i="18"/>
  <c r="I944" i="18"/>
  <c r="J944" i="18"/>
  <c r="K944" i="18"/>
  <c r="L944" i="18"/>
  <c r="B945" i="18"/>
  <c r="C945" i="18"/>
  <c r="D945" i="18"/>
  <c r="E945" i="18"/>
  <c r="F945" i="18"/>
  <c r="G945" i="18"/>
  <c r="H945" i="18"/>
  <c r="I945" i="18"/>
  <c r="J945" i="18"/>
  <c r="K945" i="18"/>
  <c r="L945" i="18"/>
  <c r="B946" i="18"/>
  <c r="C946" i="18"/>
  <c r="D946" i="18"/>
  <c r="E946" i="18"/>
  <c r="F946" i="18"/>
  <c r="G946" i="18"/>
  <c r="H946" i="18"/>
  <c r="I946" i="18"/>
  <c r="J946" i="18"/>
  <c r="K946" i="18"/>
  <c r="L946" i="18"/>
  <c r="B947" i="18"/>
  <c r="C947" i="18"/>
  <c r="D947" i="18"/>
  <c r="E947" i="18"/>
  <c r="F947" i="18"/>
  <c r="G947" i="18"/>
  <c r="H947" i="18"/>
  <c r="I947" i="18"/>
  <c r="J947" i="18"/>
  <c r="K947" i="18"/>
  <c r="L947" i="18"/>
  <c r="B948" i="18"/>
  <c r="C948" i="18"/>
  <c r="D948" i="18"/>
  <c r="E948" i="18"/>
  <c r="F948" i="18"/>
  <c r="G948" i="18"/>
  <c r="H948" i="18"/>
  <c r="I948" i="18"/>
  <c r="J948" i="18"/>
  <c r="K948" i="18"/>
  <c r="L948" i="18"/>
  <c r="B949" i="18"/>
  <c r="C949" i="18"/>
  <c r="D949" i="18"/>
  <c r="E949" i="18"/>
  <c r="F949" i="18"/>
  <c r="G949" i="18"/>
  <c r="H949" i="18"/>
  <c r="I949" i="18"/>
  <c r="J949" i="18"/>
  <c r="K949" i="18"/>
  <c r="L949" i="18"/>
  <c r="B950" i="18"/>
  <c r="C950" i="18"/>
  <c r="D950" i="18"/>
  <c r="E950" i="18"/>
  <c r="F950" i="18"/>
  <c r="G950" i="18"/>
  <c r="H950" i="18"/>
  <c r="I950" i="18"/>
  <c r="J950" i="18"/>
  <c r="K950" i="18"/>
  <c r="L950" i="18"/>
  <c r="B951" i="18"/>
  <c r="C951" i="18"/>
  <c r="D951" i="18"/>
  <c r="E951" i="18"/>
  <c r="F951" i="18"/>
  <c r="G951" i="18"/>
  <c r="H951" i="18"/>
  <c r="I951" i="18"/>
  <c r="J951" i="18"/>
  <c r="K951" i="18"/>
  <c r="L951" i="18"/>
  <c r="B952" i="18"/>
  <c r="C952" i="18"/>
  <c r="D952" i="18"/>
  <c r="E952" i="18"/>
  <c r="F952" i="18"/>
  <c r="G952" i="18"/>
  <c r="H952" i="18"/>
  <c r="I952" i="18"/>
  <c r="J952" i="18"/>
  <c r="K952" i="18"/>
  <c r="L952" i="18"/>
  <c r="B953" i="18"/>
  <c r="C953" i="18"/>
  <c r="D953" i="18"/>
  <c r="E953" i="18"/>
  <c r="F953" i="18"/>
  <c r="G953" i="18"/>
  <c r="H953" i="18"/>
  <c r="I953" i="18"/>
  <c r="J953" i="18"/>
  <c r="K953" i="18"/>
  <c r="L953" i="18"/>
  <c r="B954" i="18"/>
  <c r="C954" i="18"/>
  <c r="D954" i="18"/>
  <c r="E954" i="18"/>
  <c r="F954" i="18"/>
  <c r="G954" i="18"/>
  <c r="H954" i="18"/>
  <c r="I954" i="18"/>
  <c r="J954" i="18"/>
  <c r="K954" i="18"/>
  <c r="L954" i="18"/>
  <c r="B955" i="18"/>
  <c r="C955" i="18"/>
  <c r="D955" i="18"/>
  <c r="E955" i="18"/>
  <c r="F955" i="18"/>
  <c r="G955" i="18"/>
  <c r="H955" i="18"/>
  <c r="I955" i="18"/>
  <c r="J955" i="18"/>
  <c r="K955" i="18"/>
  <c r="L955" i="18"/>
  <c r="B956" i="18"/>
  <c r="C956" i="18"/>
  <c r="D956" i="18"/>
  <c r="E956" i="18"/>
  <c r="F956" i="18"/>
  <c r="G956" i="18"/>
  <c r="H956" i="18"/>
  <c r="I956" i="18"/>
  <c r="J956" i="18"/>
  <c r="K956" i="18"/>
  <c r="L956" i="18"/>
  <c r="B957" i="18"/>
  <c r="C957" i="18"/>
  <c r="D957" i="18"/>
  <c r="E957" i="18"/>
  <c r="F957" i="18"/>
  <c r="G957" i="18"/>
  <c r="H957" i="18"/>
  <c r="I957" i="18"/>
  <c r="J957" i="18"/>
  <c r="K957" i="18"/>
  <c r="L957" i="18"/>
  <c r="B958" i="18"/>
  <c r="C958" i="18"/>
  <c r="D958" i="18"/>
  <c r="E958" i="18"/>
  <c r="F958" i="18"/>
  <c r="G958" i="18"/>
  <c r="H958" i="18"/>
  <c r="I958" i="18"/>
  <c r="J958" i="18"/>
  <c r="K958" i="18"/>
  <c r="L958" i="18"/>
  <c r="B959" i="18"/>
  <c r="C959" i="18"/>
  <c r="D959" i="18"/>
  <c r="E959" i="18"/>
  <c r="F959" i="18"/>
  <c r="G959" i="18"/>
  <c r="H959" i="18"/>
  <c r="I959" i="18"/>
  <c r="J959" i="18"/>
  <c r="K959" i="18"/>
  <c r="L959" i="18"/>
  <c r="B960" i="18"/>
  <c r="C960" i="18"/>
  <c r="D960" i="18"/>
  <c r="E960" i="18"/>
  <c r="F960" i="18"/>
  <c r="G960" i="18"/>
  <c r="H960" i="18"/>
  <c r="I960" i="18"/>
  <c r="J960" i="18"/>
  <c r="K960" i="18"/>
  <c r="L960" i="18"/>
  <c r="B961" i="18"/>
  <c r="C961" i="18"/>
  <c r="D961" i="18"/>
  <c r="E961" i="18"/>
  <c r="F961" i="18"/>
  <c r="G961" i="18"/>
  <c r="H961" i="18"/>
  <c r="I961" i="18"/>
  <c r="J961" i="18"/>
  <c r="K961" i="18"/>
  <c r="L961" i="18"/>
  <c r="B962" i="18"/>
  <c r="C962" i="18"/>
  <c r="D962" i="18"/>
  <c r="E962" i="18"/>
  <c r="F962" i="18"/>
  <c r="G962" i="18"/>
  <c r="H962" i="18"/>
  <c r="I962" i="18"/>
  <c r="J962" i="18"/>
  <c r="K962" i="18"/>
  <c r="L962" i="18"/>
  <c r="B963" i="18"/>
  <c r="C963" i="18"/>
  <c r="D963" i="18"/>
  <c r="E963" i="18"/>
  <c r="F963" i="18"/>
  <c r="G963" i="18"/>
  <c r="H963" i="18"/>
  <c r="I963" i="18"/>
  <c r="J963" i="18"/>
  <c r="K963" i="18"/>
  <c r="L963" i="18"/>
  <c r="B964" i="18"/>
  <c r="C964" i="18"/>
  <c r="D964" i="18"/>
  <c r="E964" i="18"/>
  <c r="F964" i="18"/>
  <c r="G964" i="18"/>
  <c r="H964" i="18"/>
  <c r="I964" i="18"/>
  <c r="J964" i="18"/>
  <c r="K964" i="18"/>
  <c r="L964" i="18"/>
  <c r="B965" i="18"/>
  <c r="C965" i="18"/>
  <c r="D965" i="18"/>
  <c r="E965" i="18"/>
  <c r="F965" i="18"/>
  <c r="G965" i="18"/>
  <c r="H965" i="18"/>
  <c r="I965" i="18"/>
  <c r="J965" i="18"/>
  <c r="K965" i="18"/>
  <c r="L965" i="18"/>
  <c r="B966" i="18"/>
  <c r="C966" i="18"/>
  <c r="D966" i="18"/>
  <c r="E966" i="18"/>
  <c r="F966" i="18"/>
  <c r="G966" i="18"/>
  <c r="H966" i="18"/>
  <c r="I966" i="18"/>
  <c r="J966" i="18"/>
  <c r="K966" i="18"/>
  <c r="L966" i="18"/>
  <c r="B967" i="18"/>
  <c r="C967" i="18"/>
  <c r="D967" i="18"/>
  <c r="E967" i="18"/>
  <c r="F967" i="18"/>
  <c r="G967" i="18"/>
  <c r="H967" i="18"/>
  <c r="I967" i="18"/>
  <c r="J967" i="18"/>
  <c r="K967" i="18"/>
  <c r="L967" i="18"/>
  <c r="B968" i="18"/>
  <c r="C968" i="18"/>
  <c r="D968" i="18"/>
  <c r="E968" i="18"/>
  <c r="F968" i="18"/>
  <c r="G968" i="18"/>
  <c r="H968" i="18"/>
  <c r="I968" i="18"/>
  <c r="J968" i="18"/>
  <c r="K968" i="18"/>
  <c r="L968" i="18"/>
  <c r="B969" i="18"/>
  <c r="C969" i="18"/>
  <c r="D969" i="18"/>
  <c r="E969" i="18"/>
  <c r="F969" i="18"/>
  <c r="G969" i="18"/>
  <c r="H969" i="18"/>
  <c r="I969" i="18"/>
  <c r="J969" i="18"/>
  <c r="K969" i="18"/>
  <c r="L969" i="18"/>
  <c r="B970" i="18"/>
  <c r="C970" i="18"/>
  <c r="D970" i="18"/>
  <c r="E970" i="18"/>
  <c r="F970" i="18"/>
  <c r="G970" i="18"/>
  <c r="H970" i="18"/>
  <c r="I970" i="18"/>
  <c r="J970" i="18"/>
  <c r="K970" i="18"/>
  <c r="L970" i="18"/>
  <c r="B971" i="18"/>
  <c r="C971" i="18"/>
  <c r="D971" i="18"/>
  <c r="E971" i="18"/>
  <c r="F971" i="18"/>
  <c r="G971" i="18"/>
  <c r="H971" i="18"/>
  <c r="I971" i="18"/>
  <c r="J971" i="18"/>
  <c r="K971" i="18"/>
  <c r="L971" i="18"/>
  <c r="B972" i="18"/>
  <c r="C972" i="18"/>
  <c r="D972" i="18"/>
  <c r="E972" i="18"/>
  <c r="F972" i="18"/>
  <c r="G972" i="18"/>
  <c r="H972" i="18"/>
  <c r="I972" i="18"/>
  <c r="J972" i="18"/>
  <c r="K972" i="18"/>
  <c r="L972" i="18"/>
  <c r="B973" i="18"/>
  <c r="C973" i="18"/>
  <c r="D973" i="18"/>
  <c r="E973" i="18"/>
  <c r="F973" i="18"/>
  <c r="G973" i="18"/>
  <c r="H973" i="18"/>
  <c r="I973" i="18"/>
  <c r="J973" i="18"/>
  <c r="K973" i="18"/>
  <c r="L973" i="18"/>
  <c r="B974" i="18"/>
  <c r="C974" i="18"/>
  <c r="D974" i="18"/>
  <c r="E974" i="18"/>
  <c r="F974" i="18"/>
  <c r="G974" i="18"/>
  <c r="H974" i="18"/>
  <c r="I974" i="18"/>
  <c r="J974" i="18"/>
  <c r="K974" i="18"/>
  <c r="L974" i="18"/>
  <c r="B975" i="18"/>
  <c r="C975" i="18"/>
  <c r="D975" i="18"/>
  <c r="E975" i="18"/>
  <c r="F975" i="18"/>
  <c r="G975" i="18"/>
  <c r="H975" i="18"/>
  <c r="I975" i="18"/>
  <c r="J975" i="18"/>
  <c r="K975" i="18"/>
  <c r="L975" i="18"/>
  <c r="B976" i="18"/>
  <c r="C976" i="18"/>
  <c r="D976" i="18"/>
  <c r="E976" i="18"/>
  <c r="F976" i="18"/>
  <c r="G976" i="18"/>
  <c r="H976" i="18"/>
  <c r="I976" i="18"/>
  <c r="J976" i="18"/>
  <c r="K976" i="18"/>
  <c r="L976" i="18"/>
  <c r="B977" i="18"/>
  <c r="C977" i="18"/>
  <c r="D977" i="18"/>
  <c r="E977" i="18"/>
  <c r="F977" i="18"/>
  <c r="G977" i="18"/>
  <c r="H977" i="18"/>
  <c r="I977" i="18"/>
  <c r="J977" i="18"/>
  <c r="K977" i="18"/>
  <c r="L977" i="18"/>
  <c r="B978" i="18"/>
  <c r="C978" i="18"/>
  <c r="D978" i="18"/>
  <c r="E978" i="18"/>
  <c r="F978" i="18"/>
  <c r="G978" i="18"/>
  <c r="H978" i="18"/>
  <c r="I978" i="18"/>
  <c r="J978" i="18"/>
  <c r="K978" i="18"/>
  <c r="L978" i="18"/>
  <c r="B979" i="18"/>
  <c r="C979" i="18"/>
  <c r="D979" i="18"/>
  <c r="E979" i="18"/>
  <c r="F979" i="18"/>
  <c r="G979" i="18"/>
  <c r="H979" i="18"/>
  <c r="I979" i="18"/>
  <c r="J979" i="18"/>
  <c r="K979" i="18"/>
  <c r="L979" i="18"/>
  <c r="B980" i="18"/>
  <c r="C980" i="18"/>
  <c r="D980" i="18"/>
  <c r="E980" i="18"/>
  <c r="F980" i="18"/>
  <c r="G980" i="18"/>
  <c r="H980" i="18"/>
  <c r="I980" i="18"/>
  <c r="J980" i="18"/>
  <c r="K980" i="18"/>
  <c r="L980" i="18"/>
  <c r="B981" i="18"/>
  <c r="C981" i="18"/>
  <c r="D981" i="18"/>
  <c r="E981" i="18"/>
  <c r="F981" i="18"/>
  <c r="G981" i="18"/>
  <c r="H981" i="18"/>
  <c r="I981" i="18"/>
  <c r="J981" i="18"/>
  <c r="K981" i="18"/>
  <c r="L981" i="18"/>
  <c r="B982" i="18"/>
  <c r="C982" i="18"/>
  <c r="D982" i="18"/>
  <c r="E982" i="18"/>
  <c r="F982" i="18"/>
  <c r="G982" i="18"/>
  <c r="H982" i="18"/>
  <c r="I982" i="18"/>
  <c r="J982" i="18"/>
  <c r="K982" i="18"/>
  <c r="L982" i="18"/>
  <c r="B983" i="18"/>
  <c r="C983" i="18"/>
  <c r="D983" i="18"/>
  <c r="E983" i="18"/>
  <c r="F983" i="18"/>
  <c r="G983" i="18"/>
  <c r="H983" i="18"/>
  <c r="I983" i="18"/>
  <c r="J983" i="18"/>
  <c r="K983" i="18"/>
  <c r="L983" i="18"/>
  <c r="B984" i="18"/>
  <c r="C984" i="18"/>
  <c r="D984" i="18"/>
  <c r="E984" i="18"/>
  <c r="F984" i="18"/>
  <c r="G984" i="18"/>
  <c r="H984" i="18"/>
  <c r="I984" i="18"/>
  <c r="J984" i="18"/>
  <c r="K984" i="18"/>
  <c r="L984" i="18"/>
  <c r="B985" i="18"/>
  <c r="C985" i="18"/>
  <c r="D985" i="18"/>
  <c r="E985" i="18"/>
  <c r="F985" i="18"/>
  <c r="G985" i="18"/>
  <c r="H985" i="18"/>
  <c r="I985" i="18"/>
  <c r="J985" i="18"/>
  <c r="K985" i="18"/>
  <c r="L985" i="18"/>
  <c r="B986" i="18"/>
  <c r="C986" i="18"/>
  <c r="D986" i="18"/>
  <c r="E986" i="18"/>
  <c r="F986" i="18"/>
  <c r="G986" i="18"/>
  <c r="H986" i="18"/>
  <c r="I986" i="18"/>
  <c r="J986" i="18"/>
  <c r="K986" i="18"/>
  <c r="L986" i="18"/>
  <c r="B987" i="18"/>
  <c r="C987" i="18"/>
  <c r="D987" i="18"/>
  <c r="E987" i="18"/>
  <c r="F987" i="18"/>
  <c r="G987" i="18"/>
  <c r="H987" i="18"/>
  <c r="I987" i="18"/>
  <c r="J987" i="18"/>
  <c r="K987" i="18"/>
  <c r="L987" i="18"/>
  <c r="B988" i="18"/>
  <c r="C988" i="18"/>
  <c r="D988" i="18"/>
  <c r="E988" i="18"/>
  <c r="F988" i="18"/>
  <c r="G988" i="18"/>
  <c r="H988" i="18"/>
  <c r="I988" i="18"/>
  <c r="J988" i="18"/>
  <c r="K988" i="18"/>
  <c r="L988" i="18"/>
  <c r="B989" i="18"/>
  <c r="C989" i="18"/>
  <c r="D989" i="18"/>
  <c r="E989" i="18"/>
  <c r="F989" i="18"/>
  <c r="G989" i="18"/>
  <c r="H989" i="18"/>
  <c r="I989" i="18"/>
  <c r="J989" i="18"/>
  <c r="K989" i="18"/>
  <c r="L989" i="18"/>
  <c r="B990" i="18"/>
  <c r="C990" i="18"/>
  <c r="D990" i="18"/>
  <c r="E990" i="18"/>
  <c r="F990" i="18"/>
  <c r="G990" i="18"/>
  <c r="H990" i="18"/>
  <c r="I990" i="18"/>
  <c r="J990" i="18"/>
  <c r="K990" i="18"/>
  <c r="L990" i="18"/>
  <c r="B991" i="18"/>
  <c r="C991" i="18"/>
  <c r="D991" i="18"/>
  <c r="E991" i="18"/>
  <c r="F991" i="18"/>
  <c r="G991" i="18"/>
  <c r="H991" i="18"/>
  <c r="I991" i="18"/>
  <c r="J991" i="18"/>
  <c r="K991" i="18"/>
  <c r="L991" i="18"/>
  <c r="B992" i="18"/>
  <c r="C992" i="18"/>
  <c r="D992" i="18"/>
  <c r="E992" i="18"/>
  <c r="F992" i="18"/>
  <c r="G992" i="18"/>
  <c r="H992" i="18"/>
  <c r="I992" i="18"/>
  <c r="J992" i="18"/>
  <c r="K992" i="18"/>
  <c r="L992" i="18"/>
  <c r="B993" i="18"/>
  <c r="C993" i="18"/>
  <c r="D993" i="18"/>
  <c r="E993" i="18"/>
  <c r="F993" i="18"/>
  <c r="G993" i="18"/>
  <c r="H993" i="18"/>
  <c r="I993" i="18"/>
  <c r="J993" i="18"/>
  <c r="K993" i="18"/>
  <c r="L993" i="18"/>
  <c r="B994" i="18"/>
  <c r="C994" i="18"/>
  <c r="D994" i="18"/>
  <c r="E994" i="18"/>
  <c r="F994" i="18"/>
  <c r="G994" i="18"/>
  <c r="H994" i="18"/>
  <c r="I994" i="18"/>
  <c r="J994" i="18"/>
  <c r="K994" i="18"/>
  <c r="L994" i="18"/>
  <c r="B995" i="18"/>
  <c r="C995" i="18"/>
  <c r="D995" i="18"/>
  <c r="E995" i="18"/>
  <c r="F995" i="18"/>
  <c r="G995" i="18"/>
  <c r="H995" i="18"/>
  <c r="I995" i="18"/>
  <c r="J995" i="18"/>
  <c r="K995" i="18"/>
  <c r="L995" i="18"/>
  <c r="B996" i="18"/>
  <c r="C996" i="18"/>
  <c r="D996" i="18"/>
  <c r="E996" i="18"/>
  <c r="F996" i="18"/>
  <c r="G996" i="18"/>
  <c r="H996" i="18"/>
  <c r="I996" i="18"/>
  <c r="J996" i="18"/>
  <c r="K996" i="18"/>
  <c r="L996" i="18"/>
  <c r="B997" i="18"/>
  <c r="C997" i="18"/>
  <c r="D997" i="18"/>
  <c r="E997" i="18"/>
  <c r="F997" i="18"/>
  <c r="G997" i="18"/>
  <c r="H997" i="18"/>
  <c r="I997" i="18"/>
  <c r="J997" i="18"/>
  <c r="K997" i="18"/>
  <c r="L997" i="18"/>
  <c r="B998" i="18"/>
  <c r="C998" i="18"/>
  <c r="D998" i="18"/>
  <c r="E998" i="18"/>
  <c r="F998" i="18"/>
  <c r="G998" i="18"/>
  <c r="H998" i="18"/>
  <c r="I998" i="18"/>
  <c r="J998" i="18"/>
  <c r="K998" i="18"/>
  <c r="L998" i="18"/>
  <c r="B999" i="18"/>
  <c r="C999" i="18"/>
  <c r="D999" i="18"/>
  <c r="E999" i="18"/>
  <c r="F999" i="18"/>
  <c r="G999" i="18"/>
  <c r="H999" i="18"/>
  <c r="I999" i="18"/>
  <c r="J999" i="18"/>
  <c r="K999" i="18"/>
  <c r="L999" i="18"/>
  <c r="B1000" i="18"/>
  <c r="C1000" i="18"/>
  <c r="D1000" i="18"/>
  <c r="E1000" i="18"/>
  <c r="F1000" i="18"/>
  <c r="G1000" i="18"/>
  <c r="H1000" i="18"/>
  <c r="I1000" i="18"/>
  <c r="J1000" i="18"/>
  <c r="K1000" i="18"/>
  <c r="L1000" i="18"/>
  <c r="B1001" i="18"/>
  <c r="C1001" i="18"/>
  <c r="D1001" i="18"/>
  <c r="E1001" i="18"/>
  <c r="F1001" i="18"/>
  <c r="G1001" i="18"/>
  <c r="H1001" i="18"/>
  <c r="I1001" i="18"/>
  <c r="J1001" i="18"/>
  <c r="K1001" i="18"/>
  <c r="L1001" i="18"/>
  <c r="B1002" i="18"/>
  <c r="C1002" i="18"/>
  <c r="D1002" i="18"/>
  <c r="E1002" i="18"/>
  <c r="F1002" i="18"/>
  <c r="G1002" i="18"/>
  <c r="H1002" i="18"/>
  <c r="I1002" i="18"/>
  <c r="J1002" i="18"/>
  <c r="K1002" i="18"/>
  <c r="L1002" i="18"/>
  <c r="B1003" i="18"/>
  <c r="C1003" i="18"/>
  <c r="D1003" i="18"/>
  <c r="E1003" i="18"/>
  <c r="F1003" i="18"/>
  <c r="G1003" i="18"/>
  <c r="H1003" i="18"/>
  <c r="I1003" i="18"/>
  <c r="J1003" i="18"/>
  <c r="K1003" i="18"/>
  <c r="L1003" i="18"/>
  <c r="B1004" i="18"/>
  <c r="C1004" i="18"/>
  <c r="D1004" i="18"/>
  <c r="E1004" i="18"/>
  <c r="F1004" i="18"/>
  <c r="G1004" i="18"/>
  <c r="H1004" i="18"/>
  <c r="I1004" i="18"/>
  <c r="J1004" i="18"/>
  <c r="K1004" i="18"/>
  <c r="L1004" i="18"/>
  <c r="B1005" i="18"/>
  <c r="C1005" i="18"/>
  <c r="D1005" i="18"/>
  <c r="E1005" i="18"/>
  <c r="F1005" i="18"/>
  <c r="G1005" i="18"/>
  <c r="H1005" i="18"/>
  <c r="I1005" i="18"/>
  <c r="J1005" i="18"/>
  <c r="K1005" i="18"/>
  <c r="L1005" i="18"/>
  <c r="B1006" i="18"/>
  <c r="C1006" i="18"/>
  <c r="D1006" i="18"/>
  <c r="E1006" i="18"/>
  <c r="F1006" i="18"/>
  <c r="G1006" i="18"/>
  <c r="H1006" i="18"/>
  <c r="I1006" i="18"/>
  <c r="J1006" i="18"/>
  <c r="K1006" i="18"/>
  <c r="L1006" i="18"/>
  <c r="B1007" i="18"/>
  <c r="C1007" i="18"/>
  <c r="D1007" i="18"/>
  <c r="E1007" i="18"/>
  <c r="F1007" i="18"/>
  <c r="G1007" i="18"/>
  <c r="H1007" i="18"/>
  <c r="I1007" i="18"/>
  <c r="J1007" i="18"/>
  <c r="K1007" i="18"/>
  <c r="L1007" i="18"/>
  <c r="B1008" i="18"/>
  <c r="C1008" i="18"/>
  <c r="D1008" i="18"/>
  <c r="E1008" i="18"/>
  <c r="F1008" i="18"/>
  <c r="G1008" i="18"/>
  <c r="H1008" i="18"/>
  <c r="I1008" i="18"/>
  <c r="J1008" i="18"/>
  <c r="K1008" i="18"/>
  <c r="L1008" i="18"/>
  <c r="B1009" i="18"/>
  <c r="C1009" i="18"/>
  <c r="D1009" i="18"/>
  <c r="E1009" i="18"/>
  <c r="F1009" i="18"/>
  <c r="G1009" i="18"/>
  <c r="H1009" i="18"/>
  <c r="I1009" i="18"/>
  <c r="J1009" i="18"/>
  <c r="K1009" i="18"/>
  <c r="L1009" i="18"/>
  <c r="B1010" i="18"/>
  <c r="C1010" i="18"/>
  <c r="D1010" i="18"/>
  <c r="E1010" i="18"/>
  <c r="F1010" i="18"/>
  <c r="G1010" i="18"/>
  <c r="H1010" i="18"/>
  <c r="I1010" i="18"/>
  <c r="J1010" i="18"/>
  <c r="K1010" i="18"/>
  <c r="L1010" i="18"/>
  <c r="B1011" i="18"/>
  <c r="C1011" i="18"/>
  <c r="D1011" i="18"/>
  <c r="E1011" i="18"/>
  <c r="F1011" i="18"/>
  <c r="G1011" i="18"/>
  <c r="H1011" i="18"/>
  <c r="I1011" i="18"/>
  <c r="J1011" i="18"/>
  <c r="K1011" i="18"/>
  <c r="L1011" i="18"/>
  <c r="B1012" i="18"/>
  <c r="C1012" i="18"/>
  <c r="D1012" i="18"/>
  <c r="E1012" i="18"/>
  <c r="F1012" i="18"/>
  <c r="G1012" i="18"/>
  <c r="H1012" i="18"/>
  <c r="I1012" i="18"/>
  <c r="J1012" i="18"/>
  <c r="K1012" i="18"/>
  <c r="L1012" i="18"/>
  <c r="B1013" i="18"/>
  <c r="C1013" i="18"/>
  <c r="D1013" i="18"/>
  <c r="E1013" i="18"/>
  <c r="F1013" i="18"/>
  <c r="G1013" i="18"/>
  <c r="H1013" i="18"/>
  <c r="I1013" i="18"/>
  <c r="J1013" i="18"/>
  <c r="K1013" i="18"/>
  <c r="L1013" i="18"/>
  <c r="B1014" i="18"/>
  <c r="C1014" i="18"/>
  <c r="D1014" i="18"/>
  <c r="E1014" i="18"/>
  <c r="F1014" i="18"/>
  <c r="G1014" i="18"/>
  <c r="H1014" i="18"/>
  <c r="I1014" i="18"/>
  <c r="J1014" i="18"/>
  <c r="K1014" i="18"/>
  <c r="L1014" i="18"/>
  <c r="B1015" i="18"/>
  <c r="C1015" i="18"/>
  <c r="D1015" i="18"/>
  <c r="E1015" i="18"/>
  <c r="F1015" i="18"/>
  <c r="G1015" i="18"/>
  <c r="H1015" i="18"/>
  <c r="I1015" i="18"/>
  <c r="J1015" i="18"/>
  <c r="K1015" i="18"/>
  <c r="L1015" i="18"/>
  <c r="B1016" i="18"/>
  <c r="C1016" i="18"/>
  <c r="D1016" i="18"/>
  <c r="E1016" i="18"/>
  <c r="F1016" i="18"/>
  <c r="G1016" i="18"/>
  <c r="H1016" i="18"/>
  <c r="I1016" i="18"/>
  <c r="J1016" i="18"/>
  <c r="K1016" i="18"/>
  <c r="L1016" i="18"/>
  <c r="B1017" i="18"/>
  <c r="C1017" i="18"/>
  <c r="D1017" i="18"/>
  <c r="E1017" i="18"/>
  <c r="F1017" i="18"/>
  <c r="G1017" i="18"/>
  <c r="H1017" i="18"/>
  <c r="I1017" i="18"/>
  <c r="J1017" i="18"/>
  <c r="K1017" i="18"/>
  <c r="L1017" i="18"/>
  <c r="B1018" i="18"/>
  <c r="C1018" i="18"/>
  <c r="D1018" i="18"/>
  <c r="E1018" i="18"/>
  <c r="F1018" i="18"/>
  <c r="G1018" i="18"/>
  <c r="H1018" i="18"/>
  <c r="I1018" i="18"/>
  <c r="J1018" i="18"/>
  <c r="K1018" i="18"/>
  <c r="L1018" i="18"/>
  <c r="B1019" i="18"/>
  <c r="C1019" i="18"/>
  <c r="D1019" i="18"/>
  <c r="E1019" i="18"/>
  <c r="F1019" i="18"/>
  <c r="G1019" i="18"/>
  <c r="H1019" i="18"/>
  <c r="I1019" i="18"/>
  <c r="J1019" i="18"/>
  <c r="K1019" i="18"/>
  <c r="L1019" i="18"/>
  <c r="B1020" i="18"/>
  <c r="C1020" i="18"/>
  <c r="D1020" i="18"/>
  <c r="E1020" i="18"/>
  <c r="F1020" i="18"/>
  <c r="G1020" i="18"/>
  <c r="H1020" i="18"/>
  <c r="I1020" i="18"/>
  <c r="J1020" i="18"/>
  <c r="K1020" i="18"/>
  <c r="L1020" i="18"/>
  <c r="B1021" i="18"/>
  <c r="C1021" i="18"/>
  <c r="D1021" i="18"/>
  <c r="E1021" i="18"/>
  <c r="F1021" i="18"/>
  <c r="G1021" i="18"/>
  <c r="H1021" i="18"/>
  <c r="I1021" i="18"/>
  <c r="J1021" i="18"/>
  <c r="K1021" i="18"/>
  <c r="L1021" i="18"/>
  <c r="B1022" i="18"/>
  <c r="C1022" i="18"/>
  <c r="D1022" i="18"/>
  <c r="E1022" i="18"/>
  <c r="F1022" i="18"/>
  <c r="G1022" i="18"/>
  <c r="H1022" i="18"/>
  <c r="I1022" i="18"/>
  <c r="J1022" i="18"/>
  <c r="K1022" i="18"/>
  <c r="L1022" i="18"/>
  <c r="B1023" i="18"/>
  <c r="C1023" i="18"/>
  <c r="D1023" i="18"/>
  <c r="E1023" i="18"/>
  <c r="F1023" i="18"/>
  <c r="G1023" i="18"/>
  <c r="H1023" i="18"/>
  <c r="I1023" i="18"/>
  <c r="J1023" i="18"/>
  <c r="K1023" i="18"/>
  <c r="L1023" i="18"/>
  <c r="B1024" i="18"/>
  <c r="C1024" i="18"/>
  <c r="D1024" i="18"/>
  <c r="E1024" i="18"/>
  <c r="F1024" i="18"/>
  <c r="G1024" i="18"/>
  <c r="H1024" i="18"/>
  <c r="I1024" i="18"/>
  <c r="J1024" i="18"/>
  <c r="K1024" i="18"/>
  <c r="L1024" i="18"/>
  <c r="B1025" i="18"/>
  <c r="C1025" i="18"/>
  <c r="D1025" i="18"/>
  <c r="E1025" i="18"/>
  <c r="F1025" i="18"/>
  <c r="G1025" i="18"/>
  <c r="H1025" i="18"/>
  <c r="I1025" i="18"/>
  <c r="J1025" i="18"/>
  <c r="K1025" i="18"/>
  <c r="L1025" i="18"/>
  <c r="B1026" i="18"/>
  <c r="C1026" i="18"/>
  <c r="D1026" i="18"/>
  <c r="E1026" i="18"/>
  <c r="F1026" i="18"/>
  <c r="G1026" i="18"/>
  <c r="H1026" i="18"/>
  <c r="I1026" i="18"/>
  <c r="J1026" i="18"/>
  <c r="K1026" i="18"/>
  <c r="L1026" i="18"/>
  <c r="B1027" i="18"/>
  <c r="C1027" i="18"/>
  <c r="D1027" i="18"/>
  <c r="E1027" i="18"/>
  <c r="F1027" i="18"/>
  <c r="G1027" i="18"/>
  <c r="H1027" i="18"/>
  <c r="I1027" i="18"/>
  <c r="J1027" i="18"/>
  <c r="K1027" i="18"/>
  <c r="L1027" i="18"/>
  <c r="B1028" i="18"/>
  <c r="C1028" i="18"/>
  <c r="D1028" i="18"/>
  <c r="E1028" i="18"/>
  <c r="F1028" i="18"/>
  <c r="G1028" i="18"/>
  <c r="H1028" i="18"/>
  <c r="I1028" i="18"/>
  <c r="J1028" i="18"/>
  <c r="K1028" i="18"/>
  <c r="L1028" i="18"/>
  <c r="B1029" i="18"/>
  <c r="C1029" i="18"/>
  <c r="D1029" i="18"/>
  <c r="E1029" i="18"/>
  <c r="F1029" i="18"/>
  <c r="G1029" i="18"/>
  <c r="H1029" i="18"/>
  <c r="I1029" i="18"/>
  <c r="J1029" i="18"/>
  <c r="K1029" i="18"/>
  <c r="L1029" i="18"/>
  <c r="B1030" i="18"/>
  <c r="C1030" i="18"/>
  <c r="D1030" i="18"/>
  <c r="E1030" i="18"/>
  <c r="F1030" i="18"/>
  <c r="G1030" i="18"/>
  <c r="H1030" i="18"/>
  <c r="I1030" i="18"/>
  <c r="J1030" i="18"/>
  <c r="K1030" i="18"/>
  <c r="L1030" i="18"/>
  <c r="B1031" i="18"/>
  <c r="C1031" i="18"/>
  <c r="D1031" i="18"/>
  <c r="E1031" i="18"/>
  <c r="F1031" i="18"/>
  <c r="G1031" i="18"/>
  <c r="H1031" i="18"/>
  <c r="I1031" i="18"/>
  <c r="J1031" i="18"/>
  <c r="K1031" i="18"/>
  <c r="L1031" i="18"/>
  <c r="B1032" i="18"/>
  <c r="C1032" i="18"/>
  <c r="D1032" i="18"/>
  <c r="E1032" i="18"/>
  <c r="F1032" i="18"/>
  <c r="G1032" i="18"/>
  <c r="H1032" i="18"/>
  <c r="I1032" i="18"/>
  <c r="J1032" i="18"/>
  <c r="K1032" i="18"/>
  <c r="L1032" i="18"/>
  <c r="B1033" i="18"/>
  <c r="C1033" i="18"/>
  <c r="D1033" i="18"/>
  <c r="E1033" i="18"/>
  <c r="F1033" i="18"/>
  <c r="G1033" i="18"/>
  <c r="H1033" i="18"/>
  <c r="I1033" i="18"/>
  <c r="J1033" i="18"/>
  <c r="K1033" i="18"/>
  <c r="L1033" i="18"/>
  <c r="B1034" i="18"/>
  <c r="C1034" i="18"/>
  <c r="D1034" i="18"/>
  <c r="E1034" i="18"/>
  <c r="F1034" i="18"/>
  <c r="G1034" i="18"/>
  <c r="H1034" i="18"/>
  <c r="I1034" i="18"/>
  <c r="J1034" i="18"/>
  <c r="K1034" i="18"/>
  <c r="L1034" i="18"/>
  <c r="B1035" i="18"/>
  <c r="C1035" i="18"/>
  <c r="D1035" i="18"/>
  <c r="E1035" i="18"/>
  <c r="F1035" i="18"/>
  <c r="G1035" i="18"/>
  <c r="H1035" i="18"/>
  <c r="I1035" i="18"/>
  <c r="J1035" i="18"/>
  <c r="K1035" i="18"/>
  <c r="L1035" i="18"/>
  <c r="B1036" i="18"/>
  <c r="C1036" i="18"/>
  <c r="D1036" i="18"/>
  <c r="E1036" i="18"/>
  <c r="F1036" i="18"/>
  <c r="G1036" i="18"/>
  <c r="H1036" i="18"/>
  <c r="I1036" i="18"/>
  <c r="J1036" i="18"/>
  <c r="K1036" i="18"/>
  <c r="L1036" i="18"/>
  <c r="B1037" i="18"/>
  <c r="C1037" i="18"/>
  <c r="D1037" i="18"/>
  <c r="E1037" i="18"/>
  <c r="F1037" i="18"/>
  <c r="G1037" i="18"/>
  <c r="H1037" i="18"/>
  <c r="I1037" i="18"/>
  <c r="J1037" i="18"/>
  <c r="K1037" i="18"/>
  <c r="L1037" i="18"/>
  <c r="B1038" i="18"/>
  <c r="C1038" i="18"/>
  <c r="D1038" i="18"/>
  <c r="E1038" i="18"/>
  <c r="F1038" i="18"/>
  <c r="G1038" i="18"/>
  <c r="H1038" i="18"/>
  <c r="I1038" i="18"/>
  <c r="J1038" i="18"/>
  <c r="K1038" i="18"/>
  <c r="L1038" i="18"/>
  <c r="B1039" i="18"/>
  <c r="C1039" i="18"/>
  <c r="D1039" i="18"/>
  <c r="E1039" i="18"/>
  <c r="F1039" i="18"/>
  <c r="G1039" i="18"/>
  <c r="H1039" i="18"/>
  <c r="I1039" i="18"/>
  <c r="J1039" i="18"/>
  <c r="K1039" i="18"/>
  <c r="L1039" i="18"/>
  <c r="B1040" i="18"/>
  <c r="C1040" i="18"/>
  <c r="D1040" i="18"/>
  <c r="E1040" i="18"/>
  <c r="F1040" i="18"/>
  <c r="G1040" i="18"/>
  <c r="H1040" i="18"/>
  <c r="I1040" i="18"/>
  <c r="J1040" i="18"/>
  <c r="K1040" i="18"/>
  <c r="L1040" i="18"/>
  <c r="B1041" i="18"/>
  <c r="C1041" i="18"/>
  <c r="D1041" i="18"/>
  <c r="E1041" i="18"/>
  <c r="F1041" i="18"/>
  <c r="G1041" i="18"/>
  <c r="H1041" i="18"/>
  <c r="I1041" i="18"/>
  <c r="J1041" i="18"/>
  <c r="K1041" i="18"/>
  <c r="L1041" i="18"/>
  <c r="B1042" i="18"/>
  <c r="C1042" i="18"/>
  <c r="D1042" i="18"/>
  <c r="E1042" i="18"/>
  <c r="F1042" i="18"/>
  <c r="G1042" i="18"/>
  <c r="H1042" i="18"/>
  <c r="I1042" i="18"/>
  <c r="J1042" i="18"/>
  <c r="K1042" i="18"/>
  <c r="L1042" i="18"/>
  <c r="B1043" i="18"/>
  <c r="C1043" i="18"/>
  <c r="D1043" i="18"/>
  <c r="E1043" i="18"/>
  <c r="F1043" i="18"/>
  <c r="G1043" i="18"/>
  <c r="H1043" i="18"/>
  <c r="I1043" i="18"/>
  <c r="J1043" i="18"/>
  <c r="K1043" i="18"/>
  <c r="L1043" i="18"/>
  <c r="B1044" i="18"/>
  <c r="C1044" i="18"/>
  <c r="D1044" i="18"/>
  <c r="E1044" i="18"/>
  <c r="F1044" i="18"/>
  <c r="G1044" i="18"/>
  <c r="H1044" i="18"/>
  <c r="I1044" i="18"/>
  <c r="J1044" i="18"/>
  <c r="K1044" i="18"/>
  <c r="L1044" i="18"/>
  <c r="B1045" i="18"/>
  <c r="C1045" i="18"/>
  <c r="D1045" i="18"/>
  <c r="E1045" i="18"/>
  <c r="F1045" i="18"/>
  <c r="G1045" i="18"/>
  <c r="H1045" i="18"/>
  <c r="I1045" i="18"/>
  <c r="J1045" i="18"/>
  <c r="K1045" i="18"/>
  <c r="L1045" i="18"/>
  <c r="B1046" i="18"/>
  <c r="C1046" i="18"/>
  <c r="D1046" i="18"/>
  <c r="E1046" i="18"/>
  <c r="F1046" i="18"/>
  <c r="G1046" i="18"/>
  <c r="H1046" i="18"/>
  <c r="I1046" i="18"/>
  <c r="J1046" i="18"/>
  <c r="K1046" i="18"/>
  <c r="L1046" i="18"/>
  <c r="B1047" i="18"/>
  <c r="C1047" i="18"/>
  <c r="D1047" i="18"/>
  <c r="E1047" i="18"/>
  <c r="F1047" i="18"/>
  <c r="G1047" i="18"/>
  <c r="H1047" i="18"/>
  <c r="I1047" i="18"/>
  <c r="J1047" i="18"/>
  <c r="K1047" i="18"/>
  <c r="L1047" i="18"/>
  <c r="B1048" i="18"/>
  <c r="C1048" i="18"/>
  <c r="D1048" i="18"/>
  <c r="E1048" i="18"/>
  <c r="F1048" i="18"/>
  <c r="G1048" i="18"/>
  <c r="H1048" i="18"/>
  <c r="I1048" i="18"/>
  <c r="J1048" i="18"/>
  <c r="K1048" i="18"/>
  <c r="L1048" i="18"/>
  <c r="B1049" i="18"/>
  <c r="C1049" i="18"/>
  <c r="D1049" i="18"/>
  <c r="E1049" i="18"/>
  <c r="F1049" i="18"/>
  <c r="G1049" i="18"/>
  <c r="H1049" i="18"/>
  <c r="I1049" i="18"/>
  <c r="J1049" i="18"/>
  <c r="K1049" i="18"/>
  <c r="L1049" i="18"/>
  <c r="B1050" i="18"/>
  <c r="C1050" i="18"/>
  <c r="D1050" i="18"/>
  <c r="E1050" i="18"/>
  <c r="F1050" i="18"/>
  <c r="G1050" i="18"/>
  <c r="H1050" i="18"/>
  <c r="I1050" i="18"/>
  <c r="J1050" i="18"/>
  <c r="K1050" i="18"/>
  <c r="L1050" i="18"/>
  <c r="B1051" i="18"/>
  <c r="C1051" i="18"/>
  <c r="D1051" i="18"/>
  <c r="E1051" i="18"/>
  <c r="F1051" i="18"/>
  <c r="G1051" i="18"/>
  <c r="H1051" i="18"/>
  <c r="I1051" i="18"/>
  <c r="J1051" i="18"/>
  <c r="K1051" i="18"/>
  <c r="L1051" i="18"/>
  <c r="B1052" i="18"/>
  <c r="C1052" i="18"/>
  <c r="D1052" i="18"/>
  <c r="E1052" i="18"/>
  <c r="F1052" i="18"/>
  <c r="G1052" i="18"/>
  <c r="H1052" i="18"/>
  <c r="I1052" i="18"/>
  <c r="J1052" i="18"/>
  <c r="K1052" i="18"/>
  <c r="L1052" i="18"/>
  <c r="B1053" i="18"/>
  <c r="C1053" i="18"/>
  <c r="D1053" i="18"/>
  <c r="E1053" i="18"/>
  <c r="F1053" i="18"/>
  <c r="G1053" i="18"/>
  <c r="H1053" i="18"/>
  <c r="I1053" i="18"/>
  <c r="J1053" i="18"/>
  <c r="K1053" i="18"/>
  <c r="L1053" i="18"/>
  <c r="B1054" i="18"/>
  <c r="C1054" i="18"/>
  <c r="D1054" i="18"/>
  <c r="E1054" i="18"/>
  <c r="F1054" i="18"/>
  <c r="G1054" i="18"/>
  <c r="H1054" i="18"/>
  <c r="I1054" i="18"/>
  <c r="J1054" i="18"/>
  <c r="K1054" i="18"/>
  <c r="L1054" i="18"/>
  <c r="B1055" i="18"/>
  <c r="C1055" i="18"/>
  <c r="D1055" i="18"/>
  <c r="E1055" i="18"/>
  <c r="F1055" i="18"/>
  <c r="G1055" i="18"/>
  <c r="H1055" i="18"/>
  <c r="I1055" i="18"/>
  <c r="J1055" i="18"/>
  <c r="K1055" i="18"/>
  <c r="L1055" i="18"/>
  <c r="B1056" i="18"/>
  <c r="C1056" i="18"/>
  <c r="D1056" i="18"/>
  <c r="E1056" i="18"/>
  <c r="F1056" i="18"/>
  <c r="G1056" i="18"/>
  <c r="H1056" i="18"/>
  <c r="I1056" i="18"/>
  <c r="J1056" i="18"/>
  <c r="K1056" i="18"/>
  <c r="L1056" i="18"/>
  <c r="B1057" i="18"/>
  <c r="C1057" i="18"/>
  <c r="D1057" i="18"/>
  <c r="E1057" i="18"/>
  <c r="F1057" i="18"/>
  <c r="G1057" i="18"/>
  <c r="H1057" i="18"/>
  <c r="I1057" i="18"/>
  <c r="J1057" i="18"/>
  <c r="K1057" i="18"/>
  <c r="L1057" i="18"/>
  <c r="B1058" i="18"/>
  <c r="C1058" i="18"/>
  <c r="D1058" i="18"/>
  <c r="E1058" i="18"/>
  <c r="F1058" i="18"/>
  <c r="G1058" i="18"/>
  <c r="H1058" i="18"/>
  <c r="I1058" i="18"/>
  <c r="J1058" i="18"/>
  <c r="K1058" i="18"/>
  <c r="L1058" i="18"/>
  <c r="B1059" i="18"/>
  <c r="C1059" i="18"/>
  <c r="D1059" i="18"/>
  <c r="E1059" i="18"/>
  <c r="F1059" i="18"/>
  <c r="G1059" i="18"/>
  <c r="H1059" i="18"/>
  <c r="I1059" i="18"/>
  <c r="J1059" i="18"/>
  <c r="K1059" i="18"/>
  <c r="L1059" i="18"/>
  <c r="B1060" i="18"/>
  <c r="C1060" i="18"/>
  <c r="D1060" i="18"/>
  <c r="E1060" i="18"/>
  <c r="F1060" i="18"/>
  <c r="G1060" i="18"/>
  <c r="H1060" i="18"/>
  <c r="I1060" i="18"/>
  <c r="J1060" i="18"/>
  <c r="K1060" i="18"/>
  <c r="L1060" i="18"/>
  <c r="B1061" i="18"/>
  <c r="C1061" i="18"/>
  <c r="D1061" i="18"/>
  <c r="E1061" i="18"/>
  <c r="F1061" i="18"/>
  <c r="G1061" i="18"/>
  <c r="H1061" i="18"/>
  <c r="I1061" i="18"/>
  <c r="J1061" i="18"/>
  <c r="K1061" i="18"/>
  <c r="L1061" i="18"/>
  <c r="B1062" i="18"/>
  <c r="C1062" i="18"/>
  <c r="D1062" i="18"/>
  <c r="E1062" i="18"/>
  <c r="F1062" i="18"/>
  <c r="G1062" i="18"/>
  <c r="H1062" i="18"/>
  <c r="I1062" i="18"/>
  <c r="J1062" i="18"/>
  <c r="K1062" i="18"/>
  <c r="L1062" i="18"/>
  <c r="B1063" i="18"/>
  <c r="C1063" i="18"/>
  <c r="D1063" i="18"/>
  <c r="E1063" i="18"/>
  <c r="F1063" i="18"/>
  <c r="G1063" i="18"/>
  <c r="H1063" i="18"/>
  <c r="I1063" i="18"/>
  <c r="J1063" i="18"/>
  <c r="K1063" i="18"/>
  <c r="L1063" i="18"/>
  <c r="B1064" i="18"/>
  <c r="C1064" i="18"/>
  <c r="D1064" i="18"/>
  <c r="E1064" i="18"/>
  <c r="F1064" i="18"/>
  <c r="G1064" i="18"/>
  <c r="H1064" i="18"/>
  <c r="I1064" i="18"/>
  <c r="J1064" i="18"/>
  <c r="K1064" i="18"/>
  <c r="L1064" i="18"/>
  <c r="B1065" i="18"/>
  <c r="C1065" i="18"/>
  <c r="D1065" i="18"/>
  <c r="E1065" i="18"/>
  <c r="F1065" i="18"/>
  <c r="G1065" i="18"/>
  <c r="H1065" i="18"/>
  <c r="I1065" i="18"/>
  <c r="J1065" i="18"/>
  <c r="K1065" i="18"/>
  <c r="L1065" i="18"/>
  <c r="B1066" i="18"/>
  <c r="C1066" i="18"/>
  <c r="D1066" i="18"/>
  <c r="E1066" i="18"/>
  <c r="F1066" i="18"/>
  <c r="G1066" i="18"/>
  <c r="H1066" i="18"/>
  <c r="I1066" i="18"/>
  <c r="J1066" i="18"/>
  <c r="K1066" i="18"/>
  <c r="L1066" i="18"/>
  <c r="B1067" i="18"/>
  <c r="C1067" i="18"/>
  <c r="D1067" i="18"/>
  <c r="E1067" i="18"/>
  <c r="F1067" i="18"/>
  <c r="G1067" i="18"/>
  <c r="H1067" i="18"/>
  <c r="I1067" i="18"/>
  <c r="J1067" i="18"/>
  <c r="K1067" i="18"/>
  <c r="L1067" i="18"/>
  <c r="B1068" i="18"/>
  <c r="C1068" i="18"/>
  <c r="D1068" i="18"/>
  <c r="E1068" i="18"/>
  <c r="F1068" i="18"/>
  <c r="G1068" i="18"/>
  <c r="H1068" i="18"/>
  <c r="I1068" i="18"/>
  <c r="J1068" i="18"/>
  <c r="K1068" i="18"/>
  <c r="L1068" i="18"/>
  <c r="B1069" i="18"/>
  <c r="C1069" i="18"/>
  <c r="D1069" i="18"/>
  <c r="E1069" i="18"/>
  <c r="F1069" i="18"/>
  <c r="G1069" i="18"/>
  <c r="H1069" i="18"/>
  <c r="I1069" i="18"/>
  <c r="J1069" i="18"/>
  <c r="K1069" i="18"/>
  <c r="L1069" i="18"/>
  <c r="B1070" i="18"/>
  <c r="C1070" i="18"/>
  <c r="D1070" i="18"/>
  <c r="E1070" i="18"/>
  <c r="F1070" i="18"/>
  <c r="G1070" i="18"/>
  <c r="H1070" i="18"/>
  <c r="I1070" i="18"/>
  <c r="J1070" i="18"/>
  <c r="K1070" i="18"/>
  <c r="L1070" i="18"/>
  <c r="B1071" i="18"/>
  <c r="C1071" i="18"/>
  <c r="D1071" i="18"/>
  <c r="E1071" i="18"/>
  <c r="F1071" i="18"/>
  <c r="G1071" i="18"/>
  <c r="H1071" i="18"/>
  <c r="I1071" i="18"/>
  <c r="J1071" i="18"/>
  <c r="K1071" i="18"/>
  <c r="L1071" i="18"/>
  <c r="B1072" i="18"/>
  <c r="C1072" i="18"/>
  <c r="D1072" i="18"/>
  <c r="E1072" i="18"/>
  <c r="F1072" i="18"/>
  <c r="G1072" i="18"/>
  <c r="H1072" i="18"/>
  <c r="I1072" i="18"/>
  <c r="J1072" i="18"/>
  <c r="K1072" i="18"/>
  <c r="L1072" i="18"/>
  <c r="B1073" i="18"/>
  <c r="C1073" i="18"/>
  <c r="D1073" i="18"/>
  <c r="E1073" i="18"/>
  <c r="F1073" i="18"/>
  <c r="G1073" i="18"/>
  <c r="H1073" i="18"/>
  <c r="I1073" i="18"/>
  <c r="J1073" i="18"/>
  <c r="K1073" i="18"/>
  <c r="L1073" i="18"/>
  <c r="B1074" i="18"/>
  <c r="C1074" i="18"/>
  <c r="D1074" i="18"/>
  <c r="E1074" i="18"/>
  <c r="F1074" i="18"/>
  <c r="G1074" i="18"/>
  <c r="H1074" i="18"/>
  <c r="I1074" i="18"/>
  <c r="J1074" i="18"/>
  <c r="K1074" i="18"/>
  <c r="L1074" i="18"/>
  <c r="B1075" i="18"/>
  <c r="C1075" i="18"/>
  <c r="D1075" i="18"/>
  <c r="E1075" i="18"/>
  <c r="F1075" i="18"/>
  <c r="G1075" i="18"/>
  <c r="H1075" i="18"/>
  <c r="I1075" i="18"/>
  <c r="J1075" i="18"/>
  <c r="K1075" i="18"/>
  <c r="L1075" i="18"/>
  <c r="B1076" i="18"/>
  <c r="C1076" i="18"/>
  <c r="D1076" i="18"/>
  <c r="E1076" i="18"/>
  <c r="F1076" i="18"/>
  <c r="G1076" i="18"/>
  <c r="H1076" i="18"/>
  <c r="I1076" i="18"/>
  <c r="J1076" i="18"/>
  <c r="K1076" i="18"/>
  <c r="L1076" i="18"/>
  <c r="B1077" i="18"/>
  <c r="C1077" i="18"/>
  <c r="D1077" i="18"/>
  <c r="E1077" i="18"/>
  <c r="F1077" i="18"/>
  <c r="G1077" i="18"/>
  <c r="H1077" i="18"/>
  <c r="I1077" i="18"/>
  <c r="J1077" i="18"/>
  <c r="K1077" i="18"/>
  <c r="L1077" i="18"/>
  <c r="B1078" i="18"/>
  <c r="C1078" i="18"/>
  <c r="D1078" i="18"/>
  <c r="E1078" i="18"/>
  <c r="F1078" i="18"/>
  <c r="G1078" i="18"/>
  <c r="H1078" i="18"/>
  <c r="I1078" i="18"/>
  <c r="J1078" i="18"/>
  <c r="K1078" i="18"/>
  <c r="L1078" i="18"/>
  <c r="B1079" i="18"/>
  <c r="C1079" i="18"/>
  <c r="D1079" i="18"/>
  <c r="E1079" i="18"/>
  <c r="F1079" i="18"/>
  <c r="G1079" i="18"/>
  <c r="H1079" i="18"/>
  <c r="I1079" i="18"/>
  <c r="J1079" i="18"/>
  <c r="K1079" i="18"/>
  <c r="L1079" i="18"/>
  <c r="B1080" i="18"/>
  <c r="C1080" i="18"/>
  <c r="D1080" i="18"/>
  <c r="E1080" i="18"/>
  <c r="F1080" i="18"/>
  <c r="G1080" i="18"/>
  <c r="H1080" i="18"/>
  <c r="I1080" i="18"/>
  <c r="J1080" i="18"/>
  <c r="K1080" i="18"/>
  <c r="L1080" i="18"/>
  <c r="B1081" i="18"/>
  <c r="C1081" i="18"/>
  <c r="D1081" i="18"/>
  <c r="E1081" i="18"/>
  <c r="F1081" i="18"/>
  <c r="G1081" i="18"/>
  <c r="H1081" i="18"/>
  <c r="I1081" i="18"/>
  <c r="J1081" i="18"/>
  <c r="K1081" i="18"/>
  <c r="L1081" i="18"/>
  <c r="B1082" i="18"/>
  <c r="C1082" i="18"/>
  <c r="D1082" i="18"/>
  <c r="E1082" i="18"/>
  <c r="F1082" i="18"/>
  <c r="G1082" i="18"/>
  <c r="H1082" i="18"/>
  <c r="I1082" i="18"/>
  <c r="J1082" i="18"/>
  <c r="K1082" i="18"/>
  <c r="L1082" i="18"/>
  <c r="B1083" i="18"/>
  <c r="C1083" i="18"/>
  <c r="D1083" i="18"/>
  <c r="E1083" i="18"/>
  <c r="F1083" i="18"/>
  <c r="G1083" i="18"/>
  <c r="H1083" i="18"/>
  <c r="I1083" i="18"/>
  <c r="J1083" i="18"/>
  <c r="K1083" i="18"/>
  <c r="L1083" i="18"/>
  <c r="B1084" i="18"/>
  <c r="C1084" i="18"/>
  <c r="D1084" i="18"/>
  <c r="E1084" i="18"/>
  <c r="F1084" i="18"/>
  <c r="G1084" i="18"/>
  <c r="H1084" i="18"/>
  <c r="I1084" i="18"/>
  <c r="J1084" i="18"/>
  <c r="K1084" i="18"/>
  <c r="L1084" i="18"/>
  <c r="B1085" i="18"/>
  <c r="C1085" i="18"/>
  <c r="D1085" i="18"/>
  <c r="E1085" i="18"/>
  <c r="F1085" i="18"/>
  <c r="G1085" i="18"/>
  <c r="H1085" i="18"/>
  <c r="I1085" i="18"/>
  <c r="J1085" i="18"/>
  <c r="K1085" i="18"/>
  <c r="L1085" i="18"/>
  <c r="B1086" i="18"/>
  <c r="C1086" i="18"/>
  <c r="D1086" i="18"/>
  <c r="E1086" i="18"/>
  <c r="F1086" i="18"/>
  <c r="G1086" i="18"/>
  <c r="H1086" i="18"/>
  <c r="I1086" i="18"/>
  <c r="J1086" i="18"/>
  <c r="K1086" i="18"/>
  <c r="L1086" i="18"/>
  <c r="B1087" i="18"/>
  <c r="C1087" i="18"/>
  <c r="D1087" i="18"/>
  <c r="E1087" i="18"/>
  <c r="F1087" i="18"/>
  <c r="G1087" i="18"/>
  <c r="H1087" i="18"/>
  <c r="I1087" i="18"/>
  <c r="J1087" i="18"/>
  <c r="K1087" i="18"/>
  <c r="L1087" i="18"/>
  <c r="B1088" i="18"/>
  <c r="C1088" i="18"/>
  <c r="D1088" i="18"/>
  <c r="E1088" i="18"/>
  <c r="F1088" i="18"/>
  <c r="G1088" i="18"/>
  <c r="H1088" i="18"/>
  <c r="I1088" i="18"/>
  <c r="J1088" i="18"/>
  <c r="K1088" i="18"/>
  <c r="L1088" i="18"/>
  <c r="B1089" i="18"/>
  <c r="C1089" i="18"/>
  <c r="D1089" i="18"/>
  <c r="E1089" i="18"/>
  <c r="F1089" i="18"/>
  <c r="G1089" i="18"/>
  <c r="H1089" i="18"/>
  <c r="I1089" i="18"/>
  <c r="J1089" i="18"/>
  <c r="K1089" i="18"/>
  <c r="L1089" i="18"/>
  <c r="B1090" i="18"/>
  <c r="C1090" i="18"/>
  <c r="D1090" i="18"/>
  <c r="E1090" i="18"/>
  <c r="F1090" i="18"/>
  <c r="G1090" i="18"/>
  <c r="H1090" i="18"/>
  <c r="I1090" i="18"/>
  <c r="J1090" i="18"/>
  <c r="K1090" i="18"/>
  <c r="L1090" i="18"/>
  <c r="B1091" i="18"/>
  <c r="C1091" i="18"/>
  <c r="D1091" i="18"/>
  <c r="E1091" i="18"/>
  <c r="F1091" i="18"/>
  <c r="G1091" i="18"/>
  <c r="H1091" i="18"/>
  <c r="I1091" i="18"/>
  <c r="J1091" i="18"/>
  <c r="K1091" i="18"/>
  <c r="L1091" i="18"/>
  <c r="B1092" i="18"/>
  <c r="C1092" i="18"/>
  <c r="D1092" i="18"/>
  <c r="E1092" i="18"/>
  <c r="F1092" i="18"/>
  <c r="G1092" i="18"/>
  <c r="H1092" i="18"/>
  <c r="I1092" i="18"/>
  <c r="J1092" i="18"/>
  <c r="K1092" i="18"/>
  <c r="L1092" i="18"/>
  <c r="B1093" i="18"/>
  <c r="C1093" i="18"/>
  <c r="D1093" i="18"/>
  <c r="E1093" i="18"/>
  <c r="F1093" i="18"/>
  <c r="G1093" i="18"/>
  <c r="H1093" i="18"/>
  <c r="I1093" i="18"/>
  <c r="J1093" i="18"/>
  <c r="K1093" i="18"/>
  <c r="L1093" i="18"/>
  <c r="B1094" i="18"/>
  <c r="C1094" i="18"/>
  <c r="D1094" i="18"/>
  <c r="E1094" i="18"/>
  <c r="F1094" i="18"/>
  <c r="G1094" i="18"/>
  <c r="H1094" i="18"/>
  <c r="I1094" i="18"/>
  <c r="J1094" i="18"/>
  <c r="K1094" i="18"/>
  <c r="L1094" i="18"/>
  <c r="B1095" i="18"/>
  <c r="C1095" i="18"/>
  <c r="D1095" i="18"/>
  <c r="E1095" i="18"/>
  <c r="F1095" i="18"/>
  <c r="G1095" i="18"/>
  <c r="H1095" i="18"/>
  <c r="I1095" i="18"/>
  <c r="J1095" i="18"/>
  <c r="K1095" i="18"/>
  <c r="L1095" i="18"/>
  <c r="B1096" i="18"/>
  <c r="C1096" i="18"/>
  <c r="D1096" i="18"/>
  <c r="E1096" i="18"/>
  <c r="F1096" i="18"/>
  <c r="G1096" i="18"/>
  <c r="H1096" i="18"/>
  <c r="I1096" i="18"/>
  <c r="J1096" i="18"/>
  <c r="K1096" i="18"/>
  <c r="L1096" i="18"/>
  <c r="B1097" i="18"/>
  <c r="C1097" i="18"/>
  <c r="D1097" i="18"/>
  <c r="E1097" i="18"/>
  <c r="F1097" i="18"/>
  <c r="G1097" i="18"/>
  <c r="H1097" i="18"/>
  <c r="I1097" i="18"/>
  <c r="J1097" i="18"/>
  <c r="K1097" i="18"/>
  <c r="L1097" i="18"/>
  <c r="B1098" i="18"/>
  <c r="C1098" i="18"/>
  <c r="D1098" i="18"/>
  <c r="E1098" i="18"/>
  <c r="F1098" i="18"/>
  <c r="G1098" i="18"/>
  <c r="H1098" i="18"/>
  <c r="I1098" i="18"/>
  <c r="J1098" i="18"/>
  <c r="K1098" i="18"/>
  <c r="L1098" i="18"/>
  <c r="B1099" i="18"/>
  <c r="C1099" i="18"/>
  <c r="D1099" i="18"/>
  <c r="E1099" i="18"/>
  <c r="F1099" i="18"/>
  <c r="G1099" i="18"/>
  <c r="H1099" i="18"/>
  <c r="I1099" i="18"/>
  <c r="J1099" i="18"/>
  <c r="K1099" i="18"/>
  <c r="L1099" i="18"/>
  <c r="B1100" i="18"/>
  <c r="C1100" i="18"/>
  <c r="D1100" i="18"/>
  <c r="E1100" i="18"/>
  <c r="F1100" i="18"/>
  <c r="G1100" i="18"/>
  <c r="H1100" i="18"/>
  <c r="I1100" i="18"/>
  <c r="J1100" i="18"/>
  <c r="K1100" i="18"/>
  <c r="L1100" i="18"/>
  <c r="B1101" i="18"/>
  <c r="C1101" i="18"/>
  <c r="D1101" i="18"/>
  <c r="E1101" i="18"/>
  <c r="F1101" i="18"/>
  <c r="G1101" i="18"/>
  <c r="H1101" i="18"/>
  <c r="I1101" i="18"/>
  <c r="J1101" i="18"/>
  <c r="K1101" i="18"/>
  <c r="L1101" i="18"/>
  <c r="B1102" i="18"/>
  <c r="C1102" i="18"/>
  <c r="D1102" i="18"/>
  <c r="E1102" i="18"/>
  <c r="F1102" i="18"/>
  <c r="G1102" i="18"/>
  <c r="H1102" i="18"/>
  <c r="I1102" i="18"/>
  <c r="J1102" i="18"/>
  <c r="K1102" i="18"/>
  <c r="L1102" i="18"/>
  <c r="B1103" i="18"/>
  <c r="C1103" i="18"/>
  <c r="D1103" i="18"/>
  <c r="E1103" i="18"/>
  <c r="F1103" i="18"/>
  <c r="G1103" i="18"/>
  <c r="H1103" i="18"/>
  <c r="I1103" i="18"/>
  <c r="J1103" i="18"/>
  <c r="K1103" i="18"/>
  <c r="L1103" i="18"/>
  <c r="B1104" i="18"/>
  <c r="C1104" i="18"/>
  <c r="D1104" i="18"/>
  <c r="E1104" i="18"/>
  <c r="F1104" i="18"/>
  <c r="G1104" i="18"/>
  <c r="H1104" i="18"/>
  <c r="I1104" i="18"/>
  <c r="J1104" i="18"/>
  <c r="K1104" i="18"/>
  <c r="L1104" i="18"/>
  <c r="B1105" i="18"/>
  <c r="C1105" i="18"/>
  <c r="D1105" i="18"/>
  <c r="E1105" i="18"/>
  <c r="F1105" i="18"/>
  <c r="G1105" i="18"/>
  <c r="H1105" i="18"/>
  <c r="I1105" i="18"/>
  <c r="J1105" i="18"/>
  <c r="K1105" i="18"/>
  <c r="L1105" i="18"/>
  <c r="B1106" i="18"/>
  <c r="C1106" i="18"/>
  <c r="D1106" i="18"/>
  <c r="E1106" i="18"/>
  <c r="F1106" i="18"/>
  <c r="G1106" i="18"/>
  <c r="H1106" i="18"/>
  <c r="I1106" i="18"/>
  <c r="J1106" i="18"/>
  <c r="K1106" i="18"/>
  <c r="L1106" i="18"/>
  <c r="B1107" i="18"/>
  <c r="C1107" i="18"/>
  <c r="D1107" i="18"/>
  <c r="E1107" i="18"/>
  <c r="F1107" i="18"/>
  <c r="G1107" i="18"/>
  <c r="H1107" i="18"/>
  <c r="I1107" i="18"/>
  <c r="J1107" i="18"/>
  <c r="K1107" i="18"/>
  <c r="L1107" i="18"/>
  <c r="B1108" i="18"/>
  <c r="C1108" i="18"/>
  <c r="D1108" i="18"/>
  <c r="E1108" i="18"/>
  <c r="F1108" i="18"/>
  <c r="G1108" i="18"/>
  <c r="H1108" i="18"/>
  <c r="I1108" i="18"/>
  <c r="J1108" i="18"/>
  <c r="K1108" i="18"/>
  <c r="L1108" i="18"/>
  <c r="B1109" i="18"/>
  <c r="C1109" i="18"/>
  <c r="D1109" i="18"/>
  <c r="E1109" i="18"/>
  <c r="F1109" i="18"/>
  <c r="G1109" i="18"/>
  <c r="H1109" i="18"/>
  <c r="I1109" i="18"/>
  <c r="J1109" i="18"/>
  <c r="K1109" i="18"/>
  <c r="L1109" i="18"/>
  <c r="B1110" i="18"/>
  <c r="C1110" i="18"/>
  <c r="D1110" i="18"/>
  <c r="E1110" i="18"/>
  <c r="F1110" i="18"/>
  <c r="G1110" i="18"/>
  <c r="H1110" i="18"/>
  <c r="I1110" i="18"/>
  <c r="J1110" i="18"/>
  <c r="K1110" i="18"/>
  <c r="L1110" i="18"/>
  <c r="B1111" i="18"/>
  <c r="C1111" i="18"/>
  <c r="D1111" i="18"/>
  <c r="E1111" i="18"/>
  <c r="F1111" i="18"/>
  <c r="G1111" i="18"/>
  <c r="H1111" i="18"/>
  <c r="I1111" i="18"/>
  <c r="J1111" i="18"/>
  <c r="K1111" i="18"/>
  <c r="L1111" i="18"/>
  <c r="B1112" i="18"/>
  <c r="C1112" i="18"/>
  <c r="D1112" i="18"/>
  <c r="E1112" i="18"/>
  <c r="F1112" i="18"/>
  <c r="G1112" i="18"/>
  <c r="H1112" i="18"/>
  <c r="I1112" i="18"/>
  <c r="J1112" i="18"/>
  <c r="K1112" i="18"/>
  <c r="L1112" i="18"/>
  <c r="B1113" i="18"/>
  <c r="C1113" i="18"/>
  <c r="D1113" i="18"/>
  <c r="E1113" i="18"/>
  <c r="F1113" i="18"/>
  <c r="G1113" i="18"/>
  <c r="H1113" i="18"/>
  <c r="I1113" i="18"/>
  <c r="J1113" i="18"/>
  <c r="K1113" i="18"/>
  <c r="L1113" i="18"/>
  <c r="B1114" i="18"/>
  <c r="C1114" i="18"/>
  <c r="D1114" i="18"/>
  <c r="E1114" i="18"/>
  <c r="F1114" i="18"/>
  <c r="G1114" i="18"/>
  <c r="H1114" i="18"/>
  <c r="I1114" i="18"/>
  <c r="J1114" i="18"/>
  <c r="K1114" i="18"/>
  <c r="L1114" i="18"/>
  <c r="B1115" i="18"/>
  <c r="C1115" i="18"/>
  <c r="D1115" i="18"/>
  <c r="E1115" i="18"/>
  <c r="F1115" i="18"/>
  <c r="G1115" i="18"/>
  <c r="H1115" i="18"/>
  <c r="I1115" i="18"/>
  <c r="J1115" i="18"/>
  <c r="K1115" i="18"/>
  <c r="L1115" i="18"/>
  <c r="B1116" i="18"/>
  <c r="C1116" i="18"/>
  <c r="D1116" i="18"/>
  <c r="E1116" i="18"/>
  <c r="F1116" i="18"/>
  <c r="G1116" i="18"/>
  <c r="H1116" i="18"/>
  <c r="I1116" i="18"/>
  <c r="J1116" i="18"/>
  <c r="K1116" i="18"/>
  <c r="L1116" i="18"/>
  <c r="B1117" i="18"/>
  <c r="C1117" i="18"/>
  <c r="D1117" i="18"/>
  <c r="E1117" i="18"/>
  <c r="F1117" i="18"/>
  <c r="G1117" i="18"/>
  <c r="H1117" i="18"/>
  <c r="I1117" i="18"/>
  <c r="J1117" i="18"/>
  <c r="K1117" i="18"/>
  <c r="L1117" i="18"/>
  <c r="B1118" i="18"/>
  <c r="C1118" i="18"/>
  <c r="D1118" i="18"/>
  <c r="E1118" i="18"/>
  <c r="F1118" i="18"/>
  <c r="G1118" i="18"/>
  <c r="H1118" i="18"/>
  <c r="I1118" i="18"/>
  <c r="J1118" i="18"/>
  <c r="K1118" i="18"/>
  <c r="L1118" i="18"/>
  <c r="B1119" i="18"/>
  <c r="C1119" i="18"/>
  <c r="D1119" i="18"/>
  <c r="E1119" i="18"/>
  <c r="F1119" i="18"/>
  <c r="G1119" i="18"/>
  <c r="H1119" i="18"/>
  <c r="I1119" i="18"/>
  <c r="J1119" i="18"/>
  <c r="K1119" i="18"/>
  <c r="L1119" i="18"/>
  <c r="B1120" i="18"/>
  <c r="C1120" i="18"/>
  <c r="D1120" i="18"/>
  <c r="E1120" i="18"/>
  <c r="F1120" i="18"/>
  <c r="G1120" i="18"/>
  <c r="H1120" i="18"/>
  <c r="I1120" i="18"/>
  <c r="J1120" i="18"/>
  <c r="K1120" i="18"/>
  <c r="L1120" i="18"/>
  <c r="B1121" i="18"/>
  <c r="C1121" i="18"/>
  <c r="D1121" i="18"/>
  <c r="E1121" i="18"/>
  <c r="F1121" i="18"/>
  <c r="G1121" i="18"/>
  <c r="H1121" i="18"/>
  <c r="I1121" i="18"/>
  <c r="J1121" i="18"/>
  <c r="K1121" i="18"/>
  <c r="L1121" i="18"/>
  <c r="B1122" i="18"/>
  <c r="C1122" i="18"/>
  <c r="D1122" i="18"/>
  <c r="E1122" i="18"/>
  <c r="F1122" i="18"/>
  <c r="G1122" i="18"/>
  <c r="H1122" i="18"/>
  <c r="I1122" i="18"/>
  <c r="J1122" i="18"/>
  <c r="K1122" i="18"/>
  <c r="L1122" i="18"/>
  <c r="B1123" i="18"/>
  <c r="C1123" i="18"/>
  <c r="D1123" i="18"/>
  <c r="E1123" i="18"/>
  <c r="F1123" i="18"/>
  <c r="G1123" i="18"/>
  <c r="H1123" i="18"/>
  <c r="I1123" i="18"/>
  <c r="J1123" i="18"/>
  <c r="K1123" i="18"/>
  <c r="L1123" i="18"/>
  <c r="B1124" i="18"/>
  <c r="C1124" i="18"/>
  <c r="D1124" i="18"/>
  <c r="E1124" i="18"/>
  <c r="F1124" i="18"/>
  <c r="G1124" i="18"/>
  <c r="H1124" i="18"/>
  <c r="I1124" i="18"/>
  <c r="J1124" i="18"/>
  <c r="K1124" i="18"/>
  <c r="L1124" i="18"/>
  <c r="B1125" i="18"/>
  <c r="C1125" i="18"/>
  <c r="D1125" i="18"/>
  <c r="E1125" i="18"/>
  <c r="F1125" i="18"/>
  <c r="G1125" i="18"/>
  <c r="H1125" i="18"/>
  <c r="I1125" i="18"/>
  <c r="J1125" i="18"/>
  <c r="K1125" i="18"/>
  <c r="L1125" i="18"/>
  <c r="B1126" i="18"/>
  <c r="C1126" i="18"/>
  <c r="D1126" i="18"/>
  <c r="E1126" i="18"/>
  <c r="F1126" i="18"/>
  <c r="G1126" i="18"/>
  <c r="H1126" i="18"/>
  <c r="I1126" i="18"/>
  <c r="J1126" i="18"/>
  <c r="K1126" i="18"/>
  <c r="L1126" i="18"/>
  <c r="B1127" i="18"/>
  <c r="C1127" i="18"/>
  <c r="D1127" i="18"/>
  <c r="E1127" i="18"/>
  <c r="F1127" i="18"/>
  <c r="G1127" i="18"/>
  <c r="H1127" i="18"/>
  <c r="I1127" i="18"/>
  <c r="J1127" i="18"/>
  <c r="K1127" i="18"/>
  <c r="L1127" i="18"/>
  <c r="B1128" i="18"/>
  <c r="C1128" i="18"/>
  <c r="D1128" i="18"/>
  <c r="E1128" i="18"/>
  <c r="F1128" i="18"/>
  <c r="G1128" i="18"/>
  <c r="H1128" i="18"/>
  <c r="I1128" i="18"/>
  <c r="J1128" i="18"/>
  <c r="K1128" i="18"/>
  <c r="L1128" i="18"/>
  <c r="B1129" i="18"/>
  <c r="C1129" i="18"/>
  <c r="D1129" i="18"/>
  <c r="E1129" i="18"/>
  <c r="F1129" i="18"/>
  <c r="G1129" i="18"/>
  <c r="H1129" i="18"/>
  <c r="I1129" i="18"/>
  <c r="J1129" i="18"/>
  <c r="K1129" i="18"/>
  <c r="L1129" i="18"/>
  <c r="B1130" i="18"/>
  <c r="C1130" i="18"/>
  <c r="D1130" i="18"/>
  <c r="E1130" i="18"/>
  <c r="F1130" i="18"/>
  <c r="G1130" i="18"/>
  <c r="H1130" i="18"/>
  <c r="I1130" i="18"/>
  <c r="J1130" i="18"/>
  <c r="K1130" i="18"/>
  <c r="L1130" i="18"/>
  <c r="B1131" i="18"/>
  <c r="C1131" i="18"/>
  <c r="D1131" i="18"/>
  <c r="E1131" i="18"/>
  <c r="F1131" i="18"/>
  <c r="G1131" i="18"/>
  <c r="H1131" i="18"/>
  <c r="I1131" i="18"/>
  <c r="J1131" i="18"/>
  <c r="K1131" i="18"/>
  <c r="L1131" i="18"/>
  <c r="B1132" i="18"/>
  <c r="C1132" i="18"/>
  <c r="D1132" i="18"/>
  <c r="E1132" i="18"/>
  <c r="F1132" i="18"/>
  <c r="G1132" i="18"/>
  <c r="H1132" i="18"/>
  <c r="I1132" i="18"/>
  <c r="J1132" i="18"/>
  <c r="K1132" i="18"/>
  <c r="L1132" i="18"/>
  <c r="B1133" i="18"/>
  <c r="C1133" i="18"/>
  <c r="D1133" i="18"/>
  <c r="E1133" i="18"/>
  <c r="F1133" i="18"/>
  <c r="G1133" i="18"/>
  <c r="H1133" i="18"/>
  <c r="I1133" i="18"/>
  <c r="J1133" i="18"/>
  <c r="K1133" i="18"/>
  <c r="L1133" i="18"/>
  <c r="B1134" i="18"/>
  <c r="C1134" i="18"/>
  <c r="D1134" i="18"/>
  <c r="E1134" i="18"/>
  <c r="F1134" i="18"/>
  <c r="G1134" i="18"/>
  <c r="H1134" i="18"/>
  <c r="I1134" i="18"/>
  <c r="J1134" i="18"/>
  <c r="K1134" i="18"/>
  <c r="L1134" i="18"/>
  <c r="B1135" i="18"/>
  <c r="C1135" i="18"/>
  <c r="D1135" i="18"/>
  <c r="E1135" i="18"/>
  <c r="F1135" i="18"/>
  <c r="G1135" i="18"/>
  <c r="H1135" i="18"/>
  <c r="I1135" i="18"/>
  <c r="J1135" i="18"/>
  <c r="K1135" i="18"/>
  <c r="L1135" i="18"/>
  <c r="B1136" i="18"/>
  <c r="C1136" i="18"/>
  <c r="D1136" i="18"/>
  <c r="E1136" i="18"/>
  <c r="F1136" i="18"/>
  <c r="G1136" i="18"/>
  <c r="H1136" i="18"/>
  <c r="I1136" i="18"/>
  <c r="J1136" i="18"/>
  <c r="K1136" i="18"/>
  <c r="L1136" i="18"/>
  <c r="B1137" i="18"/>
  <c r="C1137" i="18"/>
  <c r="D1137" i="18"/>
  <c r="E1137" i="18"/>
  <c r="F1137" i="18"/>
  <c r="G1137" i="18"/>
  <c r="H1137" i="18"/>
  <c r="I1137" i="18"/>
  <c r="J1137" i="18"/>
  <c r="K1137" i="18"/>
  <c r="L1137" i="18"/>
  <c r="B1138" i="18"/>
  <c r="C1138" i="18"/>
  <c r="D1138" i="18"/>
  <c r="E1138" i="18"/>
  <c r="F1138" i="18"/>
  <c r="G1138" i="18"/>
  <c r="H1138" i="18"/>
  <c r="I1138" i="18"/>
  <c r="J1138" i="18"/>
  <c r="K1138" i="18"/>
  <c r="L1138" i="18"/>
  <c r="B1139" i="18"/>
  <c r="C1139" i="18"/>
  <c r="D1139" i="18"/>
  <c r="E1139" i="18"/>
  <c r="F1139" i="18"/>
  <c r="G1139" i="18"/>
  <c r="H1139" i="18"/>
  <c r="I1139" i="18"/>
  <c r="J1139" i="18"/>
  <c r="K1139" i="18"/>
  <c r="L1139" i="18"/>
  <c r="B1140" i="18"/>
  <c r="C1140" i="18"/>
  <c r="D1140" i="18"/>
  <c r="E1140" i="18"/>
  <c r="F1140" i="18"/>
  <c r="G1140" i="18"/>
  <c r="H1140" i="18"/>
  <c r="I1140" i="18"/>
  <c r="J1140" i="18"/>
  <c r="K1140" i="18"/>
  <c r="L1140" i="18"/>
  <c r="B1141" i="18"/>
  <c r="C1141" i="18"/>
  <c r="D1141" i="18"/>
  <c r="E1141" i="18"/>
  <c r="F1141" i="18"/>
  <c r="G1141" i="18"/>
  <c r="H1141" i="18"/>
  <c r="I1141" i="18"/>
  <c r="J1141" i="18"/>
  <c r="K1141" i="18"/>
  <c r="L1141" i="18"/>
  <c r="B1142" i="18"/>
  <c r="C1142" i="18"/>
  <c r="D1142" i="18"/>
  <c r="E1142" i="18"/>
  <c r="F1142" i="18"/>
  <c r="G1142" i="18"/>
  <c r="H1142" i="18"/>
  <c r="I1142" i="18"/>
  <c r="J1142" i="18"/>
  <c r="K1142" i="18"/>
  <c r="L1142" i="18"/>
  <c r="B1143" i="18"/>
  <c r="C1143" i="18"/>
  <c r="D1143" i="18"/>
  <c r="E1143" i="18"/>
  <c r="F1143" i="18"/>
  <c r="G1143" i="18"/>
  <c r="H1143" i="18"/>
  <c r="I1143" i="18"/>
  <c r="J1143" i="18"/>
  <c r="K1143" i="18"/>
  <c r="L1143" i="18"/>
  <c r="B1144" i="18"/>
  <c r="C1144" i="18"/>
  <c r="D1144" i="18"/>
  <c r="E1144" i="18"/>
  <c r="F1144" i="18"/>
  <c r="G1144" i="18"/>
  <c r="H1144" i="18"/>
  <c r="I1144" i="18"/>
  <c r="J1144" i="18"/>
  <c r="K1144" i="18"/>
  <c r="L1144" i="18"/>
  <c r="B1145" i="18"/>
  <c r="C1145" i="18"/>
  <c r="D1145" i="18"/>
  <c r="E1145" i="18"/>
  <c r="F1145" i="18"/>
  <c r="G1145" i="18"/>
  <c r="H1145" i="18"/>
  <c r="I1145" i="18"/>
  <c r="J1145" i="18"/>
  <c r="K1145" i="18"/>
  <c r="L1145" i="18"/>
  <c r="B1146" i="18"/>
  <c r="C1146" i="18"/>
  <c r="D1146" i="18"/>
  <c r="E1146" i="18"/>
  <c r="F1146" i="18"/>
  <c r="G1146" i="18"/>
  <c r="H1146" i="18"/>
  <c r="I1146" i="18"/>
  <c r="J1146" i="18"/>
  <c r="K1146" i="18"/>
  <c r="L1146" i="18"/>
  <c r="B1147" i="18"/>
  <c r="C1147" i="18"/>
  <c r="D1147" i="18"/>
  <c r="E1147" i="18"/>
  <c r="F1147" i="18"/>
  <c r="G1147" i="18"/>
  <c r="H1147" i="18"/>
  <c r="I1147" i="18"/>
  <c r="J1147" i="18"/>
  <c r="K1147" i="18"/>
  <c r="L1147" i="18"/>
  <c r="B1148" i="18"/>
  <c r="C1148" i="18"/>
  <c r="D1148" i="18"/>
  <c r="E1148" i="18"/>
  <c r="F1148" i="18"/>
  <c r="G1148" i="18"/>
  <c r="H1148" i="18"/>
  <c r="I1148" i="18"/>
  <c r="J1148" i="18"/>
  <c r="K1148" i="18"/>
  <c r="L1148" i="18"/>
  <c r="B1149" i="18"/>
  <c r="C1149" i="18"/>
  <c r="D1149" i="18"/>
  <c r="E1149" i="18"/>
  <c r="F1149" i="18"/>
  <c r="G1149" i="18"/>
  <c r="H1149" i="18"/>
  <c r="I1149" i="18"/>
  <c r="J1149" i="18"/>
  <c r="K1149" i="18"/>
  <c r="L1149" i="18"/>
  <c r="B1150" i="18"/>
  <c r="C1150" i="18"/>
  <c r="D1150" i="18"/>
  <c r="E1150" i="18"/>
  <c r="F1150" i="18"/>
  <c r="G1150" i="18"/>
  <c r="H1150" i="18"/>
  <c r="I1150" i="18"/>
  <c r="J1150" i="18"/>
  <c r="K1150" i="18"/>
  <c r="L1150" i="18"/>
  <c r="B1151" i="18"/>
  <c r="C1151" i="18"/>
  <c r="D1151" i="18"/>
  <c r="E1151" i="18"/>
  <c r="F1151" i="18"/>
  <c r="G1151" i="18"/>
  <c r="H1151" i="18"/>
  <c r="I1151" i="18"/>
  <c r="J1151" i="18"/>
  <c r="K1151" i="18"/>
  <c r="L1151" i="18"/>
  <c r="B1152" i="18"/>
  <c r="C1152" i="18"/>
  <c r="D1152" i="18"/>
  <c r="E1152" i="18"/>
  <c r="F1152" i="18"/>
  <c r="G1152" i="18"/>
  <c r="H1152" i="18"/>
  <c r="I1152" i="18"/>
  <c r="J1152" i="18"/>
  <c r="K1152" i="18"/>
  <c r="L1152" i="18"/>
  <c r="B1153" i="18"/>
  <c r="C1153" i="18"/>
  <c r="D1153" i="18"/>
  <c r="E1153" i="18"/>
  <c r="F1153" i="18"/>
  <c r="G1153" i="18"/>
  <c r="H1153" i="18"/>
  <c r="I1153" i="18"/>
  <c r="J1153" i="18"/>
  <c r="K1153" i="18"/>
  <c r="L1153" i="18"/>
  <c r="B1154" i="18"/>
  <c r="C1154" i="18"/>
  <c r="D1154" i="18"/>
  <c r="E1154" i="18"/>
  <c r="F1154" i="18"/>
  <c r="G1154" i="18"/>
  <c r="H1154" i="18"/>
  <c r="I1154" i="18"/>
  <c r="J1154" i="18"/>
  <c r="K1154" i="18"/>
  <c r="L1154" i="18"/>
  <c r="B1155" i="18"/>
  <c r="C1155" i="18"/>
  <c r="D1155" i="18"/>
  <c r="E1155" i="18"/>
  <c r="F1155" i="18"/>
  <c r="G1155" i="18"/>
  <c r="H1155" i="18"/>
  <c r="I1155" i="18"/>
  <c r="J1155" i="18"/>
  <c r="K1155" i="18"/>
  <c r="L1155" i="18"/>
  <c r="B1156" i="18"/>
  <c r="C1156" i="18"/>
  <c r="D1156" i="18"/>
  <c r="E1156" i="18"/>
  <c r="F1156" i="18"/>
  <c r="G1156" i="18"/>
  <c r="H1156" i="18"/>
  <c r="I1156" i="18"/>
  <c r="J1156" i="18"/>
  <c r="K1156" i="18"/>
  <c r="L1156" i="18"/>
  <c r="B1157" i="18"/>
  <c r="C1157" i="18"/>
  <c r="D1157" i="18"/>
  <c r="E1157" i="18"/>
  <c r="F1157" i="18"/>
  <c r="G1157" i="18"/>
  <c r="H1157" i="18"/>
  <c r="I1157" i="18"/>
  <c r="J1157" i="18"/>
  <c r="K1157" i="18"/>
  <c r="L1157" i="18"/>
  <c r="B1158" i="18"/>
  <c r="C1158" i="18"/>
  <c r="D1158" i="18"/>
  <c r="E1158" i="18"/>
  <c r="F1158" i="18"/>
  <c r="G1158" i="18"/>
  <c r="H1158" i="18"/>
  <c r="I1158" i="18"/>
  <c r="J1158" i="18"/>
  <c r="K1158" i="18"/>
  <c r="L1158" i="18"/>
  <c r="B1159" i="18"/>
  <c r="C1159" i="18"/>
  <c r="D1159" i="18"/>
  <c r="E1159" i="18"/>
  <c r="F1159" i="18"/>
  <c r="G1159" i="18"/>
  <c r="H1159" i="18"/>
  <c r="I1159" i="18"/>
  <c r="J1159" i="18"/>
  <c r="K1159" i="18"/>
  <c r="L1159" i="18"/>
  <c r="B1160" i="18"/>
  <c r="C1160" i="18"/>
  <c r="D1160" i="18"/>
  <c r="E1160" i="18"/>
  <c r="F1160" i="18"/>
  <c r="G1160" i="18"/>
  <c r="H1160" i="18"/>
  <c r="I1160" i="18"/>
  <c r="J1160" i="18"/>
  <c r="K1160" i="18"/>
  <c r="L1160" i="18"/>
  <c r="B1161" i="18"/>
  <c r="C1161" i="18"/>
  <c r="D1161" i="18"/>
  <c r="E1161" i="18"/>
  <c r="F1161" i="18"/>
  <c r="G1161" i="18"/>
  <c r="H1161" i="18"/>
  <c r="I1161" i="18"/>
  <c r="J1161" i="18"/>
  <c r="K1161" i="18"/>
  <c r="L1161" i="18"/>
  <c r="B1162" i="18"/>
  <c r="C1162" i="18"/>
  <c r="D1162" i="18"/>
  <c r="E1162" i="18"/>
  <c r="F1162" i="18"/>
  <c r="G1162" i="18"/>
  <c r="H1162" i="18"/>
  <c r="I1162" i="18"/>
  <c r="J1162" i="18"/>
  <c r="K1162" i="18"/>
  <c r="L1162" i="18"/>
  <c r="B1163" i="18"/>
  <c r="C1163" i="18"/>
  <c r="D1163" i="18"/>
  <c r="E1163" i="18"/>
  <c r="F1163" i="18"/>
  <c r="G1163" i="18"/>
  <c r="H1163" i="18"/>
  <c r="I1163" i="18"/>
  <c r="J1163" i="18"/>
  <c r="K1163" i="18"/>
  <c r="L1163" i="18"/>
  <c r="B1164" i="18"/>
  <c r="C1164" i="18"/>
  <c r="D1164" i="18"/>
  <c r="E1164" i="18"/>
  <c r="F1164" i="18"/>
  <c r="G1164" i="18"/>
  <c r="H1164" i="18"/>
  <c r="I1164" i="18"/>
  <c r="J1164" i="18"/>
  <c r="K1164" i="18"/>
  <c r="L1164" i="18"/>
  <c r="B1165" i="18"/>
  <c r="C1165" i="18"/>
  <c r="D1165" i="18"/>
  <c r="E1165" i="18"/>
  <c r="F1165" i="18"/>
  <c r="G1165" i="18"/>
  <c r="H1165" i="18"/>
  <c r="I1165" i="18"/>
  <c r="J1165" i="18"/>
  <c r="K1165" i="18"/>
  <c r="L1165" i="18"/>
  <c r="B1166" i="18"/>
  <c r="C1166" i="18"/>
  <c r="D1166" i="18"/>
  <c r="E1166" i="18"/>
  <c r="F1166" i="18"/>
  <c r="G1166" i="18"/>
  <c r="H1166" i="18"/>
  <c r="I1166" i="18"/>
  <c r="J1166" i="18"/>
  <c r="K1166" i="18"/>
  <c r="L1166" i="18"/>
  <c r="B1167" i="18"/>
  <c r="C1167" i="18"/>
  <c r="D1167" i="18"/>
  <c r="E1167" i="18"/>
  <c r="F1167" i="18"/>
  <c r="G1167" i="18"/>
  <c r="H1167" i="18"/>
  <c r="I1167" i="18"/>
  <c r="J1167" i="18"/>
  <c r="K1167" i="18"/>
  <c r="L1167" i="18"/>
  <c r="B1168" i="18"/>
  <c r="C1168" i="18"/>
  <c r="D1168" i="18"/>
  <c r="E1168" i="18"/>
  <c r="F1168" i="18"/>
  <c r="G1168" i="18"/>
  <c r="H1168" i="18"/>
  <c r="I1168" i="18"/>
  <c r="J1168" i="18"/>
  <c r="K1168" i="18"/>
  <c r="L1168" i="18"/>
  <c r="B1169" i="18"/>
  <c r="C1169" i="18"/>
  <c r="D1169" i="18"/>
  <c r="E1169" i="18"/>
  <c r="F1169" i="18"/>
  <c r="G1169" i="18"/>
  <c r="H1169" i="18"/>
  <c r="I1169" i="18"/>
  <c r="J1169" i="18"/>
  <c r="K1169" i="18"/>
  <c r="L1169" i="18"/>
  <c r="B1170" i="18"/>
  <c r="C1170" i="18"/>
  <c r="D1170" i="18"/>
  <c r="E1170" i="18"/>
  <c r="F1170" i="18"/>
  <c r="G1170" i="18"/>
  <c r="H1170" i="18"/>
  <c r="I1170" i="18"/>
  <c r="J1170" i="18"/>
  <c r="K1170" i="18"/>
  <c r="L1170" i="18"/>
  <c r="B1171" i="18"/>
  <c r="C1171" i="18"/>
  <c r="D1171" i="18"/>
  <c r="E1171" i="18"/>
  <c r="F1171" i="18"/>
  <c r="G1171" i="18"/>
  <c r="H1171" i="18"/>
  <c r="I1171" i="18"/>
  <c r="J1171" i="18"/>
  <c r="K1171" i="18"/>
  <c r="L1171" i="18"/>
  <c r="B1172" i="18"/>
  <c r="C1172" i="18"/>
  <c r="D1172" i="18"/>
  <c r="E1172" i="18"/>
  <c r="F1172" i="18"/>
  <c r="G1172" i="18"/>
  <c r="H1172" i="18"/>
  <c r="I1172" i="18"/>
  <c r="J1172" i="18"/>
  <c r="K1172" i="18"/>
  <c r="L1172" i="18"/>
  <c r="B1173" i="18"/>
  <c r="C1173" i="18"/>
  <c r="D1173" i="18"/>
  <c r="E1173" i="18"/>
  <c r="F1173" i="18"/>
  <c r="G1173" i="18"/>
  <c r="H1173" i="18"/>
  <c r="I1173" i="18"/>
  <c r="J1173" i="18"/>
  <c r="K1173" i="18"/>
  <c r="L1173" i="18"/>
  <c r="B1174" i="18"/>
  <c r="C1174" i="18"/>
  <c r="D1174" i="18"/>
  <c r="E1174" i="18"/>
  <c r="F1174" i="18"/>
  <c r="G1174" i="18"/>
  <c r="H1174" i="18"/>
  <c r="I1174" i="18"/>
  <c r="J1174" i="18"/>
  <c r="K1174" i="18"/>
  <c r="L1174" i="18"/>
  <c r="B1175" i="18"/>
  <c r="C1175" i="18"/>
  <c r="D1175" i="18"/>
  <c r="E1175" i="18"/>
  <c r="F1175" i="18"/>
  <c r="G1175" i="18"/>
  <c r="H1175" i="18"/>
  <c r="I1175" i="18"/>
  <c r="J1175" i="18"/>
  <c r="K1175" i="18"/>
  <c r="L1175" i="18"/>
  <c r="B1176" i="18"/>
  <c r="C1176" i="18"/>
  <c r="D1176" i="18"/>
  <c r="E1176" i="18"/>
  <c r="F1176" i="18"/>
  <c r="G1176" i="18"/>
  <c r="H1176" i="18"/>
  <c r="I1176" i="18"/>
  <c r="J1176" i="18"/>
  <c r="K1176" i="18"/>
  <c r="L1176" i="18"/>
  <c r="B1177" i="18"/>
  <c r="C1177" i="18"/>
  <c r="D1177" i="18"/>
  <c r="E1177" i="18"/>
  <c r="F1177" i="18"/>
  <c r="G1177" i="18"/>
  <c r="H1177" i="18"/>
  <c r="I1177" i="18"/>
  <c r="J1177" i="18"/>
  <c r="K1177" i="18"/>
  <c r="L1177" i="18"/>
  <c r="B1178" i="18"/>
  <c r="C1178" i="18"/>
  <c r="D1178" i="18"/>
  <c r="E1178" i="18"/>
  <c r="F1178" i="18"/>
  <c r="G1178" i="18"/>
  <c r="H1178" i="18"/>
  <c r="I1178" i="18"/>
  <c r="J1178" i="18"/>
  <c r="K1178" i="18"/>
  <c r="L1178" i="18"/>
  <c r="B1179" i="18"/>
  <c r="C1179" i="18"/>
  <c r="D1179" i="18"/>
  <c r="E1179" i="18"/>
  <c r="F1179" i="18"/>
  <c r="G1179" i="18"/>
  <c r="H1179" i="18"/>
  <c r="I1179" i="18"/>
  <c r="J1179" i="18"/>
  <c r="K1179" i="18"/>
  <c r="L1179" i="18"/>
  <c r="B1180" i="18"/>
  <c r="C1180" i="18"/>
  <c r="D1180" i="18"/>
  <c r="E1180" i="18"/>
  <c r="F1180" i="18"/>
  <c r="G1180" i="18"/>
  <c r="H1180" i="18"/>
  <c r="I1180" i="18"/>
  <c r="J1180" i="18"/>
  <c r="K1180" i="18"/>
  <c r="L1180" i="18"/>
  <c r="B1181" i="18"/>
  <c r="C1181" i="18"/>
  <c r="D1181" i="18"/>
  <c r="E1181" i="18"/>
  <c r="F1181" i="18"/>
  <c r="G1181" i="18"/>
  <c r="H1181" i="18"/>
  <c r="I1181" i="18"/>
  <c r="J1181" i="18"/>
  <c r="K1181" i="18"/>
  <c r="L1181" i="18"/>
  <c r="B1182" i="18"/>
  <c r="C1182" i="18"/>
  <c r="D1182" i="18"/>
  <c r="E1182" i="18"/>
  <c r="F1182" i="18"/>
  <c r="G1182" i="18"/>
  <c r="H1182" i="18"/>
  <c r="I1182" i="18"/>
  <c r="J1182" i="18"/>
  <c r="K1182" i="18"/>
  <c r="L1182" i="18"/>
  <c r="B1183" i="18"/>
  <c r="C1183" i="18"/>
  <c r="D1183" i="18"/>
  <c r="E1183" i="18"/>
  <c r="F1183" i="18"/>
  <c r="G1183" i="18"/>
  <c r="H1183" i="18"/>
  <c r="I1183" i="18"/>
  <c r="J1183" i="18"/>
  <c r="K1183" i="18"/>
  <c r="L1183" i="18"/>
  <c r="B1184" i="18"/>
  <c r="C1184" i="18"/>
  <c r="D1184" i="18"/>
  <c r="E1184" i="18"/>
  <c r="F1184" i="18"/>
  <c r="G1184" i="18"/>
  <c r="H1184" i="18"/>
  <c r="I1184" i="18"/>
  <c r="J1184" i="18"/>
  <c r="K1184" i="18"/>
  <c r="L1184" i="18"/>
  <c r="B1185" i="18"/>
  <c r="C1185" i="18"/>
  <c r="D1185" i="18"/>
  <c r="E1185" i="18"/>
  <c r="F1185" i="18"/>
  <c r="G1185" i="18"/>
  <c r="H1185" i="18"/>
  <c r="I1185" i="18"/>
  <c r="J1185" i="18"/>
  <c r="K1185" i="18"/>
  <c r="L1185" i="18"/>
  <c r="B1186" i="18"/>
  <c r="C1186" i="18"/>
  <c r="D1186" i="18"/>
  <c r="E1186" i="18"/>
  <c r="F1186" i="18"/>
  <c r="G1186" i="18"/>
  <c r="H1186" i="18"/>
  <c r="I1186" i="18"/>
  <c r="J1186" i="18"/>
  <c r="K1186" i="18"/>
  <c r="L1186" i="18"/>
  <c r="B1187" i="18"/>
  <c r="C1187" i="18"/>
  <c r="D1187" i="18"/>
  <c r="E1187" i="18"/>
  <c r="F1187" i="18"/>
  <c r="G1187" i="18"/>
  <c r="H1187" i="18"/>
  <c r="I1187" i="18"/>
  <c r="J1187" i="18"/>
  <c r="K1187" i="18"/>
  <c r="L1187" i="18"/>
  <c r="B1188" i="18"/>
  <c r="C1188" i="18"/>
  <c r="D1188" i="18"/>
  <c r="E1188" i="18"/>
  <c r="F1188" i="18"/>
  <c r="G1188" i="18"/>
  <c r="H1188" i="18"/>
  <c r="I1188" i="18"/>
  <c r="J1188" i="18"/>
  <c r="K1188" i="18"/>
  <c r="L1188" i="18"/>
  <c r="B1189" i="18"/>
  <c r="C1189" i="18"/>
  <c r="D1189" i="18"/>
  <c r="E1189" i="18"/>
  <c r="F1189" i="18"/>
  <c r="G1189" i="18"/>
  <c r="H1189" i="18"/>
  <c r="I1189" i="18"/>
  <c r="J1189" i="18"/>
  <c r="K1189" i="18"/>
  <c r="L1189" i="18"/>
  <c r="B1190" i="18"/>
  <c r="C1190" i="18"/>
  <c r="D1190" i="18"/>
  <c r="E1190" i="18"/>
  <c r="F1190" i="18"/>
  <c r="G1190" i="18"/>
  <c r="H1190" i="18"/>
  <c r="I1190" i="18"/>
  <c r="J1190" i="18"/>
  <c r="K1190" i="18"/>
  <c r="L1190" i="18"/>
  <c r="B1191" i="18"/>
  <c r="C1191" i="18"/>
  <c r="D1191" i="18"/>
  <c r="E1191" i="18"/>
  <c r="F1191" i="18"/>
  <c r="G1191" i="18"/>
  <c r="H1191" i="18"/>
  <c r="I1191" i="18"/>
  <c r="J1191" i="18"/>
  <c r="K1191" i="18"/>
  <c r="L1191" i="18"/>
  <c r="B1192" i="18"/>
  <c r="C1192" i="18"/>
  <c r="D1192" i="18"/>
  <c r="E1192" i="18"/>
  <c r="F1192" i="18"/>
  <c r="G1192" i="18"/>
  <c r="H1192" i="18"/>
  <c r="I1192" i="18"/>
  <c r="J1192" i="18"/>
  <c r="K1192" i="18"/>
  <c r="L1192" i="18"/>
  <c r="B1193" i="18"/>
  <c r="C1193" i="18"/>
  <c r="D1193" i="18"/>
  <c r="E1193" i="18"/>
  <c r="F1193" i="18"/>
  <c r="G1193" i="18"/>
  <c r="H1193" i="18"/>
  <c r="I1193" i="18"/>
  <c r="J1193" i="18"/>
  <c r="K1193" i="18"/>
  <c r="L1193" i="18"/>
  <c r="B1194" i="18"/>
  <c r="C1194" i="18"/>
  <c r="D1194" i="18"/>
  <c r="E1194" i="18"/>
  <c r="F1194" i="18"/>
  <c r="G1194" i="18"/>
  <c r="H1194" i="18"/>
  <c r="I1194" i="18"/>
  <c r="J1194" i="18"/>
  <c r="K1194" i="18"/>
  <c r="L1194" i="18"/>
  <c r="B1195" i="18"/>
  <c r="C1195" i="18"/>
  <c r="D1195" i="18"/>
  <c r="E1195" i="18"/>
  <c r="F1195" i="18"/>
  <c r="G1195" i="18"/>
  <c r="H1195" i="18"/>
  <c r="I1195" i="18"/>
  <c r="J1195" i="18"/>
  <c r="K1195" i="18"/>
  <c r="L1195" i="18"/>
  <c r="B1196" i="18"/>
  <c r="C1196" i="18"/>
  <c r="D1196" i="18"/>
  <c r="E1196" i="18"/>
  <c r="F1196" i="18"/>
  <c r="G1196" i="18"/>
  <c r="H1196" i="18"/>
  <c r="I1196" i="18"/>
  <c r="J1196" i="18"/>
  <c r="K1196" i="18"/>
  <c r="L1196" i="18"/>
  <c r="B1197" i="18"/>
  <c r="C1197" i="18"/>
  <c r="D1197" i="18"/>
  <c r="E1197" i="18"/>
  <c r="F1197" i="18"/>
  <c r="G1197" i="18"/>
  <c r="H1197" i="18"/>
  <c r="I1197" i="18"/>
  <c r="J1197" i="18"/>
  <c r="K1197" i="18"/>
  <c r="L1197" i="18"/>
  <c r="B1198" i="18"/>
  <c r="C1198" i="18"/>
  <c r="D1198" i="18"/>
  <c r="E1198" i="18"/>
  <c r="F1198" i="18"/>
  <c r="G1198" i="18"/>
  <c r="H1198" i="18"/>
  <c r="I1198" i="18"/>
  <c r="J1198" i="18"/>
  <c r="K1198" i="18"/>
  <c r="L1198" i="18"/>
  <c r="B1199" i="18"/>
  <c r="C1199" i="18"/>
  <c r="D1199" i="18"/>
  <c r="E1199" i="18"/>
  <c r="F1199" i="18"/>
  <c r="G1199" i="18"/>
  <c r="H1199" i="18"/>
  <c r="I1199" i="18"/>
  <c r="J1199" i="18"/>
  <c r="K1199" i="18"/>
  <c r="L1199" i="18"/>
  <c r="B1200" i="18"/>
  <c r="C1200" i="18"/>
  <c r="D1200" i="18"/>
  <c r="E1200" i="18"/>
  <c r="F1200" i="18"/>
  <c r="G1200" i="18"/>
  <c r="H1200" i="18"/>
  <c r="I1200" i="18"/>
  <c r="J1200" i="18"/>
  <c r="K1200" i="18"/>
  <c r="L1200" i="18"/>
  <c r="B1201" i="18"/>
  <c r="C1201" i="18"/>
  <c r="D1201" i="18"/>
  <c r="E1201" i="18"/>
  <c r="F1201" i="18"/>
  <c r="G1201" i="18"/>
  <c r="H1201" i="18"/>
  <c r="I1201" i="18"/>
  <c r="J1201" i="18"/>
  <c r="K1201" i="18"/>
  <c r="L1201" i="18"/>
  <c r="B1202" i="18"/>
  <c r="C1202" i="18"/>
  <c r="D1202" i="18"/>
  <c r="E1202" i="18"/>
  <c r="F1202" i="18"/>
  <c r="G1202" i="18"/>
  <c r="H1202" i="18"/>
  <c r="I1202" i="18"/>
  <c r="J1202" i="18"/>
  <c r="K1202" i="18"/>
  <c r="L1202" i="18"/>
  <c r="B1203" i="18"/>
  <c r="C1203" i="18"/>
  <c r="D1203" i="18"/>
  <c r="E1203" i="18"/>
  <c r="F1203" i="18"/>
  <c r="G1203" i="18"/>
  <c r="H1203" i="18"/>
  <c r="I1203" i="18"/>
  <c r="J1203" i="18"/>
  <c r="K1203" i="18"/>
  <c r="L1203" i="18"/>
  <c r="B1204" i="18"/>
  <c r="C1204" i="18"/>
  <c r="D1204" i="18"/>
  <c r="E1204" i="18"/>
  <c r="F1204" i="18"/>
  <c r="G1204" i="18"/>
  <c r="H1204" i="18"/>
  <c r="I1204" i="18"/>
  <c r="J1204" i="18"/>
  <c r="K1204" i="18"/>
  <c r="L1204" i="18"/>
  <c r="B1205" i="18"/>
  <c r="C1205" i="18"/>
  <c r="D1205" i="18"/>
  <c r="E1205" i="18"/>
  <c r="F1205" i="18"/>
  <c r="G1205" i="18"/>
  <c r="H1205" i="18"/>
  <c r="I1205" i="18"/>
  <c r="J1205" i="18"/>
  <c r="K1205" i="18"/>
  <c r="L1205" i="18"/>
  <c r="B1206" i="18"/>
  <c r="C1206" i="18"/>
  <c r="D1206" i="18"/>
  <c r="E1206" i="18"/>
  <c r="F1206" i="18"/>
  <c r="G1206" i="18"/>
  <c r="H1206" i="18"/>
  <c r="I1206" i="18"/>
  <c r="J1206" i="18"/>
  <c r="K1206" i="18"/>
  <c r="L1206" i="18"/>
  <c r="B1207" i="18"/>
  <c r="C1207" i="18"/>
  <c r="D1207" i="18"/>
  <c r="E1207" i="18"/>
  <c r="F1207" i="18"/>
  <c r="G1207" i="18"/>
  <c r="H1207" i="18"/>
  <c r="I1207" i="18"/>
  <c r="J1207" i="18"/>
  <c r="K1207" i="18"/>
  <c r="L1207" i="18"/>
  <c r="B1208" i="18"/>
  <c r="C1208" i="18"/>
  <c r="D1208" i="18"/>
  <c r="E1208" i="18"/>
  <c r="F1208" i="18"/>
  <c r="G1208" i="18"/>
  <c r="H1208" i="18"/>
  <c r="I1208" i="18"/>
  <c r="J1208" i="18"/>
  <c r="K1208" i="18"/>
  <c r="L1208" i="18"/>
  <c r="B1209" i="18"/>
  <c r="C1209" i="18"/>
  <c r="D1209" i="18"/>
  <c r="E1209" i="18"/>
  <c r="F1209" i="18"/>
  <c r="G1209" i="18"/>
  <c r="H1209" i="18"/>
  <c r="I1209" i="18"/>
  <c r="J1209" i="18"/>
  <c r="K1209" i="18"/>
  <c r="L1209" i="18"/>
  <c r="B1210" i="18"/>
  <c r="C1210" i="18"/>
  <c r="D1210" i="18"/>
  <c r="E1210" i="18"/>
  <c r="F1210" i="18"/>
  <c r="G1210" i="18"/>
  <c r="H1210" i="18"/>
  <c r="I1210" i="18"/>
  <c r="J1210" i="18"/>
  <c r="K1210" i="18"/>
  <c r="L1210" i="18"/>
  <c r="B1211" i="18"/>
  <c r="C1211" i="18"/>
  <c r="D1211" i="18"/>
  <c r="E1211" i="18"/>
  <c r="F1211" i="18"/>
  <c r="G1211" i="18"/>
  <c r="H1211" i="18"/>
  <c r="I1211" i="18"/>
  <c r="J1211" i="18"/>
  <c r="K1211" i="18"/>
  <c r="L1211" i="18"/>
  <c r="B1212" i="18"/>
  <c r="C1212" i="18"/>
  <c r="D1212" i="18"/>
  <c r="E1212" i="18"/>
  <c r="F1212" i="18"/>
  <c r="G1212" i="18"/>
  <c r="H1212" i="18"/>
  <c r="I1212" i="18"/>
  <c r="J1212" i="18"/>
  <c r="K1212" i="18"/>
  <c r="L1212" i="18"/>
  <c r="B1213" i="18"/>
  <c r="C1213" i="18"/>
  <c r="D1213" i="18"/>
  <c r="E1213" i="18"/>
  <c r="F1213" i="18"/>
  <c r="G1213" i="18"/>
  <c r="H1213" i="18"/>
  <c r="I1213" i="18"/>
  <c r="J1213" i="18"/>
  <c r="K1213" i="18"/>
  <c r="L1213" i="18"/>
  <c r="B1214" i="18"/>
  <c r="C1214" i="18"/>
  <c r="D1214" i="18"/>
  <c r="E1214" i="18"/>
  <c r="F1214" i="18"/>
  <c r="G1214" i="18"/>
  <c r="H1214" i="18"/>
  <c r="I1214" i="18"/>
  <c r="J1214" i="18"/>
  <c r="K1214" i="18"/>
  <c r="L1214" i="18"/>
  <c r="B1215" i="18"/>
  <c r="C1215" i="18"/>
  <c r="D1215" i="18"/>
  <c r="E1215" i="18"/>
  <c r="F1215" i="18"/>
  <c r="G1215" i="18"/>
  <c r="H1215" i="18"/>
  <c r="I1215" i="18"/>
  <c r="J1215" i="18"/>
  <c r="K1215" i="18"/>
  <c r="L1215" i="18"/>
  <c r="B1216" i="18"/>
  <c r="C1216" i="18"/>
  <c r="D1216" i="18"/>
  <c r="E1216" i="18"/>
  <c r="F1216" i="18"/>
  <c r="G1216" i="18"/>
  <c r="H1216" i="18"/>
  <c r="I1216" i="18"/>
  <c r="J1216" i="18"/>
  <c r="K1216" i="18"/>
  <c r="L1216" i="18"/>
  <c r="B1217" i="18"/>
  <c r="C1217" i="18"/>
  <c r="D1217" i="18"/>
  <c r="E1217" i="18"/>
  <c r="F1217" i="18"/>
  <c r="G1217" i="18"/>
  <c r="H1217" i="18"/>
  <c r="I1217" i="18"/>
  <c r="J1217" i="18"/>
  <c r="K1217" i="18"/>
  <c r="L1217" i="18"/>
  <c r="B1218" i="18"/>
  <c r="C1218" i="18"/>
  <c r="D1218" i="18"/>
  <c r="E1218" i="18"/>
  <c r="F1218" i="18"/>
  <c r="G1218" i="18"/>
  <c r="H1218" i="18"/>
  <c r="I1218" i="18"/>
  <c r="J1218" i="18"/>
  <c r="K1218" i="18"/>
  <c r="L1218" i="18"/>
  <c r="B1219" i="18"/>
  <c r="C1219" i="18"/>
  <c r="D1219" i="18"/>
  <c r="E1219" i="18"/>
  <c r="F1219" i="18"/>
  <c r="G1219" i="18"/>
  <c r="H1219" i="18"/>
  <c r="I1219" i="18"/>
  <c r="J1219" i="18"/>
  <c r="K1219" i="18"/>
  <c r="L1219" i="18"/>
  <c r="B1220" i="18"/>
  <c r="C1220" i="18"/>
  <c r="D1220" i="18"/>
  <c r="E1220" i="18"/>
  <c r="F1220" i="18"/>
  <c r="G1220" i="18"/>
  <c r="H1220" i="18"/>
  <c r="I1220" i="18"/>
  <c r="J1220" i="18"/>
  <c r="K1220" i="18"/>
  <c r="L1220" i="18"/>
  <c r="B1221" i="18"/>
  <c r="C1221" i="18"/>
  <c r="D1221" i="18"/>
  <c r="E1221" i="18"/>
  <c r="F1221" i="18"/>
  <c r="G1221" i="18"/>
  <c r="H1221" i="18"/>
  <c r="I1221" i="18"/>
  <c r="J1221" i="18"/>
  <c r="K1221" i="18"/>
  <c r="L1221" i="18"/>
  <c r="B1222" i="18"/>
  <c r="C1222" i="18"/>
  <c r="D1222" i="18"/>
  <c r="E1222" i="18"/>
  <c r="F1222" i="18"/>
  <c r="G1222" i="18"/>
  <c r="H1222" i="18"/>
  <c r="I1222" i="18"/>
  <c r="J1222" i="18"/>
  <c r="K1222" i="18"/>
  <c r="L1222" i="18"/>
  <c r="B1223" i="18"/>
  <c r="C1223" i="18"/>
  <c r="D1223" i="18"/>
  <c r="E1223" i="18"/>
  <c r="F1223" i="18"/>
  <c r="G1223" i="18"/>
  <c r="H1223" i="18"/>
  <c r="I1223" i="18"/>
  <c r="J1223" i="18"/>
  <c r="K1223" i="18"/>
  <c r="L1223" i="18"/>
  <c r="B1224" i="18"/>
  <c r="C1224" i="18"/>
  <c r="D1224" i="18"/>
  <c r="E1224" i="18"/>
  <c r="F1224" i="18"/>
  <c r="G1224" i="18"/>
  <c r="H1224" i="18"/>
  <c r="I1224" i="18"/>
  <c r="J1224" i="18"/>
  <c r="K1224" i="18"/>
  <c r="L1224" i="18"/>
  <c r="B1225" i="18"/>
  <c r="C1225" i="18"/>
  <c r="D1225" i="18"/>
  <c r="E1225" i="18"/>
  <c r="F1225" i="18"/>
  <c r="G1225" i="18"/>
  <c r="H1225" i="18"/>
  <c r="I1225" i="18"/>
  <c r="J1225" i="18"/>
  <c r="K1225" i="18"/>
  <c r="L1225" i="18"/>
  <c r="B1226" i="18"/>
  <c r="C1226" i="18"/>
  <c r="D1226" i="18"/>
  <c r="E1226" i="18"/>
  <c r="F1226" i="18"/>
  <c r="G1226" i="18"/>
  <c r="H1226" i="18"/>
  <c r="I1226" i="18"/>
  <c r="J1226" i="18"/>
  <c r="K1226" i="18"/>
  <c r="L1226" i="18"/>
  <c r="B1227" i="18"/>
  <c r="C1227" i="18"/>
  <c r="D1227" i="18"/>
  <c r="E1227" i="18"/>
  <c r="F1227" i="18"/>
  <c r="G1227" i="18"/>
  <c r="H1227" i="18"/>
  <c r="I1227" i="18"/>
  <c r="J1227" i="18"/>
  <c r="K1227" i="18"/>
  <c r="L1227" i="18"/>
  <c r="B1228" i="18"/>
  <c r="C1228" i="18"/>
  <c r="D1228" i="18"/>
  <c r="E1228" i="18"/>
  <c r="F1228" i="18"/>
  <c r="G1228" i="18"/>
  <c r="H1228" i="18"/>
  <c r="I1228" i="18"/>
  <c r="J1228" i="18"/>
  <c r="K1228" i="18"/>
  <c r="L1228" i="18"/>
  <c r="B1229" i="18"/>
  <c r="C1229" i="18"/>
  <c r="D1229" i="18"/>
  <c r="E1229" i="18"/>
  <c r="F1229" i="18"/>
  <c r="G1229" i="18"/>
  <c r="H1229" i="18"/>
  <c r="I1229" i="18"/>
  <c r="J1229" i="18"/>
  <c r="K1229" i="18"/>
  <c r="L1229" i="18"/>
  <c r="B1230" i="18"/>
  <c r="C1230" i="18"/>
  <c r="D1230" i="18"/>
  <c r="E1230" i="18"/>
  <c r="F1230" i="18"/>
  <c r="G1230" i="18"/>
  <c r="H1230" i="18"/>
  <c r="I1230" i="18"/>
  <c r="J1230" i="18"/>
  <c r="K1230" i="18"/>
  <c r="L1230" i="18"/>
  <c r="B1231" i="18"/>
  <c r="C1231" i="18"/>
  <c r="D1231" i="18"/>
  <c r="E1231" i="18"/>
  <c r="F1231" i="18"/>
  <c r="G1231" i="18"/>
  <c r="H1231" i="18"/>
  <c r="I1231" i="18"/>
  <c r="J1231" i="18"/>
  <c r="K1231" i="18"/>
  <c r="L1231" i="18"/>
  <c r="B1232" i="18"/>
  <c r="C1232" i="18"/>
  <c r="D1232" i="18"/>
  <c r="E1232" i="18"/>
  <c r="F1232" i="18"/>
  <c r="G1232" i="18"/>
  <c r="H1232" i="18"/>
  <c r="I1232" i="18"/>
  <c r="J1232" i="18"/>
  <c r="K1232" i="18"/>
  <c r="L1232" i="18"/>
  <c r="B1233" i="18"/>
  <c r="C1233" i="18"/>
  <c r="D1233" i="18"/>
  <c r="E1233" i="18"/>
  <c r="F1233" i="18"/>
  <c r="G1233" i="18"/>
  <c r="H1233" i="18"/>
  <c r="I1233" i="18"/>
  <c r="J1233" i="18"/>
  <c r="K1233" i="18"/>
  <c r="L1233" i="18"/>
  <c r="B1234" i="18"/>
  <c r="C1234" i="18"/>
  <c r="D1234" i="18"/>
  <c r="E1234" i="18"/>
  <c r="F1234" i="18"/>
  <c r="G1234" i="18"/>
  <c r="H1234" i="18"/>
  <c r="I1234" i="18"/>
  <c r="J1234" i="18"/>
  <c r="K1234" i="18"/>
  <c r="L1234" i="18"/>
  <c r="B1235" i="18"/>
  <c r="C1235" i="18"/>
  <c r="D1235" i="18"/>
  <c r="E1235" i="18"/>
  <c r="F1235" i="18"/>
  <c r="G1235" i="18"/>
  <c r="H1235" i="18"/>
  <c r="I1235" i="18"/>
  <c r="J1235" i="18"/>
  <c r="K1235" i="18"/>
  <c r="L1235" i="18"/>
  <c r="B1236" i="18"/>
  <c r="C1236" i="18"/>
  <c r="D1236" i="18"/>
  <c r="E1236" i="18"/>
  <c r="F1236" i="18"/>
  <c r="G1236" i="18"/>
  <c r="H1236" i="18"/>
  <c r="I1236" i="18"/>
  <c r="J1236" i="18"/>
  <c r="K1236" i="18"/>
  <c r="L1236" i="18"/>
  <c r="B1237" i="18"/>
  <c r="C1237" i="18"/>
  <c r="D1237" i="18"/>
  <c r="E1237" i="18"/>
  <c r="F1237" i="18"/>
  <c r="G1237" i="18"/>
  <c r="H1237" i="18"/>
  <c r="I1237" i="18"/>
  <c r="J1237" i="18"/>
  <c r="K1237" i="18"/>
  <c r="L1237" i="18"/>
  <c r="B1238" i="18"/>
  <c r="C1238" i="18"/>
  <c r="D1238" i="18"/>
  <c r="E1238" i="18"/>
  <c r="F1238" i="18"/>
  <c r="G1238" i="18"/>
  <c r="H1238" i="18"/>
  <c r="I1238" i="18"/>
  <c r="J1238" i="18"/>
  <c r="K1238" i="18"/>
  <c r="L1238" i="18"/>
  <c r="B1239" i="18"/>
  <c r="C1239" i="18"/>
  <c r="D1239" i="18"/>
  <c r="E1239" i="18"/>
  <c r="F1239" i="18"/>
  <c r="G1239" i="18"/>
  <c r="H1239" i="18"/>
  <c r="I1239" i="18"/>
  <c r="J1239" i="18"/>
  <c r="K1239" i="18"/>
  <c r="L1239" i="18"/>
  <c r="B1240" i="18"/>
  <c r="C1240" i="18"/>
  <c r="D1240" i="18"/>
  <c r="E1240" i="18"/>
  <c r="F1240" i="18"/>
  <c r="G1240" i="18"/>
  <c r="H1240" i="18"/>
  <c r="I1240" i="18"/>
  <c r="J1240" i="18"/>
  <c r="K1240" i="18"/>
  <c r="L1240" i="18"/>
  <c r="B1241" i="18"/>
  <c r="C1241" i="18"/>
  <c r="D1241" i="18"/>
  <c r="E1241" i="18"/>
  <c r="F1241" i="18"/>
  <c r="G1241" i="18"/>
  <c r="H1241" i="18"/>
  <c r="I1241" i="18"/>
  <c r="J1241" i="18"/>
  <c r="K1241" i="18"/>
  <c r="L1241" i="18"/>
  <c r="B1242" i="18"/>
  <c r="C1242" i="18"/>
  <c r="D1242" i="18"/>
  <c r="E1242" i="18"/>
  <c r="F1242" i="18"/>
  <c r="G1242" i="18"/>
  <c r="H1242" i="18"/>
  <c r="I1242" i="18"/>
  <c r="J1242" i="18"/>
  <c r="K1242" i="18"/>
  <c r="L1242" i="18"/>
  <c r="B1243" i="18"/>
  <c r="C1243" i="18"/>
  <c r="D1243" i="18"/>
  <c r="E1243" i="18"/>
  <c r="F1243" i="18"/>
  <c r="G1243" i="18"/>
  <c r="H1243" i="18"/>
  <c r="I1243" i="18"/>
  <c r="J1243" i="18"/>
  <c r="K1243" i="18"/>
  <c r="L1243" i="18"/>
  <c r="B1244" i="18"/>
  <c r="C1244" i="18"/>
  <c r="D1244" i="18"/>
  <c r="E1244" i="18"/>
  <c r="F1244" i="18"/>
  <c r="G1244" i="18"/>
  <c r="H1244" i="18"/>
  <c r="I1244" i="18"/>
  <c r="J1244" i="18"/>
  <c r="K1244" i="18"/>
  <c r="L1244" i="18"/>
  <c r="B1245" i="18"/>
  <c r="C1245" i="18"/>
  <c r="D1245" i="18"/>
  <c r="E1245" i="18"/>
  <c r="F1245" i="18"/>
  <c r="G1245" i="18"/>
  <c r="H1245" i="18"/>
  <c r="I1245" i="18"/>
  <c r="J1245" i="18"/>
  <c r="K1245" i="18"/>
  <c r="L1245" i="18"/>
  <c r="B1246" i="18"/>
  <c r="C1246" i="18"/>
  <c r="D1246" i="18"/>
  <c r="E1246" i="18"/>
  <c r="F1246" i="18"/>
  <c r="G1246" i="18"/>
  <c r="H1246" i="18"/>
  <c r="I1246" i="18"/>
  <c r="J1246" i="18"/>
  <c r="K1246" i="18"/>
  <c r="L1246" i="18"/>
  <c r="B1247" i="18"/>
  <c r="C1247" i="18"/>
  <c r="D1247" i="18"/>
  <c r="E1247" i="18"/>
  <c r="F1247" i="18"/>
  <c r="G1247" i="18"/>
  <c r="H1247" i="18"/>
  <c r="I1247" i="18"/>
  <c r="J1247" i="18"/>
  <c r="K1247" i="18"/>
  <c r="L1247" i="18"/>
  <c r="B1248" i="18"/>
  <c r="C1248" i="18"/>
  <c r="D1248" i="18"/>
  <c r="E1248" i="18"/>
  <c r="F1248" i="18"/>
  <c r="G1248" i="18"/>
  <c r="H1248" i="18"/>
  <c r="I1248" i="18"/>
  <c r="J1248" i="18"/>
  <c r="K1248" i="18"/>
  <c r="L1248" i="18"/>
  <c r="B1249" i="18"/>
  <c r="C1249" i="18"/>
  <c r="D1249" i="18"/>
  <c r="E1249" i="18"/>
  <c r="F1249" i="18"/>
  <c r="G1249" i="18"/>
  <c r="H1249" i="18"/>
  <c r="I1249" i="18"/>
  <c r="J1249" i="18"/>
  <c r="K1249" i="18"/>
  <c r="L1249" i="18"/>
  <c r="B1250" i="18"/>
  <c r="C1250" i="18"/>
  <c r="D1250" i="18"/>
  <c r="E1250" i="18"/>
  <c r="F1250" i="18"/>
  <c r="G1250" i="18"/>
  <c r="H1250" i="18"/>
  <c r="I1250" i="18"/>
  <c r="J1250" i="18"/>
  <c r="K1250" i="18"/>
  <c r="L1250" i="18"/>
  <c r="B1251" i="18"/>
  <c r="C1251" i="18"/>
  <c r="D1251" i="18"/>
  <c r="E1251" i="18"/>
  <c r="F1251" i="18"/>
  <c r="G1251" i="18"/>
  <c r="H1251" i="18"/>
  <c r="I1251" i="18"/>
  <c r="J1251" i="18"/>
  <c r="K1251" i="18"/>
  <c r="L1251" i="18"/>
  <c r="B1252" i="18"/>
  <c r="C1252" i="18"/>
  <c r="D1252" i="18"/>
  <c r="E1252" i="18"/>
  <c r="F1252" i="18"/>
  <c r="G1252" i="18"/>
  <c r="H1252" i="18"/>
  <c r="I1252" i="18"/>
  <c r="J1252" i="18"/>
  <c r="K1252" i="18"/>
  <c r="L1252" i="18"/>
  <c r="B1253" i="18"/>
  <c r="C1253" i="18"/>
  <c r="D1253" i="18"/>
  <c r="E1253" i="18"/>
  <c r="F1253" i="18"/>
  <c r="G1253" i="18"/>
  <c r="H1253" i="18"/>
  <c r="I1253" i="18"/>
  <c r="J1253" i="18"/>
  <c r="K1253" i="18"/>
  <c r="L1253" i="18"/>
  <c r="B1254" i="18"/>
  <c r="C1254" i="18"/>
  <c r="D1254" i="18"/>
  <c r="E1254" i="18"/>
  <c r="F1254" i="18"/>
  <c r="G1254" i="18"/>
  <c r="H1254" i="18"/>
  <c r="I1254" i="18"/>
  <c r="J1254" i="18"/>
  <c r="K1254" i="18"/>
  <c r="L1254" i="18"/>
  <c r="B1255" i="18"/>
  <c r="C1255" i="18"/>
  <c r="D1255" i="18"/>
  <c r="E1255" i="18"/>
  <c r="F1255" i="18"/>
  <c r="G1255" i="18"/>
  <c r="H1255" i="18"/>
  <c r="I1255" i="18"/>
  <c r="J1255" i="18"/>
  <c r="K1255" i="18"/>
  <c r="L1255" i="18"/>
  <c r="B1256" i="18"/>
  <c r="C1256" i="18"/>
  <c r="D1256" i="18"/>
  <c r="E1256" i="18"/>
  <c r="F1256" i="18"/>
  <c r="G1256" i="18"/>
  <c r="H1256" i="18"/>
  <c r="I1256" i="18"/>
  <c r="J1256" i="18"/>
  <c r="K1256" i="18"/>
  <c r="L1256" i="18"/>
  <c r="B1257" i="18"/>
  <c r="C1257" i="18"/>
  <c r="D1257" i="18"/>
  <c r="E1257" i="18"/>
  <c r="F1257" i="18"/>
  <c r="G1257" i="18"/>
  <c r="H1257" i="18"/>
  <c r="I1257" i="18"/>
  <c r="J1257" i="18"/>
  <c r="K1257" i="18"/>
  <c r="L1257" i="18"/>
  <c r="B1258" i="18"/>
  <c r="C1258" i="18"/>
  <c r="D1258" i="18"/>
  <c r="E1258" i="18"/>
  <c r="F1258" i="18"/>
  <c r="G1258" i="18"/>
  <c r="H1258" i="18"/>
  <c r="I1258" i="18"/>
  <c r="J1258" i="18"/>
  <c r="K1258" i="18"/>
  <c r="L1258" i="18"/>
  <c r="B1259" i="18"/>
  <c r="C1259" i="18"/>
  <c r="D1259" i="18"/>
  <c r="E1259" i="18"/>
  <c r="F1259" i="18"/>
  <c r="G1259" i="18"/>
  <c r="H1259" i="18"/>
  <c r="I1259" i="18"/>
  <c r="J1259" i="18"/>
  <c r="K1259" i="18"/>
  <c r="L1259" i="18"/>
  <c r="B1260" i="18"/>
  <c r="C1260" i="18"/>
  <c r="D1260" i="18"/>
  <c r="E1260" i="18"/>
  <c r="F1260" i="18"/>
  <c r="G1260" i="18"/>
  <c r="H1260" i="18"/>
  <c r="I1260" i="18"/>
  <c r="J1260" i="18"/>
  <c r="K1260" i="18"/>
  <c r="L1260" i="18"/>
  <c r="B1261" i="18"/>
  <c r="C1261" i="18"/>
  <c r="D1261" i="18"/>
  <c r="E1261" i="18"/>
  <c r="F1261" i="18"/>
  <c r="G1261" i="18"/>
  <c r="H1261" i="18"/>
  <c r="I1261" i="18"/>
  <c r="J1261" i="18"/>
  <c r="K1261" i="18"/>
  <c r="L1261" i="18"/>
  <c r="B1262" i="18"/>
  <c r="C1262" i="18"/>
  <c r="D1262" i="18"/>
  <c r="E1262" i="18"/>
  <c r="F1262" i="18"/>
  <c r="G1262" i="18"/>
  <c r="H1262" i="18"/>
  <c r="I1262" i="18"/>
  <c r="J1262" i="18"/>
  <c r="K1262" i="18"/>
  <c r="L1262" i="18"/>
  <c r="B1263" i="18"/>
  <c r="C1263" i="18"/>
  <c r="D1263" i="18"/>
  <c r="E1263" i="18"/>
  <c r="F1263" i="18"/>
  <c r="G1263" i="18"/>
  <c r="H1263" i="18"/>
  <c r="I1263" i="18"/>
  <c r="J1263" i="18"/>
  <c r="K1263" i="18"/>
  <c r="L1263" i="18"/>
  <c r="B1264" i="18"/>
  <c r="C1264" i="18"/>
  <c r="D1264" i="18"/>
  <c r="E1264" i="18"/>
  <c r="F1264" i="18"/>
  <c r="G1264" i="18"/>
  <c r="H1264" i="18"/>
  <c r="I1264" i="18"/>
  <c r="J1264" i="18"/>
  <c r="K1264" i="18"/>
  <c r="L1264" i="18"/>
  <c r="B1265" i="18"/>
  <c r="C1265" i="18"/>
  <c r="D1265" i="18"/>
  <c r="E1265" i="18"/>
  <c r="F1265" i="18"/>
  <c r="G1265" i="18"/>
  <c r="H1265" i="18"/>
  <c r="I1265" i="18"/>
  <c r="J1265" i="18"/>
  <c r="K1265" i="18"/>
  <c r="L1265" i="18"/>
  <c r="B1266" i="18"/>
  <c r="C1266" i="18"/>
  <c r="D1266" i="18"/>
  <c r="E1266" i="18"/>
  <c r="F1266" i="18"/>
  <c r="G1266" i="18"/>
  <c r="H1266" i="18"/>
  <c r="I1266" i="18"/>
  <c r="J1266" i="18"/>
  <c r="K1266" i="18"/>
  <c r="L1266" i="18"/>
  <c r="B1267" i="18"/>
  <c r="C1267" i="18"/>
  <c r="D1267" i="18"/>
  <c r="E1267" i="18"/>
  <c r="F1267" i="18"/>
  <c r="G1267" i="18"/>
  <c r="H1267" i="18"/>
  <c r="I1267" i="18"/>
  <c r="J1267" i="18"/>
  <c r="K1267" i="18"/>
  <c r="L1267" i="18"/>
  <c r="B1268" i="18"/>
  <c r="C1268" i="18"/>
  <c r="D1268" i="18"/>
  <c r="E1268" i="18"/>
  <c r="F1268" i="18"/>
  <c r="G1268" i="18"/>
  <c r="H1268" i="18"/>
  <c r="I1268" i="18"/>
  <c r="J1268" i="18"/>
  <c r="K1268" i="18"/>
  <c r="L1268" i="18"/>
  <c r="B1269" i="18"/>
  <c r="C1269" i="18"/>
  <c r="D1269" i="18"/>
  <c r="E1269" i="18"/>
  <c r="F1269" i="18"/>
  <c r="G1269" i="18"/>
  <c r="H1269" i="18"/>
  <c r="I1269" i="18"/>
  <c r="J1269" i="18"/>
  <c r="K1269" i="18"/>
  <c r="L1269" i="18"/>
  <c r="B1270" i="18"/>
  <c r="C1270" i="18"/>
  <c r="D1270" i="18"/>
  <c r="E1270" i="18"/>
  <c r="F1270" i="18"/>
  <c r="G1270" i="18"/>
  <c r="H1270" i="18"/>
  <c r="I1270" i="18"/>
  <c r="J1270" i="18"/>
  <c r="K1270" i="18"/>
  <c r="L1270" i="18"/>
  <c r="B1271" i="18"/>
  <c r="C1271" i="18"/>
  <c r="D1271" i="18"/>
  <c r="E1271" i="18"/>
  <c r="F1271" i="18"/>
  <c r="G1271" i="18"/>
  <c r="H1271" i="18"/>
  <c r="I1271" i="18"/>
  <c r="J1271" i="18"/>
  <c r="K1271" i="18"/>
  <c r="L1271" i="18"/>
  <c r="B1272" i="18"/>
  <c r="C1272" i="18"/>
  <c r="D1272" i="18"/>
  <c r="E1272" i="18"/>
  <c r="F1272" i="18"/>
  <c r="G1272" i="18"/>
  <c r="H1272" i="18"/>
  <c r="I1272" i="18"/>
  <c r="J1272" i="18"/>
  <c r="K1272" i="18"/>
  <c r="L1272" i="18"/>
  <c r="B1273" i="18"/>
  <c r="C1273" i="18"/>
  <c r="D1273" i="18"/>
  <c r="E1273" i="18"/>
  <c r="F1273" i="18"/>
  <c r="G1273" i="18"/>
  <c r="H1273" i="18"/>
  <c r="I1273" i="18"/>
  <c r="J1273" i="18"/>
  <c r="K1273" i="18"/>
  <c r="L1273" i="18"/>
  <c r="B1274" i="18"/>
  <c r="C1274" i="18"/>
  <c r="D1274" i="18"/>
  <c r="E1274" i="18"/>
  <c r="F1274" i="18"/>
  <c r="G1274" i="18"/>
  <c r="H1274" i="18"/>
  <c r="I1274" i="18"/>
  <c r="J1274" i="18"/>
  <c r="K1274" i="18"/>
  <c r="L1274" i="18"/>
  <c r="B1275" i="18"/>
  <c r="C1275" i="18"/>
  <c r="D1275" i="18"/>
  <c r="E1275" i="18"/>
  <c r="F1275" i="18"/>
  <c r="G1275" i="18"/>
  <c r="H1275" i="18"/>
  <c r="I1275" i="18"/>
  <c r="J1275" i="18"/>
  <c r="K1275" i="18"/>
  <c r="L1275" i="18"/>
  <c r="B1276" i="18"/>
  <c r="C1276" i="18"/>
  <c r="D1276" i="18"/>
  <c r="E1276" i="18"/>
  <c r="F1276" i="18"/>
  <c r="G1276" i="18"/>
  <c r="H1276" i="18"/>
  <c r="I1276" i="18"/>
  <c r="J1276" i="18"/>
  <c r="K1276" i="18"/>
  <c r="L1276" i="18"/>
  <c r="B1277" i="18"/>
  <c r="C1277" i="18"/>
  <c r="D1277" i="18"/>
  <c r="E1277" i="18"/>
  <c r="F1277" i="18"/>
  <c r="G1277" i="18"/>
  <c r="H1277" i="18"/>
  <c r="I1277" i="18"/>
  <c r="J1277" i="18"/>
  <c r="K1277" i="18"/>
  <c r="L1277" i="18"/>
  <c r="B1278" i="18"/>
  <c r="C1278" i="18"/>
  <c r="D1278" i="18"/>
  <c r="E1278" i="18"/>
  <c r="F1278" i="18"/>
  <c r="G1278" i="18"/>
  <c r="H1278" i="18"/>
  <c r="I1278" i="18"/>
  <c r="J1278" i="18"/>
  <c r="K1278" i="18"/>
  <c r="L1278" i="18"/>
  <c r="B1279" i="18"/>
  <c r="C1279" i="18"/>
  <c r="D1279" i="18"/>
  <c r="E1279" i="18"/>
  <c r="F1279" i="18"/>
  <c r="G1279" i="18"/>
  <c r="H1279" i="18"/>
  <c r="I1279" i="18"/>
  <c r="J1279" i="18"/>
  <c r="K1279" i="18"/>
  <c r="L1279" i="18"/>
  <c r="B1280" i="18"/>
  <c r="C1280" i="18"/>
  <c r="D1280" i="18"/>
  <c r="E1280" i="18"/>
  <c r="F1280" i="18"/>
  <c r="G1280" i="18"/>
  <c r="H1280" i="18"/>
  <c r="I1280" i="18"/>
  <c r="J1280" i="18"/>
  <c r="K1280" i="18"/>
  <c r="L1280" i="18"/>
  <c r="B1281" i="18"/>
  <c r="C1281" i="18"/>
  <c r="D1281" i="18"/>
  <c r="E1281" i="18"/>
  <c r="F1281" i="18"/>
  <c r="G1281" i="18"/>
  <c r="H1281" i="18"/>
  <c r="I1281" i="18"/>
  <c r="J1281" i="18"/>
  <c r="K1281" i="18"/>
  <c r="L1281" i="18"/>
  <c r="B1282" i="18"/>
  <c r="C1282" i="18"/>
  <c r="D1282" i="18"/>
  <c r="E1282" i="18"/>
  <c r="F1282" i="18"/>
  <c r="G1282" i="18"/>
  <c r="H1282" i="18"/>
  <c r="I1282" i="18"/>
  <c r="J1282" i="18"/>
  <c r="K1282" i="18"/>
  <c r="L1282" i="18"/>
  <c r="B1283" i="18"/>
  <c r="C1283" i="18"/>
  <c r="D1283" i="18"/>
  <c r="E1283" i="18"/>
  <c r="F1283" i="18"/>
  <c r="G1283" i="18"/>
  <c r="H1283" i="18"/>
  <c r="I1283" i="18"/>
  <c r="J1283" i="18"/>
  <c r="K1283" i="18"/>
  <c r="L1283" i="18"/>
  <c r="B1284" i="18"/>
  <c r="C1284" i="18"/>
  <c r="D1284" i="18"/>
  <c r="E1284" i="18"/>
  <c r="F1284" i="18"/>
  <c r="G1284" i="18"/>
  <c r="H1284" i="18"/>
  <c r="I1284" i="18"/>
  <c r="J1284" i="18"/>
  <c r="K1284" i="18"/>
  <c r="L1284" i="18"/>
  <c r="B1285" i="18"/>
  <c r="C1285" i="18"/>
  <c r="D1285" i="18"/>
  <c r="E1285" i="18"/>
  <c r="F1285" i="18"/>
  <c r="G1285" i="18"/>
  <c r="H1285" i="18"/>
  <c r="I1285" i="18"/>
  <c r="J1285" i="18"/>
  <c r="K1285" i="18"/>
  <c r="L1285" i="18"/>
  <c r="B1286" i="18"/>
  <c r="C1286" i="18"/>
  <c r="D1286" i="18"/>
  <c r="E1286" i="18"/>
  <c r="F1286" i="18"/>
  <c r="G1286" i="18"/>
  <c r="H1286" i="18"/>
  <c r="I1286" i="18"/>
  <c r="J1286" i="18"/>
  <c r="K1286" i="18"/>
  <c r="L1286" i="18"/>
  <c r="B1287" i="18"/>
  <c r="C1287" i="18"/>
  <c r="D1287" i="18"/>
  <c r="E1287" i="18"/>
  <c r="F1287" i="18"/>
  <c r="G1287" i="18"/>
  <c r="H1287" i="18"/>
  <c r="I1287" i="18"/>
  <c r="J1287" i="18"/>
  <c r="K1287" i="18"/>
  <c r="L1287" i="18"/>
  <c r="B1288" i="18"/>
  <c r="C1288" i="18"/>
  <c r="D1288" i="18"/>
  <c r="E1288" i="18"/>
  <c r="F1288" i="18"/>
  <c r="G1288" i="18"/>
  <c r="H1288" i="18"/>
  <c r="I1288" i="18"/>
  <c r="J1288" i="18"/>
  <c r="K1288" i="18"/>
  <c r="L1288" i="18"/>
  <c r="B1289" i="18"/>
  <c r="C1289" i="18"/>
  <c r="D1289" i="18"/>
  <c r="E1289" i="18"/>
  <c r="F1289" i="18"/>
  <c r="G1289" i="18"/>
  <c r="H1289" i="18"/>
  <c r="I1289" i="18"/>
  <c r="J1289" i="18"/>
  <c r="K1289" i="18"/>
  <c r="L1289" i="18"/>
  <c r="B1290" i="18"/>
  <c r="C1290" i="18"/>
  <c r="D1290" i="18"/>
  <c r="E1290" i="18"/>
  <c r="F1290" i="18"/>
  <c r="G1290" i="18"/>
  <c r="H1290" i="18"/>
  <c r="I1290" i="18"/>
  <c r="J1290" i="18"/>
  <c r="K1290" i="18"/>
  <c r="L1290" i="18"/>
  <c r="B1291" i="18"/>
  <c r="C1291" i="18"/>
  <c r="D1291" i="18"/>
  <c r="E1291" i="18"/>
  <c r="F1291" i="18"/>
  <c r="G1291" i="18"/>
  <c r="H1291" i="18"/>
  <c r="I1291" i="18"/>
  <c r="J1291" i="18"/>
  <c r="K1291" i="18"/>
  <c r="L1291" i="18"/>
  <c r="B1292" i="18"/>
  <c r="C1292" i="18"/>
  <c r="D1292" i="18"/>
  <c r="E1292" i="18"/>
  <c r="F1292" i="18"/>
  <c r="G1292" i="18"/>
  <c r="H1292" i="18"/>
  <c r="I1292" i="18"/>
  <c r="J1292" i="18"/>
  <c r="K1292" i="18"/>
  <c r="L1292" i="18"/>
  <c r="B1293" i="18"/>
  <c r="C1293" i="18"/>
  <c r="D1293" i="18"/>
  <c r="E1293" i="18"/>
  <c r="F1293" i="18"/>
  <c r="G1293" i="18"/>
  <c r="H1293" i="18"/>
  <c r="I1293" i="18"/>
  <c r="J1293" i="18"/>
  <c r="K1293" i="18"/>
  <c r="L1293" i="18"/>
  <c r="B1294" i="18"/>
  <c r="C1294" i="18"/>
  <c r="D1294" i="18"/>
  <c r="E1294" i="18"/>
  <c r="F1294" i="18"/>
  <c r="G1294" i="18"/>
  <c r="H1294" i="18"/>
  <c r="I1294" i="18"/>
  <c r="J1294" i="18"/>
  <c r="K1294" i="18"/>
  <c r="L1294" i="18"/>
  <c r="B1295" i="18"/>
  <c r="C1295" i="18"/>
  <c r="D1295" i="18"/>
  <c r="E1295" i="18"/>
  <c r="F1295" i="18"/>
  <c r="G1295" i="18"/>
  <c r="H1295" i="18"/>
  <c r="I1295" i="18"/>
  <c r="J1295" i="18"/>
  <c r="K1295" i="18"/>
  <c r="L1295" i="18"/>
  <c r="B1296" i="18"/>
  <c r="C1296" i="18"/>
  <c r="D1296" i="18"/>
  <c r="E1296" i="18"/>
  <c r="F1296" i="18"/>
  <c r="G1296" i="18"/>
  <c r="H1296" i="18"/>
  <c r="I1296" i="18"/>
  <c r="J1296" i="18"/>
  <c r="K1296" i="18"/>
  <c r="L1296" i="18"/>
  <c r="B1297" i="18"/>
  <c r="C1297" i="18"/>
  <c r="D1297" i="18"/>
  <c r="E1297" i="18"/>
  <c r="F1297" i="18"/>
  <c r="G1297" i="18"/>
  <c r="H1297" i="18"/>
  <c r="I1297" i="18"/>
  <c r="J1297" i="18"/>
  <c r="K1297" i="18"/>
  <c r="L1297" i="18"/>
  <c r="B1298" i="18"/>
  <c r="C1298" i="18"/>
  <c r="D1298" i="18"/>
  <c r="E1298" i="18"/>
  <c r="F1298" i="18"/>
  <c r="G1298" i="18"/>
  <c r="H1298" i="18"/>
  <c r="I1298" i="18"/>
  <c r="J1298" i="18"/>
  <c r="K1298" i="18"/>
  <c r="L1298" i="18"/>
  <c r="B1299" i="18"/>
  <c r="C1299" i="18"/>
  <c r="D1299" i="18"/>
  <c r="E1299" i="18"/>
  <c r="F1299" i="18"/>
  <c r="G1299" i="18"/>
  <c r="H1299" i="18"/>
  <c r="I1299" i="18"/>
  <c r="J1299" i="18"/>
  <c r="K1299" i="18"/>
  <c r="L1299" i="18"/>
  <c r="B1300" i="18"/>
  <c r="C1300" i="18"/>
  <c r="D1300" i="18"/>
  <c r="E1300" i="18"/>
  <c r="F1300" i="18"/>
  <c r="G1300" i="18"/>
  <c r="H1300" i="18"/>
  <c r="I1300" i="18"/>
  <c r="J1300" i="18"/>
  <c r="K1300" i="18"/>
  <c r="L1300" i="18"/>
  <c r="B1301" i="18"/>
  <c r="C1301" i="18"/>
  <c r="D1301" i="18"/>
  <c r="E1301" i="18"/>
  <c r="F1301" i="18"/>
  <c r="G1301" i="18"/>
  <c r="H1301" i="18"/>
  <c r="I1301" i="18"/>
  <c r="J1301" i="18"/>
  <c r="K1301" i="18"/>
  <c r="L1301" i="18"/>
  <c r="B1302" i="18"/>
  <c r="C1302" i="18"/>
  <c r="D1302" i="18"/>
  <c r="E1302" i="18"/>
  <c r="F1302" i="18"/>
  <c r="G1302" i="18"/>
  <c r="H1302" i="18"/>
  <c r="I1302" i="18"/>
  <c r="J1302" i="18"/>
  <c r="K1302" i="18"/>
  <c r="L1302" i="18"/>
  <c r="B1303" i="18"/>
  <c r="C1303" i="18"/>
  <c r="D1303" i="18"/>
  <c r="E1303" i="18"/>
  <c r="F1303" i="18"/>
  <c r="G1303" i="18"/>
  <c r="H1303" i="18"/>
  <c r="I1303" i="18"/>
  <c r="J1303" i="18"/>
  <c r="K1303" i="18"/>
  <c r="L1303" i="18"/>
  <c r="B1304" i="18"/>
  <c r="C1304" i="18"/>
  <c r="D1304" i="18"/>
  <c r="E1304" i="18"/>
  <c r="F1304" i="18"/>
  <c r="G1304" i="18"/>
  <c r="H1304" i="18"/>
  <c r="I1304" i="18"/>
  <c r="J1304" i="18"/>
  <c r="K1304" i="18"/>
  <c r="L1304" i="18"/>
  <c r="B1305" i="18"/>
  <c r="C1305" i="18"/>
  <c r="D1305" i="18"/>
  <c r="E1305" i="18"/>
  <c r="F1305" i="18"/>
  <c r="G1305" i="18"/>
  <c r="H1305" i="18"/>
  <c r="I1305" i="18"/>
  <c r="J1305" i="18"/>
  <c r="K1305" i="18"/>
  <c r="L1305" i="18"/>
  <c r="B1306" i="18"/>
  <c r="C1306" i="18"/>
  <c r="D1306" i="18"/>
  <c r="E1306" i="18"/>
  <c r="F1306" i="18"/>
  <c r="G1306" i="18"/>
  <c r="H1306" i="18"/>
  <c r="I1306" i="18"/>
  <c r="J1306" i="18"/>
  <c r="K1306" i="18"/>
  <c r="L1306" i="18"/>
  <c r="B1307" i="18"/>
  <c r="C1307" i="18"/>
  <c r="D1307" i="18"/>
  <c r="E1307" i="18"/>
  <c r="F1307" i="18"/>
  <c r="G1307" i="18"/>
  <c r="H1307" i="18"/>
  <c r="I1307" i="18"/>
  <c r="J1307" i="18"/>
  <c r="K1307" i="18"/>
  <c r="L1307" i="18"/>
  <c r="B1308" i="18"/>
  <c r="C1308" i="18"/>
  <c r="D1308" i="18"/>
  <c r="E1308" i="18"/>
  <c r="F1308" i="18"/>
  <c r="G1308" i="18"/>
  <c r="H1308" i="18"/>
  <c r="I1308" i="18"/>
  <c r="J1308" i="18"/>
  <c r="K1308" i="18"/>
  <c r="L1308" i="18"/>
  <c r="B1309" i="18"/>
  <c r="C1309" i="18"/>
  <c r="D1309" i="18"/>
  <c r="E1309" i="18"/>
  <c r="F1309" i="18"/>
  <c r="G1309" i="18"/>
  <c r="H1309" i="18"/>
  <c r="I1309" i="18"/>
  <c r="J1309" i="18"/>
  <c r="K1309" i="18"/>
  <c r="L1309" i="18"/>
  <c r="B1310" i="18"/>
  <c r="C1310" i="18"/>
  <c r="D1310" i="18"/>
  <c r="E1310" i="18"/>
  <c r="F1310" i="18"/>
  <c r="G1310" i="18"/>
  <c r="H1310" i="18"/>
  <c r="I1310" i="18"/>
  <c r="J1310" i="18"/>
  <c r="K1310" i="18"/>
  <c r="L1310" i="18"/>
  <c r="B1311" i="18"/>
  <c r="C1311" i="18"/>
  <c r="D1311" i="18"/>
  <c r="E1311" i="18"/>
  <c r="F1311" i="18"/>
  <c r="G1311" i="18"/>
  <c r="H1311" i="18"/>
  <c r="I1311" i="18"/>
  <c r="J1311" i="18"/>
  <c r="K1311" i="18"/>
  <c r="L1311" i="18"/>
  <c r="B1312" i="18"/>
  <c r="C1312" i="18"/>
  <c r="D1312" i="18"/>
  <c r="E1312" i="18"/>
  <c r="F1312" i="18"/>
  <c r="G1312" i="18"/>
  <c r="H1312" i="18"/>
  <c r="I1312" i="18"/>
  <c r="J1312" i="18"/>
  <c r="K1312" i="18"/>
  <c r="L1312" i="18"/>
  <c r="B1313" i="18"/>
  <c r="C1313" i="18"/>
  <c r="D1313" i="18"/>
  <c r="E1313" i="18"/>
  <c r="F1313" i="18"/>
  <c r="G1313" i="18"/>
  <c r="H1313" i="18"/>
  <c r="I1313" i="18"/>
  <c r="J1313" i="18"/>
  <c r="K1313" i="18"/>
  <c r="L1313" i="18"/>
  <c r="B1314" i="18"/>
  <c r="C1314" i="18"/>
  <c r="D1314" i="18"/>
  <c r="E1314" i="18"/>
  <c r="F1314" i="18"/>
  <c r="G1314" i="18"/>
  <c r="H1314" i="18"/>
  <c r="I1314" i="18"/>
  <c r="J1314" i="18"/>
  <c r="K1314" i="18"/>
  <c r="L1314" i="18"/>
  <c r="B1315" i="18"/>
  <c r="C1315" i="18"/>
  <c r="D1315" i="18"/>
  <c r="E1315" i="18"/>
  <c r="F1315" i="18"/>
  <c r="G1315" i="18"/>
  <c r="H1315" i="18"/>
  <c r="I1315" i="18"/>
  <c r="J1315" i="18"/>
  <c r="K1315" i="18"/>
  <c r="L1315" i="18"/>
  <c r="B1316" i="18"/>
  <c r="C1316" i="18"/>
  <c r="D1316" i="18"/>
  <c r="E1316" i="18"/>
  <c r="F1316" i="18"/>
  <c r="G1316" i="18"/>
  <c r="H1316" i="18"/>
  <c r="I1316" i="18"/>
  <c r="J1316" i="18"/>
  <c r="K1316" i="18"/>
  <c r="L1316" i="18"/>
  <c r="B1317" i="18"/>
  <c r="C1317" i="18"/>
  <c r="D1317" i="18"/>
  <c r="E1317" i="18"/>
  <c r="F1317" i="18"/>
  <c r="G1317" i="18"/>
  <c r="H1317" i="18"/>
  <c r="I1317" i="18"/>
  <c r="J1317" i="18"/>
  <c r="K1317" i="18"/>
  <c r="L1317" i="18"/>
  <c r="B1318" i="18"/>
  <c r="C1318" i="18"/>
  <c r="D1318" i="18"/>
  <c r="E1318" i="18"/>
  <c r="F1318" i="18"/>
  <c r="G1318" i="18"/>
  <c r="H1318" i="18"/>
  <c r="I1318" i="18"/>
  <c r="J1318" i="18"/>
  <c r="K1318" i="18"/>
  <c r="L1318" i="18"/>
  <c r="B1319" i="18"/>
  <c r="C1319" i="18"/>
  <c r="D1319" i="18"/>
  <c r="E1319" i="18"/>
  <c r="F1319" i="18"/>
  <c r="G1319" i="18"/>
  <c r="H1319" i="18"/>
  <c r="I1319" i="18"/>
  <c r="J1319" i="18"/>
  <c r="K1319" i="18"/>
  <c r="L1319" i="18"/>
  <c r="B1320" i="18"/>
  <c r="C1320" i="18"/>
  <c r="D1320" i="18"/>
  <c r="E1320" i="18"/>
  <c r="F1320" i="18"/>
  <c r="G1320" i="18"/>
  <c r="H1320" i="18"/>
  <c r="I1320" i="18"/>
  <c r="J1320" i="18"/>
  <c r="K1320" i="18"/>
  <c r="L1320" i="18"/>
  <c r="B1321" i="18"/>
  <c r="C1321" i="18"/>
  <c r="D1321" i="18"/>
  <c r="E1321" i="18"/>
  <c r="F1321" i="18"/>
  <c r="G1321" i="18"/>
  <c r="H1321" i="18"/>
  <c r="I1321" i="18"/>
  <c r="J1321" i="18"/>
  <c r="K1321" i="18"/>
  <c r="L1321" i="18"/>
  <c r="B1322" i="18"/>
  <c r="C1322" i="18"/>
  <c r="D1322" i="18"/>
  <c r="E1322" i="18"/>
  <c r="F1322" i="18"/>
  <c r="G1322" i="18"/>
  <c r="H1322" i="18"/>
  <c r="I1322" i="18"/>
  <c r="J1322" i="18"/>
  <c r="K1322" i="18"/>
  <c r="L1322" i="18"/>
  <c r="B1323" i="18"/>
  <c r="C1323" i="18"/>
  <c r="D1323" i="18"/>
  <c r="E1323" i="18"/>
  <c r="F1323" i="18"/>
  <c r="G1323" i="18"/>
  <c r="H1323" i="18"/>
  <c r="I1323" i="18"/>
  <c r="J1323" i="18"/>
  <c r="K1323" i="18"/>
  <c r="L1323" i="18"/>
  <c r="B1324" i="18"/>
  <c r="C1324" i="18"/>
  <c r="D1324" i="18"/>
  <c r="E1324" i="18"/>
  <c r="F1324" i="18"/>
  <c r="G1324" i="18"/>
  <c r="H1324" i="18"/>
  <c r="I1324" i="18"/>
  <c r="J1324" i="18"/>
  <c r="K1324" i="18"/>
  <c r="L1324" i="18"/>
  <c r="B1325" i="18"/>
  <c r="C1325" i="18"/>
  <c r="D1325" i="18"/>
  <c r="E1325" i="18"/>
  <c r="F1325" i="18"/>
  <c r="G1325" i="18"/>
  <c r="H1325" i="18"/>
  <c r="I1325" i="18"/>
  <c r="J1325" i="18"/>
  <c r="K1325" i="18"/>
  <c r="L1325" i="18"/>
  <c r="B1326" i="18"/>
  <c r="C1326" i="18"/>
  <c r="D1326" i="18"/>
  <c r="E1326" i="18"/>
  <c r="F1326" i="18"/>
  <c r="G1326" i="18"/>
  <c r="H1326" i="18"/>
  <c r="I1326" i="18"/>
  <c r="J1326" i="18"/>
  <c r="K1326" i="18"/>
  <c r="L1326" i="18"/>
  <c r="B1327" i="18"/>
  <c r="C1327" i="18"/>
  <c r="D1327" i="18"/>
  <c r="E1327" i="18"/>
  <c r="F1327" i="18"/>
  <c r="G1327" i="18"/>
  <c r="H1327" i="18"/>
  <c r="I1327" i="18"/>
  <c r="J1327" i="18"/>
  <c r="K1327" i="18"/>
  <c r="L1327" i="18"/>
  <c r="B1328" i="18"/>
  <c r="C1328" i="18"/>
  <c r="D1328" i="18"/>
  <c r="E1328" i="18"/>
  <c r="F1328" i="18"/>
  <c r="G1328" i="18"/>
  <c r="H1328" i="18"/>
  <c r="I1328" i="18"/>
  <c r="J1328" i="18"/>
  <c r="K1328" i="18"/>
  <c r="L1328" i="18"/>
  <c r="B1329" i="18"/>
  <c r="C1329" i="18"/>
  <c r="D1329" i="18"/>
  <c r="E1329" i="18"/>
  <c r="F1329" i="18"/>
  <c r="G1329" i="18"/>
  <c r="H1329" i="18"/>
  <c r="I1329" i="18"/>
  <c r="J1329" i="18"/>
  <c r="K1329" i="18"/>
  <c r="L1329" i="18"/>
  <c r="B1330" i="18"/>
  <c r="C1330" i="18"/>
  <c r="D1330" i="18"/>
  <c r="E1330" i="18"/>
  <c r="F1330" i="18"/>
  <c r="G1330" i="18"/>
  <c r="H1330" i="18"/>
  <c r="I1330" i="18"/>
  <c r="J1330" i="18"/>
  <c r="K1330" i="18"/>
  <c r="L1330" i="18"/>
  <c r="B1331" i="18"/>
  <c r="C1331" i="18"/>
  <c r="D1331" i="18"/>
  <c r="E1331" i="18"/>
  <c r="F1331" i="18"/>
  <c r="G1331" i="18"/>
  <c r="H1331" i="18"/>
  <c r="I1331" i="18"/>
  <c r="J1331" i="18"/>
  <c r="K1331" i="18"/>
  <c r="L1331" i="18"/>
  <c r="B1332" i="18"/>
  <c r="C1332" i="18"/>
  <c r="D1332" i="18"/>
  <c r="E1332" i="18"/>
  <c r="F1332" i="18"/>
  <c r="G1332" i="18"/>
  <c r="H1332" i="18"/>
  <c r="I1332" i="18"/>
  <c r="J1332" i="18"/>
  <c r="K1332" i="18"/>
  <c r="L1332" i="18"/>
  <c r="B1333" i="18"/>
  <c r="C1333" i="18"/>
  <c r="D1333" i="18"/>
  <c r="E1333" i="18"/>
  <c r="F1333" i="18"/>
  <c r="G1333" i="18"/>
  <c r="H1333" i="18"/>
  <c r="I1333" i="18"/>
  <c r="J1333" i="18"/>
  <c r="K1333" i="18"/>
  <c r="L1333" i="18"/>
  <c r="B1334" i="18"/>
  <c r="C1334" i="18"/>
  <c r="D1334" i="18"/>
  <c r="E1334" i="18"/>
  <c r="F1334" i="18"/>
  <c r="G1334" i="18"/>
  <c r="H1334" i="18"/>
  <c r="I1334" i="18"/>
  <c r="J1334" i="18"/>
  <c r="K1334" i="18"/>
  <c r="L1334" i="18"/>
  <c r="B1335" i="18"/>
  <c r="C1335" i="18"/>
  <c r="D1335" i="18"/>
  <c r="E1335" i="18"/>
  <c r="F1335" i="18"/>
  <c r="G1335" i="18"/>
  <c r="H1335" i="18"/>
  <c r="I1335" i="18"/>
  <c r="J1335" i="18"/>
  <c r="K1335" i="18"/>
  <c r="L1335" i="18"/>
  <c r="B1336" i="18"/>
  <c r="C1336" i="18"/>
  <c r="D1336" i="18"/>
  <c r="E1336" i="18"/>
  <c r="F1336" i="18"/>
  <c r="G1336" i="18"/>
  <c r="H1336" i="18"/>
  <c r="I1336" i="18"/>
  <c r="J1336" i="18"/>
  <c r="K1336" i="18"/>
  <c r="L1336" i="18"/>
  <c r="B1337" i="18"/>
  <c r="C1337" i="18"/>
  <c r="D1337" i="18"/>
  <c r="E1337" i="18"/>
  <c r="F1337" i="18"/>
  <c r="G1337" i="18"/>
  <c r="H1337" i="18"/>
  <c r="I1337" i="18"/>
  <c r="J1337" i="18"/>
  <c r="K1337" i="18"/>
  <c r="L1337" i="18"/>
  <c r="B1338" i="18"/>
  <c r="C1338" i="18"/>
  <c r="D1338" i="18"/>
  <c r="E1338" i="18"/>
  <c r="F1338" i="18"/>
  <c r="G1338" i="18"/>
  <c r="H1338" i="18"/>
  <c r="I1338" i="18"/>
  <c r="J1338" i="18"/>
  <c r="K1338" i="18"/>
  <c r="L1338" i="18"/>
  <c r="B1339" i="18"/>
  <c r="C1339" i="18"/>
  <c r="D1339" i="18"/>
  <c r="E1339" i="18"/>
  <c r="F1339" i="18"/>
  <c r="G1339" i="18"/>
  <c r="H1339" i="18"/>
  <c r="I1339" i="18"/>
  <c r="J1339" i="18"/>
  <c r="K1339" i="18"/>
  <c r="L1339" i="18"/>
  <c r="B1340" i="18"/>
  <c r="C1340" i="18"/>
  <c r="D1340" i="18"/>
  <c r="E1340" i="18"/>
  <c r="F1340" i="18"/>
  <c r="G1340" i="18"/>
  <c r="H1340" i="18"/>
  <c r="I1340" i="18"/>
  <c r="J1340" i="18"/>
  <c r="K1340" i="18"/>
  <c r="L1340" i="18"/>
  <c r="B1341" i="18"/>
  <c r="C1341" i="18"/>
  <c r="D1341" i="18"/>
  <c r="E1341" i="18"/>
  <c r="F1341" i="18"/>
  <c r="G1341" i="18"/>
  <c r="H1341" i="18"/>
  <c r="I1341" i="18"/>
  <c r="J1341" i="18"/>
  <c r="K1341" i="18"/>
  <c r="L1341" i="18"/>
  <c r="B1342" i="18"/>
  <c r="C1342" i="18"/>
  <c r="D1342" i="18"/>
  <c r="E1342" i="18"/>
  <c r="F1342" i="18"/>
  <c r="G1342" i="18"/>
  <c r="H1342" i="18"/>
  <c r="I1342" i="18"/>
  <c r="J1342" i="18"/>
  <c r="K1342" i="18"/>
  <c r="L1342" i="18"/>
  <c r="B1343" i="18"/>
  <c r="C1343" i="18"/>
  <c r="D1343" i="18"/>
  <c r="E1343" i="18"/>
  <c r="F1343" i="18"/>
  <c r="G1343" i="18"/>
  <c r="H1343" i="18"/>
  <c r="I1343" i="18"/>
  <c r="J1343" i="18"/>
  <c r="K1343" i="18"/>
  <c r="L1343" i="18"/>
  <c r="B1344" i="18"/>
  <c r="C1344" i="18"/>
  <c r="D1344" i="18"/>
  <c r="E1344" i="18"/>
  <c r="F1344" i="18"/>
  <c r="G1344" i="18"/>
  <c r="H1344" i="18"/>
  <c r="I1344" i="18"/>
  <c r="J1344" i="18"/>
  <c r="K1344" i="18"/>
  <c r="L1344" i="18"/>
  <c r="B1345" i="18"/>
  <c r="C1345" i="18"/>
  <c r="D1345" i="18"/>
  <c r="E1345" i="18"/>
  <c r="F1345" i="18"/>
  <c r="G1345" i="18"/>
  <c r="H1345" i="18"/>
  <c r="I1345" i="18"/>
  <c r="J1345" i="18"/>
  <c r="K1345" i="18"/>
  <c r="L1345" i="18"/>
  <c r="B1346" i="18"/>
  <c r="C1346" i="18"/>
  <c r="D1346" i="18"/>
  <c r="E1346" i="18"/>
  <c r="F1346" i="18"/>
  <c r="G1346" i="18"/>
  <c r="H1346" i="18"/>
  <c r="I1346" i="18"/>
  <c r="J1346" i="18"/>
  <c r="K1346" i="18"/>
  <c r="L1346" i="18"/>
  <c r="B1347" i="18"/>
  <c r="C1347" i="18"/>
  <c r="D1347" i="18"/>
  <c r="E1347" i="18"/>
  <c r="F1347" i="18"/>
  <c r="G1347" i="18"/>
  <c r="H1347" i="18"/>
  <c r="I1347" i="18"/>
  <c r="J1347" i="18"/>
  <c r="K1347" i="18"/>
  <c r="L1347" i="18"/>
  <c r="B1348" i="18"/>
  <c r="C1348" i="18"/>
  <c r="D1348" i="18"/>
  <c r="E1348" i="18"/>
  <c r="F1348" i="18"/>
  <c r="G1348" i="18"/>
  <c r="H1348" i="18"/>
  <c r="I1348" i="18"/>
  <c r="J1348" i="18"/>
  <c r="K1348" i="18"/>
  <c r="L1348" i="18"/>
  <c r="B1349" i="18"/>
  <c r="C1349" i="18"/>
  <c r="D1349" i="18"/>
  <c r="E1349" i="18"/>
  <c r="F1349" i="18"/>
  <c r="G1349" i="18"/>
  <c r="H1349" i="18"/>
  <c r="I1349" i="18"/>
  <c r="J1349" i="18"/>
  <c r="K1349" i="18"/>
  <c r="L1349" i="18"/>
  <c r="B1350" i="18"/>
  <c r="C1350" i="18"/>
  <c r="D1350" i="18"/>
  <c r="E1350" i="18"/>
  <c r="F1350" i="18"/>
  <c r="G1350" i="18"/>
  <c r="H1350" i="18"/>
  <c r="I1350" i="18"/>
  <c r="J1350" i="18"/>
  <c r="K1350" i="18"/>
  <c r="L1350" i="18"/>
  <c r="B1351" i="18"/>
  <c r="C1351" i="18"/>
  <c r="D1351" i="18"/>
  <c r="E1351" i="18"/>
  <c r="F1351" i="18"/>
  <c r="G1351" i="18"/>
  <c r="H1351" i="18"/>
  <c r="I1351" i="18"/>
  <c r="J1351" i="18"/>
  <c r="K1351" i="18"/>
  <c r="L1351" i="18"/>
  <c r="B1352" i="18"/>
  <c r="C1352" i="18"/>
  <c r="D1352" i="18"/>
  <c r="E1352" i="18"/>
  <c r="F1352" i="18"/>
  <c r="G1352" i="18"/>
  <c r="H1352" i="18"/>
  <c r="I1352" i="18"/>
  <c r="J1352" i="18"/>
  <c r="K1352" i="18"/>
  <c r="L1352" i="18"/>
  <c r="B1353" i="18"/>
  <c r="C1353" i="18"/>
  <c r="D1353" i="18"/>
  <c r="E1353" i="18"/>
  <c r="F1353" i="18"/>
  <c r="G1353" i="18"/>
  <c r="H1353" i="18"/>
  <c r="I1353" i="18"/>
  <c r="J1353" i="18"/>
  <c r="K1353" i="18"/>
  <c r="L1353" i="18"/>
  <c r="B1354" i="18"/>
  <c r="C1354" i="18"/>
  <c r="D1354" i="18"/>
  <c r="E1354" i="18"/>
  <c r="F1354" i="18"/>
  <c r="G1354" i="18"/>
  <c r="H1354" i="18"/>
  <c r="I1354" i="18"/>
  <c r="J1354" i="18"/>
  <c r="K1354" i="18"/>
  <c r="L1354" i="18"/>
  <c r="B1355" i="18"/>
  <c r="C1355" i="18"/>
  <c r="D1355" i="18"/>
  <c r="E1355" i="18"/>
  <c r="F1355" i="18"/>
  <c r="G1355" i="18"/>
  <c r="H1355" i="18"/>
  <c r="I1355" i="18"/>
  <c r="J1355" i="18"/>
  <c r="K1355" i="18"/>
  <c r="L1355" i="18"/>
  <c r="B1356" i="18"/>
  <c r="C1356" i="18"/>
  <c r="D1356" i="18"/>
  <c r="E1356" i="18"/>
  <c r="F1356" i="18"/>
  <c r="G1356" i="18"/>
  <c r="H1356" i="18"/>
  <c r="I1356" i="18"/>
  <c r="J1356" i="18"/>
  <c r="K1356" i="18"/>
  <c r="L1356" i="18"/>
  <c r="B1357" i="18"/>
  <c r="C1357" i="18"/>
  <c r="D1357" i="18"/>
  <c r="E1357" i="18"/>
  <c r="F1357" i="18"/>
  <c r="G1357" i="18"/>
  <c r="H1357" i="18"/>
  <c r="I1357" i="18"/>
  <c r="J1357" i="18"/>
  <c r="K1357" i="18"/>
  <c r="L1357" i="18"/>
  <c r="B1358" i="18"/>
  <c r="C1358" i="18"/>
  <c r="D1358" i="18"/>
  <c r="E1358" i="18"/>
  <c r="F1358" i="18"/>
  <c r="G1358" i="18"/>
  <c r="H1358" i="18"/>
  <c r="I1358" i="18"/>
  <c r="J1358" i="18"/>
  <c r="K1358" i="18"/>
  <c r="L1358" i="18"/>
  <c r="B1359" i="18"/>
  <c r="C1359" i="18"/>
  <c r="D1359" i="18"/>
  <c r="E1359" i="18"/>
  <c r="F1359" i="18"/>
  <c r="G1359" i="18"/>
  <c r="H1359" i="18"/>
  <c r="I1359" i="18"/>
  <c r="J1359" i="18"/>
  <c r="K1359" i="18"/>
  <c r="L1359" i="18"/>
  <c r="B1360" i="18"/>
  <c r="C1360" i="18"/>
  <c r="D1360" i="18"/>
  <c r="E1360" i="18"/>
  <c r="F1360" i="18"/>
  <c r="G1360" i="18"/>
  <c r="H1360" i="18"/>
  <c r="I1360" i="18"/>
  <c r="J1360" i="18"/>
  <c r="K1360" i="18"/>
  <c r="L1360" i="18"/>
  <c r="B1361" i="18"/>
  <c r="C1361" i="18"/>
  <c r="D1361" i="18"/>
  <c r="E1361" i="18"/>
  <c r="F1361" i="18"/>
  <c r="G1361" i="18"/>
  <c r="H1361" i="18"/>
  <c r="I1361" i="18"/>
  <c r="J1361" i="18"/>
  <c r="K1361" i="18"/>
  <c r="L1361" i="18"/>
  <c r="B1362" i="18"/>
  <c r="C1362" i="18"/>
  <c r="D1362" i="18"/>
  <c r="E1362" i="18"/>
  <c r="F1362" i="18"/>
  <c r="G1362" i="18"/>
  <c r="H1362" i="18"/>
  <c r="I1362" i="18"/>
  <c r="J1362" i="18"/>
  <c r="K1362" i="18"/>
  <c r="L1362" i="18"/>
  <c r="B1363" i="18"/>
  <c r="C1363" i="18"/>
  <c r="D1363" i="18"/>
  <c r="E1363" i="18"/>
  <c r="F1363" i="18"/>
  <c r="G1363" i="18"/>
  <c r="H1363" i="18"/>
  <c r="I1363" i="18"/>
  <c r="J1363" i="18"/>
  <c r="K1363" i="18"/>
  <c r="L1363" i="18"/>
  <c r="B1364" i="18"/>
  <c r="C1364" i="18"/>
  <c r="D1364" i="18"/>
  <c r="E1364" i="18"/>
  <c r="F1364" i="18"/>
  <c r="G1364" i="18"/>
  <c r="H1364" i="18"/>
  <c r="I1364" i="18"/>
  <c r="J1364" i="18"/>
  <c r="K1364" i="18"/>
  <c r="L1364" i="18"/>
  <c r="B1365" i="18"/>
  <c r="C1365" i="18"/>
  <c r="D1365" i="18"/>
  <c r="E1365" i="18"/>
  <c r="F1365" i="18"/>
  <c r="G1365" i="18"/>
  <c r="H1365" i="18"/>
  <c r="I1365" i="18"/>
  <c r="J1365" i="18"/>
  <c r="K1365" i="18"/>
  <c r="L1365" i="18"/>
  <c r="B1366" i="18"/>
  <c r="C1366" i="18"/>
  <c r="D1366" i="18"/>
  <c r="E1366" i="18"/>
  <c r="F1366" i="18"/>
  <c r="G1366" i="18"/>
  <c r="H1366" i="18"/>
  <c r="I1366" i="18"/>
  <c r="J1366" i="18"/>
  <c r="K1366" i="18"/>
  <c r="L1366" i="18"/>
  <c r="B1367" i="18"/>
  <c r="C1367" i="18"/>
  <c r="D1367" i="18"/>
  <c r="E1367" i="18"/>
  <c r="F1367" i="18"/>
  <c r="G1367" i="18"/>
  <c r="H1367" i="18"/>
  <c r="I1367" i="18"/>
  <c r="J1367" i="18"/>
  <c r="K1367" i="18"/>
  <c r="L1367" i="18"/>
  <c r="B1368" i="18"/>
  <c r="C1368" i="18"/>
  <c r="D1368" i="18"/>
  <c r="E1368" i="18"/>
  <c r="F1368" i="18"/>
  <c r="G1368" i="18"/>
  <c r="H1368" i="18"/>
  <c r="I1368" i="18"/>
  <c r="J1368" i="18"/>
  <c r="K1368" i="18"/>
  <c r="L1368" i="18"/>
  <c r="B1369" i="18"/>
  <c r="C1369" i="18"/>
  <c r="D1369" i="18"/>
  <c r="E1369" i="18"/>
  <c r="F1369" i="18"/>
  <c r="G1369" i="18"/>
  <c r="H1369" i="18"/>
  <c r="I1369" i="18"/>
  <c r="J1369" i="18"/>
  <c r="K1369" i="18"/>
  <c r="L1369" i="18"/>
  <c r="B1370" i="18"/>
  <c r="C1370" i="18"/>
  <c r="D1370" i="18"/>
  <c r="E1370" i="18"/>
  <c r="F1370" i="18"/>
  <c r="G1370" i="18"/>
  <c r="H1370" i="18"/>
  <c r="I1370" i="18"/>
  <c r="J1370" i="18"/>
  <c r="K1370" i="18"/>
  <c r="L1370" i="18"/>
  <c r="B1371" i="18"/>
  <c r="C1371" i="18"/>
  <c r="D1371" i="18"/>
  <c r="E1371" i="18"/>
  <c r="F1371" i="18"/>
  <c r="G1371" i="18"/>
  <c r="H1371" i="18"/>
  <c r="I1371" i="18"/>
  <c r="J1371" i="18"/>
  <c r="K1371" i="18"/>
  <c r="L1371" i="18"/>
  <c r="B1372" i="18"/>
  <c r="C1372" i="18"/>
  <c r="D1372" i="18"/>
  <c r="E1372" i="18"/>
  <c r="F1372" i="18"/>
  <c r="G1372" i="18"/>
  <c r="H1372" i="18"/>
  <c r="I1372" i="18"/>
  <c r="J1372" i="18"/>
  <c r="K1372" i="18"/>
  <c r="L1372" i="18"/>
  <c r="B1373" i="18"/>
  <c r="C1373" i="18"/>
  <c r="D1373" i="18"/>
  <c r="E1373" i="18"/>
  <c r="F1373" i="18"/>
  <c r="G1373" i="18"/>
  <c r="H1373" i="18"/>
  <c r="I1373" i="18"/>
  <c r="J1373" i="18"/>
  <c r="K1373" i="18"/>
  <c r="L1373" i="18"/>
  <c r="B1374" i="18"/>
  <c r="C1374" i="18"/>
  <c r="D1374" i="18"/>
  <c r="E1374" i="18"/>
  <c r="F1374" i="18"/>
  <c r="G1374" i="18"/>
  <c r="H1374" i="18"/>
  <c r="I1374" i="18"/>
  <c r="J1374" i="18"/>
  <c r="K1374" i="18"/>
  <c r="L1374" i="18"/>
  <c r="B1375" i="18"/>
  <c r="C1375" i="18"/>
  <c r="D1375" i="18"/>
  <c r="E1375" i="18"/>
  <c r="F1375" i="18"/>
  <c r="G1375" i="18"/>
  <c r="H1375" i="18"/>
  <c r="I1375" i="18"/>
  <c r="J1375" i="18"/>
  <c r="K1375" i="18"/>
  <c r="L1375" i="18"/>
  <c r="B1376" i="18"/>
  <c r="C1376" i="18"/>
  <c r="D1376" i="18"/>
  <c r="E1376" i="18"/>
  <c r="F1376" i="18"/>
  <c r="G1376" i="18"/>
  <c r="H1376" i="18"/>
  <c r="I1376" i="18"/>
  <c r="J1376" i="18"/>
  <c r="K1376" i="18"/>
  <c r="L1376" i="18"/>
  <c r="B1377" i="18"/>
  <c r="C1377" i="18"/>
  <c r="D1377" i="18"/>
  <c r="E1377" i="18"/>
  <c r="F1377" i="18"/>
  <c r="G1377" i="18"/>
  <c r="H1377" i="18"/>
  <c r="I1377" i="18"/>
  <c r="J1377" i="18"/>
  <c r="K1377" i="18"/>
  <c r="L1377" i="18"/>
  <c r="B1378" i="18"/>
  <c r="C1378" i="18"/>
  <c r="D1378" i="18"/>
  <c r="E1378" i="18"/>
  <c r="F1378" i="18"/>
  <c r="G1378" i="18"/>
  <c r="H1378" i="18"/>
  <c r="I1378" i="18"/>
  <c r="J1378" i="18"/>
  <c r="K1378" i="18"/>
  <c r="L1378" i="18"/>
  <c r="B1379" i="18"/>
  <c r="C1379" i="18"/>
  <c r="D1379" i="18"/>
  <c r="E1379" i="18"/>
  <c r="F1379" i="18"/>
  <c r="G1379" i="18"/>
  <c r="H1379" i="18"/>
  <c r="I1379" i="18"/>
  <c r="J1379" i="18"/>
  <c r="K1379" i="18"/>
  <c r="L1379" i="18"/>
  <c r="B1380" i="18"/>
  <c r="C1380" i="18"/>
  <c r="D1380" i="18"/>
  <c r="E1380" i="18"/>
  <c r="F1380" i="18"/>
  <c r="G1380" i="18"/>
  <c r="H1380" i="18"/>
  <c r="I1380" i="18"/>
  <c r="J1380" i="18"/>
  <c r="K1380" i="18"/>
  <c r="L1380" i="18"/>
  <c r="B1381" i="18"/>
  <c r="C1381" i="18"/>
  <c r="D1381" i="18"/>
  <c r="E1381" i="18"/>
  <c r="F1381" i="18"/>
  <c r="G1381" i="18"/>
  <c r="H1381" i="18"/>
  <c r="I1381" i="18"/>
  <c r="J1381" i="18"/>
  <c r="K1381" i="18"/>
  <c r="L1381" i="18"/>
  <c r="B1382" i="18"/>
  <c r="C1382" i="18"/>
  <c r="D1382" i="18"/>
  <c r="E1382" i="18"/>
  <c r="F1382" i="18"/>
  <c r="G1382" i="18"/>
  <c r="H1382" i="18"/>
  <c r="I1382" i="18"/>
  <c r="J1382" i="18"/>
  <c r="K1382" i="18"/>
  <c r="L1382" i="18"/>
  <c r="B1383" i="18"/>
  <c r="C1383" i="18"/>
  <c r="D1383" i="18"/>
  <c r="E1383" i="18"/>
  <c r="F1383" i="18"/>
  <c r="G1383" i="18"/>
  <c r="H1383" i="18"/>
  <c r="I1383" i="18"/>
  <c r="J1383" i="18"/>
  <c r="K1383" i="18"/>
  <c r="L1383" i="18"/>
  <c r="B1384" i="18"/>
  <c r="C1384" i="18"/>
  <c r="D1384" i="18"/>
  <c r="E1384" i="18"/>
  <c r="F1384" i="18"/>
  <c r="G1384" i="18"/>
  <c r="H1384" i="18"/>
  <c r="I1384" i="18"/>
  <c r="J1384" i="18"/>
  <c r="K1384" i="18"/>
  <c r="L1384" i="18"/>
  <c r="B1385" i="18"/>
  <c r="C1385" i="18"/>
  <c r="D1385" i="18"/>
  <c r="E1385" i="18"/>
  <c r="F1385" i="18"/>
  <c r="G1385" i="18"/>
  <c r="H1385" i="18"/>
  <c r="I1385" i="18"/>
  <c r="J1385" i="18"/>
  <c r="K1385" i="18"/>
  <c r="L1385" i="18"/>
  <c r="B1386" i="18"/>
  <c r="C1386" i="18"/>
  <c r="D1386" i="18"/>
  <c r="E1386" i="18"/>
  <c r="F1386" i="18"/>
  <c r="G1386" i="18"/>
  <c r="H1386" i="18"/>
  <c r="I1386" i="18"/>
  <c r="J1386" i="18"/>
  <c r="K1386" i="18"/>
  <c r="L1386" i="18"/>
  <c r="B1387" i="18"/>
  <c r="C1387" i="18"/>
  <c r="D1387" i="18"/>
  <c r="E1387" i="18"/>
  <c r="F1387" i="18"/>
  <c r="G1387" i="18"/>
  <c r="H1387" i="18"/>
  <c r="I1387" i="18"/>
  <c r="J1387" i="18"/>
  <c r="K1387" i="18"/>
  <c r="L1387" i="18"/>
  <c r="B1388" i="18"/>
  <c r="C1388" i="18"/>
  <c r="D1388" i="18"/>
  <c r="E1388" i="18"/>
  <c r="F1388" i="18"/>
  <c r="G1388" i="18"/>
  <c r="H1388" i="18"/>
  <c r="I1388" i="18"/>
  <c r="J1388" i="18"/>
  <c r="K1388" i="18"/>
  <c r="L1388" i="18"/>
  <c r="B1389" i="18"/>
  <c r="C1389" i="18"/>
  <c r="D1389" i="18"/>
  <c r="E1389" i="18"/>
  <c r="F1389" i="18"/>
  <c r="G1389" i="18"/>
  <c r="H1389" i="18"/>
  <c r="I1389" i="18"/>
  <c r="J1389" i="18"/>
  <c r="K1389" i="18"/>
  <c r="L1389" i="18"/>
  <c r="B1390" i="18"/>
  <c r="C1390" i="18"/>
  <c r="D1390" i="18"/>
  <c r="E1390" i="18"/>
  <c r="F1390" i="18"/>
  <c r="G1390" i="18"/>
  <c r="H1390" i="18"/>
  <c r="I1390" i="18"/>
  <c r="J1390" i="18"/>
  <c r="K1390" i="18"/>
  <c r="L1390" i="18"/>
  <c r="B1391" i="18"/>
  <c r="C1391" i="18"/>
  <c r="D1391" i="18"/>
  <c r="E1391" i="18"/>
  <c r="F1391" i="18"/>
  <c r="G1391" i="18"/>
  <c r="H1391" i="18"/>
  <c r="I1391" i="18"/>
  <c r="J1391" i="18"/>
  <c r="K1391" i="18"/>
  <c r="L1391" i="18"/>
  <c r="B1392" i="18"/>
  <c r="C1392" i="18"/>
  <c r="D1392" i="18"/>
  <c r="E1392" i="18"/>
  <c r="F1392" i="18"/>
  <c r="G1392" i="18"/>
  <c r="H1392" i="18"/>
  <c r="I1392" i="18"/>
  <c r="J1392" i="18"/>
  <c r="K1392" i="18"/>
  <c r="L1392" i="18"/>
  <c r="B1393" i="18"/>
  <c r="C1393" i="18"/>
  <c r="D1393" i="18"/>
  <c r="E1393" i="18"/>
  <c r="F1393" i="18"/>
  <c r="G1393" i="18"/>
  <c r="H1393" i="18"/>
  <c r="I1393" i="18"/>
  <c r="J1393" i="18"/>
  <c r="K1393" i="18"/>
  <c r="L1393" i="18"/>
  <c r="B1394" i="18"/>
  <c r="C1394" i="18"/>
  <c r="D1394" i="18"/>
  <c r="E1394" i="18"/>
  <c r="F1394" i="18"/>
  <c r="G1394" i="18"/>
  <c r="H1394" i="18"/>
  <c r="I1394" i="18"/>
  <c r="J1394" i="18"/>
  <c r="K1394" i="18"/>
  <c r="L1394" i="18"/>
  <c r="B1395" i="18"/>
  <c r="C1395" i="18"/>
  <c r="D1395" i="18"/>
  <c r="E1395" i="18"/>
  <c r="F1395" i="18"/>
  <c r="G1395" i="18"/>
  <c r="H1395" i="18"/>
  <c r="I1395" i="18"/>
  <c r="J1395" i="18"/>
  <c r="K1395" i="18"/>
  <c r="L1395" i="18"/>
  <c r="B1396" i="18"/>
  <c r="C1396" i="18"/>
  <c r="D1396" i="18"/>
  <c r="E1396" i="18"/>
  <c r="F1396" i="18"/>
  <c r="G1396" i="18"/>
  <c r="H1396" i="18"/>
  <c r="I1396" i="18"/>
  <c r="J1396" i="18"/>
  <c r="K1396" i="18"/>
  <c r="L1396" i="18"/>
  <c r="B1397" i="18"/>
  <c r="C1397" i="18"/>
  <c r="D1397" i="18"/>
  <c r="E1397" i="18"/>
  <c r="F1397" i="18"/>
  <c r="G1397" i="18"/>
  <c r="H1397" i="18"/>
  <c r="I1397" i="18"/>
  <c r="J1397" i="18"/>
  <c r="K1397" i="18"/>
  <c r="L1397" i="18"/>
  <c r="B1398" i="18"/>
  <c r="C1398" i="18"/>
  <c r="D1398" i="18"/>
  <c r="E1398" i="18"/>
  <c r="F1398" i="18"/>
  <c r="G1398" i="18"/>
  <c r="H1398" i="18"/>
  <c r="I1398" i="18"/>
  <c r="J1398" i="18"/>
  <c r="K1398" i="18"/>
  <c r="L1398" i="18"/>
  <c r="B1399" i="18"/>
  <c r="C1399" i="18"/>
  <c r="D1399" i="18"/>
  <c r="E1399" i="18"/>
  <c r="F1399" i="18"/>
  <c r="G1399" i="18"/>
  <c r="H1399" i="18"/>
  <c r="I1399" i="18"/>
  <c r="J1399" i="18"/>
  <c r="K1399" i="18"/>
  <c r="L1399" i="18"/>
  <c r="B1400" i="18"/>
  <c r="C1400" i="18"/>
  <c r="D1400" i="18"/>
  <c r="E1400" i="18"/>
  <c r="F1400" i="18"/>
  <c r="G1400" i="18"/>
  <c r="H1400" i="18"/>
  <c r="I1400" i="18"/>
  <c r="J1400" i="18"/>
  <c r="K1400" i="18"/>
  <c r="L1400" i="18"/>
  <c r="B1401" i="18"/>
  <c r="C1401" i="18"/>
  <c r="D1401" i="18"/>
  <c r="E1401" i="18"/>
  <c r="F1401" i="18"/>
  <c r="G1401" i="18"/>
  <c r="H1401" i="18"/>
  <c r="I1401" i="18"/>
  <c r="J1401" i="18"/>
  <c r="K1401" i="18"/>
  <c r="L1401" i="18"/>
  <c r="B1402" i="18"/>
  <c r="C1402" i="18"/>
  <c r="D1402" i="18"/>
  <c r="E1402" i="18"/>
  <c r="F1402" i="18"/>
  <c r="G1402" i="18"/>
  <c r="H1402" i="18"/>
  <c r="I1402" i="18"/>
  <c r="J1402" i="18"/>
  <c r="K1402" i="18"/>
  <c r="L1402" i="18"/>
  <c r="B1403" i="18"/>
  <c r="C1403" i="18"/>
  <c r="D1403" i="18"/>
  <c r="E1403" i="18"/>
  <c r="F1403" i="18"/>
  <c r="G1403" i="18"/>
  <c r="H1403" i="18"/>
  <c r="I1403" i="18"/>
  <c r="J1403" i="18"/>
  <c r="K1403" i="18"/>
  <c r="L1403" i="18"/>
  <c r="B1404" i="18"/>
  <c r="C1404" i="18"/>
  <c r="D1404" i="18"/>
  <c r="E1404" i="18"/>
  <c r="F1404" i="18"/>
  <c r="G1404" i="18"/>
  <c r="H1404" i="18"/>
  <c r="I1404" i="18"/>
  <c r="J1404" i="18"/>
  <c r="K1404" i="18"/>
  <c r="L1404" i="18"/>
  <c r="B1405" i="18"/>
  <c r="C1405" i="18"/>
  <c r="D1405" i="18"/>
  <c r="E1405" i="18"/>
  <c r="F1405" i="18"/>
  <c r="G1405" i="18"/>
  <c r="H1405" i="18"/>
  <c r="I1405" i="18"/>
  <c r="J1405" i="18"/>
  <c r="K1405" i="18"/>
  <c r="L1405" i="18"/>
  <c r="B1406" i="18"/>
  <c r="C1406" i="18"/>
  <c r="D1406" i="18"/>
  <c r="E1406" i="18"/>
  <c r="F1406" i="18"/>
  <c r="G1406" i="18"/>
  <c r="H1406" i="18"/>
  <c r="I1406" i="18"/>
  <c r="J1406" i="18"/>
  <c r="K1406" i="18"/>
  <c r="L1406" i="18"/>
  <c r="B1407" i="18"/>
  <c r="C1407" i="18"/>
  <c r="D1407" i="18"/>
  <c r="E1407" i="18"/>
  <c r="F1407" i="18"/>
  <c r="G1407" i="18"/>
  <c r="H1407" i="18"/>
  <c r="I1407" i="18"/>
  <c r="J1407" i="18"/>
  <c r="K1407" i="18"/>
  <c r="L1407" i="18"/>
  <c r="B1408" i="18"/>
  <c r="C1408" i="18"/>
  <c r="D1408" i="18"/>
  <c r="E1408" i="18"/>
  <c r="F1408" i="18"/>
  <c r="G1408" i="18"/>
  <c r="H1408" i="18"/>
  <c r="I1408" i="18"/>
  <c r="J1408" i="18"/>
  <c r="K1408" i="18"/>
  <c r="L1408" i="18"/>
  <c r="B1409" i="18"/>
  <c r="C1409" i="18"/>
  <c r="D1409" i="18"/>
  <c r="E1409" i="18"/>
  <c r="F1409" i="18"/>
  <c r="G1409" i="18"/>
  <c r="H1409" i="18"/>
  <c r="I1409" i="18"/>
  <c r="J1409" i="18"/>
  <c r="K1409" i="18"/>
  <c r="L1409" i="18"/>
  <c r="B1410" i="18"/>
  <c r="C1410" i="18"/>
  <c r="D1410" i="18"/>
  <c r="E1410" i="18"/>
  <c r="F1410" i="18"/>
  <c r="G1410" i="18"/>
  <c r="H1410" i="18"/>
  <c r="I1410" i="18"/>
  <c r="J1410" i="18"/>
  <c r="K1410" i="18"/>
  <c r="L1410" i="18"/>
  <c r="B1411" i="18"/>
  <c r="C1411" i="18"/>
  <c r="D1411" i="18"/>
  <c r="E1411" i="18"/>
  <c r="F1411" i="18"/>
  <c r="G1411" i="18"/>
  <c r="H1411" i="18"/>
  <c r="I1411" i="18"/>
  <c r="J1411" i="18"/>
  <c r="K1411" i="18"/>
  <c r="L1411" i="18"/>
  <c r="B1412" i="18"/>
  <c r="C1412" i="18"/>
  <c r="D1412" i="18"/>
  <c r="E1412" i="18"/>
  <c r="F1412" i="18"/>
  <c r="G1412" i="18"/>
  <c r="H1412" i="18"/>
  <c r="I1412" i="18"/>
  <c r="J1412" i="18"/>
  <c r="K1412" i="18"/>
  <c r="L1412" i="18"/>
  <c r="B1413" i="18"/>
  <c r="C1413" i="18"/>
  <c r="D1413" i="18"/>
  <c r="E1413" i="18"/>
  <c r="F1413" i="18"/>
  <c r="G1413" i="18"/>
  <c r="H1413" i="18"/>
  <c r="I1413" i="18"/>
  <c r="J1413" i="18"/>
  <c r="K1413" i="18"/>
  <c r="L1413" i="18"/>
  <c r="B1414" i="18"/>
  <c r="C1414" i="18"/>
  <c r="D1414" i="18"/>
  <c r="E1414" i="18"/>
  <c r="F1414" i="18"/>
  <c r="G1414" i="18"/>
  <c r="H1414" i="18"/>
  <c r="I1414" i="18"/>
  <c r="J1414" i="18"/>
  <c r="K1414" i="18"/>
  <c r="L1414" i="18"/>
  <c r="B1415" i="18"/>
  <c r="C1415" i="18"/>
  <c r="D1415" i="18"/>
  <c r="E1415" i="18"/>
  <c r="F1415" i="18"/>
  <c r="G1415" i="18"/>
  <c r="H1415" i="18"/>
  <c r="I1415" i="18"/>
  <c r="J1415" i="18"/>
  <c r="K1415" i="18"/>
  <c r="L1415" i="18"/>
  <c r="B1416" i="18"/>
  <c r="C1416" i="18"/>
  <c r="D1416" i="18"/>
  <c r="E1416" i="18"/>
  <c r="F1416" i="18"/>
  <c r="G1416" i="18"/>
  <c r="H1416" i="18"/>
  <c r="I1416" i="18"/>
  <c r="J1416" i="18"/>
  <c r="K1416" i="18"/>
  <c r="L1416" i="18"/>
  <c r="B1417" i="18"/>
  <c r="C1417" i="18"/>
  <c r="D1417" i="18"/>
  <c r="E1417" i="18"/>
  <c r="F1417" i="18"/>
  <c r="G1417" i="18"/>
  <c r="H1417" i="18"/>
  <c r="I1417" i="18"/>
  <c r="J1417" i="18"/>
  <c r="K1417" i="18"/>
  <c r="L1417" i="18"/>
  <c r="B1418" i="18"/>
  <c r="C1418" i="18"/>
  <c r="D1418" i="18"/>
  <c r="E1418" i="18"/>
  <c r="F1418" i="18"/>
  <c r="G1418" i="18"/>
  <c r="H1418" i="18"/>
  <c r="I1418" i="18"/>
  <c r="J1418" i="18"/>
  <c r="K1418" i="18"/>
  <c r="L1418" i="18"/>
  <c r="B1419" i="18"/>
  <c r="C1419" i="18"/>
  <c r="D1419" i="18"/>
  <c r="E1419" i="18"/>
  <c r="F1419" i="18"/>
  <c r="G1419" i="18"/>
  <c r="H1419" i="18"/>
  <c r="I1419" i="18"/>
  <c r="J1419" i="18"/>
  <c r="K1419" i="18"/>
  <c r="L1419" i="18"/>
  <c r="B1420" i="18"/>
  <c r="C1420" i="18"/>
  <c r="D1420" i="18"/>
  <c r="E1420" i="18"/>
  <c r="F1420" i="18"/>
  <c r="G1420" i="18"/>
  <c r="H1420" i="18"/>
  <c r="I1420" i="18"/>
  <c r="J1420" i="18"/>
  <c r="K1420" i="18"/>
  <c r="L1420" i="18"/>
  <c r="B1421" i="18"/>
  <c r="C1421" i="18"/>
  <c r="D1421" i="18"/>
  <c r="E1421" i="18"/>
  <c r="F1421" i="18"/>
  <c r="G1421" i="18"/>
  <c r="H1421" i="18"/>
  <c r="I1421" i="18"/>
  <c r="J1421" i="18"/>
  <c r="K1421" i="18"/>
  <c r="L1421" i="18"/>
  <c r="B1422" i="18"/>
  <c r="C1422" i="18"/>
  <c r="D1422" i="18"/>
  <c r="E1422" i="18"/>
  <c r="F1422" i="18"/>
  <c r="G1422" i="18"/>
  <c r="H1422" i="18"/>
  <c r="I1422" i="18"/>
  <c r="J1422" i="18"/>
  <c r="K1422" i="18"/>
  <c r="L1422" i="18"/>
  <c r="B1423" i="18"/>
  <c r="C1423" i="18"/>
  <c r="D1423" i="18"/>
  <c r="E1423" i="18"/>
  <c r="F1423" i="18"/>
  <c r="G1423" i="18"/>
  <c r="H1423" i="18"/>
  <c r="I1423" i="18"/>
  <c r="J1423" i="18"/>
  <c r="K1423" i="18"/>
  <c r="L1423" i="18"/>
  <c r="B1424" i="18"/>
  <c r="C1424" i="18"/>
  <c r="D1424" i="18"/>
  <c r="E1424" i="18"/>
  <c r="F1424" i="18"/>
  <c r="G1424" i="18"/>
  <c r="H1424" i="18"/>
  <c r="I1424" i="18"/>
  <c r="J1424" i="18"/>
  <c r="K1424" i="18"/>
  <c r="L1424" i="18"/>
  <c r="B1425" i="18"/>
  <c r="C1425" i="18"/>
  <c r="D1425" i="18"/>
  <c r="E1425" i="18"/>
  <c r="F1425" i="18"/>
  <c r="G1425" i="18"/>
  <c r="H1425" i="18"/>
  <c r="I1425" i="18"/>
  <c r="J1425" i="18"/>
  <c r="K1425" i="18"/>
  <c r="L1425" i="18"/>
  <c r="B1426" i="18"/>
  <c r="C1426" i="18"/>
  <c r="D1426" i="18"/>
  <c r="E1426" i="18"/>
  <c r="F1426" i="18"/>
  <c r="G1426" i="18"/>
  <c r="H1426" i="18"/>
  <c r="I1426" i="18"/>
  <c r="J1426" i="18"/>
  <c r="K1426" i="18"/>
  <c r="L1426" i="18"/>
  <c r="B1427" i="18"/>
  <c r="C1427" i="18"/>
  <c r="D1427" i="18"/>
  <c r="E1427" i="18"/>
  <c r="F1427" i="18"/>
  <c r="G1427" i="18"/>
  <c r="H1427" i="18"/>
  <c r="I1427" i="18"/>
  <c r="J1427" i="18"/>
  <c r="K1427" i="18"/>
  <c r="L1427" i="18"/>
  <c r="B1428" i="18"/>
  <c r="C1428" i="18"/>
  <c r="D1428" i="18"/>
  <c r="E1428" i="18"/>
  <c r="F1428" i="18"/>
  <c r="G1428" i="18"/>
  <c r="H1428" i="18"/>
  <c r="I1428" i="18"/>
  <c r="J1428" i="18"/>
  <c r="K1428" i="18"/>
  <c r="L1428" i="18"/>
  <c r="B1429" i="18"/>
  <c r="C1429" i="18"/>
  <c r="D1429" i="18"/>
  <c r="E1429" i="18"/>
  <c r="F1429" i="18"/>
  <c r="G1429" i="18"/>
  <c r="H1429" i="18"/>
  <c r="I1429" i="18"/>
  <c r="J1429" i="18"/>
  <c r="K1429" i="18"/>
  <c r="L1429" i="18"/>
  <c r="B1430" i="18"/>
  <c r="C1430" i="18"/>
  <c r="D1430" i="18"/>
  <c r="E1430" i="18"/>
  <c r="F1430" i="18"/>
  <c r="G1430" i="18"/>
  <c r="H1430" i="18"/>
  <c r="I1430" i="18"/>
  <c r="J1430" i="18"/>
  <c r="K1430" i="18"/>
  <c r="L1430" i="18"/>
  <c r="B1431" i="18"/>
  <c r="C1431" i="18"/>
  <c r="D1431" i="18"/>
  <c r="E1431" i="18"/>
  <c r="F1431" i="18"/>
  <c r="G1431" i="18"/>
  <c r="H1431" i="18"/>
  <c r="I1431" i="18"/>
  <c r="J1431" i="18"/>
  <c r="K1431" i="18"/>
  <c r="L1431" i="18"/>
  <c r="B1432" i="18"/>
  <c r="C1432" i="18"/>
  <c r="D1432" i="18"/>
  <c r="E1432" i="18"/>
  <c r="F1432" i="18"/>
  <c r="G1432" i="18"/>
  <c r="H1432" i="18"/>
  <c r="I1432" i="18"/>
  <c r="J1432" i="18"/>
  <c r="K1432" i="18"/>
  <c r="L1432" i="18"/>
  <c r="B1433" i="18"/>
  <c r="C1433" i="18"/>
  <c r="D1433" i="18"/>
  <c r="E1433" i="18"/>
  <c r="F1433" i="18"/>
  <c r="G1433" i="18"/>
  <c r="H1433" i="18"/>
  <c r="I1433" i="18"/>
  <c r="J1433" i="18"/>
  <c r="K1433" i="18"/>
  <c r="L1433" i="18"/>
  <c r="B1434" i="18"/>
  <c r="C1434" i="18"/>
  <c r="D1434" i="18"/>
  <c r="E1434" i="18"/>
  <c r="F1434" i="18"/>
  <c r="G1434" i="18"/>
  <c r="H1434" i="18"/>
  <c r="I1434" i="18"/>
  <c r="J1434" i="18"/>
  <c r="K1434" i="18"/>
  <c r="L1434" i="18"/>
  <c r="B1435" i="18"/>
  <c r="C1435" i="18"/>
  <c r="D1435" i="18"/>
  <c r="E1435" i="18"/>
  <c r="F1435" i="18"/>
  <c r="G1435" i="18"/>
  <c r="H1435" i="18"/>
  <c r="I1435" i="18"/>
  <c r="J1435" i="18"/>
  <c r="K1435" i="18"/>
  <c r="L1435" i="18"/>
  <c r="B1436" i="18"/>
  <c r="C1436" i="18"/>
  <c r="D1436" i="18"/>
  <c r="E1436" i="18"/>
  <c r="F1436" i="18"/>
  <c r="G1436" i="18"/>
  <c r="H1436" i="18"/>
  <c r="I1436" i="18"/>
  <c r="J1436" i="18"/>
  <c r="K1436" i="18"/>
  <c r="L1436" i="18"/>
  <c r="B1437" i="18"/>
  <c r="C1437" i="18"/>
  <c r="D1437" i="18"/>
  <c r="E1437" i="18"/>
  <c r="F1437" i="18"/>
  <c r="G1437" i="18"/>
  <c r="H1437" i="18"/>
  <c r="I1437" i="18"/>
  <c r="J1437" i="18"/>
  <c r="K1437" i="18"/>
  <c r="L1437" i="18"/>
  <c r="B1438" i="18"/>
  <c r="C1438" i="18"/>
  <c r="D1438" i="18"/>
  <c r="E1438" i="18"/>
  <c r="F1438" i="18"/>
  <c r="G1438" i="18"/>
  <c r="H1438" i="18"/>
  <c r="I1438" i="18"/>
  <c r="J1438" i="18"/>
  <c r="K1438" i="18"/>
  <c r="L1438" i="18"/>
  <c r="B1439" i="18"/>
  <c r="C1439" i="18"/>
  <c r="D1439" i="18"/>
  <c r="E1439" i="18"/>
  <c r="F1439" i="18"/>
  <c r="G1439" i="18"/>
  <c r="H1439" i="18"/>
  <c r="I1439" i="18"/>
  <c r="J1439" i="18"/>
  <c r="K1439" i="18"/>
  <c r="L1439" i="18"/>
  <c r="B1440" i="18"/>
  <c r="C1440" i="18"/>
  <c r="D1440" i="18"/>
  <c r="E1440" i="18"/>
  <c r="F1440" i="18"/>
  <c r="G1440" i="18"/>
  <c r="H1440" i="18"/>
  <c r="I1440" i="18"/>
  <c r="J1440" i="18"/>
  <c r="K1440" i="18"/>
  <c r="L1440" i="18"/>
  <c r="B1441" i="18"/>
  <c r="C1441" i="18"/>
  <c r="D1441" i="18"/>
  <c r="E1441" i="18"/>
  <c r="F1441" i="18"/>
  <c r="G1441" i="18"/>
  <c r="H1441" i="18"/>
  <c r="I1441" i="18"/>
  <c r="J1441" i="18"/>
  <c r="K1441" i="18"/>
  <c r="L1441" i="18"/>
  <c r="B1442" i="18"/>
  <c r="C1442" i="18"/>
  <c r="D1442" i="18"/>
  <c r="E1442" i="18"/>
  <c r="F1442" i="18"/>
  <c r="G1442" i="18"/>
  <c r="H1442" i="18"/>
  <c r="I1442" i="18"/>
  <c r="J1442" i="18"/>
  <c r="K1442" i="18"/>
  <c r="L1442" i="18"/>
  <c r="B1443" i="18"/>
  <c r="C1443" i="18"/>
  <c r="D1443" i="18"/>
  <c r="E1443" i="18"/>
  <c r="F1443" i="18"/>
  <c r="G1443" i="18"/>
  <c r="H1443" i="18"/>
  <c r="I1443" i="18"/>
  <c r="J1443" i="18"/>
  <c r="K1443" i="18"/>
  <c r="L1443" i="18"/>
  <c r="B1444" i="18"/>
  <c r="C1444" i="18"/>
  <c r="D1444" i="18"/>
  <c r="E1444" i="18"/>
  <c r="F1444" i="18"/>
  <c r="G1444" i="18"/>
  <c r="H1444" i="18"/>
  <c r="I1444" i="18"/>
  <c r="J1444" i="18"/>
  <c r="K1444" i="18"/>
  <c r="L1444" i="18"/>
  <c r="B1445" i="18"/>
  <c r="C1445" i="18"/>
  <c r="D1445" i="18"/>
  <c r="E1445" i="18"/>
  <c r="F1445" i="18"/>
  <c r="G1445" i="18"/>
  <c r="H1445" i="18"/>
  <c r="I1445" i="18"/>
  <c r="J1445" i="18"/>
  <c r="K1445" i="18"/>
  <c r="L1445" i="18"/>
  <c r="B1446" i="18"/>
  <c r="C1446" i="18"/>
  <c r="D1446" i="18"/>
  <c r="E1446" i="18"/>
  <c r="F1446" i="18"/>
  <c r="G1446" i="18"/>
  <c r="H1446" i="18"/>
  <c r="I1446" i="18"/>
  <c r="J1446" i="18"/>
  <c r="K1446" i="18"/>
  <c r="L1446" i="18"/>
  <c r="B1447" i="18"/>
  <c r="C1447" i="18"/>
  <c r="D1447" i="18"/>
  <c r="E1447" i="18"/>
  <c r="F1447" i="18"/>
  <c r="G1447" i="18"/>
  <c r="H1447" i="18"/>
  <c r="I1447" i="18"/>
  <c r="J1447" i="18"/>
  <c r="K1447" i="18"/>
  <c r="L1447" i="18"/>
  <c r="B1448" i="18"/>
  <c r="C1448" i="18"/>
  <c r="D1448" i="18"/>
  <c r="E1448" i="18"/>
  <c r="F1448" i="18"/>
  <c r="G1448" i="18"/>
  <c r="H1448" i="18"/>
  <c r="I1448" i="18"/>
  <c r="J1448" i="18"/>
  <c r="K1448" i="18"/>
  <c r="L1448" i="18"/>
  <c r="B1449" i="18"/>
  <c r="C1449" i="18"/>
  <c r="D1449" i="18"/>
  <c r="E1449" i="18"/>
  <c r="F1449" i="18"/>
  <c r="G1449" i="18"/>
  <c r="H1449" i="18"/>
  <c r="I1449" i="18"/>
  <c r="J1449" i="18"/>
  <c r="K1449" i="18"/>
  <c r="L1449" i="18"/>
  <c r="B1450" i="18"/>
  <c r="C1450" i="18"/>
  <c r="D1450" i="18"/>
  <c r="E1450" i="18"/>
  <c r="F1450" i="18"/>
  <c r="G1450" i="18"/>
  <c r="H1450" i="18"/>
  <c r="I1450" i="18"/>
  <c r="J1450" i="18"/>
  <c r="K1450" i="18"/>
  <c r="L1450" i="18"/>
  <c r="B1451" i="18"/>
  <c r="C1451" i="18"/>
  <c r="D1451" i="18"/>
  <c r="E1451" i="18"/>
  <c r="F1451" i="18"/>
  <c r="G1451" i="18"/>
  <c r="H1451" i="18"/>
  <c r="I1451" i="18"/>
  <c r="J1451" i="18"/>
  <c r="K1451" i="18"/>
  <c r="L1451" i="18"/>
  <c r="B1452" i="18"/>
  <c r="C1452" i="18"/>
  <c r="D1452" i="18"/>
  <c r="E1452" i="18"/>
  <c r="F1452" i="18"/>
  <c r="G1452" i="18"/>
  <c r="H1452" i="18"/>
  <c r="I1452" i="18"/>
  <c r="J1452" i="18"/>
  <c r="K1452" i="18"/>
  <c r="L1452" i="18"/>
  <c r="B1453" i="18"/>
  <c r="C1453" i="18"/>
  <c r="D1453" i="18"/>
  <c r="E1453" i="18"/>
  <c r="F1453" i="18"/>
  <c r="G1453" i="18"/>
  <c r="H1453" i="18"/>
  <c r="I1453" i="18"/>
  <c r="J1453" i="18"/>
  <c r="K1453" i="18"/>
  <c r="L1453" i="18"/>
  <c r="B1454" i="18"/>
  <c r="C1454" i="18"/>
  <c r="D1454" i="18"/>
  <c r="E1454" i="18"/>
  <c r="F1454" i="18"/>
  <c r="G1454" i="18"/>
  <c r="H1454" i="18"/>
  <c r="I1454" i="18"/>
  <c r="J1454" i="18"/>
  <c r="K1454" i="18"/>
  <c r="L1454" i="18"/>
  <c r="B1455" i="18"/>
  <c r="C1455" i="18"/>
  <c r="D1455" i="18"/>
  <c r="E1455" i="18"/>
  <c r="F1455" i="18"/>
  <c r="G1455" i="18"/>
  <c r="H1455" i="18"/>
  <c r="I1455" i="18"/>
  <c r="J1455" i="18"/>
  <c r="K1455" i="18"/>
  <c r="L1455" i="18"/>
  <c r="B1456" i="18"/>
  <c r="C1456" i="18"/>
  <c r="D1456" i="18"/>
  <c r="E1456" i="18"/>
  <c r="F1456" i="18"/>
  <c r="G1456" i="18"/>
  <c r="H1456" i="18"/>
  <c r="I1456" i="18"/>
  <c r="J1456" i="18"/>
  <c r="K1456" i="18"/>
  <c r="L1456" i="18"/>
  <c r="B1457" i="18"/>
  <c r="C1457" i="18"/>
  <c r="D1457" i="18"/>
  <c r="E1457" i="18"/>
  <c r="F1457" i="18"/>
  <c r="G1457" i="18"/>
  <c r="H1457" i="18"/>
  <c r="I1457" i="18"/>
  <c r="J1457" i="18"/>
  <c r="K1457" i="18"/>
  <c r="L1457" i="18"/>
  <c r="B1458" i="18"/>
  <c r="C1458" i="18"/>
  <c r="D1458" i="18"/>
  <c r="E1458" i="18"/>
  <c r="F1458" i="18"/>
  <c r="G1458" i="18"/>
  <c r="H1458" i="18"/>
  <c r="I1458" i="18"/>
  <c r="J1458" i="18"/>
  <c r="K1458" i="18"/>
  <c r="L1458" i="18"/>
  <c r="B1459" i="18"/>
  <c r="C1459" i="18"/>
  <c r="D1459" i="18"/>
  <c r="E1459" i="18"/>
  <c r="F1459" i="18"/>
  <c r="G1459" i="18"/>
  <c r="H1459" i="18"/>
  <c r="I1459" i="18"/>
  <c r="J1459" i="18"/>
  <c r="K1459" i="18"/>
  <c r="L1459" i="18"/>
  <c r="B1460" i="18"/>
  <c r="C1460" i="18"/>
  <c r="D1460" i="18"/>
  <c r="E1460" i="18"/>
  <c r="F1460" i="18"/>
  <c r="G1460" i="18"/>
  <c r="H1460" i="18"/>
  <c r="I1460" i="18"/>
  <c r="J1460" i="18"/>
  <c r="K1460" i="18"/>
  <c r="L1460" i="18"/>
  <c r="B1461" i="18"/>
  <c r="C1461" i="18"/>
  <c r="D1461" i="18"/>
  <c r="E1461" i="18"/>
  <c r="F1461" i="18"/>
  <c r="G1461" i="18"/>
  <c r="H1461" i="18"/>
  <c r="I1461" i="18"/>
  <c r="J1461" i="18"/>
  <c r="K1461" i="18"/>
  <c r="L1461" i="18"/>
  <c r="B1462" i="18"/>
  <c r="C1462" i="18"/>
  <c r="D1462" i="18"/>
  <c r="E1462" i="18"/>
  <c r="F1462" i="18"/>
  <c r="G1462" i="18"/>
  <c r="H1462" i="18"/>
  <c r="I1462" i="18"/>
  <c r="J1462" i="18"/>
  <c r="K1462" i="18"/>
  <c r="L1462" i="18"/>
  <c r="B1463" i="18"/>
  <c r="C1463" i="18"/>
  <c r="D1463" i="18"/>
  <c r="E1463" i="18"/>
  <c r="F1463" i="18"/>
  <c r="G1463" i="18"/>
  <c r="H1463" i="18"/>
  <c r="I1463" i="18"/>
  <c r="J1463" i="18"/>
  <c r="K1463" i="18"/>
  <c r="L1463" i="18"/>
  <c r="B1464" i="18"/>
  <c r="C1464" i="18"/>
  <c r="D1464" i="18"/>
  <c r="E1464" i="18"/>
  <c r="F1464" i="18"/>
  <c r="G1464" i="18"/>
  <c r="H1464" i="18"/>
  <c r="I1464" i="18"/>
  <c r="J1464" i="18"/>
  <c r="K1464" i="18"/>
  <c r="L1464" i="18"/>
  <c r="B1465" i="18"/>
  <c r="C1465" i="18"/>
  <c r="D1465" i="18"/>
  <c r="E1465" i="18"/>
  <c r="F1465" i="18"/>
  <c r="G1465" i="18"/>
  <c r="H1465" i="18"/>
  <c r="I1465" i="18"/>
  <c r="J1465" i="18"/>
  <c r="K1465" i="18"/>
  <c r="L1465" i="18"/>
  <c r="B1466" i="18"/>
  <c r="C1466" i="18"/>
  <c r="D1466" i="18"/>
  <c r="E1466" i="18"/>
  <c r="F1466" i="18"/>
  <c r="G1466" i="18"/>
  <c r="H1466" i="18"/>
  <c r="I1466" i="18"/>
  <c r="J1466" i="18"/>
  <c r="K1466" i="18"/>
  <c r="L1466" i="18"/>
  <c r="B1467" i="18"/>
  <c r="C1467" i="18"/>
  <c r="D1467" i="18"/>
  <c r="E1467" i="18"/>
  <c r="F1467" i="18"/>
  <c r="G1467" i="18"/>
  <c r="H1467" i="18"/>
  <c r="I1467" i="18"/>
  <c r="J1467" i="18"/>
  <c r="K1467" i="18"/>
  <c r="L1467" i="18"/>
  <c r="B1468" i="18"/>
  <c r="C1468" i="18"/>
  <c r="D1468" i="18"/>
  <c r="E1468" i="18"/>
  <c r="F1468" i="18"/>
  <c r="G1468" i="18"/>
  <c r="H1468" i="18"/>
  <c r="I1468" i="18"/>
  <c r="J1468" i="18"/>
  <c r="K1468" i="18"/>
  <c r="L1468" i="18"/>
  <c r="B1469" i="18"/>
  <c r="C1469" i="18"/>
  <c r="D1469" i="18"/>
  <c r="E1469" i="18"/>
  <c r="F1469" i="18"/>
  <c r="G1469" i="18"/>
  <c r="H1469" i="18"/>
  <c r="I1469" i="18"/>
  <c r="J1469" i="18"/>
  <c r="K1469" i="18"/>
  <c r="L1469" i="18"/>
  <c r="B1470" i="18"/>
  <c r="C1470" i="18"/>
  <c r="D1470" i="18"/>
  <c r="E1470" i="18"/>
  <c r="F1470" i="18"/>
  <c r="G1470" i="18"/>
  <c r="H1470" i="18"/>
  <c r="I1470" i="18"/>
  <c r="J1470" i="18"/>
  <c r="K1470" i="18"/>
  <c r="L1470" i="18"/>
  <c r="B1471" i="18"/>
  <c r="C1471" i="18"/>
  <c r="D1471" i="18"/>
  <c r="E1471" i="18"/>
  <c r="F1471" i="18"/>
  <c r="G1471" i="18"/>
  <c r="H1471" i="18"/>
  <c r="I1471" i="18"/>
  <c r="J1471" i="18"/>
  <c r="K1471" i="18"/>
  <c r="L1471" i="18"/>
  <c r="B1472" i="18"/>
  <c r="C1472" i="18"/>
  <c r="D1472" i="18"/>
  <c r="E1472" i="18"/>
  <c r="F1472" i="18"/>
  <c r="G1472" i="18"/>
  <c r="H1472" i="18"/>
  <c r="I1472" i="18"/>
  <c r="J1472" i="18"/>
  <c r="K1472" i="18"/>
  <c r="L1472" i="18"/>
  <c r="B1473" i="18"/>
  <c r="C1473" i="18"/>
  <c r="D1473" i="18"/>
  <c r="E1473" i="18"/>
  <c r="F1473" i="18"/>
  <c r="G1473" i="18"/>
  <c r="H1473" i="18"/>
  <c r="I1473" i="18"/>
  <c r="J1473" i="18"/>
  <c r="K1473" i="18"/>
  <c r="L1473" i="18"/>
  <c r="B1474" i="18"/>
  <c r="C1474" i="18"/>
  <c r="D1474" i="18"/>
  <c r="E1474" i="18"/>
  <c r="F1474" i="18"/>
  <c r="G1474" i="18"/>
  <c r="H1474" i="18"/>
  <c r="I1474" i="18"/>
  <c r="J1474" i="18"/>
  <c r="K1474" i="18"/>
  <c r="L1474" i="18"/>
  <c r="B1475" i="18"/>
  <c r="C1475" i="18"/>
  <c r="D1475" i="18"/>
  <c r="E1475" i="18"/>
  <c r="F1475" i="18"/>
  <c r="G1475" i="18"/>
  <c r="H1475" i="18"/>
  <c r="I1475" i="18"/>
  <c r="J1475" i="18"/>
  <c r="K1475" i="18"/>
  <c r="L1475" i="18"/>
  <c r="B1476" i="18"/>
  <c r="C1476" i="18"/>
  <c r="D1476" i="18"/>
  <c r="E1476" i="18"/>
  <c r="F1476" i="18"/>
  <c r="G1476" i="18"/>
  <c r="H1476" i="18"/>
  <c r="I1476" i="18"/>
  <c r="J1476" i="18"/>
  <c r="K1476" i="18"/>
  <c r="L1476" i="18"/>
  <c r="B1477" i="18"/>
  <c r="C1477" i="18"/>
  <c r="D1477" i="18"/>
  <c r="E1477" i="18"/>
  <c r="F1477" i="18"/>
  <c r="G1477" i="18"/>
  <c r="H1477" i="18"/>
  <c r="I1477" i="18"/>
  <c r="J1477" i="18"/>
  <c r="K1477" i="18"/>
  <c r="L1477" i="18"/>
  <c r="B1478" i="18"/>
  <c r="C1478" i="18"/>
  <c r="D1478" i="18"/>
  <c r="E1478" i="18"/>
  <c r="F1478" i="18"/>
  <c r="G1478" i="18"/>
  <c r="H1478" i="18"/>
  <c r="I1478" i="18"/>
  <c r="J1478" i="18"/>
  <c r="K1478" i="18"/>
  <c r="L1478" i="18"/>
  <c r="B1479" i="18"/>
  <c r="C1479" i="18"/>
  <c r="D1479" i="18"/>
  <c r="E1479" i="18"/>
  <c r="F1479" i="18"/>
  <c r="G1479" i="18"/>
  <c r="H1479" i="18"/>
  <c r="I1479" i="18"/>
  <c r="J1479" i="18"/>
  <c r="K1479" i="18"/>
  <c r="L1479" i="18"/>
  <c r="B1480" i="18"/>
  <c r="C1480" i="18"/>
  <c r="D1480" i="18"/>
  <c r="E1480" i="18"/>
  <c r="F1480" i="18"/>
  <c r="G1480" i="18"/>
  <c r="H1480" i="18"/>
  <c r="I1480" i="18"/>
  <c r="J1480" i="18"/>
  <c r="K1480" i="18"/>
  <c r="L1480" i="18"/>
  <c r="B1481" i="18"/>
  <c r="C1481" i="18"/>
  <c r="D1481" i="18"/>
  <c r="E1481" i="18"/>
  <c r="F1481" i="18"/>
  <c r="G1481" i="18"/>
  <c r="H1481" i="18"/>
  <c r="I1481" i="18"/>
  <c r="J1481" i="18"/>
  <c r="K1481" i="18"/>
  <c r="L1481" i="18"/>
  <c r="B1482" i="18"/>
  <c r="C1482" i="18"/>
  <c r="D1482" i="18"/>
  <c r="E1482" i="18"/>
  <c r="F1482" i="18"/>
  <c r="G1482" i="18"/>
  <c r="H1482" i="18"/>
  <c r="I1482" i="18"/>
  <c r="J1482" i="18"/>
  <c r="K1482" i="18"/>
  <c r="L1482" i="18"/>
  <c r="B1483" i="18"/>
  <c r="C1483" i="18"/>
  <c r="D1483" i="18"/>
  <c r="E1483" i="18"/>
  <c r="F1483" i="18"/>
  <c r="G1483" i="18"/>
  <c r="H1483" i="18"/>
  <c r="I1483" i="18"/>
  <c r="J1483" i="18"/>
  <c r="K1483" i="18"/>
  <c r="L1483" i="18"/>
  <c r="B1484" i="18"/>
  <c r="C1484" i="18"/>
  <c r="D1484" i="18"/>
  <c r="E1484" i="18"/>
  <c r="F1484" i="18"/>
  <c r="G1484" i="18"/>
  <c r="H1484" i="18"/>
  <c r="I1484" i="18"/>
  <c r="J1484" i="18"/>
  <c r="K1484" i="18"/>
  <c r="L1484" i="18"/>
  <c r="B1485" i="18"/>
  <c r="C1485" i="18"/>
  <c r="D1485" i="18"/>
  <c r="E1485" i="18"/>
  <c r="F1485" i="18"/>
  <c r="G1485" i="18"/>
  <c r="H1485" i="18"/>
  <c r="I1485" i="18"/>
  <c r="J1485" i="18"/>
  <c r="K1485" i="18"/>
  <c r="L1485" i="18"/>
  <c r="B1486" i="18"/>
  <c r="C1486" i="18"/>
  <c r="D1486" i="18"/>
  <c r="E1486" i="18"/>
  <c r="F1486" i="18"/>
  <c r="G1486" i="18"/>
  <c r="H1486" i="18"/>
  <c r="I1486" i="18"/>
  <c r="J1486" i="18"/>
  <c r="K1486" i="18"/>
  <c r="L1486" i="18"/>
  <c r="B1487" i="18"/>
  <c r="C1487" i="18"/>
  <c r="D1487" i="18"/>
  <c r="E1487" i="18"/>
  <c r="F1487" i="18"/>
  <c r="G1487" i="18"/>
  <c r="H1487" i="18"/>
  <c r="I1487" i="18"/>
  <c r="J1487" i="18"/>
  <c r="K1487" i="18"/>
  <c r="L1487" i="18"/>
  <c r="B1488" i="18"/>
  <c r="C1488" i="18"/>
  <c r="D1488" i="18"/>
  <c r="E1488" i="18"/>
  <c r="F1488" i="18"/>
  <c r="G1488" i="18"/>
  <c r="H1488" i="18"/>
  <c r="I1488" i="18"/>
  <c r="J1488" i="18"/>
  <c r="K1488" i="18"/>
  <c r="L1488" i="18"/>
  <c r="B1489" i="18"/>
  <c r="C1489" i="18"/>
  <c r="D1489" i="18"/>
  <c r="E1489" i="18"/>
  <c r="F1489" i="18"/>
  <c r="G1489" i="18"/>
  <c r="H1489" i="18"/>
  <c r="I1489" i="18"/>
  <c r="J1489" i="18"/>
  <c r="K1489" i="18"/>
  <c r="L1489" i="18"/>
  <c r="B1490" i="18"/>
  <c r="C1490" i="18"/>
  <c r="D1490" i="18"/>
  <c r="E1490" i="18"/>
  <c r="F1490" i="18"/>
  <c r="G1490" i="18"/>
  <c r="H1490" i="18"/>
  <c r="I1490" i="18"/>
  <c r="J1490" i="18"/>
  <c r="K1490" i="18"/>
  <c r="L1490" i="18"/>
  <c r="B1491" i="18"/>
  <c r="C1491" i="18"/>
  <c r="D1491" i="18"/>
  <c r="E1491" i="18"/>
  <c r="F1491" i="18"/>
  <c r="G1491" i="18"/>
  <c r="H1491" i="18"/>
  <c r="I1491" i="18"/>
  <c r="J1491" i="18"/>
  <c r="K1491" i="18"/>
  <c r="L1491" i="18"/>
  <c r="B1492" i="18"/>
  <c r="C1492" i="18"/>
  <c r="D1492" i="18"/>
  <c r="E1492" i="18"/>
  <c r="F1492" i="18"/>
  <c r="G1492" i="18"/>
  <c r="H1492" i="18"/>
  <c r="I1492" i="18"/>
  <c r="J1492" i="18"/>
  <c r="K1492" i="18"/>
  <c r="L1492" i="18"/>
  <c r="B1493" i="18"/>
  <c r="C1493" i="18"/>
  <c r="D1493" i="18"/>
  <c r="E1493" i="18"/>
  <c r="F1493" i="18"/>
  <c r="G1493" i="18"/>
  <c r="H1493" i="18"/>
  <c r="I1493" i="18"/>
  <c r="J1493" i="18"/>
  <c r="K1493" i="18"/>
  <c r="L1493" i="18"/>
  <c r="B1494" i="18"/>
  <c r="C1494" i="18"/>
  <c r="D1494" i="18"/>
  <c r="E1494" i="18"/>
  <c r="F1494" i="18"/>
  <c r="G1494" i="18"/>
  <c r="H1494" i="18"/>
  <c r="I1494" i="18"/>
  <c r="J1494" i="18"/>
  <c r="K1494" i="18"/>
  <c r="L1494" i="18"/>
  <c r="B1495" i="18"/>
  <c r="C1495" i="18"/>
  <c r="D1495" i="18"/>
  <c r="E1495" i="18"/>
  <c r="F1495" i="18"/>
  <c r="G1495" i="18"/>
  <c r="H1495" i="18"/>
  <c r="I1495" i="18"/>
  <c r="J1495" i="18"/>
  <c r="K1495" i="18"/>
  <c r="L1495" i="18"/>
  <c r="B1496" i="18"/>
  <c r="C1496" i="18"/>
  <c r="D1496" i="18"/>
  <c r="E1496" i="18"/>
  <c r="F1496" i="18"/>
  <c r="G1496" i="18"/>
  <c r="H1496" i="18"/>
  <c r="I1496" i="18"/>
  <c r="J1496" i="18"/>
  <c r="K1496" i="18"/>
  <c r="L1496" i="18"/>
  <c r="B1497" i="18"/>
  <c r="C1497" i="18"/>
  <c r="D1497" i="18"/>
  <c r="E1497" i="18"/>
  <c r="F1497" i="18"/>
  <c r="G1497" i="18"/>
  <c r="H1497" i="18"/>
  <c r="I1497" i="18"/>
  <c r="J1497" i="18"/>
  <c r="K1497" i="18"/>
  <c r="L1497" i="18"/>
  <c r="B1498" i="18"/>
  <c r="C1498" i="18"/>
  <c r="D1498" i="18"/>
  <c r="E1498" i="18"/>
  <c r="F1498" i="18"/>
  <c r="G1498" i="18"/>
  <c r="H1498" i="18"/>
  <c r="I1498" i="18"/>
  <c r="J1498" i="18"/>
  <c r="K1498" i="18"/>
  <c r="L1498" i="18"/>
  <c r="B1499" i="18"/>
  <c r="C1499" i="18"/>
  <c r="D1499" i="18"/>
  <c r="E1499" i="18"/>
  <c r="F1499" i="18"/>
  <c r="G1499" i="18"/>
  <c r="H1499" i="18"/>
  <c r="I1499" i="18"/>
  <c r="J1499" i="18"/>
  <c r="K1499" i="18"/>
  <c r="L1499" i="18"/>
  <c r="B1500" i="18"/>
  <c r="C1500" i="18"/>
  <c r="D1500" i="18"/>
  <c r="E1500" i="18"/>
  <c r="F1500" i="18"/>
  <c r="G1500" i="18"/>
  <c r="H1500" i="18"/>
  <c r="I1500" i="18"/>
  <c r="J1500" i="18"/>
  <c r="K1500" i="18"/>
  <c r="L1500" i="18"/>
  <c r="B1501" i="18"/>
  <c r="C1501" i="18"/>
  <c r="D1501" i="18"/>
  <c r="E1501" i="18"/>
  <c r="F1501" i="18"/>
  <c r="G1501" i="18"/>
  <c r="H1501" i="18"/>
  <c r="I1501" i="18"/>
  <c r="J1501" i="18"/>
  <c r="K1501" i="18"/>
  <c r="L1501" i="18"/>
  <c r="B1502" i="18"/>
  <c r="C1502" i="18"/>
  <c r="D1502" i="18"/>
  <c r="E1502" i="18"/>
  <c r="F1502" i="18"/>
  <c r="G1502" i="18"/>
  <c r="H1502" i="18"/>
  <c r="I1502" i="18"/>
  <c r="J1502" i="18"/>
  <c r="K1502" i="18"/>
  <c r="L1502" i="18"/>
  <c r="B1503" i="18"/>
  <c r="C1503" i="18"/>
  <c r="D1503" i="18"/>
  <c r="E1503" i="18"/>
  <c r="F1503" i="18"/>
  <c r="G1503" i="18"/>
  <c r="H1503" i="18"/>
  <c r="I1503" i="18"/>
  <c r="J1503" i="18"/>
  <c r="K1503" i="18"/>
  <c r="L1503" i="18"/>
  <c r="B1504" i="18"/>
  <c r="C1504" i="18"/>
  <c r="D1504" i="18"/>
  <c r="E1504" i="18"/>
  <c r="F1504" i="18"/>
  <c r="G1504" i="18"/>
  <c r="H1504" i="18"/>
  <c r="I1504" i="18"/>
  <c r="J1504" i="18"/>
  <c r="K1504" i="18"/>
  <c r="L1504" i="18"/>
  <c r="B1505" i="18"/>
  <c r="C1505" i="18"/>
  <c r="D1505" i="18"/>
  <c r="E1505" i="18"/>
  <c r="F1505" i="18"/>
  <c r="G1505" i="18"/>
  <c r="H1505" i="18"/>
  <c r="I1505" i="18"/>
  <c r="J1505" i="18"/>
  <c r="K1505" i="18"/>
  <c r="L1505" i="18"/>
  <c r="B1506" i="18"/>
  <c r="C1506" i="18"/>
  <c r="D1506" i="18"/>
  <c r="E1506" i="18"/>
  <c r="F1506" i="18"/>
  <c r="G1506" i="18"/>
  <c r="H1506" i="18"/>
  <c r="I1506" i="18"/>
  <c r="J1506" i="18"/>
  <c r="K1506" i="18"/>
  <c r="L1506" i="18"/>
  <c r="B1507" i="18"/>
  <c r="C1507" i="18"/>
  <c r="D1507" i="18"/>
  <c r="E1507" i="18"/>
  <c r="F1507" i="18"/>
  <c r="G1507" i="18"/>
  <c r="H1507" i="18"/>
  <c r="I1507" i="18"/>
  <c r="J1507" i="18"/>
  <c r="K1507" i="18"/>
  <c r="L1507" i="18"/>
  <c r="B1508" i="18"/>
  <c r="C1508" i="18"/>
  <c r="D1508" i="18"/>
  <c r="E1508" i="18"/>
  <c r="F1508" i="18"/>
  <c r="G1508" i="18"/>
  <c r="H1508" i="18"/>
  <c r="I1508" i="18"/>
  <c r="J1508" i="18"/>
  <c r="K1508" i="18"/>
  <c r="L1508" i="18"/>
  <c r="B1509" i="18"/>
  <c r="C1509" i="18"/>
  <c r="D1509" i="18"/>
  <c r="E1509" i="18"/>
  <c r="F1509" i="18"/>
  <c r="G1509" i="18"/>
  <c r="H1509" i="18"/>
  <c r="I1509" i="18"/>
  <c r="J1509" i="18"/>
  <c r="K1509" i="18"/>
  <c r="L1509" i="18"/>
  <c r="B1510" i="18"/>
  <c r="C1510" i="18"/>
  <c r="D1510" i="18"/>
  <c r="E1510" i="18"/>
  <c r="F1510" i="18"/>
  <c r="G1510" i="18"/>
  <c r="H1510" i="18"/>
  <c r="I1510" i="18"/>
  <c r="J1510" i="18"/>
  <c r="K1510" i="18"/>
  <c r="L1510" i="18"/>
  <c r="B1511" i="18"/>
  <c r="C1511" i="18"/>
  <c r="D1511" i="18"/>
  <c r="E1511" i="18"/>
  <c r="F1511" i="18"/>
  <c r="G1511" i="18"/>
  <c r="H1511" i="18"/>
  <c r="I1511" i="18"/>
  <c r="J1511" i="18"/>
  <c r="K1511" i="18"/>
  <c r="L1511" i="18"/>
  <c r="B1512" i="18"/>
  <c r="C1512" i="18"/>
  <c r="D1512" i="18"/>
  <c r="E1512" i="18"/>
  <c r="F1512" i="18"/>
  <c r="G1512" i="18"/>
  <c r="H1512" i="18"/>
  <c r="I1512" i="18"/>
  <c r="J1512" i="18"/>
  <c r="K1512" i="18"/>
  <c r="L1512" i="18"/>
  <c r="B1513" i="18"/>
  <c r="C1513" i="18"/>
  <c r="D1513" i="18"/>
  <c r="E1513" i="18"/>
  <c r="F1513" i="18"/>
  <c r="G1513" i="18"/>
  <c r="H1513" i="18"/>
  <c r="I1513" i="18"/>
  <c r="J1513" i="18"/>
  <c r="K1513" i="18"/>
  <c r="L1513" i="18"/>
  <c r="B1514" i="18"/>
  <c r="C1514" i="18"/>
  <c r="D1514" i="18"/>
  <c r="E1514" i="18"/>
  <c r="F1514" i="18"/>
  <c r="G1514" i="18"/>
  <c r="H1514" i="18"/>
  <c r="I1514" i="18"/>
  <c r="J1514" i="18"/>
  <c r="K1514" i="18"/>
  <c r="L1514" i="18"/>
  <c r="B1515" i="18"/>
  <c r="C1515" i="18"/>
  <c r="D1515" i="18"/>
  <c r="E1515" i="18"/>
  <c r="F1515" i="18"/>
  <c r="G1515" i="18"/>
  <c r="H1515" i="18"/>
  <c r="I1515" i="18"/>
  <c r="J1515" i="18"/>
  <c r="K1515" i="18"/>
  <c r="L1515" i="18"/>
  <c r="B1516" i="18"/>
  <c r="C1516" i="18"/>
  <c r="D1516" i="18"/>
  <c r="E1516" i="18"/>
  <c r="F1516" i="18"/>
  <c r="G1516" i="18"/>
  <c r="H1516" i="18"/>
  <c r="I1516" i="18"/>
  <c r="J1516" i="18"/>
  <c r="K1516" i="18"/>
  <c r="L1516" i="18"/>
  <c r="B1517" i="18"/>
  <c r="C1517" i="18"/>
  <c r="D1517" i="18"/>
  <c r="E1517" i="18"/>
  <c r="F1517" i="18"/>
  <c r="G1517" i="18"/>
  <c r="H1517" i="18"/>
  <c r="I1517" i="18"/>
  <c r="J1517" i="18"/>
  <c r="K1517" i="18"/>
  <c r="L1517" i="18"/>
  <c r="B1518" i="18"/>
  <c r="C1518" i="18"/>
  <c r="D1518" i="18"/>
  <c r="E1518" i="18"/>
  <c r="F1518" i="18"/>
  <c r="G1518" i="18"/>
  <c r="H1518" i="18"/>
  <c r="I1518" i="18"/>
  <c r="J1518" i="18"/>
  <c r="K1518" i="18"/>
  <c r="L1518" i="18"/>
  <c r="B1519" i="18"/>
  <c r="C1519" i="18"/>
  <c r="D1519" i="18"/>
  <c r="E1519" i="18"/>
  <c r="F1519" i="18"/>
  <c r="G1519" i="18"/>
  <c r="H1519" i="18"/>
  <c r="I1519" i="18"/>
  <c r="J1519" i="18"/>
  <c r="K1519" i="18"/>
  <c r="L1519" i="18"/>
  <c r="B1520" i="18"/>
  <c r="C1520" i="18"/>
  <c r="D1520" i="18"/>
  <c r="E1520" i="18"/>
  <c r="F1520" i="18"/>
  <c r="G1520" i="18"/>
  <c r="H1520" i="18"/>
  <c r="I1520" i="18"/>
  <c r="J1520" i="18"/>
  <c r="K1520" i="18"/>
  <c r="L1520" i="18"/>
  <c r="B1521" i="18"/>
  <c r="C1521" i="18"/>
  <c r="D1521" i="18"/>
  <c r="E1521" i="18"/>
  <c r="F1521" i="18"/>
  <c r="G1521" i="18"/>
  <c r="H1521" i="18"/>
  <c r="I1521" i="18"/>
  <c r="J1521" i="18"/>
  <c r="K1521" i="18"/>
  <c r="L1521" i="18"/>
  <c r="B1522" i="18"/>
  <c r="C1522" i="18"/>
  <c r="D1522" i="18"/>
  <c r="E1522" i="18"/>
  <c r="F1522" i="18"/>
  <c r="G1522" i="18"/>
  <c r="H1522" i="18"/>
  <c r="I1522" i="18"/>
  <c r="J1522" i="18"/>
  <c r="K1522" i="18"/>
  <c r="L1522" i="18"/>
  <c r="B1523" i="18"/>
  <c r="C1523" i="18"/>
  <c r="D1523" i="18"/>
  <c r="E1523" i="18"/>
  <c r="F1523" i="18"/>
  <c r="G1523" i="18"/>
  <c r="H1523" i="18"/>
  <c r="I1523" i="18"/>
  <c r="J1523" i="18"/>
  <c r="K1523" i="18"/>
  <c r="L1523" i="18"/>
  <c r="B1524" i="18"/>
  <c r="C1524" i="18"/>
  <c r="D1524" i="18"/>
  <c r="E1524" i="18"/>
  <c r="F1524" i="18"/>
  <c r="G1524" i="18"/>
  <c r="H1524" i="18"/>
  <c r="I1524" i="18"/>
  <c r="J1524" i="18"/>
  <c r="K1524" i="18"/>
  <c r="L1524" i="18"/>
  <c r="B1525" i="18"/>
  <c r="C1525" i="18"/>
  <c r="D1525" i="18"/>
  <c r="E1525" i="18"/>
  <c r="F1525" i="18"/>
  <c r="G1525" i="18"/>
  <c r="H1525" i="18"/>
  <c r="I1525" i="18"/>
  <c r="J1525" i="18"/>
  <c r="K1525" i="18"/>
  <c r="L1525" i="18"/>
  <c r="B1526" i="18"/>
  <c r="C1526" i="18"/>
  <c r="D1526" i="18"/>
  <c r="E1526" i="18"/>
  <c r="F1526" i="18"/>
  <c r="G1526" i="18"/>
  <c r="H1526" i="18"/>
  <c r="I1526" i="18"/>
  <c r="J1526" i="18"/>
  <c r="K1526" i="18"/>
  <c r="L1526" i="18"/>
  <c r="B1527" i="18"/>
  <c r="C1527" i="18"/>
  <c r="D1527" i="18"/>
  <c r="E1527" i="18"/>
  <c r="F1527" i="18"/>
  <c r="G1527" i="18"/>
  <c r="H1527" i="18"/>
  <c r="I1527" i="18"/>
  <c r="J1527" i="18"/>
  <c r="K1527" i="18"/>
  <c r="L1527" i="18"/>
  <c r="B1528" i="18"/>
  <c r="C1528" i="18"/>
  <c r="D1528" i="18"/>
  <c r="E1528" i="18"/>
  <c r="F1528" i="18"/>
  <c r="G1528" i="18"/>
  <c r="H1528" i="18"/>
  <c r="I1528" i="18"/>
  <c r="J1528" i="18"/>
  <c r="K1528" i="18"/>
  <c r="L1528" i="18"/>
  <c r="B1529" i="18"/>
  <c r="C1529" i="18"/>
  <c r="D1529" i="18"/>
  <c r="E1529" i="18"/>
  <c r="F1529" i="18"/>
  <c r="G1529" i="18"/>
  <c r="H1529" i="18"/>
  <c r="I1529" i="18"/>
  <c r="J1529" i="18"/>
  <c r="K1529" i="18"/>
  <c r="L1529" i="18"/>
  <c r="B1530" i="18"/>
  <c r="C1530" i="18"/>
  <c r="D1530" i="18"/>
  <c r="E1530" i="18"/>
  <c r="F1530" i="18"/>
  <c r="G1530" i="18"/>
  <c r="H1530" i="18"/>
  <c r="I1530" i="18"/>
  <c r="J1530" i="18"/>
  <c r="K1530" i="18"/>
  <c r="L1530" i="18"/>
  <c r="B1531" i="18"/>
  <c r="C1531" i="18"/>
  <c r="D1531" i="18"/>
  <c r="E1531" i="18"/>
  <c r="F1531" i="18"/>
  <c r="G1531" i="18"/>
  <c r="H1531" i="18"/>
  <c r="I1531" i="18"/>
  <c r="J1531" i="18"/>
  <c r="K1531" i="18"/>
  <c r="L1531" i="18"/>
  <c r="B1532" i="18"/>
  <c r="C1532" i="18"/>
  <c r="D1532" i="18"/>
  <c r="E1532" i="18"/>
  <c r="F1532" i="18"/>
  <c r="G1532" i="18"/>
  <c r="H1532" i="18"/>
  <c r="I1532" i="18"/>
  <c r="J1532" i="18"/>
  <c r="K1532" i="18"/>
  <c r="L1532" i="18"/>
  <c r="B1533" i="18"/>
  <c r="C1533" i="18"/>
  <c r="D1533" i="18"/>
  <c r="E1533" i="18"/>
  <c r="F1533" i="18"/>
  <c r="G1533" i="18"/>
  <c r="H1533" i="18"/>
  <c r="I1533" i="18"/>
  <c r="J1533" i="18"/>
  <c r="K1533" i="18"/>
  <c r="L1533" i="18"/>
  <c r="B1534" i="18"/>
  <c r="C1534" i="18"/>
  <c r="D1534" i="18"/>
  <c r="E1534" i="18"/>
  <c r="F1534" i="18"/>
  <c r="G1534" i="18"/>
  <c r="H1534" i="18"/>
  <c r="I1534" i="18"/>
  <c r="J1534" i="18"/>
  <c r="K1534" i="18"/>
  <c r="L1534" i="18"/>
  <c r="B1535" i="18"/>
  <c r="C1535" i="18"/>
  <c r="D1535" i="18"/>
  <c r="E1535" i="18"/>
  <c r="F1535" i="18"/>
  <c r="G1535" i="18"/>
  <c r="H1535" i="18"/>
  <c r="I1535" i="18"/>
  <c r="J1535" i="18"/>
  <c r="K1535" i="18"/>
  <c r="L1535" i="18"/>
  <c r="B1536" i="18"/>
  <c r="C1536" i="18"/>
  <c r="D1536" i="18"/>
  <c r="E1536" i="18"/>
  <c r="F1536" i="18"/>
  <c r="G1536" i="18"/>
  <c r="H1536" i="18"/>
  <c r="I1536" i="18"/>
  <c r="J1536" i="18"/>
  <c r="K1536" i="18"/>
  <c r="L1536" i="18"/>
  <c r="B1537" i="18"/>
  <c r="C1537" i="18"/>
  <c r="D1537" i="18"/>
  <c r="E1537" i="18"/>
  <c r="F1537" i="18"/>
  <c r="G1537" i="18"/>
  <c r="H1537" i="18"/>
  <c r="I1537" i="18"/>
  <c r="J1537" i="18"/>
  <c r="K1537" i="18"/>
  <c r="L1537" i="18"/>
  <c r="B1538" i="18"/>
  <c r="C1538" i="18"/>
  <c r="D1538" i="18"/>
  <c r="E1538" i="18"/>
  <c r="F1538" i="18"/>
  <c r="G1538" i="18"/>
  <c r="H1538" i="18"/>
  <c r="I1538" i="18"/>
  <c r="J1538" i="18"/>
  <c r="K1538" i="18"/>
  <c r="L1538" i="18"/>
  <c r="B1539" i="18"/>
  <c r="C1539" i="18"/>
  <c r="D1539" i="18"/>
  <c r="E1539" i="18"/>
  <c r="F1539" i="18"/>
  <c r="G1539" i="18"/>
  <c r="H1539" i="18"/>
  <c r="I1539" i="18"/>
  <c r="J1539" i="18"/>
  <c r="K1539" i="18"/>
  <c r="L1539" i="18"/>
  <c r="B1540" i="18"/>
  <c r="C1540" i="18"/>
  <c r="D1540" i="18"/>
  <c r="E1540" i="18"/>
  <c r="F1540" i="18"/>
  <c r="G1540" i="18"/>
  <c r="H1540" i="18"/>
  <c r="I1540" i="18"/>
  <c r="J1540" i="18"/>
  <c r="K1540" i="18"/>
  <c r="L1540" i="18"/>
  <c r="B1541" i="18"/>
  <c r="C1541" i="18"/>
  <c r="D1541" i="18"/>
  <c r="E1541" i="18"/>
  <c r="F1541" i="18"/>
  <c r="G1541" i="18"/>
  <c r="H1541" i="18"/>
  <c r="I1541" i="18"/>
  <c r="J1541" i="18"/>
  <c r="K1541" i="18"/>
  <c r="L1541" i="18"/>
  <c r="B1542" i="18"/>
  <c r="C1542" i="18"/>
  <c r="D1542" i="18"/>
  <c r="E1542" i="18"/>
  <c r="F1542" i="18"/>
  <c r="G1542" i="18"/>
  <c r="H1542" i="18"/>
  <c r="I1542" i="18"/>
  <c r="J1542" i="18"/>
  <c r="K1542" i="18"/>
  <c r="L1542" i="18"/>
  <c r="B1543" i="18"/>
  <c r="C1543" i="18"/>
  <c r="D1543" i="18"/>
  <c r="E1543" i="18"/>
  <c r="F1543" i="18"/>
  <c r="G1543" i="18"/>
  <c r="H1543" i="18"/>
  <c r="I1543" i="18"/>
  <c r="J1543" i="18"/>
  <c r="K1543" i="18"/>
  <c r="L1543" i="18"/>
  <c r="B1544" i="18"/>
  <c r="C1544" i="18"/>
  <c r="D1544" i="18"/>
  <c r="E1544" i="18"/>
  <c r="F1544" i="18"/>
  <c r="G1544" i="18"/>
  <c r="H1544" i="18"/>
  <c r="I1544" i="18"/>
  <c r="J1544" i="18"/>
  <c r="K1544" i="18"/>
  <c r="L1544" i="18"/>
  <c r="B1545" i="18"/>
  <c r="C1545" i="18"/>
  <c r="D1545" i="18"/>
  <c r="E1545" i="18"/>
  <c r="F1545" i="18"/>
  <c r="G1545" i="18"/>
  <c r="H1545" i="18"/>
  <c r="I1545" i="18"/>
  <c r="J1545" i="18"/>
  <c r="K1545" i="18"/>
  <c r="L1545" i="18"/>
  <c r="B1546" i="18"/>
  <c r="C1546" i="18"/>
  <c r="D1546" i="18"/>
  <c r="E1546" i="18"/>
  <c r="F1546" i="18"/>
  <c r="G1546" i="18"/>
  <c r="H1546" i="18"/>
  <c r="I1546" i="18"/>
  <c r="J1546" i="18"/>
  <c r="K1546" i="18"/>
  <c r="L1546" i="18"/>
  <c r="B1547" i="18"/>
  <c r="C1547" i="18"/>
  <c r="D1547" i="18"/>
  <c r="E1547" i="18"/>
  <c r="F1547" i="18"/>
  <c r="G1547" i="18"/>
  <c r="H1547" i="18"/>
  <c r="I1547" i="18"/>
  <c r="J1547" i="18"/>
  <c r="K1547" i="18"/>
  <c r="L1547" i="18"/>
  <c r="B1548" i="18"/>
  <c r="C1548" i="18"/>
  <c r="D1548" i="18"/>
  <c r="E1548" i="18"/>
  <c r="F1548" i="18"/>
  <c r="G1548" i="18"/>
  <c r="H1548" i="18"/>
  <c r="I1548" i="18"/>
  <c r="J1548" i="18"/>
  <c r="K1548" i="18"/>
  <c r="L1548" i="18"/>
  <c r="B1549" i="18"/>
  <c r="C1549" i="18"/>
  <c r="D1549" i="18"/>
  <c r="E1549" i="18"/>
  <c r="F1549" i="18"/>
  <c r="G1549" i="18"/>
  <c r="H1549" i="18"/>
  <c r="I1549" i="18"/>
  <c r="J1549" i="18"/>
  <c r="K1549" i="18"/>
  <c r="L1549" i="18"/>
  <c r="B1550" i="18"/>
  <c r="C1550" i="18"/>
  <c r="D1550" i="18"/>
  <c r="E1550" i="18"/>
  <c r="F1550" i="18"/>
  <c r="G1550" i="18"/>
  <c r="H1550" i="18"/>
  <c r="I1550" i="18"/>
  <c r="J1550" i="18"/>
  <c r="K1550" i="18"/>
  <c r="L1550" i="18"/>
  <c r="B1551" i="18"/>
  <c r="C1551" i="18"/>
  <c r="D1551" i="18"/>
  <c r="E1551" i="18"/>
  <c r="F1551" i="18"/>
  <c r="G1551" i="18"/>
  <c r="H1551" i="18"/>
  <c r="I1551" i="18"/>
  <c r="J1551" i="18"/>
  <c r="K1551" i="18"/>
  <c r="L1551" i="18"/>
  <c r="B1552" i="18"/>
  <c r="C1552" i="18"/>
  <c r="D1552" i="18"/>
  <c r="E1552" i="18"/>
  <c r="F1552" i="18"/>
  <c r="G1552" i="18"/>
  <c r="H1552" i="18"/>
  <c r="I1552" i="18"/>
  <c r="J1552" i="18"/>
  <c r="K1552" i="18"/>
  <c r="L1552" i="18"/>
  <c r="B1553" i="18"/>
  <c r="C1553" i="18"/>
  <c r="D1553" i="18"/>
  <c r="E1553" i="18"/>
  <c r="F1553" i="18"/>
  <c r="G1553" i="18"/>
  <c r="H1553" i="18"/>
  <c r="I1553" i="18"/>
  <c r="J1553" i="18"/>
  <c r="K1553" i="18"/>
  <c r="L1553" i="18"/>
  <c r="B1554" i="18"/>
  <c r="C1554" i="18"/>
  <c r="D1554" i="18"/>
  <c r="E1554" i="18"/>
  <c r="F1554" i="18"/>
  <c r="G1554" i="18"/>
  <c r="H1554" i="18"/>
  <c r="I1554" i="18"/>
  <c r="J1554" i="18"/>
  <c r="K1554" i="18"/>
  <c r="L1554" i="18"/>
  <c r="B1555" i="18"/>
  <c r="C1555" i="18"/>
  <c r="D1555" i="18"/>
  <c r="E1555" i="18"/>
  <c r="F1555" i="18"/>
  <c r="G1555" i="18"/>
  <c r="H1555" i="18"/>
  <c r="I1555" i="18"/>
  <c r="J1555" i="18"/>
  <c r="K1555" i="18"/>
  <c r="L1555" i="18"/>
  <c r="B1556" i="18"/>
  <c r="C1556" i="18"/>
  <c r="D1556" i="18"/>
  <c r="E1556" i="18"/>
  <c r="F1556" i="18"/>
  <c r="G1556" i="18"/>
  <c r="H1556" i="18"/>
  <c r="I1556" i="18"/>
  <c r="J1556" i="18"/>
  <c r="K1556" i="18"/>
  <c r="L1556" i="18"/>
  <c r="B1557" i="18"/>
  <c r="C1557" i="18"/>
  <c r="D1557" i="18"/>
  <c r="E1557" i="18"/>
  <c r="F1557" i="18"/>
  <c r="G1557" i="18"/>
  <c r="H1557" i="18"/>
  <c r="I1557" i="18"/>
  <c r="J1557" i="18"/>
  <c r="K1557" i="18"/>
  <c r="L1557" i="18"/>
  <c r="B1558" i="18"/>
  <c r="C1558" i="18"/>
  <c r="D1558" i="18"/>
  <c r="E1558" i="18"/>
  <c r="F1558" i="18"/>
  <c r="G1558" i="18"/>
  <c r="H1558" i="18"/>
  <c r="I1558" i="18"/>
  <c r="J1558" i="18"/>
  <c r="K1558" i="18"/>
  <c r="L1558" i="18"/>
  <c r="B1559" i="18"/>
  <c r="C1559" i="18"/>
  <c r="D1559" i="18"/>
  <c r="E1559" i="18"/>
  <c r="F1559" i="18"/>
  <c r="G1559" i="18"/>
  <c r="H1559" i="18"/>
  <c r="I1559" i="18"/>
  <c r="J1559" i="18"/>
  <c r="K1559" i="18"/>
  <c r="L1559" i="18"/>
  <c r="B1560" i="18"/>
  <c r="C1560" i="18"/>
  <c r="D1560" i="18"/>
  <c r="E1560" i="18"/>
  <c r="F1560" i="18"/>
  <c r="G1560" i="18"/>
  <c r="H1560" i="18"/>
  <c r="I1560" i="18"/>
  <c r="J1560" i="18"/>
  <c r="K1560" i="18"/>
  <c r="L1560" i="18"/>
  <c r="B1561" i="18"/>
  <c r="C1561" i="18"/>
  <c r="D1561" i="18"/>
  <c r="E1561" i="18"/>
  <c r="F1561" i="18"/>
  <c r="G1561" i="18"/>
  <c r="H1561" i="18"/>
  <c r="I1561" i="18"/>
  <c r="J1561" i="18"/>
  <c r="K1561" i="18"/>
  <c r="L1561" i="18"/>
  <c r="B1562" i="18"/>
  <c r="C1562" i="18"/>
  <c r="D1562" i="18"/>
  <c r="E1562" i="18"/>
  <c r="F1562" i="18"/>
  <c r="G1562" i="18"/>
  <c r="H1562" i="18"/>
  <c r="I1562" i="18"/>
  <c r="J1562" i="18"/>
  <c r="K1562" i="18"/>
  <c r="L1562" i="18"/>
  <c r="B1563" i="18"/>
  <c r="C1563" i="18"/>
  <c r="D1563" i="18"/>
  <c r="E1563" i="18"/>
  <c r="F1563" i="18"/>
  <c r="G1563" i="18"/>
  <c r="H1563" i="18"/>
  <c r="I1563" i="18"/>
  <c r="J1563" i="18"/>
  <c r="K1563" i="18"/>
  <c r="L1563" i="18"/>
  <c r="B1564" i="18"/>
  <c r="C1564" i="18"/>
  <c r="D1564" i="18"/>
  <c r="E1564" i="18"/>
  <c r="F1564" i="18"/>
  <c r="G1564" i="18"/>
  <c r="H1564" i="18"/>
  <c r="I1564" i="18"/>
  <c r="J1564" i="18"/>
  <c r="K1564" i="18"/>
  <c r="L1564" i="18"/>
  <c r="B1565" i="18"/>
  <c r="C1565" i="18"/>
  <c r="D1565" i="18"/>
  <c r="E1565" i="18"/>
  <c r="F1565" i="18"/>
  <c r="G1565" i="18"/>
  <c r="H1565" i="18"/>
  <c r="I1565" i="18"/>
  <c r="J1565" i="18"/>
  <c r="K1565" i="18"/>
  <c r="L1565" i="18"/>
  <c r="B1566" i="18"/>
  <c r="C1566" i="18"/>
  <c r="D1566" i="18"/>
  <c r="E1566" i="18"/>
  <c r="F1566" i="18"/>
  <c r="G1566" i="18"/>
  <c r="H1566" i="18"/>
  <c r="I1566" i="18"/>
  <c r="J1566" i="18"/>
  <c r="K1566" i="18"/>
  <c r="L1566" i="18"/>
  <c r="B1567" i="18"/>
  <c r="C1567" i="18"/>
  <c r="D1567" i="18"/>
  <c r="E1567" i="18"/>
  <c r="F1567" i="18"/>
  <c r="G1567" i="18"/>
  <c r="H1567" i="18"/>
  <c r="I1567" i="18"/>
  <c r="J1567" i="18"/>
  <c r="K1567" i="18"/>
  <c r="L1567" i="18"/>
  <c r="B1568" i="18"/>
  <c r="C1568" i="18"/>
  <c r="D1568" i="18"/>
  <c r="E1568" i="18"/>
  <c r="F1568" i="18"/>
  <c r="G1568" i="18"/>
  <c r="H1568" i="18"/>
  <c r="I1568" i="18"/>
  <c r="J1568" i="18"/>
  <c r="K1568" i="18"/>
  <c r="L1568" i="18"/>
  <c r="B1569" i="18"/>
  <c r="C1569" i="18"/>
  <c r="D1569" i="18"/>
  <c r="E1569" i="18"/>
  <c r="F1569" i="18"/>
  <c r="G1569" i="18"/>
  <c r="H1569" i="18"/>
  <c r="I1569" i="18"/>
  <c r="J1569" i="18"/>
  <c r="K1569" i="18"/>
  <c r="L1569" i="18"/>
  <c r="B1570" i="18"/>
  <c r="C1570" i="18"/>
  <c r="D1570" i="18"/>
  <c r="E1570" i="18"/>
  <c r="F1570" i="18"/>
  <c r="G1570" i="18"/>
  <c r="H1570" i="18"/>
  <c r="I1570" i="18"/>
  <c r="J1570" i="18"/>
  <c r="K1570" i="18"/>
  <c r="L1570" i="18"/>
  <c r="B1571" i="18"/>
  <c r="C1571" i="18"/>
  <c r="D1571" i="18"/>
  <c r="E1571" i="18"/>
  <c r="F1571" i="18"/>
  <c r="G1571" i="18"/>
  <c r="H1571" i="18"/>
  <c r="I1571" i="18"/>
  <c r="J1571" i="18"/>
  <c r="K1571" i="18"/>
  <c r="L1571" i="18"/>
  <c r="B1572" i="18"/>
  <c r="C1572" i="18"/>
  <c r="D1572" i="18"/>
  <c r="E1572" i="18"/>
  <c r="F1572" i="18"/>
  <c r="G1572" i="18"/>
  <c r="H1572" i="18"/>
  <c r="I1572" i="18"/>
  <c r="J1572" i="18"/>
  <c r="K1572" i="18"/>
  <c r="L1572" i="18"/>
  <c r="B1573" i="18"/>
  <c r="C1573" i="18"/>
  <c r="D1573" i="18"/>
  <c r="E1573" i="18"/>
  <c r="F1573" i="18"/>
  <c r="G1573" i="18"/>
  <c r="H1573" i="18"/>
  <c r="I1573" i="18"/>
  <c r="J1573" i="18"/>
  <c r="K1573" i="18"/>
  <c r="L1573" i="18"/>
  <c r="B1574" i="18"/>
  <c r="C1574" i="18"/>
  <c r="D1574" i="18"/>
  <c r="E1574" i="18"/>
  <c r="F1574" i="18"/>
  <c r="G1574" i="18"/>
  <c r="H1574" i="18"/>
  <c r="I1574" i="18"/>
  <c r="J1574" i="18"/>
  <c r="K1574" i="18"/>
  <c r="L1574" i="18"/>
  <c r="B1575" i="18"/>
  <c r="C1575" i="18"/>
  <c r="D1575" i="18"/>
  <c r="E1575" i="18"/>
  <c r="F1575" i="18"/>
  <c r="G1575" i="18"/>
  <c r="H1575" i="18"/>
  <c r="I1575" i="18"/>
  <c r="J1575" i="18"/>
  <c r="K1575" i="18"/>
  <c r="L1575" i="18"/>
  <c r="B1576" i="18"/>
  <c r="C1576" i="18"/>
  <c r="D1576" i="18"/>
  <c r="E1576" i="18"/>
  <c r="F1576" i="18"/>
  <c r="G1576" i="18"/>
  <c r="H1576" i="18"/>
  <c r="I1576" i="18"/>
  <c r="J1576" i="18"/>
  <c r="K1576" i="18"/>
  <c r="L1576" i="18"/>
  <c r="B1577" i="18"/>
  <c r="C1577" i="18"/>
  <c r="D1577" i="18"/>
  <c r="E1577" i="18"/>
  <c r="F1577" i="18"/>
  <c r="G1577" i="18"/>
  <c r="H1577" i="18"/>
  <c r="I1577" i="18"/>
  <c r="J1577" i="18"/>
  <c r="K1577" i="18"/>
  <c r="L1577" i="18"/>
  <c r="B1578" i="18"/>
  <c r="C1578" i="18"/>
  <c r="D1578" i="18"/>
  <c r="E1578" i="18"/>
  <c r="F1578" i="18"/>
  <c r="G1578" i="18"/>
  <c r="H1578" i="18"/>
  <c r="I1578" i="18"/>
  <c r="J1578" i="18"/>
  <c r="K1578" i="18"/>
  <c r="L1578" i="18"/>
  <c r="B1579" i="18"/>
  <c r="C1579" i="18"/>
  <c r="D1579" i="18"/>
  <c r="E1579" i="18"/>
  <c r="F1579" i="18"/>
  <c r="G1579" i="18"/>
  <c r="H1579" i="18"/>
  <c r="I1579" i="18"/>
  <c r="J1579" i="18"/>
  <c r="K1579" i="18"/>
  <c r="L1579" i="18"/>
  <c r="B1580" i="18"/>
  <c r="C1580" i="18"/>
  <c r="D1580" i="18"/>
  <c r="E1580" i="18"/>
  <c r="F1580" i="18"/>
  <c r="G1580" i="18"/>
  <c r="H1580" i="18"/>
  <c r="I1580" i="18"/>
  <c r="J1580" i="18"/>
  <c r="K1580" i="18"/>
  <c r="L1580" i="18"/>
  <c r="B1581" i="18"/>
  <c r="C1581" i="18"/>
  <c r="D1581" i="18"/>
  <c r="E1581" i="18"/>
  <c r="F1581" i="18"/>
  <c r="G1581" i="18"/>
  <c r="H1581" i="18"/>
  <c r="I1581" i="18"/>
  <c r="J1581" i="18"/>
  <c r="K1581" i="18"/>
  <c r="L1581" i="18"/>
  <c r="B1582" i="18"/>
  <c r="C1582" i="18"/>
  <c r="D1582" i="18"/>
  <c r="E1582" i="18"/>
  <c r="F1582" i="18"/>
  <c r="G1582" i="18"/>
  <c r="H1582" i="18"/>
  <c r="I1582" i="18"/>
  <c r="J1582" i="18"/>
  <c r="K1582" i="18"/>
  <c r="L1582" i="18"/>
  <c r="B1583" i="18"/>
  <c r="C1583" i="18"/>
  <c r="D1583" i="18"/>
  <c r="E1583" i="18"/>
  <c r="F1583" i="18"/>
  <c r="G1583" i="18"/>
  <c r="H1583" i="18"/>
  <c r="I1583" i="18"/>
  <c r="J1583" i="18"/>
  <c r="K1583" i="18"/>
  <c r="L1583" i="18"/>
  <c r="B1584" i="18"/>
  <c r="C1584" i="18"/>
  <c r="D1584" i="18"/>
  <c r="E1584" i="18"/>
  <c r="F1584" i="18"/>
  <c r="G1584" i="18"/>
  <c r="H1584" i="18"/>
  <c r="I1584" i="18"/>
  <c r="J1584" i="18"/>
  <c r="K1584" i="18"/>
  <c r="L1584" i="18"/>
  <c r="B1585" i="18"/>
  <c r="C1585" i="18"/>
  <c r="D1585" i="18"/>
  <c r="E1585" i="18"/>
  <c r="F1585" i="18"/>
  <c r="G1585" i="18"/>
  <c r="H1585" i="18"/>
  <c r="I1585" i="18"/>
  <c r="J1585" i="18"/>
  <c r="K1585" i="18"/>
  <c r="L1585" i="18"/>
  <c r="B1586" i="18"/>
  <c r="C1586" i="18"/>
  <c r="D1586" i="18"/>
  <c r="E1586" i="18"/>
  <c r="F1586" i="18"/>
  <c r="G1586" i="18"/>
  <c r="H1586" i="18"/>
  <c r="I1586" i="18"/>
  <c r="J1586" i="18"/>
  <c r="K1586" i="18"/>
  <c r="L1586" i="18"/>
  <c r="B1587" i="18"/>
  <c r="C1587" i="18"/>
  <c r="D1587" i="18"/>
  <c r="E1587" i="18"/>
  <c r="F1587" i="18"/>
  <c r="G1587" i="18"/>
  <c r="H1587" i="18"/>
  <c r="I1587" i="18"/>
  <c r="J1587" i="18"/>
  <c r="K1587" i="18"/>
  <c r="L1587" i="18"/>
  <c r="B1588" i="18"/>
  <c r="C1588" i="18"/>
  <c r="D1588" i="18"/>
  <c r="E1588" i="18"/>
  <c r="F1588" i="18"/>
  <c r="G1588" i="18"/>
  <c r="H1588" i="18"/>
  <c r="I1588" i="18"/>
  <c r="J1588" i="18"/>
  <c r="K1588" i="18"/>
  <c r="L1588" i="18"/>
  <c r="B1589" i="18"/>
  <c r="C1589" i="18"/>
  <c r="D1589" i="18"/>
  <c r="E1589" i="18"/>
  <c r="F1589" i="18"/>
  <c r="G1589" i="18"/>
  <c r="H1589" i="18"/>
  <c r="I1589" i="18"/>
  <c r="J1589" i="18"/>
  <c r="K1589" i="18"/>
  <c r="L1589" i="18"/>
  <c r="B1590" i="18"/>
  <c r="C1590" i="18"/>
  <c r="D1590" i="18"/>
  <c r="E1590" i="18"/>
  <c r="F1590" i="18"/>
  <c r="G1590" i="18"/>
  <c r="H1590" i="18"/>
  <c r="I1590" i="18"/>
  <c r="J1590" i="18"/>
  <c r="K1590" i="18"/>
  <c r="L1590" i="18"/>
  <c r="B1591" i="18"/>
  <c r="C1591" i="18"/>
  <c r="D1591" i="18"/>
  <c r="E1591" i="18"/>
  <c r="F1591" i="18"/>
  <c r="G1591" i="18"/>
  <c r="H1591" i="18"/>
  <c r="I1591" i="18"/>
  <c r="J1591" i="18"/>
  <c r="K1591" i="18"/>
  <c r="L1591" i="18"/>
  <c r="B1592" i="18"/>
  <c r="C1592" i="18"/>
  <c r="D1592" i="18"/>
  <c r="E1592" i="18"/>
  <c r="F1592" i="18"/>
  <c r="G1592" i="18"/>
  <c r="H1592" i="18"/>
  <c r="I1592" i="18"/>
  <c r="J1592" i="18"/>
  <c r="K1592" i="18"/>
  <c r="L1592" i="18"/>
  <c r="B1593" i="18"/>
  <c r="C1593" i="18"/>
  <c r="D1593" i="18"/>
  <c r="E1593" i="18"/>
  <c r="F1593" i="18"/>
  <c r="G1593" i="18"/>
  <c r="H1593" i="18"/>
  <c r="I1593" i="18"/>
  <c r="J1593" i="18"/>
  <c r="K1593" i="18"/>
  <c r="L1593" i="18"/>
  <c r="B1594" i="18"/>
  <c r="C1594" i="18"/>
  <c r="D1594" i="18"/>
  <c r="E1594" i="18"/>
  <c r="F1594" i="18"/>
  <c r="G1594" i="18"/>
  <c r="H1594" i="18"/>
  <c r="I1594" i="18"/>
  <c r="J1594" i="18"/>
  <c r="K1594" i="18"/>
  <c r="L1594" i="18"/>
  <c r="B1595" i="18"/>
  <c r="C1595" i="18"/>
  <c r="D1595" i="18"/>
  <c r="E1595" i="18"/>
  <c r="F1595" i="18"/>
  <c r="G1595" i="18"/>
  <c r="H1595" i="18"/>
  <c r="I1595" i="18"/>
  <c r="J1595" i="18"/>
  <c r="K1595" i="18"/>
  <c r="L1595" i="18"/>
  <c r="B1596" i="18"/>
  <c r="C1596" i="18"/>
  <c r="D1596" i="18"/>
  <c r="E1596" i="18"/>
  <c r="F1596" i="18"/>
  <c r="G1596" i="18"/>
  <c r="H1596" i="18"/>
  <c r="I1596" i="18"/>
  <c r="J1596" i="18"/>
  <c r="K1596" i="18"/>
  <c r="L1596" i="18"/>
  <c r="B1597" i="18"/>
  <c r="C1597" i="18"/>
  <c r="D1597" i="18"/>
  <c r="E1597" i="18"/>
  <c r="F1597" i="18"/>
  <c r="G1597" i="18"/>
  <c r="H1597" i="18"/>
  <c r="I1597" i="18"/>
  <c r="J1597" i="18"/>
  <c r="K1597" i="18"/>
  <c r="L1597" i="18"/>
  <c r="B1598" i="18"/>
  <c r="C1598" i="18"/>
  <c r="D1598" i="18"/>
  <c r="E1598" i="18"/>
  <c r="F1598" i="18"/>
  <c r="G1598" i="18"/>
  <c r="H1598" i="18"/>
  <c r="I1598" i="18"/>
  <c r="J1598" i="18"/>
  <c r="K1598" i="18"/>
  <c r="L1598" i="18"/>
  <c r="B1599" i="18"/>
  <c r="C1599" i="18"/>
  <c r="D1599" i="18"/>
  <c r="E1599" i="18"/>
  <c r="F1599" i="18"/>
  <c r="G1599" i="18"/>
  <c r="H1599" i="18"/>
  <c r="I1599" i="18"/>
  <c r="J1599" i="18"/>
  <c r="K1599" i="18"/>
  <c r="L1599" i="18"/>
  <c r="B1600" i="18"/>
  <c r="C1600" i="18"/>
  <c r="D1600" i="18"/>
  <c r="E1600" i="18"/>
  <c r="F1600" i="18"/>
  <c r="G1600" i="18"/>
  <c r="H1600" i="18"/>
  <c r="I1600" i="18"/>
  <c r="J1600" i="18"/>
  <c r="K1600" i="18"/>
  <c r="L1600" i="18"/>
  <c r="B1601" i="18"/>
  <c r="C1601" i="18"/>
  <c r="D1601" i="18"/>
  <c r="E1601" i="18"/>
  <c r="F1601" i="18"/>
  <c r="G1601" i="18"/>
  <c r="H1601" i="18"/>
  <c r="I1601" i="18"/>
  <c r="J1601" i="18"/>
  <c r="K1601" i="18"/>
  <c r="L1601" i="18"/>
  <c r="B1602" i="18"/>
  <c r="C1602" i="18"/>
  <c r="D1602" i="18"/>
  <c r="E1602" i="18"/>
  <c r="F1602" i="18"/>
  <c r="G1602" i="18"/>
  <c r="H1602" i="18"/>
  <c r="I1602" i="18"/>
  <c r="J1602" i="18"/>
  <c r="K1602" i="18"/>
  <c r="L1602" i="18"/>
  <c r="B1603" i="18"/>
  <c r="C1603" i="18"/>
  <c r="D1603" i="18"/>
  <c r="E1603" i="18"/>
  <c r="F1603" i="18"/>
  <c r="G1603" i="18"/>
  <c r="H1603" i="18"/>
  <c r="I1603" i="18"/>
  <c r="J1603" i="18"/>
  <c r="K1603" i="18"/>
  <c r="L1603" i="18"/>
  <c r="B1604" i="18"/>
  <c r="C1604" i="18"/>
  <c r="D1604" i="18"/>
  <c r="E1604" i="18"/>
  <c r="F1604" i="18"/>
  <c r="G1604" i="18"/>
  <c r="H1604" i="18"/>
  <c r="I1604" i="18"/>
  <c r="J1604" i="18"/>
  <c r="K1604" i="18"/>
  <c r="L1604" i="18"/>
  <c r="B1605" i="18"/>
  <c r="C1605" i="18"/>
  <c r="D1605" i="18"/>
  <c r="E1605" i="18"/>
  <c r="F1605" i="18"/>
  <c r="G1605" i="18"/>
  <c r="H1605" i="18"/>
  <c r="I1605" i="18"/>
  <c r="J1605" i="18"/>
  <c r="K1605" i="18"/>
  <c r="L1605" i="18"/>
  <c r="B1606" i="18"/>
  <c r="C1606" i="18"/>
  <c r="D1606" i="18"/>
  <c r="E1606" i="18"/>
  <c r="F1606" i="18"/>
  <c r="G1606" i="18"/>
  <c r="H1606" i="18"/>
  <c r="I1606" i="18"/>
  <c r="J1606" i="18"/>
  <c r="K1606" i="18"/>
  <c r="L1606" i="18"/>
  <c r="B1607" i="18"/>
  <c r="C1607" i="18"/>
  <c r="D1607" i="18"/>
  <c r="E1607" i="18"/>
  <c r="F1607" i="18"/>
  <c r="G1607" i="18"/>
  <c r="H1607" i="18"/>
  <c r="I1607" i="18"/>
  <c r="J1607" i="18"/>
  <c r="K1607" i="18"/>
  <c r="L1607" i="18"/>
  <c r="B1608" i="18"/>
  <c r="C1608" i="18"/>
  <c r="D1608" i="18"/>
  <c r="E1608" i="18"/>
  <c r="F1608" i="18"/>
  <c r="G1608" i="18"/>
  <c r="H1608" i="18"/>
  <c r="I1608" i="18"/>
  <c r="J1608" i="18"/>
  <c r="K1608" i="18"/>
  <c r="L1608" i="18"/>
  <c r="B1609" i="18"/>
  <c r="C1609" i="18"/>
  <c r="D1609" i="18"/>
  <c r="E1609" i="18"/>
  <c r="F1609" i="18"/>
  <c r="G1609" i="18"/>
  <c r="H1609" i="18"/>
  <c r="I1609" i="18"/>
  <c r="J1609" i="18"/>
  <c r="K1609" i="18"/>
  <c r="L1609" i="18"/>
  <c r="B1610" i="18"/>
  <c r="C1610" i="18"/>
  <c r="D1610" i="18"/>
  <c r="E1610" i="18"/>
  <c r="F1610" i="18"/>
  <c r="G1610" i="18"/>
  <c r="H1610" i="18"/>
  <c r="I1610" i="18"/>
  <c r="J1610" i="18"/>
  <c r="K1610" i="18"/>
  <c r="L1610" i="18"/>
  <c r="B1611" i="18"/>
  <c r="C1611" i="18"/>
  <c r="D1611" i="18"/>
  <c r="E1611" i="18"/>
  <c r="F1611" i="18"/>
  <c r="G1611" i="18"/>
  <c r="H1611" i="18"/>
  <c r="I1611" i="18"/>
  <c r="J1611" i="18"/>
  <c r="K1611" i="18"/>
  <c r="L1611" i="18"/>
  <c r="B1612" i="18"/>
  <c r="C1612" i="18"/>
  <c r="D1612" i="18"/>
  <c r="E1612" i="18"/>
  <c r="F1612" i="18"/>
  <c r="G1612" i="18"/>
  <c r="H1612" i="18"/>
  <c r="I1612" i="18"/>
  <c r="J1612" i="18"/>
  <c r="K1612" i="18"/>
  <c r="L1612" i="18"/>
  <c r="B1613" i="18"/>
  <c r="C1613" i="18"/>
  <c r="D1613" i="18"/>
  <c r="E1613" i="18"/>
  <c r="F1613" i="18"/>
  <c r="G1613" i="18"/>
  <c r="H1613" i="18"/>
  <c r="I1613" i="18"/>
  <c r="J1613" i="18"/>
  <c r="K1613" i="18"/>
  <c r="L1613" i="18"/>
  <c r="B1614" i="18"/>
  <c r="C1614" i="18"/>
  <c r="D1614" i="18"/>
  <c r="E1614" i="18"/>
  <c r="F1614" i="18"/>
  <c r="G1614" i="18"/>
  <c r="H1614" i="18"/>
  <c r="I1614" i="18"/>
  <c r="J1614" i="18"/>
  <c r="K1614" i="18"/>
  <c r="L1614" i="18"/>
  <c r="B1615" i="18"/>
  <c r="C1615" i="18"/>
  <c r="D1615" i="18"/>
  <c r="E1615" i="18"/>
  <c r="F1615" i="18"/>
  <c r="G1615" i="18"/>
  <c r="H1615" i="18"/>
  <c r="I1615" i="18"/>
  <c r="J1615" i="18"/>
  <c r="K1615" i="18"/>
  <c r="L1615" i="18"/>
  <c r="B1616" i="18"/>
  <c r="C1616" i="18"/>
  <c r="D1616" i="18"/>
  <c r="E1616" i="18"/>
  <c r="F1616" i="18"/>
  <c r="G1616" i="18"/>
  <c r="H1616" i="18"/>
  <c r="I1616" i="18"/>
  <c r="J1616" i="18"/>
  <c r="K1616" i="18"/>
  <c r="L1616" i="18"/>
  <c r="B1617" i="18"/>
  <c r="C1617" i="18"/>
  <c r="D1617" i="18"/>
  <c r="E1617" i="18"/>
  <c r="F1617" i="18"/>
  <c r="G1617" i="18"/>
  <c r="H1617" i="18"/>
  <c r="I1617" i="18"/>
  <c r="J1617" i="18"/>
  <c r="K1617" i="18"/>
  <c r="L1617" i="18"/>
  <c r="B1618" i="18"/>
  <c r="C1618" i="18"/>
  <c r="D1618" i="18"/>
  <c r="E1618" i="18"/>
  <c r="F1618" i="18"/>
  <c r="G1618" i="18"/>
  <c r="H1618" i="18"/>
  <c r="I1618" i="18"/>
  <c r="J1618" i="18"/>
  <c r="K1618" i="18"/>
  <c r="L1618" i="18"/>
  <c r="B1619" i="18"/>
  <c r="C1619" i="18"/>
  <c r="D1619" i="18"/>
  <c r="E1619" i="18"/>
  <c r="F1619" i="18"/>
  <c r="G1619" i="18"/>
  <c r="H1619" i="18"/>
  <c r="I1619" i="18"/>
  <c r="J1619" i="18"/>
  <c r="K1619" i="18"/>
  <c r="L1619" i="18"/>
  <c r="B1620" i="18"/>
  <c r="C1620" i="18"/>
  <c r="D1620" i="18"/>
  <c r="E1620" i="18"/>
  <c r="F1620" i="18"/>
  <c r="G1620" i="18"/>
  <c r="H1620" i="18"/>
  <c r="I1620" i="18"/>
  <c r="J1620" i="18"/>
  <c r="K1620" i="18"/>
  <c r="L1620" i="18"/>
  <c r="B1621" i="18"/>
  <c r="C1621" i="18"/>
  <c r="D1621" i="18"/>
  <c r="E1621" i="18"/>
  <c r="F1621" i="18"/>
  <c r="G1621" i="18"/>
  <c r="H1621" i="18"/>
  <c r="I1621" i="18"/>
  <c r="J1621" i="18"/>
  <c r="K1621" i="18"/>
  <c r="L1621" i="18"/>
  <c r="B1622" i="18"/>
  <c r="C1622" i="18"/>
  <c r="D1622" i="18"/>
  <c r="E1622" i="18"/>
  <c r="F1622" i="18"/>
  <c r="G1622" i="18"/>
  <c r="H1622" i="18"/>
  <c r="I1622" i="18"/>
  <c r="J1622" i="18"/>
  <c r="K1622" i="18"/>
  <c r="L1622" i="18"/>
  <c r="B1623" i="18"/>
  <c r="C1623" i="18"/>
  <c r="D1623" i="18"/>
  <c r="E1623" i="18"/>
  <c r="F1623" i="18"/>
  <c r="G1623" i="18"/>
  <c r="H1623" i="18"/>
  <c r="I1623" i="18"/>
  <c r="J1623" i="18"/>
  <c r="K1623" i="18"/>
  <c r="L1623" i="18"/>
  <c r="B1624" i="18"/>
  <c r="C1624" i="18"/>
  <c r="D1624" i="18"/>
  <c r="E1624" i="18"/>
  <c r="F1624" i="18"/>
  <c r="G1624" i="18"/>
  <c r="H1624" i="18"/>
  <c r="I1624" i="18"/>
  <c r="J1624" i="18"/>
  <c r="K1624" i="18"/>
  <c r="L1624" i="18"/>
  <c r="B1625" i="18"/>
  <c r="C1625" i="18"/>
  <c r="D1625" i="18"/>
  <c r="E1625" i="18"/>
  <c r="F1625" i="18"/>
  <c r="G1625" i="18"/>
  <c r="H1625" i="18"/>
  <c r="I1625" i="18"/>
  <c r="J1625" i="18"/>
  <c r="K1625" i="18"/>
  <c r="L1625" i="18"/>
  <c r="B1626" i="18"/>
  <c r="C1626" i="18"/>
  <c r="D1626" i="18"/>
  <c r="E1626" i="18"/>
  <c r="F1626" i="18"/>
  <c r="G1626" i="18"/>
  <c r="H1626" i="18"/>
  <c r="I1626" i="18"/>
  <c r="J1626" i="18"/>
  <c r="K1626" i="18"/>
  <c r="L1626" i="18"/>
  <c r="B1627" i="18"/>
  <c r="C1627" i="18"/>
  <c r="D1627" i="18"/>
  <c r="E1627" i="18"/>
  <c r="F1627" i="18"/>
  <c r="G1627" i="18"/>
  <c r="H1627" i="18"/>
  <c r="I1627" i="18"/>
  <c r="J1627" i="18"/>
  <c r="K1627" i="18"/>
  <c r="L1627" i="18"/>
  <c r="B1628" i="18"/>
  <c r="C1628" i="18"/>
  <c r="D1628" i="18"/>
  <c r="E1628" i="18"/>
  <c r="F1628" i="18"/>
  <c r="G1628" i="18"/>
  <c r="H1628" i="18"/>
  <c r="I1628" i="18"/>
  <c r="J1628" i="18"/>
  <c r="K1628" i="18"/>
  <c r="L1628" i="18"/>
  <c r="B1629" i="18"/>
  <c r="C1629" i="18"/>
  <c r="D1629" i="18"/>
  <c r="E1629" i="18"/>
  <c r="F1629" i="18"/>
  <c r="G1629" i="18"/>
  <c r="H1629" i="18"/>
  <c r="I1629" i="18"/>
  <c r="J1629" i="18"/>
  <c r="K1629" i="18"/>
  <c r="L1629" i="18"/>
  <c r="B1630" i="18"/>
  <c r="C1630" i="18"/>
  <c r="D1630" i="18"/>
  <c r="E1630" i="18"/>
  <c r="F1630" i="18"/>
  <c r="G1630" i="18"/>
  <c r="H1630" i="18"/>
  <c r="I1630" i="18"/>
  <c r="J1630" i="18"/>
  <c r="K1630" i="18"/>
  <c r="L1630" i="18"/>
  <c r="B1631" i="18"/>
  <c r="C1631" i="18"/>
  <c r="D1631" i="18"/>
  <c r="E1631" i="18"/>
  <c r="F1631" i="18"/>
  <c r="G1631" i="18"/>
  <c r="H1631" i="18"/>
  <c r="I1631" i="18"/>
  <c r="J1631" i="18"/>
  <c r="K1631" i="18"/>
  <c r="L1631" i="18"/>
  <c r="B1632" i="18"/>
  <c r="C1632" i="18"/>
  <c r="D1632" i="18"/>
  <c r="E1632" i="18"/>
  <c r="F1632" i="18"/>
  <c r="G1632" i="18"/>
  <c r="H1632" i="18"/>
  <c r="I1632" i="18"/>
  <c r="J1632" i="18"/>
  <c r="K1632" i="18"/>
  <c r="L1632" i="18"/>
  <c r="B1633" i="18"/>
  <c r="C1633" i="18"/>
  <c r="D1633" i="18"/>
  <c r="E1633" i="18"/>
  <c r="F1633" i="18"/>
  <c r="G1633" i="18"/>
  <c r="H1633" i="18"/>
  <c r="I1633" i="18"/>
  <c r="J1633" i="18"/>
  <c r="K1633" i="18"/>
  <c r="L1633" i="18"/>
  <c r="B1634" i="18"/>
  <c r="C1634" i="18"/>
  <c r="D1634" i="18"/>
  <c r="E1634" i="18"/>
  <c r="F1634" i="18"/>
  <c r="G1634" i="18"/>
  <c r="H1634" i="18"/>
  <c r="I1634" i="18"/>
  <c r="J1634" i="18"/>
  <c r="K1634" i="18"/>
  <c r="L1634" i="18"/>
  <c r="B1635" i="18"/>
  <c r="C1635" i="18"/>
  <c r="D1635" i="18"/>
  <c r="E1635" i="18"/>
  <c r="F1635" i="18"/>
  <c r="G1635" i="18"/>
  <c r="H1635" i="18"/>
  <c r="I1635" i="18"/>
  <c r="J1635" i="18"/>
  <c r="K1635" i="18"/>
  <c r="L1635" i="18"/>
  <c r="B1636" i="18"/>
  <c r="C1636" i="18"/>
  <c r="D1636" i="18"/>
  <c r="E1636" i="18"/>
  <c r="F1636" i="18"/>
  <c r="G1636" i="18"/>
  <c r="H1636" i="18"/>
  <c r="I1636" i="18"/>
  <c r="J1636" i="18"/>
  <c r="K1636" i="18"/>
  <c r="L1636" i="18"/>
  <c r="B1637" i="18"/>
  <c r="C1637" i="18"/>
  <c r="D1637" i="18"/>
  <c r="E1637" i="18"/>
  <c r="F1637" i="18"/>
  <c r="G1637" i="18"/>
  <c r="H1637" i="18"/>
  <c r="I1637" i="18"/>
  <c r="J1637" i="18"/>
  <c r="K1637" i="18"/>
  <c r="L1637" i="18"/>
  <c r="B1638" i="18"/>
  <c r="C1638" i="18"/>
  <c r="D1638" i="18"/>
  <c r="E1638" i="18"/>
  <c r="F1638" i="18"/>
  <c r="G1638" i="18"/>
  <c r="H1638" i="18"/>
  <c r="I1638" i="18"/>
  <c r="J1638" i="18"/>
  <c r="K1638" i="18"/>
  <c r="L1638" i="18"/>
  <c r="B1639" i="18"/>
  <c r="C1639" i="18"/>
  <c r="D1639" i="18"/>
  <c r="E1639" i="18"/>
  <c r="F1639" i="18"/>
  <c r="G1639" i="18"/>
  <c r="H1639" i="18"/>
  <c r="I1639" i="18"/>
  <c r="J1639" i="18"/>
  <c r="K1639" i="18"/>
  <c r="L1639" i="18"/>
  <c r="B1640" i="18"/>
  <c r="C1640" i="18"/>
  <c r="D1640" i="18"/>
  <c r="E1640" i="18"/>
  <c r="F1640" i="18"/>
  <c r="G1640" i="18"/>
  <c r="H1640" i="18"/>
  <c r="I1640" i="18"/>
  <c r="J1640" i="18"/>
  <c r="K1640" i="18"/>
  <c r="L1640" i="18"/>
  <c r="B1641" i="18"/>
  <c r="C1641" i="18"/>
  <c r="D1641" i="18"/>
  <c r="E1641" i="18"/>
  <c r="F1641" i="18"/>
  <c r="G1641" i="18"/>
  <c r="H1641" i="18"/>
  <c r="I1641" i="18"/>
  <c r="J1641" i="18"/>
  <c r="K1641" i="18"/>
  <c r="L1641" i="18"/>
  <c r="B1642" i="18"/>
  <c r="C1642" i="18"/>
  <c r="D1642" i="18"/>
  <c r="E1642" i="18"/>
  <c r="F1642" i="18"/>
  <c r="G1642" i="18"/>
  <c r="H1642" i="18"/>
  <c r="I1642" i="18"/>
  <c r="J1642" i="18"/>
  <c r="K1642" i="18"/>
  <c r="L1642" i="18"/>
  <c r="B1643" i="18"/>
  <c r="C1643" i="18"/>
  <c r="D1643" i="18"/>
  <c r="E1643" i="18"/>
  <c r="F1643" i="18"/>
  <c r="G1643" i="18"/>
  <c r="H1643" i="18"/>
  <c r="I1643" i="18"/>
  <c r="J1643" i="18"/>
  <c r="K1643" i="18"/>
  <c r="L1643" i="18"/>
  <c r="B1644" i="18"/>
  <c r="C1644" i="18"/>
  <c r="D1644" i="18"/>
  <c r="E1644" i="18"/>
  <c r="F1644" i="18"/>
  <c r="G1644" i="18"/>
  <c r="H1644" i="18"/>
  <c r="I1644" i="18"/>
  <c r="J1644" i="18"/>
  <c r="K1644" i="18"/>
  <c r="L1644" i="18"/>
  <c r="B1645" i="18"/>
  <c r="C1645" i="18"/>
  <c r="D1645" i="18"/>
  <c r="E1645" i="18"/>
  <c r="F1645" i="18"/>
  <c r="G1645" i="18"/>
  <c r="H1645" i="18"/>
  <c r="I1645" i="18"/>
  <c r="J1645" i="18"/>
  <c r="K1645" i="18"/>
  <c r="L1645" i="18"/>
  <c r="B1646" i="18"/>
  <c r="C1646" i="18"/>
  <c r="D1646" i="18"/>
  <c r="E1646" i="18"/>
  <c r="F1646" i="18"/>
  <c r="G1646" i="18"/>
  <c r="H1646" i="18"/>
  <c r="I1646" i="18"/>
  <c r="J1646" i="18"/>
  <c r="K1646" i="18"/>
  <c r="L1646" i="18"/>
  <c r="B1647" i="18"/>
  <c r="C1647" i="18"/>
  <c r="D1647" i="18"/>
  <c r="E1647" i="18"/>
  <c r="F1647" i="18"/>
  <c r="G1647" i="18"/>
  <c r="H1647" i="18"/>
  <c r="I1647" i="18"/>
  <c r="J1647" i="18"/>
  <c r="K1647" i="18"/>
  <c r="L1647" i="18"/>
  <c r="B1648" i="18"/>
  <c r="C1648" i="18"/>
  <c r="D1648" i="18"/>
  <c r="E1648" i="18"/>
  <c r="F1648" i="18"/>
  <c r="G1648" i="18"/>
  <c r="H1648" i="18"/>
  <c r="I1648" i="18"/>
  <c r="J1648" i="18"/>
  <c r="K1648" i="18"/>
  <c r="L1648" i="18"/>
  <c r="B1649" i="18"/>
  <c r="C1649" i="18"/>
  <c r="D1649" i="18"/>
  <c r="E1649" i="18"/>
  <c r="F1649" i="18"/>
  <c r="G1649" i="18"/>
  <c r="H1649" i="18"/>
  <c r="I1649" i="18"/>
  <c r="J1649" i="18"/>
  <c r="K1649" i="18"/>
  <c r="L1649" i="18"/>
  <c r="B1650" i="18"/>
  <c r="C1650" i="18"/>
  <c r="D1650" i="18"/>
  <c r="E1650" i="18"/>
  <c r="F1650" i="18"/>
  <c r="G1650" i="18"/>
  <c r="H1650" i="18"/>
  <c r="I1650" i="18"/>
  <c r="J1650" i="18"/>
  <c r="K1650" i="18"/>
  <c r="L1650" i="18"/>
  <c r="B1651" i="18"/>
  <c r="C1651" i="18"/>
  <c r="D1651" i="18"/>
  <c r="E1651" i="18"/>
  <c r="F1651" i="18"/>
  <c r="G1651" i="18"/>
  <c r="H1651" i="18"/>
  <c r="I1651" i="18"/>
  <c r="J1651" i="18"/>
  <c r="K1651" i="18"/>
  <c r="L1651" i="18"/>
  <c r="B1652" i="18"/>
  <c r="C1652" i="18"/>
  <c r="D1652" i="18"/>
  <c r="E1652" i="18"/>
  <c r="F1652" i="18"/>
  <c r="G1652" i="18"/>
  <c r="H1652" i="18"/>
  <c r="I1652" i="18"/>
  <c r="J1652" i="18"/>
  <c r="K1652" i="18"/>
  <c r="L1652" i="18"/>
  <c r="B1653" i="18"/>
  <c r="C1653" i="18"/>
  <c r="D1653" i="18"/>
  <c r="E1653" i="18"/>
  <c r="F1653" i="18"/>
  <c r="G1653" i="18"/>
  <c r="H1653" i="18"/>
  <c r="I1653" i="18"/>
  <c r="J1653" i="18"/>
  <c r="K1653" i="18"/>
  <c r="L1653" i="18"/>
  <c r="B1654" i="18"/>
  <c r="C1654" i="18"/>
  <c r="D1654" i="18"/>
  <c r="E1654" i="18"/>
  <c r="F1654" i="18"/>
  <c r="G1654" i="18"/>
  <c r="H1654" i="18"/>
  <c r="I1654" i="18"/>
  <c r="J1654" i="18"/>
  <c r="K1654" i="18"/>
  <c r="L1654" i="18"/>
  <c r="B1655" i="18"/>
  <c r="C1655" i="18"/>
  <c r="D1655" i="18"/>
  <c r="E1655" i="18"/>
  <c r="F1655" i="18"/>
  <c r="G1655" i="18"/>
  <c r="H1655" i="18"/>
  <c r="I1655" i="18"/>
  <c r="J1655" i="18"/>
  <c r="K1655" i="18"/>
  <c r="L1655" i="18"/>
  <c r="B1656" i="18"/>
  <c r="C1656" i="18"/>
  <c r="D1656" i="18"/>
  <c r="E1656" i="18"/>
  <c r="F1656" i="18"/>
  <c r="G1656" i="18"/>
  <c r="H1656" i="18"/>
  <c r="I1656" i="18"/>
  <c r="J1656" i="18"/>
  <c r="K1656" i="18"/>
  <c r="L1656" i="18"/>
  <c r="B1657" i="18"/>
  <c r="C1657" i="18"/>
  <c r="D1657" i="18"/>
  <c r="E1657" i="18"/>
  <c r="F1657" i="18"/>
  <c r="G1657" i="18"/>
  <c r="H1657" i="18"/>
  <c r="I1657" i="18"/>
  <c r="J1657" i="18"/>
  <c r="K1657" i="18"/>
  <c r="L1657" i="18"/>
  <c r="B1658" i="18"/>
  <c r="C1658" i="18"/>
  <c r="D1658" i="18"/>
  <c r="E1658" i="18"/>
  <c r="F1658" i="18"/>
  <c r="G1658" i="18"/>
  <c r="H1658" i="18"/>
  <c r="I1658" i="18"/>
  <c r="J1658" i="18"/>
  <c r="K1658" i="18"/>
  <c r="L1658" i="18"/>
  <c r="B1659" i="18"/>
  <c r="C1659" i="18"/>
  <c r="D1659" i="18"/>
  <c r="E1659" i="18"/>
  <c r="F1659" i="18"/>
  <c r="G1659" i="18"/>
  <c r="H1659" i="18"/>
  <c r="I1659" i="18"/>
  <c r="J1659" i="18"/>
  <c r="K1659" i="18"/>
  <c r="L1659" i="18"/>
  <c r="B1660" i="18"/>
  <c r="C1660" i="18"/>
  <c r="D1660" i="18"/>
  <c r="E1660" i="18"/>
  <c r="F1660" i="18"/>
  <c r="G1660" i="18"/>
  <c r="H1660" i="18"/>
  <c r="I1660" i="18"/>
  <c r="J1660" i="18"/>
  <c r="K1660" i="18"/>
  <c r="L1660" i="18"/>
  <c r="B1661" i="18"/>
  <c r="C1661" i="18"/>
  <c r="D1661" i="18"/>
  <c r="E1661" i="18"/>
  <c r="F1661" i="18"/>
  <c r="G1661" i="18"/>
  <c r="H1661" i="18"/>
  <c r="I1661" i="18"/>
  <c r="J1661" i="18"/>
  <c r="K1661" i="18"/>
  <c r="L1661" i="18"/>
  <c r="B1662" i="18"/>
  <c r="C1662" i="18"/>
  <c r="D1662" i="18"/>
  <c r="E1662" i="18"/>
  <c r="F1662" i="18"/>
  <c r="G1662" i="18"/>
  <c r="H1662" i="18"/>
  <c r="I1662" i="18"/>
  <c r="J1662" i="18"/>
  <c r="K1662" i="18"/>
  <c r="L1662" i="18"/>
  <c r="B1663" i="18"/>
  <c r="C1663" i="18"/>
  <c r="D1663" i="18"/>
  <c r="E1663" i="18"/>
  <c r="F1663" i="18"/>
  <c r="G1663" i="18"/>
  <c r="H1663" i="18"/>
  <c r="I1663" i="18"/>
  <c r="J1663" i="18"/>
  <c r="K1663" i="18"/>
  <c r="L1663" i="18"/>
  <c r="B1664" i="18"/>
  <c r="C1664" i="18"/>
  <c r="D1664" i="18"/>
  <c r="E1664" i="18"/>
  <c r="F1664" i="18"/>
  <c r="G1664" i="18"/>
  <c r="H1664" i="18"/>
  <c r="I1664" i="18"/>
  <c r="J1664" i="18"/>
  <c r="K1664" i="18"/>
  <c r="L1664" i="18"/>
  <c r="B1665" i="18"/>
  <c r="C1665" i="18"/>
  <c r="D1665" i="18"/>
  <c r="E1665" i="18"/>
  <c r="F1665" i="18"/>
  <c r="G1665" i="18"/>
  <c r="H1665" i="18"/>
  <c r="I1665" i="18"/>
  <c r="J1665" i="18"/>
  <c r="K1665" i="18"/>
  <c r="L1665" i="18"/>
  <c r="B1666" i="18"/>
  <c r="C1666" i="18"/>
  <c r="D1666" i="18"/>
  <c r="E1666" i="18"/>
  <c r="F1666" i="18"/>
  <c r="G1666" i="18"/>
  <c r="H1666" i="18"/>
  <c r="I1666" i="18"/>
  <c r="J1666" i="18"/>
  <c r="K1666" i="18"/>
  <c r="L1666" i="18"/>
  <c r="B1667" i="18"/>
  <c r="C1667" i="18"/>
  <c r="D1667" i="18"/>
  <c r="E1667" i="18"/>
  <c r="F1667" i="18"/>
  <c r="G1667" i="18"/>
  <c r="H1667" i="18"/>
  <c r="I1667" i="18"/>
  <c r="J1667" i="18"/>
  <c r="K1667" i="18"/>
  <c r="L1667" i="18"/>
  <c r="B1668" i="18"/>
  <c r="C1668" i="18"/>
  <c r="D1668" i="18"/>
  <c r="E1668" i="18"/>
  <c r="F1668" i="18"/>
  <c r="G1668" i="18"/>
  <c r="H1668" i="18"/>
  <c r="I1668" i="18"/>
  <c r="J1668" i="18"/>
  <c r="K1668" i="18"/>
  <c r="L1668" i="18"/>
  <c r="B1669" i="18"/>
  <c r="C1669" i="18"/>
  <c r="D1669" i="18"/>
  <c r="E1669" i="18"/>
  <c r="F1669" i="18"/>
  <c r="G1669" i="18"/>
  <c r="H1669" i="18"/>
  <c r="I1669" i="18"/>
  <c r="J1669" i="18"/>
  <c r="K1669" i="18"/>
  <c r="L1669" i="18"/>
  <c r="B1670" i="18"/>
  <c r="C1670" i="18"/>
  <c r="D1670" i="18"/>
  <c r="E1670" i="18"/>
  <c r="F1670" i="18"/>
  <c r="G1670" i="18"/>
  <c r="H1670" i="18"/>
  <c r="I1670" i="18"/>
  <c r="J1670" i="18"/>
  <c r="K1670" i="18"/>
  <c r="L1670" i="18"/>
  <c r="B1671" i="18"/>
  <c r="C1671" i="18"/>
  <c r="D1671" i="18"/>
  <c r="E1671" i="18"/>
  <c r="F1671" i="18"/>
  <c r="G1671" i="18"/>
  <c r="H1671" i="18"/>
  <c r="I1671" i="18"/>
  <c r="J1671" i="18"/>
  <c r="K1671" i="18"/>
  <c r="L1671" i="18"/>
  <c r="B1672" i="18"/>
  <c r="C1672" i="18"/>
  <c r="D1672" i="18"/>
  <c r="E1672" i="18"/>
  <c r="F1672" i="18"/>
  <c r="G1672" i="18"/>
  <c r="H1672" i="18"/>
  <c r="I1672" i="18"/>
  <c r="J1672" i="18"/>
  <c r="K1672" i="18"/>
  <c r="L1672" i="18"/>
  <c r="B1673" i="18"/>
  <c r="C1673" i="18"/>
  <c r="D1673" i="18"/>
  <c r="E1673" i="18"/>
  <c r="F1673" i="18"/>
  <c r="G1673" i="18"/>
  <c r="H1673" i="18"/>
  <c r="I1673" i="18"/>
  <c r="J1673" i="18"/>
  <c r="K1673" i="18"/>
  <c r="L1673" i="18"/>
  <c r="B1674" i="18"/>
  <c r="C1674" i="18"/>
  <c r="D1674" i="18"/>
  <c r="E1674" i="18"/>
  <c r="F1674" i="18"/>
  <c r="G1674" i="18"/>
  <c r="H1674" i="18"/>
  <c r="I1674" i="18"/>
  <c r="J1674" i="18"/>
  <c r="K1674" i="18"/>
  <c r="L1674" i="18"/>
  <c r="B1675" i="18"/>
  <c r="C1675" i="18"/>
  <c r="D1675" i="18"/>
  <c r="E1675" i="18"/>
  <c r="F1675" i="18"/>
  <c r="G1675" i="18"/>
  <c r="H1675" i="18"/>
  <c r="I1675" i="18"/>
  <c r="J1675" i="18"/>
  <c r="K1675" i="18"/>
  <c r="L1675" i="18"/>
  <c r="B1676" i="18"/>
  <c r="C1676" i="18"/>
  <c r="D1676" i="18"/>
  <c r="E1676" i="18"/>
  <c r="F1676" i="18"/>
  <c r="G1676" i="18"/>
  <c r="H1676" i="18"/>
  <c r="I1676" i="18"/>
  <c r="J1676" i="18"/>
  <c r="K1676" i="18"/>
  <c r="L1676" i="18"/>
  <c r="B1677" i="18"/>
  <c r="C1677" i="18"/>
  <c r="D1677" i="18"/>
  <c r="E1677" i="18"/>
  <c r="F1677" i="18"/>
  <c r="G1677" i="18"/>
  <c r="H1677" i="18"/>
  <c r="I1677" i="18"/>
  <c r="J1677" i="18"/>
  <c r="K1677" i="18"/>
  <c r="L1677" i="18"/>
  <c r="B1678" i="18"/>
  <c r="C1678" i="18"/>
  <c r="D1678" i="18"/>
  <c r="E1678" i="18"/>
  <c r="F1678" i="18"/>
  <c r="G1678" i="18"/>
  <c r="H1678" i="18"/>
  <c r="I1678" i="18"/>
  <c r="J1678" i="18"/>
  <c r="K1678" i="18"/>
  <c r="L1678" i="18"/>
  <c r="B1679" i="18"/>
  <c r="C1679" i="18"/>
  <c r="D1679" i="18"/>
  <c r="E1679" i="18"/>
  <c r="F1679" i="18"/>
  <c r="G1679" i="18"/>
  <c r="H1679" i="18"/>
  <c r="I1679" i="18"/>
  <c r="J1679" i="18"/>
  <c r="K1679" i="18"/>
  <c r="L1679" i="18"/>
  <c r="B1680" i="18"/>
  <c r="C1680" i="18"/>
  <c r="D1680" i="18"/>
  <c r="E1680" i="18"/>
  <c r="F1680" i="18"/>
  <c r="G1680" i="18"/>
  <c r="H1680" i="18"/>
  <c r="I1680" i="18"/>
  <c r="J1680" i="18"/>
  <c r="K1680" i="18"/>
  <c r="L1680" i="18"/>
  <c r="B1681" i="18"/>
  <c r="C1681" i="18"/>
  <c r="D1681" i="18"/>
  <c r="E1681" i="18"/>
  <c r="F1681" i="18"/>
  <c r="G1681" i="18"/>
  <c r="H1681" i="18"/>
  <c r="I1681" i="18"/>
  <c r="J1681" i="18"/>
  <c r="K1681" i="18"/>
  <c r="L1681" i="18"/>
  <c r="B1682" i="18"/>
  <c r="C1682" i="18"/>
  <c r="D1682" i="18"/>
  <c r="E1682" i="18"/>
  <c r="F1682" i="18"/>
  <c r="G1682" i="18"/>
  <c r="H1682" i="18"/>
  <c r="I1682" i="18"/>
  <c r="J1682" i="18"/>
  <c r="K1682" i="18"/>
  <c r="L1682" i="18"/>
  <c r="B1683" i="18"/>
  <c r="C1683" i="18"/>
  <c r="D1683" i="18"/>
  <c r="E1683" i="18"/>
  <c r="F1683" i="18"/>
  <c r="G1683" i="18"/>
  <c r="H1683" i="18"/>
  <c r="I1683" i="18"/>
  <c r="J1683" i="18"/>
  <c r="K1683" i="18"/>
  <c r="L1683" i="18"/>
  <c r="B1684" i="18"/>
  <c r="C1684" i="18"/>
  <c r="D1684" i="18"/>
  <c r="E1684" i="18"/>
  <c r="F1684" i="18"/>
  <c r="G1684" i="18"/>
  <c r="H1684" i="18"/>
  <c r="I1684" i="18"/>
  <c r="J1684" i="18"/>
  <c r="K1684" i="18"/>
  <c r="L1684" i="18"/>
  <c r="B1685" i="18"/>
  <c r="C1685" i="18"/>
  <c r="D1685" i="18"/>
  <c r="E1685" i="18"/>
  <c r="F1685" i="18"/>
  <c r="G1685" i="18"/>
  <c r="H1685" i="18"/>
  <c r="I1685" i="18"/>
  <c r="J1685" i="18"/>
  <c r="K1685" i="18"/>
  <c r="L1685" i="18"/>
  <c r="B1686" i="18"/>
  <c r="C1686" i="18"/>
  <c r="D1686" i="18"/>
  <c r="E1686" i="18"/>
  <c r="F1686" i="18"/>
  <c r="G1686" i="18"/>
  <c r="H1686" i="18"/>
  <c r="I1686" i="18"/>
  <c r="J1686" i="18"/>
  <c r="K1686" i="18"/>
  <c r="L1686" i="18"/>
  <c r="B1687" i="18"/>
  <c r="C1687" i="18"/>
  <c r="D1687" i="18"/>
  <c r="E1687" i="18"/>
  <c r="F1687" i="18"/>
  <c r="G1687" i="18"/>
  <c r="H1687" i="18"/>
  <c r="I1687" i="18"/>
  <c r="J1687" i="18"/>
  <c r="K1687" i="18"/>
  <c r="L1687" i="18"/>
  <c r="B1688" i="18"/>
  <c r="C1688" i="18"/>
  <c r="D1688" i="18"/>
  <c r="E1688" i="18"/>
  <c r="F1688" i="18"/>
  <c r="G1688" i="18"/>
  <c r="H1688" i="18"/>
  <c r="I1688" i="18"/>
  <c r="J1688" i="18"/>
  <c r="K1688" i="18"/>
  <c r="L1688" i="18"/>
  <c r="B1689" i="18"/>
  <c r="C1689" i="18"/>
  <c r="D1689" i="18"/>
  <c r="E1689" i="18"/>
  <c r="F1689" i="18"/>
  <c r="G1689" i="18"/>
  <c r="H1689" i="18"/>
  <c r="I1689" i="18"/>
  <c r="J1689" i="18"/>
  <c r="K1689" i="18"/>
  <c r="L1689" i="18"/>
  <c r="B1690" i="18"/>
  <c r="C1690" i="18"/>
  <c r="D1690" i="18"/>
  <c r="E1690" i="18"/>
  <c r="F1690" i="18"/>
  <c r="G1690" i="18"/>
  <c r="H1690" i="18"/>
  <c r="I1690" i="18"/>
  <c r="J1690" i="18"/>
  <c r="K1690" i="18"/>
  <c r="L1690" i="18"/>
  <c r="B1691" i="18"/>
  <c r="C1691" i="18"/>
  <c r="D1691" i="18"/>
  <c r="E1691" i="18"/>
  <c r="F1691" i="18"/>
  <c r="G1691" i="18"/>
  <c r="H1691" i="18"/>
  <c r="I1691" i="18"/>
  <c r="J1691" i="18"/>
  <c r="K1691" i="18"/>
  <c r="L1691" i="18"/>
  <c r="B1692" i="18"/>
  <c r="C1692" i="18"/>
  <c r="D1692" i="18"/>
  <c r="E1692" i="18"/>
  <c r="F1692" i="18"/>
  <c r="G1692" i="18"/>
  <c r="H1692" i="18"/>
  <c r="I1692" i="18"/>
  <c r="J1692" i="18"/>
  <c r="K1692" i="18"/>
  <c r="L1692" i="18"/>
  <c r="B1693" i="18"/>
  <c r="C1693" i="18"/>
  <c r="D1693" i="18"/>
  <c r="E1693" i="18"/>
  <c r="F1693" i="18"/>
  <c r="G1693" i="18"/>
  <c r="H1693" i="18"/>
  <c r="I1693" i="18"/>
  <c r="J1693" i="18"/>
  <c r="K1693" i="18"/>
  <c r="L1693" i="18"/>
  <c r="B1694" i="18"/>
  <c r="C1694" i="18"/>
  <c r="D1694" i="18"/>
  <c r="E1694" i="18"/>
  <c r="F1694" i="18"/>
  <c r="G1694" i="18"/>
  <c r="H1694" i="18"/>
  <c r="I1694" i="18"/>
  <c r="J1694" i="18"/>
  <c r="K1694" i="18"/>
  <c r="L1694" i="18"/>
  <c r="B1695" i="18"/>
  <c r="C1695" i="18"/>
  <c r="D1695" i="18"/>
  <c r="E1695" i="18"/>
  <c r="F1695" i="18"/>
  <c r="G1695" i="18"/>
  <c r="H1695" i="18"/>
  <c r="I1695" i="18"/>
  <c r="J1695" i="18"/>
  <c r="K1695" i="18"/>
  <c r="L1695" i="18"/>
  <c r="B1696" i="18"/>
  <c r="C1696" i="18"/>
  <c r="D1696" i="18"/>
  <c r="E1696" i="18"/>
  <c r="F1696" i="18"/>
  <c r="G1696" i="18"/>
  <c r="H1696" i="18"/>
  <c r="I1696" i="18"/>
  <c r="J1696" i="18"/>
  <c r="K1696" i="18"/>
  <c r="L1696" i="18"/>
  <c r="B1697" i="18"/>
  <c r="C1697" i="18"/>
  <c r="D1697" i="18"/>
  <c r="E1697" i="18"/>
  <c r="F1697" i="18"/>
  <c r="G1697" i="18"/>
  <c r="H1697" i="18"/>
  <c r="I1697" i="18"/>
  <c r="J1697" i="18"/>
  <c r="K1697" i="18"/>
  <c r="L1697" i="18"/>
  <c r="B1698" i="18"/>
  <c r="C1698" i="18"/>
  <c r="D1698" i="18"/>
  <c r="E1698" i="18"/>
  <c r="F1698" i="18"/>
  <c r="G1698" i="18"/>
  <c r="H1698" i="18"/>
  <c r="I1698" i="18"/>
  <c r="J1698" i="18"/>
  <c r="K1698" i="18"/>
  <c r="L1698" i="18"/>
  <c r="B1699" i="18"/>
  <c r="C1699" i="18"/>
  <c r="D1699" i="18"/>
  <c r="E1699" i="18"/>
  <c r="F1699" i="18"/>
  <c r="G1699" i="18"/>
  <c r="H1699" i="18"/>
  <c r="I1699" i="18"/>
  <c r="J1699" i="18"/>
  <c r="K1699" i="18"/>
  <c r="L1699" i="18"/>
  <c r="B1700" i="18"/>
  <c r="C1700" i="18"/>
  <c r="D1700" i="18"/>
  <c r="E1700" i="18"/>
  <c r="F1700" i="18"/>
  <c r="G1700" i="18"/>
  <c r="H1700" i="18"/>
  <c r="I1700" i="18"/>
  <c r="J1700" i="18"/>
  <c r="K1700" i="18"/>
  <c r="L1700" i="18"/>
  <c r="B1701" i="18"/>
  <c r="C1701" i="18"/>
  <c r="D1701" i="18"/>
  <c r="E1701" i="18"/>
  <c r="F1701" i="18"/>
  <c r="G1701" i="18"/>
  <c r="H1701" i="18"/>
  <c r="I1701" i="18"/>
  <c r="J1701" i="18"/>
  <c r="K1701" i="18"/>
  <c r="L1701" i="18"/>
  <c r="B1702" i="18"/>
  <c r="C1702" i="18"/>
  <c r="D1702" i="18"/>
  <c r="E1702" i="18"/>
  <c r="F1702" i="18"/>
  <c r="G1702" i="18"/>
  <c r="H1702" i="18"/>
  <c r="I1702" i="18"/>
  <c r="J1702" i="18"/>
  <c r="K1702" i="18"/>
  <c r="L1702" i="18"/>
  <c r="B1703" i="18"/>
  <c r="C1703" i="18"/>
  <c r="D1703" i="18"/>
  <c r="E1703" i="18"/>
  <c r="F1703" i="18"/>
  <c r="G1703" i="18"/>
  <c r="H1703" i="18"/>
  <c r="I1703" i="18"/>
  <c r="J1703" i="18"/>
  <c r="K1703" i="18"/>
  <c r="L1703" i="18"/>
  <c r="B1704" i="18"/>
  <c r="C1704" i="18"/>
  <c r="D1704" i="18"/>
  <c r="E1704" i="18"/>
  <c r="F1704" i="18"/>
  <c r="G1704" i="18"/>
  <c r="H1704" i="18"/>
  <c r="I1704" i="18"/>
  <c r="J1704" i="18"/>
  <c r="K1704" i="18"/>
  <c r="L1704" i="18"/>
  <c r="B1705" i="18"/>
  <c r="C1705" i="18"/>
  <c r="D1705" i="18"/>
  <c r="E1705" i="18"/>
  <c r="F1705" i="18"/>
  <c r="G1705" i="18"/>
  <c r="H1705" i="18"/>
  <c r="I1705" i="18"/>
  <c r="J1705" i="18"/>
  <c r="K1705" i="18"/>
  <c r="L1705" i="18"/>
  <c r="B1706" i="18"/>
  <c r="C1706" i="18"/>
  <c r="D1706" i="18"/>
  <c r="E1706" i="18"/>
  <c r="F1706" i="18"/>
  <c r="G1706" i="18"/>
  <c r="H1706" i="18"/>
  <c r="I1706" i="18"/>
  <c r="J1706" i="18"/>
  <c r="K1706" i="18"/>
  <c r="L1706" i="18"/>
  <c r="B1707" i="18"/>
  <c r="C1707" i="18"/>
  <c r="D1707" i="18"/>
  <c r="E1707" i="18"/>
  <c r="F1707" i="18"/>
  <c r="G1707" i="18"/>
  <c r="H1707" i="18"/>
  <c r="I1707" i="18"/>
  <c r="J1707" i="18"/>
  <c r="K1707" i="18"/>
  <c r="L1707" i="18"/>
  <c r="B1708" i="18"/>
  <c r="C1708" i="18"/>
  <c r="D1708" i="18"/>
  <c r="E1708" i="18"/>
  <c r="F1708" i="18"/>
  <c r="G1708" i="18"/>
  <c r="H1708" i="18"/>
  <c r="I1708" i="18"/>
  <c r="J1708" i="18"/>
  <c r="K1708" i="18"/>
  <c r="L1708" i="18"/>
  <c r="B1709" i="18"/>
  <c r="C1709" i="18"/>
  <c r="D1709" i="18"/>
  <c r="E1709" i="18"/>
  <c r="F1709" i="18"/>
  <c r="G1709" i="18"/>
  <c r="H1709" i="18"/>
  <c r="I1709" i="18"/>
  <c r="J1709" i="18"/>
  <c r="K1709" i="18"/>
  <c r="L1709" i="18"/>
  <c r="B1710" i="18"/>
  <c r="C1710" i="18"/>
  <c r="D1710" i="18"/>
  <c r="E1710" i="18"/>
  <c r="F1710" i="18"/>
  <c r="G1710" i="18"/>
  <c r="H1710" i="18"/>
  <c r="I1710" i="18"/>
  <c r="J1710" i="18"/>
  <c r="K1710" i="18"/>
  <c r="L1710" i="18"/>
  <c r="B1711" i="18"/>
  <c r="C1711" i="18"/>
  <c r="D1711" i="18"/>
  <c r="E1711" i="18"/>
  <c r="F1711" i="18"/>
  <c r="G1711" i="18"/>
  <c r="H1711" i="18"/>
  <c r="I1711" i="18"/>
  <c r="J1711" i="18"/>
  <c r="K1711" i="18"/>
  <c r="L1711" i="18"/>
  <c r="B1712" i="18"/>
  <c r="C1712" i="18"/>
  <c r="D1712" i="18"/>
  <c r="E1712" i="18"/>
  <c r="F1712" i="18"/>
  <c r="G1712" i="18"/>
  <c r="H1712" i="18"/>
  <c r="I1712" i="18"/>
  <c r="J1712" i="18"/>
  <c r="K1712" i="18"/>
  <c r="L1712" i="18"/>
  <c r="B1713" i="18"/>
  <c r="C1713" i="18"/>
  <c r="D1713" i="18"/>
  <c r="E1713" i="18"/>
  <c r="F1713" i="18"/>
  <c r="G1713" i="18"/>
  <c r="H1713" i="18"/>
  <c r="I1713" i="18"/>
  <c r="J1713" i="18"/>
  <c r="K1713" i="18"/>
  <c r="L1713" i="18"/>
  <c r="B1714" i="18"/>
  <c r="C1714" i="18"/>
  <c r="D1714" i="18"/>
  <c r="E1714" i="18"/>
  <c r="F1714" i="18"/>
  <c r="G1714" i="18"/>
  <c r="H1714" i="18"/>
  <c r="I1714" i="18"/>
  <c r="J1714" i="18"/>
  <c r="K1714" i="18"/>
  <c r="L1714" i="18"/>
  <c r="B1715" i="18"/>
  <c r="C1715" i="18"/>
  <c r="D1715" i="18"/>
  <c r="E1715" i="18"/>
  <c r="F1715" i="18"/>
  <c r="G1715" i="18"/>
  <c r="H1715" i="18"/>
  <c r="I1715" i="18"/>
  <c r="J1715" i="18"/>
  <c r="K1715" i="18"/>
  <c r="L1715" i="18"/>
  <c r="B1716" i="18"/>
  <c r="C1716" i="18"/>
  <c r="D1716" i="18"/>
  <c r="E1716" i="18"/>
  <c r="F1716" i="18"/>
  <c r="G1716" i="18"/>
  <c r="H1716" i="18"/>
  <c r="I1716" i="18"/>
  <c r="J1716" i="18"/>
  <c r="K1716" i="18"/>
  <c r="L1716" i="18"/>
  <c r="B1717" i="18"/>
  <c r="C1717" i="18"/>
  <c r="D1717" i="18"/>
  <c r="E1717" i="18"/>
  <c r="F1717" i="18"/>
  <c r="G1717" i="18"/>
  <c r="H1717" i="18"/>
  <c r="I1717" i="18"/>
  <c r="J1717" i="18"/>
  <c r="K1717" i="18"/>
  <c r="L1717" i="18"/>
  <c r="B1718" i="18"/>
  <c r="C1718" i="18"/>
  <c r="D1718" i="18"/>
  <c r="E1718" i="18"/>
  <c r="F1718" i="18"/>
  <c r="G1718" i="18"/>
  <c r="H1718" i="18"/>
  <c r="I1718" i="18"/>
  <c r="J1718" i="18"/>
  <c r="K1718" i="18"/>
  <c r="L1718" i="18"/>
  <c r="B1719" i="18"/>
  <c r="C1719" i="18"/>
  <c r="D1719" i="18"/>
  <c r="E1719" i="18"/>
  <c r="F1719" i="18"/>
  <c r="G1719" i="18"/>
  <c r="H1719" i="18"/>
  <c r="I1719" i="18"/>
  <c r="J1719" i="18"/>
  <c r="K1719" i="18"/>
  <c r="L1719" i="18"/>
  <c r="B1720" i="18"/>
  <c r="C1720" i="18"/>
  <c r="D1720" i="18"/>
  <c r="E1720" i="18"/>
  <c r="F1720" i="18"/>
  <c r="G1720" i="18"/>
  <c r="H1720" i="18"/>
  <c r="I1720" i="18"/>
  <c r="J1720" i="18"/>
  <c r="K1720" i="18"/>
  <c r="L1720" i="18"/>
  <c r="B1721" i="18"/>
  <c r="C1721" i="18"/>
  <c r="D1721" i="18"/>
  <c r="E1721" i="18"/>
  <c r="F1721" i="18"/>
  <c r="G1721" i="18"/>
  <c r="H1721" i="18"/>
  <c r="I1721" i="18"/>
  <c r="J1721" i="18"/>
  <c r="K1721" i="18"/>
  <c r="L1721" i="18"/>
  <c r="B1722" i="18"/>
  <c r="C1722" i="18"/>
  <c r="D1722" i="18"/>
  <c r="E1722" i="18"/>
  <c r="F1722" i="18"/>
  <c r="G1722" i="18"/>
  <c r="H1722" i="18"/>
  <c r="I1722" i="18"/>
  <c r="J1722" i="18"/>
  <c r="K1722" i="18"/>
  <c r="L1722" i="18"/>
  <c r="B1723" i="18"/>
  <c r="C1723" i="18"/>
  <c r="D1723" i="18"/>
  <c r="E1723" i="18"/>
  <c r="F1723" i="18"/>
  <c r="G1723" i="18"/>
  <c r="H1723" i="18"/>
  <c r="I1723" i="18"/>
  <c r="J1723" i="18"/>
  <c r="K1723" i="18"/>
  <c r="L1723" i="18"/>
  <c r="B1724" i="18"/>
  <c r="C1724" i="18"/>
  <c r="D1724" i="18"/>
  <c r="E1724" i="18"/>
  <c r="F1724" i="18"/>
  <c r="G1724" i="18"/>
  <c r="H1724" i="18"/>
  <c r="I1724" i="18"/>
  <c r="J1724" i="18"/>
  <c r="K1724" i="18"/>
  <c r="L1724" i="18"/>
  <c r="B1725" i="18"/>
  <c r="C1725" i="18"/>
  <c r="D1725" i="18"/>
  <c r="E1725" i="18"/>
  <c r="F1725" i="18"/>
  <c r="G1725" i="18"/>
  <c r="H1725" i="18"/>
  <c r="I1725" i="18"/>
  <c r="J1725" i="18"/>
  <c r="K1725" i="18"/>
  <c r="L1725" i="18"/>
  <c r="B1726" i="18"/>
  <c r="C1726" i="18"/>
  <c r="D1726" i="18"/>
  <c r="E1726" i="18"/>
  <c r="F1726" i="18"/>
  <c r="G1726" i="18"/>
  <c r="H1726" i="18"/>
  <c r="I1726" i="18"/>
  <c r="J1726" i="18"/>
  <c r="K1726" i="18"/>
  <c r="L1726" i="18"/>
  <c r="B1727" i="18"/>
  <c r="C1727" i="18"/>
  <c r="D1727" i="18"/>
  <c r="E1727" i="18"/>
  <c r="F1727" i="18"/>
  <c r="G1727" i="18"/>
  <c r="H1727" i="18"/>
  <c r="I1727" i="18"/>
  <c r="J1727" i="18"/>
  <c r="K1727" i="18"/>
  <c r="L1727" i="18"/>
  <c r="B1728" i="18"/>
  <c r="C1728" i="18"/>
  <c r="D1728" i="18"/>
  <c r="E1728" i="18"/>
  <c r="F1728" i="18"/>
  <c r="G1728" i="18"/>
  <c r="H1728" i="18"/>
  <c r="I1728" i="18"/>
  <c r="J1728" i="18"/>
  <c r="K1728" i="18"/>
  <c r="L1728" i="18"/>
  <c r="B1729" i="18"/>
  <c r="C1729" i="18"/>
  <c r="D1729" i="18"/>
  <c r="E1729" i="18"/>
  <c r="F1729" i="18"/>
  <c r="G1729" i="18"/>
  <c r="H1729" i="18"/>
  <c r="I1729" i="18"/>
  <c r="J1729" i="18"/>
  <c r="K1729" i="18"/>
  <c r="L1729" i="18"/>
  <c r="B1730" i="18"/>
  <c r="C1730" i="18"/>
  <c r="D1730" i="18"/>
  <c r="E1730" i="18"/>
  <c r="F1730" i="18"/>
  <c r="G1730" i="18"/>
  <c r="H1730" i="18"/>
  <c r="I1730" i="18"/>
  <c r="J1730" i="18"/>
  <c r="K1730" i="18"/>
  <c r="L1730" i="18"/>
  <c r="B1731" i="18"/>
  <c r="C1731" i="18"/>
  <c r="D1731" i="18"/>
  <c r="E1731" i="18"/>
  <c r="F1731" i="18"/>
  <c r="G1731" i="18"/>
  <c r="H1731" i="18"/>
  <c r="I1731" i="18"/>
  <c r="J1731" i="18"/>
  <c r="K1731" i="18"/>
  <c r="L1731" i="18"/>
  <c r="B1732" i="18"/>
  <c r="C1732" i="18"/>
  <c r="D1732" i="18"/>
  <c r="E1732" i="18"/>
  <c r="F1732" i="18"/>
  <c r="G1732" i="18"/>
  <c r="H1732" i="18"/>
  <c r="I1732" i="18"/>
  <c r="J1732" i="18"/>
  <c r="K1732" i="18"/>
  <c r="L1732" i="18"/>
  <c r="B1733" i="18"/>
  <c r="C1733" i="18"/>
  <c r="D1733" i="18"/>
  <c r="E1733" i="18"/>
  <c r="F1733" i="18"/>
  <c r="G1733" i="18"/>
  <c r="H1733" i="18"/>
  <c r="I1733" i="18"/>
  <c r="J1733" i="18"/>
  <c r="K1733" i="18"/>
  <c r="L1733" i="18"/>
  <c r="B1734" i="18"/>
  <c r="C1734" i="18"/>
  <c r="D1734" i="18"/>
  <c r="E1734" i="18"/>
  <c r="F1734" i="18"/>
  <c r="G1734" i="18"/>
  <c r="H1734" i="18"/>
  <c r="I1734" i="18"/>
  <c r="J1734" i="18"/>
  <c r="K1734" i="18"/>
  <c r="L1734" i="18"/>
  <c r="B1735" i="18"/>
  <c r="C1735" i="18"/>
  <c r="D1735" i="18"/>
  <c r="E1735" i="18"/>
  <c r="F1735" i="18"/>
  <c r="G1735" i="18"/>
  <c r="H1735" i="18"/>
  <c r="I1735" i="18"/>
  <c r="J1735" i="18"/>
  <c r="K1735" i="18"/>
  <c r="L1735" i="18"/>
  <c r="B1736" i="18"/>
  <c r="C1736" i="18"/>
  <c r="D1736" i="18"/>
  <c r="E1736" i="18"/>
  <c r="F1736" i="18"/>
  <c r="G1736" i="18"/>
  <c r="H1736" i="18"/>
  <c r="I1736" i="18"/>
  <c r="J1736" i="18"/>
  <c r="K1736" i="18"/>
  <c r="L1736" i="18"/>
  <c r="B1737" i="18"/>
  <c r="C1737" i="18"/>
  <c r="D1737" i="18"/>
  <c r="E1737" i="18"/>
  <c r="F1737" i="18"/>
  <c r="G1737" i="18"/>
  <c r="H1737" i="18"/>
  <c r="I1737" i="18"/>
  <c r="J1737" i="18"/>
  <c r="K1737" i="18"/>
  <c r="L1737" i="18"/>
  <c r="B1738" i="18"/>
  <c r="C1738" i="18"/>
  <c r="D1738" i="18"/>
  <c r="E1738" i="18"/>
  <c r="F1738" i="18"/>
  <c r="G1738" i="18"/>
  <c r="H1738" i="18"/>
  <c r="I1738" i="18"/>
  <c r="J1738" i="18"/>
  <c r="K1738" i="18"/>
  <c r="L1738" i="18"/>
  <c r="B1739" i="18"/>
  <c r="C1739" i="18"/>
  <c r="D1739" i="18"/>
  <c r="E1739" i="18"/>
  <c r="F1739" i="18"/>
  <c r="G1739" i="18"/>
  <c r="H1739" i="18"/>
  <c r="I1739" i="18"/>
  <c r="J1739" i="18"/>
  <c r="K1739" i="18"/>
  <c r="L1739" i="18"/>
  <c r="B1740" i="18"/>
  <c r="C1740" i="18"/>
  <c r="D1740" i="18"/>
  <c r="E1740" i="18"/>
  <c r="F1740" i="18"/>
  <c r="G1740" i="18"/>
  <c r="H1740" i="18"/>
  <c r="I1740" i="18"/>
  <c r="J1740" i="18"/>
  <c r="K1740" i="18"/>
  <c r="L1740" i="18"/>
  <c r="B1741" i="18"/>
  <c r="C1741" i="18"/>
  <c r="D1741" i="18"/>
  <c r="E1741" i="18"/>
  <c r="F1741" i="18"/>
  <c r="G1741" i="18"/>
  <c r="H1741" i="18"/>
  <c r="I1741" i="18"/>
  <c r="J1741" i="18"/>
  <c r="K1741" i="18"/>
  <c r="L1741" i="18"/>
  <c r="B1742" i="18"/>
  <c r="C1742" i="18"/>
  <c r="D1742" i="18"/>
  <c r="E1742" i="18"/>
  <c r="F1742" i="18"/>
  <c r="G1742" i="18"/>
  <c r="H1742" i="18"/>
  <c r="I1742" i="18"/>
  <c r="J1742" i="18"/>
  <c r="K1742" i="18"/>
  <c r="L1742" i="18"/>
  <c r="B1743" i="18"/>
  <c r="C1743" i="18"/>
  <c r="D1743" i="18"/>
  <c r="E1743" i="18"/>
  <c r="F1743" i="18"/>
  <c r="G1743" i="18"/>
  <c r="H1743" i="18"/>
  <c r="I1743" i="18"/>
  <c r="J1743" i="18"/>
  <c r="K1743" i="18"/>
  <c r="L1743" i="18"/>
  <c r="B1744" i="18"/>
  <c r="C1744" i="18"/>
  <c r="D1744" i="18"/>
  <c r="E1744" i="18"/>
  <c r="F1744" i="18"/>
  <c r="G1744" i="18"/>
  <c r="H1744" i="18"/>
  <c r="I1744" i="18"/>
  <c r="J1744" i="18"/>
  <c r="K1744" i="18"/>
  <c r="L1744" i="18"/>
  <c r="B1745" i="18"/>
  <c r="C1745" i="18"/>
  <c r="D1745" i="18"/>
  <c r="E1745" i="18"/>
  <c r="F1745" i="18"/>
  <c r="G1745" i="18"/>
  <c r="H1745" i="18"/>
  <c r="I1745" i="18"/>
  <c r="J1745" i="18"/>
  <c r="K1745" i="18"/>
  <c r="L1745" i="18"/>
  <c r="B1746" i="18"/>
  <c r="C1746" i="18"/>
  <c r="D1746" i="18"/>
  <c r="E1746" i="18"/>
  <c r="F1746" i="18"/>
  <c r="G1746" i="18"/>
  <c r="H1746" i="18"/>
  <c r="I1746" i="18"/>
  <c r="J1746" i="18"/>
  <c r="K1746" i="18"/>
  <c r="L1746" i="18"/>
  <c r="B1747" i="18"/>
  <c r="C1747" i="18"/>
  <c r="D1747" i="18"/>
  <c r="E1747" i="18"/>
  <c r="F1747" i="18"/>
  <c r="G1747" i="18"/>
  <c r="H1747" i="18"/>
  <c r="I1747" i="18"/>
  <c r="J1747" i="18"/>
  <c r="K1747" i="18"/>
  <c r="L1747" i="18"/>
  <c r="B1748" i="18"/>
  <c r="C1748" i="18"/>
  <c r="D1748" i="18"/>
  <c r="E1748" i="18"/>
  <c r="F1748" i="18"/>
  <c r="G1748" i="18"/>
  <c r="H1748" i="18"/>
  <c r="I1748" i="18"/>
  <c r="J1748" i="18"/>
  <c r="K1748" i="18"/>
  <c r="L1748" i="18"/>
  <c r="B1749" i="18"/>
  <c r="C1749" i="18"/>
  <c r="D1749" i="18"/>
  <c r="E1749" i="18"/>
  <c r="F1749" i="18"/>
  <c r="G1749" i="18"/>
  <c r="H1749" i="18"/>
  <c r="I1749" i="18"/>
  <c r="J1749" i="18"/>
  <c r="K1749" i="18"/>
  <c r="L1749" i="18"/>
  <c r="B1750" i="18"/>
  <c r="C1750" i="18"/>
  <c r="D1750" i="18"/>
  <c r="E1750" i="18"/>
  <c r="F1750" i="18"/>
  <c r="G1750" i="18"/>
  <c r="H1750" i="18"/>
  <c r="I1750" i="18"/>
  <c r="J1750" i="18"/>
  <c r="K1750" i="18"/>
  <c r="L1750" i="18"/>
  <c r="B1751" i="18"/>
  <c r="C1751" i="18"/>
  <c r="D1751" i="18"/>
  <c r="E1751" i="18"/>
  <c r="F1751" i="18"/>
  <c r="G1751" i="18"/>
  <c r="H1751" i="18"/>
  <c r="I1751" i="18"/>
  <c r="J1751" i="18"/>
  <c r="K1751" i="18"/>
  <c r="L1751" i="18"/>
  <c r="B1752" i="18"/>
  <c r="C1752" i="18"/>
  <c r="D1752" i="18"/>
  <c r="E1752" i="18"/>
  <c r="F1752" i="18"/>
  <c r="G1752" i="18"/>
  <c r="H1752" i="18"/>
  <c r="I1752" i="18"/>
  <c r="J1752" i="18"/>
  <c r="K1752" i="18"/>
  <c r="L1752" i="18"/>
  <c r="B1753" i="18"/>
  <c r="C1753" i="18"/>
  <c r="D1753" i="18"/>
  <c r="E1753" i="18"/>
  <c r="F1753" i="18"/>
  <c r="G1753" i="18"/>
  <c r="H1753" i="18"/>
  <c r="I1753" i="18"/>
  <c r="J1753" i="18"/>
  <c r="K1753" i="18"/>
  <c r="L1753" i="18"/>
  <c r="B1754" i="18"/>
  <c r="C1754" i="18"/>
  <c r="D1754" i="18"/>
  <c r="E1754" i="18"/>
  <c r="F1754" i="18"/>
  <c r="G1754" i="18"/>
  <c r="H1754" i="18"/>
  <c r="I1754" i="18"/>
  <c r="J1754" i="18"/>
  <c r="K1754" i="18"/>
  <c r="L1754" i="18"/>
  <c r="B1755" i="18"/>
  <c r="C1755" i="18"/>
  <c r="D1755" i="18"/>
  <c r="E1755" i="18"/>
  <c r="F1755" i="18"/>
  <c r="G1755" i="18"/>
  <c r="H1755" i="18"/>
  <c r="I1755" i="18"/>
  <c r="J1755" i="18"/>
  <c r="K1755" i="18"/>
  <c r="L1755" i="18"/>
  <c r="B1756" i="18"/>
  <c r="C1756" i="18"/>
  <c r="D1756" i="18"/>
  <c r="E1756" i="18"/>
  <c r="F1756" i="18"/>
  <c r="G1756" i="18"/>
  <c r="H1756" i="18"/>
  <c r="I1756" i="18"/>
  <c r="J1756" i="18"/>
  <c r="K1756" i="18"/>
  <c r="L1756" i="18"/>
  <c r="B1757" i="18"/>
  <c r="C1757" i="18"/>
  <c r="D1757" i="18"/>
  <c r="E1757" i="18"/>
  <c r="F1757" i="18"/>
  <c r="G1757" i="18"/>
  <c r="H1757" i="18"/>
  <c r="I1757" i="18"/>
  <c r="J1757" i="18"/>
  <c r="K1757" i="18"/>
  <c r="L1757" i="18"/>
  <c r="B1758" i="18"/>
  <c r="C1758" i="18"/>
  <c r="D1758" i="18"/>
  <c r="E1758" i="18"/>
  <c r="F1758" i="18"/>
  <c r="G1758" i="18"/>
  <c r="H1758" i="18"/>
  <c r="I1758" i="18"/>
  <c r="J1758" i="18"/>
  <c r="K1758" i="18"/>
  <c r="L1758" i="18"/>
  <c r="B1759" i="18"/>
  <c r="C1759" i="18"/>
  <c r="D1759" i="18"/>
  <c r="E1759" i="18"/>
  <c r="F1759" i="18"/>
  <c r="G1759" i="18"/>
  <c r="H1759" i="18"/>
  <c r="I1759" i="18"/>
  <c r="J1759" i="18"/>
  <c r="K1759" i="18"/>
  <c r="L1759" i="18"/>
  <c r="B1760" i="18"/>
  <c r="C1760" i="18"/>
  <c r="D1760" i="18"/>
  <c r="E1760" i="18"/>
  <c r="F1760" i="18"/>
  <c r="G1760" i="18"/>
  <c r="H1760" i="18"/>
  <c r="I1760" i="18"/>
  <c r="J1760" i="18"/>
  <c r="K1760" i="18"/>
  <c r="L1760" i="18"/>
  <c r="B1761" i="18"/>
  <c r="C1761" i="18"/>
  <c r="D1761" i="18"/>
  <c r="E1761" i="18"/>
  <c r="F1761" i="18"/>
  <c r="G1761" i="18"/>
  <c r="H1761" i="18"/>
  <c r="I1761" i="18"/>
  <c r="J1761" i="18"/>
  <c r="K1761" i="18"/>
  <c r="L1761" i="18"/>
  <c r="B1762" i="18"/>
  <c r="C1762" i="18"/>
  <c r="D1762" i="18"/>
  <c r="E1762" i="18"/>
  <c r="F1762" i="18"/>
  <c r="G1762" i="18"/>
  <c r="H1762" i="18"/>
  <c r="I1762" i="18"/>
  <c r="J1762" i="18"/>
  <c r="K1762" i="18"/>
  <c r="L1762" i="18"/>
  <c r="B1763" i="18"/>
  <c r="C1763" i="18"/>
  <c r="D1763" i="18"/>
  <c r="E1763" i="18"/>
  <c r="F1763" i="18"/>
  <c r="G1763" i="18"/>
  <c r="H1763" i="18"/>
  <c r="I1763" i="18"/>
  <c r="J1763" i="18"/>
  <c r="K1763" i="18"/>
  <c r="L1763" i="18"/>
  <c r="B1764" i="18"/>
  <c r="C1764" i="18"/>
  <c r="D1764" i="18"/>
  <c r="E1764" i="18"/>
  <c r="F1764" i="18"/>
  <c r="G1764" i="18"/>
  <c r="H1764" i="18"/>
  <c r="I1764" i="18"/>
  <c r="J1764" i="18"/>
  <c r="K1764" i="18"/>
  <c r="L1764" i="18"/>
  <c r="B1765" i="18"/>
  <c r="C1765" i="18"/>
  <c r="D1765" i="18"/>
  <c r="E1765" i="18"/>
  <c r="F1765" i="18"/>
  <c r="G1765" i="18"/>
  <c r="H1765" i="18"/>
  <c r="I1765" i="18"/>
  <c r="J1765" i="18"/>
  <c r="K1765" i="18"/>
  <c r="L1765" i="18"/>
  <c r="B1766" i="18"/>
  <c r="C1766" i="18"/>
  <c r="D1766" i="18"/>
  <c r="E1766" i="18"/>
  <c r="F1766" i="18"/>
  <c r="G1766" i="18"/>
  <c r="H1766" i="18"/>
  <c r="I1766" i="18"/>
  <c r="J1766" i="18"/>
  <c r="K1766" i="18"/>
  <c r="L1766" i="18"/>
  <c r="B1767" i="18"/>
  <c r="C1767" i="18"/>
  <c r="D1767" i="18"/>
  <c r="E1767" i="18"/>
  <c r="F1767" i="18"/>
  <c r="G1767" i="18"/>
  <c r="H1767" i="18"/>
  <c r="I1767" i="18"/>
  <c r="J1767" i="18"/>
  <c r="K1767" i="18"/>
  <c r="L1767" i="18"/>
  <c r="B1768" i="18"/>
  <c r="C1768" i="18"/>
  <c r="D1768" i="18"/>
  <c r="E1768" i="18"/>
  <c r="F1768" i="18"/>
  <c r="G1768" i="18"/>
  <c r="H1768" i="18"/>
  <c r="I1768" i="18"/>
  <c r="J1768" i="18"/>
  <c r="K1768" i="18"/>
  <c r="L1768" i="18"/>
  <c r="B1769" i="18"/>
  <c r="C1769" i="18"/>
  <c r="D1769" i="18"/>
  <c r="E1769" i="18"/>
  <c r="F1769" i="18"/>
  <c r="G1769" i="18"/>
  <c r="H1769" i="18"/>
  <c r="I1769" i="18"/>
  <c r="J1769" i="18"/>
  <c r="K1769" i="18"/>
  <c r="L1769" i="18"/>
  <c r="B1770" i="18"/>
  <c r="C1770" i="18"/>
  <c r="D1770" i="18"/>
  <c r="E1770" i="18"/>
  <c r="F1770" i="18"/>
  <c r="G1770" i="18"/>
  <c r="H1770" i="18"/>
  <c r="I1770" i="18"/>
  <c r="J1770" i="18"/>
  <c r="K1770" i="18"/>
  <c r="L1770" i="18"/>
  <c r="B1771" i="18"/>
  <c r="C1771" i="18"/>
  <c r="D1771" i="18"/>
  <c r="E1771" i="18"/>
  <c r="F1771" i="18"/>
  <c r="G1771" i="18"/>
  <c r="H1771" i="18"/>
  <c r="I1771" i="18"/>
  <c r="J1771" i="18"/>
  <c r="K1771" i="18"/>
  <c r="L1771" i="18"/>
  <c r="B1772" i="18"/>
  <c r="C1772" i="18"/>
  <c r="D1772" i="18"/>
  <c r="E1772" i="18"/>
  <c r="F1772" i="18"/>
  <c r="G1772" i="18"/>
  <c r="H1772" i="18"/>
  <c r="I1772" i="18"/>
  <c r="J1772" i="18"/>
  <c r="K1772" i="18"/>
  <c r="L1772" i="18"/>
  <c r="B1773" i="18"/>
  <c r="C1773" i="18"/>
  <c r="D1773" i="18"/>
  <c r="E1773" i="18"/>
  <c r="F1773" i="18"/>
  <c r="G1773" i="18"/>
  <c r="H1773" i="18"/>
  <c r="I1773" i="18"/>
  <c r="J1773" i="18"/>
  <c r="K1773" i="18"/>
  <c r="L1773" i="18"/>
  <c r="B1774" i="18"/>
  <c r="C1774" i="18"/>
  <c r="D1774" i="18"/>
  <c r="E1774" i="18"/>
  <c r="F1774" i="18"/>
  <c r="G1774" i="18"/>
  <c r="H1774" i="18"/>
  <c r="I1774" i="18"/>
  <c r="J1774" i="18"/>
  <c r="K1774" i="18"/>
  <c r="L1774" i="18"/>
  <c r="B1775" i="18"/>
  <c r="C1775" i="18"/>
  <c r="D1775" i="18"/>
  <c r="E1775" i="18"/>
  <c r="F1775" i="18"/>
  <c r="G1775" i="18"/>
  <c r="H1775" i="18"/>
  <c r="I1775" i="18"/>
  <c r="J1775" i="18"/>
  <c r="K1775" i="18"/>
  <c r="L1775" i="18"/>
  <c r="B1776" i="18"/>
  <c r="C1776" i="18"/>
  <c r="D1776" i="18"/>
  <c r="E1776" i="18"/>
  <c r="F1776" i="18"/>
  <c r="G1776" i="18"/>
  <c r="H1776" i="18"/>
  <c r="I1776" i="18"/>
  <c r="J1776" i="18"/>
  <c r="K1776" i="18"/>
  <c r="L1776" i="18"/>
  <c r="B1777" i="18"/>
  <c r="C1777" i="18"/>
  <c r="D1777" i="18"/>
  <c r="E1777" i="18"/>
  <c r="F1777" i="18"/>
  <c r="G1777" i="18"/>
  <c r="H1777" i="18"/>
  <c r="I1777" i="18"/>
  <c r="J1777" i="18"/>
  <c r="K1777" i="18"/>
  <c r="L1777" i="18"/>
  <c r="B1778" i="18"/>
  <c r="C1778" i="18"/>
  <c r="D1778" i="18"/>
  <c r="E1778" i="18"/>
  <c r="F1778" i="18"/>
  <c r="G1778" i="18"/>
  <c r="H1778" i="18"/>
  <c r="I1778" i="18"/>
  <c r="J1778" i="18"/>
  <c r="K1778" i="18"/>
  <c r="L1778" i="18"/>
  <c r="B1779" i="18"/>
  <c r="C1779" i="18"/>
  <c r="D1779" i="18"/>
  <c r="E1779" i="18"/>
  <c r="F1779" i="18"/>
  <c r="G1779" i="18"/>
  <c r="H1779" i="18"/>
  <c r="I1779" i="18"/>
  <c r="J1779" i="18"/>
  <c r="K1779" i="18"/>
  <c r="L1779" i="18"/>
  <c r="B1780" i="18"/>
  <c r="C1780" i="18"/>
  <c r="D1780" i="18"/>
  <c r="E1780" i="18"/>
  <c r="F1780" i="18"/>
  <c r="G1780" i="18"/>
  <c r="H1780" i="18"/>
  <c r="I1780" i="18"/>
  <c r="J1780" i="18"/>
  <c r="K1780" i="18"/>
  <c r="L1780" i="18"/>
  <c r="B1781" i="18"/>
  <c r="C1781" i="18"/>
  <c r="D1781" i="18"/>
  <c r="E1781" i="18"/>
  <c r="F1781" i="18"/>
  <c r="G1781" i="18"/>
  <c r="H1781" i="18"/>
  <c r="I1781" i="18"/>
  <c r="J1781" i="18"/>
  <c r="K1781" i="18"/>
  <c r="L1781" i="18"/>
  <c r="B1782" i="18"/>
  <c r="C1782" i="18"/>
  <c r="D1782" i="18"/>
  <c r="E1782" i="18"/>
  <c r="F1782" i="18"/>
  <c r="G1782" i="18"/>
  <c r="H1782" i="18"/>
  <c r="I1782" i="18"/>
  <c r="J1782" i="18"/>
  <c r="K1782" i="18"/>
  <c r="L1782" i="18"/>
  <c r="B1783" i="18"/>
  <c r="C1783" i="18"/>
  <c r="D1783" i="18"/>
  <c r="E1783" i="18"/>
  <c r="F1783" i="18"/>
  <c r="G1783" i="18"/>
  <c r="H1783" i="18"/>
  <c r="I1783" i="18"/>
  <c r="J1783" i="18"/>
  <c r="K1783" i="18"/>
  <c r="L1783" i="18"/>
  <c r="B1784" i="18"/>
  <c r="C1784" i="18"/>
  <c r="D1784" i="18"/>
  <c r="E1784" i="18"/>
  <c r="F1784" i="18"/>
  <c r="G1784" i="18"/>
  <c r="H1784" i="18"/>
  <c r="I1784" i="18"/>
  <c r="J1784" i="18"/>
  <c r="K1784" i="18"/>
  <c r="L1784" i="18"/>
  <c r="B1785" i="18"/>
  <c r="C1785" i="18"/>
  <c r="D1785" i="18"/>
  <c r="E1785" i="18"/>
  <c r="F1785" i="18"/>
  <c r="G1785" i="18"/>
  <c r="H1785" i="18"/>
  <c r="I1785" i="18"/>
  <c r="J1785" i="18"/>
  <c r="K1785" i="18"/>
  <c r="L1785" i="18"/>
  <c r="B1786" i="18"/>
  <c r="C1786" i="18"/>
  <c r="D1786" i="18"/>
  <c r="E1786" i="18"/>
  <c r="F1786" i="18"/>
  <c r="G1786" i="18"/>
  <c r="H1786" i="18"/>
  <c r="I1786" i="18"/>
  <c r="J1786" i="18"/>
  <c r="K1786" i="18"/>
  <c r="L1786" i="18"/>
  <c r="B1787" i="18"/>
  <c r="C1787" i="18"/>
  <c r="D1787" i="18"/>
  <c r="E1787" i="18"/>
  <c r="F1787" i="18"/>
  <c r="G1787" i="18"/>
  <c r="H1787" i="18"/>
  <c r="I1787" i="18"/>
  <c r="J1787" i="18"/>
  <c r="K1787" i="18"/>
  <c r="L1787" i="18"/>
  <c r="B1788" i="18"/>
  <c r="C1788" i="18"/>
  <c r="D1788" i="18"/>
  <c r="E1788" i="18"/>
  <c r="F1788" i="18"/>
  <c r="G1788" i="18"/>
  <c r="H1788" i="18"/>
  <c r="I1788" i="18"/>
  <c r="J1788" i="18"/>
  <c r="K1788" i="18"/>
  <c r="L1788" i="18"/>
  <c r="B1789" i="18"/>
  <c r="C1789" i="18"/>
  <c r="D1789" i="18"/>
  <c r="E1789" i="18"/>
  <c r="F1789" i="18"/>
  <c r="G1789" i="18"/>
  <c r="H1789" i="18"/>
  <c r="I1789" i="18"/>
  <c r="J1789" i="18"/>
  <c r="K1789" i="18"/>
  <c r="L1789" i="18"/>
  <c r="B1790" i="18"/>
  <c r="C1790" i="18"/>
  <c r="D1790" i="18"/>
  <c r="E1790" i="18"/>
  <c r="F1790" i="18"/>
  <c r="G1790" i="18"/>
  <c r="H1790" i="18"/>
  <c r="I1790" i="18"/>
  <c r="J1790" i="18"/>
  <c r="K1790" i="18"/>
  <c r="L1790" i="18"/>
  <c r="B1791" i="18"/>
  <c r="C1791" i="18"/>
  <c r="D1791" i="18"/>
  <c r="E1791" i="18"/>
  <c r="F1791" i="18"/>
  <c r="G1791" i="18"/>
  <c r="H1791" i="18"/>
  <c r="I1791" i="18"/>
  <c r="J1791" i="18"/>
  <c r="K1791" i="18"/>
  <c r="L1791" i="18"/>
  <c r="B1792" i="18"/>
  <c r="C1792" i="18"/>
  <c r="D1792" i="18"/>
  <c r="E1792" i="18"/>
  <c r="F1792" i="18"/>
  <c r="G1792" i="18"/>
  <c r="H1792" i="18"/>
  <c r="I1792" i="18"/>
  <c r="J1792" i="18"/>
  <c r="K1792" i="18"/>
  <c r="L1792" i="18"/>
  <c r="B1793" i="18"/>
  <c r="C1793" i="18"/>
  <c r="D1793" i="18"/>
  <c r="E1793" i="18"/>
  <c r="F1793" i="18"/>
  <c r="G1793" i="18"/>
  <c r="H1793" i="18"/>
  <c r="I1793" i="18"/>
  <c r="J1793" i="18"/>
  <c r="K1793" i="18"/>
  <c r="L1793" i="18"/>
  <c r="B1794" i="18"/>
  <c r="C1794" i="18"/>
  <c r="D1794" i="18"/>
  <c r="E1794" i="18"/>
  <c r="F1794" i="18"/>
  <c r="G1794" i="18"/>
  <c r="H1794" i="18"/>
  <c r="I1794" i="18"/>
  <c r="J1794" i="18"/>
  <c r="K1794" i="18"/>
  <c r="L1794" i="18"/>
  <c r="B1795" i="18"/>
  <c r="C1795" i="18"/>
  <c r="D1795" i="18"/>
  <c r="E1795" i="18"/>
  <c r="F1795" i="18"/>
  <c r="G1795" i="18"/>
  <c r="H1795" i="18"/>
  <c r="I1795" i="18"/>
  <c r="J1795" i="18"/>
  <c r="K1795" i="18"/>
  <c r="L1795" i="18"/>
  <c r="B1796" i="18"/>
  <c r="C1796" i="18"/>
  <c r="D1796" i="18"/>
  <c r="E1796" i="18"/>
  <c r="F1796" i="18"/>
  <c r="G1796" i="18"/>
  <c r="H1796" i="18"/>
  <c r="I1796" i="18"/>
  <c r="J1796" i="18"/>
  <c r="K1796" i="18"/>
  <c r="L1796" i="18"/>
  <c r="B1797" i="18"/>
  <c r="C1797" i="18"/>
  <c r="D1797" i="18"/>
  <c r="E1797" i="18"/>
  <c r="F1797" i="18"/>
  <c r="G1797" i="18"/>
  <c r="H1797" i="18"/>
  <c r="I1797" i="18"/>
  <c r="J1797" i="18"/>
  <c r="K1797" i="18"/>
  <c r="L1797" i="18"/>
  <c r="B1798" i="18"/>
  <c r="C1798" i="18"/>
  <c r="D1798" i="18"/>
  <c r="E1798" i="18"/>
  <c r="F1798" i="18"/>
  <c r="G1798" i="18"/>
  <c r="H1798" i="18"/>
  <c r="I1798" i="18"/>
  <c r="J1798" i="18"/>
  <c r="K1798" i="18"/>
  <c r="L1798" i="18"/>
  <c r="B1799" i="18"/>
  <c r="C1799" i="18"/>
  <c r="D1799" i="18"/>
  <c r="E1799" i="18"/>
  <c r="F1799" i="18"/>
  <c r="G1799" i="18"/>
  <c r="H1799" i="18"/>
  <c r="I1799" i="18"/>
  <c r="J1799" i="18"/>
  <c r="K1799" i="18"/>
  <c r="L1799" i="18"/>
  <c r="B1800" i="18"/>
  <c r="C1800" i="18"/>
  <c r="D1800" i="18"/>
  <c r="E1800" i="18"/>
  <c r="F1800" i="18"/>
  <c r="G1800" i="18"/>
  <c r="H1800" i="18"/>
  <c r="I1800" i="18"/>
  <c r="J1800" i="18"/>
  <c r="K1800" i="18"/>
  <c r="L1800" i="18"/>
  <c r="B1801" i="18"/>
  <c r="C1801" i="18"/>
  <c r="D1801" i="18"/>
  <c r="E1801" i="18"/>
  <c r="F1801" i="18"/>
  <c r="G1801" i="18"/>
  <c r="H1801" i="18"/>
  <c r="I1801" i="18"/>
  <c r="J1801" i="18"/>
  <c r="K1801" i="18"/>
  <c r="L1801" i="18"/>
  <c r="B1802" i="18"/>
  <c r="C1802" i="18"/>
  <c r="D1802" i="18"/>
  <c r="E1802" i="18"/>
  <c r="F1802" i="18"/>
  <c r="G1802" i="18"/>
  <c r="H1802" i="18"/>
  <c r="I1802" i="18"/>
  <c r="J1802" i="18"/>
  <c r="K1802" i="18"/>
  <c r="L1802" i="18"/>
  <c r="B1803" i="18"/>
  <c r="C1803" i="18"/>
  <c r="D1803" i="18"/>
  <c r="E1803" i="18"/>
  <c r="F1803" i="18"/>
  <c r="G1803" i="18"/>
  <c r="H1803" i="18"/>
  <c r="I1803" i="18"/>
  <c r="J1803" i="18"/>
  <c r="K1803" i="18"/>
  <c r="L1803" i="18"/>
  <c r="B1804" i="18"/>
  <c r="C1804" i="18"/>
  <c r="D1804" i="18"/>
  <c r="E1804" i="18"/>
  <c r="F1804" i="18"/>
  <c r="G1804" i="18"/>
  <c r="H1804" i="18"/>
  <c r="I1804" i="18"/>
  <c r="J1804" i="18"/>
  <c r="K1804" i="18"/>
  <c r="L1804" i="18"/>
  <c r="B1805" i="18"/>
  <c r="C1805" i="18"/>
  <c r="D1805" i="18"/>
  <c r="E1805" i="18"/>
  <c r="F1805" i="18"/>
  <c r="G1805" i="18"/>
  <c r="H1805" i="18"/>
  <c r="I1805" i="18"/>
  <c r="J1805" i="18"/>
  <c r="K1805" i="18"/>
  <c r="L1805" i="18"/>
  <c r="B1806" i="18"/>
  <c r="C1806" i="18"/>
  <c r="D1806" i="18"/>
  <c r="E1806" i="18"/>
  <c r="F1806" i="18"/>
  <c r="G1806" i="18"/>
  <c r="H1806" i="18"/>
  <c r="I1806" i="18"/>
  <c r="J1806" i="18"/>
  <c r="K1806" i="18"/>
  <c r="L1806" i="18"/>
  <c r="B1807" i="18"/>
  <c r="C1807" i="18"/>
  <c r="D1807" i="18"/>
  <c r="E1807" i="18"/>
  <c r="F1807" i="18"/>
  <c r="G1807" i="18"/>
  <c r="H1807" i="18"/>
  <c r="I1807" i="18"/>
  <c r="J1807" i="18"/>
  <c r="K1807" i="18"/>
  <c r="L1807" i="18"/>
  <c r="B1808" i="18"/>
  <c r="C1808" i="18"/>
  <c r="D1808" i="18"/>
  <c r="E1808" i="18"/>
  <c r="F1808" i="18"/>
  <c r="G1808" i="18"/>
  <c r="H1808" i="18"/>
  <c r="I1808" i="18"/>
  <c r="J1808" i="18"/>
  <c r="K1808" i="18"/>
  <c r="L1808" i="18"/>
  <c r="B1809" i="18"/>
  <c r="C1809" i="18"/>
  <c r="D1809" i="18"/>
  <c r="E1809" i="18"/>
  <c r="F1809" i="18"/>
  <c r="G1809" i="18"/>
  <c r="H1809" i="18"/>
  <c r="I1809" i="18"/>
  <c r="J1809" i="18"/>
  <c r="K1809" i="18"/>
  <c r="L1809" i="18"/>
  <c r="B1810" i="18"/>
  <c r="C1810" i="18"/>
  <c r="D1810" i="18"/>
  <c r="E1810" i="18"/>
  <c r="F1810" i="18"/>
  <c r="G1810" i="18"/>
  <c r="H1810" i="18"/>
  <c r="I1810" i="18"/>
  <c r="J1810" i="18"/>
  <c r="K1810" i="18"/>
  <c r="L1810" i="18"/>
  <c r="B1811" i="18"/>
  <c r="C1811" i="18"/>
  <c r="D1811" i="18"/>
  <c r="E1811" i="18"/>
  <c r="F1811" i="18"/>
  <c r="G1811" i="18"/>
  <c r="H1811" i="18"/>
  <c r="I1811" i="18"/>
  <c r="J1811" i="18"/>
  <c r="K1811" i="18"/>
  <c r="L1811" i="18"/>
  <c r="B1812" i="18"/>
  <c r="C1812" i="18"/>
  <c r="D1812" i="18"/>
  <c r="E1812" i="18"/>
  <c r="F1812" i="18"/>
  <c r="G1812" i="18"/>
  <c r="H1812" i="18"/>
  <c r="I1812" i="18"/>
  <c r="J1812" i="18"/>
  <c r="K1812" i="18"/>
  <c r="L1812" i="18"/>
  <c r="B1813" i="18"/>
  <c r="C1813" i="18"/>
  <c r="D1813" i="18"/>
  <c r="E1813" i="18"/>
  <c r="F1813" i="18"/>
  <c r="G1813" i="18"/>
  <c r="H1813" i="18"/>
  <c r="I1813" i="18"/>
  <c r="J1813" i="18"/>
  <c r="K1813" i="18"/>
  <c r="L1813" i="18"/>
  <c r="B1814" i="18"/>
  <c r="C1814" i="18"/>
  <c r="D1814" i="18"/>
  <c r="E1814" i="18"/>
  <c r="F1814" i="18"/>
  <c r="G1814" i="18"/>
  <c r="H1814" i="18"/>
  <c r="I1814" i="18"/>
  <c r="J1814" i="18"/>
  <c r="K1814" i="18"/>
  <c r="L1814" i="18"/>
  <c r="B1815" i="18"/>
  <c r="C1815" i="18"/>
  <c r="D1815" i="18"/>
  <c r="E1815" i="18"/>
  <c r="F1815" i="18"/>
  <c r="G1815" i="18"/>
  <c r="H1815" i="18"/>
  <c r="I1815" i="18"/>
  <c r="J1815" i="18"/>
  <c r="K1815" i="18"/>
  <c r="L1815" i="18"/>
  <c r="B1816" i="18"/>
  <c r="C1816" i="18"/>
  <c r="D1816" i="18"/>
  <c r="E1816" i="18"/>
  <c r="F1816" i="18"/>
  <c r="G1816" i="18"/>
  <c r="H1816" i="18"/>
  <c r="I1816" i="18"/>
  <c r="J1816" i="18"/>
  <c r="K1816" i="18"/>
  <c r="L1816" i="18"/>
  <c r="B1817" i="18"/>
  <c r="C1817" i="18"/>
  <c r="D1817" i="18"/>
  <c r="E1817" i="18"/>
  <c r="F1817" i="18"/>
  <c r="G1817" i="18"/>
  <c r="H1817" i="18"/>
  <c r="I1817" i="18"/>
  <c r="J1817" i="18"/>
  <c r="K1817" i="18"/>
  <c r="L1817" i="18"/>
  <c r="B1818" i="18"/>
  <c r="C1818" i="18"/>
  <c r="D1818" i="18"/>
  <c r="E1818" i="18"/>
  <c r="F1818" i="18"/>
  <c r="G1818" i="18"/>
  <c r="H1818" i="18"/>
  <c r="I1818" i="18"/>
  <c r="J1818" i="18"/>
  <c r="K1818" i="18"/>
  <c r="L1818" i="18"/>
  <c r="B1819" i="18"/>
  <c r="C1819" i="18"/>
  <c r="D1819" i="18"/>
  <c r="E1819" i="18"/>
  <c r="F1819" i="18"/>
  <c r="G1819" i="18"/>
  <c r="H1819" i="18"/>
  <c r="I1819" i="18"/>
  <c r="J1819" i="18"/>
  <c r="K1819" i="18"/>
  <c r="L1819" i="18"/>
  <c r="B1820" i="18"/>
  <c r="C1820" i="18"/>
  <c r="D1820" i="18"/>
  <c r="E1820" i="18"/>
  <c r="F1820" i="18"/>
  <c r="G1820" i="18"/>
  <c r="H1820" i="18"/>
  <c r="I1820" i="18"/>
  <c r="J1820" i="18"/>
  <c r="K1820" i="18"/>
  <c r="L1820" i="18"/>
  <c r="B1821" i="18"/>
  <c r="C1821" i="18"/>
  <c r="D1821" i="18"/>
  <c r="E1821" i="18"/>
  <c r="F1821" i="18"/>
  <c r="G1821" i="18"/>
  <c r="H1821" i="18"/>
  <c r="I1821" i="18"/>
  <c r="J1821" i="18"/>
  <c r="K1821" i="18"/>
  <c r="L1821" i="18"/>
  <c r="B1822" i="18"/>
  <c r="C1822" i="18"/>
  <c r="D1822" i="18"/>
  <c r="E1822" i="18"/>
  <c r="F1822" i="18"/>
  <c r="G1822" i="18"/>
  <c r="H1822" i="18"/>
  <c r="I1822" i="18"/>
  <c r="J1822" i="18"/>
  <c r="K1822" i="18"/>
  <c r="L1822" i="18"/>
  <c r="B1823" i="18"/>
  <c r="C1823" i="18"/>
  <c r="D1823" i="18"/>
  <c r="E1823" i="18"/>
  <c r="F1823" i="18"/>
  <c r="G1823" i="18"/>
  <c r="H1823" i="18"/>
  <c r="I1823" i="18"/>
  <c r="J1823" i="18"/>
  <c r="K1823" i="18"/>
  <c r="L1823" i="18"/>
  <c r="B1824" i="18"/>
  <c r="C1824" i="18"/>
  <c r="D1824" i="18"/>
  <c r="E1824" i="18"/>
  <c r="F1824" i="18"/>
  <c r="G1824" i="18"/>
  <c r="H1824" i="18"/>
  <c r="I1824" i="18"/>
  <c r="J1824" i="18"/>
  <c r="K1824" i="18"/>
  <c r="L1824" i="18"/>
  <c r="B1825" i="18"/>
  <c r="C1825" i="18"/>
  <c r="D1825" i="18"/>
  <c r="E1825" i="18"/>
  <c r="F1825" i="18"/>
  <c r="G1825" i="18"/>
  <c r="H1825" i="18"/>
  <c r="I1825" i="18"/>
  <c r="J1825" i="18"/>
  <c r="K1825" i="18"/>
  <c r="L1825" i="18"/>
  <c r="B1826" i="18"/>
  <c r="C1826" i="18"/>
  <c r="D1826" i="18"/>
  <c r="E1826" i="18"/>
  <c r="F1826" i="18"/>
  <c r="G1826" i="18"/>
  <c r="H1826" i="18"/>
  <c r="I1826" i="18"/>
  <c r="J1826" i="18"/>
  <c r="K1826" i="18"/>
  <c r="L1826" i="18"/>
  <c r="B1827" i="18"/>
  <c r="C1827" i="18"/>
  <c r="D1827" i="18"/>
  <c r="E1827" i="18"/>
  <c r="F1827" i="18"/>
  <c r="G1827" i="18"/>
  <c r="H1827" i="18"/>
  <c r="I1827" i="18"/>
  <c r="J1827" i="18"/>
  <c r="K1827" i="18"/>
  <c r="L1827" i="18"/>
  <c r="B1828" i="18"/>
  <c r="C1828" i="18"/>
  <c r="D1828" i="18"/>
  <c r="E1828" i="18"/>
  <c r="F1828" i="18"/>
  <c r="G1828" i="18"/>
  <c r="H1828" i="18"/>
  <c r="I1828" i="18"/>
  <c r="J1828" i="18"/>
  <c r="K1828" i="18"/>
  <c r="L1828" i="18"/>
  <c r="B1829" i="18"/>
  <c r="C1829" i="18"/>
  <c r="D1829" i="18"/>
  <c r="E1829" i="18"/>
  <c r="F1829" i="18"/>
  <c r="G1829" i="18"/>
  <c r="H1829" i="18"/>
  <c r="I1829" i="18"/>
  <c r="J1829" i="18"/>
  <c r="K1829" i="18"/>
  <c r="L1829" i="18"/>
  <c r="B1830" i="18"/>
  <c r="C1830" i="18"/>
  <c r="D1830" i="18"/>
  <c r="E1830" i="18"/>
  <c r="F1830" i="18"/>
  <c r="G1830" i="18"/>
  <c r="H1830" i="18"/>
  <c r="I1830" i="18"/>
  <c r="J1830" i="18"/>
  <c r="K1830" i="18"/>
  <c r="L1830" i="18"/>
  <c r="B1831" i="18"/>
  <c r="C1831" i="18"/>
  <c r="D1831" i="18"/>
  <c r="E1831" i="18"/>
  <c r="F1831" i="18"/>
  <c r="G1831" i="18"/>
  <c r="H1831" i="18"/>
  <c r="I1831" i="18"/>
  <c r="J1831" i="18"/>
  <c r="K1831" i="18"/>
  <c r="L1831" i="18"/>
  <c r="B1832" i="18"/>
  <c r="C1832" i="18"/>
  <c r="D1832" i="18"/>
  <c r="E1832" i="18"/>
  <c r="F1832" i="18"/>
  <c r="G1832" i="18"/>
  <c r="H1832" i="18"/>
  <c r="I1832" i="18"/>
  <c r="J1832" i="18"/>
  <c r="K1832" i="18"/>
  <c r="L1832" i="18"/>
  <c r="B1833" i="18"/>
  <c r="C1833" i="18"/>
  <c r="D1833" i="18"/>
  <c r="E1833" i="18"/>
  <c r="F1833" i="18"/>
  <c r="G1833" i="18"/>
  <c r="H1833" i="18"/>
  <c r="I1833" i="18"/>
  <c r="J1833" i="18"/>
  <c r="K1833" i="18"/>
  <c r="L1833" i="18"/>
  <c r="B1834" i="18"/>
  <c r="C1834" i="18"/>
  <c r="D1834" i="18"/>
  <c r="E1834" i="18"/>
  <c r="F1834" i="18"/>
  <c r="G1834" i="18"/>
  <c r="H1834" i="18"/>
  <c r="I1834" i="18"/>
  <c r="J1834" i="18"/>
  <c r="K1834" i="18"/>
  <c r="L1834" i="18"/>
  <c r="B1835" i="18"/>
  <c r="C1835" i="18"/>
  <c r="D1835" i="18"/>
  <c r="E1835" i="18"/>
  <c r="F1835" i="18"/>
  <c r="G1835" i="18"/>
  <c r="H1835" i="18"/>
  <c r="I1835" i="18"/>
  <c r="J1835" i="18"/>
  <c r="K1835" i="18"/>
  <c r="L1835" i="18"/>
  <c r="B1836" i="18"/>
  <c r="C1836" i="18"/>
  <c r="D1836" i="18"/>
  <c r="E1836" i="18"/>
  <c r="F1836" i="18"/>
  <c r="G1836" i="18"/>
  <c r="H1836" i="18"/>
  <c r="I1836" i="18"/>
  <c r="J1836" i="18"/>
  <c r="K1836" i="18"/>
  <c r="L1836" i="18"/>
  <c r="B1837" i="18"/>
  <c r="C1837" i="18"/>
  <c r="D1837" i="18"/>
  <c r="E1837" i="18"/>
  <c r="F1837" i="18"/>
  <c r="G1837" i="18"/>
  <c r="H1837" i="18"/>
  <c r="I1837" i="18"/>
  <c r="J1837" i="18"/>
  <c r="K1837" i="18"/>
  <c r="L1837" i="18"/>
  <c r="B1838" i="18"/>
  <c r="C1838" i="18"/>
  <c r="D1838" i="18"/>
  <c r="E1838" i="18"/>
  <c r="F1838" i="18"/>
  <c r="G1838" i="18"/>
  <c r="H1838" i="18"/>
  <c r="I1838" i="18"/>
  <c r="J1838" i="18"/>
  <c r="K1838" i="18"/>
  <c r="L1838" i="18"/>
  <c r="B1839" i="18"/>
  <c r="C1839" i="18"/>
  <c r="D1839" i="18"/>
  <c r="E1839" i="18"/>
  <c r="F1839" i="18"/>
  <c r="G1839" i="18"/>
  <c r="H1839" i="18"/>
  <c r="I1839" i="18"/>
  <c r="J1839" i="18"/>
  <c r="K1839" i="18"/>
  <c r="L1839" i="18"/>
  <c r="B1840" i="18"/>
  <c r="C1840" i="18"/>
  <c r="D1840" i="18"/>
  <c r="E1840" i="18"/>
  <c r="F1840" i="18"/>
  <c r="G1840" i="18"/>
  <c r="H1840" i="18"/>
  <c r="I1840" i="18"/>
  <c r="J1840" i="18"/>
  <c r="K1840" i="18"/>
  <c r="L1840" i="18"/>
  <c r="B1841" i="18"/>
  <c r="C1841" i="18"/>
  <c r="D1841" i="18"/>
  <c r="E1841" i="18"/>
  <c r="F1841" i="18"/>
  <c r="G1841" i="18"/>
  <c r="H1841" i="18"/>
  <c r="I1841" i="18"/>
  <c r="J1841" i="18"/>
  <c r="K1841" i="18"/>
  <c r="L1841" i="18"/>
  <c r="B1842" i="18"/>
  <c r="C1842" i="18"/>
  <c r="D1842" i="18"/>
  <c r="E1842" i="18"/>
  <c r="F1842" i="18"/>
  <c r="G1842" i="18"/>
  <c r="H1842" i="18"/>
  <c r="I1842" i="18"/>
  <c r="J1842" i="18"/>
  <c r="K1842" i="18"/>
  <c r="L1842" i="18"/>
  <c r="B1843" i="18"/>
  <c r="C1843" i="18"/>
  <c r="D1843" i="18"/>
  <c r="E1843" i="18"/>
  <c r="F1843" i="18"/>
  <c r="G1843" i="18"/>
  <c r="H1843" i="18"/>
  <c r="I1843" i="18"/>
  <c r="J1843" i="18"/>
  <c r="K1843" i="18"/>
  <c r="L1843" i="18"/>
  <c r="B1844" i="18"/>
  <c r="C1844" i="18"/>
  <c r="D1844" i="18"/>
  <c r="E1844" i="18"/>
  <c r="F1844" i="18"/>
  <c r="G1844" i="18"/>
  <c r="H1844" i="18"/>
  <c r="I1844" i="18"/>
  <c r="J1844" i="18"/>
  <c r="K1844" i="18"/>
  <c r="L1844" i="18"/>
  <c r="B1845" i="18"/>
  <c r="C1845" i="18"/>
  <c r="D1845" i="18"/>
  <c r="E1845" i="18"/>
  <c r="F1845" i="18"/>
  <c r="G1845" i="18"/>
  <c r="H1845" i="18"/>
  <c r="I1845" i="18"/>
  <c r="J1845" i="18"/>
  <c r="K1845" i="18"/>
  <c r="L1845" i="18"/>
  <c r="B1846" i="18"/>
  <c r="C1846" i="18"/>
  <c r="D1846" i="18"/>
  <c r="E1846" i="18"/>
  <c r="F1846" i="18"/>
  <c r="G1846" i="18"/>
  <c r="H1846" i="18"/>
  <c r="I1846" i="18"/>
  <c r="J1846" i="18"/>
  <c r="K1846" i="18"/>
  <c r="L1846" i="18"/>
  <c r="B1847" i="18"/>
  <c r="C1847" i="18"/>
  <c r="D1847" i="18"/>
  <c r="E1847" i="18"/>
  <c r="F1847" i="18"/>
  <c r="G1847" i="18"/>
  <c r="H1847" i="18"/>
  <c r="I1847" i="18"/>
  <c r="J1847" i="18"/>
  <c r="K1847" i="18"/>
  <c r="L1847" i="18"/>
  <c r="B1848" i="18"/>
  <c r="C1848" i="18"/>
  <c r="D1848" i="18"/>
  <c r="E1848" i="18"/>
  <c r="F1848" i="18"/>
  <c r="G1848" i="18"/>
  <c r="H1848" i="18"/>
  <c r="I1848" i="18"/>
  <c r="J1848" i="18"/>
  <c r="K1848" i="18"/>
  <c r="L1848" i="18"/>
  <c r="B1849" i="18"/>
  <c r="C1849" i="18"/>
  <c r="D1849" i="18"/>
  <c r="E1849" i="18"/>
  <c r="F1849" i="18"/>
  <c r="G1849" i="18"/>
  <c r="H1849" i="18"/>
  <c r="I1849" i="18"/>
  <c r="J1849" i="18"/>
  <c r="K1849" i="18"/>
  <c r="L1849" i="18"/>
  <c r="B1850" i="18"/>
  <c r="C1850" i="18"/>
  <c r="D1850" i="18"/>
  <c r="E1850" i="18"/>
  <c r="F1850" i="18"/>
  <c r="G1850" i="18"/>
  <c r="H1850" i="18"/>
  <c r="I1850" i="18"/>
  <c r="J1850" i="18"/>
  <c r="K1850" i="18"/>
  <c r="L1850" i="18"/>
  <c r="B1851" i="18"/>
  <c r="C1851" i="18"/>
  <c r="D1851" i="18"/>
  <c r="E1851" i="18"/>
  <c r="F1851" i="18"/>
  <c r="G1851" i="18"/>
  <c r="H1851" i="18"/>
  <c r="I1851" i="18"/>
  <c r="J1851" i="18"/>
  <c r="K1851" i="18"/>
  <c r="L1851" i="18"/>
  <c r="B1852" i="18"/>
  <c r="C1852" i="18"/>
  <c r="D1852" i="18"/>
  <c r="E1852" i="18"/>
  <c r="F1852" i="18"/>
  <c r="G1852" i="18"/>
  <c r="H1852" i="18"/>
  <c r="I1852" i="18"/>
  <c r="J1852" i="18"/>
  <c r="K1852" i="18"/>
  <c r="L1852" i="18"/>
  <c r="B1853" i="18"/>
  <c r="C1853" i="18"/>
  <c r="D1853" i="18"/>
  <c r="E1853" i="18"/>
  <c r="F1853" i="18"/>
  <c r="G1853" i="18"/>
  <c r="H1853" i="18"/>
  <c r="I1853" i="18"/>
  <c r="J1853" i="18"/>
  <c r="K1853" i="18"/>
  <c r="L1853" i="18"/>
  <c r="B1854" i="18"/>
  <c r="C1854" i="18"/>
  <c r="D1854" i="18"/>
  <c r="E1854" i="18"/>
  <c r="F1854" i="18"/>
  <c r="G1854" i="18"/>
  <c r="H1854" i="18"/>
  <c r="I1854" i="18"/>
  <c r="J1854" i="18"/>
  <c r="K1854" i="18"/>
  <c r="L1854" i="18"/>
  <c r="B1855" i="18"/>
  <c r="C1855" i="18"/>
  <c r="D1855" i="18"/>
  <c r="E1855" i="18"/>
  <c r="F1855" i="18"/>
  <c r="G1855" i="18"/>
  <c r="H1855" i="18"/>
  <c r="I1855" i="18"/>
  <c r="J1855" i="18"/>
  <c r="K1855" i="18"/>
  <c r="L1855" i="18"/>
  <c r="B1856" i="18"/>
  <c r="C1856" i="18"/>
  <c r="D1856" i="18"/>
  <c r="E1856" i="18"/>
  <c r="F1856" i="18"/>
  <c r="G1856" i="18"/>
  <c r="H1856" i="18"/>
  <c r="I1856" i="18"/>
  <c r="J1856" i="18"/>
  <c r="K1856" i="18"/>
  <c r="L1856" i="18"/>
  <c r="B1857" i="18"/>
  <c r="C1857" i="18"/>
  <c r="D1857" i="18"/>
  <c r="E1857" i="18"/>
  <c r="F1857" i="18"/>
  <c r="G1857" i="18"/>
  <c r="H1857" i="18"/>
  <c r="I1857" i="18"/>
  <c r="J1857" i="18"/>
  <c r="K1857" i="18"/>
  <c r="L1857" i="18"/>
  <c r="B1858" i="18"/>
  <c r="C1858" i="18"/>
  <c r="D1858" i="18"/>
  <c r="E1858" i="18"/>
  <c r="F1858" i="18"/>
  <c r="G1858" i="18"/>
  <c r="H1858" i="18"/>
  <c r="I1858" i="18"/>
  <c r="J1858" i="18"/>
  <c r="K1858" i="18"/>
  <c r="L1858" i="18"/>
  <c r="B1859" i="18"/>
  <c r="C1859" i="18"/>
  <c r="D1859" i="18"/>
  <c r="E1859" i="18"/>
  <c r="F1859" i="18"/>
  <c r="G1859" i="18"/>
  <c r="H1859" i="18"/>
  <c r="I1859" i="18"/>
  <c r="J1859" i="18"/>
  <c r="K1859" i="18"/>
  <c r="L1859" i="18"/>
  <c r="B1860" i="18"/>
  <c r="C1860" i="18"/>
  <c r="D1860" i="18"/>
  <c r="E1860" i="18"/>
  <c r="F1860" i="18"/>
  <c r="G1860" i="18"/>
  <c r="H1860" i="18"/>
  <c r="I1860" i="18"/>
  <c r="J1860" i="18"/>
  <c r="K1860" i="18"/>
  <c r="L1860" i="18"/>
  <c r="B1861" i="18"/>
  <c r="C1861" i="18"/>
  <c r="D1861" i="18"/>
  <c r="E1861" i="18"/>
  <c r="F1861" i="18"/>
  <c r="G1861" i="18"/>
  <c r="H1861" i="18"/>
  <c r="I1861" i="18"/>
  <c r="J1861" i="18"/>
  <c r="K1861" i="18"/>
  <c r="L1861" i="18"/>
  <c r="B1862" i="18"/>
  <c r="C1862" i="18"/>
  <c r="D1862" i="18"/>
  <c r="E1862" i="18"/>
  <c r="F1862" i="18"/>
  <c r="G1862" i="18"/>
  <c r="H1862" i="18"/>
  <c r="I1862" i="18"/>
  <c r="J1862" i="18"/>
  <c r="K1862" i="18"/>
  <c r="L1862" i="18"/>
  <c r="B1863" i="18"/>
  <c r="C1863" i="18"/>
  <c r="D1863" i="18"/>
  <c r="E1863" i="18"/>
  <c r="F1863" i="18"/>
  <c r="G1863" i="18"/>
  <c r="H1863" i="18"/>
  <c r="I1863" i="18"/>
  <c r="J1863" i="18"/>
  <c r="K1863" i="18"/>
  <c r="L1863" i="18"/>
  <c r="B1864" i="18"/>
  <c r="C1864" i="18"/>
  <c r="D1864" i="18"/>
  <c r="E1864" i="18"/>
  <c r="F1864" i="18"/>
  <c r="G1864" i="18"/>
  <c r="H1864" i="18"/>
  <c r="I1864" i="18"/>
  <c r="J1864" i="18"/>
  <c r="K1864" i="18"/>
  <c r="L1864" i="18"/>
  <c r="B1865" i="18"/>
  <c r="C1865" i="18"/>
  <c r="D1865" i="18"/>
  <c r="E1865" i="18"/>
  <c r="F1865" i="18"/>
  <c r="G1865" i="18"/>
  <c r="H1865" i="18"/>
  <c r="I1865" i="18"/>
  <c r="J1865" i="18"/>
  <c r="K1865" i="18"/>
  <c r="L1865" i="18"/>
  <c r="B1866" i="18"/>
  <c r="C1866" i="18"/>
  <c r="D1866" i="18"/>
  <c r="E1866" i="18"/>
  <c r="F1866" i="18"/>
  <c r="G1866" i="18"/>
  <c r="H1866" i="18"/>
  <c r="I1866" i="18"/>
  <c r="J1866" i="18"/>
  <c r="K1866" i="18"/>
  <c r="L1866" i="18"/>
  <c r="B1867" i="18"/>
  <c r="C1867" i="18"/>
  <c r="D1867" i="18"/>
  <c r="E1867" i="18"/>
  <c r="F1867" i="18"/>
  <c r="G1867" i="18"/>
  <c r="H1867" i="18"/>
  <c r="I1867" i="18"/>
  <c r="J1867" i="18"/>
  <c r="K1867" i="18"/>
  <c r="L1867" i="18"/>
  <c r="B1868" i="18"/>
  <c r="C1868" i="18"/>
  <c r="D1868" i="18"/>
  <c r="E1868" i="18"/>
  <c r="F1868" i="18"/>
  <c r="G1868" i="18"/>
  <c r="H1868" i="18"/>
  <c r="I1868" i="18"/>
  <c r="J1868" i="18"/>
  <c r="K1868" i="18"/>
  <c r="L1868" i="18"/>
  <c r="B1869" i="18"/>
  <c r="C1869" i="18"/>
  <c r="D1869" i="18"/>
  <c r="E1869" i="18"/>
  <c r="F1869" i="18"/>
  <c r="G1869" i="18"/>
  <c r="H1869" i="18"/>
  <c r="I1869" i="18"/>
  <c r="J1869" i="18"/>
  <c r="K1869" i="18"/>
  <c r="L1869" i="18"/>
  <c r="B1870" i="18"/>
  <c r="C1870" i="18"/>
  <c r="D1870" i="18"/>
  <c r="E1870" i="18"/>
  <c r="F1870" i="18"/>
  <c r="G1870" i="18"/>
  <c r="H1870" i="18"/>
  <c r="I1870" i="18"/>
  <c r="J1870" i="18"/>
  <c r="K1870" i="18"/>
  <c r="L1870" i="18"/>
  <c r="B1871" i="18"/>
  <c r="C1871" i="18"/>
  <c r="D1871" i="18"/>
  <c r="E1871" i="18"/>
  <c r="F1871" i="18"/>
  <c r="G1871" i="18"/>
  <c r="H1871" i="18"/>
  <c r="I1871" i="18"/>
  <c r="J1871" i="18"/>
  <c r="K1871" i="18"/>
  <c r="L1871" i="18"/>
  <c r="B1872" i="18"/>
  <c r="C1872" i="18"/>
  <c r="D1872" i="18"/>
  <c r="E1872" i="18"/>
  <c r="F1872" i="18"/>
  <c r="G1872" i="18"/>
  <c r="H1872" i="18"/>
  <c r="I1872" i="18"/>
  <c r="J1872" i="18"/>
  <c r="K1872" i="18"/>
  <c r="L1872" i="18"/>
  <c r="B1873" i="18"/>
  <c r="C1873" i="18"/>
  <c r="D1873" i="18"/>
  <c r="E1873" i="18"/>
  <c r="F1873" i="18"/>
  <c r="G1873" i="18"/>
  <c r="H1873" i="18"/>
  <c r="I1873" i="18"/>
  <c r="J1873" i="18"/>
  <c r="K1873" i="18"/>
  <c r="L1873" i="18"/>
  <c r="B1874" i="18"/>
  <c r="C1874" i="18"/>
  <c r="D1874" i="18"/>
  <c r="E1874" i="18"/>
  <c r="F1874" i="18"/>
  <c r="G1874" i="18"/>
  <c r="H1874" i="18"/>
  <c r="I1874" i="18"/>
  <c r="J1874" i="18"/>
  <c r="K1874" i="18"/>
  <c r="L1874" i="18"/>
  <c r="B1875" i="18"/>
  <c r="C1875" i="18"/>
  <c r="D1875" i="18"/>
  <c r="E1875" i="18"/>
  <c r="F1875" i="18"/>
  <c r="G1875" i="18"/>
  <c r="H1875" i="18"/>
  <c r="I1875" i="18"/>
  <c r="J1875" i="18"/>
  <c r="K1875" i="18"/>
  <c r="L1875" i="18"/>
  <c r="B1876" i="18"/>
  <c r="C1876" i="18"/>
  <c r="D1876" i="18"/>
  <c r="E1876" i="18"/>
  <c r="F1876" i="18"/>
  <c r="G1876" i="18"/>
  <c r="H1876" i="18"/>
  <c r="I1876" i="18"/>
  <c r="J1876" i="18"/>
  <c r="K1876" i="18"/>
  <c r="L1876" i="18"/>
  <c r="B1877" i="18"/>
  <c r="C1877" i="18"/>
  <c r="D1877" i="18"/>
  <c r="E1877" i="18"/>
  <c r="F1877" i="18"/>
  <c r="G1877" i="18"/>
  <c r="H1877" i="18"/>
  <c r="I1877" i="18"/>
  <c r="J1877" i="18"/>
  <c r="K1877" i="18"/>
  <c r="L1877" i="18"/>
  <c r="B1878" i="18"/>
  <c r="C1878" i="18"/>
  <c r="D1878" i="18"/>
  <c r="E1878" i="18"/>
  <c r="F1878" i="18"/>
  <c r="G1878" i="18"/>
  <c r="H1878" i="18"/>
  <c r="I1878" i="18"/>
  <c r="J1878" i="18"/>
  <c r="K1878" i="18"/>
  <c r="L1878" i="18"/>
  <c r="B1879" i="18"/>
  <c r="C1879" i="18"/>
  <c r="D1879" i="18"/>
  <c r="E1879" i="18"/>
  <c r="F1879" i="18"/>
  <c r="G1879" i="18"/>
  <c r="H1879" i="18"/>
  <c r="I1879" i="18"/>
  <c r="J1879" i="18"/>
  <c r="K1879" i="18"/>
  <c r="L1879" i="18"/>
  <c r="B1880" i="18"/>
  <c r="C1880" i="18"/>
  <c r="D1880" i="18"/>
  <c r="E1880" i="18"/>
  <c r="F1880" i="18"/>
  <c r="G1880" i="18"/>
  <c r="H1880" i="18"/>
  <c r="I1880" i="18"/>
  <c r="J1880" i="18"/>
  <c r="K1880" i="18"/>
  <c r="L1880" i="18"/>
  <c r="B1881" i="18"/>
  <c r="C1881" i="18"/>
  <c r="D1881" i="18"/>
  <c r="E1881" i="18"/>
  <c r="F1881" i="18"/>
  <c r="G1881" i="18"/>
  <c r="H1881" i="18"/>
  <c r="I1881" i="18"/>
  <c r="J1881" i="18"/>
  <c r="K1881" i="18"/>
  <c r="L1881" i="18"/>
  <c r="B1882" i="18"/>
  <c r="C1882" i="18"/>
  <c r="D1882" i="18"/>
  <c r="E1882" i="18"/>
  <c r="F1882" i="18"/>
  <c r="G1882" i="18"/>
  <c r="H1882" i="18"/>
  <c r="I1882" i="18"/>
  <c r="J1882" i="18"/>
  <c r="K1882" i="18"/>
  <c r="L1882" i="18"/>
  <c r="B1883" i="18"/>
  <c r="C1883" i="18"/>
  <c r="D1883" i="18"/>
  <c r="E1883" i="18"/>
  <c r="F1883" i="18"/>
  <c r="G1883" i="18"/>
  <c r="H1883" i="18"/>
  <c r="I1883" i="18"/>
  <c r="J1883" i="18"/>
  <c r="K1883" i="18"/>
  <c r="L1883" i="18"/>
  <c r="B1884" i="18"/>
  <c r="C1884" i="18"/>
  <c r="D1884" i="18"/>
  <c r="E1884" i="18"/>
  <c r="F1884" i="18"/>
  <c r="G1884" i="18"/>
  <c r="H1884" i="18"/>
  <c r="I1884" i="18"/>
  <c r="J1884" i="18"/>
  <c r="K1884" i="18"/>
  <c r="L1884" i="18"/>
  <c r="B1885" i="18"/>
  <c r="C1885" i="18"/>
  <c r="D1885" i="18"/>
  <c r="E1885" i="18"/>
  <c r="F1885" i="18"/>
  <c r="G1885" i="18"/>
  <c r="H1885" i="18"/>
  <c r="I1885" i="18"/>
  <c r="J1885" i="18"/>
  <c r="K1885" i="18"/>
  <c r="L1885" i="18"/>
  <c r="B1886" i="18"/>
  <c r="C1886" i="18"/>
  <c r="D1886" i="18"/>
  <c r="E1886" i="18"/>
  <c r="F1886" i="18"/>
  <c r="G1886" i="18"/>
  <c r="H1886" i="18"/>
  <c r="I1886" i="18"/>
  <c r="J1886" i="18"/>
  <c r="K1886" i="18"/>
  <c r="L1886" i="18"/>
  <c r="B1887" i="18"/>
  <c r="C1887" i="18"/>
  <c r="D1887" i="18"/>
  <c r="E1887" i="18"/>
  <c r="F1887" i="18"/>
  <c r="G1887" i="18"/>
  <c r="H1887" i="18"/>
  <c r="I1887" i="18"/>
  <c r="J1887" i="18"/>
  <c r="K1887" i="18"/>
  <c r="L1887" i="18"/>
  <c r="B1888" i="18"/>
  <c r="C1888" i="18"/>
  <c r="D1888" i="18"/>
  <c r="E1888" i="18"/>
  <c r="F1888" i="18"/>
  <c r="G1888" i="18"/>
  <c r="H1888" i="18"/>
  <c r="I1888" i="18"/>
  <c r="J1888" i="18"/>
  <c r="K1888" i="18"/>
  <c r="L1888" i="18"/>
  <c r="B1889" i="18"/>
  <c r="C1889" i="18"/>
  <c r="D1889" i="18"/>
  <c r="E1889" i="18"/>
  <c r="F1889" i="18"/>
  <c r="G1889" i="18"/>
  <c r="H1889" i="18"/>
  <c r="I1889" i="18"/>
  <c r="J1889" i="18"/>
  <c r="K1889" i="18"/>
  <c r="L1889" i="18"/>
  <c r="B1890" i="18"/>
  <c r="C1890" i="18"/>
  <c r="D1890" i="18"/>
  <c r="E1890" i="18"/>
  <c r="F1890" i="18"/>
  <c r="G1890" i="18"/>
  <c r="H1890" i="18"/>
  <c r="I1890" i="18"/>
  <c r="J1890" i="18"/>
  <c r="K1890" i="18"/>
  <c r="L1890" i="18"/>
  <c r="B1891" i="18"/>
  <c r="C1891" i="18"/>
  <c r="D1891" i="18"/>
  <c r="E1891" i="18"/>
  <c r="F1891" i="18"/>
  <c r="G1891" i="18"/>
  <c r="H1891" i="18"/>
  <c r="I1891" i="18"/>
  <c r="J1891" i="18"/>
  <c r="K1891" i="18"/>
  <c r="L1891" i="18"/>
  <c r="B1892" i="18"/>
  <c r="C1892" i="18"/>
  <c r="D1892" i="18"/>
  <c r="E1892" i="18"/>
  <c r="F1892" i="18"/>
  <c r="G1892" i="18"/>
  <c r="H1892" i="18"/>
  <c r="I1892" i="18"/>
  <c r="J1892" i="18"/>
  <c r="K1892" i="18"/>
  <c r="L1892" i="18"/>
  <c r="B1893" i="18"/>
  <c r="C1893" i="18"/>
  <c r="D1893" i="18"/>
  <c r="E1893" i="18"/>
  <c r="F1893" i="18"/>
  <c r="G1893" i="18"/>
  <c r="H1893" i="18"/>
  <c r="I1893" i="18"/>
  <c r="J1893" i="18"/>
  <c r="K1893" i="18"/>
  <c r="L1893" i="18"/>
  <c r="B1894" i="18"/>
  <c r="C1894" i="18"/>
  <c r="D1894" i="18"/>
  <c r="E1894" i="18"/>
  <c r="F1894" i="18"/>
  <c r="G1894" i="18"/>
  <c r="H1894" i="18"/>
  <c r="I1894" i="18"/>
  <c r="J1894" i="18"/>
  <c r="K1894" i="18"/>
  <c r="L1894" i="18"/>
  <c r="B1895" i="18"/>
  <c r="C1895" i="18"/>
  <c r="D1895" i="18"/>
  <c r="E1895" i="18"/>
  <c r="F1895" i="18"/>
  <c r="G1895" i="18"/>
  <c r="H1895" i="18"/>
  <c r="I1895" i="18"/>
  <c r="J1895" i="18"/>
  <c r="K1895" i="18"/>
  <c r="L1895" i="18"/>
  <c r="B1896" i="18"/>
  <c r="C1896" i="18"/>
  <c r="D1896" i="18"/>
  <c r="E1896" i="18"/>
  <c r="F1896" i="18"/>
  <c r="G1896" i="18"/>
  <c r="H1896" i="18"/>
  <c r="I1896" i="18"/>
  <c r="J1896" i="18"/>
  <c r="K1896" i="18"/>
  <c r="L1896" i="18"/>
  <c r="B1897" i="18"/>
  <c r="C1897" i="18"/>
  <c r="D1897" i="18"/>
  <c r="E1897" i="18"/>
  <c r="F1897" i="18"/>
  <c r="G1897" i="18"/>
  <c r="H1897" i="18"/>
  <c r="I1897" i="18"/>
  <c r="J1897" i="18"/>
  <c r="K1897" i="18"/>
  <c r="L1897" i="18"/>
  <c r="B1898" i="18"/>
  <c r="C1898" i="18"/>
  <c r="D1898" i="18"/>
  <c r="E1898" i="18"/>
  <c r="F1898" i="18"/>
  <c r="G1898" i="18"/>
  <c r="H1898" i="18"/>
  <c r="I1898" i="18"/>
  <c r="J1898" i="18"/>
  <c r="K1898" i="18"/>
  <c r="L1898" i="18"/>
  <c r="B1899" i="18"/>
  <c r="C1899" i="18"/>
  <c r="D1899" i="18"/>
  <c r="E1899" i="18"/>
  <c r="F1899" i="18"/>
  <c r="G1899" i="18"/>
  <c r="H1899" i="18"/>
  <c r="I1899" i="18"/>
  <c r="J1899" i="18"/>
  <c r="K1899" i="18"/>
  <c r="L1899" i="18"/>
  <c r="B1900" i="18"/>
  <c r="C1900" i="18"/>
  <c r="D1900" i="18"/>
  <c r="E1900" i="18"/>
  <c r="F1900" i="18"/>
  <c r="G1900" i="18"/>
  <c r="H1900" i="18"/>
  <c r="I1900" i="18"/>
  <c r="J1900" i="18"/>
  <c r="K1900" i="18"/>
  <c r="L1900" i="18"/>
  <c r="B1901" i="18"/>
  <c r="C1901" i="18"/>
  <c r="D1901" i="18"/>
  <c r="E1901" i="18"/>
  <c r="F1901" i="18"/>
  <c r="G1901" i="18"/>
  <c r="H1901" i="18"/>
  <c r="I1901" i="18"/>
  <c r="J1901" i="18"/>
  <c r="K1901" i="18"/>
  <c r="L1901" i="18"/>
  <c r="B1902" i="18"/>
  <c r="C1902" i="18"/>
  <c r="D1902" i="18"/>
  <c r="E1902" i="18"/>
  <c r="F1902" i="18"/>
  <c r="G1902" i="18"/>
  <c r="H1902" i="18"/>
  <c r="I1902" i="18"/>
  <c r="J1902" i="18"/>
  <c r="K1902" i="18"/>
  <c r="L1902" i="18"/>
  <c r="B1903" i="18"/>
  <c r="C1903" i="18"/>
  <c r="D1903" i="18"/>
  <c r="E1903" i="18"/>
  <c r="F1903" i="18"/>
  <c r="G1903" i="18"/>
  <c r="H1903" i="18"/>
  <c r="I1903" i="18"/>
  <c r="J1903" i="18"/>
  <c r="K1903" i="18"/>
  <c r="L1903" i="18"/>
  <c r="B1904" i="18"/>
  <c r="C1904" i="18"/>
  <c r="D1904" i="18"/>
  <c r="E1904" i="18"/>
  <c r="F1904" i="18"/>
  <c r="G1904" i="18"/>
  <c r="H1904" i="18"/>
  <c r="I1904" i="18"/>
  <c r="J1904" i="18"/>
  <c r="K1904" i="18"/>
  <c r="L1904" i="18"/>
  <c r="B1905" i="18"/>
  <c r="C1905" i="18"/>
  <c r="D1905" i="18"/>
  <c r="E1905" i="18"/>
  <c r="F1905" i="18"/>
  <c r="G1905" i="18"/>
  <c r="H1905" i="18"/>
  <c r="I1905" i="18"/>
  <c r="J1905" i="18"/>
  <c r="K1905" i="18"/>
  <c r="L1905" i="18"/>
  <c r="B1906" i="18"/>
  <c r="C1906" i="18"/>
  <c r="D1906" i="18"/>
  <c r="E1906" i="18"/>
  <c r="F1906" i="18"/>
  <c r="G1906" i="18"/>
  <c r="H1906" i="18"/>
  <c r="I1906" i="18"/>
  <c r="J1906" i="18"/>
  <c r="K1906" i="18"/>
  <c r="L1906" i="18"/>
  <c r="B1907" i="18"/>
  <c r="C1907" i="18"/>
  <c r="D1907" i="18"/>
  <c r="E1907" i="18"/>
  <c r="F1907" i="18"/>
  <c r="G1907" i="18"/>
  <c r="H1907" i="18"/>
  <c r="I1907" i="18"/>
  <c r="J1907" i="18"/>
  <c r="K1907" i="18"/>
  <c r="L1907" i="18"/>
  <c r="B1908" i="18"/>
  <c r="C1908" i="18"/>
  <c r="D1908" i="18"/>
  <c r="E1908" i="18"/>
  <c r="F1908" i="18"/>
  <c r="G1908" i="18"/>
  <c r="H1908" i="18"/>
  <c r="I1908" i="18"/>
  <c r="J1908" i="18"/>
  <c r="K1908" i="18"/>
  <c r="L1908" i="18"/>
  <c r="B1909" i="18"/>
  <c r="C1909" i="18"/>
  <c r="D1909" i="18"/>
  <c r="E1909" i="18"/>
  <c r="F1909" i="18"/>
  <c r="G1909" i="18"/>
  <c r="H1909" i="18"/>
  <c r="I1909" i="18"/>
  <c r="J1909" i="18"/>
  <c r="K1909" i="18"/>
  <c r="L1909" i="18"/>
  <c r="B1910" i="18"/>
  <c r="C1910" i="18"/>
  <c r="D1910" i="18"/>
  <c r="E1910" i="18"/>
  <c r="F1910" i="18"/>
  <c r="G1910" i="18"/>
  <c r="H1910" i="18"/>
  <c r="I1910" i="18"/>
  <c r="J1910" i="18"/>
  <c r="K1910" i="18"/>
  <c r="L1910" i="18"/>
  <c r="B1911" i="18"/>
  <c r="C1911" i="18"/>
  <c r="D1911" i="18"/>
  <c r="E1911" i="18"/>
  <c r="F1911" i="18"/>
  <c r="G1911" i="18"/>
  <c r="H1911" i="18"/>
  <c r="I1911" i="18"/>
  <c r="J1911" i="18"/>
  <c r="K1911" i="18"/>
  <c r="L1911" i="18"/>
  <c r="B1912" i="18"/>
  <c r="C1912" i="18"/>
  <c r="D1912" i="18"/>
  <c r="E1912" i="18"/>
  <c r="F1912" i="18"/>
  <c r="G1912" i="18"/>
  <c r="H1912" i="18"/>
  <c r="I1912" i="18"/>
  <c r="J1912" i="18"/>
  <c r="K1912" i="18"/>
  <c r="L1912" i="18"/>
  <c r="B1913" i="18"/>
  <c r="C1913" i="18"/>
  <c r="D1913" i="18"/>
  <c r="E1913" i="18"/>
  <c r="F1913" i="18"/>
  <c r="G1913" i="18"/>
  <c r="H1913" i="18"/>
  <c r="I1913" i="18"/>
  <c r="J1913" i="18"/>
  <c r="K1913" i="18"/>
  <c r="L1913" i="18"/>
  <c r="B1914" i="18"/>
  <c r="C1914" i="18"/>
  <c r="D1914" i="18"/>
  <c r="E1914" i="18"/>
  <c r="F1914" i="18"/>
  <c r="G1914" i="18"/>
  <c r="H1914" i="18"/>
  <c r="I1914" i="18"/>
  <c r="J1914" i="18"/>
  <c r="K1914" i="18"/>
  <c r="L1914" i="18"/>
  <c r="B1915" i="18"/>
  <c r="C1915" i="18"/>
  <c r="D1915" i="18"/>
  <c r="E1915" i="18"/>
  <c r="F1915" i="18"/>
  <c r="G1915" i="18"/>
  <c r="H1915" i="18"/>
  <c r="I1915" i="18"/>
  <c r="J1915" i="18"/>
  <c r="K1915" i="18"/>
  <c r="L1915" i="18"/>
  <c r="B1916" i="18"/>
  <c r="C1916" i="18"/>
  <c r="D1916" i="18"/>
  <c r="E1916" i="18"/>
  <c r="F1916" i="18"/>
  <c r="G1916" i="18"/>
  <c r="H1916" i="18"/>
  <c r="I1916" i="18"/>
  <c r="J1916" i="18"/>
  <c r="K1916" i="18"/>
  <c r="L1916" i="18"/>
  <c r="B1917" i="18"/>
  <c r="C1917" i="18"/>
  <c r="D1917" i="18"/>
  <c r="E1917" i="18"/>
  <c r="F1917" i="18"/>
  <c r="G1917" i="18"/>
  <c r="H1917" i="18"/>
  <c r="I1917" i="18"/>
  <c r="J1917" i="18"/>
  <c r="K1917" i="18"/>
  <c r="L1917" i="18"/>
  <c r="B1918" i="18"/>
  <c r="C1918" i="18"/>
  <c r="D1918" i="18"/>
  <c r="E1918" i="18"/>
  <c r="F1918" i="18"/>
  <c r="G1918" i="18"/>
  <c r="H1918" i="18"/>
  <c r="I1918" i="18"/>
  <c r="J1918" i="18"/>
  <c r="K1918" i="18"/>
  <c r="L1918" i="18"/>
  <c r="B1919" i="18"/>
  <c r="C1919" i="18"/>
  <c r="D1919" i="18"/>
  <c r="E1919" i="18"/>
  <c r="F1919" i="18"/>
  <c r="G1919" i="18"/>
  <c r="H1919" i="18"/>
  <c r="I1919" i="18"/>
  <c r="J1919" i="18"/>
  <c r="K1919" i="18"/>
  <c r="L1919" i="18"/>
  <c r="B1920" i="18"/>
  <c r="C1920" i="18"/>
  <c r="D1920" i="18"/>
  <c r="E1920" i="18"/>
  <c r="F1920" i="18"/>
  <c r="G1920" i="18"/>
  <c r="H1920" i="18"/>
  <c r="I1920" i="18"/>
  <c r="J1920" i="18"/>
  <c r="K1920" i="18"/>
  <c r="L1920" i="18"/>
  <c r="B1921" i="18"/>
  <c r="C1921" i="18"/>
  <c r="D1921" i="18"/>
  <c r="E1921" i="18"/>
  <c r="F1921" i="18"/>
  <c r="G1921" i="18"/>
  <c r="H1921" i="18"/>
  <c r="I1921" i="18"/>
  <c r="J1921" i="18"/>
  <c r="K1921" i="18"/>
  <c r="L1921" i="18"/>
  <c r="B1922" i="18"/>
  <c r="C1922" i="18"/>
  <c r="D1922" i="18"/>
  <c r="E1922" i="18"/>
  <c r="F1922" i="18"/>
  <c r="G1922" i="18"/>
  <c r="H1922" i="18"/>
  <c r="I1922" i="18"/>
  <c r="J1922" i="18"/>
  <c r="K1922" i="18"/>
  <c r="L1922" i="18"/>
  <c r="B1923" i="18"/>
  <c r="C1923" i="18"/>
  <c r="D1923" i="18"/>
  <c r="E1923" i="18"/>
  <c r="F1923" i="18"/>
  <c r="G1923" i="18"/>
  <c r="H1923" i="18"/>
  <c r="I1923" i="18"/>
  <c r="J1923" i="18"/>
  <c r="K1923" i="18"/>
  <c r="L1923" i="18"/>
  <c r="B1924" i="18"/>
  <c r="C1924" i="18"/>
  <c r="D1924" i="18"/>
  <c r="E1924" i="18"/>
  <c r="F1924" i="18"/>
  <c r="G1924" i="18"/>
  <c r="H1924" i="18"/>
  <c r="I1924" i="18"/>
  <c r="J1924" i="18"/>
  <c r="K1924" i="18"/>
  <c r="L1924" i="18"/>
  <c r="B1925" i="18"/>
  <c r="C1925" i="18"/>
  <c r="D1925" i="18"/>
  <c r="E1925" i="18"/>
  <c r="F1925" i="18"/>
  <c r="G1925" i="18"/>
  <c r="H1925" i="18"/>
  <c r="I1925" i="18"/>
  <c r="J1925" i="18"/>
  <c r="K1925" i="18"/>
  <c r="L1925" i="18"/>
  <c r="B1926" i="18"/>
  <c r="C1926" i="18"/>
  <c r="D1926" i="18"/>
  <c r="E1926" i="18"/>
  <c r="F1926" i="18"/>
  <c r="G1926" i="18"/>
  <c r="H1926" i="18"/>
  <c r="I1926" i="18"/>
  <c r="J1926" i="18"/>
  <c r="K1926" i="18"/>
  <c r="L1926" i="18"/>
  <c r="B1927" i="18"/>
  <c r="C1927" i="18"/>
  <c r="D1927" i="18"/>
  <c r="E1927" i="18"/>
  <c r="F1927" i="18"/>
  <c r="G1927" i="18"/>
  <c r="H1927" i="18"/>
  <c r="I1927" i="18"/>
  <c r="J1927" i="18"/>
  <c r="K1927" i="18"/>
  <c r="L1927" i="18"/>
  <c r="B1928" i="18"/>
  <c r="C1928" i="18"/>
  <c r="D1928" i="18"/>
  <c r="E1928" i="18"/>
  <c r="F1928" i="18"/>
  <c r="G1928" i="18"/>
  <c r="H1928" i="18"/>
  <c r="I1928" i="18"/>
  <c r="J1928" i="18"/>
  <c r="K1928" i="18"/>
  <c r="L1928" i="18"/>
  <c r="B1929" i="18"/>
  <c r="C1929" i="18"/>
  <c r="D1929" i="18"/>
  <c r="E1929" i="18"/>
  <c r="F1929" i="18"/>
  <c r="G1929" i="18"/>
  <c r="H1929" i="18"/>
  <c r="I1929" i="18"/>
  <c r="J1929" i="18"/>
  <c r="K1929" i="18"/>
  <c r="L1929" i="18"/>
  <c r="B1930" i="18"/>
  <c r="C1930" i="18"/>
  <c r="D1930" i="18"/>
  <c r="E1930" i="18"/>
  <c r="F1930" i="18"/>
  <c r="G1930" i="18"/>
  <c r="H1930" i="18"/>
  <c r="I1930" i="18"/>
  <c r="J1930" i="18"/>
  <c r="K1930" i="18"/>
  <c r="L1930" i="18"/>
  <c r="B1931" i="18"/>
  <c r="C1931" i="18"/>
  <c r="D1931" i="18"/>
  <c r="E1931" i="18"/>
  <c r="F1931" i="18"/>
  <c r="G1931" i="18"/>
  <c r="H1931" i="18"/>
  <c r="I1931" i="18"/>
  <c r="J1931" i="18"/>
  <c r="K1931" i="18"/>
  <c r="L1931" i="18"/>
  <c r="B1932" i="18"/>
  <c r="C1932" i="18"/>
  <c r="D1932" i="18"/>
  <c r="E1932" i="18"/>
  <c r="F1932" i="18"/>
  <c r="G1932" i="18"/>
  <c r="H1932" i="18"/>
  <c r="I1932" i="18"/>
  <c r="J1932" i="18"/>
  <c r="K1932" i="18"/>
  <c r="L1932" i="18"/>
  <c r="B1933" i="18"/>
  <c r="C1933" i="18"/>
  <c r="D1933" i="18"/>
  <c r="E1933" i="18"/>
  <c r="F1933" i="18"/>
  <c r="G1933" i="18"/>
  <c r="H1933" i="18"/>
  <c r="I1933" i="18"/>
  <c r="J1933" i="18"/>
  <c r="K1933" i="18"/>
  <c r="L1933" i="18"/>
  <c r="B1934" i="18"/>
  <c r="C1934" i="18"/>
  <c r="D1934" i="18"/>
  <c r="E1934" i="18"/>
  <c r="F1934" i="18"/>
  <c r="G1934" i="18"/>
  <c r="H1934" i="18"/>
  <c r="I1934" i="18"/>
  <c r="J1934" i="18"/>
  <c r="K1934" i="18"/>
  <c r="L1934" i="18"/>
  <c r="B1935" i="18"/>
  <c r="C1935" i="18"/>
  <c r="D1935" i="18"/>
  <c r="E1935" i="18"/>
  <c r="F1935" i="18"/>
  <c r="G1935" i="18"/>
  <c r="H1935" i="18"/>
  <c r="I1935" i="18"/>
  <c r="J1935" i="18"/>
  <c r="K1935" i="18"/>
  <c r="L1935" i="18"/>
  <c r="B1936" i="18"/>
  <c r="C1936" i="18"/>
  <c r="D1936" i="18"/>
  <c r="E1936" i="18"/>
  <c r="F1936" i="18"/>
  <c r="G1936" i="18"/>
  <c r="H1936" i="18"/>
  <c r="I1936" i="18"/>
  <c r="J1936" i="18"/>
  <c r="K1936" i="18"/>
  <c r="L1936" i="18"/>
  <c r="B1937" i="18"/>
  <c r="C1937" i="18"/>
  <c r="D1937" i="18"/>
  <c r="E1937" i="18"/>
  <c r="F1937" i="18"/>
  <c r="G1937" i="18"/>
  <c r="H1937" i="18"/>
  <c r="I1937" i="18"/>
  <c r="J1937" i="18"/>
  <c r="K1937" i="18"/>
  <c r="L1937" i="18"/>
  <c r="B1938" i="18"/>
  <c r="C1938" i="18"/>
  <c r="D1938" i="18"/>
  <c r="E1938" i="18"/>
  <c r="F1938" i="18"/>
  <c r="G1938" i="18"/>
  <c r="H1938" i="18"/>
  <c r="I1938" i="18"/>
  <c r="J1938" i="18"/>
  <c r="K1938" i="18"/>
  <c r="L1938" i="18"/>
  <c r="B1939" i="18"/>
  <c r="C1939" i="18"/>
  <c r="D1939" i="18"/>
  <c r="E1939" i="18"/>
  <c r="F1939" i="18"/>
  <c r="G1939" i="18"/>
  <c r="H1939" i="18"/>
  <c r="I1939" i="18"/>
  <c r="J1939" i="18"/>
  <c r="K1939" i="18"/>
  <c r="L1939" i="18"/>
  <c r="B1940" i="18"/>
  <c r="C1940" i="18"/>
  <c r="D1940" i="18"/>
  <c r="E1940" i="18"/>
  <c r="F1940" i="18"/>
  <c r="G1940" i="18"/>
  <c r="H1940" i="18"/>
  <c r="I1940" i="18"/>
  <c r="J1940" i="18"/>
  <c r="K1940" i="18"/>
  <c r="L1940" i="18"/>
  <c r="B1941" i="18"/>
  <c r="C1941" i="18"/>
  <c r="D1941" i="18"/>
  <c r="E1941" i="18"/>
  <c r="F1941" i="18"/>
  <c r="G1941" i="18"/>
  <c r="H1941" i="18"/>
  <c r="I1941" i="18"/>
  <c r="J1941" i="18"/>
  <c r="K1941" i="18"/>
  <c r="L1941" i="18"/>
  <c r="B1942" i="18"/>
  <c r="C1942" i="18"/>
  <c r="D1942" i="18"/>
  <c r="E1942" i="18"/>
  <c r="F1942" i="18"/>
  <c r="G1942" i="18"/>
  <c r="H1942" i="18"/>
  <c r="I1942" i="18"/>
  <c r="J1942" i="18"/>
  <c r="K1942" i="18"/>
  <c r="L1942" i="18"/>
  <c r="B1943" i="18"/>
  <c r="C1943" i="18"/>
  <c r="D1943" i="18"/>
  <c r="E1943" i="18"/>
  <c r="F1943" i="18"/>
  <c r="G1943" i="18"/>
  <c r="H1943" i="18"/>
  <c r="I1943" i="18"/>
  <c r="J1943" i="18"/>
  <c r="K1943" i="18"/>
  <c r="L1943" i="18"/>
  <c r="B1944" i="18"/>
  <c r="C1944" i="18"/>
  <c r="D1944" i="18"/>
  <c r="E1944" i="18"/>
  <c r="F1944" i="18"/>
  <c r="G1944" i="18"/>
  <c r="H1944" i="18"/>
  <c r="I1944" i="18"/>
  <c r="J1944" i="18"/>
  <c r="K1944" i="18"/>
  <c r="L1944" i="18"/>
  <c r="B1945" i="18"/>
  <c r="C1945" i="18"/>
  <c r="D1945" i="18"/>
  <c r="E1945" i="18"/>
  <c r="F1945" i="18"/>
  <c r="G1945" i="18"/>
  <c r="H1945" i="18"/>
  <c r="I1945" i="18"/>
  <c r="J1945" i="18"/>
  <c r="K1945" i="18"/>
  <c r="L1945" i="18"/>
  <c r="B1946" i="18"/>
  <c r="C1946" i="18"/>
  <c r="D1946" i="18"/>
  <c r="E1946" i="18"/>
  <c r="F1946" i="18"/>
  <c r="G1946" i="18"/>
  <c r="H1946" i="18"/>
  <c r="I1946" i="18"/>
  <c r="J1946" i="18"/>
  <c r="K1946" i="18"/>
  <c r="L1946" i="18"/>
  <c r="B1947" i="18"/>
  <c r="C1947" i="18"/>
  <c r="D1947" i="18"/>
  <c r="E1947" i="18"/>
  <c r="F1947" i="18"/>
  <c r="G1947" i="18"/>
  <c r="H1947" i="18"/>
  <c r="I1947" i="18"/>
  <c r="J1947" i="18"/>
  <c r="K1947" i="18"/>
  <c r="L1947" i="18"/>
  <c r="B1948" i="18"/>
  <c r="C1948" i="18"/>
  <c r="D1948" i="18"/>
  <c r="E1948" i="18"/>
  <c r="F1948" i="18"/>
  <c r="G1948" i="18"/>
  <c r="H1948" i="18"/>
  <c r="I1948" i="18"/>
  <c r="J1948" i="18"/>
  <c r="K1948" i="18"/>
  <c r="L1948" i="18"/>
  <c r="B1949" i="18"/>
  <c r="C1949" i="18"/>
  <c r="D1949" i="18"/>
  <c r="E1949" i="18"/>
  <c r="F1949" i="18"/>
  <c r="G1949" i="18"/>
  <c r="H1949" i="18"/>
  <c r="I1949" i="18"/>
  <c r="J1949" i="18"/>
  <c r="K1949" i="18"/>
  <c r="L1949" i="18"/>
  <c r="B1950" i="18"/>
  <c r="C1950" i="18"/>
  <c r="D1950" i="18"/>
  <c r="E1950" i="18"/>
  <c r="F1950" i="18"/>
  <c r="G1950" i="18"/>
  <c r="H1950" i="18"/>
  <c r="I1950" i="18"/>
  <c r="J1950" i="18"/>
  <c r="K1950" i="18"/>
  <c r="L1950" i="18"/>
  <c r="B1951" i="18"/>
  <c r="C1951" i="18"/>
  <c r="D1951" i="18"/>
  <c r="E1951" i="18"/>
  <c r="F1951" i="18"/>
  <c r="G1951" i="18"/>
  <c r="H1951" i="18"/>
  <c r="I1951" i="18"/>
  <c r="J1951" i="18"/>
  <c r="K1951" i="18"/>
  <c r="L1951" i="18"/>
  <c r="B1952" i="18"/>
  <c r="C1952" i="18"/>
  <c r="D1952" i="18"/>
  <c r="E1952" i="18"/>
  <c r="F1952" i="18"/>
  <c r="G1952" i="18"/>
  <c r="H1952" i="18"/>
  <c r="I1952" i="18"/>
  <c r="J1952" i="18"/>
  <c r="K1952" i="18"/>
  <c r="L1952" i="18"/>
  <c r="B1953" i="18"/>
  <c r="C1953" i="18"/>
  <c r="D1953" i="18"/>
  <c r="E1953" i="18"/>
  <c r="F1953" i="18"/>
  <c r="G1953" i="18"/>
  <c r="H1953" i="18"/>
  <c r="I1953" i="18"/>
  <c r="J1953" i="18"/>
  <c r="K1953" i="18"/>
  <c r="L1953" i="18"/>
  <c r="B1954" i="18"/>
  <c r="C1954" i="18"/>
  <c r="D1954" i="18"/>
  <c r="E1954" i="18"/>
  <c r="F1954" i="18"/>
  <c r="G1954" i="18"/>
  <c r="H1954" i="18"/>
  <c r="I1954" i="18"/>
  <c r="J1954" i="18"/>
  <c r="K1954" i="18"/>
  <c r="L1954" i="18"/>
  <c r="B1955" i="18"/>
  <c r="C1955" i="18"/>
  <c r="D1955" i="18"/>
  <c r="E1955" i="18"/>
  <c r="F1955" i="18"/>
  <c r="G1955" i="18"/>
  <c r="H1955" i="18"/>
  <c r="I1955" i="18"/>
  <c r="J1955" i="18"/>
  <c r="K1955" i="18"/>
  <c r="L1955" i="18"/>
  <c r="B1956" i="18"/>
  <c r="C1956" i="18"/>
  <c r="D1956" i="18"/>
  <c r="E1956" i="18"/>
  <c r="F1956" i="18"/>
  <c r="G1956" i="18"/>
  <c r="H1956" i="18"/>
  <c r="I1956" i="18"/>
  <c r="J1956" i="18"/>
  <c r="K1956" i="18"/>
  <c r="L1956" i="18"/>
  <c r="B1957" i="18"/>
  <c r="C1957" i="18"/>
  <c r="D1957" i="18"/>
  <c r="E1957" i="18"/>
  <c r="F1957" i="18"/>
  <c r="G1957" i="18"/>
  <c r="H1957" i="18"/>
  <c r="I1957" i="18"/>
  <c r="J1957" i="18"/>
  <c r="K1957" i="18"/>
  <c r="L1957" i="18"/>
  <c r="B1958" i="18"/>
  <c r="C1958" i="18"/>
  <c r="D1958" i="18"/>
  <c r="E1958" i="18"/>
  <c r="F1958" i="18"/>
  <c r="G1958" i="18"/>
  <c r="H1958" i="18"/>
  <c r="I1958" i="18"/>
  <c r="J1958" i="18"/>
  <c r="K1958" i="18"/>
  <c r="L1958" i="18"/>
  <c r="B1959" i="18"/>
  <c r="C1959" i="18"/>
  <c r="D1959" i="18"/>
  <c r="E1959" i="18"/>
  <c r="F1959" i="18"/>
  <c r="G1959" i="18"/>
  <c r="H1959" i="18"/>
  <c r="I1959" i="18"/>
  <c r="J1959" i="18"/>
  <c r="K1959" i="18"/>
  <c r="L1959" i="18"/>
  <c r="B1960" i="18"/>
  <c r="C1960" i="18"/>
  <c r="D1960" i="18"/>
  <c r="E1960" i="18"/>
  <c r="F1960" i="18"/>
  <c r="G1960" i="18"/>
  <c r="H1960" i="18"/>
  <c r="I1960" i="18"/>
  <c r="J1960" i="18"/>
  <c r="K1960" i="18"/>
  <c r="L1960" i="18"/>
  <c r="B1961" i="18"/>
  <c r="C1961" i="18"/>
  <c r="D1961" i="18"/>
  <c r="E1961" i="18"/>
  <c r="F1961" i="18"/>
  <c r="G1961" i="18"/>
  <c r="H1961" i="18"/>
  <c r="I1961" i="18"/>
  <c r="J1961" i="18"/>
  <c r="K1961" i="18"/>
  <c r="L1961" i="18"/>
  <c r="B1962" i="18"/>
  <c r="C1962" i="18"/>
  <c r="D1962" i="18"/>
  <c r="E1962" i="18"/>
  <c r="F1962" i="18"/>
  <c r="G1962" i="18"/>
  <c r="H1962" i="18"/>
  <c r="I1962" i="18"/>
  <c r="J1962" i="18"/>
  <c r="K1962" i="18"/>
  <c r="L1962" i="18"/>
  <c r="B1963" i="18"/>
  <c r="C1963" i="18"/>
  <c r="D1963" i="18"/>
  <c r="E1963" i="18"/>
  <c r="F1963" i="18"/>
  <c r="G1963" i="18"/>
  <c r="H1963" i="18"/>
  <c r="I1963" i="18"/>
  <c r="J1963" i="18"/>
  <c r="K1963" i="18"/>
  <c r="L1963" i="18"/>
  <c r="B1964" i="18"/>
  <c r="C1964" i="18"/>
  <c r="D1964" i="18"/>
  <c r="E1964" i="18"/>
  <c r="F1964" i="18"/>
  <c r="G1964" i="18"/>
  <c r="H1964" i="18"/>
  <c r="I1964" i="18"/>
  <c r="J1964" i="18"/>
  <c r="K1964" i="18"/>
  <c r="L1964" i="18"/>
  <c r="B1965" i="18"/>
  <c r="C1965" i="18"/>
  <c r="D1965" i="18"/>
  <c r="E1965" i="18"/>
  <c r="F1965" i="18"/>
  <c r="G1965" i="18"/>
  <c r="H1965" i="18"/>
  <c r="I1965" i="18"/>
  <c r="J1965" i="18"/>
  <c r="K1965" i="18"/>
  <c r="L1965" i="18"/>
  <c r="B1966" i="18"/>
  <c r="C1966" i="18"/>
  <c r="D1966" i="18"/>
  <c r="E1966" i="18"/>
  <c r="F1966" i="18"/>
  <c r="G1966" i="18"/>
  <c r="H1966" i="18"/>
  <c r="I1966" i="18"/>
  <c r="J1966" i="18"/>
  <c r="K1966" i="18"/>
  <c r="L1966" i="18"/>
  <c r="B1967" i="18"/>
  <c r="C1967" i="18"/>
  <c r="D1967" i="18"/>
  <c r="E1967" i="18"/>
  <c r="F1967" i="18"/>
  <c r="G1967" i="18"/>
  <c r="H1967" i="18"/>
  <c r="I1967" i="18"/>
  <c r="J1967" i="18"/>
  <c r="K1967" i="18"/>
  <c r="L1967" i="18"/>
  <c r="B1968" i="18"/>
  <c r="C1968" i="18"/>
  <c r="D1968" i="18"/>
  <c r="E1968" i="18"/>
  <c r="F1968" i="18"/>
  <c r="G1968" i="18"/>
  <c r="H1968" i="18"/>
  <c r="I1968" i="18"/>
  <c r="J1968" i="18"/>
  <c r="K1968" i="18"/>
  <c r="L1968" i="18"/>
  <c r="B1969" i="18"/>
  <c r="C1969" i="18"/>
  <c r="D1969" i="18"/>
  <c r="E1969" i="18"/>
  <c r="F1969" i="18"/>
  <c r="G1969" i="18"/>
  <c r="H1969" i="18"/>
  <c r="I1969" i="18"/>
  <c r="J1969" i="18"/>
  <c r="K1969" i="18"/>
  <c r="L1969" i="18"/>
  <c r="B1970" i="18"/>
  <c r="C1970" i="18"/>
  <c r="D1970" i="18"/>
  <c r="E1970" i="18"/>
  <c r="F1970" i="18"/>
  <c r="G1970" i="18"/>
  <c r="H1970" i="18"/>
  <c r="I1970" i="18"/>
  <c r="J1970" i="18"/>
  <c r="K1970" i="18"/>
  <c r="L1970" i="18"/>
  <c r="B1971" i="18"/>
  <c r="C1971" i="18"/>
  <c r="D1971" i="18"/>
  <c r="E1971" i="18"/>
  <c r="F1971" i="18"/>
  <c r="G1971" i="18"/>
  <c r="H1971" i="18"/>
  <c r="I1971" i="18"/>
  <c r="J1971" i="18"/>
  <c r="K1971" i="18"/>
  <c r="L1971" i="18"/>
  <c r="B1972" i="18"/>
  <c r="C1972" i="18"/>
  <c r="D1972" i="18"/>
  <c r="E1972" i="18"/>
  <c r="F1972" i="18"/>
  <c r="G1972" i="18"/>
  <c r="H1972" i="18"/>
  <c r="I1972" i="18"/>
  <c r="J1972" i="18"/>
  <c r="K1972" i="18"/>
  <c r="L1972" i="18"/>
  <c r="B1973" i="18"/>
  <c r="C1973" i="18"/>
  <c r="D1973" i="18"/>
  <c r="E1973" i="18"/>
  <c r="F1973" i="18"/>
  <c r="G1973" i="18"/>
  <c r="H1973" i="18"/>
  <c r="I1973" i="18"/>
  <c r="J1973" i="18"/>
  <c r="K1973" i="18"/>
  <c r="L1973" i="18"/>
  <c r="B1974" i="18"/>
  <c r="C1974" i="18"/>
  <c r="D1974" i="18"/>
  <c r="E1974" i="18"/>
  <c r="F1974" i="18"/>
  <c r="G1974" i="18"/>
  <c r="H1974" i="18"/>
  <c r="I1974" i="18"/>
  <c r="J1974" i="18"/>
  <c r="K1974" i="18"/>
  <c r="L1974" i="18"/>
  <c r="B1975" i="18"/>
  <c r="C1975" i="18"/>
  <c r="D1975" i="18"/>
  <c r="E1975" i="18"/>
  <c r="F1975" i="18"/>
  <c r="G1975" i="18"/>
  <c r="H1975" i="18"/>
  <c r="I1975" i="18"/>
  <c r="J1975" i="18"/>
  <c r="K1975" i="18"/>
  <c r="L1975" i="18"/>
  <c r="B1976" i="18"/>
  <c r="C1976" i="18"/>
  <c r="D1976" i="18"/>
  <c r="E1976" i="18"/>
  <c r="F1976" i="18"/>
  <c r="G1976" i="18"/>
  <c r="H1976" i="18"/>
  <c r="I1976" i="18"/>
  <c r="J1976" i="18"/>
  <c r="K1976" i="18"/>
  <c r="L1976" i="18"/>
  <c r="B1977" i="18"/>
  <c r="C1977" i="18"/>
  <c r="D1977" i="18"/>
  <c r="E1977" i="18"/>
  <c r="F1977" i="18"/>
  <c r="G1977" i="18"/>
  <c r="H1977" i="18"/>
  <c r="I1977" i="18"/>
  <c r="J1977" i="18"/>
  <c r="K1977" i="18"/>
  <c r="L1977" i="18"/>
  <c r="B1978" i="18"/>
  <c r="C1978" i="18"/>
  <c r="D1978" i="18"/>
  <c r="E1978" i="18"/>
  <c r="F1978" i="18"/>
  <c r="G1978" i="18"/>
  <c r="H1978" i="18"/>
  <c r="I1978" i="18"/>
  <c r="J1978" i="18"/>
  <c r="K1978" i="18"/>
  <c r="L1978" i="18"/>
  <c r="B1979" i="18"/>
  <c r="C1979" i="18"/>
  <c r="D1979" i="18"/>
  <c r="E1979" i="18"/>
  <c r="F1979" i="18"/>
  <c r="G1979" i="18"/>
  <c r="H1979" i="18"/>
  <c r="I1979" i="18"/>
  <c r="J1979" i="18"/>
  <c r="K1979" i="18"/>
  <c r="L1979" i="18"/>
  <c r="B1980" i="18"/>
  <c r="C1980" i="18"/>
  <c r="D1980" i="18"/>
  <c r="E1980" i="18"/>
  <c r="F1980" i="18"/>
  <c r="G1980" i="18"/>
  <c r="H1980" i="18"/>
  <c r="I1980" i="18"/>
  <c r="J1980" i="18"/>
  <c r="K1980" i="18"/>
  <c r="L1980" i="18"/>
  <c r="B1981" i="18"/>
  <c r="C1981" i="18"/>
  <c r="D1981" i="18"/>
  <c r="E1981" i="18"/>
  <c r="F1981" i="18"/>
  <c r="G1981" i="18"/>
  <c r="H1981" i="18"/>
  <c r="I1981" i="18"/>
  <c r="J1981" i="18"/>
  <c r="K1981" i="18"/>
  <c r="L1981" i="18"/>
  <c r="B1982" i="18"/>
  <c r="C1982" i="18"/>
  <c r="D1982" i="18"/>
  <c r="E1982" i="18"/>
  <c r="F1982" i="18"/>
  <c r="G1982" i="18"/>
  <c r="H1982" i="18"/>
  <c r="I1982" i="18"/>
  <c r="J1982" i="18"/>
  <c r="K1982" i="18"/>
  <c r="L1982" i="18"/>
  <c r="B1983" i="18"/>
  <c r="C1983" i="18"/>
  <c r="D1983" i="18"/>
  <c r="E1983" i="18"/>
  <c r="F1983" i="18"/>
  <c r="G1983" i="18"/>
  <c r="H1983" i="18"/>
  <c r="I1983" i="18"/>
  <c r="J1983" i="18"/>
  <c r="K1983" i="18"/>
  <c r="L1983" i="18"/>
  <c r="B1984" i="18"/>
  <c r="C1984" i="18"/>
  <c r="D1984" i="18"/>
  <c r="E1984" i="18"/>
  <c r="F1984" i="18"/>
  <c r="G1984" i="18"/>
  <c r="H1984" i="18"/>
  <c r="I1984" i="18"/>
  <c r="J1984" i="18"/>
  <c r="K1984" i="18"/>
  <c r="L1984" i="18"/>
  <c r="B1985" i="18"/>
  <c r="C1985" i="18"/>
  <c r="D1985" i="18"/>
  <c r="E1985" i="18"/>
  <c r="F1985" i="18"/>
  <c r="G1985" i="18"/>
  <c r="H1985" i="18"/>
  <c r="I1985" i="18"/>
  <c r="J1985" i="18"/>
  <c r="K1985" i="18"/>
  <c r="L1985" i="18"/>
  <c r="B1986" i="18"/>
  <c r="C1986" i="18"/>
  <c r="D1986" i="18"/>
  <c r="E1986" i="18"/>
  <c r="F1986" i="18"/>
  <c r="G1986" i="18"/>
  <c r="H1986" i="18"/>
  <c r="I1986" i="18"/>
  <c r="J1986" i="18"/>
  <c r="K1986" i="18"/>
  <c r="L1986" i="18"/>
  <c r="B1987" i="18"/>
  <c r="C1987" i="18"/>
  <c r="D1987" i="18"/>
  <c r="E1987" i="18"/>
  <c r="F1987" i="18"/>
  <c r="G1987" i="18"/>
  <c r="H1987" i="18"/>
  <c r="I1987" i="18"/>
  <c r="J1987" i="18"/>
  <c r="K1987" i="18"/>
  <c r="L1987" i="18"/>
  <c r="B1988" i="18"/>
  <c r="C1988" i="18"/>
  <c r="D1988" i="18"/>
  <c r="E1988" i="18"/>
  <c r="F1988" i="18"/>
  <c r="G1988" i="18"/>
  <c r="H1988" i="18"/>
  <c r="I1988" i="18"/>
  <c r="J1988" i="18"/>
  <c r="K1988" i="18"/>
  <c r="L1988" i="18"/>
  <c r="B1989" i="18"/>
  <c r="C1989" i="18"/>
  <c r="D1989" i="18"/>
  <c r="E1989" i="18"/>
  <c r="F1989" i="18"/>
  <c r="G1989" i="18"/>
  <c r="H1989" i="18"/>
  <c r="I1989" i="18"/>
  <c r="J1989" i="18"/>
  <c r="K1989" i="18"/>
  <c r="L1989" i="18"/>
  <c r="B1990" i="18"/>
  <c r="C1990" i="18"/>
  <c r="D1990" i="18"/>
  <c r="E1990" i="18"/>
  <c r="F1990" i="18"/>
  <c r="G1990" i="18"/>
  <c r="H1990" i="18"/>
  <c r="I1990" i="18"/>
  <c r="J1990" i="18"/>
  <c r="K1990" i="18"/>
  <c r="L1990" i="18"/>
  <c r="B1991" i="18"/>
  <c r="C1991" i="18"/>
  <c r="D1991" i="18"/>
  <c r="E1991" i="18"/>
  <c r="F1991" i="18"/>
  <c r="G1991" i="18"/>
  <c r="H1991" i="18"/>
  <c r="I1991" i="18"/>
  <c r="J1991" i="18"/>
  <c r="K1991" i="18"/>
  <c r="L1991" i="18"/>
  <c r="B1992" i="18"/>
  <c r="C1992" i="18"/>
  <c r="D1992" i="18"/>
  <c r="E1992" i="18"/>
  <c r="F1992" i="18"/>
  <c r="G1992" i="18"/>
  <c r="H1992" i="18"/>
  <c r="I1992" i="18"/>
  <c r="J1992" i="18"/>
  <c r="K1992" i="18"/>
  <c r="L1992" i="18"/>
  <c r="B1993" i="18"/>
  <c r="C1993" i="18"/>
  <c r="D1993" i="18"/>
  <c r="E1993" i="18"/>
  <c r="F1993" i="18"/>
  <c r="G1993" i="18"/>
  <c r="H1993" i="18"/>
  <c r="I1993" i="18"/>
  <c r="J1993" i="18"/>
  <c r="K1993" i="18"/>
  <c r="L1993" i="18"/>
  <c r="B1994" i="18"/>
  <c r="C1994" i="18"/>
  <c r="D1994" i="18"/>
  <c r="E1994" i="18"/>
  <c r="F1994" i="18"/>
  <c r="G1994" i="18"/>
  <c r="H1994" i="18"/>
  <c r="I1994" i="18"/>
  <c r="J1994" i="18"/>
  <c r="K1994" i="18"/>
  <c r="L1994" i="18"/>
  <c r="B1995" i="18"/>
  <c r="C1995" i="18"/>
  <c r="D1995" i="18"/>
  <c r="E1995" i="18"/>
  <c r="F1995" i="18"/>
  <c r="G1995" i="18"/>
  <c r="H1995" i="18"/>
  <c r="I1995" i="18"/>
  <c r="J1995" i="18"/>
  <c r="K1995" i="18"/>
  <c r="L1995" i="18"/>
  <c r="B1996" i="18"/>
  <c r="C1996" i="18"/>
  <c r="D1996" i="18"/>
  <c r="E1996" i="18"/>
  <c r="F1996" i="18"/>
  <c r="G1996" i="18"/>
  <c r="H1996" i="18"/>
  <c r="I1996" i="18"/>
  <c r="J1996" i="18"/>
  <c r="K1996" i="18"/>
  <c r="L1996" i="18"/>
  <c r="B1997" i="18"/>
  <c r="C1997" i="18"/>
  <c r="D1997" i="18"/>
  <c r="E1997" i="18"/>
  <c r="F1997" i="18"/>
  <c r="G1997" i="18"/>
  <c r="H1997" i="18"/>
  <c r="I1997" i="18"/>
  <c r="J1997" i="18"/>
  <c r="K1997" i="18"/>
  <c r="L1997" i="18"/>
  <c r="B1998" i="18"/>
  <c r="C1998" i="18"/>
  <c r="D1998" i="18"/>
  <c r="E1998" i="18"/>
  <c r="F1998" i="18"/>
  <c r="G1998" i="18"/>
  <c r="H1998" i="18"/>
  <c r="I1998" i="18"/>
  <c r="J1998" i="18"/>
  <c r="K1998" i="18"/>
  <c r="L1998" i="18"/>
  <c r="B1999" i="18"/>
  <c r="C1999" i="18"/>
  <c r="D1999" i="18"/>
  <c r="E1999" i="18"/>
  <c r="F1999" i="18"/>
  <c r="G1999" i="18"/>
  <c r="H1999" i="18"/>
  <c r="I1999" i="18"/>
  <c r="J1999" i="18"/>
  <c r="K1999" i="18"/>
  <c r="L1999" i="18"/>
  <c r="B2000" i="18"/>
  <c r="C2000" i="18"/>
  <c r="D2000" i="18"/>
  <c r="E2000" i="18"/>
  <c r="F2000" i="18"/>
  <c r="G2000" i="18"/>
  <c r="H2000" i="18"/>
  <c r="I2000" i="18"/>
  <c r="J2000" i="18"/>
  <c r="K2000" i="18"/>
  <c r="L2000" i="18"/>
  <c r="B2001" i="18"/>
  <c r="C2001" i="18"/>
  <c r="D2001" i="18"/>
  <c r="E2001" i="18"/>
  <c r="F2001" i="18"/>
  <c r="G2001" i="18"/>
  <c r="H2001" i="18"/>
  <c r="I2001" i="18"/>
  <c r="J2001" i="18"/>
  <c r="K2001" i="18"/>
  <c r="L2001" i="18"/>
  <c r="B2002" i="18"/>
  <c r="C2002" i="18"/>
  <c r="D2002" i="18"/>
  <c r="E2002" i="18"/>
  <c r="F2002" i="18"/>
  <c r="G2002" i="18"/>
  <c r="H2002" i="18"/>
  <c r="I2002" i="18"/>
  <c r="J2002" i="18"/>
  <c r="K2002" i="18"/>
  <c r="L2002" i="18"/>
  <c r="B2003" i="18"/>
  <c r="C2003" i="18"/>
  <c r="D2003" i="18"/>
  <c r="E2003" i="18"/>
  <c r="F2003" i="18"/>
  <c r="G2003" i="18"/>
  <c r="H2003" i="18"/>
  <c r="I2003" i="18"/>
  <c r="J2003" i="18"/>
  <c r="K2003" i="18"/>
  <c r="L2003" i="18"/>
  <c r="B2004" i="18"/>
  <c r="C2004" i="18"/>
  <c r="D2004" i="18"/>
  <c r="E2004" i="18"/>
  <c r="F2004" i="18"/>
  <c r="G2004" i="18"/>
  <c r="H2004" i="18"/>
  <c r="I2004" i="18"/>
  <c r="J2004" i="18"/>
  <c r="K2004" i="18"/>
  <c r="L2004" i="18"/>
  <c r="B2005" i="18"/>
  <c r="C2005" i="18"/>
  <c r="D2005" i="18"/>
  <c r="E2005" i="18"/>
  <c r="F2005" i="18"/>
  <c r="G2005" i="18"/>
  <c r="H2005" i="18"/>
  <c r="I2005" i="18"/>
  <c r="J2005" i="18"/>
  <c r="K2005" i="18"/>
  <c r="L2005" i="18"/>
  <c r="B2006" i="18"/>
  <c r="C2006" i="18"/>
  <c r="D2006" i="18"/>
  <c r="E2006" i="18"/>
  <c r="F2006" i="18"/>
  <c r="G2006" i="18"/>
  <c r="H2006" i="18"/>
  <c r="I2006" i="18"/>
  <c r="J2006" i="18"/>
  <c r="K2006" i="18"/>
  <c r="L2006" i="18"/>
  <c r="B2007" i="18"/>
  <c r="C2007" i="18"/>
  <c r="D2007" i="18"/>
  <c r="E2007" i="18"/>
  <c r="F2007" i="18"/>
  <c r="G2007" i="18"/>
  <c r="H2007" i="18"/>
  <c r="I2007" i="18"/>
  <c r="J2007" i="18"/>
  <c r="K2007" i="18"/>
  <c r="L2007" i="18"/>
  <c r="B2008" i="18"/>
  <c r="C2008" i="18"/>
  <c r="D2008" i="18"/>
  <c r="E2008" i="18"/>
  <c r="F2008" i="18"/>
  <c r="G2008" i="18"/>
  <c r="H2008" i="18"/>
  <c r="I2008" i="18"/>
  <c r="J2008" i="18"/>
  <c r="K2008" i="18"/>
  <c r="L2008" i="18"/>
  <c r="B2009" i="18"/>
  <c r="C2009" i="18"/>
  <c r="D2009" i="18"/>
  <c r="E2009" i="18"/>
  <c r="F2009" i="18"/>
  <c r="G2009" i="18"/>
  <c r="H2009" i="18"/>
  <c r="I2009" i="18"/>
  <c r="J2009" i="18"/>
  <c r="K2009" i="18"/>
  <c r="L2009" i="18"/>
  <c r="B2010" i="18"/>
  <c r="C2010" i="18"/>
  <c r="D2010" i="18"/>
  <c r="E2010" i="18"/>
  <c r="F2010" i="18"/>
  <c r="G2010" i="18"/>
  <c r="H2010" i="18"/>
  <c r="I2010" i="18"/>
  <c r="J2010" i="18"/>
  <c r="K2010" i="18"/>
  <c r="L2010" i="18"/>
  <c r="B2011" i="18"/>
  <c r="C2011" i="18"/>
  <c r="D2011" i="18"/>
  <c r="E2011" i="18"/>
  <c r="F2011" i="18"/>
  <c r="G2011" i="18"/>
  <c r="H2011" i="18"/>
  <c r="I2011" i="18"/>
  <c r="J2011" i="18"/>
  <c r="K2011" i="18"/>
  <c r="L2011" i="18"/>
  <c r="B2012" i="18"/>
  <c r="C2012" i="18"/>
  <c r="D2012" i="18"/>
  <c r="E2012" i="18"/>
  <c r="F2012" i="18"/>
  <c r="G2012" i="18"/>
  <c r="H2012" i="18"/>
  <c r="I2012" i="18"/>
  <c r="J2012" i="18"/>
  <c r="K2012" i="18"/>
  <c r="L2012" i="18"/>
  <c r="B2013" i="18"/>
  <c r="C2013" i="18"/>
  <c r="D2013" i="18"/>
  <c r="E2013" i="18"/>
  <c r="F2013" i="18"/>
  <c r="G2013" i="18"/>
  <c r="H2013" i="18"/>
  <c r="I2013" i="18"/>
  <c r="J2013" i="18"/>
  <c r="K2013" i="18"/>
  <c r="L2013" i="18"/>
  <c r="B2014" i="18"/>
  <c r="C2014" i="18"/>
  <c r="D2014" i="18"/>
  <c r="E2014" i="18"/>
  <c r="F2014" i="18"/>
  <c r="G2014" i="18"/>
  <c r="H2014" i="18"/>
  <c r="I2014" i="18"/>
  <c r="J2014" i="18"/>
  <c r="K2014" i="18"/>
  <c r="L2014" i="18"/>
  <c r="B2015" i="18"/>
  <c r="C2015" i="18"/>
  <c r="D2015" i="18"/>
  <c r="E2015" i="18"/>
  <c r="F2015" i="18"/>
  <c r="G2015" i="18"/>
  <c r="H2015" i="18"/>
  <c r="I2015" i="18"/>
  <c r="J2015" i="18"/>
  <c r="K2015" i="18"/>
  <c r="L2015" i="18"/>
  <c r="B2016" i="18"/>
  <c r="C2016" i="18"/>
  <c r="D2016" i="18"/>
  <c r="E2016" i="18"/>
  <c r="F2016" i="18"/>
  <c r="G2016" i="18"/>
  <c r="H2016" i="18"/>
  <c r="I2016" i="18"/>
  <c r="J2016" i="18"/>
  <c r="K2016" i="18"/>
  <c r="L2016" i="18"/>
  <c r="B2017" i="18"/>
  <c r="C2017" i="18"/>
  <c r="D2017" i="18"/>
  <c r="E2017" i="18"/>
  <c r="F2017" i="18"/>
  <c r="G2017" i="18"/>
  <c r="H2017" i="18"/>
  <c r="I2017" i="18"/>
  <c r="J2017" i="18"/>
  <c r="K2017" i="18"/>
  <c r="L2017" i="18"/>
  <c r="B2018" i="18"/>
  <c r="C2018" i="18"/>
  <c r="D2018" i="18"/>
  <c r="E2018" i="18"/>
  <c r="F2018" i="18"/>
  <c r="G2018" i="18"/>
  <c r="H2018" i="18"/>
  <c r="I2018" i="18"/>
  <c r="J2018" i="18"/>
  <c r="K2018" i="18"/>
  <c r="L2018" i="18"/>
  <c r="B2019" i="18"/>
  <c r="C2019" i="18"/>
  <c r="D2019" i="18"/>
  <c r="E2019" i="18"/>
  <c r="F2019" i="18"/>
  <c r="G2019" i="18"/>
  <c r="H2019" i="18"/>
  <c r="I2019" i="18"/>
  <c r="J2019" i="18"/>
  <c r="K2019" i="18"/>
  <c r="L2019" i="18"/>
  <c r="B2020" i="18"/>
  <c r="C2020" i="18"/>
  <c r="D2020" i="18"/>
  <c r="E2020" i="18"/>
  <c r="F2020" i="18"/>
  <c r="G2020" i="18"/>
  <c r="H2020" i="18"/>
  <c r="I2020" i="18"/>
  <c r="J2020" i="18"/>
  <c r="K2020" i="18"/>
  <c r="L2020" i="18"/>
  <c r="B2021" i="18"/>
  <c r="C2021" i="18"/>
  <c r="D2021" i="18"/>
  <c r="E2021" i="18"/>
  <c r="F2021" i="18"/>
  <c r="G2021" i="18"/>
  <c r="H2021" i="18"/>
  <c r="I2021" i="18"/>
  <c r="J2021" i="18"/>
  <c r="K2021" i="18"/>
  <c r="L2021" i="18"/>
  <c r="B2022" i="18"/>
  <c r="C2022" i="18"/>
  <c r="D2022" i="18"/>
  <c r="E2022" i="18"/>
  <c r="F2022" i="18"/>
  <c r="G2022" i="18"/>
  <c r="H2022" i="18"/>
  <c r="I2022" i="18"/>
  <c r="J2022" i="18"/>
  <c r="K2022" i="18"/>
  <c r="L2022" i="18"/>
  <c r="B2023" i="18"/>
  <c r="C2023" i="18"/>
  <c r="D2023" i="18"/>
  <c r="E2023" i="18"/>
  <c r="F2023" i="18"/>
  <c r="G2023" i="18"/>
  <c r="H2023" i="18"/>
  <c r="I2023" i="18"/>
  <c r="J2023" i="18"/>
  <c r="K2023" i="18"/>
  <c r="L2023" i="18"/>
  <c r="B2024" i="18"/>
  <c r="C2024" i="18"/>
  <c r="D2024" i="18"/>
  <c r="E2024" i="18"/>
  <c r="F2024" i="18"/>
  <c r="G2024" i="18"/>
  <c r="H2024" i="18"/>
  <c r="I2024" i="18"/>
  <c r="J2024" i="18"/>
  <c r="K2024" i="18"/>
  <c r="L2024" i="18"/>
  <c r="B2025" i="18"/>
  <c r="C2025" i="18"/>
  <c r="D2025" i="18"/>
  <c r="E2025" i="18"/>
  <c r="F2025" i="18"/>
  <c r="G2025" i="18"/>
  <c r="H2025" i="18"/>
  <c r="I2025" i="18"/>
  <c r="J2025" i="18"/>
  <c r="K2025" i="18"/>
  <c r="L2025" i="18"/>
  <c r="B2026" i="18"/>
  <c r="C2026" i="18"/>
  <c r="D2026" i="18"/>
  <c r="E2026" i="18"/>
  <c r="F2026" i="18"/>
  <c r="G2026" i="18"/>
  <c r="H2026" i="18"/>
  <c r="I2026" i="18"/>
  <c r="J2026" i="18"/>
  <c r="K2026" i="18"/>
  <c r="L2026" i="18"/>
  <c r="B2027" i="18"/>
  <c r="C2027" i="18"/>
  <c r="D2027" i="18"/>
  <c r="E2027" i="18"/>
  <c r="F2027" i="18"/>
  <c r="G2027" i="18"/>
  <c r="H2027" i="18"/>
  <c r="I2027" i="18"/>
  <c r="J2027" i="18"/>
  <c r="K2027" i="18"/>
  <c r="L2027" i="18"/>
  <c r="B2028" i="18"/>
  <c r="C2028" i="18"/>
  <c r="D2028" i="18"/>
  <c r="E2028" i="18"/>
  <c r="F2028" i="18"/>
  <c r="G2028" i="18"/>
  <c r="H2028" i="18"/>
  <c r="I2028" i="18"/>
  <c r="J2028" i="18"/>
  <c r="K2028" i="18"/>
  <c r="L2028" i="18"/>
  <c r="B2029" i="18"/>
  <c r="C2029" i="18"/>
  <c r="D2029" i="18"/>
  <c r="E2029" i="18"/>
  <c r="F2029" i="18"/>
  <c r="G2029" i="18"/>
  <c r="H2029" i="18"/>
  <c r="I2029" i="18"/>
  <c r="J2029" i="18"/>
  <c r="K2029" i="18"/>
  <c r="L2029" i="18"/>
  <c r="B2030" i="18"/>
  <c r="C2030" i="18"/>
  <c r="D2030" i="18"/>
  <c r="E2030" i="18"/>
  <c r="F2030" i="18"/>
  <c r="G2030" i="18"/>
  <c r="H2030" i="18"/>
  <c r="I2030" i="18"/>
  <c r="J2030" i="18"/>
  <c r="K2030" i="18"/>
  <c r="L2030" i="18"/>
  <c r="B2031" i="18"/>
  <c r="C2031" i="18"/>
  <c r="D2031" i="18"/>
  <c r="E2031" i="18"/>
  <c r="F2031" i="18"/>
  <c r="G2031" i="18"/>
  <c r="H2031" i="18"/>
  <c r="I2031" i="18"/>
  <c r="J2031" i="18"/>
  <c r="K2031" i="18"/>
  <c r="L2031" i="18"/>
  <c r="B2032" i="18"/>
  <c r="C2032" i="18"/>
  <c r="D2032" i="18"/>
  <c r="E2032" i="18"/>
  <c r="F2032" i="18"/>
  <c r="G2032" i="18"/>
  <c r="H2032" i="18"/>
  <c r="I2032" i="18"/>
  <c r="J2032" i="18"/>
  <c r="K2032" i="18"/>
  <c r="L2032" i="18"/>
  <c r="B2033" i="18"/>
  <c r="C2033" i="18"/>
  <c r="D2033" i="18"/>
  <c r="E2033" i="18"/>
  <c r="F2033" i="18"/>
  <c r="G2033" i="18"/>
  <c r="H2033" i="18"/>
  <c r="I2033" i="18"/>
  <c r="J2033" i="18"/>
  <c r="K2033" i="18"/>
  <c r="L2033" i="18"/>
  <c r="B2034" i="18"/>
  <c r="C2034" i="18"/>
  <c r="D2034" i="18"/>
  <c r="E2034" i="18"/>
  <c r="F2034" i="18"/>
  <c r="G2034" i="18"/>
  <c r="H2034" i="18"/>
  <c r="I2034" i="18"/>
  <c r="J2034" i="18"/>
  <c r="K2034" i="18"/>
  <c r="L2034" i="18"/>
  <c r="B2035" i="18"/>
  <c r="C2035" i="18"/>
  <c r="D2035" i="18"/>
  <c r="E2035" i="18"/>
  <c r="F2035" i="18"/>
  <c r="G2035" i="18"/>
  <c r="H2035" i="18"/>
  <c r="I2035" i="18"/>
  <c r="J2035" i="18"/>
  <c r="K2035" i="18"/>
  <c r="L2035" i="18"/>
  <c r="B2036" i="18"/>
  <c r="C2036" i="18"/>
  <c r="D2036" i="18"/>
  <c r="E2036" i="18"/>
  <c r="F2036" i="18"/>
  <c r="G2036" i="18"/>
  <c r="H2036" i="18"/>
  <c r="I2036" i="18"/>
  <c r="J2036" i="18"/>
  <c r="K2036" i="18"/>
  <c r="L2036" i="18"/>
  <c r="B2037" i="18"/>
  <c r="C2037" i="18"/>
  <c r="D2037" i="18"/>
  <c r="E2037" i="18"/>
  <c r="F2037" i="18"/>
  <c r="G2037" i="18"/>
  <c r="H2037" i="18"/>
  <c r="I2037" i="18"/>
  <c r="J2037" i="18"/>
  <c r="K2037" i="18"/>
  <c r="L2037" i="18"/>
  <c r="B2038" i="18"/>
  <c r="C2038" i="18"/>
  <c r="D2038" i="18"/>
  <c r="E2038" i="18"/>
  <c r="F2038" i="18"/>
  <c r="G2038" i="18"/>
  <c r="H2038" i="18"/>
  <c r="I2038" i="18"/>
  <c r="J2038" i="18"/>
  <c r="K2038" i="18"/>
  <c r="L2038" i="18"/>
  <c r="B2039" i="18"/>
  <c r="C2039" i="18"/>
  <c r="D2039" i="18"/>
  <c r="E2039" i="18"/>
  <c r="F2039" i="18"/>
  <c r="G2039" i="18"/>
  <c r="H2039" i="18"/>
  <c r="I2039" i="18"/>
  <c r="J2039" i="18"/>
  <c r="K2039" i="18"/>
  <c r="L2039" i="18"/>
  <c r="B2040" i="18"/>
  <c r="C2040" i="18"/>
  <c r="D2040" i="18"/>
  <c r="E2040" i="18"/>
  <c r="F2040" i="18"/>
  <c r="G2040" i="18"/>
  <c r="H2040" i="18"/>
  <c r="I2040" i="18"/>
  <c r="J2040" i="18"/>
  <c r="K2040" i="18"/>
  <c r="L2040" i="18"/>
  <c r="B2041" i="18"/>
  <c r="C2041" i="18"/>
  <c r="D2041" i="18"/>
  <c r="E2041" i="18"/>
  <c r="F2041" i="18"/>
  <c r="G2041" i="18"/>
  <c r="H2041" i="18"/>
  <c r="I2041" i="18"/>
  <c r="J2041" i="18"/>
  <c r="K2041" i="18"/>
  <c r="L2041" i="18"/>
  <c r="B2042" i="18"/>
  <c r="C2042" i="18"/>
  <c r="D2042" i="18"/>
  <c r="E2042" i="18"/>
  <c r="F2042" i="18"/>
  <c r="G2042" i="18"/>
  <c r="H2042" i="18"/>
  <c r="I2042" i="18"/>
  <c r="J2042" i="18"/>
  <c r="K2042" i="18"/>
  <c r="L2042" i="18"/>
  <c r="B2043" i="18"/>
  <c r="C2043" i="18"/>
  <c r="D2043" i="18"/>
  <c r="E2043" i="18"/>
  <c r="F2043" i="18"/>
  <c r="G2043" i="18"/>
  <c r="H2043" i="18"/>
  <c r="I2043" i="18"/>
  <c r="J2043" i="18"/>
  <c r="K2043" i="18"/>
  <c r="L2043" i="18"/>
  <c r="B2044" i="18"/>
  <c r="C2044" i="18"/>
  <c r="D2044" i="18"/>
  <c r="E2044" i="18"/>
  <c r="F2044" i="18"/>
  <c r="G2044" i="18"/>
  <c r="H2044" i="18"/>
  <c r="I2044" i="18"/>
  <c r="J2044" i="18"/>
  <c r="K2044" i="18"/>
  <c r="L2044" i="18"/>
  <c r="B2045" i="18"/>
  <c r="C2045" i="18"/>
  <c r="D2045" i="18"/>
  <c r="E2045" i="18"/>
  <c r="F2045" i="18"/>
  <c r="G2045" i="18"/>
  <c r="H2045" i="18"/>
  <c r="I2045" i="18"/>
  <c r="J2045" i="18"/>
  <c r="K2045" i="18"/>
  <c r="L2045" i="18"/>
  <c r="B2046" i="18"/>
  <c r="C2046" i="18"/>
  <c r="D2046" i="18"/>
  <c r="E2046" i="18"/>
  <c r="F2046" i="18"/>
  <c r="G2046" i="18"/>
  <c r="H2046" i="18"/>
  <c r="I2046" i="18"/>
  <c r="J2046" i="18"/>
  <c r="K2046" i="18"/>
  <c r="L2046" i="18"/>
  <c r="B2047" i="18"/>
  <c r="C2047" i="18"/>
  <c r="D2047" i="18"/>
  <c r="E2047" i="18"/>
  <c r="F2047" i="18"/>
  <c r="G2047" i="18"/>
  <c r="H2047" i="18"/>
  <c r="I2047" i="18"/>
  <c r="J2047" i="18"/>
  <c r="K2047" i="18"/>
  <c r="L2047" i="18"/>
  <c r="B2048" i="18"/>
  <c r="C2048" i="18"/>
  <c r="D2048" i="18"/>
  <c r="E2048" i="18"/>
  <c r="F2048" i="18"/>
  <c r="G2048" i="18"/>
  <c r="H2048" i="18"/>
  <c r="I2048" i="18"/>
  <c r="J2048" i="18"/>
  <c r="K2048" i="18"/>
  <c r="L2048" i="18"/>
  <c r="B2049" i="18"/>
  <c r="C2049" i="18"/>
  <c r="D2049" i="18"/>
  <c r="E2049" i="18"/>
  <c r="F2049" i="18"/>
  <c r="G2049" i="18"/>
  <c r="H2049" i="18"/>
  <c r="I2049" i="18"/>
  <c r="J2049" i="18"/>
  <c r="K2049" i="18"/>
  <c r="L2049" i="18"/>
  <c r="B2050" i="18"/>
  <c r="C2050" i="18"/>
  <c r="D2050" i="18"/>
  <c r="E2050" i="18"/>
  <c r="F2050" i="18"/>
  <c r="G2050" i="18"/>
  <c r="H2050" i="18"/>
  <c r="I2050" i="18"/>
  <c r="J2050" i="18"/>
  <c r="K2050" i="18"/>
  <c r="L2050" i="18"/>
  <c r="B2051" i="18"/>
  <c r="C2051" i="18"/>
  <c r="D2051" i="18"/>
  <c r="E2051" i="18"/>
  <c r="F2051" i="18"/>
  <c r="G2051" i="18"/>
  <c r="H2051" i="18"/>
  <c r="I2051" i="18"/>
  <c r="J2051" i="18"/>
  <c r="K2051" i="18"/>
  <c r="L2051" i="18"/>
  <c r="B2052" i="18"/>
  <c r="C2052" i="18"/>
  <c r="D2052" i="18"/>
  <c r="E2052" i="18"/>
  <c r="F2052" i="18"/>
  <c r="G2052" i="18"/>
  <c r="H2052" i="18"/>
  <c r="I2052" i="18"/>
  <c r="J2052" i="18"/>
  <c r="K2052" i="18"/>
  <c r="L2052" i="18"/>
  <c r="B2053" i="18"/>
  <c r="C2053" i="18"/>
  <c r="D2053" i="18"/>
  <c r="E2053" i="18"/>
  <c r="F2053" i="18"/>
  <c r="G2053" i="18"/>
  <c r="H2053" i="18"/>
  <c r="I2053" i="18"/>
  <c r="J2053" i="18"/>
  <c r="K2053" i="18"/>
  <c r="L2053" i="18"/>
  <c r="B2054" i="18"/>
  <c r="C2054" i="18"/>
  <c r="D2054" i="18"/>
  <c r="E2054" i="18"/>
  <c r="F2054" i="18"/>
  <c r="G2054" i="18"/>
  <c r="H2054" i="18"/>
  <c r="I2054" i="18"/>
  <c r="J2054" i="18"/>
  <c r="K2054" i="18"/>
  <c r="L2054" i="18"/>
  <c r="B2055" i="18"/>
  <c r="C2055" i="18"/>
  <c r="D2055" i="18"/>
  <c r="E2055" i="18"/>
  <c r="F2055" i="18"/>
  <c r="G2055" i="18"/>
  <c r="H2055" i="18"/>
  <c r="I2055" i="18"/>
  <c r="J2055" i="18"/>
  <c r="K2055" i="18"/>
  <c r="L2055" i="18"/>
  <c r="B2056" i="18"/>
  <c r="C2056" i="18"/>
  <c r="D2056" i="18"/>
  <c r="E2056" i="18"/>
  <c r="F2056" i="18"/>
  <c r="G2056" i="18"/>
  <c r="H2056" i="18"/>
  <c r="I2056" i="18"/>
  <c r="J2056" i="18"/>
  <c r="K2056" i="18"/>
  <c r="L2056" i="18"/>
  <c r="B2057" i="18"/>
  <c r="C2057" i="18"/>
  <c r="D2057" i="18"/>
  <c r="E2057" i="18"/>
  <c r="F2057" i="18"/>
  <c r="G2057" i="18"/>
  <c r="H2057" i="18"/>
  <c r="I2057" i="18"/>
  <c r="J2057" i="18"/>
  <c r="K2057" i="18"/>
  <c r="L2057" i="18"/>
  <c r="B2058" i="18"/>
  <c r="C2058" i="18"/>
  <c r="D2058" i="18"/>
  <c r="E2058" i="18"/>
  <c r="F2058" i="18"/>
  <c r="G2058" i="18"/>
  <c r="H2058" i="18"/>
  <c r="I2058" i="18"/>
  <c r="J2058" i="18"/>
  <c r="K2058" i="18"/>
  <c r="L2058" i="18"/>
  <c r="B2059" i="18"/>
  <c r="C2059" i="18"/>
  <c r="D2059" i="18"/>
  <c r="E2059" i="18"/>
  <c r="F2059" i="18"/>
  <c r="G2059" i="18"/>
  <c r="H2059" i="18"/>
  <c r="I2059" i="18"/>
  <c r="J2059" i="18"/>
  <c r="K2059" i="18"/>
  <c r="L2059" i="18"/>
  <c r="B2060" i="18"/>
  <c r="C2060" i="18"/>
  <c r="D2060" i="18"/>
  <c r="E2060" i="18"/>
  <c r="F2060" i="18"/>
  <c r="G2060" i="18"/>
  <c r="H2060" i="18"/>
  <c r="I2060" i="18"/>
  <c r="J2060" i="18"/>
  <c r="K2060" i="18"/>
  <c r="L2060" i="18"/>
  <c r="B2061" i="18"/>
  <c r="C2061" i="18"/>
  <c r="D2061" i="18"/>
  <c r="E2061" i="18"/>
  <c r="F2061" i="18"/>
  <c r="G2061" i="18"/>
  <c r="H2061" i="18"/>
  <c r="I2061" i="18"/>
  <c r="J2061" i="18"/>
  <c r="K2061" i="18"/>
  <c r="L2061" i="18"/>
  <c r="B2062" i="18"/>
  <c r="C2062" i="18"/>
  <c r="D2062" i="18"/>
  <c r="E2062" i="18"/>
  <c r="F2062" i="18"/>
  <c r="G2062" i="18"/>
  <c r="H2062" i="18"/>
  <c r="I2062" i="18"/>
  <c r="J2062" i="18"/>
  <c r="K2062" i="18"/>
  <c r="L2062" i="18"/>
  <c r="B2063" i="18"/>
  <c r="C2063" i="18"/>
  <c r="D2063" i="18"/>
  <c r="E2063" i="18"/>
  <c r="F2063" i="18"/>
  <c r="G2063" i="18"/>
  <c r="H2063" i="18"/>
  <c r="I2063" i="18"/>
  <c r="J2063" i="18"/>
  <c r="K2063" i="18"/>
  <c r="L2063" i="18"/>
  <c r="B2064" i="18"/>
  <c r="C2064" i="18"/>
  <c r="D2064" i="18"/>
  <c r="E2064" i="18"/>
  <c r="F2064" i="18"/>
  <c r="G2064" i="18"/>
  <c r="H2064" i="18"/>
  <c r="I2064" i="18"/>
  <c r="J2064" i="18"/>
  <c r="K2064" i="18"/>
  <c r="L2064" i="18"/>
  <c r="B2065" i="18"/>
  <c r="C2065" i="18"/>
  <c r="D2065" i="18"/>
  <c r="E2065" i="18"/>
  <c r="F2065" i="18"/>
  <c r="G2065" i="18"/>
  <c r="H2065" i="18"/>
  <c r="I2065" i="18"/>
  <c r="J2065" i="18"/>
  <c r="K2065" i="18"/>
  <c r="L2065" i="18"/>
  <c r="B2066" i="18"/>
  <c r="C2066" i="18"/>
  <c r="D2066" i="18"/>
  <c r="E2066" i="18"/>
  <c r="F2066" i="18"/>
  <c r="G2066" i="18"/>
  <c r="H2066" i="18"/>
  <c r="I2066" i="18"/>
  <c r="J2066" i="18"/>
  <c r="K2066" i="18"/>
  <c r="L2066" i="18"/>
  <c r="B2067" i="18"/>
  <c r="C2067" i="18"/>
  <c r="D2067" i="18"/>
  <c r="E2067" i="18"/>
  <c r="F2067" i="18"/>
  <c r="G2067" i="18"/>
  <c r="H2067" i="18"/>
  <c r="I2067" i="18"/>
  <c r="J2067" i="18"/>
  <c r="K2067" i="18"/>
  <c r="L2067" i="18"/>
  <c r="B2068" i="18"/>
  <c r="C2068" i="18"/>
  <c r="D2068" i="18"/>
  <c r="E2068" i="18"/>
  <c r="F2068" i="18"/>
  <c r="G2068" i="18"/>
  <c r="H2068" i="18"/>
  <c r="I2068" i="18"/>
  <c r="J2068" i="18"/>
  <c r="K2068" i="18"/>
  <c r="L2068" i="18"/>
  <c r="B2069" i="18"/>
  <c r="C2069" i="18"/>
  <c r="D2069" i="18"/>
  <c r="E2069" i="18"/>
  <c r="F2069" i="18"/>
  <c r="G2069" i="18"/>
  <c r="H2069" i="18"/>
  <c r="I2069" i="18"/>
  <c r="J2069" i="18"/>
  <c r="K2069" i="18"/>
  <c r="L2069" i="18"/>
  <c r="B2070" i="18"/>
  <c r="C2070" i="18"/>
  <c r="D2070" i="18"/>
  <c r="E2070" i="18"/>
  <c r="F2070" i="18"/>
  <c r="G2070" i="18"/>
  <c r="H2070" i="18"/>
  <c r="I2070" i="18"/>
  <c r="J2070" i="18"/>
  <c r="K2070" i="18"/>
  <c r="L2070" i="18"/>
  <c r="B2071" i="18"/>
  <c r="C2071" i="18"/>
  <c r="D2071" i="18"/>
  <c r="E2071" i="18"/>
  <c r="F2071" i="18"/>
  <c r="G2071" i="18"/>
  <c r="H2071" i="18"/>
  <c r="I2071" i="18"/>
  <c r="J2071" i="18"/>
  <c r="K2071" i="18"/>
  <c r="L2071" i="18"/>
  <c r="B2072" i="18"/>
  <c r="C2072" i="18"/>
  <c r="D2072" i="18"/>
  <c r="E2072" i="18"/>
  <c r="F2072" i="18"/>
  <c r="G2072" i="18"/>
  <c r="H2072" i="18"/>
  <c r="I2072" i="18"/>
  <c r="J2072" i="18"/>
  <c r="K2072" i="18"/>
  <c r="L2072" i="18"/>
  <c r="B2073" i="18"/>
  <c r="C2073" i="18"/>
  <c r="D2073" i="18"/>
  <c r="E2073" i="18"/>
  <c r="F2073" i="18"/>
  <c r="G2073" i="18"/>
  <c r="H2073" i="18"/>
  <c r="I2073" i="18"/>
  <c r="J2073" i="18"/>
  <c r="K2073" i="18"/>
  <c r="L2073" i="18"/>
  <c r="B2074" i="18"/>
  <c r="C2074" i="18"/>
  <c r="D2074" i="18"/>
  <c r="E2074" i="18"/>
  <c r="F2074" i="18"/>
  <c r="G2074" i="18"/>
  <c r="H2074" i="18"/>
  <c r="I2074" i="18"/>
  <c r="J2074" i="18"/>
  <c r="K2074" i="18"/>
  <c r="L2074" i="18"/>
  <c r="B2075" i="18"/>
  <c r="C2075" i="18"/>
  <c r="D2075" i="18"/>
  <c r="E2075" i="18"/>
  <c r="F2075" i="18"/>
  <c r="G2075" i="18"/>
  <c r="H2075" i="18"/>
  <c r="I2075" i="18"/>
  <c r="J2075" i="18"/>
  <c r="K2075" i="18"/>
  <c r="L2075" i="18"/>
  <c r="B2076" i="18"/>
  <c r="C2076" i="18"/>
  <c r="D2076" i="18"/>
  <c r="E2076" i="18"/>
  <c r="F2076" i="18"/>
  <c r="G2076" i="18"/>
  <c r="H2076" i="18"/>
  <c r="I2076" i="18"/>
  <c r="J2076" i="18"/>
  <c r="K2076" i="18"/>
  <c r="L2076" i="18"/>
  <c r="B2077" i="18"/>
  <c r="C2077" i="18"/>
  <c r="D2077" i="18"/>
  <c r="E2077" i="18"/>
  <c r="F2077" i="18"/>
  <c r="G2077" i="18"/>
  <c r="H2077" i="18"/>
  <c r="I2077" i="18"/>
  <c r="J2077" i="18"/>
  <c r="K2077" i="18"/>
  <c r="L2077" i="18"/>
  <c r="B2078" i="18"/>
  <c r="C2078" i="18"/>
  <c r="D2078" i="18"/>
  <c r="E2078" i="18"/>
  <c r="F2078" i="18"/>
  <c r="G2078" i="18"/>
  <c r="H2078" i="18"/>
  <c r="I2078" i="18"/>
  <c r="J2078" i="18"/>
  <c r="K2078" i="18"/>
  <c r="L2078" i="18"/>
  <c r="B2079" i="18"/>
  <c r="C2079" i="18"/>
  <c r="D2079" i="18"/>
  <c r="E2079" i="18"/>
  <c r="F2079" i="18"/>
  <c r="G2079" i="18"/>
  <c r="H2079" i="18"/>
  <c r="I2079" i="18"/>
  <c r="J2079" i="18"/>
  <c r="K2079" i="18"/>
  <c r="L2079" i="18"/>
  <c r="B2080" i="18"/>
  <c r="C2080" i="18"/>
  <c r="D2080" i="18"/>
  <c r="E2080" i="18"/>
  <c r="F2080" i="18"/>
  <c r="G2080" i="18"/>
  <c r="H2080" i="18"/>
  <c r="I2080" i="18"/>
  <c r="J2080" i="18"/>
  <c r="K2080" i="18"/>
  <c r="L2080" i="18"/>
  <c r="B2081" i="18"/>
  <c r="C2081" i="18"/>
  <c r="D2081" i="18"/>
  <c r="E2081" i="18"/>
  <c r="F2081" i="18"/>
  <c r="G2081" i="18"/>
  <c r="H2081" i="18"/>
  <c r="I2081" i="18"/>
  <c r="J2081" i="18"/>
  <c r="K2081" i="18"/>
  <c r="L2081" i="18"/>
  <c r="B2082" i="18"/>
  <c r="C2082" i="18"/>
  <c r="D2082" i="18"/>
  <c r="E2082" i="18"/>
  <c r="F2082" i="18"/>
  <c r="G2082" i="18"/>
  <c r="H2082" i="18"/>
  <c r="I2082" i="18"/>
  <c r="J2082" i="18"/>
  <c r="K2082" i="18"/>
  <c r="L2082" i="18"/>
  <c r="B2083" i="18"/>
  <c r="C2083" i="18"/>
  <c r="D2083" i="18"/>
  <c r="E2083" i="18"/>
  <c r="F2083" i="18"/>
  <c r="G2083" i="18"/>
  <c r="H2083" i="18"/>
  <c r="I2083" i="18"/>
  <c r="J2083" i="18"/>
  <c r="K2083" i="18"/>
  <c r="L2083" i="18"/>
  <c r="B2084" i="18"/>
  <c r="C2084" i="18"/>
  <c r="D2084" i="18"/>
  <c r="E2084" i="18"/>
  <c r="F2084" i="18"/>
  <c r="G2084" i="18"/>
  <c r="H2084" i="18"/>
  <c r="I2084" i="18"/>
  <c r="J2084" i="18"/>
  <c r="K2084" i="18"/>
  <c r="L2084" i="18"/>
  <c r="B2085" i="18"/>
  <c r="C2085" i="18"/>
  <c r="D2085" i="18"/>
  <c r="E2085" i="18"/>
  <c r="F2085" i="18"/>
  <c r="G2085" i="18"/>
  <c r="H2085" i="18"/>
  <c r="I2085" i="18"/>
  <c r="J2085" i="18"/>
  <c r="K2085" i="18"/>
  <c r="L2085" i="18"/>
  <c r="B2086" i="18"/>
  <c r="C2086" i="18"/>
  <c r="D2086" i="18"/>
  <c r="E2086" i="18"/>
  <c r="F2086" i="18"/>
  <c r="G2086" i="18"/>
  <c r="H2086" i="18"/>
  <c r="I2086" i="18"/>
  <c r="J2086" i="18"/>
  <c r="K2086" i="18"/>
  <c r="L2086" i="18"/>
  <c r="B2087" i="18"/>
  <c r="C2087" i="18"/>
  <c r="D2087" i="18"/>
  <c r="E2087" i="18"/>
  <c r="F2087" i="18"/>
  <c r="G2087" i="18"/>
  <c r="H2087" i="18"/>
  <c r="I2087" i="18"/>
  <c r="J2087" i="18"/>
  <c r="K2087" i="18"/>
  <c r="L2087" i="18"/>
  <c r="B2088" i="18"/>
  <c r="C2088" i="18"/>
  <c r="D2088" i="18"/>
  <c r="E2088" i="18"/>
  <c r="F2088" i="18"/>
  <c r="G2088" i="18"/>
  <c r="H2088" i="18"/>
  <c r="I2088" i="18"/>
  <c r="J2088" i="18"/>
  <c r="K2088" i="18"/>
  <c r="L2088" i="18"/>
  <c r="B2089" i="18"/>
  <c r="C2089" i="18"/>
  <c r="D2089" i="18"/>
  <c r="E2089" i="18"/>
  <c r="F2089" i="18"/>
  <c r="G2089" i="18"/>
  <c r="H2089" i="18"/>
  <c r="I2089" i="18"/>
  <c r="J2089" i="18"/>
  <c r="K2089" i="18"/>
  <c r="L2089" i="18"/>
  <c r="B2090" i="18"/>
  <c r="C2090" i="18"/>
  <c r="D2090" i="18"/>
  <c r="E2090" i="18"/>
  <c r="F2090" i="18"/>
  <c r="G2090" i="18"/>
  <c r="H2090" i="18"/>
  <c r="I2090" i="18"/>
  <c r="J2090" i="18"/>
  <c r="K2090" i="18"/>
  <c r="L2090" i="18"/>
  <c r="B2091" i="18"/>
  <c r="C2091" i="18"/>
  <c r="D2091" i="18"/>
  <c r="E2091" i="18"/>
  <c r="F2091" i="18"/>
  <c r="G2091" i="18"/>
  <c r="H2091" i="18"/>
  <c r="I2091" i="18"/>
  <c r="J2091" i="18"/>
  <c r="K2091" i="18"/>
  <c r="L2091" i="18"/>
  <c r="B2092" i="18"/>
  <c r="C2092" i="18"/>
  <c r="D2092" i="18"/>
  <c r="E2092" i="18"/>
  <c r="F2092" i="18"/>
  <c r="G2092" i="18"/>
  <c r="H2092" i="18"/>
  <c r="I2092" i="18"/>
  <c r="J2092" i="18"/>
  <c r="K2092" i="18"/>
  <c r="L2092" i="18"/>
  <c r="B2093" i="18"/>
  <c r="C2093" i="18"/>
  <c r="D2093" i="18"/>
  <c r="E2093" i="18"/>
  <c r="F2093" i="18"/>
  <c r="G2093" i="18"/>
  <c r="H2093" i="18"/>
  <c r="I2093" i="18"/>
  <c r="J2093" i="18"/>
  <c r="K2093" i="18"/>
  <c r="L2093" i="18"/>
  <c r="B2094" i="18"/>
  <c r="C2094" i="18"/>
  <c r="D2094" i="18"/>
  <c r="E2094" i="18"/>
  <c r="F2094" i="18"/>
  <c r="G2094" i="18"/>
  <c r="H2094" i="18"/>
  <c r="I2094" i="18"/>
  <c r="J2094" i="18"/>
  <c r="K2094" i="18"/>
  <c r="L2094" i="18"/>
  <c r="B2095" i="18"/>
  <c r="C2095" i="18"/>
  <c r="D2095" i="18"/>
  <c r="E2095" i="18"/>
  <c r="F2095" i="18"/>
  <c r="G2095" i="18"/>
  <c r="H2095" i="18"/>
  <c r="I2095" i="18"/>
  <c r="J2095" i="18"/>
  <c r="K2095" i="18"/>
  <c r="L2095" i="18"/>
  <c r="B2096" i="18"/>
  <c r="C2096" i="18"/>
  <c r="D2096" i="18"/>
  <c r="E2096" i="18"/>
  <c r="F2096" i="18"/>
  <c r="G2096" i="18"/>
  <c r="H2096" i="18"/>
  <c r="I2096" i="18"/>
  <c r="J2096" i="18"/>
  <c r="K2096" i="18"/>
  <c r="L2096" i="18"/>
  <c r="B2097" i="18"/>
  <c r="C2097" i="18"/>
  <c r="D2097" i="18"/>
  <c r="E2097" i="18"/>
  <c r="F2097" i="18"/>
  <c r="G2097" i="18"/>
  <c r="H2097" i="18"/>
  <c r="I2097" i="18"/>
  <c r="J2097" i="18"/>
  <c r="K2097" i="18"/>
  <c r="L2097" i="18"/>
  <c r="B2098" i="18"/>
  <c r="C2098" i="18"/>
  <c r="D2098" i="18"/>
  <c r="E2098" i="18"/>
  <c r="F2098" i="18"/>
  <c r="G2098" i="18"/>
  <c r="H2098" i="18"/>
  <c r="I2098" i="18"/>
  <c r="J2098" i="18"/>
  <c r="K2098" i="18"/>
  <c r="L2098" i="18"/>
  <c r="B2099" i="18"/>
  <c r="C2099" i="18"/>
  <c r="D2099" i="18"/>
  <c r="E2099" i="18"/>
  <c r="F2099" i="18"/>
  <c r="G2099" i="18"/>
  <c r="H2099" i="18"/>
  <c r="I2099" i="18"/>
  <c r="J2099" i="18"/>
  <c r="K2099" i="18"/>
  <c r="L2099" i="18"/>
  <c r="B2100" i="18"/>
  <c r="C2100" i="18"/>
  <c r="D2100" i="18"/>
  <c r="E2100" i="18"/>
  <c r="F2100" i="18"/>
  <c r="G2100" i="18"/>
  <c r="H2100" i="18"/>
  <c r="I2100" i="18"/>
  <c r="J2100" i="18"/>
  <c r="K2100" i="18"/>
  <c r="L2100" i="18"/>
  <c r="B2101" i="18"/>
  <c r="C2101" i="18"/>
  <c r="D2101" i="18"/>
  <c r="E2101" i="18"/>
  <c r="F2101" i="18"/>
  <c r="G2101" i="18"/>
  <c r="H2101" i="18"/>
  <c r="I2101" i="18"/>
  <c r="J2101" i="18"/>
  <c r="K2101" i="18"/>
  <c r="L2101" i="18"/>
  <c r="B2102" i="18"/>
  <c r="C2102" i="18"/>
  <c r="D2102" i="18"/>
  <c r="E2102" i="18"/>
  <c r="F2102" i="18"/>
  <c r="G2102" i="18"/>
  <c r="H2102" i="18"/>
  <c r="I2102" i="18"/>
  <c r="J2102" i="18"/>
  <c r="K2102" i="18"/>
  <c r="L2102" i="18"/>
  <c r="B2103" i="18"/>
  <c r="C2103" i="18"/>
  <c r="D2103" i="18"/>
  <c r="E2103" i="18"/>
  <c r="F2103" i="18"/>
  <c r="G2103" i="18"/>
  <c r="H2103" i="18"/>
  <c r="I2103" i="18"/>
  <c r="J2103" i="18"/>
  <c r="K2103" i="18"/>
  <c r="L2103" i="18"/>
  <c r="B2104" i="18"/>
  <c r="C2104" i="18"/>
  <c r="D2104" i="18"/>
  <c r="E2104" i="18"/>
  <c r="F2104" i="18"/>
  <c r="G2104" i="18"/>
  <c r="H2104" i="18"/>
  <c r="I2104" i="18"/>
  <c r="J2104" i="18"/>
  <c r="K2104" i="18"/>
  <c r="L2104" i="18"/>
  <c r="B2105" i="18"/>
  <c r="C2105" i="18"/>
  <c r="D2105" i="18"/>
  <c r="E2105" i="18"/>
  <c r="F2105" i="18"/>
  <c r="G2105" i="18"/>
  <c r="H2105" i="18"/>
  <c r="I2105" i="18"/>
  <c r="J2105" i="18"/>
  <c r="K2105" i="18"/>
  <c r="L2105" i="18"/>
  <c r="B2106" i="18"/>
  <c r="C2106" i="18"/>
  <c r="D2106" i="18"/>
  <c r="E2106" i="18"/>
  <c r="F2106" i="18"/>
  <c r="G2106" i="18"/>
  <c r="H2106" i="18"/>
  <c r="I2106" i="18"/>
  <c r="J2106" i="18"/>
  <c r="K2106" i="18"/>
  <c r="L2106" i="18"/>
  <c r="B2107" i="18"/>
  <c r="C2107" i="18"/>
  <c r="D2107" i="18"/>
  <c r="E2107" i="18"/>
  <c r="F2107" i="18"/>
  <c r="G2107" i="18"/>
  <c r="H2107" i="18"/>
  <c r="I2107" i="18"/>
  <c r="J2107" i="18"/>
  <c r="K2107" i="18"/>
  <c r="L2107" i="18"/>
  <c r="B2108" i="18"/>
  <c r="C2108" i="18"/>
  <c r="D2108" i="18"/>
  <c r="E2108" i="18"/>
  <c r="F2108" i="18"/>
  <c r="G2108" i="18"/>
  <c r="H2108" i="18"/>
  <c r="I2108" i="18"/>
  <c r="J2108" i="18"/>
  <c r="K2108" i="18"/>
  <c r="L2108" i="18"/>
  <c r="B2109" i="18"/>
  <c r="C2109" i="18"/>
  <c r="D2109" i="18"/>
  <c r="E2109" i="18"/>
  <c r="F2109" i="18"/>
  <c r="G2109" i="18"/>
  <c r="H2109" i="18"/>
  <c r="I2109" i="18"/>
  <c r="J2109" i="18"/>
  <c r="K2109" i="18"/>
  <c r="L2109" i="18"/>
  <c r="B2110" i="18"/>
  <c r="C2110" i="18"/>
  <c r="D2110" i="18"/>
  <c r="E2110" i="18"/>
  <c r="F2110" i="18"/>
  <c r="G2110" i="18"/>
  <c r="H2110" i="18"/>
  <c r="I2110" i="18"/>
  <c r="J2110" i="18"/>
  <c r="K2110" i="18"/>
  <c r="L2110" i="18"/>
  <c r="B2111" i="18"/>
  <c r="C2111" i="18"/>
  <c r="D2111" i="18"/>
  <c r="E2111" i="18"/>
  <c r="F2111" i="18"/>
  <c r="G2111" i="18"/>
  <c r="H2111" i="18"/>
  <c r="I2111" i="18"/>
  <c r="J2111" i="18"/>
  <c r="K2111" i="18"/>
  <c r="L2111" i="18"/>
  <c r="B2112" i="18"/>
  <c r="C2112" i="18"/>
  <c r="D2112" i="18"/>
  <c r="E2112" i="18"/>
  <c r="F2112" i="18"/>
  <c r="G2112" i="18"/>
  <c r="H2112" i="18"/>
  <c r="I2112" i="18"/>
  <c r="J2112" i="18"/>
  <c r="K2112" i="18"/>
  <c r="L2112" i="18"/>
  <c r="B2113" i="18"/>
  <c r="C2113" i="18"/>
  <c r="D2113" i="18"/>
  <c r="E2113" i="18"/>
  <c r="F2113" i="18"/>
  <c r="G2113" i="18"/>
  <c r="H2113" i="18"/>
  <c r="I2113" i="18"/>
  <c r="J2113" i="18"/>
  <c r="K2113" i="18"/>
  <c r="L2113" i="18"/>
  <c r="B2114" i="18"/>
  <c r="C2114" i="18"/>
  <c r="D2114" i="18"/>
  <c r="E2114" i="18"/>
  <c r="F2114" i="18"/>
  <c r="G2114" i="18"/>
  <c r="H2114" i="18"/>
  <c r="I2114" i="18"/>
  <c r="J2114" i="18"/>
  <c r="K2114" i="18"/>
  <c r="L2114" i="18"/>
  <c r="B2115" i="18"/>
  <c r="C2115" i="18"/>
  <c r="D2115" i="18"/>
  <c r="E2115" i="18"/>
  <c r="F2115" i="18"/>
  <c r="G2115" i="18"/>
  <c r="H2115" i="18"/>
  <c r="I2115" i="18"/>
  <c r="J2115" i="18"/>
  <c r="K2115" i="18"/>
  <c r="L2115" i="18"/>
  <c r="B2116" i="18"/>
  <c r="C2116" i="18"/>
  <c r="D2116" i="18"/>
  <c r="E2116" i="18"/>
  <c r="F2116" i="18"/>
  <c r="G2116" i="18"/>
  <c r="H2116" i="18"/>
  <c r="I2116" i="18"/>
  <c r="J2116" i="18"/>
  <c r="K2116" i="18"/>
  <c r="L2116" i="18"/>
  <c r="B2117" i="18"/>
  <c r="C2117" i="18"/>
  <c r="D2117" i="18"/>
  <c r="E2117" i="18"/>
  <c r="F2117" i="18"/>
  <c r="G2117" i="18"/>
  <c r="H2117" i="18"/>
  <c r="I2117" i="18"/>
  <c r="J2117" i="18"/>
  <c r="K2117" i="18"/>
  <c r="L2117" i="18"/>
  <c r="B2118" i="18"/>
  <c r="C2118" i="18"/>
  <c r="D2118" i="18"/>
  <c r="E2118" i="18"/>
  <c r="F2118" i="18"/>
  <c r="G2118" i="18"/>
  <c r="H2118" i="18"/>
  <c r="I2118" i="18"/>
  <c r="J2118" i="18"/>
  <c r="K2118" i="18"/>
  <c r="L2118" i="18"/>
  <c r="B2119" i="18"/>
  <c r="C2119" i="18"/>
  <c r="D2119" i="18"/>
  <c r="E2119" i="18"/>
  <c r="F2119" i="18"/>
  <c r="G2119" i="18"/>
  <c r="H2119" i="18"/>
  <c r="I2119" i="18"/>
  <c r="J2119" i="18"/>
  <c r="K2119" i="18"/>
  <c r="L2119" i="18"/>
  <c r="B2120" i="18"/>
  <c r="C2120" i="18"/>
  <c r="D2120" i="18"/>
  <c r="E2120" i="18"/>
  <c r="F2120" i="18"/>
  <c r="G2120" i="18"/>
  <c r="H2120" i="18"/>
  <c r="I2120" i="18"/>
  <c r="J2120" i="18"/>
  <c r="K2120" i="18"/>
  <c r="L2120" i="18"/>
  <c r="B2121" i="18"/>
  <c r="C2121" i="18"/>
  <c r="D2121" i="18"/>
  <c r="E2121" i="18"/>
  <c r="F2121" i="18"/>
  <c r="G2121" i="18"/>
  <c r="H2121" i="18"/>
  <c r="I2121" i="18"/>
  <c r="J2121" i="18"/>
  <c r="K2121" i="18"/>
  <c r="L2121" i="18"/>
  <c r="B2122" i="18"/>
  <c r="C2122" i="18"/>
  <c r="D2122" i="18"/>
  <c r="E2122" i="18"/>
  <c r="F2122" i="18"/>
  <c r="G2122" i="18"/>
  <c r="H2122" i="18"/>
  <c r="I2122" i="18"/>
  <c r="J2122" i="18"/>
  <c r="K2122" i="18"/>
  <c r="L2122" i="18"/>
  <c r="B2123" i="18"/>
  <c r="C2123" i="18"/>
  <c r="D2123" i="18"/>
  <c r="E2123" i="18"/>
  <c r="F2123" i="18"/>
  <c r="G2123" i="18"/>
  <c r="H2123" i="18"/>
  <c r="I2123" i="18"/>
  <c r="J2123" i="18"/>
  <c r="K2123" i="18"/>
  <c r="L2123" i="18"/>
  <c r="B2124" i="18"/>
  <c r="C2124" i="18"/>
  <c r="D2124" i="18"/>
  <c r="E2124" i="18"/>
  <c r="F2124" i="18"/>
  <c r="G2124" i="18"/>
  <c r="H2124" i="18"/>
  <c r="I2124" i="18"/>
  <c r="J2124" i="18"/>
  <c r="K2124" i="18"/>
  <c r="L2124" i="18"/>
  <c r="B2125" i="18"/>
  <c r="C2125" i="18"/>
  <c r="D2125" i="18"/>
  <c r="E2125" i="18"/>
  <c r="F2125" i="18"/>
  <c r="G2125" i="18"/>
  <c r="H2125" i="18"/>
  <c r="I2125" i="18"/>
  <c r="J2125" i="18"/>
  <c r="K2125" i="18"/>
  <c r="L2125" i="18"/>
  <c r="B2126" i="18"/>
  <c r="C2126" i="18"/>
  <c r="D2126" i="18"/>
  <c r="E2126" i="18"/>
  <c r="F2126" i="18"/>
  <c r="G2126" i="18"/>
  <c r="H2126" i="18"/>
  <c r="I2126" i="18"/>
  <c r="J2126" i="18"/>
  <c r="K2126" i="18"/>
  <c r="L2126" i="18"/>
  <c r="B2127" i="18"/>
  <c r="C2127" i="18"/>
  <c r="D2127" i="18"/>
  <c r="E2127" i="18"/>
  <c r="F2127" i="18"/>
  <c r="G2127" i="18"/>
  <c r="H2127" i="18"/>
  <c r="I2127" i="18"/>
  <c r="J2127" i="18"/>
  <c r="K2127" i="18"/>
  <c r="L2127" i="18"/>
  <c r="B2128" i="18"/>
  <c r="C2128" i="18"/>
  <c r="D2128" i="18"/>
  <c r="E2128" i="18"/>
  <c r="F2128" i="18"/>
  <c r="G2128" i="18"/>
  <c r="H2128" i="18"/>
  <c r="I2128" i="18"/>
  <c r="J2128" i="18"/>
  <c r="K2128" i="18"/>
  <c r="L2128" i="18"/>
  <c r="B2129" i="18"/>
  <c r="C2129" i="18"/>
  <c r="D2129" i="18"/>
  <c r="E2129" i="18"/>
  <c r="F2129" i="18"/>
  <c r="G2129" i="18"/>
  <c r="H2129" i="18"/>
  <c r="I2129" i="18"/>
  <c r="J2129" i="18"/>
  <c r="K2129" i="18"/>
  <c r="L2129" i="18"/>
  <c r="B2130" i="18"/>
  <c r="C2130" i="18"/>
  <c r="D2130" i="18"/>
  <c r="E2130" i="18"/>
  <c r="F2130" i="18"/>
  <c r="G2130" i="18"/>
  <c r="H2130" i="18"/>
  <c r="I2130" i="18"/>
  <c r="J2130" i="18"/>
  <c r="K2130" i="18"/>
  <c r="L2130" i="18"/>
  <c r="B2131" i="18"/>
  <c r="C2131" i="18"/>
  <c r="D2131" i="18"/>
  <c r="E2131" i="18"/>
  <c r="F2131" i="18"/>
  <c r="G2131" i="18"/>
  <c r="H2131" i="18"/>
  <c r="I2131" i="18"/>
  <c r="J2131" i="18"/>
  <c r="K2131" i="18"/>
  <c r="L2131" i="18"/>
  <c r="B2132" i="18"/>
  <c r="C2132" i="18"/>
  <c r="D2132" i="18"/>
  <c r="E2132" i="18"/>
  <c r="F2132" i="18"/>
  <c r="G2132" i="18"/>
  <c r="H2132" i="18"/>
  <c r="I2132" i="18"/>
  <c r="J2132" i="18"/>
  <c r="K2132" i="18"/>
  <c r="L2132" i="18"/>
  <c r="B2133" i="18"/>
  <c r="C2133" i="18"/>
  <c r="D2133" i="18"/>
  <c r="E2133" i="18"/>
  <c r="F2133" i="18"/>
  <c r="G2133" i="18"/>
  <c r="H2133" i="18"/>
  <c r="I2133" i="18"/>
  <c r="J2133" i="18"/>
  <c r="K2133" i="18"/>
  <c r="L2133" i="18"/>
  <c r="B2134" i="18"/>
  <c r="C2134" i="18"/>
  <c r="D2134" i="18"/>
  <c r="E2134" i="18"/>
  <c r="F2134" i="18"/>
  <c r="G2134" i="18"/>
  <c r="H2134" i="18"/>
  <c r="I2134" i="18"/>
  <c r="J2134" i="18"/>
  <c r="K2134" i="18"/>
  <c r="L2134" i="18"/>
  <c r="B2135" i="18"/>
  <c r="C2135" i="18"/>
  <c r="D2135" i="18"/>
  <c r="E2135" i="18"/>
  <c r="F2135" i="18"/>
  <c r="G2135" i="18"/>
  <c r="H2135" i="18"/>
  <c r="I2135" i="18"/>
  <c r="J2135" i="18"/>
  <c r="K2135" i="18"/>
  <c r="L2135" i="18"/>
  <c r="B2136" i="18"/>
  <c r="C2136" i="18"/>
  <c r="D2136" i="18"/>
  <c r="E2136" i="18"/>
  <c r="F2136" i="18"/>
  <c r="G2136" i="18"/>
  <c r="H2136" i="18"/>
  <c r="I2136" i="18"/>
  <c r="J2136" i="18"/>
  <c r="K2136" i="18"/>
  <c r="L2136" i="18"/>
  <c r="B2137" i="18"/>
  <c r="C2137" i="18"/>
  <c r="D2137" i="18"/>
  <c r="E2137" i="18"/>
  <c r="F2137" i="18"/>
  <c r="G2137" i="18"/>
  <c r="H2137" i="18"/>
  <c r="I2137" i="18"/>
  <c r="J2137" i="18"/>
  <c r="K2137" i="18"/>
  <c r="L2137" i="18"/>
  <c r="B2138" i="18"/>
  <c r="C2138" i="18"/>
  <c r="D2138" i="18"/>
  <c r="E2138" i="18"/>
  <c r="F2138" i="18"/>
  <c r="G2138" i="18"/>
  <c r="H2138" i="18"/>
  <c r="I2138" i="18"/>
  <c r="J2138" i="18"/>
  <c r="K2138" i="18"/>
  <c r="L2138" i="18"/>
  <c r="B2139" i="18"/>
  <c r="C2139" i="18"/>
  <c r="D2139" i="18"/>
  <c r="E2139" i="18"/>
  <c r="F2139" i="18"/>
  <c r="G2139" i="18"/>
  <c r="H2139" i="18"/>
  <c r="I2139" i="18"/>
  <c r="J2139" i="18"/>
  <c r="K2139" i="18"/>
  <c r="L2139" i="18"/>
  <c r="B2140" i="18"/>
  <c r="C2140" i="18"/>
  <c r="D2140" i="18"/>
  <c r="E2140" i="18"/>
  <c r="F2140" i="18"/>
  <c r="G2140" i="18"/>
  <c r="H2140" i="18"/>
  <c r="I2140" i="18"/>
  <c r="J2140" i="18"/>
  <c r="K2140" i="18"/>
  <c r="L2140" i="18"/>
  <c r="B2141" i="18"/>
  <c r="C2141" i="18"/>
  <c r="D2141" i="18"/>
  <c r="E2141" i="18"/>
  <c r="F2141" i="18"/>
  <c r="G2141" i="18"/>
  <c r="H2141" i="18"/>
  <c r="I2141" i="18"/>
  <c r="J2141" i="18"/>
  <c r="K2141" i="18"/>
  <c r="L2141" i="18"/>
  <c r="B2142" i="18"/>
  <c r="C2142" i="18"/>
  <c r="D2142" i="18"/>
  <c r="E2142" i="18"/>
  <c r="F2142" i="18"/>
  <c r="G2142" i="18"/>
  <c r="H2142" i="18"/>
  <c r="I2142" i="18"/>
  <c r="J2142" i="18"/>
  <c r="K2142" i="18"/>
  <c r="L2142" i="18"/>
  <c r="B2143" i="18"/>
  <c r="C2143" i="18"/>
  <c r="D2143" i="18"/>
  <c r="E2143" i="18"/>
  <c r="F2143" i="18"/>
  <c r="G2143" i="18"/>
  <c r="H2143" i="18"/>
  <c r="I2143" i="18"/>
  <c r="J2143" i="18"/>
  <c r="K2143" i="18"/>
  <c r="L2143" i="18"/>
  <c r="B2144" i="18"/>
  <c r="C2144" i="18"/>
  <c r="D2144" i="18"/>
  <c r="E2144" i="18"/>
  <c r="F2144" i="18"/>
  <c r="G2144" i="18"/>
  <c r="H2144" i="18"/>
  <c r="I2144" i="18"/>
  <c r="J2144" i="18"/>
  <c r="K2144" i="18"/>
  <c r="L2144" i="18"/>
  <c r="B2145" i="18"/>
  <c r="C2145" i="18"/>
  <c r="D2145" i="18"/>
  <c r="E2145" i="18"/>
  <c r="F2145" i="18"/>
  <c r="G2145" i="18"/>
  <c r="H2145" i="18"/>
  <c r="I2145" i="18"/>
  <c r="J2145" i="18"/>
  <c r="K2145" i="18"/>
  <c r="L2145" i="18"/>
  <c r="B2146" i="18"/>
  <c r="C2146" i="18"/>
  <c r="D2146" i="18"/>
  <c r="E2146" i="18"/>
  <c r="F2146" i="18"/>
  <c r="G2146" i="18"/>
  <c r="H2146" i="18"/>
  <c r="I2146" i="18"/>
  <c r="J2146" i="18"/>
  <c r="K2146" i="18"/>
  <c r="L2146" i="18"/>
  <c r="B2147" i="18"/>
  <c r="C2147" i="18"/>
  <c r="D2147" i="18"/>
  <c r="E2147" i="18"/>
  <c r="F2147" i="18"/>
  <c r="G2147" i="18"/>
  <c r="H2147" i="18"/>
  <c r="I2147" i="18"/>
  <c r="J2147" i="18"/>
  <c r="K2147" i="18"/>
  <c r="L2147" i="18"/>
  <c r="B2148" i="18"/>
  <c r="C2148" i="18"/>
  <c r="D2148" i="18"/>
  <c r="E2148" i="18"/>
  <c r="F2148" i="18"/>
  <c r="G2148" i="18"/>
  <c r="H2148" i="18"/>
  <c r="I2148" i="18"/>
  <c r="J2148" i="18"/>
  <c r="K2148" i="18"/>
  <c r="L2148" i="18"/>
  <c r="B2149" i="18"/>
  <c r="C2149" i="18"/>
  <c r="D2149" i="18"/>
  <c r="E2149" i="18"/>
  <c r="F2149" i="18"/>
  <c r="G2149" i="18"/>
  <c r="H2149" i="18"/>
  <c r="I2149" i="18"/>
  <c r="J2149" i="18"/>
  <c r="K2149" i="18"/>
  <c r="L2149" i="18"/>
  <c r="B2150" i="18"/>
  <c r="C2150" i="18"/>
  <c r="D2150" i="18"/>
  <c r="E2150" i="18"/>
  <c r="F2150" i="18"/>
  <c r="G2150" i="18"/>
  <c r="H2150" i="18"/>
  <c r="I2150" i="18"/>
  <c r="J2150" i="18"/>
  <c r="K2150" i="18"/>
  <c r="L2150" i="18"/>
  <c r="B2151" i="18"/>
  <c r="C2151" i="18"/>
  <c r="D2151" i="18"/>
  <c r="E2151" i="18"/>
  <c r="F2151" i="18"/>
  <c r="G2151" i="18"/>
  <c r="H2151" i="18"/>
  <c r="I2151" i="18"/>
  <c r="J2151" i="18"/>
  <c r="K2151" i="18"/>
  <c r="L2151" i="18"/>
  <c r="B2152" i="18"/>
  <c r="C2152" i="18"/>
  <c r="D2152" i="18"/>
  <c r="E2152" i="18"/>
  <c r="F2152" i="18"/>
  <c r="G2152" i="18"/>
  <c r="H2152" i="18"/>
  <c r="I2152" i="18"/>
  <c r="J2152" i="18"/>
  <c r="K2152" i="18"/>
  <c r="L2152" i="18"/>
  <c r="B2153" i="18"/>
  <c r="C2153" i="18"/>
  <c r="D2153" i="18"/>
  <c r="E2153" i="18"/>
  <c r="F2153" i="18"/>
  <c r="G2153" i="18"/>
  <c r="H2153" i="18"/>
  <c r="I2153" i="18"/>
  <c r="J2153" i="18"/>
  <c r="K2153" i="18"/>
  <c r="L2153" i="18"/>
  <c r="B2154" i="18"/>
  <c r="C2154" i="18"/>
  <c r="D2154" i="18"/>
  <c r="E2154" i="18"/>
  <c r="F2154" i="18"/>
  <c r="G2154" i="18"/>
  <c r="H2154" i="18"/>
  <c r="I2154" i="18"/>
  <c r="J2154" i="18"/>
  <c r="K2154" i="18"/>
  <c r="L2154" i="18"/>
  <c r="B2155" i="18"/>
  <c r="C2155" i="18"/>
  <c r="D2155" i="18"/>
  <c r="E2155" i="18"/>
  <c r="F2155" i="18"/>
  <c r="G2155" i="18"/>
  <c r="H2155" i="18"/>
  <c r="I2155" i="18"/>
  <c r="J2155" i="18"/>
  <c r="K2155" i="18"/>
  <c r="L2155" i="18"/>
  <c r="B2156" i="18"/>
  <c r="C2156" i="18"/>
  <c r="D2156" i="18"/>
  <c r="E2156" i="18"/>
  <c r="F2156" i="18"/>
  <c r="G2156" i="18"/>
  <c r="H2156" i="18"/>
  <c r="I2156" i="18"/>
  <c r="J2156" i="18"/>
  <c r="K2156" i="18"/>
  <c r="L2156" i="18"/>
  <c r="B2157" i="18"/>
  <c r="C2157" i="18"/>
  <c r="D2157" i="18"/>
  <c r="E2157" i="18"/>
  <c r="F2157" i="18"/>
  <c r="G2157" i="18"/>
  <c r="H2157" i="18"/>
  <c r="I2157" i="18"/>
  <c r="J2157" i="18"/>
  <c r="K2157" i="18"/>
  <c r="L2157" i="18"/>
  <c r="B2158" i="18"/>
  <c r="C2158" i="18"/>
  <c r="D2158" i="18"/>
  <c r="E2158" i="18"/>
  <c r="F2158" i="18"/>
  <c r="G2158" i="18"/>
  <c r="H2158" i="18"/>
  <c r="I2158" i="18"/>
  <c r="J2158" i="18"/>
  <c r="K2158" i="18"/>
  <c r="L2158" i="18"/>
  <c r="B2159" i="18"/>
  <c r="C2159" i="18"/>
  <c r="D2159" i="18"/>
  <c r="E2159" i="18"/>
  <c r="F2159" i="18"/>
  <c r="G2159" i="18"/>
  <c r="H2159" i="18"/>
  <c r="I2159" i="18"/>
  <c r="J2159" i="18"/>
  <c r="K2159" i="18"/>
  <c r="L2159" i="18"/>
  <c r="B2160" i="18"/>
  <c r="C2160" i="18"/>
  <c r="D2160" i="18"/>
  <c r="E2160" i="18"/>
  <c r="F2160" i="18"/>
  <c r="G2160" i="18"/>
  <c r="H2160" i="18"/>
  <c r="I2160" i="18"/>
  <c r="J2160" i="18"/>
  <c r="K2160" i="18"/>
  <c r="L2160" i="18"/>
  <c r="B2161" i="18"/>
  <c r="C2161" i="18"/>
  <c r="D2161" i="18"/>
  <c r="E2161" i="18"/>
  <c r="F2161" i="18"/>
  <c r="G2161" i="18"/>
  <c r="H2161" i="18"/>
  <c r="I2161" i="18"/>
  <c r="J2161" i="18"/>
  <c r="K2161" i="18"/>
  <c r="L2161" i="18"/>
  <c r="B2162" i="18"/>
  <c r="C2162" i="18"/>
  <c r="D2162" i="18"/>
  <c r="E2162" i="18"/>
  <c r="F2162" i="18"/>
  <c r="G2162" i="18"/>
  <c r="H2162" i="18"/>
  <c r="I2162" i="18"/>
  <c r="J2162" i="18"/>
  <c r="K2162" i="18"/>
  <c r="L2162" i="18"/>
  <c r="B2163" i="18"/>
  <c r="C2163" i="18"/>
  <c r="D2163" i="18"/>
  <c r="E2163" i="18"/>
  <c r="F2163" i="18"/>
  <c r="G2163" i="18"/>
  <c r="H2163" i="18"/>
  <c r="I2163" i="18"/>
  <c r="J2163" i="18"/>
  <c r="K2163" i="18"/>
  <c r="L2163" i="18"/>
  <c r="B2164" i="18"/>
  <c r="C2164" i="18"/>
  <c r="D2164" i="18"/>
  <c r="E2164" i="18"/>
  <c r="F2164" i="18"/>
  <c r="G2164" i="18"/>
  <c r="H2164" i="18"/>
  <c r="I2164" i="18"/>
  <c r="J2164" i="18"/>
  <c r="K2164" i="18"/>
  <c r="L2164" i="18"/>
  <c r="B2165" i="18"/>
  <c r="C2165" i="18"/>
  <c r="D2165" i="18"/>
  <c r="E2165" i="18"/>
  <c r="F2165" i="18"/>
  <c r="G2165" i="18"/>
  <c r="H2165" i="18"/>
  <c r="I2165" i="18"/>
  <c r="J2165" i="18"/>
  <c r="K2165" i="18"/>
  <c r="L2165" i="18"/>
  <c r="B2166" i="18"/>
  <c r="C2166" i="18"/>
  <c r="D2166" i="18"/>
  <c r="E2166" i="18"/>
  <c r="F2166" i="18"/>
  <c r="G2166" i="18"/>
  <c r="H2166" i="18"/>
  <c r="I2166" i="18"/>
  <c r="J2166" i="18"/>
  <c r="K2166" i="18"/>
  <c r="L2166" i="18"/>
  <c r="B2167" i="18"/>
  <c r="C2167" i="18"/>
  <c r="D2167" i="18"/>
  <c r="E2167" i="18"/>
  <c r="F2167" i="18"/>
  <c r="G2167" i="18"/>
  <c r="H2167" i="18"/>
  <c r="I2167" i="18"/>
  <c r="J2167" i="18"/>
  <c r="K2167" i="18"/>
  <c r="L2167" i="18"/>
  <c r="B2168" i="18"/>
  <c r="C2168" i="18"/>
  <c r="D2168" i="18"/>
  <c r="E2168" i="18"/>
  <c r="F2168" i="18"/>
  <c r="G2168" i="18"/>
  <c r="H2168" i="18"/>
  <c r="I2168" i="18"/>
  <c r="J2168" i="18"/>
  <c r="K2168" i="18"/>
  <c r="L2168" i="18"/>
  <c r="B2169" i="18"/>
  <c r="C2169" i="18"/>
  <c r="D2169" i="18"/>
  <c r="E2169" i="18"/>
  <c r="F2169" i="18"/>
  <c r="G2169" i="18"/>
  <c r="H2169" i="18"/>
  <c r="I2169" i="18"/>
  <c r="J2169" i="18"/>
  <c r="K2169" i="18"/>
  <c r="L2169" i="18"/>
  <c r="B2170" i="18"/>
  <c r="C2170" i="18"/>
  <c r="D2170" i="18"/>
  <c r="E2170" i="18"/>
  <c r="F2170" i="18"/>
  <c r="G2170" i="18"/>
  <c r="H2170" i="18"/>
  <c r="I2170" i="18"/>
  <c r="J2170" i="18"/>
  <c r="K2170" i="18"/>
  <c r="L2170" i="18"/>
  <c r="B2171" i="18"/>
  <c r="C2171" i="18"/>
  <c r="D2171" i="18"/>
  <c r="E2171" i="18"/>
  <c r="F2171" i="18"/>
  <c r="G2171" i="18"/>
  <c r="H2171" i="18"/>
  <c r="I2171" i="18"/>
  <c r="J2171" i="18"/>
  <c r="K2171" i="18"/>
  <c r="L2171" i="18"/>
  <c r="B2172" i="18"/>
  <c r="C2172" i="18"/>
  <c r="D2172" i="18"/>
  <c r="E2172" i="18"/>
  <c r="F2172" i="18"/>
  <c r="G2172" i="18"/>
  <c r="H2172" i="18"/>
  <c r="I2172" i="18"/>
  <c r="J2172" i="18"/>
  <c r="K2172" i="18"/>
  <c r="L2172" i="18"/>
  <c r="B2173" i="18"/>
  <c r="C2173" i="18"/>
  <c r="D2173" i="18"/>
  <c r="E2173" i="18"/>
  <c r="F2173" i="18"/>
  <c r="G2173" i="18"/>
  <c r="H2173" i="18"/>
  <c r="I2173" i="18"/>
  <c r="J2173" i="18"/>
  <c r="K2173" i="18"/>
  <c r="L2173" i="18"/>
  <c r="B2174" i="18"/>
  <c r="C2174" i="18"/>
  <c r="D2174" i="18"/>
  <c r="E2174" i="18"/>
  <c r="F2174" i="18"/>
  <c r="G2174" i="18"/>
  <c r="H2174" i="18"/>
  <c r="I2174" i="18"/>
  <c r="J2174" i="18"/>
  <c r="K2174" i="18"/>
  <c r="L2174" i="18"/>
  <c r="B2175" i="18"/>
  <c r="C2175" i="18"/>
  <c r="D2175" i="18"/>
  <c r="E2175" i="18"/>
  <c r="F2175" i="18"/>
  <c r="G2175" i="18"/>
  <c r="H2175" i="18"/>
  <c r="I2175" i="18"/>
  <c r="J2175" i="18"/>
  <c r="K2175" i="18"/>
  <c r="L2175" i="18"/>
  <c r="B2176" i="18"/>
  <c r="C2176" i="18"/>
  <c r="D2176" i="18"/>
  <c r="E2176" i="18"/>
  <c r="F2176" i="18"/>
  <c r="G2176" i="18"/>
  <c r="H2176" i="18"/>
  <c r="I2176" i="18"/>
  <c r="J2176" i="18"/>
  <c r="K2176" i="18"/>
  <c r="L2176" i="18"/>
  <c r="B2177" i="18"/>
  <c r="C2177" i="18"/>
  <c r="D2177" i="18"/>
  <c r="E2177" i="18"/>
  <c r="F2177" i="18"/>
  <c r="G2177" i="18"/>
  <c r="H2177" i="18"/>
  <c r="I2177" i="18"/>
  <c r="J2177" i="18"/>
  <c r="K2177" i="18"/>
  <c r="L2177" i="18"/>
  <c r="B2178" i="18"/>
  <c r="C2178" i="18"/>
  <c r="D2178" i="18"/>
  <c r="E2178" i="18"/>
  <c r="F2178" i="18"/>
  <c r="G2178" i="18"/>
  <c r="H2178" i="18"/>
  <c r="I2178" i="18"/>
  <c r="J2178" i="18"/>
  <c r="K2178" i="18"/>
  <c r="L2178" i="18"/>
  <c r="B2179" i="18"/>
  <c r="C2179" i="18"/>
  <c r="D2179" i="18"/>
  <c r="E2179" i="18"/>
  <c r="F2179" i="18"/>
  <c r="G2179" i="18"/>
  <c r="H2179" i="18"/>
  <c r="I2179" i="18"/>
  <c r="J2179" i="18"/>
  <c r="K2179" i="18"/>
  <c r="L2179" i="18"/>
  <c r="B2180" i="18"/>
  <c r="C2180" i="18"/>
  <c r="D2180" i="18"/>
  <c r="E2180" i="18"/>
  <c r="F2180" i="18"/>
  <c r="G2180" i="18"/>
  <c r="H2180" i="18"/>
  <c r="I2180" i="18"/>
  <c r="J2180" i="18"/>
  <c r="K2180" i="18"/>
  <c r="L2180" i="18"/>
  <c r="B2181" i="18"/>
  <c r="C2181" i="18"/>
  <c r="D2181" i="18"/>
  <c r="E2181" i="18"/>
  <c r="F2181" i="18"/>
  <c r="G2181" i="18"/>
  <c r="H2181" i="18"/>
  <c r="I2181" i="18"/>
  <c r="J2181" i="18"/>
  <c r="K2181" i="18"/>
  <c r="L2181" i="18"/>
  <c r="B2182" i="18"/>
  <c r="C2182" i="18"/>
  <c r="D2182" i="18"/>
  <c r="E2182" i="18"/>
  <c r="F2182" i="18"/>
  <c r="G2182" i="18"/>
  <c r="H2182" i="18"/>
  <c r="I2182" i="18"/>
  <c r="J2182" i="18"/>
  <c r="K2182" i="18"/>
  <c r="L2182" i="18"/>
  <c r="B2183" i="18"/>
  <c r="C2183" i="18"/>
  <c r="D2183" i="18"/>
  <c r="E2183" i="18"/>
  <c r="F2183" i="18"/>
  <c r="G2183" i="18"/>
  <c r="H2183" i="18"/>
  <c r="I2183" i="18"/>
  <c r="J2183" i="18"/>
  <c r="K2183" i="18"/>
  <c r="L2183" i="18"/>
  <c r="B2184" i="18"/>
  <c r="C2184" i="18"/>
  <c r="D2184" i="18"/>
  <c r="E2184" i="18"/>
  <c r="F2184" i="18"/>
  <c r="G2184" i="18"/>
  <c r="H2184" i="18"/>
  <c r="I2184" i="18"/>
  <c r="J2184" i="18"/>
  <c r="K2184" i="18"/>
  <c r="L2184" i="18"/>
  <c r="B2185" i="18"/>
  <c r="C2185" i="18"/>
  <c r="D2185" i="18"/>
  <c r="E2185" i="18"/>
  <c r="F2185" i="18"/>
  <c r="G2185" i="18"/>
  <c r="H2185" i="18"/>
  <c r="I2185" i="18"/>
  <c r="J2185" i="18"/>
  <c r="K2185" i="18"/>
  <c r="L2185" i="18"/>
  <c r="B2186" i="18"/>
  <c r="C2186" i="18"/>
  <c r="D2186" i="18"/>
  <c r="E2186" i="18"/>
  <c r="F2186" i="18"/>
  <c r="G2186" i="18"/>
  <c r="H2186" i="18"/>
  <c r="I2186" i="18"/>
  <c r="J2186" i="18"/>
  <c r="K2186" i="18"/>
  <c r="L2186" i="18"/>
  <c r="B2187" i="18"/>
  <c r="C2187" i="18"/>
  <c r="D2187" i="18"/>
  <c r="E2187" i="18"/>
  <c r="F2187" i="18"/>
  <c r="G2187" i="18"/>
  <c r="H2187" i="18"/>
  <c r="I2187" i="18"/>
  <c r="J2187" i="18"/>
  <c r="K2187" i="18"/>
  <c r="L2187" i="18"/>
  <c r="B2188" i="18"/>
  <c r="C2188" i="18"/>
  <c r="D2188" i="18"/>
  <c r="E2188" i="18"/>
  <c r="F2188" i="18"/>
  <c r="G2188" i="18"/>
  <c r="H2188" i="18"/>
  <c r="I2188" i="18"/>
  <c r="J2188" i="18"/>
  <c r="K2188" i="18"/>
  <c r="L2188" i="18"/>
  <c r="B2189" i="18"/>
  <c r="C2189" i="18"/>
  <c r="D2189" i="18"/>
  <c r="E2189" i="18"/>
  <c r="F2189" i="18"/>
  <c r="G2189" i="18"/>
  <c r="H2189" i="18"/>
  <c r="I2189" i="18"/>
  <c r="J2189" i="18"/>
  <c r="K2189" i="18"/>
  <c r="L2189" i="18"/>
  <c r="B2190" i="18"/>
  <c r="C2190" i="18"/>
  <c r="D2190" i="18"/>
  <c r="E2190" i="18"/>
  <c r="F2190" i="18"/>
  <c r="G2190" i="18"/>
  <c r="H2190" i="18"/>
  <c r="I2190" i="18"/>
  <c r="J2190" i="18"/>
  <c r="K2190" i="18"/>
  <c r="L2190" i="18"/>
  <c r="B2191" i="18"/>
  <c r="C2191" i="18"/>
  <c r="D2191" i="18"/>
  <c r="E2191" i="18"/>
  <c r="F2191" i="18"/>
  <c r="G2191" i="18"/>
  <c r="H2191" i="18"/>
  <c r="I2191" i="18"/>
  <c r="J2191" i="18"/>
  <c r="K2191" i="18"/>
  <c r="L2191" i="18"/>
  <c r="B2192" i="18"/>
  <c r="C2192" i="18"/>
  <c r="D2192" i="18"/>
  <c r="E2192" i="18"/>
  <c r="F2192" i="18"/>
  <c r="G2192" i="18"/>
  <c r="H2192" i="18"/>
  <c r="I2192" i="18"/>
  <c r="J2192" i="18"/>
  <c r="K2192" i="18"/>
  <c r="L2192" i="18"/>
  <c r="B2193" i="18"/>
  <c r="C2193" i="18"/>
  <c r="D2193" i="18"/>
  <c r="E2193" i="18"/>
  <c r="F2193" i="18"/>
  <c r="G2193" i="18"/>
  <c r="H2193" i="18"/>
  <c r="I2193" i="18"/>
  <c r="J2193" i="18"/>
  <c r="K2193" i="18"/>
  <c r="L2193" i="18"/>
  <c r="B2194" i="18"/>
  <c r="C2194" i="18"/>
  <c r="D2194" i="18"/>
  <c r="E2194" i="18"/>
  <c r="F2194" i="18"/>
  <c r="G2194" i="18"/>
  <c r="H2194" i="18"/>
  <c r="I2194" i="18"/>
  <c r="J2194" i="18"/>
  <c r="K2194" i="18"/>
  <c r="L2194" i="18"/>
  <c r="B2195" i="18"/>
  <c r="C2195" i="18"/>
  <c r="D2195" i="18"/>
  <c r="E2195" i="18"/>
  <c r="F2195" i="18"/>
  <c r="G2195" i="18"/>
  <c r="H2195" i="18"/>
  <c r="I2195" i="18"/>
  <c r="J2195" i="18"/>
  <c r="K2195" i="18"/>
  <c r="L2195" i="18"/>
  <c r="B2196" i="18"/>
  <c r="C2196" i="18"/>
  <c r="D2196" i="18"/>
  <c r="E2196" i="18"/>
  <c r="F2196" i="18"/>
  <c r="G2196" i="18"/>
  <c r="H2196" i="18"/>
  <c r="I2196" i="18"/>
  <c r="J2196" i="18"/>
  <c r="K2196" i="18"/>
  <c r="L2196" i="18"/>
  <c r="B2197" i="18"/>
  <c r="C2197" i="18"/>
  <c r="D2197" i="18"/>
  <c r="E2197" i="18"/>
  <c r="F2197" i="18"/>
  <c r="G2197" i="18"/>
  <c r="H2197" i="18"/>
  <c r="I2197" i="18"/>
  <c r="J2197" i="18"/>
  <c r="K2197" i="18"/>
  <c r="L2197" i="18"/>
  <c r="B2198" i="18"/>
  <c r="C2198" i="18"/>
  <c r="D2198" i="18"/>
  <c r="E2198" i="18"/>
  <c r="F2198" i="18"/>
  <c r="G2198" i="18"/>
  <c r="H2198" i="18"/>
  <c r="I2198" i="18"/>
  <c r="J2198" i="18"/>
  <c r="K2198" i="18"/>
  <c r="L2198" i="18"/>
  <c r="B2199" i="18"/>
  <c r="C2199" i="18"/>
  <c r="D2199" i="18"/>
  <c r="E2199" i="18"/>
  <c r="F2199" i="18"/>
  <c r="G2199" i="18"/>
  <c r="H2199" i="18"/>
  <c r="I2199" i="18"/>
  <c r="J2199" i="18"/>
  <c r="K2199" i="18"/>
  <c r="L2199" i="18"/>
  <c r="B2200" i="18"/>
  <c r="C2200" i="18"/>
  <c r="D2200" i="18"/>
  <c r="E2200" i="18"/>
  <c r="F2200" i="18"/>
  <c r="G2200" i="18"/>
  <c r="H2200" i="18"/>
  <c r="I2200" i="18"/>
  <c r="J2200" i="18"/>
  <c r="K2200" i="18"/>
  <c r="L2200" i="18"/>
  <c r="B2201" i="18"/>
  <c r="C2201" i="18"/>
  <c r="D2201" i="18"/>
  <c r="E2201" i="18"/>
  <c r="F2201" i="18"/>
  <c r="G2201" i="18"/>
  <c r="H2201" i="18"/>
  <c r="I2201" i="18"/>
  <c r="J2201" i="18"/>
  <c r="K2201" i="18"/>
  <c r="L2201" i="18"/>
  <c r="B2202" i="18"/>
  <c r="C2202" i="18"/>
  <c r="D2202" i="18"/>
  <c r="E2202" i="18"/>
  <c r="F2202" i="18"/>
  <c r="G2202" i="18"/>
  <c r="H2202" i="18"/>
  <c r="I2202" i="18"/>
  <c r="J2202" i="18"/>
  <c r="K2202" i="18"/>
  <c r="L2202" i="18"/>
  <c r="B2203" i="18"/>
  <c r="C2203" i="18"/>
  <c r="D2203" i="18"/>
  <c r="E2203" i="18"/>
  <c r="F2203" i="18"/>
  <c r="G2203" i="18"/>
  <c r="H2203" i="18"/>
  <c r="I2203" i="18"/>
  <c r="J2203" i="18"/>
  <c r="K2203" i="18"/>
  <c r="L2203" i="18"/>
  <c r="B2204" i="18"/>
  <c r="C2204" i="18"/>
  <c r="D2204" i="18"/>
  <c r="E2204" i="18"/>
  <c r="F2204" i="18"/>
  <c r="G2204" i="18"/>
  <c r="H2204" i="18"/>
  <c r="I2204" i="18"/>
  <c r="J2204" i="18"/>
  <c r="K2204" i="18"/>
  <c r="L2204" i="18"/>
  <c r="B2205" i="18"/>
  <c r="C2205" i="18"/>
  <c r="D2205" i="18"/>
  <c r="E2205" i="18"/>
  <c r="F2205" i="18"/>
  <c r="G2205" i="18"/>
  <c r="H2205" i="18"/>
  <c r="I2205" i="18"/>
  <c r="J2205" i="18"/>
  <c r="K2205" i="18"/>
  <c r="L2205" i="18"/>
  <c r="B2206" i="18"/>
  <c r="C2206" i="18"/>
  <c r="D2206" i="18"/>
  <c r="E2206" i="18"/>
  <c r="F2206" i="18"/>
  <c r="G2206" i="18"/>
  <c r="H2206" i="18"/>
  <c r="I2206" i="18"/>
  <c r="J2206" i="18"/>
  <c r="K2206" i="18"/>
  <c r="L2206" i="18"/>
  <c r="B2207" i="18"/>
  <c r="C2207" i="18"/>
  <c r="D2207" i="18"/>
  <c r="E2207" i="18"/>
  <c r="F2207" i="18"/>
  <c r="G2207" i="18"/>
  <c r="H2207" i="18"/>
  <c r="I2207" i="18"/>
  <c r="J2207" i="18"/>
  <c r="K2207" i="18"/>
  <c r="L2207" i="18"/>
  <c r="B2208" i="18"/>
  <c r="C2208" i="18"/>
  <c r="D2208" i="18"/>
  <c r="E2208" i="18"/>
  <c r="F2208" i="18"/>
  <c r="G2208" i="18"/>
  <c r="H2208" i="18"/>
  <c r="I2208" i="18"/>
  <c r="J2208" i="18"/>
  <c r="K2208" i="18"/>
  <c r="L2208" i="18"/>
  <c r="B2209" i="18"/>
  <c r="C2209" i="18"/>
  <c r="D2209" i="18"/>
  <c r="E2209" i="18"/>
  <c r="F2209" i="18"/>
  <c r="G2209" i="18"/>
  <c r="H2209" i="18"/>
  <c r="I2209" i="18"/>
  <c r="J2209" i="18"/>
  <c r="K2209" i="18"/>
  <c r="L2209" i="18"/>
  <c r="B2210" i="18"/>
  <c r="C2210" i="18"/>
  <c r="D2210" i="18"/>
  <c r="E2210" i="18"/>
  <c r="F2210" i="18"/>
  <c r="G2210" i="18"/>
  <c r="H2210" i="18"/>
  <c r="I2210" i="18"/>
  <c r="J2210" i="18"/>
  <c r="K2210" i="18"/>
  <c r="L2210" i="18"/>
  <c r="B2211" i="18"/>
  <c r="C2211" i="18"/>
  <c r="D2211" i="18"/>
  <c r="E2211" i="18"/>
  <c r="F2211" i="18"/>
  <c r="G2211" i="18"/>
  <c r="H2211" i="18"/>
  <c r="I2211" i="18"/>
  <c r="J2211" i="18"/>
  <c r="K2211" i="18"/>
  <c r="L2211" i="18"/>
  <c r="B2212" i="18"/>
  <c r="C2212" i="18"/>
  <c r="D2212" i="18"/>
  <c r="E2212" i="18"/>
  <c r="F2212" i="18"/>
  <c r="G2212" i="18"/>
  <c r="H2212" i="18"/>
  <c r="I2212" i="18"/>
  <c r="J2212" i="18"/>
  <c r="K2212" i="18"/>
  <c r="L2212" i="18"/>
  <c r="B2213" i="18"/>
  <c r="C2213" i="18"/>
  <c r="D2213" i="18"/>
  <c r="E2213" i="18"/>
  <c r="F2213" i="18"/>
  <c r="G2213" i="18"/>
  <c r="H2213" i="18"/>
  <c r="I2213" i="18"/>
  <c r="J2213" i="18"/>
  <c r="K2213" i="18"/>
  <c r="L2213" i="18"/>
  <c r="B2214" i="18"/>
  <c r="C2214" i="18"/>
  <c r="D2214" i="18"/>
  <c r="E2214" i="18"/>
  <c r="F2214" i="18"/>
  <c r="G2214" i="18"/>
  <c r="H2214" i="18"/>
  <c r="I2214" i="18"/>
  <c r="J2214" i="18"/>
  <c r="K2214" i="18"/>
  <c r="L2214" i="18"/>
  <c r="B2215" i="18"/>
  <c r="C2215" i="18"/>
  <c r="D2215" i="18"/>
  <c r="E2215" i="18"/>
  <c r="F2215" i="18"/>
  <c r="G2215" i="18"/>
  <c r="H2215" i="18"/>
  <c r="I2215" i="18"/>
  <c r="J2215" i="18"/>
  <c r="K2215" i="18"/>
  <c r="L2215" i="18"/>
  <c r="B2216" i="18"/>
  <c r="C2216" i="18"/>
  <c r="D2216" i="18"/>
  <c r="E2216" i="18"/>
  <c r="F2216" i="18"/>
  <c r="G2216" i="18"/>
  <c r="H2216" i="18"/>
  <c r="I2216" i="18"/>
  <c r="J2216" i="18"/>
  <c r="K2216" i="18"/>
  <c r="L2216" i="18"/>
  <c r="B2217" i="18"/>
  <c r="C2217" i="18"/>
  <c r="D2217" i="18"/>
  <c r="E2217" i="18"/>
  <c r="F2217" i="18"/>
  <c r="G2217" i="18"/>
  <c r="H2217" i="18"/>
  <c r="I2217" i="18"/>
  <c r="J2217" i="18"/>
  <c r="K2217" i="18"/>
  <c r="L2217" i="18"/>
  <c r="B2218" i="18"/>
  <c r="C2218" i="18"/>
  <c r="D2218" i="18"/>
  <c r="E2218" i="18"/>
  <c r="F2218" i="18"/>
  <c r="G2218" i="18"/>
  <c r="H2218" i="18"/>
  <c r="I2218" i="18"/>
  <c r="J2218" i="18"/>
  <c r="K2218" i="18"/>
  <c r="L2218" i="18"/>
  <c r="B2219" i="18"/>
  <c r="C2219" i="18"/>
  <c r="D2219" i="18"/>
  <c r="E2219" i="18"/>
  <c r="F2219" i="18"/>
  <c r="G2219" i="18"/>
  <c r="H2219" i="18"/>
  <c r="I2219" i="18"/>
  <c r="J2219" i="18"/>
  <c r="K2219" i="18"/>
  <c r="L2219" i="18"/>
  <c r="B2220" i="18"/>
  <c r="C2220" i="18"/>
  <c r="D2220" i="18"/>
  <c r="E2220" i="18"/>
  <c r="F2220" i="18"/>
  <c r="G2220" i="18"/>
  <c r="H2220" i="18"/>
  <c r="I2220" i="18"/>
  <c r="J2220" i="18"/>
  <c r="K2220" i="18"/>
  <c r="L2220" i="18"/>
  <c r="B2221" i="18"/>
  <c r="C2221" i="18"/>
  <c r="D2221" i="18"/>
  <c r="E2221" i="18"/>
  <c r="F2221" i="18"/>
  <c r="G2221" i="18"/>
  <c r="H2221" i="18"/>
  <c r="I2221" i="18"/>
  <c r="J2221" i="18"/>
  <c r="K2221" i="18"/>
  <c r="L2221" i="18"/>
  <c r="B2222" i="18"/>
  <c r="C2222" i="18"/>
  <c r="D2222" i="18"/>
  <c r="E2222" i="18"/>
  <c r="F2222" i="18"/>
  <c r="G2222" i="18"/>
  <c r="H2222" i="18"/>
  <c r="I2222" i="18"/>
  <c r="J2222" i="18"/>
  <c r="K2222" i="18"/>
  <c r="L2222" i="18"/>
  <c r="B2223" i="18"/>
  <c r="C2223" i="18"/>
  <c r="D2223" i="18"/>
  <c r="E2223" i="18"/>
  <c r="F2223" i="18"/>
  <c r="G2223" i="18"/>
  <c r="H2223" i="18"/>
  <c r="I2223" i="18"/>
  <c r="J2223" i="18"/>
  <c r="K2223" i="18"/>
  <c r="L2223" i="18"/>
  <c r="B2224" i="18"/>
  <c r="C2224" i="18"/>
  <c r="D2224" i="18"/>
  <c r="E2224" i="18"/>
  <c r="F2224" i="18"/>
  <c r="G2224" i="18"/>
  <c r="H2224" i="18"/>
  <c r="I2224" i="18"/>
  <c r="J2224" i="18"/>
  <c r="K2224" i="18"/>
  <c r="L2224" i="18"/>
  <c r="B2225" i="18"/>
  <c r="C2225" i="18"/>
  <c r="D2225" i="18"/>
  <c r="E2225" i="18"/>
  <c r="F2225" i="18"/>
  <c r="G2225" i="18"/>
  <c r="H2225" i="18"/>
  <c r="I2225" i="18"/>
  <c r="J2225" i="18"/>
  <c r="K2225" i="18"/>
  <c r="L2225" i="18"/>
  <c r="B2226" i="18"/>
  <c r="C2226" i="18"/>
  <c r="D2226" i="18"/>
  <c r="E2226" i="18"/>
  <c r="F2226" i="18"/>
  <c r="G2226" i="18"/>
  <c r="H2226" i="18"/>
  <c r="I2226" i="18"/>
  <c r="J2226" i="18"/>
  <c r="K2226" i="18"/>
  <c r="L2226" i="18"/>
  <c r="B2227" i="18"/>
  <c r="C2227" i="18"/>
  <c r="D2227" i="18"/>
  <c r="E2227" i="18"/>
  <c r="F2227" i="18"/>
  <c r="G2227" i="18"/>
  <c r="H2227" i="18"/>
  <c r="I2227" i="18"/>
  <c r="J2227" i="18"/>
  <c r="K2227" i="18"/>
  <c r="L2227" i="18"/>
  <c r="B2228" i="18"/>
  <c r="C2228" i="18"/>
  <c r="D2228" i="18"/>
  <c r="E2228" i="18"/>
  <c r="F2228" i="18"/>
  <c r="G2228" i="18"/>
  <c r="H2228" i="18"/>
  <c r="I2228" i="18"/>
  <c r="J2228" i="18"/>
  <c r="K2228" i="18"/>
  <c r="L2228" i="18"/>
  <c r="B2229" i="18"/>
  <c r="C2229" i="18"/>
  <c r="D2229" i="18"/>
  <c r="E2229" i="18"/>
  <c r="F2229" i="18"/>
  <c r="G2229" i="18"/>
  <c r="H2229" i="18"/>
  <c r="I2229" i="18"/>
  <c r="J2229" i="18"/>
  <c r="K2229" i="18"/>
  <c r="L2229" i="18"/>
  <c r="B2230" i="18"/>
  <c r="C2230" i="18"/>
  <c r="D2230" i="18"/>
  <c r="E2230" i="18"/>
  <c r="F2230" i="18"/>
  <c r="G2230" i="18"/>
  <c r="H2230" i="18"/>
  <c r="I2230" i="18"/>
  <c r="J2230" i="18"/>
  <c r="K2230" i="18"/>
  <c r="L2230" i="18"/>
  <c r="B2231" i="18"/>
  <c r="C2231" i="18"/>
  <c r="D2231" i="18"/>
  <c r="E2231" i="18"/>
  <c r="F2231" i="18"/>
  <c r="G2231" i="18"/>
  <c r="H2231" i="18"/>
  <c r="I2231" i="18"/>
  <c r="J2231" i="18"/>
  <c r="K2231" i="18"/>
  <c r="L2231" i="18"/>
  <c r="B2232" i="18"/>
  <c r="C2232" i="18"/>
  <c r="D2232" i="18"/>
  <c r="E2232" i="18"/>
  <c r="F2232" i="18"/>
  <c r="G2232" i="18"/>
  <c r="H2232" i="18"/>
  <c r="I2232" i="18"/>
  <c r="J2232" i="18"/>
  <c r="K2232" i="18"/>
  <c r="L2232" i="18"/>
  <c r="B2233" i="18"/>
  <c r="C2233" i="18"/>
  <c r="D2233" i="18"/>
  <c r="E2233" i="18"/>
  <c r="F2233" i="18"/>
  <c r="G2233" i="18"/>
  <c r="H2233" i="18"/>
  <c r="I2233" i="18"/>
  <c r="J2233" i="18"/>
  <c r="K2233" i="18"/>
  <c r="L2233" i="18"/>
  <c r="B2234" i="18"/>
  <c r="C2234" i="18"/>
  <c r="D2234" i="18"/>
  <c r="E2234" i="18"/>
  <c r="F2234" i="18"/>
  <c r="G2234" i="18"/>
  <c r="H2234" i="18"/>
  <c r="I2234" i="18"/>
  <c r="J2234" i="18"/>
  <c r="K2234" i="18"/>
  <c r="L2234" i="18"/>
  <c r="B2235" i="18"/>
  <c r="C2235" i="18"/>
  <c r="D2235" i="18"/>
  <c r="E2235" i="18"/>
  <c r="F2235" i="18"/>
  <c r="G2235" i="18"/>
  <c r="H2235" i="18"/>
  <c r="I2235" i="18"/>
  <c r="J2235" i="18"/>
  <c r="K2235" i="18"/>
  <c r="L2235" i="18"/>
  <c r="B2236" i="18"/>
  <c r="C2236" i="18"/>
  <c r="D2236" i="18"/>
  <c r="E2236" i="18"/>
  <c r="F2236" i="18"/>
  <c r="G2236" i="18"/>
  <c r="H2236" i="18"/>
  <c r="I2236" i="18"/>
  <c r="J2236" i="18"/>
  <c r="K2236" i="18"/>
  <c r="L2236" i="18"/>
  <c r="B2237" i="18"/>
  <c r="C2237" i="18"/>
  <c r="D2237" i="18"/>
  <c r="E2237" i="18"/>
  <c r="F2237" i="18"/>
  <c r="G2237" i="18"/>
  <c r="H2237" i="18"/>
  <c r="I2237" i="18"/>
  <c r="J2237" i="18"/>
  <c r="K2237" i="18"/>
  <c r="L2237" i="18"/>
  <c r="B2238" i="18"/>
  <c r="C2238" i="18"/>
  <c r="D2238" i="18"/>
  <c r="E2238" i="18"/>
  <c r="F2238" i="18"/>
  <c r="G2238" i="18"/>
  <c r="H2238" i="18"/>
  <c r="I2238" i="18"/>
  <c r="J2238" i="18"/>
  <c r="K2238" i="18"/>
  <c r="L2238" i="18"/>
  <c r="B2239" i="18"/>
  <c r="C2239" i="18"/>
  <c r="D2239" i="18"/>
  <c r="E2239" i="18"/>
  <c r="F2239" i="18"/>
  <c r="G2239" i="18"/>
  <c r="H2239" i="18"/>
  <c r="I2239" i="18"/>
  <c r="J2239" i="18"/>
  <c r="K2239" i="18"/>
  <c r="L2239" i="18"/>
  <c r="B2240" i="18"/>
  <c r="C2240" i="18"/>
  <c r="D2240" i="18"/>
  <c r="E2240" i="18"/>
  <c r="F2240" i="18"/>
  <c r="G2240" i="18"/>
  <c r="H2240" i="18"/>
  <c r="I2240" i="18"/>
  <c r="J2240" i="18"/>
  <c r="K2240" i="18"/>
  <c r="L2240" i="18"/>
  <c r="B2241" i="18"/>
  <c r="C2241" i="18"/>
  <c r="D2241" i="18"/>
  <c r="E2241" i="18"/>
  <c r="F2241" i="18"/>
  <c r="G2241" i="18"/>
  <c r="H2241" i="18"/>
  <c r="I2241" i="18"/>
  <c r="J2241" i="18"/>
  <c r="K2241" i="18"/>
  <c r="L2241" i="18"/>
  <c r="B2242" i="18"/>
  <c r="C2242" i="18"/>
  <c r="D2242" i="18"/>
  <c r="E2242" i="18"/>
  <c r="F2242" i="18"/>
  <c r="G2242" i="18"/>
  <c r="H2242" i="18"/>
  <c r="I2242" i="18"/>
  <c r="J2242" i="18"/>
  <c r="K2242" i="18"/>
  <c r="L2242" i="18"/>
  <c r="B2243" i="18"/>
  <c r="C2243" i="18"/>
  <c r="D2243" i="18"/>
  <c r="E2243" i="18"/>
  <c r="F2243" i="18"/>
  <c r="G2243" i="18"/>
  <c r="H2243" i="18"/>
  <c r="I2243" i="18"/>
  <c r="J2243" i="18"/>
  <c r="K2243" i="18"/>
  <c r="L2243" i="18"/>
  <c r="B2244" i="18"/>
  <c r="C2244" i="18"/>
  <c r="D2244" i="18"/>
  <c r="E2244" i="18"/>
  <c r="F2244" i="18"/>
  <c r="G2244" i="18"/>
  <c r="H2244" i="18"/>
  <c r="I2244" i="18"/>
  <c r="J2244" i="18"/>
  <c r="K2244" i="18"/>
  <c r="L2244" i="18"/>
  <c r="B2245" i="18"/>
  <c r="C2245" i="18"/>
  <c r="D2245" i="18"/>
  <c r="E2245" i="18"/>
  <c r="F2245" i="18"/>
  <c r="G2245" i="18"/>
  <c r="H2245" i="18"/>
  <c r="I2245" i="18"/>
  <c r="J2245" i="18"/>
  <c r="K2245" i="18"/>
  <c r="L2245" i="18"/>
  <c r="B2246" i="18"/>
  <c r="C2246" i="18"/>
  <c r="D2246" i="18"/>
  <c r="E2246" i="18"/>
  <c r="F2246" i="18"/>
  <c r="G2246" i="18"/>
  <c r="H2246" i="18"/>
  <c r="I2246" i="18"/>
  <c r="J2246" i="18"/>
  <c r="K2246" i="18"/>
  <c r="L2246" i="18"/>
  <c r="B2247" i="18"/>
  <c r="C2247" i="18"/>
  <c r="D2247" i="18"/>
  <c r="E2247" i="18"/>
  <c r="F2247" i="18"/>
  <c r="G2247" i="18"/>
  <c r="H2247" i="18"/>
  <c r="I2247" i="18"/>
  <c r="J2247" i="18"/>
  <c r="K2247" i="18"/>
  <c r="L2247" i="18"/>
  <c r="B2248" i="18"/>
  <c r="C2248" i="18"/>
  <c r="D2248" i="18"/>
  <c r="E2248" i="18"/>
  <c r="F2248" i="18"/>
  <c r="G2248" i="18"/>
  <c r="H2248" i="18"/>
  <c r="I2248" i="18"/>
  <c r="J2248" i="18"/>
  <c r="K2248" i="18"/>
  <c r="L2248" i="18"/>
  <c r="B2249" i="18"/>
  <c r="C2249" i="18"/>
  <c r="D2249" i="18"/>
  <c r="E2249" i="18"/>
  <c r="F2249" i="18"/>
  <c r="G2249" i="18"/>
  <c r="H2249" i="18"/>
  <c r="I2249" i="18"/>
  <c r="J2249" i="18"/>
  <c r="K2249" i="18"/>
  <c r="L2249" i="18"/>
  <c r="B2250" i="18"/>
  <c r="C2250" i="18"/>
  <c r="D2250" i="18"/>
  <c r="E2250" i="18"/>
  <c r="F2250" i="18"/>
  <c r="G2250" i="18"/>
  <c r="H2250" i="18"/>
  <c r="I2250" i="18"/>
  <c r="J2250" i="18"/>
  <c r="K2250" i="18"/>
  <c r="L2250" i="18"/>
  <c r="B2251" i="18"/>
  <c r="C2251" i="18"/>
  <c r="D2251" i="18"/>
  <c r="E2251" i="18"/>
  <c r="F2251" i="18"/>
  <c r="G2251" i="18"/>
  <c r="H2251" i="18"/>
  <c r="I2251" i="18"/>
  <c r="J2251" i="18"/>
  <c r="K2251" i="18"/>
  <c r="L2251" i="18"/>
  <c r="B2252" i="18"/>
  <c r="C2252" i="18"/>
  <c r="D2252" i="18"/>
  <c r="E2252" i="18"/>
  <c r="F2252" i="18"/>
  <c r="G2252" i="18"/>
  <c r="H2252" i="18"/>
  <c r="I2252" i="18"/>
  <c r="J2252" i="18"/>
  <c r="K2252" i="18"/>
  <c r="L2252" i="18"/>
  <c r="B2253" i="18"/>
  <c r="C2253" i="18"/>
  <c r="D2253" i="18"/>
  <c r="E2253" i="18"/>
  <c r="F2253" i="18"/>
  <c r="G2253" i="18"/>
  <c r="H2253" i="18"/>
  <c r="I2253" i="18"/>
  <c r="J2253" i="18"/>
  <c r="K2253" i="18"/>
  <c r="L2253" i="18"/>
  <c r="B2254" i="18"/>
  <c r="C2254" i="18"/>
  <c r="D2254" i="18"/>
  <c r="E2254" i="18"/>
  <c r="F2254" i="18"/>
  <c r="G2254" i="18"/>
  <c r="H2254" i="18"/>
  <c r="I2254" i="18"/>
  <c r="J2254" i="18"/>
  <c r="K2254" i="18"/>
  <c r="L2254" i="18"/>
  <c r="B2255" i="18"/>
  <c r="C2255" i="18"/>
  <c r="D2255" i="18"/>
  <c r="E2255" i="18"/>
  <c r="F2255" i="18"/>
  <c r="G2255" i="18"/>
  <c r="H2255" i="18"/>
  <c r="I2255" i="18"/>
  <c r="J2255" i="18"/>
  <c r="K2255" i="18"/>
  <c r="L2255" i="18"/>
  <c r="B2256" i="18"/>
  <c r="C2256" i="18"/>
  <c r="D2256" i="18"/>
  <c r="E2256" i="18"/>
  <c r="F2256" i="18"/>
  <c r="G2256" i="18"/>
  <c r="H2256" i="18"/>
  <c r="I2256" i="18"/>
  <c r="J2256" i="18"/>
  <c r="K2256" i="18"/>
  <c r="L2256" i="18"/>
  <c r="B2257" i="18"/>
  <c r="C2257" i="18"/>
  <c r="D2257" i="18"/>
  <c r="E2257" i="18"/>
  <c r="F2257" i="18"/>
  <c r="G2257" i="18"/>
  <c r="H2257" i="18"/>
  <c r="I2257" i="18"/>
  <c r="J2257" i="18"/>
  <c r="K2257" i="18"/>
  <c r="L2257" i="18"/>
  <c r="B2258" i="18"/>
  <c r="C2258" i="18"/>
  <c r="D2258" i="18"/>
  <c r="E2258" i="18"/>
  <c r="F2258" i="18"/>
  <c r="G2258" i="18"/>
  <c r="H2258" i="18"/>
  <c r="I2258" i="18"/>
  <c r="J2258" i="18"/>
  <c r="K2258" i="18"/>
  <c r="L2258" i="18"/>
  <c r="B2259" i="18"/>
  <c r="C2259" i="18"/>
  <c r="D2259" i="18"/>
  <c r="E2259" i="18"/>
  <c r="F2259" i="18"/>
  <c r="G2259" i="18"/>
  <c r="H2259" i="18"/>
  <c r="I2259" i="18"/>
  <c r="J2259" i="18"/>
  <c r="K2259" i="18"/>
  <c r="L2259" i="18"/>
  <c r="B2260" i="18"/>
  <c r="C2260" i="18"/>
  <c r="D2260" i="18"/>
  <c r="E2260" i="18"/>
  <c r="F2260" i="18"/>
  <c r="G2260" i="18"/>
  <c r="H2260" i="18"/>
  <c r="I2260" i="18"/>
  <c r="J2260" i="18"/>
  <c r="K2260" i="18"/>
  <c r="L2260" i="18"/>
  <c r="B2261" i="18"/>
  <c r="C2261" i="18"/>
  <c r="D2261" i="18"/>
  <c r="E2261" i="18"/>
  <c r="F2261" i="18"/>
  <c r="G2261" i="18"/>
  <c r="H2261" i="18"/>
  <c r="I2261" i="18"/>
  <c r="J2261" i="18"/>
  <c r="K2261" i="18"/>
  <c r="L2261" i="18"/>
  <c r="B2262" i="18"/>
  <c r="C2262" i="18"/>
  <c r="D2262" i="18"/>
  <c r="E2262" i="18"/>
  <c r="F2262" i="18"/>
  <c r="G2262" i="18"/>
  <c r="H2262" i="18"/>
  <c r="I2262" i="18"/>
  <c r="J2262" i="18"/>
  <c r="K2262" i="18"/>
  <c r="L2262" i="18"/>
  <c r="B2263" i="18"/>
  <c r="C2263" i="18"/>
  <c r="D2263" i="18"/>
  <c r="E2263" i="18"/>
  <c r="F2263" i="18"/>
  <c r="G2263" i="18"/>
  <c r="H2263" i="18"/>
  <c r="I2263" i="18"/>
  <c r="J2263" i="18"/>
  <c r="K2263" i="18"/>
  <c r="L2263" i="18"/>
  <c r="B2264" i="18"/>
  <c r="C2264" i="18"/>
  <c r="D2264" i="18"/>
  <c r="E2264" i="18"/>
  <c r="F2264" i="18"/>
  <c r="G2264" i="18"/>
  <c r="H2264" i="18"/>
  <c r="I2264" i="18"/>
  <c r="J2264" i="18"/>
  <c r="K2264" i="18"/>
  <c r="L2264" i="18"/>
  <c r="B2265" i="18"/>
  <c r="C2265" i="18"/>
  <c r="D2265" i="18"/>
  <c r="E2265" i="18"/>
  <c r="F2265" i="18"/>
  <c r="G2265" i="18"/>
  <c r="H2265" i="18"/>
  <c r="I2265" i="18"/>
  <c r="J2265" i="18"/>
  <c r="K2265" i="18"/>
  <c r="L2265" i="18"/>
  <c r="B2266" i="18"/>
  <c r="C2266" i="18"/>
  <c r="D2266" i="18"/>
  <c r="E2266" i="18"/>
  <c r="F2266" i="18"/>
  <c r="G2266" i="18"/>
  <c r="H2266" i="18"/>
  <c r="I2266" i="18"/>
  <c r="J2266" i="18"/>
  <c r="K2266" i="18"/>
  <c r="L2266" i="18"/>
  <c r="B2267" i="18"/>
  <c r="C2267" i="18"/>
  <c r="D2267" i="18"/>
  <c r="E2267" i="18"/>
  <c r="F2267" i="18"/>
  <c r="G2267" i="18"/>
  <c r="H2267" i="18"/>
  <c r="I2267" i="18"/>
  <c r="J2267" i="18"/>
  <c r="K2267" i="18"/>
  <c r="L2267" i="18"/>
  <c r="B2268" i="18"/>
  <c r="C2268" i="18"/>
  <c r="D2268" i="18"/>
  <c r="E2268" i="18"/>
  <c r="F2268" i="18"/>
  <c r="G2268" i="18"/>
  <c r="H2268" i="18"/>
  <c r="I2268" i="18"/>
  <c r="J2268" i="18"/>
  <c r="K2268" i="18"/>
  <c r="L2268" i="18"/>
  <c r="B2269" i="18"/>
  <c r="C2269" i="18"/>
  <c r="D2269" i="18"/>
  <c r="E2269" i="18"/>
  <c r="F2269" i="18"/>
  <c r="G2269" i="18"/>
  <c r="H2269" i="18"/>
  <c r="I2269" i="18"/>
  <c r="J2269" i="18"/>
  <c r="K2269" i="18"/>
  <c r="L2269" i="18"/>
  <c r="B2270" i="18"/>
  <c r="C2270" i="18"/>
  <c r="D2270" i="18"/>
  <c r="E2270" i="18"/>
  <c r="F2270" i="18"/>
  <c r="G2270" i="18"/>
  <c r="H2270" i="18"/>
  <c r="I2270" i="18"/>
  <c r="J2270" i="18"/>
  <c r="K2270" i="18"/>
  <c r="L2270" i="18"/>
  <c r="B2271" i="18"/>
  <c r="C2271" i="18"/>
  <c r="D2271" i="18"/>
  <c r="E2271" i="18"/>
  <c r="F2271" i="18"/>
  <c r="G2271" i="18"/>
  <c r="H2271" i="18"/>
  <c r="I2271" i="18"/>
  <c r="J2271" i="18"/>
  <c r="K2271" i="18"/>
  <c r="L2271" i="18"/>
  <c r="B2272" i="18"/>
  <c r="C2272" i="18"/>
  <c r="D2272" i="18"/>
  <c r="E2272" i="18"/>
  <c r="F2272" i="18"/>
  <c r="G2272" i="18"/>
  <c r="H2272" i="18"/>
  <c r="I2272" i="18"/>
  <c r="J2272" i="18"/>
  <c r="K2272" i="18"/>
  <c r="L2272" i="18"/>
  <c r="B2273" i="18"/>
  <c r="C2273" i="18"/>
  <c r="D2273" i="18"/>
  <c r="E2273" i="18"/>
  <c r="F2273" i="18"/>
  <c r="G2273" i="18"/>
  <c r="H2273" i="18"/>
  <c r="I2273" i="18"/>
  <c r="J2273" i="18"/>
  <c r="K2273" i="18"/>
  <c r="L2273" i="18"/>
  <c r="B2274" i="18"/>
  <c r="C2274" i="18"/>
  <c r="D2274" i="18"/>
  <c r="E2274" i="18"/>
  <c r="F2274" i="18"/>
  <c r="G2274" i="18"/>
  <c r="H2274" i="18"/>
  <c r="I2274" i="18"/>
  <c r="J2274" i="18"/>
  <c r="K2274" i="18"/>
  <c r="L2274" i="18"/>
  <c r="B2275" i="18"/>
  <c r="C2275" i="18"/>
  <c r="D2275" i="18"/>
  <c r="E2275" i="18"/>
  <c r="F2275" i="18"/>
  <c r="G2275" i="18"/>
  <c r="H2275" i="18"/>
  <c r="I2275" i="18"/>
  <c r="J2275" i="18"/>
  <c r="K2275" i="18"/>
  <c r="L2275" i="18"/>
  <c r="B2276" i="18"/>
  <c r="C2276" i="18"/>
  <c r="D2276" i="18"/>
  <c r="E2276" i="18"/>
  <c r="F2276" i="18"/>
  <c r="G2276" i="18"/>
  <c r="H2276" i="18"/>
  <c r="I2276" i="18"/>
  <c r="J2276" i="18"/>
  <c r="K2276" i="18"/>
  <c r="L2276" i="18"/>
  <c r="B2277" i="18"/>
  <c r="C2277" i="18"/>
  <c r="D2277" i="18"/>
  <c r="E2277" i="18"/>
  <c r="F2277" i="18"/>
  <c r="G2277" i="18"/>
  <c r="H2277" i="18"/>
  <c r="I2277" i="18"/>
  <c r="J2277" i="18"/>
  <c r="K2277" i="18"/>
  <c r="L2277" i="18"/>
  <c r="B2278" i="18"/>
  <c r="C2278" i="18"/>
  <c r="D2278" i="18"/>
  <c r="E2278" i="18"/>
  <c r="F2278" i="18"/>
  <c r="G2278" i="18"/>
  <c r="H2278" i="18"/>
  <c r="I2278" i="18"/>
  <c r="J2278" i="18"/>
  <c r="K2278" i="18"/>
  <c r="L2278" i="18"/>
  <c r="B2279" i="18"/>
  <c r="C2279" i="18"/>
  <c r="D2279" i="18"/>
  <c r="E2279" i="18"/>
  <c r="F2279" i="18"/>
  <c r="G2279" i="18"/>
  <c r="H2279" i="18"/>
  <c r="I2279" i="18"/>
  <c r="J2279" i="18"/>
  <c r="K2279" i="18"/>
  <c r="L2279" i="18"/>
  <c r="B2280" i="18"/>
  <c r="C2280" i="18"/>
  <c r="D2280" i="18"/>
  <c r="E2280" i="18"/>
  <c r="F2280" i="18"/>
  <c r="G2280" i="18"/>
  <c r="H2280" i="18"/>
  <c r="I2280" i="18"/>
  <c r="J2280" i="18"/>
  <c r="K2280" i="18"/>
  <c r="L2280" i="18"/>
  <c r="B2281" i="18"/>
  <c r="C2281" i="18"/>
  <c r="D2281" i="18"/>
  <c r="E2281" i="18"/>
  <c r="F2281" i="18"/>
  <c r="G2281" i="18"/>
  <c r="H2281" i="18"/>
  <c r="I2281" i="18"/>
  <c r="J2281" i="18"/>
  <c r="K2281" i="18"/>
  <c r="L2281" i="18"/>
  <c r="B2282" i="18"/>
  <c r="C2282" i="18"/>
  <c r="D2282" i="18"/>
  <c r="E2282" i="18"/>
  <c r="F2282" i="18"/>
  <c r="G2282" i="18"/>
  <c r="H2282" i="18"/>
  <c r="I2282" i="18"/>
  <c r="J2282" i="18"/>
  <c r="K2282" i="18"/>
  <c r="L2282" i="18"/>
  <c r="B2283" i="18"/>
  <c r="C2283" i="18"/>
  <c r="D2283" i="18"/>
  <c r="E2283" i="18"/>
  <c r="F2283" i="18"/>
  <c r="G2283" i="18"/>
  <c r="H2283" i="18"/>
  <c r="I2283" i="18"/>
  <c r="J2283" i="18"/>
  <c r="K2283" i="18"/>
  <c r="L2283" i="18"/>
  <c r="B2284" i="18"/>
  <c r="C2284" i="18"/>
  <c r="D2284" i="18"/>
  <c r="E2284" i="18"/>
  <c r="F2284" i="18"/>
  <c r="G2284" i="18"/>
  <c r="H2284" i="18"/>
  <c r="I2284" i="18"/>
  <c r="J2284" i="18"/>
  <c r="K2284" i="18"/>
  <c r="L2284" i="18"/>
  <c r="B2285" i="18"/>
  <c r="C2285" i="18"/>
  <c r="D2285" i="18"/>
  <c r="E2285" i="18"/>
  <c r="F2285" i="18"/>
  <c r="G2285" i="18"/>
  <c r="H2285" i="18"/>
  <c r="I2285" i="18"/>
  <c r="J2285" i="18"/>
  <c r="K2285" i="18"/>
  <c r="L2285" i="18"/>
  <c r="B2286" i="18"/>
  <c r="C2286" i="18"/>
  <c r="D2286" i="18"/>
  <c r="E2286" i="18"/>
  <c r="F2286" i="18"/>
  <c r="G2286" i="18"/>
  <c r="H2286" i="18"/>
  <c r="I2286" i="18"/>
  <c r="J2286" i="18"/>
  <c r="K2286" i="18"/>
  <c r="L2286" i="18"/>
  <c r="B2287" i="18"/>
  <c r="C2287" i="18"/>
  <c r="D2287" i="18"/>
  <c r="E2287" i="18"/>
  <c r="F2287" i="18"/>
  <c r="G2287" i="18"/>
  <c r="H2287" i="18"/>
  <c r="I2287" i="18"/>
  <c r="J2287" i="18"/>
  <c r="K2287" i="18"/>
  <c r="L2287" i="18"/>
  <c r="B2288" i="18"/>
  <c r="C2288" i="18"/>
  <c r="D2288" i="18"/>
  <c r="E2288" i="18"/>
  <c r="F2288" i="18"/>
  <c r="G2288" i="18"/>
  <c r="H2288" i="18"/>
  <c r="I2288" i="18"/>
  <c r="J2288" i="18"/>
  <c r="K2288" i="18"/>
  <c r="L2288" i="18"/>
  <c r="B2289" i="18"/>
  <c r="C2289" i="18"/>
  <c r="D2289" i="18"/>
  <c r="E2289" i="18"/>
  <c r="F2289" i="18"/>
  <c r="G2289" i="18"/>
  <c r="H2289" i="18"/>
  <c r="I2289" i="18"/>
  <c r="J2289" i="18"/>
  <c r="K2289" i="18"/>
  <c r="L2289" i="18"/>
  <c r="B2290" i="18"/>
  <c r="C2290" i="18"/>
  <c r="D2290" i="18"/>
  <c r="E2290" i="18"/>
  <c r="F2290" i="18"/>
  <c r="G2290" i="18"/>
  <c r="H2290" i="18"/>
  <c r="I2290" i="18"/>
  <c r="J2290" i="18"/>
  <c r="K2290" i="18"/>
  <c r="L2290" i="18"/>
  <c r="B2291" i="18"/>
  <c r="C2291" i="18"/>
  <c r="D2291" i="18"/>
  <c r="E2291" i="18"/>
  <c r="F2291" i="18"/>
  <c r="G2291" i="18"/>
  <c r="H2291" i="18"/>
  <c r="I2291" i="18"/>
  <c r="J2291" i="18"/>
  <c r="K2291" i="18"/>
  <c r="L2291" i="18"/>
  <c r="B2292" i="18"/>
  <c r="C2292" i="18"/>
  <c r="D2292" i="18"/>
  <c r="E2292" i="18"/>
  <c r="F2292" i="18"/>
  <c r="G2292" i="18"/>
  <c r="H2292" i="18"/>
  <c r="I2292" i="18"/>
  <c r="J2292" i="18"/>
  <c r="K2292" i="18"/>
  <c r="L2292" i="18"/>
  <c r="B2293" i="18"/>
  <c r="C2293" i="18"/>
  <c r="D2293" i="18"/>
  <c r="E2293" i="18"/>
  <c r="F2293" i="18"/>
  <c r="G2293" i="18"/>
  <c r="H2293" i="18"/>
  <c r="I2293" i="18"/>
  <c r="J2293" i="18"/>
  <c r="K2293" i="18"/>
  <c r="L2293" i="18"/>
  <c r="B2294" i="18"/>
  <c r="C2294" i="18"/>
  <c r="D2294" i="18"/>
  <c r="E2294" i="18"/>
  <c r="F2294" i="18"/>
  <c r="G2294" i="18"/>
  <c r="H2294" i="18"/>
  <c r="I2294" i="18"/>
  <c r="J2294" i="18"/>
  <c r="K2294" i="18"/>
  <c r="L2294" i="18"/>
  <c r="B2295" i="18"/>
  <c r="C2295" i="18"/>
  <c r="D2295" i="18"/>
  <c r="E2295" i="18"/>
  <c r="F2295" i="18"/>
  <c r="G2295" i="18"/>
  <c r="H2295" i="18"/>
  <c r="I2295" i="18"/>
  <c r="J2295" i="18"/>
  <c r="K2295" i="18"/>
  <c r="L2295" i="18"/>
  <c r="B2296" i="18"/>
  <c r="C2296" i="18"/>
  <c r="D2296" i="18"/>
  <c r="E2296" i="18"/>
  <c r="F2296" i="18"/>
  <c r="G2296" i="18"/>
  <c r="H2296" i="18"/>
  <c r="I2296" i="18"/>
  <c r="J2296" i="18"/>
  <c r="K2296" i="18"/>
  <c r="L2296" i="18"/>
  <c r="B2297" i="18"/>
  <c r="C2297" i="18"/>
  <c r="D2297" i="18"/>
  <c r="E2297" i="18"/>
  <c r="F2297" i="18"/>
  <c r="G2297" i="18"/>
  <c r="H2297" i="18"/>
  <c r="I2297" i="18"/>
  <c r="J2297" i="18"/>
  <c r="K2297" i="18"/>
  <c r="L2297" i="18"/>
  <c r="B2298" i="18"/>
  <c r="C2298" i="18"/>
  <c r="D2298" i="18"/>
  <c r="E2298" i="18"/>
  <c r="F2298" i="18"/>
  <c r="G2298" i="18"/>
  <c r="H2298" i="18"/>
  <c r="I2298" i="18"/>
  <c r="J2298" i="18"/>
  <c r="K2298" i="18"/>
  <c r="L2298" i="18"/>
  <c r="B2299" i="18"/>
  <c r="C2299" i="18"/>
  <c r="D2299" i="18"/>
  <c r="E2299" i="18"/>
  <c r="F2299" i="18"/>
  <c r="G2299" i="18"/>
  <c r="H2299" i="18"/>
  <c r="I2299" i="18"/>
  <c r="J2299" i="18"/>
  <c r="K2299" i="18"/>
  <c r="L2299" i="18"/>
  <c r="B2300" i="18"/>
  <c r="C2300" i="18"/>
  <c r="D2300" i="18"/>
  <c r="E2300" i="18"/>
  <c r="F2300" i="18"/>
  <c r="G2300" i="18"/>
  <c r="H2300" i="18"/>
  <c r="I2300" i="18"/>
  <c r="J2300" i="18"/>
  <c r="K2300" i="18"/>
  <c r="L2300" i="18"/>
  <c r="B2301" i="18"/>
  <c r="C2301" i="18"/>
  <c r="D2301" i="18"/>
  <c r="E2301" i="18"/>
  <c r="F2301" i="18"/>
  <c r="G2301" i="18"/>
  <c r="H2301" i="18"/>
  <c r="I2301" i="18"/>
  <c r="J2301" i="18"/>
  <c r="K2301" i="18"/>
  <c r="L2301" i="18"/>
  <c r="B2302" i="18"/>
  <c r="C2302" i="18"/>
  <c r="D2302" i="18"/>
  <c r="E2302" i="18"/>
  <c r="F2302" i="18"/>
  <c r="G2302" i="18"/>
  <c r="H2302" i="18"/>
  <c r="I2302" i="18"/>
  <c r="J2302" i="18"/>
  <c r="K2302" i="18"/>
  <c r="L2302" i="18"/>
  <c r="B2303" i="18"/>
  <c r="C2303" i="18"/>
  <c r="D2303" i="18"/>
  <c r="E2303" i="18"/>
  <c r="F2303" i="18"/>
  <c r="G2303" i="18"/>
  <c r="H2303" i="18"/>
  <c r="I2303" i="18"/>
  <c r="J2303" i="18"/>
  <c r="K2303" i="18"/>
  <c r="L2303" i="18"/>
  <c r="B2304" i="18"/>
  <c r="C2304" i="18"/>
  <c r="D2304" i="18"/>
  <c r="E2304" i="18"/>
  <c r="F2304" i="18"/>
  <c r="G2304" i="18"/>
  <c r="H2304" i="18"/>
  <c r="I2304" i="18"/>
  <c r="J2304" i="18"/>
  <c r="K2304" i="18"/>
  <c r="L2304" i="18"/>
  <c r="B2305" i="18"/>
  <c r="C2305" i="18"/>
  <c r="D2305" i="18"/>
  <c r="E2305" i="18"/>
  <c r="F2305" i="18"/>
  <c r="G2305" i="18"/>
  <c r="H2305" i="18"/>
  <c r="I2305" i="18"/>
  <c r="J2305" i="18"/>
  <c r="K2305" i="18"/>
  <c r="L2305" i="18"/>
  <c r="B2306" i="18"/>
  <c r="C2306" i="18"/>
  <c r="D2306" i="18"/>
  <c r="E2306" i="18"/>
  <c r="F2306" i="18"/>
  <c r="G2306" i="18"/>
  <c r="H2306" i="18"/>
  <c r="I2306" i="18"/>
  <c r="J2306" i="18"/>
  <c r="K2306" i="18"/>
  <c r="L2306" i="18"/>
  <c r="B2307" i="18"/>
  <c r="C2307" i="18"/>
  <c r="D2307" i="18"/>
  <c r="E2307" i="18"/>
  <c r="F2307" i="18"/>
  <c r="G2307" i="18"/>
  <c r="H2307" i="18"/>
  <c r="I2307" i="18"/>
  <c r="J2307" i="18"/>
  <c r="K2307" i="18"/>
  <c r="L2307" i="18"/>
  <c r="B2308" i="18"/>
  <c r="C2308" i="18"/>
  <c r="D2308" i="18"/>
  <c r="E2308" i="18"/>
  <c r="F2308" i="18"/>
  <c r="G2308" i="18"/>
  <c r="H2308" i="18"/>
  <c r="I2308" i="18"/>
  <c r="J2308" i="18"/>
  <c r="K2308" i="18"/>
  <c r="L2308" i="18"/>
  <c r="B2309" i="18"/>
  <c r="C2309" i="18"/>
  <c r="D2309" i="18"/>
  <c r="E2309" i="18"/>
  <c r="F2309" i="18"/>
  <c r="G2309" i="18"/>
  <c r="H2309" i="18"/>
  <c r="I2309" i="18"/>
  <c r="J2309" i="18"/>
  <c r="K2309" i="18"/>
  <c r="L2309" i="18"/>
  <c r="B2310" i="18"/>
  <c r="C2310" i="18"/>
  <c r="D2310" i="18"/>
  <c r="E2310" i="18"/>
  <c r="F2310" i="18"/>
  <c r="G2310" i="18"/>
  <c r="H2310" i="18"/>
  <c r="I2310" i="18"/>
  <c r="J2310" i="18"/>
  <c r="K2310" i="18"/>
  <c r="L2310" i="18"/>
  <c r="B2311" i="18"/>
  <c r="C2311" i="18"/>
  <c r="D2311" i="18"/>
  <c r="E2311" i="18"/>
  <c r="F2311" i="18"/>
  <c r="G2311" i="18"/>
  <c r="H2311" i="18"/>
  <c r="I2311" i="18"/>
  <c r="J2311" i="18"/>
  <c r="K2311" i="18"/>
  <c r="L2311" i="18"/>
  <c r="B2312" i="18"/>
  <c r="C2312" i="18"/>
  <c r="D2312" i="18"/>
  <c r="E2312" i="18"/>
  <c r="F2312" i="18"/>
  <c r="G2312" i="18"/>
  <c r="H2312" i="18"/>
  <c r="I2312" i="18"/>
  <c r="J2312" i="18"/>
  <c r="K2312" i="18"/>
  <c r="L2312" i="18"/>
  <c r="B2313" i="18"/>
  <c r="C2313" i="18"/>
  <c r="D2313" i="18"/>
  <c r="E2313" i="18"/>
  <c r="F2313" i="18"/>
  <c r="G2313" i="18"/>
  <c r="H2313" i="18"/>
  <c r="I2313" i="18"/>
  <c r="J2313" i="18"/>
  <c r="K2313" i="18"/>
  <c r="L2313" i="18"/>
  <c r="B2314" i="18"/>
  <c r="C2314" i="18"/>
  <c r="D2314" i="18"/>
  <c r="E2314" i="18"/>
  <c r="F2314" i="18"/>
  <c r="G2314" i="18"/>
  <c r="H2314" i="18"/>
  <c r="I2314" i="18"/>
  <c r="J2314" i="18"/>
  <c r="K2314" i="18"/>
  <c r="L2314" i="18"/>
  <c r="B2315" i="18"/>
  <c r="C2315" i="18"/>
  <c r="D2315" i="18"/>
  <c r="E2315" i="18"/>
  <c r="F2315" i="18"/>
  <c r="G2315" i="18"/>
  <c r="H2315" i="18"/>
  <c r="I2315" i="18"/>
  <c r="J2315" i="18"/>
  <c r="K2315" i="18"/>
  <c r="L2315" i="18"/>
  <c r="B2316" i="18"/>
  <c r="C2316" i="18"/>
  <c r="D2316" i="18"/>
  <c r="E2316" i="18"/>
  <c r="F2316" i="18"/>
  <c r="G2316" i="18"/>
  <c r="H2316" i="18"/>
  <c r="I2316" i="18"/>
  <c r="J2316" i="18"/>
  <c r="K2316" i="18"/>
  <c r="L2316" i="18"/>
  <c r="B2317" i="18"/>
  <c r="C2317" i="18"/>
  <c r="D2317" i="18"/>
  <c r="E2317" i="18"/>
  <c r="F2317" i="18"/>
  <c r="G2317" i="18"/>
  <c r="H2317" i="18"/>
  <c r="I2317" i="18"/>
  <c r="J2317" i="18"/>
  <c r="K2317" i="18"/>
  <c r="L2317" i="18"/>
  <c r="B2318" i="18"/>
  <c r="C2318" i="18"/>
  <c r="D2318" i="18"/>
  <c r="E2318" i="18"/>
  <c r="F2318" i="18"/>
  <c r="G2318" i="18"/>
  <c r="H2318" i="18"/>
  <c r="I2318" i="18"/>
  <c r="J2318" i="18"/>
  <c r="K2318" i="18"/>
  <c r="L2318" i="18"/>
  <c r="B2319" i="18"/>
  <c r="C2319" i="18"/>
  <c r="D2319" i="18"/>
  <c r="E2319" i="18"/>
  <c r="F2319" i="18"/>
  <c r="G2319" i="18"/>
  <c r="H2319" i="18"/>
  <c r="I2319" i="18"/>
  <c r="J2319" i="18"/>
  <c r="K2319" i="18"/>
  <c r="L2319" i="18"/>
  <c r="B2320" i="18"/>
  <c r="C2320" i="18"/>
  <c r="D2320" i="18"/>
  <c r="E2320" i="18"/>
  <c r="F2320" i="18"/>
  <c r="G2320" i="18"/>
  <c r="H2320" i="18"/>
  <c r="I2320" i="18"/>
  <c r="J2320" i="18"/>
  <c r="K2320" i="18"/>
  <c r="L2320" i="18"/>
  <c r="B2321" i="18"/>
  <c r="C2321" i="18"/>
  <c r="D2321" i="18"/>
  <c r="E2321" i="18"/>
  <c r="F2321" i="18"/>
  <c r="G2321" i="18"/>
  <c r="H2321" i="18"/>
  <c r="I2321" i="18"/>
  <c r="J2321" i="18"/>
  <c r="K2321" i="18"/>
  <c r="L2321" i="18"/>
  <c r="B2322" i="18"/>
  <c r="C2322" i="18"/>
  <c r="D2322" i="18"/>
  <c r="E2322" i="18"/>
  <c r="F2322" i="18"/>
  <c r="G2322" i="18"/>
  <c r="H2322" i="18"/>
  <c r="I2322" i="18"/>
  <c r="J2322" i="18"/>
  <c r="K2322" i="18"/>
  <c r="L2322" i="18"/>
  <c r="B2323" i="18"/>
  <c r="C2323" i="18"/>
  <c r="D2323" i="18"/>
  <c r="E2323" i="18"/>
  <c r="F2323" i="18"/>
  <c r="G2323" i="18"/>
  <c r="H2323" i="18"/>
  <c r="I2323" i="18"/>
  <c r="J2323" i="18"/>
  <c r="K2323" i="18"/>
  <c r="L2323" i="18"/>
  <c r="B2324" i="18"/>
  <c r="C2324" i="18"/>
  <c r="D2324" i="18"/>
  <c r="E2324" i="18"/>
  <c r="F2324" i="18"/>
  <c r="G2324" i="18"/>
  <c r="H2324" i="18"/>
  <c r="I2324" i="18"/>
  <c r="J2324" i="18"/>
  <c r="K2324" i="18"/>
  <c r="L2324" i="18"/>
  <c r="B2325" i="18"/>
  <c r="C2325" i="18"/>
  <c r="D2325" i="18"/>
  <c r="E2325" i="18"/>
  <c r="F2325" i="18"/>
  <c r="G2325" i="18"/>
  <c r="H2325" i="18"/>
  <c r="I2325" i="18"/>
  <c r="J2325" i="18"/>
  <c r="K2325" i="18"/>
  <c r="L2325" i="18"/>
  <c r="B2326" i="18"/>
  <c r="C2326" i="18"/>
  <c r="D2326" i="18"/>
  <c r="E2326" i="18"/>
  <c r="F2326" i="18"/>
  <c r="G2326" i="18"/>
  <c r="H2326" i="18"/>
  <c r="I2326" i="18"/>
  <c r="J2326" i="18"/>
  <c r="K2326" i="18"/>
  <c r="L2326" i="18"/>
  <c r="B2327" i="18"/>
  <c r="C2327" i="18"/>
  <c r="D2327" i="18"/>
  <c r="E2327" i="18"/>
  <c r="F2327" i="18"/>
  <c r="G2327" i="18"/>
  <c r="H2327" i="18"/>
  <c r="I2327" i="18"/>
  <c r="J2327" i="18"/>
  <c r="K2327" i="18"/>
  <c r="L2327" i="18"/>
  <c r="B2328" i="18"/>
  <c r="C2328" i="18"/>
  <c r="D2328" i="18"/>
  <c r="E2328" i="18"/>
  <c r="F2328" i="18"/>
  <c r="G2328" i="18"/>
  <c r="H2328" i="18"/>
  <c r="I2328" i="18"/>
  <c r="J2328" i="18"/>
  <c r="K2328" i="18"/>
  <c r="L2328" i="18"/>
  <c r="B2329" i="18"/>
  <c r="C2329" i="18"/>
  <c r="D2329" i="18"/>
  <c r="E2329" i="18"/>
  <c r="F2329" i="18"/>
  <c r="G2329" i="18"/>
  <c r="H2329" i="18"/>
  <c r="I2329" i="18"/>
  <c r="J2329" i="18"/>
  <c r="K2329" i="18"/>
  <c r="L2329" i="18"/>
  <c r="B2330" i="18"/>
  <c r="C2330" i="18"/>
  <c r="D2330" i="18"/>
  <c r="E2330" i="18"/>
  <c r="F2330" i="18"/>
  <c r="G2330" i="18"/>
  <c r="H2330" i="18"/>
  <c r="I2330" i="18"/>
  <c r="J2330" i="18"/>
  <c r="K2330" i="18"/>
  <c r="L2330" i="18"/>
  <c r="B2331" i="18"/>
  <c r="C2331" i="18"/>
  <c r="D2331" i="18"/>
  <c r="E2331" i="18"/>
  <c r="F2331" i="18"/>
  <c r="G2331" i="18"/>
  <c r="H2331" i="18"/>
  <c r="I2331" i="18"/>
  <c r="J2331" i="18"/>
  <c r="K2331" i="18"/>
  <c r="L2331" i="18"/>
  <c r="B2332" i="18"/>
  <c r="C2332" i="18"/>
  <c r="D2332" i="18"/>
  <c r="E2332" i="18"/>
  <c r="F2332" i="18"/>
  <c r="G2332" i="18"/>
  <c r="H2332" i="18"/>
  <c r="I2332" i="18"/>
  <c r="J2332" i="18"/>
  <c r="K2332" i="18"/>
  <c r="L2332" i="18"/>
  <c r="B2333" i="18"/>
  <c r="C2333" i="18"/>
  <c r="D2333" i="18"/>
  <c r="E2333" i="18"/>
  <c r="F2333" i="18"/>
  <c r="G2333" i="18"/>
  <c r="H2333" i="18"/>
  <c r="I2333" i="18"/>
  <c r="J2333" i="18"/>
  <c r="K2333" i="18"/>
  <c r="L2333" i="18"/>
  <c r="B2334" i="18"/>
  <c r="C2334" i="18"/>
  <c r="D2334" i="18"/>
  <c r="E2334" i="18"/>
  <c r="F2334" i="18"/>
  <c r="G2334" i="18"/>
  <c r="H2334" i="18"/>
  <c r="I2334" i="18"/>
  <c r="J2334" i="18"/>
  <c r="K2334" i="18"/>
  <c r="L2334" i="18"/>
  <c r="B2335" i="18"/>
  <c r="C2335" i="18"/>
  <c r="D2335" i="18"/>
  <c r="E2335" i="18"/>
  <c r="F2335" i="18"/>
  <c r="G2335" i="18"/>
  <c r="H2335" i="18"/>
  <c r="I2335" i="18"/>
  <c r="J2335" i="18"/>
  <c r="K2335" i="18"/>
  <c r="L2335" i="18"/>
  <c r="B2336" i="18"/>
  <c r="C2336" i="18"/>
  <c r="D2336" i="18"/>
  <c r="E2336" i="18"/>
  <c r="F2336" i="18"/>
  <c r="G2336" i="18"/>
  <c r="H2336" i="18"/>
  <c r="I2336" i="18"/>
  <c r="J2336" i="18"/>
  <c r="K2336" i="18"/>
  <c r="L2336" i="18"/>
  <c r="B2337" i="18"/>
  <c r="C2337" i="18"/>
  <c r="D2337" i="18"/>
  <c r="E2337" i="18"/>
  <c r="F2337" i="18"/>
  <c r="G2337" i="18"/>
  <c r="H2337" i="18"/>
  <c r="I2337" i="18"/>
  <c r="J2337" i="18"/>
  <c r="K2337" i="18"/>
  <c r="L2337" i="18"/>
  <c r="B2338" i="18"/>
  <c r="C2338" i="18"/>
  <c r="D2338" i="18"/>
  <c r="E2338" i="18"/>
  <c r="F2338" i="18"/>
  <c r="G2338" i="18"/>
  <c r="H2338" i="18"/>
  <c r="I2338" i="18"/>
  <c r="J2338" i="18"/>
  <c r="K2338" i="18"/>
  <c r="L2338" i="18"/>
  <c r="B2339" i="18"/>
  <c r="C2339" i="18"/>
  <c r="D2339" i="18"/>
  <c r="E2339" i="18"/>
  <c r="F2339" i="18"/>
  <c r="G2339" i="18"/>
  <c r="H2339" i="18"/>
  <c r="I2339" i="18"/>
  <c r="J2339" i="18"/>
  <c r="K2339" i="18"/>
  <c r="L2339" i="18"/>
  <c r="B2340" i="18"/>
  <c r="C2340" i="18"/>
  <c r="D2340" i="18"/>
  <c r="E2340" i="18"/>
  <c r="F2340" i="18"/>
  <c r="G2340" i="18"/>
  <c r="H2340" i="18"/>
  <c r="I2340" i="18"/>
  <c r="J2340" i="18"/>
  <c r="K2340" i="18"/>
  <c r="L2340" i="18"/>
  <c r="B2341" i="18"/>
  <c r="C2341" i="18"/>
  <c r="D2341" i="18"/>
  <c r="E2341" i="18"/>
  <c r="F2341" i="18"/>
  <c r="G2341" i="18"/>
  <c r="H2341" i="18"/>
  <c r="I2341" i="18"/>
  <c r="J2341" i="18"/>
  <c r="K2341" i="18"/>
  <c r="L2341" i="18"/>
  <c r="B2342" i="18"/>
  <c r="C2342" i="18"/>
  <c r="D2342" i="18"/>
  <c r="E2342" i="18"/>
  <c r="F2342" i="18"/>
  <c r="G2342" i="18"/>
  <c r="H2342" i="18"/>
  <c r="I2342" i="18"/>
  <c r="J2342" i="18"/>
  <c r="K2342" i="18"/>
  <c r="L2342" i="18"/>
  <c r="B2343" i="18"/>
  <c r="C2343" i="18"/>
  <c r="D2343" i="18"/>
  <c r="E2343" i="18"/>
  <c r="F2343" i="18"/>
  <c r="G2343" i="18"/>
  <c r="H2343" i="18"/>
  <c r="I2343" i="18"/>
  <c r="J2343" i="18"/>
  <c r="K2343" i="18"/>
  <c r="L2343" i="18"/>
  <c r="B2344" i="18"/>
  <c r="C2344" i="18"/>
  <c r="D2344" i="18"/>
  <c r="E2344" i="18"/>
  <c r="F2344" i="18"/>
  <c r="G2344" i="18"/>
  <c r="H2344" i="18"/>
  <c r="I2344" i="18"/>
  <c r="J2344" i="18"/>
  <c r="K2344" i="18"/>
  <c r="L2344" i="18"/>
  <c r="B2345" i="18"/>
  <c r="C2345" i="18"/>
  <c r="D2345" i="18"/>
  <c r="E2345" i="18"/>
  <c r="F2345" i="18"/>
  <c r="G2345" i="18"/>
  <c r="H2345" i="18"/>
  <c r="I2345" i="18"/>
  <c r="J2345" i="18"/>
  <c r="K2345" i="18"/>
  <c r="L2345" i="18"/>
  <c r="B2346" i="18"/>
  <c r="C2346" i="18"/>
  <c r="D2346" i="18"/>
  <c r="E2346" i="18"/>
  <c r="F2346" i="18"/>
  <c r="G2346" i="18"/>
  <c r="H2346" i="18"/>
  <c r="I2346" i="18"/>
  <c r="J2346" i="18"/>
  <c r="K2346" i="18"/>
  <c r="L2346" i="18"/>
  <c r="B2347" i="18"/>
  <c r="C2347" i="18"/>
  <c r="D2347" i="18"/>
  <c r="E2347" i="18"/>
  <c r="F2347" i="18"/>
  <c r="G2347" i="18"/>
  <c r="H2347" i="18"/>
  <c r="I2347" i="18"/>
  <c r="J2347" i="18"/>
  <c r="K2347" i="18"/>
  <c r="L2347" i="18"/>
  <c r="B2348" i="18"/>
  <c r="C2348" i="18"/>
  <c r="D2348" i="18"/>
  <c r="E2348" i="18"/>
  <c r="F2348" i="18"/>
  <c r="G2348" i="18"/>
  <c r="H2348" i="18"/>
  <c r="I2348" i="18"/>
  <c r="J2348" i="18"/>
  <c r="K2348" i="18"/>
  <c r="L2348" i="18"/>
  <c r="B2349" i="18"/>
  <c r="C2349" i="18"/>
  <c r="D2349" i="18"/>
  <c r="E2349" i="18"/>
  <c r="F2349" i="18"/>
  <c r="G2349" i="18"/>
  <c r="H2349" i="18"/>
  <c r="I2349" i="18"/>
  <c r="J2349" i="18"/>
  <c r="K2349" i="18"/>
  <c r="L2349" i="18"/>
  <c r="B2350" i="18"/>
  <c r="C2350" i="18"/>
  <c r="D2350" i="18"/>
  <c r="E2350" i="18"/>
  <c r="F2350" i="18"/>
  <c r="G2350" i="18"/>
  <c r="H2350" i="18"/>
  <c r="I2350" i="18"/>
  <c r="J2350" i="18"/>
  <c r="K2350" i="18"/>
  <c r="L2350" i="18"/>
  <c r="B2351" i="18"/>
  <c r="C2351" i="18"/>
  <c r="D2351" i="18"/>
  <c r="E2351" i="18"/>
  <c r="F2351" i="18"/>
  <c r="G2351" i="18"/>
  <c r="H2351" i="18"/>
  <c r="I2351" i="18"/>
  <c r="J2351" i="18"/>
  <c r="K2351" i="18"/>
  <c r="L2351" i="18"/>
  <c r="B2352" i="18"/>
  <c r="C2352" i="18"/>
  <c r="D2352" i="18"/>
  <c r="E2352" i="18"/>
  <c r="F2352" i="18"/>
  <c r="G2352" i="18"/>
  <c r="H2352" i="18"/>
  <c r="I2352" i="18"/>
  <c r="J2352" i="18"/>
  <c r="K2352" i="18"/>
  <c r="L2352" i="18"/>
  <c r="B2353" i="18"/>
  <c r="C2353" i="18"/>
  <c r="D2353" i="18"/>
  <c r="E2353" i="18"/>
  <c r="F2353" i="18"/>
  <c r="G2353" i="18"/>
  <c r="H2353" i="18"/>
  <c r="I2353" i="18"/>
  <c r="J2353" i="18"/>
  <c r="K2353" i="18"/>
  <c r="L2353" i="18"/>
  <c r="B2354" i="18"/>
  <c r="C2354" i="18"/>
  <c r="D2354" i="18"/>
  <c r="E2354" i="18"/>
  <c r="F2354" i="18"/>
  <c r="G2354" i="18"/>
  <c r="H2354" i="18"/>
  <c r="I2354" i="18"/>
  <c r="J2354" i="18"/>
  <c r="K2354" i="18"/>
  <c r="L2354" i="18"/>
  <c r="B2355" i="18"/>
  <c r="C2355" i="18"/>
  <c r="D2355" i="18"/>
  <c r="E2355" i="18"/>
  <c r="F2355" i="18"/>
  <c r="G2355" i="18"/>
  <c r="H2355" i="18"/>
  <c r="I2355" i="18"/>
  <c r="J2355" i="18"/>
  <c r="K2355" i="18"/>
  <c r="L2355" i="18"/>
  <c r="B2356" i="18"/>
  <c r="C2356" i="18"/>
  <c r="D2356" i="18"/>
  <c r="E2356" i="18"/>
  <c r="F2356" i="18"/>
  <c r="G2356" i="18"/>
  <c r="H2356" i="18"/>
  <c r="I2356" i="18"/>
  <c r="J2356" i="18"/>
  <c r="K2356" i="18"/>
  <c r="L2356" i="18"/>
  <c r="B2357" i="18"/>
  <c r="C2357" i="18"/>
  <c r="D2357" i="18"/>
  <c r="E2357" i="18"/>
  <c r="F2357" i="18"/>
  <c r="G2357" i="18"/>
  <c r="H2357" i="18"/>
  <c r="I2357" i="18"/>
  <c r="J2357" i="18"/>
  <c r="K2357" i="18"/>
  <c r="L2357" i="18"/>
  <c r="B2358" i="18"/>
  <c r="C2358" i="18"/>
  <c r="D2358" i="18"/>
  <c r="E2358" i="18"/>
  <c r="F2358" i="18"/>
  <c r="G2358" i="18"/>
  <c r="H2358" i="18"/>
  <c r="I2358" i="18"/>
  <c r="J2358" i="18"/>
  <c r="K2358" i="18"/>
  <c r="L2358" i="18"/>
  <c r="B2359" i="18"/>
  <c r="C2359" i="18"/>
  <c r="D2359" i="18"/>
  <c r="E2359" i="18"/>
  <c r="F2359" i="18"/>
  <c r="G2359" i="18"/>
  <c r="H2359" i="18"/>
  <c r="I2359" i="18"/>
  <c r="J2359" i="18"/>
  <c r="K2359" i="18"/>
  <c r="L2359" i="18"/>
  <c r="B2360" i="18"/>
  <c r="C2360" i="18"/>
  <c r="D2360" i="18"/>
  <c r="E2360" i="18"/>
  <c r="F2360" i="18"/>
  <c r="G2360" i="18"/>
  <c r="H2360" i="18"/>
  <c r="I2360" i="18"/>
  <c r="J2360" i="18"/>
  <c r="K2360" i="18"/>
  <c r="L2360" i="18"/>
  <c r="B2361" i="18"/>
  <c r="C2361" i="18"/>
  <c r="D2361" i="18"/>
  <c r="E2361" i="18"/>
  <c r="F2361" i="18"/>
  <c r="G2361" i="18"/>
  <c r="H2361" i="18"/>
  <c r="I2361" i="18"/>
  <c r="J2361" i="18"/>
  <c r="K2361" i="18"/>
  <c r="L2361" i="18"/>
  <c r="B2362" i="18"/>
  <c r="C2362" i="18"/>
  <c r="D2362" i="18"/>
  <c r="E2362" i="18"/>
  <c r="F2362" i="18"/>
  <c r="G2362" i="18"/>
  <c r="H2362" i="18"/>
  <c r="I2362" i="18"/>
  <c r="J2362" i="18"/>
  <c r="K2362" i="18"/>
  <c r="L2362" i="18"/>
  <c r="B2363" i="18"/>
  <c r="C2363" i="18"/>
  <c r="D2363" i="18"/>
  <c r="E2363" i="18"/>
  <c r="F2363" i="18"/>
  <c r="G2363" i="18"/>
  <c r="H2363" i="18"/>
  <c r="I2363" i="18"/>
  <c r="J2363" i="18"/>
  <c r="K2363" i="18"/>
  <c r="L2363" i="18"/>
  <c r="B2364" i="18"/>
  <c r="C2364" i="18"/>
  <c r="D2364" i="18"/>
  <c r="E2364" i="18"/>
  <c r="F2364" i="18"/>
  <c r="G2364" i="18"/>
  <c r="H2364" i="18"/>
  <c r="I2364" i="18"/>
  <c r="J2364" i="18"/>
  <c r="K2364" i="18"/>
  <c r="L2364" i="18"/>
  <c r="B2365" i="18"/>
  <c r="C2365" i="18"/>
  <c r="D2365" i="18"/>
  <c r="E2365" i="18"/>
  <c r="F2365" i="18"/>
  <c r="G2365" i="18"/>
  <c r="H2365" i="18"/>
  <c r="I2365" i="18"/>
  <c r="J2365" i="18"/>
  <c r="K2365" i="18"/>
  <c r="L2365" i="18"/>
  <c r="B2366" i="18"/>
  <c r="C2366" i="18"/>
  <c r="D2366" i="18"/>
  <c r="E2366" i="18"/>
  <c r="F2366" i="18"/>
  <c r="G2366" i="18"/>
  <c r="H2366" i="18"/>
  <c r="I2366" i="18"/>
  <c r="J2366" i="18"/>
  <c r="K2366" i="18"/>
  <c r="L2366" i="18"/>
  <c r="B2367" i="18"/>
  <c r="C2367" i="18"/>
  <c r="D2367" i="18"/>
  <c r="E2367" i="18"/>
  <c r="F2367" i="18"/>
  <c r="G2367" i="18"/>
  <c r="H2367" i="18"/>
  <c r="I2367" i="18"/>
  <c r="J2367" i="18"/>
  <c r="K2367" i="18"/>
  <c r="L2367" i="18"/>
  <c r="B2368" i="18"/>
  <c r="C2368" i="18"/>
  <c r="D2368" i="18"/>
  <c r="E2368" i="18"/>
  <c r="F2368" i="18"/>
  <c r="G2368" i="18"/>
  <c r="H2368" i="18"/>
  <c r="I2368" i="18"/>
  <c r="J2368" i="18"/>
  <c r="K2368" i="18"/>
  <c r="L2368" i="18"/>
  <c r="B2369" i="18"/>
  <c r="C2369" i="18"/>
  <c r="D2369" i="18"/>
  <c r="E2369" i="18"/>
  <c r="F2369" i="18"/>
  <c r="G2369" i="18"/>
  <c r="H2369" i="18"/>
  <c r="I2369" i="18"/>
  <c r="J2369" i="18"/>
  <c r="K2369" i="18"/>
  <c r="L2369" i="18"/>
  <c r="B2370" i="18"/>
  <c r="C2370" i="18"/>
  <c r="D2370" i="18"/>
  <c r="E2370" i="18"/>
  <c r="F2370" i="18"/>
  <c r="G2370" i="18"/>
  <c r="H2370" i="18"/>
  <c r="I2370" i="18"/>
  <c r="J2370" i="18"/>
  <c r="K2370" i="18"/>
  <c r="L2370" i="18"/>
  <c r="B2371" i="18"/>
  <c r="C2371" i="18"/>
  <c r="D2371" i="18"/>
  <c r="E2371" i="18"/>
  <c r="F2371" i="18"/>
  <c r="G2371" i="18"/>
  <c r="H2371" i="18"/>
  <c r="I2371" i="18"/>
  <c r="J2371" i="18"/>
  <c r="K2371" i="18"/>
  <c r="L2371" i="18"/>
  <c r="B2372" i="18"/>
  <c r="C2372" i="18"/>
  <c r="D2372" i="18"/>
  <c r="E2372" i="18"/>
  <c r="F2372" i="18"/>
  <c r="G2372" i="18"/>
  <c r="H2372" i="18"/>
  <c r="I2372" i="18"/>
  <c r="J2372" i="18"/>
  <c r="K2372" i="18"/>
  <c r="L2372" i="18"/>
  <c r="B2373" i="18"/>
  <c r="C2373" i="18"/>
  <c r="D2373" i="18"/>
  <c r="E2373" i="18"/>
  <c r="F2373" i="18"/>
  <c r="G2373" i="18"/>
  <c r="H2373" i="18"/>
  <c r="I2373" i="18"/>
  <c r="J2373" i="18"/>
  <c r="K2373" i="18"/>
  <c r="L2373" i="18"/>
  <c r="B2374" i="18"/>
  <c r="C2374" i="18"/>
  <c r="D2374" i="18"/>
  <c r="E2374" i="18"/>
  <c r="F2374" i="18"/>
  <c r="G2374" i="18"/>
  <c r="H2374" i="18"/>
  <c r="I2374" i="18"/>
  <c r="J2374" i="18"/>
  <c r="K2374" i="18"/>
  <c r="L2374" i="18"/>
  <c r="B2375" i="18"/>
  <c r="C2375" i="18"/>
  <c r="D2375" i="18"/>
  <c r="E2375" i="18"/>
  <c r="F2375" i="18"/>
  <c r="G2375" i="18"/>
  <c r="H2375" i="18"/>
  <c r="I2375" i="18"/>
  <c r="J2375" i="18"/>
  <c r="K2375" i="18"/>
  <c r="L2375" i="18"/>
  <c r="B2376" i="18"/>
  <c r="C2376" i="18"/>
  <c r="D2376" i="18"/>
  <c r="E2376" i="18"/>
  <c r="F2376" i="18"/>
  <c r="G2376" i="18"/>
  <c r="H2376" i="18"/>
  <c r="I2376" i="18"/>
  <c r="J2376" i="18"/>
  <c r="K2376" i="18"/>
  <c r="L2376" i="18"/>
  <c r="B2377" i="18"/>
  <c r="C2377" i="18"/>
  <c r="D2377" i="18"/>
  <c r="E2377" i="18"/>
  <c r="F2377" i="18"/>
  <c r="G2377" i="18"/>
  <c r="H2377" i="18"/>
  <c r="I2377" i="18"/>
  <c r="J2377" i="18"/>
  <c r="K2377" i="18"/>
  <c r="L2377" i="18"/>
  <c r="B2378" i="18"/>
  <c r="C2378" i="18"/>
  <c r="D2378" i="18"/>
  <c r="E2378" i="18"/>
  <c r="F2378" i="18"/>
  <c r="G2378" i="18"/>
  <c r="H2378" i="18"/>
  <c r="I2378" i="18"/>
  <c r="J2378" i="18"/>
  <c r="K2378" i="18"/>
  <c r="L2378" i="18"/>
  <c r="B2379" i="18"/>
  <c r="C2379" i="18"/>
  <c r="D2379" i="18"/>
  <c r="E2379" i="18"/>
  <c r="F2379" i="18"/>
  <c r="G2379" i="18"/>
  <c r="H2379" i="18"/>
  <c r="I2379" i="18"/>
  <c r="J2379" i="18"/>
  <c r="K2379" i="18"/>
  <c r="L2379" i="18"/>
  <c r="B2380" i="18"/>
  <c r="C2380" i="18"/>
  <c r="D2380" i="18"/>
  <c r="E2380" i="18"/>
  <c r="F2380" i="18"/>
  <c r="G2380" i="18"/>
  <c r="H2380" i="18"/>
  <c r="I2380" i="18"/>
  <c r="J2380" i="18"/>
  <c r="K2380" i="18"/>
  <c r="L2380" i="18"/>
  <c r="B2381" i="18"/>
  <c r="C2381" i="18"/>
  <c r="D2381" i="18"/>
  <c r="E2381" i="18"/>
  <c r="F2381" i="18"/>
  <c r="G2381" i="18"/>
  <c r="H2381" i="18"/>
  <c r="I2381" i="18"/>
  <c r="J2381" i="18"/>
  <c r="K2381" i="18"/>
  <c r="L2381" i="18"/>
  <c r="B2382" i="18"/>
  <c r="C2382" i="18"/>
  <c r="D2382" i="18"/>
  <c r="E2382" i="18"/>
  <c r="F2382" i="18"/>
  <c r="G2382" i="18"/>
  <c r="H2382" i="18"/>
  <c r="I2382" i="18"/>
  <c r="J2382" i="18"/>
  <c r="K2382" i="18"/>
  <c r="L2382" i="18"/>
  <c r="B2383" i="18"/>
  <c r="C2383" i="18"/>
  <c r="D2383" i="18"/>
  <c r="E2383" i="18"/>
  <c r="F2383" i="18"/>
  <c r="G2383" i="18"/>
  <c r="H2383" i="18"/>
  <c r="I2383" i="18"/>
  <c r="J2383" i="18"/>
  <c r="K2383" i="18"/>
  <c r="L2383" i="18"/>
  <c r="B2384" i="18"/>
  <c r="C2384" i="18"/>
  <c r="D2384" i="18"/>
  <c r="E2384" i="18"/>
  <c r="F2384" i="18"/>
  <c r="G2384" i="18"/>
  <c r="H2384" i="18"/>
  <c r="I2384" i="18"/>
  <c r="J2384" i="18"/>
  <c r="K2384" i="18"/>
  <c r="L2384" i="18"/>
  <c r="B2385" i="18"/>
  <c r="C2385" i="18"/>
  <c r="D2385" i="18"/>
  <c r="E2385" i="18"/>
  <c r="F2385" i="18"/>
  <c r="G2385" i="18"/>
  <c r="H2385" i="18"/>
  <c r="I2385" i="18"/>
  <c r="J2385" i="18"/>
  <c r="K2385" i="18"/>
  <c r="L2385" i="18"/>
  <c r="B2386" i="18"/>
  <c r="C2386" i="18"/>
  <c r="D2386" i="18"/>
  <c r="E2386" i="18"/>
  <c r="F2386" i="18"/>
  <c r="G2386" i="18"/>
  <c r="H2386" i="18"/>
  <c r="I2386" i="18"/>
  <c r="J2386" i="18"/>
  <c r="K2386" i="18"/>
  <c r="L2386" i="18"/>
  <c r="B2387" i="18"/>
  <c r="C2387" i="18"/>
  <c r="D2387" i="18"/>
  <c r="E2387" i="18"/>
  <c r="F2387" i="18"/>
  <c r="G2387" i="18"/>
  <c r="H2387" i="18"/>
  <c r="I2387" i="18"/>
  <c r="J2387" i="18"/>
  <c r="K2387" i="18"/>
  <c r="L2387" i="18"/>
  <c r="B2388" i="18"/>
  <c r="C2388" i="18"/>
  <c r="D2388" i="18"/>
  <c r="E2388" i="18"/>
  <c r="F2388" i="18"/>
  <c r="G2388" i="18"/>
  <c r="H2388" i="18"/>
  <c r="I2388" i="18"/>
  <c r="J2388" i="18"/>
  <c r="K2388" i="18"/>
  <c r="L2388" i="18"/>
  <c r="B2389" i="18"/>
  <c r="C2389" i="18"/>
  <c r="D2389" i="18"/>
  <c r="E2389" i="18"/>
  <c r="F2389" i="18"/>
  <c r="G2389" i="18"/>
  <c r="H2389" i="18"/>
  <c r="I2389" i="18"/>
  <c r="J2389" i="18"/>
  <c r="K2389" i="18"/>
  <c r="L2389" i="18"/>
  <c r="B2390" i="18"/>
  <c r="C2390" i="18"/>
  <c r="D2390" i="18"/>
  <c r="E2390" i="18"/>
  <c r="F2390" i="18"/>
  <c r="G2390" i="18"/>
  <c r="H2390" i="18"/>
  <c r="I2390" i="18"/>
  <c r="J2390" i="18"/>
  <c r="K2390" i="18"/>
  <c r="L2390" i="18"/>
  <c r="B2391" i="18"/>
  <c r="C2391" i="18"/>
  <c r="D2391" i="18"/>
  <c r="E2391" i="18"/>
  <c r="F2391" i="18"/>
  <c r="G2391" i="18"/>
  <c r="H2391" i="18"/>
  <c r="I2391" i="18"/>
  <c r="J2391" i="18"/>
  <c r="K2391" i="18"/>
  <c r="L2391" i="18"/>
  <c r="B2392" i="18"/>
  <c r="C2392" i="18"/>
  <c r="D2392" i="18"/>
  <c r="E2392" i="18"/>
  <c r="F2392" i="18"/>
  <c r="G2392" i="18"/>
  <c r="H2392" i="18"/>
  <c r="I2392" i="18"/>
  <c r="J2392" i="18"/>
  <c r="K2392" i="18"/>
  <c r="L2392" i="18"/>
  <c r="B2393" i="18"/>
  <c r="C2393" i="18"/>
  <c r="D2393" i="18"/>
  <c r="E2393" i="18"/>
  <c r="F2393" i="18"/>
  <c r="G2393" i="18"/>
  <c r="H2393" i="18"/>
  <c r="I2393" i="18"/>
  <c r="J2393" i="18"/>
  <c r="K2393" i="18"/>
  <c r="L2393" i="18"/>
  <c r="B2394" i="18"/>
  <c r="C2394" i="18"/>
  <c r="D2394" i="18"/>
  <c r="E2394" i="18"/>
  <c r="F2394" i="18"/>
  <c r="G2394" i="18"/>
  <c r="H2394" i="18"/>
  <c r="I2394" i="18"/>
  <c r="J2394" i="18"/>
  <c r="K2394" i="18"/>
  <c r="L2394" i="18"/>
  <c r="B2395" i="18"/>
  <c r="C2395" i="18"/>
  <c r="D2395" i="18"/>
  <c r="E2395" i="18"/>
  <c r="F2395" i="18"/>
  <c r="G2395" i="18"/>
  <c r="H2395" i="18"/>
  <c r="I2395" i="18"/>
  <c r="J2395" i="18"/>
  <c r="K2395" i="18"/>
  <c r="L2395" i="18"/>
  <c r="B2396" i="18"/>
  <c r="C2396" i="18"/>
  <c r="D2396" i="18"/>
  <c r="E2396" i="18"/>
  <c r="F2396" i="18"/>
  <c r="G2396" i="18"/>
  <c r="H2396" i="18"/>
  <c r="I2396" i="18"/>
  <c r="J2396" i="18"/>
  <c r="K2396" i="18"/>
  <c r="L2396" i="18"/>
  <c r="B2397" i="18"/>
  <c r="C2397" i="18"/>
  <c r="D2397" i="18"/>
  <c r="E2397" i="18"/>
  <c r="F2397" i="18"/>
  <c r="G2397" i="18"/>
  <c r="H2397" i="18"/>
  <c r="I2397" i="18"/>
  <c r="J2397" i="18"/>
  <c r="K2397" i="18"/>
  <c r="L2397" i="18"/>
  <c r="B2398" i="18"/>
  <c r="C2398" i="18"/>
  <c r="D2398" i="18"/>
  <c r="E2398" i="18"/>
  <c r="F2398" i="18"/>
  <c r="G2398" i="18"/>
  <c r="H2398" i="18"/>
  <c r="I2398" i="18"/>
  <c r="J2398" i="18"/>
  <c r="K2398" i="18"/>
  <c r="L2398" i="18"/>
  <c r="B2399" i="18"/>
  <c r="C2399" i="18"/>
  <c r="D2399" i="18"/>
  <c r="E2399" i="18"/>
  <c r="F2399" i="18"/>
  <c r="G2399" i="18"/>
  <c r="H2399" i="18"/>
  <c r="I2399" i="18"/>
  <c r="J2399" i="18"/>
  <c r="K2399" i="18"/>
  <c r="L2399" i="18"/>
  <c r="B2400" i="18"/>
  <c r="C2400" i="18"/>
  <c r="D2400" i="18"/>
  <c r="E2400" i="18"/>
  <c r="F2400" i="18"/>
  <c r="G2400" i="18"/>
  <c r="H2400" i="18"/>
  <c r="I2400" i="18"/>
  <c r="J2400" i="18"/>
  <c r="K2400" i="18"/>
  <c r="L2400" i="18"/>
  <c r="B2401" i="18"/>
  <c r="C2401" i="18"/>
  <c r="D2401" i="18"/>
  <c r="E2401" i="18"/>
  <c r="F2401" i="18"/>
  <c r="G2401" i="18"/>
  <c r="H2401" i="18"/>
  <c r="I2401" i="18"/>
  <c r="J2401" i="18"/>
  <c r="K2401" i="18"/>
  <c r="L2401" i="18"/>
  <c r="B2402" i="18"/>
  <c r="C2402" i="18"/>
  <c r="D2402" i="18"/>
  <c r="E2402" i="18"/>
  <c r="F2402" i="18"/>
  <c r="G2402" i="18"/>
  <c r="H2402" i="18"/>
  <c r="I2402" i="18"/>
  <c r="J2402" i="18"/>
  <c r="K2402" i="18"/>
  <c r="L2402" i="18"/>
  <c r="B2403" i="18"/>
  <c r="C2403" i="18"/>
  <c r="D2403" i="18"/>
  <c r="E2403" i="18"/>
  <c r="F2403" i="18"/>
  <c r="G2403" i="18"/>
  <c r="H2403" i="18"/>
  <c r="I2403" i="18"/>
  <c r="J2403" i="18"/>
  <c r="K2403" i="18"/>
  <c r="L2403" i="18"/>
  <c r="B2404" i="18"/>
  <c r="C2404" i="18"/>
  <c r="D2404" i="18"/>
  <c r="E2404" i="18"/>
  <c r="F2404" i="18"/>
  <c r="G2404" i="18"/>
  <c r="H2404" i="18"/>
  <c r="I2404" i="18"/>
  <c r="J2404" i="18"/>
  <c r="K2404" i="18"/>
  <c r="L2404" i="18"/>
  <c r="B2405" i="18"/>
  <c r="C2405" i="18"/>
  <c r="D2405" i="18"/>
  <c r="E2405" i="18"/>
  <c r="F2405" i="18"/>
  <c r="G2405" i="18"/>
  <c r="H2405" i="18"/>
  <c r="I2405" i="18"/>
  <c r="J2405" i="18"/>
  <c r="K2405" i="18"/>
  <c r="L2405" i="18"/>
  <c r="B2406" i="18"/>
  <c r="C2406" i="18"/>
  <c r="D2406" i="18"/>
  <c r="E2406" i="18"/>
  <c r="F2406" i="18"/>
  <c r="G2406" i="18"/>
  <c r="H2406" i="18"/>
  <c r="I2406" i="18"/>
  <c r="J2406" i="18"/>
  <c r="K2406" i="18"/>
  <c r="L2406" i="18"/>
  <c r="B2407" i="18"/>
  <c r="C2407" i="18"/>
  <c r="D2407" i="18"/>
  <c r="E2407" i="18"/>
  <c r="F2407" i="18"/>
  <c r="G2407" i="18"/>
  <c r="H2407" i="18"/>
  <c r="I2407" i="18"/>
  <c r="J2407" i="18"/>
  <c r="K2407" i="18"/>
  <c r="L2407" i="18"/>
  <c r="B2408" i="18"/>
  <c r="C2408" i="18"/>
  <c r="D2408" i="18"/>
  <c r="E2408" i="18"/>
  <c r="F2408" i="18"/>
  <c r="G2408" i="18"/>
  <c r="H2408" i="18"/>
  <c r="I2408" i="18"/>
  <c r="J2408" i="18"/>
  <c r="K2408" i="18"/>
  <c r="L2408" i="18"/>
  <c r="B2409" i="18"/>
  <c r="C2409" i="18"/>
  <c r="D2409" i="18"/>
  <c r="E2409" i="18"/>
  <c r="F2409" i="18"/>
  <c r="G2409" i="18"/>
  <c r="H2409" i="18"/>
  <c r="I2409" i="18"/>
  <c r="J2409" i="18"/>
  <c r="K2409" i="18"/>
  <c r="L2409" i="18"/>
  <c r="B2410" i="18"/>
  <c r="C2410" i="18"/>
  <c r="D2410" i="18"/>
  <c r="E2410" i="18"/>
  <c r="F2410" i="18"/>
  <c r="G2410" i="18"/>
  <c r="H2410" i="18"/>
  <c r="I2410" i="18"/>
  <c r="J2410" i="18"/>
  <c r="K2410" i="18"/>
  <c r="L2410" i="18"/>
  <c r="B2411" i="18"/>
  <c r="C2411" i="18"/>
  <c r="D2411" i="18"/>
  <c r="E2411" i="18"/>
  <c r="F2411" i="18"/>
  <c r="G2411" i="18"/>
  <c r="H2411" i="18"/>
  <c r="I2411" i="18"/>
  <c r="J2411" i="18"/>
  <c r="K2411" i="18"/>
  <c r="L2411" i="18"/>
  <c r="B2412" i="18"/>
  <c r="C2412" i="18"/>
  <c r="D2412" i="18"/>
  <c r="E2412" i="18"/>
  <c r="F2412" i="18"/>
  <c r="G2412" i="18"/>
  <c r="H2412" i="18"/>
  <c r="I2412" i="18"/>
  <c r="J2412" i="18"/>
  <c r="K2412" i="18"/>
  <c r="L2412" i="18"/>
  <c r="B2413" i="18"/>
  <c r="C2413" i="18"/>
  <c r="D2413" i="18"/>
  <c r="E2413" i="18"/>
  <c r="F2413" i="18"/>
  <c r="G2413" i="18"/>
  <c r="H2413" i="18"/>
  <c r="I2413" i="18"/>
  <c r="J2413" i="18"/>
  <c r="K2413" i="18"/>
  <c r="L2413" i="18"/>
  <c r="B2414" i="18"/>
  <c r="C2414" i="18"/>
  <c r="D2414" i="18"/>
  <c r="E2414" i="18"/>
  <c r="F2414" i="18"/>
  <c r="G2414" i="18"/>
  <c r="H2414" i="18"/>
  <c r="I2414" i="18"/>
  <c r="J2414" i="18"/>
  <c r="K2414" i="18"/>
  <c r="L2414" i="18"/>
  <c r="B2415" i="18"/>
  <c r="C2415" i="18"/>
  <c r="D2415" i="18"/>
  <c r="E2415" i="18"/>
  <c r="F2415" i="18"/>
  <c r="G2415" i="18"/>
  <c r="H2415" i="18"/>
  <c r="I2415" i="18"/>
  <c r="J2415" i="18"/>
  <c r="K2415" i="18"/>
  <c r="L2415" i="18"/>
  <c r="B2416" i="18"/>
  <c r="C2416" i="18"/>
  <c r="D2416" i="18"/>
  <c r="E2416" i="18"/>
  <c r="F2416" i="18"/>
  <c r="G2416" i="18"/>
  <c r="H2416" i="18"/>
  <c r="I2416" i="18"/>
  <c r="J2416" i="18"/>
  <c r="K2416" i="18"/>
  <c r="L2416" i="18"/>
  <c r="B2417" i="18"/>
  <c r="C2417" i="18"/>
  <c r="D2417" i="18"/>
  <c r="E2417" i="18"/>
  <c r="F2417" i="18"/>
  <c r="G2417" i="18"/>
  <c r="H2417" i="18"/>
  <c r="I2417" i="18"/>
  <c r="J2417" i="18"/>
  <c r="K2417" i="18"/>
  <c r="L2417" i="18"/>
  <c r="B2418" i="18"/>
  <c r="C2418" i="18"/>
  <c r="D2418" i="18"/>
  <c r="E2418" i="18"/>
  <c r="F2418" i="18"/>
  <c r="G2418" i="18"/>
  <c r="H2418" i="18"/>
  <c r="I2418" i="18"/>
  <c r="J2418" i="18"/>
  <c r="K2418" i="18"/>
  <c r="L2418" i="18"/>
  <c r="B2419" i="18"/>
  <c r="C2419" i="18"/>
  <c r="D2419" i="18"/>
  <c r="E2419" i="18"/>
  <c r="F2419" i="18"/>
  <c r="G2419" i="18"/>
  <c r="H2419" i="18"/>
  <c r="I2419" i="18"/>
  <c r="J2419" i="18"/>
  <c r="K2419" i="18"/>
  <c r="L2419" i="18"/>
  <c r="B2420" i="18"/>
  <c r="C2420" i="18"/>
  <c r="D2420" i="18"/>
  <c r="E2420" i="18"/>
  <c r="F2420" i="18"/>
  <c r="G2420" i="18"/>
  <c r="H2420" i="18"/>
  <c r="I2420" i="18"/>
  <c r="J2420" i="18"/>
  <c r="K2420" i="18"/>
  <c r="L2420" i="18"/>
  <c r="B2421" i="18"/>
  <c r="C2421" i="18"/>
  <c r="D2421" i="18"/>
  <c r="E2421" i="18"/>
  <c r="F2421" i="18"/>
  <c r="G2421" i="18"/>
  <c r="H2421" i="18"/>
  <c r="I2421" i="18"/>
  <c r="J2421" i="18"/>
  <c r="K2421" i="18"/>
  <c r="L2421" i="18"/>
  <c r="B2422" i="18"/>
  <c r="C2422" i="18"/>
  <c r="D2422" i="18"/>
  <c r="E2422" i="18"/>
  <c r="F2422" i="18"/>
  <c r="G2422" i="18"/>
  <c r="H2422" i="18"/>
  <c r="I2422" i="18"/>
  <c r="J2422" i="18"/>
  <c r="K2422" i="18"/>
  <c r="L2422" i="18"/>
  <c r="B2423" i="18"/>
  <c r="C2423" i="18"/>
  <c r="D2423" i="18"/>
  <c r="E2423" i="18"/>
  <c r="F2423" i="18"/>
  <c r="G2423" i="18"/>
  <c r="H2423" i="18"/>
  <c r="I2423" i="18"/>
  <c r="J2423" i="18"/>
  <c r="K2423" i="18"/>
  <c r="L2423" i="18"/>
  <c r="B2424" i="18"/>
  <c r="C2424" i="18"/>
  <c r="D2424" i="18"/>
  <c r="E2424" i="18"/>
  <c r="F2424" i="18"/>
  <c r="G2424" i="18"/>
  <c r="H2424" i="18"/>
  <c r="I2424" i="18"/>
  <c r="J2424" i="18"/>
  <c r="K2424" i="18"/>
  <c r="L2424" i="18"/>
  <c r="B2425" i="18"/>
  <c r="C2425" i="18"/>
  <c r="D2425" i="18"/>
  <c r="E2425" i="18"/>
  <c r="F2425" i="18"/>
  <c r="G2425" i="18"/>
  <c r="H2425" i="18"/>
  <c r="I2425" i="18"/>
  <c r="J2425" i="18"/>
  <c r="K2425" i="18"/>
  <c r="L2425" i="18"/>
  <c r="B2426" i="18"/>
  <c r="C2426" i="18"/>
  <c r="D2426" i="18"/>
  <c r="E2426" i="18"/>
  <c r="F2426" i="18"/>
  <c r="G2426" i="18"/>
  <c r="H2426" i="18"/>
  <c r="I2426" i="18"/>
  <c r="J2426" i="18"/>
  <c r="K2426" i="18"/>
  <c r="L2426" i="18"/>
  <c r="B2427" i="18"/>
  <c r="C2427" i="18"/>
  <c r="D2427" i="18"/>
  <c r="E2427" i="18"/>
  <c r="F2427" i="18"/>
  <c r="G2427" i="18"/>
  <c r="H2427" i="18"/>
  <c r="I2427" i="18"/>
  <c r="J2427" i="18"/>
  <c r="K2427" i="18"/>
  <c r="L2427" i="18"/>
  <c r="B2428" i="18"/>
  <c r="C2428" i="18"/>
  <c r="D2428" i="18"/>
  <c r="E2428" i="18"/>
  <c r="F2428" i="18"/>
  <c r="G2428" i="18"/>
  <c r="H2428" i="18"/>
  <c r="I2428" i="18"/>
  <c r="J2428" i="18"/>
  <c r="K2428" i="18"/>
  <c r="L2428" i="18"/>
  <c r="B2429" i="18"/>
  <c r="C2429" i="18"/>
  <c r="D2429" i="18"/>
  <c r="E2429" i="18"/>
  <c r="F2429" i="18"/>
  <c r="G2429" i="18"/>
  <c r="H2429" i="18"/>
  <c r="I2429" i="18"/>
  <c r="J2429" i="18"/>
  <c r="K2429" i="18"/>
  <c r="L2429" i="18"/>
  <c r="B2430" i="18"/>
  <c r="C2430" i="18"/>
  <c r="D2430" i="18"/>
  <c r="E2430" i="18"/>
  <c r="F2430" i="18"/>
  <c r="G2430" i="18"/>
  <c r="H2430" i="18"/>
  <c r="I2430" i="18"/>
  <c r="J2430" i="18"/>
  <c r="K2430" i="18"/>
  <c r="L2430" i="18"/>
  <c r="B2431" i="18"/>
  <c r="C2431" i="18"/>
  <c r="D2431" i="18"/>
  <c r="E2431" i="18"/>
  <c r="F2431" i="18"/>
  <c r="G2431" i="18"/>
  <c r="H2431" i="18"/>
  <c r="I2431" i="18"/>
  <c r="J2431" i="18"/>
  <c r="K2431" i="18"/>
  <c r="L2431" i="18"/>
  <c r="B2432" i="18"/>
  <c r="C2432" i="18"/>
  <c r="D2432" i="18"/>
  <c r="E2432" i="18"/>
  <c r="F2432" i="18"/>
  <c r="G2432" i="18"/>
  <c r="H2432" i="18"/>
  <c r="I2432" i="18"/>
  <c r="J2432" i="18"/>
  <c r="K2432" i="18"/>
  <c r="L2432" i="18"/>
  <c r="B2433" i="18"/>
  <c r="C2433" i="18"/>
  <c r="D2433" i="18"/>
  <c r="E2433" i="18"/>
  <c r="F2433" i="18"/>
  <c r="G2433" i="18"/>
  <c r="H2433" i="18"/>
  <c r="I2433" i="18"/>
  <c r="J2433" i="18"/>
  <c r="K2433" i="18"/>
  <c r="L2433" i="18"/>
  <c r="B2434" i="18"/>
  <c r="C2434" i="18"/>
  <c r="D2434" i="18"/>
  <c r="E2434" i="18"/>
  <c r="F2434" i="18"/>
  <c r="G2434" i="18"/>
  <c r="H2434" i="18"/>
  <c r="I2434" i="18"/>
  <c r="J2434" i="18"/>
  <c r="K2434" i="18"/>
  <c r="L2434" i="18"/>
  <c r="B2435" i="18"/>
  <c r="C2435" i="18"/>
  <c r="D2435" i="18"/>
  <c r="E2435" i="18"/>
  <c r="F2435" i="18"/>
  <c r="G2435" i="18"/>
  <c r="H2435" i="18"/>
  <c r="I2435" i="18"/>
  <c r="J2435" i="18"/>
  <c r="K2435" i="18"/>
  <c r="L2435" i="18"/>
  <c r="B2436" i="18"/>
  <c r="C2436" i="18"/>
  <c r="D2436" i="18"/>
  <c r="E2436" i="18"/>
  <c r="F2436" i="18"/>
  <c r="G2436" i="18"/>
  <c r="H2436" i="18"/>
  <c r="I2436" i="18"/>
  <c r="J2436" i="18"/>
  <c r="K2436" i="18"/>
  <c r="L2436" i="18"/>
  <c r="B2437" i="18"/>
  <c r="C2437" i="18"/>
  <c r="D2437" i="18"/>
  <c r="E2437" i="18"/>
  <c r="F2437" i="18"/>
  <c r="G2437" i="18"/>
  <c r="H2437" i="18"/>
  <c r="I2437" i="18"/>
  <c r="J2437" i="18"/>
  <c r="K2437" i="18"/>
  <c r="L2437" i="18"/>
  <c r="B2438" i="18"/>
  <c r="C2438" i="18"/>
  <c r="D2438" i="18"/>
  <c r="E2438" i="18"/>
  <c r="F2438" i="18"/>
  <c r="G2438" i="18"/>
  <c r="H2438" i="18"/>
  <c r="I2438" i="18"/>
  <c r="J2438" i="18"/>
  <c r="K2438" i="18"/>
  <c r="L2438" i="18"/>
  <c r="B2439" i="18"/>
  <c r="C2439" i="18"/>
  <c r="D2439" i="18"/>
  <c r="E2439" i="18"/>
  <c r="F2439" i="18"/>
  <c r="G2439" i="18"/>
  <c r="H2439" i="18"/>
  <c r="I2439" i="18"/>
  <c r="J2439" i="18"/>
  <c r="K2439" i="18"/>
  <c r="L2439" i="18"/>
  <c r="B2440" i="18"/>
  <c r="C2440" i="18"/>
  <c r="D2440" i="18"/>
  <c r="E2440" i="18"/>
  <c r="F2440" i="18"/>
  <c r="G2440" i="18"/>
  <c r="H2440" i="18"/>
  <c r="I2440" i="18"/>
  <c r="J2440" i="18"/>
  <c r="K2440" i="18"/>
  <c r="L2440" i="18"/>
  <c r="B2441" i="18"/>
  <c r="C2441" i="18"/>
  <c r="D2441" i="18"/>
  <c r="E2441" i="18"/>
  <c r="F2441" i="18"/>
  <c r="G2441" i="18"/>
  <c r="H2441" i="18"/>
  <c r="I2441" i="18"/>
  <c r="J2441" i="18"/>
  <c r="K2441" i="18"/>
  <c r="L2441" i="18"/>
  <c r="B2442" i="18"/>
  <c r="C2442" i="18"/>
  <c r="D2442" i="18"/>
  <c r="E2442" i="18"/>
  <c r="F2442" i="18"/>
  <c r="G2442" i="18"/>
  <c r="H2442" i="18"/>
  <c r="I2442" i="18"/>
  <c r="J2442" i="18"/>
  <c r="K2442" i="18"/>
  <c r="L2442" i="18"/>
  <c r="B2443" i="18"/>
  <c r="C2443" i="18"/>
  <c r="D2443" i="18"/>
  <c r="E2443" i="18"/>
  <c r="F2443" i="18"/>
  <c r="G2443" i="18"/>
  <c r="H2443" i="18"/>
  <c r="I2443" i="18"/>
  <c r="J2443" i="18"/>
  <c r="K2443" i="18"/>
  <c r="L2443" i="18"/>
  <c r="B2444" i="18"/>
  <c r="C2444" i="18"/>
  <c r="D2444" i="18"/>
  <c r="E2444" i="18"/>
  <c r="F2444" i="18"/>
  <c r="G2444" i="18"/>
  <c r="H2444" i="18"/>
  <c r="I2444" i="18"/>
  <c r="J2444" i="18"/>
  <c r="K2444" i="18"/>
  <c r="L2444" i="18"/>
  <c r="B2445" i="18"/>
  <c r="C2445" i="18"/>
  <c r="D2445" i="18"/>
  <c r="E2445" i="18"/>
  <c r="F2445" i="18"/>
  <c r="G2445" i="18"/>
  <c r="H2445" i="18"/>
  <c r="I2445" i="18"/>
  <c r="J2445" i="18"/>
  <c r="K2445" i="18"/>
  <c r="L2445" i="18"/>
  <c r="B2446" i="18"/>
  <c r="C2446" i="18"/>
  <c r="D2446" i="18"/>
  <c r="E2446" i="18"/>
  <c r="F2446" i="18"/>
  <c r="G2446" i="18"/>
  <c r="H2446" i="18"/>
  <c r="I2446" i="18"/>
  <c r="J2446" i="18"/>
  <c r="K2446" i="18"/>
  <c r="L2446" i="18"/>
  <c r="B2447" i="18"/>
  <c r="C2447" i="18"/>
  <c r="D2447" i="18"/>
  <c r="E2447" i="18"/>
  <c r="F2447" i="18"/>
  <c r="G2447" i="18"/>
  <c r="H2447" i="18"/>
  <c r="I2447" i="18"/>
  <c r="J2447" i="18"/>
  <c r="K2447" i="18"/>
  <c r="L2447" i="18"/>
  <c r="B2448" i="18"/>
  <c r="C2448" i="18"/>
  <c r="D2448" i="18"/>
  <c r="E2448" i="18"/>
  <c r="F2448" i="18"/>
  <c r="G2448" i="18"/>
  <c r="H2448" i="18"/>
  <c r="I2448" i="18"/>
  <c r="J2448" i="18"/>
  <c r="K2448" i="18"/>
  <c r="L2448" i="18"/>
  <c r="B2449" i="18"/>
  <c r="C2449" i="18"/>
  <c r="D2449" i="18"/>
  <c r="E2449" i="18"/>
  <c r="F2449" i="18"/>
  <c r="G2449" i="18"/>
  <c r="H2449" i="18"/>
  <c r="I2449" i="18"/>
  <c r="J2449" i="18"/>
  <c r="K2449" i="18"/>
  <c r="L2449" i="18"/>
  <c r="B2450" i="18"/>
  <c r="C2450" i="18"/>
  <c r="D2450" i="18"/>
  <c r="E2450" i="18"/>
  <c r="F2450" i="18"/>
  <c r="G2450" i="18"/>
  <c r="H2450" i="18"/>
  <c r="I2450" i="18"/>
  <c r="J2450" i="18"/>
  <c r="K2450" i="18"/>
  <c r="L2450" i="18"/>
  <c r="B2451" i="18"/>
  <c r="C2451" i="18"/>
  <c r="D2451" i="18"/>
  <c r="E2451" i="18"/>
  <c r="F2451" i="18"/>
  <c r="G2451" i="18"/>
  <c r="H2451" i="18"/>
  <c r="I2451" i="18"/>
  <c r="J2451" i="18"/>
  <c r="K2451" i="18"/>
  <c r="L2451" i="18"/>
  <c r="B2452" i="18"/>
  <c r="C2452" i="18"/>
  <c r="D2452" i="18"/>
  <c r="E2452" i="18"/>
  <c r="F2452" i="18"/>
  <c r="G2452" i="18"/>
  <c r="H2452" i="18"/>
  <c r="I2452" i="18"/>
  <c r="J2452" i="18"/>
  <c r="K2452" i="18"/>
  <c r="L2452" i="18"/>
  <c r="B2453" i="18"/>
  <c r="C2453" i="18"/>
  <c r="D2453" i="18"/>
  <c r="E2453" i="18"/>
  <c r="F2453" i="18"/>
  <c r="G2453" i="18"/>
  <c r="H2453" i="18"/>
  <c r="I2453" i="18"/>
  <c r="J2453" i="18"/>
  <c r="K2453" i="18"/>
  <c r="L2453" i="18"/>
  <c r="B2454" i="18"/>
  <c r="C2454" i="18"/>
  <c r="D2454" i="18"/>
  <c r="E2454" i="18"/>
  <c r="F2454" i="18"/>
  <c r="G2454" i="18"/>
  <c r="H2454" i="18"/>
  <c r="I2454" i="18"/>
  <c r="J2454" i="18"/>
  <c r="K2454" i="18"/>
  <c r="L2454" i="18"/>
  <c r="B2455" i="18"/>
  <c r="C2455" i="18"/>
  <c r="D2455" i="18"/>
  <c r="E2455" i="18"/>
  <c r="F2455" i="18"/>
  <c r="G2455" i="18"/>
  <c r="H2455" i="18"/>
  <c r="I2455" i="18"/>
  <c r="J2455" i="18"/>
  <c r="K2455" i="18"/>
  <c r="L2455" i="18"/>
  <c r="B2456" i="18"/>
  <c r="C2456" i="18"/>
  <c r="D2456" i="18"/>
  <c r="E2456" i="18"/>
  <c r="F2456" i="18"/>
  <c r="G2456" i="18"/>
  <c r="H2456" i="18"/>
  <c r="I2456" i="18"/>
  <c r="J2456" i="18"/>
  <c r="K2456" i="18"/>
  <c r="L2456" i="18"/>
  <c r="B2457" i="18"/>
  <c r="C2457" i="18"/>
  <c r="D2457" i="18"/>
  <c r="E2457" i="18"/>
  <c r="F2457" i="18"/>
  <c r="G2457" i="18"/>
  <c r="H2457" i="18"/>
  <c r="I2457" i="18"/>
  <c r="J2457" i="18"/>
  <c r="K2457" i="18"/>
  <c r="L2457" i="18"/>
  <c r="B2458" i="18"/>
  <c r="C2458" i="18"/>
  <c r="D2458" i="18"/>
  <c r="E2458" i="18"/>
  <c r="F2458" i="18"/>
  <c r="G2458" i="18"/>
  <c r="H2458" i="18"/>
  <c r="I2458" i="18"/>
  <c r="J2458" i="18"/>
  <c r="K2458" i="18"/>
  <c r="L2458" i="18"/>
  <c r="B2459" i="18"/>
  <c r="C2459" i="18"/>
  <c r="D2459" i="18"/>
  <c r="E2459" i="18"/>
  <c r="F2459" i="18"/>
  <c r="G2459" i="18"/>
  <c r="H2459" i="18"/>
  <c r="I2459" i="18"/>
  <c r="J2459" i="18"/>
  <c r="K2459" i="18"/>
  <c r="L2459" i="18"/>
  <c r="B2460" i="18"/>
  <c r="C2460" i="18"/>
  <c r="D2460" i="18"/>
  <c r="E2460" i="18"/>
  <c r="F2460" i="18"/>
  <c r="G2460" i="18"/>
  <c r="H2460" i="18"/>
  <c r="I2460" i="18"/>
  <c r="J2460" i="18"/>
  <c r="K2460" i="18"/>
  <c r="L2460" i="18"/>
  <c r="B2461" i="18"/>
  <c r="C2461" i="18"/>
  <c r="D2461" i="18"/>
  <c r="E2461" i="18"/>
  <c r="F2461" i="18"/>
  <c r="G2461" i="18"/>
  <c r="H2461" i="18"/>
  <c r="I2461" i="18"/>
  <c r="J2461" i="18"/>
  <c r="K2461" i="18"/>
  <c r="L2461" i="18"/>
  <c r="B2462" i="18"/>
  <c r="C2462" i="18"/>
  <c r="D2462" i="18"/>
  <c r="E2462" i="18"/>
  <c r="F2462" i="18"/>
  <c r="G2462" i="18"/>
  <c r="H2462" i="18"/>
  <c r="I2462" i="18"/>
  <c r="J2462" i="18"/>
  <c r="K2462" i="18"/>
  <c r="L2462" i="18"/>
  <c r="B2463" i="18"/>
  <c r="C2463" i="18"/>
  <c r="D2463" i="18"/>
  <c r="E2463" i="18"/>
  <c r="F2463" i="18"/>
  <c r="G2463" i="18"/>
  <c r="H2463" i="18"/>
  <c r="I2463" i="18"/>
  <c r="J2463" i="18"/>
  <c r="K2463" i="18"/>
  <c r="L2463" i="18"/>
  <c r="B2464" i="18"/>
  <c r="C2464" i="18"/>
  <c r="D2464" i="18"/>
  <c r="E2464" i="18"/>
  <c r="F2464" i="18"/>
  <c r="G2464" i="18"/>
  <c r="H2464" i="18"/>
  <c r="I2464" i="18"/>
  <c r="J2464" i="18"/>
  <c r="K2464" i="18"/>
  <c r="L2464" i="18"/>
  <c r="B2465" i="18"/>
  <c r="C2465" i="18"/>
  <c r="D2465" i="18"/>
  <c r="E2465" i="18"/>
  <c r="F2465" i="18"/>
  <c r="G2465" i="18"/>
  <c r="H2465" i="18"/>
  <c r="I2465" i="18"/>
  <c r="J2465" i="18"/>
  <c r="K2465" i="18"/>
  <c r="L2465" i="18"/>
  <c r="B2466" i="18"/>
  <c r="C2466" i="18"/>
  <c r="D2466" i="18"/>
  <c r="E2466" i="18"/>
  <c r="F2466" i="18"/>
  <c r="G2466" i="18"/>
  <c r="H2466" i="18"/>
  <c r="I2466" i="18"/>
  <c r="J2466" i="18"/>
  <c r="K2466" i="18"/>
  <c r="L2466" i="18"/>
  <c r="B2467" i="18"/>
  <c r="C2467" i="18"/>
  <c r="D2467" i="18"/>
  <c r="E2467" i="18"/>
  <c r="F2467" i="18"/>
  <c r="G2467" i="18"/>
  <c r="H2467" i="18"/>
  <c r="I2467" i="18"/>
  <c r="J2467" i="18"/>
  <c r="K2467" i="18"/>
  <c r="L2467" i="18"/>
  <c r="B2468" i="18"/>
  <c r="C2468" i="18"/>
  <c r="D2468" i="18"/>
  <c r="E2468" i="18"/>
  <c r="F2468" i="18"/>
  <c r="G2468" i="18"/>
  <c r="H2468" i="18"/>
  <c r="I2468" i="18"/>
  <c r="J2468" i="18"/>
  <c r="K2468" i="18"/>
  <c r="L2468" i="18"/>
  <c r="B2469" i="18"/>
  <c r="C2469" i="18"/>
  <c r="D2469" i="18"/>
  <c r="E2469" i="18"/>
  <c r="F2469" i="18"/>
  <c r="G2469" i="18"/>
  <c r="H2469" i="18"/>
  <c r="I2469" i="18"/>
  <c r="J2469" i="18"/>
  <c r="K2469" i="18"/>
  <c r="L2469" i="18"/>
  <c r="B2470" i="18"/>
  <c r="C2470" i="18"/>
  <c r="D2470" i="18"/>
  <c r="E2470" i="18"/>
  <c r="F2470" i="18"/>
  <c r="G2470" i="18"/>
  <c r="H2470" i="18"/>
  <c r="I2470" i="18"/>
  <c r="J2470" i="18"/>
  <c r="K2470" i="18"/>
  <c r="L2470" i="18"/>
  <c r="B2471" i="18"/>
  <c r="C2471" i="18"/>
  <c r="D2471" i="18"/>
  <c r="E2471" i="18"/>
  <c r="F2471" i="18"/>
  <c r="G2471" i="18"/>
  <c r="H2471" i="18"/>
  <c r="I2471" i="18"/>
  <c r="J2471" i="18"/>
  <c r="K2471" i="18"/>
  <c r="L2471" i="18"/>
  <c r="B2472" i="18"/>
  <c r="C2472" i="18"/>
  <c r="D2472" i="18"/>
  <c r="E2472" i="18"/>
  <c r="F2472" i="18"/>
  <c r="G2472" i="18"/>
  <c r="H2472" i="18"/>
  <c r="I2472" i="18"/>
  <c r="J2472" i="18"/>
  <c r="K2472" i="18"/>
  <c r="L2472" i="18"/>
  <c r="B2473" i="18"/>
  <c r="C2473" i="18"/>
  <c r="D2473" i="18"/>
  <c r="E2473" i="18"/>
  <c r="F2473" i="18"/>
  <c r="G2473" i="18"/>
  <c r="H2473" i="18"/>
  <c r="I2473" i="18"/>
  <c r="J2473" i="18"/>
  <c r="K2473" i="18"/>
  <c r="L2473" i="18"/>
  <c r="B2474" i="18"/>
  <c r="C2474" i="18"/>
  <c r="D2474" i="18"/>
  <c r="E2474" i="18"/>
  <c r="F2474" i="18"/>
  <c r="G2474" i="18"/>
  <c r="H2474" i="18"/>
  <c r="I2474" i="18"/>
  <c r="J2474" i="18"/>
  <c r="K2474" i="18"/>
  <c r="L2474" i="18"/>
  <c r="B2475" i="18"/>
  <c r="C2475" i="18"/>
  <c r="D2475" i="18"/>
  <c r="E2475" i="18"/>
  <c r="F2475" i="18"/>
  <c r="G2475" i="18"/>
  <c r="H2475" i="18"/>
  <c r="I2475" i="18"/>
  <c r="J2475" i="18"/>
  <c r="K2475" i="18"/>
  <c r="L2475" i="18"/>
  <c r="B2476" i="18"/>
  <c r="C2476" i="18"/>
  <c r="D2476" i="18"/>
  <c r="E2476" i="18"/>
  <c r="F2476" i="18"/>
  <c r="G2476" i="18"/>
  <c r="H2476" i="18"/>
  <c r="I2476" i="18"/>
  <c r="J2476" i="18"/>
  <c r="K2476" i="18"/>
  <c r="L2476" i="18"/>
  <c r="B2477" i="18"/>
  <c r="C2477" i="18"/>
  <c r="D2477" i="18"/>
  <c r="E2477" i="18"/>
  <c r="F2477" i="18"/>
  <c r="G2477" i="18"/>
  <c r="H2477" i="18"/>
  <c r="I2477" i="18"/>
  <c r="J2477" i="18"/>
  <c r="K2477" i="18"/>
  <c r="L2477" i="18"/>
  <c r="B2478" i="18"/>
  <c r="C2478" i="18"/>
  <c r="D2478" i="18"/>
  <c r="E2478" i="18"/>
  <c r="F2478" i="18"/>
  <c r="G2478" i="18"/>
  <c r="H2478" i="18"/>
  <c r="I2478" i="18"/>
  <c r="J2478" i="18"/>
  <c r="K2478" i="18"/>
  <c r="L2478" i="18"/>
  <c r="B2479" i="18"/>
  <c r="C2479" i="18"/>
  <c r="D2479" i="18"/>
  <c r="E2479" i="18"/>
  <c r="F2479" i="18"/>
  <c r="G2479" i="18"/>
  <c r="H2479" i="18"/>
  <c r="I2479" i="18"/>
  <c r="J2479" i="18"/>
  <c r="K2479" i="18"/>
  <c r="L2479" i="18"/>
  <c r="B2480" i="18"/>
  <c r="C2480" i="18"/>
  <c r="D2480" i="18"/>
  <c r="E2480" i="18"/>
  <c r="F2480" i="18"/>
  <c r="G2480" i="18"/>
  <c r="H2480" i="18"/>
  <c r="I2480" i="18"/>
  <c r="J2480" i="18"/>
  <c r="K2480" i="18"/>
  <c r="L2480" i="18"/>
  <c r="B2481" i="18"/>
  <c r="C2481" i="18"/>
  <c r="D2481" i="18"/>
  <c r="E2481" i="18"/>
  <c r="F2481" i="18"/>
  <c r="G2481" i="18"/>
  <c r="H2481" i="18"/>
  <c r="I2481" i="18"/>
  <c r="J2481" i="18"/>
  <c r="K2481" i="18"/>
  <c r="L2481" i="18"/>
  <c r="B2482" i="18"/>
  <c r="C2482" i="18"/>
  <c r="D2482" i="18"/>
  <c r="E2482" i="18"/>
  <c r="F2482" i="18"/>
  <c r="G2482" i="18"/>
  <c r="H2482" i="18"/>
  <c r="I2482" i="18"/>
  <c r="J2482" i="18"/>
  <c r="K2482" i="18"/>
  <c r="L2482" i="18"/>
  <c r="B2483" i="18"/>
  <c r="C2483" i="18"/>
  <c r="D2483" i="18"/>
  <c r="E2483" i="18"/>
  <c r="F2483" i="18"/>
  <c r="G2483" i="18"/>
  <c r="H2483" i="18"/>
  <c r="I2483" i="18"/>
  <c r="J2483" i="18"/>
  <c r="K2483" i="18"/>
  <c r="L2483" i="18"/>
  <c r="B2484" i="18"/>
  <c r="C2484" i="18"/>
  <c r="D2484" i="18"/>
  <c r="E2484" i="18"/>
  <c r="F2484" i="18"/>
  <c r="G2484" i="18"/>
  <c r="H2484" i="18"/>
  <c r="I2484" i="18"/>
  <c r="J2484" i="18"/>
  <c r="K2484" i="18"/>
  <c r="L2484" i="18"/>
  <c r="B2485" i="18"/>
  <c r="C2485" i="18"/>
  <c r="D2485" i="18"/>
  <c r="E2485" i="18"/>
  <c r="F2485" i="18"/>
  <c r="G2485" i="18"/>
  <c r="H2485" i="18"/>
  <c r="I2485" i="18"/>
  <c r="J2485" i="18"/>
  <c r="K2485" i="18"/>
  <c r="L2485" i="18"/>
  <c r="B2486" i="18"/>
  <c r="C2486" i="18"/>
  <c r="D2486" i="18"/>
  <c r="E2486" i="18"/>
  <c r="F2486" i="18"/>
  <c r="G2486" i="18"/>
  <c r="H2486" i="18"/>
  <c r="I2486" i="18"/>
  <c r="J2486" i="18"/>
  <c r="K2486" i="18"/>
  <c r="L2486" i="18"/>
  <c r="B2487" i="18"/>
  <c r="C2487" i="18"/>
  <c r="D2487" i="18"/>
  <c r="E2487" i="18"/>
  <c r="F2487" i="18"/>
  <c r="G2487" i="18"/>
  <c r="H2487" i="18"/>
  <c r="I2487" i="18"/>
  <c r="J2487" i="18"/>
  <c r="K2487" i="18"/>
  <c r="L2487" i="18"/>
  <c r="B2488" i="18"/>
  <c r="C2488" i="18"/>
  <c r="D2488" i="18"/>
  <c r="E2488" i="18"/>
  <c r="F2488" i="18"/>
  <c r="G2488" i="18"/>
  <c r="H2488" i="18"/>
  <c r="I2488" i="18"/>
  <c r="J2488" i="18"/>
  <c r="K2488" i="18"/>
  <c r="L2488" i="18"/>
  <c r="B2489" i="18"/>
  <c r="C2489" i="18"/>
  <c r="D2489" i="18"/>
  <c r="E2489" i="18"/>
  <c r="F2489" i="18"/>
  <c r="G2489" i="18"/>
  <c r="H2489" i="18"/>
  <c r="I2489" i="18"/>
  <c r="J2489" i="18"/>
  <c r="K2489" i="18"/>
  <c r="L2489" i="18"/>
  <c r="B2490" i="18"/>
  <c r="C2490" i="18"/>
  <c r="D2490" i="18"/>
  <c r="E2490" i="18"/>
  <c r="F2490" i="18"/>
  <c r="G2490" i="18"/>
  <c r="H2490" i="18"/>
  <c r="I2490" i="18"/>
  <c r="J2490" i="18"/>
  <c r="K2490" i="18"/>
  <c r="L2490" i="18"/>
  <c r="B2491" i="18"/>
  <c r="C2491" i="18"/>
  <c r="D2491" i="18"/>
  <c r="E2491" i="18"/>
  <c r="F2491" i="18"/>
  <c r="G2491" i="18"/>
  <c r="H2491" i="18"/>
  <c r="I2491" i="18"/>
  <c r="J2491" i="18"/>
  <c r="K2491" i="18"/>
  <c r="L2491" i="18"/>
  <c r="B2492" i="18"/>
  <c r="C2492" i="18"/>
  <c r="D2492" i="18"/>
  <c r="E2492" i="18"/>
  <c r="F2492" i="18"/>
  <c r="G2492" i="18"/>
  <c r="H2492" i="18"/>
  <c r="I2492" i="18"/>
  <c r="J2492" i="18"/>
  <c r="K2492" i="18"/>
  <c r="L2492" i="18"/>
  <c r="B2493" i="18"/>
  <c r="C2493" i="18"/>
  <c r="D2493" i="18"/>
  <c r="E2493" i="18"/>
  <c r="F2493" i="18"/>
  <c r="G2493" i="18"/>
  <c r="H2493" i="18"/>
  <c r="I2493" i="18"/>
  <c r="J2493" i="18"/>
  <c r="K2493" i="18"/>
  <c r="L2493" i="18"/>
  <c r="B2494" i="18"/>
  <c r="C2494" i="18"/>
  <c r="D2494" i="18"/>
  <c r="E2494" i="18"/>
  <c r="F2494" i="18"/>
  <c r="G2494" i="18"/>
  <c r="H2494" i="18"/>
  <c r="I2494" i="18"/>
  <c r="J2494" i="18"/>
  <c r="K2494" i="18"/>
  <c r="L2494" i="18"/>
  <c r="B2495" i="18"/>
  <c r="C2495" i="18"/>
  <c r="D2495" i="18"/>
  <c r="E2495" i="18"/>
  <c r="F2495" i="18"/>
  <c r="G2495" i="18"/>
  <c r="H2495" i="18"/>
  <c r="I2495" i="18"/>
  <c r="J2495" i="18"/>
  <c r="K2495" i="18"/>
  <c r="L2495" i="18"/>
  <c r="B2496" i="18"/>
  <c r="C2496" i="18"/>
  <c r="D2496" i="18"/>
  <c r="E2496" i="18"/>
  <c r="F2496" i="18"/>
  <c r="G2496" i="18"/>
  <c r="H2496" i="18"/>
  <c r="I2496" i="18"/>
  <c r="J2496" i="18"/>
  <c r="K2496" i="18"/>
  <c r="L2496" i="18"/>
  <c r="B2497" i="18"/>
  <c r="C2497" i="18"/>
  <c r="D2497" i="18"/>
  <c r="E2497" i="18"/>
  <c r="F2497" i="18"/>
  <c r="G2497" i="18"/>
  <c r="H2497" i="18"/>
  <c r="I2497" i="18"/>
  <c r="J2497" i="18"/>
  <c r="K2497" i="18"/>
  <c r="L2497" i="18"/>
  <c r="B2498" i="18"/>
  <c r="C2498" i="18"/>
  <c r="D2498" i="18"/>
  <c r="E2498" i="18"/>
  <c r="F2498" i="18"/>
  <c r="G2498" i="18"/>
  <c r="H2498" i="18"/>
  <c r="I2498" i="18"/>
  <c r="J2498" i="18"/>
  <c r="K2498" i="18"/>
  <c r="L2498" i="18"/>
  <c r="B2499" i="18"/>
  <c r="C2499" i="18"/>
  <c r="D2499" i="18"/>
  <c r="E2499" i="18"/>
  <c r="F2499" i="18"/>
  <c r="G2499" i="18"/>
  <c r="H2499" i="18"/>
  <c r="I2499" i="18"/>
  <c r="J2499" i="18"/>
  <c r="K2499" i="18"/>
  <c r="L2499" i="18"/>
  <c r="B2500" i="18"/>
  <c r="C2500" i="18"/>
  <c r="D2500" i="18"/>
  <c r="E2500" i="18"/>
  <c r="F2500" i="18"/>
  <c r="G2500" i="18"/>
  <c r="H2500" i="18"/>
  <c r="I2500" i="18"/>
  <c r="J2500" i="18"/>
  <c r="K2500" i="18"/>
  <c r="L2500" i="18"/>
  <c r="B2501" i="18"/>
  <c r="C2501" i="18"/>
  <c r="D2501" i="18"/>
  <c r="E2501" i="18"/>
  <c r="F2501" i="18"/>
  <c r="G2501" i="18"/>
  <c r="H2501" i="18"/>
  <c r="I2501" i="18"/>
  <c r="J2501" i="18"/>
  <c r="K2501" i="18"/>
  <c r="L2501" i="18"/>
  <c r="B2502" i="18"/>
  <c r="C2502" i="18"/>
  <c r="D2502" i="18"/>
  <c r="E2502" i="18"/>
  <c r="F2502" i="18"/>
  <c r="G2502" i="18"/>
  <c r="H2502" i="18"/>
  <c r="I2502" i="18"/>
  <c r="J2502" i="18"/>
  <c r="K2502" i="18"/>
  <c r="L2502" i="18"/>
  <c r="B2503" i="18"/>
  <c r="C2503" i="18"/>
  <c r="D2503" i="18"/>
  <c r="E2503" i="18"/>
  <c r="F2503" i="18"/>
  <c r="G2503" i="18"/>
  <c r="H2503" i="18"/>
  <c r="I2503" i="18"/>
  <c r="J2503" i="18"/>
  <c r="K2503" i="18"/>
  <c r="L2503" i="18"/>
  <c r="B2504" i="18"/>
  <c r="C2504" i="18"/>
  <c r="D2504" i="18"/>
  <c r="E2504" i="18"/>
  <c r="F2504" i="18"/>
  <c r="G2504" i="18"/>
  <c r="H2504" i="18"/>
  <c r="I2504" i="18"/>
  <c r="J2504" i="18"/>
  <c r="K2504" i="18"/>
  <c r="L2504" i="18"/>
  <c r="B2505" i="18"/>
  <c r="C2505" i="18"/>
  <c r="D2505" i="18"/>
  <c r="E2505" i="18"/>
  <c r="F2505" i="18"/>
  <c r="G2505" i="18"/>
  <c r="H2505" i="18"/>
  <c r="I2505" i="18"/>
  <c r="J2505" i="18"/>
  <c r="K2505" i="18"/>
  <c r="L2505" i="18"/>
  <c r="B2506" i="18"/>
  <c r="C2506" i="18"/>
  <c r="D2506" i="18"/>
  <c r="E2506" i="18"/>
  <c r="F2506" i="18"/>
  <c r="G2506" i="18"/>
  <c r="H2506" i="18"/>
  <c r="I2506" i="18"/>
  <c r="J2506" i="18"/>
  <c r="K2506" i="18"/>
  <c r="L2506" i="18"/>
  <c r="B2507" i="18"/>
  <c r="C2507" i="18"/>
  <c r="D2507" i="18"/>
  <c r="E2507" i="18"/>
  <c r="F2507" i="18"/>
  <c r="G2507" i="18"/>
  <c r="H2507" i="18"/>
  <c r="I2507" i="18"/>
  <c r="J2507" i="18"/>
  <c r="K2507" i="18"/>
  <c r="L2507" i="18"/>
  <c r="B2508" i="18"/>
  <c r="C2508" i="18"/>
  <c r="D2508" i="18"/>
  <c r="E2508" i="18"/>
  <c r="F2508" i="18"/>
  <c r="G2508" i="18"/>
  <c r="H2508" i="18"/>
  <c r="I2508" i="18"/>
  <c r="J2508" i="18"/>
  <c r="K2508" i="18"/>
  <c r="L2508" i="18"/>
  <c r="B2509" i="18"/>
  <c r="C2509" i="18"/>
  <c r="D2509" i="18"/>
  <c r="E2509" i="18"/>
  <c r="F2509" i="18"/>
  <c r="G2509" i="18"/>
  <c r="H2509" i="18"/>
  <c r="I2509" i="18"/>
  <c r="J2509" i="18"/>
  <c r="K2509" i="18"/>
  <c r="L2509" i="18"/>
  <c r="B2510" i="18"/>
  <c r="C2510" i="18"/>
  <c r="D2510" i="18"/>
  <c r="E2510" i="18"/>
  <c r="F2510" i="18"/>
  <c r="G2510" i="18"/>
  <c r="H2510" i="18"/>
  <c r="I2510" i="18"/>
  <c r="J2510" i="18"/>
  <c r="K2510" i="18"/>
  <c r="L2510" i="18"/>
  <c r="B2511" i="18"/>
  <c r="C2511" i="18"/>
  <c r="D2511" i="18"/>
  <c r="E2511" i="18"/>
  <c r="F2511" i="18"/>
  <c r="G2511" i="18"/>
  <c r="H2511" i="18"/>
  <c r="I2511" i="18"/>
  <c r="J2511" i="18"/>
  <c r="K2511" i="18"/>
  <c r="L2511" i="18"/>
  <c r="B2512" i="18"/>
  <c r="C2512" i="18"/>
  <c r="D2512" i="18"/>
  <c r="E2512" i="18"/>
  <c r="F2512" i="18"/>
  <c r="G2512" i="18"/>
  <c r="H2512" i="18"/>
  <c r="I2512" i="18"/>
  <c r="J2512" i="18"/>
  <c r="K2512" i="18"/>
  <c r="L2512" i="18"/>
  <c r="B2513" i="18"/>
  <c r="C2513" i="18"/>
  <c r="D2513" i="18"/>
  <c r="E2513" i="18"/>
  <c r="F2513" i="18"/>
  <c r="G2513" i="18"/>
  <c r="H2513" i="18"/>
  <c r="I2513" i="18"/>
  <c r="J2513" i="18"/>
  <c r="K2513" i="18"/>
  <c r="L2513" i="18"/>
  <c r="B2514" i="18"/>
  <c r="C2514" i="18"/>
  <c r="D2514" i="18"/>
  <c r="E2514" i="18"/>
  <c r="F2514" i="18"/>
  <c r="G2514" i="18"/>
  <c r="H2514" i="18"/>
  <c r="I2514" i="18"/>
  <c r="J2514" i="18"/>
  <c r="K2514" i="18"/>
  <c r="L2514" i="18"/>
  <c r="B2515" i="18"/>
  <c r="C2515" i="18"/>
  <c r="D2515" i="18"/>
  <c r="E2515" i="18"/>
  <c r="F2515" i="18"/>
  <c r="G2515" i="18"/>
  <c r="H2515" i="18"/>
  <c r="I2515" i="18"/>
  <c r="J2515" i="18"/>
  <c r="K2515" i="18"/>
  <c r="L2515" i="18"/>
  <c r="B2516" i="18"/>
  <c r="C2516" i="18"/>
  <c r="D2516" i="18"/>
  <c r="E2516" i="18"/>
  <c r="F2516" i="18"/>
  <c r="G2516" i="18"/>
  <c r="H2516" i="18"/>
  <c r="I2516" i="18"/>
  <c r="J2516" i="18"/>
  <c r="K2516" i="18"/>
  <c r="L2516" i="18"/>
  <c r="B2517" i="18"/>
  <c r="C2517" i="18"/>
  <c r="D2517" i="18"/>
  <c r="E2517" i="18"/>
  <c r="F2517" i="18"/>
  <c r="G2517" i="18"/>
  <c r="H2517" i="18"/>
  <c r="I2517" i="18"/>
  <c r="J2517" i="18"/>
  <c r="K2517" i="18"/>
  <c r="L2517" i="18"/>
  <c r="B2518" i="18"/>
  <c r="C2518" i="18"/>
  <c r="D2518" i="18"/>
  <c r="E2518" i="18"/>
  <c r="F2518" i="18"/>
  <c r="G2518" i="18"/>
  <c r="H2518" i="18"/>
  <c r="I2518" i="18"/>
  <c r="J2518" i="18"/>
  <c r="K2518" i="18"/>
  <c r="L2518" i="18"/>
  <c r="B2519" i="18"/>
  <c r="C2519" i="18"/>
  <c r="D2519" i="18"/>
  <c r="E2519" i="18"/>
  <c r="F2519" i="18"/>
  <c r="G2519" i="18"/>
  <c r="H2519" i="18"/>
  <c r="I2519" i="18"/>
  <c r="J2519" i="18"/>
  <c r="K2519" i="18"/>
  <c r="L2519" i="18"/>
  <c r="B2520" i="18"/>
  <c r="C2520" i="18"/>
  <c r="D2520" i="18"/>
  <c r="E2520" i="18"/>
  <c r="F2520" i="18"/>
  <c r="G2520" i="18"/>
  <c r="H2520" i="18"/>
  <c r="I2520" i="18"/>
  <c r="J2520" i="18"/>
  <c r="K2520" i="18"/>
  <c r="L2520" i="18"/>
  <c r="B2521" i="18"/>
  <c r="C2521" i="18"/>
  <c r="D2521" i="18"/>
  <c r="E2521" i="18"/>
  <c r="F2521" i="18"/>
  <c r="G2521" i="18"/>
  <c r="H2521" i="18"/>
  <c r="I2521" i="18"/>
  <c r="J2521" i="18"/>
  <c r="K2521" i="18"/>
  <c r="L2521" i="18"/>
  <c r="B2522" i="18"/>
  <c r="C2522" i="18"/>
  <c r="D2522" i="18"/>
  <c r="E2522" i="18"/>
  <c r="F2522" i="18"/>
  <c r="G2522" i="18"/>
  <c r="H2522" i="18"/>
  <c r="I2522" i="18"/>
  <c r="J2522" i="18"/>
  <c r="K2522" i="18"/>
  <c r="L2522" i="18"/>
  <c r="B2523" i="18"/>
  <c r="C2523" i="18"/>
  <c r="D2523" i="18"/>
  <c r="E2523" i="18"/>
  <c r="F2523" i="18"/>
  <c r="G2523" i="18"/>
  <c r="H2523" i="18"/>
  <c r="I2523" i="18"/>
  <c r="J2523" i="18"/>
  <c r="K2523" i="18"/>
  <c r="L2523" i="18"/>
  <c r="B2524" i="18"/>
  <c r="C2524" i="18"/>
  <c r="D2524" i="18"/>
  <c r="E2524" i="18"/>
  <c r="F2524" i="18"/>
  <c r="G2524" i="18"/>
  <c r="H2524" i="18"/>
  <c r="I2524" i="18"/>
  <c r="J2524" i="18"/>
  <c r="K2524" i="18"/>
  <c r="L2524" i="18"/>
  <c r="B2525" i="18"/>
  <c r="C2525" i="18"/>
  <c r="D2525" i="18"/>
  <c r="E2525" i="18"/>
  <c r="F2525" i="18"/>
  <c r="G2525" i="18"/>
  <c r="H2525" i="18"/>
  <c r="I2525" i="18"/>
  <c r="J2525" i="18"/>
  <c r="K2525" i="18"/>
  <c r="L2525" i="18"/>
  <c r="B2526" i="18"/>
  <c r="C2526" i="18"/>
  <c r="D2526" i="18"/>
  <c r="E2526" i="18"/>
  <c r="F2526" i="18"/>
  <c r="G2526" i="18"/>
  <c r="H2526" i="18"/>
  <c r="I2526" i="18"/>
  <c r="J2526" i="18"/>
  <c r="K2526" i="18"/>
  <c r="L2526" i="18"/>
  <c r="B2527" i="18"/>
  <c r="C2527" i="18"/>
  <c r="D2527" i="18"/>
  <c r="E2527" i="18"/>
  <c r="F2527" i="18"/>
  <c r="G2527" i="18"/>
  <c r="H2527" i="18"/>
  <c r="I2527" i="18"/>
  <c r="J2527" i="18"/>
  <c r="K2527" i="18"/>
  <c r="L2527" i="18"/>
  <c r="B2528" i="18"/>
  <c r="C2528" i="18"/>
  <c r="D2528" i="18"/>
  <c r="E2528" i="18"/>
  <c r="F2528" i="18"/>
  <c r="G2528" i="18"/>
  <c r="H2528" i="18"/>
  <c r="I2528" i="18"/>
  <c r="J2528" i="18"/>
  <c r="K2528" i="18"/>
  <c r="L2528" i="18"/>
  <c r="B2529" i="18"/>
  <c r="C2529" i="18"/>
  <c r="D2529" i="18"/>
  <c r="E2529" i="18"/>
  <c r="F2529" i="18"/>
  <c r="G2529" i="18"/>
  <c r="H2529" i="18"/>
  <c r="I2529" i="18"/>
  <c r="J2529" i="18"/>
  <c r="K2529" i="18"/>
  <c r="L2529" i="18"/>
  <c r="B2530" i="18"/>
  <c r="C2530" i="18"/>
  <c r="D2530" i="18"/>
  <c r="E2530" i="18"/>
  <c r="F2530" i="18"/>
  <c r="G2530" i="18"/>
  <c r="H2530" i="18"/>
  <c r="I2530" i="18"/>
  <c r="J2530" i="18"/>
  <c r="K2530" i="18"/>
  <c r="L2530" i="18"/>
  <c r="B2531" i="18"/>
  <c r="C2531" i="18"/>
  <c r="D2531" i="18"/>
  <c r="E2531" i="18"/>
  <c r="F2531" i="18"/>
  <c r="G2531" i="18"/>
  <c r="H2531" i="18"/>
  <c r="I2531" i="18"/>
  <c r="J2531" i="18"/>
  <c r="K2531" i="18"/>
  <c r="L2531" i="18"/>
  <c r="B2532" i="18"/>
  <c r="C2532" i="18"/>
  <c r="D2532" i="18"/>
  <c r="E2532" i="18"/>
  <c r="F2532" i="18"/>
  <c r="G2532" i="18"/>
  <c r="H2532" i="18"/>
  <c r="I2532" i="18"/>
  <c r="J2532" i="18"/>
  <c r="K2532" i="18"/>
  <c r="L2532" i="18"/>
  <c r="B2533" i="18"/>
  <c r="C2533" i="18"/>
  <c r="D2533" i="18"/>
  <c r="E2533" i="18"/>
  <c r="F2533" i="18"/>
  <c r="G2533" i="18"/>
  <c r="H2533" i="18"/>
  <c r="I2533" i="18"/>
  <c r="J2533" i="18"/>
  <c r="K2533" i="18"/>
  <c r="L2533" i="18"/>
  <c r="B2534" i="18"/>
  <c r="C2534" i="18"/>
  <c r="D2534" i="18"/>
  <c r="E2534" i="18"/>
  <c r="F2534" i="18"/>
  <c r="G2534" i="18"/>
  <c r="H2534" i="18"/>
  <c r="I2534" i="18"/>
  <c r="J2534" i="18"/>
  <c r="K2534" i="18"/>
  <c r="L2534" i="18"/>
  <c r="B2535" i="18"/>
  <c r="C2535" i="18"/>
  <c r="D2535" i="18"/>
  <c r="E2535" i="18"/>
  <c r="F2535" i="18"/>
  <c r="G2535" i="18"/>
  <c r="H2535" i="18"/>
  <c r="I2535" i="18"/>
  <c r="J2535" i="18"/>
  <c r="K2535" i="18"/>
  <c r="L2535" i="18"/>
  <c r="B2536" i="18"/>
  <c r="C2536" i="18"/>
  <c r="D2536" i="18"/>
  <c r="E2536" i="18"/>
  <c r="F2536" i="18"/>
  <c r="G2536" i="18"/>
  <c r="H2536" i="18"/>
  <c r="I2536" i="18"/>
  <c r="J2536" i="18"/>
  <c r="K2536" i="18"/>
  <c r="L2536" i="18"/>
  <c r="B2537" i="18"/>
  <c r="C2537" i="18"/>
  <c r="D2537" i="18"/>
  <c r="E2537" i="18"/>
  <c r="F2537" i="18"/>
  <c r="G2537" i="18"/>
  <c r="H2537" i="18"/>
  <c r="I2537" i="18"/>
  <c r="J2537" i="18"/>
  <c r="K2537" i="18"/>
  <c r="L2537" i="18"/>
  <c r="B2538" i="18"/>
  <c r="C2538" i="18"/>
  <c r="D2538" i="18"/>
  <c r="E2538" i="18"/>
  <c r="F2538" i="18"/>
  <c r="G2538" i="18"/>
  <c r="H2538" i="18"/>
  <c r="I2538" i="18"/>
  <c r="J2538" i="18"/>
  <c r="K2538" i="18"/>
  <c r="L2538" i="18"/>
  <c r="B2539" i="18"/>
  <c r="C2539" i="18"/>
  <c r="D2539" i="18"/>
  <c r="E2539" i="18"/>
  <c r="F2539" i="18"/>
  <c r="G2539" i="18"/>
  <c r="H2539" i="18"/>
  <c r="I2539" i="18"/>
  <c r="J2539" i="18"/>
  <c r="K2539" i="18"/>
  <c r="L2539" i="18"/>
  <c r="B2540" i="18"/>
  <c r="C2540" i="18"/>
  <c r="D2540" i="18"/>
  <c r="E2540" i="18"/>
  <c r="F2540" i="18"/>
  <c r="G2540" i="18"/>
  <c r="H2540" i="18"/>
  <c r="I2540" i="18"/>
  <c r="J2540" i="18"/>
  <c r="K2540" i="18"/>
  <c r="L2540" i="18"/>
  <c r="B2541" i="18"/>
  <c r="C2541" i="18"/>
  <c r="D2541" i="18"/>
  <c r="E2541" i="18"/>
  <c r="F2541" i="18"/>
  <c r="G2541" i="18"/>
  <c r="H2541" i="18"/>
  <c r="I2541" i="18"/>
  <c r="J2541" i="18"/>
  <c r="K2541" i="18"/>
  <c r="L2541" i="18"/>
  <c r="B2542" i="18"/>
  <c r="C2542" i="18"/>
  <c r="D2542" i="18"/>
  <c r="E2542" i="18"/>
  <c r="F2542" i="18"/>
  <c r="G2542" i="18"/>
  <c r="H2542" i="18"/>
  <c r="I2542" i="18"/>
  <c r="J2542" i="18"/>
  <c r="K2542" i="18"/>
  <c r="L2542" i="18"/>
  <c r="B2543" i="18"/>
  <c r="C2543" i="18"/>
  <c r="D2543" i="18"/>
  <c r="E2543" i="18"/>
  <c r="F2543" i="18"/>
  <c r="G2543" i="18"/>
  <c r="H2543" i="18"/>
  <c r="I2543" i="18"/>
  <c r="J2543" i="18"/>
  <c r="K2543" i="18"/>
  <c r="L2543" i="18"/>
  <c r="B2544" i="18"/>
  <c r="C2544" i="18"/>
  <c r="D2544" i="18"/>
  <c r="E2544" i="18"/>
  <c r="F2544" i="18"/>
  <c r="G2544" i="18"/>
  <c r="H2544" i="18"/>
  <c r="I2544" i="18"/>
  <c r="J2544" i="18"/>
  <c r="K2544" i="18"/>
  <c r="L2544" i="18"/>
  <c r="B2545" i="18"/>
  <c r="C2545" i="18"/>
  <c r="D2545" i="18"/>
  <c r="E2545" i="18"/>
  <c r="F2545" i="18"/>
  <c r="G2545" i="18"/>
  <c r="H2545" i="18"/>
  <c r="I2545" i="18"/>
  <c r="J2545" i="18"/>
  <c r="K2545" i="18"/>
  <c r="L2545" i="18"/>
  <c r="B2546" i="18"/>
  <c r="C2546" i="18"/>
  <c r="D2546" i="18"/>
  <c r="E2546" i="18"/>
  <c r="F2546" i="18"/>
  <c r="G2546" i="18"/>
  <c r="H2546" i="18"/>
  <c r="I2546" i="18"/>
  <c r="J2546" i="18"/>
  <c r="K2546" i="18"/>
  <c r="L2546" i="18"/>
  <c r="B2547" i="18"/>
  <c r="C2547" i="18"/>
  <c r="D2547" i="18"/>
  <c r="E2547" i="18"/>
  <c r="F2547" i="18"/>
  <c r="G2547" i="18"/>
  <c r="H2547" i="18"/>
  <c r="I2547" i="18"/>
  <c r="J2547" i="18"/>
  <c r="K2547" i="18"/>
  <c r="L2547" i="18"/>
  <c r="B2548" i="18"/>
  <c r="C2548" i="18"/>
  <c r="D2548" i="18"/>
  <c r="E2548" i="18"/>
  <c r="F2548" i="18"/>
  <c r="G2548" i="18"/>
  <c r="H2548" i="18"/>
  <c r="I2548" i="18"/>
  <c r="J2548" i="18"/>
  <c r="K2548" i="18"/>
  <c r="L2548" i="18"/>
  <c r="B2549" i="18"/>
  <c r="C2549" i="18"/>
  <c r="D2549" i="18"/>
  <c r="E2549" i="18"/>
  <c r="F2549" i="18"/>
  <c r="G2549" i="18"/>
  <c r="H2549" i="18"/>
  <c r="I2549" i="18"/>
  <c r="J2549" i="18"/>
  <c r="K2549" i="18"/>
  <c r="L2549" i="18"/>
  <c r="B2550" i="18"/>
  <c r="C2550" i="18"/>
  <c r="D2550" i="18"/>
  <c r="E2550" i="18"/>
  <c r="F2550" i="18"/>
  <c r="G2550" i="18"/>
  <c r="H2550" i="18"/>
  <c r="I2550" i="18"/>
  <c r="J2550" i="18"/>
  <c r="K2550" i="18"/>
  <c r="L2550" i="18"/>
  <c r="B2551" i="18"/>
  <c r="C2551" i="18"/>
  <c r="D2551" i="18"/>
  <c r="E2551" i="18"/>
  <c r="F2551" i="18"/>
  <c r="G2551" i="18"/>
  <c r="H2551" i="18"/>
  <c r="I2551" i="18"/>
  <c r="J2551" i="18"/>
  <c r="K2551" i="18"/>
  <c r="L2551" i="18"/>
  <c r="B2552" i="18"/>
  <c r="C2552" i="18"/>
  <c r="D2552" i="18"/>
  <c r="E2552" i="18"/>
  <c r="F2552" i="18"/>
  <c r="G2552" i="18"/>
  <c r="H2552" i="18"/>
  <c r="I2552" i="18"/>
  <c r="J2552" i="18"/>
  <c r="K2552" i="18"/>
  <c r="L2552" i="18"/>
  <c r="B2553" i="18"/>
  <c r="C2553" i="18"/>
  <c r="D2553" i="18"/>
  <c r="E2553" i="18"/>
  <c r="F2553" i="18"/>
  <c r="G2553" i="18"/>
  <c r="H2553" i="18"/>
  <c r="I2553" i="18"/>
  <c r="J2553" i="18"/>
  <c r="K2553" i="18"/>
  <c r="L2553" i="18"/>
  <c r="B2554" i="18"/>
  <c r="C2554" i="18"/>
  <c r="D2554" i="18"/>
  <c r="E2554" i="18"/>
  <c r="F2554" i="18"/>
  <c r="G2554" i="18"/>
  <c r="H2554" i="18"/>
  <c r="I2554" i="18"/>
  <c r="J2554" i="18"/>
  <c r="K2554" i="18"/>
  <c r="L2554" i="18"/>
  <c r="B2555" i="18"/>
  <c r="C2555" i="18"/>
  <c r="D2555" i="18"/>
  <c r="E2555" i="18"/>
  <c r="F2555" i="18"/>
  <c r="G2555" i="18"/>
  <c r="H2555" i="18"/>
  <c r="I2555" i="18"/>
  <c r="J2555" i="18"/>
  <c r="K2555" i="18"/>
  <c r="L2555" i="18"/>
  <c r="B2556" i="18"/>
  <c r="C2556" i="18"/>
  <c r="D2556" i="18"/>
  <c r="E2556" i="18"/>
  <c r="F2556" i="18"/>
  <c r="G2556" i="18"/>
  <c r="H2556" i="18"/>
  <c r="I2556" i="18"/>
  <c r="J2556" i="18"/>
  <c r="K2556" i="18"/>
  <c r="L2556" i="18"/>
  <c r="B2557" i="18"/>
  <c r="C2557" i="18"/>
  <c r="D2557" i="18"/>
  <c r="E2557" i="18"/>
  <c r="F2557" i="18"/>
  <c r="G2557" i="18"/>
  <c r="H2557" i="18"/>
  <c r="I2557" i="18"/>
  <c r="J2557" i="18"/>
  <c r="K2557" i="18"/>
  <c r="L2557" i="18"/>
  <c r="B2558" i="18"/>
  <c r="C2558" i="18"/>
  <c r="D2558" i="18"/>
  <c r="E2558" i="18"/>
  <c r="F2558" i="18"/>
  <c r="G2558" i="18"/>
  <c r="H2558" i="18"/>
  <c r="I2558" i="18"/>
  <c r="J2558" i="18"/>
  <c r="K2558" i="18"/>
  <c r="L2558" i="18"/>
  <c r="B2559" i="18"/>
  <c r="C2559" i="18"/>
  <c r="D2559" i="18"/>
  <c r="E2559" i="18"/>
  <c r="F2559" i="18"/>
  <c r="G2559" i="18"/>
  <c r="H2559" i="18"/>
  <c r="I2559" i="18"/>
  <c r="J2559" i="18"/>
  <c r="K2559" i="18"/>
  <c r="L2559" i="18"/>
  <c r="B2560" i="18"/>
  <c r="C2560" i="18"/>
  <c r="D2560" i="18"/>
  <c r="E2560" i="18"/>
  <c r="F2560" i="18"/>
  <c r="G2560" i="18"/>
  <c r="H2560" i="18"/>
  <c r="I2560" i="18"/>
  <c r="J2560" i="18"/>
  <c r="K2560" i="18"/>
  <c r="L2560" i="18"/>
  <c r="B2561" i="18"/>
  <c r="C2561" i="18"/>
  <c r="D2561" i="18"/>
  <c r="E2561" i="18"/>
  <c r="F2561" i="18"/>
  <c r="G2561" i="18"/>
  <c r="H2561" i="18"/>
  <c r="I2561" i="18"/>
  <c r="J2561" i="18"/>
  <c r="K2561" i="18"/>
  <c r="L2561" i="18"/>
  <c r="B2562" i="18"/>
  <c r="C2562" i="18"/>
  <c r="D2562" i="18"/>
  <c r="E2562" i="18"/>
  <c r="F2562" i="18"/>
  <c r="G2562" i="18"/>
  <c r="H2562" i="18"/>
  <c r="I2562" i="18"/>
  <c r="J2562" i="18"/>
  <c r="K2562" i="18"/>
  <c r="L2562" i="18"/>
  <c r="B2563" i="18"/>
  <c r="C2563" i="18"/>
  <c r="D2563" i="18"/>
  <c r="E2563" i="18"/>
  <c r="F2563" i="18"/>
  <c r="G2563" i="18"/>
  <c r="H2563" i="18"/>
  <c r="I2563" i="18"/>
  <c r="J2563" i="18"/>
  <c r="K2563" i="18"/>
  <c r="L2563" i="18"/>
  <c r="B2564" i="18"/>
  <c r="C2564" i="18"/>
  <c r="D2564" i="18"/>
  <c r="E2564" i="18"/>
  <c r="F2564" i="18"/>
  <c r="G2564" i="18"/>
  <c r="H2564" i="18"/>
  <c r="I2564" i="18"/>
  <c r="J2564" i="18"/>
  <c r="K2564" i="18"/>
  <c r="L2564" i="18"/>
  <c r="B2565" i="18"/>
  <c r="C2565" i="18"/>
  <c r="D2565" i="18"/>
  <c r="E2565" i="18"/>
  <c r="F2565" i="18"/>
  <c r="G2565" i="18"/>
  <c r="H2565" i="18"/>
  <c r="I2565" i="18"/>
  <c r="J2565" i="18"/>
  <c r="K2565" i="18"/>
  <c r="L2565" i="18"/>
  <c r="B2566" i="18"/>
  <c r="C2566" i="18"/>
  <c r="D2566" i="18"/>
  <c r="E2566" i="18"/>
  <c r="F2566" i="18"/>
  <c r="G2566" i="18"/>
  <c r="H2566" i="18"/>
  <c r="I2566" i="18"/>
  <c r="J2566" i="18"/>
  <c r="K2566" i="18"/>
  <c r="L2566" i="18"/>
  <c r="B2567" i="18"/>
  <c r="C2567" i="18"/>
  <c r="D2567" i="18"/>
  <c r="E2567" i="18"/>
  <c r="F2567" i="18"/>
  <c r="G2567" i="18"/>
  <c r="H2567" i="18"/>
  <c r="I2567" i="18"/>
  <c r="J2567" i="18"/>
  <c r="K2567" i="18"/>
  <c r="L2567" i="18"/>
  <c r="B2568" i="18"/>
  <c r="C2568" i="18"/>
  <c r="D2568" i="18"/>
  <c r="E2568" i="18"/>
  <c r="F2568" i="18"/>
  <c r="G2568" i="18"/>
  <c r="H2568" i="18"/>
  <c r="I2568" i="18"/>
  <c r="J2568" i="18"/>
  <c r="K2568" i="18"/>
  <c r="L2568" i="18"/>
  <c r="B2569" i="18"/>
  <c r="C2569" i="18"/>
  <c r="D2569" i="18"/>
  <c r="E2569" i="18"/>
  <c r="F2569" i="18"/>
  <c r="G2569" i="18"/>
  <c r="H2569" i="18"/>
  <c r="I2569" i="18"/>
  <c r="J2569" i="18"/>
  <c r="K2569" i="18"/>
  <c r="L2569" i="18"/>
  <c r="B2570" i="18"/>
  <c r="C2570" i="18"/>
  <c r="D2570" i="18"/>
  <c r="E2570" i="18"/>
  <c r="F2570" i="18"/>
  <c r="G2570" i="18"/>
  <c r="H2570" i="18"/>
  <c r="I2570" i="18"/>
  <c r="J2570" i="18"/>
  <c r="K2570" i="18"/>
  <c r="L2570" i="18"/>
  <c r="B2571" i="18"/>
  <c r="C2571" i="18"/>
  <c r="D2571" i="18"/>
  <c r="E2571" i="18"/>
  <c r="F2571" i="18"/>
  <c r="G2571" i="18"/>
  <c r="H2571" i="18"/>
  <c r="I2571" i="18"/>
  <c r="J2571" i="18"/>
  <c r="K2571" i="18"/>
  <c r="L2571" i="18"/>
  <c r="B2572" i="18"/>
  <c r="C2572" i="18"/>
  <c r="D2572" i="18"/>
  <c r="E2572" i="18"/>
  <c r="F2572" i="18"/>
  <c r="G2572" i="18"/>
  <c r="H2572" i="18"/>
  <c r="I2572" i="18"/>
  <c r="J2572" i="18"/>
  <c r="K2572" i="18"/>
  <c r="L2572" i="18"/>
  <c r="B2573" i="18"/>
  <c r="C2573" i="18"/>
  <c r="D2573" i="18"/>
  <c r="E2573" i="18"/>
  <c r="F2573" i="18"/>
  <c r="G2573" i="18"/>
  <c r="H2573" i="18"/>
  <c r="I2573" i="18"/>
  <c r="J2573" i="18"/>
  <c r="K2573" i="18"/>
  <c r="L2573" i="18"/>
  <c r="B2574" i="18"/>
  <c r="C2574" i="18"/>
  <c r="D2574" i="18"/>
  <c r="E2574" i="18"/>
  <c r="F2574" i="18"/>
  <c r="G2574" i="18"/>
  <c r="H2574" i="18"/>
  <c r="I2574" i="18"/>
  <c r="J2574" i="18"/>
  <c r="K2574" i="18"/>
  <c r="L2574" i="18"/>
  <c r="B2575" i="18"/>
  <c r="C2575" i="18"/>
  <c r="D2575" i="18"/>
  <c r="E2575" i="18"/>
  <c r="F2575" i="18"/>
  <c r="G2575" i="18"/>
  <c r="H2575" i="18"/>
  <c r="I2575" i="18"/>
  <c r="J2575" i="18"/>
  <c r="K2575" i="18"/>
  <c r="L2575" i="18"/>
  <c r="B2576" i="18"/>
  <c r="C2576" i="18"/>
  <c r="D2576" i="18"/>
  <c r="E2576" i="18"/>
  <c r="F2576" i="18"/>
  <c r="G2576" i="18"/>
  <c r="H2576" i="18"/>
  <c r="I2576" i="18"/>
  <c r="J2576" i="18"/>
  <c r="K2576" i="18"/>
  <c r="L2576" i="18"/>
  <c r="B2577" i="18"/>
  <c r="C2577" i="18"/>
  <c r="D2577" i="18"/>
  <c r="E2577" i="18"/>
  <c r="F2577" i="18"/>
  <c r="G2577" i="18"/>
  <c r="H2577" i="18"/>
  <c r="I2577" i="18"/>
  <c r="J2577" i="18"/>
  <c r="K2577" i="18"/>
  <c r="L2577" i="18"/>
  <c r="B2578" i="18"/>
  <c r="C2578" i="18"/>
  <c r="D2578" i="18"/>
  <c r="E2578" i="18"/>
  <c r="F2578" i="18"/>
  <c r="G2578" i="18"/>
  <c r="H2578" i="18"/>
  <c r="I2578" i="18"/>
  <c r="J2578" i="18"/>
  <c r="K2578" i="18"/>
  <c r="L2578" i="18"/>
  <c r="B2579" i="18"/>
  <c r="C2579" i="18"/>
  <c r="D2579" i="18"/>
  <c r="E2579" i="18"/>
  <c r="F2579" i="18"/>
  <c r="G2579" i="18"/>
  <c r="H2579" i="18"/>
  <c r="I2579" i="18"/>
  <c r="J2579" i="18"/>
  <c r="K2579" i="18"/>
  <c r="L2579" i="18"/>
  <c r="B2580" i="18"/>
  <c r="C2580" i="18"/>
  <c r="D2580" i="18"/>
  <c r="E2580" i="18"/>
  <c r="F2580" i="18"/>
  <c r="G2580" i="18"/>
  <c r="H2580" i="18"/>
  <c r="I2580" i="18"/>
  <c r="J2580" i="18"/>
  <c r="K2580" i="18"/>
  <c r="L2580" i="18"/>
  <c r="B2581" i="18"/>
  <c r="C2581" i="18"/>
  <c r="D2581" i="18"/>
  <c r="E2581" i="18"/>
  <c r="F2581" i="18"/>
  <c r="G2581" i="18"/>
  <c r="H2581" i="18"/>
  <c r="I2581" i="18"/>
  <c r="J2581" i="18"/>
  <c r="K2581" i="18"/>
  <c r="L2581" i="18"/>
  <c r="B2582" i="18"/>
  <c r="C2582" i="18"/>
  <c r="D2582" i="18"/>
  <c r="E2582" i="18"/>
  <c r="F2582" i="18"/>
  <c r="G2582" i="18"/>
  <c r="H2582" i="18"/>
  <c r="I2582" i="18"/>
  <c r="J2582" i="18"/>
  <c r="K2582" i="18"/>
  <c r="L2582" i="18"/>
  <c r="B2583" i="18"/>
  <c r="C2583" i="18"/>
  <c r="D2583" i="18"/>
  <c r="E2583" i="18"/>
  <c r="F2583" i="18"/>
  <c r="G2583" i="18"/>
  <c r="H2583" i="18"/>
  <c r="I2583" i="18"/>
  <c r="J2583" i="18"/>
  <c r="K2583" i="18"/>
  <c r="L2583" i="18"/>
  <c r="B2584" i="18"/>
  <c r="C2584" i="18"/>
  <c r="D2584" i="18"/>
  <c r="E2584" i="18"/>
  <c r="F2584" i="18"/>
  <c r="G2584" i="18"/>
  <c r="H2584" i="18"/>
  <c r="I2584" i="18"/>
  <c r="J2584" i="18"/>
  <c r="K2584" i="18"/>
  <c r="L2584" i="18"/>
  <c r="B2585" i="18"/>
  <c r="C2585" i="18"/>
  <c r="D2585" i="18"/>
  <c r="E2585" i="18"/>
  <c r="F2585" i="18"/>
  <c r="G2585" i="18"/>
  <c r="H2585" i="18"/>
  <c r="I2585" i="18"/>
  <c r="J2585" i="18"/>
  <c r="K2585" i="18"/>
  <c r="L2585" i="18"/>
  <c r="B2586" i="18"/>
  <c r="C2586" i="18"/>
  <c r="D2586" i="18"/>
  <c r="E2586" i="18"/>
  <c r="F2586" i="18"/>
  <c r="G2586" i="18"/>
  <c r="H2586" i="18"/>
  <c r="I2586" i="18"/>
  <c r="J2586" i="18"/>
  <c r="K2586" i="18"/>
  <c r="L2586" i="18"/>
  <c r="B2587" i="18"/>
  <c r="C2587" i="18"/>
  <c r="D2587" i="18"/>
  <c r="E2587" i="18"/>
  <c r="F2587" i="18"/>
  <c r="G2587" i="18"/>
  <c r="H2587" i="18"/>
  <c r="I2587" i="18"/>
  <c r="J2587" i="18"/>
  <c r="K2587" i="18"/>
  <c r="L2587" i="18"/>
  <c r="B2588" i="18"/>
  <c r="C2588" i="18"/>
  <c r="D2588" i="18"/>
  <c r="E2588" i="18"/>
  <c r="F2588" i="18"/>
  <c r="G2588" i="18"/>
  <c r="H2588" i="18"/>
  <c r="I2588" i="18"/>
  <c r="J2588" i="18"/>
  <c r="K2588" i="18"/>
  <c r="L2588" i="18"/>
  <c r="B2589" i="18"/>
  <c r="C2589" i="18"/>
  <c r="D2589" i="18"/>
  <c r="E2589" i="18"/>
  <c r="F2589" i="18"/>
  <c r="G2589" i="18"/>
  <c r="H2589" i="18"/>
  <c r="I2589" i="18"/>
  <c r="J2589" i="18"/>
  <c r="K2589" i="18"/>
  <c r="L2589" i="18"/>
  <c r="B2590" i="18"/>
  <c r="C2590" i="18"/>
  <c r="D2590" i="18"/>
  <c r="E2590" i="18"/>
  <c r="F2590" i="18"/>
  <c r="G2590" i="18"/>
  <c r="H2590" i="18"/>
  <c r="I2590" i="18"/>
  <c r="J2590" i="18"/>
  <c r="K2590" i="18"/>
  <c r="L2590" i="18"/>
  <c r="B2591" i="18"/>
  <c r="C2591" i="18"/>
  <c r="D2591" i="18"/>
  <c r="E2591" i="18"/>
  <c r="F2591" i="18"/>
  <c r="G2591" i="18"/>
  <c r="H2591" i="18"/>
  <c r="I2591" i="18"/>
  <c r="J2591" i="18"/>
  <c r="K2591" i="18"/>
  <c r="L2591" i="18"/>
  <c r="B2592" i="18"/>
  <c r="C2592" i="18"/>
  <c r="D2592" i="18"/>
  <c r="E2592" i="18"/>
  <c r="F2592" i="18"/>
  <c r="G2592" i="18"/>
  <c r="H2592" i="18"/>
  <c r="I2592" i="18"/>
  <c r="J2592" i="18"/>
  <c r="K2592" i="18"/>
  <c r="L2592" i="18"/>
  <c r="B2593" i="18"/>
  <c r="C2593" i="18"/>
  <c r="D2593" i="18"/>
  <c r="E2593" i="18"/>
  <c r="F2593" i="18"/>
  <c r="G2593" i="18"/>
  <c r="H2593" i="18"/>
  <c r="I2593" i="18"/>
  <c r="J2593" i="18"/>
  <c r="K2593" i="18"/>
  <c r="L2593" i="18"/>
  <c r="B2594" i="18"/>
  <c r="C2594" i="18"/>
  <c r="D2594" i="18"/>
  <c r="E2594" i="18"/>
  <c r="F2594" i="18"/>
  <c r="G2594" i="18"/>
  <c r="H2594" i="18"/>
  <c r="I2594" i="18"/>
  <c r="J2594" i="18"/>
  <c r="K2594" i="18"/>
  <c r="L2594" i="18"/>
  <c r="B2595" i="18"/>
  <c r="C2595" i="18"/>
  <c r="D2595" i="18"/>
  <c r="E2595" i="18"/>
  <c r="F2595" i="18"/>
  <c r="G2595" i="18"/>
  <c r="H2595" i="18"/>
  <c r="I2595" i="18"/>
  <c r="J2595" i="18"/>
  <c r="K2595" i="18"/>
  <c r="L2595" i="18"/>
  <c r="B2596" i="18"/>
  <c r="C2596" i="18"/>
  <c r="D2596" i="18"/>
  <c r="E2596" i="18"/>
  <c r="F2596" i="18"/>
  <c r="G2596" i="18"/>
  <c r="H2596" i="18"/>
  <c r="I2596" i="18"/>
  <c r="J2596" i="18"/>
  <c r="K2596" i="18"/>
  <c r="L2596" i="18"/>
  <c r="B2597" i="18"/>
  <c r="C2597" i="18"/>
  <c r="D2597" i="18"/>
  <c r="E2597" i="18"/>
  <c r="F2597" i="18"/>
  <c r="G2597" i="18"/>
  <c r="H2597" i="18"/>
  <c r="I2597" i="18"/>
  <c r="J2597" i="18"/>
  <c r="K2597" i="18"/>
  <c r="L2597" i="18"/>
  <c r="B2598" i="18"/>
  <c r="C2598" i="18"/>
  <c r="D2598" i="18"/>
  <c r="E2598" i="18"/>
  <c r="F2598" i="18"/>
  <c r="G2598" i="18"/>
  <c r="H2598" i="18"/>
  <c r="I2598" i="18"/>
  <c r="J2598" i="18"/>
  <c r="K2598" i="18"/>
  <c r="L2598" i="18"/>
  <c r="B2599" i="18"/>
  <c r="C2599" i="18"/>
  <c r="D2599" i="18"/>
  <c r="E2599" i="18"/>
  <c r="F2599" i="18"/>
  <c r="G2599" i="18"/>
  <c r="H2599" i="18"/>
  <c r="I2599" i="18"/>
  <c r="J2599" i="18"/>
  <c r="K2599" i="18"/>
  <c r="L2599" i="18"/>
  <c r="B2600" i="18"/>
  <c r="C2600" i="18"/>
  <c r="D2600" i="18"/>
  <c r="E2600" i="18"/>
  <c r="F2600" i="18"/>
  <c r="G2600" i="18"/>
  <c r="H2600" i="18"/>
  <c r="I2600" i="18"/>
  <c r="J2600" i="18"/>
  <c r="K2600" i="18"/>
  <c r="L2600" i="18"/>
  <c r="B2601" i="18"/>
  <c r="C2601" i="18"/>
  <c r="D2601" i="18"/>
  <c r="E2601" i="18"/>
  <c r="F2601" i="18"/>
  <c r="G2601" i="18"/>
  <c r="H2601" i="18"/>
  <c r="I2601" i="18"/>
  <c r="J2601" i="18"/>
  <c r="K2601" i="18"/>
  <c r="L2601" i="18"/>
  <c r="B2602" i="18"/>
  <c r="C2602" i="18"/>
  <c r="D2602" i="18"/>
  <c r="E2602" i="18"/>
  <c r="F2602" i="18"/>
  <c r="G2602" i="18"/>
  <c r="H2602" i="18"/>
  <c r="I2602" i="18"/>
  <c r="J2602" i="18"/>
  <c r="K2602" i="18"/>
  <c r="L2602" i="18"/>
  <c r="B2603" i="18"/>
  <c r="C2603" i="18"/>
  <c r="D2603" i="18"/>
  <c r="E2603" i="18"/>
  <c r="F2603" i="18"/>
  <c r="G2603" i="18"/>
  <c r="H2603" i="18"/>
  <c r="I2603" i="18"/>
  <c r="J2603" i="18"/>
  <c r="K2603" i="18"/>
  <c r="L2603" i="18"/>
  <c r="B2604" i="18"/>
  <c r="C2604" i="18"/>
  <c r="D2604" i="18"/>
  <c r="E2604" i="18"/>
  <c r="F2604" i="18"/>
  <c r="G2604" i="18"/>
  <c r="H2604" i="18"/>
  <c r="I2604" i="18"/>
  <c r="J2604" i="18"/>
  <c r="K2604" i="18"/>
  <c r="L2604" i="18"/>
  <c r="B2605" i="18"/>
  <c r="C2605" i="18"/>
  <c r="D2605" i="18"/>
  <c r="E2605" i="18"/>
  <c r="F2605" i="18"/>
  <c r="G2605" i="18"/>
  <c r="H2605" i="18"/>
  <c r="I2605" i="18"/>
  <c r="J2605" i="18"/>
  <c r="K2605" i="18"/>
  <c r="L2605" i="18"/>
  <c r="B2606" i="18"/>
  <c r="C2606" i="18"/>
  <c r="D2606" i="18"/>
  <c r="E2606" i="18"/>
  <c r="F2606" i="18"/>
  <c r="G2606" i="18"/>
  <c r="H2606" i="18"/>
  <c r="I2606" i="18"/>
  <c r="J2606" i="18"/>
  <c r="K2606" i="18"/>
  <c r="L2606" i="18"/>
  <c r="B2607" i="18"/>
  <c r="C2607" i="18"/>
  <c r="D2607" i="18"/>
  <c r="E2607" i="18"/>
  <c r="F2607" i="18"/>
  <c r="G2607" i="18"/>
  <c r="H2607" i="18"/>
  <c r="I2607" i="18"/>
  <c r="J2607" i="18"/>
  <c r="K2607" i="18"/>
  <c r="L2607" i="18"/>
  <c r="B2608" i="18"/>
  <c r="C2608" i="18"/>
  <c r="D2608" i="18"/>
  <c r="E2608" i="18"/>
  <c r="F2608" i="18"/>
  <c r="G2608" i="18"/>
  <c r="H2608" i="18"/>
  <c r="I2608" i="18"/>
  <c r="J2608" i="18"/>
  <c r="K2608" i="18"/>
  <c r="L2608" i="18"/>
  <c r="B2609" i="18"/>
  <c r="C2609" i="18"/>
  <c r="D2609" i="18"/>
  <c r="E2609" i="18"/>
  <c r="F2609" i="18"/>
  <c r="G2609" i="18"/>
  <c r="H2609" i="18"/>
  <c r="I2609" i="18"/>
  <c r="J2609" i="18"/>
  <c r="K2609" i="18"/>
  <c r="L2609" i="18"/>
  <c r="B2610" i="18"/>
  <c r="C2610" i="18"/>
  <c r="D2610" i="18"/>
  <c r="E2610" i="18"/>
  <c r="F2610" i="18"/>
  <c r="G2610" i="18"/>
  <c r="H2610" i="18"/>
  <c r="I2610" i="18"/>
  <c r="J2610" i="18"/>
  <c r="K2610" i="18"/>
  <c r="L2610" i="18"/>
  <c r="B2611" i="18"/>
  <c r="C2611" i="18"/>
  <c r="D2611" i="18"/>
  <c r="E2611" i="18"/>
  <c r="F2611" i="18"/>
  <c r="G2611" i="18"/>
  <c r="H2611" i="18"/>
  <c r="I2611" i="18"/>
  <c r="J2611" i="18"/>
  <c r="K2611" i="18"/>
  <c r="L2611" i="18"/>
  <c r="B2612" i="18"/>
  <c r="C2612" i="18"/>
  <c r="D2612" i="18"/>
  <c r="E2612" i="18"/>
  <c r="F2612" i="18"/>
  <c r="G2612" i="18"/>
  <c r="H2612" i="18"/>
  <c r="I2612" i="18"/>
  <c r="J2612" i="18"/>
  <c r="K2612" i="18"/>
  <c r="L2612" i="18"/>
  <c r="B2613" i="18"/>
  <c r="C2613" i="18"/>
  <c r="D2613" i="18"/>
  <c r="E2613" i="18"/>
  <c r="F2613" i="18"/>
  <c r="G2613" i="18"/>
  <c r="H2613" i="18"/>
  <c r="I2613" i="18"/>
  <c r="J2613" i="18"/>
  <c r="K2613" i="18"/>
  <c r="L2613" i="18"/>
  <c r="B2614" i="18"/>
  <c r="C2614" i="18"/>
  <c r="D2614" i="18"/>
  <c r="E2614" i="18"/>
  <c r="F2614" i="18"/>
  <c r="G2614" i="18"/>
  <c r="H2614" i="18"/>
  <c r="I2614" i="18"/>
  <c r="J2614" i="18"/>
  <c r="K2614" i="18"/>
  <c r="L2614" i="18"/>
  <c r="B2615" i="18"/>
  <c r="C2615" i="18"/>
  <c r="D2615" i="18"/>
  <c r="E2615" i="18"/>
  <c r="F2615" i="18"/>
  <c r="G2615" i="18"/>
  <c r="H2615" i="18"/>
  <c r="I2615" i="18"/>
  <c r="J2615" i="18"/>
  <c r="K2615" i="18"/>
  <c r="L2615" i="18"/>
  <c r="B2616" i="18"/>
  <c r="C2616" i="18"/>
  <c r="D2616" i="18"/>
  <c r="E2616" i="18"/>
  <c r="F2616" i="18"/>
  <c r="G2616" i="18"/>
  <c r="H2616" i="18"/>
  <c r="I2616" i="18"/>
  <c r="J2616" i="18"/>
  <c r="K2616" i="18"/>
  <c r="L2616" i="18"/>
  <c r="B2617" i="18"/>
  <c r="C2617" i="18"/>
  <c r="D2617" i="18"/>
  <c r="E2617" i="18"/>
  <c r="F2617" i="18"/>
  <c r="G2617" i="18"/>
  <c r="H2617" i="18"/>
  <c r="I2617" i="18"/>
  <c r="J2617" i="18"/>
  <c r="K2617" i="18"/>
  <c r="L2617" i="18"/>
  <c r="B2618" i="18"/>
  <c r="C2618" i="18"/>
  <c r="D2618" i="18"/>
  <c r="E2618" i="18"/>
  <c r="F2618" i="18"/>
  <c r="G2618" i="18"/>
  <c r="H2618" i="18"/>
  <c r="I2618" i="18"/>
  <c r="J2618" i="18"/>
  <c r="K2618" i="18"/>
  <c r="L2618" i="18"/>
  <c r="B2619" i="18"/>
  <c r="C2619" i="18"/>
  <c r="D2619" i="18"/>
  <c r="E2619" i="18"/>
  <c r="F2619" i="18"/>
  <c r="G2619" i="18"/>
  <c r="H2619" i="18"/>
  <c r="I2619" i="18"/>
  <c r="J2619" i="18"/>
  <c r="K2619" i="18"/>
  <c r="L2619" i="18"/>
  <c r="B2620" i="18"/>
  <c r="C2620" i="18"/>
  <c r="D2620" i="18"/>
  <c r="E2620" i="18"/>
  <c r="F2620" i="18"/>
  <c r="G2620" i="18"/>
  <c r="H2620" i="18"/>
  <c r="I2620" i="18"/>
  <c r="J2620" i="18"/>
  <c r="K2620" i="18"/>
  <c r="L2620" i="18"/>
  <c r="B2621" i="18"/>
  <c r="C2621" i="18"/>
  <c r="D2621" i="18"/>
  <c r="E2621" i="18"/>
  <c r="F2621" i="18"/>
  <c r="G2621" i="18"/>
  <c r="H2621" i="18"/>
  <c r="I2621" i="18"/>
  <c r="J2621" i="18"/>
  <c r="K2621" i="18"/>
  <c r="L2621" i="18"/>
  <c r="B2622" i="18"/>
  <c r="C2622" i="18"/>
  <c r="D2622" i="18"/>
  <c r="E2622" i="18"/>
  <c r="F2622" i="18"/>
  <c r="G2622" i="18"/>
  <c r="H2622" i="18"/>
  <c r="I2622" i="18"/>
  <c r="J2622" i="18"/>
  <c r="K2622" i="18"/>
  <c r="L2622" i="18"/>
  <c r="B2623" i="18"/>
  <c r="C2623" i="18"/>
  <c r="D2623" i="18"/>
  <c r="E2623" i="18"/>
  <c r="F2623" i="18"/>
  <c r="G2623" i="18"/>
  <c r="H2623" i="18"/>
  <c r="I2623" i="18"/>
  <c r="J2623" i="18"/>
  <c r="K2623" i="18"/>
  <c r="L2623" i="18"/>
  <c r="B2624" i="18"/>
  <c r="C2624" i="18"/>
  <c r="D2624" i="18"/>
  <c r="E2624" i="18"/>
  <c r="F2624" i="18"/>
  <c r="G2624" i="18"/>
  <c r="H2624" i="18"/>
  <c r="I2624" i="18"/>
  <c r="J2624" i="18"/>
  <c r="K2624" i="18"/>
  <c r="L2624" i="18"/>
  <c r="B2625" i="18"/>
  <c r="C2625" i="18"/>
  <c r="D2625" i="18"/>
  <c r="E2625" i="18"/>
  <c r="F2625" i="18"/>
  <c r="G2625" i="18"/>
  <c r="H2625" i="18"/>
  <c r="I2625" i="18"/>
  <c r="J2625" i="18"/>
  <c r="K2625" i="18"/>
  <c r="L2625" i="18"/>
  <c r="B2626" i="18"/>
  <c r="C2626" i="18"/>
  <c r="D2626" i="18"/>
  <c r="E2626" i="18"/>
  <c r="F2626" i="18"/>
  <c r="G2626" i="18"/>
  <c r="H2626" i="18"/>
  <c r="I2626" i="18"/>
  <c r="J2626" i="18"/>
  <c r="K2626" i="18"/>
  <c r="L2626" i="18"/>
  <c r="B2627" i="18"/>
  <c r="C2627" i="18"/>
  <c r="D2627" i="18"/>
  <c r="E2627" i="18"/>
  <c r="F2627" i="18"/>
  <c r="G2627" i="18"/>
  <c r="H2627" i="18"/>
  <c r="I2627" i="18"/>
  <c r="J2627" i="18"/>
  <c r="K2627" i="18"/>
  <c r="L2627" i="18"/>
  <c r="B2628" i="18"/>
  <c r="C2628" i="18"/>
  <c r="D2628" i="18"/>
  <c r="E2628" i="18"/>
  <c r="F2628" i="18"/>
  <c r="G2628" i="18"/>
  <c r="H2628" i="18"/>
  <c r="I2628" i="18"/>
  <c r="J2628" i="18"/>
  <c r="K2628" i="18"/>
  <c r="L2628" i="18"/>
  <c r="B2629" i="18"/>
  <c r="C2629" i="18"/>
  <c r="D2629" i="18"/>
  <c r="E2629" i="18"/>
  <c r="F2629" i="18"/>
  <c r="G2629" i="18"/>
  <c r="H2629" i="18"/>
  <c r="I2629" i="18"/>
  <c r="J2629" i="18"/>
  <c r="K2629" i="18"/>
  <c r="L2629" i="18"/>
  <c r="B2630" i="18"/>
  <c r="C2630" i="18"/>
  <c r="D2630" i="18"/>
  <c r="E2630" i="18"/>
  <c r="F2630" i="18"/>
  <c r="G2630" i="18"/>
  <c r="H2630" i="18"/>
  <c r="I2630" i="18"/>
  <c r="J2630" i="18"/>
  <c r="K2630" i="18"/>
  <c r="L2630" i="18"/>
  <c r="B2631" i="18"/>
  <c r="C2631" i="18"/>
  <c r="D2631" i="18"/>
  <c r="E2631" i="18"/>
  <c r="F2631" i="18"/>
  <c r="G2631" i="18"/>
  <c r="H2631" i="18"/>
  <c r="I2631" i="18"/>
  <c r="J2631" i="18"/>
  <c r="K2631" i="18"/>
  <c r="L2631" i="18"/>
  <c r="B2632" i="18"/>
  <c r="C2632" i="18"/>
  <c r="D2632" i="18"/>
  <c r="E2632" i="18"/>
  <c r="F2632" i="18"/>
  <c r="G2632" i="18"/>
  <c r="H2632" i="18"/>
  <c r="I2632" i="18"/>
  <c r="J2632" i="18"/>
  <c r="K2632" i="18"/>
  <c r="L2632" i="18"/>
  <c r="B2633" i="18"/>
  <c r="C2633" i="18"/>
  <c r="D2633" i="18"/>
  <c r="E2633" i="18"/>
  <c r="F2633" i="18"/>
  <c r="G2633" i="18"/>
  <c r="H2633" i="18"/>
  <c r="I2633" i="18"/>
  <c r="J2633" i="18"/>
  <c r="K2633" i="18"/>
  <c r="L2633" i="18"/>
  <c r="B2634" i="18"/>
  <c r="C2634" i="18"/>
  <c r="D2634" i="18"/>
  <c r="E2634" i="18"/>
  <c r="F2634" i="18"/>
  <c r="G2634" i="18"/>
  <c r="H2634" i="18"/>
  <c r="I2634" i="18"/>
  <c r="J2634" i="18"/>
  <c r="K2634" i="18"/>
  <c r="L2634" i="18"/>
  <c r="B2635" i="18"/>
  <c r="C2635" i="18"/>
  <c r="D2635" i="18"/>
  <c r="E2635" i="18"/>
  <c r="F2635" i="18"/>
  <c r="G2635" i="18"/>
  <c r="H2635" i="18"/>
  <c r="I2635" i="18"/>
  <c r="J2635" i="18"/>
  <c r="K2635" i="18"/>
  <c r="L2635" i="18"/>
  <c r="B2636" i="18"/>
  <c r="C2636" i="18"/>
  <c r="D2636" i="18"/>
  <c r="E2636" i="18"/>
  <c r="F2636" i="18"/>
  <c r="G2636" i="18"/>
  <c r="H2636" i="18"/>
  <c r="I2636" i="18"/>
  <c r="J2636" i="18"/>
  <c r="K2636" i="18"/>
  <c r="L2636" i="18"/>
  <c r="B2637" i="18"/>
  <c r="C2637" i="18"/>
  <c r="D2637" i="18"/>
  <c r="E2637" i="18"/>
  <c r="F2637" i="18"/>
  <c r="G2637" i="18"/>
  <c r="H2637" i="18"/>
  <c r="I2637" i="18"/>
  <c r="J2637" i="18"/>
  <c r="K2637" i="18"/>
  <c r="L2637" i="18"/>
  <c r="B2638" i="18"/>
  <c r="C2638" i="18"/>
  <c r="D2638" i="18"/>
  <c r="E2638" i="18"/>
  <c r="F2638" i="18"/>
  <c r="G2638" i="18"/>
  <c r="H2638" i="18"/>
  <c r="I2638" i="18"/>
  <c r="J2638" i="18"/>
  <c r="K2638" i="18"/>
  <c r="L2638" i="18"/>
  <c r="B2639" i="18"/>
  <c r="C2639" i="18"/>
  <c r="D2639" i="18"/>
  <c r="E2639" i="18"/>
  <c r="F2639" i="18"/>
  <c r="G2639" i="18"/>
  <c r="H2639" i="18"/>
  <c r="I2639" i="18"/>
  <c r="J2639" i="18"/>
  <c r="K2639" i="18"/>
  <c r="L2639" i="18"/>
  <c r="B2640" i="18"/>
  <c r="C2640" i="18"/>
  <c r="D2640" i="18"/>
  <c r="E2640" i="18"/>
  <c r="F2640" i="18"/>
  <c r="G2640" i="18"/>
  <c r="H2640" i="18"/>
  <c r="I2640" i="18"/>
  <c r="J2640" i="18"/>
  <c r="K2640" i="18"/>
  <c r="L2640" i="18"/>
  <c r="B2641" i="18"/>
  <c r="C2641" i="18"/>
  <c r="D2641" i="18"/>
  <c r="E2641" i="18"/>
  <c r="F2641" i="18"/>
  <c r="G2641" i="18"/>
  <c r="H2641" i="18"/>
  <c r="I2641" i="18"/>
  <c r="J2641" i="18"/>
  <c r="K2641" i="18"/>
  <c r="L2641" i="18"/>
  <c r="B2642" i="18"/>
  <c r="C2642" i="18"/>
  <c r="D2642" i="18"/>
  <c r="E2642" i="18"/>
  <c r="F2642" i="18"/>
  <c r="G2642" i="18"/>
  <c r="H2642" i="18"/>
  <c r="I2642" i="18"/>
  <c r="J2642" i="18"/>
  <c r="K2642" i="18"/>
  <c r="L2642" i="18"/>
  <c r="B2643" i="18"/>
  <c r="C2643" i="18"/>
  <c r="D2643" i="18"/>
  <c r="E2643" i="18"/>
  <c r="F2643" i="18"/>
  <c r="G2643" i="18"/>
  <c r="H2643" i="18"/>
  <c r="I2643" i="18"/>
  <c r="J2643" i="18"/>
  <c r="K2643" i="18"/>
  <c r="L2643" i="18"/>
  <c r="B2644" i="18"/>
  <c r="C2644" i="18"/>
  <c r="D2644" i="18"/>
  <c r="E2644" i="18"/>
  <c r="F2644" i="18"/>
  <c r="G2644" i="18"/>
  <c r="H2644" i="18"/>
  <c r="I2644" i="18"/>
  <c r="J2644" i="18"/>
  <c r="K2644" i="18"/>
  <c r="L2644" i="18"/>
  <c r="B2645" i="18"/>
  <c r="C2645" i="18"/>
  <c r="D2645" i="18"/>
  <c r="E2645" i="18"/>
  <c r="F2645" i="18"/>
  <c r="G2645" i="18"/>
  <c r="H2645" i="18"/>
  <c r="I2645" i="18"/>
  <c r="J2645" i="18"/>
  <c r="K2645" i="18"/>
  <c r="L2645" i="18"/>
  <c r="B2646" i="18"/>
  <c r="C2646" i="18"/>
  <c r="D2646" i="18"/>
  <c r="E2646" i="18"/>
  <c r="F2646" i="18"/>
  <c r="G2646" i="18"/>
  <c r="H2646" i="18"/>
  <c r="I2646" i="18"/>
  <c r="J2646" i="18"/>
  <c r="K2646" i="18"/>
  <c r="L2646" i="18"/>
  <c r="B2647" i="18"/>
  <c r="C2647" i="18"/>
  <c r="D2647" i="18"/>
  <c r="E2647" i="18"/>
  <c r="F2647" i="18"/>
  <c r="G2647" i="18"/>
  <c r="H2647" i="18"/>
  <c r="I2647" i="18"/>
  <c r="J2647" i="18"/>
  <c r="K2647" i="18"/>
  <c r="L2647" i="18"/>
  <c r="B2648" i="18"/>
  <c r="C2648" i="18"/>
  <c r="D2648" i="18"/>
  <c r="E2648" i="18"/>
  <c r="F2648" i="18"/>
  <c r="G2648" i="18"/>
  <c r="H2648" i="18"/>
  <c r="I2648" i="18"/>
  <c r="J2648" i="18"/>
  <c r="K2648" i="18"/>
  <c r="L2648" i="18"/>
  <c r="B2649" i="18"/>
  <c r="C2649" i="18"/>
  <c r="D2649" i="18"/>
  <c r="E2649" i="18"/>
  <c r="F2649" i="18"/>
  <c r="G2649" i="18"/>
  <c r="H2649" i="18"/>
  <c r="I2649" i="18"/>
  <c r="J2649" i="18"/>
  <c r="K2649" i="18"/>
  <c r="L2649" i="18"/>
  <c r="B2650" i="18"/>
  <c r="C2650" i="18"/>
  <c r="D2650" i="18"/>
  <c r="E2650" i="18"/>
  <c r="F2650" i="18"/>
  <c r="G2650" i="18"/>
  <c r="H2650" i="18"/>
  <c r="I2650" i="18"/>
  <c r="J2650" i="18"/>
  <c r="K2650" i="18"/>
  <c r="L2650" i="18"/>
  <c r="B2651" i="18"/>
  <c r="C2651" i="18"/>
  <c r="D2651" i="18"/>
  <c r="E2651" i="18"/>
  <c r="F2651" i="18"/>
  <c r="G2651" i="18"/>
  <c r="H2651" i="18"/>
  <c r="I2651" i="18"/>
  <c r="J2651" i="18"/>
  <c r="K2651" i="18"/>
  <c r="L2651" i="18"/>
  <c r="B2652" i="18"/>
  <c r="C2652" i="18"/>
  <c r="D2652" i="18"/>
  <c r="E2652" i="18"/>
  <c r="F2652" i="18"/>
  <c r="G2652" i="18"/>
  <c r="H2652" i="18"/>
  <c r="I2652" i="18"/>
  <c r="J2652" i="18"/>
  <c r="K2652" i="18"/>
  <c r="L2652" i="18"/>
  <c r="B2653" i="18"/>
  <c r="C2653" i="18"/>
  <c r="D2653" i="18"/>
  <c r="E2653" i="18"/>
  <c r="F2653" i="18"/>
  <c r="G2653" i="18"/>
  <c r="H2653" i="18"/>
  <c r="I2653" i="18"/>
  <c r="J2653" i="18"/>
  <c r="K2653" i="18"/>
  <c r="L2653" i="18"/>
  <c r="B2654" i="18"/>
  <c r="C2654" i="18"/>
  <c r="D2654" i="18"/>
  <c r="E2654" i="18"/>
  <c r="F2654" i="18"/>
  <c r="G2654" i="18"/>
  <c r="H2654" i="18"/>
  <c r="I2654" i="18"/>
  <c r="J2654" i="18"/>
  <c r="K2654" i="18"/>
  <c r="L2654" i="18"/>
  <c r="B2655" i="18"/>
  <c r="C2655" i="18"/>
  <c r="D2655" i="18"/>
  <c r="E2655" i="18"/>
  <c r="F2655" i="18"/>
  <c r="G2655" i="18"/>
  <c r="H2655" i="18"/>
  <c r="I2655" i="18"/>
  <c r="J2655" i="18"/>
  <c r="K2655" i="18"/>
  <c r="L2655" i="18"/>
  <c r="B2656" i="18"/>
  <c r="C2656" i="18"/>
  <c r="D2656" i="18"/>
  <c r="E2656" i="18"/>
  <c r="F2656" i="18"/>
  <c r="G2656" i="18"/>
  <c r="H2656" i="18"/>
  <c r="I2656" i="18"/>
  <c r="J2656" i="18"/>
  <c r="K2656" i="18"/>
  <c r="L2656" i="18"/>
  <c r="B2657" i="18"/>
  <c r="C2657" i="18"/>
  <c r="D2657" i="18"/>
  <c r="E2657" i="18"/>
  <c r="F2657" i="18"/>
  <c r="G2657" i="18"/>
  <c r="H2657" i="18"/>
  <c r="I2657" i="18"/>
  <c r="J2657" i="18"/>
  <c r="K2657" i="18"/>
  <c r="L2657" i="18"/>
  <c r="B2658" i="18"/>
  <c r="C2658" i="18"/>
  <c r="D2658" i="18"/>
  <c r="E2658" i="18"/>
  <c r="F2658" i="18"/>
  <c r="G2658" i="18"/>
  <c r="H2658" i="18"/>
  <c r="I2658" i="18"/>
  <c r="J2658" i="18"/>
  <c r="K2658" i="18"/>
  <c r="L2658" i="18"/>
  <c r="B2659" i="18"/>
  <c r="C2659" i="18"/>
  <c r="D2659" i="18"/>
  <c r="E2659" i="18"/>
  <c r="F2659" i="18"/>
  <c r="G2659" i="18"/>
  <c r="H2659" i="18"/>
  <c r="I2659" i="18"/>
  <c r="J2659" i="18"/>
  <c r="K2659" i="18"/>
  <c r="L2659" i="18"/>
  <c r="B2660" i="18"/>
  <c r="C2660" i="18"/>
  <c r="D2660" i="18"/>
  <c r="E2660" i="18"/>
  <c r="F2660" i="18"/>
  <c r="G2660" i="18"/>
  <c r="H2660" i="18"/>
  <c r="I2660" i="18"/>
  <c r="J2660" i="18"/>
  <c r="K2660" i="18"/>
  <c r="L2660" i="18"/>
  <c r="B2661" i="18"/>
  <c r="C2661" i="18"/>
  <c r="D2661" i="18"/>
  <c r="E2661" i="18"/>
  <c r="F2661" i="18"/>
  <c r="G2661" i="18"/>
  <c r="H2661" i="18"/>
  <c r="I2661" i="18"/>
  <c r="J2661" i="18"/>
  <c r="K2661" i="18"/>
  <c r="L2661" i="18"/>
  <c r="B2662" i="18"/>
  <c r="C2662" i="18"/>
  <c r="D2662" i="18"/>
  <c r="E2662" i="18"/>
  <c r="F2662" i="18"/>
  <c r="G2662" i="18"/>
  <c r="H2662" i="18"/>
  <c r="I2662" i="18"/>
  <c r="J2662" i="18"/>
  <c r="K2662" i="18"/>
  <c r="L2662" i="18"/>
  <c r="B2663" i="18"/>
  <c r="C2663" i="18"/>
  <c r="D2663" i="18"/>
  <c r="E2663" i="18"/>
  <c r="F2663" i="18"/>
  <c r="G2663" i="18"/>
  <c r="H2663" i="18"/>
  <c r="I2663" i="18"/>
  <c r="J2663" i="18"/>
  <c r="K2663" i="18"/>
  <c r="L2663" i="18"/>
  <c r="B2664" i="18"/>
  <c r="C2664" i="18"/>
  <c r="D2664" i="18"/>
  <c r="E2664" i="18"/>
  <c r="F2664" i="18"/>
  <c r="G2664" i="18"/>
  <c r="H2664" i="18"/>
  <c r="I2664" i="18"/>
  <c r="J2664" i="18"/>
  <c r="K2664" i="18"/>
  <c r="L2664" i="18"/>
  <c r="B2665" i="18"/>
  <c r="C2665" i="18"/>
  <c r="D2665" i="18"/>
  <c r="E2665" i="18"/>
  <c r="F2665" i="18"/>
  <c r="G2665" i="18"/>
  <c r="H2665" i="18"/>
  <c r="I2665" i="18"/>
  <c r="J2665" i="18"/>
  <c r="K2665" i="18"/>
  <c r="L2665" i="18"/>
  <c r="B2666" i="18"/>
  <c r="C2666" i="18"/>
  <c r="D2666" i="18"/>
  <c r="E2666" i="18"/>
  <c r="F2666" i="18"/>
  <c r="G2666" i="18"/>
  <c r="H2666" i="18"/>
  <c r="I2666" i="18"/>
  <c r="J2666" i="18"/>
  <c r="K2666" i="18"/>
  <c r="L2666" i="18"/>
  <c r="B2667" i="18"/>
  <c r="C2667" i="18"/>
  <c r="D2667" i="18"/>
  <c r="E2667" i="18"/>
  <c r="F2667" i="18"/>
  <c r="G2667" i="18"/>
  <c r="H2667" i="18"/>
  <c r="I2667" i="18"/>
  <c r="J2667" i="18"/>
  <c r="K2667" i="18"/>
  <c r="L2667" i="18"/>
  <c r="B2668" i="18"/>
  <c r="C2668" i="18"/>
  <c r="D2668" i="18"/>
  <c r="E2668" i="18"/>
  <c r="F2668" i="18"/>
  <c r="G2668" i="18"/>
  <c r="H2668" i="18"/>
  <c r="I2668" i="18"/>
  <c r="J2668" i="18"/>
  <c r="K2668" i="18"/>
  <c r="L2668" i="18"/>
  <c r="B2669" i="18"/>
  <c r="C2669" i="18"/>
  <c r="D2669" i="18"/>
  <c r="E2669" i="18"/>
  <c r="F2669" i="18"/>
  <c r="G2669" i="18"/>
  <c r="H2669" i="18"/>
  <c r="I2669" i="18"/>
  <c r="J2669" i="18"/>
  <c r="K2669" i="18"/>
  <c r="L2669" i="18"/>
  <c r="B2670" i="18"/>
  <c r="C2670" i="18"/>
  <c r="D2670" i="18"/>
  <c r="E2670" i="18"/>
  <c r="F2670" i="18"/>
  <c r="G2670" i="18"/>
  <c r="H2670" i="18"/>
  <c r="I2670" i="18"/>
  <c r="J2670" i="18"/>
  <c r="K2670" i="18"/>
  <c r="L2670" i="18"/>
  <c r="B2671" i="18"/>
  <c r="C2671" i="18"/>
  <c r="D2671" i="18"/>
  <c r="E2671" i="18"/>
  <c r="F2671" i="18"/>
  <c r="G2671" i="18"/>
  <c r="H2671" i="18"/>
  <c r="I2671" i="18"/>
  <c r="J2671" i="18"/>
  <c r="K2671" i="18"/>
  <c r="L2671" i="18"/>
  <c r="B2672" i="18"/>
  <c r="C2672" i="18"/>
  <c r="D2672" i="18"/>
  <c r="E2672" i="18"/>
  <c r="F2672" i="18"/>
  <c r="G2672" i="18"/>
  <c r="H2672" i="18"/>
  <c r="I2672" i="18"/>
  <c r="J2672" i="18"/>
  <c r="K2672" i="18"/>
  <c r="L2672" i="18"/>
  <c r="B2673" i="18"/>
  <c r="C2673" i="18"/>
  <c r="D2673" i="18"/>
  <c r="E2673" i="18"/>
  <c r="F2673" i="18"/>
  <c r="G2673" i="18"/>
  <c r="H2673" i="18"/>
  <c r="I2673" i="18"/>
  <c r="J2673" i="18"/>
  <c r="K2673" i="18"/>
  <c r="L2673" i="18"/>
  <c r="B2674" i="18"/>
  <c r="C2674" i="18"/>
  <c r="D2674" i="18"/>
  <c r="E2674" i="18"/>
  <c r="F2674" i="18"/>
  <c r="G2674" i="18"/>
  <c r="H2674" i="18"/>
  <c r="I2674" i="18"/>
  <c r="J2674" i="18"/>
  <c r="K2674" i="18"/>
  <c r="L2674" i="18"/>
  <c r="B2675" i="18"/>
  <c r="C2675" i="18"/>
  <c r="D2675" i="18"/>
  <c r="E2675" i="18"/>
  <c r="F2675" i="18"/>
  <c r="G2675" i="18"/>
  <c r="H2675" i="18"/>
  <c r="I2675" i="18"/>
  <c r="J2675" i="18"/>
  <c r="K2675" i="18"/>
  <c r="L2675" i="18"/>
  <c r="B2676" i="18"/>
  <c r="C2676" i="18"/>
  <c r="D2676" i="18"/>
  <c r="E2676" i="18"/>
  <c r="F2676" i="18"/>
  <c r="G2676" i="18"/>
  <c r="H2676" i="18"/>
  <c r="I2676" i="18"/>
  <c r="J2676" i="18"/>
  <c r="K2676" i="18"/>
  <c r="L2676" i="18"/>
  <c r="B2677" i="18"/>
  <c r="C2677" i="18"/>
  <c r="D2677" i="18"/>
  <c r="E2677" i="18"/>
  <c r="F2677" i="18"/>
  <c r="G2677" i="18"/>
  <c r="H2677" i="18"/>
  <c r="I2677" i="18"/>
  <c r="J2677" i="18"/>
  <c r="K2677" i="18"/>
  <c r="L2677" i="18"/>
  <c r="B2678" i="18"/>
  <c r="C2678" i="18"/>
  <c r="D2678" i="18"/>
  <c r="E2678" i="18"/>
  <c r="F2678" i="18"/>
  <c r="G2678" i="18"/>
  <c r="H2678" i="18"/>
  <c r="I2678" i="18"/>
  <c r="J2678" i="18"/>
  <c r="K2678" i="18"/>
  <c r="L2678" i="18"/>
  <c r="B2679" i="18"/>
  <c r="C2679" i="18"/>
  <c r="D2679" i="18"/>
  <c r="E2679" i="18"/>
  <c r="F2679" i="18"/>
  <c r="G2679" i="18"/>
  <c r="H2679" i="18"/>
  <c r="I2679" i="18"/>
  <c r="J2679" i="18"/>
  <c r="K2679" i="18"/>
  <c r="L2679" i="18"/>
  <c r="B2680" i="18"/>
  <c r="C2680" i="18"/>
  <c r="D2680" i="18"/>
  <c r="E2680" i="18"/>
  <c r="F2680" i="18"/>
  <c r="G2680" i="18"/>
  <c r="H2680" i="18"/>
  <c r="I2680" i="18"/>
  <c r="J2680" i="18"/>
  <c r="K2680" i="18"/>
  <c r="L2680" i="18"/>
  <c r="B2681" i="18"/>
  <c r="C2681" i="18"/>
  <c r="D2681" i="18"/>
  <c r="E2681" i="18"/>
  <c r="F2681" i="18"/>
  <c r="G2681" i="18"/>
  <c r="H2681" i="18"/>
  <c r="I2681" i="18"/>
  <c r="J2681" i="18"/>
  <c r="K2681" i="18"/>
  <c r="L2681" i="18"/>
  <c r="B2682" i="18"/>
  <c r="C2682" i="18"/>
  <c r="D2682" i="18"/>
  <c r="E2682" i="18"/>
  <c r="F2682" i="18"/>
  <c r="G2682" i="18"/>
  <c r="H2682" i="18"/>
  <c r="I2682" i="18"/>
  <c r="J2682" i="18"/>
  <c r="K2682" i="18"/>
  <c r="L2682" i="18"/>
  <c r="B2683" i="18"/>
  <c r="C2683" i="18"/>
  <c r="D2683" i="18"/>
  <c r="E2683" i="18"/>
  <c r="F2683" i="18"/>
  <c r="G2683" i="18"/>
  <c r="H2683" i="18"/>
  <c r="I2683" i="18"/>
  <c r="J2683" i="18"/>
  <c r="K2683" i="18"/>
  <c r="L2683" i="18"/>
  <c r="B2684" i="18"/>
  <c r="C2684" i="18"/>
  <c r="D2684" i="18"/>
  <c r="E2684" i="18"/>
  <c r="F2684" i="18"/>
  <c r="G2684" i="18"/>
  <c r="H2684" i="18"/>
  <c r="I2684" i="18"/>
  <c r="J2684" i="18"/>
  <c r="K2684" i="18"/>
  <c r="L2684" i="18"/>
  <c r="B2685" i="18"/>
  <c r="C2685" i="18"/>
  <c r="D2685" i="18"/>
  <c r="E2685" i="18"/>
  <c r="F2685" i="18"/>
  <c r="G2685" i="18"/>
  <c r="H2685" i="18"/>
  <c r="I2685" i="18"/>
  <c r="J2685" i="18"/>
  <c r="K2685" i="18"/>
  <c r="L2685" i="18"/>
  <c r="B2686" i="18"/>
  <c r="C2686" i="18"/>
  <c r="D2686" i="18"/>
  <c r="E2686" i="18"/>
  <c r="F2686" i="18"/>
  <c r="G2686" i="18"/>
  <c r="H2686" i="18"/>
  <c r="I2686" i="18"/>
  <c r="J2686" i="18"/>
  <c r="K2686" i="18"/>
  <c r="L2686" i="18"/>
  <c r="B2687" i="18"/>
  <c r="C2687" i="18"/>
  <c r="D2687" i="18"/>
  <c r="E2687" i="18"/>
  <c r="F2687" i="18"/>
  <c r="G2687" i="18"/>
  <c r="H2687" i="18"/>
  <c r="I2687" i="18"/>
  <c r="J2687" i="18"/>
  <c r="K2687" i="18"/>
  <c r="L2687" i="18"/>
  <c r="B2688" i="18"/>
  <c r="C2688" i="18"/>
  <c r="D2688" i="18"/>
  <c r="E2688" i="18"/>
  <c r="F2688" i="18"/>
  <c r="G2688" i="18"/>
  <c r="H2688" i="18"/>
  <c r="I2688" i="18"/>
  <c r="J2688" i="18"/>
  <c r="K2688" i="18"/>
  <c r="L2688" i="18"/>
  <c r="B2689" i="18"/>
  <c r="C2689" i="18"/>
  <c r="D2689" i="18"/>
  <c r="E2689" i="18"/>
  <c r="F2689" i="18"/>
  <c r="G2689" i="18"/>
  <c r="H2689" i="18"/>
  <c r="I2689" i="18"/>
  <c r="J2689" i="18"/>
  <c r="K2689" i="18"/>
  <c r="L2689" i="18"/>
  <c r="B2690" i="18"/>
  <c r="C2690" i="18"/>
  <c r="D2690" i="18"/>
  <c r="E2690" i="18"/>
  <c r="F2690" i="18"/>
  <c r="G2690" i="18"/>
  <c r="H2690" i="18"/>
  <c r="I2690" i="18"/>
  <c r="J2690" i="18"/>
  <c r="K2690" i="18"/>
  <c r="L2690" i="18"/>
  <c r="B2691" i="18"/>
  <c r="C2691" i="18"/>
  <c r="D2691" i="18"/>
  <c r="E2691" i="18"/>
  <c r="F2691" i="18"/>
  <c r="G2691" i="18"/>
  <c r="H2691" i="18"/>
  <c r="I2691" i="18"/>
  <c r="J2691" i="18"/>
  <c r="K2691" i="18"/>
  <c r="L2691" i="18"/>
  <c r="B2692" i="18"/>
  <c r="C2692" i="18"/>
  <c r="D2692" i="18"/>
  <c r="E2692" i="18"/>
  <c r="F2692" i="18"/>
  <c r="G2692" i="18"/>
  <c r="H2692" i="18"/>
  <c r="I2692" i="18"/>
  <c r="J2692" i="18"/>
  <c r="K2692" i="18"/>
  <c r="L2692" i="18"/>
  <c r="B2693" i="18"/>
  <c r="C2693" i="18"/>
  <c r="D2693" i="18"/>
  <c r="E2693" i="18"/>
  <c r="F2693" i="18"/>
  <c r="G2693" i="18"/>
  <c r="H2693" i="18"/>
  <c r="I2693" i="18"/>
  <c r="J2693" i="18"/>
  <c r="K2693" i="18"/>
  <c r="L2693" i="18"/>
  <c r="B2694" i="18"/>
  <c r="C2694" i="18"/>
  <c r="D2694" i="18"/>
  <c r="E2694" i="18"/>
  <c r="F2694" i="18"/>
  <c r="G2694" i="18"/>
  <c r="H2694" i="18"/>
  <c r="I2694" i="18"/>
  <c r="J2694" i="18"/>
  <c r="K2694" i="18"/>
  <c r="L2694" i="18"/>
  <c r="B2695" i="18"/>
  <c r="C2695" i="18"/>
  <c r="D2695" i="18"/>
  <c r="E2695" i="18"/>
  <c r="F2695" i="18"/>
  <c r="G2695" i="18"/>
  <c r="H2695" i="18"/>
  <c r="I2695" i="18"/>
  <c r="J2695" i="18"/>
  <c r="K2695" i="18"/>
  <c r="L2695" i="18"/>
  <c r="B2696" i="18"/>
  <c r="C2696" i="18"/>
  <c r="D2696" i="18"/>
  <c r="E2696" i="18"/>
  <c r="F2696" i="18"/>
  <c r="G2696" i="18"/>
  <c r="H2696" i="18"/>
  <c r="I2696" i="18"/>
  <c r="J2696" i="18"/>
  <c r="K2696" i="18"/>
  <c r="L2696" i="18"/>
  <c r="B2697" i="18"/>
  <c r="C2697" i="18"/>
  <c r="D2697" i="18"/>
  <c r="E2697" i="18"/>
  <c r="F2697" i="18"/>
  <c r="G2697" i="18"/>
  <c r="H2697" i="18"/>
  <c r="I2697" i="18"/>
  <c r="J2697" i="18"/>
  <c r="K2697" i="18"/>
  <c r="L2697" i="18"/>
  <c r="B2698" i="18"/>
  <c r="C2698" i="18"/>
  <c r="D2698" i="18"/>
  <c r="E2698" i="18"/>
  <c r="F2698" i="18"/>
  <c r="G2698" i="18"/>
  <c r="H2698" i="18"/>
  <c r="I2698" i="18"/>
  <c r="J2698" i="18"/>
  <c r="K2698" i="18"/>
  <c r="L2698" i="18"/>
  <c r="B2699" i="18"/>
  <c r="C2699" i="18"/>
  <c r="D2699" i="18"/>
  <c r="E2699" i="18"/>
  <c r="F2699" i="18"/>
  <c r="G2699" i="18"/>
  <c r="H2699" i="18"/>
  <c r="I2699" i="18"/>
  <c r="J2699" i="18"/>
  <c r="K2699" i="18"/>
  <c r="L2699" i="18"/>
  <c r="B2700" i="18"/>
  <c r="C2700" i="18"/>
  <c r="D2700" i="18"/>
  <c r="E2700" i="18"/>
  <c r="F2700" i="18"/>
  <c r="G2700" i="18"/>
  <c r="H2700" i="18"/>
  <c r="I2700" i="18"/>
  <c r="J2700" i="18"/>
  <c r="K2700" i="18"/>
  <c r="L2700" i="18"/>
  <c r="B2701" i="18"/>
  <c r="C2701" i="18"/>
  <c r="D2701" i="18"/>
  <c r="E2701" i="18"/>
  <c r="F2701" i="18"/>
  <c r="G2701" i="18"/>
  <c r="H2701" i="18"/>
  <c r="I2701" i="18"/>
  <c r="J2701" i="18"/>
  <c r="K2701" i="18"/>
  <c r="L2701" i="18"/>
  <c r="B2702" i="18"/>
  <c r="C2702" i="18"/>
  <c r="D2702" i="18"/>
  <c r="E2702" i="18"/>
  <c r="F2702" i="18"/>
  <c r="G2702" i="18"/>
  <c r="H2702" i="18"/>
  <c r="I2702" i="18"/>
  <c r="J2702" i="18"/>
  <c r="K2702" i="18"/>
  <c r="L2702" i="18"/>
  <c r="B2703" i="18"/>
  <c r="C2703" i="18"/>
  <c r="D2703" i="18"/>
  <c r="E2703" i="18"/>
  <c r="F2703" i="18"/>
  <c r="G2703" i="18"/>
  <c r="H2703" i="18"/>
  <c r="I2703" i="18"/>
  <c r="J2703" i="18"/>
  <c r="K2703" i="18"/>
  <c r="L2703" i="18"/>
  <c r="B2704" i="18"/>
  <c r="C2704" i="18"/>
  <c r="D2704" i="18"/>
  <c r="E2704" i="18"/>
  <c r="F2704" i="18"/>
  <c r="G2704" i="18"/>
  <c r="H2704" i="18"/>
  <c r="I2704" i="18"/>
  <c r="J2704" i="18"/>
  <c r="K2704" i="18"/>
  <c r="L2704" i="18"/>
  <c r="B2705" i="18"/>
  <c r="C2705" i="18"/>
  <c r="D2705" i="18"/>
  <c r="E2705" i="18"/>
  <c r="F2705" i="18"/>
  <c r="G2705" i="18"/>
  <c r="H2705" i="18"/>
  <c r="I2705" i="18"/>
  <c r="J2705" i="18"/>
  <c r="K2705" i="18"/>
  <c r="L2705" i="18"/>
  <c r="B2706" i="18"/>
  <c r="C2706" i="18"/>
  <c r="D2706" i="18"/>
  <c r="E2706" i="18"/>
  <c r="F2706" i="18"/>
  <c r="G2706" i="18"/>
  <c r="H2706" i="18"/>
  <c r="I2706" i="18"/>
  <c r="J2706" i="18"/>
  <c r="K2706" i="18"/>
  <c r="L2706" i="18"/>
  <c r="B2707" i="18"/>
  <c r="C2707" i="18"/>
  <c r="D2707" i="18"/>
  <c r="E2707" i="18"/>
  <c r="F2707" i="18"/>
  <c r="G2707" i="18"/>
  <c r="H2707" i="18"/>
  <c r="I2707" i="18"/>
  <c r="J2707" i="18"/>
  <c r="K2707" i="18"/>
  <c r="L2707" i="18"/>
  <c r="B2708" i="18"/>
  <c r="C2708" i="18"/>
  <c r="D2708" i="18"/>
  <c r="E2708" i="18"/>
  <c r="F2708" i="18"/>
  <c r="G2708" i="18"/>
  <c r="H2708" i="18"/>
  <c r="I2708" i="18"/>
  <c r="J2708" i="18"/>
  <c r="K2708" i="18"/>
  <c r="L2708" i="18"/>
  <c r="B2709" i="18"/>
  <c r="C2709" i="18"/>
  <c r="D2709" i="18"/>
  <c r="E2709" i="18"/>
  <c r="F2709" i="18"/>
  <c r="G2709" i="18"/>
  <c r="H2709" i="18"/>
  <c r="I2709" i="18"/>
  <c r="J2709" i="18"/>
  <c r="K2709" i="18"/>
  <c r="L2709" i="18"/>
  <c r="B2710" i="18"/>
  <c r="C2710" i="18"/>
  <c r="D2710" i="18"/>
  <c r="E2710" i="18"/>
  <c r="F2710" i="18"/>
  <c r="G2710" i="18"/>
  <c r="H2710" i="18"/>
  <c r="I2710" i="18"/>
  <c r="J2710" i="18"/>
  <c r="K2710" i="18"/>
  <c r="L2710" i="18"/>
  <c r="B2711" i="18"/>
  <c r="C2711" i="18"/>
  <c r="D2711" i="18"/>
  <c r="E2711" i="18"/>
  <c r="F2711" i="18"/>
  <c r="G2711" i="18"/>
  <c r="H2711" i="18"/>
  <c r="I2711" i="18"/>
  <c r="J2711" i="18"/>
  <c r="K2711" i="18"/>
  <c r="L2711" i="18"/>
  <c r="B2712" i="18"/>
  <c r="C2712" i="18"/>
  <c r="D2712" i="18"/>
  <c r="E2712" i="18"/>
  <c r="F2712" i="18"/>
  <c r="G2712" i="18"/>
  <c r="H2712" i="18"/>
  <c r="I2712" i="18"/>
  <c r="J2712" i="18"/>
  <c r="K2712" i="18"/>
  <c r="L2712" i="18"/>
  <c r="B2713" i="18"/>
  <c r="C2713" i="18"/>
  <c r="D2713" i="18"/>
  <c r="E2713" i="18"/>
  <c r="F2713" i="18"/>
  <c r="G2713" i="18"/>
  <c r="H2713" i="18"/>
  <c r="I2713" i="18"/>
  <c r="J2713" i="18"/>
  <c r="K2713" i="18"/>
  <c r="L2713" i="18"/>
  <c r="B2714" i="18"/>
  <c r="C2714" i="18"/>
  <c r="D2714" i="18"/>
  <c r="E2714" i="18"/>
  <c r="F2714" i="18"/>
  <c r="G2714" i="18"/>
  <c r="H2714" i="18"/>
  <c r="I2714" i="18"/>
  <c r="J2714" i="18"/>
  <c r="K2714" i="18"/>
  <c r="L2714" i="18"/>
  <c r="B2715" i="18"/>
  <c r="C2715" i="18"/>
  <c r="D2715" i="18"/>
  <c r="E2715" i="18"/>
  <c r="F2715" i="18"/>
  <c r="G2715" i="18"/>
  <c r="H2715" i="18"/>
  <c r="I2715" i="18"/>
  <c r="J2715" i="18"/>
  <c r="K2715" i="18"/>
  <c r="L2715" i="18"/>
  <c r="B2716" i="18"/>
  <c r="C2716" i="18"/>
  <c r="D2716" i="18"/>
  <c r="E2716" i="18"/>
  <c r="F2716" i="18"/>
  <c r="G2716" i="18"/>
  <c r="H2716" i="18"/>
  <c r="I2716" i="18"/>
  <c r="J2716" i="18"/>
  <c r="K2716" i="18"/>
  <c r="L2716" i="18"/>
  <c r="B2717" i="18"/>
  <c r="C2717" i="18"/>
  <c r="D2717" i="18"/>
  <c r="E2717" i="18"/>
  <c r="F2717" i="18"/>
  <c r="G2717" i="18"/>
  <c r="H2717" i="18"/>
  <c r="I2717" i="18"/>
  <c r="J2717" i="18"/>
  <c r="K2717" i="18"/>
  <c r="L2717" i="18"/>
  <c r="B2718" i="18"/>
  <c r="C2718" i="18"/>
  <c r="D2718" i="18"/>
  <c r="E2718" i="18"/>
  <c r="F2718" i="18"/>
  <c r="G2718" i="18"/>
  <c r="H2718" i="18"/>
  <c r="I2718" i="18"/>
  <c r="J2718" i="18"/>
  <c r="K2718" i="18"/>
  <c r="L2718" i="18"/>
  <c r="B2719" i="18"/>
  <c r="C2719" i="18"/>
  <c r="D2719" i="18"/>
  <c r="E2719" i="18"/>
  <c r="F2719" i="18"/>
  <c r="G2719" i="18"/>
  <c r="H2719" i="18"/>
  <c r="I2719" i="18"/>
  <c r="J2719" i="18"/>
  <c r="K2719" i="18"/>
  <c r="L2719" i="18"/>
  <c r="B2720" i="18"/>
  <c r="C2720" i="18"/>
  <c r="D2720" i="18"/>
  <c r="E2720" i="18"/>
  <c r="F2720" i="18"/>
  <c r="G2720" i="18"/>
  <c r="H2720" i="18"/>
  <c r="I2720" i="18"/>
  <c r="J2720" i="18"/>
  <c r="K2720" i="18"/>
  <c r="L2720" i="18"/>
  <c r="B2721" i="18"/>
  <c r="C2721" i="18"/>
  <c r="D2721" i="18"/>
  <c r="E2721" i="18"/>
  <c r="F2721" i="18"/>
  <c r="G2721" i="18"/>
  <c r="H2721" i="18"/>
  <c r="I2721" i="18"/>
  <c r="J2721" i="18"/>
  <c r="K2721" i="18"/>
  <c r="L2721" i="18"/>
  <c r="B2722" i="18"/>
  <c r="C2722" i="18"/>
  <c r="D2722" i="18"/>
  <c r="E2722" i="18"/>
  <c r="F2722" i="18"/>
  <c r="G2722" i="18"/>
  <c r="H2722" i="18"/>
  <c r="I2722" i="18"/>
  <c r="J2722" i="18"/>
  <c r="K2722" i="18"/>
  <c r="L2722" i="18"/>
  <c r="B2723" i="18"/>
  <c r="C2723" i="18"/>
  <c r="D2723" i="18"/>
  <c r="E2723" i="18"/>
  <c r="F2723" i="18"/>
  <c r="G2723" i="18"/>
  <c r="H2723" i="18"/>
  <c r="I2723" i="18"/>
  <c r="J2723" i="18"/>
  <c r="K2723" i="18"/>
  <c r="L2723" i="18"/>
  <c r="B2724" i="18"/>
  <c r="C2724" i="18"/>
  <c r="D2724" i="18"/>
  <c r="E2724" i="18"/>
  <c r="F2724" i="18"/>
  <c r="G2724" i="18"/>
  <c r="H2724" i="18"/>
  <c r="I2724" i="18"/>
  <c r="J2724" i="18"/>
  <c r="K2724" i="18"/>
  <c r="L2724" i="18"/>
  <c r="B2725" i="18"/>
  <c r="C2725" i="18"/>
  <c r="D2725" i="18"/>
  <c r="E2725" i="18"/>
  <c r="F2725" i="18"/>
  <c r="G2725" i="18"/>
  <c r="H2725" i="18"/>
  <c r="I2725" i="18"/>
  <c r="J2725" i="18"/>
  <c r="K2725" i="18"/>
  <c r="L2725" i="18"/>
  <c r="B2726" i="18"/>
  <c r="C2726" i="18"/>
  <c r="D2726" i="18"/>
  <c r="E2726" i="18"/>
  <c r="F2726" i="18"/>
  <c r="G2726" i="18"/>
  <c r="H2726" i="18"/>
  <c r="I2726" i="18"/>
  <c r="J2726" i="18"/>
  <c r="K2726" i="18"/>
  <c r="L2726" i="18"/>
  <c r="B2727" i="18"/>
  <c r="C2727" i="18"/>
  <c r="D2727" i="18"/>
  <c r="E2727" i="18"/>
  <c r="F2727" i="18"/>
  <c r="G2727" i="18"/>
  <c r="H2727" i="18"/>
  <c r="I2727" i="18"/>
  <c r="J2727" i="18"/>
  <c r="K2727" i="18"/>
  <c r="L2727" i="18"/>
  <c r="B2728" i="18"/>
  <c r="C2728" i="18"/>
  <c r="D2728" i="18"/>
  <c r="E2728" i="18"/>
  <c r="F2728" i="18"/>
  <c r="G2728" i="18"/>
  <c r="H2728" i="18"/>
  <c r="I2728" i="18"/>
  <c r="J2728" i="18"/>
  <c r="K2728" i="18"/>
  <c r="L2728" i="18"/>
  <c r="B2729" i="18"/>
  <c r="C2729" i="18"/>
  <c r="D2729" i="18"/>
  <c r="E2729" i="18"/>
  <c r="F2729" i="18"/>
  <c r="G2729" i="18"/>
  <c r="H2729" i="18"/>
  <c r="I2729" i="18"/>
  <c r="J2729" i="18"/>
  <c r="K2729" i="18"/>
  <c r="L2729" i="18"/>
  <c r="B2730" i="18"/>
  <c r="C2730" i="18"/>
  <c r="D2730" i="18"/>
  <c r="E2730" i="18"/>
  <c r="F2730" i="18"/>
  <c r="G2730" i="18"/>
  <c r="H2730" i="18"/>
  <c r="I2730" i="18"/>
  <c r="J2730" i="18"/>
  <c r="K2730" i="18"/>
  <c r="L2730" i="18"/>
  <c r="B2731" i="18"/>
  <c r="C2731" i="18"/>
  <c r="D2731" i="18"/>
  <c r="E2731" i="18"/>
  <c r="F2731" i="18"/>
  <c r="G2731" i="18"/>
  <c r="H2731" i="18"/>
  <c r="I2731" i="18"/>
  <c r="J2731" i="18"/>
  <c r="K2731" i="18"/>
  <c r="L2731" i="18"/>
  <c r="B2732" i="18"/>
  <c r="C2732" i="18"/>
  <c r="D2732" i="18"/>
  <c r="E2732" i="18"/>
  <c r="F2732" i="18"/>
  <c r="G2732" i="18"/>
  <c r="H2732" i="18"/>
  <c r="I2732" i="18"/>
  <c r="J2732" i="18"/>
  <c r="K2732" i="18"/>
  <c r="L2732" i="18"/>
  <c r="B2733" i="18"/>
  <c r="C2733" i="18"/>
  <c r="D2733" i="18"/>
  <c r="E2733" i="18"/>
  <c r="F2733" i="18"/>
  <c r="G2733" i="18"/>
  <c r="H2733" i="18"/>
  <c r="I2733" i="18"/>
  <c r="J2733" i="18"/>
  <c r="K2733" i="18"/>
  <c r="L2733" i="18"/>
  <c r="B2734" i="18"/>
  <c r="C2734" i="18"/>
  <c r="D2734" i="18"/>
  <c r="E2734" i="18"/>
  <c r="F2734" i="18"/>
  <c r="G2734" i="18"/>
  <c r="H2734" i="18"/>
  <c r="I2734" i="18"/>
  <c r="J2734" i="18"/>
  <c r="K2734" i="18"/>
  <c r="L2734" i="18"/>
  <c r="B2735" i="18"/>
  <c r="C2735" i="18"/>
  <c r="D2735" i="18"/>
  <c r="E2735" i="18"/>
  <c r="F2735" i="18"/>
  <c r="G2735" i="18"/>
  <c r="H2735" i="18"/>
  <c r="I2735" i="18"/>
  <c r="J2735" i="18"/>
  <c r="K2735" i="18"/>
  <c r="L2735" i="18"/>
  <c r="B2736" i="18"/>
  <c r="C2736" i="18"/>
  <c r="D2736" i="18"/>
  <c r="E2736" i="18"/>
  <c r="F2736" i="18"/>
  <c r="G2736" i="18"/>
  <c r="H2736" i="18"/>
  <c r="I2736" i="18"/>
  <c r="J2736" i="18"/>
  <c r="K2736" i="18"/>
  <c r="L2736" i="18"/>
  <c r="B2737" i="18"/>
  <c r="C2737" i="18"/>
  <c r="D2737" i="18"/>
  <c r="E2737" i="18"/>
  <c r="F2737" i="18"/>
  <c r="G2737" i="18"/>
  <c r="H2737" i="18"/>
  <c r="I2737" i="18"/>
  <c r="J2737" i="18"/>
  <c r="K2737" i="18"/>
  <c r="L2737" i="18"/>
  <c r="B2738" i="18"/>
  <c r="C2738" i="18"/>
  <c r="D2738" i="18"/>
  <c r="E2738" i="18"/>
  <c r="F2738" i="18"/>
  <c r="G2738" i="18"/>
  <c r="H2738" i="18"/>
  <c r="I2738" i="18"/>
  <c r="J2738" i="18"/>
  <c r="K2738" i="18"/>
  <c r="L2738" i="18"/>
  <c r="B2739" i="18"/>
  <c r="C2739" i="18"/>
  <c r="D2739" i="18"/>
  <c r="E2739" i="18"/>
  <c r="F2739" i="18"/>
  <c r="G2739" i="18"/>
  <c r="H2739" i="18"/>
  <c r="I2739" i="18"/>
  <c r="J2739" i="18"/>
  <c r="K2739" i="18"/>
  <c r="L2739" i="18"/>
  <c r="B2740" i="18"/>
  <c r="C2740" i="18"/>
  <c r="D2740" i="18"/>
  <c r="E2740" i="18"/>
  <c r="F2740" i="18"/>
  <c r="G2740" i="18"/>
  <c r="H2740" i="18"/>
  <c r="I2740" i="18"/>
  <c r="J2740" i="18"/>
  <c r="K2740" i="18"/>
  <c r="L2740" i="18"/>
  <c r="B2741" i="18"/>
  <c r="C2741" i="18"/>
  <c r="D2741" i="18"/>
  <c r="E2741" i="18"/>
  <c r="F2741" i="18"/>
  <c r="G2741" i="18"/>
  <c r="H2741" i="18"/>
  <c r="I2741" i="18"/>
  <c r="J2741" i="18"/>
  <c r="K2741" i="18"/>
  <c r="L2741" i="18"/>
  <c r="B2742" i="18"/>
  <c r="C2742" i="18"/>
  <c r="D2742" i="18"/>
  <c r="E2742" i="18"/>
  <c r="F2742" i="18"/>
  <c r="G2742" i="18"/>
  <c r="H2742" i="18"/>
  <c r="I2742" i="18"/>
  <c r="J2742" i="18"/>
  <c r="K2742" i="18"/>
  <c r="L2742" i="18"/>
  <c r="B2743" i="18"/>
  <c r="C2743" i="18"/>
  <c r="D2743" i="18"/>
  <c r="E2743" i="18"/>
  <c r="F2743" i="18"/>
  <c r="G2743" i="18"/>
  <c r="H2743" i="18"/>
  <c r="I2743" i="18"/>
  <c r="J2743" i="18"/>
  <c r="K2743" i="18"/>
  <c r="L2743" i="18"/>
  <c r="B2744" i="18"/>
  <c r="C2744" i="18"/>
  <c r="D2744" i="18"/>
  <c r="E2744" i="18"/>
  <c r="F2744" i="18"/>
  <c r="G2744" i="18"/>
  <c r="H2744" i="18"/>
  <c r="I2744" i="18"/>
  <c r="J2744" i="18"/>
  <c r="K2744" i="18"/>
  <c r="L2744" i="18"/>
  <c r="B2745" i="18"/>
  <c r="C2745" i="18"/>
  <c r="D2745" i="18"/>
  <c r="E2745" i="18"/>
  <c r="F2745" i="18"/>
  <c r="G2745" i="18"/>
  <c r="H2745" i="18"/>
  <c r="I2745" i="18"/>
  <c r="J2745" i="18"/>
  <c r="K2745" i="18"/>
  <c r="L2745" i="18"/>
  <c r="B2746" i="18"/>
  <c r="C2746" i="18"/>
  <c r="D2746" i="18"/>
  <c r="E2746" i="18"/>
  <c r="F2746" i="18"/>
  <c r="G2746" i="18"/>
  <c r="H2746" i="18"/>
  <c r="I2746" i="18"/>
  <c r="J2746" i="18"/>
  <c r="K2746" i="18"/>
  <c r="L2746" i="18"/>
  <c r="B2747" i="18"/>
  <c r="C2747" i="18"/>
  <c r="D2747" i="18"/>
  <c r="E2747" i="18"/>
  <c r="F2747" i="18"/>
  <c r="G2747" i="18"/>
  <c r="H2747" i="18"/>
  <c r="I2747" i="18"/>
  <c r="J2747" i="18"/>
  <c r="K2747" i="18"/>
  <c r="L2747" i="18"/>
  <c r="B2748" i="18"/>
  <c r="C2748" i="18"/>
  <c r="D2748" i="18"/>
  <c r="E2748" i="18"/>
  <c r="F2748" i="18"/>
  <c r="G2748" i="18"/>
  <c r="H2748" i="18"/>
  <c r="I2748" i="18"/>
  <c r="J2748" i="18"/>
  <c r="K2748" i="18"/>
  <c r="L2748" i="18"/>
  <c r="B2749" i="18"/>
  <c r="C2749" i="18"/>
  <c r="D2749" i="18"/>
  <c r="E2749" i="18"/>
  <c r="F2749" i="18"/>
  <c r="G2749" i="18"/>
  <c r="H2749" i="18"/>
  <c r="I2749" i="18"/>
  <c r="J2749" i="18"/>
  <c r="K2749" i="18"/>
  <c r="L2749" i="18"/>
  <c r="B2750" i="18"/>
  <c r="C2750" i="18"/>
  <c r="D2750" i="18"/>
  <c r="E2750" i="18"/>
  <c r="F2750" i="18"/>
  <c r="G2750" i="18"/>
  <c r="H2750" i="18"/>
  <c r="I2750" i="18"/>
  <c r="J2750" i="18"/>
  <c r="K2750" i="18"/>
  <c r="L2750" i="18"/>
  <c r="B2751" i="18"/>
  <c r="C2751" i="18"/>
  <c r="D2751" i="18"/>
  <c r="E2751" i="18"/>
  <c r="F2751" i="18"/>
  <c r="G2751" i="18"/>
  <c r="H2751" i="18"/>
  <c r="I2751" i="18"/>
  <c r="J2751" i="18"/>
  <c r="K2751" i="18"/>
  <c r="L2751" i="18"/>
  <c r="B2752" i="18"/>
  <c r="C2752" i="18"/>
  <c r="D2752" i="18"/>
  <c r="E2752" i="18"/>
  <c r="F2752" i="18"/>
  <c r="G2752" i="18"/>
  <c r="H2752" i="18"/>
  <c r="I2752" i="18"/>
  <c r="J2752" i="18"/>
  <c r="K2752" i="18"/>
  <c r="L2752" i="18"/>
  <c r="B2753" i="18"/>
  <c r="C2753" i="18"/>
  <c r="D2753" i="18"/>
  <c r="E2753" i="18"/>
  <c r="F2753" i="18"/>
  <c r="G2753" i="18"/>
  <c r="H2753" i="18"/>
  <c r="I2753" i="18"/>
  <c r="J2753" i="18"/>
  <c r="K2753" i="18"/>
  <c r="L2753" i="18"/>
  <c r="B2754" i="18"/>
  <c r="C2754" i="18"/>
  <c r="D2754" i="18"/>
  <c r="E2754" i="18"/>
  <c r="F2754" i="18"/>
  <c r="G2754" i="18"/>
  <c r="H2754" i="18"/>
  <c r="I2754" i="18"/>
  <c r="J2754" i="18"/>
  <c r="K2754" i="18"/>
  <c r="L2754" i="18"/>
  <c r="B2755" i="18"/>
  <c r="C2755" i="18"/>
  <c r="D2755" i="18"/>
  <c r="E2755" i="18"/>
  <c r="F2755" i="18"/>
  <c r="G2755" i="18"/>
  <c r="H2755" i="18"/>
  <c r="I2755" i="18"/>
  <c r="J2755" i="18"/>
  <c r="K2755" i="18"/>
  <c r="L2755" i="18"/>
  <c r="B2756" i="18"/>
  <c r="C2756" i="18"/>
  <c r="D2756" i="18"/>
  <c r="E2756" i="18"/>
  <c r="F2756" i="18"/>
  <c r="G2756" i="18"/>
  <c r="H2756" i="18"/>
  <c r="I2756" i="18"/>
  <c r="J2756" i="18"/>
  <c r="K2756" i="18"/>
  <c r="L2756" i="18"/>
  <c r="B2757" i="18"/>
  <c r="C2757" i="18"/>
  <c r="D2757" i="18"/>
  <c r="E2757" i="18"/>
  <c r="F2757" i="18"/>
  <c r="G2757" i="18"/>
  <c r="H2757" i="18"/>
  <c r="I2757" i="18"/>
  <c r="J2757" i="18"/>
  <c r="K2757" i="18"/>
  <c r="L2757" i="18"/>
  <c r="B2758" i="18"/>
  <c r="C2758" i="18"/>
  <c r="D2758" i="18"/>
  <c r="E2758" i="18"/>
  <c r="F2758" i="18"/>
  <c r="G2758" i="18"/>
  <c r="H2758" i="18"/>
  <c r="I2758" i="18"/>
  <c r="J2758" i="18"/>
  <c r="K2758" i="18"/>
  <c r="L2758" i="18"/>
  <c r="B2759" i="18"/>
  <c r="C2759" i="18"/>
  <c r="D2759" i="18"/>
  <c r="E2759" i="18"/>
  <c r="F2759" i="18"/>
  <c r="G2759" i="18"/>
  <c r="H2759" i="18"/>
  <c r="I2759" i="18"/>
  <c r="J2759" i="18"/>
  <c r="K2759" i="18"/>
  <c r="L2759" i="18"/>
  <c r="B2760" i="18"/>
  <c r="C2760" i="18"/>
  <c r="D2760" i="18"/>
  <c r="E2760" i="18"/>
  <c r="F2760" i="18"/>
  <c r="G2760" i="18"/>
  <c r="H2760" i="18"/>
  <c r="I2760" i="18"/>
  <c r="J2760" i="18"/>
  <c r="K2760" i="18"/>
  <c r="L2760" i="18"/>
  <c r="B2761" i="18"/>
  <c r="C2761" i="18"/>
  <c r="D2761" i="18"/>
  <c r="E2761" i="18"/>
  <c r="F2761" i="18"/>
  <c r="G2761" i="18"/>
  <c r="H2761" i="18"/>
  <c r="I2761" i="18"/>
  <c r="J2761" i="18"/>
  <c r="K2761" i="18"/>
  <c r="L2761" i="18"/>
  <c r="B2762" i="18"/>
  <c r="C2762" i="18"/>
  <c r="D2762" i="18"/>
  <c r="E2762" i="18"/>
  <c r="F2762" i="18"/>
  <c r="G2762" i="18"/>
  <c r="H2762" i="18"/>
  <c r="I2762" i="18"/>
  <c r="J2762" i="18"/>
  <c r="K2762" i="18"/>
  <c r="L2762" i="18"/>
  <c r="B2763" i="18"/>
  <c r="C2763" i="18"/>
  <c r="D2763" i="18"/>
  <c r="E2763" i="18"/>
  <c r="F2763" i="18"/>
  <c r="G2763" i="18"/>
  <c r="H2763" i="18"/>
  <c r="I2763" i="18"/>
  <c r="J2763" i="18"/>
  <c r="K2763" i="18"/>
  <c r="L2763" i="18"/>
  <c r="B2764" i="18"/>
  <c r="C2764" i="18"/>
  <c r="D2764" i="18"/>
  <c r="E2764" i="18"/>
  <c r="F2764" i="18"/>
  <c r="G2764" i="18"/>
  <c r="H2764" i="18"/>
  <c r="I2764" i="18"/>
  <c r="J2764" i="18"/>
  <c r="K2764" i="18"/>
  <c r="L2764" i="18"/>
  <c r="B2765" i="18"/>
  <c r="C2765" i="18"/>
  <c r="D2765" i="18"/>
  <c r="E2765" i="18"/>
  <c r="F2765" i="18"/>
  <c r="G2765" i="18"/>
  <c r="H2765" i="18"/>
  <c r="I2765" i="18"/>
  <c r="J2765" i="18"/>
  <c r="K2765" i="18"/>
  <c r="L2765" i="18"/>
  <c r="B2766" i="18"/>
  <c r="C2766" i="18"/>
  <c r="D2766" i="18"/>
  <c r="E2766" i="18"/>
  <c r="F2766" i="18"/>
  <c r="G2766" i="18"/>
  <c r="H2766" i="18"/>
  <c r="I2766" i="18"/>
  <c r="J2766" i="18"/>
  <c r="K2766" i="18"/>
  <c r="L2766" i="18"/>
  <c r="B2767" i="18"/>
  <c r="C2767" i="18"/>
  <c r="D2767" i="18"/>
  <c r="E2767" i="18"/>
  <c r="F2767" i="18"/>
  <c r="G2767" i="18"/>
  <c r="H2767" i="18"/>
  <c r="I2767" i="18"/>
  <c r="J2767" i="18"/>
  <c r="K2767" i="18"/>
  <c r="L2767" i="18"/>
  <c r="B2768" i="18"/>
  <c r="C2768" i="18"/>
  <c r="D2768" i="18"/>
  <c r="E2768" i="18"/>
  <c r="F2768" i="18"/>
  <c r="G2768" i="18"/>
  <c r="H2768" i="18"/>
  <c r="I2768" i="18"/>
  <c r="J2768" i="18"/>
  <c r="K2768" i="18"/>
  <c r="L2768" i="18"/>
  <c r="B2769" i="18"/>
  <c r="C2769" i="18"/>
  <c r="D2769" i="18"/>
  <c r="E2769" i="18"/>
  <c r="F2769" i="18"/>
  <c r="G2769" i="18"/>
  <c r="H2769" i="18"/>
  <c r="I2769" i="18"/>
  <c r="J2769" i="18"/>
  <c r="K2769" i="18"/>
  <c r="L2769" i="18"/>
  <c r="B2770" i="18"/>
  <c r="C2770" i="18"/>
  <c r="D2770" i="18"/>
  <c r="E2770" i="18"/>
  <c r="F2770" i="18"/>
  <c r="G2770" i="18"/>
  <c r="H2770" i="18"/>
  <c r="I2770" i="18"/>
  <c r="J2770" i="18"/>
  <c r="K2770" i="18"/>
  <c r="L2770" i="18"/>
  <c r="B2771" i="18"/>
  <c r="C2771" i="18"/>
  <c r="D2771" i="18"/>
  <c r="E2771" i="18"/>
  <c r="F2771" i="18"/>
  <c r="G2771" i="18"/>
  <c r="H2771" i="18"/>
  <c r="I2771" i="18"/>
  <c r="J2771" i="18"/>
  <c r="K2771" i="18"/>
  <c r="L2771" i="18"/>
  <c r="B2772" i="18"/>
  <c r="C2772" i="18"/>
  <c r="D2772" i="18"/>
  <c r="E2772" i="18"/>
  <c r="F2772" i="18"/>
  <c r="G2772" i="18"/>
  <c r="H2772" i="18"/>
  <c r="I2772" i="18"/>
  <c r="J2772" i="18"/>
  <c r="K2772" i="18"/>
  <c r="L2772" i="18"/>
  <c r="B2773" i="18"/>
  <c r="C2773" i="18"/>
  <c r="D2773" i="18"/>
  <c r="E2773" i="18"/>
  <c r="F2773" i="18"/>
  <c r="G2773" i="18"/>
  <c r="H2773" i="18"/>
  <c r="I2773" i="18"/>
  <c r="J2773" i="18"/>
  <c r="K2773" i="18"/>
  <c r="L2773" i="18"/>
  <c r="B2774" i="18"/>
  <c r="C2774" i="18"/>
  <c r="D2774" i="18"/>
  <c r="E2774" i="18"/>
  <c r="F2774" i="18"/>
  <c r="G2774" i="18"/>
  <c r="H2774" i="18"/>
  <c r="I2774" i="18"/>
  <c r="J2774" i="18"/>
  <c r="K2774" i="18"/>
  <c r="L2774" i="18"/>
  <c r="B2775" i="18"/>
  <c r="C2775" i="18"/>
  <c r="D2775" i="18"/>
  <c r="E2775" i="18"/>
  <c r="F2775" i="18"/>
  <c r="G2775" i="18"/>
  <c r="H2775" i="18"/>
  <c r="I2775" i="18"/>
  <c r="J2775" i="18"/>
  <c r="K2775" i="18"/>
  <c r="L2775" i="18"/>
  <c r="B2776" i="18"/>
  <c r="C2776" i="18"/>
  <c r="D2776" i="18"/>
  <c r="E2776" i="18"/>
  <c r="F2776" i="18"/>
  <c r="G2776" i="18"/>
  <c r="H2776" i="18"/>
  <c r="I2776" i="18"/>
  <c r="J2776" i="18"/>
  <c r="K2776" i="18"/>
  <c r="L2776" i="18"/>
  <c r="B2777" i="18"/>
  <c r="C2777" i="18"/>
  <c r="D2777" i="18"/>
  <c r="E2777" i="18"/>
  <c r="F2777" i="18"/>
  <c r="G2777" i="18"/>
  <c r="H2777" i="18"/>
  <c r="I2777" i="18"/>
  <c r="J2777" i="18"/>
  <c r="K2777" i="18"/>
  <c r="L2777" i="18"/>
  <c r="B2778" i="18"/>
  <c r="C2778" i="18"/>
  <c r="D2778" i="18"/>
  <c r="E2778" i="18"/>
  <c r="F2778" i="18"/>
  <c r="G2778" i="18"/>
  <c r="H2778" i="18"/>
  <c r="I2778" i="18"/>
  <c r="J2778" i="18"/>
  <c r="K2778" i="18"/>
  <c r="L2778" i="18"/>
  <c r="B2779" i="18"/>
  <c r="C2779" i="18"/>
  <c r="D2779" i="18"/>
  <c r="E2779" i="18"/>
  <c r="F2779" i="18"/>
  <c r="G2779" i="18"/>
  <c r="H2779" i="18"/>
  <c r="I2779" i="18"/>
  <c r="J2779" i="18"/>
  <c r="K2779" i="18"/>
  <c r="L2779" i="18"/>
  <c r="B2780" i="18"/>
  <c r="C2780" i="18"/>
  <c r="D2780" i="18"/>
  <c r="E2780" i="18"/>
  <c r="F2780" i="18"/>
  <c r="G2780" i="18"/>
  <c r="H2780" i="18"/>
  <c r="I2780" i="18"/>
  <c r="J2780" i="18"/>
  <c r="K2780" i="18"/>
  <c r="L2780" i="18"/>
  <c r="B2781" i="18"/>
  <c r="C2781" i="18"/>
  <c r="D2781" i="18"/>
  <c r="E2781" i="18"/>
  <c r="F2781" i="18"/>
  <c r="G2781" i="18"/>
  <c r="H2781" i="18"/>
  <c r="I2781" i="18"/>
  <c r="J2781" i="18"/>
  <c r="K2781" i="18"/>
  <c r="L2781" i="18"/>
  <c r="B2782" i="18"/>
  <c r="C2782" i="18"/>
  <c r="D2782" i="18"/>
  <c r="E2782" i="18"/>
  <c r="F2782" i="18"/>
  <c r="G2782" i="18"/>
  <c r="H2782" i="18"/>
  <c r="I2782" i="18"/>
  <c r="J2782" i="18"/>
  <c r="K2782" i="18"/>
  <c r="L2782" i="18"/>
  <c r="B2783" i="18"/>
  <c r="C2783" i="18"/>
  <c r="D2783" i="18"/>
  <c r="E2783" i="18"/>
  <c r="F2783" i="18"/>
  <c r="G2783" i="18"/>
  <c r="H2783" i="18"/>
  <c r="I2783" i="18"/>
  <c r="J2783" i="18"/>
  <c r="K2783" i="18"/>
  <c r="L2783" i="18"/>
  <c r="B2784" i="18"/>
  <c r="C2784" i="18"/>
  <c r="D2784" i="18"/>
  <c r="E2784" i="18"/>
  <c r="F2784" i="18"/>
  <c r="G2784" i="18"/>
  <c r="H2784" i="18"/>
  <c r="I2784" i="18"/>
  <c r="J2784" i="18"/>
  <c r="K2784" i="18"/>
  <c r="L2784" i="18"/>
  <c r="B2785" i="18"/>
  <c r="C2785" i="18"/>
  <c r="D2785" i="18"/>
  <c r="E2785" i="18"/>
  <c r="F2785" i="18"/>
  <c r="G2785" i="18"/>
  <c r="H2785" i="18"/>
  <c r="I2785" i="18"/>
  <c r="J2785" i="18"/>
  <c r="K2785" i="18"/>
  <c r="L2785" i="18"/>
  <c r="B2786" i="18"/>
  <c r="C2786" i="18"/>
  <c r="D2786" i="18"/>
  <c r="E2786" i="18"/>
  <c r="F2786" i="18"/>
  <c r="G2786" i="18"/>
  <c r="H2786" i="18"/>
  <c r="I2786" i="18"/>
  <c r="J2786" i="18"/>
  <c r="K2786" i="18"/>
  <c r="L2786" i="18"/>
  <c r="B2787" i="18"/>
  <c r="C2787" i="18"/>
  <c r="D2787" i="18"/>
  <c r="E2787" i="18"/>
  <c r="F2787" i="18"/>
  <c r="G2787" i="18"/>
  <c r="H2787" i="18"/>
  <c r="I2787" i="18"/>
  <c r="J2787" i="18"/>
  <c r="K2787" i="18"/>
  <c r="L2787" i="18"/>
  <c r="B2788" i="18"/>
  <c r="C2788" i="18"/>
  <c r="D2788" i="18"/>
  <c r="E2788" i="18"/>
  <c r="F2788" i="18"/>
  <c r="G2788" i="18"/>
  <c r="H2788" i="18"/>
  <c r="I2788" i="18"/>
  <c r="J2788" i="18"/>
  <c r="K2788" i="18"/>
  <c r="L2788" i="18"/>
  <c r="B2789" i="18"/>
  <c r="C2789" i="18"/>
  <c r="D2789" i="18"/>
  <c r="E2789" i="18"/>
  <c r="F2789" i="18"/>
  <c r="G2789" i="18"/>
  <c r="H2789" i="18"/>
  <c r="I2789" i="18"/>
  <c r="J2789" i="18"/>
  <c r="K2789" i="18"/>
  <c r="L2789" i="18"/>
  <c r="B2790" i="18"/>
  <c r="C2790" i="18"/>
  <c r="D2790" i="18"/>
  <c r="E2790" i="18"/>
  <c r="F2790" i="18"/>
  <c r="G2790" i="18"/>
  <c r="H2790" i="18"/>
  <c r="I2790" i="18"/>
  <c r="J2790" i="18"/>
  <c r="K2790" i="18"/>
  <c r="L2790" i="18"/>
  <c r="B2791" i="18"/>
  <c r="C2791" i="18"/>
  <c r="D2791" i="18"/>
  <c r="E2791" i="18"/>
  <c r="F2791" i="18"/>
  <c r="G2791" i="18"/>
  <c r="H2791" i="18"/>
  <c r="I2791" i="18"/>
  <c r="J2791" i="18"/>
  <c r="K2791" i="18"/>
  <c r="L2791" i="18"/>
  <c r="B2792" i="18"/>
  <c r="C2792" i="18"/>
  <c r="D2792" i="18"/>
  <c r="E2792" i="18"/>
  <c r="F2792" i="18"/>
  <c r="G2792" i="18"/>
  <c r="H2792" i="18"/>
  <c r="I2792" i="18"/>
  <c r="J2792" i="18"/>
  <c r="K2792" i="18"/>
  <c r="L2792" i="18"/>
  <c r="B2793" i="18"/>
  <c r="C2793" i="18"/>
  <c r="D2793" i="18"/>
  <c r="E2793" i="18"/>
  <c r="F2793" i="18"/>
  <c r="G2793" i="18"/>
  <c r="H2793" i="18"/>
  <c r="I2793" i="18"/>
  <c r="J2793" i="18"/>
  <c r="K2793" i="18"/>
  <c r="L2793" i="18"/>
  <c r="B2794" i="18"/>
  <c r="C2794" i="18"/>
  <c r="D2794" i="18"/>
  <c r="E2794" i="18"/>
  <c r="F2794" i="18"/>
  <c r="G2794" i="18"/>
  <c r="H2794" i="18"/>
  <c r="I2794" i="18"/>
  <c r="J2794" i="18"/>
  <c r="K2794" i="18"/>
  <c r="L2794" i="18"/>
  <c r="B2795" i="18"/>
  <c r="C2795" i="18"/>
  <c r="D2795" i="18"/>
  <c r="E2795" i="18"/>
  <c r="F2795" i="18"/>
  <c r="G2795" i="18"/>
  <c r="H2795" i="18"/>
  <c r="I2795" i="18"/>
  <c r="J2795" i="18"/>
  <c r="K2795" i="18"/>
  <c r="L2795" i="18"/>
  <c r="B2796" i="18"/>
  <c r="C2796" i="18"/>
  <c r="D2796" i="18"/>
  <c r="E2796" i="18"/>
  <c r="F2796" i="18"/>
  <c r="G2796" i="18"/>
  <c r="H2796" i="18"/>
  <c r="I2796" i="18"/>
  <c r="J2796" i="18"/>
  <c r="K2796" i="18"/>
  <c r="L2796" i="18"/>
  <c r="B2797" i="18"/>
  <c r="C2797" i="18"/>
  <c r="D2797" i="18"/>
  <c r="E2797" i="18"/>
  <c r="F2797" i="18"/>
  <c r="G2797" i="18"/>
  <c r="H2797" i="18"/>
  <c r="I2797" i="18"/>
  <c r="J2797" i="18"/>
  <c r="K2797" i="18"/>
  <c r="L2797" i="18"/>
  <c r="B2798" i="18"/>
  <c r="C2798" i="18"/>
  <c r="D2798" i="18"/>
  <c r="E2798" i="18"/>
  <c r="F2798" i="18"/>
  <c r="G2798" i="18"/>
  <c r="H2798" i="18"/>
  <c r="I2798" i="18"/>
  <c r="J2798" i="18"/>
  <c r="K2798" i="18"/>
  <c r="L2798" i="18"/>
  <c r="B2799" i="18"/>
  <c r="C2799" i="18"/>
  <c r="D2799" i="18"/>
  <c r="E2799" i="18"/>
  <c r="F2799" i="18"/>
  <c r="G2799" i="18"/>
  <c r="H2799" i="18"/>
  <c r="I2799" i="18"/>
  <c r="J2799" i="18"/>
  <c r="K2799" i="18"/>
  <c r="L2799" i="18"/>
  <c r="B2800" i="18"/>
  <c r="C2800" i="18"/>
  <c r="D2800" i="18"/>
  <c r="E2800" i="18"/>
  <c r="F2800" i="18"/>
  <c r="G2800" i="18"/>
  <c r="H2800" i="18"/>
  <c r="I2800" i="18"/>
  <c r="J2800" i="18"/>
  <c r="K2800" i="18"/>
  <c r="L2800" i="18"/>
  <c r="B2801" i="18"/>
  <c r="C2801" i="18"/>
  <c r="D2801" i="18"/>
  <c r="E2801" i="18"/>
  <c r="F2801" i="18"/>
  <c r="G2801" i="18"/>
  <c r="H2801" i="18"/>
  <c r="I2801" i="18"/>
  <c r="J2801" i="18"/>
  <c r="K2801" i="18"/>
  <c r="L2801" i="18"/>
  <c r="B2802" i="18"/>
  <c r="C2802" i="18"/>
  <c r="D2802" i="18"/>
  <c r="E2802" i="18"/>
  <c r="F2802" i="18"/>
  <c r="G2802" i="18"/>
  <c r="H2802" i="18"/>
  <c r="I2802" i="18"/>
  <c r="J2802" i="18"/>
  <c r="K2802" i="18"/>
  <c r="L2802" i="18"/>
  <c r="B2803" i="18"/>
  <c r="C2803" i="18"/>
  <c r="D2803" i="18"/>
  <c r="E2803" i="18"/>
  <c r="F2803" i="18"/>
  <c r="G2803" i="18"/>
  <c r="H2803" i="18"/>
  <c r="I2803" i="18"/>
  <c r="J2803" i="18"/>
  <c r="K2803" i="18"/>
  <c r="L2803" i="18"/>
  <c r="B2804" i="18"/>
  <c r="C2804" i="18"/>
  <c r="D2804" i="18"/>
  <c r="E2804" i="18"/>
  <c r="F2804" i="18"/>
  <c r="G2804" i="18"/>
  <c r="H2804" i="18"/>
  <c r="I2804" i="18"/>
  <c r="J2804" i="18"/>
  <c r="K2804" i="18"/>
  <c r="L2804" i="18"/>
  <c r="B2805" i="18"/>
  <c r="C2805" i="18"/>
  <c r="D2805" i="18"/>
  <c r="E2805" i="18"/>
  <c r="F2805" i="18"/>
  <c r="G2805" i="18"/>
  <c r="H2805" i="18"/>
  <c r="I2805" i="18"/>
  <c r="J2805" i="18"/>
  <c r="K2805" i="18"/>
  <c r="L2805" i="18"/>
  <c r="B2806" i="18"/>
  <c r="C2806" i="18"/>
  <c r="D2806" i="18"/>
  <c r="E2806" i="18"/>
  <c r="F2806" i="18"/>
  <c r="G2806" i="18"/>
  <c r="H2806" i="18"/>
  <c r="I2806" i="18"/>
  <c r="J2806" i="18"/>
  <c r="K2806" i="18"/>
  <c r="L2806" i="18"/>
  <c r="B2807" i="18"/>
  <c r="C2807" i="18"/>
  <c r="D2807" i="18"/>
  <c r="E2807" i="18"/>
  <c r="F2807" i="18"/>
  <c r="G2807" i="18"/>
  <c r="H2807" i="18"/>
  <c r="I2807" i="18"/>
  <c r="J2807" i="18"/>
  <c r="K2807" i="18"/>
  <c r="L2807" i="18"/>
  <c r="B2808" i="18"/>
  <c r="C2808" i="18"/>
  <c r="D2808" i="18"/>
  <c r="E2808" i="18"/>
  <c r="F2808" i="18"/>
  <c r="G2808" i="18"/>
  <c r="H2808" i="18"/>
  <c r="I2808" i="18"/>
  <c r="J2808" i="18"/>
  <c r="K2808" i="18"/>
  <c r="L2808" i="18"/>
  <c r="B2809" i="18"/>
  <c r="C2809" i="18"/>
  <c r="D2809" i="18"/>
  <c r="E2809" i="18"/>
  <c r="F2809" i="18"/>
  <c r="G2809" i="18"/>
  <c r="H2809" i="18"/>
  <c r="I2809" i="18"/>
  <c r="J2809" i="18"/>
  <c r="K2809" i="18"/>
  <c r="L2809" i="18"/>
  <c r="B2810" i="18"/>
  <c r="C2810" i="18"/>
  <c r="D2810" i="18"/>
  <c r="E2810" i="18"/>
  <c r="F2810" i="18"/>
  <c r="G2810" i="18"/>
  <c r="H2810" i="18"/>
  <c r="I2810" i="18"/>
  <c r="J2810" i="18"/>
  <c r="K2810" i="18"/>
  <c r="L2810" i="18"/>
  <c r="B2811" i="18"/>
  <c r="C2811" i="18"/>
  <c r="D2811" i="18"/>
  <c r="E2811" i="18"/>
  <c r="F2811" i="18"/>
  <c r="G2811" i="18"/>
  <c r="H2811" i="18"/>
  <c r="I2811" i="18"/>
  <c r="J2811" i="18"/>
  <c r="K2811" i="18"/>
  <c r="L2811" i="18"/>
  <c r="B2812" i="18"/>
  <c r="C2812" i="18"/>
  <c r="D2812" i="18"/>
  <c r="E2812" i="18"/>
  <c r="F2812" i="18"/>
  <c r="G2812" i="18"/>
  <c r="H2812" i="18"/>
  <c r="I2812" i="18"/>
  <c r="J2812" i="18"/>
  <c r="K2812" i="18"/>
  <c r="L2812" i="18"/>
  <c r="B2813" i="18"/>
  <c r="C2813" i="18"/>
  <c r="D2813" i="18"/>
  <c r="E2813" i="18"/>
  <c r="F2813" i="18"/>
  <c r="G2813" i="18"/>
  <c r="H2813" i="18"/>
  <c r="I2813" i="18"/>
  <c r="J2813" i="18"/>
  <c r="K2813" i="18"/>
  <c r="L2813" i="18"/>
  <c r="B2814" i="18"/>
  <c r="C2814" i="18"/>
  <c r="D2814" i="18"/>
  <c r="E2814" i="18"/>
  <c r="F2814" i="18"/>
  <c r="G2814" i="18"/>
  <c r="H2814" i="18"/>
  <c r="I2814" i="18"/>
  <c r="J2814" i="18"/>
  <c r="K2814" i="18"/>
  <c r="L2814" i="18"/>
  <c r="B2815" i="18"/>
  <c r="C2815" i="18"/>
  <c r="D2815" i="18"/>
  <c r="E2815" i="18"/>
  <c r="F2815" i="18"/>
  <c r="G2815" i="18"/>
  <c r="H2815" i="18"/>
  <c r="I2815" i="18"/>
  <c r="J2815" i="18"/>
  <c r="K2815" i="18"/>
  <c r="L2815" i="18"/>
  <c r="B2816" i="18"/>
  <c r="C2816" i="18"/>
  <c r="D2816" i="18"/>
  <c r="E2816" i="18"/>
  <c r="F2816" i="18"/>
  <c r="G2816" i="18"/>
  <c r="H2816" i="18"/>
  <c r="I2816" i="18"/>
  <c r="J2816" i="18"/>
  <c r="K2816" i="18"/>
  <c r="L2816" i="18"/>
  <c r="B2817" i="18"/>
  <c r="C2817" i="18"/>
  <c r="D2817" i="18"/>
  <c r="E2817" i="18"/>
  <c r="F2817" i="18"/>
  <c r="G2817" i="18"/>
  <c r="H2817" i="18"/>
  <c r="I2817" i="18"/>
  <c r="J2817" i="18"/>
  <c r="K2817" i="18"/>
  <c r="L2817" i="18"/>
  <c r="B2818" i="18"/>
  <c r="C2818" i="18"/>
  <c r="D2818" i="18"/>
  <c r="E2818" i="18"/>
  <c r="F2818" i="18"/>
  <c r="G2818" i="18"/>
  <c r="H2818" i="18"/>
  <c r="I2818" i="18"/>
  <c r="J2818" i="18"/>
  <c r="K2818" i="18"/>
  <c r="L2818" i="18"/>
  <c r="B2819" i="18"/>
  <c r="C2819" i="18"/>
  <c r="D2819" i="18"/>
  <c r="E2819" i="18"/>
  <c r="F2819" i="18"/>
  <c r="G2819" i="18"/>
  <c r="H2819" i="18"/>
  <c r="I2819" i="18"/>
  <c r="J2819" i="18"/>
  <c r="K2819" i="18"/>
  <c r="L2819" i="18"/>
  <c r="B2820" i="18"/>
  <c r="C2820" i="18"/>
  <c r="D2820" i="18"/>
  <c r="E2820" i="18"/>
  <c r="F2820" i="18"/>
  <c r="G2820" i="18"/>
  <c r="H2820" i="18"/>
  <c r="I2820" i="18"/>
  <c r="J2820" i="18"/>
  <c r="K2820" i="18"/>
  <c r="L2820" i="18"/>
  <c r="B2821" i="18"/>
  <c r="C2821" i="18"/>
  <c r="D2821" i="18"/>
  <c r="E2821" i="18"/>
  <c r="F2821" i="18"/>
  <c r="G2821" i="18"/>
  <c r="H2821" i="18"/>
  <c r="I2821" i="18"/>
  <c r="J2821" i="18"/>
  <c r="K2821" i="18"/>
  <c r="L2821" i="18"/>
  <c r="B2822" i="18"/>
  <c r="C2822" i="18"/>
  <c r="D2822" i="18"/>
  <c r="E2822" i="18"/>
  <c r="F2822" i="18"/>
  <c r="G2822" i="18"/>
  <c r="H2822" i="18"/>
  <c r="I2822" i="18"/>
  <c r="J2822" i="18"/>
  <c r="K2822" i="18"/>
  <c r="L2822" i="18"/>
  <c r="B2823" i="18"/>
  <c r="C2823" i="18"/>
  <c r="D2823" i="18"/>
  <c r="E2823" i="18"/>
  <c r="F2823" i="18"/>
  <c r="G2823" i="18"/>
  <c r="H2823" i="18"/>
  <c r="I2823" i="18"/>
  <c r="J2823" i="18"/>
  <c r="K2823" i="18"/>
  <c r="L2823" i="18"/>
  <c r="B2824" i="18"/>
  <c r="C2824" i="18"/>
  <c r="D2824" i="18"/>
  <c r="E2824" i="18"/>
  <c r="F2824" i="18"/>
  <c r="G2824" i="18"/>
  <c r="H2824" i="18"/>
  <c r="I2824" i="18"/>
  <c r="J2824" i="18"/>
  <c r="K2824" i="18"/>
  <c r="L2824" i="18"/>
  <c r="B2825" i="18"/>
  <c r="C2825" i="18"/>
  <c r="D2825" i="18"/>
  <c r="E2825" i="18"/>
  <c r="F2825" i="18"/>
  <c r="G2825" i="18"/>
  <c r="H2825" i="18"/>
  <c r="I2825" i="18"/>
  <c r="J2825" i="18"/>
  <c r="K2825" i="18"/>
  <c r="L2825" i="18"/>
  <c r="B2826" i="18"/>
  <c r="C2826" i="18"/>
  <c r="D2826" i="18"/>
  <c r="E2826" i="18"/>
  <c r="F2826" i="18"/>
  <c r="G2826" i="18"/>
  <c r="H2826" i="18"/>
  <c r="I2826" i="18"/>
  <c r="J2826" i="18"/>
  <c r="K2826" i="18"/>
  <c r="L2826" i="18"/>
  <c r="B2827" i="18"/>
  <c r="C2827" i="18"/>
  <c r="D2827" i="18"/>
  <c r="E2827" i="18"/>
  <c r="F2827" i="18"/>
  <c r="G2827" i="18"/>
  <c r="H2827" i="18"/>
  <c r="I2827" i="18"/>
  <c r="J2827" i="18"/>
  <c r="K2827" i="18"/>
  <c r="L2827" i="18"/>
  <c r="B2828" i="18"/>
  <c r="C2828" i="18"/>
  <c r="D2828" i="18"/>
  <c r="E2828" i="18"/>
  <c r="F2828" i="18"/>
  <c r="G2828" i="18"/>
  <c r="H2828" i="18"/>
  <c r="I2828" i="18"/>
  <c r="J2828" i="18"/>
  <c r="K2828" i="18"/>
  <c r="L2828" i="18"/>
  <c r="B2829" i="18"/>
  <c r="C2829" i="18"/>
  <c r="D2829" i="18"/>
  <c r="E2829" i="18"/>
  <c r="F2829" i="18"/>
  <c r="G2829" i="18"/>
  <c r="H2829" i="18"/>
  <c r="I2829" i="18"/>
  <c r="J2829" i="18"/>
  <c r="K2829" i="18"/>
  <c r="L2829" i="18"/>
  <c r="B2830" i="18"/>
  <c r="C2830" i="18"/>
  <c r="D2830" i="18"/>
  <c r="E2830" i="18"/>
  <c r="F2830" i="18"/>
  <c r="G2830" i="18"/>
  <c r="H2830" i="18"/>
  <c r="I2830" i="18"/>
  <c r="J2830" i="18"/>
  <c r="K2830" i="18"/>
  <c r="L2830" i="18"/>
  <c r="B2831" i="18"/>
  <c r="C2831" i="18"/>
  <c r="D2831" i="18"/>
  <c r="E2831" i="18"/>
  <c r="F2831" i="18"/>
  <c r="G2831" i="18"/>
  <c r="H2831" i="18"/>
  <c r="I2831" i="18"/>
  <c r="J2831" i="18"/>
  <c r="K2831" i="18"/>
  <c r="L2831" i="18"/>
  <c r="B2832" i="18"/>
  <c r="C2832" i="18"/>
  <c r="D2832" i="18"/>
  <c r="E2832" i="18"/>
  <c r="F2832" i="18"/>
  <c r="G2832" i="18"/>
  <c r="H2832" i="18"/>
  <c r="I2832" i="18"/>
  <c r="J2832" i="18"/>
  <c r="K2832" i="18"/>
  <c r="L2832" i="18"/>
  <c r="B2833" i="18"/>
  <c r="C2833" i="18"/>
  <c r="D2833" i="18"/>
  <c r="E2833" i="18"/>
  <c r="F2833" i="18"/>
  <c r="G2833" i="18"/>
  <c r="H2833" i="18"/>
  <c r="I2833" i="18"/>
  <c r="J2833" i="18"/>
  <c r="K2833" i="18"/>
  <c r="L2833" i="18"/>
  <c r="B2834" i="18"/>
  <c r="C2834" i="18"/>
  <c r="D2834" i="18"/>
  <c r="E2834" i="18"/>
  <c r="F2834" i="18"/>
  <c r="G2834" i="18"/>
  <c r="H2834" i="18"/>
  <c r="I2834" i="18"/>
  <c r="J2834" i="18"/>
  <c r="K2834" i="18"/>
  <c r="L2834" i="18"/>
  <c r="B2835" i="18"/>
  <c r="C2835" i="18"/>
  <c r="D2835" i="18"/>
  <c r="E2835" i="18"/>
  <c r="F2835" i="18"/>
  <c r="G2835" i="18"/>
  <c r="H2835" i="18"/>
  <c r="I2835" i="18"/>
  <c r="J2835" i="18"/>
  <c r="K2835" i="18"/>
  <c r="L2835" i="18"/>
  <c r="B2836" i="18"/>
  <c r="C2836" i="18"/>
  <c r="D2836" i="18"/>
  <c r="E2836" i="18"/>
  <c r="F2836" i="18"/>
  <c r="G2836" i="18"/>
  <c r="H2836" i="18"/>
  <c r="I2836" i="18"/>
  <c r="J2836" i="18"/>
  <c r="K2836" i="18"/>
  <c r="L2836" i="18"/>
  <c r="B2837" i="18"/>
  <c r="C2837" i="18"/>
  <c r="D2837" i="18"/>
  <c r="E2837" i="18"/>
  <c r="F2837" i="18"/>
  <c r="G2837" i="18"/>
  <c r="H2837" i="18"/>
  <c r="I2837" i="18"/>
  <c r="J2837" i="18"/>
  <c r="K2837" i="18"/>
  <c r="L2837" i="18"/>
  <c r="B2838" i="18"/>
  <c r="C2838" i="18"/>
  <c r="D2838" i="18"/>
  <c r="E2838" i="18"/>
  <c r="F2838" i="18"/>
  <c r="G2838" i="18"/>
  <c r="H2838" i="18"/>
  <c r="I2838" i="18"/>
  <c r="J2838" i="18"/>
  <c r="K2838" i="18"/>
  <c r="L2838" i="18"/>
  <c r="B2839" i="18"/>
  <c r="C2839" i="18"/>
  <c r="D2839" i="18"/>
  <c r="E2839" i="18"/>
  <c r="F2839" i="18"/>
  <c r="G2839" i="18"/>
  <c r="H2839" i="18"/>
  <c r="I2839" i="18"/>
  <c r="J2839" i="18"/>
  <c r="K2839" i="18"/>
  <c r="L2839" i="18"/>
  <c r="B2840" i="18"/>
  <c r="C2840" i="18"/>
  <c r="D2840" i="18"/>
  <c r="E2840" i="18"/>
  <c r="F2840" i="18"/>
  <c r="G2840" i="18"/>
  <c r="H2840" i="18"/>
  <c r="I2840" i="18"/>
  <c r="J2840" i="18"/>
  <c r="K2840" i="18"/>
  <c r="L2840" i="18"/>
  <c r="B2841" i="18"/>
  <c r="C2841" i="18"/>
  <c r="D2841" i="18"/>
  <c r="E2841" i="18"/>
  <c r="F2841" i="18"/>
  <c r="G2841" i="18"/>
  <c r="H2841" i="18"/>
  <c r="I2841" i="18"/>
  <c r="J2841" i="18"/>
  <c r="K2841" i="18"/>
  <c r="L2841" i="18"/>
  <c r="B2842" i="18"/>
  <c r="C2842" i="18"/>
  <c r="D2842" i="18"/>
  <c r="E2842" i="18"/>
  <c r="F2842" i="18"/>
  <c r="G2842" i="18"/>
  <c r="H2842" i="18"/>
  <c r="I2842" i="18"/>
  <c r="J2842" i="18"/>
  <c r="K2842" i="18"/>
  <c r="L2842" i="18"/>
  <c r="B2843" i="18"/>
  <c r="C2843" i="18"/>
  <c r="D2843" i="18"/>
  <c r="E2843" i="18"/>
  <c r="F2843" i="18"/>
  <c r="G2843" i="18"/>
  <c r="H2843" i="18"/>
  <c r="I2843" i="18"/>
  <c r="J2843" i="18"/>
  <c r="K2843" i="18"/>
  <c r="L2843" i="18"/>
  <c r="B2844" i="18"/>
  <c r="C2844" i="18"/>
  <c r="D2844" i="18"/>
  <c r="E2844" i="18"/>
  <c r="F2844" i="18"/>
  <c r="G2844" i="18"/>
  <c r="H2844" i="18"/>
  <c r="I2844" i="18"/>
  <c r="J2844" i="18"/>
  <c r="K2844" i="18"/>
  <c r="L2844" i="18"/>
  <c r="B2845" i="18"/>
  <c r="C2845" i="18"/>
  <c r="D2845" i="18"/>
  <c r="E2845" i="18"/>
  <c r="F2845" i="18"/>
  <c r="G2845" i="18"/>
  <c r="H2845" i="18"/>
  <c r="I2845" i="18"/>
  <c r="J2845" i="18"/>
  <c r="K2845" i="18"/>
  <c r="L2845" i="18"/>
  <c r="B2846" i="18"/>
  <c r="C2846" i="18"/>
  <c r="D2846" i="18"/>
  <c r="E2846" i="18"/>
  <c r="F2846" i="18"/>
  <c r="G2846" i="18"/>
  <c r="H2846" i="18"/>
  <c r="I2846" i="18"/>
  <c r="J2846" i="18"/>
  <c r="K2846" i="18"/>
  <c r="L2846" i="18"/>
  <c r="B2847" i="18"/>
  <c r="C2847" i="18"/>
  <c r="D2847" i="18"/>
  <c r="E2847" i="18"/>
  <c r="F2847" i="18"/>
  <c r="G2847" i="18"/>
  <c r="H2847" i="18"/>
  <c r="I2847" i="18"/>
  <c r="J2847" i="18"/>
  <c r="K2847" i="18"/>
  <c r="L2847" i="18"/>
  <c r="B2848" i="18"/>
  <c r="C2848" i="18"/>
  <c r="D2848" i="18"/>
  <c r="E2848" i="18"/>
  <c r="F2848" i="18"/>
  <c r="G2848" i="18"/>
  <c r="H2848" i="18"/>
  <c r="I2848" i="18"/>
  <c r="J2848" i="18"/>
  <c r="K2848" i="18"/>
  <c r="L2848" i="18"/>
  <c r="B2849" i="18"/>
  <c r="C2849" i="18"/>
  <c r="D2849" i="18"/>
  <c r="E2849" i="18"/>
  <c r="F2849" i="18"/>
  <c r="G2849" i="18"/>
  <c r="H2849" i="18"/>
  <c r="I2849" i="18"/>
  <c r="J2849" i="18"/>
  <c r="K2849" i="18"/>
  <c r="L2849" i="18"/>
  <c r="B2850" i="18"/>
  <c r="C2850" i="18"/>
  <c r="D2850" i="18"/>
  <c r="E2850" i="18"/>
  <c r="F2850" i="18"/>
  <c r="G2850" i="18"/>
  <c r="H2850" i="18"/>
  <c r="I2850" i="18"/>
  <c r="J2850" i="18"/>
  <c r="K2850" i="18"/>
  <c r="L2850" i="18"/>
  <c r="B2851" i="18"/>
  <c r="C2851" i="18"/>
  <c r="D2851" i="18"/>
  <c r="E2851" i="18"/>
  <c r="F2851" i="18"/>
  <c r="G2851" i="18"/>
  <c r="H2851" i="18"/>
  <c r="I2851" i="18"/>
  <c r="J2851" i="18"/>
  <c r="K2851" i="18"/>
  <c r="L2851" i="18"/>
  <c r="B2852" i="18"/>
  <c r="C2852" i="18"/>
  <c r="D2852" i="18"/>
  <c r="E2852" i="18"/>
  <c r="F2852" i="18"/>
  <c r="G2852" i="18"/>
  <c r="H2852" i="18"/>
  <c r="I2852" i="18"/>
  <c r="J2852" i="18"/>
  <c r="K2852" i="18"/>
  <c r="L2852" i="18"/>
  <c r="B2853" i="18"/>
  <c r="C2853" i="18"/>
  <c r="D2853" i="18"/>
  <c r="E2853" i="18"/>
  <c r="F2853" i="18"/>
  <c r="G2853" i="18"/>
  <c r="H2853" i="18"/>
  <c r="I2853" i="18"/>
  <c r="J2853" i="18"/>
  <c r="K2853" i="18"/>
  <c r="L2853" i="18"/>
  <c r="B2854" i="18"/>
  <c r="C2854" i="18"/>
  <c r="D2854" i="18"/>
  <c r="E2854" i="18"/>
  <c r="F2854" i="18"/>
  <c r="G2854" i="18"/>
  <c r="H2854" i="18"/>
  <c r="I2854" i="18"/>
  <c r="J2854" i="18"/>
  <c r="K2854" i="18"/>
  <c r="L2854" i="18"/>
  <c r="B2855" i="18"/>
  <c r="C2855" i="18"/>
  <c r="D2855" i="18"/>
  <c r="E2855" i="18"/>
  <c r="F2855" i="18"/>
  <c r="G2855" i="18"/>
  <c r="H2855" i="18"/>
  <c r="I2855" i="18"/>
  <c r="J2855" i="18"/>
  <c r="K2855" i="18"/>
  <c r="L2855" i="18"/>
  <c r="B2856" i="18"/>
  <c r="C2856" i="18"/>
  <c r="D2856" i="18"/>
  <c r="E2856" i="18"/>
  <c r="F2856" i="18"/>
  <c r="G2856" i="18"/>
  <c r="H2856" i="18"/>
  <c r="I2856" i="18"/>
  <c r="J2856" i="18"/>
  <c r="K2856" i="18"/>
  <c r="L2856" i="18"/>
  <c r="B2857" i="18"/>
  <c r="C2857" i="18"/>
  <c r="D2857" i="18"/>
  <c r="E2857" i="18"/>
  <c r="F2857" i="18"/>
  <c r="G2857" i="18"/>
  <c r="H2857" i="18"/>
  <c r="I2857" i="18"/>
  <c r="J2857" i="18"/>
  <c r="K2857" i="18"/>
  <c r="L2857" i="18"/>
  <c r="B2858" i="18"/>
  <c r="C2858" i="18"/>
  <c r="D2858" i="18"/>
  <c r="E2858" i="18"/>
  <c r="F2858" i="18"/>
  <c r="G2858" i="18"/>
  <c r="H2858" i="18"/>
  <c r="I2858" i="18"/>
  <c r="J2858" i="18"/>
  <c r="K2858" i="18"/>
  <c r="L2858" i="18"/>
  <c r="B2859" i="18"/>
  <c r="C2859" i="18"/>
  <c r="D2859" i="18"/>
  <c r="E2859" i="18"/>
  <c r="F2859" i="18"/>
  <c r="G2859" i="18"/>
  <c r="H2859" i="18"/>
  <c r="I2859" i="18"/>
  <c r="J2859" i="18"/>
  <c r="K2859" i="18"/>
  <c r="L2859" i="18"/>
  <c r="B2860" i="18"/>
  <c r="C2860" i="18"/>
  <c r="D2860" i="18"/>
  <c r="E2860" i="18"/>
  <c r="F2860" i="18"/>
  <c r="G2860" i="18"/>
  <c r="H2860" i="18"/>
  <c r="I2860" i="18"/>
  <c r="J2860" i="18"/>
  <c r="K2860" i="18"/>
  <c r="L2860" i="18"/>
  <c r="B2861" i="18"/>
  <c r="C2861" i="18"/>
  <c r="D2861" i="18"/>
  <c r="E2861" i="18"/>
  <c r="F2861" i="18"/>
  <c r="G2861" i="18"/>
  <c r="H2861" i="18"/>
  <c r="I2861" i="18"/>
  <c r="J2861" i="18"/>
  <c r="K2861" i="18"/>
  <c r="L2861" i="18"/>
  <c r="B2862" i="18"/>
  <c r="C2862" i="18"/>
  <c r="D2862" i="18"/>
  <c r="E2862" i="18"/>
  <c r="F2862" i="18"/>
  <c r="G2862" i="18"/>
  <c r="H2862" i="18"/>
  <c r="I2862" i="18"/>
  <c r="J2862" i="18"/>
  <c r="K2862" i="18"/>
  <c r="L2862" i="18"/>
  <c r="B2863" i="18"/>
  <c r="C2863" i="18"/>
  <c r="D2863" i="18"/>
  <c r="E2863" i="18"/>
  <c r="F2863" i="18"/>
  <c r="G2863" i="18"/>
  <c r="H2863" i="18"/>
  <c r="I2863" i="18"/>
  <c r="J2863" i="18"/>
  <c r="K2863" i="18"/>
  <c r="L2863" i="18"/>
  <c r="B2864" i="18"/>
  <c r="C2864" i="18"/>
  <c r="D2864" i="18"/>
  <c r="E2864" i="18"/>
  <c r="F2864" i="18"/>
  <c r="G2864" i="18"/>
  <c r="H2864" i="18"/>
  <c r="I2864" i="18"/>
  <c r="J2864" i="18"/>
  <c r="K2864" i="18"/>
  <c r="L2864" i="18"/>
  <c r="B2865" i="18"/>
  <c r="C2865" i="18"/>
  <c r="D2865" i="18"/>
  <c r="E2865" i="18"/>
  <c r="F2865" i="18"/>
  <c r="G2865" i="18"/>
  <c r="H2865" i="18"/>
  <c r="I2865" i="18"/>
  <c r="J2865" i="18"/>
  <c r="K2865" i="18"/>
  <c r="L2865" i="18"/>
  <c r="B2866" i="18"/>
  <c r="C2866" i="18"/>
  <c r="D2866" i="18"/>
  <c r="E2866" i="18"/>
  <c r="F2866" i="18"/>
  <c r="G2866" i="18"/>
  <c r="H2866" i="18"/>
  <c r="I2866" i="18"/>
  <c r="J2866" i="18"/>
  <c r="K2866" i="18"/>
  <c r="L2866" i="18"/>
  <c r="B2867" i="18"/>
  <c r="C2867" i="18"/>
  <c r="D2867" i="18"/>
  <c r="E2867" i="18"/>
  <c r="F2867" i="18"/>
  <c r="G2867" i="18"/>
  <c r="H2867" i="18"/>
  <c r="I2867" i="18"/>
  <c r="J2867" i="18"/>
  <c r="K2867" i="18"/>
  <c r="L2867" i="18"/>
  <c r="B2868" i="18"/>
  <c r="C2868" i="18"/>
  <c r="D2868" i="18"/>
  <c r="E2868" i="18"/>
  <c r="F2868" i="18"/>
  <c r="G2868" i="18"/>
  <c r="H2868" i="18"/>
  <c r="I2868" i="18"/>
  <c r="J2868" i="18"/>
  <c r="K2868" i="18"/>
  <c r="L2868" i="18"/>
  <c r="B2869" i="18"/>
  <c r="C2869" i="18"/>
  <c r="D2869" i="18"/>
  <c r="E2869" i="18"/>
  <c r="F2869" i="18"/>
  <c r="G2869" i="18"/>
  <c r="H2869" i="18"/>
  <c r="I2869" i="18"/>
  <c r="J2869" i="18"/>
  <c r="K2869" i="18"/>
  <c r="L2869" i="18"/>
  <c r="B2870" i="18"/>
  <c r="C2870" i="18"/>
  <c r="D2870" i="18"/>
  <c r="E2870" i="18"/>
  <c r="F2870" i="18"/>
  <c r="G2870" i="18"/>
  <c r="H2870" i="18"/>
  <c r="I2870" i="18"/>
  <c r="J2870" i="18"/>
  <c r="K2870" i="18"/>
  <c r="L2870" i="18"/>
  <c r="B2871" i="18"/>
  <c r="C2871" i="18"/>
  <c r="D2871" i="18"/>
  <c r="E2871" i="18"/>
  <c r="F2871" i="18"/>
  <c r="G2871" i="18"/>
  <c r="H2871" i="18"/>
  <c r="I2871" i="18"/>
  <c r="J2871" i="18"/>
  <c r="K2871" i="18"/>
  <c r="L2871" i="18"/>
  <c r="B2872" i="18"/>
  <c r="C2872" i="18"/>
  <c r="D2872" i="18"/>
  <c r="E2872" i="18"/>
  <c r="F2872" i="18"/>
  <c r="G2872" i="18"/>
  <c r="H2872" i="18"/>
  <c r="I2872" i="18"/>
  <c r="J2872" i="18"/>
  <c r="K2872" i="18"/>
  <c r="L2872" i="18"/>
  <c r="B2873" i="18"/>
  <c r="C2873" i="18"/>
  <c r="D2873" i="18"/>
  <c r="E2873" i="18"/>
  <c r="F2873" i="18"/>
  <c r="G2873" i="18"/>
  <c r="H2873" i="18"/>
  <c r="I2873" i="18"/>
  <c r="J2873" i="18"/>
  <c r="K2873" i="18"/>
  <c r="L2873" i="18"/>
  <c r="B2874" i="18"/>
  <c r="C2874" i="18"/>
  <c r="D2874" i="18"/>
  <c r="E2874" i="18"/>
  <c r="F2874" i="18"/>
  <c r="G2874" i="18"/>
  <c r="H2874" i="18"/>
  <c r="I2874" i="18"/>
  <c r="J2874" i="18"/>
  <c r="K2874" i="18"/>
  <c r="L2874" i="18"/>
  <c r="B2875" i="18"/>
  <c r="C2875" i="18"/>
  <c r="D2875" i="18"/>
  <c r="E2875" i="18"/>
  <c r="F2875" i="18"/>
  <c r="G2875" i="18"/>
  <c r="H2875" i="18"/>
  <c r="I2875" i="18"/>
  <c r="J2875" i="18"/>
  <c r="K2875" i="18"/>
  <c r="L2875" i="18"/>
  <c r="B2876" i="18"/>
  <c r="C2876" i="18"/>
  <c r="D2876" i="18"/>
  <c r="E2876" i="18"/>
  <c r="F2876" i="18"/>
  <c r="G2876" i="18"/>
  <c r="H2876" i="18"/>
  <c r="I2876" i="18"/>
  <c r="J2876" i="18"/>
  <c r="K2876" i="18"/>
  <c r="L2876" i="18"/>
  <c r="B2877" i="18"/>
  <c r="C2877" i="18"/>
  <c r="D2877" i="18"/>
  <c r="E2877" i="18"/>
  <c r="F2877" i="18"/>
  <c r="G2877" i="18"/>
  <c r="H2877" i="18"/>
  <c r="I2877" i="18"/>
  <c r="J2877" i="18"/>
  <c r="K2877" i="18"/>
  <c r="L2877" i="18"/>
  <c r="B2878" i="18"/>
  <c r="C2878" i="18"/>
  <c r="D2878" i="18"/>
  <c r="E2878" i="18"/>
  <c r="F2878" i="18"/>
  <c r="G2878" i="18"/>
  <c r="H2878" i="18"/>
  <c r="I2878" i="18"/>
  <c r="J2878" i="18"/>
  <c r="K2878" i="18"/>
  <c r="L2878" i="18"/>
  <c r="B2879" i="18"/>
  <c r="C2879" i="18"/>
  <c r="D2879" i="18"/>
  <c r="E2879" i="18"/>
  <c r="F2879" i="18"/>
  <c r="G2879" i="18"/>
  <c r="H2879" i="18"/>
  <c r="I2879" i="18"/>
  <c r="J2879" i="18"/>
  <c r="K2879" i="18"/>
  <c r="L2879" i="18"/>
  <c r="B2880" i="18"/>
  <c r="C2880" i="18"/>
  <c r="D2880" i="18"/>
  <c r="E2880" i="18"/>
  <c r="F2880" i="18"/>
  <c r="G2880" i="18"/>
  <c r="H2880" i="18"/>
  <c r="I2880" i="18"/>
  <c r="J2880" i="18"/>
  <c r="K2880" i="18"/>
  <c r="L2880" i="18"/>
  <c r="B2881" i="18"/>
  <c r="C2881" i="18"/>
  <c r="D2881" i="18"/>
  <c r="E2881" i="18"/>
  <c r="F2881" i="18"/>
  <c r="G2881" i="18"/>
  <c r="H2881" i="18"/>
  <c r="I2881" i="18"/>
  <c r="J2881" i="18"/>
  <c r="K2881" i="18"/>
  <c r="L2881" i="18"/>
  <c r="B2882" i="18"/>
  <c r="C2882" i="18"/>
  <c r="D2882" i="18"/>
  <c r="E2882" i="18"/>
  <c r="F2882" i="18"/>
  <c r="G2882" i="18"/>
  <c r="H2882" i="18"/>
  <c r="I2882" i="18"/>
  <c r="J2882" i="18"/>
  <c r="K2882" i="18"/>
  <c r="L2882" i="18"/>
  <c r="B2883" i="18"/>
  <c r="C2883" i="18"/>
  <c r="D2883" i="18"/>
  <c r="E2883" i="18"/>
  <c r="F2883" i="18"/>
  <c r="G2883" i="18"/>
  <c r="H2883" i="18"/>
  <c r="I2883" i="18"/>
  <c r="J2883" i="18"/>
  <c r="K2883" i="18"/>
  <c r="L2883" i="18"/>
  <c r="B2884" i="18"/>
  <c r="C2884" i="18"/>
  <c r="D2884" i="18"/>
  <c r="E2884" i="18"/>
  <c r="F2884" i="18"/>
  <c r="G2884" i="18"/>
  <c r="H2884" i="18"/>
  <c r="I2884" i="18"/>
  <c r="J2884" i="18"/>
  <c r="K2884" i="18"/>
  <c r="L2884" i="18"/>
  <c r="B2885" i="18"/>
  <c r="C2885" i="18"/>
  <c r="D2885" i="18"/>
  <c r="E2885" i="18"/>
  <c r="F2885" i="18"/>
  <c r="G2885" i="18"/>
  <c r="H2885" i="18"/>
  <c r="I2885" i="18"/>
  <c r="J2885" i="18"/>
  <c r="K2885" i="18"/>
  <c r="L2885" i="18"/>
  <c r="B2886" i="18"/>
  <c r="C2886" i="18"/>
  <c r="D2886" i="18"/>
  <c r="E2886" i="18"/>
  <c r="F2886" i="18"/>
  <c r="G2886" i="18"/>
  <c r="H2886" i="18"/>
  <c r="I2886" i="18"/>
  <c r="J2886" i="18"/>
  <c r="K2886" i="18"/>
  <c r="L2886" i="18"/>
  <c r="B2887" i="18"/>
  <c r="C2887" i="18"/>
  <c r="D2887" i="18"/>
  <c r="E2887" i="18"/>
  <c r="F2887" i="18"/>
  <c r="G2887" i="18"/>
  <c r="H2887" i="18"/>
  <c r="I2887" i="18"/>
  <c r="J2887" i="18"/>
  <c r="K2887" i="18"/>
  <c r="L2887" i="18"/>
  <c r="B2888" i="18"/>
  <c r="C2888" i="18"/>
  <c r="D2888" i="18"/>
  <c r="E2888" i="18"/>
  <c r="F2888" i="18"/>
  <c r="G2888" i="18"/>
  <c r="H2888" i="18"/>
  <c r="I2888" i="18"/>
  <c r="J2888" i="18"/>
  <c r="K2888" i="18"/>
  <c r="L2888" i="18"/>
  <c r="B2889" i="18"/>
  <c r="C2889" i="18"/>
  <c r="D2889" i="18"/>
  <c r="E2889" i="18"/>
  <c r="F2889" i="18"/>
  <c r="G2889" i="18"/>
  <c r="H2889" i="18"/>
  <c r="I2889" i="18"/>
  <c r="J2889" i="18"/>
  <c r="K2889" i="18"/>
  <c r="L2889" i="18"/>
  <c r="B2890" i="18"/>
  <c r="C2890" i="18"/>
  <c r="D2890" i="18"/>
  <c r="E2890" i="18"/>
  <c r="F2890" i="18"/>
  <c r="G2890" i="18"/>
  <c r="H2890" i="18"/>
  <c r="I2890" i="18"/>
  <c r="J2890" i="18"/>
  <c r="K2890" i="18"/>
  <c r="L2890" i="18"/>
  <c r="B2891" i="18"/>
  <c r="C2891" i="18"/>
  <c r="D2891" i="18"/>
  <c r="E2891" i="18"/>
  <c r="F2891" i="18"/>
  <c r="G2891" i="18"/>
  <c r="H2891" i="18"/>
  <c r="I2891" i="18"/>
  <c r="J2891" i="18"/>
  <c r="K2891" i="18"/>
  <c r="L2891" i="18"/>
  <c r="B2892" i="18"/>
  <c r="C2892" i="18"/>
  <c r="D2892" i="18"/>
  <c r="E2892" i="18"/>
  <c r="F2892" i="18"/>
  <c r="G2892" i="18"/>
  <c r="H2892" i="18"/>
  <c r="I2892" i="18"/>
  <c r="J2892" i="18"/>
  <c r="K2892" i="18"/>
  <c r="L2892" i="18"/>
  <c r="B2893" i="18"/>
  <c r="C2893" i="18"/>
  <c r="D2893" i="18"/>
  <c r="E2893" i="18"/>
  <c r="F2893" i="18"/>
  <c r="G2893" i="18"/>
  <c r="H2893" i="18"/>
  <c r="I2893" i="18"/>
  <c r="J2893" i="18"/>
  <c r="K2893" i="18"/>
  <c r="L2893" i="18"/>
  <c r="B2894" i="18"/>
  <c r="C2894" i="18"/>
  <c r="D2894" i="18"/>
  <c r="E2894" i="18"/>
  <c r="F2894" i="18"/>
  <c r="G2894" i="18"/>
  <c r="H2894" i="18"/>
  <c r="I2894" i="18"/>
  <c r="J2894" i="18"/>
  <c r="K2894" i="18"/>
  <c r="L2894" i="18"/>
  <c r="B2895" i="18"/>
  <c r="C2895" i="18"/>
  <c r="D2895" i="18"/>
  <c r="E2895" i="18"/>
  <c r="F2895" i="18"/>
  <c r="G2895" i="18"/>
  <c r="H2895" i="18"/>
  <c r="I2895" i="18"/>
  <c r="J2895" i="18"/>
  <c r="K2895" i="18"/>
  <c r="L2895" i="18"/>
  <c r="B2896" i="18"/>
  <c r="C2896" i="18"/>
  <c r="D2896" i="18"/>
  <c r="E2896" i="18"/>
  <c r="F2896" i="18"/>
  <c r="G2896" i="18"/>
  <c r="H2896" i="18"/>
  <c r="I2896" i="18"/>
  <c r="J2896" i="18"/>
  <c r="K2896" i="18"/>
  <c r="L2896" i="18"/>
  <c r="B2897" i="18"/>
  <c r="C2897" i="18"/>
  <c r="D2897" i="18"/>
  <c r="E2897" i="18"/>
  <c r="F2897" i="18"/>
  <c r="G2897" i="18"/>
  <c r="H2897" i="18"/>
  <c r="I2897" i="18"/>
  <c r="J2897" i="18"/>
  <c r="K2897" i="18"/>
  <c r="L2897" i="18"/>
  <c r="B2898" i="18"/>
  <c r="C2898" i="18"/>
  <c r="D2898" i="18"/>
  <c r="E2898" i="18"/>
  <c r="F2898" i="18"/>
  <c r="G2898" i="18"/>
  <c r="H2898" i="18"/>
  <c r="I2898" i="18"/>
  <c r="J2898" i="18"/>
  <c r="K2898" i="18"/>
  <c r="L2898" i="18"/>
  <c r="B2899" i="18"/>
  <c r="C2899" i="18"/>
  <c r="D2899" i="18"/>
  <c r="E2899" i="18"/>
  <c r="F2899" i="18"/>
  <c r="G2899" i="18"/>
  <c r="H2899" i="18"/>
  <c r="I2899" i="18"/>
  <c r="J2899" i="18"/>
  <c r="K2899" i="18"/>
  <c r="L2899" i="18"/>
  <c r="B2900" i="18"/>
  <c r="C2900" i="18"/>
  <c r="D2900" i="18"/>
  <c r="E2900" i="18"/>
  <c r="F2900" i="18"/>
  <c r="G2900" i="18"/>
  <c r="H2900" i="18"/>
  <c r="I2900" i="18"/>
  <c r="J2900" i="18"/>
  <c r="K2900" i="18"/>
  <c r="L2900" i="18"/>
  <c r="B2901" i="18"/>
  <c r="C2901" i="18"/>
  <c r="D2901" i="18"/>
  <c r="E2901" i="18"/>
  <c r="F2901" i="18"/>
  <c r="G2901" i="18"/>
  <c r="H2901" i="18"/>
  <c r="I2901" i="18"/>
  <c r="J2901" i="18"/>
  <c r="K2901" i="18"/>
  <c r="L2901" i="18"/>
  <c r="B2902" i="18"/>
  <c r="C2902" i="18"/>
  <c r="D2902" i="18"/>
  <c r="E2902" i="18"/>
  <c r="F2902" i="18"/>
  <c r="G2902" i="18"/>
  <c r="H2902" i="18"/>
  <c r="I2902" i="18"/>
  <c r="J2902" i="18"/>
  <c r="K2902" i="18"/>
  <c r="L2902" i="18"/>
  <c r="B2903" i="18"/>
  <c r="C2903" i="18"/>
  <c r="D2903" i="18"/>
  <c r="E2903" i="18"/>
  <c r="F2903" i="18"/>
  <c r="G2903" i="18"/>
  <c r="H2903" i="18"/>
  <c r="I2903" i="18"/>
  <c r="J2903" i="18"/>
  <c r="K2903" i="18"/>
  <c r="L2903" i="18"/>
  <c r="B2904" i="18"/>
  <c r="C2904" i="18"/>
  <c r="D2904" i="18"/>
  <c r="E2904" i="18"/>
  <c r="F2904" i="18"/>
  <c r="G2904" i="18"/>
  <c r="H2904" i="18"/>
  <c r="I2904" i="18"/>
  <c r="J2904" i="18"/>
  <c r="K2904" i="18"/>
  <c r="L2904" i="18"/>
  <c r="B2905" i="18"/>
  <c r="C2905" i="18"/>
  <c r="D2905" i="18"/>
  <c r="E2905" i="18"/>
  <c r="F2905" i="18"/>
  <c r="G2905" i="18"/>
  <c r="H2905" i="18"/>
  <c r="I2905" i="18"/>
  <c r="J2905" i="18"/>
  <c r="K2905" i="18"/>
  <c r="L2905" i="18"/>
  <c r="B2906" i="18"/>
  <c r="C2906" i="18"/>
  <c r="D2906" i="18"/>
  <c r="E2906" i="18"/>
  <c r="F2906" i="18"/>
  <c r="G2906" i="18"/>
  <c r="H2906" i="18"/>
  <c r="I2906" i="18"/>
  <c r="J2906" i="18"/>
  <c r="K2906" i="18"/>
  <c r="L2906" i="18"/>
  <c r="B2907" i="18"/>
  <c r="C2907" i="18"/>
  <c r="D2907" i="18"/>
  <c r="E2907" i="18"/>
  <c r="F2907" i="18"/>
  <c r="G2907" i="18"/>
  <c r="H2907" i="18"/>
  <c r="I2907" i="18"/>
  <c r="J2907" i="18"/>
  <c r="K2907" i="18"/>
  <c r="L2907" i="18"/>
  <c r="B2908" i="18"/>
  <c r="C2908" i="18"/>
  <c r="D2908" i="18"/>
  <c r="E2908" i="18"/>
  <c r="F2908" i="18"/>
  <c r="G2908" i="18"/>
  <c r="H2908" i="18"/>
  <c r="I2908" i="18"/>
  <c r="J2908" i="18"/>
  <c r="K2908" i="18"/>
  <c r="L2908" i="18"/>
  <c r="B2909" i="18"/>
  <c r="C2909" i="18"/>
  <c r="D2909" i="18"/>
  <c r="E2909" i="18"/>
  <c r="F2909" i="18"/>
  <c r="G2909" i="18"/>
  <c r="H2909" i="18"/>
  <c r="I2909" i="18"/>
  <c r="J2909" i="18"/>
  <c r="K2909" i="18"/>
  <c r="L2909" i="18"/>
  <c r="B2910" i="18"/>
  <c r="C2910" i="18"/>
  <c r="D2910" i="18"/>
  <c r="E2910" i="18"/>
  <c r="F2910" i="18"/>
  <c r="G2910" i="18"/>
  <c r="H2910" i="18"/>
  <c r="I2910" i="18"/>
  <c r="J2910" i="18"/>
  <c r="K2910" i="18"/>
  <c r="L2910" i="18"/>
  <c r="B2911" i="18"/>
  <c r="C2911" i="18"/>
  <c r="D2911" i="18"/>
  <c r="E2911" i="18"/>
  <c r="F2911" i="18"/>
  <c r="G2911" i="18"/>
  <c r="H2911" i="18"/>
  <c r="I2911" i="18"/>
  <c r="J2911" i="18"/>
  <c r="K2911" i="18"/>
  <c r="L2911" i="18"/>
  <c r="B2912" i="18"/>
  <c r="C2912" i="18"/>
  <c r="D2912" i="18"/>
  <c r="E2912" i="18"/>
  <c r="F2912" i="18"/>
  <c r="G2912" i="18"/>
  <c r="H2912" i="18"/>
  <c r="I2912" i="18"/>
  <c r="J2912" i="18"/>
  <c r="K2912" i="18"/>
  <c r="L2912" i="18"/>
  <c r="B2913" i="18"/>
  <c r="C2913" i="18"/>
  <c r="D2913" i="18"/>
  <c r="E2913" i="18"/>
  <c r="F2913" i="18"/>
  <c r="G2913" i="18"/>
  <c r="H2913" i="18"/>
  <c r="I2913" i="18"/>
  <c r="J2913" i="18"/>
  <c r="K2913" i="18"/>
  <c r="L2913" i="18"/>
  <c r="B2914" i="18"/>
  <c r="C2914" i="18"/>
  <c r="D2914" i="18"/>
  <c r="E2914" i="18"/>
  <c r="F2914" i="18"/>
  <c r="G2914" i="18"/>
  <c r="H2914" i="18"/>
  <c r="I2914" i="18"/>
  <c r="J2914" i="18"/>
  <c r="K2914" i="18"/>
  <c r="L2914" i="18"/>
  <c r="B2915" i="18"/>
  <c r="C2915" i="18"/>
  <c r="D2915" i="18"/>
  <c r="E2915" i="18"/>
  <c r="F2915" i="18"/>
  <c r="G2915" i="18"/>
  <c r="H2915" i="18"/>
  <c r="I2915" i="18"/>
  <c r="J2915" i="18"/>
  <c r="K2915" i="18"/>
  <c r="L2915" i="18"/>
  <c r="B2916" i="18"/>
  <c r="C2916" i="18"/>
  <c r="D2916" i="18"/>
  <c r="E2916" i="18"/>
  <c r="F2916" i="18"/>
  <c r="G2916" i="18"/>
  <c r="H2916" i="18"/>
  <c r="I2916" i="18"/>
  <c r="J2916" i="18"/>
  <c r="K2916" i="18"/>
  <c r="L2916" i="18"/>
  <c r="B2917" i="18"/>
  <c r="C2917" i="18"/>
  <c r="D2917" i="18"/>
  <c r="E2917" i="18"/>
  <c r="F2917" i="18"/>
  <c r="G2917" i="18"/>
  <c r="H2917" i="18"/>
  <c r="I2917" i="18"/>
  <c r="J2917" i="18"/>
  <c r="K2917" i="18"/>
  <c r="L2917" i="18"/>
  <c r="B2918" i="18"/>
  <c r="C2918" i="18"/>
  <c r="D2918" i="18"/>
  <c r="E2918" i="18"/>
  <c r="F2918" i="18"/>
  <c r="G2918" i="18"/>
  <c r="H2918" i="18"/>
  <c r="I2918" i="18"/>
  <c r="J2918" i="18"/>
  <c r="K2918" i="18"/>
  <c r="L2918" i="18"/>
  <c r="B2919" i="18"/>
  <c r="C2919" i="18"/>
  <c r="D2919" i="18"/>
  <c r="E2919" i="18"/>
  <c r="F2919" i="18"/>
  <c r="G2919" i="18"/>
  <c r="H2919" i="18"/>
  <c r="I2919" i="18"/>
  <c r="J2919" i="18"/>
  <c r="K2919" i="18"/>
  <c r="L2919" i="18"/>
  <c r="B2920" i="18"/>
  <c r="C2920" i="18"/>
  <c r="D2920" i="18"/>
  <c r="E2920" i="18"/>
  <c r="F2920" i="18"/>
  <c r="G2920" i="18"/>
  <c r="H2920" i="18"/>
  <c r="I2920" i="18"/>
  <c r="J2920" i="18"/>
  <c r="K2920" i="18"/>
  <c r="L2920" i="18"/>
  <c r="B2921" i="18"/>
  <c r="C2921" i="18"/>
  <c r="D2921" i="18"/>
  <c r="E2921" i="18"/>
  <c r="F2921" i="18"/>
  <c r="G2921" i="18"/>
  <c r="H2921" i="18"/>
  <c r="I2921" i="18"/>
  <c r="J2921" i="18"/>
  <c r="K2921" i="18"/>
  <c r="L2921" i="18"/>
  <c r="B2922" i="18"/>
  <c r="C2922" i="18"/>
  <c r="D2922" i="18"/>
  <c r="E2922" i="18"/>
  <c r="F2922" i="18"/>
  <c r="G2922" i="18"/>
  <c r="H2922" i="18"/>
  <c r="I2922" i="18"/>
  <c r="J2922" i="18"/>
  <c r="K2922" i="18"/>
  <c r="L2922" i="18"/>
  <c r="B2923" i="18"/>
  <c r="C2923" i="18"/>
  <c r="D2923" i="18"/>
  <c r="E2923" i="18"/>
  <c r="F2923" i="18"/>
  <c r="G2923" i="18"/>
  <c r="H2923" i="18"/>
  <c r="I2923" i="18"/>
  <c r="J2923" i="18"/>
  <c r="K2923" i="18"/>
  <c r="L2923" i="18"/>
  <c r="B2924" i="18"/>
  <c r="C2924" i="18"/>
  <c r="D2924" i="18"/>
  <c r="E2924" i="18"/>
  <c r="F2924" i="18"/>
  <c r="G2924" i="18"/>
  <c r="H2924" i="18"/>
  <c r="I2924" i="18"/>
  <c r="J2924" i="18"/>
  <c r="K2924" i="18"/>
  <c r="L2924" i="18"/>
  <c r="B2925" i="18"/>
  <c r="C2925" i="18"/>
  <c r="D2925" i="18"/>
  <c r="E2925" i="18"/>
  <c r="F2925" i="18"/>
  <c r="G2925" i="18"/>
  <c r="H2925" i="18"/>
  <c r="I2925" i="18"/>
  <c r="J2925" i="18"/>
  <c r="K2925" i="18"/>
  <c r="L2925" i="18"/>
  <c r="B2926" i="18"/>
  <c r="C2926" i="18"/>
  <c r="D2926" i="18"/>
  <c r="E2926" i="18"/>
  <c r="F2926" i="18"/>
  <c r="G2926" i="18"/>
  <c r="H2926" i="18"/>
  <c r="I2926" i="18"/>
  <c r="J2926" i="18"/>
  <c r="K2926" i="18"/>
  <c r="L2926" i="18"/>
  <c r="B2927" i="18"/>
  <c r="C2927" i="18"/>
  <c r="D2927" i="18"/>
  <c r="E2927" i="18"/>
  <c r="F2927" i="18"/>
  <c r="G2927" i="18"/>
  <c r="H2927" i="18"/>
  <c r="I2927" i="18"/>
  <c r="J2927" i="18"/>
  <c r="K2927" i="18"/>
  <c r="L2927" i="18"/>
  <c r="B2928" i="18"/>
  <c r="C2928" i="18"/>
  <c r="D2928" i="18"/>
  <c r="E2928" i="18"/>
  <c r="F2928" i="18"/>
  <c r="G2928" i="18"/>
  <c r="H2928" i="18"/>
  <c r="I2928" i="18"/>
  <c r="J2928" i="18"/>
  <c r="K2928" i="18"/>
  <c r="L2928" i="18"/>
  <c r="B2929" i="18"/>
  <c r="C2929" i="18"/>
  <c r="D2929" i="18"/>
  <c r="E2929" i="18"/>
  <c r="F2929" i="18"/>
  <c r="G2929" i="18"/>
  <c r="H2929" i="18"/>
  <c r="I2929" i="18"/>
  <c r="J2929" i="18"/>
  <c r="K2929" i="18"/>
  <c r="L2929" i="18"/>
  <c r="B2930" i="18"/>
  <c r="C2930" i="18"/>
  <c r="D2930" i="18"/>
  <c r="E2930" i="18"/>
  <c r="F2930" i="18"/>
  <c r="G2930" i="18"/>
  <c r="H2930" i="18"/>
  <c r="I2930" i="18"/>
  <c r="J2930" i="18"/>
  <c r="K2930" i="18"/>
  <c r="L2930" i="18"/>
  <c r="B2931" i="18"/>
  <c r="C2931" i="18"/>
  <c r="D2931" i="18"/>
  <c r="E2931" i="18"/>
  <c r="F2931" i="18"/>
  <c r="G2931" i="18"/>
  <c r="H2931" i="18"/>
  <c r="I2931" i="18"/>
  <c r="J2931" i="18"/>
  <c r="K2931" i="18"/>
  <c r="L2931" i="18"/>
  <c r="B2932" i="18"/>
  <c r="C2932" i="18"/>
  <c r="D2932" i="18"/>
  <c r="E2932" i="18"/>
  <c r="F2932" i="18"/>
  <c r="G2932" i="18"/>
  <c r="H2932" i="18"/>
  <c r="I2932" i="18"/>
  <c r="J2932" i="18"/>
  <c r="K2932" i="18"/>
  <c r="L2932" i="18"/>
  <c r="B2933" i="18"/>
  <c r="C2933" i="18"/>
  <c r="D2933" i="18"/>
  <c r="E2933" i="18"/>
  <c r="F2933" i="18"/>
  <c r="G2933" i="18"/>
  <c r="H2933" i="18"/>
  <c r="I2933" i="18"/>
  <c r="J2933" i="18"/>
  <c r="K2933" i="18"/>
  <c r="L2933" i="18"/>
  <c r="B2934" i="18"/>
  <c r="C2934" i="18"/>
  <c r="D2934" i="18"/>
  <c r="E2934" i="18"/>
  <c r="F2934" i="18"/>
  <c r="G2934" i="18"/>
  <c r="H2934" i="18"/>
  <c r="I2934" i="18"/>
  <c r="J2934" i="18"/>
  <c r="K2934" i="18"/>
  <c r="L2934" i="18"/>
  <c r="B2935" i="18"/>
  <c r="C2935" i="18"/>
  <c r="D2935" i="18"/>
  <c r="E2935" i="18"/>
  <c r="F2935" i="18"/>
  <c r="G2935" i="18"/>
  <c r="H2935" i="18"/>
  <c r="I2935" i="18"/>
  <c r="J2935" i="18"/>
  <c r="K2935" i="18"/>
  <c r="L2935" i="18"/>
  <c r="B2936" i="18"/>
  <c r="C2936" i="18"/>
  <c r="D2936" i="18"/>
  <c r="E2936" i="18"/>
  <c r="F2936" i="18"/>
  <c r="G2936" i="18"/>
  <c r="H2936" i="18"/>
  <c r="I2936" i="18"/>
  <c r="J2936" i="18"/>
  <c r="K2936" i="18"/>
  <c r="L2936" i="18"/>
  <c r="B2937" i="18"/>
  <c r="C2937" i="18"/>
  <c r="D2937" i="18"/>
  <c r="E2937" i="18"/>
  <c r="F2937" i="18"/>
  <c r="G2937" i="18"/>
  <c r="H2937" i="18"/>
  <c r="I2937" i="18"/>
  <c r="J2937" i="18"/>
  <c r="K2937" i="18"/>
  <c r="L2937" i="18"/>
  <c r="B2938" i="18"/>
  <c r="C2938" i="18"/>
  <c r="D2938" i="18"/>
  <c r="E2938" i="18"/>
  <c r="F2938" i="18"/>
  <c r="G2938" i="18"/>
  <c r="H2938" i="18"/>
  <c r="I2938" i="18"/>
  <c r="J2938" i="18"/>
  <c r="K2938" i="18"/>
  <c r="L2938" i="18"/>
  <c r="B2939" i="18"/>
  <c r="C2939" i="18"/>
  <c r="D2939" i="18"/>
  <c r="E2939" i="18"/>
  <c r="F2939" i="18"/>
  <c r="G2939" i="18"/>
  <c r="H2939" i="18"/>
  <c r="I2939" i="18"/>
  <c r="J2939" i="18"/>
  <c r="K2939" i="18"/>
  <c r="L2939" i="18"/>
  <c r="B2940" i="18"/>
  <c r="C2940" i="18"/>
  <c r="D2940" i="18"/>
  <c r="E2940" i="18"/>
  <c r="F2940" i="18"/>
  <c r="G2940" i="18"/>
  <c r="H2940" i="18"/>
  <c r="I2940" i="18"/>
  <c r="J2940" i="18"/>
  <c r="K2940" i="18"/>
  <c r="L2940" i="18"/>
  <c r="B2941" i="18"/>
  <c r="C2941" i="18"/>
  <c r="D2941" i="18"/>
  <c r="E2941" i="18"/>
  <c r="F2941" i="18"/>
  <c r="G2941" i="18"/>
  <c r="H2941" i="18"/>
  <c r="I2941" i="18"/>
  <c r="J2941" i="18"/>
  <c r="K2941" i="18"/>
  <c r="L2941" i="18"/>
  <c r="B2942" i="18"/>
  <c r="C2942" i="18"/>
  <c r="D2942" i="18"/>
  <c r="E2942" i="18"/>
  <c r="F2942" i="18"/>
  <c r="G2942" i="18"/>
  <c r="H2942" i="18"/>
  <c r="I2942" i="18"/>
  <c r="J2942" i="18"/>
  <c r="K2942" i="18"/>
  <c r="L2942" i="18"/>
  <c r="B2943" i="18"/>
  <c r="C2943" i="18"/>
  <c r="D2943" i="18"/>
  <c r="E2943" i="18"/>
  <c r="F2943" i="18"/>
  <c r="G2943" i="18"/>
  <c r="H2943" i="18"/>
  <c r="I2943" i="18"/>
  <c r="J2943" i="18"/>
  <c r="K2943" i="18"/>
  <c r="L2943" i="18"/>
  <c r="B2944" i="18"/>
  <c r="C2944" i="18"/>
  <c r="D2944" i="18"/>
  <c r="E2944" i="18"/>
  <c r="F2944" i="18"/>
  <c r="G2944" i="18"/>
  <c r="H2944" i="18"/>
  <c r="I2944" i="18"/>
  <c r="J2944" i="18"/>
  <c r="K2944" i="18"/>
  <c r="L2944" i="18"/>
  <c r="B2945" i="18"/>
  <c r="C2945" i="18"/>
  <c r="D2945" i="18"/>
  <c r="E2945" i="18"/>
  <c r="F2945" i="18"/>
  <c r="G2945" i="18"/>
  <c r="H2945" i="18"/>
  <c r="I2945" i="18"/>
  <c r="J2945" i="18"/>
  <c r="K2945" i="18"/>
  <c r="L2945" i="18"/>
  <c r="B2946" i="18"/>
  <c r="C2946" i="18"/>
  <c r="D2946" i="18"/>
  <c r="E2946" i="18"/>
  <c r="F2946" i="18"/>
  <c r="G2946" i="18"/>
  <c r="H2946" i="18"/>
  <c r="I2946" i="18"/>
  <c r="J2946" i="18"/>
  <c r="K2946" i="18"/>
  <c r="L2946" i="18"/>
  <c r="B2947" i="18"/>
  <c r="C2947" i="18"/>
  <c r="D2947" i="18"/>
  <c r="E2947" i="18"/>
  <c r="F2947" i="18"/>
  <c r="G2947" i="18"/>
  <c r="H2947" i="18"/>
  <c r="I2947" i="18"/>
  <c r="J2947" i="18"/>
  <c r="K2947" i="18"/>
  <c r="L2947" i="18"/>
  <c r="B2948" i="18"/>
  <c r="C2948" i="18"/>
  <c r="D2948" i="18"/>
  <c r="E2948" i="18"/>
  <c r="F2948" i="18"/>
  <c r="G2948" i="18"/>
  <c r="H2948" i="18"/>
  <c r="I2948" i="18"/>
  <c r="J2948" i="18"/>
  <c r="K2948" i="18"/>
  <c r="L2948" i="18"/>
  <c r="B2949" i="18"/>
  <c r="C2949" i="18"/>
  <c r="D2949" i="18"/>
  <c r="E2949" i="18"/>
  <c r="F2949" i="18"/>
  <c r="G2949" i="18"/>
  <c r="H2949" i="18"/>
  <c r="I2949" i="18"/>
  <c r="J2949" i="18"/>
  <c r="K2949" i="18"/>
  <c r="L2949" i="18"/>
  <c r="B2950" i="18"/>
  <c r="C2950" i="18"/>
  <c r="D2950" i="18"/>
  <c r="E2950" i="18"/>
  <c r="F2950" i="18"/>
  <c r="G2950" i="18"/>
  <c r="H2950" i="18"/>
  <c r="I2950" i="18"/>
  <c r="J2950" i="18"/>
  <c r="K2950" i="18"/>
  <c r="L2950" i="18"/>
  <c r="B2951" i="18"/>
  <c r="C2951" i="18"/>
  <c r="D2951" i="18"/>
  <c r="E2951" i="18"/>
  <c r="F2951" i="18"/>
  <c r="G2951" i="18"/>
  <c r="H2951" i="18"/>
  <c r="I2951" i="18"/>
  <c r="J2951" i="18"/>
  <c r="K2951" i="18"/>
  <c r="L2951" i="18"/>
  <c r="B2952" i="18"/>
  <c r="C2952" i="18"/>
  <c r="D2952" i="18"/>
  <c r="E2952" i="18"/>
  <c r="F2952" i="18"/>
  <c r="G2952" i="18"/>
  <c r="H2952" i="18"/>
  <c r="I2952" i="18"/>
  <c r="J2952" i="18"/>
  <c r="K2952" i="18"/>
  <c r="L2952" i="18"/>
  <c r="B2953" i="18"/>
  <c r="C2953" i="18"/>
  <c r="D2953" i="18"/>
  <c r="E2953" i="18"/>
  <c r="F2953" i="18"/>
  <c r="G2953" i="18"/>
  <c r="H2953" i="18"/>
  <c r="I2953" i="18"/>
  <c r="J2953" i="18"/>
  <c r="K2953" i="18"/>
  <c r="L2953" i="18"/>
  <c r="B2954" i="18"/>
  <c r="C2954" i="18"/>
  <c r="D2954" i="18"/>
  <c r="E2954" i="18"/>
  <c r="F2954" i="18"/>
  <c r="G2954" i="18"/>
  <c r="H2954" i="18"/>
  <c r="I2954" i="18"/>
  <c r="J2954" i="18"/>
  <c r="K2954" i="18"/>
  <c r="L2954" i="18"/>
  <c r="B2955" i="18"/>
  <c r="C2955" i="18"/>
  <c r="D2955" i="18"/>
  <c r="E2955" i="18"/>
  <c r="F2955" i="18"/>
  <c r="G2955" i="18"/>
  <c r="H2955" i="18"/>
  <c r="I2955" i="18"/>
  <c r="J2955" i="18"/>
  <c r="K2955" i="18"/>
  <c r="L2955" i="18"/>
  <c r="B2956" i="18"/>
  <c r="C2956" i="18"/>
  <c r="D2956" i="18"/>
  <c r="E2956" i="18"/>
  <c r="F2956" i="18"/>
  <c r="G2956" i="18"/>
  <c r="H2956" i="18"/>
  <c r="I2956" i="18"/>
  <c r="J2956" i="18"/>
  <c r="K2956" i="18"/>
  <c r="L2956" i="18"/>
  <c r="B2957" i="18"/>
  <c r="C2957" i="18"/>
  <c r="D2957" i="18"/>
  <c r="E2957" i="18"/>
  <c r="F2957" i="18"/>
  <c r="G2957" i="18"/>
  <c r="H2957" i="18"/>
  <c r="I2957" i="18"/>
  <c r="J2957" i="18"/>
  <c r="K2957" i="18"/>
  <c r="L2957" i="18"/>
  <c r="B2958" i="18"/>
  <c r="C2958" i="18"/>
  <c r="D2958" i="18"/>
  <c r="E2958" i="18"/>
  <c r="F2958" i="18"/>
  <c r="G2958" i="18"/>
  <c r="H2958" i="18"/>
  <c r="I2958" i="18"/>
  <c r="J2958" i="18"/>
  <c r="K2958" i="18"/>
  <c r="L2958" i="18"/>
  <c r="B2959" i="18"/>
  <c r="C2959" i="18"/>
  <c r="D2959" i="18"/>
  <c r="E2959" i="18"/>
  <c r="F2959" i="18"/>
  <c r="G2959" i="18"/>
  <c r="H2959" i="18"/>
  <c r="I2959" i="18"/>
  <c r="J2959" i="18"/>
  <c r="K2959" i="18"/>
  <c r="L2959" i="18"/>
  <c r="B2960" i="18"/>
  <c r="C2960" i="18"/>
  <c r="D2960" i="18"/>
  <c r="E2960" i="18"/>
  <c r="F2960" i="18"/>
  <c r="G2960" i="18"/>
  <c r="H2960" i="18"/>
  <c r="I2960" i="18"/>
  <c r="J2960" i="18"/>
  <c r="K2960" i="18"/>
  <c r="L2960" i="18"/>
  <c r="B2961" i="18"/>
  <c r="C2961" i="18"/>
  <c r="D2961" i="18"/>
  <c r="E2961" i="18"/>
  <c r="F2961" i="18"/>
  <c r="G2961" i="18"/>
  <c r="H2961" i="18"/>
  <c r="I2961" i="18"/>
  <c r="J2961" i="18"/>
  <c r="K2961" i="18"/>
  <c r="L2961" i="18"/>
  <c r="B2962" i="18"/>
  <c r="C2962" i="18"/>
  <c r="D2962" i="18"/>
  <c r="E2962" i="18"/>
  <c r="F2962" i="18"/>
  <c r="G2962" i="18"/>
  <c r="H2962" i="18"/>
  <c r="I2962" i="18"/>
  <c r="J2962" i="18"/>
  <c r="K2962" i="18"/>
  <c r="L2962" i="18"/>
  <c r="B2963" i="18"/>
  <c r="C2963" i="18"/>
  <c r="D2963" i="18"/>
  <c r="E2963" i="18"/>
  <c r="F2963" i="18"/>
  <c r="G2963" i="18"/>
  <c r="H2963" i="18"/>
  <c r="I2963" i="18"/>
  <c r="J2963" i="18"/>
  <c r="K2963" i="18"/>
  <c r="L2963" i="18"/>
  <c r="B2964" i="18"/>
  <c r="C2964" i="18"/>
  <c r="D2964" i="18"/>
  <c r="E2964" i="18"/>
  <c r="F2964" i="18"/>
  <c r="G2964" i="18"/>
  <c r="H2964" i="18"/>
  <c r="I2964" i="18"/>
  <c r="J2964" i="18"/>
  <c r="K2964" i="18"/>
  <c r="L2964" i="18"/>
  <c r="B2965" i="18"/>
  <c r="C2965" i="18"/>
  <c r="D2965" i="18"/>
  <c r="E2965" i="18"/>
  <c r="F2965" i="18"/>
  <c r="G2965" i="18"/>
  <c r="H2965" i="18"/>
  <c r="I2965" i="18"/>
  <c r="J2965" i="18"/>
  <c r="K2965" i="18"/>
  <c r="L2965" i="18"/>
  <c r="B2966" i="18"/>
  <c r="C2966" i="18"/>
  <c r="D2966" i="18"/>
  <c r="E2966" i="18"/>
  <c r="F2966" i="18"/>
  <c r="G2966" i="18"/>
  <c r="H2966" i="18"/>
  <c r="I2966" i="18"/>
  <c r="J2966" i="18"/>
  <c r="K2966" i="18"/>
  <c r="L2966" i="18"/>
  <c r="B2967" i="18"/>
  <c r="C2967" i="18"/>
  <c r="D2967" i="18"/>
  <c r="E2967" i="18"/>
  <c r="F2967" i="18"/>
  <c r="G2967" i="18"/>
  <c r="H2967" i="18"/>
  <c r="I2967" i="18"/>
  <c r="J2967" i="18"/>
  <c r="K2967" i="18"/>
  <c r="L2967" i="18"/>
  <c r="B2968" i="18"/>
  <c r="C2968" i="18"/>
  <c r="D2968" i="18"/>
  <c r="E2968" i="18"/>
  <c r="F2968" i="18"/>
  <c r="G2968" i="18"/>
  <c r="H2968" i="18"/>
  <c r="I2968" i="18"/>
  <c r="J2968" i="18"/>
  <c r="K2968" i="18"/>
  <c r="L2968" i="18"/>
  <c r="B2969" i="18"/>
  <c r="C2969" i="18"/>
  <c r="D2969" i="18"/>
  <c r="E2969" i="18"/>
  <c r="F2969" i="18"/>
  <c r="G2969" i="18"/>
  <c r="H2969" i="18"/>
  <c r="I2969" i="18"/>
  <c r="J2969" i="18"/>
  <c r="K2969" i="18"/>
  <c r="L2969" i="18"/>
  <c r="B2970" i="18"/>
  <c r="C2970" i="18"/>
  <c r="D2970" i="18"/>
  <c r="E2970" i="18"/>
  <c r="F2970" i="18"/>
  <c r="G2970" i="18"/>
  <c r="H2970" i="18"/>
  <c r="I2970" i="18"/>
  <c r="J2970" i="18"/>
  <c r="K2970" i="18"/>
  <c r="L2970" i="18"/>
  <c r="B2971" i="18"/>
  <c r="C2971" i="18"/>
  <c r="D2971" i="18"/>
  <c r="E2971" i="18"/>
  <c r="F2971" i="18"/>
  <c r="G2971" i="18"/>
  <c r="H2971" i="18"/>
  <c r="I2971" i="18"/>
  <c r="J2971" i="18"/>
  <c r="K2971" i="18"/>
  <c r="L2971" i="18"/>
  <c r="B2972" i="18"/>
  <c r="C2972" i="18"/>
  <c r="D2972" i="18"/>
  <c r="E2972" i="18"/>
  <c r="F2972" i="18"/>
  <c r="G2972" i="18"/>
  <c r="H2972" i="18"/>
  <c r="I2972" i="18"/>
  <c r="J2972" i="18"/>
  <c r="K2972" i="18"/>
  <c r="L2972" i="18"/>
  <c r="B2973" i="18"/>
  <c r="C2973" i="18"/>
  <c r="D2973" i="18"/>
  <c r="E2973" i="18"/>
  <c r="F2973" i="18"/>
  <c r="G2973" i="18"/>
  <c r="H2973" i="18"/>
  <c r="I2973" i="18"/>
  <c r="J2973" i="18"/>
  <c r="K2973" i="18"/>
  <c r="L2973" i="18"/>
  <c r="B2974" i="18"/>
  <c r="C2974" i="18"/>
  <c r="D2974" i="18"/>
  <c r="E2974" i="18"/>
  <c r="F2974" i="18"/>
  <c r="G2974" i="18"/>
  <c r="H2974" i="18"/>
  <c r="I2974" i="18"/>
  <c r="J2974" i="18"/>
  <c r="K2974" i="18"/>
  <c r="L2974" i="18"/>
  <c r="B2975" i="18"/>
  <c r="C2975" i="18"/>
  <c r="D2975" i="18"/>
  <c r="E2975" i="18"/>
  <c r="F2975" i="18"/>
  <c r="G2975" i="18"/>
  <c r="H2975" i="18"/>
  <c r="I2975" i="18"/>
  <c r="J2975" i="18"/>
  <c r="K2975" i="18"/>
  <c r="L2975" i="18"/>
  <c r="B2976" i="18"/>
  <c r="C2976" i="18"/>
  <c r="D2976" i="18"/>
  <c r="E2976" i="18"/>
  <c r="F2976" i="18"/>
  <c r="G2976" i="18"/>
  <c r="H2976" i="18"/>
  <c r="I2976" i="18"/>
  <c r="J2976" i="18"/>
  <c r="K2976" i="18"/>
  <c r="L2976" i="18"/>
  <c r="B2977" i="18"/>
  <c r="C2977" i="18"/>
  <c r="D2977" i="18"/>
  <c r="E2977" i="18"/>
  <c r="F2977" i="18"/>
  <c r="G2977" i="18"/>
  <c r="H2977" i="18"/>
  <c r="I2977" i="18"/>
  <c r="J2977" i="18"/>
  <c r="K2977" i="18"/>
  <c r="L2977" i="18"/>
  <c r="B2978" i="18"/>
  <c r="C2978" i="18"/>
  <c r="D2978" i="18"/>
  <c r="E2978" i="18"/>
  <c r="F2978" i="18"/>
  <c r="G2978" i="18"/>
  <c r="H2978" i="18"/>
  <c r="I2978" i="18"/>
  <c r="J2978" i="18"/>
  <c r="K2978" i="18"/>
  <c r="L2978" i="18"/>
  <c r="B2979" i="18"/>
  <c r="C2979" i="18"/>
  <c r="D2979" i="18"/>
  <c r="E2979" i="18"/>
  <c r="F2979" i="18"/>
  <c r="G2979" i="18"/>
  <c r="H2979" i="18"/>
  <c r="I2979" i="18"/>
  <c r="J2979" i="18"/>
  <c r="K2979" i="18"/>
  <c r="L2979" i="18"/>
  <c r="B2980" i="18"/>
  <c r="C2980" i="18"/>
  <c r="D2980" i="18"/>
  <c r="E2980" i="18"/>
  <c r="F2980" i="18"/>
  <c r="G2980" i="18"/>
  <c r="H2980" i="18"/>
  <c r="I2980" i="18"/>
  <c r="J2980" i="18"/>
  <c r="K2980" i="18"/>
  <c r="L2980" i="18"/>
  <c r="B2981" i="18"/>
  <c r="C2981" i="18"/>
  <c r="D2981" i="18"/>
  <c r="E2981" i="18"/>
  <c r="F2981" i="18"/>
  <c r="G2981" i="18"/>
  <c r="H2981" i="18"/>
  <c r="I2981" i="18"/>
  <c r="J2981" i="18"/>
  <c r="K2981" i="18"/>
  <c r="L2981" i="18"/>
  <c r="B2982" i="18"/>
  <c r="C2982" i="18"/>
  <c r="D2982" i="18"/>
  <c r="E2982" i="18"/>
  <c r="F2982" i="18"/>
  <c r="G2982" i="18"/>
  <c r="H2982" i="18"/>
  <c r="I2982" i="18"/>
  <c r="J2982" i="18"/>
  <c r="K2982" i="18"/>
  <c r="L2982" i="18"/>
  <c r="B2983" i="18"/>
  <c r="C2983" i="18"/>
  <c r="D2983" i="18"/>
  <c r="E2983" i="18"/>
  <c r="F2983" i="18"/>
  <c r="G2983" i="18"/>
  <c r="H2983" i="18"/>
  <c r="I2983" i="18"/>
  <c r="J2983" i="18"/>
  <c r="K2983" i="18"/>
  <c r="L2983" i="18"/>
  <c r="B2984" i="18"/>
  <c r="C2984" i="18"/>
  <c r="D2984" i="18"/>
  <c r="E2984" i="18"/>
  <c r="F2984" i="18"/>
  <c r="G2984" i="18"/>
  <c r="H2984" i="18"/>
  <c r="I2984" i="18"/>
  <c r="J2984" i="18"/>
  <c r="K2984" i="18"/>
  <c r="L2984" i="18"/>
  <c r="B2985" i="18"/>
  <c r="C2985" i="18"/>
  <c r="D2985" i="18"/>
  <c r="E2985" i="18"/>
  <c r="F2985" i="18"/>
  <c r="G2985" i="18"/>
  <c r="H2985" i="18"/>
  <c r="I2985" i="18"/>
  <c r="J2985" i="18"/>
  <c r="K2985" i="18"/>
  <c r="L2985" i="18"/>
  <c r="B2986" i="18"/>
  <c r="C2986" i="18"/>
  <c r="D2986" i="18"/>
  <c r="E2986" i="18"/>
  <c r="F2986" i="18"/>
  <c r="G2986" i="18"/>
  <c r="H2986" i="18"/>
  <c r="I2986" i="18"/>
  <c r="J2986" i="18"/>
  <c r="K2986" i="18"/>
  <c r="L2986" i="18"/>
  <c r="B2987" i="18"/>
  <c r="C2987" i="18"/>
  <c r="D2987" i="18"/>
  <c r="E2987" i="18"/>
  <c r="F2987" i="18"/>
  <c r="G2987" i="18"/>
  <c r="H2987" i="18"/>
  <c r="I2987" i="18"/>
  <c r="J2987" i="18"/>
  <c r="K2987" i="18"/>
  <c r="L2987" i="18"/>
  <c r="B2988" i="18"/>
  <c r="C2988" i="18"/>
  <c r="D2988" i="18"/>
  <c r="E2988" i="18"/>
  <c r="F2988" i="18"/>
  <c r="G2988" i="18"/>
  <c r="H2988" i="18"/>
  <c r="I2988" i="18"/>
  <c r="J2988" i="18"/>
  <c r="K2988" i="18"/>
  <c r="L2988" i="18"/>
  <c r="B2989" i="18"/>
  <c r="C2989" i="18"/>
  <c r="D2989" i="18"/>
  <c r="E2989" i="18"/>
  <c r="F2989" i="18"/>
  <c r="G2989" i="18"/>
  <c r="H2989" i="18"/>
  <c r="I2989" i="18"/>
  <c r="J2989" i="18"/>
  <c r="K2989" i="18"/>
  <c r="L2989" i="18"/>
  <c r="B2990" i="18"/>
  <c r="C2990" i="18"/>
  <c r="D2990" i="18"/>
  <c r="E2990" i="18"/>
  <c r="F2990" i="18"/>
  <c r="G2990" i="18"/>
  <c r="H2990" i="18"/>
  <c r="I2990" i="18"/>
  <c r="J2990" i="18"/>
  <c r="K2990" i="18"/>
  <c r="L2990" i="18"/>
  <c r="B2991" i="18"/>
  <c r="C2991" i="18"/>
  <c r="D2991" i="18"/>
  <c r="E2991" i="18"/>
  <c r="F2991" i="18"/>
  <c r="G2991" i="18"/>
  <c r="H2991" i="18"/>
  <c r="I2991" i="18"/>
  <c r="J2991" i="18"/>
  <c r="K2991" i="18"/>
  <c r="L2991" i="18"/>
  <c r="B2992" i="18"/>
  <c r="C2992" i="18"/>
  <c r="D2992" i="18"/>
  <c r="E2992" i="18"/>
  <c r="F2992" i="18"/>
  <c r="G2992" i="18"/>
  <c r="H2992" i="18"/>
  <c r="I2992" i="18"/>
  <c r="J2992" i="18"/>
  <c r="K2992" i="18"/>
  <c r="L2992" i="18"/>
  <c r="B2993" i="18"/>
  <c r="C2993" i="18"/>
  <c r="D2993" i="18"/>
  <c r="E2993" i="18"/>
  <c r="F2993" i="18"/>
  <c r="G2993" i="18"/>
  <c r="H2993" i="18"/>
  <c r="I2993" i="18"/>
  <c r="J2993" i="18"/>
  <c r="K2993" i="18"/>
  <c r="L2993" i="18"/>
  <c r="B2994" i="18"/>
  <c r="C2994" i="18"/>
  <c r="D2994" i="18"/>
  <c r="E2994" i="18"/>
  <c r="F2994" i="18"/>
  <c r="G2994" i="18"/>
  <c r="H2994" i="18"/>
  <c r="I2994" i="18"/>
  <c r="J2994" i="18"/>
  <c r="K2994" i="18"/>
  <c r="L2994" i="18"/>
  <c r="B2995" i="18"/>
  <c r="C2995" i="18"/>
  <c r="D2995" i="18"/>
  <c r="E2995" i="18"/>
  <c r="F2995" i="18"/>
  <c r="G2995" i="18"/>
  <c r="H2995" i="18"/>
  <c r="I2995" i="18"/>
  <c r="J2995" i="18"/>
  <c r="K2995" i="18"/>
  <c r="L2995" i="18"/>
  <c r="B2996" i="18"/>
  <c r="C2996" i="18"/>
  <c r="D2996" i="18"/>
  <c r="E2996" i="18"/>
  <c r="F2996" i="18"/>
  <c r="G2996" i="18"/>
  <c r="H2996" i="18"/>
  <c r="I2996" i="18"/>
  <c r="J2996" i="18"/>
  <c r="K2996" i="18"/>
  <c r="L2996" i="18"/>
  <c r="B2997" i="18"/>
  <c r="C2997" i="18"/>
  <c r="D2997" i="18"/>
  <c r="E2997" i="18"/>
  <c r="F2997" i="18"/>
  <c r="G2997" i="18"/>
  <c r="H2997" i="18"/>
  <c r="I2997" i="18"/>
  <c r="J2997" i="18"/>
  <c r="K2997" i="18"/>
  <c r="L2997" i="18"/>
  <c r="B2998" i="18"/>
  <c r="C2998" i="18"/>
  <c r="D2998" i="18"/>
  <c r="E2998" i="18"/>
  <c r="F2998" i="18"/>
  <c r="G2998" i="18"/>
  <c r="H2998" i="18"/>
  <c r="I2998" i="18"/>
  <c r="J2998" i="18"/>
  <c r="K2998" i="18"/>
  <c r="L2998" i="18"/>
  <c r="B2999" i="18"/>
  <c r="C2999" i="18"/>
  <c r="D2999" i="18"/>
  <c r="E2999" i="18"/>
  <c r="F2999" i="18"/>
  <c r="G2999" i="18"/>
  <c r="H2999" i="18"/>
  <c r="I2999" i="18"/>
  <c r="J2999" i="18"/>
  <c r="K2999" i="18"/>
  <c r="L2999" i="18"/>
  <c r="B3000" i="18"/>
  <c r="C3000" i="18"/>
  <c r="D3000" i="18"/>
  <c r="E3000" i="18"/>
  <c r="F3000" i="18"/>
  <c r="G3000" i="18"/>
  <c r="H3000" i="18"/>
  <c r="I3000" i="18"/>
  <c r="J3000" i="18"/>
  <c r="K3000" i="18"/>
  <c r="L3000" i="18"/>
  <c r="B3001" i="18"/>
  <c r="C3001" i="18"/>
  <c r="D3001" i="18"/>
  <c r="E3001" i="18"/>
  <c r="F3001" i="18"/>
  <c r="G3001" i="18"/>
  <c r="H3001" i="18"/>
  <c r="I3001" i="18"/>
  <c r="J3001" i="18"/>
  <c r="K3001" i="18"/>
  <c r="L3001" i="18"/>
  <c r="B3002" i="18"/>
  <c r="C3002" i="18"/>
  <c r="D3002" i="18"/>
  <c r="E3002" i="18"/>
  <c r="F3002" i="18"/>
  <c r="G3002" i="18"/>
  <c r="H3002" i="18"/>
  <c r="I3002" i="18"/>
  <c r="J3002" i="18"/>
  <c r="K3002" i="18"/>
  <c r="L3002" i="18"/>
  <c r="B3003" i="18"/>
  <c r="C3003" i="18"/>
  <c r="D3003" i="18"/>
  <c r="E3003" i="18"/>
  <c r="F3003" i="18"/>
  <c r="G3003" i="18"/>
  <c r="H3003" i="18"/>
  <c r="I3003" i="18"/>
  <c r="J3003" i="18"/>
  <c r="K3003" i="18"/>
  <c r="L3003" i="18"/>
  <c r="B3004" i="18"/>
  <c r="C3004" i="18"/>
  <c r="D3004" i="18"/>
  <c r="E3004" i="18"/>
  <c r="F3004" i="18"/>
  <c r="G3004" i="18"/>
  <c r="H3004" i="18"/>
  <c r="I3004" i="18"/>
  <c r="J3004" i="18"/>
  <c r="K3004" i="18"/>
  <c r="L3004" i="18"/>
  <c r="B3005" i="18"/>
  <c r="C3005" i="18"/>
  <c r="D3005" i="18"/>
  <c r="E3005" i="18"/>
  <c r="F3005" i="18"/>
  <c r="G3005" i="18"/>
  <c r="H3005" i="18"/>
  <c r="I3005" i="18"/>
  <c r="J3005" i="18"/>
  <c r="K3005" i="18"/>
  <c r="L3005" i="18"/>
  <c r="B3006" i="18"/>
  <c r="C3006" i="18"/>
  <c r="D3006" i="18"/>
  <c r="E3006" i="18"/>
  <c r="F3006" i="18"/>
  <c r="G3006" i="18"/>
  <c r="H3006" i="18"/>
  <c r="I3006" i="18"/>
  <c r="J3006" i="18"/>
  <c r="K3006" i="18"/>
  <c r="L3006" i="18"/>
  <c r="B3007" i="18"/>
  <c r="C3007" i="18"/>
  <c r="D3007" i="18"/>
  <c r="E3007" i="18"/>
  <c r="F3007" i="18"/>
  <c r="G3007" i="18"/>
  <c r="H3007" i="18"/>
  <c r="I3007" i="18"/>
  <c r="J3007" i="18"/>
  <c r="K3007" i="18"/>
  <c r="L3007" i="18"/>
  <c r="B3008" i="18"/>
  <c r="C3008" i="18"/>
  <c r="D3008" i="18"/>
  <c r="E3008" i="18"/>
  <c r="F3008" i="18"/>
  <c r="G3008" i="18"/>
  <c r="H3008" i="18"/>
  <c r="I3008" i="18"/>
  <c r="J3008" i="18"/>
  <c r="K3008" i="18"/>
  <c r="L3008" i="18"/>
  <c r="B3009" i="18"/>
  <c r="C3009" i="18"/>
  <c r="D3009" i="18"/>
  <c r="E3009" i="18"/>
  <c r="F3009" i="18"/>
  <c r="G3009" i="18"/>
  <c r="H3009" i="18"/>
  <c r="I3009" i="18"/>
  <c r="J3009" i="18"/>
  <c r="K3009" i="18"/>
  <c r="L3009" i="18"/>
  <c r="B3010" i="18"/>
  <c r="C3010" i="18"/>
  <c r="D3010" i="18"/>
  <c r="E3010" i="18"/>
  <c r="F3010" i="18"/>
  <c r="G3010" i="18"/>
  <c r="H3010" i="18"/>
  <c r="I3010" i="18"/>
  <c r="J3010" i="18"/>
  <c r="K3010" i="18"/>
  <c r="L3010" i="18"/>
  <c r="B3011" i="18"/>
  <c r="C3011" i="18"/>
  <c r="D3011" i="18"/>
  <c r="E3011" i="18"/>
  <c r="F3011" i="18"/>
  <c r="G3011" i="18"/>
  <c r="H3011" i="18"/>
  <c r="I3011" i="18"/>
  <c r="J3011" i="18"/>
  <c r="K3011" i="18"/>
  <c r="L3011" i="18"/>
  <c r="B3012" i="18"/>
  <c r="C3012" i="18"/>
  <c r="D3012" i="18"/>
  <c r="E3012" i="18"/>
  <c r="F3012" i="18"/>
  <c r="G3012" i="18"/>
  <c r="H3012" i="18"/>
  <c r="I3012" i="18"/>
  <c r="J3012" i="18"/>
  <c r="K3012" i="18"/>
  <c r="L3012" i="18"/>
  <c r="B3013" i="18"/>
  <c r="C3013" i="18"/>
  <c r="D3013" i="18"/>
  <c r="E3013" i="18"/>
  <c r="F3013" i="18"/>
  <c r="G3013" i="18"/>
  <c r="H3013" i="18"/>
  <c r="I3013" i="18"/>
  <c r="J3013" i="18"/>
  <c r="K3013" i="18"/>
  <c r="L3013" i="18"/>
  <c r="B3014" i="18"/>
  <c r="C3014" i="18"/>
  <c r="D3014" i="18"/>
  <c r="E3014" i="18"/>
  <c r="F3014" i="18"/>
  <c r="G3014" i="18"/>
  <c r="H3014" i="18"/>
  <c r="I3014" i="18"/>
  <c r="J3014" i="18"/>
  <c r="K3014" i="18"/>
  <c r="L3014" i="18"/>
  <c r="B3015" i="18"/>
  <c r="C3015" i="18"/>
  <c r="D3015" i="18"/>
  <c r="E3015" i="18"/>
  <c r="F3015" i="18"/>
  <c r="G3015" i="18"/>
  <c r="H3015" i="18"/>
  <c r="I3015" i="18"/>
  <c r="J3015" i="18"/>
  <c r="K3015" i="18"/>
  <c r="L3015" i="18"/>
  <c r="B3016" i="18"/>
  <c r="C3016" i="18"/>
  <c r="D3016" i="18"/>
  <c r="E3016" i="18"/>
  <c r="F3016" i="18"/>
  <c r="G3016" i="18"/>
  <c r="H3016" i="18"/>
  <c r="I3016" i="18"/>
  <c r="J3016" i="18"/>
  <c r="K3016" i="18"/>
  <c r="L3016" i="18"/>
  <c r="B3017" i="18"/>
  <c r="C3017" i="18"/>
  <c r="D3017" i="18"/>
  <c r="E3017" i="18"/>
  <c r="F3017" i="18"/>
  <c r="G3017" i="18"/>
  <c r="H3017" i="18"/>
  <c r="I3017" i="18"/>
  <c r="J3017" i="18"/>
  <c r="K3017" i="18"/>
  <c r="L3017" i="18"/>
  <c r="B3018" i="18"/>
  <c r="C3018" i="18"/>
  <c r="D3018" i="18"/>
  <c r="E3018" i="18"/>
  <c r="F3018" i="18"/>
  <c r="G3018" i="18"/>
  <c r="H3018" i="18"/>
  <c r="I3018" i="18"/>
  <c r="J3018" i="18"/>
  <c r="K3018" i="18"/>
  <c r="L3018" i="18"/>
  <c r="B3019" i="18"/>
  <c r="C3019" i="18"/>
  <c r="D3019" i="18"/>
  <c r="E3019" i="18"/>
  <c r="F3019" i="18"/>
  <c r="G3019" i="18"/>
  <c r="H3019" i="18"/>
  <c r="I3019" i="18"/>
  <c r="J3019" i="18"/>
  <c r="K3019" i="18"/>
  <c r="L3019" i="18"/>
  <c r="B3020" i="18"/>
  <c r="C3020" i="18"/>
  <c r="D3020" i="18"/>
  <c r="E3020" i="18"/>
  <c r="F3020" i="18"/>
  <c r="G3020" i="18"/>
  <c r="H3020" i="18"/>
  <c r="I3020" i="18"/>
  <c r="J3020" i="18"/>
  <c r="K3020" i="18"/>
  <c r="L3020" i="18"/>
  <c r="B3021" i="18"/>
  <c r="C3021" i="18"/>
  <c r="D3021" i="18"/>
  <c r="E3021" i="18"/>
  <c r="F3021" i="18"/>
  <c r="G3021" i="18"/>
  <c r="H3021" i="18"/>
  <c r="I3021" i="18"/>
  <c r="J3021" i="18"/>
  <c r="K3021" i="18"/>
  <c r="L3021" i="18"/>
  <c r="B3022" i="18"/>
  <c r="C3022" i="18"/>
  <c r="D3022" i="18"/>
  <c r="E3022" i="18"/>
  <c r="F3022" i="18"/>
  <c r="G3022" i="18"/>
  <c r="H3022" i="18"/>
  <c r="I3022" i="18"/>
  <c r="J3022" i="18"/>
  <c r="K3022" i="18"/>
  <c r="L3022" i="18"/>
  <c r="B3023" i="18"/>
  <c r="C3023" i="18"/>
  <c r="D3023" i="18"/>
  <c r="E3023" i="18"/>
  <c r="F3023" i="18"/>
  <c r="G3023" i="18"/>
  <c r="H3023" i="18"/>
  <c r="I3023" i="18"/>
  <c r="J3023" i="18"/>
  <c r="K3023" i="18"/>
  <c r="L3023" i="18"/>
  <c r="B3024" i="18"/>
  <c r="C3024" i="18"/>
  <c r="D3024" i="18"/>
  <c r="E3024" i="18"/>
  <c r="F3024" i="18"/>
  <c r="G3024" i="18"/>
  <c r="H3024" i="18"/>
  <c r="I3024" i="18"/>
  <c r="J3024" i="18"/>
  <c r="K3024" i="18"/>
  <c r="L3024" i="18"/>
  <c r="B3025" i="18"/>
  <c r="C3025" i="18"/>
  <c r="D3025" i="18"/>
  <c r="E3025" i="18"/>
  <c r="F3025" i="18"/>
  <c r="G3025" i="18"/>
  <c r="H3025" i="18"/>
  <c r="I3025" i="18"/>
  <c r="J3025" i="18"/>
  <c r="K3025" i="18"/>
  <c r="L3025" i="18"/>
  <c r="B3026" i="18"/>
  <c r="C3026" i="18"/>
  <c r="D3026" i="18"/>
  <c r="E3026" i="18"/>
  <c r="F3026" i="18"/>
  <c r="G3026" i="18"/>
  <c r="H3026" i="18"/>
  <c r="I3026" i="18"/>
  <c r="J3026" i="18"/>
  <c r="K3026" i="18"/>
  <c r="L3026" i="18"/>
  <c r="B3027" i="18"/>
  <c r="C3027" i="18"/>
  <c r="D3027" i="18"/>
  <c r="E3027" i="18"/>
  <c r="F3027" i="18"/>
  <c r="G3027" i="18"/>
  <c r="H3027" i="18"/>
  <c r="I3027" i="18"/>
  <c r="J3027" i="18"/>
  <c r="K3027" i="18"/>
  <c r="L3027" i="18"/>
  <c r="B3028" i="18"/>
  <c r="C3028" i="18"/>
  <c r="D3028" i="18"/>
  <c r="E3028" i="18"/>
  <c r="F3028" i="18"/>
  <c r="G3028" i="18"/>
  <c r="H3028" i="18"/>
  <c r="I3028" i="18"/>
  <c r="J3028" i="18"/>
  <c r="K3028" i="18"/>
  <c r="L3028" i="18"/>
  <c r="B3029" i="18"/>
  <c r="C3029" i="18"/>
  <c r="D3029" i="18"/>
  <c r="E3029" i="18"/>
  <c r="F3029" i="18"/>
  <c r="G3029" i="18"/>
  <c r="H3029" i="18"/>
  <c r="I3029" i="18"/>
  <c r="J3029" i="18"/>
  <c r="K3029" i="18"/>
  <c r="L3029" i="18"/>
  <c r="B3030" i="18"/>
  <c r="C3030" i="18"/>
  <c r="D3030" i="18"/>
  <c r="E3030" i="18"/>
  <c r="F3030" i="18"/>
  <c r="G3030" i="18"/>
  <c r="H3030" i="18"/>
  <c r="I3030" i="18"/>
  <c r="J3030" i="18"/>
  <c r="K3030" i="18"/>
  <c r="L3030" i="18"/>
  <c r="B3031" i="18"/>
  <c r="C3031" i="18"/>
  <c r="D3031" i="18"/>
  <c r="E3031" i="18"/>
  <c r="F3031" i="18"/>
  <c r="G3031" i="18"/>
  <c r="H3031" i="18"/>
  <c r="I3031" i="18"/>
  <c r="J3031" i="18"/>
  <c r="K3031" i="18"/>
  <c r="L3031" i="18"/>
  <c r="B3032" i="18"/>
  <c r="C3032" i="18"/>
  <c r="D3032" i="18"/>
  <c r="E3032" i="18"/>
  <c r="F3032" i="18"/>
  <c r="G3032" i="18"/>
  <c r="H3032" i="18"/>
  <c r="I3032" i="18"/>
  <c r="J3032" i="18"/>
  <c r="K3032" i="18"/>
  <c r="L3032" i="18"/>
  <c r="B3033" i="18"/>
  <c r="C3033" i="18"/>
  <c r="D3033" i="18"/>
  <c r="E3033" i="18"/>
  <c r="F3033" i="18"/>
  <c r="G3033" i="18"/>
  <c r="H3033" i="18"/>
  <c r="I3033" i="18"/>
  <c r="J3033" i="18"/>
  <c r="K3033" i="18"/>
  <c r="L3033" i="18"/>
  <c r="B3034" i="18"/>
  <c r="C3034" i="18"/>
  <c r="D3034" i="18"/>
  <c r="E3034" i="18"/>
  <c r="F3034" i="18"/>
  <c r="G3034" i="18"/>
  <c r="H3034" i="18"/>
  <c r="I3034" i="18"/>
  <c r="J3034" i="18"/>
  <c r="K3034" i="18"/>
  <c r="L3034" i="18"/>
  <c r="B3035" i="18"/>
  <c r="C3035" i="18"/>
  <c r="D3035" i="18"/>
  <c r="E3035" i="18"/>
  <c r="F3035" i="18"/>
  <c r="G3035" i="18"/>
  <c r="H3035" i="18"/>
  <c r="I3035" i="18"/>
  <c r="J3035" i="18"/>
  <c r="K3035" i="18"/>
  <c r="L3035" i="18"/>
  <c r="B3036" i="18"/>
  <c r="C3036" i="18"/>
  <c r="D3036" i="18"/>
  <c r="E3036" i="18"/>
  <c r="F3036" i="18"/>
  <c r="G3036" i="18"/>
  <c r="H3036" i="18"/>
  <c r="I3036" i="18"/>
  <c r="J3036" i="18"/>
  <c r="K3036" i="18"/>
  <c r="L3036" i="18"/>
  <c r="B3037" i="18"/>
  <c r="C3037" i="18"/>
  <c r="D3037" i="18"/>
  <c r="E3037" i="18"/>
  <c r="F3037" i="18"/>
  <c r="G3037" i="18"/>
  <c r="H3037" i="18"/>
  <c r="I3037" i="18"/>
  <c r="J3037" i="18"/>
  <c r="K3037" i="18"/>
  <c r="L3037" i="18"/>
  <c r="B3038" i="18"/>
  <c r="C3038" i="18"/>
  <c r="D3038" i="18"/>
  <c r="E3038" i="18"/>
  <c r="F3038" i="18"/>
  <c r="G3038" i="18"/>
  <c r="H3038" i="18"/>
  <c r="I3038" i="18"/>
  <c r="J3038" i="18"/>
  <c r="K3038" i="18"/>
  <c r="L3038" i="18"/>
  <c r="B3039" i="18"/>
  <c r="C3039" i="18"/>
  <c r="D3039" i="18"/>
  <c r="E3039" i="18"/>
  <c r="F3039" i="18"/>
  <c r="G3039" i="18"/>
  <c r="H3039" i="18"/>
  <c r="I3039" i="18"/>
  <c r="J3039" i="18"/>
  <c r="K3039" i="18"/>
  <c r="L3039" i="18"/>
  <c r="B3040" i="18"/>
  <c r="C3040" i="18"/>
  <c r="D3040" i="18"/>
  <c r="E3040" i="18"/>
  <c r="F3040" i="18"/>
  <c r="G3040" i="18"/>
  <c r="H3040" i="18"/>
  <c r="I3040" i="18"/>
  <c r="J3040" i="18"/>
  <c r="K3040" i="18"/>
  <c r="L3040" i="18"/>
  <c r="B3041" i="18"/>
  <c r="C3041" i="18"/>
  <c r="D3041" i="18"/>
  <c r="E3041" i="18"/>
  <c r="F3041" i="18"/>
  <c r="G3041" i="18"/>
  <c r="H3041" i="18"/>
  <c r="I3041" i="18"/>
  <c r="J3041" i="18"/>
  <c r="K3041" i="18"/>
  <c r="L3041" i="18"/>
  <c r="B3042" i="18"/>
  <c r="C3042" i="18"/>
  <c r="D3042" i="18"/>
  <c r="E3042" i="18"/>
  <c r="F3042" i="18"/>
  <c r="G3042" i="18"/>
  <c r="H3042" i="18"/>
  <c r="I3042" i="18"/>
  <c r="J3042" i="18"/>
  <c r="K3042" i="18"/>
  <c r="L3042" i="18"/>
  <c r="B3043" i="18"/>
  <c r="C3043" i="18"/>
  <c r="D3043" i="18"/>
  <c r="E3043" i="18"/>
  <c r="F3043" i="18"/>
  <c r="G3043" i="18"/>
  <c r="H3043" i="18"/>
  <c r="I3043" i="18"/>
  <c r="J3043" i="18"/>
  <c r="K3043" i="18"/>
  <c r="L3043" i="18"/>
  <c r="B3044" i="18"/>
  <c r="C3044" i="18"/>
  <c r="D3044" i="18"/>
  <c r="E3044" i="18"/>
  <c r="F3044" i="18"/>
  <c r="G3044" i="18"/>
  <c r="H3044" i="18"/>
  <c r="I3044" i="18"/>
  <c r="J3044" i="18"/>
  <c r="K3044" i="18"/>
  <c r="L3044" i="18"/>
  <c r="B3045" i="18"/>
  <c r="C3045" i="18"/>
  <c r="D3045" i="18"/>
  <c r="E3045" i="18"/>
  <c r="F3045" i="18"/>
  <c r="G3045" i="18"/>
  <c r="H3045" i="18"/>
  <c r="I3045" i="18"/>
  <c r="J3045" i="18"/>
  <c r="K3045" i="18"/>
  <c r="L3045" i="18"/>
  <c r="B3046" i="18"/>
  <c r="C3046" i="18"/>
  <c r="D3046" i="18"/>
  <c r="E3046" i="18"/>
  <c r="F3046" i="18"/>
  <c r="G3046" i="18"/>
  <c r="H3046" i="18"/>
  <c r="I3046" i="18"/>
  <c r="J3046" i="18"/>
  <c r="K3046" i="18"/>
  <c r="L3046" i="18"/>
  <c r="B3047" i="18"/>
  <c r="C3047" i="18"/>
  <c r="D3047" i="18"/>
  <c r="E3047" i="18"/>
  <c r="F3047" i="18"/>
  <c r="G3047" i="18"/>
  <c r="H3047" i="18"/>
  <c r="I3047" i="18"/>
  <c r="J3047" i="18"/>
  <c r="K3047" i="18"/>
  <c r="L3047" i="18"/>
  <c r="B3048" i="18"/>
  <c r="C3048" i="18"/>
  <c r="D3048" i="18"/>
  <c r="E3048" i="18"/>
  <c r="F3048" i="18"/>
  <c r="G3048" i="18"/>
  <c r="H3048" i="18"/>
  <c r="I3048" i="18"/>
  <c r="J3048" i="18"/>
  <c r="K3048" i="18"/>
  <c r="L3048" i="18"/>
  <c r="B3049" i="18"/>
  <c r="C3049" i="18"/>
  <c r="D3049" i="18"/>
  <c r="E3049" i="18"/>
  <c r="F3049" i="18"/>
  <c r="G3049" i="18"/>
  <c r="H3049" i="18"/>
  <c r="I3049" i="18"/>
  <c r="J3049" i="18"/>
  <c r="K3049" i="18"/>
  <c r="L3049" i="18"/>
  <c r="B3050" i="18"/>
  <c r="C3050" i="18"/>
  <c r="D3050" i="18"/>
  <c r="E3050" i="18"/>
  <c r="F3050" i="18"/>
  <c r="G3050" i="18"/>
  <c r="H3050" i="18"/>
  <c r="I3050" i="18"/>
  <c r="J3050" i="18"/>
  <c r="K3050" i="18"/>
  <c r="L3050" i="18"/>
  <c r="B3051" i="18"/>
  <c r="C3051" i="18"/>
  <c r="D3051" i="18"/>
  <c r="E3051" i="18"/>
  <c r="F3051" i="18"/>
  <c r="G3051" i="18"/>
  <c r="H3051" i="18"/>
  <c r="I3051" i="18"/>
  <c r="J3051" i="18"/>
  <c r="K3051" i="18"/>
  <c r="L3051" i="18"/>
  <c r="B3052" i="18"/>
  <c r="C3052" i="18"/>
  <c r="D3052" i="18"/>
  <c r="E3052" i="18"/>
  <c r="F3052" i="18"/>
  <c r="G3052" i="18"/>
  <c r="H3052" i="18"/>
  <c r="I3052" i="18"/>
  <c r="J3052" i="18"/>
  <c r="K3052" i="18"/>
  <c r="L3052" i="18"/>
  <c r="B3053" i="18"/>
  <c r="C3053" i="18"/>
  <c r="D3053" i="18"/>
  <c r="E3053" i="18"/>
  <c r="F3053" i="18"/>
  <c r="G3053" i="18"/>
  <c r="H3053" i="18"/>
  <c r="I3053" i="18"/>
  <c r="J3053" i="18"/>
  <c r="K3053" i="18"/>
  <c r="L3053" i="18"/>
  <c r="B3054" i="18"/>
  <c r="C3054" i="18"/>
  <c r="D3054" i="18"/>
  <c r="E3054" i="18"/>
  <c r="F3054" i="18"/>
  <c r="G3054" i="18"/>
  <c r="H3054" i="18"/>
  <c r="I3054" i="18"/>
  <c r="J3054" i="18"/>
  <c r="K3054" i="18"/>
  <c r="L3054" i="18"/>
  <c r="B3055" i="18"/>
  <c r="C3055" i="18"/>
  <c r="D3055" i="18"/>
  <c r="E3055" i="18"/>
  <c r="F3055" i="18"/>
  <c r="G3055" i="18"/>
  <c r="H3055" i="18"/>
  <c r="I3055" i="18"/>
  <c r="J3055" i="18"/>
  <c r="K3055" i="18"/>
  <c r="L3055" i="18"/>
  <c r="B3056" i="18"/>
  <c r="C3056" i="18"/>
  <c r="D3056" i="18"/>
  <c r="E3056" i="18"/>
  <c r="F3056" i="18"/>
  <c r="G3056" i="18"/>
  <c r="H3056" i="18"/>
  <c r="I3056" i="18"/>
  <c r="J3056" i="18"/>
  <c r="K3056" i="18"/>
  <c r="L3056" i="18"/>
  <c r="B3057" i="18"/>
  <c r="C3057" i="18"/>
  <c r="D3057" i="18"/>
  <c r="E3057" i="18"/>
  <c r="F3057" i="18"/>
  <c r="G3057" i="18"/>
  <c r="H3057" i="18"/>
  <c r="I3057" i="18"/>
  <c r="J3057" i="18"/>
  <c r="K3057" i="18"/>
  <c r="L3057" i="18"/>
  <c r="B3058" i="18"/>
  <c r="C3058" i="18"/>
  <c r="D3058" i="18"/>
  <c r="E3058" i="18"/>
  <c r="F3058" i="18"/>
  <c r="G3058" i="18"/>
  <c r="H3058" i="18"/>
  <c r="I3058" i="18"/>
  <c r="J3058" i="18"/>
  <c r="K3058" i="18"/>
  <c r="L3058" i="18"/>
  <c r="B3059" i="18"/>
  <c r="C3059" i="18"/>
  <c r="D3059" i="18"/>
  <c r="E3059" i="18"/>
  <c r="F3059" i="18"/>
  <c r="G3059" i="18"/>
  <c r="H3059" i="18"/>
  <c r="I3059" i="18"/>
  <c r="J3059" i="18"/>
  <c r="K3059" i="18"/>
  <c r="L3059" i="18"/>
  <c r="B3060" i="18"/>
  <c r="C3060" i="18"/>
  <c r="D3060" i="18"/>
  <c r="E3060" i="18"/>
  <c r="F3060" i="18"/>
  <c r="G3060" i="18"/>
  <c r="H3060" i="18"/>
  <c r="I3060" i="18"/>
  <c r="J3060" i="18"/>
  <c r="K3060" i="18"/>
  <c r="L3060" i="18"/>
  <c r="B3061" i="18"/>
  <c r="C3061" i="18"/>
  <c r="D3061" i="18"/>
  <c r="E3061" i="18"/>
  <c r="F3061" i="18"/>
  <c r="G3061" i="18"/>
  <c r="H3061" i="18"/>
  <c r="I3061" i="18"/>
  <c r="J3061" i="18"/>
  <c r="K3061" i="18"/>
  <c r="L3061" i="18"/>
  <c r="B3062" i="18"/>
  <c r="C3062" i="18"/>
  <c r="D3062" i="18"/>
  <c r="E3062" i="18"/>
  <c r="F3062" i="18"/>
  <c r="G3062" i="18"/>
  <c r="H3062" i="18"/>
  <c r="I3062" i="18"/>
  <c r="J3062" i="18"/>
  <c r="K3062" i="18"/>
  <c r="L3062" i="18"/>
  <c r="B3063" i="18"/>
  <c r="C3063" i="18"/>
  <c r="D3063" i="18"/>
  <c r="E3063" i="18"/>
  <c r="F3063" i="18"/>
  <c r="G3063" i="18"/>
  <c r="H3063" i="18"/>
  <c r="I3063" i="18"/>
  <c r="J3063" i="18"/>
  <c r="K3063" i="18"/>
  <c r="L3063" i="18"/>
  <c r="B3064" i="18"/>
  <c r="C3064" i="18"/>
  <c r="D3064" i="18"/>
  <c r="E3064" i="18"/>
  <c r="F3064" i="18"/>
  <c r="G3064" i="18"/>
  <c r="H3064" i="18"/>
  <c r="I3064" i="18"/>
  <c r="J3064" i="18"/>
  <c r="K3064" i="18"/>
  <c r="L3064" i="18"/>
  <c r="B3065" i="18"/>
  <c r="C3065" i="18"/>
  <c r="D3065" i="18"/>
  <c r="E3065" i="18"/>
  <c r="F3065" i="18"/>
  <c r="G3065" i="18"/>
  <c r="H3065" i="18"/>
  <c r="I3065" i="18"/>
  <c r="J3065" i="18"/>
  <c r="K3065" i="18"/>
  <c r="L3065" i="18"/>
  <c r="B3066" i="18"/>
  <c r="C3066" i="18"/>
  <c r="D3066" i="18"/>
  <c r="E3066" i="18"/>
  <c r="F3066" i="18"/>
  <c r="G3066" i="18"/>
  <c r="H3066" i="18"/>
  <c r="I3066" i="18"/>
  <c r="J3066" i="18"/>
  <c r="K3066" i="18"/>
  <c r="L3066" i="18"/>
  <c r="B3067" i="18"/>
  <c r="C3067" i="18"/>
  <c r="D3067" i="18"/>
  <c r="E3067" i="18"/>
  <c r="F3067" i="18"/>
  <c r="G3067" i="18"/>
  <c r="H3067" i="18"/>
  <c r="I3067" i="18"/>
  <c r="J3067" i="18"/>
  <c r="K3067" i="18"/>
  <c r="L3067" i="18"/>
  <c r="B3068" i="18"/>
  <c r="C3068" i="18"/>
  <c r="D3068" i="18"/>
  <c r="E3068" i="18"/>
  <c r="F3068" i="18"/>
  <c r="G3068" i="18"/>
  <c r="H3068" i="18"/>
  <c r="I3068" i="18"/>
  <c r="J3068" i="18"/>
  <c r="K3068" i="18"/>
  <c r="L3068" i="18"/>
  <c r="B3069" i="18"/>
  <c r="C3069" i="18"/>
  <c r="D3069" i="18"/>
  <c r="E3069" i="18"/>
  <c r="F3069" i="18"/>
  <c r="G3069" i="18"/>
  <c r="H3069" i="18"/>
  <c r="I3069" i="18"/>
  <c r="J3069" i="18"/>
  <c r="K3069" i="18"/>
  <c r="L3069" i="18"/>
  <c r="B3070" i="18"/>
  <c r="C3070" i="18"/>
  <c r="D3070" i="18"/>
  <c r="E3070" i="18"/>
  <c r="F3070" i="18"/>
  <c r="G3070" i="18"/>
  <c r="H3070" i="18"/>
  <c r="I3070" i="18"/>
  <c r="J3070" i="18"/>
  <c r="K3070" i="18"/>
  <c r="L3070" i="18"/>
  <c r="B3071" i="18"/>
  <c r="C3071" i="18"/>
  <c r="D3071" i="18"/>
  <c r="E3071" i="18"/>
  <c r="F3071" i="18"/>
  <c r="G3071" i="18"/>
  <c r="H3071" i="18"/>
  <c r="I3071" i="18"/>
  <c r="J3071" i="18"/>
  <c r="K3071" i="18"/>
  <c r="L3071" i="18"/>
  <c r="B3072" i="18"/>
  <c r="C3072" i="18"/>
  <c r="D3072" i="18"/>
  <c r="E3072" i="18"/>
  <c r="F3072" i="18"/>
  <c r="G3072" i="18"/>
  <c r="H3072" i="18"/>
  <c r="I3072" i="18"/>
  <c r="J3072" i="18"/>
  <c r="K3072" i="18"/>
  <c r="L3072" i="18"/>
  <c r="B3073" i="18"/>
  <c r="C3073" i="18"/>
  <c r="D3073" i="18"/>
  <c r="E3073" i="18"/>
  <c r="F3073" i="18"/>
  <c r="G3073" i="18"/>
  <c r="H3073" i="18"/>
  <c r="I3073" i="18"/>
  <c r="J3073" i="18"/>
  <c r="K3073" i="18"/>
  <c r="L3073" i="18"/>
  <c r="B3074" i="18"/>
  <c r="C3074" i="18"/>
  <c r="D3074" i="18"/>
  <c r="E3074" i="18"/>
  <c r="F3074" i="18"/>
  <c r="G3074" i="18"/>
  <c r="H3074" i="18"/>
  <c r="I3074" i="18"/>
  <c r="J3074" i="18"/>
  <c r="K3074" i="18"/>
  <c r="L3074" i="18"/>
  <c r="B3075" i="18"/>
  <c r="C3075" i="18"/>
  <c r="D3075" i="18"/>
  <c r="E3075" i="18"/>
  <c r="F3075" i="18"/>
  <c r="G3075" i="18"/>
  <c r="H3075" i="18"/>
  <c r="I3075" i="18"/>
  <c r="J3075" i="18"/>
  <c r="K3075" i="18"/>
  <c r="L3075" i="18"/>
  <c r="B3076" i="18"/>
  <c r="C3076" i="18"/>
  <c r="D3076" i="18"/>
  <c r="E3076" i="18"/>
  <c r="F3076" i="18"/>
  <c r="G3076" i="18"/>
  <c r="H3076" i="18"/>
  <c r="I3076" i="18"/>
  <c r="J3076" i="18"/>
  <c r="K3076" i="18"/>
  <c r="L3076" i="18"/>
  <c r="B3077" i="18"/>
  <c r="C3077" i="18"/>
  <c r="D3077" i="18"/>
  <c r="E3077" i="18"/>
  <c r="F3077" i="18"/>
  <c r="G3077" i="18"/>
  <c r="H3077" i="18"/>
  <c r="I3077" i="18"/>
  <c r="J3077" i="18"/>
  <c r="K3077" i="18"/>
  <c r="L3077" i="18"/>
  <c r="B3078" i="18"/>
  <c r="C3078" i="18"/>
  <c r="D3078" i="18"/>
  <c r="E3078" i="18"/>
  <c r="F3078" i="18"/>
  <c r="G3078" i="18"/>
  <c r="H3078" i="18"/>
  <c r="I3078" i="18"/>
  <c r="J3078" i="18"/>
  <c r="K3078" i="18"/>
  <c r="L3078" i="18"/>
  <c r="B3079" i="18"/>
  <c r="C3079" i="18"/>
  <c r="D3079" i="18"/>
  <c r="E3079" i="18"/>
  <c r="F3079" i="18"/>
  <c r="G3079" i="18"/>
  <c r="H3079" i="18"/>
  <c r="I3079" i="18"/>
  <c r="J3079" i="18"/>
  <c r="K3079" i="18"/>
  <c r="L3079" i="18"/>
  <c r="B3080" i="18"/>
  <c r="C3080" i="18"/>
  <c r="D3080" i="18"/>
  <c r="E3080" i="18"/>
  <c r="F3080" i="18"/>
  <c r="G3080" i="18"/>
  <c r="H3080" i="18"/>
  <c r="I3080" i="18"/>
  <c r="J3080" i="18"/>
  <c r="K3080" i="18"/>
  <c r="L3080" i="18"/>
  <c r="B3081" i="18"/>
  <c r="C3081" i="18"/>
  <c r="D3081" i="18"/>
  <c r="E3081" i="18"/>
  <c r="F3081" i="18"/>
  <c r="G3081" i="18"/>
  <c r="H3081" i="18"/>
  <c r="I3081" i="18"/>
  <c r="J3081" i="18"/>
  <c r="K3081" i="18"/>
  <c r="L3081" i="18"/>
  <c r="B3082" i="18"/>
  <c r="C3082" i="18"/>
  <c r="D3082" i="18"/>
  <c r="E3082" i="18"/>
  <c r="F3082" i="18"/>
  <c r="G3082" i="18"/>
  <c r="H3082" i="18"/>
  <c r="I3082" i="18"/>
  <c r="J3082" i="18"/>
  <c r="K3082" i="18"/>
  <c r="L3082" i="18"/>
  <c r="B3083" i="18"/>
  <c r="C3083" i="18"/>
  <c r="D3083" i="18"/>
  <c r="E3083" i="18"/>
  <c r="F3083" i="18"/>
  <c r="G3083" i="18"/>
  <c r="H3083" i="18"/>
  <c r="I3083" i="18"/>
  <c r="J3083" i="18"/>
  <c r="K3083" i="18"/>
  <c r="L3083" i="18"/>
  <c r="B3084" i="18"/>
  <c r="C3084" i="18"/>
  <c r="D3084" i="18"/>
  <c r="E3084" i="18"/>
  <c r="F3084" i="18"/>
  <c r="G3084" i="18"/>
  <c r="H3084" i="18"/>
  <c r="I3084" i="18"/>
  <c r="J3084" i="18"/>
  <c r="K3084" i="18"/>
  <c r="L3084" i="18"/>
  <c r="B3085" i="18"/>
  <c r="C3085" i="18"/>
  <c r="D3085" i="18"/>
  <c r="E3085" i="18"/>
  <c r="F3085" i="18"/>
  <c r="G3085" i="18"/>
  <c r="H3085" i="18"/>
  <c r="I3085" i="18"/>
  <c r="J3085" i="18"/>
  <c r="K3085" i="18"/>
  <c r="L3085" i="18"/>
  <c r="B3086" i="18"/>
  <c r="C3086" i="18"/>
  <c r="D3086" i="18"/>
  <c r="E3086" i="18"/>
  <c r="F3086" i="18"/>
  <c r="G3086" i="18"/>
  <c r="H3086" i="18"/>
  <c r="I3086" i="18"/>
  <c r="J3086" i="18"/>
  <c r="K3086" i="18"/>
  <c r="L3086" i="18"/>
  <c r="B3087" i="18"/>
  <c r="C3087" i="18"/>
  <c r="D3087" i="18"/>
  <c r="E3087" i="18"/>
  <c r="F3087" i="18"/>
  <c r="G3087" i="18"/>
  <c r="H3087" i="18"/>
  <c r="I3087" i="18"/>
  <c r="J3087" i="18"/>
  <c r="K3087" i="18"/>
  <c r="L3087" i="18"/>
  <c r="B3088" i="18"/>
  <c r="C3088" i="18"/>
  <c r="D3088" i="18"/>
  <c r="E3088" i="18"/>
  <c r="F3088" i="18"/>
  <c r="G3088" i="18"/>
  <c r="H3088" i="18"/>
  <c r="I3088" i="18"/>
  <c r="J3088" i="18"/>
  <c r="K3088" i="18"/>
  <c r="L3088" i="18"/>
  <c r="B3089" i="18"/>
  <c r="C3089" i="18"/>
  <c r="D3089" i="18"/>
  <c r="E3089" i="18"/>
  <c r="F3089" i="18"/>
  <c r="G3089" i="18"/>
  <c r="H3089" i="18"/>
  <c r="I3089" i="18"/>
  <c r="J3089" i="18"/>
  <c r="K3089" i="18"/>
  <c r="L3089" i="18"/>
  <c r="B3090" i="18"/>
  <c r="C3090" i="18"/>
  <c r="D3090" i="18"/>
  <c r="E3090" i="18"/>
  <c r="F3090" i="18"/>
  <c r="G3090" i="18"/>
  <c r="H3090" i="18"/>
  <c r="I3090" i="18"/>
  <c r="J3090" i="18"/>
  <c r="K3090" i="18"/>
  <c r="L3090" i="18"/>
  <c r="B3091" i="18"/>
  <c r="C3091" i="18"/>
  <c r="D3091" i="18"/>
  <c r="E3091" i="18"/>
  <c r="F3091" i="18"/>
  <c r="G3091" i="18"/>
  <c r="H3091" i="18"/>
  <c r="I3091" i="18"/>
  <c r="J3091" i="18"/>
  <c r="K3091" i="18"/>
  <c r="L3091" i="18"/>
  <c r="B3092" i="18"/>
  <c r="C3092" i="18"/>
  <c r="D3092" i="18"/>
  <c r="E3092" i="18"/>
  <c r="F3092" i="18"/>
  <c r="G3092" i="18"/>
  <c r="H3092" i="18"/>
  <c r="I3092" i="18"/>
  <c r="J3092" i="18"/>
  <c r="K3092" i="18"/>
  <c r="L3092" i="18"/>
  <c r="B3093" i="18"/>
  <c r="C3093" i="18"/>
  <c r="D3093" i="18"/>
  <c r="E3093" i="18"/>
  <c r="F3093" i="18"/>
  <c r="G3093" i="18"/>
  <c r="H3093" i="18"/>
  <c r="I3093" i="18"/>
  <c r="J3093" i="18"/>
  <c r="K3093" i="18"/>
  <c r="L3093" i="18"/>
  <c r="B3094" i="18"/>
  <c r="C3094" i="18"/>
  <c r="D3094" i="18"/>
  <c r="E3094" i="18"/>
  <c r="F3094" i="18"/>
  <c r="G3094" i="18"/>
  <c r="H3094" i="18"/>
  <c r="I3094" i="18"/>
  <c r="J3094" i="18"/>
  <c r="K3094" i="18"/>
  <c r="L3094" i="18"/>
  <c r="B3095" i="18"/>
  <c r="C3095" i="18"/>
  <c r="D3095" i="18"/>
  <c r="E3095" i="18"/>
  <c r="F3095" i="18"/>
  <c r="G3095" i="18"/>
  <c r="H3095" i="18"/>
  <c r="I3095" i="18"/>
  <c r="J3095" i="18"/>
  <c r="K3095" i="18"/>
  <c r="L3095" i="18"/>
  <c r="B3096" i="18"/>
  <c r="C3096" i="18"/>
  <c r="D3096" i="18"/>
  <c r="E3096" i="18"/>
  <c r="F3096" i="18"/>
  <c r="G3096" i="18"/>
  <c r="H3096" i="18"/>
  <c r="I3096" i="18"/>
  <c r="J3096" i="18"/>
  <c r="K3096" i="18"/>
  <c r="L3096" i="18"/>
  <c r="B3097" i="18"/>
  <c r="C3097" i="18"/>
  <c r="D3097" i="18"/>
  <c r="E3097" i="18"/>
  <c r="F3097" i="18"/>
  <c r="G3097" i="18"/>
  <c r="H3097" i="18"/>
  <c r="I3097" i="18"/>
  <c r="J3097" i="18"/>
  <c r="K3097" i="18"/>
  <c r="L3097" i="18"/>
  <c r="B3098" i="18"/>
  <c r="C3098" i="18"/>
  <c r="D3098" i="18"/>
  <c r="E3098" i="18"/>
  <c r="F3098" i="18"/>
  <c r="G3098" i="18"/>
  <c r="H3098" i="18"/>
  <c r="I3098" i="18"/>
  <c r="J3098" i="18"/>
  <c r="K3098" i="18"/>
  <c r="L3098" i="18"/>
  <c r="B3099" i="18"/>
  <c r="C3099" i="18"/>
  <c r="D3099" i="18"/>
  <c r="E3099" i="18"/>
  <c r="F3099" i="18"/>
  <c r="G3099" i="18"/>
  <c r="H3099" i="18"/>
  <c r="I3099" i="18"/>
  <c r="J3099" i="18"/>
  <c r="K3099" i="18"/>
  <c r="L3099" i="18"/>
  <c r="B3100" i="18"/>
  <c r="C3100" i="18"/>
  <c r="D3100" i="18"/>
  <c r="E3100" i="18"/>
  <c r="F3100" i="18"/>
  <c r="G3100" i="18"/>
  <c r="H3100" i="18"/>
  <c r="I3100" i="18"/>
  <c r="J3100" i="18"/>
  <c r="K3100" i="18"/>
  <c r="L3100" i="18"/>
  <c r="B3101" i="18"/>
  <c r="C3101" i="18"/>
  <c r="D3101" i="18"/>
  <c r="E3101" i="18"/>
  <c r="F3101" i="18"/>
  <c r="G3101" i="18"/>
  <c r="H3101" i="18"/>
  <c r="I3101" i="18"/>
  <c r="J3101" i="18"/>
  <c r="K3101" i="18"/>
  <c r="L3101" i="18"/>
  <c r="B3102" i="18"/>
  <c r="C3102" i="18"/>
  <c r="D3102" i="18"/>
  <c r="E3102" i="18"/>
  <c r="F3102" i="18"/>
  <c r="G3102" i="18"/>
  <c r="H3102" i="18"/>
  <c r="I3102" i="18"/>
  <c r="J3102" i="18"/>
  <c r="K3102" i="18"/>
  <c r="L3102" i="18"/>
  <c r="B3103" i="18"/>
  <c r="C3103" i="18"/>
  <c r="D3103" i="18"/>
  <c r="E3103" i="18"/>
  <c r="F3103" i="18"/>
  <c r="G3103" i="18"/>
  <c r="H3103" i="18"/>
  <c r="I3103" i="18"/>
  <c r="J3103" i="18"/>
  <c r="K3103" i="18"/>
  <c r="L3103" i="18"/>
  <c r="B3104" i="18"/>
  <c r="C3104" i="18"/>
  <c r="D3104" i="18"/>
  <c r="E3104" i="18"/>
  <c r="F3104" i="18"/>
  <c r="G3104" i="18"/>
  <c r="H3104" i="18"/>
  <c r="I3104" i="18"/>
  <c r="J3104" i="18"/>
  <c r="K3104" i="18"/>
  <c r="L3104" i="18"/>
  <c r="B3105" i="18"/>
  <c r="C3105" i="18"/>
  <c r="D3105" i="18"/>
  <c r="E3105" i="18"/>
  <c r="F3105" i="18"/>
  <c r="G3105" i="18"/>
  <c r="H3105" i="18"/>
  <c r="I3105" i="18"/>
  <c r="J3105" i="18"/>
  <c r="K3105" i="18"/>
  <c r="L3105" i="18"/>
  <c r="B3106" i="18"/>
  <c r="C3106" i="18"/>
  <c r="D3106" i="18"/>
  <c r="E3106" i="18"/>
  <c r="F3106" i="18"/>
  <c r="G3106" i="18"/>
  <c r="H3106" i="18"/>
  <c r="I3106" i="18"/>
  <c r="J3106" i="18"/>
  <c r="K3106" i="18"/>
  <c r="L3106" i="18"/>
  <c r="B3107" i="18"/>
  <c r="C3107" i="18"/>
  <c r="D3107" i="18"/>
  <c r="E3107" i="18"/>
  <c r="F3107" i="18"/>
  <c r="G3107" i="18"/>
  <c r="H3107" i="18"/>
  <c r="I3107" i="18"/>
  <c r="J3107" i="18"/>
  <c r="K3107" i="18"/>
  <c r="L3107" i="18"/>
  <c r="B3108" i="18"/>
  <c r="C3108" i="18"/>
  <c r="D3108" i="18"/>
  <c r="E3108" i="18"/>
  <c r="F3108" i="18"/>
  <c r="G3108" i="18"/>
  <c r="H3108" i="18"/>
  <c r="I3108" i="18"/>
  <c r="J3108" i="18"/>
  <c r="K3108" i="18"/>
  <c r="L3108" i="18"/>
  <c r="B3109" i="18"/>
  <c r="C3109" i="18"/>
  <c r="D3109" i="18"/>
  <c r="E3109" i="18"/>
  <c r="F3109" i="18"/>
  <c r="G3109" i="18"/>
  <c r="H3109" i="18"/>
  <c r="I3109" i="18"/>
  <c r="J3109" i="18"/>
  <c r="K3109" i="18"/>
  <c r="L3109" i="18"/>
  <c r="B3110" i="18"/>
  <c r="C3110" i="18"/>
  <c r="D3110" i="18"/>
  <c r="E3110" i="18"/>
  <c r="F3110" i="18"/>
  <c r="G3110" i="18"/>
  <c r="H3110" i="18"/>
  <c r="I3110" i="18"/>
  <c r="J3110" i="18"/>
  <c r="K3110" i="18"/>
  <c r="L3110" i="18"/>
  <c r="B3111" i="18"/>
  <c r="C3111" i="18"/>
  <c r="D3111" i="18"/>
  <c r="E3111" i="18"/>
  <c r="F3111" i="18"/>
  <c r="G3111" i="18"/>
  <c r="H3111" i="18"/>
  <c r="I3111" i="18"/>
  <c r="J3111" i="18"/>
  <c r="K3111" i="18"/>
  <c r="L3111" i="18"/>
  <c r="B3112" i="18"/>
  <c r="C3112" i="18"/>
  <c r="D3112" i="18"/>
  <c r="E3112" i="18"/>
  <c r="F3112" i="18"/>
  <c r="G3112" i="18"/>
  <c r="H3112" i="18"/>
  <c r="I3112" i="18"/>
  <c r="J3112" i="18"/>
  <c r="K3112" i="18"/>
  <c r="L3112" i="18"/>
  <c r="B3113" i="18"/>
  <c r="C3113" i="18"/>
  <c r="D3113" i="18"/>
  <c r="E3113" i="18"/>
  <c r="F3113" i="18"/>
  <c r="G3113" i="18"/>
  <c r="H3113" i="18"/>
  <c r="I3113" i="18"/>
  <c r="J3113" i="18"/>
  <c r="K3113" i="18"/>
  <c r="L3113" i="18"/>
  <c r="B3114" i="18"/>
  <c r="C3114" i="18"/>
  <c r="D3114" i="18"/>
  <c r="E3114" i="18"/>
  <c r="F3114" i="18"/>
  <c r="G3114" i="18"/>
  <c r="H3114" i="18"/>
  <c r="I3114" i="18"/>
  <c r="J3114" i="18"/>
  <c r="K3114" i="18"/>
  <c r="L3114" i="18"/>
  <c r="B3115" i="18"/>
  <c r="C3115" i="18"/>
  <c r="D3115" i="18"/>
  <c r="E3115" i="18"/>
  <c r="F3115" i="18"/>
  <c r="G3115" i="18"/>
  <c r="H3115" i="18"/>
  <c r="I3115" i="18"/>
  <c r="J3115" i="18"/>
  <c r="K3115" i="18"/>
  <c r="L3115" i="18"/>
  <c r="B3116" i="18"/>
  <c r="C3116" i="18"/>
  <c r="D3116" i="18"/>
  <c r="E3116" i="18"/>
  <c r="F3116" i="18"/>
  <c r="G3116" i="18"/>
  <c r="H3116" i="18"/>
  <c r="I3116" i="18"/>
  <c r="J3116" i="18"/>
  <c r="K3116" i="18"/>
  <c r="L3116" i="18"/>
  <c r="B3117" i="18"/>
  <c r="C3117" i="18"/>
  <c r="D3117" i="18"/>
  <c r="E3117" i="18"/>
  <c r="F3117" i="18"/>
  <c r="G3117" i="18"/>
  <c r="H3117" i="18"/>
  <c r="I3117" i="18"/>
  <c r="J3117" i="18"/>
  <c r="K3117" i="18"/>
  <c r="L3117" i="18"/>
  <c r="B3118" i="18"/>
  <c r="C3118" i="18"/>
  <c r="D3118" i="18"/>
  <c r="E3118" i="18"/>
  <c r="F3118" i="18"/>
  <c r="G3118" i="18"/>
  <c r="H3118" i="18"/>
  <c r="I3118" i="18"/>
  <c r="J3118" i="18"/>
  <c r="K3118" i="18"/>
  <c r="L3118" i="18"/>
  <c r="B3119" i="18"/>
  <c r="C3119" i="18"/>
  <c r="D3119" i="18"/>
  <c r="E3119" i="18"/>
  <c r="F3119" i="18"/>
  <c r="G3119" i="18"/>
  <c r="H3119" i="18"/>
  <c r="I3119" i="18"/>
  <c r="J3119" i="18"/>
  <c r="K3119" i="18"/>
  <c r="L3119" i="18"/>
  <c r="B3120" i="18"/>
  <c r="C3120" i="18"/>
  <c r="D3120" i="18"/>
  <c r="E3120" i="18"/>
  <c r="F3120" i="18"/>
  <c r="G3120" i="18"/>
  <c r="H3120" i="18"/>
  <c r="I3120" i="18"/>
  <c r="J3120" i="18"/>
  <c r="K3120" i="18"/>
  <c r="L3120" i="18"/>
  <c r="B3121" i="18"/>
  <c r="C3121" i="18"/>
  <c r="D3121" i="18"/>
  <c r="E3121" i="18"/>
  <c r="F3121" i="18"/>
  <c r="G3121" i="18"/>
  <c r="H3121" i="18"/>
  <c r="I3121" i="18"/>
  <c r="J3121" i="18"/>
  <c r="K3121" i="18"/>
  <c r="L3121" i="18"/>
  <c r="B3122" i="18"/>
  <c r="C3122" i="18"/>
  <c r="D3122" i="18"/>
  <c r="E3122" i="18"/>
  <c r="F3122" i="18"/>
  <c r="G3122" i="18"/>
  <c r="H3122" i="18"/>
  <c r="I3122" i="18"/>
  <c r="J3122" i="18"/>
  <c r="K3122" i="18"/>
  <c r="L3122" i="18"/>
  <c r="B3123" i="18"/>
  <c r="C3123" i="18"/>
  <c r="D3123" i="18"/>
  <c r="E3123" i="18"/>
  <c r="F3123" i="18"/>
  <c r="G3123" i="18"/>
  <c r="H3123" i="18"/>
  <c r="I3123" i="18"/>
  <c r="J3123" i="18"/>
  <c r="K3123" i="18"/>
  <c r="L3123" i="18"/>
  <c r="B3124" i="18"/>
  <c r="C3124" i="18"/>
  <c r="D3124" i="18"/>
  <c r="E3124" i="18"/>
  <c r="F3124" i="18"/>
  <c r="G3124" i="18"/>
  <c r="H3124" i="18"/>
  <c r="I3124" i="18"/>
  <c r="J3124" i="18"/>
  <c r="K3124" i="18"/>
  <c r="L3124" i="18"/>
  <c r="B3125" i="18"/>
  <c r="C3125" i="18"/>
  <c r="D3125" i="18"/>
  <c r="E3125" i="18"/>
  <c r="F3125" i="18"/>
  <c r="G3125" i="18"/>
  <c r="H3125" i="18"/>
  <c r="I3125" i="18"/>
  <c r="J3125" i="18"/>
  <c r="K3125" i="18"/>
  <c r="L3125" i="18"/>
  <c r="B3126" i="18"/>
  <c r="C3126" i="18"/>
  <c r="D3126" i="18"/>
  <c r="E3126" i="18"/>
  <c r="F3126" i="18"/>
  <c r="G3126" i="18"/>
  <c r="H3126" i="18"/>
  <c r="I3126" i="18"/>
  <c r="J3126" i="18"/>
  <c r="K3126" i="18"/>
  <c r="L3126" i="18"/>
  <c r="B3127" i="18"/>
  <c r="C3127" i="18"/>
  <c r="D3127" i="18"/>
  <c r="E3127" i="18"/>
  <c r="F3127" i="18"/>
  <c r="G3127" i="18"/>
  <c r="H3127" i="18"/>
  <c r="I3127" i="18"/>
  <c r="J3127" i="18"/>
  <c r="K3127" i="18"/>
  <c r="L3127" i="18"/>
  <c r="B3128" i="18"/>
  <c r="C3128" i="18"/>
  <c r="D3128" i="18"/>
  <c r="E3128" i="18"/>
  <c r="F3128" i="18"/>
  <c r="G3128" i="18"/>
  <c r="H3128" i="18"/>
  <c r="I3128" i="18"/>
  <c r="J3128" i="18"/>
  <c r="K3128" i="18"/>
  <c r="L3128" i="18"/>
  <c r="B3129" i="18"/>
  <c r="C3129" i="18"/>
  <c r="D3129" i="18"/>
  <c r="E3129" i="18"/>
  <c r="F3129" i="18"/>
  <c r="G3129" i="18"/>
  <c r="H3129" i="18"/>
  <c r="I3129" i="18"/>
  <c r="J3129" i="18"/>
  <c r="K3129" i="18"/>
  <c r="L3129" i="18"/>
  <c r="B3130" i="18"/>
  <c r="C3130" i="18"/>
  <c r="D3130" i="18"/>
  <c r="E3130" i="18"/>
  <c r="F3130" i="18"/>
  <c r="G3130" i="18"/>
  <c r="H3130" i="18"/>
  <c r="I3130" i="18"/>
  <c r="J3130" i="18"/>
  <c r="K3130" i="18"/>
  <c r="L3130" i="18"/>
  <c r="B3131" i="18"/>
  <c r="C3131" i="18"/>
  <c r="D3131" i="18"/>
  <c r="E3131" i="18"/>
  <c r="F3131" i="18"/>
  <c r="G3131" i="18"/>
  <c r="H3131" i="18"/>
  <c r="I3131" i="18"/>
  <c r="J3131" i="18"/>
  <c r="K3131" i="18"/>
  <c r="L3131" i="18"/>
  <c r="B3132" i="18"/>
  <c r="C3132" i="18"/>
  <c r="D3132" i="18"/>
  <c r="E3132" i="18"/>
  <c r="F3132" i="18"/>
  <c r="G3132" i="18"/>
  <c r="H3132" i="18"/>
  <c r="I3132" i="18"/>
  <c r="J3132" i="18"/>
  <c r="K3132" i="18"/>
  <c r="L3132" i="18"/>
  <c r="B3133" i="18"/>
  <c r="C3133" i="18"/>
  <c r="D3133" i="18"/>
  <c r="E3133" i="18"/>
  <c r="F3133" i="18"/>
  <c r="G3133" i="18"/>
  <c r="H3133" i="18"/>
  <c r="I3133" i="18"/>
  <c r="J3133" i="18"/>
  <c r="K3133" i="18"/>
  <c r="L3133" i="18"/>
  <c r="B3134" i="18"/>
  <c r="C3134" i="18"/>
  <c r="D3134" i="18"/>
  <c r="E3134" i="18"/>
  <c r="F3134" i="18"/>
  <c r="G3134" i="18"/>
  <c r="H3134" i="18"/>
  <c r="I3134" i="18"/>
  <c r="J3134" i="18"/>
  <c r="K3134" i="18"/>
  <c r="L3134" i="18"/>
  <c r="B3135" i="18"/>
  <c r="C3135" i="18"/>
  <c r="D3135" i="18"/>
  <c r="E3135" i="18"/>
  <c r="F3135" i="18"/>
  <c r="G3135" i="18"/>
  <c r="H3135" i="18"/>
  <c r="I3135" i="18"/>
  <c r="J3135" i="18"/>
  <c r="K3135" i="18"/>
  <c r="L3135" i="18"/>
  <c r="B3136" i="18"/>
  <c r="C3136" i="18"/>
  <c r="D3136" i="18"/>
  <c r="E3136" i="18"/>
  <c r="F3136" i="18"/>
  <c r="G3136" i="18"/>
  <c r="H3136" i="18"/>
  <c r="I3136" i="18"/>
  <c r="J3136" i="18"/>
  <c r="K3136" i="18"/>
  <c r="L3136" i="18"/>
  <c r="B3137" i="18"/>
  <c r="C3137" i="18"/>
  <c r="D3137" i="18"/>
  <c r="E3137" i="18"/>
  <c r="F3137" i="18"/>
  <c r="G3137" i="18"/>
  <c r="H3137" i="18"/>
  <c r="I3137" i="18"/>
  <c r="J3137" i="18"/>
  <c r="K3137" i="18"/>
  <c r="L3137" i="18"/>
  <c r="B3138" i="18"/>
  <c r="C3138" i="18"/>
  <c r="D3138" i="18"/>
  <c r="E3138" i="18"/>
  <c r="F3138" i="18"/>
  <c r="G3138" i="18"/>
  <c r="H3138" i="18"/>
  <c r="I3138" i="18"/>
  <c r="J3138" i="18"/>
  <c r="K3138" i="18"/>
  <c r="L3138" i="18"/>
  <c r="B3139" i="18"/>
  <c r="C3139" i="18"/>
  <c r="D3139" i="18"/>
  <c r="E3139" i="18"/>
  <c r="F3139" i="18"/>
  <c r="G3139" i="18"/>
  <c r="H3139" i="18"/>
  <c r="I3139" i="18"/>
  <c r="J3139" i="18"/>
  <c r="K3139" i="18"/>
  <c r="L3139" i="18"/>
  <c r="B3140" i="18"/>
  <c r="C3140" i="18"/>
  <c r="D3140" i="18"/>
  <c r="E3140" i="18"/>
  <c r="F3140" i="18"/>
  <c r="G3140" i="18"/>
  <c r="H3140" i="18"/>
  <c r="I3140" i="18"/>
  <c r="J3140" i="18"/>
  <c r="K3140" i="18"/>
  <c r="L3140" i="18"/>
  <c r="B3141" i="18"/>
  <c r="C3141" i="18"/>
  <c r="D3141" i="18"/>
  <c r="E3141" i="18"/>
  <c r="F3141" i="18"/>
  <c r="G3141" i="18"/>
  <c r="H3141" i="18"/>
  <c r="I3141" i="18"/>
  <c r="J3141" i="18"/>
  <c r="K3141" i="18"/>
  <c r="L3141" i="18"/>
  <c r="B3142" i="18"/>
  <c r="C3142" i="18"/>
  <c r="D3142" i="18"/>
  <c r="E3142" i="18"/>
  <c r="F3142" i="18"/>
  <c r="G3142" i="18"/>
  <c r="H3142" i="18"/>
  <c r="I3142" i="18"/>
  <c r="J3142" i="18"/>
  <c r="K3142" i="18"/>
  <c r="L3142" i="18"/>
  <c r="B3143" i="18"/>
  <c r="C3143" i="18"/>
  <c r="D3143" i="18"/>
  <c r="E3143" i="18"/>
  <c r="F3143" i="18"/>
  <c r="G3143" i="18"/>
  <c r="H3143" i="18"/>
  <c r="I3143" i="18"/>
  <c r="J3143" i="18"/>
  <c r="K3143" i="18"/>
  <c r="L3143" i="18"/>
  <c r="B3144" i="18"/>
  <c r="C3144" i="18"/>
  <c r="D3144" i="18"/>
  <c r="E3144" i="18"/>
  <c r="F3144" i="18"/>
  <c r="G3144" i="18"/>
  <c r="H3144" i="18"/>
  <c r="I3144" i="18"/>
  <c r="J3144" i="18"/>
  <c r="K3144" i="18"/>
  <c r="L3144" i="18"/>
  <c r="B3145" i="18"/>
  <c r="C3145" i="18"/>
  <c r="D3145" i="18"/>
  <c r="E3145" i="18"/>
  <c r="F3145" i="18"/>
  <c r="G3145" i="18"/>
  <c r="H3145" i="18"/>
  <c r="I3145" i="18"/>
  <c r="J3145" i="18"/>
  <c r="K3145" i="18"/>
  <c r="L3145" i="18"/>
  <c r="B3146" i="18"/>
  <c r="C3146" i="18"/>
  <c r="D3146" i="18"/>
  <c r="E3146" i="18"/>
  <c r="F3146" i="18"/>
  <c r="G3146" i="18"/>
  <c r="H3146" i="18"/>
  <c r="I3146" i="18"/>
  <c r="J3146" i="18"/>
  <c r="K3146" i="18"/>
  <c r="L3146" i="18"/>
  <c r="B3147" i="18"/>
  <c r="C3147" i="18"/>
  <c r="D3147" i="18"/>
  <c r="E3147" i="18"/>
  <c r="F3147" i="18"/>
  <c r="G3147" i="18"/>
  <c r="H3147" i="18"/>
  <c r="I3147" i="18"/>
  <c r="J3147" i="18"/>
  <c r="K3147" i="18"/>
  <c r="L3147" i="18"/>
  <c r="B3148" i="18"/>
  <c r="C3148" i="18"/>
  <c r="D3148" i="18"/>
  <c r="E3148" i="18"/>
  <c r="F3148" i="18"/>
  <c r="G3148" i="18"/>
  <c r="H3148" i="18"/>
  <c r="I3148" i="18"/>
  <c r="J3148" i="18"/>
  <c r="K3148" i="18"/>
  <c r="L3148" i="18"/>
  <c r="B3149" i="18"/>
  <c r="C3149" i="18"/>
  <c r="D3149" i="18"/>
  <c r="E3149" i="18"/>
  <c r="F3149" i="18"/>
  <c r="G3149" i="18"/>
  <c r="H3149" i="18"/>
  <c r="I3149" i="18"/>
  <c r="J3149" i="18"/>
  <c r="K3149" i="18"/>
  <c r="L3149" i="18"/>
  <c r="B3150" i="18"/>
  <c r="C3150" i="18"/>
  <c r="D3150" i="18"/>
  <c r="E3150" i="18"/>
  <c r="F3150" i="18"/>
  <c r="G3150" i="18"/>
  <c r="H3150" i="18"/>
  <c r="I3150" i="18"/>
  <c r="J3150" i="18"/>
  <c r="K3150" i="18"/>
  <c r="L3150" i="18"/>
  <c r="B3151" i="18"/>
  <c r="C3151" i="18"/>
  <c r="D3151" i="18"/>
  <c r="E3151" i="18"/>
  <c r="F3151" i="18"/>
  <c r="G3151" i="18"/>
  <c r="H3151" i="18"/>
  <c r="I3151" i="18"/>
  <c r="J3151" i="18"/>
  <c r="K3151" i="18"/>
  <c r="L3151" i="18"/>
  <c r="B3152" i="18"/>
  <c r="C3152" i="18"/>
  <c r="D3152" i="18"/>
  <c r="E3152" i="18"/>
  <c r="F3152" i="18"/>
  <c r="G3152" i="18"/>
  <c r="H3152" i="18"/>
  <c r="I3152" i="18"/>
  <c r="J3152" i="18"/>
  <c r="K3152" i="18"/>
  <c r="L3152" i="18"/>
  <c r="B3153" i="18"/>
  <c r="C3153" i="18"/>
  <c r="D3153" i="18"/>
  <c r="E3153" i="18"/>
  <c r="F3153" i="18"/>
  <c r="G3153" i="18"/>
  <c r="H3153" i="18"/>
  <c r="I3153" i="18"/>
  <c r="J3153" i="18"/>
  <c r="K3153" i="18"/>
  <c r="L3153" i="18"/>
  <c r="B3154" i="18"/>
  <c r="C3154" i="18"/>
  <c r="D3154" i="18"/>
  <c r="E3154" i="18"/>
  <c r="F3154" i="18"/>
  <c r="G3154" i="18"/>
  <c r="H3154" i="18"/>
  <c r="I3154" i="18"/>
  <c r="J3154" i="18"/>
  <c r="K3154" i="18"/>
  <c r="L3154" i="18"/>
  <c r="B3155" i="18"/>
  <c r="C3155" i="18"/>
  <c r="D3155" i="18"/>
  <c r="E3155" i="18"/>
  <c r="F3155" i="18"/>
  <c r="G3155" i="18"/>
  <c r="H3155" i="18"/>
  <c r="I3155" i="18"/>
  <c r="J3155" i="18"/>
  <c r="K3155" i="18"/>
  <c r="L3155" i="18"/>
  <c r="B3156" i="18"/>
  <c r="C3156" i="18"/>
  <c r="D3156" i="18"/>
  <c r="E3156" i="18"/>
  <c r="F3156" i="18"/>
  <c r="G3156" i="18"/>
  <c r="H3156" i="18"/>
  <c r="I3156" i="18"/>
  <c r="J3156" i="18"/>
  <c r="K3156" i="18"/>
  <c r="L3156" i="18"/>
  <c r="B3157" i="18"/>
  <c r="C3157" i="18"/>
  <c r="D3157" i="18"/>
  <c r="E3157" i="18"/>
  <c r="F3157" i="18"/>
  <c r="G3157" i="18"/>
  <c r="H3157" i="18"/>
  <c r="I3157" i="18"/>
  <c r="J3157" i="18"/>
  <c r="K3157" i="18"/>
  <c r="L3157" i="18"/>
  <c r="B3158" i="18"/>
  <c r="C3158" i="18"/>
  <c r="D3158" i="18"/>
  <c r="E3158" i="18"/>
  <c r="F3158" i="18"/>
  <c r="G3158" i="18"/>
  <c r="H3158" i="18"/>
  <c r="I3158" i="18"/>
  <c r="J3158" i="18"/>
  <c r="K3158" i="18"/>
  <c r="L3158" i="18"/>
  <c r="B3159" i="18"/>
  <c r="C3159" i="18"/>
  <c r="D3159" i="18"/>
  <c r="E3159" i="18"/>
  <c r="F3159" i="18"/>
  <c r="G3159" i="18"/>
  <c r="H3159" i="18"/>
  <c r="I3159" i="18"/>
  <c r="J3159" i="18"/>
  <c r="K3159" i="18"/>
  <c r="L3159" i="18"/>
  <c r="B3160" i="18"/>
  <c r="C3160" i="18"/>
  <c r="D3160" i="18"/>
  <c r="E3160" i="18"/>
  <c r="F3160" i="18"/>
  <c r="G3160" i="18"/>
  <c r="H3160" i="18"/>
  <c r="I3160" i="18"/>
  <c r="J3160" i="18"/>
  <c r="K3160" i="18"/>
  <c r="L3160" i="18"/>
  <c r="B3161" i="18"/>
  <c r="C3161" i="18"/>
  <c r="D3161" i="18"/>
  <c r="E3161" i="18"/>
  <c r="F3161" i="18"/>
  <c r="G3161" i="18"/>
  <c r="H3161" i="18"/>
  <c r="I3161" i="18"/>
  <c r="J3161" i="18"/>
  <c r="K3161" i="18"/>
  <c r="L3161" i="18"/>
  <c r="B3162" i="18"/>
  <c r="C3162" i="18"/>
  <c r="D3162" i="18"/>
  <c r="E3162" i="18"/>
  <c r="F3162" i="18"/>
  <c r="G3162" i="18"/>
  <c r="H3162" i="18"/>
  <c r="I3162" i="18"/>
  <c r="J3162" i="18"/>
  <c r="K3162" i="18"/>
  <c r="L3162" i="18"/>
  <c r="B3163" i="18"/>
  <c r="C3163" i="18"/>
  <c r="D3163" i="18"/>
  <c r="E3163" i="18"/>
  <c r="F3163" i="18"/>
  <c r="G3163" i="18"/>
  <c r="H3163" i="18"/>
  <c r="I3163" i="18"/>
  <c r="J3163" i="18"/>
  <c r="K3163" i="18"/>
  <c r="L3163" i="18"/>
  <c r="B3164" i="18"/>
  <c r="C3164" i="18"/>
  <c r="D3164" i="18"/>
  <c r="E3164" i="18"/>
  <c r="F3164" i="18"/>
  <c r="G3164" i="18"/>
  <c r="H3164" i="18"/>
  <c r="I3164" i="18"/>
  <c r="J3164" i="18"/>
  <c r="K3164" i="18"/>
  <c r="L3164" i="18"/>
  <c r="B3165" i="18"/>
  <c r="C3165" i="18"/>
  <c r="D3165" i="18"/>
  <c r="E3165" i="18"/>
  <c r="F3165" i="18"/>
  <c r="G3165" i="18"/>
  <c r="H3165" i="18"/>
  <c r="I3165" i="18"/>
  <c r="J3165" i="18"/>
  <c r="K3165" i="18"/>
  <c r="L3165" i="18"/>
  <c r="B3166" i="18"/>
  <c r="C3166" i="18"/>
  <c r="D3166" i="18"/>
  <c r="E3166" i="18"/>
  <c r="F3166" i="18"/>
  <c r="G3166" i="18"/>
  <c r="H3166" i="18"/>
  <c r="I3166" i="18"/>
  <c r="J3166" i="18"/>
  <c r="K3166" i="18"/>
  <c r="L3166" i="18"/>
  <c r="B3167" i="18"/>
  <c r="C3167" i="18"/>
  <c r="D3167" i="18"/>
  <c r="E3167" i="18"/>
  <c r="F3167" i="18"/>
  <c r="G3167" i="18"/>
  <c r="H3167" i="18"/>
  <c r="I3167" i="18"/>
  <c r="J3167" i="18"/>
  <c r="K3167" i="18"/>
  <c r="L3167" i="18"/>
  <c r="B3168" i="18"/>
  <c r="C3168" i="18"/>
  <c r="D3168" i="18"/>
  <c r="E3168" i="18"/>
  <c r="F3168" i="18"/>
  <c r="G3168" i="18"/>
  <c r="H3168" i="18"/>
  <c r="I3168" i="18"/>
  <c r="J3168" i="18"/>
  <c r="K3168" i="18"/>
  <c r="L3168" i="18"/>
  <c r="B3169" i="18"/>
  <c r="C3169" i="18"/>
  <c r="D3169" i="18"/>
  <c r="E3169" i="18"/>
  <c r="F3169" i="18"/>
  <c r="G3169" i="18"/>
  <c r="H3169" i="18"/>
  <c r="I3169" i="18"/>
  <c r="J3169" i="18"/>
  <c r="K3169" i="18"/>
  <c r="L3169" i="18"/>
  <c r="B3170" i="18"/>
  <c r="C3170" i="18"/>
  <c r="D3170" i="18"/>
  <c r="E3170" i="18"/>
  <c r="F3170" i="18"/>
  <c r="G3170" i="18"/>
  <c r="H3170" i="18"/>
  <c r="I3170" i="18"/>
  <c r="J3170" i="18"/>
  <c r="K3170" i="18"/>
  <c r="L3170" i="18"/>
  <c r="B3171" i="18"/>
  <c r="C3171" i="18"/>
  <c r="D3171" i="18"/>
  <c r="E3171" i="18"/>
  <c r="F3171" i="18"/>
  <c r="G3171" i="18"/>
  <c r="H3171" i="18"/>
  <c r="I3171" i="18"/>
  <c r="J3171" i="18"/>
  <c r="K3171" i="18"/>
  <c r="L3171" i="18"/>
  <c r="B3172" i="18"/>
  <c r="C3172" i="18"/>
  <c r="D3172" i="18"/>
  <c r="E3172" i="18"/>
  <c r="F3172" i="18"/>
  <c r="G3172" i="18"/>
  <c r="H3172" i="18"/>
  <c r="I3172" i="18"/>
  <c r="J3172" i="18"/>
  <c r="K3172" i="18"/>
  <c r="L3172" i="18"/>
  <c r="B3173" i="18"/>
  <c r="C3173" i="18"/>
  <c r="D3173" i="18"/>
  <c r="E3173" i="18"/>
  <c r="F3173" i="18"/>
  <c r="G3173" i="18"/>
  <c r="H3173" i="18"/>
  <c r="I3173" i="18"/>
  <c r="J3173" i="18"/>
  <c r="K3173" i="18"/>
  <c r="L3173" i="18"/>
  <c r="B3174" i="18"/>
  <c r="C3174" i="18"/>
  <c r="D3174" i="18"/>
  <c r="E3174" i="18"/>
  <c r="F3174" i="18"/>
  <c r="G3174" i="18"/>
  <c r="H3174" i="18"/>
  <c r="I3174" i="18"/>
  <c r="J3174" i="18"/>
  <c r="K3174" i="18"/>
  <c r="L3174" i="18"/>
  <c r="B3175" i="18"/>
  <c r="C3175" i="18"/>
  <c r="D3175" i="18"/>
  <c r="E3175" i="18"/>
  <c r="F3175" i="18"/>
  <c r="G3175" i="18"/>
  <c r="H3175" i="18"/>
  <c r="I3175" i="18"/>
  <c r="J3175" i="18"/>
  <c r="K3175" i="18"/>
  <c r="L3175" i="18"/>
  <c r="B3176" i="18"/>
  <c r="C3176" i="18"/>
  <c r="D3176" i="18"/>
  <c r="E3176" i="18"/>
  <c r="F3176" i="18"/>
  <c r="G3176" i="18"/>
  <c r="H3176" i="18"/>
  <c r="I3176" i="18"/>
  <c r="J3176" i="18"/>
  <c r="K3176" i="18"/>
  <c r="L3176" i="18"/>
  <c r="B3177" i="18"/>
  <c r="C3177" i="18"/>
  <c r="D3177" i="18"/>
  <c r="E3177" i="18"/>
  <c r="F3177" i="18"/>
  <c r="G3177" i="18"/>
  <c r="H3177" i="18"/>
  <c r="I3177" i="18"/>
  <c r="J3177" i="18"/>
  <c r="K3177" i="18"/>
  <c r="L3177" i="18"/>
  <c r="B3178" i="18"/>
  <c r="C3178" i="18"/>
  <c r="D3178" i="18"/>
  <c r="E3178" i="18"/>
  <c r="F3178" i="18"/>
  <c r="G3178" i="18"/>
  <c r="H3178" i="18"/>
  <c r="I3178" i="18"/>
  <c r="J3178" i="18"/>
  <c r="K3178" i="18"/>
  <c r="L3178" i="18"/>
  <c r="B3179" i="18"/>
  <c r="C3179" i="18"/>
  <c r="D3179" i="18"/>
  <c r="E3179" i="18"/>
  <c r="F3179" i="18"/>
  <c r="G3179" i="18"/>
  <c r="H3179" i="18"/>
  <c r="I3179" i="18"/>
  <c r="J3179" i="18"/>
  <c r="K3179" i="18"/>
  <c r="L3179" i="18"/>
  <c r="B3180" i="18"/>
  <c r="C3180" i="18"/>
  <c r="D3180" i="18"/>
  <c r="E3180" i="18"/>
  <c r="F3180" i="18"/>
  <c r="G3180" i="18"/>
  <c r="H3180" i="18"/>
  <c r="I3180" i="18"/>
  <c r="J3180" i="18"/>
  <c r="K3180" i="18"/>
  <c r="L3180" i="18"/>
  <c r="B3181" i="18"/>
  <c r="C3181" i="18"/>
  <c r="D3181" i="18"/>
  <c r="E3181" i="18"/>
  <c r="F3181" i="18"/>
  <c r="G3181" i="18"/>
  <c r="H3181" i="18"/>
  <c r="I3181" i="18"/>
  <c r="J3181" i="18"/>
  <c r="K3181" i="18"/>
  <c r="L3181" i="18"/>
  <c r="B3182" i="18"/>
  <c r="C3182" i="18"/>
  <c r="D3182" i="18"/>
  <c r="E3182" i="18"/>
  <c r="F3182" i="18"/>
  <c r="G3182" i="18"/>
  <c r="H3182" i="18"/>
  <c r="I3182" i="18"/>
  <c r="J3182" i="18"/>
  <c r="K3182" i="18"/>
  <c r="L3182" i="18"/>
  <c r="B3183" i="18"/>
  <c r="C3183" i="18"/>
  <c r="D3183" i="18"/>
  <c r="E3183" i="18"/>
  <c r="F3183" i="18"/>
  <c r="G3183" i="18"/>
  <c r="H3183" i="18"/>
  <c r="I3183" i="18"/>
  <c r="J3183" i="18"/>
  <c r="K3183" i="18"/>
  <c r="L3183" i="18"/>
  <c r="B3184" i="18"/>
  <c r="C3184" i="18"/>
  <c r="D3184" i="18"/>
  <c r="E3184" i="18"/>
  <c r="F3184" i="18"/>
  <c r="G3184" i="18"/>
  <c r="H3184" i="18"/>
  <c r="I3184" i="18"/>
  <c r="J3184" i="18"/>
  <c r="K3184" i="18"/>
  <c r="L3184" i="18"/>
  <c r="B3185" i="18"/>
  <c r="C3185" i="18"/>
  <c r="D3185" i="18"/>
  <c r="E3185" i="18"/>
  <c r="F3185" i="18"/>
  <c r="G3185" i="18"/>
  <c r="H3185" i="18"/>
  <c r="I3185" i="18"/>
  <c r="J3185" i="18"/>
  <c r="K3185" i="18"/>
  <c r="L3185" i="18"/>
  <c r="B3186" i="18"/>
  <c r="C3186" i="18"/>
  <c r="D3186" i="18"/>
  <c r="E3186" i="18"/>
  <c r="F3186" i="18"/>
  <c r="G3186" i="18"/>
  <c r="H3186" i="18"/>
  <c r="I3186" i="18"/>
  <c r="J3186" i="18"/>
  <c r="K3186" i="18"/>
  <c r="L3186" i="18"/>
  <c r="B3187" i="18"/>
  <c r="C3187" i="18"/>
  <c r="D3187" i="18"/>
  <c r="E3187" i="18"/>
  <c r="F3187" i="18"/>
  <c r="G3187" i="18"/>
  <c r="H3187" i="18"/>
  <c r="I3187" i="18"/>
  <c r="J3187" i="18"/>
  <c r="K3187" i="18"/>
  <c r="L3187" i="18"/>
  <c r="B3188" i="18"/>
  <c r="C3188" i="18"/>
  <c r="D3188" i="18"/>
  <c r="E3188" i="18"/>
  <c r="F3188" i="18"/>
  <c r="G3188" i="18"/>
  <c r="H3188" i="18"/>
  <c r="I3188" i="18"/>
  <c r="J3188" i="18"/>
  <c r="K3188" i="18"/>
  <c r="L3188" i="18"/>
  <c r="B3189" i="18"/>
  <c r="C3189" i="18"/>
  <c r="D3189" i="18"/>
  <c r="E3189" i="18"/>
  <c r="F3189" i="18"/>
  <c r="G3189" i="18"/>
  <c r="H3189" i="18"/>
  <c r="I3189" i="18"/>
  <c r="J3189" i="18"/>
  <c r="K3189" i="18"/>
  <c r="L3189" i="18"/>
  <c r="B3190" i="18"/>
  <c r="C3190" i="18"/>
  <c r="D3190" i="18"/>
  <c r="E3190" i="18"/>
  <c r="F3190" i="18"/>
  <c r="G3190" i="18"/>
  <c r="H3190" i="18"/>
  <c r="I3190" i="18"/>
  <c r="J3190" i="18"/>
  <c r="K3190" i="18"/>
  <c r="L3190" i="18"/>
  <c r="B3191" i="18"/>
  <c r="C3191" i="18"/>
  <c r="D3191" i="18"/>
  <c r="E3191" i="18"/>
  <c r="F3191" i="18"/>
  <c r="G3191" i="18"/>
  <c r="H3191" i="18"/>
  <c r="I3191" i="18"/>
  <c r="J3191" i="18"/>
  <c r="K3191" i="18"/>
  <c r="L3191" i="18"/>
  <c r="B3192" i="18"/>
  <c r="C3192" i="18"/>
  <c r="D3192" i="18"/>
  <c r="E3192" i="18"/>
  <c r="F3192" i="18"/>
  <c r="G3192" i="18"/>
  <c r="H3192" i="18"/>
  <c r="I3192" i="18"/>
  <c r="J3192" i="18"/>
  <c r="K3192" i="18"/>
  <c r="L3192" i="18"/>
  <c r="B3193" i="18"/>
  <c r="C3193" i="18"/>
  <c r="D3193" i="18"/>
  <c r="E3193" i="18"/>
  <c r="F3193" i="18"/>
  <c r="G3193" i="18"/>
  <c r="H3193" i="18"/>
  <c r="I3193" i="18"/>
  <c r="J3193" i="18"/>
  <c r="K3193" i="18"/>
  <c r="L3193" i="18"/>
  <c r="B3194" i="18"/>
  <c r="C3194" i="18"/>
  <c r="D3194" i="18"/>
  <c r="E3194" i="18"/>
  <c r="F3194" i="18"/>
  <c r="G3194" i="18"/>
  <c r="H3194" i="18"/>
  <c r="I3194" i="18"/>
  <c r="J3194" i="18"/>
  <c r="K3194" i="18"/>
  <c r="L3194" i="18"/>
  <c r="B3195" i="18"/>
  <c r="C3195" i="18"/>
  <c r="D3195" i="18"/>
  <c r="E3195" i="18"/>
  <c r="F3195" i="18"/>
  <c r="G3195" i="18"/>
  <c r="H3195" i="18"/>
  <c r="I3195" i="18"/>
  <c r="J3195" i="18"/>
  <c r="K3195" i="18"/>
  <c r="L3195" i="18"/>
  <c r="B3196" i="18"/>
  <c r="C3196" i="18"/>
  <c r="D3196" i="18"/>
  <c r="E3196" i="18"/>
  <c r="F3196" i="18"/>
  <c r="G3196" i="18"/>
  <c r="H3196" i="18"/>
  <c r="I3196" i="18"/>
  <c r="J3196" i="18"/>
  <c r="K3196" i="18"/>
  <c r="L3196" i="18"/>
  <c r="B3197" i="18"/>
  <c r="C3197" i="18"/>
  <c r="D3197" i="18"/>
  <c r="E3197" i="18"/>
  <c r="F3197" i="18"/>
  <c r="G3197" i="18"/>
  <c r="H3197" i="18"/>
  <c r="I3197" i="18"/>
  <c r="J3197" i="18"/>
  <c r="K3197" i="18"/>
  <c r="L3197" i="18"/>
  <c r="B3198" i="18"/>
  <c r="C3198" i="18"/>
  <c r="D3198" i="18"/>
  <c r="E3198" i="18"/>
  <c r="F3198" i="18"/>
  <c r="G3198" i="18"/>
  <c r="H3198" i="18"/>
  <c r="I3198" i="18"/>
  <c r="J3198" i="18"/>
  <c r="K3198" i="18"/>
  <c r="L3198" i="18"/>
  <c r="B3199" i="18"/>
  <c r="C3199" i="18"/>
  <c r="D3199" i="18"/>
  <c r="E3199" i="18"/>
  <c r="F3199" i="18"/>
  <c r="G3199" i="18"/>
  <c r="H3199" i="18"/>
  <c r="I3199" i="18"/>
  <c r="J3199" i="18"/>
  <c r="K3199" i="18"/>
  <c r="L3199" i="18"/>
  <c r="B3200" i="18"/>
  <c r="C3200" i="18"/>
  <c r="D3200" i="18"/>
  <c r="E3200" i="18"/>
  <c r="F3200" i="18"/>
  <c r="G3200" i="18"/>
  <c r="H3200" i="18"/>
  <c r="I3200" i="18"/>
  <c r="J3200" i="18"/>
  <c r="K3200" i="18"/>
  <c r="L3200" i="18"/>
  <c r="B3201" i="18"/>
  <c r="C3201" i="18"/>
  <c r="D3201" i="18"/>
  <c r="E3201" i="18"/>
  <c r="F3201" i="18"/>
  <c r="G3201" i="18"/>
  <c r="H3201" i="18"/>
  <c r="I3201" i="18"/>
  <c r="J3201" i="18"/>
  <c r="K3201" i="18"/>
  <c r="L3201" i="18"/>
  <c r="B3202" i="18"/>
  <c r="C3202" i="18"/>
  <c r="D3202" i="18"/>
  <c r="E3202" i="18"/>
  <c r="F3202" i="18"/>
  <c r="G3202" i="18"/>
  <c r="H3202" i="18"/>
  <c r="I3202" i="18"/>
  <c r="J3202" i="18"/>
  <c r="K3202" i="18"/>
  <c r="L3202" i="18"/>
  <c r="B3203" i="18"/>
  <c r="C3203" i="18"/>
  <c r="D3203" i="18"/>
  <c r="E3203" i="18"/>
  <c r="F3203" i="18"/>
  <c r="G3203" i="18"/>
  <c r="H3203" i="18"/>
  <c r="I3203" i="18"/>
  <c r="J3203" i="18"/>
  <c r="K3203" i="18"/>
  <c r="L3203" i="18"/>
  <c r="B3204" i="18"/>
  <c r="C3204" i="18"/>
  <c r="D3204" i="18"/>
  <c r="E3204" i="18"/>
  <c r="F3204" i="18"/>
  <c r="G3204" i="18"/>
  <c r="H3204" i="18"/>
  <c r="I3204" i="18"/>
  <c r="J3204" i="18"/>
  <c r="K3204" i="18"/>
  <c r="L3204" i="18"/>
  <c r="B3205" i="18"/>
  <c r="C3205" i="18"/>
  <c r="D3205" i="18"/>
  <c r="E3205" i="18"/>
  <c r="F3205" i="18"/>
  <c r="G3205" i="18"/>
  <c r="H3205" i="18"/>
  <c r="I3205" i="18"/>
  <c r="J3205" i="18"/>
  <c r="K3205" i="18"/>
  <c r="L3205" i="18"/>
  <c r="B3206" i="18"/>
  <c r="C3206" i="18"/>
  <c r="D3206" i="18"/>
  <c r="E3206" i="18"/>
  <c r="F3206" i="18"/>
  <c r="G3206" i="18"/>
  <c r="H3206" i="18"/>
  <c r="I3206" i="18"/>
  <c r="J3206" i="18"/>
  <c r="K3206" i="18"/>
  <c r="L3206" i="18"/>
  <c r="B3207" i="18"/>
  <c r="C3207" i="18"/>
  <c r="D3207" i="18"/>
  <c r="E3207" i="18"/>
  <c r="F3207" i="18"/>
  <c r="G3207" i="18"/>
  <c r="H3207" i="18"/>
  <c r="I3207" i="18"/>
  <c r="J3207" i="18"/>
  <c r="K3207" i="18"/>
  <c r="L3207" i="18"/>
  <c r="B3208" i="18"/>
  <c r="C3208" i="18"/>
  <c r="D3208" i="18"/>
  <c r="E3208" i="18"/>
  <c r="F3208" i="18"/>
  <c r="G3208" i="18"/>
  <c r="H3208" i="18"/>
  <c r="I3208" i="18"/>
  <c r="J3208" i="18"/>
  <c r="K3208" i="18"/>
  <c r="L3208" i="18"/>
  <c r="B3209" i="18"/>
  <c r="C3209" i="18"/>
  <c r="D3209" i="18"/>
  <c r="E3209" i="18"/>
  <c r="F3209" i="18"/>
  <c r="G3209" i="18"/>
  <c r="H3209" i="18"/>
  <c r="I3209" i="18"/>
  <c r="J3209" i="18"/>
  <c r="K3209" i="18"/>
  <c r="L3209" i="18"/>
  <c r="B3210" i="18"/>
  <c r="C3210" i="18"/>
  <c r="D3210" i="18"/>
  <c r="E3210" i="18"/>
  <c r="F3210" i="18"/>
  <c r="G3210" i="18"/>
  <c r="H3210" i="18"/>
  <c r="I3210" i="18"/>
  <c r="J3210" i="18"/>
  <c r="K3210" i="18"/>
  <c r="L3210" i="18"/>
  <c r="B3211" i="18"/>
  <c r="C3211" i="18"/>
  <c r="D3211" i="18"/>
  <c r="E3211" i="18"/>
  <c r="F3211" i="18"/>
  <c r="G3211" i="18"/>
  <c r="H3211" i="18"/>
  <c r="I3211" i="18"/>
  <c r="J3211" i="18"/>
  <c r="K3211" i="18"/>
  <c r="L3211" i="18"/>
  <c r="B3212" i="18"/>
  <c r="C3212" i="18"/>
  <c r="D3212" i="18"/>
  <c r="E3212" i="18"/>
  <c r="F3212" i="18"/>
  <c r="G3212" i="18"/>
  <c r="H3212" i="18"/>
  <c r="I3212" i="18"/>
  <c r="J3212" i="18"/>
  <c r="K3212" i="18"/>
  <c r="L3212" i="18"/>
  <c r="B3213" i="18"/>
  <c r="C3213" i="18"/>
  <c r="D3213" i="18"/>
  <c r="E3213" i="18"/>
  <c r="F3213" i="18"/>
  <c r="G3213" i="18"/>
  <c r="H3213" i="18"/>
  <c r="I3213" i="18"/>
  <c r="J3213" i="18"/>
  <c r="K3213" i="18"/>
  <c r="L3213" i="18"/>
  <c r="B3214" i="18"/>
  <c r="C3214" i="18"/>
  <c r="D3214" i="18"/>
  <c r="E3214" i="18"/>
  <c r="F3214" i="18"/>
  <c r="G3214" i="18"/>
  <c r="H3214" i="18"/>
  <c r="I3214" i="18"/>
  <c r="J3214" i="18"/>
  <c r="K3214" i="18"/>
  <c r="L3214" i="18"/>
  <c r="B3215" i="18"/>
  <c r="C3215" i="18"/>
  <c r="D3215" i="18"/>
  <c r="E3215" i="18"/>
  <c r="F3215" i="18"/>
  <c r="G3215" i="18"/>
  <c r="H3215" i="18"/>
  <c r="I3215" i="18"/>
  <c r="J3215" i="18"/>
  <c r="K3215" i="18"/>
  <c r="L3215" i="18"/>
  <c r="B3216" i="18"/>
  <c r="C3216" i="18"/>
  <c r="D3216" i="18"/>
  <c r="E3216" i="18"/>
  <c r="F3216" i="18"/>
  <c r="G3216" i="18"/>
  <c r="H3216" i="18"/>
  <c r="I3216" i="18"/>
  <c r="J3216" i="18"/>
  <c r="K3216" i="18"/>
  <c r="L3216" i="18"/>
  <c r="B3217" i="18"/>
  <c r="C3217" i="18"/>
  <c r="D3217" i="18"/>
  <c r="E3217" i="18"/>
  <c r="F3217" i="18"/>
  <c r="G3217" i="18"/>
  <c r="H3217" i="18"/>
  <c r="I3217" i="18"/>
  <c r="J3217" i="18"/>
  <c r="K3217" i="18"/>
  <c r="L3217" i="18"/>
  <c r="B3218" i="18"/>
  <c r="C3218" i="18"/>
  <c r="D3218" i="18"/>
  <c r="E3218" i="18"/>
  <c r="F3218" i="18"/>
  <c r="G3218" i="18"/>
  <c r="H3218" i="18"/>
  <c r="I3218" i="18"/>
  <c r="J3218" i="18"/>
  <c r="K3218" i="18"/>
  <c r="L3218" i="18"/>
  <c r="B3219" i="18"/>
  <c r="C3219" i="18"/>
  <c r="D3219" i="18"/>
  <c r="E3219" i="18"/>
  <c r="F3219" i="18"/>
  <c r="G3219" i="18"/>
  <c r="H3219" i="18"/>
  <c r="I3219" i="18"/>
  <c r="J3219" i="18"/>
  <c r="K3219" i="18"/>
  <c r="L3219" i="18"/>
  <c r="B3220" i="18"/>
  <c r="C3220" i="18"/>
  <c r="D3220" i="18"/>
  <c r="E3220" i="18"/>
  <c r="F3220" i="18"/>
  <c r="G3220" i="18"/>
  <c r="H3220" i="18"/>
  <c r="I3220" i="18"/>
  <c r="J3220" i="18"/>
  <c r="K3220" i="18"/>
  <c r="L3220" i="18"/>
  <c r="B3221" i="18"/>
  <c r="C3221" i="18"/>
  <c r="D3221" i="18"/>
  <c r="E3221" i="18"/>
  <c r="F3221" i="18"/>
  <c r="G3221" i="18"/>
  <c r="H3221" i="18"/>
  <c r="I3221" i="18"/>
  <c r="J3221" i="18"/>
  <c r="K3221" i="18"/>
  <c r="L3221" i="18"/>
  <c r="B3222" i="18"/>
  <c r="C3222" i="18"/>
  <c r="D3222" i="18"/>
  <c r="E3222" i="18"/>
  <c r="F3222" i="18"/>
  <c r="G3222" i="18"/>
  <c r="H3222" i="18"/>
  <c r="I3222" i="18"/>
  <c r="J3222" i="18"/>
  <c r="K3222" i="18"/>
  <c r="L3222" i="18"/>
  <c r="B3223" i="18"/>
  <c r="C3223" i="18"/>
  <c r="D3223" i="18"/>
  <c r="E3223" i="18"/>
  <c r="F3223" i="18"/>
  <c r="G3223" i="18"/>
  <c r="H3223" i="18"/>
  <c r="I3223" i="18"/>
  <c r="J3223" i="18"/>
  <c r="K3223" i="18"/>
  <c r="L3223" i="18"/>
  <c r="B3224" i="18"/>
  <c r="C3224" i="18"/>
  <c r="D3224" i="18"/>
  <c r="E3224" i="18"/>
  <c r="F3224" i="18"/>
  <c r="G3224" i="18"/>
  <c r="H3224" i="18"/>
  <c r="I3224" i="18"/>
  <c r="J3224" i="18"/>
  <c r="K3224" i="18"/>
  <c r="L3224" i="18"/>
  <c r="B3225" i="18"/>
  <c r="C3225" i="18"/>
  <c r="D3225" i="18"/>
  <c r="E3225" i="18"/>
  <c r="F3225" i="18"/>
  <c r="G3225" i="18"/>
  <c r="H3225" i="18"/>
  <c r="I3225" i="18"/>
  <c r="J3225" i="18"/>
  <c r="K3225" i="18"/>
  <c r="L3225" i="18"/>
  <c r="B3226" i="18"/>
  <c r="C3226" i="18"/>
  <c r="D3226" i="18"/>
  <c r="E3226" i="18"/>
  <c r="F3226" i="18"/>
  <c r="G3226" i="18"/>
  <c r="H3226" i="18"/>
  <c r="I3226" i="18"/>
  <c r="J3226" i="18"/>
  <c r="K3226" i="18"/>
  <c r="L3226" i="18"/>
  <c r="B3227" i="18"/>
  <c r="C3227" i="18"/>
  <c r="D3227" i="18"/>
  <c r="E3227" i="18"/>
  <c r="F3227" i="18"/>
  <c r="G3227" i="18"/>
  <c r="H3227" i="18"/>
  <c r="I3227" i="18"/>
  <c r="J3227" i="18"/>
  <c r="K3227" i="18"/>
  <c r="L3227" i="18"/>
  <c r="B3228" i="18"/>
  <c r="C3228" i="18"/>
  <c r="D3228" i="18"/>
  <c r="E3228" i="18"/>
  <c r="F3228" i="18"/>
  <c r="G3228" i="18"/>
  <c r="H3228" i="18"/>
  <c r="I3228" i="18"/>
  <c r="J3228" i="18"/>
  <c r="K3228" i="18"/>
  <c r="L3228" i="18"/>
  <c r="B3229" i="18"/>
  <c r="C3229" i="18"/>
  <c r="D3229" i="18"/>
  <c r="E3229" i="18"/>
  <c r="F3229" i="18"/>
  <c r="G3229" i="18"/>
  <c r="H3229" i="18"/>
  <c r="I3229" i="18"/>
  <c r="J3229" i="18"/>
  <c r="K3229" i="18"/>
  <c r="L3229" i="18"/>
  <c r="B3230" i="18"/>
  <c r="C3230" i="18"/>
  <c r="D3230" i="18"/>
  <c r="E3230" i="18"/>
  <c r="F3230" i="18"/>
  <c r="G3230" i="18"/>
  <c r="H3230" i="18"/>
  <c r="I3230" i="18"/>
  <c r="J3230" i="18"/>
  <c r="K3230" i="18"/>
  <c r="L3230" i="18"/>
  <c r="B3231" i="18"/>
  <c r="C3231" i="18"/>
  <c r="D3231" i="18"/>
  <c r="E3231" i="18"/>
  <c r="F3231" i="18"/>
  <c r="G3231" i="18"/>
  <c r="H3231" i="18"/>
  <c r="I3231" i="18"/>
  <c r="J3231" i="18"/>
  <c r="K3231" i="18"/>
  <c r="L3231" i="18"/>
  <c r="B3232" i="18"/>
  <c r="C3232" i="18"/>
  <c r="D3232" i="18"/>
  <c r="E3232" i="18"/>
  <c r="F3232" i="18"/>
  <c r="G3232" i="18"/>
  <c r="H3232" i="18"/>
  <c r="I3232" i="18"/>
  <c r="J3232" i="18"/>
  <c r="K3232" i="18"/>
  <c r="L3232" i="18"/>
  <c r="B3233" i="18"/>
  <c r="C3233" i="18"/>
  <c r="D3233" i="18"/>
  <c r="E3233" i="18"/>
  <c r="F3233" i="18"/>
  <c r="G3233" i="18"/>
  <c r="H3233" i="18"/>
  <c r="I3233" i="18"/>
  <c r="J3233" i="18"/>
  <c r="K3233" i="18"/>
  <c r="L3233" i="18"/>
  <c r="B3234" i="18"/>
  <c r="C3234" i="18"/>
  <c r="D3234" i="18"/>
  <c r="E3234" i="18"/>
  <c r="F3234" i="18"/>
  <c r="G3234" i="18"/>
  <c r="H3234" i="18"/>
  <c r="I3234" i="18"/>
  <c r="J3234" i="18"/>
  <c r="K3234" i="18"/>
  <c r="L3234" i="18"/>
  <c r="B3235" i="18"/>
  <c r="C3235" i="18"/>
  <c r="D3235" i="18"/>
  <c r="E3235" i="18"/>
  <c r="F3235" i="18"/>
  <c r="G3235" i="18"/>
  <c r="H3235" i="18"/>
  <c r="I3235" i="18"/>
  <c r="J3235" i="18"/>
  <c r="K3235" i="18"/>
  <c r="L3235" i="18"/>
  <c r="B3236" i="18"/>
  <c r="C3236" i="18"/>
  <c r="D3236" i="18"/>
  <c r="E3236" i="18"/>
  <c r="F3236" i="18"/>
  <c r="G3236" i="18"/>
  <c r="H3236" i="18"/>
  <c r="I3236" i="18"/>
  <c r="J3236" i="18"/>
  <c r="K3236" i="18"/>
  <c r="L3236" i="18"/>
  <c r="B3237" i="18"/>
  <c r="C3237" i="18"/>
  <c r="D3237" i="18"/>
  <c r="E3237" i="18"/>
  <c r="F3237" i="18"/>
  <c r="G3237" i="18"/>
  <c r="H3237" i="18"/>
  <c r="I3237" i="18"/>
  <c r="J3237" i="18"/>
  <c r="K3237" i="18"/>
  <c r="L3237" i="18"/>
  <c r="B3238" i="18"/>
  <c r="C3238" i="18"/>
  <c r="D3238" i="18"/>
  <c r="E3238" i="18"/>
  <c r="F3238" i="18"/>
  <c r="G3238" i="18"/>
  <c r="H3238" i="18"/>
  <c r="I3238" i="18"/>
  <c r="J3238" i="18"/>
  <c r="K3238" i="18"/>
  <c r="L3238" i="18"/>
  <c r="B3239" i="18"/>
  <c r="C3239" i="18"/>
  <c r="D3239" i="18"/>
  <c r="E3239" i="18"/>
  <c r="F3239" i="18"/>
  <c r="G3239" i="18"/>
  <c r="H3239" i="18"/>
  <c r="I3239" i="18"/>
  <c r="J3239" i="18"/>
  <c r="K3239" i="18"/>
  <c r="L3239" i="18"/>
  <c r="B3240" i="18"/>
  <c r="C3240" i="18"/>
  <c r="D3240" i="18"/>
  <c r="E3240" i="18"/>
  <c r="F3240" i="18"/>
  <c r="G3240" i="18"/>
  <c r="H3240" i="18"/>
  <c r="I3240" i="18"/>
  <c r="J3240" i="18"/>
  <c r="K3240" i="18"/>
  <c r="L3240" i="18"/>
  <c r="B3241" i="18"/>
  <c r="C3241" i="18"/>
  <c r="D3241" i="18"/>
  <c r="E3241" i="18"/>
  <c r="F3241" i="18"/>
  <c r="G3241" i="18"/>
  <c r="H3241" i="18"/>
  <c r="I3241" i="18"/>
  <c r="J3241" i="18"/>
  <c r="K3241" i="18"/>
  <c r="L3241" i="18"/>
  <c r="B3242" i="18"/>
  <c r="C3242" i="18"/>
  <c r="D3242" i="18"/>
  <c r="E3242" i="18"/>
  <c r="F3242" i="18"/>
  <c r="G3242" i="18"/>
  <c r="H3242" i="18"/>
  <c r="I3242" i="18"/>
  <c r="J3242" i="18"/>
  <c r="K3242" i="18"/>
  <c r="L3242" i="18"/>
  <c r="B3243" i="18"/>
  <c r="C3243" i="18"/>
  <c r="D3243" i="18"/>
  <c r="E3243" i="18"/>
  <c r="F3243" i="18"/>
  <c r="G3243" i="18"/>
  <c r="H3243" i="18"/>
  <c r="I3243" i="18"/>
  <c r="J3243" i="18"/>
  <c r="K3243" i="18"/>
  <c r="L3243" i="18"/>
  <c r="B3244" i="18"/>
  <c r="C3244" i="18"/>
  <c r="D3244" i="18"/>
  <c r="E3244" i="18"/>
  <c r="F3244" i="18"/>
  <c r="G3244" i="18"/>
  <c r="H3244" i="18"/>
  <c r="I3244" i="18"/>
  <c r="J3244" i="18"/>
  <c r="K3244" i="18"/>
  <c r="L3244" i="18"/>
  <c r="B3245" i="18"/>
  <c r="C3245" i="18"/>
  <c r="D3245" i="18"/>
  <c r="E3245" i="18"/>
  <c r="F3245" i="18"/>
  <c r="G3245" i="18"/>
  <c r="H3245" i="18"/>
  <c r="I3245" i="18"/>
  <c r="J3245" i="18"/>
  <c r="K3245" i="18"/>
  <c r="L3245" i="18"/>
  <c r="B3246" i="18"/>
  <c r="C3246" i="18"/>
  <c r="D3246" i="18"/>
  <c r="E3246" i="18"/>
  <c r="F3246" i="18"/>
  <c r="G3246" i="18"/>
  <c r="H3246" i="18"/>
  <c r="I3246" i="18"/>
  <c r="J3246" i="18"/>
  <c r="K3246" i="18"/>
  <c r="L3246" i="18"/>
  <c r="B3247" i="18"/>
  <c r="C3247" i="18"/>
  <c r="D3247" i="18"/>
  <c r="E3247" i="18"/>
  <c r="F3247" i="18"/>
  <c r="G3247" i="18"/>
  <c r="H3247" i="18"/>
  <c r="I3247" i="18"/>
  <c r="J3247" i="18"/>
  <c r="K3247" i="18"/>
  <c r="L3247" i="18"/>
  <c r="B3248" i="18"/>
  <c r="C3248" i="18"/>
  <c r="D3248" i="18"/>
  <c r="E3248" i="18"/>
  <c r="F3248" i="18"/>
  <c r="G3248" i="18"/>
  <c r="H3248" i="18"/>
  <c r="I3248" i="18"/>
  <c r="J3248" i="18"/>
  <c r="K3248" i="18"/>
  <c r="L3248" i="18"/>
  <c r="B3249" i="18"/>
  <c r="C3249" i="18"/>
  <c r="D3249" i="18"/>
  <c r="E3249" i="18"/>
  <c r="F3249" i="18"/>
  <c r="G3249" i="18"/>
  <c r="H3249" i="18"/>
  <c r="I3249" i="18"/>
  <c r="J3249" i="18"/>
  <c r="K3249" i="18"/>
  <c r="L3249" i="18"/>
  <c r="B3250" i="18"/>
  <c r="C3250" i="18"/>
  <c r="D3250" i="18"/>
  <c r="E3250" i="18"/>
  <c r="F3250" i="18"/>
  <c r="G3250" i="18"/>
  <c r="H3250" i="18"/>
  <c r="I3250" i="18"/>
  <c r="J3250" i="18"/>
  <c r="K3250" i="18"/>
  <c r="L3250" i="18"/>
  <c r="B3251" i="18"/>
  <c r="C3251" i="18"/>
  <c r="D3251" i="18"/>
  <c r="E3251" i="18"/>
  <c r="F3251" i="18"/>
  <c r="G3251" i="18"/>
  <c r="H3251" i="18"/>
  <c r="I3251" i="18"/>
  <c r="J3251" i="18"/>
  <c r="K3251" i="18"/>
  <c r="L3251" i="18"/>
  <c r="B3252" i="18"/>
  <c r="C3252" i="18"/>
  <c r="D3252" i="18"/>
  <c r="E3252" i="18"/>
  <c r="F3252" i="18"/>
  <c r="G3252" i="18"/>
  <c r="H3252" i="18"/>
  <c r="I3252" i="18"/>
  <c r="J3252" i="18"/>
  <c r="K3252" i="18"/>
  <c r="L3252" i="18"/>
  <c r="B3253" i="18"/>
  <c r="C3253" i="18"/>
  <c r="D3253" i="18"/>
  <c r="E3253" i="18"/>
  <c r="F3253" i="18"/>
  <c r="G3253" i="18"/>
  <c r="H3253" i="18"/>
  <c r="I3253" i="18"/>
  <c r="J3253" i="18"/>
  <c r="K3253" i="18"/>
  <c r="L3253" i="18"/>
  <c r="B3254" i="18"/>
  <c r="C3254" i="18"/>
  <c r="D3254" i="18"/>
  <c r="E3254" i="18"/>
  <c r="F3254" i="18"/>
  <c r="G3254" i="18"/>
  <c r="H3254" i="18"/>
  <c r="I3254" i="18"/>
  <c r="J3254" i="18"/>
  <c r="K3254" i="18"/>
  <c r="L3254" i="18"/>
  <c r="B3255" i="18"/>
  <c r="C3255" i="18"/>
  <c r="D3255" i="18"/>
  <c r="E3255" i="18"/>
  <c r="F3255" i="18"/>
  <c r="G3255" i="18"/>
  <c r="H3255" i="18"/>
  <c r="I3255" i="18"/>
  <c r="J3255" i="18"/>
  <c r="K3255" i="18"/>
  <c r="L3255" i="18"/>
  <c r="B3256" i="18"/>
  <c r="C3256" i="18"/>
  <c r="D3256" i="18"/>
  <c r="E3256" i="18"/>
  <c r="F3256" i="18"/>
  <c r="G3256" i="18"/>
  <c r="H3256" i="18"/>
  <c r="I3256" i="18"/>
  <c r="J3256" i="18"/>
  <c r="K3256" i="18"/>
  <c r="L3256" i="18"/>
  <c r="B3257" i="18"/>
  <c r="C3257" i="18"/>
  <c r="D3257" i="18"/>
  <c r="E3257" i="18"/>
  <c r="F3257" i="18"/>
  <c r="G3257" i="18"/>
  <c r="H3257" i="18"/>
  <c r="I3257" i="18"/>
  <c r="J3257" i="18"/>
  <c r="K3257" i="18"/>
  <c r="L3257" i="18"/>
  <c r="B3258" i="18"/>
  <c r="C3258" i="18"/>
  <c r="D3258" i="18"/>
  <c r="E3258" i="18"/>
  <c r="F3258" i="18"/>
  <c r="G3258" i="18"/>
  <c r="H3258" i="18"/>
  <c r="I3258" i="18"/>
  <c r="J3258" i="18"/>
  <c r="K3258" i="18"/>
  <c r="L3258" i="18"/>
  <c r="B3259" i="18"/>
  <c r="C3259" i="18"/>
  <c r="D3259" i="18"/>
  <c r="E3259" i="18"/>
  <c r="F3259" i="18"/>
  <c r="G3259" i="18"/>
  <c r="H3259" i="18"/>
  <c r="I3259" i="18"/>
  <c r="J3259" i="18"/>
  <c r="K3259" i="18"/>
  <c r="L3259" i="18"/>
  <c r="B3260" i="18"/>
  <c r="C3260" i="18"/>
  <c r="D3260" i="18"/>
  <c r="E3260" i="18"/>
  <c r="F3260" i="18"/>
  <c r="G3260" i="18"/>
  <c r="H3260" i="18"/>
  <c r="I3260" i="18"/>
  <c r="J3260" i="18"/>
  <c r="K3260" i="18"/>
  <c r="L3260" i="18"/>
  <c r="B3261" i="18"/>
  <c r="C3261" i="18"/>
  <c r="D3261" i="18"/>
  <c r="E3261" i="18"/>
  <c r="F3261" i="18"/>
  <c r="G3261" i="18"/>
  <c r="H3261" i="18"/>
  <c r="I3261" i="18"/>
  <c r="J3261" i="18"/>
  <c r="K3261" i="18"/>
  <c r="L3261" i="18"/>
  <c r="B3262" i="18"/>
  <c r="C3262" i="18"/>
  <c r="D3262" i="18"/>
  <c r="E3262" i="18"/>
  <c r="F3262" i="18"/>
  <c r="G3262" i="18"/>
  <c r="H3262" i="18"/>
  <c r="I3262" i="18"/>
  <c r="J3262" i="18"/>
  <c r="K3262" i="18"/>
  <c r="L3262" i="18"/>
  <c r="B3263" i="18"/>
  <c r="C3263" i="18"/>
  <c r="D3263" i="18"/>
  <c r="E3263" i="18"/>
  <c r="F3263" i="18"/>
  <c r="G3263" i="18"/>
  <c r="H3263" i="18"/>
  <c r="I3263" i="18"/>
  <c r="J3263" i="18"/>
  <c r="K3263" i="18"/>
  <c r="L3263" i="18"/>
  <c r="B3264" i="18"/>
  <c r="C3264" i="18"/>
  <c r="D3264" i="18"/>
  <c r="E3264" i="18"/>
  <c r="F3264" i="18"/>
  <c r="G3264" i="18"/>
  <c r="H3264" i="18"/>
  <c r="I3264" i="18"/>
  <c r="J3264" i="18"/>
  <c r="K3264" i="18"/>
  <c r="L3264" i="18"/>
  <c r="B3265" i="18"/>
  <c r="C3265" i="18"/>
  <c r="D3265" i="18"/>
  <c r="E3265" i="18"/>
  <c r="F3265" i="18"/>
  <c r="G3265" i="18"/>
  <c r="H3265" i="18"/>
  <c r="I3265" i="18"/>
  <c r="J3265" i="18"/>
  <c r="K3265" i="18"/>
  <c r="L3265" i="18"/>
  <c r="B3266" i="18"/>
  <c r="C3266" i="18"/>
  <c r="D3266" i="18"/>
  <c r="E3266" i="18"/>
  <c r="F3266" i="18"/>
  <c r="G3266" i="18"/>
  <c r="H3266" i="18"/>
  <c r="I3266" i="18"/>
  <c r="J3266" i="18"/>
  <c r="K3266" i="18"/>
  <c r="L3266" i="18"/>
  <c r="B3267" i="18"/>
  <c r="C3267" i="18"/>
  <c r="D3267" i="18"/>
  <c r="E3267" i="18"/>
  <c r="F3267" i="18"/>
  <c r="G3267" i="18"/>
  <c r="H3267" i="18"/>
  <c r="I3267" i="18"/>
  <c r="J3267" i="18"/>
  <c r="K3267" i="18"/>
  <c r="L3267" i="18"/>
  <c r="B3268" i="18"/>
  <c r="C3268" i="18"/>
  <c r="D3268" i="18"/>
  <c r="E3268" i="18"/>
  <c r="F3268" i="18"/>
  <c r="G3268" i="18"/>
  <c r="H3268" i="18"/>
  <c r="I3268" i="18"/>
  <c r="J3268" i="18"/>
  <c r="K3268" i="18"/>
  <c r="L3268" i="18"/>
  <c r="B3269" i="18"/>
  <c r="C3269" i="18"/>
  <c r="D3269" i="18"/>
  <c r="E3269" i="18"/>
  <c r="F3269" i="18"/>
  <c r="G3269" i="18"/>
  <c r="H3269" i="18"/>
  <c r="I3269" i="18"/>
  <c r="J3269" i="18"/>
  <c r="K3269" i="18"/>
  <c r="L3269" i="18"/>
  <c r="B3270" i="18"/>
  <c r="C3270" i="18"/>
  <c r="D3270" i="18"/>
  <c r="E3270" i="18"/>
  <c r="F3270" i="18"/>
  <c r="G3270" i="18"/>
  <c r="H3270" i="18"/>
  <c r="I3270" i="18"/>
  <c r="J3270" i="18"/>
  <c r="K3270" i="18"/>
  <c r="L3270" i="18"/>
  <c r="B3271" i="18"/>
  <c r="C3271" i="18"/>
  <c r="D3271" i="18"/>
  <c r="E3271" i="18"/>
  <c r="F3271" i="18"/>
  <c r="G3271" i="18"/>
  <c r="H3271" i="18"/>
  <c r="I3271" i="18"/>
  <c r="J3271" i="18"/>
  <c r="K3271" i="18"/>
  <c r="L3271" i="18"/>
  <c r="B3272" i="18"/>
  <c r="C3272" i="18"/>
  <c r="D3272" i="18"/>
  <c r="E3272" i="18"/>
  <c r="F3272" i="18"/>
  <c r="G3272" i="18"/>
  <c r="H3272" i="18"/>
  <c r="I3272" i="18"/>
  <c r="J3272" i="18"/>
  <c r="K3272" i="18"/>
  <c r="L3272" i="18"/>
  <c r="B3273" i="18"/>
  <c r="C3273" i="18"/>
  <c r="D3273" i="18"/>
  <c r="E3273" i="18"/>
  <c r="F3273" i="18"/>
  <c r="G3273" i="18"/>
  <c r="H3273" i="18"/>
  <c r="I3273" i="18"/>
  <c r="J3273" i="18"/>
  <c r="K3273" i="18"/>
  <c r="L3273" i="18"/>
  <c r="B3274" i="18"/>
  <c r="C3274" i="18"/>
  <c r="D3274" i="18"/>
  <c r="E3274" i="18"/>
  <c r="F3274" i="18"/>
  <c r="G3274" i="18"/>
  <c r="H3274" i="18"/>
  <c r="I3274" i="18"/>
  <c r="J3274" i="18"/>
  <c r="K3274" i="18"/>
  <c r="L3274" i="18"/>
  <c r="B3275" i="18"/>
  <c r="C3275" i="18"/>
  <c r="D3275" i="18"/>
  <c r="E3275" i="18"/>
  <c r="F3275" i="18"/>
  <c r="G3275" i="18"/>
  <c r="H3275" i="18"/>
  <c r="I3275" i="18"/>
  <c r="J3275" i="18"/>
  <c r="K3275" i="18"/>
  <c r="L3275" i="18"/>
  <c r="B3276" i="18"/>
  <c r="C3276" i="18"/>
  <c r="D3276" i="18"/>
  <c r="E3276" i="18"/>
  <c r="F3276" i="18"/>
  <c r="G3276" i="18"/>
  <c r="H3276" i="18"/>
  <c r="I3276" i="18"/>
  <c r="J3276" i="18"/>
  <c r="K3276" i="18"/>
  <c r="L3276" i="18"/>
  <c r="B3277" i="18"/>
  <c r="C3277" i="18"/>
  <c r="D3277" i="18"/>
  <c r="E3277" i="18"/>
  <c r="F3277" i="18"/>
  <c r="G3277" i="18"/>
  <c r="H3277" i="18"/>
  <c r="I3277" i="18"/>
  <c r="J3277" i="18"/>
  <c r="K3277" i="18"/>
  <c r="L3277" i="18"/>
  <c r="B3278" i="18"/>
  <c r="C3278" i="18"/>
  <c r="D3278" i="18"/>
  <c r="E3278" i="18"/>
  <c r="F3278" i="18"/>
  <c r="G3278" i="18"/>
  <c r="H3278" i="18"/>
  <c r="I3278" i="18"/>
  <c r="J3278" i="18"/>
  <c r="K3278" i="18"/>
  <c r="L3278" i="18"/>
  <c r="B3279" i="18"/>
  <c r="C3279" i="18"/>
  <c r="D3279" i="18"/>
  <c r="E3279" i="18"/>
  <c r="F3279" i="18"/>
  <c r="G3279" i="18"/>
  <c r="H3279" i="18"/>
  <c r="I3279" i="18"/>
  <c r="J3279" i="18"/>
  <c r="K3279" i="18"/>
  <c r="L3279" i="18"/>
  <c r="B3280" i="18"/>
  <c r="C3280" i="18"/>
  <c r="D3280" i="18"/>
  <c r="E3280" i="18"/>
  <c r="F3280" i="18"/>
  <c r="G3280" i="18"/>
  <c r="H3280" i="18"/>
  <c r="I3280" i="18"/>
  <c r="J3280" i="18"/>
  <c r="K3280" i="18"/>
  <c r="L3280" i="18"/>
  <c r="B3281" i="18"/>
  <c r="C3281" i="18"/>
  <c r="D3281" i="18"/>
  <c r="E3281" i="18"/>
  <c r="F3281" i="18"/>
  <c r="G3281" i="18"/>
  <c r="H3281" i="18"/>
  <c r="I3281" i="18"/>
  <c r="J3281" i="18"/>
  <c r="K3281" i="18"/>
  <c r="L3281" i="18"/>
  <c r="B3282" i="18"/>
  <c r="C3282" i="18"/>
  <c r="D3282" i="18"/>
  <c r="E3282" i="18"/>
  <c r="F3282" i="18"/>
  <c r="G3282" i="18"/>
  <c r="H3282" i="18"/>
  <c r="I3282" i="18"/>
  <c r="J3282" i="18"/>
  <c r="K3282" i="18"/>
  <c r="L3282" i="18"/>
  <c r="B3283" i="18"/>
  <c r="C3283" i="18"/>
  <c r="D3283" i="18"/>
  <c r="E3283" i="18"/>
  <c r="F3283" i="18"/>
  <c r="G3283" i="18"/>
  <c r="H3283" i="18"/>
  <c r="I3283" i="18"/>
  <c r="J3283" i="18"/>
  <c r="K3283" i="18"/>
  <c r="L3283" i="18"/>
  <c r="B3284" i="18"/>
  <c r="C3284" i="18"/>
  <c r="D3284" i="18"/>
  <c r="E3284" i="18"/>
  <c r="F3284" i="18"/>
  <c r="G3284" i="18"/>
  <c r="H3284" i="18"/>
  <c r="I3284" i="18"/>
  <c r="J3284" i="18"/>
  <c r="K3284" i="18"/>
  <c r="L3284" i="18"/>
  <c r="B3285" i="18"/>
  <c r="C3285" i="18"/>
  <c r="D3285" i="18"/>
  <c r="E3285" i="18"/>
  <c r="F3285" i="18"/>
  <c r="G3285" i="18"/>
  <c r="H3285" i="18"/>
  <c r="I3285" i="18"/>
  <c r="J3285" i="18"/>
  <c r="K3285" i="18"/>
  <c r="L3285" i="18"/>
  <c r="B3286" i="18"/>
  <c r="C3286" i="18"/>
  <c r="D3286" i="18"/>
  <c r="E3286" i="18"/>
  <c r="F3286" i="18"/>
  <c r="G3286" i="18"/>
  <c r="H3286" i="18"/>
  <c r="I3286" i="18"/>
  <c r="J3286" i="18"/>
  <c r="K3286" i="18"/>
  <c r="L3286" i="18"/>
  <c r="B3287" i="18"/>
  <c r="C3287" i="18"/>
  <c r="D3287" i="18"/>
  <c r="E3287" i="18"/>
  <c r="F3287" i="18"/>
  <c r="G3287" i="18"/>
  <c r="H3287" i="18"/>
  <c r="I3287" i="18"/>
  <c r="J3287" i="18"/>
  <c r="K3287" i="18"/>
  <c r="L3287" i="18"/>
  <c r="B3288" i="18"/>
  <c r="C3288" i="18"/>
  <c r="D3288" i="18"/>
  <c r="E3288" i="18"/>
  <c r="F3288" i="18"/>
  <c r="G3288" i="18"/>
  <c r="H3288" i="18"/>
  <c r="I3288" i="18"/>
  <c r="J3288" i="18"/>
  <c r="K3288" i="18"/>
  <c r="L3288" i="18"/>
  <c r="B3289" i="18"/>
  <c r="C3289" i="18"/>
  <c r="D3289" i="18"/>
  <c r="E3289" i="18"/>
  <c r="F3289" i="18"/>
  <c r="G3289" i="18"/>
  <c r="H3289" i="18"/>
  <c r="I3289" i="18"/>
  <c r="J3289" i="18"/>
  <c r="K3289" i="18"/>
  <c r="L3289" i="18"/>
  <c r="B3290" i="18"/>
  <c r="C3290" i="18"/>
  <c r="D3290" i="18"/>
  <c r="E3290" i="18"/>
  <c r="F3290" i="18"/>
  <c r="G3290" i="18"/>
  <c r="H3290" i="18"/>
  <c r="I3290" i="18"/>
  <c r="J3290" i="18"/>
  <c r="K3290" i="18"/>
  <c r="L3290" i="18"/>
  <c r="B3291" i="18"/>
  <c r="C3291" i="18"/>
  <c r="D3291" i="18"/>
  <c r="E3291" i="18"/>
  <c r="F3291" i="18"/>
  <c r="G3291" i="18"/>
  <c r="H3291" i="18"/>
  <c r="I3291" i="18"/>
  <c r="J3291" i="18"/>
  <c r="K3291" i="18"/>
  <c r="L3291" i="18"/>
  <c r="B3292" i="18"/>
  <c r="C3292" i="18"/>
  <c r="D3292" i="18"/>
  <c r="E3292" i="18"/>
  <c r="F3292" i="18"/>
  <c r="G3292" i="18"/>
  <c r="H3292" i="18"/>
  <c r="I3292" i="18"/>
  <c r="J3292" i="18"/>
  <c r="K3292" i="18"/>
  <c r="L3292" i="18"/>
  <c r="B3293" i="18"/>
  <c r="C3293" i="18"/>
  <c r="D3293" i="18"/>
  <c r="E3293" i="18"/>
  <c r="F3293" i="18"/>
  <c r="G3293" i="18"/>
  <c r="H3293" i="18"/>
  <c r="I3293" i="18"/>
  <c r="J3293" i="18"/>
  <c r="K3293" i="18"/>
  <c r="L3293" i="18"/>
  <c r="B3294" i="18"/>
  <c r="C3294" i="18"/>
  <c r="D3294" i="18"/>
  <c r="E3294" i="18"/>
  <c r="F3294" i="18"/>
  <c r="G3294" i="18"/>
  <c r="H3294" i="18"/>
  <c r="I3294" i="18"/>
  <c r="J3294" i="18"/>
  <c r="K3294" i="18"/>
  <c r="L3294" i="18"/>
  <c r="B3295" i="18"/>
  <c r="C3295" i="18"/>
  <c r="D3295" i="18"/>
  <c r="E3295" i="18"/>
  <c r="F3295" i="18"/>
  <c r="G3295" i="18"/>
  <c r="H3295" i="18"/>
  <c r="I3295" i="18"/>
  <c r="J3295" i="18"/>
  <c r="K3295" i="18"/>
  <c r="L3295" i="18"/>
  <c r="B3296" i="18"/>
  <c r="C3296" i="18"/>
  <c r="D3296" i="18"/>
  <c r="E3296" i="18"/>
  <c r="F3296" i="18"/>
  <c r="G3296" i="18"/>
  <c r="H3296" i="18"/>
  <c r="I3296" i="18"/>
  <c r="J3296" i="18"/>
  <c r="K3296" i="18"/>
  <c r="L3296" i="18"/>
  <c r="B3297" i="18"/>
  <c r="C3297" i="18"/>
  <c r="D3297" i="18"/>
  <c r="E3297" i="18"/>
  <c r="F3297" i="18"/>
  <c r="G3297" i="18"/>
  <c r="H3297" i="18"/>
  <c r="I3297" i="18"/>
  <c r="J3297" i="18"/>
  <c r="K3297" i="18"/>
  <c r="L3297" i="18"/>
  <c r="B3298" i="18"/>
  <c r="C3298" i="18"/>
  <c r="D3298" i="18"/>
  <c r="E3298" i="18"/>
  <c r="F3298" i="18"/>
  <c r="G3298" i="18"/>
  <c r="H3298" i="18"/>
  <c r="I3298" i="18"/>
  <c r="J3298" i="18"/>
  <c r="K3298" i="18"/>
  <c r="L3298" i="18"/>
  <c r="B3299" i="18"/>
  <c r="C3299" i="18"/>
  <c r="D3299" i="18"/>
  <c r="E3299" i="18"/>
  <c r="F3299" i="18"/>
  <c r="G3299" i="18"/>
  <c r="H3299" i="18"/>
  <c r="I3299" i="18"/>
  <c r="J3299" i="18"/>
  <c r="K3299" i="18"/>
  <c r="L3299" i="18"/>
  <c r="B3300" i="18"/>
  <c r="C3300" i="18"/>
  <c r="D3300" i="18"/>
  <c r="E3300" i="18"/>
  <c r="F3300" i="18"/>
  <c r="G3300" i="18"/>
  <c r="H3300" i="18"/>
  <c r="I3300" i="18"/>
  <c r="J3300" i="18"/>
  <c r="K3300" i="18"/>
  <c r="L3300" i="18"/>
  <c r="B3301" i="18"/>
  <c r="C3301" i="18"/>
  <c r="D3301" i="18"/>
  <c r="E3301" i="18"/>
  <c r="F3301" i="18"/>
  <c r="G3301" i="18"/>
  <c r="H3301" i="18"/>
  <c r="I3301" i="18"/>
  <c r="J3301" i="18"/>
  <c r="K3301" i="18"/>
  <c r="L3301" i="18"/>
  <c r="B3302" i="18"/>
  <c r="C3302" i="18"/>
  <c r="D3302" i="18"/>
  <c r="E3302" i="18"/>
  <c r="F3302" i="18"/>
  <c r="G3302" i="18"/>
  <c r="H3302" i="18"/>
  <c r="I3302" i="18"/>
  <c r="J3302" i="18"/>
  <c r="K3302" i="18"/>
  <c r="L3302" i="18"/>
  <c r="B3303" i="18"/>
  <c r="C3303" i="18"/>
  <c r="D3303" i="18"/>
  <c r="E3303" i="18"/>
  <c r="F3303" i="18"/>
  <c r="G3303" i="18"/>
  <c r="H3303" i="18"/>
  <c r="I3303" i="18"/>
  <c r="J3303" i="18"/>
  <c r="K3303" i="18"/>
  <c r="L3303" i="18"/>
  <c r="B3304" i="18"/>
  <c r="C3304" i="18"/>
  <c r="D3304" i="18"/>
  <c r="E3304" i="18"/>
  <c r="F3304" i="18"/>
  <c r="G3304" i="18"/>
  <c r="H3304" i="18"/>
  <c r="I3304" i="18"/>
  <c r="J3304" i="18"/>
  <c r="K3304" i="18"/>
  <c r="L3304" i="18"/>
  <c r="B3305" i="18"/>
  <c r="C3305" i="18"/>
  <c r="D3305" i="18"/>
  <c r="E3305" i="18"/>
  <c r="F3305" i="18"/>
  <c r="G3305" i="18"/>
  <c r="H3305" i="18"/>
  <c r="I3305" i="18"/>
  <c r="J3305" i="18"/>
  <c r="K3305" i="18"/>
  <c r="L3305" i="18"/>
  <c r="B3306" i="18"/>
  <c r="C3306" i="18"/>
  <c r="D3306" i="18"/>
  <c r="E3306" i="18"/>
  <c r="F3306" i="18"/>
  <c r="G3306" i="18"/>
  <c r="H3306" i="18"/>
  <c r="I3306" i="18"/>
  <c r="J3306" i="18"/>
  <c r="K3306" i="18"/>
  <c r="L3306" i="18"/>
  <c r="B3307" i="18"/>
  <c r="C3307" i="18"/>
  <c r="D3307" i="18"/>
  <c r="E3307" i="18"/>
  <c r="F3307" i="18"/>
  <c r="G3307" i="18"/>
  <c r="H3307" i="18"/>
  <c r="I3307" i="18"/>
  <c r="J3307" i="18"/>
  <c r="K3307" i="18"/>
  <c r="L3307" i="18"/>
  <c r="B3308" i="18"/>
  <c r="C3308" i="18"/>
  <c r="D3308" i="18"/>
  <c r="E3308" i="18"/>
  <c r="F3308" i="18"/>
  <c r="G3308" i="18"/>
  <c r="H3308" i="18"/>
  <c r="I3308" i="18"/>
  <c r="J3308" i="18"/>
  <c r="K3308" i="18"/>
  <c r="L3308" i="18"/>
  <c r="B3309" i="18"/>
  <c r="C3309" i="18"/>
  <c r="D3309" i="18"/>
  <c r="E3309" i="18"/>
  <c r="F3309" i="18"/>
  <c r="G3309" i="18"/>
  <c r="H3309" i="18"/>
  <c r="I3309" i="18"/>
  <c r="J3309" i="18"/>
  <c r="K3309" i="18"/>
  <c r="L3309" i="18"/>
  <c r="B3310" i="18"/>
  <c r="C3310" i="18"/>
  <c r="D3310" i="18"/>
  <c r="E3310" i="18"/>
  <c r="F3310" i="18"/>
  <c r="G3310" i="18"/>
  <c r="H3310" i="18"/>
  <c r="I3310" i="18"/>
  <c r="J3310" i="18"/>
  <c r="K3310" i="18"/>
  <c r="L3310" i="18"/>
  <c r="B3311" i="18"/>
  <c r="C3311" i="18"/>
  <c r="D3311" i="18"/>
  <c r="E3311" i="18"/>
  <c r="F3311" i="18"/>
  <c r="G3311" i="18"/>
  <c r="H3311" i="18"/>
  <c r="I3311" i="18"/>
  <c r="J3311" i="18"/>
  <c r="K3311" i="18"/>
  <c r="L3311" i="18"/>
  <c r="B3312" i="18"/>
  <c r="C3312" i="18"/>
  <c r="D3312" i="18"/>
  <c r="E3312" i="18"/>
  <c r="F3312" i="18"/>
  <c r="G3312" i="18"/>
  <c r="H3312" i="18"/>
  <c r="I3312" i="18"/>
  <c r="J3312" i="18"/>
  <c r="K3312" i="18"/>
  <c r="L3312" i="18"/>
  <c r="B3313" i="18"/>
  <c r="C3313" i="18"/>
  <c r="D3313" i="18"/>
  <c r="E3313" i="18"/>
  <c r="F3313" i="18"/>
  <c r="G3313" i="18"/>
  <c r="H3313" i="18"/>
  <c r="I3313" i="18"/>
  <c r="J3313" i="18"/>
  <c r="K3313" i="18"/>
  <c r="L3313" i="18"/>
  <c r="B3314" i="18"/>
  <c r="C3314" i="18"/>
  <c r="D3314" i="18"/>
  <c r="E3314" i="18"/>
  <c r="F3314" i="18"/>
  <c r="G3314" i="18"/>
  <c r="H3314" i="18"/>
  <c r="I3314" i="18"/>
  <c r="J3314" i="18"/>
  <c r="K3314" i="18"/>
  <c r="L3314" i="18"/>
  <c r="B3315" i="18"/>
  <c r="C3315" i="18"/>
  <c r="D3315" i="18"/>
  <c r="E3315" i="18"/>
  <c r="F3315" i="18"/>
  <c r="G3315" i="18"/>
  <c r="H3315" i="18"/>
  <c r="I3315" i="18"/>
  <c r="J3315" i="18"/>
  <c r="K3315" i="18"/>
  <c r="L3315" i="18"/>
  <c r="B3316" i="18"/>
  <c r="C3316" i="18"/>
  <c r="D3316" i="18"/>
  <c r="E3316" i="18"/>
  <c r="F3316" i="18"/>
  <c r="G3316" i="18"/>
  <c r="H3316" i="18"/>
  <c r="I3316" i="18"/>
  <c r="J3316" i="18"/>
  <c r="K3316" i="18"/>
  <c r="L3316" i="18"/>
  <c r="B3317" i="18"/>
  <c r="C3317" i="18"/>
  <c r="D3317" i="18"/>
  <c r="E3317" i="18"/>
  <c r="F3317" i="18"/>
  <c r="G3317" i="18"/>
  <c r="H3317" i="18"/>
  <c r="I3317" i="18"/>
  <c r="J3317" i="18"/>
  <c r="K3317" i="18"/>
  <c r="L3317" i="18"/>
  <c r="B3318" i="18"/>
  <c r="C3318" i="18"/>
  <c r="D3318" i="18"/>
  <c r="E3318" i="18"/>
  <c r="F3318" i="18"/>
  <c r="G3318" i="18"/>
  <c r="H3318" i="18"/>
  <c r="I3318" i="18"/>
  <c r="J3318" i="18"/>
  <c r="K3318" i="18"/>
  <c r="L3318" i="18"/>
  <c r="B3319" i="18"/>
  <c r="C3319" i="18"/>
  <c r="D3319" i="18"/>
  <c r="E3319" i="18"/>
  <c r="F3319" i="18"/>
  <c r="G3319" i="18"/>
  <c r="H3319" i="18"/>
  <c r="I3319" i="18"/>
  <c r="J3319" i="18"/>
  <c r="K3319" i="18"/>
  <c r="L3319" i="18"/>
  <c r="B3320" i="18"/>
  <c r="C3320" i="18"/>
  <c r="D3320" i="18"/>
  <c r="E3320" i="18"/>
  <c r="F3320" i="18"/>
  <c r="G3320" i="18"/>
  <c r="H3320" i="18"/>
  <c r="I3320" i="18"/>
  <c r="J3320" i="18"/>
  <c r="K3320" i="18"/>
  <c r="L3320" i="18"/>
  <c r="B3321" i="18"/>
  <c r="C3321" i="18"/>
  <c r="D3321" i="18"/>
  <c r="E3321" i="18"/>
  <c r="F3321" i="18"/>
  <c r="G3321" i="18"/>
  <c r="H3321" i="18"/>
  <c r="I3321" i="18"/>
  <c r="J3321" i="18"/>
  <c r="K3321" i="18"/>
  <c r="L3321" i="18"/>
  <c r="B3322" i="18"/>
  <c r="C3322" i="18"/>
  <c r="D3322" i="18"/>
  <c r="E3322" i="18"/>
  <c r="F3322" i="18"/>
  <c r="G3322" i="18"/>
  <c r="H3322" i="18"/>
  <c r="I3322" i="18"/>
  <c r="J3322" i="18"/>
  <c r="K3322" i="18"/>
  <c r="L3322" i="18"/>
  <c r="B3323" i="18"/>
  <c r="C3323" i="18"/>
  <c r="D3323" i="18"/>
  <c r="E3323" i="18"/>
  <c r="F3323" i="18"/>
  <c r="G3323" i="18"/>
  <c r="H3323" i="18"/>
  <c r="I3323" i="18"/>
  <c r="J3323" i="18"/>
  <c r="K3323" i="18"/>
  <c r="L3323" i="18"/>
  <c r="B3324" i="18"/>
  <c r="C3324" i="18"/>
  <c r="D3324" i="18"/>
  <c r="E3324" i="18"/>
  <c r="F3324" i="18"/>
  <c r="G3324" i="18"/>
  <c r="H3324" i="18"/>
  <c r="I3324" i="18"/>
  <c r="J3324" i="18"/>
  <c r="K3324" i="18"/>
  <c r="L3324" i="18"/>
  <c r="B3325" i="18"/>
  <c r="C3325" i="18"/>
  <c r="D3325" i="18"/>
  <c r="E3325" i="18"/>
  <c r="F3325" i="18"/>
  <c r="G3325" i="18"/>
  <c r="H3325" i="18"/>
  <c r="I3325" i="18"/>
  <c r="J3325" i="18"/>
  <c r="K3325" i="18"/>
  <c r="L3325" i="18"/>
  <c r="B3326" i="18"/>
  <c r="C3326" i="18"/>
  <c r="D3326" i="18"/>
  <c r="E3326" i="18"/>
  <c r="F3326" i="18"/>
  <c r="G3326" i="18"/>
  <c r="H3326" i="18"/>
  <c r="I3326" i="18"/>
  <c r="J3326" i="18"/>
  <c r="K3326" i="18"/>
  <c r="L3326" i="18"/>
  <c r="B3327" i="18"/>
  <c r="C3327" i="18"/>
  <c r="D3327" i="18"/>
  <c r="E3327" i="18"/>
  <c r="F3327" i="18"/>
  <c r="G3327" i="18"/>
  <c r="H3327" i="18"/>
  <c r="I3327" i="18"/>
  <c r="J3327" i="18"/>
  <c r="K3327" i="18"/>
  <c r="L3327" i="18"/>
  <c r="B3328" i="18"/>
  <c r="C3328" i="18"/>
  <c r="D3328" i="18"/>
  <c r="E3328" i="18"/>
  <c r="F3328" i="18"/>
  <c r="G3328" i="18"/>
  <c r="H3328" i="18"/>
  <c r="I3328" i="18"/>
  <c r="J3328" i="18"/>
  <c r="K3328" i="18"/>
  <c r="L3328" i="18"/>
  <c r="B3329" i="18"/>
  <c r="C3329" i="18"/>
  <c r="D3329" i="18"/>
  <c r="E3329" i="18"/>
  <c r="F3329" i="18"/>
  <c r="G3329" i="18"/>
  <c r="H3329" i="18"/>
  <c r="I3329" i="18"/>
  <c r="J3329" i="18"/>
  <c r="K3329" i="18"/>
  <c r="L3329" i="18"/>
  <c r="B3330" i="18"/>
  <c r="C3330" i="18"/>
  <c r="D3330" i="18"/>
  <c r="E3330" i="18"/>
  <c r="F3330" i="18"/>
  <c r="G3330" i="18"/>
  <c r="H3330" i="18"/>
  <c r="I3330" i="18"/>
  <c r="J3330" i="18"/>
  <c r="K3330" i="18"/>
  <c r="L3330" i="18"/>
  <c r="B3331" i="18"/>
  <c r="C3331" i="18"/>
  <c r="D3331" i="18"/>
  <c r="E3331" i="18"/>
  <c r="F3331" i="18"/>
  <c r="G3331" i="18"/>
  <c r="H3331" i="18"/>
  <c r="I3331" i="18"/>
  <c r="J3331" i="18"/>
  <c r="K3331" i="18"/>
  <c r="L3331" i="18"/>
  <c r="B3332" i="18"/>
  <c r="C3332" i="18"/>
  <c r="D3332" i="18"/>
  <c r="E3332" i="18"/>
  <c r="F3332" i="18"/>
  <c r="G3332" i="18"/>
  <c r="H3332" i="18"/>
  <c r="I3332" i="18"/>
  <c r="J3332" i="18"/>
  <c r="K3332" i="18"/>
  <c r="L3332" i="18"/>
  <c r="B3333" i="18"/>
  <c r="C3333" i="18"/>
  <c r="D3333" i="18"/>
  <c r="E3333" i="18"/>
  <c r="F3333" i="18"/>
  <c r="G3333" i="18"/>
  <c r="H3333" i="18"/>
  <c r="I3333" i="18"/>
  <c r="J3333" i="18"/>
  <c r="K3333" i="18"/>
  <c r="L3333" i="18"/>
  <c r="B3334" i="18"/>
  <c r="C3334" i="18"/>
  <c r="D3334" i="18"/>
  <c r="E3334" i="18"/>
  <c r="F3334" i="18"/>
  <c r="G3334" i="18"/>
  <c r="H3334" i="18"/>
  <c r="I3334" i="18"/>
  <c r="J3334" i="18"/>
  <c r="K3334" i="18"/>
  <c r="L3334" i="18"/>
  <c r="B3335" i="18"/>
  <c r="C3335" i="18"/>
  <c r="D3335" i="18"/>
  <c r="E3335" i="18"/>
  <c r="F3335" i="18"/>
  <c r="G3335" i="18"/>
  <c r="H3335" i="18"/>
  <c r="I3335" i="18"/>
  <c r="J3335" i="18"/>
  <c r="K3335" i="18"/>
  <c r="L3335" i="18"/>
  <c r="B3336" i="18"/>
  <c r="C3336" i="18"/>
  <c r="D3336" i="18"/>
  <c r="E3336" i="18"/>
  <c r="F3336" i="18"/>
  <c r="G3336" i="18"/>
  <c r="H3336" i="18"/>
  <c r="I3336" i="18"/>
  <c r="J3336" i="18"/>
  <c r="K3336" i="18"/>
  <c r="L3336" i="18"/>
  <c r="B3337" i="18"/>
  <c r="C3337" i="18"/>
  <c r="D3337" i="18"/>
  <c r="E3337" i="18"/>
  <c r="F3337" i="18"/>
  <c r="G3337" i="18"/>
  <c r="H3337" i="18"/>
  <c r="I3337" i="18"/>
  <c r="J3337" i="18"/>
  <c r="K3337" i="18"/>
  <c r="L3337" i="18"/>
  <c r="B3338" i="18"/>
  <c r="C3338" i="18"/>
  <c r="D3338" i="18"/>
  <c r="E3338" i="18"/>
  <c r="F3338" i="18"/>
  <c r="G3338" i="18"/>
  <c r="H3338" i="18"/>
  <c r="I3338" i="18"/>
  <c r="J3338" i="18"/>
  <c r="K3338" i="18"/>
  <c r="L3338" i="18"/>
  <c r="B3339" i="18"/>
  <c r="C3339" i="18"/>
  <c r="D3339" i="18"/>
  <c r="E3339" i="18"/>
  <c r="F3339" i="18"/>
  <c r="G3339" i="18"/>
  <c r="H3339" i="18"/>
  <c r="I3339" i="18"/>
  <c r="J3339" i="18"/>
  <c r="K3339" i="18"/>
  <c r="L3339" i="18"/>
  <c r="B3340" i="18"/>
  <c r="C3340" i="18"/>
  <c r="D3340" i="18"/>
  <c r="E3340" i="18"/>
  <c r="F3340" i="18"/>
  <c r="G3340" i="18"/>
  <c r="H3340" i="18"/>
  <c r="I3340" i="18"/>
  <c r="J3340" i="18"/>
  <c r="K3340" i="18"/>
  <c r="L3340" i="18"/>
  <c r="B3341" i="18"/>
  <c r="C3341" i="18"/>
  <c r="D3341" i="18"/>
  <c r="E3341" i="18"/>
  <c r="F3341" i="18"/>
  <c r="G3341" i="18"/>
  <c r="H3341" i="18"/>
  <c r="I3341" i="18"/>
  <c r="J3341" i="18"/>
  <c r="K3341" i="18"/>
  <c r="L3341" i="18"/>
  <c r="B3342" i="18"/>
  <c r="C3342" i="18"/>
  <c r="D3342" i="18"/>
  <c r="E3342" i="18"/>
  <c r="F3342" i="18"/>
  <c r="G3342" i="18"/>
  <c r="H3342" i="18"/>
  <c r="I3342" i="18"/>
  <c r="J3342" i="18"/>
  <c r="K3342" i="18"/>
  <c r="L3342" i="18"/>
  <c r="B3343" i="18"/>
  <c r="C3343" i="18"/>
  <c r="D3343" i="18"/>
  <c r="E3343" i="18"/>
  <c r="F3343" i="18"/>
  <c r="G3343" i="18"/>
  <c r="H3343" i="18"/>
  <c r="I3343" i="18"/>
  <c r="J3343" i="18"/>
  <c r="K3343" i="18"/>
  <c r="L3343" i="18"/>
  <c r="B3344" i="18"/>
  <c r="C3344" i="18"/>
  <c r="D3344" i="18"/>
  <c r="E3344" i="18"/>
  <c r="F3344" i="18"/>
  <c r="G3344" i="18"/>
  <c r="H3344" i="18"/>
  <c r="I3344" i="18"/>
  <c r="J3344" i="18"/>
  <c r="K3344" i="18"/>
  <c r="L3344" i="18"/>
  <c r="B3345" i="18"/>
  <c r="C3345" i="18"/>
  <c r="D3345" i="18"/>
  <c r="E3345" i="18"/>
  <c r="F3345" i="18"/>
  <c r="G3345" i="18"/>
  <c r="H3345" i="18"/>
  <c r="I3345" i="18"/>
  <c r="J3345" i="18"/>
  <c r="K3345" i="18"/>
  <c r="L3345" i="18"/>
  <c r="B3346" i="18"/>
  <c r="C3346" i="18"/>
  <c r="D3346" i="18"/>
  <c r="E3346" i="18"/>
  <c r="F3346" i="18"/>
  <c r="G3346" i="18"/>
  <c r="H3346" i="18"/>
  <c r="I3346" i="18"/>
  <c r="J3346" i="18"/>
  <c r="K3346" i="18"/>
  <c r="L3346" i="18"/>
  <c r="B3347" i="18"/>
  <c r="C3347" i="18"/>
  <c r="D3347" i="18"/>
  <c r="E3347" i="18"/>
  <c r="F3347" i="18"/>
  <c r="G3347" i="18"/>
  <c r="H3347" i="18"/>
  <c r="I3347" i="18"/>
  <c r="J3347" i="18"/>
  <c r="K3347" i="18"/>
  <c r="L3347" i="18"/>
  <c r="B3348" i="18"/>
  <c r="C3348" i="18"/>
  <c r="D3348" i="18"/>
  <c r="E3348" i="18"/>
  <c r="F3348" i="18"/>
  <c r="G3348" i="18"/>
  <c r="H3348" i="18"/>
  <c r="I3348" i="18"/>
  <c r="J3348" i="18"/>
  <c r="K3348" i="18"/>
  <c r="L3348" i="18"/>
  <c r="B3349" i="18"/>
  <c r="C3349" i="18"/>
  <c r="D3349" i="18"/>
  <c r="E3349" i="18"/>
  <c r="F3349" i="18"/>
  <c r="G3349" i="18"/>
  <c r="H3349" i="18"/>
  <c r="I3349" i="18"/>
  <c r="J3349" i="18"/>
  <c r="K3349" i="18"/>
  <c r="L3349" i="18"/>
  <c r="B3350" i="18"/>
  <c r="C3350" i="18"/>
  <c r="D3350" i="18"/>
  <c r="E3350" i="18"/>
  <c r="F3350" i="18"/>
  <c r="G3350" i="18"/>
  <c r="H3350" i="18"/>
  <c r="I3350" i="18"/>
  <c r="J3350" i="18"/>
  <c r="K3350" i="18"/>
  <c r="L3350" i="18"/>
  <c r="B3351" i="18"/>
  <c r="C3351" i="18"/>
  <c r="D3351" i="18"/>
  <c r="E3351" i="18"/>
  <c r="F3351" i="18"/>
  <c r="G3351" i="18"/>
  <c r="H3351" i="18"/>
  <c r="I3351" i="18"/>
  <c r="J3351" i="18"/>
  <c r="K3351" i="18"/>
  <c r="L3351" i="18"/>
  <c r="B3352" i="18"/>
  <c r="C3352" i="18"/>
  <c r="D3352" i="18"/>
  <c r="E3352" i="18"/>
  <c r="F3352" i="18"/>
  <c r="G3352" i="18"/>
  <c r="H3352" i="18"/>
  <c r="I3352" i="18"/>
  <c r="J3352" i="18"/>
  <c r="K3352" i="18"/>
  <c r="L3352" i="18"/>
  <c r="B3353" i="18"/>
  <c r="C3353" i="18"/>
  <c r="D3353" i="18"/>
  <c r="E3353" i="18"/>
  <c r="F3353" i="18"/>
  <c r="G3353" i="18"/>
  <c r="H3353" i="18"/>
  <c r="I3353" i="18"/>
  <c r="J3353" i="18"/>
  <c r="K3353" i="18"/>
  <c r="L3353" i="18"/>
  <c r="B3354" i="18"/>
  <c r="C3354" i="18"/>
  <c r="D3354" i="18"/>
  <c r="E3354" i="18"/>
  <c r="F3354" i="18"/>
  <c r="G3354" i="18"/>
  <c r="H3354" i="18"/>
  <c r="I3354" i="18"/>
  <c r="J3354" i="18"/>
  <c r="K3354" i="18"/>
  <c r="L3354" i="18"/>
  <c r="B3355" i="18"/>
  <c r="C3355" i="18"/>
  <c r="D3355" i="18"/>
  <c r="E3355" i="18"/>
  <c r="F3355" i="18"/>
  <c r="G3355" i="18"/>
  <c r="H3355" i="18"/>
  <c r="I3355" i="18"/>
  <c r="J3355" i="18"/>
  <c r="K3355" i="18"/>
  <c r="L3355" i="18"/>
  <c r="B3356" i="18"/>
  <c r="C3356" i="18"/>
  <c r="D3356" i="18"/>
  <c r="E3356" i="18"/>
  <c r="F3356" i="18"/>
  <c r="G3356" i="18"/>
  <c r="H3356" i="18"/>
  <c r="I3356" i="18"/>
  <c r="J3356" i="18"/>
  <c r="K3356" i="18"/>
  <c r="L3356" i="18"/>
  <c r="B3357" i="18"/>
  <c r="C3357" i="18"/>
  <c r="D3357" i="18"/>
  <c r="E3357" i="18"/>
  <c r="F3357" i="18"/>
  <c r="G3357" i="18"/>
  <c r="H3357" i="18"/>
  <c r="I3357" i="18"/>
  <c r="J3357" i="18"/>
  <c r="K3357" i="18"/>
  <c r="L3357" i="18"/>
  <c r="B3358" i="18"/>
  <c r="C3358" i="18"/>
  <c r="D3358" i="18"/>
  <c r="E3358" i="18"/>
  <c r="F3358" i="18"/>
  <c r="G3358" i="18"/>
  <c r="H3358" i="18"/>
  <c r="I3358" i="18"/>
  <c r="J3358" i="18"/>
  <c r="K3358" i="18"/>
  <c r="L3358" i="18"/>
  <c r="B3359" i="18"/>
  <c r="C3359" i="18"/>
  <c r="D3359" i="18"/>
  <c r="E3359" i="18"/>
  <c r="F3359" i="18"/>
  <c r="G3359" i="18"/>
  <c r="H3359" i="18"/>
  <c r="I3359" i="18"/>
  <c r="J3359" i="18"/>
  <c r="K3359" i="18"/>
  <c r="L3359" i="18"/>
  <c r="B3360" i="18"/>
  <c r="C3360" i="18"/>
  <c r="D3360" i="18"/>
  <c r="E3360" i="18"/>
  <c r="F3360" i="18"/>
  <c r="G3360" i="18"/>
  <c r="H3360" i="18"/>
  <c r="I3360" i="18"/>
  <c r="J3360" i="18"/>
  <c r="K3360" i="18"/>
  <c r="L3360" i="18"/>
  <c r="B3361" i="18"/>
  <c r="C3361" i="18"/>
  <c r="D3361" i="18"/>
  <c r="E3361" i="18"/>
  <c r="F3361" i="18"/>
  <c r="G3361" i="18"/>
  <c r="H3361" i="18"/>
  <c r="I3361" i="18"/>
  <c r="J3361" i="18"/>
  <c r="K3361" i="18"/>
  <c r="L3361" i="18"/>
  <c r="B3362" i="18"/>
  <c r="C3362" i="18"/>
  <c r="D3362" i="18"/>
  <c r="E3362" i="18"/>
  <c r="F3362" i="18"/>
  <c r="G3362" i="18"/>
  <c r="H3362" i="18"/>
  <c r="I3362" i="18"/>
  <c r="J3362" i="18"/>
  <c r="K3362" i="18"/>
  <c r="L3362" i="18"/>
  <c r="B3363" i="18"/>
  <c r="C3363" i="18"/>
  <c r="D3363" i="18"/>
  <c r="E3363" i="18"/>
  <c r="F3363" i="18"/>
  <c r="G3363" i="18"/>
  <c r="H3363" i="18"/>
  <c r="I3363" i="18"/>
  <c r="J3363" i="18"/>
  <c r="K3363" i="18"/>
  <c r="L3363" i="18"/>
  <c r="B3364" i="18"/>
  <c r="C3364" i="18"/>
  <c r="D3364" i="18"/>
  <c r="E3364" i="18"/>
  <c r="F3364" i="18"/>
  <c r="G3364" i="18"/>
  <c r="H3364" i="18"/>
  <c r="I3364" i="18"/>
  <c r="J3364" i="18"/>
  <c r="K3364" i="18"/>
  <c r="L3364" i="18"/>
  <c r="B3365" i="18"/>
  <c r="C3365" i="18"/>
  <c r="D3365" i="18"/>
  <c r="E3365" i="18"/>
  <c r="F3365" i="18"/>
  <c r="G3365" i="18"/>
  <c r="H3365" i="18"/>
  <c r="I3365" i="18"/>
  <c r="J3365" i="18"/>
  <c r="K3365" i="18"/>
  <c r="L3365" i="18"/>
  <c r="B3366" i="18"/>
  <c r="C3366" i="18"/>
  <c r="D3366" i="18"/>
  <c r="E3366" i="18"/>
  <c r="F3366" i="18"/>
  <c r="G3366" i="18"/>
  <c r="H3366" i="18"/>
  <c r="I3366" i="18"/>
  <c r="J3366" i="18"/>
  <c r="K3366" i="18"/>
  <c r="L3366" i="18"/>
  <c r="B3367" i="18"/>
  <c r="C3367" i="18"/>
  <c r="D3367" i="18"/>
  <c r="E3367" i="18"/>
  <c r="F3367" i="18"/>
  <c r="G3367" i="18"/>
  <c r="H3367" i="18"/>
  <c r="I3367" i="18"/>
  <c r="J3367" i="18"/>
  <c r="K3367" i="18"/>
  <c r="L3367" i="18"/>
  <c r="B3368" i="18"/>
  <c r="C3368" i="18"/>
  <c r="D3368" i="18"/>
  <c r="E3368" i="18"/>
  <c r="F3368" i="18"/>
  <c r="G3368" i="18"/>
  <c r="H3368" i="18"/>
  <c r="I3368" i="18"/>
  <c r="J3368" i="18"/>
  <c r="K3368" i="18"/>
  <c r="L3368" i="18"/>
  <c r="B3369" i="18"/>
  <c r="C3369" i="18"/>
  <c r="D3369" i="18"/>
  <c r="E3369" i="18"/>
  <c r="F3369" i="18"/>
  <c r="G3369" i="18"/>
  <c r="H3369" i="18"/>
  <c r="I3369" i="18"/>
  <c r="J3369" i="18"/>
  <c r="K3369" i="18"/>
  <c r="L3369" i="18"/>
  <c r="B3370" i="18"/>
  <c r="C3370" i="18"/>
  <c r="D3370" i="18"/>
  <c r="E3370" i="18"/>
  <c r="F3370" i="18"/>
  <c r="G3370" i="18"/>
  <c r="H3370" i="18"/>
  <c r="I3370" i="18"/>
  <c r="J3370" i="18"/>
  <c r="K3370" i="18"/>
  <c r="L3370" i="18"/>
  <c r="B3371" i="18"/>
  <c r="C3371" i="18"/>
  <c r="D3371" i="18"/>
  <c r="E3371" i="18"/>
  <c r="F3371" i="18"/>
  <c r="G3371" i="18"/>
  <c r="H3371" i="18"/>
  <c r="I3371" i="18"/>
  <c r="J3371" i="18"/>
  <c r="K3371" i="18"/>
  <c r="L3371" i="18"/>
  <c r="B3372" i="18"/>
  <c r="C3372" i="18"/>
  <c r="D3372" i="18"/>
  <c r="E3372" i="18"/>
  <c r="F3372" i="18"/>
  <c r="G3372" i="18"/>
  <c r="H3372" i="18"/>
  <c r="I3372" i="18"/>
  <c r="J3372" i="18"/>
  <c r="K3372" i="18"/>
  <c r="L3372" i="18"/>
  <c r="B3373" i="18"/>
  <c r="C3373" i="18"/>
  <c r="D3373" i="18"/>
  <c r="E3373" i="18"/>
  <c r="F3373" i="18"/>
  <c r="G3373" i="18"/>
  <c r="H3373" i="18"/>
  <c r="I3373" i="18"/>
  <c r="J3373" i="18"/>
  <c r="K3373" i="18"/>
  <c r="L3373" i="18"/>
  <c r="B3374" i="18"/>
  <c r="C3374" i="18"/>
  <c r="D3374" i="18"/>
  <c r="E3374" i="18"/>
  <c r="F3374" i="18"/>
  <c r="G3374" i="18"/>
  <c r="H3374" i="18"/>
  <c r="I3374" i="18"/>
  <c r="J3374" i="18"/>
  <c r="K3374" i="18"/>
  <c r="L3374" i="18"/>
  <c r="B3375" i="18"/>
  <c r="C3375" i="18"/>
  <c r="D3375" i="18"/>
  <c r="E3375" i="18"/>
  <c r="F3375" i="18"/>
  <c r="G3375" i="18"/>
  <c r="H3375" i="18"/>
  <c r="I3375" i="18"/>
  <c r="J3375" i="18"/>
  <c r="K3375" i="18"/>
  <c r="L3375" i="18"/>
  <c r="B3376" i="18"/>
  <c r="C3376" i="18"/>
  <c r="D3376" i="18"/>
  <c r="E3376" i="18"/>
  <c r="F3376" i="18"/>
  <c r="G3376" i="18"/>
  <c r="H3376" i="18"/>
  <c r="I3376" i="18"/>
  <c r="J3376" i="18"/>
  <c r="K3376" i="18"/>
  <c r="L3376" i="18"/>
  <c r="B3377" i="18"/>
  <c r="C3377" i="18"/>
  <c r="D3377" i="18"/>
  <c r="E3377" i="18"/>
  <c r="F3377" i="18"/>
  <c r="G3377" i="18"/>
  <c r="H3377" i="18"/>
  <c r="I3377" i="18"/>
  <c r="J3377" i="18"/>
  <c r="K3377" i="18"/>
  <c r="L3377" i="18"/>
  <c r="B3378" i="18"/>
  <c r="C3378" i="18"/>
  <c r="D3378" i="18"/>
  <c r="E3378" i="18"/>
  <c r="F3378" i="18"/>
  <c r="G3378" i="18"/>
  <c r="H3378" i="18"/>
  <c r="I3378" i="18"/>
  <c r="J3378" i="18"/>
  <c r="K3378" i="18"/>
  <c r="L3378" i="18"/>
  <c r="B3379" i="18"/>
  <c r="C3379" i="18"/>
  <c r="D3379" i="18"/>
  <c r="E3379" i="18"/>
  <c r="F3379" i="18"/>
  <c r="G3379" i="18"/>
  <c r="H3379" i="18"/>
  <c r="I3379" i="18"/>
  <c r="J3379" i="18"/>
  <c r="K3379" i="18"/>
  <c r="L3379" i="18"/>
  <c r="B3380" i="18"/>
  <c r="C3380" i="18"/>
  <c r="D3380" i="18"/>
  <c r="E3380" i="18"/>
  <c r="F3380" i="18"/>
  <c r="G3380" i="18"/>
  <c r="H3380" i="18"/>
  <c r="I3380" i="18"/>
  <c r="J3380" i="18"/>
  <c r="K3380" i="18"/>
  <c r="L3380" i="18"/>
  <c r="B3381" i="18"/>
  <c r="C3381" i="18"/>
  <c r="D3381" i="18"/>
  <c r="E3381" i="18"/>
  <c r="F3381" i="18"/>
  <c r="G3381" i="18"/>
  <c r="H3381" i="18"/>
  <c r="I3381" i="18"/>
  <c r="J3381" i="18"/>
  <c r="K3381" i="18"/>
  <c r="L3381" i="18"/>
  <c r="B3382" i="18"/>
  <c r="C3382" i="18"/>
  <c r="D3382" i="18"/>
  <c r="E3382" i="18"/>
  <c r="F3382" i="18"/>
  <c r="G3382" i="18"/>
  <c r="H3382" i="18"/>
  <c r="I3382" i="18"/>
  <c r="J3382" i="18"/>
  <c r="K3382" i="18"/>
  <c r="L3382" i="18"/>
  <c r="B3383" i="18"/>
  <c r="C3383" i="18"/>
  <c r="D3383" i="18"/>
  <c r="E3383" i="18"/>
  <c r="F3383" i="18"/>
  <c r="G3383" i="18"/>
  <c r="H3383" i="18"/>
  <c r="I3383" i="18"/>
  <c r="J3383" i="18"/>
  <c r="K3383" i="18"/>
  <c r="L3383" i="18"/>
  <c r="B3384" i="18"/>
  <c r="C3384" i="18"/>
  <c r="D3384" i="18"/>
  <c r="E3384" i="18"/>
  <c r="F3384" i="18"/>
  <c r="G3384" i="18"/>
  <c r="H3384" i="18"/>
  <c r="I3384" i="18"/>
  <c r="J3384" i="18"/>
  <c r="K3384" i="18"/>
  <c r="L3384" i="18"/>
  <c r="B3385" i="18"/>
  <c r="C3385" i="18"/>
  <c r="D3385" i="18"/>
  <c r="E3385" i="18"/>
  <c r="F3385" i="18"/>
  <c r="G3385" i="18"/>
  <c r="H3385" i="18"/>
  <c r="I3385" i="18"/>
  <c r="J3385" i="18"/>
  <c r="K3385" i="18"/>
  <c r="L3385" i="18"/>
  <c r="B3386" i="18"/>
  <c r="C3386" i="18"/>
  <c r="D3386" i="18"/>
  <c r="E3386" i="18"/>
  <c r="F3386" i="18"/>
  <c r="G3386" i="18"/>
  <c r="H3386" i="18"/>
  <c r="I3386" i="18"/>
  <c r="J3386" i="18"/>
  <c r="K3386" i="18"/>
  <c r="L3386" i="18"/>
  <c r="B3387" i="18"/>
  <c r="C3387" i="18"/>
  <c r="D3387" i="18"/>
  <c r="E3387" i="18"/>
  <c r="F3387" i="18"/>
  <c r="G3387" i="18"/>
  <c r="H3387" i="18"/>
  <c r="I3387" i="18"/>
  <c r="J3387" i="18"/>
  <c r="K3387" i="18"/>
  <c r="L3387" i="18"/>
  <c r="B3388" i="18"/>
  <c r="C3388" i="18"/>
  <c r="D3388" i="18"/>
  <c r="E3388" i="18"/>
  <c r="F3388" i="18"/>
  <c r="G3388" i="18"/>
  <c r="H3388" i="18"/>
  <c r="I3388" i="18"/>
  <c r="J3388" i="18"/>
  <c r="K3388" i="18"/>
  <c r="L3388" i="18"/>
  <c r="B3389" i="18"/>
  <c r="C3389" i="18"/>
  <c r="D3389" i="18"/>
  <c r="E3389" i="18"/>
  <c r="F3389" i="18"/>
  <c r="G3389" i="18"/>
  <c r="H3389" i="18"/>
  <c r="I3389" i="18"/>
  <c r="J3389" i="18"/>
  <c r="K3389" i="18"/>
  <c r="L3389" i="18"/>
  <c r="B3390" i="18"/>
  <c r="C3390" i="18"/>
  <c r="D3390" i="18"/>
  <c r="E3390" i="18"/>
  <c r="F3390" i="18"/>
  <c r="G3390" i="18"/>
  <c r="H3390" i="18"/>
  <c r="I3390" i="18"/>
  <c r="J3390" i="18"/>
  <c r="K3390" i="18"/>
  <c r="L3390" i="18"/>
  <c r="B3391" i="18"/>
  <c r="C3391" i="18"/>
  <c r="D3391" i="18"/>
  <c r="E3391" i="18"/>
  <c r="F3391" i="18"/>
  <c r="G3391" i="18"/>
  <c r="H3391" i="18"/>
  <c r="I3391" i="18"/>
  <c r="J3391" i="18"/>
  <c r="K3391" i="18"/>
  <c r="L3391" i="18"/>
  <c r="B3392" i="18"/>
  <c r="C3392" i="18"/>
  <c r="D3392" i="18"/>
  <c r="E3392" i="18"/>
  <c r="F3392" i="18"/>
  <c r="G3392" i="18"/>
  <c r="H3392" i="18"/>
  <c r="I3392" i="18"/>
  <c r="J3392" i="18"/>
  <c r="K3392" i="18"/>
  <c r="L3392" i="18"/>
  <c r="B3393" i="18"/>
  <c r="C3393" i="18"/>
  <c r="D3393" i="18"/>
  <c r="E3393" i="18"/>
  <c r="F3393" i="18"/>
  <c r="G3393" i="18"/>
  <c r="H3393" i="18"/>
  <c r="I3393" i="18"/>
  <c r="J3393" i="18"/>
  <c r="K3393" i="18"/>
  <c r="L3393" i="18"/>
  <c r="B3394" i="18"/>
  <c r="C3394" i="18"/>
  <c r="D3394" i="18"/>
  <c r="E3394" i="18"/>
  <c r="F3394" i="18"/>
  <c r="G3394" i="18"/>
  <c r="H3394" i="18"/>
  <c r="I3394" i="18"/>
  <c r="J3394" i="18"/>
  <c r="K3394" i="18"/>
  <c r="L3394" i="18"/>
  <c r="B3395" i="18"/>
  <c r="C3395" i="18"/>
  <c r="D3395" i="18"/>
  <c r="E3395" i="18"/>
  <c r="F3395" i="18"/>
  <c r="G3395" i="18"/>
  <c r="H3395" i="18"/>
  <c r="I3395" i="18"/>
  <c r="J3395" i="18"/>
  <c r="K3395" i="18"/>
  <c r="L3395" i="18"/>
  <c r="B3396" i="18"/>
  <c r="C3396" i="18"/>
  <c r="D3396" i="18"/>
  <c r="E3396" i="18"/>
  <c r="F3396" i="18"/>
  <c r="G3396" i="18"/>
  <c r="H3396" i="18"/>
  <c r="I3396" i="18"/>
  <c r="J3396" i="18"/>
  <c r="K3396" i="18"/>
  <c r="L3396" i="18"/>
  <c r="B3397" i="18"/>
  <c r="C3397" i="18"/>
  <c r="D3397" i="18"/>
  <c r="E3397" i="18"/>
  <c r="F3397" i="18"/>
  <c r="G3397" i="18"/>
  <c r="H3397" i="18"/>
  <c r="I3397" i="18"/>
  <c r="J3397" i="18"/>
  <c r="K3397" i="18"/>
  <c r="L3397" i="18"/>
  <c r="B3398" i="18"/>
  <c r="C3398" i="18"/>
  <c r="D3398" i="18"/>
  <c r="E3398" i="18"/>
  <c r="F3398" i="18"/>
  <c r="G3398" i="18"/>
  <c r="H3398" i="18"/>
  <c r="I3398" i="18"/>
  <c r="J3398" i="18"/>
  <c r="K3398" i="18"/>
  <c r="L3398" i="18"/>
  <c r="B3399" i="18"/>
  <c r="C3399" i="18"/>
  <c r="D3399" i="18"/>
  <c r="E3399" i="18"/>
  <c r="F3399" i="18"/>
  <c r="G3399" i="18"/>
  <c r="H3399" i="18"/>
  <c r="I3399" i="18"/>
  <c r="J3399" i="18"/>
  <c r="K3399" i="18"/>
  <c r="L3399" i="18"/>
  <c r="B3400" i="18"/>
  <c r="C3400" i="18"/>
  <c r="D3400" i="18"/>
  <c r="E3400" i="18"/>
  <c r="F3400" i="18"/>
  <c r="G3400" i="18"/>
  <c r="H3400" i="18"/>
  <c r="I3400" i="18"/>
  <c r="J3400" i="18"/>
  <c r="K3400" i="18"/>
  <c r="L3400" i="18"/>
  <c r="B3401" i="18"/>
  <c r="C3401" i="18"/>
  <c r="D3401" i="18"/>
  <c r="E3401" i="18"/>
  <c r="F3401" i="18"/>
  <c r="G3401" i="18"/>
  <c r="H3401" i="18"/>
  <c r="I3401" i="18"/>
  <c r="J3401" i="18"/>
  <c r="K3401" i="18"/>
  <c r="L3401" i="18"/>
  <c r="B3402" i="18"/>
  <c r="C3402" i="18"/>
  <c r="D3402" i="18"/>
  <c r="E3402" i="18"/>
  <c r="F3402" i="18"/>
  <c r="G3402" i="18"/>
  <c r="H3402" i="18"/>
  <c r="I3402" i="18"/>
  <c r="J3402" i="18"/>
  <c r="K3402" i="18"/>
  <c r="L3402" i="18"/>
  <c r="B3403" i="18"/>
  <c r="C3403" i="18"/>
  <c r="D3403" i="18"/>
  <c r="E3403" i="18"/>
  <c r="F3403" i="18"/>
  <c r="G3403" i="18"/>
  <c r="H3403" i="18"/>
  <c r="I3403" i="18"/>
  <c r="J3403" i="18"/>
  <c r="K3403" i="18"/>
  <c r="L3403" i="18"/>
  <c r="B3404" i="18"/>
  <c r="C3404" i="18"/>
  <c r="D3404" i="18"/>
  <c r="E3404" i="18"/>
  <c r="F3404" i="18"/>
  <c r="G3404" i="18"/>
  <c r="H3404" i="18"/>
  <c r="I3404" i="18"/>
  <c r="J3404" i="18"/>
  <c r="K3404" i="18"/>
  <c r="L3404" i="18"/>
  <c r="B3405" i="18"/>
  <c r="C3405" i="18"/>
  <c r="D3405" i="18"/>
  <c r="E3405" i="18"/>
  <c r="F3405" i="18"/>
  <c r="G3405" i="18"/>
  <c r="H3405" i="18"/>
  <c r="I3405" i="18"/>
  <c r="J3405" i="18"/>
  <c r="K3405" i="18"/>
  <c r="L3405" i="18"/>
  <c r="B3406" i="18"/>
  <c r="C3406" i="18"/>
  <c r="D3406" i="18"/>
  <c r="E3406" i="18"/>
  <c r="F3406" i="18"/>
  <c r="G3406" i="18"/>
  <c r="H3406" i="18"/>
  <c r="I3406" i="18"/>
  <c r="J3406" i="18"/>
  <c r="K3406" i="18"/>
  <c r="L3406" i="18"/>
  <c r="B3407" i="18"/>
  <c r="C3407" i="18"/>
  <c r="D3407" i="18"/>
  <c r="E3407" i="18"/>
  <c r="F3407" i="18"/>
  <c r="G3407" i="18"/>
  <c r="H3407" i="18"/>
  <c r="I3407" i="18"/>
  <c r="J3407" i="18"/>
  <c r="K3407" i="18"/>
  <c r="L3407" i="18"/>
  <c r="B3408" i="18"/>
  <c r="C3408" i="18"/>
  <c r="D3408" i="18"/>
  <c r="E3408" i="18"/>
  <c r="F3408" i="18"/>
  <c r="G3408" i="18"/>
  <c r="H3408" i="18"/>
  <c r="I3408" i="18"/>
  <c r="J3408" i="18"/>
  <c r="K3408" i="18"/>
  <c r="L3408" i="18"/>
  <c r="B3409" i="18"/>
  <c r="C3409" i="18"/>
  <c r="D3409" i="18"/>
  <c r="E3409" i="18"/>
  <c r="F3409" i="18"/>
  <c r="G3409" i="18"/>
  <c r="H3409" i="18"/>
  <c r="I3409" i="18"/>
  <c r="J3409" i="18"/>
  <c r="K3409" i="18"/>
  <c r="L3409" i="18"/>
  <c r="B3410" i="18"/>
  <c r="C3410" i="18"/>
  <c r="D3410" i="18"/>
  <c r="E3410" i="18"/>
  <c r="F3410" i="18"/>
  <c r="G3410" i="18"/>
  <c r="H3410" i="18"/>
  <c r="I3410" i="18"/>
  <c r="J3410" i="18"/>
  <c r="K3410" i="18"/>
  <c r="L3410" i="18"/>
  <c r="B3411" i="18"/>
  <c r="C3411" i="18"/>
  <c r="D3411" i="18"/>
  <c r="E3411" i="18"/>
  <c r="F3411" i="18"/>
  <c r="G3411" i="18"/>
  <c r="H3411" i="18"/>
  <c r="I3411" i="18"/>
  <c r="J3411" i="18"/>
  <c r="K3411" i="18"/>
  <c r="L3411" i="18"/>
  <c r="B3412" i="18"/>
  <c r="C3412" i="18"/>
  <c r="D3412" i="18"/>
  <c r="E3412" i="18"/>
  <c r="F3412" i="18"/>
  <c r="G3412" i="18"/>
  <c r="H3412" i="18"/>
  <c r="I3412" i="18"/>
  <c r="J3412" i="18"/>
  <c r="K3412" i="18"/>
  <c r="L3412" i="18"/>
  <c r="B3413" i="18"/>
  <c r="C3413" i="18"/>
  <c r="D3413" i="18"/>
  <c r="E3413" i="18"/>
  <c r="F3413" i="18"/>
  <c r="G3413" i="18"/>
  <c r="H3413" i="18"/>
  <c r="I3413" i="18"/>
  <c r="J3413" i="18"/>
  <c r="K3413" i="18"/>
  <c r="L3413" i="18"/>
  <c r="B3414" i="18"/>
  <c r="C3414" i="18"/>
  <c r="D3414" i="18"/>
  <c r="E3414" i="18"/>
  <c r="F3414" i="18"/>
  <c r="G3414" i="18"/>
  <c r="H3414" i="18"/>
  <c r="I3414" i="18"/>
  <c r="J3414" i="18"/>
  <c r="K3414" i="18"/>
  <c r="L3414" i="18"/>
  <c r="B3415" i="18"/>
  <c r="C3415" i="18"/>
  <c r="D3415" i="18"/>
  <c r="E3415" i="18"/>
  <c r="F3415" i="18"/>
  <c r="G3415" i="18"/>
  <c r="H3415" i="18"/>
  <c r="I3415" i="18"/>
  <c r="J3415" i="18"/>
  <c r="K3415" i="18"/>
  <c r="L3415" i="18"/>
  <c r="B3416" i="18"/>
  <c r="C3416" i="18"/>
  <c r="D3416" i="18"/>
  <c r="E3416" i="18"/>
  <c r="F3416" i="18"/>
  <c r="G3416" i="18"/>
  <c r="H3416" i="18"/>
  <c r="I3416" i="18"/>
  <c r="J3416" i="18"/>
  <c r="K3416" i="18"/>
  <c r="L3416" i="18"/>
  <c r="B3417" i="18"/>
  <c r="C3417" i="18"/>
  <c r="D3417" i="18"/>
  <c r="E3417" i="18"/>
  <c r="F3417" i="18"/>
  <c r="G3417" i="18"/>
  <c r="H3417" i="18"/>
  <c r="I3417" i="18"/>
  <c r="J3417" i="18"/>
  <c r="K3417" i="18"/>
  <c r="L3417" i="18"/>
  <c r="B3418" i="18"/>
  <c r="C3418" i="18"/>
  <c r="D3418" i="18"/>
  <c r="E3418" i="18"/>
  <c r="F3418" i="18"/>
  <c r="G3418" i="18"/>
  <c r="H3418" i="18"/>
  <c r="I3418" i="18"/>
  <c r="J3418" i="18"/>
  <c r="K3418" i="18"/>
  <c r="L3418" i="18"/>
  <c r="B3419" i="18"/>
  <c r="C3419" i="18"/>
  <c r="D3419" i="18"/>
  <c r="E3419" i="18"/>
  <c r="F3419" i="18"/>
  <c r="G3419" i="18"/>
  <c r="H3419" i="18"/>
  <c r="I3419" i="18"/>
  <c r="J3419" i="18"/>
  <c r="K3419" i="18"/>
  <c r="L3419" i="18"/>
  <c r="B3420" i="18"/>
  <c r="C3420" i="18"/>
  <c r="D3420" i="18"/>
  <c r="E3420" i="18"/>
  <c r="F3420" i="18"/>
  <c r="G3420" i="18"/>
  <c r="H3420" i="18"/>
  <c r="I3420" i="18"/>
  <c r="J3420" i="18"/>
  <c r="K3420" i="18"/>
  <c r="L3420" i="18"/>
  <c r="B3421" i="18"/>
  <c r="C3421" i="18"/>
  <c r="D3421" i="18"/>
  <c r="E3421" i="18"/>
  <c r="F3421" i="18"/>
  <c r="G3421" i="18"/>
  <c r="H3421" i="18"/>
  <c r="I3421" i="18"/>
  <c r="J3421" i="18"/>
  <c r="K3421" i="18"/>
  <c r="L3421" i="18"/>
  <c r="B3422" i="18"/>
  <c r="C3422" i="18"/>
  <c r="D3422" i="18"/>
  <c r="E3422" i="18"/>
  <c r="F3422" i="18"/>
  <c r="G3422" i="18"/>
  <c r="H3422" i="18"/>
  <c r="I3422" i="18"/>
  <c r="J3422" i="18"/>
  <c r="K3422" i="18"/>
  <c r="L3422" i="18"/>
  <c r="B3423" i="18"/>
  <c r="C3423" i="18"/>
  <c r="D3423" i="18"/>
  <c r="E3423" i="18"/>
  <c r="F3423" i="18"/>
  <c r="G3423" i="18"/>
  <c r="H3423" i="18"/>
  <c r="I3423" i="18"/>
  <c r="J3423" i="18"/>
  <c r="K3423" i="18"/>
  <c r="L3423" i="18"/>
  <c r="B3424" i="18"/>
  <c r="C3424" i="18"/>
  <c r="D3424" i="18"/>
  <c r="E3424" i="18"/>
  <c r="F3424" i="18"/>
  <c r="G3424" i="18"/>
  <c r="H3424" i="18"/>
  <c r="I3424" i="18"/>
  <c r="J3424" i="18"/>
  <c r="K3424" i="18"/>
  <c r="L3424" i="18"/>
  <c r="B3425" i="18"/>
  <c r="C3425" i="18"/>
  <c r="D3425" i="18"/>
  <c r="E3425" i="18"/>
  <c r="F3425" i="18"/>
  <c r="G3425" i="18"/>
  <c r="H3425" i="18"/>
  <c r="I3425" i="18"/>
  <c r="J3425" i="18"/>
  <c r="K3425" i="18"/>
  <c r="L3425" i="18"/>
  <c r="B3426" i="18"/>
  <c r="C3426" i="18"/>
  <c r="D3426" i="18"/>
  <c r="E3426" i="18"/>
  <c r="F3426" i="18"/>
  <c r="G3426" i="18"/>
  <c r="H3426" i="18"/>
  <c r="I3426" i="18"/>
  <c r="J3426" i="18"/>
  <c r="K3426" i="18"/>
  <c r="L3426" i="18"/>
  <c r="B3427" i="18"/>
  <c r="C3427" i="18"/>
  <c r="D3427" i="18"/>
  <c r="E3427" i="18"/>
  <c r="F3427" i="18"/>
  <c r="G3427" i="18"/>
  <c r="H3427" i="18"/>
  <c r="I3427" i="18"/>
  <c r="J3427" i="18"/>
  <c r="K3427" i="18"/>
  <c r="L3427" i="18"/>
  <c r="B3428" i="18"/>
  <c r="C3428" i="18"/>
  <c r="D3428" i="18"/>
  <c r="E3428" i="18"/>
  <c r="F3428" i="18"/>
  <c r="G3428" i="18"/>
  <c r="H3428" i="18"/>
  <c r="I3428" i="18"/>
  <c r="J3428" i="18"/>
  <c r="K3428" i="18"/>
  <c r="L3428" i="18"/>
  <c r="B3429" i="18"/>
  <c r="C3429" i="18"/>
  <c r="D3429" i="18"/>
  <c r="E3429" i="18"/>
  <c r="F3429" i="18"/>
  <c r="G3429" i="18"/>
  <c r="H3429" i="18"/>
  <c r="I3429" i="18"/>
  <c r="J3429" i="18"/>
  <c r="K3429" i="18"/>
  <c r="L3429" i="18"/>
  <c r="B3430" i="18"/>
  <c r="C3430" i="18"/>
  <c r="D3430" i="18"/>
  <c r="E3430" i="18"/>
  <c r="F3430" i="18"/>
  <c r="G3430" i="18"/>
  <c r="H3430" i="18"/>
  <c r="I3430" i="18"/>
  <c r="J3430" i="18"/>
  <c r="K3430" i="18"/>
  <c r="L3430" i="18"/>
  <c r="B3431" i="18"/>
  <c r="C3431" i="18"/>
  <c r="D3431" i="18"/>
  <c r="E3431" i="18"/>
  <c r="F3431" i="18"/>
  <c r="G3431" i="18"/>
  <c r="H3431" i="18"/>
  <c r="I3431" i="18"/>
  <c r="J3431" i="18"/>
  <c r="K3431" i="18"/>
  <c r="L3431" i="18"/>
  <c r="B3432" i="18"/>
  <c r="C3432" i="18"/>
  <c r="D3432" i="18"/>
  <c r="E3432" i="18"/>
  <c r="F3432" i="18"/>
  <c r="G3432" i="18"/>
  <c r="H3432" i="18"/>
  <c r="I3432" i="18"/>
  <c r="J3432" i="18"/>
  <c r="K3432" i="18"/>
  <c r="L3432" i="18"/>
  <c r="B3433" i="18"/>
  <c r="C3433" i="18"/>
  <c r="D3433" i="18"/>
  <c r="E3433" i="18"/>
  <c r="F3433" i="18"/>
  <c r="G3433" i="18"/>
  <c r="H3433" i="18"/>
  <c r="I3433" i="18"/>
  <c r="J3433" i="18"/>
  <c r="K3433" i="18"/>
  <c r="L3433" i="18"/>
  <c r="B3434" i="18"/>
  <c r="C3434" i="18"/>
  <c r="D3434" i="18"/>
  <c r="E3434" i="18"/>
  <c r="F3434" i="18"/>
  <c r="G3434" i="18"/>
  <c r="H3434" i="18"/>
  <c r="I3434" i="18"/>
  <c r="J3434" i="18"/>
  <c r="K3434" i="18"/>
  <c r="L3434" i="18"/>
  <c r="B3435" i="18"/>
  <c r="C3435" i="18"/>
  <c r="D3435" i="18"/>
  <c r="E3435" i="18"/>
  <c r="F3435" i="18"/>
  <c r="G3435" i="18"/>
  <c r="H3435" i="18"/>
  <c r="I3435" i="18"/>
  <c r="J3435" i="18"/>
  <c r="K3435" i="18"/>
  <c r="L3435" i="18"/>
  <c r="B3436" i="18"/>
  <c r="C3436" i="18"/>
  <c r="D3436" i="18"/>
  <c r="E3436" i="18"/>
  <c r="F3436" i="18"/>
  <c r="G3436" i="18"/>
  <c r="H3436" i="18"/>
  <c r="I3436" i="18"/>
  <c r="J3436" i="18"/>
  <c r="K3436" i="18"/>
  <c r="L3436" i="18"/>
  <c r="B3437" i="18"/>
  <c r="C3437" i="18"/>
  <c r="D3437" i="18"/>
  <c r="E3437" i="18"/>
  <c r="F3437" i="18"/>
  <c r="G3437" i="18"/>
  <c r="H3437" i="18"/>
  <c r="I3437" i="18"/>
  <c r="J3437" i="18"/>
  <c r="K3437" i="18"/>
  <c r="L3437" i="18"/>
  <c r="B3438" i="18"/>
  <c r="C3438" i="18"/>
  <c r="D3438" i="18"/>
  <c r="E3438" i="18"/>
  <c r="F3438" i="18"/>
  <c r="G3438" i="18"/>
  <c r="H3438" i="18"/>
  <c r="I3438" i="18"/>
  <c r="J3438" i="18"/>
  <c r="K3438" i="18"/>
  <c r="L3438" i="18"/>
  <c r="B3439" i="18"/>
  <c r="C3439" i="18"/>
  <c r="D3439" i="18"/>
  <c r="E3439" i="18"/>
  <c r="F3439" i="18"/>
  <c r="G3439" i="18"/>
  <c r="H3439" i="18"/>
  <c r="I3439" i="18"/>
  <c r="J3439" i="18"/>
  <c r="K3439" i="18"/>
  <c r="L3439" i="18"/>
  <c r="B3440" i="18"/>
  <c r="C3440" i="18"/>
  <c r="D3440" i="18"/>
  <c r="E3440" i="18"/>
  <c r="F3440" i="18"/>
  <c r="G3440" i="18"/>
  <c r="H3440" i="18"/>
  <c r="I3440" i="18"/>
  <c r="J3440" i="18"/>
  <c r="K3440" i="18"/>
  <c r="L3440" i="18"/>
  <c r="B3441" i="18"/>
  <c r="C3441" i="18"/>
  <c r="D3441" i="18"/>
  <c r="E3441" i="18"/>
  <c r="F3441" i="18"/>
  <c r="G3441" i="18"/>
  <c r="H3441" i="18"/>
  <c r="I3441" i="18"/>
  <c r="J3441" i="18"/>
  <c r="K3441" i="18"/>
  <c r="L3441" i="18"/>
  <c r="B3442" i="18"/>
  <c r="C3442" i="18"/>
  <c r="D3442" i="18"/>
  <c r="E3442" i="18"/>
  <c r="F3442" i="18"/>
  <c r="G3442" i="18"/>
  <c r="H3442" i="18"/>
  <c r="I3442" i="18"/>
  <c r="J3442" i="18"/>
  <c r="K3442" i="18"/>
  <c r="L3442" i="18"/>
  <c r="B3443" i="18"/>
  <c r="C3443" i="18"/>
  <c r="D3443" i="18"/>
  <c r="E3443" i="18"/>
  <c r="F3443" i="18"/>
  <c r="G3443" i="18"/>
  <c r="H3443" i="18"/>
  <c r="I3443" i="18"/>
  <c r="J3443" i="18"/>
  <c r="K3443" i="18"/>
  <c r="L3443" i="18"/>
  <c r="B3444" i="18"/>
  <c r="C3444" i="18"/>
  <c r="D3444" i="18"/>
  <c r="E3444" i="18"/>
  <c r="F3444" i="18"/>
  <c r="G3444" i="18"/>
  <c r="H3444" i="18"/>
  <c r="I3444" i="18"/>
  <c r="J3444" i="18"/>
  <c r="K3444" i="18"/>
  <c r="L3444" i="18"/>
  <c r="B3445" i="18"/>
  <c r="C3445" i="18"/>
  <c r="D3445" i="18"/>
  <c r="E3445" i="18"/>
  <c r="F3445" i="18"/>
  <c r="G3445" i="18"/>
  <c r="H3445" i="18"/>
  <c r="I3445" i="18"/>
  <c r="J3445" i="18"/>
  <c r="K3445" i="18"/>
  <c r="L3445" i="18"/>
  <c r="B3446" i="18"/>
  <c r="C3446" i="18"/>
  <c r="D3446" i="18"/>
  <c r="E3446" i="18"/>
  <c r="F3446" i="18"/>
  <c r="G3446" i="18"/>
  <c r="H3446" i="18"/>
  <c r="I3446" i="18"/>
  <c r="J3446" i="18"/>
  <c r="K3446" i="18"/>
  <c r="L3446" i="18"/>
  <c r="B3447" i="18"/>
  <c r="C3447" i="18"/>
  <c r="D3447" i="18"/>
  <c r="E3447" i="18"/>
  <c r="F3447" i="18"/>
  <c r="G3447" i="18"/>
  <c r="H3447" i="18"/>
  <c r="I3447" i="18"/>
  <c r="J3447" i="18"/>
  <c r="K3447" i="18"/>
  <c r="L3447" i="18"/>
  <c r="B3448" i="18"/>
  <c r="C3448" i="18"/>
  <c r="D3448" i="18"/>
  <c r="E3448" i="18"/>
  <c r="F3448" i="18"/>
  <c r="G3448" i="18"/>
  <c r="H3448" i="18"/>
  <c r="I3448" i="18"/>
  <c r="J3448" i="18"/>
  <c r="K3448" i="18"/>
  <c r="L3448" i="18"/>
  <c r="B3449" i="18"/>
  <c r="C3449" i="18"/>
  <c r="D3449" i="18"/>
  <c r="E3449" i="18"/>
  <c r="F3449" i="18"/>
  <c r="G3449" i="18"/>
  <c r="H3449" i="18"/>
  <c r="I3449" i="18"/>
  <c r="J3449" i="18"/>
  <c r="K3449" i="18"/>
  <c r="L3449" i="18"/>
  <c r="B3450" i="18"/>
  <c r="C3450" i="18"/>
  <c r="D3450" i="18"/>
  <c r="E3450" i="18"/>
  <c r="F3450" i="18"/>
  <c r="G3450" i="18"/>
  <c r="H3450" i="18"/>
  <c r="I3450" i="18"/>
  <c r="J3450" i="18"/>
  <c r="K3450" i="18"/>
  <c r="L3450" i="18"/>
  <c r="B3451" i="18"/>
  <c r="C3451" i="18"/>
  <c r="D3451" i="18"/>
  <c r="E3451" i="18"/>
  <c r="F3451" i="18"/>
  <c r="G3451" i="18"/>
  <c r="H3451" i="18"/>
  <c r="I3451" i="18"/>
  <c r="J3451" i="18"/>
  <c r="K3451" i="18"/>
  <c r="L3451" i="18"/>
  <c r="B3452" i="18"/>
  <c r="C3452" i="18"/>
  <c r="D3452" i="18"/>
  <c r="E3452" i="18"/>
  <c r="F3452" i="18"/>
  <c r="G3452" i="18"/>
  <c r="H3452" i="18"/>
  <c r="I3452" i="18"/>
  <c r="J3452" i="18"/>
  <c r="K3452" i="18"/>
  <c r="L3452" i="18"/>
  <c r="B3453" i="18"/>
  <c r="C3453" i="18"/>
  <c r="D3453" i="18"/>
  <c r="E3453" i="18"/>
  <c r="F3453" i="18"/>
  <c r="G3453" i="18"/>
  <c r="H3453" i="18"/>
  <c r="I3453" i="18"/>
  <c r="J3453" i="18"/>
  <c r="K3453" i="18"/>
  <c r="L3453" i="18"/>
  <c r="B3454" i="18"/>
  <c r="C3454" i="18"/>
  <c r="D3454" i="18"/>
  <c r="E3454" i="18"/>
  <c r="F3454" i="18"/>
  <c r="G3454" i="18"/>
  <c r="H3454" i="18"/>
  <c r="I3454" i="18"/>
  <c r="J3454" i="18"/>
  <c r="K3454" i="18"/>
  <c r="L3454" i="18"/>
  <c r="B3455" i="18"/>
  <c r="C3455" i="18"/>
  <c r="D3455" i="18"/>
  <c r="E3455" i="18"/>
  <c r="F3455" i="18"/>
  <c r="G3455" i="18"/>
  <c r="H3455" i="18"/>
  <c r="I3455" i="18"/>
  <c r="J3455" i="18"/>
  <c r="K3455" i="18"/>
  <c r="L3455" i="18"/>
  <c r="B3456" i="18"/>
  <c r="C3456" i="18"/>
  <c r="D3456" i="18"/>
  <c r="E3456" i="18"/>
  <c r="F3456" i="18"/>
  <c r="G3456" i="18"/>
  <c r="H3456" i="18"/>
  <c r="I3456" i="18"/>
  <c r="J3456" i="18"/>
  <c r="K3456" i="18"/>
  <c r="L3456" i="18"/>
  <c r="B3457" i="18"/>
  <c r="C3457" i="18"/>
  <c r="D3457" i="18"/>
  <c r="E3457" i="18"/>
  <c r="F3457" i="18"/>
  <c r="G3457" i="18"/>
  <c r="H3457" i="18"/>
  <c r="I3457" i="18"/>
  <c r="J3457" i="18"/>
  <c r="K3457" i="18"/>
  <c r="L3457" i="18"/>
  <c r="B3458" i="18"/>
  <c r="C3458" i="18"/>
  <c r="D3458" i="18"/>
  <c r="E3458" i="18"/>
  <c r="F3458" i="18"/>
  <c r="G3458" i="18"/>
  <c r="H3458" i="18"/>
  <c r="I3458" i="18"/>
  <c r="J3458" i="18"/>
  <c r="K3458" i="18"/>
  <c r="L3458" i="18"/>
  <c r="B3459" i="18"/>
  <c r="C3459" i="18"/>
  <c r="D3459" i="18"/>
  <c r="E3459" i="18"/>
  <c r="F3459" i="18"/>
  <c r="G3459" i="18"/>
  <c r="H3459" i="18"/>
  <c r="I3459" i="18"/>
  <c r="J3459" i="18"/>
  <c r="K3459" i="18"/>
  <c r="L3459" i="18"/>
  <c r="B3460" i="18"/>
  <c r="C3460" i="18"/>
  <c r="D3460" i="18"/>
  <c r="E3460" i="18"/>
  <c r="F3460" i="18"/>
  <c r="G3460" i="18"/>
  <c r="H3460" i="18"/>
  <c r="I3460" i="18"/>
  <c r="J3460" i="18"/>
  <c r="K3460" i="18"/>
  <c r="L3460" i="18"/>
  <c r="B3461" i="18"/>
  <c r="C3461" i="18"/>
  <c r="D3461" i="18"/>
  <c r="E3461" i="18"/>
  <c r="F3461" i="18"/>
  <c r="G3461" i="18"/>
  <c r="H3461" i="18"/>
  <c r="I3461" i="18"/>
  <c r="J3461" i="18"/>
  <c r="K3461" i="18"/>
  <c r="L3461" i="18"/>
  <c r="B3462" i="18"/>
  <c r="C3462" i="18"/>
  <c r="D3462" i="18"/>
  <c r="E3462" i="18"/>
  <c r="F3462" i="18"/>
  <c r="G3462" i="18"/>
  <c r="H3462" i="18"/>
  <c r="I3462" i="18"/>
  <c r="J3462" i="18"/>
  <c r="K3462" i="18"/>
  <c r="L3462" i="18"/>
  <c r="B3463" i="18"/>
  <c r="C3463" i="18"/>
  <c r="D3463" i="18"/>
  <c r="E3463" i="18"/>
  <c r="F3463" i="18"/>
  <c r="G3463" i="18"/>
  <c r="H3463" i="18"/>
  <c r="I3463" i="18"/>
  <c r="J3463" i="18"/>
  <c r="K3463" i="18"/>
  <c r="L3463" i="18"/>
  <c r="B3464" i="18"/>
  <c r="C3464" i="18"/>
  <c r="D3464" i="18"/>
  <c r="E3464" i="18"/>
  <c r="F3464" i="18"/>
  <c r="G3464" i="18"/>
  <c r="H3464" i="18"/>
  <c r="I3464" i="18"/>
  <c r="J3464" i="18"/>
  <c r="K3464" i="18"/>
  <c r="L3464" i="18"/>
  <c r="B3465" i="18"/>
  <c r="C3465" i="18"/>
  <c r="D3465" i="18"/>
  <c r="E3465" i="18"/>
  <c r="F3465" i="18"/>
  <c r="G3465" i="18"/>
  <c r="H3465" i="18"/>
  <c r="I3465" i="18"/>
  <c r="J3465" i="18"/>
  <c r="K3465" i="18"/>
  <c r="L3465" i="18"/>
  <c r="B3466" i="18"/>
  <c r="C3466" i="18"/>
  <c r="D3466" i="18"/>
  <c r="E3466" i="18"/>
  <c r="F3466" i="18"/>
  <c r="G3466" i="18"/>
  <c r="H3466" i="18"/>
  <c r="I3466" i="18"/>
  <c r="J3466" i="18"/>
  <c r="K3466" i="18"/>
  <c r="L3466" i="18"/>
  <c r="B3467" i="18"/>
  <c r="C3467" i="18"/>
  <c r="D3467" i="18"/>
  <c r="E3467" i="18"/>
  <c r="F3467" i="18"/>
  <c r="G3467" i="18"/>
  <c r="H3467" i="18"/>
  <c r="I3467" i="18"/>
  <c r="J3467" i="18"/>
  <c r="K3467" i="18"/>
  <c r="L3467" i="18"/>
  <c r="B3468" i="18"/>
  <c r="C3468" i="18"/>
  <c r="D3468" i="18"/>
  <c r="E3468" i="18"/>
  <c r="F3468" i="18"/>
  <c r="G3468" i="18"/>
  <c r="H3468" i="18"/>
  <c r="I3468" i="18"/>
  <c r="J3468" i="18"/>
  <c r="K3468" i="18"/>
  <c r="L3468" i="18"/>
  <c r="B3469" i="18"/>
  <c r="C3469" i="18"/>
  <c r="D3469" i="18"/>
  <c r="E3469" i="18"/>
  <c r="F3469" i="18"/>
  <c r="G3469" i="18"/>
  <c r="H3469" i="18"/>
  <c r="I3469" i="18"/>
  <c r="J3469" i="18"/>
  <c r="K3469" i="18"/>
  <c r="L3469" i="18"/>
  <c r="B3470" i="18"/>
  <c r="C3470" i="18"/>
  <c r="D3470" i="18"/>
  <c r="E3470" i="18"/>
  <c r="F3470" i="18"/>
  <c r="G3470" i="18"/>
  <c r="H3470" i="18"/>
  <c r="I3470" i="18"/>
  <c r="J3470" i="18"/>
  <c r="K3470" i="18"/>
  <c r="L3470" i="18"/>
  <c r="B3471" i="18"/>
  <c r="C3471" i="18"/>
  <c r="D3471" i="18"/>
  <c r="E3471" i="18"/>
  <c r="F3471" i="18"/>
  <c r="G3471" i="18"/>
  <c r="H3471" i="18"/>
  <c r="I3471" i="18"/>
  <c r="J3471" i="18"/>
  <c r="K3471" i="18"/>
  <c r="L3471" i="18"/>
  <c r="B3472" i="18"/>
  <c r="C3472" i="18"/>
  <c r="D3472" i="18"/>
  <c r="E3472" i="18"/>
  <c r="F3472" i="18"/>
  <c r="G3472" i="18"/>
  <c r="H3472" i="18"/>
  <c r="I3472" i="18"/>
  <c r="J3472" i="18"/>
  <c r="K3472" i="18"/>
  <c r="L3472" i="18"/>
  <c r="B3473" i="18"/>
  <c r="C3473" i="18"/>
  <c r="D3473" i="18"/>
  <c r="E3473" i="18"/>
  <c r="F3473" i="18"/>
  <c r="G3473" i="18"/>
  <c r="H3473" i="18"/>
  <c r="I3473" i="18"/>
  <c r="J3473" i="18"/>
  <c r="K3473" i="18"/>
  <c r="L3473" i="18"/>
  <c r="B3474" i="18"/>
  <c r="C3474" i="18"/>
  <c r="D3474" i="18"/>
  <c r="E3474" i="18"/>
  <c r="F3474" i="18"/>
  <c r="G3474" i="18"/>
  <c r="H3474" i="18"/>
  <c r="I3474" i="18"/>
  <c r="J3474" i="18"/>
  <c r="K3474" i="18"/>
  <c r="L3474" i="18"/>
  <c r="B3475" i="18"/>
  <c r="C3475" i="18"/>
  <c r="D3475" i="18"/>
  <c r="E3475" i="18"/>
  <c r="F3475" i="18"/>
  <c r="G3475" i="18"/>
  <c r="H3475" i="18"/>
  <c r="I3475" i="18"/>
  <c r="J3475" i="18"/>
  <c r="K3475" i="18"/>
  <c r="L3475" i="18"/>
  <c r="B3476" i="18"/>
  <c r="C3476" i="18"/>
  <c r="D3476" i="18"/>
  <c r="E3476" i="18"/>
  <c r="F3476" i="18"/>
  <c r="G3476" i="18"/>
  <c r="H3476" i="18"/>
  <c r="I3476" i="18"/>
  <c r="J3476" i="18"/>
  <c r="K3476" i="18"/>
  <c r="L3476" i="18"/>
  <c r="B3477" i="18"/>
  <c r="C3477" i="18"/>
  <c r="D3477" i="18"/>
  <c r="E3477" i="18"/>
  <c r="F3477" i="18"/>
  <c r="G3477" i="18"/>
  <c r="H3477" i="18"/>
  <c r="I3477" i="18"/>
  <c r="J3477" i="18"/>
  <c r="K3477" i="18"/>
  <c r="L3477" i="18"/>
  <c r="B3478" i="18"/>
  <c r="C3478" i="18"/>
  <c r="D3478" i="18"/>
  <c r="E3478" i="18"/>
  <c r="F3478" i="18"/>
  <c r="G3478" i="18"/>
  <c r="H3478" i="18"/>
  <c r="I3478" i="18"/>
  <c r="J3478" i="18"/>
  <c r="K3478" i="18"/>
  <c r="L3478" i="18"/>
  <c r="B3479" i="18"/>
  <c r="C3479" i="18"/>
  <c r="D3479" i="18"/>
  <c r="E3479" i="18"/>
  <c r="F3479" i="18"/>
  <c r="G3479" i="18"/>
  <c r="H3479" i="18"/>
  <c r="I3479" i="18"/>
  <c r="J3479" i="18"/>
  <c r="K3479" i="18"/>
  <c r="L3479" i="18"/>
  <c r="B3480" i="18"/>
  <c r="C3480" i="18"/>
  <c r="D3480" i="18"/>
  <c r="E3480" i="18"/>
  <c r="F3480" i="18"/>
  <c r="G3480" i="18"/>
  <c r="H3480" i="18"/>
  <c r="I3480" i="18"/>
  <c r="J3480" i="18"/>
  <c r="K3480" i="18"/>
  <c r="L3480" i="18"/>
  <c r="B3481" i="18"/>
  <c r="C3481" i="18"/>
  <c r="D3481" i="18"/>
  <c r="E3481" i="18"/>
  <c r="F3481" i="18"/>
  <c r="G3481" i="18"/>
  <c r="H3481" i="18"/>
  <c r="I3481" i="18"/>
  <c r="J3481" i="18"/>
  <c r="K3481" i="18"/>
  <c r="L3481" i="18"/>
  <c r="B3482" i="18"/>
  <c r="C3482" i="18"/>
  <c r="D3482" i="18"/>
  <c r="E3482" i="18"/>
  <c r="F3482" i="18"/>
  <c r="G3482" i="18"/>
  <c r="H3482" i="18"/>
  <c r="I3482" i="18"/>
  <c r="J3482" i="18"/>
  <c r="K3482" i="18"/>
  <c r="L3482" i="18"/>
  <c r="B3483" i="18"/>
  <c r="C3483" i="18"/>
  <c r="D3483" i="18"/>
  <c r="E3483" i="18"/>
  <c r="F3483" i="18"/>
  <c r="G3483" i="18"/>
  <c r="H3483" i="18"/>
  <c r="I3483" i="18"/>
  <c r="J3483" i="18"/>
  <c r="K3483" i="18"/>
  <c r="L3483" i="18"/>
  <c r="B3484" i="18"/>
  <c r="C3484" i="18"/>
  <c r="D3484" i="18"/>
  <c r="E3484" i="18"/>
  <c r="F3484" i="18"/>
  <c r="G3484" i="18"/>
  <c r="H3484" i="18"/>
  <c r="I3484" i="18"/>
  <c r="J3484" i="18"/>
  <c r="K3484" i="18"/>
  <c r="L3484" i="18"/>
  <c r="B3485" i="18"/>
  <c r="C3485" i="18"/>
  <c r="D3485" i="18"/>
  <c r="E3485" i="18"/>
  <c r="F3485" i="18"/>
  <c r="G3485" i="18"/>
  <c r="H3485" i="18"/>
  <c r="I3485" i="18"/>
  <c r="J3485" i="18"/>
  <c r="K3485" i="18"/>
  <c r="L3485" i="18"/>
  <c r="B3486" i="18"/>
  <c r="C3486" i="18"/>
  <c r="D3486" i="18"/>
  <c r="E3486" i="18"/>
  <c r="F3486" i="18"/>
  <c r="G3486" i="18"/>
  <c r="H3486" i="18"/>
  <c r="I3486" i="18"/>
  <c r="J3486" i="18"/>
  <c r="K3486" i="18"/>
  <c r="L3486" i="18"/>
  <c r="B3487" i="18"/>
  <c r="C3487" i="18"/>
  <c r="D3487" i="18"/>
  <c r="E3487" i="18"/>
  <c r="F3487" i="18"/>
  <c r="G3487" i="18"/>
  <c r="H3487" i="18"/>
  <c r="I3487" i="18"/>
  <c r="J3487" i="18"/>
  <c r="K3487" i="18"/>
  <c r="L3487" i="18"/>
  <c r="B3488" i="18"/>
  <c r="C3488" i="18"/>
  <c r="D3488" i="18"/>
  <c r="E3488" i="18"/>
  <c r="F3488" i="18"/>
  <c r="G3488" i="18"/>
  <c r="H3488" i="18"/>
  <c r="I3488" i="18"/>
  <c r="J3488" i="18"/>
  <c r="K3488" i="18"/>
  <c r="L3488" i="18"/>
  <c r="B3489" i="18"/>
  <c r="C3489" i="18"/>
  <c r="D3489" i="18"/>
  <c r="E3489" i="18"/>
  <c r="F3489" i="18"/>
  <c r="G3489" i="18"/>
  <c r="H3489" i="18"/>
  <c r="I3489" i="18"/>
  <c r="J3489" i="18"/>
  <c r="K3489" i="18"/>
  <c r="L3489" i="18"/>
  <c r="B3490" i="18"/>
  <c r="C3490" i="18"/>
  <c r="D3490" i="18"/>
  <c r="E3490" i="18"/>
  <c r="F3490" i="18"/>
  <c r="G3490" i="18"/>
  <c r="H3490" i="18"/>
  <c r="I3490" i="18"/>
  <c r="J3490" i="18"/>
  <c r="K3490" i="18"/>
  <c r="L3490" i="18"/>
  <c r="B3491" i="18"/>
  <c r="C3491" i="18"/>
  <c r="D3491" i="18"/>
  <c r="E3491" i="18"/>
  <c r="F3491" i="18"/>
  <c r="G3491" i="18"/>
  <c r="H3491" i="18"/>
  <c r="I3491" i="18"/>
  <c r="J3491" i="18"/>
  <c r="K3491" i="18"/>
  <c r="L3491" i="18"/>
  <c r="B3492" i="18"/>
  <c r="C3492" i="18"/>
  <c r="D3492" i="18"/>
  <c r="E3492" i="18"/>
  <c r="F3492" i="18"/>
  <c r="G3492" i="18"/>
  <c r="H3492" i="18"/>
  <c r="I3492" i="18"/>
  <c r="J3492" i="18"/>
  <c r="K3492" i="18"/>
  <c r="L3492" i="18"/>
  <c r="B3493" i="18"/>
  <c r="C3493" i="18"/>
  <c r="D3493" i="18"/>
  <c r="E3493" i="18"/>
  <c r="F3493" i="18"/>
  <c r="G3493" i="18"/>
  <c r="H3493" i="18"/>
  <c r="I3493" i="18"/>
  <c r="J3493" i="18"/>
  <c r="K3493" i="18"/>
  <c r="L3493" i="18"/>
  <c r="B3494" i="18"/>
  <c r="C3494" i="18"/>
  <c r="D3494" i="18"/>
  <c r="E3494" i="18"/>
  <c r="F3494" i="18"/>
  <c r="G3494" i="18"/>
  <c r="H3494" i="18"/>
  <c r="I3494" i="18"/>
  <c r="J3494" i="18"/>
  <c r="K3494" i="18"/>
  <c r="L3494" i="18"/>
  <c r="B3495" i="18"/>
  <c r="C3495" i="18"/>
  <c r="D3495" i="18"/>
  <c r="E3495" i="18"/>
  <c r="F3495" i="18"/>
  <c r="G3495" i="18"/>
  <c r="H3495" i="18"/>
  <c r="I3495" i="18"/>
  <c r="J3495" i="18"/>
  <c r="K3495" i="18"/>
  <c r="L3495" i="18"/>
  <c r="B3496" i="18"/>
  <c r="C3496" i="18"/>
  <c r="D3496" i="18"/>
  <c r="E3496" i="18"/>
  <c r="F3496" i="18"/>
  <c r="G3496" i="18"/>
  <c r="H3496" i="18"/>
  <c r="I3496" i="18"/>
  <c r="J3496" i="18"/>
  <c r="K3496" i="18"/>
  <c r="L3496" i="18"/>
  <c r="B3497" i="18"/>
  <c r="C3497" i="18"/>
  <c r="D3497" i="18"/>
  <c r="E3497" i="18"/>
  <c r="F3497" i="18"/>
  <c r="G3497" i="18"/>
  <c r="H3497" i="18"/>
  <c r="I3497" i="18"/>
  <c r="J3497" i="18"/>
  <c r="K3497" i="18"/>
  <c r="L3497" i="18"/>
  <c r="B3498" i="18"/>
  <c r="C3498" i="18"/>
  <c r="D3498" i="18"/>
  <c r="E3498" i="18"/>
  <c r="F3498" i="18"/>
  <c r="G3498" i="18"/>
  <c r="H3498" i="18"/>
  <c r="I3498" i="18"/>
  <c r="J3498" i="18"/>
  <c r="K3498" i="18"/>
  <c r="L3498" i="18"/>
  <c r="B3499" i="18"/>
  <c r="C3499" i="18"/>
  <c r="D3499" i="18"/>
  <c r="E3499" i="18"/>
  <c r="F3499" i="18"/>
  <c r="G3499" i="18"/>
  <c r="H3499" i="18"/>
  <c r="I3499" i="18"/>
  <c r="J3499" i="18"/>
  <c r="K3499" i="18"/>
  <c r="L3499" i="18"/>
  <c r="B3500" i="18"/>
  <c r="C3500" i="18"/>
  <c r="D3500" i="18"/>
  <c r="E3500" i="18"/>
  <c r="F3500" i="18"/>
  <c r="G3500" i="18"/>
  <c r="H3500" i="18"/>
  <c r="I3500" i="18"/>
  <c r="J3500" i="18"/>
  <c r="K3500" i="18"/>
  <c r="L3500" i="18"/>
  <c r="B3501" i="18"/>
  <c r="C3501" i="18"/>
  <c r="D3501" i="18"/>
  <c r="E3501" i="18"/>
  <c r="F3501" i="18"/>
  <c r="G3501" i="18"/>
  <c r="H3501" i="18"/>
  <c r="I3501" i="18"/>
  <c r="J3501" i="18"/>
  <c r="K3501" i="18"/>
  <c r="L3501" i="18"/>
  <c r="B3502" i="18"/>
  <c r="C3502" i="18"/>
  <c r="D3502" i="18"/>
  <c r="E3502" i="18"/>
  <c r="F3502" i="18"/>
  <c r="G3502" i="18"/>
  <c r="H3502" i="18"/>
  <c r="I3502" i="18"/>
  <c r="J3502" i="18"/>
  <c r="K3502" i="18"/>
  <c r="L3502" i="18"/>
  <c r="B3503" i="18"/>
  <c r="C3503" i="18"/>
  <c r="D3503" i="18"/>
  <c r="E3503" i="18"/>
  <c r="F3503" i="18"/>
  <c r="G3503" i="18"/>
  <c r="H3503" i="18"/>
  <c r="I3503" i="18"/>
  <c r="J3503" i="18"/>
  <c r="K3503" i="18"/>
  <c r="L3503" i="18"/>
  <c r="B3504" i="18"/>
  <c r="C3504" i="18"/>
  <c r="D3504" i="18"/>
  <c r="E3504" i="18"/>
  <c r="F3504" i="18"/>
  <c r="G3504" i="18"/>
  <c r="H3504" i="18"/>
  <c r="I3504" i="18"/>
  <c r="J3504" i="18"/>
  <c r="K3504" i="18"/>
  <c r="L3504" i="18"/>
  <c r="B3505" i="18"/>
  <c r="C3505" i="18"/>
  <c r="D3505" i="18"/>
  <c r="E3505" i="18"/>
  <c r="F3505" i="18"/>
  <c r="G3505" i="18"/>
  <c r="H3505" i="18"/>
  <c r="I3505" i="18"/>
  <c r="J3505" i="18"/>
  <c r="K3505" i="18"/>
  <c r="L3505" i="18"/>
  <c r="B3506" i="18"/>
  <c r="C3506" i="18"/>
  <c r="D3506" i="18"/>
  <c r="E3506" i="18"/>
  <c r="F3506" i="18"/>
  <c r="G3506" i="18"/>
  <c r="H3506" i="18"/>
  <c r="I3506" i="18"/>
  <c r="J3506" i="18"/>
  <c r="K3506" i="18"/>
  <c r="L3506" i="18"/>
  <c r="B3507" i="18"/>
  <c r="C3507" i="18"/>
  <c r="D3507" i="18"/>
  <c r="E3507" i="18"/>
  <c r="F3507" i="18"/>
  <c r="G3507" i="18"/>
  <c r="H3507" i="18"/>
  <c r="I3507" i="18"/>
  <c r="J3507" i="18"/>
  <c r="K3507" i="18"/>
  <c r="L3507" i="18"/>
  <c r="B3508" i="18"/>
  <c r="C3508" i="18"/>
  <c r="D3508" i="18"/>
  <c r="E3508" i="18"/>
  <c r="F3508" i="18"/>
  <c r="G3508" i="18"/>
  <c r="H3508" i="18"/>
  <c r="I3508" i="18"/>
  <c r="J3508" i="18"/>
  <c r="K3508" i="18"/>
  <c r="L3508" i="18"/>
  <c r="B3509" i="18"/>
  <c r="C3509" i="18"/>
  <c r="D3509" i="18"/>
  <c r="E3509" i="18"/>
  <c r="F3509" i="18"/>
  <c r="G3509" i="18"/>
  <c r="H3509" i="18"/>
  <c r="I3509" i="18"/>
  <c r="J3509" i="18"/>
  <c r="K3509" i="18"/>
  <c r="L3509" i="18"/>
  <c r="B3510" i="18"/>
  <c r="C3510" i="18"/>
  <c r="D3510" i="18"/>
  <c r="E3510" i="18"/>
  <c r="F3510" i="18"/>
  <c r="G3510" i="18"/>
  <c r="H3510" i="18"/>
  <c r="I3510" i="18"/>
  <c r="J3510" i="18"/>
  <c r="K3510" i="18"/>
  <c r="L3510" i="18"/>
  <c r="B3511" i="18"/>
  <c r="C3511" i="18"/>
  <c r="D3511" i="18"/>
  <c r="E3511" i="18"/>
  <c r="F3511" i="18"/>
  <c r="G3511" i="18"/>
  <c r="H3511" i="18"/>
  <c r="I3511" i="18"/>
  <c r="J3511" i="18"/>
  <c r="K3511" i="18"/>
  <c r="L3511" i="18"/>
  <c r="B3512" i="18"/>
  <c r="C3512" i="18"/>
  <c r="D3512" i="18"/>
  <c r="E3512" i="18"/>
  <c r="F3512" i="18"/>
  <c r="G3512" i="18"/>
  <c r="H3512" i="18"/>
  <c r="I3512" i="18"/>
  <c r="J3512" i="18"/>
  <c r="K3512" i="18"/>
  <c r="L3512" i="18"/>
  <c r="B3513" i="18"/>
  <c r="C3513" i="18"/>
  <c r="D3513" i="18"/>
  <c r="E3513" i="18"/>
  <c r="F3513" i="18"/>
  <c r="G3513" i="18"/>
  <c r="H3513" i="18"/>
  <c r="I3513" i="18"/>
  <c r="J3513" i="18"/>
  <c r="K3513" i="18"/>
  <c r="L3513" i="18"/>
  <c r="B3514" i="18"/>
  <c r="C3514" i="18"/>
  <c r="D3514" i="18"/>
  <c r="E3514" i="18"/>
  <c r="F3514" i="18"/>
  <c r="G3514" i="18"/>
  <c r="H3514" i="18"/>
  <c r="I3514" i="18"/>
  <c r="J3514" i="18"/>
  <c r="K3514" i="18"/>
  <c r="L3514" i="18"/>
  <c r="B3515" i="18"/>
  <c r="C3515" i="18"/>
  <c r="D3515" i="18"/>
  <c r="E3515" i="18"/>
  <c r="F3515" i="18"/>
  <c r="G3515" i="18"/>
  <c r="H3515" i="18"/>
  <c r="I3515" i="18"/>
  <c r="J3515" i="18"/>
  <c r="K3515" i="18"/>
  <c r="L3515" i="18"/>
  <c r="B3516" i="18"/>
  <c r="C3516" i="18"/>
  <c r="D3516" i="18"/>
  <c r="E3516" i="18"/>
  <c r="F3516" i="18"/>
  <c r="G3516" i="18"/>
  <c r="H3516" i="18"/>
  <c r="I3516" i="18"/>
  <c r="J3516" i="18"/>
  <c r="K3516" i="18"/>
  <c r="L3516" i="18"/>
  <c r="B3517" i="18"/>
  <c r="C3517" i="18"/>
  <c r="D3517" i="18"/>
  <c r="E3517" i="18"/>
  <c r="F3517" i="18"/>
  <c r="G3517" i="18"/>
  <c r="H3517" i="18"/>
  <c r="I3517" i="18"/>
  <c r="J3517" i="18"/>
  <c r="K3517" i="18"/>
  <c r="L3517" i="18"/>
  <c r="B3518" i="18"/>
  <c r="C3518" i="18"/>
  <c r="D3518" i="18"/>
  <c r="E3518" i="18"/>
  <c r="F3518" i="18"/>
  <c r="G3518" i="18"/>
  <c r="H3518" i="18"/>
  <c r="I3518" i="18"/>
  <c r="J3518" i="18"/>
  <c r="K3518" i="18"/>
  <c r="L3518" i="18"/>
  <c r="B3519" i="18"/>
  <c r="C3519" i="18"/>
  <c r="D3519" i="18"/>
  <c r="E3519" i="18"/>
  <c r="F3519" i="18"/>
  <c r="G3519" i="18"/>
  <c r="H3519" i="18"/>
  <c r="I3519" i="18"/>
  <c r="J3519" i="18"/>
  <c r="K3519" i="18"/>
  <c r="L3519" i="18"/>
  <c r="B3520" i="18"/>
  <c r="C3520" i="18"/>
  <c r="D3520" i="18"/>
  <c r="E3520" i="18"/>
  <c r="F3520" i="18"/>
  <c r="G3520" i="18"/>
  <c r="H3520" i="18"/>
  <c r="I3520" i="18"/>
  <c r="J3520" i="18"/>
  <c r="K3520" i="18"/>
  <c r="L3520" i="18"/>
  <c r="B3521" i="18"/>
  <c r="C3521" i="18"/>
  <c r="D3521" i="18"/>
  <c r="E3521" i="18"/>
  <c r="F3521" i="18"/>
  <c r="G3521" i="18"/>
  <c r="H3521" i="18"/>
  <c r="I3521" i="18"/>
  <c r="J3521" i="18"/>
  <c r="K3521" i="18"/>
  <c r="L3521" i="18"/>
  <c r="B3522" i="18"/>
  <c r="C3522" i="18"/>
  <c r="D3522" i="18"/>
  <c r="E3522" i="18"/>
  <c r="F3522" i="18"/>
  <c r="G3522" i="18"/>
  <c r="H3522" i="18"/>
  <c r="I3522" i="18"/>
  <c r="J3522" i="18"/>
  <c r="K3522" i="18"/>
  <c r="L3522" i="18"/>
  <c r="B3523" i="18"/>
  <c r="C3523" i="18"/>
  <c r="D3523" i="18"/>
  <c r="E3523" i="18"/>
  <c r="F3523" i="18"/>
  <c r="G3523" i="18"/>
  <c r="H3523" i="18"/>
  <c r="I3523" i="18"/>
  <c r="J3523" i="18"/>
  <c r="K3523" i="18"/>
  <c r="L3523" i="18"/>
  <c r="B3524" i="18"/>
  <c r="C3524" i="18"/>
  <c r="D3524" i="18"/>
  <c r="E3524" i="18"/>
  <c r="F3524" i="18"/>
  <c r="G3524" i="18"/>
  <c r="H3524" i="18"/>
  <c r="I3524" i="18"/>
  <c r="J3524" i="18"/>
  <c r="K3524" i="18"/>
  <c r="L3524" i="18"/>
  <c r="B3525" i="18"/>
  <c r="C3525" i="18"/>
  <c r="D3525" i="18"/>
  <c r="E3525" i="18"/>
  <c r="F3525" i="18"/>
  <c r="G3525" i="18"/>
  <c r="H3525" i="18"/>
  <c r="I3525" i="18"/>
  <c r="J3525" i="18"/>
  <c r="K3525" i="18"/>
  <c r="L3525" i="18"/>
  <c r="B3526" i="18"/>
  <c r="C3526" i="18"/>
  <c r="D3526" i="18"/>
  <c r="E3526" i="18"/>
  <c r="F3526" i="18"/>
  <c r="G3526" i="18"/>
  <c r="H3526" i="18"/>
  <c r="I3526" i="18"/>
  <c r="J3526" i="18"/>
  <c r="K3526" i="18"/>
  <c r="L3526" i="18"/>
  <c r="B3527" i="18"/>
  <c r="C3527" i="18"/>
  <c r="D3527" i="18"/>
  <c r="E3527" i="18"/>
  <c r="F3527" i="18"/>
  <c r="G3527" i="18"/>
  <c r="H3527" i="18"/>
  <c r="I3527" i="18"/>
  <c r="J3527" i="18"/>
  <c r="K3527" i="18"/>
  <c r="L3527" i="18"/>
  <c r="B3528" i="18"/>
  <c r="C3528" i="18"/>
  <c r="D3528" i="18"/>
  <c r="E3528" i="18"/>
  <c r="F3528" i="18"/>
  <c r="G3528" i="18"/>
  <c r="H3528" i="18"/>
  <c r="I3528" i="18"/>
  <c r="J3528" i="18"/>
  <c r="K3528" i="18"/>
  <c r="L3528" i="18"/>
  <c r="B3529" i="18"/>
  <c r="C3529" i="18"/>
  <c r="D3529" i="18"/>
  <c r="E3529" i="18"/>
  <c r="F3529" i="18"/>
  <c r="G3529" i="18"/>
  <c r="H3529" i="18"/>
  <c r="I3529" i="18"/>
  <c r="J3529" i="18"/>
  <c r="K3529" i="18"/>
  <c r="L3529" i="18"/>
  <c r="B3530" i="18"/>
  <c r="C3530" i="18"/>
  <c r="D3530" i="18"/>
  <c r="E3530" i="18"/>
  <c r="F3530" i="18"/>
  <c r="G3530" i="18"/>
  <c r="H3530" i="18"/>
  <c r="I3530" i="18"/>
  <c r="J3530" i="18"/>
  <c r="K3530" i="18"/>
  <c r="L3530" i="18"/>
  <c r="B3531" i="18"/>
  <c r="C3531" i="18"/>
  <c r="D3531" i="18"/>
  <c r="E3531" i="18"/>
  <c r="F3531" i="18"/>
  <c r="G3531" i="18"/>
  <c r="H3531" i="18"/>
  <c r="I3531" i="18"/>
  <c r="J3531" i="18"/>
  <c r="K3531" i="18"/>
  <c r="L3531" i="18"/>
  <c r="B3532" i="18"/>
  <c r="C3532" i="18"/>
  <c r="D3532" i="18"/>
  <c r="E3532" i="18"/>
  <c r="F3532" i="18"/>
  <c r="G3532" i="18"/>
  <c r="H3532" i="18"/>
  <c r="I3532" i="18"/>
  <c r="J3532" i="18"/>
  <c r="K3532" i="18"/>
  <c r="L3532" i="18"/>
  <c r="B3533" i="18"/>
  <c r="C3533" i="18"/>
  <c r="D3533" i="18"/>
  <c r="E3533" i="18"/>
  <c r="F3533" i="18"/>
  <c r="G3533" i="18"/>
  <c r="H3533" i="18"/>
  <c r="I3533" i="18"/>
  <c r="J3533" i="18"/>
  <c r="K3533" i="18"/>
  <c r="L3533" i="18"/>
  <c r="B3534" i="18"/>
  <c r="C3534" i="18"/>
  <c r="D3534" i="18"/>
  <c r="E3534" i="18"/>
  <c r="F3534" i="18"/>
  <c r="G3534" i="18"/>
  <c r="H3534" i="18"/>
  <c r="I3534" i="18"/>
  <c r="J3534" i="18"/>
  <c r="K3534" i="18"/>
  <c r="L3534" i="18"/>
  <c r="B3535" i="18"/>
  <c r="C3535" i="18"/>
  <c r="D3535" i="18"/>
  <c r="E3535" i="18"/>
  <c r="F3535" i="18"/>
  <c r="G3535" i="18"/>
  <c r="H3535" i="18"/>
  <c r="I3535" i="18"/>
  <c r="J3535" i="18"/>
  <c r="K3535" i="18"/>
  <c r="L3535" i="18"/>
  <c r="B3536" i="18"/>
  <c r="C3536" i="18"/>
  <c r="D3536" i="18"/>
  <c r="E3536" i="18"/>
  <c r="F3536" i="18"/>
  <c r="G3536" i="18"/>
  <c r="H3536" i="18"/>
  <c r="I3536" i="18"/>
  <c r="J3536" i="18"/>
  <c r="K3536" i="18"/>
  <c r="L3536" i="18"/>
  <c r="B3537" i="18"/>
  <c r="C3537" i="18"/>
  <c r="D3537" i="18"/>
  <c r="E3537" i="18"/>
  <c r="F3537" i="18"/>
  <c r="G3537" i="18"/>
  <c r="H3537" i="18"/>
  <c r="I3537" i="18"/>
  <c r="J3537" i="18"/>
  <c r="K3537" i="18"/>
  <c r="L3537" i="18"/>
  <c r="B3538" i="18"/>
  <c r="C3538" i="18"/>
  <c r="D3538" i="18"/>
  <c r="E3538" i="18"/>
  <c r="F3538" i="18"/>
  <c r="G3538" i="18"/>
  <c r="H3538" i="18"/>
  <c r="I3538" i="18"/>
  <c r="J3538" i="18"/>
  <c r="K3538" i="18"/>
  <c r="L3538" i="18"/>
  <c r="B3539" i="18"/>
  <c r="C3539" i="18"/>
  <c r="D3539" i="18"/>
  <c r="E3539" i="18"/>
  <c r="F3539" i="18"/>
  <c r="G3539" i="18"/>
  <c r="H3539" i="18"/>
  <c r="I3539" i="18"/>
  <c r="J3539" i="18"/>
  <c r="K3539" i="18"/>
  <c r="L3539" i="18"/>
  <c r="B3540" i="18"/>
  <c r="C3540" i="18"/>
  <c r="D3540" i="18"/>
  <c r="E3540" i="18"/>
  <c r="F3540" i="18"/>
  <c r="G3540" i="18"/>
  <c r="H3540" i="18"/>
  <c r="I3540" i="18"/>
  <c r="J3540" i="18"/>
  <c r="K3540" i="18"/>
  <c r="L3540" i="18"/>
  <c r="B3541" i="18"/>
  <c r="C3541" i="18"/>
  <c r="D3541" i="18"/>
  <c r="E3541" i="18"/>
  <c r="F3541" i="18"/>
  <c r="G3541" i="18"/>
  <c r="H3541" i="18"/>
  <c r="I3541" i="18"/>
  <c r="J3541" i="18"/>
  <c r="K3541" i="18"/>
  <c r="L3541" i="18"/>
  <c r="B3542" i="18"/>
  <c r="C3542" i="18"/>
  <c r="D3542" i="18"/>
  <c r="E3542" i="18"/>
  <c r="F3542" i="18"/>
  <c r="G3542" i="18"/>
  <c r="H3542" i="18"/>
  <c r="I3542" i="18"/>
  <c r="J3542" i="18"/>
  <c r="K3542" i="18"/>
  <c r="L3542" i="18"/>
  <c r="B3543" i="18"/>
  <c r="C3543" i="18"/>
  <c r="D3543" i="18"/>
  <c r="E3543" i="18"/>
  <c r="F3543" i="18"/>
  <c r="G3543" i="18"/>
  <c r="H3543" i="18"/>
  <c r="I3543" i="18"/>
  <c r="J3543" i="18"/>
  <c r="K3543" i="18"/>
  <c r="L3543" i="18"/>
  <c r="B3544" i="18"/>
  <c r="C3544" i="18"/>
  <c r="D3544" i="18"/>
  <c r="E3544" i="18"/>
  <c r="F3544" i="18"/>
  <c r="G3544" i="18"/>
  <c r="H3544" i="18"/>
  <c r="I3544" i="18"/>
  <c r="J3544" i="18"/>
  <c r="K3544" i="18"/>
  <c r="L3544" i="18"/>
  <c r="B3545" i="18"/>
  <c r="C3545" i="18"/>
  <c r="D3545" i="18"/>
  <c r="E3545" i="18"/>
  <c r="F3545" i="18"/>
  <c r="G3545" i="18"/>
  <c r="H3545" i="18"/>
  <c r="I3545" i="18"/>
  <c r="J3545" i="18"/>
  <c r="K3545" i="18"/>
  <c r="L3545" i="18"/>
  <c r="B3546" i="18"/>
  <c r="C3546" i="18"/>
  <c r="D3546" i="18"/>
  <c r="E3546" i="18"/>
  <c r="F3546" i="18"/>
  <c r="G3546" i="18"/>
  <c r="H3546" i="18"/>
  <c r="I3546" i="18"/>
  <c r="J3546" i="18"/>
  <c r="K3546" i="18"/>
  <c r="L3546" i="18"/>
  <c r="B3547" i="18"/>
  <c r="C3547" i="18"/>
  <c r="D3547" i="18"/>
  <c r="E3547" i="18"/>
  <c r="F3547" i="18"/>
  <c r="G3547" i="18"/>
  <c r="H3547" i="18"/>
  <c r="I3547" i="18"/>
  <c r="J3547" i="18"/>
  <c r="K3547" i="18"/>
  <c r="L3547" i="18"/>
  <c r="B3548" i="18"/>
  <c r="C3548" i="18"/>
  <c r="D3548" i="18"/>
  <c r="E3548" i="18"/>
  <c r="F3548" i="18"/>
  <c r="G3548" i="18"/>
  <c r="H3548" i="18"/>
  <c r="I3548" i="18"/>
  <c r="J3548" i="18"/>
  <c r="K3548" i="18"/>
  <c r="L3548" i="18"/>
  <c r="B3549" i="18"/>
  <c r="C3549" i="18"/>
  <c r="D3549" i="18"/>
  <c r="E3549" i="18"/>
  <c r="F3549" i="18"/>
  <c r="G3549" i="18"/>
  <c r="H3549" i="18"/>
  <c r="I3549" i="18"/>
  <c r="J3549" i="18"/>
  <c r="K3549" i="18"/>
  <c r="L3549" i="18"/>
  <c r="B3550" i="18"/>
  <c r="C3550" i="18"/>
  <c r="D3550" i="18"/>
  <c r="E3550" i="18"/>
  <c r="F3550" i="18"/>
  <c r="G3550" i="18"/>
  <c r="H3550" i="18"/>
  <c r="I3550" i="18"/>
  <c r="J3550" i="18"/>
  <c r="K3550" i="18"/>
  <c r="L3550" i="18"/>
  <c r="B3551" i="18"/>
  <c r="C3551" i="18"/>
  <c r="D3551" i="18"/>
  <c r="E3551" i="18"/>
  <c r="F3551" i="18"/>
  <c r="G3551" i="18"/>
  <c r="H3551" i="18"/>
  <c r="I3551" i="18"/>
  <c r="J3551" i="18"/>
  <c r="K3551" i="18"/>
  <c r="L3551" i="18"/>
  <c r="B3552" i="18"/>
  <c r="C3552" i="18"/>
  <c r="D3552" i="18"/>
  <c r="E3552" i="18"/>
  <c r="F3552" i="18"/>
  <c r="G3552" i="18"/>
  <c r="H3552" i="18"/>
  <c r="I3552" i="18"/>
  <c r="J3552" i="18"/>
  <c r="K3552" i="18"/>
  <c r="L3552" i="18"/>
  <c r="B3553" i="18"/>
  <c r="C3553" i="18"/>
  <c r="D3553" i="18"/>
  <c r="E3553" i="18"/>
  <c r="F3553" i="18"/>
  <c r="G3553" i="18"/>
  <c r="H3553" i="18"/>
  <c r="I3553" i="18"/>
  <c r="J3553" i="18"/>
  <c r="K3553" i="18"/>
  <c r="L3553" i="18"/>
  <c r="B3554" i="18"/>
  <c r="C3554" i="18"/>
  <c r="D3554" i="18"/>
  <c r="E3554" i="18"/>
  <c r="F3554" i="18"/>
  <c r="G3554" i="18"/>
  <c r="H3554" i="18"/>
  <c r="I3554" i="18"/>
  <c r="J3554" i="18"/>
  <c r="K3554" i="18"/>
  <c r="L3554" i="18"/>
  <c r="B3555" i="18"/>
  <c r="C3555" i="18"/>
  <c r="D3555" i="18"/>
  <c r="E3555" i="18"/>
  <c r="F3555" i="18"/>
  <c r="G3555" i="18"/>
  <c r="H3555" i="18"/>
  <c r="I3555" i="18"/>
  <c r="J3555" i="18"/>
  <c r="K3555" i="18"/>
  <c r="L3555" i="18"/>
  <c r="B3556" i="18"/>
  <c r="C3556" i="18"/>
  <c r="D3556" i="18"/>
  <c r="E3556" i="18"/>
  <c r="F3556" i="18"/>
  <c r="G3556" i="18"/>
  <c r="H3556" i="18"/>
  <c r="I3556" i="18"/>
  <c r="J3556" i="18"/>
  <c r="K3556" i="18"/>
  <c r="L3556" i="18"/>
  <c r="B3557" i="18"/>
  <c r="C3557" i="18"/>
  <c r="D3557" i="18"/>
  <c r="E3557" i="18"/>
  <c r="F3557" i="18"/>
  <c r="G3557" i="18"/>
  <c r="H3557" i="18"/>
  <c r="I3557" i="18"/>
  <c r="J3557" i="18"/>
  <c r="K3557" i="18"/>
  <c r="L3557" i="18"/>
  <c r="B3558" i="18"/>
  <c r="C3558" i="18"/>
  <c r="D3558" i="18"/>
  <c r="E3558" i="18"/>
  <c r="F3558" i="18"/>
  <c r="G3558" i="18"/>
  <c r="H3558" i="18"/>
  <c r="I3558" i="18"/>
  <c r="J3558" i="18"/>
  <c r="K3558" i="18"/>
  <c r="L3558" i="18"/>
  <c r="B3559" i="18"/>
  <c r="C3559" i="18"/>
  <c r="D3559" i="18"/>
  <c r="E3559" i="18"/>
  <c r="F3559" i="18"/>
  <c r="G3559" i="18"/>
  <c r="H3559" i="18"/>
  <c r="I3559" i="18"/>
  <c r="J3559" i="18"/>
  <c r="K3559" i="18"/>
  <c r="L3559" i="18"/>
  <c r="B3560" i="18"/>
  <c r="C3560" i="18"/>
  <c r="D3560" i="18"/>
  <c r="E3560" i="18"/>
  <c r="F3560" i="18"/>
  <c r="G3560" i="18"/>
  <c r="H3560" i="18"/>
  <c r="I3560" i="18"/>
  <c r="J3560" i="18"/>
  <c r="K3560" i="18"/>
  <c r="L3560" i="18"/>
  <c r="B3561" i="18"/>
  <c r="C3561" i="18"/>
  <c r="D3561" i="18"/>
  <c r="E3561" i="18"/>
  <c r="F3561" i="18"/>
  <c r="G3561" i="18"/>
  <c r="H3561" i="18"/>
  <c r="I3561" i="18"/>
  <c r="J3561" i="18"/>
  <c r="K3561" i="18"/>
  <c r="L3561" i="18"/>
  <c r="B3562" i="18"/>
  <c r="C3562" i="18"/>
  <c r="D3562" i="18"/>
  <c r="E3562" i="18"/>
  <c r="F3562" i="18"/>
  <c r="G3562" i="18"/>
  <c r="H3562" i="18"/>
  <c r="I3562" i="18"/>
  <c r="J3562" i="18"/>
  <c r="K3562" i="18"/>
  <c r="L3562" i="18"/>
  <c r="B3563" i="18"/>
  <c r="C3563" i="18"/>
  <c r="D3563" i="18"/>
  <c r="E3563" i="18"/>
  <c r="F3563" i="18"/>
  <c r="G3563" i="18"/>
  <c r="H3563" i="18"/>
  <c r="I3563" i="18"/>
  <c r="J3563" i="18"/>
  <c r="K3563" i="18"/>
  <c r="L3563" i="18"/>
  <c r="B3564" i="18"/>
  <c r="C3564" i="18"/>
  <c r="D3564" i="18"/>
  <c r="E3564" i="18"/>
  <c r="F3564" i="18"/>
  <c r="G3564" i="18"/>
  <c r="H3564" i="18"/>
  <c r="I3564" i="18"/>
  <c r="J3564" i="18"/>
  <c r="K3564" i="18"/>
  <c r="L3564" i="18"/>
  <c r="B3565" i="18"/>
  <c r="C3565" i="18"/>
  <c r="D3565" i="18"/>
  <c r="E3565" i="18"/>
  <c r="F3565" i="18"/>
  <c r="G3565" i="18"/>
  <c r="H3565" i="18"/>
  <c r="I3565" i="18"/>
  <c r="J3565" i="18"/>
  <c r="K3565" i="18"/>
  <c r="L3565" i="18"/>
  <c r="B3566" i="18"/>
  <c r="C3566" i="18"/>
  <c r="D3566" i="18"/>
  <c r="E3566" i="18"/>
  <c r="F3566" i="18"/>
  <c r="G3566" i="18"/>
  <c r="H3566" i="18"/>
  <c r="I3566" i="18"/>
  <c r="J3566" i="18"/>
  <c r="K3566" i="18"/>
  <c r="L3566" i="18"/>
  <c r="B3567" i="18"/>
  <c r="C3567" i="18"/>
  <c r="D3567" i="18"/>
  <c r="E3567" i="18"/>
  <c r="F3567" i="18"/>
  <c r="G3567" i="18"/>
  <c r="H3567" i="18"/>
  <c r="I3567" i="18"/>
  <c r="J3567" i="18"/>
  <c r="K3567" i="18"/>
  <c r="L3567" i="18"/>
  <c r="B3568" i="18"/>
  <c r="C3568" i="18"/>
  <c r="D3568" i="18"/>
  <c r="E3568" i="18"/>
  <c r="F3568" i="18"/>
  <c r="G3568" i="18"/>
  <c r="H3568" i="18"/>
  <c r="I3568" i="18"/>
  <c r="J3568" i="18"/>
  <c r="K3568" i="18"/>
  <c r="L3568" i="18"/>
  <c r="B3569" i="18"/>
  <c r="C3569" i="18"/>
  <c r="D3569" i="18"/>
  <c r="E3569" i="18"/>
  <c r="F3569" i="18"/>
  <c r="G3569" i="18"/>
  <c r="H3569" i="18"/>
  <c r="I3569" i="18"/>
  <c r="J3569" i="18"/>
  <c r="K3569" i="18"/>
  <c r="L3569" i="18"/>
  <c r="B3570" i="18"/>
  <c r="C3570" i="18"/>
  <c r="D3570" i="18"/>
  <c r="E3570" i="18"/>
  <c r="F3570" i="18"/>
  <c r="G3570" i="18"/>
  <c r="H3570" i="18"/>
  <c r="I3570" i="18"/>
  <c r="J3570" i="18"/>
  <c r="K3570" i="18"/>
  <c r="L3570" i="18"/>
  <c r="B3571" i="18"/>
  <c r="C3571" i="18"/>
  <c r="D3571" i="18"/>
  <c r="E3571" i="18"/>
  <c r="F3571" i="18"/>
  <c r="G3571" i="18"/>
  <c r="H3571" i="18"/>
  <c r="I3571" i="18"/>
  <c r="J3571" i="18"/>
  <c r="K3571" i="18"/>
  <c r="L3571" i="18"/>
  <c r="B3572" i="18"/>
  <c r="C3572" i="18"/>
  <c r="D3572" i="18"/>
  <c r="E3572" i="18"/>
  <c r="F3572" i="18"/>
  <c r="G3572" i="18"/>
  <c r="H3572" i="18"/>
  <c r="I3572" i="18"/>
  <c r="J3572" i="18"/>
  <c r="K3572" i="18"/>
  <c r="L3572" i="18"/>
  <c r="B3573" i="18"/>
  <c r="C3573" i="18"/>
  <c r="D3573" i="18"/>
  <c r="E3573" i="18"/>
  <c r="F3573" i="18"/>
  <c r="G3573" i="18"/>
  <c r="H3573" i="18"/>
  <c r="I3573" i="18"/>
  <c r="J3573" i="18"/>
  <c r="K3573" i="18"/>
  <c r="L3573" i="18"/>
  <c r="B3574" i="18"/>
  <c r="C3574" i="18"/>
  <c r="D3574" i="18"/>
  <c r="E3574" i="18"/>
  <c r="F3574" i="18"/>
  <c r="G3574" i="18"/>
  <c r="H3574" i="18"/>
  <c r="I3574" i="18"/>
  <c r="J3574" i="18"/>
  <c r="K3574" i="18"/>
  <c r="L3574" i="18"/>
  <c r="B3575" i="18"/>
  <c r="C3575" i="18"/>
  <c r="D3575" i="18"/>
  <c r="E3575" i="18"/>
  <c r="F3575" i="18"/>
  <c r="G3575" i="18"/>
  <c r="H3575" i="18"/>
  <c r="I3575" i="18"/>
  <c r="J3575" i="18"/>
  <c r="K3575" i="18"/>
  <c r="L3575" i="18"/>
  <c r="B3576" i="18"/>
  <c r="C3576" i="18"/>
  <c r="D3576" i="18"/>
  <c r="E3576" i="18"/>
  <c r="F3576" i="18"/>
  <c r="G3576" i="18"/>
  <c r="H3576" i="18"/>
  <c r="I3576" i="18"/>
  <c r="J3576" i="18"/>
  <c r="K3576" i="18"/>
  <c r="L3576" i="18"/>
  <c r="B3577" i="18"/>
  <c r="C3577" i="18"/>
  <c r="D3577" i="18"/>
  <c r="E3577" i="18"/>
  <c r="F3577" i="18"/>
  <c r="G3577" i="18"/>
  <c r="H3577" i="18"/>
  <c r="I3577" i="18"/>
  <c r="J3577" i="18"/>
  <c r="K3577" i="18"/>
  <c r="L3577" i="18"/>
  <c r="B3578" i="18"/>
  <c r="C3578" i="18"/>
  <c r="D3578" i="18"/>
  <c r="E3578" i="18"/>
  <c r="F3578" i="18"/>
  <c r="G3578" i="18"/>
  <c r="H3578" i="18"/>
  <c r="I3578" i="18"/>
  <c r="J3578" i="18"/>
  <c r="K3578" i="18"/>
  <c r="L3578" i="18"/>
  <c r="B3579" i="18"/>
  <c r="C3579" i="18"/>
  <c r="D3579" i="18"/>
  <c r="E3579" i="18"/>
  <c r="F3579" i="18"/>
  <c r="G3579" i="18"/>
  <c r="H3579" i="18"/>
  <c r="I3579" i="18"/>
  <c r="J3579" i="18"/>
  <c r="K3579" i="18"/>
  <c r="L3579" i="18"/>
  <c r="B3580" i="18"/>
  <c r="C3580" i="18"/>
  <c r="D3580" i="18"/>
  <c r="E3580" i="18"/>
  <c r="F3580" i="18"/>
  <c r="G3580" i="18"/>
  <c r="H3580" i="18"/>
  <c r="I3580" i="18"/>
  <c r="J3580" i="18"/>
  <c r="K3580" i="18"/>
  <c r="L3580" i="18"/>
  <c r="B3581" i="18"/>
  <c r="C3581" i="18"/>
  <c r="D3581" i="18"/>
  <c r="E3581" i="18"/>
  <c r="F3581" i="18"/>
  <c r="G3581" i="18"/>
  <c r="H3581" i="18"/>
  <c r="I3581" i="18"/>
  <c r="J3581" i="18"/>
  <c r="K3581" i="18"/>
  <c r="L3581" i="18"/>
  <c r="B3582" i="18"/>
  <c r="C3582" i="18"/>
  <c r="D3582" i="18"/>
  <c r="E3582" i="18"/>
  <c r="F3582" i="18"/>
  <c r="G3582" i="18"/>
  <c r="H3582" i="18"/>
  <c r="I3582" i="18"/>
  <c r="J3582" i="18"/>
  <c r="K3582" i="18"/>
  <c r="L3582" i="18"/>
  <c r="B3583" i="18"/>
  <c r="C3583" i="18"/>
  <c r="D3583" i="18"/>
  <c r="E3583" i="18"/>
  <c r="F3583" i="18"/>
  <c r="G3583" i="18"/>
  <c r="H3583" i="18"/>
  <c r="I3583" i="18"/>
  <c r="J3583" i="18"/>
  <c r="K3583" i="18"/>
  <c r="L3583" i="18"/>
  <c r="B3584" i="18"/>
  <c r="C3584" i="18"/>
  <c r="D3584" i="18"/>
  <c r="E3584" i="18"/>
  <c r="F3584" i="18"/>
  <c r="G3584" i="18"/>
  <c r="H3584" i="18"/>
  <c r="I3584" i="18"/>
  <c r="J3584" i="18"/>
  <c r="K3584" i="18"/>
  <c r="L3584" i="18"/>
  <c r="B3585" i="18"/>
  <c r="C3585" i="18"/>
  <c r="D3585" i="18"/>
  <c r="E3585" i="18"/>
  <c r="F3585" i="18"/>
  <c r="G3585" i="18"/>
  <c r="H3585" i="18"/>
  <c r="I3585" i="18"/>
  <c r="J3585" i="18"/>
  <c r="K3585" i="18"/>
  <c r="L3585" i="18"/>
  <c r="B3586" i="18"/>
  <c r="C3586" i="18"/>
  <c r="D3586" i="18"/>
  <c r="E3586" i="18"/>
  <c r="F3586" i="18"/>
  <c r="G3586" i="18"/>
  <c r="H3586" i="18"/>
  <c r="I3586" i="18"/>
  <c r="J3586" i="18"/>
  <c r="K3586" i="18"/>
  <c r="L3586" i="18"/>
  <c r="B3587" i="18"/>
  <c r="C3587" i="18"/>
  <c r="D3587" i="18"/>
  <c r="E3587" i="18"/>
  <c r="F3587" i="18"/>
  <c r="G3587" i="18"/>
  <c r="H3587" i="18"/>
  <c r="I3587" i="18"/>
  <c r="J3587" i="18"/>
  <c r="K3587" i="18"/>
  <c r="L3587" i="18"/>
  <c r="B3588" i="18"/>
  <c r="C3588" i="18"/>
  <c r="D3588" i="18"/>
  <c r="E3588" i="18"/>
  <c r="F3588" i="18"/>
  <c r="G3588" i="18"/>
  <c r="H3588" i="18"/>
  <c r="I3588" i="18"/>
  <c r="J3588" i="18"/>
  <c r="K3588" i="18"/>
  <c r="L3588" i="18"/>
  <c r="B3589" i="18"/>
  <c r="C3589" i="18"/>
  <c r="D3589" i="18"/>
  <c r="E3589" i="18"/>
  <c r="F3589" i="18"/>
  <c r="G3589" i="18"/>
  <c r="H3589" i="18"/>
  <c r="I3589" i="18"/>
  <c r="J3589" i="18"/>
  <c r="K3589" i="18"/>
  <c r="L3589" i="18"/>
  <c r="B3590" i="18"/>
  <c r="C3590" i="18"/>
  <c r="D3590" i="18"/>
  <c r="E3590" i="18"/>
  <c r="F3590" i="18"/>
  <c r="G3590" i="18"/>
  <c r="H3590" i="18"/>
  <c r="I3590" i="18"/>
  <c r="J3590" i="18"/>
  <c r="K3590" i="18"/>
  <c r="L3590" i="18"/>
  <c r="B3591" i="18"/>
  <c r="C3591" i="18"/>
  <c r="D3591" i="18"/>
  <c r="E3591" i="18"/>
  <c r="F3591" i="18"/>
  <c r="G3591" i="18"/>
  <c r="H3591" i="18"/>
  <c r="I3591" i="18"/>
  <c r="J3591" i="18"/>
  <c r="K3591" i="18"/>
  <c r="L3591" i="18"/>
  <c r="B3592" i="18"/>
  <c r="C3592" i="18"/>
  <c r="D3592" i="18"/>
  <c r="E3592" i="18"/>
  <c r="F3592" i="18"/>
  <c r="G3592" i="18"/>
  <c r="H3592" i="18"/>
  <c r="I3592" i="18"/>
  <c r="J3592" i="18"/>
  <c r="K3592" i="18"/>
  <c r="L3592" i="18"/>
  <c r="B3593" i="18"/>
  <c r="C3593" i="18"/>
  <c r="D3593" i="18"/>
  <c r="E3593" i="18"/>
  <c r="F3593" i="18"/>
  <c r="G3593" i="18"/>
  <c r="H3593" i="18"/>
  <c r="I3593" i="18"/>
  <c r="J3593" i="18"/>
  <c r="K3593" i="18"/>
  <c r="L3593" i="18"/>
  <c r="B3594" i="18"/>
  <c r="C3594" i="18"/>
  <c r="D3594" i="18"/>
  <c r="E3594" i="18"/>
  <c r="F3594" i="18"/>
  <c r="G3594" i="18"/>
  <c r="H3594" i="18"/>
  <c r="I3594" i="18"/>
  <c r="J3594" i="18"/>
  <c r="K3594" i="18"/>
  <c r="L3594" i="18"/>
  <c r="B3595" i="18"/>
  <c r="C3595" i="18"/>
  <c r="D3595" i="18"/>
  <c r="E3595" i="18"/>
  <c r="F3595" i="18"/>
  <c r="G3595" i="18"/>
  <c r="H3595" i="18"/>
  <c r="I3595" i="18"/>
  <c r="J3595" i="18"/>
  <c r="K3595" i="18"/>
  <c r="L3595" i="18"/>
  <c r="B3596" i="18"/>
  <c r="C3596" i="18"/>
  <c r="D3596" i="18"/>
  <c r="E3596" i="18"/>
  <c r="F3596" i="18"/>
  <c r="G3596" i="18"/>
  <c r="H3596" i="18"/>
  <c r="I3596" i="18"/>
  <c r="J3596" i="18"/>
  <c r="K3596" i="18"/>
  <c r="L3596" i="18"/>
  <c r="B3597" i="18"/>
  <c r="C3597" i="18"/>
  <c r="D3597" i="18"/>
  <c r="E3597" i="18"/>
  <c r="F3597" i="18"/>
  <c r="G3597" i="18"/>
  <c r="H3597" i="18"/>
  <c r="I3597" i="18"/>
  <c r="J3597" i="18"/>
  <c r="K3597" i="18"/>
  <c r="L3597" i="18"/>
  <c r="B3598" i="18"/>
  <c r="C3598" i="18"/>
  <c r="D3598" i="18"/>
  <c r="E3598" i="18"/>
  <c r="F3598" i="18"/>
  <c r="G3598" i="18"/>
  <c r="H3598" i="18"/>
  <c r="I3598" i="18"/>
  <c r="J3598" i="18"/>
  <c r="K3598" i="18"/>
  <c r="L3598" i="18"/>
  <c r="B3599" i="18"/>
  <c r="C3599" i="18"/>
  <c r="D3599" i="18"/>
  <c r="E3599" i="18"/>
  <c r="F3599" i="18"/>
  <c r="G3599" i="18"/>
  <c r="H3599" i="18"/>
  <c r="I3599" i="18"/>
  <c r="J3599" i="18"/>
  <c r="K3599" i="18"/>
  <c r="L3599" i="18"/>
  <c r="B3600" i="18"/>
  <c r="C3600" i="18"/>
  <c r="D3600" i="18"/>
  <c r="E3600" i="18"/>
  <c r="F3600" i="18"/>
  <c r="G3600" i="18"/>
  <c r="H3600" i="18"/>
  <c r="I3600" i="18"/>
  <c r="J3600" i="18"/>
  <c r="K3600" i="18"/>
  <c r="L3600" i="18"/>
  <c r="B3601" i="18"/>
  <c r="C3601" i="18"/>
  <c r="D3601" i="18"/>
  <c r="E3601" i="18"/>
  <c r="F3601" i="18"/>
  <c r="G3601" i="18"/>
  <c r="H3601" i="18"/>
  <c r="I3601" i="18"/>
  <c r="J3601" i="18"/>
  <c r="K3601" i="18"/>
  <c r="L3601" i="18"/>
  <c r="B3602" i="18"/>
  <c r="C3602" i="18"/>
  <c r="D3602" i="18"/>
  <c r="E3602" i="18"/>
  <c r="F3602" i="18"/>
  <c r="G3602" i="18"/>
  <c r="H3602" i="18"/>
  <c r="I3602" i="18"/>
  <c r="J3602" i="18"/>
  <c r="K3602" i="18"/>
  <c r="L3602" i="18"/>
  <c r="B3603" i="18"/>
  <c r="C3603" i="18"/>
  <c r="D3603" i="18"/>
  <c r="E3603" i="18"/>
  <c r="F3603" i="18"/>
  <c r="G3603" i="18"/>
  <c r="H3603" i="18"/>
  <c r="I3603" i="18"/>
  <c r="J3603" i="18"/>
  <c r="K3603" i="18"/>
  <c r="L3603" i="18"/>
  <c r="B3604" i="18"/>
  <c r="C3604" i="18"/>
  <c r="D3604" i="18"/>
  <c r="E3604" i="18"/>
  <c r="F3604" i="18"/>
  <c r="G3604" i="18"/>
  <c r="H3604" i="18"/>
  <c r="I3604" i="18"/>
  <c r="J3604" i="18"/>
  <c r="K3604" i="18"/>
  <c r="L3604" i="18"/>
  <c r="B3605" i="18"/>
  <c r="C3605" i="18"/>
  <c r="D3605" i="18"/>
  <c r="E3605" i="18"/>
  <c r="F3605" i="18"/>
  <c r="G3605" i="18"/>
  <c r="H3605" i="18"/>
  <c r="I3605" i="18"/>
  <c r="J3605" i="18"/>
  <c r="K3605" i="18"/>
  <c r="L3605" i="18"/>
  <c r="B3606" i="18"/>
  <c r="C3606" i="18"/>
  <c r="D3606" i="18"/>
  <c r="E3606" i="18"/>
  <c r="F3606" i="18"/>
  <c r="G3606" i="18"/>
  <c r="H3606" i="18"/>
  <c r="I3606" i="18"/>
  <c r="J3606" i="18"/>
  <c r="K3606" i="18"/>
  <c r="L3606" i="18"/>
  <c r="B3607" i="18"/>
  <c r="C3607" i="18"/>
  <c r="D3607" i="18"/>
  <c r="E3607" i="18"/>
  <c r="F3607" i="18"/>
  <c r="G3607" i="18"/>
  <c r="H3607" i="18"/>
  <c r="I3607" i="18"/>
  <c r="J3607" i="18"/>
  <c r="K3607" i="18"/>
  <c r="L3607" i="18"/>
  <c r="B3608" i="18"/>
  <c r="C3608" i="18"/>
  <c r="D3608" i="18"/>
  <c r="E3608" i="18"/>
  <c r="F3608" i="18"/>
  <c r="G3608" i="18"/>
  <c r="H3608" i="18"/>
  <c r="I3608" i="18"/>
  <c r="J3608" i="18"/>
  <c r="K3608" i="18"/>
  <c r="L3608" i="18"/>
  <c r="B3609" i="18"/>
  <c r="C3609" i="18"/>
  <c r="D3609" i="18"/>
  <c r="E3609" i="18"/>
  <c r="F3609" i="18"/>
  <c r="G3609" i="18"/>
  <c r="H3609" i="18"/>
  <c r="I3609" i="18"/>
  <c r="J3609" i="18"/>
  <c r="K3609" i="18"/>
  <c r="L3609" i="18"/>
  <c r="B3610" i="18"/>
  <c r="C3610" i="18"/>
  <c r="D3610" i="18"/>
  <c r="E3610" i="18"/>
  <c r="F3610" i="18"/>
  <c r="G3610" i="18"/>
  <c r="H3610" i="18"/>
  <c r="I3610" i="18"/>
  <c r="J3610" i="18"/>
  <c r="K3610" i="18"/>
  <c r="L3610" i="18"/>
  <c r="B3611" i="18"/>
  <c r="C3611" i="18"/>
  <c r="D3611" i="18"/>
  <c r="E3611" i="18"/>
  <c r="F3611" i="18"/>
  <c r="G3611" i="18"/>
  <c r="H3611" i="18"/>
  <c r="I3611" i="18"/>
  <c r="J3611" i="18"/>
  <c r="K3611" i="18"/>
  <c r="L3611" i="18"/>
  <c r="B3612" i="18"/>
  <c r="C3612" i="18"/>
  <c r="D3612" i="18"/>
  <c r="E3612" i="18"/>
  <c r="F3612" i="18"/>
  <c r="G3612" i="18"/>
  <c r="H3612" i="18"/>
  <c r="I3612" i="18"/>
  <c r="J3612" i="18"/>
  <c r="K3612" i="18"/>
  <c r="L3612" i="18"/>
  <c r="B3613" i="18"/>
  <c r="C3613" i="18"/>
  <c r="D3613" i="18"/>
  <c r="E3613" i="18"/>
  <c r="F3613" i="18"/>
  <c r="G3613" i="18"/>
  <c r="H3613" i="18"/>
  <c r="I3613" i="18"/>
  <c r="J3613" i="18"/>
  <c r="K3613" i="18"/>
  <c r="L3613" i="18"/>
  <c r="B3614" i="18"/>
  <c r="C3614" i="18"/>
  <c r="D3614" i="18"/>
  <c r="E3614" i="18"/>
  <c r="F3614" i="18"/>
  <c r="G3614" i="18"/>
  <c r="H3614" i="18"/>
  <c r="I3614" i="18"/>
  <c r="J3614" i="18"/>
  <c r="K3614" i="18"/>
  <c r="L3614" i="18"/>
  <c r="B3615" i="18"/>
  <c r="C3615" i="18"/>
  <c r="D3615" i="18"/>
  <c r="E3615" i="18"/>
  <c r="F3615" i="18"/>
  <c r="G3615" i="18"/>
  <c r="H3615" i="18"/>
  <c r="I3615" i="18"/>
  <c r="J3615" i="18"/>
  <c r="K3615" i="18"/>
  <c r="L3615" i="18"/>
  <c r="B3616" i="18"/>
  <c r="C3616" i="18"/>
  <c r="D3616" i="18"/>
  <c r="E3616" i="18"/>
  <c r="F3616" i="18"/>
  <c r="G3616" i="18"/>
  <c r="H3616" i="18"/>
  <c r="I3616" i="18"/>
  <c r="J3616" i="18"/>
  <c r="K3616" i="18"/>
  <c r="L3616" i="18"/>
  <c r="B3617" i="18"/>
  <c r="C3617" i="18"/>
  <c r="D3617" i="18"/>
  <c r="E3617" i="18"/>
  <c r="F3617" i="18"/>
  <c r="G3617" i="18"/>
  <c r="H3617" i="18"/>
  <c r="I3617" i="18"/>
  <c r="J3617" i="18"/>
  <c r="K3617" i="18"/>
  <c r="L3617" i="18"/>
  <c r="B3618" i="18"/>
  <c r="C3618" i="18"/>
  <c r="D3618" i="18"/>
  <c r="E3618" i="18"/>
  <c r="F3618" i="18"/>
  <c r="G3618" i="18"/>
  <c r="H3618" i="18"/>
  <c r="I3618" i="18"/>
  <c r="J3618" i="18"/>
  <c r="K3618" i="18"/>
  <c r="L3618" i="18"/>
  <c r="B3619" i="18"/>
  <c r="C3619" i="18"/>
  <c r="D3619" i="18"/>
  <c r="E3619" i="18"/>
  <c r="F3619" i="18"/>
  <c r="G3619" i="18"/>
  <c r="H3619" i="18"/>
  <c r="I3619" i="18"/>
  <c r="J3619" i="18"/>
  <c r="K3619" i="18"/>
  <c r="L3619" i="18"/>
  <c r="B3620" i="18"/>
  <c r="C3620" i="18"/>
  <c r="D3620" i="18"/>
  <c r="E3620" i="18"/>
  <c r="F3620" i="18"/>
  <c r="G3620" i="18"/>
  <c r="H3620" i="18"/>
  <c r="I3620" i="18"/>
  <c r="J3620" i="18"/>
  <c r="K3620" i="18"/>
  <c r="L3620" i="18"/>
  <c r="B3621" i="18"/>
  <c r="C3621" i="18"/>
  <c r="D3621" i="18"/>
  <c r="E3621" i="18"/>
  <c r="F3621" i="18"/>
  <c r="G3621" i="18"/>
  <c r="H3621" i="18"/>
  <c r="I3621" i="18"/>
  <c r="J3621" i="18"/>
  <c r="K3621" i="18"/>
  <c r="L3621" i="18"/>
  <c r="B3622" i="18"/>
  <c r="C3622" i="18"/>
  <c r="D3622" i="18"/>
  <c r="E3622" i="18"/>
  <c r="F3622" i="18"/>
  <c r="G3622" i="18"/>
  <c r="H3622" i="18"/>
  <c r="I3622" i="18"/>
  <c r="J3622" i="18"/>
  <c r="K3622" i="18"/>
  <c r="L3622" i="18"/>
  <c r="B3623" i="18"/>
  <c r="C3623" i="18"/>
  <c r="D3623" i="18"/>
  <c r="E3623" i="18"/>
  <c r="F3623" i="18"/>
  <c r="G3623" i="18"/>
  <c r="H3623" i="18"/>
  <c r="I3623" i="18"/>
  <c r="J3623" i="18"/>
  <c r="K3623" i="18"/>
  <c r="L3623" i="18"/>
  <c r="B3624" i="18"/>
  <c r="C3624" i="18"/>
  <c r="D3624" i="18"/>
  <c r="E3624" i="18"/>
  <c r="F3624" i="18"/>
  <c r="G3624" i="18"/>
  <c r="H3624" i="18"/>
  <c r="I3624" i="18"/>
  <c r="J3624" i="18"/>
  <c r="K3624" i="18"/>
  <c r="L3624" i="18"/>
  <c r="B3625" i="18"/>
  <c r="C3625" i="18"/>
  <c r="D3625" i="18"/>
  <c r="E3625" i="18"/>
  <c r="F3625" i="18"/>
  <c r="G3625" i="18"/>
  <c r="H3625" i="18"/>
  <c r="I3625" i="18"/>
  <c r="J3625" i="18"/>
  <c r="K3625" i="18"/>
  <c r="L3625" i="18"/>
  <c r="B3626" i="18"/>
  <c r="C3626" i="18"/>
  <c r="D3626" i="18"/>
  <c r="E3626" i="18"/>
  <c r="F3626" i="18"/>
  <c r="G3626" i="18"/>
  <c r="H3626" i="18"/>
  <c r="I3626" i="18"/>
  <c r="J3626" i="18"/>
  <c r="K3626" i="18"/>
  <c r="L3626" i="18"/>
  <c r="B3627" i="18"/>
  <c r="C3627" i="18"/>
  <c r="D3627" i="18"/>
  <c r="E3627" i="18"/>
  <c r="F3627" i="18"/>
  <c r="G3627" i="18"/>
  <c r="H3627" i="18"/>
  <c r="I3627" i="18"/>
  <c r="J3627" i="18"/>
  <c r="K3627" i="18"/>
  <c r="L3627" i="18"/>
  <c r="B3628" i="18"/>
  <c r="C3628" i="18"/>
  <c r="D3628" i="18"/>
  <c r="E3628" i="18"/>
  <c r="F3628" i="18"/>
  <c r="G3628" i="18"/>
  <c r="H3628" i="18"/>
  <c r="I3628" i="18"/>
  <c r="J3628" i="18"/>
  <c r="K3628" i="18"/>
  <c r="L3628" i="18"/>
  <c r="B3629" i="18"/>
  <c r="C3629" i="18"/>
  <c r="D3629" i="18"/>
  <c r="E3629" i="18"/>
  <c r="F3629" i="18"/>
  <c r="G3629" i="18"/>
  <c r="H3629" i="18"/>
  <c r="I3629" i="18"/>
  <c r="J3629" i="18"/>
  <c r="K3629" i="18"/>
  <c r="L3629" i="18"/>
  <c r="B3630" i="18"/>
  <c r="C3630" i="18"/>
  <c r="D3630" i="18"/>
  <c r="E3630" i="18"/>
  <c r="F3630" i="18"/>
  <c r="G3630" i="18"/>
  <c r="H3630" i="18"/>
  <c r="I3630" i="18"/>
  <c r="J3630" i="18"/>
  <c r="K3630" i="18"/>
  <c r="L3630" i="18"/>
  <c r="B3631" i="18"/>
  <c r="C3631" i="18"/>
  <c r="D3631" i="18"/>
  <c r="E3631" i="18"/>
  <c r="F3631" i="18"/>
  <c r="G3631" i="18"/>
  <c r="H3631" i="18"/>
  <c r="I3631" i="18"/>
  <c r="J3631" i="18"/>
  <c r="K3631" i="18"/>
  <c r="L3631" i="18"/>
  <c r="B3632" i="18"/>
  <c r="C3632" i="18"/>
  <c r="D3632" i="18"/>
  <c r="E3632" i="18"/>
  <c r="F3632" i="18"/>
  <c r="G3632" i="18"/>
  <c r="H3632" i="18"/>
  <c r="I3632" i="18"/>
  <c r="J3632" i="18"/>
  <c r="K3632" i="18"/>
  <c r="L3632" i="18"/>
  <c r="B3633" i="18"/>
  <c r="C3633" i="18"/>
  <c r="D3633" i="18"/>
  <c r="E3633" i="18"/>
  <c r="F3633" i="18"/>
  <c r="G3633" i="18"/>
  <c r="H3633" i="18"/>
  <c r="I3633" i="18"/>
  <c r="J3633" i="18"/>
  <c r="K3633" i="18"/>
  <c r="L3633" i="18"/>
  <c r="B3634" i="18"/>
  <c r="C3634" i="18"/>
  <c r="D3634" i="18"/>
  <c r="E3634" i="18"/>
  <c r="F3634" i="18"/>
  <c r="G3634" i="18"/>
  <c r="H3634" i="18"/>
  <c r="I3634" i="18"/>
  <c r="J3634" i="18"/>
  <c r="K3634" i="18"/>
  <c r="L3634" i="18"/>
  <c r="B3635" i="18"/>
  <c r="C3635" i="18"/>
  <c r="D3635" i="18"/>
  <c r="E3635" i="18"/>
  <c r="F3635" i="18"/>
  <c r="G3635" i="18"/>
  <c r="H3635" i="18"/>
  <c r="I3635" i="18"/>
  <c r="J3635" i="18"/>
  <c r="K3635" i="18"/>
  <c r="L3635" i="18"/>
  <c r="B3636" i="18"/>
  <c r="C3636" i="18"/>
  <c r="D3636" i="18"/>
  <c r="E3636" i="18"/>
  <c r="F3636" i="18"/>
  <c r="G3636" i="18"/>
  <c r="H3636" i="18"/>
  <c r="I3636" i="18"/>
  <c r="J3636" i="18"/>
  <c r="K3636" i="18"/>
  <c r="L3636" i="18"/>
  <c r="B3637" i="18"/>
  <c r="C3637" i="18"/>
  <c r="D3637" i="18"/>
  <c r="E3637" i="18"/>
  <c r="F3637" i="18"/>
  <c r="G3637" i="18"/>
  <c r="H3637" i="18"/>
  <c r="I3637" i="18"/>
  <c r="J3637" i="18"/>
  <c r="K3637" i="18"/>
  <c r="L3637" i="18"/>
  <c r="B3638" i="18"/>
  <c r="C3638" i="18"/>
  <c r="D3638" i="18"/>
  <c r="E3638" i="18"/>
  <c r="F3638" i="18"/>
  <c r="G3638" i="18"/>
  <c r="H3638" i="18"/>
  <c r="I3638" i="18"/>
  <c r="J3638" i="18"/>
  <c r="K3638" i="18"/>
  <c r="L3638" i="18"/>
  <c r="B3639" i="18"/>
  <c r="C3639" i="18"/>
  <c r="D3639" i="18"/>
  <c r="E3639" i="18"/>
  <c r="F3639" i="18"/>
  <c r="G3639" i="18"/>
  <c r="H3639" i="18"/>
  <c r="I3639" i="18"/>
  <c r="J3639" i="18"/>
  <c r="K3639" i="18"/>
  <c r="L3639" i="18"/>
  <c r="B3640" i="18"/>
  <c r="C3640" i="18"/>
  <c r="D3640" i="18"/>
  <c r="E3640" i="18"/>
  <c r="F3640" i="18"/>
  <c r="G3640" i="18"/>
  <c r="H3640" i="18"/>
  <c r="I3640" i="18"/>
  <c r="J3640" i="18"/>
  <c r="K3640" i="18"/>
  <c r="L3640" i="18"/>
  <c r="B3641" i="18"/>
  <c r="C3641" i="18"/>
  <c r="D3641" i="18"/>
  <c r="E3641" i="18"/>
  <c r="F3641" i="18"/>
  <c r="G3641" i="18"/>
  <c r="H3641" i="18"/>
  <c r="I3641" i="18"/>
  <c r="J3641" i="18"/>
  <c r="K3641" i="18"/>
  <c r="L3641" i="18"/>
  <c r="B3642" i="18"/>
  <c r="C3642" i="18"/>
  <c r="D3642" i="18"/>
  <c r="E3642" i="18"/>
  <c r="F3642" i="18"/>
  <c r="G3642" i="18"/>
  <c r="H3642" i="18"/>
  <c r="I3642" i="18"/>
  <c r="J3642" i="18"/>
  <c r="K3642" i="18"/>
  <c r="L3642" i="18"/>
  <c r="B3643" i="18"/>
  <c r="C3643" i="18"/>
  <c r="D3643" i="18"/>
  <c r="E3643" i="18"/>
  <c r="F3643" i="18"/>
  <c r="G3643" i="18"/>
  <c r="H3643" i="18"/>
  <c r="I3643" i="18"/>
  <c r="J3643" i="18"/>
  <c r="K3643" i="18"/>
  <c r="L3643" i="18"/>
  <c r="B3644" i="18"/>
  <c r="C3644" i="18"/>
  <c r="D3644" i="18"/>
  <c r="E3644" i="18"/>
  <c r="F3644" i="18"/>
  <c r="G3644" i="18"/>
  <c r="H3644" i="18"/>
  <c r="I3644" i="18"/>
  <c r="J3644" i="18"/>
  <c r="K3644" i="18"/>
  <c r="L3644" i="18"/>
  <c r="B3645" i="18"/>
  <c r="C3645" i="18"/>
  <c r="D3645" i="18"/>
  <c r="E3645" i="18"/>
  <c r="F3645" i="18"/>
  <c r="G3645" i="18"/>
  <c r="H3645" i="18"/>
  <c r="I3645" i="18"/>
  <c r="J3645" i="18"/>
  <c r="K3645" i="18"/>
  <c r="L3645" i="18"/>
  <c r="B3646" i="18"/>
  <c r="C3646" i="18"/>
  <c r="D3646" i="18"/>
  <c r="E3646" i="18"/>
  <c r="F3646" i="18"/>
  <c r="G3646" i="18"/>
  <c r="H3646" i="18"/>
  <c r="I3646" i="18"/>
  <c r="J3646" i="18"/>
  <c r="K3646" i="18"/>
  <c r="L3646" i="18"/>
  <c r="B3647" i="18"/>
  <c r="C3647" i="18"/>
  <c r="D3647" i="18"/>
  <c r="E3647" i="18"/>
  <c r="F3647" i="18"/>
  <c r="G3647" i="18"/>
  <c r="H3647" i="18"/>
  <c r="I3647" i="18"/>
  <c r="J3647" i="18"/>
  <c r="K3647" i="18"/>
  <c r="L3647" i="18"/>
  <c r="B3648" i="18"/>
  <c r="C3648" i="18"/>
  <c r="D3648" i="18"/>
  <c r="E3648" i="18"/>
  <c r="F3648" i="18"/>
  <c r="G3648" i="18"/>
  <c r="H3648" i="18"/>
  <c r="I3648" i="18"/>
  <c r="J3648" i="18"/>
  <c r="K3648" i="18"/>
  <c r="L3648" i="18"/>
  <c r="B3649" i="18"/>
  <c r="C3649" i="18"/>
  <c r="D3649" i="18"/>
  <c r="E3649" i="18"/>
  <c r="F3649" i="18"/>
  <c r="G3649" i="18"/>
  <c r="H3649" i="18"/>
  <c r="I3649" i="18"/>
  <c r="J3649" i="18"/>
  <c r="K3649" i="18"/>
  <c r="L3649" i="18"/>
  <c r="B3650" i="18"/>
  <c r="C3650" i="18"/>
  <c r="D3650" i="18"/>
  <c r="E3650" i="18"/>
  <c r="F3650" i="18"/>
  <c r="G3650" i="18"/>
  <c r="H3650" i="18"/>
  <c r="I3650" i="18"/>
  <c r="J3650" i="18"/>
  <c r="K3650" i="18"/>
  <c r="L3650" i="18"/>
  <c r="B3651" i="18"/>
  <c r="C3651" i="18"/>
  <c r="D3651" i="18"/>
  <c r="E3651" i="18"/>
  <c r="F3651" i="18"/>
  <c r="G3651" i="18"/>
  <c r="H3651" i="18"/>
  <c r="I3651" i="18"/>
  <c r="J3651" i="18"/>
  <c r="K3651" i="18"/>
  <c r="L3651" i="18"/>
  <c r="B3652" i="18"/>
  <c r="C3652" i="18"/>
  <c r="D3652" i="18"/>
  <c r="E3652" i="18"/>
  <c r="F3652" i="18"/>
  <c r="G3652" i="18"/>
  <c r="H3652" i="18"/>
  <c r="I3652" i="18"/>
  <c r="J3652" i="18"/>
  <c r="K3652" i="18"/>
  <c r="L3652" i="18"/>
  <c r="B3653" i="18"/>
  <c r="C3653" i="18"/>
  <c r="D3653" i="18"/>
  <c r="E3653" i="18"/>
  <c r="F3653" i="18"/>
  <c r="G3653" i="18"/>
  <c r="H3653" i="18"/>
  <c r="I3653" i="18"/>
  <c r="J3653" i="18"/>
  <c r="K3653" i="18"/>
  <c r="L3653" i="18"/>
  <c r="B3654" i="18"/>
  <c r="C3654" i="18"/>
  <c r="D3654" i="18"/>
  <c r="E3654" i="18"/>
  <c r="F3654" i="18"/>
  <c r="G3654" i="18"/>
  <c r="H3654" i="18"/>
  <c r="I3654" i="18"/>
  <c r="J3654" i="18"/>
  <c r="K3654" i="18"/>
  <c r="L3654" i="18"/>
  <c r="B3655" i="18"/>
  <c r="C3655" i="18"/>
  <c r="D3655" i="18"/>
  <c r="E3655" i="18"/>
  <c r="F3655" i="18"/>
  <c r="G3655" i="18"/>
  <c r="H3655" i="18"/>
  <c r="I3655" i="18"/>
  <c r="J3655" i="18"/>
  <c r="K3655" i="18"/>
  <c r="L3655" i="18"/>
  <c r="B3656" i="18"/>
  <c r="C3656" i="18"/>
  <c r="D3656" i="18"/>
  <c r="E3656" i="18"/>
  <c r="F3656" i="18"/>
  <c r="G3656" i="18"/>
  <c r="H3656" i="18"/>
  <c r="I3656" i="18"/>
  <c r="J3656" i="18"/>
  <c r="K3656" i="18"/>
  <c r="L3656" i="18"/>
  <c r="B3657" i="18"/>
  <c r="C3657" i="18"/>
  <c r="D3657" i="18"/>
  <c r="E3657" i="18"/>
  <c r="F3657" i="18"/>
  <c r="G3657" i="18"/>
  <c r="H3657" i="18"/>
  <c r="I3657" i="18"/>
  <c r="J3657" i="18"/>
  <c r="K3657" i="18"/>
  <c r="L3657" i="18"/>
  <c r="B3658" i="18"/>
  <c r="C3658" i="18"/>
  <c r="D3658" i="18"/>
  <c r="E3658" i="18"/>
  <c r="F3658" i="18"/>
  <c r="G3658" i="18"/>
  <c r="H3658" i="18"/>
  <c r="I3658" i="18"/>
  <c r="J3658" i="18"/>
  <c r="K3658" i="18"/>
  <c r="L3658" i="18"/>
  <c r="B3659" i="18"/>
  <c r="C3659" i="18"/>
  <c r="D3659" i="18"/>
  <c r="E3659" i="18"/>
  <c r="F3659" i="18"/>
  <c r="G3659" i="18"/>
  <c r="H3659" i="18"/>
  <c r="I3659" i="18"/>
  <c r="J3659" i="18"/>
  <c r="K3659" i="18"/>
  <c r="L3659" i="18"/>
  <c r="B3660" i="18"/>
  <c r="C3660" i="18"/>
  <c r="D3660" i="18"/>
  <c r="E3660" i="18"/>
  <c r="F3660" i="18"/>
  <c r="G3660" i="18"/>
  <c r="H3660" i="18"/>
  <c r="I3660" i="18"/>
  <c r="J3660" i="18"/>
  <c r="K3660" i="18"/>
  <c r="L3660" i="18"/>
  <c r="B3661" i="18"/>
  <c r="C3661" i="18"/>
  <c r="D3661" i="18"/>
  <c r="E3661" i="18"/>
  <c r="F3661" i="18"/>
  <c r="G3661" i="18"/>
  <c r="H3661" i="18"/>
  <c r="I3661" i="18"/>
  <c r="J3661" i="18"/>
  <c r="K3661" i="18"/>
  <c r="L3661" i="18"/>
  <c r="B3662" i="18"/>
  <c r="C3662" i="18"/>
  <c r="D3662" i="18"/>
  <c r="E3662" i="18"/>
  <c r="F3662" i="18"/>
  <c r="G3662" i="18"/>
  <c r="H3662" i="18"/>
  <c r="I3662" i="18"/>
  <c r="J3662" i="18"/>
  <c r="K3662" i="18"/>
  <c r="L3662" i="18"/>
  <c r="B3663" i="18"/>
  <c r="C3663" i="18"/>
  <c r="D3663" i="18"/>
  <c r="E3663" i="18"/>
  <c r="F3663" i="18"/>
  <c r="G3663" i="18"/>
  <c r="H3663" i="18"/>
  <c r="I3663" i="18"/>
  <c r="J3663" i="18"/>
  <c r="K3663" i="18"/>
  <c r="L3663" i="18"/>
  <c r="B3664" i="18"/>
  <c r="C3664" i="18"/>
  <c r="D3664" i="18"/>
  <c r="E3664" i="18"/>
  <c r="F3664" i="18"/>
  <c r="G3664" i="18"/>
  <c r="H3664" i="18"/>
  <c r="I3664" i="18"/>
  <c r="J3664" i="18"/>
  <c r="K3664" i="18"/>
  <c r="L3664" i="18"/>
  <c r="B3665" i="18"/>
  <c r="C3665" i="18"/>
  <c r="D3665" i="18"/>
  <c r="E3665" i="18"/>
  <c r="F3665" i="18"/>
  <c r="G3665" i="18"/>
  <c r="H3665" i="18"/>
  <c r="I3665" i="18"/>
  <c r="J3665" i="18"/>
  <c r="K3665" i="18"/>
  <c r="L3665" i="18"/>
  <c r="B3666" i="18"/>
  <c r="C3666" i="18"/>
  <c r="D3666" i="18"/>
  <c r="E3666" i="18"/>
  <c r="F3666" i="18"/>
  <c r="G3666" i="18"/>
  <c r="H3666" i="18"/>
  <c r="I3666" i="18"/>
  <c r="J3666" i="18"/>
  <c r="K3666" i="18"/>
  <c r="L3666" i="18"/>
  <c r="B3667" i="18"/>
  <c r="C3667" i="18"/>
  <c r="D3667" i="18"/>
  <c r="E3667" i="18"/>
  <c r="F3667" i="18"/>
  <c r="G3667" i="18"/>
  <c r="H3667" i="18"/>
  <c r="I3667" i="18"/>
  <c r="J3667" i="18"/>
  <c r="K3667" i="18"/>
  <c r="L3667" i="18"/>
  <c r="B3668" i="18"/>
  <c r="C3668" i="18"/>
  <c r="D3668" i="18"/>
  <c r="E3668" i="18"/>
  <c r="F3668" i="18"/>
  <c r="G3668" i="18"/>
  <c r="H3668" i="18"/>
  <c r="I3668" i="18"/>
  <c r="J3668" i="18"/>
  <c r="K3668" i="18"/>
  <c r="L3668" i="18"/>
  <c r="B3669" i="18"/>
  <c r="C3669" i="18"/>
  <c r="D3669" i="18"/>
  <c r="E3669" i="18"/>
  <c r="F3669" i="18"/>
  <c r="G3669" i="18"/>
  <c r="H3669" i="18"/>
  <c r="I3669" i="18"/>
  <c r="J3669" i="18"/>
  <c r="K3669" i="18"/>
  <c r="L3669" i="18"/>
  <c r="B3670" i="18"/>
  <c r="C3670" i="18"/>
  <c r="D3670" i="18"/>
  <c r="E3670" i="18"/>
  <c r="F3670" i="18"/>
  <c r="G3670" i="18"/>
  <c r="H3670" i="18"/>
  <c r="I3670" i="18"/>
  <c r="J3670" i="18"/>
  <c r="K3670" i="18"/>
  <c r="L3670" i="18"/>
  <c r="B3671" i="18"/>
  <c r="C3671" i="18"/>
  <c r="D3671" i="18"/>
  <c r="E3671" i="18"/>
  <c r="F3671" i="18"/>
  <c r="G3671" i="18"/>
  <c r="H3671" i="18"/>
  <c r="I3671" i="18"/>
  <c r="J3671" i="18"/>
  <c r="K3671" i="18"/>
  <c r="L3671" i="18"/>
  <c r="B3672" i="18"/>
  <c r="C3672" i="18"/>
  <c r="D3672" i="18"/>
  <c r="E3672" i="18"/>
  <c r="F3672" i="18"/>
  <c r="G3672" i="18"/>
  <c r="H3672" i="18"/>
  <c r="I3672" i="18"/>
  <c r="J3672" i="18"/>
  <c r="K3672" i="18"/>
  <c r="L3672" i="18"/>
  <c r="B3673" i="18"/>
  <c r="C3673" i="18"/>
  <c r="D3673" i="18"/>
  <c r="E3673" i="18"/>
  <c r="F3673" i="18"/>
  <c r="G3673" i="18"/>
  <c r="H3673" i="18"/>
  <c r="I3673" i="18"/>
  <c r="J3673" i="18"/>
  <c r="K3673" i="18"/>
  <c r="L3673" i="18"/>
  <c r="B3674" i="18"/>
  <c r="C3674" i="18"/>
  <c r="D3674" i="18"/>
  <c r="E3674" i="18"/>
  <c r="F3674" i="18"/>
  <c r="G3674" i="18"/>
  <c r="H3674" i="18"/>
  <c r="I3674" i="18"/>
  <c r="J3674" i="18"/>
  <c r="K3674" i="18"/>
  <c r="L3674" i="18"/>
  <c r="B3675" i="18"/>
  <c r="C3675" i="18"/>
  <c r="D3675" i="18"/>
  <c r="E3675" i="18"/>
  <c r="F3675" i="18"/>
  <c r="G3675" i="18"/>
  <c r="H3675" i="18"/>
  <c r="I3675" i="18"/>
  <c r="J3675" i="18"/>
  <c r="K3675" i="18"/>
  <c r="L3675" i="18"/>
  <c r="B3676" i="18"/>
  <c r="C3676" i="18"/>
  <c r="D3676" i="18"/>
  <c r="E3676" i="18"/>
  <c r="F3676" i="18"/>
  <c r="G3676" i="18"/>
  <c r="H3676" i="18"/>
  <c r="I3676" i="18"/>
  <c r="J3676" i="18"/>
  <c r="K3676" i="18"/>
  <c r="L3676" i="18"/>
  <c r="B3677" i="18"/>
  <c r="C3677" i="18"/>
  <c r="D3677" i="18"/>
  <c r="E3677" i="18"/>
  <c r="F3677" i="18"/>
  <c r="G3677" i="18"/>
  <c r="H3677" i="18"/>
  <c r="I3677" i="18"/>
  <c r="J3677" i="18"/>
  <c r="K3677" i="18"/>
  <c r="L3677" i="18"/>
  <c r="B3678" i="18"/>
  <c r="C3678" i="18"/>
  <c r="D3678" i="18"/>
  <c r="E3678" i="18"/>
  <c r="F3678" i="18"/>
  <c r="G3678" i="18"/>
  <c r="H3678" i="18"/>
  <c r="I3678" i="18"/>
  <c r="J3678" i="18"/>
  <c r="K3678" i="18"/>
  <c r="L3678" i="18"/>
  <c r="B3679" i="18"/>
  <c r="C3679" i="18"/>
  <c r="D3679" i="18"/>
  <c r="E3679" i="18"/>
  <c r="F3679" i="18"/>
  <c r="G3679" i="18"/>
  <c r="H3679" i="18"/>
  <c r="I3679" i="18"/>
  <c r="J3679" i="18"/>
  <c r="K3679" i="18"/>
  <c r="L3679" i="18"/>
  <c r="B3680" i="18"/>
  <c r="C3680" i="18"/>
  <c r="D3680" i="18"/>
  <c r="E3680" i="18"/>
  <c r="F3680" i="18"/>
  <c r="G3680" i="18"/>
  <c r="H3680" i="18"/>
  <c r="I3680" i="18"/>
  <c r="J3680" i="18"/>
  <c r="K3680" i="18"/>
  <c r="L3680" i="18"/>
  <c r="B3681" i="18"/>
  <c r="C3681" i="18"/>
  <c r="D3681" i="18"/>
  <c r="E3681" i="18"/>
  <c r="F3681" i="18"/>
  <c r="G3681" i="18"/>
  <c r="H3681" i="18"/>
  <c r="I3681" i="18"/>
  <c r="J3681" i="18"/>
  <c r="K3681" i="18"/>
  <c r="L3681" i="18"/>
  <c r="B3682" i="18"/>
  <c r="C3682" i="18"/>
  <c r="D3682" i="18"/>
  <c r="E3682" i="18"/>
  <c r="F3682" i="18"/>
  <c r="G3682" i="18"/>
  <c r="H3682" i="18"/>
  <c r="I3682" i="18"/>
  <c r="J3682" i="18"/>
  <c r="K3682" i="18"/>
  <c r="L3682" i="18"/>
  <c r="B3683" i="18"/>
  <c r="C3683" i="18"/>
  <c r="D3683" i="18"/>
  <c r="E3683" i="18"/>
  <c r="F3683" i="18"/>
  <c r="G3683" i="18"/>
  <c r="H3683" i="18"/>
  <c r="I3683" i="18"/>
  <c r="J3683" i="18"/>
  <c r="K3683" i="18"/>
  <c r="L3683" i="18"/>
  <c r="B3684" i="18"/>
  <c r="C3684" i="18"/>
  <c r="D3684" i="18"/>
  <c r="E3684" i="18"/>
  <c r="F3684" i="18"/>
  <c r="G3684" i="18"/>
  <c r="H3684" i="18"/>
  <c r="I3684" i="18"/>
  <c r="J3684" i="18"/>
  <c r="K3684" i="18"/>
  <c r="L3684" i="18"/>
  <c r="B3685" i="18"/>
  <c r="C3685" i="18"/>
  <c r="D3685" i="18"/>
  <c r="E3685" i="18"/>
  <c r="F3685" i="18"/>
  <c r="G3685" i="18"/>
  <c r="H3685" i="18"/>
  <c r="I3685" i="18"/>
  <c r="J3685" i="18"/>
  <c r="K3685" i="18"/>
  <c r="L3685" i="18"/>
  <c r="B3686" i="18"/>
  <c r="C3686" i="18"/>
  <c r="D3686" i="18"/>
  <c r="E3686" i="18"/>
  <c r="F3686" i="18"/>
  <c r="G3686" i="18"/>
  <c r="H3686" i="18"/>
  <c r="I3686" i="18"/>
  <c r="J3686" i="18"/>
  <c r="K3686" i="18"/>
  <c r="L3686" i="18"/>
  <c r="B3687" i="18"/>
  <c r="C3687" i="18"/>
  <c r="D3687" i="18"/>
  <c r="E3687" i="18"/>
  <c r="F3687" i="18"/>
  <c r="G3687" i="18"/>
  <c r="H3687" i="18"/>
  <c r="I3687" i="18"/>
  <c r="J3687" i="18"/>
  <c r="K3687" i="18"/>
  <c r="L3687" i="18"/>
  <c r="B3688" i="18"/>
  <c r="C3688" i="18"/>
  <c r="D3688" i="18"/>
  <c r="E3688" i="18"/>
  <c r="F3688" i="18"/>
  <c r="G3688" i="18"/>
  <c r="H3688" i="18"/>
  <c r="I3688" i="18"/>
  <c r="J3688" i="18"/>
  <c r="K3688" i="18"/>
  <c r="L3688" i="18"/>
  <c r="B3689" i="18"/>
  <c r="C3689" i="18"/>
  <c r="D3689" i="18"/>
  <c r="E3689" i="18"/>
  <c r="F3689" i="18"/>
  <c r="G3689" i="18"/>
  <c r="H3689" i="18"/>
  <c r="I3689" i="18"/>
  <c r="J3689" i="18"/>
  <c r="K3689" i="18"/>
  <c r="L3689" i="18"/>
  <c r="B3690" i="18"/>
  <c r="C3690" i="18"/>
  <c r="D3690" i="18"/>
  <c r="E3690" i="18"/>
  <c r="F3690" i="18"/>
  <c r="G3690" i="18"/>
  <c r="H3690" i="18"/>
  <c r="I3690" i="18"/>
  <c r="J3690" i="18"/>
  <c r="K3690" i="18"/>
  <c r="L3690" i="18"/>
  <c r="B3691" i="18"/>
  <c r="C3691" i="18"/>
  <c r="D3691" i="18"/>
  <c r="E3691" i="18"/>
  <c r="F3691" i="18"/>
  <c r="G3691" i="18"/>
  <c r="H3691" i="18"/>
  <c r="I3691" i="18"/>
  <c r="J3691" i="18"/>
  <c r="K3691" i="18"/>
  <c r="L3691" i="18"/>
  <c r="B3692" i="18"/>
  <c r="C3692" i="18"/>
  <c r="D3692" i="18"/>
  <c r="E3692" i="18"/>
  <c r="F3692" i="18"/>
  <c r="G3692" i="18"/>
  <c r="H3692" i="18"/>
  <c r="I3692" i="18"/>
  <c r="J3692" i="18"/>
  <c r="K3692" i="18"/>
  <c r="L3692" i="18"/>
  <c r="B3693" i="18"/>
  <c r="C3693" i="18"/>
  <c r="D3693" i="18"/>
  <c r="E3693" i="18"/>
  <c r="F3693" i="18"/>
  <c r="G3693" i="18"/>
  <c r="H3693" i="18"/>
  <c r="I3693" i="18"/>
  <c r="J3693" i="18"/>
  <c r="K3693" i="18"/>
  <c r="L3693" i="18"/>
  <c r="B3694" i="18"/>
  <c r="C3694" i="18"/>
  <c r="D3694" i="18"/>
  <c r="E3694" i="18"/>
  <c r="F3694" i="18"/>
  <c r="G3694" i="18"/>
  <c r="H3694" i="18"/>
  <c r="I3694" i="18"/>
  <c r="J3694" i="18"/>
  <c r="K3694" i="18"/>
  <c r="L3694" i="18"/>
  <c r="B3695" i="18"/>
  <c r="C3695" i="18"/>
  <c r="D3695" i="18"/>
  <c r="E3695" i="18"/>
  <c r="F3695" i="18"/>
  <c r="G3695" i="18"/>
  <c r="H3695" i="18"/>
  <c r="I3695" i="18"/>
  <c r="J3695" i="18"/>
  <c r="K3695" i="18"/>
  <c r="L3695" i="18"/>
  <c r="B3696" i="18"/>
  <c r="C3696" i="18"/>
  <c r="D3696" i="18"/>
  <c r="E3696" i="18"/>
  <c r="F3696" i="18"/>
  <c r="G3696" i="18"/>
  <c r="H3696" i="18"/>
  <c r="I3696" i="18"/>
  <c r="J3696" i="18"/>
  <c r="K3696" i="18"/>
  <c r="L3696" i="18"/>
  <c r="B3697" i="18"/>
  <c r="C3697" i="18"/>
  <c r="D3697" i="18"/>
  <c r="E3697" i="18"/>
  <c r="F3697" i="18"/>
  <c r="G3697" i="18"/>
  <c r="H3697" i="18"/>
  <c r="I3697" i="18"/>
  <c r="J3697" i="18"/>
  <c r="K3697" i="18"/>
  <c r="L3697" i="18"/>
  <c r="B3698" i="18"/>
  <c r="C3698" i="18"/>
  <c r="D3698" i="18"/>
  <c r="E3698" i="18"/>
  <c r="F3698" i="18"/>
  <c r="G3698" i="18"/>
  <c r="H3698" i="18"/>
  <c r="I3698" i="18"/>
  <c r="J3698" i="18"/>
  <c r="K3698" i="18"/>
  <c r="L3698" i="18"/>
  <c r="B3699" i="18"/>
  <c r="C3699" i="18"/>
  <c r="D3699" i="18"/>
  <c r="E3699" i="18"/>
  <c r="F3699" i="18"/>
  <c r="G3699" i="18"/>
  <c r="H3699" i="18"/>
  <c r="I3699" i="18"/>
  <c r="J3699" i="18"/>
  <c r="K3699" i="18"/>
  <c r="L3699" i="18"/>
  <c r="B3700" i="18"/>
  <c r="C3700" i="18"/>
  <c r="D3700" i="18"/>
  <c r="E3700" i="18"/>
  <c r="F3700" i="18"/>
  <c r="G3700" i="18"/>
  <c r="H3700" i="18"/>
  <c r="I3700" i="18"/>
  <c r="J3700" i="18"/>
  <c r="K3700" i="18"/>
  <c r="L3700" i="18"/>
  <c r="B3701" i="18"/>
  <c r="C3701" i="18"/>
  <c r="D3701" i="18"/>
  <c r="E3701" i="18"/>
  <c r="F3701" i="18"/>
  <c r="G3701" i="18"/>
  <c r="H3701" i="18"/>
  <c r="I3701" i="18"/>
  <c r="J3701" i="18"/>
  <c r="K3701" i="18"/>
  <c r="L3701" i="18"/>
  <c r="B3702" i="18"/>
  <c r="C3702" i="18"/>
  <c r="D3702" i="18"/>
  <c r="E3702" i="18"/>
  <c r="F3702" i="18"/>
  <c r="G3702" i="18"/>
  <c r="H3702" i="18"/>
  <c r="I3702" i="18"/>
  <c r="J3702" i="18"/>
  <c r="K3702" i="18"/>
  <c r="L3702" i="18"/>
  <c r="B3703" i="18"/>
  <c r="C3703" i="18"/>
  <c r="D3703" i="18"/>
  <c r="E3703" i="18"/>
  <c r="F3703" i="18"/>
  <c r="G3703" i="18"/>
  <c r="H3703" i="18"/>
  <c r="I3703" i="18"/>
  <c r="J3703" i="18"/>
  <c r="K3703" i="18"/>
  <c r="L3703" i="18"/>
  <c r="B3704" i="18"/>
  <c r="C3704" i="18"/>
  <c r="D3704" i="18"/>
  <c r="E3704" i="18"/>
  <c r="F3704" i="18"/>
  <c r="G3704" i="18"/>
  <c r="H3704" i="18"/>
  <c r="I3704" i="18"/>
  <c r="J3704" i="18"/>
  <c r="K3704" i="18"/>
  <c r="L3704" i="18"/>
  <c r="B3705" i="18"/>
  <c r="C3705" i="18"/>
  <c r="D3705" i="18"/>
  <c r="E3705" i="18"/>
  <c r="F3705" i="18"/>
  <c r="G3705" i="18"/>
  <c r="H3705" i="18"/>
  <c r="I3705" i="18"/>
  <c r="J3705" i="18"/>
  <c r="K3705" i="18"/>
  <c r="L3705" i="18"/>
  <c r="B3706" i="18"/>
  <c r="C3706" i="18"/>
  <c r="D3706" i="18"/>
  <c r="E3706" i="18"/>
  <c r="F3706" i="18"/>
  <c r="G3706" i="18"/>
  <c r="H3706" i="18"/>
  <c r="I3706" i="18"/>
  <c r="J3706" i="18"/>
  <c r="K3706" i="18"/>
  <c r="L3706" i="18"/>
  <c r="B3707" i="18"/>
  <c r="C3707" i="18"/>
  <c r="D3707" i="18"/>
  <c r="E3707" i="18"/>
  <c r="F3707" i="18"/>
  <c r="G3707" i="18"/>
  <c r="H3707" i="18"/>
  <c r="I3707" i="18"/>
  <c r="J3707" i="18"/>
  <c r="K3707" i="18"/>
  <c r="L3707" i="18"/>
  <c r="B3708" i="18"/>
  <c r="C3708" i="18"/>
  <c r="D3708" i="18"/>
  <c r="E3708" i="18"/>
  <c r="F3708" i="18"/>
  <c r="G3708" i="18"/>
  <c r="H3708" i="18"/>
  <c r="I3708" i="18"/>
  <c r="J3708" i="18"/>
  <c r="K3708" i="18"/>
  <c r="L3708" i="18"/>
  <c r="B3709" i="18"/>
  <c r="C3709" i="18"/>
  <c r="D3709" i="18"/>
  <c r="E3709" i="18"/>
  <c r="F3709" i="18"/>
  <c r="G3709" i="18"/>
  <c r="H3709" i="18"/>
  <c r="I3709" i="18"/>
  <c r="J3709" i="18"/>
  <c r="K3709" i="18"/>
  <c r="L3709" i="18"/>
  <c r="B3710" i="18"/>
  <c r="C3710" i="18"/>
  <c r="D3710" i="18"/>
  <c r="E3710" i="18"/>
  <c r="F3710" i="18"/>
  <c r="G3710" i="18"/>
  <c r="H3710" i="18"/>
  <c r="I3710" i="18"/>
  <c r="J3710" i="18"/>
  <c r="K3710" i="18"/>
  <c r="L3710" i="18"/>
  <c r="B3711" i="18"/>
  <c r="C3711" i="18"/>
  <c r="D3711" i="18"/>
  <c r="E3711" i="18"/>
  <c r="F3711" i="18"/>
  <c r="G3711" i="18"/>
  <c r="H3711" i="18"/>
  <c r="I3711" i="18"/>
  <c r="J3711" i="18"/>
  <c r="K3711" i="18"/>
  <c r="L3711" i="18"/>
  <c r="B3712" i="18"/>
  <c r="C3712" i="18"/>
  <c r="D3712" i="18"/>
  <c r="E3712" i="18"/>
  <c r="F3712" i="18"/>
  <c r="G3712" i="18"/>
  <c r="H3712" i="18"/>
  <c r="I3712" i="18"/>
  <c r="J3712" i="18"/>
  <c r="K3712" i="18"/>
  <c r="L3712" i="18"/>
  <c r="B3713" i="18"/>
  <c r="C3713" i="18"/>
  <c r="D3713" i="18"/>
  <c r="E3713" i="18"/>
  <c r="F3713" i="18"/>
  <c r="G3713" i="18"/>
  <c r="H3713" i="18"/>
  <c r="I3713" i="18"/>
  <c r="J3713" i="18"/>
  <c r="K3713" i="18"/>
  <c r="L3713" i="18"/>
  <c r="B3714" i="18"/>
  <c r="C3714" i="18"/>
  <c r="D3714" i="18"/>
  <c r="E3714" i="18"/>
  <c r="F3714" i="18"/>
  <c r="G3714" i="18"/>
  <c r="H3714" i="18"/>
  <c r="I3714" i="18"/>
  <c r="J3714" i="18"/>
  <c r="K3714" i="18"/>
  <c r="L3714" i="18"/>
  <c r="B3715" i="18"/>
  <c r="C3715" i="18"/>
  <c r="D3715" i="18"/>
  <c r="E3715" i="18"/>
  <c r="F3715" i="18"/>
  <c r="G3715" i="18"/>
  <c r="H3715" i="18"/>
  <c r="I3715" i="18"/>
  <c r="J3715" i="18"/>
  <c r="K3715" i="18"/>
  <c r="L3715" i="18"/>
  <c r="B3716" i="18"/>
  <c r="C3716" i="18"/>
  <c r="D3716" i="18"/>
  <c r="E3716" i="18"/>
  <c r="F3716" i="18"/>
  <c r="G3716" i="18"/>
  <c r="H3716" i="18"/>
  <c r="I3716" i="18"/>
  <c r="J3716" i="18"/>
  <c r="K3716" i="18"/>
  <c r="L3716" i="18"/>
  <c r="B3717" i="18"/>
  <c r="C3717" i="18"/>
  <c r="D3717" i="18"/>
  <c r="E3717" i="18"/>
  <c r="F3717" i="18"/>
  <c r="G3717" i="18"/>
  <c r="H3717" i="18"/>
  <c r="I3717" i="18"/>
  <c r="J3717" i="18"/>
  <c r="K3717" i="18"/>
  <c r="L3717" i="18"/>
  <c r="B3718" i="18"/>
  <c r="C3718" i="18"/>
  <c r="D3718" i="18"/>
  <c r="E3718" i="18"/>
  <c r="F3718" i="18"/>
  <c r="G3718" i="18"/>
  <c r="H3718" i="18"/>
  <c r="I3718" i="18"/>
  <c r="J3718" i="18"/>
  <c r="K3718" i="18"/>
  <c r="L3718" i="18"/>
  <c r="B3719" i="18"/>
  <c r="C3719" i="18"/>
  <c r="D3719" i="18"/>
  <c r="E3719" i="18"/>
  <c r="F3719" i="18"/>
  <c r="G3719" i="18"/>
  <c r="H3719" i="18"/>
  <c r="I3719" i="18"/>
  <c r="J3719" i="18"/>
  <c r="K3719" i="18"/>
  <c r="L3719" i="18"/>
  <c r="B3720" i="18"/>
  <c r="C3720" i="18"/>
  <c r="D3720" i="18"/>
  <c r="E3720" i="18"/>
  <c r="F3720" i="18"/>
  <c r="G3720" i="18"/>
  <c r="H3720" i="18"/>
  <c r="I3720" i="18"/>
  <c r="J3720" i="18"/>
  <c r="K3720" i="18"/>
  <c r="L3720" i="18"/>
  <c r="B3721" i="18"/>
  <c r="C3721" i="18"/>
  <c r="D3721" i="18"/>
  <c r="E3721" i="18"/>
  <c r="F3721" i="18"/>
  <c r="G3721" i="18"/>
  <c r="H3721" i="18"/>
  <c r="I3721" i="18"/>
  <c r="J3721" i="18"/>
  <c r="K3721" i="18"/>
  <c r="L3721" i="18"/>
  <c r="B3722" i="18"/>
  <c r="C3722" i="18"/>
  <c r="D3722" i="18"/>
  <c r="E3722" i="18"/>
  <c r="F3722" i="18"/>
  <c r="G3722" i="18"/>
  <c r="H3722" i="18"/>
  <c r="I3722" i="18"/>
  <c r="J3722" i="18"/>
  <c r="K3722" i="18"/>
  <c r="L3722" i="18"/>
  <c r="B3723" i="18"/>
  <c r="C3723" i="18"/>
  <c r="D3723" i="18"/>
  <c r="E3723" i="18"/>
  <c r="F3723" i="18"/>
  <c r="G3723" i="18"/>
  <c r="H3723" i="18"/>
  <c r="I3723" i="18"/>
  <c r="J3723" i="18"/>
  <c r="K3723" i="18"/>
  <c r="L3723" i="18"/>
  <c r="B3724" i="18"/>
  <c r="C3724" i="18"/>
  <c r="D3724" i="18"/>
  <c r="E3724" i="18"/>
  <c r="F3724" i="18"/>
  <c r="G3724" i="18"/>
  <c r="H3724" i="18"/>
  <c r="I3724" i="18"/>
  <c r="J3724" i="18"/>
  <c r="K3724" i="18"/>
  <c r="L3724" i="18"/>
  <c r="B3725" i="18"/>
  <c r="C3725" i="18"/>
  <c r="D3725" i="18"/>
  <c r="E3725" i="18"/>
  <c r="F3725" i="18"/>
  <c r="G3725" i="18"/>
  <c r="H3725" i="18"/>
  <c r="I3725" i="18"/>
  <c r="J3725" i="18"/>
  <c r="K3725" i="18"/>
  <c r="L3725" i="18"/>
  <c r="B3726" i="18"/>
  <c r="C3726" i="18"/>
  <c r="D3726" i="18"/>
  <c r="E3726" i="18"/>
  <c r="F3726" i="18"/>
  <c r="G3726" i="18"/>
  <c r="H3726" i="18"/>
  <c r="I3726" i="18"/>
  <c r="J3726" i="18"/>
  <c r="K3726" i="18"/>
  <c r="L3726" i="18"/>
  <c r="B3727" i="18"/>
  <c r="C3727" i="18"/>
  <c r="D3727" i="18"/>
  <c r="E3727" i="18"/>
  <c r="F3727" i="18"/>
  <c r="G3727" i="18"/>
  <c r="H3727" i="18"/>
  <c r="I3727" i="18"/>
  <c r="J3727" i="18"/>
  <c r="K3727" i="18"/>
  <c r="L3727" i="18"/>
  <c r="B3728" i="18"/>
  <c r="C3728" i="18"/>
  <c r="D3728" i="18"/>
  <c r="E3728" i="18"/>
  <c r="F3728" i="18"/>
  <c r="G3728" i="18"/>
  <c r="H3728" i="18"/>
  <c r="I3728" i="18"/>
  <c r="J3728" i="18"/>
  <c r="K3728" i="18"/>
  <c r="L3728" i="18"/>
  <c r="B3729" i="18"/>
  <c r="C3729" i="18"/>
  <c r="D3729" i="18"/>
  <c r="E3729" i="18"/>
  <c r="F3729" i="18"/>
  <c r="G3729" i="18"/>
  <c r="H3729" i="18"/>
  <c r="I3729" i="18"/>
  <c r="J3729" i="18"/>
  <c r="K3729" i="18"/>
  <c r="L3729" i="18"/>
  <c r="B3730" i="18"/>
  <c r="C3730" i="18"/>
  <c r="D3730" i="18"/>
  <c r="E3730" i="18"/>
  <c r="F3730" i="18"/>
  <c r="G3730" i="18"/>
  <c r="H3730" i="18"/>
  <c r="I3730" i="18"/>
  <c r="J3730" i="18"/>
  <c r="K3730" i="18"/>
  <c r="L3730" i="18"/>
  <c r="B3731" i="18"/>
  <c r="C3731" i="18"/>
  <c r="D3731" i="18"/>
  <c r="E3731" i="18"/>
  <c r="F3731" i="18"/>
  <c r="G3731" i="18"/>
  <c r="H3731" i="18"/>
  <c r="I3731" i="18"/>
  <c r="J3731" i="18"/>
  <c r="K3731" i="18"/>
  <c r="L3731" i="18"/>
  <c r="B3732" i="18"/>
  <c r="C3732" i="18"/>
  <c r="D3732" i="18"/>
  <c r="E3732" i="18"/>
  <c r="F3732" i="18"/>
  <c r="G3732" i="18"/>
  <c r="H3732" i="18"/>
  <c r="I3732" i="18"/>
  <c r="J3732" i="18"/>
  <c r="K3732" i="18"/>
  <c r="L3732" i="18"/>
  <c r="B3733" i="18"/>
  <c r="C3733" i="18"/>
  <c r="D3733" i="18"/>
  <c r="E3733" i="18"/>
  <c r="F3733" i="18"/>
  <c r="G3733" i="18"/>
  <c r="H3733" i="18"/>
  <c r="I3733" i="18"/>
  <c r="J3733" i="18"/>
  <c r="K3733" i="18"/>
  <c r="L3733" i="18"/>
  <c r="B3734" i="18"/>
  <c r="C3734" i="18"/>
  <c r="D3734" i="18"/>
  <c r="E3734" i="18"/>
  <c r="F3734" i="18"/>
  <c r="G3734" i="18"/>
  <c r="H3734" i="18"/>
  <c r="I3734" i="18"/>
  <c r="J3734" i="18"/>
  <c r="K3734" i="18"/>
  <c r="L3734" i="18"/>
  <c r="B3735" i="18"/>
  <c r="C3735" i="18"/>
  <c r="D3735" i="18"/>
  <c r="E3735" i="18"/>
  <c r="F3735" i="18"/>
  <c r="G3735" i="18"/>
  <c r="H3735" i="18"/>
  <c r="I3735" i="18"/>
  <c r="J3735" i="18"/>
  <c r="K3735" i="18"/>
  <c r="L3735" i="18"/>
  <c r="B3736" i="18"/>
  <c r="C3736" i="18"/>
  <c r="D3736" i="18"/>
  <c r="E3736" i="18"/>
  <c r="F3736" i="18"/>
  <c r="G3736" i="18"/>
  <c r="H3736" i="18"/>
  <c r="I3736" i="18"/>
  <c r="J3736" i="18"/>
  <c r="K3736" i="18"/>
  <c r="L3736" i="18"/>
  <c r="B3737" i="18"/>
  <c r="C3737" i="18"/>
  <c r="D3737" i="18"/>
  <c r="E3737" i="18"/>
  <c r="F3737" i="18"/>
  <c r="G3737" i="18"/>
  <c r="H3737" i="18"/>
  <c r="I3737" i="18"/>
  <c r="J3737" i="18"/>
  <c r="K3737" i="18"/>
  <c r="L3737" i="18"/>
  <c r="B3738" i="18"/>
  <c r="C3738" i="18"/>
  <c r="D3738" i="18"/>
  <c r="E3738" i="18"/>
  <c r="F3738" i="18"/>
  <c r="G3738" i="18"/>
  <c r="H3738" i="18"/>
  <c r="I3738" i="18"/>
  <c r="J3738" i="18"/>
  <c r="K3738" i="18"/>
  <c r="L3738" i="18"/>
  <c r="B3739" i="18"/>
  <c r="C3739" i="18"/>
  <c r="D3739" i="18"/>
  <c r="E3739" i="18"/>
  <c r="F3739" i="18"/>
  <c r="G3739" i="18"/>
  <c r="H3739" i="18"/>
  <c r="I3739" i="18"/>
  <c r="J3739" i="18"/>
  <c r="K3739" i="18"/>
  <c r="L3739" i="18"/>
  <c r="B3740" i="18"/>
  <c r="C3740" i="18"/>
  <c r="D3740" i="18"/>
  <c r="E3740" i="18"/>
  <c r="F3740" i="18"/>
  <c r="G3740" i="18"/>
  <c r="H3740" i="18"/>
  <c r="I3740" i="18"/>
  <c r="J3740" i="18"/>
  <c r="K3740" i="18"/>
  <c r="L3740" i="18"/>
  <c r="B3741" i="18"/>
  <c r="C3741" i="18"/>
  <c r="D3741" i="18"/>
  <c r="E3741" i="18"/>
  <c r="F3741" i="18"/>
  <c r="G3741" i="18"/>
  <c r="H3741" i="18"/>
  <c r="I3741" i="18"/>
  <c r="J3741" i="18"/>
  <c r="K3741" i="18"/>
  <c r="L3741" i="18"/>
  <c r="B3742" i="18"/>
  <c r="C3742" i="18"/>
  <c r="D3742" i="18"/>
  <c r="E3742" i="18"/>
  <c r="F3742" i="18"/>
  <c r="G3742" i="18"/>
  <c r="H3742" i="18"/>
  <c r="I3742" i="18"/>
  <c r="J3742" i="18"/>
  <c r="K3742" i="18"/>
  <c r="L3742" i="18"/>
  <c r="B3743" i="18"/>
  <c r="C3743" i="18"/>
  <c r="D3743" i="18"/>
  <c r="E3743" i="18"/>
  <c r="F3743" i="18"/>
  <c r="G3743" i="18"/>
  <c r="H3743" i="18"/>
  <c r="I3743" i="18"/>
  <c r="J3743" i="18"/>
  <c r="K3743" i="18"/>
  <c r="L3743" i="18"/>
  <c r="B3744" i="18"/>
  <c r="C3744" i="18"/>
  <c r="D3744" i="18"/>
  <c r="E3744" i="18"/>
  <c r="F3744" i="18"/>
  <c r="G3744" i="18"/>
  <c r="H3744" i="18"/>
  <c r="I3744" i="18"/>
  <c r="J3744" i="18"/>
  <c r="K3744" i="18"/>
  <c r="L3744" i="18"/>
  <c r="B3745" i="18"/>
  <c r="C3745" i="18"/>
  <c r="D3745" i="18"/>
  <c r="E3745" i="18"/>
  <c r="F3745" i="18"/>
  <c r="G3745" i="18"/>
  <c r="H3745" i="18"/>
  <c r="I3745" i="18"/>
  <c r="J3745" i="18"/>
  <c r="K3745" i="18"/>
  <c r="L3745" i="18"/>
  <c r="B3746" i="18"/>
  <c r="C3746" i="18"/>
  <c r="D3746" i="18"/>
  <c r="E3746" i="18"/>
  <c r="F3746" i="18"/>
  <c r="G3746" i="18"/>
  <c r="H3746" i="18"/>
  <c r="I3746" i="18"/>
  <c r="J3746" i="18"/>
  <c r="K3746" i="18"/>
  <c r="L3746" i="18"/>
  <c r="B3747" i="18"/>
  <c r="C3747" i="18"/>
  <c r="D3747" i="18"/>
  <c r="E3747" i="18"/>
  <c r="F3747" i="18"/>
  <c r="G3747" i="18"/>
  <c r="H3747" i="18"/>
  <c r="I3747" i="18"/>
  <c r="J3747" i="18"/>
  <c r="K3747" i="18"/>
  <c r="L3747" i="18"/>
  <c r="B3748" i="18"/>
  <c r="C3748" i="18"/>
  <c r="D3748" i="18"/>
  <c r="E3748" i="18"/>
  <c r="F3748" i="18"/>
  <c r="G3748" i="18"/>
  <c r="H3748" i="18"/>
  <c r="I3748" i="18"/>
  <c r="J3748" i="18"/>
  <c r="K3748" i="18"/>
  <c r="L3748" i="18"/>
  <c r="B3749" i="18"/>
  <c r="C3749" i="18"/>
  <c r="D3749" i="18"/>
  <c r="E3749" i="18"/>
  <c r="F3749" i="18"/>
  <c r="G3749" i="18"/>
  <c r="H3749" i="18"/>
  <c r="I3749" i="18"/>
  <c r="J3749" i="18"/>
  <c r="K3749" i="18"/>
  <c r="L3749" i="18"/>
  <c r="B3750" i="18"/>
  <c r="C3750" i="18"/>
  <c r="D3750" i="18"/>
  <c r="E3750" i="18"/>
  <c r="F3750" i="18"/>
  <c r="G3750" i="18"/>
  <c r="H3750" i="18"/>
  <c r="I3750" i="18"/>
  <c r="J3750" i="18"/>
  <c r="K3750" i="18"/>
  <c r="L3750" i="18"/>
  <c r="B3751" i="18"/>
  <c r="C3751" i="18"/>
  <c r="D3751" i="18"/>
  <c r="E3751" i="18"/>
  <c r="F3751" i="18"/>
  <c r="G3751" i="18"/>
  <c r="H3751" i="18"/>
  <c r="I3751" i="18"/>
  <c r="J3751" i="18"/>
  <c r="K3751" i="18"/>
  <c r="L3751" i="18"/>
  <c r="B3752" i="18"/>
  <c r="C3752" i="18"/>
  <c r="D3752" i="18"/>
  <c r="E3752" i="18"/>
  <c r="F3752" i="18"/>
  <c r="G3752" i="18"/>
  <c r="H3752" i="18"/>
  <c r="I3752" i="18"/>
  <c r="J3752" i="18"/>
  <c r="K3752" i="18"/>
  <c r="L3752" i="18"/>
  <c r="B3753" i="18"/>
  <c r="C3753" i="18"/>
  <c r="D3753" i="18"/>
  <c r="E3753" i="18"/>
  <c r="F3753" i="18"/>
  <c r="G3753" i="18"/>
  <c r="H3753" i="18"/>
  <c r="I3753" i="18"/>
  <c r="J3753" i="18"/>
  <c r="K3753" i="18"/>
  <c r="L3753" i="18"/>
  <c r="B3754" i="18"/>
  <c r="C3754" i="18"/>
  <c r="D3754" i="18"/>
  <c r="E3754" i="18"/>
  <c r="F3754" i="18"/>
  <c r="G3754" i="18"/>
  <c r="H3754" i="18"/>
  <c r="I3754" i="18"/>
  <c r="J3754" i="18"/>
  <c r="K3754" i="18"/>
  <c r="L3754" i="18"/>
  <c r="B3755" i="18"/>
  <c r="C3755" i="18"/>
  <c r="D3755" i="18"/>
  <c r="E3755" i="18"/>
  <c r="F3755" i="18"/>
  <c r="G3755" i="18"/>
  <c r="H3755" i="18"/>
  <c r="I3755" i="18"/>
  <c r="J3755" i="18"/>
  <c r="K3755" i="18"/>
  <c r="L3755" i="18"/>
  <c r="B3756" i="18"/>
  <c r="C3756" i="18"/>
  <c r="D3756" i="18"/>
  <c r="E3756" i="18"/>
  <c r="F3756" i="18"/>
  <c r="G3756" i="18"/>
  <c r="H3756" i="18"/>
  <c r="I3756" i="18"/>
  <c r="J3756" i="18"/>
  <c r="K3756" i="18"/>
  <c r="L3756" i="18"/>
  <c r="B3757" i="18"/>
  <c r="C3757" i="18"/>
  <c r="D3757" i="18"/>
  <c r="E3757" i="18"/>
  <c r="F3757" i="18"/>
  <c r="G3757" i="18"/>
  <c r="H3757" i="18"/>
  <c r="I3757" i="18"/>
  <c r="J3757" i="18"/>
  <c r="K3757" i="18"/>
  <c r="L3757" i="18"/>
  <c r="B3758" i="18"/>
  <c r="C3758" i="18"/>
  <c r="D3758" i="18"/>
  <c r="E3758" i="18"/>
  <c r="F3758" i="18"/>
  <c r="G3758" i="18"/>
  <c r="H3758" i="18"/>
  <c r="I3758" i="18"/>
  <c r="J3758" i="18"/>
  <c r="K3758" i="18"/>
  <c r="L3758" i="18"/>
  <c r="B3759" i="18"/>
  <c r="C3759" i="18"/>
  <c r="D3759" i="18"/>
  <c r="E3759" i="18"/>
  <c r="F3759" i="18"/>
  <c r="G3759" i="18"/>
  <c r="H3759" i="18"/>
  <c r="I3759" i="18"/>
  <c r="J3759" i="18"/>
  <c r="K3759" i="18"/>
  <c r="L3759" i="18"/>
  <c r="B3760" i="18"/>
  <c r="C3760" i="18"/>
  <c r="D3760" i="18"/>
  <c r="E3760" i="18"/>
  <c r="F3760" i="18"/>
  <c r="G3760" i="18"/>
  <c r="H3760" i="18"/>
  <c r="I3760" i="18"/>
  <c r="J3760" i="18"/>
  <c r="K3760" i="18"/>
  <c r="L3760" i="18"/>
  <c r="B3761" i="18"/>
  <c r="C3761" i="18"/>
  <c r="D3761" i="18"/>
  <c r="E3761" i="18"/>
  <c r="F3761" i="18"/>
  <c r="G3761" i="18"/>
  <c r="H3761" i="18"/>
  <c r="I3761" i="18"/>
  <c r="J3761" i="18"/>
  <c r="K3761" i="18"/>
  <c r="L3761" i="18"/>
  <c r="B3762" i="18"/>
  <c r="C3762" i="18"/>
  <c r="D3762" i="18"/>
  <c r="E3762" i="18"/>
  <c r="F3762" i="18"/>
  <c r="G3762" i="18"/>
  <c r="H3762" i="18"/>
  <c r="I3762" i="18"/>
  <c r="J3762" i="18"/>
  <c r="K3762" i="18"/>
  <c r="L3762" i="18"/>
  <c r="B3763" i="18"/>
  <c r="C3763" i="18"/>
  <c r="D3763" i="18"/>
  <c r="E3763" i="18"/>
  <c r="F3763" i="18"/>
  <c r="G3763" i="18"/>
  <c r="H3763" i="18"/>
  <c r="I3763" i="18"/>
  <c r="J3763" i="18"/>
  <c r="K3763" i="18"/>
  <c r="L3763" i="18"/>
  <c r="B3764" i="18"/>
  <c r="C3764" i="18"/>
  <c r="D3764" i="18"/>
  <c r="E3764" i="18"/>
  <c r="F3764" i="18"/>
  <c r="G3764" i="18"/>
  <c r="H3764" i="18"/>
  <c r="I3764" i="18"/>
  <c r="J3764" i="18"/>
  <c r="K3764" i="18"/>
  <c r="L3764" i="18"/>
  <c r="B3765" i="18"/>
  <c r="C3765" i="18"/>
  <c r="D3765" i="18"/>
  <c r="E3765" i="18"/>
  <c r="F3765" i="18"/>
  <c r="G3765" i="18"/>
  <c r="H3765" i="18"/>
  <c r="I3765" i="18"/>
  <c r="J3765" i="18"/>
  <c r="K3765" i="18"/>
  <c r="L3765" i="18"/>
  <c r="B3766" i="18"/>
  <c r="C3766" i="18"/>
  <c r="D3766" i="18"/>
  <c r="E3766" i="18"/>
  <c r="F3766" i="18"/>
  <c r="G3766" i="18"/>
  <c r="H3766" i="18"/>
  <c r="I3766" i="18"/>
  <c r="J3766" i="18"/>
  <c r="K3766" i="18"/>
  <c r="L3766" i="18"/>
  <c r="B3767" i="18"/>
  <c r="C3767" i="18"/>
  <c r="D3767" i="18"/>
  <c r="E3767" i="18"/>
  <c r="F3767" i="18"/>
  <c r="G3767" i="18"/>
  <c r="H3767" i="18"/>
  <c r="I3767" i="18"/>
  <c r="J3767" i="18"/>
  <c r="K3767" i="18"/>
  <c r="L3767" i="18"/>
  <c r="B3768" i="18"/>
  <c r="C3768" i="18"/>
  <c r="D3768" i="18"/>
  <c r="E3768" i="18"/>
  <c r="F3768" i="18"/>
  <c r="G3768" i="18"/>
  <c r="H3768" i="18"/>
  <c r="I3768" i="18"/>
  <c r="J3768" i="18"/>
  <c r="K3768" i="18"/>
  <c r="L3768" i="18"/>
  <c r="B3769" i="18"/>
  <c r="C3769" i="18"/>
  <c r="D3769" i="18"/>
  <c r="E3769" i="18"/>
  <c r="F3769" i="18"/>
  <c r="G3769" i="18"/>
  <c r="H3769" i="18"/>
  <c r="I3769" i="18"/>
  <c r="J3769" i="18"/>
  <c r="K3769" i="18"/>
  <c r="L3769" i="18"/>
  <c r="B3770" i="18"/>
  <c r="C3770" i="18"/>
  <c r="D3770" i="18"/>
  <c r="E3770" i="18"/>
  <c r="F3770" i="18"/>
  <c r="G3770" i="18"/>
  <c r="H3770" i="18"/>
  <c r="I3770" i="18"/>
  <c r="J3770" i="18"/>
  <c r="K3770" i="18"/>
  <c r="L3770" i="18"/>
  <c r="B3771" i="18"/>
  <c r="C3771" i="18"/>
  <c r="D3771" i="18"/>
  <c r="E3771" i="18"/>
  <c r="F3771" i="18"/>
  <c r="G3771" i="18"/>
  <c r="H3771" i="18"/>
  <c r="I3771" i="18"/>
  <c r="J3771" i="18"/>
  <c r="K3771" i="18"/>
  <c r="L3771" i="18"/>
  <c r="B3772" i="18"/>
  <c r="C3772" i="18"/>
  <c r="D3772" i="18"/>
  <c r="E3772" i="18"/>
  <c r="F3772" i="18"/>
  <c r="G3772" i="18"/>
  <c r="H3772" i="18"/>
  <c r="I3772" i="18"/>
  <c r="J3772" i="18"/>
  <c r="K3772" i="18"/>
  <c r="L3772" i="18"/>
  <c r="B3773" i="18"/>
  <c r="C3773" i="18"/>
  <c r="D3773" i="18"/>
  <c r="E3773" i="18"/>
  <c r="F3773" i="18"/>
  <c r="G3773" i="18"/>
  <c r="H3773" i="18"/>
  <c r="I3773" i="18"/>
  <c r="J3773" i="18"/>
  <c r="K3773" i="18"/>
  <c r="L3773" i="18"/>
  <c r="B3774" i="18"/>
  <c r="C3774" i="18"/>
  <c r="D3774" i="18"/>
  <c r="E3774" i="18"/>
  <c r="F3774" i="18"/>
  <c r="G3774" i="18"/>
  <c r="H3774" i="18"/>
  <c r="I3774" i="18"/>
  <c r="J3774" i="18"/>
  <c r="K3774" i="18"/>
  <c r="L3774" i="18"/>
  <c r="B3775" i="18"/>
  <c r="C3775" i="18"/>
  <c r="D3775" i="18"/>
  <c r="E3775" i="18"/>
  <c r="F3775" i="18"/>
  <c r="G3775" i="18"/>
  <c r="H3775" i="18"/>
  <c r="I3775" i="18"/>
  <c r="J3775" i="18"/>
  <c r="K3775" i="18"/>
  <c r="L3775" i="18"/>
  <c r="B3776" i="18"/>
  <c r="C3776" i="18"/>
  <c r="D3776" i="18"/>
  <c r="E3776" i="18"/>
  <c r="F3776" i="18"/>
  <c r="G3776" i="18"/>
  <c r="H3776" i="18"/>
  <c r="I3776" i="18"/>
  <c r="J3776" i="18"/>
  <c r="K3776" i="18"/>
  <c r="L3776" i="18"/>
  <c r="B3777" i="18"/>
  <c r="C3777" i="18"/>
  <c r="D3777" i="18"/>
  <c r="E3777" i="18"/>
  <c r="F3777" i="18"/>
  <c r="G3777" i="18"/>
  <c r="H3777" i="18"/>
  <c r="I3777" i="18"/>
  <c r="J3777" i="18"/>
  <c r="K3777" i="18"/>
  <c r="L3777" i="18"/>
  <c r="B3778" i="18"/>
  <c r="C3778" i="18"/>
  <c r="D3778" i="18"/>
  <c r="E3778" i="18"/>
  <c r="F3778" i="18"/>
  <c r="G3778" i="18"/>
  <c r="H3778" i="18"/>
  <c r="I3778" i="18"/>
  <c r="J3778" i="18"/>
  <c r="K3778" i="18"/>
  <c r="L3778" i="18"/>
  <c r="B3779" i="18"/>
  <c r="C3779" i="18"/>
  <c r="D3779" i="18"/>
  <c r="E3779" i="18"/>
  <c r="F3779" i="18"/>
  <c r="G3779" i="18"/>
  <c r="H3779" i="18"/>
  <c r="I3779" i="18"/>
  <c r="J3779" i="18"/>
  <c r="K3779" i="18"/>
  <c r="L3779" i="18"/>
  <c r="B3780" i="18"/>
  <c r="C3780" i="18"/>
  <c r="D3780" i="18"/>
  <c r="E3780" i="18"/>
  <c r="F3780" i="18"/>
  <c r="G3780" i="18"/>
  <c r="H3780" i="18"/>
  <c r="I3780" i="18"/>
  <c r="J3780" i="18"/>
  <c r="K3780" i="18"/>
  <c r="L3780" i="18"/>
  <c r="B3781" i="18"/>
  <c r="C3781" i="18"/>
  <c r="D3781" i="18"/>
  <c r="E3781" i="18"/>
  <c r="F3781" i="18"/>
  <c r="G3781" i="18"/>
  <c r="H3781" i="18"/>
  <c r="I3781" i="18"/>
  <c r="J3781" i="18"/>
  <c r="K3781" i="18"/>
  <c r="L3781" i="18"/>
  <c r="B3782" i="18"/>
  <c r="C3782" i="18"/>
  <c r="D3782" i="18"/>
  <c r="E3782" i="18"/>
  <c r="F3782" i="18"/>
  <c r="G3782" i="18"/>
  <c r="H3782" i="18"/>
  <c r="I3782" i="18"/>
  <c r="J3782" i="18"/>
  <c r="K3782" i="18"/>
  <c r="L3782" i="18"/>
  <c r="B3783" i="18"/>
  <c r="C3783" i="18"/>
  <c r="D3783" i="18"/>
  <c r="E3783" i="18"/>
  <c r="F3783" i="18"/>
  <c r="G3783" i="18"/>
  <c r="H3783" i="18"/>
  <c r="I3783" i="18"/>
  <c r="J3783" i="18"/>
  <c r="K3783" i="18"/>
  <c r="L3783" i="18"/>
  <c r="B3784" i="18"/>
  <c r="C3784" i="18"/>
  <c r="D3784" i="18"/>
  <c r="E3784" i="18"/>
  <c r="F3784" i="18"/>
  <c r="G3784" i="18"/>
  <c r="H3784" i="18"/>
  <c r="I3784" i="18"/>
  <c r="J3784" i="18"/>
  <c r="K3784" i="18"/>
  <c r="L3784" i="18"/>
  <c r="B3785" i="18"/>
  <c r="C3785" i="18"/>
  <c r="D3785" i="18"/>
  <c r="E3785" i="18"/>
  <c r="F3785" i="18"/>
  <c r="G3785" i="18"/>
  <c r="H3785" i="18"/>
  <c r="I3785" i="18"/>
  <c r="J3785" i="18"/>
  <c r="K3785" i="18"/>
  <c r="L3785" i="18"/>
  <c r="B3786" i="18"/>
  <c r="C3786" i="18"/>
  <c r="D3786" i="18"/>
  <c r="E3786" i="18"/>
  <c r="F3786" i="18"/>
  <c r="G3786" i="18"/>
  <c r="H3786" i="18"/>
  <c r="I3786" i="18"/>
  <c r="J3786" i="18"/>
  <c r="K3786" i="18"/>
  <c r="L3786" i="18"/>
  <c r="B3787" i="18"/>
  <c r="C3787" i="18"/>
  <c r="D3787" i="18"/>
  <c r="E3787" i="18"/>
  <c r="F3787" i="18"/>
  <c r="G3787" i="18"/>
  <c r="H3787" i="18"/>
  <c r="I3787" i="18"/>
  <c r="J3787" i="18"/>
  <c r="K3787" i="18"/>
  <c r="L3787" i="18"/>
  <c r="B3788" i="18"/>
  <c r="C3788" i="18"/>
  <c r="D3788" i="18"/>
  <c r="E3788" i="18"/>
  <c r="F3788" i="18"/>
  <c r="G3788" i="18"/>
  <c r="H3788" i="18"/>
  <c r="I3788" i="18"/>
  <c r="J3788" i="18"/>
  <c r="K3788" i="18"/>
  <c r="L3788" i="18"/>
  <c r="B3789" i="18"/>
  <c r="C3789" i="18"/>
  <c r="D3789" i="18"/>
  <c r="E3789" i="18"/>
  <c r="F3789" i="18"/>
  <c r="G3789" i="18"/>
  <c r="H3789" i="18"/>
  <c r="I3789" i="18"/>
  <c r="J3789" i="18"/>
  <c r="K3789" i="18"/>
  <c r="L3789" i="18"/>
  <c r="B3790" i="18"/>
  <c r="C3790" i="18"/>
  <c r="D3790" i="18"/>
  <c r="E3790" i="18"/>
  <c r="F3790" i="18"/>
  <c r="G3790" i="18"/>
  <c r="H3790" i="18"/>
  <c r="I3790" i="18"/>
  <c r="J3790" i="18"/>
  <c r="K3790" i="18"/>
  <c r="L3790" i="18"/>
  <c r="B3791" i="18"/>
  <c r="C3791" i="18"/>
  <c r="D3791" i="18"/>
  <c r="E3791" i="18"/>
  <c r="F3791" i="18"/>
  <c r="G3791" i="18"/>
  <c r="H3791" i="18"/>
  <c r="I3791" i="18"/>
  <c r="J3791" i="18"/>
  <c r="K3791" i="18"/>
  <c r="L3791" i="18"/>
  <c r="B3792" i="18"/>
  <c r="C3792" i="18"/>
  <c r="D3792" i="18"/>
  <c r="E3792" i="18"/>
  <c r="F3792" i="18"/>
  <c r="G3792" i="18"/>
  <c r="H3792" i="18"/>
  <c r="I3792" i="18"/>
  <c r="J3792" i="18"/>
  <c r="K3792" i="18"/>
  <c r="L3792" i="18"/>
  <c r="B3793" i="18"/>
  <c r="C3793" i="18"/>
  <c r="D3793" i="18"/>
  <c r="E3793" i="18"/>
  <c r="F3793" i="18"/>
  <c r="G3793" i="18"/>
  <c r="H3793" i="18"/>
  <c r="I3793" i="18"/>
  <c r="J3793" i="18"/>
  <c r="K3793" i="18"/>
  <c r="L3793" i="18"/>
  <c r="B3794" i="18"/>
  <c r="C3794" i="18"/>
  <c r="D3794" i="18"/>
  <c r="E3794" i="18"/>
  <c r="F3794" i="18"/>
  <c r="G3794" i="18"/>
  <c r="H3794" i="18"/>
  <c r="I3794" i="18"/>
  <c r="J3794" i="18"/>
  <c r="K3794" i="18"/>
  <c r="L3794" i="18"/>
  <c r="B3795" i="18"/>
  <c r="C3795" i="18"/>
  <c r="D3795" i="18"/>
  <c r="E3795" i="18"/>
  <c r="F3795" i="18"/>
  <c r="G3795" i="18"/>
  <c r="H3795" i="18"/>
  <c r="I3795" i="18"/>
  <c r="J3795" i="18"/>
  <c r="K3795" i="18"/>
  <c r="L3795" i="18"/>
  <c r="B3796" i="18"/>
  <c r="C3796" i="18"/>
  <c r="D3796" i="18"/>
  <c r="E3796" i="18"/>
  <c r="F3796" i="18"/>
  <c r="G3796" i="18"/>
  <c r="H3796" i="18"/>
  <c r="I3796" i="18"/>
  <c r="J3796" i="18"/>
  <c r="K3796" i="18"/>
  <c r="L3796" i="18"/>
  <c r="B3797" i="18"/>
  <c r="C3797" i="18"/>
  <c r="D3797" i="18"/>
  <c r="E3797" i="18"/>
  <c r="F3797" i="18"/>
  <c r="G3797" i="18"/>
  <c r="H3797" i="18"/>
  <c r="I3797" i="18"/>
  <c r="J3797" i="18"/>
  <c r="K3797" i="18"/>
  <c r="L3797" i="18"/>
  <c r="B3798" i="18"/>
  <c r="C3798" i="18"/>
  <c r="D3798" i="18"/>
  <c r="E3798" i="18"/>
  <c r="F3798" i="18"/>
  <c r="G3798" i="18"/>
  <c r="H3798" i="18"/>
  <c r="I3798" i="18"/>
  <c r="J3798" i="18"/>
  <c r="K3798" i="18"/>
  <c r="L3798" i="18"/>
  <c r="B3799" i="18"/>
  <c r="C3799" i="18"/>
  <c r="D3799" i="18"/>
  <c r="E3799" i="18"/>
  <c r="F3799" i="18"/>
  <c r="G3799" i="18"/>
  <c r="H3799" i="18"/>
  <c r="I3799" i="18"/>
  <c r="J3799" i="18"/>
  <c r="K3799" i="18"/>
  <c r="L3799" i="18"/>
  <c r="B3800" i="18"/>
  <c r="C3800" i="18"/>
  <c r="D3800" i="18"/>
  <c r="E3800" i="18"/>
  <c r="F3800" i="18"/>
  <c r="G3800" i="18"/>
  <c r="H3800" i="18"/>
  <c r="I3800" i="18"/>
  <c r="J3800" i="18"/>
  <c r="K3800" i="18"/>
  <c r="L3800" i="18"/>
  <c r="B3801" i="18"/>
  <c r="C3801" i="18"/>
  <c r="D3801" i="18"/>
  <c r="E3801" i="18"/>
  <c r="F3801" i="18"/>
  <c r="G3801" i="18"/>
  <c r="H3801" i="18"/>
  <c r="I3801" i="18"/>
  <c r="J3801" i="18"/>
  <c r="K3801" i="18"/>
  <c r="L3801" i="18"/>
  <c r="B3802" i="18"/>
  <c r="C3802" i="18"/>
  <c r="D3802" i="18"/>
  <c r="E3802" i="18"/>
  <c r="F3802" i="18"/>
  <c r="G3802" i="18"/>
  <c r="H3802" i="18"/>
  <c r="I3802" i="18"/>
  <c r="J3802" i="18"/>
  <c r="K3802" i="18"/>
  <c r="L3802" i="18"/>
  <c r="B3803" i="18"/>
  <c r="C3803" i="18"/>
  <c r="D3803" i="18"/>
  <c r="E3803" i="18"/>
  <c r="F3803" i="18"/>
  <c r="G3803" i="18"/>
  <c r="H3803" i="18"/>
  <c r="I3803" i="18"/>
  <c r="J3803" i="18"/>
  <c r="K3803" i="18"/>
  <c r="L3803" i="18"/>
  <c r="B3804" i="18"/>
  <c r="C3804" i="18"/>
  <c r="D3804" i="18"/>
  <c r="E3804" i="18"/>
  <c r="F3804" i="18"/>
  <c r="G3804" i="18"/>
  <c r="H3804" i="18"/>
  <c r="I3804" i="18"/>
  <c r="J3804" i="18"/>
  <c r="K3804" i="18"/>
  <c r="L3804" i="18"/>
  <c r="B3805" i="18"/>
  <c r="C3805" i="18"/>
  <c r="D3805" i="18"/>
  <c r="E3805" i="18"/>
  <c r="F3805" i="18"/>
  <c r="G3805" i="18"/>
  <c r="H3805" i="18"/>
  <c r="I3805" i="18"/>
  <c r="J3805" i="18"/>
  <c r="K3805" i="18"/>
  <c r="L3805" i="18"/>
  <c r="B3806" i="18"/>
  <c r="C3806" i="18"/>
  <c r="D3806" i="18"/>
  <c r="E3806" i="18"/>
  <c r="F3806" i="18"/>
  <c r="G3806" i="18"/>
  <c r="H3806" i="18"/>
  <c r="I3806" i="18"/>
  <c r="J3806" i="18"/>
  <c r="K3806" i="18"/>
  <c r="L3806" i="18"/>
  <c r="B3807" i="18"/>
  <c r="C3807" i="18"/>
  <c r="D3807" i="18"/>
  <c r="E3807" i="18"/>
  <c r="F3807" i="18"/>
  <c r="G3807" i="18"/>
  <c r="H3807" i="18"/>
  <c r="I3807" i="18"/>
  <c r="J3807" i="18"/>
  <c r="K3807" i="18"/>
  <c r="L3807" i="18"/>
  <c r="B3808" i="18"/>
  <c r="C3808" i="18"/>
  <c r="D3808" i="18"/>
  <c r="E3808" i="18"/>
  <c r="F3808" i="18"/>
  <c r="G3808" i="18"/>
  <c r="H3808" i="18"/>
  <c r="I3808" i="18"/>
  <c r="J3808" i="18"/>
  <c r="K3808" i="18"/>
  <c r="L3808" i="18"/>
  <c r="B3809" i="18"/>
  <c r="C3809" i="18"/>
  <c r="D3809" i="18"/>
  <c r="E3809" i="18"/>
  <c r="F3809" i="18"/>
  <c r="G3809" i="18"/>
  <c r="H3809" i="18"/>
  <c r="I3809" i="18"/>
  <c r="J3809" i="18"/>
  <c r="K3809" i="18"/>
  <c r="L3809" i="18"/>
  <c r="B3810" i="18"/>
  <c r="C3810" i="18"/>
  <c r="D3810" i="18"/>
  <c r="E3810" i="18"/>
  <c r="F3810" i="18"/>
  <c r="G3810" i="18"/>
  <c r="H3810" i="18"/>
  <c r="I3810" i="18"/>
  <c r="J3810" i="18"/>
  <c r="K3810" i="18"/>
  <c r="L3810" i="18"/>
  <c r="B3811" i="18"/>
  <c r="C3811" i="18"/>
  <c r="D3811" i="18"/>
  <c r="E3811" i="18"/>
  <c r="F3811" i="18"/>
  <c r="G3811" i="18"/>
  <c r="H3811" i="18"/>
  <c r="I3811" i="18"/>
  <c r="J3811" i="18"/>
  <c r="K3811" i="18"/>
  <c r="L3811" i="18"/>
  <c r="B3812" i="18"/>
  <c r="C3812" i="18"/>
  <c r="D3812" i="18"/>
  <c r="E3812" i="18"/>
  <c r="F3812" i="18"/>
  <c r="G3812" i="18"/>
  <c r="H3812" i="18"/>
  <c r="I3812" i="18"/>
  <c r="J3812" i="18"/>
  <c r="K3812" i="18"/>
  <c r="L3812" i="18"/>
  <c r="B3813" i="18"/>
  <c r="C3813" i="18"/>
  <c r="D3813" i="18"/>
  <c r="E3813" i="18"/>
  <c r="F3813" i="18"/>
  <c r="G3813" i="18"/>
  <c r="H3813" i="18"/>
  <c r="I3813" i="18"/>
  <c r="J3813" i="18"/>
  <c r="K3813" i="18"/>
  <c r="L3813" i="18"/>
  <c r="B3814" i="18"/>
  <c r="C3814" i="18"/>
  <c r="D3814" i="18"/>
  <c r="E3814" i="18"/>
  <c r="F3814" i="18"/>
  <c r="G3814" i="18"/>
  <c r="H3814" i="18"/>
  <c r="I3814" i="18"/>
  <c r="J3814" i="18"/>
  <c r="K3814" i="18"/>
  <c r="L3814" i="18"/>
  <c r="B3815" i="18"/>
  <c r="C3815" i="18"/>
  <c r="D3815" i="18"/>
  <c r="E3815" i="18"/>
  <c r="F3815" i="18"/>
  <c r="G3815" i="18"/>
  <c r="H3815" i="18"/>
  <c r="I3815" i="18"/>
  <c r="J3815" i="18"/>
  <c r="K3815" i="18"/>
  <c r="L3815" i="18"/>
  <c r="B3816" i="18"/>
  <c r="C3816" i="18"/>
  <c r="D3816" i="18"/>
  <c r="E3816" i="18"/>
  <c r="F3816" i="18"/>
  <c r="G3816" i="18"/>
  <c r="H3816" i="18"/>
  <c r="I3816" i="18"/>
  <c r="J3816" i="18"/>
  <c r="K3816" i="18"/>
  <c r="L3816" i="18"/>
  <c r="B3817" i="18"/>
  <c r="C3817" i="18"/>
  <c r="D3817" i="18"/>
  <c r="E3817" i="18"/>
  <c r="F3817" i="18"/>
  <c r="G3817" i="18"/>
  <c r="H3817" i="18"/>
  <c r="I3817" i="18"/>
  <c r="J3817" i="18"/>
  <c r="K3817" i="18"/>
  <c r="L3817" i="18"/>
  <c r="B3818" i="18"/>
  <c r="C3818" i="18"/>
  <c r="D3818" i="18"/>
  <c r="E3818" i="18"/>
  <c r="F3818" i="18"/>
  <c r="G3818" i="18"/>
  <c r="H3818" i="18"/>
  <c r="I3818" i="18"/>
  <c r="J3818" i="18"/>
  <c r="K3818" i="18"/>
  <c r="L3818" i="18"/>
  <c r="B3819" i="18"/>
  <c r="C3819" i="18"/>
  <c r="D3819" i="18"/>
  <c r="E3819" i="18"/>
  <c r="F3819" i="18"/>
  <c r="G3819" i="18"/>
  <c r="H3819" i="18"/>
  <c r="I3819" i="18"/>
  <c r="J3819" i="18"/>
  <c r="K3819" i="18"/>
  <c r="L3819" i="18"/>
  <c r="B3820" i="18"/>
  <c r="C3820" i="18"/>
  <c r="D3820" i="18"/>
  <c r="E3820" i="18"/>
  <c r="F3820" i="18"/>
  <c r="G3820" i="18"/>
  <c r="H3820" i="18"/>
  <c r="I3820" i="18"/>
  <c r="J3820" i="18"/>
  <c r="K3820" i="18"/>
  <c r="L3820" i="18"/>
  <c r="B3821" i="18"/>
  <c r="C3821" i="18"/>
  <c r="D3821" i="18"/>
  <c r="E3821" i="18"/>
  <c r="F3821" i="18"/>
  <c r="G3821" i="18"/>
  <c r="H3821" i="18"/>
  <c r="I3821" i="18"/>
  <c r="J3821" i="18"/>
  <c r="K3821" i="18"/>
  <c r="L3821" i="18"/>
  <c r="B3822" i="18"/>
  <c r="C3822" i="18"/>
  <c r="D3822" i="18"/>
  <c r="E3822" i="18"/>
  <c r="F3822" i="18"/>
  <c r="G3822" i="18"/>
  <c r="H3822" i="18"/>
  <c r="I3822" i="18"/>
  <c r="J3822" i="18"/>
  <c r="K3822" i="18"/>
  <c r="L3822" i="18"/>
  <c r="B3823" i="18"/>
  <c r="C3823" i="18"/>
  <c r="D3823" i="18"/>
  <c r="E3823" i="18"/>
  <c r="F3823" i="18"/>
  <c r="G3823" i="18"/>
  <c r="H3823" i="18"/>
  <c r="I3823" i="18"/>
  <c r="J3823" i="18"/>
  <c r="K3823" i="18"/>
  <c r="L3823" i="18"/>
  <c r="B3824" i="18"/>
  <c r="C3824" i="18"/>
  <c r="D3824" i="18"/>
  <c r="E3824" i="18"/>
  <c r="F3824" i="18"/>
  <c r="G3824" i="18"/>
  <c r="H3824" i="18"/>
  <c r="I3824" i="18"/>
  <c r="J3824" i="18"/>
  <c r="K3824" i="18"/>
  <c r="L3824" i="18"/>
  <c r="B3825" i="18"/>
  <c r="C3825" i="18"/>
  <c r="D3825" i="18"/>
  <c r="E3825" i="18"/>
  <c r="F3825" i="18"/>
  <c r="G3825" i="18"/>
  <c r="H3825" i="18"/>
  <c r="I3825" i="18"/>
  <c r="J3825" i="18"/>
  <c r="K3825" i="18"/>
  <c r="L3825" i="18"/>
  <c r="B3826" i="18"/>
  <c r="C3826" i="18"/>
  <c r="D3826" i="18"/>
  <c r="E3826" i="18"/>
  <c r="F3826" i="18"/>
  <c r="G3826" i="18"/>
  <c r="H3826" i="18"/>
  <c r="I3826" i="18"/>
  <c r="J3826" i="18"/>
  <c r="K3826" i="18"/>
  <c r="L3826" i="18"/>
  <c r="B3827" i="18"/>
  <c r="C3827" i="18"/>
  <c r="D3827" i="18"/>
  <c r="E3827" i="18"/>
  <c r="F3827" i="18"/>
  <c r="G3827" i="18"/>
  <c r="H3827" i="18"/>
  <c r="I3827" i="18"/>
  <c r="J3827" i="18"/>
  <c r="K3827" i="18"/>
  <c r="L3827" i="18"/>
  <c r="B3828" i="18"/>
  <c r="C3828" i="18"/>
  <c r="D3828" i="18"/>
  <c r="E3828" i="18"/>
  <c r="F3828" i="18"/>
  <c r="G3828" i="18"/>
  <c r="H3828" i="18"/>
  <c r="I3828" i="18"/>
  <c r="J3828" i="18"/>
  <c r="K3828" i="18"/>
  <c r="L3828" i="18"/>
  <c r="B3829" i="18"/>
  <c r="C3829" i="18"/>
  <c r="D3829" i="18"/>
  <c r="E3829" i="18"/>
  <c r="F3829" i="18"/>
  <c r="G3829" i="18"/>
  <c r="H3829" i="18"/>
  <c r="I3829" i="18"/>
  <c r="J3829" i="18"/>
  <c r="K3829" i="18"/>
  <c r="L3829" i="18"/>
  <c r="B3830" i="18"/>
  <c r="C3830" i="18"/>
  <c r="D3830" i="18"/>
  <c r="E3830" i="18"/>
  <c r="F3830" i="18"/>
  <c r="G3830" i="18"/>
  <c r="H3830" i="18"/>
  <c r="I3830" i="18"/>
  <c r="J3830" i="18"/>
  <c r="K3830" i="18"/>
  <c r="L3830" i="18"/>
  <c r="B3831" i="18"/>
  <c r="C3831" i="18"/>
  <c r="D3831" i="18"/>
  <c r="E3831" i="18"/>
  <c r="F3831" i="18"/>
  <c r="G3831" i="18"/>
  <c r="H3831" i="18"/>
  <c r="I3831" i="18"/>
  <c r="J3831" i="18"/>
  <c r="K3831" i="18"/>
  <c r="L3831" i="18"/>
  <c r="B3832" i="18"/>
  <c r="C3832" i="18"/>
  <c r="D3832" i="18"/>
  <c r="E3832" i="18"/>
  <c r="F3832" i="18"/>
  <c r="G3832" i="18"/>
  <c r="H3832" i="18"/>
  <c r="I3832" i="18"/>
  <c r="J3832" i="18"/>
  <c r="K3832" i="18"/>
  <c r="L3832" i="18"/>
  <c r="B3833" i="18"/>
  <c r="C3833" i="18"/>
  <c r="D3833" i="18"/>
  <c r="E3833" i="18"/>
  <c r="F3833" i="18"/>
  <c r="G3833" i="18"/>
  <c r="H3833" i="18"/>
  <c r="I3833" i="18"/>
  <c r="J3833" i="18"/>
  <c r="K3833" i="18"/>
  <c r="L3833" i="18"/>
  <c r="B3834" i="18"/>
  <c r="C3834" i="18"/>
  <c r="D3834" i="18"/>
  <c r="E3834" i="18"/>
  <c r="F3834" i="18"/>
  <c r="G3834" i="18"/>
  <c r="H3834" i="18"/>
  <c r="I3834" i="18"/>
  <c r="J3834" i="18"/>
  <c r="K3834" i="18"/>
  <c r="L3834" i="18"/>
  <c r="B3835" i="18"/>
  <c r="C3835" i="18"/>
  <c r="D3835" i="18"/>
  <c r="E3835" i="18"/>
  <c r="F3835" i="18"/>
  <c r="G3835" i="18"/>
  <c r="H3835" i="18"/>
  <c r="I3835" i="18"/>
  <c r="J3835" i="18"/>
  <c r="K3835" i="18"/>
  <c r="L3835" i="18"/>
  <c r="B3836" i="18"/>
  <c r="C3836" i="18"/>
  <c r="D3836" i="18"/>
  <c r="E3836" i="18"/>
  <c r="F3836" i="18"/>
  <c r="G3836" i="18"/>
  <c r="H3836" i="18"/>
  <c r="I3836" i="18"/>
  <c r="J3836" i="18"/>
  <c r="K3836" i="18"/>
  <c r="L3836" i="18"/>
  <c r="B3837" i="18"/>
  <c r="C3837" i="18"/>
  <c r="D3837" i="18"/>
  <c r="E3837" i="18"/>
  <c r="F3837" i="18"/>
  <c r="G3837" i="18"/>
  <c r="H3837" i="18"/>
  <c r="I3837" i="18"/>
  <c r="J3837" i="18"/>
  <c r="K3837" i="18"/>
  <c r="L3837" i="18"/>
  <c r="B3838" i="18"/>
  <c r="C3838" i="18"/>
  <c r="D3838" i="18"/>
  <c r="E3838" i="18"/>
  <c r="F3838" i="18"/>
  <c r="G3838" i="18"/>
  <c r="H3838" i="18"/>
  <c r="I3838" i="18"/>
  <c r="J3838" i="18"/>
  <c r="K3838" i="18"/>
  <c r="L3838" i="18"/>
  <c r="B3839" i="18"/>
  <c r="C3839" i="18"/>
  <c r="D3839" i="18"/>
  <c r="E3839" i="18"/>
  <c r="F3839" i="18"/>
  <c r="G3839" i="18"/>
  <c r="H3839" i="18"/>
  <c r="I3839" i="18"/>
  <c r="J3839" i="18"/>
  <c r="K3839" i="18"/>
  <c r="L3839" i="18"/>
  <c r="B3840" i="18"/>
  <c r="C3840" i="18"/>
  <c r="D3840" i="18"/>
  <c r="E3840" i="18"/>
  <c r="F3840" i="18"/>
  <c r="G3840" i="18"/>
  <c r="H3840" i="18"/>
  <c r="I3840" i="18"/>
  <c r="J3840" i="18"/>
  <c r="K3840" i="18"/>
  <c r="L3840" i="18"/>
  <c r="B3841" i="18"/>
  <c r="C3841" i="18"/>
  <c r="D3841" i="18"/>
  <c r="E3841" i="18"/>
  <c r="F3841" i="18"/>
  <c r="G3841" i="18"/>
  <c r="H3841" i="18"/>
  <c r="I3841" i="18"/>
  <c r="J3841" i="18"/>
  <c r="K3841" i="18"/>
  <c r="L3841" i="18"/>
  <c r="B3842" i="18"/>
  <c r="C3842" i="18"/>
  <c r="D3842" i="18"/>
  <c r="E3842" i="18"/>
  <c r="F3842" i="18"/>
  <c r="G3842" i="18"/>
  <c r="H3842" i="18"/>
  <c r="I3842" i="18"/>
  <c r="J3842" i="18"/>
  <c r="K3842" i="18"/>
  <c r="L3842" i="18"/>
  <c r="B3843" i="18"/>
  <c r="C3843" i="18"/>
  <c r="D3843" i="18"/>
  <c r="E3843" i="18"/>
  <c r="F3843" i="18"/>
  <c r="G3843" i="18"/>
  <c r="H3843" i="18"/>
  <c r="I3843" i="18"/>
  <c r="J3843" i="18"/>
  <c r="K3843" i="18"/>
  <c r="L3843" i="18"/>
  <c r="B3844" i="18"/>
  <c r="C3844" i="18"/>
  <c r="D3844" i="18"/>
  <c r="E3844" i="18"/>
  <c r="F3844" i="18"/>
  <c r="G3844" i="18"/>
  <c r="H3844" i="18"/>
  <c r="I3844" i="18"/>
  <c r="J3844" i="18"/>
  <c r="K3844" i="18"/>
  <c r="L3844" i="18"/>
  <c r="B3845" i="18"/>
  <c r="C3845" i="18"/>
  <c r="D3845" i="18"/>
  <c r="E3845" i="18"/>
  <c r="F3845" i="18"/>
  <c r="G3845" i="18"/>
  <c r="H3845" i="18"/>
  <c r="I3845" i="18"/>
  <c r="J3845" i="18"/>
  <c r="K3845" i="18"/>
  <c r="L3845" i="18"/>
  <c r="B3846" i="18"/>
  <c r="C3846" i="18"/>
  <c r="D3846" i="18"/>
  <c r="E3846" i="18"/>
  <c r="F3846" i="18"/>
  <c r="G3846" i="18"/>
  <c r="H3846" i="18"/>
  <c r="I3846" i="18"/>
  <c r="J3846" i="18"/>
  <c r="K3846" i="18"/>
  <c r="L3846" i="18"/>
  <c r="B3847" i="18"/>
  <c r="C3847" i="18"/>
  <c r="D3847" i="18"/>
  <c r="E3847" i="18"/>
  <c r="F3847" i="18"/>
  <c r="G3847" i="18"/>
  <c r="H3847" i="18"/>
  <c r="I3847" i="18"/>
  <c r="J3847" i="18"/>
  <c r="K3847" i="18"/>
  <c r="L3847" i="18"/>
  <c r="B3848" i="18"/>
  <c r="C3848" i="18"/>
  <c r="D3848" i="18"/>
  <c r="E3848" i="18"/>
  <c r="F3848" i="18"/>
  <c r="G3848" i="18"/>
  <c r="H3848" i="18"/>
  <c r="I3848" i="18"/>
  <c r="J3848" i="18"/>
  <c r="K3848" i="18"/>
  <c r="L3848" i="18"/>
  <c r="B3849" i="18"/>
  <c r="C3849" i="18"/>
  <c r="D3849" i="18"/>
  <c r="E3849" i="18"/>
  <c r="F3849" i="18"/>
  <c r="G3849" i="18"/>
  <c r="H3849" i="18"/>
  <c r="I3849" i="18"/>
  <c r="J3849" i="18"/>
  <c r="K3849" i="18"/>
  <c r="L3849" i="18"/>
  <c r="B3850" i="18"/>
  <c r="C3850" i="18"/>
  <c r="D3850" i="18"/>
  <c r="E3850" i="18"/>
  <c r="F3850" i="18"/>
  <c r="G3850" i="18"/>
  <c r="H3850" i="18"/>
  <c r="I3850" i="18"/>
  <c r="J3850" i="18"/>
  <c r="K3850" i="18"/>
  <c r="L3850" i="18"/>
  <c r="B3851" i="18"/>
  <c r="C3851" i="18"/>
  <c r="D3851" i="18"/>
  <c r="E3851" i="18"/>
  <c r="F3851" i="18"/>
  <c r="G3851" i="18"/>
  <c r="H3851" i="18"/>
  <c r="I3851" i="18"/>
  <c r="J3851" i="18"/>
  <c r="K3851" i="18"/>
  <c r="L3851" i="18"/>
  <c r="B3852" i="18"/>
  <c r="C3852" i="18"/>
  <c r="D3852" i="18"/>
  <c r="E3852" i="18"/>
  <c r="F3852" i="18"/>
  <c r="G3852" i="18"/>
  <c r="H3852" i="18"/>
  <c r="I3852" i="18"/>
  <c r="J3852" i="18"/>
  <c r="K3852" i="18"/>
  <c r="L3852" i="18"/>
  <c r="B3853" i="18"/>
  <c r="C3853" i="18"/>
  <c r="D3853" i="18"/>
  <c r="E3853" i="18"/>
  <c r="F3853" i="18"/>
  <c r="G3853" i="18"/>
  <c r="H3853" i="18"/>
  <c r="I3853" i="18"/>
  <c r="J3853" i="18"/>
  <c r="K3853" i="18"/>
  <c r="L3853" i="18"/>
  <c r="B3854" i="18"/>
  <c r="C3854" i="18"/>
  <c r="D3854" i="18"/>
  <c r="E3854" i="18"/>
  <c r="F3854" i="18"/>
  <c r="G3854" i="18"/>
  <c r="H3854" i="18"/>
  <c r="I3854" i="18"/>
  <c r="J3854" i="18"/>
  <c r="K3854" i="18"/>
  <c r="L3854" i="18"/>
  <c r="B3855" i="18"/>
  <c r="C3855" i="18"/>
  <c r="D3855" i="18"/>
  <c r="E3855" i="18"/>
  <c r="F3855" i="18"/>
  <c r="G3855" i="18"/>
  <c r="H3855" i="18"/>
  <c r="I3855" i="18"/>
  <c r="J3855" i="18"/>
  <c r="K3855" i="18"/>
  <c r="L3855" i="18"/>
  <c r="B3856" i="18"/>
  <c r="C3856" i="18"/>
  <c r="D3856" i="18"/>
  <c r="E3856" i="18"/>
  <c r="F3856" i="18"/>
  <c r="G3856" i="18"/>
  <c r="H3856" i="18"/>
  <c r="I3856" i="18"/>
  <c r="J3856" i="18"/>
  <c r="K3856" i="18"/>
  <c r="L3856" i="18"/>
  <c r="B3857" i="18"/>
  <c r="C3857" i="18"/>
  <c r="D3857" i="18"/>
  <c r="E3857" i="18"/>
  <c r="F3857" i="18"/>
  <c r="G3857" i="18"/>
  <c r="H3857" i="18"/>
  <c r="I3857" i="18"/>
  <c r="J3857" i="18"/>
  <c r="K3857" i="18"/>
  <c r="L3857" i="18"/>
  <c r="B3858" i="18"/>
  <c r="C3858" i="18"/>
  <c r="D3858" i="18"/>
  <c r="E3858" i="18"/>
  <c r="F3858" i="18"/>
  <c r="G3858" i="18"/>
  <c r="H3858" i="18"/>
  <c r="I3858" i="18"/>
  <c r="J3858" i="18"/>
  <c r="K3858" i="18"/>
  <c r="L3858" i="18"/>
  <c r="B3859" i="18"/>
  <c r="C3859" i="18"/>
  <c r="D3859" i="18"/>
  <c r="E3859" i="18"/>
  <c r="F3859" i="18"/>
  <c r="G3859" i="18"/>
  <c r="H3859" i="18"/>
  <c r="I3859" i="18"/>
  <c r="J3859" i="18"/>
  <c r="K3859" i="18"/>
  <c r="L3859" i="18"/>
  <c r="B3860" i="18"/>
  <c r="C3860" i="18"/>
  <c r="D3860" i="18"/>
  <c r="E3860" i="18"/>
  <c r="F3860" i="18"/>
  <c r="G3860" i="18"/>
  <c r="H3860" i="18"/>
  <c r="I3860" i="18"/>
  <c r="J3860" i="18"/>
  <c r="K3860" i="18"/>
  <c r="L3860" i="18"/>
  <c r="B3861" i="18"/>
  <c r="C3861" i="18"/>
  <c r="D3861" i="18"/>
  <c r="E3861" i="18"/>
  <c r="F3861" i="18"/>
  <c r="G3861" i="18"/>
  <c r="H3861" i="18"/>
  <c r="I3861" i="18"/>
  <c r="J3861" i="18"/>
  <c r="K3861" i="18"/>
  <c r="L3861" i="18"/>
  <c r="B3862" i="18"/>
  <c r="C3862" i="18"/>
  <c r="D3862" i="18"/>
  <c r="E3862" i="18"/>
  <c r="F3862" i="18"/>
  <c r="G3862" i="18"/>
  <c r="H3862" i="18"/>
  <c r="I3862" i="18"/>
  <c r="J3862" i="18"/>
  <c r="K3862" i="18"/>
  <c r="L3862" i="18"/>
  <c r="B3863" i="18"/>
  <c r="C3863" i="18"/>
  <c r="D3863" i="18"/>
  <c r="E3863" i="18"/>
  <c r="F3863" i="18"/>
  <c r="G3863" i="18"/>
  <c r="H3863" i="18"/>
  <c r="I3863" i="18"/>
  <c r="J3863" i="18"/>
  <c r="K3863" i="18"/>
  <c r="L3863" i="18"/>
  <c r="B3864" i="18"/>
  <c r="C3864" i="18"/>
  <c r="D3864" i="18"/>
  <c r="E3864" i="18"/>
  <c r="F3864" i="18"/>
  <c r="G3864" i="18"/>
  <c r="H3864" i="18"/>
  <c r="I3864" i="18"/>
  <c r="J3864" i="18"/>
  <c r="K3864" i="18"/>
  <c r="L3864" i="18"/>
  <c r="B3865" i="18"/>
  <c r="C3865" i="18"/>
  <c r="D3865" i="18"/>
  <c r="E3865" i="18"/>
  <c r="F3865" i="18"/>
  <c r="G3865" i="18"/>
  <c r="H3865" i="18"/>
  <c r="I3865" i="18"/>
  <c r="J3865" i="18"/>
  <c r="K3865" i="18"/>
  <c r="L3865" i="18"/>
  <c r="B3866" i="18"/>
  <c r="C3866" i="18"/>
  <c r="D3866" i="18"/>
  <c r="E3866" i="18"/>
  <c r="F3866" i="18"/>
  <c r="G3866" i="18"/>
  <c r="H3866" i="18"/>
  <c r="I3866" i="18"/>
  <c r="J3866" i="18"/>
  <c r="K3866" i="18"/>
  <c r="L3866" i="18"/>
  <c r="B3867" i="18"/>
  <c r="C3867" i="18"/>
  <c r="D3867" i="18"/>
  <c r="E3867" i="18"/>
  <c r="F3867" i="18"/>
  <c r="G3867" i="18"/>
  <c r="H3867" i="18"/>
  <c r="I3867" i="18"/>
  <c r="J3867" i="18"/>
  <c r="K3867" i="18"/>
  <c r="L3867" i="18"/>
  <c r="B3868" i="18"/>
  <c r="C3868" i="18"/>
  <c r="D3868" i="18"/>
  <c r="E3868" i="18"/>
  <c r="F3868" i="18"/>
  <c r="G3868" i="18"/>
  <c r="H3868" i="18"/>
  <c r="I3868" i="18"/>
  <c r="J3868" i="18"/>
  <c r="K3868" i="18"/>
  <c r="L3868" i="18"/>
  <c r="B3869" i="18"/>
  <c r="C3869" i="18"/>
  <c r="D3869" i="18"/>
  <c r="E3869" i="18"/>
  <c r="F3869" i="18"/>
  <c r="G3869" i="18"/>
  <c r="H3869" i="18"/>
  <c r="I3869" i="18"/>
  <c r="J3869" i="18"/>
  <c r="K3869" i="18"/>
  <c r="L3869" i="18"/>
  <c r="B3870" i="18"/>
  <c r="C3870" i="18"/>
  <c r="D3870" i="18"/>
  <c r="E3870" i="18"/>
  <c r="F3870" i="18"/>
  <c r="G3870" i="18"/>
  <c r="H3870" i="18"/>
  <c r="I3870" i="18"/>
  <c r="J3870" i="18"/>
  <c r="K3870" i="18"/>
  <c r="L3870" i="18"/>
  <c r="B3871" i="18"/>
  <c r="C3871" i="18"/>
  <c r="D3871" i="18"/>
  <c r="E3871" i="18"/>
  <c r="F3871" i="18"/>
  <c r="G3871" i="18"/>
  <c r="H3871" i="18"/>
  <c r="I3871" i="18"/>
  <c r="J3871" i="18"/>
  <c r="K3871" i="18"/>
  <c r="L3871" i="18"/>
  <c r="B3872" i="18"/>
  <c r="C3872" i="18"/>
  <c r="D3872" i="18"/>
  <c r="E3872" i="18"/>
  <c r="F3872" i="18"/>
  <c r="G3872" i="18"/>
  <c r="H3872" i="18"/>
  <c r="I3872" i="18"/>
  <c r="J3872" i="18"/>
  <c r="K3872" i="18"/>
  <c r="L3872" i="18"/>
  <c r="B3873" i="18"/>
  <c r="C3873" i="18"/>
  <c r="D3873" i="18"/>
  <c r="E3873" i="18"/>
  <c r="F3873" i="18"/>
  <c r="G3873" i="18"/>
  <c r="H3873" i="18"/>
  <c r="I3873" i="18"/>
  <c r="J3873" i="18"/>
  <c r="K3873" i="18"/>
  <c r="L3873" i="18"/>
  <c r="B3874" i="18"/>
  <c r="C3874" i="18"/>
  <c r="D3874" i="18"/>
  <c r="E3874" i="18"/>
  <c r="F3874" i="18"/>
  <c r="G3874" i="18"/>
  <c r="H3874" i="18"/>
  <c r="I3874" i="18"/>
  <c r="J3874" i="18"/>
  <c r="K3874" i="18"/>
  <c r="L3874" i="18"/>
  <c r="B3875" i="18"/>
  <c r="C3875" i="18"/>
  <c r="D3875" i="18"/>
  <c r="E3875" i="18"/>
  <c r="F3875" i="18"/>
  <c r="G3875" i="18"/>
  <c r="H3875" i="18"/>
  <c r="I3875" i="18"/>
  <c r="J3875" i="18"/>
  <c r="K3875" i="18"/>
  <c r="L3875" i="18"/>
  <c r="B3876" i="18"/>
  <c r="C3876" i="18"/>
  <c r="D3876" i="18"/>
  <c r="E3876" i="18"/>
  <c r="F3876" i="18"/>
  <c r="G3876" i="18"/>
  <c r="H3876" i="18"/>
  <c r="I3876" i="18"/>
  <c r="J3876" i="18"/>
  <c r="K3876" i="18"/>
  <c r="L3876" i="18"/>
  <c r="B3877" i="18"/>
  <c r="C3877" i="18"/>
  <c r="D3877" i="18"/>
  <c r="E3877" i="18"/>
  <c r="F3877" i="18"/>
  <c r="G3877" i="18"/>
  <c r="H3877" i="18"/>
  <c r="I3877" i="18"/>
  <c r="J3877" i="18"/>
  <c r="K3877" i="18"/>
  <c r="L3877" i="18"/>
  <c r="B3878" i="18"/>
  <c r="C3878" i="18"/>
  <c r="D3878" i="18"/>
  <c r="E3878" i="18"/>
  <c r="F3878" i="18"/>
  <c r="G3878" i="18"/>
  <c r="H3878" i="18"/>
  <c r="I3878" i="18"/>
  <c r="J3878" i="18"/>
  <c r="K3878" i="18"/>
  <c r="L3878" i="18"/>
  <c r="B3879" i="18"/>
  <c r="C3879" i="18"/>
  <c r="D3879" i="18"/>
  <c r="E3879" i="18"/>
  <c r="F3879" i="18"/>
  <c r="G3879" i="18"/>
  <c r="H3879" i="18"/>
  <c r="I3879" i="18"/>
  <c r="J3879" i="18"/>
  <c r="K3879" i="18"/>
  <c r="L3879" i="18"/>
  <c r="B3880" i="18"/>
  <c r="C3880" i="18"/>
  <c r="D3880" i="18"/>
  <c r="E3880" i="18"/>
  <c r="F3880" i="18"/>
  <c r="G3880" i="18"/>
  <c r="H3880" i="18"/>
  <c r="I3880" i="18"/>
  <c r="J3880" i="18"/>
  <c r="K3880" i="18"/>
  <c r="L3880" i="18"/>
  <c r="B3881" i="18"/>
  <c r="C3881" i="18"/>
  <c r="D3881" i="18"/>
  <c r="E3881" i="18"/>
  <c r="F3881" i="18"/>
  <c r="G3881" i="18"/>
  <c r="H3881" i="18"/>
  <c r="I3881" i="18"/>
  <c r="J3881" i="18"/>
  <c r="K3881" i="18"/>
  <c r="L3881" i="18"/>
  <c r="B3882" i="18"/>
  <c r="C3882" i="18"/>
  <c r="D3882" i="18"/>
  <c r="E3882" i="18"/>
  <c r="F3882" i="18"/>
  <c r="G3882" i="18"/>
  <c r="H3882" i="18"/>
  <c r="I3882" i="18"/>
  <c r="J3882" i="18"/>
  <c r="K3882" i="18"/>
  <c r="L3882" i="18"/>
  <c r="B3883" i="18"/>
  <c r="C3883" i="18"/>
  <c r="D3883" i="18"/>
  <c r="E3883" i="18"/>
  <c r="F3883" i="18"/>
  <c r="G3883" i="18"/>
  <c r="H3883" i="18"/>
  <c r="I3883" i="18"/>
  <c r="J3883" i="18"/>
  <c r="K3883" i="18"/>
  <c r="L3883" i="18"/>
  <c r="B3884" i="18"/>
  <c r="C3884" i="18"/>
  <c r="D3884" i="18"/>
  <c r="E3884" i="18"/>
  <c r="F3884" i="18"/>
  <c r="G3884" i="18"/>
  <c r="H3884" i="18"/>
  <c r="I3884" i="18"/>
  <c r="J3884" i="18"/>
  <c r="K3884" i="18"/>
  <c r="L3884" i="18"/>
  <c r="B3885" i="18"/>
  <c r="C3885" i="18"/>
  <c r="D3885" i="18"/>
  <c r="E3885" i="18"/>
  <c r="F3885" i="18"/>
  <c r="G3885" i="18"/>
  <c r="H3885" i="18"/>
  <c r="I3885" i="18"/>
  <c r="J3885" i="18"/>
  <c r="K3885" i="18"/>
  <c r="L3885" i="18"/>
  <c r="B3886" i="18"/>
  <c r="C3886" i="18"/>
  <c r="D3886" i="18"/>
  <c r="E3886" i="18"/>
  <c r="F3886" i="18"/>
  <c r="G3886" i="18"/>
  <c r="H3886" i="18"/>
  <c r="I3886" i="18"/>
  <c r="J3886" i="18"/>
  <c r="K3886" i="18"/>
  <c r="L3886" i="18"/>
  <c r="B3887" i="18"/>
  <c r="C3887" i="18"/>
  <c r="D3887" i="18"/>
  <c r="E3887" i="18"/>
  <c r="F3887" i="18"/>
  <c r="G3887" i="18"/>
  <c r="H3887" i="18"/>
  <c r="I3887" i="18"/>
  <c r="J3887" i="18"/>
  <c r="K3887" i="18"/>
  <c r="L3887" i="18"/>
  <c r="B3888" i="18"/>
  <c r="C3888" i="18"/>
  <c r="D3888" i="18"/>
  <c r="E3888" i="18"/>
  <c r="F3888" i="18"/>
  <c r="G3888" i="18"/>
  <c r="H3888" i="18"/>
  <c r="I3888" i="18"/>
  <c r="J3888" i="18"/>
  <c r="K3888" i="18"/>
  <c r="L3888" i="18"/>
  <c r="B3889" i="18"/>
  <c r="C3889" i="18"/>
  <c r="D3889" i="18"/>
  <c r="E3889" i="18"/>
  <c r="F3889" i="18"/>
  <c r="G3889" i="18"/>
  <c r="H3889" i="18"/>
  <c r="I3889" i="18"/>
  <c r="J3889" i="18"/>
  <c r="K3889" i="18"/>
  <c r="L3889" i="18"/>
  <c r="B3890" i="18"/>
  <c r="C3890" i="18"/>
  <c r="D3890" i="18"/>
  <c r="E3890" i="18"/>
  <c r="F3890" i="18"/>
  <c r="G3890" i="18"/>
  <c r="H3890" i="18"/>
  <c r="I3890" i="18"/>
  <c r="J3890" i="18"/>
  <c r="K3890" i="18"/>
  <c r="L3890" i="18"/>
  <c r="B3891" i="18"/>
  <c r="C3891" i="18"/>
  <c r="D3891" i="18"/>
  <c r="E3891" i="18"/>
  <c r="F3891" i="18"/>
  <c r="G3891" i="18"/>
  <c r="H3891" i="18"/>
  <c r="I3891" i="18"/>
  <c r="J3891" i="18"/>
  <c r="K3891" i="18"/>
  <c r="L3891" i="18"/>
  <c r="B3892" i="18"/>
  <c r="C3892" i="18"/>
  <c r="D3892" i="18"/>
  <c r="E3892" i="18"/>
  <c r="F3892" i="18"/>
  <c r="G3892" i="18"/>
  <c r="H3892" i="18"/>
  <c r="I3892" i="18"/>
  <c r="J3892" i="18"/>
  <c r="K3892" i="18"/>
  <c r="L3892" i="18"/>
  <c r="B3893" i="18"/>
  <c r="C3893" i="18"/>
  <c r="D3893" i="18"/>
  <c r="E3893" i="18"/>
  <c r="F3893" i="18"/>
  <c r="G3893" i="18"/>
  <c r="H3893" i="18"/>
  <c r="I3893" i="18"/>
  <c r="J3893" i="18"/>
  <c r="K3893" i="18"/>
  <c r="L3893" i="18"/>
  <c r="B3894" i="18"/>
  <c r="C3894" i="18"/>
  <c r="D3894" i="18"/>
  <c r="E3894" i="18"/>
  <c r="F3894" i="18"/>
  <c r="G3894" i="18"/>
  <c r="H3894" i="18"/>
  <c r="I3894" i="18"/>
  <c r="J3894" i="18"/>
  <c r="K3894" i="18"/>
  <c r="L3894" i="18"/>
  <c r="B3895" i="18"/>
  <c r="C3895" i="18"/>
  <c r="D3895" i="18"/>
  <c r="E3895" i="18"/>
  <c r="F3895" i="18"/>
  <c r="G3895" i="18"/>
  <c r="H3895" i="18"/>
  <c r="I3895" i="18"/>
  <c r="J3895" i="18"/>
  <c r="K3895" i="18"/>
  <c r="L3895" i="18"/>
  <c r="B3896" i="18"/>
  <c r="C3896" i="18"/>
  <c r="D3896" i="18"/>
  <c r="E3896" i="18"/>
  <c r="F3896" i="18"/>
  <c r="G3896" i="18"/>
  <c r="H3896" i="18"/>
  <c r="I3896" i="18"/>
  <c r="J3896" i="18"/>
  <c r="K3896" i="18"/>
  <c r="L3896" i="18"/>
  <c r="B3897" i="18"/>
  <c r="C3897" i="18"/>
  <c r="D3897" i="18"/>
  <c r="E3897" i="18"/>
  <c r="F3897" i="18"/>
  <c r="G3897" i="18"/>
  <c r="H3897" i="18"/>
  <c r="I3897" i="18"/>
  <c r="J3897" i="18"/>
  <c r="K3897" i="18"/>
  <c r="L3897" i="18"/>
  <c r="B3898" i="18"/>
  <c r="C3898" i="18"/>
  <c r="D3898" i="18"/>
  <c r="E3898" i="18"/>
  <c r="F3898" i="18"/>
  <c r="G3898" i="18"/>
  <c r="H3898" i="18"/>
  <c r="I3898" i="18"/>
  <c r="J3898" i="18"/>
  <c r="K3898" i="18"/>
  <c r="L3898" i="18"/>
  <c r="B3899" i="18"/>
  <c r="C3899" i="18"/>
  <c r="D3899" i="18"/>
  <c r="E3899" i="18"/>
  <c r="F3899" i="18"/>
  <c r="G3899" i="18"/>
  <c r="H3899" i="18"/>
  <c r="I3899" i="18"/>
  <c r="J3899" i="18"/>
  <c r="K3899" i="18"/>
  <c r="L3899" i="18"/>
  <c r="B3900" i="18"/>
  <c r="C3900" i="18"/>
  <c r="D3900" i="18"/>
  <c r="E3900" i="18"/>
  <c r="F3900" i="18"/>
  <c r="G3900" i="18"/>
  <c r="H3900" i="18"/>
  <c r="I3900" i="18"/>
  <c r="J3900" i="18"/>
  <c r="K3900" i="18"/>
  <c r="L3900" i="18"/>
  <c r="B3901" i="18"/>
  <c r="C3901" i="18"/>
  <c r="D3901" i="18"/>
  <c r="E3901" i="18"/>
  <c r="F3901" i="18"/>
  <c r="G3901" i="18"/>
  <c r="H3901" i="18"/>
  <c r="I3901" i="18"/>
  <c r="J3901" i="18"/>
  <c r="K3901" i="18"/>
  <c r="L3901" i="18"/>
  <c r="B3902" i="18"/>
  <c r="C3902" i="18"/>
  <c r="D3902" i="18"/>
  <c r="E3902" i="18"/>
  <c r="F3902" i="18"/>
  <c r="G3902" i="18"/>
  <c r="H3902" i="18"/>
  <c r="I3902" i="18"/>
  <c r="J3902" i="18"/>
  <c r="K3902" i="18"/>
  <c r="L3902" i="18"/>
  <c r="B3903" i="18"/>
  <c r="C3903" i="18"/>
  <c r="D3903" i="18"/>
  <c r="E3903" i="18"/>
  <c r="F3903" i="18"/>
  <c r="G3903" i="18"/>
  <c r="H3903" i="18"/>
  <c r="I3903" i="18"/>
  <c r="J3903" i="18"/>
  <c r="K3903" i="18"/>
  <c r="L3903" i="18"/>
  <c r="B3904" i="18"/>
  <c r="C3904" i="18"/>
  <c r="D3904" i="18"/>
  <c r="E3904" i="18"/>
  <c r="F3904" i="18"/>
  <c r="G3904" i="18"/>
  <c r="H3904" i="18"/>
  <c r="I3904" i="18"/>
  <c r="J3904" i="18"/>
  <c r="K3904" i="18"/>
  <c r="L3904" i="18"/>
  <c r="B3905" i="18"/>
  <c r="C3905" i="18"/>
  <c r="D3905" i="18"/>
  <c r="E3905" i="18"/>
  <c r="F3905" i="18"/>
  <c r="G3905" i="18"/>
  <c r="H3905" i="18"/>
  <c r="I3905" i="18"/>
  <c r="J3905" i="18"/>
  <c r="K3905" i="18"/>
  <c r="L3905" i="18"/>
  <c r="B3906" i="18"/>
  <c r="C3906" i="18"/>
  <c r="D3906" i="18"/>
  <c r="E3906" i="18"/>
  <c r="F3906" i="18"/>
  <c r="G3906" i="18"/>
  <c r="H3906" i="18"/>
  <c r="I3906" i="18"/>
  <c r="J3906" i="18"/>
  <c r="K3906" i="18"/>
  <c r="L3906" i="18"/>
  <c r="B3907" i="18"/>
  <c r="C3907" i="18"/>
  <c r="D3907" i="18"/>
  <c r="E3907" i="18"/>
  <c r="F3907" i="18"/>
  <c r="G3907" i="18"/>
  <c r="H3907" i="18"/>
  <c r="I3907" i="18"/>
  <c r="J3907" i="18"/>
  <c r="K3907" i="18"/>
  <c r="L3907" i="18"/>
  <c r="B3908" i="18"/>
  <c r="C3908" i="18"/>
  <c r="D3908" i="18"/>
  <c r="E3908" i="18"/>
  <c r="F3908" i="18"/>
  <c r="G3908" i="18"/>
  <c r="H3908" i="18"/>
  <c r="I3908" i="18"/>
  <c r="J3908" i="18"/>
  <c r="K3908" i="18"/>
  <c r="L3908" i="18"/>
  <c r="B3909" i="18"/>
  <c r="C3909" i="18"/>
  <c r="D3909" i="18"/>
  <c r="E3909" i="18"/>
  <c r="F3909" i="18"/>
  <c r="G3909" i="18"/>
  <c r="H3909" i="18"/>
  <c r="I3909" i="18"/>
  <c r="J3909" i="18"/>
  <c r="K3909" i="18"/>
  <c r="L3909" i="18"/>
  <c r="B3910" i="18"/>
  <c r="C3910" i="18"/>
  <c r="D3910" i="18"/>
  <c r="E3910" i="18"/>
  <c r="F3910" i="18"/>
  <c r="G3910" i="18"/>
  <c r="H3910" i="18"/>
  <c r="I3910" i="18"/>
  <c r="J3910" i="18"/>
  <c r="K3910" i="18"/>
  <c r="L3910" i="18"/>
  <c r="B3911" i="18"/>
  <c r="C3911" i="18"/>
  <c r="D3911" i="18"/>
  <c r="E3911" i="18"/>
  <c r="F3911" i="18"/>
  <c r="G3911" i="18"/>
  <c r="H3911" i="18"/>
  <c r="I3911" i="18"/>
  <c r="J3911" i="18"/>
  <c r="K3911" i="18"/>
  <c r="L3911" i="18"/>
  <c r="B3912" i="18"/>
  <c r="C3912" i="18"/>
  <c r="D3912" i="18"/>
  <c r="E3912" i="18"/>
  <c r="F3912" i="18"/>
  <c r="G3912" i="18"/>
  <c r="H3912" i="18"/>
  <c r="I3912" i="18"/>
  <c r="J3912" i="18"/>
  <c r="K3912" i="18"/>
  <c r="L3912" i="18"/>
  <c r="B3913" i="18"/>
  <c r="C3913" i="18"/>
  <c r="D3913" i="18"/>
  <c r="E3913" i="18"/>
  <c r="F3913" i="18"/>
  <c r="G3913" i="18"/>
  <c r="H3913" i="18"/>
  <c r="I3913" i="18"/>
  <c r="J3913" i="18"/>
  <c r="K3913" i="18"/>
  <c r="L3913" i="18"/>
  <c r="B3914" i="18"/>
  <c r="C3914" i="18"/>
  <c r="D3914" i="18"/>
  <c r="E3914" i="18"/>
  <c r="F3914" i="18"/>
  <c r="G3914" i="18"/>
  <c r="H3914" i="18"/>
  <c r="I3914" i="18"/>
  <c r="J3914" i="18"/>
  <c r="K3914" i="18"/>
  <c r="L3914" i="18"/>
  <c r="B3915" i="18"/>
  <c r="C3915" i="18"/>
  <c r="D3915" i="18"/>
  <c r="E3915" i="18"/>
  <c r="F3915" i="18"/>
  <c r="G3915" i="18"/>
  <c r="H3915" i="18"/>
  <c r="I3915" i="18"/>
  <c r="J3915" i="18"/>
  <c r="K3915" i="18"/>
  <c r="L3915" i="18"/>
  <c r="B3916" i="18"/>
  <c r="C3916" i="18"/>
  <c r="D3916" i="18"/>
  <c r="E3916" i="18"/>
  <c r="F3916" i="18"/>
  <c r="G3916" i="18"/>
  <c r="H3916" i="18"/>
  <c r="I3916" i="18"/>
  <c r="J3916" i="18"/>
  <c r="K3916" i="18"/>
  <c r="L3916" i="18"/>
  <c r="B3917" i="18"/>
  <c r="C3917" i="18"/>
  <c r="D3917" i="18"/>
  <c r="E3917" i="18"/>
  <c r="F3917" i="18"/>
  <c r="G3917" i="18"/>
  <c r="H3917" i="18"/>
  <c r="I3917" i="18"/>
  <c r="J3917" i="18"/>
  <c r="K3917" i="18"/>
  <c r="L3917" i="18"/>
  <c r="B3918" i="18"/>
  <c r="C3918" i="18"/>
  <c r="D3918" i="18"/>
  <c r="E3918" i="18"/>
  <c r="F3918" i="18"/>
  <c r="G3918" i="18"/>
  <c r="H3918" i="18"/>
  <c r="I3918" i="18"/>
  <c r="J3918" i="18"/>
  <c r="K3918" i="18"/>
  <c r="L3918" i="18"/>
  <c r="B3919" i="18"/>
  <c r="C3919" i="18"/>
  <c r="D3919" i="18"/>
  <c r="E3919" i="18"/>
  <c r="F3919" i="18"/>
  <c r="G3919" i="18"/>
  <c r="H3919" i="18"/>
  <c r="I3919" i="18"/>
  <c r="J3919" i="18"/>
  <c r="K3919" i="18"/>
  <c r="L3919" i="18"/>
  <c r="B3920" i="18"/>
  <c r="C3920" i="18"/>
  <c r="D3920" i="18"/>
  <c r="E3920" i="18"/>
  <c r="F3920" i="18"/>
  <c r="G3920" i="18"/>
  <c r="H3920" i="18"/>
  <c r="I3920" i="18"/>
  <c r="J3920" i="18"/>
  <c r="K3920" i="18"/>
  <c r="L3920" i="18"/>
  <c r="B3921" i="18"/>
  <c r="C3921" i="18"/>
  <c r="D3921" i="18"/>
  <c r="E3921" i="18"/>
  <c r="F3921" i="18"/>
  <c r="G3921" i="18"/>
  <c r="H3921" i="18"/>
  <c r="I3921" i="18"/>
  <c r="J3921" i="18"/>
  <c r="K3921" i="18"/>
  <c r="L3921" i="18"/>
  <c r="B3922" i="18"/>
  <c r="C3922" i="18"/>
  <c r="D3922" i="18"/>
  <c r="E3922" i="18"/>
  <c r="F3922" i="18"/>
  <c r="G3922" i="18"/>
  <c r="H3922" i="18"/>
  <c r="I3922" i="18"/>
  <c r="J3922" i="18"/>
  <c r="K3922" i="18"/>
  <c r="L3922" i="18"/>
  <c r="B3923" i="18"/>
  <c r="C3923" i="18"/>
  <c r="D3923" i="18"/>
  <c r="E3923" i="18"/>
  <c r="F3923" i="18"/>
  <c r="G3923" i="18"/>
  <c r="H3923" i="18"/>
  <c r="I3923" i="18"/>
  <c r="J3923" i="18"/>
  <c r="K3923" i="18"/>
  <c r="L3923" i="18"/>
  <c r="B3924" i="18"/>
  <c r="C3924" i="18"/>
  <c r="D3924" i="18"/>
  <c r="E3924" i="18"/>
  <c r="F3924" i="18"/>
  <c r="G3924" i="18"/>
  <c r="H3924" i="18"/>
  <c r="I3924" i="18"/>
  <c r="J3924" i="18"/>
  <c r="K3924" i="18"/>
  <c r="L3924" i="18"/>
  <c r="B3925" i="18"/>
  <c r="C3925" i="18"/>
  <c r="D3925" i="18"/>
  <c r="E3925" i="18"/>
  <c r="F3925" i="18"/>
  <c r="G3925" i="18"/>
  <c r="H3925" i="18"/>
  <c r="I3925" i="18"/>
  <c r="J3925" i="18"/>
  <c r="K3925" i="18"/>
  <c r="L3925" i="18"/>
  <c r="B3926" i="18"/>
  <c r="C3926" i="18"/>
  <c r="D3926" i="18"/>
  <c r="E3926" i="18"/>
  <c r="F3926" i="18"/>
  <c r="G3926" i="18"/>
  <c r="H3926" i="18"/>
  <c r="I3926" i="18"/>
  <c r="J3926" i="18"/>
  <c r="K3926" i="18"/>
  <c r="L3926" i="18"/>
  <c r="B3927" i="18"/>
  <c r="C3927" i="18"/>
  <c r="D3927" i="18"/>
  <c r="E3927" i="18"/>
  <c r="F3927" i="18"/>
  <c r="G3927" i="18"/>
  <c r="H3927" i="18"/>
  <c r="I3927" i="18"/>
  <c r="J3927" i="18"/>
  <c r="K3927" i="18"/>
  <c r="L3927" i="18"/>
  <c r="B3928" i="18"/>
  <c r="C3928" i="18"/>
  <c r="D3928" i="18"/>
  <c r="E3928" i="18"/>
  <c r="F3928" i="18"/>
  <c r="G3928" i="18"/>
  <c r="H3928" i="18"/>
  <c r="I3928" i="18"/>
  <c r="J3928" i="18"/>
  <c r="K3928" i="18"/>
  <c r="L3928" i="18"/>
  <c r="B3929" i="18"/>
  <c r="C3929" i="18"/>
  <c r="D3929" i="18"/>
  <c r="E3929" i="18"/>
  <c r="F3929" i="18"/>
  <c r="G3929" i="18"/>
  <c r="H3929" i="18"/>
  <c r="I3929" i="18"/>
  <c r="J3929" i="18"/>
  <c r="K3929" i="18"/>
  <c r="L3929" i="18"/>
  <c r="B3930" i="18"/>
  <c r="C3930" i="18"/>
  <c r="D3930" i="18"/>
  <c r="E3930" i="18"/>
  <c r="F3930" i="18"/>
  <c r="G3930" i="18"/>
  <c r="H3930" i="18"/>
  <c r="I3930" i="18"/>
  <c r="J3930" i="18"/>
  <c r="K3930" i="18"/>
  <c r="L3930" i="18"/>
  <c r="B3931" i="18"/>
  <c r="C3931" i="18"/>
  <c r="D3931" i="18"/>
  <c r="E3931" i="18"/>
  <c r="F3931" i="18"/>
  <c r="G3931" i="18"/>
  <c r="H3931" i="18"/>
  <c r="I3931" i="18"/>
  <c r="J3931" i="18"/>
  <c r="K3931" i="18"/>
  <c r="L3931" i="18"/>
  <c r="B3932" i="18"/>
  <c r="C3932" i="18"/>
  <c r="D3932" i="18"/>
  <c r="E3932" i="18"/>
  <c r="F3932" i="18"/>
  <c r="G3932" i="18"/>
  <c r="H3932" i="18"/>
  <c r="I3932" i="18"/>
  <c r="J3932" i="18"/>
  <c r="K3932" i="18"/>
  <c r="L3932" i="18"/>
  <c r="B3933" i="18"/>
  <c r="C3933" i="18"/>
  <c r="D3933" i="18"/>
  <c r="E3933" i="18"/>
  <c r="F3933" i="18"/>
  <c r="G3933" i="18"/>
  <c r="H3933" i="18"/>
  <c r="I3933" i="18"/>
  <c r="J3933" i="18"/>
  <c r="K3933" i="18"/>
  <c r="L3933" i="18"/>
  <c r="B3934" i="18"/>
  <c r="C3934" i="18"/>
  <c r="D3934" i="18"/>
  <c r="E3934" i="18"/>
  <c r="F3934" i="18"/>
  <c r="G3934" i="18"/>
  <c r="H3934" i="18"/>
  <c r="I3934" i="18"/>
  <c r="J3934" i="18"/>
  <c r="K3934" i="18"/>
  <c r="L3934" i="18"/>
  <c r="B3935" i="18"/>
  <c r="C3935" i="18"/>
  <c r="D3935" i="18"/>
  <c r="E3935" i="18"/>
  <c r="F3935" i="18"/>
  <c r="G3935" i="18"/>
  <c r="H3935" i="18"/>
  <c r="I3935" i="18"/>
  <c r="J3935" i="18"/>
  <c r="K3935" i="18"/>
  <c r="L3935" i="18"/>
  <c r="B3936" i="18"/>
  <c r="C3936" i="18"/>
  <c r="D3936" i="18"/>
  <c r="E3936" i="18"/>
  <c r="F3936" i="18"/>
  <c r="G3936" i="18"/>
  <c r="H3936" i="18"/>
  <c r="I3936" i="18"/>
  <c r="J3936" i="18"/>
  <c r="K3936" i="18"/>
  <c r="L3936" i="18"/>
  <c r="B3937" i="18"/>
  <c r="C3937" i="18"/>
  <c r="D3937" i="18"/>
  <c r="E3937" i="18"/>
  <c r="F3937" i="18"/>
  <c r="G3937" i="18"/>
  <c r="H3937" i="18"/>
  <c r="I3937" i="18"/>
  <c r="J3937" i="18"/>
  <c r="K3937" i="18"/>
  <c r="L3937" i="18"/>
  <c r="B3938" i="18"/>
  <c r="C3938" i="18"/>
  <c r="D3938" i="18"/>
  <c r="E3938" i="18"/>
  <c r="F3938" i="18"/>
  <c r="G3938" i="18"/>
  <c r="H3938" i="18"/>
  <c r="I3938" i="18"/>
  <c r="J3938" i="18"/>
  <c r="K3938" i="18"/>
  <c r="L3938" i="18"/>
  <c r="B3939" i="18"/>
  <c r="C3939" i="18"/>
  <c r="D3939" i="18"/>
  <c r="E3939" i="18"/>
  <c r="F3939" i="18"/>
  <c r="G3939" i="18"/>
  <c r="H3939" i="18"/>
  <c r="I3939" i="18"/>
  <c r="J3939" i="18"/>
  <c r="K3939" i="18"/>
  <c r="L3939" i="18"/>
  <c r="B3940" i="18"/>
  <c r="C3940" i="18"/>
  <c r="D3940" i="18"/>
  <c r="E3940" i="18"/>
  <c r="F3940" i="18"/>
  <c r="G3940" i="18"/>
  <c r="H3940" i="18"/>
  <c r="I3940" i="18"/>
  <c r="J3940" i="18"/>
  <c r="K3940" i="18"/>
  <c r="L3940" i="18"/>
  <c r="B3941" i="18"/>
  <c r="C3941" i="18"/>
  <c r="D3941" i="18"/>
  <c r="E3941" i="18"/>
  <c r="F3941" i="18"/>
  <c r="G3941" i="18"/>
  <c r="H3941" i="18"/>
  <c r="I3941" i="18"/>
  <c r="J3941" i="18"/>
  <c r="K3941" i="18"/>
  <c r="L3941" i="18"/>
  <c r="B3942" i="18"/>
  <c r="C3942" i="18"/>
  <c r="D3942" i="18"/>
  <c r="E3942" i="18"/>
  <c r="F3942" i="18"/>
  <c r="G3942" i="18"/>
  <c r="H3942" i="18"/>
  <c r="I3942" i="18"/>
  <c r="J3942" i="18"/>
  <c r="K3942" i="18"/>
  <c r="L3942" i="18"/>
  <c r="B3943" i="18"/>
  <c r="C3943" i="18"/>
  <c r="D3943" i="18"/>
  <c r="E3943" i="18"/>
  <c r="F3943" i="18"/>
  <c r="G3943" i="18"/>
  <c r="H3943" i="18"/>
  <c r="I3943" i="18"/>
  <c r="J3943" i="18"/>
  <c r="K3943" i="18"/>
  <c r="L3943" i="18"/>
  <c r="B3944" i="18"/>
  <c r="C3944" i="18"/>
  <c r="D3944" i="18"/>
  <c r="E3944" i="18"/>
  <c r="F3944" i="18"/>
  <c r="G3944" i="18"/>
  <c r="H3944" i="18"/>
  <c r="I3944" i="18"/>
  <c r="J3944" i="18"/>
  <c r="K3944" i="18"/>
  <c r="L3944" i="18"/>
  <c r="B3945" i="18"/>
  <c r="C3945" i="18"/>
  <c r="D3945" i="18"/>
  <c r="E3945" i="18"/>
  <c r="F3945" i="18"/>
  <c r="G3945" i="18"/>
  <c r="H3945" i="18"/>
  <c r="I3945" i="18"/>
  <c r="J3945" i="18"/>
  <c r="K3945" i="18"/>
  <c r="L3945" i="18"/>
  <c r="B3946" i="18"/>
  <c r="C3946" i="18"/>
  <c r="D3946" i="18"/>
  <c r="E3946" i="18"/>
  <c r="F3946" i="18"/>
  <c r="G3946" i="18"/>
  <c r="H3946" i="18"/>
  <c r="I3946" i="18"/>
  <c r="J3946" i="18"/>
  <c r="K3946" i="18"/>
  <c r="L3946" i="18"/>
  <c r="B3947" i="18"/>
  <c r="C3947" i="18"/>
  <c r="D3947" i="18"/>
  <c r="E3947" i="18"/>
  <c r="F3947" i="18"/>
  <c r="G3947" i="18"/>
  <c r="H3947" i="18"/>
  <c r="I3947" i="18"/>
  <c r="J3947" i="18"/>
  <c r="K3947" i="18"/>
  <c r="L3947" i="18"/>
  <c r="B3948" i="18"/>
  <c r="C3948" i="18"/>
  <c r="D3948" i="18"/>
  <c r="E3948" i="18"/>
  <c r="F3948" i="18"/>
  <c r="G3948" i="18"/>
  <c r="H3948" i="18"/>
  <c r="I3948" i="18"/>
  <c r="J3948" i="18"/>
  <c r="K3948" i="18"/>
  <c r="L3948" i="18"/>
  <c r="B3949" i="18"/>
  <c r="C3949" i="18"/>
  <c r="D3949" i="18"/>
  <c r="E3949" i="18"/>
  <c r="F3949" i="18"/>
  <c r="G3949" i="18"/>
  <c r="H3949" i="18"/>
  <c r="I3949" i="18"/>
  <c r="J3949" i="18"/>
  <c r="K3949" i="18"/>
  <c r="L3949" i="18"/>
  <c r="B3950" i="18"/>
  <c r="C3950" i="18"/>
  <c r="D3950" i="18"/>
  <c r="E3950" i="18"/>
  <c r="F3950" i="18"/>
  <c r="G3950" i="18"/>
  <c r="H3950" i="18"/>
  <c r="I3950" i="18"/>
  <c r="J3950" i="18"/>
  <c r="K3950" i="18"/>
  <c r="L3950" i="18"/>
  <c r="B3951" i="18"/>
  <c r="C3951" i="18"/>
  <c r="D3951" i="18"/>
  <c r="E3951" i="18"/>
  <c r="F3951" i="18"/>
  <c r="G3951" i="18"/>
  <c r="H3951" i="18"/>
  <c r="I3951" i="18"/>
  <c r="J3951" i="18"/>
  <c r="K3951" i="18"/>
  <c r="L3951" i="18"/>
  <c r="B3952" i="18"/>
  <c r="C3952" i="18"/>
  <c r="D3952" i="18"/>
  <c r="E3952" i="18"/>
  <c r="F3952" i="18"/>
  <c r="G3952" i="18"/>
  <c r="H3952" i="18"/>
  <c r="I3952" i="18"/>
  <c r="J3952" i="18"/>
  <c r="K3952" i="18"/>
  <c r="L3952" i="18"/>
  <c r="B3953" i="18"/>
  <c r="C3953" i="18"/>
  <c r="D3953" i="18"/>
  <c r="E3953" i="18"/>
  <c r="F3953" i="18"/>
  <c r="G3953" i="18"/>
  <c r="H3953" i="18"/>
  <c r="I3953" i="18"/>
  <c r="J3953" i="18"/>
  <c r="K3953" i="18"/>
  <c r="L3953" i="18"/>
  <c r="B3954" i="18"/>
  <c r="C3954" i="18"/>
  <c r="D3954" i="18"/>
  <c r="E3954" i="18"/>
  <c r="F3954" i="18"/>
  <c r="G3954" i="18"/>
  <c r="H3954" i="18"/>
  <c r="I3954" i="18"/>
  <c r="J3954" i="18"/>
  <c r="K3954" i="18"/>
  <c r="L3954" i="18"/>
  <c r="B3955" i="18"/>
  <c r="C3955" i="18"/>
  <c r="D3955" i="18"/>
  <c r="E3955" i="18"/>
  <c r="F3955" i="18"/>
  <c r="G3955" i="18"/>
  <c r="H3955" i="18"/>
  <c r="I3955" i="18"/>
  <c r="J3955" i="18"/>
  <c r="K3955" i="18"/>
  <c r="L3955" i="18"/>
  <c r="B3956" i="18"/>
  <c r="C3956" i="18"/>
  <c r="D3956" i="18"/>
  <c r="E3956" i="18"/>
  <c r="F3956" i="18"/>
  <c r="G3956" i="18"/>
  <c r="H3956" i="18"/>
  <c r="I3956" i="18"/>
  <c r="J3956" i="18"/>
  <c r="K3956" i="18"/>
  <c r="L3956" i="18"/>
  <c r="B3957" i="18"/>
  <c r="C3957" i="18"/>
  <c r="D3957" i="18"/>
  <c r="E3957" i="18"/>
  <c r="F3957" i="18"/>
  <c r="G3957" i="18"/>
  <c r="H3957" i="18"/>
  <c r="I3957" i="18"/>
  <c r="J3957" i="18"/>
  <c r="K3957" i="18"/>
  <c r="L3957" i="18"/>
  <c r="B3958" i="18"/>
  <c r="C3958" i="18"/>
  <c r="D3958" i="18"/>
  <c r="E3958" i="18"/>
  <c r="F3958" i="18"/>
  <c r="G3958" i="18"/>
  <c r="H3958" i="18"/>
  <c r="I3958" i="18"/>
  <c r="J3958" i="18"/>
  <c r="K3958" i="18"/>
  <c r="L3958" i="18"/>
  <c r="B3959" i="18"/>
  <c r="C3959" i="18"/>
  <c r="D3959" i="18"/>
  <c r="E3959" i="18"/>
  <c r="F3959" i="18"/>
  <c r="G3959" i="18"/>
  <c r="H3959" i="18"/>
  <c r="I3959" i="18"/>
  <c r="J3959" i="18"/>
  <c r="K3959" i="18"/>
  <c r="L3959" i="18"/>
  <c r="B3960" i="18"/>
  <c r="C3960" i="18"/>
  <c r="D3960" i="18"/>
  <c r="E3960" i="18"/>
  <c r="F3960" i="18"/>
  <c r="G3960" i="18"/>
  <c r="H3960" i="18"/>
  <c r="I3960" i="18"/>
  <c r="J3960" i="18"/>
  <c r="K3960" i="18"/>
  <c r="L3960" i="18"/>
  <c r="B3961" i="18"/>
  <c r="C3961" i="18"/>
  <c r="D3961" i="18"/>
  <c r="E3961" i="18"/>
  <c r="F3961" i="18"/>
  <c r="G3961" i="18"/>
  <c r="H3961" i="18"/>
  <c r="I3961" i="18"/>
  <c r="J3961" i="18"/>
  <c r="K3961" i="18"/>
  <c r="L3961" i="18"/>
  <c r="B3962" i="18"/>
  <c r="C3962" i="18"/>
  <c r="D3962" i="18"/>
  <c r="E3962" i="18"/>
  <c r="F3962" i="18"/>
  <c r="G3962" i="18"/>
  <c r="H3962" i="18"/>
  <c r="I3962" i="18"/>
  <c r="J3962" i="18"/>
  <c r="K3962" i="18"/>
  <c r="L3962" i="18"/>
  <c r="B3963" i="18"/>
  <c r="C3963" i="18"/>
  <c r="D3963" i="18"/>
  <c r="E3963" i="18"/>
  <c r="F3963" i="18"/>
  <c r="G3963" i="18"/>
  <c r="H3963" i="18"/>
  <c r="I3963" i="18"/>
  <c r="J3963" i="18"/>
  <c r="K3963" i="18"/>
  <c r="L3963" i="18"/>
  <c r="B3964" i="18"/>
  <c r="C3964" i="18"/>
  <c r="D3964" i="18"/>
  <c r="E3964" i="18"/>
  <c r="F3964" i="18"/>
  <c r="G3964" i="18"/>
  <c r="H3964" i="18"/>
  <c r="I3964" i="18"/>
  <c r="J3964" i="18"/>
  <c r="K3964" i="18"/>
  <c r="L3964" i="18"/>
  <c r="B3965" i="18"/>
  <c r="C3965" i="18"/>
  <c r="D3965" i="18"/>
  <c r="E3965" i="18"/>
  <c r="F3965" i="18"/>
  <c r="G3965" i="18"/>
  <c r="H3965" i="18"/>
  <c r="I3965" i="18"/>
  <c r="J3965" i="18"/>
  <c r="K3965" i="18"/>
  <c r="L3965" i="18"/>
  <c r="B3966" i="18"/>
  <c r="C3966" i="18"/>
  <c r="D3966" i="18"/>
  <c r="E3966" i="18"/>
  <c r="F3966" i="18"/>
  <c r="G3966" i="18"/>
  <c r="H3966" i="18"/>
  <c r="I3966" i="18"/>
  <c r="J3966" i="18"/>
  <c r="K3966" i="18"/>
  <c r="L3966" i="18"/>
  <c r="B3967" i="18"/>
  <c r="C3967" i="18"/>
  <c r="D3967" i="18"/>
  <c r="E3967" i="18"/>
  <c r="F3967" i="18"/>
  <c r="G3967" i="18"/>
  <c r="H3967" i="18"/>
  <c r="I3967" i="18"/>
  <c r="J3967" i="18"/>
  <c r="K3967" i="18"/>
  <c r="L3967" i="18"/>
  <c r="B3968" i="18"/>
  <c r="C3968" i="18"/>
  <c r="D3968" i="18"/>
  <c r="E3968" i="18"/>
  <c r="F3968" i="18"/>
  <c r="G3968" i="18"/>
  <c r="H3968" i="18"/>
  <c r="I3968" i="18"/>
  <c r="J3968" i="18"/>
  <c r="K3968" i="18"/>
  <c r="L3968" i="18"/>
  <c r="B3969" i="18"/>
  <c r="C3969" i="18"/>
  <c r="D3969" i="18"/>
  <c r="E3969" i="18"/>
  <c r="F3969" i="18"/>
  <c r="G3969" i="18"/>
  <c r="H3969" i="18"/>
  <c r="I3969" i="18"/>
  <c r="J3969" i="18"/>
  <c r="K3969" i="18"/>
  <c r="L3969" i="18"/>
  <c r="B3970" i="18"/>
  <c r="C3970" i="18"/>
  <c r="D3970" i="18"/>
  <c r="E3970" i="18"/>
  <c r="F3970" i="18"/>
  <c r="G3970" i="18"/>
  <c r="H3970" i="18"/>
  <c r="I3970" i="18"/>
  <c r="J3970" i="18"/>
  <c r="K3970" i="18"/>
  <c r="L3970" i="18"/>
  <c r="B3971" i="18"/>
  <c r="C3971" i="18"/>
  <c r="D3971" i="18"/>
  <c r="E3971" i="18"/>
  <c r="F3971" i="18"/>
  <c r="G3971" i="18"/>
  <c r="H3971" i="18"/>
  <c r="I3971" i="18"/>
  <c r="J3971" i="18"/>
  <c r="K3971" i="18"/>
  <c r="L3971" i="18"/>
  <c r="B3972" i="18"/>
  <c r="C3972" i="18"/>
  <c r="D3972" i="18"/>
  <c r="E3972" i="18"/>
  <c r="F3972" i="18"/>
  <c r="G3972" i="18"/>
  <c r="H3972" i="18"/>
  <c r="I3972" i="18"/>
  <c r="J3972" i="18"/>
  <c r="K3972" i="18"/>
  <c r="L3972" i="18"/>
  <c r="B3973" i="18"/>
  <c r="C3973" i="18"/>
  <c r="D3973" i="18"/>
  <c r="E3973" i="18"/>
  <c r="F3973" i="18"/>
  <c r="G3973" i="18"/>
  <c r="H3973" i="18"/>
  <c r="I3973" i="18"/>
  <c r="J3973" i="18"/>
  <c r="K3973" i="18"/>
  <c r="L3973" i="18"/>
  <c r="B3974" i="18"/>
  <c r="C3974" i="18"/>
  <c r="D3974" i="18"/>
  <c r="E3974" i="18"/>
  <c r="F3974" i="18"/>
  <c r="G3974" i="18"/>
  <c r="H3974" i="18"/>
  <c r="I3974" i="18"/>
  <c r="J3974" i="18"/>
  <c r="K3974" i="18"/>
  <c r="L3974" i="18"/>
  <c r="B3975" i="18"/>
  <c r="C3975" i="18"/>
  <c r="D3975" i="18"/>
  <c r="E3975" i="18"/>
  <c r="F3975" i="18"/>
  <c r="G3975" i="18"/>
  <c r="H3975" i="18"/>
  <c r="I3975" i="18"/>
  <c r="J3975" i="18"/>
  <c r="K3975" i="18"/>
  <c r="L3975" i="18"/>
  <c r="B3976" i="18"/>
  <c r="C3976" i="18"/>
  <c r="D3976" i="18"/>
  <c r="E3976" i="18"/>
  <c r="F3976" i="18"/>
  <c r="G3976" i="18"/>
  <c r="H3976" i="18"/>
  <c r="I3976" i="18"/>
  <c r="J3976" i="18"/>
  <c r="K3976" i="18"/>
  <c r="L3976" i="18"/>
  <c r="B3977" i="18"/>
  <c r="C3977" i="18"/>
  <c r="D3977" i="18"/>
  <c r="E3977" i="18"/>
  <c r="F3977" i="18"/>
  <c r="G3977" i="18"/>
  <c r="H3977" i="18"/>
  <c r="I3977" i="18"/>
  <c r="J3977" i="18"/>
  <c r="K3977" i="18"/>
  <c r="L3977" i="18"/>
  <c r="B3978" i="18"/>
  <c r="C3978" i="18"/>
  <c r="D3978" i="18"/>
  <c r="E3978" i="18"/>
  <c r="F3978" i="18"/>
  <c r="G3978" i="18"/>
  <c r="H3978" i="18"/>
  <c r="I3978" i="18"/>
  <c r="J3978" i="18"/>
  <c r="K3978" i="18"/>
  <c r="L3978" i="18"/>
  <c r="B3979" i="18"/>
  <c r="C3979" i="18"/>
  <c r="D3979" i="18"/>
  <c r="E3979" i="18"/>
  <c r="F3979" i="18"/>
  <c r="G3979" i="18"/>
  <c r="H3979" i="18"/>
  <c r="I3979" i="18"/>
  <c r="J3979" i="18"/>
  <c r="K3979" i="18"/>
  <c r="L3979" i="18"/>
  <c r="B3980" i="18"/>
  <c r="C3980" i="18"/>
  <c r="D3980" i="18"/>
  <c r="E3980" i="18"/>
  <c r="F3980" i="18"/>
  <c r="G3980" i="18"/>
  <c r="H3980" i="18"/>
  <c r="I3980" i="18"/>
  <c r="J3980" i="18"/>
  <c r="K3980" i="18"/>
  <c r="L3980" i="18"/>
  <c r="B3981" i="18"/>
  <c r="C3981" i="18"/>
  <c r="D3981" i="18"/>
  <c r="E3981" i="18"/>
  <c r="F3981" i="18"/>
  <c r="G3981" i="18"/>
  <c r="H3981" i="18"/>
  <c r="I3981" i="18"/>
  <c r="J3981" i="18"/>
  <c r="K3981" i="18"/>
  <c r="L3981" i="18"/>
  <c r="B3982" i="18"/>
  <c r="C3982" i="18"/>
  <c r="D3982" i="18"/>
  <c r="E3982" i="18"/>
  <c r="F3982" i="18"/>
  <c r="G3982" i="18"/>
  <c r="H3982" i="18"/>
  <c r="I3982" i="18"/>
  <c r="J3982" i="18"/>
  <c r="K3982" i="18"/>
  <c r="L3982" i="18"/>
  <c r="B3983" i="18"/>
  <c r="C3983" i="18"/>
  <c r="D3983" i="18"/>
  <c r="E3983" i="18"/>
  <c r="F3983" i="18"/>
  <c r="G3983" i="18"/>
  <c r="H3983" i="18"/>
  <c r="I3983" i="18"/>
  <c r="J3983" i="18"/>
  <c r="K3983" i="18"/>
  <c r="L3983" i="18"/>
  <c r="B3984" i="18"/>
  <c r="C3984" i="18"/>
  <c r="D3984" i="18"/>
  <c r="E3984" i="18"/>
  <c r="F3984" i="18"/>
  <c r="G3984" i="18"/>
  <c r="H3984" i="18"/>
  <c r="I3984" i="18"/>
  <c r="J3984" i="18"/>
  <c r="K3984" i="18"/>
  <c r="L3984" i="18"/>
  <c r="B3985" i="18"/>
  <c r="C3985" i="18"/>
  <c r="D3985" i="18"/>
  <c r="E3985" i="18"/>
  <c r="F3985" i="18"/>
  <c r="G3985" i="18"/>
  <c r="H3985" i="18"/>
  <c r="I3985" i="18"/>
  <c r="J3985" i="18"/>
  <c r="K3985" i="18"/>
  <c r="L3985" i="18"/>
  <c r="B3986" i="18"/>
  <c r="C3986" i="18"/>
  <c r="D3986" i="18"/>
  <c r="E3986" i="18"/>
  <c r="F3986" i="18"/>
  <c r="G3986" i="18"/>
  <c r="H3986" i="18"/>
  <c r="I3986" i="18"/>
  <c r="J3986" i="18"/>
  <c r="K3986" i="18"/>
  <c r="L3986" i="18"/>
  <c r="B3987" i="18"/>
  <c r="C3987" i="18"/>
  <c r="D3987" i="18"/>
  <c r="E3987" i="18"/>
  <c r="F3987" i="18"/>
  <c r="G3987" i="18"/>
  <c r="H3987" i="18"/>
  <c r="I3987" i="18"/>
  <c r="J3987" i="18"/>
  <c r="K3987" i="18"/>
  <c r="L3987" i="18"/>
  <c r="B3988" i="18"/>
  <c r="C3988" i="18"/>
  <c r="D3988" i="18"/>
  <c r="E3988" i="18"/>
  <c r="F3988" i="18"/>
  <c r="G3988" i="18"/>
  <c r="H3988" i="18"/>
  <c r="I3988" i="18"/>
  <c r="J3988" i="18"/>
  <c r="K3988" i="18"/>
  <c r="L3988" i="18"/>
  <c r="B3989" i="18"/>
  <c r="C3989" i="18"/>
  <c r="D3989" i="18"/>
  <c r="E3989" i="18"/>
  <c r="F3989" i="18"/>
  <c r="G3989" i="18"/>
  <c r="H3989" i="18"/>
  <c r="I3989" i="18"/>
  <c r="J3989" i="18"/>
  <c r="K3989" i="18"/>
  <c r="L3989" i="18"/>
  <c r="B3990" i="18"/>
  <c r="C3990" i="18"/>
  <c r="D3990" i="18"/>
  <c r="E3990" i="18"/>
  <c r="F3990" i="18"/>
  <c r="G3990" i="18"/>
  <c r="H3990" i="18"/>
  <c r="I3990" i="18"/>
  <c r="J3990" i="18"/>
  <c r="K3990" i="18"/>
  <c r="L3990" i="18"/>
  <c r="B3991" i="18"/>
  <c r="C3991" i="18"/>
  <c r="D3991" i="18"/>
  <c r="E3991" i="18"/>
  <c r="F3991" i="18"/>
  <c r="G3991" i="18"/>
  <c r="H3991" i="18"/>
  <c r="I3991" i="18"/>
  <c r="J3991" i="18"/>
  <c r="K3991" i="18"/>
  <c r="L3991" i="18"/>
  <c r="B3992" i="18"/>
  <c r="C3992" i="18"/>
  <c r="D3992" i="18"/>
  <c r="E3992" i="18"/>
  <c r="F3992" i="18"/>
  <c r="G3992" i="18"/>
  <c r="H3992" i="18"/>
  <c r="I3992" i="18"/>
  <c r="J3992" i="18"/>
  <c r="K3992" i="18"/>
  <c r="L3992" i="18"/>
  <c r="B3993" i="18"/>
  <c r="C3993" i="18"/>
  <c r="D3993" i="18"/>
  <c r="E3993" i="18"/>
  <c r="F3993" i="18"/>
  <c r="G3993" i="18"/>
  <c r="H3993" i="18"/>
  <c r="I3993" i="18"/>
  <c r="J3993" i="18"/>
  <c r="K3993" i="18"/>
  <c r="L3993" i="18"/>
  <c r="B3994" i="18"/>
  <c r="C3994" i="18"/>
  <c r="D3994" i="18"/>
  <c r="E3994" i="18"/>
  <c r="F3994" i="18"/>
  <c r="G3994" i="18"/>
  <c r="H3994" i="18"/>
  <c r="I3994" i="18"/>
  <c r="J3994" i="18"/>
  <c r="K3994" i="18"/>
  <c r="L3994" i="18"/>
  <c r="B3995" i="18"/>
  <c r="C3995" i="18"/>
  <c r="D3995" i="18"/>
  <c r="E3995" i="18"/>
  <c r="F3995" i="18"/>
  <c r="G3995" i="18"/>
  <c r="H3995" i="18"/>
  <c r="I3995" i="18"/>
  <c r="J3995" i="18"/>
  <c r="K3995" i="18"/>
  <c r="L3995" i="18"/>
  <c r="B3996" i="18"/>
  <c r="C3996" i="18"/>
  <c r="D3996" i="18"/>
  <c r="E3996" i="18"/>
  <c r="F3996" i="18"/>
  <c r="G3996" i="18"/>
  <c r="H3996" i="18"/>
  <c r="I3996" i="18"/>
  <c r="J3996" i="18"/>
  <c r="K3996" i="18"/>
  <c r="L3996" i="18"/>
  <c r="B3997" i="18"/>
  <c r="C3997" i="18"/>
  <c r="D3997" i="18"/>
  <c r="E3997" i="18"/>
  <c r="F3997" i="18"/>
  <c r="G3997" i="18"/>
  <c r="H3997" i="18"/>
  <c r="I3997" i="18"/>
  <c r="J3997" i="18"/>
  <c r="K3997" i="18"/>
  <c r="L3997" i="18"/>
  <c r="B3998" i="18"/>
  <c r="C3998" i="18"/>
  <c r="D3998" i="18"/>
  <c r="E3998" i="18"/>
  <c r="F3998" i="18"/>
  <c r="G3998" i="18"/>
  <c r="H3998" i="18"/>
  <c r="I3998" i="18"/>
  <c r="J3998" i="18"/>
  <c r="K3998" i="18"/>
  <c r="L3998" i="18"/>
  <c r="B3999" i="18"/>
  <c r="C3999" i="18"/>
  <c r="D3999" i="18"/>
  <c r="E3999" i="18"/>
  <c r="F3999" i="18"/>
  <c r="G3999" i="18"/>
  <c r="H3999" i="18"/>
  <c r="I3999" i="18"/>
  <c r="J3999" i="18"/>
  <c r="K3999" i="18"/>
  <c r="L3999" i="18"/>
  <c r="B4000" i="18"/>
  <c r="C4000" i="18"/>
  <c r="D4000" i="18"/>
  <c r="E4000" i="18"/>
  <c r="F4000" i="18"/>
  <c r="G4000" i="18"/>
  <c r="H4000" i="18"/>
  <c r="I4000" i="18"/>
  <c r="J4000" i="18"/>
  <c r="K4000" i="18"/>
  <c r="L4000" i="18"/>
  <c r="B4001" i="18"/>
  <c r="C4001" i="18"/>
  <c r="D4001" i="18"/>
  <c r="E4001" i="18"/>
  <c r="F4001" i="18"/>
  <c r="G4001" i="18"/>
  <c r="H4001" i="18"/>
  <c r="I4001" i="18"/>
  <c r="J4001" i="18"/>
  <c r="K4001" i="18"/>
  <c r="L4001" i="18"/>
  <c r="B4002" i="18"/>
  <c r="C4002" i="18"/>
  <c r="D4002" i="18"/>
  <c r="E4002" i="18"/>
  <c r="F4002" i="18"/>
  <c r="G4002" i="18"/>
  <c r="H4002" i="18"/>
  <c r="I4002" i="18"/>
  <c r="J4002" i="18"/>
  <c r="K4002" i="18"/>
  <c r="L4002" i="18"/>
  <c r="B4003" i="18"/>
  <c r="C4003" i="18"/>
  <c r="D4003" i="18"/>
  <c r="E4003" i="18"/>
  <c r="F4003" i="18"/>
  <c r="G4003" i="18"/>
  <c r="H4003" i="18"/>
  <c r="I4003" i="18"/>
  <c r="J4003" i="18"/>
  <c r="K4003" i="18"/>
  <c r="L4003" i="18"/>
  <c r="B4004" i="18"/>
  <c r="C4004" i="18"/>
  <c r="D4004" i="18"/>
  <c r="E4004" i="18"/>
  <c r="F4004" i="18"/>
  <c r="G4004" i="18"/>
  <c r="H4004" i="18"/>
  <c r="I4004" i="18"/>
  <c r="J4004" i="18"/>
  <c r="K4004" i="18"/>
  <c r="L4004" i="18"/>
  <c r="B4005" i="18"/>
  <c r="C4005" i="18"/>
  <c r="D4005" i="18"/>
  <c r="E4005" i="18"/>
  <c r="F4005" i="18"/>
  <c r="G4005" i="18"/>
  <c r="H4005" i="18"/>
  <c r="I4005" i="18"/>
  <c r="J4005" i="18"/>
  <c r="K4005" i="18"/>
  <c r="L4005" i="18"/>
  <c r="B4006" i="18"/>
  <c r="C4006" i="18"/>
  <c r="D4006" i="18"/>
  <c r="E4006" i="18"/>
  <c r="F4006" i="18"/>
  <c r="G4006" i="18"/>
  <c r="H4006" i="18"/>
  <c r="I4006" i="18"/>
  <c r="J4006" i="18"/>
  <c r="K4006" i="18"/>
  <c r="L4006" i="18"/>
  <c r="B4007" i="18"/>
  <c r="C4007" i="18"/>
  <c r="D4007" i="18"/>
  <c r="E4007" i="18"/>
  <c r="F4007" i="18"/>
  <c r="G4007" i="18"/>
  <c r="H4007" i="18"/>
  <c r="I4007" i="18"/>
  <c r="J4007" i="18"/>
  <c r="K4007" i="18"/>
  <c r="L4007" i="18"/>
  <c r="B4008" i="18"/>
  <c r="C4008" i="18"/>
  <c r="D4008" i="18"/>
  <c r="E4008" i="18"/>
  <c r="F4008" i="18"/>
  <c r="G4008" i="18"/>
  <c r="H4008" i="18"/>
  <c r="I4008" i="18"/>
  <c r="J4008" i="18"/>
  <c r="K4008" i="18"/>
  <c r="L4008" i="18"/>
  <c r="B4009" i="18"/>
  <c r="C4009" i="18"/>
  <c r="D4009" i="18"/>
  <c r="E4009" i="18"/>
  <c r="F4009" i="18"/>
  <c r="G4009" i="18"/>
  <c r="H4009" i="18"/>
  <c r="I4009" i="18"/>
  <c r="J4009" i="18"/>
  <c r="K4009" i="18"/>
  <c r="L4009" i="18"/>
  <c r="B4010" i="18"/>
  <c r="C4010" i="18"/>
  <c r="D4010" i="18"/>
  <c r="E4010" i="18"/>
  <c r="F4010" i="18"/>
  <c r="G4010" i="18"/>
  <c r="H4010" i="18"/>
  <c r="I4010" i="18"/>
  <c r="J4010" i="18"/>
  <c r="K4010" i="18"/>
  <c r="L4010" i="18"/>
  <c r="B4011" i="18"/>
  <c r="C4011" i="18"/>
  <c r="D4011" i="18"/>
  <c r="E4011" i="18"/>
  <c r="F4011" i="18"/>
  <c r="G4011" i="18"/>
  <c r="H4011" i="18"/>
  <c r="I4011" i="18"/>
  <c r="J4011" i="18"/>
  <c r="K4011" i="18"/>
  <c r="L4011" i="18"/>
  <c r="B4012" i="18"/>
  <c r="C4012" i="18"/>
  <c r="D4012" i="18"/>
  <c r="E4012" i="18"/>
  <c r="F4012" i="18"/>
  <c r="G4012" i="18"/>
  <c r="H4012" i="18"/>
  <c r="I4012" i="18"/>
  <c r="J4012" i="18"/>
  <c r="K4012" i="18"/>
  <c r="L4012" i="18"/>
  <c r="B4013" i="18"/>
  <c r="C4013" i="18"/>
  <c r="D4013" i="18"/>
  <c r="E4013" i="18"/>
  <c r="F4013" i="18"/>
  <c r="G4013" i="18"/>
  <c r="H4013" i="18"/>
  <c r="I4013" i="18"/>
  <c r="J4013" i="18"/>
  <c r="K4013" i="18"/>
  <c r="L4013" i="18"/>
  <c r="B4014" i="18"/>
  <c r="C4014" i="18"/>
  <c r="D4014" i="18"/>
  <c r="E4014" i="18"/>
  <c r="F4014" i="18"/>
  <c r="G4014" i="18"/>
  <c r="H4014" i="18"/>
  <c r="I4014" i="18"/>
  <c r="J4014" i="18"/>
  <c r="K4014" i="18"/>
  <c r="L4014" i="18"/>
  <c r="B4015" i="18"/>
  <c r="C4015" i="18"/>
  <c r="D4015" i="18"/>
  <c r="E4015" i="18"/>
  <c r="F4015" i="18"/>
  <c r="G4015" i="18"/>
  <c r="H4015" i="18"/>
  <c r="I4015" i="18"/>
  <c r="J4015" i="18"/>
  <c r="K4015" i="18"/>
  <c r="L4015" i="18"/>
  <c r="B4016" i="18"/>
  <c r="C4016" i="18"/>
  <c r="D4016" i="18"/>
  <c r="E4016" i="18"/>
  <c r="F4016" i="18"/>
  <c r="G4016" i="18"/>
  <c r="H4016" i="18"/>
  <c r="I4016" i="18"/>
  <c r="J4016" i="18"/>
  <c r="K4016" i="18"/>
  <c r="L4016" i="18"/>
  <c r="B4017" i="18"/>
  <c r="C4017" i="18"/>
  <c r="D4017" i="18"/>
  <c r="E4017" i="18"/>
  <c r="F4017" i="18"/>
  <c r="G4017" i="18"/>
  <c r="H4017" i="18"/>
  <c r="I4017" i="18"/>
  <c r="J4017" i="18"/>
  <c r="K4017" i="18"/>
  <c r="L4017" i="18"/>
  <c r="B4018" i="18"/>
  <c r="C4018" i="18"/>
  <c r="D4018" i="18"/>
  <c r="E4018" i="18"/>
  <c r="F4018" i="18"/>
  <c r="G4018" i="18"/>
  <c r="H4018" i="18"/>
  <c r="I4018" i="18"/>
  <c r="J4018" i="18"/>
  <c r="K4018" i="18"/>
  <c r="L4018" i="18"/>
  <c r="B4019" i="18"/>
  <c r="C4019" i="18"/>
  <c r="D4019" i="18"/>
  <c r="E4019" i="18"/>
  <c r="F4019" i="18"/>
  <c r="G4019" i="18"/>
  <c r="H4019" i="18"/>
  <c r="I4019" i="18"/>
  <c r="J4019" i="18"/>
  <c r="K4019" i="18"/>
  <c r="L4019" i="18"/>
  <c r="B4020" i="18"/>
  <c r="C4020" i="18"/>
  <c r="D4020" i="18"/>
  <c r="E4020" i="18"/>
  <c r="F4020" i="18"/>
  <c r="G4020" i="18"/>
  <c r="H4020" i="18"/>
  <c r="I4020" i="18"/>
  <c r="J4020" i="18"/>
  <c r="K4020" i="18"/>
  <c r="L4020" i="18"/>
  <c r="B4021" i="18"/>
  <c r="C4021" i="18"/>
  <c r="D4021" i="18"/>
  <c r="E4021" i="18"/>
  <c r="F4021" i="18"/>
  <c r="G4021" i="18"/>
  <c r="H4021" i="18"/>
  <c r="I4021" i="18"/>
  <c r="J4021" i="18"/>
  <c r="K4021" i="18"/>
  <c r="L4021" i="18"/>
  <c r="B4022" i="18"/>
  <c r="C4022" i="18"/>
  <c r="D4022" i="18"/>
  <c r="E4022" i="18"/>
  <c r="F4022" i="18"/>
  <c r="G4022" i="18"/>
  <c r="H4022" i="18"/>
  <c r="I4022" i="18"/>
  <c r="J4022" i="18"/>
  <c r="K4022" i="18"/>
  <c r="L4022" i="18"/>
  <c r="B4023" i="18"/>
  <c r="C4023" i="18"/>
  <c r="D4023" i="18"/>
  <c r="E4023" i="18"/>
  <c r="F4023" i="18"/>
  <c r="G4023" i="18"/>
  <c r="H4023" i="18"/>
  <c r="I4023" i="18"/>
  <c r="J4023" i="18"/>
  <c r="K4023" i="18"/>
  <c r="L4023" i="18"/>
  <c r="B4024" i="18"/>
  <c r="C4024" i="18"/>
  <c r="D4024" i="18"/>
  <c r="E4024" i="18"/>
  <c r="F4024" i="18"/>
  <c r="G4024" i="18"/>
  <c r="H4024" i="18"/>
  <c r="I4024" i="18"/>
  <c r="J4024" i="18"/>
  <c r="K4024" i="18"/>
  <c r="L4024" i="18"/>
  <c r="B4025" i="18"/>
  <c r="C4025" i="18"/>
  <c r="D4025" i="18"/>
  <c r="E4025" i="18"/>
  <c r="F4025" i="18"/>
  <c r="G4025" i="18"/>
  <c r="H4025" i="18"/>
  <c r="I4025" i="18"/>
  <c r="J4025" i="18"/>
  <c r="K4025" i="18"/>
  <c r="L4025" i="18"/>
  <c r="B4026" i="18"/>
  <c r="C4026" i="18"/>
  <c r="D4026" i="18"/>
  <c r="E4026" i="18"/>
  <c r="F4026" i="18"/>
  <c r="G4026" i="18"/>
  <c r="H4026" i="18"/>
  <c r="I4026" i="18"/>
  <c r="J4026" i="18"/>
  <c r="K4026" i="18"/>
  <c r="L4026" i="18"/>
  <c r="B4027" i="18"/>
  <c r="C4027" i="18"/>
  <c r="D4027" i="18"/>
  <c r="E4027" i="18"/>
  <c r="F4027" i="18"/>
  <c r="G4027" i="18"/>
  <c r="H4027" i="18"/>
  <c r="I4027" i="18"/>
  <c r="J4027" i="18"/>
  <c r="K4027" i="18"/>
  <c r="L4027" i="18"/>
  <c r="B4028" i="18"/>
  <c r="C4028" i="18"/>
  <c r="D4028" i="18"/>
  <c r="E4028" i="18"/>
  <c r="F4028" i="18"/>
  <c r="G4028" i="18"/>
  <c r="H4028" i="18"/>
  <c r="I4028" i="18"/>
  <c r="J4028" i="18"/>
  <c r="K4028" i="18"/>
  <c r="L4028" i="18"/>
  <c r="B4029" i="18"/>
  <c r="C4029" i="18"/>
  <c r="D4029" i="18"/>
  <c r="E4029" i="18"/>
  <c r="F4029" i="18"/>
  <c r="G4029" i="18"/>
  <c r="H4029" i="18"/>
  <c r="I4029" i="18"/>
  <c r="J4029" i="18"/>
  <c r="K4029" i="18"/>
  <c r="L4029" i="18"/>
  <c r="B4030" i="18"/>
  <c r="C4030" i="18"/>
  <c r="D4030" i="18"/>
  <c r="E4030" i="18"/>
  <c r="F4030" i="18"/>
  <c r="G4030" i="18"/>
  <c r="H4030" i="18"/>
  <c r="I4030" i="18"/>
  <c r="J4030" i="18"/>
  <c r="K4030" i="18"/>
  <c r="L4030" i="18"/>
  <c r="B4031" i="18"/>
  <c r="C4031" i="18"/>
  <c r="D4031" i="18"/>
  <c r="E4031" i="18"/>
  <c r="F4031" i="18"/>
  <c r="G4031" i="18"/>
  <c r="H4031" i="18"/>
  <c r="I4031" i="18"/>
  <c r="J4031" i="18"/>
  <c r="K4031" i="18"/>
  <c r="L4031" i="18"/>
  <c r="B4032" i="18"/>
  <c r="C4032" i="18"/>
  <c r="D4032" i="18"/>
  <c r="E4032" i="18"/>
  <c r="F4032" i="18"/>
  <c r="G4032" i="18"/>
  <c r="H4032" i="18"/>
  <c r="I4032" i="18"/>
  <c r="J4032" i="18"/>
  <c r="K4032" i="18"/>
  <c r="L4032" i="18"/>
  <c r="B4033" i="18"/>
  <c r="C4033" i="18"/>
  <c r="D4033" i="18"/>
  <c r="E4033" i="18"/>
  <c r="F4033" i="18"/>
  <c r="G4033" i="18"/>
  <c r="H4033" i="18"/>
  <c r="I4033" i="18"/>
  <c r="J4033" i="18"/>
  <c r="K4033" i="18"/>
  <c r="L4033" i="18"/>
  <c r="B4034" i="18"/>
  <c r="C4034" i="18"/>
  <c r="D4034" i="18"/>
  <c r="E4034" i="18"/>
  <c r="F4034" i="18"/>
  <c r="G4034" i="18"/>
  <c r="H4034" i="18"/>
  <c r="I4034" i="18"/>
  <c r="J4034" i="18"/>
  <c r="K4034" i="18"/>
  <c r="L4034" i="18"/>
  <c r="B4035" i="18"/>
  <c r="C4035" i="18"/>
  <c r="D4035" i="18"/>
  <c r="E4035" i="18"/>
  <c r="F4035" i="18"/>
  <c r="G4035" i="18"/>
  <c r="H4035" i="18"/>
  <c r="I4035" i="18"/>
  <c r="J4035" i="18"/>
  <c r="K4035" i="18"/>
  <c r="L4035" i="18"/>
  <c r="B4036" i="18"/>
  <c r="C4036" i="18"/>
  <c r="D4036" i="18"/>
  <c r="E4036" i="18"/>
  <c r="F4036" i="18"/>
  <c r="G4036" i="18"/>
  <c r="H4036" i="18"/>
  <c r="I4036" i="18"/>
  <c r="J4036" i="18"/>
  <c r="K4036" i="18"/>
  <c r="L4036" i="18"/>
  <c r="B4037" i="18"/>
  <c r="C4037" i="18"/>
  <c r="D4037" i="18"/>
  <c r="E4037" i="18"/>
  <c r="F4037" i="18"/>
  <c r="G4037" i="18"/>
  <c r="H4037" i="18"/>
  <c r="I4037" i="18"/>
  <c r="J4037" i="18"/>
  <c r="K4037" i="18"/>
  <c r="L4037" i="18"/>
  <c r="B4038" i="18"/>
  <c r="C4038" i="18"/>
  <c r="D4038" i="18"/>
  <c r="E4038" i="18"/>
  <c r="F4038" i="18"/>
  <c r="G4038" i="18"/>
  <c r="H4038" i="18"/>
  <c r="I4038" i="18"/>
  <c r="J4038" i="18"/>
  <c r="K4038" i="18"/>
  <c r="L4038" i="18"/>
  <c r="B4039" i="18"/>
  <c r="C4039" i="18"/>
  <c r="D4039" i="18"/>
  <c r="E4039" i="18"/>
  <c r="F4039" i="18"/>
  <c r="G4039" i="18"/>
  <c r="H4039" i="18"/>
  <c r="I4039" i="18"/>
  <c r="J4039" i="18"/>
  <c r="K4039" i="18"/>
  <c r="L4039" i="18"/>
  <c r="B4040" i="18"/>
  <c r="C4040" i="18"/>
  <c r="D4040" i="18"/>
  <c r="E4040" i="18"/>
  <c r="F4040" i="18"/>
  <c r="G4040" i="18"/>
  <c r="H4040" i="18"/>
  <c r="I4040" i="18"/>
  <c r="J4040" i="18"/>
  <c r="K4040" i="18"/>
  <c r="L4040" i="18"/>
  <c r="B4041" i="18"/>
  <c r="C4041" i="18"/>
  <c r="D4041" i="18"/>
  <c r="E4041" i="18"/>
  <c r="F4041" i="18"/>
  <c r="G4041" i="18"/>
  <c r="H4041" i="18"/>
  <c r="I4041" i="18"/>
  <c r="J4041" i="18"/>
  <c r="K4041" i="18"/>
  <c r="L4041" i="18"/>
  <c r="B4042" i="18"/>
  <c r="C4042" i="18"/>
  <c r="D4042" i="18"/>
  <c r="E4042" i="18"/>
  <c r="F4042" i="18"/>
  <c r="G4042" i="18"/>
  <c r="H4042" i="18"/>
  <c r="I4042" i="18"/>
  <c r="J4042" i="18"/>
  <c r="K4042" i="18"/>
  <c r="L4042" i="18"/>
  <c r="B4043" i="18"/>
  <c r="C4043" i="18"/>
  <c r="D4043" i="18"/>
  <c r="E4043" i="18"/>
  <c r="F4043" i="18"/>
  <c r="G4043" i="18"/>
  <c r="H4043" i="18"/>
  <c r="I4043" i="18"/>
  <c r="J4043" i="18"/>
  <c r="K4043" i="18"/>
  <c r="L4043" i="18"/>
  <c r="B4044" i="18"/>
  <c r="C4044" i="18"/>
  <c r="D4044" i="18"/>
  <c r="E4044" i="18"/>
  <c r="F4044" i="18"/>
  <c r="G4044" i="18"/>
  <c r="H4044" i="18"/>
  <c r="I4044" i="18"/>
  <c r="J4044" i="18"/>
  <c r="K4044" i="18"/>
  <c r="L4044" i="18"/>
  <c r="B4045" i="18"/>
  <c r="C4045" i="18"/>
  <c r="D4045" i="18"/>
  <c r="E4045" i="18"/>
  <c r="F4045" i="18"/>
  <c r="G4045" i="18"/>
  <c r="H4045" i="18"/>
  <c r="I4045" i="18"/>
  <c r="J4045" i="18"/>
  <c r="K4045" i="18"/>
  <c r="L4045" i="18"/>
  <c r="B4046" i="18"/>
  <c r="C4046" i="18"/>
  <c r="D4046" i="18"/>
  <c r="E4046" i="18"/>
  <c r="F4046" i="18"/>
  <c r="G4046" i="18"/>
  <c r="H4046" i="18"/>
  <c r="I4046" i="18"/>
  <c r="J4046" i="18"/>
  <c r="K4046" i="18"/>
  <c r="L4046" i="18"/>
  <c r="B4047" i="18"/>
  <c r="C4047" i="18"/>
  <c r="D4047" i="18"/>
  <c r="E4047" i="18"/>
  <c r="F4047" i="18"/>
  <c r="G4047" i="18"/>
  <c r="H4047" i="18"/>
  <c r="I4047" i="18"/>
  <c r="J4047" i="18"/>
  <c r="K4047" i="18"/>
  <c r="L4047" i="18"/>
  <c r="B4048" i="18"/>
  <c r="C4048" i="18"/>
  <c r="D4048" i="18"/>
  <c r="E4048" i="18"/>
  <c r="F4048" i="18"/>
  <c r="G4048" i="18"/>
  <c r="H4048" i="18"/>
  <c r="I4048" i="18"/>
  <c r="J4048" i="18"/>
  <c r="K4048" i="18"/>
  <c r="L4048" i="18"/>
  <c r="B4049" i="18"/>
  <c r="C4049" i="18"/>
  <c r="D4049" i="18"/>
  <c r="E4049" i="18"/>
  <c r="F4049" i="18"/>
  <c r="G4049" i="18"/>
  <c r="H4049" i="18"/>
  <c r="I4049" i="18"/>
  <c r="J4049" i="18"/>
  <c r="K4049" i="18"/>
  <c r="L4049" i="18"/>
  <c r="B4050" i="18"/>
  <c r="C4050" i="18"/>
  <c r="D4050" i="18"/>
  <c r="E4050" i="18"/>
  <c r="F4050" i="18"/>
  <c r="G4050" i="18"/>
  <c r="H4050" i="18"/>
  <c r="I4050" i="18"/>
  <c r="J4050" i="18"/>
  <c r="K4050" i="18"/>
  <c r="L4050" i="18"/>
  <c r="B4051" i="18"/>
  <c r="C4051" i="18"/>
  <c r="D4051" i="18"/>
  <c r="E4051" i="18"/>
  <c r="F4051" i="18"/>
  <c r="G4051" i="18"/>
  <c r="H4051" i="18"/>
  <c r="I4051" i="18"/>
  <c r="J4051" i="18"/>
  <c r="K4051" i="18"/>
  <c r="L4051" i="18"/>
  <c r="B4052" i="18"/>
  <c r="C4052" i="18"/>
  <c r="D4052" i="18"/>
  <c r="E4052" i="18"/>
  <c r="F4052" i="18"/>
  <c r="G4052" i="18"/>
  <c r="H4052" i="18"/>
  <c r="I4052" i="18"/>
  <c r="J4052" i="18"/>
  <c r="K4052" i="18"/>
  <c r="L4052" i="18"/>
  <c r="B4053" i="18"/>
  <c r="C4053" i="18"/>
  <c r="D4053" i="18"/>
  <c r="E4053" i="18"/>
  <c r="F4053" i="18"/>
  <c r="G4053" i="18"/>
  <c r="H4053" i="18"/>
  <c r="I4053" i="18"/>
  <c r="J4053" i="18"/>
  <c r="K4053" i="18"/>
  <c r="L4053" i="18"/>
  <c r="B4054" i="18"/>
  <c r="C4054" i="18"/>
  <c r="D4054" i="18"/>
  <c r="E4054" i="18"/>
  <c r="F4054" i="18"/>
  <c r="G4054" i="18"/>
  <c r="H4054" i="18"/>
  <c r="I4054" i="18"/>
  <c r="J4054" i="18"/>
  <c r="K4054" i="18"/>
  <c r="L4054" i="18"/>
  <c r="B4055" i="18"/>
  <c r="C4055" i="18"/>
  <c r="D4055" i="18"/>
  <c r="E4055" i="18"/>
  <c r="F4055" i="18"/>
  <c r="G4055" i="18"/>
  <c r="H4055" i="18"/>
  <c r="I4055" i="18"/>
  <c r="J4055" i="18"/>
  <c r="K4055" i="18"/>
  <c r="L4055" i="18"/>
  <c r="B4056" i="18"/>
  <c r="C4056" i="18"/>
  <c r="D4056" i="18"/>
  <c r="E4056" i="18"/>
  <c r="F4056" i="18"/>
  <c r="G4056" i="18"/>
  <c r="H4056" i="18"/>
  <c r="I4056" i="18"/>
  <c r="J4056" i="18"/>
  <c r="K4056" i="18"/>
  <c r="L4056" i="18"/>
  <c r="B4057" i="18"/>
  <c r="C4057" i="18"/>
  <c r="D4057" i="18"/>
  <c r="E4057" i="18"/>
  <c r="F4057" i="18"/>
  <c r="G4057" i="18"/>
  <c r="H4057" i="18"/>
  <c r="I4057" i="18"/>
  <c r="J4057" i="18"/>
  <c r="K4057" i="18"/>
  <c r="L4057" i="18"/>
  <c r="B4058" i="18"/>
  <c r="C4058" i="18"/>
  <c r="D4058" i="18"/>
  <c r="E4058" i="18"/>
  <c r="F4058" i="18"/>
  <c r="G4058" i="18"/>
  <c r="H4058" i="18"/>
  <c r="I4058" i="18"/>
  <c r="J4058" i="18"/>
  <c r="K4058" i="18"/>
  <c r="L4058" i="18"/>
  <c r="B4059" i="18"/>
  <c r="C4059" i="18"/>
  <c r="D4059" i="18"/>
  <c r="E4059" i="18"/>
  <c r="F4059" i="18"/>
  <c r="G4059" i="18"/>
  <c r="H4059" i="18"/>
  <c r="I4059" i="18"/>
  <c r="J4059" i="18"/>
  <c r="K4059" i="18"/>
  <c r="L4059" i="18"/>
  <c r="B4060" i="18"/>
  <c r="C4060" i="18"/>
  <c r="D4060" i="18"/>
  <c r="E4060" i="18"/>
  <c r="F4060" i="18"/>
  <c r="G4060" i="18"/>
  <c r="H4060" i="18"/>
  <c r="I4060" i="18"/>
  <c r="J4060" i="18"/>
  <c r="K4060" i="18"/>
  <c r="L4060" i="18"/>
  <c r="B4061" i="18"/>
  <c r="C4061" i="18"/>
  <c r="D4061" i="18"/>
  <c r="E4061" i="18"/>
  <c r="F4061" i="18"/>
  <c r="G4061" i="18"/>
  <c r="H4061" i="18"/>
  <c r="I4061" i="18"/>
  <c r="J4061" i="18"/>
  <c r="K4061" i="18"/>
  <c r="L4061" i="18"/>
  <c r="B4062" i="18"/>
  <c r="C4062" i="18"/>
  <c r="D4062" i="18"/>
  <c r="E4062" i="18"/>
  <c r="F4062" i="18"/>
  <c r="G4062" i="18"/>
  <c r="H4062" i="18"/>
  <c r="I4062" i="18"/>
  <c r="J4062" i="18"/>
  <c r="K4062" i="18"/>
  <c r="L4062" i="18"/>
  <c r="B4063" i="18"/>
  <c r="C4063" i="18"/>
  <c r="D4063" i="18"/>
  <c r="E4063" i="18"/>
  <c r="F4063" i="18"/>
  <c r="G4063" i="18"/>
  <c r="H4063" i="18"/>
  <c r="I4063" i="18"/>
  <c r="J4063" i="18"/>
  <c r="K4063" i="18"/>
  <c r="L4063" i="18"/>
  <c r="B4064" i="18"/>
  <c r="C4064" i="18"/>
  <c r="D4064" i="18"/>
  <c r="E4064" i="18"/>
  <c r="F4064" i="18"/>
  <c r="G4064" i="18"/>
  <c r="H4064" i="18"/>
  <c r="I4064" i="18"/>
  <c r="J4064" i="18"/>
  <c r="K4064" i="18"/>
  <c r="L4064" i="18"/>
  <c r="B4065" i="18"/>
  <c r="C4065" i="18"/>
  <c r="D4065" i="18"/>
  <c r="E4065" i="18"/>
  <c r="F4065" i="18"/>
  <c r="G4065" i="18"/>
  <c r="H4065" i="18"/>
  <c r="I4065" i="18"/>
  <c r="J4065" i="18"/>
  <c r="K4065" i="18"/>
  <c r="L4065" i="18"/>
  <c r="B4066" i="18"/>
  <c r="C4066" i="18"/>
  <c r="D4066" i="18"/>
  <c r="E4066" i="18"/>
  <c r="F4066" i="18"/>
  <c r="G4066" i="18"/>
  <c r="H4066" i="18"/>
  <c r="I4066" i="18"/>
  <c r="J4066" i="18"/>
  <c r="K4066" i="18"/>
  <c r="L4066" i="18"/>
  <c r="B4067" i="18"/>
  <c r="C4067" i="18"/>
  <c r="D4067" i="18"/>
  <c r="E4067" i="18"/>
  <c r="F4067" i="18"/>
  <c r="G4067" i="18"/>
  <c r="H4067" i="18"/>
  <c r="I4067" i="18"/>
  <c r="J4067" i="18"/>
  <c r="K4067" i="18"/>
  <c r="L4067" i="18"/>
  <c r="B4068" i="18"/>
  <c r="C4068" i="18"/>
  <c r="D4068" i="18"/>
  <c r="E4068" i="18"/>
  <c r="F4068" i="18"/>
  <c r="G4068" i="18"/>
  <c r="H4068" i="18"/>
  <c r="I4068" i="18"/>
  <c r="J4068" i="18"/>
  <c r="K4068" i="18"/>
  <c r="L4068" i="18"/>
  <c r="B4069" i="18"/>
  <c r="C4069" i="18"/>
  <c r="D4069" i="18"/>
  <c r="E4069" i="18"/>
  <c r="F4069" i="18"/>
  <c r="G4069" i="18"/>
  <c r="H4069" i="18"/>
  <c r="I4069" i="18"/>
  <c r="J4069" i="18"/>
  <c r="K4069" i="18"/>
  <c r="L4069" i="18"/>
  <c r="B4070" i="18"/>
  <c r="C4070" i="18"/>
  <c r="D4070" i="18"/>
  <c r="E4070" i="18"/>
  <c r="F4070" i="18"/>
  <c r="G4070" i="18"/>
  <c r="H4070" i="18"/>
  <c r="I4070" i="18"/>
  <c r="J4070" i="18"/>
  <c r="K4070" i="18"/>
  <c r="L4070" i="18"/>
  <c r="B4071" i="18"/>
  <c r="C4071" i="18"/>
  <c r="D4071" i="18"/>
  <c r="E4071" i="18"/>
  <c r="F4071" i="18"/>
  <c r="G4071" i="18"/>
  <c r="H4071" i="18"/>
  <c r="I4071" i="18"/>
  <c r="J4071" i="18"/>
  <c r="K4071" i="18"/>
  <c r="L4071" i="18"/>
  <c r="B4072" i="18"/>
  <c r="C4072" i="18"/>
  <c r="D4072" i="18"/>
  <c r="E4072" i="18"/>
  <c r="F4072" i="18"/>
  <c r="G4072" i="18"/>
  <c r="H4072" i="18"/>
  <c r="I4072" i="18"/>
  <c r="J4072" i="18"/>
  <c r="K4072" i="18"/>
  <c r="L4072" i="18"/>
  <c r="B4073" i="18"/>
  <c r="C4073" i="18"/>
  <c r="D4073" i="18"/>
  <c r="E4073" i="18"/>
  <c r="F4073" i="18"/>
  <c r="G4073" i="18"/>
  <c r="H4073" i="18"/>
  <c r="I4073" i="18"/>
  <c r="J4073" i="18"/>
  <c r="K4073" i="18"/>
  <c r="L4073" i="18"/>
  <c r="B4074" i="18"/>
  <c r="C4074" i="18"/>
  <c r="D4074" i="18"/>
  <c r="E4074" i="18"/>
  <c r="F4074" i="18"/>
  <c r="G4074" i="18"/>
  <c r="H4074" i="18"/>
  <c r="I4074" i="18"/>
  <c r="J4074" i="18"/>
  <c r="K4074" i="18"/>
  <c r="L4074" i="18"/>
  <c r="B4075" i="18"/>
  <c r="C4075" i="18"/>
  <c r="D4075" i="18"/>
  <c r="E4075" i="18"/>
  <c r="F4075" i="18"/>
  <c r="G4075" i="18"/>
  <c r="H4075" i="18"/>
  <c r="I4075" i="18"/>
  <c r="J4075" i="18"/>
  <c r="K4075" i="18"/>
  <c r="L4075" i="18"/>
  <c r="B4076" i="18"/>
  <c r="C4076" i="18"/>
  <c r="D4076" i="18"/>
  <c r="E4076" i="18"/>
  <c r="F4076" i="18"/>
  <c r="G4076" i="18"/>
  <c r="H4076" i="18"/>
  <c r="I4076" i="18"/>
  <c r="J4076" i="18"/>
  <c r="K4076" i="18"/>
  <c r="L4076" i="18"/>
  <c r="B4077" i="18"/>
  <c r="C4077" i="18"/>
  <c r="D4077" i="18"/>
  <c r="E4077" i="18"/>
  <c r="F4077" i="18"/>
  <c r="G4077" i="18"/>
  <c r="H4077" i="18"/>
  <c r="I4077" i="18"/>
  <c r="J4077" i="18"/>
  <c r="K4077" i="18"/>
  <c r="L4077" i="18"/>
  <c r="B4078" i="18"/>
  <c r="C4078" i="18"/>
  <c r="D4078" i="18"/>
  <c r="E4078" i="18"/>
  <c r="F4078" i="18"/>
  <c r="G4078" i="18"/>
  <c r="H4078" i="18"/>
  <c r="I4078" i="18"/>
  <c r="J4078" i="18"/>
  <c r="K4078" i="18"/>
  <c r="L4078" i="18"/>
  <c r="B4079" i="18"/>
  <c r="C4079" i="18"/>
  <c r="D4079" i="18"/>
  <c r="E4079" i="18"/>
  <c r="F4079" i="18"/>
  <c r="G4079" i="18"/>
  <c r="H4079" i="18"/>
  <c r="I4079" i="18"/>
  <c r="J4079" i="18"/>
  <c r="K4079" i="18"/>
  <c r="L4079" i="18"/>
  <c r="B4080" i="18"/>
  <c r="C4080" i="18"/>
  <c r="D4080" i="18"/>
  <c r="E4080" i="18"/>
  <c r="F4080" i="18"/>
  <c r="G4080" i="18"/>
  <c r="H4080" i="18"/>
  <c r="I4080" i="18"/>
  <c r="J4080" i="18"/>
  <c r="K4080" i="18"/>
  <c r="L4080" i="18"/>
  <c r="B4081" i="18"/>
  <c r="C4081" i="18"/>
  <c r="D4081" i="18"/>
  <c r="E4081" i="18"/>
  <c r="F4081" i="18"/>
  <c r="G4081" i="18"/>
  <c r="H4081" i="18"/>
  <c r="I4081" i="18"/>
  <c r="J4081" i="18"/>
  <c r="K4081" i="18"/>
  <c r="L4081" i="18"/>
  <c r="B4082" i="18"/>
  <c r="C4082" i="18"/>
  <c r="D4082" i="18"/>
  <c r="E4082" i="18"/>
  <c r="F4082" i="18"/>
  <c r="G4082" i="18"/>
  <c r="H4082" i="18"/>
  <c r="I4082" i="18"/>
  <c r="J4082" i="18"/>
  <c r="K4082" i="18"/>
  <c r="L4082" i="18"/>
  <c r="B4083" i="18"/>
  <c r="C4083" i="18"/>
  <c r="D4083" i="18"/>
  <c r="E4083" i="18"/>
  <c r="F4083" i="18"/>
  <c r="G4083" i="18"/>
  <c r="H4083" i="18"/>
  <c r="I4083" i="18"/>
  <c r="J4083" i="18"/>
  <c r="K4083" i="18"/>
  <c r="L4083" i="18"/>
  <c r="B4084" i="18"/>
  <c r="C4084" i="18"/>
  <c r="D4084" i="18"/>
  <c r="E4084" i="18"/>
  <c r="F4084" i="18"/>
  <c r="G4084" i="18"/>
  <c r="H4084" i="18"/>
  <c r="I4084" i="18"/>
  <c r="J4084" i="18"/>
  <c r="K4084" i="18"/>
  <c r="L4084" i="18"/>
  <c r="B4085" i="18"/>
  <c r="C4085" i="18"/>
  <c r="D4085" i="18"/>
  <c r="E4085" i="18"/>
  <c r="F4085" i="18"/>
  <c r="G4085" i="18"/>
  <c r="H4085" i="18"/>
  <c r="I4085" i="18"/>
  <c r="J4085" i="18"/>
  <c r="K4085" i="18"/>
  <c r="L4085" i="18"/>
  <c r="B4086" i="18"/>
  <c r="C4086" i="18"/>
  <c r="D4086" i="18"/>
  <c r="E4086" i="18"/>
  <c r="F4086" i="18"/>
  <c r="G4086" i="18"/>
  <c r="H4086" i="18"/>
  <c r="I4086" i="18"/>
  <c r="J4086" i="18"/>
  <c r="K4086" i="18"/>
  <c r="L4086" i="18"/>
  <c r="B4087" i="18"/>
  <c r="C4087" i="18"/>
  <c r="D4087" i="18"/>
  <c r="E4087" i="18"/>
  <c r="F4087" i="18"/>
  <c r="G4087" i="18"/>
  <c r="H4087" i="18"/>
  <c r="I4087" i="18"/>
  <c r="J4087" i="18"/>
  <c r="K4087" i="18"/>
  <c r="L4087" i="18"/>
  <c r="B4088" i="18"/>
  <c r="C4088" i="18"/>
  <c r="D4088" i="18"/>
  <c r="E4088" i="18"/>
  <c r="F4088" i="18"/>
  <c r="G4088" i="18"/>
  <c r="H4088" i="18"/>
  <c r="I4088" i="18"/>
  <c r="J4088" i="18"/>
  <c r="K4088" i="18"/>
  <c r="L4088" i="18"/>
  <c r="B4089" i="18"/>
  <c r="C4089" i="18"/>
  <c r="D4089" i="18"/>
  <c r="E4089" i="18"/>
  <c r="F4089" i="18"/>
  <c r="G4089" i="18"/>
  <c r="H4089" i="18"/>
  <c r="I4089" i="18"/>
  <c r="J4089" i="18"/>
  <c r="K4089" i="18"/>
  <c r="L4089" i="18"/>
  <c r="B4090" i="18"/>
  <c r="C4090" i="18"/>
  <c r="D4090" i="18"/>
  <c r="E4090" i="18"/>
  <c r="F4090" i="18"/>
  <c r="G4090" i="18"/>
  <c r="H4090" i="18"/>
  <c r="I4090" i="18"/>
  <c r="J4090" i="18"/>
  <c r="K4090" i="18"/>
  <c r="L4090" i="18"/>
  <c r="B4091" i="18"/>
  <c r="C4091" i="18"/>
  <c r="D4091" i="18"/>
  <c r="E4091" i="18"/>
  <c r="F4091" i="18"/>
  <c r="G4091" i="18"/>
  <c r="H4091" i="18"/>
  <c r="I4091" i="18"/>
  <c r="J4091" i="18"/>
  <c r="K4091" i="18"/>
  <c r="L4091" i="18"/>
  <c r="B4092" i="18"/>
  <c r="C4092" i="18"/>
  <c r="D4092" i="18"/>
  <c r="E4092" i="18"/>
  <c r="F4092" i="18"/>
  <c r="G4092" i="18"/>
  <c r="H4092" i="18"/>
  <c r="I4092" i="18"/>
  <c r="J4092" i="18"/>
  <c r="K4092" i="18"/>
  <c r="L4092" i="18"/>
  <c r="B4093" i="18"/>
  <c r="C4093" i="18"/>
  <c r="D4093" i="18"/>
  <c r="E4093" i="18"/>
  <c r="F4093" i="18"/>
  <c r="G4093" i="18"/>
  <c r="H4093" i="18"/>
  <c r="I4093" i="18"/>
  <c r="J4093" i="18"/>
  <c r="K4093" i="18"/>
  <c r="L4093" i="18"/>
  <c r="B4094" i="18"/>
  <c r="C4094" i="18"/>
  <c r="D4094" i="18"/>
  <c r="E4094" i="18"/>
  <c r="F4094" i="18"/>
  <c r="G4094" i="18"/>
  <c r="H4094" i="18"/>
  <c r="I4094" i="18"/>
  <c r="J4094" i="18"/>
  <c r="K4094" i="18"/>
  <c r="L4094" i="18"/>
  <c r="B4095" i="18"/>
  <c r="C4095" i="18"/>
  <c r="D4095" i="18"/>
  <c r="E4095" i="18"/>
  <c r="F4095" i="18"/>
  <c r="G4095" i="18"/>
  <c r="H4095" i="18"/>
  <c r="I4095" i="18"/>
  <c r="J4095" i="18"/>
  <c r="K4095" i="18"/>
  <c r="L4095" i="18"/>
  <c r="B4096" i="18"/>
  <c r="C4096" i="18"/>
  <c r="D4096" i="18"/>
  <c r="E4096" i="18"/>
  <c r="F4096" i="18"/>
  <c r="G4096" i="18"/>
  <c r="H4096" i="18"/>
  <c r="I4096" i="18"/>
  <c r="J4096" i="18"/>
  <c r="K4096" i="18"/>
  <c r="L4096" i="18"/>
  <c r="B4097" i="18"/>
  <c r="C4097" i="18"/>
  <c r="D4097" i="18"/>
  <c r="E4097" i="18"/>
  <c r="F4097" i="18"/>
  <c r="G4097" i="18"/>
  <c r="H4097" i="18"/>
  <c r="I4097" i="18"/>
  <c r="J4097" i="18"/>
  <c r="K4097" i="18"/>
  <c r="L4097" i="18"/>
  <c r="B4098" i="18"/>
  <c r="C4098" i="18"/>
  <c r="D4098" i="18"/>
  <c r="E4098" i="18"/>
  <c r="F4098" i="18"/>
  <c r="G4098" i="18"/>
  <c r="H4098" i="18"/>
  <c r="I4098" i="18"/>
  <c r="J4098" i="18"/>
  <c r="K4098" i="18"/>
  <c r="L4098" i="18"/>
  <c r="B4099" i="18"/>
  <c r="C4099" i="18"/>
  <c r="D4099" i="18"/>
  <c r="E4099" i="18"/>
  <c r="F4099" i="18"/>
  <c r="G4099" i="18"/>
  <c r="H4099" i="18"/>
  <c r="I4099" i="18"/>
  <c r="J4099" i="18"/>
  <c r="K4099" i="18"/>
  <c r="L4099" i="18"/>
  <c r="B4100" i="18"/>
  <c r="C4100" i="18"/>
  <c r="D4100" i="18"/>
  <c r="E4100" i="18"/>
  <c r="F4100" i="18"/>
  <c r="G4100" i="18"/>
  <c r="H4100" i="18"/>
  <c r="I4100" i="18"/>
  <c r="J4100" i="18"/>
  <c r="K4100" i="18"/>
  <c r="L4100" i="18"/>
  <c r="B4101" i="18"/>
  <c r="C4101" i="18"/>
  <c r="D4101" i="18"/>
  <c r="E4101" i="18"/>
  <c r="F4101" i="18"/>
  <c r="G4101" i="18"/>
  <c r="H4101" i="18"/>
  <c r="I4101" i="18"/>
  <c r="J4101" i="18"/>
  <c r="K4101" i="18"/>
  <c r="L4101" i="18"/>
  <c r="B4102" i="18"/>
  <c r="C4102" i="18"/>
  <c r="D4102" i="18"/>
  <c r="E4102" i="18"/>
  <c r="F4102" i="18"/>
  <c r="G4102" i="18"/>
  <c r="H4102" i="18"/>
  <c r="I4102" i="18"/>
  <c r="J4102" i="18"/>
  <c r="K4102" i="18"/>
  <c r="L4102" i="18"/>
  <c r="B4103" i="18"/>
  <c r="C4103" i="18"/>
  <c r="D4103" i="18"/>
  <c r="E4103" i="18"/>
  <c r="F4103" i="18"/>
  <c r="G4103" i="18"/>
  <c r="H4103" i="18"/>
  <c r="I4103" i="18"/>
  <c r="J4103" i="18"/>
  <c r="K4103" i="18"/>
  <c r="L4103" i="18"/>
  <c r="B4104" i="18"/>
  <c r="C4104" i="18"/>
  <c r="D4104" i="18"/>
  <c r="E4104" i="18"/>
  <c r="F4104" i="18"/>
  <c r="G4104" i="18"/>
  <c r="H4104" i="18"/>
  <c r="I4104" i="18"/>
  <c r="J4104" i="18"/>
  <c r="K4104" i="18"/>
  <c r="L4104" i="18"/>
  <c r="B4105" i="18"/>
  <c r="C4105" i="18"/>
  <c r="D4105" i="18"/>
  <c r="E4105" i="18"/>
  <c r="F4105" i="18"/>
  <c r="G4105" i="18"/>
  <c r="H4105" i="18"/>
  <c r="I4105" i="18"/>
  <c r="J4105" i="18"/>
  <c r="K4105" i="18"/>
  <c r="L4105" i="18"/>
  <c r="B4106" i="18"/>
  <c r="C4106" i="18"/>
  <c r="D4106" i="18"/>
  <c r="E4106" i="18"/>
  <c r="F4106" i="18"/>
  <c r="G4106" i="18"/>
  <c r="H4106" i="18"/>
  <c r="I4106" i="18"/>
  <c r="J4106" i="18"/>
  <c r="K4106" i="18"/>
  <c r="L4106" i="18"/>
  <c r="B4107" i="18"/>
  <c r="C4107" i="18"/>
  <c r="D4107" i="18"/>
  <c r="E4107" i="18"/>
  <c r="F4107" i="18"/>
  <c r="G4107" i="18"/>
  <c r="H4107" i="18"/>
  <c r="I4107" i="18"/>
  <c r="J4107" i="18"/>
  <c r="K4107" i="18"/>
  <c r="L4107" i="18"/>
  <c r="B4108" i="18"/>
  <c r="C4108" i="18"/>
  <c r="D4108" i="18"/>
  <c r="E4108" i="18"/>
  <c r="F4108" i="18"/>
  <c r="G4108" i="18"/>
  <c r="H4108" i="18"/>
  <c r="I4108" i="18"/>
  <c r="J4108" i="18"/>
  <c r="K4108" i="18"/>
  <c r="L4108" i="18"/>
  <c r="B4109" i="18"/>
  <c r="C4109" i="18"/>
  <c r="D4109" i="18"/>
  <c r="E4109" i="18"/>
  <c r="F4109" i="18"/>
  <c r="G4109" i="18"/>
  <c r="H4109" i="18"/>
  <c r="I4109" i="18"/>
  <c r="J4109" i="18"/>
  <c r="K4109" i="18"/>
  <c r="L4109" i="18"/>
  <c r="B4110" i="18"/>
  <c r="C4110" i="18"/>
  <c r="D4110" i="18"/>
  <c r="E4110" i="18"/>
  <c r="F4110" i="18"/>
  <c r="G4110" i="18"/>
  <c r="H4110" i="18"/>
  <c r="I4110" i="18"/>
  <c r="J4110" i="18"/>
  <c r="K4110" i="18"/>
  <c r="L4110" i="18"/>
  <c r="B4111" i="18"/>
  <c r="C4111" i="18"/>
  <c r="D4111" i="18"/>
  <c r="E4111" i="18"/>
  <c r="F4111" i="18"/>
  <c r="G4111" i="18"/>
  <c r="H4111" i="18"/>
  <c r="I4111" i="18"/>
  <c r="J4111" i="18"/>
  <c r="K4111" i="18"/>
  <c r="L4111" i="18"/>
  <c r="B4112" i="18"/>
  <c r="C4112" i="18"/>
  <c r="D4112" i="18"/>
  <c r="E4112" i="18"/>
  <c r="F4112" i="18"/>
  <c r="G4112" i="18"/>
  <c r="H4112" i="18"/>
  <c r="I4112" i="18"/>
  <c r="J4112" i="18"/>
  <c r="K4112" i="18"/>
  <c r="L4112" i="18"/>
  <c r="B4113" i="18"/>
  <c r="C4113" i="18"/>
  <c r="D4113" i="18"/>
  <c r="E4113" i="18"/>
  <c r="F4113" i="18"/>
  <c r="G4113" i="18"/>
  <c r="H4113" i="18"/>
  <c r="I4113" i="18"/>
  <c r="J4113" i="18"/>
  <c r="K4113" i="18"/>
  <c r="L4113" i="18"/>
  <c r="B4114" i="18"/>
  <c r="C4114" i="18"/>
  <c r="D4114" i="18"/>
  <c r="E4114" i="18"/>
  <c r="F4114" i="18"/>
  <c r="G4114" i="18"/>
  <c r="H4114" i="18"/>
  <c r="I4114" i="18"/>
  <c r="J4114" i="18"/>
  <c r="K4114" i="18"/>
  <c r="L4114" i="18"/>
  <c r="B4115" i="18"/>
  <c r="C4115" i="18"/>
  <c r="D4115" i="18"/>
  <c r="E4115" i="18"/>
  <c r="F4115" i="18"/>
  <c r="G4115" i="18"/>
  <c r="H4115" i="18"/>
  <c r="I4115" i="18"/>
  <c r="J4115" i="18"/>
  <c r="K4115" i="18"/>
  <c r="L4115" i="18"/>
  <c r="B4116" i="18"/>
  <c r="C4116" i="18"/>
  <c r="D4116" i="18"/>
  <c r="E4116" i="18"/>
  <c r="F4116" i="18"/>
  <c r="G4116" i="18"/>
  <c r="H4116" i="18"/>
  <c r="I4116" i="18"/>
  <c r="J4116" i="18"/>
  <c r="K4116" i="18"/>
  <c r="L4116" i="18"/>
  <c r="B4117" i="18"/>
  <c r="C4117" i="18"/>
  <c r="D4117" i="18"/>
  <c r="E4117" i="18"/>
  <c r="F4117" i="18"/>
  <c r="G4117" i="18"/>
  <c r="H4117" i="18"/>
  <c r="I4117" i="18"/>
  <c r="J4117" i="18"/>
  <c r="K4117" i="18"/>
  <c r="L4117" i="18"/>
  <c r="B4118" i="18"/>
  <c r="C4118" i="18"/>
  <c r="D4118" i="18"/>
  <c r="E4118" i="18"/>
  <c r="F4118" i="18"/>
  <c r="G4118" i="18"/>
  <c r="H4118" i="18"/>
  <c r="I4118" i="18"/>
  <c r="J4118" i="18"/>
  <c r="K4118" i="18"/>
  <c r="L4118" i="18"/>
  <c r="B4119" i="18"/>
  <c r="C4119" i="18"/>
  <c r="D4119" i="18"/>
  <c r="E4119" i="18"/>
  <c r="F4119" i="18"/>
  <c r="G4119" i="18"/>
  <c r="H4119" i="18"/>
  <c r="I4119" i="18"/>
  <c r="J4119" i="18"/>
  <c r="K4119" i="18"/>
  <c r="L4119" i="18"/>
  <c r="B4120" i="18"/>
  <c r="C4120" i="18"/>
  <c r="D4120" i="18"/>
  <c r="E4120" i="18"/>
  <c r="F4120" i="18"/>
  <c r="G4120" i="18"/>
  <c r="H4120" i="18"/>
  <c r="I4120" i="18"/>
  <c r="J4120" i="18"/>
  <c r="K4120" i="18"/>
  <c r="L4120" i="18"/>
  <c r="B4121" i="18"/>
  <c r="C4121" i="18"/>
  <c r="D4121" i="18"/>
  <c r="E4121" i="18"/>
  <c r="F4121" i="18"/>
  <c r="G4121" i="18"/>
  <c r="H4121" i="18"/>
  <c r="I4121" i="18"/>
  <c r="J4121" i="18"/>
  <c r="K4121" i="18"/>
  <c r="L4121" i="18"/>
  <c r="B4122" i="18"/>
  <c r="C4122" i="18"/>
  <c r="D4122" i="18"/>
  <c r="E4122" i="18"/>
  <c r="F4122" i="18"/>
  <c r="G4122" i="18"/>
  <c r="H4122" i="18"/>
  <c r="I4122" i="18"/>
  <c r="J4122" i="18"/>
  <c r="K4122" i="18"/>
  <c r="L4122" i="18"/>
  <c r="B4123" i="18"/>
  <c r="C4123" i="18"/>
  <c r="D4123" i="18"/>
  <c r="E4123" i="18"/>
  <c r="F4123" i="18"/>
  <c r="G4123" i="18"/>
  <c r="H4123" i="18"/>
  <c r="I4123" i="18"/>
  <c r="J4123" i="18"/>
  <c r="K4123" i="18"/>
  <c r="L4123" i="18"/>
  <c r="B4124" i="18"/>
  <c r="C4124" i="18"/>
  <c r="D4124" i="18"/>
  <c r="E4124" i="18"/>
  <c r="F4124" i="18"/>
  <c r="G4124" i="18"/>
  <c r="H4124" i="18"/>
  <c r="I4124" i="18"/>
  <c r="J4124" i="18"/>
  <c r="K4124" i="18"/>
  <c r="L4124" i="18"/>
  <c r="B4125" i="18"/>
  <c r="C4125" i="18"/>
  <c r="D4125" i="18"/>
  <c r="E4125" i="18"/>
  <c r="F4125" i="18"/>
  <c r="G4125" i="18"/>
  <c r="H4125" i="18"/>
  <c r="I4125" i="18"/>
  <c r="J4125" i="18"/>
  <c r="K4125" i="18"/>
  <c r="L4125" i="18"/>
  <c r="B4126" i="18"/>
  <c r="C4126" i="18"/>
  <c r="D4126" i="18"/>
  <c r="E4126" i="18"/>
  <c r="F4126" i="18"/>
  <c r="G4126" i="18"/>
  <c r="H4126" i="18"/>
  <c r="I4126" i="18"/>
  <c r="J4126" i="18"/>
  <c r="K4126" i="18"/>
  <c r="L4126" i="18"/>
  <c r="B4127" i="18"/>
  <c r="C4127" i="18"/>
  <c r="D4127" i="18"/>
  <c r="E4127" i="18"/>
  <c r="F4127" i="18"/>
  <c r="G4127" i="18"/>
  <c r="H4127" i="18"/>
  <c r="I4127" i="18"/>
  <c r="J4127" i="18"/>
  <c r="K4127" i="18"/>
  <c r="L4127" i="18"/>
  <c r="B4128" i="18"/>
  <c r="C4128" i="18"/>
  <c r="D4128" i="18"/>
  <c r="E4128" i="18"/>
  <c r="F4128" i="18"/>
  <c r="G4128" i="18"/>
  <c r="H4128" i="18"/>
  <c r="I4128" i="18"/>
  <c r="J4128" i="18"/>
  <c r="K4128" i="18"/>
  <c r="L4128" i="18"/>
  <c r="B4129" i="18"/>
  <c r="C4129" i="18"/>
  <c r="D4129" i="18"/>
  <c r="E4129" i="18"/>
  <c r="F4129" i="18"/>
  <c r="G4129" i="18"/>
  <c r="H4129" i="18"/>
  <c r="I4129" i="18"/>
  <c r="J4129" i="18"/>
  <c r="K4129" i="18"/>
  <c r="L4129" i="18"/>
  <c r="B4130" i="18"/>
  <c r="C4130" i="18"/>
  <c r="D4130" i="18"/>
  <c r="E4130" i="18"/>
  <c r="F4130" i="18"/>
  <c r="G4130" i="18"/>
  <c r="H4130" i="18"/>
  <c r="I4130" i="18"/>
  <c r="J4130" i="18"/>
  <c r="K4130" i="18"/>
  <c r="L4130" i="18"/>
  <c r="B4131" i="18"/>
  <c r="C4131" i="18"/>
  <c r="D4131" i="18"/>
  <c r="E4131" i="18"/>
  <c r="F4131" i="18"/>
  <c r="G4131" i="18"/>
  <c r="H4131" i="18"/>
  <c r="I4131" i="18"/>
  <c r="J4131" i="18"/>
  <c r="K4131" i="18"/>
  <c r="L4131" i="18"/>
  <c r="B4132" i="18"/>
  <c r="C4132" i="18"/>
  <c r="D4132" i="18"/>
  <c r="E4132" i="18"/>
  <c r="F4132" i="18"/>
  <c r="G4132" i="18"/>
  <c r="H4132" i="18"/>
  <c r="I4132" i="18"/>
  <c r="J4132" i="18"/>
  <c r="K4132" i="18"/>
  <c r="L4132" i="18"/>
  <c r="B4133" i="18"/>
  <c r="C4133" i="18"/>
  <c r="D4133" i="18"/>
  <c r="E4133" i="18"/>
  <c r="F4133" i="18"/>
  <c r="G4133" i="18"/>
  <c r="H4133" i="18"/>
  <c r="I4133" i="18"/>
  <c r="J4133" i="18"/>
  <c r="K4133" i="18"/>
  <c r="L4133" i="18"/>
  <c r="B4134" i="18"/>
  <c r="C4134" i="18"/>
  <c r="D4134" i="18"/>
  <c r="E4134" i="18"/>
  <c r="F4134" i="18"/>
  <c r="G4134" i="18"/>
  <c r="H4134" i="18"/>
  <c r="I4134" i="18"/>
  <c r="J4134" i="18"/>
  <c r="K4134" i="18"/>
  <c r="L4134" i="18"/>
  <c r="B4135" i="18"/>
  <c r="C4135" i="18"/>
  <c r="D4135" i="18"/>
  <c r="E4135" i="18"/>
  <c r="F4135" i="18"/>
  <c r="G4135" i="18"/>
  <c r="H4135" i="18"/>
  <c r="I4135" i="18"/>
  <c r="J4135" i="18"/>
  <c r="K4135" i="18"/>
  <c r="L4135" i="18"/>
  <c r="B4136" i="18"/>
  <c r="C4136" i="18"/>
  <c r="D4136" i="18"/>
  <c r="E4136" i="18"/>
  <c r="F4136" i="18"/>
  <c r="G4136" i="18"/>
  <c r="H4136" i="18"/>
  <c r="I4136" i="18"/>
  <c r="J4136" i="18"/>
  <c r="K4136" i="18"/>
  <c r="L4136" i="18"/>
  <c r="B4137" i="18"/>
  <c r="C4137" i="18"/>
  <c r="D4137" i="18"/>
  <c r="E4137" i="18"/>
  <c r="F4137" i="18"/>
  <c r="G4137" i="18"/>
  <c r="H4137" i="18"/>
  <c r="I4137" i="18"/>
  <c r="J4137" i="18"/>
  <c r="K4137" i="18"/>
  <c r="L4137" i="18"/>
  <c r="B4138" i="18"/>
  <c r="C4138" i="18"/>
  <c r="D4138" i="18"/>
  <c r="E4138" i="18"/>
  <c r="F4138" i="18"/>
  <c r="G4138" i="18"/>
  <c r="H4138" i="18"/>
  <c r="I4138" i="18"/>
  <c r="J4138" i="18"/>
  <c r="K4138" i="18"/>
  <c r="L4138" i="18"/>
  <c r="B4139" i="18"/>
  <c r="C4139" i="18"/>
  <c r="D4139" i="18"/>
  <c r="E4139" i="18"/>
  <c r="F4139" i="18"/>
  <c r="G4139" i="18"/>
  <c r="H4139" i="18"/>
  <c r="I4139" i="18"/>
  <c r="J4139" i="18"/>
  <c r="K4139" i="18"/>
  <c r="L4139" i="18"/>
  <c r="B4140" i="18"/>
  <c r="C4140" i="18"/>
  <c r="D4140" i="18"/>
  <c r="E4140" i="18"/>
  <c r="F4140" i="18"/>
  <c r="G4140" i="18"/>
  <c r="H4140" i="18"/>
  <c r="I4140" i="18"/>
  <c r="J4140" i="18"/>
  <c r="K4140" i="18"/>
  <c r="L4140" i="18"/>
  <c r="B4141" i="18"/>
  <c r="C4141" i="18"/>
  <c r="D4141" i="18"/>
  <c r="E4141" i="18"/>
  <c r="F4141" i="18"/>
  <c r="G4141" i="18"/>
  <c r="H4141" i="18"/>
  <c r="I4141" i="18"/>
  <c r="J4141" i="18"/>
  <c r="K4141" i="18"/>
  <c r="L4141" i="18"/>
  <c r="B4142" i="18"/>
  <c r="C4142" i="18"/>
  <c r="D4142" i="18"/>
  <c r="E4142" i="18"/>
  <c r="F4142" i="18"/>
  <c r="G4142" i="18"/>
  <c r="H4142" i="18"/>
  <c r="I4142" i="18"/>
  <c r="J4142" i="18"/>
  <c r="K4142" i="18"/>
  <c r="L4142" i="18"/>
  <c r="B4143" i="18"/>
  <c r="C4143" i="18"/>
  <c r="D4143" i="18"/>
  <c r="E4143" i="18"/>
  <c r="F4143" i="18"/>
  <c r="G4143" i="18"/>
  <c r="H4143" i="18"/>
  <c r="I4143" i="18"/>
  <c r="J4143" i="18"/>
  <c r="K4143" i="18"/>
  <c r="L4143" i="18"/>
  <c r="B4144" i="18"/>
  <c r="C4144" i="18"/>
  <c r="D4144" i="18"/>
  <c r="E4144" i="18"/>
  <c r="F4144" i="18"/>
  <c r="G4144" i="18"/>
  <c r="H4144" i="18"/>
  <c r="I4144" i="18"/>
  <c r="J4144" i="18"/>
  <c r="K4144" i="18"/>
  <c r="L4144" i="18"/>
  <c r="B4145" i="18"/>
  <c r="C4145" i="18"/>
  <c r="D4145" i="18"/>
  <c r="E4145" i="18"/>
  <c r="F4145" i="18"/>
  <c r="G4145" i="18"/>
  <c r="H4145" i="18"/>
  <c r="I4145" i="18"/>
  <c r="J4145" i="18"/>
  <c r="K4145" i="18"/>
  <c r="L4145" i="18"/>
  <c r="B4146" i="18"/>
  <c r="C4146" i="18"/>
  <c r="D4146" i="18"/>
  <c r="E4146" i="18"/>
  <c r="F4146" i="18"/>
  <c r="G4146" i="18"/>
  <c r="H4146" i="18"/>
  <c r="I4146" i="18"/>
  <c r="J4146" i="18"/>
  <c r="K4146" i="18"/>
  <c r="L4146" i="18"/>
  <c r="B4147" i="18"/>
  <c r="C4147" i="18"/>
  <c r="D4147" i="18"/>
  <c r="E4147" i="18"/>
  <c r="F4147" i="18"/>
  <c r="G4147" i="18"/>
  <c r="H4147" i="18"/>
  <c r="I4147" i="18"/>
  <c r="J4147" i="18"/>
  <c r="K4147" i="18"/>
  <c r="L4147" i="18"/>
  <c r="B4148" i="18"/>
  <c r="C4148" i="18"/>
  <c r="D4148" i="18"/>
  <c r="E4148" i="18"/>
  <c r="F4148" i="18"/>
  <c r="G4148" i="18"/>
  <c r="H4148" i="18"/>
  <c r="I4148" i="18"/>
  <c r="J4148" i="18"/>
  <c r="K4148" i="18"/>
  <c r="L4148" i="18"/>
  <c r="B4149" i="18"/>
  <c r="C4149" i="18"/>
  <c r="D4149" i="18"/>
  <c r="E4149" i="18"/>
  <c r="F4149" i="18"/>
  <c r="G4149" i="18"/>
  <c r="H4149" i="18"/>
  <c r="I4149" i="18"/>
  <c r="J4149" i="18"/>
  <c r="K4149" i="18"/>
  <c r="L4149" i="18"/>
  <c r="B4150" i="18"/>
  <c r="C4150" i="18"/>
  <c r="D4150" i="18"/>
  <c r="E4150" i="18"/>
  <c r="F4150" i="18"/>
  <c r="G4150" i="18"/>
  <c r="H4150" i="18"/>
  <c r="I4150" i="18"/>
  <c r="J4150" i="18"/>
  <c r="K4150" i="18"/>
  <c r="L4150" i="18"/>
  <c r="B4151" i="18"/>
  <c r="C4151" i="18"/>
  <c r="D4151" i="18"/>
  <c r="E4151" i="18"/>
  <c r="F4151" i="18"/>
  <c r="G4151" i="18"/>
  <c r="H4151" i="18"/>
  <c r="I4151" i="18"/>
  <c r="J4151" i="18"/>
  <c r="K4151" i="18"/>
  <c r="L4151" i="18"/>
  <c r="B4152" i="18"/>
  <c r="C4152" i="18"/>
  <c r="D4152" i="18"/>
  <c r="E4152" i="18"/>
  <c r="F4152" i="18"/>
  <c r="G4152" i="18"/>
  <c r="H4152" i="18"/>
  <c r="I4152" i="18"/>
  <c r="J4152" i="18"/>
  <c r="K4152" i="18"/>
  <c r="L4152" i="18"/>
  <c r="B4153" i="18"/>
  <c r="C4153" i="18"/>
  <c r="D4153" i="18"/>
  <c r="E4153" i="18"/>
  <c r="F4153" i="18"/>
  <c r="G4153" i="18"/>
  <c r="H4153" i="18"/>
  <c r="I4153" i="18"/>
  <c r="J4153" i="18"/>
  <c r="K4153" i="18"/>
  <c r="L4153" i="18"/>
  <c r="B4154" i="18"/>
  <c r="C4154" i="18"/>
  <c r="D4154" i="18"/>
  <c r="E4154" i="18"/>
  <c r="F4154" i="18"/>
  <c r="G4154" i="18"/>
  <c r="H4154" i="18"/>
  <c r="I4154" i="18"/>
  <c r="J4154" i="18"/>
  <c r="K4154" i="18"/>
  <c r="L4154" i="18"/>
  <c r="B4155" i="18"/>
  <c r="C4155" i="18"/>
  <c r="D4155" i="18"/>
  <c r="E4155" i="18"/>
  <c r="F4155" i="18"/>
  <c r="G4155" i="18"/>
  <c r="H4155" i="18"/>
  <c r="I4155" i="18"/>
  <c r="J4155" i="18"/>
  <c r="K4155" i="18"/>
  <c r="L4155" i="18"/>
  <c r="B4156" i="18"/>
  <c r="C4156" i="18"/>
  <c r="D4156" i="18"/>
  <c r="E4156" i="18"/>
  <c r="F4156" i="18"/>
  <c r="G4156" i="18"/>
  <c r="H4156" i="18"/>
  <c r="I4156" i="18"/>
  <c r="J4156" i="18"/>
  <c r="K4156" i="18"/>
  <c r="L4156" i="18"/>
  <c r="B4157" i="18"/>
  <c r="C4157" i="18"/>
  <c r="D4157" i="18"/>
  <c r="E4157" i="18"/>
  <c r="F4157" i="18"/>
  <c r="G4157" i="18"/>
  <c r="H4157" i="18"/>
  <c r="I4157" i="18"/>
  <c r="J4157" i="18"/>
  <c r="K4157" i="18"/>
  <c r="L4157" i="18"/>
  <c r="B4158" i="18"/>
  <c r="C4158" i="18"/>
  <c r="D4158" i="18"/>
  <c r="E4158" i="18"/>
  <c r="F4158" i="18"/>
  <c r="G4158" i="18"/>
  <c r="H4158" i="18"/>
  <c r="I4158" i="18"/>
  <c r="J4158" i="18"/>
  <c r="K4158" i="18"/>
  <c r="L4158" i="18"/>
  <c r="B4159" i="18"/>
  <c r="C4159" i="18"/>
  <c r="D4159" i="18"/>
  <c r="E4159" i="18"/>
  <c r="F4159" i="18"/>
  <c r="G4159" i="18"/>
  <c r="H4159" i="18"/>
  <c r="I4159" i="18"/>
  <c r="J4159" i="18"/>
  <c r="K4159" i="18"/>
  <c r="L4159" i="18"/>
  <c r="B4160" i="18"/>
  <c r="C4160" i="18"/>
  <c r="D4160" i="18"/>
  <c r="E4160" i="18"/>
  <c r="F4160" i="18"/>
  <c r="G4160" i="18"/>
  <c r="H4160" i="18"/>
  <c r="I4160" i="18"/>
  <c r="J4160" i="18"/>
  <c r="K4160" i="18"/>
  <c r="L4160" i="18"/>
  <c r="B4161" i="18"/>
  <c r="C4161" i="18"/>
  <c r="D4161" i="18"/>
  <c r="E4161" i="18"/>
  <c r="F4161" i="18"/>
  <c r="G4161" i="18"/>
  <c r="H4161" i="18"/>
  <c r="I4161" i="18"/>
  <c r="J4161" i="18"/>
  <c r="K4161" i="18"/>
  <c r="L4161" i="18"/>
  <c r="B4162" i="18"/>
  <c r="C4162" i="18"/>
  <c r="D4162" i="18"/>
  <c r="E4162" i="18"/>
  <c r="F4162" i="18"/>
  <c r="G4162" i="18"/>
  <c r="H4162" i="18"/>
  <c r="I4162" i="18"/>
  <c r="J4162" i="18"/>
  <c r="K4162" i="18"/>
  <c r="L4162" i="18"/>
  <c r="B4163" i="18"/>
  <c r="C4163" i="18"/>
  <c r="D4163" i="18"/>
  <c r="E4163" i="18"/>
  <c r="F4163" i="18"/>
  <c r="G4163" i="18"/>
  <c r="H4163" i="18"/>
  <c r="I4163" i="18"/>
  <c r="J4163" i="18"/>
  <c r="K4163" i="18"/>
  <c r="L4163" i="18"/>
  <c r="B4164" i="18"/>
  <c r="C4164" i="18"/>
  <c r="D4164" i="18"/>
  <c r="E4164" i="18"/>
  <c r="F4164" i="18"/>
  <c r="G4164" i="18"/>
  <c r="H4164" i="18"/>
  <c r="I4164" i="18"/>
  <c r="J4164" i="18"/>
  <c r="K4164" i="18"/>
  <c r="L4164" i="18"/>
  <c r="B4165" i="18"/>
  <c r="C4165" i="18"/>
  <c r="D4165" i="18"/>
  <c r="E4165" i="18"/>
  <c r="F4165" i="18"/>
  <c r="G4165" i="18"/>
  <c r="H4165" i="18"/>
  <c r="I4165" i="18"/>
  <c r="J4165" i="18"/>
  <c r="K4165" i="18"/>
  <c r="L4165" i="18"/>
  <c r="B4166" i="18"/>
  <c r="C4166" i="18"/>
  <c r="D4166" i="18"/>
  <c r="E4166" i="18"/>
  <c r="F4166" i="18"/>
  <c r="G4166" i="18"/>
  <c r="H4166" i="18"/>
  <c r="I4166" i="18"/>
  <c r="J4166" i="18"/>
  <c r="K4166" i="18"/>
  <c r="L4166" i="18"/>
  <c r="B4167" i="18"/>
  <c r="C4167" i="18"/>
  <c r="D4167" i="18"/>
  <c r="E4167" i="18"/>
  <c r="F4167" i="18"/>
  <c r="G4167" i="18"/>
  <c r="H4167" i="18"/>
  <c r="I4167" i="18"/>
  <c r="J4167" i="18"/>
  <c r="K4167" i="18"/>
  <c r="L4167" i="18"/>
  <c r="B4168" i="18"/>
  <c r="C4168" i="18"/>
  <c r="D4168" i="18"/>
  <c r="E4168" i="18"/>
  <c r="F4168" i="18"/>
  <c r="G4168" i="18"/>
  <c r="H4168" i="18"/>
  <c r="I4168" i="18"/>
  <c r="J4168" i="18"/>
  <c r="K4168" i="18"/>
  <c r="L4168" i="18"/>
  <c r="B4169" i="18"/>
  <c r="C4169" i="18"/>
  <c r="D4169" i="18"/>
  <c r="E4169" i="18"/>
  <c r="F4169" i="18"/>
  <c r="G4169" i="18"/>
  <c r="H4169" i="18"/>
  <c r="I4169" i="18"/>
  <c r="J4169" i="18"/>
  <c r="K4169" i="18"/>
  <c r="L4169" i="18"/>
  <c r="B4170" i="18"/>
  <c r="C4170" i="18"/>
  <c r="D4170" i="18"/>
  <c r="E4170" i="18"/>
  <c r="F4170" i="18"/>
  <c r="G4170" i="18"/>
  <c r="H4170" i="18"/>
  <c r="I4170" i="18"/>
  <c r="J4170" i="18"/>
  <c r="K4170" i="18"/>
  <c r="L4170" i="18"/>
  <c r="B4171" i="18"/>
  <c r="C4171" i="18"/>
  <c r="D4171" i="18"/>
  <c r="E4171" i="18"/>
  <c r="F4171" i="18"/>
  <c r="G4171" i="18"/>
  <c r="H4171" i="18"/>
  <c r="I4171" i="18"/>
  <c r="J4171" i="18"/>
  <c r="K4171" i="18"/>
  <c r="L4171" i="18"/>
  <c r="B4172" i="18"/>
  <c r="C4172" i="18"/>
  <c r="D4172" i="18"/>
  <c r="E4172" i="18"/>
  <c r="F4172" i="18"/>
  <c r="G4172" i="18"/>
  <c r="H4172" i="18"/>
  <c r="I4172" i="18"/>
  <c r="J4172" i="18"/>
  <c r="K4172" i="18"/>
  <c r="L4172" i="18"/>
  <c r="B4173" i="18"/>
  <c r="C4173" i="18"/>
  <c r="D4173" i="18"/>
  <c r="E4173" i="18"/>
  <c r="F4173" i="18"/>
  <c r="G4173" i="18"/>
  <c r="H4173" i="18"/>
  <c r="I4173" i="18"/>
  <c r="J4173" i="18"/>
  <c r="K4173" i="18"/>
  <c r="L4173" i="18"/>
  <c r="B4174" i="18"/>
  <c r="C4174" i="18"/>
  <c r="D4174" i="18"/>
  <c r="E4174" i="18"/>
  <c r="F4174" i="18"/>
  <c r="G4174" i="18"/>
  <c r="H4174" i="18"/>
  <c r="I4174" i="18"/>
  <c r="J4174" i="18"/>
  <c r="K4174" i="18"/>
  <c r="L4174" i="18"/>
  <c r="B4175" i="18"/>
  <c r="C4175" i="18"/>
  <c r="D4175" i="18"/>
  <c r="E4175" i="18"/>
  <c r="F4175" i="18"/>
  <c r="G4175" i="18"/>
  <c r="H4175" i="18"/>
  <c r="I4175" i="18"/>
  <c r="J4175" i="18"/>
  <c r="K4175" i="18"/>
  <c r="L4175" i="18"/>
  <c r="B4176" i="18"/>
  <c r="C4176" i="18"/>
  <c r="D4176" i="18"/>
  <c r="E4176" i="18"/>
  <c r="F4176" i="18"/>
  <c r="G4176" i="18"/>
  <c r="H4176" i="18"/>
  <c r="I4176" i="18"/>
  <c r="J4176" i="18"/>
  <c r="K4176" i="18"/>
  <c r="L4176" i="18"/>
  <c r="B4177" i="18"/>
  <c r="C4177" i="18"/>
  <c r="D4177" i="18"/>
  <c r="E4177" i="18"/>
  <c r="F4177" i="18"/>
  <c r="G4177" i="18"/>
  <c r="H4177" i="18"/>
  <c r="I4177" i="18"/>
  <c r="J4177" i="18"/>
  <c r="K4177" i="18"/>
  <c r="L4177" i="18"/>
  <c r="B4178" i="18"/>
  <c r="C4178" i="18"/>
  <c r="D4178" i="18"/>
  <c r="E4178" i="18"/>
  <c r="F4178" i="18"/>
  <c r="G4178" i="18"/>
  <c r="H4178" i="18"/>
  <c r="I4178" i="18"/>
  <c r="J4178" i="18"/>
  <c r="K4178" i="18"/>
  <c r="L4178" i="18"/>
  <c r="B4179" i="18"/>
  <c r="C4179" i="18"/>
  <c r="D4179" i="18"/>
  <c r="E4179" i="18"/>
  <c r="F4179" i="18"/>
  <c r="G4179" i="18"/>
  <c r="H4179" i="18"/>
  <c r="I4179" i="18"/>
  <c r="J4179" i="18"/>
  <c r="K4179" i="18"/>
  <c r="L4179" i="18"/>
  <c r="B4180" i="18"/>
  <c r="C4180" i="18"/>
  <c r="D4180" i="18"/>
  <c r="E4180" i="18"/>
  <c r="F4180" i="18"/>
  <c r="G4180" i="18"/>
  <c r="H4180" i="18"/>
  <c r="I4180" i="18"/>
  <c r="J4180" i="18"/>
  <c r="K4180" i="18"/>
  <c r="L4180" i="18"/>
  <c r="B4181" i="18"/>
  <c r="C4181" i="18"/>
  <c r="D4181" i="18"/>
  <c r="E4181" i="18"/>
  <c r="F4181" i="18"/>
  <c r="G4181" i="18"/>
  <c r="H4181" i="18"/>
  <c r="I4181" i="18"/>
  <c r="J4181" i="18"/>
  <c r="K4181" i="18"/>
  <c r="L4181" i="18"/>
  <c r="B4182" i="18"/>
  <c r="C4182" i="18"/>
  <c r="D4182" i="18"/>
  <c r="E4182" i="18"/>
  <c r="F4182" i="18"/>
  <c r="G4182" i="18"/>
  <c r="H4182" i="18"/>
  <c r="I4182" i="18"/>
  <c r="J4182" i="18"/>
  <c r="K4182" i="18"/>
  <c r="L4182" i="18"/>
  <c r="B4183" i="18"/>
  <c r="C4183" i="18"/>
  <c r="D4183" i="18"/>
  <c r="E4183" i="18"/>
  <c r="F4183" i="18"/>
  <c r="G4183" i="18"/>
  <c r="H4183" i="18"/>
  <c r="I4183" i="18"/>
  <c r="J4183" i="18"/>
  <c r="K4183" i="18"/>
  <c r="L4183" i="18"/>
  <c r="B4184" i="18"/>
  <c r="C4184" i="18"/>
  <c r="D4184" i="18"/>
  <c r="E4184" i="18"/>
  <c r="F4184" i="18"/>
  <c r="G4184" i="18"/>
  <c r="H4184" i="18"/>
  <c r="I4184" i="18"/>
  <c r="J4184" i="18"/>
  <c r="K4184" i="18"/>
  <c r="L4184" i="18"/>
  <c r="B4185" i="18"/>
  <c r="C4185" i="18"/>
  <c r="D4185" i="18"/>
  <c r="E4185" i="18"/>
  <c r="F4185" i="18"/>
  <c r="G4185" i="18"/>
  <c r="H4185" i="18"/>
  <c r="I4185" i="18"/>
  <c r="J4185" i="18"/>
  <c r="K4185" i="18"/>
  <c r="L4185" i="18"/>
  <c r="B4186" i="18"/>
  <c r="C4186" i="18"/>
  <c r="D4186" i="18"/>
  <c r="E4186" i="18"/>
  <c r="F4186" i="18"/>
  <c r="G4186" i="18"/>
  <c r="H4186" i="18"/>
  <c r="I4186" i="18"/>
  <c r="J4186" i="18"/>
  <c r="K4186" i="18"/>
  <c r="L4186" i="18"/>
  <c r="B4187" i="18"/>
  <c r="C4187" i="18"/>
  <c r="D4187" i="18"/>
  <c r="E4187" i="18"/>
  <c r="F4187" i="18"/>
  <c r="G4187" i="18"/>
  <c r="H4187" i="18"/>
  <c r="I4187" i="18"/>
  <c r="J4187" i="18"/>
  <c r="K4187" i="18"/>
  <c r="L4187" i="18"/>
  <c r="B4188" i="18"/>
  <c r="C4188" i="18"/>
  <c r="D4188" i="18"/>
  <c r="E4188" i="18"/>
  <c r="F4188" i="18"/>
  <c r="G4188" i="18"/>
  <c r="H4188" i="18"/>
  <c r="I4188" i="18"/>
  <c r="J4188" i="18"/>
  <c r="K4188" i="18"/>
  <c r="L4188" i="18"/>
  <c r="B4189" i="18"/>
  <c r="C4189" i="18"/>
  <c r="D4189" i="18"/>
  <c r="E4189" i="18"/>
  <c r="F4189" i="18"/>
  <c r="G4189" i="18"/>
  <c r="H4189" i="18"/>
  <c r="I4189" i="18"/>
  <c r="J4189" i="18"/>
  <c r="K4189" i="18"/>
  <c r="L4189" i="18"/>
  <c r="B4190" i="18"/>
  <c r="C4190" i="18"/>
  <c r="D4190" i="18"/>
  <c r="E4190" i="18"/>
  <c r="F4190" i="18"/>
  <c r="G4190" i="18"/>
  <c r="H4190" i="18"/>
  <c r="I4190" i="18"/>
  <c r="J4190" i="18"/>
  <c r="K4190" i="18"/>
  <c r="L4190" i="18"/>
  <c r="B4191" i="18"/>
  <c r="C4191" i="18"/>
  <c r="D4191" i="18"/>
  <c r="E4191" i="18"/>
  <c r="F4191" i="18"/>
  <c r="G4191" i="18"/>
  <c r="H4191" i="18"/>
  <c r="I4191" i="18"/>
  <c r="J4191" i="18"/>
  <c r="K4191" i="18"/>
  <c r="L4191" i="18"/>
  <c r="B4192" i="18"/>
  <c r="C4192" i="18"/>
  <c r="D4192" i="18"/>
  <c r="E4192" i="18"/>
  <c r="F4192" i="18"/>
  <c r="G4192" i="18"/>
  <c r="H4192" i="18"/>
  <c r="I4192" i="18"/>
  <c r="J4192" i="18"/>
  <c r="K4192" i="18"/>
  <c r="L4192" i="18"/>
  <c r="B4193" i="18"/>
  <c r="C4193" i="18"/>
  <c r="D4193" i="18"/>
  <c r="E4193" i="18"/>
  <c r="F4193" i="18"/>
  <c r="G4193" i="18"/>
  <c r="H4193" i="18"/>
  <c r="I4193" i="18"/>
  <c r="J4193" i="18"/>
  <c r="K4193" i="18"/>
  <c r="L4193" i="18"/>
  <c r="B4194" i="18"/>
  <c r="C4194" i="18"/>
  <c r="D4194" i="18"/>
  <c r="E4194" i="18"/>
  <c r="F4194" i="18"/>
  <c r="G4194" i="18"/>
  <c r="H4194" i="18"/>
  <c r="I4194" i="18"/>
  <c r="J4194" i="18"/>
  <c r="K4194" i="18"/>
  <c r="L4194" i="18"/>
  <c r="B4195" i="18"/>
  <c r="C4195" i="18"/>
  <c r="D4195" i="18"/>
  <c r="E4195" i="18"/>
  <c r="F4195" i="18"/>
  <c r="G4195" i="18"/>
  <c r="H4195" i="18"/>
  <c r="I4195" i="18"/>
  <c r="J4195" i="18"/>
  <c r="K4195" i="18"/>
  <c r="L4195" i="18"/>
  <c r="B4196" i="18"/>
  <c r="C4196" i="18"/>
  <c r="D4196" i="18"/>
  <c r="E4196" i="18"/>
  <c r="F4196" i="18"/>
  <c r="G4196" i="18"/>
  <c r="H4196" i="18"/>
  <c r="I4196" i="18"/>
  <c r="J4196" i="18"/>
  <c r="K4196" i="18"/>
  <c r="L4196" i="18"/>
  <c r="B4197" i="18"/>
  <c r="C4197" i="18"/>
  <c r="D4197" i="18"/>
  <c r="E4197" i="18"/>
  <c r="F4197" i="18"/>
  <c r="G4197" i="18"/>
  <c r="H4197" i="18"/>
  <c r="I4197" i="18"/>
  <c r="J4197" i="18"/>
  <c r="K4197" i="18"/>
  <c r="L4197" i="18"/>
  <c r="B4198" i="18"/>
  <c r="C4198" i="18"/>
  <c r="D4198" i="18"/>
  <c r="E4198" i="18"/>
  <c r="F4198" i="18"/>
  <c r="G4198" i="18"/>
  <c r="H4198" i="18"/>
  <c r="I4198" i="18"/>
  <c r="J4198" i="18"/>
  <c r="K4198" i="18"/>
  <c r="L4198" i="18"/>
  <c r="B4199" i="18"/>
  <c r="C4199" i="18"/>
  <c r="D4199" i="18"/>
  <c r="E4199" i="18"/>
  <c r="F4199" i="18"/>
  <c r="G4199" i="18"/>
  <c r="H4199" i="18"/>
  <c r="I4199" i="18"/>
  <c r="J4199" i="18"/>
  <c r="K4199" i="18"/>
  <c r="L4199" i="18"/>
  <c r="B4200" i="18"/>
  <c r="C4200" i="18"/>
  <c r="D4200" i="18"/>
  <c r="E4200" i="18"/>
  <c r="F4200" i="18"/>
  <c r="G4200" i="18"/>
  <c r="H4200" i="18"/>
  <c r="I4200" i="18"/>
  <c r="J4200" i="18"/>
  <c r="K4200" i="18"/>
  <c r="L4200" i="18"/>
  <c r="B4201" i="18"/>
  <c r="C4201" i="18"/>
  <c r="D4201" i="18"/>
  <c r="E4201" i="18"/>
  <c r="F4201" i="18"/>
  <c r="G4201" i="18"/>
  <c r="H4201" i="18"/>
  <c r="I4201" i="18"/>
  <c r="J4201" i="18"/>
  <c r="K4201" i="18"/>
  <c r="L4201" i="18"/>
  <c r="B4202" i="18"/>
  <c r="C4202" i="18"/>
  <c r="D4202" i="18"/>
  <c r="E4202" i="18"/>
  <c r="F4202" i="18"/>
  <c r="G4202" i="18"/>
  <c r="H4202" i="18"/>
  <c r="I4202" i="18"/>
  <c r="J4202" i="18"/>
  <c r="K4202" i="18"/>
  <c r="L4202" i="18"/>
  <c r="B4203" i="18"/>
  <c r="C4203" i="18"/>
  <c r="D4203" i="18"/>
  <c r="E4203" i="18"/>
  <c r="F4203" i="18"/>
  <c r="G4203" i="18"/>
  <c r="H4203" i="18"/>
  <c r="I4203" i="18"/>
  <c r="J4203" i="18"/>
  <c r="K4203" i="18"/>
  <c r="L4203" i="18"/>
  <c r="B4204" i="18"/>
  <c r="C4204" i="18"/>
  <c r="D4204" i="18"/>
  <c r="E4204" i="18"/>
  <c r="F4204" i="18"/>
  <c r="G4204" i="18"/>
  <c r="H4204" i="18"/>
  <c r="I4204" i="18"/>
  <c r="J4204" i="18"/>
  <c r="K4204" i="18"/>
  <c r="L4204" i="18"/>
  <c r="B4205" i="18"/>
  <c r="C4205" i="18"/>
  <c r="D4205" i="18"/>
  <c r="E4205" i="18"/>
  <c r="F4205" i="18"/>
  <c r="G4205" i="18"/>
  <c r="H4205" i="18"/>
  <c r="I4205" i="18"/>
  <c r="J4205" i="18"/>
  <c r="K4205" i="18"/>
  <c r="L4205" i="18"/>
  <c r="B4206" i="18"/>
  <c r="C4206" i="18"/>
  <c r="D4206" i="18"/>
  <c r="E4206" i="18"/>
  <c r="F4206" i="18"/>
  <c r="G4206" i="18"/>
  <c r="H4206" i="18"/>
  <c r="I4206" i="18"/>
  <c r="J4206" i="18"/>
  <c r="K4206" i="18"/>
  <c r="L4206" i="18"/>
  <c r="B4207" i="18"/>
  <c r="C4207" i="18"/>
  <c r="D4207" i="18"/>
  <c r="E4207" i="18"/>
  <c r="F4207" i="18"/>
  <c r="G4207" i="18"/>
  <c r="H4207" i="18"/>
  <c r="I4207" i="18"/>
  <c r="J4207" i="18"/>
  <c r="K4207" i="18"/>
  <c r="L4207" i="18"/>
  <c r="B4208" i="18"/>
  <c r="C4208" i="18"/>
  <c r="D4208" i="18"/>
  <c r="E4208" i="18"/>
  <c r="F4208" i="18"/>
  <c r="G4208" i="18"/>
  <c r="H4208" i="18"/>
  <c r="I4208" i="18"/>
  <c r="J4208" i="18"/>
  <c r="K4208" i="18"/>
  <c r="L4208" i="18"/>
  <c r="B4209" i="18"/>
  <c r="C4209" i="18"/>
  <c r="D4209" i="18"/>
  <c r="E4209" i="18"/>
  <c r="F4209" i="18"/>
  <c r="G4209" i="18"/>
  <c r="H4209" i="18"/>
  <c r="I4209" i="18"/>
  <c r="J4209" i="18"/>
  <c r="K4209" i="18"/>
  <c r="L4209" i="18"/>
  <c r="B4210" i="18"/>
  <c r="C4210" i="18"/>
  <c r="D4210" i="18"/>
  <c r="E4210" i="18"/>
  <c r="F4210" i="18"/>
  <c r="G4210" i="18"/>
  <c r="H4210" i="18"/>
  <c r="I4210" i="18"/>
  <c r="J4210" i="18"/>
  <c r="K4210" i="18"/>
  <c r="L4210" i="18"/>
  <c r="B4211" i="18"/>
  <c r="C4211" i="18"/>
  <c r="D4211" i="18"/>
  <c r="E4211" i="18"/>
  <c r="F4211" i="18"/>
  <c r="G4211" i="18"/>
  <c r="H4211" i="18"/>
  <c r="I4211" i="18"/>
  <c r="J4211" i="18"/>
  <c r="K4211" i="18"/>
  <c r="L4211" i="18"/>
  <c r="B4212" i="18"/>
  <c r="C4212" i="18"/>
  <c r="D4212" i="18"/>
  <c r="E4212" i="18"/>
  <c r="F4212" i="18"/>
  <c r="G4212" i="18"/>
  <c r="H4212" i="18"/>
  <c r="I4212" i="18"/>
  <c r="J4212" i="18"/>
  <c r="K4212" i="18"/>
  <c r="L4212" i="18"/>
  <c r="B4213" i="18"/>
  <c r="C4213" i="18"/>
  <c r="D4213" i="18"/>
  <c r="E4213" i="18"/>
  <c r="F4213" i="18"/>
  <c r="G4213" i="18"/>
  <c r="H4213" i="18"/>
  <c r="I4213" i="18"/>
  <c r="J4213" i="18"/>
  <c r="K4213" i="18"/>
  <c r="L4213" i="18"/>
  <c r="B4214" i="18"/>
  <c r="C4214" i="18"/>
  <c r="D4214" i="18"/>
  <c r="E4214" i="18"/>
  <c r="F4214" i="18"/>
  <c r="G4214" i="18"/>
  <c r="H4214" i="18"/>
  <c r="I4214" i="18"/>
  <c r="J4214" i="18"/>
  <c r="K4214" i="18"/>
  <c r="L4214" i="18"/>
  <c r="B4215" i="18"/>
  <c r="C4215" i="18"/>
  <c r="D4215" i="18"/>
  <c r="E4215" i="18"/>
  <c r="F4215" i="18"/>
  <c r="G4215" i="18"/>
  <c r="H4215" i="18"/>
  <c r="I4215" i="18"/>
  <c r="J4215" i="18"/>
  <c r="K4215" i="18"/>
  <c r="L4215" i="18"/>
  <c r="B4216" i="18"/>
  <c r="C4216" i="18"/>
  <c r="D4216" i="18"/>
  <c r="E4216" i="18"/>
  <c r="F4216" i="18"/>
  <c r="G4216" i="18"/>
  <c r="H4216" i="18"/>
  <c r="I4216" i="18"/>
  <c r="J4216" i="18"/>
  <c r="K4216" i="18"/>
  <c r="L4216" i="18"/>
  <c r="B4217" i="18"/>
  <c r="C4217" i="18"/>
  <c r="D4217" i="18"/>
  <c r="E4217" i="18"/>
  <c r="F4217" i="18"/>
  <c r="G4217" i="18"/>
  <c r="H4217" i="18"/>
  <c r="I4217" i="18"/>
  <c r="J4217" i="18"/>
  <c r="K4217" i="18"/>
  <c r="L4217" i="18"/>
  <c r="B4218" i="18"/>
  <c r="C4218" i="18"/>
  <c r="D4218" i="18"/>
  <c r="E4218" i="18"/>
  <c r="F4218" i="18"/>
  <c r="G4218" i="18"/>
  <c r="H4218" i="18"/>
  <c r="I4218" i="18"/>
  <c r="J4218" i="18"/>
  <c r="K4218" i="18"/>
  <c r="L4218" i="18"/>
  <c r="B4219" i="18"/>
  <c r="C4219" i="18"/>
  <c r="D4219" i="18"/>
  <c r="E4219" i="18"/>
  <c r="F4219" i="18"/>
  <c r="G4219" i="18"/>
  <c r="H4219" i="18"/>
  <c r="I4219" i="18"/>
  <c r="J4219" i="18"/>
  <c r="K4219" i="18"/>
  <c r="L4219" i="18"/>
  <c r="B4220" i="18"/>
  <c r="C4220" i="18"/>
  <c r="D4220" i="18"/>
  <c r="E4220" i="18"/>
  <c r="F4220" i="18"/>
  <c r="G4220" i="18"/>
  <c r="H4220" i="18"/>
  <c r="I4220" i="18"/>
  <c r="J4220" i="18"/>
  <c r="K4220" i="18"/>
  <c r="L4220" i="18"/>
  <c r="B4221" i="18"/>
  <c r="C4221" i="18"/>
  <c r="D4221" i="18"/>
  <c r="E4221" i="18"/>
  <c r="F4221" i="18"/>
  <c r="G4221" i="18"/>
  <c r="H4221" i="18"/>
  <c r="I4221" i="18"/>
  <c r="J4221" i="18"/>
  <c r="K4221" i="18"/>
  <c r="L4221" i="18"/>
  <c r="B4222" i="18"/>
  <c r="C4222" i="18"/>
  <c r="D4222" i="18"/>
  <c r="E4222" i="18"/>
  <c r="F4222" i="18"/>
  <c r="G4222" i="18"/>
  <c r="H4222" i="18"/>
  <c r="I4222" i="18"/>
  <c r="J4222" i="18"/>
  <c r="K4222" i="18"/>
  <c r="L4222" i="18"/>
  <c r="B4223" i="18"/>
  <c r="C4223" i="18"/>
  <c r="D4223" i="18"/>
  <c r="E4223" i="18"/>
  <c r="F4223" i="18"/>
  <c r="G4223" i="18"/>
  <c r="H4223" i="18"/>
  <c r="I4223" i="18"/>
  <c r="J4223" i="18"/>
  <c r="K4223" i="18"/>
  <c r="L4223" i="18"/>
  <c r="B4224" i="18"/>
  <c r="C4224" i="18"/>
  <c r="D4224" i="18"/>
  <c r="E4224" i="18"/>
  <c r="F4224" i="18"/>
  <c r="G4224" i="18"/>
  <c r="H4224" i="18"/>
  <c r="I4224" i="18"/>
  <c r="J4224" i="18"/>
  <c r="K4224" i="18"/>
  <c r="L4224" i="18"/>
  <c r="B4225" i="18"/>
  <c r="C4225" i="18"/>
  <c r="D4225" i="18"/>
  <c r="E4225" i="18"/>
  <c r="F4225" i="18"/>
  <c r="G4225" i="18"/>
  <c r="H4225" i="18"/>
  <c r="I4225" i="18"/>
  <c r="J4225" i="18"/>
  <c r="K4225" i="18"/>
  <c r="L4225" i="18"/>
  <c r="B4226" i="18"/>
  <c r="C4226" i="18"/>
  <c r="D4226" i="18"/>
  <c r="E4226" i="18"/>
  <c r="F4226" i="18"/>
  <c r="G4226" i="18"/>
  <c r="H4226" i="18"/>
  <c r="I4226" i="18"/>
  <c r="J4226" i="18"/>
  <c r="K4226" i="18"/>
  <c r="L4226" i="18"/>
  <c r="B4227" i="18"/>
  <c r="C4227" i="18"/>
  <c r="D4227" i="18"/>
  <c r="E4227" i="18"/>
  <c r="F4227" i="18"/>
  <c r="G4227" i="18"/>
  <c r="H4227" i="18"/>
  <c r="I4227" i="18"/>
  <c r="J4227" i="18"/>
  <c r="K4227" i="18"/>
  <c r="L4227" i="18"/>
  <c r="B4228" i="18"/>
  <c r="C4228" i="18"/>
  <c r="D4228" i="18"/>
  <c r="E4228" i="18"/>
  <c r="F4228" i="18"/>
  <c r="G4228" i="18"/>
  <c r="H4228" i="18"/>
  <c r="I4228" i="18"/>
  <c r="J4228" i="18"/>
  <c r="K4228" i="18"/>
  <c r="L4228" i="18"/>
  <c r="B4229" i="18"/>
  <c r="C4229" i="18"/>
  <c r="D4229" i="18"/>
  <c r="E4229" i="18"/>
  <c r="F4229" i="18"/>
  <c r="G4229" i="18"/>
  <c r="H4229" i="18"/>
  <c r="I4229" i="18"/>
  <c r="J4229" i="18"/>
  <c r="K4229" i="18"/>
  <c r="L4229" i="18"/>
  <c r="B4230" i="18"/>
  <c r="C4230" i="18"/>
  <c r="D4230" i="18"/>
  <c r="E4230" i="18"/>
  <c r="F4230" i="18"/>
  <c r="G4230" i="18"/>
  <c r="H4230" i="18"/>
  <c r="I4230" i="18"/>
  <c r="J4230" i="18"/>
  <c r="K4230" i="18"/>
  <c r="L4230" i="18"/>
  <c r="B4231" i="18"/>
  <c r="C4231" i="18"/>
  <c r="D4231" i="18"/>
  <c r="E4231" i="18"/>
  <c r="F4231" i="18"/>
  <c r="G4231" i="18"/>
  <c r="H4231" i="18"/>
  <c r="I4231" i="18"/>
  <c r="J4231" i="18"/>
  <c r="K4231" i="18"/>
  <c r="L4231" i="18"/>
  <c r="B4232" i="18"/>
  <c r="C4232" i="18"/>
  <c r="D4232" i="18"/>
  <c r="E4232" i="18"/>
  <c r="F4232" i="18"/>
  <c r="G4232" i="18"/>
  <c r="H4232" i="18"/>
  <c r="I4232" i="18"/>
  <c r="J4232" i="18"/>
  <c r="K4232" i="18"/>
  <c r="L4232" i="18"/>
  <c r="B4233" i="18"/>
  <c r="C4233" i="18"/>
  <c r="D4233" i="18"/>
  <c r="E4233" i="18"/>
  <c r="F4233" i="18"/>
  <c r="G4233" i="18"/>
  <c r="H4233" i="18"/>
  <c r="I4233" i="18"/>
  <c r="J4233" i="18"/>
  <c r="K4233" i="18"/>
  <c r="L4233" i="18"/>
  <c r="B4234" i="18"/>
  <c r="C4234" i="18"/>
  <c r="D4234" i="18"/>
  <c r="E4234" i="18"/>
  <c r="F4234" i="18"/>
  <c r="G4234" i="18"/>
  <c r="H4234" i="18"/>
  <c r="I4234" i="18"/>
  <c r="J4234" i="18"/>
  <c r="K4234" i="18"/>
  <c r="L4234" i="18"/>
  <c r="B4235" i="18"/>
  <c r="C4235" i="18"/>
  <c r="D4235" i="18"/>
  <c r="E4235" i="18"/>
  <c r="F4235" i="18"/>
  <c r="G4235" i="18"/>
  <c r="H4235" i="18"/>
  <c r="I4235" i="18"/>
  <c r="J4235" i="18"/>
  <c r="K4235" i="18"/>
  <c r="L4235" i="18"/>
  <c r="B4236" i="18"/>
  <c r="C4236" i="18"/>
  <c r="D4236" i="18"/>
  <c r="E4236" i="18"/>
  <c r="F4236" i="18"/>
  <c r="G4236" i="18"/>
  <c r="H4236" i="18"/>
  <c r="I4236" i="18"/>
  <c r="J4236" i="18"/>
  <c r="K4236" i="18"/>
  <c r="L4236" i="18"/>
  <c r="B4237" i="18"/>
  <c r="C4237" i="18"/>
  <c r="D4237" i="18"/>
  <c r="E4237" i="18"/>
  <c r="F4237" i="18"/>
  <c r="G4237" i="18"/>
  <c r="H4237" i="18"/>
  <c r="I4237" i="18"/>
  <c r="J4237" i="18"/>
  <c r="K4237" i="18"/>
  <c r="L4237" i="18"/>
  <c r="B4238" i="18"/>
  <c r="C4238" i="18"/>
  <c r="D4238" i="18"/>
  <c r="E4238" i="18"/>
  <c r="F4238" i="18"/>
  <c r="G4238" i="18"/>
  <c r="H4238" i="18"/>
  <c r="I4238" i="18"/>
  <c r="J4238" i="18"/>
  <c r="K4238" i="18"/>
  <c r="L4238" i="18"/>
  <c r="B4239" i="18"/>
  <c r="C4239" i="18"/>
  <c r="D4239" i="18"/>
  <c r="E4239" i="18"/>
  <c r="F4239" i="18"/>
  <c r="G4239" i="18"/>
  <c r="H4239" i="18"/>
  <c r="I4239" i="18"/>
  <c r="J4239" i="18"/>
  <c r="K4239" i="18"/>
  <c r="L4239" i="18"/>
  <c r="B4240" i="18"/>
  <c r="C4240" i="18"/>
  <c r="D4240" i="18"/>
  <c r="E4240" i="18"/>
  <c r="F4240" i="18"/>
  <c r="G4240" i="18"/>
  <c r="H4240" i="18"/>
  <c r="I4240" i="18"/>
  <c r="J4240" i="18"/>
  <c r="K4240" i="18"/>
  <c r="L4240" i="18"/>
  <c r="B4241" i="18"/>
  <c r="C4241" i="18"/>
  <c r="D4241" i="18"/>
  <c r="E4241" i="18"/>
  <c r="F4241" i="18"/>
  <c r="G4241" i="18"/>
  <c r="H4241" i="18"/>
  <c r="I4241" i="18"/>
  <c r="J4241" i="18"/>
  <c r="K4241" i="18"/>
  <c r="L4241" i="18"/>
  <c r="B4242" i="18"/>
  <c r="C4242" i="18"/>
  <c r="D4242" i="18"/>
  <c r="E4242" i="18"/>
  <c r="F4242" i="18"/>
  <c r="G4242" i="18"/>
  <c r="H4242" i="18"/>
  <c r="I4242" i="18"/>
  <c r="J4242" i="18"/>
  <c r="K4242" i="18"/>
  <c r="L4242" i="18"/>
  <c r="B4243" i="18"/>
  <c r="C4243" i="18"/>
  <c r="D4243" i="18"/>
  <c r="E4243" i="18"/>
  <c r="F4243" i="18"/>
  <c r="G4243" i="18"/>
  <c r="H4243" i="18"/>
  <c r="I4243" i="18"/>
  <c r="J4243" i="18"/>
  <c r="K4243" i="18"/>
  <c r="L4243" i="18"/>
  <c r="B4244" i="18"/>
  <c r="C4244" i="18"/>
  <c r="D4244" i="18"/>
  <c r="E4244" i="18"/>
  <c r="F4244" i="18"/>
  <c r="G4244" i="18"/>
  <c r="H4244" i="18"/>
  <c r="I4244" i="18"/>
  <c r="J4244" i="18"/>
  <c r="K4244" i="18"/>
  <c r="L4244" i="18"/>
  <c r="B4245" i="18"/>
  <c r="C4245" i="18"/>
  <c r="D4245" i="18"/>
  <c r="E4245" i="18"/>
  <c r="F4245" i="18"/>
  <c r="G4245" i="18"/>
  <c r="H4245" i="18"/>
  <c r="I4245" i="18"/>
  <c r="J4245" i="18"/>
  <c r="K4245" i="18"/>
  <c r="L4245" i="18"/>
  <c r="B4246" i="18"/>
  <c r="C4246" i="18"/>
  <c r="D4246" i="18"/>
  <c r="E4246" i="18"/>
  <c r="F4246" i="18"/>
  <c r="G4246" i="18"/>
  <c r="H4246" i="18"/>
  <c r="I4246" i="18"/>
  <c r="J4246" i="18"/>
  <c r="K4246" i="18"/>
  <c r="L4246" i="18"/>
  <c r="B4247" i="18"/>
  <c r="C4247" i="18"/>
  <c r="D4247" i="18"/>
  <c r="E4247" i="18"/>
  <c r="F4247" i="18"/>
  <c r="G4247" i="18"/>
  <c r="H4247" i="18"/>
  <c r="I4247" i="18"/>
  <c r="J4247" i="18"/>
  <c r="K4247" i="18"/>
  <c r="L4247" i="18"/>
  <c r="B4248" i="18"/>
  <c r="C4248" i="18"/>
  <c r="D4248" i="18"/>
  <c r="E4248" i="18"/>
  <c r="F4248" i="18"/>
  <c r="G4248" i="18"/>
  <c r="H4248" i="18"/>
  <c r="I4248" i="18"/>
  <c r="J4248" i="18"/>
  <c r="K4248" i="18"/>
  <c r="L4248" i="18"/>
  <c r="B4249" i="18"/>
  <c r="C4249" i="18"/>
  <c r="D4249" i="18"/>
  <c r="E4249" i="18"/>
  <c r="F4249" i="18"/>
  <c r="G4249" i="18"/>
  <c r="H4249" i="18"/>
  <c r="I4249" i="18"/>
  <c r="J4249" i="18"/>
  <c r="K4249" i="18"/>
  <c r="L4249" i="18"/>
  <c r="B4250" i="18"/>
  <c r="C4250" i="18"/>
  <c r="D4250" i="18"/>
  <c r="E4250" i="18"/>
  <c r="F4250" i="18"/>
  <c r="G4250" i="18"/>
  <c r="H4250" i="18"/>
  <c r="I4250" i="18"/>
  <c r="J4250" i="18"/>
  <c r="K4250" i="18"/>
  <c r="L4250" i="18"/>
  <c r="B4251" i="18"/>
  <c r="C4251" i="18"/>
  <c r="D4251" i="18"/>
  <c r="E4251" i="18"/>
  <c r="F4251" i="18"/>
  <c r="G4251" i="18"/>
  <c r="H4251" i="18"/>
  <c r="I4251" i="18"/>
  <c r="J4251" i="18"/>
  <c r="K4251" i="18"/>
  <c r="L4251" i="18"/>
  <c r="B4252" i="18"/>
  <c r="C4252" i="18"/>
  <c r="D4252" i="18"/>
  <c r="E4252" i="18"/>
  <c r="F4252" i="18"/>
  <c r="G4252" i="18"/>
  <c r="H4252" i="18"/>
  <c r="I4252" i="18"/>
  <c r="J4252" i="18"/>
  <c r="K4252" i="18"/>
  <c r="L4252" i="18"/>
  <c r="B4253" i="18"/>
  <c r="C4253" i="18"/>
  <c r="D4253" i="18"/>
  <c r="E4253" i="18"/>
  <c r="F4253" i="18"/>
  <c r="G4253" i="18"/>
  <c r="H4253" i="18"/>
  <c r="I4253" i="18"/>
  <c r="J4253" i="18"/>
  <c r="K4253" i="18"/>
  <c r="L4253" i="18"/>
  <c r="B4254" i="18"/>
  <c r="C4254" i="18"/>
  <c r="D4254" i="18"/>
  <c r="E4254" i="18"/>
  <c r="F4254" i="18"/>
  <c r="G4254" i="18"/>
  <c r="H4254" i="18"/>
  <c r="I4254" i="18"/>
  <c r="J4254" i="18"/>
  <c r="K4254" i="18"/>
  <c r="L4254" i="18"/>
  <c r="B4255" i="18"/>
  <c r="C4255" i="18"/>
  <c r="D4255" i="18"/>
  <c r="E4255" i="18"/>
  <c r="F4255" i="18"/>
  <c r="G4255" i="18"/>
  <c r="H4255" i="18"/>
  <c r="I4255" i="18"/>
  <c r="J4255" i="18"/>
  <c r="K4255" i="18"/>
  <c r="L4255" i="18"/>
  <c r="B4256" i="18"/>
  <c r="C4256" i="18"/>
  <c r="D4256" i="18"/>
  <c r="E4256" i="18"/>
  <c r="F4256" i="18"/>
  <c r="G4256" i="18"/>
  <c r="H4256" i="18"/>
  <c r="I4256" i="18"/>
  <c r="J4256" i="18"/>
  <c r="K4256" i="18"/>
  <c r="L4256" i="18"/>
  <c r="B4257" i="18"/>
  <c r="C4257" i="18"/>
  <c r="D4257" i="18"/>
  <c r="E4257" i="18"/>
  <c r="F4257" i="18"/>
  <c r="G4257" i="18"/>
  <c r="H4257" i="18"/>
  <c r="I4257" i="18"/>
  <c r="J4257" i="18"/>
  <c r="K4257" i="18"/>
  <c r="L4257" i="18"/>
  <c r="B4258" i="18"/>
  <c r="C4258" i="18"/>
  <c r="D4258" i="18"/>
  <c r="E4258" i="18"/>
  <c r="F4258" i="18"/>
  <c r="G4258" i="18"/>
  <c r="H4258" i="18"/>
  <c r="I4258" i="18"/>
  <c r="J4258" i="18"/>
  <c r="K4258" i="18"/>
  <c r="L4258" i="18"/>
  <c r="B4259" i="18"/>
  <c r="C4259" i="18"/>
  <c r="D4259" i="18"/>
  <c r="E4259" i="18"/>
  <c r="F4259" i="18"/>
  <c r="G4259" i="18"/>
  <c r="H4259" i="18"/>
  <c r="I4259" i="18"/>
  <c r="J4259" i="18"/>
  <c r="K4259" i="18"/>
  <c r="L4259" i="18"/>
  <c r="B4260" i="18"/>
  <c r="C4260" i="18"/>
  <c r="D4260" i="18"/>
  <c r="E4260" i="18"/>
  <c r="F4260" i="18"/>
  <c r="G4260" i="18"/>
  <c r="H4260" i="18"/>
  <c r="I4260" i="18"/>
  <c r="J4260" i="18"/>
  <c r="K4260" i="18"/>
  <c r="L4260" i="18"/>
  <c r="B4261" i="18"/>
  <c r="C4261" i="18"/>
  <c r="D4261" i="18"/>
  <c r="E4261" i="18"/>
  <c r="F4261" i="18"/>
  <c r="G4261" i="18"/>
  <c r="H4261" i="18"/>
  <c r="I4261" i="18"/>
  <c r="J4261" i="18"/>
  <c r="K4261" i="18"/>
  <c r="L4261" i="18"/>
  <c r="B4262" i="18"/>
  <c r="C4262" i="18"/>
  <c r="D4262" i="18"/>
  <c r="E4262" i="18"/>
  <c r="F4262" i="18"/>
  <c r="G4262" i="18"/>
  <c r="H4262" i="18"/>
  <c r="I4262" i="18"/>
  <c r="J4262" i="18"/>
  <c r="K4262" i="18"/>
  <c r="L4262" i="18"/>
  <c r="B4263" i="18"/>
  <c r="C4263" i="18"/>
  <c r="D4263" i="18"/>
  <c r="E4263" i="18"/>
  <c r="F4263" i="18"/>
  <c r="G4263" i="18"/>
  <c r="H4263" i="18"/>
  <c r="I4263" i="18"/>
  <c r="J4263" i="18"/>
  <c r="K4263" i="18"/>
  <c r="L4263" i="18"/>
  <c r="B4264" i="18"/>
  <c r="C4264" i="18"/>
  <c r="D4264" i="18"/>
  <c r="E4264" i="18"/>
  <c r="F4264" i="18"/>
  <c r="G4264" i="18"/>
  <c r="H4264" i="18"/>
  <c r="I4264" i="18"/>
  <c r="J4264" i="18"/>
  <c r="K4264" i="18"/>
  <c r="L4264" i="18"/>
  <c r="B4265" i="18"/>
  <c r="C4265" i="18"/>
  <c r="D4265" i="18"/>
  <c r="E4265" i="18"/>
  <c r="F4265" i="18"/>
  <c r="G4265" i="18"/>
  <c r="H4265" i="18"/>
  <c r="I4265" i="18"/>
  <c r="J4265" i="18"/>
  <c r="K4265" i="18"/>
  <c r="L4265" i="18"/>
  <c r="B4266" i="18"/>
  <c r="C4266" i="18"/>
  <c r="D4266" i="18"/>
  <c r="E4266" i="18"/>
  <c r="F4266" i="18"/>
  <c r="G4266" i="18"/>
  <c r="H4266" i="18"/>
  <c r="I4266" i="18"/>
  <c r="J4266" i="18"/>
  <c r="K4266" i="18"/>
  <c r="L4266" i="18"/>
  <c r="B4267" i="18"/>
  <c r="C4267" i="18"/>
  <c r="D4267" i="18"/>
  <c r="E4267" i="18"/>
  <c r="F4267" i="18"/>
  <c r="G4267" i="18"/>
  <c r="H4267" i="18"/>
  <c r="I4267" i="18"/>
  <c r="J4267" i="18"/>
  <c r="K4267" i="18"/>
  <c r="L4267" i="18"/>
  <c r="B4268" i="18"/>
  <c r="C4268" i="18"/>
  <c r="D4268" i="18"/>
  <c r="E4268" i="18"/>
  <c r="F4268" i="18"/>
  <c r="G4268" i="18"/>
  <c r="H4268" i="18"/>
  <c r="I4268" i="18"/>
  <c r="J4268" i="18"/>
  <c r="K4268" i="18"/>
  <c r="L4268" i="18"/>
  <c r="B4269" i="18"/>
  <c r="C4269" i="18"/>
  <c r="D4269" i="18"/>
  <c r="E4269" i="18"/>
  <c r="F4269" i="18"/>
  <c r="G4269" i="18"/>
  <c r="H4269" i="18"/>
  <c r="I4269" i="18"/>
  <c r="J4269" i="18"/>
  <c r="K4269" i="18"/>
  <c r="L4269" i="18"/>
  <c r="B4270" i="18"/>
  <c r="C4270" i="18"/>
  <c r="D4270" i="18"/>
  <c r="E4270" i="18"/>
  <c r="F4270" i="18"/>
  <c r="G4270" i="18"/>
  <c r="H4270" i="18"/>
  <c r="I4270" i="18"/>
  <c r="J4270" i="18"/>
  <c r="K4270" i="18"/>
  <c r="L4270" i="18"/>
  <c r="B4271" i="18"/>
  <c r="C4271" i="18"/>
  <c r="D4271" i="18"/>
  <c r="E4271" i="18"/>
  <c r="F4271" i="18"/>
  <c r="G4271" i="18"/>
  <c r="H4271" i="18"/>
  <c r="I4271" i="18"/>
  <c r="J4271" i="18"/>
  <c r="K4271" i="18"/>
  <c r="L4271" i="18"/>
  <c r="B4272" i="18"/>
  <c r="C4272" i="18"/>
  <c r="D4272" i="18"/>
  <c r="E4272" i="18"/>
  <c r="F4272" i="18"/>
  <c r="G4272" i="18"/>
  <c r="H4272" i="18"/>
  <c r="I4272" i="18"/>
  <c r="J4272" i="18"/>
  <c r="K4272" i="18"/>
  <c r="L4272" i="18"/>
  <c r="B4273" i="18"/>
  <c r="C4273" i="18"/>
  <c r="D4273" i="18"/>
  <c r="E4273" i="18"/>
  <c r="F4273" i="18"/>
  <c r="G4273" i="18"/>
  <c r="H4273" i="18"/>
  <c r="I4273" i="18"/>
  <c r="J4273" i="18"/>
  <c r="K4273" i="18"/>
  <c r="L4273" i="18"/>
  <c r="B4274" i="18"/>
  <c r="C4274" i="18"/>
  <c r="D4274" i="18"/>
  <c r="E4274" i="18"/>
  <c r="F4274" i="18"/>
  <c r="G4274" i="18"/>
  <c r="H4274" i="18"/>
  <c r="I4274" i="18"/>
  <c r="J4274" i="18"/>
  <c r="K4274" i="18"/>
  <c r="L4274" i="18"/>
  <c r="B4275" i="18"/>
  <c r="C4275" i="18"/>
  <c r="D4275" i="18"/>
  <c r="E4275" i="18"/>
  <c r="F4275" i="18"/>
  <c r="G4275" i="18"/>
  <c r="H4275" i="18"/>
  <c r="I4275" i="18"/>
  <c r="J4275" i="18"/>
  <c r="K4275" i="18"/>
  <c r="L4275" i="18"/>
  <c r="B4276" i="18"/>
  <c r="C4276" i="18"/>
  <c r="D4276" i="18"/>
  <c r="E4276" i="18"/>
  <c r="F4276" i="18"/>
  <c r="G4276" i="18"/>
  <c r="H4276" i="18"/>
  <c r="I4276" i="18"/>
  <c r="J4276" i="18"/>
  <c r="K4276" i="18"/>
  <c r="L4276" i="18"/>
  <c r="B4277" i="18"/>
  <c r="C4277" i="18"/>
  <c r="D4277" i="18"/>
  <c r="E4277" i="18"/>
  <c r="F4277" i="18"/>
  <c r="G4277" i="18"/>
  <c r="H4277" i="18"/>
  <c r="I4277" i="18"/>
  <c r="J4277" i="18"/>
  <c r="K4277" i="18"/>
  <c r="L4277" i="18"/>
  <c r="B4278" i="18"/>
  <c r="C4278" i="18"/>
  <c r="D4278" i="18"/>
  <c r="E4278" i="18"/>
  <c r="F4278" i="18"/>
  <c r="G4278" i="18"/>
  <c r="H4278" i="18"/>
  <c r="I4278" i="18"/>
  <c r="J4278" i="18"/>
  <c r="K4278" i="18"/>
  <c r="L4278" i="18"/>
  <c r="B4279" i="18"/>
  <c r="C4279" i="18"/>
  <c r="D4279" i="18"/>
  <c r="E4279" i="18"/>
  <c r="F4279" i="18"/>
  <c r="G4279" i="18"/>
  <c r="H4279" i="18"/>
  <c r="I4279" i="18"/>
  <c r="J4279" i="18"/>
  <c r="K4279" i="18"/>
  <c r="L4279" i="18"/>
  <c r="B4280" i="18"/>
  <c r="C4280" i="18"/>
  <c r="D4280" i="18"/>
  <c r="E4280" i="18"/>
  <c r="F4280" i="18"/>
  <c r="G4280" i="18"/>
  <c r="H4280" i="18"/>
  <c r="I4280" i="18"/>
  <c r="J4280" i="18"/>
  <c r="K4280" i="18"/>
  <c r="L4280" i="18"/>
  <c r="B4281" i="18"/>
  <c r="C4281" i="18"/>
  <c r="D4281" i="18"/>
  <c r="E4281" i="18"/>
  <c r="F4281" i="18"/>
  <c r="G4281" i="18"/>
  <c r="H4281" i="18"/>
  <c r="I4281" i="18"/>
  <c r="J4281" i="18"/>
  <c r="K4281" i="18"/>
  <c r="L4281" i="18"/>
  <c r="B4282" i="18"/>
  <c r="C4282" i="18"/>
  <c r="D4282" i="18"/>
  <c r="E4282" i="18"/>
  <c r="F4282" i="18"/>
  <c r="G4282" i="18"/>
  <c r="H4282" i="18"/>
  <c r="I4282" i="18"/>
  <c r="J4282" i="18"/>
  <c r="K4282" i="18"/>
  <c r="L4282" i="18"/>
  <c r="B4283" i="18"/>
  <c r="C4283" i="18"/>
  <c r="D4283" i="18"/>
  <c r="E4283" i="18"/>
  <c r="F4283" i="18"/>
  <c r="G4283" i="18"/>
  <c r="H4283" i="18"/>
  <c r="I4283" i="18"/>
  <c r="J4283" i="18"/>
  <c r="K4283" i="18"/>
  <c r="L4283" i="18"/>
  <c r="B4284" i="18"/>
  <c r="C4284" i="18"/>
  <c r="D4284" i="18"/>
  <c r="E4284" i="18"/>
  <c r="F4284" i="18"/>
  <c r="G4284" i="18"/>
  <c r="H4284" i="18"/>
  <c r="I4284" i="18"/>
  <c r="J4284" i="18"/>
  <c r="K4284" i="18"/>
  <c r="L4284" i="18"/>
  <c r="B4285" i="18"/>
  <c r="C4285" i="18"/>
  <c r="D4285" i="18"/>
  <c r="E4285" i="18"/>
  <c r="F4285" i="18"/>
  <c r="G4285" i="18"/>
  <c r="H4285" i="18"/>
  <c r="I4285" i="18"/>
  <c r="J4285" i="18"/>
  <c r="K4285" i="18"/>
  <c r="L4285" i="18"/>
  <c r="B4286" i="18"/>
  <c r="C4286" i="18"/>
  <c r="D4286" i="18"/>
  <c r="E4286" i="18"/>
  <c r="F4286" i="18"/>
  <c r="G4286" i="18"/>
  <c r="H4286" i="18"/>
  <c r="I4286" i="18"/>
  <c r="J4286" i="18"/>
  <c r="K4286" i="18"/>
  <c r="L4286" i="18"/>
  <c r="B4287" i="18"/>
  <c r="C4287" i="18"/>
  <c r="D4287" i="18"/>
  <c r="E4287" i="18"/>
  <c r="F4287" i="18"/>
  <c r="G4287" i="18"/>
  <c r="H4287" i="18"/>
  <c r="I4287" i="18"/>
  <c r="J4287" i="18"/>
  <c r="K4287" i="18"/>
  <c r="L4287" i="18"/>
  <c r="B4288" i="18"/>
  <c r="C4288" i="18"/>
  <c r="D4288" i="18"/>
  <c r="E4288" i="18"/>
  <c r="F4288" i="18"/>
  <c r="G4288" i="18"/>
  <c r="H4288" i="18"/>
  <c r="I4288" i="18"/>
  <c r="J4288" i="18"/>
  <c r="K4288" i="18"/>
  <c r="L4288" i="18"/>
  <c r="B4289" i="18"/>
  <c r="C4289" i="18"/>
  <c r="D4289" i="18"/>
  <c r="E4289" i="18"/>
  <c r="F4289" i="18"/>
  <c r="G4289" i="18"/>
  <c r="H4289" i="18"/>
  <c r="I4289" i="18"/>
  <c r="J4289" i="18"/>
  <c r="K4289" i="18"/>
  <c r="L4289" i="18"/>
  <c r="B4290" i="18"/>
  <c r="C4290" i="18"/>
  <c r="D4290" i="18"/>
  <c r="E4290" i="18"/>
  <c r="F4290" i="18"/>
  <c r="G4290" i="18"/>
  <c r="H4290" i="18"/>
  <c r="I4290" i="18"/>
  <c r="J4290" i="18"/>
  <c r="K4290" i="18"/>
  <c r="L4290" i="18"/>
  <c r="B4291" i="18"/>
  <c r="C4291" i="18"/>
  <c r="D4291" i="18"/>
  <c r="E4291" i="18"/>
  <c r="F4291" i="18"/>
  <c r="G4291" i="18"/>
  <c r="H4291" i="18"/>
  <c r="I4291" i="18"/>
  <c r="J4291" i="18"/>
  <c r="K4291" i="18"/>
  <c r="L4291" i="18"/>
  <c r="B4292" i="18"/>
  <c r="C4292" i="18"/>
  <c r="D4292" i="18"/>
  <c r="E4292" i="18"/>
  <c r="F4292" i="18"/>
  <c r="G4292" i="18"/>
  <c r="H4292" i="18"/>
  <c r="I4292" i="18"/>
  <c r="J4292" i="18"/>
  <c r="K4292" i="18"/>
  <c r="L4292" i="18"/>
  <c r="B4293" i="18"/>
  <c r="C4293" i="18"/>
  <c r="D4293" i="18"/>
  <c r="E4293" i="18"/>
  <c r="F4293" i="18"/>
  <c r="G4293" i="18"/>
  <c r="H4293" i="18"/>
  <c r="I4293" i="18"/>
  <c r="J4293" i="18"/>
  <c r="K4293" i="18"/>
  <c r="L4293" i="18"/>
  <c r="B4294" i="18"/>
  <c r="C4294" i="18"/>
  <c r="D4294" i="18"/>
  <c r="E4294" i="18"/>
  <c r="F4294" i="18"/>
  <c r="G4294" i="18"/>
  <c r="H4294" i="18"/>
  <c r="I4294" i="18"/>
  <c r="J4294" i="18"/>
  <c r="K4294" i="18"/>
  <c r="L4294" i="18"/>
  <c r="B4295" i="18"/>
  <c r="C4295" i="18"/>
  <c r="D4295" i="18"/>
  <c r="E4295" i="18"/>
  <c r="F4295" i="18"/>
  <c r="G4295" i="18"/>
  <c r="H4295" i="18"/>
  <c r="I4295" i="18"/>
  <c r="J4295" i="18"/>
  <c r="K4295" i="18"/>
  <c r="L4295" i="18"/>
  <c r="B4296" i="18"/>
  <c r="C4296" i="18"/>
  <c r="D4296" i="18"/>
  <c r="E4296" i="18"/>
  <c r="F4296" i="18"/>
  <c r="G4296" i="18"/>
  <c r="H4296" i="18"/>
  <c r="I4296" i="18"/>
  <c r="J4296" i="18"/>
  <c r="K4296" i="18"/>
  <c r="L4296" i="18"/>
  <c r="B4297" i="18"/>
  <c r="C4297" i="18"/>
  <c r="D4297" i="18"/>
  <c r="E4297" i="18"/>
  <c r="F4297" i="18"/>
  <c r="G4297" i="18"/>
  <c r="H4297" i="18"/>
  <c r="I4297" i="18"/>
  <c r="J4297" i="18"/>
  <c r="K4297" i="18"/>
  <c r="L4297" i="18"/>
  <c r="B4298" i="18"/>
  <c r="C4298" i="18"/>
  <c r="D4298" i="18"/>
  <c r="E4298" i="18"/>
  <c r="F4298" i="18"/>
  <c r="G4298" i="18"/>
  <c r="H4298" i="18"/>
  <c r="I4298" i="18"/>
  <c r="J4298" i="18"/>
  <c r="K4298" i="18"/>
  <c r="L4298" i="18"/>
  <c r="B4299" i="18"/>
  <c r="C4299" i="18"/>
  <c r="D4299" i="18"/>
  <c r="E4299" i="18"/>
  <c r="F4299" i="18"/>
  <c r="G4299" i="18"/>
  <c r="H4299" i="18"/>
  <c r="I4299" i="18"/>
  <c r="J4299" i="18"/>
  <c r="K4299" i="18"/>
  <c r="L4299" i="18"/>
  <c r="B4300" i="18"/>
  <c r="C4300" i="18"/>
  <c r="D4300" i="18"/>
  <c r="E4300" i="18"/>
  <c r="F4300" i="18"/>
  <c r="G4300" i="18"/>
  <c r="H4300" i="18"/>
  <c r="I4300" i="18"/>
  <c r="J4300" i="18"/>
  <c r="K4300" i="18"/>
  <c r="L4300" i="18"/>
  <c r="B4301" i="18"/>
  <c r="C4301" i="18"/>
  <c r="D4301" i="18"/>
  <c r="E4301" i="18"/>
  <c r="F4301" i="18"/>
  <c r="G4301" i="18"/>
  <c r="H4301" i="18"/>
  <c r="I4301" i="18"/>
  <c r="J4301" i="18"/>
  <c r="K4301" i="18"/>
  <c r="L4301" i="18"/>
  <c r="B4302" i="18"/>
  <c r="C4302" i="18"/>
  <c r="D4302" i="18"/>
  <c r="E4302" i="18"/>
  <c r="F4302" i="18"/>
  <c r="G4302" i="18"/>
  <c r="H4302" i="18"/>
  <c r="I4302" i="18"/>
  <c r="J4302" i="18"/>
  <c r="K4302" i="18"/>
  <c r="L4302" i="18"/>
  <c r="B4303" i="18"/>
  <c r="C4303" i="18"/>
  <c r="D4303" i="18"/>
  <c r="E4303" i="18"/>
  <c r="F4303" i="18"/>
  <c r="G4303" i="18"/>
  <c r="H4303" i="18"/>
  <c r="I4303" i="18"/>
  <c r="J4303" i="18"/>
  <c r="K4303" i="18"/>
  <c r="L4303" i="18"/>
  <c r="B4304" i="18"/>
  <c r="C4304" i="18"/>
  <c r="D4304" i="18"/>
  <c r="E4304" i="18"/>
  <c r="F4304" i="18"/>
  <c r="G4304" i="18"/>
  <c r="H4304" i="18"/>
  <c r="I4304" i="18"/>
  <c r="J4304" i="18"/>
  <c r="K4304" i="18"/>
  <c r="L4304" i="18"/>
  <c r="B4305" i="18"/>
  <c r="C4305" i="18"/>
  <c r="D4305" i="18"/>
  <c r="E4305" i="18"/>
  <c r="F4305" i="18"/>
  <c r="G4305" i="18"/>
  <c r="H4305" i="18"/>
  <c r="I4305" i="18"/>
  <c r="J4305" i="18"/>
  <c r="K4305" i="18"/>
  <c r="L4305" i="18"/>
  <c r="B4306" i="18"/>
  <c r="C4306" i="18"/>
  <c r="D4306" i="18"/>
  <c r="E4306" i="18"/>
  <c r="F4306" i="18"/>
  <c r="G4306" i="18"/>
  <c r="H4306" i="18"/>
  <c r="I4306" i="18"/>
  <c r="J4306" i="18"/>
  <c r="K4306" i="18"/>
  <c r="L4306" i="18"/>
  <c r="B4307" i="18"/>
  <c r="C4307" i="18"/>
  <c r="D4307" i="18"/>
  <c r="E4307" i="18"/>
  <c r="F4307" i="18"/>
  <c r="G4307" i="18"/>
  <c r="H4307" i="18"/>
  <c r="I4307" i="18"/>
  <c r="J4307" i="18"/>
  <c r="K4307" i="18"/>
  <c r="L4307" i="18"/>
  <c r="B4308" i="18"/>
  <c r="C4308" i="18"/>
  <c r="D4308" i="18"/>
  <c r="E4308" i="18"/>
  <c r="F4308" i="18"/>
  <c r="G4308" i="18"/>
  <c r="H4308" i="18"/>
  <c r="I4308" i="18"/>
  <c r="J4308" i="18"/>
  <c r="K4308" i="18"/>
  <c r="L4308" i="18"/>
  <c r="B4309" i="18"/>
  <c r="C4309" i="18"/>
  <c r="D4309" i="18"/>
  <c r="E4309" i="18"/>
  <c r="F4309" i="18"/>
  <c r="G4309" i="18"/>
  <c r="H4309" i="18"/>
  <c r="I4309" i="18"/>
  <c r="J4309" i="18"/>
  <c r="K4309" i="18"/>
  <c r="L4309" i="18"/>
  <c r="B4310" i="18"/>
  <c r="C4310" i="18"/>
  <c r="D4310" i="18"/>
  <c r="E4310" i="18"/>
  <c r="F4310" i="18"/>
  <c r="G4310" i="18"/>
  <c r="H4310" i="18"/>
  <c r="I4310" i="18"/>
  <c r="J4310" i="18"/>
  <c r="K4310" i="18"/>
  <c r="L4310" i="18"/>
  <c r="B4311" i="18"/>
  <c r="C4311" i="18"/>
  <c r="D4311" i="18"/>
  <c r="E4311" i="18"/>
  <c r="F4311" i="18"/>
  <c r="G4311" i="18"/>
  <c r="H4311" i="18"/>
  <c r="I4311" i="18"/>
  <c r="J4311" i="18"/>
  <c r="K4311" i="18"/>
  <c r="L4311" i="18"/>
  <c r="B4312" i="18"/>
  <c r="C4312" i="18"/>
  <c r="D4312" i="18"/>
  <c r="E4312" i="18"/>
  <c r="F4312" i="18"/>
  <c r="G4312" i="18"/>
  <c r="H4312" i="18"/>
  <c r="I4312" i="18"/>
  <c r="J4312" i="18"/>
  <c r="K4312" i="18"/>
  <c r="L4312" i="18"/>
  <c r="B4313" i="18"/>
  <c r="C4313" i="18"/>
  <c r="D4313" i="18"/>
  <c r="E4313" i="18"/>
  <c r="F4313" i="18"/>
  <c r="G4313" i="18"/>
  <c r="H4313" i="18"/>
  <c r="I4313" i="18"/>
  <c r="J4313" i="18"/>
  <c r="K4313" i="18"/>
  <c r="L4313" i="18"/>
  <c r="B4314" i="18"/>
  <c r="C4314" i="18"/>
  <c r="D4314" i="18"/>
  <c r="E4314" i="18"/>
  <c r="F4314" i="18"/>
  <c r="G4314" i="18"/>
  <c r="H4314" i="18"/>
  <c r="I4314" i="18"/>
  <c r="J4314" i="18"/>
  <c r="K4314" i="18"/>
  <c r="L4314" i="18"/>
  <c r="B4315" i="18"/>
  <c r="C4315" i="18"/>
  <c r="D4315" i="18"/>
  <c r="E4315" i="18"/>
  <c r="F4315" i="18"/>
  <c r="G4315" i="18"/>
  <c r="H4315" i="18"/>
  <c r="I4315" i="18"/>
  <c r="J4315" i="18"/>
  <c r="K4315" i="18"/>
  <c r="L4315" i="18"/>
  <c r="B4316" i="18"/>
  <c r="C4316" i="18"/>
  <c r="D4316" i="18"/>
  <c r="E4316" i="18"/>
  <c r="F4316" i="18"/>
  <c r="G4316" i="18"/>
  <c r="H4316" i="18"/>
  <c r="I4316" i="18"/>
  <c r="J4316" i="18"/>
  <c r="K4316" i="18"/>
  <c r="L4316" i="18"/>
  <c r="B4317" i="18"/>
  <c r="C4317" i="18"/>
  <c r="D4317" i="18"/>
  <c r="E4317" i="18"/>
  <c r="F4317" i="18"/>
  <c r="G4317" i="18"/>
  <c r="H4317" i="18"/>
  <c r="I4317" i="18"/>
  <c r="J4317" i="18"/>
  <c r="K4317" i="18"/>
  <c r="L4317" i="18"/>
  <c r="B4318" i="18"/>
  <c r="C4318" i="18"/>
  <c r="D4318" i="18"/>
  <c r="E4318" i="18"/>
  <c r="F4318" i="18"/>
  <c r="G4318" i="18"/>
  <c r="H4318" i="18"/>
  <c r="I4318" i="18"/>
  <c r="J4318" i="18"/>
  <c r="K4318" i="18"/>
  <c r="L4318" i="18"/>
  <c r="B4319" i="18"/>
  <c r="C4319" i="18"/>
  <c r="D4319" i="18"/>
  <c r="E4319" i="18"/>
  <c r="F4319" i="18"/>
  <c r="G4319" i="18"/>
  <c r="H4319" i="18"/>
  <c r="I4319" i="18"/>
  <c r="J4319" i="18"/>
  <c r="K4319" i="18"/>
  <c r="L4319" i="18"/>
  <c r="B4320" i="18"/>
  <c r="C4320" i="18"/>
  <c r="D4320" i="18"/>
  <c r="E4320" i="18"/>
  <c r="F4320" i="18"/>
  <c r="G4320" i="18"/>
  <c r="H4320" i="18"/>
  <c r="I4320" i="18"/>
  <c r="J4320" i="18"/>
  <c r="K4320" i="18"/>
  <c r="L4320" i="18"/>
  <c r="B4321" i="18"/>
  <c r="C4321" i="18"/>
  <c r="D4321" i="18"/>
  <c r="E4321" i="18"/>
  <c r="F4321" i="18"/>
  <c r="G4321" i="18"/>
  <c r="H4321" i="18"/>
  <c r="I4321" i="18"/>
  <c r="J4321" i="18"/>
  <c r="K4321" i="18"/>
  <c r="L4321" i="18"/>
  <c r="B4322" i="18"/>
  <c r="C4322" i="18"/>
  <c r="D4322" i="18"/>
  <c r="E4322" i="18"/>
  <c r="F4322" i="18"/>
  <c r="G4322" i="18"/>
  <c r="H4322" i="18"/>
  <c r="I4322" i="18"/>
  <c r="J4322" i="18"/>
  <c r="K4322" i="18"/>
  <c r="L4322" i="18"/>
  <c r="B4323" i="18"/>
  <c r="C4323" i="18"/>
  <c r="D4323" i="18"/>
  <c r="E4323" i="18"/>
  <c r="F4323" i="18"/>
  <c r="G4323" i="18"/>
  <c r="H4323" i="18"/>
  <c r="I4323" i="18"/>
  <c r="J4323" i="18"/>
  <c r="K4323" i="18"/>
  <c r="L4323" i="18"/>
  <c r="B4324" i="18"/>
  <c r="C4324" i="18"/>
  <c r="D4324" i="18"/>
  <c r="E4324" i="18"/>
  <c r="F4324" i="18"/>
  <c r="G4324" i="18"/>
  <c r="H4324" i="18"/>
  <c r="I4324" i="18"/>
  <c r="J4324" i="18"/>
  <c r="K4324" i="18"/>
  <c r="L4324" i="18"/>
  <c r="B4325" i="18"/>
  <c r="C4325" i="18"/>
  <c r="D4325" i="18"/>
  <c r="E4325" i="18"/>
  <c r="F4325" i="18"/>
  <c r="G4325" i="18"/>
  <c r="H4325" i="18"/>
  <c r="I4325" i="18"/>
  <c r="J4325" i="18"/>
  <c r="K4325" i="18"/>
  <c r="L4325" i="18"/>
  <c r="B4326" i="18"/>
  <c r="C4326" i="18"/>
  <c r="D4326" i="18"/>
  <c r="E4326" i="18"/>
  <c r="F4326" i="18"/>
  <c r="G4326" i="18"/>
  <c r="H4326" i="18"/>
  <c r="I4326" i="18"/>
  <c r="J4326" i="18"/>
  <c r="K4326" i="18"/>
  <c r="L4326" i="18"/>
  <c r="B4327" i="18"/>
  <c r="C4327" i="18"/>
  <c r="D4327" i="18"/>
  <c r="E4327" i="18"/>
  <c r="F4327" i="18"/>
  <c r="G4327" i="18"/>
  <c r="H4327" i="18"/>
  <c r="I4327" i="18"/>
  <c r="J4327" i="18"/>
  <c r="K4327" i="18"/>
  <c r="L4327" i="18"/>
  <c r="B4328" i="18"/>
  <c r="C4328" i="18"/>
  <c r="D4328" i="18"/>
  <c r="E4328" i="18"/>
  <c r="F4328" i="18"/>
  <c r="G4328" i="18"/>
  <c r="H4328" i="18"/>
  <c r="I4328" i="18"/>
  <c r="J4328" i="18"/>
  <c r="K4328" i="18"/>
  <c r="L4328" i="18"/>
  <c r="B4329" i="18"/>
  <c r="C4329" i="18"/>
  <c r="D4329" i="18"/>
  <c r="E4329" i="18"/>
  <c r="F4329" i="18"/>
  <c r="G4329" i="18"/>
  <c r="H4329" i="18"/>
  <c r="I4329" i="18"/>
  <c r="J4329" i="18"/>
  <c r="K4329" i="18"/>
  <c r="L4329" i="18"/>
  <c r="B4330" i="18"/>
  <c r="C4330" i="18"/>
  <c r="D4330" i="18"/>
  <c r="E4330" i="18"/>
  <c r="F4330" i="18"/>
  <c r="G4330" i="18"/>
  <c r="H4330" i="18"/>
  <c r="I4330" i="18"/>
  <c r="J4330" i="18"/>
  <c r="K4330" i="18"/>
  <c r="L4330" i="18"/>
  <c r="B4331" i="18"/>
  <c r="C4331" i="18"/>
  <c r="D4331" i="18"/>
  <c r="E4331" i="18"/>
  <c r="F4331" i="18"/>
  <c r="G4331" i="18"/>
  <c r="H4331" i="18"/>
  <c r="I4331" i="18"/>
  <c r="J4331" i="18"/>
  <c r="K4331" i="18"/>
  <c r="L4331" i="18"/>
  <c r="B4332" i="18"/>
  <c r="C4332" i="18"/>
  <c r="D4332" i="18"/>
  <c r="E4332" i="18"/>
  <c r="F4332" i="18"/>
  <c r="G4332" i="18"/>
  <c r="H4332" i="18"/>
  <c r="I4332" i="18"/>
  <c r="J4332" i="18"/>
  <c r="K4332" i="18"/>
  <c r="L4332" i="18"/>
  <c r="B4333" i="18"/>
  <c r="C4333" i="18"/>
  <c r="D4333" i="18"/>
  <c r="E4333" i="18"/>
  <c r="F4333" i="18"/>
  <c r="G4333" i="18"/>
  <c r="H4333" i="18"/>
  <c r="I4333" i="18"/>
  <c r="J4333" i="18"/>
  <c r="K4333" i="18"/>
  <c r="L4333" i="18"/>
  <c r="B4334" i="18"/>
  <c r="C4334" i="18"/>
  <c r="D4334" i="18"/>
  <c r="E4334" i="18"/>
  <c r="F4334" i="18"/>
  <c r="G4334" i="18"/>
  <c r="H4334" i="18"/>
  <c r="I4334" i="18"/>
  <c r="J4334" i="18"/>
  <c r="K4334" i="18"/>
  <c r="L4334" i="18"/>
  <c r="B4335" i="18"/>
  <c r="C4335" i="18"/>
  <c r="D4335" i="18"/>
  <c r="E4335" i="18"/>
  <c r="F4335" i="18"/>
  <c r="G4335" i="18"/>
  <c r="H4335" i="18"/>
  <c r="I4335" i="18"/>
  <c r="J4335" i="18"/>
  <c r="K4335" i="18"/>
  <c r="L4335" i="18"/>
  <c r="B4336" i="18"/>
  <c r="C4336" i="18"/>
  <c r="D4336" i="18"/>
  <c r="E4336" i="18"/>
  <c r="F4336" i="18"/>
  <c r="G4336" i="18"/>
  <c r="H4336" i="18"/>
  <c r="I4336" i="18"/>
  <c r="J4336" i="18"/>
  <c r="K4336" i="18"/>
  <c r="L4336" i="18"/>
  <c r="B4337" i="18"/>
  <c r="C4337" i="18"/>
  <c r="D4337" i="18"/>
  <c r="E4337" i="18"/>
  <c r="F4337" i="18"/>
  <c r="G4337" i="18"/>
  <c r="H4337" i="18"/>
  <c r="I4337" i="18"/>
  <c r="J4337" i="18"/>
  <c r="K4337" i="18"/>
  <c r="L4337" i="18"/>
  <c r="B4338" i="18"/>
  <c r="C4338" i="18"/>
  <c r="D4338" i="18"/>
  <c r="E4338" i="18"/>
  <c r="F4338" i="18"/>
  <c r="G4338" i="18"/>
  <c r="H4338" i="18"/>
  <c r="I4338" i="18"/>
  <c r="J4338" i="18"/>
  <c r="K4338" i="18"/>
  <c r="L4338" i="18"/>
  <c r="B4339" i="18"/>
  <c r="C4339" i="18"/>
  <c r="D4339" i="18"/>
  <c r="E4339" i="18"/>
  <c r="F4339" i="18"/>
  <c r="G4339" i="18"/>
  <c r="H4339" i="18"/>
  <c r="I4339" i="18"/>
  <c r="J4339" i="18"/>
  <c r="K4339" i="18"/>
  <c r="L4339" i="18"/>
  <c r="B4340" i="18"/>
  <c r="C4340" i="18"/>
  <c r="D4340" i="18"/>
  <c r="E4340" i="18"/>
  <c r="F4340" i="18"/>
  <c r="G4340" i="18"/>
  <c r="H4340" i="18"/>
  <c r="I4340" i="18"/>
  <c r="J4340" i="18"/>
  <c r="K4340" i="18"/>
  <c r="L4340" i="18"/>
  <c r="B4341" i="18"/>
  <c r="C4341" i="18"/>
  <c r="D4341" i="18"/>
  <c r="E4341" i="18"/>
  <c r="F4341" i="18"/>
  <c r="G4341" i="18"/>
  <c r="H4341" i="18"/>
  <c r="I4341" i="18"/>
  <c r="J4341" i="18"/>
  <c r="K4341" i="18"/>
  <c r="L4341" i="18"/>
  <c r="B4342" i="18"/>
  <c r="C4342" i="18"/>
  <c r="D4342" i="18"/>
  <c r="E4342" i="18"/>
  <c r="F4342" i="18"/>
  <c r="G4342" i="18"/>
  <c r="H4342" i="18"/>
  <c r="I4342" i="18"/>
  <c r="J4342" i="18"/>
  <c r="K4342" i="18"/>
  <c r="L4342" i="18"/>
  <c r="B4343" i="18"/>
  <c r="C4343" i="18"/>
  <c r="D4343" i="18"/>
  <c r="E4343" i="18"/>
  <c r="F4343" i="18"/>
  <c r="G4343" i="18"/>
  <c r="H4343" i="18"/>
  <c r="I4343" i="18"/>
  <c r="J4343" i="18"/>
  <c r="K4343" i="18"/>
  <c r="L4343" i="18"/>
  <c r="B4344" i="18"/>
  <c r="C4344" i="18"/>
  <c r="D4344" i="18"/>
  <c r="E4344" i="18"/>
  <c r="F4344" i="18"/>
  <c r="G4344" i="18"/>
  <c r="H4344" i="18"/>
  <c r="I4344" i="18"/>
  <c r="J4344" i="18"/>
  <c r="K4344" i="18"/>
  <c r="L4344" i="18"/>
  <c r="B4345" i="18"/>
  <c r="C4345" i="18"/>
  <c r="D4345" i="18"/>
  <c r="E4345" i="18"/>
  <c r="F4345" i="18"/>
  <c r="G4345" i="18"/>
  <c r="H4345" i="18"/>
  <c r="I4345" i="18"/>
  <c r="J4345" i="18"/>
  <c r="K4345" i="18"/>
  <c r="L4345" i="18"/>
  <c r="B4346" i="18"/>
  <c r="C4346" i="18"/>
  <c r="D4346" i="18"/>
  <c r="E4346" i="18"/>
  <c r="F4346" i="18"/>
  <c r="G4346" i="18"/>
  <c r="H4346" i="18"/>
  <c r="I4346" i="18"/>
  <c r="J4346" i="18"/>
  <c r="K4346" i="18"/>
  <c r="L4346" i="18"/>
  <c r="B4347" i="18"/>
  <c r="C4347" i="18"/>
  <c r="D4347" i="18"/>
  <c r="E4347" i="18"/>
  <c r="F4347" i="18"/>
  <c r="G4347" i="18"/>
  <c r="H4347" i="18"/>
  <c r="I4347" i="18"/>
  <c r="J4347" i="18"/>
  <c r="K4347" i="18"/>
  <c r="L4347" i="18"/>
  <c r="B4348" i="18"/>
  <c r="C4348" i="18"/>
  <c r="D4348" i="18"/>
  <c r="E4348" i="18"/>
  <c r="F4348" i="18"/>
  <c r="G4348" i="18"/>
  <c r="H4348" i="18"/>
  <c r="I4348" i="18"/>
  <c r="J4348" i="18"/>
  <c r="K4348" i="18"/>
  <c r="L4348" i="18"/>
  <c r="B4349" i="18"/>
  <c r="C4349" i="18"/>
  <c r="D4349" i="18"/>
  <c r="E4349" i="18"/>
  <c r="F4349" i="18"/>
  <c r="G4349" i="18"/>
  <c r="H4349" i="18"/>
  <c r="I4349" i="18"/>
  <c r="J4349" i="18"/>
  <c r="K4349" i="18"/>
  <c r="L4349" i="18"/>
  <c r="B4350" i="18"/>
  <c r="C4350" i="18"/>
  <c r="D4350" i="18"/>
  <c r="E4350" i="18"/>
  <c r="F4350" i="18"/>
  <c r="G4350" i="18"/>
  <c r="H4350" i="18"/>
  <c r="I4350" i="18"/>
  <c r="J4350" i="18"/>
  <c r="K4350" i="18"/>
  <c r="L4350" i="18"/>
  <c r="B4351" i="18"/>
  <c r="C4351" i="18"/>
  <c r="D4351" i="18"/>
  <c r="E4351" i="18"/>
  <c r="F4351" i="18"/>
  <c r="G4351" i="18"/>
  <c r="H4351" i="18"/>
  <c r="I4351" i="18"/>
  <c r="J4351" i="18"/>
  <c r="K4351" i="18"/>
  <c r="L4351" i="18"/>
  <c r="B4352" i="18"/>
  <c r="C4352" i="18"/>
  <c r="D4352" i="18"/>
  <c r="E4352" i="18"/>
  <c r="F4352" i="18"/>
  <c r="G4352" i="18"/>
  <c r="H4352" i="18"/>
  <c r="I4352" i="18"/>
  <c r="J4352" i="18"/>
  <c r="K4352" i="18"/>
  <c r="L4352" i="18"/>
  <c r="B4353" i="18"/>
  <c r="C4353" i="18"/>
  <c r="D4353" i="18"/>
  <c r="E4353" i="18"/>
  <c r="F4353" i="18"/>
  <c r="G4353" i="18"/>
  <c r="H4353" i="18"/>
  <c r="I4353" i="18"/>
  <c r="J4353" i="18"/>
  <c r="K4353" i="18"/>
  <c r="L4353" i="18"/>
  <c r="B4354" i="18"/>
  <c r="C4354" i="18"/>
  <c r="D4354" i="18"/>
  <c r="E4354" i="18"/>
  <c r="F4354" i="18"/>
  <c r="G4354" i="18"/>
  <c r="H4354" i="18"/>
  <c r="I4354" i="18"/>
  <c r="J4354" i="18"/>
  <c r="K4354" i="18"/>
  <c r="L4354" i="18"/>
  <c r="B4355" i="18"/>
  <c r="C4355" i="18"/>
  <c r="D4355" i="18"/>
  <c r="E4355" i="18"/>
  <c r="F4355" i="18"/>
  <c r="G4355" i="18"/>
  <c r="H4355" i="18"/>
  <c r="I4355" i="18"/>
  <c r="J4355" i="18"/>
  <c r="K4355" i="18"/>
  <c r="L4355" i="18"/>
  <c r="B4356" i="18"/>
  <c r="C4356" i="18"/>
  <c r="D4356" i="18"/>
  <c r="E4356" i="18"/>
  <c r="F4356" i="18"/>
  <c r="G4356" i="18"/>
  <c r="H4356" i="18"/>
  <c r="I4356" i="18"/>
  <c r="J4356" i="18"/>
  <c r="K4356" i="18"/>
  <c r="L4356" i="18"/>
  <c r="B4357" i="18"/>
  <c r="C4357" i="18"/>
  <c r="D4357" i="18"/>
  <c r="E4357" i="18"/>
  <c r="F4357" i="18"/>
  <c r="G4357" i="18"/>
  <c r="H4357" i="18"/>
  <c r="I4357" i="18"/>
  <c r="J4357" i="18"/>
  <c r="K4357" i="18"/>
  <c r="L4357" i="18"/>
  <c r="B4358" i="18"/>
  <c r="C4358" i="18"/>
  <c r="D4358" i="18"/>
  <c r="E4358" i="18"/>
  <c r="F4358" i="18"/>
  <c r="G4358" i="18"/>
  <c r="H4358" i="18"/>
  <c r="I4358" i="18"/>
  <c r="J4358" i="18"/>
  <c r="K4358" i="18"/>
  <c r="L4358" i="18"/>
  <c r="B4359" i="18"/>
  <c r="C4359" i="18"/>
  <c r="D4359" i="18"/>
  <c r="E4359" i="18"/>
  <c r="F4359" i="18"/>
  <c r="G4359" i="18"/>
  <c r="H4359" i="18"/>
  <c r="I4359" i="18"/>
  <c r="J4359" i="18"/>
  <c r="K4359" i="18"/>
  <c r="L4359" i="18"/>
  <c r="B4360" i="18"/>
  <c r="C4360" i="18"/>
  <c r="D4360" i="18"/>
  <c r="E4360" i="18"/>
  <c r="F4360" i="18"/>
  <c r="G4360" i="18"/>
  <c r="H4360" i="18"/>
  <c r="I4360" i="18"/>
  <c r="J4360" i="18"/>
  <c r="K4360" i="18"/>
  <c r="L4360" i="18"/>
  <c r="B4361" i="18"/>
  <c r="C4361" i="18"/>
  <c r="D4361" i="18"/>
  <c r="E4361" i="18"/>
  <c r="F4361" i="18"/>
  <c r="G4361" i="18"/>
  <c r="H4361" i="18"/>
  <c r="I4361" i="18"/>
  <c r="J4361" i="18"/>
  <c r="K4361" i="18"/>
  <c r="L4361" i="18"/>
  <c r="B4362" i="18"/>
  <c r="C4362" i="18"/>
  <c r="D4362" i="18"/>
  <c r="E4362" i="18"/>
  <c r="F4362" i="18"/>
  <c r="G4362" i="18"/>
  <c r="H4362" i="18"/>
  <c r="I4362" i="18"/>
  <c r="J4362" i="18"/>
  <c r="K4362" i="18"/>
  <c r="L4362" i="18"/>
  <c r="B4363" i="18"/>
  <c r="C4363" i="18"/>
  <c r="D4363" i="18"/>
  <c r="E4363" i="18"/>
  <c r="F4363" i="18"/>
  <c r="G4363" i="18"/>
  <c r="H4363" i="18"/>
  <c r="I4363" i="18"/>
  <c r="J4363" i="18"/>
  <c r="K4363" i="18"/>
  <c r="L4363" i="18"/>
  <c r="B4364" i="18"/>
  <c r="C4364" i="18"/>
  <c r="D4364" i="18"/>
  <c r="E4364" i="18"/>
  <c r="F4364" i="18"/>
  <c r="G4364" i="18"/>
  <c r="H4364" i="18"/>
  <c r="I4364" i="18"/>
  <c r="J4364" i="18"/>
  <c r="K4364" i="18"/>
  <c r="L4364" i="18"/>
  <c r="B4365" i="18"/>
  <c r="C4365" i="18"/>
  <c r="D4365" i="18"/>
  <c r="E4365" i="18"/>
  <c r="F4365" i="18"/>
  <c r="G4365" i="18"/>
  <c r="H4365" i="18"/>
  <c r="I4365" i="18"/>
  <c r="J4365" i="18"/>
  <c r="K4365" i="18"/>
  <c r="L4365" i="18"/>
  <c r="B4366" i="18"/>
  <c r="C4366" i="18"/>
  <c r="D4366" i="18"/>
  <c r="E4366" i="18"/>
  <c r="F4366" i="18"/>
  <c r="G4366" i="18"/>
  <c r="H4366" i="18"/>
  <c r="I4366" i="18"/>
  <c r="J4366" i="18"/>
  <c r="K4366" i="18"/>
  <c r="L4366" i="18"/>
  <c r="B4367" i="18"/>
  <c r="C4367" i="18"/>
  <c r="D4367" i="18"/>
  <c r="E4367" i="18"/>
  <c r="F4367" i="18"/>
  <c r="G4367" i="18"/>
  <c r="H4367" i="18"/>
  <c r="I4367" i="18"/>
  <c r="J4367" i="18"/>
  <c r="K4367" i="18"/>
  <c r="L4367" i="18"/>
  <c r="B4368" i="18"/>
  <c r="C4368" i="18"/>
  <c r="D4368" i="18"/>
  <c r="E4368" i="18"/>
  <c r="F4368" i="18"/>
  <c r="G4368" i="18"/>
  <c r="H4368" i="18"/>
  <c r="I4368" i="18"/>
  <c r="J4368" i="18"/>
  <c r="K4368" i="18"/>
  <c r="L4368" i="18"/>
  <c r="B4369" i="18"/>
  <c r="C4369" i="18"/>
  <c r="D4369" i="18"/>
  <c r="E4369" i="18"/>
  <c r="F4369" i="18"/>
  <c r="G4369" i="18"/>
  <c r="H4369" i="18"/>
  <c r="I4369" i="18"/>
  <c r="J4369" i="18"/>
  <c r="K4369" i="18"/>
  <c r="L4369" i="18"/>
  <c r="B4370" i="18"/>
  <c r="C4370" i="18"/>
  <c r="D4370" i="18"/>
  <c r="E4370" i="18"/>
  <c r="F4370" i="18"/>
  <c r="G4370" i="18"/>
  <c r="H4370" i="18"/>
  <c r="I4370" i="18"/>
  <c r="J4370" i="18"/>
  <c r="K4370" i="18"/>
  <c r="L4370" i="18"/>
  <c r="B4371" i="18"/>
  <c r="C4371" i="18"/>
  <c r="D4371" i="18"/>
  <c r="E4371" i="18"/>
  <c r="F4371" i="18"/>
  <c r="G4371" i="18"/>
  <c r="H4371" i="18"/>
  <c r="I4371" i="18"/>
  <c r="J4371" i="18"/>
  <c r="K4371" i="18"/>
  <c r="L4371" i="18"/>
  <c r="B4372" i="18"/>
  <c r="C4372" i="18"/>
  <c r="D4372" i="18"/>
  <c r="E4372" i="18"/>
  <c r="F4372" i="18"/>
  <c r="G4372" i="18"/>
  <c r="H4372" i="18"/>
  <c r="I4372" i="18"/>
  <c r="J4372" i="18"/>
  <c r="K4372" i="18"/>
  <c r="L4372" i="18"/>
  <c r="B4373" i="18"/>
  <c r="C4373" i="18"/>
  <c r="D4373" i="18"/>
  <c r="E4373" i="18"/>
  <c r="F4373" i="18"/>
  <c r="G4373" i="18"/>
  <c r="H4373" i="18"/>
  <c r="I4373" i="18"/>
  <c r="J4373" i="18"/>
  <c r="K4373" i="18"/>
  <c r="L4373" i="18"/>
  <c r="B4374" i="18"/>
  <c r="C4374" i="18"/>
  <c r="D4374" i="18"/>
  <c r="E4374" i="18"/>
  <c r="F4374" i="18"/>
  <c r="G4374" i="18"/>
  <c r="H4374" i="18"/>
  <c r="I4374" i="18"/>
  <c r="J4374" i="18"/>
  <c r="K4374" i="18"/>
  <c r="L4374" i="18"/>
  <c r="B4375" i="18"/>
  <c r="C4375" i="18"/>
  <c r="D4375" i="18"/>
  <c r="E4375" i="18"/>
  <c r="F4375" i="18"/>
  <c r="G4375" i="18"/>
  <c r="H4375" i="18"/>
  <c r="I4375" i="18"/>
  <c r="J4375" i="18"/>
  <c r="K4375" i="18"/>
  <c r="L4375" i="18"/>
  <c r="B4376" i="18"/>
  <c r="C4376" i="18"/>
  <c r="D4376" i="18"/>
  <c r="E4376" i="18"/>
  <c r="F4376" i="18"/>
  <c r="G4376" i="18"/>
  <c r="H4376" i="18"/>
  <c r="I4376" i="18"/>
  <c r="J4376" i="18"/>
  <c r="K4376" i="18"/>
  <c r="L4376" i="18"/>
  <c r="B4377" i="18"/>
  <c r="C4377" i="18"/>
  <c r="D4377" i="18"/>
  <c r="E4377" i="18"/>
  <c r="F4377" i="18"/>
  <c r="G4377" i="18"/>
  <c r="H4377" i="18"/>
  <c r="I4377" i="18"/>
  <c r="J4377" i="18"/>
  <c r="K4377" i="18"/>
  <c r="L4377" i="18"/>
  <c r="B4378" i="18"/>
  <c r="C4378" i="18"/>
  <c r="D4378" i="18"/>
  <c r="E4378" i="18"/>
  <c r="F4378" i="18"/>
  <c r="G4378" i="18"/>
  <c r="H4378" i="18"/>
  <c r="I4378" i="18"/>
  <c r="J4378" i="18"/>
  <c r="K4378" i="18"/>
  <c r="L4378" i="18"/>
  <c r="B4379" i="18"/>
  <c r="C4379" i="18"/>
  <c r="D4379" i="18"/>
  <c r="E4379" i="18"/>
  <c r="F4379" i="18"/>
  <c r="G4379" i="18"/>
  <c r="H4379" i="18"/>
  <c r="I4379" i="18"/>
  <c r="J4379" i="18"/>
  <c r="K4379" i="18"/>
  <c r="L4379" i="18"/>
  <c r="B4380" i="18"/>
  <c r="C4380" i="18"/>
  <c r="D4380" i="18"/>
  <c r="E4380" i="18"/>
  <c r="F4380" i="18"/>
  <c r="G4380" i="18"/>
  <c r="H4380" i="18"/>
  <c r="I4380" i="18"/>
  <c r="J4380" i="18"/>
  <c r="K4380" i="18"/>
  <c r="L4380" i="18"/>
  <c r="B4381" i="18"/>
  <c r="C4381" i="18"/>
  <c r="D4381" i="18"/>
  <c r="E4381" i="18"/>
  <c r="F4381" i="18"/>
  <c r="G4381" i="18"/>
  <c r="H4381" i="18"/>
  <c r="I4381" i="18"/>
  <c r="J4381" i="18"/>
  <c r="K4381" i="18"/>
  <c r="L4381" i="18"/>
  <c r="B4382" i="18"/>
  <c r="C4382" i="18"/>
  <c r="D4382" i="18"/>
  <c r="E4382" i="18"/>
  <c r="F4382" i="18"/>
  <c r="G4382" i="18"/>
  <c r="H4382" i="18"/>
  <c r="I4382" i="18"/>
  <c r="J4382" i="18"/>
  <c r="K4382" i="18"/>
  <c r="L4382" i="18"/>
  <c r="B4383" i="18"/>
  <c r="C4383" i="18"/>
  <c r="D4383" i="18"/>
  <c r="E4383" i="18"/>
  <c r="F4383" i="18"/>
  <c r="G4383" i="18"/>
  <c r="H4383" i="18"/>
  <c r="I4383" i="18"/>
  <c r="J4383" i="18"/>
  <c r="K4383" i="18"/>
  <c r="L4383" i="18"/>
  <c r="B4384" i="18"/>
  <c r="C4384" i="18"/>
  <c r="D4384" i="18"/>
  <c r="E4384" i="18"/>
  <c r="F4384" i="18"/>
  <c r="G4384" i="18"/>
  <c r="H4384" i="18"/>
  <c r="I4384" i="18"/>
  <c r="J4384" i="18"/>
  <c r="K4384" i="18"/>
  <c r="L4384" i="18"/>
  <c r="B4385" i="18"/>
  <c r="C4385" i="18"/>
  <c r="D4385" i="18"/>
  <c r="E4385" i="18"/>
  <c r="F4385" i="18"/>
  <c r="G4385" i="18"/>
  <c r="H4385" i="18"/>
  <c r="I4385" i="18"/>
  <c r="J4385" i="18"/>
  <c r="K4385" i="18"/>
  <c r="L4385" i="18"/>
  <c r="B4386" i="18"/>
  <c r="C4386" i="18"/>
  <c r="D4386" i="18"/>
  <c r="E4386" i="18"/>
  <c r="F4386" i="18"/>
  <c r="G4386" i="18"/>
  <c r="H4386" i="18"/>
  <c r="I4386" i="18"/>
  <c r="J4386" i="18"/>
  <c r="K4386" i="18"/>
  <c r="L4386" i="18"/>
  <c r="B4387" i="18"/>
  <c r="C4387" i="18"/>
  <c r="D4387" i="18"/>
  <c r="E4387" i="18"/>
  <c r="F4387" i="18"/>
  <c r="G4387" i="18"/>
  <c r="H4387" i="18"/>
  <c r="I4387" i="18"/>
  <c r="J4387" i="18"/>
  <c r="K4387" i="18"/>
  <c r="L4387" i="18"/>
  <c r="B4388" i="18"/>
  <c r="C4388" i="18"/>
  <c r="D4388" i="18"/>
  <c r="E4388" i="18"/>
  <c r="F4388" i="18"/>
  <c r="G4388" i="18"/>
  <c r="H4388" i="18"/>
  <c r="I4388" i="18"/>
  <c r="J4388" i="18"/>
  <c r="K4388" i="18"/>
  <c r="L4388" i="18"/>
  <c r="B4389" i="18"/>
  <c r="C4389" i="18"/>
  <c r="D4389" i="18"/>
  <c r="E4389" i="18"/>
  <c r="F4389" i="18"/>
  <c r="G4389" i="18"/>
  <c r="H4389" i="18"/>
  <c r="I4389" i="18"/>
  <c r="J4389" i="18"/>
  <c r="K4389" i="18"/>
  <c r="L4389" i="18"/>
  <c r="B4390" i="18"/>
  <c r="C4390" i="18"/>
  <c r="D4390" i="18"/>
  <c r="E4390" i="18"/>
  <c r="F4390" i="18"/>
  <c r="G4390" i="18"/>
  <c r="H4390" i="18"/>
  <c r="I4390" i="18"/>
  <c r="J4390" i="18"/>
  <c r="K4390" i="18"/>
  <c r="L4390" i="18"/>
  <c r="B4391" i="18"/>
  <c r="C4391" i="18"/>
  <c r="D4391" i="18"/>
  <c r="E4391" i="18"/>
  <c r="F4391" i="18"/>
  <c r="G4391" i="18"/>
  <c r="H4391" i="18"/>
  <c r="I4391" i="18"/>
  <c r="J4391" i="18"/>
  <c r="K4391" i="18"/>
  <c r="L4391" i="18"/>
  <c r="B4392" i="18"/>
  <c r="C4392" i="18"/>
  <c r="D4392" i="18"/>
  <c r="E4392" i="18"/>
  <c r="F4392" i="18"/>
  <c r="G4392" i="18"/>
  <c r="H4392" i="18"/>
  <c r="I4392" i="18"/>
  <c r="J4392" i="18"/>
  <c r="K4392" i="18"/>
  <c r="L4392" i="18"/>
  <c r="B4393" i="18"/>
  <c r="C4393" i="18"/>
  <c r="D4393" i="18"/>
  <c r="E4393" i="18"/>
  <c r="F4393" i="18"/>
  <c r="G4393" i="18"/>
  <c r="H4393" i="18"/>
  <c r="I4393" i="18"/>
  <c r="J4393" i="18"/>
  <c r="K4393" i="18"/>
  <c r="L4393" i="18"/>
  <c r="B4394" i="18"/>
  <c r="C4394" i="18"/>
  <c r="D4394" i="18"/>
  <c r="E4394" i="18"/>
  <c r="F4394" i="18"/>
  <c r="G4394" i="18"/>
  <c r="H4394" i="18"/>
  <c r="I4394" i="18"/>
  <c r="J4394" i="18"/>
  <c r="K4394" i="18"/>
  <c r="L4394" i="18"/>
  <c r="B4395" i="18"/>
  <c r="C4395" i="18"/>
  <c r="D4395" i="18"/>
  <c r="E4395" i="18"/>
  <c r="F4395" i="18"/>
  <c r="G4395" i="18"/>
  <c r="H4395" i="18"/>
  <c r="I4395" i="18"/>
  <c r="J4395" i="18"/>
  <c r="K4395" i="18"/>
  <c r="L4395" i="18"/>
  <c r="B4396" i="18"/>
  <c r="C4396" i="18"/>
  <c r="D4396" i="18"/>
  <c r="E4396" i="18"/>
  <c r="F4396" i="18"/>
  <c r="G4396" i="18"/>
  <c r="H4396" i="18"/>
  <c r="I4396" i="18"/>
  <c r="J4396" i="18"/>
  <c r="K4396" i="18"/>
  <c r="L4396" i="18"/>
  <c r="B4397" i="18"/>
  <c r="C4397" i="18"/>
  <c r="D4397" i="18"/>
  <c r="E4397" i="18"/>
  <c r="F4397" i="18"/>
  <c r="G4397" i="18"/>
  <c r="H4397" i="18"/>
  <c r="I4397" i="18"/>
  <c r="J4397" i="18"/>
  <c r="K4397" i="18"/>
  <c r="L4397" i="18"/>
  <c r="B4398" i="18"/>
  <c r="C4398" i="18"/>
  <c r="D4398" i="18"/>
  <c r="E4398" i="18"/>
  <c r="F4398" i="18"/>
  <c r="G4398" i="18"/>
  <c r="H4398" i="18"/>
  <c r="I4398" i="18"/>
  <c r="J4398" i="18"/>
  <c r="K4398" i="18"/>
  <c r="L4398" i="18"/>
  <c r="B4399" i="18"/>
  <c r="C4399" i="18"/>
  <c r="D4399" i="18"/>
  <c r="E4399" i="18"/>
  <c r="F4399" i="18"/>
  <c r="G4399" i="18"/>
  <c r="H4399" i="18"/>
  <c r="I4399" i="18"/>
  <c r="J4399" i="18"/>
  <c r="K4399" i="18"/>
  <c r="L4399" i="18"/>
  <c r="B4400" i="18"/>
  <c r="C4400" i="18"/>
  <c r="D4400" i="18"/>
  <c r="E4400" i="18"/>
  <c r="F4400" i="18"/>
  <c r="G4400" i="18"/>
  <c r="H4400" i="18"/>
  <c r="I4400" i="18"/>
  <c r="J4400" i="18"/>
  <c r="K4400" i="18"/>
  <c r="L4400" i="18"/>
  <c r="B4401" i="18"/>
  <c r="C4401" i="18"/>
  <c r="D4401" i="18"/>
  <c r="E4401" i="18"/>
  <c r="F4401" i="18"/>
  <c r="G4401" i="18"/>
  <c r="H4401" i="18"/>
  <c r="I4401" i="18"/>
  <c r="J4401" i="18"/>
  <c r="K4401" i="18"/>
  <c r="L4401" i="18"/>
  <c r="B4402" i="18"/>
  <c r="C4402" i="18"/>
  <c r="D4402" i="18"/>
  <c r="E4402" i="18"/>
  <c r="F4402" i="18"/>
  <c r="G4402" i="18"/>
  <c r="H4402" i="18"/>
  <c r="I4402" i="18"/>
  <c r="J4402" i="18"/>
  <c r="K4402" i="18"/>
  <c r="L4402" i="18"/>
  <c r="B4403" i="18"/>
  <c r="C4403" i="18"/>
  <c r="D4403" i="18"/>
  <c r="E4403" i="18"/>
  <c r="F4403" i="18"/>
  <c r="G4403" i="18"/>
  <c r="H4403" i="18"/>
  <c r="I4403" i="18"/>
  <c r="J4403" i="18"/>
  <c r="K4403" i="18"/>
  <c r="L4403" i="18"/>
  <c r="B4404" i="18"/>
  <c r="C4404" i="18"/>
  <c r="D4404" i="18"/>
  <c r="E4404" i="18"/>
  <c r="F4404" i="18"/>
  <c r="G4404" i="18"/>
  <c r="H4404" i="18"/>
  <c r="I4404" i="18"/>
  <c r="J4404" i="18"/>
  <c r="K4404" i="18"/>
  <c r="L4404" i="18"/>
  <c r="B4405" i="18"/>
  <c r="C4405" i="18"/>
  <c r="D4405" i="18"/>
  <c r="E4405" i="18"/>
  <c r="F4405" i="18"/>
  <c r="G4405" i="18"/>
  <c r="H4405" i="18"/>
  <c r="I4405" i="18"/>
  <c r="J4405" i="18"/>
  <c r="K4405" i="18"/>
  <c r="L4405" i="18"/>
  <c r="B4406" i="18"/>
  <c r="C4406" i="18"/>
  <c r="D4406" i="18"/>
  <c r="E4406" i="18"/>
  <c r="F4406" i="18"/>
  <c r="G4406" i="18"/>
  <c r="H4406" i="18"/>
  <c r="I4406" i="18"/>
  <c r="J4406" i="18"/>
  <c r="K4406" i="18"/>
  <c r="L4406" i="18"/>
  <c r="B4407" i="18"/>
  <c r="C4407" i="18"/>
  <c r="D4407" i="18"/>
  <c r="E4407" i="18"/>
  <c r="F4407" i="18"/>
  <c r="G4407" i="18"/>
  <c r="H4407" i="18"/>
  <c r="I4407" i="18"/>
  <c r="J4407" i="18"/>
  <c r="K4407" i="18"/>
  <c r="L4407" i="18"/>
  <c r="B4408" i="18"/>
  <c r="C4408" i="18"/>
  <c r="D4408" i="18"/>
  <c r="E4408" i="18"/>
  <c r="F4408" i="18"/>
  <c r="G4408" i="18"/>
  <c r="H4408" i="18"/>
  <c r="I4408" i="18"/>
  <c r="J4408" i="18"/>
  <c r="K4408" i="18"/>
  <c r="L4408" i="18"/>
  <c r="B4409" i="18"/>
  <c r="C4409" i="18"/>
  <c r="D4409" i="18"/>
  <c r="E4409" i="18"/>
  <c r="F4409" i="18"/>
  <c r="G4409" i="18"/>
  <c r="H4409" i="18"/>
  <c r="I4409" i="18"/>
  <c r="J4409" i="18"/>
  <c r="K4409" i="18"/>
  <c r="L4409" i="18"/>
  <c r="B4410" i="18"/>
  <c r="C4410" i="18"/>
  <c r="D4410" i="18"/>
  <c r="E4410" i="18"/>
  <c r="F4410" i="18"/>
  <c r="G4410" i="18"/>
  <c r="H4410" i="18"/>
  <c r="I4410" i="18"/>
  <c r="J4410" i="18"/>
  <c r="K4410" i="18"/>
  <c r="L4410" i="18"/>
  <c r="B4411" i="18"/>
  <c r="C4411" i="18"/>
  <c r="D4411" i="18"/>
  <c r="E4411" i="18"/>
  <c r="F4411" i="18"/>
  <c r="G4411" i="18"/>
  <c r="H4411" i="18"/>
  <c r="I4411" i="18"/>
  <c r="J4411" i="18"/>
  <c r="K4411" i="18"/>
  <c r="L4411" i="18"/>
  <c r="B4412" i="18"/>
  <c r="C4412" i="18"/>
  <c r="D4412" i="18"/>
  <c r="E4412" i="18"/>
  <c r="F4412" i="18"/>
  <c r="G4412" i="18"/>
  <c r="H4412" i="18"/>
  <c r="I4412" i="18"/>
  <c r="J4412" i="18"/>
  <c r="K4412" i="18"/>
  <c r="L4412" i="18"/>
  <c r="B4413" i="18"/>
  <c r="C4413" i="18"/>
  <c r="D4413" i="18"/>
  <c r="E4413" i="18"/>
  <c r="F4413" i="18"/>
  <c r="G4413" i="18"/>
  <c r="H4413" i="18"/>
  <c r="I4413" i="18"/>
  <c r="J4413" i="18"/>
  <c r="K4413" i="18"/>
  <c r="L4413" i="18"/>
  <c r="B4414" i="18"/>
  <c r="C4414" i="18"/>
  <c r="D4414" i="18"/>
  <c r="E4414" i="18"/>
  <c r="F4414" i="18"/>
  <c r="G4414" i="18"/>
  <c r="H4414" i="18"/>
  <c r="I4414" i="18"/>
  <c r="J4414" i="18"/>
  <c r="K4414" i="18"/>
  <c r="L4414" i="18"/>
  <c r="B4415" i="18"/>
  <c r="C4415" i="18"/>
  <c r="D4415" i="18"/>
  <c r="E4415" i="18"/>
  <c r="F4415" i="18"/>
  <c r="G4415" i="18"/>
  <c r="H4415" i="18"/>
  <c r="I4415" i="18"/>
  <c r="J4415" i="18"/>
  <c r="K4415" i="18"/>
  <c r="L4415" i="18"/>
  <c r="B4416" i="18"/>
  <c r="C4416" i="18"/>
  <c r="D4416" i="18"/>
  <c r="E4416" i="18"/>
  <c r="F4416" i="18"/>
  <c r="G4416" i="18"/>
  <c r="H4416" i="18"/>
  <c r="I4416" i="18"/>
  <c r="J4416" i="18"/>
  <c r="K4416" i="18"/>
  <c r="L4416" i="18"/>
  <c r="B4417" i="18"/>
  <c r="C4417" i="18"/>
  <c r="D4417" i="18"/>
  <c r="E4417" i="18"/>
  <c r="F4417" i="18"/>
  <c r="G4417" i="18"/>
  <c r="H4417" i="18"/>
  <c r="I4417" i="18"/>
  <c r="J4417" i="18"/>
  <c r="K4417" i="18"/>
  <c r="L4417" i="18"/>
  <c r="B4418" i="18"/>
  <c r="C4418" i="18"/>
  <c r="D4418" i="18"/>
  <c r="E4418" i="18"/>
  <c r="F4418" i="18"/>
  <c r="G4418" i="18"/>
  <c r="H4418" i="18"/>
  <c r="I4418" i="18"/>
  <c r="J4418" i="18"/>
  <c r="K4418" i="18"/>
  <c r="L4418" i="18"/>
  <c r="B4419" i="18"/>
  <c r="C4419" i="18"/>
  <c r="D4419" i="18"/>
  <c r="E4419" i="18"/>
  <c r="F4419" i="18"/>
  <c r="G4419" i="18"/>
  <c r="H4419" i="18"/>
  <c r="I4419" i="18"/>
  <c r="J4419" i="18"/>
  <c r="K4419" i="18"/>
  <c r="L4419" i="18"/>
  <c r="B4420" i="18"/>
  <c r="C4420" i="18"/>
  <c r="D4420" i="18"/>
  <c r="E4420" i="18"/>
  <c r="F4420" i="18"/>
  <c r="G4420" i="18"/>
  <c r="H4420" i="18"/>
  <c r="I4420" i="18"/>
  <c r="J4420" i="18"/>
  <c r="K4420" i="18"/>
  <c r="L4420" i="18"/>
  <c r="B4421" i="18"/>
  <c r="C4421" i="18"/>
  <c r="D4421" i="18"/>
  <c r="E4421" i="18"/>
  <c r="F4421" i="18"/>
  <c r="G4421" i="18"/>
  <c r="H4421" i="18"/>
  <c r="I4421" i="18"/>
  <c r="J4421" i="18"/>
  <c r="K4421" i="18"/>
  <c r="L4421" i="18"/>
  <c r="B4422" i="18"/>
  <c r="C4422" i="18"/>
  <c r="D4422" i="18"/>
  <c r="E4422" i="18"/>
  <c r="F4422" i="18"/>
  <c r="G4422" i="18"/>
  <c r="H4422" i="18"/>
  <c r="I4422" i="18"/>
  <c r="J4422" i="18"/>
  <c r="K4422" i="18"/>
  <c r="L4422" i="18"/>
  <c r="B4423" i="18"/>
  <c r="C4423" i="18"/>
  <c r="D4423" i="18"/>
  <c r="E4423" i="18"/>
  <c r="F4423" i="18"/>
  <c r="G4423" i="18"/>
  <c r="H4423" i="18"/>
  <c r="I4423" i="18"/>
  <c r="J4423" i="18"/>
  <c r="K4423" i="18"/>
  <c r="L4423" i="18"/>
  <c r="B4424" i="18"/>
  <c r="C4424" i="18"/>
  <c r="D4424" i="18"/>
  <c r="E4424" i="18"/>
  <c r="F4424" i="18"/>
  <c r="G4424" i="18"/>
  <c r="H4424" i="18"/>
  <c r="I4424" i="18"/>
  <c r="J4424" i="18"/>
  <c r="K4424" i="18"/>
  <c r="L4424" i="18"/>
  <c r="B4425" i="18"/>
  <c r="C4425" i="18"/>
  <c r="D4425" i="18"/>
  <c r="E4425" i="18"/>
  <c r="F4425" i="18"/>
  <c r="G4425" i="18"/>
  <c r="H4425" i="18"/>
  <c r="I4425" i="18"/>
  <c r="J4425" i="18"/>
  <c r="K4425" i="18"/>
  <c r="L4425" i="18"/>
  <c r="B4426" i="18"/>
  <c r="C4426" i="18"/>
  <c r="D4426" i="18"/>
  <c r="E4426" i="18"/>
  <c r="F4426" i="18"/>
  <c r="G4426" i="18"/>
  <c r="H4426" i="18"/>
  <c r="I4426" i="18"/>
  <c r="J4426" i="18"/>
  <c r="K4426" i="18"/>
  <c r="L4426" i="18"/>
  <c r="B4427" i="18"/>
  <c r="C4427" i="18"/>
  <c r="D4427" i="18"/>
  <c r="E4427" i="18"/>
  <c r="F4427" i="18"/>
  <c r="G4427" i="18"/>
  <c r="H4427" i="18"/>
  <c r="I4427" i="18"/>
  <c r="J4427" i="18"/>
  <c r="K4427" i="18"/>
  <c r="L4427" i="18"/>
  <c r="B4428" i="18"/>
  <c r="C4428" i="18"/>
  <c r="D4428" i="18"/>
  <c r="E4428" i="18"/>
  <c r="F4428" i="18"/>
  <c r="G4428" i="18"/>
  <c r="H4428" i="18"/>
  <c r="I4428" i="18"/>
  <c r="J4428" i="18"/>
  <c r="K4428" i="18"/>
  <c r="L4428" i="18"/>
  <c r="B4429" i="18"/>
  <c r="C4429" i="18"/>
  <c r="D4429" i="18"/>
  <c r="E4429" i="18"/>
  <c r="F4429" i="18"/>
  <c r="G4429" i="18"/>
  <c r="H4429" i="18"/>
  <c r="I4429" i="18"/>
  <c r="J4429" i="18"/>
  <c r="K4429" i="18"/>
  <c r="L4429" i="18"/>
  <c r="B4430" i="18"/>
  <c r="C4430" i="18"/>
  <c r="D4430" i="18"/>
  <c r="E4430" i="18"/>
  <c r="F4430" i="18"/>
  <c r="G4430" i="18"/>
  <c r="H4430" i="18"/>
  <c r="I4430" i="18"/>
  <c r="J4430" i="18"/>
  <c r="K4430" i="18"/>
  <c r="L4430" i="18"/>
  <c r="B4431" i="18"/>
  <c r="C4431" i="18"/>
  <c r="D4431" i="18"/>
  <c r="E4431" i="18"/>
  <c r="F4431" i="18"/>
  <c r="G4431" i="18"/>
  <c r="H4431" i="18"/>
  <c r="I4431" i="18"/>
  <c r="J4431" i="18"/>
  <c r="K4431" i="18"/>
  <c r="L4431" i="18"/>
  <c r="B4432" i="18"/>
  <c r="C4432" i="18"/>
  <c r="D4432" i="18"/>
  <c r="E4432" i="18"/>
  <c r="F4432" i="18"/>
  <c r="G4432" i="18"/>
  <c r="H4432" i="18"/>
  <c r="I4432" i="18"/>
  <c r="J4432" i="18"/>
  <c r="K4432" i="18"/>
  <c r="L4432" i="18"/>
  <c r="B4433" i="18"/>
  <c r="C4433" i="18"/>
  <c r="D4433" i="18"/>
  <c r="E4433" i="18"/>
  <c r="F4433" i="18"/>
  <c r="G4433" i="18"/>
  <c r="H4433" i="18"/>
  <c r="I4433" i="18"/>
  <c r="J4433" i="18"/>
  <c r="K4433" i="18"/>
  <c r="L4433" i="18"/>
  <c r="B4434" i="18"/>
  <c r="C4434" i="18"/>
  <c r="D4434" i="18"/>
  <c r="E4434" i="18"/>
  <c r="F4434" i="18"/>
  <c r="G4434" i="18"/>
  <c r="H4434" i="18"/>
  <c r="I4434" i="18"/>
  <c r="J4434" i="18"/>
  <c r="K4434" i="18"/>
  <c r="L4434" i="18"/>
  <c r="B4435" i="18"/>
  <c r="C4435" i="18"/>
  <c r="D4435" i="18"/>
  <c r="E4435" i="18"/>
  <c r="F4435" i="18"/>
  <c r="G4435" i="18"/>
  <c r="H4435" i="18"/>
  <c r="I4435" i="18"/>
  <c r="J4435" i="18"/>
  <c r="K4435" i="18"/>
  <c r="L4435" i="18"/>
  <c r="B4436" i="18"/>
  <c r="C4436" i="18"/>
  <c r="D4436" i="18"/>
  <c r="E4436" i="18"/>
  <c r="F4436" i="18"/>
  <c r="G4436" i="18"/>
  <c r="H4436" i="18"/>
  <c r="I4436" i="18"/>
  <c r="J4436" i="18"/>
  <c r="K4436" i="18"/>
  <c r="L4436" i="18"/>
  <c r="B4437" i="18"/>
  <c r="C4437" i="18"/>
  <c r="D4437" i="18"/>
  <c r="E4437" i="18"/>
  <c r="F4437" i="18"/>
  <c r="G4437" i="18"/>
  <c r="H4437" i="18"/>
  <c r="I4437" i="18"/>
  <c r="J4437" i="18"/>
  <c r="K4437" i="18"/>
  <c r="L4437" i="18"/>
  <c r="B4438" i="18"/>
  <c r="C4438" i="18"/>
  <c r="D4438" i="18"/>
  <c r="E4438" i="18"/>
  <c r="F4438" i="18"/>
  <c r="G4438" i="18"/>
  <c r="H4438" i="18"/>
  <c r="I4438" i="18"/>
  <c r="J4438" i="18"/>
  <c r="K4438" i="18"/>
  <c r="L4438" i="18"/>
  <c r="B4439" i="18"/>
  <c r="C4439" i="18"/>
  <c r="D4439" i="18"/>
  <c r="E4439" i="18"/>
  <c r="F4439" i="18"/>
  <c r="G4439" i="18"/>
  <c r="H4439" i="18"/>
  <c r="I4439" i="18"/>
  <c r="J4439" i="18"/>
  <c r="K4439" i="18"/>
  <c r="L4439" i="18"/>
  <c r="B4440" i="18"/>
  <c r="C4440" i="18"/>
  <c r="D4440" i="18"/>
  <c r="E4440" i="18"/>
  <c r="F4440" i="18"/>
  <c r="G4440" i="18"/>
  <c r="H4440" i="18"/>
  <c r="I4440" i="18"/>
  <c r="J4440" i="18"/>
  <c r="K4440" i="18"/>
  <c r="L4440" i="18"/>
  <c r="B4441" i="18"/>
  <c r="C4441" i="18"/>
  <c r="D4441" i="18"/>
  <c r="E4441" i="18"/>
  <c r="F4441" i="18"/>
  <c r="G4441" i="18"/>
  <c r="H4441" i="18"/>
  <c r="I4441" i="18"/>
  <c r="J4441" i="18"/>
  <c r="K4441" i="18"/>
  <c r="L4441" i="18"/>
  <c r="B4442" i="18"/>
  <c r="C4442" i="18"/>
  <c r="D4442" i="18"/>
  <c r="E4442" i="18"/>
  <c r="F4442" i="18"/>
  <c r="G4442" i="18"/>
  <c r="H4442" i="18"/>
  <c r="I4442" i="18"/>
  <c r="J4442" i="18"/>
  <c r="K4442" i="18"/>
  <c r="L4442" i="18"/>
  <c r="B4443" i="18"/>
  <c r="C4443" i="18"/>
  <c r="D4443" i="18"/>
  <c r="E4443" i="18"/>
  <c r="F4443" i="18"/>
  <c r="G4443" i="18"/>
  <c r="H4443" i="18"/>
  <c r="I4443" i="18"/>
  <c r="J4443" i="18"/>
  <c r="K4443" i="18"/>
  <c r="L4443" i="18"/>
  <c r="B4444" i="18"/>
  <c r="C4444" i="18"/>
  <c r="D4444" i="18"/>
  <c r="E4444" i="18"/>
  <c r="F4444" i="18"/>
  <c r="G4444" i="18"/>
  <c r="H4444" i="18"/>
  <c r="I4444" i="18"/>
  <c r="J4444" i="18"/>
  <c r="K4444" i="18"/>
  <c r="L4444" i="18"/>
  <c r="B4445" i="18"/>
  <c r="C4445" i="18"/>
  <c r="D4445" i="18"/>
  <c r="E4445" i="18"/>
  <c r="F4445" i="18"/>
  <c r="G4445" i="18"/>
  <c r="H4445" i="18"/>
  <c r="I4445" i="18"/>
  <c r="J4445" i="18"/>
  <c r="K4445" i="18"/>
  <c r="L4445" i="18"/>
  <c r="B4446" i="18"/>
  <c r="C4446" i="18"/>
  <c r="D4446" i="18"/>
  <c r="E4446" i="18"/>
  <c r="F4446" i="18"/>
  <c r="G4446" i="18"/>
  <c r="H4446" i="18"/>
  <c r="I4446" i="18"/>
  <c r="J4446" i="18"/>
  <c r="K4446" i="18"/>
  <c r="L4446" i="18"/>
  <c r="B4447" i="18"/>
  <c r="C4447" i="18"/>
  <c r="D4447" i="18"/>
  <c r="E4447" i="18"/>
  <c r="F4447" i="18"/>
  <c r="G4447" i="18"/>
  <c r="H4447" i="18"/>
  <c r="I4447" i="18"/>
  <c r="J4447" i="18"/>
  <c r="K4447" i="18"/>
  <c r="L4447" i="18"/>
  <c r="B4448" i="18"/>
  <c r="C4448" i="18"/>
  <c r="D4448" i="18"/>
  <c r="E4448" i="18"/>
  <c r="F4448" i="18"/>
  <c r="G4448" i="18"/>
  <c r="H4448" i="18"/>
  <c r="I4448" i="18"/>
  <c r="J4448" i="18"/>
  <c r="K4448" i="18"/>
  <c r="L4448" i="18"/>
  <c r="B4449" i="18"/>
  <c r="C4449" i="18"/>
  <c r="D4449" i="18"/>
  <c r="E4449" i="18"/>
  <c r="F4449" i="18"/>
  <c r="G4449" i="18"/>
  <c r="H4449" i="18"/>
  <c r="I4449" i="18"/>
  <c r="J4449" i="18"/>
  <c r="K4449" i="18"/>
  <c r="L4449" i="18"/>
  <c r="B4450" i="18"/>
  <c r="C4450" i="18"/>
  <c r="D4450" i="18"/>
  <c r="E4450" i="18"/>
  <c r="F4450" i="18"/>
  <c r="G4450" i="18"/>
  <c r="H4450" i="18"/>
  <c r="I4450" i="18"/>
  <c r="J4450" i="18"/>
  <c r="K4450" i="18"/>
  <c r="L4450" i="18"/>
  <c r="B4451" i="18"/>
  <c r="C4451" i="18"/>
  <c r="D4451" i="18"/>
  <c r="E4451" i="18"/>
  <c r="F4451" i="18"/>
  <c r="G4451" i="18"/>
  <c r="H4451" i="18"/>
  <c r="I4451" i="18"/>
  <c r="J4451" i="18"/>
  <c r="K4451" i="18"/>
  <c r="L4451" i="18"/>
  <c r="B4452" i="18"/>
  <c r="C4452" i="18"/>
  <c r="D4452" i="18"/>
  <c r="E4452" i="18"/>
  <c r="F4452" i="18"/>
  <c r="G4452" i="18"/>
  <c r="H4452" i="18"/>
  <c r="I4452" i="18"/>
  <c r="J4452" i="18"/>
  <c r="K4452" i="18"/>
  <c r="L4452" i="18"/>
  <c r="B4453" i="18"/>
  <c r="C4453" i="18"/>
  <c r="D4453" i="18"/>
  <c r="E4453" i="18"/>
  <c r="F4453" i="18"/>
  <c r="G4453" i="18"/>
  <c r="H4453" i="18"/>
  <c r="I4453" i="18"/>
  <c r="J4453" i="18"/>
  <c r="K4453" i="18"/>
  <c r="L4453" i="18"/>
  <c r="B4454" i="18"/>
  <c r="C4454" i="18"/>
  <c r="D4454" i="18"/>
  <c r="E4454" i="18"/>
  <c r="F4454" i="18"/>
  <c r="G4454" i="18"/>
  <c r="H4454" i="18"/>
  <c r="I4454" i="18"/>
  <c r="J4454" i="18"/>
  <c r="K4454" i="18"/>
  <c r="L4454" i="18"/>
  <c r="B4455" i="18"/>
  <c r="C4455" i="18"/>
  <c r="D4455" i="18"/>
  <c r="E4455" i="18"/>
  <c r="F4455" i="18"/>
  <c r="G4455" i="18"/>
  <c r="H4455" i="18"/>
  <c r="I4455" i="18"/>
  <c r="J4455" i="18"/>
  <c r="K4455" i="18"/>
  <c r="L4455" i="18"/>
  <c r="B4456" i="18"/>
  <c r="C4456" i="18"/>
  <c r="D4456" i="18"/>
  <c r="E4456" i="18"/>
  <c r="F4456" i="18"/>
  <c r="G4456" i="18"/>
  <c r="H4456" i="18"/>
  <c r="I4456" i="18"/>
  <c r="J4456" i="18"/>
  <c r="K4456" i="18"/>
  <c r="L4456" i="18"/>
  <c r="B4457" i="18"/>
  <c r="C4457" i="18"/>
  <c r="D4457" i="18"/>
  <c r="E4457" i="18"/>
  <c r="F4457" i="18"/>
  <c r="G4457" i="18"/>
  <c r="H4457" i="18"/>
  <c r="I4457" i="18"/>
  <c r="J4457" i="18"/>
  <c r="K4457" i="18"/>
  <c r="L4457" i="18"/>
  <c r="B4458" i="18"/>
  <c r="C4458" i="18"/>
  <c r="D4458" i="18"/>
  <c r="E4458" i="18"/>
  <c r="F4458" i="18"/>
  <c r="G4458" i="18"/>
  <c r="H4458" i="18"/>
  <c r="I4458" i="18"/>
  <c r="J4458" i="18"/>
  <c r="K4458" i="18"/>
  <c r="L4458" i="18"/>
  <c r="B4459" i="18"/>
  <c r="C4459" i="18"/>
  <c r="D4459" i="18"/>
  <c r="E4459" i="18"/>
  <c r="F4459" i="18"/>
  <c r="G4459" i="18"/>
  <c r="H4459" i="18"/>
  <c r="I4459" i="18"/>
  <c r="J4459" i="18"/>
  <c r="K4459" i="18"/>
  <c r="L4459" i="18"/>
  <c r="B4460" i="18"/>
  <c r="C4460" i="18"/>
  <c r="D4460" i="18"/>
  <c r="E4460" i="18"/>
  <c r="F4460" i="18"/>
  <c r="G4460" i="18"/>
  <c r="H4460" i="18"/>
  <c r="I4460" i="18"/>
  <c r="J4460" i="18"/>
  <c r="K4460" i="18"/>
  <c r="L4460" i="18"/>
  <c r="B4461" i="18"/>
  <c r="C4461" i="18"/>
  <c r="D4461" i="18"/>
  <c r="E4461" i="18"/>
  <c r="F4461" i="18"/>
  <c r="G4461" i="18"/>
  <c r="H4461" i="18"/>
  <c r="I4461" i="18"/>
  <c r="J4461" i="18"/>
  <c r="K4461" i="18"/>
  <c r="L4461" i="18"/>
  <c r="B4462" i="18"/>
  <c r="C4462" i="18"/>
  <c r="D4462" i="18"/>
  <c r="E4462" i="18"/>
  <c r="F4462" i="18"/>
  <c r="G4462" i="18"/>
  <c r="H4462" i="18"/>
  <c r="I4462" i="18"/>
  <c r="J4462" i="18"/>
  <c r="K4462" i="18"/>
  <c r="L4462" i="18"/>
  <c r="B4463" i="18"/>
  <c r="C4463" i="18"/>
  <c r="D4463" i="18"/>
  <c r="E4463" i="18"/>
  <c r="F4463" i="18"/>
  <c r="G4463" i="18"/>
  <c r="H4463" i="18"/>
  <c r="I4463" i="18"/>
  <c r="J4463" i="18"/>
  <c r="K4463" i="18"/>
  <c r="L4463" i="18"/>
  <c r="B4464" i="18"/>
  <c r="C4464" i="18"/>
  <c r="D4464" i="18"/>
  <c r="E4464" i="18"/>
  <c r="F4464" i="18"/>
  <c r="G4464" i="18"/>
  <c r="H4464" i="18"/>
  <c r="I4464" i="18"/>
  <c r="J4464" i="18"/>
  <c r="K4464" i="18"/>
  <c r="L4464" i="18"/>
  <c r="B4465" i="18"/>
  <c r="C4465" i="18"/>
  <c r="D4465" i="18"/>
  <c r="E4465" i="18"/>
  <c r="F4465" i="18"/>
  <c r="G4465" i="18"/>
  <c r="H4465" i="18"/>
  <c r="I4465" i="18"/>
  <c r="J4465" i="18"/>
  <c r="K4465" i="18"/>
  <c r="L4465" i="18"/>
  <c r="B4466" i="18"/>
  <c r="C4466" i="18"/>
  <c r="D4466" i="18"/>
  <c r="E4466" i="18"/>
  <c r="F4466" i="18"/>
  <c r="G4466" i="18"/>
  <c r="H4466" i="18"/>
  <c r="I4466" i="18"/>
  <c r="J4466" i="18"/>
  <c r="K4466" i="18"/>
  <c r="L4466" i="18"/>
  <c r="B4467" i="18"/>
  <c r="C4467" i="18"/>
  <c r="D4467" i="18"/>
  <c r="E4467" i="18"/>
  <c r="F4467" i="18"/>
  <c r="G4467" i="18"/>
  <c r="H4467" i="18"/>
  <c r="I4467" i="18"/>
  <c r="J4467" i="18"/>
  <c r="K4467" i="18"/>
  <c r="L4467" i="18"/>
  <c r="B4468" i="18"/>
  <c r="C4468" i="18"/>
  <c r="D4468" i="18"/>
  <c r="E4468" i="18"/>
  <c r="F4468" i="18"/>
  <c r="G4468" i="18"/>
  <c r="H4468" i="18"/>
  <c r="I4468" i="18"/>
  <c r="J4468" i="18"/>
  <c r="K4468" i="18"/>
  <c r="L4468" i="18"/>
  <c r="B4469" i="18"/>
  <c r="C4469" i="18"/>
  <c r="D4469" i="18"/>
  <c r="E4469" i="18"/>
  <c r="F4469" i="18"/>
  <c r="G4469" i="18"/>
  <c r="H4469" i="18"/>
  <c r="I4469" i="18"/>
  <c r="J4469" i="18"/>
  <c r="K4469" i="18"/>
  <c r="L4469" i="18"/>
  <c r="B4470" i="18"/>
  <c r="C4470" i="18"/>
  <c r="D4470" i="18"/>
  <c r="E4470" i="18"/>
  <c r="F4470" i="18"/>
  <c r="G4470" i="18"/>
  <c r="H4470" i="18"/>
  <c r="I4470" i="18"/>
  <c r="J4470" i="18"/>
  <c r="K4470" i="18"/>
  <c r="L4470" i="18"/>
  <c r="B4471" i="18"/>
  <c r="C4471" i="18"/>
  <c r="D4471" i="18"/>
  <c r="E4471" i="18"/>
  <c r="F4471" i="18"/>
  <c r="G4471" i="18"/>
  <c r="H4471" i="18"/>
  <c r="I4471" i="18"/>
  <c r="J4471" i="18"/>
  <c r="K4471" i="18"/>
  <c r="L4471" i="18"/>
  <c r="B4472" i="18"/>
  <c r="C4472" i="18"/>
  <c r="D4472" i="18"/>
  <c r="E4472" i="18"/>
  <c r="F4472" i="18"/>
  <c r="G4472" i="18"/>
  <c r="H4472" i="18"/>
  <c r="I4472" i="18"/>
  <c r="J4472" i="18"/>
  <c r="K4472" i="18"/>
  <c r="L4472" i="18"/>
  <c r="B4473" i="18"/>
  <c r="C4473" i="18"/>
  <c r="D4473" i="18"/>
  <c r="E4473" i="18"/>
  <c r="F4473" i="18"/>
  <c r="G4473" i="18"/>
  <c r="H4473" i="18"/>
  <c r="I4473" i="18"/>
  <c r="J4473" i="18"/>
  <c r="K4473" i="18"/>
  <c r="L4473" i="18"/>
  <c r="B4474" i="18"/>
  <c r="C4474" i="18"/>
  <c r="D4474" i="18"/>
  <c r="E4474" i="18"/>
  <c r="F4474" i="18"/>
  <c r="G4474" i="18"/>
  <c r="H4474" i="18"/>
  <c r="I4474" i="18"/>
  <c r="J4474" i="18"/>
  <c r="K4474" i="18"/>
  <c r="L4474" i="18"/>
  <c r="B4475" i="18"/>
  <c r="C4475" i="18"/>
  <c r="D4475" i="18"/>
  <c r="E4475" i="18"/>
  <c r="F4475" i="18"/>
  <c r="G4475" i="18"/>
  <c r="H4475" i="18"/>
  <c r="I4475" i="18"/>
  <c r="J4475" i="18"/>
  <c r="K4475" i="18"/>
  <c r="L4475" i="18"/>
  <c r="B4476" i="18"/>
  <c r="C4476" i="18"/>
  <c r="D4476" i="18"/>
  <c r="E4476" i="18"/>
  <c r="F4476" i="18"/>
  <c r="G4476" i="18"/>
  <c r="H4476" i="18"/>
  <c r="I4476" i="18"/>
  <c r="J4476" i="18"/>
  <c r="K4476" i="18"/>
  <c r="L4476" i="18"/>
  <c r="B4477" i="18"/>
  <c r="C4477" i="18"/>
  <c r="D4477" i="18"/>
  <c r="E4477" i="18"/>
  <c r="F4477" i="18"/>
  <c r="G4477" i="18"/>
  <c r="H4477" i="18"/>
  <c r="I4477" i="18"/>
  <c r="J4477" i="18"/>
  <c r="K4477" i="18"/>
  <c r="L4477" i="18"/>
  <c r="B4478" i="18"/>
  <c r="C4478" i="18"/>
  <c r="D4478" i="18"/>
  <c r="E4478" i="18"/>
  <c r="F4478" i="18"/>
  <c r="G4478" i="18"/>
  <c r="H4478" i="18"/>
  <c r="I4478" i="18"/>
  <c r="J4478" i="18"/>
  <c r="K4478" i="18"/>
  <c r="L4478" i="18"/>
  <c r="B4479" i="18"/>
  <c r="C4479" i="18"/>
  <c r="D4479" i="18"/>
  <c r="E4479" i="18"/>
  <c r="F4479" i="18"/>
  <c r="G4479" i="18"/>
  <c r="H4479" i="18"/>
  <c r="I4479" i="18"/>
  <c r="J4479" i="18"/>
  <c r="K4479" i="18"/>
  <c r="L4479" i="18"/>
  <c r="B4480" i="18"/>
  <c r="C4480" i="18"/>
  <c r="D4480" i="18"/>
  <c r="E4480" i="18"/>
  <c r="F4480" i="18"/>
  <c r="G4480" i="18"/>
  <c r="H4480" i="18"/>
  <c r="I4480" i="18"/>
  <c r="J4480" i="18"/>
  <c r="K4480" i="18"/>
  <c r="L4480" i="18"/>
  <c r="B4481" i="18"/>
  <c r="C4481" i="18"/>
  <c r="D4481" i="18"/>
  <c r="E4481" i="18"/>
  <c r="F4481" i="18"/>
  <c r="G4481" i="18"/>
  <c r="H4481" i="18"/>
  <c r="I4481" i="18"/>
  <c r="J4481" i="18"/>
  <c r="K4481" i="18"/>
  <c r="L4481" i="18"/>
  <c r="B4482" i="18"/>
  <c r="C4482" i="18"/>
  <c r="D4482" i="18"/>
  <c r="E4482" i="18"/>
  <c r="F4482" i="18"/>
  <c r="G4482" i="18"/>
  <c r="H4482" i="18"/>
  <c r="I4482" i="18"/>
  <c r="J4482" i="18"/>
  <c r="K4482" i="18"/>
  <c r="L4482" i="18"/>
  <c r="B4483" i="18"/>
  <c r="C4483" i="18"/>
  <c r="D4483" i="18"/>
  <c r="E4483" i="18"/>
  <c r="F4483" i="18"/>
  <c r="G4483" i="18"/>
  <c r="H4483" i="18"/>
  <c r="I4483" i="18"/>
  <c r="J4483" i="18"/>
  <c r="K4483" i="18"/>
  <c r="L4483" i="18"/>
  <c r="B4484" i="18"/>
  <c r="C4484" i="18"/>
  <c r="D4484" i="18"/>
  <c r="E4484" i="18"/>
  <c r="F4484" i="18"/>
  <c r="G4484" i="18"/>
  <c r="H4484" i="18"/>
  <c r="I4484" i="18"/>
  <c r="J4484" i="18"/>
  <c r="K4484" i="18"/>
  <c r="L4484" i="18"/>
  <c r="B4485" i="18"/>
  <c r="C4485" i="18"/>
  <c r="D4485" i="18"/>
  <c r="E4485" i="18"/>
  <c r="F4485" i="18"/>
  <c r="G4485" i="18"/>
  <c r="H4485" i="18"/>
  <c r="I4485" i="18"/>
  <c r="J4485" i="18"/>
  <c r="K4485" i="18"/>
  <c r="L4485" i="18"/>
  <c r="B4486" i="18"/>
  <c r="C4486" i="18"/>
  <c r="D4486" i="18"/>
  <c r="E4486" i="18"/>
  <c r="F4486" i="18"/>
  <c r="G4486" i="18"/>
  <c r="H4486" i="18"/>
  <c r="I4486" i="18"/>
  <c r="J4486" i="18"/>
  <c r="K4486" i="18"/>
  <c r="L4486" i="18"/>
  <c r="B4487" i="18"/>
  <c r="C4487" i="18"/>
  <c r="D4487" i="18"/>
  <c r="E4487" i="18"/>
  <c r="F4487" i="18"/>
  <c r="G4487" i="18"/>
  <c r="H4487" i="18"/>
  <c r="I4487" i="18"/>
  <c r="J4487" i="18"/>
  <c r="K4487" i="18"/>
  <c r="L4487" i="18"/>
  <c r="B4488" i="18"/>
  <c r="C4488" i="18"/>
  <c r="D4488" i="18"/>
  <c r="E4488" i="18"/>
  <c r="F4488" i="18"/>
  <c r="G4488" i="18"/>
  <c r="H4488" i="18"/>
  <c r="I4488" i="18"/>
  <c r="J4488" i="18"/>
  <c r="K4488" i="18"/>
  <c r="L4488" i="18"/>
  <c r="B4489" i="18"/>
  <c r="C4489" i="18"/>
  <c r="D4489" i="18"/>
  <c r="E4489" i="18"/>
  <c r="F4489" i="18"/>
  <c r="G4489" i="18"/>
  <c r="H4489" i="18"/>
  <c r="I4489" i="18"/>
  <c r="J4489" i="18"/>
  <c r="K4489" i="18"/>
  <c r="L4489" i="18"/>
  <c r="B4490" i="18"/>
  <c r="C4490" i="18"/>
  <c r="D4490" i="18"/>
  <c r="E4490" i="18"/>
  <c r="F4490" i="18"/>
  <c r="G4490" i="18"/>
  <c r="H4490" i="18"/>
  <c r="I4490" i="18"/>
  <c r="J4490" i="18"/>
  <c r="K4490" i="18"/>
  <c r="L4490" i="18"/>
  <c r="B4491" i="18"/>
  <c r="C4491" i="18"/>
  <c r="D4491" i="18"/>
  <c r="E4491" i="18"/>
  <c r="F4491" i="18"/>
  <c r="G4491" i="18"/>
  <c r="H4491" i="18"/>
  <c r="I4491" i="18"/>
  <c r="J4491" i="18"/>
  <c r="K4491" i="18"/>
  <c r="L4491" i="18"/>
  <c r="B4492" i="18"/>
  <c r="C4492" i="18"/>
  <c r="D4492" i="18"/>
  <c r="E4492" i="18"/>
  <c r="F4492" i="18"/>
  <c r="G4492" i="18"/>
  <c r="H4492" i="18"/>
  <c r="I4492" i="18"/>
  <c r="J4492" i="18"/>
  <c r="K4492" i="18"/>
  <c r="L4492" i="18"/>
  <c r="B4493" i="18"/>
  <c r="C4493" i="18"/>
  <c r="D4493" i="18"/>
  <c r="E4493" i="18"/>
  <c r="F4493" i="18"/>
  <c r="G4493" i="18"/>
  <c r="H4493" i="18"/>
  <c r="I4493" i="18"/>
  <c r="J4493" i="18"/>
  <c r="K4493" i="18"/>
  <c r="L4493" i="18"/>
  <c r="B4494" i="18"/>
  <c r="C4494" i="18"/>
  <c r="D4494" i="18"/>
  <c r="E4494" i="18"/>
  <c r="F4494" i="18"/>
  <c r="G4494" i="18"/>
  <c r="H4494" i="18"/>
  <c r="I4494" i="18"/>
  <c r="J4494" i="18"/>
  <c r="K4494" i="18"/>
  <c r="L4494" i="18"/>
  <c r="B4495" i="18"/>
  <c r="C4495" i="18"/>
  <c r="D4495" i="18"/>
  <c r="E4495" i="18"/>
  <c r="F4495" i="18"/>
  <c r="G4495" i="18"/>
  <c r="H4495" i="18"/>
  <c r="I4495" i="18"/>
  <c r="J4495" i="18"/>
  <c r="K4495" i="18"/>
  <c r="L4495" i="18"/>
  <c r="B4496" i="18"/>
  <c r="C4496" i="18"/>
  <c r="D4496" i="18"/>
  <c r="E4496" i="18"/>
  <c r="F4496" i="18"/>
  <c r="G4496" i="18"/>
  <c r="H4496" i="18"/>
  <c r="I4496" i="18"/>
  <c r="J4496" i="18"/>
  <c r="K4496" i="18"/>
  <c r="L4496" i="18"/>
  <c r="B4497" i="18"/>
  <c r="C4497" i="18"/>
  <c r="D4497" i="18"/>
  <c r="E4497" i="18"/>
  <c r="F4497" i="18"/>
  <c r="G4497" i="18"/>
  <c r="H4497" i="18"/>
  <c r="I4497" i="18"/>
  <c r="J4497" i="18"/>
  <c r="K4497" i="18"/>
  <c r="L4497" i="18"/>
  <c r="B4498" i="18"/>
  <c r="C4498" i="18"/>
  <c r="D4498" i="18"/>
  <c r="E4498" i="18"/>
  <c r="F4498" i="18"/>
  <c r="G4498" i="18"/>
  <c r="H4498" i="18"/>
  <c r="I4498" i="18"/>
  <c r="J4498" i="18"/>
  <c r="K4498" i="18"/>
  <c r="L4498" i="18"/>
  <c r="B4499" i="18"/>
  <c r="C4499" i="18"/>
  <c r="D4499" i="18"/>
  <c r="E4499" i="18"/>
  <c r="F4499" i="18"/>
  <c r="G4499" i="18"/>
  <c r="H4499" i="18"/>
  <c r="I4499" i="18"/>
  <c r="J4499" i="18"/>
  <c r="K4499" i="18"/>
  <c r="L4499" i="18"/>
  <c r="B4500" i="18"/>
  <c r="C4500" i="18"/>
  <c r="D4500" i="18"/>
  <c r="E4500" i="18"/>
  <c r="F4500" i="18"/>
  <c r="G4500" i="18"/>
  <c r="H4500" i="18"/>
  <c r="I4500" i="18"/>
  <c r="J4500" i="18"/>
  <c r="K4500" i="18"/>
  <c r="L4500" i="18"/>
  <c r="B4501" i="18"/>
  <c r="C4501" i="18"/>
  <c r="D4501" i="18"/>
  <c r="E4501" i="18"/>
  <c r="F4501" i="18"/>
  <c r="G4501" i="18"/>
  <c r="H4501" i="18"/>
  <c r="I4501" i="18"/>
  <c r="J4501" i="18"/>
  <c r="K4501" i="18"/>
  <c r="L4501" i="18"/>
  <c r="B4502" i="18"/>
  <c r="C4502" i="18"/>
  <c r="D4502" i="18"/>
  <c r="E4502" i="18"/>
  <c r="F4502" i="18"/>
  <c r="G4502" i="18"/>
  <c r="H4502" i="18"/>
  <c r="I4502" i="18"/>
  <c r="J4502" i="18"/>
  <c r="K4502" i="18"/>
  <c r="L4502" i="18"/>
  <c r="B4503" i="18"/>
  <c r="C4503" i="18"/>
  <c r="D4503" i="18"/>
  <c r="E4503" i="18"/>
  <c r="F4503" i="18"/>
  <c r="G4503" i="18"/>
  <c r="H4503" i="18"/>
  <c r="I4503" i="18"/>
  <c r="J4503" i="18"/>
  <c r="K4503" i="18"/>
  <c r="L4503" i="18"/>
  <c r="B4504" i="18"/>
  <c r="C4504" i="18"/>
  <c r="D4504" i="18"/>
  <c r="E4504" i="18"/>
  <c r="F4504" i="18"/>
  <c r="G4504" i="18"/>
  <c r="H4504" i="18"/>
  <c r="I4504" i="18"/>
  <c r="J4504" i="18"/>
  <c r="K4504" i="18"/>
  <c r="L4504" i="18"/>
  <c r="B4505" i="18"/>
  <c r="C4505" i="18"/>
  <c r="D4505" i="18"/>
  <c r="E4505" i="18"/>
  <c r="F4505" i="18"/>
  <c r="G4505" i="18"/>
  <c r="H4505" i="18"/>
  <c r="I4505" i="18"/>
  <c r="J4505" i="18"/>
  <c r="K4505" i="18"/>
  <c r="L4505" i="18"/>
  <c r="B4506" i="18"/>
  <c r="C4506" i="18"/>
  <c r="D4506" i="18"/>
  <c r="E4506" i="18"/>
  <c r="F4506" i="18"/>
  <c r="G4506" i="18"/>
  <c r="H4506" i="18"/>
  <c r="I4506" i="18"/>
  <c r="J4506" i="18"/>
  <c r="K4506" i="18"/>
  <c r="L4506" i="18"/>
  <c r="B4507" i="18"/>
  <c r="C4507" i="18"/>
  <c r="D4507" i="18"/>
  <c r="E4507" i="18"/>
  <c r="F4507" i="18"/>
  <c r="G4507" i="18"/>
  <c r="H4507" i="18"/>
  <c r="I4507" i="18"/>
  <c r="J4507" i="18"/>
  <c r="K4507" i="18"/>
  <c r="L4507" i="18"/>
  <c r="B4508" i="18"/>
  <c r="C4508" i="18"/>
  <c r="D4508" i="18"/>
  <c r="E4508" i="18"/>
  <c r="F4508" i="18"/>
  <c r="G4508" i="18"/>
  <c r="H4508" i="18"/>
  <c r="I4508" i="18"/>
  <c r="J4508" i="18"/>
  <c r="K4508" i="18"/>
  <c r="L4508" i="18"/>
  <c r="B4509" i="18"/>
  <c r="C4509" i="18"/>
  <c r="D4509" i="18"/>
  <c r="E4509" i="18"/>
  <c r="F4509" i="18"/>
  <c r="G4509" i="18"/>
  <c r="H4509" i="18"/>
  <c r="I4509" i="18"/>
  <c r="J4509" i="18"/>
  <c r="K4509" i="18"/>
  <c r="L4509" i="18"/>
  <c r="B4510" i="18"/>
  <c r="C4510" i="18"/>
  <c r="D4510" i="18"/>
  <c r="E4510" i="18"/>
  <c r="F4510" i="18"/>
  <c r="G4510" i="18"/>
  <c r="H4510" i="18"/>
  <c r="I4510" i="18"/>
  <c r="J4510" i="18"/>
  <c r="K4510" i="18"/>
  <c r="L4510" i="18"/>
  <c r="B4511" i="18"/>
  <c r="C4511" i="18"/>
  <c r="D4511" i="18"/>
  <c r="E4511" i="18"/>
  <c r="F4511" i="18"/>
  <c r="G4511" i="18"/>
  <c r="H4511" i="18"/>
  <c r="I4511" i="18"/>
  <c r="J4511" i="18"/>
  <c r="K4511" i="18"/>
  <c r="L4511" i="18"/>
  <c r="B4512" i="18"/>
  <c r="C4512" i="18"/>
  <c r="D4512" i="18"/>
  <c r="E4512" i="18"/>
  <c r="F4512" i="18"/>
  <c r="G4512" i="18"/>
  <c r="H4512" i="18"/>
  <c r="I4512" i="18"/>
  <c r="J4512" i="18"/>
  <c r="K4512" i="18"/>
  <c r="L4512" i="18"/>
  <c r="B4513" i="18"/>
  <c r="C4513" i="18"/>
  <c r="D4513" i="18"/>
  <c r="E4513" i="18"/>
  <c r="F4513" i="18"/>
  <c r="G4513" i="18"/>
  <c r="H4513" i="18"/>
  <c r="I4513" i="18"/>
  <c r="J4513" i="18"/>
  <c r="K4513" i="18"/>
  <c r="L4513" i="18"/>
  <c r="B4514" i="18"/>
  <c r="C4514" i="18"/>
  <c r="D4514" i="18"/>
  <c r="E4514" i="18"/>
  <c r="F4514" i="18"/>
  <c r="G4514" i="18"/>
  <c r="H4514" i="18"/>
  <c r="I4514" i="18"/>
  <c r="J4514" i="18"/>
  <c r="K4514" i="18"/>
  <c r="L4514" i="18"/>
  <c r="B4515" i="18"/>
  <c r="C4515" i="18"/>
  <c r="D4515" i="18"/>
  <c r="E4515" i="18"/>
  <c r="F4515" i="18"/>
  <c r="G4515" i="18"/>
  <c r="H4515" i="18"/>
  <c r="I4515" i="18"/>
  <c r="J4515" i="18"/>
  <c r="K4515" i="18"/>
  <c r="L4515" i="18"/>
  <c r="B4516" i="18"/>
  <c r="C4516" i="18"/>
  <c r="D4516" i="18"/>
  <c r="E4516" i="18"/>
  <c r="F4516" i="18"/>
  <c r="G4516" i="18"/>
  <c r="H4516" i="18"/>
  <c r="I4516" i="18"/>
  <c r="J4516" i="18"/>
  <c r="K4516" i="18"/>
  <c r="L4516" i="18"/>
  <c r="B4517" i="18"/>
  <c r="C4517" i="18"/>
  <c r="D4517" i="18"/>
  <c r="E4517" i="18"/>
  <c r="F4517" i="18"/>
  <c r="G4517" i="18"/>
  <c r="H4517" i="18"/>
  <c r="I4517" i="18"/>
  <c r="J4517" i="18"/>
  <c r="K4517" i="18"/>
  <c r="L4517" i="18"/>
  <c r="B4518" i="18"/>
  <c r="C4518" i="18"/>
  <c r="D4518" i="18"/>
  <c r="E4518" i="18"/>
  <c r="F4518" i="18"/>
  <c r="G4518" i="18"/>
  <c r="H4518" i="18"/>
  <c r="I4518" i="18"/>
  <c r="J4518" i="18"/>
  <c r="K4518" i="18"/>
  <c r="L4518" i="18"/>
  <c r="B4519" i="18"/>
  <c r="C4519" i="18"/>
  <c r="D4519" i="18"/>
  <c r="E4519" i="18"/>
  <c r="F4519" i="18"/>
  <c r="G4519" i="18"/>
  <c r="H4519" i="18"/>
  <c r="I4519" i="18"/>
  <c r="J4519" i="18"/>
  <c r="K4519" i="18"/>
  <c r="L4519" i="18"/>
  <c r="B4520" i="18"/>
  <c r="C4520" i="18"/>
  <c r="D4520" i="18"/>
  <c r="E4520" i="18"/>
  <c r="F4520" i="18"/>
  <c r="G4520" i="18"/>
  <c r="H4520" i="18"/>
  <c r="I4520" i="18"/>
  <c r="J4520" i="18"/>
  <c r="K4520" i="18"/>
  <c r="L4520" i="18"/>
  <c r="B4521" i="18"/>
  <c r="C4521" i="18"/>
  <c r="D4521" i="18"/>
  <c r="E4521" i="18"/>
  <c r="F4521" i="18"/>
  <c r="G4521" i="18"/>
  <c r="H4521" i="18"/>
  <c r="I4521" i="18"/>
  <c r="J4521" i="18"/>
  <c r="K4521" i="18"/>
  <c r="L4521" i="18"/>
  <c r="B4522" i="18"/>
  <c r="C4522" i="18"/>
  <c r="D4522" i="18"/>
  <c r="E4522" i="18"/>
  <c r="F4522" i="18"/>
  <c r="G4522" i="18"/>
  <c r="H4522" i="18"/>
  <c r="I4522" i="18"/>
  <c r="J4522" i="18"/>
  <c r="K4522" i="18"/>
  <c r="L4522" i="18"/>
  <c r="B4523" i="18"/>
  <c r="C4523" i="18"/>
  <c r="D4523" i="18"/>
  <c r="E4523" i="18"/>
  <c r="F4523" i="18"/>
  <c r="G4523" i="18"/>
  <c r="H4523" i="18"/>
  <c r="I4523" i="18"/>
  <c r="J4523" i="18"/>
  <c r="K4523" i="18"/>
  <c r="L4523" i="18"/>
  <c r="B4524" i="18"/>
  <c r="C4524" i="18"/>
  <c r="D4524" i="18"/>
  <c r="E4524" i="18"/>
  <c r="F4524" i="18"/>
  <c r="G4524" i="18"/>
  <c r="H4524" i="18"/>
  <c r="I4524" i="18"/>
  <c r="J4524" i="18"/>
  <c r="K4524" i="18"/>
  <c r="L4524" i="18"/>
  <c r="B4525" i="18"/>
  <c r="C4525" i="18"/>
  <c r="D4525" i="18"/>
  <c r="E4525" i="18"/>
  <c r="F4525" i="18"/>
  <c r="G4525" i="18"/>
  <c r="H4525" i="18"/>
  <c r="I4525" i="18"/>
  <c r="J4525" i="18"/>
  <c r="K4525" i="18"/>
  <c r="L4525" i="18"/>
  <c r="B4526" i="18"/>
  <c r="C4526" i="18"/>
  <c r="D4526" i="18"/>
  <c r="E4526" i="18"/>
  <c r="F4526" i="18"/>
  <c r="G4526" i="18"/>
  <c r="H4526" i="18"/>
  <c r="I4526" i="18"/>
  <c r="J4526" i="18"/>
  <c r="K4526" i="18"/>
  <c r="L4526" i="18"/>
  <c r="B4527" i="18"/>
  <c r="C4527" i="18"/>
  <c r="D4527" i="18"/>
  <c r="E4527" i="18"/>
  <c r="F4527" i="18"/>
  <c r="G4527" i="18"/>
  <c r="H4527" i="18"/>
  <c r="I4527" i="18"/>
  <c r="J4527" i="18"/>
  <c r="K4527" i="18"/>
  <c r="L4527" i="18"/>
  <c r="B4528" i="18"/>
  <c r="C4528" i="18"/>
  <c r="D4528" i="18"/>
  <c r="E4528" i="18"/>
  <c r="F4528" i="18"/>
  <c r="G4528" i="18"/>
  <c r="H4528" i="18"/>
  <c r="I4528" i="18"/>
  <c r="J4528" i="18"/>
  <c r="K4528" i="18"/>
  <c r="L4528" i="18"/>
  <c r="B4529" i="18"/>
  <c r="C4529" i="18"/>
  <c r="D4529" i="18"/>
  <c r="E4529" i="18"/>
  <c r="F4529" i="18"/>
  <c r="G4529" i="18"/>
  <c r="H4529" i="18"/>
  <c r="I4529" i="18"/>
  <c r="J4529" i="18"/>
  <c r="K4529" i="18"/>
  <c r="L4529" i="18"/>
  <c r="B4530" i="18"/>
  <c r="C4530" i="18"/>
  <c r="D4530" i="18"/>
  <c r="E4530" i="18"/>
  <c r="F4530" i="18"/>
  <c r="G4530" i="18"/>
  <c r="H4530" i="18"/>
  <c r="I4530" i="18"/>
  <c r="J4530" i="18"/>
  <c r="K4530" i="18"/>
  <c r="L4530" i="18"/>
  <c r="B4531" i="18"/>
  <c r="C4531" i="18"/>
  <c r="D4531" i="18"/>
  <c r="E4531" i="18"/>
  <c r="F4531" i="18"/>
  <c r="G4531" i="18"/>
  <c r="H4531" i="18"/>
  <c r="I4531" i="18"/>
  <c r="J4531" i="18"/>
  <c r="K4531" i="18"/>
  <c r="L4531" i="18"/>
  <c r="B4532" i="18"/>
  <c r="C4532" i="18"/>
  <c r="D4532" i="18"/>
  <c r="E4532" i="18"/>
  <c r="F4532" i="18"/>
  <c r="G4532" i="18"/>
  <c r="H4532" i="18"/>
  <c r="I4532" i="18"/>
  <c r="J4532" i="18"/>
  <c r="K4532" i="18"/>
  <c r="L4532" i="18"/>
  <c r="B4533" i="18"/>
  <c r="C4533" i="18"/>
  <c r="D4533" i="18"/>
  <c r="E4533" i="18"/>
  <c r="F4533" i="18"/>
  <c r="G4533" i="18"/>
  <c r="H4533" i="18"/>
  <c r="I4533" i="18"/>
  <c r="J4533" i="18"/>
  <c r="K4533" i="18"/>
  <c r="L4533" i="18"/>
  <c r="B4534" i="18"/>
  <c r="C4534" i="18"/>
  <c r="D4534" i="18"/>
  <c r="E4534" i="18"/>
  <c r="F4534" i="18"/>
  <c r="G4534" i="18"/>
  <c r="H4534" i="18"/>
  <c r="I4534" i="18"/>
  <c r="J4534" i="18"/>
  <c r="K4534" i="18"/>
  <c r="L4534" i="18"/>
  <c r="B4535" i="18"/>
  <c r="C4535" i="18"/>
  <c r="D4535" i="18"/>
  <c r="E4535" i="18"/>
  <c r="F4535" i="18"/>
  <c r="G4535" i="18"/>
  <c r="H4535" i="18"/>
  <c r="I4535" i="18"/>
  <c r="J4535" i="18"/>
  <c r="K4535" i="18"/>
  <c r="L4535" i="18"/>
  <c r="B4536" i="18"/>
  <c r="C4536" i="18"/>
  <c r="D4536" i="18"/>
  <c r="E4536" i="18"/>
  <c r="F4536" i="18"/>
  <c r="G4536" i="18"/>
  <c r="H4536" i="18"/>
  <c r="I4536" i="18"/>
  <c r="J4536" i="18"/>
  <c r="K4536" i="18"/>
  <c r="L4536" i="18"/>
  <c r="B4537" i="18"/>
  <c r="C4537" i="18"/>
  <c r="D4537" i="18"/>
  <c r="E4537" i="18"/>
  <c r="F4537" i="18"/>
  <c r="G4537" i="18"/>
  <c r="H4537" i="18"/>
  <c r="I4537" i="18"/>
  <c r="J4537" i="18"/>
  <c r="K4537" i="18"/>
  <c r="L4537" i="18"/>
  <c r="B4538" i="18"/>
  <c r="C4538" i="18"/>
  <c r="D4538" i="18"/>
  <c r="E4538" i="18"/>
  <c r="F4538" i="18"/>
  <c r="G4538" i="18"/>
  <c r="H4538" i="18"/>
  <c r="I4538" i="18"/>
  <c r="J4538" i="18"/>
  <c r="K4538" i="18"/>
  <c r="L4538" i="18"/>
  <c r="B4539" i="18"/>
  <c r="C4539" i="18"/>
  <c r="D4539" i="18"/>
  <c r="E4539" i="18"/>
  <c r="F4539" i="18"/>
  <c r="G4539" i="18"/>
  <c r="H4539" i="18"/>
  <c r="I4539" i="18"/>
  <c r="J4539" i="18"/>
  <c r="K4539" i="18"/>
  <c r="L4539" i="18"/>
  <c r="B4540" i="18"/>
  <c r="C4540" i="18"/>
  <c r="D4540" i="18"/>
  <c r="E4540" i="18"/>
  <c r="F4540" i="18"/>
  <c r="G4540" i="18"/>
  <c r="H4540" i="18"/>
  <c r="I4540" i="18"/>
  <c r="J4540" i="18"/>
  <c r="K4540" i="18"/>
  <c r="L4540" i="18"/>
  <c r="B4541" i="18"/>
  <c r="C4541" i="18"/>
  <c r="D4541" i="18"/>
  <c r="E4541" i="18"/>
  <c r="F4541" i="18"/>
  <c r="G4541" i="18"/>
  <c r="H4541" i="18"/>
  <c r="I4541" i="18"/>
  <c r="J4541" i="18"/>
  <c r="K4541" i="18"/>
  <c r="L4541" i="18"/>
  <c r="B4542" i="18"/>
  <c r="C4542" i="18"/>
  <c r="D4542" i="18"/>
  <c r="E4542" i="18"/>
  <c r="F4542" i="18"/>
  <c r="G4542" i="18"/>
  <c r="H4542" i="18"/>
  <c r="I4542" i="18"/>
  <c r="J4542" i="18"/>
  <c r="K4542" i="18"/>
  <c r="L4542" i="18"/>
  <c r="B4543" i="18"/>
  <c r="C4543" i="18"/>
  <c r="D4543" i="18"/>
  <c r="E4543" i="18"/>
  <c r="F4543" i="18"/>
  <c r="G4543" i="18"/>
  <c r="H4543" i="18"/>
  <c r="I4543" i="18"/>
  <c r="J4543" i="18"/>
  <c r="K4543" i="18"/>
  <c r="L4543" i="18"/>
  <c r="B4544" i="18"/>
  <c r="C4544" i="18"/>
  <c r="D4544" i="18"/>
  <c r="E4544" i="18"/>
  <c r="F4544" i="18"/>
  <c r="G4544" i="18"/>
  <c r="H4544" i="18"/>
  <c r="I4544" i="18"/>
  <c r="J4544" i="18"/>
  <c r="K4544" i="18"/>
  <c r="L4544" i="18"/>
  <c r="B4545" i="18"/>
  <c r="C4545" i="18"/>
  <c r="D4545" i="18"/>
  <c r="E4545" i="18"/>
  <c r="F4545" i="18"/>
  <c r="G4545" i="18"/>
  <c r="H4545" i="18"/>
  <c r="I4545" i="18"/>
  <c r="J4545" i="18"/>
  <c r="K4545" i="18"/>
  <c r="L4545" i="18"/>
  <c r="B4546" i="18"/>
  <c r="C4546" i="18"/>
  <c r="D4546" i="18"/>
  <c r="E4546" i="18"/>
  <c r="F4546" i="18"/>
  <c r="G4546" i="18"/>
  <c r="H4546" i="18"/>
  <c r="I4546" i="18"/>
  <c r="J4546" i="18"/>
  <c r="K4546" i="18"/>
  <c r="L4546" i="18"/>
  <c r="B4547" i="18"/>
  <c r="C4547" i="18"/>
  <c r="D4547" i="18"/>
  <c r="E4547" i="18"/>
  <c r="F4547" i="18"/>
  <c r="G4547" i="18"/>
  <c r="H4547" i="18"/>
  <c r="I4547" i="18"/>
  <c r="J4547" i="18"/>
  <c r="K4547" i="18"/>
  <c r="L4547" i="18"/>
  <c r="B4548" i="18"/>
  <c r="C4548" i="18"/>
  <c r="D4548" i="18"/>
  <c r="E4548" i="18"/>
  <c r="F4548" i="18"/>
  <c r="G4548" i="18"/>
  <c r="H4548" i="18"/>
  <c r="I4548" i="18"/>
  <c r="J4548" i="18"/>
  <c r="K4548" i="18"/>
  <c r="L4548" i="18"/>
  <c r="B4549" i="18"/>
  <c r="C4549" i="18"/>
  <c r="D4549" i="18"/>
  <c r="E4549" i="18"/>
  <c r="F4549" i="18"/>
  <c r="G4549" i="18"/>
  <c r="H4549" i="18"/>
  <c r="I4549" i="18"/>
  <c r="J4549" i="18"/>
  <c r="K4549" i="18"/>
  <c r="L4549" i="18"/>
  <c r="B4550" i="18"/>
  <c r="C4550" i="18"/>
  <c r="D4550" i="18"/>
  <c r="E4550" i="18"/>
  <c r="F4550" i="18"/>
  <c r="G4550" i="18"/>
  <c r="H4550" i="18"/>
  <c r="I4550" i="18"/>
  <c r="J4550" i="18"/>
  <c r="K4550" i="18"/>
  <c r="L4550" i="18"/>
  <c r="B4551" i="18"/>
  <c r="C4551" i="18"/>
  <c r="D4551" i="18"/>
  <c r="E4551" i="18"/>
  <c r="F4551" i="18"/>
  <c r="G4551" i="18"/>
  <c r="H4551" i="18"/>
  <c r="I4551" i="18"/>
  <c r="J4551" i="18"/>
  <c r="K4551" i="18"/>
  <c r="L4551" i="18"/>
  <c r="B4552" i="18"/>
  <c r="C4552" i="18"/>
  <c r="D4552" i="18"/>
  <c r="E4552" i="18"/>
  <c r="F4552" i="18"/>
  <c r="G4552" i="18"/>
  <c r="H4552" i="18"/>
  <c r="I4552" i="18"/>
  <c r="J4552" i="18"/>
  <c r="K4552" i="18"/>
  <c r="L4552" i="18"/>
  <c r="B4553" i="18"/>
  <c r="C4553" i="18"/>
  <c r="D4553" i="18"/>
  <c r="E4553" i="18"/>
  <c r="F4553" i="18"/>
  <c r="G4553" i="18"/>
  <c r="H4553" i="18"/>
  <c r="I4553" i="18"/>
  <c r="J4553" i="18"/>
  <c r="K4553" i="18"/>
  <c r="L4553" i="18"/>
  <c r="B4554" i="18"/>
  <c r="C4554" i="18"/>
  <c r="D4554" i="18"/>
  <c r="E4554" i="18"/>
  <c r="F4554" i="18"/>
  <c r="G4554" i="18"/>
  <c r="H4554" i="18"/>
  <c r="I4554" i="18"/>
  <c r="J4554" i="18"/>
  <c r="K4554" i="18"/>
  <c r="L4554" i="18"/>
  <c r="B4555" i="18"/>
  <c r="C4555" i="18"/>
  <c r="D4555" i="18"/>
  <c r="E4555" i="18"/>
  <c r="F4555" i="18"/>
  <c r="G4555" i="18"/>
  <c r="H4555" i="18"/>
  <c r="I4555" i="18"/>
  <c r="J4555" i="18"/>
  <c r="K4555" i="18"/>
  <c r="L4555" i="18"/>
  <c r="B4556" i="18"/>
  <c r="C4556" i="18"/>
  <c r="D4556" i="18"/>
  <c r="E4556" i="18"/>
  <c r="F4556" i="18"/>
  <c r="G4556" i="18"/>
  <c r="H4556" i="18"/>
  <c r="I4556" i="18"/>
  <c r="J4556" i="18"/>
  <c r="K4556" i="18"/>
  <c r="L4556" i="18"/>
  <c r="B4557" i="18"/>
  <c r="C4557" i="18"/>
  <c r="D4557" i="18"/>
  <c r="E4557" i="18"/>
  <c r="F4557" i="18"/>
  <c r="G4557" i="18"/>
  <c r="H4557" i="18"/>
  <c r="I4557" i="18"/>
  <c r="J4557" i="18"/>
  <c r="K4557" i="18"/>
  <c r="L4557" i="18"/>
  <c r="B4558" i="18"/>
  <c r="C4558" i="18"/>
  <c r="D4558" i="18"/>
  <c r="E4558" i="18"/>
  <c r="F4558" i="18"/>
  <c r="G4558" i="18"/>
  <c r="H4558" i="18"/>
  <c r="I4558" i="18"/>
  <c r="J4558" i="18"/>
  <c r="K4558" i="18"/>
  <c r="L4558" i="18"/>
  <c r="B4559" i="18"/>
  <c r="C4559" i="18"/>
  <c r="D4559" i="18"/>
  <c r="E4559" i="18"/>
  <c r="F4559" i="18"/>
  <c r="G4559" i="18"/>
  <c r="H4559" i="18"/>
  <c r="I4559" i="18"/>
  <c r="J4559" i="18"/>
  <c r="K4559" i="18"/>
  <c r="L4559" i="18"/>
  <c r="B4560" i="18"/>
  <c r="C4560" i="18"/>
  <c r="D4560" i="18"/>
  <c r="E4560" i="18"/>
  <c r="F4560" i="18"/>
  <c r="G4560" i="18"/>
  <c r="H4560" i="18"/>
  <c r="I4560" i="18"/>
  <c r="J4560" i="18"/>
  <c r="K4560" i="18"/>
  <c r="L4560" i="18"/>
  <c r="B4561" i="18"/>
  <c r="C4561" i="18"/>
  <c r="D4561" i="18"/>
  <c r="E4561" i="18"/>
  <c r="F4561" i="18"/>
  <c r="G4561" i="18"/>
  <c r="H4561" i="18"/>
  <c r="I4561" i="18"/>
  <c r="J4561" i="18"/>
  <c r="K4561" i="18"/>
  <c r="L4561" i="18"/>
  <c r="B4562" i="18"/>
  <c r="C4562" i="18"/>
  <c r="D4562" i="18"/>
  <c r="E4562" i="18"/>
  <c r="F4562" i="18"/>
  <c r="G4562" i="18"/>
  <c r="H4562" i="18"/>
  <c r="I4562" i="18"/>
  <c r="J4562" i="18"/>
  <c r="K4562" i="18"/>
  <c r="L4562" i="18"/>
  <c r="B4563" i="18"/>
  <c r="C4563" i="18"/>
  <c r="D4563" i="18"/>
  <c r="E4563" i="18"/>
  <c r="F4563" i="18"/>
  <c r="G4563" i="18"/>
  <c r="H4563" i="18"/>
  <c r="I4563" i="18"/>
  <c r="J4563" i="18"/>
  <c r="K4563" i="18"/>
  <c r="L4563" i="18"/>
  <c r="B4564" i="18"/>
  <c r="C4564" i="18"/>
  <c r="D4564" i="18"/>
  <c r="E4564" i="18"/>
  <c r="F4564" i="18"/>
  <c r="G4564" i="18"/>
  <c r="H4564" i="18"/>
  <c r="I4564" i="18"/>
  <c r="J4564" i="18"/>
  <c r="K4564" i="18"/>
  <c r="L4564" i="18"/>
  <c r="B4565" i="18"/>
  <c r="C4565" i="18"/>
  <c r="D4565" i="18"/>
  <c r="E4565" i="18"/>
  <c r="F4565" i="18"/>
  <c r="G4565" i="18"/>
  <c r="H4565" i="18"/>
  <c r="I4565" i="18"/>
  <c r="J4565" i="18"/>
  <c r="K4565" i="18"/>
  <c r="L4565" i="18"/>
  <c r="B4566" i="18"/>
  <c r="C4566" i="18"/>
  <c r="D4566" i="18"/>
  <c r="E4566" i="18"/>
  <c r="F4566" i="18"/>
  <c r="G4566" i="18"/>
  <c r="H4566" i="18"/>
  <c r="I4566" i="18"/>
  <c r="J4566" i="18"/>
  <c r="K4566" i="18"/>
  <c r="L4566" i="18"/>
  <c r="B4567" i="18"/>
  <c r="C4567" i="18"/>
  <c r="D4567" i="18"/>
  <c r="E4567" i="18"/>
  <c r="F4567" i="18"/>
  <c r="G4567" i="18"/>
  <c r="H4567" i="18"/>
  <c r="I4567" i="18"/>
  <c r="J4567" i="18"/>
  <c r="K4567" i="18"/>
  <c r="L4567" i="18"/>
  <c r="B4568" i="18"/>
  <c r="C4568" i="18"/>
  <c r="D4568" i="18"/>
  <c r="E4568" i="18"/>
  <c r="F4568" i="18"/>
  <c r="G4568" i="18"/>
  <c r="H4568" i="18"/>
  <c r="I4568" i="18"/>
  <c r="J4568" i="18"/>
  <c r="K4568" i="18"/>
  <c r="L4568" i="18"/>
  <c r="B4569" i="18"/>
  <c r="C4569" i="18"/>
  <c r="D4569" i="18"/>
  <c r="E4569" i="18"/>
  <c r="F4569" i="18"/>
  <c r="G4569" i="18"/>
  <c r="H4569" i="18"/>
  <c r="I4569" i="18"/>
  <c r="J4569" i="18"/>
  <c r="K4569" i="18"/>
  <c r="L4569" i="18"/>
  <c r="B4570" i="18"/>
  <c r="C4570" i="18"/>
  <c r="D4570" i="18"/>
  <c r="E4570" i="18"/>
  <c r="F4570" i="18"/>
  <c r="G4570" i="18"/>
  <c r="H4570" i="18"/>
  <c r="I4570" i="18"/>
  <c r="J4570" i="18"/>
  <c r="K4570" i="18"/>
  <c r="L4570" i="18"/>
  <c r="B4571" i="18"/>
  <c r="C4571" i="18"/>
  <c r="D4571" i="18"/>
  <c r="E4571" i="18"/>
  <c r="F4571" i="18"/>
  <c r="G4571" i="18"/>
  <c r="H4571" i="18"/>
  <c r="I4571" i="18"/>
  <c r="J4571" i="18"/>
  <c r="K4571" i="18"/>
  <c r="L4571" i="18"/>
  <c r="B4572" i="18"/>
  <c r="C4572" i="18"/>
  <c r="D4572" i="18"/>
  <c r="E4572" i="18"/>
  <c r="F4572" i="18"/>
  <c r="G4572" i="18"/>
  <c r="H4572" i="18"/>
  <c r="I4572" i="18"/>
  <c r="J4572" i="18"/>
  <c r="K4572" i="18"/>
  <c r="L4572" i="18"/>
  <c r="B4573" i="18"/>
  <c r="C4573" i="18"/>
  <c r="D4573" i="18"/>
  <c r="E4573" i="18"/>
  <c r="F4573" i="18"/>
  <c r="G4573" i="18"/>
  <c r="H4573" i="18"/>
  <c r="I4573" i="18"/>
  <c r="J4573" i="18"/>
  <c r="K4573" i="18"/>
  <c r="L4573" i="18"/>
  <c r="B4574" i="18"/>
  <c r="C4574" i="18"/>
  <c r="D4574" i="18"/>
  <c r="E4574" i="18"/>
  <c r="F4574" i="18"/>
  <c r="G4574" i="18"/>
  <c r="H4574" i="18"/>
  <c r="I4574" i="18"/>
  <c r="J4574" i="18"/>
  <c r="K4574" i="18"/>
  <c r="L4574" i="18"/>
  <c r="B4575" i="18"/>
  <c r="C4575" i="18"/>
  <c r="D4575" i="18"/>
  <c r="E4575" i="18"/>
  <c r="F4575" i="18"/>
  <c r="G4575" i="18"/>
  <c r="H4575" i="18"/>
  <c r="I4575" i="18"/>
  <c r="J4575" i="18"/>
  <c r="K4575" i="18"/>
  <c r="L4575" i="18"/>
  <c r="B4576" i="18"/>
  <c r="C4576" i="18"/>
  <c r="D4576" i="18"/>
  <c r="E4576" i="18"/>
  <c r="F4576" i="18"/>
  <c r="G4576" i="18"/>
  <c r="H4576" i="18"/>
  <c r="I4576" i="18"/>
  <c r="J4576" i="18"/>
  <c r="K4576" i="18"/>
  <c r="L4576" i="18"/>
  <c r="B4577" i="18"/>
  <c r="C4577" i="18"/>
  <c r="D4577" i="18"/>
  <c r="E4577" i="18"/>
  <c r="F4577" i="18"/>
  <c r="G4577" i="18"/>
  <c r="H4577" i="18"/>
  <c r="I4577" i="18"/>
  <c r="J4577" i="18"/>
  <c r="K4577" i="18"/>
  <c r="L4577" i="18"/>
  <c r="B4578" i="18"/>
  <c r="C4578" i="18"/>
  <c r="D4578" i="18"/>
  <c r="E4578" i="18"/>
  <c r="F4578" i="18"/>
  <c r="G4578" i="18"/>
  <c r="H4578" i="18"/>
  <c r="I4578" i="18"/>
  <c r="J4578" i="18"/>
  <c r="K4578" i="18"/>
  <c r="L4578" i="18"/>
  <c r="B4579" i="18"/>
  <c r="C4579" i="18"/>
  <c r="D4579" i="18"/>
  <c r="E4579" i="18"/>
  <c r="F4579" i="18"/>
  <c r="G4579" i="18"/>
  <c r="H4579" i="18"/>
  <c r="I4579" i="18"/>
  <c r="J4579" i="18"/>
  <c r="K4579" i="18"/>
  <c r="L4579" i="18"/>
  <c r="B4580" i="18"/>
  <c r="C4580" i="18"/>
  <c r="D4580" i="18"/>
  <c r="E4580" i="18"/>
  <c r="F4580" i="18"/>
  <c r="G4580" i="18"/>
  <c r="H4580" i="18"/>
  <c r="I4580" i="18"/>
  <c r="J4580" i="18"/>
  <c r="K4580" i="18"/>
  <c r="L4580" i="18"/>
  <c r="B4581" i="18"/>
  <c r="C4581" i="18"/>
  <c r="D4581" i="18"/>
  <c r="E4581" i="18"/>
  <c r="F4581" i="18"/>
  <c r="G4581" i="18"/>
  <c r="H4581" i="18"/>
  <c r="I4581" i="18"/>
  <c r="J4581" i="18"/>
  <c r="K4581" i="18"/>
  <c r="L4581" i="18"/>
  <c r="B4582" i="18"/>
  <c r="C4582" i="18"/>
  <c r="D4582" i="18"/>
  <c r="E4582" i="18"/>
  <c r="F4582" i="18"/>
  <c r="G4582" i="18"/>
  <c r="H4582" i="18"/>
  <c r="I4582" i="18"/>
  <c r="J4582" i="18"/>
  <c r="K4582" i="18"/>
  <c r="L4582" i="18"/>
  <c r="B4583" i="18"/>
  <c r="C4583" i="18"/>
  <c r="D4583" i="18"/>
  <c r="E4583" i="18"/>
  <c r="F4583" i="18"/>
  <c r="G4583" i="18"/>
  <c r="H4583" i="18"/>
  <c r="I4583" i="18"/>
  <c r="J4583" i="18"/>
  <c r="K4583" i="18"/>
  <c r="L4583" i="18"/>
  <c r="B4584" i="18"/>
  <c r="C4584" i="18"/>
  <c r="D4584" i="18"/>
  <c r="E4584" i="18"/>
  <c r="F4584" i="18"/>
  <c r="G4584" i="18"/>
  <c r="H4584" i="18"/>
  <c r="I4584" i="18"/>
  <c r="J4584" i="18"/>
  <c r="K4584" i="18"/>
  <c r="L4584" i="18"/>
  <c r="B4585" i="18"/>
  <c r="C4585" i="18"/>
  <c r="D4585" i="18"/>
  <c r="E4585" i="18"/>
  <c r="F4585" i="18"/>
  <c r="G4585" i="18"/>
  <c r="H4585" i="18"/>
  <c r="I4585" i="18"/>
  <c r="J4585" i="18"/>
  <c r="K4585" i="18"/>
  <c r="L4585" i="18"/>
  <c r="B4586" i="18"/>
  <c r="C4586" i="18"/>
  <c r="D4586" i="18"/>
  <c r="E4586" i="18"/>
  <c r="F4586" i="18"/>
  <c r="G4586" i="18"/>
  <c r="H4586" i="18"/>
  <c r="I4586" i="18"/>
  <c r="J4586" i="18"/>
  <c r="K4586" i="18"/>
  <c r="L4586" i="18"/>
  <c r="B4587" i="18"/>
  <c r="C4587" i="18"/>
  <c r="D4587" i="18"/>
  <c r="E4587" i="18"/>
  <c r="F4587" i="18"/>
  <c r="G4587" i="18"/>
  <c r="H4587" i="18"/>
  <c r="I4587" i="18"/>
  <c r="J4587" i="18"/>
  <c r="K4587" i="18"/>
  <c r="L4587" i="18"/>
  <c r="B4588" i="18"/>
  <c r="C4588" i="18"/>
  <c r="D4588" i="18"/>
  <c r="E4588" i="18"/>
  <c r="F4588" i="18"/>
  <c r="G4588" i="18"/>
  <c r="H4588" i="18"/>
  <c r="I4588" i="18"/>
  <c r="J4588" i="18"/>
  <c r="K4588" i="18"/>
  <c r="L4588" i="18"/>
  <c r="B4589" i="18"/>
  <c r="C4589" i="18"/>
  <c r="D4589" i="18"/>
  <c r="E4589" i="18"/>
  <c r="F4589" i="18"/>
  <c r="G4589" i="18"/>
  <c r="H4589" i="18"/>
  <c r="I4589" i="18"/>
  <c r="J4589" i="18"/>
  <c r="K4589" i="18"/>
  <c r="L4589" i="18"/>
  <c r="B4590" i="18"/>
  <c r="C4590" i="18"/>
  <c r="D4590" i="18"/>
  <c r="E4590" i="18"/>
  <c r="F4590" i="18"/>
  <c r="G4590" i="18"/>
  <c r="H4590" i="18"/>
  <c r="I4590" i="18"/>
  <c r="J4590" i="18"/>
  <c r="K4590" i="18"/>
  <c r="L4590" i="18"/>
  <c r="B4591" i="18"/>
  <c r="C4591" i="18"/>
  <c r="D4591" i="18"/>
  <c r="E4591" i="18"/>
  <c r="F4591" i="18"/>
  <c r="G4591" i="18"/>
  <c r="H4591" i="18"/>
  <c r="I4591" i="18"/>
  <c r="J4591" i="18"/>
  <c r="K4591" i="18"/>
  <c r="L4591" i="18"/>
  <c r="B4592" i="18"/>
  <c r="C4592" i="18"/>
  <c r="D4592" i="18"/>
  <c r="E4592" i="18"/>
  <c r="F4592" i="18"/>
  <c r="G4592" i="18"/>
  <c r="H4592" i="18"/>
  <c r="I4592" i="18"/>
  <c r="J4592" i="18"/>
  <c r="K4592" i="18"/>
  <c r="L4592" i="18"/>
  <c r="B4593" i="18"/>
  <c r="C4593" i="18"/>
  <c r="D4593" i="18"/>
  <c r="E4593" i="18"/>
  <c r="F4593" i="18"/>
  <c r="G4593" i="18"/>
  <c r="H4593" i="18"/>
  <c r="I4593" i="18"/>
  <c r="J4593" i="18"/>
  <c r="K4593" i="18"/>
  <c r="L4593" i="18"/>
  <c r="B4594" i="18"/>
  <c r="C4594" i="18"/>
  <c r="D4594" i="18"/>
  <c r="E4594" i="18"/>
  <c r="F4594" i="18"/>
  <c r="G4594" i="18"/>
  <c r="H4594" i="18"/>
  <c r="I4594" i="18"/>
  <c r="J4594" i="18"/>
  <c r="K4594" i="18"/>
  <c r="L4594" i="18"/>
  <c r="B4595" i="18"/>
  <c r="C4595" i="18"/>
  <c r="D4595" i="18"/>
  <c r="E4595" i="18"/>
  <c r="F4595" i="18"/>
  <c r="G4595" i="18"/>
  <c r="H4595" i="18"/>
  <c r="I4595" i="18"/>
  <c r="J4595" i="18"/>
  <c r="K4595" i="18"/>
  <c r="L4595" i="18"/>
  <c r="B4596" i="18"/>
  <c r="C4596" i="18"/>
  <c r="D4596" i="18"/>
  <c r="E4596" i="18"/>
  <c r="F4596" i="18"/>
  <c r="G4596" i="18"/>
  <c r="H4596" i="18"/>
  <c r="I4596" i="18"/>
  <c r="J4596" i="18"/>
  <c r="K4596" i="18"/>
  <c r="L4596" i="18"/>
  <c r="B4597" i="18"/>
  <c r="C4597" i="18"/>
  <c r="D4597" i="18"/>
  <c r="E4597" i="18"/>
  <c r="F4597" i="18"/>
  <c r="G4597" i="18"/>
  <c r="H4597" i="18"/>
  <c r="I4597" i="18"/>
  <c r="J4597" i="18"/>
  <c r="K4597" i="18"/>
  <c r="L4597" i="18"/>
  <c r="B4598" i="18"/>
  <c r="C4598" i="18"/>
  <c r="D4598" i="18"/>
  <c r="E4598" i="18"/>
  <c r="F4598" i="18"/>
  <c r="G4598" i="18"/>
  <c r="H4598" i="18"/>
  <c r="I4598" i="18"/>
  <c r="J4598" i="18"/>
  <c r="K4598" i="18"/>
  <c r="L4598" i="18"/>
  <c r="B4599" i="18"/>
  <c r="C4599" i="18"/>
  <c r="D4599" i="18"/>
  <c r="E4599" i="18"/>
  <c r="F4599" i="18"/>
  <c r="G4599" i="18"/>
  <c r="H4599" i="18"/>
  <c r="I4599" i="18"/>
  <c r="J4599" i="18"/>
  <c r="K4599" i="18"/>
  <c r="L4599" i="18"/>
  <c r="B4600" i="18"/>
  <c r="C4600" i="18"/>
  <c r="D4600" i="18"/>
  <c r="E4600" i="18"/>
  <c r="F4600" i="18"/>
  <c r="G4600" i="18"/>
  <c r="H4600" i="18"/>
  <c r="I4600" i="18"/>
  <c r="J4600" i="18"/>
  <c r="K4600" i="18"/>
  <c r="L4600" i="18"/>
  <c r="B4601" i="18"/>
  <c r="C4601" i="18"/>
  <c r="D4601" i="18"/>
  <c r="E4601" i="18"/>
  <c r="F4601" i="18"/>
  <c r="G4601" i="18"/>
  <c r="H4601" i="18"/>
  <c r="I4601" i="18"/>
  <c r="J4601" i="18"/>
  <c r="K4601" i="18"/>
  <c r="L4601" i="18"/>
  <c r="B4602" i="18"/>
  <c r="C4602" i="18"/>
  <c r="D4602" i="18"/>
  <c r="E4602" i="18"/>
  <c r="F4602" i="18"/>
  <c r="G4602" i="18"/>
  <c r="H4602" i="18"/>
  <c r="I4602" i="18"/>
  <c r="J4602" i="18"/>
  <c r="K4602" i="18"/>
  <c r="L4602" i="18"/>
  <c r="B4603" i="18"/>
  <c r="C4603" i="18"/>
  <c r="D4603" i="18"/>
  <c r="E4603" i="18"/>
  <c r="F4603" i="18"/>
  <c r="G4603" i="18"/>
  <c r="H4603" i="18"/>
  <c r="I4603" i="18"/>
  <c r="J4603" i="18"/>
  <c r="K4603" i="18"/>
  <c r="L4603" i="18"/>
  <c r="B4604" i="18"/>
  <c r="C4604" i="18"/>
  <c r="D4604" i="18"/>
  <c r="E4604" i="18"/>
  <c r="F4604" i="18"/>
  <c r="G4604" i="18"/>
  <c r="H4604" i="18"/>
  <c r="I4604" i="18"/>
  <c r="J4604" i="18"/>
  <c r="K4604" i="18"/>
  <c r="L4604" i="18"/>
  <c r="B4605" i="18"/>
  <c r="C4605" i="18"/>
  <c r="D4605" i="18"/>
  <c r="E4605" i="18"/>
  <c r="F4605" i="18"/>
  <c r="G4605" i="18"/>
  <c r="H4605" i="18"/>
  <c r="I4605" i="18"/>
  <c r="J4605" i="18"/>
  <c r="K4605" i="18"/>
  <c r="L4605" i="18"/>
  <c r="B4606" i="18"/>
  <c r="C4606" i="18"/>
  <c r="D4606" i="18"/>
  <c r="E4606" i="18"/>
  <c r="F4606" i="18"/>
  <c r="G4606" i="18"/>
  <c r="H4606" i="18"/>
  <c r="I4606" i="18"/>
  <c r="J4606" i="18"/>
  <c r="K4606" i="18"/>
  <c r="L4606" i="18"/>
  <c r="B4607" i="18"/>
  <c r="C4607" i="18"/>
  <c r="D4607" i="18"/>
  <c r="E4607" i="18"/>
  <c r="F4607" i="18"/>
  <c r="G4607" i="18"/>
  <c r="H4607" i="18"/>
  <c r="I4607" i="18"/>
  <c r="J4607" i="18"/>
  <c r="K4607" i="18"/>
  <c r="L4607" i="18"/>
  <c r="B4608" i="18"/>
  <c r="C4608" i="18"/>
  <c r="D4608" i="18"/>
  <c r="E4608" i="18"/>
  <c r="F4608" i="18"/>
  <c r="G4608" i="18"/>
  <c r="H4608" i="18"/>
  <c r="I4608" i="18"/>
  <c r="J4608" i="18"/>
  <c r="K4608" i="18"/>
  <c r="L4608" i="18"/>
  <c r="B4609" i="18"/>
  <c r="C4609" i="18"/>
  <c r="D4609" i="18"/>
  <c r="E4609" i="18"/>
  <c r="F4609" i="18"/>
  <c r="G4609" i="18"/>
  <c r="H4609" i="18"/>
  <c r="I4609" i="18"/>
  <c r="J4609" i="18"/>
  <c r="K4609" i="18"/>
  <c r="L4609" i="18"/>
  <c r="B4610" i="18"/>
  <c r="C4610" i="18"/>
  <c r="D4610" i="18"/>
  <c r="E4610" i="18"/>
  <c r="F4610" i="18"/>
  <c r="G4610" i="18"/>
  <c r="H4610" i="18"/>
  <c r="I4610" i="18"/>
  <c r="J4610" i="18"/>
  <c r="K4610" i="18"/>
  <c r="L4610" i="18"/>
  <c r="B4611" i="18"/>
  <c r="C4611" i="18"/>
  <c r="D4611" i="18"/>
  <c r="E4611" i="18"/>
  <c r="F4611" i="18"/>
  <c r="G4611" i="18"/>
  <c r="H4611" i="18"/>
  <c r="I4611" i="18"/>
  <c r="J4611" i="18"/>
  <c r="K4611" i="18"/>
  <c r="L4611" i="18"/>
  <c r="B4612" i="18"/>
  <c r="C4612" i="18"/>
  <c r="D4612" i="18"/>
  <c r="E4612" i="18"/>
  <c r="F4612" i="18"/>
  <c r="G4612" i="18"/>
  <c r="H4612" i="18"/>
  <c r="I4612" i="18"/>
  <c r="J4612" i="18"/>
  <c r="K4612" i="18"/>
  <c r="L4612" i="18"/>
  <c r="B4613" i="18"/>
  <c r="C4613" i="18"/>
  <c r="D4613" i="18"/>
  <c r="E4613" i="18"/>
  <c r="F4613" i="18"/>
  <c r="G4613" i="18"/>
  <c r="H4613" i="18"/>
  <c r="I4613" i="18"/>
  <c r="J4613" i="18"/>
  <c r="K4613" i="18"/>
  <c r="L4613" i="18"/>
  <c r="B4614" i="18"/>
  <c r="C4614" i="18"/>
  <c r="D4614" i="18"/>
  <c r="E4614" i="18"/>
  <c r="F4614" i="18"/>
  <c r="G4614" i="18"/>
  <c r="H4614" i="18"/>
  <c r="I4614" i="18"/>
  <c r="J4614" i="18"/>
  <c r="K4614" i="18"/>
  <c r="L4614" i="18"/>
  <c r="B4615" i="18"/>
  <c r="C4615" i="18"/>
  <c r="D4615" i="18"/>
  <c r="E4615" i="18"/>
  <c r="F4615" i="18"/>
  <c r="G4615" i="18"/>
  <c r="H4615" i="18"/>
  <c r="I4615" i="18"/>
  <c r="J4615" i="18"/>
  <c r="K4615" i="18"/>
  <c r="L4615" i="18"/>
  <c r="B4616" i="18"/>
  <c r="C4616" i="18"/>
  <c r="D4616" i="18"/>
  <c r="E4616" i="18"/>
  <c r="F4616" i="18"/>
  <c r="G4616" i="18"/>
  <c r="H4616" i="18"/>
  <c r="I4616" i="18"/>
  <c r="J4616" i="18"/>
  <c r="K4616" i="18"/>
  <c r="L4616" i="18"/>
  <c r="B4617" i="18"/>
  <c r="C4617" i="18"/>
  <c r="D4617" i="18"/>
  <c r="E4617" i="18"/>
  <c r="F4617" i="18"/>
  <c r="G4617" i="18"/>
  <c r="H4617" i="18"/>
  <c r="I4617" i="18"/>
  <c r="J4617" i="18"/>
  <c r="K4617" i="18"/>
  <c r="L4617" i="18"/>
  <c r="B4618" i="18"/>
  <c r="C4618" i="18"/>
  <c r="D4618" i="18"/>
  <c r="E4618" i="18"/>
  <c r="F4618" i="18"/>
  <c r="G4618" i="18"/>
  <c r="H4618" i="18"/>
  <c r="I4618" i="18"/>
  <c r="J4618" i="18"/>
  <c r="K4618" i="18"/>
  <c r="L4618" i="18"/>
  <c r="B4619" i="18"/>
  <c r="C4619" i="18"/>
  <c r="D4619" i="18"/>
  <c r="E4619" i="18"/>
  <c r="F4619" i="18"/>
  <c r="G4619" i="18"/>
  <c r="H4619" i="18"/>
  <c r="I4619" i="18"/>
  <c r="J4619" i="18"/>
  <c r="K4619" i="18"/>
  <c r="L4619" i="18"/>
  <c r="B4620" i="18"/>
  <c r="C4620" i="18"/>
  <c r="D4620" i="18"/>
  <c r="E4620" i="18"/>
  <c r="F4620" i="18"/>
  <c r="G4620" i="18"/>
  <c r="H4620" i="18"/>
  <c r="I4620" i="18"/>
  <c r="J4620" i="18"/>
  <c r="K4620" i="18"/>
  <c r="L4620" i="18"/>
  <c r="B4621" i="18"/>
  <c r="C4621" i="18"/>
  <c r="D4621" i="18"/>
  <c r="E4621" i="18"/>
  <c r="F4621" i="18"/>
  <c r="G4621" i="18"/>
  <c r="H4621" i="18"/>
  <c r="I4621" i="18"/>
  <c r="J4621" i="18"/>
  <c r="K4621" i="18"/>
  <c r="L4621" i="18"/>
  <c r="B4622" i="18"/>
  <c r="C4622" i="18"/>
  <c r="D4622" i="18"/>
  <c r="E4622" i="18"/>
  <c r="F4622" i="18"/>
  <c r="G4622" i="18"/>
  <c r="H4622" i="18"/>
  <c r="I4622" i="18"/>
  <c r="J4622" i="18"/>
  <c r="K4622" i="18"/>
  <c r="L4622" i="18"/>
  <c r="B4623" i="18"/>
  <c r="C4623" i="18"/>
  <c r="D4623" i="18"/>
  <c r="E4623" i="18"/>
  <c r="F4623" i="18"/>
  <c r="G4623" i="18"/>
  <c r="H4623" i="18"/>
  <c r="I4623" i="18"/>
  <c r="J4623" i="18"/>
  <c r="K4623" i="18"/>
  <c r="L4623" i="18"/>
  <c r="B4624" i="18"/>
  <c r="C4624" i="18"/>
  <c r="D4624" i="18"/>
  <c r="E4624" i="18"/>
  <c r="F4624" i="18"/>
  <c r="G4624" i="18"/>
  <c r="H4624" i="18"/>
  <c r="I4624" i="18"/>
  <c r="J4624" i="18"/>
  <c r="K4624" i="18"/>
  <c r="L4624" i="18"/>
  <c r="B4625" i="18"/>
  <c r="C4625" i="18"/>
  <c r="D4625" i="18"/>
  <c r="E4625" i="18"/>
  <c r="F4625" i="18"/>
  <c r="G4625" i="18"/>
  <c r="H4625" i="18"/>
  <c r="I4625" i="18"/>
  <c r="J4625" i="18"/>
  <c r="K4625" i="18"/>
  <c r="L4625" i="18"/>
  <c r="B4626" i="18"/>
  <c r="C4626" i="18"/>
  <c r="D4626" i="18"/>
  <c r="E4626" i="18"/>
  <c r="F4626" i="18"/>
  <c r="G4626" i="18"/>
  <c r="H4626" i="18"/>
  <c r="I4626" i="18"/>
  <c r="J4626" i="18"/>
  <c r="K4626" i="18"/>
  <c r="L4626" i="18"/>
  <c r="B4627" i="18"/>
  <c r="C4627" i="18"/>
  <c r="D4627" i="18"/>
  <c r="E4627" i="18"/>
  <c r="F4627" i="18"/>
  <c r="G4627" i="18"/>
  <c r="H4627" i="18"/>
  <c r="I4627" i="18"/>
  <c r="J4627" i="18"/>
  <c r="K4627" i="18"/>
  <c r="L4627" i="18"/>
  <c r="B4628" i="18"/>
  <c r="C4628" i="18"/>
  <c r="D4628" i="18"/>
  <c r="E4628" i="18"/>
  <c r="F4628" i="18"/>
  <c r="G4628" i="18"/>
  <c r="H4628" i="18"/>
  <c r="I4628" i="18"/>
  <c r="J4628" i="18"/>
  <c r="K4628" i="18"/>
  <c r="L4628" i="18"/>
  <c r="B4629" i="18"/>
  <c r="C4629" i="18"/>
  <c r="D4629" i="18"/>
  <c r="E4629" i="18"/>
  <c r="F4629" i="18"/>
  <c r="G4629" i="18"/>
  <c r="H4629" i="18"/>
  <c r="I4629" i="18"/>
  <c r="J4629" i="18"/>
  <c r="K4629" i="18"/>
  <c r="L4629" i="18"/>
  <c r="B4630" i="18"/>
  <c r="C4630" i="18"/>
  <c r="D4630" i="18"/>
  <c r="E4630" i="18"/>
  <c r="F4630" i="18"/>
  <c r="G4630" i="18"/>
  <c r="H4630" i="18"/>
  <c r="I4630" i="18"/>
  <c r="J4630" i="18"/>
  <c r="K4630" i="18"/>
  <c r="L4630" i="18"/>
  <c r="B4631" i="18"/>
  <c r="C4631" i="18"/>
  <c r="D4631" i="18"/>
  <c r="E4631" i="18"/>
  <c r="F4631" i="18"/>
  <c r="G4631" i="18"/>
  <c r="H4631" i="18"/>
  <c r="I4631" i="18"/>
  <c r="J4631" i="18"/>
  <c r="K4631" i="18"/>
  <c r="L4631" i="18"/>
  <c r="B4632" i="18"/>
  <c r="C4632" i="18"/>
  <c r="D4632" i="18"/>
  <c r="E4632" i="18"/>
  <c r="F4632" i="18"/>
  <c r="G4632" i="18"/>
  <c r="H4632" i="18"/>
  <c r="I4632" i="18"/>
  <c r="J4632" i="18"/>
  <c r="K4632" i="18"/>
  <c r="L4632" i="18"/>
  <c r="B4633" i="18"/>
  <c r="C4633" i="18"/>
  <c r="D4633" i="18"/>
  <c r="E4633" i="18"/>
  <c r="F4633" i="18"/>
  <c r="G4633" i="18"/>
  <c r="H4633" i="18"/>
  <c r="I4633" i="18"/>
  <c r="J4633" i="18"/>
  <c r="K4633" i="18"/>
  <c r="L4633" i="18"/>
  <c r="B4634" i="18"/>
  <c r="C4634" i="18"/>
  <c r="D4634" i="18"/>
  <c r="E4634" i="18"/>
  <c r="F4634" i="18"/>
  <c r="G4634" i="18"/>
  <c r="H4634" i="18"/>
  <c r="I4634" i="18"/>
  <c r="J4634" i="18"/>
  <c r="K4634" i="18"/>
  <c r="L4634" i="18"/>
  <c r="B4635" i="18"/>
  <c r="C4635" i="18"/>
  <c r="D4635" i="18"/>
  <c r="E4635" i="18"/>
  <c r="F4635" i="18"/>
  <c r="G4635" i="18"/>
  <c r="H4635" i="18"/>
  <c r="I4635" i="18"/>
  <c r="J4635" i="18"/>
  <c r="K4635" i="18"/>
  <c r="L4635" i="18"/>
  <c r="B4636" i="18"/>
  <c r="C4636" i="18"/>
  <c r="D4636" i="18"/>
  <c r="E4636" i="18"/>
  <c r="F4636" i="18"/>
  <c r="G4636" i="18"/>
  <c r="H4636" i="18"/>
  <c r="I4636" i="18"/>
  <c r="J4636" i="18"/>
  <c r="K4636" i="18"/>
  <c r="L4636" i="18"/>
  <c r="B4637" i="18"/>
  <c r="C4637" i="18"/>
  <c r="D4637" i="18"/>
  <c r="E4637" i="18"/>
  <c r="F4637" i="18"/>
  <c r="G4637" i="18"/>
  <c r="H4637" i="18"/>
  <c r="I4637" i="18"/>
  <c r="J4637" i="18"/>
  <c r="K4637" i="18"/>
  <c r="L4637" i="18"/>
  <c r="B4638" i="18"/>
  <c r="C4638" i="18"/>
  <c r="D4638" i="18"/>
  <c r="E4638" i="18"/>
  <c r="F4638" i="18"/>
  <c r="G4638" i="18"/>
  <c r="H4638" i="18"/>
  <c r="I4638" i="18"/>
  <c r="J4638" i="18"/>
  <c r="K4638" i="18"/>
  <c r="L4638" i="18"/>
  <c r="B4639" i="18"/>
  <c r="C4639" i="18"/>
  <c r="D4639" i="18"/>
  <c r="E4639" i="18"/>
  <c r="F4639" i="18"/>
  <c r="G4639" i="18"/>
  <c r="H4639" i="18"/>
  <c r="I4639" i="18"/>
  <c r="J4639" i="18"/>
  <c r="K4639" i="18"/>
  <c r="L4639" i="18"/>
  <c r="B4640" i="18"/>
  <c r="C4640" i="18"/>
  <c r="D4640" i="18"/>
  <c r="E4640" i="18"/>
  <c r="F4640" i="18"/>
  <c r="G4640" i="18"/>
  <c r="H4640" i="18"/>
  <c r="I4640" i="18"/>
  <c r="J4640" i="18"/>
  <c r="K4640" i="18"/>
  <c r="L4640" i="18"/>
  <c r="B4641" i="18"/>
  <c r="C4641" i="18"/>
  <c r="D4641" i="18"/>
  <c r="E4641" i="18"/>
  <c r="F4641" i="18"/>
  <c r="G4641" i="18"/>
  <c r="H4641" i="18"/>
  <c r="I4641" i="18"/>
  <c r="J4641" i="18"/>
  <c r="K4641" i="18"/>
  <c r="L4641" i="18"/>
  <c r="B4642" i="18"/>
  <c r="C4642" i="18"/>
  <c r="D4642" i="18"/>
  <c r="E4642" i="18"/>
  <c r="F4642" i="18"/>
  <c r="G4642" i="18"/>
  <c r="H4642" i="18"/>
  <c r="I4642" i="18"/>
  <c r="J4642" i="18"/>
  <c r="K4642" i="18"/>
  <c r="L4642" i="18"/>
  <c r="B4643" i="18"/>
  <c r="C4643" i="18"/>
  <c r="D4643" i="18"/>
  <c r="E4643" i="18"/>
  <c r="F4643" i="18"/>
  <c r="G4643" i="18"/>
  <c r="H4643" i="18"/>
  <c r="I4643" i="18"/>
  <c r="J4643" i="18"/>
  <c r="K4643" i="18"/>
  <c r="L4643" i="18"/>
  <c r="B4644" i="18"/>
  <c r="C4644" i="18"/>
  <c r="D4644" i="18"/>
  <c r="E4644" i="18"/>
  <c r="F4644" i="18"/>
  <c r="G4644" i="18"/>
  <c r="H4644" i="18"/>
  <c r="I4644" i="18"/>
  <c r="J4644" i="18"/>
  <c r="K4644" i="18"/>
  <c r="L4644" i="18"/>
  <c r="B4645" i="18"/>
  <c r="C4645" i="18"/>
  <c r="D4645" i="18"/>
  <c r="E4645" i="18"/>
  <c r="F4645" i="18"/>
  <c r="G4645" i="18"/>
  <c r="H4645" i="18"/>
  <c r="I4645" i="18"/>
  <c r="J4645" i="18"/>
  <c r="K4645" i="18"/>
  <c r="L4645" i="18"/>
  <c r="B4646" i="18"/>
  <c r="C4646" i="18"/>
  <c r="D4646" i="18"/>
  <c r="E4646" i="18"/>
  <c r="F4646" i="18"/>
  <c r="G4646" i="18"/>
  <c r="H4646" i="18"/>
  <c r="I4646" i="18"/>
  <c r="J4646" i="18"/>
  <c r="K4646" i="18"/>
  <c r="L4646" i="18"/>
  <c r="B4647" i="18"/>
  <c r="C4647" i="18"/>
  <c r="D4647" i="18"/>
  <c r="E4647" i="18"/>
  <c r="F4647" i="18"/>
  <c r="G4647" i="18"/>
  <c r="H4647" i="18"/>
  <c r="I4647" i="18"/>
  <c r="J4647" i="18"/>
  <c r="K4647" i="18"/>
  <c r="L4647" i="18"/>
  <c r="B4648" i="18"/>
  <c r="C4648" i="18"/>
  <c r="D4648" i="18"/>
  <c r="E4648" i="18"/>
  <c r="F4648" i="18"/>
  <c r="G4648" i="18"/>
  <c r="H4648" i="18"/>
  <c r="I4648" i="18"/>
  <c r="J4648" i="18"/>
  <c r="K4648" i="18"/>
  <c r="L4648" i="18"/>
  <c r="B4649" i="18"/>
  <c r="C4649" i="18"/>
  <c r="D4649" i="18"/>
  <c r="E4649" i="18"/>
  <c r="F4649" i="18"/>
  <c r="G4649" i="18"/>
  <c r="H4649" i="18"/>
  <c r="I4649" i="18"/>
  <c r="J4649" i="18"/>
  <c r="K4649" i="18"/>
  <c r="L4649" i="18"/>
  <c r="B4650" i="18"/>
  <c r="C4650" i="18"/>
  <c r="D4650" i="18"/>
  <c r="E4650" i="18"/>
  <c r="F4650" i="18"/>
  <c r="G4650" i="18"/>
  <c r="H4650" i="18"/>
  <c r="I4650" i="18"/>
  <c r="J4650" i="18"/>
  <c r="K4650" i="18"/>
  <c r="L4650" i="18"/>
  <c r="B4651" i="18"/>
  <c r="C4651" i="18"/>
  <c r="D4651" i="18"/>
  <c r="E4651" i="18"/>
  <c r="F4651" i="18"/>
  <c r="G4651" i="18"/>
  <c r="H4651" i="18"/>
  <c r="I4651" i="18"/>
  <c r="J4651" i="18"/>
  <c r="K4651" i="18"/>
  <c r="L4651" i="18"/>
  <c r="B4652" i="18"/>
  <c r="C4652" i="18"/>
  <c r="D4652" i="18"/>
  <c r="E4652" i="18"/>
  <c r="F4652" i="18"/>
  <c r="G4652" i="18"/>
  <c r="H4652" i="18"/>
  <c r="I4652" i="18"/>
  <c r="J4652" i="18"/>
  <c r="K4652" i="18"/>
  <c r="L4652" i="18"/>
  <c r="B4653" i="18"/>
  <c r="C4653" i="18"/>
  <c r="D4653" i="18"/>
  <c r="E4653" i="18"/>
  <c r="F4653" i="18"/>
  <c r="G4653" i="18"/>
  <c r="H4653" i="18"/>
  <c r="I4653" i="18"/>
  <c r="J4653" i="18"/>
  <c r="K4653" i="18"/>
  <c r="L4653" i="18"/>
  <c r="B4654" i="18"/>
  <c r="C4654" i="18"/>
  <c r="D4654" i="18"/>
  <c r="E4654" i="18"/>
  <c r="F4654" i="18"/>
  <c r="G4654" i="18"/>
  <c r="H4654" i="18"/>
  <c r="I4654" i="18"/>
  <c r="J4654" i="18"/>
  <c r="K4654" i="18"/>
  <c r="L4654" i="18"/>
  <c r="B4655" i="18"/>
  <c r="C4655" i="18"/>
  <c r="D4655" i="18"/>
  <c r="E4655" i="18"/>
  <c r="F4655" i="18"/>
  <c r="G4655" i="18"/>
  <c r="H4655" i="18"/>
  <c r="I4655" i="18"/>
  <c r="J4655" i="18"/>
  <c r="K4655" i="18"/>
  <c r="L4655" i="18"/>
  <c r="B4656" i="18"/>
  <c r="C4656" i="18"/>
  <c r="D4656" i="18"/>
  <c r="E4656" i="18"/>
  <c r="F4656" i="18"/>
  <c r="G4656" i="18"/>
  <c r="H4656" i="18"/>
  <c r="I4656" i="18"/>
  <c r="J4656" i="18"/>
  <c r="K4656" i="18"/>
  <c r="L4656" i="18"/>
  <c r="B4657" i="18"/>
  <c r="C4657" i="18"/>
  <c r="D4657" i="18"/>
  <c r="E4657" i="18"/>
  <c r="F4657" i="18"/>
  <c r="G4657" i="18"/>
  <c r="H4657" i="18"/>
  <c r="I4657" i="18"/>
  <c r="J4657" i="18"/>
  <c r="K4657" i="18"/>
  <c r="L4657" i="18"/>
  <c r="B4658" i="18"/>
  <c r="C4658" i="18"/>
  <c r="D4658" i="18"/>
  <c r="E4658" i="18"/>
  <c r="F4658" i="18"/>
  <c r="G4658" i="18"/>
  <c r="H4658" i="18"/>
  <c r="I4658" i="18"/>
  <c r="J4658" i="18"/>
  <c r="K4658" i="18"/>
  <c r="L4658" i="18"/>
  <c r="B4659" i="18"/>
  <c r="C4659" i="18"/>
  <c r="D4659" i="18"/>
  <c r="E4659" i="18"/>
  <c r="F4659" i="18"/>
  <c r="G4659" i="18"/>
  <c r="H4659" i="18"/>
  <c r="I4659" i="18"/>
  <c r="J4659" i="18"/>
  <c r="K4659" i="18"/>
  <c r="L4659" i="18"/>
  <c r="B4660" i="18"/>
  <c r="C4660" i="18"/>
  <c r="D4660" i="18"/>
  <c r="E4660" i="18"/>
  <c r="F4660" i="18"/>
  <c r="G4660" i="18"/>
  <c r="H4660" i="18"/>
  <c r="I4660" i="18"/>
  <c r="J4660" i="18"/>
  <c r="K4660" i="18"/>
  <c r="L4660" i="18"/>
  <c r="B4661" i="18"/>
  <c r="C4661" i="18"/>
  <c r="D4661" i="18"/>
  <c r="E4661" i="18"/>
  <c r="F4661" i="18"/>
  <c r="G4661" i="18"/>
  <c r="H4661" i="18"/>
  <c r="I4661" i="18"/>
  <c r="J4661" i="18"/>
  <c r="K4661" i="18"/>
  <c r="L4661" i="18"/>
  <c r="B4662" i="18"/>
  <c r="C4662" i="18"/>
  <c r="D4662" i="18"/>
  <c r="E4662" i="18"/>
  <c r="F4662" i="18"/>
  <c r="G4662" i="18"/>
  <c r="H4662" i="18"/>
  <c r="I4662" i="18"/>
  <c r="J4662" i="18"/>
  <c r="K4662" i="18"/>
  <c r="L4662" i="18"/>
  <c r="B4663" i="18"/>
  <c r="C4663" i="18"/>
  <c r="D4663" i="18"/>
  <c r="E4663" i="18"/>
  <c r="F4663" i="18"/>
  <c r="G4663" i="18"/>
  <c r="H4663" i="18"/>
  <c r="I4663" i="18"/>
  <c r="J4663" i="18"/>
  <c r="K4663" i="18"/>
  <c r="L4663" i="18"/>
  <c r="B4664" i="18"/>
  <c r="C4664" i="18"/>
  <c r="D4664" i="18"/>
  <c r="E4664" i="18"/>
  <c r="F4664" i="18"/>
  <c r="G4664" i="18"/>
  <c r="H4664" i="18"/>
  <c r="I4664" i="18"/>
  <c r="J4664" i="18"/>
  <c r="K4664" i="18"/>
  <c r="L4664" i="18"/>
  <c r="B4665" i="18"/>
  <c r="C4665" i="18"/>
  <c r="D4665" i="18"/>
  <c r="E4665" i="18"/>
  <c r="F4665" i="18"/>
  <c r="G4665" i="18"/>
  <c r="H4665" i="18"/>
  <c r="I4665" i="18"/>
  <c r="J4665" i="18"/>
  <c r="K4665" i="18"/>
  <c r="L4665" i="18"/>
  <c r="B4666" i="18"/>
  <c r="C4666" i="18"/>
  <c r="D4666" i="18"/>
  <c r="E4666" i="18"/>
  <c r="F4666" i="18"/>
  <c r="G4666" i="18"/>
  <c r="H4666" i="18"/>
  <c r="I4666" i="18"/>
  <c r="J4666" i="18"/>
  <c r="K4666" i="18"/>
  <c r="L4666" i="18"/>
  <c r="B4667" i="18"/>
  <c r="C4667" i="18"/>
  <c r="D4667" i="18"/>
  <c r="E4667" i="18"/>
  <c r="F4667" i="18"/>
  <c r="G4667" i="18"/>
  <c r="H4667" i="18"/>
  <c r="I4667" i="18"/>
  <c r="J4667" i="18"/>
  <c r="K4667" i="18"/>
  <c r="L4667" i="18"/>
  <c r="B4668" i="18"/>
  <c r="C4668" i="18"/>
  <c r="D4668" i="18"/>
  <c r="E4668" i="18"/>
  <c r="F4668" i="18"/>
  <c r="G4668" i="18"/>
  <c r="H4668" i="18"/>
  <c r="I4668" i="18"/>
  <c r="J4668" i="18"/>
  <c r="K4668" i="18"/>
  <c r="L4668" i="18"/>
  <c r="B4669" i="18"/>
  <c r="C4669" i="18"/>
  <c r="D4669" i="18"/>
  <c r="E4669" i="18"/>
  <c r="F4669" i="18"/>
  <c r="G4669" i="18"/>
  <c r="H4669" i="18"/>
  <c r="I4669" i="18"/>
  <c r="J4669" i="18"/>
  <c r="K4669" i="18"/>
  <c r="L4669" i="18"/>
  <c r="B4670" i="18"/>
  <c r="C4670" i="18"/>
  <c r="D4670" i="18"/>
  <c r="E4670" i="18"/>
  <c r="F4670" i="18"/>
  <c r="G4670" i="18"/>
  <c r="H4670" i="18"/>
  <c r="I4670" i="18"/>
  <c r="J4670" i="18"/>
  <c r="K4670" i="18"/>
  <c r="L4670" i="18"/>
  <c r="B4671" i="18"/>
  <c r="C4671" i="18"/>
  <c r="D4671" i="18"/>
  <c r="E4671" i="18"/>
  <c r="F4671" i="18"/>
  <c r="G4671" i="18"/>
  <c r="H4671" i="18"/>
  <c r="I4671" i="18"/>
  <c r="J4671" i="18"/>
  <c r="K4671" i="18"/>
  <c r="L4671" i="18"/>
  <c r="B4672" i="18"/>
  <c r="C4672" i="18"/>
  <c r="D4672" i="18"/>
  <c r="E4672" i="18"/>
  <c r="F4672" i="18"/>
  <c r="G4672" i="18"/>
  <c r="H4672" i="18"/>
  <c r="I4672" i="18"/>
  <c r="J4672" i="18"/>
  <c r="K4672" i="18"/>
  <c r="L4672" i="18"/>
  <c r="B4673" i="18"/>
  <c r="C4673" i="18"/>
  <c r="D4673" i="18"/>
  <c r="E4673" i="18"/>
  <c r="F4673" i="18"/>
  <c r="G4673" i="18"/>
  <c r="H4673" i="18"/>
  <c r="I4673" i="18"/>
  <c r="J4673" i="18"/>
  <c r="K4673" i="18"/>
  <c r="L4673" i="18"/>
  <c r="B4674" i="18"/>
  <c r="C4674" i="18"/>
  <c r="D4674" i="18"/>
  <c r="E4674" i="18"/>
  <c r="F4674" i="18"/>
  <c r="G4674" i="18"/>
  <c r="H4674" i="18"/>
  <c r="I4674" i="18"/>
  <c r="J4674" i="18"/>
  <c r="K4674" i="18"/>
  <c r="L4674" i="18"/>
  <c r="B4675" i="18"/>
  <c r="C4675" i="18"/>
  <c r="D4675" i="18"/>
  <c r="E4675" i="18"/>
  <c r="F4675" i="18"/>
  <c r="G4675" i="18"/>
  <c r="H4675" i="18"/>
  <c r="I4675" i="18"/>
  <c r="J4675" i="18"/>
  <c r="K4675" i="18"/>
  <c r="L4675" i="18"/>
  <c r="B4676" i="18"/>
  <c r="C4676" i="18"/>
  <c r="D4676" i="18"/>
  <c r="E4676" i="18"/>
  <c r="F4676" i="18"/>
  <c r="G4676" i="18"/>
  <c r="H4676" i="18"/>
  <c r="I4676" i="18"/>
  <c r="J4676" i="18"/>
  <c r="K4676" i="18"/>
  <c r="L4676" i="18"/>
  <c r="B4677" i="18"/>
  <c r="C4677" i="18"/>
  <c r="D4677" i="18"/>
  <c r="E4677" i="18"/>
  <c r="F4677" i="18"/>
  <c r="G4677" i="18"/>
  <c r="H4677" i="18"/>
  <c r="I4677" i="18"/>
  <c r="J4677" i="18"/>
  <c r="K4677" i="18"/>
  <c r="L4677" i="18"/>
  <c r="B4678" i="18"/>
  <c r="C4678" i="18"/>
  <c r="D4678" i="18"/>
  <c r="E4678" i="18"/>
  <c r="F4678" i="18"/>
  <c r="G4678" i="18"/>
  <c r="H4678" i="18"/>
  <c r="I4678" i="18"/>
  <c r="J4678" i="18"/>
  <c r="K4678" i="18"/>
  <c r="L4678" i="18"/>
  <c r="B4679" i="18"/>
  <c r="C4679" i="18"/>
  <c r="D4679" i="18"/>
  <c r="E4679" i="18"/>
  <c r="F4679" i="18"/>
  <c r="G4679" i="18"/>
  <c r="H4679" i="18"/>
  <c r="I4679" i="18"/>
  <c r="J4679" i="18"/>
  <c r="K4679" i="18"/>
  <c r="L4679" i="18"/>
  <c r="B4680" i="18"/>
  <c r="C4680" i="18"/>
  <c r="D4680" i="18"/>
  <c r="E4680" i="18"/>
  <c r="F4680" i="18"/>
  <c r="G4680" i="18"/>
  <c r="H4680" i="18"/>
  <c r="I4680" i="18"/>
  <c r="J4680" i="18"/>
  <c r="K4680" i="18"/>
  <c r="L4680" i="18"/>
  <c r="B4681" i="18"/>
  <c r="C4681" i="18"/>
  <c r="D4681" i="18"/>
  <c r="E4681" i="18"/>
  <c r="F4681" i="18"/>
  <c r="G4681" i="18"/>
  <c r="H4681" i="18"/>
  <c r="I4681" i="18"/>
  <c r="J4681" i="18"/>
  <c r="K4681" i="18"/>
  <c r="L4681" i="18"/>
  <c r="B4682" i="18"/>
  <c r="C4682" i="18"/>
  <c r="D4682" i="18"/>
  <c r="E4682" i="18"/>
  <c r="F4682" i="18"/>
  <c r="G4682" i="18"/>
  <c r="H4682" i="18"/>
  <c r="I4682" i="18"/>
  <c r="J4682" i="18"/>
  <c r="K4682" i="18"/>
  <c r="L4682" i="18"/>
  <c r="B4683" i="18"/>
  <c r="C4683" i="18"/>
  <c r="D4683" i="18"/>
  <c r="E4683" i="18"/>
  <c r="F4683" i="18"/>
  <c r="G4683" i="18"/>
  <c r="H4683" i="18"/>
  <c r="I4683" i="18"/>
  <c r="J4683" i="18"/>
  <c r="K4683" i="18"/>
  <c r="L4683" i="18"/>
  <c r="B4684" i="18"/>
  <c r="C4684" i="18"/>
  <c r="D4684" i="18"/>
  <c r="E4684" i="18"/>
  <c r="F4684" i="18"/>
  <c r="G4684" i="18"/>
  <c r="H4684" i="18"/>
  <c r="I4684" i="18"/>
  <c r="J4684" i="18"/>
  <c r="K4684" i="18"/>
  <c r="L4684" i="18"/>
  <c r="B4685" i="18"/>
  <c r="C4685" i="18"/>
  <c r="D4685" i="18"/>
  <c r="E4685" i="18"/>
  <c r="F4685" i="18"/>
  <c r="G4685" i="18"/>
  <c r="H4685" i="18"/>
  <c r="I4685" i="18"/>
  <c r="J4685" i="18"/>
  <c r="K4685" i="18"/>
  <c r="L4685" i="18"/>
  <c r="B4686" i="18"/>
  <c r="C4686" i="18"/>
  <c r="D4686" i="18"/>
  <c r="E4686" i="18"/>
  <c r="F4686" i="18"/>
  <c r="G4686" i="18"/>
  <c r="H4686" i="18"/>
  <c r="I4686" i="18"/>
  <c r="J4686" i="18"/>
  <c r="K4686" i="18"/>
  <c r="L4686" i="18"/>
  <c r="B4687" i="18"/>
  <c r="C4687" i="18"/>
  <c r="D4687" i="18"/>
  <c r="E4687" i="18"/>
  <c r="F4687" i="18"/>
  <c r="G4687" i="18"/>
  <c r="H4687" i="18"/>
  <c r="I4687" i="18"/>
  <c r="J4687" i="18"/>
  <c r="K4687" i="18"/>
  <c r="L4687" i="18"/>
  <c r="B4688" i="18"/>
  <c r="C4688" i="18"/>
  <c r="D4688" i="18"/>
  <c r="E4688" i="18"/>
  <c r="F4688" i="18"/>
  <c r="G4688" i="18"/>
  <c r="H4688" i="18"/>
  <c r="I4688" i="18"/>
  <c r="J4688" i="18"/>
  <c r="K4688" i="18"/>
  <c r="L4688" i="18"/>
  <c r="B4689" i="18"/>
  <c r="C4689" i="18"/>
  <c r="D4689" i="18"/>
  <c r="E4689" i="18"/>
  <c r="F4689" i="18"/>
  <c r="G4689" i="18"/>
  <c r="H4689" i="18"/>
  <c r="I4689" i="18"/>
  <c r="J4689" i="18"/>
  <c r="K4689" i="18"/>
  <c r="L4689" i="18"/>
  <c r="B4690" i="18"/>
  <c r="C4690" i="18"/>
  <c r="D4690" i="18"/>
  <c r="E4690" i="18"/>
  <c r="F4690" i="18"/>
  <c r="G4690" i="18"/>
  <c r="H4690" i="18"/>
  <c r="I4690" i="18"/>
  <c r="J4690" i="18"/>
  <c r="K4690" i="18"/>
  <c r="L4690" i="18"/>
  <c r="B4691" i="18"/>
  <c r="C4691" i="18"/>
  <c r="D4691" i="18"/>
  <c r="E4691" i="18"/>
  <c r="F4691" i="18"/>
  <c r="G4691" i="18"/>
  <c r="H4691" i="18"/>
  <c r="I4691" i="18"/>
  <c r="J4691" i="18"/>
  <c r="K4691" i="18"/>
  <c r="L4691" i="18"/>
  <c r="B4692" i="18"/>
  <c r="C4692" i="18"/>
  <c r="D4692" i="18"/>
  <c r="E4692" i="18"/>
  <c r="F4692" i="18"/>
  <c r="G4692" i="18"/>
  <c r="H4692" i="18"/>
  <c r="I4692" i="18"/>
  <c r="J4692" i="18"/>
  <c r="K4692" i="18"/>
  <c r="L4692" i="18"/>
  <c r="B4693" i="18"/>
  <c r="C4693" i="18"/>
  <c r="D4693" i="18"/>
  <c r="E4693" i="18"/>
  <c r="F4693" i="18"/>
  <c r="G4693" i="18"/>
  <c r="H4693" i="18"/>
  <c r="I4693" i="18"/>
  <c r="J4693" i="18"/>
  <c r="K4693" i="18"/>
  <c r="L4693" i="18"/>
  <c r="B4694" i="18"/>
  <c r="C4694" i="18"/>
  <c r="D4694" i="18"/>
  <c r="E4694" i="18"/>
  <c r="F4694" i="18"/>
  <c r="G4694" i="18"/>
  <c r="H4694" i="18"/>
  <c r="I4694" i="18"/>
  <c r="J4694" i="18"/>
  <c r="K4694" i="18"/>
  <c r="L4694" i="18"/>
  <c r="B4695" i="18"/>
  <c r="C4695" i="18"/>
  <c r="D4695" i="18"/>
  <c r="E4695" i="18"/>
  <c r="F4695" i="18"/>
  <c r="G4695" i="18"/>
  <c r="H4695" i="18"/>
  <c r="I4695" i="18"/>
  <c r="J4695" i="18"/>
  <c r="K4695" i="18"/>
  <c r="L4695" i="18"/>
  <c r="B4696" i="18"/>
  <c r="C4696" i="18"/>
  <c r="D4696" i="18"/>
  <c r="E4696" i="18"/>
  <c r="F4696" i="18"/>
  <c r="G4696" i="18"/>
  <c r="H4696" i="18"/>
  <c r="I4696" i="18"/>
  <c r="J4696" i="18"/>
  <c r="K4696" i="18"/>
  <c r="L4696" i="18"/>
  <c r="B4697" i="18"/>
  <c r="C4697" i="18"/>
  <c r="D4697" i="18"/>
  <c r="E4697" i="18"/>
  <c r="F4697" i="18"/>
  <c r="G4697" i="18"/>
  <c r="H4697" i="18"/>
  <c r="I4697" i="18"/>
  <c r="J4697" i="18"/>
  <c r="K4697" i="18"/>
  <c r="L4697" i="18"/>
  <c r="B4698" i="18"/>
  <c r="C4698" i="18"/>
  <c r="D4698" i="18"/>
  <c r="E4698" i="18"/>
  <c r="F4698" i="18"/>
  <c r="G4698" i="18"/>
  <c r="H4698" i="18"/>
  <c r="I4698" i="18"/>
  <c r="J4698" i="18"/>
  <c r="K4698" i="18"/>
  <c r="L4698" i="18"/>
  <c r="B4699" i="18"/>
  <c r="C4699" i="18"/>
  <c r="D4699" i="18"/>
  <c r="E4699" i="18"/>
  <c r="F4699" i="18"/>
  <c r="G4699" i="18"/>
  <c r="H4699" i="18"/>
  <c r="I4699" i="18"/>
  <c r="J4699" i="18"/>
  <c r="K4699" i="18"/>
  <c r="L4699" i="18"/>
  <c r="B4700" i="18"/>
  <c r="C4700" i="18"/>
  <c r="D4700" i="18"/>
  <c r="E4700" i="18"/>
  <c r="F4700" i="18"/>
  <c r="G4700" i="18"/>
  <c r="H4700" i="18"/>
  <c r="I4700" i="18"/>
  <c r="J4700" i="18"/>
  <c r="K4700" i="18"/>
  <c r="L4700" i="18"/>
  <c r="B4701" i="18"/>
  <c r="C4701" i="18"/>
  <c r="D4701" i="18"/>
  <c r="E4701" i="18"/>
  <c r="F4701" i="18"/>
  <c r="G4701" i="18"/>
  <c r="H4701" i="18"/>
  <c r="I4701" i="18"/>
  <c r="J4701" i="18"/>
  <c r="K4701" i="18"/>
  <c r="L4701" i="18"/>
  <c r="B4702" i="18"/>
  <c r="C4702" i="18"/>
  <c r="D4702" i="18"/>
  <c r="E4702" i="18"/>
  <c r="F4702" i="18"/>
  <c r="G4702" i="18"/>
  <c r="H4702" i="18"/>
  <c r="I4702" i="18"/>
  <c r="J4702" i="18"/>
  <c r="K4702" i="18"/>
  <c r="L4702" i="18"/>
  <c r="B4703" i="18"/>
  <c r="C4703" i="18"/>
  <c r="D4703" i="18"/>
  <c r="E4703" i="18"/>
  <c r="F4703" i="18"/>
  <c r="G4703" i="18"/>
  <c r="H4703" i="18"/>
  <c r="I4703" i="18"/>
  <c r="J4703" i="18"/>
  <c r="K4703" i="18"/>
  <c r="L4703" i="18"/>
  <c r="B4704" i="18"/>
  <c r="C4704" i="18"/>
  <c r="D4704" i="18"/>
  <c r="E4704" i="18"/>
  <c r="F4704" i="18"/>
  <c r="G4704" i="18"/>
  <c r="H4704" i="18"/>
  <c r="I4704" i="18"/>
  <c r="J4704" i="18"/>
  <c r="K4704" i="18"/>
  <c r="L4704" i="18"/>
  <c r="B4705" i="18"/>
  <c r="C4705" i="18"/>
  <c r="D4705" i="18"/>
  <c r="E4705" i="18"/>
  <c r="F4705" i="18"/>
  <c r="G4705" i="18"/>
  <c r="H4705" i="18"/>
  <c r="I4705" i="18"/>
  <c r="J4705" i="18"/>
  <c r="K4705" i="18"/>
  <c r="L4705" i="18"/>
  <c r="B4706" i="18"/>
  <c r="C4706" i="18"/>
  <c r="D4706" i="18"/>
  <c r="E4706" i="18"/>
  <c r="F4706" i="18"/>
  <c r="G4706" i="18"/>
  <c r="H4706" i="18"/>
  <c r="I4706" i="18"/>
  <c r="J4706" i="18"/>
  <c r="K4706" i="18"/>
  <c r="L4706" i="18"/>
  <c r="B4707" i="18"/>
  <c r="C4707" i="18"/>
  <c r="D4707" i="18"/>
  <c r="E4707" i="18"/>
  <c r="F4707" i="18"/>
  <c r="G4707" i="18"/>
  <c r="H4707" i="18"/>
  <c r="I4707" i="18"/>
  <c r="J4707" i="18"/>
  <c r="K4707" i="18"/>
  <c r="L4707" i="18"/>
  <c r="B4708" i="18"/>
  <c r="C4708" i="18"/>
  <c r="D4708" i="18"/>
  <c r="E4708" i="18"/>
  <c r="F4708" i="18"/>
  <c r="G4708" i="18"/>
  <c r="H4708" i="18"/>
  <c r="I4708" i="18"/>
  <c r="J4708" i="18"/>
  <c r="K4708" i="18"/>
  <c r="L4708" i="18"/>
  <c r="B4709" i="18"/>
  <c r="C4709" i="18"/>
  <c r="D4709" i="18"/>
  <c r="E4709" i="18"/>
  <c r="F4709" i="18"/>
  <c r="G4709" i="18"/>
  <c r="H4709" i="18"/>
  <c r="I4709" i="18"/>
  <c r="J4709" i="18"/>
  <c r="K4709" i="18"/>
  <c r="L4709" i="18"/>
  <c r="B4710" i="18"/>
  <c r="C4710" i="18"/>
  <c r="D4710" i="18"/>
  <c r="E4710" i="18"/>
  <c r="F4710" i="18"/>
  <c r="G4710" i="18"/>
  <c r="H4710" i="18"/>
  <c r="I4710" i="18"/>
  <c r="J4710" i="18"/>
  <c r="K4710" i="18"/>
  <c r="L4710" i="18"/>
  <c r="B4711" i="18"/>
  <c r="C4711" i="18"/>
  <c r="D4711" i="18"/>
  <c r="E4711" i="18"/>
  <c r="F4711" i="18"/>
  <c r="G4711" i="18"/>
  <c r="H4711" i="18"/>
  <c r="I4711" i="18"/>
  <c r="J4711" i="18"/>
  <c r="K4711" i="18"/>
  <c r="L4711" i="18"/>
  <c r="B4712" i="18"/>
  <c r="C4712" i="18"/>
  <c r="D4712" i="18"/>
  <c r="E4712" i="18"/>
  <c r="F4712" i="18"/>
  <c r="G4712" i="18"/>
  <c r="H4712" i="18"/>
  <c r="I4712" i="18"/>
  <c r="J4712" i="18"/>
  <c r="K4712" i="18"/>
  <c r="L4712" i="18"/>
  <c r="B4713" i="18"/>
  <c r="C4713" i="18"/>
  <c r="D4713" i="18"/>
  <c r="E4713" i="18"/>
  <c r="F4713" i="18"/>
  <c r="G4713" i="18"/>
  <c r="H4713" i="18"/>
  <c r="I4713" i="18"/>
  <c r="J4713" i="18"/>
  <c r="K4713" i="18"/>
  <c r="L4713" i="18"/>
  <c r="B4714" i="18"/>
  <c r="C4714" i="18"/>
  <c r="D4714" i="18"/>
  <c r="E4714" i="18"/>
  <c r="F4714" i="18"/>
  <c r="G4714" i="18"/>
  <c r="H4714" i="18"/>
  <c r="I4714" i="18"/>
  <c r="J4714" i="18"/>
  <c r="K4714" i="18"/>
  <c r="L4714" i="18"/>
  <c r="B4715" i="18"/>
  <c r="C4715" i="18"/>
  <c r="D4715" i="18"/>
  <c r="E4715" i="18"/>
  <c r="F4715" i="18"/>
  <c r="G4715" i="18"/>
  <c r="H4715" i="18"/>
  <c r="I4715" i="18"/>
  <c r="J4715" i="18"/>
  <c r="K4715" i="18"/>
  <c r="L4715" i="18"/>
  <c r="B4716" i="18"/>
  <c r="C4716" i="18"/>
  <c r="D4716" i="18"/>
  <c r="E4716" i="18"/>
  <c r="F4716" i="18"/>
  <c r="G4716" i="18"/>
  <c r="H4716" i="18"/>
  <c r="I4716" i="18"/>
  <c r="J4716" i="18"/>
  <c r="K4716" i="18"/>
  <c r="L4716" i="18"/>
  <c r="B4717" i="18"/>
  <c r="C4717" i="18"/>
  <c r="D4717" i="18"/>
  <c r="E4717" i="18"/>
  <c r="F4717" i="18"/>
  <c r="G4717" i="18"/>
  <c r="H4717" i="18"/>
  <c r="I4717" i="18"/>
  <c r="J4717" i="18"/>
  <c r="K4717" i="18"/>
  <c r="L4717" i="18"/>
  <c r="B4718" i="18"/>
  <c r="C4718" i="18"/>
  <c r="D4718" i="18"/>
  <c r="E4718" i="18"/>
  <c r="F4718" i="18"/>
  <c r="G4718" i="18"/>
  <c r="H4718" i="18"/>
  <c r="I4718" i="18"/>
  <c r="J4718" i="18"/>
  <c r="K4718" i="18"/>
  <c r="L4718" i="18"/>
  <c r="B4719" i="18"/>
  <c r="C4719" i="18"/>
  <c r="D4719" i="18"/>
  <c r="E4719" i="18"/>
  <c r="F4719" i="18"/>
  <c r="G4719" i="18"/>
  <c r="H4719" i="18"/>
  <c r="I4719" i="18"/>
  <c r="J4719" i="18"/>
  <c r="K4719" i="18"/>
  <c r="L4719" i="18"/>
  <c r="B4720" i="18"/>
  <c r="C4720" i="18"/>
  <c r="D4720" i="18"/>
  <c r="E4720" i="18"/>
  <c r="F4720" i="18"/>
  <c r="G4720" i="18"/>
  <c r="H4720" i="18"/>
  <c r="I4720" i="18"/>
  <c r="J4720" i="18"/>
  <c r="K4720" i="18"/>
  <c r="L4720" i="18"/>
  <c r="B4721" i="18"/>
  <c r="C4721" i="18"/>
  <c r="D4721" i="18"/>
  <c r="E4721" i="18"/>
  <c r="F4721" i="18"/>
  <c r="G4721" i="18"/>
  <c r="H4721" i="18"/>
  <c r="I4721" i="18"/>
  <c r="J4721" i="18"/>
  <c r="K4721" i="18"/>
  <c r="L4721" i="18"/>
  <c r="B4722" i="18"/>
  <c r="C4722" i="18"/>
  <c r="D4722" i="18"/>
  <c r="E4722" i="18"/>
  <c r="F4722" i="18"/>
  <c r="G4722" i="18"/>
  <c r="H4722" i="18"/>
  <c r="I4722" i="18"/>
  <c r="J4722" i="18"/>
  <c r="K4722" i="18"/>
  <c r="L4722" i="18"/>
  <c r="B4723" i="18"/>
  <c r="C4723" i="18"/>
  <c r="D4723" i="18"/>
  <c r="E4723" i="18"/>
  <c r="F4723" i="18"/>
  <c r="G4723" i="18"/>
  <c r="H4723" i="18"/>
  <c r="I4723" i="18"/>
  <c r="J4723" i="18"/>
  <c r="K4723" i="18"/>
  <c r="L4723" i="18"/>
  <c r="B4724" i="18"/>
  <c r="C4724" i="18"/>
  <c r="D4724" i="18"/>
  <c r="E4724" i="18"/>
  <c r="F4724" i="18"/>
  <c r="G4724" i="18"/>
  <c r="H4724" i="18"/>
  <c r="I4724" i="18"/>
  <c r="J4724" i="18"/>
  <c r="K4724" i="18"/>
  <c r="L4724" i="18"/>
  <c r="B4725" i="18"/>
  <c r="C4725" i="18"/>
  <c r="D4725" i="18"/>
  <c r="E4725" i="18"/>
  <c r="F4725" i="18"/>
  <c r="G4725" i="18"/>
  <c r="H4725" i="18"/>
  <c r="I4725" i="18"/>
  <c r="J4725" i="18"/>
  <c r="K4725" i="18"/>
  <c r="L4725" i="18"/>
  <c r="B4726" i="18"/>
  <c r="C4726" i="18"/>
  <c r="D4726" i="18"/>
  <c r="E4726" i="18"/>
  <c r="F4726" i="18"/>
  <c r="G4726" i="18"/>
  <c r="H4726" i="18"/>
  <c r="I4726" i="18"/>
  <c r="J4726" i="18"/>
  <c r="K4726" i="18"/>
  <c r="L4726" i="18"/>
  <c r="B4727" i="18"/>
  <c r="C4727" i="18"/>
  <c r="D4727" i="18"/>
  <c r="E4727" i="18"/>
  <c r="F4727" i="18"/>
  <c r="G4727" i="18"/>
  <c r="H4727" i="18"/>
  <c r="I4727" i="18"/>
  <c r="J4727" i="18"/>
  <c r="K4727" i="18"/>
  <c r="L4727" i="18"/>
  <c r="B4728" i="18"/>
  <c r="C4728" i="18"/>
  <c r="D4728" i="18"/>
  <c r="E4728" i="18"/>
  <c r="F4728" i="18"/>
  <c r="G4728" i="18"/>
  <c r="H4728" i="18"/>
  <c r="I4728" i="18"/>
  <c r="J4728" i="18"/>
  <c r="K4728" i="18"/>
  <c r="L4728" i="18"/>
  <c r="B4729" i="18"/>
  <c r="C4729" i="18"/>
  <c r="D4729" i="18"/>
  <c r="E4729" i="18"/>
  <c r="F4729" i="18"/>
  <c r="G4729" i="18"/>
  <c r="H4729" i="18"/>
  <c r="I4729" i="18"/>
  <c r="J4729" i="18"/>
  <c r="K4729" i="18"/>
  <c r="L4729" i="18"/>
  <c r="B4730" i="18"/>
  <c r="C4730" i="18"/>
  <c r="D4730" i="18"/>
  <c r="E4730" i="18"/>
  <c r="F4730" i="18"/>
  <c r="G4730" i="18"/>
  <c r="H4730" i="18"/>
  <c r="I4730" i="18"/>
  <c r="J4730" i="18"/>
  <c r="K4730" i="18"/>
  <c r="L4730" i="18"/>
  <c r="B4731" i="18"/>
  <c r="C4731" i="18"/>
  <c r="D4731" i="18"/>
  <c r="E4731" i="18"/>
  <c r="F4731" i="18"/>
  <c r="G4731" i="18"/>
  <c r="H4731" i="18"/>
  <c r="I4731" i="18"/>
  <c r="J4731" i="18"/>
  <c r="K4731" i="18"/>
  <c r="L4731" i="18"/>
  <c r="B4732" i="18"/>
  <c r="C4732" i="18"/>
  <c r="D4732" i="18"/>
  <c r="E4732" i="18"/>
  <c r="F4732" i="18"/>
  <c r="G4732" i="18"/>
  <c r="H4732" i="18"/>
  <c r="I4732" i="18"/>
  <c r="J4732" i="18"/>
  <c r="K4732" i="18"/>
  <c r="L4732" i="18"/>
  <c r="B4733" i="18"/>
  <c r="C4733" i="18"/>
  <c r="D4733" i="18"/>
  <c r="E4733" i="18"/>
  <c r="F4733" i="18"/>
  <c r="G4733" i="18"/>
  <c r="H4733" i="18"/>
  <c r="I4733" i="18"/>
  <c r="J4733" i="18"/>
  <c r="K4733" i="18"/>
  <c r="L4733" i="18"/>
  <c r="B4734" i="18"/>
  <c r="C4734" i="18"/>
  <c r="D4734" i="18"/>
  <c r="E4734" i="18"/>
  <c r="F4734" i="18"/>
  <c r="G4734" i="18"/>
  <c r="H4734" i="18"/>
  <c r="I4734" i="18"/>
  <c r="J4734" i="18"/>
  <c r="K4734" i="18"/>
  <c r="L4734" i="18"/>
  <c r="B4735" i="18"/>
  <c r="C4735" i="18"/>
  <c r="D4735" i="18"/>
  <c r="E4735" i="18"/>
  <c r="F4735" i="18"/>
  <c r="G4735" i="18"/>
  <c r="H4735" i="18"/>
  <c r="I4735" i="18"/>
  <c r="J4735" i="18"/>
  <c r="K4735" i="18"/>
  <c r="L4735" i="18"/>
  <c r="B4736" i="18"/>
  <c r="C4736" i="18"/>
  <c r="D4736" i="18"/>
  <c r="E4736" i="18"/>
  <c r="F4736" i="18"/>
  <c r="G4736" i="18"/>
  <c r="H4736" i="18"/>
  <c r="I4736" i="18"/>
  <c r="J4736" i="18"/>
  <c r="K4736" i="18"/>
  <c r="L4736" i="18"/>
  <c r="B4737" i="18"/>
  <c r="C4737" i="18"/>
  <c r="D4737" i="18"/>
  <c r="E4737" i="18"/>
  <c r="F4737" i="18"/>
  <c r="G4737" i="18"/>
  <c r="H4737" i="18"/>
  <c r="I4737" i="18"/>
  <c r="J4737" i="18"/>
  <c r="K4737" i="18"/>
  <c r="L4737" i="18"/>
  <c r="B4738" i="18"/>
  <c r="C4738" i="18"/>
  <c r="D4738" i="18"/>
  <c r="E4738" i="18"/>
  <c r="F4738" i="18"/>
  <c r="G4738" i="18"/>
  <c r="H4738" i="18"/>
  <c r="I4738" i="18"/>
  <c r="J4738" i="18"/>
  <c r="K4738" i="18"/>
  <c r="L4738" i="18"/>
  <c r="B4739" i="18"/>
  <c r="C4739" i="18"/>
  <c r="D4739" i="18"/>
  <c r="E4739" i="18"/>
  <c r="F4739" i="18"/>
  <c r="G4739" i="18"/>
  <c r="H4739" i="18"/>
  <c r="I4739" i="18"/>
  <c r="J4739" i="18"/>
  <c r="K4739" i="18"/>
  <c r="L4739" i="18"/>
  <c r="B4740" i="18"/>
  <c r="C4740" i="18"/>
  <c r="D4740" i="18"/>
  <c r="E4740" i="18"/>
  <c r="F4740" i="18"/>
  <c r="G4740" i="18"/>
  <c r="H4740" i="18"/>
  <c r="I4740" i="18"/>
  <c r="J4740" i="18"/>
  <c r="K4740" i="18"/>
  <c r="L4740" i="18"/>
  <c r="B4741" i="18"/>
  <c r="C4741" i="18"/>
  <c r="D4741" i="18"/>
  <c r="E4741" i="18"/>
  <c r="F4741" i="18"/>
  <c r="G4741" i="18"/>
  <c r="H4741" i="18"/>
  <c r="I4741" i="18"/>
  <c r="J4741" i="18"/>
  <c r="K4741" i="18"/>
  <c r="L4741" i="18"/>
  <c r="B4742" i="18"/>
  <c r="C4742" i="18"/>
  <c r="D4742" i="18"/>
  <c r="E4742" i="18"/>
  <c r="F4742" i="18"/>
  <c r="G4742" i="18"/>
  <c r="H4742" i="18"/>
  <c r="I4742" i="18"/>
  <c r="J4742" i="18"/>
  <c r="K4742" i="18"/>
  <c r="L4742" i="18"/>
  <c r="B4743" i="18"/>
  <c r="C4743" i="18"/>
  <c r="D4743" i="18"/>
  <c r="E4743" i="18"/>
  <c r="F4743" i="18"/>
  <c r="G4743" i="18"/>
  <c r="H4743" i="18"/>
  <c r="I4743" i="18"/>
  <c r="J4743" i="18"/>
  <c r="K4743" i="18"/>
  <c r="L4743" i="18"/>
  <c r="B4744" i="18"/>
  <c r="C4744" i="18"/>
  <c r="D4744" i="18"/>
  <c r="E4744" i="18"/>
  <c r="F4744" i="18"/>
  <c r="G4744" i="18"/>
  <c r="H4744" i="18"/>
  <c r="I4744" i="18"/>
  <c r="J4744" i="18"/>
  <c r="K4744" i="18"/>
  <c r="L4744" i="18"/>
  <c r="B4745" i="18"/>
  <c r="C4745" i="18"/>
  <c r="D4745" i="18"/>
  <c r="E4745" i="18"/>
  <c r="F4745" i="18"/>
  <c r="G4745" i="18"/>
  <c r="H4745" i="18"/>
  <c r="I4745" i="18"/>
  <c r="J4745" i="18"/>
  <c r="K4745" i="18"/>
  <c r="L4745" i="18"/>
  <c r="B4746" i="18"/>
  <c r="C4746" i="18"/>
  <c r="D4746" i="18"/>
  <c r="E4746" i="18"/>
  <c r="F4746" i="18"/>
  <c r="G4746" i="18"/>
  <c r="H4746" i="18"/>
  <c r="I4746" i="18"/>
  <c r="J4746" i="18"/>
  <c r="K4746" i="18"/>
  <c r="L4746" i="18"/>
  <c r="B4747" i="18"/>
  <c r="C4747" i="18"/>
  <c r="D4747" i="18"/>
  <c r="E4747" i="18"/>
  <c r="F4747" i="18"/>
  <c r="G4747" i="18"/>
  <c r="H4747" i="18"/>
  <c r="I4747" i="18"/>
  <c r="J4747" i="18"/>
  <c r="K4747" i="18"/>
  <c r="L4747" i="18"/>
  <c r="B4748" i="18"/>
  <c r="C4748" i="18"/>
  <c r="D4748" i="18"/>
  <c r="E4748" i="18"/>
  <c r="F4748" i="18"/>
  <c r="G4748" i="18"/>
  <c r="H4748" i="18"/>
  <c r="I4748" i="18"/>
  <c r="J4748" i="18"/>
  <c r="K4748" i="18"/>
  <c r="L4748" i="18"/>
  <c r="B4749" i="18"/>
  <c r="C4749" i="18"/>
  <c r="D4749" i="18"/>
  <c r="E4749" i="18"/>
  <c r="F4749" i="18"/>
  <c r="G4749" i="18"/>
  <c r="H4749" i="18"/>
  <c r="I4749" i="18"/>
  <c r="J4749" i="18"/>
  <c r="K4749" i="18"/>
  <c r="L4749" i="18"/>
  <c r="B4750" i="18"/>
  <c r="C4750" i="18"/>
  <c r="D4750" i="18"/>
  <c r="E4750" i="18"/>
  <c r="F4750" i="18"/>
  <c r="G4750" i="18"/>
  <c r="H4750" i="18"/>
  <c r="I4750" i="18"/>
  <c r="J4750" i="18"/>
  <c r="K4750" i="18"/>
  <c r="L4750" i="18"/>
  <c r="B4751" i="18"/>
  <c r="C4751" i="18"/>
  <c r="D4751" i="18"/>
  <c r="E4751" i="18"/>
  <c r="F4751" i="18"/>
  <c r="G4751" i="18"/>
  <c r="H4751" i="18"/>
  <c r="I4751" i="18"/>
  <c r="J4751" i="18"/>
  <c r="K4751" i="18"/>
  <c r="L4751" i="18"/>
  <c r="B4752" i="18"/>
  <c r="C4752" i="18"/>
  <c r="D4752" i="18"/>
  <c r="E4752" i="18"/>
  <c r="F4752" i="18"/>
  <c r="G4752" i="18"/>
  <c r="H4752" i="18"/>
  <c r="I4752" i="18"/>
  <c r="J4752" i="18"/>
  <c r="K4752" i="18"/>
  <c r="L4752" i="18"/>
  <c r="B4753" i="18"/>
  <c r="C4753" i="18"/>
  <c r="D4753" i="18"/>
  <c r="E4753" i="18"/>
  <c r="F4753" i="18"/>
  <c r="G4753" i="18"/>
  <c r="H4753" i="18"/>
  <c r="I4753" i="18"/>
  <c r="J4753" i="18"/>
  <c r="K4753" i="18"/>
  <c r="L4753" i="18"/>
  <c r="B4754" i="18"/>
  <c r="C4754" i="18"/>
  <c r="D4754" i="18"/>
  <c r="E4754" i="18"/>
  <c r="F4754" i="18"/>
  <c r="G4754" i="18"/>
  <c r="H4754" i="18"/>
  <c r="I4754" i="18"/>
  <c r="J4754" i="18"/>
  <c r="K4754" i="18"/>
  <c r="L4754" i="18"/>
  <c r="B4755" i="18"/>
  <c r="C4755" i="18"/>
  <c r="D4755" i="18"/>
  <c r="E4755" i="18"/>
  <c r="F4755" i="18"/>
  <c r="G4755" i="18"/>
  <c r="H4755" i="18"/>
  <c r="I4755" i="18"/>
  <c r="J4755" i="18"/>
  <c r="K4755" i="18"/>
  <c r="L4755" i="18"/>
  <c r="B4756" i="18"/>
  <c r="C4756" i="18"/>
  <c r="D4756" i="18"/>
  <c r="E4756" i="18"/>
  <c r="F4756" i="18"/>
  <c r="G4756" i="18"/>
  <c r="H4756" i="18"/>
  <c r="I4756" i="18"/>
  <c r="J4756" i="18"/>
  <c r="K4756" i="18"/>
  <c r="L4756" i="18"/>
  <c r="B4757" i="18"/>
  <c r="C4757" i="18"/>
  <c r="D4757" i="18"/>
  <c r="E4757" i="18"/>
  <c r="F4757" i="18"/>
  <c r="G4757" i="18"/>
  <c r="H4757" i="18"/>
  <c r="I4757" i="18"/>
  <c r="J4757" i="18"/>
  <c r="K4757" i="18"/>
  <c r="L4757" i="18"/>
  <c r="B4758" i="18"/>
  <c r="C4758" i="18"/>
  <c r="D4758" i="18"/>
  <c r="E4758" i="18"/>
  <c r="F4758" i="18"/>
  <c r="G4758" i="18"/>
  <c r="H4758" i="18"/>
  <c r="I4758" i="18"/>
  <c r="J4758" i="18"/>
  <c r="K4758" i="18"/>
  <c r="L4758" i="18"/>
  <c r="B4759" i="18"/>
  <c r="C4759" i="18"/>
  <c r="D4759" i="18"/>
  <c r="E4759" i="18"/>
  <c r="F4759" i="18"/>
  <c r="G4759" i="18"/>
  <c r="H4759" i="18"/>
  <c r="I4759" i="18"/>
  <c r="J4759" i="18"/>
  <c r="K4759" i="18"/>
  <c r="L4759" i="18"/>
  <c r="B4760" i="18"/>
  <c r="C4760" i="18"/>
  <c r="D4760" i="18"/>
  <c r="E4760" i="18"/>
  <c r="F4760" i="18"/>
  <c r="G4760" i="18"/>
  <c r="H4760" i="18"/>
  <c r="I4760" i="18"/>
  <c r="J4760" i="18"/>
  <c r="K4760" i="18"/>
  <c r="L4760" i="18"/>
  <c r="B4761" i="18"/>
  <c r="C4761" i="18"/>
  <c r="D4761" i="18"/>
  <c r="E4761" i="18"/>
  <c r="F4761" i="18"/>
  <c r="G4761" i="18"/>
  <c r="H4761" i="18"/>
  <c r="I4761" i="18"/>
  <c r="J4761" i="18"/>
  <c r="K4761" i="18"/>
  <c r="L4761" i="18"/>
  <c r="B4762" i="18"/>
  <c r="C4762" i="18"/>
  <c r="D4762" i="18"/>
  <c r="E4762" i="18"/>
  <c r="F4762" i="18"/>
  <c r="G4762" i="18"/>
  <c r="H4762" i="18"/>
  <c r="I4762" i="18"/>
  <c r="J4762" i="18"/>
  <c r="K4762" i="18"/>
  <c r="L4762" i="18"/>
  <c r="B4763" i="18"/>
  <c r="C4763" i="18"/>
  <c r="D4763" i="18"/>
  <c r="E4763" i="18"/>
  <c r="F4763" i="18"/>
  <c r="G4763" i="18"/>
  <c r="H4763" i="18"/>
  <c r="I4763" i="18"/>
  <c r="J4763" i="18"/>
  <c r="K4763" i="18"/>
  <c r="L4763" i="18"/>
  <c r="B4764" i="18"/>
  <c r="C4764" i="18"/>
  <c r="D4764" i="18"/>
  <c r="E4764" i="18"/>
  <c r="F4764" i="18"/>
  <c r="G4764" i="18"/>
  <c r="H4764" i="18"/>
  <c r="I4764" i="18"/>
  <c r="J4764" i="18"/>
  <c r="K4764" i="18"/>
  <c r="L4764" i="18"/>
  <c r="B4765" i="18"/>
  <c r="C4765" i="18"/>
  <c r="D4765" i="18"/>
  <c r="E4765" i="18"/>
  <c r="F4765" i="18"/>
  <c r="G4765" i="18"/>
  <c r="H4765" i="18"/>
  <c r="I4765" i="18"/>
  <c r="J4765" i="18"/>
  <c r="K4765" i="18"/>
  <c r="L4765" i="18"/>
  <c r="B4766" i="18"/>
  <c r="C4766" i="18"/>
  <c r="D4766" i="18"/>
  <c r="E4766" i="18"/>
  <c r="F4766" i="18"/>
  <c r="G4766" i="18"/>
  <c r="H4766" i="18"/>
  <c r="I4766" i="18"/>
  <c r="J4766" i="18"/>
  <c r="K4766" i="18"/>
  <c r="L4766" i="18"/>
  <c r="B4767" i="18"/>
  <c r="C4767" i="18"/>
  <c r="D4767" i="18"/>
  <c r="E4767" i="18"/>
  <c r="F4767" i="18"/>
  <c r="G4767" i="18"/>
  <c r="H4767" i="18"/>
  <c r="I4767" i="18"/>
  <c r="J4767" i="18"/>
  <c r="K4767" i="18"/>
  <c r="L4767" i="18"/>
  <c r="B4768" i="18"/>
  <c r="C4768" i="18"/>
  <c r="D4768" i="18"/>
  <c r="E4768" i="18"/>
  <c r="F4768" i="18"/>
  <c r="G4768" i="18"/>
  <c r="H4768" i="18"/>
  <c r="I4768" i="18"/>
  <c r="J4768" i="18"/>
  <c r="K4768" i="18"/>
  <c r="L4768" i="18"/>
  <c r="B4769" i="18"/>
  <c r="C4769" i="18"/>
  <c r="D4769" i="18"/>
  <c r="E4769" i="18"/>
  <c r="F4769" i="18"/>
  <c r="G4769" i="18"/>
  <c r="H4769" i="18"/>
  <c r="I4769" i="18"/>
  <c r="J4769" i="18"/>
  <c r="K4769" i="18"/>
  <c r="L4769" i="18"/>
  <c r="B4770" i="18"/>
  <c r="C4770" i="18"/>
  <c r="D4770" i="18"/>
  <c r="E4770" i="18"/>
  <c r="F4770" i="18"/>
  <c r="G4770" i="18"/>
  <c r="H4770" i="18"/>
  <c r="I4770" i="18"/>
  <c r="J4770" i="18"/>
  <c r="K4770" i="18"/>
  <c r="L4770" i="18"/>
  <c r="B4771" i="18"/>
  <c r="C4771" i="18"/>
  <c r="D4771" i="18"/>
  <c r="E4771" i="18"/>
  <c r="F4771" i="18"/>
  <c r="G4771" i="18"/>
  <c r="H4771" i="18"/>
  <c r="I4771" i="18"/>
  <c r="J4771" i="18"/>
  <c r="K4771" i="18"/>
  <c r="L4771" i="18"/>
  <c r="B4772" i="18"/>
  <c r="C4772" i="18"/>
  <c r="D4772" i="18"/>
  <c r="E4772" i="18"/>
  <c r="F4772" i="18"/>
  <c r="G4772" i="18"/>
  <c r="H4772" i="18"/>
  <c r="I4772" i="18"/>
  <c r="J4772" i="18"/>
  <c r="K4772" i="18"/>
  <c r="L4772" i="18"/>
  <c r="B4773" i="18"/>
  <c r="C4773" i="18"/>
  <c r="D4773" i="18"/>
  <c r="E4773" i="18"/>
  <c r="F4773" i="18"/>
  <c r="G4773" i="18"/>
  <c r="H4773" i="18"/>
  <c r="I4773" i="18"/>
  <c r="J4773" i="18"/>
  <c r="K4773" i="18"/>
  <c r="L4773" i="18"/>
  <c r="B4774" i="18"/>
  <c r="C4774" i="18"/>
  <c r="D4774" i="18"/>
  <c r="E4774" i="18"/>
  <c r="F4774" i="18"/>
  <c r="G4774" i="18"/>
  <c r="H4774" i="18"/>
  <c r="I4774" i="18"/>
  <c r="J4774" i="18"/>
  <c r="K4774" i="18"/>
  <c r="L4774" i="18"/>
  <c r="B4775" i="18"/>
  <c r="C4775" i="18"/>
  <c r="D4775" i="18"/>
  <c r="E4775" i="18"/>
  <c r="F4775" i="18"/>
  <c r="G4775" i="18"/>
  <c r="H4775" i="18"/>
  <c r="I4775" i="18"/>
  <c r="J4775" i="18"/>
  <c r="K4775" i="18"/>
  <c r="L4775" i="18"/>
  <c r="B4776" i="18"/>
  <c r="C4776" i="18"/>
  <c r="D4776" i="18"/>
  <c r="E4776" i="18"/>
  <c r="F4776" i="18"/>
  <c r="G4776" i="18"/>
  <c r="H4776" i="18"/>
  <c r="I4776" i="18"/>
  <c r="J4776" i="18"/>
  <c r="K4776" i="18"/>
  <c r="L4776" i="18"/>
  <c r="B4777" i="18"/>
  <c r="C4777" i="18"/>
  <c r="D4777" i="18"/>
  <c r="E4777" i="18"/>
  <c r="F4777" i="18"/>
  <c r="G4777" i="18"/>
  <c r="H4777" i="18"/>
  <c r="I4777" i="18"/>
  <c r="J4777" i="18"/>
  <c r="K4777" i="18"/>
  <c r="L4777" i="18"/>
  <c r="B4778" i="18"/>
  <c r="C4778" i="18"/>
  <c r="D4778" i="18"/>
  <c r="E4778" i="18"/>
  <c r="F4778" i="18"/>
  <c r="G4778" i="18"/>
  <c r="H4778" i="18"/>
  <c r="I4778" i="18"/>
  <c r="J4778" i="18"/>
  <c r="K4778" i="18"/>
  <c r="L4778" i="18"/>
  <c r="B4779" i="18"/>
  <c r="C4779" i="18"/>
  <c r="D4779" i="18"/>
  <c r="E4779" i="18"/>
  <c r="F4779" i="18"/>
  <c r="G4779" i="18"/>
  <c r="H4779" i="18"/>
  <c r="I4779" i="18"/>
  <c r="J4779" i="18"/>
  <c r="K4779" i="18"/>
  <c r="L4779" i="18"/>
  <c r="B4780" i="18"/>
  <c r="C4780" i="18"/>
  <c r="D4780" i="18"/>
  <c r="E4780" i="18"/>
  <c r="F4780" i="18"/>
  <c r="G4780" i="18"/>
  <c r="H4780" i="18"/>
  <c r="I4780" i="18"/>
  <c r="J4780" i="18"/>
  <c r="K4780" i="18"/>
  <c r="L4780" i="18"/>
  <c r="B4781" i="18"/>
  <c r="C4781" i="18"/>
  <c r="D4781" i="18"/>
  <c r="E4781" i="18"/>
  <c r="F4781" i="18"/>
  <c r="G4781" i="18"/>
  <c r="H4781" i="18"/>
  <c r="I4781" i="18"/>
  <c r="J4781" i="18"/>
  <c r="K4781" i="18"/>
  <c r="L4781" i="18"/>
  <c r="B4782" i="18"/>
  <c r="C4782" i="18"/>
  <c r="D4782" i="18"/>
  <c r="E4782" i="18"/>
  <c r="F4782" i="18"/>
  <c r="G4782" i="18"/>
  <c r="H4782" i="18"/>
  <c r="I4782" i="18"/>
  <c r="J4782" i="18"/>
  <c r="K4782" i="18"/>
  <c r="L4782" i="18"/>
  <c r="B4783" i="18"/>
  <c r="C4783" i="18"/>
  <c r="D4783" i="18"/>
  <c r="E4783" i="18"/>
  <c r="F4783" i="18"/>
  <c r="G4783" i="18"/>
  <c r="H4783" i="18"/>
  <c r="I4783" i="18"/>
  <c r="J4783" i="18"/>
  <c r="K4783" i="18"/>
  <c r="L4783" i="18"/>
  <c r="B4784" i="18"/>
  <c r="C4784" i="18"/>
  <c r="D4784" i="18"/>
  <c r="E4784" i="18"/>
  <c r="F4784" i="18"/>
  <c r="G4784" i="18"/>
  <c r="H4784" i="18"/>
  <c r="I4784" i="18"/>
  <c r="J4784" i="18"/>
  <c r="K4784" i="18"/>
  <c r="L4784" i="18"/>
  <c r="B4785" i="18"/>
  <c r="C4785" i="18"/>
  <c r="D4785" i="18"/>
  <c r="E4785" i="18"/>
  <c r="F4785" i="18"/>
  <c r="G4785" i="18"/>
  <c r="H4785" i="18"/>
  <c r="I4785" i="18"/>
  <c r="J4785" i="18"/>
  <c r="K4785" i="18"/>
  <c r="L4785" i="18"/>
  <c r="B4786" i="18"/>
  <c r="C4786" i="18"/>
  <c r="D4786" i="18"/>
  <c r="E4786" i="18"/>
  <c r="F4786" i="18"/>
  <c r="G4786" i="18"/>
  <c r="H4786" i="18"/>
  <c r="I4786" i="18"/>
  <c r="J4786" i="18"/>
  <c r="K4786" i="18"/>
  <c r="L4786" i="18"/>
  <c r="B4787" i="18"/>
  <c r="C4787" i="18"/>
  <c r="D4787" i="18"/>
  <c r="E4787" i="18"/>
  <c r="F4787" i="18"/>
  <c r="G4787" i="18"/>
  <c r="H4787" i="18"/>
  <c r="I4787" i="18"/>
  <c r="J4787" i="18"/>
  <c r="K4787" i="18"/>
  <c r="L4787" i="18"/>
  <c r="B4788" i="18"/>
  <c r="C4788" i="18"/>
  <c r="D4788" i="18"/>
  <c r="E4788" i="18"/>
  <c r="F4788" i="18"/>
  <c r="G4788" i="18"/>
  <c r="H4788" i="18"/>
  <c r="I4788" i="18"/>
  <c r="J4788" i="18"/>
  <c r="K4788" i="18"/>
  <c r="L4788" i="18"/>
  <c r="B4789" i="18"/>
  <c r="C4789" i="18"/>
  <c r="D4789" i="18"/>
  <c r="E4789" i="18"/>
  <c r="F4789" i="18"/>
  <c r="G4789" i="18"/>
  <c r="H4789" i="18"/>
  <c r="I4789" i="18"/>
  <c r="J4789" i="18"/>
  <c r="K4789" i="18"/>
  <c r="L4789" i="18"/>
  <c r="B4790" i="18"/>
  <c r="C4790" i="18"/>
  <c r="D4790" i="18"/>
  <c r="E4790" i="18"/>
  <c r="F4790" i="18"/>
  <c r="G4790" i="18"/>
  <c r="H4790" i="18"/>
  <c r="I4790" i="18"/>
  <c r="J4790" i="18"/>
  <c r="K4790" i="18"/>
  <c r="L4790" i="18"/>
  <c r="B4791" i="18"/>
  <c r="C4791" i="18"/>
  <c r="D4791" i="18"/>
  <c r="E4791" i="18"/>
  <c r="F4791" i="18"/>
  <c r="G4791" i="18"/>
  <c r="H4791" i="18"/>
  <c r="I4791" i="18"/>
  <c r="J4791" i="18"/>
  <c r="K4791" i="18"/>
  <c r="L4791" i="18"/>
  <c r="B4792" i="18"/>
  <c r="C4792" i="18"/>
  <c r="D4792" i="18"/>
  <c r="E4792" i="18"/>
  <c r="F4792" i="18"/>
  <c r="G4792" i="18"/>
  <c r="H4792" i="18"/>
  <c r="I4792" i="18"/>
  <c r="J4792" i="18"/>
  <c r="K4792" i="18"/>
  <c r="L4792" i="18"/>
  <c r="B4793" i="18"/>
  <c r="C4793" i="18"/>
  <c r="D4793" i="18"/>
  <c r="E4793" i="18"/>
  <c r="F4793" i="18"/>
  <c r="G4793" i="18"/>
  <c r="H4793" i="18"/>
  <c r="I4793" i="18"/>
  <c r="J4793" i="18"/>
  <c r="K4793" i="18"/>
  <c r="L4793" i="18"/>
  <c r="B4794" i="18"/>
  <c r="C4794" i="18"/>
  <c r="D4794" i="18"/>
  <c r="E4794" i="18"/>
  <c r="F4794" i="18"/>
  <c r="G4794" i="18"/>
  <c r="H4794" i="18"/>
  <c r="I4794" i="18"/>
  <c r="J4794" i="18"/>
  <c r="K4794" i="18"/>
  <c r="L4794" i="18"/>
  <c r="B4795" i="18"/>
  <c r="C4795" i="18"/>
  <c r="D4795" i="18"/>
  <c r="E4795" i="18"/>
  <c r="F4795" i="18"/>
  <c r="G4795" i="18"/>
  <c r="H4795" i="18"/>
  <c r="I4795" i="18"/>
  <c r="J4795" i="18"/>
  <c r="K4795" i="18"/>
  <c r="L4795" i="18"/>
  <c r="B4796" i="18"/>
  <c r="C4796" i="18"/>
  <c r="D4796" i="18"/>
  <c r="E4796" i="18"/>
  <c r="F4796" i="18"/>
  <c r="G4796" i="18"/>
  <c r="H4796" i="18"/>
  <c r="I4796" i="18"/>
  <c r="J4796" i="18"/>
  <c r="K4796" i="18"/>
  <c r="L4796" i="18"/>
  <c r="B4797" i="18"/>
  <c r="C4797" i="18"/>
  <c r="D4797" i="18"/>
  <c r="E4797" i="18"/>
  <c r="F4797" i="18"/>
  <c r="G4797" i="18"/>
  <c r="H4797" i="18"/>
  <c r="I4797" i="18"/>
  <c r="J4797" i="18"/>
  <c r="K4797" i="18"/>
  <c r="L4797" i="18"/>
  <c r="B4798" i="18"/>
  <c r="C4798" i="18"/>
  <c r="D4798" i="18"/>
  <c r="E4798" i="18"/>
  <c r="F4798" i="18"/>
  <c r="G4798" i="18"/>
  <c r="H4798" i="18"/>
  <c r="I4798" i="18"/>
  <c r="J4798" i="18"/>
  <c r="K4798" i="18"/>
  <c r="L4798" i="18"/>
  <c r="B4799" i="18"/>
  <c r="C4799" i="18"/>
  <c r="D4799" i="18"/>
  <c r="E4799" i="18"/>
  <c r="F4799" i="18"/>
  <c r="G4799" i="18"/>
  <c r="H4799" i="18"/>
  <c r="I4799" i="18"/>
  <c r="J4799" i="18"/>
  <c r="K4799" i="18"/>
  <c r="L4799" i="18"/>
  <c r="B4800" i="18"/>
  <c r="C4800" i="18"/>
  <c r="D4800" i="18"/>
  <c r="E4800" i="18"/>
  <c r="F4800" i="18"/>
  <c r="G4800" i="18"/>
  <c r="H4800" i="18"/>
  <c r="I4800" i="18"/>
  <c r="J4800" i="18"/>
  <c r="K4800" i="18"/>
  <c r="L4800" i="18"/>
  <c r="B4801" i="18"/>
  <c r="C4801" i="18"/>
  <c r="D4801" i="18"/>
  <c r="E4801" i="18"/>
  <c r="F4801" i="18"/>
  <c r="G4801" i="18"/>
  <c r="H4801" i="18"/>
  <c r="I4801" i="18"/>
  <c r="J4801" i="18"/>
  <c r="K4801" i="18"/>
  <c r="L4801" i="18"/>
  <c r="B4802" i="18"/>
  <c r="C4802" i="18"/>
  <c r="D4802" i="18"/>
  <c r="E4802" i="18"/>
  <c r="F4802" i="18"/>
  <c r="G4802" i="18"/>
  <c r="H4802" i="18"/>
  <c r="I4802" i="18"/>
  <c r="J4802" i="18"/>
  <c r="K4802" i="18"/>
  <c r="L4802" i="18"/>
  <c r="B4803" i="18"/>
  <c r="C4803" i="18"/>
  <c r="D4803" i="18"/>
  <c r="E4803" i="18"/>
  <c r="F4803" i="18"/>
  <c r="G4803" i="18"/>
  <c r="H4803" i="18"/>
  <c r="I4803" i="18"/>
  <c r="J4803" i="18"/>
  <c r="K4803" i="18"/>
  <c r="L4803" i="18"/>
  <c r="B4804" i="18"/>
  <c r="C4804" i="18"/>
  <c r="D4804" i="18"/>
  <c r="E4804" i="18"/>
  <c r="F4804" i="18"/>
  <c r="G4804" i="18"/>
  <c r="H4804" i="18"/>
  <c r="I4804" i="18"/>
  <c r="J4804" i="18"/>
  <c r="K4804" i="18"/>
  <c r="L4804" i="18"/>
  <c r="B4805" i="18"/>
  <c r="C4805" i="18"/>
  <c r="D4805" i="18"/>
  <c r="E4805" i="18"/>
  <c r="F4805" i="18"/>
  <c r="G4805" i="18"/>
  <c r="H4805" i="18"/>
  <c r="I4805" i="18"/>
  <c r="J4805" i="18"/>
  <c r="K4805" i="18"/>
  <c r="L4805" i="18"/>
  <c r="B4806" i="18"/>
  <c r="C4806" i="18"/>
  <c r="D4806" i="18"/>
  <c r="E4806" i="18"/>
  <c r="F4806" i="18"/>
  <c r="G4806" i="18"/>
  <c r="H4806" i="18"/>
  <c r="I4806" i="18"/>
  <c r="J4806" i="18"/>
  <c r="K4806" i="18"/>
  <c r="L4806" i="18"/>
  <c r="B4807" i="18"/>
  <c r="C4807" i="18"/>
  <c r="D4807" i="18"/>
  <c r="E4807" i="18"/>
  <c r="F4807" i="18"/>
  <c r="G4807" i="18"/>
  <c r="H4807" i="18"/>
  <c r="I4807" i="18"/>
  <c r="J4807" i="18"/>
  <c r="K4807" i="18"/>
  <c r="L4807" i="18"/>
  <c r="B4808" i="18"/>
  <c r="C4808" i="18"/>
  <c r="D4808" i="18"/>
  <c r="E4808" i="18"/>
  <c r="F4808" i="18"/>
  <c r="G4808" i="18"/>
  <c r="H4808" i="18"/>
  <c r="I4808" i="18"/>
  <c r="J4808" i="18"/>
  <c r="K4808" i="18"/>
  <c r="L4808" i="18"/>
  <c r="B4809" i="18"/>
  <c r="C4809" i="18"/>
  <c r="D4809" i="18"/>
  <c r="E4809" i="18"/>
  <c r="F4809" i="18"/>
  <c r="G4809" i="18"/>
  <c r="H4809" i="18"/>
  <c r="I4809" i="18"/>
  <c r="J4809" i="18"/>
  <c r="K4809" i="18"/>
  <c r="L4809" i="18"/>
  <c r="B4810" i="18"/>
  <c r="C4810" i="18"/>
  <c r="D4810" i="18"/>
  <c r="E4810" i="18"/>
  <c r="F4810" i="18"/>
  <c r="G4810" i="18"/>
  <c r="H4810" i="18"/>
  <c r="I4810" i="18"/>
  <c r="J4810" i="18"/>
  <c r="K4810" i="18"/>
  <c r="L4810" i="18"/>
  <c r="B4811" i="18"/>
  <c r="C4811" i="18"/>
  <c r="D4811" i="18"/>
  <c r="E4811" i="18"/>
  <c r="F4811" i="18"/>
  <c r="G4811" i="18"/>
  <c r="H4811" i="18"/>
  <c r="I4811" i="18"/>
  <c r="J4811" i="18"/>
  <c r="K4811" i="18"/>
  <c r="L4811" i="18"/>
  <c r="B4812" i="18"/>
  <c r="C4812" i="18"/>
  <c r="D4812" i="18"/>
  <c r="E4812" i="18"/>
  <c r="F4812" i="18"/>
  <c r="G4812" i="18"/>
  <c r="H4812" i="18"/>
  <c r="I4812" i="18"/>
  <c r="J4812" i="18"/>
  <c r="K4812" i="18"/>
  <c r="L4812" i="18"/>
  <c r="B4813" i="18"/>
  <c r="C4813" i="18"/>
  <c r="D4813" i="18"/>
  <c r="E4813" i="18"/>
  <c r="F4813" i="18"/>
  <c r="G4813" i="18"/>
  <c r="H4813" i="18"/>
  <c r="I4813" i="18"/>
  <c r="J4813" i="18"/>
  <c r="K4813" i="18"/>
  <c r="L4813" i="18"/>
  <c r="B4814" i="18"/>
  <c r="C4814" i="18"/>
  <c r="D4814" i="18"/>
  <c r="E4814" i="18"/>
  <c r="F4814" i="18"/>
  <c r="G4814" i="18"/>
  <c r="H4814" i="18"/>
  <c r="I4814" i="18"/>
  <c r="J4814" i="18"/>
  <c r="K4814" i="18"/>
  <c r="L4814" i="18"/>
  <c r="B4815" i="18"/>
  <c r="C4815" i="18"/>
  <c r="D4815" i="18"/>
  <c r="E4815" i="18"/>
  <c r="F4815" i="18"/>
  <c r="G4815" i="18"/>
  <c r="H4815" i="18"/>
  <c r="I4815" i="18"/>
  <c r="J4815" i="18"/>
  <c r="K4815" i="18"/>
  <c r="L4815" i="18"/>
  <c r="B4816" i="18"/>
  <c r="C4816" i="18"/>
  <c r="D4816" i="18"/>
  <c r="E4816" i="18"/>
  <c r="F4816" i="18"/>
  <c r="G4816" i="18"/>
  <c r="H4816" i="18"/>
  <c r="I4816" i="18"/>
  <c r="J4816" i="18"/>
  <c r="K4816" i="18"/>
  <c r="L4816" i="18"/>
  <c r="B4817" i="18"/>
  <c r="C4817" i="18"/>
  <c r="D4817" i="18"/>
  <c r="E4817" i="18"/>
  <c r="F4817" i="18"/>
  <c r="G4817" i="18"/>
  <c r="H4817" i="18"/>
  <c r="I4817" i="18"/>
  <c r="J4817" i="18"/>
  <c r="K4817" i="18"/>
  <c r="L4817" i="18"/>
  <c r="B4818" i="18"/>
  <c r="C4818" i="18"/>
  <c r="D4818" i="18"/>
  <c r="E4818" i="18"/>
  <c r="F4818" i="18"/>
  <c r="G4818" i="18"/>
  <c r="H4818" i="18"/>
  <c r="I4818" i="18"/>
  <c r="J4818" i="18"/>
  <c r="K4818" i="18"/>
  <c r="L4818" i="18"/>
  <c r="B4819" i="18"/>
  <c r="C4819" i="18"/>
  <c r="D4819" i="18"/>
  <c r="E4819" i="18"/>
  <c r="F4819" i="18"/>
  <c r="G4819" i="18"/>
  <c r="H4819" i="18"/>
  <c r="I4819" i="18"/>
  <c r="J4819" i="18"/>
  <c r="K4819" i="18"/>
  <c r="L4819" i="18"/>
  <c r="B4820" i="18"/>
  <c r="C4820" i="18"/>
  <c r="D4820" i="18"/>
  <c r="E4820" i="18"/>
  <c r="F4820" i="18"/>
  <c r="G4820" i="18"/>
  <c r="H4820" i="18"/>
  <c r="I4820" i="18"/>
  <c r="J4820" i="18"/>
  <c r="K4820" i="18"/>
  <c r="L4820" i="18"/>
  <c r="B4821" i="18"/>
  <c r="C4821" i="18"/>
  <c r="D4821" i="18"/>
  <c r="E4821" i="18"/>
  <c r="F4821" i="18"/>
  <c r="G4821" i="18"/>
  <c r="H4821" i="18"/>
  <c r="I4821" i="18"/>
  <c r="J4821" i="18"/>
  <c r="K4821" i="18"/>
  <c r="L4821" i="18"/>
  <c r="B4822" i="18"/>
  <c r="C4822" i="18"/>
  <c r="D4822" i="18"/>
  <c r="E4822" i="18"/>
  <c r="F4822" i="18"/>
  <c r="G4822" i="18"/>
  <c r="H4822" i="18"/>
  <c r="I4822" i="18"/>
  <c r="J4822" i="18"/>
  <c r="K4822" i="18"/>
  <c r="L4822" i="18"/>
  <c r="B4823" i="18"/>
  <c r="C4823" i="18"/>
  <c r="D4823" i="18"/>
  <c r="E4823" i="18"/>
  <c r="F4823" i="18"/>
  <c r="G4823" i="18"/>
  <c r="H4823" i="18"/>
  <c r="I4823" i="18"/>
  <c r="J4823" i="18"/>
  <c r="K4823" i="18"/>
  <c r="L4823" i="18"/>
  <c r="B4824" i="18"/>
  <c r="C4824" i="18"/>
  <c r="D4824" i="18"/>
  <c r="E4824" i="18"/>
  <c r="F4824" i="18"/>
  <c r="G4824" i="18"/>
  <c r="H4824" i="18"/>
  <c r="I4824" i="18"/>
  <c r="J4824" i="18"/>
  <c r="K4824" i="18"/>
  <c r="L4824" i="18"/>
  <c r="B4825" i="18"/>
  <c r="C4825" i="18"/>
  <c r="D4825" i="18"/>
  <c r="E4825" i="18"/>
  <c r="F4825" i="18"/>
  <c r="G4825" i="18"/>
  <c r="H4825" i="18"/>
  <c r="I4825" i="18"/>
  <c r="J4825" i="18"/>
  <c r="K4825" i="18"/>
  <c r="L4825" i="18"/>
  <c r="B4826" i="18"/>
  <c r="C4826" i="18"/>
  <c r="D4826" i="18"/>
  <c r="E4826" i="18"/>
  <c r="F4826" i="18"/>
  <c r="G4826" i="18"/>
  <c r="H4826" i="18"/>
  <c r="I4826" i="18"/>
  <c r="J4826" i="18"/>
  <c r="K4826" i="18"/>
  <c r="L4826" i="18"/>
  <c r="B4827" i="18"/>
  <c r="C4827" i="18"/>
  <c r="D4827" i="18"/>
  <c r="E4827" i="18"/>
  <c r="F4827" i="18"/>
  <c r="G4827" i="18"/>
  <c r="H4827" i="18"/>
  <c r="I4827" i="18"/>
  <c r="J4827" i="18"/>
  <c r="K4827" i="18"/>
  <c r="L4827" i="18"/>
  <c r="B4828" i="18"/>
  <c r="C4828" i="18"/>
  <c r="D4828" i="18"/>
  <c r="E4828" i="18"/>
  <c r="F4828" i="18"/>
  <c r="G4828" i="18"/>
  <c r="H4828" i="18"/>
  <c r="I4828" i="18"/>
  <c r="J4828" i="18"/>
  <c r="K4828" i="18"/>
  <c r="L4828" i="18"/>
  <c r="B4829" i="18"/>
  <c r="C4829" i="18"/>
  <c r="D4829" i="18"/>
  <c r="E4829" i="18"/>
  <c r="F4829" i="18"/>
  <c r="G4829" i="18"/>
  <c r="H4829" i="18"/>
  <c r="I4829" i="18"/>
  <c r="J4829" i="18"/>
  <c r="K4829" i="18"/>
  <c r="L4829" i="18"/>
  <c r="B4830" i="18"/>
  <c r="C4830" i="18"/>
  <c r="D4830" i="18"/>
  <c r="E4830" i="18"/>
  <c r="F4830" i="18"/>
  <c r="G4830" i="18"/>
  <c r="H4830" i="18"/>
  <c r="I4830" i="18"/>
  <c r="J4830" i="18"/>
  <c r="K4830" i="18"/>
  <c r="L4830" i="18"/>
  <c r="B4831" i="18"/>
  <c r="C4831" i="18"/>
  <c r="D4831" i="18"/>
  <c r="E4831" i="18"/>
  <c r="F4831" i="18"/>
  <c r="G4831" i="18"/>
  <c r="H4831" i="18"/>
  <c r="I4831" i="18"/>
  <c r="J4831" i="18"/>
  <c r="K4831" i="18"/>
  <c r="L4831" i="18"/>
  <c r="B4832" i="18"/>
  <c r="C4832" i="18"/>
  <c r="D4832" i="18"/>
  <c r="E4832" i="18"/>
  <c r="F4832" i="18"/>
  <c r="G4832" i="18"/>
  <c r="H4832" i="18"/>
  <c r="I4832" i="18"/>
  <c r="J4832" i="18"/>
  <c r="K4832" i="18"/>
  <c r="L4832" i="18"/>
  <c r="B4833" i="18"/>
  <c r="C4833" i="18"/>
  <c r="D4833" i="18"/>
  <c r="E4833" i="18"/>
  <c r="F4833" i="18"/>
  <c r="G4833" i="18"/>
  <c r="H4833" i="18"/>
  <c r="I4833" i="18"/>
  <c r="J4833" i="18"/>
  <c r="K4833" i="18"/>
  <c r="L4833" i="18"/>
  <c r="B4834" i="18"/>
  <c r="C4834" i="18"/>
  <c r="D4834" i="18"/>
  <c r="E4834" i="18"/>
  <c r="F4834" i="18"/>
  <c r="G4834" i="18"/>
  <c r="H4834" i="18"/>
  <c r="I4834" i="18"/>
  <c r="J4834" i="18"/>
  <c r="K4834" i="18"/>
  <c r="L4834" i="18"/>
  <c r="B4835" i="18"/>
  <c r="C4835" i="18"/>
  <c r="D4835" i="18"/>
  <c r="E4835" i="18"/>
  <c r="F4835" i="18"/>
  <c r="G4835" i="18"/>
  <c r="H4835" i="18"/>
  <c r="I4835" i="18"/>
  <c r="J4835" i="18"/>
  <c r="K4835" i="18"/>
  <c r="L4835" i="18"/>
  <c r="B4836" i="18"/>
  <c r="C4836" i="18"/>
  <c r="D4836" i="18"/>
  <c r="E4836" i="18"/>
  <c r="F4836" i="18"/>
  <c r="G4836" i="18"/>
  <c r="H4836" i="18"/>
  <c r="I4836" i="18"/>
  <c r="J4836" i="18"/>
  <c r="K4836" i="18"/>
  <c r="L4836" i="18"/>
  <c r="B4837" i="18"/>
  <c r="C4837" i="18"/>
  <c r="D4837" i="18"/>
  <c r="E4837" i="18"/>
  <c r="F4837" i="18"/>
  <c r="G4837" i="18"/>
  <c r="H4837" i="18"/>
  <c r="I4837" i="18"/>
  <c r="J4837" i="18"/>
  <c r="K4837" i="18"/>
  <c r="L4837" i="18"/>
  <c r="B4838" i="18"/>
  <c r="C4838" i="18"/>
  <c r="D4838" i="18"/>
  <c r="E4838" i="18"/>
  <c r="F4838" i="18"/>
  <c r="G4838" i="18"/>
  <c r="H4838" i="18"/>
  <c r="I4838" i="18"/>
  <c r="J4838" i="18"/>
  <c r="K4838" i="18"/>
  <c r="L4838" i="18"/>
  <c r="B4839" i="18"/>
  <c r="C4839" i="18"/>
  <c r="D4839" i="18"/>
  <c r="E4839" i="18"/>
  <c r="F4839" i="18"/>
  <c r="G4839" i="18"/>
  <c r="H4839" i="18"/>
  <c r="I4839" i="18"/>
  <c r="J4839" i="18"/>
  <c r="K4839" i="18"/>
  <c r="L4839" i="18"/>
  <c r="B4840" i="18"/>
  <c r="C4840" i="18"/>
  <c r="D4840" i="18"/>
  <c r="E4840" i="18"/>
  <c r="F4840" i="18"/>
  <c r="G4840" i="18"/>
  <c r="H4840" i="18"/>
  <c r="I4840" i="18"/>
  <c r="J4840" i="18"/>
  <c r="K4840" i="18"/>
  <c r="L4840" i="18"/>
  <c r="B4841" i="18"/>
  <c r="C4841" i="18"/>
  <c r="D4841" i="18"/>
  <c r="E4841" i="18"/>
  <c r="F4841" i="18"/>
  <c r="G4841" i="18"/>
  <c r="H4841" i="18"/>
  <c r="I4841" i="18"/>
  <c r="J4841" i="18"/>
  <c r="K4841" i="18"/>
  <c r="L4841" i="18"/>
  <c r="B4842" i="18"/>
  <c r="C4842" i="18"/>
  <c r="D4842" i="18"/>
  <c r="E4842" i="18"/>
  <c r="F4842" i="18"/>
  <c r="G4842" i="18"/>
  <c r="H4842" i="18"/>
  <c r="I4842" i="18"/>
  <c r="J4842" i="18"/>
  <c r="K4842" i="18"/>
  <c r="L4842" i="18"/>
  <c r="B4843" i="18"/>
  <c r="C4843" i="18"/>
  <c r="D4843" i="18"/>
  <c r="E4843" i="18"/>
  <c r="F4843" i="18"/>
  <c r="G4843" i="18"/>
  <c r="H4843" i="18"/>
  <c r="I4843" i="18"/>
  <c r="J4843" i="18"/>
  <c r="K4843" i="18"/>
  <c r="L4843" i="18"/>
  <c r="B4844" i="18"/>
  <c r="C4844" i="18"/>
  <c r="D4844" i="18"/>
  <c r="E4844" i="18"/>
  <c r="F4844" i="18"/>
  <c r="G4844" i="18"/>
  <c r="H4844" i="18"/>
  <c r="I4844" i="18"/>
  <c r="J4844" i="18"/>
  <c r="K4844" i="18"/>
  <c r="L4844" i="18"/>
  <c r="B4845" i="18"/>
  <c r="C4845" i="18"/>
  <c r="D4845" i="18"/>
  <c r="E4845" i="18"/>
  <c r="F4845" i="18"/>
  <c r="G4845" i="18"/>
  <c r="H4845" i="18"/>
  <c r="I4845" i="18"/>
  <c r="J4845" i="18"/>
  <c r="K4845" i="18"/>
  <c r="L4845" i="18"/>
  <c r="B4846" i="18"/>
  <c r="C4846" i="18"/>
  <c r="D4846" i="18"/>
  <c r="E4846" i="18"/>
  <c r="F4846" i="18"/>
  <c r="G4846" i="18"/>
  <c r="H4846" i="18"/>
  <c r="I4846" i="18"/>
  <c r="J4846" i="18"/>
  <c r="K4846" i="18"/>
  <c r="L4846" i="18"/>
  <c r="B4847" i="18"/>
  <c r="C4847" i="18"/>
  <c r="D4847" i="18"/>
  <c r="E4847" i="18"/>
  <c r="F4847" i="18"/>
  <c r="G4847" i="18"/>
  <c r="H4847" i="18"/>
  <c r="I4847" i="18"/>
  <c r="J4847" i="18"/>
  <c r="K4847" i="18"/>
  <c r="L4847" i="18"/>
  <c r="B4848" i="18"/>
  <c r="C4848" i="18"/>
  <c r="D4848" i="18"/>
  <c r="E4848" i="18"/>
  <c r="F4848" i="18"/>
  <c r="G4848" i="18"/>
  <c r="H4848" i="18"/>
  <c r="I4848" i="18"/>
  <c r="J4848" i="18"/>
  <c r="K4848" i="18"/>
  <c r="L4848" i="18"/>
  <c r="B4849" i="18"/>
  <c r="C4849" i="18"/>
  <c r="D4849" i="18"/>
  <c r="E4849" i="18"/>
  <c r="F4849" i="18"/>
  <c r="G4849" i="18"/>
  <c r="H4849" i="18"/>
  <c r="I4849" i="18"/>
  <c r="J4849" i="18"/>
  <c r="K4849" i="18"/>
  <c r="L4849" i="18"/>
  <c r="B4850" i="18"/>
  <c r="C4850" i="18"/>
  <c r="D4850" i="18"/>
  <c r="E4850" i="18"/>
  <c r="F4850" i="18"/>
  <c r="G4850" i="18"/>
  <c r="H4850" i="18"/>
  <c r="I4850" i="18"/>
  <c r="J4850" i="18"/>
  <c r="K4850" i="18"/>
  <c r="L4850" i="18"/>
  <c r="B4851" i="18"/>
  <c r="C4851" i="18"/>
  <c r="D4851" i="18"/>
  <c r="E4851" i="18"/>
  <c r="F4851" i="18"/>
  <c r="G4851" i="18"/>
  <c r="H4851" i="18"/>
  <c r="I4851" i="18"/>
  <c r="J4851" i="18"/>
  <c r="K4851" i="18"/>
  <c r="L4851" i="18"/>
  <c r="B4852" i="18"/>
  <c r="C4852" i="18"/>
  <c r="D4852" i="18"/>
  <c r="E4852" i="18"/>
  <c r="F4852" i="18"/>
  <c r="G4852" i="18"/>
  <c r="H4852" i="18"/>
  <c r="I4852" i="18"/>
  <c r="J4852" i="18"/>
  <c r="K4852" i="18"/>
  <c r="L4852" i="18"/>
  <c r="B4853" i="18"/>
  <c r="C4853" i="18"/>
  <c r="D4853" i="18"/>
  <c r="E4853" i="18"/>
  <c r="F4853" i="18"/>
  <c r="G4853" i="18"/>
  <c r="H4853" i="18"/>
  <c r="I4853" i="18"/>
  <c r="J4853" i="18"/>
  <c r="K4853" i="18"/>
  <c r="L4853" i="18"/>
  <c r="B4854" i="18"/>
  <c r="C4854" i="18"/>
  <c r="D4854" i="18"/>
  <c r="E4854" i="18"/>
  <c r="F4854" i="18"/>
  <c r="G4854" i="18"/>
  <c r="H4854" i="18"/>
  <c r="I4854" i="18"/>
  <c r="J4854" i="18"/>
  <c r="K4854" i="18"/>
  <c r="L4854" i="18"/>
  <c r="B4855" i="18"/>
  <c r="C4855" i="18"/>
  <c r="D4855" i="18"/>
  <c r="E4855" i="18"/>
  <c r="F4855" i="18"/>
  <c r="G4855" i="18"/>
  <c r="H4855" i="18"/>
  <c r="I4855" i="18"/>
  <c r="J4855" i="18"/>
  <c r="K4855" i="18"/>
  <c r="L4855" i="18"/>
  <c r="B4856" i="18"/>
  <c r="C4856" i="18"/>
  <c r="D4856" i="18"/>
  <c r="E4856" i="18"/>
  <c r="F4856" i="18"/>
  <c r="G4856" i="18"/>
  <c r="H4856" i="18"/>
  <c r="I4856" i="18"/>
  <c r="J4856" i="18"/>
  <c r="K4856" i="18"/>
  <c r="L4856" i="18"/>
  <c r="B4857" i="18"/>
  <c r="C4857" i="18"/>
  <c r="D4857" i="18"/>
  <c r="E4857" i="18"/>
  <c r="F4857" i="18"/>
  <c r="G4857" i="18"/>
  <c r="H4857" i="18"/>
  <c r="I4857" i="18"/>
  <c r="J4857" i="18"/>
  <c r="K4857" i="18"/>
  <c r="L4857" i="18"/>
  <c r="B4858" i="18"/>
  <c r="C4858" i="18"/>
  <c r="D4858" i="18"/>
  <c r="E4858" i="18"/>
  <c r="F4858" i="18"/>
  <c r="G4858" i="18"/>
  <c r="H4858" i="18"/>
  <c r="I4858" i="18"/>
  <c r="J4858" i="18"/>
  <c r="K4858" i="18"/>
  <c r="L4858" i="18"/>
  <c r="B4859" i="18"/>
  <c r="C4859" i="18"/>
  <c r="D4859" i="18"/>
  <c r="E4859" i="18"/>
  <c r="F4859" i="18"/>
  <c r="G4859" i="18"/>
  <c r="H4859" i="18"/>
  <c r="I4859" i="18"/>
  <c r="J4859" i="18"/>
  <c r="K4859" i="18"/>
  <c r="L4859" i="18"/>
  <c r="B4860" i="18"/>
  <c r="C4860" i="18"/>
  <c r="D4860" i="18"/>
  <c r="E4860" i="18"/>
  <c r="F4860" i="18"/>
  <c r="G4860" i="18"/>
  <c r="H4860" i="18"/>
  <c r="I4860" i="18"/>
  <c r="J4860" i="18"/>
  <c r="K4860" i="18"/>
  <c r="L4860" i="18"/>
  <c r="B4861" i="18"/>
  <c r="C4861" i="18"/>
  <c r="D4861" i="18"/>
  <c r="E4861" i="18"/>
  <c r="F4861" i="18"/>
  <c r="G4861" i="18"/>
  <c r="H4861" i="18"/>
  <c r="I4861" i="18"/>
  <c r="J4861" i="18"/>
  <c r="K4861" i="18"/>
  <c r="L4861" i="18"/>
  <c r="B4862" i="18"/>
  <c r="C4862" i="18"/>
  <c r="D4862" i="18"/>
  <c r="E4862" i="18"/>
  <c r="F4862" i="18"/>
  <c r="G4862" i="18"/>
  <c r="H4862" i="18"/>
  <c r="I4862" i="18"/>
  <c r="J4862" i="18"/>
  <c r="K4862" i="18"/>
  <c r="L4862" i="18"/>
  <c r="B4863" i="18"/>
  <c r="C4863" i="18"/>
  <c r="D4863" i="18"/>
  <c r="E4863" i="18"/>
  <c r="F4863" i="18"/>
  <c r="G4863" i="18"/>
  <c r="H4863" i="18"/>
  <c r="I4863" i="18"/>
  <c r="J4863" i="18"/>
  <c r="K4863" i="18"/>
  <c r="L4863" i="18"/>
  <c r="B4864" i="18"/>
  <c r="C4864" i="18"/>
  <c r="D4864" i="18"/>
  <c r="E4864" i="18"/>
  <c r="F4864" i="18"/>
  <c r="G4864" i="18"/>
  <c r="H4864" i="18"/>
  <c r="I4864" i="18"/>
  <c r="J4864" i="18"/>
  <c r="K4864" i="18"/>
  <c r="L4864" i="18"/>
  <c r="B4865" i="18"/>
  <c r="C4865" i="18"/>
  <c r="D4865" i="18"/>
  <c r="E4865" i="18"/>
  <c r="F4865" i="18"/>
  <c r="G4865" i="18"/>
  <c r="H4865" i="18"/>
  <c r="I4865" i="18"/>
  <c r="J4865" i="18"/>
  <c r="K4865" i="18"/>
  <c r="L4865" i="18"/>
  <c r="B4866" i="18"/>
  <c r="C4866" i="18"/>
  <c r="D4866" i="18"/>
  <c r="E4866" i="18"/>
  <c r="F4866" i="18"/>
  <c r="G4866" i="18"/>
  <c r="H4866" i="18"/>
  <c r="I4866" i="18"/>
  <c r="J4866" i="18"/>
  <c r="K4866" i="18"/>
  <c r="L4866" i="18"/>
  <c r="B4867" i="18"/>
  <c r="C4867" i="18"/>
  <c r="D4867" i="18"/>
  <c r="E4867" i="18"/>
  <c r="F4867" i="18"/>
  <c r="G4867" i="18"/>
  <c r="H4867" i="18"/>
  <c r="I4867" i="18"/>
  <c r="J4867" i="18"/>
  <c r="K4867" i="18"/>
  <c r="L4867" i="18"/>
  <c r="B4868" i="18"/>
  <c r="C4868" i="18"/>
  <c r="D4868" i="18"/>
  <c r="E4868" i="18"/>
  <c r="F4868" i="18"/>
  <c r="G4868" i="18"/>
  <c r="H4868" i="18"/>
  <c r="I4868" i="18"/>
  <c r="J4868" i="18"/>
  <c r="K4868" i="18"/>
  <c r="L4868" i="18"/>
  <c r="B4869" i="18"/>
  <c r="C4869" i="18"/>
  <c r="D4869" i="18"/>
  <c r="E4869" i="18"/>
  <c r="F4869" i="18"/>
  <c r="G4869" i="18"/>
  <c r="H4869" i="18"/>
  <c r="I4869" i="18"/>
  <c r="J4869" i="18"/>
  <c r="K4869" i="18"/>
  <c r="L4869" i="18"/>
  <c r="B4870" i="18"/>
  <c r="C4870" i="18"/>
  <c r="D4870" i="18"/>
  <c r="E4870" i="18"/>
  <c r="F4870" i="18"/>
  <c r="G4870" i="18"/>
  <c r="H4870" i="18"/>
  <c r="I4870" i="18"/>
  <c r="J4870" i="18"/>
  <c r="K4870" i="18"/>
  <c r="L4870" i="18"/>
  <c r="B4871" i="18"/>
  <c r="C4871" i="18"/>
  <c r="D4871" i="18"/>
  <c r="E4871" i="18"/>
  <c r="F4871" i="18"/>
  <c r="G4871" i="18"/>
  <c r="H4871" i="18"/>
  <c r="I4871" i="18"/>
  <c r="J4871" i="18"/>
  <c r="K4871" i="18"/>
  <c r="L4871" i="18"/>
  <c r="B4872" i="18"/>
  <c r="C4872" i="18"/>
  <c r="D4872" i="18"/>
  <c r="E4872" i="18"/>
  <c r="F4872" i="18"/>
  <c r="G4872" i="18"/>
  <c r="H4872" i="18"/>
  <c r="I4872" i="18"/>
  <c r="J4872" i="18"/>
  <c r="K4872" i="18"/>
  <c r="L4872" i="18"/>
  <c r="B4873" i="18"/>
  <c r="C4873" i="18"/>
  <c r="D4873" i="18"/>
  <c r="E4873" i="18"/>
  <c r="F4873" i="18"/>
  <c r="G4873" i="18"/>
  <c r="H4873" i="18"/>
  <c r="I4873" i="18"/>
  <c r="J4873" i="18"/>
  <c r="K4873" i="18"/>
  <c r="L4873" i="18"/>
  <c r="B4874" i="18"/>
  <c r="C4874" i="18"/>
  <c r="D4874" i="18"/>
  <c r="E4874" i="18"/>
  <c r="F4874" i="18"/>
  <c r="G4874" i="18"/>
  <c r="H4874" i="18"/>
  <c r="I4874" i="18"/>
  <c r="J4874" i="18"/>
  <c r="K4874" i="18"/>
  <c r="L4874" i="18"/>
  <c r="B4875" i="18"/>
  <c r="C4875" i="18"/>
  <c r="D4875" i="18"/>
  <c r="E4875" i="18"/>
  <c r="F4875" i="18"/>
  <c r="G4875" i="18"/>
  <c r="H4875" i="18"/>
  <c r="I4875" i="18"/>
  <c r="J4875" i="18"/>
  <c r="K4875" i="18"/>
  <c r="L4875" i="18"/>
  <c r="B4876" i="18"/>
  <c r="C4876" i="18"/>
  <c r="D4876" i="18"/>
  <c r="E4876" i="18"/>
  <c r="F4876" i="18"/>
  <c r="G4876" i="18"/>
  <c r="H4876" i="18"/>
  <c r="I4876" i="18"/>
  <c r="J4876" i="18"/>
  <c r="K4876" i="18"/>
  <c r="L4876" i="18"/>
  <c r="B4877" i="18"/>
  <c r="C4877" i="18"/>
  <c r="D4877" i="18"/>
  <c r="E4877" i="18"/>
  <c r="F4877" i="18"/>
  <c r="G4877" i="18"/>
  <c r="H4877" i="18"/>
  <c r="I4877" i="18"/>
  <c r="J4877" i="18"/>
  <c r="K4877" i="18"/>
  <c r="L4877" i="18"/>
  <c r="B4878" i="18"/>
  <c r="C4878" i="18"/>
  <c r="D4878" i="18"/>
  <c r="E4878" i="18"/>
  <c r="F4878" i="18"/>
  <c r="G4878" i="18"/>
  <c r="H4878" i="18"/>
  <c r="I4878" i="18"/>
  <c r="J4878" i="18"/>
  <c r="K4878" i="18"/>
  <c r="L4878" i="18"/>
  <c r="B4879" i="18"/>
  <c r="C4879" i="18"/>
  <c r="D4879" i="18"/>
  <c r="E4879" i="18"/>
  <c r="F4879" i="18"/>
  <c r="G4879" i="18"/>
  <c r="H4879" i="18"/>
  <c r="I4879" i="18"/>
  <c r="J4879" i="18"/>
  <c r="K4879" i="18"/>
  <c r="L4879" i="18"/>
  <c r="B4880" i="18"/>
  <c r="C4880" i="18"/>
  <c r="D4880" i="18"/>
  <c r="E4880" i="18"/>
  <c r="F4880" i="18"/>
  <c r="G4880" i="18"/>
  <c r="H4880" i="18"/>
  <c r="I4880" i="18"/>
  <c r="J4880" i="18"/>
  <c r="K4880" i="18"/>
  <c r="L4880" i="18"/>
  <c r="B4881" i="18"/>
  <c r="C4881" i="18"/>
  <c r="D4881" i="18"/>
  <c r="E4881" i="18"/>
  <c r="F4881" i="18"/>
  <c r="G4881" i="18"/>
  <c r="H4881" i="18"/>
  <c r="I4881" i="18"/>
  <c r="J4881" i="18"/>
  <c r="K4881" i="18"/>
  <c r="L4881" i="18"/>
  <c r="B4882" i="18"/>
  <c r="C4882" i="18"/>
  <c r="D4882" i="18"/>
  <c r="E4882" i="18"/>
  <c r="F4882" i="18"/>
  <c r="G4882" i="18"/>
  <c r="H4882" i="18"/>
  <c r="I4882" i="18"/>
  <c r="J4882" i="18"/>
  <c r="K4882" i="18"/>
  <c r="L4882" i="18"/>
  <c r="B4883" i="18"/>
  <c r="C4883" i="18"/>
  <c r="D4883" i="18"/>
  <c r="E4883" i="18"/>
  <c r="F4883" i="18"/>
  <c r="G4883" i="18"/>
  <c r="H4883" i="18"/>
  <c r="I4883" i="18"/>
  <c r="J4883" i="18"/>
  <c r="K4883" i="18"/>
  <c r="L4883" i="18"/>
  <c r="B4884" i="18"/>
  <c r="C4884" i="18"/>
  <c r="D4884" i="18"/>
  <c r="E4884" i="18"/>
  <c r="F4884" i="18"/>
  <c r="G4884" i="18"/>
  <c r="H4884" i="18"/>
  <c r="I4884" i="18"/>
  <c r="J4884" i="18"/>
  <c r="K4884" i="18"/>
  <c r="L4884" i="18"/>
  <c r="B4885" i="18"/>
  <c r="C4885" i="18"/>
  <c r="D4885" i="18"/>
  <c r="E4885" i="18"/>
  <c r="F4885" i="18"/>
  <c r="G4885" i="18"/>
  <c r="H4885" i="18"/>
  <c r="I4885" i="18"/>
  <c r="J4885" i="18"/>
  <c r="K4885" i="18"/>
  <c r="L4885" i="18"/>
  <c r="B4886" i="18"/>
  <c r="C4886" i="18"/>
  <c r="D4886" i="18"/>
  <c r="E4886" i="18"/>
  <c r="F4886" i="18"/>
  <c r="G4886" i="18"/>
  <c r="H4886" i="18"/>
  <c r="I4886" i="18"/>
  <c r="J4886" i="18"/>
  <c r="K4886" i="18"/>
  <c r="L4886" i="18"/>
  <c r="B4887" i="18"/>
  <c r="C4887" i="18"/>
  <c r="D4887" i="18"/>
  <c r="E4887" i="18"/>
  <c r="F4887" i="18"/>
  <c r="G4887" i="18"/>
  <c r="H4887" i="18"/>
  <c r="I4887" i="18"/>
  <c r="J4887" i="18"/>
  <c r="K4887" i="18"/>
  <c r="L4887" i="18"/>
  <c r="B4888" i="18"/>
  <c r="C4888" i="18"/>
  <c r="D4888" i="18"/>
  <c r="E4888" i="18"/>
  <c r="F4888" i="18"/>
  <c r="G4888" i="18"/>
  <c r="H4888" i="18"/>
  <c r="I4888" i="18"/>
  <c r="J4888" i="18"/>
  <c r="K4888" i="18"/>
  <c r="L4888" i="18"/>
  <c r="B4889" i="18"/>
  <c r="C4889" i="18"/>
  <c r="D4889" i="18"/>
  <c r="E4889" i="18"/>
  <c r="F4889" i="18"/>
  <c r="G4889" i="18"/>
  <c r="H4889" i="18"/>
  <c r="I4889" i="18"/>
  <c r="J4889" i="18"/>
  <c r="K4889" i="18"/>
  <c r="L4889" i="18"/>
  <c r="B4890" i="18"/>
  <c r="C4890" i="18"/>
  <c r="D4890" i="18"/>
  <c r="E4890" i="18"/>
  <c r="F4890" i="18"/>
  <c r="G4890" i="18"/>
  <c r="H4890" i="18"/>
  <c r="I4890" i="18"/>
  <c r="J4890" i="18"/>
  <c r="K4890" i="18"/>
  <c r="L4890" i="18"/>
  <c r="B4891" i="18"/>
  <c r="C4891" i="18"/>
  <c r="D4891" i="18"/>
  <c r="E4891" i="18"/>
  <c r="F4891" i="18"/>
  <c r="G4891" i="18"/>
  <c r="H4891" i="18"/>
  <c r="I4891" i="18"/>
  <c r="J4891" i="18"/>
  <c r="K4891" i="18"/>
  <c r="L4891" i="18"/>
  <c r="B4892" i="18"/>
  <c r="C4892" i="18"/>
  <c r="D4892" i="18"/>
  <c r="E4892" i="18"/>
  <c r="F4892" i="18"/>
  <c r="G4892" i="18"/>
  <c r="H4892" i="18"/>
  <c r="I4892" i="18"/>
  <c r="J4892" i="18"/>
  <c r="K4892" i="18"/>
  <c r="L4892" i="18"/>
  <c r="B4893" i="18"/>
  <c r="C4893" i="18"/>
  <c r="D4893" i="18"/>
  <c r="E4893" i="18"/>
  <c r="F4893" i="18"/>
  <c r="G4893" i="18"/>
  <c r="H4893" i="18"/>
  <c r="I4893" i="18"/>
  <c r="J4893" i="18"/>
  <c r="K4893" i="18"/>
  <c r="L4893" i="18"/>
  <c r="B4894" i="18"/>
  <c r="C4894" i="18"/>
  <c r="D4894" i="18"/>
  <c r="E4894" i="18"/>
  <c r="F4894" i="18"/>
  <c r="G4894" i="18"/>
  <c r="H4894" i="18"/>
  <c r="I4894" i="18"/>
  <c r="J4894" i="18"/>
  <c r="K4894" i="18"/>
  <c r="L4894" i="18"/>
  <c r="B4895" i="18"/>
  <c r="C4895" i="18"/>
  <c r="D4895" i="18"/>
  <c r="E4895" i="18"/>
  <c r="F4895" i="18"/>
  <c r="G4895" i="18"/>
  <c r="H4895" i="18"/>
  <c r="I4895" i="18"/>
  <c r="J4895" i="18"/>
  <c r="K4895" i="18"/>
  <c r="L4895" i="18"/>
  <c r="B4896" i="18"/>
  <c r="C4896" i="18"/>
  <c r="D4896" i="18"/>
  <c r="E4896" i="18"/>
  <c r="F4896" i="18"/>
  <c r="G4896" i="18"/>
  <c r="H4896" i="18"/>
  <c r="I4896" i="18"/>
  <c r="J4896" i="18"/>
  <c r="K4896" i="18"/>
  <c r="L4896" i="18"/>
  <c r="B4897" i="18"/>
  <c r="C4897" i="18"/>
  <c r="D4897" i="18"/>
  <c r="E4897" i="18"/>
  <c r="F4897" i="18"/>
  <c r="G4897" i="18"/>
  <c r="H4897" i="18"/>
  <c r="I4897" i="18"/>
  <c r="J4897" i="18"/>
  <c r="K4897" i="18"/>
  <c r="L4897" i="18"/>
  <c r="B4898" i="18"/>
  <c r="C4898" i="18"/>
  <c r="D4898" i="18"/>
  <c r="E4898" i="18"/>
  <c r="F4898" i="18"/>
  <c r="G4898" i="18"/>
  <c r="H4898" i="18"/>
  <c r="I4898" i="18"/>
  <c r="J4898" i="18"/>
  <c r="K4898" i="18"/>
  <c r="L4898" i="18"/>
  <c r="B4899" i="18"/>
  <c r="C4899" i="18"/>
  <c r="D4899" i="18"/>
  <c r="E4899" i="18"/>
  <c r="F4899" i="18"/>
  <c r="G4899" i="18"/>
  <c r="H4899" i="18"/>
  <c r="I4899" i="18"/>
  <c r="J4899" i="18"/>
  <c r="K4899" i="18"/>
  <c r="L4899" i="18"/>
  <c r="B4900" i="18"/>
  <c r="C4900" i="18"/>
  <c r="D4900" i="18"/>
  <c r="E4900" i="18"/>
  <c r="F4900" i="18"/>
  <c r="G4900" i="18"/>
  <c r="H4900" i="18"/>
  <c r="I4900" i="18"/>
  <c r="J4900" i="18"/>
  <c r="K4900" i="18"/>
  <c r="L4900" i="18"/>
  <c r="B4901" i="18"/>
  <c r="C4901" i="18"/>
  <c r="D4901" i="18"/>
  <c r="E4901" i="18"/>
  <c r="F4901" i="18"/>
  <c r="G4901" i="18"/>
  <c r="H4901" i="18"/>
  <c r="I4901" i="18"/>
  <c r="J4901" i="18"/>
  <c r="K4901" i="18"/>
  <c r="L4901" i="18"/>
  <c r="B4902" i="18"/>
  <c r="C4902" i="18"/>
  <c r="D4902" i="18"/>
  <c r="E4902" i="18"/>
  <c r="F4902" i="18"/>
  <c r="G4902" i="18"/>
  <c r="H4902" i="18"/>
  <c r="I4902" i="18"/>
  <c r="J4902" i="18"/>
  <c r="K4902" i="18"/>
  <c r="L4902" i="18"/>
  <c r="B4903" i="18"/>
  <c r="C4903" i="18"/>
  <c r="D4903" i="18"/>
  <c r="E4903" i="18"/>
  <c r="F4903" i="18"/>
  <c r="G4903" i="18"/>
  <c r="H4903" i="18"/>
  <c r="I4903" i="18"/>
  <c r="J4903" i="18"/>
  <c r="K4903" i="18"/>
  <c r="L4903" i="18"/>
  <c r="B4904" i="18"/>
  <c r="C4904" i="18"/>
  <c r="D4904" i="18"/>
  <c r="E4904" i="18"/>
  <c r="F4904" i="18"/>
  <c r="G4904" i="18"/>
  <c r="H4904" i="18"/>
  <c r="I4904" i="18"/>
  <c r="J4904" i="18"/>
  <c r="K4904" i="18"/>
  <c r="L4904" i="18"/>
  <c r="B4905" i="18"/>
  <c r="C4905" i="18"/>
  <c r="D4905" i="18"/>
  <c r="E4905" i="18"/>
  <c r="F4905" i="18"/>
  <c r="G4905" i="18"/>
  <c r="H4905" i="18"/>
  <c r="I4905" i="18"/>
  <c r="J4905" i="18"/>
  <c r="K4905" i="18"/>
  <c r="L4905" i="18"/>
  <c r="B4906" i="18"/>
  <c r="C4906" i="18"/>
  <c r="D4906" i="18"/>
  <c r="E4906" i="18"/>
  <c r="F4906" i="18"/>
  <c r="G4906" i="18"/>
  <c r="H4906" i="18"/>
  <c r="I4906" i="18"/>
  <c r="J4906" i="18"/>
  <c r="K4906" i="18"/>
  <c r="L4906" i="18"/>
  <c r="B4907" i="18"/>
  <c r="C4907" i="18"/>
  <c r="D4907" i="18"/>
  <c r="E4907" i="18"/>
  <c r="F4907" i="18"/>
  <c r="G4907" i="18"/>
  <c r="H4907" i="18"/>
  <c r="I4907" i="18"/>
  <c r="J4907" i="18"/>
  <c r="K4907" i="18"/>
  <c r="L4907" i="18"/>
  <c r="B4908" i="18"/>
  <c r="C4908" i="18"/>
  <c r="D4908" i="18"/>
  <c r="E4908" i="18"/>
  <c r="F4908" i="18"/>
  <c r="G4908" i="18"/>
  <c r="H4908" i="18"/>
  <c r="I4908" i="18"/>
  <c r="J4908" i="18"/>
  <c r="K4908" i="18"/>
  <c r="L4908" i="18"/>
  <c r="B4909" i="18"/>
  <c r="C4909" i="18"/>
  <c r="D4909" i="18"/>
  <c r="E4909" i="18"/>
  <c r="F4909" i="18"/>
  <c r="G4909" i="18"/>
  <c r="H4909" i="18"/>
  <c r="I4909" i="18"/>
  <c r="J4909" i="18"/>
  <c r="K4909" i="18"/>
  <c r="L4909" i="18"/>
  <c r="B4910" i="18"/>
  <c r="C4910" i="18"/>
  <c r="D4910" i="18"/>
  <c r="E4910" i="18"/>
  <c r="F4910" i="18"/>
  <c r="G4910" i="18"/>
  <c r="H4910" i="18"/>
  <c r="I4910" i="18"/>
  <c r="J4910" i="18"/>
  <c r="K4910" i="18"/>
  <c r="L4910" i="18"/>
  <c r="B4911" i="18"/>
  <c r="C4911" i="18"/>
  <c r="D4911" i="18"/>
  <c r="E4911" i="18"/>
  <c r="F4911" i="18"/>
  <c r="G4911" i="18"/>
  <c r="H4911" i="18"/>
  <c r="I4911" i="18"/>
  <c r="J4911" i="18"/>
  <c r="K4911" i="18"/>
  <c r="L4911" i="18"/>
  <c r="B4912" i="18"/>
  <c r="C4912" i="18"/>
  <c r="D4912" i="18"/>
  <c r="E4912" i="18"/>
  <c r="F4912" i="18"/>
  <c r="G4912" i="18"/>
  <c r="H4912" i="18"/>
  <c r="I4912" i="18"/>
  <c r="J4912" i="18"/>
  <c r="K4912" i="18"/>
  <c r="L4912" i="18"/>
  <c r="B4913" i="18"/>
  <c r="C4913" i="18"/>
  <c r="D4913" i="18"/>
  <c r="E4913" i="18"/>
  <c r="F4913" i="18"/>
  <c r="G4913" i="18"/>
  <c r="H4913" i="18"/>
  <c r="I4913" i="18"/>
  <c r="J4913" i="18"/>
  <c r="K4913" i="18"/>
  <c r="L4913" i="18"/>
  <c r="B4914" i="18"/>
  <c r="C4914" i="18"/>
  <c r="D4914" i="18"/>
  <c r="E4914" i="18"/>
  <c r="F4914" i="18"/>
  <c r="G4914" i="18"/>
  <c r="H4914" i="18"/>
  <c r="I4914" i="18"/>
  <c r="J4914" i="18"/>
  <c r="K4914" i="18"/>
  <c r="L4914" i="18"/>
  <c r="B4915" i="18"/>
  <c r="C4915" i="18"/>
  <c r="D4915" i="18"/>
  <c r="E4915" i="18"/>
  <c r="F4915" i="18"/>
  <c r="G4915" i="18"/>
  <c r="H4915" i="18"/>
  <c r="I4915" i="18"/>
  <c r="J4915" i="18"/>
  <c r="K4915" i="18"/>
  <c r="L4915" i="18"/>
  <c r="B4916" i="18"/>
  <c r="C4916" i="18"/>
  <c r="D4916" i="18"/>
  <c r="E4916" i="18"/>
  <c r="F4916" i="18"/>
  <c r="G4916" i="18"/>
  <c r="H4916" i="18"/>
  <c r="I4916" i="18"/>
  <c r="J4916" i="18"/>
  <c r="K4916" i="18"/>
  <c r="L4916" i="18"/>
  <c r="B4917" i="18"/>
  <c r="C4917" i="18"/>
  <c r="D4917" i="18"/>
  <c r="E4917" i="18"/>
  <c r="F4917" i="18"/>
  <c r="G4917" i="18"/>
  <c r="H4917" i="18"/>
  <c r="I4917" i="18"/>
  <c r="J4917" i="18"/>
  <c r="K4917" i="18"/>
  <c r="L4917" i="18"/>
  <c r="B4918" i="18"/>
  <c r="C4918" i="18"/>
  <c r="D4918" i="18"/>
  <c r="E4918" i="18"/>
  <c r="F4918" i="18"/>
  <c r="G4918" i="18"/>
  <c r="H4918" i="18"/>
  <c r="I4918" i="18"/>
  <c r="J4918" i="18"/>
  <c r="K4918" i="18"/>
  <c r="L4918" i="18"/>
  <c r="B4919" i="18"/>
  <c r="C4919" i="18"/>
  <c r="D4919" i="18"/>
  <c r="E4919" i="18"/>
  <c r="F4919" i="18"/>
  <c r="G4919" i="18"/>
  <c r="H4919" i="18"/>
  <c r="I4919" i="18"/>
  <c r="J4919" i="18"/>
  <c r="K4919" i="18"/>
  <c r="L4919" i="18"/>
  <c r="B4920" i="18"/>
  <c r="C4920" i="18"/>
  <c r="D4920" i="18"/>
  <c r="E4920" i="18"/>
  <c r="F4920" i="18"/>
  <c r="G4920" i="18"/>
  <c r="H4920" i="18"/>
  <c r="I4920" i="18"/>
  <c r="J4920" i="18"/>
  <c r="K4920" i="18"/>
  <c r="L4920" i="18"/>
  <c r="B4921" i="18"/>
  <c r="C4921" i="18"/>
  <c r="D4921" i="18"/>
  <c r="E4921" i="18"/>
  <c r="F4921" i="18"/>
  <c r="G4921" i="18"/>
  <c r="H4921" i="18"/>
  <c r="I4921" i="18"/>
  <c r="J4921" i="18"/>
  <c r="K4921" i="18"/>
  <c r="L4921" i="18"/>
  <c r="B4922" i="18"/>
  <c r="C4922" i="18"/>
  <c r="D4922" i="18"/>
  <c r="E4922" i="18"/>
  <c r="F4922" i="18"/>
  <c r="G4922" i="18"/>
  <c r="H4922" i="18"/>
  <c r="I4922" i="18"/>
  <c r="J4922" i="18"/>
  <c r="K4922" i="18"/>
  <c r="L4922" i="18"/>
  <c r="B4923" i="18"/>
  <c r="C4923" i="18"/>
  <c r="D4923" i="18"/>
  <c r="E4923" i="18"/>
  <c r="F4923" i="18"/>
  <c r="G4923" i="18"/>
  <c r="H4923" i="18"/>
  <c r="I4923" i="18"/>
  <c r="J4923" i="18"/>
  <c r="K4923" i="18"/>
  <c r="L4923" i="18"/>
  <c r="B4924" i="18"/>
  <c r="C4924" i="18"/>
  <c r="D4924" i="18"/>
  <c r="E4924" i="18"/>
  <c r="F4924" i="18"/>
  <c r="G4924" i="18"/>
  <c r="H4924" i="18"/>
  <c r="I4924" i="18"/>
  <c r="J4924" i="18"/>
  <c r="K4924" i="18"/>
  <c r="L4924" i="18"/>
  <c r="B4925" i="18"/>
  <c r="C4925" i="18"/>
  <c r="D4925" i="18"/>
  <c r="E4925" i="18"/>
  <c r="F4925" i="18"/>
  <c r="G4925" i="18"/>
  <c r="H4925" i="18"/>
  <c r="I4925" i="18"/>
  <c r="J4925" i="18"/>
  <c r="K4925" i="18"/>
  <c r="L4925" i="18"/>
  <c r="B4926" i="18"/>
  <c r="C4926" i="18"/>
  <c r="D4926" i="18"/>
  <c r="E4926" i="18"/>
  <c r="F4926" i="18"/>
  <c r="G4926" i="18"/>
  <c r="H4926" i="18"/>
  <c r="I4926" i="18"/>
  <c r="J4926" i="18"/>
  <c r="K4926" i="18"/>
  <c r="L4926" i="18"/>
  <c r="B4927" i="18"/>
  <c r="C4927" i="18"/>
  <c r="D4927" i="18"/>
  <c r="E4927" i="18"/>
  <c r="F4927" i="18"/>
  <c r="G4927" i="18"/>
  <c r="H4927" i="18"/>
  <c r="I4927" i="18"/>
  <c r="J4927" i="18"/>
  <c r="K4927" i="18"/>
  <c r="L4927" i="18"/>
  <c r="B4928" i="18"/>
  <c r="C4928" i="18"/>
  <c r="D4928" i="18"/>
  <c r="E4928" i="18"/>
  <c r="F4928" i="18"/>
  <c r="G4928" i="18"/>
  <c r="H4928" i="18"/>
  <c r="I4928" i="18"/>
  <c r="J4928" i="18"/>
  <c r="K4928" i="18"/>
  <c r="L4928" i="18"/>
  <c r="B4929" i="18"/>
  <c r="C4929" i="18"/>
  <c r="D4929" i="18"/>
  <c r="E4929" i="18"/>
  <c r="F4929" i="18"/>
  <c r="G4929" i="18"/>
  <c r="H4929" i="18"/>
  <c r="I4929" i="18"/>
  <c r="J4929" i="18"/>
  <c r="K4929" i="18"/>
  <c r="L4929" i="18"/>
  <c r="B4930" i="18"/>
  <c r="C4930" i="18"/>
  <c r="D4930" i="18"/>
  <c r="E4930" i="18"/>
  <c r="F4930" i="18"/>
  <c r="G4930" i="18"/>
  <c r="H4930" i="18"/>
  <c r="I4930" i="18"/>
  <c r="J4930" i="18"/>
  <c r="K4930" i="18"/>
  <c r="L4930" i="18"/>
  <c r="B4931" i="18"/>
  <c r="C4931" i="18"/>
  <c r="D4931" i="18"/>
  <c r="E4931" i="18"/>
  <c r="F4931" i="18"/>
  <c r="G4931" i="18"/>
  <c r="H4931" i="18"/>
  <c r="I4931" i="18"/>
  <c r="J4931" i="18"/>
  <c r="K4931" i="18"/>
  <c r="L4931" i="18"/>
  <c r="B4932" i="18"/>
  <c r="C4932" i="18"/>
  <c r="D4932" i="18"/>
  <c r="E4932" i="18"/>
  <c r="F4932" i="18"/>
  <c r="G4932" i="18"/>
  <c r="H4932" i="18"/>
  <c r="I4932" i="18"/>
  <c r="J4932" i="18"/>
  <c r="K4932" i="18"/>
  <c r="L4932" i="18"/>
  <c r="B4933" i="18"/>
  <c r="C4933" i="18"/>
  <c r="D4933" i="18"/>
  <c r="E4933" i="18"/>
  <c r="F4933" i="18"/>
  <c r="G4933" i="18"/>
  <c r="H4933" i="18"/>
  <c r="I4933" i="18"/>
  <c r="J4933" i="18"/>
  <c r="K4933" i="18"/>
  <c r="L4933" i="18"/>
  <c r="B4934" i="18"/>
  <c r="C4934" i="18"/>
  <c r="D4934" i="18"/>
  <c r="E4934" i="18"/>
  <c r="F4934" i="18"/>
  <c r="G4934" i="18"/>
  <c r="H4934" i="18"/>
  <c r="I4934" i="18"/>
  <c r="J4934" i="18"/>
  <c r="K4934" i="18"/>
  <c r="L4934" i="18"/>
  <c r="B4935" i="18"/>
  <c r="C4935" i="18"/>
  <c r="D4935" i="18"/>
  <c r="E4935" i="18"/>
  <c r="F4935" i="18"/>
  <c r="G4935" i="18"/>
  <c r="H4935" i="18"/>
  <c r="I4935" i="18"/>
  <c r="J4935" i="18"/>
  <c r="K4935" i="18"/>
  <c r="L4935" i="18"/>
  <c r="B4936" i="18"/>
  <c r="C4936" i="18"/>
  <c r="D4936" i="18"/>
  <c r="E4936" i="18"/>
  <c r="F4936" i="18"/>
  <c r="G4936" i="18"/>
  <c r="H4936" i="18"/>
  <c r="I4936" i="18"/>
  <c r="J4936" i="18"/>
  <c r="K4936" i="18"/>
  <c r="L4936" i="18"/>
  <c r="B4937" i="18"/>
  <c r="C4937" i="18"/>
  <c r="D4937" i="18"/>
  <c r="E4937" i="18"/>
  <c r="F4937" i="18"/>
  <c r="G4937" i="18"/>
  <c r="H4937" i="18"/>
  <c r="I4937" i="18"/>
  <c r="J4937" i="18"/>
  <c r="K4937" i="18"/>
  <c r="L4937" i="18"/>
  <c r="B4938" i="18"/>
  <c r="C4938" i="18"/>
  <c r="D4938" i="18"/>
  <c r="E4938" i="18"/>
  <c r="F4938" i="18"/>
  <c r="G4938" i="18"/>
  <c r="H4938" i="18"/>
  <c r="I4938" i="18"/>
  <c r="J4938" i="18"/>
  <c r="K4938" i="18"/>
  <c r="L4938" i="18"/>
  <c r="B4939" i="18"/>
  <c r="C4939" i="18"/>
  <c r="D4939" i="18"/>
  <c r="E4939" i="18"/>
  <c r="F4939" i="18"/>
  <c r="G4939" i="18"/>
  <c r="H4939" i="18"/>
  <c r="I4939" i="18"/>
  <c r="J4939" i="18"/>
  <c r="K4939" i="18"/>
  <c r="L4939" i="18"/>
  <c r="B4940" i="18"/>
  <c r="C4940" i="18"/>
  <c r="D4940" i="18"/>
  <c r="E4940" i="18"/>
  <c r="F4940" i="18"/>
  <c r="G4940" i="18"/>
  <c r="H4940" i="18"/>
  <c r="I4940" i="18"/>
  <c r="J4940" i="18"/>
  <c r="K4940" i="18"/>
  <c r="L4940" i="18"/>
  <c r="B4941" i="18"/>
  <c r="C4941" i="18"/>
  <c r="D4941" i="18"/>
  <c r="E4941" i="18"/>
  <c r="F4941" i="18"/>
  <c r="G4941" i="18"/>
  <c r="H4941" i="18"/>
  <c r="I4941" i="18"/>
  <c r="J4941" i="18"/>
  <c r="K4941" i="18"/>
  <c r="L4941" i="18"/>
  <c r="B4942" i="18"/>
  <c r="C4942" i="18"/>
  <c r="D4942" i="18"/>
  <c r="E4942" i="18"/>
  <c r="F4942" i="18"/>
  <c r="G4942" i="18"/>
  <c r="H4942" i="18"/>
  <c r="I4942" i="18"/>
  <c r="J4942" i="18"/>
  <c r="K4942" i="18"/>
  <c r="L4942" i="18"/>
  <c r="B4943" i="18"/>
  <c r="C4943" i="18"/>
  <c r="D4943" i="18"/>
  <c r="E4943" i="18"/>
  <c r="F4943" i="18"/>
  <c r="G4943" i="18"/>
  <c r="H4943" i="18"/>
  <c r="I4943" i="18"/>
  <c r="J4943" i="18"/>
  <c r="K4943" i="18"/>
  <c r="L4943" i="18"/>
  <c r="B4944" i="18"/>
  <c r="C4944" i="18"/>
  <c r="D4944" i="18"/>
  <c r="E4944" i="18"/>
  <c r="F4944" i="18"/>
  <c r="G4944" i="18"/>
  <c r="H4944" i="18"/>
  <c r="I4944" i="18"/>
  <c r="J4944" i="18"/>
  <c r="K4944" i="18"/>
  <c r="L4944" i="18"/>
  <c r="B4945" i="18"/>
  <c r="C4945" i="18"/>
  <c r="D4945" i="18"/>
  <c r="E4945" i="18"/>
  <c r="F4945" i="18"/>
  <c r="G4945" i="18"/>
  <c r="H4945" i="18"/>
  <c r="I4945" i="18"/>
  <c r="J4945" i="18"/>
  <c r="K4945" i="18"/>
  <c r="L4945" i="18"/>
  <c r="B4946" i="18"/>
  <c r="C4946" i="18"/>
  <c r="D4946" i="18"/>
  <c r="E4946" i="18"/>
  <c r="F4946" i="18"/>
  <c r="G4946" i="18"/>
  <c r="H4946" i="18"/>
  <c r="I4946" i="18"/>
  <c r="J4946" i="18"/>
  <c r="K4946" i="18"/>
  <c r="L4946" i="18"/>
  <c r="B4947" i="18"/>
  <c r="C4947" i="18"/>
  <c r="D4947" i="18"/>
  <c r="E4947" i="18"/>
  <c r="F4947" i="18"/>
  <c r="G4947" i="18"/>
  <c r="H4947" i="18"/>
  <c r="I4947" i="18"/>
  <c r="J4947" i="18"/>
  <c r="K4947" i="18"/>
  <c r="L4947" i="18"/>
  <c r="B4948" i="18"/>
  <c r="C4948" i="18"/>
  <c r="D4948" i="18"/>
  <c r="E4948" i="18"/>
  <c r="F4948" i="18"/>
  <c r="G4948" i="18"/>
  <c r="H4948" i="18"/>
  <c r="I4948" i="18"/>
  <c r="J4948" i="18"/>
  <c r="K4948" i="18"/>
  <c r="L4948" i="18"/>
  <c r="B4949" i="18"/>
  <c r="C4949" i="18"/>
  <c r="D4949" i="18"/>
  <c r="E4949" i="18"/>
  <c r="F4949" i="18"/>
  <c r="G4949" i="18"/>
  <c r="H4949" i="18"/>
  <c r="I4949" i="18"/>
  <c r="J4949" i="18"/>
  <c r="K4949" i="18"/>
  <c r="L4949" i="18"/>
  <c r="B4950" i="18"/>
  <c r="C4950" i="18"/>
  <c r="D4950" i="18"/>
  <c r="E4950" i="18"/>
  <c r="F4950" i="18"/>
  <c r="G4950" i="18"/>
  <c r="H4950" i="18"/>
  <c r="I4950" i="18"/>
  <c r="J4950" i="18"/>
  <c r="K4950" i="18"/>
  <c r="L4950" i="18"/>
  <c r="B4951" i="18"/>
  <c r="C4951" i="18"/>
  <c r="D4951" i="18"/>
  <c r="E4951" i="18"/>
  <c r="F4951" i="18"/>
  <c r="G4951" i="18"/>
  <c r="H4951" i="18"/>
  <c r="I4951" i="18"/>
  <c r="J4951" i="18"/>
  <c r="K4951" i="18"/>
  <c r="L4951" i="18"/>
  <c r="B4952" i="18"/>
  <c r="C4952" i="18"/>
  <c r="D4952" i="18"/>
  <c r="E4952" i="18"/>
  <c r="F4952" i="18"/>
  <c r="G4952" i="18"/>
  <c r="H4952" i="18"/>
  <c r="I4952" i="18"/>
  <c r="J4952" i="18"/>
  <c r="K4952" i="18"/>
  <c r="L4952" i="18"/>
  <c r="B4953" i="18"/>
  <c r="C4953" i="18"/>
  <c r="D4953" i="18"/>
  <c r="E4953" i="18"/>
  <c r="F4953" i="18"/>
  <c r="G4953" i="18"/>
  <c r="H4953" i="18"/>
  <c r="I4953" i="18"/>
  <c r="J4953" i="18"/>
  <c r="K4953" i="18"/>
  <c r="L4953" i="18"/>
  <c r="B4954" i="18"/>
  <c r="C4954" i="18"/>
  <c r="D4954" i="18"/>
  <c r="E4954" i="18"/>
  <c r="F4954" i="18"/>
  <c r="G4954" i="18"/>
  <c r="H4954" i="18"/>
  <c r="I4954" i="18"/>
  <c r="J4954" i="18"/>
  <c r="K4954" i="18"/>
  <c r="L4954" i="18"/>
  <c r="B4955" i="18"/>
  <c r="C4955" i="18"/>
  <c r="D4955" i="18"/>
  <c r="E4955" i="18"/>
  <c r="F4955" i="18"/>
  <c r="G4955" i="18"/>
  <c r="H4955" i="18"/>
  <c r="I4955" i="18"/>
  <c r="J4955" i="18"/>
  <c r="K4955" i="18"/>
  <c r="L4955" i="18"/>
  <c r="B4956" i="18"/>
  <c r="C4956" i="18"/>
  <c r="D4956" i="18"/>
  <c r="E4956" i="18"/>
  <c r="F4956" i="18"/>
  <c r="G4956" i="18"/>
  <c r="H4956" i="18"/>
  <c r="I4956" i="18"/>
  <c r="J4956" i="18"/>
  <c r="K4956" i="18"/>
  <c r="L4956" i="18"/>
  <c r="B4957" i="18"/>
  <c r="C4957" i="18"/>
  <c r="D4957" i="18"/>
  <c r="E4957" i="18"/>
  <c r="F4957" i="18"/>
  <c r="G4957" i="18"/>
  <c r="H4957" i="18"/>
  <c r="I4957" i="18"/>
  <c r="J4957" i="18"/>
  <c r="K4957" i="18"/>
  <c r="L4957" i="18"/>
  <c r="B4958" i="18"/>
  <c r="C4958" i="18"/>
  <c r="D4958" i="18"/>
  <c r="E4958" i="18"/>
  <c r="F4958" i="18"/>
  <c r="G4958" i="18"/>
  <c r="H4958" i="18"/>
  <c r="I4958" i="18"/>
  <c r="J4958" i="18"/>
  <c r="K4958" i="18"/>
  <c r="L4958" i="18"/>
  <c r="B4959" i="18"/>
  <c r="C4959" i="18"/>
  <c r="D4959" i="18"/>
  <c r="E4959" i="18"/>
  <c r="F4959" i="18"/>
  <c r="G4959" i="18"/>
  <c r="H4959" i="18"/>
  <c r="I4959" i="18"/>
  <c r="J4959" i="18"/>
  <c r="K4959" i="18"/>
  <c r="L4959" i="18"/>
  <c r="B4960" i="18"/>
  <c r="C4960" i="18"/>
  <c r="D4960" i="18"/>
  <c r="E4960" i="18"/>
  <c r="F4960" i="18"/>
  <c r="G4960" i="18"/>
  <c r="H4960" i="18"/>
  <c r="I4960" i="18"/>
  <c r="J4960" i="18"/>
  <c r="K4960" i="18"/>
  <c r="L4960" i="18"/>
  <c r="B4961" i="18"/>
  <c r="C4961" i="18"/>
  <c r="D4961" i="18"/>
  <c r="E4961" i="18"/>
  <c r="F4961" i="18"/>
  <c r="G4961" i="18"/>
  <c r="H4961" i="18"/>
  <c r="I4961" i="18"/>
  <c r="J4961" i="18"/>
  <c r="K4961" i="18"/>
  <c r="L4961" i="18"/>
  <c r="B4962" i="18"/>
  <c r="C4962" i="18"/>
  <c r="D4962" i="18"/>
  <c r="E4962" i="18"/>
  <c r="F4962" i="18"/>
  <c r="G4962" i="18"/>
  <c r="H4962" i="18"/>
  <c r="I4962" i="18"/>
  <c r="J4962" i="18"/>
  <c r="K4962" i="18"/>
  <c r="L4962" i="18"/>
  <c r="B4963" i="18"/>
  <c r="C4963" i="18"/>
  <c r="D4963" i="18"/>
  <c r="E4963" i="18"/>
  <c r="F4963" i="18"/>
  <c r="G4963" i="18"/>
  <c r="H4963" i="18"/>
  <c r="I4963" i="18"/>
  <c r="J4963" i="18"/>
  <c r="K4963" i="18"/>
  <c r="L4963" i="18"/>
  <c r="B4964" i="18"/>
  <c r="C4964" i="18"/>
  <c r="D4964" i="18"/>
  <c r="E4964" i="18"/>
  <c r="F4964" i="18"/>
  <c r="G4964" i="18"/>
  <c r="H4964" i="18"/>
  <c r="I4964" i="18"/>
  <c r="J4964" i="18"/>
  <c r="K4964" i="18"/>
  <c r="L4964" i="18"/>
  <c r="B4965" i="18"/>
  <c r="C4965" i="18"/>
  <c r="D4965" i="18"/>
  <c r="E4965" i="18"/>
  <c r="F4965" i="18"/>
  <c r="G4965" i="18"/>
  <c r="H4965" i="18"/>
  <c r="I4965" i="18"/>
  <c r="J4965" i="18"/>
  <c r="K4965" i="18"/>
  <c r="L4965" i="18"/>
  <c r="B4966" i="18"/>
  <c r="C4966" i="18"/>
  <c r="D4966" i="18"/>
  <c r="E4966" i="18"/>
  <c r="F4966" i="18"/>
  <c r="G4966" i="18"/>
  <c r="H4966" i="18"/>
  <c r="I4966" i="18"/>
  <c r="J4966" i="18"/>
  <c r="K4966" i="18"/>
  <c r="L4966" i="18"/>
  <c r="B4967" i="18"/>
  <c r="C4967" i="18"/>
  <c r="D4967" i="18"/>
  <c r="E4967" i="18"/>
  <c r="F4967" i="18"/>
  <c r="G4967" i="18"/>
  <c r="H4967" i="18"/>
  <c r="I4967" i="18"/>
  <c r="J4967" i="18"/>
  <c r="K4967" i="18"/>
  <c r="L4967" i="18"/>
  <c r="B4968" i="18"/>
  <c r="C4968" i="18"/>
  <c r="D4968" i="18"/>
  <c r="E4968" i="18"/>
  <c r="F4968" i="18"/>
  <c r="G4968" i="18"/>
  <c r="H4968" i="18"/>
  <c r="I4968" i="18"/>
  <c r="J4968" i="18"/>
  <c r="K4968" i="18"/>
  <c r="L4968" i="18"/>
  <c r="B4969" i="18"/>
  <c r="C4969" i="18"/>
  <c r="D4969" i="18"/>
  <c r="E4969" i="18"/>
  <c r="F4969" i="18"/>
  <c r="G4969" i="18"/>
  <c r="H4969" i="18"/>
  <c r="I4969" i="18"/>
  <c r="J4969" i="18"/>
  <c r="K4969" i="18"/>
  <c r="L4969" i="18"/>
  <c r="B4970" i="18"/>
  <c r="C4970" i="18"/>
  <c r="D4970" i="18"/>
  <c r="E4970" i="18"/>
  <c r="F4970" i="18"/>
  <c r="G4970" i="18"/>
  <c r="H4970" i="18"/>
  <c r="I4970" i="18"/>
  <c r="J4970" i="18"/>
  <c r="K4970" i="18"/>
  <c r="L4970" i="18"/>
  <c r="B4971" i="18"/>
  <c r="C4971" i="18"/>
  <c r="D4971" i="18"/>
  <c r="E4971" i="18"/>
  <c r="F4971" i="18"/>
  <c r="G4971" i="18"/>
  <c r="H4971" i="18"/>
  <c r="I4971" i="18"/>
  <c r="J4971" i="18"/>
  <c r="K4971" i="18"/>
  <c r="L4971" i="18"/>
  <c r="B4972" i="18"/>
  <c r="C4972" i="18"/>
  <c r="D4972" i="18"/>
  <c r="E4972" i="18"/>
  <c r="F4972" i="18"/>
  <c r="G4972" i="18"/>
  <c r="H4972" i="18"/>
  <c r="I4972" i="18"/>
  <c r="J4972" i="18"/>
  <c r="K4972" i="18"/>
  <c r="L4972" i="18"/>
  <c r="B4973" i="18"/>
  <c r="C4973" i="18"/>
  <c r="D4973" i="18"/>
  <c r="E4973" i="18"/>
  <c r="F4973" i="18"/>
  <c r="G4973" i="18"/>
  <c r="H4973" i="18"/>
  <c r="I4973" i="18"/>
  <c r="J4973" i="18"/>
  <c r="K4973" i="18"/>
  <c r="L4973" i="18"/>
  <c r="B4974" i="18"/>
  <c r="C4974" i="18"/>
  <c r="D4974" i="18"/>
  <c r="E4974" i="18"/>
  <c r="F4974" i="18"/>
  <c r="G4974" i="18"/>
  <c r="H4974" i="18"/>
  <c r="I4974" i="18"/>
  <c r="J4974" i="18"/>
  <c r="K4974" i="18"/>
  <c r="L4974" i="18"/>
  <c r="B4975" i="18"/>
  <c r="C4975" i="18"/>
  <c r="D4975" i="18"/>
  <c r="E4975" i="18"/>
  <c r="F4975" i="18"/>
  <c r="G4975" i="18"/>
  <c r="H4975" i="18"/>
  <c r="I4975" i="18"/>
  <c r="J4975" i="18"/>
  <c r="K4975" i="18"/>
  <c r="L4975" i="18"/>
  <c r="B4976" i="18"/>
  <c r="C4976" i="18"/>
  <c r="D4976" i="18"/>
  <c r="E4976" i="18"/>
  <c r="F4976" i="18"/>
  <c r="G4976" i="18"/>
  <c r="H4976" i="18"/>
  <c r="I4976" i="18"/>
  <c r="J4976" i="18"/>
  <c r="K4976" i="18"/>
  <c r="L4976" i="18"/>
  <c r="B4977" i="18"/>
  <c r="C4977" i="18"/>
  <c r="D4977" i="18"/>
  <c r="E4977" i="18"/>
  <c r="F4977" i="18"/>
  <c r="G4977" i="18"/>
  <c r="H4977" i="18"/>
  <c r="I4977" i="18"/>
  <c r="J4977" i="18"/>
  <c r="K4977" i="18"/>
  <c r="L4977" i="18"/>
  <c r="B4978" i="18"/>
  <c r="C4978" i="18"/>
  <c r="D4978" i="18"/>
  <c r="E4978" i="18"/>
  <c r="F4978" i="18"/>
  <c r="G4978" i="18"/>
  <c r="H4978" i="18"/>
  <c r="I4978" i="18"/>
  <c r="J4978" i="18"/>
  <c r="K4978" i="18"/>
  <c r="L4978" i="18"/>
  <c r="B4979" i="18"/>
  <c r="C4979" i="18"/>
  <c r="D4979" i="18"/>
  <c r="E4979" i="18"/>
  <c r="F4979" i="18"/>
  <c r="G4979" i="18"/>
  <c r="H4979" i="18"/>
  <c r="I4979" i="18"/>
  <c r="J4979" i="18"/>
  <c r="K4979" i="18"/>
  <c r="L4979" i="18"/>
  <c r="B4980" i="18"/>
  <c r="C4980" i="18"/>
  <c r="D4980" i="18"/>
  <c r="E4980" i="18"/>
  <c r="F4980" i="18"/>
  <c r="G4980" i="18"/>
  <c r="H4980" i="18"/>
  <c r="I4980" i="18"/>
  <c r="J4980" i="18"/>
  <c r="K4980" i="18"/>
  <c r="L4980" i="18"/>
  <c r="B4981" i="18"/>
  <c r="C4981" i="18"/>
  <c r="D4981" i="18"/>
  <c r="E4981" i="18"/>
  <c r="F4981" i="18"/>
  <c r="G4981" i="18"/>
  <c r="H4981" i="18"/>
  <c r="I4981" i="18"/>
  <c r="J4981" i="18"/>
  <c r="K4981" i="18"/>
  <c r="L4981" i="18"/>
  <c r="B4982" i="18"/>
  <c r="C4982" i="18"/>
  <c r="D4982" i="18"/>
  <c r="E4982" i="18"/>
  <c r="F4982" i="18"/>
  <c r="G4982" i="18"/>
  <c r="H4982" i="18"/>
  <c r="I4982" i="18"/>
  <c r="J4982" i="18"/>
  <c r="K4982" i="18"/>
  <c r="L4982" i="18"/>
  <c r="B4983" i="18"/>
  <c r="C4983" i="18"/>
  <c r="D4983" i="18"/>
  <c r="E4983" i="18"/>
  <c r="F4983" i="18"/>
  <c r="G4983" i="18"/>
  <c r="H4983" i="18"/>
  <c r="I4983" i="18"/>
  <c r="J4983" i="18"/>
  <c r="K4983" i="18"/>
  <c r="L4983" i="18"/>
  <c r="B4984" i="18"/>
  <c r="C4984" i="18"/>
  <c r="D4984" i="18"/>
  <c r="E4984" i="18"/>
  <c r="F4984" i="18"/>
  <c r="G4984" i="18"/>
  <c r="H4984" i="18"/>
  <c r="I4984" i="18"/>
  <c r="J4984" i="18"/>
  <c r="K4984" i="18"/>
  <c r="L4984" i="18"/>
  <c r="B4985" i="18"/>
  <c r="C4985" i="18"/>
  <c r="D4985" i="18"/>
  <c r="E4985" i="18"/>
  <c r="F4985" i="18"/>
  <c r="G4985" i="18"/>
  <c r="H4985" i="18"/>
  <c r="I4985" i="18"/>
  <c r="J4985" i="18"/>
  <c r="K4985" i="18"/>
  <c r="L4985" i="18"/>
  <c r="B4986" i="18"/>
  <c r="C4986" i="18"/>
  <c r="D4986" i="18"/>
  <c r="E4986" i="18"/>
  <c r="F4986" i="18"/>
  <c r="G4986" i="18"/>
  <c r="H4986" i="18"/>
  <c r="I4986" i="18"/>
  <c r="J4986" i="18"/>
  <c r="K4986" i="18"/>
  <c r="L4986" i="18"/>
  <c r="B4987" i="18"/>
  <c r="C4987" i="18"/>
  <c r="D4987" i="18"/>
  <c r="E4987" i="18"/>
  <c r="F4987" i="18"/>
  <c r="G4987" i="18"/>
  <c r="H4987" i="18"/>
  <c r="I4987" i="18"/>
  <c r="J4987" i="18"/>
  <c r="K4987" i="18"/>
  <c r="L4987" i="18"/>
  <c r="B4988" i="18"/>
  <c r="C4988" i="18"/>
  <c r="D4988" i="18"/>
  <c r="E4988" i="18"/>
  <c r="F4988" i="18"/>
  <c r="G4988" i="18"/>
  <c r="H4988" i="18"/>
  <c r="I4988" i="18"/>
  <c r="J4988" i="18"/>
  <c r="K4988" i="18"/>
  <c r="L4988" i="18"/>
  <c r="B4989" i="18"/>
  <c r="C4989" i="18"/>
  <c r="D4989" i="18"/>
  <c r="E4989" i="18"/>
  <c r="F4989" i="18"/>
  <c r="G4989" i="18"/>
  <c r="H4989" i="18"/>
  <c r="I4989" i="18"/>
  <c r="J4989" i="18"/>
  <c r="K4989" i="18"/>
  <c r="L4989" i="18"/>
  <c r="B4990" i="18"/>
  <c r="C4990" i="18"/>
  <c r="D4990" i="18"/>
  <c r="E4990" i="18"/>
  <c r="F4990" i="18"/>
  <c r="G4990" i="18"/>
  <c r="H4990" i="18"/>
  <c r="I4990" i="18"/>
  <c r="J4990" i="18"/>
  <c r="K4990" i="18"/>
  <c r="L4990" i="18"/>
  <c r="B4991" i="18"/>
  <c r="C4991" i="18"/>
  <c r="D4991" i="18"/>
  <c r="E4991" i="18"/>
  <c r="F4991" i="18"/>
  <c r="G4991" i="18"/>
  <c r="H4991" i="18"/>
  <c r="I4991" i="18"/>
  <c r="J4991" i="18"/>
  <c r="K4991" i="18"/>
  <c r="L4991" i="18"/>
  <c r="B4992" i="18"/>
  <c r="C4992" i="18"/>
  <c r="D4992" i="18"/>
  <c r="E4992" i="18"/>
  <c r="F4992" i="18"/>
  <c r="G4992" i="18"/>
  <c r="H4992" i="18"/>
  <c r="I4992" i="18"/>
  <c r="J4992" i="18"/>
  <c r="K4992" i="18"/>
  <c r="L4992" i="18"/>
  <c r="B4993" i="18"/>
  <c r="C4993" i="18"/>
  <c r="D4993" i="18"/>
  <c r="E4993" i="18"/>
  <c r="F4993" i="18"/>
  <c r="G4993" i="18"/>
  <c r="H4993" i="18"/>
  <c r="I4993" i="18"/>
  <c r="J4993" i="18"/>
  <c r="K4993" i="18"/>
  <c r="L4993" i="18"/>
  <c r="B4994" i="18"/>
  <c r="C4994" i="18"/>
  <c r="D4994" i="18"/>
  <c r="E4994" i="18"/>
  <c r="F4994" i="18"/>
  <c r="G4994" i="18"/>
  <c r="H4994" i="18"/>
  <c r="I4994" i="18"/>
  <c r="J4994" i="18"/>
  <c r="K4994" i="18"/>
  <c r="L4994" i="18"/>
  <c r="B4995" i="18"/>
  <c r="C4995" i="18"/>
  <c r="D4995" i="18"/>
  <c r="E4995" i="18"/>
  <c r="F4995" i="18"/>
  <c r="G4995" i="18"/>
  <c r="H4995" i="18"/>
  <c r="I4995" i="18"/>
  <c r="J4995" i="18"/>
  <c r="K4995" i="18"/>
  <c r="L4995" i="18"/>
  <c r="B4996" i="18"/>
  <c r="C4996" i="18"/>
  <c r="D4996" i="18"/>
  <c r="E4996" i="18"/>
  <c r="F4996" i="18"/>
  <c r="G4996" i="18"/>
  <c r="H4996" i="18"/>
  <c r="I4996" i="18"/>
  <c r="J4996" i="18"/>
  <c r="K4996" i="18"/>
  <c r="L4996" i="18"/>
  <c r="B4997" i="18"/>
  <c r="C4997" i="18"/>
  <c r="D4997" i="18"/>
  <c r="E4997" i="18"/>
  <c r="F4997" i="18"/>
  <c r="G4997" i="18"/>
  <c r="H4997" i="18"/>
  <c r="I4997" i="18"/>
  <c r="J4997" i="18"/>
  <c r="K4997" i="18"/>
  <c r="L4997" i="18"/>
  <c r="B4998" i="18"/>
  <c r="C4998" i="18"/>
  <c r="D4998" i="18"/>
  <c r="E4998" i="18"/>
  <c r="F4998" i="18"/>
  <c r="G4998" i="18"/>
  <c r="H4998" i="18"/>
  <c r="I4998" i="18"/>
  <c r="J4998" i="18"/>
  <c r="K4998" i="18"/>
  <c r="L4998" i="18"/>
  <c r="B4999" i="18"/>
  <c r="C4999" i="18"/>
  <c r="D4999" i="18"/>
  <c r="E4999" i="18"/>
  <c r="F4999" i="18"/>
  <c r="G4999" i="18"/>
  <c r="H4999" i="18"/>
  <c r="I4999" i="18"/>
  <c r="J4999" i="18"/>
  <c r="K4999" i="18"/>
  <c r="L4999" i="18"/>
  <c r="B5000" i="18"/>
  <c r="C5000" i="18"/>
  <c r="D5000" i="18"/>
  <c r="E5000" i="18"/>
  <c r="F5000" i="18"/>
  <c r="G5000" i="18"/>
  <c r="H5000" i="18"/>
  <c r="I5000" i="18"/>
  <c r="J5000" i="18"/>
  <c r="K5000" i="18"/>
  <c r="L5000" i="18"/>
  <c r="B5001" i="18"/>
  <c r="C5001" i="18"/>
  <c r="D5001" i="18"/>
  <c r="E5001" i="18"/>
  <c r="F5001" i="18"/>
  <c r="G5001" i="18"/>
  <c r="H5001" i="18"/>
  <c r="I5001" i="18"/>
  <c r="J5001" i="18"/>
  <c r="K5001" i="18"/>
  <c r="L5001" i="18"/>
  <c r="B5002" i="18"/>
  <c r="C5002" i="18"/>
  <c r="D5002" i="18"/>
  <c r="E5002" i="18"/>
  <c r="F5002" i="18"/>
  <c r="G5002" i="18"/>
  <c r="H5002" i="18"/>
  <c r="I5002" i="18"/>
  <c r="J5002" i="18"/>
  <c r="K5002" i="18"/>
  <c r="L5002" i="18"/>
  <c r="B5003" i="18"/>
  <c r="C5003" i="18"/>
  <c r="D5003" i="18"/>
  <c r="E5003" i="18"/>
  <c r="F5003" i="18"/>
  <c r="G5003" i="18"/>
  <c r="H5003" i="18"/>
  <c r="I5003" i="18"/>
  <c r="J5003" i="18"/>
  <c r="K5003" i="18"/>
  <c r="L5003" i="18"/>
  <c r="B5004" i="18"/>
  <c r="C5004" i="18"/>
  <c r="D5004" i="18"/>
  <c r="E5004" i="18"/>
  <c r="F5004" i="18"/>
  <c r="G5004" i="18"/>
  <c r="H5004" i="18"/>
  <c r="I5004" i="18"/>
  <c r="J5004" i="18"/>
  <c r="K5004" i="18"/>
  <c r="L5004" i="18"/>
  <c r="B5005" i="18"/>
  <c r="C5005" i="18"/>
  <c r="D5005" i="18"/>
  <c r="E5005" i="18"/>
  <c r="F5005" i="18"/>
  <c r="G5005" i="18"/>
  <c r="H5005" i="18"/>
  <c r="I5005" i="18"/>
  <c r="J5005" i="18"/>
  <c r="K5005" i="18"/>
  <c r="L5005" i="18"/>
  <c r="B5006" i="18"/>
  <c r="C5006" i="18"/>
  <c r="D5006" i="18"/>
  <c r="E5006" i="18"/>
  <c r="F5006" i="18"/>
  <c r="G5006" i="18"/>
  <c r="H5006" i="18"/>
  <c r="I5006" i="18"/>
  <c r="J5006" i="18"/>
  <c r="K5006" i="18"/>
  <c r="L5006" i="18"/>
  <c r="B5007" i="18"/>
  <c r="C5007" i="18"/>
  <c r="D5007" i="18"/>
  <c r="E5007" i="18"/>
  <c r="F5007" i="18"/>
  <c r="G5007" i="18"/>
  <c r="H5007" i="18"/>
  <c r="I5007" i="18"/>
  <c r="J5007" i="18"/>
  <c r="K5007" i="18"/>
  <c r="L5007" i="18"/>
  <c r="B5008" i="18"/>
  <c r="C5008" i="18"/>
  <c r="D5008" i="18"/>
  <c r="E5008" i="18"/>
  <c r="F5008" i="18"/>
  <c r="G5008" i="18"/>
  <c r="H5008" i="18"/>
  <c r="I5008" i="18"/>
  <c r="J5008" i="18"/>
  <c r="K5008" i="18"/>
  <c r="L5008" i="18"/>
  <c r="B5009" i="18"/>
  <c r="C5009" i="18"/>
  <c r="D5009" i="18"/>
  <c r="E5009" i="18"/>
  <c r="F5009" i="18"/>
  <c r="G5009" i="18"/>
  <c r="H5009" i="18"/>
  <c r="I5009" i="18"/>
  <c r="J5009" i="18"/>
  <c r="K5009" i="18"/>
  <c r="L5009" i="18"/>
  <c r="B5010" i="18"/>
  <c r="C5010" i="18"/>
  <c r="D5010" i="18"/>
  <c r="E5010" i="18"/>
  <c r="F5010" i="18"/>
  <c r="G5010" i="18"/>
  <c r="H5010" i="18"/>
  <c r="I5010" i="18"/>
  <c r="J5010" i="18"/>
  <c r="K5010" i="18"/>
  <c r="L5010" i="18"/>
  <c r="B5011" i="18"/>
  <c r="C5011" i="18"/>
  <c r="D5011" i="18"/>
  <c r="E5011" i="18"/>
  <c r="F5011" i="18"/>
  <c r="G5011" i="18"/>
  <c r="H5011" i="18"/>
  <c r="I5011" i="18"/>
  <c r="J5011" i="18"/>
  <c r="K5011" i="18"/>
  <c r="L5011" i="18"/>
  <c r="B5012" i="18"/>
  <c r="C5012" i="18"/>
  <c r="D5012" i="18"/>
  <c r="E5012" i="18"/>
  <c r="F5012" i="18"/>
  <c r="G5012" i="18"/>
  <c r="H5012" i="18"/>
  <c r="I5012" i="18"/>
  <c r="J5012" i="18"/>
  <c r="K5012" i="18"/>
  <c r="L5012" i="18"/>
  <c r="B5013" i="18"/>
  <c r="C5013" i="18"/>
  <c r="D5013" i="18"/>
  <c r="E5013" i="18"/>
  <c r="F5013" i="18"/>
  <c r="G5013" i="18"/>
  <c r="H5013" i="18"/>
  <c r="I5013" i="18"/>
  <c r="J5013" i="18"/>
  <c r="K5013" i="18"/>
  <c r="L5013" i="18"/>
  <c r="B5014" i="18"/>
  <c r="C5014" i="18"/>
  <c r="D5014" i="18"/>
  <c r="E5014" i="18"/>
  <c r="F5014" i="18"/>
  <c r="G5014" i="18"/>
  <c r="H5014" i="18"/>
  <c r="I5014" i="18"/>
  <c r="J5014" i="18"/>
  <c r="K5014" i="18"/>
  <c r="L5014" i="18"/>
  <c r="B5015" i="18"/>
  <c r="C5015" i="18"/>
  <c r="D5015" i="18"/>
  <c r="E5015" i="18"/>
  <c r="F5015" i="18"/>
  <c r="G5015" i="18"/>
  <c r="H5015" i="18"/>
  <c r="I5015" i="18"/>
  <c r="J5015" i="18"/>
  <c r="K5015" i="18"/>
  <c r="L5015" i="18"/>
  <c r="B5016" i="18"/>
  <c r="C5016" i="18"/>
  <c r="D5016" i="18"/>
  <c r="E5016" i="18"/>
  <c r="F5016" i="18"/>
  <c r="G5016" i="18"/>
  <c r="H5016" i="18"/>
  <c r="I5016" i="18"/>
  <c r="J5016" i="18"/>
  <c r="K5016" i="18"/>
  <c r="L5016" i="18"/>
  <c r="B5017" i="18"/>
  <c r="C5017" i="18"/>
  <c r="D5017" i="18"/>
  <c r="E5017" i="18"/>
  <c r="F5017" i="18"/>
  <c r="G5017" i="18"/>
  <c r="H5017" i="18"/>
  <c r="I5017" i="18"/>
  <c r="J5017" i="18"/>
  <c r="K5017" i="18"/>
  <c r="L5017" i="18"/>
  <c r="B5018" i="18"/>
  <c r="C5018" i="18"/>
  <c r="D5018" i="18"/>
  <c r="E5018" i="18"/>
  <c r="F5018" i="18"/>
  <c r="G5018" i="18"/>
  <c r="H5018" i="18"/>
  <c r="I5018" i="18"/>
  <c r="J5018" i="18"/>
  <c r="K5018" i="18"/>
  <c r="L5018" i="18"/>
  <c r="B5019" i="18"/>
  <c r="C5019" i="18"/>
  <c r="D5019" i="18"/>
  <c r="E5019" i="18"/>
  <c r="F5019" i="18"/>
  <c r="G5019" i="18"/>
  <c r="H5019" i="18"/>
  <c r="I5019" i="18"/>
  <c r="J5019" i="18"/>
  <c r="K5019" i="18"/>
  <c r="L5019" i="18"/>
  <c r="B5020" i="18"/>
  <c r="C5020" i="18"/>
  <c r="D5020" i="18"/>
  <c r="E5020" i="18"/>
  <c r="F5020" i="18"/>
  <c r="G5020" i="18"/>
  <c r="H5020" i="18"/>
  <c r="I5020" i="18"/>
  <c r="J5020" i="18"/>
  <c r="K5020" i="18"/>
  <c r="L5020" i="18"/>
  <c r="B5021" i="18"/>
  <c r="C5021" i="18"/>
  <c r="D5021" i="18"/>
  <c r="E5021" i="18"/>
  <c r="F5021" i="18"/>
  <c r="G5021" i="18"/>
  <c r="H5021" i="18"/>
  <c r="I5021" i="18"/>
  <c r="J5021" i="18"/>
  <c r="K5021" i="18"/>
  <c r="L5021" i="18"/>
  <c r="B5022" i="18"/>
  <c r="C5022" i="18"/>
  <c r="D5022" i="18"/>
  <c r="E5022" i="18"/>
  <c r="F5022" i="18"/>
  <c r="G5022" i="18"/>
  <c r="H5022" i="18"/>
  <c r="I5022" i="18"/>
  <c r="J5022" i="18"/>
  <c r="K5022" i="18"/>
  <c r="L5022" i="18"/>
  <c r="B5023" i="18"/>
  <c r="C5023" i="18"/>
  <c r="D5023" i="18"/>
  <c r="E5023" i="18"/>
  <c r="F5023" i="18"/>
  <c r="G5023" i="18"/>
  <c r="H5023" i="18"/>
  <c r="I5023" i="18"/>
  <c r="J5023" i="18"/>
  <c r="K5023" i="18"/>
  <c r="L5023" i="18"/>
  <c r="B5024" i="18"/>
  <c r="C5024" i="18"/>
  <c r="D5024" i="18"/>
  <c r="E5024" i="18"/>
  <c r="F5024" i="18"/>
  <c r="G5024" i="18"/>
  <c r="H5024" i="18"/>
  <c r="I5024" i="18"/>
  <c r="J5024" i="18"/>
  <c r="K5024" i="18"/>
  <c r="L5024" i="18"/>
  <c r="B5025" i="18"/>
  <c r="C5025" i="18"/>
  <c r="D5025" i="18"/>
  <c r="E5025" i="18"/>
  <c r="F5025" i="18"/>
  <c r="G5025" i="18"/>
  <c r="H5025" i="18"/>
  <c r="I5025" i="18"/>
  <c r="J5025" i="18"/>
  <c r="K5025" i="18"/>
  <c r="L5025" i="18"/>
  <c r="B5026" i="18"/>
  <c r="C5026" i="18"/>
  <c r="D5026" i="18"/>
  <c r="E5026" i="18"/>
  <c r="F5026" i="18"/>
  <c r="G5026" i="18"/>
  <c r="H5026" i="18"/>
  <c r="I5026" i="18"/>
  <c r="J5026" i="18"/>
  <c r="K5026" i="18"/>
  <c r="L5026" i="18"/>
  <c r="B5027" i="18"/>
  <c r="C5027" i="18"/>
  <c r="D5027" i="18"/>
  <c r="E5027" i="18"/>
  <c r="F5027" i="18"/>
  <c r="G5027" i="18"/>
  <c r="H5027" i="18"/>
  <c r="I5027" i="18"/>
  <c r="J5027" i="18"/>
  <c r="K5027" i="18"/>
  <c r="L5027" i="18"/>
  <c r="B5028" i="18"/>
  <c r="C5028" i="18"/>
  <c r="D5028" i="18"/>
  <c r="E5028" i="18"/>
  <c r="F5028" i="18"/>
  <c r="G5028" i="18"/>
  <c r="H5028" i="18"/>
  <c r="I5028" i="18"/>
  <c r="J5028" i="18"/>
  <c r="K5028" i="18"/>
  <c r="L5028" i="18"/>
  <c r="B5029" i="18"/>
  <c r="C5029" i="18"/>
  <c r="D5029" i="18"/>
  <c r="E5029" i="18"/>
  <c r="F5029" i="18"/>
  <c r="G5029" i="18"/>
  <c r="H5029" i="18"/>
  <c r="I5029" i="18"/>
  <c r="J5029" i="18"/>
  <c r="K5029" i="18"/>
  <c r="L5029" i="18"/>
  <c r="B5030" i="18"/>
  <c r="C5030" i="18"/>
  <c r="D5030" i="18"/>
  <c r="E5030" i="18"/>
  <c r="F5030" i="18"/>
  <c r="G5030" i="18"/>
  <c r="H5030" i="18"/>
  <c r="I5030" i="18"/>
  <c r="J5030" i="18"/>
  <c r="K5030" i="18"/>
  <c r="L5030" i="18"/>
  <c r="B5031" i="18"/>
  <c r="C5031" i="18"/>
  <c r="D5031" i="18"/>
  <c r="E5031" i="18"/>
  <c r="F5031" i="18"/>
  <c r="G5031" i="18"/>
  <c r="H5031" i="18"/>
  <c r="I5031" i="18"/>
  <c r="J5031" i="18"/>
  <c r="K5031" i="18"/>
  <c r="L5031" i="18"/>
  <c r="B5032" i="18"/>
  <c r="C5032" i="18"/>
  <c r="D5032" i="18"/>
  <c r="E5032" i="18"/>
  <c r="F5032" i="18"/>
  <c r="G5032" i="18"/>
  <c r="H5032" i="18"/>
  <c r="I5032" i="18"/>
  <c r="J5032" i="18"/>
  <c r="K5032" i="18"/>
  <c r="L5032" i="18"/>
  <c r="B5033" i="18"/>
  <c r="C5033" i="18"/>
  <c r="D5033" i="18"/>
  <c r="E5033" i="18"/>
  <c r="F5033" i="18"/>
  <c r="G5033" i="18"/>
  <c r="H5033" i="18"/>
  <c r="I5033" i="18"/>
  <c r="J5033" i="18"/>
  <c r="K5033" i="18"/>
  <c r="L5033" i="18"/>
  <c r="B5034" i="18"/>
  <c r="C5034" i="18"/>
  <c r="D5034" i="18"/>
  <c r="E5034" i="18"/>
  <c r="F5034" i="18"/>
  <c r="G5034" i="18"/>
  <c r="H5034" i="18"/>
  <c r="I5034" i="18"/>
  <c r="J5034" i="18"/>
  <c r="K5034" i="18"/>
  <c r="L5034" i="18"/>
  <c r="B5035" i="18"/>
  <c r="C5035" i="18"/>
  <c r="D5035" i="18"/>
  <c r="E5035" i="18"/>
  <c r="F5035" i="18"/>
  <c r="G5035" i="18"/>
  <c r="H5035" i="18"/>
  <c r="I5035" i="18"/>
  <c r="J5035" i="18"/>
  <c r="K5035" i="18"/>
  <c r="L5035" i="18"/>
  <c r="B5036" i="18"/>
  <c r="C5036" i="18"/>
  <c r="D5036" i="18"/>
  <c r="E5036" i="18"/>
  <c r="F5036" i="18"/>
  <c r="G5036" i="18"/>
  <c r="H5036" i="18"/>
  <c r="I5036" i="18"/>
  <c r="J5036" i="18"/>
  <c r="K5036" i="18"/>
  <c r="L5036" i="18"/>
  <c r="B5037" i="18"/>
  <c r="C5037" i="18"/>
  <c r="D5037" i="18"/>
  <c r="E5037" i="18"/>
  <c r="F5037" i="18"/>
  <c r="G5037" i="18"/>
  <c r="H5037" i="18"/>
  <c r="I5037" i="18"/>
  <c r="J5037" i="18"/>
  <c r="K5037" i="18"/>
  <c r="L5037" i="18"/>
  <c r="B5038" i="18"/>
  <c r="C5038" i="18"/>
  <c r="D5038" i="18"/>
  <c r="E5038" i="18"/>
  <c r="F5038" i="18"/>
  <c r="G5038" i="18"/>
  <c r="H5038" i="18"/>
  <c r="I5038" i="18"/>
  <c r="J5038" i="18"/>
  <c r="K5038" i="18"/>
  <c r="L5038" i="18"/>
  <c r="B5039" i="18"/>
  <c r="C5039" i="18"/>
  <c r="D5039" i="18"/>
  <c r="E5039" i="18"/>
  <c r="F5039" i="18"/>
  <c r="G5039" i="18"/>
  <c r="H5039" i="18"/>
  <c r="I5039" i="18"/>
  <c r="J5039" i="18"/>
  <c r="K5039" i="18"/>
  <c r="L5039" i="18"/>
  <c r="B5040" i="18"/>
  <c r="C5040" i="18"/>
  <c r="D5040" i="18"/>
  <c r="E5040" i="18"/>
  <c r="F5040" i="18"/>
  <c r="G5040" i="18"/>
  <c r="H5040" i="18"/>
  <c r="I5040" i="18"/>
  <c r="J5040" i="18"/>
  <c r="K5040" i="18"/>
  <c r="L5040" i="18"/>
  <c r="B5041" i="18"/>
  <c r="C5041" i="18"/>
  <c r="D5041" i="18"/>
  <c r="E5041" i="18"/>
  <c r="F5041" i="18"/>
  <c r="G5041" i="18"/>
  <c r="H5041" i="18"/>
  <c r="I5041" i="18"/>
  <c r="J5041" i="18"/>
  <c r="K5041" i="18"/>
  <c r="L5041" i="18"/>
  <c r="B5042" i="18"/>
  <c r="C5042" i="18"/>
  <c r="D5042" i="18"/>
  <c r="E5042" i="18"/>
  <c r="F5042" i="18"/>
  <c r="G5042" i="18"/>
  <c r="H5042" i="18"/>
  <c r="I5042" i="18"/>
  <c r="J5042" i="18"/>
  <c r="K5042" i="18"/>
  <c r="L5042" i="18"/>
  <c r="B5043" i="18"/>
  <c r="C5043" i="18"/>
  <c r="D5043" i="18"/>
  <c r="E5043" i="18"/>
  <c r="F5043" i="18"/>
  <c r="G5043" i="18"/>
  <c r="H5043" i="18"/>
  <c r="I5043" i="18"/>
  <c r="J5043" i="18"/>
  <c r="K5043" i="18"/>
  <c r="L5043" i="18"/>
  <c r="B5044" i="18"/>
  <c r="C5044" i="18"/>
  <c r="D5044" i="18"/>
  <c r="E5044" i="18"/>
  <c r="F5044" i="18"/>
  <c r="G5044" i="18"/>
  <c r="H5044" i="18"/>
  <c r="I5044" i="18"/>
  <c r="J5044" i="18"/>
  <c r="K5044" i="18"/>
  <c r="L5044" i="18"/>
  <c r="B5045" i="18"/>
  <c r="C5045" i="18"/>
  <c r="D5045" i="18"/>
  <c r="E5045" i="18"/>
  <c r="F5045" i="18"/>
  <c r="G5045" i="18"/>
  <c r="H5045" i="18"/>
  <c r="I5045" i="18"/>
  <c r="J5045" i="18"/>
  <c r="K5045" i="18"/>
  <c r="L5045" i="18"/>
  <c r="B5046" i="18"/>
  <c r="C5046" i="18"/>
  <c r="D5046" i="18"/>
  <c r="E5046" i="18"/>
  <c r="F5046" i="18"/>
  <c r="G5046" i="18"/>
  <c r="H5046" i="18"/>
  <c r="I5046" i="18"/>
  <c r="J5046" i="18"/>
  <c r="K5046" i="18"/>
  <c r="L5046" i="18"/>
  <c r="B5047" i="18"/>
  <c r="C5047" i="18"/>
  <c r="D5047" i="18"/>
  <c r="E5047" i="18"/>
  <c r="F5047" i="18"/>
  <c r="G5047" i="18"/>
  <c r="H5047" i="18"/>
  <c r="I5047" i="18"/>
  <c r="J5047" i="18"/>
  <c r="K5047" i="18"/>
  <c r="L5047" i="18"/>
  <c r="B5048" i="18"/>
  <c r="C5048" i="18"/>
  <c r="D5048" i="18"/>
  <c r="E5048" i="18"/>
  <c r="F5048" i="18"/>
  <c r="G5048" i="18"/>
  <c r="H5048" i="18"/>
  <c r="I5048" i="18"/>
  <c r="J5048" i="18"/>
  <c r="K5048" i="18"/>
  <c r="L5048" i="18"/>
  <c r="B5049" i="18"/>
  <c r="C5049" i="18"/>
  <c r="D5049" i="18"/>
  <c r="E5049" i="18"/>
  <c r="F5049" i="18"/>
  <c r="G5049" i="18"/>
  <c r="H5049" i="18"/>
  <c r="I5049" i="18"/>
  <c r="J5049" i="18"/>
  <c r="K5049" i="18"/>
  <c r="L5049" i="18"/>
  <c r="B5050" i="18"/>
  <c r="C5050" i="18"/>
  <c r="D5050" i="18"/>
  <c r="E5050" i="18"/>
  <c r="F5050" i="18"/>
  <c r="G5050" i="18"/>
  <c r="H5050" i="18"/>
  <c r="I5050" i="18"/>
  <c r="J5050" i="18"/>
  <c r="K5050" i="18"/>
  <c r="L5050" i="18"/>
  <c r="B5051" i="18"/>
  <c r="C5051" i="18"/>
  <c r="D5051" i="18"/>
  <c r="E5051" i="18"/>
  <c r="F5051" i="18"/>
  <c r="G5051" i="18"/>
  <c r="H5051" i="18"/>
  <c r="I5051" i="18"/>
  <c r="J5051" i="18"/>
  <c r="K5051" i="18"/>
  <c r="L5051" i="18"/>
  <c r="B5052" i="18"/>
  <c r="C5052" i="18"/>
  <c r="D5052" i="18"/>
  <c r="E5052" i="18"/>
  <c r="F5052" i="18"/>
  <c r="G5052" i="18"/>
  <c r="H5052" i="18"/>
  <c r="I5052" i="18"/>
  <c r="J5052" i="18"/>
  <c r="K5052" i="18"/>
  <c r="L5052" i="18"/>
  <c r="B5053" i="18"/>
  <c r="C5053" i="18"/>
  <c r="D5053" i="18"/>
  <c r="E5053" i="18"/>
  <c r="F5053" i="18"/>
  <c r="G5053" i="18"/>
  <c r="H5053" i="18"/>
  <c r="I5053" i="18"/>
  <c r="J5053" i="18"/>
  <c r="K5053" i="18"/>
  <c r="L5053" i="18"/>
  <c r="B5054" i="18"/>
  <c r="C5054" i="18"/>
  <c r="D5054" i="18"/>
  <c r="E5054" i="18"/>
  <c r="F5054" i="18"/>
  <c r="G5054" i="18"/>
  <c r="H5054" i="18"/>
  <c r="I5054" i="18"/>
  <c r="J5054" i="18"/>
  <c r="K5054" i="18"/>
  <c r="L5054" i="18"/>
  <c r="B5055" i="18"/>
  <c r="C5055" i="18"/>
  <c r="D5055" i="18"/>
  <c r="E5055" i="18"/>
  <c r="F5055" i="18"/>
  <c r="G5055" i="18"/>
  <c r="H5055" i="18"/>
  <c r="I5055" i="18"/>
  <c r="J5055" i="18"/>
  <c r="K5055" i="18"/>
  <c r="L5055" i="18"/>
  <c r="B5056" i="18"/>
  <c r="C5056" i="18"/>
  <c r="D5056" i="18"/>
  <c r="E5056" i="18"/>
  <c r="F5056" i="18"/>
  <c r="G5056" i="18"/>
  <c r="H5056" i="18"/>
  <c r="I5056" i="18"/>
  <c r="J5056" i="18"/>
  <c r="K5056" i="18"/>
  <c r="L5056" i="18"/>
  <c r="B5057" i="18"/>
  <c r="C5057" i="18"/>
  <c r="D5057" i="18"/>
  <c r="E5057" i="18"/>
  <c r="F5057" i="18"/>
  <c r="G5057" i="18"/>
  <c r="H5057" i="18"/>
  <c r="I5057" i="18"/>
  <c r="J5057" i="18"/>
  <c r="K5057" i="18"/>
  <c r="L5057" i="18"/>
  <c r="B5058" i="18"/>
  <c r="C5058" i="18"/>
  <c r="D5058" i="18"/>
  <c r="E5058" i="18"/>
  <c r="F5058" i="18"/>
  <c r="G5058" i="18"/>
  <c r="H5058" i="18"/>
  <c r="I5058" i="18"/>
  <c r="J5058" i="18"/>
  <c r="K5058" i="18"/>
  <c r="L5058" i="18"/>
  <c r="B5059" i="18"/>
  <c r="C5059" i="18"/>
  <c r="D5059" i="18"/>
  <c r="E5059" i="18"/>
  <c r="F5059" i="18"/>
  <c r="G5059" i="18"/>
  <c r="H5059" i="18"/>
  <c r="I5059" i="18"/>
  <c r="J5059" i="18"/>
  <c r="K5059" i="18"/>
  <c r="L5059" i="18"/>
  <c r="B5060" i="18"/>
  <c r="C5060" i="18"/>
  <c r="D5060" i="18"/>
  <c r="E5060" i="18"/>
  <c r="F5060" i="18"/>
  <c r="G5060" i="18"/>
  <c r="H5060" i="18"/>
  <c r="I5060" i="18"/>
  <c r="J5060" i="18"/>
  <c r="K5060" i="18"/>
  <c r="L5060" i="18"/>
  <c r="B5061" i="18"/>
  <c r="C5061" i="18"/>
  <c r="D5061" i="18"/>
  <c r="E5061" i="18"/>
  <c r="F5061" i="18"/>
  <c r="G5061" i="18"/>
  <c r="H5061" i="18"/>
  <c r="I5061" i="18"/>
  <c r="J5061" i="18"/>
  <c r="K5061" i="18"/>
  <c r="L5061" i="18"/>
  <c r="B5062" i="18"/>
  <c r="C5062" i="18"/>
  <c r="D5062" i="18"/>
  <c r="E5062" i="18"/>
  <c r="F5062" i="18"/>
  <c r="G5062" i="18"/>
  <c r="H5062" i="18"/>
  <c r="I5062" i="18"/>
  <c r="J5062" i="18"/>
  <c r="K5062" i="18"/>
  <c r="L5062" i="18"/>
  <c r="B5063" i="18"/>
  <c r="C5063" i="18"/>
  <c r="D5063" i="18"/>
  <c r="E5063" i="18"/>
  <c r="F5063" i="18"/>
  <c r="G5063" i="18"/>
  <c r="H5063" i="18"/>
  <c r="I5063" i="18"/>
  <c r="J5063" i="18"/>
  <c r="K5063" i="18"/>
  <c r="L5063" i="18"/>
  <c r="B5064" i="18"/>
  <c r="C5064" i="18"/>
  <c r="D5064" i="18"/>
  <c r="E5064" i="18"/>
  <c r="F5064" i="18"/>
  <c r="G5064" i="18"/>
  <c r="H5064" i="18"/>
  <c r="I5064" i="18"/>
  <c r="J5064" i="18"/>
  <c r="K5064" i="18"/>
  <c r="L5064" i="18"/>
  <c r="B5065" i="18"/>
  <c r="C5065" i="18"/>
  <c r="D5065" i="18"/>
  <c r="E5065" i="18"/>
  <c r="F5065" i="18"/>
  <c r="G5065" i="18"/>
  <c r="H5065" i="18"/>
  <c r="I5065" i="18"/>
  <c r="J5065" i="18"/>
  <c r="K5065" i="18"/>
  <c r="L5065" i="18"/>
  <c r="B5066" i="18"/>
  <c r="C5066" i="18"/>
  <c r="D5066" i="18"/>
  <c r="E5066" i="18"/>
  <c r="F5066" i="18"/>
  <c r="G5066" i="18"/>
  <c r="H5066" i="18"/>
  <c r="I5066" i="18"/>
  <c r="J5066" i="18"/>
  <c r="K5066" i="18"/>
  <c r="L5066" i="18"/>
  <c r="B5067" i="18"/>
  <c r="C5067" i="18"/>
  <c r="D5067" i="18"/>
  <c r="E5067" i="18"/>
  <c r="F5067" i="18"/>
  <c r="G5067" i="18"/>
  <c r="H5067" i="18"/>
  <c r="I5067" i="18"/>
  <c r="J5067" i="18"/>
  <c r="K5067" i="18"/>
  <c r="L5067" i="18"/>
  <c r="B5068" i="18"/>
  <c r="C5068" i="18"/>
  <c r="D5068" i="18"/>
  <c r="E5068" i="18"/>
  <c r="F5068" i="18"/>
  <c r="G5068" i="18"/>
  <c r="H5068" i="18"/>
  <c r="I5068" i="18"/>
  <c r="J5068" i="18"/>
  <c r="K5068" i="18"/>
  <c r="L5068" i="18"/>
  <c r="B5069" i="18"/>
  <c r="C5069" i="18"/>
  <c r="D5069" i="18"/>
  <c r="E5069" i="18"/>
  <c r="F5069" i="18"/>
  <c r="G5069" i="18"/>
  <c r="H5069" i="18"/>
  <c r="I5069" i="18"/>
  <c r="J5069" i="18"/>
  <c r="K5069" i="18"/>
  <c r="L5069" i="18"/>
  <c r="B5070" i="18"/>
  <c r="C5070" i="18"/>
  <c r="D5070" i="18"/>
  <c r="E5070" i="18"/>
  <c r="F5070" i="18"/>
  <c r="G5070" i="18"/>
  <c r="H5070" i="18"/>
  <c r="I5070" i="18"/>
  <c r="J5070" i="18"/>
  <c r="K5070" i="18"/>
  <c r="L5070" i="18"/>
  <c r="B5071" i="18"/>
  <c r="C5071" i="18"/>
  <c r="D5071" i="18"/>
  <c r="E5071" i="18"/>
  <c r="F5071" i="18"/>
  <c r="G5071" i="18"/>
  <c r="H5071" i="18"/>
  <c r="I5071" i="18"/>
  <c r="J5071" i="18"/>
  <c r="K5071" i="18"/>
  <c r="L5071" i="18"/>
  <c r="B5072" i="18"/>
  <c r="C5072" i="18"/>
  <c r="D5072" i="18"/>
  <c r="E5072" i="18"/>
  <c r="F5072" i="18"/>
  <c r="G5072" i="18"/>
  <c r="H5072" i="18"/>
  <c r="I5072" i="18"/>
  <c r="J5072" i="18"/>
  <c r="K5072" i="18"/>
  <c r="L5072" i="18"/>
  <c r="B5073" i="18"/>
  <c r="C5073" i="18"/>
  <c r="D5073" i="18"/>
  <c r="E5073" i="18"/>
  <c r="F5073" i="18"/>
  <c r="G5073" i="18"/>
  <c r="H5073" i="18"/>
  <c r="I5073" i="18"/>
  <c r="J5073" i="18"/>
  <c r="K5073" i="18"/>
  <c r="L5073" i="18"/>
  <c r="B5074" i="18"/>
  <c r="C5074" i="18"/>
  <c r="D5074" i="18"/>
  <c r="E5074" i="18"/>
  <c r="F5074" i="18"/>
  <c r="G5074" i="18"/>
  <c r="H5074" i="18"/>
  <c r="I5074" i="18"/>
  <c r="J5074" i="18"/>
  <c r="K5074" i="18"/>
  <c r="L5074" i="18"/>
  <c r="B5075" i="18"/>
  <c r="C5075" i="18"/>
  <c r="D5075" i="18"/>
  <c r="E5075" i="18"/>
  <c r="F5075" i="18"/>
  <c r="G5075" i="18"/>
  <c r="H5075" i="18"/>
  <c r="I5075" i="18"/>
  <c r="J5075" i="18"/>
  <c r="K5075" i="18"/>
  <c r="L5075" i="18"/>
  <c r="B5076" i="18"/>
  <c r="C5076" i="18"/>
  <c r="D5076" i="18"/>
  <c r="E5076" i="18"/>
  <c r="F5076" i="18"/>
  <c r="G5076" i="18"/>
  <c r="H5076" i="18"/>
  <c r="I5076" i="18"/>
  <c r="J5076" i="18"/>
  <c r="K5076" i="18"/>
  <c r="L5076" i="18"/>
  <c r="B5077" i="18"/>
  <c r="C5077" i="18"/>
  <c r="D5077" i="18"/>
  <c r="E5077" i="18"/>
  <c r="F5077" i="18"/>
  <c r="G5077" i="18"/>
  <c r="H5077" i="18"/>
  <c r="I5077" i="18"/>
  <c r="J5077" i="18"/>
  <c r="K5077" i="18"/>
  <c r="L5077" i="18"/>
  <c r="B5078" i="18"/>
  <c r="C5078" i="18"/>
  <c r="D5078" i="18"/>
  <c r="E5078" i="18"/>
  <c r="F5078" i="18"/>
  <c r="G5078" i="18"/>
  <c r="H5078" i="18"/>
  <c r="I5078" i="18"/>
  <c r="J5078" i="18"/>
  <c r="K5078" i="18"/>
  <c r="L5078" i="18"/>
  <c r="B5079" i="18"/>
  <c r="C5079" i="18"/>
  <c r="D5079" i="18"/>
  <c r="E5079" i="18"/>
  <c r="F5079" i="18"/>
  <c r="G5079" i="18"/>
  <c r="H5079" i="18"/>
  <c r="I5079" i="18"/>
  <c r="J5079" i="18"/>
  <c r="K5079" i="18"/>
  <c r="L5079" i="18"/>
  <c r="B5080" i="18"/>
  <c r="C5080" i="18"/>
  <c r="D5080" i="18"/>
  <c r="E5080" i="18"/>
  <c r="F5080" i="18"/>
  <c r="G5080" i="18"/>
  <c r="H5080" i="18"/>
  <c r="I5080" i="18"/>
  <c r="J5080" i="18"/>
  <c r="K5080" i="18"/>
  <c r="L5080" i="18"/>
  <c r="B5081" i="18"/>
  <c r="C5081" i="18"/>
  <c r="D5081" i="18"/>
  <c r="E5081" i="18"/>
  <c r="F5081" i="18"/>
  <c r="G5081" i="18"/>
  <c r="H5081" i="18"/>
  <c r="I5081" i="18"/>
  <c r="J5081" i="18"/>
  <c r="K5081" i="18"/>
  <c r="L5081" i="18"/>
  <c r="B5082" i="18"/>
  <c r="C5082" i="18"/>
  <c r="D5082" i="18"/>
  <c r="E5082" i="18"/>
  <c r="F5082" i="18"/>
  <c r="G5082" i="18"/>
  <c r="H5082" i="18"/>
  <c r="I5082" i="18"/>
  <c r="J5082" i="18"/>
  <c r="K5082" i="18"/>
  <c r="L5082" i="18"/>
  <c r="B5083" i="18"/>
  <c r="C5083" i="18"/>
  <c r="D5083" i="18"/>
  <c r="E5083" i="18"/>
  <c r="F5083" i="18"/>
  <c r="G5083" i="18"/>
  <c r="H5083" i="18"/>
  <c r="I5083" i="18"/>
  <c r="J5083" i="18"/>
  <c r="K5083" i="18"/>
  <c r="L5083" i="18"/>
  <c r="B5084" i="18"/>
  <c r="C5084" i="18"/>
  <c r="D5084" i="18"/>
  <c r="E5084" i="18"/>
  <c r="F5084" i="18"/>
  <c r="G5084" i="18"/>
  <c r="H5084" i="18"/>
  <c r="I5084" i="18"/>
  <c r="J5084" i="18"/>
  <c r="K5084" i="18"/>
  <c r="L5084" i="18"/>
  <c r="B5085" i="18"/>
  <c r="C5085" i="18"/>
  <c r="D5085" i="18"/>
  <c r="E5085" i="18"/>
  <c r="F5085" i="18"/>
  <c r="G5085" i="18"/>
  <c r="H5085" i="18"/>
  <c r="I5085" i="18"/>
  <c r="J5085" i="18"/>
  <c r="K5085" i="18"/>
  <c r="L5085" i="18"/>
  <c r="B5086" i="18"/>
  <c r="C5086" i="18"/>
  <c r="D5086" i="18"/>
  <c r="E5086" i="18"/>
  <c r="F5086" i="18"/>
  <c r="G5086" i="18"/>
  <c r="H5086" i="18"/>
  <c r="I5086" i="18"/>
  <c r="J5086" i="18"/>
  <c r="K5086" i="18"/>
  <c r="L5086" i="18"/>
  <c r="B5087" i="18"/>
  <c r="C5087" i="18"/>
  <c r="D5087" i="18"/>
  <c r="E5087" i="18"/>
  <c r="F5087" i="18"/>
  <c r="G5087" i="18"/>
  <c r="H5087" i="18"/>
  <c r="I5087" i="18"/>
  <c r="J5087" i="18"/>
  <c r="K5087" i="18"/>
  <c r="L5087" i="18"/>
  <c r="B5088" i="18"/>
  <c r="C5088" i="18"/>
  <c r="D5088" i="18"/>
  <c r="E5088" i="18"/>
  <c r="F5088" i="18"/>
  <c r="G5088" i="18"/>
  <c r="H5088" i="18"/>
  <c r="I5088" i="18"/>
  <c r="J5088" i="18"/>
  <c r="K5088" i="18"/>
  <c r="L5088" i="18"/>
  <c r="B5089" i="18"/>
  <c r="C5089" i="18"/>
  <c r="D5089" i="18"/>
  <c r="E5089" i="18"/>
  <c r="F5089" i="18"/>
  <c r="G5089" i="18"/>
  <c r="H5089" i="18"/>
  <c r="I5089" i="18"/>
  <c r="J5089" i="18"/>
  <c r="K5089" i="18"/>
  <c r="L5089" i="18"/>
  <c r="B5090" i="18"/>
  <c r="C5090" i="18"/>
  <c r="D5090" i="18"/>
  <c r="E5090" i="18"/>
  <c r="F5090" i="18"/>
  <c r="G5090" i="18"/>
  <c r="H5090" i="18"/>
  <c r="I5090" i="18"/>
  <c r="J5090" i="18"/>
  <c r="K5090" i="18"/>
  <c r="L5090" i="18"/>
  <c r="B5091" i="18"/>
  <c r="C5091" i="18"/>
  <c r="D5091" i="18"/>
  <c r="E5091" i="18"/>
  <c r="F5091" i="18"/>
  <c r="G5091" i="18"/>
  <c r="H5091" i="18"/>
  <c r="I5091" i="18"/>
  <c r="J5091" i="18"/>
  <c r="K5091" i="18"/>
  <c r="L5091" i="18"/>
  <c r="B5092" i="18"/>
  <c r="C5092" i="18"/>
  <c r="D5092" i="18"/>
  <c r="E5092" i="18"/>
  <c r="F5092" i="18"/>
  <c r="G5092" i="18"/>
  <c r="H5092" i="18"/>
  <c r="I5092" i="18"/>
  <c r="J5092" i="18"/>
  <c r="K5092" i="18"/>
  <c r="L5092" i="18"/>
  <c r="B5093" i="18"/>
  <c r="C5093" i="18"/>
  <c r="D5093" i="18"/>
  <c r="E5093" i="18"/>
  <c r="F5093" i="18"/>
  <c r="G5093" i="18"/>
  <c r="H5093" i="18"/>
  <c r="I5093" i="18"/>
  <c r="J5093" i="18"/>
  <c r="K5093" i="18"/>
  <c r="L5093" i="18"/>
  <c r="B5094" i="18"/>
  <c r="C5094" i="18"/>
  <c r="D5094" i="18"/>
  <c r="E5094" i="18"/>
  <c r="F5094" i="18"/>
  <c r="G5094" i="18"/>
  <c r="H5094" i="18"/>
  <c r="I5094" i="18"/>
  <c r="J5094" i="18"/>
  <c r="K5094" i="18"/>
  <c r="L5094" i="18"/>
  <c r="B5095" i="18"/>
  <c r="C5095" i="18"/>
  <c r="D5095" i="18"/>
  <c r="E5095" i="18"/>
  <c r="F5095" i="18"/>
  <c r="G5095" i="18"/>
  <c r="H5095" i="18"/>
  <c r="I5095" i="18"/>
  <c r="J5095" i="18"/>
  <c r="K5095" i="18"/>
  <c r="L5095" i="18"/>
  <c r="B5096" i="18"/>
  <c r="C5096" i="18"/>
  <c r="D5096" i="18"/>
  <c r="E5096" i="18"/>
  <c r="F5096" i="18"/>
  <c r="G5096" i="18"/>
  <c r="H5096" i="18"/>
  <c r="I5096" i="18"/>
  <c r="J5096" i="18"/>
  <c r="K5096" i="18"/>
  <c r="L5096" i="18"/>
  <c r="B5097" i="18"/>
  <c r="C5097" i="18"/>
  <c r="D5097" i="18"/>
  <c r="E5097" i="18"/>
  <c r="F5097" i="18"/>
  <c r="G5097" i="18"/>
  <c r="H5097" i="18"/>
  <c r="I5097" i="18"/>
  <c r="J5097" i="18"/>
  <c r="K5097" i="18"/>
  <c r="L5097" i="18"/>
  <c r="B5098" i="18"/>
  <c r="C5098" i="18"/>
  <c r="D5098" i="18"/>
  <c r="E5098" i="18"/>
  <c r="F5098" i="18"/>
  <c r="G5098" i="18"/>
  <c r="H5098" i="18"/>
  <c r="I5098" i="18"/>
  <c r="J5098" i="18"/>
  <c r="K5098" i="18"/>
  <c r="L5098" i="18"/>
  <c r="B5099" i="18"/>
  <c r="C5099" i="18"/>
  <c r="D5099" i="18"/>
  <c r="E5099" i="18"/>
  <c r="F5099" i="18"/>
  <c r="G5099" i="18"/>
  <c r="H5099" i="18"/>
  <c r="I5099" i="18"/>
  <c r="J5099" i="18"/>
  <c r="K5099" i="18"/>
  <c r="L5099" i="18"/>
  <c r="B5100" i="18"/>
  <c r="C5100" i="18"/>
  <c r="D5100" i="18"/>
  <c r="E5100" i="18"/>
  <c r="F5100" i="18"/>
  <c r="G5100" i="18"/>
  <c r="H5100" i="18"/>
  <c r="I5100" i="18"/>
  <c r="J5100" i="18"/>
  <c r="K5100" i="18"/>
  <c r="L5100" i="18"/>
  <c r="B5101" i="18"/>
  <c r="C5101" i="18"/>
  <c r="D5101" i="18"/>
  <c r="E5101" i="18"/>
  <c r="F5101" i="18"/>
  <c r="G5101" i="18"/>
  <c r="H5101" i="18"/>
  <c r="I5101" i="18"/>
  <c r="J5101" i="18"/>
  <c r="K5101" i="18"/>
  <c r="L5101" i="18"/>
  <c r="B5102" i="18"/>
  <c r="C5102" i="18"/>
  <c r="D5102" i="18"/>
  <c r="E5102" i="18"/>
  <c r="F5102" i="18"/>
  <c r="G5102" i="18"/>
  <c r="H5102" i="18"/>
  <c r="I5102" i="18"/>
  <c r="J5102" i="18"/>
  <c r="K5102" i="18"/>
  <c r="L5102" i="18"/>
  <c r="B5103" i="18"/>
  <c r="C5103" i="18"/>
  <c r="D5103" i="18"/>
  <c r="E5103" i="18"/>
  <c r="F5103" i="18"/>
  <c r="G5103" i="18"/>
  <c r="H5103" i="18"/>
  <c r="I5103" i="18"/>
  <c r="J5103" i="18"/>
  <c r="K5103" i="18"/>
  <c r="L5103" i="18"/>
  <c r="B5104" i="18"/>
  <c r="C5104" i="18"/>
  <c r="D5104" i="18"/>
  <c r="E5104" i="18"/>
  <c r="F5104" i="18"/>
  <c r="G5104" i="18"/>
  <c r="H5104" i="18"/>
  <c r="I5104" i="18"/>
  <c r="J5104" i="18"/>
  <c r="K5104" i="18"/>
  <c r="L5104" i="18"/>
  <c r="B5105" i="18"/>
  <c r="C5105" i="18"/>
  <c r="D5105" i="18"/>
  <c r="E5105" i="18"/>
  <c r="F5105" i="18"/>
  <c r="G5105" i="18"/>
  <c r="H5105" i="18"/>
  <c r="I5105" i="18"/>
  <c r="J5105" i="18"/>
  <c r="K5105" i="18"/>
  <c r="L5105" i="18"/>
  <c r="B5106" i="18"/>
  <c r="C5106" i="18"/>
  <c r="D5106" i="18"/>
  <c r="E5106" i="18"/>
  <c r="F5106" i="18"/>
  <c r="G5106" i="18"/>
  <c r="H5106" i="18"/>
  <c r="I5106" i="18"/>
  <c r="J5106" i="18"/>
  <c r="K5106" i="18"/>
  <c r="L5106" i="18"/>
  <c r="B5107" i="18"/>
  <c r="C5107" i="18"/>
  <c r="D5107" i="18"/>
  <c r="E5107" i="18"/>
  <c r="F5107" i="18"/>
  <c r="G5107" i="18"/>
  <c r="H5107" i="18"/>
  <c r="I5107" i="18"/>
  <c r="J5107" i="18"/>
  <c r="K5107" i="18"/>
  <c r="L5107" i="18"/>
  <c r="B5108" i="18"/>
  <c r="C5108" i="18"/>
  <c r="D5108" i="18"/>
  <c r="E5108" i="18"/>
  <c r="F5108" i="18"/>
  <c r="G5108" i="18"/>
  <c r="H5108" i="18"/>
  <c r="I5108" i="18"/>
  <c r="J5108" i="18"/>
  <c r="K5108" i="18"/>
  <c r="L5108" i="18"/>
  <c r="B5109" i="18"/>
  <c r="C5109" i="18"/>
  <c r="D5109" i="18"/>
  <c r="E5109" i="18"/>
  <c r="F5109" i="18"/>
  <c r="G5109" i="18"/>
  <c r="H5109" i="18"/>
  <c r="I5109" i="18"/>
  <c r="J5109" i="18"/>
  <c r="K5109" i="18"/>
  <c r="L5109" i="18"/>
  <c r="B5110" i="18"/>
  <c r="C5110" i="18"/>
  <c r="D5110" i="18"/>
  <c r="E5110" i="18"/>
  <c r="F5110" i="18"/>
  <c r="G5110" i="18"/>
  <c r="H5110" i="18"/>
  <c r="I5110" i="18"/>
  <c r="J5110" i="18"/>
  <c r="K5110" i="18"/>
  <c r="L5110" i="18"/>
  <c r="B5111" i="18"/>
  <c r="C5111" i="18"/>
  <c r="D5111" i="18"/>
  <c r="E5111" i="18"/>
  <c r="F5111" i="18"/>
  <c r="G5111" i="18"/>
  <c r="H5111" i="18"/>
  <c r="I5111" i="18"/>
  <c r="J5111" i="18"/>
  <c r="K5111" i="18"/>
  <c r="L5111" i="18"/>
  <c r="B5112" i="18"/>
  <c r="C5112" i="18"/>
  <c r="D5112" i="18"/>
  <c r="E5112" i="18"/>
  <c r="F5112" i="18"/>
  <c r="G5112" i="18"/>
  <c r="H5112" i="18"/>
  <c r="I5112" i="18"/>
  <c r="J5112" i="18"/>
  <c r="K5112" i="18"/>
  <c r="L5112" i="18"/>
  <c r="B5113" i="18"/>
  <c r="C5113" i="18"/>
  <c r="D5113" i="18"/>
  <c r="E5113" i="18"/>
  <c r="F5113" i="18"/>
  <c r="G5113" i="18"/>
  <c r="H5113" i="18"/>
  <c r="I5113" i="18"/>
  <c r="J5113" i="18"/>
  <c r="K5113" i="18"/>
  <c r="L5113" i="18"/>
  <c r="B5114" i="18"/>
  <c r="C5114" i="18"/>
  <c r="D5114" i="18"/>
  <c r="E5114" i="18"/>
  <c r="F5114" i="18"/>
  <c r="G5114" i="18"/>
  <c r="H5114" i="18"/>
  <c r="I5114" i="18"/>
  <c r="J5114" i="18"/>
  <c r="K5114" i="18"/>
  <c r="L5114" i="18"/>
  <c r="B5115" i="18"/>
  <c r="C5115" i="18"/>
  <c r="D5115" i="18"/>
  <c r="E5115" i="18"/>
  <c r="F5115" i="18"/>
  <c r="G5115" i="18"/>
  <c r="H5115" i="18"/>
  <c r="I5115" i="18"/>
  <c r="J5115" i="18"/>
  <c r="K5115" i="18"/>
  <c r="L5115" i="18"/>
  <c r="B5116" i="18"/>
  <c r="C5116" i="18"/>
  <c r="D5116" i="18"/>
  <c r="E5116" i="18"/>
  <c r="F5116" i="18"/>
  <c r="G5116" i="18"/>
  <c r="H5116" i="18"/>
  <c r="I5116" i="18"/>
  <c r="J5116" i="18"/>
  <c r="K5116" i="18"/>
  <c r="L5116" i="18"/>
  <c r="B5117" i="18"/>
  <c r="C5117" i="18"/>
  <c r="D5117" i="18"/>
  <c r="E5117" i="18"/>
  <c r="F5117" i="18"/>
  <c r="G5117" i="18"/>
  <c r="H5117" i="18"/>
  <c r="I5117" i="18"/>
  <c r="J5117" i="18"/>
  <c r="K5117" i="18"/>
  <c r="L5117" i="18"/>
  <c r="B5118" i="18"/>
  <c r="C5118" i="18"/>
  <c r="D5118" i="18"/>
  <c r="E5118" i="18"/>
  <c r="F5118" i="18"/>
  <c r="G5118" i="18"/>
  <c r="H5118" i="18"/>
  <c r="I5118" i="18"/>
  <c r="J5118" i="18"/>
  <c r="K5118" i="18"/>
  <c r="L5118" i="18"/>
  <c r="B5119" i="18"/>
  <c r="C5119" i="18"/>
  <c r="D5119" i="18"/>
  <c r="E5119" i="18"/>
  <c r="F5119" i="18"/>
  <c r="G5119" i="18"/>
  <c r="H5119" i="18"/>
  <c r="I5119" i="18"/>
  <c r="J5119" i="18"/>
  <c r="K5119" i="18"/>
  <c r="L5119" i="18"/>
  <c r="B5120" i="18"/>
  <c r="C5120" i="18"/>
  <c r="D5120" i="18"/>
  <c r="E5120" i="18"/>
  <c r="F5120" i="18"/>
  <c r="G5120" i="18"/>
  <c r="H5120" i="18"/>
  <c r="I5120" i="18"/>
  <c r="J5120" i="18"/>
  <c r="K5120" i="18"/>
  <c r="L5120" i="18"/>
  <c r="B5121" i="18"/>
  <c r="C5121" i="18"/>
  <c r="D5121" i="18"/>
  <c r="E5121" i="18"/>
  <c r="F5121" i="18"/>
  <c r="G5121" i="18"/>
  <c r="H5121" i="18"/>
  <c r="I5121" i="18"/>
  <c r="J5121" i="18"/>
  <c r="K5121" i="18"/>
  <c r="L5121" i="18"/>
  <c r="B5122" i="18"/>
  <c r="C5122" i="18"/>
  <c r="D5122" i="18"/>
  <c r="E5122" i="18"/>
  <c r="F5122" i="18"/>
  <c r="G5122" i="18"/>
  <c r="H5122" i="18"/>
  <c r="I5122" i="18"/>
  <c r="J5122" i="18"/>
  <c r="K5122" i="18"/>
  <c r="L5122" i="18"/>
  <c r="B5123" i="18"/>
  <c r="C5123" i="18"/>
  <c r="D5123" i="18"/>
  <c r="E5123" i="18"/>
  <c r="F5123" i="18"/>
  <c r="G5123" i="18"/>
  <c r="H5123" i="18"/>
  <c r="I5123" i="18"/>
  <c r="J5123" i="18"/>
  <c r="K5123" i="18"/>
  <c r="L5123" i="18"/>
  <c r="B5124" i="18"/>
  <c r="C5124" i="18"/>
  <c r="D5124" i="18"/>
  <c r="E5124" i="18"/>
  <c r="F5124" i="18"/>
  <c r="G5124" i="18"/>
  <c r="H5124" i="18"/>
  <c r="I5124" i="18"/>
  <c r="J5124" i="18"/>
  <c r="K5124" i="18"/>
  <c r="L5124" i="18"/>
  <c r="B5125" i="18"/>
  <c r="C5125" i="18"/>
  <c r="D5125" i="18"/>
  <c r="E5125" i="18"/>
  <c r="F5125" i="18"/>
  <c r="G5125" i="18"/>
  <c r="H5125" i="18"/>
  <c r="I5125" i="18"/>
  <c r="J5125" i="18"/>
  <c r="K5125" i="18"/>
  <c r="L5125" i="18"/>
  <c r="B5126" i="18"/>
  <c r="C5126" i="18"/>
  <c r="D5126" i="18"/>
  <c r="E5126" i="18"/>
  <c r="F5126" i="18"/>
  <c r="G5126" i="18"/>
  <c r="H5126" i="18"/>
  <c r="I5126" i="18"/>
  <c r="J5126" i="18"/>
  <c r="K5126" i="18"/>
  <c r="L5126" i="18"/>
  <c r="B5127" i="18"/>
  <c r="C5127" i="18"/>
  <c r="D5127" i="18"/>
  <c r="E5127" i="18"/>
  <c r="F5127" i="18"/>
  <c r="G5127" i="18"/>
  <c r="H5127" i="18"/>
  <c r="I5127" i="18"/>
  <c r="J5127" i="18"/>
  <c r="K5127" i="18"/>
  <c r="L5127" i="18"/>
  <c r="B5128" i="18"/>
  <c r="C5128" i="18"/>
  <c r="D5128" i="18"/>
  <c r="E5128" i="18"/>
  <c r="F5128" i="18"/>
  <c r="G5128" i="18"/>
  <c r="H5128" i="18"/>
  <c r="I5128" i="18"/>
  <c r="J5128" i="18"/>
  <c r="K5128" i="18"/>
  <c r="L5128" i="18"/>
  <c r="B5129" i="18"/>
  <c r="C5129" i="18"/>
  <c r="D5129" i="18"/>
  <c r="E5129" i="18"/>
  <c r="F5129" i="18"/>
  <c r="G5129" i="18"/>
  <c r="H5129" i="18"/>
  <c r="I5129" i="18"/>
  <c r="J5129" i="18"/>
  <c r="K5129" i="18"/>
  <c r="L5129" i="18"/>
  <c r="B5130" i="18"/>
  <c r="C5130" i="18"/>
  <c r="D5130" i="18"/>
  <c r="E5130" i="18"/>
  <c r="F5130" i="18"/>
  <c r="G5130" i="18"/>
  <c r="H5130" i="18"/>
  <c r="I5130" i="18"/>
  <c r="J5130" i="18"/>
  <c r="K5130" i="18"/>
  <c r="L5130" i="18"/>
  <c r="B5131" i="18"/>
  <c r="C5131" i="18"/>
  <c r="D5131" i="18"/>
  <c r="E5131" i="18"/>
  <c r="F5131" i="18"/>
  <c r="G5131" i="18"/>
  <c r="H5131" i="18"/>
  <c r="I5131" i="18"/>
  <c r="J5131" i="18"/>
  <c r="K5131" i="18"/>
  <c r="L5131" i="18"/>
  <c r="B5132" i="18"/>
  <c r="C5132" i="18"/>
  <c r="D5132" i="18"/>
  <c r="E5132" i="18"/>
  <c r="F5132" i="18"/>
  <c r="G5132" i="18"/>
  <c r="H5132" i="18"/>
  <c r="I5132" i="18"/>
  <c r="J5132" i="18"/>
  <c r="K5132" i="18"/>
  <c r="L5132" i="18"/>
  <c r="B5133" i="18"/>
  <c r="C5133" i="18"/>
  <c r="D5133" i="18"/>
  <c r="E5133" i="18"/>
  <c r="F5133" i="18"/>
  <c r="G5133" i="18"/>
  <c r="H5133" i="18"/>
  <c r="I5133" i="18"/>
  <c r="J5133" i="18"/>
  <c r="K5133" i="18"/>
  <c r="L5133" i="18"/>
  <c r="B5134" i="18"/>
  <c r="C5134" i="18"/>
  <c r="D5134" i="18"/>
  <c r="E5134" i="18"/>
  <c r="F5134" i="18"/>
  <c r="G5134" i="18"/>
  <c r="H5134" i="18"/>
  <c r="I5134" i="18"/>
  <c r="J5134" i="18"/>
  <c r="K5134" i="18"/>
  <c r="L5134" i="18"/>
  <c r="B5135" i="18"/>
  <c r="C5135" i="18"/>
  <c r="D5135" i="18"/>
  <c r="E5135" i="18"/>
  <c r="F5135" i="18"/>
  <c r="G5135" i="18"/>
  <c r="H5135" i="18"/>
  <c r="I5135" i="18"/>
  <c r="J5135" i="18"/>
  <c r="K5135" i="18"/>
  <c r="L5135" i="18"/>
  <c r="B5136" i="18"/>
  <c r="C5136" i="18"/>
  <c r="D5136" i="18"/>
  <c r="E5136" i="18"/>
  <c r="F5136" i="18"/>
  <c r="G5136" i="18"/>
  <c r="H5136" i="18"/>
  <c r="I5136" i="18"/>
  <c r="J5136" i="18"/>
  <c r="K5136" i="18"/>
  <c r="L5136" i="18"/>
  <c r="B5137" i="18"/>
  <c r="C5137" i="18"/>
  <c r="D5137" i="18"/>
  <c r="E5137" i="18"/>
  <c r="F5137" i="18"/>
  <c r="G5137" i="18"/>
  <c r="H5137" i="18"/>
  <c r="I5137" i="18"/>
  <c r="J5137" i="18"/>
  <c r="K5137" i="18"/>
  <c r="L5137" i="18"/>
  <c r="B5138" i="18"/>
  <c r="C5138" i="18"/>
  <c r="D5138" i="18"/>
  <c r="E5138" i="18"/>
  <c r="F5138" i="18"/>
  <c r="G5138" i="18"/>
  <c r="H5138" i="18"/>
  <c r="I5138" i="18"/>
  <c r="J5138" i="18"/>
  <c r="K5138" i="18"/>
  <c r="L5138" i="18"/>
  <c r="B5139" i="18"/>
  <c r="C5139" i="18"/>
  <c r="D5139" i="18"/>
  <c r="E5139" i="18"/>
  <c r="F5139" i="18"/>
  <c r="G5139" i="18"/>
  <c r="H5139" i="18"/>
  <c r="I5139" i="18"/>
  <c r="J5139" i="18"/>
  <c r="K5139" i="18"/>
  <c r="L5139" i="18"/>
  <c r="B5140" i="18"/>
  <c r="C5140" i="18"/>
  <c r="D5140" i="18"/>
  <c r="E5140" i="18"/>
  <c r="F5140" i="18"/>
  <c r="G5140" i="18"/>
  <c r="H5140" i="18"/>
  <c r="I5140" i="18"/>
  <c r="J5140" i="18"/>
  <c r="K5140" i="18"/>
  <c r="L5140" i="18"/>
  <c r="B5141" i="18"/>
  <c r="C5141" i="18"/>
  <c r="D5141" i="18"/>
  <c r="E5141" i="18"/>
  <c r="F5141" i="18"/>
  <c r="G5141" i="18"/>
  <c r="H5141" i="18"/>
  <c r="I5141" i="18"/>
  <c r="J5141" i="18"/>
  <c r="K5141" i="18"/>
  <c r="L5141" i="18"/>
  <c r="B5142" i="18"/>
  <c r="C5142" i="18"/>
  <c r="D5142" i="18"/>
  <c r="E5142" i="18"/>
  <c r="F5142" i="18"/>
  <c r="G5142" i="18"/>
  <c r="H5142" i="18"/>
  <c r="I5142" i="18"/>
  <c r="J5142" i="18"/>
  <c r="K5142" i="18"/>
  <c r="L5142" i="18"/>
  <c r="B5143" i="18"/>
  <c r="C5143" i="18"/>
  <c r="D5143" i="18"/>
  <c r="E5143" i="18"/>
  <c r="F5143" i="18"/>
  <c r="G5143" i="18"/>
  <c r="H5143" i="18"/>
  <c r="I5143" i="18"/>
  <c r="J5143" i="18"/>
  <c r="K5143" i="18"/>
  <c r="L5143" i="18"/>
  <c r="B5144" i="18"/>
  <c r="C5144" i="18"/>
  <c r="D5144" i="18"/>
  <c r="E5144" i="18"/>
  <c r="F5144" i="18"/>
  <c r="G5144" i="18"/>
  <c r="H5144" i="18"/>
  <c r="I5144" i="18"/>
  <c r="J5144" i="18"/>
  <c r="K5144" i="18"/>
  <c r="L5144" i="18"/>
  <c r="B5145" i="18"/>
  <c r="C5145" i="18"/>
  <c r="D5145" i="18"/>
  <c r="E5145" i="18"/>
  <c r="F5145" i="18"/>
  <c r="G5145" i="18"/>
  <c r="H5145" i="18"/>
  <c r="I5145" i="18"/>
  <c r="J5145" i="18"/>
  <c r="K5145" i="18"/>
  <c r="L5145" i="18"/>
  <c r="B5146" i="18"/>
  <c r="C5146" i="18"/>
  <c r="D5146" i="18"/>
  <c r="E5146" i="18"/>
  <c r="F5146" i="18"/>
  <c r="G5146" i="18"/>
  <c r="H5146" i="18"/>
  <c r="I5146" i="18"/>
  <c r="J5146" i="18"/>
  <c r="K5146" i="18"/>
  <c r="L5146" i="18"/>
  <c r="B5147" i="18"/>
  <c r="C5147" i="18"/>
  <c r="D5147" i="18"/>
  <c r="E5147" i="18"/>
  <c r="F5147" i="18"/>
  <c r="G5147" i="18"/>
  <c r="H5147" i="18"/>
  <c r="I5147" i="18"/>
  <c r="J5147" i="18"/>
  <c r="K5147" i="18"/>
  <c r="L5147" i="18"/>
  <c r="B5148" i="18"/>
  <c r="C5148" i="18"/>
  <c r="D5148" i="18"/>
  <c r="E5148" i="18"/>
  <c r="F5148" i="18"/>
  <c r="G5148" i="18"/>
  <c r="H5148" i="18"/>
  <c r="I5148" i="18"/>
  <c r="J5148" i="18"/>
  <c r="K5148" i="18"/>
  <c r="L5148" i="18"/>
  <c r="B5149" i="18"/>
  <c r="C5149" i="18"/>
  <c r="D5149" i="18"/>
  <c r="E5149" i="18"/>
  <c r="F5149" i="18"/>
  <c r="G5149" i="18"/>
  <c r="H5149" i="18"/>
  <c r="I5149" i="18"/>
  <c r="J5149" i="18"/>
  <c r="K5149" i="18"/>
  <c r="L5149" i="18"/>
  <c r="B5150" i="18"/>
  <c r="C5150" i="18"/>
  <c r="D5150" i="18"/>
  <c r="E5150" i="18"/>
  <c r="F5150" i="18"/>
  <c r="G5150" i="18"/>
  <c r="H5150" i="18"/>
  <c r="I5150" i="18"/>
  <c r="J5150" i="18"/>
  <c r="K5150" i="18"/>
  <c r="L5150" i="18"/>
  <c r="B5151" i="18"/>
  <c r="C5151" i="18"/>
  <c r="D5151" i="18"/>
  <c r="E5151" i="18"/>
  <c r="F5151" i="18"/>
  <c r="G5151" i="18"/>
  <c r="H5151" i="18"/>
  <c r="I5151" i="18"/>
  <c r="J5151" i="18"/>
  <c r="K5151" i="18"/>
  <c r="L5151" i="18"/>
  <c r="B5152" i="18"/>
  <c r="C5152" i="18"/>
  <c r="D5152" i="18"/>
  <c r="E5152" i="18"/>
  <c r="F5152" i="18"/>
  <c r="G5152" i="18"/>
  <c r="H5152" i="18"/>
  <c r="I5152" i="18"/>
  <c r="J5152" i="18"/>
  <c r="K5152" i="18"/>
  <c r="L5152" i="18"/>
  <c r="B5153" i="18"/>
  <c r="C5153" i="18"/>
  <c r="D5153" i="18"/>
  <c r="E5153" i="18"/>
  <c r="F5153" i="18"/>
  <c r="G5153" i="18"/>
  <c r="H5153" i="18"/>
  <c r="I5153" i="18"/>
  <c r="J5153" i="18"/>
  <c r="K5153" i="18"/>
  <c r="L5153" i="18"/>
  <c r="B5154" i="18"/>
  <c r="C5154" i="18"/>
  <c r="D5154" i="18"/>
  <c r="E5154" i="18"/>
  <c r="F5154" i="18"/>
  <c r="G5154" i="18"/>
  <c r="H5154" i="18"/>
  <c r="I5154" i="18"/>
  <c r="J5154" i="18"/>
  <c r="K5154" i="18"/>
  <c r="L5154" i="18"/>
  <c r="B5155" i="18"/>
  <c r="C5155" i="18"/>
  <c r="D5155" i="18"/>
  <c r="E5155" i="18"/>
  <c r="F5155" i="18"/>
  <c r="G5155" i="18"/>
  <c r="H5155" i="18"/>
  <c r="I5155" i="18"/>
  <c r="J5155" i="18"/>
  <c r="K5155" i="18"/>
  <c r="L5155" i="18"/>
  <c r="B5156" i="18"/>
  <c r="C5156" i="18"/>
  <c r="D5156" i="18"/>
  <c r="E5156" i="18"/>
  <c r="F5156" i="18"/>
  <c r="G5156" i="18"/>
  <c r="H5156" i="18"/>
  <c r="I5156" i="18"/>
  <c r="J5156" i="18"/>
  <c r="K5156" i="18"/>
  <c r="L5156" i="18"/>
  <c r="B5157" i="18"/>
  <c r="C5157" i="18"/>
  <c r="D5157" i="18"/>
  <c r="E5157" i="18"/>
  <c r="F5157" i="18"/>
  <c r="G5157" i="18"/>
  <c r="H5157" i="18"/>
  <c r="I5157" i="18"/>
  <c r="J5157" i="18"/>
  <c r="K5157" i="18"/>
  <c r="L5157" i="18"/>
  <c r="B5158" i="18"/>
  <c r="C5158" i="18"/>
  <c r="D5158" i="18"/>
  <c r="E5158" i="18"/>
  <c r="F5158" i="18"/>
  <c r="G5158" i="18"/>
  <c r="H5158" i="18"/>
  <c r="I5158" i="18"/>
  <c r="J5158" i="18"/>
  <c r="K5158" i="18"/>
  <c r="L5158" i="18"/>
  <c r="B5159" i="18"/>
  <c r="C5159" i="18"/>
  <c r="D5159" i="18"/>
  <c r="E5159" i="18"/>
  <c r="F5159" i="18"/>
  <c r="G5159" i="18"/>
  <c r="H5159" i="18"/>
  <c r="I5159" i="18"/>
  <c r="J5159" i="18"/>
  <c r="K5159" i="18"/>
  <c r="L5159" i="18"/>
  <c r="B5160" i="18"/>
  <c r="C5160" i="18"/>
  <c r="D5160" i="18"/>
  <c r="E5160" i="18"/>
  <c r="F5160" i="18"/>
  <c r="G5160" i="18"/>
  <c r="H5160" i="18"/>
  <c r="I5160" i="18"/>
  <c r="J5160" i="18"/>
  <c r="K5160" i="18"/>
  <c r="L5160" i="18"/>
  <c r="B5161" i="18"/>
  <c r="C5161" i="18"/>
  <c r="D5161" i="18"/>
  <c r="E5161" i="18"/>
  <c r="F5161" i="18"/>
  <c r="G5161" i="18"/>
  <c r="H5161" i="18"/>
  <c r="I5161" i="18"/>
  <c r="J5161" i="18"/>
  <c r="K5161" i="18"/>
  <c r="L5161" i="18"/>
  <c r="B5162" i="18"/>
  <c r="C5162" i="18"/>
  <c r="D5162" i="18"/>
  <c r="E5162" i="18"/>
  <c r="F5162" i="18"/>
  <c r="G5162" i="18"/>
  <c r="H5162" i="18"/>
  <c r="I5162" i="18"/>
  <c r="J5162" i="18"/>
  <c r="K5162" i="18"/>
  <c r="L5162" i="18"/>
  <c r="B5163" i="18"/>
  <c r="C5163" i="18"/>
  <c r="D5163" i="18"/>
  <c r="E5163" i="18"/>
  <c r="F5163" i="18"/>
  <c r="G5163" i="18"/>
  <c r="H5163" i="18"/>
  <c r="I5163" i="18"/>
  <c r="J5163" i="18"/>
  <c r="K5163" i="18"/>
  <c r="L5163" i="18"/>
  <c r="B5164" i="18"/>
  <c r="C5164" i="18"/>
  <c r="D5164" i="18"/>
  <c r="E5164" i="18"/>
  <c r="F5164" i="18"/>
  <c r="G5164" i="18"/>
  <c r="H5164" i="18"/>
  <c r="I5164" i="18"/>
  <c r="J5164" i="18"/>
  <c r="K5164" i="18"/>
  <c r="L5164" i="18"/>
  <c r="B5165" i="18"/>
  <c r="C5165" i="18"/>
  <c r="D5165" i="18"/>
  <c r="E5165" i="18"/>
  <c r="F5165" i="18"/>
  <c r="G5165" i="18"/>
  <c r="H5165" i="18"/>
  <c r="I5165" i="18"/>
  <c r="J5165" i="18"/>
  <c r="K5165" i="18"/>
  <c r="L5165" i="18"/>
  <c r="B5166" i="18"/>
  <c r="C5166" i="18"/>
  <c r="D5166" i="18"/>
  <c r="E5166" i="18"/>
  <c r="F5166" i="18"/>
  <c r="G5166" i="18"/>
  <c r="H5166" i="18"/>
  <c r="I5166" i="18"/>
  <c r="J5166" i="18"/>
  <c r="K5166" i="18"/>
  <c r="L5166" i="18"/>
  <c r="B5167" i="18"/>
  <c r="C5167" i="18"/>
  <c r="D5167" i="18"/>
  <c r="E5167" i="18"/>
  <c r="F5167" i="18"/>
  <c r="G5167" i="18"/>
  <c r="H5167" i="18"/>
  <c r="I5167" i="18"/>
  <c r="J5167" i="18"/>
  <c r="K5167" i="18"/>
  <c r="L5167" i="18"/>
  <c r="B5168" i="18"/>
  <c r="C5168" i="18"/>
  <c r="D5168" i="18"/>
  <c r="E5168" i="18"/>
  <c r="F5168" i="18"/>
  <c r="G5168" i="18"/>
  <c r="H5168" i="18"/>
  <c r="I5168" i="18"/>
  <c r="J5168" i="18"/>
  <c r="K5168" i="18"/>
  <c r="L5168" i="18"/>
  <c r="B5169" i="18"/>
  <c r="C5169" i="18"/>
  <c r="D5169" i="18"/>
  <c r="E5169" i="18"/>
  <c r="F5169" i="18"/>
  <c r="G5169" i="18"/>
  <c r="H5169" i="18"/>
  <c r="I5169" i="18"/>
  <c r="J5169" i="18"/>
  <c r="K5169" i="18"/>
  <c r="L5169" i="18"/>
  <c r="B5170" i="18"/>
  <c r="C5170" i="18"/>
  <c r="D5170" i="18"/>
  <c r="E5170" i="18"/>
  <c r="F5170" i="18"/>
  <c r="G5170" i="18"/>
  <c r="H5170" i="18"/>
  <c r="I5170" i="18"/>
  <c r="J5170" i="18"/>
  <c r="K5170" i="18"/>
  <c r="L5170" i="18"/>
  <c r="B5171" i="18"/>
  <c r="C5171" i="18"/>
  <c r="D5171" i="18"/>
  <c r="E5171" i="18"/>
  <c r="F5171" i="18"/>
  <c r="G5171" i="18"/>
  <c r="H5171" i="18"/>
  <c r="I5171" i="18"/>
  <c r="J5171" i="18"/>
  <c r="K5171" i="18"/>
  <c r="L5171" i="18"/>
  <c r="B5172" i="18"/>
  <c r="C5172" i="18"/>
  <c r="D5172" i="18"/>
  <c r="E5172" i="18"/>
  <c r="F5172" i="18"/>
  <c r="G5172" i="18"/>
  <c r="H5172" i="18"/>
  <c r="I5172" i="18"/>
  <c r="J5172" i="18"/>
  <c r="K5172" i="18"/>
  <c r="L5172" i="18"/>
  <c r="B5173" i="18"/>
  <c r="C5173" i="18"/>
  <c r="D5173" i="18"/>
  <c r="E5173" i="18"/>
  <c r="F5173" i="18"/>
  <c r="G5173" i="18"/>
  <c r="H5173" i="18"/>
  <c r="I5173" i="18"/>
  <c r="J5173" i="18"/>
  <c r="K5173" i="18"/>
  <c r="L5173" i="18"/>
  <c r="B5174" i="18"/>
  <c r="C5174" i="18"/>
  <c r="D5174" i="18"/>
  <c r="E5174" i="18"/>
  <c r="F5174" i="18"/>
  <c r="G5174" i="18"/>
  <c r="H5174" i="18"/>
  <c r="I5174" i="18"/>
  <c r="J5174" i="18"/>
  <c r="K5174" i="18"/>
  <c r="L5174" i="18"/>
  <c r="B5175" i="18"/>
  <c r="C5175" i="18"/>
  <c r="D5175" i="18"/>
  <c r="E5175" i="18"/>
  <c r="F5175" i="18"/>
  <c r="G5175" i="18"/>
  <c r="H5175" i="18"/>
  <c r="I5175" i="18"/>
  <c r="J5175" i="18"/>
  <c r="K5175" i="18"/>
  <c r="L5175" i="18"/>
  <c r="B5176" i="18"/>
  <c r="C5176" i="18"/>
  <c r="D5176" i="18"/>
  <c r="E5176" i="18"/>
  <c r="F5176" i="18"/>
  <c r="G5176" i="18"/>
  <c r="H5176" i="18"/>
  <c r="I5176" i="18"/>
  <c r="J5176" i="18"/>
  <c r="K5176" i="18"/>
  <c r="L5176" i="18"/>
  <c r="B5177" i="18"/>
  <c r="C5177" i="18"/>
  <c r="D5177" i="18"/>
  <c r="E5177" i="18"/>
  <c r="F5177" i="18"/>
  <c r="G5177" i="18"/>
  <c r="H5177" i="18"/>
  <c r="I5177" i="18"/>
  <c r="J5177" i="18"/>
  <c r="K5177" i="18"/>
  <c r="L5177" i="18"/>
  <c r="B5178" i="18"/>
  <c r="C5178" i="18"/>
  <c r="D5178" i="18"/>
  <c r="E5178" i="18"/>
  <c r="F5178" i="18"/>
  <c r="G5178" i="18"/>
  <c r="H5178" i="18"/>
  <c r="I5178" i="18"/>
  <c r="J5178" i="18"/>
  <c r="K5178" i="18"/>
  <c r="L5178" i="18"/>
  <c r="B5179" i="18"/>
  <c r="C5179" i="18"/>
  <c r="D5179" i="18"/>
  <c r="E5179" i="18"/>
  <c r="F5179" i="18"/>
  <c r="G5179" i="18"/>
  <c r="H5179" i="18"/>
  <c r="I5179" i="18"/>
  <c r="J5179" i="18"/>
  <c r="K5179" i="18"/>
  <c r="L5179" i="18"/>
  <c r="B5180" i="18"/>
  <c r="C5180" i="18"/>
  <c r="D5180" i="18"/>
  <c r="E5180" i="18"/>
  <c r="F5180" i="18"/>
  <c r="G5180" i="18"/>
  <c r="H5180" i="18"/>
  <c r="I5180" i="18"/>
  <c r="J5180" i="18"/>
  <c r="K5180" i="18"/>
  <c r="L5180" i="18"/>
  <c r="B5181" i="18"/>
  <c r="C5181" i="18"/>
  <c r="D5181" i="18"/>
  <c r="E5181" i="18"/>
  <c r="F5181" i="18"/>
  <c r="G5181" i="18"/>
  <c r="H5181" i="18"/>
  <c r="I5181" i="18"/>
  <c r="J5181" i="18"/>
  <c r="K5181" i="18"/>
  <c r="L5181" i="18"/>
  <c r="B5182" i="18"/>
  <c r="C5182" i="18"/>
  <c r="D5182" i="18"/>
  <c r="E5182" i="18"/>
  <c r="F5182" i="18"/>
  <c r="G5182" i="18"/>
  <c r="H5182" i="18"/>
  <c r="I5182" i="18"/>
  <c r="J5182" i="18"/>
  <c r="K5182" i="18"/>
  <c r="L5182" i="18"/>
  <c r="B5183" i="18"/>
  <c r="C5183" i="18"/>
  <c r="D5183" i="18"/>
  <c r="E5183" i="18"/>
  <c r="F5183" i="18"/>
  <c r="G5183" i="18"/>
  <c r="H5183" i="18"/>
  <c r="I5183" i="18"/>
  <c r="J5183" i="18"/>
  <c r="K5183" i="18"/>
  <c r="L5183" i="18"/>
  <c r="B5184" i="18"/>
  <c r="C5184" i="18"/>
  <c r="D5184" i="18"/>
  <c r="E5184" i="18"/>
  <c r="F5184" i="18"/>
  <c r="G5184" i="18"/>
  <c r="H5184" i="18"/>
  <c r="I5184" i="18"/>
  <c r="J5184" i="18"/>
  <c r="K5184" i="18"/>
  <c r="L5184" i="18"/>
  <c r="B5185" i="18"/>
  <c r="C5185" i="18"/>
  <c r="D5185" i="18"/>
  <c r="E5185" i="18"/>
  <c r="F5185" i="18"/>
  <c r="G5185" i="18"/>
  <c r="H5185" i="18"/>
  <c r="I5185" i="18"/>
  <c r="J5185" i="18"/>
  <c r="K5185" i="18"/>
  <c r="L5185" i="18"/>
  <c r="B5186" i="18"/>
  <c r="C5186" i="18"/>
  <c r="D5186" i="18"/>
  <c r="E5186" i="18"/>
  <c r="F5186" i="18"/>
  <c r="G5186" i="18"/>
  <c r="H5186" i="18"/>
  <c r="I5186" i="18"/>
  <c r="J5186" i="18"/>
  <c r="K5186" i="18"/>
  <c r="L5186" i="18"/>
  <c r="B5187" i="18"/>
  <c r="C5187" i="18"/>
  <c r="D5187" i="18"/>
  <c r="E5187" i="18"/>
  <c r="F5187" i="18"/>
  <c r="G5187" i="18"/>
  <c r="H5187" i="18"/>
  <c r="I5187" i="18"/>
  <c r="J5187" i="18"/>
  <c r="K5187" i="18"/>
  <c r="L5187" i="18"/>
  <c r="B5188" i="18"/>
  <c r="C5188" i="18"/>
  <c r="D5188" i="18"/>
  <c r="E5188" i="18"/>
  <c r="F5188" i="18"/>
  <c r="G5188" i="18"/>
  <c r="H5188" i="18"/>
  <c r="I5188" i="18"/>
  <c r="J5188" i="18"/>
  <c r="K5188" i="18"/>
  <c r="L5188" i="18"/>
  <c r="B5189" i="18"/>
  <c r="C5189" i="18"/>
  <c r="D5189" i="18"/>
  <c r="E5189" i="18"/>
  <c r="F5189" i="18"/>
  <c r="G5189" i="18"/>
  <c r="H5189" i="18"/>
  <c r="I5189" i="18"/>
  <c r="J5189" i="18"/>
  <c r="K5189" i="18"/>
  <c r="L5189" i="18"/>
  <c r="B5190" i="18"/>
  <c r="C5190" i="18"/>
  <c r="D5190" i="18"/>
  <c r="E5190" i="18"/>
  <c r="F5190" i="18"/>
  <c r="G5190" i="18"/>
  <c r="H5190" i="18"/>
  <c r="I5190" i="18"/>
  <c r="J5190" i="18"/>
  <c r="K5190" i="18"/>
  <c r="L5190" i="18"/>
  <c r="B5191" i="18"/>
  <c r="C5191" i="18"/>
  <c r="D5191" i="18"/>
  <c r="E5191" i="18"/>
  <c r="F5191" i="18"/>
  <c r="G5191" i="18"/>
  <c r="H5191" i="18"/>
  <c r="I5191" i="18"/>
  <c r="J5191" i="18"/>
  <c r="K5191" i="18"/>
  <c r="L5191" i="18"/>
  <c r="B5192" i="18"/>
  <c r="C5192" i="18"/>
  <c r="D5192" i="18"/>
  <c r="E5192" i="18"/>
  <c r="F5192" i="18"/>
  <c r="G5192" i="18"/>
  <c r="H5192" i="18"/>
  <c r="I5192" i="18"/>
  <c r="J5192" i="18"/>
  <c r="K5192" i="18"/>
  <c r="L5192" i="18"/>
  <c r="B5193" i="18"/>
  <c r="C5193" i="18"/>
  <c r="D5193" i="18"/>
  <c r="E5193" i="18"/>
  <c r="F5193" i="18"/>
  <c r="G5193" i="18"/>
  <c r="H5193" i="18"/>
  <c r="I5193" i="18"/>
  <c r="J5193" i="18"/>
  <c r="K5193" i="18"/>
  <c r="L5193" i="18"/>
  <c r="B5194" i="18"/>
  <c r="C5194" i="18"/>
  <c r="D5194" i="18"/>
  <c r="E5194" i="18"/>
  <c r="F5194" i="18"/>
  <c r="G5194" i="18"/>
  <c r="H5194" i="18"/>
  <c r="I5194" i="18"/>
  <c r="J5194" i="18"/>
  <c r="K5194" i="18"/>
  <c r="L5194" i="18"/>
  <c r="B5195" i="18"/>
  <c r="C5195" i="18"/>
  <c r="D5195" i="18"/>
  <c r="E5195" i="18"/>
  <c r="F5195" i="18"/>
  <c r="G5195" i="18"/>
  <c r="H5195" i="18"/>
  <c r="I5195" i="18"/>
  <c r="J5195" i="18"/>
  <c r="K5195" i="18"/>
  <c r="L5195" i="18"/>
  <c r="B5196" i="18"/>
  <c r="C5196" i="18"/>
  <c r="D5196" i="18"/>
  <c r="E5196" i="18"/>
  <c r="F5196" i="18"/>
  <c r="G5196" i="18"/>
  <c r="H5196" i="18"/>
  <c r="I5196" i="18"/>
  <c r="J5196" i="18"/>
  <c r="K5196" i="18"/>
  <c r="L5196" i="18"/>
  <c r="B5197" i="18"/>
  <c r="C5197" i="18"/>
  <c r="D5197" i="18"/>
  <c r="E5197" i="18"/>
  <c r="F5197" i="18"/>
  <c r="G5197" i="18"/>
  <c r="H5197" i="18"/>
  <c r="I5197" i="18"/>
  <c r="J5197" i="18"/>
  <c r="K5197" i="18"/>
  <c r="L5197" i="18"/>
  <c r="B5198" i="18"/>
  <c r="C5198" i="18"/>
  <c r="D5198" i="18"/>
  <c r="E5198" i="18"/>
  <c r="F5198" i="18"/>
  <c r="G5198" i="18"/>
  <c r="H5198" i="18"/>
  <c r="I5198" i="18"/>
  <c r="J5198" i="18"/>
  <c r="K5198" i="18"/>
  <c r="L5198" i="18"/>
  <c r="B5199" i="18"/>
  <c r="C5199" i="18"/>
  <c r="D5199" i="18"/>
  <c r="E5199" i="18"/>
  <c r="F5199" i="18"/>
  <c r="G5199" i="18"/>
  <c r="H5199" i="18"/>
  <c r="I5199" i="18"/>
  <c r="J5199" i="18"/>
  <c r="K5199" i="18"/>
  <c r="L5199" i="18"/>
  <c r="B5200" i="18"/>
  <c r="C5200" i="18"/>
  <c r="D5200" i="18"/>
  <c r="E5200" i="18"/>
  <c r="F5200" i="18"/>
  <c r="G5200" i="18"/>
  <c r="H5200" i="18"/>
  <c r="I5200" i="18"/>
  <c r="J5200" i="18"/>
  <c r="K5200" i="18"/>
  <c r="L5200" i="18"/>
  <c r="B5201" i="18"/>
  <c r="C5201" i="18"/>
  <c r="D5201" i="18"/>
  <c r="E5201" i="18"/>
  <c r="F5201" i="18"/>
  <c r="G5201" i="18"/>
  <c r="H5201" i="18"/>
  <c r="I5201" i="18"/>
  <c r="J5201" i="18"/>
  <c r="K5201" i="18"/>
  <c r="L5201" i="18"/>
  <c r="B5202" i="18"/>
  <c r="C5202" i="18"/>
  <c r="D5202" i="18"/>
  <c r="E5202" i="18"/>
  <c r="F5202" i="18"/>
  <c r="G5202" i="18"/>
  <c r="H5202" i="18"/>
  <c r="I5202" i="18"/>
  <c r="J5202" i="18"/>
  <c r="K5202" i="18"/>
  <c r="L5202" i="18"/>
  <c r="B5203" i="18"/>
  <c r="C5203" i="18"/>
  <c r="D5203" i="18"/>
  <c r="E5203" i="18"/>
  <c r="F5203" i="18"/>
  <c r="G5203" i="18"/>
  <c r="H5203" i="18"/>
  <c r="I5203" i="18"/>
  <c r="J5203" i="18"/>
  <c r="K5203" i="18"/>
  <c r="L5203" i="18"/>
  <c r="B5204" i="18"/>
  <c r="C5204" i="18"/>
  <c r="D5204" i="18"/>
  <c r="E5204" i="18"/>
  <c r="F5204" i="18"/>
  <c r="G5204" i="18"/>
  <c r="H5204" i="18"/>
  <c r="I5204" i="18"/>
  <c r="J5204" i="18"/>
  <c r="K5204" i="18"/>
  <c r="L5204" i="18"/>
  <c r="B5205" i="18"/>
  <c r="C5205" i="18"/>
  <c r="D5205" i="18"/>
  <c r="E5205" i="18"/>
  <c r="F5205" i="18"/>
  <c r="G5205" i="18"/>
  <c r="H5205" i="18"/>
  <c r="I5205" i="18"/>
  <c r="J5205" i="18"/>
  <c r="K5205" i="18"/>
  <c r="L5205" i="18"/>
  <c r="B5206" i="18"/>
  <c r="C5206" i="18"/>
  <c r="D5206" i="18"/>
  <c r="E5206" i="18"/>
  <c r="F5206" i="18"/>
  <c r="G5206" i="18"/>
  <c r="H5206" i="18"/>
  <c r="I5206" i="18"/>
  <c r="J5206" i="18"/>
  <c r="K5206" i="18"/>
  <c r="L5206" i="18"/>
  <c r="B5207" i="18"/>
  <c r="C5207" i="18"/>
  <c r="D5207" i="18"/>
  <c r="E5207" i="18"/>
  <c r="F5207" i="18"/>
  <c r="G5207" i="18"/>
  <c r="H5207" i="18"/>
  <c r="I5207" i="18"/>
  <c r="J5207" i="18"/>
  <c r="K5207" i="18"/>
  <c r="L5207" i="18"/>
  <c r="B5208" i="18"/>
  <c r="C5208" i="18"/>
  <c r="D5208" i="18"/>
  <c r="E5208" i="18"/>
  <c r="F5208" i="18"/>
  <c r="G5208" i="18"/>
  <c r="H5208" i="18"/>
  <c r="I5208" i="18"/>
  <c r="J5208" i="18"/>
  <c r="K5208" i="18"/>
  <c r="L5208" i="18"/>
  <c r="B5209" i="18"/>
  <c r="C5209" i="18"/>
  <c r="D5209" i="18"/>
  <c r="E5209" i="18"/>
  <c r="F5209" i="18"/>
  <c r="G5209" i="18"/>
  <c r="H5209" i="18"/>
  <c r="I5209" i="18"/>
  <c r="J5209" i="18"/>
  <c r="K5209" i="18"/>
  <c r="L5209" i="18"/>
  <c r="B5210" i="18"/>
  <c r="C5210" i="18"/>
  <c r="D5210" i="18"/>
  <c r="E5210" i="18"/>
  <c r="F5210" i="18"/>
  <c r="G5210" i="18"/>
  <c r="H5210" i="18"/>
  <c r="I5210" i="18"/>
  <c r="J5210" i="18"/>
  <c r="K5210" i="18"/>
  <c r="L5210" i="18"/>
  <c r="B5211" i="18"/>
  <c r="C5211" i="18"/>
  <c r="D5211" i="18"/>
  <c r="E5211" i="18"/>
  <c r="F5211" i="18"/>
  <c r="G5211" i="18"/>
  <c r="H5211" i="18"/>
  <c r="I5211" i="18"/>
  <c r="J5211" i="18"/>
  <c r="K5211" i="18"/>
  <c r="L5211" i="18"/>
  <c r="B5212" i="18"/>
  <c r="C5212" i="18"/>
  <c r="D5212" i="18"/>
  <c r="E5212" i="18"/>
  <c r="F5212" i="18"/>
  <c r="G5212" i="18"/>
  <c r="H5212" i="18"/>
  <c r="I5212" i="18"/>
  <c r="J5212" i="18"/>
  <c r="K5212" i="18"/>
  <c r="L5212" i="18"/>
  <c r="B5213" i="18"/>
  <c r="C5213" i="18"/>
  <c r="D5213" i="18"/>
  <c r="E5213" i="18"/>
  <c r="F5213" i="18"/>
  <c r="G5213" i="18"/>
  <c r="H5213" i="18"/>
  <c r="I5213" i="18"/>
  <c r="J5213" i="18"/>
  <c r="K5213" i="18"/>
  <c r="L5213" i="18"/>
  <c r="B5214" i="18"/>
  <c r="C5214" i="18"/>
  <c r="D5214" i="18"/>
  <c r="E5214" i="18"/>
  <c r="F5214" i="18"/>
  <c r="G5214" i="18"/>
  <c r="H5214" i="18"/>
  <c r="I5214" i="18"/>
  <c r="J5214" i="18"/>
  <c r="K5214" i="18"/>
  <c r="L5214" i="18"/>
  <c r="B5215" i="18"/>
  <c r="C5215" i="18"/>
  <c r="D5215" i="18"/>
  <c r="E5215" i="18"/>
  <c r="F5215" i="18"/>
  <c r="G5215" i="18"/>
  <c r="H5215" i="18"/>
  <c r="I5215" i="18"/>
  <c r="J5215" i="18"/>
  <c r="K5215" i="18"/>
  <c r="L5215" i="18"/>
  <c r="B5216" i="18"/>
  <c r="C5216" i="18"/>
  <c r="D5216" i="18"/>
  <c r="E5216" i="18"/>
  <c r="F5216" i="18"/>
  <c r="G5216" i="18"/>
  <c r="H5216" i="18"/>
  <c r="I5216" i="18"/>
  <c r="J5216" i="18"/>
  <c r="K5216" i="18"/>
  <c r="L5216" i="18"/>
  <c r="B5217" i="18"/>
  <c r="C5217" i="18"/>
  <c r="D5217" i="18"/>
  <c r="E5217" i="18"/>
  <c r="F5217" i="18"/>
  <c r="G5217" i="18"/>
  <c r="H5217" i="18"/>
  <c r="I5217" i="18"/>
  <c r="J5217" i="18"/>
  <c r="K5217" i="18"/>
  <c r="L5217" i="18"/>
  <c r="B5218" i="18"/>
  <c r="C5218" i="18"/>
  <c r="D5218" i="18"/>
  <c r="E5218" i="18"/>
  <c r="F5218" i="18"/>
  <c r="G5218" i="18"/>
  <c r="H5218" i="18"/>
  <c r="I5218" i="18"/>
  <c r="J5218" i="18"/>
  <c r="K5218" i="18"/>
  <c r="L5218" i="18"/>
  <c r="B5219" i="18"/>
  <c r="C5219" i="18"/>
  <c r="D5219" i="18"/>
  <c r="E5219" i="18"/>
  <c r="F5219" i="18"/>
  <c r="G5219" i="18"/>
  <c r="H5219" i="18"/>
  <c r="I5219" i="18"/>
  <c r="J5219" i="18"/>
  <c r="K5219" i="18"/>
  <c r="L5219" i="18"/>
  <c r="B5220" i="18"/>
  <c r="C5220" i="18"/>
  <c r="D5220" i="18"/>
  <c r="E5220" i="18"/>
  <c r="F5220" i="18"/>
  <c r="G5220" i="18"/>
  <c r="H5220" i="18"/>
  <c r="I5220" i="18"/>
  <c r="J5220" i="18"/>
  <c r="K5220" i="18"/>
  <c r="L5220" i="18"/>
  <c r="B5221" i="18"/>
  <c r="C5221" i="18"/>
  <c r="D5221" i="18"/>
  <c r="E5221" i="18"/>
  <c r="F5221" i="18"/>
  <c r="G5221" i="18"/>
  <c r="H5221" i="18"/>
  <c r="I5221" i="18"/>
  <c r="J5221" i="18"/>
  <c r="K5221" i="18"/>
  <c r="L5221" i="18"/>
  <c r="B5222" i="18"/>
  <c r="C5222" i="18"/>
  <c r="D5222" i="18"/>
  <c r="E5222" i="18"/>
  <c r="F5222" i="18"/>
  <c r="G5222" i="18"/>
  <c r="H5222" i="18"/>
  <c r="I5222" i="18"/>
  <c r="J5222" i="18"/>
  <c r="K5222" i="18"/>
  <c r="L5222" i="18"/>
  <c r="B5223" i="18"/>
  <c r="C5223" i="18"/>
  <c r="D5223" i="18"/>
  <c r="E5223" i="18"/>
  <c r="F5223" i="18"/>
  <c r="G5223" i="18"/>
  <c r="H5223" i="18"/>
  <c r="I5223" i="18"/>
  <c r="J5223" i="18"/>
  <c r="K5223" i="18"/>
  <c r="L5223" i="18"/>
  <c r="B5224" i="18"/>
  <c r="C5224" i="18"/>
  <c r="D5224" i="18"/>
  <c r="E5224" i="18"/>
  <c r="F5224" i="18"/>
  <c r="G5224" i="18"/>
  <c r="H5224" i="18"/>
  <c r="I5224" i="18"/>
  <c r="J5224" i="18"/>
  <c r="K5224" i="18"/>
  <c r="L5224" i="18"/>
  <c r="B5225" i="18"/>
  <c r="C5225" i="18"/>
  <c r="D5225" i="18"/>
  <c r="E5225" i="18"/>
  <c r="F5225" i="18"/>
  <c r="G5225" i="18"/>
  <c r="H5225" i="18"/>
  <c r="I5225" i="18"/>
  <c r="J5225" i="18"/>
  <c r="K5225" i="18"/>
  <c r="L5225" i="18"/>
  <c r="B5226" i="18"/>
  <c r="C5226" i="18"/>
  <c r="D5226" i="18"/>
  <c r="E5226" i="18"/>
  <c r="F5226" i="18"/>
  <c r="G5226" i="18"/>
  <c r="H5226" i="18"/>
  <c r="I5226" i="18"/>
  <c r="J5226" i="18"/>
  <c r="K5226" i="18"/>
  <c r="L5226" i="18"/>
  <c r="B5227" i="18"/>
  <c r="C5227" i="18"/>
  <c r="D5227" i="18"/>
  <c r="E5227" i="18"/>
  <c r="F5227" i="18"/>
  <c r="G5227" i="18"/>
  <c r="H5227" i="18"/>
  <c r="I5227" i="18"/>
  <c r="J5227" i="18"/>
  <c r="K5227" i="18"/>
  <c r="L5227" i="18"/>
  <c r="B5228" i="18"/>
  <c r="C5228" i="18"/>
  <c r="D5228" i="18"/>
  <c r="E5228" i="18"/>
  <c r="F5228" i="18"/>
  <c r="G5228" i="18"/>
  <c r="H5228" i="18"/>
  <c r="I5228" i="18"/>
  <c r="J5228" i="18"/>
  <c r="K5228" i="18"/>
  <c r="L5228" i="18"/>
  <c r="B5229" i="18"/>
  <c r="C5229" i="18"/>
  <c r="D5229" i="18"/>
  <c r="E5229" i="18"/>
  <c r="F5229" i="18"/>
  <c r="G5229" i="18"/>
  <c r="H5229" i="18"/>
  <c r="I5229" i="18"/>
  <c r="J5229" i="18"/>
  <c r="K5229" i="18"/>
  <c r="L5229" i="18"/>
  <c r="B5230" i="18"/>
  <c r="C5230" i="18"/>
  <c r="D5230" i="18"/>
  <c r="E5230" i="18"/>
  <c r="F5230" i="18"/>
  <c r="G5230" i="18"/>
  <c r="H5230" i="18"/>
  <c r="I5230" i="18"/>
  <c r="J5230" i="18"/>
  <c r="K5230" i="18"/>
  <c r="L5230" i="18"/>
  <c r="B5231" i="18"/>
  <c r="C5231" i="18"/>
  <c r="D5231" i="18"/>
  <c r="E5231" i="18"/>
  <c r="F5231" i="18"/>
  <c r="G5231" i="18"/>
  <c r="H5231" i="18"/>
  <c r="I5231" i="18"/>
  <c r="J5231" i="18"/>
  <c r="K5231" i="18"/>
  <c r="L5231" i="18"/>
  <c r="B5232" i="18"/>
  <c r="C5232" i="18"/>
  <c r="D5232" i="18"/>
  <c r="E5232" i="18"/>
  <c r="F5232" i="18"/>
  <c r="G5232" i="18"/>
  <c r="H5232" i="18"/>
  <c r="I5232" i="18"/>
  <c r="J5232" i="18"/>
  <c r="K5232" i="18"/>
  <c r="L5232" i="18"/>
  <c r="B5233" i="18"/>
  <c r="C5233" i="18"/>
  <c r="D5233" i="18"/>
  <c r="E5233" i="18"/>
  <c r="F5233" i="18"/>
  <c r="G5233" i="18"/>
  <c r="H5233" i="18"/>
  <c r="I5233" i="18"/>
  <c r="J5233" i="18"/>
  <c r="K5233" i="18"/>
  <c r="L5233" i="18"/>
  <c r="B5234" i="18"/>
  <c r="C5234" i="18"/>
  <c r="D5234" i="18"/>
  <c r="E5234" i="18"/>
  <c r="F5234" i="18"/>
  <c r="G5234" i="18"/>
  <c r="H5234" i="18"/>
  <c r="I5234" i="18"/>
  <c r="J5234" i="18"/>
  <c r="K5234" i="18"/>
  <c r="L5234" i="18"/>
  <c r="B5235" i="18"/>
  <c r="C5235" i="18"/>
  <c r="D5235" i="18"/>
  <c r="E5235" i="18"/>
  <c r="F5235" i="18"/>
  <c r="G5235" i="18"/>
  <c r="H5235" i="18"/>
  <c r="I5235" i="18"/>
  <c r="J5235" i="18"/>
  <c r="K5235" i="18"/>
  <c r="L5235" i="18"/>
  <c r="B5236" i="18"/>
  <c r="C5236" i="18"/>
  <c r="D5236" i="18"/>
  <c r="E5236" i="18"/>
  <c r="F5236" i="18"/>
  <c r="G5236" i="18"/>
  <c r="H5236" i="18"/>
  <c r="I5236" i="18"/>
  <c r="J5236" i="18"/>
  <c r="K5236" i="18"/>
  <c r="L5236" i="18"/>
  <c r="B5237" i="18"/>
  <c r="C5237" i="18"/>
  <c r="D5237" i="18"/>
  <c r="E5237" i="18"/>
  <c r="F5237" i="18"/>
  <c r="G5237" i="18"/>
  <c r="H5237" i="18"/>
  <c r="I5237" i="18"/>
  <c r="J5237" i="18"/>
  <c r="K5237" i="18"/>
  <c r="L5237" i="18"/>
  <c r="B5238" i="18"/>
  <c r="C5238" i="18"/>
  <c r="D5238" i="18"/>
  <c r="E5238" i="18"/>
  <c r="F5238" i="18"/>
  <c r="G5238" i="18"/>
  <c r="H5238" i="18"/>
  <c r="I5238" i="18"/>
  <c r="J5238" i="18"/>
  <c r="K5238" i="18"/>
  <c r="L5238" i="18"/>
  <c r="B5239" i="18"/>
  <c r="C5239" i="18"/>
  <c r="D5239" i="18"/>
  <c r="E5239" i="18"/>
  <c r="F5239" i="18"/>
  <c r="G5239" i="18"/>
  <c r="H5239" i="18"/>
  <c r="I5239" i="18"/>
  <c r="J5239" i="18"/>
  <c r="K5239" i="18"/>
  <c r="L5239" i="18"/>
  <c r="B5240" i="18"/>
  <c r="C5240" i="18"/>
  <c r="D5240" i="18"/>
  <c r="E5240" i="18"/>
  <c r="F5240" i="18"/>
  <c r="G5240" i="18"/>
  <c r="H5240" i="18"/>
  <c r="I5240" i="18"/>
  <c r="J5240" i="18"/>
  <c r="K5240" i="18"/>
  <c r="L5240" i="18"/>
  <c r="B5241" i="18"/>
  <c r="C5241" i="18"/>
  <c r="D5241" i="18"/>
  <c r="E5241" i="18"/>
  <c r="F5241" i="18"/>
  <c r="G5241" i="18"/>
  <c r="H5241" i="18"/>
  <c r="I5241" i="18"/>
  <c r="J5241" i="18"/>
  <c r="K5241" i="18"/>
  <c r="L5241" i="18"/>
  <c r="B5242" i="18"/>
  <c r="C5242" i="18"/>
  <c r="D5242" i="18"/>
  <c r="E5242" i="18"/>
  <c r="F5242" i="18"/>
  <c r="G5242" i="18"/>
  <c r="H5242" i="18"/>
  <c r="I5242" i="18"/>
  <c r="J5242" i="18"/>
  <c r="K5242" i="18"/>
  <c r="L5242" i="18"/>
  <c r="B5243" i="18"/>
  <c r="C5243" i="18"/>
  <c r="D5243" i="18"/>
  <c r="E5243" i="18"/>
  <c r="F5243" i="18"/>
  <c r="G5243" i="18"/>
  <c r="H5243" i="18"/>
  <c r="I5243" i="18"/>
  <c r="J5243" i="18"/>
  <c r="K5243" i="18"/>
  <c r="L5243" i="18"/>
  <c r="B5244" i="18"/>
  <c r="C5244" i="18"/>
  <c r="D5244" i="18"/>
  <c r="E5244" i="18"/>
  <c r="F5244" i="18"/>
  <c r="G5244" i="18"/>
  <c r="H5244" i="18"/>
  <c r="I5244" i="18"/>
  <c r="J5244" i="18"/>
  <c r="K5244" i="18"/>
  <c r="L5244" i="18"/>
  <c r="B5245" i="18"/>
  <c r="C5245" i="18"/>
  <c r="D5245" i="18"/>
  <c r="E5245" i="18"/>
  <c r="F5245" i="18"/>
  <c r="G5245" i="18"/>
  <c r="H5245" i="18"/>
  <c r="I5245" i="18"/>
  <c r="J5245" i="18"/>
  <c r="K5245" i="18"/>
  <c r="L5245" i="18"/>
  <c r="B5246" i="18"/>
  <c r="C5246" i="18"/>
  <c r="D5246" i="18"/>
  <c r="E5246" i="18"/>
  <c r="F5246" i="18"/>
  <c r="G5246" i="18"/>
  <c r="H5246" i="18"/>
  <c r="I5246" i="18"/>
  <c r="J5246" i="18"/>
  <c r="K5246" i="18"/>
  <c r="L5246" i="18"/>
  <c r="B5247" i="18"/>
  <c r="C5247" i="18"/>
  <c r="D5247" i="18"/>
  <c r="E5247" i="18"/>
  <c r="F5247" i="18"/>
  <c r="G5247" i="18"/>
  <c r="H5247" i="18"/>
  <c r="I5247" i="18"/>
  <c r="J5247" i="18"/>
  <c r="K5247" i="18"/>
  <c r="L5247" i="18"/>
  <c r="B5248" i="18"/>
  <c r="C5248" i="18"/>
  <c r="D5248" i="18"/>
  <c r="E5248" i="18"/>
  <c r="F5248" i="18"/>
  <c r="G5248" i="18"/>
  <c r="H5248" i="18"/>
  <c r="I5248" i="18"/>
  <c r="J5248" i="18"/>
  <c r="K5248" i="18"/>
  <c r="L5248" i="18"/>
  <c r="B5249" i="18"/>
  <c r="C5249" i="18"/>
  <c r="D5249" i="18"/>
  <c r="E5249" i="18"/>
  <c r="F5249" i="18"/>
  <c r="G5249" i="18"/>
  <c r="H5249" i="18"/>
  <c r="I5249" i="18"/>
  <c r="J5249" i="18"/>
  <c r="K5249" i="18"/>
  <c r="L5249" i="18"/>
  <c r="B5250" i="18"/>
  <c r="C5250" i="18"/>
  <c r="D5250" i="18"/>
  <c r="E5250" i="18"/>
  <c r="F5250" i="18"/>
  <c r="G5250" i="18"/>
  <c r="H5250" i="18"/>
  <c r="I5250" i="18"/>
  <c r="J5250" i="18"/>
  <c r="K5250" i="18"/>
  <c r="L5250" i="18"/>
  <c r="B5251" i="18"/>
  <c r="C5251" i="18"/>
  <c r="D5251" i="18"/>
  <c r="E5251" i="18"/>
  <c r="F5251" i="18"/>
  <c r="G5251" i="18"/>
  <c r="H5251" i="18"/>
  <c r="I5251" i="18"/>
  <c r="J5251" i="18"/>
  <c r="K5251" i="18"/>
  <c r="L5251" i="18"/>
  <c r="B5252" i="18"/>
  <c r="C5252" i="18"/>
  <c r="D5252" i="18"/>
  <c r="E5252" i="18"/>
  <c r="F5252" i="18"/>
  <c r="G5252" i="18"/>
  <c r="H5252" i="18"/>
  <c r="I5252" i="18"/>
  <c r="J5252" i="18"/>
  <c r="K5252" i="18"/>
  <c r="L5252" i="18"/>
  <c r="B5253" i="18"/>
  <c r="C5253" i="18"/>
  <c r="D5253" i="18"/>
  <c r="E5253" i="18"/>
  <c r="F5253" i="18"/>
  <c r="G5253" i="18"/>
  <c r="H5253" i="18"/>
  <c r="I5253" i="18"/>
  <c r="J5253" i="18"/>
  <c r="K5253" i="18"/>
  <c r="L5253" i="18"/>
  <c r="B5254" i="18"/>
  <c r="C5254" i="18"/>
  <c r="D5254" i="18"/>
  <c r="E5254" i="18"/>
  <c r="F5254" i="18"/>
  <c r="G5254" i="18"/>
  <c r="H5254" i="18"/>
  <c r="I5254" i="18"/>
  <c r="J5254" i="18"/>
  <c r="K5254" i="18"/>
  <c r="L5254" i="18"/>
  <c r="B5255" i="18"/>
  <c r="C5255" i="18"/>
  <c r="D5255" i="18"/>
  <c r="E5255" i="18"/>
  <c r="F5255" i="18"/>
  <c r="G5255" i="18"/>
  <c r="H5255" i="18"/>
  <c r="I5255" i="18"/>
  <c r="J5255" i="18"/>
  <c r="K5255" i="18"/>
  <c r="L5255" i="18"/>
  <c r="B5256" i="18"/>
  <c r="C5256" i="18"/>
  <c r="D5256" i="18"/>
  <c r="E5256" i="18"/>
  <c r="F5256" i="18"/>
  <c r="G5256" i="18"/>
  <c r="H5256" i="18"/>
  <c r="I5256" i="18"/>
  <c r="J5256" i="18"/>
  <c r="K5256" i="18"/>
  <c r="L5256" i="18"/>
  <c r="B5257" i="18"/>
  <c r="C5257" i="18"/>
  <c r="D5257" i="18"/>
  <c r="E5257" i="18"/>
  <c r="F5257" i="18"/>
  <c r="G5257" i="18"/>
  <c r="H5257" i="18"/>
  <c r="I5257" i="18"/>
  <c r="J5257" i="18"/>
  <c r="K5257" i="18"/>
  <c r="L5257" i="18"/>
  <c r="B5258" i="18"/>
  <c r="C5258" i="18"/>
  <c r="D5258" i="18"/>
  <c r="E5258" i="18"/>
  <c r="F5258" i="18"/>
  <c r="G5258" i="18"/>
  <c r="H5258" i="18"/>
  <c r="I5258" i="18"/>
  <c r="J5258" i="18"/>
  <c r="K5258" i="18"/>
  <c r="L5258" i="18"/>
  <c r="B5259" i="18"/>
  <c r="C5259" i="18"/>
  <c r="D5259" i="18"/>
  <c r="E5259" i="18"/>
  <c r="F5259" i="18"/>
  <c r="G5259" i="18"/>
  <c r="H5259" i="18"/>
  <c r="I5259" i="18"/>
  <c r="J5259" i="18"/>
  <c r="K5259" i="18"/>
  <c r="L5259" i="18"/>
  <c r="B5260" i="18"/>
  <c r="C5260" i="18"/>
  <c r="D5260" i="18"/>
  <c r="E5260" i="18"/>
  <c r="F5260" i="18"/>
  <c r="G5260" i="18"/>
  <c r="H5260" i="18"/>
  <c r="I5260" i="18"/>
  <c r="J5260" i="18"/>
  <c r="K5260" i="18"/>
  <c r="L5260" i="18"/>
  <c r="B5261" i="18"/>
  <c r="C5261" i="18"/>
  <c r="D5261" i="18"/>
  <c r="E5261" i="18"/>
  <c r="F5261" i="18"/>
  <c r="G5261" i="18"/>
  <c r="H5261" i="18"/>
  <c r="I5261" i="18"/>
  <c r="J5261" i="18"/>
  <c r="K5261" i="18"/>
  <c r="L5261" i="18"/>
  <c r="B5262" i="18"/>
  <c r="C5262" i="18"/>
  <c r="D5262" i="18"/>
  <c r="E5262" i="18"/>
  <c r="F5262" i="18"/>
  <c r="G5262" i="18"/>
  <c r="H5262" i="18"/>
  <c r="I5262" i="18"/>
  <c r="J5262" i="18"/>
  <c r="K5262" i="18"/>
  <c r="L5262" i="18"/>
  <c r="B5263" i="18"/>
  <c r="C5263" i="18"/>
  <c r="D5263" i="18"/>
  <c r="E5263" i="18"/>
  <c r="F5263" i="18"/>
  <c r="G5263" i="18"/>
  <c r="H5263" i="18"/>
  <c r="I5263" i="18"/>
  <c r="J5263" i="18"/>
  <c r="K5263" i="18"/>
  <c r="L5263" i="18"/>
  <c r="B5264" i="18"/>
  <c r="C5264" i="18"/>
  <c r="D5264" i="18"/>
  <c r="E5264" i="18"/>
  <c r="F5264" i="18"/>
  <c r="G5264" i="18"/>
  <c r="H5264" i="18"/>
  <c r="I5264" i="18"/>
  <c r="J5264" i="18"/>
  <c r="K5264" i="18"/>
  <c r="L5264" i="18"/>
  <c r="B5265" i="18"/>
  <c r="C5265" i="18"/>
  <c r="D5265" i="18"/>
  <c r="E5265" i="18"/>
  <c r="F5265" i="18"/>
  <c r="G5265" i="18"/>
  <c r="H5265" i="18"/>
  <c r="I5265" i="18"/>
  <c r="J5265" i="18"/>
  <c r="K5265" i="18"/>
  <c r="L5265" i="18"/>
  <c r="B5266" i="18"/>
  <c r="C5266" i="18"/>
  <c r="D5266" i="18"/>
  <c r="E5266" i="18"/>
  <c r="F5266" i="18"/>
  <c r="G5266" i="18"/>
  <c r="H5266" i="18"/>
  <c r="I5266" i="18"/>
  <c r="J5266" i="18"/>
  <c r="K5266" i="18"/>
  <c r="L5266" i="18"/>
  <c r="B5267" i="18"/>
  <c r="C5267" i="18"/>
  <c r="D5267" i="18"/>
  <c r="E5267" i="18"/>
  <c r="F5267" i="18"/>
  <c r="G5267" i="18"/>
  <c r="H5267" i="18"/>
  <c r="I5267" i="18"/>
  <c r="J5267" i="18"/>
  <c r="K5267" i="18"/>
  <c r="L5267" i="18"/>
  <c r="B5268" i="18"/>
  <c r="C5268" i="18"/>
  <c r="D5268" i="18"/>
  <c r="E5268" i="18"/>
  <c r="F5268" i="18"/>
  <c r="G5268" i="18"/>
  <c r="H5268" i="18"/>
  <c r="I5268" i="18"/>
  <c r="J5268" i="18"/>
  <c r="K5268" i="18"/>
  <c r="L5268" i="18"/>
  <c r="B5269" i="18"/>
  <c r="C5269" i="18"/>
  <c r="D5269" i="18"/>
  <c r="E5269" i="18"/>
  <c r="F5269" i="18"/>
  <c r="G5269" i="18"/>
  <c r="H5269" i="18"/>
  <c r="I5269" i="18"/>
  <c r="J5269" i="18"/>
  <c r="K5269" i="18"/>
  <c r="L5269" i="18"/>
  <c r="B5270" i="18"/>
  <c r="C5270" i="18"/>
  <c r="D5270" i="18"/>
  <c r="E5270" i="18"/>
  <c r="F5270" i="18"/>
  <c r="G5270" i="18"/>
  <c r="H5270" i="18"/>
  <c r="I5270" i="18"/>
  <c r="J5270" i="18"/>
  <c r="K5270" i="18"/>
  <c r="L5270" i="18"/>
  <c r="B5271" i="18"/>
  <c r="C5271" i="18"/>
  <c r="D5271" i="18"/>
  <c r="E5271" i="18"/>
  <c r="F5271" i="18"/>
  <c r="G5271" i="18"/>
  <c r="H5271" i="18"/>
  <c r="I5271" i="18"/>
  <c r="J5271" i="18"/>
  <c r="K5271" i="18"/>
  <c r="L5271" i="18"/>
  <c r="B5272" i="18"/>
  <c r="C5272" i="18"/>
  <c r="D5272" i="18"/>
  <c r="E5272" i="18"/>
  <c r="F5272" i="18"/>
  <c r="G5272" i="18"/>
  <c r="H5272" i="18"/>
  <c r="I5272" i="18"/>
  <c r="J5272" i="18"/>
  <c r="K5272" i="18"/>
  <c r="L5272" i="18"/>
  <c r="B5273" i="18"/>
  <c r="C5273" i="18"/>
  <c r="D5273" i="18"/>
  <c r="E5273" i="18"/>
  <c r="F5273" i="18"/>
  <c r="G5273" i="18"/>
  <c r="H5273" i="18"/>
  <c r="I5273" i="18"/>
  <c r="J5273" i="18"/>
  <c r="K5273" i="18"/>
  <c r="L5273" i="18"/>
  <c r="B5274" i="18"/>
  <c r="C5274" i="18"/>
  <c r="D5274" i="18"/>
  <c r="E5274" i="18"/>
  <c r="F5274" i="18"/>
  <c r="G5274" i="18"/>
  <c r="H5274" i="18"/>
  <c r="I5274" i="18"/>
  <c r="J5274" i="18"/>
  <c r="K5274" i="18"/>
  <c r="L5274" i="18"/>
  <c r="B5275" i="18"/>
  <c r="C5275" i="18"/>
  <c r="D5275" i="18"/>
  <c r="E5275" i="18"/>
  <c r="F5275" i="18"/>
  <c r="G5275" i="18"/>
  <c r="H5275" i="18"/>
  <c r="I5275" i="18"/>
  <c r="J5275" i="18"/>
  <c r="K5275" i="18"/>
  <c r="L5275" i="18"/>
  <c r="B5276" i="18"/>
  <c r="C5276" i="18"/>
  <c r="D5276" i="18"/>
  <c r="E5276" i="18"/>
  <c r="F5276" i="18"/>
  <c r="G5276" i="18"/>
  <c r="H5276" i="18"/>
  <c r="I5276" i="18"/>
  <c r="J5276" i="18"/>
  <c r="K5276" i="18"/>
  <c r="L5276" i="18"/>
  <c r="B5277" i="18"/>
  <c r="C5277" i="18"/>
  <c r="D5277" i="18"/>
  <c r="E5277" i="18"/>
  <c r="F5277" i="18"/>
  <c r="G5277" i="18"/>
  <c r="H5277" i="18"/>
  <c r="I5277" i="18"/>
  <c r="J5277" i="18"/>
  <c r="K5277" i="18"/>
  <c r="L5277" i="18"/>
  <c r="B5278" i="18"/>
  <c r="C5278" i="18"/>
  <c r="D5278" i="18"/>
  <c r="E5278" i="18"/>
  <c r="F5278" i="18"/>
  <c r="G5278" i="18"/>
  <c r="H5278" i="18"/>
  <c r="I5278" i="18"/>
  <c r="J5278" i="18"/>
  <c r="K5278" i="18"/>
  <c r="L5278" i="18"/>
  <c r="B5279" i="18"/>
  <c r="C5279" i="18"/>
  <c r="D5279" i="18"/>
  <c r="E5279" i="18"/>
  <c r="F5279" i="18"/>
  <c r="G5279" i="18"/>
  <c r="H5279" i="18"/>
  <c r="I5279" i="18"/>
  <c r="J5279" i="18"/>
  <c r="K5279" i="18"/>
  <c r="L5279" i="18"/>
  <c r="B5280" i="18"/>
  <c r="C5280" i="18"/>
  <c r="D5280" i="18"/>
  <c r="E5280" i="18"/>
  <c r="F5280" i="18"/>
  <c r="G5280" i="18"/>
  <c r="H5280" i="18"/>
  <c r="I5280" i="18"/>
  <c r="J5280" i="18"/>
  <c r="K5280" i="18"/>
  <c r="L5280" i="18"/>
  <c r="B5281" i="18"/>
  <c r="C5281" i="18"/>
  <c r="D5281" i="18"/>
  <c r="E5281" i="18"/>
  <c r="F5281" i="18"/>
  <c r="G5281" i="18"/>
  <c r="H5281" i="18"/>
  <c r="I5281" i="18"/>
  <c r="J5281" i="18"/>
  <c r="K5281" i="18"/>
  <c r="L5281" i="18"/>
  <c r="B5282" i="18"/>
  <c r="C5282" i="18"/>
  <c r="D5282" i="18"/>
  <c r="E5282" i="18"/>
  <c r="F5282" i="18"/>
  <c r="G5282" i="18"/>
  <c r="H5282" i="18"/>
  <c r="I5282" i="18"/>
  <c r="J5282" i="18"/>
  <c r="K5282" i="18"/>
  <c r="L5282" i="18"/>
  <c r="B5283" i="18"/>
  <c r="C5283" i="18"/>
  <c r="D5283" i="18"/>
  <c r="E5283" i="18"/>
  <c r="F5283" i="18"/>
  <c r="G5283" i="18"/>
  <c r="H5283" i="18"/>
  <c r="I5283" i="18"/>
  <c r="J5283" i="18"/>
  <c r="K5283" i="18"/>
  <c r="L5283" i="18"/>
  <c r="B5284" i="18"/>
  <c r="C5284" i="18"/>
  <c r="D5284" i="18"/>
  <c r="E5284" i="18"/>
  <c r="F5284" i="18"/>
  <c r="G5284" i="18"/>
  <c r="H5284" i="18"/>
  <c r="I5284" i="18"/>
  <c r="J5284" i="18"/>
  <c r="K5284" i="18"/>
  <c r="L5284" i="18"/>
  <c r="B5285" i="18"/>
  <c r="C5285" i="18"/>
  <c r="D5285" i="18"/>
  <c r="E5285" i="18"/>
  <c r="F5285" i="18"/>
  <c r="G5285" i="18"/>
  <c r="H5285" i="18"/>
  <c r="I5285" i="18"/>
  <c r="J5285" i="18"/>
  <c r="K5285" i="18"/>
  <c r="L5285" i="18"/>
  <c r="B5286" i="18"/>
  <c r="C5286" i="18"/>
  <c r="D5286" i="18"/>
  <c r="E5286" i="18"/>
  <c r="F5286" i="18"/>
  <c r="G5286" i="18"/>
  <c r="H5286" i="18"/>
  <c r="I5286" i="18"/>
  <c r="J5286" i="18"/>
  <c r="K5286" i="18"/>
  <c r="L5286" i="18"/>
  <c r="B5287" i="18"/>
  <c r="C5287" i="18"/>
  <c r="D5287" i="18"/>
  <c r="E5287" i="18"/>
  <c r="F5287" i="18"/>
  <c r="G5287" i="18"/>
  <c r="H5287" i="18"/>
  <c r="I5287" i="18"/>
  <c r="J5287" i="18"/>
  <c r="K5287" i="18"/>
  <c r="L5287" i="18"/>
  <c r="B5288" i="18"/>
  <c r="C5288" i="18"/>
  <c r="D5288" i="18"/>
  <c r="E5288" i="18"/>
  <c r="F5288" i="18"/>
  <c r="G5288" i="18"/>
  <c r="H5288" i="18"/>
  <c r="I5288" i="18"/>
  <c r="J5288" i="18"/>
  <c r="K5288" i="18"/>
  <c r="L5288" i="18"/>
  <c r="B5289" i="18"/>
  <c r="C5289" i="18"/>
  <c r="D5289" i="18"/>
  <c r="E5289" i="18"/>
  <c r="F5289" i="18"/>
  <c r="G5289" i="18"/>
  <c r="H5289" i="18"/>
  <c r="I5289" i="18"/>
  <c r="J5289" i="18"/>
  <c r="K5289" i="18"/>
  <c r="L5289" i="18"/>
  <c r="B5290" i="18"/>
  <c r="C5290" i="18"/>
  <c r="D5290" i="18"/>
  <c r="E5290" i="18"/>
  <c r="F5290" i="18"/>
  <c r="G5290" i="18"/>
  <c r="H5290" i="18"/>
  <c r="I5290" i="18"/>
  <c r="J5290" i="18"/>
  <c r="K5290" i="18"/>
  <c r="L5290" i="18"/>
  <c r="B5291" i="18"/>
  <c r="C5291" i="18"/>
  <c r="D5291" i="18"/>
  <c r="E5291" i="18"/>
  <c r="F5291" i="18"/>
  <c r="G5291" i="18"/>
  <c r="H5291" i="18"/>
  <c r="I5291" i="18"/>
  <c r="J5291" i="18"/>
  <c r="K5291" i="18"/>
  <c r="L5291" i="18"/>
  <c r="B5292" i="18"/>
  <c r="C5292" i="18"/>
  <c r="D5292" i="18"/>
  <c r="E5292" i="18"/>
  <c r="F5292" i="18"/>
  <c r="G5292" i="18"/>
  <c r="H5292" i="18"/>
  <c r="I5292" i="18"/>
  <c r="J5292" i="18"/>
  <c r="K5292" i="18"/>
  <c r="L5292" i="18"/>
  <c r="B5293" i="18"/>
  <c r="C5293" i="18"/>
  <c r="D5293" i="18"/>
  <c r="E5293" i="18"/>
  <c r="F5293" i="18"/>
  <c r="G5293" i="18"/>
  <c r="H5293" i="18"/>
  <c r="I5293" i="18"/>
  <c r="J5293" i="18"/>
  <c r="K5293" i="18"/>
  <c r="L5293" i="18"/>
  <c r="B5294" i="18"/>
  <c r="C5294" i="18"/>
  <c r="D5294" i="18"/>
  <c r="E5294" i="18"/>
  <c r="F5294" i="18"/>
  <c r="G5294" i="18"/>
  <c r="H5294" i="18"/>
  <c r="I5294" i="18"/>
  <c r="J5294" i="18"/>
  <c r="K5294" i="18"/>
  <c r="L5294" i="18"/>
  <c r="B5295" i="18"/>
  <c r="C5295" i="18"/>
  <c r="D5295" i="18"/>
  <c r="E5295" i="18"/>
  <c r="F5295" i="18"/>
  <c r="G5295" i="18"/>
  <c r="H5295" i="18"/>
  <c r="I5295" i="18"/>
  <c r="J5295" i="18"/>
  <c r="K5295" i="18"/>
  <c r="L5295" i="18"/>
  <c r="B5296" i="18"/>
  <c r="C5296" i="18"/>
  <c r="D5296" i="18"/>
  <c r="E5296" i="18"/>
  <c r="F5296" i="18"/>
  <c r="G5296" i="18"/>
  <c r="H5296" i="18"/>
  <c r="I5296" i="18"/>
  <c r="J5296" i="18"/>
  <c r="K5296" i="18"/>
  <c r="L5296" i="18"/>
  <c r="B5297" i="18"/>
  <c r="C5297" i="18"/>
  <c r="D5297" i="18"/>
  <c r="E5297" i="18"/>
  <c r="F5297" i="18"/>
  <c r="G5297" i="18"/>
  <c r="H5297" i="18"/>
  <c r="I5297" i="18"/>
  <c r="J5297" i="18"/>
  <c r="K5297" i="18"/>
  <c r="L5297" i="18"/>
  <c r="B5298" i="18"/>
  <c r="C5298" i="18"/>
  <c r="D5298" i="18"/>
  <c r="E5298" i="18"/>
  <c r="F5298" i="18"/>
  <c r="G5298" i="18"/>
  <c r="H5298" i="18"/>
  <c r="I5298" i="18"/>
  <c r="J5298" i="18"/>
  <c r="K5298" i="18"/>
  <c r="L5298" i="18"/>
  <c r="B5299" i="18"/>
  <c r="C5299" i="18"/>
  <c r="D5299" i="18"/>
  <c r="E5299" i="18"/>
  <c r="F5299" i="18"/>
  <c r="G5299" i="18"/>
  <c r="H5299" i="18"/>
  <c r="I5299" i="18"/>
  <c r="J5299" i="18"/>
  <c r="K5299" i="18"/>
  <c r="L5299" i="18"/>
  <c r="B5300" i="18"/>
  <c r="C5300" i="18"/>
  <c r="D5300" i="18"/>
  <c r="E5300" i="18"/>
  <c r="F5300" i="18"/>
  <c r="G5300" i="18"/>
  <c r="H5300" i="18"/>
  <c r="I5300" i="18"/>
  <c r="J5300" i="18"/>
  <c r="K5300" i="18"/>
  <c r="L5300" i="18"/>
  <c r="B5301" i="18"/>
  <c r="C5301" i="18"/>
  <c r="D5301" i="18"/>
  <c r="E5301" i="18"/>
  <c r="F5301" i="18"/>
  <c r="G5301" i="18"/>
  <c r="H5301" i="18"/>
  <c r="I5301" i="18"/>
  <c r="J5301" i="18"/>
  <c r="K5301" i="18"/>
  <c r="L5301" i="18"/>
  <c r="B5302" i="18"/>
  <c r="C5302" i="18"/>
  <c r="D5302" i="18"/>
  <c r="E5302" i="18"/>
  <c r="F5302" i="18"/>
  <c r="G5302" i="18"/>
  <c r="H5302" i="18"/>
  <c r="I5302" i="18"/>
  <c r="J5302" i="18"/>
  <c r="K5302" i="18"/>
  <c r="L5302" i="18"/>
  <c r="B5303" i="18"/>
  <c r="C5303" i="18"/>
  <c r="D5303" i="18"/>
  <c r="E5303" i="18"/>
  <c r="F5303" i="18"/>
  <c r="G5303" i="18"/>
  <c r="H5303" i="18"/>
  <c r="I5303" i="18"/>
  <c r="J5303" i="18"/>
  <c r="K5303" i="18"/>
  <c r="L5303" i="18"/>
  <c r="B5304" i="18"/>
  <c r="C5304" i="18"/>
  <c r="D5304" i="18"/>
  <c r="E5304" i="18"/>
  <c r="F5304" i="18"/>
  <c r="G5304" i="18"/>
  <c r="H5304" i="18"/>
  <c r="I5304" i="18"/>
  <c r="J5304" i="18"/>
  <c r="K5304" i="18"/>
  <c r="L5304" i="18"/>
  <c r="B5305" i="18"/>
  <c r="C5305" i="18"/>
  <c r="D5305" i="18"/>
  <c r="E5305" i="18"/>
  <c r="F5305" i="18"/>
  <c r="G5305" i="18"/>
  <c r="H5305" i="18"/>
  <c r="I5305" i="18"/>
  <c r="J5305" i="18"/>
  <c r="K5305" i="18"/>
  <c r="L5305" i="18"/>
  <c r="B5306" i="18"/>
  <c r="C5306" i="18"/>
  <c r="D5306" i="18"/>
  <c r="E5306" i="18"/>
  <c r="F5306" i="18"/>
  <c r="G5306" i="18"/>
  <c r="H5306" i="18"/>
  <c r="I5306" i="18"/>
  <c r="J5306" i="18"/>
  <c r="K5306" i="18"/>
  <c r="L5306" i="18"/>
  <c r="B5307" i="18"/>
  <c r="C5307" i="18"/>
  <c r="D5307" i="18"/>
  <c r="E5307" i="18"/>
  <c r="F5307" i="18"/>
  <c r="G5307" i="18"/>
  <c r="H5307" i="18"/>
  <c r="I5307" i="18"/>
  <c r="J5307" i="18"/>
  <c r="K5307" i="18"/>
  <c r="L5307" i="18"/>
  <c r="B5308" i="18"/>
  <c r="C5308" i="18"/>
  <c r="D5308" i="18"/>
  <c r="E5308" i="18"/>
  <c r="F5308" i="18"/>
  <c r="G5308" i="18"/>
  <c r="H5308" i="18"/>
  <c r="I5308" i="18"/>
  <c r="J5308" i="18"/>
  <c r="K5308" i="18"/>
  <c r="L5308" i="18"/>
  <c r="B5309" i="18"/>
  <c r="C5309" i="18"/>
  <c r="D5309" i="18"/>
  <c r="E5309" i="18"/>
  <c r="F5309" i="18"/>
  <c r="G5309" i="18"/>
  <c r="H5309" i="18"/>
  <c r="I5309" i="18"/>
  <c r="J5309" i="18"/>
  <c r="K5309" i="18"/>
  <c r="L5309" i="18"/>
  <c r="B5310" i="18"/>
  <c r="C5310" i="18"/>
  <c r="D5310" i="18"/>
  <c r="E5310" i="18"/>
  <c r="F5310" i="18"/>
  <c r="G5310" i="18"/>
  <c r="H5310" i="18"/>
  <c r="I5310" i="18"/>
  <c r="J5310" i="18"/>
  <c r="K5310" i="18"/>
  <c r="L5310" i="18"/>
  <c r="B5311" i="18"/>
  <c r="C5311" i="18"/>
  <c r="D5311" i="18"/>
  <c r="E5311" i="18"/>
  <c r="F5311" i="18"/>
  <c r="G5311" i="18"/>
  <c r="H5311" i="18"/>
  <c r="I5311" i="18"/>
  <c r="J5311" i="18"/>
  <c r="K5311" i="18"/>
  <c r="L5311" i="18"/>
  <c r="B5312" i="18"/>
  <c r="C5312" i="18"/>
  <c r="D5312" i="18"/>
  <c r="E5312" i="18"/>
  <c r="F5312" i="18"/>
  <c r="G5312" i="18"/>
  <c r="H5312" i="18"/>
  <c r="I5312" i="18"/>
  <c r="J5312" i="18"/>
  <c r="K5312" i="18"/>
  <c r="L5312" i="18"/>
  <c r="B5313" i="18"/>
  <c r="C5313" i="18"/>
  <c r="D5313" i="18"/>
  <c r="E5313" i="18"/>
  <c r="F5313" i="18"/>
  <c r="G5313" i="18"/>
  <c r="H5313" i="18"/>
  <c r="I5313" i="18"/>
  <c r="J5313" i="18"/>
  <c r="K5313" i="18"/>
  <c r="L5313" i="18"/>
  <c r="B5314" i="18"/>
  <c r="C5314" i="18"/>
  <c r="D5314" i="18"/>
  <c r="E5314" i="18"/>
  <c r="F5314" i="18"/>
  <c r="G5314" i="18"/>
  <c r="H5314" i="18"/>
  <c r="I5314" i="18"/>
  <c r="J5314" i="18"/>
  <c r="K5314" i="18"/>
  <c r="L5314" i="18"/>
  <c r="B5315" i="18"/>
  <c r="C5315" i="18"/>
  <c r="D5315" i="18"/>
  <c r="E5315" i="18"/>
  <c r="F5315" i="18"/>
  <c r="G5315" i="18"/>
  <c r="H5315" i="18"/>
  <c r="I5315" i="18"/>
  <c r="J5315" i="18"/>
  <c r="K5315" i="18"/>
  <c r="L5315" i="18"/>
  <c r="B5316" i="18"/>
  <c r="C5316" i="18"/>
  <c r="D5316" i="18"/>
  <c r="E5316" i="18"/>
  <c r="F5316" i="18"/>
  <c r="G5316" i="18"/>
  <c r="H5316" i="18"/>
  <c r="I5316" i="18"/>
  <c r="J5316" i="18"/>
  <c r="K5316" i="18"/>
  <c r="L5316" i="18"/>
  <c r="B5317" i="18"/>
  <c r="C5317" i="18"/>
  <c r="D5317" i="18"/>
  <c r="E5317" i="18"/>
  <c r="F5317" i="18"/>
  <c r="G5317" i="18"/>
  <c r="H5317" i="18"/>
  <c r="I5317" i="18"/>
  <c r="J5317" i="18"/>
  <c r="K5317" i="18"/>
  <c r="L5317" i="18"/>
  <c r="B5318" i="18"/>
  <c r="C5318" i="18"/>
  <c r="D5318" i="18"/>
  <c r="E5318" i="18"/>
  <c r="F5318" i="18"/>
  <c r="G5318" i="18"/>
  <c r="H5318" i="18"/>
  <c r="I5318" i="18"/>
  <c r="J5318" i="18"/>
  <c r="K5318" i="18"/>
  <c r="L5318" i="18"/>
  <c r="B5319" i="18"/>
  <c r="C5319" i="18"/>
  <c r="D5319" i="18"/>
  <c r="E5319" i="18"/>
  <c r="F5319" i="18"/>
  <c r="G5319" i="18"/>
  <c r="H5319" i="18"/>
  <c r="I5319" i="18"/>
  <c r="J5319" i="18"/>
  <c r="K5319" i="18"/>
  <c r="L5319" i="18"/>
  <c r="B5320" i="18"/>
  <c r="C5320" i="18"/>
  <c r="D5320" i="18"/>
  <c r="E5320" i="18"/>
  <c r="F5320" i="18"/>
  <c r="G5320" i="18"/>
  <c r="H5320" i="18"/>
  <c r="I5320" i="18"/>
  <c r="J5320" i="18"/>
  <c r="K5320" i="18"/>
  <c r="L5320" i="18"/>
  <c r="B5321" i="18"/>
  <c r="C5321" i="18"/>
  <c r="D5321" i="18"/>
  <c r="E5321" i="18"/>
  <c r="F5321" i="18"/>
  <c r="G5321" i="18"/>
  <c r="H5321" i="18"/>
  <c r="I5321" i="18"/>
  <c r="J5321" i="18"/>
  <c r="K5321" i="18"/>
  <c r="L5321" i="18"/>
  <c r="B5322" i="18"/>
  <c r="C5322" i="18"/>
  <c r="D5322" i="18"/>
  <c r="E5322" i="18"/>
  <c r="F5322" i="18"/>
  <c r="G5322" i="18"/>
  <c r="H5322" i="18"/>
  <c r="I5322" i="18"/>
  <c r="J5322" i="18"/>
  <c r="K5322" i="18"/>
  <c r="L5322" i="18"/>
  <c r="B5323" i="18"/>
  <c r="C5323" i="18"/>
  <c r="D5323" i="18"/>
  <c r="E5323" i="18"/>
  <c r="F5323" i="18"/>
  <c r="G5323" i="18"/>
  <c r="H5323" i="18"/>
  <c r="I5323" i="18"/>
  <c r="J5323" i="18"/>
  <c r="K5323" i="18"/>
  <c r="L5323" i="18"/>
  <c r="B5324" i="18"/>
  <c r="C5324" i="18"/>
  <c r="D5324" i="18"/>
  <c r="E5324" i="18"/>
  <c r="F5324" i="18"/>
  <c r="G5324" i="18"/>
  <c r="H5324" i="18"/>
  <c r="I5324" i="18"/>
  <c r="J5324" i="18"/>
  <c r="K5324" i="18"/>
  <c r="L5324" i="18"/>
  <c r="B5325" i="18"/>
  <c r="C5325" i="18"/>
  <c r="D5325" i="18"/>
  <c r="E5325" i="18"/>
  <c r="F5325" i="18"/>
  <c r="G5325" i="18"/>
  <c r="H5325" i="18"/>
  <c r="I5325" i="18"/>
  <c r="J5325" i="18"/>
  <c r="K5325" i="18"/>
  <c r="L5325" i="18"/>
  <c r="B5326" i="18"/>
  <c r="C5326" i="18"/>
  <c r="D5326" i="18"/>
  <c r="E5326" i="18"/>
  <c r="F5326" i="18"/>
  <c r="G5326" i="18"/>
  <c r="H5326" i="18"/>
  <c r="I5326" i="18"/>
  <c r="J5326" i="18"/>
  <c r="K5326" i="18"/>
  <c r="L5326" i="18"/>
  <c r="B5327" i="18"/>
  <c r="C5327" i="18"/>
  <c r="D5327" i="18"/>
  <c r="E5327" i="18"/>
  <c r="F5327" i="18"/>
  <c r="G5327" i="18"/>
  <c r="H5327" i="18"/>
  <c r="I5327" i="18"/>
  <c r="J5327" i="18"/>
  <c r="K5327" i="18"/>
  <c r="L5327" i="18"/>
  <c r="B5328" i="18"/>
  <c r="C5328" i="18"/>
  <c r="D5328" i="18"/>
  <c r="E5328" i="18"/>
  <c r="F5328" i="18"/>
  <c r="G5328" i="18"/>
  <c r="H5328" i="18"/>
  <c r="I5328" i="18"/>
  <c r="J5328" i="18"/>
  <c r="K5328" i="18"/>
  <c r="L5328" i="18"/>
  <c r="B5329" i="18"/>
  <c r="C5329" i="18"/>
  <c r="D5329" i="18"/>
  <c r="E5329" i="18"/>
  <c r="F5329" i="18"/>
  <c r="G5329" i="18"/>
  <c r="H5329" i="18"/>
  <c r="I5329" i="18"/>
  <c r="J5329" i="18"/>
  <c r="K5329" i="18"/>
  <c r="L5329" i="18"/>
  <c r="B5330" i="18"/>
  <c r="C5330" i="18"/>
  <c r="D5330" i="18"/>
  <c r="E5330" i="18"/>
  <c r="F5330" i="18"/>
  <c r="G5330" i="18"/>
  <c r="H5330" i="18"/>
  <c r="I5330" i="18"/>
  <c r="J5330" i="18"/>
  <c r="K5330" i="18"/>
  <c r="L5330" i="18"/>
  <c r="B5331" i="18"/>
  <c r="C5331" i="18"/>
  <c r="D5331" i="18"/>
  <c r="E5331" i="18"/>
  <c r="F5331" i="18"/>
  <c r="G5331" i="18"/>
  <c r="H5331" i="18"/>
  <c r="I5331" i="18"/>
  <c r="J5331" i="18"/>
  <c r="K5331" i="18"/>
  <c r="L5331" i="18"/>
  <c r="B5332" i="18"/>
  <c r="C5332" i="18"/>
  <c r="D5332" i="18"/>
  <c r="E5332" i="18"/>
  <c r="F5332" i="18"/>
  <c r="G5332" i="18"/>
  <c r="H5332" i="18"/>
  <c r="I5332" i="18"/>
  <c r="J5332" i="18"/>
  <c r="K5332" i="18"/>
  <c r="L5332" i="18"/>
  <c r="B5333" i="18"/>
  <c r="C5333" i="18"/>
  <c r="D5333" i="18"/>
  <c r="E5333" i="18"/>
  <c r="F5333" i="18"/>
  <c r="G5333" i="18"/>
  <c r="H5333" i="18"/>
  <c r="I5333" i="18"/>
  <c r="J5333" i="18"/>
  <c r="K5333" i="18"/>
  <c r="L5333" i="18"/>
  <c r="B5334" i="18"/>
  <c r="C5334" i="18"/>
  <c r="D5334" i="18"/>
  <c r="E5334" i="18"/>
  <c r="F5334" i="18"/>
  <c r="G5334" i="18"/>
  <c r="H5334" i="18"/>
  <c r="I5334" i="18"/>
  <c r="J5334" i="18"/>
  <c r="K5334" i="18"/>
  <c r="L5334" i="18"/>
  <c r="B5335" i="18"/>
  <c r="C5335" i="18"/>
  <c r="D5335" i="18"/>
  <c r="E5335" i="18"/>
  <c r="F5335" i="18"/>
  <c r="G5335" i="18"/>
  <c r="H5335" i="18"/>
  <c r="I5335" i="18"/>
  <c r="J5335" i="18"/>
  <c r="K5335" i="18"/>
  <c r="L5335" i="18"/>
  <c r="B5336" i="18"/>
  <c r="C5336" i="18"/>
  <c r="D5336" i="18"/>
  <c r="E5336" i="18"/>
  <c r="F5336" i="18"/>
  <c r="G5336" i="18"/>
  <c r="H5336" i="18"/>
  <c r="I5336" i="18"/>
  <c r="J5336" i="18"/>
  <c r="K5336" i="18"/>
  <c r="L5336" i="18"/>
  <c r="B5337" i="18"/>
  <c r="C5337" i="18"/>
  <c r="D5337" i="18"/>
  <c r="E5337" i="18"/>
  <c r="F5337" i="18"/>
  <c r="G5337" i="18"/>
  <c r="H5337" i="18"/>
  <c r="I5337" i="18"/>
  <c r="J5337" i="18"/>
  <c r="K5337" i="18"/>
  <c r="L5337" i="18"/>
  <c r="B5338" i="18"/>
  <c r="C5338" i="18"/>
  <c r="D5338" i="18"/>
  <c r="E5338" i="18"/>
  <c r="F5338" i="18"/>
  <c r="G5338" i="18"/>
  <c r="H5338" i="18"/>
  <c r="I5338" i="18"/>
  <c r="J5338" i="18"/>
  <c r="K5338" i="18"/>
  <c r="L5338" i="18"/>
  <c r="B5339" i="18"/>
  <c r="C5339" i="18"/>
  <c r="D5339" i="18"/>
  <c r="E5339" i="18"/>
  <c r="F5339" i="18"/>
  <c r="G5339" i="18"/>
  <c r="H5339" i="18"/>
  <c r="I5339" i="18"/>
  <c r="J5339" i="18"/>
  <c r="K5339" i="18"/>
  <c r="L5339" i="18"/>
  <c r="B5340" i="18"/>
  <c r="C5340" i="18"/>
  <c r="D5340" i="18"/>
  <c r="E5340" i="18"/>
  <c r="F5340" i="18"/>
  <c r="G5340" i="18"/>
  <c r="H5340" i="18"/>
  <c r="I5340" i="18"/>
  <c r="J5340" i="18"/>
  <c r="K5340" i="18"/>
  <c r="L5340" i="18"/>
  <c r="B5341" i="18"/>
  <c r="C5341" i="18"/>
  <c r="D5341" i="18"/>
  <c r="E5341" i="18"/>
  <c r="F5341" i="18"/>
  <c r="G5341" i="18"/>
  <c r="H5341" i="18"/>
  <c r="I5341" i="18"/>
  <c r="J5341" i="18"/>
  <c r="K5341" i="18"/>
  <c r="L5341" i="18"/>
  <c r="B5342" i="18"/>
  <c r="C5342" i="18"/>
  <c r="D5342" i="18"/>
  <c r="E5342" i="18"/>
  <c r="F5342" i="18"/>
  <c r="G5342" i="18"/>
  <c r="H5342" i="18"/>
  <c r="I5342" i="18"/>
  <c r="J5342" i="18"/>
  <c r="K5342" i="18"/>
  <c r="L5342" i="18"/>
  <c r="B5343" i="18"/>
  <c r="C5343" i="18"/>
  <c r="D5343" i="18"/>
  <c r="E5343" i="18"/>
  <c r="F5343" i="18"/>
  <c r="G5343" i="18"/>
  <c r="H5343" i="18"/>
  <c r="I5343" i="18"/>
  <c r="J5343" i="18"/>
  <c r="K5343" i="18"/>
  <c r="L5343" i="18"/>
  <c r="B5344" i="18"/>
  <c r="C5344" i="18"/>
  <c r="D5344" i="18"/>
  <c r="E5344" i="18"/>
  <c r="F5344" i="18"/>
  <c r="G5344" i="18"/>
  <c r="H5344" i="18"/>
  <c r="I5344" i="18"/>
  <c r="J5344" i="18"/>
  <c r="K5344" i="18"/>
  <c r="L5344" i="18"/>
  <c r="B5345" i="18"/>
  <c r="C5345" i="18"/>
  <c r="D5345" i="18"/>
  <c r="E5345" i="18"/>
  <c r="F5345" i="18"/>
  <c r="G5345" i="18"/>
  <c r="H5345" i="18"/>
  <c r="I5345" i="18"/>
  <c r="J5345" i="18"/>
  <c r="K5345" i="18"/>
  <c r="L5345" i="18"/>
  <c r="B5346" i="18"/>
  <c r="C5346" i="18"/>
  <c r="D5346" i="18"/>
  <c r="E5346" i="18"/>
  <c r="F5346" i="18"/>
  <c r="G5346" i="18"/>
  <c r="H5346" i="18"/>
  <c r="I5346" i="18"/>
  <c r="J5346" i="18"/>
  <c r="K5346" i="18"/>
  <c r="L5346" i="18"/>
  <c r="B5347" i="18"/>
  <c r="C5347" i="18"/>
  <c r="D5347" i="18"/>
  <c r="E5347" i="18"/>
  <c r="F5347" i="18"/>
  <c r="G5347" i="18"/>
  <c r="H5347" i="18"/>
  <c r="I5347" i="18"/>
  <c r="J5347" i="18"/>
  <c r="K5347" i="18"/>
  <c r="L5347" i="18"/>
  <c r="B5348" i="18"/>
  <c r="C5348" i="18"/>
  <c r="D5348" i="18"/>
  <c r="E5348" i="18"/>
  <c r="F5348" i="18"/>
  <c r="G5348" i="18"/>
  <c r="H5348" i="18"/>
  <c r="I5348" i="18"/>
  <c r="J5348" i="18"/>
  <c r="K5348" i="18"/>
  <c r="L5348" i="18"/>
  <c r="B5349" i="18"/>
  <c r="C5349" i="18"/>
  <c r="D5349" i="18"/>
  <c r="E5349" i="18"/>
  <c r="F5349" i="18"/>
  <c r="G5349" i="18"/>
  <c r="H5349" i="18"/>
  <c r="I5349" i="18"/>
  <c r="J5349" i="18"/>
  <c r="K5349" i="18"/>
  <c r="L5349" i="18"/>
  <c r="B5350" i="18"/>
  <c r="C5350" i="18"/>
  <c r="D5350" i="18"/>
  <c r="E5350" i="18"/>
  <c r="F5350" i="18"/>
  <c r="G5350" i="18"/>
  <c r="H5350" i="18"/>
  <c r="I5350" i="18"/>
  <c r="J5350" i="18"/>
  <c r="K5350" i="18"/>
  <c r="L5350" i="18"/>
  <c r="B5351" i="18"/>
  <c r="C5351" i="18"/>
  <c r="D5351" i="18"/>
  <c r="E5351" i="18"/>
  <c r="F5351" i="18"/>
  <c r="G5351" i="18"/>
  <c r="H5351" i="18"/>
  <c r="I5351" i="18"/>
  <c r="J5351" i="18"/>
  <c r="K5351" i="18"/>
  <c r="L5351" i="18"/>
  <c r="B5352" i="18"/>
  <c r="C5352" i="18"/>
  <c r="D5352" i="18"/>
  <c r="E5352" i="18"/>
  <c r="F5352" i="18"/>
  <c r="G5352" i="18"/>
  <c r="H5352" i="18"/>
  <c r="I5352" i="18"/>
  <c r="J5352" i="18"/>
  <c r="K5352" i="18"/>
  <c r="L5352" i="18"/>
  <c r="B5353" i="18"/>
  <c r="C5353" i="18"/>
  <c r="D5353" i="18"/>
  <c r="E5353" i="18"/>
  <c r="F5353" i="18"/>
  <c r="G5353" i="18"/>
  <c r="H5353" i="18"/>
  <c r="I5353" i="18"/>
  <c r="J5353" i="18"/>
  <c r="K5353" i="18"/>
  <c r="L5353" i="18"/>
  <c r="B5354" i="18"/>
  <c r="C5354" i="18"/>
  <c r="D5354" i="18"/>
  <c r="E5354" i="18"/>
  <c r="F5354" i="18"/>
  <c r="G5354" i="18"/>
  <c r="H5354" i="18"/>
  <c r="I5354" i="18"/>
  <c r="J5354" i="18"/>
  <c r="K5354" i="18"/>
  <c r="L5354" i="18"/>
  <c r="B5355" i="18"/>
  <c r="C5355" i="18"/>
  <c r="D5355" i="18"/>
  <c r="E5355" i="18"/>
  <c r="F5355" i="18"/>
  <c r="G5355" i="18"/>
  <c r="H5355" i="18"/>
  <c r="I5355" i="18"/>
  <c r="J5355" i="18"/>
  <c r="K5355" i="18"/>
  <c r="L5355" i="18"/>
  <c r="B5356" i="18"/>
  <c r="C5356" i="18"/>
  <c r="D5356" i="18"/>
  <c r="E5356" i="18"/>
  <c r="F5356" i="18"/>
  <c r="G5356" i="18"/>
  <c r="H5356" i="18"/>
  <c r="I5356" i="18"/>
  <c r="J5356" i="18"/>
  <c r="K5356" i="18"/>
  <c r="L5356" i="18"/>
  <c r="B5357" i="18"/>
  <c r="C5357" i="18"/>
  <c r="D5357" i="18"/>
  <c r="E5357" i="18"/>
  <c r="F5357" i="18"/>
  <c r="G5357" i="18"/>
  <c r="H5357" i="18"/>
  <c r="I5357" i="18"/>
  <c r="J5357" i="18"/>
  <c r="K5357" i="18"/>
  <c r="L5357" i="18"/>
  <c r="B5358" i="18"/>
  <c r="C5358" i="18"/>
  <c r="D5358" i="18"/>
  <c r="E5358" i="18"/>
  <c r="F5358" i="18"/>
  <c r="G5358" i="18"/>
  <c r="H5358" i="18"/>
  <c r="I5358" i="18"/>
  <c r="J5358" i="18"/>
  <c r="K5358" i="18"/>
  <c r="L5358" i="18"/>
  <c r="B5359" i="18"/>
  <c r="C5359" i="18"/>
  <c r="D5359" i="18"/>
  <c r="E5359" i="18"/>
  <c r="F5359" i="18"/>
  <c r="G5359" i="18"/>
  <c r="H5359" i="18"/>
  <c r="I5359" i="18"/>
  <c r="J5359" i="18"/>
  <c r="K5359" i="18"/>
  <c r="L5359" i="18"/>
  <c r="B5360" i="18"/>
  <c r="C5360" i="18"/>
  <c r="D5360" i="18"/>
  <c r="E5360" i="18"/>
  <c r="F5360" i="18"/>
  <c r="G5360" i="18"/>
  <c r="H5360" i="18"/>
  <c r="I5360" i="18"/>
  <c r="J5360" i="18"/>
  <c r="K5360" i="18"/>
  <c r="L5360" i="18"/>
  <c r="B5361" i="18"/>
  <c r="C5361" i="18"/>
  <c r="D5361" i="18"/>
  <c r="E5361" i="18"/>
  <c r="F5361" i="18"/>
  <c r="G5361" i="18"/>
  <c r="H5361" i="18"/>
  <c r="I5361" i="18"/>
  <c r="J5361" i="18"/>
  <c r="K5361" i="18"/>
  <c r="L5361" i="18"/>
  <c r="B5362" i="18"/>
  <c r="C5362" i="18"/>
  <c r="D5362" i="18"/>
  <c r="E5362" i="18"/>
  <c r="F5362" i="18"/>
  <c r="G5362" i="18"/>
  <c r="H5362" i="18"/>
  <c r="I5362" i="18"/>
  <c r="J5362" i="18"/>
  <c r="K5362" i="18"/>
  <c r="L5362" i="18"/>
  <c r="B5363" i="18"/>
  <c r="C5363" i="18"/>
  <c r="D5363" i="18"/>
  <c r="E5363" i="18"/>
  <c r="F5363" i="18"/>
  <c r="G5363" i="18"/>
  <c r="H5363" i="18"/>
  <c r="I5363" i="18"/>
  <c r="J5363" i="18"/>
  <c r="K5363" i="18"/>
  <c r="L5363" i="18"/>
  <c r="B5364" i="18"/>
  <c r="C5364" i="18"/>
  <c r="D5364" i="18"/>
  <c r="E5364" i="18"/>
  <c r="F5364" i="18"/>
  <c r="G5364" i="18"/>
  <c r="H5364" i="18"/>
  <c r="I5364" i="18"/>
  <c r="J5364" i="18"/>
  <c r="K5364" i="18"/>
  <c r="L5364" i="18"/>
  <c r="B5365" i="18"/>
  <c r="C5365" i="18"/>
  <c r="D5365" i="18"/>
  <c r="E5365" i="18"/>
  <c r="F5365" i="18"/>
  <c r="G5365" i="18"/>
  <c r="H5365" i="18"/>
  <c r="I5365" i="18"/>
  <c r="J5365" i="18"/>
  <c r="K5365" i="18"/>
  <c r="L5365" i="18"/>
  <c r="B5366" i="18"/>
  <c r="C5366" i="18"/>
  <c r="D5366" i="18"/>
  <c r="E5366" i="18"/>
  <c r="F5366" i="18"/>
  <c r="G5366" i="18"/>
  <c r="H5366" i="18"/>
  <c r="I5366" i="18"/>
  <c r="J5366" i="18"/>
  <c r="K5366" i="18"/>
  <c r="L5366" i="18"/>
  <c r="B5367" i="18"/>
  <c r="C5367" i="18"/>
  <c r="D5367" i="18"/>
  <c r="E5367" i="18"/>
  <c r="F5367" i="18"/>
  <c r="G5367" i="18"/>
  <c r="H5367" i="18"/>
  <c r="I5367" i="18"/>
  <c r="J5367" i="18"/>
  <c r="K5367" i="18"/>
  <c r="L5367" i="18"/>
  <c r="B5368" i="18"/>
  <c r="C5368" i="18"/>
  <c r="D5368" i="18"/>
  <c r="E5368" i="18"/>
  <c r="F5368" i="18"/>
  <c r="G5368" i="18"/>
  <c r="H5368" i="18"/>
  <c r="I5368" i="18"/>
  <c r="J5368" i="18"/>
  <c r="K5368" i="18"/>
  <c r="L5368" i="18"/>
  <c r="B5369" i="18"/>
  <c r="C5369" i="18"/>
  <c r="D5369" i="18"/>
  <c r="E5369" i="18"/>
  <c r="F5369" i="18"/>
  <c r="G5369" i="18"/>
  <c r="H5369" i="18"/>
  <c r="I5369" i="18"/>
  <c r="J5369" i="18"/>
  <c r="K5369" i="18"/>
  <c r="L5369" i="18"/>
  <c r="B5370" i="18"/>
  <c r="C5370" i="18"/>
  <c r="D5370" i="18"/>
  <c r="E5370" i="18"/>
  <c r="F5370" i="18"/>
  <c r="G5370" i="18"/>
  <c r="H5370" i="18"/>
  <c r="I5370" i="18"/>
  <c r="J5370" i="18"/>
  <c r="K5370" i="18"/>
  <c r="L5370" i="18"/>
  <c r="B5371" i="18"/>
  <c r="C5371" i="18"/>
  <c r="D5371" i="18"/>
  <c r="E5371" i="18"/>
  <c r="F5371" i="18"/>
  <c r="G5371" i="18"/>
  <c r="H5371" i="18"/>
  <c r="I5371" i="18"/>
  <c r="J5371" i="18"/>
  <c r="K5371" i="18"/>
  <c r="L5371" i="18"/>
  <c r="B5372" i="18"/>
  <c r="C5372" i="18"/>
  <c r="D5372" i="18"/>
  <c r="E5372" i="18"/>
  <c r="F5372" i="18"/>
  <c r="G5372" i="18"/>
  <c r="H5372" i="18"/>
  <c r="I5372" i="18"/>
  <c r="J5372" i="18"/>
  <c r="K5372" i="18"/>
  <c r="L5372" i="18"/>
  <c r="B5373" i="18"/>
  <c r="C5373" i="18"/>
  <c r="D5373" i="18"/>
  <c r="E5373" i="18"/>
  <c r="F5373" i="18"/>
  <c r="G5373" i="18"/>
  <c r="H5373" i="18"/>
  <c r="I5373" i="18"/>
  <c r="J5373" i="18"/>
  <c r="K5373" i="18"/>
  <c r="L5373" i="18"/>
  <c r="B5374" i="18"/>
  <c r="C5374" i="18"/>
  <c r="D5374" i="18"/>
  <c r="E5374" i="18"/>
  <c r="F5374" i="18"/>
  <c r="G5374" i="18"/>
  <c r="H5374" i="18"/>
  <c r="I5374" i="18"/>
  <c r="J5374" i="18"/>
  <c r="K5374" i="18"/>
  <c r="L5374" i="18"/>
  <c r="B5375" i="18"/>
  <c r="C5375" i="18"/>
  <c r="D5375" i="18"/>
  <c r="E5375" i="18"/>
  <c r="F5375" i="18"/>
  <c r="G5375" i="18"/>
  <c r="H5375" i="18"/>
  <c r="I5375" i="18"/>
  <c r="J5375" i="18"/>
  <c r="K5375" i="18"/>
  <c r="L5375" i="18"/>
  <c r="B5376" i="18"/>
  <c r="C5376" i="18"/>
  <c r="D5376" i="18"/>
  <c r="E5376" i="18"/>
  <c r="F5376" i="18"/>
  <c r="G5376" i="18"/>
  <c r="H5376" i="18"/>
  <c r="I5376" i="18"/>
  <c r="J5376" i="18"/>
  <c r="K5376" i="18"/>
  <c r="L5376" i="18"/>
  <c r="B5377" i="18"/>
  <c r="C5377" i="18"/>
  <c r="D5377" i="18"/>
  <c r="E5377" i="18"/>
  <c r="F5377" i="18"/>
  <c r="G5377" i="18"/>
  <c r="H5377" i="18"/>
  <c r="I5377" i="18"/>
  <c r="J5377" i="18"/>
  <c r="K5377" i="18"/>
  <c r="L5377" i="18"/>
  <c r="B5378" i="18"/>
  <c r="C5378" i="18"/>
  <c r="D5378" i="18"/>
  <c r="E5378" i="18"/>
  <c r="F5378" i="18"/>
  <c r="G5378" i="18"/>
  <c r="H5378" i="18"/>
  <c r="I5378" i="18"/>
  <c r="J5378" i="18"/>
  <c r="K5378" i="18"/>
  <c r="L5378" i="18"/>
  <c r="B5379" i="18"/>
  <c r="C5379" i="18"/>
  <c r="D5379" i="18"/>
  <c r="E5379" i="18"/>
  <c r="F5379" i="18"/>
  <c r="G5379" i="18"/>
  <c r="H5379" i="18"/>
  <c r="I5379" i="18"/>
  <c r="J5379" i="18"/>
  <c r="K5379" i="18"/>
  <c r="L5379" i="18"/>
  <c r="B5380" i="18"/>
  <c r="C5380" i="18"/>
  <c r="D5380" i="18"/>
  <c r="E5380" i="18"/>
  <c r="F5380" i="18"/>
  <c r="G5380" i="18"/>
  <c r="H5380" i="18"/>
  <c r="I5380" i="18"/>
  <c r="J5380" i="18"/>
  <c r="K5380" i="18"/>
  <c r="L5380" i="18"/>
  <c r="B5381" i="18"/>
  <c r="C5381" i="18"/>
  <c r="D5381" i="18"/>
  <c r="E5381" i="18"/>
  <c r="F5381" i="18"/>
  <c r="G5381" i="18"/>
  <c r="H5381" i="18"/>
  <c r="I5381" i="18"/>
  <c r="J5381" i="18"/>
  <c r="K5381" i="18"/>
  <c r="L5381" i="18"/>
  <c r="B5382" i="18"/>
  <c r="C5382" i="18"/>
  <c r="D5382" i="18"/>
  <c r="E5382" i="18"/>
  <c r="F5382" i="18"/>
  <c r="G5382" i="18"/>
  <c r="H5382" i="18"/>
  <c r="I5382" i="18"/>
  <c r="J5382" i="18"/>
  <c r="K5382" i="18"/>
  <c r="L5382" i="18"/>
  <c r="B5383" i="18"/>
  <c r="C5383" i="18"/>
  <c r="D5383" i="18"/>
  <c r="E5383" i="18"/>
  <c r="F5383" i="18"/>
  <c r="G5383" i="18"/>
  <c r="H5383" i="18"/>
  <c r="I5383" i="18"/>
  <c r="J5383" i="18"/>
  <c r="K5383" i="18"/>
  <c r="L5383" i="18"/>
  <c r="B5384" i="18"/>
  <c r="C5384" i="18"/>
  <c r="D5384" i="18"/>
  <c r="E5384" i="18"/>
  <c r="F5384" i="18"/>
  <c r="G5384" i="18"/>
  <c r="H5384" i="18"/>
  <c r="I5384" i="18"/>
  <c r="J5384" i="18"/>
  <c r="K5384" i="18"/>
  <c r="L5384" i="18"/>
  <c r="B5385" i="18"/>
  <c r="C5385" i="18"/>
  <c r="D5385" i="18"/>
  <c r="E5385" i="18"/>
  <c r="F5385" i="18"/>
  <c r="G5385" i="18"/>
  <c r="H5385" i="18"/>
  <c r="I5385" i="18"/>
  <c r="J5385" i="18"/>
  <c r="K5385" i="18"/>
  <c r="L5385" i="18"/>
  <c r="B5386" i="18"/>
  <c r="C5386" i="18"/>
  <c r="D5386" i="18"/>
  <c r="E5386" i="18"/>
  <c r="F5386" i="18"/>
  <c r="G5386" i="18"/>
  <c r="H5386" i="18"/>
  <c r="I5386" i="18"/>
  <c r="J5386" i="18"/>
  <c r="K5386" i="18"/>
  <c r="L5386" i="18"/>
  <c r="B5387" i="18"/>
  <c r="C5387" i="18"/>
  <c r="D5387" i="18"/>
  <c r="E5387" i="18"/>
  <c r="F5387" i="18"/>
  <c r="G5387" i="18"/>
  <c r="H5387" i="18"/>
  <c r="I5387" i="18"/>
  <c r="J5387" i="18"/>
  <c r="K5387" i="18"/>
  <c r="L5387" i="18"/>
  <c r="B5388" i="18"/>
  <c r="C5388" i="18"/>
  <c r="D5388" i="18"/>
  <c r="E5388" i="18"/>
  <c r="F5388" i="18"/>
  <c r="G5388" i="18"/>
  <c r="H5388" i="18"/>
  <c r="I5388" i="18"/>
  <c r="J5388" i="18"/>
  <c r="K5388" i="18"/>
  <c r="L5388" i="18"/>
  <c r="B5389" i="18"/>
  <c r="C5389" i="18"/>
  <c r="D5389" i="18"/>
  <c r="E5389" i="18"/>
  <c r="F5389" i="18"/>
  <c r="G5389" i="18"/>
  <c r="H5389" i="18"/>
  <c r="I5389" i="18"/>
  <c r="J5389" i="18"/>
  <c r="K5389" i="18"/>
  <c r="L5389" i="18"/>
  <c r="B5390" i="18"/>
  <c r="C5390" i="18"/>
  <c r="D5390" i="18"/>
  <c r="E5390" i="18"/>
  <c r="F5390" i="18"/>
  <c r="G5390" i="18"/>
  <c r="H5390" i="18"/>
  <c r="I5390" i="18"/>
  <c r="J5390" i="18"/>
  <c r="K5390" i="18"/>
  <c r="L5390" i="18"/>
  <c r="B5391" i="18"/>
  <c r="C5391" i="18"/>
  <c r="D5391" i="18"/>
  <c r="E5391" i="18"/>
  <c r="F5391" i="18"/>
  <c r="G5391" i="18"/>
  <c r="H5391" i="18"/>
  <c r="I5391" i="18"/>
  <c r="J5391" i="18"/>
  <c r="K5391" i="18"/>
  <c r="L5391" i="18"/>
  <c r="B5392" i="18"/>
  <c r="C5392" i="18"/>
  <c r="D5392" i="18"/>
  <c r="E5392" i="18"/>
  <c r="F5392" i="18"/>
  <c r="G5392" i="18"/>
  <c r="H5392" i="18"/>
  <c r="I5392" i="18"/>
  <c r="J5392" i="18"/>
  <c r="K5392" i="18"/>
  <c r="L5392" i="18"/>
  <c r="B5393" i="18"/>
  <c r="C5393" i="18"/>
  <c r="D5393" i="18"/>
  <c r="E5393" i="18"/>
  <c r="F5393" i="18"/>
  <c r="G5393" i="18"/>
  <c r="H5393" i="18"/>
  <c r="I5393" i="18"/>
  <c r="J5393" i="18"/>
  <c r="K5393" i="18"/>
  <c r="L5393" i="18"/>
  <c r="B5394" i="18"/>
  <c r="C5394" i="18"/>
  <c r="D5394" i="18"/>
  <c r="E5394" i="18"/>
  <c r="F5394" i="18"/>
  <c r="G5394" i="18"/>
  <c r="H5394" i="18"/>
  <c r="I5394" i="18"/>
  <c r="J5394" i="18"/>
  <c r="K5394" i="18"/>
  <c r="L5394" i="18"/>
  <c r="B5395" i="18"/>
  <c r="C5395" i="18"/>
  <c r="D5395" i="18"/>
  <c r="E5395" i="18"/>
  <c r="F5395" i="18"/>
  <c r="G5395" i="18"/>
  <c r="H5395" i="18"/>
  <c r="I5395" i="18"/>
  <c r="J5395" i="18"/>
  <c r="K5395" i="18"/>
  <c r="L5395" i="18"/>
  <c r="B5396" i="18"/>
  <c r="C5396" i="18"/>
  <c r="D5396" i="18"/>
  <c r="E5396" i="18"/>
  <c r="F5396" i="18"/>
  <c r="G5396" i="18"/>
  <c r="H5396" i="18"/>
  <c r="I5396" i="18"/>
  <c r="J5396" i="18"/>
  <c r="K5396" i="18"/>
  <c r="L5396" i="18"/>
  <c r="B5397" i="18"/>
  <c r="C5397" i="18"/>
  <c r="D5397" i="18"/>
  <c r="E5397" i="18"/>
  <c r="F5397" i="18"/>
  <c r="G5397" i="18"/>
  <c r="H5397" i="18"/>
  <c r="I5397" i="18"/>
  <c r="J5397" i="18"/>
  <c r="K5397" i="18"/>
  <c r="L5397" i="18"/>
  <c r="B5398" i="18"/>
  <c r="C5398" i="18"/>
  <c r="D5398" i="18"/>
  <c r="E5398" i="18"/>
  <c r="F5398" i="18"/>
  <c r="G5398" i="18"/>
  <c r="H5398" i="18"/>
  <c r="I5398" i="18"/>
  <c r="J5398" i="18"/>
  <c r="K5398" i="18"/>
  <c r="L5398" i="18"/>
  <c r="B5399" i="18"/>
  <c r="C5399" i="18"/>
  <c r="D5399" i="18"/>
  <c r="E5399" i="18"/>
  <c r="F5399" i="18"/>
  <c r="G5399" i="18"/>
  <c r="H5399" i="18"/>
  <c r="I5399" i="18"/>
  <c r="J5399" i="18"/>
  <c r="K5399" i="18"/>
  <c r="L5399" i="18"/>
  <c r="B5400" i="18"/>
  <c r="C5400" i="18"/>
  <c r="D5400" i="18"/>
  <c r="E5400" i="18"/>
  <c r="F5400" i="18"/>
  <c r="G5400" i="18"/>
  <c r="H5400" i="18"/>
  <c r="I5400" i="18"/>
  <c r="J5400" i="18"/>
  <c r="K5400" i="18"/>
  <c r="L5400" i="18"/>
  <c r="B5401" i="18"/>
  <c r="C5401" i="18"/>
  <c r="D5401" i="18"/>
  <c r="E5401" i="18"/>
  <c r="F5401" i="18"/>
  <c r="G5401" i="18"/>
  <c r="H5401" i="18"/>
  <c r="I5401" i="18"/>
  <c r="J5401" i="18"/>
  <c r="K5401" i="18"/>
  <c r="L5401" i="18"/>
  <c r="B5402" i="18"/>
  <c r="C5402" i="18"/>
  <c r="D5402" i="18"/>
  <c r="E5402" i="18"/>
  <c r="F5402" i="18"/>
  <c r="G5402" i="18"/>
  <c r="H5402" i="18"/>
  <c r="I5402" i="18"/>
  <c r="J5402" i="18"/>
  <c r="K5402" i="18"/>
  <c r="L5402" i="18"/>
  <c r="B5403" i="18"/>
  <c r="C5403" i="18"/>
  <c r="D5403" i="18"/>
  <c r="E5403" i="18"/>
  <c r="F5403" i="18"/>
  <c r="G5403" i="18"/>
  <c r="H5403" i="18"/>
  <c r="I5403" i="18"/>
  <c r="J5403" i="18"/>
  <c r="K5403" i="18"/>
  <c r="L5403" i="18"/>
  <c r="B5404" i="18"/>
  <c r="C5404" i="18"/>
  <c r="D5404" i="18"/>
  <c r="E5404" i="18"/>
  <c r="F5404" i="18"/>
  <c r="G5404" i="18"/>
  <c r="H5404" i="18"/>
  <c r="I5404" i="18"/>
  <c r="J5404" i="18"/>
  <c r="K5404" i="18"/>
  <c r="L5404" i="18"/>
  <c r="B5405" i="18"/>
  <c r="C5405" i="18"/>
  <c r="D5405" i="18"/>
  <c r="E5405" i="18"/>
  <c r="F5405" i="18"/>
  <c r="G5405" i="18"/>
  <c r="H5405" i="18"/>
  <c r="I5405" i="18"/>
  <c r="J5405" i="18"/>
  <c r="K5405" i="18"/>
  <c r="L5405" i="18"/>
  <c r="B5406" i="18"/>
  <c r="C5406" i="18"/>
  <c r="D5406" i="18"/>
  <c r="E5406" i="18"/>
  <c r="F5406" i="18"/>
  <c r="G5406" i="18"/>
  <c r="H5406" i="18"/>
  <c r="I5406" i="18"/>
  <c r="J5406" i="18"/>
  <c r="K5406" i="18"/>
  <c r="L5406" i="18"/>
  <c r="B5407" i="18"/>
  <c r="C5407" i="18"/>
  <c r="D5407" i="18"/>
  <c r="E5407" i="18"/>
  <c r="F5407" i="18"/>
  <c r="G5407" i="18"/>
  <c r="H5407" i="18"/>
  <c r="I5407" i="18"/>
  <c r="J5407" i="18"/>
  <c r="K5407" i="18"/>
  <c r="L5407" i="18"/>
  <c r="B5408" i="18"/>
  <c r="C5408" i="18"/>
  <c r="D5408" i="18"/>
  <c r="E5408" i="18"/>
  <c r="F5408" i="18"/>
  <c r="G5408" i="18"/>
  <c r="H5408" i="18"/>
  <c r="I5408" i="18"/>
  <c r="J5408" i="18"/>
  <c r="K5408" i="18"/>
  <c r="L5408" i="18"/>
  <c r="B5409" i="18"/>
  <c r="C5409" i="18"/>
  <c r="D5409" i="18"/>
  <c r="E5409" i="18"/>
  <c r="F5409" i="18"/>
  <c r="G5409" i="18"/>
  <c r="H5409" i="18"/>
  <c r="I5409" i="18"/>
  <c r="J5409" i="18"/>
  <c r="K5409" i="18"/>
  <c r="L5409" i="18"/>
  <c r="B5410" i="18"/>
  <c r="C5410" i="18"/>
  <c r="D5410" i="18"/>
  <c r="E5410" i="18"/>
  <c r="F5410" i="18"/>
  <c r="G5410" i="18"/>
  <c r="H5410" i="18"/>
  <c r="I5410" i="18"/>
  <c r="J5410" i="18"/>
  <c r="K5410" i="18"/>
  <c r="L5410" i="18"/>
  <c r="B5411" i="18"/>
  <c r="C5411" i="18"/>
  <c r="D5411" i="18"/>
  <c r="E5411" i="18"/>
  <c r="F5411" i="18"/>
  <c r="G5411" i="18"/>
  <c r="H5411" i="18"/>
  <c r="I5411" i="18"/>
  <c r="J5411" i="18"/>
  <c r="K5411" i="18"/>
  <c r="L5411" i="18"/>
  <c r="B5412" i="18"/>
  <c r="C5412" i="18"/>
  <c r="D5412" i="18"/>
  <c r="E5412" i="18"/>
  <c r="F5412" i="18"/>
  <c r="G5412" i="18"/>
  <c r="H5412" i="18"/>
  <c r="I5412" i="18"/>
  <c r="J5412" i="18"/>
  <c r="K5412" i="18"/>
  <c r="L5412" i="18"/>
  <c r="B5413" i="18"/>
  <c r="C5413" i="18"/>
  <c r="D5413" i="18"/>
  <c r="E5413" i="18"/>
  <c r="F5413" i="18"/>
  <c r="G5413" i="18"/>
  <c r="H5413" i="18"/>
  <c r="I5413" i="18"/>
  <c r="J5413" i="18"/>
  <c r="K5413" i="18"/>
  <c r="L5413" i="18"/>
  <c r="B5414" i="18"/>
  <c r="C5414" i="18"/>
  <c r="D5414" i="18"/>
  <c r="E5414" i="18"/>
  <c r="F5414" i="18"/>
  <c r="G5414" i="18"/>
  <c r="H5414" i="18"/>
  <c r="I5414" i="18"/>
  <c r="J5414" i="18"/>
  <c r="K5414" i="18"/>
  <c r="L5414" i="18"/>
  <c r="B5415" i="18"/>
  <c r="C5415" i="18"/>
  <c r="D5415" i="18"/>
  <c r="E5415" i="18"/>
  <c r="F5415" i="18"/>
  <c r="G5415" i="18"/>
  <c r="H5415" i="18"/>
  <c r="I5415" i="18"/>
  <c r="J5415" i="18"/>
  <c r="K5415" i="18"/>
  <c r="L5415" i="18"/>
  <c r="B5416" i="18"/>
  <c r="C5416" i="18"/>
  <c r="D5416" i="18"/>
  <c r="E5416" i="18"/>
  <c r="F5416" i="18"/>
  <c r="G5416" i="18"/>
  <c r="H5416" i="18"/>
  <c r="I5416" i="18"/>
  <c r="J5416" i="18"/>
  <c r="K5416" i="18"/>
  <c r="L5416" i="18"/>
  <c r="B5417" i="18"/>
  <c r="C5417" i="18"/>
  <c r="D5417" i="18"/>
  <c r="E5417" i="18"/>
  <c r="F5417" i="18"/>
  <c r="G5417" i="18"/>
  <c r="H5417" i="18"/>
  <c r="I5417" i="18"/>
  <c r="J5417" i="18"/>
  <c r="K5417" i="18"/>
  <c r="L5417" i="18"/>
  <c r="B5418" i="18"/>
  <c r="C5418" i="18"/>
  <c r="D5418" i="18"/>
  <c r="E5418" i="18"/>
  <c r="F5418" i="18"/>
  <c r="G5418" i="18"/>
  <c r="H5418" i="18"/>
  <c r="I5418" i="18"/>
  <c r="J5418" i="18"/>
  <c r="K5418" i="18"/>
  <c r="L5418" i="18"/>
  <c r="B5419" i="18"/>
  <c r="C5419" i="18"/>
  <c r="D5419" i="18"/>
  <c r="E5419" i="18"/>
  <c r="F5419" i="18"/>
  <c r="G5419" i="18"/>
  <c r="H5419" i="18"/>
  <c r="I5419" i="18"/>
  <c r="J5419" i="18"/>
  <c r="K5419" i="18"/>
  <c r="L5419" i="18"/>
  <c r="B5420" i="18"/>
  <c r="C5420" i="18"/>
  <c r="D5420" i="18"/>
  <c r="E5420" i="18"/>
  <c r="F5420" i="18"/>
  <c r="G5420" i="18"/>
  <c r="H5420" i="18"/>
  <c r="I5420" i="18"/>
  <c r="J5420" i="18"/>
  <c r="K5420" i="18"/>
  <c r="L5420" i="18"/>
  <c r="B5421" i="18"/>
  <c r="C5421" i="18"/>
  <c r="D5421" i="18"/>
  <c r="E5421" i="18"/>
  <c r="F5421" i="18"/>
  <c r="G5421" i="18"/>
  <c r="H5421" i="18"/>
  <c r="I5421" i="18"/>
  <c r="J5421" i="18"/>
  <c r="K5421" i="18"/>
  <c r="L5421" i="18"/>
  <c r="B5422" i="18"/>
  <c r="C5422" i="18"/>
  <c r="D5422" i="18"/>
  <c r="E5422" i="18"/>
  <c r="F5422" i="18"/>
  <c r="G5422" i="18"/>
  <c r="H5422" i="18"/>
  <c r="I5422" i="18"/>
  <c r="J5422" i="18"/>
  <c r="K5422" i="18"/>
  <c r="L5422" i="18"/>
  <c r="B5423" i="18"/>
  <c r="C5423" i="18"/>
  <c r="D5423" i="18"/>
  <c r="E5423" i="18"/>
  <c r="F5423" i="18"/>
  <c r="G5423" i="18"/>
  <c r="H5423" i="18"/>
  <c r="I5423" i="18"/>
  <c r="J5423" i="18"/>
  <c r="K5423" i="18"/>
  <c r="L5423" i="18"/>
  <c r="B5424" i="18"/>
  <c r="C5424" i="18"/>
  <c r="D5424" i="18"/>
  <c r="E5424" i="18"/>
  <c r="F5424" i="18"/>
  <c r="G5424" i="18"/>
  <c r="H5424" i="18"/>
  <c r="I5424" i="18"/>
  <c r="J5424" i="18"/>
  <c r="K5424" i="18"/>
  <c r="L5424" i="18"/>
  <c r="B5425" i="18"/>
  <c r="C5425" i="18"/>
  <c r="D5425" i="18"/>
  <c r="E5425" i="18"/>
  <c r="F5425" i="18"/>
  <c r="G5425" i="18"/>
  <c r="H5425" i="18"/>
  <c r="I5425" i="18"/>
  <c r="J5425" i="18"/>
  <c r="K5425" i="18"/>
  <c r="L5425" i="18"/>
  <c r="B5426" i="18"/>
  <c r="C5426" i="18"/>
  <c r="D5426" i="18"/>
  <c r="E5426" i="18"/>
  <c r="F5426" i="18"/>
  <c r="G5426" i="18"/>
  <c r="H5426" i="18"/>
  <c r="I5426" i="18"/>
  <c r="J5426" i="18"/>
  <c r="K5426" i="18"/>
  <c r="L5426" i="18"/>
  <c r="B5427" i="18"/>
  <c r="C5427" i="18"/>
  <c r="D5427" i="18"/>
  <c r="E5427" i="18"/>
  <c r="F5427" i="18"/>
  <c r="G5427" i="18"/>
  <c r="H5427" i="18"/>
  <c r="I5427" i="18"/>
  <c r="J5427" i="18"/>
  <c r="K5427" i="18"/>
  <c r="L5427" i="18"/>
  <c r="B5428" i="18"/>
  <c r="C5428" i="18"/>
  <c r="D5428" i="18"/>
  <c r="E5428" i="18"/>
  <c r="F5428" i="18"/>
  <c r="G5428" i="18"/>
  <c r="H5428" i="18"/>
  <c r="I5428" i="18"/>
  <c r="J5428" i="18"/>
  <c r="K5428" i="18"/>
  <c r="L5428" i="18"/>
  <c r="B5429" i="18"/>
  <c r="C5429" i="18"/>
  <c r="D5429" i="18"/>
  <c r="E5429" i="18"/>
  <c r="F5429" i="18"/>
  <c r="G5429" i="18"/>
  <c r="H5429" i="18"/>
  <c r="I5429" i="18"/>
  <c r="J5429" i="18"/>
  <c r="K5429" i="18"/>
  <c r="L5429" i="18"/>
  <c r="B5430" i="18"/>
  <c r="C5430" i="18"/>
  <c r="D5430" i="18"/>
  <c r="E5430" i="18"/>
  <c r="F5430" i="18"/>
  <c r="G5430" i="18"/>
  <c r="H5430" i="18"/>
  <c r="I5430" i="18"/>
  <c r="J5430" i="18"/>
  <c r="K5430" i="18"/>
  <c r="L5430" i="18"/>
  <c r="B5431" i="18"/>
  <c r="C5431" i="18"/>
  <c r="D5431" i="18"/>
  <c r="E5431" i="18"/>
  <c r="F5431" i="18"/>
  <c r="G5431" i="18"/>
  <c r="H5431" i="18"/>
  <c r="I5431" i="18"/>
  <c r="J5431" i="18"/>
  <c r="K5431" i="18"/>
  <c r="L5431" i="18"/>
  <c r="B5432" i="18"/>
  <c r="C5432" i="18"/>
  <c r="D5432" i="18"/>
  <c r="E5432" i="18"/>
  <c r="F5432" i="18"/>
  <c r="G5432" i="18"/>
  <c r="H5432" i="18"/>
  <c r="I5432" i="18"/>
  <c r="J5432" i="18"/>
  <c r="K5432" i="18"/>
  <c r="L5432" i="18"/>
  <c r="B5433" i="18"/>
  <c r="C5433" i="18"/>
  <c r="D5433" i="18"/>
  <c r="E5433" i="18"/>
  <c r="F5433" i="18"/>
  <c r="G5433" i="18"/>
  <c r="H5433" i="18"/>
  <c r="I5433" i="18"/>
  <c r="J5433" i="18"/>
  <c r="K5433" i="18"/>
  <c r="L5433" i="18"/>
  <c r="B5434" i="18"/>
  <c r="C5434" i="18"/>
  <c r="D5434" i="18"/>
  <c r="E5434" i="18"/>
  <c r="F5434" i="18"/>
  <c r="G5434" i="18"/>
  <c r="H5434" i="18"/>
  <c r="I5434" i="18"/>
  <c r="J5434" i="18"/>
  <c r="K5434" i="18"/>
  <c r="L5434" i="18"/>
  <c r="B5435" i="18"/>
  <c r="C5435" i="18"/>
  <c r="D5435" i="18"/>
  <c r="E5435" i="18"/>
  <c r="F5435" i="18"/>
  <c r="G5435" i="18"/>
  <c r="H5435" i="18"/>
  <c r="I5435" i="18"/>
  <c r="J5435" i="18"/>
  <c r="K5435" i="18"/>
  <c r="L5435" i="18"/>
  <c r="B5436" i="18"/>
  <c r="C5436" i="18"/>
  <c r="D5436" i="18"/>
  <c r="E5436" i="18"/>
  <c r="F5436" i="18"/>
  <c r="G5436" i="18"/>
  <c r="H5436" i="18"/>
  <c r="I5436" i="18"/>
  <c r="J5436" i="18"/>
  <c r="K5436" i="18"/>
  <c r="L5436" i="18"/>
  <c r="B5437" i="18"/>
  <c r="C5437" i="18"/>
  <c r="D5437" i="18"/>
  <c r="E5437" i="18"/>
  <c r="F5437" i="18"/>
  <c r="G5437" i="18"/>
  <c r="H5437" i="18"/>
  <c r="I5437" i="18"/>
  <c r="J5437" i="18"/>
  <c r="K5437" i="18"/>
  <c r="L5437" i="18"/>
  <c r="B5438" i="18"/>
  <c r="C5438" i="18"/>
  <c r="D5438" i="18"/>
  <c r="E5438" i="18"/>
  <c r="F5438" i="18"/>
  <c r="G5438" i="18"/>
  <c r="H5438" i="18"/>
  <c r="I5438" i="18"/>
  <c r="J5438" i="18"/>
  <c r="K5438" i="18"/>
  <c r="L5438" i="18"/>
  <c r="B5439" i="18"/>
  <c r="C5439" i="18"/>
  <c r="D5439" i="18"/>
  <c r="E5439" i="18"/>
  <c r="F5439" i="18"/>
  <c r="G5439" i="18"/>
  <c r="H5439" i="18"/>
  <c r="I5439" i="18"/>
  <c r="J5439" i="18"/>
  <c r="K5439" i="18"/>
  <c r="L5439" i="18"/>
  <c r="B5440" i="18"/>
  <c r="C5440" i="18"/>
  <c r="D5440" i="18"/>
  <c r="E5440" i="18"/>
  <c r="F5440" i="18"/>
  <c r="G5440" i="18"/>
  <c r="H5440" i="18"/>
  <c r="I5440" i="18"/>
  <c r="J5440" i="18"/>
  <c r="K5440" i="18"/>
  <c r="L5440" i="18"/>
  <c r="B5441" i="18"/>
  <c r="C5441" i="18"/>
  <c r="D5441" i="18"/>
  <c r="E5441" i="18"/>
  <c r="F5441" i="18"/>
  <c r="G5441" i="18"/>
  <c r="H5441" i="18"/>
  <c r="I5441" i="18"/>
  <c r="J5441" i="18"/>
  <c r="K5441" i="18"/>
  <c r="L5441" i="18"/>
  <c r="B5442" i="18"/>
  <c r="C5442" i="18"/>
  <c r="D5442" i="18"/>
  <c r="E5442" i="18"/>
  <c r="F5442" i="18"/>
  <c r="G5442" i="18"/>
  <c r="H5442" i="18"/>
  <c r="I5442" i="18"/>
  <c r="J5442" i="18"/>
  <c r="K5442" i="18"/>
  <c r="L5442" i="18"/>
  <c r="B5443" i="18"/>
  <c r="C5443" i="18"/>
  <c r="D5443" i="18"/>
  <c r="E5443" i="18"/>
  <c r="F5443" i="18"/>
  <c r="G5443" i="18"/>
  <c r="H5443" i="18"/>
  <c r="I5443" i="18"/>
  <c r="J5443" i="18"/>
  <c r="K5443" i="18"/>
  <c r="L5443" i="18"/>
  <c r="B5444" i="18"/>
  <c r="C5444" i="18"/>
  <c r="D5444" i="18"/>
  <c r="E5444" i="18"/>
  <c r="F5444" i="18"/>
  <c r="G5444" i="18"/>
  <c r="H5444" i="18"/>
  <c r="I5444" i="18"/>
  <c r="J5444" i="18"/>
  <c r="K5444" i="18"/>
  <c r="L5444" i="18"/>
  <c r="B5445" i="18"/>
  <c r="C5445" i="18"/>
  <c r="D5445" i="18"/>
  <c r="E5445" i="18"/>
  <c r="F5445" i="18"/>
  <c r="G5445" i="18"/>
  <c r="H5445" i="18"/>
  <c r="I5445" i="18"/>
  <c r="J5445" i="18"/>
  <c r="K5445" i="18"/>
  <c r="L5445" i="18"/>
  <c r="B5446" i="18"/>
  <c r="C5446" i="18"/>
  <c r="D5446" i="18"/>
  <c r="E5446" i="18"/>
  <c r="F5446" i="18"/>
  <c r="G5446" i="18"/>
  <c r="H5446" i="18"/>
  <c r="I5446" i="18"/>
  <c r="J5446" i="18"/>
  <c r="K5446" i="18"/>
  <c r="L5446" i="18"/>
  <c r="B5447" i="18"/>
  <c r="C5447" i="18"/>
  <c r="D5447" i="18"/>
  <c r="E5447" i="18"/>
  <c r="F5447" i="18"/>
  <c r="G5447" i="18"/>
  <c r="H5447" i="18"/>
  <c r="I5447" i="18"/>
  <c r="J5447" i="18"/>
  <c r="K5447" i="18"/>
  <c r="L5447" i="18"/>
  <c r="B5448" i="18"/>
  <c r="C5448" i="18"/>
  <c r="D5448" i="18"/>
  <c r="E5448" i="18"/>
  <c r="F5448" i="18"/>
  <c r="G5448" i="18"/>
  <c r="H5448" i="18"/>
  <c r="I5448" i="18"/>
  <c r="J5448" i="18"/>
  <c r="K5448" i="18"/>
  <c r="L5448" i="18"/>
  <c r="B5449" i="18"/>
  <c r="C5449" i="18"/>
  <c r="D5449" i="18"/>
  <c r="E5449" i="18"/>
  <c r="F5449" i="18"/>
  <c r="G5449" i="18"/>
  <c r="H5449" i="18"/>
  <c r="I5449" i="18"/>
  <c r="J5449" i="18"/>
  <c r="K5449" i="18"/>
  <c r="L5449" i="18"/>
  <c r="B5450" i="18"/>
  <c r="C5450" i="18"/>
  <c r="D5450" i="18"/>
  <c r="E5450" i="18"/>
  <c r="F5450" i="18"/>
  <c r="G5450" i="18"/>
  <c r="H5450" i="18"/>
  <c r="I5450" i="18"/>
  <c r="J5450" i="18"/>
  <c r="K5450" i="18"/>
  <c r="L5450" i="18"/>
  <c r="B5451" i="18"/>
  <c r="C5451" i="18"/>
  <c r="D5451" i="18"/>
  <c r="E5451" i="18"/>
  <c r="F5451" i="18"/>
  <c r="G5451" i="18"/>
  <c r="H5451" i="18"/>
  <c r="I5451" i="18"/>
  <c r="J5451" i="18"/>
  <c r="K5451" i="18"/>
  <c r="L5451" i="18"/>
  <c r="B5452" i="18"/>
  <c r="C5452" i="18"/>
  <c r="D5452" i="18"/>
  <c r="E5452" i="18"/>
  <c r="F5452" i="18"/>
  <c r="G5452" i="18"/>
  <c r="H5452" i="18"/>
  <c r="I5452" i="18"/>
  <c r="J5452" i="18"/>
  <c r="K5452" i="18"/>
  <c r="L5452" i="18"/>
  <c r="B5453" i="18"/>
  <c r="C5453" i="18"/>
  <c r="D5453" i="18"/>
  <c r="E5453" i="18"/>
  <c r="F5453" i="18"/>
  <c r="G5453" i="18"/>
  <c r="H5453" i="18"/>
  <c r="I5453" i="18"/>
  <c r="J5453" i="18"/>
  <c r="K5453" i="18"/>
  <c r="L5453" i="18"/>
  <c r="B5454" i="18"/>
  <c r="C5454" i="18"/>
  <c r="D5454" i="18"/>
  <c r="E5454" i="18"/>
  <c r="F5454" i="18"/>
  <c r="G5454" i="18"/>
  <c r="H5454" i="18"/>
  <c r="I5454" i="18"/>
  <c r="J5454" i="18"/>
  <c r="K5454" i="18"/>
  <c r="L5454" i="18"/>
  <c r="B5455" i="18"/>
  <c r="C5455" i="18"/>
  <c r="D5455" i="18"/>
  <c r="E5455" i="18"/>
  <c r="F5455" i="18"/>
  <c r="G5455" i="18"/>
  <c r="H5455" i="18"/>
  <c r="I5455" i="18"/>
  <c r="J5455" i="18"/>
  <c r="K5455" i="18"/>
  <c r="L5455" i="18"/>
  <c r="B5456" i="18"/>
  <c r="C5456" i="18"/>
  <c r="D5456" i="18"/>
  <c r="E5456" i="18"/>
  <c r="F5456" i="18"/>
  <c r="G5456" i="18"/>
  <c r="H5456" i="18"/>
  <c r="I5456" i="18"/>
  <c r="J5456" i="18"/>
  <c r="K5456" i="18"/>
  <c r="L5456" i="18"/>
  <c r="B5457" i="18"/>
  <c r="C5457" i="18"/>
  <c r="D5457" i="18"/>
  <c r="E5457" i="18"/>
  <c r="F5457" i="18"/>
  <c r="G5457" i="18"/>
  <c r="H5457" i="18"/>
  <c r="I5457" i="18"/>
  <c r="J5457" i="18"/>
  <c r="K5457" i="18"/>
  <c r="L5457" i="18"/>
  <c r="B5458" i="18"/>
  <c r="C5458" i="18"/>
  <c r="D5458" i="18"/>
  <c r="E5458" i="18"/>
  <c r="F5458" i="18"/>
  <c r="G5458" i="18"/>
  <c r="H5458" i="18"/>
  <c r="I5458" i="18"/>
  <c r="J5458" i="18"/>
  <c r="K5458" i="18"/>
  <c r="L5458" i="18"/>
  <c r="B5459" i="18"/>
  <c r="C5459" i="18"/>
  <c r="D5459" i="18"/>
  <c r="E5459" i="18"/>
  <c r="F5459" i="18"/>
  <c r="G5459" i="18"/>
  <c r="H5459" i="18"/>
  <c r="I5459" i="18"/>
  <c r="J5459" i="18"/>
  <c r="K5459" i="18"/>
  <c r="L5459" i="18"/>
  <c r="B5460" i="18"/>
  <c r="C5460" i="18"/>
  <c r="D5460" i="18"/>
  <c r="E5460" i="18"/>
  <c r="F5460" i="18"/>
  <c r="G5460" i="18"/>
  <c r="H5460" i="18"/>
  <c r="I5460" i="18"/>
  <c r="J5460" i="18"/>
  <c r="K5460" i="18"/>
  <c r="L5460" i="18"/>
  <c r="B5461" i="18"/>
  <c r="C5461" i="18"/>
  <c r="D5461" i="18"/>
  <c r="E5461" i="18"/>
  <c r="F5461" i="18"/>
  <c r="G5461" i="18"/>
  <c r="H5461" i="18"/>
  <c r="I5461" i="18"/>
  <c r="J5461" i="18"/>
  <c r="K5461" i="18"/>
  <c r="L5461" i="18"/>
  <c r="B5462" i="18"/>
  <c r="C5462" i="18"/>
  <c r="D5462" i="18"/>
  <c r="E5462" i="18"/>
  <c r="F5462" i="18"/>
  <c r="G5462" i="18"/>
  <c r="H5462" i="18"/>
  <c r="I5462" i="18"/>
  <c r="J5462" i="18"/>
  <c r="K5462" i="18"/>
  <c r="L5462" i="18"/>
  <c r="B5463" i="18"/>
  <c r="C5463" i="18"/>
  <c r="D5463" i="18"/>
  <c r="E5463" i="18"/>
  <c r="F5463" i="18"/>
  <c r="G5463" i="18"/>
  <c r="H5463" i="18"/>
  <c r="I5463" i="18"/>
  <c r="J5463" i="18"/>
  <c r="K5463" i="18"/>
  <c r="L5463" i="18"/>
  <c r="B5464" i="18"/>
  <c r="C5464" i="18"/>
  <c r="D5464" i="18"/>
  <c r="E5464" i="18"/>
  <c r="F5464" i="18"/>
  <c r="G5464" i="18"/>
  <c r="H5464" i="18"/>
  <c r="I5464" i="18"/>
  <c r="J5464" i="18"/>
  <c r="K5464" i="18"/>
  <c r="L5464" i="18"/>
  <c r="B5465" i="18"/>
  <c r="C5465" i="18"/>
  <c r="D5465" i="18"/>
  <c r="E5465" i="18"/>
  <c r="F5465" i="18"/>
  <c r="G5465" i="18"/>
  <c r="H5465" i="18"/>
  <c r="I5465" i="18"/>
  <c r="J5465" i="18"/>
  <c r="K5465" i="18"/>
  <c r="L5465" i="18"/>
  <c r="B5466" i="18"/>
  <c r="C5466" i="18"/>
  <c r="D5466" i="18"/>
  <c r="E5466" i="18"/>
  <c r="F5466" i="18"/>
  <c r="G5466" i="18"/>
  <c r="H5466" i="18"/>
  <c r="I5466" i="18"/>
  <c r="J5466" i="18"/>
  <c r="K5466" i="18"/>
  <c r="L5466" i="18"/>
  <c r="B5467" i="18"/>
  <c r="C5467" i="18"/>
  <c r="D5467" i="18"/>
  <c r="E5467" i="18"/>
  <c r="F5467" i="18"/>
  <c r="G5467" i="18"/>
  <c r="H5467" i="18"/>
  <c r="I5467" i="18"/>
  <c r="J5467" i="18"/>
  <c r="K5467" i="18"/>
  <c r="L5467" i="18"/>
  <c r="B5468" i="18"/>
  <c r="C5468" i="18"/>
  <c r="D5468" i="18"/>
  <c r="E5468" i="18"/>
  <c r="F5468" i="18"/>
  <c r="G5468" i="18"/>
  <c r="H5468" i="18"/>
  <c r="I5468" i="18"/>
  <c r="J5468" i="18"/>
  <c r="K5468" i="18"/>
  <c r="L5468" i="18"/>
  <c r="B5469" i="18"/>
  <c r="C5469" i="18"/>
  <c r="D5469" i="18"/>
  <c r="E5469" i="18"/>
  <c r="F5469" i="18"/>
  <c r="G5469" i="18"/>
  <c r="H5469" i="18"/>
  <c r="I5469" i="18"/>
  <c r="J5469" i="18"/>
  <c r="K5469" i="18"/>
  <c r="L5469" i="18"/>
  <c r="B5470" i="18"/>
  <c r="C5470" i="18"/>
  <c r="D5470" i="18"/>
  <c r="E5470" i="18"/>
  <c r="F5470" i="18"/>
  <c r="G5470" i="18"/>
  <c r="H5470" i="18"/>
  <c r="I5470" i="18"/>
  <c r="J5470" i="18"/>
  <c r="K5470" i="18"/>
  <c r="L5470" i="18"/>
  <c r="B5471" i="18"/>
  <c r="C5471" i="18"/>
  <c r="D5471" i="18"/>
  <c r="E5471" i="18"/>
  <c r="F5471" i="18"/>
  <c r="G5471" i="18"/>
  <c r="H5471" i="18"/>
  <c r="I5471" i="18"/>
  <c r="J5471" i="18"/>
  <c r="K5471" i="18"/>
  <c r="L5471" i="18"/>
  <c r="B5472" i="18"/>
  <c r="C5472" i="18"/>
  <c r="D5472" i="18"/>
  <c r="E5472" i="18"/>
  <c r="F5472" i="18"/>
  <c r="G5472" i="18"/>
  <c r="H5472" i="18"/>
  <c r="I5472" i="18"/>
  <c r="J5472" i="18"/>
  <c r="K5472" i="18"/>
  <c r="L5472" i="18"/>
  <c r="B5473" i="18"/>
  <c r="C5473" i="18"/>
  <c r="D5473" i="18"/>
  <c r="E5473" i="18"/>
  <c r="F5473" i="18"/>
  <c r="G5473" i="18"/>
  <c r="H5473" i="18"/>
  <c r="I5473" i="18"/>
  <c r="J5473" i="18"/>
  <c r="K5473" i="18"/>
  <c r="L5473" i="18"/>
  <c r="B5474" i="18"/>
  <c r="C5474" i="18"/>
  <c r="D5474" i="18"/>
  <c r="E5474" i="18"/>
  <c r="F5474" i="18"/>
  <c r="G5474" i="18"/>
  <c r="H5474" i="18"/>
  <c r="I5474" i="18"/>
  <c r="J5474" i="18"/>
  <c r="K5474" i="18"/>
  <c r="L5474" i="18"/>
  <c r="B5475" i="18"/>
  <c r="C5475" i="18"/>
  <c r="D5475" i="18"/>
  <c r="E5475" i="18"/>
  <c r="F5475" i="18"/>
  <c r="G5475" i="18"/>
  <c r="H5475" i="18"/>
  <c r="I5475" i="18"/>
  <c r="J5475" i="18"/>
  <c r="K5475" i="18"/>
  <c r="L5475" i="18"/>
  <c r="B5476" i="18"/>
  <c r="C5476" i="18"/>
  <c r="D5476" i="18"/>
  <c r="E5476" i="18"/>
  <c r="F5476" i="18"/>
  <c r="G5476" i="18"/>
  <c r="H5476" i="18"/>
  <c r="I5476" i="18"/>
  <c r="J5476" i="18"/>
  <c r="K5476" i="18"/>
  <c r="L5476" i="18"/>
  <c r="B5477" i="18"/>
  <c r="C5477" i="18"/>
  <c r="D5477" i="18"/>
  <c r="E5477" i="18"/>
  <c r="F5477" i="18"/>
  <c r="G5477" i="18"/>
  <c r="H5477" i="18"/>
  <c r="I5477" i="18"/>
  <c r="J5477" i="18"/>
  <c r="K5477" i="18"/>
  <c r="L5477" i="18"/>
  <c r="B5478" i="18"/>
  <c r="C5478" i="18"/>
  <c r="D5478" i="18"/>
  <c r="E5478" i="18"/>
  <c r="F5478" i="18"/>
  <c r="G5478" i="18"/>
  <c r="H5478" i="18"/>
  <c r="I5478" i="18"/>
  <c r="J5478" i="18"/>
  <c r="K5478" i="18"/>
  <c r="L5478" i="18"/>
  <c r="B5479" i="18"/>
  <c r="C5479" i="18"/>
  <c r="D5479" i="18"/>
  <c r="E5479" i="18"/>
  <c r="F5479" i="18"/>
  <c r="G5479" i="18"/>
  <c r="H5479" i="18"/>
  <c r="I5479" i="18"/>
  <c r="J5479" i="18"/>
  <c r="K5479" i="18"/>
  <c r="L5479" i="18"/>
  <c r="B5480" i="18"/>
  <c r="C5480" i="18"/>
  <c r="D5480" i="18"/>
  <c r="E5480" i="18"/>
  <c r="F5480" i="18"/>
  <c r="G5480" i="18"/>
  <c r="H5480" i="18"/>
  <c r="I5480" i="18"/>
  <c r="J5480" i="18"/>
  <c r="K5480" i="18"/>
  <c r="L5480" i="18"/>
  <c r="B5481" i="18"/>
  <c r="C5481" i="18"/>
  <c r="D5481" i="18"/>
  <c r="E5481" i="18"/>
  <c r="F5481" i="18"/>
  <c r="G5481" i="18"/>
  <c r="H5481" i="18"/>
  <c r="I5481" i="18"/>
  <c r="J5481" i="18"/>
  <c r="K5481" i="18"/>
  <c r="L5481" i="18"/>
  <c r="B5482" i="18"/>
  <c r="C5482" i="18"/>
  <c r="D5482" i="18"/>
  <c r="E5482" i="18"/>
  <c r="F5482" i="18"/>
  <c r="G5482" i="18"/>
  <c r="H5482" i="18"/>
  <c r="I5482" i="18"/>
  <c r="J5482" i="18"/>
  <c r="K5482" i="18"/>
  <c r="L5482" i="18"/>
  <c r="B5483" i="18"/>
  <c r="C5483" i="18"/>
  <c r="D5483" i="18"/>
  <c r="E5483" i="18"/>
  <c r="F5483" i="18"/>
  <c r="G5483" i="18"/>
  <c r="H5483" i="18"/>
  <c r="I5483" i="18"/>
  <c r="J5483" i="18"/>
  <c r="K5483" i="18"/>
  <c r="L5483" i="18"/>
  <c r="B5484" i="18"/>
  <c r="C5484" i="18"/>
  <c r="D5484" i="18"/>
  <c r="E5484" i="18"/>
  <c r="F5484" i="18"/>
  <c r="G5484" i="18"/>
  <c r="H5484" i="18"/>
  <c r="I5484" i="18"/>
  <c r="J5484" i="18"/>
  <c r="K5484" i="18"/>
  <c r="L5484" i="18"/>
  <c r="B5485" i="18"/>
  <c r="C5485" i="18"/>
  <c r="D5485" i="18"/>
  <c r="E5485" i="18"/>
  <c r="F5485" i="18"/>
  <c r="G5485" i="18"/>
  <c r="H5485" i="18"/>
  <c r="I5485" i="18"/>
  <c r="J5485" i="18"/>
  <c r="K5485" i="18"/>
  <c r="L5485" i="18"/>
  <c r="B5486" i="18"/>
  <c r="C5486" i="18"/>
  <c r="D5486" i="18"/>
  <c r="E5486" i="18"/>
  <c r="F5486" i="18"/>
  <c r="G5486" i="18"/>
  <c r="H5486" i="18"/>
  <c r="I5486" i="18"/>
  <c r="J5486" i="18"/>
  <c r="K5486" i="18"/>
  <c r="L5486" i="18"/>
  <c r="B5487" i="18"/>
  <c r="C5487" i="18"/>
  <c r="D5487" i="18"/>
  <c r="E5487" i="18"/>
  <c r="F5487" i="18"/>
  <c r="G5487" i="18"/>
  <c r="H5487" i="18"/>
  <c r="I5487" i="18"/>
  <c r="J5487" i="18"/>
  <c r="K5487" i="18"/>
  <c r="L5487" i="18"/>
  <c r="B5488" i="18"/>
  <c r="C5488" i="18"/>
  <c r="D5488" i="18"/>
  <c r="E5488" i="18"/>
  <c r="F5488" i="18"/>
  <c r="G5488" i="18"/>
  <c r="H5488" i="18"/>
  <c r="I5488" i="18"/>
  <c r="J5488" i="18"/>
  <c r="K5488" i="18"/>
  <c r="L5488" i="18"/>
  <c r="B5489" i="18"/>
  <c r="C5489" i="18"/>
  <c r="D5489" i="18"/>
  <c r="E5489" i="18"/>
  <c r="F5489" i="18"/>
  <c r="G5489" i="18"/>
  <c r="H5489" i="18"/>
  <c r="I5489" i="18"/>
  <c r="J5489" i="18"/>
  <c r="K5489" i="18"/>
  <c r="L5489" i="18"/>
  <c r="B5490" i="18"/>
  <c r="C5490" i="18"/>
  <c r="D5490" i="18"/>
  <c r="E5490" i="18"/>
  <c r="F5490" i="18"/>
  <c r="G5490" i="18"/>
  <c r="H5490" i="18"/>
  <c r="I5490" i="18"/>
  <c r="J5490" i="18"/>
  <c r="K5490" i="18"/>
  <c r="L5490" i="18"/>
  <c r="B5491" i="18"/>
  <c r="C5491" i="18"/>
  <c r="D5491" i="18"/>
  <c r="E5491" i="18"/>
  <c r="F5491" i="18"/>
  <c r="G5491" i="18"/>
  <c r="H5491" i="18"/>
  <c r="I5491" i="18"/>
  <c r="J5491" i="18"/>
  <c r="K5491" i="18"/>
  <c r="L5491" i="18"/>
  <c r="B5492" i="18"/>
  <c r="C5492" i="18"/>
  <c r="D5492" i="18"/>
  <c r="E5492" i="18"/>
  <c r="F5492" i="18"/>
  <c r="G5492" i="18"/>
  <c r="H5492" i="18"/>
  <c r="I5492" i="18"/>
  <c r="J5492" i="18"/>
  <c r="K5492" i="18"/>
  <c r="L5492" i="18"/>
  <c r="B5493" i="18"/>
  <c r="C5493" i="18"/>
  <c r="D5493" i="18"/>
  <c r="E5493" i="18"/>
  <c r="F5493" i="18"/>
  <c r="G5493" i="18"/>
  <c r="H5493" i="18"/>
  <c r="I5493" i="18"/>
  <c r="J5493" i="18"/>
  <c r="K5493" i="18"/>
  <c r="L5493" i="18"/>
  <c r="B5494" i="18"/>
  <c r="C5494" i="18"/>
  <c r="D5494" i="18"/>
  <c r="E5494" i="18"/>
  <c r="F5494" i="18"/>
  <c r="G5494" i="18"/>
  <c r="H5494" i="18"/>
  <c r="I5494" i="18"/>
  <c r="J5494" i="18"/>
  <c r="K5494" i="18"/>
  <c r="L5494" i="18"/>
  <c r="B5495" i="18"/>
  <c r="C5495" i="18"/>
  <c r="D5495" i="18"/>
  <c r="E5495" i="18"/>
  <c r="F5495" i="18"/>
  <c r="G5495" i="18"/>
  <c r="H5495" i="18"/>
  <c r="I5495" i="18"/>
  <c r="J5495" i="18"/>
  <c r="K5495" i="18"/>
  <c r="L5495" i="18"/>
  <c r="B5496" i="18"/>
  <c r="C5496" i="18"/>
  <c r="D5496" i="18"/>
  <c r="E5496" i="18"/>
  <c r="F5496" i="18"/>
  <c r="G5496" i="18"/>
  <c r="H5496" i="18"/>
  <c r="I5496" i="18"/>
  <c r="J5496" i="18"/>
  <c r="K5496" i="18"/>
  <c r="L5496" i="18"/>
  <c r="B5497" i="18"/>
  <c r="C5497" i="18"/>
  <c r="D5497" i="18"/>
  <c r="E5497" i="18"/>
  <c r="F5497" i="18"/>
  <c r="G5497" i="18"/>
  <c r="H5497" i="18"/>
  <c r="I5497" i="18"/>
  <c r="J5497" i="18"/>
  <c r="K5497" i="18"/>
  <c r="L5497" i="18"/>
  <c r="B5498" i="18"/>
  <c r="C5498" i="18"/>
  <c r="D5498" i="18"/>
  <c r="E5498" i="18"/>
  <c r="F5498" i="18"/>
  <c r="G5498" i="18"/>
  <c r="H5498" i="18"/>
  <c r="I5498" i="18"/>
  <c r="J5498" i="18"/>
  <c r="K5498" i="18"/>
  <c r="L5498" i="18"/>
  <c r="B5499" i="18"/>
  <c r="C5499" i="18"/>
  <c r="D5499" i="18"/>
  <c r="E5499" i="18"/>
  <c r="F5499" i="18"/>
  <c r="G5499" i="18"/>
  <c r="H5499" i="18"/>
  <c r="I5499" i="18"/>
  <c r="J5499" i="18"/>
  <c r="K5499" i="18"/>
  <c r="L5499" i="18"/>
  <c r="B5500" i="18"/>
  <c r="C5500" i="18"/>
  <c r="D5500" i="18"/>
  <c r="E5500" i="18"/>
  <c r="F5500" i="18"/>
  <c r="G5500" i="18"/>
  <c r="H5500" i="18"/>
  <c r="I5500" i="18"/>
  <c r="J5500" i="18"/>
  <c r="K5500" i="18"/>
  <c r="L5500" i="18"/>
  <c r="B5501" i="18"/>
  <c r="C5501" i="18"/>
  <c r="D5501" i="18"/>
  <c r="E5501" i="18"/>
  <c r="F5501" i="18"/>
  <c r="G5501" i="18"/>
  <c r="H5501" i="18"/>
  <c r="I5501" i="18"/>
  <c r="J5501" i="18"/>
  <c r="K5501" i="18"/>
  <c r="L5501" i="18"/>
  <c r="B5502" i="18"/>
  <c r="C5502" i="18"/>
  <c r="D5502" i="18"/>
  <c r="E5502" i="18"/>
  <c r="F5502" i="18"/>
  <c r="G5502" i="18"/>
  <c r="H5502" i="18"/>
  <c r="I5502" i="18"/>
  <c r="J5502" i="18"/>
  <c r="K5502" i="18"/>
  <c r="L5502" i="18"/>
  <c r="B5503" i="18"/>
  <c r="C5503" i="18"/>
  <c r="D5503" i="18"/>
  <c r="E5503" i="18"/>
  <c r="F5503" i="18"/>
  <c r="G5503" i="18"/>
  <c r="H5503" i="18"/>
  <c r="I5503" i="18"/>
  <c r="J5503" i="18"/>
  <c r="K5503" i="18"/>
  <c r="L5503" i="18"/>
  <c r="B5504" i="18"/>
  <c r="C5504" i="18"/>
  <c r="D5504" i="18"/>
  <c r="E5504" i="18"/>
  <c r="F5504" i="18"/>
  <c r="G5504" i="18"/>
  <c r="H5504" i="18"/>
  <c r="I5504" i="18"/>
  <c r="J5504" i="18"/>
  <c r="K5504" i="18"/>
  <c r="L5504" i="18"/>
  <c r="B5505" i="18"/>
  <c r="C5505" i="18"/>
  <c r="D5505" i="18"/>
  <c r="E5505" i="18"/>
  <c r="F5505" i="18"/>
  <c r="G5505" i="18"/>
  <c r="H5505" i="18"/>
  <c r="I5505" i="18"/>
  <c r="J5505" i="18"/>
  <c r="K5505" i="18"/>
  <c r="L5505" i="18"/>
  <c r="B5506" i="18"/>
  <c r="C5506" i="18"/>
  <c r="D5506" i="18"/>
  <c r="E5506" i="18"/>
  <c r="F5506" i="18"/>
  <c r="G5506" i="18"/>
  <c r="H5506" i="18"/>
  <c r="I5506" i="18"/>
  <c r="J5506" i="18"/>
  <c r="K5506" i="18"/>
  <c r="L5506" i="18"/>
  <c r="B5507" i="18"/>
  <c r="C5507" i="18"/>
  <c r="D5507" i="18"/>
  <c r="E5507" i="18"/>
  <c r="F5507" i="18"/>
  <c r="G5507" i="18"/>
  <c r="H5507" i="18"/>
  <c r="I5507" i="18"/>
  <c r="J5507" i="18"/>
  <c r="K5507" i="18"/>
  <c r="L5507" i="18"/>
  <c r="B5508" i="18"/>
  <c r="C5508" i="18"/>
  <c r="D5508" i="18"/>
  <c r="E5508" i="18"/>
  <c r="F5508" i="18"/>
  <c r="G5508" i="18"/>
  <c r="H5508" i="18"/>
  <c r="I5508" i="18"/>
  <c r="J5508" i="18"/>
  <c r="K5508" i="18"/>
  <c r="L5508" i="18"/>
  <c r="B5509" i="18"/>
  <c r="C5509" i="18"/>
  <c r="D5509" i="18"/>
  <c r="E5509" i="18"/>
  <c r="F5509" i="18"/>
  <c r="G5509" i="18"/>
  <c r="H5509" i="18"/>
  <c r="I5509" i="18"/>
  <c r="J5509" i="18"/>
  <c r="K5509" i="18"/>
  <c r="L5509" i="18"/>
  <c r="B5510" i="18"/>
  <c r="C5510" i="18"/>
  <c r="D5510" i="18"/>
  <c r="E5510" i="18"/>
  <c r="F5510" i="18"/>
  <c r="G5510" i="18"/>
  <c r="H5510" i="18"/>
  <c r="I5510" i="18"/>
  <c r="J5510" i="18"/>
  <c r="K5510" i="18"/>
  <c r="L5510" i="18"/>
  <c r="B5511" i="18"/>
  <c r="C5511" i="18"/>
  <c r="D5511" i="18"/>
  <c r="E5511" i="18"/>
  <c r="F5511" i="18"/>
  <c r="G5511" i="18"/>
  <c r="H5511" i="18"/>
  <c r="I5511" i="18"/>
  <c r="J5511" i="18"/>
  <c r="K5511" i="18"/>
  <c r="L5511" i="18"/>
  <c r="B5512" i="18"/>
  <c r="C5512" i="18"/>
  <c r="D5512" i="18"/>
  <c r="E5512" i="18"/>
  <c r="F5512" i="18"/>
  <c r="G5512" i="18"/>
  <c r="H5512" i="18"/>
  <c r="I5512" i="18"/>
  <c r="J5512" i="18"/>
  <c r="K5512" i="18"/>
  <c r="L5512" i="18"/>
  <c r="B5513" i="18"/>
  <c r="C5513" i="18"/>
  <c r="D5513" i="18"/>
  <c r="E5513" i="18"/>
  <c r="F5513" i="18"/>
  <c r="G5513" i="18"/>
  <c r="H5513" i="18"/>
  <c r="I5513" i="18"/>
  <c r="J5513" i="18"/>
  <c r="K5513" i="18"/>
  <c r="L5513" i="18"/>
  <c r="B5514" i="18"/>
  <c r="C5514" i="18"/>
  <c r="D5514" i="18"/>
  <c r="E5514" i="18"/>
  <c r="F5514" i="18"/>
  <c r="G5514" i="18"/>
  <c r="H5514" i="18"/>
  <c r="I5514" i="18"/>
  <c r="J5514" i="18"/>
  <c r="K5514" i="18"/>
  <c r="L5514" i="18"/>
  <c r="B5515" i="18"/>
  <c r="C5515" i="18"/>
  <c r="D5515" i="18"/>
  <c r="E5515" i="18"/>
  <c r="F5515" i="18"/>
  <c r="G5515" i="18"/>
  <c r="H5515" i="18"/>
  <c r="I5515" i="18"/>
  <c r="J5515" i="18"/>
  <c r="K5515" i="18"/>
  <c r="L5515" i="18"/>
  <c r="B5516" i="18"/>
  <c r="C5516" i="18"/>
  <c r="D5516" i="18"/>
  <c r="E5516" i="18"/>
  <c r="F5516" i="18"/>
  <c r="G5516" i="18"/>
  <c r="H5516" i="18"/>
  <c r="I5516" i="18"/>
  <c r="J5516" i="18"/>
  <c r="K5516" i="18"/>
  <c r="L5516" i="18"/>
  <c r="B5517" i="18"/>
  <c r="C5517" i="18"/>
  <c r="D5517" i="18"/>
  <c r="E5517" i="18"/>
  <c r="F5517" i="18"/>
  <c r="G5517" i="18"/>
  <c r="H5517" i="18"/>
  <c r="I5517" i="18"/>
  <c r="J5517" i="18"/>
  <c r="K5517" i="18"/>
  <c r="L5517" i="18"/>
  <c r="B5518" i="18"/>
  <c r="C5518" i="18"/>
  <c r="D5518" i="18"/>
  <c r="E5518" i="18"/>
  <c r="F5518" i="18"/>
  <c r="G5518" i="18"/>
  <c r="H5518" i="18"/>
  <c r="I5518" i="18"/>
  <c r="J5518" i="18"/>
  <c r="K5518" i="18"/>
  <c r="L5518" i="18"/>
  <c r="B5519" i="18"/>
  <c r="C5519" i="18"/>
  <c r="D5519" i="18"/>
  <c r="E5519" i="18"/>
  <c r="F5519" i="18"/>
  <c r="G5519" i="18"/>
  <c r="H5519" i="18"/>
  <c r="I5519" i="18"/>
  <c r="J5519" i="18"/>
  <c r="K5519" i="18"/>
  <c r="L5519" i="18"/>
  <c r="B5520" i="18"/>
  <c r="C5520" i="18"/>
  <c r="D5520" i="18"/>
  <c r="E5520" i="18"/>
  <c r="F5520" i="18"/>
  <c r="G5520" i="18"/>
  <c r="H5520" i="18"/>
  <c r="I5520" i="18"/>
  <c r="J5520" i="18"/>
  <c r="K5520" i="18"/>
  <c r="L5520" i="18"/>
  <c r="B5521" i="18"/>
  <c r="C5521" i="18"/>
  <c r="D5521" i="18"/>
  <c r="E5521" i="18"/>
  <c r="F5521" i="18"/>
  <c r="G5521" i="18"/>
  <c r="H5521" i="18"/>
  <c r="I5521" i="18"/>
  <c r="J5521" i="18"/>
  <c r="K5521" i="18"/>
  <c r="L5521" i="18"/>
  <c r="B5522" i="18"/>
  <c r="C5522" i="18"/>
  <c r="D5522" i="18"/>
  <c r="E5522" i="18"/>
  <c r="F5522" i="18"/>
  <c r="G5522" i="18"/>
  <c r="H5522" i="18"/>
  <c r="I5522" i="18"/>
  <c r="J5522" i="18"/>
  <c r="K5522" i="18"/>
  <c r="L5522" i="18"/>
  <c r="B5523" i="18"/>
  <c r="C5523" i="18"/>
  <c r="D5523" i="18"/>
  <c r="E5523" i="18"/>
  <c r="F5523" i="18"/>
  <c r="G5523" i="18"/>
  <c r="H5523" i="18"/>
  <c r="I5523" i="18"/>
  <c r="J5523" i="18"/>
  <c r="K5523" i="18"/>
  <c r="L5523" i="18"/>
  <c r="B5524" i="18"/>
  <c r="C5524" i="18"/>
  <c r="D5524" i="18"/>
  <c r="E5524" i="18"/>
  <c r="F5524" i="18"/>
  <c r="G5524" i="18"/>
  <c r="H5524" i="18"/>
  <c r="I5524" i="18"/>
  <c r="J5524" i="18"/>
  <c r="K5524" i="18"/>
  <c r="L5524" i="18"/>
  <c r="B5525" i="18"/>
  <c r="C5525" i="18"/>
  <c r="D5525" i="18"/>
  <c r="E5525" i="18"/>
  <c r="F5525" i="18"/>
  <c r="G5525" i="18"/>
  <c r="H5525" i="18"/>
  <c r="I5525" i="18"/>
  <c r="J5525" i="18"/>
  <c r="K5525" i="18"/>
  <c r="L5525" i="18"/>
  <c r="B5526" i="18"/>
  <c r="C5526" i="18"/>
  <c r="D5526" i="18"/>
  <c r="E5526" i="18"/>
  <c r="F5526" i="18"/>
  <c r="G5526" i="18"/>
  <c r="H5526" i="18"/>
  <c r="I5526" i="18"/>
  <c r="J5526" i="18"/>
  <c r="K5526" i="18"/>
  <c r="L5526" i="18"/>
  <c r="B5527" i="18"/>
  <c r="C5527" i="18"/>
  <c r="D5527" i="18"/>
  <c r="E5527" i="18"/>
  <c r="F5527" i="18"/>
  <c r="G5527" i="18"/>
  <c r="H5527" i="18"/>
  <c r="I5527" i="18"/>
  <c r="J5527" i="18"/>
  <c r="K5527" i="18"/>
  <c r="L5527" i="18"/>
  <c r="B5528" i="18"/>
  <c r="C5528" i="18"/>
  <c r="D5528" i="18"/>
  <c r="E5528" i="18"/>
  <c r="F5528" i="18"/>
  <c r="G5528" i="18"/>
  <c r="H5528" i="18"/>
  <c r="I5528" i="18"/>
  <c r="J5528" i="18"/>
  <c r="K5528" i="18"/>
  <c r="L5528" i="18"/>
  <c r="B5529" i="18"/>
  <c r="C5529" i="18"/>
  <c r="D5529" i="18"/>
  <c r="E5529" i="18"/>
  <c r="F5529" i="18"/>
  <c r="G5529" i="18"/>
  <c r="H5529" i="18"/>
  <c r="I5529" i="18"/>
  <c r="J5529" i="18"/>
  <c r="K5529" i="18"/>
  <c r="L5529" i="18"/>
  <c r="B5530" i="18"/>
  <c r="C5530" i="18"/>
  <c r="D5530" i="18"/>
  <c r="E5530" i="18"/>
  <c r="F5530" i="18"/>
  <c r="G5530" i="18"/>
  <c r="H5530" i="18"/>
  <c r="I5530" i="18"/>
  <c r="J5530" i="18"/>
  <c r="K5530" i="18"/>
  <c r="L5530" i="18"/>
  <c r="B5531" i="18"/>
  <c r="C5531" i="18"/>
  <c r="D5531" i="18"/>
  <c r="E5531" i="18"/>
  <c r="F5531" i="18"/>
  <c r="G5531" i="18"/>
  <c r="H5531" i="18"/>
  <c r="I5531" i="18"/>
  <c r="J5531" i="18"/>
  <c r="K5531" i="18"/>
  <c r="L5531" i="18"/>
  <c r="B5532" i="18"/>
  <c r="C5532" i="18"/>
  <c r="D5532" i="18"/>
  <c r="E5532" i="18"/>
  <c r="F5532" i="18"/>
  <c r="G5532" i="18"/>
  <c r="H5532" i="18"/>
  <c r="I5532" i="18"/>
  <c r="J5532" i="18"/>
  <c r="K5532" i="18"/>
  <c r="L5532" i="18"/>
  <c r="B5533" i="18"/>
  <c r="C5533" i="18"/>
  <c r="D5533" i="18"/>
  <c r="E5533" i="18"/>
  <c r="F5533" i="18"/>
  <c r="G5533" i="18"/>
  <c r="H5533" i="18"/>
  <c r="I5533" i="18"/>
  <c r="J5533" i="18"/>
  <c r="K5533" i="18"/>
  <c r="L5533" i="18"/>
  <c r="B5534" i="18"/>
  <c r="C5534" i="18"/>
  <c r="D5534" i="18"/>
  <c r="E5534" i="18"/>
  <c r="F5534" i="18"/>
  <c r="G5534" i="18"/>
  <c r="H5534" i="18"/>
  <c r="I5534" i="18"/>
  <c r="J5534" i="18"/>
  <c r="K5534" i="18"/>
  <c r="L5534" i="18"/>
  <c r="B5535" i="18"/>
  <c r="C5535" i="18"/>
  <c r="D5535" i="18"/>
  <c r="E5535" i="18"/>
  <c r="F5535" i="18"/>
  <c r="G5535" i="18"/>
  <c r="H5535" i="18"/>
  <c r="I5535" i="18"/>
  <c r="J5535" i="18"/>
  <c r="K5535" i="18"/>
  <c r="L5535" i="18"/>
  <c r="B5536" i="18"/>
  <c r="C5536" i="18"/>
  <c r="D5536" i="18"/>
  <c r="E5536" i="18"/>
  <c r="F5536" i="18"/>
  <c r="G5536" i="18"/>
  <c r="H5536" i="18"/>
  <c r="I5536" i="18"/>
  <c r="J5536" i="18"/>
  <c r="K5536" i="18"/>
  <c r="L5536" i="18"/>
  <c r="B5537" i="18"/>
  <c r="C5537" i="18"/>
  <c r="D5537" i="18"/>
  <c r="E5537" i="18"/>
  <c r="F5537" i="18"/>
  <c r="G5537" i="18"/>
  <c r="H5537" i="18"/>
  <c r="I5537" i="18"/>
  <c r="J5537" i="18"/>
  <c r="K5537" i="18"/>
  <c r="L5537" i="18"/>
  <c r="B5538" i="18"/>
  <c r="C5538" i="18"/>
  <c r="D5538" i="18"/>
  <c r="E5538" i="18"/>
  <c r="F5538" i="18"/>
  <c r="G5538" i="18"/>
  <c r="H5538" i="18"/>
  <c r="I5538" i="18"/>
  <c r="J5538" i="18"/>
  <c r="K5538" i="18"/>
  <c r="L5538" i="18"/>
  <c r="B5539" i="18"/>
  <c r="C5539" i="18"/>
  <c r="D5539" i="18"/>
  <c r="E5539" i="18"/>
  <c r="F5539" i="18"/>
  <c r="G5539" i="18"/>
  <c r="H5539" i="18"/>
  <c r="I5539" i="18"/>
  <c r="J5539" i="18"/>
  <c r="K5539" i="18"/>
  <c r="L5539" i="18"/>
  <c r="B5540" i="18"/>
  <c r="C5540" i="18"/>
  <c r="D5540" i="18"/>
  <c r="E5540" i="18"/>
  <c r="F5540" i="18"/>
  <c r="G5540" i="18"/>
  <c r="H5540" i="18"/>
  <c r="I5540" i="18"/>
  <c r="J5540" i="18"/>
  <c r="K5540" i="18"/>
  <c r="L5540" i="18"/>
  <c r="B5541" i="18"/>
  <c r="C5541" i="18"/>
  <c r="D5541" i="18"/>
  <c r="E5541" i="18"/>
  <c r="F5541" i="18"/>
  <c r="G5541" i="18"/>
  <c r="H5541" i="18"/>
  <c r="I5541" i="18"/>
  <c r="J5541" i="18"/>
  <c r="K5541" i="18"/>
  <c r="L5541" i="18"/>
  <c r="B5542" i="18"/>
  <c r="C5542" i="18"/>
  <c r="D5542" i="18"/>
  <c r="E5542" i="18"/>
  <c r="F5542" i="18"/>
  <c r="G5542" i="18"/>
  <c r="H5542" i="18"/>
  <c r="I5542" i="18"/>
  <c r="J5542" i="18"/>
  <c r="K5542" i="18"/>
  <c r="L5542" i="18"/>
  <c r="B5543" i="18"/>
  <c r="C5543" i="18"/>
  <c r="D5543" i="18"/>
  <c r="E5543" i="18"/>
  <c r="F5543" i="18"/>
  <c r="G5543" i="18"/>
  <c r="H5543" i="18"/>
  <c r="I5543" i="18"/>
  <c r="J5543" i="18"/>
  <c r="K5543" i="18"/>
  <c r="L5543" i="18"/>
  <c r="B5544" i="18"/>
  <c r="C5544" i="18"/>
  <c r="D5544" i="18"/>
  <c r="E5544" i="18"/>
  <c r="F5544" i="18"/>
  <c r="G5544" i="18"/>
  <c r="H5544" i="18"/>
  <c r="I5544" i="18"/>
  <c r="J5544" i="18"/>
  <c r="K5544" i="18"/>
  <c r="L5544" i="18"/>
  <c r="B5545" i="18"/>
  <c r="C5545" i="18"/>
  <c r="D5545" i="18"/>
  <c r="E5545" i="18"/>
  <c r="F5545" i="18"/>
  <c r="G5545" i="18"/>
  <c r="H5545" i="18"/>
  <c r="I5545" i="18"/>
  <c r="J5545" i="18"/>
  <c r="K5545" i="18"/>
  <c r="L5545" i="18"/>
  <c r="B5546" i="18"/>
  <c r="C5546" i="18"/>
  <c r="D5546" i="18"/>
  <c r="E5546" i="18"/>
  <c r="F5546" i="18"/>
  <c r="G5546" i="18"/>
  <c r="H5546" i="18"/>
  <c r="I5546" i="18"/>
  <c r="J5546" i="18"/>
  <c r="K5546" i="18"/>
  <c r="L5546" i="18"/>
  <c r="B5547" i="18"/>
  <c r="C5547" i="18"/>
  <c r="D5547" i="18"/>
  <c r="E5547" i="18"/>
  <c r="F5547" i="18"/>
  <c r="G5547" i="18"/>
  <c r="H5547" i="18"/>
  <c r="I5547" i="18"/>
  <c r="J5547" i="18"/>
  <c r="K5547" i="18"/>
  <c r="L5547" i="18"/>
  <c r="B5548" i="18"/>
  <c r="C5548" i="18"/>
  <c r="D5548" i="18"/>
  <c r="E5548" i="18"/>
  <c r="F5548" i="18"/>
  <c r="G5548" i="18"/>
  <c r="H5548" i="18"/>
  <c r="I5548" i="18"/>
  <c r="J5548" i="18"/>
  <c r="K5548" i="18"/>
  <c r="L5548" i="18"/>
  <c r="B5549" i="18"/>
  <c r="C5549" i="18"/>
  <c r="D5549" i="18"/>
  <c r="E5549" i="18"/>
  <c r="F5549" i="18"/>
  <c r="G5549" i="18"/>
  <c r="H5549" i="18"/>
  <c r="I5549" i="18"/>
  <c r="J5549" i="18"/>
  <c r="K5549" i="18"/>
  <c r="L5549" i="18"/>
  <c r="B5550" i="18"/>
  <c r="C5550" i="18"/>
  <c r="D5550" i="18"/>
  <c r="E5550" i="18"/>
  <c r="F5550" i="18"/>
  <c r="G5550" i="18"/>
  <c r="H5550" i="18"/>
  <c r="I5550" i="18"/>
  <c r="J5550" i="18"/>
  <c r="K5550" i="18"/>
  <c r="L5550" i="18"/>
  <c r="B5551" i="18"/>
  <c r="C5551" i="18"/>
  <c r="D5551" i="18"/>
  <c r="E5551" i="18"/>
  <c r="F5551" i="18"/>
  <c r="G5551" i="18"/>
  <c r="H5551" i="18"/>
  <c r="I5551" i="18"/>
  <c r="J5551" i="18"/>
  <c r="K5551" i="18"/>
  <c r="L5551" i="18"/>
  <c r="B5552" i="18"/>
  <c r="C5552" i="18"/>
  <c r="D5552" i="18"/>
  <c r="E5552" i="18"/>
  <c r="F5552" i="18"/>
  <c r="G5552" i="18"/>
  <c r="H5552" i="18"/>
  <c r="I5552" i="18"/>
  <c r="J5552" i="18"/>
  <c r="K5552" i="18"/>
  <c r="L5552" i="18"/>
  <c r="B5553" i="18"/>
  <c r="C5553" i="18"/>
  <c r="D5553" i="18"/>
  <c r="E5553" i="18"/>
  <c r="F5553" i="18"/>
  <c r="G5553" i="18"/>
  <c r="H5553" i="18"/>
  <c r="I5553" i="18"/>
  <c r="J5553" i="18"/>
  <c r="K5553" i="18"/>
  <c r="L5553" i="18"/>
  <c r="B5554" i="18"/>
  <c r="C5554" i="18"/>
  <c r="D5554" i="18"/>
  <c r="E5554" i="18"/>
  <c r="F5554" i="18"/>
  <c r="G5554" i="18"/>
  <c r="H5554" i="18"/>
  <c r="I5554" i="18"/>
  <c r="J5554" i="18"/>
  <c r="K5554" i="18"/>
  <c r="L5554" i="18"/>
  <c r="B5555" i="18"/>
  <c r="C5555" i="18"/>
  <c r="D5555" i="18"/>
  <c r="E5555" i="18"/>
  <c r="F5555" i="18"/>
  <c r="G5555" i="18"/>
  <c r="H5555" i="18"/>
  <c r="I5555" i="18"/>
  <c r="J5555" i="18"/>
  <c r="K5555" i="18"/>
  <c r="L5555" i="18"/>
  <c r="B5556" i="18"/>
  <c r="C5556" i="18"/>
  <c r="D5556" i="18"/>
  <c r="E5556" i="18"/>
  <c r="F5556" i="18"/>
  <c r="G5556" i="18"/>
  <c r="H5556" i="18"/>
  <c r="I5556" i="18"/>
  <c r="J5556" i="18"/>
  <c r="K5556" i="18"/>
  <c r="L5556" i="18"/>
  <c r="B5557" i="18"/>
  <c r="C5557" i="18"/>
  <c r="D5557" i="18"/>
  <c r="E5557" i="18"/>
  <c r="F5557" i="18"/>
  <c r="G5557" i="18"/>
  <c r="H5557" i="18"/>
  <c r="I5557" i="18"/>
  <c r="J5557" i="18"/>
  <c r="K5557" i="18"/>
  <c r="L5557" i="18"/>
  <c r="B5558" i="18"/>
  <c r="C5558" i="18"/>
  <c r="D5558" i="18"/>
  <c r="E5558" i="18"/>
  <c r="F5558" i="18"/>
  <c r="G5558" i="18"/>
  <c r="H5558" i="18"/>
  <c r="I5558" i="18"/>
  <c r="J5558" i="18"/>
  <c r="K5558" i="18"/>
  <c r="L5558" i="18"/>
  <c r="B5559" i="18"/>
  <c r="C5559" i="18"/>
  <c r="D5559" i="18"/>
  <c r="E5559" i="18"/>
  <c r="F5559" i="18"/>
  <c r="G5559" i="18"/>
  <c r="H5559" i="18"/>
  <c r="I5559" i="18"/>
  <c r="J5559" i="18"/>
  <c r="K5559" i="18"/>
  <c r="L5559" i="18"/>
  <c r="B5560" i="18"/>
  <c r="C5560" i="18"/>
  <c r="D5560" i="18"/>
  <c r="E5560" i="18"/>
  <c r="F5560" i="18"/>
  <c r="G5560" i="18"/>
  <c r="H5560" i="18"/>
  <c r="I5560" i="18"/>
  <c r="J5560" i="18"/>
  <c r="K5560" i="18"/>
  <c r="L5560" i="18"/>
  <c r="B5561" i="18"/>
  <c r="C5561" i="18"/>
  <c r="D5561" i="18"/>
  <c r="E5561" i="18"/>
  <c r="F5561" i="18"/>
  <c r="G5561" i="18"/>
  <c r="H5561" i="18"/>
  <c r="I5561" i="18"/>
  <c r="J5561" i="18"/>
  <c r="K5561" i="18"/>
  <c r="L5561" i="18"/>
  <c r="B5562" i="18"/>
  <c r="C5562" i="18"/>
  <c r="D5562" i="18"/>
  <c r="E5562" i="18"/>
  <c r="F5562" i="18"/>
  <c r="G5562" i="18"/>
  <c r="H5562" i="18"/>
  <c r="I5562" i="18"/>
  <c r="J5562" i="18"/>
  <c r="K5562" i="18"/>
  <c r="L5562" i="18"/>
  <c r="B5563" i="18"/>
  <c r="C5563" i="18"/>
  <c r="D5563" i="18"/>
  <c r="E5563" i="18"/>
  <c r="F5563" i="18"/>
  <c r="G5563" i="18"/>
  <c r="H5563" i="18"/>
  <c r="I5563" i="18"/>
  <c r="J5563" i="18"/>
  <c r="K5563" i="18"/>
  <c r="L5563" i="18"/>
  <c r="B5564" i="18"/>
  <c r="C5564" i="18"/>
  <c r="D5564" i="18"/>
  <c r="E5564" i="18"/>
  <c r="F5564" i="18"/>
  <c r="G5564" i="18"/>
  <c r="H5564" i="18"/>
  <c r="I5564" i="18"/>
  <c r="J5564" i="18"/>
  <c r="K5564" i="18"/>
  <c r="L5564" i="18"/>
  <c r="B5565" i="18"/>
  <c r="C5565" i="18"/>
  <c r="D5565" i="18"/>
  <c r="E5565" i="18"/>
  <c r="F5565" i="18"/>
  <c r="G5565" i="18"/>
  <c r="H5565" i="18"/>
  <c r="I5565" i="18"/>
  <c r="J5565" i="18"/>
  <c r="K5565" i="18"/>
  <c r="L5565" i="18"/>
  <c r="B5566" i="18"/>
  <c r="C5566" i="18"/>
  <c r="D5566" i="18"/>
  <c r="E5566" i="18"/>
  <c r="F5566" i="18"/>
  <c r="G5566" i="18"/>
  <c r="H5566" i="18"/>
  <c r="I5566" i="18"/>
  <c r="J5566" i="18"/>
  <c r="K5566" i="18"/>
  <c r="L5566" i="18"/>
  <c r="B5567" i="18"/>
  <c r="C5567" i="18"/>
  <c r="D5567" i="18"/>
  <c r="E5567" i="18"/>
  <c r="F5567" i="18"/>
  <c r="G5567" i="18"/>
  <c r="H5567" i="18"/>
  <c r="I5567" i="18"/>
  <c r="J5567" i="18"/>
  <c r="K5567" i="18"/>
  <c r="L5567" i="18"/>
  <c r="B5568" i="18"/>
  <c r="C5568" i="18"/>
  <c r="D5568" i="18"/>
  <c r="E5568" i="18"/>
  <c r="F5568" i="18"/>
  <c r="G5568" i="18"/>
  <c r="H5568" i="18"/>
  <c r="I5568" i="18"/>
  <c r="J5568" i="18"/>
  <c r="K5568" i="18"/>
  <c r="L5568" i="18"/>
  <c r="B5569" i="18"/>
  <c r="C5569" i="18"/>
  <c r="D5569" i="18"/>
  <c r="E5569" i="18"/>
  <c r="F5569" i="18"/>
  <c r="G5569" i="18"/>
  <c r="H5569" i="18"/>
  <c r="I5569" i="18"/>
  <c r="J5569" i="18"/>
  <c r="K5569" i="18"/>
  <c r="L5569" i="18"/>
  <c r="B5570" i="18"/>
  <c r="C5570" i="18"/>
  <c r="D5570" i="18"/>
  <c r="E5570" i="18"/>
  <c r="F5570" i="18"/>
  <c r="G5570" i="18"/>
  <c r="H5570" i="18"/>
  <c r="I5570" i="18"/>
  <c r="J5570" i="18"/>
  <c r="K5570" i="18"/>
  <c r="L5570" i="18"/>
  <c r="B5571" i="18"/>
  <c r="C5571" i="18"/>
  <c r="D5571" i="18"/>
  <c r="E5571" i="18"/>
  <c r="F5571" i="18"/>
  <c r="G5571" i="18"/>
  <c r="H5571" i="18"/>
  <c r="I5571" i="18"/>
  <c r="J5571" i="18"/>
  <c r="K5571" i="18"/>
  <c r="L5571" i="18"/>
  <c r="B5572" i="18"/>
  <c r="C5572" i="18"/>
  <c r="D5572" i="18"/>
  <c r="E5572" i="18"/>
  <c r="F5572" i="18"/>
  <c r="G5572" i="18"/>
  <c r="H5572" i="18"/>
  <c r="I5572" i="18"/>
  <c r="J5572" i="18"/>
  <c r="K5572" i="18"/>
  <c r="L5572" i="18"/>
  <c r="B5573" i="18"/>
  <c r="C5573" i="18"/>
  <c r="D5573" i="18"/>
  <c r="E5573" i="18"/>
  <c r="F5573" i="18"/>
  <c r="G5573" i="18"/>
  <c r="H5573" i="18"/>
  <c r="I5573" i="18"/>
  <c r="J5573" i="18"/>
  <c r="K5573" i="18"/>
  <c r="L5573" i="18"/>
  <c r="B5574" i="18"/>
  <c r="C5574" i="18"/>
  <c r="D5574" i="18"/>
  <c r="E5574" i="18"/>
  <c r="F5574" i="18"/>
  <c r="G5574" i="18"/>
  <c r="H5574" i="18"/>
  <c r="I5574" i="18"/>
  <c r="J5574" i="18"/>
  <c r="K5574" i="18"/>
  <c r="L5574" i="18"/>
  <c r="B5575" i="18"/>
  <c r="C5575" i="18"/>
  <c r="D5575" i="18"/>
  <c r="E5575" i="18"/>
  <c r="F5575" i="18"/>
  <c r="G5575" i="18"/>
  <c r="H5575" i="18"/>
  <c r="I5575" i="18"/>
  <c r="J5575" i="18"/>
  <c r="K5575" i="18"/>
  <c r="L5575" i="18"/>
  <c r="B5576" i="18"/>
  <c r="C5576" i="18"/>
  <c r="D5576" i="18"/>
  <c r="E5576" i="18"/>
  <c r="F5576" i="18"/>
  <c r="G5576" i="18"/>
  <c r="H5576" i="18"/>
  <c r="I5576" i="18"/>
  <c r="J5576" i="18"/>
  <c r="K5576" i="18"/>
  <c r="L5576" i="18"/>
  <c r="B5577" i="18"/>
  <c r="C5577" i="18"/>
  <c r="D5577" i="18"/>
  <c r="E5577" i="18"/>
  <c r="F5577" i="18"/>
  <c r="G5577" i="18"/>
  <c r="H5577" i="18"/>
  <c r="I5577" i="18"/>
  <c r="J5577" i="18"/>
  <c r="K5577" i="18"/>
  <c r="L5577" i="18"/>
  <c r="B5578" i="18"/>
  <c r="C5578" i="18"/>
  <c r="D5578" i="18"/>
  <c r="E5578" i="18"/>
  <c r="F5578" i="18"/>
  <c r="G5578" i="18"/>
  <c r="H5578" i="18"/>
  <c r="I5578" i="18"/>
  <c r="J5578" i="18"/>
  <c r="K5578" i="18"/>
  <c r="L5578" i="18"/>
  <c r="B5579" i="18"/>
  <c r="C5579" i="18"/>
  <c r="D5579" i="18"/>
  <c r="E5579" i="18"/>
  <c r="F5579" i="18"/>
  <c r="G5579" i="18"/>
  <c r="H5579" i="18"/>
  <c r="I5579" i="18"/>
  <c r="J5579" i="18"/>
  <c r="K5579" i="18"/>
  <c r="L5579" i="18"/>
  <c r="B5580" i="18"/>
  <c r="C5580" i="18"/>
  <c r="D5580" i="18"/>
  <c r="E5580" i="18"/>
  <c r="F5580" i="18"/>
  <c r="G5580" i="18"/>
  <c r="H5580" i="18"/>
  <c r="I5580" i="18"/>
  <c r="J5580" i="18"/>
  <c r="K5580" i="18"/>
  <c r="L5580" i="18"/>
  <c r="B5581" i="18"/>
  <c r="C5581" i="18"/>
  <c r="D5581" i="18"/>
  <c r="E5581" i="18"/>
  <c r="F5581" i="18"/>
  <c r="G5581" i="18"/>
  <c r="H5581" i="18"/>
  <c r="I5581" i="18"/>
  <c r="J5581" i="18"/>
  <c r="K5581" i="18"/>
  <c r="L5581" i="18"/>
  <c r="B5582" i="18"/>
  <c r="C5582" i="18"/>
  <c r="D5582" i="18"/>
  <c r="E5582" i="18"/>
  <c r="F5582" i="18"/>
  <c r="G5582" i="18"/>
  <c r="H5582" i="18"/>
  <c r="I5582" i="18"/>
  <c r="J5582" i="18"/>
  <c r="K5582" i="18"/>
  <c r="L5582" i="18"/>
  <c r="B5583" i="18"/>
  <c r="C5583" i="18"/>
  <c r="D5583" i="18"/>
  <c r="E5583" i="18"/>
  <c r="F5583" i="18"/>
  <c r="G5583" i="18"/>
  <c r="H5583" i="18"/>
  <c r="I5583" i="18"/>
  <c r="J5583" i="18"/>
  <c r="K5583" i="18"/>
  <c r="L5583" i="18"/>
  <c r="B5584" i="18"/>
  <c r="C5584" i="18"/>
  <c r="D5584" i="18"/>
  <c r="E5584" i="18"/>
  <c r="F5584" i="18"/>
  <c r="G5584" i="18"/>
  <c r="H5584" i="18"/>
  <c r="I5584" i="18"/>
  <c r="J5584" i="18"/>
  <c r="K5584" i="18"/>
  <c r="L5584" i="18"/>
  <c r="B5585" i="18"/>
  <c r="C5585" i="18"/>
  <c r="D5585" i="18"/>
  <c r="E5585" i="18"/>
  <c r="F5585" i="18"/>
  <c r="G5585" i="18"/>
  <c r="H5585" i="18"/>
  <c r="I5585" i="18"/>
  <c r="J5585" i="18"/>
  <c r="K5585" i="18"/>
  <c r="L5585" i="18"/>
  <c r="B5586" i="18"/>
  <c r="C5586" i="18"/>
  <c r="D5586" i="18"/>
  <c r="E5586" i="18"/>
  <c r="F5586" i="18"/>
  <c r="G5586" i="18"/>
  <c r="H5586" i="18"/>
  <c r="I5586" i="18"/>
  <c r="J5586" i="18"/>
  <c r="K5586" i="18"/>
  <c r="L5586" i="18"/>
  <c r="B5587" i="18"/>
  <c r="C5587" i="18"/>
  <c r="D5587" i="18"/>
  <c r="E5587" i="18"/>
  <c r="F5587" i="18"/>
  <c r="G5587" i="18"/>
  <c r="H5587" i="18"/>
  <c r="I5587" i="18"/>
  <c r="J5587" i="18"/>
  <c r="K5587" i="18"/>
  <c r="L5587" i="18"/>
  <c r="B5588" i="18"/>
  <c r="C5588" i="18"/>
  <c r="D5588" i="18"/>
  <c r="E5588" i="18"/>
  <c r="F5588" i="18"/>
  <c r="G5588" i="18"/>
  <c r="H5588" i="18"/>
  <c r="I5588" i="18"/>
  <c r="J5588" i="18"/>
  <c r="K5588" i="18"/>
  <c r="L5588" i="18"/>
  <c r="B5589" i="18"/>
  <c r="C5589" i="18"/>
  <c r="D5589" i="18"/>
  <c r="E5589" i="18"/>
  <c r="F5589" i="18"/>
  <c r="G5589" i="18"/>
  <c r="H5589" i="18"/>
  <c r="I5589" i="18"/>
  <c r="J5589" i="18"/>
  <c r="K5589" i="18"/>
  <c r="L5589" i="18"/>
  <c r="B5590" i="18"/>
  <c r="C5590" i="18"/>
  <c r="D5590" i="18"/>
  <c r="E5590" i="18"/>
  <c r="F5590" i="18"/>
  <c r="G5590" i="18"/>
  <c r="H5590" i="18"/>
  <c r="I5590" i="18"/>
  <c r="J5590" i="18"/>
  <c r="K5590" i="18"/>
  <c r="L5590" i="18"/>
  <c r="B5591" i="18"/>
  <c r="C5591" i="18"/>
  <c r="D5591" i="18"/>
  <c r="E5591" i="18"/>
  <c r="F5591" i="18"/>
  <c r="G5591" i="18"/>
  <c r="H5591" i="18"/>
  <c r="I5591" i="18"/>
  <c r="J5591" i="18"/>
  <c r="K5591" i="18"/>
  <c r="L5591" i="18"/>
  <c r="B5592" i="18"/>
  <c r="C5592" i="18"/>
  <c r="D5592" i="18"/>
  <c r="E5592" i="18"/>
  <c r="F5592" i="18"/>
  <c r="G5592" i="18"/>
  <c r="H5592" i="18"/>
  <c r="I5592" i="18"/>
  <c r="J5592" i="18"/>
  <c r="K5592" i="18"/>
  <c r="L5592" i="18"/>
  <c r="B5593" i="18"/>
  <c r="C5593" i="18"/>
  <c r="D5593" i="18"/>
  <c r="E5593" i="18"/>
  <c r="F5593" i="18"/>
  <c r="G5593" i="18"/>
  <c r="H5593" i="18"/>
  <c r="I5593" i="18"/>
  <c r="J5593" i="18"/>
  <c r="K5593" i="18"/>
  <c r="L5593" i="18"/>
  <c r="B5594" i="18"/>
  <c r="C5594" i="18"/>
  <c r="D5594" i="18"/>
  <c r="E5594" i="18"/>
  <c r="F5594" i="18"/>
  <c r="G5594" i="18"/>
  <c r="H5594" i="18"/>
  <c r="I5594" i="18"/>
  <c r="J5594" i="18"/>
  <c r="K5594" i="18"/>
  <c r="L5594" i="18"/>
  <c r="B5595" i="18"/>
  <c r="C5595" i="18"/>
  <c r="D5595" i="18"/>
  <c r="E5595" i="18"/>
  <c r="F5595" i="18"/>
  <c r="G5595" i="18"/>
  <c r="H5595" i="18"/>
  <c r="I5595" i="18"/>
  <c r="J5595" i="18"/>
  <c r="K5595" i="18"/>
  <c r="L5595" i="18"/>
  <c r="B5596" i="18"/>
  <c r="C5596" i="18"/>
  <c r="D5596" i="18"/>
  <c r="E5596" i="18"/>
  <c r="F5596" i="18"/>
  <c r="G5596" i="18"/>
  <c r="H5596" i="18"/>
  <c r="I5596" i="18"/>
  <c r="J5596" i="18"/>
  <c r="K5596" i="18"/>
  <c r="L5596" i="18"/>
  <c r="B5597" i="18"/>
  <c r="C5597" i="18"/>
  <c r="D5597" i="18"/>
  <c r="E5597" i="18"/>
  <c r="F5597" i="18"/>
  <c r="G5597" i="18"/>
  <c r="H5597" i="18"/>
  <c r="I5597" i="18"/>
  <c r="J5597" i="18"/>
  <c r="K5597" i="18"/>
  <c r="L5597" i="18"/>
  <c r="B5598" i="18"/>
  <c r="C5598" i="18"/>
  <c r="D5598" i="18"/>
  <c r="E5598" i="18"/>
  <c r="F5598" i="18"/>
  <c r="G5598" i="18"/>
  <c r="H5598" i="18"/>
  <c r="I5598" i="18"/>
  <c r="J5598" i="18"/>
  <c r="K5598" i="18"/>
  <c r="L5598" i="18"/>
  <c r="B5599" i="18"/>
  <c r="C5599" i="18"/>
  <c r="D5599" i="18"/>
  <c r="E5599" i="18"/>
  <c r="F5599" i="18"/>
  <c r="G5599" i="18"/>
  <c r="H5599" i="18"/>
  <c r="I5599" i="18"/>
  <c r="J5599" i="18"/>
  <c r="K5599" i="18"/>
  <c r="L5599" i="18"/>
  <c r="B5600" i="18"/>
  <c r="C5600" i="18"/>
  <c r="D5600" i="18"/>
  <c r="E5600" i="18"/>
  <c r="F5600" i="18"/>
  <c r="G5600" i="18"/>
  <c r="H5600" i="18"/>
  <c r="I5600" i="18"/>
  <c r="J5600" i="18"/>
  <c r="K5600" i="18"/>
  <c r="L5600" i="18"/>
  <c r="B5601" i="18"/>
  <c r="C5601" i="18"/>
  <c r="D5601" i="18"/>
  <c r="E5601" i="18"/>
  <c r="F5601" i="18"/>
  <c r="G5601" i="18"/>
  <c r="H5601" i="18"/>
  <c r="I5601" i="18"/>
  <c r="J5601" i="18"/>
  <c r="K5601" i="18"/>
  <c r="L5601" i="18"/>
  <c r="B5602" i="18"/>
  <c r="C5602" i="18"/>
  <c r="D5602" i="18"/>
  <c r="E5602" i="18"/>
  <c r="F5602" i="18"/>
  <c r="G5602" i="18"/>
  <c r="H5602" i="18"/>
  <c r="I5602" i="18"/>
  <c r="J5602" i="18"/>
  <c r="K5602" i="18"/>
  <c r="L5602" i="18"/>
  <c r="B5603" i="18"/>
  <c r="C5603" i="18"/>
  <c r="D5603" i="18"/>
  <c r="E5603" i="18"/>
  <c r="F5603" i="18"/>
  <c r="G5603" i="18"/>
  <c r="H5603" i="18"/>
  <c r="I5603" i="18"/>
  <c r="J5603" i="18"/>
  <c r="K5603" i="18"/>
  <c r="L5603" i="18"/>
  <c r="B5604" i="18"/>
  <c r="C5604" i="18"/>
  <c r="D5604" i="18"/>
  <c r="E5604" i="18"/>
  <c r="F5604" i="18"/>
  <c r="G5604" i="18"/>
  <c r="H5604" i="18"/>
  <c r="I5604" i="18"/>
  <c r="J5604" i="18"/>
  <c r="K5604" i="18"/>
  <c r="L5604" i="18"/>
  <c r="B5605" i="18"/>
  <c r="C5605" i="18"/>
  <c r="D5605" i="18"/>
  <c r="E5605" i="18"/>
  <c r="F5605" i="18"/>
  <c r="G5605" i="18"/>
  <c r="H5605" i="18"/>
  <c r="I5605" i="18"/>
  <c r="J5605" i="18"/>
  <c r="K5605" i="18"/>
  <c r="L5605" i="18"/>
  <c r="B5606" i="18"/>
  <c r="C5606" i="18"/>
  <c r="D5606" i="18"/>
  <c r="E5606" i="18"/>
  <c r="F5606" i="18"/>
  <c r="G5606" i="18"/>
  <c r="H5606" i="18"/>
  <c r="I5606" i="18"/>
  <c r="J5606" i="18"/>
  <c r="K5606" i="18"/>
  <c r="L5606" i="18"/>
  <c r="B5607" i="18"/>
  <c r="C5607" i="18"/>
  <c r="D5607" i="18"/>
  <c r="E5607" i="18"/>
  <c r="F5607" i="18"/>
  <c r="G5607" i="18"/>
  <c r="H5607" i="18"/>
  <c r="I5607" i="18"/>
  <c r="J5607" i="18"/>
  <c r="K5607" i="18"/>
  <c r="L5607" i="18"/>
  <c r="B5608" i="18"/>
  <c r="C5608" i="18"/>
  <c r="D5608" i="18"/>
  <c r="E5608" i="18"/>
  <c r="F5608" i="18"/>
  <c r="G5608" i="18"/>
  <c r="H5608" i="18"/>
  <c r="I5608" i="18"/>
  <c r="J5608" i="18"/>
  <c r="K5608" i="18"/>
  <c r="L5608" i="18"/>
  <c r="B5609" i="18"/>
  <c r="C5609" i="18"/>
  <c r="D5609" i="18"/>
  <c r="E5609" i="18"/>
  <c r="F5609" i="18"/>
  <c r="G5609" i="18"/>
  <c r="H5609" i="18"/>
  <c r="I5609" i="18"/>
  <c r="J5609" i="18"/>
  <c r="K5609" i="18"/>
  <c r="L5609" i="18"/>
  <c r="B5610" i="18"/>
  <c r="C5610" i="18"/>
  <c r="D5610" i="18"/>
  <c r="E5610" i="18"/>
  <c r="F5610" i="18"/>
  <c r="G5610" i="18"/>
  <c r="H5610" i="18"/>
  <c r="I5610" i="18"/>
  <c r="J5610" i="18"/>
  <c r="K5610" i="18"/>
  <c r="L5610" i="18"/>
  <c r="B5611" i="18"/>
  <c r="C5611" i="18"/>
  <c r="D5611" i="18"/>
  <c r="E5611" i="18"/>
  <c r="F5611" i="18"/>
  <c r="G5611" i="18"/>
  <c r="H5611" i="18"/>
  <c r="I5611" i="18"/>
  <c r="J5611" i="18"/>
  <c r="K5611" i="18"/>
  <c r="L5611" i="18"/>
  <c r="B5612" i="18"/>
  <c r="C5612" i="18"/>
  <c r="D5612" i="18"/>
  <c r="E5612" i="18"/>
  <c r="F5612" i="18"/>
  <c r="G5612" i="18"/>
  <c r="H5612" i="18"/>
  <c r="I5612" i="18"/>
  <c r="J5612" i="18"/>
  <c r="K5612" i="18"/>
  <c r="L5612" i="18"/>
  <c r="B5613" i="18"/>
  <c r="C5613" i="18"/>
  <c r="D5613" i="18"/>
  <c r="E5613" i="18"/>
  <c r="F5613" i="18"/>
  <c r="G5613" i="18"/>
  <c r="H5613" i="18"/>
  <c r="I5613" i="18"/>
  <c r="J5613" i="18"/>
  <c r="K5613" i="18"/>
  <c r="L5613" i="18"/>
  <c r="B5614" i="18"/>
  <c r="C5614" i="18"/>
  <c r="D5614" i="18"/>
  <c r="E5614" i="18"/>
  <c r="F5614" i="18"/>
  <c r="G5614" i="18"/>
  <c r="H5614" i="18"/>
  <c r="I5614" i="18"/>
  <c r="J5614" i="18"/>
  <c r="K5614" i="18"/>
  <c r="L5614" i="18"/>
  <c r="B5615" i="18"/>
  <c r="C5615" i="18"/>
  <c r="D5615" i="18"/>
  <c r="E5615" i="18"/>
  <c r="F5615" i="18"/>
  <c r="G5615" i="18"/>
  <c r="H5615" i="18"/>
  <c r="I5615" i="18"/>
  <c r="J5615" i="18"/>
  <c r="K5615" i="18"/>
  <c r="L5615" i="18"/>
  <c r="B5616" i="18"/>
  <c r="C5616" i="18"/>
  <c r="D5616" i="18"/>
  <c r="E5616" i="18"/>
  <c r="F5616" i="18"/>
  <c r="G5616" i="18"/>
  <c r="H5616" i="18"/>
  <c r="I5616" i="18"/>
  <c r="J5616" i="18"/>
  <c r="K5616" i="18"/>
  <c r="L5616" i="18"/>
  <c r="B5617" i="18"/>
  <c r="C5617" i="18"/>
  <c r="D5617" i="18"/>
  <c r="E5617" i="18"/>
  <c r="F5617" i="18"/>
  <c r="G5617" i="18"/>
  <c r="H5617" i="18"/>
  <c r="I5617" i="18"/>
  <c r="J5617" i="18"/>
  <c r="K5617" i="18"/>
  <c r="L5617" i="18"/>
  <c r="B5618" i="18"/>
  <c r="C5618" i="18"/>
  <c r="D5618" i="18"/>
  <c r="E5618" i="18"/>
  <c r="F5618" i="18"/>
  <c r="G5618" i="18"/>
  <c r="H5618" i="18"/>
  <c r="I5618" i="18"/>
  <c r="J5618" i="18"/>
  <c r="K5618" i="18"/>
  <c r="L5618" i="18"/>
  <c r="B5619" i="18"/>
  <c r="C5619" i="18"/>
  <c r="D5619" i="18"/>
  <c r="E5619" i="18"/>
  <c r="F5619" i="18"/>
  <c r="G5619" i="18"/>
  <c r="H5619" i="18"/>
  <c r="I5619" i="18"/>
  <c r="J5619" i="18"/>
  <c r="K5619" i="18"/>
  <c r="L5619" i="18"/>
  <c r="B5620" i="18"/>
  <c r="C5620" i="18"/>
  <c r="D5620" i="18"/>
  <c r="E5620" i="18"/>
  <c r="F5620" i="18"/>
  <c r="G5620" i="18"/>
  <c r="H5620" i="18"/>
  <c r="I5620" i="18"/>
  <c r="J5620" i="18"/>
  <c r="K5620" i="18"/>
  <c r="L5620" i="18"/>
  <c r="B5621" i="18"/>
  <c r="C5621" i="18"/>
  <c r="D5621" i="18"/>
  <c r="E5621" i="18"/>
  <c r="F5621" i="18"/>
  <c r="G5621" i="18"/>
  <c r="H5621" i="18"/>
  <c r="I5621" i="18"/>
  <c r="J5621" i="18"/>
  <c r="K5621" i="18"/>
  <c r="L5621" i="18"/>
  <c r="B5622" i="18"/>
  <c r="C5622" i="18"/>
  <c r="D5622" i="18"/>
  <c r="E5622" i="18"/>
  <c r="F5622" i="18"/>
  <c r="G5622" i="18"/>
  <c r="H5622" i="18"/>
  <c r="I5622" i="18"/>
  <c r="J5622" i="18"/>
  <c r="K5622" i="18"/>
  <c r="L5622" i="18"/>
  <c r="B5623" i="18"/>
  <c r="C5623" i="18"/>
  <c r="D5623" i="18"/>
  <c r="E5623" i="18"/>
  <c r="F5623" i="18"/>
  <c r="G5623" i="18"/>
  <c r="H5623" i="18"/>
  <c r="I5623" i="18"/>
  <c r="J5623" i="18"/>
  <c r="K5623" i="18"/>
  <c r="L5623" i="18"/>
  <c r="B5624" i="18"/>
  <c r="C5624" i="18"/>
  <c r="D5624" i="18"/>
  <c r="E5624" i="18"/>
  <c r="F5624" i="18"/>
  <c r="G5624" i="18"/>
  <c r="H5624" i="18"/>
  <c r="I5624" i="18"/>
  <c r="J5624" i="18"/>
  <c r="K5624" i="18"/>
  <c r="L5624" i="18"/>
  <c r="B5625" i="18"/>
  <c r="C5625" i="18"/>
  <c r="D5625" i="18"/>
  <c r="E5625" i="18"/>
  <c r="F5625" i="18"/>
  <c r="G5625" i="18"/>
  <c r="H5625" i="18"/>
  <c r="I5625" i="18"/>
  <c r="J5625" i="18"/>
  <c r="K5625" i="18"/>
  <c r="L5625" i="18"/>
  <c r="B5626" i="18"/>
  <c r="C5626" i="18"/>
  <c r="D5626" i="18"/>
  <c r="E5626" i="18"/>
  <c r="F5626" i="18"/>
  <c r="G5626" i="18"/>
  <c r="H5626" i="18"/>
  <c r="I5626" i="18"/>
  <c r="J5626" i="18"/>
  <c r="K5626" i="18"/>
  <c r="L5626" i="18"/>
  <c r="B5627" i="18"/>
  <c r="C5627" i="18"/>
  <c r="D5627" i="18"/>
  <c r="E5627" i="18"/>
  <c r="F5627" i="18"/>
  <c r="G5627" i="18"/>
  <c r="H5627" i="18"/>
  <c r="I5627" i="18"/>
  <c r="J5627" i="18"/>
  <c r="K5627" i="18"/>
  <c r="L5627" i="18"/>
  <c r="B5628" i="18"/>
  <c r="C5628" i="18"/>
  <c r="D5628" i="18"/>
  <c r="E5628" i="18"/>
  <c r="F5628" i="18"/>
  <c r="G5628" i="18"/>
  <c r="H5628" i="18"/>
  <c r="I5628" i="18"/>
  <c r="J5628" i="18"/>
  <c r="K5628" i="18"/>
  <c r="L5628" i="18"/>
  <c r="B5629" i="18"/>
  <c r="C5629" i="18"/>
  <c r="D5629" i="18"/>
  <c r="E5629" i="18"/>
  <c r="F5629" i="18"/>
  <c r="G5629" i="18"/>
  <c r="H5629" i="18"/>
  <c r="I5629" i="18"/>
  <c r="J5629" i="18"/>
  <c r="K5629" i="18"/>
  <c r="L5629" i="18"/>
  <c r="B5630" i="18"/>
  <c r="C5630" i="18"/>
  <c r="D5630" i="18"/>
  <c r="E5630" i="18"/>
  <c r="F5630" i="18"/>
  <c r="G5630" i="18"/>
  <c r="H5630" i="18"/>
  <c r="I5630" i="18"/>
  <c r="J5630" i="18"/>
  <c r="K5630" i="18"/>
  <c r="L5630" i="18"/>
  <c r="B5631" i="18"/>
  <c r="C5631" i="18"/>
  <c r="D5631" i="18"/>
  <c r="E5631" i="18"/>
  <c r="F5631" i="18"/>
  <c r="G5631" i="18"/>
  <c r="H5631" i="18"/>
  <c r="I5631" i="18"/>
  <c r="J5631" i="18"/>
  <c r="K5631" i="18"/>
  <c r="L5631" i="18"/>
  <c r="B5632" i="18"/>
  <c r="C5632" i="18"/>
  <c r="D5632" i="18"/>
  <c r="E5632" i="18"/>
  <c r="F5632" i="18"/>
  <c r="G5632" i="18"/>
  <c r="H5632" i="18"/>
  <c r="I5632" i="18"/>
  <c r="J5632" i="18"/>
  <c r="K5632" i="18"/>
  <c r="L5632" i="18"/>
  <c r="B5633" i="18"/>
  <c r="C5633" i="18"/>
  <c r="D5633" i="18"/>
  <c r="E5633" i="18"/>
  <c r="F5633" i="18"/>
  <c r="G5633" i="18"/>
  <c r="H5633" i="18"/>
  <c r="I5633" i="18"/>
  <c r="J5633" i="18"/>
  <c r="K5633" i="18"/>
  <c r="L5633" i="18"/>
  <c r="B5634" i="18"/>
  <c r="C5634" i="18"/>
  <c r="D5634" i="18"/>
  <c r="E5634" i="18"/>
  <c r="F5634" i="18"/>
  <c r="G5634" i="18"/>
  <c r="H5634" i="18"/>
  <c r="I5634" i="18"/>
  <c r="J5634" i="18"/>
  <c r="K5634" i="18"/>
  <c r="L5634" i="18"/>
  <c r="B5635" i="18"/>
  <c r="C5635" i="18"/>
  <c r="D5635" i="18"/>
  <c r="E5635" i="18"/>
  <c r="F5635" i="18"/>
  <c r="G5635" i="18"/>
  <c r="H5635" i="18"/>
  <c r="I5635" i="18"/>
  <c r="J5635" i="18"/>
  <c r="K5635" i="18"/>
  <c r="L5635" i="18"/>
  <c r="B5636" i="18"/>
  <c r="C5636" i="18"/>
  <c r="D5636" i="18"/>
  <c r="E5636" i="18"/>
  <c r="F5636" i="18"/>
  <c r="G5636" i="18"/>
  <c r="H5636" i="18"/>
  <c r="I5636" i="18"/>
  <c r="J5636" i="18"/>
  <c r="K5636" i="18"/>
  <c r="L5636" i="18"/>
  <c r="B5637" i="18"/>
  <c r="C5637" i="18"/>
  <c r="D5637" i="18"/>
  <c r="E5637" i="18"/>
  <c r="F5637" i="18"/>
  <c r="G5637" i="18"/>
  <c r="H5637" i="18"/>
  <c r="I5637" i="18"/>
  <c r="J5637" i="18"/>
  <c r="K5637" i="18"/>
  <c r="L5637" i="18"/>
  <c r="B5638" i="18"/>
  <c r="C5638" i="18"/>
  <c r="D5638" i="18"/>
  <c r="E5638" i="18"/>
  <c r="F5638" i="18"/>
  <c r="G5638" i="18"/>
  <c r="H5638" i="18"/>
  <c r="I5638" i="18"/>
  <c r="J5638" i="18"/>
  <c r="K5638" i="18"/>
  <c r="L5638" i="18"/>
  <c r="B5639" i="18"/>
  <c r="C5639" i="18"/>
  <c r="D5639" i="18"/>
  <c r="E5639" i="18"/>
  <c r="F5639" i="18"/>
  <c r="G5639" i="18"/>
  <c r="H5639" i="18"/>
  <c r="I5639" i="18"/>
  <c r="J5639" i="18"/>
  <c r="K5639" i="18"/>
  <c r="L5639" i="18"/>
  <c r="B5640" i="18"/>
  <c r="C5640" i="18"/>
  <c r="D5640" i="18"/>
  <c r="E5640" i="18"/>
  <c r="F5640" i="18"/>
  <c r="G5640" i="18"/>
  <c r="H5640" i="18"/>
  <c r="I5640" i="18"/>
  <c r="J5640" i="18"/>
  <c r="K5640" i="18"/>
  <c r="L5640" i="18"/>
  <c r="B5641" i="18"/>
  <c r="C5641" i="18"/>
  <c r="D5641" i="18"/>
  <c r="E5641" i="18"/>
  <c r="F5641" i="18"/>
  <c r="G5641" i="18"/>
  <c r="H5641" i="18"/>
  <c r="I5641" i="18"/>
  <c r="J5641" i="18"/>
  <c r="K5641" i="18"/>
  <c r="L5641" i="18"/>
  <c r="B5642" i="18"/>
  <c r="C5642" i="18"/>
  <c r="D5642" i="18"/>
  <c r="E5642" i="18"/>
  <c r="F5642" i="18"/>
  <c r="G5642" i="18"/>
  <c r="H5642" i="18"/>
  <c r="I5642" i="18"/>
  <c r="J5642" i="18"/>
  <c r="K5642" i="18"/>
  <c r="L5642" i="18"/>
  <c r="B5643" i="18"/>
  <c r="C5643" i="18"/>
  <c r="D5643" i="18"/>
  <c r="E5643" i="18"/>
  <c r="F5643" i="18"/>
  <c r="G5643" i="18"/>
  <c r="H5643" i="18"/>
  <c r="I5643" i="18"/>
  <c r="J5643" i="18"/>
  <c r="K5643" i="18"/>
  <c r="L5643" i="18"/>
  <c r="B5644" i="18"/>
  <c r="C5644" i="18"/>
  <c r="D5644" i="18"/>
  <c r="E5644" i="18"/>
  <c r="F5644" i="18"/>
  <c r="G5644" i="18"/>
  <c r="H5644" i="18"/>
  <c r="I5644" i="18"/>
  <c r="J5644" i="18"/>
  <c r="K5644" i="18"/>
  <c r="L5644" i="18"/>
  <c r="B5645" i="18"/>
  <c r="C5645" i="18"/>
  <c r="D5645" i="18"/>
  <c r="E5645" i="18"/>
  <c r="F5645" i="18"/>
  <c r="G5645" i="18"/>
  <c r="H5645" i="18"/>
  <c r="I5645" i="18"/>
  <c r="J5645" i="18"/>
  <c r="K5645" i="18"/>
  <c r="L5645" i="18"/>
  <c r="B5646" i="18"/>
  <c r="C5646" i="18"/>
  <c r="D5646" i="18"/>
  <c r="E5646" i="18"/>
  <c r="F5646" i="18"/>
  <c r="G5646" i="18"/>
  <c r="H5646" i="18"/>
  <c r="I5646" i="18"/>
  <c r="J5646" i="18"/>
  <c r="K5646" i="18"/>
  <c r="L5646" i="18"/>
  <c r="B5647" i="18"/>
  <c r="C5647" i="18"/>
  <c r="D5647" i="18"/>
  <c r="E5647" i="18"/>
  <c r="F5647" i="18"/>
  <c r="G5647" i="18"/>
  <c r="H5647" i="18"/>
  <c r="I5647" i="18"/>
  <c r="J5647" i="18"/>
  <c r="K5647" i="18"/>
  <c r="L5647" i="18"/>
  <c r="B5648" i="18"/>
  <c r="C5648" i="18"/>
  <c r="D5648" i="18"/>
  <c r="E5648" i="18"/>
  <c r="F5648" i="18"/>
  <c r="G5648" i="18"/>
  <c r="H5648" i="18"/>
  <c r="I5648" i="18"/>
  <c r="J5648" i="18"/>
  <c r="K5648" i="18"/>
  <c r="L5648" i="18"/>
  <c r="B5649" i="18"/>
  <c r="C5649" i="18"/>
  <c r="D5649" i="18"/>
  <c r="E5649" i="18"/>
  <c r="F5649" i="18"/>
  <c r="G5649" i="18"/>
  <c r="H5649" i="18"/>
  <c r="I5649" i="18"/>
  <c r="J5649" i="18"/>
  <c r="K5649" i="18"/>
  <c r="L5649" i="18"/>
  <c r="B5650" i="18"/>
  <c r="C5650" i="18"/>
  <c r="D5650" i="18"/>
  <c r="E5650" i="18"/>
  <c r="F5650" i="18"/>
  <c r="G5650" i="18"/>
  <c r="H5650" i="18"/>
  <c r="I5650" i="18"/>
  <c r="J5650" i="18"/>
  <c r="K5650" i="18"/>
  <c r="L5650" i="18"/>
  <c r="B5651" i="18"/>
  <c r="C5651" i="18"/>
  <c r="D5651" i="18"/>
  <c r="E5651" i="18"/>
  <c r="F5651" i="18"/>
  <c r="G5651" i="18"/>
  <c r="H5651" i="18"/>
  <c r="I5651" i="18"/>
  <c r="J5651" i="18"/>
  <c r="K5651" i="18"/>
  <c r="L5651" i="18"/>
  <c r="B5652" i="18"/>
  <c r="C5652" i="18"/>
  <c r="D5652" i="18"/>
  <c r="E5652" i="18"/>
  <c r="F5652" i="18"/>
  <c r="G5652" i="18"/>
  <c r="H5652" i="18"/>
  <c r="I5652" i="18"/>
  <c r="J5652" i="18"/>
  <c r="K5652" i="18"/>
  <c r="L5652" i="18"/>
  <c r="B5653" i="18"/>
  <c r="C5653" i="18"/>
  <c r="D5653" i="18"/>
  <c r="E5653" i="18"/>
  <c r="F5653" i="18"/>
  <c r="G5653" i="18"/>
  <c r="H5653" i="18"/>
  <c r="I5653" i="18"/>
  <c r="J5653" i="18"/>
  <c r="K5653" i="18"/>
  <c r="L5653" i="18"/>
  <c r="B5654" i="18"/>
  <c r="C5654" i="18"/>
  <c r="D5654" i="18"/>
  <c r="E5654" i="18"/>
  <c r="F5654" i="18"/>
  <c r="G5654" i="18"/>
  <c r="H5654" i="18"/>
  <c r="I5654" i="18"/>
  <c r="J5654" i="18"/>
  <c r="K5654" i="18"/>
  <c r="L5654" i="18"/>
  <c r="B5655" i="18"/>
  <c r="C5655" i="18"/>
  <c r="D5655" i="18"/>
  <c r="E5655" i="18"/>
  <c r="F5655" i="18"/>
  <c r="G5655" i="18"/>
  <c r="H5655" i="18"/>
  <c r="I5655" i="18"/>
  <c r="J5655" i="18"/>
  <c r="K5655" i="18"/>
  <c r="L5655" i="18"/>
  <c r="B5656" i="18"/>
  <c r="C5656" i="18"/>
  <c r="D5656" i="18"/>
  <c r="E5656" i="18"/>
  <c r="F5656" i="18"/>
  <c r="G5656" i="18"/>
  <c r="H5656" i="18"/>
  <c r="I5656" i="18"/>
  <c r="J5656" i="18"/>
  <c r="K5656" i="18"/>
  <c r="L5656" i="18"/>
  <c r="B5657" i="18"/>
  <c r="C5657" i="18"/>
  <c r="D5657" i="18"/>
  <c r="E5657" i="18"/>
  <c r="F5657" i="18"/>
  <c r="G5657" i="18"/>
  <c r="H5657" i="18"/>
  <c r="I5657" i="18"/>
  <c r="J5657" i="18"/>
  <c r="K5657" i="18"/>
  <c r="L5657" i="18"/>
  <c r="B5658" i="18"/>
  <c r="C5658" i="18"/>
  <c r="D5658" i="18"/>
  <c r="E5658" i="18"/>
  <c r="F5658" i="18"/>
  <c r="G5658" i="18"/>
  <c r="H5658" i="18"/>
  <c r="I5658" i="18"/>
  <c r="J5658" i="18"/>
  <c r="K5658" i="18"/>
  <c r="L5658" i="18"/>
  <c r="B5659" i="18"/>
  <c r="C5659" i="18"/>
  <c r="D5659" i="18"/>
  <c r="E5659" i="18"/>
  <c r="F5659" i="18"/>
  <c r="G5659" i="18"/>
  <c r="H5659" i="18"/>
  <c r="I5659" i="18"/>
  <c r="J5659" i="18"/>
  <c r="K5659" i="18"/>
  <c r="L5659" i="18"/>
  <c r="B5660" i="18"/>
  <c r="C5660" i="18"/>
  <c r="D5660" i="18"/>
  <c r="E5660" i="18"/>
  <c r="F5660" i="18"/>
  <c r="G5660" i="18"/>
  <c r="H5660" i="18"/>
  <c r="I5660" i="18"/>
  <c r="J5660" i="18"/>
  <c r="K5660" i="18"/>
  <c r="L5660" i="18"/>
  <c r="B5661" i="18"/>
  <c r="C5661" i="18"/>
  <c r="D5661" i="18"/>
  <c r="E5661" i="18"/>
  <c r="F5661" i="18"/>
  <c r="G5661" i="18"/>
  <c r="H5661" i="18"/>
  <c r="I5661" i="18"/>
  <c r="J5661" i="18"/>
  <c r="K5661" i="18"/>
  <c r="L5661" i="18"/>
  <c r="B5662" i="18"/>
  <c r="C5662" i="18"/>
  <c r="D5662" i="18"/>
  <c r="E5662" i="18"/>
  <c r="F5662" i="18"/>
  <c r="G5662" i="18"/>
  <c r="H5662" i="18"/>
  <c r="I5662" i="18"/>
  <c r="J5662" i="18"/>
  <c r="K5662" i="18"/>
  <c r="L5662" i="18"/>
  <c r="B5663" i="18"/>
  <c r="C5663" i="18"/>
  <c r="D5663" i="18"/>
  <c r="E5663" i="18"/>
  <c r="F5663" i="18"/>
  <c r="G5663" i="18"/>
  <c r="H5663" i="18"/>
  <c r="I5663" i="18"/>
  <c r="J5663" i="18"/>
  <c r="K5663" i="18"/>
  <c r="L5663" i="18"/>
  <c r="B5664" i="18"/>
  <c r="C5664" i="18"/>
  <c r="D5664" i="18"/>
  <c r="E5664" i="18"/>
  <c r="F5664" i="18"/>
  <c r="G5664" i="18"/>
  <c r="H5664" i="18"/>
  <c r="I5664" i="18"/>
  <c r="J5664" i="18"/>
  <c r="K5664" i="18"/>
  <c r="L5664" i="18"/>
  <c r="B5665" i="18"/>
  <c r="C5665" i="18"/>
  <c r="D5665" i="18"/>
  <c r="E5665" i="18"/>
  <c r="F5665" i="18"/>
  <c r="G5665" i="18"/>
  <c r="H5665" i="18"/>
  <c r="I5665" i="18"/>
  <c r="J5665" i="18"/>
  <c r="K5665" i="18"/>
  <c r="L5665" i="18"/>
  <c r="B5666" i="18"/>
  <c r="C5666" i="18"/>
  <c r="D5666" i="18"/>
  <c r="E5666" i="18"/>
  <c r="F5666" i="18"/>
  <c r="G5666" i="18"/>
  <c r="H5666" i="18"/>
  <c r="I5666" i="18"/>
  <c r="J5666" i="18"/>
  <c r="K5666" i="18"/>
  <c r="L5666" i="18"/>
  <c r="B5667" i="18"/>
  <c r="C5667" i="18"/>
  <c r="D5667" i="18"/>
  <c r="E5667" i="18"/>
  <c r="F5667" i="18"/>
  <c r="G5667" i="18"/>
  <c r="H5667" i="18"/>
  <c r="I5667" i="18"/>
  <c r="J5667" i="18"/>
  <c r="K5667" i="18"/>
  <c r="L5667" i="18"/>
  <c r="B5668" i="18"/>
  <c r="C5668" i="18"/>
  <c r="D5668" i="18"/>
  <c r="E5668" i="18"/>
  <c r="F5668" i="18"/>
  <c r="G5668" i="18"/>
  <c r="H5668" i="18"/>
  <c r="I5668" i="18"/>
  <c r="J5668" i="18"/>
  <c r="K5668" i="18"/>
  <c r="L5668" i="18"/>
  <c r="B5669" i="18"/>
  <c r="C5669" i="18"/>
  <c r="D5669" i="18"/>
  <c r="E5669" i="18"/>
  <c r="F5669" i="18"/>
  <c r="G5669" i="18"/>
  <c r="H5669" i="18"/>
  <c r="I5669" i="18"/>
  <c r="J5669" i="18"/>
  <c r="K5669" i="18"/>
  <c r="L5669" i="18"/>
  <c r="B5670" i="18"/>
  <c r="C5670" i="18"/>
  <c r="D5670" i="18"/>
  <c r="E5670" i="18"/>
  <c r="F5670" i="18"/>
  <c r="G5670" i="18"/>
  <c r="H5670" i="18"/>
  <c r="I5670" i="18"/>
  <c r="J5670" i="18"/>
  <c r="K5670" i="18"/>
  <c r="L5670" i="18"/>
  <c r="B5671" i="18"/>
  <c r="C5671" i="18"/>
  <c r="D5671" i="18"/>
  <c r="E5671" i="18"/>
  <c r="F5671" i="18"/>
  <c r="G5671" i="18"/>
  <c r="H5671" i="18"/>
  <c r="I5671" i="18"/>
  <c r="J5671" i="18"/>
  <c r="K5671" i="18"/>
  <c r="L5671" i="18"/>
  <c r="B5672" i="18"/>
  <c r="C5672" i="18"/>
  <c r="D5672" i="18"/>
  <c r="E5672" i="18"/>
  <c r="F5672" i="18"/>
  <c r="G5672" i="18"/>
  <c r="H5672" i="18"/>
  <c r="I5672" i="18"/>
  <c r="J5672" i="18"/>
  <c r="K5672" i="18"/>
  <c r="L5672" i="18"/>
  <c r="B5673" i="18"/>
  <c r="C5673" i="18"/>
  <c r="D5673" i="18"/>
  <c r="E5673" i="18"/>
  <c r="F5673" i="18"/>
  <c r="G5673" i="18"/>
  <c r="H5673" i="18"/>
  <c r="I5673" i="18"/>
  <c r="J5673" i="18"/>
  <c r="K5673" i="18"/>
  <c r="L5673" i="18"/>
  <c r="B5674" i="18"/>
  <c r="C5674" i="18"/>
  <c r="D5674" i="18"/>
  <c r="E5674" i="18"/>
  <c r="F5674" i="18"/>
  <c r="G5674" i="18"/>
  <c r="H5674" i="18"/>
  <c r="I5674" i="18"/>
  <c r="J5674" i="18"/>
  <c r="K5674" i="18"/>
  <c r="L5674" i="18"/>
  <c r="B5675" i="18"/>
  <c r="C5675" i="18"/>
  <c r="D5675" i="18"/>
  <c r="E5675" i="18"/>
  <c r="F5675" i="18"/>
  <c r="G5675" i="18"/>
  <c r="H5675" i="18"/>
  <c r="I5675" i="18"/>
  <c r="J5675" i="18"/>
  <c r="K5675" i="18"/>
  <c r="L5675" i="18"/>
  <c r="B5676" i="18"/>
  <c r="C5676" i="18"/>
  <c r="D5676" i="18"/>
  <c r="E5676" i="18"/>
  <c r="F5676" i="18"/>
  <c r="G5676" i="18"/>
  <c r="H5676" i="18"/>
  <c r="I5676" i="18"/>
  <c r="J5676" i="18"/>
  <c r="K5676" i="18"/>
  <c r="L5676" i="18"/>
  <c r="B5677" i="18"/>
  <c r="C5677" i="18"/>
  <c r="D5677" i="18"/>
  <c r="E5677" i="18"/>
  <c r="F5677" i="18"/>
  <c r="G5677" i="18"/>
  <c r="H5677" i="18"/>
  <c r="I5677" i="18"/>
  <c r="J5677" i="18"/>
  <c r="K5677" i="18"/>
  <c r="L5677" i="18"/>
  <c r="B5678" i="18"/>
  <c r="C5678" i="18"/>
  <c r="D5678" i="18"/>
  <c r="E5678" i="18"/>
  <c r="F5678" i="18"/>
  <c r="G5678" i="18"/>
  <c r="H5678" i="18"/>
  <c r="I5678" i="18"/>
  <c r="J5678" i="18"/>
  <c r="K5678" i="18"/>
  <c r="L5678" i="18"/>
  <c r="B5679" i="18"/>
  <c r="C5679" i="18"/>
  <c r="D5679" i="18"/>
  <c r="E5679" i="18"/>
  <c r="F5679" i="18"/>
  <c r="G5679" i="18"/>
  <c r="H5679" i="18"/>
  <c r="I5679" i="18"/>
  <c r="J5679" i="18"/>
  <c r="K5679" i="18"/>
  <c r="L5679" i="18"/>
  <c r="B5680" i="18"/>
  <c r="C5680" i="18"/>
  <c r="D5680" i="18"/>
  <c r="E5680" i="18"/>
  <c r="F5680" i="18"/>
  <c r="G5680" i="18"/>
  <c r="H5680" i="18"/>
  <c r="I5680" i="18"/>
  <c r="J5680" i="18"/>
  <c r="K5680" i="18"/>
  <c r="L5680" i="18"/>
  <c r="B5681" i="18"/>
  <c r="C5681" i="18"/>
  <c r="D5681" i="18"/>
  <c r="E5681" i="18"/>
  <c r="F5681" i="18"/>
  <c r="G5681" i="18"/>
  <c r="H5681" i="18"/>
  <c r="I5681" i="18"/>
  <c r="J5681" i="18"/>
  <c r="K5681" i="18"/>
  <c r="L5681" i="18"/>
  <c r="B5682" i="18"/>
  <c r="C5682" i="18"/>
  <c r="D5682" i="18"/>
  <c r="E5682" i="18"/>
  <c r="F5682" i="18"/>
  <c r="G5682" i="18"/>
  <c r="H5682" i="18"/>
  <c r="I5682" i="18"/>
  <c r="J5682" i="18"/>
  <c r="K5682" i="18"/>
  <c r="L5682" i="18"/>
  <c r="B5683" i="18"/>
  <c r="C5683" i="18"/>
  <c r="D5683" i="18"/>
  <c r="E5683" i="18"/>
  <c r="F5683" i="18"/>
  <c r="G5683" i="18"/>
  <c r="H5683" i="18"/>
  <c r="I5683" i="18"/>
  <c r="J5683" i="18"/>
  <c r="K5683" i="18"/>
  <c r="L5683" i="18"/>
  <c r="B5684" i="18"/>
  <c r="C5684" i="18"/>
  <c r="D5684" i="18"/>
  <c r="E5684" i="18"/>
  <c r="F5684" i="18"/>
  <c r="G5684" i="18"/>
  <c r="H5684" i="18"/>
  <c r="I5684" i="18"/>
  <c r="J5684" i="18"/>
  <c r="K5684" i="18"/>
  <c r="L5684" i="18"/>
  <c r="B5685" i="18"/>
  <c r="C5685" i="18"/>
  <c r="D5685" i="18"/>
  <c r="E5685" i="18"/>
  <c r="F5685" i="18"/>
  <c r="G5685" i="18"/>
  <c r="H5685" i="18"/>
  <c r="I5685" i="18"/>
  <c r="J5685" i="18"/>
  <c r="K5685" i="18"/>
  <c r="L5685" i="18"/>
  <c r="B5686" i="18"/>
  <c r="C5686" i="18"/>
  <c r="D5686" i="18"/>
  <c r="E5686" i="18"/>
  <c r="F5686" i="18"/>
  <c r="G5686" i="18"/>
  <c r="H5686" i="18"/>
  <c r="I5686" i="18"/>
  <c r="J5686" i="18"/>
  <c r="K5686" i="18"/>
  <c r="L5686" i="18"/>
  <c r="B5687" i="18"/>
  <c r="C5687" i="18"/>
  <c r="D5687" i="18"/>
  <c r="E5687" i="18"/>
  <c r="F5687" i="18"/>
  <c r="G5687" i="18"/>
  <c r="H5687" i="18"/>
  <c r="I5687" i="18"/>
  <c r="J5687" i="18"/>
  <c r="K5687" i="18"/>
  <c r="L5687" i="18"/>
  <c r="B5688" i="18"/>
  <c r="C5688" i="18"/>
  <c r="D5688" i="18"/>
  <c r="E5688" i="18"/>
  <c r="F5688" i="18"/>
  <c r="G5688" i="18"/>
  <c r="H5688" i="18"/>
  <c r="I5688" i="18"/>
  <c r="J5688" i="18"/>
  <c r="K5688" i="18"/>
  <c r="L5688" i="18"/>
  <c r="B5689" i="18"/>
  <c r="C5689" i="18"/>
  <c r="D5689" i="18"/>
  <c r="E5689" i="18"/>
  <c r="F5689" i="18"/>
  <c r="G5689" i="18"/>
  <c r="H5689" i="18"/>
  <c r="I5689" i="18"/>
  <c r="J5689" i="18"/>
  <c r="K5689" i="18"/>
  <c r="L5689" i="18"/>
  <c r="B5690" i="18"/>
  <c r="C5690" i="18"/>
  <c r="D5690" i="18"/>
  <c r="E5690" i="18"/>
  <c r="F5690" i="18"/>
  <c r="G5690" i="18"/>
  <c r="H5690" i="18"/>
  <c r="I5690" i="18"/>
  <c r="J5690" i="18"/>
  <c r="K5690" i="18"/>
  <c r="L5690" i="18"/>
  <c r="B5691" i="18"/>
  <c r="C5691" i="18"/>
  <c r="D5691" i="18"/>
  <c r="E5691" i="18"/>
  <c r="F5691" i="18"/>
  <c r="G5691" i="18"/>
  <c r="H5691" i="18"/>
  <c r="I5691" i="18"/>
  <c r="J5691" i="18"/>
  <c r="K5691" i="18"/>
  <c r="L5691" i="18"/>
  <c r="B5692" i="18"/>
  <c r="C5692" i="18"/>
  <c r="D5692" i="18"/>
  <c r="E5692" i="18"/>
  <c r="F5692" i="18"/>
  <c r="G5692" i="18"/>
  <c r="H5692" i="18"/>
  <c r="I5692" i="18"/>
  <c r="J5692" i="18"/>
  <c r="K5692" i="18"/>
  <c r="L5692" i="18"/>
  <c r="B5693" i="18"/>
  <c r="C5693" i="18"/>
  <c r="D5693" i="18"/>
  <c r="E5693" i="18"/>
  <c r="F5693" i="18"/>
  <c r="G5693" i="18"/>
  <c r="H5693" i="18"/>
  <c r="I5693" i="18"/>
  <c r="J5693" i="18"/>
  <c r="K5693" i="18"/>
  <c r="L5693" i="18"/>
  <c r="B5694" i="18"/>
  <c r="C5694" i="18"/>
  <c r="D5694" i="18"/>
  <c r="E5694" i="18"/>
  <c r="F5694" i="18"/>
  <c r="G5694" i="18"/>
  <c r="H5694" i="18"/>
  <c r="I5694" i="18"/>
  <c r="J5694" i="18"/>
  <c r="K5694" i="18"/>
  <c r="L5694" i="18"/>
  <c r="B5695" i="18"/>
  <c r="C5695" i="18"/>
  <c r="D5695" i="18"/>
  <c r="E5695" i="18"/>
  <c r="F5695" i="18"/>
  <c r="G5695" i="18"/>
  <c r="H5695" i="18"/>
  <c r="I5695" i="18"/>
  <c r="J5695" i="18"/>
  <c r="K5695" i="18"/>
  <c r="L5695" i="18"/>
  <c r="B5696" i="18"/>
  <c r="C5696" i="18"/>
  <c r="D5696" i="18"/>
  <c r="E5696" i="18"/>
  <c r="F5696" i="18"/>
  <c r="G5696" i="18"/>
  <c r="H5696" i="18"/>
  <c r="I5696" i="18"/>
  <c r="J5696" i="18"/>
  <c r="K5696" i="18"/>
  <c r="L5696" i="18"/>
  <c r="B5697" i="18"/>
  <c r="C5697" i="18"/>
  <c r="D5697" i="18"/>
  <c r="E5697" i="18"/>
  <c r="F5697" i="18"/>
  <c r="G5697" i="18"/>
  <c r="H5697" i="18"/>
  <c r="I5697" i="18"/>
  <c r="J5697" i="18"/>
  <c r="K5697" i="18"/>
  <c r="L5697" i="18"/>
  <c r="B5698" i="18"/>
  <c r="C5698" i="18"/>
  <c r="D5698" i="18"/>
  <c r="E5698" i="18"/>
  <c r="F5698" i="18"/>
  <c r="G5698" i="18"/>
  <c r="H5698" i="18"/>
  <c r="I5698" i="18"/>
  <c r="J5698" i="18"/>
  <c r="K5698" i="18"/>
  <c r="L5698" i="18"/>
  <c r="B5699" i="18"/>
  <c r="C5699" i="18"/>
  <c r="D5699" i="18"/>
  <c r="E5699" i="18"/>
  <c r="F5699" i="18"/>
  <c r="G5699" i="18"/>
  <c r="H5699" i="18"/>
  <c r="I5699" i="18"/>
  <c r="J5699" i="18"/>
  <c r="K5699" i="18"/>
  <c r="L5699" i="18"/>
  <c r="B5700" i="18"/>
  <c r="C5700" i="18"/>
  <c r="D5700" i="18"/>
  <c r="E5700" i="18"/>
  <c r="F5700" i="18"/>
  <c r="G5700" i="18"/>
  <c r="H5700" i="18"/>
  <c r="I5700" i="18"/>
  <c r="J5700" i="18"/>
  <c r="K5700" i="18"/>
  <c r="L5700" i="18"/>
  <c r="B5701" i="18"/>
  <c r="C5701" i="18"/>
  <c r="D5701" i="18"/>
  <c r="E5701" i="18"/>
  <c r="F5701" i="18"/>
  <c r="G5701" i="18"/>
  <c r="H5701" i="18"/>
  <c r="I5701" i="18"/>
  <c r="J5701" i="18"/>
  <c r="K5701" i="18"/>
  <c r="L5701" i="18"/>
  <c r="B5702" i="18"/>
  <c r="C5702" i="18"/>
  <c r="D5702" i="18"/>
  <c r="E5702" i="18"/>
  <c r="F5702" i="18"/>
  <c r="G5702" i="18"/>
  <c r="H5702" i="18"/>
  <c r="I5702" i="18"/>
  <c r="J5702" i="18"/>
  <c r="K5702" i="18"/>
  <c r="L5702" i="18"/>
  <c r="B5703" i="18"/>
  <c r="C5703" i="18"/>
  <c r="D5703" i="18"/>
  <c r="E5703" i="18"/>
  <c r="F5703" i="18"/>
  <c r="G5703" i="18"/>
  <c r="H5703" i="18"/>
  <c r="I5703" i="18"/>
  <c r="J5703" i="18"/>
  <c r="K5703" i="18"/>
  <c r="L5703" i="18"/>
  <c r="B5704" i="18"/>
  <c r="C5704" i="18"/>
  <c r="D5704" i="18"/>
  <c r="E5704" i="18"/>
  <c r="F5704" i="18"/>
  <c r="G5704" i="18"/>
  <c r="H5704" i="18"/>
  <c r="I5704" i="18"/>
  <c r="J5704" i="18"/>
  <c r="K5704" i="18"/>
  <c r="L5704" i="18"/>
  <c r="B5705" i="18"/>
  <c r="C5705" i="18"/>
  <c r="D5705" i="18"/>
  <c r="E5705" i="18"/>
  <c r="F5705" i="18"/>
  <c r="G5705" i="18"/>
  <c r="H5705" i="18"/>
  <c r="I5705" i="18"/>
  <c r="J5705" i="18"/>
  <c r="K5705" i="18"/>
  <c r="L5705" i="18"/>
  <c r="B5706" i="18"/>
  <c r="C5706" i="18"/>
  <c r="D5706" i="18"/>
  <c r="E5706" i="18"/>
  <c r="F5706" i="18"/>
  <c r="G5706" i="18"/>
  <c r="H5706" i="18"/>
  <c r="I5706" i="18"/>
  <c r="J5706" i="18"/>
  <c r="K5706" i="18"/>
  <c r="L5706" i="18"/>
  <c r="B5707" i="18"/>
  <c r="C5707" i="18"/>
  <c r="D5707" i="18"/>
  <c r="E5707" i="18"/>
  <c r="F5707" i="18"/>
  <c r="G5707" i="18"/>
  <c r="H5707" i="18"/>
  <c r="I5707" i="18"/>
  <c r="J5707" i="18"/>
  <c r="K5707" i="18"/>
  <c r="L5707" i="18"/>
  <c r="B5708" i="18"/>
  <c r="C5708" i="18"/>
  <c r="D5708" i="18"/>
  <c r="E5708" i="18"/>
  <c r="F5708" i="18"/>
  <c r="G5708" i="18"/>
  <c r="H5708" i="18"/>
  <c r="I5708" i="18"/>
  <c r="J5708" i="18"/>
  <c r="K5708" i="18"/>
  <c r="L5708" i="18"/>
  <c r="B5709" i="18"/>
  <c r="C5709" i="18"/>
  <c r="D5709" i="18"/>
  <c r="E5709" i="18"/>
  <c r="F5709" i="18"/>
  <c r="G5709" i="18"/>
  <c r="H5709" i="18"/>
  <c r="I5709" i="18"/>
  <c r="J5709" i="18"/>
  <c r="K5709" i="18"/>
  <c r="L5709" i="18"/>
  <c r="B5710" i="18"/>
  <c r="C5710" i="18"/>
  <c r="D5710" i="18"/>
  <c r="E5710" i="18"/>
  <c r="F5710" i="18"/>
  <c r="G5710" i="18"/>
  <c r="H5710" i="18"/>
  <c r="I5710" i="18"/>
  <c r="J5710" i="18"/>
  <c r="K5710" i="18"/>
  <c r="L5710" i="18"/>
  <c r="B5711" i="18"/>
  <c r="C5711" i="18"/>
  <c r="D5711" i="18"/>
  <c r="E5711" i="18"/>
  <c r="F5711" i="18"/>
  <c r="G5711" i="18"/>
  <c r="H5711" i="18"/>
  <c r="I5711" i="18"/>
  <c r="J5711" i="18"/>
  <c r="K5711" i="18"/>
  <c r="L5711" i="18"/>
  <c r="B5712" i="18"/>
  <c r="C5712" i="18"/>
  <c r="D5712" i="18"/>
  <c r="E5712" i="18"/>
  <c r="F5712" i="18"/>
  <c r="G5712" i="18"/>
  <c r="H5712" i="18"/>
  <c r="I5712" i="18"/>
  <c r="J5712" i="18"/>
  <c r="K5712" i="18"/>
  <c r="L5712" i="18"/>
  <c r="B5713" i="18"/>
  <c r="C5713" i="18"/>
  <c r="D5713" i="18"/>
  <c r="E5713" i="18"/>
  <c r="F5713" i="18"/>
  <c r="G5713" i="18"/>
  <c r="H5713" i="18"/>
  <c r="I5713" i="18"/>
  <c r="J5713" i="18"/>
  <c r="K5713" i="18"/>
  <c r="L5713" i="18"/>
  <c r="B5714" i="18"/>
  <c r="C5714" i="18"/>
  <c r="D5714" i="18"/>
  <c r="E5714" i="18"/>
  <c r="F5714" i="18"/>
  <c r="G5714" i="18"/>
  <c r="H5714" i="18"/>
  <c r="I5714" i="18"/>
  <c r="J5714" i="18"/>
  <c r="K5714" i="18"/>
  <c r="L5714" i="18"/>
  <c r="B5715" i="18"/>
  <c r="C5715" i="18"/>
  <c r="D5715" i="18"/>
  <c r="E5715" i="18"/>
  <c r="F5715" i="18"/>
  <c r="G5715" i="18"/>
  <c r="H5715" i="18"/>
  <c r="I5715" i="18"/>
  <c r="J5715" i="18"/>
  <c r="K5715" i="18"/>
  <c r="L5715" i="18"/>
  <c r="B5716" i="18"/>
  <c r="C5716" i="18"/>
  <c r="D5716" i="18"/>
  <c r="E5716" i="18"/>
  <c r="F5716" i="18"/>
  <c r="G5716" i="18"/>
  <c r="H5716" i="18"/>
  <c r="I5716" i="18"/>
  <c r="J5716" i="18"/>
  <c r="K5716" i="18"/>
  <c r="L5716" i="18"/>
  <c r="B5717" i="18"/>
  <c r="C5717" i="18"/>
  <c r="D5717" i="18"/>
  <c r="E5717" i="18"/>
  <c r="F5717" i="18"/>
  <c r="G5717" i="18"/>
  <c r="H5717" i="18"/>
  <c r="I5717" i="18"/>
  <c r="J5717" i="18"/>
  <c r="K5717" i="18"/>
  <c r="L5717" i="18"/>
  <c r="B5718" i="18"/>
  <c r="C5718" i="18"/>
  <c r="D5718" i="18"/>
  <c r="E5718" i="18"/>
  <c r="F5718" i="18"/>
  <c r="G5718" i="18"/>
  <c r="H5718" i="18"/>
  <c r="I5718" i="18"/>
  <c r="J5718" i="18"/>
  <c r="K5718" i="18"/>
  <c r="L5718" i="18"/>
  <c r="B5719" i="18"/>
  <c r="C5719" i="18"/>
  <c r="D5719" i="18"/>
  <c r="E5719" i="18"/>
  <c r="F5719" i="18"/>
  <c r="G5719" i="18"/>
  <c r="H5719" i="18"/>
  <c r="I5719" i="18"/>
  <c r="J5719" i="18"/>
  <c r="K5719" i="18"/>
  <c r="L5719" i="18"/>
  <c r="B5720" i="18"/>
  <c r="C5720" i="18"/>
  <c r="D5720" i="18"/>
  <c r="E5720" i="18"/>
  <c r="F5720" i="18"/>
  <c r="G5720" i="18"/>
  <c r="H5720" i="18"/>
  <c r="I5720" i="18"/>
  <c r="J5720" i="18"/>
  <c r="K5720" i="18"/>
  <c r="L5720" i="18"/>
  <c r="B5721" i="18"/>
  <c r="C5721" i="18"/>
  <c r="D5721" i="18"/>
  <c r="E5721" i="18"/>
  <c r="F5721" i="18"/>
  <c r="G5721" i="18"/>
  <c r="H5721" i="18"/>
  <c r="I5721" i="18"/>
  <c r="J5721" i="18"/>
  <c r="K5721" i="18"/>
  <c r="L5721" i="18"/>
  <c r="B5722" i="18"/>
  <c r="C5722" i="18"/>
  <c r="D5722" i="18"/>
  <c r="E5722" i="18"/>
  <c r="F5722" i="18"/>
  <c r="G5722" i="18"/>
  <c r="H5722" i="18"/>
  <c r="I5722" i="18"/>
  <c r="J5722" i="18"/>
  <c r="K5722" i="18"/>
  <c r="L5722" i="18"/>
  <c r="B5723" i="18"/>
  <c r="C5723" i="18"/>
  <c r="D5723" i="18"/>
  <c r="E5723" i="18"/>
  <c r="F5723" i="18"/>
  <c r="G5723" i="18"/>
  <c r="H5723" i="18"/>
  <c r="I5723" i="18"/>
  <c r="J5723" i="18"/>
  <c r="K5723" i="18"/>
  <c r="L5723" i="18"/>
  <c r="B5724" i="18"/>
  <c r="C5724" i="18"/>
  <c r="D5724" i="18"/>
  <c r="E5724" i="18"/>
  <c r="F5724" i="18"/>
  <c r="G5724" i="18"/>
  <c r="H5724" i="18"/>
  <c r="I5724" i="18"/>
  <c r="J5724" i="18"/>
  <c r="K5724" i="18"/>
  <c r="L5724" i="18"/>
  <c r="B5725" i="18"/>
  <c r="C5725" i="18"/>
  <c r="D5725" i="18"/>
  <c r="E5725" i="18"/>
  <c r="F5725" i="18"/>
  <c r="G5725" i="18"/>
  <c r="H5725" i="18"/>
  <c r="I5725" i="18"/>
  <c r="J5725" i="18"/>
  <c r="K5725" i="18"/>
  <c r="L5725" i="18"/>
  <c r="B5726" i="18"/>
  <c r="C5726" i="18"/>
  <c r="D5726" i="18"/>
  <c r="E5726" i="18"/>
  <c r="F5726" i="18"/>
  <c r="G5726" i="18"/>
  <c r="H5726" i="18"/>
  <c r="I5726" i="18"/>
  <c r="J5726" i="18"/>
  <c r="K5726" i="18"/>
  <c r="L5726" i="18"/>
  <c r="B5727" i="18"/>
  <c r="C5727" i="18"/>
  <c r="D5727" i="18"/>
  <c r="E5727" i="18"/>
  <c r="F5727" i="18"/>
  <c r="G5727" i="18"/>
  <c r="H5727" i="18"/>
  <c r="I5727" i="18"/>
  <c r="J5727" i="18"/>
  <c r="K5727" i="18"/>
  <c r="L5727" i="18"/>
  <c r="B5728" i="18"/>
  <c r="C5728" i="18"/>
  <c r="D5728" i="18"/>
  <c r="E5728" i="18"/>
  <c r="F5728" i="18"/>
  <c r="G5728" i="18"/>
  <c r="H5728" i="18"/>
  <c r="I5728" i="18"/>
  <c r="J5728" i="18"/>
  <c r="K5728" i="18"/>
  <c r="L5728" i="18"/>
  <c r="B5729" i="18"/>
  <c r="C5729" i="18"/>
  <c r="D5729" i="18"/>
  <c r="E5729" i="18"/>
  <c r="F5729" i="18"/>
  <c r="G5729" i="18"/>
  <c r="H5729" i="18"/>
  <c r="I5729" i="18"/>
  <c r="J5729" i="18"/>
  <c r="K5729" i="18"/>
  <c r="L5729" i="18"/>
  <c r="B5730" i="18"/>
  <c r="C5730" i="18"/>
  <c r="D5730" i="18"/>
  <c r="E5730" i="18"/>
  <c r="F5730" i="18"/>
  <c r="G5730" i="18"/>
  <c r="H5730" i="18"/>
  <c r="I5730" i="18"/>
  <c r="J5730" i="18"/>
  <c r="K5730" i="18"/>
  <c r="L5730" i="18"/>
  <c r="B5731" i="18"/>
  <c r="C5731" i="18"/>
  <c r="D5731" i="18"/>
  <c r="E5731" i="18"/>
  <c r="F5731" i="18"/>
  <c r="G5731" i="18"/>
  <c r="H5731" i="18"/>
  <c r="I5731" i="18"/>
  <c r="J5731" i="18"/>
  <c r="K5731" i="18"/>
  <c r="L5731" i="18"/>
  <c r="B5732" i="18"/>
  <c r="C5732" i="18"/>
  <c r="D5732" i="18"/>
  <c r="E5732" i="18"/>
  <c r="F5732" i="18"/>
  <c r="G5732" i="18"/>
  <c r="H5732" i="18"/>
  <c r="I5732" i="18"/>
  <c r="J5732" i="18"/>
  <c r="K5732" i="18"/>
  <c r="L5732" i="18"/>
  <c r="B5733" i="18"/>
  <c r="C5733" i="18"/>
  <c r="D5733" i="18"/>
  <c r="E5733" i="18"/>
  <c r="F5733" i="18"/>
  <c r="G5733" i="18"/>
  <c r="H5733" i="18"/>
  <c r="I5733" i="18"/>
  <c r="J5733" i="18"/>
  <c r="K5733" i="18"/>
  <c r="L5733" i="18"/>
  <c r="B5734" i="18"/>
  <c r="C5734" i="18"/>
  <c r="D5734" i="18"/>
  <c r="E5734" i="18"/>
  <c r="F5734" i="18"/>
  <c r="G5734" i="18"/>
  <c r="H5734" i="18"/>
  <c r="I5734" i="18"/>
  <c r="J5734" i="18"/>
  <c r="K5734" i="18"/>
  <c r="L5734" i="18"/>
  <c r="B5735" i="18"/>
  <c r="C5735" i="18"/>
  <c r="D5735" i="18"/>
  <c r="E5735" i="18"/>
  <c r="F5735" i="18"/>
  <c r="G5735" i="18"/>
  <c r="H5735" i="18"/>
  <c r="I5735" i="18"/>
  <c r="J5735" i="18"/>
  <c r="K5735" i="18"/>
  <c r="L5735" i="18"/>
  <c r="B5736" i="18"/>
  <c r="C5736" i="18"/>
  <c r="D5736" i="18"/>
  <c r="E5736" i="18"/>
  <c r="F5736" i="18"/>
  <c r="G5736" i="18"/>
  <c r="H5736" i="18"/>
  <c r="I5736" i="18"/>
  <c r="J5736" i="18"/>
  <c r="K5736" i="18"/>
  <c r="L5736" i="18"/>
  <c r="B5737" i="18"/>
  <c r="C5737" i="18"/>
  <c r="D5737" i="18"/>
  <c r="E5737" i="18"/>
  <c r="F5737" i="18"/>
  <c r="G5737" i="18"/>
  <c r="H5737" i="18"/>
  <c r="I5737" i="18"/>
  <c r="J5737" i="18"/>
  <c r="K5737" i="18"/>
  <c r="L5737" i="18"/>
  <c r="B5738" i="18"/>
  <c r="C5738" i="18"/>
  <c r="D5738" i="18"/>
  <c r="E5738" i="18"/>
  <c r="F5738" i="18"/>
  <c r="G5738" i="18"/>
  <c r="H5738" i="18"/>
  <c r="I5738" i="18"/>
  <c r="J5738" i="18"/>
  <c r="K5738" i="18"/>
  <c r="L5738" i="18"/>
  <c r="B5739" i="18"/>
  <c r="C5739" i="18"/>
  <c r="D5739" i="18"/>
  <c r="E5739" i="18"/>
  <c r="F5739" i="18"/>
  <c r="G5739" i="18"/>
  <c r="H5739" i="18"/>
  <c r="I5739" i="18"/>
  <c r="J5739" i="18"/>
  <c r="K5739" i="18"/>
  <c r="L5739" i="18"/>
  <c r="B5740" i="18"/>
  <c r="C5740" i="18"/>
  <c r="D5740" i="18"/>
  <c r="E5740" i="18"/>
  <c r="F5740" i="18"/>
  <c r="G5740" i="18"/>
  <c r="H5740" i="18"/>
  <c r="I5740" i="18"/>
  <c r="J5740" i="18"/>
  <c r="K5740" i="18"/>
  <c r="L5740" i="18"/>
  <c r="B5741" i="18"/>
  <c r="C5741" i="18"/>
  <c r="D5741" i="18"/>
  <c r="E5741" i="18"/>
  <c r="F5741" i="18"/>
  <c r="G5741" i="18"/>
  <c r="H5741" i="18"/>
  <c r="I5741" i="18"/>
  <c r="J5741" i="18"/>
  <c r="K5741" i="18"/>
  <c r="L5741" i="18"/>
  <c r="B5742" i="18"/>
  <c r="C5742" i="18"/>
  <c r="D5742" i="18"/>
  <c r="E5742" i="18"/>
  <c r="F5742" i="18"/>
  <c r="G5742" i="18"/>
  <c r="H5742" i="18"/>
  <c r="I5742" i="18"/>
  <c r="J5742" i="18"/>
  <c r="K5742" i="18"/>
  <c r="L5742" i="18"/>
  <c r="B5743" i="18"/>
  <c r="C5743" i="18"/>
  <c r="D5743" i="18"/>
  <c r="E5743" i="18"/>
  <c r="F5743" i="18"/>
  <c r="G5743" i="18"/>
  <c r="H5743" i="18"/>
  <c r="I5743" i="18"/>
  <c r="J5743" i="18"/>
  <c r="K5743" i="18"/>
  <c r="L5743" i="18"/>
  <c r="B5744" i="18"/>
  <c r="C5744" i="18"/>
  <c r="D5744" i="18"/>
  <c r="E5744" i="18"/>
  <c r="F5744" i="18"/>
  <c r="G5744" i="18"/>
  <c r="H5744" i="18"/>
  <c r="I5744" i="18"/>
  <c r="J5744" i="18"/>
  <c r="K5744" i="18"/>
  <c r="L5744" i="18"/>
  <c r="B5745" i="18"/>
  <c r="C5745" i="18"/>
  <c r="D5745" i="18"/>
  <c r="E5745" i="18"/>
  <c r="F5745" i="18"/>
  <c r="G5745" i="18"/>
  <c r="H5745" i="18"/>
  <c r="I5745" i="18"/>
  <c r="J5745" i="18"/>
  <c r="K5745" i="18"/>
  <c r="L5745" i="18"/>
  <c r="B5746" i="18"/>
  <c r="C5746" i="18"/>
  <c r="D5746" i="18"/>
  <c r="E5746" i="18"/>
  <c r="F5746" i="18"/>
  <c r="G5746" i="18"/>
  <c r="H5746" i="18"/>
  <c r="I5746" i="18"/>
  <c r="J5746" i="18"/>
  <c r="K5746" i="18"/>
  <c r="L5746" i="18"/>
  <c r="B5747" i="18"/>
  <c r="C5747" i="18"/>
  <c r="D5747" i="18"/>
  <c r="E5747" i="18"/>
  <c r="F5747" i="18"/>
  <c r="G5747" i="18"/>
  <c r="H5747" i="18"/>
  <c r="I5747" i="18"/>
  <c r="J5747" i="18"/>
  <c r="K5747" i="18"/>
  <c r="L5747" i="18"/>
  <c r="B5748" i="18"/>
  <c r="C5748" i="18"/>
  <c r="D5748" i="18"/>
  <c r="E5748" i="18"/>
  <c r="F5748" i="18"/>
  <c r="G5748" i="18"/>
  <c r="H5748" i="18"/>
  <c r="I5748" i="18"/>
  <c r="J5748" i="18"/>
  <c r="K5748" i="18"/>
  <c r="L5748" i="18"/>
  <c r="B5749" i="18"/>
  <c r="C5749" i="18"/>
  <c r="D5749" i="18"/>
  <c r="E5749" i="18"/>
  <c r="F5749" i="18"/>
  <c r="G5749" i="18"/>
  <c r="H5749" i="18"/>
  <c r="I5749" i="18"/>
  <c r="J5749" i="18"/>
  <c r="K5749" i="18"/>
  <c r="L5749" i="18"/>
  <c r="B5750" i="18"/>
  <c r="C5750" i="18"/>
  <c r="D5750" i="18"/>
  <c r="E5750" i="18"/>
  <c r="F5750" i="18"/>
  <c r="G5750" i="18"/>
  <c r="H5750" i="18"/>
  <c r="I5750" i="18"/>
  <c r="J5750" i="18"/>
  <c r="K5750" i="18"/>
  <c r="L5750" i="18"/>
  <c r="B5751" i="18"/>
  <c r="C5751" i="18"/>
  <c r="D5751" i="18"/>
  <c r="E5751" i="18"/>
  <c r="F5751" i="18"/>
  <c r="G5751" i="18"/>
  <c r="H5751" i="18"/>
  <c r="I5751" i="18"/>
  <c r="J5751" i="18"/>
  <c r="K5751" i="18"/>
  <c r="L5751" i="18"/>
  <c r="B5752" i="18"/>
  <c r="C5752" i="18"/>
  <c r="D5752" i="18"/>
  <c r="E5752" i="18"/>
  <c r="F5752" i="18"/>
  <c r="G5752" i="18"/>
  <c r="H5752" i="18"/>
  <c r="I5752" i="18"/>
  <c r="J5752" i="18"/>
  <c r="K5752" i="18"/>
  <c r="L5752" i="18"/>
  <c r="B5753" i="18"/>
  <c r="C5753" i="18"/>
  <c r="D5753" i="18"/>
  <c r="E5753" i="18"/>
  <c r="F5753" i="18"/>
  <c r="G5753" i="18"/>
  <c r="H5753" i="18"/>
  <c r="I5753" i="18"/>
  <c r="J5753" i="18"/>
  <c r="K5753" i="18"/>
  <c r="L5753" i="18"/>
  <c r="B5754" i="18"/>
  <c r="C5754" i="18"/>
  <c r="D5754" i="18"/>
  <c r="E5754" i="18"/>
  <c r="F5754" i="18"/>
  <c r="G5754" i="18"/>
  <c r="H5754" i="18"/>
  <c r="I5754" i="18"/>
  <c r="J5754" i="18"/>
  <c r="K5754" i="18"/>
  <c r="L5754" i="18"/>
  <c r="B5755" i="18"/>
  <c r="C5755" i="18"/>
  <c r="D5755" i="18"/>
  <c r="E5755" i="18"/>
  <c r="F5755" i="18"/>
  <c r="G5755" i="18"/>
  <c r="H5755" i="18"/>
  <c r="I5755" i="18"/>
  <c r="J5755" i="18"/>
  <c r="K5755" i="18"/>
  <c r="L5755" i="18"/>
  <c r="B5756" i="18"/>
  <c r="C5756" i="18"/>
  <c r="D5756" i="18"/>
  <c r="E5756" i="18"/>
  <c r="F5756" i="18"/>
  <c r="G5756" i="18"/>
  <c r="H5756" i="18"/>
  <c r="I5756" i="18"/>
  <c r="J5756" i="18"/>
  <c r="K5756" i="18"/>
  <c r="L5756" i="18"/>
  <c r="B5757" i="18"/>
  <c r="C5757" i="18"/>
  <c r="D5757" i="18"/>
  <c r="E5757" i="18"/>
  <c r="F5757" i="18"/>
  <c r="G5757" i="18"/>
  <c r="H5757" i="18"/>
  <c r="I5757" i="18"/>
  <c r="J5757" i="18"/>
  <c r="K5757" i="18"/>
  <c r="L5757" i="18"/>
  <c r="B5758" i="18"/>
  <c r="C5758" i="18"/>
  <c r="D5758" i="18"/>
  <c r="E5758" i="18"/>
  <c r="F5758" i="18"/>
  <c r="G5758" i="18"/>
  <c r="H5758" i="18"/>
  <c r="I5758" i="18"/>
  <c r="J5758" i="18"/>
  <c r="K5758" i="18"/>
  <c r="L5758" i="18"/>
  <c r="B5759" i="18"/>
  <c r="C5759" i="18"/>
  <c r="D5759" i="18"/>
  <c r="E5759" i="18"/>
  <c r="F5759" i="18"/>
  <c r="G5759" i="18"/>
  <c r="H5759" i="18"/>
  <c r="I5759" i="18"/>
  <c r="J5759" i="18"/>
  <c r="K5759" i="18"/>
  <c r="L5759" i="18"/>
  <c r="B5760" i="18"/>
  <c r="C5760" i="18"/>
  <c r="D5760" i="18"/>
  <c r="E5760" i="18"/>
  <c r="F5760" i="18"/>
  <c r="G5760" i="18"/>
  <c r="H5760" i="18"/>
  <c r="I5760" i="18"/>
  <c r="J5760" i="18"/>
  <c r="K5760" i="18"/>
  <c r="L5760" i="18"/>
  <c r="B5761" i="18"/>
  <c r="C5761" i="18"/>
  <c r="D5761" i="18"/>
  <c r="E5761" i="18"/>
  <c r="F5761" i="18"/>
  <c r="G5761" i="18"/>
  <c r="H5761" i="18"/>
  <c r="I5761" i="18"/>
  <c r="J5761" i="18"/>
  <c r="K5761" i="18"/>
  <c r="L5761" i="18"/>
  <c r="B5762" i="18"/>
  <c r="C5762" i="18"/>
  <c r="D5762" i="18"/>
  <c r="E5762" i="18"/>
  <c r="F5762" i="18"/>
  <c r="G5762" i="18"/>
  <c r="H5762" i="18"/>
  <c r="I5762" i="18"/>
  <c r="J5762" i="18"/>
  <c r="K5762" i="18"/>
  <c r="L5762" i="18"/>
  <c r="B5763" i="18"/>
  <c r="C5763" i="18"/>
  <c r="D5763" i="18"/>
  <c r="E5763" i="18"/>
  <c r="F5763" i="18"/>
  <c r="G5763" i="18"/>
  <c r="H5763" i="18"/>
  <c r="I5763" i="18"/>
  <c r="J5763" i="18"/>
  <c r="K5763" i="18"/>
  <c r="L5763" i="18"/>
  <c r="B5764" i="18"/>
  <c r="C5764" i="18"/>
  <c r="D5764" i="18"/>
  <c r="E5764" i="18"/>
  <c r="F5764" i="18"/>
  <c r="G5764" i="18"/>
  <c r="H5764" i="18"/>
  <c r="I5764" i="18"/>
  <c r="J5764" i="18"/>
  <c r="K5764" i="18"/>
  <c r="L5764" i="18"/>
  <c r="B5765" i="18"/>
  <c r="C5765" i="18"/>
  <c r="D5765" i="18"/>
  <c r="E5765" i="18"/>
  <c r="F5765" i="18"/>
  <c r="G5765" i="18"/>
  <c r="H5765" i="18"/>
  <c r="I5765" i="18"/>
  <c r="J5765" i="18"/>
  <c r="K5765" i="18"/>
  <c r="L5765" i="18"/>
  <c r="B5766" i="18"/>
  <c r="C5766" i="18"/>
  <c r="D5766" i="18"/>
  <c r="E5766" i="18"/>
  <c r="F5766" i="18"/>
  <c r="G5766" i="18"/>
  <c r="H5766" i="18"/>
  <c r="I5766" i="18"/>
  <c r="J5766" i="18"/>
  <c r="K5766" i="18"/>
  <c r="L5766" i="18"/>
  <c r="B5767" i="18"/>
  <c r="C5767" i="18"/>
  <c r="D5767" i="18"/>
  <c r="E5767" i="18"/>
  <c r="F5767" i="18"/>
  <c r="G5767" i="18"/>
  <c r="H5767" i="18"/>
  <c r="I5767" i="18"/>
  <c r="J5767" i="18"/>
  <c r="K5767" i="18"/>
  <c r="L5767" i="18"/>
  <c r="B5768" i="18"/>
  <c r="C5768" i="18"/>
  <c r="D5768" i="18"/>
  <c r="E5768" i="18"/>
  <c r="F5768" i="18"/>
  <c r="G5768" i="18"/>
  <c r="H5768" i="18"/>
  <c r="I5768" i="18"/>
  <c r="J5768" i="18"/>
  <c r="K5768" i="18"/>
  <c r="L5768" i="18"/>
  <c r="B5769" i="18"/>
  <c r="C5769" i="18"/>
  <c r="D5769" i="18"/>
  <c r="E5769" i="18"/>
  <c r="F5769" i="18"/>
  <c r="G5769" i="18"/>
  <c r="H5769" i="18"/>
  <c r="I5769" i="18"/>
  <c r="J5769" i="18"/>
  <c r="K5769" i="18"/>
  <c r="L5769" i="18"/>
  <c r="B5770" i="18"/>
  <c r="C5770" i="18"/>
  <c r="D5770" i="18"/>
  <c r="E5770" i="18"/>
  <c r="F5770" i="18"/>
  <c r="G5770" i="18"/>
  <c r="H5770" i="18"/>
  <c r="I5770" i="18"/>
  <c r="J5770" i="18"/>
  <c r="K5770" i="18"/>
  <c r="L5770" i="18"/>
  <c r="B5771" i="18"/>
  <c r="C5771" i="18"/>
  <c r="D5771" i="18"/>
  <c r="E5771" i="18"/>
  <c r="F5771" i="18"/>
  <c r="G5771" i="18"/>
  <c r="H5771" i="18"/>
  <c r="I5771" i="18"/>
  <c r="J5771" i="18"/>
  <c r="K5771" i="18"/>
  <c r="L5771" i="18"/>
  <c r="B5772" i="18"/>
  <c r="C5772" i="18"/>
  <c r="D5772" i="18"/>
  <c r="E5772" i="18"/>
  <c r="F5772" i="18"/>
  <c r="G5772" i="18"/>
  <c r="H5772" i="18"/>
  <c r="I5772" i="18"/>
  <c r="J5772" i="18"/>
  <c r="K5772" i="18"/>
  <c r="L5772" i="18"/>
  <c r="B5773" i="18"/>
  <c r="C5773" i="18"/>
  <c r="D5773" i="18"/>
  <c r="E5773" i="18"/>
  <c r="F5773" i="18"/>
  <c r="G5773" i="18"/>
  <c r="H5773" i="18"/>
  <c r="I5773" i="18"/>
  <c r="J5773" i="18"/>
  <c r="K5773" i="18"/>
  <c r="L5773" i="18"/>
  <c r="B5774" i="18"/>
  <c r="C5774" i="18"/>
  <c r="D5774" i="18"/>
  <c r="E5774" i="18"/>
  <c r="F5774" i="18"/>
  <c r="G5774" i="18"/>
  <c r="H5774" i="18"/>
  <c r="I5774" i="18"/>
  <c r="J5774" i="18"/>
  <c r="K5774" i="18"/>
  <c r="L5774" i="18"/>
  <c r="B5775" i="18"/>
  <c r="C5775" i="18"/>
  <c r="D5775" i="18"/>
  <c r="E5775" i="18"/>
  <c r="F5775" i="18"/>
  <c r="G5775" i="18"/>
  <c r="H5775" i="18"/>
  <c r="I5775" i="18"/>
  <c r="J5775" i="18"/>
  <c r="K5775" i="18"/>
  <c r="L5775" i="18"/>
  <c r="B5776" i="18"/>
  <c r="C5776" i="18"/>
  <c r="D5776" i="18"/>
  <c r="E5776" i="18"/>
  <c r="F5776" i="18"/>
  <c r="G5776" i="18"/>
  <c r="H5776" i="18"/>
  <c r="I5776" i="18"/>
  <c r="J5776" i="18"/>
  <c r="K5776" i="18"/>
  <c r="L5776" i="18"/>
  <c r="B5777" i="18"/>
  <c r="C5777" i="18"/>
  <c r="D5777" i="18"/>
  <c r="E5777" i="18"/>
  <c r="F5777" i="18"/>
  <c r="G5777" i="18"/>
  <c r="H5777" i="18"/>
  <c r="I5777" i="18"/>
  <c r="J5777" i="18"/>
  <c r="K5777" i="18"/>
  <c r="L5777" i="18"/>
  <c r="B5778" i="18"/>
  <c r="C5778" i="18"/>
  <c r="D5778" i="18"/>
  <c r="E5778" i="18"/>
  <c r="F5778" i="18"/>
  <c r="G5778" i="18"/>
  <c r="H5778" i="18"/>
  <c r="I5778" i="18"/>
  <c r="J5778" i="18"/>
  <c r="K5778" i="18"/>
  <c r="L5778" i="18"/>
  <c r="B5779" i="18"/>
  <c r="C5779" i="18"/>
  <c r="D5779" i="18"/>
  <c r="E5779" i="18"/>
  <c r="F5779" i="18"/>
  <c r="G5779" i="18"/>
  <c r="H5779" i="18"/>
  <c r="I5779" i="18"/>
  <c r="J5779" i="18"/>
  <c r="K5779" i="18"/>
  <c r="L5779" i="18"/>
  <c r="B5780" i="18"/>
  <c r="C5780" i="18"/>
  <c r="D5780" i="18"/>
  <c r="E5780" i="18"/>
  <c r="F5780" i="18"/>
  <c r="G5780" i="18"/>
  <c r="H5780" i="18"/>
  <c r="I5780" i="18"/>
  <c r="J5780" i="18"/>
  <c r="K5780" i="18"/>
  <c r="L5780" i="18"/>
  <c r="B5781" i="18"/>
  <c r="C5781" i="18"/>
  <c r="D5781" i="18"/>
  <c r="E5781" i="18"/>
  <c r="F5781" i="18"/>
  <c r="G5781" i="18"/>
  <c r="H5781" i="18"/>
  <c r="I5781" i="18"/>
  <c r="J5781" i="18"/>
  <c r="K5781" i="18"/>
  <c r="L5781" i="18"/>
  <c r="B5782" i="18"/>
  <c r="C5782" i="18"/>
  <c r="D5782" i="18"/>
  <c r="E5782" i="18"/>
  <c r="F5782" i="18"/>
  <c r="G5782" i="18"/>
  <c r="H5782" i="18"/>
  <c r="I5782" i="18"/>
  <c r="J5782" i="18"/>
  <c r="K5782" i="18"/>
  <c r="L5782" i="18"/>
  <c r="B5783" i="18"/>
  <c r="C5783" i="18"/>
  <c r="D5783" i="18"/>
  <c r="E5783" i="18"/>
  <c r="F5783" i="18"/>
  <c r="G5783" i="18"/>
  <c r="H5783" i="18"/>
  <c r="I5783" i="18"/>
  <c r="J5783" i="18"/>
  <c r="K5783" i="18"/>
  <c r="L5783" i="18"/>
  <c r="B5784" i="18"/>
  <c r="C5784" i="18"/>
  <c r="D5784" i="18"/>
  <c r="E5784" i="18"/>
  <c r="F5784" i="18"/>
  <c r="G5784" i="18"/>
  <c r="H5784" i="18"/>
  <c r="I5784" i="18"/>
  <c r="J5784" i="18"/>
  <c r="K5784" i="18"/>
  <c r="L5784" i="18"/>
  <c r="B5785" i="18"/>
  <c r="C5785" i="18"/>
  <c r="D5785" i="18"/>
  <c r="E5785" i="18"/>
  <c r="F5785" i="18"/>
  <c r="G5785" i="18"/>
  <c r="H5785" i="18"/>
  <c r="I5785" i="18"/>
  <c r="J5785" i="18"/>
  <c r="K5785" i="18"/>
  <c r="L5785" i="18"/>
  <c r="B5786" i="18"/>
  <c r="C5786" i="18"/>
  <c r="D5786" i="18"/>
  <c r="E5786" i="18"/>
  <c r="F5786" i="18"/>
  <c r="G5786" i="18"/>
  <c r="H5786" i="18"/>
  <c r="I5786" i="18"/>
  <c r="J5786" i="18"/>
  <c r="K5786" i="18"/>
  <c r="L5786" i="18"/>
  <c r="B5787" i="18"/>
  <c r="C5787" i="18"/>
  <c r="D5787" i="18"/>
  <c r="E5787" i="18"/>
  <c r="F5787" i="18"/>
  <c r="G5787" i="18"/>
  <c r="H5787" i="18"/>
  <c r="I5787" i="18"/>
  <c r="J5787" i="18"/>
  <c r="K5787" i="18"/>
  <c r="L5787" i="18"/>
  <c r="B5788" i="18"/>
  <c r="C5788" i="18"/>
  <c r="D5788" i="18"/>
  <c r="E5788" i="18"/>
  <c r="F5788" i="18"/>
  <c r="G5788" i="18"/>
  <c r="H5788" i="18"/>
  <c r="I5788" i="18"/>
  <c r="J5788" i="18"/>
  <c r="K5788" i="18"/>
  <c r="L5788" i="18"/>
  <c r="B5789" i="18"/>
  <c r="C5789" i="18"/>
  <c r="D5789" i="18"/>
  <c r="E5789" i="18"/>
  <c r="F5789" i="18"/>
  <c r="G5789" i="18"/>
  <c r="H5789" i="18"/>
  <c r="I5789" i="18"/>
  <c r="J5789" i="18"/>
  <c r="K5789" i="18"/>
  <c r="L5789" i="18"/>
  <c r="B5790" i="18"/>
  <c r="C5790" i="18"/>
  <c r="D5790" i="18"/>
  <c r="E5790" i="18"/>
  <c r="F5790" i="18"/>
  <c r="G5790" i="18"/>
  <c r="H5790" i="18"/>
  <c r="I5790" i="18"/>
  <c r="J5790" i="18"/>
  <c r="K5790" i="18"/>
  <c r="L5790" i="18"/>
  <c r="B5791" i="18"/>
  <c r="C5791" i="18"/>
  <c r="D5791" i="18"/>
  <c r="E5791" i="18"/>
  <c r="F5791" i="18"/>
  <c r="G5791" i="18"/>
  <c r="H5791" i="18"/>
  <c r="I5791" i="18"/>
  <c r="J5791" i="18"/>
  <c r="K5791" i="18"/>
  <c r="L5791" i="18"/>
  <c r="B5792" i="18"/>
  <c r="C5792" i="18"/>
  <c r="D5792" i="18"/>
  <c r="E5792" i="18"/>
  <c r="F5792" i="18"/>
  <c r="G5792" i="18"/>
  <c r="H5792" i="18"/>
  <c r="I5792" i="18"/>
  <c r="J5792" i="18"/>
  <c r="K5792" i="18"/>
  <c r="L5792" i="18"/>
  <c r="B5793" i="18"/>
  <c r="C5793" i="18"/>
  <c r="D5793" i="18"/>
  <c r="E5793" i="18"/>
  <c r="F5793" i="18"/>
  <c r="G5793" i="18"/>
  <c r="H5793" i="18"/>
  <c r="I5793" i="18"/>
  <c r="J5793" i="18"/>
  <c r="K5793" i="18"/>
  <c r="L5793" i="18"/>
  <c r="B5794" i="18"/>
  <c r="C5794" i="18"/>
  <c r="D5794" i="18"/>
  <c r="E5794" i="18"/>
  <c r="F5794" i="18"/>
  <c r="G5794" i="18"/>
  <c r="H5794" i="18"/>
  <c r="I5794" i="18"/>
  <c r="J5794" i="18"/>
  <c r="K5794" i="18"/>
  <c r="L5794" i="18"/>
  <c r="B5795" i="18"/>
  <c r="C5795" i="18"/>
  <c r="D5795" i="18"/>
  <c r="E5795" i="18"/>
  <c r="F5795" i="18"/>
  <c r="G5795" i="18"/>
  <c r="H5795" i="18"/>
  <c r="I5795" i="18"/>
  <c r="J5795" i="18"/>
  <c r="K5795" i="18"/>
  <c r="L5795" i="18"/>
  <c r="B5796" i="18"/>
  <c r="C5796" i="18"/>
  <c r="D5796" i="18"/>
  <c r="E5796" i="18"/>
  <c r="F5796" i="18"/>
  <c r="G5796" i="18"/>
  <c r="H5796" i="18"/>
  <c r="I5796" i="18"/>
  <c r="J5796" i="18"/>
  <c r="K5796" i="18"/>
  <c r="L5796" i="18"/>
  <c r="B5797" i="18"/>
  <c r="C5797" i="18"/>
  <c r="D5797" i="18"/>
  <c r="E5797" i="18"/>
  <c r="F5797" i="18"/>
  <c r="G5797" i="18"/>
  <c r="H5797" i="18"/>
  <c r="I5797" i="18"/>
  <c r="J5797" i="18"/>
  <c r="K5797" i="18"/>
  <c r="L5797" i="18"/>
  <c r="B5798" i="18"/>
  <c r="C5798" i="18"/>
  <c r="D5798" i="18"/>
  <c r="E5798" i="18"/>
  <c r="F5798" i="18"/>
  <c r="G5798" i="18"/>
  <c r="H5798" i="18"/>
  <c r="I5798" i="18"/>
  <c r="J5798" i="18"/>
  <c r="K5798" i="18"/>
  <c r="L5798" i="18"/>
  <c r="B5799" i="18"/>
  <c r="C5799" i="18"/>
  <c r="D5799" i="18"/>
  <c r="E5799" i="18"/>
  <c r="F5799" i="18"/>
  <c r="G5799" i="18"/>
  <c r="H5799" i="18"/>
  <c r="I5799" i="18"/>
  <c r="J5799" i="18"/>
  <c r="K5799" i="18"/>
  <c r="L5799" i="18"/>
  <c r="B5800" i="18"/>
  <c r="C5800" i="18"/>
  <c r="D5800" i="18"/>
  <c r="E5800" i="18"/>
  <c r="F5800" i="18"/>
  <c r="G5800" i="18"/>
  <c r="H5800" i="18"/>
  <c r="I5800" i="18"/>
  <c r="J5800" i="18"/>
  <c r="K5800" i="18"/>
  <c r="L5800" i="18"/>
  <c r="B5801" i="18"/>
  <c r="C5801" i="18"/>
  <c r="D5801" i="18"/>
  <c r="E5801" i="18"/>
  <c r="F5801" i="18"/>
  <c r="G5801" i="18"/>
  <c r="H5801" i="18"/>
  <c r="I5801" i="18"/>
  <c r="J5801" i="18"/>
  <c r="K5801" i="18"/>
  <c r="L5801" i="18"/>
  <c r="B5802" i="18"/>
  <c r="C5802" i="18"/>
  <c r="D5802" i="18"/>
  <c r="E5802" i="18"/>
  <c r="F5802" i="18"/>
  <c r="G5802" i="18"/>
  <c r="H5802" i="18"/>
  <c r="I5802" i="18"/>
  <c r="J5802" i="18"/>
  <c r="K5802" i="18"/>
  <c r="L5802" i="18"/>
  <c r="B5803" i="18"/>
  <c r="C5803" i="18"/>
  <c r="D5803" i="18"/>
  <c r="E5803" i="18"/>
  <c r="F5803" i="18"/>
  <c r="G5803" i="18"/>
  <c r="H5803" i="18"/>
  <c r="I5803" i="18"/>
  <c r="J5803" i="18"/>
  <c r="K5803" i="18"/>
  <c r="L5803" i="18"/>
  <c r="B5804" i="18"/>
  <c r="C5804" i="18"/>
  <c r="D5804" i="18"/>
  <c r="E5804" i="18"/>
  <c r="F5804" i="18"/>
  <c r="G5804" i="18"/>
  <c r="H5804" i="18"/>
  <c r="I5804" i="18"/>
  <c r="J5804" i="18"/>
  <c r="K5804" i="18"/>
  <c r="L5804" i="18"/>
  <c r="B5805" i="18"/>
  <c r="C5805" i="18"/>
  <c r="D5805" i="18"/>
  <c r="E5805" i="18"/>
  <c r="F5805" i="18"/>
  <c r="G5805" i="18"/>
  <c r="H5805" i="18"/>
  <c r="I5805" i="18"/>
  <c r="J5805" i="18"/>
  <c r="K5805" i="18"/>
  <c r="L5805" i="18"/>
  <c r="B5806" i="18"/>
  <c r="C5806" i="18"/>
  <c r="D5806" i="18"/>
  <c r="E5806" i="18"/>
  <c r="F5806" i="18"/>
  <c r="G5806" i="18"/>
  <c r="H5806" i="18"/>
  <c r="I5806" i="18"/>
  <c r="J5806" i="18"/>
  <c r="K5806" i="18"/>
  <c r="L5806" i="18"/>
  <c r="B5807" i="18"/>
  <c r="C5807" i="18"/>
  <c r="D5807" i="18"/>
  <c r="E5807" i="18"/>
  <c r="F5807" i="18"/>
  <c r="G5807" i="18"/>
  <c r="H5807" i="18"/>
  <c r="I5807" i="18"/>
  <c r="J5807" i="18"/>
  <c r="K5807" i="18"/>
  <c r="L5807" i="18"/>
  <c r="B5808" i="18"/>
  <c r="C5808" i="18"/>
  <c r="D5808" i="18"/>
  <c r="E5808" i="18"/>
  <c r="F5808" i="18"/>
  <c r="G5808" i="18"/>
  <c r="H5808" i="18"/>
  <c r="I5808" i="18"/>
  <c r="J5808" i="18"/>
  <c r="K5808" i="18"/>
  <c r="L5808" i="18"/>
  <c r="B5809" i="18"/>
  <c r="C5809" i="18"/>
  <c r="D5809" i="18"/>
  <c r="E5809" i="18"/>
  <c r="F5809" i="18"/>
  <c r="G5809" i="18"/>
  <c r="H5809" i="18"/>
  <c r="I5809" i="18"/>
  <c r="J5809" i="18"/>
  <c r="K5809" i="18"/>
  <c r="L5809" i="18"/>
  <c r="B5810" i="18"/>
  <c r="C5810" i="18"/>
  <c r="D5810" i="18"/>
  <c r="E5810" i="18"/>
  <c r="F5810" i="18"/>
  <c r="G5810" i="18"/>
  <c r="H5810" i="18"/>
  <c r="I5810" i="18"/>
  <c r="J5810" i="18"/>
  <c r="K5810" i="18"/>
  <c r="L5810" i="18"/>
  <c r="B5811" i="18"/>
  <c r="C5811" i="18"/>
  <c r="D5811" i="18"/>
  <c r="E5811" i="18"/>
  <c r="F5811" i="18"/>
  <c r="G5811" i="18"/>
  <c r="H5811" i="18"/>
  <c r="I5811" i="18"/>
  <c r="J5811" i="18"/>
  <c r="K5811" i="18"/>
  <c r="L5811" i="18"/>
  <c r="B5812" i="18"/>
  <c r="C5812" i="18"/>
  <c r="D5812" i="18"/>
  <c r="E5812" i="18"/>
  <c r="F5812" i="18"/>
  <c r="G5812" i="18"/>
  <c r="H5812" i="18"/>
  <c r="I5812" i="18"/>
  <c r="J5812" i="18"/>
  <c r="K5812" i="18"/>
  <c r="L5812" i="18"/>
  <c r="B5813" i="18"/>
  <c r="C5813" i="18"/>
  <c r="D5813" i="18"/>
  <c r="E5813" i="18"/>
  <c r="F5813" i="18"/>
  <c r="G5813" i="18"/>
  <c r="H5813" i="18"/>
  <c r="I5813" i="18"/>
  <c r="J5813" i="18"/>
  <c r="K5813" i="18"/>
  <c r="L5813" i="18"/>
  <c r="B5814" i="18"/>
  <c r="C5814" i="18"/>
  <c r="D5814" i="18"/>
  <c r="E5814" i="18"/>
  <c r="F5814" i="18"/>
  <c r="G5814" i="18"/>
  <c r="H5814" i="18"/>
  <c r="I5814" i="18"/>
  <c r="J5814" i="18"/>
  <c r="K5814" i="18"/>
  <c r="L5814" i="18"/>
  <c r="B5815" i="18"/>
  <c r="C5815" i="18"/>
  <c r="D5815" i="18"/>
  <c r="E5815" i="18"/>
  <c r="F5815" i="18"/>
  <c r="G5815" i="18"/>
  <c r="H5815" i="18"/>
  <c r="I5815" i="18"/>
  <c r="J5815" i="18"/>
  <c r="K5815" i="18"/>
  <c r="L5815" i="18"/>
  <c r="B5816" i="18"/>
  <c r="C5816" i="18"/>
  <c r="D5816" i="18"/>
  <c r="E5816" i="18"/>
  <c r="F5816" i="18"/>
  <c r="G5816" i="18"/>
  <c r="H5816" i="18"/>
  <c r="I5816" i="18"/>
  <c r="J5816" i="18"/>
  <c r="K5816" i="18"/>
  <c r="L5816" i="18"/>
  <c r="B5817" i="18"/>
  <c r="C5817" i="18"/>
  <c r="D5817" i="18"/>
  <c r="E5817" i="18"/>
  <c r="F5817" i="18"/>
  <c r="G5817" i="18"/>
  <c r="H5817" i="18"/>
  <c r="I5817" i="18"/>
  <c r="J5817" i="18"/>
  <c r="K5817" i="18"/>
  <c r="L5817" i="18"/>
  <c r="B5818" i="18"/>
  <c r="C5818" i="18"/>
  <c r="D5818" i="18"/>
  <c r="E5818" i="18"/>
  <c r="F5818" i="18"/>
  <c r="G5818" i="18"/>
  <c r="H5818" i="18"/>
  <c r="I5818" i="18"/>
  <c r="J5818" i="18"/>
  <c r="K5818" i="18"/>
  <c r="L5818" i="18"/>
  <c r="B5819" i="18"/>
  <c r="C5819" i="18"/>
  <c r="D5819" i="18"/>
  <c r="E5819" i="18"/>
  <c r="F5819" i="18"/>
  <c r="G5819" i="18"/>
  <c r="H5819" i="18"/>
  <c r="I5819" i="18"/>
  <c r="J5819" i="18"/>
  <c r="K5819" i="18"/>
  <c r="L5819" i="18"/>
  <c r="B5820" i="18"/>
  <c r="C5820" i="18"/>
  <c r="D5820" i="18"/>
  <c r="E5820" i="18"/>
  <c r="F5820" i="18"/>
  <c r="G5820" i="18"/>
  <c r="H5820" i="18"/>
  <c r="I5820" i="18"/>
  <c r="J5820" i="18"/>
  <c r="K5820" i="18"/>
  <c r="L5820" i="18"/>
  <c r="B5821" i="18"/>
  <c r="C5821" i="18"/>
  <c r="D5821" i="18"/>
  <c r="E5821" i="18"/>
  <c r="F5821" i="18"/>
  <c r="G5821" i="18"/>
  <c r="H5821" i="18"/>
  <c r="I5821" i="18"/>
  <c r="J5821" i="18"/>
  <c r="K5821" i="18"/>
  <c r="L5821" i="18"/>
  <c r="B5822" i="18"/>
  <c r="C5822" i="18"/>
  <c r="D5822" i="18"/>
  <c r="E5822" i="18"/>
  <c r="F5822" i="18"/>
  <c r="G5822" i="18"/>
  <c r="H5822" i="18"/>
  <c r="I5822" i="18"/>
  <c r="J5822" i="18"/>
  <c r="K5822" i="18"/>
  <c r="L5822" i="18"/>
  <c r="B5823" i="18"/>
  <c r="C5823" i="18"/>
  <c r="D5823" i="18"/>
  <c r="E5823" i="18"/>
  <c r="F5823" i="18"/>
  <c r="G5823" i="18"/>
  <c r="H5823" i="18"/>
  <c r="I5823" i="18"/>
  <c r="J5823" i="18"/>
  <c r="K5823" i="18"/>
  <c r="L5823" i="18"/>
  <c r="B5824" i="18"/>
  <c r="C5824" i="18"/>
  <c r="D5824" i="18"/>
  <c r="E5824" i="18"/>
  <c r="F5824" i="18"/>
  <c r="G5824" i="18"/>
  <c r="H5824" i="18"/>
  <c r="I5824" i="18"/>
  <c r="J5824" i="18"/>
  <c r="K5824" i="18"/>
  <c r="L5824" i="18"/>
  <c r="B5825" i="18"/>
  <c r="C5825" i="18"/>
  <c r="D5825" i="18"/>
  <c r="E5825" i="18"/>
  <c r="F5825" i="18"/>
  <c r="G5825" i="18"/>
  <c r="H5825" i="18"/>
  <c r="I5825" i="18"/>
  <c r="J5825" i="18"/>
  <c r="K5825" i="18"/>
  <c r="L5825" i="18"/>
  <c r="B5826" i="18"/>
  <c r="C5826" i="18"/>
  <c r="D5826" i="18"/>
  <c r="E5826" i="18"/>
  <c r="F5826" i="18"/>
  <c r="G5826" i="18"/>
  <c r="H5826" i="18"/>
  <c r="I5826" i="18"/>
  <c r="J5826" i="18"/>
  <c r="K5826" i="18"/>
  <c r="L5826" i="18"/>
  <c r="B5827" i="18"/>
  <c r="C5827" i="18"/>
  <c r="D5827" i="18"/>
  <c r="E5827" i="18"/>
  <c r="F5827" i="18"/>
  <c r="G5827" i="18"/>
  <c r="H5827" i="18"/>
  <c r="I5827" i="18"/>
  <c r="J5827" i="18"/>
  <c r="K5827" i="18"/>
  <c r="L5827" i="18"/>
  <c r="B5828" i="18"/>
  <c r="C5828" i="18"/>
  <c r="D5828" i="18"/>
  <c r="E5828" i="18"/>
  <c r="F5828" i="18"/>
  <c r="G5828" i="18"/>
  <c r="H5828" i="18"/>
  <c r="I5828" i="18"/>
  <c r="J5828" i="18"/>
  <c r="K5828" i="18"/>
  <c r="L5828" i="18"/>
  <c r="B5829" i="18"/>
  <c r="C5829" i="18"/>
  <c r="D5829" i="18"/>
  <c r="E5829" i="18"/>
  <c r="F5829" i="18"/>
  <c r="G5829" i="18"/>
  <c r="H5829" i="18"/>
  <c r="I5829" i="18"/>
  <c r="J5829" i="18"/>
  <c r="K5829" i="18"/>
  <c r="L5829" i="18"/>
  <c r="B5830" i="18"/>
  <c r="C5830" i="18"/>
  <c r="D5830" i="18"/>
  <c r="E5830" i="18"/>
  <c r="F5830" i="18"/>
  <c r="G5830" i="18"/>
  <c r="H5830" i="18"/>
  <c r="I5830" i="18"/>
  <c r="J5830" i="18"/>
  <c r="K5830" i="18"/>
  <c r="L5830" i="18"/>
  <c r="B5831" i="18"/>
  <c r="C5831" i="18"/>
  <c r="D5831" i="18"/>
  <c r="E5831" i="18"/>
  <c r="F5831" i="18"/>
  <c r="G5831" i="18"/>
  <c r="H5831" i="18"/>
  <c r="I5831" i="18"/>
  <c r="J5831" i="18"/>
  <c r="K5831" i="18"/>
  <c r="L5831" i="18"/>
  <c r="B5832" i="18"/>
  <c r="C5832" i="18"/>
  <c r="D5832" i="18"/>
  <c r="E5832" i="18"/>
  <c r="F5832" i="18"/>
  <c r="G5832" i="18"/>
  <c r="H5832" i="18"/>
  <c r="I5832" i="18"/>
  <c r="J5832" i="18"/>
  <c r="K5832" i="18"/>
  <c r="L5832" i="18"/>
  <c r="B5833" i="18"/>
  <c r="C5833" i="18"/>
  <c r="D5833" i="18"/>
  <c r="E5833" i="18"/>
  <c r="F5833" i="18"/>
  <c r="G5833" i="18"/>
  <c r="H5833" i="18"/>
  <c r="I5833" i="18"/>
  <c r="J5833" i="18"/>
  <c r="K5833" i="18"/>
  <c r="L5833" i="18"/>
  <c r="B5834" i="18"/>
  <c r="C5834" i="18"/>
  <c r="D5834" i="18"/>
  <c r="E5834" i="18"/>
  <c r="F5834" i="18"/>
  <c r="G5834" i="18"/>
  <c r="H5834" i="18"/>
  <c r="I5834" i="18"/>
  <c r="J5834" i="18"/>
  <c r="K5834" i="18"/>
  <c r="L5834" i="18"/>
  <c r="B5835" i="18"/>
  <c r="C5835" i="18"/>
  <c r="D5835" i="18"/>
  <c r="E5835" i="18"/>
  <c r="F5835" i="18"/>
  <c r="G5835" i="18"/>
  <c r="H5835" i="18"/>
  <c r="I5835" i="18"/>
  <c r="J5835" i="18"/>
  <c r="K5835" i="18"/>
  <c r="L5835" i="18"/>
  <c r="B5836" i="18"/>
  <c r="C5836" i="18"/>
  <c r="D5836" i="18"/>
  <c r="E5836" i="18"/>
  <c r="F5836" i="18"/>
  <c r="G5836" i="18"/>
  <c r="H5836" i="18"/>
  <c r="I5836" i="18"/>
  <c r="J5836" i="18"/>
  <c r="K5836" i="18"/>
  <c r="L5836" i="18"/>
  <c r="B5837" i="18"/>
  <c r="C5837" i="18"/>
  <c r="D5837" i="18"/>
  <c r="E5837" i="18"/>
  <c r="F5837" i="18"/>
  <c r="G5837" i="18"/>
  <c r="H5837" i="18"/>
  <c r="I5837" i="18"/>
  <c r="J5837" i="18"/>
  <c r="K5837" i="18"/>
  <c r="L5837" i="18"/>
  <c r="B5838" i="18"/>
  <c r="C5838" i="18"/>
  <c r="D5838" i="18"/>
  <c r="E5838" i="18"/>
  <c r="F5838" i="18"/>
  <c r="G5838" i="18"/>
  <c r="H5838" i="18"/>
  <c r="I5838" i="18"/>
  <c r="J5838" i="18"/>
  <c r="K5838" i="18"/>
  <c r="L5838" i="18"/>
  <c r="B5839" i="18"/>
  <c r="C5839" i="18"/>
  <c r="D5839" i="18"/>
  <c r="E5839" i="18"/>
  <c r="F5839" i="18"/>
  <c r="G5839" i="18"/>
  <c r="H5839" i="18"/>
  <c r="I5839" i="18"/>
  <c r="J5839" i="18"/>
  <c r="K5839" i="18"/>
  <c r="L5839" i="18"/>
  <c r="B5840" i="18"/>
  <c r="C5840" i="18"/>
  <c r="D5840" i="18"/>
  <c r="E5840" i="18"/>
  <c r="F5840" i="18"/>
  <c r="G5840" i="18"/>
  <c r="H5840" i="18"/>
  <c r="I5840" i="18"/>
  <c r="J5840" i="18"/>
  <c r="K5840" i="18"/>
  <c r="L5840" i="18"/>
  <c r="B5841" i="18"/>
  <c r="C5841" i="18"/>
  <c r="D5841" i="18"/>
  <c r="E5841" i="18"/>
  <c r="F5841" i="18"/>
  <c r="G5841" i="18"/>
  <c r="H5841" i="18"/>
  <c r="I5841" i="18"/>
  <c r="J5841" i="18"/>
  <c r="K5841" i="18"/>
  <c r="L5841" i="18"/>
  <c r="B5842" i="18"/>
  <c r="C5842" i="18"/>
  <c r="D5842" i="18"/>
  <c r="E5842" i="18"/>
  <c r="F5842" i="18"/>
  <c r="G5842" i="18"/>
  <c r="H5842" i="18"/>
  <c r="I5842" i="18"/>
  <c r="J5842" i="18"/>
  <c r="K5842" i="18"/>
  <c r="L5842" i="18"/>
  <c r="B5843" i="18"/>
  <c r="C5843" i="18"/>
  <c r="D5843" i="18"/>
  <c r="E5843" i="18"/>
  <c r="F5843" i="18"/>
  <c r="G5843" i="18"/>
  <c r="H5843" i="18"/>
  <c r="I5843" i="18"/>
  <c r="J5843" i="18"/>
  <c r="K5843" i="18"/>
  <c r="L5843" i="18"/>
  <c r="B5844" i="18"/>
  <c r="C5844" i="18"/>
  <c r="D5844" i="18"/>
  <c r="E5844" i="18"/>
  <c r="F5844" i="18"/>
  <c r="G5844" i="18"/>
  <c r="H5844" i="18"/>
  <c r="I5844" i="18"/>
  <c r="J5844" i="18"/>
  <c r="K5844" i="18"/>
  <c r="L5844" i="18"/>
  <c r="B5845" i="18"/>
  <c r="C5845" i="18"/>
  <c r="D5845" i="18"/>
  <c r="E5845" i="18"/>
  <c r="F5845" i="18"/>
  <c r="G5845" i="18"/>
  <c r="H5845" i="18"/>
  <c r="I5845" i="18"/>
  <c r="J5845" i="18"/>
  <c r="K5845" i="18"/>
  <c r="L5845" i="18"/>
  <c r="B5846" i="18"/>
  <c r="C5846" i="18"/>
  <c r="D5846" i="18"/>
  <c r="E5846" i="18"/>
  <c r="F5846" i="18"/>
  <c r="G5846" i="18"/>
  <c r="H5846" i="18"/>
  <c r="I5846" i="18"/>
  <c r="J5846" i="18"/>
  <c r="K5846" i="18"/>
  <c r="L5846" i="18"/>
  <c r="B5847" i="18"/>
  <c r="C5847" i="18"/>
  <c r="D5847" i="18"/>
  <c r="E5847" i="18"/>
  <c r="F5847" i="18"/>
  <c r="G5847" i="18"/>
  <c r="H5847" i="18"/>
  <c r="I5847" i="18"/>
  <c r="J5847" i="18"/>
  <c r="K5847" i="18"/>
  <c r="L5847" i="18"/>
  <c r="B5848" i="18"/>
  <c r="C5848" i="18"/>
  <c r="D5848" i="18"/>
  <c r="E5848" i="18"/>
  <c r="F5848" i="18"/>
  <c r="G5848" i="18"/>
  <c r="H5848" i="18"/>
  <c r="I5848" i="18"/>
  <c r="J5848" i="18"/>
  <c r="K5848" i="18"/>
  <c r="L5848" i="18"/>
  <c r="B5849" i="18"/>
  <c r="C5849" i="18"/>
  <c r="D5849" i="18"/>
  <c r="E5849" i="18"/>
  <c r="F5849" i="18"/>
  <c r="G5849" i="18"/>
  <c r="H5849" i="18"/>
  <c r="I5849" i="18"/>
  <c r="J5849" i="18"/>
  <c r="K5849" i="18"/>
  <c r="L5849" i="18"/>
  <c r="B5850" i="18"/>
  <c r="C5850" i="18"/>
  <c r="D5850" i="18"/>
  <c r="E5850" i="18"/>
  <c r="F5850" i="18"/>
  <c r="G5850" i="18"/>
  <c r="H5850" i="18"/>
  <c r="I5850" i="18"/>
  <c r="J5850" i="18"/>
  <c r="K5850" i="18"/>
  <c r="L5850" i="18"/>
  <c r="B5851" i="18"/>
  <c r="C5851" i="18"/>
  <c r="D5851" i="18"/>
  <c r="E5851" i="18"/>
  <c r="F5851" i="18"/>
  <c r="G5851" i="18"/>
  <c r="H5851" i="18"/>
  <c r="I5851" i="18"/>
  <c r="J5851" i="18"/>
  <c r="K5851" i="18"/>
  <c r="L5851" i="18"/>
  <c r="B5852" i="18"/>
  <c r="C5852" i="18"/>
  <c r="D5852" i="18"/>
  <c r="E5852" i="18"/>
  <c r="F5852" i="18"/>
  <c r="G5852" i="18"/>
  <c r="H5852" i="18"/>
  <c r="I5852" i="18"/>
  <c r="J5852" i="18"/>
  <c r="K5852" i="18"/>
  <c r="L5852" i="18"/>
  <c r="B5853" i="18"/>
  <c r="C5853" i="18"/>
  <c r="D5853" i="18"/>
  <c r="E5853" i="18"/>
  <c r="F5853" i="18"/>
  <c r="G5853" i="18"/>
  <c r="H5853" i="18"/>
  <c r="I5853" i="18"/>
  <c r="J5853" i="18"/>
  <c r="K5853" i="18"/>
  <c r="L5853" i="18"/>
  <c r="B5854" i="18"/>
  <c r="C5854" i="18"/>
  <c r="D5854" i="18"/>
  <c r="E5854" i="18"/>
  <c r="F5854" i="18"/>
  <c r="G5854" i="18"/>
  <c r="H5854" i="18"/>
  <c r="I5854" i="18"/>
  <c r="J5854" i="18"/>
  <c r="K5854" i="18"/>
  <c r="L5854" i="18"/>
  <c r="B5855" i="18"/>
  <c r="C5855" i="18"/>
  <c r="D5855" i="18"/>
  <c r="E5855" i="18"/>
  <c r="F5855" i="18"/>
  <c r="G5855" i="18"/>
  <c r="H5855" i="18"/>
  <c r="I5855" i="18"/>
  <c r="J5855" i="18"/>
  <c r="K5855" i="18"/>
  <c r="L5855" i="18"/>
  <c r="B5856" i="18"/>
  <c r="C5856" i="18"/>
  <c r="D5856" i="18"/>
  <c r="E5856" i="18"/>
  <c r="F5856" i="18"/>
  <c r="G5856" i="18"/>
  <c r="H5856" i="18"/>
  <c r="I5856" i="18"/>
  <c r="J5856" i="18"/>
  <c r="K5856" i="18"/>
  <c r="L5856" i="18"/>
  <c r="B5857" i="18"/>
  <c r="C5857" i="18"/>
  <c r="D5857" i="18"/>
  <c r="E5857" i="18"/>
  <c r="F5857" i="18"/>
  <c r="G5857" i="18"/>
  <c r="H5857" i="18"/>
  <c r="I5857" i="18"/>
  <c r="J5857" i="18"/>
  <c r="K5857" i="18"/>
  <c r="L5857" i="18"/>
  <c r="B5858" i="18"/>
  <c r="C5858" i="18"/>
  <c r="D5858" i="18"/>
  <c r="E5858" i="18"/>
  <c r="F5858" i="18"/>
  <c r="G5858" i="18"/>
  <c r="H5858" i="18"/>
  <c r="I5858" i="18"/>
  <c r="J5858" i="18"/>
  <c r="K5858" i="18"/>
  <c r="L5858" i="18"/>
  <c r="B5859" i="18"/>
  <c r="C5859" i="18"/>
  <c r="D5859" i="18"/>
  <c r="E5859" i="18"/>
  <c r="F5859" i="18"/>
  <c r="G5859" i="18"/>
  <c r="H5859" i="18"/>
  <c r="I5859" i="18"/>
  <c r="J5859" i="18"/>
  <c r="K5859" i="18"/>
  <c r="L5859" i="18"/>
  <c r="B5860" i="18"/>
  <c r="C5860" i="18"/>
  <c r="D5860" i="18"/>
  <c r="E5860" i="18"/>
  <c r="F5860" i="18"/>
  <c r="G5860" i="18"/>
  <c r="H5860" i="18"/>
  <c r="I5860" i="18"/>
  <c r="J5860" i="18"/>
  <c r="K5860" i="18"/>
  <c r="L5860" i="18"/>
  <c r="B5861" i="18"/>
  <c r="C5861" i="18"/>
  <c r="D5861" i="18"/>
  <c r="E5861" i="18"/>
  <c r="F5861" i="18"/>
  <c r="G5861" i="18"/>
  <c r="H5861" i="18"/>
  <c r="I5861" i="18"/>
  <c r="J5861" i="18"/>
  <c r="K5861" i="18"/>
  <c r="L5861" i="18"/>
  <c r="B5862" i="18"/>
  <c r="C5862" i="18"/>
  <c r="D5862" i="18"/>
  <c r="E5862" i="18"/>
  <c r="F5862" i="18"/>
  <c r="G5862" i="18"/>
  <c r="H5862" i="18"/>
  <c r="I5862" i="18"/>
  <c r="J5862" i="18"/>
  <c r="K5862" i="18"/>
  <c r="L5862" i="18"/>
  <c r="B5863" i="18"/>
  <c r="C5863" i="18"/>
  <c r="D5863" i="18"/>
  <c r="E5863" i="18"/>
  <c r="F5863" i="18"/>
  <c r="G5863" i="18"/>
  <c r="H5863" i="18"/>
  <c r="I5863" i="18"/>
  <c r="J5863" i="18"/>
  <c r="K5863" i="18"/>
  <c r="L5863" i="18"/>
  <c r="B5864" i="18"/>
  <c r="C5864" i="18"/>
  <c r="D5864" i="18"/>
  <c r="E5864" i="18"/>
  <c r="F5864" i="18"/>
  <c r="G5864" i="18"/>
  <c r="H5864" i="18"/>
  <c r="I5864" i="18"/>
  <c r="J5864" i="18"/>
  <c r="K5864" i="18"/>
  <c r="L5864" i="18"/>
  <c r="B5865" i="18"/>
  <c r="C5865" i="18"/>
  <c r="D5865" i="18"/>
  <c r="E5865" i="18"/>
  <c r="F5865" i="18"/>
  <c r="G5865" i="18"/>
  <c r="H5865" i="18"/>
  <c r="I5865" i="18"/>
  <c r="J5865" i="18"/>
  <c r="K5865" i="18"/>
  <c r="L5865" i="18"/>
  <c r="B5866" i="18"/>
  <c r="C5866" i="18"/>
  <c r="D5866" i="18"/>
  <c r="E5866" i="18"/>
  <c r="F5866" i="18"/>
  <c r="G5866" i="18"/>
  <c r="H5866" i="18"/>
  <c r="I5866" i="18"/>
  <c r="J5866" i="18"/>
  <c r="K5866" i="18"/>
  <c r="L5866" i="18"/>
  <c r="B5867" i="18"/>
  <c r="C5867" i="18"/>
  <c r="D5867" i="18"/>
  <c r="E5867" i="18"/>
  <c r="F5867" i="18"/>
  <c r="G5867" i="18"/>
  <c r="H5867" i="18"/>
  <c r="I5867" i="18"/>
  <c r="J5867" i="18"/>
  <c r="K5867" i="18"/>
  <c r="L5867" i="18"/>
  <c r="B5868" i="18"/>
  <c r="C5868" i="18"/>
  <c r="D5868" i="18"/>
  <c r="E5868" i="18"/>
  <c r="F5868" i="18"/>
  <c r="G5868" i="18"/>
  <c r="H5868" i="18"/>
  <c r="I5868" i="18"/>
  <c r="J5868" i="18"/>
  <c r="K5868" i="18"/>
  <c r="L5868" i="18"/>
  <c r="B5869" i="18"/>
  <c r="C5869" i="18"/>
  <c r="D5869" i="18"/>
  <c r="E5869" i="18"/>
  <c r="F5869" i="18"/>
  <c r="G5869" i="18"/>
  <c r="H5869" i="18"/>
  <c r="I5869" i="18"/>
  <c r="J5869" i="18"/>
  <c r="K5869" i="18"/>
  <c r="L5869" i="18"/>
  <c r="B5870" i="18"/>
  <c r="C5870" i="18"/>
  <c r="D5870" i="18"/>
  <c r="E5870" i="18"/>
  <c r="F5870" i="18"/>
  <c r="G5870" i="18"/>
  <c r="H5870" i="18"/>
  <c r="I5870" i="18"/>
  <c r="J5870" i="18"/>
  <c r="K5870" i="18"/>
  <c r="L5870" i="18"/>
  <c r="B5871" i="18"/>
  <c r="C5871" i="18"/>
  <c r="D5871" i="18"/>
  <c r="E5871" i="18"/>
  <c r="F5871" i="18"/>
  <c r="G5871" i="18"/>
  <c r="H5871" i="18"/>
  <c r="I5871" i="18"/>
  <c r="J5871" i="18"/>
  <c r="K5871" i="18"/>
  <c r="L5871" i="18"/>
  <c r="B5872" i="18"/>
  <c r="C5872" i="18"/>
  <c r="D5872" i="18"/>
  <c r="E5872" i="18"/>
  <c r="F5872" i="18"/>
  <c r="G5872" i="18"/>
  <c r="H5872" i="18"/>
  <c r="I5872" i="18"/>
  <c r="J5872" i="18"/>
  <c r="K5872" i="18"/>
  <c r="L5872" i="18"/>
  <c r="B5873" i="18"/>
  <c r="C5873" i="18"/>
  <c r="D5873" i="18"/>
  <c r="E5873" i="18"/>
  <c r="F5873" i="18"/>
  <c r="G5873" i="18"/>
  <c r="H5873" i="18"/>
  <c r="I5873" i="18"/>
  <c r="J5873" i="18"/>
  <c r="K5873" i="18"/>
  <c r="L5873" i="18"/>
  <c r="B5874" i="18"/>
  <c r="C5874" i="18"/>
  <c r="D5874" i="18"/>
  <c r="E5874" i="18"/>
  <c r="F5874" i="18"/>
  <c r="G5874" i="18"/>
  <c r="H5874" i="18"/>
  <c r="I5874" i="18"/>
  <c r="J5874" i="18"/>
  <c r="K5874" i="18"/>
  <c r="L5874" i="18"/>
  <c r="B5875" i="18"/>
  <c r="C5875" i="18"/>
  <c r="D5875" i="18"/>
  <c r="E5875" i="18"/>
  <c r="F5875" i="18"/>
  <c r="G5875" i="18"/>
  <c r="H5875" i="18"/>
  <c r="I5875" i="18"/>
  <c r="J5875" i="18"/>
  <c r="K5875" i="18"/>
  <c r="L5875" i="18"/>
  <c r="B5876" i="18"/>
  <c r="C5876" i="18"/>
  <c r="D5876" i="18"/>
  <c r="E5876" i="18"/>
  <c r="F5876" i="18"/>
  <c r="G5876" i="18"/>
  <c r="H5876" i="18"/>
  <c r="I5876" i="18"/>
  <c r="J5876" i="18"/>
  <c r="K5876" i="18"/>
  <c r="L5876" i="18"/>
  <c r="B5877" i="18"/>
  <c r="C5877" i="18"/>
  <c r="D5877" i="18"/>
  <c r="E5877" i="18"/>
  <c r="F5877" i="18"/>
  <c r="G5877" i="18"/>
  <c r="H5877" i="18"/>
  <c r="I5877" i="18"/>
  <c r="J5877" i="18"/>
  <c r="K5877" i="18"/>
  <c r="L5877" i="18"/>
  <c r="B5878" i="18"/>
  <c r="C5878" i="18"/>
  <c r="D5878" i="18"/>
  <c r="E5878" i="18"/>
  <c r="F5878" i="18"/>
  <c r="G5878" i="18"/>
  <c r="H5878" i="18"/>
  <c r="I5878" i="18"/>
  <c r="J5878" i="18"/>
  <c r="K5878" i="18"/>
  <c r="L5878" i="18"/>
  <c r="B5879" i="18"/>
  <c r="C5879" i="18"/>
  <c r="D5879" i="18"/>
  <c r="E5879" i="18"/>
  <c r="F5879" i="18"/>
  <c r="G5879" i="18"/>
  <c r="H5879" i="18"/>
  <c r="I5879" i="18"/>
  <c r="J5879" i="18"/>
  <c r="K5879" i="18"/>
  <c r="L5879" i="18"/>
  <c r="B5880" i="18"/>
  <c r="C5880" i="18"/>
  <c r="D5880" i="18"/>
  <c r="E5880" i="18"/>
  <c r="F5880" i="18"/>
  <c r="G5880" i="18"/>
  <c r="H5880" i="18"/>
  <c r="I5880" i="18"/>
  <c r="J5880" i="18"/>
  <c r="K5880" i="18"/>
  <c r="L5880" i="18"/>
  <c r="B5881" i="18"/>
  <c r="C5881" i="18"/>
  <c r="D5881" i="18"/>
  <c r="E5881" i="18"/>
  <c r="F5881" i="18"/>
  <c r="G5881" i="18"/>
  <c r="H5881" i="18"/>
  <c r="I5881" i="18"/>
  <c r="J5881" i="18"/>
  <c r="K5881" i="18"/>
  <c r="L5881" i="18"/>
  <c r="B5882" i="18"/>
  <c r="C5882" i="18"/>
  <c r="D5882" i="18"/>
  <c r="E5882" i="18"/>
  <c r="F5882" i="18"/>
  <c r="G5882" i="18"/>
  <c r="H5882" i="18"/>
  <c r="I5882" i="18"/>
  <c r="J5882" i="18"/>
  <c r="K5882" i="18"/>
  <c r="L5882" i="18"/>
  <c r="B5883" i="18"/>
  <c r="C5883" i="18"/>
  <c r="D5883" i="18"/>
  <c r="E5883" i="18"/>
  <c r="F5883" i="18"/>
  <c r="G5883" i="18"/>
  <c r="H5883" i="18"/>
  <c r="I5883" i="18"/>
  <c r="J5883" i="18"/>
  <c r="K5883" i="18"/>
  <c r="L5883" i="18"/>
  <c r="B5884" i="18"/>
  <c r="C5884" i="18"/>
  <c r="D5884" i="18"/>
  <c r="E5884" i="18"/>
  <c r="F5884" i="18"/>
  <c r="G5884" i="18"/>
  <c r="H5884" i="18"/>
  <c r="I5884" i="18"/>
  <c r="J5884" i="18"/>
  <c r="K5884" i="18"/>
  <c r="L5884" i="18"/>
  <c r="B5885" i="18"/>
  <c r="C5885" i="18"/>
  <c r="D5885" i="18"/>
  <c r="E5885" i="18"/>
  <c r="F5885" i="18"/>
  <c r="G5885" i="18"/>
  <c r="H5885" i="18"/>
  <c r="I5885" i="18"/>
  <c r="J5885" i="18"/>
  <c r="K5885" i="18"/>
  <c r="L5885" i="18"/>
  <c r="B5886" i="18"/>
  <c r="C5886" i="18"/>
  <c r="D5886" i="18"/>
  <c r="E5886" i="18"/>
  <c r="F5886" i="18"/>
  <c r="G5886" i="18"/>
  <c r="H5886" i="18"/>
  <c r="I5886" i="18"/>
  <c r="J5886" i="18"/>
  <c r="K5886" i="18"/>
  <c r="L5886" i="18"/>
  <c r="B5887" i="18"/>
  <c r="C5887" i="18"/>
  <c r="D5887" i="18"/>
  <c r="E5887" i="18"/>
  <c r="F5887" i="18"/>
  <c r="G5887" i="18"/>
  <c r="H5887" i="18"/>
  <c r="I5887" i="18"/>
  <c r="J5887" i="18"/>
  <c r="K5887" i="18"/>
  <c r="L5887" i="18"/>
  <c r="B5888" i="18"/>
  <c r="C5888" i="18"/>
  <c r="D5888" i="18"/>
  <c r="E5888" i="18"/>
  <c r="F5888" i="18"/>
  <c r="G5888" i="18"/>
  <c r="H5888" i="18"/>
  <c r="I5888" i="18"/>
  <c r="J5888" i="18"/>
  <c r="K5888" i="18"/>
  <c r="L5888" i="18"/>
  <c r="B5889" i="18"/>
  <c r="C5889" i="18"/>
  <c r="D5889" i="18"/>
  <c r="E5889" i="18"/>
  <c r="F5889" i="18"/>
  <c r="G5889" i="18"/>
  <c r="H5889" i="18"/>
  <c r="I5889" i="18"/>
  <c r="J5889" i="18"/>
  <c r="K5889" i="18"/>
  <c r="L5889" i="18"/>
  <c r="B5890" i="18"/>
  <c r="C5890" i="18"/>
  <c r="D5890" i="18"/>
  <c r="E5890" i="18"/>
  <c r="F5890" i="18"/>
  <c r="G5890" i="18"/>
  <c r="H5890" i="18"/>
  <c r="I5890" i="18"/>
  <c r="J5890" i="18"/>
  <c r="K5890" i="18"/>
  <c r="L5890" i="18"/>
  <c r="B5891" i="18"/>
  <c r="C5891" i="18"/>
  <c r="D5891" i="18"/>
  <c r="E5891" i="18"/>
  <c r="F5891" i="18"/>
  <c r="G5891" i="18"/>
  <c r="H5891" i="18"/>
  <c r="I5891" i="18"/>
  <c r="J5891" i="18"/>
  <c r="K5891" i="18"/>
  <c r="L5891" i="18"/>
  <c r="B5892" i="18"/>
  <c r="C5892" i="18"/>
  <c r="D5892" i="18"/>
  <c r="E5892" i="18"/>
  <c r="F5892" i="18"/>
  <c r="G5892" i="18"/>
  <c r="H5892" i="18"/>
  <c r="I5892" i="18"/>
  <c r="J5892" i="18"/>
  <c r="K5892" i="18"/>
  <c r="L5892" i="18"/>
  <c r="B5893" i="18"/>
  <c r="C5893" i="18"/>
  <c r="D5893" i="18"/>
  <c r="E5893" i="18"/>
  <c r="F5893" i="18"/>
  <c r="G5893" i="18"/>
  <c r="H5893" i="18"/>
  <c r="I5893" i="18"/>
  <c r="J5893" i="18"/>
  <c r="K5893" i="18"/>
  <c r="L5893" i="18"/>
  <c r="B5894" i="18"/>
  <c r="C5894" i="18"/>
  <c r="D5894" i="18"/>
  <c r="E5894" i="18"/>
  <c r="F5894" i="18"/>
  <c r="G5894" i="18"/>
  <c r="H5894" i="18"/>
  <c r="I5894" i="18"/>
  <c r="J5894" i="18"/>
  <c r="K5894" i="18"/>
  <c r="L5894" i="18"/>
  <c r="B5895" i="18"/>
  <c r="C5895" i="18"/>
  <c r="D5895" i="18"/>
  <c r="E5895" i="18"/>
  <c r="F5895" i="18"/>
  <c r="G5895" i="18"/>
  <c r="H5895" i="18"/>
  <c r="I5895" i="18"/>
  <c r="J5895" i="18"/>
  <c r="K5895" i="18"/>
  <c r="L5895" i="18"/>
  <c r="B5896" i="18"/>
  <c r="C5896" i="18"/>
  <c r="D5896" i="18"/>
  <c r="E5896" i="18"/>
  <c r="F5896" i="18"/>
  <c r="G5896" i="18"/>
  <c r="H5896" i="18"/>
  <c r="I5896" i="18"/>
  <c r="J5896" i="18"/>
  <c r="K5896" i="18"/>
  <c r="L5896" i="18"/>
  <c r="B5897" i="18"/>
  <c r="C5897" i="18"/>
  <c r="D5897" i="18"/>
  <c r="E5897" i="18"/>
  <c r="F5897" i="18"/>
  <c r="G5897" i="18"/>
  <c r="H5897" i="18"/>
  <c r="I5897" i="18"/>
  <c r="J5897" i="18"/>
  <c r="K5897" i="18"/>
  <c r="L5897" i="18"/>
  <c r="B5898" i="18"/>
  <c r="C5898" i="18"/>
  <c r="D5898" i="18"/>
  <c r="E5898" i="18"/>
  <c r="F5898" i="18"/>
  <c r="G5898" i="18"/>
  <c r="H5898" i="18"/>
  <c r="I5898" i="18"/>
  <c r="J5898" i="18"/>
  <c r="K5898" i="18"/>
  <c r="L5898" i="18"/>
  <c r="B5899" i="18"/>
  <c r="C5899" i="18"/>
  <c r="D5899" i="18"/>
  <c r="E5899" i="18"/>
  <c r="F5899" i="18"/>
  <c r="G5899" i="18"/>
  <c r="H5899" i="18"/>
  <c r="I5899" i="18"/>
  <c r="J5899" i="18"/>
  <c r="K5899" i="18"/>
  <c r="L5899" i="18"/>
  <c r="B5900" i="18"/>
  <c r="C5900" i="18"/>
  <c r="D5900" i="18"/>
  <c r="E5900" i="18"/>
  <c r="F5900" i="18"/>
  <c r="G5900" i="18"/>
  <c r="H5900" i="18"/>
  <c r="I5900" i="18"/>
  <c r="J5900" i="18"/>
  <c r="K5900" i="18"/>
  <c r="L5900" i="18"/>
  <c r="B5901" i="18"/>
  <c r="C5901" i="18"/>
  <c r="D5901" i="18"/>
  <c r="E5901" i="18"/>
  <c r="F5901" i="18"/>
  <c r="G5901" i="18"/>
  <c r="H5901" i="18"/>
  <c r="I5901" i="18"/>
  <c r="J5901" i="18"/>
  <c r="K5901" i="18"/>
  <c r="L5901" i="18"/>
  <c r="B5902" i="18"/>
  <c r="C5902" i="18"/>
  <c r="D5902" i="18"/>
  <c r="E5902" i="18"/>
  <c r="F5902" i="18"/>
  <c r="G5902" i="18"/>
  <c r="H5902" i="18"/>
  <c r="I5902" i="18"/>
  <c r="J5902" i="18"/>
  <c r="K5902" i="18"/>
  <c r="L5902" i="18"/>
  <c r="B5903" i="18"/>
  <c r="C5903" i="18"/>
  <c r="D5903" i="18"/>
  <c r="E5903" i="18"/>
  <c r="F5903" i="18"/>
  <c r="G5903" i="18"/>
  <c r="H5903" i="18"/>
  <c r="I5903" i="18"/>
  <c r="J5903" i="18"/>
  <c r="K5903" i="18"/>
  <c r="L5903" i="18"/>
  <c r="B5904" i="18"/>
  <c r="C5904" i="18"/>
  <c r="D5904" i="18"/>
  <c r="E5904" i="18"/>
  <c r="F5904" i="18"/>
  <c r="G5904" i="18"/>
  <c r="H5904" i="18"/>
  <c r="I5904" i="18"/>
  <c r="J5904" i="18"/>
  <c r="K5904" i="18"/>
  <c r="L5904" i="18"/>
  <c r="B5905" i="18"/>
  <c r="C5905" i="18"/>
  <c r="D5905" i="18"/>
  <c r="E5905" i="18"/>
  <c r="F5905" i="18"/>
  <c r="G5905" i="18"/>
  <c r="H5905" i="18"/>
  <c r="I5905" i="18"/>
  <c r="J5905" i="18"/>
  <c r="K5905" i="18"/>
  <c r="L5905" i="18"/>
  <c r="B5906" i="18"/>
  <c r="C5906" i="18"/>
  <c r="D5906" i="18"/>
  <c r="E5906" i="18"/>
  <c r="F5906" i="18"/>
  <c r="G5906" i="18"/>
  <c r="H5906" i="18"/>
  <c r="I5906" i="18"/>
  <c r="J5906" i="18"/>
  <c r="K5906" i="18"/>
  <c r="L5906" i="18"/>
  <c r="B5907" i="18"/>
  <c r="C5907" i="18"/>
  <c r="D5907" i="18"/>
  <c r="E5907" i="18"/>
  <c r="F5907" i="18"/>
  <c r="G5907" i="18"/>
  <c r="H5907" i="18"/>
  <c r="I5907" i="18"/>
  <c r="J5907" i="18"/>
  <c r="K5907" i="18"/>
  <c r="L5907" i="18"/>
  <c r="B5908" i="18"/>
  <c r="C5908" i="18"/>
  <c r="D5908" i="18"/>
  <c r="E5908" i="18"/>
  <c r="F5908" i="18"/>
  <c r="G5908" i="18"/>
  <c r="H5908" i="18"/>
  <c r="I5908" i="18"/>
  <c r="J5908" i="18"/>
  <c r="K5908" i="18"/>
  <c r="L5908" i="18"/>
  <c r="B5909" i="18"/>
  <c r="C5909" i="18"/>
  <c r="D5909" i="18"/>
  <c r="E5909" i="18"/>
  <c r="F5909" i="18"/>
  <c r="G5909" i="18"/>
  <c r="H5909" i="18"/>
  <c r="I5909" i="18"/>
  <c r="J5909" i="18"/>
  <c r="K5909" i="18"/>
  <c r="L5909" i="18"/>
  <c r="B5910" i="18"/>
  <c r="C5910" i="18"/>
  <c r="D5910" i="18"/>
  <c r="E5910" i="18"/>
  <c r="F5910" i="18"/>
  <c r="G5910" i="18"/>
  <c r="H5910" i="18"/>
  <c r="I5910" i="18"/>
  <c r="J5910" i="18"/>
  <c r="K5910" i="18"/>
  <c r="L5910" i="18"/>
  <c r="B5911" i="18"/>
  <c r="C5911" i="18"/>
  <c r="D5911" i="18"/>
  <c r="E5911" i="18"/>
  <c r="F5911" i="18"/>
  <c r="G5911" i="18"/>
  <c r="H5911" i="18"/>
  <c r="I5911" i="18"/>
  <c r="J5911" i="18"/>
  <c r="K5911" i="18"/>
  <c r="L5911" i="18"/>
  <c r="B5912" i="18"/>
  <c r="C5912" i="18"/>
  <c r="D5912" i="18"/>
  <c r="E5912" i="18"/>
  <c r="F5912" i="18"/>
  <c r="G5912" i="18"/>
  <c r="H5912" i="18"/>
  <c r="I5912" i="18"/>
  <c r="J5912" i="18"/>
  <c r="K5912" i="18"/>
  <c r="L5912" i="18"/>
  <c r="B5913" i="18"/>
  <c r="C5913" i="18"/>
  <c r="D5913" i="18"/>
  <c r="E5913" i="18"/>
  <c r="F5913" i="18"/>
  <c r="G5913" i="18"/>
  <c r="H5913" i="18"/>
  <c r="I5913" i="18"/>
  <c r="J5913" i="18"/>
  <c r="K5913" i="18"/>
  <c r="L5913" i="18"/>
  <c r="B5914" i="18"/>
  <c r="C5914" i="18"/>
  <c r="D5914" i="18"/>
  <c r="E5914" i="18"/>
  <c r="F5914" i="18"/>
  <c r="G5914" i="18"/>
  <c r="H5914" i="18"/>
  <c r="I5914" i="18"/>
  <c r="J5914" i="18"/>
  <c r="K5914" i="18"/>
  <c r="L5914" i="18"/>
  <c r="B5915" i="18"/>
  <c r="C5915" i="18"/>
  <c r="D5915" i="18"/>
  <c r="E5915" i="18"/>
  <c r="F5915" i="18"/>
  <c r="G5915" i="18"/>
  <c r="H5915" i="18"/>
  <c r="I5915" i="18"/>
  <c r="J5915" i="18"/>
  <c r="K5915" i="18"/>
  <c r="L5915" i="18"/>
  <c r="B5916" i="18"/>
  <c r="C5916" i="18"/>
  <c r="D5916" i="18"/>
  <c r="E5916" i="18"/>
  <c r="F5916" i="18"/>
  <c r="G5916" i="18"/>
  <c r="H5916" i="18"/>
  <c r="I5916" i="18"/>
  <c r="J5916" i="18"/>
  <c r="K5916" i="18"/>
  <c r="L5916" i="18"/>
  <c r="B5917" i="18"/>
  <c r="C5917" i="18"/>
  <c r="D5917" i="18"/>
  <c r="E5917" i="18"/>
  <c r="F5917" i="18"/>
  <c r="G5917" i="18"/>
  <c r="H5917" i="18"/>
  <c r="I5917" i="18"/>
  <c r="J5917" i="18"/>
  <c r="K5917" i="18"/>
  <c r="L5917" i="18"/>
  <c r="B5918" i="18"/>
  <c r="C5918" i="18"/>
  <c r="D5918" i="18"/>
  <c r="E5918" i="18"/>
  <c r="F5918" i="18"/>
  <c r="G5918" i="18"/>
  <c r="H5918" i="18"/>
  <c r="I5918" i="18"/>
  <c r="J5918" i="18"/>
  <c r="K5918" i="18"/>
  <c r="L5918" i="18"/>
  <c r="B5919" i="18"/>
  <c r="C5919" i="18"/>
  <c r="D5919" i="18"/>
  <c r="E5919" i="18"/>
  <c r="F5919" i="18"/>
  <c r="G5919" i="18"/>
  <c r="H5919" i="18"/>
  <c r="I5919" i="18"/>
  <c r="J5919" i="18"/>
  <c r="K5919" i="18"/>
  <c r="L5919" i="18"/>
  <c r="B5920" i="18"/>
  <c r="C5920" i="18"/>
  <c r="D5920" i="18"/>
  <c r="E5920" i="18"/>
  <c r="F5920" i="18"/>
  <c r="G5920" i="18"/>
  <c r="H5920" i="18"/>
  <c r="I5920" i="18"/>
  <c r="J5920" i="18"/>
  <c r="K5920" i="18"/>
  <c r="L5920" i="18"/>
  <c r="B5921" i="18"/>
  <c r="C5921" i="18"/>
  <c r="D5921" i="18"/>
  <c r="E5921" i="18"/>
  <c r="F5921" i="18"/>
  <c r="G5921" i="18"/>
  <c r="H5921" i="18"/>
  <c r="I5921" i="18"/>
  <c r="J5921" i="18"/>
  <c r="K5921" i="18"/>
  <c r="L5921" i="18"/>
  <c r="B5922" i="18"/>
  <c r="C5922" i="18"/>
  <c r="D5922" i="18"/>
  <c r="E5922" i="18"/>
  <c r="F5922" i="18"/>
  <c r="G5922" i="18"/>
  <c r="H5922" i="18"/>
  <c r="I5922" i="18"/>
  <c r="J5922" i="18"/>
  <c r="K5922" i="18"/>
  <c r="L5922" i="18"/>
  <c r="B5923" i="18"/>
  <c r="C5923" i="18"/>
  <c r="D5923" i="18"/>
  <c r="E5923" i="18"/>
  <c r="F5923" i="18"/>
  <c r="G5923" i="18"/>
  <c r="H5923" i="18"/>
  <c r="I5923" i="18"/>
  <c r="J5923" i="18"/>
  <c r="K5923" i="18"/>
  <c r="L5923" i="18"/>
  <c r="B5924" i="18"/>
  <c r="C5924" i="18"/>
  <c r="D5924" i="18"/>
  <c r="E5924" i="18"/>
  <c r="F5924" i="18"/>
  <c r="G5924" i="18"/>
  <c r="H5924" i="18"/>
  <c r="I5924" i="18"/>
  <c r="J5924" i="18"/>
  <c r="K5924" i="18"/>
  <c r="L5924" i="18"/>
  <c r="B5925" i="18"/>
  <c r="C5925" i="18"/>
  <c r="D5925" i="18"/>
  <c r="E5925" i="18"/>
  <c r="F5925" i="18"/>
  <c r="G5925" i="18"/>
  <c r="H5925" i="18"/>
  <c r="I5925" i="18"/>
  <c r="J5925" i="18"/>
  <c r="K5925" i="18"/>
  <c r="L5925" i="18"/>
  <c r="B5926" i="18"/>
  <c r="C5926" i="18"/>
  <c r="D5926" i="18"/>
  <c r="E5926" i="18"/>
  <c r="F5926" i="18"/>
  <c r="G5926" i="18"/>
  <c r="H5926" i="18"/>
  <c r="I5926" i="18"/>
  <c r="J5926" i="18"/>
  <c r="K5926" i="18"/>
  <c r="L5926" i="18"/>
  <c r="B5927" i="18"/>
  <c r="C5927" i="18"/>
  <c r="D5927" i="18"/>
  <c r="E5927" i="18"/>
  <c r="F5927" i="18"/>
  <c r="G5927" i="18"/>
  <c r="H5927" i="18"/>
  <c r="I5927" i="18"/>
  <c r="J5927" i="18"/>
  <c r="K5927" i="18"/>
  <c r="L5927" i="18"/>
  <c r="B5928" i="18"/>
  <c r="C5928" i="18"/>
  <c r="D5928" i="18"/>
  <c r="E5928" i="18"/>
  <c r="F5928" i="18"/>
  <c r="G5928" i="18"/>
  <c r="H5928" i="18"/>
  <c r="I5928" i="18"/>
  <c r="J5928" i="18"/>
  <c r="K5928" i="18"/>
  <c r="L5928" i="18"/>
  <c r="B5929" i="18"/>
  <c r="C5929" i="18"/>
  <c r="D5929" i="18"/>
  <c r="E5929" i="18"/>
  <c r="F5929" i="18"/>
  <c r="G5929" i="18"/>
  <c r="H5929" i="18"/>
  <c r="I5929" i="18"/>
  <c r="J5929" i="18"/>
  <c r="K5929" i="18"/>
  <c r="L5929" i="18"/>
  <c r="B5930" i="18"/>
  <c r="C5930" i="18"/>
  <c r="D5930" i="18"/>
  <c r="E5930" i="18"/>
  <c r="F5930" i="18"/>
  <c r="G5930" i="18"/>
  <c r="H5930" i="18"/>
  <c r="I5930" i="18"/>
  <c r="J5930" i="18"/>
  <c r="K5930" i="18"/>
  <c r="L5930" i="18"/>
  <c r="B5931" i="18"/>
  <c r="C5931" i="18"/>
  <c r="D5931" i="18"/>
  <c r="E5931" i="18"/>
  <c r="F5931" i="18"/>
  <c r="G5931" i="18"/>
  <c r="H5931" i="18"/>
  <c r="I5931" i="18"/>
  <c r="J5931" i="18"/>
  <c r="K5931" i="18"/>
  <c r="L5931" i="18"/>
  <c r="B5932" i="18"/>
  <c r="C5932" i="18"/>
  <c r="D5932" i="18"/>
  <c r="E5932" i="18"/>
  <c r="F5932" i="18"/>
  <c r="G5932" i="18"/>
  <c r="H5932" i="18"/>
  <c r="I5932" i="18"/>
  <c r="J5932" i="18"/>
  <c r="K5932" i="18"/>
  <c r="L5932" i="18"/>
  <c r="B5933" i="18"/>
  <c r="C5933" i="18"/>
  <c r="D5933" i="18"/>
  <c r="E5933" i="18"/>
  <c r="F5933" i="18"/>
  <c r="G5933" i="18"/>
  <c r="H5933" i="18"/>
  <c r="I5933" i="18"/>
  <c r="J5933" i="18"/>
  <c r="K5933" i="18"/>
  <c r="L5933" i="18"/>
  <c r="B5934" i="18"/>
  <c r="C5934" i="18"/>
  <c r="D5934" i="18"/>
  <c r="E5934" i="18"/>
  <c r="F5934" i="18"/>
  <c r="G5934" i="18"/>
  <c r="H5934" i="18"/>
  <c r="I5934" i="18"/>
  <c r="J5934" i="18"/>
  <c r="K5934" i="18"/>
  <c r="L5934" i="18"/>
  <c r="B5935" i="18"/>
  <c r="C5935" i="18"/>
  <c r="D5935" i="18"/>
  <c r="E5935" i="18"/>
  <c r="F5935" i="18"/>
  <c r="G5935" i="18"/>
  <c r="H5935" i="18"/>
  <c r="I5935" i="18"/>
  <c r="J5935" i="18"/>
  <c r="K5935" i="18"/>
  <c r="L5935" i="18"/>
  <c r="B5936" i="18"/>
  <c r="C5936" i="18"/>
  <c r="D5936" i="18"/>
  <c r="E5936" i="18"/>
  <c r="F5936" i="18"/>
  <c r="G5936" i="18"/>
  <c r="H5936" i="18"/>
  <c r="I5936" i="18"/>
  <c r="J5936" i="18"/>
  <c r="K5936" i="18"/>
  <c r="L5936" i="18"/>
  <c r="B5937" i="18"/>
  <c r="C5937" i="18"/>
  <c r="D5937" i="18"/>
  <c r="E5937" i="18"/>
  <c r="F5937" i="18"/>
  <c r="G5937" i="18"/>
  <c r="H5937" i="18"/>
  <c r="I5937" i="18"/>
  <c r="J5937" i="18"/>
  <c r="K5937" i="18"/>
  <c r="L5937" i="18"/>
  <c r="B5938" i="18"/>
  <c r="C5938" i="18"/>
  <c r="D5938" i="18"/>
  <c r="E5938" i="18"/>
  <c r="F5938" i="18"/>
  <c r="G5938" i="18"/>
  <c r="H5938" i="18"/>
  <c r="I5938" i="18"/>
  <c r="J5938" i="18"/>
  <c r="K5938" i="18"/>
  <c r="L5938" i="18"/>
  <c r="B5939" i="18"/>
  <c r="C5939" i="18"/>
  <c r="D5939" i="18"/>
  <c r="E5939" i="18"/>
  <c r="F5939" i="18"/>
  <c r="G5939" i="18"/>
  <c r="H5939" i="18"/>
  <c r="I5939" i="18"/>
  <c r="J5939" i="18"/>
  <c r="K5939" i="18"/>
  <c r="L5939" i="18"/>
  <c r="B5940" i="18"/>
  <c r="C5940" i="18"/>
  <c r="D5940" i="18"/>
  <c r="E5940" i="18"/>
  <c r="F5940" i="18"/>
  <c r="G5940" i="18"/>
  <c r="H5940" i="18"/>
  <c r="I5940" i="18"/>
  <c r="J5940" i="18"/>
  <c r="K5940" i="18"/>
  <c r="L5940" i="18"/>
  <c r="B5941" i="18"/>
  <c r="C5941" i="18"/>
  <c r="D5941" i="18"/>
  <c r="E5941" i="18"/>
  <c r="F5941" i="18"/>
  <c r="G5941" i="18"/>
  <c r="H5941" i="18"/>
  <c r="I5941" i="18"/>
  <c r="J5941" i="18"/>
  <c r="K5941" i="18"/>
  <c r="L5941" i="18"/>
  <c r="B5942" i="18"/>
  <c r="C5942" i="18"/>
  <c r="D5942" i="18"/>
  <c r="E5942" i="18"/>
  <c r="F5942" i="18"/>
  <c r="G5942" i="18"/>
  <c r="H5942" i="18"/>
  <c r="I5942" i="18"/>
  <c r="J5942" i="18"/>
  <c r="K5942" i="18"/>
  <c r="L5942" i="18"/>
  <c r="B5943" i="18"/>
  <c r="C5943" i="18"/>
  <c r="D5943" i="18"/>
  <c r="E5943" i="18"/>
  <c r="F5943" i="18"/>
  <c r="G5943" i="18"/>
  <c r="H5943" i="18"/>
  <c r="I5943" i="18"/>
  <c r="J5943" i="18"/>
  <c r="K5943" i="18"/>
  <c r="L5943" i="18"/>
  <c r="B5944" i="18"/>
  <c r="C5944" i="18"/>
  <c r="D5944" i="18"/>
  <c r="E5944" i="18"/>
  <c r="F5944" i="18"/>
  <c r="G5944" i="18"/>
  <c r="H5944" i="18"/>
  <c r="I5944" i="18"/>
  <c r="J5944" i="18"/>
  <c r="K5944" i="18"/>
  <c r="L5944" i="18"/>
  <c r="B5945" i="18"/>
  <c r="C5945" i="18"/>
  <c r="D5945" i="18"/>
  <c r="E5945" i="18"/>
  <c r="F5945" i="18"/>
  <c r="G5945" i="18"/>
  <c r="H5945" i="18"/>
  <c r="I5945" i="18"/>
  <c r="J5945" i="18"/>
  <c r="K5945" i="18"/>
  <c r="L5945" i="18"/>
  <c r="B5946" i="18"/>
  <c r="C5946" i="18"/>
  <c r="D5946" i="18"/>
  <c r="E5946" i="18"/>
  <c r="F5946" i="18"/>
  <c r="G5946" i="18"/>
  <c r="H5946" i="18"/>
  <c r="I5946" i="18"/>
  <c r="J5946" i="18"/>
  <c r="K5946" i="18"/>
  <c r="L5946" i="18"/>
  <c r="B5947" i="18"/>
  <c r="C5947" i="18"/>
  <c r="D5947" i="18"/>
  <c r="E5947" i="18"/>
  <c r="F5947" i="18"/>
  <c r="G5947" i="18"/>
  <c r="H5947" i="18"/>
  <c r="I5947" i="18"/>
  <c r="J5947" i="18"/>
  <c r="K5947" i="18"/>
  <c r="L5947" i="18"/>
  <c r="B5948" i="18"/>
  <c r="C5948" i="18"/>
  <c r="D5948" i="18"/>
  <c r="E5948" i="18"/>
  <c r="F5948" i="18"/>
  <c r="G5948" i="18"/>
  <c r="H5948" i="18"/>
  <c r="I5948" i="18"/>
  <c r="J5948" i="18"/>
  <c r="K5948" i="18"/>
  <c r="L5948" i="18"/>
  <c r="B5949" i="18"/>
  <c r="C5949" i="18"/>
  <c r="D5949" i="18"/>
  <c r="E5949" i="18"/>
  <c r="F5949" i="18"/>
  <c r="G5949" i="18"/>
  <c r="H5949" i="18"/>
  <c r="I5949" i="18"/>
  <c r="J5949" i="18"/>
  <c r="K5949" i="18"/>
  <c r="L5949" i="18"/>
  <c r="B5950" i="18"/>
  <c r="C5950" i="18"/>
  <c r="D5950" i="18"/>
  <c r="E5950" i="18"/>
  <c r="F5950" i="18"/>
  <c r="G5950" i="18"/>
  <c r="H5950" i="18"/>
  <c r="I5950" i="18"/>
  <c r="J5950" i="18"/>
  <c r="K5950" i="18"/>
  <c r="L5950" i="18"/>
  <c r="B5951" i="18"/>
  <c r="C5951" i="18"/>
  <c r="D5951" i="18"/>
  <c r="E5951" i="18"/>
  <c r="F5951" i="18"/>
  <c r="G5951" i="18"/>
  <c r="H5951" i="18"/>
  <c r="I5951" i="18"/>
  <c r="J5951" i="18"/>
  <c r="K5951" i="18"/>
  <c r="L5951" i="18"/>
  <c r="B5952" i="18"/>
  <c r="C5952" i="18"/>
  <c r="D5952" i="18"/>
  <c r="E5952" i="18"/>
  <c r="F5952" i="18"/>
  <c r="G5952" i="18"/>
  <c r="H5952" i="18"/>
  <c r="I5952" i="18"/>
  <c r="J5952" i="18"/>
  <c r="K5952" i="18"/>
  <c r="L5952" i="18"/>
  <c r="B5953" i="18"/>
  <c r="C5953" i="18"/>
  <c r="D5953" i="18"/>
  <c r="E5953" i="18"/>
  <c r="F5953" i="18"/>
  <c r="G5953" i="18"/>
  <c r="H5953" i="18"/>
  <c r="I5953" i="18"/>
  <c r="J5953" i="18"/>
  <c r="K5953" i="18"/>
  <c r="L5953" i="18"/>
  <c r="B5954" i="18"/>
  <c r="C5954" i="18"/>
  <c r="D5954" i="18"/>
  <c r="E5954" i="18"/>
  <c r="F5954" i="18"/>
  <c r="G5954" i="18"/>
  <c r="H5954" i="18"/>
  <c r="I5954" i="18"/>
  <c r="J5954" i="18"/>
  <c r="K5954" i="18"/>
  <c r="L5954" i="18"/>
  <c r="B5955" i="18"/>
  <c r="C5955" i="18"/>
  <c r="D5955" i="18"/>
  <c r="E5955" i="18"/>
  <c r="F5955" i="18"/>
  <c r="G5955" i="18"/>
  <c r="H5955" i="18"/>
  <c r="I5955" i="18"/>
  <c r="J5955" i="18"/>
  <c r="K5955" i="18"/>
  <c r="L5955" i="18"/>
  <c r="B5956" i="18"/>
  <c r="C5956" i="18"/>
  <c r="D5956" i="18"/>
  <c r="E5956" i="18"/>
  <c r="F5956" i="18"/>
  <c r="G5956" i="18"/>
  <c r="H5956" i="18"/>
  <c r="I5956" i="18"/>
  <c r="J5956" i="18"/>
  <c r="K5956" i="18"/>
  <c r="L5956" i="18"/>
  <c r="B5957" i="18"/>
  <c r="C5957" i="18"/>
  <c r="D5957" i="18"/>
  <c r="E5957" i="18"/>
  <c r="F5957" i="18"/>
  <c r="G5957" i="18"/>
  <c r="H5957" i="18"/>
  <c r="I5957" i="18"/>
  <c r="J5957" i="18"/>
  <c r="K5957" i="18"/>
  <c r="L5957" i="18"/>
  <c r="B5958" i="18"/>
  <c r="C5958" i="18"/>
  <c r="D5958" i="18"/>
  <c r="E5958" i="18"/>
  <c r="F5958" i="18"/>
  <c r="G5958" i="18"/>
  <c r="H5958" i="18"/>
  <c r="I5958" i="18"/>
  <c r="J5958" i="18"/>
  <c r="K5958" i="18"/>
  <c r="L5958" i="18"/>
  <c r="B5959" i="18"/>
  <c r="C5959" i="18"/>
  <c r="D5959" i="18"/>
  <c r="E5959" i="18"/>
  <c r="F5959" i="18"/>
  <c r="G5959" i="18"/>
  <c r="H5959" i="18"/>
  <c r="I5959" i="18"/>
  <c r="J5959" i="18"/>
  <c r="K5959" i="18"/>
  <c r="L5959" i="18"/>
  <c r="B5960" i="18"/>
  <c r="C5960" i="18"/>
  <c r="D5960" i="18"/>
  <c r="E5960" i="18"/>
  <c r="F5960" i="18"/>
  <c r="G5960" i="18"/>
  <c r="H5960" i="18"/>
  <c r="I5960" i="18"/>
  <c r="J5960" i="18"/>
  <c r="K5960" i="18"/>
  <c r="L5960" i="18"/>
  <c r="B5961" i="18"/>
  <c r="C5961" i="18"/>
  <c r="D5961" i="18"/>
  <c r="E5961" i="18"/>
  <c r="F5961" i="18"/>
  <c r="G5961" i="18"/>
  <c r="H5961" i="18"/>
  <c r="I5961" i="18"/>
  <c r="J5961" i="18"/>
  <c r="K5961" i="18"/>
  <c r="L5961" i="18"/>
  <c r="B5962" i="18"/>
  <c r="C5962" i="18"/>
  <c r="D5962" i="18"/>
  <c r="E5962" i="18"/>
  <c r="F5962" i="18"/>
  <c r="G5962" i="18"/>
  <c r="H5962" i="18"/>
  <c r="I5962" i="18"/>
  <c r="J5962" i="18"/>
  <c r="K5962" i="18"/>
  <c r="L5962" i="18"/>
  <c r="B5963" i="18"/>
  <c r="C5963" i="18"/>
  <c r="D5963" i="18"/>
  <c r="E5963" i="18"/>
  <c r="F5963" i="18"/>
  <c r="G5963" i="18"/>
  <c r="H5963" i="18"/>
  <c r="I5963" i="18"/>
  <c r="J5963" i="18"/>
  <c r="K5963" i="18"/>
  <c r="L5963" i="18"/>
  <c r="B5964" i="18"/>
  <c r="C5964" i="18"/>
  <c r="D5964" i="18"/>
  <c r="E5964" i="18"/>
  <c r="F5964" i="18"/>
  <c r="G5964" i="18"/>
  <c r="H5964" i="18"/>
  <c r="I5964" i="18"/>
  <c r="J5964" i="18"/>
  <c r="K5964" i="18"/>
  <c r="L5964" i="18"/>
  <c r="B5965" i="18"/>
  <c r="C5965" i="18"/>
  <c r="D5965" i="18"/>
  <c r="E5965" i="18"/>
  <c r="F5965" i="18"/>
  <c r="G5965" i="18"/>
  <c r="H5965" i="18"/>
  <c r="I5965" i="18"/>
  <c r="J5965" i="18"/>
  <c r="K5965" i="18"/>
  <c r="L5965" i="18"/>
  <c r="B5966" i="18"/>
  <c r="C5966" i="18"/>
  <c r="D5966" i="18"/>
  <c r="E5966" i="18"/>
  <c r="F5966" i="18"/>
  <c r="G5966" i="18"/>
  <c r="H5966" i="18"/>
  <c r="I5966" i="18"/>
  <c r="J5966" i="18"/>
  <c r="K5966" i="18"/>
  <c r="L5966" i="18"/>
  <c r="B5967" i="18"/>
  <c r="C5967" i="18"/>
  <c r="D5967" i="18"/>
  <c r="E5967" i="18"/>
  <c r="F5967" i="18"/>
  <c r="G5967" i="18"/>
  <c r="H5967" i="18"/>
  <c r="I5967" i="18"/>
  <c r="J5967" i="18"/>
  <c r="K5967" i="18"/>
  <c r="L5967" i="18"/>
  <c r="B5968" i="18"/>
  <c r="C5968" i="18"/>
  <c r="D5968" i="18"/>
  <c r="E5968" i="18"/>
  <c r="F5968" i="18"/>
  <c r="G5968" i="18"/>
  <c r="H5968" i="18"/>
  <c r="I5968" i="18"/>
  <c r="J5968" i="18"/>
  <c r="K5968" i="18"/>
  <c r="L5968" i="18"/>
  <c r="B5969" i="18"/>
  <c r="C5969" i="18"/>
  <c r="D5969" i="18"/>
  <c r="E5969" i="18"/>
  <c r="F5969" i="18"/>
  <c r="G5969" i="18"/>
  <c r="H5969" i="18"/>
  <c r="I5969" i="18"/>
  <c r="J5969" i="18"/>
  <c r="K5969" i="18"/>
  <c r="L5969" i="18"/>
  <c r="B5970" i="18"/>
  <c r="C5970" i="18"/>
  <c r="D5970" i="18"/>
  <c r="E5970" i="18"/>
  <c r="F5970" i="18"/>
  <c r="G5970" i="18"/>
  <c r="H5970" i="18"/>
  <c r="I5970" i="18"/>
  <c r="J5970" i="18"/>
  <c r="K5970" i="18"/>
  <c r="L5970" i="18"/>
  <c r="B5971" i="18"/>
  <c r="C5971" i="18"/>
  <c r="D5971" i="18"/>
  <c r="E5971" i="18"/>
  <c r="F5971" i="18"/>
  <c r="G5971" i="18"/>
  <c r="H5971" i="18"/>
  <c r="I5971" i="18"/>
  <c r="J5971" i="18"/>
  <c r="K5971" i="18"/>
  <c r="L5971" i="18"/>
  <c r="B5972" i="18"/>
  <c r="C5972" i="18"/>
  <c r="D5972" i="18"/>
  <c r="E5972" i="18"/>
  <c r="F5972" i="18"/>
  <c r="G5972" i="18"/>
  <c r="H5972" i="18"/>
  <c r="I5972" i="18"/>
  <c r="J5972" i="18"/>
  <c r="K5972" i="18"/>
  <c r="L5972" i="18"/>
  <c r="B5973" i="18"/>
  <c r="C5973" i="18"/>
  <c r="D5973" i="18"/>
  <c r="E5973" i="18"/>
  <c r="F5973" i="18"/>
  <c r="G5973" i="18"/>
  <c r="H5973" i="18"/>
  <c r="I5973" i="18"/>
  <c r="J5973" i="18"/>
  <c r="K5973" i="18"/>
  <c r="L5973" i="18"/>
  <c r="B5974" i="18"/>
  <c r="C5974" i="18"/>
  <c r="D5974" i="18"/>
  <c r="E5974" i="18"/>
  <c r="F5974" i="18"/>
  <c r="G5974" i="18"/>
  <c r="H5974" i="18"/>
  <c r="I5974" i="18"/>
  <c r="J5974" i="18"/>
  <c r="K5974" i="18"/>
  <c r="L5974" i="18"/>
  <c r="B5975" i="18"/>
  <c r="C5975" i="18"/>
  <c r="D5975" i="18"/>
  <c r="E5975" i="18"/>
  <c r="F5975" i="18"/>
  <c r="G5975" i="18"/>
  <c r="H5975" i="18"/>
  <c r="I5975" i="18"/>
  <c r="J5975" i="18"/>
  <c r="K5975" i="18"/>
  <c r="L5975" i="18"/>
  <c r="B5976" i="18"/>
  <c r="C5976" i="18"/>
  <c r="D5976" i="18"/>
  <c r="E5976" i="18"/>
  <c r="F5976" i="18"/>
  <c r="G5976" i="18"/>
  <c r="H5976" i="18"/>
  <c r="I5976" i="18"/>
  <c r="J5976" i="18"/>
  <c r="K5976" i="18"/>
  <c r="L5976" i="18"/>
  <c r="B5977" i="18"/>
  <c r="C5977" i="18"/>
  <c r="D5977" i="18"/>
  <c r="E5977" i="18"/>
  <c r="F5977" i="18"/>
  <c r="G5977" i="18"/>
  <c r="H5977" i="18"/>
  <c r="I5977" i="18"/>
  <c r="J5977" i="18"/>
  <c r="K5977" i="18"/>
  <c r="L5977" i="18"/>
  <c r="B5978" i="18"/>
  <c r="C5978" i="18"/>
  <c r="D5978" i="18"/>
  <c r="E5978" i="18"/>
  <c r="F5978" i="18"/>
  <c r="G5978" i="18"/>
  <c r="H5978" i="18"/>
  <c r="I5978" i="18"/>
  <c r="J5978" i="18"/>
  <c r="K5978" i="18"/>
  <c r="L5978" i="18"/>
  <c r="B5979" i="18"/>
  <c r="C5979" i="18"/>
  <c r="D5979" i="18"/>
  <c r="E5979" i="18"/>
  <c r="F5979" i="18"/>
  <c r="G5979" i="18"/>
  <c r="H5979" i="18"/>
  <c r="I5979" i="18"/>
  <c r="J5979" i="18"/>
  <c r="K5979" i="18"/>
  <c r="L5979" i="18"/>
  <c r="B5980" i="18"/>
  <c r="C5980" i="18"/>
  <c r="D5980" i="18"/>
  <c r="E5980" i="18"/>
  <c r="F5980" i="18"/>
  <c r="G5980" i="18"/>
  <c r="H5980" i="18"/>
  <c r="I5980" i="18"/>
  <c r="J5980" i="18"/>
  <c r="K5980" i="18"/>
  <c r="L5980" i="18"/>
  <c r="B5981" i="18"/>
  <c r="C5981" i="18"/>
  <c r="D5981" i="18"/>
  <c r="E5981" i="18"/>
  <c r="F5981" i="18"/>
  <c r="G5981" i="18"/>
  <c r="H5981" i="18"/>
  <c r="I5981" i="18"/>
  <c r="J5981" i="18"/>
  <c r="K5981" i="18"/>
  <c r="L5981" i="18"/>
  <c r="B5982" i="18"/>
  <c r="C5982" i="18"/>
  <c r="D5982" i="18"/>
  <c r="E5982" i="18"/>
  <c r="F5982" i="18"/>
  <c r="G5982" i="18"/>
  <c r="H5982" i="18"/>
  <c r="I5982" i="18"/>
  <c r="J5982" i="18"/>
  <c r="K5982" i="18"/>
  <c r="L5982" i="18"/>
  <c r="B5983" i="18"/>
  <c r="C5983" i="18"/>
  <c r="D5983" i="18"/>
  <c r="E5983" i="18"/>
  <c r="F5983" i="18"/>
  <c r="G5983" i="18"/>
  <c r="H5983" i="18"/>
  <c r="I5983" i="18"/>
  <c r="J5983" i="18"/>
  <c r="K5983" i="18"/>
  <c r="L5983" i="18"/>
  <c r="B5984" i="18"/>
  <c r="C5984" i="18"/>
  <c r="D5984" i="18"/>
  <c r="E5984" i="18"/>
  <c r="F5984" i="18"/>
  <c r="G5984" i="18"/>
  <c r="H5984" i="18"/>
  <c r="I5984" i="18"/>
  <c r="J5984" i="18"/>
  <c r="K5984" i="18"/>
  <c r="L5984" i="18"/>
  <c r="B5985" i="18"/>
  <c r="C5985" i="18"/>
  <c r="D5985" i="18"/>
  <c r="E5985" i="18"/>
  <c r="F5985" i="18"/>
  <c r="G5985" i="18"/>
  <c r="H5985" i="18"/>
  <c r="I5985" i="18"/>
  <c r="J5985" i="18"/>
  <c r="K5985" i="18"/>
  <c r="L5985" i="18"/>
  <c r="B5986" i="18"/>
  <c r="C5986" i="18"/>
  <c r="D5986" i="18"/>
  <c r="E5986" i="18"/>
  <c r="F5986" i="18"/>
  <c r="G5986" i="18"/>
  <c r="H5986" i="18"/>
  <c r="I5986" i="18"/>
  <c r="J5986" i="18"/>
  <c r="K5986" i="18"/>
  <c r="L5986" i="18"/>
  <c r="B5987" i="18"/>
  <c r="C5987" i="18"/>
  <c r="D5987" i="18"/>
  <c r="E5987" i="18"/>
  <c r="F5987" i="18"/>
  <c r="G5987" i="18"/>
  <c r="H5987" i="18"/>
  <c r="I5987" i="18"/>
  <c r="J5987" i="18"/>
  <c r="K5987" i="18"/>
  <c r="L5987" i="18"/>
  <c r="B5988" i="18"/>
  <c r="C5988" i="18"/>
  <c r="D5988" i="18"/>
  <c r="E5988" i="18"/>
  <c r="F5988" i="18"/>
  <c r="G5988" i="18"/>
  <c r="H5988" i="18"/>
  <c r="I5988" i="18"/>
  <c r="J5988" i="18"/>
  <c r="K5988" i="18"/>
  <c r="L5988" i="18"/>
  <c r="B5989" i="18"/>
  <c r="C5989" i="18"/>
  <c r="D5989" i="18"/>
  <c r="E5989" i="18"/>
  <c r="F5989" i="18"/>
  <c r="G5989" i="18"/>
  <c r="H5989" i="18"/>
  <c r="I5989" i="18"/>
  <c r="J5989" i="18"/>
  <c r="K5989" i="18"/>
  <c r="L5989" i="18"/>
  <c r="B5990" i="18"/>
  <c r="C5990" i="18"/>
  <c r="D5990" i="18"/>
  <c r="E5990" i="18"/>
  <c r="F5990" i="18"/>
  <c r="G5990" i="18"/>
  <c r="H5990" i="18"/>
  <c r="I5990" i="18"/>
  <c r="J5990" i="18"/>
  <c r="K5990" i="18"/>
  <c r="L5990" i="18"/>
  <c r="B5991" i="18"/>
  <c r="C5991" i="18"/>
  <c r="D5991" i="18"/>
  <c r="E5991" i="18"/>
  <c r="F5991" i="18"/>
  <c r="G5991" i="18"/>
  <c r="H5991" i="18"/>
  <c r="I5991" i="18"/>
  <c r="J5991" i="18"/>
  <c r="K5991" i="18"/>
  <c r="L5991" i="18"/>
  <c r="B5992" i="18"/>
  <c r="C5992" i="18"/>
  <c r="D5992" i="18"/>
  <c r="E5992" i="18"/>
  <c r="F5992" i="18"/>
  <c r="G5992" i="18"/>
  <c r="H5992" i="18"/>
  <c r="I5992" i="18"/>
  <c r="J5992" i="18"/>
  <c r="K5992" i="18"/>
  <c r="L5992" i="18"/>
  <c r="B5993" i="18"/>
  <c r="C5993" i="18"/>
  <c r="D5993" i="18"/>
  <c r="E5993" i="18"/>
  <c r="F5993" i="18"/>
  <c r="G5993" i="18"/>
  <c r="H5993" i="18"/>
  <c r="I5993" i="18"/>
  <c r="J5993" i="18"/>
  <c r="K5993" i="18"/>
  <c r="L5993" i="18"/>
  <c r="B5994" i="18"/>
  <c r="C5994" i="18"/>
  <c r="D5994" i="18"/>
  <c r="E5994" i="18"/>
  <c r="F5994" i="18"/>
  <c r="G5994" i="18"/>
  <c r="H5994" i="18"/>
  <c r="I5994" i="18"/>
  <c r="J5994" i="18"/>
  <c r="K5994" i="18"/>
  <c r="L5994" i="18"/>
  <c r="B5995" i="18"/>
  <c r="C5995" i="18"/>
  <c r="D5995" i="18"/>
  <c r="E5995" i="18"/>
  <c r="F5995" i="18"/>
  <c r="G5995" i="18"/>
  <c r="H5995" i="18"/>
  <c r="I5995" i="18"/>
  <c r="J5995" i="18"/>
  <c r="K5995" i="18"/>
  <c r="L5995" i="18"/>
  <c r="B5996" i="18"/>
  <c r="C5996" i="18"/>
  <c r="D5996" i="18"/>
  <c r="E5996" i="18"/>
  <c r="F5996" i="18"/>
  <c r="G5996" i="18"/>
  <c r="H5996" i="18"/>
  <c r="I5996" i="18"/>
  <c r="J5996" i="18"/>
  <c r="K5996" i="18"/>
  <c r="L5996" i="18"/>
  <c r="B5997" i="18"/>
  <c r="C5997" i="18"/>
  <c r="D5997" i="18"/>
  <c r="E5997" i="18"/>
  <c r="F5997" i="18"/>
  <c r="G5997" i="18"/>
  <c r="H5997" i="18"/>
  <c r="I5997" i="18"/>
  <c r="J5997" i="18"/>
  <c r="K5997" i="18"/>
  <c r="L5997" i="18"/>
  <c r="B5998" i="18"/>
  <c r="C5998" i="18"/>
  <c r="D5998" i="18"/>
  <c r="E5998" i="18"/>
  <c r="F5998" i="18"/>
  <c r="G5998" i="18"/>
  <c r="H5998" i="18"/>
  <c r="I5998" i="18"/>
  <c r="J5998" i="18"/>
  <c r="K5998" i="18"/>
  <c r="L5998" i="18"/>
  <c r="B5999" i="18"/>
  <c r="C5999" i="18"/>
  <c r="D5999" i="18"/>
  <c r="E5999" i="18"/>
  <c r="F5999" i="18"/>
  <c r="G5999" i="18"/>
  <c r="H5999" i="18"/>
  <c r="I5999" i="18"/>
  <c r="J5999" i="18"/>
  <c r="K5999" i="18"/>
  <c r="L5999" i="18"/>
  <c r="B6000" i="18"/>
  <c r="C6000" i="18"/>
  <c r="D6000" i="18"/>
  <c r="E6000" i="18"/>
  <c r="F6000" i="18"/>
  <c r="G6000" i="18"/>
  <c r="H6000" i="18"/>
  <c r="I6000" i="18"/>
  <c r="J6000" i="18"/>
  <c r="K6000" i="18"/>
  <c r="L6000" i="18"/>
  <c r="B6001" i="18"/>
  <c r="C6001" i="18"/>
  <c r="D6001" i="18"/>
  <c r="E6001" i="18"/>
  <c r="F6001" i="18"/>
  <c r="G6001" i="18"/>
  <c r="H6001" i="18"/>
  <c r="I6001" i="18"/>
  <c r="J6001" i="18"/>
  <c r="K6001" i="18"/>
  <c r="L6001" i="18"/>
  <c r="C2" i="18"/>
  <c r="D2" i="18"/>
  <c r="E2" i="18"/>
  <c r="F2" i="18"/>
  <c r="G2" i="18"/>
  <c r="H2" i="18"/>
  <c r="I2" i="18"/>
  <c r="J2" i="18"/>
  <c r="K2" i="18"/>
  <c r="L2" i="18"/>
  <c r="B2" i="18"/>
  <c r="D36" i="16" l="1"/>
  <c r="C36" i="16"/>
  <c r="C35" i="16"/>
  <c r="D35" i="16" s="1"/>
  <c r="D34" i="16"/>
  <c r="C34" i="16"/>
  <c r="C33" i="16"/>
  <c r="D33" i="16" s="1"/>
  <c r="D32" i="16"/>
  <c r="C32" i="16"/>
  <c r="D31" i="16"/>
  <c r="C31" i="16"/>
  <c r="C30" i="16"/>
  <c r="D30" i="16" s="1"/>
  <c r="C29" i="16"/>
  <c r="D29" i="16" s="1"/>
  <c r="D28" i="16"/>
  <c r="C28" i="16"/>
  <c r="C27" i="16"/>
  <c r="D27" i="16" s="1"/>
  <c r="D26" i="16"/>
  <c r="C26" i="16"/>
  <c r="D25" i="16"/>
  <c r="C25" i="16"/>
  <c r="D24" i="16"/>
  <c r="C24" i="16"/>
  <c r="C23" i="16"/>
  <c r="D23" i="16" s="1"/>
  <c r="D22" i="16"/>
  <c r="C22" i="16"/>
  <c r="C21" i="16"/>
  <c r="D21" i="16" s="1"/>
  <c r="C20" i="16"/>
  <c r="D20" i="16" s="1"/>
  <c r="D19" i="16"/>
  <c r="C19" i="16"/>
  <c r="D18" i="16"/>
  <c r="C18" i="16"/>
  <c r="C17" i="16"/>
  <c r="D17" i="16" s="1"/>
  <c r="D16" i="16"/>
  <c r="C16" i="16"/>
  <c r="D15" i="16"/>
  <c r="C15" i="16"/>
  <c r="C14" i="16"/>
  <c r="D14" i="16" s="1"/>
  <c r="C13" i="16"/>
  <c r="D13" i="16" s="1"/>
  <c r="D12" i="16"/>
  <c r="C12" i="16"/>
  <c r="C11" i="16"/>
  <c r="D11" i="16" s="1"/>
  <c r="C10" i="16"/>
  <c r="D10" i="16" s="1"/>
  <c r="D9" i="16"/>
  <c r="C9" i="16"/>
  <c r="C8" i="16"/>
  <c r="D8" i="16" s="1"/>
  <c r="C7" i="16"/>
  <c r="D7" i="16" s="1"/>
  <c r="C6" i="16"/>
  <c r="D6" i="16" s="1"/>
  <c r="C5" i="16"/>
  <c r="D5" i="16" s="1"/>
  <c r="D4" i="16"/>
  <c r="C4" i="16"/>
  <c r="C3" i="16"/>
  <c r="D3" i="16" s="1"/>
  <c r="A1" i="16" a="1"/>
  <c r="A1" i="16" s="1"/>
  <c r="B1" i="16" s="1"/>
  <c r="A2" i="16" a="1"/>
  <c r="A2" i="16" l="1"/>
  <c r="C2" i="16" s="1"/>
  <c r="D2" i="16" s="1"/>
</calcChain>
</file>

<file path=xl/sharedStrings.xml><?xml version="1.0" encoding="utf-8"?>
<sst xmlns="http://schemas.openxmlformats.org/spreadsheetml/2006/main" count="7248" uniqueCount="489">
  <si>
    <t>Id</t>
  </si>
  <si>
    <t>Description</t>
  </si>
  <si>
    <t>Airheads Halloween Chewy Candy Bars, Assorted, Nut Free, Regular Size, 33oz, 60 Count</t>
  </si>
  <si>
    <t>Brand</t>
  </si>
  <si>
    <t>AirHeads Halloween Variety Pack Candy, 0.55 oz., 90 pk.</t>
  </si>
  <si>
    <t>Flavor</t>
  </si>
  <si>
    <t>Airheads Sour Mini Halloween Candy assorted flavors, 5lb Bulk Bag</t>
  </si>
  <si>
    <t>Form Type</t>
  </si>
  <si>
    <t>Airheads Halloween Candy Variety Bag, Individually Wrapped Assorted Fruit Mini Bars, Nut Free, 12 oz</t>
  </si>
  <si>
    <t>Pack size (# of pieces)</t>
  </si>
  <si>
    <t>Airheads Chewy Candy Variety Pack, 9 Assorted Fruit Flavored Regular Size Bars, Nut Free, 4.95 oz (2 pack)</t>
  </si>
  <si>
    <t>Pack Type</t>
  </si>
  <si>
    <t>Airheads Xtremes Belts Candy, Very Berry, 2 oz</t>
  </si>
  <si>
    <t>Shape</t>
  </si>
  <si>
    <t>Airheads Candy Variety Bag, Individually Wrapped Assorted Fruit Mini Bars, Nut Free, 10 oz</t>
  </si>
  <si>
    <t>Graphics</t>
  </si>
  <si>
    <t>Airheads Shareable Chewy Candy Bites, Assorted Fruit Flavor, Nut Free, Regular Size, 4 oz (2 pack)</t>
  </si>
  <si>
    <t>Size Of Each Candy Piece</t>
  </si>
  <si>
    <t>Airheads Chewy Candy Variety Pack, 9 Sour Flavored Regular Size Bars, Nut Free, 4.95 oz (2 pack)</t>
  </si>
  <si>
    <t>Individually Wrapped Vs Unwrapped</t>
  </si>
  <si>
    <t>Albanese World's Best, Halloween 12 Flavor Gummi Bear Cubs®, 50-0.5oz Trick or Treat Bags of Halloween Candy</t>
  </si>
  <si>
    <t>Single Brand/Flavor Vs Variety Of Brands/Flavors</t>
  </si>
  <si>
    <t>Albanese Sweet &amp; Sour Monster Combo 16ct Trick-or-Treat Bag of Halloween Candy</t>
  </si>
  <si>
    <t>Albanese, World's Best Ghoulish Gummy Candies - 7.5oz</t>
  </si>
  <si>
    <t>Albanese Spooky Fruit Gummy Halloween 7.5 Oz</t>
  </si>
  <si>
    <t>Mixed Fruit Chews Halloween Mix, 13.22 oz - 150 ct</t>
  </si>
  <si>
    <t>Albert's Halloween Mixed Fruit Chews, 135 ct</t>
  </si>
  <si>
    <t>Sweet Smiles Halloween Candy Rings, 12 ct</t>
  </si>
  <si>
    <t>Amos Halloween Sour Gummy Candy, Theater Box 3 Oz</t>
  </si>
  <si>
    <t>Amos Peelerz Gummy Pumpkin Orange Gummy Halloween 6 Oz</t>
  </si>
  <si>
    <t>Amos Peelerz Gummy Pumpkin Orange Gummy Halloween 3 Oz</t>
  </si>
  <si>
    <t>Amos Peelerz Gummy Body Parts Raspberry &amp; Strawberry Gummy Halloween 7.05 Oz 40 Ct</t>
  </si>
  <si>
    <t>Ring Pop, Juicy Drop, Push Pop, Baby Bottle Pop, Halloween Gummy Mixed Bag, 35ct</t>
  </si>
  <si>
    <t>Bazooka Assortments Assorted Novelty Box Everyday 12.4 Oz 18 Ct</t>
  </si>
  <si>
    <t>bettergoods Halloween Gummies, 7 oz</t>
  </si>
  <si>
    <t>bettergoods Super Sour Halloween Gummies, 7 oz</t>
  </si>
  <si>
    <t>Brach's Mellowcreme Pumpkins, Classic Fall and Halloween Candy, 11 oz, Laydown Bag</t>
  </si>
  <si>
    <t>Brach's Classic Candy Corn, Halloween Mellowcreme Candy, 11 oz, Laydown Bag</t>
  </si>
  <si>
    <t>Brach's Autumn Mix Halloween Mellowcreme, Classic Candy Corn, Harvest Candy Corn, and Mellowcreme Pumpkins, 11 oz Bag</t>
  </si>
  <si>
    <t>Brach's Mellowcreme Pumpkins Halloween Candy, Fall Treats, 34 Ozs, Value-Sized Bag</t>
  </si>
  <si>
    <t>Brach's Classic Candy Corn, Halloween Corn, 40 oz, Bag</t>
  </si>
  <si>
    <t>Brach's Assorted Flavors Autumn Mix Candy, Halloween Candy, 40 oz, Bag</t>
  </si>
  <si>
    <t>Brach's Halloween Classic Candy Corn - 11oz</t>
  </si>
  <si>
    <t>Brach's Halloween Mellowcreame Pumpkins - 11oz</t>
  </si>
  <si>
    <t>Brach's Harvest Candy Corn, Halloween Mellowcreme Candy, Classic Fall Treats, 11 oz, Laydown Bag</t>
  </si>
  <si>
    <t>Brach’s Mellowcreme Caramel Apple Halloween Candy Corn, 9 Ozs, Laydown Bag</t>
  </si>
  <si>
    <t>Brach's Autumn Leaves Mellowcreme Candy, Assorted Fall Flavors, Halloween Candy, 8 Ozs, Laydown Bag</t>
  </si>
  <si>
    <t>Brach's® Halloween Autumn Mix Stand Up Bag 34 oz</t>
  </si>
  <si>
    <t>Brach's Classic Candy Corn, Halloween Candy, Classic Fall Treats, 34 Oz Bag</t>
  </si>
  <si>
    <t>Brach's Classic Candy Corn, Halloween Candy, Classic Fall Treats, 11 Oz Bag (2 pack)</t>
  </si>
  <si>
    <t>Brach’s Mellowcreme Caramel Apple Candy, Halloween Candy, 9 oz Bag (2 pack)</t>
  </si>
  <si>
    <t>Brachs Classic Candy Corn Regular Candy Corn Halloween 20 Oz</t>
  </si>
  <si>
    <t>Brachs Autumn Mix Candy Corn Assorted Candy Corn Halloween 20 Oz</t>
  </si>
  <si>
    <t xml:space="preserve">Brachs Pumpkins Candy Corn Halloween Candy 20 Oz </t>
  </si>
  <si>
    <t>Brachs Autumn Mix Candy Corn Halloween 4.2 Oz</t>
  </si>
  <si>
    <t>Brachs Pumpkins Assorted Candy Corn Halloween 4.2 Oz</t>
  </si>
  <si>
    <t>Brachs Harvest Corn Candy Corn Regular And Cocoa Candy Corn Halloween 20 Oz</t>
  </si>
  <si>
    <t>Brachs Classic Candy Corn Halloween Treat Pack 30 Oz 60 Ct</t>
  </si>
  <si>
    <t>Charms Blow Pop, Halloween, Bubble Filled Gum Lollipops, 20.9 oz, 38 Piece Bag</t>
  </si>
  <si>
    <t>Charms Candy Carnival, Assorted Halloween Candy, Individually Wrapped, 37.62 oz</t>
  </si>
  <si>
    <t>Charms Blow Pop Spooktacular Flavors, Bubble Filled Gum Lollipops, 8.25 oz</t>
  </si>
  <si>
    <t>Charms Blow Pop Assorted Lollipop Halloween 30.25 Oz 55 Ct</t>
  </si>
  <si>
    <t>Colombina Delicate Fruit Drops, 4 Assorted Fruit Candy Flavors 2.2lbs</t>
  </si>
  <si>
    <t>Colombina Fun Mix Assorted Assortment Mixes Laydown Bag Everyday 64 Oz</t>
  </si>
  <si>
    <t>Cow Tales Vanilla Caramel Cream Chewy 10 Oz</t>
  </si>
  <si>
    <t>Tootsie Dots Ghost Assorted Fruit Flavored Gumdrops 44 ct 6 Oz</t>
  </si>
  <si>
    <t>Dots Assorted Fruit Fruity Chewy Halloween 23.6 Oz</t>
  </si>
  <si>
    <t>Dum Dums® Flavor Fusion Pops Halloween Candy Bag 7.1 oz</t>
  </si>
  <si>
    <t>Dum Dums® Halloween Original Flavor Lollipops Candy Bag 50 ct</t>
  </si>
  <si>
    <t>Dum Dums Stranger Things Mix Halloween Lollipops 10.2 oz. Lay Down Bag</t>
  </si>
  <si>
    <t>Dum Dums Fall Mix Halloween Candy, Lollipops &amp; Suckers, Hard Party Candy, 10.2oz Bag</t>
  </si>
  <si>
    <t>Dum Dums &amp; Smarties Halloween Candy Mix Lollipops &amp; Suckers, Hard Party Candy, 400 Count</t>
  </si>
  <si>
    <t>Dum Dums Original Mix Halloween Candy, Lollipops &amp; Suckers, Hard Party Candy, 10.2 oz Bag</t>
  </si>
  <si>
    <t>Dum Dums Original Mix Halloween Candy, Lollipops &amp; Suckers, Hard Party Candy, 18.5 oz Bag</t>
  </si>
  <si>
    <t>Dum Dums Original Mix Halloween Candy, Allergen Free Lollipops, Hard Party Candy, 200 Count</t>
  </si>
  <si>
    <t>Spangler Dum Dum Pops Assorted Fruit Lollipop Laydown Bag Everyday 85.5 Oz 500 Ct</t>
  </si>
  <si>
    <t>Spangler Dum Dum Pops Assorted Lollipop Standup Bag Everyday 51 Oz 300 Ct</t>
  </si>
  <si>
    <t>Halloween Variety Bag, Nerds Gummy Clusters, Nerds Originals, Sweetarts, Trolli, Laffy Taffy, 60 ct, 20.58 Ozs</t>
  </si>
  <si>
    <t>Halloween Assorted Candy Variety Bag with Nerds, Trolli, Now and Later, Lemonhead, Gobstopper, 425 Pieces, 104.62oz</t>
  </si>
  <si>
    <t>Halloween Variety Bag, Nerds Gummy Clusters, Sweetarts, Trolli, Laffy Taffy, and Nerds Original, 180 Pieces, 59.76 Ozs</t>
  </si>
  <si>
    <t>Halloween Assorted Nerds, Trolli, Lemonhead, Gobstoppers Candy, 260 Pieces, 69.3 Ozs, Variety Bag</t>
  </si>
  <si>
    <t>Nerds Gummy Clusters, Fun Dip, Trolli, Laffy Taffy and Nerds Mini Boxes, 80 Pieces, 32.8oz Bag</t>
  </si>
  <si>
    <t>Halloween Variety Bag with Nerds Gummy Clusters, SweeTARTS, Trolli, and More, 95 Pieces, 32.71 Oz</t>
  </si>
  <si>
    <t>Halloween Variety Bag, Nerds Gummy Clusters, Fun Dip, Trolli, Laffy Taffy and More, 45ct, 18.92 Oz</t>
  </si>
  <si>
    <t>Halloween Assortment Variety Bag with Nerds, Trolli, Now and Later, Lemonhead, Gobstopper, 200 Pieces, 54 oz</t>
  </si>
  <si>
    <t>Halloween Variety Bag with Nerds Gummy Clusters, Trolli, Sweetarts 185 ct.</t>
  </si>
  <si>
    <t>Ferrara Halloween Candy Mix, Assorted, 6.86 oz, 20 ct</t>
  </si>
  <si>
    <t>Ferrara Halloween Candy Variety Pack, 18.95 oz, 45 ct</t>
  </si>
  <si>
    <t>NERDS Gummy Clusters, SweeTARTS, Trolli, Laffy Taffy Trick-or-Treat Candy, 30 Pieces, 10.64 oz Bag</t>
  </si>
  <si>
    <t>SweeTARTS Variety Party Mix, Individually Wrapped Assorted Candy, 28.6 Oz (75 Count)</t>
  </si>
  <si>
    <t>Ferrara Assorted Nerds, Laffy Taffy, Lemonhead Halloween Candy 6.6 lb 430 Ct</t>
  </si>
  <si>
    <t>Ferrara Halloween Variety Bag, Nerds Gummy Clusters, Nerds Originals, Sweetarts, Trolli, Laffy Taffy 34.3 Oz 100 Ct</t>
  </si>
  <si>
    <t>Ferrara Halloween Variety Bag, Nerds Gummy Clusters, Fun Dip, Trolli, Laffy Taffy and More 85 ct 36.1 Oz</t>
  </si>
  <si>
    <t>Ferrara Halloween Variety Bag, Nerds Gummy Clusters, Fun Dip, Trolli, Laffy Taffy and More 47.69 Oz 115 Ct</t>
  </si>
  <si>
    <t>Ferrara Halloween Variety Bag, Nerds Gummy Clusters,SweetTarts, Trolli, Laffy Taffy 59.38 Oz 185 Ct</t>
  </si>
  <si>
    <t>Ferrara Halloween Variety Bag, Nerds Gummy Clusters,SweetTarts, Trolli, Laffy Taffy and more 55 ct 18.42 Oz</t>
  </si>
  <si>
    <t>Butterfinger, CRUNCH Baby Ruth, Nerds, SweetTarts, Minis, Assorted Candy, Bulk 160 Count, 44.8 oz</t>
  </si>
  <si>
    <t>Butterfinger, CRUNCH Baby Ruth, Nerds, SweetTarts, Minis, Assorted Candy, 42.6 Oz 140 Ct</t>
  </si>
  <si>
    <t>Flix Decorated Sugar Skull Lollipop Rings Halloween Candy 18 ct</t>
  </si>
  <si>
    <t>Flix Candy Halloween, Sour Boogers, Assorted Flavors Gummy, 3oz Box</t>
  </si>
  <si>
    <t>Flix Candy Halloween, NBC Bugs and Grubs Gummy Theater, Multiflavor, 3oz Box</t>
  </si>
  <si>
    <t>Flix Candy Beetlejuice Gummies, 22 Count Resealable Laydown Bag, Halloween Candy</t>
  </si>
  <si>
    <t>Flix Candy Halloween, Day of The Dead Lollipop Rings, Assorted Flavors, 20 Count Box</t>
  </si>
  <si>
    <t>Frankford Gummy Candy Body Parts Halloween Bag, 55 Count</t>
  </si>
  <si>
    <t>Frankford Mega Brands Assorted Halloween Bulk Candy Bag, 585+ Pieces</t>
  </si>
  <si>
    <t>SpongeBob SquarePants Krabby Patties Assorted Flavors Halloween Gummy Candy by Frankford, 70 Count</t>
  </si>
  <si>
    <t>Stranger Things Dig N' Dips Halloween Candy Bag by Frankford, 22 Count</t>
  </si>
  <si>
    <t>Frankford Mega Brands Pinata and Party Mix Bulk Candy and Gum</t>
  </si>
  <si>
    <t>Frankford SpongeBob Original Flavor Krabby Patties Halloween Gummy Candy Bag, 24 Count</t>
  </si>
  <si>
    <t>Frankford Sour Mega Brands Halloween Mix Assorted Candy Bag, 40 oz</t>
  </si>
  <si>
    <t>Frankford Halloween Body Parts Gummy Candy Party Tray, 14.1oz</t>
  </si>
  <si>
    <t>Frankford Nickelodeon Spongebob Squarepants Krabby Patties Assorted Gummy Halloween 19.05 Oz 60 Ct</t>
  </si>
  <si>
    <t>Frankford Sour Megabrands Bulk Candy Assortment, 275+ Pieces, 2.5 lbs, Halloween Variety Pack 275 Ct</t>
  </si>
  <si>
    <t>Fun Dip Razz Apple Magic Dip &amp; Cherry Yum Diddly, Halloween Candy, 44 Count, 18.9 oz Box</t>
  </si>
  <si>
    <t>Galerie Halloween Lollipop Bouquet, Dairy Free, 1.41oz</t>
  </si>
  <si>
    <t>Heres Howe Regular Candy Corn Halloween 18 Oz</t>
  </si>
  <si>
    <t>Heres Howe Assorted Candy Corn Halloween 18 Oz</t>
  </si>
  <si>
    <t>Great Value Mello Creme Pumpkin Candy, 12 oz Bag</t>
  </si>
  <si>
    <t>Great Value Classic Candy Corn, 12 oz Bag / Contains: Eggs</t>
  </si>
  <si>
    <t>Great Value Autumn Mix Halloween Candy, 12 oz. Bag / Allergens; Contains Eggs</t>
  </si>
  <si>
    <t>HARIBO Trick or Treat Trio Halloween Assorted Fruit Flavor and Shapes Gummy Candy, 18oz Bag, 45ct Mini Gummy Pouches</t>
  </si>
  <si>
    <t>HARIBO Best on the Block Halloween Assorted Fruit Flavor and Shapes Gummy Candy, 60oz Bag, 150ct Mini Gummy Pouches</t>
  </si>
  <si>
    <t>HARIBO Happy House Mix Halloween Assorted Fruit Flavor and Shapes Gummy Candy, 32oz Bag, 80ct Mini Gummy Pouches</t>
  </si>
  <si>
    <t>HARIBO Sour Bats Halloween Edition Gummies Bat Shaped Sour Gummy Candy, 4oz, Share Size Peg Bag</t>
  </si>
  <si>
    <t>HARIBO Goldbears Original Assorted Fruit Flavor Gummy Candy Mini Pouches, 9.5oz, 23ct Bag</t>
  </si>
  <si>
    <t>HARIBO Goldbears Halloween Gummies Wildberry Assorted Berry Flavor Gummy Candy, 9.5oz Bag</t>
  </si>
  <si>
    <t>HARIBO Harry Potter Gummies Assorted Fruit Flavor Gummy Candy, 6.3oz, Share Size Bag</t>
  </si>
  <si>
    <t>HARIBO Ron Scabbers Gummies Assorted Fruit Flavor Gummy Candy, 6.3oz, Share Size Bag</t>
  </si>
  <si>
    <t>HARIBO Goldbears Gummy Bears Original Assorted Fruit Flavor Tub, 22.8oz, 54ct Mini Gummy Pouches (2 pack)</t>
  </si>
  <si>
    <t>Haribo Gold Bears Fruit Gummy Halloween Fall Edition 4 Oz</t>
  </si>
  <si>
    <t>Jolly Rancher And Twizzlers Assorted Fruit Flavored Halloween Candy, Bag 16.01 oz, 65 Pieces</t>
  </si>
  <si>
    <t>Hershey Assorted Flavored, Halloween Candy Bulk Bag, 400 ct.</t>
  </si>
  <si>
    <t>Hershey Assorted Flavored, Halloween Candy Bag, 12.72 oz - 50 pieces</t>
  </si>
  <si>
    <t>Jolly Rancher And Twizzlers Assorted Fruit Flavored Halloween Candy, Bulk Bag 95.81 oz, 310 Pieces</t>
  </si>
  <si>
    <t>Jolly Rancher And Twizzlers Assorted Fruit Flavored Halloween Candy, Bulk Bag 85.7 oz, 320 Pieces</t>
  </si>
  <si>
    <t>JOLLY RANCHER and TWIZZLERS Assorted Fruit Flavored Candy Party Pack, Halloween Candy, 43.03 oz</t>
  </si>
  <si>
    <t>Haribo, Jolly Rancher And Twizzlers Assorted Fruit Flavored Halloween Candy, Bag 17.44 oz, 58 Pieces</t>
  </si>
  <si>
    <t>Haribo, Jolly Rancher And Twizzlers Assorted Fruit Flavored Halloween Candy, Bulk Bag 44.30 oz, 150 Pieces</t>
  </si>
  <si>
    <t>Haribo, Jolly Rancher And Twizzlers Assorted Fruit Flavored Halloween Candy, Bag 24.31 oz, 70 Pieces</t>
  </si>
  <si>
    <t>Hershey Assorted Flavored Halloween Candy, Bulk Bag 95.83 oz, 335 Pieces</t>
  </si>
  <si>
    <t>Hershey Assorted Flavored Halloween Candy, Bulk Bag 55.35 oz, 180 Pieces</t>
  </si>
  <si>
    <t>Hershey Halloween Assorted Fruit Flavored Candy, 700 pcs.</t>
  </si>
  <si>
    <t>HARIBO, REESE'S and TWIZZLERS Assorted Flavored Snack Size Halloween Candy Bag, 8.8 oz - 20 ct</t>
  </si>
  <si>
    <t>Hershey's and Haribo Assorted Snack Size Halloween Candy, 11.18 oz Bag, 40 ct</t>
  </si>
  <si>
    <t>Hershey Assorted Flavored, Halloween Candy Bulk Bag, 32.91 oz - 115 Pieces</t>
  </si>
  <si>
    <t>Haribo, Jolly Rancher And Twizzlers Assorted Fruit Flavored Halloween Candy, Bulk Bag 60.1 oz, 165 Pieces</t>
  </si>
  <si>
    <t>Hi Chew Assorted Fruit Fruity Chewy Halloween 11.28 Oz 62 Ct</t>
  </si>
  <si>
    <t>Jelly Belly Assorted Flavors Jelly Beans - 80ct/.35oz</t>
  </si>
  <si>
    <t>Jelly Belly Halloween Mix 9.8 Oz Pouch Bag</t>
  </si>
  <si>
    <t>Jolly Rancher Gummies Assorted Tropical Flavored Snack Size Halloween Candy, Bag 9.6 oz</t>
  </si>
  <si>
    <t>Jolly Rancher Gummies Minis Assorted Fruit Flavored Snack Size Halloween Candy, Bag 9.66 oz</t>
  </si>
  <si>
    <t>Jolly Rancher Gummies Misfits 2-in-1 Fruit Flavored Halloween Candy, Bag 9.25 oz</t>
  </si>
  <si>
    <t>JOLLY RANCHER Assorted Fruit Flavored Candy Bulk Bag, Halloween Candy, 42.01 oz</t>
  </si>
  <si>
    <t>JOLLY RANCHER Assorted Fruit Flavored Hard Candy Bulk Bag, Halloween Candy, 5 lb</t>
  </si>
  <si>
    <t>Jolly Rancher Assorted Tropical Fruit Flavored Hard Candy, Bag 13 oz (4 pack)</t>
  </si>
  <si>
    <t>Jolly Rancher Zero Sugar Tropical Fruit Flavored Hard Candy, Bag 6.1 oz (3 pack)</t>
  </si>
  <si>
    <t>Jolly Rancher Gummies Assorted Fruit Flavored King Size Candy, Bag 4.02 oz</t>
  </si>
  <si>
    <t>Jolly Rancher Hard Candy Original Flavors Assortment</t>
  </si>
  <si>
    <t>Jolly Rancher Zero Sugar Assorted Fruit Flavored Hard Candy, Bag 2.5 oz (3 pack)</t>
  </si>
  <si>
    <t>Jolly Rancher Gummies Assorted Fruit Flavored King Size Candy, Bag 4.02 oz (2 pack)</t>
  </si>
  <si>
    <t>Jolly Rancher Sour Gummies Assorted Fruit Flavored King Size Candy, Bag 3.87 oz (3 pack)</t>
  </si>
  <si>
    <t>Jolly Rancher Assorted Fruit Flavored Halloween Candy, Bulk Bag 79.07 oz, 275 Pieces</t>
  </si>
  <si>
    <t>Jolly Rancher Trickies Gummies Assorted Fruit Flavored Halloween Candy, Bag 7.1 oz</t>
  </si>
  <si>
    <t>Joyride Halloween Gummy Busters Midnight Mystery Mix Candy - 1.8Oz</t>
  </si>
  <si>
    <t>Joyride Gummy Busters Halloween Sour Caramel Apple Mix Candy - 1.8Oz</t>
  </si>
  <si>
    <t>Joyride Warped Wigglers - 1.8Oz</t>
  </si>
  <si>
    <t>Kraft Caramel Vanilla Caramel Chewy Laydown Bag Everyday 11 Oz</t>
  </si>
  <si>
    <t>Kraft Caramel Chewy Halloween Candy 13 Oz</t>
  </si>
  <si>
    <t>Laffy Taffy® Assorted Halloween Fun Size Candy Bag 9.5 oz</t>
  </si>
  <si>
    <t>Laffy Taffy Assorted Mini Bars Halloween Trick-or-Treat, 12 Oz Bag</t>
  </si>
  <si>
    <t>Laffy Taffy, Halloween Candy, Variety Mix Bag Fruit Flavored Candy, Assorted Candy Mix, 135 Pieces</t>
  </si>
  <si>
    <t>Mamba Fruit Chews Halloween Candy Strips, 30 oz.</t>
  </si>
  <si>
    <t>Mars Mixed Skittles, Starburst, Starburst FaveREDS &amp; More Halloween Candy, 20 Ct Bulk Bag</t>
  </si>
  <si>
    <t>Snickers, Skittles Gummies &amp; More Halloween Candy Variety Pack - 120 Ct Bulk Bag</t>
  </si>
  <si>
    <t>Mars Mixed Skittles, Starburst, Starburst FaveREDS &amp; More Halloween Candy, 80 Ct Bulk Bag</t>
  </si>
  <si>
    <t>Snickers, Skittles Gummies &amp; More Halloween Candy Variety Pack - 160 Ct Bulk Bag</t>
  </si>
  <si>
    <t>Starburst, Life Savers, Hubba Bubba Halloween Candy Variety Pack - 95 Ct Bulk Bag</t>
  </si>
  <si>
    <t>Skittles &amp; Starburst Chewy Variety Pack Halloween Candy - 18 Count Box</t>
  </si>
  <si>
    <t>Snickers, Skittles, Twix &amp; Life Savers Gummies Halloween Candy - 25 Ct Bulk Bag</t>
  </si>
  <si>
    <t>Mars Mixed Skittles &amp; Starburst Chewy Sour Halloween Candy Variety Pack - 50 Ct Bulk Bag</t>
  </si>
  <si>
    <t>M&amp;M's, Skittles &amp; More Fun Size Halloween Candy Variety Pack - 195 Ct Bulk Bag</t>
  </si>
  <si>
    <t>Skittles, Twix, Starburst &amp; More Halloween Candy Variety Pack - 135 Ct Bulk Bag</t>
  </si>
  <si>
    <t>Starburst, Life Savers &amp; Hubba Bubba Halloween Candy Variety Pack - 190 Ct Bulk Bag</t>
  </si>
  <si>
    <t>Starburst, Life Savers &amp; Hubba Bubba Halloween Candy Variety Assortment - 350 Ct Bulk Bag</t>
  </si>
  <si>
    <t>Mars Halloween Variety Pack Candy, 290 pcs.</t>
  </si>
  <si>
    <t>Mars Halloween Variety Pack Candy, Mini &amp; Fun Size, 185 pcs.</t>
  </si>
  <si>
    <t>Mars Mixed Halloween Candy Variety Pack, 190 ct.</t>
  </si>
  <si>
    <t>Mars Ghoulish Green, Halloween Variety Pack Candy, Fun Size, 80 pcs.</t>
  </si>
  <si>
    <t>Skittles, Starburst &amp; Life Savers Halloween Candy Variety Pack, Bulk Bag, 150 ct.</t>
  </si>
  <si>
    <t>Skittles and Starburst Chewy Halloween Candy Bulk Variety Box, 30 ct.</t>
  </si>
  <si>
    <t>Skittles &amp; Starburst Assorted Halloween Chewy Candy Fun Size Bag 20.13 oz</t>
  </si>
  <si>
    <t>SKITTLES, TWIX, STARBURST &amp; 3 MUSKETEERS Halloween Candy Variety Bulk Bag, 60 ct</t>
  </si>
  <si>
    <t>Life Savers, Skittles &amp; Starburst Bulk Halloween Candy, 32.82 oz - 80 ct</t>
  </si>
  <si>
    <t>Snickers, Twix, Skittles &amp; Starburst Variety Pack Halloween Candy, 18.31 oz - 50 ct</t>
  </si>
  <si>
    <t>Mars Wrigley Mixed Variety Fun Size Halloween Candy, 17.05 oz</t>
  </si>
  <si>
    <t>Snickers, Starburst, Twix &amp; 3 Musketeers Fun Size Halloween Share Size Candy Bars, 15.69 oz - 35 ct</t>
  </si>
  <si>
    <t>Skittles, Life Savers Gummies, Life Savers Big Ring &amp; More Halloween Candy Bulk Bag, 35 ct</t>
  </si>
  <si>
    <t>SKITTLES, STARBURST and more Fruity Halloween Chewy Candy Fun Size, 20.13 Oz</t>
  </si>
  <si>
    <t>Starburst, Life Savers &amp; Hubba Bubba Halloween Candy Variety - 255 Ct Bulk Bag</t>
  </si>
  <si>
    <t>Mars Mixed Skittles, Starburst, Starburst FaveREDS &amp; More Halloween Candy, 20 Ct Bulk Bag (2 pack)</t>
  </si>
  <si>
    <t>Skittles &amp; Starburst Chewy Variety Pack Halloween Candy - 18 Count Box (2 pack)</t>
  </si>
  <si>
    <t>Skittles &amp; Starburst Fun Size Chewy Candy Variety Bag - 32.28 oz Jumbo Pack</t>
  </si>
  <si>
    <t>M&amp;M's, Snickers, Skittles &amp; Starburst Fun Size Candy Variety Pack - 31.59 oz Jumbo Bag</t>
  </si>
  <si>
    <t>M&amp;M's, Snickers, 3 Musketeers, Skittles &amp; Starburst Variety Pack Full Size Candy Assortment - 30 Bars</t>
  </si>
  <si>
    <t>M&amp;M's, Snickers, Skittles Fun Size Candy, Party Size - 55 Ct</t>
  </si>
  <si>
    <t>SKITTLES, STARBURST Full Size Variety Pack 18 Packs</t>
  </si>
  <si>
    <t>Starburst, Life Savers &amp; More Halloween Candy Variety Assortment - 95 Ct Bulk Bag (2 pack)</t>
  </si>
  <si>
    <t>Twix, Milky Way, Skittles &amp; Starburst Variety Assortment, Party Size - 21.82 oz Bulk Bag</t>
  </si>
  <si>
    <t>Mars-Wrigley Assorted Skittles &amp; Starburst Fun Size Chewy Halloween Candy Variety Pack 43.65 Oz 105 Ct</t>
  </si>
  <si>
    <t>Mars-Wrigley Assorted Skittles &amp; Starburst Fun Size Chewy Halloween Candy Variety Pack 58.26 Oz 140 Ct</t>
  </si>
  <si>
    <t>Mars M&amp;M's, Snickers, Skittles &amp; Twix Halloween Candy Variety Pack 24.01 Oz 60 Ct</t>
  </si>
  <si>
    <t>Mars SNICKERS, SKITTLES Gummies, TWIX &amp; LIFE SAVERS Gummies Halloween Candy, 40 Ct 15.47 Oz</t>
  </si>
  <si>
    <t>Mars M&amp;M'S, SNICKERS, SKITTLES, STARBURST &amp; MILKY WAY Halloween Candy Variety Pack 47.23 Oz 120 Ct</t>
  </si>
  <si>
    <t>Mars Halloween Mixed Assorted Chocolate &amp; Hard Candy, 21.75 oz, Bag 21.75 Oz 55 Ct</t>
  </si>
  <si>
    <t>Mars M&amp;M'S, SNICKERS &amp; More Fun Size Halloween Candy Variety Pack 62.82 Oz 160 Ct</t>
  </si>
  <si>
    <t>Maud Borup Strawberry Gummy Eyeballs, 5.5 oz</t>
  </si>
  <si>
    <t>MIKE AND IKE SOUR Spooky Treats Chewy Candy, Halloween Candy, 4.25 Oz Theater Box, 1 Count</t>
  </si>
  <si>
    <t>SOUR PATCH KIDS &amp; SWEDISH FISH Mini Halloween Candy Variety Pack, 22 Trick or Treat Bags</t>
  </si>
  <si>
    <t>SOUR PATCH KIDS and SWEDISH FISH Soft &amp; Chewy Halloween Candy Variety Pack, 190 Bags</t>
  </si>
  <si>
    <t>SOUR PATCH KIDS and SWEDISH FISH Mini Soft &amp; Chewy Halloween Candy Variety Pack, 80 Bags</t>
  </si>
  <si>
    <t>Mondelez SOUR PATCH KIDS Original, Tropical, Big Kids &amp; SWEDISH FISH Halloween Candy Variety Pack 49.1 Oz 160 Ct</t>
  </si>
  <si>
    <t>Hershey Miniatures Assorted Flavored Halloween Candy, Bulk Bag 31.55 oz, 100 Pieces</t>
  </si>
  <si>
    <t>Nerds Gummy Clusters Trick-or-Treat Variety Bag, Spooky, Rainbow, Very Berry, 28 Pieces, 14 Ozs</t>
  </si>
  <si>
    <t>Nerds Gummy Clusters, Rainbow Halloween Trick-or-Treat Candy, 16 Treat-Sized Pouches, 8 Oz</t>
  </si>
  <si>
    <t>Nerds Halloween Assorted Variety Bag, 70 Pieces, 32.21 Oz</t>
  </si>
  <si>
    <t>Nerds Halloween Spooky Gummy Clusters - 8oz</t>
  </si>
  <si>
    <t>Nerds Halloween Spooky Gummy Clusters - 3oz</t>
  </si>
  <si>
    <t>Nerds Halloween Candy Corn - 8oz</t>
  </si>
  <si>
    <t>Nerds® Halloween Grape &amp; Strawberry Hard Candy Pouch 10 oz</t>
  </si>
  <si>
    <t>Halloween Nerds Gummy Clusters, 75 ct.</t>
  </si>
  <si>
    <t>Nerds Rope Scary Halloween, 0.92 oz</t>
  </si>
  <si>
    <t>Nerds Gummy Clusters Candy, Spooky, Halloween Candy, 3 oz sharepack (Pack of 12)</t>
  </si>
  <si>
    <t>Nerds Gotta-Have Variety Bag, Grape &amp; Seriously Strawberry Nerds Halloween Mini Boxes, Trick-or-Treat Candy, 7.38 Ozs</t>
  </si>
  <si>
    <t>Nerds Variety Pack 90 Count 41.76 Oz Mixed Bag</t>
  </si>
  <si>
    <t>Nerds Variety Pack 90 Count 41.76 Oz Mixed Bag (3 pack)</t>
  </si>
  <si>
    <t>Nerds Spooky Gummy Clusters, Halloween Candy, Trick-or-Treat, 8 Oz Resealable Pouch (2 pack)</t>
  </si>
  <si>
    <t>Nerds Assorted Candy Mixes Halloween 34.44 Oz 75 Ct</t>
  </si>
  <si>
    <t>Now &amp; Later Original Mixed Fruit Fruity Chewy Halloween 7.5 Oz 50 Ct</t>
  </si>
  <si>
    <t>Peeps® Marshmallow Pumpkins Halloween Candy 6 ct</t>
  </si>
  <si>
    <t>Peeps® Marshmallow Monsters Halloween Candy 6 ct</t>
  </si>
  <si>
    <t>Peeps Marshmallow Ghosts Halloween Candy 6 ct</t>
  </si>
  <si>
    <t>PEEPS Marshmallow Pumpkins Halloween Candy, 3 Count (1.5 Oz)</t>
  </si>
  <si>
    <t>PEEPS® Marshmallow Monsters, Halloween Candy - 3 Count (1.5 Ozs)</t>
  </si>
  <si>
    <t>Peeps Regular Chewy Halloween 1.5 Oz 3 Ct</t>
  </si>
  <si>
    <t>Pez Assorted Fruit Novelty Halloween .87 Oz 1 Ct</t>
  </si>
  <si>
    <t>Ring Pop, Halloween Variety Candy, Individually Wrapped Lollipops, Assorted Flavor, 22ct</t>
  </si>
  <si>
    <t>Ring Pop® Halloween Variety Candy Bag 22 ct / 0.35 oz</t>
  </si>
  <si>
    <t>Rolling Pin Mini Worms – Fruity Fall Gummy Candy, Halloween Treats, 8oz</t>
  </si>
  <si>
    <t>Rolling Pin Candy Freeze Dried Fall Harvest Autumn Mix - 6 Oz</t>
  </si>
  <si>
    <t>Rolling Pin Candy Fall Harvest Freeze Dried Mello Creme Pumpkins - 6 Oz</t>
  </si>
  <si>
    <t>Rolling Pin Freeze Dried Fall Harvest Candy Corn Halloween Candy - 6 Oz</t>
  </si>
  <si>
    <t>Shaq-A-Licious Xl Gummies Original Flavor Snack Size Halloween Candy, Bag 8.5 oz</t>
  </si>
  <si>
    <t>Skittles Shriekers Sour Halloween Chewy Candy Share Size Bag - 3.6 oz</t>
  </si>
  <si>
    <t>Skittles Fun Size Chewy Halloween Candy Variety Pack - 50 Ct Bulk Bag</t>
  </si>
  <si>
    <t>Skittles Original Wild Berry &amp; More Fun Size Chewy Halloween Candy Bulk Bag 26.46 oz</t>
  </si>
  <si>
    <t>Skittles Gummies Fun Size Halloween Candy Variety Pack, Bulk Bag, 120 ct.</t>
  </si>
  <si>
    <t>Skittles Shriekers Sour Fun Size Chewy Halloween Candy Bag 10.72 oz</t>
  </si>
  <si>
    <t>Skittles Shriekers Sour Halloween Chewy Candy Fun Size Bag - 10.72 oz</t>
  </si>
  <si>
    <t>Skittles Original, Wild Berry &amp; Sour Fun Size Chewy Candy, Party Size - 26.46 oz Bulk Bag (3 pack)</t>
  </si>
  <si>
    <t>Skittles Shriekers Sour Halloween Chewy Candy Fun Size Bag - 10.72 oz (2 pack)</t>
  </si>
  <si>
    <t>Skittles Littles Assorted Fruit Fruity Chewy Halloween 1.9 Oz</t>
  </si>
  <si>
    <t>Skittles Shriekers Sour Original Chewy Candy Fun Size Bag - 10.72 oz</t>
  </si>
  <si>
    <t>Smart Sweets® Halloween Lollipops Candy Bag 3 oz</t>
  </si>
  <si>
    <t>Smarties® Original Candy Rolls Halloween Candy 48 oz</t>
  </si>
  <si>
    <t>Smarties Original Candy Rolls Halloween Candy 19 oz</t>
  </si>
  <si>
    <t>Smarties 2.25lb Halloween Bag - Flavored Candy Rolls</t>
  </si>
  <si>
    <t>Smarties Assorted Fruity Chewy Halloween 18 Oz 1 Ct</t>
  </si>
  <si>
    <t>SOUR PATCH KIDS Soft &amp; Chewy Halloween Candy, 22 Trick or Treat Bags</t>
  </si>
  <si>
    <t>SOUR PATCH KIDS Watermelon Soft &amp; Chewy Halloween Candy, 22 Trick or Treat Bags</t>
  </si>
  <si>
    <t>SOUR PATCH KIDS Soft &amp; Chewy Halloween Candy, Jumbo Bag, 35 Trick or Treat Bags</t>
  </si>
  <si>
    <t>SOUR PATCH KIDS Zombie Orange &amp; Purple Soft &amp; Chewy Halloween Candy, 3.5 oz</t>
  </si>
  <si>
    <t>SOUR PATCH KIDS Original &amp; Watermelon Halloween Candy Variety Pack, 40 Trick or Treat Bags</t>
  </si>
  <si>
    <t>SOUR PATCH KIDS Cherry Soft &amp; Chewy Candy, Share Size, 10.86 oz</t>
  </si>
  <si>
    <t>SOUR PATCH KIDS Zombie Orange &amp; Purple Soft &amp; Chewy Halloween Candy, 3.5 oz (4 pack)</t>
  </si>
  <si>
    <t>SOUR PATCH KIDS Soft &amp; Chewy Candy, Family Size, Bulk Candy, 1.8 lb (6 pack)</t>
  </si>
  <si>
    <t>SOUR PATCH KIDS and SWEDISH FISH Mini Soft &amp; Chewy Halloween Candy Variety Pack, 18 Snack Packs</t>
  </si>
  <si>
    <t>SOUR PATCH KIDS Watermelon Soft &amp; Chewy Candy, Family Size, Bulk Candy, 1.8 lb (6 pack)</t>
  </si>
  <si>
    <t>Sour Patch Kids Original Sour Apple Gummy Halloween 3.58 Oz</t>
  </si>
  <si>
    <t>Sour Patch Kids Original Sour Apple Gummy Halloween 10 Oz</t>
  </si>
  <si>
    <t>SOUR PATCH KIDS Candy Halloween Monster Heads 8 oz</t>
  </si>
  <si>
    <t>SOUR PATCH KIDS Candy Halloween Monster Heads - 10oz/50ct</t>
  </si>
  <si>
    <t>Sour Punch Frankenstraws Halloween Candy 3.2oz Tray</t>
  </si>
  <si>
    <t>Sour Punch Ghost Pepper Roulette Straws Halloween Candy, 3.2 oz</t>
  </si>
  <si>
    <t>Sour Punch Twists Assorted Sour Fruit Gummy Halloween 18 Oz 85 Ct</t>
  </si>
  <si>
    <t>STARBURST Filled Green Apple Lollipops Halloween Candy 9.6 oz. Lay Down Bag</t>
  </si>
  <si>
    <t>Starburst Original Assorted Fruit Fruity Chewy Halloween 10.58 Oz</t>
  </si>
  <si>
    <t>SweeTARTS Ropes Halloween Candy Assortment, Sweet and Chewy Trick-or-Treat, 36 Pieces, 16.2 oz, Bag</t>
  </si>
  <si>
    <t>SweeTARTS Ropes, Candy, Watermelon Berry Collision, Soft and Chewy, 3.5 oz (2 pack)</t>
  </si>
  <si>
    <t>Sweetarts Assorted Candy Mixes Halloween 27 Oz 75 Ct</t>
  </si>
  <si>
    <t>Tootsie Child's Play, Assorted Halloween Candy, Individually Wrapped, 20.9 oz.</t>
  </si>
  <si>
    <t>Child's Play, Assorted Halloween Candy, 39.55 oz</t>
  </si>
  <si>
    <t>Tootsie Caramel Apple Pops Family Pack Halloween Candy 12.7 oz</t>
  </si>
  <si>
    <t>Tootsie Caramel Apple Lollipops, Green Apple Flavored, 6.82 oz</t>
  </si>
  <si>
    <t>Tootsie Childs Play Assorted Mixes Laydown Bag Everyday 76 Oz</t>
  </si>
  <si>
    <t>Tootsie Childs Play Assorted Mixes Halloween 52 Oz</t>
  </si>
  <si>
    <t>Tootsie Caramel Apple Lollipop 3.75 Oz</t>
  </si>
  <si>
    <t>Torie &amp; Howard® Blood Orange &amp; Honey Pomegranate Nectarine Halloween Candy Lollipops 40 ct</t>
  </si>
  <si>
    <t>Trolli Sour Electric Crawlers Gummy Candy, Sour Gummy Worms, 12.3 oz</t>
  </si>
  <si>
    <t>Trolli Mini Sour Brite Crawlers 3.5 Oz Sharepack</t>
  </si>
  <si>
    <t>TWIZZLERS Ghosts Cherry Flavored Chewy Halloween Candy Bag 7.1 oz</t>
  </si>
  <si>
    <t>TWIZZLERS Ghosts Cherry Flavored Chewy, Halloween Candy Bag, 7.1 oz (Pack of 2)</t>
  </si>
  <si>
    <t>Twizzlers Assorted Fruit Flavored Snack Size Chewy Halloween Candy, Bag 25.3 oz, 60 Pieces</t>
  </si>
  <si>
    <t>Twizzlers Strawberry Licorice Halloween 11.2 Oz</t>
  </si>
  <si>
    <t>Warheads Halloween Ooze Chewz Caramel Apple Ropes 3oz</t>
  </si>
  <si>
    <t>Warheads Assorted Sour Gummy Halloween 13.2 Oz 70 ct</t>
  </si>
  <si>
    <t>Werther's Original® Caramel Apple Soft Caramels Halloween Candy 8.57 oz</t>
  </si>
  <si>
    <t>Werther's® Original® Pumpkin Spice Soft Caramels Halloween Candy 8.57 oz</t>
  </si>
  <si>
    <t>Werther's® Original® Harvest Caramels Caramel Apple Hard Halloween Candy Bag 1 bag / 8.57 oz</t>
  </si>
  <si>
    <t>Werther's Original Chewy Caramel Baking Candy, 10.8 oz. Big Bag</t>
  </si>
  <si>
    <t>Werthers Original Maple Creme Caramel Chewy Halloween 7.4 Oz</t>
  </si>
  <si>
    <t>Werthers Original Caramel Apple Hard Candy Everyday 2.65 Oz</t>
  </si>
  <si>
    <t>Werthers Original Assorted Caramel Chewy Halloween 28 Oz</t>
  </si>
  <si>
    <t>Werthers Original Cinnamon Creme Caramel Chewy Halloween 7.4 Oz</t>
  </si>
  <si>
    <t>Yum Earth® Assorted Organic Halloween Candies Bag 50 pc / 16.55 oz</t>
  </si>
  <si>
    <t>Yum Earth® Halloween Fruity Organic Gummy Candy Box 15 ct / 7.5 oz</t>
  </si>
  <si>
    <t>Yum Earth® Halloween Sour Organic Gummy Candy Box 15 ct / 7.5 oz</t>
  </si>
  <si>
    <t>Yum Earth® Organic Halloween Lollipops 60 ct</t>
  </si>
  <si>
    <t>YumEarth Organic Tropical Fruit Snacks, Gluten Free, Shelf-Stable, 10 Ct Box</t>
  </si>
  <si>
    <t>YumEarth Organic Fruit Snacks, Gluten Free, Shelf-Stable, 10 Ct Box</t>
  </si>
  <si>
    <t>Yumearth Organic Assorted Gummy Halloween 10 Oz 20 ct</t>
  </si>
  <si>
    <t>Yumearth Assorted Fruit Fruity Chewy Halloween 10 Oz 20 Ct</t>
  </si>
  <si>
    <t>Zachary Halloween Candy Corn Tub 16 oz</t>
  </si>
  <si>
    <t>Zachary Regular Candy Corn Halloween 14 Oz</t>
  </si>
  <si>
    <t>Zachary Autumn Mix Assorted Candy Corn Halloween 6 Oz</t>
  </si>
  <si>
    <t>Zachary Mellocreme Candy Corn Halloween 5 Oz</t>
  </si>
  <si>
    <t>Zachary Assorted Candy Corn Halloween 16 Oz</t>
  </si>
  <si>
    <t>Mondelez Assorted Halloween 80 Oz 130 Ct</t>
  </si>
  <si>
    <t>Googly Eyes Assorted Fruit Novelty Halloween .49 Oz</t>
  </si>
  <si>
    <t>Googly Eyes Assorted Fruit Novelty Halloween 1.97 Oz</t>
  </si>
  <si>
    <t>Amos Skull Candy Slime Assorted Sour Novelty Halloween 3.53 Oz</t>
  </si>
  <si>
    <t>Sour Gummi Worms Candy - 7oz - Favorite Day</t>
  </si>
  <si>
    <t>Halloween Strawberry Gummy Candy Eyeballs - 7oz - Favorite Day</t>
  </si>
  <si>
    <t>Halloween Mixed BerrySour Gummy Candy Insects - 8oz - Favorite Day</t>
  </si>
  <si>
    <t>Fall Harvest Candy Mix Tub Halloween Candy - 24oz - Favorite Day</t>
  </si>
  <si>
    <t>Halloween Gummy Witch Hats and Wands Candy - 3.95oz - Favorite Day</t>
  </si>
  <si>
    <t>Halloween Gummy Fangs Candy - 9oz - Favorite Day</t>
  </si>
  <si>
    <t>Halloween Strawberry  Gummy Candy Brains - 7oz - Favorite Day</t>
  </si>
  <si>
    <t>Halloween Fruity Gummy Fingers Candy - 9oz - Favorite Day</t>
  </si>
  <si>
    <t>Fall Harvest Candy Corn Tub Halloween Candy - 24oz - Favorite Day</t>
  </si>
  <si>
    <t>Halloween Spooky Treat House Gummy Candy Board - 24.5oz - Favorite Day</t>
  </si>
  <si>
    <t>Your Store Brand- Franken Ropes Chewy Halloween Candy Bag 48 ct / 0.45 oz</t>
  </si>
  <si>
    <t>Your Store Brand - Sour Neon Gummi Worms Candy Bag 6 oz</t>
  </si>
  <si>
    <t>Your Store Brand - Gummi Worms Candy Bag 7 oz</t>
  </si>
  <si>
    <t>Your Store Brand -Nice! Gummy Body Parts Peelable Candy Raspberry &amp; Strawberry, 0, 0 0, 7.05 oz</t>
  </si>
  <si>
    <t>Your Store Brand - Nice! Eyeballs Gummy Candy, 8.47 oz</t>
  </si>
  <si>
    <t>Your Store Brand - Nice! Candy Corn, 24.0 oz</t>
  </si>
  <si>
    <t>Your Store Brand - Nice! Gummy Pumpkin Peelable Candy Vanilla Pumpkin, 2.82 oz</t>
  </si>
  <si>
    <t>Your Store Brand - Nice! Gummy Mummy Peelable Candy Strawberry, Green Apple, Orange, 2.82 oz</t>
  </si>
  <si>
    <t>Your Store Brand - Nice! Autumn Mix Candy, 24.0 oz</t>
  </si>
  <si>
    <t>Your Store Brand - Franken Corn Monster Mello Candy Corn</t>
  </si>
  <si>
    <t>Mix of Chocolate and Non-Chocolate Candy</t>
  </si>
  <si>
    <t>Box (theatre box, gift box, carton)</t>
  </si>
  <si>
    <t>Laydown Bag</t>
  </si>
  <si>
    <t>Stand-Up Bag</t>
  </si>
  <si>
    <t>Peg Bag</t>
  </si>
  <si>
    <t>Plastic Cup / Container</t>
  </si>
  <si>
    <t>Single Pack</t>
  </si>
  <si>
    <t>Small Multipack (Less than 40 ct)</t>
  </si>
  <si>
    <t>Large Multipack (More than 80 ct)</t>
  </si>
  <si>
    <t>Everyday Graphics</t>
  </si>
  <si>
    <t>Small Pieces (Tiny bite size candies)</t>
  </si>
  <si>
    <t>Fun Size / Treat Size</t>
  </si>
  <si>
    <t>Unwrapped</t>
  </si>
  <si>
    <t>Regular/Original Wrapping</t>
  </si>
  <si>
    <t>Single Brand / Single Flavor or Form</t>
  </si>
  <si>
    <t>Single Brand / Variety Flavors or Form</t>
  </si>
  <si>
    <t>Multiple Brands / Variety Flavors or Form</t>
  </si>
  <si>
    <t>Airheads</t>
  </si>
  <si>
    <t>Non-Chocolate Candy Only</t>
  </si>
  <si>
    <t>Variety / Mixed Flavors (Fruity, Sour, Seasonal Flavors)</t>
  </si>
  <si>
    <t>Chewy</t>
  </si>
  <si>
    <t>Medium Multipack (40–80 ct)</t>
  </si>
  <si>
    <t>Everyday Candy Shapes (like Original, Gummy bear, Fruit, Jewels, etc.)</t>
  </si>
  <si>
    <t>Seasonal Graphics (Like Bat, Ghost, Pumpkin, Fall Leaves, Eyeballs, etc.)</t>
  </si>
  <si>
    <t>Fruit Flavor (Cherry, Grape, Apple, Citrus, Tropical Fruit)</t>
  </si>
  <si>
    <t>Candy Pieces / Bites</t>
  </si>
  <si>
    <t>Sour</t>
  </si>
  <si>
    <t>Taffy</t>
  </si>
  <si>
    <t>Berry Based (Raspberry, Strawberry, Medley, etc.)</t>
  </si>
  <si>
    <t>Albanese</t>
  </si>
  <si>
    <t>Sweet</t>
  </si>
  <si>
    <t>Gummy</t>
  </si>
  <si>
    <t>Seasonal Shapes (like pumpkins, candy corn, ghost, bats, etc.)</t>
  </si>
  <si>
    <t>unwrapped</t>
  </si>
  <si>
    <t>Albert's Candy Company</t>
  </si>
  <si>
    <t>AMOS</t>
  </si>
  <si>
    <t>Lollipop (regular or lollipop rings)</t>
  </si>
  <si>
    <t>Regular Lollipop size (on sticks or rings)</t>
  </si>
  <si>
    <t>Bazooka Brands</t>
  </si>
  <si>
    <t>Mixed / Combo Packs (Gummy, Chewy, Taffy, etc.)</t>
  </si>
  <si>
    <t>bettergoods</t>
  </si>
  <si>
    <t>Brach's</t>
  </si>
  <si>
    <t>Fall / Seasonal Flavors (pumpkin spice, caramel apple, candy corn)</t>
  </si>
  <si>
    <t>Charms</t>
  </si>
  <si>
    <t xml:space="preserve">Variety Candy Sizes </t>
  </si>
  <si>
    <t>Colombina</t>
  </si>
  <si>
    <t>Hard Candy</t>
  </si>
  <si>
    <t>Cow Tails</t>
  </si>
  <si>
    <t>Dots</t>
  </si>
  <si>
    <t>Dum Dums</t>
  </si>
  <si>
    <t>Ferrara Variety Pack</t>
  </si>
  <si>
    <t>Ferrero Variety Pack</t>
  </si>
  <si>
    <t>Flix</t>
  </si>
  <si>
    <t>Frankford</t>
  </si>
  <si>
    <t>Powder / Chalky</t>
  </si>
  <si>
    <t>Fun Dip</t>
  </si>
  <si>
    <t>Galerie</t>
  </si>
  <si>
    <t>George Howe</t>
  </si>
  <si>
    <t>Great Value</t>
  </si>
  <si>
    <t>HARIBO</t>
  </si>
  <si>
    <t>Hershey's</t>
  </si>
  <si>
    <t>Hershey's Variety Pack</t>
  </si>
  <si>
    <t>Hershey's Variety Pack + Haribo</t>
  </si>
  <si>
    <t>Hi Chew</t>
  </si>
  <si>
    <t>Jaw Breakers</t>
  </si>
  <si>
    <t>Jelly Belly</t>
  </si>
  <si>
    <t>Jolly Rancher</t>
  </si>
  <si>
    <t>JOYRIDE</t>
  </si>
  <si>
    <t>Kraft</t>
  </si>
  <si>
    <t>Laffy Taffy</t>
  </si>
  <si>
    <t>Mamba</t>
  </si>
  <si>
    <t>Mars Variety Pack</t>
  </si>
  <si>
    <t>Maud Borup</t>
  </si>
  <si>
    <t>Mike and Ike</t>
  </si>
  <si>
    <t>Mondelez Variety Pack</t>
  </si>
  <si>
    <t>Nerds</t>
  </si>
  <si>
    <t>Now &amp; Later</t>
  </si>
  <si>
    <t>Peeps</t>
  </si>
  <si>
    <t>Foamy / Aerated / Freeze Dried</t>
  </si>
  <si>
    <t>Pez</t>
  </si>
  <si>
    <t>Ring Pop</t>
  </si>
  <si>
    <t>Rolling Pin</t>
  </si>
  <si>
    <t>Shaq-A-Licious</t>
  </si>
  <si>
    <t>Skittles</t>
  </si>
  <si>
    <t>Smart Sweets</t>
  </si>
  <si>
    <t>Smarties</t>
  </si>
  <si>
    <t>Sour Patch Kids</t>
  </si>
  <si>
    <t>Sour Punch</t>
  </si>
  <si>
    <t>Starburst</t>
  </si>
  <si>
    <t>SweeTARTS</t>
  </si>
  <si>
    <t>Tootsie</t>
  </si>
  <si>
    <t>Torie &amp; Howard</t>
  </si>
  <si>
    <t>Trolli</t>
  </si>
  <si>
    <t>Twizzlers</t>
  </si>
  <si>
    <t>Warheads</t>
  </si>
  <si>
    <t>Werther's Original</t>
  </si>
  <si>
    <t>YumEarth</t>
  </si>
  <si>
    <t>Zachary</t>
  </si>
  <si>
    <t>Googly Eyes</t>
  </si>
  <si>
    <t>Favorite Day</t>
  </si>
  <si>
    <t>Your Store Brand</t>
  </si>
  <si>
    <t>No changes</t>
  </si>
  <si>
    <t>Current List 
(Paste list values here to keep track of changes)</t>
  </si>
  <si>
    <t>Dry / Oven Roasted</t>
  </si>
  <si>
    <t>Honey Roasted</t>
  </si>
  <si>
    <t>Oil Roasted</t>
  </si>
  <si>
    <t>Raw / Unroasted</t>
  </si>
  <si>
    <t>I would substitute with Chocolate candy only</t>
  </si>
  <si>
    <t xml:space="preserve">I wouldn’t substitute anything </t>
  </si>
  <si>
    <t>z-I would substitute with Chocolate candy only</t>
  </si>
  <si>
    <t xml:space="preserve">z-I wouldn’t substitute anything </t>
  </si>
  <si>
    <t>HidProduct</t>
  </si>
  <si>
    <t>Trolli Mini Sour Brite Crawlers, Halloween Sour Candy Treat Sized, Trick-or-Treating and Fall Parties, 9.6 oz Bag, 16 Co</t>
  </si>
  <si>
    <t>Mars Assorted M&amp;M'S, SNICKERS, SKITTLES, STARBURST Halloween Pack 18.5 Oz 40 Ct</t>
  </si>
  <si>
    <t>Zachary Orange Fruity Chewy Halloween 16 Oz</t>
  </si>
  <si>
    <t>Werthers Original Caramel Chewy Laydown Bag Everyday 10.8 Oz</t>
  </si>
  <si>
    <t>Pez Assorted Fruit Novelty Halloween .58 Oz 1 Ct -</t>
  </si>
  <si>
    <t>Trolli Sour Brite Crawlers, Halloween Sour Candy Treat Packs, 7.2 oz Bag, 12 Count for Trick-or-Treating and Fall Partie</t>
  </si>
  <si>
    <t>Brachs Classic Candy Corn Halloween Candy 3.5 Oz</t>
  </si>
  <si>
    <t>Zachary Caramel Apple Candy Corn Halloween 16 Oz</t>
  </si>
  <si>
    <t>Zachary Regular Candy Corn Halloween 6 Oz</t>
  </si>
  <si>
    <t>Airheads Bites, Halloween Trick or Treat Candy, Assorted Fruit Flavors, 2 oz Packs (Box of 18 Bags)</t>
  </si>
  <si>
    <t>Sweetarts Ropes Cherry Punch Fruity Chewy Halloween 9 Oz</t>
  </si>
  <si>
    <t>Jelly Belly Halloween 8.1 Oz Fun Pack With Kids Mix Jelly Beans 35 ct</t>
  </si>
  <si>
    <t>Smarties Candy Bulk Rolls Original Flavor 2.5 Pound Bag</t>
  </si>
  <si>
    <t>Jawbreakers Hard Candy Assorted Fruit Flavored Retro Candies 2 Pound Bag - Approx. 150 Count</t>
  </si>
  <si>
    <t>Zachary Assorted Candy Corn Halloween 14 Oz</t>
  </si>
  <si>
    <t>Smarties Candy Bulk Rolls Original Flavor 180 count, 3 lb Bag</t>
  </si>
  <si>
    <t>PackTypeStacked</t>
  </si>
  <si>
    <t>PackSizeStacked</t>
  </si>
  <si>
    <t>CandyMixStacked</t>
  </si>
  <si>
    <t>FlavorStacked</t>
  </si>
  <si>
    <t>FormTypeStacked</t>
  </si>
  <si>
    <t>ShapeStacked</t>
  </si>
  <si>
    <t>GraphicsStacked</t>
  </si>
  <si>
    <t>SizeOfEachCandyPiecesStacked</t>
  </si>
  <si>
    <t>IndividuallyWrappedVsUnwrappedStacked</t>
  </si>
  <si>
    <t>SingleBrand/FlavorVsVarietyOfBrands/FlavorsStacked</t>
  </si>
  <si>
    <t>NCC Only or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</si>
</sst>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1.5"/>
      <color rgb="FF58595B"/>
      <name val="Arial"/>
      <family val="2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center" wrapText="1"/>
    </xf>
    <xf numFmtId="0" fontId="2" fillId="0" borderId="0" xfId="0" applyFont="1" applyFill="1" applyAlignment="1">
      <alignment wrapText="1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4" fillId="0" borderId="0" xfId="0" applyFont="1" applyFill="1"/>
    <xf numFmtId="0" fontId="5" fillId="0" borderId="0" xfId="0" applyFont="1" applyFill="1"/>
    <xf numFmtId="0" fontId="4" fillId="0" borderId="1" xfId="0" applyFont="1" applyFill="1" applyBorder="1"/>
    <xf numFmtId="0" fontId="6" fillId="0" borderId="0" xfId="0" applyFont="1" applyFill="1"/>
    <xf numFmtId="0" fontId="7" fillId="0" borderId="0" xfId="0" applyFont="1" applyFill="1" applyAlignment="1">
      <alignment vertical="center"/>
    </xf>
    <xf numFmtId="0" fontId="1" fillId="0" borderId="0" xfId="0" applyFont="1" applyFill="1"/>
    <xf numFmtId="0" fontId="7" fillId="0" borderId="0" xfId="0" applyFont="1" applyFill="1"/>
    <xf numFmtId="0" fontId="8" fillId="0" borderId="0" xfId="0" applyFont="1" applyFill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customschemas.google.com/relationships/workbookmetadata" Target="metadata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998"/>
  <sheetViews>
    <sheetView tabSelected="1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B10" sqref="B10"/>
    </sheetView>
  </sheetViews>
  <sheetFormatPr defaultColWidth="14.42578125" defaultRowHeight="15" customHeight="1" x14ac:dyDescent="0.25"/>
  <cols>
    <col min="1" max="1" width="8.85546875" style="13" customWidth="1"/>
    <col min="2" max="2" width="58.42578125" style="13" customWidth="1"/>
    <col min="3" max="3" width="30.7109375" style="13" customWidth="1"/>
    <col min="4" max="4" width="28.5703125" style="13" customWidth="1"/>
    <col min="5" max="5" width="49.28515625" style="13" customWidth="1"/>
    <col min="6" max="6" width="47.85546875" style="13" customWidth="1"/>
    <col min="7" max="7" width="32.28515625" style="13" customWidth="1"/>
    <col min="8" max="8" width="32.140625" style="13" customWidth="1"/>
    <col min="9" max="9" width="66.7109375" style="13" customWidth="1"/>
    <col min="10" max="10" width="60.42578125" style="13" customWidth="1"/>
    <col min="11" max="11" width="69.7109375" style="13" customWidth="1"/>
    <col min="12" max="12" width="37.42578125" style="13" customWidth="1"/>
    <col min="13" max="13" width="41.5703125" style="13" customWidth="1"/>
    <col min="14" max="16" width="8.7109375" style="13" customWidth="1"/>
    <col min="17" max="16384" width="14.42578125" style="13"/>
  </cols>
  <sheetData>
    <row r="1" spans="1:16" ht="14.25" customHeight="1" x14ac:dyDescent="0.25">
      <c r="A1" s="9" t="s">
        <v>0</v>
      </c>
      <c r="B1" s="10" t="s">
        <v>1</v>
      </c>
      <c r="C1" s="9" t="s">
        <v>3</v>
      </c>
      <c r="D1" s="11" t="s">
        <v>488</v>
      </c>
      <c r="E1" s="9" t="s">
        <v>5</v>
      </c>
      <c r="F1" s="9" t="s">
        <v>7</v>
      </c>
      <c r="G1" s="9" t="s">
        <v>9</v>
      </c>
      <c r="H1" s="9" t="s">
        <v>11</v>
      </c>
      <c r="I1" s="9" t="s">
        <v>13</v>
      </c>
      <c r="J1" s="9" t="s">
        <v>15</v>
      </c>
      <c r="K1" s="9" t="s">
        <v>17</v>
      </c>
      <c r="L1" s="9" t="s">
        <v>19</v>
      </c>
      <c r="M1" s="9" t="s">
        <v>21</v>
      </c>
      <c r="N1" s="12"/>
      <c r="O1" s="12"/>
      <c r="P1" s="12"/>
    </row>
    <row r="2" spans="1:16" ht="14.25" customHeight="1" x14ac:dyDescent="0.25">
      <c r="A2" s="14">
        <v>8001</v>
      </c>
      <c r="B2" s="15" t="s">
        <v>2</v>
      </c>
      <c r="C2" s="15" t="s">
        <v>367</v>
      </c>
      <c r="D2" s="16" t="s">
        <v>368</v>
      </c>
      <c r="E2" s="15" t="s">
        <v>369</v>
      </c>
      <c r="F2" s="15" t="s">
        <v>370</v>
      </c>
      <c r="G2" s="15" t="s">
        <v>371</v>
      </c>
      <c r="H2" s="15" t="s">
        <v>351</v>
      </c>
      <c r="I2" s="15" t="s">
        <v>372</v>
      </c>
      <c r="J2" s="15" t="s">
        <v>373</v>
      </c>
      <c r="K2" s="15" t="s">
        <v>361</v>
      </c>
      <c r="L2" s="15" t="s">
        <v>363</v>
      </c>
      <c r="M2" s="15" t="s">
        <v>365</v>
      </c>
    </row>
    <row r="3" spans="1:16" ht="14.25" customHeight="1" x14ac:dyDescent="0.25">
      <c r="A3" s="14">
        <v>8002</v>
      </c>
      <c r="B3" s="15" t="s">
        <v>4</v>
      </c>
      <c r="C3" s="15" t="s">
        <v>367</v>
      </c>
      <c r="D3" s="16" t="s">
        <v>368</v>
      </c>
      <c r="E3" s="15" t="s">
        <v>369</v>
      </c>
      <c r="F3" s="15" t="s">
        <v>370</v>
      </c>
      <c r="G3" s="15" t="s">
        <v>358</v>
      </c>
      <c r="H3" s="15" t="s">
        <v>351</v>
      </c>
      <c r="I3" s="15" t="s">
        <v>372</v>
      </c>
      <c r="J3" s="15" t="s">
        <v>373</v>
      </c>
      <c r="K3" s="15" t="s">
        <v>361</v>
      </c>
      <c r="L3" s="15" t="s">
        <v>363</v>
      </c>
      <c r="M3" s="15" t="s">
        <v>365</v>
      </c>
    </row>
    <row r="4" spans="1:16" ht="14.25" customHeight="1" x14ac:dyDescent="0.25">
      <c r="A4" s="14">
        <v>8003</v>
      </c>
      <c r="B4" s="13" t="s">
        <v>471</v>
      </c>
      <c r="C4" s="15" t="s">
        <v>367</v>
      </c>
      <c r="D4" s="16" t="s">
        <v>368</v>
      </c>
      <c r="E4" s="15" t="s">
        <v>374</v>
      </c>
      <c r="F4" s="15" t="s">
        <v>375</v>
      </c>
      <c r="G4" s="15" t="s">
        <v>357</v>
      </c>
      <c r="H4" s="15" t="s">
        <v>351</v>
      </c>
      <c r="I4" s="15" t="s">
        <v>372</v>
      </c>
      <c r="J4" s="15" t="s">
        <v>359</v>
      </c>
      <c r="K4" s="15" t="s">
        <v>360</v>
      </c>
      <c r="L4" s="15" t="s">
        <v>363</v>
      </c>
      <c r="M4" s="15" t="s">
        <v>365</v>
      </c>
    </row>
    <row r="5" spans="1:16" ht="14.25" customHeight="1" x14ac:dyDescent="0.25">
      <c r="A5" s="14">
        <v>8004</v>
      </c>
      <c r="B5" s="15" t="s">
        <v>6</v>
      </c>
      <c r="C5" s="15" t="s">
        <v>367</v>
      </c>
      <c r="D5" s="16" t="s">
        <v>368</v>
      </c>
      <c r="E5" s="15" t="s">
        <v>376</v>
      </c>
      <c r="F5" s="15" t="s">
        <v>377</v>
      </c>
      <c r="G5" s="15" t="s">
        <v>358</v>
      </c>
      <c r="H5" s="15" t="s">
        <v>352</v>
      </c>
      <c r="I5" s="15" t="s">
        <v>372</v>
      </c>
      <c r="J5" s="15" t="s">
        <v>359</v>
      </c>
      <c r="K5" s="15" t="s">
        <v>361</v>
      </c>
      <c r="L5" s="15" t="s">
        <v>363</v>
      </c>
      <c r="M5" s="15" t="s">
        <v>365</v>
      </c>
    </row>
    <row r="6" spans="1:16" ht="14.25" customHeight="1" x14ac:dyDescent="0.25">
      <c r="A6" s="14">
        <v>8005</v>
      </c>
      <c r="B6" s="15" t="s">
        <v>8</v>
      </c>
      <c r="C6" s="15" t="s">
        <v>367</v>
      </c>
      <c r="D6" s="16" t="s">
        <v>368</v>
      </c>
      <c r="E6" s="15" t="s">
        <v>374</v>
      </c>
      <c r="F6" s="15" t="s">
        <v>370</v>
      </c>
      <c r="G6" s="15" t="s">
        <v>357</v>
      </c>
      <c r="H6" s="15" t="s">
        <v>352</v>
      </c>
      <c r="I6" s="15" t="s">
        <v>372</v>
      </c>
      <c r="J6" s="15" t="s">
        <v>359</v>
      </c>
      <c r="K6" s="15" t="s">
        <v>361</v>
      </c>
      <c r="L6" s="15" t="s">
        <v>363</v>
      </c>
      <c r="M6" s="15" t="s">
        <v>365</v>
      </c>
    </row>
    <row r="7" spans="1:16" ht="14.25" customHeight="1" x14ac:dyDescent="0.25">
      <c r="A7" s="14">
        <v>8006</v>
      </c>
      <c r="B7" s="15" t="s">
        <v>10</v>
      </c>
      <c r="C7" s="15" t="s">
        <v>367</v>
      </c>
      <c r="D7" s="16" t="s">
        <v>368</v>
      </c>
      <c r="E7" s="15" t="s">
        <v>374</v>
      </c>
      <c r="F7" s="15" t="s">
        <v>370</v>
      </c>
      <c r="G7" s="15" t="s">
        <v>357</v>
      </c>
      <c r="H7" s="15" t="s">
        <v>352</v>
      </c>
      <c r="I7" s="15" t="s">
        <v>372</v>
      </c>
      <c r="J7" s="15" t="s">
        <v>359</v>
      </c>
      <c r="K7" s="15" t="s">
        <v>361</v>
      </c>
      <c r="L7" s="15" t="s">
        <v>363</v>
      </c>
      <c r="M7" s="15" t="s">
        <v>365</v>
      </c>
    </row>
    <row r="8" spans="1:16" ht="14.25" customHeight="1" x14ac:dyDescent="0.25">
      <c r="A8" s="14">
        <v>8007</v>
      </c>
      <c r="B8" s="15" t="s">
        <v>12</v>
      </c>
      <c r="C8" s="15" t="s">
        <v>367</v>
      </c>
      <c r="D8" s="16" t="s">
        <v>368</v>
      </c>
      <c r="E8" s="15" t="s">
        <v>378</v>
      </c>
      <c r="F8" s="15" t="s">
        <v>370</v>
      </c>
      <c r="G8" s="15" t="s">
        <v>356</v>
      </c>
      <c r="H8" s="15" t="s">
        <v>352</v>
      </c>
      <c r="I8" s="15" t="s">
        <v>372</v>
      </c>
      <c r="J8" s="15" t="s">
        <v>359</v>
      </c>
      <c r="K8" s="15" t="s">
        <v>361</v>
      </c>
      <c r="L8" s="15" t="s">
        <v>362</v>
      </c>
      <c r="M8" s="15" t="s">
        <v>364</v>
      </c>
    </row>
    <row r="9" spans="1:16" ht="14.25" customHeight="1" x14ac:dyDescent="0.25">
      <c r="A9" s="17">
        <v>8008</v>
      </c>
      <c r="B9" s="15" t="s">
        <v>14</v>
      </c>
      <c r="C9" s="15" t="s">
        <v>367</v>
      </c>
      <c r="D9" s="16" t="s">
        <v>368</v>
      </c>
      <c r="E9" s="15" t="s">
        <v>369</v>
      </c>
      <c r="F9" s="15" t="s">
        <v>370</v>
      </c>
      <c r="G9" s="15" t="s">
        <v>357</v>
      </c>
      <c r="H9" s="18" t="s">
        <v>353</v>
      </c>
      <c r="I9" s="15" t="s">
        <v>372</v>
      </c>
      <c r="J9" s="15" t="s">
        <v>359</v>
      </c>
      <c r="K9" s="15" t="s">
        <v>361</v>
      </c>
      <c r="L9" s="15" t="s">
        <v>363</v>
      </c>
      <c r="M9" s="15" t="s">
        <v>365</v>
      </c>
      <c r="N9" s="19"/>
      <c r="O9" s="19"/>
      <c r="P9" s="19"/>
    </row>
    <row r="10" spans="1:16" ht="14.25" customHeight="1" x14ac:dyDescent="0.25">
      <c r="A10" s="14">
        <v>8009</v>
      </c>
      <c r="B10" s="15" t="s">
        <v>16</v>
      </c>
      <c r="C10" s="15" t="s">
        <v>367</v>
      </c>
      <c r="D10" s="16" t="s">
        <v>368</v>
      </c>
      <c r="E10" s="15" t="s">
        <v>374</v>
      </c>
      <c r="F10" s="15" t="s">
        <v>375</v>
      </c>
      <c r="G10" s="15" t="s">
        <v>357</v>
      </c>
      <c r="H10" s="15" t="s">
        <v>352</v>
      </c>
      <c r="I10" s="15" t="s">
        <v>372</v>
      </c>
      <c r="J10" s="15" t="s">
        <v>359</v>
      </c>
      <c r="K10" s="15" t="s">
        <v>360</v>
      </c>
      <c r="L10" s="15" t="s">
        <v>362</v>
      </c>
      <c r="M10" s="15" t="s">
        <v>365</v>
      </c>
    </row>
    <row r="11" spans="1:16" ht="14.25" customHeight="1" x14ac:dyDescent="0.25">
      <c r="A11" s="14">
        <v>8010</v>
      </c>
      <c r="B11" s="15" t="s">
        <v>18</v>
      </c>
      <c r="C11" s="15" t="s">
        <v>367</v>
      </c>
      <c r="D11" s="16" t="s">
        <v>368</v>
      </c>
      <c r="E11" s="15" t="s">
        <v>376</v>
      </c>
      <c r="F11" s="15" t="s">
        <v>370</v>
      </c>
      <c r="G11" s="15" t="s">
        <v>357</v>
      </c>
      <c r="H11" s="15" t="s">
        <v>352</v>
      </c>
      <c r="I11" s="15" t="s">
        <v>372</v>
      </c>
      <c r="J11" s="15" t="s">
        <v>359</v>
      </c>
      <c r="K11" s="15" t="s">
        <v>361</v>
      </c>
      <c r="L11" s="15" t="s">
        <v>363</v>
      </c>
      <c r="M11" s="15" t="s">
        <v>365</v>
      </c>
    </row>
    <row r="12" spans="1:16" ht="14.25" customHeight="1" x14ac:dyDescent="0.25">
      <c r="A12" s="14">
        <v>8011</v>
      </c>
      <c r="B12" s="15" t="s">
        <v>20</v>
      </c>
      <c r="C12" s="15" t="s">
        <v>379</v>
      </c>
      <c r="D12" s="16" t="s">
        <v>368</v>
      </c>
      <c r="E12" s="15" t="s">
        <v>380</v>
      </c>
      <c r="F12" s="15" t="s">
        <v>381</v>
      </c>
      <c r="G12" s="15" t="s">
        <v>356</v>
      </c>
      <c r="H12" s="15" t="s">
        <v>352</v>
      </c>
      <c r="I12" s="15" t="s">
        <v>372</v>
      </c>
      <c r="J12" s="15" t="s">
        <v>373</v>
      </c>
      <c r="K12" s="15" t="s">
        <v>360</v>
      </c>
      <c r="L12" s="15" t="s">
        <v>363</v>
      </c>
      <c r="M12" s="15" t="s">
        <v>365</v>
      </c>
    </row>
    <row r="13" spans="1:16" ht="14.25" customHeight="1" x14ac:dyDescent="0.25">
      <c r="A13" s="14">
        <v>8012</v>
      </c>
      <c r="B13" s="15" t="s">
        <v>22</v>
      </c>
      <c r="C13" s="15" t="s">
        <v>379</v>
      </c>
      <c r="D13" s="16" t="s">
        <v>368</v>
      </c>
      <c r="E13" s="15" t="s">
        <v>369</v>
      </c>
      <c r="F13" s="15" t="s">
        <v>381</v>
      </c>
      <c r="G13" s="15" t="s">
        <v>356</v>
      </c>
      <c r="H13" s="15" t="s">
        <v>352</v>
      </c>
      <c r="I13" s="15" t="s">
        <v>372</v>
      </c>
      <c r="J13" s="15" t="s">
        <v>373</v>
      </c>
      <c r="K13" s="15" t="s">
        <v>360</v>
      </c>
      <c r="L13" s="15" t="s">
        <v>363</v>
      </c>
      <c r="M13" s="15" t="s">
        <v>365</v>
      </c>
    </row>
    <row r="14" spans="1:16" ht="14.25" customHeight="1" x14ac:dyDescent="0.25">
      <c r="A14" s="14">
        <v>8013</v>
      </c>
      <c r="B14" s="15" t="s">
        <v>23</v>
      </c>
      <c r="C14" s="15" t="s">
        <v>379</v>
      </c>
      <c r="D14" s="16" t="s">
        <v>368</v>
      </c>
      <c r="E14" s="15" t="s">
        <v>374</v>
      </c>
      <c r="F14" s="15" t="s">
        <v>381</v>
      </c>
      <c r="G14" s="15" t="s">
        <v>356</v>
      </c>
      <c r="H14" s="15" t="s">
        <v>353</v>
      </c>
      <c r="I14" s="15" t="s">
        <v>382</v>
      </c>
      <c r="J14" s="15" t="s">
        <v>373</v>
      </c>
      <c r="K14" s="15" t="s">
        <v>360</v>
      </c>
      <c r="L14" s="15" t="s">
        <v>383</v>
      </c>
      <c r="M14" s="15" t="s">
        <v>365</v>
      </c>
    </row>
    <row r="15" spans="1:16" ht="14.25" customHeight="1" x14ac:dyDescent="0.25">
      <c r="A15" s="14">
        <v>8014</v>
      </c>
      <c r="B15" s="15" t="s">
        <v>24</v>
      </c>
      <c r="C15" s="15" t="s">
        <v>379</v>
      </c>
      <c r="D15" s="16" t="s">
        <v>368</v>
      </c>
      <c r="E15" s="15" t="s">
        <v>374</v>
      </c>
      <c r="F15" s="15" t="s">
        <v>381</v>
      </c>
      <c r="G15" s="15" t="s">
        <v>357</v>
      </c>
      <c r="H15" s="15" t="s">
        <v>353</v>
      </c>
      <c r="I15" s="15" t="s">
        <v>382</v>
      </c>
      <c r="J15" s="15" t="s">
        <v>373</v>
      </c>
      <c r="K15" s="15" t="s">
        <v>360</v>
      </c>
      <c r="L15" s="15" t="s">
        <v>383</v>
      </c>
      <c r="M15" s="15" t="s">
        <v>365</v>
      </c>
    </row>
    <row r="16" spans="1:16" ht="14.25" customHeight="1" x14ac:dyDescent="0.25">
      <c r="A16" s="14">
        <v>8015</v>
      </c>
      <c r="B16" s="15" t="s">
        <v>25</v>
      </c>
      <c r="C16" s="15" t="s">
        <v>384</v>
      </c>
      <c r="D16" s="16" t="s">
        <v>368</v>
      </c>
      <c r="E16" s="15" t="s">
        <v>374</v>
      </c>
      <c r="F16" s="15" t="s">
        <v>370</v>
      </c>
      <c r="G16" s="15" t="s">
        <v>358</v>
      </c>
      <c r="H16" s="15" t="s">
        <v>352</v>
      </c>
      <c r="I16" s="15" t="s">
        <v>372</v>
      </c>
      <c r="J16" s="15" t="s">
        <v>373</v>
      </c>
      <c r="K16" s="15" t="s">
        <v>360</v>
      </c>
      <c r="L16" s="15" t="s">
        <v>363</v>
      </c>
      <c r="M16" s="15" t="s">
        <v>365</v>
      </c>
    </row>
    <row r="17" spans="1:16" ht="14.25" customHeight="1" x14ac:dyDescent="0.25">
      <c r="A17" s="14">
        <v>8016</v>
      </c>
      <c r="B17" s="15" t="s">
        <v>26</v>
      </c>
      <c r="C17" s="15" t="s">
        <v>384</v>
      </c>
      <c r="D17" s="16" t="s">
        <v>368</v>
      </c>
      <c r="E17" s="15" t="s">
        <v>374</v>
      </c>
      <c r="F17" s="15" t="s">
        <v>370</v>
      </c>
      <c r="G17" s="15" t="s">
        <v>358</v>
      </c>
      <c r="H17" s="15" t="s">
        <v>352</v>
      </c>
      <c r="I17" s="15" t="s">
        <v>372</v>
      </c>
      <c r="J17" s="15" t="s">
        <v>373</v>
      </c>
      <c r="K17" s="15" t="s">
        <v>360</v>
      </c>
      <c r="L17" s="15" t="s">
        <v>363</v>
      </c>
      <c r="M17" s="15" t="s">
        <v>365</v>
      </c>
    </row>
    <row r="18" spans="1:16" ht="14.25" customHeight="1" x14ac:dyDescent="0.25">
      <c r="A18" s="14">
        <v>8017</v>
      </c>
      <c r="B18" s="15" t="s">
        <v>27</v>
      </c>
      <c r="C18" s="15" t="s">
        <v>385</v>
      </c>
      <c r="D18" s="16" t="s">
        <v>368</v>
      </c>
      <c r="E18" s="15" t="s">
        <v>380</v>
      </c>
      <c r="F18" s="15" t="s">
        <v>386</v>
      </c>
      <c r="G18" s="15" t="s">
        <v>357</v>
      </c>
      <c r="H18" s="15" t="s">
        <v>352</v>
      </c>
      <c r="I18" s="15" t="s">
        <v>382</v>
      </c>
      <c r="J18" s="15" t="s">
        <v>373</v>
      </c>
      <c r="K18" s="15" t="s">
        <v>387</v>
      </c>
      <c r="L18" s="15" t="s">
        <v>363</v>
      </c>
      <c r="M18" s="15" t="s">
        <v>365</v>
      </c>
    </row>
    <row r="19" spans="1:16" ht="14.25" customHeight="1" x14ac:dyDescent="0.25">
      <c r="A19" s="14">
        <v>8018</v>
      </c>
      <c r="B19" s="15" t="s">
        <v>28</v>
      </c>
      <c r="C19" s="15" t="s">
        <v>385</v>
      </c>
      <c r="D19" s="16" t="s">
        <v>368</v>
      </c>
      <c r="E19" s="15" t="s">
        <v>376</v>
      </c>
      <c r="F19" s="15" t="s">
        <v>381</v>
      </c>
      <c r="G19" s="15" t="s">
        <v>357</v>
      </c>
      <c r="H19" s="15" t="s">
        <v>351</v>
      </c>
      <c r="I19" s="15" t="s">
        <v>382</v>
      </c>
      <c r="J19" s="15" t="s">
        <v>373</v>
      </c>
      <c r="K19" s="15" t="s">
        <v>360</v>
      </c>
      <c r="L19" s="15" t="s">
        <v>362</v>
      </c>
      <c r="M19" s="15" t="s">
        <v>365</v>
      </c>
    </row>
    <row r="20" spans="1:16" ht="14.25" customHeight="1" x14ac:dyDescent="0.25">
      <c r="A20" s="14">
        <v>8019</v>
      </c>
      <c r="B20" s="15" t="s">
        <v>29</v>
      </c>
      <c r="C20" s="15" t="s">
        <v>385</v>
      </c>
      <c r="D20" s="16" t="s">
        <v>368</v>
      </c>
      <c r="E20" s="15" t="s">
        <v>374</v>
      </c>
      <c r="F20" s="15" t="s">
        <v>381</v>
      </c>
      <c r="G20" s="15" t="s">
        <v>356</v>
      </c>
      <c r="H20" s="15" t="s">
        <v>354</v>
      </c>
      <c r="I20" s="15" t="s">
        <v>382</v>
      </c>
      <c r="J20" s="15" t="s">
        <v>373</v>
      </c>
      <c r="K20" s="15" t="s">
        <v>360</v>
      </c>
      <c r="L20" s="15" t="s">
        <v>362</v>
      </c>
      <c r="M20" s="15" t="s">
        <v>364</v>
      </c>
    </row>
    <row r="21" spans="1:16" ht="14.25" customHeight="1" x14ac:dyDescent="0.25">
      <c r="A21" s="14">
        <v>8020</v>
      </c>
      <c r="B21" s="15" t="s">
        <v>30</v>
      </c>
      <c r="C21" s="15" t="s">
        <v>385</v>
      </c>
      <c r="D21" s="16" t="s">
        <v>368</v>
      </c>
      <c r="E21" s="15" t="s">
        <v>374</v>
      </c>
      <c r="F21" s="15" t="s">
        <v>381</v>
      </c>
      <c r="G21" s="15" t="s">
        <v>356</v>
      </c>
      <c r="H21" s="15" t="s">
        <v>354</v>
      </c>
      <c r="I21" s="15" t="s">
        <v>382</v>
      </c>
      <c r="J21" s="15" t="s">
        <v>373</v>
      </c>
      <c r="K21" s="15" t="s">
        <v>360</v>
      </c>
      <c r="L21" s="15" t="s">
        <v>362</v>
      </c>
      <c r="M21" s="15" t="s">
        <v>364</v>
      </c>
    </row>
    <row r="22" spans="1:16" ht="14.25" customHeight="1" x14ac:dyDescent="0.25">
      <c r="A22" s="14">
        <v>8021</v>
      </c>
      <c r="B22" s="15" t="s">
        <v>31</v>
      </c>
      <c r="C22" s="15" t="s">
        <v>385</v>
      </c>
      <c r="D22" s="16" t="s">
        <v>368</v>
      </c>
      <c r="E22" s="15" t="s">
        <v>378</v>
      </c>
      <c r="F22" s="15" t="s">
        <v>381</v>
      </c>
      <c r="G22" s="15" t="s">
        <v>371</v>
      </c>
      <c r="H22" s="15" t="s">
        <v>352</v>
      </c>
      <c r="I22" s="15" t="s">
        <v>382</v>
      </c>
      <c r="J22" s="15" t="s">
        <v>373</v>
      </c>
      <c r="K22" s="15" t="s">
        <v>360</v>
      </c>
      <c r="L22" s="15" t="s">
        <v>362</v>
      </c>
      <c r="M22" s="15" t="s">
        <v>365</v>
      </c>
    </row>
    <row r="23" spans="1:16" ht="14.25" customHeight="1" x14ac:dyDescent="0.25">
      <c r="A23" s="17">
        <v>8022</v>
      </c>
      <c r="B23" s="15" t="s">
        <v>32</v>
      </c>
      <c r="C23" s="15" t="s">
        <v>388</v>
      </c>
      <c r="D23" s="16" t="s">
        <v>368</v>
      </c>
      <c r="E23" s="15" t="s">
        <v>380</v>
      </c>
      <c r="F23" s="15" t="s">
        <v>381</v>
      </c>
      <c r="G23" s="15" t="s">
        <v>357</v>
      </c>
      <c r="H23" s="18" t="s">
        <v>353</v>
      </c>
      <c r="I23" s="15" t="s">
        <v>382</v>
      </c>
      <c r="J23" s="15" t="s">
        <v>373</v>
      </c>
      <c r="K23" s="15" t="s">
        <v>361</v>
      </c>
      <c r="L23" s="15" t="s">
        <v>363</v>
      </c>
      <c r="M23" s="15" t="s">
        <v>366</v>
      </c>
      <c r="N23" s="19"/>
      <c r="O23" s="19"/>
      <c r="P23" s="19"/>
    </row>
    <row r="24" spans="1:16" ht="14.25" customHeight="1" x14ac:dyDescent="0.25">
      <c r="A24" s="14">
        <v>8023</v>
      </c>
      <c r="B24" s="15" t="s">
        <v>33</v>
      </c>
      <c r="C24" s="15" t="s">
        <v>388</v>
      </c>
      <c r="D24" s="16" t="s">
        <v>368</v>
      </c>
      <c r="E24" s="15" t="s">
        <v>369</v>
      </c>
      <c r="F24" s="15" t="s">
        <v>389</v>
      </c>
      <c r="G24" s="15" t="s">
        <v>357</v>
      </c>
      <c r="H24" s="15" t="s">
        <v>351</v>
      </c>
      <c r="I24" s="15" t="s">
        <v>382</v>
      </c>
      <c r="J24" s="15" t="s">
        <v>373</v>
      </c>
      <c r="K24" s="15" t="s">
        <v>360</v>
      </c>
      <c r="L24" s="15" t="s">
        <v>363</v>
      </c>
      <c r="M24" s="15" t="s">
        <v>365</v>
      </c>
    </row>
    <row r="25" spans="1:16" ht="14.25" customHeight="1" x14ac:dyDescent="0.25">
      <c r="A25" s="14">
        <v>8024</v>
      </c>
      <c r="B25" s="15" t="s">
        <v>34</v>
      </c>
      <c r="C25" s="15" t="s">
        <v>390</v>
      </c>
      <c r="D25" s="16" t="s">
        <v>368</v>
      </c>
      <c r="E25" s="15" t="s">
        <v>374</v>
      </c>
      <c r="F25" s="15" t="s">
        <v>381</v>
      </c>
      <c r="G25" s="15" t="s">
        <v>356</v>
      </c>
      <c r="H25" s="15" t="s">
        <v>354</v>
      </c>
      <c r="I25" s="15" t="s">
        <v>382</v>
      </c>
      <c r="J25" s="15" t="s">
        <v>373</v>
      </c>
      <c r="K25" s="15" t="s">
        <v>360</v>
      </c>
      <c r="L25" s="15" t="s">
        <v>362</v>
      </c>
      <c r="M25" s="15" t="s">
        <v>365</v>
      </c>
    </row>
    <row r="26" spans="1:16" ht="14.25" customHeight="1" x14ac:dyDescent="0.25">
      <c r="A26" s="14">
        <v>8025</v>
      </c>
      <c r="B26" s="15" t="s">
        <v>35</v>
      </c>
      <c r="C26" s="15" t="s">
        <v>390</v>
      </c>
      <c r="D26" s="16" t="s">
        <v>368</v>
      </c>
      <c r="E26" s="15" t="s">
        <v>376</v>
      </c>
      <c r="F26" s="15" t="s">
        <v>381</v>
      </c>
      <c r="G26" s="15" t="s">
        <v>356</v>
      </c>
      <c r="H26" s="15" t="s">
        <v>352</v>
      </c>
      <c r="I26" s="15" t="s">
        <v>382</v>
      </c>
      <c r="J26" s="15" t="s">
        <v>373</v>
      </c>
      <c r="K26" s="15" t="s">
        <v>360</v>
      </c>
      <c r="L26" s="15" t="s">
        <v>362</v>
      </c>
      <c r="M26" s="15" t="s">
        <v>365</v>
      </c>
    </row>
    <row r="27" spans="1:16" ht="14.25" customHeight="1" x14ac:dyDescent="0.25">
      <c r="A27" s="14">
        <v>8026</v>
      </c>
      <c r="B27" s="15" t="s">
        <v>36</v>
      </c>
      <c r="C27" s="15" t="s">
        <v>391</v>
      </c>
      <c r="D27" s="16" t="s">
        <v>368</v>
      </c>
      <c r="E27" s="15" t="s">
        <v>392</v>
      </c>
      <c r="F27" s="15" t="s">
        <v>375</v>
      </c>
      <c r="G27" s="15" t="s">
        <v>356</v>
      </c>
      <c r="H27" s="15" t="s">
        <v>352</v>
      </c>
      <c r="I27" s="15" t="s">
        <v>382</v>
      </c>
      <c r="J27" s="15" t="s">
        <v>373</v>
      </c>
      <c r="K27" s="15" t="s">
        <v>360</v>
      </c>
      <c r="L27" s="15" t="s">
        <v>362</v>
      </c>
      <c r="M27" s="15" t="s">
        <v>364</v>
      </c>
    </row>
    <row r="28" spans="1:16" ht="14.25" customHeight="1" x14ac:dyDescent="0.25">
      <c r="A28" s="14">
        <v>8027</v>
      </c>
      <c r="B28" s="15" t="s">
        <v>37</v>
      </c>
      <c r="C28" s="15" t="s">
        <v>391</v>
      </c>
      <c r="D28" s="16" t="s">
        <v>368</v>
      </c>
      <c r="E28" s="15" t="s">
        <v>392</v>
      </c>
      <c r="F28" s="15" t="s">
        <v>375</v>
      </c>
      <c r="G28" s="15" t="s">
        <v>356</v>
      </c>
      <c r="H28" s="15" t="s">
        <v>352</v>
      </c>
      <c r="I28" s="15" t="s">
        <v>382</v>
      </c>
      <c r="J28" s="15" t="s">
        <v>373</v>
      </c>
      <c r="K28" s="15" t="s">
        <v>360</v>
      </c>
      <c r="L28" s="15" t="s">
        <v>362</v>
      </c>
      <c r="M28" s="15" t="s">
        <v>364</v>
      </c>
    </row>
    <row r="29" spans="1:16" ht="14.25" customHeight="1" x14ac:dyDescent="0.25">
      <c r="A29" s="14">
        <v>8028</v>
      </c>
      <c r="B29" s="15" t="s">
        <v>38</v>
      </c>
      <c r="C29" s="15" t="s">
        <v>391</v>
      </c>
      <c r="D29" s="16" t="s">
        <v>368</v>
      </c>
      <c r="E29" s="15" t="s">
        <v>392</v>
      </c>
      <c r="F29" s="15" t="s">
        <v>375</v>
      </c>
      <c r="G29" s="15" t="s">
        <v>356</v>
      </c>
      <c r="H29" s="15" t="s">
        <v>352</v>
      </c>
      <c r="I29" s="15" t="s">
        <v>382</v>
      </c>
      <c r="J29" s="15" t="s">
        <v>373</v>
      </c>
      <c r="K29" s="15" t="s">
        <v>360</v>
      </c>
      <c r="L29" s="15" t="s">
        <v>362</v>
      </c>
      <c r="M29" s="15" t="s">
        <v>365</v>
      </c>
    </row>
    <row r="30" spans="1:16" ht="14.25" customHeight="1" x14ac:dyDescent="0.25">
      <c r="A30" s="14">
        <v>8029</v>
      </c>
      <c r="B30" s="15" t="s">
        <v>39</v>
      </c>
      <c r="C30" s="15" t="s">
        <v>391</v>
      </c>
      <c r="D30" s="16" t="s">
        <v>368</v>
      </c>
      <c r="E30" s="15" t="s">
        <v>392</v>
      </c>
      <c r="F30" s="15" t="s">
        <v>375</v>
      </c>
      <c r="G30" s="15" t="s">
        <v>356</v>
      </c>
      <c r="H30" s="15" t="s">
        <v>353</v>
      </c>
      <c r="I30" s="15" t="s">
        <v>382</v>
      </c>
      <c r="J30" s="15" t="s">
        <v>373</v>
      </c>
      <c r="K30" s="15" t="s">
        <v>360</v>
      </c>
      <c r="L30" s="15" t="s">
        <v>362</v>
      </c>
      <c r="M30" s="15" t="s">
        <v>364</v>
      </c>
    </row>
    <row r="31" spans="1:16" ht="14.25" customHeight="1" x14ac:dyDescent="0.25">
      <c r="A31" s="14">
        <v>8030</v>
      </c>
      <c r="B31" s="15" t="s">
        <v>40</v>
      </c>
      <c r="C31" s="15" t="s">
        <v>391</v>
      </c>
      <c r="D31" s="16" t="s">
        <v>368</v>
      </c>
      <c r="E31" s="15" t="s">
        <v>392</v>
      </c>
      <c r="F31" s="15" t="s">
        <v>375</v>
      </c>
      <c r="G31" s="15" t="s">
        <v>356</v>
      </c>
      <c r="H31" s="15" t="s">
        <v>353</v>
      </c>
      <c r="I31" s="15" t="s">
        <v>382</v>
      </c>
      <c r="J31" s="15" t="s">
        <v>373</v>
      </c>
      <c r="K31" s="15" t="s">
        <v>360</v>
      </c>
      <c r="L31" s="15" t="s">
        <v>362</v>
      </c>
      <c r="M31" s="15" t="s">
        <v>364</v>
      </c>
    </row>
    <row r="32" spans="1:16" ht="14.25" customHeight="1" x14ac:dyDescent="0.25">
      <c r="A32" s="14">
        <v>8031</v>
      </c>
      <c r="B32" s="15" t="s">
        <v>41</v>
      </c>
      <c r="C32" s="15" t="s">
        <v>391</v>
      </c>
      <c r="D32" s="16" t="s">
        <v>368</v>
      </c>
      <c r="E32" s="15" t="s">
        <v>392</v>
      </c>
      <c r="F32" s="15" t="s">
        <v>375</v>
      </c>
      <c r="G32" s="15" t="s">
        <v>356</v>
      </c>
      <c r="H32" s="15" t="s">
        <v>353</v>
      </c>
      <c r="I32" s="15" t="s">
        <v>382</v>
      </c>
      <c r="J32" s="15" t="s">
        <v>373</v>
      </c>
      <c r="K32" s="15" t="s">
        <v>360</v>
      </c>
      <c r="L32" s="15" t="s">
        <v>362</v>
      </c>
      <c r="M32" s="15" t="s">
        <v>365</v>
      </c>
    </row>
    <row r="33" spans="1:13" ht="14.25" customHeight="1" x14ac:dyDescent="0.25">
      <c r="A33" s="14">
        <v>8032</v>
      </c>
      <c r="B33" s="15" t="s">
        <v>42</v>
      </c>
      <c r="C33" s="15" t="s">
        <v>391</v>
      </c>
      <c r="D33" s="16" t="s">
        <v>368</v>
      </c>
      <c r="E33" s="15" t="s">
        <v>392</v>
      </c>
      <c r="F33" s="15" t="s">
        <v>375</v>
      </c>
      <c r="G33" s="15" t="s">
        <v>356</v>
      </c>
      <c r="H33" s="15" t="s">
        <v>352</v>
      </c>
      <c r="I33" s="15" t="s">
        <v>382</v>
      </c>
      <c r="J33" s="15" t="s">
        <v>373</v>
      </c>
      <c r="K33" s="15" t="s">
        <v>360</v>
      </c>
      <c r="L33" s="15" t="s">
        <v>362</v>
      </c>
      <c r="M33" s="15" t="s">
        <v>364</v>
      </c>
    </row>
    <row r="34" spans="1:13" ht="14.25" customHeight="1" x14ac:dyDescent="0.25">
      <c r="A34" s="14">
        <v>8033</v>
      </c>
      <c r="B34" s="15" t="s">
        <v>43</v>
      </c>
      <c r="C34" s="15" t="s">
        <v>391</v>
      </c>
      <c r="D34" s="16" t="s">
        <v>368</v>
      </c>
      <c r="E34" s="15" t="s">
        <v>392</v>
      </c>
      <c r="F34" s="15" t="s">
        <v>375</v>
      </c>
      <c r="G34" s="15" t="s">
        <v>356</v>
      </c>
      <c r="H34" s="15" t="s">
        <v>352</v>
      </c>
      <c r="I34" s="15" t="s">
        <v>382</v>
      </c>
      <c r="J34" s="15" t="s">
        <v>373</v>
      </c>
      <c r="K34" s="15" t="s">
        <v>360</v>
      </c>
      <c r="L34" s="15" t="s">
        <v>362</v>
      </c>
      <c r="M34" s="15" t="s">
        <v>364</v>
      </c>
    </row>
    <row r="35" spans="1:13" ht="14.25" customHeight="1" x14ac:dyDescent="0.25">
      <c r="A35" s="14">
        <v>8034</v>
      </c>
      <c r="B35" s="15" t="s">
        <v>44</v>
      </c>
      <c r="C35" s="15" t="s">
        <v>391</v>
      </c>
      <c r="D35" s="16" t="s">
        <v>368</v>
      </c>
      <c r="E35" s="15" t="s">
        <v>392</v>
      </c>
      <c r="F35" s="15" t="s">
        <v>375</v>
      </c>
      <c r="G35" s="15" t="s">
        <v>356</v>
      </c>
      <c r="H35" s="15" t="s">
        <v>352</v>
      </c>
      <c r="I35" s="15" t="s">
        <v>382</v>
      </c>
      <c r="J35" s="15" t="s">
        <v>373</v>
      </c>
      <c r="K35" s="15" t="s">
        <v>360</v>
      </c>
      <c r="L35" s="15" t="s">
        <v>362</v>
      </c>
      <c r="M35" s="15" t="s">
        <v>364</v>
      </c>
    </row>
    <row r="36" spans="1:13" ht="14.25" customHeight="1" x14ac:dyDescent="0.25">
      <c r="A36" s="14">
        <v>8035</v>
      </c>
      <c r="B36" s="15" t="s">
        <v>45</v>
      </c>
      <c r="C36" s="15" t="s">
        <v>391</v>
      </c>
      <c r="D36" s="16" t="s">
        <v>368</v>
      </c>
      <c r="E36" s="15" t="s">
        <v>392</v>
      </c>
      <c r="F36" s="15" t="s">
        <v>375</v>
      </c>
      <c r="G36" s="15" t="s">
        <v>356</v>
      </c>
      <c r="H36" s="15" t="s">
        <v>352</v>
      </c>
      <c r="I36" s="15" t="s">
        <v>382</v>
      </c>
      <c r="J36" s="15" t="s">
        <v>373</v>
      </c>
      <c r="K36" s="15" t="s">
        <v>360</v>
      </c>
      <c r="L36" s="15" t="s">
        <v>362</v>
      </c>
      <c r="M36" s="15" t="s">
        <v>364</v>
      </c>
    </row>
    <row r="37" spans="1:13" ht="14.25" customHeight="1" x14ac:dyDescent="0.25">
      <c r="A37" s="14">
        <v>8036</v>
      </c>
      <c r="B37" s="15" t="s">
        <v>46</v>
      </c>
      <c r="C37" s="15" t="s">
        <v>391</v>
      </c>
      <c r="D37" s="16" t="s">
        <v>368</v>
      </c>
      <c r="E37" s="15" t="s">
        <v>392</v>
      </c>
      <c r="F37" s="15" t="s">
        <v>375</v>
      </c>
      <c r="G37" s="15" t="s">
        <v>356</v>
      </c>
      <c r="H37" s="15" t="s">
        <v>352</v>
      </c>
      <c r="I37" s="15" t="s">
        <v>382</v>
      </c>
      <c r="J37" s="15" t="s">
        <v>373</v>
      </c>
      <c r="K37" s="15" t="s">
        <v>360</v>
      </c>
      <c r="L37" s="15" t="s">
        <v>362</v>
      </c>
      <c r="M37" s="15" t="s">
        <v>365</v>
      </c>
    </row>
    <row r="38" spans="1:13" ht="14.25" customHeight="1" x14ac:dyDescent="0.25">
      <c r="A38" s="14">
        <v>8037</v>
      </c>
      <c r="B38" s="15" t="s">
        <v>47</v>
      </c>
      <c r="C38" s="15" t="s">
        <v>391</v>
      </c>
      <c r="D38" s="16" t="s">
        <v>368</v>
      </c>
      <c r="E38" s="15" t="s">
        <v>392</v>
      </c>
      <c r="F38" s="15" t="s">
        <v>375</v>
      </c>
      <c r="G38" s="15" t="s">
        <v>356</v>
      </c>
      <c r="H38" s="15" t="s">
        <v>353</v>
      </c>
      <c r="I38" s="15" t="s">
        <v>382</v>
      </c>
      <c r="J38" s="15" t="s">
        <v>373</v>
      </c>
      <c r="K38" s="15" t="s">
        <v>360</v>
      </c>
      <c r="L38" s="15" t="s">
        <v>362</v>
      </c>
      <c r="M38" s="15" t="s">
        <v>365</v>
      </c>
    </row>
    <row r="39" spans="1:13" ht="14.25" customHeight="1" x14ac:dyDescent="0.25">
      <c r="A39" s="14">
        <v>8038</v>
      </c>
      <c r="B39" s="15" t="s">
        <v>48</v>
      </c>
      <c r="C39" s="15" t="s">
        <v>391</v>
      </c>
      <c r="D39" s="16" t="s">
        <v>368</v>
      </c>
      <c r="E39" s="15" t="s">
        <v>392</v>
      </c>
      <c r="F39" s="15" t="s">
        <v>375</v>
      </c>
      <c r="G39" s="15" t="s">
        <v>356</v>
      </c>
      <c r="H39" s="15" t="s">
        <v>353</v>
      </c>
      <c r="I39" s="15" t="s">
        <v>382</v>
      </c>
      <c r="J39" s="15" t="s">
        <v>373</v>
      </c>
      <c r="K39" s="15" t="s">
        <v>360</v>
      </c>
      <c r="L39" s="15" t="s">
        <v>362</v>
      </c>
      <c r="M39" s="15" t="s">
        <v>364</v>
      </c>
    </row>
    <row r="40" spans="1:13" ht="14.25" customHeight="1" x14ac:dyDescent="0.25">
      <c r="A40" s="14">
        <v>8039</v>
      </c>
      <c r="B40" s="15" t="s">
        <v>49</v>
      </c>
      <c r="C40" s="15" t="s">
        <v>391</v>
      </c>
      <c r="D40" s="16" t="s">
        <v>368</v>
      </c>
      <c r="E40" s="15" t="s">
        <v>392</v>
      </c>
      <c r="F40" s="15" t="s">
        <v>375</v>
      </c>
      <c r="G40" s="15" t="s">
        <v>358</v>
      </c>
      <c r="H40" s="15" t="s">
        <v>352</v>
      </c>
      <c r="I40" s="15" t="s">
        <v>382</v>
      </c>
      <c r="J40" s="15" t="s">
        <v>373</v>
      </c>
      <c r="K40" s="15" t="s">
        <v>360</v>
      </c>
      <c r="L40" s="15" t="s">
        <v>362</v>
      </c>
      <c r="M40" s="15" t="s">
        <v>364</v>
      </c>
    </row>
    <row r="41" spans="1:13" ht="14.25" customHeight="1" x14ac:dyDescent="0.25">
      <c r="A41" s="14">
        <v>8040</v>
      </c>
      <c r="B41" s="15" t="s">
        <v>50</v>
      </c>
      <c r="C41" s="15" t="s">
        <v>391</v>
      </c>
      <c r="D41" s="16" t="s">
        <v>368</v>
      </c>
      <c r="E41" s="15" t="s">
        <v>392</v>
      </c>
      <c r="F41" s="15" t="s">
        <v>375</v>
      </c>
      <c r="G41" s="15" t="s">
        <v>357</v>
      </c>
      <c r="H41" s="15" t="s">
        <v>352</v>
      </c>
      <c r="I41" s="15" t="s">
        <v>382</v>
      </c>
      <c r="J41" s="15" t="s">
        <v>373</v>
      </c>
      <c r="K41" s="15" t="s">
        <v>360</v>
      </c>
      <c r="L41" s="15" t="s">
        <v>362</v>
      </c>
      <c r="M41" s="15" t="s">
        <v>364</v>
      </c>
    </row>
    <row r="42" spans="1:13" ht="14.25" customHeight="1" x14ac:dyDescent="0.25">
      <c r="A42" s="14">
        <v>8041</v>
      </c>
      <c r="B42" s="15" t="s">
        <v>51</v>
      </c>
      <c r="C42" s="15" t="s">
        <v>391</v>
      </c>
      <c r="D42" s="16" t="s">
        <v>368</v>
      </c>
      <c r="E42" s="15" t="s">
        <v>392</v>
      </c>
      <c r="F42" s="15" t="s">
        <v>375</v>
      </c>
      <c r="G42" s="15" t="s">
        <v>356</v>
      </c>
      <c r="H42" s="15" t="s">
        <v>352</v>
      </c>
      <c r="I42" s="15" t="s">
        <v>382</v>
      </c>
      <c r="J42" s="15" t="s">
        <v>373</v>
      </c>
      <c r="K42" s="15" t="s">
        <v>360</v>
      </c>
      <c r="L42" s="15" t="s">
        <v>362</v>
      </c>
      <c r="M42" s="15" t="s">
        <v>364</v>
      </c>
    </row>
    <row r="43" spans="1:13" ht="14.25" customHeight="1" x14ac:dyDescent="0.25">
      <c r="A43" s="14">
        <v>8042</v>
      </c>
      <c r="B43" s="15" t="s">
        <v>52</v>
      </c>
      <c r="C43" s="15" t="s">
        <v>391</v>
      </c>
      <c r="D43" s="16" t="s">
        <v>368</v>
      </c>
      <c r="E43" s="15" t="s">
        <v>392</v>
      </c>
      <c r="F43" s="15" t="s">
        <v>375</v>
      </c>
      <c r="G43" s="15" t="s">
        <v>356</v>
      </c>
      <c r="H43" s="15" t="s">
        <v>352</v>
      </c>
      <c r="I43" s="15" t="s">
        <v>382</v>
      </c>
      <c r="J43" s="15" t="s">
        <v>373</v>
      </c>
      <c r="K43" s="15" t="s">
        <v>360</v>
      </c>
      <c r="L43" s="15" t="s">
        <v>362</v>
      </c>
      <c r="M43" s="15" t="s">
        <v>364</v>
      </c>
    </row>
    <row r="44" spans="1:13" ht="14.25" customHeight="1" x14ac:dyDescent="0.25">
      <c r="A44" s="14">
        <v>8043</v>
      </c>
      <c r="B44" s="15" t="s">
        <v>53</v>
      </c>
      <c r="C44" s="15" t="s">
        <v>391</v>
      </c>
      <c r="D44" s="16" t="s">
        <v>368</v>
      </c>
      <c r="E44" s="15" t="s">
        <v>392</v>
      </c>
      <c r="F44" s="15" t="s">
        <v>375</v>
      </c>
      <c r="G44" s="15" t="s">
        <v>356</v>
      </c>
      <c r="H44" s="15" t="s">
        <v>352</v>
      </c>
      <c r="I44" s="15" t="s">
        <v>382</v>
      </c>
      <c r="J44" s="15" t="s">
        <v>373</v>
      </c>
      <c r="K44" s="15" t="s">
        <v>360</v>
      </c>
      <c r="L44" s="15" t="s">
        <v>362</v>
      </c>
      <c r="M44" s="15" t="s">
        <v>364</v>
      </c>
    </row>
    <row r="45" spans="1:13" ht="14.25" customHeight="1" x14ac:dyDescent="0.25">
      <c r="A45" s="14">
        <v>8044</v>
      </c>
      <c r="B45" s="15" t="s">
        <v>54</v>
      </c>
      <c r="C45" s="15" t="s">
        <v>391</v>
      </c>
      <c r="D45" s="16" t="s">
        <v>368</v>
      </c>
      <c r="E45" s="15" t="s">
        <v>392</v>
      </c>
      <c r="F45" s="15" t="s">
        <v>375</v>
      </c>
      <c r="G45" s="15" t="s">
        <v>356</v>
      </c>
      <c r="H45" s="15" t="s">
        <v>354</v>
      </c>
      <c r="I45" s="15" t="s">
        <v>382</v>
      </c>
      <c r="J45" s="15" t="s">
        <v>373</v>
      </c>
      <c r="K45" s="15" t="s">
        <v>360</v>
      </c>
      <c r="L45" s="15" t="s">
        <v>362</v>
      </c>
      <c r="M45" s="15" t="s">
        <v>364</v>
      </c>
    </row>
    <row r="46" spans="1:13" ht="14.25" customHeight="1" x14ac:dyDescent="0.25">
      <c r="A46" s="14">
        <v>8045</v>
      </c>
      <c r="B46" s="13" t="s">
        <v>468</v>
      </c>
      <c r="C46" s="15" t="s">
        <v>391</v>
      </c>
      <c r="D46" s="16" t="s">
        <v>368</v>
      </c>
      <c r="E46" s="15" t="s">
        <v>392</v>
      </c>
      <c r="F46" s="15" t="s">
        <v>375</v>
      </c>
      <c r="G46" s="15" t="s">
        <v>356</v>
      </c>
      <c r="H46" s="15" t="s">
        <v>352</v>
      </c>
      <c r="I46" s="15" t="s">
        <v>382</v>
      </c>
      <c r="J46" s="15" t="s">
        <v>373</v>
      </c>
      <c r="K46" s="15" t="s">
        <v>360</v>
      </c>
      <c r="L46" s="15" t="s">
        <v>362</v>
      </c>
      <c r="M46" s="15" t="s">
        <v>364</v>
      </c>
    </row>
    <row r="47" spans="1:13" ht="14.25" customHeight="1" x14ac:dyDescent="0.25">
      <c r="A47" s="14">
        <v>8046</v>
      </c>
      <c r="B47" s="15" t="s">
        <v>55</v>
      </c>
      <c r="C47" s="15" t="s">
        <v>391</v>
      </c>
      <c r="D47" s="16" t="s">
        <v>368</v>
      </c>
      <c r="E47" s="15" t="s">
        <v>392</v>
      </c>
      <c r="F47" s="15" t="s">
        <v>375</v>
      </c>
      <c r="G47" s="15" t="s">
        <v>356</v>
      </c>
      <c r="H47" s="15" t="s">
        <v>354</v>
      </c>
      <c r="I47" s="15" t="s">
        <v>382</v>
      </c>
      <c r="J47" s="15" t="s">
        <v>373</v>
      </c>
      <c r="K47" s="15" t="s">
        <v>360</v>
      </c>
      <c r="L47" s="15" t="s">
        <v>362</v>
      </c>
      <c r="M47" s="15" t="s">
        <v>364</v>
      </c>
    </row>
    <row r="48" spans="1:13" ht="14.25" customHeight="1" x14ac:dyDescent="0.25">
      <c r="A48" s="14">
        <v>8047</v>
      </c>
      <c r="B48" s="15" t="s">
        <v>56</v>
      </c>
      <c r="C48" s="15" t="s">
        <v>391</v>
      </c>
      <c r="D48" s="16" t="s">
        <v>368</v>
      </c>
      <c r="E48" s="15" t="s">
        <v>392</v>
      </c>
      <c r="F48" s="15" t="s">
        <v>375</v>
      </c>
      <c r="G48" s="15" t="s">
        <v>356</v>
      </c>
      <c r="H48" s="15" t="s">
        <v>352</v>
      </c>
      <c r="I48" s="15" t="s">
        <v>382</v>
      </c>
      <c r="J48" s="15" t="s">
        <v>373</v>
      </c>
      <c r="K48" s="15" t="s">
        <v>360</v>
      </c>
      <c r="L48" s="15" t="s">
        <v>362</v>
      </c>
      <c r="M48" s="15" t="s">
        <v>364</v>
      </c>
    </row>
    <row r="49" spans="1:13" ht="14.25" customHeight="1" x14ac:dyDescent="0.25">
      <c r="A49" s="14">
        <v>8048</v>
      </c>
      <c r="B49" s="15" t="s">
        <v>57</v>
      </c>
      <c r="C49" s="15" t="s">
        <v>391</v>
      </c>
      <c r="D49" s="16" t="s">
        <v>368</v>
      </c>
      <c r="E49" s="15" t="s">
        <v>392</v>
      </c>
      <c r="F49" s="15" t="s">
        <v>375</v>
      </c>
      <c r="G49" s="15" t="s">
        <v>371</v>
      </c>
      <c r="H49" s="15" t="s">
        <v>352</v>
      </c>
      <c r="I49" s="15" t="s">
        <v>382</v>
      </c>
      <c r="J49" s="15" t="s">
        <v>373</v>
      </c>
      <c r="K49" s="15" t="s">
        <v>360</v>
      </c>
      <c r="L49" s="15" t="s">
        <v>362</v>
      </c>
      <c r="M49" s="15" t="s">
        <v>364</v>
      </c>
    </row>
    <row r="50" spans="1:13" ht="14.25" customHeight="1" x14ac:dyDescent="0.25">
      <c r="A50" s="14">
        <v>8049</v>
      </c>
      <c r="B50" s="15" t="s">
        <v>58</v>
      </c>
      <c r="C50" s="15" t="s">
        <v>393</v>
      </c>
      <c r="D50" s="16" t="s">
        <v>368</v>
      </c>
      <c r="E50" s="15" t="s">
        <v>369</v>
      </c>
      <c r="F50" s="15" t="s">
        <v>386</v>
      </c>
      <c r="G50" s="15" t="s">
        <v>357</v>
      </c>
      <c r="H50" s="15" t="s">
        <v>352</v>
      </c>
      <c r="I50" s="15" t="s">
        <v>372</v>
      </c>
      <c r="J50" s="15" t="s">
        <v>373</v>
      </c>
      <c r="K50" s="15" t="s">
        <v>387</v>
      </c>
      <c r="L50" s="15" t="s">
        <v>363</v>
      </c>
      <c r="M50" s="15" t="s">
        <v>365</v>
      </c>
    </row>
    <row r="51" spans="1:13" ht="14.25" customHeight="1" x14ac:dyDescent="0.25">
      <c r="A51" s="14">
        <v>8050</v>
      </c>
      <c r="B51" s="15" t="s">
        <v>59</v>
      </c>
      <c r="C51" s="15" t="s">
        <v>393</v>
      </c>
      <c r="D51" s="16" t="s">
        <v>368</v>
      </c>
      <c r="E51" s="15" t="s">
        <v>369</v>
      </c>
      <c r="F51" s="15" t="s">
        <v>389</v>
      </c>
      <c r="G51" s="15" t="s">
        <v>358</v>
      </c>
      <c r="H51" s="15" t="s">
        <v>352</v>
      </c>
      <c r="I51" s="15" t="s">
        <v>372</v>
      </c>
      <c r="J51" s="15" t="s">
        <v>373</v>
      </c>
      <c r="K51" s="15" t="s">
        <v>394</v>
      </c>
      <c r="L51" s="15" t="s">
        <v>363</v>
      </c>
      <c r="M51" s="15" t="s">
        <v>365</v>
      </c>
    </row>
    <row r="52" spans="1:13" ht="14.25" customHeight="1" x14ac:dyDescent="0.25">
      <c r="A52" s="14">
        <v>8051</v>
      </c>
      <c r="B52" s="16" t="s">
        <v>60</v>
      </c>
      <c r="C52" s="15" t="s">
        <v>393</v>
      </c>
      <c r="D52" s="16" t="s">
        <v>368</v>
      </c>
      <c r="E52" s="15" t="s">
        <v>369</v>
      </c>
      <c r="F52" s="15" t="s">
        <v>386</v>
      </c>
      <c r="G52" s="15" t="s">
        <v>356</v>
      </c>
      <c r="H52" s="15" t="s">
        <v>353</v>
      </c>
      <c r="I52" s="15" t="s">
        <v>372</v>
      </c>
      <c r="J52" s="15" t="s">
        <v>373</v>
      </c>
      <c r="K52" s="15" t="s">
        <v>387</v>
      </c>
      <c r="L52" s="15" t="s">
        <v>363</v>
      </c>
      <c r="M52" s="15" t="s">
        <v>365</v>
      </c>
    </row>
    <row r="53" spans="1:13" ht="14.25" customHeight="1" x14ac:dyDescent="0.25">
      <c r="A53" s="14">
        <v>8052</v>
      </c>
      <c r="B53" s="15" t="s">
        <v>61</v>
      </c>
      <c r="C53" s="15" t="s">
        <v>393</v>
      </c>
      <c r="D53" s="16" t="s">
        <v>368</v>
      </c>
      <c r="E53" s="15" t="s">
        <v>374</v>
      </c>
      <c r="F53" s="15" t="s">
        <v>386</v>
      </c>
      <c r="G53" s="15" t="s">
        <v>356</v>
      </c>
      <c r="H53" s="15" t="s">
        <v>352</v>
      </c>
      <c r="I53" s="15" t="s">
        <v>372</v>
      </c>
      <c r="J53" s="15" t="s">
        <v>373</v>
      </c>
      <c r="K53" s="15" t="s">
        <v>387</v>
      </c>
      <c r="L53" s="15" t="s">
        <v>363</v>
      </c>
      <c r="M53" s="15" t="s">
        <v>365</v>
      </c>
    </row>
    <row r="54" spans="1:13" ht="14.25" customHeight="1" x14ac:dyDescent="0.25">
      <c r="A54" s="14">
        <v>8053</v>
      </c>
      <c r="B54" s="15" t="s">
        <v>62</v>
      </c>
      <c r="C54" s="15" t="s">
        <v>395</v>
      </c>
      <c r="D54" s="16" t="s">
        <v>368</v>
      </c>
      <c r="E54" s="15" t="s">
        <v>374</v>
      </c>
      <c r="F54" s="15" t="s">
        <v>396</v>
      </c>
      <c r="G54" s="15" t="s">
        <v>356</v>
      </c>
      <c r="H54" s="15" t="s">
        <v>352</v>
      </c>
      <c r="I54" s="15" t="s">
        <v>372</v>
      </c>
      <c r="J54" s="15" t="s">
        <v>359</v>
      </c>
      <c r="K54" s="15" t="s">
        <v>360</v>
      </c>
      <c r="L54" s="15" t="s">
        <v>363</v>
      </c>
      <c r="M54" s="15" t="s">
        <v>365</v>
      </c>
    </row>
    <row r="55" spans="1:13" ht="14.25" customHeight="1" x14ac:dyDescent="0.25">
      <c r="A55" s="14">
        <v>8054</v>
      </c>
      <c r="B55" s="15" t="s">
        <v>63</v>
      </c>
      <c r="C55" s="15" t="s">
        <v>395</v>
      </c>
      <c r="D55" s="16" t="s">
        <v>368</v>
      </c>
      <c r="E55" s="15" t="s">
        <v>369</v>
      </c>
      <c r="F55" s="15" t="s">
        <v>386</v>
      </c>
      <c r="G55" s="15" t="s">
        <v>356</v>
      </c>
      <c r="H55" s="15" t="s">
        <v>352</v>
      </c>
      <c r="I55" s="15" t="s">
        <v>372</v>
      </c>
      <c r="J55" s="15" t="s">
        <v>359</v>
      </c>
      <c r="K55" s="15" t="s">
        <v>387</v>
      </c>
      <c r="L55" s="15" t="s">
        <v>363</v>
      </c>
      <c r="M55" s="15" t="s">
        <v>365</v>
      </c>
    </row>
    <row r="56" spans="1:13" ht="14.25" customHeight="1" x14ac:dyDescent="0.25">
      <c r="A56" s="14">
        <v>8055</v>
      </c>
      <c r="B56" s="15" t="s">
        <v>64</v>
      </c>
      <c r="C56" s="15" t="s">
        <v>397</v>
      </c>
      <c r="D56" s="16" t="s">
        <v>368</v>
      </c>
      <c r="E56" s="15" t="s">
        <v>392</v>
      </c>
      <c r="F56" s="15" t="s">
        <v>370</v>
      </c>
      <c r="G56" s="15" t="s">
        <v>356</v>
      </c>
      <c r="H56" s="15" t="s">
        <v>352</v>
      </c>
      <c r="I56" s="15" t="s">
        <v>372</v>
      </c>
      <c r="J56" s="15" t="s">
        <v>359</v>
      </c>
      <c r="K56" s="15" t="s">
        <v>361</v>
      </c>
      <c r="L56" s="15" t="s">
        <v>363</v>
      </c>
      <c r="M56" s="15" t="s">
        <v>364</v>
      </c>
    </row>
    <row r="57" spans="1:13" ht="14.25" customHeight="1" x14ac:dyDescent="0.25">
      <c r="A57" s="14">
        <v>8056</v>
      </c>
      <c r="B57" s="15" t="s">
        <v>65</v>
      </c>
      <c r="C57" s="15" t="s">
        <v>398</v>
      </c>
      <c r="D57" s="16" t="s">
        <v>368</v>
      </c>
      <c r="E57" s="15" t="s">
        <v>369</v>
      </c>
      <c r="F57" s="15" t="s">
        <v>375</v>
      </c>
      <c r="G57" s="15" t="s">
        <v>371</v>
      </c>
      <c r="H57" s="15" t="s">
        <v>351</v>
      </c>
      <c r="I57" s="15" t="s">
        <v>382</v>
      </c>
      <c r="J57" s="15" t="s">
        <v>373</v>
      </c>
      <c r="K57" s="15" t="s">
        <v>361</v>
      </c>
      <c r="L57" s="15" t="s">
        <v>363</v>
      </c>
      <c r="M57" s="15" t="s">
        <v>365</v>
      </c>
    </row>
    <row r="58" spans="1:13" ht="14.25" customHeight="1" x14ac:dyDescent="0.25">
      <c r="A58" s="14">
        <v>8057</v>
      </c>
      <c r="B58" s="15" t="s">
        <v>66</v>
      </c>
      <c r="C58" s="15" t="s">
        <v>398</v>
      </c>
      <c r="D58" s="16" t="s">
        <v>368</v>
      </c>
      <c r="E58" s="15" t="s">
        <v>369</v>
      </c>
      <c r="F58" s="15" t="s">
        <v>375</v>
      </c>
      <c r="G58" s="15" t="s">
        <v>357</v>
      </c>
      <c r="H58" s="15" t="s">
        <v>353</v>
      </c>
      <c r="I58" s="15" t="s">
        <v>382</v>
      </c>
      <c r="J58" s="15" t="s">
        <v>373</v>
      </c>
      <c r="K58" s="15" t="s">
        <v>361</v>
      </c>
      <c r="L58" s="15" t="s">
        <v>363</v>
      </c>
      <c r="M58" s="15" t="s">
        <v>365</v>
      </c>
    </row>
    <row r="59" spans="1:13" ht="14.25" customHeight="1" x14ac:dyDescent="0.25">
      <c r="A59" s="14">
        <v>8058</v>
      </c>
      <c r="B59" s="15" t="s">
        <v>67</v>
      </c>
      <c r="C59" s="15" t="s">
        <v>399</v>
      </c>
      <c r="D59" s="16" t="s">
        <v>368</v>
      </c>
      <c r="E59" s="15" t="s">
        <v>369</v>
      </c>
      <c r="F59" s="15" t="s">
        <v>386</v>
      </c>
      <c r="G59" s="15" t="s">
        <v>356</v>
      </c>
      <c r="H59" s="15" t="s">
        <v>352</v>
      </c>
      <c r="I59" s="16" t="s">
        <v>372</v>
      </c>
      <c r="J59" s="15" t="s">
        <v>373</v>
      </c>
      <c r="K59" s="15" t="s">
        <v>387</v>
      </c>
      <c r="L59" s="15" t="s">
        <v>363</v>
      </c>
      <c r="M59" s="15" t="s">
        <v>365</v>
      </c>
    </row>
    <row r="60" spans="1:13" ht="14.25" customHeight="1" x14ac:dyDescent="0.25">
      <c r="A60" s="14">
        <v>8059</v>
      </c>
      <c r="B60" s="15" t="s">
        <v>68</v>
      </c>
      <c r="C60" s="15" t="s">
        <v>399</v>
      </c>
      <c r="D60" s="16" t="s">
        <v>368</v>
      </c>
      <c r="E60" s="15" t="s">
        <v>374</v>
      </c>
      <c r="F60" s="15" t="s">
        <v>386</v>
      </c>
      <c r="G60" s="15" t="s">
        <v>356</v>
      </c>
      <c r="H60" s="15" t="s">
        <v>352</v>
      </c>
      <c r="I60" s="15" t="s">
        <v>372</v>
      </c>
      <c r="J60" s="15" t="s">
        <v>373</v>
      </c>
      <c r="K60" s="15" t="s">
        <v>387</v>
      </c>
      <c r="L60" s="15" t="s">
        <v>363</v>
      </c>
      <c r="M60" s="15" t="s">
        <v>365</v>
      </c>
    </row>
    <row r="61" spans="1:13" ht="14.25" customHeight="1" x14ac:dyDescent="0.25">
      <c r="A61" s="14">
        <v>8060</v>
      </c>
      <c r="B61" s="15" t="s">
        <v>69</v>
      </c>
      <c r="C61" s="15" t="s">
        <v>399</v>
      </c>
      <c r="D61" s="16" t="s">
        <v>368</v>
      </c>
      <c r="E61" s="15" t="s">
        <v>380</v>
      </c>
      <c r="F61" s="15" t="s">
        <v>386</v>
      </c>
      <c r="G61" s="15" t="s">
        <v>356</v>
      </c>
      <c r="H61" s="15" t="s">
        <v>352</v>
      </c>
      <c r="I61" s="15" t="s">
        <v>382</v>
      </c>
      <c r="J61" s="15" t="s">
        <v>373</v>
      </c>
      <c r="K61" s="15" t="s">
        <v>387</v>
      </c>
      <c r="L61" s="15" t="s">
        <v>363</v>
      </c>
      <c r="M61" s="15" t="s">
        <v>365</v>
      </c>
    </row>
    <row r="62" spans="1:13" ht="14.25" customHeight="1" x14ac:dyDescent="0.25">
      <c r="A62" s="14">
        <v>8061</v>
      </c>
      <c r="B62" s="15" t="s">
        <v>70</v>
      </c>
      <c r="C62" s="15" t="s">
        <v>399</v>
      </c>
      <c r="D62" s="16" t="s">
        <v>368</v>
      </c>
      <c r="E62" s="15" t="s">
        <v>392</v>
      </c>
      <c r="F62" s="15" t="s">
        <v>386</v>
      </c>
      <c r="G62" s="15" t="s">
        <v>356</v>
      </c>
      <c r="H62" s="15" t="s">
        <v>352</v>
      </c>
      <c r="I62" s="15" t="s">
        <v>372</v>
      </c>
      <c r="J62" s="15" t="s">
        <v>373</v>
      </c>
      <c r="K62" s="15" t="s">
        <v>387</v>
      </c>
      <c r="L62" s="15" t="s">
        <v>363</v>
      </c>
      <c r="M62" s="15" t="s">
        <v>365</v>
      </c>
    </row>
    <row r="63" spans="1:13" ht="14.25" customHeight="1" x14ac:dyDescent="0.25">
      <c r="A63" s="14">
        <v>8062</v>
      </c>
      <c r="B63" s="15" t="s">
        <v>71</v>
      </c>
      <c r="C63" s="15" t="s">
        <v>399</v>
      </c>
      <c r="D63" s="16" t="s">
        <v>368</v>
      </c>
      <c r="E63" s="15" t="s">
        <v>380</v>
      </c>
      <c r="F63" s="15" t="s">
        <v>386</v>
      </c>
      <c r="G63" s="15" t="s">
        <v>358</v>
      </c>
      <c r="H63" s="15" t="s">
        <v>353</v>
      </c>
      <c r="I63" s="15" t="s">
        <v>372</v>
      </c>
      <c r="J63" s="15" t="s">
        <v>373</v>
      </c>
      <c r="K63" s="15" t="s">
        <v>387</v>
      </c>
      <c r="L63" s="15" t="s">
        <v>363</v>
      </c>
      <c r="M63" s="15" t="s">
        <v>366</v>
      </c>
    </row>
    <row r="64" spans="1:13" ht="14.25" customHeight="1" x14ac:dyDescent="0.25">
      <c r="A64" s="14">
        <v>8063</v>
      </c>
      <c r="B64" s="15" t="s">
        <v>72</v>
      </c>
      <c r="C64" s="15" t="s">
        <v>399</v>
      </c>
      <c r="D64" s="16" t="s">
        <v>368</v>
      </c>
      <c r="E64" s="15" t="s">
        <v>369</v>
      </c>
      <c r="F64" s="15" t="s">
        <v>386</v>
      </c>
      <c r="G64" s="15" t="s">
        <v>356</v>
      </c>
      <c r="H64" s="15" t="s">
        <v>352</v>
      </c>
      <c r="I64" s="15" t="s">
        <v>372</v>
      </c>
      <c r="J64" s="15" t="s">
        <v>373</v>
      </c>
      <c r="K64" s="15" t="s">
        <v>387</v>
      </c>
      <c r="L64" s="15" t="s">
        <v>363</v>
      </c>
      <c r="M64" s="15" t="s">
        <v>365</v>
      </c>
    </row>
    <row r="65" spans="1:13" ht="14.25" customHeight="1" x14ac:dyDescent="0.25">
      <c r="A65" s="14">
        <v>8064</v>
      </c>
      <c r="B65" s="15" t="s">
        <v>73</v>
      </c>
      <c r="C65" s="15" t="s">
        <v>399</v>
      </c>
      <c r="D65" s="16" t="s">
        <v>368</v>
      </c>
      <c r="E65" s="15" t="s">
        <v>369</v>
      </c>
      <c r="F65" s="15" t="s">
        <v>386</v>
      </c>
      <c r="G65" s="15" t="s">
        <v>356</v>
      </c>
      <c r="H65" s="15" t="s">
        <v>352</v>
      </c>
      <c r="I65" s="15" t="s">
        <v>372</v>
      </c>
      <c r="J65" s="15" t="s">
        <v>373</v>
      </c>
      <c r="K65" s="15" t="s">
        <v>387</v>
      </c>
      <c r="L65" s="15" t="s">
        <v>363</v>
      </c>
      <c r="M65" s="15" t="s">
        <v>365</v>
      </c>
    </row>
    <row r="66" spans="1:13" ht="14.25" customHeight="1" x14ac:dyDescent="0.25">
      <c r="A66" s="14">
        <v>8065</v>
      </c>
      <c r="B66" s="15" t="s">
        <v>74</v>
      </c>
      <c r="C66" s="15" t="s">
        <v>399</v>
      </c>
      <c r="D66" s="16" t="s">
        <v>368</v>
      </c>
      <c r="E66" s="15" t="s">
        <v>369</v>
      </c>
      <c r="F66" s="15" t="s">
        <v>386</v>
      </c>
      <c r="G66" s="15" t="s">
        <v>356</v>
      </c>
      <c r="H66" s="15" t="s">
        <v>352</v>
      </c>
      <c r="I66" s="15" t="s">
        <v>372</v>
      </c>
      <c r="J66" s="15" t="s">
        <v>373</v>
      </c>
      <c r="K66" s="15" t="s">
        <v>387</v>
      </c>
      <c r="L66" s="15" t="s">
        <v>363</v>
      </c>
      <c r="M66" s="15" t="s">
        <v>365</v>
      </c>
    </row>
    <row r="67" spans="1:13" ht="14.25" customHeight="1" x14ac:dyDescent="0.25">
      <c r="A67" s="14">
        <v>8066</v>
      </c>
      <c r="B67" s="15" t="s">
        <v>75</v>
      </c>
      <c r="C67" s="15" t="s">
        <v>399</v>
      </c>
      <c r="D67" s="16" t="s">
        <v>368</v>
      </c>
      <c r="E67" s="15" t="s">
        <v>369</v>
      </c>
      <c r="F67" s="15" t="s">
        <v>386</v>
      </c>
      <c r="G67" s="15" t="s">
        <v>356</v>
      </c>
      <c r="H67" s="15" t="s">
        <v>352</v>
      </c>
      <c r="I67" s="15" t="s">
        <v>372</v>
      </c>
      <c r="J67" s="15" t="s">
        <v>359</v>
      </c>
      <c r="K67" s="15" t="s">
        <v>387</v>
      </c>
      <c r="L67" s="15" t="s">
        <v>363</v>
      </c>
      <c r="M67" s="15" t="s">
        <v>365</v>
      </c>
    </row>
    <row r="68" spans="1:13" ht="14.25" customHeight="1" x14ac:dyDescent="0.25">
      <c r="A68" s="14">
        <v>8067</v>
      </c>
      <c r="B68" s="15" t="s">
        <v>76</v>
      </c>
      <c r="C68" s="15" t="s">
        <v>399</v>
      </c>
      <c r="D68" s="16" t="s">
        <v>368</v>
      </c>
      <c r="E68" s="15" t="s">
        <v>369</v>
      </c>
      <c r="F68" s="15" t="s">
        <v>386</v>
      </c>
      <c r="G68" s="15" t="s">
        <v>358</v>
      </c>
      <c r="H68" s="15" t="s">
        <v>353</v>
      </c>
      <c r="I68" s="15" t="s">
        <v>372</v>
      </c>
      <c r="J68" s="15" t="s">
        <v>359</v>
      </c>
      <c r="K68" s="15" t="s">
        <v>387</v>
      </c>
      <c r="L68" s="15" t="s">
        <v>363</v>
      </c>
      <c r="M68" s="15" t="s">
        <v>365</v>
      </c>
    </row>
    <row r="69" spans="1:13" ht="14.25" customHeight="1" x14ac:dyDescent="0.25">
      <c r="A69" s="14">
        <v>8068</v>
      </c>
      <c r="B69" s="15" t="s">
        <v>77</v>
      </c>
      <c r="C69" s="15" t="s">
        <v>400</v>
      </c>
      <c r="D69" s="16" t="s">
        <v>368</v>
      </c>
      <c r="E69" s="15" t="s">
        <v>369</v>
      </c>
      <c r="F69" s="15" t="s">
        <v>389</v>
      </c>
      <c r="G69" s="15" t="s">
        <v>371</v>
      </c>
      <c r="H69" s="15" t="s">
        <v>353</v>
      </c>
      <c r="I69" s="15" t="s">
        <v>372</v>
      </c>
      <c r="J69" s="15" t="s">
        <v>373</v>
      </c>
      <c r="K69" s="15" t="s">
        <v>361</v>
      </c>
      <c r="L69" s="15" t="s">
        <v>363</v>
      </c>
      <c r="M69" s="15" t="s">
        <v>366</v>
      </c>
    </row>
    <row r="70" spans="1:13" ht="14.25" customHeight="1" x14ac:dyDescent="0.25">
      <c r="A70" s="14">
        <v>8069</v>
      </c>
      <c r="B70" s="15" t="s">
        <v>78</v>
      </c>
      <c r="C70" s="15" t="s">
        <v>400</v>
      </c>
      <c r="D70" s="16" t="s">
        <v>368</v>
      </c>
      <c r="E70" s="15" t="s">
        <v>369</v>
      </c>
      <c r="F70" s="15" t="s">
        <v>389</v>
      </c>
      <c r="G70" s="15" t="s">
        <v>358</v>
      </c>
      <c r="H70" s="15" t="s">
        <v>353</v>
      </c>
      <c r="I70" s="15" t="s">
        <v>372</v>
      </c>
      <c r="J70" s="15" t="s">
        <v>373</v>
      </c>
      <c r="K70" s="15" t="s">
        <v>394</v>
      </c>
      <c r="L70" s="15" t="s">
        <v>363</v>
      </c>
      <c r="M70" s="15" t="s">
        <v>366</v>
      </c>
    </row>
    <row r="71" spans="1:13" ht="14.25" customHeight="1" x14ac:dyDescent="0.25">
      <c r="A71" s="14">
        <v>8070</v>
      </c>
      <c r="B71" s="15" t="s">
        <v>79</v>
      </c>
      <c r="C71" s="15" t="s">
        <v>400</v>
      </c>
      <c r="D71" s="16" t="s">
        <v>368</v>
      </c>
      <c r="E71" s="15" t="s">
        <v>369</v>
      </c>
      <c r="F71" s="15" t="s">
        <v>389</v>
      </c>
      <c r="G71" s="15" t="s">
        <v>358</v>
      </c>
      <c r="H71" s="15" t="s">
        <v>353</v>
      </c>
      <c r="I71" s="15" t="s">
        <v>372</v>
      </c>
      <c r="J71" s="15" t="s">
        <v>373</v>
      </c>
      <c r="K71" s="15" t="s">
        <v>394</v>
      </c>
      <c r="L71" s="15" t="s">
        <v>363</v>
      </c>
      <c r="M71" s="15" t="s">
        <v>366</v>
      </c>
    </row>
    <row r="72" spans="1:13" ht="14.25" customHeight="1" x14ac:dyDescent="0.25">
      <c r="A72" s="14">
        <v>8071</v>
      </c>
      <c r="B72" s="15" t="s">
        <v>80</v>
      </c>
      <c r="C72" s="15" t="s">
        <v>400</v>
      </c>
      <c r="D72" s="16" t="s">
        <v>368</v>
      </c>
      <c r="E72" s="15" t="s">
        <v>369</v>
      </c>
      <c r="F72" s="15" t="s">
        <v>389</v>
      </c>
      <c r="G72" s="15" t="s">
        <v>358</v>
      </c>
      <c r="H72" s="15" t="s">
        <v>353</v>
      </c>
      <c r="I72" s="15" t="s">
        <v>372</v>
      </c>
      <c r="J72" s="15" t="s">
        <v>373</v>
      </c>
      <c r="K72" s="15" t="s">
        <v>394</v>
      </c>
      <c r="L72" s="15" t="s">
        <v>363</v>
      </c>
      <c r="M72" s="15" t="s">
        <v>366</v>
      </c>
    </row>
    <row r="73" spans="1:13" ht="14.25" customHeight="1" x14ac:dyDescent="0.25">
      <c r="A73" s="14">
        <v>8072</v>
      </c>
      <c r="B73" s="15" t="s">
        <v>81</v>
      </c>
      <c r="C73" s="15" t="s">
        <v>400</v>
      </c>
      <c r="D73" s="16" t="s">
        <v>368</v>
      </c>
      <c r="E73" s="15" t="s">
        <v>369</v>
      </c>
      <c r="F73" s="15" t="s">
        <v>389</v>
      </c>
      <c r="G73" s="15" t="s">
        <v>371</v>
      </c>
      <c r="H73" s="15" t="s">
        <v>353</v>
      </c>
      <c r="I73" s="15" t="s">
        <v>372</v>
      </c>
      <c r="J73" s="15" t="s">
        <v>373</v>
      </c>
      <c r="K73" s="15" t="s">
        <v>394</v>
      </c>
      <c r="L73" s="15" t="s">
        <v>363</v>
      </c>
      <c r="M73" s="15" t="s">
        <v>366</v>
      </c>
    </row>
    <row r="74" spans="1:13" ht="14.25" customHeight="1" x14ac:dyDescent="0.25">
      <c r="A74" s="14">
        <v>8073</v>
      </c>
      <c r="B74" s="15" t="s">
        <v>82</v>
      </c>
      <c r="C74" s="15" t="s">
        <v>400</v>
      </c>
      <c r="D74" s="16" t="s">
        <v>368</v>
      </c>
      <c r="E74" s="15" t="s">
        <v>369</v>
      </c>
      <c r="F74" s="15" t="s">
        <v>389</v>
      </c>
      <c r="G74" s="15" t="s">
        <v>358</v>
      </c>
      <c r="H74" s="15" t="s">
        <v>353</v>
      </c>
      <c r="I74" s="15" t="s">
        <v>372</v>
      </c>
      <c r="J74" s="15" t="s">
        <v>373</v>
      </c>
      <c r="K74" s="15" t="s">
        <v>394</v>
      </c>
      <c r="L74" s="15" t="s">
        <v>363</v>
      </c>
      <c r="M74" s="15" t="s">
        <v>366</v>
      </c>
    </row>
    <row r="75" spans="1:13" ht="14.25" customHeight="1" x14ac:dyDescent="0.25">
      <c r="A75" s="14">
        <v>8074</v>
      </c>
      <c r="B75" s="15" t="s">
        <v>83</v>
      </c>
      <c r="C75" s="15" t="s">
        <v>400</v>
      </c>
      <c r="D75" s="16" t="s">
        <v>368</v>
      </c>
      <c r="E75" s="15" t="s">
        <v>369</v>
      </c>
      <c r="F75" s="15" t="s">
        <v>389</v>
      </c>
      <c r="G75" s="15" t="s">
        <v>371</v>
      </c>
      <c r="H75" s="15" t="s">
        <v>353</v>
      </c>
      <c r="I75" s="15" t="s">
        <v>372</v>
      </c>
      <c r="J75" s="15" t="s">
        <v>373</v>
      </c>
      <c r="K75" s="15" t="s">
        <v>394</v>
      </c>
      <c r="L75" s="15" t="s">
        <v>363</v>
      </c>
      <c r="M75" s="15" t="s">
        <v>366</v>
      </c>
    </row>
    <row r="76" spans="1:13" ht="14.25" customHeight="1" x14ac:dyDescent="0.25">
      <c r="A76" s="14">
        <v>8075</v>
      </c>
      <c r="B76" s="15" t="s">
        <v>84</v>
      </c>
      <c r="C76" s="15" t="s">
        <v>400</v>
      </c>
      <c r="D76" s="16" t="s">
        <v>368</v>
      </c>
      <c r="E76" s="15" t="s">
        <v>369</v>
      </c>
      <c r="F76" s="15" t="s">
        <v>389</v>
      </c>
      <c r="G76" s="15" t="s">
        <v>358</v>
      </c>
      <c r="H76" s="15" t="s">
        <v>353</v>
      </c>
      <c r="I76" s="15" t="s">
        <v>372</v>
      </c>
      <c r="J76" s="15" t="s">
        <v>373</v>
      </c>
      <c r="K76" s="15" t="s">
        <v>394</v>
      </c>
      <c r="L76" s="15" t="s">
        <v>363</v>
      </c>
      <c r="M76" s="15" t="s">
        <v>366</v>
      </c>
    </row>
    <row r="77" spans="1:13" ht="14.25" customHeight="1" x14ac:dyDescent="0.25">
      <c r="A77" s="14">
        <v>8076</v>
      </c>
      <c r="B77" s="15" t="s">
        <v>85</v>
      </c>
      <c r="C77" s="15" t="s">
        <v>400</v>
      </c>
      <c r="D77" s="16" t="s">
        <v>368</v>
      </c>
      <c r="E77" s="15" t="s">
        <v>369</v>
      </c>
      <c r="F77" s="15" t="s">
        <v>389</v>
      </c>
      <c r="G77" s="15" t="s">
        <v>358</v>
      </c>
      <c r="H77" s="15" t="s">
        <v>353</v>
      </c>
      <c r="I77" s="15" t="s">
        <v>382</v>
      </c>
      <c r="J77" s="15" t="s">
        <v>373</v>
      </c>
      <c r="K77" s="15" t="s">
        <v>361</v>
      </c>
      <c r="L77" s="15" t="s">
        <v>363</v>
      </c>
      <c r="M77" s="15" t="s">
        <v>366</v>
      </c>
    </row>
    <row r="78" spans="1:13" ht="14.25" customHeight="1" x14ac:dyDescent="0.25">
      <c r="A78" s="14">
        <v>8077</v>
      </c>
      <c r="B78" s="15" t="s">
        <v>86</v>
      </c>
      <c r="C78" s="15" t="s">
        <v>400</v>
      </c>
      <c r="D78" s="16" t="s">
        <v>368</v>
      </c>
      <c r="E78" s="15" t="s">
        <v>369</v>
      </c>
      <c r="F78" s="15" t="s">
        <v>389</v>
      </c>
      <c r="G78" s="15" t="s">
        <v>357</v>
      </c>
      <c r="H78" s="15" t="s">
        <v>352</v>
      </c>
      <c r="I78" s="15" t="s">
        <v>382</v>
      </c>
      <c r="J78" s="15" t="s">
        <v>373</v>
      </c>
      <c r="K78" s="15" t="s">
        <v>394</v>
      </c>
      <c r="L78" s="15" t="s">
        <v>363</v>
      </c>
      <c r="M78" s="15" t="s">
        <v>366</v>
      </c>
    </row>
    <row r="79" spans="1:13" ht="14.25" customHeight="1" x14ac:dyDescent="0.25">
      <c r="A79" s="14">
        <v>8078</v>
      </c>
      <c r="B79" s="15" t="s">
        <v>87</v>
      </c>
      <c r="C79" s="15" t="s">
        <v>400</v>
      </c>
      <c r="D79" s="16" t="s">
        <v>368</v>
      </c>
      <c r="E79" s="15" t="s">
        <v>369</v>
      </c>
      <c r="F79" s="15" t="s">
        <v>389</v>
      </c>
      <c r="G79" s="15" t="s">
        <v>357</v>
      </c>
      <c r="H79" s="15" t="s">
        <v>352</v>
      </c>
      <c r="I79" s="15" t="s">
        <v>372</v>
      </c>
      <c r="J79" s="15" t="s">
        <v>373</v>
      </c>
      <c r="K79" s="15" t="s">
        <v>394</v>
      </c>
      <c r="L79" s="15" t="s">
        <v>363</v>
      </c>
      <c r="M79" s="15" t="s">
        <v>366</v>
      </c>
    </row>
    <row r="80" spans="1:13" ht="14.25" customHeight="1" x14ac:dyDescent="0.25">
      <c r="A80" s="14">
        <v>8079</v>
      </c>
      <c r="B80" s="15" t="s">
        <v>88</v>
      </c>
      <c r="C80" s="15" t="s">
        <v>400</v>
      </c>
      <c r="D80" s="16" t="s">
        <v>368</v>
      </c>
      <c r="E80" s="15" t="s">
        <v>369</v>
      </c>
      <c r="F80" s="15" t="s">
        <v>389</v>
      </c>
      <c r="G80" s="15" t="s">
        <v>357</v>
      </c>
      <c r="H80" s="15" t="s">
        <v>352</v>
      </c>
      <c r="I80" s="15" t="s">
        <v>382</v>
      </c>
      <c r="J80" s="15" t="s">
        <v>373</v>
      </c>
      <c r="K80" s="15" t="s">
        <v>361</v>
      </c>
      <c r="L80" s="15" t="s">
        <v>363</v>
      </c>
      <c r="M80" s="15" t="s">
        <v>366</v>
      </c>
    </row>
    <row r="81" spans="1:13" ht="14.25" customHeight="1" x14ac:dyDescent="0.25">
      <c r="A81" s="14">
        <v>8080</v>
      </c>
      <c r="B81" s="15" t="s">
        <v>89</v>
      </c>
      <c r="C81" s="15" t="s">
        <v>400</v>
      </c>
      <c r="D81" s="16" t="s">
        <v>368</v>
      </c>
      <c r="E81" s="15" t="s">
        <v>369</v>
      </c>
      <c r="F81" s="15" t="s">
        <v>389</v>
      </c>
      <c r="G81" s="15" t="s">
        <v>371</v>
      </c>
      <c r="H81" s="15" t="s">
        <v>353</v>
      </c>
      <c r="I81" s="15" t="s">
        <v>372</v>
      </c>
      <c r="J81" s="15" t="s">
        <v>373</v>
      </c>
      <c r="K81" s="15" t="s">
        <v>394</v>
      </c>
      <c r="L81" s="15" t="s">
        <v>363</v>
      </c>
      <c r="M81" s="15" t="s">
        <v>366</v>
      </c>
    </row>
    <row r="82" spans="1:13" ht="14.25" customHeight="1" x14ac:dyDescent="0.25">
      <c r="A82" s="14">
        <v>8081</v>
      </c>
      <c r="B82" s="15" t="s">
        <v>90</v>
      </c>
      <c r="C82" s="15" t="s">
        <v>400</v>
      </c>
      <c r="D82" s="16" t="s">
        <v>368</v>
      </c>
      <c r="E82" s="15" t="s">
        <v>369</v>
      </c>
      <c r="F82" s="15" t="s">
        <v>389</v>
      </c>
      <c r="G82" s="15" t="s">
        <v>358</v>
      </c>
      <c r="H82" s="15" t="s">
        <v>353</v>
      </c>
      <c r="I82" s="15" t="s">
        <v>372</v>
      </c>
      <c r="J82" s="15" t="s">
        <v>373</v>
      </c>
      <c r="K82" s="15" t="s">
        <v>394</v>
      </c>
      <c r="L82" s="15" t="s">
        <v>363</v>
      </c>
      <c r="M82" s="15" t="s">
        <v>366</v>
      </c>
    </row>
    <row r="83" spans="1:13" ht="14.25" customHeight="1" x14ac:dyDescent="0.25">
      <c r="A83" s="14">
        <v>8082</v>
      </c>
      <c r="B83" s="15" t="s">
        <v>91</v>
      </c>
      <c r="C83" s="15" t="s">
        <v>400</v>
      </c>
      <c r="D83" s="16" t="s">
        <v>368</v>
      </c>
      <c r="E83" s="15" t="s">
        <v>369</v>
      </c>
      <c r="F83" s="15" t="s">
        <v>389</v>
      </c>
      <c r="G83" s="15" t="s">
        <v>358</v>
      </c>
      <c r="H83" s="15" t="s">
        <v>353</v>
      </c>
      <c r="I83" s="15" t="s">
        <v>372</v>
      </c>
      <c r="J83" s="15" t="s">
        <v>373</v>
      </c>
      <c r="K83" s="15" t="s">
        <v>394</v>
      </c>
      <c r="L83" s="15" t="s">
        <v>363</v>
      </c>
      <c r="M83" s="15" t="s">
        <v>366</v>
      </c>
    </row>
    <row r="84" spans="1:13" ht="14.25" customHeight="1" x14ac:dyDescent="0.25">
      <c r="A84" s="14">
        <v>8083</v>
      </c>
      <c r="B84" s="15" t="s">
        <v>92</v>
      </c>
      <c r="C84" s="15" t="s">
        <v>400</v>
      </c>
      <c r="D84" s="16" t="s">
        <v>368</v>
      </c>
      <c r="E84" s="15" t="s">
        <v>369</v>
      </c>
      <c r="F84" s="15" t="s">
        <v>389</v>
      </c>
      <c r="G84" s="15" t="s">
        <v>358</v>
      </c>
      <c r="H84" s="15" t="s">
        <v>353</v>
      </c>
      <c r="I84" s="15" t="s">
        <v>372</v>
      </c>
      <c r="J84" s="15" t="s">
        <v>373</v>
      </c>
      <c r="K84" s="15" t="s">
        <v>394</v>
      </c>
      <c r="L84" s="15" t="s">
        <v>363</v>
      </c>
      <c r="M84" s="15" t="s">
        <v>366</v>
      </c>
    </row>
    <row r="85" spans="1:13" ht="14.25" customHeight="1" x14ac:dyDescent="0.25">
      <c r="A85" s="14">
        <v>8084</v>
      </c>
      <c r="B85" s="15" t="s">
        <v>93</v>
      </c>
      <c r="C85" s="15" t="s">
        <v>400</v>
      </c>
      <c r="D85" s="16" t="s">
        <v>368</v>
      </c>
      <c r="E85" s="15" t="s">
        <v>369</v>
      </c>
      <c r="F85" s="15" t="s">
        <v>389</v>
      </c>
      <c r="G85" s="15" t="s">
        <v>358</v>
      </c>
      <c r="H85" s="15" t="s">
        <v>353</v>
      </c>
      <c r="I85" s="15" t="s">
        <v>372</v>
      </c>
      <c r="J85" s="15" t="s">
        <v>373</v>
      </c>
      <c r="K85" s="15" t="s">
        <v>394</v>
      </c>
      <c r="L85" s="15" t="s">
        <v>363</v>
      </c>
      <c r="M85" s="15" t="s">
        <v>366</v>
      </c>
    </row>
    <row r="86" spans="1:13" ht="14.25" customHeight="1" x14ac:dyDescent="0.25">
      <c r="A86" s="14">
        <v>8085</v>
      </c>
      <c r="B86" s="15" t="s">
        <v>94</v>
      </c>
      <c r="C86" s="15" t="s">
        <v>400</v>
      </c>
      <c r="D86" s="16" t="s">
        <v>368</v>
      </c>
      <c r="E86" s="15" t="s">
        <v>369</v>
      </c>
      <c r="F86" s="15" t="s">
        <v>389</v>
      </c>
      <c r="G86" s="15" t="s">
        <v>358</v>
      </c>
      <c r="H86" s="15" t="s">
        <v>353</v>
      </c>
      <c r="I86" s="15" t="s">
        <v>372</v>
      </c>
      <c r="J86" s="15" t="s">
        <v>373</v>
      </c>
      <c r="K86" s="15" t="s">
        <v>394</v>
      </c>
      <c r="L86" s="15" t="s">
        <v>363</v>
      </c>
      <c r="M86" s="15" t="s">
        <v>366</v>
      </c>
    </row>
    <row r="87" spans="1:13" ht="14.25" customHeight="1" x14ac:dyDescent="0.25">
      <c r="A87" s="14">
        <v>8086</v>
      </c>
      <c r="B87" s="15" t="s">
        <v>95</v>
      </c>
      <c r="C87" s="15" t="s">
        <v>400</v>
      </c>
      <c r="D87" s="16" t="s">
        <v>368</v>
      </c>
      <c r="E87" s="15" t="s">
        <v>369</v>
      </c>
      <c r="F87" s="15" t="s">
        <v>389</v>
      </c>
      <c r="G87" s="15" t="s">
        <v>371</v>
      </c>
      <c r="H87" s="15" t="s">
        <v>353</v>
      </c>
      <c r="I87" s="15" t="s">
        <v>372</v>
      </c>
      <c r="J87" s="15" t="s">
        <v>373</v>
      </c>
      <c r="K87" s="15" t="s">
        <v>394</v>
      </c>
      <c r="L87" s="15" t="s">
        <v>363</v>
      </c>
      <c r="M87" s="15" t="s">
        <v>366</v>
      </c>
    </row>
    <row r="88" spans="1:13" ht="14.25" customHeight="1" x14ac:dyDescent="0.25">
      <c r="A88" s="14">
        <v>8089</v>
      </c>
      <c r="B88" s="15" t="s">
        <v>96</v>
      </c>
      <c r="C88" s="15" t="s">
        <v>401</v>
      </c>
      <c r="D88" s="16" t="s">
        <v>350</v>
      </c>
      <c r="E88" s="15" t="s">
        <v>369</v>
      </c>
      <c r="F88" s="15" t="s">
        <v>389</v>
      </c>
      <c r="G88" s="15" t="s">
        <v>358</v>
      </c>
      <c r="H88" s="15" t="s">
        <v>353</v>
      </c>
      <c r="I88" s="15" t="s">
        <v>372</v>
      </c>
      <c r="J88" s="15" t="s">
        <v>373</v>
      </c>
      <c r="K88" s="15" t="s">
        <v>361</v>
      </c>
      <c r="L88" s="15" t="s">
        <v>363</v>
      </c>
      <c r="M88" s="15" t="s">
        <v>366</v>
      </c>
    </row>
    <row r="89" spans="1:13" ht="14.25" customHeight="1" x14ac:dyDescent="0.25">
      <c r="A89" s="14">
        <v>8090</v>
      </c>
      <c r="B89" s="15" t="s">
        <v>97</v>
      </c>
      <c r="C89" s="15" t="s">
        <v>401</v>
      </c>
      <c r="D89" s="16" t="s">
        <v>350</v>
      </c>
      <c r="E89" s="15" t="s">
        <v>369</v>
      </c>
      <c r="F89" s="15" t="s">
        <v>389</v>
      </c>
      <c r="G89" s="15" t="s">
        <v>358</v>
      </c>
      <c r="H89" s="15" t="s">
        <v>353</v>
      </c>
      <c r="I89" s="15" t="s">
        <v>372</v>
      </c>
      <c r="J89" s="15" t="s">
        <v>373</v>
      </c>
      <c r="K89" s="15" t="s">
        <v>361</v>
      </c>
      <c r="L89" s="15" t="s">
        <v>363</v>
      </c>
      <c r="M89" s="15" t="s">
        <v>366</v>
      </c>
    </row>
    <row r="90" spans="1:13" ht="14.25" customHeight="1" x14ac:dyDescent="0.25">
      <c r="A90" s="14">
        <v>8091</v>
      </c>
      <c r="B90" s="15" t="s">
        <v>98</v>
      </c>
      <c r="C90" s="15" t="s">
        <v>402</v>
      </c>
      <c r="D90" s="16" t="s">
        <v>368</v>
      </c>
      <c r="E90" s="15" t="s">
        <v>374</v>
      </c>
      <c r="F90" s="15" t="s">
        <v>386</v>
      </c>
      <c r="G90" s="15" t="s">
        <v>357</v>
      </c>
      <c r="H90" s="15" t="s">
        <v>351</v>
      </c>
      <c r="I90" s="15" t="s">
        <v>382</v>
      </c>
      <c r="J90" s="15" t="s">
        <v>373</v>
      </c>
      <c r="K90" s="15" t="s">
        <v>387</v>
      </c>
      <c r="L90" s="15" t="s">
        <v>363</v>
      </c>
      <c r="M90" s="15" t="s">
        <v>365</v>
      </c>
    </row>
    <row r="91" spans="1:13" ht="14.25" customHeight="1" x14ac:dyDescent="0.25">
      <c r="A91" s="14">
        <v>8092</v>
      </c>
      <c r="B91" s="15" t="s">
        <v>99</v>
      </c>
      <c r="C91" s="15" t="s">
        <v>402</v>
      </c>
      <c r="D91" s="16" t="s">
        <v>368</v>
      </c>
      <c r="E91" s="15" t="s">
        <v>376</v>
      </c>
      <c r="F91" s="15" t="s">
        <v>381</v>
      </c>
      <c r="G91" s="15" t="s">
        <v>357</v>
      </c>
      <c r="H91" s="15" t="s">
        <v>351</v>
      </c>
      <c r="I91" s="15" t="s">
        <v>382</v>
      </c>
      <c r="J91" s="15" t="s">
        <v>373</v>
      </c>
      <c r="K91" s="15" t="s">
        <v>360</v>
      </c>
      <c r="L91" s="15" t="s">
        <v>362</v>
      </c>
      <c r="M91" s="15" t="s">
        <v>365</v>
      </c>
    </row>
    <row r="92" spans="1:13" ht="14.25" customHeight="1" x14ac:dyDescent="0.25">
      <c r="A92" s="14">
        <v>8093</v>
      </c>
      <c r="B92" s="15" t="s">
        <v>100</v>
      </c>
      <c r="C92" s="15" t="s">
        <v>402</v>
      </c>
      <c r="D92" s="16" t="s">
        <v>368</v>
      </c>
      <c r="E92" s="15" t="s">
        <v>378</v>
      </c>
      <c r="F92" s="15" t="s">
        <v>381</v>
      </c>
      <c r="G92" s="15" t="s">
        <v>357</v>
      </c>
      <c r="H92" s="15" t="s">
        <v>351</v>
      </c>
      <c r="I92" s="15" t="s">
        <v>382</v>
      </c>
      <c r="J92" s="15" t="s">
        <v>373</v>
      </c>
      <c r="K92" s="15" t="s">
        <v>394</v>
      </c>
      <c r="L92" s="15" t="s">
        <v>362</v>
      </c>
      <c r="M92" s="15" t="s">
        <v>365</v>
      </c>
    </row>
    <row r="93" spans="1:13" ht="14.25" customHeight="1" x14ac:dyDescent="0.25">
      <c r="A93" s="14">
        <v>8094</v>
      </c>
      <c r="B93" s="15" t="s">
        <v>101</v>
      </c>
      <c r="C93" s="15" t="s">
        <v>402</v>
      </c>
      <c r="D93" s="16" t="s">
        <v>368</v>
      </c>
      <c r="E93" s="15" t="s">
        <v>374</v>
      </c>
      <c r="F93" s="15" t="s">
        <v>381</v>
      </c>
      <c r="G93" s="15" t="s">
        <v>357</v>
      </c>
      <c r="H93" s="15" t="s">
        <v>352</v>
      </c>
      <c r="I93" s="15" t="s">
        <v>382</v>
      </c>
      <c r="J93" s="15" t="s">
        <v>373</v>
      </c>
      <c r="K93" s="15" t="s">
        <v>360</v>
      </c>
      <c r="L93" s="15" t="s">
        <v>363</v>
      </c>
      <c r="M93" s="15" t="s">
        <v>365</v>
      </c>
    </row>
    <row r="94" spans="1:13" ht="14.25" customHeight="1" x14ac:dyDescent="0.25">
      <c r="A94" s="14">
        <v>8095</v>
      </c>
      <c r="B94" s="15" t="s">
        <v>102</v>
      </c>
      <c r="C94" s="15" t="s">
        <v>402</v>
      </c>
      <c r="D94" s="16" t="s">
        <v>368</v>
      </c>
      <c r="E94" s="15" t="s">
        <v>378</v>
      </c>
      <c r="F94" s="15" t="s">
        <v>386</v>
      </c>
      <c r="G94" s="15" t="s">
        <v>357</v>
      </c>
      <c r="H94" s="15" t="s">
        <v>351</v>
      </c>
      <c r="I94" s="15" t="s">
        <v>382</v>
      </c>
      <c r="J94" s="15" t="s">
        <v>373</v>
      </c>
      <c r="K94" s="15" t="s">
        <v>387</v>
      </c>
      <c r="L94" s="15" t="s">
        <v>363</v>
      </c>
      <c r="M94" s="15" t="s">
        <v>365</v>
      </c>
    </row>
    <row r="95" spans="1:13" ht="14.25" customHeight="1" x14ac:dyDescent="0.25">
      <c r="A95" s="14">
        <v>8096</v>
      </c>
      <c r="B95" s="15" t="s">
        <v>103</v>
      </c>
      <c r="C95" s="15" t="s">
        <v>403</v>
      </c>
      <c r="D95" s="16" t="s">
        <v>368</v>
      </c>
      <c r="E95" s="15" t="s">
        <v>380</v>
      </c>
      <c r="F95" s="15" t="s">
        <v>381</v>
      </c>
      <c r="G95" s="15" t="s">
        <v>371</v>
      </c>
      <c r="H95" s="15" t="s">
        <v>353</v>
      </c>
      <c r="I95" s="15" t="s">
        <v>382</v>
      </c>
      <c r="J95" s="15" t="s">
        <v>373</v>
      </c>
      <c r="K95" s="15" t="s">
        <v>361</v>
      </c>
      <c r="L95" s="15" t="s">
        <v>363</v>
      </c>
      <c r="M95" s="15" t="s">
        <v>365</v>
      </c>
    </row>
    <row r="96" spans="1:13" ht="14.25" customHeight="1" x14ac:dyDescent="0.25">
      <c r="A96" s="14">
        <v>8097</v>
      </c>
      <c r="B96" s="15" t="s">
        <v>104</v>
      </c>
      <c r="C96" s="15" t="s">
        <v>403</v>
      </c>
      <c r="D96" s="16" t="s">
        <v>368</v>
      </c>
      <c r="E96" s="15" t="s">
        <v>369</v>
      </c>
      <c r="F96" s="15" t="s">
        <v>389</v>
      </c>
      <c r="G96" s="15" t="s">
        <v>358</v>
      </c>
      <c r="H96" s="15" t="s">
        <v>353</v>
      </c>
      <c r="I96" s="15" t="s">
        <v>382</v>
      </c>
      <c r="J96" s="15" t="s">
        <v>373</v>
      </c>
      <c r="K96" s="15" t="s">
        <v>394</v>
      </c>
      <c r="L96" s="15" t="s">
        <v>363</v>
      </c>
      <c r="M96" s="15" t="s">
        <v>366</v>
      </c>
    </row>
    <row r="97" spans="1:13" ht="14.25" customHeight="1" x14ac:dyDescent="0.25">
      <c r="A97" s="14">
        <v>8098</v>
      </c>
      <c r="B97" s="15" t="s">
        <v>105</v>
      </c>
      <c r="C97" s="15" t="s">
        <v>403</v>
      </c>
      <c r="D97" s="16" t="s">
        <v>368</v>
      </c>
      <c r="E97" s="15" t="s">
        <v>369</v>
      </c>
      <c r="F97" s="15" t="s">
        <v>381</v>
      </c>
      <c r="G97" s="15" t="s">
        <v>371</v>
      </c>
      <c r="H97" s="15" t="s">
        <v>353</v>
      </c>
      <c r="I97" s="15" t="s">
        <v>382</v>
      </c>
      <c r="J97" s="15" t="s">
        <v>373</v>
      </c>
      <c r="K97" s="15" t="s">
        <v>361</v>
      </c>
      <c r="L97" s="15" t="s">
        <v>363</v>
      </c>
      <c r="M97" s="15" t="s">
        <v>365</v>
      </c>
    </row>
    <row r="98" spans="1:13" ht="14.25" customHeight="1" x14ac:dyDescent="0.25">
      <c r="A98" s="14">
        <v>8099</v>
      </c>
      <c r="B98" s="15" t="s">
        <v>106</v>
      </c>
      <c r="C98" s="15" t="s">
        <v>403</v>
      </c>
      <c r="D98" s="16" t="s">
        <v>368</v>
      </c>
      <c r="E98" s="15" t="s">
        <v>374</v>
      </c>
      <c r="F98" s="15" t="s">
        <v>404</v>
      </c>
      <c r="G98" s="15" t="s">
        <v>357</v>
      </c>
      <c r="H98" s="15" t="s">
        <v>352</v>
      </c>
      <c r="I98" s="15" t="s">
        <v>372</v>
      </c>
      <c r="J98" s="15" t="s">
        <v>373</v>
      </c>
      <c r="K98" s="15" t="s">
        <v>361</v>
      </c>
      <c r="L98" s="15" t="s">
        <v>363</v>
      </c>
      <c r="M98" s="15" t="s">
        <v>365</v>
      </c>
    </row>
    <row r="99" spans="1:13" ht="14.25" customHeight="1" x14ac:dyDescent="0.25">
      <c r="A99" s="14">
        <v>8100</v>
      </c>
      <c r="B99" s="15" t="s">
        <v>107</v>
      </c>
      <c r="C99" s="15" t="s">
        <v>403</v>
      </c>
      <c r="D99" s="16" t="s">
        <v>368</v>
      </c>
      <c r="E99" s="15" t="s">
        <v>369</v>
      </c>
      <c r="F99" s="15" t="s">
        <v>389</v>
      </c>
      <c r="G99" s="15" t="s">
        <v>358</v>
      </c>
      <c r="H99" s="15" t="s">
        <v>352</v>
      </c>
      <c r="I99" s="15" t="s">
        <v>372</v>
      </c>
      <c r="J99" s="15" t="s">
        <v>373</v>
      </c>
      <c r="K99" s="15" t="s">
        <v>394</v>
      </c>
      <c r="L99" s="15" t="s">
        <v>363</v>
      </c>
      <c r="M99" s="15" t="s">
        <v>366</v>
      </c>
    </row>
    <row r="100" spans="1:13" ht="14.25" customHeight="1" x14ac:dyDescent="0.25">
      <c r="A100" s="14">
        <v>8101</v>
      </c>
      <c r="B100" s="15" t="s">
        <v>108</v>
      </c>
      <c r="C100" s="15" t="s">
        <v>403</v>
      </c>
      <c r="D100" s="16" t="s">
        <v>368</v>
      </c>
      <c r="E100" s="15" t="s">
        <v>374</v>
      </c>
      <c r="F100" s="15" t="s">
        <v>381</v>
      </c>
      <c r="G100" s="15" t="s">
        <v>357</v>
      </c>
      <c r="H100" s="15" t="s">
        <v>352</v>
      </c>
      <c r="I100" s="15" t="s">
        <v>372</v>
      </c>
      <c r="J100" s="15" t="s">
        <v>373</v>
      </c>
      <c r="K100" s="15" t="s">
        <v>361</v>
      </c>
      <c r="L100" s="15" t="s">
        <v>363</v>
      </c>
      <c r="M100" s="15" t="s">
        <v>364</v>
      </c>
    </row>
    <row r="101" spans="1:13" ht="14.25" customHeight="1" x14ac:dyDescent="0.25">
      <c r="A101" s="14">
        <v>8102</v>
      </c>
      <c r="B101" s="15" t="s">
        <v>109</v>
      </c>
      <c r="C101" s="15" t="s">
        <v>403</v>
      </c>
      <c r="D101" s="16" t="s">
        <v>368</v>
      </c>
      <c r="E101" s="15" t="s">
        <v>376</v>
      </c>
      <c r="F101" s="15" t="s">
        <v>389</v>
      </c>
      <c r="G101" s="15" t="s">
        <v>358</v>
      </c>
      <c r="H101" s="15" t="s">
        <v>352</v>
      </c>
      <c r="I101" s="15" t="s">
        <v>372</v>
      </c>
      <c r="J101" s="15" t="s">
        <v>373</v>
      </c>
      <c r="K101" s="15" t="s">
        <v>360</v>
      </c>
      <c r="L101" s="15" t="s">
        <v>363</v>
      </c>
      <c r="M101" s="15" t="s">
        <v>366</v>
      </c>
    </row>
    <row r="102" spans="1:13" ht="14.25" customHeight="1" x14ac:dyDescent="0.25">
      <c r="A102" s="14">
        <v>8103</v>
      </c>
      <c r="B102" s="15" t="s">
        <v>110</v>
      </c>
      <c r="C102" s="15" t="s">
        <v>403</v>
      </c>
      <c r="D102" s="16" t="s">
        <v>368</v>
      </c>
      <c r="E102" s="15" t="s">
        <v>374</v>
      </c>
      <c r="F102" s="15" t="s">
        <v>381</v>
      </c>
      <c r="G102" s="15" t="s">
        <v>356</v>
      </c>
      <c r="H102" s="15" t="s">
        <v>355</v>
      </c>
      <c r="I102" s="15" t="s">
        <v>382</v>
      </c>
      <c r="J102" s="15" t="s">
        <v>373</v>
      </c>
      <c r="K102" s="15" t="s">
        <v>361</v>
      </c>
      <c r="L102" s="15" t="s">
        <v>362</v>
      </c>
      <c r="M102" s="15" t="s">
        <v>365</v>
      </c>
    </row>
    <row r="103" spans="1:13" ht="14.25" customHeight="1" x14ac:dyDescent="0.25">
      <c r="A103" s="14">
        <v>8104</v>
      </c>
      <c r="B103" s="15" t="s">
        <v>111</v>
      </c>
      <c r="C103" s="15" t="s">
        <v>403</v>
      </c>
      <c r="D103" s="16" t="s">
        <v>368</v>
      </c>
      <c r="E103" s="15" t="s">
        <v>369</v>
      </c>
      <c r="F103" s="15" t="s">
        <v>381</v>
      </c>
      <c r="G103" s="15" t="s">
        <v>371</v>
      </c>
      <c r="H103" s="15" t="s">
        <v>353</v>
      </c>
      <c r="I103" s="15" t="s">
        <v>382</v>
      </c>
      <c r="J103" s="15" t="s">
        <v>373</v>
      </c>
      <c r="K103" s="15" t="s">
        <v>361</v>
      </c>
      <c r="L103" s="15" t="s">
        <v>363</v>
      </c>
      <c r="M103" s="15" t="s">
        <v>365</v>
      </c>
    </row>
    <row r="104" spans="1:13" ht="14.25" customHeight="1" x14ac:dyDescent="0.25">
      <c r="A104" s="14">
        <v>8105</v>
      </c>
      <c r="B104" s="15" t="s">
        <v>112</v>
      </c>
      <c r="C104" s="15" t="s">
        <v>403</v>
      </c>
      <c r="D104" s="16" t="s">
        <v>368</v>
      </c>
      <c r="E104" s="15" t="s">
        <v>376</v>
      </c>
      <c r="F104" s="15" t="s">
        <v>389</v>
      </c>
      <c r="G104" s="15" t="s">
        <v>358</v>
      </c>
      <c r="H104" s="15" t="s">
        <v>352</v>
      </c>
      <c r="I104" s="15" t="s">
        <v>372</v>
      </c>
      <c r="J104" s="15" t="s">
        <v>373</v>
      </c>
      <c r="K104" s="15" t="s">
        <v>360</v>
      </c>
      <c r="L104" s="15" t="s">
        <v>363</v>
      </c>
      <c r="M104" s="15" t="s">
        <v>366</v>
      </c>
    </row>
    <row r="105" spans="1:13" ht="14.25" customHeight="1" x14ac:dyDescent="0.25">
      <c r="A105" s="14">
        <v>8106</v>
      </c>
      <c r="B105" s="15" t="s">
        <v>113</v>
      </c>
      <c r="C105" s="15" t="s">
        <v>405</v>
      </c>
      <c r="D105" s="16" t="s">
        <v>368</v>
      </c>
      <c r="E105" s="15" t="s">
        <v>369</v>
      </c>
      <c r="F105" s="15" t="s">
        <v>404</v>
      </c>
      <c r="G105" s="15" t="s">
        <v>371</v>
      </c>
      <c r="H105" s="15" t="s">
        <v>351</v>
      </c>
      <c r="I105" s="15" t="s">
        <v>372</v>
      </c>
      <c r="J105" s="15" t="s">
        <v>373</v>
      </c>
      <c r="K105" s="15" t="s">
        <v>361</v>
      </c>
      <c r="L105" s="15" t="s">
        <v>363</v>
      </c>
      <c r="M105" s="15" t="s">
        <v>365</v>
      </c>
    </row>
    <row r="106" spans="1:13" ht="14.25" customHeight="1" x14ac:dyDescent="0.25">
      <c r="A106" s="14">
        <v>8107</v>
      </c>
      <c r="B106" s="15" t="s">
        <v>114</v>
      </c>
      <c r="C106" s="15" t="s">
        <v>406</v>
      </c>
      <c r="D106" s="16" t="s">
        <v>368</v>
      </c>
      <c r="E106" s="15" t="s">
        <v>374</v>
      </c>
      <c r="F106" s="15" t="s">
        <v>386</v>
      </c>
      <c r="G106" s="15" t="s">
        <v>356</v>
      </c>
      <c r="H106" s="15" t="s">
        <v>352</v>
      </c>
      <c r="I106" s="15" t="s">
        <v>382</v>
      </c>
      <c r="J106" s="15" t="s">
        <v>373</v>
      </c>
      <c r="K106" s="15" t="s">
        <v>387</v>
      </c>
      <c r="L106" s="15" t="s">
        <v>363</v>
      </c>
      <c r="M106" s="15" t="s">
        <v>364</v>
      </c>
    </row>
    <row r="107" spans="1:13" ht="14.25" customHeight="1" x14ac:dyDescent="0.25">
      <c r="A107" s="14">
        <v>8108</v>
      </c>
      <c r="B107" s="15" t="s">
        <v>115</v>
      </c>
      <c r="C107" s="15" t="s">
        <v>407</v>
      </c>
      <c r="D107" s="16" t="s">
        <v>368</v>
      </c>
      <c r="E107" s="15" t="s">
        <v>392</v>
      </c>
      <c r="F107" s="15" t="s">
        <v>375</v>
      </c>
      <c r="G107" s="15" t="s">
        <v>356</v>
      </c>
      <c r="H107" s="15" t="s">
        <v>352</v>
      </c>
      <c r="I107" s="15" t="s">
        <v>382</v>
      </c>
      <c r="J107" s="15" t="s">
        <v>359</v>
      </c>
      <c r="K107" s="15" t="s">
        <v>360</v>
      </c>
      <c r="L107" s="15" t="s">
        <v>362</v>
      </c>
      <c r="M107" s="15" t="s">
        <v>364</v>
      </c>
    </row>
    <row r="108" spans="1:13" ht="14.25" customHeight="1" x14ac:dyDescent="0.25">
      <c r="A108" s="14">
        <v>8109</v>
      </c>
      <c r="B108" s="15" t="s">
        <v>116</v>
      </c>
      <c r="C108" s="15" t="s">
        <v>407</v>
      </c>
      <c r="D108" s="16" t="s">
        <v>350</v>
      </c>
      <c r="E108" s="15" t="s">
        <v>392</v>
      </c>
      <c r="F108" s="15" t="s">
        <v>375</v>
      </c>
      <c r="G108" s="15" t="s">
        <v>356</v>
      </c>
      <c r="H108" s="15" t="s">
        <v>352</v>
      </c>
      <c r="I108" s="15" t="s">
        <v>382</v>
      </c>
      <c r="J108" s="15" t="s">
        <v>359</v>
      </c>
      <c r="K108" s="15" t="s">
        <v>360</v>
      </c>
      <c r="L108" s="15" t="s">
        <v>362</v>
      </c>
      <c r="M108" s="15" t="s">
        <v>365</v>
      </c>
    </row>
    <row r="109" spans="1:13" ht="14.25" customHeight="1" x14ac:dyDescent="0.25">
      <c r="A109" s="14">
        <v>8110</v>
      </c>
      <c r="B109" s="15" t="s">
        <v>117</v>
      </c>
      <c r="C109" s="15" t="s">
        <v>408</v>
      </c>
      <c r="D109" s="16" t="s">
        <v>368</v>
      </c>
      <c r="E109" s="15" t="s">
        <v>392</v>
      </c>
      <c r="F109" s="15" t="s">
        <v>375</v>
      </c>
      <c r="G109" s="15" t="s">
        <v>356</v>
      </c>
      <c r="H109" s="15" t="s">
        <v>352</v>
      </c>
      <c r="I109" s="15" t="s">
        <v>382</v>
      </c>
      <c r="J109" s="15" t="s">
        <v>373</v>
      </c>
      <c r="K109" s="15" t="s">
        <v>360</v>
      </c>
      <c r="L109" s="15" t="s">
        <v>362</v>
      </c>
      <c r="M109" s="15" t="s">
        <v>364</v>
      </c>
    </row>
    <row r="110" spans="1:13" ht="14.25" customHeight="1" x14ac:dyDescent="0.25">
      <c r="A110" s="14">
        <v>8111</v>
      </c>
      <c r="B110" s="15" t="s">
        <v>118</v>
      </c>
      <c r="C110" s="15" t="s">
        <v>408</v>
      </c>
      <c r="D110" s="16" t="s">
        <v>368</v>
      </c>
      <c r="E110" s="15" t="s">
        <v>392</v>
      </c>
      <c r="F110" s="15" t="s">
        <v>375</v>
      </c>
      <c r="G110" s="15" t="s">
        <v>356</v>
      </c>
      <c r="H110" s="15" t="s">
        <v>352</v>
      </c>
      <c r="I110" s="15" t="s">
        <v>372</v>
      </c>
      <c r="J110" s="15" t="s">
        <v>373</v>
      </c>
      <c r="K110" s="15" t="s">
        <v>360</v>
      </c>
      <c r="L110" s="15" t="s">
        <v>362</v>
      </c>
      <c r="M110" s="15" t="s">
        <v>364</v>
      </c>
    </row>
    <row r="111" spans="1:13" ht="14.25" customHeight="1" x14ac:dyDescent="0.25">
      <c r="A111" s="14">
        <v>8112</v>
      </c>
      <c r="B111" s="15" t="s">
        <v>119</v>
      </c>
      <c r="C111" s="15" t="s">
        <v>408</v>
      </c>
      <c r="D111" s="16" t="s">
        <v>368</v>
      </c>
      <c r="E111" s="15" t="s">
        <v>392</v>
      </c>
      <c r="F111" s="15" t="s">
        <v>375</v>
      </c>
      <c r="G111" s="15" t="s">
        <v>356</v>
      </c>
      <c r="H111" s="15" t="s">
        <v>352</v>
      </c>
      <c r="I111" s="15" t="s">
        <v>382</v>
      </c>
      <c r="J111" s="15" t="s">
        <v>373</v>
      </c>
      <c r="K111" s="15" t="s">
        <v>360</v>
      </c>
      <c r="L111" s="15" t="s">
        <v>362</v>
      </c>
      <c r="M111" s="15" t="s">
        <v>365</v>
      </c>
    </row>
    <row r="112" spans="1:13" ht="14.25" customHeight="1" x14ac:dyDescent="0.25">
      <c r="A112" s="14">
        <v>8113</v>
      </c>
      <c r="B112" s="15" t="s">
        <v>120</v>
      </c>
      <c r="C112" s="15" t="s">
        <v>409</v>
      </c>
      <c r="D112" s="16" t="s">
        <v>368</v>
      </c>
      <c r="E112" s="15" t="s">
        <v>369</v>
      </c>
      <c r="F112" s="15" t="s">
        <v>389</v>
      </c>
      <c r="G112" s="15" t="s">
        <v>371</v>
      </c>
      <c r="H112" s="15" t="s">
        <v>352</v>
      </c>
      <c r="I112" s="15" t="s">
        <v>382</v>
      </c>
      <c r="J112" s="15" t="s">
        <v>373</v>
      </c>
      <c r="K112" s="15" t="s">
        <v>360</v>
      </c>
      <c r="L112" s="15" t="s">
        <v>363</v>
      </c>
      <c r="M112" s="15" t="s">
        <v>365</v>
      </c>
    </row>
    <row r="113" spans="1:16" ht="14.25" customHeight="1" x14ac:dyDescent="0.25">
      <c r="A113" s="14">
        <v>8114</v>
      </c>
      <c r="B113" s="15" t="s">
        <v>121</v>
      </c>
      <c r="C113" s="15" t="s">
        <v>409</v>
      </c>
      <c r="D113" s="16" t="s">
        <v>368</v>
      </c>
      <c r="E113" s="15" t="s">
        <v>369</v>
      </c>
      <c r="F113" s="15" t="s">
        <v>381</v>
      </c>
      <c r="G113" s="15" t="s">
        <v>358</v>
      </c>
      <c r="H113" s="15" t="s">
        <v>353</v>
      </c>
      <c r="I113" s="15" t="s">
        <v>382</v>
      </c>
      <c r="J113" s="15" t="s">
        <v>373</v>
      </c>
      <c r="K113" s="15" t="s">
        <v>361</v>
      </c>
      <c r="L113" s="15" t="s">
        <v>363</v>
      </c>
      <c r="M113" s="15" t="s">
        <v>366</v>
      </c>
    </row>
    <row r="114" spans="1:16" ht="14.25" customHeight="1" x14ac:dyDescent="0.25">
      <c r="A114" s="14">
        <v>8115</v>
      </c>
      <c r="B114" s="15" t="s">
        <v>122</v>
      </c>
      <c r="C114" s="15" t="s">
        <v>409</v>
      </c>
      <c r="D114" s="16" t="s">
        <v>368</v>
      </c>
      <c r="E114" s="15" t="s">
        <v>369</v>
      </c>
      <c r="F114" s="15" t="s">
        <v>381</v>
      </c>
      <c r="G114" s="15" t="s">
        <v>371</v>
      </c>
      <c r="H114" s="15" t="s">
        <v>352</v>
      </c>
      <c r="I114" s="15" t="s">
        <v>382</v>
      </c>
      <c r="J114" s="15" t="s">
        <v>373</v>
      </c>
      <c r="K114" s="15" t="s">
        <v>360</v>
      </c>
      <c r="L114" s="15" t="s">
        <v>363</v>
      </c>
      <c r="M114" s="15" t="s">
        <v>366</v>
      </c>
    </row>
    <row r="115" spans="1:16" ht="14.25" customHeight="1" x14ac:dyDescent="0.25">
      <c r="A115" s="17">
        <v>8116</v>
      </c>
      <c r="B115" s="16" t="s">
        <v>123</v>
      </c>
      <c r="C115" s="16" t="s">
        <v>409</v>
      </c>
      <c r="D115" s="16" t="s">
        <v>368</v>
      </c>
      <c r="E115" s="20" t="s">
        <v>376</v>
      </c>
      <c r="F115" s="16" t="s">
        <v>381</v>
      </c>
      <c r="G115" s="16" t="s">
        <v>356</v>
      </c>
      <c r="H115" s="16" t="s">
        <v>352</v>
      </c>
      <c r="I115" s="16" t="s">
        <v>382</v>
      </c>
      <c r="J115" s="16" t="s">
        <v>373</v>
      </c>
      <c r="K115" s="16" t="s">
        <v>360</v>
      </c>
      <c r="L115" s="16" t="s">
        <v>362</v>
      </c>
      <c r="M115" s="16" t="s">
        <v>365</v>
      </c>
      <c r="N115" s="16"/>
      <c r="O115" s="16"/>
      <c r="P115" s="16"/>
    </row>
    <row r="116" spans="1:16" ht="14.25" customHeight="1" x14ac:dyDescent="0.25">
      <c r="A116" s="17">
        <v>8117</v>
      </c>
      <c r="B116" s="16" t="s">
        <v>124</v>
      </c>
      <c r="C116" s="16" t="s">
        <v>409</v>
      </c>
      <c r="D116" s="16" t="s">
        <v>368</v>
      </c>
      <c r="E116" s="20" t="s">
        <v>374</v>
      </c>
      <c r="F116" s="16" t="s">
        <v>381</v>
      </c>
      <c r="G116" s="16" t="s">
        <v>357</v>
      </c>
      <c r="H116" s="16" t="s">
        <v>352</v>
      </c>
      <c r="I116" s="16" t="s">
        <v>372</v>
      </c>
      <c r="J116" s="16" t="s">
        <v>359</v>
      </c>
      <c r="K116" s="16" t="s">
        <v>360</v>
      </c>
      <c r="L116" s="16" t="s">
        <v>363</v>
      </c>
      <c r="M116" s="16" t="s">
        <v>365</v>
      </c>
      <c r="N116" s="16"/>
      <c r="O116" s="16"/>
      <c r="P116" s="16"/>
    </row>
    <row r="117" spans="1:16" ht="14.25" customHeight="1" x14ac:dyDescent="0.25">
      <c r="A117" s="14">
        <v>8118</v>
      </c>
      <c r="B117" s="15" t="s">
        <v>125</v>
      </c>
      <c r="C117" s="15" t="s">
        <v>409</v>
      </c>
      <c r="D117" s="16" t="s">
        <v>368</v>
      </c>
      <c r="E117" s="15" t="s">
        <v>378</v>
      </c>
      <c r="F117" s="15" t="s">
        <v>381</v>
      </c>
      <c r="G117" s="15" t="s">
        <v>357</v>
      </c>
      <c r="H117" s="15" t="s">
        <v>352</v>
      </c>
      <c r="I117" s="15" t="s">
        <v>372</v>
      </c>
      <c r="J117" s="15" t="s">
        <v>359</v>
      </c>
      <c r="K117" s="15" t="s">
        <v>360</v>
      </c>
      <c r="L117" s="15" t="s">
        <v>363</v>
      </c>
      <c r="M117" s="15" t="s">
        <v>365</v>
      </c>
    </row>
    <row r="118" spans="1:16" ht="14.25" customHeight="1" x14ac:dyDescent="0.25">
      <c r="A118" s="14">
        <v>8119</v>
      </c>
      <c r="B118" s="15" t="s">
        <v>126</v>
      </c>
      <c r="C118" s="15" t="s">
        <v>409</v>
      </c>
      <c r="D118" s="16" t="s">
        <v>368</v>
      </c>
      <c r="E118" s="15" t="s">
        <v>380</v>
      </c>
      <c r="F118" s="15" t="s">
        <v>381</v>
      </c>
      <c r="G118" s="15" t="s">
        <v>356</v>
      </c>
      <c r="H118" s="15" t="s">
        <v>352</v>
      </c>
      <c r="I118" s="15" t="s">
        <v>382</v>
      </c>
      <c r="J118" s="15" t="s">
        <v>373</v>
      </c>
      <c r="K118" s="15" t="s">
        <v>360</v>
      </c>
      <c r="L118" s="15" t="s">
        <v>362</v>
      </c>
      <c r="M118" s="15" t="s">
        <v>365</v>
      </c>
    </row>
    <row r="119" spans="1:16" ht="14.25" customHeight="1" x14ac:dyDescent="0.25">
      <c r="A119" s="14">
        <v>8120</v>
      </c>
      <c r="B119" s="15" t="s">
        <v>127</v>
      </c>
      <c r="C119" s="15" t="s">
        <v>409</v>
      </c>
      <c r="D119" s="16" t="s">
        <v>368</v>
      </c>
      <c r="E119" s="15" t="s">
        <v>380</v>
      </c>
      <c r="F119" s="15" t="s">
        <v>381</v>
      </c>
      <c r="G119" s="15" t="s">
        <v>356</v>
      </c>
      <c r="H119" s="15" t="s">
        <v>352</v>
      </c>
      <c r="I119" s="15" t="s">
        <v>382</v>
      </c>
      <c r="J119" s="15" t="s">
        <v>373</v>
      </c>
      <c r="K119" s="15" t="s">
        <v>360</v>
      </c>
      <c r="L119" s="15" t="s">
        <v>362</v>
      </c>
      <c r="M119" s="15" t="s">
        <v>365</v>
      </c>
    </row>
    <row r="120" spans="1:16" ht="14.25" customHeight="1" x14ac:dyDescent="0.25">
      <c r="A120" s="14">
        <v>8121</v>
      </c>
      <c r="B120" s="15" t="s">
        <v>128</v>
      </c>
      <c r="C120" s="15" t="s">
        <v>409</v>
      </c>
      <c r="D120" s="16" t="s">
        <v>368</v>
      </c>
      <c r="E120" s="15" t="s">
        <v>374</v>
      </c>
      <c r="F120" s="15" t="s">
        <v>381</v>
      </c>
      <c r="G120" s="15" t="s">
        <v>371</v>
      </c>
      <c r="H120" s="15" t="s">
        <v>355</v>
      </c>
      <c r="I120" s="15" t="s">
        <v>372</v>
      </c>
      <c r="J120" s="15" t="s">
        <v>359</v>
      </c>
      <c r="K120" s="15" t="s">
        <v>360</v>
      </c>
      <c r="L120" s="15" t="s">
        <v>363</v>
      </c>
      <c r="M120" s="15" t="s">
        <v>365</v>
      </c>
    </row>
    <row r="121" spans="1:16" ht="14.25" customHeight="1" x14ac:dyDescent="0.25">
      <c r="A121" s="14">
        <v>8122</v>
      </c>
      <c r="B121" s="15" t="s">
        <v>129</v>
      </c>
      <c r="C121" s="15" t="s">
        <v>409</v>
      </c>
      <c r="D121" s="16" t="s">
        <v>368</v>
      </c>
      <c r="E121" s="15" t="s">
        <v>374</v>
      </c>
      <c r="F121" s="15" t="s">
        <v>381</v>
      </c>
      <c r="G121" s="15" t="s">
        <v>356</v>
      </c>
      <c r="H121" s="15" t="s">
        <v>354</v>
      </c>
      <c r="I121" s="15" t="s">
        <v>372</v>
      </c>
      <c r="J121" s="15" t="s">
        <v>359</v>
      </c>
      <c r="K121" s="15" t="s">
        <v>360</v>
      </c>
      <c r="L121" s="15" t="s">
        <v>363</v>
      </c>
      <c r="M121" s="15" t="s">
        <v>365</v>
      </c>
    </row>
    <row r="122" spans="1:16" ht="14.25" customHeight="1" x14ac:dyDescent="0.25">
      <c r="A122" s="14">
        <v>8123</v>
      </c>
      <c r="B122" s="15" t="s">
        <v>130</v>
      </c>
      <c r="C122" s="15" t="s">
        <v>410</v>
      </c>
      <c r="D122" s="16" t="s">
        <v>368</v>
      </c>
      <c r="E122" s="15" t="s">
        <v>369</v>
      </c>
      <c r="F122" s="15" t="s">
        <v>389</v>
      </c>
      <c r="G122" s="15" t="s">
        <v>371</v>
      </c>
      <c r="H122" s="15" t="s">
        <v>352</v>
      </c>
      <c r="I122" s="15" t="s">
        <v>372</v>
      </c>
      <c r="J122" s="15" t="s">
        <v>373</v>
      </c>
      <c r="K122" s="15" t="s">
        <v>394</v>
      </c>
      <c r="L122" s="15" t="s">
        <v>363</v>
      </c>
      <c r="M122" s="15" t="s">
        <v>366</v>
      </c>
    </row>
    <row r="123" spans="1:16" ht="14.25" customHeight="1" x14ac:dyDescent="0.25">
      <c r="A123" s="14">
        <v>8124</v>
      </c>
      <c r="B123" s="15" t="s">
        <v>131</v>
      </c>
      <c r="C123" s="15" t="s">
        <v>410</v>
      </c>
      <c r="D123" s="16" t="s">
        <v>350</v>
      </c>
      <c r="E123" s="15" t="s">
        <v>369</v>
      </c>
      <c r="F123" s="15" t="s">
        <v>389</v>
      </c>
      <c r="G123" s="15" t="s">
        <v>358</v>
      </c>
      <c r="H123" s="15" t="s">
        <v>353</v>
      </c>
      <c r="I123" s="15" t="s">
        <v>372</v>
      </c>
      <c r="J123" s="15" t="s">
        <v>373</v>
      </c>
      <c r="K123" s="15" t="s">
        <v>361</v>
      </c>
      <c r="L123" s="15" t="s">
        <v>363</v>
      </c>
      <c r="M123" s="15" t="s">
        <v>366</v>
      </c>
    </row>
    <row r="124" spans="1:16" ht="14.25" customHeight="1" x14ac:dyDescent="0.25">
      <c r="A124" s="14">
        <v>8125</v>
      </c>
      <c r="B124" s="15" t="s">
        <v>132</v>
      </c>
      <c r="C124" s="15" t="s">
        <v>410</v>
      </c>
      <c r="D124" s="16" t="s">
        <v>350</v>
      </c>
      <c r="E124" s="15" t="s">
        <v>369</v>
      </c>
      <c r="F124" s="15" t="s">
        <v>389</v>
      </c>
      <c r="G124" s="15" t="s">
        <v>357</v>
      </c>
      <c r="H124" s="15" t="s">
        <v>352</v>
      </c>
      <c r="I124" s="15" t="s">
        <v>372</v>
      </c>
      <c r="J124" s="15" t="s">
        <v>373</v>
      </c>
      <c r="K124" s="15" t="s">
        <v>394</v>
      </c>
      <c r="L124" s="15" t="s">
        <v>363</v>
      </c>
      <c r="M124" s="15" t="s">
        <v>366</v>
      </c>
    </row>
    <row r="125" spans="1:16" ht="14.25" customHeight="1" x14ac:dyDescent="0.25">
      <c r="A125" s="14">
        <v>8126</v>
      </c>
      <c r="B125" s="15" t="s">
        <v>133</v>
      </c>
      <c r="C125" s="15" t="s">
        <v>410</v>
      </c>
      <c r="D125" s="16" t="s">
        <v>368</v>
      </c>
      <c r="E125" s="15" t="s">
        <v>369</v>
      </c>
      <c r="F125" s="15" t="s">
        <v>389</v>
      </c>
      <c r="G125" s="15" t="s">
        <v>358</v>
      </c>
      <c r="H125" s="15" t="s">
        <v>353</v>
      </c>
      <c r="I125" s="15" t="s">
        <v>372</v>
      </c>
      <c r="J125" s="15" t="s">
        <v>373</v>
      </c>
      <c r="K125" s="15" t="s">
        <v>361</v>
      </c>
      <c r="L125" s="15" t="s">
        <v>363</v>
      </c>
      <c r="M125" s="15" t="s">
        <v>366</v>
      </c>
    </row>
    <row r="126" spans="1:16" ht="14.25" customHeight="1" x14ac:dyDescent="0.25">
      <c r="A126" s="14">
        <v>8127</v>
      </c>
      <c r="B126" s="15" t="s">
        <v>134</v>
      </c>
      <c r="C126" s="15" t="s">
        <v>411</v>
      </c>
      <c r="D126" s="16" t="s">
        <v>368</v>
      </c>
      <c r="E126" s="15" t="s">
        <v>369</v>
      </c>
      <c r="F126" s="15" t="s">
        <v>389</v>
      </c>
      <c r="G126" s="15" t="s">
        <v>358</v>
      </c>
      <c r="H126" s="15" t="s">
        <v>353</v>
      </c>
      <c r="I126" s="15" t="s">
        <v>372</v>
      </c>
      <c r="J126" s="15" t="s">
        <v>373</v>
      </c>
      <c r="K126" s="15" t="s">
        <v>394</v>
      </c>
      <c r="L126" s="15" t="s">
        <v>363</v>
      </c>
      <c r="M126" s="15" t="s">
        <v>366</v>
      </c>
    </row>
    <row r="127" spans="1:16" ht="14.25" customHeight="1" x14ac:dyDescent="0.25">
      <c r="A127" s="14">
        <v>8128</v>
      </c>
      <c r="B127" s="15" t="s">
        <v>135</v>
      </c>
      <c r="C127" s="15" t="s">
        <v>411</v>
      </c>
      <c r="D127" s="16" t="s">
        <v>368</v>
      </c>
      <c r="E127" s="15" t="s">
        <v>369</v>
      </c>
      <c r="F127" s="15" t="s">
        <v>389</v>
      </c>
      <c r="G127" s="15" t="s">
        <v>358</v>
      </c>
      <c r="H127" s="15" t="s">
        <v>353</v>
      </c>
      <c r="I127" s="15" t="s">
        <v>372</v>
      </c>
      <c r="J127" s="15" t="s">
        <v>359</v>
      </c>
      <c r="K127" s="15" t="s">
        <v>394</v>
      </c>
      <c r="L127" s="15" t="s">
        <v>363</v>
      </c>
      <c r="M127" s="15" t="s">
        <v>366</v>
      </c>
    </row>
    <row r="128" spans="1:16" ht="14.25" customHeight="1" x14ac:dyDescent="0.25">
      <c r="A128" s="14">
        <v>8129</v>
      </c>
      <c r="B128" s="15" t="s">
        <v>136</v>
      </c>
      <c r="C128" s="15" t="s">
        <v>412</v>
      </c>
      <c r="D128" s="16" t="s">
        <v>368</v>
      </c>
      <c r="E128" s="15" t="s">
        <v>369</v>
      </c>
      <c r="F128" s="15" t="s">
        <v>389</v>
      </c>
      <c r="G128" s="15" t="s">
        <v>371</v>
      </c>
      <c r="H128" s="15" t="s">
        <v>352</v>
      </c>
      <c r="I128" s="15" t="s">
        <v>372</v>
      </c>
      <c r="J128" s="15" t="s">
        <v>373</v>
      </c>
      <c r="K128" s="15" t="s">
        <v>394</v>
      </c>
      <c r="L128" s="15" t="s">
        <v>363</v>
      </c>
      <c r="M128" s="15" t="s">
        <v>366</v>
      </c>
    </row>
    <row r="129" spans="1:13" ht="14.25" customHeight="1" x14ac:dyDescent="0.25">
      <c r="A129" s="14">
        <v>8130</v>
      </c>
      <c r="B129" s="15" t="s">
        <v>137</v>
      </c>
      <c r="C129" s="15" t="s">
        <v>412</v>
      </c>
      <c r="D129" s="16" t="s">
        <v>368</v>
      </c>
      <c r="E129" s="15" t="s">
        <v>369</v>
      </c>
      <c r="F129" s="15" t="s">
        <v>389</v>
      </c>
      <c r="G129" s="15" t="s">
        <v>358</v>
      </c>
      <c r="H129" s="15" t="s">
        <v>353</v>
      </c>
      <c r="I129" s="15" t="s">
        <v>372</v>
      </c>
      <c r="J129" s="15" t="s">
        <v>373</v>
      </c>
      <c r="K129" s="15" t="s">
        <v>394</v>
      </c>
      <c r="L129" s="15" t="s">
        <v>363</v>
      </c>
      <c r="M129" s="15" t="s">
        <v>366</v>
      </c>
    </row>
    <row r="130" spans="1:13" ht="14.25" customHeight="1" x14ac:dyDescent="0.25">
      <c r="A130" s="14">
        <v>8131</v>
      </c>
      <c r="B130" s="15" t="s">
        <v>138</v>
      </c>
      <c r="C130" s="15" t="s">
        <v>412</v>
      </c>
      <c r="D130" s="16" t="s">
        <v>368</v>
      </c>
      <c r="E130" s="15" t="s">
        <v>369</v>
      </c>
      <c r="F130" s="15" t="s">
        <v>389</v>
      </c>
      <c r="G130" s="15" t="s">
        <v>371</v>
      </c>
      <c r="H130" s="15" t="s">
        <v>352</v>
      </c>
      <c r="I130" s="15" t="s">
        <v>372</v>
      </c>
      <c r="J130" s="15" t="s">
        <v>373</v>
      </c>
      <c r="K130" s="15" t="s">
        <v>361</v>
      </c>
      <c r="L130" s="15" t="s">
        <v>363</v>
      </c>
      <c r="M130" s="15" t="s">
        <v>366</v>
      </c>
    </row>
    <row r="131" spans="1:13" ht="14.25" customHeight="1" x14ac:dyDescent="0.25">
      <c r="A131" s="14">
        <v>8132</v>
      </c>
      <c r="B131" s="15" t="s">
        <v>139</v>
      </c>
      <c r="C131" s="15" t="s">
        <v>412</v>
      </c>
      <c r="D131" s="16" t="s">
        <v>350</v>
      </c>
      <c r="E131" s="15" t="s">
        <v>369</v>
      </c>
      <c r="F131" s="15" t="s">
        <v>389</v>
      </c>
      <c r="G131" s="15" t="s">
        <v>358</v>
      </c>
      <c r="H131" s="15" t="s">
        <v>353</v>
      </c>
      <c r="I131" s="15" t="s">
        <v>372</v>
      </c>
      <c r="J131" s="15" t="s">
        <v>373</v>
      </c>
      <c r="K131" s="15" t="s">
        <v>361</v>
      </c>
      <c r="L131" s="15" t="s">
        <v>363</v>
      </c>
      <c r="M131" s="15" t="s">
        <v>366</v>
      </c>
    </row>
    <row r="132" spans="1:13" ht="14.25" customHeight="1" x14ac:dyDescent="0.25">
      <c r="A132" s="14">
        <v>8133</v>
      </c>
      <c r="B132" s="15" t="s">
        <v>140</v>
      </c>
      <c r="C132" s="15" t="s">
        <v>412</v>
      </c>
      <c r="D132" s="16" t="s">
        <v>350</v>
      </c>
      <c r="E132" s="15" t="s">
        <v>369</v>
      </c>
      <c r="F132" s="15" t="s">
        <v>389</v>
      </c>
      <c r="G132" s="15" t="s">
        <v>358</v>
      </c>
      <c r="H132" s="15" t="s">
        <v>353</v>
      </c>
      <c r="I132" s="15" t="s">
        <v>372</v>
      </c>
      <c r="J132" s="15" t="s">
        <v>373</v>
      </c>
      <c r="K132" s="15" t="s">
        <v>394</v>
      </c>
      <c r="L132" s="15" t="s">
        <v>363</v>
      </c>
      <c r="M132" s="15" t="s">
        <v>366</v>
      </c>
    </row>
    <row r="133" spans="1:13" ht="14.25" customHeight="1" x14ac:dyDescent="0.25">
      <c r="A133" s="14">
        <v>8134</v>
      </c>
      <c r="B133" s="15" t="s">
        <v>141</v>
      </c>
      <c r="C133" s="15" t="s">
        <v>412</v>
      </c>
      <c r="D133" s="16" t="s">
        <v>368</v>
      </c>
      <c r="E133" s="15" t="s">
        <v>369</v>
      </c>
      <c r="F133" s="15" t="s">
        <v>389</v>
      </c>
      <c r="G133" s="15" t="s">
        <v>358</v>
      </c>
      <c r="H133" s="15" t="s">
        <v>355</v>
      </c>
      <c r="I133" s="15" t="s">
        <v>372</v>
      </c>
      <c r="J133" s="15" t="s">
        <v>359</v>
      </c>
      <c r="K133" s="15" t="s">
        <v>394</v>
      </c>
      <c r="L133" s="15" t="s">
        <v>363</v>
      </c>
      <c r="M133" s="15" t="s">
        <v>366</v>
      </c>
    </row>
    <row r="134" spans="1:13" ht="14.25" customHeight="1" x14ac:dyDescent="0.25">
      <c r="A134" s="14">
        <v>8135</v>
      </c>
      <c r="B134" s="15" t="s">
        <v>142</v>
      </c>
      <c r="C134" s="15" t="s">
        <v>412</v>
      </c>
      <c r="D134" s="16" t="s">
        <v>350</v>
      </c>
      <c r="E134" s="15" t="s">
        <v>369</v>
      </c>
      <c r="F134" s="15" t="s">
        <v>389</v>
      </c>
      <c r="G134" s="15" t="s">
        <v>357</v>
      </c>
      <c r="H134" s="15" t="s">
        <v>352</v>
      </c>
      <c r="I134" s="15" t="s">
        <v>372</v>
      </c>
      <c r="J134" s="15" t="s">
        <v>373</v>
      </c>
      <c r="K134" s="15" t="s">
        <v>361</v>
      </c>
      <c r="L134" s="15" t="s">
        <v>363</v>
      </c>
      <c r="M134" s="15" t="s">
        <v>366</v>
      </c>
    </row>
    <row r="135" spans="1:13" ht="14.25" customHeight="1" x14ac:dyDescent="0.25">
      <c r="A135" s="14">
        <v>8136</v>
      </c>
      <c r="B135" s="15" t="s">
        <v>143</v>
      </c>
      <c r="C135" s="15" t="s">
        <v>412</v>
      </c>
      <c r="D135" s="16" t="s">
        <v>368</v>
      </c>
      <c r="E135" s="15" t="s">
        <v>369</v>
      </c>
      <c r="F135" s="15" t="s">
        <v>389</v>
      </c>
      <c r="G135" s="15" t="s">
        <v>357</v>
      </c>
      <c r="H135" s="15" t="s">
        <v>352</v>
      </c>
      <c r="I135" s="15" t="s">
        <v>382</v>
      </c>
      <c r="J135" s="15" t="s">
        <v>373</v>
      </c>
      <c r="K135" s="15" t="s">
        <v>361</v>
      </c>
      <c r="L135" s="15" t="s">
        <v>363</v>
      </c>
      <c r="M135" s="15" t="s">
        <v>366</v>
      </c>
    </row>
    <row r="136" spans="1:13" ht="14.25" customHeight="1" x14ac:dyDescent="0.25">
      <c r="A136" s="14">
        <v>8137</v>
      </c>
      <c r="B136" s="15" t="s">
        <v>144</v>
      </c>
      <c r="C136" s="15" t="s">
        <v>412</v>
      </c>
      <c r="D136" s="16" t="s">
        <v>350</v>
      </c>
      <c r="E136" s="15" t="s">
        <v>369</v>
      </c>
      <c r="F136" s="15" t="s">
        <v>389</v>
      </c>
      <c r="G136" s="15" t="s">
        <v>358</v>
      </c>
      <c r="H136" s="15" t="s">
        <v>353</v>
      </c>
      <c r="I136" s="15" t="s">
        <v>372</v>
      </c>
      <c r="J136" s="15" t="s">
        <v>373</v>
      </c>
      <c r="K136" s="15" t="s">
        <v>361</v>
      </c>
      <c r="L136" s="15" t="s">
        <v>363</v>
      </c>
      <c r="M136" s="15" t="s">
        <v>366</v>
      </c>
    </row>
    <row r="137" spans="1:13" ht="14.25" customHeight="1" x14ac:dyDescent="0.25">
      <c r="A137" s="14">
        <v>8138</v>
      </c>
      <c r="B137" s="15" t="s">
        <v>145</v>
      </c>
      <c r="C137" s="15" t="s">
        <v>412</v>
      </c>
      <c r="D137" s="16" t="s">
        <v>368</v>
      </c>
      <c r="E137" s="15" t="s">
        <v>369</v>
      </c>
      <c r="F137" s="15" t="s">
        <v>389</v>
      </c>
      <c r="G137" s="15" t="s">
        <v>358</v>
      </c>
      <c r="H137" s="15" t="s">
        <v>353</v>
      </c>
      <c r="I137" s="15" t="s">
        <v>372</v>
      </c>
      <c r="J137" s="15" t="s">
        <v>373</v>
      </c>
      <c r="K137" s="15" t="s">
        <v>394</v>
      </c>
      <c r="L137" s="15" t="s">
        <v>363</v>
      </c>
      <c r="M137" s="15" t="s">
        <v>366</v>
      </c>
    </row>
    <row r="138" spans="1:13" ht="14.25" customHeight="1" x14ac:dyDescent="0.25">
      <c r="A138" s="14">
        <v>8139</v>
      </c>
      <c r="B138" s="15" t="s">
        <v>146</v>
      </c>
      <c r="C138" s="15" t="s">
        <v>413</v>
      </c>
      <c r="D138" s="16" t="s">
        <v>368</v>
      </c>
      <c r="E138" s="15" t="s">
        <v>374</v>
      </c>
      <c r="F138" s="15" t="s">
        <v>381</v>
      </c>
      <c r="G138" s="15" t="s">
        <v>371</v>
      </c>
      <c r="H138" s="15" t="s">
        <v>353</v>
      </c>
      <c r="I138" s="15" t="s">
        <v>372</v>
      </c>
      <c r="J138" s="15" t="s">
        <v>373</v>
      </c>
      <c r="K138" s="15" t="s">
        <v>361</v>
      </c>
      <c r="L138" s="15" t="s">
        <v>363</v>
      </c>
      <c r="M138" s="15" t="s">
        <v>366</v>
      </c>
    </row>
    <row r="139" spans="1:13" ht="14.25" customHeight="1" x14ac:dyDescent="0.25">
      <c r="A139" s="14">
        <v>8140</v>
      </c>
      <c r="B139" s="13" t="s">
        <v>475</v>
      </c>
      <c r="C139" s="15" t="s">
        <v>414</v>
      </c>
      <c r="D139" s="16" t="s">
        <v>368</v>
      </c>
      <c r="E139" s="15" t="s">
        <v>374</v>
      </c>
      <c r="F139" s="15" t="s">
        <v>396</v>
      </c>
      <c r="G139" s="15" t="s">
        <v>358</v>
      </c>
      <c r="H139" s="15" t="s">
        <v>352</v>
      </c>
      <c r="I139" s="15" t="s">
        <v>372</v>
      </c>
      <c r="J139" s="15" t="s">
        <v>359</v>
      </c>
      <c r="K139" s="15" t="s">
        <v>361</v>
      </c>
      <c r="L139" s="15" t="s">
        <v>363</v>
      </c>
      <c r="M139" s="15" t="s">
        <v>365</v>
      </c>
    </row>
    <row r="140" spans="1:13" ht="14.25" customHeight="1" x14ac:dyDescent="0.25">
      <c r="A140" s="14">
        <v>8141</v>
      </c>
      <c r="B140" s="15" t="s">
        <v>147</v>
      </c>
      <c r="C140" s="15" t="s">
        <v>415</v>
      </c>
      <c r="D140" s="16" t="s">
        <v>368</v>
      </c>
      <c r="E140" s="15" t="s">
        <v>369</v>
      </c>
      <c r="F140" s="15" t="s">
        <v>375</v>
      </c>
      <c r="G140" s="15" t="s">
        <v>371</v>
      </c>
      <c r="H140" s="15" t="s">
        <v>351</v>
      </c>
      <c r="I140" s="15" t="s">
        <v>372</v>
      </c>
      <c r="J140" s="15" t="s">
        <v>359</v>
      </c>
      <c r="K140" s="15" t="s">
        <v>360</v>
      </c>
      <c r="L140" s="15" t="s">
        <v>363</v>
      </c>
      <c r="M140" s="15" t="s">
        <v>365</v>
      </c>
    </row>
    <row r="141" spans="1:13" ht="14.25" customHeight="1" x14ac:dyDescent="0.25">
      <c r="A141" s="14">
        <v>8142</v>
      </c>
      <c r="B141" s="13" t="s">
        <v>473</v>
      </c>
      <c r="C141" s="15" t="s">
        <v>415</v>
      </c>
      <c r="D141" s="16" t="s">
        <v>368</v>
      </c>
      <c r="E141" s="15" t="s">
        <v>369</v>
      </c>
      <c r="F141" s="15" t="s">
        <v>375</v>
      </c>
      <c r="G141" s="15" t="s">
        <v>357</v>
      </c>
      <c r="H141" s="15" t="s">
        <v>352</v>
      </c>
      <c r="I141" s="15" t="s">
        <v>372</v>
      </c>
      <c r="J141" s="15" t="s">
        <v>373</v>
      </c>
      <c r="K141" s="15" t="s">
        <v>360</v>
      </c>
      <c r="L141" s="15" t="s">
        <v>362</v>
      </c>
      <c r="M141" s="15" t="s">
        <v>365</v>
      </c>
    </row>
    <row r="142" spans="1:13" ht="14.25" customHeight="1" x14ac:dyDescent="0.25">
      <c r="A142" s="14">
        <v>8143</v>
      </c>
      <c r="B142" s="15" t="s">
        <v>148</v>
      </c>
      <c r="C142" s="15" t="s">
        <v>415</v>
      </c>
      <c r="D142" s="16" t="s">
        <v>368</v>
      </c>
      <c r="E142" s="15" t="s">
        <v>369</v>
      </c>
      <c r="F142" s="15" t="s">
        <v>375</v>
      </c>
      <c r="G142" s="15" t="s">
        <v>356</v>
      </c>
      <c r="H142" s="15" t="s">
        <v>353</v>
      </c>
      <c r="I142" s="15" t="s">
        <v>372</v>
      </c>
      <c r="J142" s="15" t="s">
        <v>373</v>
      </c>
      <c r="K142" s="15" t="s">
        <v>360</v>
      </c>
      <c r="L142" s="15" t="s">
        <v>362</v>
      </c>
      <c r="M142" s="15" t="s">
        <v>365</v>
      </c>
    </row>
    <row r="143" spans="1:13" ht="14.25" customHeight="1" x14ac:dyDescent="0.25">
      <c r="A143" s="14">
        <v>8144</v>
      </c>
      <c r="B143" s="15" t="s">
        <v>149</v>
      </c>
      <c r="C143" s="15" t="s">
        <v>416</v>
      </c>
      <c r="D143" s="16" t="s">
        <v>368</v>
      </c>
      <c r="E143" s="15" t="s">
        <v>374</v>
      </c>
      <c r="F143" s="15" t="s">
        <v>381</v>
      </c>
      <c r="G143" s="15" t="s">
        <v>357</v>
      </c>
      <c r="H143" s="15" t="s">
        <v>352</v>
      </c>
      <c r="I143" s="15" t="s">
        <v>372</v>
      </c>
      <c r="J143" s="15" t="s">
        <v>359</v>
      </c>
      <c r="K143" s="15" t="s">
        <v>361</v>
      </c>
      <c r="L143" s="15" t="s">
        <v>363</v>
      </c>
      <c r="M143" s="15" t="s">
        <v>365</v>
      </c>
    </row>
    <row r="144" spans="1:13" ht="14.25" customHeight="1" x14ac:dyDescent="0.25">
      <c r="A144" s="14">
        <v>8145</v>
      </c>
      <c r="B144" s="15" t="s">
        <v>150</v>
      </c>
      <c r="C144" s="15" t="s">
        <v>416</v>
      </c>
      <c r="D144" s="16" t="s">
        <v>368</v>
      </c>
      <c r="E144" s="15" t="s">
        <v>369</v>
      </c>
      <c r="F144" s="15" t="s">
        <v>381</v>
      </c>
      <c r="G144" s="15" t="s">
        <v>357</v>
      </c>
      <c r="H144" s="15" t="s">
        <v>352</v>
      </c>
      <c r="I144" s="15" t="s">
        <v>372</v>
      </c>
      <c r="J144" s="15" t="s">
        <v>359</v>
      </c>
      <c r="K144" s="15" t="s">
        <v>360</v>
      </c>
      <c r="L144" s="15" t="s">
        <v>363</v>
      </c>
      <c r="M144" s="15" t="s">
        <v>365</v>
      </c>
    </row>
    <row r="145" spans="1:13" ht="14.25" customHeight="1" x14ac:dyDescent="0.25">
      <c r="A145" s="14">
        <v>8146</v>
      </c>
      <c r="B145" s="15" t="s">
        <v>151</v>
      </c>
      <c r="C145" s="15" t="s">
        <v>416</v>
      </c>
      <c r="D145" s="16" t="s">
        <v>368</v>
      </c>
      <c r="E145" s="15" t="s">
        <v>369</v>
      </c>
      <c r="F145" s="15" t="s">
        <v>381</v>
      </c>
      <c r="G145" s="15" t="s">
        <v>357</v>
      </c>
      <c r="H145" s="15" t="s">
        <v>352</v>
      </c>
      <c r="I145" s="15" t="s">
        <v>372</v>
      </c>
      <c r="J145" s="15" t="s">
        <v>359</v>
      </c>
      <c r="K145" s="15" t="s">
        <v>360</v>
      </c>
      <c r="L145" s="15" t="s">
        <v>363</v>
      </c>
      <c r="M145" s="15" t="s">
        <v>365</v>
      </c>
    </row>
    <row r="146" spans="1:13" ht="14.25" customHeight="1" x14ac:dyDescent="0.25">
      <c r="A146" s="14">
        <v>8147</v>
      </c>
      <c r="B146" s="15" t="s">
        <v>152</v>
      </c>
      <c r="C146" s="15" t="s">
        <v>416</v>
      </c>
      <c r="D146" s="16" t="s">
        <v>368</v>
      </c>
      <c r="E146" s="15" t="s">
        <v>369</v>
      </c>
      <c r="F146" s="15" t="s">
        <v>389</v>
      </c>
      <c r="G146" s="15" t="s">
        <v>358</v>
      </c>
      <c r="H146" s="15" t="s">
        <v>353</v>
      </c>
      <c r="I146" s="15" t="s">
        <v>372</v>
      </c>
      <c r="J146" s="15" t="s">
        <v>359</v>
      </c>
      <c r="K146" s="15" t="s">
        <v>394</v>
      </c>
      <c r="L146" s="15" t="s">
        <v>363</v>
      </c>
      <c r="M146" s="15" t="s">
        <v>365</v>
      </c>
    </row>
    <row r="147" spans="1:13" ht="14.25" customHeight="1" x14ac:dyDescent="0.25">
      <c r="A147" s="14">
        <v>8148</v>
      </c>
      <c r="B147" s="15" t="s">
        <v>153</v>
      </c>
      <c r="C147" s="15" t="s">
        <v>416</v>
      </c>
      <c r="D147" s="16" t="s">
        <v>368</v>
      </c>
      <c r="E147" s="15" t="s">
        <v>369</v>
      </c>
      <c r="F147" s="15" t="s">
        <v>396</v>
      </c>
      <c r="G147" s="15" t="s">
        <v>358</v>
      </c>
      <c r="H147" s="15" t="s">
        <v>353</v>
      </c>
      <c r="I147" s="15" t="s">
        <v>372</v>
      </c>
      <c r="J147" s="15" t="s">
        <v>359</v>
      </c>
      <c r="K147" s="15" t="s">
        <v>360</v>
      </c>
      <c r="L147" s="15" t="s">
        <v>363</v>
      </c>
      <c r="M147" s="15" t="s">
        <v>365</v>
      </c>
    </row>
    <row r="148" spans="1:13" ht="14.25" customHeight="1" x14ac:dyDescent="0.25">
      <c r="A148" s="14">
        <v>8149</v>
      </c>
      <c r="B148" s="15" t="s">
        <v>154</v>
      </c>
      <c r="C148" s="15" t="s">
        <v>416</v>
      </c>
      <c r="D148" s="16" t="s">
        <v>368</v>
      </c>
      <c r="E148" s="15" t="s">
        <v>374</v>
      </c>
      <c r="F148" s="15" t="s">
        <v>396</v>
      </c>
      <c r="G148" s="15" t="s">
        <v>357</v>
      </c>
      <c r="H148" s="15" t="s">
        <v>353</v>
      </c>
      <c r="I148" s="15" t="s">
        <v>372</v>
      </c>
      <c r="J148" s="15" t="s">
        <v>359</v>
      </c>
      <c r="K148" s="15" t="s">
        <v>360</v>
      </c>
      <c r="L148" s="15" t="s">
        <v>363</v>
      </c>
      <c r="M148" s="15" t="s">
        <v>365</v>
      </c>
    </row>
    <row r="149" spans="1:13" ht="14.25" customHeight="1" x14ac:dyDescent="0.25">
      <c r="A149" s="14">
        <v>8150</v>
      </c>
      <c r="B149" s="15" t="s">
        <v>155</v>
      </c>
      <c r="C149" s="15" t="s">
        <v>416</v>
      </c>
      <c r="D149" s="16" t="s">
        <v>368</v>
      </c>
      <c r="E149" s="15" t="s">
        <v>374</v>
      </c>
      <c r="F149" s="15" t="s">
        <v>396</v>
      </c>
      <c r="G149" s="15" t="s">
        <v>357</v>
      </c>
      <c r="H149" s="15" t="s">
        <v>353</v>
      </c>
      <c r="I149" s="15" t="s">
        <v>372</v>
      </c>
      <c r="J149" s="15" t="s">
        <v>359</v>
      </c>
      <c r="K149" s="15" t="s">
        <v>360</v>
      </c>
      <c r="L149" s="15" t="s">
        <v>363</v>
      </c>
      <c r="M149" s="15" t="s">
        <v>365</v>
      </c>
    </row>
    <row r="150" spans="1:13" ht="14.25" customHeight="1" x14ac:dyDescent="0.25">
      <c r="A150" s="14">
        <v>8151</v>
      </c>
      <c r="B150" s="15" t="s">
        <v>156</v>
      </c>
      <c r="C150" s="15" t="s">
        <v>416</v>
      </c>
      <c r="D150" s="16" t="s">
        <v>368</v>
      </c>
      <c r="E150" s="15" t="s">
        <v>374</v>
      </c>
      <c r="F150" s="15" t="s">
        <v>381</v>
      </c>
      <c r="G150" s="15" t="s">
        <v>356</v>
      </c>
      <c r="H150" s="15" t="s">
        <v>352</v>
      </c>
      <c r="I150" s="15" t="s">
        <v>372</v>
      </c>
      <c r="J150" s="15" t="s">
        <v>359</v>
      </c>
      <c r="K150" s="15" t="s">
        <v>360</v>
      </c>
      <c r="L150" s="15" t="s">
        <v>362</v>
      </c>
      <c r="M150" s="15" t="s">
        <v>365</v>
      </c>
    </row>
    <row r="151" spans="1:13" ht="14.25" customHeight="1" x14ac:dyDescent="0.25">
      <c r="A151" s="14">
        <v>8152</v>
      </c>
      <c r="B151" s="15" t="s">
        <v>157</v>
      </c>
      <c r="C151" s="15" t="s">
        <v>416</v>
      </c>
      <c r="D151" s="16" t="s">
        <v>368</v>
      </c>
      <c r="E151" s="15" t="s">
        <v>374</v>
      </c>
      <c r="F151" s="15" t="s">
        <v>396</v>
      </c>
      <c r="G151" s="15" t="s">
        <v>356</v>
      </c>
      <c r="H151" s="15" t="s">
        <v>352</v>
      </c>
      <c r="I151" s="15" t="s">
        <v>372</v>
      </c>
      <c r="J151" s="15" t="s">
        <v>359</v>
      </c>
      <c r="K151" s="15" t="s">
        <v>360</v>
      </c>
      <c r="L151" s="15" t="s">
        <v>363</v>
      </c>
      <c r="M151" s="15" t="s">
        <v>365</v>
      </c>
    </row>
    <row r="152" spans="1:13" ht="14.25" customHeight="1" x14ac:dyDescent="0.25">
      <c r="A152" s="14">
        <v>8153</v>
      </c>
      <c r="B152" s="15" t="s">
        <v>158</v>
      </c>
      <c r="C152" s="15" t="s">
        <v>416</v>
      </c>
      <c r="D152" s="16" t="s">
        <v>368</v>
      </c>
      <c r="E152" s="15" t="s">
        <v>380</v>
      </c>
      <c r="F152" s="15" t="s">
        <v>396</v>
      </c>
      <c r="G152" s="15" t="s">
        <v>356</v>
      </c>
      <c r="H152" s="15" t="s">
        <v>354</v>
      </c>
      <c r="I152" s="15" t="s">
        <v>372</v>
      </c>
      <c r="J152" s="15" t="s">
        <v>359</v>
      </c>
      <c r="K152" s="15" t="s">
        <v>360</v>
      </c>
      <c r="L152" s="15" t="s">
        <v>363</v>
      </c>
      <c r="M152" s="15" t="s">
        <v>365</v>
      </c>
    </row>
    <row r="153" spans="1:13" ht="14.25" customHeight="1" x14ac:dyDescent="0.25">
      <c r="A153" s="14">
        <v>8154</v>
      </c>
      <c r="B153" s="15" t="s">
        <v>159</v>
      </c>
      <c r="C153" s="15" t="s">
        <v>416</v>
      </c>
      <c r="D153" s="16" t="s">
        <v>368</v>
      </c>
      <c r="E153" s="15" t="s">
        <v>374</v>
      </c>
      <c r="F153" s="15" t="s">
        <v>381</v>
      </c>
      <c r="G153" s="15" t="s">
        <v>356</v>
      </c>
      <c r="H153" s="15" t="s">
        <v>352</v>
      </c>
      <c r="I153" s="15" t="s">
        <v>382</v>
      </c>
      <c r="J153" s="15" t="s">
        <v>359</v>
      </c>
      <c r="K153" s="15" t="s">
        <v>360</v>
      </c>
      <c r="L153" s="15" t="s">
        <v>362</v>
      </c>
      <c r="M153" s="15" t="s">
        <v>365</v>
      </c>
    </row>
    <row r="154" spans="1:13" ht="14.25" customHeight="1" x14ac:dyDescent="0.25">
      <c r="A154" s="14">
        <v>8155</v>
      </c>
      <c r="B154" s="15" t="s">
        <v>160</v>
      </c>
      <c r="C154" s="15" t="s">
        <v>416</v>
      </c>
      <c r="D154" s="16" t="s">
        <v>368</v>
      </c>
      <c r="E154" s="15" t="s">
        <v>376</v>
      </c>
      <c r="F154" s="15" t="s">
        <v>381</v>
      </c>
      <c r="G154" s="15" t="s">
        <v>356</v>
      </c>
      <c r="H154" s="15" t="s">
        <v>352</v>
      </c>
      <c r="I154" s="15" t="s">
        <v>382</v>
      </c>
      <c r="J154" s="15" t="s">
        <v>373</v>
      </c>
      <c r="K154" s="15" t="s">
        <v>360</v>
      </c>
      <c r="L154" s="15" t="s">
        <v>362</v>
      </c>
      <c r="M154" s="15" t="s">
        <v>365</v>
      </c>
    </row>
    <row r="155" spans="1:13" ht="14.25" customHeight="1" x14ac:dyDescent="0.25">
      <c r="A155" s="14">
        <v>8156</v>
      </c>
      <c r="B155" s="15" t="s">
        <v>161</v>
      </c>
      <c r="C155" s="15" t="s">
        <v>416</v>
      </c>
      <c r="D155" s="16" t="s">
        <v>368</v>
      </c>
      <c r="E155" s="15" t="s">
        <v>369</v>
      </c>
      <c r="F155" s="15" t="s">
        <v>389</v>
      </c>
      <c r="G155" s="15" t="s">
        <v>358</v>
      </c>
      <c r="H155" s="15" t="s">
        <v>353</v>
      </c>
      <c r="I155" s="15" t="s">
        <v>372</v>
      </c>
      <c r="J155" s="15" t="s">
        <v>373</v>
      </c>
      <c r="K155" s="15" t="s">
        <v>394</v>
      </c>
      <c r="L155" s="15" t="s">
        <v>363</v>
      </c>
      <c r="M155" s="15" t="s">
        <v>365</v>
      </c>
    </row>
    <row r="156" spans="1:13" ht="14.25" customHeight="1" x14ac:dyDescent="0.25">
      <c r="A156" s="14">
        <v>8157</v>
      </c>
      <c r="B156" s="15" t="s">
        <v>162</v>
      </c>
      <c r="C156" s="15" t="s">
        <v>416</v>
      </c>
      <c r="D156" s="16" t="s">
        <v>368</v>
      </c>
      <c r="E156" s="15" t="s">
        <v>369</v>
      </c>
      <c r="F156" s="15" t="s">
        <v>381</v>
      </c>
      <c r="G156" s="15" t="s">
        <v>356</v>
      </c>
      <c r="H156" s="15" t="s">
        <v>354</v>
      </c>
      <c r="I156" s="15" t="s">
        <v>382</v>
      </c>
      <c r="J156" s="15" t="s">
        <v>373</v>
      </c>
      <c r="K156" s="15" t="s">
        <v>360</v>
      </c>
      <c r="L156" s="15" t="s">
        <v>362</v>
      </c>
      <c r="M156" s="15" t="s">
        <v>365</v>
      </c>
    </row>
    <row r="157" spans="1:13" ht="14.25" customHeight="1" x14ac:dyDescent="0.25">
      <c r="A157" s="14">
        <v>8158</v>
      </c>
      <c r="B157" s="15" t="s">
        <v>163</v>
      </c>
      <c r="C157" s="15" t="s">
        <v>417</v>
      </c>
      <c r="D157" s="16" t="s">
        <v>368</v>
      </c>
      <c r="E157" s="15" t="s">
        <v>376</v>
      </c>
      <c r="F157" s="15" t="s">
        <v>370</v>
      </c>
      <c r="G157" s="15" t="s">
        <v>356</v>
      </c>
      <c r="H157" s="15" t="s">
        <v>354</v>
      </c>
      <c r="I157" s="15" t="s">
        <v>372</v>
      </c>
      <c r="J157" s="15" t="s">
        <v>373</v>
      </c>
      <c r="K157" s="15" t="s">
        <v>360</v>
      </c>
      <c r="L157" s="15" t="s">
        <v>363</v>
      </c>
      <c r="M157" s="15" t="s">
        <v>364</v>
      </c>
    </row>
    <row r="158" spans="1:13" ht="14.25" customHeight="1" x14ac:dyDescent="0.25">
      <c r="A158" s="14">
        <v>8159</v>
      </c>
      <c r="B158" s="15" t="s">
        <v>164</v>
      </c>
      <c r="C158" s="15" t="s">
        <v>417</v>
      </c>
      <c r="D158" s="16" t="s">
        <v>368</v>
      </c>
      <c r="E158" s="15" t="s">
        <v>376</v>
      </c>
      <c r="F158" s="15" t="s">
        <v>370</v>
      </c>
      <c r="G158" s="15" t="s">
        <v>356</v>
      </c>
      <c r="H158" s="15" t="s">
        <v>354</v>
      </c>
      <c r="I158" s="15" t="s">
        <v>372</v>
      </c>
      <c r="J158" s="15" t="s">
        <v>373</v>
      </c>
      <c r="K158" s="15" t="s">
        <v>360</v>
      </c>
      <c r="L158" s="15" t="s">
        <v>363</v>
      </c>
      <c r="M158" s="15" t="s">
        <v>364</v>
      </c>
    </row>
    <row r="159" spans="1:13" ht="14.25" customHeight="1" x14ac:dyDescent="0.25">
      <c r="A159" s="14">
        <v>8160</v>
      </c>
      <c r="B159" s="15" t="s">
        <v>165</v>
      </c>
      <c r="C159" s="15" t="s">
        <v>417</v>
      </c>
      <c r="D159" s="16" t="s">
        <v>368</v>
      </c>
      <c r="E159" s="15" t="s">
        <v>376</v>
      </c>
      <c r="F159" s="15" t="s">
        <v>370</v>
      </c>
      <c r="G159" s="15" t="s">
        <v>356</v>
      </c>
      <c r="H159" s="15" t="s">
        <v>354</v>
      </c>
      <c r="I159" s="15" t="s">
        <v>382</v>
      </c>
      <c r="J159" s="15" t="s">
        <v>373</v>
      </c>
      <c r="K159" s="15" t="s">
        <v>360</v>
      </c>
      <c r="L159" s="15" t="s">
        <v>363</v>
      </c>
      <c r="M159" s="15" t="s">
        <v>364</v>
      </c>
    </row>
    <row r="160" spans="1:13" ht="14.25" customHeight="1" x14ac:dyDescent="0.25">
      <c r="A160" s="14">
        <v>8161</v>
      </c>
      <c r="B160" s="15" t="s">
        <v>166</v>
      </c>
      <c r="C160" s="15" t="s">
        <v>418</v>
      </c>
      <c r="D160" s="16" t="s">
        <v>368</v>
      </c>
      <c r="E160" s="15" t="s">
        <v>392</v>
      </c>
      <c r="F160" s="15" t="s">
        <v>386</v>
      </c>
      <c r="G160" s="15" t="s">
        <v>356</v>
      </c>
      <c r="H160" s="15" t="s">
        <v>352</v>
      </c>
      <c r="I160" s="15" t="s">
        <v>372</v>
      </c>
      <c r="J160" s="15" t="s">
        <v>359</v>
      </c>
      <c r="K160" s="16" t="s">
        <v>360</v>
      </c>
      <c r="L160" s="15" t="s">
        <v>363</v>
      </c>
      <c r="M160" s="15" t="s">
        <v>364</v>
      </c>
    </row>
    <row r="161" spans="1:16" ht="14.25" customHeight="1" x14ac:dyDescent="0.25">
      <c r="A161" s="14">
        <v>8162</v>
      </c>
      <c r="B161" s="15" t="s">
        <v>167</v>
      </c>
      <c r="C161" s="15" t="s">
        <v>418</v>
      </c>
      <c r="D161" s="16" t="s">
        <v>368</v>
      </c>
      <c r="E161" s="15" t="s">
        <v>392</v>
      </c>
      <c r="F161" s="15" t="s">
        <v>386</v>
      </c>
      <c r="G161" s="15" t="s">
        <v>356</v>
      </c>
      <c r="H161" s="15" t="s">
        <v>352</v>
      </c>
      <c r="I161" s="15" t="s">
        <v>372</v>
      </c>
      <c r="J161" s="15" t="s">
        <v>359</v>
      </c>
      <c r="K161" s="16" t="s">
        <v>360</v>
      </c>
      <c r="L161" s="15" t="s">
        <v>363</v>
      </c>
      <c r="M161" s="15" t="s">
        <v>364</v>
      </c>
    </row>
    <row r="162" spans="1:16" ht="14.25" customHeight="1" x14ac:dyDescent="0.25">
      <c r="A162" s="17">
        <v>8163</v>
      </c>
      <c r="B162" s="16" t="s">
        <v>168</v>
      </c>
      <c r="C162" s="16" t="s">
        <v>419</v>
      </c>
      <c r="D162" s="16" t="s">
        <v>368</v>
      </c>
      <c r="E162" s="20" t="s">
        <v>374</v>
      </c>
      <c r="F162" s="16" t="s">
        <v>377</v>
      </c>
      <c r="G162" s="16" t="s">
        <v>357</v>
      </c>
      <c r="H162" s="16" t="s">
        <v>352</v>
      </c>
      <c r="I162" s="16" t="s">
        <v>372</v>
      </c>
      <c r="J162" s="16" t="s">
        <v>359</v>
      </c>
      <c r="K162" s="16" t="s">
        <v>361</v>
      </c>
      <c r="L162" s="16" t="s">
        <v>363</v>
      </c>
      <c r="M162" s="16" t="s">
        <v>365</v>
      </c>
      <c r="N162" s="16"/>
      <c r="O162" s="16"/>
      <c r="P162" s="16"/>
    </row>
    <row r="163" spans="1:16" ht="14.25" customHeight="1" x14ac:dyDescent="0.25">
      <c r="A163" s="14">
        <v>8164</v>
      </c>
      <c r="B163" s="15" t="s">
        <v>169</v>
      </c>
      <c r="C163" s="15" t="s">
        <v>419</v>
      </c>
      <c r="D163" s="16" t="s">
        <v>368</v>
      </c>
      <c r="E163" s="15" t="s">
        <v>374</v>
      </c>
      <c r="F163" s="15" t="s">
        <v>377</v>
      </c>
      <c r="G163" s="15" t="s">
        <v>357</v>
      </c>
      <c r="H163" s="15" t="s">
        <v>352</v>
      </c>
      <c r="I163" s="15" t="s">
        <v>372</v>
      </c>
      <c r="J163" s="15" t="s">
        <v>359</v>
      </c>
      <c r="K163" s="15" t="s">
        <v>361</v>
      </c>
      <c r="L163" s="15" t="s">
        <v>363</v>
      </c>
      <c r="M163" s="15" t="s">
        <v>365</v>
      </c>
    </row>
    <row r="164" spans="1:16" ht="14.25" customHeight="1" x14ac:dyDescent="0.25">
      <c r="A164" s="14">
        <v>8165</v>
      </c>
      <c r="B164" s="15" t="s">
        <v>170</v>
      </c>
      <c r="C164" s="15" t="s">
        <v>419</v>
      </c>
      <c r="D164" s="16" t="s">
        <v>368</v>
      </c>
      <c r="E164" s="15" t="s">
        <v>374</v>
      </c>
      <c r="F164" s="15" t="s">
        <v>377</v>
      </c>
      <c r="G164" s="15" t="s">
        <v>358</v>
      </c>
      <c r="H164" s="15" t="s">
        <v>353</v>
      </c>
      <c r="I164" s="15" t="s">
        <v>372</v>
      </c>
      <c r="J164" s="15" t="s">
        <v>359</v>
      </c>
      <c r="K164" s="15" t="s">
        <v>361</v>
      </c>
      <c r="L164" s="15" t="s">
        <v>363</v>
      </c>
      <c r="M164" s="15" t="s">
        <v>365</v>
      </c>
    </row>
    <row r="165" spans="1:16" ht="14.25" customHeight="1" x14ac:dyDescent="0.25">
      <c r="A165" s="14">
        <v>8166</v>
      </c>
      <c r="B165" s="15" t="s">
        <v>171</v>
      </c>
      <c r="C165" s="15" t="s">
        <v>420</v>
      </c>
      <c r="D165" s="16" t="s">
        <v>368</v>
      </c>
      <c r="E165" s="15" t="s">
        <v>374</v>
      </c>
      <c r="F165" s="15" t="s">
        <v>370</v>
      </c>
      <c r="G165" s="15" t="s">
        <v>358</v>
      </c>
      <c r="H165" s="15" t="s">
        <v>353</v>
      </c>
      <c r="I165" s="15" t="s">
        <v>382</v>
      </c>
      <c r="J165" s="15" t="s">
        <v>373</v>
      </c>
      <c r="K165" s="15" t="s">
        <v>361</v>
      </c>
      <c r="L165" s="15" t="s">
        <v>363</v>
      </c>
      <c r="M165" s="15" t="s">
        <v>365</v>
      </c>
    </row>
    <row r="166" spans="1:16" ht="14.25" customHeight="1" x14ac:dyDescent="0.25">
      <c r="A166" s="14">
        <v>8167</v>
      </c>
      <c r="B166" s="15" t="s">
        <v>172</v>
      </c>
      <c r="C166" s="15" t="s">
        <v>421</v>
      </c>
      <c r="D166" s="16" t="s">
        <v>368</v>
      </c>
      <c r="E166" s="15" t="s">
        <v>369</v>
      </c>
      <c r="F166" s="15" t="s">
        <v>389</v>
      </c>
      <c r="G166" s="15" t="s">
        <v>357</v>
      </c>
      <c r="H166" s="15" t="s">
        <v>352</v>
      </c>
      <c r="I166" s="15" t="s">
        <v>372</v>
      </c>
      <c r="J166" s="15" t="s">
        <v>373</v>
      </c>
      <c r="K166" s="15" t="s">
        <v>361</v>
      </c>
      <c r="L166" s="15" t="s">
        <v>363</v>
      </c>
      <c r="M166" s="15" t="s">
        <v>366</v>
      </c>
    </row>
    <row r="167" spans="1:16" ht="14.25" customHeight="1" x14ac:dyDescent="0.25">
      <c r="A167" s="14">
        <v>8168</v>
      </c>
      <c r="B167" s="15" t="s">
        <v>173</v>
      </c>
      <c r="C167" s="15" t="s">
        <v>421</v>
      </c>
      <c r="D167" s="16" t="s">
        <v>350</v>
      </c>
      <c r="E167" s="15" t="s">
        <v>369</v>
      </c>
      <c r="F167" s="15" t="s">
        <v>389</v>
      </c>
      <c r="G167" s="15" t="s">
        <v>358</v>
      </c>
      <c r="H167" s="15" t="s">
        <v>353</v>
      </c>
      <c r="I167" s="15" t="s">
        <v>372</v>
      </c>
      <c r="J167" s="15" t="s">
        <v>373</v>
      </c>
      <c r="K167" s="15" t="s">
        <v>361</v>
      </c>
      <c r="L167" s="15" t="s">
        <v>363</v>
      </c>
      <c r="M167" s="15" t="s">
        <v>366</v>
      </c>
    </row>
    <row r="168" spans="1:16" ht="14.25" customHeight="1" x14ac:dyDescent="0.25">
      <c r="A168" s="14">
        <v>8169</v>
      </c>
      <c r="B168" s="15" t="s">
        <v>174</v>
      </c>
      <c r="C168" s="15" t="s">
        <v>421</v>
      </c>
      <c r="D168" s="16" t="s">
        <v>368</v>
      </c>
      <c r="E168" s="15" t="s">
        <v>369</v>
      </c>
      <c r="F168" s="15" t="s">
        <v>389</v>
      </c>
      <c r="G168" s="15" t="s">
        <v>371</v>
      </c>
      <c r="H168" s="15" t="s">
        <v>353</v>
      </c>
      <c r="I168" s="15" t="s">
        <v>372</v>
      </c>
      <c r="J168" s="15" t="s">
        <v>373</v>
      </c>
      <c r="K168" s="15" t="s">
        <v>361</v>
      </c>
      <c r="L168" s="15" t="s">
        <v>363</v>
      </c>
      <c r="M168" s="15" t="s">
        <v>366</v>
      </c>
    </row>
    <row r="169" spans="1:16" ht="14.25" customHeight="1" x14ac:dyDescent="0.25">
      <c r="A169" s="14">
        <v>8170</v>
      </c>
      <c r="B169" s="15" t="s">
        <v>175</v>
      </c>
      <c r="C169" s="15" t="s">
        <v>421</v>
      </c>
      <c r="D169" s="16" t="s">
        <v>350</v>
      </c>
      <c r="E169" s="15" t="s">
        <v>369</v>
      </c>
      <c r="F169" s="15" t="s">
        <v>389</v>
      </c>
      <c r="G169" s="15" t="s">
        <v>358</v>
      </c>
      <c r="H169" s="15" t="s">
        <v>353</v>
      </c>
      <c r="I169" s="15" t="s">
        <v>372</v>
      </c>
      <c r="J169" s="15" t="s">
        <v>373</v>
      </c>
      <c r="K169" s="15" t="s">
        <v>394</v>
      </c>
      <c r="L169" s="15" t="s">
        <v>363</v>
      </c>
      <c r="M169" s="15" t="s">
        <v>366</v>
      </c>
    </row>
    <row r="170" spans="1:16" ht="14.25" customHeight="1" x14ac:dyDescent="0.25">
      <c r="A170" s="14">
        <v>8171</v>
      </c>
      <c r="B170" s="15" t="s">
        <v>176</v>
      </c>
      <c r="C170" s="15" t="s">
        <v>421</v>
      </c>
      <c r="D170" s="16" t="s">
        <v>368</v>
      </c>
      <c r="E170" s="15" t="s">
        <v>369</v>
      </c>
      <c r="F170" s="15" t="s">
        <v>389</v>
      </c>
      <c r="G170" s="15" t="s">
        <v>358</v>
      </c>
      <c r="H170" s="15" t="s">
        <v>353</v>
      </c>
      <c r="I170" s="15" t="s">
        <v>372</v>
      </c>
      <c r="J170" s="15" t="s">
        <v>373</v>
      </c>
      <c r="K170" s="15" t="s">
        <v>361</v>
      </c>
      <c r="L170" s="15" t="s">
        <v>363</v>
      </c>
      <c r="M170" s="15" t="s">
        <v>366</v>
      </c>
    </row>
    <row r="171" spans="1:16" ht="14.25" customHeight="1" x14ac:dyDescent="0.25">
      <c r="A171" s="14">
        <v>8172</v>
      </c>
      <c r="B171" s="15" t="s">
        <v>177</v>
      </c>
      <c r="C171" s="15" t="s">
        <v>421</v>
      </c>
      <c r="D171" s="16" t="s">
        <v>368</v>
      </c>
      <c r="E171" s="15" t="s">
        <v>369</v>
      </c>
      <c r="F171" s="15" t="s">
        <v>389</v>
      </c>
      <c r="G171" s="15" t="s">
        <v>357</v>
      </c>
      <c r="H171" s="15" t="s">
        <v>351</v>
      </c>
      <c r="I171" s="15" t="s">
        <v>372</v>
      </c>
      <c r="J171" s="15" t="s">
        <v>373</v>
      </c>
      <c r="K171" s="15" t="s">
        <v>360</v>
      </c>
      <c r="L171" s="15" t="s">
        <v>363</v>
      </c>
      <c r="M171" s="15" t="s">
        <v>366</v>
      </c>
    </row>
    <row r="172" spans="1:16" ht="14.25" customHeight="1" x14ac:dyDescent="0.25">
      <c r="A172" s="14">
        <v>8173</v>
      </c>
      <c r="B172" s="15" t="s">
        <v>178</v>
      </c>
      <c r="C172" s="15" t="s">
        <v>421</v>
      </c>
      <c r="D172" s="16" t="s">
        <v>350</v>
      </c>
      <c r="E172" s="15" t="s">
        <v>369</v>
      </c>
      <c r="F172" s="15" t="s">
        <v>389</v>
      </c>
      <c r="G172" s="15" t="s">
        <v>357</v>
      </c>
      <c r="H172" s="15" t="s">
        <v>352</v>
      </c>
      <c r="I172" s="15" t="s">
        <v>372</v>
      </c>
      <c r="J172" s="15" t="s">
        <v>373</v>
      </c>
      <c r="K172" s="15" t="s">
        <v>394</v>
      </c>
      <c r="L172" s="15" t="s">
        <v>363</v>
      </c>
      <c r="M172" s="15" t="s">
        <v>366</v>
      </c>
    </row>
    <row r="173" spans="1:16" ht="14.25" customHeight="1" x14ac:dyDescent="0.25">
      <c r="A173" s="14">
        <v>8174</v>
      </c>
      <c r="B173" s="15" t="s">
        <v>179</v>
      </c>
      <c r="C173" s="15" t="s">
        <v>421</v>
      </c>
      <c r="D173" s="16" t="s">
        <v>368</v>
      </c>
      <c r="E173" s="15" t="s">
        <v>369</v>
      </c>
      <c r="F173" s="15" t="s">
        <v>389</v>
      </c>
      <c r="G173" s="15" t="s">
        <v>371</v>
      </c>
      <c r="H173" s="15" t="s">
        <v>353</v>
      </c>
      <c r="I173" s="15" t="s">
        <v>372</v>
      </c>
      <c r="J173" s="15" t="s">
        <v>373</v>
      </c>
      <c r="K173" s="15" t="s">
        <v>361</v>
      </c>
      <c r="L173" s="15" t="s">
        <v>363</v>
      </c>
      <c r="M173" s="15" t="s">
        <v>366</v>
      </c>
    </row>
    <row r="174" spans="1:16" ht="14.25" customHeight="1" x14ac:dyDescent="0.25">
      <c r="A174" s="14">
        <v>8175</v>
      </c>
      <c r="B174" s="15" t="s">
        <v>180</v>
      </c>
      <c r="C174" s="15" t="s">
        <v>421</v>
      </c>
      <c r="D174" s="16" t="s">
        <v>350</v>
      </c>
      <c r="E174" s="15" t="s">
        <v>369</v>
      </c>
      <c r="F174" s="15" t="s">
        <v>389</v>
      </c>
      <c r="G174" s="15" t="s">
        <v>358</v>
      </c>
      <c r="H174" s="15" t="s">
        <v>353</v>
      </c>
      <c r="I174" s="15" t="s">
        <v>372</v>
      </c>
      <c r="J174" s="15" t="s">
        <v>373</v>
      </c>
      <c r="K174" s="15" t="s">
        <v>361</v>
      </c>
      <c r="L174" s="15" t="s">
        <v>363</v>
      </c>
      <c r="M174" s="15" t="s">
        <v>366</v>
      </c>
    </row>
    <row r="175" spans="1:16" ht="14.25" customHeight="1" x14ac:dyDescent="0.25">
      <c r="A175" s="14">
        <v>8176</v>
      </c>
      <c r="B175" s="15" t="s">
        <v>181</v>
      </c>
      <c r="C175" s="15" t="s">
        <v>421</v>
      </c>
      <c r="D175" s="16" t="s">
        <v>350</v>
      </c>
      <c r="E175" s="15" t="s">
        <v>369</v>
      </c>
      <c r="F175" s="15" t="s">
        <v>389</v>
      </c>
      <c r="G175" s="15" t="s">
        <v>358</v>
      </c>
      <c r="H175" s="15" t="s">
        <v>353</v>
      </c>
      <c r="I175" s="15" t="s">
        <v>372</v>
      </c>
      <c r="J175" s="15" t="s">
        <v>373</v>
      </c>
      <c r="K175" s="15" t="s">
        <v>361</v>
      </c>
      <c r="L175" s="15" t="s">
        <v>363</v>
      </c>
      <c r="M175" s="15" t="s">
        <v>366</v>
      </c>
    </row>
    <row r="176" spans="1:16" ht="14.25" customHeight="1" x14ac:dyDescent="0.25">
      <c r="A176" s="14">
        <v>8177</v>
      </c>
      <c r="B176" s="15" t="s">
        <v>182</v>
      </c>
      <c r="C176" s="15" t="s">
        <v>421</v>
      </c>
      <c r="D176" s="16" t="s">
        <v>368</v>
      </c>
      <c r="E176" s="15" t="s">
        <v>369</v>
      </c>
      <c r="F176" s="15" t="s">
        <v>389</v>
      </c>
      <c r="G176" s="15" t="s">
        <v>358</v>
      </c>
      <c r="H176" s="15" t="s">
        <v>353</v>
      </c>
      <c r="I176" s="15" t="s">
        <v>372</v>
      </c>
      <c r="J176" s="15" t="s">
        <v>373</v>
      </c>
      <c r="K176" s="15" t="s">
        <v>394</v>
      </c>
      <c r="L176" s="15" t="s">
        <v>363</v>
      </c>
      <c r="M176" s="15" t="s">
        <v>366</v>
      </c>
    </row>
    <row r="177" spans="1:13" ht="14.25" customHeight="1" x14ac:dyDescent="0.25">
      <c r="A177" s="14">
        <v>8178</v>
      </c>
      <c r="B177" s="15" t="s">
        <v>183</v>
      </c>
      <c r="C177" s="15" t="s">
        <v>421</v>
      </c>
      <c r="D177" s="16" t="s">
        <v>368</v>
      </c>
      <c r="E177" s="15" t="s">
        <v>369</v>
      </c>
      <c r="F177" s="15" t="s">
        <v>389</v>
      </c>
      <c r="G177" s="15" t="s">
        <v>358</v>
      </c>
      <c r="H177" s="15" t="s">
        <v>353</v>
      </c>
      <c r="I177" s="15" t="s">
        <v>382</v>
      </c>
      <c r="J177" s="15" t="s">
        <v>373</v>
      </c>
      <c r="K177" s="15" t="s">
        <v>394</v>
      </c>
      <c r="L177" s="15" t="s">
        <v>363</v>
      </c>
      <c r="M177" s="15" t="s">
        <v>366</v>
      </c>
    </row>
    <row r="178" spans="1:13" ht="14.25" customHeight="1" x14ac:dyDescent="0.25">
      <c r="A178" s="14">
        <v>8179</v>
      </c>
      <c r="B178" s="15" t="s">
        <v>184</v>
      </c>
      <c r="C178" s="15" t="s">
        <v>421</v>
      </c>
      <c r="D178" s="16" t="s">
        <v>350</v>
      </c>
      <c r="E178" s="15" t="s">
        <v>369</v>
      </c>
      <c r="F178" s="15" t="s">
        <v>389</v>
      </c>
      <c r="G178" s="15" t="s">
        <v>358</v>
      </c>
      <c r="H178" s="15" t="s">
        <v>353</v>
      </c>
      <c r="I178" s="15" t="s">
        <v>372</v>
      </c>
      <c r="J178" s="15" t="s">
        <v>373</v>
      </c>
      <c r="K178" s="15" t="s">
        <v>361</v>
      </c>
      <c r="L178" s="15" t="s">
        <v>363</v>
      </c>
      <c r="M178" s="15" t="s">
        <v>366</v>
      </c>
    </row>
    <row r="179" spans="1:13" ht="14.25" customHeight="1" x14ac:dyDescent="0.25">
      <c r="A179" s="14">
        <v>8180</v>
      </c>
      <c r="B179" s="15" t="s">
        <v>185</v>
      </c>
      <c r="C179" s="15" t="s">
        <v>421</v>
      </c>
      <c r="D179" s="16" t="s">
        <v>350</v>
      </c>
      <c r="E179" s="15" t="s">
        <v>369</v>
      </c>
      <c r="F179" s="15" t="s">
        <v>389</v>
      </c>
      <c r="G179" s="15" t="s">
        <v>358</v>
      </c>
      <c r="H179" s="15" t="s">
        <v>353</v>
      </c>
      <c r="I179" s="15" t="s">
        <v>372</v>
      </c>
      <c r="J179" s="15" t="s">
        <v>373</v>
      </c>
      <c r="K179" s="15" t="s">
        <v>361</v>
      </c>
      <c r="L179" s="15" t="s">
        <v>363</v>
      </c>
      <c r="M179" s="15" t="s">
        <v>366</v>
      </c>
    </row>
    <row r="180" spans="1:13" ht="14.25" customHeight="1" x14ac:dyDescent="0.25">
      <c r="A180" s="14">
        <v>8181</v>
      </c>
      <c r="B180" s="15" t="s">
        <v>186</v>
      </c>
      <c r="C180" s="15" t="s">
        <v>421</v>
      </c>
      <c r="D180" s="16" t="s">
        <v>350</v>
      </c>
      <c r="E180" s="15" t="s">
        <v>369</v>
      </c>
      <c r="F180" s="15" t="s">
        <v>389</v>
      </c>
      <c r="G180" s="15" t="s">
        <v>358</v>
      </c>
      <c r="H180" s="15" t="s">
        <v>353</v>
      </c>
      <c r="I180" s="15" t="s">
        <v>372</v>
      </c>
      <c r="J180" s="15" t="s">
        <v>373</v>
      </c>
      <c r="K180" s="15" t="s">
        <v>361</v>
      </c>
      <c r="L180" s="15" t="s">
        <v>363</v>
      </c>
      <c r="M180" s="15" t="s">
        <v>366</v>
      </c>
    </row>
    <row r="181" spans="1:13" ht="14.25" customHeight="1" x14ac:dyDescent="0.25">
      <c r="A181" s="14">
        <v>8182</v>
      </c>
      <c r="B181" s="15" t="s">
        <v>187</v>
      </c>
      <c r="C181" s="15" t="s">
        <v>421</v>
      </c>
      <c r="D181" s="16" t="s">
        <v>350</v>
      </c>
      <c r="E181" s="15" t="s">
        <v>369</v>
      </c>
      <c r="F181" s="15" t="s">
        <v>389</v>
      </c>
      <c r="G181" s="15" t="s">
        <v>371</v>
      </c>
      <c r="H181" s="15" t="s">
        <v>353</v>
      </c>
      <c r="I181" s="15" t="s">
        <v>372</v>
      </c>
      <c r="J181" s="15" t="s">
        <v>373</v>
      </c>
      <c r="K181" s="15" t="s">
        <v>361</v>
      </c>
      <c r="L181" s="15" t="s">
        <v>363</v>
      </c>
      <c r="M181" s="15" t="s">
        <v>366</v>
      </c>
    </row>
    <row r="182" spans="1:13" ht="14.25" customHeight="1" x14ac:dyDescent="0.25">
      <c r="A182" s="14">
        <v>8183</v>
      </c>
      <c r="B182" s="15" t="s">
        <v>188</v>
      </c>
      <c r="C182" s="15" t="s">
        <v>421</v>
      </c>
      <c r="D182" s="16" t="s">
        <v>368</v>
      </c>
      <c r="E182" s="15" t="s">
        <v>369</v>
      </c>
      <c r="F182" s="15" t="s">
        <v>389</v>
      </c>
      <c r="G182" s="15" t="s">
        <v>358</v>
      </c>
      <c r="H182" s="15" t="s">
        <v>352</v>
      </c>
      <c r="I182" s="15" t="s">
        <v>372</v>
      </c>
      <c r="J182" s="15" t="s">
        <v>359</v>
      </c>
      <c r="K182" s="15" t="s">
        <v>360</v>
      </c>
      <c r="L182" s="15" t="s">
        <v>363</v>
      </c>
      <c r="M182" s="15" t="s">
        <v>366</v>
      </c>
    </row>
    <row r="183" spans="1:13" ht="14.25" customHeight="1" x14ac:dyDescent="0.25">
      <c r="A183" s="14">
        <v>8184</v>
      </c>
      <c r="B183" s="15" t="s">
        <v>189</v>
      </c>
      <c r="C183" s="15" t="s">
        <v>421</v>
      </c>
      <c r="D183" s="16" t="s">
        <v>368</v>
      </c>
      <c r="E183" s="15" t="s">
        <v>369</v>
      </c>
      <c r="F183" s="15" t="s">
        <v>389</v>
      </c>
      <c r="G183" s="15" t="s">
        <v>357</v>
      </c>
      <c r="H183" s="15" t="s">
        <v>351</v>
      </c>
      <c r="I183" s="15" t="s">
        <v>372</v>
      </c>
      <c r="J183" s="15" t="s">
        <v>359</v>
      </c>
      <c r="K183" s="15" t="s">
        <v>360</v>
      </c>
      <c r="L183" s="15" t="s">
        <v>363</v>
      </c>
      <c r="M183" s="15" t="s">
        <v>366</v>
      </c>
    </row>
    <row r="184" spans="1:13" ht="14.25" customHeight="1" x14ac:dyDescent="0.25">
      <c r="A184" s="14">
        <v>8186</v>
      </c>
      <c r="B184" s="15" t="s">
        <v>190</v>
      </c>
      <c r="C184" s="15" t="s">
        <v>421</v>
      </c>
      <c r="D184" s="16" t="s">
        <v>368</v>
      </c>
      <c r="E184" s="15" t="s">
        <v>369</v>
      </c>
      <c r="F184" s="15" t="s">
        <v>389</v>
      </c>
      <c r="G184" s="15" t="s">
        <v>371</v>
      </c>
      <c r="H184" s="15" t="s">
        <v>353</v>
      </c>
      <c r="I184" s="15" t="s">
        <v>372</v>
      </c>
      <c r="J184" s="15" t="s">
        <v>359</v>
      </c>
      <c r="K184" s="15" t="s">
        <v>361</v>
      </c>
      <c r="L184" s="15" t="s">
        <v>363</v>
      </c>
      <c r="M184" s="15" t="s">
        <v>366</v>
      </c>
    </row>
    <row r="185" spans="1:13" ht="14.25" customHeight="1" x14ac:dyDescent="0.25">
      <c r="A185" s="14">
        <v>8189</v>
      </c>
      <c r="B185" s="15" t="s">
        <v>191</v>
      </c>
      <c r="C185" s="15" t="s">
        <v>421</v>
      </c>
      <c r="D185" s="16" t="s">
        <v>350</v>
      </c>
      <c r="E185" s="15" t="s">
        <v>369</v>
      </c>
      <c r="F185" s="15" t="s">
        <v>389</v>
      </c>
      <c r="G185" s="15" t="s">
        <v>371</v>
      </c>
      <c r="H185" s="15" t="s">
        <v>353</v>
      </c>
      <c r="I185" s="15" t="s">
        <v>372</v>
      </c>
      <c r="J185" s="15" t="s">
        <v>373</v>
      </c>
      <c r="K185" s="15" t="s">
        <v>394</v>
      </c>
      <c r="L185" s="15" t="s">
        <v>363</v>
      </c>
      <c r="M185" s="15" t="s">
        <v>366</v>
      </c>
    </row>
    <row r="186" spans="1:13" ht="14.25" customHeight="1" x14ac:dyDescent="0.25">
      <c r="A186" s="14">
        <v>8190</v>
      </c>
      <c r="B186" s="15" t="s">
        <v>192</v>
      </c>
      <c r="C186" s="15" t="s">
        <v>421</v>
      </c>
      <c r="D186" s="16" t="s">
        <v>368</v>
      </c>
      <c r="E186" s="15" t="s">
        <v>369</v>
      </c>
      <c r="F186" s="15" t="s">
        <v>389</v>
      </c>
      <c r="G186" s="15" t="s">
        <v>371</v>
      </c>
      <c r="H186" s="15" t="s">
        <v>353</v>
      </c>
      <c r="I186" s="15" t="s">
        <v>372</v>
      </c>
      <c r="J186" s="15" t="s">
        <v>373</v>
      </c>
      <c r="K186" s="15" t="s">
        <v>361</v>
      </c>
      <c r="L186" s="15" t="s">
        <v>363</v>
      </c>
      <c r="M186" s="15" t="s">
        <v>366</v>
      </c>
    </row>
    <row r="187" spans="1:13" ht="14.25" customHeight="1" x14ac:dyDescent="0.25">
      <c r="A187" s="14">
        <v>8191</v>
      </c>
      <c r="B187" s="15" t="s">
        <v>193</v>
      </c>
      <c r="C187" s="15" t="s">
        <v>421</v>
      </c>
      <c r="D187" s="16" t="s">
        <v>350</v>
      </c>
      <c r="E187" s="15" t="s">
        <v>369</v>
      </c>
      <c r="F187" s="15" t="s">
        <v>389</v>
      </c>
      <c r="G187" s="15" t="s">
        <v>371</v>
      </c>
      <c r="H187" s="15" t="s">
        <v>352</v>
      </c>
      <c r="I187" s="15" t="s">
        <v>372</v>
      </c>
      <c r="J187" s="15" t="s">
        <v>373</v>
      </c>
      <c r="K187" s="15" t="s">
        <v>361</v>
      </c>
      <c r="L187" s="15" t="s">
        <v>363</v>
      </c>
      <c r="M187" s="15" t="s">
        <v>366</v>
      </c>
    </row>
    <row r="188" spans="1:13" ht="14.25" customHeight="1" x14ac:dyDescent="0.25">
      <c r="A188" s="14">
        <v>8192</v>
      </c>
      <c r="B188" s="15" t="s">
        <v>194</v>
      </c>
      <c r="C188" s="15" t="s">
        <v>421</v>
      </c>
      <c r="D188" s="16" t="s">
        <v>350</v>
      </c>
      <c r="E188" s="15" t="s">
        <v>369</v>
      </c>
      <c r="F188" s="15" t="s">
        <v>389</v>
      </c>
      <c r="G188" s="15" t="s">
        <v>357</v>
      </c>
      <c r="H188" s="15" t="s">
        <v>352</v>
      </c>
      <c r="I188" s="15" t="s">
        <v>372</v>
      </c>
      <c r="J188" s="15" t="s">
        <v>373</v>
      </c>
      <c r="K188" s="15" t="s">
        <v>361</v>
      </c>
      <c r="L188" s="15" t="s">
        <v>363</v>
      </c>
      <c r="M188" s="15" t="s">
        <v>366</v>
      </c>
    </row>
    <row r="189" spans="1:13" ht="14.25" customHeight="1" x14ac:dyDescent="0.25">
      <c r="A189" s="14">
        <v>8193</v>
      </c>
      <c r="B189" s="15" t="s">
        <v>195</v>
      </c>
      <c r="C189" s="15" t="s">
        <v>421</v>
      </c>
      <c r="D189" s="16" t="s">
        <v>350</v>
      </c>
      <c r="E189" s="15" t="s">
        <v>369</v>
      </c>
      <c r="F189" s="15" t="s">
        <v>389</v>
      </c>
      <c r="G189" s="15" t="s">
        <v>357</v>
      </c>
      <c r="H189" s="15" t="s">
        <v>352</v>
      </c>
      <c r="I189" s="15" t="s">
        <v>372</v>
      </c>
      <c r="J189" s="15" t="s">
        <v>359</v>
      </c>
      <c r="K189" s="15" t="s">
        <v>361</v>
      </c>
      <c r="L189" s="15" t="s">
        <v>363</v>
      </c>
      <c r="M189" s="15" t="s">
        <v>366</v>
      </c>
    </row>
    <row r="190" spans="1:13" ht="14.25" customHeight="1" x14ac:dyDescent="0.25">
      <c r="A190" s="14">
        <v>8194</v>
      </c>
      <c r="B190" s="15" t="s">
        <v>196</v>
      </c>
      <c r="C190" s="15" t="s">
        <v>421</v>
      </c>
      <c r="D190" s="16" t="s">
        <v>368</v>
      </c>
      <c r="E190" s="15" t="s">
        <v>369</v>
      </c>
      <c r="F190" s="15" t="s">
        <v>389</v>
      </c>
      <c r="G190" s="15" t="s">
        <v>357</v>
      </c>
      <c r="H190" s="15" t="s">
        <v>353</v>
      </c>
      <c r="I190" s="15" t="s">
        <v>372</v>
      </c>
      <c r="J190" s="15" t="s">
        <v>373</v>
      </c>
      <c r="K190" s="15" t="s">
        <v>361</v>
      </c>
      <c r="L190" s="15" t="s">
        <v>363</v>
      </c>
      <c r="M190" s="15" t="s">
        <v>366</v>
      </c>
    </row>
    <row r="191" spans="1:13" ht="14.25" customHeight="1" x14ac:dyDescent="0.25">
      <c r="A191" s="14">
        <v>8195</v>
      </c>
      <c r="B191" s="15" t="s">
        <v>197</v>
      </c>
      <c r="C191" s="15" t="s">
        <v>421</v>
      </c>
      <c r="D191" s="16" t="s">
        <v>368</v>
      </c>
      <c r="E191" s="15" t="s">
        <v>369</v>
      </c>
      <c r="F191" s="15" t="s">
        <v>389</v>
      </c>
      <c r="G191" s="15" t="s">
        <v>358</v>
      </c>
      <c r="H191" s="15" t="s">
        <v>353</v>
      </c>
      <c r="I191" s="15" t="s">
        <v>372</v>
      </c>
      <c r="J191" s="15" t="s">
        <v>359</v>
      </c>
      <c r="K191" s="15" t="s">
        <v>361</v>
      </c>
      <c r="L191" s="15" t="s">
        <v>363</v>
      </c>
      <c r="M191" s="15" t="s">
        <v>366</v>
      </c>
    </row>
    <row r="192" spans="1:13" ht="14.25" customHeight="1" x14ac:dyDescent="0.25">
      <c r="A192" s="14">
        <v>8196</v>
      </c>
      <c r="B192" s="15" t="s">
        <v>198</v>
      </c>
      <c r="C192" s="15" t="s">
        <v>421</v>
      </c>
      <c r="D192" s="16" t="s">
        <v>368</v>
      </c>
      <c r="E192" s="15" t="s">
        <v>369</v>
      </c>
      <c r="F192" s="15" t="s">
        <v>389</v>
      </c>
      <c r="G192" s="15" t="s">
        <v>358</v>
      </c>
      <c r="H192" s="15" t="s">
        <v>353</v>
      </c>
      <c r="I192" s="15" t="s">
        <v>372</v>
      </c>
      <c r="J192" s="15" t="s">
        <v>373</v>
      </c>
      <c r="K192" s="15" t="s">
        <v>361</v>
      </c>
      <c r="L192" s="15" t="s">
        <v>363</v>
      </c>
      <c r="M192" s="15" t="s">
        <v>366</v>
      </c>
    </row>
    <row r="193" spans="1:13" ht="14.25" customHeight="1" x14ac:dyDescent="0.25">
      <c r="A193" s="14">
        <v>8198</v>
      </c>
      <c r="B193" s="15" t="s">
        <v>199</v>
      </c>
      <c r="C193" s="15" t="s">
        <v>421</v>
      </c>
      <c r="D193" s="16" t="s">
        <v>368</v>
      </c>
      <c r="E193" s="15" t="s">
        <v>369</v>
      </c>
      <c r="F193" s="15" t="s">
        <v>389</v>
      </c>
      <c r="G193" s="15" t="s">
        <v>357</v>
      </c>
      <c r="H193" s="15" t="s">
        <v>352</v>
      </c>
      <c r="I193" s="15" t="s">
        <v>372</v>
      </c>
      <c r="J193" s="15" t="s">
        <v>373</v>
      </c>
      <c r="K193" s="15" t="s">
        <v>361</v>
      </c>
      <c r="L193" s="15" t="s">
        <v>363</v>
      </c>
      <c r="M193" s="15" t="s">
        <v>366</v>
      </c>
    </row>
    <row r="194" spans="1:13" ht="14.25" customHeight="1" x14ac:dyDescent="0.25">
      <c r="A194" s="14">
        <v>8199</v>
      </c>
      <c r="B194" s="15" t="s">
        <v>200</v>
      </c>
      <c r="C194" s="15" t="s">
        <v>421</v>
      </c>
      <c r="D194" s="16" t="s">
        <v>368</v>
      </c>
      <c r="E194" s="15" t="s">
        <v>369</v>
      </c>
      <c r="F194" s="15" t="s">
        <v>389</v>
      </c>
      <c r="G194" s="15" t="s">
        <v>357</v>
      </c>
      <c r="H194" s="15" t="s">
        <v>351</v>
      </c>
      <c r="I194" s="15" t="s">
        <v>372</v>
      </c>
      <c r="J194" s="15" t="s">
        <v>373</v>
      </c>
      <c r="K194" s="15" t="s">
        <v>360</v>
      </c>
      <c r="L194" s="15" t="s">
        <v>363</v>
      </c>
      <c r="M194" s="15" t="s">
        <v>366</v>
      </c>
    </row>
    <row r="195" spans="1:13" ht="14.25" customHeight="1" x14ac:dyDescent="0.25">
      <c r="A195" s="14">
        <v>8200</v>
      </c>
      <c r="B195" s="15" t="s">
        <v>201</v>
      </c>
      <c r="C195" s="15" t="s">
        <v>421</v>
      </c>
      <c r="D195" s="16" t="s">
        <v>368</v>
      </c>
      <c r="E195" s="15" t="s">
        <v>369</v>
      </c>
      <c r="F195" s="15" t="s">
        <v>389</v>
      </c>
      <c r="G195" s="15" t="s">
        <v>358</v>
      </c>
      <c r="H195" s="15" t="s">
        <v>353</v>
      </c>
      <c r="I195" s="15" t="s">
        <v>372</v>
      </c>
      <c r="J195" s="15" t="s">
        <v>359</v>
      </c>
      <c r="K195" s="15" t="s">
        <v>361</v>
      </c>
      <c r="L195" s="15" t="s">
        <v>363</v>
      </c>
      <c r="M195" s="15" t="s">
        <v>366</v>
      </c>
    </row>
    <row r="196" spans="1:13" ht="14.25" customHeight="1" x14ac:dyDescent="0.25">
      <c r="A196" s="14">
        <v>8201</v>
      </c>
      <c r="B196" s="15" t="s">
        <v>202</v>
      </c>
      <c r="C196" s="15" t="s">
        <v>421</v>
      </c>
      <c r="D196" s="16" t="s">
        <v>350</v>
      </c>
      <c r="E196" s="15" t="s">
        <v>369</v>
      </c>
      <c r="F196" s="15" t="s">
        <v>389</v>
      </c>
      <c r="G196" s="15" t="s">
        <v>358</v>
      </c>
      <c r="H196" s="15" t="s">
        <v>353</v>
      </c>
      <c r="I196" s="15" t="s">
        <v>372</v>
      </c>
      <c r="J196" s="15" t="s">
        <v>359</v>
      </c>
      <c r="K196" s="15" t="s">
        <v>361</v>
      </c>
      <c r="L196" s="15" t="s">
        <v>363</v>
      </c>
      <c r="M196" s="15" t="s">
        <v>366</v>
      </c>
    </row>
    <row r="197" spans="1:13" ht="14.25" customHeight="1" x14ac:dyDescent="0.25">
      <c r="A197" s="14">
        <v>8202</v>
      </c>
      <c r="B197" s="15" t="s">
        <v>203</v>
      </c>
      <c r="C197" s="15" t="s">
        <v>421</v>
      </c>
      <c r="D197" s="16" t="s">
        <v>350</v>
      </c>
      <c r="E197" s="15" t="s">
        <v>369</v>
      </c>
      <c r="F197" s="15" t="s">
        <v>389</v>
      </c>
      <c r="G197" s="15" t="s">
        <v>357</v>
      </c>
      <c r="H197" s="15" t="s">
        <v>351</v>
      </c>
      <c r="I197" s="15" t="s">
        <v>372</v>
      </c>
      <c r="J197" s="15" t="s">
        <v>359</v>
      </c>
      <c r="K197" s="15" t="s">
        <v>361</v>
      </c>
      <c r="L197" s="15" t="s">
        <v>363</v>
      </c>
      <c r="M197" s="15" t="s">
        <v>366</v>
      </c>
    </row>
    <row r="198" spans="1:13" ht="14.25" customHeight="1" x14ac:dyDescent="0.25">
      <c r="A198" s="14">
        <v>8203</v>
      </c>
      <c r="B198" s="15" t="s">
        <v>204</v>
      </c>
      <c r="C198" s="15" t="s">
        <v>421</v>
      </c>
      <c r="D198" s="16" t="s">
        <v>350</v>
      </c>
      <c r="E198" s="15" t="s">
        <v>369</v>
      </c>
      <c r="F198" s="15" t="s">
        <v>389</v>
      </c>
      <c r="G198" s="15" t="s">
        <v>371</v>
      </c>
      <c r="H198" s="15" t="s">
        <v>353</v>
      </c>
      <c r="I198" s="15" t="s">
        <v>372</v>
      </c>
      <c r="J198" s="15" t="s">
        <v>359</v>
      </c>
      <c r="K198" s="15" t="s">
        <v>361</v>
      </c>
      <c r="L198" s="15" t="s">
        <v>363</v>
      </c>
      <c r="M198" s="15" t="s">
        <v>366</v>
      </c>
    </row>
    <row r="199" spans="1:13" ht="14.25" customHeight="1" x14ac:dyDescent="0.25">
      <c r="A199" s="14">
        <v>8204</v>
      </c>
      <c r="B199" s="15" t="s">
        <v>205</v>
      </c>
      <c r="C199" s="15" t="s">
        <v>421</v>
      </c>
      <c r="D199" s="16" t="s">
        <v>368</v>
      </c>
      <c r="E199" s="15" t="s">
        <v>369</v>
      </c>
      <c r="F199" s="15" t="s">
        <v>389</v>
      </c>
      <c r="G199" s="15" t="s">
        <v>357</v>
      </c>
      <c r="H199" s="15" t="s">
        <v>351</v>
      </c>
      <c r="I199" s="15" t="s">
        <v>372</v>
      </c>
      <c r="J199" s="15" t="s">
        <v>359</v>
      </c>
      <c r="K199" s="15" t="s">
        <v>360</v>
      </c>
      <c r="L199" s="15" t="s">
        <v>363</v>
      </c>
      <c r="M199" s="15" t="s">
        <v>366</v>
      </c>
    </row>
    <row r="200" spans="1:13" ht="14.25" customHeight="1" x14ac:dyDescent="0.25">
      <c r="A200" s="14">
        <v>8205</v>
      </c>
      <c r="B200" s="15" t="s">
        <v>206</v>
      </c>
      <c r="C200" s="15" t="s">
        <v>421</v>
      </c>
      <c r="D200" s="16" t="s">
        <v>368</v>
      </c>
      <c r="E200" s="15" t="s">
        <v>369</v>
      </c>
      <c r="F200" s="15" t="s">
        <v>389</v>
      </c>
      <c r="G200" s="15" t="s">
        <v>358</v>
      </c>
      <c r="H200" s="15" t="s">
        <v>353</v>
      </c>
      <c r="I200" s="15" t="s">
        <v>372</v>
      </c>
      <c r="J200" s="15" t="s">
        <v>373</v>
      </c>
      <c r="K200" s="15" t="s">
        <v>361</v>
      </c>
      <c r="L200" s="15" t="s">
        <v>363</v>
      </c>
      <c r="M200" s="15" t="s">
        <v>366</v>
      </c>
    </row>
    <row r="201" spans="1:13" ht="14.25" customHeight="1" x14ac:dyDescent="0.25">
      <c r="A201" s="14">
        <v>8206</v>
      </c>
      <c r="B201" s="15" t="s">
        <v>207</v>
      </c>
      <c r="C201" s="15" t="s">
        <v>421</v>
      </c>
      <c r="D201" s="16" t="s">
        <v>350</v>
      </c>
      <c r="E201" s="15" t="s">
        <v>369</v>
      </c>
      <c r="F201" s="15" t="s">
        <v>389</v>
      </c>
      <c r="G201" s="15" t="s">
        <v>358</v>
      </c>
      <c r="H201" s="15" t="s">
        <v>353</v>
      </c>
      <c r="I201" s="15" t="s">
        <v>372</v>
      </c>
      <c r="J201" s="15" t="s">
        <v>359</v>
      </c>
      <c r="K201" s="15" t="s">
        <v>361</v>
      </c>
      <c r="L201" s="15" t="s">
        <v>363</v>
      </c>
      <c r="M201" s="15" t="s">
        <v>366</v>
      </c>
    </row>
    <row r="202" spans="1:13" ht="14.25" customHeight="1" x14ac:dyDescent="0.25">
      <c r="A202" s="14">
        <v>8207</v>
      </c>
      <c r="B202" s="15" t="s">
        <v>208</v>
      </c>
      <c r="C202" s="15" t="s">
        <v>421</v>
      </c>
      <c r="D202" s="16" t="s">
        <v>368</v>
      </c>
      <c r="E202" s="15" t="s">
        <v>369</v>
      </c>
      <c r="F202" s="15" t="s">
        <v>389</v>
      </c>
      <c r="G202" s="15" t="s">
        <v>358</v>
      </c>
      <c r="H202" s="15" t="s">
        <v>353</v>
      </c>
      <c r="I202" s="15" t="s">
        <v>372</v>
      </c>
      <c r="J202" s="15" t="s">
        <v>373</v>
      </c>
      <c r="K202" s="15" t="s">
        <v>361</v>
      </c>
      <c r="L202" s="15" t="s">
        <v>363</v>
      </c>
      <c r="M202" s="15" t="s">
        <v>366</v>
      </c>
    </row>
    <row r="203" spans="1:13" ht="14.25" customHeight="1" x14ac:dyDescent="0.25">
      <c r="A203" s="14">
        <v>8208</v>
      </c>
      <c r="B203" s="15" t="s">
        <v>209</v>
      </c>
      <c r="C203" s="15" t="s">
        <v>421</v>
      </c>
      <c r="D203" s="16" t="s">
        <v>368</v>
      </c>
      <c r="E203" s="15" t="s">
        <v>369</v>
      </c>
      <c r="F203" s="15" t="s">
        <v>389</v>
      </c>
      <c r="G203" s="15" t="s">
        <v>358</v>
      </c>
      <c r="H203" s="15" t="s">
        <v>353</v>
      </c>
      <c r="I203" s="15" t="s">
        <v>372</v>
      </c>
      <c r="J203" s="15" t="s">
        <v>373</v>
      </c>
      <c r="K203" s="15" t="s">
        <v>361</v>
      </c>
      <c r="L203" s="15" t="s">
        <v>363</v>
      </c>
      <c r="M203" s="15" t="s">
        <v>366</v>
      </c>
    </row>
    <row r="204" spans="1:13" ht="14.25" customHeight="1" x14ac:dyDescent="0.25">
      <c r="A204" s="14">
        <v>8209</v>
      </c>
      <c r="B204" s="15" t="s">
        <v>210</v>
      </c>
      <c r="C204" s="15" t="s">
        <v>421</v>
      </c>
      <c r="D204" s="16" t="s">
        <v>350</v>
      </c>
      <c r="E204" s="15" t="s">
        <v>369</v>
      </c>
      <c r="F204" s="15" t="s">
        <v>389</v>
      </c>
      <c r="G204" s="15" t="s">
        <v>371</v>
      </c>
      <c r="H204" s="15" t="s">
        <v>353</v>
      </c>
      <c r="I204" s="15" t="s">
        <v>372</v>
      </c>
      <c r="J204" s="15" t="s">
        <v>373</v>
      </c>
      <c r="K204" s="15" t="s">
        <v>361</v>
      </c>
      <c r="L204" s="15" t="s">
        <v>363</v>
      </c>
      <c r="M204" s="15" t="s">
        <v>366</v>
      </c>
    </row>
    <row r="205" spans="1:13" ht="14.25" customHeight="1" x14ac:dyDescent="0.25">
      <c r="A205" s="14">
        <v>8210</v>
      </c>
      <c r="B205" s="15" t="s">
        <v>211</v>
      </c>
      <c r="C205" s="15" t="s">
        <v>421</v>
      </c>
      <c r="D205" s="16" t="s">
        <v>350</v>
      </c>
      <c r="E205" s="15" t="s">
        <v>369</v>
      </c>
      <c r="F205" s="15" t="s">
        <v>389</v>
      </c>
      <c r="G205" s="15" t="s">
        <v>371</v>
      </c>
      <c r="H205" s="21" t="s">
        <v>352</v>
      </c>
      <c r="I205" s="15" t="s">
        <v>372</v>
      </c>
      <c r="J205" s="15" t="s">
        <v>373</v>
      </c>
      <c r="K205" s="15" t="s">
        <v>361</v>
      </c>
      <c r="L205" s="15" t="s">
        <v>363</v>
      </c>
      <c r="M205" s="15" t="s">
        <v>366</v>
      </c>
    </row>
    <row r="206" spans="1:13" ht="14.25" customHeight="1" x14ac:dyDescent="0.25">
      <c r="A206" s="14">
        <v>8211</v>
      </c>
      <c r="B206" s="15" t="s">
        <v>212</v>
      </c>
      <c r="C206" s="15" t="s">
        <v>421</v>
      </c>
      <c r="D206" s="16" t="s">
        <v>350</v>
      </c>
      <c r="E206" s="15" t="s">
        <v>369</v>
      </c>
      <c r="F206" s="15" t="s">
        <v>389</v>
      </c>
      <c r="G206" s="15" t="s">
        <v>358</v>
      </c>
      <c r="H206" s="15" t="s">
        <v>353</v>
      </c>
      <c r="I206" s="15" t="s">
        <v>372</v>
      </c>
      <c r="J206" s="15" t="s">
        <v>373</v>
      </c>
      <c r="K206" s="15" t="s">
        <v>361</v>
      </c>
      <c r="L206" s="15" t="s">
        <v>363</v>
      </c>
      <c r="M206" s="15" t="s">
        <v>366</v>
      </c>
    </row>
    <row r="207" spans="1:13" ht="14.25" customHeight="1" x14ac:dyDescent="0.25">
      <c r="A207" s="14">
        <v>8212</v>
      </c>
      <c r="B207" s="15" t="s">
        <v>213</v>
      </c>
      <c r="C207" s="15" t="s">
        <v>421</v>
      </c>
      <c r="D207" s="16" t="s">
        <v>350</v>
      </c>
      <c r="E207" s="15" t="s">
        <v>369</v>
      </c>
      <c r="F207" s="15" t="s">
        <v>389</v>
      </c>
      <c r="G207" s="15" t="s">
        <v>371</v>
      </c>
      <c r="H207" s="15" t="s">
        <v>353</v>
      </c>
      <c r="I207" s="15" t="s">
        <v>372</v>
      </c>
      <c r="J207" s="15" t="s">
        <v>373</v>
      </c>
      <c r="K207" s="15" t="s">
        <v>361</v>
      </c>
      <c r="L207" s="15" t="s">
        <v>363</v>
      </c>
      <c r="M207" s="15" t="s">
        <v>366</v>
      </c>
    </row>
    <row r="208" spans="1:13" ht="14.25" customHeight="1" x14ac:dyDescent="0.25">
      <c r="A208" s="14">
        <v>8213</v>
      </c>
      <c r="B208" s="13" t="s">
        <v>463</v>
      </c>
      <c r="C208" s="15" t="s">
        <v>421</v>
      </c>
      <c r="D208" s="16" t="s">
        <v>350</v>
      </c>
      <c r="E208" s="15" t="s">
        <v>369</v>
      </c>
      <c r="F208" s="15" t="s">
        <v>389</v>
      </c>
      <c r="G208" s="15" t="s">
        <v>371</v>
      </c>
      <c r="H208" s="15" t="s">
        <v>353</v>
      </c>
      <c r="I208" s="15" t="s">
        <v>372</v>
      </c>
      <c r="J208" s="15" t="s">
        <v>373</v>
      </c>
      <c r="K208" s="15" t="s">
        <v>361</v>
      </c>
      <c r="L208" s="15" t="s">
        <v>363</v>
      </c>
      <c r="M208" s="15" t="s">
        <v>366</v>
      </c>
    </row>
    <row r="209" spans="1:13" ht="14.25" customHeight="1" x14ac:dyDescent="0.25">
      <c r="A209" s="14">
        <v>8214</v>
      </c>
      <c r="B209" s="15" t="s">
        <v>214</v>
      </c>
      <c r="C209" s="15" t="s">
        <v>421</v>
      </c>
      <c r="D209" s="16" t="s">
        <v>350</v>
      </c>
      <c r="E209" s="15" t="s">
        <v>369</v>
      </c>
      <c r="F209" s="15" t="s">
        <v>389</v>
      </c>
      <c r="G209" s="15" t="s">
        <v>358</v>
      </c>
      <c r="H209" s="15" t="s">
        <v>353</v>
      </c>
      <c r="I209" s="15" t="s">
        <v>372</v>
      </c>
      <c r="J209" s="15" t="s">
        <v>373</v>
      </c>
      <c r="K209" s="15" t="s">
        <v>361</v>
      </c>
      <c r="L209" s="15" t="s">
        <v>363</v>
      </c>
      <c r="M209" s="15" t="s">
        <v>366</v>
      </c>
    </row>
    <row r="210" spans="1:13" ht="14.25" customHeight="1" x14ac:dyDescent="0.25">
      <c r="A210" s="14">
        <v>8215</v>
      </c>
      <c r="B210" s="15" t="s">
        <v>215</v>
      </c>
      <c r="C210" s="15" t="s">
        <v>422</v>
      </c>
      <c r="D210" s="16" t="s">
        <v>368</v>
      </c>
      <c r="E210" s="15" t="s">
        <v>378</v>
      </c>
      <c r="F210" s="15" t="s">
        <v>381</v>
      </c>
      <c r="G210" s="15" t="s">
        <v>356</v>
      </c>
      <c r="H210" s="15" t="s">
        <v>354</v>
      </c>
      <c r="I210" s="15" t="s">
        <v>382</v>
      </c>
      <c r="J210" s="15" t="s">
        <v>373</v>
      </c>
      <c r="K210" s="15" t="s">
        <v>361</v>
      </c>
      <c r="L210" s="15" t="s">
        <v>362</v>
      </c>
      <c r="M210" s="15" t="s">
        <v>364</v>
      </c>
    </row>
    <row r="211" spans="1:13" ht="14.25" customHeight="1" x14ac:dyDescent="0.25">
      <c r="A211" s="14">
        <v>8216</v>
      </c>
      <c r="B211" s="15" t="s">
        <v>216</v>
      </c>
      <c r="C211" s="15" t="s">
        <v>423</v>
      </c>
      <c r="D211" s="16" t="s">
        <v>368</v>
      </c>
      <c r="E211" s="15" t="s">
        <v>376</v>
      </c>
      <c r="F211" s="15" t="s">
        <v>370</v>
      </c>
      <c r="G211" s="15" t="s">
        <v>357</v>
      </c>
      <c r="H211" s="15" t="s">
        <v>351</v>
      </c>
      <c r="I211" s="15" t="s">
        <v>382</v>
      </c>
      <c r="J211" s="15" t="s">
        <v>373</v>
      </c>
      <c r="K211" s="15" t="s">
        <v>360</v>
      </c>
      <c r="L211" s="15" t="s">
        <v>362</v>
      </c>
      <c r="M211" s="15" t="s">
        <v>365</v>
      </c>
    </row>
    <row r="212" spans="1:13" ht="14.25" customHeight="1" x14ac:dyDescent="0.25">
      <c r="A212" s="14">
        <v>8217</v>
      </c>
      <c r="B212" s="15" t="s">
        <v>217</v>
      </c>
      <c r="C212" s="15" t="s">
        <v>424</v>
      </c>
      <c r="D212" s="16" t="s">
        <v>368</v>
      </c>
      <c r="E212" s="15" t="s">
        <v>376</v>
      </c>
      <c r="F212" s="15" t="s">
        <v>370</v>
      </c>
      <c r="G212" s="15" t="s">
        <v>357</v>
      </c>
      <c r="H212" s="15" t="s">
        <v>352</v>
      </c>
      <c r="I212" s="15" t="s">
        <v>382</v>
      </c>
      <c r="J212" s="15" t="s">
        <v>373</v>
      </c>
      <c r="K212" s="15" t="s">
        <v>360</v>
      </c>
      <c r="L212" s="15" t="s">
        <v>363</v>
      </c>
      <c r="M212" s="15" t="s">
        <v>366</v>
      </c>
    </row>
    <row r="213" spans="1:13" ht="14.25" customHeight="1" x14ac:dyDescent="0.25">
      <c r="A213" s="14">
        <v>8218</v>
      </c>
      <c r="B213" s="15" t="s">
        <v>218</v>
      </c>
      <c r="C213" s="15" t="s">
        <v>424</v>
      </c>
      <c r="D213" s="16" t="s">
        <v>368</v>
      </c>
      <c r="E213" s="15" t="s">
        <v>376</v>
      </c>
      <c r="F213" s="15" t="s">
        <v>389</v>
      </c>
      <c r="G213" s="15" t="s">
        <v>358</v>
      </c>
      <c r="H213" s="15" t="s">
        <v>353</v>
      </c>
      <c r="I213" s="15" t="s">
        <v>382</v>
      </c>
      <c r="J213" s="15" t="s">
        <v>373</v>
      </c>
      <c r="K213" s="15" t="s">
        <v>360</v>
      </c>
      <c r="L213" s="15" t="s">
        <v>363</v>
      </c>
      <c r="M213" s="15" t="s">
        <v>366</v>
      </c>
    </row>
    <row r="214" spans="1:13" ht="14.25" customHeight="1" x14ac:dyDescent="0.25">
      <c r="A214" s="14">
        <v>8219</v>
      </c>
      <c r="B214" s="15" t="s">
        <v>219</v>
      </c>
      <c r="C214" s="15" t="s">
        <v>424</v>
      </c>
      <c r="D214" s="16" t="s">
        <v>368</v>
      </c>
      <c r="E214" s="15" t="s">
        <v>376</v>
      </c>
      <c r="F214" s="15" t="s">
        <v>370</v>
      </c>
      <c r="G214" s="15" t="s">
        <v>371</v>
      </c>
      <c r="H214" s="15" t="s">
        <v>353</v>
      </c>
      <c r="I214" s="15" t="s">
        <v>372</v>
      </c>
      <c r="J214" s="15" t="s">
        <v>373</v>
      </c>
      <c r="K214" s="15" t="s">
        <v>360</v>
      </c>
      <c r="L214" s="15" t="s">
        <v>363</v>
      </c>
      <c r="M214" s="15" t="s">
        <v>366</v>
      </c>
    </row>
    <row r="215" spans="1:13" ht="14.25" customHeight="1" x14ac:dyDescent="0.25">
      <c r="A215" s="14">
        <v>8220</v>
      </c>
      <c r="B215" s="15" t="s">
        <v>220</v>
      </c>
      <c r="C215" s="15" t="s">
        <v>424</v>
      </c>
      <c r="D215" s="16" t="s">
        <v>368</v>
      </c>
      <c r="E215" s="15" t="s">
        <v>369</v>
      </c>
      <c r="F215" s="15" t="s">
        <v>370</v>
      </c>
      <c r="G215" s="15" t="s">
        <v>358</v>
      </c>
      <c r="H215" s="15" t="s">
        <v>353</v>
      </c>
      <c r="I215" s="15" t="s">
        <v>382</v>
      </c>
      <c r="J215" s="15" t="s">
        <v>373</v>
      </c>
      <c r="K215" s="15" t="s">
        <v>360</v>
      </c>
      <c r="L215" s="15" t="s">
        <v>363</v>
      </c>
      <c r="M215" s="15" t="s">
        <v>365</v>
      </c>
    </row>
    <row r="216" spans="1:13" ht="14.25" customHeight="1" x14ac:dyDescent="0.25">
      <c r="A216" s="14">
        <v>8221</v>
      </c>
      <c r="B216" s="15" t="s">
        <v>221</v>
      </c>
      <c r="C216" s="15" t="s">
        <v>412</v>
      </c>
      <c r="D216" s="16" t="s">
        <v>350</v>
      </c>
      <c r="E216" s="15" t="s">
        <v>369</v>
      </c>
      <c r="F216" s="15" t="s">
        <v>389</v>
      </c>
      <c r="G216" s="15" t="s">
        <v>358</v>
      </c>
      <c r="H216" s="15" t="s">
        <v>353</v>
      </c>
      <c r="I216" s="15" t="s">
        <v>372</v>
      </c>
      <c r="J216" s="15" t="s">
        <v>373</v>
      </c>
      <c r="K216" s="15" t="s">
        <v>394</v>
      </c>
      <c r="L216" s="15" t="s">
        <v>363</v>
      </c>
      <c r="M216" s="15" t="s">
        <v>366</v>
      </c>
    </row>
    <row r="217" spans="1:13" ht="14.25" customHeight="1" x14ac:dyDescent="0.25">
      <c r="A217" s="14">
        <v>8222</v>
      </c>
      <c r="B217" s="15" t="s">
        <v>222</v>
      </c>
      <c r="C217" s="15" t="s">
        <v>425</v>
      </c>
      <c r="D217" s="16" t="s">
        <v>368</v>
      </c>
      <c r="E217" s="15" t="s">
        <v>380</v>
      </c>
      <c r="F217" s="15" t="s">
        <v>381</v>
      </c>
      <c r="G217" s="15" t="s">
        <v>357</v>
      </c>
      <c r="H217" s="15" t="s">
        <v>353</v>
      </c>
      <c r="I217" s="15" t="s">
        <v>372</v>
      </c>
      <c r="J217" s="15" t="s">
        <v>373</v>
      </c>
      <c r="K217" s="15" t="s">
        <v>361</v>
      </c>
      <c r="L217" s="15" t="s">
        <v>363</v>
      </c>
      <c r="M217" s="15" t="s">
        <v>365</v>
      </c>
    </row>
    <row r="218" spans="1:13" ht="14.25" customHeight="1" x14ac:dyDescent="0.25">
      <c r="A218" s="14">
        <v>8223</v>
      </c>
      <c r="B218" s="16" t="s">
        <v>223</v>
      </c>
      <c r="C218" s="15" t="s">
        <v>425</v>
      </c>
      <c r="D218" s="16" t="s">
        <v>368</v>
      </c>
      <c r="E218" s="15" t="s">
        <v>380</v>
      </c>
      <c r="F218" s="15" t="s">
        <v>381</v>
      </c>
      <c r="G218" s="15" t="s">
        <v>357</v>
      </c>
      <c r="H218" s="15" t="s">
        <v>352</v>
      </c>
      <c r="I218" s="15" t="s">
        <v>372</v>
      </c>
      <c r="J218" s="15" t="s">
        <v>373</v>
      </c>
      <c r="K218" s="15" t="s">
        <v>360</v>
      </c>
      <c r="L218" s="15" t="s">
        <v>363</v>
      </c>
      <c r="M218" s="15" t="s">
        <v>365</v>
      </c>
    </row>
    <row r="219" spans="1:13" ht="14.25" customHeight="1" x14ac:dyDescent="0.25">
      <c r="A219" s="14">
        <v>8224</v>
      </c>
      <c r="B219" s="15" t="s">
        <v>224</v>
      </c>
      <c r="C219" s="15" t="s">
        <v>425</v>
      </c>
      <c r="D219" s="16" t="s">
        <v>368</v>
      </c>
      <c r="E219" s="15" t="s">
        <v>380</v>
      </c>
      <c r="F219" s="15" t="s">
        <v>389</v>
      </c>
      <c r="G219" s="15" t="s">
        <v>371</v>
      </c>
      <c r="H219" s="15" t="s">
        <v>353</v>
      </c>
      <c r="I219" s="15" t="s">
        <v>372</v>
      </c>
      <c r="J219" s="15" t="s">
        <v>373</v>
      </c>
      <c r="K219" s="15" t="s">
        <v>394</v>
      </c>
      <c r="L219" s="15" t="s">
        <v>363</v>
      </c>
      <c r="M219" s="15" t="s">
        <v>365</v>
      </c>
    </row>
    <row r="220" spans="1:13" ht="14.25" customHeight="1" x14ac:dyDescent="0.25">
      <c r="A220" s="14">
        <v>8225</v>
      </c>
      <c r="B220" s="15" t="s">
        <v>225</v>
      </c>
      <c r="C220" s="15" t="s">
        <v>425</v>
      </c>
      <c r="D220" s="16" t="s">
        <v>368</v>
      </c>
      <c r="E220" s="15" t="s">
        <v>380</v>
      </c>
      <c r="F220" s="15" t="s">
        <v>381</v>
      </c>
      <c r="G220" s="15" t="s">
        <v>356</v>
      </c>
      <c r="H220" s="15" t="s">
        <v>354</v>
      </c>
      <c r="I220" s="15" t="s">
        <v>382</v>
      </c>
      <c r="J220" s="15" t="s">
        <v>373</v>
      </c>
      <c r="K220" s="15" t="s">
        <v>361</v>
      </c>
      <c r="L220" s="15" t="s">
        <v>362</v>
      </c>
      <c r="M220" s="15" t="s">
        <v>365</v>
      </c>
    </row>
    <row r="221" spans="1:13" ht="14.25" customHeight="1" x14ac:dyDescent="0.25">
      <c r="A221" s="14">
        <v>8226</v>
      </c>
      <c r="B221" s="15" t="s">
        <v>226</v>
      </c>
      <c r="C221" s="15" t="s">
        <v>425</v>
      </c>
      <c r="D221" s="16" t="s">
        <v>368</v>
      </c>
      <c r="E221" s="15" t="s">
        <v>380</v>
      </c>
      <c r="F221" s="15" t="s">
        <v>381</v>
      </c>
      <c r="G221" s="15" t="s">
        <v>356</v>
      </c>
      <c r="H221" s="15" t="s">
        <v>352</v>
      </c>
      <c r="I221" s="15" t="s">
        <v>382</v>
      </c>
      <c r="J221" s="15" t="s">
        <v>373</v>
      </c>
      <c r="K221" s="15" t="s">
        <v>361</v>
      </c>
      <c r="L221" s="15" t="s">
        <v>362</v>
      </c>
      <c r="M221" s="15" t="s">
        <v>364</v>
      </c>
    </row>
    <row r="222" spans="1:13" ht="14.25" customHeight="1" x14ac:dyDescent="0.25">
      <c r="A222" s="14">
        <v>8227</v>
      </c>
      <c r="B222" s="15" t="s">
        <v>227</v>
      </c>
      <c r="C222" s="15" t="s">
        <v>425</v>
      </c>
      <c r="D222" s="16" t="s">
        <v>368</v>
      </c>
      <c r="E222" s="15" t="s">
        <v>380</v>
      </c>
      <c r="F222" s="15" t="s">
        <v>370</v>
      </c>
      <c r="G222" s="15" t="s">
        <v>356</v>
      </c>
      <c r="H222" s="15" t="s">
        <v>352</v>
      </c>
      <c r="I222" s="15" t="s">
        <v>382</v>
      </c>
      <c r="J222" s="15" t="s">
        <v>373</v>
      </c>
      <c r="K222" s="15" t="s">
        <v>360</v>
      </c>
      <c r="L222" s="15" t="s">
        <v>362</v>
      </c>
      <c r="M222" s="15" t="s">
        <v>365</v>
      </c>
    </row>
    <row r="223" spans="1:13" ht="14.25" customHeight="1" x14ac:dyDescent="0.25">
      <c r="A223" s="14">
        <v>8228</v>
      </c>
      <c r="B223" s="15" t="s">
        <v>228</v>
      </c>
      <c r="C223" s="15" t="s">
        <v>425</v>
      </c>
      <c r="D223" s="16" t="s">
        <v>368</v>
      </c>
      <c r="E223" s="15" t="s">
        <v>378</v>
      </c>
      <c r="F223" s="15" t="s">
        <v>396</v>
      </c>
      <c r="G223" s="15" t="s">
        <v>356</v>
      </c>
      <c r="H223" s="15" t="s">
        <v>352</v>
      </c>
      <c r="I223" s="15" t="s">
        <v>372</v>
      </c>
      <c r="J223" s="15" t="s">
        <v>373</v>
      </c>
      <c r="K223" s="15" t="s">
        <v>360</v>
      </c>
      <c r="L223" s="15" t="s">
        <v>362</v>
      </c>
      <c r="M223" s="15" t="s">
        <v>365</v>
      </c>
    </row>
    <row r="224" spans="1:13" ht="14.25" customHeight="1" x14ac:dyDescent="0.25">
      <c r="A224" s="14">
        <v>8229</v>
      </c>
      <c r="B224" s="15" t="s">
        <v>229</v>
      </c>
      <c r="C224" s="15" t="s">
        <v>425</v>
      </c>
      <c r="D224" s="16" t="s">
        <v>368</v>
      </c>
      <c r="E224" s="15" t="s">
        <v>369</v>
      </c>
      <c r="F224" s="15" t="s">
        <v>381</v>
      </c>
      <c r="G224" s="15" t="s">
        <v>371</v>
      </c>
      <c r="H224" s="15" t="s">
        <v>353</v>
      </c>
      <c r="I224" s="15" t="s">
        <v>382</v>
      </c>
      <c r="J224" s="15" t="s">
        <v>373</v>
      </c>
      <c r="K224" s="15" t="s">
        <v>361</v>
      </c>
      <c r="L224" s="15" t="s">
        <v>363</v>
      </c>
      <c r="M224" s="15" t="s">
        <v>365</v>
      </c>
    </row>
    <row r="225" spans="1:16" ht="14.25" customHeight="1" x14ac:dyDescent="0.25">
      <c r="A225" s="14">
        <v>8230</v>
      </c>
      <c r="B225" s="15" t="s">
        <v>230</v>
      </c>
      <c r="C225" s="15" t="s">
        <v>425</v>
      </c>
      <c r="D225" s="16" t="s">
        <v>368</v>
      </c>
      <c r="E225" s="15" t="s">
        <v>380</v>
      </c>
      <c r="F225" s="15" t="s">
        <v>370</v>
      </c>
      <c r="G225" s="15" t="s">
        <v>356</v>
      </c>
      <c r="H225" s="15" t="s">
        <v>352</v>
      </c>
      <c r="I225" s="15" t="s">
        <v>372</v>
      </c>
      <c r="J225" s="15" t="s">
        <v>373</v>
      </c>
      <c r="K225" s="15" t="s">
        <v>361</v>
      </c>
      <c r="L225" s="15" t="s">
        <v>363</v>
      </c>
      <c r="M225" s="15" t="s">
        <v>364</v>
      </c>
    </row>
    <row r="226" spans="1:16" ht="14.25" customHeight="1" x14ac:dyDescent="0.25">
      <c r="A226" s="14">
        <v>8231</v>
      </c>
      <c r="B226" s="15" t="s">
        <v>231</v>
      </c>
      <c r="C226" s="15" t="s">
        <v>425</v>
      </c>
      <c r="D226" s="16" t="s">
        <v>368</v>
      </c>
      <c r="E226" s="15" t="s">
        <v>380</v>
      </c>
      <c r="F226" s="15" t="s">
        <v>381</v>
      </c>
      <c r="G226" s="15" t="s">
        <v>358</v>
      </c>
      <c r="H226" s="15" t="s">
        <v>351</v>
      </c>
      <c r="I226" s="15" t="s">
        <v>372</v>
      </c>
      <c r="J226" s="15" t="s">
        <v>373</v>
      </c>
      <c r="K226" s="15" t="s">
        <v>360</v>
      </c>
      <c r="L226" s="15" t="s">
        <v>363</v>
      </c>
      <c r="M226" s="15" t="s">
        <v>364</v>
      </c>
    </row>
    <row r="227" spans="1:16" ht="14.25" customHeight="1" x14ac:dyDescent="0.25">
      <c r="A227" s="14">
        <v>8232</v>
      </c>
      <c r="B227" s="15" t="s">
        <v>232</v>
      </c>
      <c r="C227" s="15" t="s">
        <v>425</v>
      </c>
      <c r="D227" s="16" t="s">
        <v>368</v>
      </c>
      <c r="E227" s="15" t="s">
        <v>378</v>
      </c>
      <c r="F227" s="15" t="s">
        <v>375</v>
      </c>
      <c r="G227" s="15" t="s">
        <v>356</v>
      </c>
      <c r="H227" s="15" t="s">
        <v>352</v>
      </c>
      <c r="I227" s="15" t="s">
        <v>372</v>
      </c>
      <c r="J227" s="15" t="s">
        <v>373</v>
      </c>
      <c r="K227" s="15" t="s">
        <v>360</v>
      </c>
      <c r="L227" s="15" t="s">
        <v>362</v>
      </c>
      <c r="M227" s="15" t="s">
        <v>365</v>
      </c>
    </row>
    <row r="228" spans="1:16" ht="14.25" customHeight="1" x14ac:dyDescent="0.25">
      <c r="A228" s="14">
        <v>8233</v>
      </c>
      <c r="B228" s="15" t="s">
        <v>233</v>
      </c>
      <c r="C228" s="15" t="s">
        <v>425</v>
      </c>
      <c r="D228" s="16" t="s">
        <v>368</v>
      </c>
      <c r="E228" s="15" t="s">
        <v>369</v>
      </c>
      <c r="F228" s="15" t="s">
        <v>389</v>
      </c>
      <c r="G228" s="15" t="s">
        <v>358</v>
      </c>
      <c r="H228" s="15" t="s">
        <v>353</v>
      </c>
      <c r="I228" s="15" t="s">
        <v>372</v>
      </c>
      <c r="J228" s="15" t="s">
        <v>359</v>
      </c>
      <c r="K228" s="15" t="s">
        <v>360</v>
      </c>
      <c r="L228" s="15" t="s">
        <v>363</v>
      </c>
      <c r="M228" s="15" t="s">
        <v>365</v>
      </c>
    </row>
    <row r="229" spans="1:16" ht="14.25" customHeight="1" x14ac:dyDescent="0.25">
      <c r="A229" s="14">
        <v>8234</v>
      </c>
      <c r="B229" s="15" t="s">
        <v>234</v>
      </c>
      <c r="C229" s="15" t="s">
        <v>425</v>
      </c>
      <c r="D229" s="16" t="s">
        <v>368</v>
      </c>
      <c r="E229" s="15" t="s">
        <v>369</v>
      </c>
      <c r="F229" s="15" t="s">
        <v>389</v>
      </c>
      <c r="G229" s="15" t="s">
        <v>358</v>
      </c>
      <c r="H229" s="15" t="s">
        <v>353</v>
      </c>
      <c r="I229" s="15" t="s">
        <v>372</v>
      </c>
      <c r="J229" s="15" t="s">
        <v>359</v>
      </c>
      <c r="K229" s="15" t="s">
        <v>361</v>
      </c>
      <c r="L229" s="15" t="s">
        <v>363</v>
      </c>
      <c r="M229" s="15" t="s">
        <v>365</v>
      </c>
    </row>
    <row r="230" spans="1:16" ht="14.25" customHeight="1" x14ac:dyDescent="0.25">
      <c r="A230" s="14">
        <v>8235</v>
      </c>
      <c r="B230" s="15" t="s">
        <v>235</v>
      </c>
      <c r="C230" s="15" t="s">
        <v>425</v>
      </c>
      <c r="D230" s="16" t="s">
        <v>368</v>
      </c>
      <c r="E230" s="15" t="s">
        <v>369</v>
      </c>
      <c r="F230" s="15" t="s">
        <v>375</v>
      </c>
      <c r="G230" s="15" t="s">
        <v>357</v>
      </c>
      <c r="H230" s="15" t="s">
        <v>354</v>
      </c>
      <c r="I230" s="15" t="s">
        <v>372</v>
      </c>
      <c r="J230" s="15" t="s">
        <v>359</v>
      </c>
      <c r="K230" s="15" t="s">
        <v>360</v>
      </c>
      <c r="L230" s="15" t="s">
        <v>362</v>
      </c>
      <c r="M230" s="15" t="s">
        <v>365</v>
      </c>
    </row>
    <row r="231" spans="1:16" ht="14.25" customHeight="1" x14ac:dyDescent="0.25">
      <c r="A231" s="14">
        <v>8236</v>
      </c>
      <c r="B231" s="15" t="s">
        <v>236</v>
      </c>
      <c r="C231" s="15" t="s">
        <v>425</v>
      </c>
      <c r="D231" s="16" t="s">
        <v>368</v>
      </c>
      <c r="E231" s="15" t="s">
        <v>369</v>
      </c>
      <c r="F231" s="15" t="s">
        <v>375</v>
      </c>
      <c r="G231" s="15" t="s">
        <v>371</v>
      </c>
      <c r="H231" s="15" t="s">
        <v>353</v>
      </c>
      <c r="I231" s="15" t="s">
        <v>372</v>
      </c>
      <c r="J231" s="15" t="s">
        <v>373</v>
      </c>
      <c r="K231" s="15" t="s">
        <v>360</v>
      </c>
      <c r="L231" s="15" t="s">
        <v>362</v>
      </c>
      <c r="M231" s="15" t="s">
        <v>365</v>
      </c>
    </row>
    <row r="232" spans="1:16" ht="14.25" customHeight="1" x14ac:dyDescent="0.25">
      <c r="A232" s="14">
        <v>8237</v>
      </c>
      <c r="B232" s="15" t="s">
        <v>237</v>
      </c>
      <c r="C232" s="15" t="s">
        <v>426</v>
      </c>
      <c r="D232" s="16" t="s">
        <v>368</v>
      </c>
      <c r="E232" s="15" t="s">
        <v>374</v>
      </c>
      <c r="F232" s="15" t="s">
        <v>370</v>
      </c>
      <c r="G232" s="15" t="s">
        <v>371</v>
      </c>
      <c r="H232" s="15" t="s">
        <v>352</v>
      </c>
      <c r="I232" s="15" t="s">
        <v>372</v>
      </c>
      <c r="J232" s="15" t="s">
        <v>373</v>
      </c>
      <c r="K232" s="15" t="s">
        <v>360</v>
      </c>
      <c r="L232" s="15" t="s">
        <v>363</v>
      </c>
      <c r="M232" s="15" t="s">
        <v>365</v>
      </c>
    </row>
    <row r="233" spans="1:16" ht="14.25" customHeight="1" x14ac:dyDescent="0.25">
      <c r="A233" s="17">
        <v>8238</v>
      </c>
      <c r="B233" s="16" t="s">
        <v>238</v>
      </c>
      <c r="C233" s="16" t="s">
        <v>427</v>
      </c>
      <c r="D233" s="16" t="s">
        <v>368</v>
      </c>
      <c r="E233" s="20" t="s">
        <v>380</v>
      </c>
      <c r="F233" s="16" t="s">
        <v>428</v>
      </c>
      <c r="G233" s="16" t="s">
        <v>356</v>
      </c>
      <c r="H233" s="16" t="s">
        <v>351</v>
      </c>
      <c r="I233" s="16" t="s">
        <v>382</v>
      </c>
      <c r="J233" s="16" t="s">
        <v>373</v>
      </c>
      <c r="K233" s="16" t="s">
        <v>361</v>
      </c>
      <c r="L233" s="16" t="s">
        <v>362</v>
      </c>
      <c r="M233" s="16" t="s">
        <v>364</v>
      </c>
      <c r="N233" s="16"/>
      <c r="O233" s="16"/>
      <c r="P233" s="16"/>
    </row>
    <row r="234" spans="1:16" ht="14.25" customHeight="1" x14ac:dyDescent="0.25">
      <c r="A234" s="17">
        <v>8239</v>
      </c>
      <c r="B234" s="16" t="s">
        <v>239</v>
      </c>
      <c r="C234" s="16" t="s">
        <v>427</v>
      </c>
      <c r="D234" s="16" t="s">
        <v>368</v>
      </c>
      <c r="E234" s="20" t="s">
        <v>380</v>
      </c>
      <c r="F234" s="16" t="s">
        <v>428</v>
      </c>
      <c r="G234" s="16" t="s">
        <v>356</v>
      </c>
      <c r="H234" s="16" t="s">
        <v>351</v>
      </c>
      <c r="I234" s="16" t="s">
        <v>382</v>
      </c>
      <c r="J234" s="16" t="s">
        <v>373</v>
      </c>
      <c r="K234" s="16" t="s">
        <v>361</v>
      </c>
      <c r="L234" s="16" t="s">
        <v>362</v>
      </c>
      <c r="M234" s="16" t="s">
        <v>364</v>
      </c>
      <c r="N234" s="16"/>
      <c r="O234" s="16"/>
      <c r="P234" s="16"/>
    </row>
    <row r="235" spans="1:16" ht="14.25" customHeight="1" x14ac:dyDescent="0.25">
      <c r="A235" s="17">
        <v>8240</v>
      </c>
      <c r="B235" s="16" t="s">
        <v>240</v>
      </c>
      <c r="C235" s="16" t="s">
        <v>427</v>
      </c>
      <c r="D235" s="16" t="s">
        <v>368</v>
      </c>
      <c r="E235" s="20" t="s">
        <v>380</v>
      </c>
      <c r="F235" s="16" t="s">
        <v>428</v>
      </c>
      <c r="G235" s="16" t="s">
        <v>356</v>
      </c>
      <c r="H235" s="16" t="s">
        <v>351</v>
      </c>
      <c r="I235" s="16" t="s">
        <v>382</v>
      </c>
      <c r="J235" s="16" t="s">
        <v>373</v>
      </c>
      <c r="K235" s="16" t="s">
        <v>361</v>
      </c>
      <c r="L235" s="16" t="s">
        <v>362</v>
      </c>
      <c r="M235" s="16" t="s">
        <v>364</v>
      </c>
      <c r="N235" s="16"/>
      <c r="O235" s="16"/>
      <c r="P235" s="16"/>
    </row>
    <row r="236" spans="1:16" ht="14.25" customHeight="1" x14ac:dyDescent="0.25">
      <c r="A236" s="17">
        <v>8241</v>
      </c>
      <c r="B236" s="16" t="s">
        <v>241</v>
      </c>
      <c r="C236" s="16" t="s">
        <v>427</v>
      </c>
      <c r="D236" s="16" t="s">
        <v>368</v>
      </c>
      <c r="E236" s="20" t="s">
        <v>380</v>
      </c>
      <c r="F236" s="16" t="s">
        <v>428</v>
      </c>
      <c r="G236" s="16" t="s">
        <v>356</v>
      </c>
      <c r="H236" s="16" t="s">
        <v>351</v>
      </c>
      <c r="I236" s="16" t="s">
        <v>382</v>
      </c>
      <c r="J236" s="16" t="s">
        <v>373</v>
      </c>
      <c r="K236" s="16" t="s">
        <v>361</v>
      </c>
      <c r="L236" s="16" t="s">
        <v>362</v>
      </c>
      <c r="M236" s="16" t="s">
        <v>364</v>
      </c>
      <c r="N236" s="16"/>
      <c r="O236" s="16"/>
      <c r="P236" s="16"/>
    </row>
    <row r="237" spans="1:16" ht="14.25" customHeight="1" x14ac:dyDescent="0.25">
      <c r="A237" s="17">
        <v>8242</v>
      </c>
      <c r="B237" s="16" t="s">
        <v>242</v>
      </c>
      <c r="C237" s="16" t="s">
        <v>427</v>
      </c>
      <c r="D237" s="16" t="s">
        <v>368</v>
      </c>
      <c r="E237" s="20" t="s">
        <v>380</v>
      </c>
      <c r="F237" s="16" t="s">
        <v>428</v>
      </c>
      <c r="G237" s="16" t="s">
        <v>356</v>
      </c>
      <c r="H237" s="16" t="s">
        <v>351</v>
      </c>
      <c r="I237" s="16" t="s">
        <v>382</v>
      </c>
      <c r="J237" s="16" t="s">
        <v>373</v>
      </c>
      <c r="K237" s="16" t="s">
        <v>361</v>
      </c>
      <c r="L237" s="16" t="s">
        <v>362</v>
      </c>
      <c r="M237" s="16" t="s">
        <v>364</v>
      </c>
      <c r="N237" s="16"/>
      <c r="O237" s="16"/>
      <c r="P237" s="16"/>
    </row>
    <row r="238" spans="1:16" ht="14.25" customHeight="1" x14ac:dyDescent="0.25">
      <c r="A238" s="14">
        <v>8243</v>
      </c>
      <c r="B238" s="16" t="s">
        <v>243</v>
      </c>
      <c r="C238" s="15" t="s">
        <v>427</v>
      </c>
      <c r="D238" s="16" t="s">
        <v>368</v>
      </c>
      <c r="E238" s="15" t="s">
        <v>392</v>
      </c>
      <c r="F238" s="15" t="s">
        <v>428</v>
      </c>
      <c r="G238" s="15" t="s">
        <v>356</v>
      </c>
      <c r="H238" s="15" t="s">
        <v>351</v>
      </c>
      <c r="I238" s="15" t="s">
        <v>382</v>
      </c>
      <c r="J238" s="15" t="s">
        <v>373</v>
      </c>
      <c r="K238" s="15" t="s">
        <v>361</v>
      </c>
      <c r="L238" s="15" t="s">
        <v>362</v>
      </c>
      <c r="M238" s="15" t="s">
        <v>364</v>
      </c>
    </row>
    <row r="239" spans="1:16" ht="14.25" customHeight="1" x14ac:dyDescent="0.25">
      <c r="A239" s="14">
        <v>8244</v>
      </c>
      <c r="B239" s="15" t="s">
        <v>244</v>
      </c>
      <c r="C239" s="15" t="s">
        <v>429</v>
      </c>
      <c r="D239" s="16" t="s">
        <v>368</v>
      </c>
      <c r="E239" s="15" t="s">
        <v>374</v>
      </c>
      <c r="F239" s="15" t="s">
        <v>396</v>
      </c>
      <c r="G239" s="15" t="s">
        <v>356</v>
      </c>
      <c r="H239" s="15" t="s">
        <v>354</v>
      </c>
      <c r="I239" s="15" t="s">
        <v>372</v>
      </c>
      <c r="J239" s="15" t="s">
        <v>373</v>
      </c>
      <c r="K239" s="15" t="s">
        <v>360</v>
      </c>
      <c r="L239" s="15" t="s">
        <v>363</v>
      </c>
      <c r="M239" s="15" t="s">
        <v>365</v>
      </c>
    </row>
    <row r="240" spans="1:16" ht="14.25" customHeight="1" x14ac:dyDescent="0.25">
      <c r="A240" s="14">
        <v>8245</v>
      </c>
      <c r="B240" s="13" t="s">
        <v>466</v>
      </c>
      <c r="C240" s="15" t="s">
        <v>429</v>
      </c>
      <c r="D240" s="16" t="s">
        <v>368</v>
      </c>
      <c r="E240" s="15" t="s">
        <v>374</v>
      </c>
      <c r="F240" s="15" t="s">
        <v>396</v>
      </c>
      <c r="G240" s="15" t="s">
        <v>356</v>
      </c>
      <c r="H240" s="15" t="s">
        <v>354</v>
      </c>
      <c r="I240" s="15" t="s">
        <v>372</v>
      </c>
      <c r="J240" s="15" t="s">
        <v>373</v>
      </c>
      <c r="K240" s="15" t="s">
        <v>360</v>
      </c>
      <c r="L240" s="15" t="s">
        <v>363</v>
      </c>
      <c r="M240" s="15" t="s">
        <v>365</v>
      </c>
    </row>
    <row r="241" spans="1:16" ht="14.25" customHeight="1" x14ac:dyDescent="0.25">
      <c r="A241" s="14">
        <v>8246</v>
      </c>
      <c r="B241" s="15" t="s">
        <v>245</v>
      </c>
      <c r="C241" s="15" t="s">
        <v>430</v>
      </c>
      <c r="D241" s="16" t="s">
        <v>368</v>
      </c>
      <c r="E241" s="15" t="s">
        <v>374</v>
      </c>
      <c r="F241" s="15" t="s">
        <v>386</v>
      </c>
      <c r="G241" s="15" t="s">
        <v>356</v>
      </c>
      <c r="H241" s="15" t="s">
        <v>351</v>
      </c>
      <c r="I241" s="15" t="s">
        <v>372</v>
      </c>
      <c r="J241" s="15" t="s">
        <v>373</v>
      </c>
      <c r="K241" s="15" t="s">
        <v>387</v>
      </c>
      <c r="L241" s="15" t="s">
        <v>363</v>
      </c>
      <c r="M241" s="15" t="s">
        <v>364</v>
      </c>
    </row>
    <row r="242" spans="1:16" ht="14.25" customHeight="1" x14ac:dyDescent="0.25">
      <c r="A242" s="14">
        <v>8247</v>
      </c>
      <c r="B242" s="15" t="s">
        <v>246</v>
      </c>
      <c r="C242" s="15" t="s">
        <v>430</v>
      </c>
      <c r="D242" s="16" t="s">
        <v>368</v>
      </c>
      <c r="E242" s="15" t="s">
        <v>369</v>
      </c>
      <c r="F242" s="15" t="s">
        <v>386</v>
      </c>
      <c r="G242" s="15" t="s">
        <v>356</v>
      </c>
      <c r="H242" s="15" t="s">
        <v>352</v>
      </c>
      <c r="I242" s="15" t="s">
        <v>372</v>
      </c>
      <c r="J242" s="15" t="s">
        <v>373</v>
      </c>
      <c r="K242" s="15" t="s">
        <v>387</v>
      </c>
      <c r="L242" s="15" t="s">
        <v>363</v>
      </c>
      <c r="M242" s="15" t="s">
        <v>365</v>
      </c>
    </row>
    <row r="243" spans="1:16" ht="14.25" customHeight="1" x14ac:dyDescent="0.25">
      <c r="A243" s="14">
        <v>8248</v>
      </c>
      <c r="B243" s="15" t="s">
        <v>247</v>
      </c>
      <c r="C243" s="15" t="s">
        <v>431</v>
      </c>
      <c r="D243" s="16" t="s">
        <v>368</v>
      </c>
      <c r="E243" s="15" t="s">
        <v>374</v>
      </c>
      <c r="F243" s="15" t="s">
        <v>381</v>
      </c>
      <c r="G243" s="15" t="s">
        <v>356</v>
      </c>
      <c r="H243" s="15" t="s">
        <v>354</v>
      </c>
      <c r="I243" s="15" t="s">
        <v>382</v>
      </c>
      <c r="J243" s="15" t="s">
        <v>373</v>
      </c>
      <c r="K243" s="15" t="s">
        <v>360</v>
      </c>
      <c r="L243" s="15" t="s">
        <v>362</v>
      </c>
      <c r="M243" s="15" t="s">
        <v>364</v>
      </c>
    </row>
    <row r="244" spans="1:16" ht="14.25" customHeight="1" x14ac:dyDescent="0.25">
      <c r="A244" s="14">
        <v>8249</v>
      </c>
      <c r="B244" s="15" t="s">
        <v>248</v>
      </c>
      <c r="C244" s="15" t="s">
        <v>431</v>
      </c>
      <c r="D244" s="16" t="s">
        <v>368</v>
      </c>
      <c r="E244" s="15" t="s">
        <v>392</v>
      </c>
      <c r="F244" s="15" t="s">
        <v>375</v>
      </c>
      <c r="G244" s="15" t="s">
        <v>357</v>
      </c>
      <c r="H244" s="15" t="s">
        <v>353</v>
      </c>
      <c r="I244" s="15" t="s">
        <v>382</v>
      </c>
      <c r="J244" s="15" t="s">
        <v>373</v>
      </c>
      <c r="K244" s="15" t="s">
        <v>360</v>
      </c>
      <c r="L244" s="15" t="s">
        <v>362</v>
      </c>
      <c r="M244" s="15" t="s">
        <v>365</v>
      </c>
    </row>
    <row r="245" spans="1:16" ht="14.25" customHeight="1" x14ac:dyDescent="0.25">
      <c r="A245" s="14">
        <v>8250</v>
      </c>
      <c r="B245" s="15" t="s">
        <v>249</v>
      </c>
      <c r="C245" s="15" t="s">
        <v>431</v>
      </c>
      <c r="D245" s="16" t="s">
        <v>368</v>
      </c>
      <c r="E245" s="15" t="s">
        <v>392</v>
      </c>
      <c r="F245" s="15" t="s">
        <v>375</v>
      </c>
      <c r="G245" s="15" t="s">
        <v>357</v>
      </c>
      <c r="H245" s="15" t="s">
        <v>353</v>
      </c>
      <c r="I245" s="15" t="s">
        <v>382</v>
      </c>
      <c r="J245" s="15" t="s">
        <v>373</v>
      </c>
      <c r="K245" s="15" t="s">
        <v>360</v>
      </c>
      <c r="L245" s="15" t="s">
        <v>362</v>
      </c>
      <c r="M245" s="15" t="s">
        <v>364</v>
      </c>
    </row>
    <row r="246" spans="1:16" ht="14.25" customHeight="1" x14ac:dyDescent="0.25">
      <c r="A246" s="14">
        <v>8251</v>
      </c>
      <c r="B246" s="15" t="s">
        <v>250</v>
      </c>
      <c r="C246" s="15" t="s">
        <v>431</v>
      </c>
      <c r="D246" s="16" t="s">
        <v>368</v>
      </c>
      <c r="E246" s="15" t="s">
        <v>392</v>
      </c>
      <c r="F246" s="15" t="s">
        <v>375</v>
      </c>
      <c r="G246" s="15" t="s">
        <v>357</v>
      </c>
      <c r="H246" s="15" t="s">
        <v>353</v>
      </c>
      <c r="I246" s="15" t="s">
        <v>382</v>
      </c>
      <c r="J246" s="15" t="s">
        <v>373</v>
      </c>
      <c r="K246" s="15" t="s">
        <v>360</v>
      </c>
      <c r="L246" s="15" t="s">
        <v>362</v>
      </c>
      <c r="M246" s="15" t="s">
        <v>365</v>
      </c>
    </row>
    <row r="247" spans="1:16" ht="14.25" customHeight="1" x14ac:dyDescent="0.25">
      <c r="A247" s="17">
        <v>8252</v>
      </c>
      <c r="B247" s="16" t="s">
        <v>251</v>
      </c>
      <c r="C247" s="16" t="s">
        <v>432</v>
      </c>
      <c r="D247" s="16" t="s">
        <v>368</v>
      </c>
      <c r="E247" s="20" t="s">
        <v>374</v>
      </c>
      <c r="F247" s="16" t="s">
        <v>381</v>
      </c>
      <c r="G247" s="16" t="s">
        <v>357</v>
      </c>
      <c r="H247" s="16" t="s">
        <v>352</v>
      </c>
      <c r="I247" s="16" t="s">
        <v>382</v>
      </c>
      <c r="J247" s="16" t="s">
        <v>373</v>
      </c>
      <c r="K247" s="16" t="s">
        <v>361</v>
      </c>
      <c r="L247" s="16" t="s">
        <v>363</v>
      </c>
      <c r="M247" s="16" t="s">
        <v>365</v>
      </c>
      <c r="N247" s="16"/>
      <c r="O247" s="16"/>
      <c r="P247" s="16"/>
    </row>
    <row r="248" spans="1:16" ht="14.25" customHeight="1" x14ac:dyDescent="0.25">
      <c r="A248" s="14">
        <v>8253</v>
      </c>
      <c r="B248" s="15" t="s">
        <v>252</v>
      </c>
      <c r="C248" s="15" t="s">
        <v>433</v>
      </c>
      <c r="D248" s="16" t="s">
        <v>368</v>
      </c>
      <c r="E248" s="15" t="s">
        <v>376</v>
      </c>
      <c r="F248" s="15" t="s">
        <v>375</v>
      </c>
      <c r="G248" s="15" t="s">
        <v>356</v>
      </c>
      <c r="H248" s="15" t="s">
        <v>352</v>
      </c>
      <c r="I248" s="15" t="s">
        <v>372</v>
      </c>
      <c r="J248" s="15" t="s">
        <v>373</v>
      </c>
      <c r="K248" s="15" t="s">
        <v>360</v>
      </c>
      <c r="L248" s="15" t="s">
        <v>362</v>
      </c>
      <c r="M248" s="15" t="s">
        <v>365</v>
      </c>
    </row>
    <row r="249" spans="1:16" ht="14.25" customHeight="1" x14ac:dyDescent="0.25">
      <c r="A249" s="14">
        <v>8254</v>
      </c>
      <c r="B249" s="15" t="s">
        <v>253</v>
      </c>
      <c r="C249" s="15" t="s">
        <v>433</v>
      </c>
      <c r="D249" s="16" t="s">
        <v>368</v>
      </c>
      <c r="E249" s="15" t="s">
        <v>369</v>
      </c>
      <c r="F249" s="15" t="s">
        <v>389</v>
      </c>
      <c r="G249" s="15" t="s">
        <v>371</v>
      </c>
      <c r="H249" s="15" t="s">
        <v>353</v>
      </c>
      <c r="I249" s="15" t="s">
        <v>372</v>
      </c>
      <c r="J249" s="15" t="s">
        <v>373</v>
      </c>
      <c r="K249" s="15" t="s">
        <v>360</v>
      </c>
      <c r="L249" s="15" t="s">
        <v>363</v>
      </c>
      <c r="M249" s="15" t="s">
        <v>365</v>
      </c>
    </row>
    <row r="250" spans="1:16" ht="14.25" customHeight="1" x14ac:dyDescent="0.25">
      <c r="A250" s="14">
        <v>8255</v>
      </c>
      <c r="B250" s="15" t="s">
        <v>254</v>
      </c>
      <c r="C250" s="15" t="s">
        <v>433</v>
      </c>
      <c r="D250" s="16" t="s">
        <v>368</v>
      </c>
      <c r="E250" s="15" t="s">
        <v>369</v>
      </c>
      <c r="F250" s="15" t="s">
        <v>375</v>
      </c>
      <c r="G250" s="15" t="s">
        <v>371</v>
      </c>
      <c r="H250" s="15" t="s">
        <v>353</v>
      </c>
      <c r="I250" s="15" t="s">
        <v>372</v>
      </c>
      <c r="J250" s="15" t="s">
        <v>359</v>
      </c>
      <c r="K250" s="15" t="s">
        <v>360</v>
      </c>
      <c r="L250" s="15" t="s">
        <v>363</v>
      </c>
      <c r="M250" s="15" t="s">
        <v>365</v>
      </c>
    </row>
    <row r="251" spans="1:16" ht="14.25" customHeight="1" x14ac:dyDescent="0.25">
      <c r="A251" s="14">
        <v>8256</v>
      </c>
      <c r="B251" s="15" t="s">
        <v>255</v>
      </c>
      <c r="C251" s="15" t="s">
        <v>433</v>
      </c>
      <c r="D251" s="16" t="s">
        <v>368</v>
      </c>
      <c r="E251" s="15" t="s">
        <v>369</v>
      </c>
      <c r="F251" s="15" t="s">
        <v>381</v>
      </c>
      <c r="G251" s="15" t="s">
        <v>358</v>
      </c>
      <c r="H251" s="15" t="s">
        <v>353</v>
      </c>
      <c r="I251" s="15" t="s">
        <v>372</v>
      </c>
      <c r="J251" s="15" t="s">
        <v>359</v>
      </c>
      <c r="K251" s="15" t="s">
        <v>361</v>
      </c>
      <c r="L251" s="15" t="s">
        <v>363</v>
      </c>
      <c r="M251" s="15" t="s">
        <v>365</v>
      </c>
    </row>
    <row r="252" spans="1:16" ht="14.25" customHeight="1" x14ac:dyDescent="0.25">
      <c r="A252" s="14">
        <v>8257</v>
      </c>
      <c r="B252" s="15" t="s">
        <v>256</v>
      </c>
      <c r="C252" s="15" t="s">
        <v>433</v>
      </c>
      <c r="D252" s="16" t="s">
        <v>368</v>
      </c>
      <c r="E252" s="15" t="s">
        <v>376</v>
      </c>
      <c r="F252" s="15" t="s">
        <v>370</v>
      </c>
      <c r="G252" s="15" t="s">
        <v>356</v>
      </c>
      <c r="H252" s="15" t="s">
        <v>352</v>
      </c>
      <c r="I252" s="15" t="s">
        <v>382</v>
      </c>
      <c r="J252" s="15" t="s">
        <v>373</v>
      </c>
      <c r="K252" s="15" t="s">
        <v>360</v>
      </c>
      <c r="L252" s="15" t="s">
        <v>363</v>
      </c>
      <c r="M252" s="15" t="s">
        <v>365</v>
      </c>
    </row>
    <row r="253" spans="1:16" ht="14.25" customHeight="1" x14ac:dyDescent="0.25">
      <c r="A253" s="14">
        <v>8258</v>
      </c>
      <c r="B253" s="15" t="s">
        <v>257</v>
      </c>
      <c r="C253" s="15" t="s">
        <v>433</v>
      </c>
      <c r="D253" s="16" t="s">
        <v>368</v>
      </c>
      <c r="E253" s="15" t="s">
        <v>376</v>
      </c>
      <c r="F253" s="15" t="s">
        <v>370</v>
      </c>
      <c r="G253" s="15" t="s">
        <v>356</v>
      </c>
      <c r="H253" s="15" t="s">
        <v>352</v>
      </c>
      <c r="I253" s="15" t="s">
        <v>372</v>
      </c>
      <c r="J253" s="15" t="s">
        <v>373</v>
      </c>
      <c r="K253" s="15" t="s">
        <v>360</v>
      </c>
      <c r="L253" s="15" t="s">
        <v>363</v>
      </c>
      <c r="M253" s="15" t="s">
        <v>365</v>
      </c>
    </row>
    <row r="254" spans="1:16" ht="14.25" customHeight="1" x14ac:dyDescent="0.25">
      <c r="A254" s="14">
        <v>8259</v>
      </c>
      <c r="B254" s="15" t="s">
        <v>258</v>
      </c>
      <c r="C254" s="15" t="s">
        <v>433</v>
      </c>
      <c r="D254" s="16" t="s">
        <v>368</v>
      </c>
      <c r="E254" s="15" t="s">
        <v>369</v>
      </c>
      <c r="F254" s="15" t="s">
        <v>389</v>
      </c>
      <c r="G254" s="15" t="s">
        <v>371</v>
      </c>
      <c r="H254" s="15" t="s">
        <v>353</v>
      </c>
      <c r="I254" s="15" t="s">
        <v>372</v>
      </c>
      <c r="J254" s="15" t="s">
        <v>359</v>
      </c>
      <c r="K254" s="15" t="s">
        <v>360</v>
      </c>
      <c r="L254" s="15" t="s">
        <v>363</v>
      </c>
      <c r="M254" s="15" t="s">
        <v>365</v>
      </c>
    </row>
    <row r="255" spans="1:16" ht="14.25" customHeight="1" x14ac:dyDescent="0.25">
      <c r="A255" s="14">
        <v>8260</v>
      </c>
      <c r="B255" s="15" t="s">
        <v>259</v>
      </c>
      <c r="C255" s="15" t="s">
        <v>433</v>
      </c>
      <c r="D255" s="16" t="s">
        <v>368</v>
      </c>
      <c r="E255" s="15" t="s">
        <v>376</v>
      </c>
      <c r="F255" s="15" t="s">
        <v>370</v>
      </c>
      <c r="G255" s="15" t="s">
        <v>357</v>
      </c>
      <c r="H255" s="15" t="s">
        <v>352</v>
      </c>
      <c r="I255" s="15" t="s">
        <v>372</v>
      </c>
      <c r="J255" s="15" t="s">
        <v>373</v>
      </c>
      <c r="K255" s="15" t="s">
        <v>360</v>
      </c>
      <c r="L255" s="15" t="s">
        <v>363</v>
      </c>
      <c r="M255" s="15" t="s">
        <v>365</v>
      </c>
    </row>
    <row r="256" spans="1:16" ht="14.25" customHeight="1" x14ac:dyDescent="0.25">
      <c r="A256" s="14">
        <v>8261</v>
      </c>
      <c r="B256" s="15" t="s">
        <v>260</v>
      </c>
      <c r="C256" s="15" t="s">
        <v>433</v>
      </c>
      <c r="D256" s="16" t="s">
        <v>368</v>
      </c>
      <c r="E256" s="15" t="s">
        <v>374</v>
      </c>
      <c r="F256" s="15" t="s">
        <v>375</v>
      </c>
      <c r="G256" s="15" t="s">
        <v>356</v>
      </c>
      <c r="H256" s="15" t="s">
        <v>355</v>
      </c>
      <c r="I256" s="15" t="s">
        <v>372</v>
      </c>
      <c r="J256" s="15" t="s">
        <v>373</v>
      </c>
      <c r="K256" s="15" t="s">
        <v>360</v>
      </c>
      <c r="L256" s="15" t="s">
        <v>362</v>
      </c>
      <c r="M256" s="15" t="s">
        <v>364</v>
      </c>
    </row>
    <row r="257" spans="1:16" ht="14.25" customHeight="1" x14ac:dyDescent="0.25">
      <c r="A257" s="17">
        <v>8262</v>
      </c>
      <c r="B257" s="16" t="s">
        <v>261</v>
      </c>
      <c r="C257" s="16" t="s">
        <v>433</v>
      </c>
      <c r="D257" s="16" t="s">
        <v>368</v>
      </c>
      <c r="E257" s="20" t="s">
        <v>374</v>
      </c>
      <c r="F257" s="16" t="s">
        <v>375</v>
      </c>
      <c r="G257" s="16" t="s">
        <v>356</v>
      </c>
      <c r="H257" s="20" t="s">
        <v>352</v>
      </c>
      <c r="I257" s="16" t="s">
        <v>372</v>
      </c>
      <c r="J257" s="16" t="s">
        <v>359</v>
      </c>
      <c r="K257" s="16" t="s">
        <v>360</v>
      </c>
      <c r="L257" s="16" t="s">
        <v>362</v>
      </c>
      <c r="M257" s="16" t="s">
        <v>364</v>
      </c>
      <c r="N257" s="16"/>
      <c r="O257" s="16"/>
      <c r="P257" s="16"/>
    </row>
    <row r="258" spans="1:16" ht="14.25" customHeight="1" x14ac:dyDescent="0.25">
      <c r="A258" s="14">
        <v>8263</v>
      </c>
      <c r="B258" s="15" t="s">
        <v>262</v>
      </c>
      <c r="C258" s="15" t="s">
        <v>434</v>
      </c>
      <c r="D258" s="16" t="s">
        <v>368</v>
      </c>
      <c r="E258" s="15" t="s">
        <v>378</v>
      </c>
      <c r="F258" s="15" t="s">
        <v>386</v>
      </c>
      <c r="G258" s="15" t="s">
        <v>356</v>
      </c>
      <c r="H258" s="15" t="s">
        <v>354</v>
      </c>
      <c r="I258" s="15" t="s">
        <v>372</v>
      </c>
      <c r="J258" s="15" t="s">
        <v>373</v>
      </c>
      <c r="K258" s="15" t="s">
        <v>387</v>
      </c>
      <c r="L258" s="15" t="s">
        <v>363</v>
      </c>
      <c r="M258" s="15" t="s">
        <v>365</v>
      </c>
    </row>
    <row r="259" spans="1:16" ht="14.25" customHeight="1" x14ac:dyDescent="0.25">
      <c r="A259" s="17">
        <v>8264</v>
      </c>
      <c r="B259" s="16" t="s">
        <v>263</v>
      </c>
      <c r="C259" s="16" t="s">
        <v>435</v>
      </c>
      <c r="D259" s="16" t="s">
        <v>368</v>
      </c>
      <c r="E259" s="20" t="s">
        <v>374</v>
      </c>
      <c r="F259" s="16" t="s">
        <v>404</v>
      </c>
      <c r="G259" s="16" t="s">
        <v>356</v>
      </c>
      <c r="H259" s="16" t="s">
        <v>352</v>
      </c>
      <c r="I259" s="16" t="s">
        <v>372</v>
      </c>
      <c r="J259" s="16" t="s">
        <v>359</v>
      </c>
      <c r="K259" s="16" t="s">
        <v>360</v>
      </c>
      <c r="L259" s="16" t="s">
        <v>363</v>
      </c>
      <c r="M259" s="16" t="s">
        <v>364</v>
      </c>
      <c r="N259" s="16"/>
      <c r="O259" s="16"/>
      <c r="P259" s="16"/>
    </row>
    <row r="260" spans="1:16" ht="14.25" customHeight="1" x14ac:dyDescent="0.25">
      <c r="A260" s="17">
        <v>8265</v>
      </c>
      <c r="B260" s="16" t="s">
        <v>264</v>
      </c>
      <c r="C260" s="16" t="s">
        <v>435</v>
      </c>
      <c r="D260" s="16" t="s">
        <v>368</v>
      </c>
      <c r="E260" s="20" t="s">
        <v>374</v>
      </c>
      <c r="F260" s="16" t="s">
        <v>404</v>
      </c>
      <c r="G260" s="16" t="s">
        <v>356</v>
      </c>
      <c r="H260" s="16" t="s">
        <v>352</v>
      </c>
      <c r="I260" s="16" t="s">
        <v>372</v>
      </c>
      <c r="J260" s="16" t="s">
        <v>359</v>
      </c>
      <c r="K260" s="16" t="s">
        <v>360</v>
      </c>
      <c r="L260" s="16" t="s">
        <v>363</v>
      </c>
      <c r="M260" s="16" t="s">
        <v>364</v>
      </c>
      <c r="N260" s="16"/>
      <c r="O260" s="16"/>
      <c r="P260" s="16"/>
    </row>
    <row r="261" spans="1:16" ht="14.25" customHeight="1" x14ac:dyDescent="0.25">
      <c r="A261" s="17">
        <v>8266</v>
      </c>
      <c r="B261" s="13" t="s">
        <v>474</v>
      </c>
      <c r="C261" s="16" t="s">
        <v>435</v>
      </c>
      <c r="D261" s="16" t="s">
        <v>368</v>
      </c>
      <c r="E261" s="20" t="s">
        <v>369</v>
      </c>
      <c r="F261" s="20" t="s">
        <v>404</v>
      </c>
      <c r="G261" s="16" t="s">
        <v>356</v>
      </c>
      <c r="H261" s="16" t="s">
        <v>352</v>
      </c>
      <c r="I261" s="16" t="s">
        <v>372</v>
      </c>
      <c r="J261" s="16" t="s">
        <v>359</v>
      </c>
      <c r="K261" s="16" t="s">
        <v>361</v>
      </c>
      <c r="L261" s="16" t="s">
        <v>363</v>
      </c>
      <c r="M261" s="16" t="s">
        <v>365</v>
      </c>
      <c r="N261" s="16"/>
      <c r="O261" s="16"/>
      <c r="P261" s="16"/>
    </row>
    <row r="262" spans="1:16" ht="14.25" customHeight="1" x14ac:dyDescent="0.25">
      <c r="A262" s="17">
        <v>8267</v>
      </c>
      <c r="B262" s="13" t="s">
        <v>477</v>
      </c>
      <c r="C262" s="16" t="s">
        <v>435</v>
      </c>
      <c r="D262" s="16" t="s">
        <v>368</v>
      </c>
      <c r="E262" s="20" t="s">
        <v>374</v>
      </c>
      <c r="F262" s="16" t="s">
        <v>404</v>
      </c>
      <c r="G262" s="16" t="s">
        <v>356</v>
      </c>
      <c r="H262" s="16" t="s">
        <v>352</v>
      </c>
      <c r="I262" s="16" t="s">
        <v>372</v>
      </c>
      <c r="J262" s="16" t="s">
        <v>359</v>
      </c>
      <c r="K262" s="16" t="s">
        <v>360</v>
      </c>
      <c r="L262" s="16" t="s">
        <v>363</v>
      </c>
      <c r="M262" s="16" t="s">
        <v>364</v>
      </c>
      <c r="N262" s="16"/>
      <c r="O262" s="16"/>
      <c r="P262" s="16"/>
    </row>
    <row r="263" spans="1:16" ht="14.25" customHeight="1" x14ac:dyDescent="0.25">
      <c r="A263" s="17">
        <v>8268</v>
      </c>
      <c r="B263" s="16" t="s">
        <v>265</v>
      </c>
      <c r="C263" s="16" t="s">
        <v>435</v>
      </c>
      <c r="D263" s="16" t="s">
        <v>368</v>
      </c>
      <c r="E263" s="20" t="s">
        <v>374</v>
      </c>
      <c r="F263" s="16" t="s">
        <v>404</v>
      </c>
      <c r="G263" s="16" t="s">
        <v>358</v>
      </c>
      <c r="H263" s="16" t="s">
        <v>352</v>
      </c>
      <c r="I263" s="16" t="s">
        <v>382</v>
      </c>
      <c r="J263" s="16" t="s">
        <v>373</v>
      </c>
      <c r="K263" s="16" t="s">
        <v>360</v>
      </c>
      <c r="L263" s="16" t="s">
        <v>363</v>
      </c>
      <c r="M263" s="16" t="s">
        <v>364</v>
      </c>
      <c r="N263" s="16"/>
      <c r="O263" s="16"/>
      <c r="P263" s="16"/>
    </row>
    <row r="264" spans="1:16" ht="14.25" customHeight="1" x14ac:dyDescent="0.25">
      <c r="A264" s="17">
        <v>8269</v>
      </c>
      <c r="B264" s="16" t="s">
        <v>266</v>
      </c>
      <c r="C264" s="16" t="s">
        <v>435</v>
      </c>
      <c r="D264" s="16" t="s">
        <v>368</v>
      </c>
      <c r="E264" s="20" t="s">
        <v>374</v>
      </c>
      <c r="F264" s="16" t="s">
        <v>404</v>
      </c>
      <c r="G264" s="16" t="s">
        <v>357</v>
      </c>
      <c r="H264" s="16" t="s">
        <v>352</v>
      </c>
      <c r="I264" s="16" t="s">
        <v>372</v>
      </c>
      <c r="J264" s="16" t="s">
        <v>373</v>
      </c>
      <c r="K264" s="16" t="s">
        <v>360</v>
      </c>
      <c r="L264" s="16" t="s">
        <v>363</v>
      </c>
      <c r="M264" s="16" t="s">
        <v>364</v>
      </c>
      <c r="N264" s="16"/>
      <c r="O264" s="16"/>
      <c r="P264" s="16"/>
    </row>
    <row r="265" spans="1:16" ht="14.25" customHeight="1" x14ac:dyDescent="0.25">
      <c r="A265" s="14">
        <v>8270</v>
      </c>
      <c r="B265" s="15" t="s">
        <v>267</v>
      </c>
      <c r="C265" s="15" t="s">
        <v>436</v>
      </c>
      <c r="D265" s="16" t="s">
        <v>368</v>
      </c>
      <c r="E265" s="15" t="s">
        <v>376</v>
      </c>
      <c r="F265" s="15" t="s">
        <v>370</v>
      </c>
      <c r="G265" s="15" t="s">
        <v>357</v>
      </c>
      <c r="H265" s="15" t="s">
        <v>352</v>
      </c>
      <c r="I265" s="15" t="s">
        <v>372</v>
      </c>
      <c r="J265" s="15" t="s">
        <v>373</v>
      </c>
      <c r="K265" s="15" t="s">
        <v>360</v>
      </c>
      <c r="L265" s="15" t="s">
        <v>363</v>
      </c>
      <c r="M265" s="15" t="s">
        <v>365</v>
      </c>
    </row>
    <row r="266" spans="1:16" ht="14.25" customHeight="1" x14ac:dyDescent="0.25">
      <c r="A266" s="17">
        <v>8271</v>
      </c>
      <c r="B266" s="16" t="s">
        <v>268</v>
      </c>
      <c r="C266" s="16" t="s">
        <v>436</v>
      </c>
      <c r="D266" s="16" t="s">
        <v>368</v>
      </c>
      <c r="E266" s="20" t="s">
        <v>376</v>
      </c>
      <c r="F266" s="16" t="s">
        <v>370</v>
      </c>
      <c r="G266" s="16" t="s">
        <v>357</v>
      </c>
      <c r="H266" s="16" t="s">
        <v>352</v>
      </c>
      <c r="I266" s="16" t="s">
        <v>372</v>
      </c>
      <c r="J266" s="16" t="s">
        <v>373</v>
      </c>
      <c r="K266" s="16" t="s">
        <v>360</v>
      </c>
      <c r="L266" s="16" t="s">
        <v>363</v>
      </c>
      <c r="M266" s="16" t="s">
        <v>364</v>
      </c>
      <c r="N266" s="16"/>
      <c r="O266" s="16"/>
      <c r="P266" s="16"/>
    </row>
    <row r="267" spans="1:16" ht="14.25" customHeight="1" x14ac:dyDescent="0.25">
      <c r="A267" s="14">
        <v>8272</v>
      </c>
      <c r="B267" s="15" t="s">
        <v>269</v>
      </c>
      <c r="C267" s="15" t="s">
        <v>436</v>
      </c>
      <c r="D267" s="16" t="s">
        <v>368</v>
      </c>
      <c r="E267" s="15" t="s">
        <v>376</v>
      </c>
      <c r="F267" s="15" t="s">
        <v>370</v>
      </c>
      <c r="G267" s="15" t="s">
        <v>357</v>
      </c>
      <c r="H267" s="15" t="s">
        <v>352</v>
      </c>
      <c r="I267" s="15" t="s">
        <v>372</v>
      </c>
      <c r="J267" s="15" t="s">
        <v>373</v>
      </c>
      <c r="K267" s="15" t="s">
        <v>360</v>
      </c>
      <c r="L267" s="15" t="s">
        <v>363</v>
      </c>
      <c r="M267" s="15" t="s">
        <v>365</v>
      </c>
    </row>
    <row r="268" spans="1:16" ht="14.25" customHeight="1" x14ac:dyDescent="0.25">
      <c r="A268" s="14">
        <v>8273</v>
      </c>
      <c r="B268" s="15" t="s">
        <v>270</v>
      </c>
      <c r="C268" s="15" t="s">
        <v>436</v>
      </c>
      <c r="D268" s="16" t="s">
        <v>368</v>
      </c>
      <c r="E268" s="15" t="s">
        <v>374</v>
      </c>
      <c r="F268" s="15" t="s">
        <v>370</v>
      </c>
      <c r="G268" s="15" t="s">
        <v>357</v>
      </c>
      <c r="H268" s="15" t="s">
        <v>351</v>
      </c>
      <c r="I268" s="15" t="s">
        <v>372</v>
      </c>
      <c r="J268" s="15" t="s">
        <v>373</v>
      </c>
      <c r="K268" s="15" t="s">
        <v>360</v>
      </c>
      <c r="L268" s="15" t="s">
        <v>362</v>
      </c>
      <c r="M268" s="15" t="s">
        <v>365</v>
      </c>
    </row>
    <row r="269" spans="1:16" ht="14.25" customHeight="1" x14ac:dyDescent="0.25">
      <c r="A269" s="14">
        <v>8274</v>
      </c>
      <c r="B269" s="15" t="s">
        <v>271</v>
      </c>
      <c r="C269" s="15" t="s">
        <v>436</v>
      </c>
      <c r="D269" s="16" t="s">
        <v>368</v>
      </c>
      <c r="E269" s="15" t="s">
        <v>376</v>
      </c>
      <c r="F269" s="15" t="s">
        <v>370</v>
      </c>
      <c r="G269" s="15" t="s">
        <v>371</v>
      </c>
      <c r="H269" s="15" t="s">
        <v>352</v>
      </c>
      <c r="I269" s="15" t="s">
        <v>372</v>
      </c>
      <c r="J269" s="15" t="s">
        <v>373</v>
      </c>
      <c r="K269" s="15" t="s">
        <v>360</v>
      </c>
      <c r="L269" s="15" t="s">
        <v>363</v>
      </c>
      <c r="M269" s="15" t="s">
        <v>365</v>
      </c>
    </row>
    <row r="270" spans="1:16" ht="14.25" customHeight="1" x14ac:dyDescent="0.25">
      <c r="A270" s="14">
        <v>8275</v>
      </c>
      <c r="B270" s="15" t="s">
        <v>272</v>
      </c>
      <c r="C270" s="15" t="s">
        <v>436</v>
      </c>
      <c r="D270" s="16" t="s">
        <v>368</v>
      </c>
      <c r="E270" s="15" t="s">
        <v>376</v>
      </c>
      <c r="F270" s="15" t="s">
        <v>370</v>
      </c>
      <c r="G270" s="15" t="s">
        <v>371</v>
      </c>
      <c r="H270" s="15" t="s">
        <v>354</v>
      </c>
      <c r="I270" s="15" t="s">
        <v>372</v>
      </c>
      <c r="J270" s="15" t="s">
        <v>373</v>
      </c>
      <c r="K270" s="15" t="s">
        <v>360</v>
      </c>
      <c r="L270" s="15" t="s">
        <v>362</v>
      </c>
      <c r="M270" s="15" t="s">
        <v>364</v>
      </c>
    </row>
    <row r="271" spans="1:16" ht="14.25" customHeight="1" x14ac:dyDescent="0.25">
      <c r="A271" s="14">
        <v>8276</v>
      </c>
      <c r="B271" s="15" t="s">
        <v>273</v>
      </c>
      <c r="C271" s="15" t="s">
        <v>436</v>
      </c>
      <c r="D271" s="16" t="s">
        <v>368</v>
      </c>
      <c r="E271" s="15" t="s">
        <v>376</v>
      </c>
      <c r="F271" s="15" t="s">
        <v>370</v>
      </c>
      <c r="G271" s="15" t="s">
        <v>357</v>
      </c>
      <c r="H271" s="15" t="s">
        <v>351</v>
      </c>
      <c r="I271" s="15" t="s">
        <v>372</v>
      </c>
      <c r="J271" s="15" t="s">
        <v>373</v>
      </c>
      <c r="K271" s="15" t="s">
        <v>360</v>
      </c>
      <c r="L271" s="15" t="s">
        <v>362</v>
      </c>
      <c r="M271" s="15" t="s">
        <v>365</v>
      </c>
    </row>
    <row r="272" spans="1:16" ht="14.25" customHeight="1" x14ac:dyDescent="0.25">
      <c r="A272" s="14">
        <v>8277</v>
      </c>
      <c r="B272" s="15" t="s">
        <v>274</v>
      </c>
      <c r="C272" s="15" t="s">
        <v>436</v>
      </c>
      <c r="D272" s="16" t="s">
        <v>368</v>
      </c>
      <c r="E272" s="15" t="s">
        <v>376</v>
      </c>
      <c r="F272" s="15" t="s">
        <v>370</v>
      </c>
      <c r="G272" s="15" t="s">
        <v>357</v>
      </c>
      <c r="H272" s="15" t="s">
        <v>353</v>
      </c>
      <c r="I272" s="15" t="s">
        <v>372</v>
      </c>
      <c r="J272" s="15" t="s">
        <v>359</v>
      </c>
      <c r="K272" s="15" t="s">
        <v>360</v>
      </c>
      <c r="L272" s="15" t="s">
        <v>362</v>
      </c>
      <c r="M272" s="15" t="s">
        <v>365</v>
      </c>
    </row>
    <row r="273" spans="1:16" ht="14.25" customHeight="1" x14ac:dyDescent="0.25">
      <c r="A273" s="14">
        <v>8278</v>
      </c>
      <c r="B273" s="15" t="s">
        <v>275</v>
      </c>
      <c r="C273" s="15" t="s">
        <v>424</v>
      </c>
      <c r="D273" s="16" t="s">
        <v>368</v>
      </c>
      <c r="E273" s="15" t="s">
        <v>369</v>
      </c>
      <c r="F273" s="15" t="s">
        <v>389</v>
      </c>
      <c r="G273" s="15" t="s">
        <v>357</v>
      </c>
      <c r="H273" s="15" t="s">
        <v>351</v>
      </c>
      <c r="I273" s="15" t="s">
        <v>372</v>
      </c>
      <c r="J273" s="15" t="s">
        <v>373</v>
      </c>
      <c r="K273" s="15" t="s">
        <v>360</v>
      </c>
      <c r="L273" s="15" t="s">
        <v>363</v>
      </c>
      <c r="M273" s="15" t="s">
        <v>366</v>
      </c>
    </row>
    <row r="274" spans="1:16" ht="14.25" customHeight="1" x14ac:dyDescent="0.25">
      <c r="A274" s="17">
        <v>8279</v>
      </c>
      <c r="B274" s="15" t="s">
        <v>276</v>
      </c>
      <c r="C274" s="15" t="s">
        <v>436</v>
      </c>
      <c r="D274" s="16" t="s">
        <v>368</v>
      </c>
      <c r="E274" s="15" t="s">
        <v>376</v>
      </c>
      <c r="F274" s="15" t="s">
        <v>370</v>
      </c>
      <c r="G274" s="15" t="s">
        <v>357</v>
      </c>
      <c r="H274" s="18" t="s">
        <v>353</v>
      </c>
      <c r="I274" s="15" t="s">
        <v>372</v>
      </c>
      <c r="J274" s="15" t="s">
        <v>373</v>
      </c>
      <c r="K274" s="15" t="s">
        <v>360</v>
      </c>
      <c r="L274" s="15" t="s">
        <v>362</v>
      </c>
      <c r="M274" s="15" t="s">
        <v>364</v>
      </c>
      <c r="N274" s="19"/>
      <c r="O274" s="19"/>
      <c r="P274" s="19"/>
    </row>
    <row r="275" spans="1:16" ht="14.25" customHeight="1" x14ac:dyDescent="0.25">
      <c r="A275" s="14">
        <v>8280</v>
      </c>
      <c r="B275" s="15" t="s">
        <v>277</v>
      </c>
      <c r="C275" s="15" t="s">
        <v>436</v>
      </c>
      <c r="D275" s="16" t="s">
        <v>368</v>
      </c>
      <c r="E275" s="15" t="s">
        <v>376</v>
      </c>
      <c r="F275" s="15" t="s">
        <v>370</v>
      </c>
      <c r="G275" s="15" t="s">
        <v>356</v>
      </c>
      <c r="H275" s="15" t="s">
        <v>354</v>
      </c>
      <c r="I275" s="15" t="s">
        <v>372</v>
      </c>
      <c r="J275" s="15" t="s">
        <v>373</v>
      </c>
      <c r="K275" s="15" t="s">
        <v>360</v>
      </c>
      <c r="L275" s="15" t="s">
        <v>362</v>
      </c>
      <c r="M275" s="15" t="s">
        <v>365</v>
      </c>
    </row>
    <row r="276" spans="1:16" ht="14.25" customHeight="1" x14ac:dyDescent="0.25">
      <c r="A276" s="14">
        <v>8281</v>
      </c>
      <c r="B276" s="15" t="s">
        <v>278</v>
      </c>
      <c r="C276" s="15" t="s">
        <v>436</v>
      </c>
      <c r="D276" s="16" t="s">
        <v>368</v>
      </c>
      <c r="E276" s="15" t="s">
        <v>376</v>
      </c>
      <c r="F276" s="15" t="s">
        <v>370</v>
      </c>
      <c r="G276" s="15" t="s">
        <v>356</v>
      </c>
      <c r="H276" s="15" t="s">
        <v>354</v>
      </c>
      <c r="I276" s="15" t="s">
        <v>372</v>
      </c>
      <c r="J276" s="15" t="s">
        <v>373</v>
      </c>
      <c r="K276" s="15" t="s">
        <v>360</v>
      </c>
      <c r="L276" s="15" t="s">
        <v>363</v>
      </c>
      <c r="M276" s="15" t="s">
        <v>365</v>
      </c>
    </row>
    <row r="277" spans="1:16" ht="14.25" customHeight="1" x14ac:dyDescent="0.25">
      <c r="A277" s="14">
        <v>8282</v>
      </c>
      <c r="B277" s="15" t="s">
        <v>279</v>
      </c>
      <c r="C277" s="15" t="s">
        <v>436</v>
      </c>
      <c r="D277" s="16" t="s">
        <v>368</v>
      </c>
      <c r="E277" s="15" t="s">
        <v>376</v>
      </c>
      <c r="F277" s="15" t="s">
        <v>370</v>
      </c>
      <c r="G277" s="15" t="s">
        <v>356</v>
      </c>
      <c r="H277" s="15" t="s">
        <v>354</v>
      </c>
      <c r="I277" s="15" t="s">
        <v>382</v>
      </c>
      <c r="J277" s="15" t="s">
        <v>373</v>
      </c>
      <c r="K277" s="15" t="s">
        <v>360</v>
      </c>
      <c r="L277" s="15" t="s">
        <v>363</v>
      </c>
      <c r="M277" s="15" t="s">
        <v>365</v>
      </c>
    </row>
    <row r="278" spans="1:16" ht="14.25" customHeight="1" x14ac:dyDescent="0.25">
      <c r="A278" s="14">
        <v>8283</v>
      </c>
      <c r="B278" s="15" t="s">
        <v>280</v>
      </c>
      <c r="C278" s="15" t="s">
        <v>436</v>
      </c>
      <c r="D278" s="16" t="s">
        <v>368</v>
      </c>
      <c r="E278" s="15" t="s">
        <v>376</v>
      </c>
      <c r="F278" s="15" t="s">
        <v>370</v>
      </c>
      <c r="G278" s="15" t="s">
        <v>371</v>
      </c>
      <c r="H278" s="15" t="s">
        <v>352</v>
      </c>
      <c r="I278" s="15" t="s">
        <v>382</v>
      </c>
      <c r="J278" s="15" t="s">
        <v>373</v>
      </c>
      <c r="K278" s="15" t="s">
        <v>360</v>
      </c>
      <c r="L278" s="15" t="s">
        <v>363</v>
      </c>
      <c r="M278" s="15" t="s">
        <v>365</v>
      </c>
    </row>
    <row r="279" spans="1:16" ht="14.25" customHeight="1" x14ac:dyDescent="0.25">
      <c r="A279" s="14">
        <v>8284</v>
      </c>
      <c r="B279" s="15" t="s">
        <v>281</v>
      </c>
      <c r="C279" s="15" t="s">
        <v>437</v>
      </c>
      <c r="D279" s="16" t="s">
        <v>368</v>
      </c>
      <c r="E279" s="15" t="s">
        <v>376</v>
      </c>
      <c r="F279" s="15" t="s">
        <v>370</v>
      </c>
      <c r="G279" s="15" t="s">
        <v>356</v>
      </c>
      <c r="H279" s="15" t="s">
        <v>352</v>
      </c>
      <c r="I279" s="15" t="s">
        <v>372</v>
      </c>
      <c r="J279" s="15" t="s">
        <v>373</v>
      </c>
      <c r="K279" s="15" t="s">
        <v>361</v>
      </c>
      <c r="L279" s="15" t="s">
        <v>362</v>
      </c>
      <c r="M279" s="15" t="s">
        <v>365</v>
      </c>
    </row>
    <row r="280" spans="1:16" ht="14.25" customHeight="1" x14ac:dyDescent="0.25">
      <c r="A280" s="14">
        <v>8285</v>
      </c>
      <c r="B280" s="15" t="s">
        <v>282</v>
      </c>
      <c r="C280" s="15" t="s">
        <v>437</v>
      </c>
      <c r="D280" s="16" t="s">
        <v>368</v>
      </c>
      <c r="E280" s="15" t="s">
        <v>376</v>
      </c>
      <c r="F280" s="15" t="s">
        <v>370</v>
      </c>
      <c r="G280" s="15" t="s">
        <v>356</v>
      </c>
      <c r="H280" s="15" t="s">
        <v>352</v>
      </c>
      <c r="I280" s="15" t="s">
        <v>372</v>
      </c>
      <c r="J280" s="15" t="s">
        <v>373</v>
      </c>
      <c r="K280" s="15" t="s">
        <v>361</v>
      </c>
      <c r="L280" s="15" t="s">
        <v>362</v>
      </c>
      <c r="M280" s="15" t="s">
        <v>365</v>
      </c>
    </row>
    <row r="281" spans="1:16" ht="14.25" customHeight="1" x14ac:dyDescent="0.25">
      <c r="A281" s="14">
        <v>8286</v>
      </c>
      <c r="B281" s="15" t="s">
        <v>283</v>
      </c>
      <c r="C281" s="15" t="s">
        <v>437</v>
      </c>
      <c r="D281" s="16" t="s">
        <v>368</v>
      </c>
      <c r="E281" s="15" t="s">
        <v>376</v>
      </c>
      <c r="F281" s="15" t="s">
        <v>370</v>
      </c>
      <c r="G281" s="15" t="s">
        <v>358</v>
      </c>
      <c r="H281" s="15" t="s">
        <v>352</v>
      </c>
      <c r="I281" s="15" t="s">
        <v>382</v>
      </c>
      <c r="J281" s="15" t="s">
        <v>373</v>
      </c>
      <c r="K281" s="15" t="s">
        <v>360</v>
      </c>
      <c r="L281" s="15" t="s">
        <v>363</v>
      </c>
      <c r="M281" s="15" t="s">
        <v>365</v>
      </c>
    </row>
    <row r="282" spans="1:16" ht="14.25" customHeight="1" x14ac:dyDescent="0.25">
      <c r="A282" s="14">
        <v>8287</v>
      </c>
      <c r="B282" s="15" t="s">
        <v>284</v>
      </c>
      <c r="C282" s="15" t="s">
        <v>438</v>
      </c>
      <c r="D282" s="16" t="s">
        <v>368</v>
      </c>
      <c r="E282" s="15" t="s">
        <v>374</v>
      </c>
      <c r="F282" s="15" t="s">
        <v>386</v>
      </c>
      <c r="G282" s="15" t="s">
        <v>356</v>
      </c>
      <c r="H282" s="15" t="s">
        <v>352</v>
      </c>
      <c r="I282" s="15" t="s">
        <v>372</v>
      </c>
      <c r="J282" s="15" t="s">
        <v>373</v>
      </c>
      <c r="K282" s="15" t="s">
        <v>387</v>
      </c>
      <c r="L282" s="15" t="s">
        <v>363</v>
      </c>
      <c r="M282" s="15" t="s">
        <v>364</v>
      </c>
    </row>
    <row r="283" spans="1:16" ht="14.25" customHeight="1" x14ac:dyDescent="0.25">
      <c r="A283" s="14">
        <v>8288</v>
      </c>
      <c r="B283" s="15" t="s">
        <v>285</v>
      </c>
      <c r="C283" s="15" t="s">
        <v>438</v>
      </c>
      <c r="D283" s="16" t="s">
        <v>368</v>
      </c>
      <c r="E283" s="15" t="s">
        <v>374</v>
      </c>
      <c r="F283" s="15" t="s">
        <v>370</v>
      </c>
      <c r="G283" s="15" t="s">
        <v>357</v>
      </c>
      <c r="H283" s="15" t="s">
        <v>352</v>
      </c>
      <c r="I283" s="15" t="s">
        <v>372</v>
      </c>
      <c r="J283" s="15" t="s">
        <v>359</v>
      </c>
      <c r="K283" s="15" t="s">
        <v>360</v>
      </c>
      <c r="L283" s="15" t="s">
        <v>363</v>
      </c>
      <c r="M283" s="15" t="s">
        <v>365</v>
      </c>
    </row>
    <row r="284" spans="1:16" ht="14.25" customHeight="1" x14ac:dyDescent="0.25">
      <c r="A284" s="14">
        <v>8289</v>
      </c>
      <c r="B284" s="15" t="s">
        <v>286</v>
      </c>
      <c r="C284" s="15" t="s">
        <v>439</v>
      </c>
      <c r="D284" s="16" t="s">
        <v>368</v>
      </c>
      <c r="E284" s="15" t="s">
        <v>369</v>
      </c>
      <c r="F284" s="15" t="s">
        <v>370</v>
      </c>
      <c r="G284" s="15" t="s">
        <v>357</v>
      </c>
      <c r="H284" s="15" t="s">
        <v>353</v>
      </c>
      <c r="I284" s="15" t="s">
        <v>372</v>
      </c>
      <c r="J284" s="15" t="s">
        <v>373</v>
      </c>
      <c r="K284" s="15" t="s">
        <v>361</v>
      </c>
      <c r="L284" s="15" t="s">
        <v>363</v>
      </c>
      <c r="M284" s="15" t="s">
        <v>365</v>
      </c>
    </row>
    <row r="285" spans="1:16" ht="14.25" customHeight="1" x14ac:dyDescent="0.25">
      <c r="A285" s="14">
        <v>8290</v>
      </c>
      <c r="B285" s="15" t="s">
        <v>287</v>
      </c>
      <c r="C285" s="15" t="s">
        <v>439</v>
      </c>
      <c r="D285" s="16" t="s">
        <v>368</v>
      </c>
      <c r="E285" s="15" t="s">
        <v>378</v>
      </c>
      <c r="F285" s="15" t="s">
        <v>370</v>
      </c>
      <c r="G285" s="15" t="s">
        <v>357</v>
      </c>
      <c r="H285" s="15" t="s">
        <v>352</v>
      </c>
      <c r="I285" s="15" t="s">
        <v>372</v>
      </c>
      <c r="J285" s="15" t="s">
        <v>359</v>
      </c>
      <c r="K285" s="15" t="s">
        <v>361</v>
      </c>
      <c r="L285" s="15" t="s">
        <v>362</v>
      </c>
      <c r="M285" s="15" t="s">
        <v>364</v>
      </c>
    </row>
    <row r="286" spans="1:16" ht="14.25" customHeight="1" x14ac:dyDescent="0.25">
      <c r="A286" s="14">
        <v>8291</v>
      </c>
      <c r="B286" s="15" t="s">
        <v>288</v>
      </c>
      <c r="C286" s="15" t="s">
        <v>439</v>
      </c>
      <c r="D286" s="16" t="s">
        <v>368</v>
      </c>
      <c r="E286" s="15" t="s">
        <v>369</v>
      </c>
      <c r="F286" s="15" t="s">
        <v>389</v>
      </c>
      <c r="G286" s="15" t="s">
        <v>371</v>
      </c>
      <c r="H286" s="15" t="s">
        <v>353</v>
      </c>
      <c r="I286" s="15" t="s">
        <v>372</v>
      </c>
      <c r="J286" s="15" t="s">
        <v>373</v>
      </c>
      <c r="K286" s="15" t="s">
        <v>360</v>
      </c>
      <c r="L286" s="15" t="s">
        <v>363</v>
      </c>
      <c r="M286" s="15" t="s">
        <v>365</v>
      </c>
    </row>
    <row r="287" spans="1:16" ht="14.25" customHeight="1" x14ac:dyDescent="0.25">
      <c r="A287" s="14">
        <v>8292</v>
      </c>
      <c r="B287" s="13" t="s">
        <v>472</v>
      </c>
      <c r="C287" s="15" t="s">
        <v>439</v>
      </c>
      <c r="D287" s="16" t="s">
        <v>368</v>
      </c>
      <c r="E287" s="15" t="s">
        <v>374</v>
      </c>
      <c r="F287" s="15" t="s">
        <v>370</v>
      </c>
      <c r="G287" s="15" t="s">
        <v>357</v>
      </c>
      <c r="H287" s="15" t="s">
        <v>352</v>
      </c>
      <c r="I287" s="15" t="s">
        <v>372</v>
      </c>
      <c r="J287" s="15" t="s">
        <v>359</v>
      </c>
      <c r="K287" s="15" t="s">
        <v>360</v>
      </c>
      <c r="L287" s="15" t="s">
        <v>383</v>
      </c>
      <c r="M287" s="15" t="s">
        <v>364</v>
      </c>
    </row>
    <row r="288" spans="1:16" ht="14.25" customHeight="1" x14ac:dyDescent="0.25">
      <c r="A288" s="14">
        <v>8293</v>
      </c>
      <c r="B288" s="15" t="s">
        <v>289</v>
      </c>
      <c r="C288" s="15" t="s">
        <v>440</v>
      </c>
      <c r="D288" s="16" t="s">
        <v>350</v>
      </c>
      <c r="E288" s="15" t="s">
        <v>369</v>
      </c>
      <c r="F288" s="15" t="s">
        <v>389</v>
      </c>
      <c r="G288" s="15" t="s">
        <v>358</v>
      </c>
      <c r="H288" s="15" t="s">
        <v>352</v>
      </c>
      <c r="I288" s="15" t="s">
        <v>372</v>
      </c>
      <c r="J288" s="15" t="s">
        <v>359</v>
      </c>
      <c r="K288" s="15" t="s">
        <v>394</v>
      </c>
      <c r="L288" s="15" t="s">
        <v>363</v>
      </c>
      <c r="M288" s="15" t="s">
        <v>365</v>
      </c>
    </row>
    <row r="289" spans="1:16" ht="14.25" customHeight="1" x14ac:dyDescent="0.25">
      <c r="A289" s="14">
        <v>8294</v>
      </c>
      <c r="B289" s="15" t="s">
        <v>290</v>
      </c>
      <c r="C289" s="15" t="s">
        <v>440</v>
      </c>
      <c r="D289" s="16" t="s">
        <v>350</v>
      </c>
      <c r="E289" s="15" t="s">
        <v>369</v>
      </c>
      <c r="F289" s="15" t="s">
        <v>389</v>
      </c>
      <c r="G289" s="15" t="s">
        <v>358</v>
      </c>
      <c r="H289" s="15" t="s">
        <v>352</v>
      </c>
      <c r="I289" s="15" t="s">
        <v>372</v>
      </c>
      <c r="J289" s="15" t="s">
        <v>359</v>
      </c>
      <c r="K289" s="15" t="s">
        <v>361</v>
      </c>
      <c r="L289" s="15" t="s">
        <v>363</v>
      </c>
      <c r="M289" s="15" t="s">
        <v>365</v>
      </c>
    </row>
    <row r="290" spans="1:16" ht="14.25" customHeight="1" x14ac:dyDescent="0.25">
      <c r="A290" s="14">
        <v>8295</v>
      </c>
      <c r="B290" s="15" t="s">
        <v>291</v>
      </c>
      <c r="C290" s="15" t="s">
        <v>440</v>
      </c>
      <c r="D290" s="16" t="s">
        <v>368</v>
      </c>
      <c r="E290" s="15" t="s">
        <v>392</v>
      </c>
      <c r="F290" s="15" t="s">
        <v>386</v>
      </c>
      <c r="G290" s="15" t="s">
        <v>356</v>
      </c>
      <c r="H290" s="15" t="s">
        <v>352</v>
      </c>
      <c r="I290" s="15" t="s">
        <v>382</v>
      </c>
      <c r="J290" s="15" t="s">
        <v>373</v>
      </c>
      <c r="K290" s="15" t="s">
        <v>387</v>
      </c>
      <c r="L290" s="15" t="s">
        <v>363</v>
      </c>
      <c r="M290" s="15" t="s">
        <v>364</v>
      </c>
    </row>
    <row r="291" spans="1:16" ht="14.25" customHeight="1" x14ac:dyDescent="0.25">
      <c r="A291" s="14">
        <v>8296</v>
      </c>
      <c r="B291" s="15" t="s">
        <v>292</v>
      </c>
      <c r="C291" s="15" t="s">
        <v>440</v>
      </c>
      <c r="D291" s="16" t="s">
        <v>368</v>
      </c>
      <c r="E291" s="15" t="s">
        <v>392</v>
      </c>
      <c r="F291" s="15" t="s">
        <v>386</v>
      </c>
      <c r="G291" s="15" t="s">
        <v>356</v>
      </c>
      <c r="H291" s="15" t="s">
        <v>352</v>
      </c>
      <c r="I291" s="15" t="s">
        <v>372</v>
      </c>
      <c r="J291" s="15" t="s">
        <v>373</v>
      </c>
      <c r="K291" s="15" t="s">
        <v>387</v>
      </c>
      <c r="L291" s="15" t="s">
        <v>363</v>
      </c>
      <c r="M291" s="15" t="s">
        <v>364</v>
      </c>
    </row>
    <row r="292" spans="1:16" ht="14.25" customHeight="1" x14ac:dyDescent="0.25">
      <c r="A292" s="14">
        <v>8297</v>
      </c>
      <c r="B292" s="15" t="s">
        <v>293</v>
      </c>
      <c r="C292" s="15" t="s">
        <v>440</v>
      </c>
      <c r="D292" s="16" t="s">
        <v>350</v>
      </c>
      <c r="E292" s="15" t="s">
        <v>380</v>
      </c>
      <c r="F292" s="15" t="s">
        <v>386</v>
      </c>
      <c r="G292" s="15" t="s">
        <v>358</v>
      </c>
      <c r="H292" s="15" t="s">
        <v>352</v>
      </c>
      <c r="I292" s="15" t="s">
        <v>372</v>
      </c>
      <c r="J292" s="15" t="s">
        <v>359</v>
      </c>
      <c r="K292" s="15" t="s">
        <v>387</v>
      </c>
      <c r="L292" s="15" t="s">
        <v>363</v>
      </c>
      <c r="M292" s="15" t="s">
        <v>364</v>
      </c>
    </row>
    <row r="293" spans="1:16" ht="14.25" customHeight="1" x14ac:dyDescent="0.25">
      <c r="A293" s="14">
        <v>8298</v>
      </c>
      <c r="B293" s="15" t="s">
        <v>294</v>
      </c>
      <c r="C293" s="15" t="s">
        <v>440</v>
      </c>
      <c r="D293" s="16" t="s">
        <v>368</v>
      </c>
      <c r="E293" s="15" t="s">
        <v>380</v>
      </c>
      <c r="F293" s="15" t="s">
        <v>386</v>
      </c>
      <c r="G293" s="15" t="s">
        <v>358</v>
      </c>
      <c r="H293" s="15" t="s">
        <v>352</v>
      </c>
      <c r="I293" s="15" t="s">
        <v>372</v>
      </c>
      <c r="J293" s="15" t="s">
        <v>359</v>
      </c>
      <c r="K293" s="15" t="s">
        <v>387</v>
      </c>
      <c r="L293" s="15" t="s">
        <v>363</v>
      </c>
      <c r="M293" s="15" t="s">
        <v>364</v>
      </c>
    </row>
    <row r="294" spans="1:16" ht="14.25" customHeight="1" x14ac:dyDescent="0.25">
      <c r="A294" s="14">
        <v>8299</v>
      </c>
      <c r="B294" s="15" t="s">
        <v>295</v>
      </c>
      <c r="C294" s="15" t="s">
        <v>440</v>
      </c>
      <c r="D294" s="16" t="s">
        <v>368</v>
      </c>
      <c r="E294" s="15" t="s">
        <v>380</v>
      </c>
      <c r="F294" s="15" t="s">
        <v>386</v>
      </c>
      <c r="G294" s="15" t="s">
        <v>356</v>
      </c>
      <c r="H294" s="15" t="s">
        <v>352</v>
      </c>
      <c r="I294" s="15" t="s">
        <v>372</v>
      </c>
      <c r="J294" s="15" t="s">
        <v>359</v>
      </c>
      <c r="K294" s="15" t="s">
        <v>387</v>
      </c>
      <c r="L294" s="15" t="s">
        <v>363</v>
      </c>
      <c r="M294" s="15" t="s">
        <v>364</v>
      </c>
    </row>
    <row r="295" spans="1:16" ht="14.25" customHeight="1" x14ac:dyDescent="0.25">
      <c r="A295" s="14">
        <v>8300</v>
      </c>
      <c r="B295" s="15" t="s">
        <v>296</v>
      </c>
      <c r="C295" s="15" t="s">
        <v>441</v>
      </c>
      <c r="D295" s="16" t="s">
        <v>368</v>
      </c>
      <c r="E295" s="15" t="s">
        <v>374</v>
      </c>
      <c r="F295" s="15" t="s">
        <v>386</v>
      </c>
      <c r="G295" s="15" t="s">
        <v>371</v>
      </c>
      <c r="H295" s="18" t="s">
        <v>353</v>
      </c>
      <c r="I295" s="15" t="s">
        <v>372</v>
      </c>
      <c r="J295" s="15" t="s">
        <v>373</v>
      </c>
      <c r="K295" s="15" t="s">
        <v>387</v>
      </c>
      <c r="L295" s="15" t="s">
        <v>363</v>
      </c>
      <c r="M295" s="15" t="s">
        <v>365</v>
      </c>
      <c r="N295" s="19"/>
      <c r="O295" s="19"/>
      <c r="P295" s="19"/>
    </row>
    <row r="296" spans="1:16" ht="14.25" customHeight="1" x14ac:dyDescent="0.25">
      <c r="A296" s="14">
        <v>8301</v>
      </c>
      <c r="B296" s="13" t="s">
        <v>462</v>
      </c>
      <c r="C296" s="15" t="s">
        <v>442</v>
      </c>
      <c r="D296" s="16" t="s">
        <v>368</v>
      </c>
      <c r="E296" s="15" t="s">
        <v>376</v>
      </c>
      <c r="F296" s="15" t="s">
        <v>381</v>
      </c>
      <c r="G296" s="15" t="s">
        <v>357</v>
      </c>
      <c r="H296" s="15" t="s">
        <v>352</v>
      </c>
      <c r="I296" s="15" t="s">
        <v>382</v>
      </c>
      <c r="J296" s="15" t="s">
        <v>373</v>
      </c>
      <c r="K296" s="15" t="s">
        <v>361</v>
      </c>
      <c r="L296" s="15" t="s">
        <v>363</v>
      </c>
      <c r="M296" s="15" t="s">
        <v>365</v>
      </c>
    </row>
    <row r="297" spans="1:16" ht="14.25" customHeight="1" x14ac:dyDescent="0.25">
      <c r="A297" s="14">
        <v>8302</v>
      </c>
      <c r="B297" s="13" t="s">
        <v>467</v>
      </c>
      <c r="C297" s="15" t="s">
        <v>442</v>
      </c>
      <c r="D297" s="16" t="s">
        <v>368</v>
      </c>
      <c r="E297" s="15" t="s">
        <v>376</v>
      </c>
      <c r="F297" s="15" t="s">
        <v>381</v>
      </c>
      <c r="G297" s="15" t="s">
        <v>357</v>
      </c>
      <c r="H297" s="15" t="s">
        <v>352</v>
      </c>
      <c r="I297" s="15" t="s">
        <v>382</v>
      </c>
      <c r="J297" s="15" t="s">
        <v>373</v>
      </c>
      <c r="K297" s="15" t="s">
        <v>361</v>
      </c>
      <c r="L297" s="15" t="s">
        <v>363</v>
      </c>
      <c r="M297" s="15" t="s">
        <v>365</v>
      </c>
    </row>
    <row r="298" spans="1:16" ht="14.25" customHeight="1" x14ac:dyDescent="0.25">
      <c r="A298" s="14">
        <v>8303</v>
      </c>
      <c r="B298" s="15" t="s">
        <v>297</v>
      </c>
      <c r="C298" s="15" t="s">
        <v>442</v>
      </c>
      <c r="D298" s="16" t="s">
        <v>368</v>
      </c>
      <c r="E298" s="15" t="s">
        <v>376</v>
      </c>
      <c r="F298" s="15" t="s">
        <v>381</v>
      </c>
      <c r="G298" s="15" t="s">
        <v>357</v>
      </c>
      <c r="H298" s="15" t="s">
        <v>354</v>
      </c>
      <c r="I298" s="15" t="s">
        <v>372</v>
      </c>
      <c r="J298" s="15" t="s">
        <v>359</v>
      </c>
      <c r="K298" s="15" t="s">
        <v>361</v>
      </c>
      <c r="L298" s="15" t="s">
        <v>362</v>
      </c>
      <c r="M298" s="15" t="s">
        <v>365</v>
      </c>
    </row>
    <row r="299" spans="1:16" ht="14.25" customHeight="1" x14ac:dyDescent="0.25">
      <c r="A299" s="14">
        <v>8304</v>
      </c>
      <c r="B299" s="15" t="s">
        <v>298</v>
      </c>
      <c r="C299" s="15" t="s">
        <v>442</v>
      </c>
      <c r="D299" s="16" t="s">
        <v>368</v>
      </c>
      <c r="E299" s="15" t="s">
        <v>369</v>
      </c>
      <c r="F299" s="15" t="s">
        <v>381</v>
      </c>
      <c r="G299" s="15" t="s">
        <v>357</v>
      </c>
      <c r="H299" s="15" t="s">
        <v>352</v>
      </c>
      <c r="I299" s="15" t="s">
        <v>372</v>
      </c>
      <c r="J299" s="15" t="s">
        <v>373</v>
      </c>
      <c r="K299" s="15" t="s">
        <v>360</v>
      </c>
      <c r="L299" s="15" t="s">
        <v>362</v>
      </c>
      <c r="M299" s="15" t="s">
        <v>365</v>
      </c>
    </row>
    <row r="300" spans="1:16" ht="14.25" customHeight="1" x14ac:dyDescent="0.25">
      <c r="A300" s="14">
        <v>8305</v>
      </c>
      <c r="B300" s="15" t="s">
        <v>299</v>
      </c>
      <c r="C300" s="15" t="s">
        <v>443</v>
      </c>
      <c r="D300" s="16" t="s">
        <v>368</v>
      </c>
      <c r="E300" s="15" t="s">
        <v>374</v>
      </c>
      <c r="F300" s="15" t="s">
        <v>370</v>
      </c>
      <c r="G300" s="15" t="s">
        <v>356</v>
      </c>
      <c r="H300" s="15" t="s">
        <v>353</v>
      </c>
      <c r="I300" s="15" t="s">
        <v>382</v>
      </c>
      <c r="J300" s="15" t="s">
        <v>373</v>
      </c>
      <c r="K300" s="15" t="s">
        <v>361</v>
      </c>
      <c r="L300" s="15" t="s">
        <v>362</v>
      </c>
      <c r="M300" s="15" t="s">
        <v>364</v>
      </c>
    </row>
    <row r="301" spans="1:16" ht="14.25" customHeight="1" x14ac:dyDescent="0.25">
      <c r="A301" s="14">
        <v>8306</v>
      </c>
      <c r="B301" s="15" t="s">
        <v>300</v>
      </c>
      <c r="C301" s="15" t="s">
        <v>443</v>
      </c>
      <c r="D301" s="16" t="s">
        <v>368</v>
      </c>
      <c r="E301" s="15" t="s">
        <v>374</v>
      </c>
      <c r="F301" s="15" t="s">
        <v>370</v>
      </c>
      <c r="G301" s="15" t="s">
        <v>358</v>
      </c>
      <c r="H301" s="15" t="s">
        <v>353</v>
      </c>
      <c r="I301" s="15" t="s">
        <v>382</v>
      </c>
      <c r="J301" s="15" t="s">
        <v>373</v>
      </c>
      <c r="K301" s="15" t="s">
        <v>360</v>
      </c>
      <c r="L301" s="15" t="s">
        <v>362</v>
      </c>
      <c r="M301" s="15" t="s">
        <v>364</v>
      </c>
    </row>
    <row r="302" spans="1:16" ht="14.25" customHeight="1" x14ac:dyDescent="0.25">
      <c r="A302" s="14">
        <v>8307</v>
      </c>
      <c r="B302" s="15" t="s">
        <v>301</v>
      </c>
      <c r="C302" s="15" t="s">
        <v>443</v>
      </c>
      <c r="D302" s="16" t="s">
        <v>368</v>
      </c>
      <c r="E302" s="15" t="s">
        <v>369</v>
      </c>
      <c r="F302" s="15" t="s">
        <v>389</v>
      </c>
      <c r="G302" s="15" t="s">
        <v>371</v>
      </c>
      <c r="H302" s="15" t="s">
        <v>352</v>
      </c>
      <c r="I302" s="15" t="s">
        <v>372</v>
      </c>
      <c r="J302" s="15" t="s">
        <v>373</v>
      </c>
      <c r="K302" s="15" t="s">
        <v>361</v>
      </c>
      <c r="L302" s="15" t="s">
        <v>363</v>
      </c>
      <c r="M302" s="15" t="s">
        <v>365</v>
      </c>
    </row>
    <row r="303" spans="1:16" ht="14.25" customHeight="1" x14ac:dyDescent="0.25">
      <c r="A303" s="14">
        <v>8308</v>
      </c>
      <c r="B303" s="15" t="s">
        <v>302</v>
      </c>
      <c r="C303" s="15" t="s">
        <v>443</v>
      </c>
      <c r="D303" s="16" t="s">
        <v>368</v>
      </c>
      <c r="E303" s="15" t="s">
        <v>378</v>
      </c>
      <c r="F303" s="15" t="s">
        <v>370</v>
      </c>
      <c r="G303" s="15" t="s">
        <v>356</v>
      </c>
      <c r="H303" s="15" t="s">
        <v>352</v>
      </c>
      <c r="I303" s="15" t="s">
        <v>372</v>
      </c>
      <c r="J303" s="15" t="s">
        <v>373</v>
      </c>
      <c r="K303" s="15" t="s">
        <v>360</v>
      </c>
      <c r="L303" s="15" t="s">
        <v>383</v>
      </c>
      <c r="M303" s="15" t="s">
        <v>364</v>
      </c>
    </row>
    <row r="304" spans="1:16" ht="14.25" customHeight="1" x14ac:dyDescent="0.25">
      <c r="A304" s="14">
        <v>8309</v>
      </c>
      <c r="B304" s="15" t="s">
        <v>303</v>
      </c>
      <c r="C304" s="15" t="s">
        <v>444</v>
      </c>
      <c r="D304" s="16" t="s">
        <v>368</v>
      </c>
      <c r="E304" s="15" t="s">
        <v>369</v>
      </c>
      <c r="F304" s="15" t="s">
        <v>370</v>
      </c>
      <c r="G304" s="15" t="s">
        <v>356</v>
      </c>
      <c r="H304" s="15" t="s">
        <v>354</v>
      </c>
      <c r="I304" s="15" t="s">
        <v>372</v>
      </c>
      <c r="J304" s="15" t="s">
        <v>373</v>
      </c>
      <c r="K304" s="15" t="s">
        <v>361</v>
      </c>
      <c r="L304" s="15" t="s">
        <v>362</v>
      </c>
      <c r="M304" s="15" t="s">
        <v>364</v>
      </c>
    </row>
    <row r="305" spans="1:16" ht="14.25" customHeight="1" x14ac:dyDescent="0.25">
      <c r="A305" s="14">
        <v>8310</v>
      </c>
      <c r="B305" s="15" t="s">
        <v>304</v>
      </c>
      <c r="C305" s="15" t="s">
        <v>444</v>
      </c>
      <c r="D305" s="16" t="s">
        <v>368</v>
      </c>
      <c r="E305" s="15" t="s">
        <v>376</v>
      </c>
      <c r="F305" s="15" t="s">
        <v>370</v>
      </c>
      <c r="G305" s="15" t="s">
        <v>371</v>
      </c>
      <c r="H305" s="15" t="s">
        <v>352</v>
      </c>
      <c r="I305" s="15" t="s">
        <v>372</v>
      </c>
      <c r="J305" s="15" t="s">
        <v>373</v>
      </c>
      <c r="K305" s="15" t="s">
        <v>361</v>
      </c>
      <c r="L305" s="15" t="s">
        <v>363</v>
      </c>
      <c r="M305" s="15" t="s">
        <v>364</v>
      </c>
    </row>
    <row r="306" spans="1:16" ht="14.25" customHeight="1" x14ac:dyDescent="0.25">
      <c r="A306" s="17">
        <v>8311</v>
      </c>
      <c r="B306" s="15" t="s">
        <v>305</v>
      </c>
      <c r="C306" s="15" t="s">
        <v>445</v>
      </c>
      <c r="D306" s="16" t="s">
        <v>368</v>
      </c>
      <c r="E306" s="15" t="s">
        <v>392</v>
      </c>
      <c r="F306" s="15" t="s">
        <v>370</v>
      </c>
      <c r="G306" s="15" t="s">
        <v>356</v>
      </c>
      <c r="H306" s="18" t="s">
        <v>353</v>
      </c>
      <c r="I306" s="15" t="s">
        <v>372</v>
      </c>
      <c r="J306" s="15" t="s">
        <v>373</v>
      </c>
      <c r="K306" s="15" t="s">
        <v>361</v>
      </c>
      <c r="L306" s="15" t="s">
        <v>363</v>
      </c>
      <c r="M306" s="15" t="s">
        <v>364</v>
      </c>
      <c r="N306" s="19"/>
      <c r="O306" s="19"/>
      <c r="P306" s="19"/>
    </row>
    <row r="307" spans="1:16" ht="14.25" customHeight="1" x14ac:dyDescent="0.25">
      <c r="A307" s="17">
        <v>8312</v>
      </c>
      <c r="B307" s="15" t="s">
        <v>306</v>
      </c>
      <c r="C307" s="15" t="s">
        <v>445</v>
      </c>
      <c r="D307" s="16" t="s">
        <v>368</v>
      </c>
      <c r="E307" s="15" t="s">
        <v>392</v>
      </c>
      <c r="F307" s="15" t="s">
        <v>370</v>
      </c>
      <c r="G307" s="15" t="s">
        <v>356</v>
      </c>
      <c r="H307" s="18" t="s">
        <v>353</v>
      </c>
      <c r="I307" s="15" t="s">
        <v>382</v>
      </c>
      <c r="J307" s="15" t="s">
        <v>373</v>
      </c>
      <c r="K307" s="15" t="s">
        <v>361</v>
      </c>
      <c r="L307" s="15" t="s">
        <v>363</v>
      </c>
      <c r="M307" s="15" t="s">
        <v>364</v>
      </c>
      <c r="N307" s="19"/>
      <c r="O307" s="19"/>
      <c r="P307" s="19"/>
    </row>
    <row r="308" spans="1:16" ht="14.25" customHeight="1" x14ac:dyDescent="0.25">
      <c r="A308" s="14">
        <v>8313</v>
      </c>
      <c r="B308" s="15" t="s">
        <v>307</v>
      </c>
      <c r="C308" s="15" t="s">
        <v>445</v>
      </c>
      <c r="D308" s="16" t="s">
        <v>368</v>
      </c>
      <c r="E308" s="15" t="s">
        <v>392</v>
      </c>
      <c r="F308" s="15" t="s">
        <v>396</v>
      </c>
      <c r="G308" s="15" t="s">
        <v>356</v>
      </c>
      <c r="H308" s="15" t="s">
        <v>353</v>
      </c>
      <c r="I308" s="15" t="s">
        <v>372</v>
      </c>
      <c r="J308" s="15" t="s">
        <v>373</v>
      </c>
      <c r="K308" s="15" t="s">
        <v>361</v>
      </c>
      <c r="L308" s="15" t="s">
        <v>363</v>
      </c>
      <c r="M308" s="15" t="s">
        <v>364</v>
      </c>
    </row>
    <row r="309" spans="1:16" ht="14.25" customHeight="1" x14ac:dyDescent="0.25">
      <c r="A309" s="17">
        <v>8314</v>
      </c>
      <c r="B309" s="15" t="s">
        <v>308</v>
      </c>
      <c r="C309" s="15" t="s">
        <v>445</v>
      </c>
      <c r="D309" s="16" t="s">
        <v>368</v>
      </c>
      <c r="E309" s="15" t="s">
        <v>392</v>
      </c>
      <c r="F309" s="15" t="s">
        <v>370</v>
      </c>
      <c r="G309" s="15" t="s">
        <v>356</v>
      </c>
      <c r="H309" s="21" t="s">
        <v>352</v>
      </c>
      <c r="I309" s="15" t="s">
        <v>372</v>
      </c>
      <c r="J309" s="15" t="s">
        <v>359</v>
      </c>
      <c r="K309" s="15" t="s">
        <v>361</v>
      </c>
      <c r="L309" s="15" t="s">
        <v>363</v>
      </c>
      <c r="M309" s="15" t="s">
        <v>364</v>
      </c>
    </row>
    <row r="310" spans="1:16" ht="14.25" customHeight="1" x14ac:dyDescent="0.25">
      <c r="A310" s="14">
        <v>8315</v>
      </c>
      <c r="B310" s="15" t="s">
        <v>309</v>
      </c>
      <c r="C310" s="15" t="s">
        <v>445</v>
      </c>
      <c r="D310" s="16" t="s">
        <v>368</v>
      </c>
      <c r="E310" s="15" t="s">
        <v>392</v>
      </c>
      <c r="F310" s="15" t="s">
        <v>370</v>
      </c>
      <c r="G310" s="15" t="s">
        <v>356</v>
      </c>
      <c r="H310" s="15" t="s">
        <v>353</v>
      </c>
      <c r="I310" s="15" t="s">
        <v>372</v>
      </c>
      <c r="J310" s="15" t="s">
        <v>373</v>
      </c>
      <c r="K310" s="15" t="s">
        <v>361</v>
      </c>
      <c r="L310" s="15" t="s">
        <v>363</v>
      </c>
      <c r="M310" s="15" t="s">
        <v>364</v>
      </c>
    </row>
    <row r="311" spans="1:16" ht="14.25" customHeight="1" x14ac:dyDescent="0.25">
      <c r="A311" s="14">
        <v>8316</v>
      </c>
      <c r="B311" s="15" t="s">
        <v>310</v>
      </c>
      <c r="C311" s="15" t="s">
        <v>445</v>
      </c>
      <c r="D311" s="16" t="s">
        <v>368</v>
      </c>
      <c r="E311" s="15" t="s">
        <v>392</v>
      </c>
      <c r="F311" s="15" t="s">
        <v>396</v>
      </c>
      <c r="G311" s="15" t="s">
        <v>356</v>
      </c>
      <c r="H311" s="15" t="s">
        <v>352</v>
      </c>
      <c r="I311" s="15" t="s">
        <v>372</v>
      </c>
      <c r="J311" s="15" t="s">
        <v>373</v>
      </c>
      <c r="K311" s="15" t="s">
        <v>361</v>
      </c>
      <c r="L311" s="15" t="s">
        <v>363</v>
      </c>
      <c r="M311" s="15" t="s">
        <v>364</v>
      </c>
    </row>
    <row r="312" spans="1:16" ht="14.25" customHeight="1" x14ac:dyDescent="0.25">
      <c r="A312" s="14">
        <v>8317</v>
      </c>
      <c r="B312" s="15" t="s">
        <v>311</v>
      </c>
      <c r="C312" s="15" t="s">
        <v>445</v>
      </c>
      <c r="D312" s="16" t="s">
        <v>368</v>
      </c>
      <c r="E312" s="15" t="s">
        <v>392</v>
      </c>
      <c r="F312" s="15" t="s">
        <v>370</v>
      </c>
      <c r="G312" s="15" t="s">
        <v>356</v>
      </c>
      <c r="H312" s="15" t="s">
        <v>353</v>
      </c>
      <c r="I312" s="15" t="s">
        <v>372</v>
      </c>
      <c r="J312" s="15" t="s">
        <v>373</v>
      </c>
      <c r="K312" s="15" t="s">
        <v>361</v>
      </c>
      <c r="L312" s="15" t="s">
        <v>363</v>
      </c>
      <c r="M312" s="15" t="s">
        <v>365</v>
      </c>
    </row>
    <row r="313" spans="1:16" ht="14.25" customHeight="1" x14ac:dyDescent="0.25">
      <c r="A313" s="14">
        <v>8318</v>
      </c>
      <c r="B313" s="15" t="s">
        <v>312</v>
      </c>
      <c r="C313" s="15" t="s">
        <v>445</v>
      </c>
      <c r="D313" s="16" t="s">
        <v>368</v>
      </c>
      <c r="E313" s="15" t="s">
        <v>392</v>
      </c>
      <c r="F313" s="15" t="s">
        <v>370</v>
      </c>
      <c r="G313" s="15" t="s">
        <v>356</v>
      </c>
      <c r="H313" s="15" t="s">
        <v>353</v>
      </c>
      <c r="I313" s="15" t="s">
        <v>372</v>
      </c>
      <c r="J313" s="15" t="s">
        <v>373</v>
      </c>
      <c r="K313" s="15" t="s">
        <v>361</v>
      </c>
      <c r="L313" s="15" t="s">
        <v>363</v>
      </c>
      <c r="M313" s="15" t="s">
        <v>364</v>
      </c>
    </row>
    <row r="314" spans="1:16" ht="14.25" customHeight="1" x14ac:dyDescent="0.25">
      <c r="A314" s="14">
        <v>8319</v>
      </c>
      <c r="B314" s="13" t="s">
        <v>465</v>
      </c>
      <c r="C314" s="15" t="s">
        <v>445</v>
      </c>
      <c r="D314" s="16" t="s">
        <v>368</v>
      </c>
      <c r="E314" s="15" t="s">
        <v>380</v>
      </c>
      <c r="F314" s="15" t="s">
        <v>370</v>
      </c>
      <c r="G314" s="15" t="s">
        <v>356</v>
      </c>
      <c r="H314" s="15" t="s">
        <v>352</v>
      </c>
      <c r="I314" s="15" t="s">
        <v>372</v>
      </c>
      <c r="J314" s="15" t="s">
        <v>359</v>
      </c>
      <c r="K314" s="15" t="s">
        <v>361</v>
      </c>
      <c r="L314" s="15" t="s">
        <v>363</v>
      </c>
      <c r="M314" s="15" t="s">
        <v>364</v>
      </c>
    </row>
    <row r="315" spans="1:16" ht="14.25" customHeight="1" x14ac:dyDescent="0.25">
      <c r="A315" s="14">
        <v>8320</v>
      </c>
      <c r="B315" s="15" t="s">
        <v>313</v>
      </c>
      <c r="C315" s="15" t="s">
        <v>446</v>
      </c>
      <c r="D315" s="16" t="s">
        <v>368</v>
      </c>
      <c r="E315" s="15" t="s">
        <v>369</v>
      </c>
      <c r="F315" s="15" t="s">
        <v>389</v>
      </c>
      <c r="G315" s="15" t="s">
        <v>371</v>
      </c>
      <c r="H315" s="15" t="s">
        <v>354</v>
      </c>
      <c r="I315" s="15" t="s">
        <v>382</v>
      </c>
      <c r="J315" s="15" t="s">
        <v>373</v>
      </c>
      <c r="K315" s="15" t="s">
        <v>394</v>
      </c>
      <c r="L315" s="15" t="s">
        <v>363</v>
      </c>
      <c r="M315" s="15" t="s">
        <v>365</v>
      </c>
    </row>
    <row r="316" spans="1:16" ht="14.25" customHeight="1" x14ac:dyDescent="0.25">
      <c r="A316" s="14">
        <v>8321</v>
      </c>
      <c r="B316" s="15" t="s">
        <v>314</v>
      </c>
      <c r="C316" s="15" t="s">
        <v>446</v>
      </c>
      <c r="D316" s="16" t="s">
        <v>368</v>
      </c>
      <c r="E316" s="15" t="s">
        <v>374</v>
      </c>
      <c r="F316" s="15" t="s">
        <v>381</v>
      </c>
      <c r="G316" s="15" t="s">
        <v>357</v>
      </c>
      <c r="H316" s="15" t="s">
        <v>351</v>
      </c>
      <c r="I316" s="15" t="s">
        <v>382</v>
      </c>
      <c r="J316" s="15" t="s">
        <v>373</v>
      </c>
      <c r="K316" s="15" t="s">
        <v>360</v>
      </c>
      <c r="L316" s="15" t="s">
        <v>363</v>
      </c>
      <c r="M316" s="15" t="s">
        <v>365</v>
      </c>
    </row>
    <row r="317" spans="1:16" ht="14.25" customHeight="1" x14ac:dyDescent="0.25">
      <c r="A317" s="14">
        <v>8322</v>
      </c>
      <c r="B317" s="15" t="s">
        <v>315</v>
      </c>
      <c r="C317" s="15" t="s">
        <v>446</v>
      </c>
      <c r="D317" s="16" t="s">
        <v>368</v>
      </c>
      <c r="E317" s="15" t="s">
        <v>376</v>
      </c>
      <c r="F317" s="15" t="s">
        <v>370</v>
      </c>
      <c r="G317" s="15" t="s">
        <v>357</v>
      </c>
      <c r="H317" s="15" t="s">
        <v>351</v>
      </c>
      <c r="I317" s="15" t="s">
        <v>382</v>
      </c>
      <c r="J317" s="15" t="s">
        <v>373</v>
      </c>
      <c r="K317" s="15" t="s">
        <v>360</v>
      </c>
      <c r="L317" s="15" t="s">
        <v>363</v>
      </c>
      <c r="M317" s="15" t="s">
        <v>365</v>
      </c>
    </row>
    <row r="318" spans="1:16" ht="14.25" customHeight="1" x14ac:dyDescent="0.25">
      <c r="A318" s="14">
        <v>8323</v>
      </c>
      <c r="B318" s="15" t="s">
        <v>316</v>
      </c>
      <c r="C318" s="15" t="s">
        <v>446</v>
      </c>
      <c r="D318" s="16" t="s">
        <v>368</v>
      </c>
      <c r="E318" s="15" t="s">
        <v>369</v>
      </c>
      <c r="F318" s="15" t="s">
        <v>386</v>
      </c>
      <c r="G318" s="15" t="s">
        <v>371</v>
      </c>
      <c r="H318" s="15" t="s">
        <v>351</v>
      </c>
      <c r="I318" s="15" t="s">
        <v>372</v>
      </c>
      <c r="J318" s="15" t="s">
        <v>373</v>
      </c>
      <c r="K318" s="15" t="s">
        <v>387</v>
      </c>
      <c r="L318" s="15" t="s">
        <v>363</v>
      </c>
      <c r="M318" s="15" t="s">
        <v>365</v>
      </c>
    </row>
    <row r="319" spans="1:16" ht="14.25" customHeight="1" x14ac:dyDescent="0.25">
      <c r="A319" s="14">
        <v>8324</v>
      </c>
      <c r="B319" s="15" t="s">
        <v>317</v>
      </c>
      <c r="C319" s="15" t="s">
        <v>446</v>
      </c>
      <c r="D319" s="16" t="s">
        <v>368</v>
      </c>
      <c r="E319" s="15" t="s">
        <v>374</v>
      </c>
      <c r="F319" s="15" t="s">
        <v>370</v>
      </c>
      <c r="G319" s="15" t="s">
        <v>357</v>
      </c>
      <c r="H319" s="15" t="s">
        <v>351</v>
      </c>
      <c r="I319" s="15" t="s">
        <v>372</v>
      </c>
      <c r="J319" s="15" t="s">
        <v>359</v>
      </c>
      <c r="K319" s="15" t="s">
        <v>360</v>
      </c>
      <c r="L319" s="15" t="s">
        <v>363</v>
      </c>
      <c r="M319" s="15" t="s">
        <v>365</v>
      </c>
    </row>
    <row r="320" spans="1:16" ht="14.25" customHeight="1" x14ac:dyDescent="0.25">
      <c r="A320" s="14">
        <v>8325</v>
      </c>
      <c r="B320" s="15" t="s">
        <v>318</v>
      </c>
      <c r="C320" s="15" t="s">
        <v>446</v>
      </c>
      <c r="D320" s="16" t="s">
        <v>368</v>
      </c>
      <c r="E320" s="15" t="s">
        <v>369</v>
      </c>
      <c r="F320" s="15" t="s">
        <v>370</v>
      </c>
      <c r="G320" s="15" t="s">
        <v>357</v>
      </c>
      <c r="H320" s="15" t="s">
        <v>351</v>
      </c>
      <c r="I320" s="15" t="s">
        <v>372</v>
      </c>
      <c r="J320" s="15" t="s">
        <v>359</v>
      </c>
      <c r="K320" s="15" t="s">
        <v>360</v>
      </c>
      <c r="L320" s="15" t="s">
        <v>363</v>
      </c>
      <c r="M320" s="15" t="s">
        <v>365</v>
      </c>
    </row>
    <row r="321" spans="1:13" ht="14.25" customHeight="1" x14ac:dyDescent="0.25">
      <c r="A321" s="14">
        <v>8326</v>
      </c>
      <c r="B321" s="15" t="s">
        <v>319</v>
      </c>
      <c r="C321" s="15" t="s">
        <v>446</v>
      </c>
      <c r="D321" s="16" t="s">
        <v>368</v>
      </c>
      <c r="E321" s="15" t="s">
        <v>374</v>
      </c>
      <c r="F321" s="15" t="s">
        <v>381</v>
      </c>
      <c r="G321" s="15" t="s">
        <v>357</v>
      </c>
      <c r="H321" s="15" t="s">
        <v>352</v>
      </c>
      <c r="I321" s="15" t="s">
        <v>382</v>
      </c>
      <c r="J321" s="15" t="s">
        <v>373</v>
      </c>
      <c r="K321" s="15" t="s">
        <v>360</v>
      </c>
      <c r="L321" s="15" t="s">
        <v>363</v>
      </c>
      <c r="M321" s="15" t="s">
        <v>365</v>
      </c>
    </row>
    <row r="322" spans="1:13" ht="14.25" customHeight="1" x14ac:dyDescent="0.25">
      <c r="A322" s="14">
        <v>8327</v>
      </c>
      <c r="B322" s="15" t="s">
        <v>320</v>
      </c>
      <c r="C322" s="15" t="s">
        <v>446</v>
      </c>
      <c r="D322" s="16" t="s">
        <v>368</v>
      </c>
      <c r="E322" s="15" t="s">
        <v>376</v>
      </c>
      <c r="F322" s="15" t="s">
        <v>370</v>
      </c>
      <c r="G322" s="15" t="s">
        <v>356</v>
      </c>
      <c r="H322" s="15" t="s">
        <v>352</v>
      </c>
      <c r="I322" s="15" t="s">
        <v>382</v>
      </c>
      <c r="J322" s="15" t="s">
        <v>373</v>
      </c>
      <c r="K322" s="15" t="s">
        <v>360</v>
      </c>
      <c r="L322" s="15" t="s">
        <v>363</v>
      </c>
      <c r="M322" s="15" t="s">
        <v>365</v>
      </c>
    </row>
    <row r="323" spans="1:13" ht="14.25" customHeight="1" x14ac:dyDescent="0.25">
      <c r="A323" s="14">
        <v>8328</v>
      </c>
      <c r="B323" s="15" t="s">
        <v>321</v>
      </c>
      <c r="C323" s="15" t="s">
        <v>447</v>
      </c>
      <c r="D323" s="16" t="s">
        <v>368</v>
      </c>
      <c r="E323" s="15" t="s">
        <v>392</v>
      </c>
      <c r="F323" s="15" t="s">
        <v>375</v>
      </c>
      <c r="G323" s="15" t="s">
        <v>356</v>
      </c>
      <c r="H323" s="15" t="s">
        <v>355</v>
      </c>
      <c r="I323" s="15" t="s">
        <v>382</v>
      </c>
      <c r="J323" s="15" t="s">
        <v>373</v>
      </c>
      <c r="K323" s="15" t="s">
        <v>360</v>
      </c>
      <c r="L323" s="15" t="s">
        <v>362</v>
      </c>
      <c r="M323" s="15" t="s">
        <v>364</v>
      </c>
    </row>
    <row r="324" spans="1:13" ht="14.25" customHeight="1" x14ac:dyDescent="0.25">
      <c r="A324" s="14">
        <v>8329</v>
      </c>
      <c r="B324" s="13" t="s">
        <v>476</v>
      </c>
      <c r="C324" s="15" t="s">
        <v>447</v>
      </c>
      <c r="D324" s="16" t="s">
        <v>368</v>
      </c>
      <c r="E324" s="15" t="s">
        <v>392</v>
      </c>
      <c r="F324" s="15" t="s">
        <v>375</v>
      </c>
      <c r="G324" s="15" t="s">
        <v>356</v>
      </c>
      <c r="H324" s="15" t="s">
        <v>355</v>
      </c>
      <c r="I324" s="15" t="s">
        <v>382</v>
      </c>
      <c r="J324" s="15" t="s">
        <v>373</v>
      </c>
      <c r="K324" s="15" t="s">
        <v>360</v>
      </c>
      <c r="L324" s="15" t="s">
        <v>362</v>
      </c>
      <c r="M324" s="15" t="s">
        <v>364</v>
      </c>
    </row>
    <row r="325" spans="1:13" ht="14.25" customHeight="1" x14ac:dyDescent="0.25">
      <c r="A325" s="14">
        <v>8330</v>
      </c>
      <c r="B325" s="15" t="s">
        <v>322</v>
      </c>
      <c r="C325" s="15" t="s">
        <v>447</v>
      </c>
      <c r="D325" s="16" t="s">
        <v>368</v>
      </c>
      <c r="E325" s="15" t="s">
        <v>392</v>
      </c>
      <c r="F325" s="15" t="s">
        <v>375</v>
      </c>
      <c r="G325" s="15" t="s">
        <v>356</v>
      </c>
      <c r="H325" s="15" t="s">
        <v>355</v>
      </c>
      <c r="I325" s="15" t="s">
        <v>382</v>
      </c>
      <c r="J325" s="15" t="s">
        <v>373</v>
      </c>
      <c r="K325" s="15" t="s">
        <v>360</v>
      </c>
      <c r="L325" s="15" t="s">
        <v>362</v>
      </c>
      <c r="M325" s="15" t="s">
        <v>364</v>
      </c>
    </row>
    <row r="326" spans="1:13" ht="14.25" customHeight="1" x14ac:dyDescent="0.25">
      <c r="A326" s="14">
        <v>8331</v>
      </c>
      <c r="B326" s="13" t="s">
        <v>470</v>
      </c>
      <c r="C326" s="15" t="s">
        <v>447</v>
      </c>
      <c r="D326" s="16" t="s">
        <v>368</v>
      </c>
      <c r="E326" s="15" t="s">
        <v>392</v>
      </c>
      <c r="F326" s="15" t="s">
        <v>375</v>
      </c>
      <c r="G326" s="15" t="s">
        <v>356</v>
      </c>
      <c r="H326" s="15" t="s">
        <v>352</v>
      </c>
      <c r="I326" s="15" t="s">
        <v>382</v>
      </c>
      <c r="J326" s="15" t="s">
        <v>373</v>
      </c>
      <c r="K326" s="15" t="s">
        <v>360</v>
      </c>
      <c r="L326" s="15" t="s">
        <v>362</v>
      </c>
      <c r="M326" s="15" t="s">
        <v>364</v>
      </c>
    </row>
    <row r="327" spans="1:13" ht="14.25" customHeight="1" x14ac:dyDescent="0.25">
      <c r="A327" s="14">
        <v>8332</v>
      </c>
      <c r="B327" s="15" t="s">
        <v>323</v>
      </c>
      <c r="C327" s="15" t="s">
        <v>447</v>
      </c>
      <c r="D327" s="16" t="s">
        <v>368</v>
      </c>
      <c r="E327" s="15" t="s">
        <v>392</v>
      </c>
      <c r="F327" s="15" t="s">
        <v>375</v>
      </c>
      <c r="G327" s="15" t="s">
        <v>356</v>
      </c>
      <c r="H327" s="15" t="s">
        <v>352</v>
      </c>
      <c r="I327" s="15" t="s">
        <v>382</v>
      </c>
      <c r="J327" s="15" t="s">
        <v>373</v>
      </c>
      <c r="K327" s="15" t="s">
        <v>360</v>
      </c>
      <c r="L327" s="15" t="s">
        <v>362</v>
      </c>
      <c r="M327" s="15" t="s">
        <v>364</v>
      </c>
    </row>
    <row r="328" spans="1:13" ht="14.25" customHeight="1" x14ac:dyDescent="0.25">
      <c r="A328" s="14">
        <v>8333</v>
      </c>
      <c r="B328" s="15" t="s">
        <v>324</v>
      </c>
      <c r="C328" s="15" t="s">
        <v>447</v>
      </c>
      <c r="D328" s="16" t="s">
        <v>368</v>
      </c>
      <c r="E328" s="15" t="s">
        <v>392</v>
      </c>
      <c r="F328" s="15" t="s">
        <v>375</v>
      </c>
      <c r="G328" s="15" t="s">
        <v>356</v>
      </c>
      <c r="H328" s="15" t="s">
        <v>352</v>
      </c>
      <c r="I328" s="15" t="s">
        <v>382</v>
      </c>
      <c r="J328" s="15" t="s">
        <v>373</v>
      </c>
      <c r="K328" s="15" t="s">
        <v>360</v>
      </c>
      <c r="L328" s="15" t="s">
        <v>362</v>
      </c>
      <c r="M328" s="15" t="s">
        <v>364</v>
      </c>
    </row>
    <row r="329" spans="1:13" ht="14.25" customHeight="1" x14ac:dyDescent="0.25">
      <c r="A329" s="14">
        <v>8334</v>
      </c>
      <c r="B329" s="15" t="s">
        <v>325</v>
      </c>
      <c r="C329" s="15" t="s">
        <v>447</v>
      </c>
      <c r="D329" s="16" t="s">
        <v>368</v>
      </c>
      <c r="E329" s="15" t="s">
        <v>392</v>
      </c>
      <c r="F329" s="15" t="s">
        <v>375</v>
      </c>
      <c r="G329" s="15" t="s">
        <v>356</v>
      </c>
      <c r="H329" s="15" t="s">
        <v>355</v>
      </c>
      <c r="I329" s="15" t="s">
        <v>382</v>
      </c>
      <c r="J329" s="15" t="s">
        <v>373</v>
      </c>
      <c r="K329" s="15" t="s">
        <v>360</v>
      </c>
      <c r="L329" s="15" t="s">
        <v>362</v>
      </c>
      <c r="M329" s="15" t="s">
        <v>364</v>
      </c>
    </row>
    <row r="330" spans="1:13" ht="14.25" customHeight="1" x14ac:dyDescent="0.25">
      <c r="A330" s="14">
        <v>8336</v>
      </c>
      <c r="B330" s="13" t="s">
        <v>464</v>
      </c>
      <c r="C330" s="15" t="s">
        <v>447</v>
      </c>
      <c r="D330" s="16" t="s">
        <v>368</v>
      </c>
      <c r="E330" s="15" t="s">
        <v>374</v>
      </c>
      <c r="F330" s="15" t="s">
        <v>375</v>
      </c>
      <c r="G330" s="15" t="s">
        <v>356</v>
      </c>
      <c r="H330" s="15" t="s">
        <v>355</v>
      </c>
      <c r="I330" s="15" t="s">
        <v>382</v>
      </c>
      <c r="J330" s="15" t="s">
        <v>373</v>
      </c>
      <c r="K330" s="15" t="s">
        <v>360</v>
      </c>
      <c r="L330" s="15" t="s">
        <v>362</v>
      </c>
      <c r="M330" s="15" t="s">
        <v>364</v>
      </c>
    </row>
    <row r="331" spans="1:13" ht="14.25" customHeight="1" x14ac:dyDescent="0.25">
      <c r="A331" s="14">
        <v>8337</v>
      </c>
      <c r="B331" s="13" t="s">
        <v>469</v>
      </c>
      <c r="C331" s="15" t="s">
        <v>447</v>
      </c>
      <c r="D331" s="16" t="s">
        <v>368</v>
      </c>
      <c r="E331" s="15" t="s">
        <v>392</v>
      </c>
      <c r="F331" s="15" t="s">
        <v>375</v>
      </c>
      <c r="G331" s="15" t="s">
        <v>356</v>
      </c>
      <c r="H331" s="15" t="s">
        <v>355</v>
      </c>
      <c r="I331" s="15" t="s">
        <v>382</v>
      </c>
      <c r="J331" s="15" t="s">
        <v>373</v>
      </c>
      <c r="K331" s="15" t="s">
        <v>360</v>
      </c>
      <c r="L331" s="15" t="s">
        <v>362</v>
      </c>
      <c r="M331" s="15" t="s">
        <v>364</v>
      </c>
    </row>
    <row r="332" spans="1:13" ht="14.25" customHeight="1" x14ac:dyDescent="0.25">
      <c r="A332" s="14">
        <v>8341</v>
      </c>
      <c r="B332" s="15" t="s">
        <v>326</v>
      </c>
      <c r="C332" s="15" t="s">
        <v>424</v>
      </c>
      <c r="D332" s="16" t="s">
        <v>350</v>
      </c>
      <c r="E332" s="15" t="s">
        <v>369</v>
      </c>
      <c r="F332" s="15" t="s">
        <v>389</v>
      </c>
      <c r="G332" s="15" t="s">
        <v>371</v>
      </c>
      <c r="H332" s="15" t="s">
        <v>353</v>
      </c>
      <c r="I332" s="15" t="s">
        <v>372</v>
      </c>
      <c r="J332" s="15" t="s">
        <v>373</v>
      </c>
      <c r="K332" s="15" t="s">
        <v>394</v>
      </c>
      <c r="L332" s="15" t="s">
        <v>363</v>
      </c>
      <c r="M332" s="15" t="s">
        <v>366</v>
      </c>
    </row>
    <row r="333" spans="1:13" ht="14.25" customHeight="1" x14ac:dyDescent="0.25">
      <c r="A333" s="14">
        <v>8347</v>
      </c>
      <c r="B333" s="15" t="s">
        <v>327</v>
      </c>
      <c r="C333" s="15" t="s">
        <v>448</v>
      </c>
      <c r="D333" s="16" t="s">
        <v>368</v>
      </c>
      <c r="E333" s="15" t="s">
        <v>369</v>
      </c>
      <c r="F333" s="15" t="s">
        <v>375</v>
      </c>
      <c r="G333" s="15" t="s">
        <v>357</v>
      </c>
      <c r="H333" s="15" t="s">
        <v>355</v>
      </c>
      <c r="I333" s="15" t="s">
        <v>382</v>
      </c>
      <c r="J333" s="15" t="s">
        <v>373</v>
      </c>
      <c r="K333" s="15" t="s">
        <v>361</v>
      </c>
      <c r="L333" s="15" t="s">
        <v>363</v>
      </c>
      <c r="M333" s="15" t="s">
        <v>365</v>
      </c>
    </row>
    <row r="334" spans="1:13" ht="14.25" customHeight="1" x14ac:dyDescent="0.25">
      <c r="A334" s="14">
        <v>8348</v>
      </c>
      <c r="B334" s="15" t="s">
        <v>328</v>
      </c>
      <c r="C334" s="15" t="s">
        <v>448</v>
      </c>
      <c r="D334" s="16" t="s">
        <v>368</v>
      </c>
      <c r="E334" s="15" t="s">
        <v>369</v>
      </c>
      <c r="F334" s="15" t="s">
        <v>375</v>
      </c>
      <c r="G334" s="15" t="s">
        <v>356</v>
      </c>
      <c r="H334" s="15" t="s">
        <v>355</v>
      </c>
      <c r="I334" s="15" t="s">
        <v>382</v>
      </c>
      <c r="J334" s="15" t="s">
        <v>373</v>
      </c>
      <c r="K334" s="15" t="s">
        <v>361</v>
      </c>
      <c r="L334" s="15" t="s">
        <v>363</v>
      </c>
      <c r="M334" s="15" t="s">
        <v>365</v>
      </c>
    </row>
    <row r="335" spans="1:13" ht="14.25" customHeight="1" x14ac:dyDescent="0.25">
      <c r="A335" s="14">
        <v>8352</v>
      </c>
      <c r="B335" s="15" t="s">
        <v>329</v>
      </c>
      <c r="C335" s="15" t="s">
        <v>385</v>
      </c>
      <c r="D335" s="16" t="s">
        <v>368</v>
      </c>
      <c r="E335" s="15" t="s">
        <v>376</v>
      </c>
      <c r="F335" s="15" t="s">
        <v>370</v>
      </c>
      <c r="G335" s="15" t="s">
        <v>356</v>
      </c>
      <c r="H335" s="15" t="s">
        <v>355</v>
      </c>
      <c r="I335" s="15" t="s">
        <v>382</v>
      </c>
      <c r="J335" s="15" t="s">
        <v>373</v>
      </c>
      <c r="K335" s="15" t="s">
        <v>361</v>
      </c>
      <c r="L335" s="15" t="s">
        <v>363</v>
      </c>
      <c r="M335" s="15" t="s">
        <v>364</v>
      </c>
    </row>
    <row r="336" spans="1:13" ht="14.25" customHeight="1" x14ac:dyDescent="0.25">
      <c r="A336" s="14">
        <v>8404</v>
      </c>
      <c r="B336" s="15" t="s">
        <v>330</v>
      </c>
      <c r="C336" s="15" t="s">
        <v>449</v>
      </c>
      <c r="D336" s="16" t="s">
        <v>368</v>
      </c>
      <c r="E336" s="15" t="s">
        <v>376</v>
      </c>
      <c r="F336" s="15" t="s">
        <v>381</v>
      </c>
      <c r="G336" s="15" t="s">
        <v>356</v>
      </c>
      <c r="H336" s="15" t="s">
        <v>352</v>
      </c>
      <c r="I336" s="15" t="s">
        <v>382</v>
      </c>
      <c r="J336" s="15" t="s">
        <v>373</v>
      </c>
      <c r="K336" s="15" t="s">
        <v>360</v>
      </c>
      <c r="L336" s="15" t="s">
        <v>362</v>
      </c>
      <c r="M336" s="15" t="s">
        <v>364</v>
      </c>
    </row>
    <row r="337" spans="1:16" ht="14.25" customHeight="1" x14ac:dyDescent="0.25">
      <c r="A337" s="14">
        <v>8405</v>
      </c>
      <c r="B337" s="15" t="s">
        <v>331</v>
      </c>
      <c r="C337" s="15" t="s">
        <v>449</v>
      </c>
      <c r="D337" s="16" t="s">
        <v>368</v>
      </c>
      <c r="E337" s="15" t="s">
        <v>378</v>
      </c>
      <c r="F337" s="15" t="s">
        <v>381</v>
      </c>
      <c r="G337" s="15" t="s">
        <v>356</v>
      </c>
      <c r="H337" s="15" t="s">
        <v>353</v>
      </c>
      <c r="I337" s="15" t="s">
        <v>382</v>
      </c>
      <c r="J337" s="15" t="s">
        <v>373</v>
      </c>
      <c r="K337" s="15" t="s">
        <v>360</v>
      </c>
      <c r="L337" s="15" t="s">
        <v>362</v>
      </c>
      <c r="M337" s="15" t="s">
        <v>364</v>
      </c>
    </row>
    <row r="338" spans="1:16" ht="14.25" customHeight="1" x14ac:dyDescent="0.25">
      <c r="A338" s="14">
        <v>8406</v>
      </c>
      <c r="B338" s="15" t="s">
        <v>332</v>
      </c>
      <c r="C338" s="15" t="s">
        <v>449</v>
      </c>
      <c r="D338" s="16" t="s">
        <v>368</v>
      </c>
      <c r="E338" s="18" t="s">
        <v>376</v>
      </c>
      <c r="F338" s="15" t="s">
        <v>381</v>
      </c>
      <c r="G338" s="15" t="s">
        <v>356</v>
      </c>
      <c r="H338" s="15" t="s">
        <v>353</v>
      </c>
      <c r="I338" s="15" t="s">
        <v>382</v>
      </c>
      <c r="J338" s="15" t="s">
        <v>373</v>
      </c>
      <c r="K338" s="15" t="s">
        <v>360</v>
      </c>
      <c r="L338" s="15" t="s">
        <v>362</v>
      </c>
      <c r="M338" s="15" t="s">
        <v>364</v>
      </c>
      <c r="N338" s="19"/>
      <c r="O338" s="19"/>
      <c r="P338" s="19"/>
    </row>
    <row r="339" spans="1:16" ht="14.25" customHeight="1" x14ac:dyDescent="0.25">
      <c r="A339" s="14">
        <v>8407</v>
      </c>
      <c r="B339" s="15" t="s">
        <v>333</v>
      </c>
      <c r="C339" s="15" t="s">
        <v>449</v>
      </c>
      <c r="D339" s="16" t="s">
        <v>368</v>
      </c>
      <c r="E339" s="15" t="s">
        <v>392</v>
      </c>
      <c r="F339" s="15" t="s">
        <v>375</v>
      </c>
      <c r="G339" s="15" t="s">
        <v>356</v>
      </c>
      <c r="H339" s="15" t="s">
        <v>355</v>
      </c>
      <c r="I339" s="15" t="s">
        <v>382</v>
      </c>
      <c r="J339" s="15" t="s">
        <v>373</v>
      </c>
      <c r="K339" s="15" t="s">
        <v>360</v>
      </c>
      <c r="L339" s="15" t="s">
        <v>362</v>
      </c>
      <c r="M339" s="15" t="s">
        <v>365</v>
      </c>
    </row>
    <row r="340" spans="1:16" ht="14.25" customHeight="1" x14ac:dyDescent="0.25">
      <c r="A340" s="14">
        <v>8408</v>
      </c>
      <c r="B340" s="15" t="s">
        <v>334</v>
      </c>
      <c r="C340" s="15" t="s">
        <v>449</v>
      </c>
      <c r="D340" s="16" t="s">
        <v>368</v>
      </c>
      <c r="E340" s="15" t="s">
        <v>378</v>
      </c>
      <c r="F340" s="15" t="s">
        <v>381</v>
      </c>
      <c r="G340" s="15" t="s">
        <v>356</v>
      </c>
      <c r="H340" s="15" t="s">
        <v>353</v>
      </c>
      <c r="I340" s="15" t="s">
        <v>382</v>
      </c>
      <c r="J340" s="15" t="s">
        <v>373</v>
      </c>
      <c r="K340" s="15" t="s">
        <v>360</v>
      </c>
      <c r="L340" s="15" t="s">
        <v>362</v>
      </c>
      <c r="M340" s="15" t="s">
        <v>364</v>
      </c>
    </row>
    <row r="341" spans="1:16" ht="14.25" customHeight="1" x14ac:dyDescent="0.25">
      <c r="A341" s="14">
        <v>8409</v>
      </c>
      <c r="B341" s="15" t="s">
        <v>335</v>
      </c>
      <c r="C341" s="15" t="s">
        <v>449</v>
      </c>
      <c r="D341" s="16" t="s">
        <v>368</v>
      </c>
      <c r="E341" s="15" t="s">
        <v>374</v>
      </c>
      <c r="F341" s="15" t="s">
        <v>381</v>
      </c>
      <c r="G341" s="15" t="s">
        <v>356</v>
      </c>
      <c r="H341" s="15" t="s">
        <v>353</v>
      </c>
      <c r="I341" s="15" t="s">
        <v>382</v>
      </c>
      <c r="J341" s="15" t="s">
        <v>373</v>
      </c>
      <c r="K341" s="15" t="s">
        <v>360</v>
      </c>
      <c r="L341" s="15" t="s">
        <v>362</v>
      </c>
      <c r="M341" s="15" t="s">
        <v>364</v>
      </c>
    </row>
    <row r="342" spans="1:16" ht="14.25" customHeight="1" x14ac:dyDescent="0.25">
      <c r="A342" s="14">
        <v>8410</v>
      </c>
      <c r="B342" s="15" t="s">
        <v>336</v>
      </c>
      <c r="C342" s="15" t="s">
        <v>449</v>
      </c>
      <c r="D342" s="16" t="s">
        <v>368</v>
      </c>
      <c r="E342" s="15" t="s">
        <v>378</v>
      </c>
      <c r="F342" s="15" t="s">
        <v>381</v>
      </c>
      <c r="G342" s="15" t="s">
        <v>356</v>
      </c>
      <c r="H342" s="15" t="s">
        <v>353</v>
      </c>
      <c r="I342" s="15" t="s">
        <v>382</v>
      </c>
      <c r="J342" s="15" t="s">
        <v>373</v>
      </c>
      <c r="K342" s="15" t="s">
        <v>360</v>
      </c>
      <c r="L342" s="15" t="s">
        <v>362</v>
      </c>
      <c r="M342" s="15" t="s">
        <v>364</v>
      </c>
    </row>
    <row r="343" spans="1:16" ht="14.25" customHeight="1" x14ac:dyDescent="0.25">
      <c r="A343" s="14">
        <v>8413</v>
      </c>
      <c r="B343" s="15" t="s">
        <v>337</v>
      </c>
      <c r="C343" s="15" t="s">
        <v>449</v>
      </c>
      <c r="D343" s="16" t="s">
        <v>368</v>
      </c>
      <c r="E343" s="15" t="s">
        <v>374</v>
      </c>
      <c r="F343" s="15" t="s">
        <v>381</v>
      </c>
      <c r="G343" s="15" t="s">
        <v>356</v>
      </c>
      <c r="H343" s="15" t="s">
        <v>353</v>
      </c>
      <c r="I343" s="15" t="s">
        <v>382</v>
      </c>
      <c r="J343" s="15" t="s">
        <v>373</v>
      </c>
      <c r="K343" s="15" t="s">
        <v>360</v>
      </c>
      <c r="L343" s="15" t="s">
        <v>362</v>
      </c>
      <c r="M343" s="15" t="s">
        <v>364</v>
      </c>
    </row>
    <row r="344" spans="1:16" ht="14.25" customHeight="1" x14ac:dyDescent="0.25">
      <c r="A344" s="14">
        <v>8415</v>
      </c>
      <c r="B344" s="15" t="s">
        <v>338</v>
      </c>
      <c r="C344" s="15" t="s">
        <v>449</v>
      </c>
      <c r="D344" s="16" t="s">
        <v>368</v>
      </c>
      <c r="E344" s="15" t="s">
        <v>392</v>
      </c>
      <c r="F344" s="15" t="s">
        <v>375</v>
      </c>
      <c r="G344" s="15" t="s">
        <v>356</v>
      </c>
      <c r="H344" s="15" t="s">
        <v>355</v>
      </c>
      <c r="I344" s="15" t="s">
        <v>382</v>
      </c>
      <c r="J344" s="15" t="s">
        <v>373</v>
      </c>
      <c r="K344" s="15" t="s">
        <v>360</v>
      </c>
      <c r="L344" s="15" t="s">
        <v>362</v>
      </c>
      <c r="M344" s="15" t="s">
        <v>364</v>
      </c>
    </row>
    <row r="345" spans="1:16" ht="14.25" customHeight="1" x14ac:dyDescent="0.25">
      <c r="A345" s="14">
        <v>8419</v>
      </c>
      <c r="B345" s="15" t="s">
        <v>339</v>
      </c>
      <c r="C345" s="15" t="s">
        <v>449</v>
      </c>
      <c r="D345" s="16" t="s">
        <v>368</v>
      </c>
      <c r="E345" s="15" t="s">
        <v>369</v>
      </c>
      <c r="F345" s="15" t="s">
        <v>381</v>
      </c>
      <c r="G345" s="15" t="s">
        <v>356</v>
      </c>
      <c r="H345" s="15" t="s">
        <v>355</v>
      </c>
      <c r="I345" s="15" t="s">
        <v>382</v>
      </c>
      <c r="J345" s="15" t="s">
        <v>373</v>
      </c>
      <c r="K345" s="15" t="s">
        <v>360</v>
      </c>
      <c r="L345" s="15" t="s">
        <v>362</v>
      </c>
      <c r="M345" s="15" t="s">
        <v>364</v>
      </c>
    </row>
    <row r="346" spans="1:16" ht="14.25" customHeight="1" x14ac:dyDescent="0.25">
      <c r="A346" s="14">
        <v>8420</v>
      </c>
      <c r="B346" s="15" t="s">
        <v>340</v>
      </c>
      <c r="C346" s="15" t="s">
        <v>450</v>
      </c>
      <c r="D346" s="16" t="s">
        <v>368</v>
      </c>
      <c r="E346" s="15" t="s">
        <v>369</v>
      </c>
      <c r="F346" s="15" t="s">
        <v>370</v>
      </c>
      <c r="G346" s="15" t="s">
        <v>371</v>
      </c>
      <c r="H346" s="15" t="s">
        <v>352</v>
      </c>
      <c r="I346" s="15" t="s">
        <v>372</v>
      </c>
      <c r="J346" s="15" t="s">
        <v>373</v>
      </c>
      <c r="K346" s="15" t="s">
        <v>360</v>
      </c>
      <c r="L346" s="15" t="s">
        <v>363</v>
      </c>
      <c r="M346" s="15" t="s">
        <v>365</v>
      </c>
    </row>
    <row r="347" spans="1:16" ht="14.25" customHeight="1" x14ac:dyDescent="0.25">
      <c r="A347" s="14">
        <v>8421</v>
      </c>
      <c r="B347" s="15" t="s">
        <v>341</v>
      </c>
      <c r="C347" s="15" t="s">
        <v>450</v>
      </c>
      <c r="D347" s="16" t="s">
        <v>368</v>
      </c>
      <c r="E347" s="15" t="s">
        <v>376</v>
      </c>
      <c r="F347" s="15" t="s">
        <v>381</v>
      </c>
      <c r="G347" s="15" t="s">
        <v>356</v>
      </c>
      <c r="H347" s="15" t="s">
        <v>354</v>
      </c>
      <c r="I347" s="15" t="s">
        <v>382</v>
      </c>
      <c r="J347" s="15" t="s">
        <v>359</v>
      </c>
      <c r="K347" s="15" t="s">
        <v>360</v>
      </c>
      <c r="L347" s="15" t="s">
        <v>362</v>
      </c>
      <c r="M347" s="15" t="s">
        <v>364</v>
      </c>
    </row>
    <row r="348" spans="1:16" ht="14.25" customHeight="1" x14ac:dyDescent="0.25">
      <c r="A348" s="14">
        <v>8423</v>
      </c>
      <c r="B348" s="15" t="s">
        <v>342</v>
      </c>
      <c r="C348" s="15" t="s">
        <v>450</v>
      </c>
      <c r="D348" s="16" t="s">
        <v>368</v>
      </c>
      <c r="E348" s="15" t="s">
        <v>380</v>
      </c>
      <c r="F348" s="15" t="s">
        <v>381</v>
      </c>
      <c r="G348" s="15" t="s">
        <v>356</v>
      </c>
      <c r="H348" s="15" t="s">
        <v>354</v>
      </c>
      <c r="I348" s="15" t="s">
        <v>382</v>
      </c>
      <c r="J348" s="15" t="s">
        <v>359</v>
      </c>
      <c r="K348" s="15" t="s">
        <v>360</v>
      </c>
      <c r="L348" s="15" t="s">
        <v>362</v>
      </c>
      <c r="M348" s="15" t="s">
        <v>364</v>
      </c>
    </row>
    <row r="349" spans="1:16" ht="14.25" customHeight="1" x14ac:dyDescent="0.25">
      <c r="A349" s="14">
        <v>8427</v>
      </c>
      <c r="B349" s="15" t="s">
        <v>343</v>
      </c>
      <c r="C349" s="15" t="s">
        <v>450</v>
      </c>
      <c r="D349" s="16" t="s">
        <v>368</v>
      </c>
      <c r="E349" s="15" t="s">
        <v>378</v>
      </c>
      <c r="F349" s="15" t="s">
        <v>396</v>
      </c>
      <c r="G349" s="15" t="s">
        <v>357</v>
      </c>
      <c r="H349" s="15" t="s">
        <v>352</v>
      </c>
      <c r="I349" s="15" t="s">
        <v>382</v>
      </c>
      <c r="J349" s="15" t="s">
        <v>373</v>
      </c>
      <c r="K349" s="15" t="s">
        <v>360</v>
      </c>
      <c r="L349" s="15" t="s">
        <v>363</v>
      </c>
      <c r="M349" s="15" t="s">
        <v>365</v>
      </c>
    </row>
    <row r="350" spans="1:16" ht="14.25" customHeight="1" x14ac:dyDescent="0.25">
      <c r="A350" s="14">
        <v>8428</v>
      </c>
      <c r="B350" s="15" t="s">
        <v>344</v>
      </c>
      <c r="C350" s="15" t="s">
        <v>450</v>
      </c>
      <c r="D350" s="16" t="s">
        <v>368</v>
      </c>
      <c r="E350" s="15" t="s">
        <v>380</v>
      </c>
      <c r="F350" s="15" t="s">
        <v>396</v>
      </c>
      <c r="G350" s="15" t="s">
        <v>357</v>
      </c>
      <c r="H350" s="15" t="s">
        <v>352</v>
      </c>
      <c r="I350" s="15" t="s">
        <v>382</v>
      </c>
      <c r="J350" s="15" t="s">
        <v>373</v>
      </c>
      <c r="K350" s="15" t="s">
        <v>360</v>
      </c>
      <c r="L350" s="15" t="s">
        <v>363</v>
      </c>
      <c r="M350" s="15" t="s">
        <v>365</v>
      </c>
    </row>
    <row r="351" spans="1:16" ht="14.25" customHeight="1" x14ac:dyDescent="0.25">
      <c r="A351" s="14">
        <v>8430</v>
      </c>
      <c r="B351" s="15" t="s">
        <v>345</v>
      </c>
      <c r="C351" s="15" t="s">
        <v>450</v>
      </c>
      <c r="D351" s="16" t="s">
        <v>368</v>
      </c>
      <c r="E351" s="15" t="s">
        <v>392</v>
      </c>
      <c r="F351" s="15" t="s">
        <v>375</v>
      </c>
      <c r="G351" s="15" t="s">
        <v>356</v>
      </c>
      <c r="H351" s="15" t="s">
        <v>355</v>
      </c>
      <c r="I351" s="15" t="s">
        <v>382</v>
      </c>
      <c r="J351" s="15" t="s">
        <v>373</v>
      </c>
      <c r="K351" s="15" t="s">
        <v>360</v>
      </c>
      <c r="L351" s="15" t="s">
        <v>362</v>
      </c>
      <c r="M351" s="15" t="s">
        <v>364</v>
      </c>
    </row>
    <row r="352" spans="1:16" ht="14.25" customHeight="1" x14ac:dyDescent="0.25">
      <c r="A352" s="14">
        <v>8431</v>
      </c>
      <c r="B352" s="15" t="s">
        <v>346</v>
      </c>
      <c r="C352" s="15" t="s">
        <v>450</v>
      </c>
      <c r="D352" s="16" t="s">
        <v>368</v>
      </c>
      <c r="E352" s="15" t="s">
        <v>392</v>
      </c>
      <c r="F352" s="15" t="s">
        <v>375</v>
      </c>
      <c r="G352" s="15" t="s">
        <v>356</v>
      </c>
      <c r="H352" s="15" t="s">
        <v>354</v>
      </c>
      <c r="I352" s="15" t="s">
        <v>382</v>
      </c>
      <c r="J352" s="15" t="s">
        <v>373</v>
      </c>
      <c r="K352" s="15" t="s">
        <v>360</v>
      </c>
      <c r="L352" s="15" t="s">
        <v>362</v>
      </c>
      <c r="M352" s="15" t="s">
        <v>364</v>
      </c>
    </row>
    <row r="353" spans="1:13" ht="14.25" customHeight="1" x14ac:dyDescent="0.25">
      <c r="A353" s="14">
        <v>8432</v>
      </c>
      <c r="B353" s="15" t="s">
        <v>347</v>
      </c>
      <c r="C353" s="15" t="s">
        <v>450</v>
      </c>
      <c r="D353" s="16" t="s">
        <v>368</v>
      </c>
      <c r="E353" s="15" t="s">
        <v>369</v>
      </c>
      <c r="F353" s="15" t="s">
        <v>375</v>
      </c>
      <c r="G353" s="15" t="s">
        <v>356</v>
      </c>
      <c r="H353" s="15" t="s">
        <v>354</v>
      </c>
      <c r="I353" s="15" t="s">
        <v>382</v>
      </c>
      <c r="J353" s="15" t="s">
        <v>373</v>
      </c>
      <c r="K353" s="15" t="s">
        <v>360</v>
      </c>
      <c r="L353" s="15" t="s">
        <v>362</v>
      </c>
      <c r="M353" s="15" t="s">
        <v>364</v>
      </c>
    </row>
    <row r="354" spans="1:13" ht="14.25" customHeight="1" x14ac:dyDescent="0.25">
      <c r="A354" s="14">
        <v>8433</v>
      </c>
      <c r="B354" s="15" t="s">
        <v>348</v>
      </c>
      <c r="C354" s="15" t="s">
        <v>450</v>
      </c>
      <c r="D354" s="16" t="s">
        <v>368</v>
      </c>
      <c r="E354" s="15" t="s">
        <v>392</v>
      </c>
      <c r="F354" s="15" t="s">
        <v>375</v>
      </c>
      <c r="G354" s="15" t="s">
        <v>356</v>
      </c>
      <c r="H354" s="15" t="s">
        <v>355</v>
      </c>
      <c r="I354" s="15" t="s">
        <v>382</v>
      </c>
      <c r="J354" s="15" t="s">
        <v>373</v>
      </c>
      <c r="K354" s="15" t="s">
        <v>360</v>
      </c>
      <c r="L354" s="15" t="s">
        <v>362</v>
      </c>
      <c r="M354" s="15" t="s">
        <v>364</v>
      </c>
    </row>
    <row r="355" spans="1:13" ht="14.25" customHeight="1" x14ac:dyDescent="0.25">
      <c r="A355" s="14">
        <v>8457</v>
      </c>
      <c r="B355" s="15" t="s">
        <v>349</v>
      </c>
      <c r="C355" s="15" t="s">
        <v>450</v>
      </c>
      <c r="D355" s="16" t="s">
        <v>368</v>
      </c>
      <c r="E355" s="15" t="s">
        <v>392</v>
      </c>
      <c r="F355" s="15" t="s">
        <v>396</v>
      </c>
      <c r="G355" s="15" t="s">
        <v>356</v>
      </c>
      <c r="H355" s="15" t="s">
        <v>352</v>
      </c>
      <c r="I355" s="15" t="s">
        <v>382</v>
      </c>
      <c r="J355" s="15" t="s">
        <v>373</v>
      </c>
      <c r="K355" s="15" t="s">
        <v>360</v>
      </c>
      <c r="L355" s="15" t="s">
        <v>362</v>
      </c>
      <c r="M355" s="15" t="s">
        <v>364</v>
      </c>
    </row>
    <row r="356" spans="1:13" ht="14.25" customHeight="1" x14ac:dyDescent="0.25">
      <c r="A356" s="22">
        <v>9998</v>
      </c>
      <c r="B356" s="23" t="s">
        <v>459</v>
      </c>
      <c r="C356" s="23" t="s">
        <v>457</v>
      </c>
      <c r="D356" s="23" t="s">
        <v>457</v>
      </c>
      <c r="E356" s="23" t="s">
        <v>457</v>
      </c>
      <c r="F356" s="23" t="s">
        <v>457</v>
      </c>
      <c r="G356" s="23" t="s">
        <v>457</v>
      </c>
      <c r="H356" s="23" t="s">
        <v>457</v>
      </c>
      <c r="I356" s="23" t="s">
        <v>457</v>
      </c>
      <c r="J356" s="23" t="s">
        <v>457</v>
      </c>
      <c r="K356" s="23" t="s">
        <v>457</v>
      </c>
      <c r="L356" s="23" t="s">
        <v>457</v>
      </c>
      <c r="M356" s="23" t="s">
        <v>457</v>
      </c>
    </row>
    <row r="357" spans="1:13" ht="14.25" customHeight="1" x14ac:dyDescent="0.25">
      <c r="A357" s="24">
        <v>9999</v>
      </c>
      <c r="B357" s="23" t="s">
        <v>460</v>
      </c>
      <c r="C357" s="23" t="s">
        <v>458</v>
      </c>
      <c r="D357" s="23" t="s">
        <v>458</v>
      </c>
      <c r="E357" s="23" t="s">
        <v>458</v>
      </c>
      <c r="F357" s="23" t="s">
        <v>458</v>
      </c>
      <c r="G357" s="23" t="s">
        <v>458</v>
      </c>
      <c r="H357" s="23" t="s">
        <v>458</v>
      </c>
      <c r="I357" s="23" t="s">
        <v>458</v>
      </c>
      <c r="J357" s="23" t="s">
        <v>458</v>
      </c>
      <c r="K357" s="23" t="s">
        <v>458</v>
      </c>
      <c r="L357" s="23" t="s">
        <v>458</v>
      </c>
      <c r="M357" s="23" t="s">
        <v>458</v>
      </c>
    </row>
    <row r="358" spans="1:13" ht="14.25" customHeight="1" x14ac:dyDescent="0.25">
      <c r="A358" s="25"/>
    </row>
    <row r="359" spans="1:13" ht="14.25" customHeight="1" x14ac:dyDescent="0.25">
      <c r="A359" s="14"/>
    </row>
    <row r="360" spans="1:13" ht="14.25" customHeight="1" x14ac:dyDescent="0.25">
      <c r="A360" s="14"/>
    </row>
    <row r="361" spans="1:13" ht="14.25" customHeight="1" x14ac:dyDescent="0.25">
      <c r="A361" s="14"/>
    </row>
    <row r="362" spans="1:13" ht="14.25" customHeight="1" x14ac:dyDescent="0.25">
      <c r="A362" s="14"/>
    </row>
    <row r="363" spans="1:13" ht="14.25" customHeight="1" x14ac:dyDescent="0.25">
      <c r="A363" s="14"/>
    </row>
    <row r="364" spans="1:13" ht="14.25" customHeight="1" x14ac:dyDescent="0.25">
      <c r="A364" s="14"/>
    </row>
    <row r="365" spans="1:13" ht="14.25" customHeight="1" x14ac:dyDescent="0.25">
      <c r="A365" s="14"/>
    </row>
    <row r="366" spans="1:13" ht="14.25" customHeight="1" x14ac:dyDescent="0.25">
      <c r="A366" s="14"/>
    </row>
    <row r="367" spans="1:13" ht="14.25" customHeight="1" x14ac:dyDescent="0.25">
      <c r="A367" s="14"/>
    </row>
    <row r="368" spans="1:13" ht="14.25" customHeight="1" x14ac:dyDescent="0.25">
      <c r="A368" s="14"/>
    </row>
    <row r="369" spans="1:1" ht="14.25" customHeight="1" x14ac:dyDescent="0.25">
      <c r="A369" s="14"/>
    </row>
    <row r="370" spans="1:1" ht="14.25" customHeight="1" x14ac:dyDescent="0.25">
      <c r="A370" s="14"/>
    </row>
    <row r="371" spans="1:1" ht="14.25" customHeight="1" x14ac:dyDescent="0.25">
      <c r="A371" s="14"/>
    </row>
    <row r="372" spans="1:1" ht="14.25" customHeight="1" x14ac:dyDescent="0.25">
      <c r="A372" s="14"/>
    </row>
    <row r="373" spans="1:1" ht="14.25" customHeight="1" x14ac:dyDescent="0.25">
      <c r="A373" s="14"/>
    </row>
    <row r="374" spans="1:1" ht="14.25" customHeight="1" x14ac:dyDescent="0.25">
      <c r="A374" s="14"/>
    </row>
    <row r="375" spans="1:1" ht="14.25" customHeight="1" x14ac:dyDescent="0.25">
      <c r="A375" s="14"/>
    </row>
    <row r="376" spans="1:1" ht="14.25" customHeight="1" x14ac:dyDescent="0.25">
      <c r="A376" s="14"/>
    </row>
    <row r="377" spans="1:1" ht="14.25" customHeight="1" x14ac:dyDescent="0.25">
      <c r="A377" s="14"/>
    </row>
    <row r="378" spans="1:1" ht="14.25" customHeight="1" x14ac:dyDescent="0.25">
      <c r="A378" s="14"/>
    </row>
    <row r="379" spans="1:1" ht="14.25" customHeight="1" x14ac:dyDescent="0.25">
      <c r="A379" s="14"/>
    </row>
    <row r="380" spans="1:1" ht="14.25" customHeight="1" x14ac:dyDescent="0.25">
      <c r="A380" s="14"/>
    </row>
    <row r="381" spans="1:1" ht="14.25" customHeight="1" x14ac:dyDescent="0.25">
      <c r="A381" s="14"/>
    </row>
    <row r="382" spans="1:1" ht="14.25" customHeight="1" x14ac:dyDescent="0.25">
      <c r="A382" s="14"/>
    </row>
    <row r="383" spans="1:1" ht="14.25" customHeight="1" x14ac:dyDescent="0.25">
      <c r="A383" s="14"/>
    </row>
    <row r="384" spans="1:1" ht="14.25" customHeight="1" x14ac:dyDescent="0.25">
      <c r="A384" s="14"/>
    </row>
    <row r="385" spans="1:1" ht="14.25" customHeight="1" x14ac:dyDescent="0.25">
      <c r="A385" s="14"/>
    </row>
    <row r="386" spans="1:1" ht="14.25" customHeight="1" x14ac:dyDescent="0.25">
      <c r="A386" s="14"/>
    </row>
    <row r="387" spans="1:1" ht="14.25" customHeight="1" x14ac:dyDescent="0.25">
      <c r="A387" s="14"/>
    </row>
    <row r="388" spans="1:1" ht="14.25" customHeight="1" x14ac:dyDescent="0.25">
      <c r="A388" s="14"/>
    </row>
    <row r="389" spans="1:1" ht="14.25" customHeight="1" x14ac:dyDescent="0.25">
      <c r="A389" s="14"/>
    </row>
    <row r="390" spans="1:1" ht="14.25" customHeight="1" x14ac:dyDescent="0.25">
      <c r="A390" s="14"/>
    </row>
    <row r="391" spans="1:1" ht="14.25" customHeight="1" x14ac:dyDescent="0.25">
      <c r="A391" s="14"/>
    </row>
    <row r="392" spans="1:1" ht="14.25" customHeight="1" x14ac:dyDescent="0.25">
      <c r="A392" s="14"/>
    </row>
    <row r="393" spans="1:1" ht="14.25" customHeight="1" x14ac:dyDescent="0.25">
      <c r="A393" s="14"/>
    </row>
    <row r="394" spans="1:1" ht="14.25" customHeight="1" x14ac:dyDescent="0.25">
      <c r="A394" s="14"/>
    </row>
    <row r="395" spans="1:1" ht="14.25" customHeight="1" x14ac:dyDescent="0.25">
      <c r="A395" s="14"/>
    </row>
    <row r="396" spans="1:1" ht="14.25" customHeight="1" x14ac:dyDescent="0.25">
      <c r="A396" s="14"/>
    </row>
    <row r="397" spans="1:1" ht="14.25" customHeight="1" x14ac:dyDescent="0.25">
      <c r="A397" s="14"/>
    </row>
    <row r="398" spans="1:1" ht="14.25" customHeight="1" x14ac:dyDescent="0.25">
      <c r="A398" s="14"/>
    </row>
    <row r="399" spans="1:1" ht="14.25" customHeight="1" x14ac:dyDescent="0.25">
      <c r="A399" s="14"/>
    </row>
    <row r="400" spans="1:1" ht="14.25" customHeight="1" x14ac:dyDescent="0.25">
      <c r="A400" s="14"/>
    </row>
    <row r="401" spans="1:1" ht="14.25" customHeight="1" x14ac:dyDescent="0.25">
      <c r="A401" s="14"/>
    </row>
    <row r="402" spans="1:1" ht="14.25" customHeight="1" x14ac:dyDescent="0.25">
      <c r="A402" s="14"/>
    </row>
    <row r="403" spans="1:1" ht="14.25" customHeight="1" x14ac:dyDescent="0.25">
      <c r="A403" s="14"/>
    </row>
    <row r="404" spans="1:1" ht="14.25" customHeight="1" x14ac:dyDescent="0.25">
      <c r="A404" s="14"/>
    </row>
    <row r="405" spans="1:1" ht="14.25" customHeight="1" x14ac:dyDescent="0.25">
      <c r="A405" s="14"/>
    </row>
    <row r="406" spans="1:1" ht="14.25" customHeight="1" x14ac:dyDescent="0.25">
      <c r="A406" s="14"/>
    </row>
    <row r="407" spans="1:1" ht="14.25" customHeight="1" x14ac:dyDescent="0.25">
      <c r="A407" s="14"/>
    </row>
    <row r="408" spans="1:1" ht="14.25" customHeight="1" x14ac:dyDescent="0.25">
      <c r="A408" s="14"/>
    </row>
    <row r="409" spans="1:1" ht="14.25" customHeight="1" x14ac:dyDescent="0.25">
      <c r="A409" s="14"/>
    </row>
    <row r="410" spans="1:1" ht="14.25" customHeight="1" x14ac:dyDescent="0.25">
      <c r="A410" s="14"/>
    </row>
    <row r="411" spans="1:1" ht="14.25" customHeight="1" x14ac:dyDescent="0.25">
      <c r="A411" s="14"/>
    </row>
    <row r="412" spans="1:1" ht="14.25" customHeight="1" x14ac:dyDescent="0.25">
      <c r="A412" s="14"/>
    </row>
    <row r="413" spans="1:1" ht="14.25" customHeight="1" x14ac:dyDescent="0.25">
      <c r="A413" s="14"/>
    </row>
    <row r="414" spans="1:1" ht="14.25" customHeight="1" x14ac:dyDescent="0.25">
      <c r="A414" s="14"/>
    </row>
    <row r="415" spans="1:1" ht="14.25" customHeight="1" x14ac:dyDescent="0.25">
      <c r="A415" s="14"/>
    </row>
    <row r="416" spans="1:1" ht="14.25" customHeight="1" x14ac:dyDescent="0.25">
      <c r="A416" s="14"/>
    </row>
    <row r="417" spans="1:1" ht="14.25" customHeight="1" x14ac:dyDescent="0.25">
      <c r="A417" s="14"/>
    </row>
    <row r="418" spans="1:1" ht="14.25" customHeight="1" x14ac:dyDescent="0.25">
      <c r="A418" s="14"/>
    </row>
    <row r="419" spans="1:1" ht="14.25" customHeight="1" x14ac:dyDescent="0.25">
      <c r="A419" s="14"/>
    </row>
    <row r="420" spans="1:1" ht="14.25" customHeight="1" x14ac:dyDescent="0.25">
      <c r="A420" s="14"/>
    </row>
    <row r="421" spans="1:1" ht="14.25" customHeight="1" x14ac:dyDescent="0.25">
      <c r="A421" s="14"/>
    </row>
    <row r="422" spans="1:1" ht="14.25" customHeight="1" x14ac:dyDescent="0.25">
      <c r="A422" s="14"/>
    </row>
    <row r="423" spans="1:1" ht="14.25" customHeight="1" x14ac:dyDescent="0.25">
      <c r="A423" s="14"/>
    </row>
    <row r="424" spans="1:1" ht="14.25" customHeight="1" x14ac:dyDescent="0.25">
      <c r="A424" s="14"/>
    </row>
    <row r="425" spans="1:1" ht="14.25" customHeight="1" x14ac:dyDescent="0.25">
      <c r="A425" s="14"/>
    </row>
    <row r="426" spans="1:1" ht="14.25" customHeight="1" x14ac:dyDescent="0.25">
      <c r="A426" s="14"/>
    </row>
    <row r="427" spans="1:1" ht="14.25" customHeight="1" x14ac:dyDescent="0.25">
      <c r="A427" s="14"/>
    </row>
    <row r="428" spans="1:1" ht="14.25" customHeight="1" x14ac:dyDescent="0.25">
      <c r="A428" s="14"/>
    </row>
    <row r="429" spans="1:1" ht="14.25" customHeight="1" x14ac:dyDescent="0.25">
      <c r="A429" s="14"/>
    </row>
    <row r="430" spans="1:1" ht="14.25" customHeight="1" x14ac:dyDescent="0.25">
      <c r="A430" s="14"/>
    </row>
    <row r="431" spans="1:1" ht="14.25" customHeight="1" x14ac:dyDescent="0.25">
      <c r="A431" s="14"/>
    </row>
    <row r="432" spans="1:1" ht="14.25" customHeight="1" x14ac:dyDescent="0.25">
      <c r="A432" s="14"/>
    </row>
    <row r="433" spans="1:1" ht="14.25" customHeight="1" x14ac:dyDescent="0.25">
      <c r="A433" s="14"/>
    </row>
    <row r="434" spans="1:1" ht="14.25" customHeight="1" x14ac:dyDescent="0.25">
      <c r="A434" s="14"/>
    </row>
    <row r="435" spans="1:1" ht="14.25" customHeight="1" x14ac:dyDescent="0.25">
      <c r="A435" s="14"/>
    </row>
    <row r="436" spans="1:1" ht="14.25" customHeight="1" x14ac:dyDescent="0.25">
      <c r="A436" s="14"/>
    </row>
    <row r="437" spans="1:1" ht="14.25" customHeight="1" x14ac:dyDescent="0.25">
      <c r="A437" s="14"/>
    </row>
    <row r="438" spans="1:1" ht="14.25" customHeight="1" x14ac:dyDescent="0.25">
      <c r="A438" s="14"/>
    </row>
    <row r="439" spans="1:1" ht="14.25" customHeight="1" x14ac:dyDescent="0.25">
      <c r="A439" s="14"/>
    </row>
    <row r="440" spans="1:1" ht="14.25" customHeight="1" x14ac:dyDescent="0.25">
      <c r="A440" s="14"/>
    </row>
    <row r="441" spans="1:1" ht="14.25" customHeight="1" x14ac:dyDescent="0.25">
      <c r="A441" s="14"/>
    </row>
    <row r="442" spans="1:1" ht="14.25" customHeight="1" x14ac:dyDescent="0.25">
      <c r="A442" s="14"/>
    </row>
    <row r="443" spans="1:1" ht="14.25" customHeight="1" x14ac:dyDescent="0.25">
      <c r="A443" s="14"/>
    </row>
    <row r="444" spans="1:1" ht="14.25" customHeight="1" x14ac:dyDescent="0.25">
      <c r="A444" s="14"/>
    </row>
    <row r="445" spans="1:1" ht="14.25" customHeight="1" x14ac:dyDescent="0.25">
      <c r="A445" s="14"/>
    </row>
    <row r="446" spans="1:1" ht="14.25" customHeight="1" x14ac:dyDescent="0.25">
      <c r="A446" s="14"/>
    </row>
    <row r="447" spans="1:1" ht="14.25" customHeight="1" x14ac:dyDescent="0.25">
      <c r="A447" s="14"/>
    </row>
    <row r="448" spans="1:1" ht="14.25" customHeight="1" x14ac:dyDescent="0.25">
      <c r="A448" s="14"/>
    </row>
    <row r="449" spans="1:1" ht="14.25" customHeight="1" x14ac:dyDescent="0.25">
      <c r="A449" s="14"/>
    </row>
    <row r="450" spans="1:1" ht="14.25" customHeight="1" x14ac:dyDescent="0.25">
      <c r="A450" s="14"/>
    </row>
    <row r="451" spans="1:1" ht="14.25" customHeight="1" x14ac:dyDescent="0.25">
      <c r="A451" s="14"/>
    </row>
    <row r="452" spans="1:1" ht="14.25" customHeight="1" x14ac:dyDescent="0.25">
      <c r="A452" s="14"/>
    </row>
    <row r="453" spans="1:1" ht="14.25" customHeight="1" x14ac:dyDescent="0.25">
      <c r="A453" s="14"/>
    </row>
    <row r="454" spans="1:1" ht="14.25" customHeight="1" x14ac:dyDescent="0.25">
      <c r="A454" s="14"/>
    </row>
    <row r="455" spans="1:1" ht="14.25" customHeight="1" x14ac:dyDescent="0.25">
      <c r="A455" s="14"/>
    </row>
    <row r="456" spans="1:1" ht="14.25" customHeight="1" x14ac:dyDescent="0.25">
      <c r="A456" s="14"/>
    </row>
    <row r="457" spans="1:1" ht="14.25" customHeight="1" x14ac:dyDescent="0.25">
      <c r="A457" s="14"/>
    </row>
    <row r="458" spans="1:1" ht="14.25" customHeight="1" x14ac:dyDescent="0.25">
      <c r="A458" s="14"/>
    </row>
    <row r="459" spans="1:1" ht="14.25" customHeight="1" x14ac:dyDescent="0.25">
      <c r="A459" s="14"/>
    </row>
    <row r="460" spans="1:1" ht="14.25" customHeight="1" x14ac:dyDescent="0.25">
      <c r="A460" s="14"/>
    </row>
    <row r="461" spans="1:1" ht="14.25" customHeight="1" x14ac:dyDescent="0.25">
      <c r="A461" s="14"/>
    </row>
    <row r="462" spans="1:1" ht="14.25" customHeight="1" x14ac:dyDescent="0.25">
      <c r="A462" s="14"/>
    </row>
    <row r="463" spans="1:1" ht="14.25" customHeight="1" x14ac:dyDescent="0.25">
      <c r="A463" s="14"/>
    </row>
    <row r="464" spans="1:1" ht="14.25" customHeight="1" x14ac:dyDescent="0.25">
      <c r="A464" s="14"/>
    </row>
    <row r="465" spans="1:1" ht="14.25" customHeight="1" x14ac:dyDescent="0.25">
      <c r="A465" s="14"/>
    </row>
    <row r="466" spans="1:1" ht="14.25" customHeight="1" x14ac:dyDescent="0.25">
      <c r="A466" s="14"/>
    </row>
    <row r="467" spans="1:1" ht="14.25" customHeight="1" x14ac:dyDescent="0.25">
      <c r="A467" s="14"/>
    </row>
    <row r="468" spans="1:1" ht="14.25" customHeight="1" x14ac:dyDescent="0.25">
      <c r="A468" s="14"/>
    </row>
    <row r="469" spans="1:1" ht="14.25" customHeight="1" x14ac:dyDescent="0.25">
      <c r="A469" s="14"/>
    </row>
    <row r="470" spans="1:1" ht="14.25" customHeight="1" x14ac:dyDescent="0.25">
      <c r="A470" s="14"/>
    </row>
    <row r="471" spans="1:1" ht="14.25" customHeight="1" x14ac:dyDescent="0.25">
      <c r="A471" s="14"/>
    </row>
    <row r="472" spans="1:1" ht="14.25" customHeight="1" x14ac:dyDescent="0.25">
      <c r="A472" s="14"/>
    </row>
    <row r="473" spans="1:1" ht="14.25" customHeight="1" x14ac:dyDescent="0.25">
      <c r="A473" s="14"/>
    </row>
    <row r="474" spans="1:1" ht="14.25" customHeight="1" x14ac:dyDescent="0.25">
      <c r="A474" s="14"/>
    </row>
    <row r="475" spans="1:1" ht="14.25" customHeight="1" x14ac:dyDescent="0.25">
      <c r="A475" s="14"/>
    </row>
    <row r="476" spans="1:1" ht="14.25" customHeight="1" x14ac:dyDescent="0.25">
      <c r="A476" s="14"/>
    </row>
    <row r="477" spans="1:1" ht="14.25" customHeight="1" x14ac:dyDescent="0.25">
      <c r="A477" s="14"/>
    </row>
    <row r="478" spans="1:1" ht="14.25" customHeight="1" x14ac:dyDescent="0.25">
      <c r="A478" s="14"/>
    </row>
    <row r="479" spans="1:1" ht="14.25" customHeight="1" x14ac:dyDescent="0.25">
      <c r="A479" s="14"/>
    </row>
    <row r="480" spans="1:1" ht="14.25" customHeight="1" x14ac:dyDescent="0.25">
      <c r="A480" s="14"/>
    </row>
    <row r="481" spans="1:1" ht="14.25" customHeight="1" x14ac:dyDescent="0.25">
      <c r="A481" s="14"/>
    </row>
    <row r="482" spans="1:1" ht="14.25" customHeight="1" x14ac:dyDescent="0.25">
      <c r="A482" s="14"/>
    </row>
    <row r="483" spans="1:1" ht="14.25" customHeight="1" x14ac:dyDescent="0.25">
      <c r="A483" s="14"/>
    </row>
    <row r="484" spans="1:1" ht="14.25" customHeight="1" x14ac:dyDescent="0.25">
      <c r="A484" s="14"/>
    </row>
    <row r="485" spans="1:1" ht="14.25" customHeight="1" x14ac:dyDescent="0.25">
      <c r="A485" s="14"/>
    </row>
    <row r="486" spans="1:1" ht="14.25" customHeight="1" x14ac:dyDescent="0.25">
      <c r="A486" s="14"/>
    </row>
    <row r="487" spans="1:1" ht="14.25" customHeight="1" x14ac:dyDescent="0.25">
      <c r="A487" s="14"/>
    </row>
    <row r="488" spans="1:1" ht="14.25" customHeight="1" x14ac:dyDescent="0.25">
      <c r="A488" s="14"/>
    </row>
    <row r="489" spans="1:1" ht="14.25" customHeight="1" x14ac:dyDescent="0.25">
      <c r="A489" s="14"/>
    </row>
    <row r="490" spans="1:1" ht="14.25" customHeight="1" x14ac:dyDescent="0.25">
      <c r="A490" s="14"/>
    </row>
    <row r="491" spans="1:1" ht="14.25" customHeight="1" x14ac:dyDescent="0.25">
      <c r="A491" s="14"/>
    </row>
    <row r="492" spans="1:1" ht="14.25" customHeight="1" x14ac:dyDescent="0.25">
      <c r="A492" s="14"/>
    </row>
    <row r="493" spans="1:1" ht="14.25" customHeight="1" x14ac:dyDescent="0.25">
      <c r="A493" s="14"/>
    </row>
    <row r="494" spans="1:1" ht="14.25" customHeight="1" x14ac:dyDescent="0.25">
      <c r="A494" s="14"/>
    </row>
    <row r="495" spans="1:1" ht="14.25" customHeight="1" x14ac:dyDescent="0.25">
      <c r="A495" s="14"/>
    </row>
    <row r="496" spans="1:1" ht="14.25" customHeight="1" x14ac:dyDescent="0.25">
      <c r="A496" s="14"/>
    </row>
    <row r="497" spans="1:1" ht="14.25" customHeight="1" x14ac:dyDescent="0.25">
      <c r="A497" s="14"/>
    </row>
    <row r="498" spans="1:1" ht="14.25" customHeight="1" x14ac:dyDescent="0.25">
      <c r="A498" s="14"/>
    </row>
    <row r="499" spans="1:1" ht="14.25" customHeight="1" x14ac:dyDescent="0.25">
      <c r="A499" s="14"/>
    </row>
    <row r="500" spans="1:1" ht="14.25" customHeight="1" x14ac:dyDescent="0.25">
      <c r="A500" s="14"/>
    </row>
    <row r="501" spans="1:1" ht="14.25" customHeight="1" x14ac:dyDescent="0.25">
      <c r="A501" s="14"/>
    </row>
    <row r="502" spans="1:1" ht="14.25" customHeight="1" x14ac:dyDescent="0.25">
      <c r="A502" s="14"/>
    </row>
    <row r="503" spans="1:1" ht="14.25" customHeight="1" x14ac:dyDescent="0.25">
      <c r="A503" s="14"/>
    </row>
    <row r="504" spans="1:1" ht="14.25" customHeight="1" x14ac:dyDescent="0.25">
      <c r="A504" s="14"/>
    </row>
    <row r="505" spans="1:1" ht="14.25" customHeight="1" x14ac:dyDescent="0.25">
      <c r="A505" s="14"/>
    </row>
    <row r="506" spans="1:1" ht="14.25" customHeight="1" x14ac:dyDescent="0.25">
      <c r="A506" s="14"/>
    </row>
    <row r="507" spans="1:1" ht="14.25" customHeight="1" x14ac:dyDescent="0.25">
      <c r="A507" s="14"/>
    </row>
    <row r="508" spans="1:1" ht="14.25" customHeight="1" x14ac:dyDescent="0.25">
      <c r="A508" s="14"/>
    </row>
    <row r="509" spans="1:1" ht="14.25" customHeight="1" x14ac:dyDescent="0.25">
      <c r="A509" s="14"/>
    </row>
    <row r="510" spans="1:1" ht="14.25" customHeight="1" x14ac:dyDescent="0.25">
      <c r="A510" s="14"/>
    </row>
    <row r="511" spans="1:1" ht="14.25" customHeight="1" x14ac:dyDescent="0.25">
      <c r="A511" s="14"/>
    </row>
    <row r="512" spans="1:1" ht="14.25" customHeight="1" x14ac:dyDescent="0.25">
      <c r="A512" s="14"/>
    </row>
    <row r="513" spans="1:1" ht="14.25" customHeight="1" x14ac:dyDescent="0.25">
      <c r="A513" s="14"/>
    </row>
    <row r="514" spans="1:1" ht="14.25" customHeight="1" x14ac:dyDescent="0.25">
      <c r="A514" s="14"/>
    </row>
    <row r="515" spans="1:1" ht="14.25" customHeight="1" x14ac:dyDescent="0.25">
      <c r="A515" s="14"/>
    </row>
    <row r="516" spans="1:1" ht="14.25" customHeight="1" x14ac:dyDescent="0.25">
      <c r="A516" s="14"/>
    </row>
    <row r="517" spans="1:1" ht="14.25" customHeight="1" x14ac:dyDescent="0.25">
      <c r="A517" s="14"/>
    </row>
    <row r="518" spans="1:1" ht="14.25" customHeight="1" x14ac:dyDescent="0.25">
      <c r="A518" s="14"/>
    </row>
    <row r="519" spans="1:1" ht="14.25" customHeight="1" x14ac:dyDescent="0.25">
      <c r="A519" s="14"/>
    </row>
    <row r="520" spans="1:1" ht="14.25" customHeight="1" x14ac:dyDescent="0.25">
      <c r="A520" s="14"/>
    </row>
    <row r="521" spans="1:1" ht="14.25" customHeight="1" x14ac:dyDescent="0.25">
      <c r="A521" s="14"/>
    </row>
    <row r="522" spans="1:1" ht="14.25" customHeight="1" x14ac:dyDescent="0.25">
      <c r="A522" s="14"/>
    </row>
    <row r="523" spans="1:1" ht="14.25" customHeight="1" x14ac:dyDescent="0.25">
      <c r="A523" s="14"/>
    </row>
    <row r="524" spans="1:1" ht="14.25" customHeight="1" x14ac:dyDescent="0.25">
      <c r="A524" s="14"/>
    </row>
    <row r="525" spans="1:1" ht="14.25" customHeight="1" x14ac:dyDescent="0.25">
      <c r="A525" s="14"/>
    </row>
    <row r="526" spans="1:1" ht="14.25" customHeight="1" x14ac:dyDescent="0.25">
      <c r="A526" s="14"/>
    </row>
    <row r="527" spans="1:1" ht="14.25" customHeight="1" x14ac:dyDescent="0.25">
      <c r="A527" s="14"/>
    </row>
    <row r="528" spans="1:1" ht="14.25" customHeight="1" x14ac:dyDescent="0.25">
      <c r="A528" s="14"/>
    </row>
    <row r="529" spans="1:1" ht="14.25" customHeight="1" x14ac:dyDescent="0.25">
      <c r="A529" s="14"/>
    </row>
    <row r="530" spans="1:1" ht="14.25" customHeight="1" x14ac:dyDescent="0.25">
      <c r="A530" s="14"/>
    </row>
    <row r="531" spans="1:1" ht="14.25" customHeight="1" x14ac:dyDescent="0.25">
      <c r="A531" s="14"/>
    </row>
    <row r="532" spans="1:1" ht="14.25" customHeight="1" x14ac:dyDescent="0.25">
      <c r="A532" s="14"/>
    </row>
    <row r="533" spans="1:1" ht="14.25" customHeight="1" x14ac:dyDescent="0.25">
      <c r="A533" s="14"/>
    </row>
    <row r="534" spans="1:1" ht="14.25" customHeight="1" x14ac:dyDescent="0.25">
      <c r="A534" s="14"/>
    </row>
    <row r="535" spans="1:1" ht="14.25" customHeight="1" x14ac:dyDescent="0.25">
      <c r="A535" s="14"/>
    </row>
    <row r="536" spans="1:1" ht="14.25" customHeight="1" x14ac:dyDescent="0.25">
      <c r="A536" s="14"/>
    </row>
    <row r="537" spans="1:1" ht="14.25" customHeight="1" x14ac:dyDescent="0.25">
      <c r="A537" s="14"/>
    </row>
    <row r="538" spans="1:1" ht="14.25" customHeight="1" x14ac:dyDescent="0.25">
      <c r="A538" s="14"/>
    </row>
    <row r="539" spans="1:1" ht="14.25" customHeight="1" x14ac:dyDescent="0.25">
      <c r="A539" s="14"/>
    </row>
    <row r="540" spans="1:1" ht="14.25" customHeight="1" x14ac:dyDescent="0.25">
      <c r="A540" s="14"/>
    </row>
    <row r="541" spans="1:1" ht="14.25" customHeight="1" x14ac:dyDescent="0.25">
      <c r="A541" s="14"/>
    </row>
    <row r="542" spans="1:1" ht="14.25" customHeight="1" x14ac:dyDescent="0.25">
      <c r="A542" s="14"/>
    </row>
    <row r="543" spans="1:1" ht="14.25" customHeight="1" x14ac:dyDescent="0.25">
      <c r="A543" s="14"/>
    </row>
    <row r="544" spans="1:1" ht="14.25" customHeight="1" x14ac:dyDescent="0.25">
      <c r="A544" s="14"/>
    </row>
    <row r="545" spans="1:1" ht="14.25" customHeight="1" x14ac:dyDescent="0.25">
      <c r="A545" s="14"/>
    </row>
    <row r="546" spans="1:1" ht="14.25" customHeight="1" x14ac:dyDescent="0.25">
      <c r="A546" s="14"/>
    </row>
    <row r="547" spans="1:1" ht="14.25" customHeight="1" x14ac:dyDescent="0.25">
      <c r="A547" s="14"/>
    </row>
    <row r="548" spans="1:1" ht="14.25" customHeight="1" x14ac:dyDescent="0.25">
      <c r="A548" s="14"/>
    </row>
    <row r="549" spans="1:1" ht="14.25" customHeight="1" x14ac:dyDescent="0.25">
      <c r="A549" s="14"/>
    </row>
    <row r="550" spans="1:1" ht="14.25" customHeight="1" x14ac:dyDescent="0.25">
      <c r="A550" s="14"/>
    </row>
    <row r="551" spans="1:1" ht="14.25" customHeight="1" x14ac:dyDescent="0.25">
      <c r="A551" s="14"/>
    </row>
    <row r="552" spans="1:1" ht="14.25" customHeight="1" x14ac:dyDescent="0.25">
      <c r="A552" s="14"/>
    </row>
    <row r="553" spans="1:1" ht="14.25" customHeight="1" x14ac:dyDescent="0.25">
      <c r="A553" s="14"/>
    </row>
    <row r="554" spans="1:1" ht="14.25" customHeight="1" x14ac:dyDescent="0.25">
      <c r="A554" s="14"/>
    </row>
    <row r="555" spans="1:1" ht="14.25" customHeight="1" x14ac:dyDescent="0.25">
      <c r="A555" s="14"/>
    </row>
    <row r="556" spans="1:1" ht="14.25" customHeight="1" x14ac:dyDescent="0.25">
      <c r="A556" s="14"/>
    </row>
    <row r="557" spans="1:1" ht="14.25" customHeight="1" x14ac:dyDescent="0.25">
      <c r="A557" s="14"/>
    </row>
    <row r="558" spans="1:1" ht="14.25" customHeight="1" x14ac:dyDescent="0.25">
      <c r="A558" s="14"/>
    </row>
    <row r="559" spans="1:1" ht="14.25" customHeight="1" x14ac:dyDescent="0.25">
      <c r="A559" s="14"/>
    </row>
    <row r="560" spans="1:1" ht="14.25" customHeight="1" x14ac:dyDescent="0.25">
      <c r="A560" s="14"/>
    </row>
    <row r="561" spans="1:1" ht="14.25" customHeight="1" x14ac:dyDescent="0.25">
      <c r="A561" s="14"/>
    </row>
    <row r="562" spans="1:1" ht="14.25" customHeight="1" x14ac:dyDescent="0.25">
      <c r="A562" s="14"/>
    </row>
    <row r="563" spans="1:1" ht="14.25" customHeight="1" x14ac:dyDescent="0.25">
      <c r="A563" s="14"/>
    </row>
    <row r="564" spans="1:1" ht="14.25" customHeight="1" x14ac:dyDescent="0.25">
      <c r="A564" s="14"/>
    </row>
    <row r="565" spans="1:1" ht="14.25" customHeight="1" x14ac:dyDescent="0.25">
      <c r="A565" s="14"/>
    </row>
    <row r="566" spans="1:1" ht="14.25" customHeight="1" x14ac:dyDescent="0.25">
      <c r="A566" s="14"/>
    </row>
    <row r="567" spans="1:1" ht="14.25" customHeight="1" x14ac:dyDescent="0.25">
      <c r="A567" s="14"/>
    </row>
    <row r="568" spans="1:1" ht="14.25" customHeight="1" x14ac:dyDescent="0.25">
      <c r="A568" s="14"/>
    </row>
    <row r="569" spans="1:1" ht="14.25" customHeight="1" x14ac:dyDescent="0.25">
      <c r="A569" s="14"/>
    </row>
    <row r="570" spans="1:1" ht="14.25" customHeight="1" x14ac:dyDescent="0.25">
      <c r="A570" s="14"/>
    </row>
    <row r="571" spans="1:1" ht="14.25" customHeight="1" x14ac:dyDescent="0.25">
      <c r="A571" s="14"/>
    </row>
    <row r="572" spans="1:1" ht="14.25" customHeight="1" x14ac:dyDescent="0.25">
      <c r="A572" s="14"/>
    </row>
    <row r="573" spans="1:1" ht="14.25" customHeight="1" x14ac:dyDescent="0.25">
      <c r="A573" s="14"/>
    </row>
    <row r="574" spans="1:1" ht="14.25" customHeight="1" x14ac:dyDescent="0.25">
      <c r="A574" s="14"/>
    </row>
    <row r="575" spans="1:1" ht="14.25" customHeight="1" x14ac:dyDescent="0.25">
      <c r="A575" s="14"/>
    </row>
    <row r="576" spans="1:1" ht="14.25" customHeight="1" x14ac:dyDescent="0.25">
      <c r="A576" s="14"/>
    </row>
    <row r="577" spans="1:1" ht="14.25" customHeight="1" x14ac:dyDescent="0.25">
      <c r="A577" s="14"/>
    </row>
    <row r="578" spans="1:1" ht="14.25" customHeight="1" x14ac:dyDescent="0.25">
      <c r="A578" s="14"/>
    </row>
    <row r="579" spans="1:1" ht="14.25" customHeight="1" x14ac:dyDescent="0.25">
      <c r="A579" s="14"/>
    </row>
    <row r="580" spans="1:1" ht="14.25" customHeight="1" x14ac:dyDescent="0.25">
      <c r="A580" s="14"/>
    </row>
    <row r="581" spans="1:1" ht="14.25" customHeight="1" x14ac:dyDescent="0.25">
      <c r="A581" s="14"/>
    </row>
    <row r="582" spans="1:1" ht="14.25" customHeight="1" x14ac:dyDescent="0.25">
      <c r="A582" s="14"/>
    </row>
    <row r="583" spans="1:1" ht="14.25" customHeight="1" x14ac:dyDescent="0.25">
      <c r="A583" s="14"/>
    </row>
    <row r="584" spans="1:1" ht="14.25" customHeight="1" x14ac:dyDescent="0.25">
      <c r="A584" s="14"/>
    </row>
    <row r="585" spans="1:1" ht="14.25" customHeight="1" x14ac:dyDescent="0.25">
      <c r="A585" s="14"/>
    </row>
    <row r="586" spans="1:1" ht="14.25" customHeight="1" x14ac:dyDescent="0.25">
      <c r="A586" s="14"/>
    </row>
    <row r="587" spans="1:1" ht="14.25" customHeight="1" x14ac:dyDescent="0.25">
      <c r="A587" s="14"/>
    </row>
    <row r="588" spans="1:1" ht="14.25" customHeight="1" x14ac:dyDescent="0.25">
      <c r="A588" s="14"/>
    </row>
    <row r="589" spans="1:1" ht="14.25" customHeight="1" x14ac:dyDescent="0.25">
      <c r="A589" s="14"/>
    </row>
    <row r="590" spans="1:1" ht="14.25" customHeight="1" x14ac:dyDescent="0.25">
      <c r="A590" s="14"/>
    </row>
    <row r="591" spans="1:1" ht="14.25" customHeight="1" x14ac:dyDescent="0.25">
      <c r="A591" s="14"/>
    </row>
    <row r="592" spans="1:1" ht="14.25" customHeight="1" x14ac:dyDescent="0.25">
      <c r="A592" s="14"/>
    </row>
    <row r="593" spans="1:1" ht="14.25" customHeight="1" x14ac:dyDescent="0.25">
      <c r="A593" s="14"/>
    </row>
    <row r="594" spans="1:1" ht="14.25" customHeight="1" x14ac:dyDescent="0.25">
      <c r="A594" s="14"/>
    </row>
    <row r="595" spans="1:1" ht="14.25" customHeight="1" x14ac:dyDescent="0.25">
      <c r="A595" s="14"/>
    </row>
    <row r="596" spans="1:1" ht="14.25" customHeight="1" x14ac:dyDescent="0.25">
      <c r="A596" s="14"/>
    </row>
    <row r="597" spans="1:1" ht="14.25" customHeight="1" x14ac:dyDescent="0.25">
      <c r="A597" s="14"/>
    </row>
    <row r="598" spans="1:1" ht="14.25" customHeight="1" x14ac:dyDescent="0.25">
      <c r="A598" s="14"/>
    </row>
    <row r="599" spans="1:1" ht="14.25" customHeight="1" x14ac:dyDescent="0.25">
      <c r="A599" s="14"/>
    </row>
    <row r="600" spans="1:1" ht="14.25" customHeight="1" x14ac:dyDescent="0.25">
      <c r="A600" s="14"/>
    </row>
    <row r="601" spans="1:1" ht="14.25" customHeight="1" x14ac:dyDescent="0.25">
      <c r="A601" s="14"/>
    </row>
    <row r="602" spans="1:1" ht="14.25" customHeight="1" x14ac:dyDescent="0.25">
      <c r="A602" s="14"/>
    </row>
    <row r="603" spans="1:1" ht="14.25" customHeight="1" x14ac:dyDescent="0.25">
      <c r="A603" s="14"/>
    </row>
    <row r="604" spans="1:1" ht="14.25" customHeight="1" x14ac:dyDescent="0.25">
      <c r="A604" s="14"/>
    </row>
    <row r="605" spans="1:1" ht="14.25" customHeight="1" x14ac:dyDescent="0.25">
      <c r="A605" s="14"/>
    </row>
    <row r="606" spans="1:1" ht="14.25" customHeight="1" x14ac:dyDescent="0.25">
      <c r="A606" s="14"/>
    </row>
    <row r="607" spans="1:1" ht="14.25" customHeight="1" x14ac:dyDescent="0.25">
      <c r="A607" s="14"/>
    </row>
    <row r="608" spans="1:1" ht="14.25" customHeight="1" x14ac:dyDescent="0.25">
      <c r="A608" s="14"/>
    </row>
    <row r="609" spans="1:1" ht="14.25" customHeight="1" x14ac:dyDescent="0.25">
      <c r="A609" s="14"/>
    </row>
    <row r="610" spans="1:1" ht="14.25" customHeight="1" x14ac:dyDescent="0.25">
      <c r="A610" s="14"/>
    </row>
    <row r="611" spans="1:1" ht="14.25" customHeight="1" x14ac:dyDescent="0.25">
      <c r="A611" s="14"/>
    </row>
    <row r="612" spans="1:1" ht="14.25" customHeight="1" x14ac:dyDescent="0.25">
      <c r="A612" s="14"/>
    </row>
    <row r="613" spans="1:1" ht="14.25" customHeight="1" x14ac:dyDescent="0.25">
      <c r="A613" s="14"/>
    </row>
    <row r="614" spans="1:1" ht="14.25" customHeight="1" x14ac:dyDescent="0.25">
      <c r="A614" s="14"/>
    </row>
    <row r="615" spans="1:1" ht="14.25" customHeight="1" x14ac:dyDescent="0.25">
      <c r="A615" s="14"/>
    </row>
    <row r="616" spans="1:1" ht="14.25" customHeight="1" x14ac:dyDescent="0.25">
      <c r="A616" s="14"/>
    </row>
    <row r="617" spans="1:1" ht="14.25" customHeight="1" x14ac:dyDescent="0.25">
      <c r="A617" s="14"/>
    </row>
    <row r="618" spans="1:1" ht="14.25" customHeight="1" x14ac:dyDescent="0.25">
      <c r="A618" s="14"/>
    </row>
    <row r="619" spans="1:1" ht="14.25" customHeight="1" x14ac:dyDescent="0.25">
      <c r="A619" s="14"/>
    </row>
    <row r="620" spans="1:1" ht="14.25" customHeight="1" x14ac:dyDescent="0.25">
      <c r="A620" s="14"/>
    </row>
    <row r="621" spans="1:1" ht="14.25" customHeight="1" x14ac:dyDescent="0.25">
      <c r="A621" s="14"/>
    </row>
    <row r="622" spans="1:1" ht="14.25" customHeight="1" x14ac:dyDescent="0.25">
      <c r="A622" s="14"/>
    </row>
    <row r="623" spans="1:1" ht="14.25" customHeight="1" x14ac:dyDescent="0.25">
      <c r="A623" s="14"/>
    </row>
    <row r="624" spans="1:1" ht="14.25" customHeight="1" x14ac:dyDescent="0.25">
      <c r="A624" s="14"/>
    </row>
    <row r="625" spans="1:1" ht="14.25" customHeight="1" x14ac:dyDescent="0.25">
      <c r="A625" s="14"/>
    </row>
    <row r="626" spans="1:1" ht="14.25" customHeight="1" x14ac:dyDescent="0.25">
      <c r="A626" s="14"/>
    </row>
    <row r="627" spans="1:1" ht="14.25" customHeight="1" x14ac:dyDescent="0.25">
      <c r="A627" s="14"/>
    </row>
    <row r="628" spans="1:1" ht="14.25" customHeight="1" x14ac:dyDescent="0.25">
      <c r="A628" s="14"/>
    </row>
    <row r="629" spans="1:1" ht="14.25" customHeight="1" x14ac:dyDescent="0.25">
      <c r="A629" s="14"/>
    </row>
    <row r="630" spans="1:1" ht="14.25" customHeight="1" x14ac:dyDescent="0.25">
      <c r="A630" s="14"/>
    </row>
    <row r="631" spans="1:1" ht="14.25" customHeight="1" x14ac:dyDescent="0.25">
      <c r="A631" s="14"/>
    </row>
    <row r="632" spans="1:1" ht="14.25" customHeight="1" x14ac:dyDescent="0.25">
      <c r="A632" s="14"/>
    </row>
    <row r="633" spans="1:1" ht="14.25" customHeight="1" x14ac:dyDescent="0.25">
      <c r="A633" s="14"/>
    </row>
    <row r="634" spans="1:1" ht="14.25" customHeight="1" x14ac:dyDescent="0.25">
      <c r="A634" s="14"/>
    </row>
    <row r="635" spans="1:1" ht="14.25" customHeight="1" x14ac:dyDescent="0.25">
      <c r="A635" s="14"/>
    </row>
    <row r="636" spans="1:1" ht="14.25" customHeight="1" x14ac:dyDescent="0.25">
      <c r="A636" s="14"/>
    </row>
    <row r="637" spans="1:1" ht="14.25" customHeight="1" x14ac:dyDescent="0.25">
      <c r="A637" s="14"/>
    </row>
    <row r="638" spans="1:1" ht="14.25" customHeight="1" x14ac:dyDescent="0.25">
      <c r="A638" s="14"/>
    </row>
    <row r="639" spans="1:1" ht="14.25" customHeight="1" x14ac:dyDescent="0.25">
      <c r="A639" s="14"/>
    </row>
    <row r="640" spans="1:1" ht="14.25" customHeight="1" x14ac:dyDescent="0.25">
      <c r="A640" s="14"/>
    </row>
    <row r="641" spans="1:1" ht="14.25" customHeight="1" x14ac:dyDescent="0.25">
      <c r="A641" s="14"/>
    </row>
    <row r="642" spans="1:1" ht="14.25" customHeight="1" x14ac:dyDescent="0.25">
      <c r="A642" s="14"/>
    </row>
    <row r="643" spans="1:1" ht="14.25" customHeight="1" x14ac:dyDescent="0.25">
      <c r="A643" s="14"/>
    </row>
    <row r="644" spans="1:1" ht="14.25" customHeight="1" x14ac:dyDescent="0.25">
      <c r="A644" s="14"/>
    </row>
    <row r="645" spans="1:1" ht="14.25" customHeight="1" x14ac:dyDescent="0.25">
      <c r="A645" s="14"/>
    </row>
    <row r="646" spans="1:1" ht="14.25" customHeight="1" x14ac:dyDescent="0.25">
      <c r="A646" s="14"/>
    </row>
    <row r="647" spans="1:1" ht="14.25" customHeight="1" x14ac:dyDescent="0.25">
      <c r="A647" s="14"/>
    </row>
    <row r="648" spans="1:1" ht="14.25" customHeight="1" x14ac:dyDescent="0.25">
      <c r="A648" s="14"/>
    </row>
    <row r="649" spans="1:1" ht="14.25" customHeight="1" x14ac:dyDescent="0.25">
      <c r="A649" s="14"/>
    </row>
    <row r="650" spans="1:1" ht="14.25" customHeight="1" x14ac:dyDescent="0.25">
      <c r="A650" s="14"/>
    </row>
    <row r="651" spans="1:1" ht="14.25" customHeight="1" x14ac:dyDescent="0.25">
      <c r="A651" s="14"/>
    </row>
    <row r="652" spans="1:1" ht="14.25" customHeight="1" x14ac:dyDescent="0.25">
      <c r="A652" s="14"/>
    </row>
    <row r="653" spans="1:1" ht="14.25" customHeight="1" x14ac:dyDescent="0.25">
      <c r="A653" s="14"/>
    </row>
    <row r="654" spans="1:1" ht="14.25" customHeight="1" x14ac:dyDescent="0.25">
      <c r="A654" s="14"/>
    </row>
    <row r="655" spans="1:1" ht="14.25" customHeight="1" x14ac:dyDescent="0.25">
      <c r="A655" s="14"/>
    </row>
    <row r="656" spans="1:1" ht="14.25" customHeight="1" x14ac:dyDescent="0.25">
      <c r="A656" s="14"/>
    </row>
    <row r="657" spans="1:1" ht="14.25" customHeight="1" x14ac:dyDescent="0.25">
      <c r="A657" s="14"/>
    </row>
    <row r="658" spans="1:1" ht="14.25" customHeight="1" x14ac:dyDescent="0.25">
      <c r="A658" s="14"/>
    </row>
    <row r="659" spans="1:1" ht="14.25" customHeight="1" x14ac:dyDescent="0.25">
      <c r="A659" s="14"/>
    </row>
    <row r="660" spans="1:1" ht="14.25" customHeight="1" x14ac:dyDescent="0.25">
      <c r="A660" s="14"/>
    </row>
    <row r="661" spans="1:1" ht="14.25" customHeight="1" x14ac:dyDescent="0.25">
      <c r="A661" s="14"/>
    </row>
    <row r="662" spans="1:1" ht="14.25" customHeight="1" x14ac:dyDescent="0.25">
      <c r="A662" s="14"/>
    </row>
    <row r="663" spans="1:1" ht="14.25" customHeight="1" x14ac:dyDescent="0.25">
      <c r="A663" s="14"/>
    </row>
    <row r="664" spans="1:1" ht="14.25" customHeight="1" x14ac:dyDescent="0.25">
      <c r="A664" s="14"/>
    </row>
    <row r="665" spans="1:1" ht="14.25" customHeight="1" x14ac:dyDescent="0.25">
      <c r="A665" s="14"/>
    </row>
    <row r="666" spans="1:1" ht="14.25" customHeight="1" x14ac:dyDescent="0.25">
      <c r="A666" s="14"/>
    </row>
    <row r="667" spans="1:1" ht="14.25" customHeight="1" x14ac:dyDescent="0.25">
      <c r="A667" s="14"/>
    </row>
    <row r="668" spans="1:1" ht="14.25" customHeight="1" x14ac:dyDescent="0.25">
      <c r="A668" s="14"/>
    </row>
    <row r="669" spans="1:1" ht="14.25" customHeight="1" x14ac:dyDescent="0.25">
      <c r="A669" s="14"/>
    </row>
    <row r="670" spans="1:1" ht="14.25" customHeight="1" x14ac:dyDescent="0.25">
      <c r="A670" s="14"/>
    </row>
    <row r="671" spans="1:1" ht="14.25" customHeight="1" x14ac:dyDescent="0.25">
      <c r="A671" s="14"/>
    </row>
    <row r="672" spans="1:1" ht="14.25" customHeight="1" x14ac:dyDescent="0.25">
      <c r="A672" s="14"/>
    </row>
    <row r="673" spans="1:1" ht="14.25" customHeight="1" x14ac:dyDescent="0.25">
      <c r="A673" s="14"/>
    </row>
    <row r="674" spans="1:1" ht="14.25" customHeight="1" x14ac:dyDescent="0.25">
      <c r="A674" s="14"/>
    </row>
    <row r="675" spans="1:1" ht="14.25" customHeight="1" x14ac:dyDescent="0.25">
      <c r="A675" s="14"/>
    </row>
    <row r="676" spans="1:1" ht="14.25" customHeight="1" x14ac:dyDescent="0.25">
      <c r="A676" s="14"/>
    </row>
    <row r="677" spans="1:1" ht="14.25" customHeight="1" x14ac:dyDescent="0.25">
      <c r="A677" s="14"/>
    </row>
    <row r="678" spans="1:1" ht="14.25" customHeight="1" x14ac:dyDescent="0.25">
      <c r="A678" s="14"/>
    </row>
    <row r="679" spans="1:1" ht="14.25" customHeight="1" x14ac:dyDescent="0.25">
      <c r="A679" s="14"/>
    </row>
    <row r="680" spans="1:1" ht="14.25" customHeight="1" x14ac:dyDescent="0.25">
      <c r="A680" s="14"/>
    </row>
    <row r="681" spans="1:1" ht="14.25" customHeight="1" x14ac:dyDescent="0.25">
      <c r="A681" s="14"/>
    </row>
    <row r="682" spans="1:1" ht="14.25" customHeight="1" x14ac:dyDescent="0.25">
      <c r="A682" s="14"/>
    </row>
    <row r="683" spans="1:1" ht="14.25" customHeight="1" x14ac:dyDescent="0.25">
      <c r="A683" s="14"/>
    </row>
    <row r="684" spans="1:1" ht="14.25" customHeight="1" x14ac:dyDescent="0.25">
      <c r="A684" s="14"/>
    </row>
    <row r="685" spans="1:1" ht="14.25" customHeight="1" x14ac:dyDescent="0.25">
      <c r="A685" s="14"/>
    </row>
    <row r="686" spans="1:1" ht="14.25" customHeight="1" x14ac:dyDescent="0.25">
      <c r="A686" s="14"/>
    </row>
    <row r="687" spans="1:1" ht="14.25" customHeight="1" x14ac:dyDescent="0.25">
      <c r="A687" s="14"/>
    </row>
    <row r="688" spans="1:1" ht="14.25" customHeight="1" x14ac:dyDescent="0.25">
      <c r="A688" s="14"/>
    </row>
    <row r="689" spans="1:1" ht="14.25" customHeight="1" x14ac:dyDescent="0.25">
      <c r="A689" s="14"/>
    </row>
    <row r="690" spans="1:1" ht="14.25" customHeight="1" x14ac:dyDescent="0.25">
      <c r="A690" s="14"/>
    </row>
    <row r="691" spans="1:1" ht="14.25" customHeight="1" x14ac:dyDescent="0.25">
      <c r="A691" s="14"/>
    </row>
    <row r="692" spans="1:1" ht="14.25" customHeight="1" x14ac:dyDescent="0.25">
      <c r="A692" s="14"/>
    </row>
    <row r="693" spans="1:1" ht="14.25" customHeight="1" x14ac:dyDescent="0.25">
      <c r="A693" s="14"/>
    </row>
    <row r="694" spans="1:1" ht="14.25" customHeight="1" x14ac:dyDescent="0.25">
      <c r="A694" s="14"/>
    </row>
    <row r="695" spans="1:1" ht="14.25" customHeight="1" x14ac:dyDescent="0.25">
      <c r="A695" s="14"/>
    </row>
    <row r="696" spans="1:1" ht="14.25" customHeight="1" x14ac:dyDescent="0.25">
      <c r="A696" s="14"/>
    </row>
    <row r="697" spans="1:1" ht="14.25" customHeight="1" x14ac:dyDescent="0.25">
      <c r="A697" s="14"/>
    </row>
    <row r="698" spans="1:1" ht="14.25" customHeight="1" x14ac:dyDescent="0.25">
      <c r="A698" s="14"/>
    </row>
    <row r="699" spans="1:1" ht="14.25" customHeight="1" x14ac:dyDescent="0.25">
      <c r="A699" s="14"/>
    </row>
    <row r="700" spans="1:1" ht="14.25" customHeight="1" x14ac:dyDescent="0.25">
      <c r="A700" s="14"/>
    </row>
    <row r="701" spans="1:1" ht="14.25" customHeight="1" x14ac:dyDescent="0.25">
      <c r="A701" s="14"/>
    </row>
    <row r="702" spans="1:1" ht="14.25" customHeight="1" x14ac:dyDescent="0.25">
      <c r="A702" s="14"/>
    </row>
    <row r="703" spans="1:1" ht="14.25" customHeight="1" x14ac:dyDescent="0.25">
      <c r="A703" s="14"/>
    </row>
    <row r="704" spans="1:1" ht="14.25" customHeight="1" x14ac:dyDescent="0.25">
      <c r="A704" s="14"/>
    </row>
    <row r="705" spans="1:1" ht="14.25" customHeight="1" x14ac:dyDescent="0.25">
      <c r="A705" s="14"/>
    </row>
    <row r="706" spans="1:1" ht="14.25" customHeight="1" x14ac:dyDescent="0.25">
      <c r="A706" s="14"/>
    </row>
    <row r="707" spans="1:1" ht="14.25" customHeight="1" x14ac:dyDescent="0.25">
      <c r="A707" s="14"/>
    </row>
    <row r="708" spans="1:1" ht="14.25" customHeight="1" x14ac:dyDescent="0.25">
      <c r="A708" s="14"/>
    </row>
    <row r="709" spans="1:1" ht="14.25" customHeight="1" x14ac:dyDescent="0.25">
      <c r="A709" s="14"/>
    </row>
    <row r="710" spans="1:1" ht="14.25" customHeight="1" x14ac:dyDescent="0.25">
      <c r="A710" s="14"/>
    </row>
    <row r="711" spans="1:1" ht="14.25" customHeight="1" x14ac:dyDescent="0.25">
      <c r="A711" s="14"/>
    </row>
    <row r="712" spans="1:1" ht="14.25" customHeight="1" x14ac:dyDescent="0.25">
      <c r="A712" s="14"/>
    </row>
    <row r="713" spans="1:1" ht="14.25" customHeight="1" x14ac:dyDescent="0.25">
      <c r="A713" s="14"/>
    </row>
    <row r="714" spans="1:1" ht="14.25" customHeight="1" x14ac:dyDescent="0.25">
      <c r="A714" s="14"/>
    </row>
    <row r="715" spans="1:1" ht="14.25" customHeight="1" x14ac:dyDescent="0.25">
      <c r="A715" s="14"/>
    </row>
    <row r="716" spans="1:1" ht="14.25" customHeight="1" x14ac:dyDescent="0.25">
      <c r="A716" s="14"/>
    </row>
    <row r="717" spans="1:1" ht="14.25" customHeight="1" x14ac:dyDescent="0.25">
      <c r="A717" s="14"/>
    </row>
    <row r="718" spans="1:1" ht="14.25" customHeight="1" x14ac:dyDescent="0.25">
      <c r="A718" s="14"/>
    </row>
    <row r="719" spans="1:1" ht="14.25" customHeight="1" x14ac:dyDescent="0.25">
      <c r="A719" s="14"/>
    </row>
    <row r="720" spans="1:1" ht="14.25" customHeight="1" x14ac:dyDescent="0.25">
      <c r="A720" s="14"/>
    </row>
    <row r="721" spans="1:1" ht="14.25" customHeight="1" x14ac:dyDescent="0.25">
      <c r="A721" s="14"/>
    </row>
    <row r="722" spans="1:1" ht="14.25" customHeight="1" x14ac:dyDescent="0.25">
      <c r="A722" s="14"/>
    </row>
    <row r="723" spans="1:1" ht="14.25" customHeight="1" x14ac:dyDescent="0.25">
      <c r="A723" s="14"/>
    </row>
    <row r="724" spans="1:1" ht="14.25" customHeight="1" x14ac:dyDescent="0.25">
      <c r="A724" s="14"/>
    </row>
    <row r="725" spans="1:1" ht="14.25" customHeight="1" x14ac:dyDescent="0.25">
      <c r="A725" s="14"/>
    </row>
    <row r="726" spans="1:1" ht="14.25" customHeight="1" x14ac:dyDescent="0.25">
      <c r="A726" s="14"/>
    </row>
    <row r="727" spans="1:1" ht="14.25" customHeight="1" x14ac:dyDescent="0.25">
      <c r="A727" s="14"/>
    </row>
    <row r="728" spans="1:1" ht="14.25" customHeight="1" x14ac:dyDescent="0.25">
      <c r="A728" s="14"/>
    </row>
    <row r="729" spans="1:1" ht="14.25" customHeight="1" x14ac:dyDescent="0.25">
      <c r="A729" s="14"/>
    </row>
    <row r="730" spans="1:1" ht="14.25" customHeight="1" x14ac:dyDescent="0.25">
      <c r="A730" s="14"/>
    </row>
    <row r="731" spans="1:1" ht="14.25" customHeight="1" x14ac:dyDescent="0.25">
      <c r="A731" s="14"/>
    </row>
    <row r="732" spans="1:1" ht="14.25" customHeight="1" x14ac:dyDescent="0.25">
      <c r="A732" s="14"/>
    </row>
    <row r="733" spans="1:1" ht="14.25" customHeight="1" x14ac:dyDescent="0.25">
      <c r="A733" s="14"/>
    </row>
    <row r="734" spans="1:1" ht="14.25" customHeight="1" x14ac:dyDescent="0.25">
      <c r="A734" s="14"/>
    </row>
    <row r="735" spans="1:1" ht="14.25" customHeight="1" x14ac:dyDescent="0.25">
      <c r="A735" s="14"/>
    </row>
    <row r="736" spans="1:1" ht="14.25" customHeight="1" x14ac:dyDescent="0.25">
      <c r="A736" s="14"/>
    </row>
    <row r="737" spans="1:1" ht="14.25" customHeight="1" x14ac:dyDescent="0.25">
      <c r="A737" s="14"/>
    </row>
    <row r="738" spans="1:1" ht="14.25" customHeight="1" x14ac:dyDescent="0.25">
      <c r="A738" s="14"/>
    </row>
    <row r="739" spans="1:1" ht="14.25" customHeight="1" x14ac:dyDescent="0.25">
      <c r="A739" s="14"/>
    </row>
    <row r="740" spans="1:1" ht="14.25" customHeight="1" x14ac:dyDescent="0.25">
      <c r="A740" s="14"/>
    </row>
    <row r="741" spans="1:1" ht="14.25" customHeight="1" x14ac:dyDescent="0.25">
      <c r="A741" s="14"/>
    </row>
    <row r="742" spans="1:1" ht="14.25" customHeight="1" x14ac:dyDescent="0.25">
      <c r="A742" s="14"/>
    </row>
    <row r="743" spans="1:1" ht="14.25" customHeight="1" x14ac:dyDescent="0.25">
      <c r="A743" s="14"/>
    </row>
    <row r="744" spans="1:1" ht="14.25" customHeight="1" x14ac:dyDescent="0.25">
      <c r="A744" s="14"/>
    </row>
    <row r="745" spans="1:1" ht="14.25" customHeight="1" x14ac:dyDescent="0.25">
      <c r="A745" s="14"/>
    </row>
    <row r="746" spans="1:1" ht="14.25" customHeight="1" x14ac:dyDescent="0.25">
      <c r="A746" s="14"/>
    </row>
    <row r="747" spans="1:1" ht="14.25" customHeight="1" x14ac:dyDescent="0.25">
      <c r="A747" s="14"/>
    </row>
    <row r="748" spans="1:1" ht="14.25" customHeight="1" x14ac:dyDescent="0.25">
      <c r="A748" s="14"/>
    </row>
    <row r="749" spans="1:1" ht="14.25" customHeight="1" x14ac:dyDescent="0.25">
      <c r="A749" s="14"/>
    </row>
    <row r="750" spans="1:1" ht="14.25" customHeight="1" x14ac:dyDescent="0.25">
      <c r="A750" s="14"/>
    </row>
    <row r="751" spans="1:1" ht="14.25" customHeight="1" x14ac:dyDescent="0.25">
      <c r="A751" s="14"/>
    </row>
    <row r="752" spans="1:1" ht="14.25" customHeight="1" x14ac:dyDescent="0.25">
      <c r="A752" s="14"/>
    </row>
    <row r="753" spans="1:1" ht="14.25" customHeight="1" x14ac:dyDescent="0.25">
      <c r="A753" s="14"/>
    </row>
    <row r="754" spans="1:1" ht="14.25" customHeight="1" x14ac:dyDescent="0.25">
      <c r="A754" s="14"/>
    </row>
    <row r="755" spans="1:1" ht="14.25" customHeight="1" x14ac:dyDescent="0.25">
      <c r="A755" s="14"/>
    </row>
    <row r="756" spans="1:1" ht="14.25" customHeight="1" x14ac:dyDescent="0.25">
      <c r="A756" s="14"/>
    </row>
    <row r="757" spans="1:1" ht="14.25" customHeight="1" x14ac:dyDescent="0.25">
      <c r="A757" s="14"/>
    </row>
    <row r="758" spans="1:1" ht="14.25" customHeight="1" x14ac:dyDescent="0.25">
      <c r="A758" s="14"/>
    </row>
    <row r="759" spans="1:1" ht="14.25" customHeight="1" x14ac:dyDescent="0.25">
      <c r="A759" s="14"/>
    </row>
    <row r="760" spans="1:1" ht="14.25" customHeight="1" x14ac:dyDescent="0.25">
      <c r="A760" s="14"/>
    </row>
    <row r="761" spans="1:1" ht="14.25" customHeight="1" x14ac:dyDescent="0.25">
      <c r="A761" s="14"/>
    </row>
    <row r="762" spans="1:1" ht="14.25" customHeight="1" x14ac:dyDescent="0.25">
      <c r="A762" s="14"/>
    </row>
    <row r="763" spans="1:1" ht="14.25" customHeight="1" x14ac:dyDescent="0.25">
      <c r="A763" s="14"/>
    </row>
    <row r="764" spans="1:1" ht="14.25" customHeight="1" x14ac:dyDescent="0.25">
      <c r="A764" s="14"/>
    </row>
    <row r="765" spans="1:1" ht="14.25" customHeight="1" x14ac:dyDescent="0.25">
      <c r="A765" s="14"/>
    </row>
    <row r="766" spans="1:1" ht="14.25" customHeight="1" x14ac:dyDescent="0.25">
      <c r="A766" s="14"/>
    </row>
    <row r="767" spans="1:1" ht="14.25" customHeight="1" x14ac:dyDescent="0.25">
      <c r="A767" s="14"/>
    </row>
    <row r="768" spans="1:1" ht="14.25" customHeight="1" x14ac:dyDescent="0.25">
      <c r="A768" s="14"/>
    </row>
    <row r="769" spans="1:1" ht="14.25" customHeight="1" x14ac:dyDescent="0.25">
      <c r="A769" s="14"/>
    </row>
    <row r="770" spans="1:1" ht="14.25" customHeight="1" x14ac:dyDescent="0.25">
      <c r="A770" s="14"/>
    </row>
    <row r="771" spans="1:1" ht="14.25" customHeight="1" x14ac:dyDescent="0.25">
      <c r="A771" s="14"/>
    </row>
    <row r="772" spans="1:1" ht="14.25" customHeight="1" x14ac:dyDescent="0.25">
      <c r="A772" s="14"/>
    </row>
    <row r="773" spans="1:1" ht="14.25" customHeight="1" x14ac:dyDescent="0.25">
      <c r="A773" s="14"/>
    </row>
    <row r="774" spans="1:1" ht="14.25" customHeight="1" x14ac:dyDescent="0.25">
      <c r="A774" s="14"/>
    </row>
    <row r="775" spans="1:1" ht="14.25" customHeight="1" x14ac:dyDescent="0.25">
      <c r="A775" s="14"/>
    </row>
    <row r="776" spans="1:1" ht="14.25" customHeight="1" x14ac:dyDescent="0.25">
      <c r="A776" s="14"/>
    </row>
    <row r="777" spans="1:1" ht="14.25" customHeight="1" x14ac:dyDescent="0.25">
      <c r="A777" s="14"/>
    </row>
    <row r="778" spans="1:1" ht="14.25" customHeight="1" x14ac:dyDescent="0.25">
      <c r="A778" s="14"/>
    </row>
    <row r="779" spans="1:1" ht="14.25" customHeight="1" x14ac:dyDescent="0.25">
      <c r="A779" s="14"/>
    </row>
    <row r="780" spans="1:1" ht="14.25" customHeight="1" x14ac:dyDescent="0.25">
      <c r="A780" s="14"/>
    </row>
    <row r="781" spans="1:1" ht="14.25" customHeight="1" x14ac:dyDescent="0.25">
      <c r="A781" s="14"/>
    </row>
    <row r="782" spans="1:1" ht="14.25" customHeight="1" x14ac:dyDescent="0.25">
      <c r="A782" s="14"/>
    </row>
    <row r="783" spans="1:1" ht="14.25" customHeight="1" x14ac:dyDescent="0.25">
      <c r="A783" s="14"/>
    </row>
    <row r="784" spans="1:1" ht="14.25" customHeight="1" x14ac:dyDescent="0.25">
      <c r="A784" s="14"/>
    </row>
    <row r="785" spans="1:1" ht="14.25" customHeight="1" x14ac:dyDescent="0.25">
      <c r="A785" s="14"/>
    </row>
    <row r="786" spans="1:1" ht="14.25" customHeight="1" x14ac:dyDescent="0.25">
      <c r="A786" s="14"/>
    </row>
    <row r="787" spans="1:1" ht="14.25" customHeight="1" x14ac:dyDescent="0.25">
      <c r="A787" s="14"/>
    </row>
    <row r="788" spans="1:1" ht="14.25" customHeight="1" x14ac:dyDescent="0.25">
      <c r="A788" s="14"/>
    </row>
    <row r="789" spans="1:1" ht="14.25" customHeight="1" x14ac:dyDescent="0.25">
      <c r="A789" s="14"/>
    </row>
    <row r="790" spans="1:1" ht="14.25" customHeight="1" x14ac:dyDescent="0.25">
      <c r="A790" s="14"/>
    </row>
    <row r="791" spans="1:1" ht="14.25" customHeight="1" x14ac:dyDescent="0.25">
      <c r="A791" s="14"/>
    </row>
    <row r="792" spans="1:1" ht="14.25" customHeight="1" x14ac:dyDescent="0.25">
      <c r="A792" s="14"/>
    </row>
    <row r="793" spans="1:1" ht="14.25" customHeight="1" x14ac:dyDescent="0.25">
      <c r="A793" s="14"/>
    </row>
    <row r="794" spans="1:1" ht="14.25" customHeight="1" x14ac:dyDescent="0.25">
      <c r="A794" s="14"/>
    </row>
    <row r="795" spans="1:1" ht="14.25" customHeight="1" x14ac:dyDescent="0.25">
      <c r="A795" s="14"/>
    </row>
    <row r="796" spans="1:1" ht="14.25" customHeight="1" x14ac:dyDescent="0.25">
      <c r="A796" s="14"/>
    </row>
    <row r="797" spans="1:1" ht="14.25" customHeight="1" x14ac:dyDescent="0.25">
      <c r="A797" s="14"/>
    </row>
    <row r="798" spans="1:1" ht="14.25" customHeight="1" x14ac:dyDescent="0.25">
      <c r="A798" s="14"/>
    </row>
    <row r="799" spans="1:1" ht="14.25" customHeight="1" x14ac:dyDescent="0.25">
      <c r="A799" s="14"/>
    </row>
    <row r="800" spans="1:1" ht="14.25" customHeight="1" x14ac:dyDescent="0.25">
      <c r="A800" s="14"/>
    </row>
    <row r="801" spans="1:1" ht="14.25" customHeight="1" x14ac:dyDescent="0.25">
      <c r="A801" s="14"/>
    </row>
    <row r="802" spans="1:1" ht="14.25" customHeight="1" x14ac:dyDescent="0.25">
      <c r="A802" s="14"/>
    </row>
    <row r="803" spans="1:1" ht="14.25" customHeight="1" x14ac:dyDescent="0.25">
      <c r="A803" s="14"/>
    </row>
    <row r="804" spans="1:1" ht="14.25" customHeight="1" x14ac:dyDescent="0.25">
      <c r="A804" s="14"/>
    </row>
    <row r="805" spans="1:1" ht="14.25" customHeight="1" x14ac:dyDescent="0.25">
      <c r="A805" s="14"/>
    </row>
    <row r="806" spans="1:1" ht="14.25" customHeight="1" x14ac:dyDescent="0.25">
      <c r="A806" s="14"/>
    </row>
    <row r="807" spans="1:1" ht="14.25" customHeight="1" x14ac:dyDescent="0.25">
      <c r="A807" s="14"/>
    </row>
    <row r="808" spans="1:1" ht="14.25" customHeight="1" x14ac:dyDescent="0.25">
      <c r="A808" s="14"/>
    </row>
    <row r="809" spans="1:1" ht="14.25" customHeight="1" x14ac:dyDescent="0.25">
      <c r="A809" s="14"/>
    </row>
    <row r="810" spans="1:1" ht="14.25" customHeight="1" x14ac:dyDescent="0.25">
      <c r="A810" s="14"/>
    </row>
    <row r="811" spans="1:1" ht="14.25" customHeight="1" x14ac:dyDescent="0.25">
      <c r="A811" s="14"/>
    </row>
    <row r="812" spans="1:1" ht="14.25" customHeight="1" x14ac:dyDescent="0.25">
      <c r="A812" s="14"/>
    </row>
    <row r="813" spans="1:1" ht="14.25" customHeight="1" x14ac:dyDescent="0.25">
      <c r="A813" s="14"/>
    </row>
    <row r="814" spans="1:1" ht="14.25" customHeight="1" x14ac:dyDescent="0.25">
      <c r="A814" s="14"/>
    </row>
    <row r="815" spans="1:1" ht="14.25" customHeight="1" x14ac:dyDescent="0.25">
      <c r="A815" s="14"/>
    </row>
    <row r="816" spans="1:1" ht="14.25" customHeight="1" x14ac:dyDescent="0.25">
      <c r="A816" s="14"/>
    </row>
    <row r="817" spans="1:1" ht="14.25" customHeight="1" x14ac:dyDescent="0.25">
      <c r="A817" s="14"/>
    </row>
    <row r="818" spans="1:1" ht="14.25" customHeight="1" x14ac:dyDescent="0.25">
      <c r="A818" s="14"/>
    </row>
    <row r="819" spans="1:1" ht="14.25" customHeight="1" x14ac:dyDescent="0.25">
      <c r="A819" s="14"/>
    </row>
    <row r="820" spans="1:1" ht="14.25" customHeight="1" x14ac:dyDescent="0.25">
      <c r="A820" s="14"/>
    </row>
    <row r="821" spans="1:1" ht="14.25" customHeight="1" x14ac:dyDescent="0.25">
      <c r="A821" s="14"/>
    </row>
    <row r="822" spans="1:1" ht="14.25" customHeight="1" x14ac:dyDescent="0.25">
      <c r="A822" s="14"/>
    </row>
    <row r="823" spans="1:1" ht="14.25" customHeight="1" x14ac:dyDescent="0.25">
      <c r="A823" s="14"/>
    </row>
    <row r="824" spans="1:1" ht="14.25" customHeight="1" x14ac:dyDescent="0.25">
      <c r="A824" s="14"/>
    </row>
    <row r="825" spans="1:1" ht="14.25" customHeight="1" x14ac:dyDescent="0.25">
      <c r="A825" s="14"/>
    </row>
    <row r="826" spans="1:1" ht="14.25" customHeight="1" x14ac:dyDescent="0.25">
      <c r="A826" s="14"/>
    </row>
    <row r="827" spans="1:1" ht="14.25" customHeight="1" x14ac:dyDescent="0.25">
      <c r="A827" s="14"/>
    </row>
    <row r="828" spans="1:1" ht="14.25" customHeight="1" x14ac:dyDescent="0.25">
      <c r="A828" s="14"/>
    </row>
    <row r="829" spans="1:1" ht="14.25" customHeight="1" x14ac:dyDescent="0.25">
      <c r="A829" s="14"/>
    </row>
    <row r="830" spans="1:1" ht="14.25" customHeight="1" x14ac:dyDescent="0.25">
      <c r="A830" s="14"/>
    </row>
    <row r="831" spans="1:1" ht="14.25" customHeight="1" x14ac:dyDescent="0.25">
      <c r="A831" s="14"/>
    </row>
    <row r="832" spans="1:1" ht="14.25" customHeight="1" x14ac:dyDescent="0.25">
      <c r="A832" s="14"/>
    </row>
    <row r="833" spans="1:1" ht="14.25" customHeight="1" x14ac:dyDescent="0.25">
      <c r="A833" s="14"/>
    </row>
    <row r="834" spans="1:1" ht="14.25" customHeight="1" x14ac:dyDescent="0.25">
      <c r="A834" s="14"/>
    </row>
    <row r="835" spans="1:1" ht="14.25" customHeight="1" x14ac:dyDescent="0.25">
      <c r="A835" s="14"/>
    </row>
    <row r="836" spans="1:1" ht="14.25" customHeight="1" x14ac:dyDescent="0.25">
      <c r="A836" s="14"/>
    </row>
    <row r="837" spans="1:1" ht="14.25" customHeight="1" x14ac:dyDescent="0.25">
      <c r="A837" s="14"/>
    </row>
    <row r="838" spans="1:1" ht="14.25" customHeight="1" x14ac:dyDescent="0.25">
      <c r="A838" s="14"/>
    </row>
    <row r="839" spans="1:1" ht="14.25" customHeight="1" x14ac:dyDescent="0.25">
      <c r="A839" s="14"/>
    </row>
    <row r="840" spans="1:1" ht="14.25" customHeight="1" x14ac:dyDescent="0.25">
      <c r="A840" s="14"/>
    </row>
    <row r="841" spans="1:1" ht="14.25" customHeight="1" x14ac:dyDescent="0.25">
      <c r="A841" s="14"/>
    </row>
    <row r="842" spans="1:1" ht="14.25" customHeight="1" x14ac:dyDescent="0.25">
      <c r="A842" s="14"/>
    </row>
    <row r="843" spans="1:1" ht="14.25" customHeight="1" x14ac:dyDescent="0.25">
      <c r="A843" s="14"/>
    </row>
    <row r="844" spans="1:1" ht="14.25" customHeight="1" x14ac:dyDescent="0.25">
      <c r="A844" s="14"/>
    </row>
    <row r="845" spans="1:1" ht="14.25" customHeight="1" x14ac:dyDescent="0.25">
      <c r="A845" s="14"/>
    </row>
    <row r="846" spans="1:1" ht="14.25" customHeight="1" x14ac:dyDescent="0.25">
      <c r="A846" s="14"/>
    </row>
    <row r="847" spans="1:1" ht="14.25" customHeight="1" x14ac:dyDescent="0.25">
      <c r="A847" s="14"/>
    </row>
    <row r="848" spans="1:1" ht="14.25" customHeight="1" x14ac:dyDescent="0.25">
      <c r="A848" s="14"/>
    </row>
    <row r="849" spans="1:1" ht="14.25" customHeight="1" x14ac:dyDescent="0.25">
      <c r="A849" s="14"/>
    </row>
    <row r="850" spans="1:1" ht="14.25" customHeight="1" x14ac:dyDescent="0.25">
      <c r="A850" s="14"/>
    </row>
    <row r="851" spans="1:1" ht="14.25" customHeight="1" x14ac:dyDescent="0.25">
      <c r="A851" s="14"/>
    </row>
    <row r="852" spans="1:1" ht="14.25" customHeight="1" x14ac:dyDescent="0.25">
      <c r="A852" s="14"/>
    </row>
    <row r="853" spans="1:1" ht="14.25" customHeight="1" x14ac:dyDescent="0.25">
      <c r="A853" s="14"/>
    </row>
    <row r="854" spans="1:1" ht="14.25" customHeight="1" x14ac:dyDescent="0.25">
      <c r="A854" s="14"/>
    </row>
    <row r="855" spans="1:1" ht="14.25" customHeight="1" x14ac:dyDescent="0.25">
      <c r="A855" s="14"/>
    </row>
    <row r="856" spans="1:1" ht="14.25" customHeight="1" x14ac:dyDescent="0.25">
      <c r="A856" s="14"/>
    </row>
    <row r="857" spans="1:1" ht="14.25" customHeight="1" x14ac:dyDescent="0.25">
      <c r="A857" s="14"/>
    </row>
    <row r="858" spans="1:1" ht="14.25" customHeight="1" x14ac:dyDescent="0.25">
      <c r="A858" s="14"/>
    </row>
    <row r="859" spans="1:1" ht="14.25" customHeight="1" x14ac:dyDescent="0.25">
      <c r="A859" s="14"/>
    </row>
    <row r="860" spans="1:1" ht="14.25" customHeight="1" x14ac:dyDescent="0.25">
      <c r="A860" s="14"/>
    </row>
    <row r="861" spans="1:1" ht="14.25" customHeight="1" x14ac:dyDescent="0.25">
      <c r="A861" s="14"/>
    </row>
    <row r="862" spans="1:1" ht="14.25" customHeight="1" x14ac:dyDescent="0.25">
      <c r="A862" s="14"/>
    </row>
    <row r="863" spans="1:1" ht="14.25" customHeight="1" x14ac:dyDescent="0.25">
      <c r="A863" s="14"/>
    </row>
    <row r="864" spans="1:1" ht="14.25" customHeight="1" x14ac:dyDescent="0.25">
      <c r="A864" s="14"/>
    </row>
    <row r="865" spans="1:1" ht="14.25" customHeight="1" x14ac:dyDescent="0.25">
      <c r="A865" s="14"/>
    </row>
    <row r="866" spans="1:1" ht="14.25" customHeight="1" x14ac:dyDescent="0.25">
      <c r="A866" s="14"/>
    </row>
    <row r="867" spans="1:1" ht="14.25" customHeight="1" x14ac:dyDescent="0.25">
      <c r="A867" s="14"/>
    </row>
    <row r="868" spans="1:1" ht="14.25" customHeight="1" x14ac:dyDescent="0.25">
      <c r="A868" s="14"/>
    </row>
    <row r="869" spans="1:1" ht="14.25" customHeight="1" x14ac:dyDescent="0.25">
      <c r="A869" s="14"/>
    </row>
    <row r="870" spans="1:1" ht="14.25" customHeight="1" x14ac:dyDescent="0.25">
      <c r="A870" s="14"/>
    </row>
    <row r="871" spans="1:1" ht="14.25" customHeight="1" x14ac:dyDescent="0.25">
      <c r="A871" s="14"/>
    </row>
    <row r="872" spans="1:1" ht="14.25" customHeight="1" x14ac:dyDescent="0.25">
      <c r="A872" s="14"/>
    </row>
    <row r="873" spans="1:1" ht="14.25" customHeight="1" x14ac:dyDescent="0.25">
      <c r="A873" s="14"/>
    </row>
    <row r="874" spans="1:1" ht="14.25" customHeight="1" x14ac:dyDescent="0.25">
      <c r="A874" s="14"/>
    </row>
    <row r="875" spans="1:1" ht="14.25" customHeight="1" x14ac:dyDescent="0.25">
      <c r="A875" s="14"/>
    </row>
    <row r="876" spans="1:1" ht="14.25" customHeight="1" x14ac:dyDescent="0.25">
      <c r="A876" s="14"/>
    </row>
    <row r="877" spans="1:1" ht="14.25" customHeight="1" x14ac:dyDescent="0.25">
      <c r="A877" s="14"/>
    </row>
    <row r="878" spans="1:1" ht="14.25" customHeight="1" x14ac:dyDescent="0.25">
      <c r="A878" s="14"/>
    </row>
    <row r="879" spans="1:1" ht="14.25" customHeight="1" x14ac:dyDescent="0.25">
      <c r="A879" s="14"/>
    </row>
    <row r="880" spans="1:1" ht="14.25" customHeight="1" x14ac:dyDescent="0.25">
      <c r="A880" s="14"/>
    </row>
    <row r="881" spans="1:1" ht="14.25" customHeight="1" x14ac:dyDescent="0.25">
      <c r="A881" s="14"/>
    </row>
    <row r="882" spans="1:1" ht="14.25" customHeight="1" x14ac:dyDescent="0.25">
      <c r="A882" s="14"/>
    </row>
    <row r="883" spans="1:1" ht="14.25" customHeight="1" x14ac:dyDescent="0.25">
      <c r="A883" s="14"/>
    </row>
    <row r="884" spans="1:1" ht="14.25" customHeight="1" x14ac:dyDescent="0.25">
      <c r="A884" s="14"/>
    </row>
    <row r="885" spans="1:1" ht="14.25" customHeight="1" x14ac:dyDescent="0.25">
      <c r="A885" s="14"/>
    </row>
    <row r="886" spans="1:1" ht="14.25" customHeight="1" x14ac:dyDescent="0.25">
      <c r="A886" s="14"/>
    </row>
    <row r="887" spans="1:1" ht="14.25" customHeight="1" x14ac:dyDescent="0.25">
      <c r="A887" s="14"/>
    </row>
    <row r="888" spans="1:1" ht="14.25" customHeight="1" x14ac:dyDescent="0.25">
      <c r="A888" s="14"/>
    </row>
    <row r="889" spans="1:1" ht="14.25" customHeight="1" x14ac:dyDescent="0.25">
      <c r="A889" s="14"/>
    </row>
    <row r="890" spans="1:1" ht="14.25" customHeight="1" x14ac:dyDescent="0.25">
      <c r="A890" s="14"/>
    </row>
    <row r="891" spans="1:1" ht="14.25" customHeight="1" x14ac:dyDescent="0.25">
      <c r="A891" s="14"/>
    </row>
    <row r="892" spans="1:1" ht="14.25" customHeight="1" x14ac:dyDescent="0.25">
      <c r="A892" s="14"/>
    </row>
    <row r="893" spans="1:1" ht="14.25" customHeight="1" x14ac:dyDescent="0.25">
      <c r="A893" s="14"/>
    </row>
    <row r="894" spans="1:1" ht="14.25" customHeight="1" x14ac:dyDescent="0.25">
      <c r="A894" s="14"/>
    </row>
    <row r="895" spans="1:1" ht="14.25" customHeight="1" x14ac:dyDescent="0.25">
      <c r="A895" s="14"/>
    </row>
    <row r="896" spans="1:1" ht="14.25" customHeight="1" x14ac:dyDescent="0.25">
      <c r="A896" s="14"/>
    </row>
    <row r="897" spans="1:1" ht="14.25" customHeight="1" x14ac:dyDescent="0.25">
      <c r="A897" s="14"/>
    </row>
    <row r="898" spans="1:1" ht="14.25" customHeight="1" x14ac:dyDescent="0.25">
      <c r="A898" s="14"/>
    </row>
    <row r="899" spans="1:1" ht="14.25" customHeight="1" x14ac:dyDescent="0.25">
      <c r="A899" s="14"/>
    </row>
    <row r="900" spans="1:1" ht="14.25" customHeight="1" x14ac:dyDescent="0.25">
      <c r="A900" s="14"/>
    </row>
    <row r="901" spans="1:1" ht="14.25" customHeight="1" x14ac:dyDescent="0.25">
      <c r="A901" s="14"/>
    </row>
    <row r="902" spans="1:1" ht="14.25" customHeight="1" x14ac:dyDescent="0.25">
      <c r="A902" s="14"/>
    </row>
    <row r="903" spans="1:1" ht="14.25" customHeight="1" x14ac:dyDescent="0.25">
      <c r="A903" s="14"/>
    </row>
    <row r="904" spans="1:1" ht="14.25" customHeight="1" x14ac:dyDescent="0.25">
      <c r="A904" s="14"/>
    </row>
    <row r="905" spans="1:1" ht="14.25" customHeight="1" x14ac:dyDescent="0.25">
      <c r="A905" s="14"/>
    </row>
    <row r="906" spans="1:1" ht="14.25" customHeight="1" x14ac:dyDescent="0.25">
      <c r="A906" s="14"/>
    </row>
    <row r="907" spans="1:1" ht="14.25" customHeight="1" x14ac:dyDescent="0.25">
      <c r="A907" s="14"/>
    </row>
    <row r="908" spans="1:1" ht="14.25" customHeight="1" x14ac:dyDescent="0.25">
      <c r="A908" s="14"/>
    </row>
    <row r="909" spans="1:1" ht="14.25" customHeight="1" x14ac:dyDescent="0.25">
      <c r="A909" s="14"/>
    </row>
    <row r="910" spans="1:1" ht="14.25" customHeight="1" x14ac:dyDescent="0.25">
      <c r="A910" s="14"/>
    </row>
    <row r="911" spans="1:1" ht="14.25" customHeight="1" x14ac:dyDescent="0.25">
      <c r="A911" s="14"/>
    </row>
    <row r="912" spans="1:1" ht="14.25" customHeight="1" x14ac:dyDescent="0.25">
      <c r="A912" s="14"/>
    </row>
    <row r="913" spans="1:1" ht="14.25" customHeight="1" x14ac:dyDescent="0.25">
      <c r="A913" s="14"/>
    </row>
    <row r="914" spans="1:1" ht="14.25" customHeight="1" x14ac:dyDescent="0.25">
      <c r="A914" s="14"/>
    </row>
    <row r="915" spans="1:1" ht="14.25" customHeight="1" x14ac:dyDescent="0.25">
      <c r="A915" s="14"/>
    </row>
    <row r="916" spans="1:1" ht="14.25" customHeight="1" x14ac:dyDescent="0.25">
      <c r="A916" s="14"/>
    </row>
    <row r="917" spans="1:1" ht="14.25" customHeight="1" x14ac:dyDescent="0.25">
      <c r="A917" s="14"/>
    </row>
    <row r="918" spans="1:1" ht="14.25" customHeight="1" x14ac:dyDescent="0.25">
      <c r="A918" s="14"/>
    </row>
    <row r="919" spans="1:1" ht="14.25" customHeight="1" x14ac:dyDescent="0.25">
      <c r="A919" s="14"/>
    </row>
    <row r="920" spans="1:1" ht="14.25" customHeight="1" x14ac:dyDescent="0.25">
      <c r="A920" s="14"/>
    </row>
    <row r="921" spans="1:1" ht="14.25" customHeight="1" x14ac:dyDescent="0.25">
      <c r="A921" s="14"/>
    </row>
    <row r="922" spans="1:1" ht="14.25" customHeight="1" x14ac:dyDescent="0.25">
      <c r="A922" s="14"/>
    </row>
    <row r="923" spans="1:1" ht="14.25" customHeight="1" x14ac:dyDescent="0.25">
      <c r="A923" s="14"/>
    </row>
    <row r="924" spans="1:1" ht="14.25" customHeight="1" x14ac:dyDescent="0.25">
      <c r="A924" s="14"/>
    </row>
    <row r="925" spans="1:1" ht="14.25" customHeight="1" x14ac:dyDescent="0.25">
      <c r="A925" s="14"/>
    </row>
    <row r="926" spans="1:1" ht="14.25" customHeight="1" x14ac:dyDescent="0.25">
      <c r="A926" s="14"/>
    </row>
    <row r="927" spans="1:1" ht="14.25" customHeight="1" x14ac:dyDescent="0.25">
      <c r="A927" s="14"/>
    </row>
    <row r="928" spans="1:1" ht="14.25" customHeight="1" x14ac:dyDescent="0.25">
      <c r="A928" s="14"/>
    </row>
    <row r="929" spans="1:1" ht="14.25" customHeight="1" x14ac:dyDescent="0.25">
      <c r="A929" s="14"/>
    </row>
    <row r="930" spans="1:1" ht="14.25" customHeight="1" x14ac:dyDescent="0.25">
      <c r="A930" s="14"/>
    </row>
    <row r="931" spans="1:1" ht="14.25" customHeight="1" x14ac:dyDescent="0.25">
      <c r="A931" s="14"/>
    </row>
    <row r="932" spans="1:1" ht="14.25" customHeight="1" x14ac:dyDescent="0.25">
      <c r="A932" s="14"/>
    </row>
    <row r="933" spans="1:1" ht="14.25" customHeight="1" x14ac:dyDescent="0.25">
      <c r="A933" s="14"/>
    </row>
    <row r="934" spans="1:1" ht="14.25" customHeight="1" x14ac:dyDescent="0.25">
      <c r="A934" s="14"/>
    </row>
    <row r="935" spans="1:1" ht="14.25" customHeight="1" x14ac:dyDescent="0.25">
      <c r="A935" s="14"/>
    </row>
    <row r="936" spans="1:1" ht="14.25" customHeight="1" x14ac:dyDescent="0.25">
      <c r="A936" s="14"/>
    </row>
    <row r="937" spans="1:1" ht="14.25" customHeight="1" x14ac:dyDescent="0.25">
      <c r="A937" s="14"/>
    </row>
    <row r="938" spans="1:1" ht="14.25" customHeight="1" x14ac:dyDescent="0.25">
      <c r="A938" s="14"/>
    </row>
    <row r="939" spans="1:1" ht="14.25" customHeight="1" x14ac:dyDescent="0.25">
      <c r="A939" s="14"/>
    </row>
    <row r="940" spans="1:1" ht="14.25" customHeight="1" x14ac:dyDescent="0.25">
      <c r="A940" s="14"/>
    </row>
    <row r="941" spans="1:1" ht="14.25" customHeight="1" x14ac:dyDescent="0.25">
      <c r="A941" s="14"/>
    </row>
    <row r="942" spans="1:1" ht="14.25" customHeight="1" x14ac:dyDescent="0.25">
      <c r="A942" s="14"/>
    </row>
    <row r="943" spans="1:1" ht="14.25" customHeight="1" x14ac:dyDescent="0.25">
      <c r="A943" s="14"/>
    </row>
    <row r="944" spans="1:1" ht="14.25" customHeight="1" x14ac:dyDescent="0.25">
      <c r="A944" s="14"/>
    </row>
    <row r="945" spans="1:1" ht="14.25" customHeight="1" x14ac:dyDescent="0.25">
      <c r="A945" s="14"/>
    </row>
    <row r="946" spans="1:1" ht="14.25" customHeight="1" x14ac:dyDescent="0.25">
      <c r="A946" s="14"/>
    </row>
    <row r="947" spans="1:1" ht="14.25" customHeight="1" x14ac:dyDescent="0.25">
      <c r="A947" s="14"/>
    </row>
    <row r="948" spans="1:1" ht="14.25" customHeight="1" x14ac:dyDescent="0.25">
      <c r="A948" s="14"/>
    </row>
    <row r="949" spans="1:1" ht="14.25" customHeight="1" x14ac:dyDescent="0.25">
      <c r="A949" s="14"/>
    </row>
    <row r="950" spans="1:1" ht="14.25" customHeight="1" x14ac:dyDescent="0.25">
      <c r="A950" s="14"/>
    </row>
    <row r="951" spans="1:1" ht="14.25" customHeight="1" x14ac:dyDescent="0.25">
      <c r="A951" s="14"/>
    </row>
    <row r="952" spans="1:1" ht="14.25" customHeight="1" x14ac:dyDescent="0.25">
      <c r="A952" s="14"/>
    </row>
    <row r="953" spans="1:1" ht="14.25" customHeight="1" x14ac:dyDescent="0.25">
      <c r="A953" s="14"/>
    </row>
    <row r="954" spans="1:1" ht="14.25" customHeight="1" x14ac:dyDescent="0.25">
      <c r="A954" s="14"/>
    </row>
    <row r="955" spans="1:1" ht="14.25" customHeight="1" x14ac:dyDescent="0.25">
      <c r="A955" s="14"/>
    </row>
    <row r="956" spans="1:1" ht="14.25" customHeight="1" x14ac:dyDescent="0.25">
      <c r="A956" s="14"/>
    </row>
    <row r="957" spans="1:1" ht="14.25" customHeight="1" x14ac:dyDescent="0.25">
      <c r="A957" s="14"/>
    </row>
    <row r="958" spans="1:1" ht="14.25" customHeight="1" x14ac:dyDescent="0.25">
      <c r="A958" s="14"/>
    </row>
    <row r="959" spans="1:1" ht="14.25" customHeight="1" x14ac:dyDescent="0.25">
      <c r="A959" s="14"/>
    </row>
    <row r="960" spans="1:1" ht="14.25" customHeight="1" x14ac:dyDescent="0.25">
      <c r="A960" s="14"/>
    </row>
    <row r="961" spans="1:1" ht="14.25" customHeight="1" x14ac:dyDescent="0.25">
      <c r="A961" s="14"/>
    </row>
    <row r="962" spans="1:1" ht="14.25" customHeight="1" x14ac:dyDescent="0.25">
      <c r="A962" s="14"/>
    </row>
    <row r="963" spans="1:1" ht="14.25" customHeight="1" x14ac:dyDescent="0.25">
      <c r="A963" s="14"/>
    </row>
    <row r="964" spans="1:1" ht="14.25" customHeight="1" x14ac:dyDescent="0.25">
      <c r="A964" s="14"/>
    </row>
    <row r="965" spans="1:1" ht="14.25" customHeight="1" x14ac:dyDescent="0.25">
      <c r="A965" s="14"/>
    </row>
    <row r="966" spans="1:1" ht="14.25" customHeight="1" x14ac:dyDescent="0.25">
      <c r="A966" s="14"/>
    </row>
    <row r="967" spans="1:1" ht="14.25" customHeight="1" x14ac:dyDescent="0.25">
      <c r="A967" s="14"/>
    </row>
    <row r="968" spans="1:1" ht="14.25" customHeight="1" x14ac:dyDescent="0.25">
      <c r="A968" s="14"/>
    </row>
    <row r="969" spans="1:1" ht="14.25" customHeight="1" x14ac:dyDescent="0.25">
      <c r="A969" s="14"/>
    </row>
    <row r="970" spans="1:1" ht="14.25" customHeight="1" x14ac:dyDescent="0.25">
      <c r="A970" s="14"/>
    </row>
    <row r="971" spans="1:1" ht="14.25" customHeight="1" x14ac:dyDescent="0.25">
      <c r="A971" s="14"/>
    </row>
    <row r="972" spans="1:1" ht="14.25" customHeight="1" x14ac:dyDescent="0.25">
      <c r="A972" s="14"/>
    </row>
    <row r="973" spans="1:1" ht="14.25" customHeight="1" x14ac:dyDescent="0.25">
      <c r="A973" s="14"/>
    </row>
    <row r="974" spans="1:1" ht="14.25" customHeight="1" x14ac:dyDescent="0.25">
      <c r="A974" s="14"/>
    </row>
    <row r="975" spans="1:1" ht="14.25" customHeight="1" x14ac:dyDescent="0.25">
      <c r="A975" s="14"/>
    </row>
    <row r="976" spans="1:1" ht="14.25" customHeight="1" x14ac:dyDescent="0.25">
      <c r="A976" s="14"/>
    </row>
    <row r="977" spans="1:1" ht="14.25" customHeight="1" x14ac:dyDescent="0.25">
      <c r="A977" s="14"/>
    </row>
    <row r="978" spans="1:1" ht="14.25" customHeight="1" x14ac:dyDescent="0.25">
      <c r="A978" s="14"/>
    </row>
    <row r="979" spans="1:1" ht="14.25" customHeight="1" x14ac:dyDescent="0.25">
      <c r="A979" s="14"/>
    </row>
    <row r="980" spans="1:1" ht="14.25" customHeight="1" x14ac:dyDescent="0.25">
      <c r="A980" s="14"/>
    </row>
    <row r="981" spans="1:1" ht="14.25" customHeight="1" x14ac:dyDescent="0.25">
      <c r="A981" s="14"/>
    </row>
    <row r="982" spans="1:1" ht="14.25" customHeight="1" x14ac:dyDescent="0.25">
      <c r="A982" s="14"/>
    </row>
    <row r="983" spans="1:1" ht="14.25" customHeight="1" x14ac:dyDescent="0.25">
      <c r="A983" s="14"/>
    </row>
    <row r="984" spans="1:1" ht="14.25" customHeight="1" x14ac:dyDescent="0.25">
      <c r="A984" s="14"/>
    </row>
    <row r="985" spans="1:1" ht="14.25" customHeight="1" x14ac:dyDescent="0.25">
      <c r="A985" s="14"/>
    </row>
    <row r="986" spans="1:1" ht="14.25" customHeight="1" x14ac:dyDescent="0.25">
      <c r="A986" s="14"/>
    </row>
    <row r="987" spans="1:1" ht="14.25" customHeight="1" x14ac:dyDescent="0.25">
      <c r="A987" s="14"/>
    </row>
    <row r="988" spans="1:1" ht="14.25" customHeight="1" x14ac:dyDescent="0.25">
      <c r="A988" s="14"/>
    </row>
    <row r="989" spans="1:1" ht="14.25" customHeight="1" x14ac:dyDescent="0.25">
      <c r="A989" s="14"/>
    </row>
    <row r="990" spans="1:1" ht="14.25" customHeight="1" x14ac:dyDescent="0.25">
      <c r="A990" s="14"/>
    </row>
    <row r="991" spans="1:1" ht="14.25" customHeight="1" x14ac:dyDescent="0.25">
      <c r="A991" s="14"/>
    </row>
    <row r="992" spans="1:1" ht="14.25" customHeight="1" x14ac:dyDescent="0.25">
      <c r="A992" s="14"/>
    </row>
    <row r="993" spans="1:1" ht="14.25" customHeight="1" x14ac:dyDescent="0.25">
      <c r="A993" s="14"/>
    </row>
    <row r="994" spans="1:1" ht="14.25" customHeight="1" x14ac:dyDescent="0.25">
      <c r="A994" s="14"/>
    </row>
    <row r="995" spans="1:1" ht="14.25" customHeight="1" x14ac:dyDescent="0.25">
      <c r="A995" s="14"/>
    </row>
    <row r="996" spans="1:1" ht="14.25" customHeight="1" x14ac:dyDescent="0.25">
      <c r="A996" s="14"/>
    </row>
    <row r="997" spans="1:1" ht="14.25" customHeight="1" x14ac:dyDescent="0.25">
      <c r="A997" s="14"/>
    </row>
    <row r="998" spans="1:1" ht="14.25" customHeight="1" x14ac:dyDescent="0.25">
      <c r="A998" s="14"/>
    </row>
  </sheetData>
  <conditionalFormatting sqref="C1:D1">
    <cfRule type="cellIs" dxfId="2" priority="1" operator="equal">
      <formula>"PRIVATE LABEL"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4588-3F24-4F95-A6D5-86ADE4391A25}">
  <dimension ref="A1:L6001"/>
  <sheetViews>
    <sheetView workbookViewId="0">
      <selection activeCell="A4340" sqref="A4340"/>
    </sheetView>
  </sheetViews>
  <sheetFormatPr defaultRowHeight="15" x14ac:dyDescent="0.25"/>
  <cols>
    <col min="1" max="1" width="99.28515625" customWidth="1"/>
  </cols>
  <sheetData>
    <row r="1" spans="1:12" ht="105" x14ac:dyDescent="0.25">
      <c r="A1" t="s">
        <v>461</v>
      </c>
      <c r="B1" s="3" t="s">
        <v>3</v>
      </c>
      <c r="C1" s="4" t="s">
        <v>480</v>
      </c>
      <c r="D1" s="3" t="s">
        <v>481</v>
      </c>
      <c r="E1" s="3" t="s">
        <v>482</v>
      </c>
      <c r="F1" s="3" t="s">
        <v>479</v>
      </c>
      <c r="G1" s="3" t="s">
        <v>478</v>
      </c>
      <c r="H1" s="3" t="s">
        <v>483</v>
      </c>
      <c r="I1" s="3" t="s">
        <v>484</v>
      </c>
      <c r="J1" s="3" t="s">
        <v>485</v>
      </c>
      <c r="K1" s="3" t="s">
        <v>486</v>
      </c>
      <c r="L1" s="3" t="s">
        <v>487</v>
      </c>
    </row>
    <row r="2" spans="1:12" x14ac:dyDescent="0.25">
      <c r="A2" t="s">
        <v>101</v>
      </c>
      <c r="B2" t="str">
        <f>_xlfn.XLOOKUP($A2,Load!$B:$B,Load!C:C,0,)</f>
        <v>Flix</v>
      </c>
      <c r="C2" t="str">
        <f>_xlfn.XLOOKUP($A2,Load!$B:$B,Load!D:D,0,)</f>
        <v>Non-Chocolate Candy Only</v>
      </c>
      <c r="D2" t="str">
        <f>_xlfn.XLOOKUP($A2,Load!$B:$B,Load!E:E,0,)</f>
        <v>Fruit Flavor (Cherry, Grape, Apple, Citrus, Tropical Fruit)</v>
      </c>
      <c r="E2" t="str">
        <f>_xlfn.XLOOKUP($A2,Load!$B:$B,Load!F:F,0,)</f>
        <v>Gummy</v>
      </c>
      <c r="F2" t="str">
        <f>_xlfn.XLOOKUP($A2,Load!$B:$B,Load!G:G,0,)</f>
        <v>Small Multipack (Less than 40 ct)</v>
      </c>
      <c r="G2" t="str">
        <f>_xlfn.XLOOKUP($A2,Load!$B:$B,Load!H:H,0,)</f>
        <v>Laydown Bag</v>
      </c>
      <c r="H2" t="str">
        <f>_xlfn.XLOOKUP($A2,Load!$B:$B,Load!I:I,0,)</f>
        <v>Seasonal Shapes (like pumpkins, candy corn, ghost, bats, etc.)</v>
      </c>
      <c r="I2" t="str">
        <f>_xlfn.XLOOKUP($A2,Load!$B:$B,Load!J:J,0,)</f>
        <v>Seasonal Graphics (Like Bat, Ghost, Pumpkin, Fall Leaves, Eyeballs, etc.)</v>
      </c>
      <c r="J2" t="str">
        <f>_xlfn.XLOOKUP($A2,Load!$B:$B,Load!K:K,0,)</f>
        <v>Small Pieces (Tiny bite size candies)</v>
      </c>
      <c r="K2" t="str">
        <f>_xlfn.XLOOKUP($A2,Load!$B:$B,Load!L:L,0,)</f>
        <v>Regular/Original Wrapping</v>
      </c>
      <c r="L2" t="str">
        <f>_xlfn.XLOOKUP($A2,Load!$B:$B,Load!M:M,0,)</f>
        <v>Single Brand / Variety Flavors or Form</v>
      </c>
    </row>
    <row r="3" spans="1:12" x14ac:dyDescent="0.25">
      <c r="B3">
        <f>_xlfn.XLOOKUP($A3,Load!$B:$B,Load!C:C,0,)</f>
        <v>0</v>
      </c>
      <c r="C3">
        <f>_xlfn.XLOOKUP($A3,Load!$B:$B,Load!D:D,0,)</f>
        <v>0</v>
      </c>
      <c r="D3">
        <f>_xlfn.XLOOKUP($A3,Load!$B:$B,Load!E:E,0,)</f>
        <v>0</v>
      </c>
      <c r="E3">
        <f>_xlfn.XLOOKUP($A3,Load!$B:$B,Load!F:F,0,)</f>
        <v>0</v>
      </c>
      <c r="F3">
        <f>_xlfn.XLOOKUP($A3,Load!$B:$B,Load!G:G,0,)</f>
        <v>0</v>
      </c>
      <c r="G3">
        <f>_xlfn.XLOOKUP($A3,Load!$B:$B,Load!H:H,0,)</f>
        <v>0</v>
      </c>
      <c r="H3">
        <f>_xlfn.XLOOKUP($A3,Load!$B:$B,Load!I:I,0,)</f>
        <v>0</v>
      </c>
      <c r="I3">
        <f>_xlfn.XLOOKUP($A3,Load!$B:$B,Load!J:J,0,)</f>
        <v>0</v>
      </c>
      <c r="J3">
        <f>_xlfn.XLOOKUP($A3,Load!$B:$B,Load!K:K,0,)</f>
        <v>0</v>
      </c>
      <c r="K3">
        <f>_xlfn.XLOOKUP($A3,Load!$B:$B,Load!L:L,0,)</f>
        <v>0</v>
      </c>
      <c r="L3">
        <f>_xlfn.XLOOKUP($A3,Load!$B:$B,Load!M:M,0,)</f>
        <v>0</v>
      </c>
    </row>
    <row r="4" spans="1:12" x14ac:dyDescent="0.25">
      <c r="A4" t="s">
        <v>203</v>
      </c>
      <c r="B4" t="str">
        <f>_xlfn.XLOOKUP($A4,Load!$B:$B,Load!C:C,0,)</f>
        <v>Mars Variety Pack</v>
      </c>
      <c r="C4" t="str">
        <f>_xlfn.XLOOKUP($A4,Load!$B:$B,Load!D:D,0,)</f>
        <v>Mix of Chocolate and Non-Chocolate Candy</v>
      </c>
      <c r="D4" t="str">
        <f>_xlfn.XLOOKUP($A4,Load!$B:$B,Load!E:E,0,)</f>
        <v>Variety / Mixed Flavors (Fruity, Sour, Seasonal Flavors)</v>
      </c>
      <c r="E4" t="str">
        <f>_xlfn.XLOOKUP($A4,Load!$B:$B,Load!F:F,0,)</f>
        <v>Mixed / Combo Packs (Gummy, Chewy, Taffy, etc.)</v>
      </c>
      <c r="F4" t="str">
        <f>_xlfn.XLOOKUP($A4,Load!$B:$B,Load!G:G,0,)</f>
        <v>Small Multipack (Less than 40 ct)</v>
      </c>
      <c r="G4" t="str">
        <f>_xlfn.XLOOKUP($A4,Load!$B:$B,Load!H:H,0,)</f>
        <v>Box (theatre box, gift box, carton)</v>
      </c>
      <c r="H4" t="str">
        <f>_xlfn.XLOOKUP($A4,Load!$B:$B,Load!I:I,0,)</f>
        <v>Everyday Candy Shapes (like Original, Gummy bear, Fruit, Jewels, etc.)</v>
      </c>
      <c r="I4" t="str">
        <f>_xlfn.XLOOKUP($A4,Load!$B:$B,Load!J:J,0,)</f>
        <v>Everyday Graphics</v>
      </c>
      <c r="J4" t="str">
        <f>_xlfn.XLOOKUP($A4,Load!$B:$B,Load!K:K,0,)</f>
        <v>Fun Size / Treat Size</v>
      </c>
      <c r="K4" t="str">
        <f>_xlfn.XLOOKUP($A4,Load!$B:$B,Load!L:L,0,)</f>
        <v>Regular/Original Wrapping</v>
      </c>
      <c r="L4" t="str">
        <f>_xlfn.XLOOKUP($A4,Load!$B:$B,Load!M:M,0,)</f>
        <v>Multiple Brands / Variety Flavors or Form</v>
      </c>
    </row>
    <row r="5" spans="1:12" x14ac:dyDescent="0.25">
      <c r="B5">
        <f>_xlfn.XLOOKUP($A5,Load!$B:$B,Load!C:C,0,)</f>
        <v>0</v>
      </c>
      <c r="C5">
        <f>_xlfn.XLOOKUP($A5,Load!$B:$B,Load!D:D,0,)</f>
        <v>0</v>
      </c>
      <c r="D5">
        <f>_xlfn.XLOOKUP($A5,Load!$B:$B,Load!E:E,0,)</f>
        <v>0</v>
      </c>
      <c r="E5">
        <f>_xlfn.XLOOKUP($A5,Load!$B:$B,Load!F:F,0,)</f>
        <v>0</v>
      </c>
      <c r="F5">
        <f>_xlfn.XLOOKUP($A5,Load!$B:$B,Load!G:G,0,)</f>
        <v>0</v>
      </c>
      <c r="G5">
        <f>_xlfn.XLOOKUP($A5,Load!$B:$B,Load!H:H,0,)</f>
        <v>0</v>
      </c>
      <c r="H5">
        <f>_xlfn.XLOOKUP($A5,Load!$B:$B,Load!I:I,0,)</f>
        <v>0</v>
      </c>
      <c r="I5">
        <f>_xlfn.XLOOKUP($A5,Load!$B:$B,Load!J:J,0,)</f>
        <v>0</v>
      </c>
      <c r="J5">
        <f>_xlfn.XLOOKUP($A5,Load!$B:$B,Load!K:K,0,)</f>
        <v>0</v>
      </c>
      <c r="K5">
        <f>_xlfn.XLOOKUP($A5,Load!$B:$B,Load!L:L,0,)</f>
        <v>0</v>
      </c>
      <c r="L5">
        <f>_xlfn.XLOOKUP($A5,Load!$B:$B,Load!M:M,0,)</f>
        <v>0</v>
      </c>
    </row>
    <row r="6" spans="1:12" x14ac:dyDescent="0.25">
      <c r="A6" t="s">
        <v>462</v>
      </c>
      <c r="B6" t="str">
        <f>_xlfn.XLOOKUP($A6,Load!$B:$B,Load!C:C,0,)</f>
        <v>Trolli</v>
      </c>
      <c r="C6" t="str">
        <f>_xlfn.XLOOKUP($A6,Load!$B:$B,Load!D:D,0,)</f>
        <v>Non-Chocolate Candy Only</v>
      </c>
      <c r="D6" t="str">
        <f>_xlfn.XLOOKUP($A6,Load!$B:$B,Load!E:E,0,)</f>
        <v>Sour</v>
      </c>
      <c r="E6" t="str">
        <f>_xlfn.XLOOKUP($A6,Load!$B:$B,Load!F:F,0,)</f>
        <v>Gummy</v>
      </c>
      <c r="F6" t="str">
        <f>_xlfn.XLOOKUP($A6,Load!$B:$B,Load!G:G,0,)</f>
        <v>Small Multipack (Less than 40 ct)</v>
      </c>
      <c r="G6" t="str">
        <f>_xlfn.XLOOKUP($A6,Load!$B:$B,Load!H:H,0,)</f>
        <v>Laydown Bag</v>
      </c>
      <c r="H6" t="str">
        <f>_xlfn.XLOOKUP($A6,Load!$B:$B,Load!I:I,0,)</f>
        <v>Seasonal Shapes (like pumpkins, candy corn, ghost, bats, etc.)</v>
      </c>
      <c r="I6" t="str">
        <f>_xlfn.XLOOKUP($A6,Load!$B:$B,Load!J:J,0,)</f>
        <v>Seasonal Graphics (Like Bat, Ghost, Pumpkin, Fall Leaves, Eyeballs, etc.)</v>
      </c>
      <c r="J6" t="str">
        <f>_xlfn.XLOOKUP($A6,Load!$B:$B,Load!K:K,0,)</f>
        <v>Fun Size / Treat Size</v>
      </c>
      <c r="K6" t="str">
        <f>_xlfn.XLOOKUP($A6,Load!$B:$B,Load!L:L,0,)</f>
        <v>Regular/Original Wrapping</v>
      </c>
      <c r="L6" t="str">
        <f>_xlfn.XLOOKUP($A6,Load!$B:$B,Load!M:M,0,)</f>
        <v>Single Brand / Variety Flavors or Form</v>
      </c>
    </row>
    <row r="7" spans="1:12" x14ac:dyDescent="0.25">
      <c r="B7">
        <f>_xlfn.XLOOKUP($A7,Load!$B:$B,Load!C:C,0,)</f>
        <v>0</v>
      </c>
      <c r="C7">
        <f>_xlfn.XLOOKUP($A7,Load!$B:$B,Load!D:D,0,)</f>
        <v>0</v>
      </c>
      <c r="D7">
        <f>_xlfn.XLOOKUP($A7,Load!$B:$B,Load!E:E,0,)</f>
        <v>0</v>
      </c>
      <c r="E7">
        <f>_xlfn.XLOOKUP($A7,Load!$B:$B,Load!F:F,0,)</f>
        <v>0</v>
      </c>
      <c r="F7">
        <f>_xlfn.XLOOKUP($A7,Load!$B:$B,Load!G:G,0,)</f>
        <v>0</v>
      </c>
      <c r="G7">
        <f>_xlfn.XLOOKUP($A7,Load!$B:$B,Load!H:H,0,)</f>
        <v>0</v>
      </c>
      <c r="H7">
        <f>_xlfn.XLOOKUP($A7,Load!$B:$B,Load!I:I,0,)</f>
        <v>0</v>
      </c>
      <c r="I7">
        <f>_xlfn.XLOOKUP($A7,Load!$B:$B,Load!J:J,0,)</f>
        <v>0</v>
      </c>
      <c r="J7">
        <f>_xlfn.XLOOKUP($A7,Load!$B:$B,Load!K:K,0,)</f>
        <v>0</v>
      </c>
      <c r="K7">
        <f>_xlfn.XLOOKUP($A7,Load!$B:$B,Load!L:L,0,)</f>
        <v>0</v>
      </c>
      <c r="L7">
        <f>_xlfn.XLOOKUP($A7,Load!$B:$B,Load!M:M,0,)</f>
        <v>0</v>
      </c>
    </row>
    <row r="8" spans="1:12" x14ac:dyDescent="0.25">
      <c r="B8">
        <f>_xlfn.XLOOKUP($A8,Load!$B:$B,Load!C:C,0,)</f>
        <v>0</v>
      </c>
      <c r="C8">
        <f>_xlfn.XLOOKUP($A8,Load!$B:$B,Load!D:D,0,)</f>
        <v>0</v>
      </c>
      <c r="D8">
        <f>_xlfn.XLOOKUP($A8,Load!$B:$B,Load!E:E,0,)</f>
        <v>0</v>
      </c>
      <c r="E8">
        <f>_xlfn.XLOOKUP($A8,Load!$B:$B,Load!F:F,0,)</f>
        <v>0</v>
      </c>
      <c r="F8">
        <f>_xlfn.XLOOKUP($A8,Load!$B:$B,Load!G:G,0,)</f>
        <v>0</v>
      </c>
      <c r="G8">
        <f>_xlfn.XLOOKUP($A8,Load!$B:$B,Load!H:H,0,)</f>
        <v>0</v>
      </c>
      <c r="H8">
        <f>_xlfn.XLOOKUP($A8,Load!$B:$B,Load!I:I,0,)</f>
        <v>0</v>
      </c>
      <c r="I8">
        <f>_xlfn.XLOOKUP($A8,Load!$B:$B,Load!J:J,0,)</f>
        <v>0</v>
      </c>
      <c r="J8">
        <f>_xlfn.XLOOKUP($A8,Load!$B:$B,Load!K:K,0,)</f>
        <v>0</v>
      </c>
      <c r="K8">
        <f>_xlfn.XLOOKUP($A8,Load!$B:$B,Load!L:L,0,)</f>
        <v>0</v>
      </c>
      <c r="L8">
        <f>_xlfn.XLOOKUP($A8,Load!$B:$B,Load!M:M,0,)</f>
        <v>0</v>
      </c>
    </row>
    <row r="9" spans="1:12" x14ac:dyDescent="0.25">
      <c r="B9">
        <f>_xlfn.XLOOKUP($A9,Load!$B:$B,Load!C:C,0,)</f>
        <v>0</v>
      </c>
      <c r="C9">
        <f>_xlfn.XLOOKUP($A9,Load!$B:$B,Load!D:D,0,)</f>
        <v>0</v>
      </c>
      <c r="D9">
        <f>_xlfn.XLOOKUP($A9,Load!$B:$B,Load!E:E,0,)</f>
        <v>0</v>
      </c>
      <c r="E9">
        <f>_xlfn.XLOOKUP($A9,Load!$B:$B,Load!F:F,0,)</f>
        <v>0</v>
      </c>
      <c r="F9">
        <f>_xlfn.XLOOKUP($A9,Load!$B:$B,Load!G:G,0,)</f>
        <v>0</v>
      </c>
      <c r="G9">
        <f>_xlfn.XLOOKUP($A9,Load!$B:$B,Load!H:H,0,)</f>
        <v>0</v>
      </c>
      <c r="H9">
        <f>_xlfn.XLOOKUP($A9,Load!$B:$B,Load!I:I,0,)</f>
        <v>0</v>
      </c>
      <c r="I9">
        <f>_xlfn.XLOOKUP($A9,Load!$B:$B,Load!J:J,0,)</f>
        <v>0</v>
      </c>
      <c r="J9">
        <f>_xlfn.XLOOKUP($A9,Load!$B:$B,Load!K:K,0,)</f>
        <v>0</v>
      </c>
      <c r="K9">
        <f>_xlfn.XLOOKUP($A9,Load!$B:$B,Load!L:L,0,)</f>
        <v>0</v>
      </c>
      <c r="L9">
        <f>_xlfn.XLOOKUP($A9,Load!$B:$B,Load!M:M,0,)</f>
        <v>0</v>
      </c>
    </row>
    <row r="10" spans="1:12" x14ac:dyDescent="0.25">
      <c r="A10" t="s">
        <v>463</v>
      </c>
      <c r="B10" t="str">
        <f>_xlfn.XLOOKUP($A10,Load!$B:$B,Load!C:C,0,)</f>
        <v>Mars Variety Pack</v>
      </c>
      <c r="C10" t="str">
        <f>_xlfn.XLOOKUP($A10,Load!$B:$B,Load!D:D,0,)</f>
        <v>Mix of Chocolate and Non-Chocolate Candy</v>
      </c>
      <c r="D10" t="str">
        <f>_xlfn.XLOOKUP($A10,Load!$B:$B,Load!E:E,0,)</f>
        <v>Variety / Mixed Flavors (Fruity, Sour, Seasonal Flavors)</v>
      </c>
      <c r="E10" t="str">
        <f>_xlfn.XLOOKUP($A10,Load!$B:$B,Load!F:F,0,)</f>
        <v>Mixed / Combo Packs (Gummy, Chewy, Taffy, etc.)</v>
      </c>
      <c r="F10" t="str">
        <f>_xlfn.XLOOKUP($A10,Load!$B:$B,Load!G:G,0,)</f>
        <v>Medium Multipack (40–80 ct)</v>
      </c>
      <c r="G10" t="str">
        <f>_xlfn.XLOOKUP($A10,Load!$B:$B,Load!H:H,0,)</f>
        <v>Stand-Up Bag</v>
      </c>
      <c r="H10" t="str">
        <f>_xlfn.XLOOKUP($A10,Load!$B:$B,Load!I:I,0,)</f>
        <v>Everyday Candy Shapes (like Original, Gummy bear, Fruit, Jewels, etc.)</v>
      </c>
      <c r="I10" t="str">
        <f>_xlfn.XLOOKUP($A10,Load!$B:$B,Load!J:J,0,)</f>
        <v>Seasonal Graphics (Like Bat, Ghost, Pumpkin, Fall Leaves, Eyeballs, etc.)</v>
      </c>
      <c r="J10" t="str">
        <f>_xlfn.XLOOKUP($A10,Load!$B:$B,Load!K:K,0,)</f>
        <v>Fun Size / Treat Size</v>
      </c>
      <c r="K10" t="str">
        <f>_xlfn.XLOOKUP($A10,Load!$B:$B,Load!L:L,0,)</f>
        <v>Regular/Original Wrapping</v>
      </c>
      <c r="L10" t="str">
        <f>_xlfn.XLOOKUP($A10,Load!$B:$B,Load!M:M,0,)</f>
        <v>Multiple Brands / Variety Flavors or Form</v>
      </c>
    </row>
    <row r="11" spans="1:12" x14ac:dyDescent="0.25">
      <c r="A11" t="s">
        <v>213</v>
      </c>
      <c r="B11" t="str">
        <f>_xlfn.XLOOKUP($A11,Load!$B:$B,Load!C:C,0,)</f>
        <v>Mars Variety Pack</v>
      </c>
      <c r="C11" t="str">
        <f>_xlfn.XLOOKUP($A11,Load!$B:$B,Load!D:D,0,)</f>
        <v>Mix of Chocolate and Non-Chocolate Candy</v>
      </c>
      <c r="D11" t="str">
        <f>_xlfn.XLOOKUP($A11,Load!$B:$B,Load!E:E,0,)</f>
        <v>Variety / Mixed Flavors (Fruity, Sour, Seasonal Flavors)</v>
      </c>
      <c r="E11" t="str">
        <f>_xlfn.XLOOKUP($A11,Load!$B:$B,Load!F:F,0,)</f>
        <v>Mixed / Combo Packs (Gummy, Chewy, Taffy, etc.)</v>
      </c>
      <c r="F11" t="str">
        <f>_xlfn.XLOOKUP($A11,Load!$B:$B,Load!G:G,0,)</f>
        <v>Medium Multipack (40–80 ct)</v>
      </c>
      <c r="G11" t="str">
        <f>_xlfn.XLOOKUP($A11,Load!$B:$B,Load!H:H,0,)</f>
        <v>Stand-Up Bag</v>
      </c>
      <c r="H11" t="str">
        <f>_xlfn.XLOOKUP($A11,Load!$B:$B,Load!I:I,0,)</f>
        <v>Everyday Candy Shapes (like Original, Gummy bear, Fruit, Jewels, etc.)</v>
      </c>
      <c r="I11" t="str">
        <f>_xlfn.XLOOKUP($A11,Load!$B:$B,Load!J:J,0,)</f>
        <v>Seasonal Graphics (Like Bat, Ghost, Pumpkin, Fall Leaves, Eyeballs, etc.)</v>
      </c>
      <c r="J11" t="str">
        <f>_xlfn.XLOOKUP($A11,Load!$B:$B,Load!K:K,0,)</f>
        <v>Fun Size / Treat Size</v>
      </c>
      <c r="K11" t="str">
        <f>_xlfn.XLOOKUP($A11,Load!$B:$B,Load!L:L,0,)</f>
        <v>Regular/Original Wrapping</v>
      </c>
      <c r="L11" t="str">
        <f>_xlfn.XLOOKUP($A11,Load!$B:$B,Load!M:M,0,)</f>
        <v>Multiple Brands / Variety Flavors or Form</v>
      </c>
    </row>
    <row r="12" spans="1:12" x14ac:dyDescent="0.25">
      <c r="B12">
        <f>_xlfn.XLOOKUP($A12,Load!$B:$B,Load!C:C,0,)</f>
        <v>0</v>
      </c>
      <c r="C12">
        <f>_xlfn.XLOOKUP($A12,Load!$B:$B,Load!D:D,0,)</f>
        <v>0</v>
      </c>
      <c r="D12">
        <f>_xlfn.XLOOKUP($A12,Load!$B:$B,Load!E:E,0,)</f>
        <v>0</v>
      </c>
      <c r="E12">
        <f>_xlfn.XLOOKUP($A12,Load!$B:$B,Load!F:F,0,)</f>
        <v>0</v>
      </c>
      <c r="F12">
        <f>_xlfn.XLOOKUP($A12,Load!$B:$B,Load!G:G,0,)</f>
        <v>0</v>
      </c>
      <c r="G12">
        <f>_xlfn.XLOOKUP($A12,Load!$B:$B,Load!H:H,0,)</f>
        <v>0</v>
      </c>
      <c r="H12">
        <f>_xlfn.XLOOKUP($A12,Load!$B:$B,Load!I:I,0,)</f>
        <v>0</v>
      </c>
      <c r="I12">
        <f>_xlfn.XLOOKUP($A12,Load!$B:$B,Load!J:J,0,)</f>
        <v>0</v>
      </c>
      <c r="J12">
        <f>_xlfn.XLOOKUP($A12,Load!$B:$B,Load!K:K,0,)</f>
        <v>0</v>
      </c>
      <c r="K12">
        <f>_xlfn.XLOOKUP($A12,Load!$B:$B,Load!L:L,0,)</f>
        <v>0</v>
      </c>
      <c r="L12">
        <f>_xlfn.XLOOKUP($A12,Load!$B:$B,Load!M:M,0,)</f>
        <v>0</v>
      </c>
    </row>
    <row r="13" spans="1:12" x14ac:dyDescent="0.25">
      <c r="B13">
        <f>_xlfn.XLOOKUP($A13,Load!$B:$B,Load!C:C,0,)</f>
        <v>0</v>
      </c>
      <c r="C13">
        <f>_xlfn.XLOOKUP($A13,Load!$B:$B,Load!D:D,0,)</f>
        <v>0</v>
      </c>
      <c r="D13">
        <f>_xlfn.XLOOKUP($A13,Load!$B:$B,Load!E:E,0,)</f>
        <v>0</v>
      </c>
      <c r="E13">
        <f>_xlfn.XLOOKUP($A13,Load!$B:$B,Load!F:F,0,)</f>
        <v>0</v>
      </c>
      <c r="F13">
        <f>_xlfn.XLOOKUP($A13,Load!$B:$B,Load!G:G,0,)</f>
        <v>0</v>
      </c>
      <c r="G13">
        <f>_xlfn.XLOOKUP($A13,Load!$B:$B,Load!H:H,0,)</f>
        <v>0</v>
      </c>
      <c r="H13">
        <f>_xlfn.XLOOKUP($A13,Load!$B:$B,Load!I:I,0,)</f>
        <v>0</v>
      </c>
      <c r="I13">
        <f>_xlfn.XLOOKUP($A13,Load!$B:$B,Load!J:J,0,)</f>
        <v>0</v>
      </c>
      <c r="J13">
        <f>_xlfn.XLOOKUP($A13,Load!$B:$B,Load!K:K,0,)</f>
        <v>0</v>
      </c>
      <c r="K13">
        <f>_xlfn.XLOOKUP($A13,Load!$B:$B,Load!L:L,0,)</f>
        <v>0</v>
      </c>
      <c r="L13">
        <f>_xlfn.XLOOKUP($A13,Load!$B:$B,Load!M:M,0,)</f>
        <v>0</v>
      </c>
    </row>
    <row r="14" spans="1:12" x14ac:dyDescent="0.25">
      <c r="B14">
        <f>_xlfn.XLOOKUP($A14,Load!$B:$B,Load!C:C,0,)</f>
        <v>0</v>
      </c>
      <c r="C14">
        <f>_xlfn.XLOOKUP($A14,Load!$B:$B,Load!D:D,0,)</f>
        <v>0</v>
      </c>
      <c r="D14">
        <f>_xlfn.XLOOKUP($A14,Load!$B:$B,Load!E:E,0,)</f>
        <v>0</v>
      </c>
      <c r="E14">
        <f>_xlfn.XLOOKUP($A14,Load!$B:$B,Load!F:F,0,)</f>
        <v>0</v>
      </c>
      <c r="F14">
        <f>_xlfn.XLOOKUP($A14,Load!$B:$B,Load!G:G,0,)</f>
        <v>0</v>
      </c>
      <c r="G14">
        <f>_xlfn.XLOOKUP($A14,Load!$B:$B,Load!H:H,0,)</f>
        <v>0</v>
      </c>
      <c r="H14">
        <f>_xlfn.XLOOKUP($A14,Load!$B:$B,Load!I:I,0,)</f>
        <v>0</v>
      </c>
      <c r="I14">
        <f>_xlfn.XLOOKUP($A14,Load!$B:$B,Load!J:J,0,)</f>
        <v>0</v>
      </c>
      <c r="J14">
        <f>_xlfn.XLOOKUP($A14,Load!$B:$B,Load!K:K,0,)</f>
        <v>0</v>
      </c>
      <c r="K14">
        <f>_xlfn.XLOOKUP($A14,Load!$B:$B,Load!L:L,0,)</f>
        <v>0</v>
      </c>
      <c r="L14">
        <f>_xlfn.XLOOKUP($A14,Load!$B:$B,Load!M:M,0,)</f>
        <v>0</v>
      </c>
    </row>
    <row r="15" spans="1:12" x14ac:dyDescent="0.25">
      <c r="B15">
        <f>_xlfn.XLOOKUP($A15,Load!$B:$B,Load!C:C,0,)</f>
        <v>0</v>
      </c>
      <c r="C15">
        <f>_xlfn.XLOOKUP($A15,Load!$B:$B,Load!D:D,0,)</f>
        <v>0</v>
      </c>
      <c r="D15">
        <f>_xlfn.XLOOKUP($A15,Load!$B:$B,Load!E:E,0,)</f>
        <v>0</v>
      </c>
      <c r="E15">
        <f>_xlfn.XLOOKUP($A15,Load!$B:$B,Load!F:F,0,)</f>
        <v>0</v>
      </c>
      <c r="F15">
        <f>_xlfn.XLOOKUP($A15,Load!$B:$B,Load!G:G,0,)</f>
        <v>0</v>
      </c>
      <c r="G15">
        <f>_xlfn.XLOOKUP($A15,Load!$B:$B,Load!H:H,0,)</f>
        <v>0</v>
      </c>
      <c r="H15">
        <f>_xlfn.XLOOKUP($A15,Load!$B:$B,Load!I:I,0,)</f>
        <v>0</v>
      </c>
      <c r="I15">
        <f>_xlfn.XLOOKUP($A15,Load!$B:$B,Load!J:J,0,)</f>
        <v>0</v>
      </c>
      <c r="J15">
        <f>_xlfn.XLOOKUP($A15,Load!$B:$B,Load!K:K,0,)</f>
        <v>0</v>
      </c>
      <c r="K15">
        <f>_xlfn.XLOOKUP($A15,Load!$B:$B,Load!L:L,0,)</f>
        <v>0</v>
      </c>
      <c r="L15">
        <f>_xlfn.XLOOKUP($A15,Load!$B:$B,Load!M:M,0,)</f>
        <v>0</v>
      </c>
    </row>
    <row r="16" spans="1:12" x14ac:dyDescent="0.25">
      <c r="A16" t="s">
        <v>122</v>
      </c>
      <c r="B16" t="str">
        <f>_xlfn.XLOOKUP($A16,Load!$B:$B,Load!C:C,0,)</f>
        <v>HARIBO</v>
      </c>
      <c r="C16" t="str">
        <f>_xlfn.XLOOKUP($A16,Load!$B:$B,Load!D:D,0,)</f>
        <v>Non-Chocolate Candy Only</v>
      </c>
      <c r="D16" t="str">
        <f>_xlfn.XLOOKUP($A16,Load!$B:$B,Load!E:E,0,)</f>
        <v>Variety / Mixed Flavors (Fruity, Sour, Seasonal Flavors)</v>
      </c>
      <c r="E16" t="str">
        <f>_xlfn.XLOOKUP($A16,Load!$B:$B,Load!F:F,0,)</f>
        <v>Gummy</v>
      </c>
      <c r="F16" t="str">
        <f>_xlfn.XLOOKUP($A16,Load!$B:$B,Load!G:G,0,)</f>
        <v>Medium Multipack (40–80 ct)</v>
      </c>
      <c r="G16" t="str">
        <f>_xlfn.XLOOKUP($A16,Load!$B:$B,Load!H:H,0,)</f>
        <v>Laydown Bag</v>
      </c>
      <c r="H16" t="str">
        <f>_xlfn.XLOOKUP($A16,Load!$B:$B,Load!I:I,0,)</f>
        <v>Seasonal Shapes (like pumpkins, candy corn, ghost, bats, etc.)</v>
      </c>
      <c r="I16" t="str">
        <f>_xlfn.XLOOKUP($A16,Load!$B:$B,Load!J:J,0,)</f>
        <v>Seasonal Graphics (Like Bat, Ghost, Pumpkin, Fall Leaves, Eyeballs, etc.)</v>
      </c>
      <c r="J16" t="str">
        <f>_xlfn.XLOOKUP($A16,Load!$B:$B,Load!K:K,0,)</f>
        <v>Small Pieces (Tiny bite size candies)</v>
      </c>
      <c r="K16" t="str">
        <f>_xlfn.XLOOKUP($A16,Load!$B:$B,Load!L:L,0,)</f>
        <v>Regular/Original Wrapping</v>
      </c>
      <c r="L16" t="str">
        <f>_xlfn.XLOOKUP($A16,Load!$B:$B,Load!M:M,0,)</f>
        <v>Multiple Brands / Variety Flavors or Form</v>
      </c>
    </row>
    <row r="17" spans="1:12" x14ac:dyDescent="0.25">
      <c r="B17">
        <f>_xlfn.XLOOKUP($A17,Load!$B:$B,Load!C:C,0,)</f>
        <v>0</v>
      </c>
      <c r="C17">
        <f>_xlfn.XLOOKUP($A17,Load!$B:$B,Load!D:D,0,)</f>
        <v>0</v>
      </c>
      <c r="D17">
        <f>_xlfn.XLOOKUP($A17,Load!$B:$B,Load!E:E,0,)</f>
        <v>0</v>
      </c>
      <c r="E17">
        <f>_xlfn.XLOOKUP($A17,Load!$B:$B,Load!F:F,0,)</f>
        <v>0</v>
      </c>
      <c r="F17">
        <f>_xlfn.XLOOKUP($A17,Load!$B:$B,Load!G:G,0,)</f>
        <v>0</v>
      </c>
      <c r="G17">
        <f>_xlfn.XLOOKUP($A17,Load!$B:$B,Load!H:H,0,)</f>
        <v>0</v>
      </c>
      <c r="H17">
        <f>_xlfn.XLOOKUP($A17,Load!$B:$B,Load!I:I,0,)</f>
        <v>0</v>
      </c>
      <c r="I17">
        <f>_xlfn.XLOOKUP($A17,Load!$B:$B,Load!J:J,0,)</f>
        <v>0</v>
      </c>
      <c r="J17">
        <f>_xlfn.XLOOKUP($A17,Load!$B:$B,Load!K:K,0,)</f>
        <v>0</v>
      </c>
      <c r="K17">
        <f>_xlfn.XLOOKUP($A17,Load!$B:$B,Load!L:L,0,)</f>
        <v>0</v>
      </c>
      <c r="L17">
        <f>_xlfn.XLOOKUP($A17,Load!$B:$B,Load!M:M,0,)</f>
        <v>0</v>
      </c>
    </row>
    <row r="18" spans="1:12" x14ac:dyDescent="0.25">
      <c r="B18">
        <f>_xlfn.XLOOKUP($A18,Load!$B:$B,Load!C:C,0,)</f>
        <v>0</v>
      </c>
      <c r="C18">
        <f>_xlfn.XLOOKUP($A18,Load!$B:$B,Load!D:D,0,)</f>
        <v>0</v>
      </c>
      <c r="D18">
        <f>_xlfn.XLOOKUP($A18,Load!$B:$B,Load!E:E,0,)</f>
        <v>0</v>
      </c>
      <c r="E18">
        <f>_xlfn.XLOOKUP($A18,Load!$B:$B,Load!F:F,0,)</f>
        <v>0</v>
      </c>
      <c r="F18">
        <f>_xlfn.XLOOKUP($A18,Load!$B:$B,Load!G:G,0,)</f>
        <v>0</v>
      </c>
      <c r="G18">
        <f>_xlfn.XLOOKUP($A18,Load!$B:$B,Load!H:H,0,)</f>
        <v>0</v>
      </c>
      <c r="H18">
        <f>_xlfn.XLOOKUP($A18,Load!$B:$B,Load!I:I,0,)</f>
        <v>0</v>
      </c>
      <c r="I18">
        <f>_xlfn.XLOOKUP($A18,Load!$B:$B,Load!J:J,0,)</f>
        <v>0</v>
      </c>
      <c r="J18">
        <f>_xlfn.XLOOKUP($A18,Load!$B:$B,Load!K:K,0,)</f>
        <v>0</v>
      </c>
      <c r="K18">
        <f>_xlfn.XLOOKUP($A18,Load!$B:$B,Load!L:L,0,)</f>
        <v>0</v>
      </c>
      <c r="L18">
        <f>_xlfn.XLOOKUP($A18,Load!$B:$B,Load!M:M,0,)</f>
        <v>0</v>
      </c>
    </row>
    <row r="19" spans="1:12" x14ac:dyDescent="0.25">
      <c r="B19">
        <f>_xlfn.XLOOKUP($A19,Load!$B:$B,Load!C:C,0,)</f>
        <v>0</v>
      </c>
      <c r="C19">
        <f>_xlfn.XLOOKUP($A19,Load!$B:$B,Load!D:D,0,)</f>
        <v>0</v>
      </c>
      <c r="D19">
        <f>_xlfn.XLOOKUP($A19,Load!$B:$B,Load!E:E,0,)</f>
        <v>0</v>
      </c>
      <c r="E19">
        <f>_xlfn.XLOOKUP($A19,Load!$B:$B,Load!F:F,0,)</f>
        <v>0</v>
      </c>
      <c r="F19">
        <f>_xlfn.XLOOKUP($A19,Load!$B:$B,Load!G:G,0,)</f>
        <v>0</v>
      </c>
      <c r="G19">
        <f>_xlfn.XLOOKUP($A19,Load!$B:$B,Load!H:H,0,)</f>
        <v>0</v>
      </c>
      <c r="H19">
        <f>_xlfn.XLOOKUP($A19,Load!$B:$B,Load!I:I,0,)</f>
        <v>0</v>
      </c>
      <c r="I19">
        <f>_xlfn.XLOOKUP($A19,Load!$B:$B,Load!J:J,0,)</f>
        <v>0</v>
      </c>
      <c r="J19">
        <f>_xlfn.XLOOKUP($A19,Load!$B:$B,Load!K:K,0,)</f>
        <v>0</v>
      </c>
      <c r="K19">
        <f>_xlfn.XLOOKUP($A19,Load!$B:$B,Load!L:L,0,)</f>
        <v>0</v>
      </c>
      <c r="L19">
        <f>_xlfn.XLOOKUP($A19,Load!$B:$B,Load!M:M,0,)</f>
        <v>0</v>
      </c>
    </row>
    <row r="20" spans="1:12" x14ac:dyDescent="0.25">
      <c r="A20" t="s">
        <v>185</v>
      </c>
      <c r="B20" t="str">
        <f>_xlfn.XLOOKUP($A20,Load!$B:$B,Load!C:C,0,)</f>
        <v>Mars Variety Pack</v>
      </c>
      <c r="C20" t="str">
        <f>_xlfn.XLOOKUP($A20,Load!$B:$B,Load!D:D,0,)</f>
        <v>Mix of Chocolate and Non-Chocolate Candy</v>
      </c>
      <c r="D20" t="str">
        <f>_xlfn.XLOOKUP($A20,Load!$B:$B,Load!E:E,0,)</f>
        <v>Variety / Mixed Flavors (Fruity, Sour, Seasonal Flavors)</v>
      </c>
      <c r="E20" t="str">
        <f>_xlfn.XLOOKUP($A20,Load!$B:$B,Load!F:F,0,)</f>
        <v>Mixed / Combo Packs (Gummy, Chewy, Taffy, etc.)</v>
      </c>
      <c r="F20" t="str">
        <f>_xlfn.XLOOKUP($A20,Load!$B:$B,Load!G:G,0,)</f>
        <v>Large Multipack (More than 80 ct)</v>
      </c>
      <c r="G20" t="str">
        <f>_xlfn.XLOOKUP($A20,Load!$B:$B,Load!H:H,0,)</f>
        <v>Stand-Up Bag</v>
      </c>
      <c r="H20" t="str">
        <f>_xlfn.XLOOKUP($A20,Load!$B:$B,Load!I:I,0,)</f>
        <v>Everyday Candy Shapes (like Original, Gummy bear, Fruit, Jewels, etc.)</v>
      </c>
      <c r="I20" t="str">
        <f>_xlfn.XLOOKUP($A20,Load!$B:$B,Load!J:J,0,)</f>
        <v>Seasonal Graphics (Like Bat, Ghost, Pumpkin, Fall Leaves, Eyeballs, etc.)</v>
      </c>
      <c r="J20" t="str">
        <f>_xlfn.XLOOKUP($A20,Load!$B:$B,Load!K:K,0,)</f>
        <v>Fun Size / Treat Size</v>
      </c>
      <c r="K20" t="str">
        <f>_xlfn.XLOOKUP($A20,Load!$B:$B,Load!L:L,0,)</f>
        <v>Regular/Original Wrapping</v>
      </c>
      <c r="L20" t="str">
        <f>_xlfn.XLOOKUP($A20,Load!$B:$B,Load!M:M,0,)</f>
        <v>Multiple Brands / Variety Flavors or Form</v>
      </c>
    </row>
    <row r="21" spans="1:12" x14ac:dyDescent="0.25">
      <c r="B21">
        <f>_xlfn.XLOOKUP($A21,Load!$B:$B,Load!C:C,0,)</f>
        <v>0</v>
      </c>
      <c r="C21">
        <f>_xlfn.XLOOKUP($A21,Load!$B:$B,Load!D:D,0,)</f>
        <v>0</v>
      </c>
      <c r="D21">
        <f>_xlfn.XLOOKUP($A21,Load!$B:$B,Load!E:E,0,)</f>
        <v>0</v>
      </c>
      <c r="E21">
        <f>_xlfn.XLOOKUP($A21,Load!$B:$B,Load!F:F,0,)</f>
        <v>0</v>
      </c>
      <c r="F21">
        <f>_xlfn.XLOOKUP($A21,Load!$B:$B,Load!G:G,0,)</f>
        <v>0</v>
      </c>
      <c r="G21">
        <f>_xlfn.XLOOKUP($A21,Load!$B:$B,Load!H:H,0,)</f>
        <v>0</v>
      </c>
      <c r="H21">
        <f>_xlfn.XLOOKUP($A21,Load!$B:$B,Load!I:I,0,)</f>
        <v>0</v>
      </c>
      <c r="I21">
        <f>_xlfn.XLOOKUP($A21,Load!$B:$B,Load!J:J,0,)</f>
        <v>0</v>
      </c>
      <c r="J21">
        <f>_xlfn.XLOOKUP($A21,Load!$B:$B,Load!K:K,0,)</f>
        <v>0</v>
      </c>
      <c r="K21">
        <f>_xlfn.XLOOKUP($A21,Load!$B:$B,Load!L:L,0,)</f>
        <v>0</v>
      </c>
      <c r="L21">
        <f>_xlfn.XLOOKUP($A21,Load!$B:$B,Load!M:M,0,)</f>
        <v>0</v>
      </c>
    </row>
    <row r="22" spans="1:12" x14ac:dyDescent="0.25">
      <c r="A22" t="s">
        <v>182</v>
      </c>
      <c r="B22" t="str">
        <f>_xlfn.XLOOKUP($A22,Load!$B:$B,Load!C:C,0,)</f>
        <v>Mars Variety Pack</v>
      </c>
      <c r="C22" t="str">
        <f>_xlfn.XLOOKUP($A22,Load!$B:$B,Load!D:D,0,)</f>
        <v>Non-Chocolate Candy Only</v>
      </c>
      <c r="D22" t="str">
        <f>_xlfn.XLOOKUP($A22,Load!$B:$B,Load!E:E,0,)</f>
        <v>Variety / Mixed Flavors (Fruity, Sour, Seasonal Flavors)</v>
      </c>
      <c r="E22" t="str">
        <f>_xlfn.XLOOKUP($A22,Load!$B:$B,Load!F:F,0,)</f>
        <v>Mixed / Combo Packs (Gummy, Chewy, Taffy, etc.)</v>
      </c>
      <c r="F22" t="str">
        <f>_xlfn.XLOOKUP($A22,Load!$B:$B,Load!G:G,0,)</f>
        <v>Large Multipack (More than 80 ct)</v>
      </c>
      <c r="G22" t="str">
        <f>_xlfn.XLOOKUP($A22,Load!$B:$B,Load!H:H,0,)</f>
        <v>Stand-Up Bag</v>
      </c>
      <c r="H22" t="str">
        <f>_xlfn.XLOOKUP($A22,Load!$B:$B,Load!I:I,0,)</f>
        <v>Everyday Candy Shapes (like Original, Gummy bear, Fruit, Jewels, etc.)</v>
      </c>
      <c r="I22" t="str">
        <f>_xlfn.XLOOKUP($A22,Load!$B:$B,Load!J:J,0,)</f>
        <v>Seasonal Graphics (Like Bat, Ghost, Pumpkin, Fall Leaves, Eyeballs, etc.)</v>
      </c>
      <c r="J22" t="str">
        <f>_xlfn.XLOOKUP($A22,Load!$B:$B,Load!K:K,0,)</f>
        <v xml:space="preserve">Variety Candy Sizes </v>
      </c>
      <c r="K22" t="str">
        <f>_xlfn.XLOOKUP($A22,Load!$B:$B,Load!L:L,0,)</f>
        <v>Regular/Original Wrapping</v>
      </c>
      <c r="L22" t="str">
        <f>_xlfn.XLOOKUP($A22,Load!$B:$B,Load!M:M,0,)</f>
        <v>Multiple Brands / Variety Flavors or Form</v>
      </c>
    </row>
    <row r="23" spans="1:12" x14ac:dyDescent="0.25">
      <c r="A23" t="s">
        <v>198</v>
      </c>
      <c r="B23" t="str">
        <f>_xlfn.XLOOKUP($A23,Load!$B:$B,Load!C:C,0,)</f>
        <v>Mars Variety Pack</v>
      </c>
      <c r="C23" t="str">
        <f>_xlfn.XLOOKUP($A23,Load!$B:$B,Load!D:D,0,)</f>
        <v>Non-Chocolate Candy Only</v>
      </c>
      <c r="D23" t="str">
        <f>_xlfn.XLOOKUP($A23,Load!$B:$B,Load!E:E,0,)</f>
        <v>Variety / Mixed Flavors (Fruity, Sour, Seasonal Flavors)</v>
      </c>
      <c r="E23" t="str">
        <f>_xlfn.XLOOKUP($A23,Load!$B:$B,Load!F:F,0,)</f>
        <v>Mixed / Combo Packs (Gummy, Chewy, Taffy, etc.)</v>
      </c>
      <c r="F23" t="str">
        <f>_xlfn.XLOOKUP($A23,Load!$B:$B,Load!G:G,0,)</f>
        <v>Large Multipack (More than 80 ct)</v>
      </c>
      <c r="G23" t="str">
        <f>_xlfn.XLOOKUP($A23,Load!$B:$B,Load!H:H,0,)</f>
        <v>Stand-Up Bag</v>
      </c>
      <c r="H23" t="str">
        <f>_xlfn.XLOOKUP($A23,Load!$B:$B,Load!I:I,0,)</f>
        <v>Everyday Candy Shapes (like Original, Gummy bear, Fruit, Jewels, etc.)</v>
      </c>
      <c r="I23" t="str">
        <f>_xlfn.XLOOKUP($A23,Load!$B:$B,Load!J:J,0,)</f>
        <v>Seasonal Graphics (Like Bat, Ghost, Pumpkin, Fall Leaves, Eyeballs, etc.)</v>
      </c>
      <c r="J23" t="str">
        <f>_xlfn.XLOOKUP($A23,Load!$B:$B,Load!K:K,0,)</f>
        <v>Fun Size / Treat Size</v>
      </c>
      <c r="K23" t="str">
        <f>_xlfn.XLOOKUP($A23,Load!$B:$B,Load!L:L,0,)</f>
        <v>Regular/Original Wrapping</v>
      </c>
      <c r="L23" t="str">
        <f>_xlfn.XLOOKUP($A23,Load!$B:$B,Load!M:M,0,)</f>
        <v>Multiple Brands / Variety Flavors or Form</v>
      </c>
    </row>
    <row r="24" spans="1:12" x14ac:dyDescent="0.25">
      <c r="A24" t="s">
        <v>224</v>
      </c>
      <c r="B24" t="str">
        <f>_xlfn.XLOOKUP($A24,Load!$B:$B,Load!C:C,0,)</f>
        <v>Nerds</v>
      </c>
      <c r="C24" t="str">
        <f>_xlfn.XLOOKUP($A24,Load!$B:$B,Load!D:D,0,)</f>
        <v>Non-Chocolate Candy Only</v>
      </c>
      <c r="D24" t="str">
        <f>_xlfn.XLOOKUP($A24,Load!$B:$B,Load!E:E,0,)</f>
        <v>Sweet</v>
      </c>
      <c r="E24" t="str">
        <f>_xlfn.XLOOKUP($A24,Load!$B:$B,Load!F:F,0,)</f>
        <v>Mixed / Combo Packs (Gummy, Chewy, Taffy, etc.)</v>
      </c>
      <c r="F24" t="str">
        <f>_xlfn.XLOOKUP($A24,Load!$B:$B,Load!G:G,0,)</f>
        <v>Medium Multipack (40–80 ct)</v>
      </c>
      <c r="G24" t="str">
        <f>_xlfn.XLOOKUP($A24,Load!$B:$B,Load!H:H,0,)</f>
        <v>Stand-Up Bag</v>
      </c>
      <c r="H24" t="str">
        <f>_xlfn.XLOOKUP($A24,Load!$B:$B,Load!I:I,0,)</f>
        <v>Everyday Candy Shapes (like Original, Gummy bear, Fruit, Jewels, etc.)</v>
      </c>
      <c r="I24" t="str">
        <f>_xlfn.XLOOKUP($A24,Load!$B:$B,Load!J:J,0,)</f>
        <v>Seasonal Graphics (Like Bat, Ghost, Pumpkin, Fall Leaves, Eyeballs, etc.)</v>
      </c>
      <c r="J24" t="str">
        <f>_xlfn.XLOOKUP($A24,Load!$B:$B,Load!K:K,0,)</f>
        <v xml:space="preserve">Variety Candy Sizes </v>
      </c>
      <c r="K24" t="str">
        <f>_xlfn.XLOOKUP($A24,Load!$B:$B,Load!L:L,0,)</f>
        <v>Regular/Original Wrapping</v>
      </c>
      <c r="L24" t="str">
        <f>_xlfn.XLOOKUP($A24,Load!$B:$B,Load!M:M,0,)</f>
        <v>Single Brand / Variety Flavors or Form</v>
      </c>
    </row>
    <row r="25" spans="1:12" x14ac:dyDescent="0.25">
      <c r="A25" t="s">
        <v>292</v>
      </c>
      <c r="B25" t="str">
        <f>_xlfn.XLOOKUP($A25,Load!$B:$B,Load!C:C,0,)</f>
        <v>Tootsie</v>
      </c>
      <c r="C25" t="str">
        <f>_xlfn.XLOOKUP($A25,Load!$B:$B,Load!D:D,0,)</f>
        <v>Non-Chocolate Candy Only</v>
      </c>
      <c r="D25" t="str">
        <f>_xlfn.XLOOKUP($A25,Load!$B:$B,Load!E:E,0,)</f>
        <v>Fall / Seasonal Flavors (pumpkin spice, caramel apple, candy corn)</v>
      </c>
      <c r="E25" t="str">
        <f>_xlfn.XLOOKUP($A25,Load!$B:$B,Load!F:F,0,)</f>
        <v>Lollipop (regular or lollipop rings)</v>
      </c>
      <c r="F25" t="str">
        <f>_xlfn.XLOOKUP($A25,Load!$B:$B,Load!G:G,0,)</f>
        <v>Single Pack</v>
      </c>
      <c r="G25" t="str">
        <f>_xlfn.XLOOKUP($A25,Load!$B:$B,Load!H:H,0,)</f>
        <v>Laydown Bag</v>
      </c>
      <c r="H25" t="str">
        <f>_xlfn.XLOOKUP($A25,Load!$B:$B,Load!I:I,0,)</f>
        <v>Everyday Candy Shapes (like Original, Gummy bear, Fruit, Jewels, etc.)</v>
      </c>
      <c r="I25" t="str">
        <f>_xlfn.XLOOKUP($A25,Load!$B:$B,Load!J:J,0,)</f>
        <v>Seasonal Graphics (Like Bat, Ghost, Pumpkin, Fall Leaves, Eyeballs, etc.)</v>
      </c>
      <c r="J25" t="str">
        <f>_xlfn.XLOOKUP($A25,Load!$B:$B,Load!K:K,0,)</f>
        <v>Regular Lollipop size (on sticks or rings)</v>
      </c>
      <c r="K25" t="str">
        <f>_xlfn.XLOOKUP($A25,Load!$B:$B,Load!L:L,0,)</f>
        <v>Regular/Original Wrapping</v>
      </c>
      <c r="L25" t="str">
        <f>_xlfn.XLOOKUP($A25,Load!$B:$B,Load!M:M,0,)</f>
        <v>Single Brand / Single Flavor or Form</v>
      </c>
    </row>
    <row r="26" spans="1:12" x14ac:dyDescent="0.25">
      <c r="A26" t="s">
        <v>187</v>
      </c>
      <c r="B26" t="str">
        <f>_xlfn.XLOOKUP($A26,Load!$B:$B,Load!C:C,0,)</f>
        <v>Mars Variety Pack</v>
      </c>
      <c r="C26" t="str">
        <f>_xlfn.XLOOKUP($A26,Load!$B:$B,Load!D:D,0,)</f>
        <v>Mix of Chocolate and Non-Chocolate Candy</v>
      </c>
      <c r="D26" t="str">
        <f>_xlfn.XLOOKUP($A26,Load!$B:$B,Load!E:E,0,)</f>
        <v>Variety / Mixed Flavors (Fruity, Sour, Seasonal Flavors)</v>
      </c>
      <c r="E26" t="str">
        <f>_xlfn.XLOOKUP($A26,Load!$B:$B,Load!F:F,0,)</f>
        <v>Mixed / Combo Packs (Gummy, Chewy, Taffy, etc.)</v>
      </c>
      <c r="F26" t="str">
        <f>_xlfn.XLOOKUP($A26,Load!$B:$B,Load!G:G,0,)</f>
        <v>Medium Multipack (40–80 ct)</v>
      </c>
      <c r="G26" t="str">
        <f>_xlfn.XLOOKUP($A26,Load!$B:$B,Load!H:H,0,)</f>
        <v>Stand-Up Bag</v>
      </c>
      <c r="H26" t="str">
        <f>_xlfn.XLOOKUP($A26,Load!$B:$B,Load!I:I,0,)</f>
        <v>Everyday Candy Shapes (like Original, Gummy bear, Fruit, Jewels, etc.)</v>
      </c>
      <c r="I26" t="str">
        <f>_xlfn.XLOOKUP($A26,Load!$B:$B,Load!J:J,0,)</f>
        <v>Seasonal Graphics (Like Bat, Ghost, Pumpkin, Fall Leaves, Eyeballs, etc.)</v>
      </c>
      <c r="J26" t="str">
        <f>_xlfn.XLOOKUP($A26,Load!$B:$B,Load!K:K,0,)</f>
        <v>Fun Size / Treat Size</v>
      </c>
      <c r="K26" t="str">
        <f>_xlfn.XLOOKUP($A26,Load!$B:$B,Load!L:L,0,)</f>
        <v>Regular/Original Wrapping</v>
      </c>
      <c r="L26" t="str">
        <f>_xlfn.XLOOKUP($A26,Load!$B:$B,Load!M:M,0,)</f>
        <v>Multiple Brands / Variety Flavors or Form</v>
      </c>
    </row>
    <row r="27" spans="1:12" x14ac:dyDescent="0.25">
      <c r="B27">
        <f>_xlfn.XLOOKUP($A27,Load!$B:$B,Load!C:C,0,)</f>
        <v>0</v>
      </c>
      <c r="C27">
        <f>_xlfn.XLOOKUP($A27,Load!$B:$B,Load!D:D,0,)</f>
        <v>0</v>
      </c>
      <c r="D27">
        <f>_xlfn.XLOOKUP($A27,Load!$B:$B,Load!E:E,0,)</f>
        <v>0</v>
      </c>
      <c r="E27">
        <f>_xlfn.XLOOKUP($A27,Load!$B:$B,Load!F:F,0,)</f>
        <v>0</v>
      </c>
      <c r="F27">
        <f>_xlfn.XLOOKUP($A27,Load!$B:$B,Load!G:G,0,)</f>
        <v>0</v>
      </c>
      <c r="G27">
        <f>_xlfn.XLOOKUP($A27,Load!$B:$B,Load!H:H,0,)</f>
        <v>0</v>
      </c>
      <c r="H27">
        <f>_xlfn.XLOOKUP($A27,Load!$B:$B,Load!I:I,0,)</f>
        <v>0</v>
      </c>
      <c r="I27">
        <f>_xlfn.XLOOKUP($A27,Load!$B:$B,Load!J:J,0,)</f>
        <v>0</v>
      </c>
      <c r="J27">
        <f>_xlfn.XLOOKUP($A27,Load!$B:$B,Load!K:K,0,)</f>
        <v>0</v>
      </c>
      <c r="K27">
        <f>_xlfn.XLOOKUP($A27,Load!$B:$B,Load!L:L,0,)</f>
        <v>0</v>
      </c>
      <c r="L27">
        <f>_xlfn.XLOOKUP($A27,Load!$B:$B,Load!M:M,0,)</f>
        <v>0</v>
      </c>
    </row>
    <row r="28" spans="1:12" x14ac:dyDescent="0.25">
      <c r="B28">
        <f>_xlfn.XLOOKUP($A28,Load!$B:$B,Load!C:C,0,)</f>
        <v>0</v>
      </c>
      <c r="C28">
        <f>_xlfn.XLOOKUP($A28,Load!$B:$B,Load!D:D,0,)</f>
        <v>0</v>
      </c>
      <c r="D28">
        <f>_xlfn.XLOOKUP($A28,Load!$B:$B,Load!E:E,0,)</f>
        <v>0</v>
      </c>
      <c r="E28">
        <f>_xlfn.XLOOKUP($A28,Load!$B:$B,Load!F:F,0,)</f>
        <v>0</v>
      </c>
      <c r="F28">
        <f>_xlfn.XLOOKUP($A28,Load!$B:$B,Load!G:G,0,)</f>
        <v>0</v>
      </c>
      <c r="G28">
        <f>_xlfn.XLOOKUP($A28,Load!$B:$B,Load!H:H,0,)</f>
        <v>0</v>
      </c>
      <c r="H28">
        <f>_xlfn.XLOOKUP($A28,Load!$B:$B,Load!I:I,0,)</f>
        <v>0</v>
      </c>
      <c r="I28">
        <f>_xlfn.XLOOKUP($A28,Load!$B:$B,Load!J:J,0,)</f>
        <v>0</v>
      </c>
      <c r="J28">
        <f>_xlfn.XLOOKUP($A28,Load!$B:$B,Load!K:K,0,)</f>
        <v>0</v>
      </c>
      <c r="K28">
        <f>_xlfn.XLOOKUP($A28,Load!$B:$B,Load!L:L,0,)</f>
        <v>0</v>
      </c>
      <c r="L28">
        <f>_xlfn.XLOOKUP($A28,Load!$B:$B,Load!M:M,0,)</f>
        <v>0</v>
      </c>
    </row>
    <row r="29" spans="1:12" x14ac:dyDescent="0.25">
      <c r="B29">
        <f>_xlfn.XLOOKUP($A29,Load!$B:$B,Load!C:C,0,)</f>
        <v>0</v>
      </c>
      <c r="C29">
        <f>_xlfn.XLOOKUP($A29,Load!$B:$B,Load!D:D,0,)</f>
        <v>0</v>
      </c>
      <c r="D29">
        <f>_xlfn.XLOOKUP($A29,Load!$B:$B,Load!E:E,0,)</f>
        <v>0</v>
      </c>
      <c r="E29">
        <f>_xlfn.XLOOKUP($A29,Load!$B:$B,Load!F:F,0,)</f>
        <v>0</v>
      </c>
      <c r="F29">
        <f>_xlfn.XLOOKUP($A29,Load!$B:$B,Load!G:G,0,)</f>
        <v>0</v>
      </c>
      <c r="G29">
        <f>_xlfn.XLOOKUP($A29,Load!$B:$B,Load!H:H,0,)</f>
        <v>0</v>
      </c>
      <c r="H29">
        <f>_xlfn.XLOOKUP($A29,Load!$B:$B,Load!I:I,0,)</f>
        <v>0</v>
      </c>
      <c r="I29">
        <f>_xlfn.XLOOKUP($A29,Load!$B:$B,Load!J:J,0,)</f>
        <v>0</v>
      </c>
      <c r="J29">
        <f>_xlfn.XLOOKUP($A29,Load!$B:$B,Load!K:K,0,)</f>
        <v>0</v>
      </c>
      <c r="K29">
        <f>_xlfn.XLOOKUP($A29,Load!$B:$B,Load!L:L,0,)</f>
        <v>0</v>
      </c>
      <c r="L29">
        <f>_xlfn.XLOOKUP($A29,Load!$B:$B,Load!M:M,0,)</f>
        <v>0</v>
      </c>
    </row>
    <row r="30" spans="1:12" x14ac:dyDescent="0.25">
      <c r="A30" t="s">
        <v>270</v>
      </c>
      <c r="B30" t="str">
        <f>_xlfn.XLOOKUP($A30,Load!$B:$B,Load!C:C,0,)</f>
        <v>Sour Patch Kids</v>
      </c>
      <c r="C30" t="str">
        <f>_xlfn.XLOOKUP($A30,Load!$B:$B,Load!D:D,0,)</f>
        <v>Non-Chocolate Candy Only</v>
      </c>
      <c r="D30" t="str">
        <f>_xlfn.XLOOKUP($A30,Load!$B:$B,Load!E:E,0,)</f>
        <v>Fruit Flavor (Cherry, Grape, Apple, Citrus, Tropical Fruit)</v>
      </c>
      <c r="E30" t="str">
        <f>_xlfn.XLOOKUP($A30,Load!$B:$B,Load!F:F,0,)</f>
        <v>Chewy</v>
      </c>
      <c r="F30" t="str">
        <f>_xlfn.XLOOKUP($A30,Load!$B:$B,Load!G:G,0,)</f>
        <v>Small Multipack (Less than 40 ct)</v>
      </c>
      <c r="G30" t="str">
        <f>_xlfn.XLOOKUP($A30,Load!$B:$B,Load!H:H,0,)</f>
        <v>Box (theatre box, gift box, carton)</v>
      </c>
      <c r="H30" t="str">
        <f>_xlfn.XLOOKUP($A30,Load!$B:$B,Load!I:I,0,)</f>
        <v>Everyday Candy Shapes (like Original, Gummy bear, Fruit, Jewels, etc.)</v>
      </c>
      <c r="I30" t="str">
        <f>_xlfn.XLOOKUP($A30,Load!$B:$B,Load!J:J,0,)</f>
        <v>Seasonal Graphics (Like Bat, Ghost, Pumpkin, Fall Leaves, Eyeballs, etc.)</v>
      </c>
      <c r="J30" t="str">
        <f>_xlfn.XLOOKUP($A30,Load!$B:$B,Load!K:K,0,)</f>
        <v>Small Pieces (Tiny bite size candies)</v>
      </c>
      <c r="K30" t="str">
        <f>_xlfn.XLOOKUP($A30,Load!$B:$B,Load!L:L,0,)</f>
        <v>Unwrapped</v>
      </c>
      <c r="L30" t="str">
        <f>_xlfn.XLOOKUP($A30,Load!$B:$B,Load!M:M,0,)</f>
        <v>Single Brand / Variety Flavors or Form</v>
      </c>
    </row>
    <row r="31" spans="1:12" x14ac:dyDescent="0.25">
      <c r="A31" t="s">
        <v>45</v>
      </c>
      <c r="B31" t="str">
        <f>_xlfn.XLOOKUP($A31,Load!$B:$B,Load!C:C,0,)</f>
        <v>Brach's</v>
      </c>
      <c r="C31" t="str">
        <f>_xlfn.XLOOKUP($A31,Load!$B:$B,Load!D:D,0,)</f>
        <v>Non-Chocolate Candy Only</v>
      </c>
      <c r="D31" t="str">
        <f>_xlfn.XLOOKUP($A31,Load!$B:$B,Load!E:E,0,)</f>
        <v>Fall / Seasonal Flavors (pumpkin spice, caramel apple, candy corn)</v>
      </c>
      <c r="E31" t="str">
        <f>_xlfn.XLOOKUP($A31,Load!$B:$B,Load!F:F,0,)</f>
        <v>Candy Pieces / Bites</v>
      </c>
      <c r="F31" t="str">
        <f>_xlfn.XLOOKUP($A31,Load!$B:$B,Load!G:G,0,)</f>
        <v>Single Pack</v>
      </c>
      <c r="G31" t="str">
        <f>_xlfn.XLOOKUP($A31,Load!$B:$B,Load!H:H,0,)</f>
        <v>Laydown Bag</v>
      </c>
      <c r="H31" t="str">
        <f>_xlfn.XLOOKUP($A31,Load!$B:$B,Load!I:I,0,)</f>
        <v>Seasonal Shapes (like pumpkins, candy corn, ghost, bats, etc.)</v>
      </c>
      <c r="I31" t="str">
        <f>_xlfn.XLOOKUP($A31,Load!$B:$B,Load!J:J,0,)</f>
        <v>Seasonal Graphics (Like Bat, Ghost, Pumpkin, Fall Leaves, Eyeballs, etc.)</v>
      </c>
      <c r="J31" t="str">
        <f>_xlfn.XLOOKUP($A31,Load!$B:$B,Load!K:K,0,)</f>
        <v>Small Pieces (Tiny bite size candies)</v>
      </c>
      <c r="K31" t="str">
        <f>_xlfn.XLOOKUP($A31,Load!$B:$B,Load!L:L,0,)</f>
        <v>Unwrapped</v>
      </c>
      <c r="L31" t="str">
        <f>_xlfn.XLOOKUP($A31,Load!$B:$B,Load!M:M,0,)</f>
        <v>Single Brand / Single Flavor or Form</v>
      </c>
    </row>
    <row r="32" spans="1:12" x14ac:dyDescent="0.25">
      <c r="A32" t="s">
        <v>298</v>
      </c>
      <c r="B32" t="str">
        <f>_xlfn.XLOOKUP($A32,Load!$B:$B,Load!C:C,0,)</f>
        <v>Trolli</v>
      </c>
      <c r="C32" t="str">
        <f>_xlfn.XLOOKUP($A32,Load!$B:$B,Load!D:D,0,)</f>
        <v>Non-Chocolate Candy Only</v>
      </c>
      <c r="D32" t="str">
        <f>_xlfn.XLOOKUP($A32,Load!$B:$B,Load!E:E,0,)</f>
        <v>Variety / Mixed Flavors (Fruity, Sour, Seasonal Flavors)</v>
      </c>
      <c r="E32" t="str">
        <f>_xlfn.XLOOKUP($A32,Load!$B:$B,Load!F:F,0,)</f>
        <v>Gummy</v>
      </c>
      <c r="F32" t="str">
        <f>_xlfn.XLOOKUP($A32,Load!$B:$B,Load!G:G,0,)</f>
        <v>Small Multipack (Less than 40 ct)</v>
      </c>
      <c r="G32" t="str">
        <f>_xlfn.XLOOKUP($A32,Load!$B:$B,Load!H:H,0,)</f>
        <v>Laydown Bag</v>
      </c>
      <c r="H32" t="str">
        <f>_xlfn.XLOOKUP($A32,Load!$B:$B,Load!I:I,0,)</f>
        <v>Everyday Candy Shapes (like Original, Gummy bear, Fruit, Jewels, etc.)</v>
      </c>
      <c r="I32" t="str">
        <f>_xlfn.XLOOKUP($A32,Load!$B:$B,Load!J:J,0,)</f>
        <v>Seasonal Graphics (Like Bat, Ghost, Pumpkin, Fall Leaves, Eyeballs, etc.)</v>
      </c>
      <c r="J32" t="str">
        <f>_xlfn.XLOOKUP($A32,Load!$B:$B,Load!K:K,0,)</f>
        <v>Small Pieces (Tiny bite size candies)</v>
      </c>
      <c r="K32" t="str">
        <f>_xlfn.XLOOKUP($A32,Load!$B:$B,Load!L:L,0,)</f>
        <v>Unwrapped</v>
      </c>
      <c r="L32" t="str">
        <f>_xlfn.XLOOKUP($A32,Load!$B:$B,Load!M:M,0,)</f>
        <v>Single Brand / Variety Flavors or Form</v>
      </c>
    </row>
    <row r="33" spans="1:12" x14ac:dyDescent="0.25">
      <c r="B33">
        <f>_xlfn.XLOOKUP($A33,Load!$B:$B,Load!C:C,0,)</f>
        <v>0</v>
      </c>
      <c r="C33">
        <f>_xlfn.XLOOKUP($A33,Load!$B:$B,Load!D:D,0,)</f>
        <v>0</v>
      </c>
      <c r="D33">
        <f>_xlfn.XLOOKUP($A33,Load!$B:$B,Load!E:E,0,)</f>
        <v>0</v>
      </c>
      <c r="E33">
        <f>_xlfn.XLOOKUP($A33,Load!$B:$B,Load!F:F,0,)</f>
        <v>0</v>
      </c>
      <c r="F33">
        <f>_xlfn.XLOOKUP($A33,Load!$B:$B,Load!G:G,0,)</f>
        <v>0</v>
      </c>
      <c r="G33">
        <f>_xlfn.XLOOKUP($A33,Load!$B:$B,Load!H:H,0,)</f>
        <v>0</v>
      </c>
      <c r="H33">
        <f>_xlfn.XLOOKUP($A33,Load!$B:$B,Load!I:I,0,)</f>
        <v>0</v>
      </c>
      <c r="I33">
        <f>_xlfn.XLOOKUP($A33,Load!$B:$B,Load!J:J,0,)</f>
        <v>0</v>
      </c>
      <c r="J33">
        <f>_xlfn.XLOOKUP($A33,Load!$B:$B,Load!K:K,0,)</f>
        <v>0</v>
      </c>
      <c r="K33">
        <f>_xlfn.XLOOKUP($A33,Load!$B:$B,Load!L:L,0,)</f>
        <v>0</v>
      </c>
      <c r="L33">
        <f>_xlfn.XLOOKUP($A33,Load!$B:$B,Load!M:M,0,)</f>
        <v>0</v>
      </c>
    </row>
    <row r="34" spans="1:12" x14ac:dyDescent="0.25">
      <c r="B34">
        <f>_xlfn.XLOOKUP($A34,Load!$B:$B,Load!C:C,0,)</f>
        <v>0</v>
      </c>
      <c r="C34">
        <f>_xlfn.XLOOKUP($A34,Load!$B:$B,Load!D:D,0,)</f>
        <v>0</v>
      </c>
      <c r="D34">
        <f>_xlfn.XLOOKUP($A34,Load!$B:$B,Load!E:E,0,)</f>
        <v>0</v>
      </c>
      <c r="E34">
        <f>_xlfn.XLOOKUP($A34,Load!$B:$B,Load!F:F,0,)</f>
        <v>0</v>
      </c>
      <c r="F34">
        <f>_xlfn.XLOOKUP($A34,Load!$B:$B,Load!G:G,0,)</f>
        <v>0</v>
      </c>
      <c r="G34">
        <f>_xlfn.XLOOKUP($A34,Load!$B:$B,Load!H:H,0,)</f>
        <v>0</v>
      </c>
      <c r="H34">
        <f>_xlfn.XLOOKUP($A34,Load!$B:$B,Load!I:I,0,)</f>
        <v>0</v>
      </c>
      <c r="I34">
        <f>_xlfn.XLOOKUP($A34,Load!$B:$B,Load!J:J,0,)</f>
        <v>0</v>
      </c>
      <c r="J34">
        <f>_xlfn.XLOOKUP($A34,Load!$B:$B,Load!K:K,0,)</f>
        <v>0</v>
      </c>
      <c r="K34">
        <f>_xlfn.XLOOKUP($A34,Load!$B:$B,Load!L:L,0,)</f>
        <v>0</v>
      </c>
      <c r="L34">
        <f>_xlfn.XLOOKUP($A34,Load!$B:$B,Load!M:M,0,)</f>
        <v>0</v>
      </c>
    </row>
    <row r="35" spans="1:12" x14ac:dyDescent="0.25">
      <c r="B35">
        <f>_xlfn.XLOOKUP($A35,Load!$B:$B,Load!C:C,0,)</f>
        <v>0</v>
      </c>
      <c r="C35">
        <f>_xlfn.XLOOKUP($A35,Load!$B:$B,Load!D:D,0,)</f>
        <v>0</v>
      </c>
      <c r="D35">
        <f>_xlfn.XLOOKUP($A35,Load!$B:$B,Load!E:E,0,)</f>
        <v>0</v>
      </c>
      <c r="E35">
        <f>_xlfn.XLOOKUP($A35,Load!$B:$B,Load!F:F,0,)</f>
        <v>0</v>
      </c>
      <c r="F35">
        <f>_xlfn.XLOOKUP($A35,Load!$B:$B,Load!G:G,0,)</f>
        <v>0</v>
      </c>
      <c r="G35">
        <f>_xlfn.XLOOKUP($A35,Load!$B:$B,Load!H:H,0,)</f>
        <v>0</v>
      </c>
      <c r="H35">
        <f>_xlfn.XLOOKUP($A35,Load!$B:$B,Load!I:I,0,)</f>
        <v>0</v>
      </c>
      <c r="I35">
        <f>_xlfn.XLOOKUP($A35,Load!$B:$B,Load!J:J,0,)</f>
        <v>0</v>
      </c>
      <c r="J35">
        <f>_xlfn.XLOOKUP($A35,Load!$B:$B,Load!K:K,0,)</f>
        <v>0</v>
      </c>
      <c r="K35">
        <f>_xlfn.XLOOKUP($A35,Load!$B:$B,Load!L:L,0,)</f>
        <v>0</v>
      </c>
      <c r="L35">
        <f>_xlfn.XLOOKUP($A35,Load!$B:$B,Load!M:M,0,)</f>
        <v>0</v>
      </c>
    </row>
    <row r="36" spans="1:12" x14ac:dyDescent="0.25">
      <c r="B36">
        <f>_xlfn.XLOOKUP($A36,Load!$B:$B,Load!C:C,0,)</f>
        <v>0</v>
      </c>
      <c r="C36">
        <f>_xlfn.XLOOKUP($A36,Load!$B:$B,Load!D:D,0,)</f>
        <v>0</v>
      </c>
      <c r="D36">
        <f>_xlfn.XLOOKUP($A36,Load!$B:$B,Load!E:E,0,)</f>
        <v>0</v>
      </c>
      <c r="E36">
        <f>_xlfn.XLOOKUP($A36,Load!$B:$B,Load!F:F,0,)</f>
        <v>0</v>
      </c>
      <c r="F36">
        <f>_xlfn.XLOOKUP($A36,Load!$B:$B,Load!G:G,0,)</f>
        <v>0</v>
      </c>
      <c r="G36">
        <f>_xlfn.XLOOKUP($A36,Load!$B:$B,Load!H:H,0,)</f>
        <v>0</v>
      </c>
      <c r="H36">
        <f>_xlfn.XLOOKUP($A36,Load!$B:$B,Load!I:I,0,)</f>
        <v>0</v>
      </c>
      <c r="I36">
        <f>_xlfn.XLOOKUP($A36,Load!$B:$B,Load!J:J,0,)</f>
        <v>0</v>
      </c>
      <c r="J36">
        <f>_xlfn.XLOOKUP($A36,Load!$B:$B,Load!K:K,0,)</f>
        <v>0</v>
      </c>
      <c r="K36">
        <f>_xlfn.XLOOKUP($A36,Load!$B:$B,Load!L:L,0,)</f>
        <v>0</v>
      </c>
      <c r="L36">
        <f>_xlfn.XLOOKUP($A36,Load!$B:$B,Load!M:M,0,)</f>
        <v>0</v>
      </c>
    </row>
    <row r="37" spans="1:12" x14ac:dyDescent="0.25">
      <c r="B37">
        <f>_xlfn.XLOOKUP($A37,Load!$B:$B,Load!C:C,0,)</f>
        <v>0</v>
      </c>
      <c r="C37">
        <f>_xlfn.XLOOKUP($A37,Load!$B:$B,Load!D:D,0,)</f>
        <v>0</v>
      </c>
      <c r="D37">
        <f>_xlfn.XLOOKUP($A37,Load!$B:$B,Load!E:E,0,)</f>
        <v>0</v>
      </c>
      <c r="E37">
        <f>_xlfn.XLOOKUP($A37,Load!$B:$B,Load!F:F,0,)</f>
        <v>0</v>
      </c>
      <c r="F37">
        <f>_xlfn.XLOOKUP($A37,Load!$B:$B,Load!G:G,0,)</f>
        <v>0</v>
      </c>
      <c r="G37">
        <f>_xlfn.XLOOKUP($A37,Load!$B:$B,Load!H:H,0,)</f>
        <v>0</v>
      </c>
      <c r="H37">
        <f>_xlfn.XLOOKUP($A37,Load!$B:$B,Load!I:I,0,)</f>
        <v>0</v>
      </c>
      <c r="I37">
        <f>_xlfn.XLOOKUP($A37,Load!$B:$B,Load!J:J,0,)</f>
        <v>0</v>
      </c>
      <c r="J37">
        <f>_xlfn.XLOOKUP($A37,Load!$B:$B,Load!K:K,0,)</f>
        <v>0</v>
      </c>
      <c r="K37">
        <f>_xlfn.XLOOKUP($A37,Load!$B:$B,Load!L:L,0,)</f>
        <v>0</v>
      </c>
      <c r="L37">
        <f>_xlfn.XLOOKUP($A37,Load!$B:$B,Load!M:M,0,)</f>
        <v>0</v>
      </c>
    </row>
    <row r="38" spans="1:12" x14ac:dyDescent="0.25">
      <c r="A38" t="s">
        <v>135</v>
      </c>
      <c r="B38" t="str">
        <f>_xlfn.XLOOKUP($A38,Load!$B:$B,Load!C:C,0,)</f>
        <v>Hershey's Variety Pack</v>
      </c>
      <c r="C38" t="str">
        <f>_xlfn.XLOOKUP($A38,Load!$B:$B,Load!D:D,0,)</f>
        <v>Non-Chocolate Candy Only</v>
      </c>
      <c r="D38" t="str">
        <f>_xlfn.XLOOKUP($A38,Load!$B:$B,Load!E:E,0,)</f>
        <v>Variety / Mixed Flavors (Fruity, Sour, Seasonal Flavors)</v>
      </c>
      <c r="E38" t="str">
        <f>_xlfn.XLOOKUP($A38,Load!$B:$B,Load!F:F,0,)</f>
        <v>Mixed / Combo Packs (Gummy, Chewy, Taffy, etc.)</v>
      </c>
      <c r="F38" t="str">
        <f>_xlfn.XLOOKUP($A38,Load!$B:$B,Load!G:G,0,)</f>
        <v>Large Multipack (More than 80 ct)</v>
      </c>
      <c r="G38" t="str">
        <f>_xlfn.XLOOKUP($A38,Load!$B:$B,Load!H:H,0,)</f>
        <v>Stand-Up Bag</v>
      </c>
      <c r="H38" t="str">
        <f>_xlfn.XLOOKUP($A38,Load!$B:$B,Load!I:I,0,)</f>
        <v>Everyday Candy Shapes (like Original, Gummy bear, Fruit, Jewels, etc.)</v>
      </c>
      <c r="I38" t="str">
        <f>_xlfn.XLOOKUP($A38,Load!$B:$B,Load!J:J,0,)</f>
        <v>Everyday Graphics</v>
      </c>
      <c r="J38" t="str">
        <f>_xlfn.XLOOKUP($A38,Load!$B:$B,Load!K:K,0,)</f>
        <v xml:space="preserve">Variety Candy Sizes </v>
      </c>
      <c r="K38" t="str">
        <f>_xlfn.XLOOKUP($A38,Load!$B:$B,Load!L:L,0,)</f>
        <v>Regular/Original Wrapping</v>
      </c>
      <c r="L38" t="str">
        <f>_xlfn.XLOOKUP($A38,Load!$B:$B,Load!M:M,0,)</f>
        <v>Multiple Brands / Variety Flavors or Form</v>
      </c>
    </row>
    <row r="39" spans="1:12" x14ac:dyDescent="0.25">
      <c r="B39">
        <f>_xlfn.XLOOKUP($A39,Load!$B:$B,Load!C:C,0,)</f>
        <v>0</v>
      </c>
      <c r="C39">
        <f>_xlfn.XLOOKUP($A39,Load!$B:$B,Load!D:D,0,)</f>
        <v>0</v>
      </c>
      <c r="D39">
        <f>_xlfn.XLOOKUP($A39,Load!$B:$B,Load!E:E,0,)</f>
        <v>0</v>
      </c>
      <c r="E39">
        <f>_xlfn.XLOOKUP($A39,Load!$B:$B,Load!F:F,0,)</f>
        <v>0</v>
      </c>
      <c r="F39">
        <f>_xlfn.XLOOKUP($A39,Load!$B:$B,Load!G:G,0,)</f>
        <v>0</v>
      </c>
      <c r="G39">
        <f>_xlfn.XLOOKUP($A39,Load!$B:$B,Load!H:H,0,)</f>
        <v>0</v>
      </c>
      <c r="H39">
        <f>_xlfn.XLOOKUP($A39,Load!$B:$B,Load!I:I,0,)</f>
        <v>0</v>
      </c>
      <c r="I39">
        <f>_xlfn.XLOOKUP($A39,Load!$B:$B,Load!J:J,0,)</f>
        <v>0</v>
      </c>
      <c r="J39">
        <f>_xlfn.XLOOKUP($A39,Load!$B:$B,Load!K:K,0,)</f>
        <v>0</v>
      </c>
      <c r="K39">
        <f>_xlfn.XLOOKUP($A39,Load!$B:$B,Load!L:L,0,)</f>
        <v>0</v>
      </c>
      <c r="L39">
        <f>_xlfn.XLOOKUP($A39,Load!$B:$B,Load!M:M,0,)</f>
        <v>0</v>
      </c>
    </row>
    <row r="40" spans="1:12" x14ac:dyDescent="0.25">
      <c r="B40">
        <f>_xlfn.XLOOKUP($A40,Load!$B:$B,Load!C:C,0,)</f>
        <v>0</v>
      </c>
      <c r="C40">
        <f>_xlfn.XLOOKUP($A40,Load!$B:$B,Load!D:D,0,)</f>
        <v>0</v>
      </c>
      <c r="D40">
        <f>_xlfn.XLOOKUP($A40,Load!$B:$B,Load!E:E,0,)</f>
        <v>0</v>
      </c>
      <c r="E40">
        <f>_xlfn.XLOOKUP($A40,Load!$B:$B,Load!F:F,0,)</f>
        <v>0</v>
      </c>
      <c r="F40">
        <f>_xlfn.XLOOKUP($A40,Load!$B:$B,Load!G:G,0,)</f>
        <v>0</v>
      </c>
      <c r="G40">
        <f>_xlfn.XLOOKUP($A40,Load!$B:$B,Load!H:H,0,)</f>
        <v>0</v>
      </c>
      <c r="H40">
        <f>_xlfn.XLOOKUP($A40,Load!$B:$B,Load!I:I,0,)</f>
        <v>0</v>
      </c>
      <c r="I40">
        <f>_xlfn.XLOOKUP($A40,Load!$B:$B,Load!J:J,0,)</f>
        <v>0</v>
      </c>
      <c r="J40">
        <f>_xlfn.XLOOKUP($A40,Load!$B:$B,Load!K:K,0,)</f>
        <v>0</v>
      </c>
      <c r="K40">
        <f>_xlfn.XLOOKUP($A40,Load!$B:$B,Load!L:L,0,)</f>
        <v>0</v>
      </c>
      <c r="L40">
        <f>_xlfn.XLOOKUP($A40,Load!$B:$B,Load!M:M,0,)</f>
        <v>0</v>
      </c>
    </row>
    <row r="41" spans="1:12" x14ac:dyDescent="0.25">
      <c r="B41">
        <f>_xlfn.XLOOKUP($A41,Load!$B:$B,Load!C:C,0,)</f>
        <v>0</v>
      </c>
      <c r="C41">
        <f>_xlfn.XLOOKUP($A41,Load!$B:$B,Load!D:D,0,)</f>
        <v>0</v>
      </c>
      <c r="D41">
        <f>_xlfn.XLOOKUP($A41,Load!$B:$B,Load!E:E,0,)</f>
        <v>0</v>
      </c>
      <c r="E41">
        <f>_xlfn.XLOOKUP($A41,Load!$B:$B,Load!F:F,0,)</f>
        <v>0</v>
      </c>
      <c r="F41">
        <f>_xlfn.XLOOKUP($A41,Load!$B:$B,Load!G:G,0,)</f>
        <v>0</v>
      </c>
      <c r="G41">
        <f>_xlfn.XLOOKUP($A41,Load!$B:$B,Load!H:H,0,)</f>
        <v>0</v>
      </c>
      <c r="H41">
        <f>_xlfn.XLOOKUP($A41,Load!$B:$B,Load!I:I,0,)</f>
        <v>0</v>
      </c>
      <c r="I41">
        <f>_xlfn.XLOOKUP($A41,Load!$B:$B,Load!J:J,0,)</f>
        <v>0</v>
      </c>
      <c r="J41">
        <f>_xlfn.XLOOKUP($A41,Load!$B:$B,Load!K:K,0,)</f>
        <v>0</v>
      </c>
      <c r="K41">
        <f>_xlfn.XLOOKUP($A41,Load!$B:$B,Load!L:L,0,)</f>
        <v>0</v>
      </c>
      <c r="L41">
        <f>_xlfn.XLOOKUP($A41,Load!$B:$B,Load!M:M,0,)</f>
        <v>0</v>
      </c>
    </row>
    <row r="42" spans="1:12" x14ac:dyDescent="0.25">
      <c r="A42" t="s">
        <v>293</v>
      </c>
      <c r="B42" t="str">
        <f>_xlfn.XLOOKUP($A42,Load!$B:$B,Load!C:C,0,)</f>
        <v>Tootsie</v>
      </c>
      <c r="C42" t="str">
        <f>_xlfn.XLOOKUP($A42,Load!$B:$B,Load!D:D,0,)</f>
        <v>Mix of Chocolate and Non-Chocolate Candy</v>
      </c>
      <c r="D42" t="str">
        <f>_xlfn.XLOOKUP($A42,Load!$B:$B,Load!E:E,0,)</f>
        <v>Sweet</v>
      </c>
      <c r="E42" t="str">
        <f>_xlfn.XLOOKUP($A42,Load!$B:$B,Load!F:F,0,)</f>
        <v>Lollipop (regular or lollipop rings)</v>
      </c>
      <c r="F42" t="str">
        <f>_xlfn.XLOOKUP($A42,Load!$B:$B,Load!G:G,0,)</f>
        <v>Large Multipack (More than 80 ct)</v>
      </c>
      <c r="G42" t="str">
        <f>_xlfn.XLOOKUP($A42,Load!$B:$B,Load!H:H,0,)</f>
        <v>Laydown Bag</v>
      </c>
      <c r="H42" t="str">
        <f>_xlfn.XLOOKUP($A42,Load!$B:$B,Load!I:I,0,)</f>
        <v>Everyday Candy Shapes (like Original, Gummy bear, Fruit, Jewels, etc.)</v>
      </c>
      <c r="I42" t="str">
        <f>_xlfn.XLOOKUP($A42,Load!$B:$B,Load!J:J,0,)</f>
        <v>Everyday Graphics</v>
      </c>
      <c r="J42" t="str">
        <f>_xlfn.XLOOKUP($A42,Load!$B:$B,Load!K:K,0,)</f>
        <v>Regular Lollipop size (on sticks or rings)</v>
      </c>
      <c r="K42" t="str">
        <f>_xlfn.XLOOKUP($A42,Load!$B:$B,Load!L:L,0,)</f>
        <v>Regular/Original Wrapping</v>
      </c>
      <c r="L42" t="str">
        <f>_xlfn.XLOOKUP($A42,Load!$B:$B,Load!M:M,0,)</f>
        <v>Single Brand / Single Flavor or Form</v>
      </c>
    </row>
    <row r="43" spans="1:12" x14ac:dyDescent="0.25">
      <c r="A43" t="s">
        <v>289</v>
      </c>
      <c r="B43" t="str">
        <f>_xlfn.XLOOKUP($A43,Load!$B:$B,Load!C:C,0,)</f>
        <v>Tootsie</v>
      </c>
      <c r="C43" t="str">
        <f>_xlfn.XLOOKUP($A43,Load!$B:$B,Load!D:D,0,)</f>
        <v>Mix of Chocolate and Non-Chocolate Candy</v>
      </c>
      <c r="D43" t="str">
        <f>_xlfn.XLOOKUP($A43,Load!$B:$B,Load!E:E,0,)</f>
        <v>Variety / Mixed Flavors (Fruity, Sour, Seasonal Flavors)</v>
      </c>
      <c r="E43" t="str">
        <f>_xlfn.XLOOKUP($A43,Load!$B:$B,Load!F:F,0,)</f>
        <v>Mixed / Combo Packs (Gummy, Chewy, Taffy, etc.)</v>
      </c>
      <c r="F43" t="str">
        <f>_xlfn.XLOOKUP($A43,Load!$B:$B,Load!G:G,0,)</f>
        <v>Large Multipack (More than 80 ct)</v>
      </c>
      <c r="G43" t="str">
        <f>_xlfn.XLOOKUP($A43,Load!$B:$B,Load!H:H,0,)</f>
        <v>Laydown Bag</v>
      </c>
      <c r="H43" t="str">
        <f>_xlfn.XLOOKUP($A43,Load!$B:$B,Load!I:I,0,)</f>
        <v>Everyday Candy Shapes (like Original, Gummy bear, Fruit, Jewels, etc.)</v>
      </c>
      <c r="I43" t="str">
        <f>_xlfn.XLOOKUP($A43,Load!$B:$B,Load!J:J,0,)</f>
        <v>Everyday Graphics</v>
      </c>
      <c r="J43" t="str">
        <f>_xlfn.XLOOKUP($A43,Load!$B:$B,Load!K:K,0,)</f>
        <v xml:space="preserve">Variety Candy Sizes </v>
      </c>
      <c r="K43" t="str">
        <f>_xlfn.XLOOKUP($A43,Load!$B:$B,Load!L:L,0,)</f>
        <v>Regular/Original Wrapping</v>
      </c>
      <c r="L43" t="str">
        <f>_xlfn.XLOOKUP($A43,Load!$B:$B,Load!M:M,0,)</f>
        <v>Single Brand / Variety Flavors or Form</v>
      </c>
    </row>
    <row r="44" spans="1:12" x14ac:dyDescent="0.25">
      <c r="A44" t="s">
        <v>303</v>
      </c>
      <c r="B44" t="str">
        <f>_xlfn.XLOOKUP($A44,Load!$B:$B,Load!C:C,0,)</f>
        <v>Warheads</v>
      </c>
      <c r="C44" t="str">
        <f>_xlfn.XLOOKUP($A44,Load!$B:$B,Load!D:D,0,)</f>
        <v>Non-Chocolate Candy Only</v>
      </c>
      <c r="D44" t="str">
        <f>_xlfn.XLOOKUP($A44,Load!$B:$B,Load!E:E,0,)</f>
        <v>Variety / Mixed Flavors (Fruity, Sour, Seasonal Flavors)</v>
      </c>
      <c r="E44" t="str">
        <f>_xlfn.XLOOKUP($A44,Load!$B:$B,Load!F:F,0,)</f>
        <v>Chewy</v>
      </c>
      <c r="F44" t="str">
        <f>_xlfn.XLOOKUP($A44,Load!$B:$B,Load!G:G,0,)</f>
        <v>Single Pack</v>
      </c>
      <c r="G44" t="str">
        <f>_xlfn.XLOOKUP($A44,Load!$B:$B,Load!H:H,0,)</f>
        <v>Peg Bag</v>
      </c>
      <c r="H44" t="str">
        <f>_xlfn.XLOOKUP($A44,Load!$B:$B,Load!I:I,0,)</f>
        <v>Everyday Candy Shapes (like Original, Gummy bear, Fruit, Jewels, etc.)</v>
      </c>
      <c r="I44" t="str">
        <f>_xlfn.XLOOKUP($A44,Load!$B:$B,Load!J:J,0,)</f>
        <v>Seasonal Graphics (Like Bat, Ghost, Pumpkin, Fall Leaves, Eyeballs, etc.)</v>
      </c>
      <c r="J44" t="str">
        <f>_xlfn.XLOOKUP($A44,Load!$B:$B,Load!K:K,0,)</f>
        <v>Fun Size / Treat Size</v>
      </c>
      <c r="K44" t="str">
        <f>_xlfn.XLOOKUP($A44,Load!$B:$B,Load!L:L,0,)</f>
        <v>Unwrapped</v>
      </c>
      <c r="L44" t="str">
        <f>_xlfn.XLOOKUP($A44,Load!$B:$B,Load!M:M,0,)</f>
        <v>Single Brand / Single Flavor or Form</v>
      </c>
    </row>
    <row r="45" spans="1:12" x14ac:dyDescent="0.25">
      <c r="B45">
        <f>_xlfn.XLOOKUP($A45,Load!$B:$B,Load!C:C,0,)</f>
        <v>0</v>
      </c>
      <c r="C45">
        <f>_xlfn.XLOOKUP($A45,Load!$B:$B,Load!D:D,0,)</f>
        <v>0</v>
      </c>
      <c r="D45">
        <f>_xlfn.XLOOKUP($A45,Load!$B:$B,Load!E:E,0,)</f>
        <v>0</v>
      </c>
      <c r="E45">
        <f>_xlfn.XLOOKUP($A45,Load!$B:$B,Load!F:F,0,)</f>
        <v>0</v>
      </c>
      <c r="F45">
        <f>_xlfn.XLOOKUP($A45,Load!$B:$B,Load!G:G,0,)</f>
        <v>0</v>
      </c>
      <c r="G45">
        <f>_xlfn.XLOOKUP($A45,Load!$B:$B,Load!H:H,0,)</f>
        <v>0</v>
      </c>
      <c r="H45">
        <f>_xlfn.XLOOKUP($A45,Load!$B:$B,Load!I:I,0,)</f>
        <v>0</v>
      </c>
      <c r="I45">
        <f>_xlfn.XLOOKUP($A45,Load!$B:$B,Load!J:J,0,)</f>
        <v>0</v>
      </c>
      <c r="J45">
        <f>_xlfn.XLOOKUP($A45,Load!$B:$B,Load!K:K,0,)</f>
        <v>0</v>
      </c>
      <c r="K45">
        <f>_xlfn.XLOOKUP($A45,Load!$B:$B,Load!L:L,0,)</f>
        <v>0</v>
      </c>
      <c r="L45">
        <f>_xlfn.XLOOKUP($A45,Load!$B:$B,Load!M:M,0,)</f>
        <v>0</v>
      </c>
    </row>
    <row r="46" spans="1:12" x14ac:dyDescent="0.25">
      <c r="B46">
        <f>_xlfn.XLOOKUP($A46,Load!$B:$B,Load!C:C,0,)</f>
        <v>0</v>
      </c>
      <c r="C46">
        <f>_xlfn.XLOOKUP($A46,Load!$B:$B,Load!D:D,0,)</f>
        <v>0</v>
      </c>
      <c r="D46">
        <f>_xlfn.XLOOKUP($A46,Load!$B:$B,Load!E:E,0,)</f>
        <v>0</v>
      </c>
      <c r="E46">
        <f>_xlfn.XLOOKUP($A46,Load!$B:$B,Load!F:F,0,)</f>
        <v>0</v>
      </c>
      <c r="F46">
        <f>_xlfn.XLOOKUP($A46,Load!$B:$B,Load!G:G,0,)</f>
        <v>0</v>
      </c>
      <c r="G46">
        <f>_xlfn.XLOOKUP($A46,Load!$B:$B,Load!H:H,0,)</f>
        <v>0</v>
      </c>
      <c r="H46">
        <f>_xlfn.XLOOKUP($A46,Load!$B:$B,Load!I:I,0,)</f>
        <v>0</v>
      </c>
      <c r="I46">
        <f>_xlfn.XLOOKUP($A46,Load!$B:$B,Load!J:J,0,)</f>
        <v>0</v>
      </c>
      <c r="J46">
        <f>_xlfn.XLOOKUP($A46,Load!$B:$B,Load!K:K,0,)</f>
        <v>0</v>
      </c>
      <c r="K46">
        <f>_xlfn.XLOOKUP($A46,Load!$B:$B,Load!L:L,0,)</f>
        <v>0</v>
      </c>
      <c r="L46">
        <f>_xlfn.XLOOKUP($A46,Load!$B:$B,Load!M:M,0,)</f>
        <v>0</v>
      </c>
    </row>
    <row r="47" spans="1:12" x14ac:dyDescent="0.25">
      <c r="B47">
        <f>_xlfn.XLOOKUP($A47,Load!$B:$B,Load!C:C,0,)</f>
        <v>0</v>
      </c>
      <c r="C47">
        <f>_xlfn.XLOOKUP($A47,Load!$B:$B,Load!D:D,0,)</f>
        <v>0</v>
      </c>
      <c r="D47">
        <f>_xlfn.XLOOKUP($A47,Load!$B:$B,Load!E:E,0,)</f>
        <v>0</v>
      </c>
      <c r="E47">
        <f>_xlfn.XLOOKUP($A47,Load!$B:$B,Load!F:F,0,)</f>
        <v>0</v>
      </c>
      <c r="F47">
        <f>_xlfn.XLOOKUP($A47,Load!$B:$B,Load!G:G,0,)</f>
        <v>0</v>
      </c>
      <c r="G47">
        <f>_xlfn.XLOOKUP($A47,Load!$B:$B,Load!H:H,0,)</f>
        <v>0</v>
      </c>
      <c r="H47">
        <f>_xlfn.XLOOKUP($A47,Load!$B:$B,Load!I:I,0,)</f>
        <v>0</v>
      </c>
      <c r="I47">
        <f>_xlfn.XLOOKUP($A47,Load!$B:$B,Load!J:J,0,)</f>
        <v>0</v>
      </c>
      <c r="J47">
        <f>_xlfn.XLOOKUP($A47,Load!$B:$B,Load!K:K,0,)</f>
        <v>0</v>
      </c>
      <c r="K47">
        <f>_xlfn.XLOOKUP($A47,Load!$B:$B,Load!L:L,0,)</f>
        <v>0</v>
      </c>
      <c r="L47">
        <f>_xlfn.XLOOKUP($A47,Load!$B:$B,Load!M:M,0,)</f>
        <v>0</v>
      </c>
    </row>
    <row r="48" spans="1:12" x14ac:dyDescent="0.25">
      <c r="A48" t="s">
        <v>179</v>
      </c>
      <c r="B48" t="str">
        <f>_xlfn.XLOOKUP($A48,Load!$B:$B,Load!C:C,0,)</f>
        <v>Mars Variety Pack</v>
      </c>
      <c r="C48" t="str">
        <f>_xlfn.XLOOKUP($A48,Load!$B:$B,Load!D:D,0,)</f>
        <v>Non-Chocolate Candy Only</v>
      </c>
      <c r="D48" t="str">
        <f>_xlfn.XLOOKUP($A48,Load!$B:$B,Load!E:E,0,)</f>
        <v>Variety / Mixed Flavors (Fruity, Sour, Seasonal Flavors)</v>
      </c>
      <c r="E48" t="str">
        <f>_xlfn.XLOOKUP($A48,Load!$B:$B,Load!F:F,0,)</f>
        <v>Mixed / Combo Packs (Gummy, Chewy, Taffy, etc.)</v>
      </c>
      <c r="F48" t="str">
        <f>_xlfn.XLOOKUP($A48,Load!$B:$B,Load!G:G,0,)</f>
        <v>Medium Multipack (40–80 ct)</v>
      </c>
      <c r="G48" t="str">
        <f>_xlfn.XLOOKUP($A48,Load!$B:$B,Load!H:H,0,)</f>
        <v>Stand-Up Bag</v>
      </c>
      <c r="H48" t="str">
        <f>_xlfn.XLOOKUP($A48,Load!$B:$B,Load!I:I,0,)</f>
        <v>Everyday Candy Shapes (like Original, Gummy bear, Fruit, Jewels, etc.)</v>
      </c>
      <c r="I48" t="str">
        <f>_xlfn.XLOOKUP($A48,Load!$B:$B,Load!J:J,0,)</f>
        <v>Seasonal Graphics (Like Bat, Ghost, Pumpkin, Fall Leaves, Eyeballs, etc.)</v>
      </c>
      <c r="J48" t="str">
        <f>_xlfn.XLOOKUP($A48,Load!$B:$B,Load!K:K,0,)</f>
        <v>Fun Size / Treat Size</v>
      </c>
      <c r="K48" t="str">
        <f>_xlfn.XLOOKUP($A48,Load!$B:$B,Load!L:L,0,)</f>
        <v>Regular/Original Wrapping</v>
      </c>
      <c r="L48" t="str">
        <f>_xlfn.XLOOKUP($A48,Load!$B:$B,Load!M:M,0,)</f>
        <v>Multiple Brands / Variety Flavors or Form</v>
      </c>
    </row>
    <row r="49" spans="1:12" x14ac:dyDescent="0.25">
      <c r="A49" t="s">
        <v>182</v>
      </c>
      <c r="B49" t="str">
        <f>_xlfn.XLOOKUP($A49,Load!$B:$B,Load!C:C,0,)</f>
        <v>Mars Variety Pack</v>
      </c>
      <c r="C49" t="str">
        <f>_xlfn.XLOOKUP($A49,Load!$B:$B,Load!D:D,0,)</f>
        <v>Non-Chocolate Candy Only</v>
      </c>
      <c r="D49" t="str">
        <f>_xlfn.XLOOKUP($A49,Load!$B:$B,Load!E:E,0,)</f>
        <v>Variety / Mixed Flavors (Fruity, Sour, Seasonal Flavors)</v>
      </c>
      <c r="E49" t="str">
        <f>_xlfn.XLOOKUP($A49,Load!$B:$B,Load!F:F,0,)</f>
        <v>Mixed / Combo Packs (Gummy, Chewy, Taffy, etc.)</v>
      </c>
      <c r="F49" t="str">
        <f>_xlfn.XLOOKUP($A49,Load!$B:$B,Load!G:G,0,)</f>
        <v>Large Multipack (More than 80 ct)</v>
      </c>
      <c r="G49" t="str">
        <f>_xlfn.XLOOKUP($A49,Load!$B:$B,Load!H:H,0,)</f>
        <v>Stand-Up Bag</v>
      </c>
      <c r="H49" t="str">
        <f>_xlfn.XLOOKUP($A49,Load!$B:$B,Load!I:I,0,)</f>
        <v>Everyday Candy Shapes (like Original, Gummy bear, Fruit, Jewels, etc.)</v>
      </c>
      <c r="I49" t="str">
        <f>_xlfn.XLOOKUP($A49,Load!$B:$B,Load!J:J,0,)</f>
        <v>Seasonal Graphics (Like Bat, Ghost, Pumpkin, Fall Leaves, Eyeballs, etc.)</v>
      </c>
      <c r="J49" t="str">
        <f>_xlfn.XLOOKUP($A49,Load!$B:$B,Load!K:K,0,)</f>
        <v xml:space="preserve">Variety Candy Sizes </v>
      </c>
      <c r="K49" t="str">
        <f>_xlfn.XLOOKUP($A49,Load!$B:$B,Load!L:L,0,)</f>
        <v>Regular/Original Wrapping</v>
      </c>
      <c r="L49" t="str">
        <f>_xlfn.XLOOKUP($A49,Load!$B:$B,Load!M:M,0,)</f>
        <v>Multiple Brands / Variety Flavors or Form</v>
      </c>
    </row>
    <row r="50" spans="1:12" x14ac:dyDescent="0.25">
      <c r="B50">
        <f>_xlfn.XLOOKUP($A50,Load!$B:$B,Load!C:C,0,)</f>
        <v>0</v>
      </c>
      <c r="C50">
        <f>_xlfn.XLOOKUP($A50,Load!$B:$B,Load!D:D,0,)</f>
        <v>0</v>
      </c>
      <c r="D50">
        <f>_xlfn.XLOOKUP($A50,Load!$B:$B,Load!E:E,0,)</f>
        <v>0</v>
      </c>
      <c r="E50">
        <f>_xlfn.XLOOKUP($A50,Load!$B:$B,Load!F:F,0,)</f>
        <v>0</v>
      </c>
      <c r="F50">
        <f>_xlfn.XLOOKUP($A50,Load!$B:$B,Load!G:G,0,)</f>
        <v>0</v>
      </c>
      <c r="G50">
        <f>_xlfn.XLOOKUP($A50,Load!$B:$B,Load!H:H,0,)</f>
        <v>0</v>
      </c>
      <c r="H50">
        <f>_xlfn.XLOOKUP($A50,Load!$B:$B,Load!I:I,0,)</f>
        <v>0</v>
      </c>
      <c r="I50">
        <f>_xlfn.XLOOKUP($A50,Load!$B:$B,Load!J:J,0,)</f>
        <v>0</v>
      </c>
      <c r="J50">
        <f>_xlfn.XLOOKUP($A50,Load!$B:$B,Load!K:K,0,)</f>
        <v>0</v>
      </c>
      <c r="K50">
        <f>_xlfn.XLOOKUP($A50,Load!$B:$B,Load!L:L,0,)</f>
        <v>0</v>
      </c>
      <c r="L50">
        <f>_xlfn.XLOOKUP($A50,Load!$B:$B,Load!M:M,0,)</f>
        <v>0</v>
      </c>
    </row>
    <row r="51" spans="1:12" x14ac:dyDescent="0.25">
      <c r="B51">
        <f>_xlfn.XLOOKUP($A51,Load!$B:$B,Load!C:C,0,)</f>
        <v>0</v>
      </c>
      <c r="C51">
        <f>_xlfn.XLOOKUP($A51,Load!$B:$B,Load!D:D,0,)</f>
        <v>0</v>
      </c>
      <c r="D51">
        <f>_xlfn.XLOOKUP($A51,Load!$B:$B,Load!E:E,0,)</f>
        <v>0</v>
      </c>
      <c r="E51">
        <f>_xlfn.XLOOKUP($A51,Load!$B:$B,Load!F:F,0,)</f>
        <v>0</v>
      </c>
      <c r="F51">
        <f>_xlfn.XLOOKUP($A51,Load!$B:$B,Load!G:G,0,)</f>
        <v>0</v>
      </c>
      <c r="G51">
        <f>_xlfn.XLOOKUP($A51,Load!$B:$B,Load!H:H,0,)</f>
        <v>0</v>
      </c>
      <c r="H51">
        <f>_xlfn.XLOOKUP($A51,Load!$B:$B,Load!I:I,0,)</f>
        <v>0</v>
      </c>
      <c r="I51">
        <f>_xlfn.XLOOKUP($A51,Load!$B:$B,Load!J:J,0,)</f>
        <v>0</v>
      </c>
      <c r="J51">
        <f>_xlfn.XLOOKUP($A51,Load!$B:$B,Load!K:K,0,)</f>
        <v>0</v>
      </c>
      <c r="K51">
        <f>_xlfn.XLOOKUP($A51,Load!$B:$B,Load!L:L,0,)</f>
        <v>0</v>
      </c>
      <c r="L51">
        <f>_xlfn.XLOOKUP($A51,Load!$B:$B,Load!M:M,0,)</f>
        <v>0</v>
      </c>
    </row>
    <row r="52" spans="1:12" x14ac:dyDescent="0.25">
      <c r="B52">
        <f>_xlfn.XLOOKUP($A52,Load!$B:$B,Load!C:C,0,)</f>
        <v>0</v>
      </c>
      <c r="C52">
        <f>_xlfn.XLOOKUP($A52,Load!$B:$B,Load!D:D,0,)</f>
        <v>0</v>
      </c>
      <c r="D52">
        <f>_xlfn.XLOOKUP($A52,Load!$B:$B,Load!E:E,0,)</f>
        <v>0</v>
      </c>
      <c r="E52">
        <f>_xlfn.XLOOKUP($A52,Load!$B:$B,Load!F:F,0,)</f>
        <v>0</v>
      </c>
      <c r="F52">
        <f>_xlfn.XLOOKUP($A52,Load!$B:$B,Load!G:G,0,)</f>
        <v>0</v>
      </c>
      <c r="G52">
        <f>_xlfn.XLOOKUP($A52,Load!$B:$B,Load!H:H,0,)</f>
        <v>0</v>
      </c>
      <c r="H52">
        <f>_xlfn.XLOOKUP($A52,Load!$B:$B,Load!I:I,0,)</f>
        <v>0</v>
      </c>
      <c r="I52">
        <f>_xlfn.XLOOKUP($A52,Load!$B:$B,Load!J:J,0,)</f>
        <v>0</v>
      </c>
      <c r="J52">
        <f>_xlfn.XLOOKUP($A52,Load!$B:$B,Load!K:K,0,)</f>
        <v>0</v>
      </c>
      <c r="K52">
        <f>_xlfn.XLOOKUP($A52,Load!$B:$B,Load!L:L,0,)</f>
        <v>0</v>
      </c>
      <c r="L52">
        <f>_xlfn.XLOOKUP($A52,Load!$B:$B,Load!M:M,0,)</f>
        <v>0</v>
      </c>
    </row>
    <row r="53" spans="1:12" x14ac:dyDescent="0.25">
      <c r="B53">
        <f>_xlfn.XLOOKUP($A53,Load!$B:$B,Load!C:C,0,)</f>
        <v>0</v>
      </c>
      <c r="C53">
        <f>_xlfn.XLOOKUP($A53,Load!$B:$B,Load!D:D,0,)</f>
        <v>0</v>
      </c>
      <c r="D53">
        <f>_xlfn.XLOOKUP($A53,Load!$B:$B,Load!E:E,0,)</f>
        <v>0</v>
      </c>
      <c r="E53">
        <f>_xlfn.XLOOKUP($A53,Load!$B:$B,Load!F:F,0,)</f>
        <v>0</v>
      </c>
      <c r="F53">
        <f>_xlfn.XLOOKUP($A53,Load!$B:$B,Load!G:G,0,)</f>
        <v>0</v>
      </c>
      <c r="G53">
        <f>_xlfn.XLOOKUP($A53,Load!$B:$B,Load!H:H,0,)</f>
        <v>0</v>
      </c>
      <c r="H53">
        <f>_xlfn.XLOOKUP($A53,Load!$B:$B,Load!I:I,0,)</f>
        <v>0</v>
      </c>
      <c r="I53">
        <f>_xlfn.XLOOKUP($A53,Load!$B:$B,Load!J:J,0,)</f>
        <v>0</v>
      </c>
      <c r="J53">
        <f>_xlfn.XLOOKUP($A53,Load!$B:$B,Load!K:K,0,)</f>
        <v>0</v>
      </c>
      <c r="K53">
        <f>_xlfn.XLOOKUP($A53,Load!$B:$B,Load!L:L,0,)</f>
        <v>0</v>
      </c>
      <c r="L53">
        <f>_xlfn.XLOOKUP($A53,Load!$B:$B,Load!M:M,0,)</f>
        <v>0</v>
      </c>
    </row>
    <row r="54" spans="1:12" x14ac:dyDescent="0.25">
      <c r="A54" t="s">
        <v>144</v>
      </c>
      <c r="B54" t="str">
        <f>_xlfn.XLOOKUP($A54,Load!$B:$B,Load!C:C,0,)</f>
        <v>Hershey's Variety Pack + Haribo</v>
      </c>
      <c r="C54" t="str">
        <f>_xlfn.XLOOKUP($A54,Load!$B:$B,Load!D:D,0,)</f>
        <v>Mix of Chocolate and Non-Chocolate Candy</v>
      </c>
      <c r="D54" t="str">
        <f>_xlfn.XLOOKUP($A54,Load!$B:$B,Load!E:E,0,)</f>
        <v>Variety / Mixed Flavors (Fruity, Sour, Seasonal Flavors)</v>
      </c>
      <c r="E54" t="str">
        <f>_xlfn.XLOOKUP($A54,Load!$B:$B,Load!F:F,0,)</f>
        <v>Mixed / Combo Packs (Gummy, Chewy, Taffy, etc.)</v>
      </c>
      <c r="F54" t="str">
        <f>_xlfn.XLOOKUP($A54,Load!$B:$B,Load!G:G,0,)</f>
        <v>Large Multipack (More than 80 ct)</v>
      </c>
      <c r="G54" t="str">
        <f>_xlfn.XLOOKUP($A54,Load!$B:$B,Load!H:H,0,)</f>
        <v>Stand-Up Bag</v>
      </c>
      <c r="H54" t="str">
        <f>_xlfn.XLOOKUP($A54,Load!$B:$B,Load!I:I,0,)</f>
        <v>Everyday Candy Shapes (like Original, Gummy bear, Fruit, Jewels, etc.)</v>
      </c>
      <c r="I54" t="str">
        <f>_xlfn.XLOOKUP($A54,Load!$B:$B,Load!J:J,0,)</f>
        <v>Seasonal Graphics (Like Bat, Ghost, Pumpkin, Fall Leaves, Eyeballs, etc.)</v>
      </c>
      <c r="J54" t="str">
        <f>_xlfn.XLOOKUP($A54,Load!$B:$B,Load!K:K,0,)</f>
        <v>Fun Size / Treat Size</v>
      </c>
      <c r="K54" t="str">
        <f>_xlfn.XLOOKUP($A54,Load!$B:$B,Load!L:L,0,)</f>
        <v>Regular/Original Wrapping</v>
      </c>
      <c r="L54" t="str">
        <f>_xlfn.XLOOKUP($A54,Load!$B:$B,Load!M:M,0,)</f>
        <v>Multiple Brands / Variety Flavors or Form</v>
      </c>
    </row>
    <row r="55" spans="1:12" x14ac:dyDescent="0.25">
      <c r="B55">
        <f>_xlfn.XLOOKUP($A55,Load!$B:$B,Load!C:C,0,)</f>
        <v>0</v>
      </c>
      <c r="C55">
        <f>_xlfn.XLOOKUP($A55,Load!$B:$B,Load!D:D,0,)</f>
        <v>0</v>
      </c>
      <c r="D55">
        <f>_xlfn.XLOOKUP($A55,Load!$B:$B,Load!E:E,0,)</f>
        <v>0</v>
      </c>
      <c r="E55">
        <f>_xlfn.XLOOKUP($A55,Load!$B:$B,Load!F:F,0,)</f>
        <v>0</v>
      </c>
      <c r="F55">
        <f>_xlfn.XLOOKUP($A55,Load!$B:$B,Load!G:G,0,)</f>
        <v>0</v>
      </c>
      <c r="G55">
        <f>_xlfn.XLOOKUP($A55,Load!$B:$B,Load!H:H,0,)</f>
        <v>0</v>
      </c>
      <c r="H55">
        <f>_xlfn.XLOOKUP($A55,Load!$B:$B,Load!I:I,0,)</f>
        <v>0</v>
      </c>
      <c r="I55">
        <f>_xlfn.XLOOKUP($A55,Load!$B:$B,Load!J:J,0,)</f>
        <v>0</v>
      </c>
      <c r="J55">
        <f>_xlfn.XLOOKUP($A55,Load!$B:$B,Load!K:K,0,)</f>
        <v>0</v>
      </c>
      <c r="K55">
        <f>_xlfn.XLOOKUP($A55,Load!$B:$B,Load!L:L,0,)</f>
        <v>0</v>
      </c>
      <c r="L55">
        <f>_xlfn.XLOOKUP($A55,Load!$B:$B,Load!M:M,0,)</f>
        <v>0</v>
      </c>
    </row>
    <row r="56" spans="1:12" x14ac:dyDescent="0.25">
      <c r="A56" t="s">
        <v>87</v>
      </c>
      <c r="B56" t="str">
        <f>_xlfn.XLOOKUP($A56,Load!$B:$B,Load!C:C,0,)</f>
        <v>Ferrara Variety Pack</v>
      </c>
      <c r="C56" t="str">
        <f>_xlfn.XLOOKUP($A56,Load!$B:$B,Load!D:D,0,)</f>
        <v>Non-Chocolate Candy Only</v>
      </c>
      <c r="D56" t="str">
        <f>_xlfn.XLOOKUP($A56,Load!$B:$B,Load!E:E,0,)</f>
        <v>Variety / Mixed Flavors (Fruity, Sour, Seasonal Flavors)</v>
      </c>
      <c r="E56" t="str">
        <f>_xlfn.XLOOKUP($A56,Load!$B:$B,Load!F:F,0,)</f>
        <v>Mixed / Combo Packs (Gummy, Chewy, Taffy, etc.)</v>
      </c>
      <c r="F56" t="str">
        <f>_xlfn.XLOOKUP($A56,Load!$B:$B,Load!G:G,0,)</f>
        <v>Small Multipack (Less than 40 ct)</v>
      </c>
      <c r="G56" t="str">
        <f>_xlfn.XLOOKUP($A56,Load!$B:$B,Load!H:H,0,)</f>
        <v>Laydown Bag</v>
      </c>
      <c r="H56" t="str">
        <f>_xlfn.XLOOKUP($A56,Load!$B:$B,Load!I:I,0,)</f>
        <v>Everyday Candy Shapes (like Original, Gummy bear, Fruit, Jewels, etc.)</v>
      </c>
      <c r="I56" t="str">
        <f>_xlfn.XLOOKUP($A56,Load!$B:$B,Load!J:J,0,)</f>
        <v>Seasonal Graphics (Like Bat, Ghost, Pumpkin, Fall Leaves, Eyeballs, etc.)</v>
      </c>
      <c r="J56" t="str">
        <f>_xlfn.XLOOKUP($A56,Load!$B:$B,Load!K:K,0,)</f>
        <v xml:space="preserve">Variety Candy Sizes </v>
      </c>
      <c r="K56" t="str">
        <f>_xlfn.XLOOKUP($A56,Load!$B:$B,Load!L:L,0,)</f>
        <v>Regular/Original Wrapping</v>
      </c>
      <c r="L56" t="str">
        <f>_xlfn.XLOOKUP($A56,Load!$B:$B,Load!M:M,0,)</f>
        <v>Multiple Brands / Variety Flavors or Form</v>
      </c>
    </row>
    <row r="57" spans="1:12" x14ac:dyDescent="0.25">
      <c r="A57" t="s">
        <v>86</v>
      </c>
      <c r="B57" t="str">
        <f>_xlfn.XLOOKUP($A57,Load!$B:$B,Load!C:C,0,)</f>
        <v>Ferrara Variety Pack</v>
      </c>
      <c r="C57" t="str">
        <f>_xlfn.XLOOKUP($A57,Load!$B:$B,Load!D:D,0,)</f>
        <v>Non-Chocolate Candy Only</v>
      </c>
      <c r="D57" t="str">
        <f>_xlfn.XLOOKUP($A57,Load!$B:$B,Load!E:E,0,)</f>
        <v>Variety / Mixed Flavors (Fruity, Sour, Seasonal Flavors)</v>
      </c>
      <c r="E57" t="str">
        <f>_xlfn.XLOOKUP($A57,Load!$B:$B,Load!F:F,0,)</f>
        <v>Mixed / Combo Packs (Gummy, Chewy, Taffy, etc.)</v>
      </c>
      <c r="F57" t="str">
        <f>_xlfn.XLOOKUP($A57,Load!$B:$B,Load!G:G,0,)</f>
        <v>Small Multipack (Less than 40 ct)</v>
      </c>
      <c r="G57" t="str">
        <f>_xlfn.XLOOKUP($A57,Load!$B:$B,Load!H:H,0,)</f>
        <v>Laydown Bag</v>
      </c>
      <c r="H57" t="str">
        <f>_xlfn.XLOOKUP($A57,Load!$B:$B,Load!I:I,0,)</f>
        <v>Seasonal Shapes (like pumpkins, candy corn, ghost, bats, etc.)</v>
      </c>
      <c r="I57" t="str">
        <f>_xlfn.XLOOKUP($A57,Load!$B:$B,Load!J:J,0,)</f>
        <v>Seasonal Graphics (Like Bat, Ghost, Pumpkin, Fall Leaves, Eyeballs, etc.)</v>
      </c>
      <c r="J57" t="str">
        <f>_xlfn.XLOOKUP($A57,Load!$B:$B,Load!K:K,0,)</f>
        <v xml:space="preserve">Variety Candy Sizes </v>
      </c>
      <c r="K57" t="str">
        <f>_xlfn.XLOOKUP($A57,Load!$B:$B,Load!L:L,0,)</f>
        <v>Regular/Original Wrapping</v>
      </c>
      <c r="L57" t="str">
        <f>_xlfn.XLOOKUP($A57,Load!$B:$B,Load!M:M,0,)</f>
        <v>Multiple Brands / Variety Flavors or Form</v>
      </c>
    </row>
    <row r="58" spans="1:12" x14ac:dyDescent="0.25">
      <c r="B58">
        <f>_xlfn.XLOOKUP($A58,Load!$B:$B,Load!C:C,0,)</f>
        <v>0</v>
      </c>
      <c r="C58">
        <f>_xlfn.XLOOKUP($A58,Load!$B:$B,Load!D:D,0,)</f>
        <v>0</v>
      </c>
      <c r="D58">
        <f>_xlfn.XLOOKUP($A58,Load!$B:$B,Load!E:E,0,)</f>
        <v>0</v>
      </c>
      <c r="E58">
        <f>_xlfn.XLOOKUP($A58,Load!$B:$B,Load!F:F,0,)</f>
        <v>0</v>
      </c>
      <c r="F58">
        <f>_xlfn.XLOOKUP($A58,Load!$B:$B,Load!G:G,0,)</f>
        <v>0</v>
      </c>
      <c r="G58">
        <f>_xlfn.XLOOKUP($A58,Load!$B:$B,Load!H:H,0,)</f>
        <v>0</v>
      </c>
      <c r="H58">
        <f>_xlfn.XLOOKUP($A58,Load!$B:$B,Load!I:I,0,)</f>
        <v>0</v>
      </c>
      <c r="I58">
        <f>_xlfn.XLOOKUP($A58,Load!$B:$B,Load!J:J,0,)</f>
        <v>0</v>
      </c>
      <c r="J58">
        <f>_xlfn.XLOOKUP($A58,Load!$B:$B,Load!K:K,0,)</f>
        <v>0</v>
      </c>
      <c r="K58">
        <f>_xlfn.XLOOKUP($A58,Load!$B:$B,Load!L:L,0,)</f>
        <v>0</v>
      </c>
      <c r="L58">
        <f>_xlfn.XLOOKUP($A58,Load!$B:$B,Load!M:M,0,)</f>
        <v>0</v>
      </c>
    </row>
    <row r="59" spans="1:12" x14ac:dyDescent="0.25">
      <c r="B59">
        <f>_xlfn.XLOOKUP($A59,Load!$B:$B,Load!C:C,0,)</f>
        <v>0</v>
      </c>
      <c r="C59">
        <f>_xlfn.XLOOKUP($A59,Load!$B:$B,Load!D:D,0,)</f>
        <v>0</v>
      </c>
      <c r="D59">
        <f>_xlfn.XLOOKUP($A59,Load!$B:$B,Load!E:E,0,)</f>
        <v>0</v>
      </c>
      <c r="E59">
        <f>_xlfn.XLOOKUP($A59,Load!$B:$B,Load!F:F,0,)</f>
        <v>0</v>
      </c>
      <c r="F59">
        <f>_xlfn.XLOOKUP($A59,Load!$B:$B,Load!G:G,0,)</f>
        <v>0</v>
      </c>
      <c r="G59">
        <f>_xlfn.XLOOKUP($A59,Load!$B:$B,Load!H:H,0,)</f>
        <v>0</v>
      </c>
      <c r="H59">
        <f>_xlfn.XLOOKUP($A59,Load!$B:$B,Load!I:I,0,)</f>
        <v>0</v>
      </c>
      <c r="I59">
        <f>_xlfn.XLOOKUP($A59,Load!$B:$B,Load!J:J,0,)</f>
        <v>0</v>
      </c>
      <c r="J59">
        <f>_xlfn.XLOOKUP($A59,Load!$B:$B,Load!K:K,0,)</f>
        <v>0</v>
      </c>
      <c r="K59">
        <f>_xlfn.XLOOKUP($A59,Load!$B:$B,Load!L:L,0,)</f>
        <v>0</v>
      </c>
      <c r="L59">
        <f>_xlfn.XLOOKUP($A59,Load!$B:$B,Load!M:M,0,)</f>
        <v>0</v>
      </c>
    </row>
    <row r="60" spans="1:12" x14ac:dyDescent="0.25">
      <c r="A60" t="s">
        <v>236</v>
      </c>
      <c r="B60" t="str">
        <f>_xlfn.XLOOKUP($A60,Load!$B:$B,Load!C:C,0,)</f>
        <v>Nerds</v>
      </c>
      <c r="C60" t="str">
        <f>_xlfn.XLOOKUP($A60,Load!$B:$B,Load!D:D,0,)</f>
        <v>Non-Chocolate Candy Only</v>
      </c>
      <c r="D60" t="str">
        <f>_xlfn.XLOOKUP($A60,Load!$B:$B,Load!E:E,0,)</f>
        <v>Variety / Mixed Flavors (Fruity, Sour, Seasonal Flavors)</v>
      </c>
      <c r="E60" t="str">
        <f>_xlfn.XLOOKUP($A60,Load!$B:$B,Load!F:F,0,)</f>
        <v>Candy Pieces / Bites</v>
      </c>
      <c r="F60" t="str">
        <f>_xlfn.XLOOKUP($A60,Load!$B:$B,Load!G:G,0,)</f>
        <v>Medium Multipack (40–80 ct)</v>
      </c>
      <c r="G60" t="str">
        <f>_xlfn.XLOOKUP($A60,Load!$B:$B,Load!H:H,0,)</f>
        <v>Stand-Up Bag</v>
      </c>
      <c r="H60" t="str">
        <f>_xlfn.XLOOKUP($A60,Load!$B:$B,Load!I:I,0,)</f>
        <v>Everyday Candy Shapes (like Original, Gummy bear, Fruit, Jewels, etc.)</v>
      </c>
      <c r="I60" t="str">
        <f>_xlfn.XLOOKUP($A60,Load!$B:$B,Load!J:J,0,)</f>
        <v>Seasonal Graphics (Like Bat, Ghost, Pumpkin, Fall Leaves, Eyeballs, etc.)</v>
      </c>
      <c r="J60" t="str">
        <f>_xlfn.XLOOKUP($A60,Load!$B:$B,Load!K:K,0,)</f>
        <v>Small Pieces (Tiny bite size candies)</v>
      </c>
      <c r="K60" t="str">
        <f>_xlfn.XLOOKUP($A60,Load!$B:$B,Load!L:L,0,)</f>
        <v>Unwrapped</v>
      </c>
      <c r="L60" t="str">
        <f>_xlfn.XLOOKUP($A60,Load!$B:$B,Load!M:M,0,)</f>
        <v>Single Brand / Variety Flavors or Form</v>
      </c>
    </row>
    <row r="61" spans="1:12" x14ac:dyDescent="0.25">
      <c r="B61">
        <f>_xlfn.XLOOKUP($A61,Load!$B:$B,Load!C:C,0,)</f>
        <v>0</v>
      </c>
      <c r="C61">
        <f>_xlfn.XLOOKUP($A61,Load!$B:$B,Load!D:D,0,)</f>
        <v>0</v>
      </c>
      <c r="D61">
        <f>_xlfn.XLOOKUP($A61,Load!$B:$B,Load!E:E,0,)</f>
        <v>0</v>
      </c>
      <c r="E61">
        <f>_xlfn.XLOOKUP($A61,Load!$B:$B,Load!F:F,0,)</f>
        <v>0</v>
      </c>
      <c r="F61">
        <f>_xlfn.XLOOKUP($A61,Load!$B:$B,Load!G:G,0,)</f>
        <v>0</v>
      </c>
      <c r="G61">
        <f>_xlfn.XLOOKUP($A61,Load!$B:$B,Load!H:H,0,)</f>
        <v>0</v>
      </c>
      <c r="H61">
        <f>_xlfn.XLOOKUP($A61,Load!$B:$B,Load!I:I,0,)</f>
        <v>0</v>
      </c>
      <c r="I61">
        <f>_xlfn.XLOOKUP($A61,Load!$B:$B,Load!J:J,0,)</f>
        <v>0</v>
      </c>
      <c r="J61">
        <f>_xlfn.XLOOKUP($A61,Load!$B:$B,Load!K:K,0,)</f>
        <v>0</v>
      </c>
      <c r="K61">
        <f>_xlfn.XLOOKUP($A61,Load!$B:$B,Load!L:L,0,)</f>
        <v>0</v>
      </c>
      <c r="L61">
        <f>_xlfn.XLOOKUP($A61,Load!$B:$B,Load!M:M,0,)</f>
        <v>0</v>
      </c>
    </row>
    <row r="62" spans="1:12" x14ac:dyDescent="0.25">
      <c r="A62" t="s">
        <v>255</v>
      </c>
      <c r="B62" t="str">
        <f>_xlfn.XLOOKUP($A62,Load!$B:$B,Load!C:C,0,)</f>
        <v>Skittles</v>
      </c>
      <c r="C62" t="str">
        <f>_xlfn.XLOOKUP($A62,Load!$B:$B,Load!D:D,0,)</f>
        <v>Non-Chocolate Candy Only</v>
      </c>
      <c r="D62" t="str">
        <f>_xlfn.XLOOKUP($A62,Load!$B:$B,Load!E:E,0,)</f>
        <v>Variety / Mixed Flavors (Fruity, Sour, Seasonal Flavors)</v>
      </c>
      <c r="E62" t="str">
        <f>_xlfn.XLOOKUP($A62,Load!$B:$B,Load!F:F,0,)</f>
        <v>Gummy</v>
      </c>
      <c r="F62" t="str">
        <f>_xlfn.XLOOKUP($A62,Load!$B:$B,Load!G:G,0,)</f>
        <v>Large Multipack (More than 80 ct)</v>
      </c>
      <c r="G62" t="str">
        <f>_xlfn.XLOOKUP($A62,Load!$B:$B,Load!H:H,0,)</f>
        <v>Stand-Up Bag</v>
      </c>
      <c r="H62" t="str">
        <f>_xlfn.XLOOKUP($A62,Load!$B:$B,Load!I:I,0,)</f>
        <v>Everyday Candy Shapes (like Original, Gummy bear, Fruit, Jewels, etc.)</v>
      </c>
      <c r="I62" t="str">
        <f>_xlfn.XLOOKUP($A62,Load!$B:$B,Load!J:J,0,)</f>
        <v>Everyday Graphics</v>
      </c>
      <c r="J62" t="str">
        <f>_xlfn.XLOOKUP($A62,Load!$B:$B,Load!K:K,0,)</f>
        <v>Fun Size / Treat Size</v>
      </c>
      <c r="K62" t="str">
        <f>_xlfn.XLOOKUP($A62,Load!$B:$B,Load!L:L,0,)</f>
        <v>Regular/Original Wrapping</v>
      </c>
      <c r="L62" t="str">
        <f>_xlfn.XLOOKUP($A62,Load!$B:$B,Load!M:M,0,)</f>
        <v>Single Brand / Variety Flavors or Form</v>
      </c>
    </row>
    <row r="63" spans="1:12" x14ac:dyDescent="0.25">
      <c r="A63" t="s">
        <v>135</v>
      </c>
      <c r="B63" t="str">
        <f>_xlfn.XLOOKUP($A63,Load!$B:$B,Load!C:C,0,)</f>
        <v>Hershey's Variety Pack</v>
      </c>
      <c r="C63" t="str">
        <f>_xlfn.XLOOKUP($A63,Load!$B:$B,Load!D:D,0,)</f>
        <v>Non-Chocolate Candy Only</v>
      </c>
      <c r="D63" t="str">
        <f>_xlfn.XLOOKUP($A63,Load!$B:$B,Load!E:E,0,)</f>
        <v>Variety / Mixed Flavors (Fruity, Sour, Seasonal Flavors)</v>
      </c>
      <c r="E63" t="str">
        <f>_xlfn.XLOOKUP($A63,Load!$B:$B,Load!F:F,0,)</f>
        <v>Mixed / Combo Packs (Gummy, Chewy, Taffy, etc.)</v>
      </c>
      <c r="F63" t="str">
        <f>_xlfn.XLOOKUP($A63,Load!$B:$B,Load!G:G,0,)</f>
        <v>Large Multipack (More than 80 ct)</v>
      </c>
      <c r="G63" t="str">
        <f>_xlfn.XLOOKUP($A63,Load!$B:$B,Load!H:H,0,)</f>
        <v>Stand-Up Bag</v>
      </c>
      <c r="H63" t="str">
        <f>_xlfn.XLOOKUP($A63,Load!$B:$B,Load!I:I,0,)</f>
        <v>Everyday Candy Shapes (like Original, Gummy bear, Fruit, Jewels, etc.)</v>
      </c>
      <c r="I63" t="str">
        <f>_xlfn.XLOOKUP($A63,Load!$B:$B,Load!J:J,0,)</f>
        <v>Everyday Graphics</v>
      </c>
      <c r="J63" t="str">
        <f>_xlfn.XLOOKUP($A63,Load!$B:$B,Load!K:K,0,)</f>
        <v xml:space="preserve">Variety Candy Sizes </v>
      </c>
      <c r="K63" t="str">
        <f>_xlfn.XLOOKUP($A63,Load!$B:$B,Load!L:L,0,)</f>
        <v>Regular/Original Wrapping</v>
      </c>
      <c r="L63" t="str">
        <f>_xlfn.XLOOKUP($A63,Load!$B:$B,Load!M:M,0,)</f>
        <v>Multiple Brands / Variety Flavors or Form</v>
      </c>
    </row>
    <row r="64" spans="1:12" x14ac:dyDescent="0.25">
      <c r="A64" t="s">
        <v>261</v>
      </c>
      <c r="B64" t="str">
        <f>_xlfn.XLOOKUP($A64,Load!$B:$B,Load!C:C,0,)</f>
        <v>Skittles</v>
      </c>
      <c r="C64" t="str">
        <f>_xlfn.XLOOKUP($A64,Load!$B:$B,Load!D:D,0,)</f>
        <v>Non-Chocolate Candy Only</v>
      </c>
      <c r="D64" t="str">
        <f>_xlfn.XLOOKUP($A64,Load!$B:$B,Load!E:E,0,)</f>
        <v>Fruit Flavor (Cherry, Grape, Apple, Citrus, Tropical Fruit)</v>
      </c>
      <c r="E64" t="str">
        <f>_xlfn.XLOOKUP($A64,Load!$B:$B,Load!F:F,0,)</f>
        <v>Candy Pieces / Bites</v>
      </c>
      <c r="F64" t="str">
        <f>_xlfn.XLOOKUP($A64,Load!$B:$B,Load!G:G,0,)</f>
        <v>Single Pack</v>
      </c>
      <c r="G64" t="str">
        <f>_xlfn.XLOOKUP($A64,Load!$B:$B,Load!H:H,0,)</f>
        <v>Laydown Bag</v>
      </c>
      <c r="H64" t="str">
        <f>_xlfn.XLOOKUP($A64,Load!$B:$B,Load!I:I,0,)</f>
        <v>Everyday Candy Shapes (like Original, Gummy bear, Fruit, Jewels, etc.)</v>
      </c>
      <c r="I64" t="str">
        <f>_xlfn.XLOOKUP($A64,Load!$B:$B,Load!J:J,0,)</f>
        <v>Everyday Graphics</v>
      </c>
      <c r="J64" t="str">
        <f>_xlfn.XLOOKUP($A64,Load!$B:$B,Load!K:K,0,)</f>
        <v>Small Pieces (Tiny bite size candies)</v>
      </c>
      <c r="K64" t="str">
        <f>_xlfn.XLOOKUP($A64,Load!$B:$B,Load!L:L,0,)</f>
        <v>Unwrapped</v>
      </c>
      <c r="L64" t="str">
        <f>_xlfn.XLOOKUP($A64,Load!$B:$B,Load!M:M,0,)</f>
        <v>Single Brand / Single Flavor or Form</v>
      </c>
    </row>
    <row r="65" spans="1:12" x14ac:dyDescent="0.25">
      <c r="B65">
        <f>_xlfn.XLOOKUP($A65,Load!$B:$B,Load!C:C,0,)</f>
        <v>0</v>
      </c>
      <c r="C65">
        <f>_xlfn.XLOOKUP($A65,Load!$B:$B,Load!D:D,0,)</f>
        <v>0</v>
      </c>
      <c r="D65">
        <f>_xlfn.XLOOKUP($A65,Load!$B:$B,Load!E:E,0,)</f>
        <v>0</v>
      </c>
      <c r="E65">
        <f>_xlfn.XLOOKUP($A65,Load!$B:$B,Load!F:F,0,)</f>
        <v>0</v>
      </c>
      <c r="F65">
        <f>_xlfn.XLOOKUP($A65,Load!$B:$B,Load!G:G,0,)</f>
        <v>0</v>
      </c>
      <c r="G65">
        <f>_xlfn.XLOOKUP($A65,Load!$B:$B,Load!H:H,0,)</f>
        <v>0</v>
      </c>
      <c r="H65">
        <f>_xlfn.XLOOKUP($A65,Load!$B:$B,Load!I:I,0,)</f>
        <v>0</v>
      </c>
      <c r="I65">
        <f>_xlfn.XLOOKUP($A65,Load!$B:$B,Load!J:J,0,)</f>
        <v>0</v>
      </c>
      <c r="J65">
        <f>_xlfn.XLOOKUP($A65,Load!$B:$B,Load!K:K,0,)</f>
        <v>0</v>
      </c>
      <c r="K65">
        <f>_xlfn.XLOOKUP($A65,Load!$B:$B,Load!L:L,0,)</f>
        <v>0</v>
      </c>
      <c r="L65">
        <f>_xlfn.XLOOKUP($A65,Load!$B:$B,Load!M:M,0,)</f>
        <v>0</v>
      </c>
    </row>
    <row r="66" spans="1:12" x14ac:dyDescent="0.25">
      <c r="B66">
        <f>_xlfn.XLOOKUP($A66,Load!$B:$B,Load!C:C,0,)</f>
        <v>0</v>
      </c>
      <c r="C66">
        <f>_xlfn.XLOOKUP($A66,Load!$B:$B,Load!D:D,0,)</f>
        <v>0</v>
      </c>
      <c r="D66">
        <f>_xlfn.XLOOKUP($A66,Load!$B:$B,Load!E:E,0,)</f>
        <v>0</v>
      </c>
      <c r="E66">
        <f>_xlfn.XLOOKUP($A66,Load!$B:$B,Load!F:F,0,)</f>
        <v>0</v>
      </c>
      <c r="F66">
        <f>_xlfn.XLOOKUP($A66,Load!$B:$B,Load!G:G,0,)</f>
        <v>0</v>
      </c>
      <c r="G66">
        <f>_xlfn.XLOOKUP($A66,Load!$B:$B,Load!H:H,0,)</f>
        <v>0</v>
      </c>
      <c r="H66">
        <f>_xlfn.XLOOKUP($A66,Load!$B:$B,Load!I:I,0,)</f>
        <v>0</v>
      </c>
      <c r="I66">
        <f>_xlfn.XLOOKUP($A66,Load!$B:$B,Load!J:J,0,)</f>
        <v>0</v>
      </c>
      <c r="J66">
        <f>_xlfn.XLOOKUP($A66,Load!$B:$B,Load!K:K,0,)</f>
        <v>0</v>
      </c>
      <c r="K66">
        <f>_xlfn.XLOOKUP($A66,Load!$B:$B,Load!L:L,0,)</f>
        <v>0</v>
      </c>
      <c r="L66">
        <f>_xlfn.XLOOKUP($A66,Load!$B:$B,Load!M:M,0,)</f>
        <v>0</v>
      </c>
    </row>
    <row r="67" spans="1:12" x14ac:dyDescent="0.25">
      <c r="B67">
        <f>_xlfn.XLOOKUP($A67,Load!$B:$B,Load!C:C,0,)</f>
        <v>0</v>
      </c>
      <c r="C67">
        <f>_xlfn.XLOOKUP($A67,Load!$B:$B,Load!D:D,0,)</f>
        <v>0</v>
      </c>
      <c r="D67">
        <f>_xlfn.XLOOKUP($A67,Load!$B:$B,Load!E:E,0,)</f>
        <v>0</v>
      </c>
      <c r="E67">
        <f>_xlfn.XLOOKUP($A67,Load!$B:$B,Load!F:F,0,)</f>
        <v>0</v>
      </c>
      <c r="F67">
        <f>_xlfn.XLOOKUP($A67,Load!$B:$B,Load!G:G,0,)</f>
        <v>0</v>
      </c>
      <c r="G67">
        <f>_xlfn.XLOOKUP($A67,Load!$B:$B,Load!H:H,0,)</f>
        <v>0</v>
      </c>
      <c r="H67">
        <f>_xlfn.XLOOKUP($A67,Load!$B:$B,Load!I:I,0,)</f>
        <v>0</v>
      </c>
      <c r="I67">
        <f>_xlfn.XLOOKUP($A67,Load!$B:$B,Load!J:J,0,)</f>
        <v>0</v>
      </c>
      <c r="J67">
        <f>_xlfn.XLOOKUP($A67,Load!$B:$B,Load!K:K,0,)</f>
        <v>0</v>
      </c>
      <c r="K67">
        <f>_xlfn.XLOOKUP($A67,Load!$B:$B,Load!L:L,0,)</f>
        <v>0</v>
      </c>
      <c r="L67">
        <f>_xlfn.XLOOKUP($A67,Load!$B:$B,Load!M:M,0,)</f>
        <v>0</v>
      </c>
    </row>
    <row r="68" spans="1:12" x14ac:dyDescent="0.25">
      <c r="A68" t="s">
        <v>111</v>
      </c>
      <c r="B68" t="str">
        <f>_xlfn.XLOOKUP($A68,Load!$B:$B,Load!C:C,0,)</f>
        <v>Frankford</v>
      </c>
      <c r="C68" t="str">
        <f>_xlfn.XLOOKUP($A68,Load!$B:$B,Load!D:D,0,)</f>
        <v>Non-Chocolate Candy Only</v>
      </c>
      <c r="D68" t="str">
        <f>_xlfn.XLOOKUP($A68,Load!$B:$B,Load!E:E,0,)</f>
        <v>Variety / Mixed Flavors (Fruity, Sour, Seasonal Flavors)</v>
      </c>
      <c r="E68" t="str">
        <f>_xlfn.XLOOKUP($A68,Load!$B:$B,Load!F:F,0,)</f>
        <v>Gummy</v>
      </c>
      <c r="F68" t="str">
        <f>_xlfn.XLOOKUP($A68,Load!$B:$B,Load!G:G,0,)</f>
        <v>Medium Multipack (40–80 ct)</v>
      </c>
      <c r="G68" t="str">
        <f>_xlfn.XLOOKUP($A68,Load!$B:$B,Load!H:H,0,)</f>
        <v>Stand-Up Bag</v>
      </c>
      <c r="H68" t="str">
        <f>_xlfn.XLOOKUP($A68,Load!$B:$B,Load!I:I,0,)</f>
        <v>Seasonal Shapes (like pumpkins, candy corn, ghost, bats, etc.)</v>
      </c>
      <c r="I68" t="str">
        <f>_xlfn.XLOOKUP($A68,Load!$B:$B,Load!J:J,0,)</f>
        <v>Seasonal Graphics (Like Bat, Ghost, Pumpkin, Fall Leaves, Eyeballs, etc.)</v>
      </c>
      <c r="J68" t="str">
        <f>_xlfn.XLOOKUP($A68,Load!$B:$B,Load!K:K,0,)</f>
        <v>Fun Size / Treat Size</v>
      </c>
      <c r="K68" t="str">
        <f>_xlfn.XLOOKUP($A68,Load!$B:$B,Load!L:L,0,)</f>
        <v>Regular/Original Wrapping</v>
      </c>
      <c r="L68" t="str">
        <f>_xlfn.XLOOKUP($A68,Load!$B:$B,Load!M:M,0,)</f>
        <v>Single Brand / Variety Flavors or Form</v>
      </c>
    </row>
    <row r="69" spans="1:12" x14ac:dyDescent="0.25">
      <c r="B69">
        <f>_xlfn.XLOOKUP($A69,Load!$B:$B,Load!C:C,0,)</f>
        <v>0</v>
      </c>
      <c r="C69">
        <f>_xlfn.XLOOKUP($A69,Load!$B:$B,Load!D:D,0,)</f>
        <v>0</v>
      </c>
      <c r="D69">
        <f>_xlfn.XLOOKUP($A69,Load!$B:$B,Load!E:E,0,)</f>
        <v>0</v>
      </c>
      <c r="E69">
        <f>_xlfn.XLOOKUP($A69,Load!$B:$B,Load!F:F,0,)</f>
        <v>0</v>
      </c>
      <c r="F69">
        <f>_xlfn.XLOOKUP($A69,Load!$B:$B,Load!G:G,0,)</f>
        <v>0</v>
      </c>
      <c r="G69">
        <f>_xlfn.XLOOKUP($A69,Load!$B:$B,Load!H:H,0,)</f>
        <v>0</v>
      </c>
      <c r="H69">
        <f>_xlfn.XLOOKUP($A69,Load!$B:$B,Load!I:I,0,)</f>
        <v>0</v>
      </c>
      <c r="I69">
        <f>_xlfn.XLOOKUP($A69,Load!$B:$B,Load!J:J,0,)</f>
        <v>0</v>
      </c>
      <c r="J69">
        <f>_xlfn.XLOOKUP($A69,Load!$B:$B,Load!K:K,0,)</f>
        <v>0</v>
      </c>
      <c r="K69">
        <f>_xlfn.XLOOKUP($A69,Load!$B:$B,Load!L:L,0,)</f>
        <v>0</v>
      </c>
      <c r="L69">
        <f>_xlfn.XLOOKUP($A69,Load!$B:$B,Load!M:M,0,)</f>
        <v>0</v>
      </c>
    </row>
    <row r="70" spans="1:12" x14ac:dyDescent="0.25">
      <c r="B70">
        <f>_xlfn.XLOOKUP($A70,Load!$B:$B,Load!C:C,0,)</f>
        <v>0</v>
      </c>
      <c r="C70">
        <f>_xlfn.XLOOKUP($A70,Load!$B:$B,Load!D:D,0,)</f>
        <v>0</v>
      </c>
      <c r="D70">
        <f>_xlfn.XLOOKUP($A70,Load!$B:$B,Load!E:E,0,)</f>
        <v>0</v>
      </c>
      <c r="E70">
        <f>_xlfn.XLOOKUP($A70,Load!$B:$B,Load!F:F,0,)</f>
        <v>0</v>
      </c>
      <c r="F70">
        <f>_xlfn.XLOOKUP($A70,Load!$B:$B,Load!G:G,0,)</f>
        <v>0</v>
      </c>
      <c r="G70">
        <f>_xlfn.XLOOKUP($A70,Load!$B:$B,Load!H:H,0,)</f>
        <v>0</v>
      </c>
      <c r="H70">
        <f>_xlfn.XLOOKUP($A70,Load!$B:$B,Load!I:I,0,)</f>
        <v>0</v>
      </c>
      <c r="I70">
        <f>_xlfn.XLOOKUP($A70,Load!$B:$B,Load!J:J,0,)</f>
        <v>0</v>
      </c>
      <c r="J70">
        <f>_xlfn.XLOOKUP($A70,Load!$B:$B,Load!K:K,0,)</f>
        <v>0</v>
      </c>
      <c r="K70">
        <f>_xlfn.XLOOKUP($A70,Load!$B:$B,Load!L:L,0,)</f>
        <v>0</v>
      </c>
      <c r="L70">
        <f>_xlfn.XLOOKUP($A70,Load!$B:$B,Load!M:M,0,)</f>
        <v>0</v>
      </c>
    </row>
    <row r="71" spans="1:12" x14ac:dyDescent="0.25">
      <c r="B71">
        <f>_xlfn.XLOOKUP($A71,Load!$B:$B,Load!C:C,0,)</f>
        <v>0</v>
      </c>
      <c r="C71">
        <f>_xlfn.XLOOKUP($A71,Load!$B:$B,Load!D:D,0,)</f>
        <v>0</v>
      </c>
      <c r="D71">
        <f>_xlfn.XLOOKUP($A71,Load!$B:$B,Load!E:E,0,)</f>
        <v>0</v>
      </c>
      <c r="E71">
        <f>_xlfn.XLOOKUP($A71,Load!$B:$B,Load!F:F,0,)</f>
        <v>0</v>
      </c>
      <c r="F71">
        <f>_xlfn.XLOOKUP($A71,Load!$B:$B,Load!G:G,0,)</f>
        <v>0</v>
      </c>
      <c r="G71">
        <f>_xlfn.XLOOKUP($A71,Load!$B:$B,Load!H:H,0,)</f>
        <v>0</v>
      </c>
      <c r="H71">
        <f>_xlfn.XLOOKUP($A71,Load!$B:$B,Load!I:I,0,)</f>
        <v>0</v>
      </c>
      <c r="I71">
        <f>_xlfn.XLOOKUP($A71,Load!$B:$B,Load!J:J,0,)</f>
        <v>0</v>
      </c>
      <c r="J71">
        <f>_xlfn.XLOOKUP($A71,Load!$B:$B,Load!K:K,0,)</f>
        <v>0</v>
      </c>
      <c r="K71">
        <f>_xlfn.XLOOKUP($A71,Load!$B:$B,Load!L:L,0,)</f>
        <v>0</v>
      </c>
      <c r="L71">
        <f>_xlfn.XLOOKUP($A71,Load!$B:$B,Load!M:M,0,)</f>
        <v>0</v>
      </c>
    </row>
    <row r="72" spans="1:12" x14ac:dyDescent="0.25">
      <c r="A72" t="s">
        <v>71</v>
      </c>
      <c r="B72" t="str">
        <f>_xlfn.XLOOKUP($A72,Load!$B:$B,Load!C:C,0,)</f>
        <v>Dum Dums</v>
      </c>
      <c r="C72" t="str">
        <f>_xlfn.XLOOKUP($A72,Load!$B:$B,Load!D:D,0,)</f>
        <v>Non-Chocolate Candy Only</v>
      </c>
      <c r="D72" t="str">
        <f>_xlfn.XLOOKUP($A72,Load!$B:$B,Load!E:E,0,)</f>
        <v>Sweet</v>
      </c>
      <c r="E72" t="str">
        <f>_xlfn.XLOOKUP($A72,Load!$B:$B,Load!F:F,0,)</f>
        <v>Lollipop (regular or lollipop rings)</v>
      </c>
      <c r="F72" t="str">
        <f>_xlfn.XLOOKUP($A72,Load!$B:$B,Load!G:G,0,)</f>
        <v>Large Multipack (More than 80 ct)</v>
      </c>
      <c r="G72" t="str">
        <f>_xlfn.XLOOKUP($A72,Load!$B:$B,Load!H:H,0,)</f>
        <v>Stand-Up Bag</v>
      </c>
      <c r="H72" t="str">
        <f>_xlfn.XLOOKUP($A72,Load!$B:$B,Load!I:I,0,)</f>
        <v>Everyday Candy Shapes (like Original, Gummy bear, Fruit, Jewels, etc.)</v>
      </c>
      <c r="I72" t="str">
        <f>_xlfn.XLOOKUP($A72,Load!$B:$B,Load!J:J,0,)</f>
        <v>Seasonal Graphics (Like Bat, Ghost, Pumpkin, Fall Leaves, Eyeballs, etc.)</v>
      </c>
      <c r="J72" t="str">
        <f>_xlfn.XLOOKUP($A72,Load!$B:$B,Load!K:K,0,)</f>
        <v>Regular Lollipop size (on sticks or rings)</v>
      </c>
      <c r="K72" t="str">
        <f>_xlfn.XLOOKUP($A72,Load!$B:$B,Load!L:L,0,)</f>
        <v>Regular/Original Wrapping</v>
      </c>
      <c r="L72" t="str">
        <f>_xlfn.XLOOKUP($A72,Load!$B:$B,Load!M:M,0,)</f>
        <v>Multiple Brands / Variety Flavors or Form</v>
      </c>
    </row>
    <row r="73" spans="1:12" x14ac:dyDescent="0.25">
      <c r="B73">
        <f>_xlfn.XLOOKUP($A73,Load!$B:$B,Load!C:C,0,)</f>
        <v>0</v>
      </c>
      <c r="C73">
        <f>_xlfn.XLOOKUP($A73,Load!$B:$B,Load!D:D,0,)</f>
        <v>0</v>
      </c>
      <c r="D73">
        <f>_xlfn.XLOOKUP($A73,Load!$B:$B,Load!E:E,0,)</f>
        <v>0</v>
      </c>
      <c r="E73">
        <f>_xlfn.XLOOKUP($A73,Load!$B:$B,Load!F:F,0,)</f>
        <v>0</v>
      </c>
      <c r="F73">
        <f>_xlfn.XLOOKUP($A73,Load!$B:$B,Load!G:G,0,)</f>
        <v>0</v>
      </c>
      <c r="G73">
        <f>_xlfn.XLOOKUP($A73,Load!$B:$B,Load!H:H,0,)</f>
        <v>0</v>
      </c>
      <c r="H73">
        <f>_xlfn.XLOOKUP($A73,Load!$B:$B,Load!I:I,0,)</f>
        <v>0</v>
      </c>
      <c r="I73">
        <f>_xlfn.XLOOKUP($A73,Load!$B:$B,Load!J:J,0,)</f>
        <v>0</v>
      </c>
      <c r="J73">
        <f>_xlfn.XLOOKUP($A73,Load!$B:$B,Load!K:K,0,)</f>
        <v>0</v>
      </c>
      <c r="K73">
        <f>_xlfn.XLOOKUP($A73,Load!$B:$B,Load!L:L,0,)</f>
        <v>0</v>
      </c>
      <c r="L73">
        <f>_xlfn.XLOOKUP($A73,Load!$B:$B,Load!M:M,0,)</f>
        <v>0</v>
      </c>
    </row>
    <row r="74" spans="1:12" x14ac:dyDescent="0.25">
      <c r="B74">
        <f>_xlfn.XLOOKUP($A74,Load!$B:$B,Load!C:C,0,)</f>
        <v>0</v>
      </c>
      <c r="C74">
        <f>_xlfn.XLOOKUP($A74,Load!$B:$B,Load!D:D,0,)</f>
        <v>0</v>
      </c>
      <c r="D74">
        <f>_xlfn.XLOOKUP($A74,Load!$B:$B,Load!E:E,0,)</f>
        <v>0</v>
      </c>
      <c r="E74">
        <f>_xlfn.XLOOKUP($A74,Load!$B:$B,Load!F:F,0,)</f>
        <v>0</v>
      </c>
      <c r="F74">
        <f>_xlfn.XLOOKUP($A74,Load!$B:$B,Load!G:G,0,)</f>
        <v>0</v>
      </c>
      <c r="G74">
        <f>_xlfn.XLOOKUP($A74,Load!$B:$B,Load!H:H,0,)</f>
        <v>0</v>
      </c>
      <c r="H74">
        <f>_xlfn.XLOOKUP($A74,Load!$B:$B,Load!I:I,0,)</f>
        <v>0</v>
      </c>
      <c r="I74">
        <f>_xlfn.XLOOKUP($A74,Load!$B:$B,Load!J:J,0,)</f>
        <v>0</v>
      </c>
      <c r="J74">
        <f>_xlfn.XLOOKUP($A74,Load!$B:$B,Load!K:K,0,)</f>
        <v>0</v>
      </c>
      <c r="K74">
        <f>_xlfn.XLOOKUP($A74,Load!$B:$B,Load!L:L,0,)</f>
        <v>0</v>
      </c>
      <c r="L74">
        <f>_xlfn.XLOOKUP($A74,Load!$B:$B,Load!M:M,0,)</f>
        <v>0</v>
      </c>
    </row>
    <row r="75" spans="1:12" x14ac:dyDescent="0.25">
      <c r="B75">
        <f>_xlfn.XLOOKUP($A75,Load!$B:$B,Load!C:C,0,)</f>
        <v>0</v>
      </c>
      <c r="C75">
        <f>_xlfn.XLOOKUP($A75,Load!$B:$B,Load!D:D,0,)</f>
        <v>0</v>
      </c>
      <c r="D75">
        <f>_xlfn.XLOOKUP($A75,Load!$B:$B,Load!E:E,0,)</f>
        <v>0</v>
      </c>
      <c r="E75">
        <f>_xlfn.XLOOKUP($A75,Load!$B:$B,Load!F:F,0,)</f>
        <v>0</v>
      </c>
      <c r="F75">
        <f>_xlfn.XLOOKUP($A75,Load!$B:$B,Load!G:G,0,)</f>
        <v>0</v>
      </c>
      <c r="G75">
        <f>_xlfn.XLOOKUP($A75,Load!$B:$B,Load!H:H,0,)</f>
        <v>0</v>
      </c>
      <c r="H75">
        <f>_xlfn.XLOOKUP($A75,Load!$B:$B,Load!I:I,0,)</f>
        <v>0</v>
      </c>
      <c r="I75">
        <f>_xlfn.XLOOKUP($A75,Load!$B:$B,Load!J:J,0,)</f>
        <v>0</v>
      </c>
      <c r="J75">
        <f>_xlfn.XLOOKUP($A75,Load!$B:$B,Load!K:K,0,)</f>
        <v>0</v>
      </c>
      <c r="K75">
        <f>_xlfn.XLOOKUP($A75,Load!$B:$B,Load!L:L,0,)</f>
        <v>0</v>
      </c>
      <c r="L75">
        <f>_xlfn.XLOOKUP($A75,Load!$B:$B,Load!M:M,0,)</f>
        <v>0</v>
      </c>
    </row>
    <row r="76" spans="1:12" x14ac:dyDescent="0.25">
      <c r="B76">
        <f>_xlfn.XLOOKUP($A76,Load!$B:$B,Load!C:C,0,)</f>
        <v>0</v>
      </c>
      <c r="C76">
        <f>_xlfn.XLOOKUP($A76,Load!$B:$B,Load!D:D,0,)</f>
        <v>0</v>
      </c>
      <c r="D76">
        <f>_xlfn.XLOOKUP($A76,Load!$B:$B,Load!E:E,0,)</f>
        <v>0</v>
      </c>
      <c r="E76">
        <f>_xlfn.XLOOKUP($A76,Load!$B:$B,Load!F:F,0,)</f>
        <v>0</v>
      </c>
      <c r="F76">
        <f>_xlfn.XLOOKUP($A76,Load!$B:$B,Load!G:G,0,)</f>
        <v>0</v>
      </c>
      <c r="G76">
        <f>_xlfn.XLOOKUP($A76,Load!$B:$B,Load!H:H,0,)</f>
        <v>0</v>
      </c>
      <c r="H76">
        <f>_xlfn.XLOOKUP($A76,Load!$B:$B,Load!I:I,0,)</f>
        <v>0</v>
      </c>
      <c r="I76">
        <f>_xlfn.XLOOKUP($A76,Load!$B:$B,Load!J:J,0,)</f>
        <v>0</v>
      </c>
      <c r="J76">
        <f>_xlfn.XLOOKUP($A76,Load!$B:$B,Load!K:K,0,)</f>
        <v>0</v>
      </c>
      <c r="K76">
        <f>_xlfn.XLOOKUP($A76,Load!$B:$B,Load!L:L,0,)</f>
        <v>0</v>
      </c>
      <c r="L76">
        <f>_xlfn.XLOOKUP($A76,Load!$B:$B,Load!M:M,0,)</f>
        <v>0</v>
      </c>
    </row>
    <row r="77" spans="1:12" x14ac:dyDescent="0.25">
      <c r="B77">
        <f>_xlfn.XLOOKUP($A77,Load!$B:$B,Load!C:C,0,)</f>
        <v>0</v>
      </c>
      <c r="C77">
        <f>_xlfn.XLOOKUP($A77,Load!$B:$B,Load!D:D,0,)</f>
        <v>0</v>
      </c>
      <c r="D77">
        <f>_xlfn.XLOOKUP($A77,Load!$B:$B,Load!E:E,0,)</f>
        <v>0</v>
      </c>
      <c r="E77">
        <f>_xlfn.XLOOKUP($A77,Load!$B:$B,Load!F:F,0,)</f>
        <v>0</v>
      </c>
      <c r="F77">
        <f>_xlfn.XLOOKUP($A77,Load!$B:$B,Load!G:G,0,)</f>
        <v>0</v>
      </c>
      <c r="G77">
        <f>_xlfn.XLOOKUP($A77,Load!$B:$B,Load!H:H,0,)</f>
        <v>0</v>
      </c>
      <c r="H77">
        <f>_xlfn.XLOOKUP($A77,Load!$B:$B,Load!I:I,0,)</f>
        <v>0</v>
      </c>
      <c r="I77">
        <f>_xlfn.XLOOKUP($A77,Load!$B:$B,Load!J:J,0,)</f>
        <v>0</v>
      </c>
      <c r="J77">
        <f>_xlfn.XLOOKUP($A77,Load!$B:$B,Load!K:K,0,)</f>
        <v>0</v>
      </c>
      <c r="K77">
        <f>_xlfn.XLOOKUP($A77,Load!$B:$B,Load!L:L,0,)</f>
        <v>0</v>
      </c>
      <c r="L77">
        <f>_xlfn.XLOOKUP($A77,Load!$B:$B,Load!M:M,0,)</f>
        <v>0</v>
      </c>
    </row>
    <row r="78" spans="1:12" x14ac:dyDescent="0.25">
      <c r="A78" t="s">
        <v>157</v>
      </c>
      <c r="B78" t="str">
        <f>_xlfn.XLOOKUP($A78,Load!$B:$B,Load!C:C,0,)</f>
        <v>Jolly Rancher</v>
      </c>
      <c r="C78" t="str">
        <f>_xlfn.XLOOKUP($A78,Load!$B:$B,Load!D:D,0,)</f>
        <v>Non-Chocolate Candy Only</v>
      </c>
      <c r="D78" t="str">
        <f>_xlfn.XLOOKUP($A78,Load!$B:$B,Load!E:E,0,)</f>
        <v>Fruit Flavor (Cherry, Grape, Apple, Citrus, Tropical Fruit)</v>
      </c>
      <c r="E78" t="str">
        <f>_xlfn.XLOOKUP($A78,Load!$B:$B,Load!F:F,0,)</f>
        <v>Hard Candy</v>
      </c>
      <c r="F78" t="str">
        <f>_xlfn.XLOOKUP($A78,Load!$B:$B,Load!G:G,0,)</f>
        <v>Single Pack</v>
      </c>
      <c r="G78" t="str">
        <f>_xlfn.XLOOKUP($A78,Load!$B:$B,Load!H:H,0,)</f>
        <v>Laydown Bag</v>
      </c>
      <c r="H78" t="str">
        <f>_xlfn.XLOOKUP($A78,Load!$B:$B,Load!I:I,0,)</f>
        <v>Everyday Candy Shapes (like Original, Gummy bear, Fruit, Jewels, etc.)</v>
      </c>
      <c r="I78" t="str">
        <f>_xlfn.XLOOKUP($A78,Load!$B:$B,Load!J:J,0,)</f>
        <v>Everyday Graphics</v>
      </c>
      <c r="J78" t="str">
        <f>_xlfn.XLOOKUP($A78,Load!$B:$B,Load!K:K,0,)</f>
        <v>Small Pieces (Tiny bite size candies)</v>
      </c>
      <c r="K78" t="str">
        <f>_xlfn.XLOOKUP($A78,Load!$B:$B,Load!L:L,0,)</f>
        <v>Regular/Original Wrapping</v>
      </c>
      <c r="L78" t="str">
        <f>_xlfn.XLOOKUP($A78,Load!$B:$B,Load!M:M,0,)</f>
        <v>Single Brand / Variety Flavors or Form</v>
      </c>
    </row>
    <row r="79" spans="1:12" x14ac:dyDescent="0.25">
      <c r="B79">
        <f>_xlfn.XLOOKUP($A79,Load!$B:$B,Load!C:C,0,)</f>
        <v>0</v>
      </c>
      <c r="C79">
        <f>_xlfn.XLOOKUP($A79,Load!$B:$B,Load!D:D,0,)</f>
        <v>0</v>
      </c>
      <c r="D79">
        <f>_xlfn.XLOOKUP($A79,Load!$B:$B,Load!E:E,0,)</f>
        <v>0</v>
      </c>
      <c r="E79">
        <f>_xlfn.XLOOKUP($A79,Load!$B:$B,Load!F:F,0,)</f>
        <v>0</v>
      </c>
      <c r="F79">
        <f>_xlfn.XLOOKUP($A79,Load!$B:$B,Load!G:G,0,)</f>
        <v>0</v>
      </c>
      <c r="G79">
        <f>_xlfn.XLOOKUP($A79,Load!$B:$B,Load!H:H,0,)</f>
        <v>0</v>
      </c>
      <c r="H79">
        <f>_xlfn.XLOOKUP($A79,Load!$B:$B,Load!I:I,0,)</f>
        <v>0</v>
      </c>
      <c r="I79">
        <f>_xlfn.XLOOKUP($A79,Load!$B:$B,Load!J:J,0,)</f>
        <v>0</v>
      </c>
      <c r="J79">
        <f>_xlfn.XLOOKUP($A79,Load!$B:$B,Load!K:K,0,)</f>
        <v>0</v>
      </c>
      <c r="K79">
        <f>_xlfn.XLOOKUP($A79,Load!$B:$B,Load!L:L,0,)</f>
        <v>0</v>
      </c>
      <c r="L79">
        <f>_xlfn.XLOOKUP($A79,Load!$B:$B,Load!M:M,0,)</f>
        <v>0</v>
      </c>
    </row>
    <row r="80" spans="1:12" x14ac:dyDescent="0.25">
      <c r="A80" t="s">
        <v>327</v>
      </c>
      <c r="B80" t="str">
        <f>_xlfn.XLOOKUP($A80,Load!$B:$B,Load!C:C,0,)</f>
        <v>Googly Eyes</v>
      </c>
      <c r="C80" t="str">
        <f>_xlfn.XLOOKUP($A80,Load!$B:$B,Load!D:D,0,)</f>
        <v>Non-Chocolate Candy Only</v>
      </c>
      <c r="D80" t="str">
        <f>_xlfn.XLOOKUP($A80,Load!$B:$B,Load!E:E,0,)</f>
        <v>Variety / Mixed Flavors (Fruity, Sour, Seasonal Flavors)</v>
      </c>
      <c r="E80" t="str">
        <f>_xlfn.XLOOKUP($A80,Load!$B:$B,Load!F:F,0,)</f>
        <v>Candy Pieces / Bites</v>
      </c>
      <c r="F80" t="str">
        <f>_xlfn.XLOOKUP($A80,Load!$B:$B,Load!G:G,0,)</f>
        <v>Small Multipack (Less than 40 ct)</v>
      </c>
      <c r="G80" t="str">
        <f>_xlfn.XLOOKUP($A80,Load!$B:$B,Load!H:H,0,)</f>
        <v>Plastic Cup / Container</v>
      </c>
      <c r="H80" t="str">
        <f>_xlfn.XLOOKUP($A80,Load!$B:$B,Load!I:I,0,)</f>
        <v>Seasonal Shapes (like pumpkins, candy corn, ghost, bats, etc.)</v>
      </c>
      <c r="I80" t="str">
        <f>_xlfn.XLOOKUP($A80,Load!$B:$B,Load!J:J,0,)</f>
        <v>Seasonal Graphics (Like Bat, Ghost, Pumpkin, Fall Leaves, Eyeballs, etc.)</v>
      </c>
      <c r="J80" t="str">
        <f>_xlfn.XLOOKUP($A80,Load!$B:$B,Load!K:K,0,)</f>
        <v>Fun Size / Treat Size</v>
      </c>
      <c r="K80" t="str">
        <f>_xlfn.XLOOKUP($A80,Load!$B:$B,Load!L:L,0,)</f>
        <v>Regular/Original Wrapping</v>
      </c>
      <c r="L80" t="str">
        <f>_xlfn.XLOOKUP($A80,Load!$B:$B,Load!M:M,0,)</f>
        <v>Single Brand / Variety Flavors or Form</v>
      </c>
    </row>
    <row r="81" spans="1:12" x14ac:dyDescent="0.25">
      <c r="B81">
        <f>_xlfn.XLOOKUP($A81,Load!$B:$B,Load!C:C,0,)</f>
        <v>0</v>
      </c>
      <c r="C81">
        <f>_xlfn.XLOOKUP($A81,Load!$B:$B,Load!D:D,0,)</f>
        <v>0</v>
      </c>
      <c r="D81">
        <f>_xlfn.XLOOKUP($A81,Load!$B:$B,Load!E:E,0,)</f>
        <v>0</v>
      </c>
      <c r="E81">
        <f>_xlfn.XLOOKUP($A81,Load!$B:$B,Load!F:F,0,)</f>
        <v>0</v>
      </c>
      <c r="F81">
        <f>_xlfn.XLOOKUP($A81,Load!$B:$B,Load!G:G,0,)</f>
        <v>0</v>
      </c>
      <c r="G81">
        <f>_xlfn.XLOOKUP($A81,Load!$B:$B,Load!H:H,0,)</f>
        <v>0</v>
      </c>
      <c r="H81">
        <f>_xlfn.XLOOKUP($A81,Load!$B:$B,Load!I:I,0,)</f>
        <v>0</v>
      </c>
      <c r="I81">
        <f>_xlfn.XLOOKUP($A81,Load!$B:$B,Load!J:J,0,)</f>
        <v>0</v>
      </c>
      <c r="J81">
        <f>_xlfn.XLOOKUP($A81,Load!$B:$B,Load!K:K,0,)</f>
        <v>0</v>
      </c>
      <c r="K81">
        <f>_xlfn.XLOOKUP($A81,Load!$B:$B,Load!L:L,0,)</f>
        <v>0</v>
      </c>
      <c r="L81">
        <f>_xlfn.XLOOKUP($A81,Load!$B:$B,Load!M:M,0,)</f>
        <v>0</v>
      </c>
    </row>
    <row r="82" spans="1:12" x14ac:dyDescent="0.25">
      <c r="B82">
        <f>_xlfn.XLOOKUP($A82,Load!$B:$B,Load!C:C,0,)</f>
        <v>0</v>
      </c>
      <c r="C82">
        <f>_xlfn.XLOOKUP($A82,Load!$B:$B,Load!D:D,0,)</f>
        <v>0</v>
      </c>
      <c r="D82">
        <f>_xlfn.XLOOKUP($A82,Load!$B:$B,Load!E:E,0,)</f>
        <v>0</v>
      </c>
      <c r="E82">
        <f>_xlfn.XLOOKUP($A82,Load!$B:$B,Load!F:F,0,)</f>
        <v>0</v>
      </c>
      <c r="F82">
        <f>_xlfn.XLOOKUP($A82,Load!$B:$B,Load!G:G,0,)</f>
        <v>0</v>
      </c>
      <c r="G82">
        <f>_xlfn.XLOOKUP($A82,Load!$B:$B,Load!H:H,0,)</f>
        <v>0</v>
      </c>
      <c r="H82">
        <f>_xlfn.XLOOKUP($A82,Load!$B:$B,Load!I:I,0,)</f>
        <v>0</v>
      </c>
      <c r="I82">
        <f>_xlfn.XLOOKUP($A82,Load!$B:$B,Load!J:J,0,)</f>
        <v>0</v>
      </c>
      <c r="J82">
        <f>_xlfn.XLOOKUP($A82,Load!$B:$B,Load!K:K,0,)</f>
        <v>0</v>
      </c>
      <c r="K82">
        <f>_xlfn.XLOOKUP($A82,Load!$B:$B,Load!L:L,0,)</f>
        <v>0</v>
      </c>
      <c r="L82">
        <f>_xlfn.XLOOKUP($A82,Load!$B:$B,Load!M:M,0,)</f>
        <v>0</v>
      </c>
    </row>
    <row r="83" spans="1:12" x14ac:dyDescent="0.25">
      <c r="B83">
        <f>_xlfn.XLOOKUP($A83,Load!$B:$B,Load!C:C,0,)</f>
        <v>0</v>
      </c>
      <c r="C83">
        <f>_xlfn.XLOOKUP($A83,Load!$B:$B,Load!D:D,0,)</f>
        <v>0</v>
      </c>
      <c r="D83">
        <f>_xlfn.XLOOKUP($A83,Load!$B:$B,Load!E:E,0,)</f>
        <v>0</v>
      </c>
      <c r="E83">
        <f>_xlfn.XLOOKUP($A83,Load!$B:$B,Load!F:F,0,)</f>
        <v>0</v>
      </c>
      <c r="F83">
        <f>_xlfn.XLOOKUP($A83,Load!$B:$B,Load!G:G,0,)</f>
        <v>0</v>
      </c>
      <c r="G83">
        <f>_xlfn.XLOOKUP($A83,Load!$B:$B,Load!H:H,0,)</f>
        <v>0</v>
      </c>
      <c r="H83">
        <f>_xlfn.XLOOKUP($A83,Load!$B:$B,Load!I:I,0,)</f>
        <v>0</v>
      </c>
      <c r="I83">
        <f>_xlfn.XLOOKUP($A83,Load!$B:$B,Load!J:J,0,)</f>
        <v>0</v>
      </c>
      <c r="J83">
        <f>_xlfn.XLOOKUP($A83,Load!$B:$B,Load!K:K,0,)</f>
        <v>0</v>
      </c>
      <c r="K83">
        <f>_xlfn.XLOOKUP($A83,Load!$B:$B,Load!L:L,0,)</f>
        <v>0</v>
      </c>
      <c r="L83">
        <f>_xlfn.XLOOKUP($A83,Load!$B:$B,Load!M:M,0,)</f>
        <v>0</v>
      </c>
    </row>
    <row r="84" spans="1:12" x14ac:dyDescent="0.25">
      <c r="B84">
        <f>_xlfn.XLOOKUP($A84,Load!$B:$B,Load!C:C,0,)</f>
        <v>0</v>
      </c>
      <c r="C84">
        <f>_xlfn.XLOOKUP($A84,Load!$B:$B,Load!D:D,0,)</f>
        <v>0</v>
      </c>
      <c r="D84">
        <f>_xlfn.XLOOKUP($A84,Load!$B:$B,Load!E:E,0,)</f>
        <v>0</v>
      </c>
      <c r="E84">
        <f>_xlfn.XLOOKUP($A84,Load!$B:$B,Load!F:F,0,)</f>
        <v>0</v>
      </c>
      <c r="F84">
        <f>_xlfn.XLOOKUP($A84,Load!$B:$B,Load!G:G,0,)</f>
        <v>0</v>
      </c>
      <c r="G84">
        <f>_xlfn.XLOOKUP($A84,Load!$B:$B,Load!H:H,0,)</f>
        <v>0</v>
      </c>
      <c r="H84">
        <f>_xlfn.XLOOKUP($A84,Load!$B:$B,Load!I:I,0,)</f>
        <v>0</v>
      </c>
      <c r="I84">
        <f>_xlfn.XLOOKUP($A84,Load!$B:$B,Load!J:J,0,)</f>
        <v>0</v>
      </c>
      <c r="J84">
        <f>_xlfn.XLOOKUP($A84,Load!$B:$B,Load!K:K,0,)</f>
        <v>0</v>
      </c>
      <c r="K84">
        <f>_xlfn.XLOOKUP($A84,Load!$B:$B,Load!L:L,0,)</f>
        <v>0</v>
      </c>
      <c r="L84">
        <f>_xlfn.XLOOKUP($A84,Load!$B:$B,Load!M:M,0,)</f>
        <v>0</v>
      </c>
    </row>
    <row r="85" spans="1:12" x14ac:dyDescent="0.25">
      <c r="B85">
        <f>_xlfn.XLOOKUP($A85,Load!$B:$B,Load!C:C,0,)</f>
        <v>0</v>
      </c>
      <c r="C85">
        <f>_xlfn.XLOOKUP($A85,Load!$B:$B,Load!D:D,0,)</f>
        <v>0</v>
      </c>
      <c r="D85">
        <f>_xlfn.XLOOKUP($A85,Load!$B:$B,Load!E:E,0,)</f>
        <v>0</v>
      </c>
      <c r="E85">
        <f>_xlfn.XLOOKUP($A85,Load!$B:$B,Load!F:F,0,)</f>
        <v>0</v>
      </c>
      <c r="F85">
        <f>_xlfn.XLOOKUP($A85,Load!$B:$B,Load!G:G,0,)</f>
        <v>0</v>
      </c>
      <c r="G85">
        <f>_xlfn.XLOOKUP($A85,Load!$B:$B,Load!H:H,0,)</f>
        <v>0</v>
      </c>
      <c r="H85">
        <f>_xlfn.XLOOKUP($A85,Load!$B:$B,Load!I:I,0,)</f>
        <v>0</v>
      </c>
      <c r="I85">
        <f>_xlfn.XLOOKUP($A85,Load!$B:$B,Load!J:J,0,)</f>
        <v>0</v>
      </c>
      <c r="J85">
        <f>_xlfn.XLOOKUP($A85,Load!$B:$B,Load!K:K,0,)</f>
        <v>0</v>
      </c>
      <c r="K85">
        <f>_xlfn.XLOOKUP($A85,Load!$B:$B,Load!L:L,0,)</f>
        <v>0</v>
      </c>
      <c r="L85">
        <f>_xlfn.XLOOKUP($A85,Load!$B:$B,Load!M:M,0,)</f>
        <v>0</v>
      </c>
    </row>
    <row r="86" spans="1:12" x14ac:dyDescent="0.25">
      <c r="B86">
        <f>_xlfn.XLOOKUP($A86,Load!$B:$B,Load!C:C,0,)</f>
        <v>0</v>
      </c>
      <c r="C86">
        <f>_xlfn.XLOOKUP($A86,Load!$B:$B,Load!D:D,0,)</f>
        <v>0</v>
      </c>
      <c r="D86">
        <f>_xlfn.XLOOKUP($A86,Load!$B:$B,Load!E:E,0,)</f>
        <v>0</v>
      </c>
      <c r="E86">
        <f>_xlfn.XLOOKUP($A86,Load!$B:$B,Load!F:F,0,)</f>
        <v>0</v>
      </c>
      <c r="F86">
        <f>_xlfn.XLOOKUP($A86,Load!$B:$B,Load!G:G,0,)</f>
        <v>0</v>
      </c>
      <c r="G86">
        <f>_xlfn.XLOOKUP($A86,Load!$B:$B,Load!H:H,0,)</f>
        <v>0</v>
      </c>
      <c r="H86">
        <f>_xlfn.XLOOKUP($A86,Load!$B:$B,Load!I:I,0,)</f>
        <v>0</v>
      </c>
      <c r="I86">
        <f>_xlfn.XLOOKUP($A86,Load!$B:$B,Load!J:J,0,)</f>
        <v>0</v>
      </c>
      <c r="J86">
        <f>_xlfn.XLOOKUP($A86,Load!$B:$B,Load!K:K,0,)</f>
        <v>0</v>
      </c>
      <c r="K86">
        <f>_xlfn.XLOOKUP($A86,Load!$B:$B,Load!L:L,0,)</f>
        <v>0</v>
      </c>
      <c r="L86">
        <f>_xlfn.XLOOKUP($A86,Load!$B:$B,Load!M:M,0,)</f>
        <v>0</v>
      </c>
    </row>
    <row r="87" spans="1:12" x14ac:dyDescent="0.25">
      <c r="B87">
        <f>_xlfn.XLOOKUP($A87,Load!$B:$B,Load!C:C,0,)</f>
        <v>0</v>
      </c>
      <c r="C87">
        <f>_xlfn.XLOOKUP($A87,Load!$B:$B,Load!D:D,0,)</f>
        <v>0</v>
      </c>
      <c r="D87">
        <f>_xlfn.XLOOKUP($A87,Load!$B:$B,Load!E:E,0,)</f>
        <v>0</v>
      </c>
      <c r="E87">
        <f>_xlfn.XLOOKUP($A87,Load!$B:$B,Load!F:F,0,)</f>
        <v>0</v>
      </c>
      <c r="F87">
        <f>_xlfn.XLOOKUP($A87,Load!$B:$B,Load!G:G,0,)</f>
        <v>0</v>
      </c>
      <c r="G87">
        <f>_xlfn.XLOOKUP($A87,Load!$B:$B,Load!H:H,0,)</f>
        <v>0</v>
      </c>
      <c r="H87">
        <f>_xlfn.XLOOKUP($A87,Load!$B:$B,Load!I:I,0,)</f>
        <v>0</v>
      </c>
      <c r="I87">
        <f>_xlfn.XLOOKUP($A87,Load!$B:$B,Load!J:J,0,)</f>
        <v>0</v>
      </c>
      <c r="J87">
        <f>_xlfn.XLOOKUP($A87,Load!$B:$B,Load!K:K,0,)</f>
        <v>0</v>
      </c>
      <c r="K87">
        <f>_xlfn.XLOOKUP($A87,Load!$B:$B,Load!L:L,0,)</f>
        <v>0</v>
      </c>
      <c r="L87">
        <f>_xlfn.XLOOKUP($A87,Load!$B:$B,Load!M:M,0,)</f>
        <v>0</v>
      </c>
    </row>
    <row r="88" spans="1:12" x14ac:dyDescent="0.25">
      <c r="A88" t="s">
        <v>306</v>
      </c>
      <c r="B88" t="str">
        <f>_xlfn.XLOOKUP($A88,Load!$B:$B,Load!C:C,0,)</f>
        <v>Werther's Original</v>
      </c>
      <c r="C88" t="str">
        <f>_xlfn.XLOOKUP($A88,Load!$B:$B,Load!D:D,0,)</f>
        <v>Non-Chocolate Candy Only</v>
      </c>
      <c r="D88" t="str">
        <f>_xlfn.XLOOKUP($A88,Load!$B:$B,Load!E:E,0,)</f>
        <v>Fall / Seasonal Flavors (pumpkin spice, caramel apple, candy corn)</v>
      </c>
      <c r="E88" t="str">
        <f>_xlfn.XLOOKUP($A88,Load!$B:$B,Load!F:F,0,)</f>
        <v>Chewy</v>
      </c>
      <c r="F88" t="str">
        <f>_xlfn.XLOOKUP($A88,Load!$B:$B,Load!G:G,0,)</f>
        <v>Single Pack</v>
      </c>
      <c r="G88" t="str">
        <f>_xlfn.XLOOKUP($A88,Load!$B:$B,Load!H:H,0,)</f>
        <v>Stand-Up Bag</v>
      </c>
      <c r="H88" t="str">
        <f>_xlfn.XLOOKUP($A88,Load!$B:$B,Load!I:I,0,)</f>
        <v>Seasonal Shapes (like pumpkins, candy corn, ghost, bats, etc.)</v>
      </c>
      <c r="I88" t="str">
        <f>_xlfn.XLOOKUP($A88,Load!$B:$B,Load!J:J,0,)</f>
        <v>Seasonal Graphics (Like Bat, Ghost, Pumpkin, Fall Leaves, Eyeballs, etc.)</v>
      </c>
      <c r="J88" t="str">
        <f>_xlfn.XLOOKUP($A88,Load!$B:$B,Load!K:K,0,)</f>
        <v>Fun Size / Treat Size</v>
      </c>
      <c r="K88" t="str">
        <f>_xlfn.XLOOKUP($A88,Load!$B:$B,Load!L:L,0,)</f>
        <v>Regular/Original Wrapping</v>
      </c>
      <c r="L88" t="str">
        <f>_xlfn.XLOOKUP($A88,Load!$B:$B,Load!M:M,0,)</f>
        <v>Single Brand / Single Flavor or Form</v>
      </c>
    </row>
    <row r="89" spans="1:12" x14ac:dyDescent="0.25">
      <c r="A89" t="s">
        <v>305</v>
      </c>
      <c r="B89" t="str">
        <f>_xlfn.XLOOKUP($A89,Load!$B:$B,Load!C:C,0,)</f>
        <v>Werther's Original</v>
      </c>
      <c r="C89" t="str">
        <f>_xlfn.XLOOKUP($A89,Load!$B:$B,Load!D:D,0,)</f>
        <v>Non-Chocolate Candy Only</v>
      </c>
      <c r="D89" t="str">
        <f>_xlfn.XLOOKUP($A89,Load!$B:$B,Load!E:E,0,)</f>
        <v>Fall / Seasonal Flavors (pumpkin spice, caramel apple, candy corn)</v>
      </c>
      <c r="E89" t="str">
        <f>_xlfn.XLOOKUP($A89,Load!$B:$B,Load!F:F,0,)</f>
        <v>Chewy</v>
      </c>
      <c r="F89" t="str">
        <f>_xlfn.XLOOKUP($A89,Load!$B:$B,Load!G:G,0,)</f>
        <v>Single Pack</v>
      </c>
      <c r="G89" t="str">
        <f>_xlfn.XLOOKUP($A89,Load!$B:$B,Load!H:H,0,)</f>
        <v>Stand-Up Bag</v>
      </c>
      <c r="H89" t="str">
        <f>_xlfn.XLOOKUP($A89,Load!$B:$B,Load!I:I,0,)</f>
        <v>Everyday Candy Shapes (like Original, Gummy bear, Fruit, Jewels, etc.)</v>
      </c>
      <c r="I89" t="str">
        <f>_xlfn.XLOOKUP($A89,Load!$B:$B,Load!J:J,0,)</f>
        <v>Seasonal Graphics (Like Bat, Ghost, Pumpkin, Fall Leaves, Eyeballs, etc.)</v>
      </c>
      <c r="J89" t="str">
        <f>_xlfn.XLOOKUP($A89,Load!$B:$B,Load!K:K,0,)</f>
        <v>Fun Size / Treat Size</v>
      </c>
      <c r="K89" t="str">
        <f>_xlfn.XLOOKUP($A89,Load!$B:$B,Load!L:L,0,)</f>
        <v>Regular/Original Wrapping</v>
      </c>
      <c r="L89" t="str">
        <f>_xlfn.XLOOKUP($A89,Load!$B:$B,Load!M:M,0,)</f>
        <v>Single Brand / Single Flavor or Form</v>
      </c>
    </row>
    <row r="90" spans="1:12" x14ac:dyDescent="0.25">
      <c r="A90" t="s">
        <v>65</v>
      </c>
      <c r="B90" t="str">
        <f>_xlfn.XLOOKUP($A90,Load!$B:$B,Load!C:C,0,)</f>
        <v>Dots</v>
      </c>
      <c r="C90" t="str">
        <f>_xlfn.XLOOKUP($A90,Load!$B:$B,Load!D:D,0,)</f>
        <v>Non-Chocolate Candy Only</v>
      </c>
      <c r="D90" t="str">
        <f>_xlfn.XLOOKUP($A90,Load!$B:$B,Load!E:E,0,)</f>
        <v>Variety / Mixed Flavors (Fruity, Sour, Seasonal Flavors)</v>
      </c>
      <c r="E90" t="str">
        <f>_xlfn.XLOOKUP($A90,Load!$B:$B,Load!F:F,0,)</f>
        <v>Candy Pieces / Bites</v>
      </c>
      <c r="F90" t="str">
        <f>_xlfn.XLOOKUP($A90,Load!$B:$B,Load!G:G,0,)</f>
        <v>Medium Multipack (40–80 ct)</v>
      </c>
      <c r="G90" t="str">
        <f>_xlfn.XLOOKUP($A90,Load!$B:$B,Load!H:H,0,)</f>
        <v>Box (theatre box, gift box, carton)</v>
      </c>
      <c r="H90" t="str">
        <f>_xlfn.XLOOKUP($A90,Load!$B:$B,Load!I:I,0,)</f>
        <v>Seasonal Shapes (like pumpkins, candy corn, ghost, bats, etc.)</v>
      </c>
      <c r="I90" t="str">
        <f>_xlfn.XLOOKUP($A90,Load!$B:$B,Load!J:J,0,)</f>
        <v>Seasonal Graphics (Like Bat, Ghost, Pumpkin, Fall Leaves, Eyeballs, etc.)</v>
      </c>
      <c r="J90" t="str">
        <f>_xlfn.XLOOKUP($A90,Load!$B:$B,Load!K:K,0,)</f>
        <v>Fun Size / Treat Size</v>
      </c>
      <c r="K90" t="str">
        <f>_xlfn.XLOOKUP($A90,Load!$B:$B,Load!L:L,0,)</f>
        <v>Regular/Original Wrapping</v>
      </c>
      <c r="L90" t="str">
        <f>_xlfn.XLOOKUP($A90,Load!$B:$B,Load!M:M,0,)</f>
        <v>Single Brand / Variety Flavors or Form</v>
      </c>
    </row>
    <row r="91" spans="1:12" x14ac:dyDescent="0.25">
      <c r="B91">
        <f>_xlfn.XLOOKUP($A91,Load!$B:$B,Load!C:C,0,)</f>
        <v>0</v>
      </c>
      <c r="C91">
        <f>_xlfn.XLOOKUP($A91,Load!$B:$B,Load!D:D,0,)</f>
        <v>0</v>
      </c>
      <c r="D91">
        <f>_xlfn.XLOOKUP($A91,Load!$B:$B,Load!E:E,0,)</f>
        <v>0</v>
      </c>
      <c r="E91">
        <f>_xlfn.XLOOKUP($A91,Load!$B:$B,Load!F:F,0,)</f>
        <v>0</v>
      </c>
      <c r="F91">
        <f>_xlfn.XLOOKUP($A91,Load!$B:$B,Load!G:G,0,)</f>
        <v>0</v>
      </c>
      <c r="G91">
        <f>_xlfn.XLOOKUP($A91,Load!$B:$B,Load!H:H,0,)</f>
        <v>0</v>
      </c>
      <c r="H91">
        <f>_xlfn.XLOOKUP($A91,Load!$B:$B,Load!I:I,0,)</f>
        <v>0</v>
      </c>
      <c r="I91">
        <f>_xlfn.XLOOKUP($A91,Load!$B:$B,Load!J:J,0,)</f>
        <v>0</v>
      </c>
      <c r="J91">
        <f>_xlfn.XLOOKUP($A91,Load!$B:$B,Load!K:K,0,)</f>
        <v>0</v>
      </c>
      <c r="K91">
        <f>_xlfn.XLOOKUP($A91,Load!$B:$B,Load!L:L,0,)</f>
        <v>0</v>
      </c>
      <c r="L91">
        <f>_xlfn.XLOOKUP($A91,Load!$B:$B,Load!M:M,0,)</f>
        <v>0</v>
      </c>
    </row>
    <row r="92" spans="1:12" x14ac:dyDescent="0.25">
      <c r="A92" t="s">
        <v>229</v>
      </c>
      <c r="B92" t="str">
        <f>_xlfn.XLOOKUP($A92,Load!$B:$B,Load!C:C,0,)</f>
        <v>Nerds</v>
      </c>
      <c r="C92" t="str">
        <f>_xlfn.XLOOKUP($A92,Load!$B:$B,Load!D:D,0,)</f>
        <v>Non-Chocolate Candy Only</v>
      </c>
      <c r="D92" t="str">
        <f>_xlfn.XLOOKUP($A92,Load!$B:$B,Load!E:E,0,)</f>
        <v>Variety / Mixed Flavors (Fruity, Sour, Seasonal Flavors)</v>
      </c>
      <c r="E92" t="str">
        <f>_xlfn.XLOOKUP($A92,Load!$B:$B,Load!F:F,0,)</f>
        <v>Gummy</v>
      </c>
      <c r="F92" t="str">
        <f>_xlfn.XLOOKUP($A92,Load!$B:$B,Load!G:G,0,)</f>
        <v>Medium Multipack (40–80 ct)</v>
      </c>
      <c r="G92" t="str">
        <f>_xlfn.XLOOKUP($A92,Load!$B:$B,Load!H:H,0,)</f>
        <v>Stand-Up Bag</v>
      </c>
      <c r="H92" t="str">
        <f>_xlfn.XLOOKUP($A92,Load!$B:$B,Load!I:I,0,)</f>
        <v>Seasonal Shapes (like pumpkins, candy corn, ghost, bats, etc.)</v>
      </c>
      <c r="I92" t="str">
        <f>_xlfn.XLOOKUP($A92,Load!$B:$B,Load!J:J,0,)</f>
        <v>Seasonal Graphics (Like Bat, Ghost, Pumpkin, Fall Leaves, Eyeballs, etc.)</v>
      </c>
      <c r="J92" t="str">
        <f>_xlfn.XLOOKUP($A92,Load!$B:$B,Load!K:K,0,)</f>
        <v>Fun Size / Treat Size</v>
      </c>
      <c r="K92" t="str">
        <f>_xlfn.XLOOKUP($A92,Load!$B:$B,Load!L:L,0,)</f>
        <v>Regular/Original Wrapping</v>
      </c>
      <c r="L92" t="str">
        <f>_xlfn.XLOOKUP($A92,Load!$B:$B,Load!M:M,0,)</f>
        <v>Single Brand / Variety Flavors or Form</v>
      </c>
    </row>
    <row r="93" spans="1:12" x14ac:dyDescent="0.25">
      <c r="A93" t="s">
        <v>138</v>
      </c>
      <c r="B93" t="str">
        <f>_xlfn.XLOOKUP($A93,Load!$B:$B,Load!C:C,0,)</f>
        <v>Hershey's Variety Pack + Haribo</v>
      </c>
      <c r="C93" t="str">
        <f>_xlfn.XLOOKUP($A93,Load!$B:$B,Load!D:D,0,)</f>
        <v>Non-Chocolate Candy Only</v>
      </c>
      <c r="D93" t="str">
        <f>_xlfn.XLOOKUP($A93,Load!$B:$B,Load!E:E,0,)</f>
        <v>Variety / Mixed Flavors (Fruity, Sour, Seasonal Flavors)</v>
      </c>
      <c r="E93" t="str">
        <f>_xlfn.XLOOKUP($A93,Load!$B:$B,Load!F:F,0,)</f>
        <v>Mixed / Combo Packs (Gummy, Chewy, Taffy, etc.)</v>
      </c>
      <c r="F93" t="str">
        <f>_xlfn.XLOOKUP($A93,Load!$B:$B,Load!G:G,0,)</f>
        <v>Medium Multipack (40–80 ct)</v>
      </c>
      <c r="G93" t="str">
        <f>_xlfn.XLOOKUP($A93,Load!$B:$B,Load!H:H,0,)</f>
        <v>Laydown Bag</v>
      </c>
      <c r="H93" t="str">
        <f>_xlfn.XLOOKUP($A93,Load!$B:$B,Load!I:I,0,)</f>
        <v>Everyday Candy Shapes (like Original, Gummy bear, Fruit, Jewels, etc.)</v>
      </c>
      <c r="I93" t="str">
        <f>_xlfn.XLOOKUP($A93,Load!$B:$B,Load!J:J,0,)</f>
        <v>Seasonal Graphics (Like Bat, Ghost, Pumpkin, Fall Leaves, Eyeballs, etc.)</v>
      </c>
      <c r="J93" t="str">
        <f>_xlfn.XLOOKUP($A93,Load!$B:$B,Load!K:K,0,)</f>
        <v>Fun Size / Treat Size</v>
      </c>
      <c r="K93" t="str">
        <f>_xlfn.XLOOKUP($A93,Load!$B:$B,Load!L:L,0,)</f>
        <v>Regular/Original Wrapping</v>
      </c>
      <c r="L93" t="str">
        <f>_xlfn.XLOOKUP($A93,Load!$B:$B,Load!M:M,0,)</f>
        <v>Multiple Brands / Variety Flavors or Form</v>
      </c>
    </row>
    <row r="94" spans="1:12" x14ac:dyDescent="0.25">
      <c r="B94">
        <f>_xlfn.XLOOKUP($A94,Load!$B:$B,Load!C:C,0,)</f>
        <v>0</v>
      </c>
      <c r="C94">
        <f>_xlfn.XLOOKUP($A94,Load!$B:$B,Load!D:D,0,)</f>
        <v>0</v>
      </c>
      <c r="D94">
        <f>_xlfn.XLOOKUP($A94,Load!$B:$B,Load!E:E,0,)</f>
        <v>0</v>
      </c>
      <c r="E94">
        <f>_xlfn.XLOOKUP($A94,Load!$B:$B,Load!F:F,0,)</f>
        <v>0</v>
      </c>
      <c r="F94">
        <f>_xlfn.XLOOKUP($A94,Load!$B:$B,Load!G:G,0,)</f>
        <v>0</v>
      </c>
      <c r="G94">
        <f>_xlfn.XLOOKUP($A94,Load!$B:$B,Load!H:H,0,)</f>
        <v>0</v>
      </c>
      <c r="H94">
        <f>_xlfn.XLOOKUP($A94,Load!$B:$B,Load!I:I,0,)</f>
        <v>0</v>
      </c>
      <c r="I94">
        <f>_xlfn.XLOOKUP($A94,Load!$B:$B,Load!J:J,0,)</f>
        <v>0</v>
      </c>
      <c r="J94">
        <f>_xlfn.XLOOKUP($A94,Load!$B:$B,Load!K:K,0,)</f>
        <v>0</v>
      </c>
      <c r="K94">
        <f>_xlfn.XLOOKUP($A94,Load!$B:$B,Load!L:L,0,)</f>
        <v>0</v>
      </c>
      <c r="L94">
        <f>_xlfn.XLOOKUP($A94,Load!$B:$B,Load!M:M,0,)</f>
        <v>0</v>
      </c>
    </row>
    <row r="95" spans="1:12" x14ac:dyDescent="0.25">
      <c r="B95">
        <f>_xlfn.XLOOKUP($A95,Load!$B:$B,Load!C:C,0,)</f>
        <v>0</v>
      </c>
      <c r="C95">
        <f>_xlfn.XLOOKUP($A95,Load!$B:$B,Load!D:D,0,)</f>
        <v>0</v>
      </c>
      <c r="D95">
        <f>_xlfn.XLOOKUP($A95,Load!$B:$B,Load!E:E,0,)</f>
        <v>0</v>
      </c>
      <c r="E95">
        <f>_xlfn.XLOOKUP($A95,Load!$B:$B,Load!F:F,0,)</f>
        <v>0</v>
      </c>
      <c r="F95">
        <f>_xlfn.XLOOKUP($A95,Load!$B:$B,Load!G:G,0,)</f>
        <v>0</v>
      </c>
      <c r="G95">
        <f>_xlfn.XLOOKUP($A95,Load!$B:$B,Load!H:H,0,)</f>
        <v>0</v>
      </c>
      <c r="H95">
        <f>_xlfn.XLOOKUP($A95,Load!$B:$B,Load!I:I,0,)</f>
        <v>0</v>
      </c>
      <c r="I95">
        <f>_xlfn.XLOOKUP($A95,Load!$B:$B,Load!J:J,0,)</f>
        <v>0</v>
      </c>
      <c r="J95">
        <f>_xlfn.XLOOKUP($A95,Load!$B:$B,Load!K:K,0,)</f>
        <v>0</v>
      </c>
      <c r="K95">
        <f>_xlfn.XLOOKUP($A95,Load!$B:$B,Load!L:L,0,)</f>
        <v>0</v>
      </c>
      <c r="L95">
        <f>_xlfn.XLOOKUP($A95,Load!$B:$B,Load!M:M,0,)</f>
        <v>0</v>
      </c>
    </row>
    <row r="96" spans="1:12" x14ac:dyDescent="0.25">
      <c r="A96" t="s">
        <v>12</v>
      </c>
      <c r="B96" t="str">
        <f>_xlfn.XLOOKUP($A96,Load!$B:$B,Load!C:C,0,)</f>
        <v>Airheads</v>
      </c>
      <c r="C96" t="str">
        <f>_xlfn.XLOOKUP($A96,Load!$B:$B,Load!D:D,0,)</f>
        <v>Non-Chocolate Candy Only</v>
      </c>
      <c r="D96" t="str">
        <f>_xlfn.XLOOKUP($A96,Load!$B:$B,Load!E:E,0,)</f>
        <v>Berry Based (Raspberry, Strawberry, Medley, etc.)</v>
      </c>
      <c r="E96" t="str">
        <f>_xlfn.XLOOKUP($A96,Load!$B:$B,Load!F:F,0,)</f>
        <v>Chewy</v>
      </c>
      <c r="F96" t="str">
        <f>_xlfn.XLOOKUP($A96,Load!$B:$B,Load!G:G,0,)</f>
        <v>Single Pack</v>
      </c>
      <c r="G96" t="str">
        <f>_xlfn.XLOOKUP($A96,Load!$B:$B,Load!H:H,0,)</f>
        <v>Laydown Bag</v>
      </c>
      <c r="H96" t="str">
        <f>_xlfn.XLOOKUP($A96,Load!$B:$B,Load!I:I,0,)</f>
        <v>Everyday Candy Shapes (like Original, Gummy bear, Fruit, Jewels, etc.)</v>
      </c>
      <c r="I96" t="str">
        <f>_xlfn.XLOOKUP($A96,Load!$B:$B,Load!J:J,0,)</f>
        <v>Everyday Graphics</v>
      </c>
      <c r="J96" t="str">
        <f>_xlfn.XLOOKUP($A96,Load!$B:$B,Load!K:K,0,)</f>
        <v>Fun Size / Treat Size</v>
      </c>
      <c r="K96" t="str">
        <f>_xlfn.XLOOKUP($A96,Load!$B:$B,Load!L:L,0,)</f>
        <v>Unwrapped</v>
      </c>
      <c r="L96" t="str">
        <f>_xlfn.XLOOKUP($A96,Load!$B:$B,Load!M:M,0,)</f>
        <v>Single Brand / Single Flavor or Form</v>
      </c>
    </row>
    <row r="97" spans="1:12" x14ac:dyDescent="0.25">
      <c r="A97" t="s">
        <v>464</v>
      </c>
      <c r="B97" t="str">
        <f>_xlfn.XLOOKUP($A97,Load!$B:$B,Load!C:C,0,)</f>
        <v>Zachary</v>
      </c>
      <c r="C97" t="str">
        <f>_xlfn.XLOOKUP($A97,Load!$B:$B,Load!D:D,0,)</f>
        <v>Non-Chocolate Candy Only</v>
      </c>
      <c r="D97" t="str">
        <f>_xlfn.XLOOKUP($A97,Load!$B:$B,Load!E:E,0,)</f>
        <v>Fruit Flavor (Cherry, Grape, Apple, Citrus, Tropical Fruit)</v>
      </c>
      <c r="E97" t="str">
        <f>_xlfn.XLOOKUP($A97,Load!$B:$B,Load!F:F,0,)</f>
        <v>Candy Pieces / Bites</v>
      </c>
      <c r="F97" t="str">
        <f>_xlfn.XLOOKUP($A97,Load!$B:$B,Load!G:G,0,)</f>
        <v>Single Pack</v>
      </c>
      <c r="G97" t="str">
        <f>_xlfn.XLOOKUP($A97,Load!$B:$B,Load!H:H,0,)</f>
        <v>Plastic Cup / Container</v>
      </c>
      <c r="H97" t="str">
        <f>_xlfn.XLOOKUP($A97,Load!$B:$B,Load!I:I,0,)</f>
        <v>Seasonal Shapes (like pumpkins, candy corn, ghost, bats, etc.)</v>
      </c>
      <c r="I97" t="str">
        <f>_xlfn.XLOOKUP($A97,Load!$B:$B,Load!J:J,0,)</f>
        <v>Seasonal Graphics (Like Bat, Ghost, Pumpkin, Fall Leaves, Eyeballs, etc.)</v>
      </c>
      <c r="J97" t="str">
        <f>_xlfn.XLOOKUP($A97,Load!$B:$B,Load!K:K,0,)</f>
        <v>Small Pieces (Tiny bite size candies)</v>
      </c>
      <c r="K97" t="str">
        <f>_xlfn.XLOOKUP($A97,Load!$B:$B,Load!L:L,0,)</f>
        <v>Unwrapped</v>
      </c>
      <c r="L97" t="str">
        <f>_xlfn.XLOOKUP($A97,Load!$B:$B,Load!M:M,0,)</f>
        <v>Single Brand / Single Flavor or Form</v>
      </c>
    </row>
    <row r="98" spans="1:12" x14ac:dyDescent="0.25">
      <c r="B98">
        <f>_xlfn.XLOOKUP($A98,Load!$B:$B,Load!C:C,0,)</f>
        <v>0</v>
      </c>
      <c r="C98">
        <f>_xlfn.XLOOKUP($A98,Load!$B:$B,Load!D:D,0,)</f>
        <v>0</v>
      </c>
      <c r="D98">
        <f>_xlfn.XLOOKUP($A98,Load!$B:$B,Load!E:E,0,)</f>
        <v>0</v>
      </c>
      <c r="E98">
        <f>_xlfn.XLOOKUP($A98,Load!$B:$B,Load!F:F,0,)</f>
        <v>0</v>
      </c>
      <c r="F98">
        <f>_xlfn.XLOOKUP($A98,Load!$B:$B,Load!G:G,0,)</f>
        <v>0</v>
      </c>
      <c r="G98">
        <f>_xlfn.XLOOKUP($A98,Load!$B:$B,Load!H:H,0,)</f>
        <v>0</v>
      </c>
      <c r="H98">
        <f>_xlfn.XLOOKUP($A98,Load!$B:$B,Load!I:I,0,)</f>
        <v>0</v>
      </c>
      <c r="I98">
        <f>_xlfn.XLOOKUP($A98,Load!$B:$B,Load!J:J,0,)</f>
        <v>0</v>
      </c>
      <c r="J98">
        <f>_xlfn.XLOOKUP($A98,Load!$B:$B,Load!K:K,0,)</f>
        <v>0</v>
      </c>
      <c r="K98">
        <f>_xlfn.XLOOKUP($A98,Load!$B:$B,Load!L:L,0,)</f>
        <v>0</v>
      </c>
      <c r="L98">
        <f>_xlfn.XLOOKUP($A98,Load!$B:$B,Load!M:M,0,)</f>
        <v>0</v>
      </c>
    </row>
    <row r="99" spans="1:12" x14ac:dyDescent="0.25">
      <c r="B99">
        <f>_xlfn.XLOOKUP($A99,Load!$B:$B,Load!C:C,0,)</f>
        <v>0</v>
      </c>
      <c r="C99">
        <f>_xlfn.XLOOKUP($A99,Load!$B:$B,Load!D:D,0,)</f>
        <v>0</v>
      </c>
      <c r="D99">
        <f>_xlfn.XLOOKUP($A99,Load!$B:$B,Load!E:E,0,)</f>
        <v>0</v>
      </c>
      <c r="E99">
        <f>_xlfn.XLOOKUP($A99,Load!$B:$B,Load!F:F,0,)</f>
        <v>0</v>
      </c>
      <c r="F99">
        <f>_xlfn.XLOOKUP($A99,Load!$B:$B,Load!G:G,0,)</f>
        <v>0</v>
      </c>
      <c r="G99">
        <f>_xlfn.XLOOKUP($A99,Load!$B:$B,Load!H:H,0,)</f>
        <v>0</v>
      </c>
      <c r="H99">
        <f>_xlfn.XLOOKUP($A99,Load!$B:$B,Load!I:I,0,)</f>
        <v>0</v>
      </c>
      <c r="I99">
        <f>_xlfn.XLOOKUP($A99,Load!$B:$B,Load!J:J,0,)</f>
        <v>0</v>
      </c>
      <c r="J99">
        <f>_xlfn.XLOOKUP($A99,Load!$B:$B,Load!K:K,0,)</f>
        <v>0</v>
      </c>
      <c r="K99">
        <f>_xlfn.XLOOKUP($A99,Load!$B:$B,Load!L:L,0,)</f>
        <v>0</v>
      </c>
      <c r="L99">
        <f>_xlfn.XLOOKUP($A99,Load!$B:$B,Load!M:M,0,)</f>
        <v>0</v>
      </c>
    </row>
    <row r="100" spans="1:12" x14ac:dyDescent="0.25">
      <c r="B100">
        <f>_xlfn.XLOOKUP($A100,Load!$B:$B,Load!C:C,0,)</f>
        <v>0</v>
      </c>
      <c r="C100">
        <f>_xlfn.XLOOKUP($A100,Load!$B:$B,Load!D:D,0,)</f>
        <v>0</v>
      </c>
      <c r="D100">
        <f>_xlfn.XLOOKUP($A100,Load!$B:$B,Load!E:E,0,)</f>
        <v>0</v>
      </c>
      <c r="E100">
        <f>_xlfn.XLOOKUP($A100,Load!$B:$B,Load!F:F,0,)</f>
        <v>0</v>
      </c>
      <c r="F100">
        <f>_xlfn.XLOOKUP($A100,Load!$B:$B,Load!G:G,0,)</f>
        <v>0</v>
      </c>
      <c r="G100">
        <f>_xlfn.XLOOKUP($A100,Load!$B:$B,Load!H:H,0,)</f>
        <v>0</v>
      </c>
      <c r="H100">
        <f>_xlfn.XLOOKUP($A100,Load!$B:$B,Load!I:I,0,)</f>
        <v>0</v>
      </c>
      <c r="I100">
        <f>_xlfn.XLOOKUP($A100,Load!$B:$B,Load!J:J,0,)</f>
        <v>0</v>
      </c>
      <c r="J100">
        <f>_xlfn.XLOOKUP($A100,Load!$B:$B,Load!K:K,0,)</f>
        <v>0</v>
      </c>
      <c r="K100">
        <f>_xlfn.XLOOKUP($A100,Load!$B:$B,Load!L:L,0,)</f>
        <v>0</v>
      </c>
      <c r="L100">
        <f>_xlfn.XLOOKUP($A100,Load!$B:$B,Load!M:M,0,)</f>
        <v>0</v>
      </c>
    </row>
    <row r="101" spans="1:12" x14ac:dyDescent="0.25">
      <c r="B101">
        <f>_xlfn.XLOOKUP($A101,Load!$B:$B,Load!C:C,0,)</f>
        <v>0</v>
      </c>
      <c r="C101">
        <f>_xlfn.XLOOKUP($A101,Load!$B:$B,Load!D:D,0,)</f>
        <v>0</v>
      </c>
      <c r="D101">
        <f>_xlfn.XLOOKUP($A101,Load!$B:$B,Load!E:E,0,)</f>
        <v>0</v>
      </c>
      <c r="E101">
        <f>_xlfn.XLOOKUP($A101,Load!$B:$B,Load!F:F,0,)</f>
        <v>0</v>
      </c>
      <c r="F101">
        <f>_xlfn.XLOOKUP($A101,Load!$B:$B,Load!G:G,0,)</f>
        <v>0</v>
      </c>
      <c r="G101">
        <f>_xlfn.XLOOKUP($A101,Load!$B:$B,Load!H:H,0,)</f>
        <v>0</v>
      </c>
      <c r="H101">
        <f>_xlfn.XLOOKUP($A101,Load!$B:$B,Load!I:I,0,)</f>
        <v>0</v>
      </c>
      <c r="I101">
        <f>_xlfn.XLOOKUP($A101,Load!$B:$B,Load!J:J,0,)</f>
        <v>0</v>
      </c>
      <c r="J101">
        <f>_xlfn.XLOOKUP($A101,Load!$B:$B,Load!K:K,0,)</f>
        <v>0</v>
      </c>
      <c r="K101">
        <f>_xlfn.XLOOKUP($A101,Load!$B:$B,Load!L:L,0,)</f>
        <v>0</v>
      </c>
      <c r="L101">
        <f>_xlfn.XLOOKUP($A101,Load!$B:$B,Load!M:M,0,)</f>
        <v>0</v>
      </c>
    </row>
    <row r="102" spans="1:12" x14ac:dyDescent="0.25">
      <c r="A102" t="s">
        <v>220</v>
      </c>
      <c r="B102" t="str">
        <f>_xlfn.XLOOKUP($A102,Load!$B:$B,Load!C:C,0,)</f>
        <v>Mondelez Variety Pack</v>
      </c>
      <c r="C102" t="str">
        <f>_xlfn.XLOOKUP($A102,Load!$B:$B,Load!D:D,0,)</f>
        <v>Non-Chocolate Candy Only</v>
      </c>
      <c r="D102" t="str">
        <f>_xlfn.XLOOKUP($A102,Load!$B:$B,Load!E:E,0,)</f>
        <v>Variety / Mixed Flavors (Fruity, Sour, Seasonal Flavors)</v>
      </c>
      <c r="E102" t="str">
        <f>_xlfn.XLOOKUP($A102,Load!$B:$B,Load!F:F,0,)</f>
        <v>Chewy</v>
      </c>
      <c r="F102" t="str">
        <f>_xlfn.XLOOKUP($A102,Load!$B:$B,Load!G:G,0,)</f>
        <v>Large Multipack (More than 80 ct)</v>
      </c>
      <c r="G102" t="str">
        <f>_xlfn.XLOOKUP($A102,Load!$B:$B,Load!H:H,0,)</f>
        <v>Stand-Up Bag</v>
      </c>
      <c r="H102" t="str">
        <f>_xlfn.XLOOKUP($A102,Load!$B:$B,Load!I:I,0,)</f>
        <v>Seasonal Shapes (like pumpkins, candy corn, ghost, bats, etc.)</v>
      </c>
      <c r="I102" t="str">
        <f>_xlfn.XLOOKUP($A102,Load!$B:$B,Load!J:J,0,)</f>
        <v>Seasonal Graphics (Like Bat, Ghost, Pumpkin, Fall Leaves, Eyeballs, etc.)</v>
      </c>
      <c r="J102" t="str">
        <f>_xlfn.XLOOKUP($A102,Load!$B:$B,Load!K:K,0,)</f>
        <v>Small Pieces (Tiny bite size candies)</v>
      </c>
      <c r="K102" t="str">
        <f>_xlfn.XLOOKUP($A102,Load!$B:$B,Load!L:L,0,)</f>
        <v>Regular/Original Wrapping</v>
      </c>
      <c r="L102" t="str">
        <f>_xlfn.XLOOKUP($A102,Load!$B:$B,Load!M:M,0,)</f>
        <v>Single Brand / Variety Flavors or Form</v>
      </c>
    </row>
    <row r="103" spans="1:12" x14ac:dyDescent="0.25">
      <c r="B103">
        <f>_xlfn.XLOOKUP($A103,Load!$B:$B,Load!C:C,0,)</f>
        <v>0</v>
      </c>
      <c r="C103">
        <f>_xlfn.XLOOKUP($A103,Load!$B:$B,Load!D:D,0,)</f>
        <v>0</v>
      </c>
      <c r="D103">
        <f>_xlfn.XLOOKUP($A103,Load!$B:$B,Load!E:E,0,)</f>
        <v>0</v>
      </c>
      <c r="E103">
        <f>_xlfn.XLOOKUP($A103,Load!$B:$B,Load!F:F,0,)</f>
        <v>0</v>
      </c>
      <c r="F103">
        <f>_xlfn.XLOOKUP($A103,Load!$B:$B,Load!G:G,0,)</f>
        <v>0</v>
      </c>
      <c r="G103">
        <f>_xlfn.XLOOKUP($A103,Load!$B:$B,Load!H:H,0,)</f>
        <v>0</v>
      </c>
      <c r="H103">
        <f>_xlfn.XLOOKUP($A103,Load!$B:$B,Load!I:I,0,)</f>
        <v>0</v>
      </c>
      <c r="I103">
        <f>_xlfn.XLOOKUP($A103,Load!$B:$B,Load!J:J,0,)</f>
        <v>0</v>
      </c>
      <c r="J103">
        <f>_xlfn.XLOOKUP($A103,Load!$B:$B,Load!K:K,0,)</f>
        <v>0</v>
      </c>
      <c r="K103">
        <f>_xlfn.XLOOKUP($A103,Load!$B:$B,Load!L:L,0,)</f>
        <v>0</v>
      </c>
      <c r="L103">
        <f>_xlfn.XLOOKUP($A103,Load!$B:$B,Load!M:M,0,)</f>
        <v>0</v>
      </c>
    </row>
    <row r="104" spans="1:12" x14ac:dyDescent="0.25">
      <c r="A104" t="s">
        <v>220</v>
      </c>
      <c r="B104" t="str">
        <f>_xlfn.XLOOKUP($A104,Load!$B:$B,Load!C:C,0,)</f>
        <v>Mondelez Variety Pack</v>
      </c>
      <c r="C104" t="str">
        <f>_xlfn.XLOOKUP($A104,Load!$B:$B,Load!D:D,0,)</f>
        <v>Non-Chocolate Candy Only</v>
      </c>
      <c r="D104" t="str">
        <f>_xlfn.XLOOKUP($A104,Load!$B:$B,Load!E:E,0,)</f>
        <v>Variety / Mixed Flavors (Fruity, Sour, Seasonal Flavors)</v>
      </c>
      <c r="E104" t="str">
        <f>_xlfn.XLOOKUP($A104,Load!$B:$B,Load!F:F,0,)</f>
        <v>Chewy</v>
      </c>
      <c r="F104" t="str">
        <f>_xlfn.XLOOKUP($A104,Load!$B:$B,Load!G:G,0,)</f>
        <v>Large Multipack (More than 80 ct)</v>
      </c>
      <c r="G104" t="str">
        <f>_xlfn.XLOOKUP($A104,Load!$B:$B,Load!H:H,0,)</f>
        <v>Stand-Up Bag</v>
      </c>
      <c r="H104" t="str">
        <f>_xlfn.XLOOKUP($A104,Load!$B:$B,Load!I:I,0,)</f>
        <v>Seasonal Shapes (like pumpkins, candy corn, ghost, bats, etc.)</v>
      </c>
      <c r="I104" t="str">
        <f>_xlfn.XLOOKUP($A104,Load!$B:$B,Load!J:J,0,)</f>
        <v>Seasonal Graphics (Like Bat, Ghost, Pumpkin, Fall Leaves, Eyeballs, etc.)</v>
      </c>
      <c r="J104" t="str">
        <f>_xlfn.XLOOKUP($A104,Load!$B:$B,Load!K:K,0,)</f>
        <v>Small Pieces (Tiny bite size candies)</v>
      </c>
      <c r="K104" t="str">
        <f>_xlfn.XLOOKUP($A104,Load!$B:$B,Load!L:L,0,)</f>
        <v>Regular/Original Wrapping</v>
      </c>
      <c r="L104" t="str">
        <f>_xlfn.XLOOKUP($A104,Load!$B:$B,Load!M:M,0,)</f>
        <v>Single Brand / Variety Flavors or Form</v>
      </c>
    </row>
    <row r="105" spans="1:12" x14ac:dyDescent="0.25">
      <c r="B105">
        <f>_xlfn.XLOOKUP($A105,Load!$B:$B,Load!C:C,0,)</f>
        <v>0</v>
      </c>
      <c r="C105">
        <f>_xlfn.XLOOKUP($A105,Load!$B:$B,Load!D:D,0,)</f>
        <v>0</v>
      </c>
      <c r="D105">
        <f>_xlfn.XLOOKUP($A105,Load!$B:$B,Load!E:E,0,)</f>
        <v>0</v>
      </c>
      <c r="E105">
        <f>_xlfn.XLOOKUP($A105,Load!$B:$B,Load!F:F,0,)</f>
        <v>0</v>
      </c>
      <c r="F105">
        <f>_xlfn.XLOOKUP($A105,Load!$B:$B,Load!G:G,0,)</f>
        <v>0</v>
      </c>
      <c r="G105">
        <f>_xlfn.XLOOKUP($A105,Load!$B:$B,Load!H:H,0,)</f>
        <v>0</v>
      </c>
      <c r="H105">
        <f>_xlfn.XLOOKUP($A105,Load!$B:$B,Load!I:I,0,)</f>
        <v>0</v>
      </c>
      <c r="I105">
        <f>_xlfn.XLOOKUP($A105,Load!$B:$B,Load!J:J,0,)</f>
        <v>0</v>
      </c>
      <c r="J105">
        <f>_xlfn.XLOOKUP($A105,Load!$B:$B,Load!K:K,0,)</f>
        <v>0</v>
      </c>
      <c r="K105">
        <f>_xlfn.XLOOKUP($A105,Load!$B:$B,Load!L:L,0,)</f>
        <v>0</v>
      </c>
      <c r="L105">
        <f>_xlfn.XLOOKUP($A105,Load!$B:$B,Load!M:M,0,)</f>
        <v>0</v>
      </c>
    </row>
    <row r="106" spans="1:12" x14ac:dyDescent="0.25">
      <c r="B106">
        <f>_xlfn.XLOOKUP($A106,Load!$B:$B,Load!C:C,0,)</f>
        <v>0</v>
      </c>
      <c r="C106">
        <f>_xlfn.XLOOKUP($A106,Load!$B:$B,Load!D:D,0,)</f>
        <v>0</v>
      </c>
      <c r="D106">
        <f>_xlfn.XLOOKUP($A106,Load!$B:$B,Load!E:E,0,)</f>
        <v>0</v>
      </c>
      <c r="E106">
        <f>_xlfn.XLOOKUP($A106,Load!$B:$B,Load!F:F,0,)</f>
        <v>0</v>
      </c>
      <c r="F106">
        <f>_xlfn.XLOOKUP($A106,Load!$B:$B,Load!G:G,0,)</f>
        <v>0</v>
      </c>
      <c r="G106">
        <f>_xlfn.XLOOKUP($A106,Load!$B:$B,Load!H:H,0,)</f>
        <v>0</v>
      </c>
      <c r="H106">
        <f>_xlfn.XLOOKUP($A106,Load!$B:$B,Load!I:I,0,)</f>
        <v>0</v>
      </c>
      <c r="I106">
        <f>_xlfn.XLOOKUP($A106,Load!$B:$B,Load!J:J,0,)</f>
        <v>0</v>
      </c>
      <c r="J106">
        <f>_xlfn.XLOOKUP($A106,Load!$B:$B,Load!K:K,0,)</f>
        <v>0</v>
      </c>
      <c r="K106">
        <f>_xlfn.XLOOKUP($A106,Load!$B:$B,Load!L:L,0,)</f>
        <v>0</v>
      </c>
      <c r="L106">
        <f>_xlfn.XLOOKUP($A106,Load!$B:$B,Load!M:M,0,)</f>
        <v>0</v>
      </c>
    </row>
    <row r="107" spans="1:12" x14ac:dyDescent="0.25">
      <c r="B107">
        <f>_xlfn.XLOOKUP($A107,Load!$B:$B,Load!C:C,0,)</f>
        <v>0</v>
      </c>
      <c r="C107">
        <f>_xlfn.XLOOKUP($A107,Load!$B:$B,Load!D:D,0,)</f>
        <v>0</v>
      </c>
      <c r="D107">
        <f>_xlfn.XLOOKUP($A107,Load!$B:$B,Load!E:E,0,)</f>
        <v>0</v>
      </c>
      <c r="E107">
        <f>_xlfn.XLOOKUP($A107,Load!$B:$B,Load!F:F,0,)</f>
        <v>0</v>
      </c>
      <c r="F107">
        <f>_xlfn.XLOOKUP($A107,Load!$B:$B,Load!G:G,0,)</f>
        <v>0</v>
      </c>
      <c r="G107">
        <f>_xlfn.XLOOKUP($A107,Load!$B:$B,Load!H:H,0,)</f>
        <v>0</v>
      </c>
      <c r="H107">
        <f>_xlfn.XLOOKUP($A107,Load!$B:$B,Load!I:I,0,)</f>
        <v>0</v>
      </c>
      <c r="I107">
        <f>_xlfn.XLOOKUP($A107,Load!$B:$B,Load!J:J,0,)</f>
        <v>0</v>
      </c>
      <c r="J107">
        <f>_xlfn.XLOOKUP($A107,Load!$B:$B,Load!K:K,0,)</f>
        <v>0</v>
      </c>
      <c r="K107">
        <f>_xlfn.XLOOKUP($A107,Load!$B:$B,Load!L:L,0,)</f>
        <v>0</v>
      </c>
      <c r="L107">
        <f>_xlfn.XLOOKUP($A107,Load!$B:$B,Load!M:M,0,)</f>
        <v>0</v>
      </c>
    </row>
    <row r="108" spans="1:12" x14ac:dyDescent="0.25">
      <c r="A108" t="s">
        <v>203</v>
      </c>
      <c r="B108" t="str">
        <f>_xlfn.XLOOKUP($A108,Load!$B:$B,Load!C:C,0,)</f>
        <v>Mars Variety Pack</v>
      </c>
      <c r="C108" t="str">
        <f>_xlfn.XLOOKUP($A108,Load!$B:$B,Load!D:D,0,)</f>
        <v>Mix of Chocolate and Non-Chocolate Candy</v>
      </c>
      <c r="D108" t="str">
        <f>_xlfn.XLOOKUP($A108,Load!$B:$B,Load!E:E,0,)</f>
        <v>Variety / Mixed Flavors (Fruity, Sour, Seasonal Flavors)</v>
      </c>
      <c r="E108" t="str">
        <f>_xlfn.XLOOKUP($A108,Load!$B:$B,Load!F:F,0,)</f>
        <v>Mixed / Combo Packs (Gummy, Chewy, Taffy, etc.)</v>
      </c>
      <c r="F108" t="str">
        <f>_xlfn.XLOOKUP($A108,Load!$B:$B,Load!G:G,0,)</f>
        <v>Small Multipack (Less than 40 ct)</v>
      </c>
      <c r="G108" t="str">
        <f>_xlfn.XLOOKUP($A108,Load!$B:$B,Load!H:H,0,)</f>
        <v>Box (theatre box, gift box, carton)</v>
      </c>
      <c r="H108" t="str">
        <f>_xlfn.XLOOKUP($A108,Load!$B:$B,Load!I:I,0,)</f>
        <v>Everyday Candy Shapes (like Original, Gummy bear, Fruit, Jewels, etc.)</v>
      </c>
      <c r="I108" t="str">
        <f>_xlfn.XLOOKUP($A108,Load!$B:$B,Load!J:J,0,)</f>
        <v>Everyday Graphics</v>
      </c>
      <c r="J108" t="str">
        <f>_xlfn.XLOOKUP($A108,Load!$B:$B,Load!K:K,0,)</f>
        <v>Fun Size / Treat Size</v>
      </c>
      <c r="K108" t="str">
        <f>_xlfn.XLOOKUP($A108,Load!$B:$B,Load!L:L,0,)</f>
        <v>Regular/Original Wrapping</v>
      </c>
      <c r="L108" t="str">
        <f>_xlfn.XLOOKUP($A108,Load!$B:$B,Load!M:M,0,)</f>
        <v>Multiple Brands / Variety Flavors or Form</v>
      </c>
    </row>
    <row r="109" spans="1:12" x14ac:dyDescent="0.25">
      <c r="B109">
        <f>_xlfn.XLOOKUP($A109,Load!$B:$B,Load!C:C,0,)</f>
        <v>0</v>
      </c>
      <c r="C109">
        <f>_xlfn.XLOOKUP($A109,Load!$B:$B,Load!D:D,0,)</f>
        <v>0</v>
      </c>
      <c r="D109">
        <f>_xlfn.XLOOKUP($A109,Load!$B:$B,Load!E:E,0,)</f>
        <v>0</v>
      </c>
      <c r="E109">
        <f>_xlfn.XLOOKUP($A109,Load!$B:$B,Load!F:F,0,)</f>
        <v>0</v>
      </c>
      <c r="F109">
        <f>_xlfn.XLOOKUP($A109,Load!$B:$B,Load!G:G,0,)</f>
        <v>0</v>
      </c>
      <c r="G109">
        <f>_xlfn.XLOOKUP($A109,Load!$B:$B,Load!H:H,0,)</f>
        <v>0</v>
      </c>
      <c r="H109">
        <f>_xlfn.XLOOKUP($A109,Load!$B:$B,Load!I:I,0,)</f>
        <v>0</v>
      </c>
      <c r="I109">
        <f>_xlfn.XLOOKUP($A109,Load!$B:$B,Load!J:J,0,)</f>
        <v>0</v>
      </c>
      <c r="J109">
        <f>_xlfn.XLOOKUP($A109,Load!$B:$B,Load!K:K,0,)</f>
        <v>0</v>
      </c>
      <c r="K109">
        <f>_xlfn.XLOOKUP($A109,Load!$B:$B,Load!L:L,0,)</f>
        <v>0</v>
      </c>
      <c r="L109">
        <f>_xlfn.XLOOKUP($A109,Load!$B:$B,Load!M:M,0,)</f>
        <v>0</v>
      </c>
    </row>
    <row r="110" spans="1:12" x14ac:dyDescent="0.25">
      <c r="A110" t="s">
        <v>142</v>
      </c>
      <c r="B110" t="str">
        <f>_xlfn.XLOOKUP($A110,Load!$B:$B,Load!C:C,0,)</f>
        <v>Hershey's Variety Pack + Haribo</v>
      </c>
      <c r="C110" t="str">
        <f>_xlfn.XLOOKUP($A110,Load!$B:$B,Load!D:D,0,)</f>
        <v>Mix of Chocolate and Non-Chocolate Candy</v>
      </c>
      <c r="D110" t="str">
        <f>_xlfn.XLOOKUP($A110,Load!$B:$B,Load!E:E,0,)</f>
        <v>Variety / Mixed Flavors (Fruity, Sour, Seasonal Flavors)</v>
      </c>
      <c r="E110" t="str">
        <f>_xlfn.XLOOKUP($A110,Load!$B:$B,Load!F:F,0,)</f>
        <v>Mixed / Combo Packs (Gummy, Chewy, Taffy, etc.)</v>
      </c>
      <c r="F110" t="str">
        <f>_xlfn.XLOOKUP($A110,Load!$B:$B,Load!G:G,0,)</f>
        <v>Small Multipack (Less than 40 ct)</v>
      </c>
      <c r="G110" t="str">
        <f>_xlfn.XLOOKUP($A110,Load!$B:$B,Load!H:H,0,)</f>
        <v>Laydown Bag</v>
      </c>
      <c r="H110" t="str">
        <f>_xlfn.XLOOKUP($A110,Load!$B:$B,Load!I:I,0,)</f>
        <v>Everyday Candy Shapes (like Original, Gummy bear, Fruit, Jewels, etc.)</v>
      </c>
      <c r="I110" t="str">
        <f>_xlfn.XLOOKUP($A110,Load!$B:$B,Load!J:J,0,)</f>
        <v>Seasonal Graphics (Like Bat, Ghost, Pumpkin, Fall Leaves, Eyeballs, etc.)</v>
      </c>
      <c r="J110" t="str">
        <f>_xlfn.XLOOKUP($A110,Load!$B:$B,Load!K:K,0,)</f>
        <v>Fun Size / Treat Size</v>
      </c>
      <c r="K110" t="str">
        <f>_xlfn.XLOOKUP($A110,Load!$B:$B,Load!L:L,0,)</f>
        <v>Regular/Original Wrapping</v>
      </c>
      <c r="L110" t="str">
        <f>_xlfn.XLOOKUP($A110,Load!$B:$B,Load!M:M,0,)</f>
        <v>Multiple Brands / Variety Flavors or Form</v>
      </c>
    </row>
    <row r="111" spans="1:12" x14ac:dyDescent="0.25">
      <c r="A111" t="s">
        <v>132</v>
      </c>
      <c r="B111" t="str">
        <f>_xlfn.XLOOKUP($A111,Load!$B:$B,Load!C:C,0,)</f>
        <v>Hershey's</v>
      </c>
      <c r="C111" t="str">
        <f>_xlfn.XLOOKUP($A111,Load!$B:$B,Load!D:D,0,)</f>
        <v>Mix of Chocolate and Non-Chocolate Candy</v>
      </c>
      <c r="D111" t="str">
        <f>_xlfn.XLOOKUP($A111,Load!$B:$B,Load!E:E,0,)</f>
        <v>Variety / Mixed Flavors (Fruity, Sour, Seasonal Flavors)</v>
      </c>
      <c r="E111" t="str">
        <f>_xlfn.XLOOKUP($A111,Load!$B:$B,Load!F:F,0,)</f>
        <v>Mixed / Combo Packs (Gummy, Chewy, Taffy, etc.)</v>
      </c>
      <c r="F111" t="str">
        <f>_xlfn.XLOOKUP($A111,Load!$B:$B,Load!G:G,0,)</f>
        <v>Small Multipack (Less than 40 ct)</v>
      </c>
      <c r="G111" t="str">
        <f>_xlfn.XLOOKUP($A111,Load!$B:$B,Load!H:H,0,)</f>
        <v>Laydown Bag</v>
      </c>
      <c r="H111" t="str">
        <f>_xlfn.XLOOKUP($A111,Load!$B:$B,Load!I:I,0,)</f>
        <v>Everyday Candy Shapes (like Original, Gummy bear, Fruit, Jewels, etc.)</v>
      </c>
      <c r="I111" t="str">
        <f>_xlfn.XLOOKUP($A111,Load!$B:$B,Load!J:J,0,)</f>
        <v>Seasonal Graphics (Like Bat, Ghost, Pumpkin, Fall Leaves, Eyeballs, etc.)</v>
      </c>
      <c r="J111" t="str">
        <f>_xlfn.XLOOKUP($A111,Load!$B:$B,Load!K:K,0,)</f>
        <v xml:space="preserve">Variety Candy Sizes </v>
      </c>
      <c r="K111" t="str">
        <f>_xlfn.XLOOKUP($A111,Load!$B:$B,Load!L:L,0,)</f>
        <v>Regular/Original Wrapping</v>
      </c>
      <c r="L111" t="str">
        <f>_xlfn.XLOOKUP($A111,Load!$B:$B,Load!M:M,0,)</f>
        <v>Multiple Brands / Variety Flavors or Form</v>
      </c>
    </row>
    <row r="112" spans="1:12" x14ac:dyDescent="0.25">
      <c r="A112" t="s">
        <v>144</v>
      </c>
      <c r="B112" t="str">
        <f>_xlfn.XLOOKUP($A112,Load!$B:$B,Load!C:C,0,)</f>
        <v>Hershey's Variety Pack + Haribo</v>
      </c>
      <c r="C112" t="str">
        <f>_xlfn.XLOOKUP($A112,Load!$B:$B,Load!D:D,0,)</f>
        <v>Mix of Chocolate and Non-Chocolate Candy</v>
      </c>
      <c r="D112" t="str">
        <f>_xlfn.XLOOKUP($A112,Load!$B:$B,Load!E:E,0,)</f>
        <v>Variety / Mixed Flavors (Fruity, Sour, Seasonal Flavors)</v>
      </c>
      <c r="E112" t="str">
        <f>_xlfn.XLOOKUP($A112,Load!$B:$B,Load!F:F,0,)</f>
        <v>Mixed / Combo Packs (Gummy, Chewy, Taffy, etc.)</v>
      </c>
      <c r="F112" t="str">
        <f>_xlfn.XLOOKUP($A112,Load!$B:$B,Load!G:G,0,)</f>
        <v>Large Multipack (More than 80 ct)</v>
      </c>
      <c r="G112" t="str">
        <f>_xlfn.XLOOKUP($A112,Load!$B:$B,Load!H:H,0,)</f>
        <v>Stand-Up Bag</v>
      </c>
      <c r="H112" t="str">
        <f>_xlfn.XLOOKUP($A112,Load!$B:$B,Load!I:I,0,)</f>
        <v>Everyday Candy Shapes (like Original, Gummy bear, Fruit, Jewels, etc.)</v>
      </c>
      <c r="I112" t="str">
        <f>_xlfn.XLOOKUP($A112,Load!$B:$B,Load!J:J,0,)</f>
        <v>Seasonal Graphics (Like Bat, Ghost, Pumpkin, Fall Leaves, Eyeballs, etc.)</v>
      </c>
      <c r="J112" t="str">
        <f>_xlfn.XLOOKUP($A112,Load!$B:$B,Load!K:K,0,)</f>
        <v>Fun Size / Treat Size</v>
      </c>
      <c r="K112" t="str">
        <f>_xlfn.XLOOKUP($A112,Load!$B:$B,Load!L:L,0,)</f>
        <v>Regular/Original Wrapping</v>
      </c>
      <c r="L112" t="str">
        <f>_xlfn.XLOOKUP($A112,Load!$B:$B,Load!M:M,0,)</f>
        <v>Multiple Brands / Variety Flavors or Form</v>
      </c>
    </row>
    <row r="113" spans="1:12" x14ac:dyDescent="0.25">
      <c r="A113" t="s">
        <v>191</v>
      </c>
      <c r="B113" t="str">
        <f>_xlfn.XLOOKUP($A113,Load!$B:$B,Load!C:C,0,)</f>
        <v>Mars Variety Pack</v>
      </c>
      <c r="C113" t="str">
        <f>_xlfn.XLOOKUP($A113,Load!$B:$B,Load!D:D,0,)</f>
        <v>Mix of Chocolate and Non-Chocolate Candy</v>
      </c>
      <c r="D113" t="str">
        <f>_xlfn.XLOOKUP($A113,Load!$B:$B,Load!E:E,0,)</f>
        <v>Variety / Mixed Flavors (Fruity, Sour, Seasonal Flavors)</v>
      </c>
      <c r="E113" t="str">
        <f>_xlfn.XLOOKUP($A113,Load!$B:$B,Load!F:F,0,)</f>
        <v>Mixed / Combo Packs (Gummy, Chewy, Taffy, etc.)</v>
      </c>
      <c r="F113" t="str">
        <f>_xlfn.XLOOKUP($A113,Load!$B:$B,Load!G:G,0,)</f>
        <v>Medium Multipack (40–80 ct)</v>
      </c>
      <c r="G113" t="str">
        <f>_xlfn.XLOOKUP($A113,Load!$B:$B,Load!H:H,0,)</f>
        <v>Stand-Up Bag</v>
      </c>
      <c r="H113" t="str">
        <f>_xlfn.XLOOKUP($A113,Load!$B:$B,Load!I:I,0,)</f>
        <v>Everyday Candy Shapes (like Original, Gummy bear, Fruit, Jewels, etc.)</v>
      </c>
      <c r="I113" t="str">
        <f>_xlfn.XLOOKUP($A113,Load!$B:$B,Load!J:J,0,)</f>
        <v>Seasonal Graphics (Like Bat, Ghost, Pumpkin, Fall Leaves, Eyeballs, etc.)</v>
      </c>
      <c r="J113" t="str">
        <f>_xlfn.XLOOKUP($A113,Load!$B:$B,Load!K:K,0,)</f>
        <v xml:space="preserve">Variety Candy Sizes </v>
      </c>
      <c r="K113" t="str">
        <f>_xlfn.XLOOKUP($A113,Load!$B:$B,Load!L:L,0,)</f>
        <v>Regular/Original Wrapping</v>
      </c>
      <c r="L113" t="str">
        <f>_xlfn.XLOOKUP($A113,Load!$B:$B,Load!M:M,0,)</f>
        <v>Multiple Brands / Variety Flavors or Form</v>
      </c>
    </row>
    <row r="114" spans="1:12" x14ac:dyDescent="0.25">
      <c r="B114">
        <f>_xlfn.XLOOKUP($A114,Load!$B:$B,Load!C:C,0,)</f>
        <v>0</v>
      </c>
      <c r="C114">
        <f>_xlfn.XLOOKUP($A114,Load!$B:$B,Load!D:D,0,)</f>
        <v>0</v>
      </c>
      <c r="D114">
        <f>_xlfn.XLOOKUP($A114,Load!$B:$B,Load!E:E,0,)</f>
        <v>0</v>
      </c>
      <c r="E114">
        <f>_xlfn.XLOOKUP($A114,Load!$B:$B,Load!F:F,0,)</f>
        <v>0</v>
      </c>
      <c r="F114">
        <f>_xlfn.XLOOKUP($A114,Load!$B:$B,Load!G:G,0,)</f>
        <v>0</v>
      </c>
      <c r="G114">
        <f>_xlfn.XLOOKUP($A114,Load!$B:$B,Load!H:H,0,)</f>
        <v>0</v>
      </c>
      <c r="H114">
        <f>_xlfn.XLOOKUP($A114,Load!$B:$B,Load!I:I,0,)</f>
        <v>0</v>
      </c>
      <c r="I114">
        <f>_xlfn.XLOOKUP($A114,Load!$B:$B,Load!J:J,0,)</f>
        <v>0</v>
      </c>
      <c r="J114">
        <f>_xlfn.XLOOKUP($A114,Load!$B:$B,Load!K:K,0,)</f>
        <v>0</v>
      </c>
      <c r="K114">
        <f>_xlfn.XLOOKUP($A114,Load!$B:$B,Load!L:L,0,)</f>
        <v>0</v>
      </c>
      <c r="L114">
        <f>_xlfn.XLOOKUP($A114,Load!$B:$B,Load!M:M,0,)</f>
        <v>0</v>
      </c>
    </row>
    <row r="115" spans="1:12" x14ac:dyDescent="0.25">
      <c r="B115">
        <f>_xlfn.XLOOKUP($A115,Load!$B:$B,Load!C:C,0,)</f>
        <v>0</v>
      </c>
      <c r="C115">
        <f>_xlfn.XLOOKUP($A115,Load!$B:$B,Load!D:D,0,)</f>
        <v>0</v>
      </c>
      <c r="D115">
        <f>_xlfn.XLOOKUP($A115,Load!$B:$B,Load!E:E,0,)</f>
        <v>0</v>
      </c>
      <c r="E115">
        <f>_xlfn.XLOOKUP($A115,Load!$B:$B,Load!F:F,0,)</f>
        <v>0</v>
      </c>
      <c r="F115">
        <f>_xlfn.XLOOKUP($A115,Load!$B:$B,Load!G:G,0,)</f>
        <v>0</v>
      </c>
      <c r="G115">
        <f>_xlfn.XLOOKUP($A115,Load!$B:$B,Load!H:H,0,)</f>
        <v>0</v>
      </c>
      <c r="H115">
        <f>_xlfn.XLOOKUP($A115,Load!$B:$B,Load!I:I,0,)</f>
        <v>0</v>
      </c>
      <c r="I115">
        <f>_xlfn.XLOOKUP($A115,Load!$B:$B,Load!J:J,0,)</f>
        <v>0</v>
      </c>
      <c r="J115">
        <f>_xlfn.XLOOKUP($A115,Load!$B:$B,Load!K:K,0,)</f>
        <v>0</v>
      </c>
      <c r="K115">
        <f>_xlfn.XLOOKUP($A115,Load!$B:$B,Load!L:L,0,)</f>
        <v>0</v>
      </c>
      <c r="L115">
        <f>_xlfn.XLOOKUP($A115,Load!$B:$B,Load!M:M,0,)</f>
        <v>0</v>
      </c>
    </row>
    <row r="116" spans="1:12" x14ac:dyDescent="0.25">
      <c r="A116" t="s">
        <v>198</v>
      </c>
      <c r="B116" t="str">
        <f>_xlfn.XLOOKUP($A116,Load!$B:$B,Load!C:C,0,)</f>
        <v>Mars Variety Pack</v>
      </c>
      <c r="C116" t="str">
        <f>_xlfn.XLOOKUP($A116,Load!$B:$B,Load!D:D,0,)</f>
        <v>Non-Chocolate Candy Only</v>
      </c>
      <c r="D116" t="str">
        <f>_xlfn.XLOOKUP($A116,Load!$B:$B,Load!E:E,0,)</f>
        <v>Variety / Mixed Flavors (Fruity, Sour, Seasonal Flavors)</v>
      </c>
      <c r="E116" t="str">
        <f>_xlfn.XLOOKUP($A116,Load!$B:$B,Load!F:F,0,)</f>
        <v>Mixed / Combo Packs (Gummy, Chewy, Taffy, etc.)</v>
      </c>
      <c r="F116" t="str">
        <f>_xlfn.XLOOKUP($A116,Load!$B:$B,Load!G:G,0,)</f>
        <v>Large Multipack (More than 80 ct)</v>
      </c>
      <c r="G116" t="str">
        <f>_xlfn.XLOOKUP($A116,Load!$B:$B,Load!H:H,0,)</f>
        <v>Stand-Up Bag</v>
      </c>
      <c r="H116" t="str">
        <f>_xlfn.XLOOKUP($A116,Load!$B:$B,Load!I:I,0,)</f>
        <v>Everyday Candy Shapes (like Original, Gummy bear, Fruit, Jewels, etc.)</v>
      </c>
      <c r="I116" t="str">
        <f>_xlfn.XLOOKUP($A116,Load!$B:$B,Load!J:J,0,)</f>
        <v>Seasonal Graphics (Like Bat, Ghost, Pumpkin, Fall Leaves, Eyeballs, etc.)</v>
      </c>
      <c r="J116" t="str">
        <f>_xlfn.XLOOKUP($A116,Load!$B:$B,Load!K:K,0,)</f>
        <v>Fun Size / Treat Size</v>
      </c>
      <c r="K116" t="str">
        <f>_xlfn.XLOOKUP($A116,Load!$B:$B,Load!L:L,0,)</f>
        <v>Regular/Original Wrapping</v>
      </c>
      <c r="L116" t="str">
        <f>_xlfn.XLOOKUP($A116,Load!$B:$B,Load!M:M,0,)</f>
        <v>Multiple Brands / Variety Flavors or Form</v>
      </c>
    </row>
    <row r="117" spans="1:12" x14ac:dyDescent="0.25">
      <c r="B117">
        <f>_xlfn.XLOOKUP($A117,Load!$B:$B,Load!C:C,0,)</f>
        <v>0</v>
      </c>
      <c r="C117">
        <f>_xlfn.XLOOKUP($A117,Load!$B:$B,Load!D:D,0,)</f>
        <v>0</v>
      </c>
      <c r="D117">
        <f>_xlfn.XLOOKUP($A117,Load!$B:$B,Load!E:E,0,)</f>
        <v>0</v>
      </c>
      <c r="E117">
        <f>_xlfn.XLOOKUP($A117,Load!$B:$B,Load!F:F,0,)</f>
        <v>0</v>
      </c>
      <c r="F117">
        <f>_xlfn.XLOOKUP($A117,Load!$B:$B,Load!G:G,0,)</f>
        <v>0</v>
      </c>
      <c r="G117">
        <f>_xlfn.XLOOKUP($A117,Load!$B:$B,Load!H:H,0,)</f>
        <v>0</v>
      </c>
      <c r="H117">
        <f>_xlfn.XLOOKUP($A117,Load!$B:$B,Load!I:I,0,)</f>
        <v>0</v>
      </c>
      <c r="I117">
        <f>_xlfn.XLOOKUP($A117,Load!$B:$B,Load!J:J,0,)</f>
        <v>0</v>
      </c>
      <c r="J117">
        <f>_xlfn.XLOOKUP($A117,Load!$B:$B,Load!K:K,0,)</f>
        <v>0</v>
      </c>
      <c r="K117">
        <f>_xlfn.XLOOKUP($A117,Load!$B:$B,Load!L:L,0,)</f>
        <v>0</v>
      </c>
      <c r="L117">
        <f>_xlfn.XLOOKUP($A117,Load!$B:$B,Load!M:M,0,)</f>
        <v>0</v>
      </c>
    </row>
    <row r="118" spans="1:12" x14ac:dyDescent="0.25">
      <c r="B118">
        <f>_xlfn.XLOOKUP($A118,Load!$B:$B,Load!C:C,0,)</f>
        <v>0</v>
      </c>
      <c r="C118">
        <f>_xlfn.XLOOKUP($A118,Load!$B:$B,Load!D:D,0,)</f>
        <v>0</v>
      </c>
      <c r="D118">
        <f>_xlfn.XLOOKUP($A118,Load!$B:$B,Load!E:E,0,)</f>
        <v>0</v>
      </c>
      <c r="E118">
        <f>_xlfn.XLOOKUP($A118,Load!$B:$B,Load!F:F,0,)</f>
        <v>0</v>
      </c>
      <c r="F118">
        <f>_xlfn.XLOOKUP($A118,Load!$B:$B,Load!G:G,0,)</f>
        <v>0</v>
      </c>
      <c r="G118">
        <f>_xlfn.XLOOKUP($A118,Load!$B:$B,Load!H:H,0,)</f>
        <v>0</v>
      </c>
      <c r="H118">
        <f>_xlfn.XLOOKUP($A118,Load!$B:$B,Load!I:I,0,)</f>
        <v>0</v>
      </c>
      <c r="I118">
        <f>_xlfn.XLOOKUP($A118,Load!$B:$B,Load!J:J,0,)</f>
        <v>0</v>
      </c>
      <c r="J118">
        <f>_xlfn.XLOOKUP($A118,Load!$B:$B,Load!K:K,0,)</f>
        <v>0</v>
      </c>
      <c r="K118">
        <f>_xlfn.XLOOKUP($A118,Load!$B:$B,Load!L:L,0,)</f>
        <v>0</v>
      </c>
      <c r="L118">
        <f>_xlfn.XLOOKUP($A118,Load!$B:$B,Load!M:M,0,)</f>
        <v>0</v>
      </c>
    </row>
    <row r="119" spans="1:12" x14ac:dyDescent="0.25">
      <c r="B119">
        <f>_xlfn.XLOOKUP($A119,Load!$B:$B,Load!C:C,0,)</f>
        <v>0</v>
      </c>
      <c r="C119">
        <f>_xlfn.XLOOKUP($A119,Load!$B:$B,Load!D:D,0,)</f>
        <v>0</v>
      </c>
      <c r="D119">
        <f>_xlfn.XLOOKUP($A119,Load!$B:$B,Load!E:E,0,)</f>
        <v>0</v>
      </c>
      <c r="E119">
        <f>_xlfn.XLOOKUP($A119,Load!$B:$B,Load!F:F,0,)</f>
        <v>0</v>
      </c>
      <c r="F119">
        <f>_xlfn.XLOOKUP($A119,Load!$B:$B,Load!G:G,0,)</f>
        <v>0</v>
      </c>
      <c r="G119">
        <f>_xlfn.XLOOKUP($A119,Load!$B:$B,Load!H:H,0,)</f>
        <v>0</v>
      </c>
      <c r="H119">
        <f>_xlfn.XLOOKUP($A119,Load!$B:$B,Load!I:I,0,)</f>
        <v>0</v>
      </c>
      <c r="I119">
        <f>_xlfn.XLOOKUP($A119,Load!$B:$B,Load!J:J,0,)</f>
        <v>0</v>
      </c>
      <c r="J119">
        <f>_xlfn.XLOOKUP($A119,Load!$B:$B,Load!K:K,0,)</f>
        <v>0</v>
      </c>
      <c r="K119">
        <f>_xlfn.XLOOKUP($A119,Load!$B:$B,Load!L:L,0,)</f>
        <v>0</v>
      </c>
      <c r="L119">
        <f>_xlfn.XLOOKUP($A119,Load!$B:$B,Load!M:M,0,)</f>
        <v>0</v>
      </c>
    </row>
    <row r="120" spans="1:12" x14ac:dyDescent="0.25">
      <c r="A120" t="s">
        <v>465</v>
      </c>
      <c r="B120" t="str">
        <f>_xlfn.XLOOKUP($A120,Load!$B:$B,Load!C:C,0,)</f>
        <v>Werther's Original</v>
      </c>
      <c r="C120" t="str">
        <f>_xlfn.XLOOKUP($A120,Load!$B:$B,Load!D:D,0,)</f>
        <v>Non-Chocolate Candy Only</v>
      </c>
      <c r="D120" t="str">
        <f>_xlfn.XLOOKUP($A120,Load!$B:$B,Load!E:E,0,)</f>
        <v>Sweet</v>
      </c>
      <c r="E120" t="str">
        <f>_xlfn.XLOOKUP($A120,Load!$B:$B,Load!F:F,0,)</f>
        <v>Chewy</v>
      </c>
      <c r="F120" t="str">
        <f>_xlfn.XLOOKUP($A120,Load!$B:$B,Load!G:G,0,)</f>
        <v>Single Pack</v>
      </c>
      <c r="G120" t="str">
        <f>_xlfn.XLOOKUP($A120,Load!$B:$B,Load!H:H,0,)</f>
        <v>Laydown Bag</v>
      </c>
      <c r="H120" t="str">
        <f>_xlfn.XLOOKUP($A120,Load!$B:$B,Load!I:I,0,)</f>
        <v>Everyday Candy Shapes (like Original, Gummy bear, Fruit, Jewels, etc.)</v>
      </c>
      <c r="I120" t="str">
        <f>_xlfn.XLOOKUP($A120,Load!$B:$B,Load!J:J,0,)</f>
        <v>Everyday Graphics</v>
      </c>
      <c r="J120" t="str">
        <f>_xlfn.XLOOKUP($A120,Load!$B:$B,Load!K:K,0,)</f>
        <v>Fun Size / Treat Size</v>
      </c>
      <c r="K120" t="str">
        <f>_xlfn.XLOOKUP($A120,Load!$B:$B,Load!L:L,0,)</f>
        <v>Regular/Original Wrapping</v>
      </c>
      <c r="L120" t="str">
        <f>_xlfn.XLOOKUP($A120,Load!$B:$B,Load!M:M,0,)</f>
        <v>Single Brand / Single Flavor or Form</v>
      </c>
    </row>
    <row r="121" spans="1:12" x14ac:dyDescent="0.25">
      <c r="A121" t="s">
        <v>166</v>
      </c>
      <c r="B121" t="str">
        <f>_xlfn.XLOOKUP($A121,Load!$B:$B,Load!C:C,0,)</f>
        <v>Kraft</v>
      </c>
      <c r="C121" t="str">
        <f>_xlfn.XLOOKUP($A121,Load!$B:$B,Load!D:D,0,)</f>
        <v>Non-Chocolate Candy Only</v>
      </c>
      <c r="D121" t="str">
        <f>_xlfn.XLOOKUP($A121,Load!$B:$B,Load!E:E,0,)</f>
        <v>Fall / Seasonal Flavors (pumpkin spice, caramel apple, candy corn)</v>
      </c>
      <c r="E121" t="str">
        <f>_xlfn.XLOOKUP($A121,Load!$B:$B,Load!F:F,0,)</f>
        <v>Lollipop (regular or lollipop rings)</v>
      </c>
      <c r="F121" t="str">
        <f>_xlfn.XLOOKUP($A121,Load!$B:$B,Load!G:G,0,)</f>
        <v>Single Pack</v>
      </c>
      <c r="G121" t="str">
        <f>_xlfn.XLOOKUP($A121,Load!$B:$B,Load!H:H,0,)</f>
        <v>Laydown Bag</v>
      </c>
      <c r="H121" t="str">
        <f>_xlfn.XLOOKUP($A121,Load!$B:$B,Load!I:I,0,)</f>
        <v>Everyday Candy Shapes (like Original, Gummy bear, Fruit, Jewels, etc.)</v>
      </c>
      <c r="I121" t="str">
        <f>_xlfn.XLOOKUP($A121,Load!$B:$B,Load!J:J,0,)</f>
        <v>Everyday Graphics</v>
      </c>
      <c r="J121" t="str">
        <f>_xlfn.XLOOKUP($A121,Load!$B:$B,Load!K:K,0,)</f>
        <v>Small Pieces (Tiny bite size candies)</v>
      </c>
      <c r="K121" t="str">
        <f>_xlfn.XLOOKUP($A121,Load!$B:$B,Load!L:L,0,)</f>
        <v>Regular/Original Wrapping</v>
      </c>
      <c r="L121" t="str">
        <f>_xlfn.XLOOKUP($A121,Load!$B:$B,Load!M:M,0,)</f>
        <v>Single Brand / Single Flavor or Form</v>
      </c>
    </row>
    <row r="122" spans="1:12" x14ac:dyDescent="0.25">
      <c r="B122">
        <f>_xlfn.XLOOKUP($A122,Load!$B:$B,Load!C:C,0,)</f>
        <v>0</v>
      </c>
      <c r="C122">
        <f>_xlfn.XLOOKUP($A122,Load!$B:$B,Load!D:D,0,)</f>
        <v>0</v>
      </c>
      <c r="D122">
        <f>_xlfn.XLOOKUP($A122,Load!$B:$B,Load!E:E,0,)</f>
        <v>0</v>
      </c>
      <c r="E122">
        <f>_xlfn.XLOOKUP($A122,Load!$B:$B,Load!F:F,0,)</f>
        <v>0</v>
      </c>
      <c r="F122">
        <f>_xlfn.XLOOKUP($A122,Load!$B:$B,Load!G:G,0,)</f>
        <v>0</v>
      </c>
      <c r="G122">
        <f>_xlfn.XLOOKUP($A122,Load!$B:$B,Load!H:H,0,)</f>
        <v>0</v>
      </c>
      <c r="H122">
        <f>_xlfn.XLOOKUP($A122,Load!$B:$B,Load!I:I,0,)</f>
        <v>0</v>
      </c>
      <c r="I122">
        <f>_xlfn.XLOOKUP($A122,Load!$B:$B,Load!J:J,0,)</f>
        <v>0</v>
      </c>
      <c r="J122">
        <f>_xlfn.XLOOKUP($A122,Load!$B:$B,Load!K:K,0,)</f>
        <v>0</v>
      </c>
      <c r="K122">
        <f>_xlfn.XLOOKUP($A122,Load!$B:$B,Load!L:L,0,)</f>
        <v>0</v>
      </c>
      <c r="L122">
        <f>_xlfn.XLOOKUP($A122,Load!$B:$B,Load!M:M,0,)</f>
        <v>0</v>
      </c>
    </row>
    <row r="123" spans="1:12" x14ac:dyDescent="0.25">
      <c r="B123">
        <f>_xlfn.XLOOKUP($A123,Load!$B:$B,Load!C:C,0,)</f>
        <v>0</v>
      </c>
      <c r="C123">
        <f>_xlfn.XLOOKUP($A123,Load!$B:$B,Load!D:D,0,)</f>
        <v>0</v>
      </c>
      <c r="D123">
        <f>_xlfn.XLOOKUP($A123,Load!$B:$B,Load!E:E,0,)</f>
        <v>0</v>
      </c>
      <c r="E123">
        <f>_xlfn.XLOOKUP($A123,Load!$B:$B,Load!F:F,0,)</f>
        <v>0</v>
      </c>
      <c r="F123">
        <f>_xlfn.XLOOKUP($A123,Load!$B:$B,Load!G:G,0,)</f>
        <v>0</v>
      </c>
      <c r="G123">
        <f>_xlfn.XLOOKUP($A123,Load!$B:$B,Load!H:H,0,)</f>
        <v>0</v>
      </c>
      <c r="H123">
        <f>_xlfn.XLOOKUP($A123,Load!$B:$B,Load!I:I,0,)</f>
        <v>0</v>
      </c>
      <c r="I123">
        <f>_xlfn.XLOOKUP($A123,Load!$B:$B,Load!J:J,0,)</f>
        <v>0</v>
      </c>
      <c r="J123">
        <f>_xlfn.XLOOKUP($A123,Load!$B:$B,Load!K:K,0,)</f>
        <v>0</v>
      </c>
      <c r="K123">
        <f>_xlfn.XLOOKUP($A123,Load!$B:$B,Load!L:L,0,)</f>
        <v>0</v>
      </c>
      <c r="L123">
        <f>_xlfn.XLOOKUP($A123,Load!$B:$B,Load!M:M,0,)</f>
        <v>0</v>
      </c>
    </row>
    <row r="124" spans="1:12" x14ac:dyDescent="0.25">
      <c r="A124" t="s">
        <v>76</v>
      </c>
      <c r="B124" t="str">
        <f>_xlfn.XLOOKUP($A124,Load!$B:$B,Load!C:C,0,)</f>
        <v>Dum Dums</v>
      </c>
      <c r="C124" t="str">
        <f>_xlfn.XLOOKUP($A124,Load!$B:$B,Load!D:D,0,)</f>
        <v>Non-Chocolate Candy Only</v>
      </c>
      <c r="D124" t="str">
        <f>_xlfn.XLOOKUP($A124,Load!$B:$B,Load!E:E,0,)</f>
        <v>Variety / Mixed Flavors (Fruity, Sour, Seasonal Flavors)</v>
      </c>
      <c r="E124" t="str">
        <f>_xlfn.XLOOKUP($A124,Load!$B:$B,Load!F:F,0,)</f>
        <v>Lollipop (regular or lollipop rings)</v>
      </c>
      <c r="F124" t="str">
        <f>_xlfn.XLOOKUP($A124,Load!$B:$B,Load!G:G,0,)</f>
        <v>Large Multipack (More than 80 ct)</v>
      </c>
      <c r="G124" t="str">
        <f>_xlfn.XLOOKUP($A124,Load!$B:$B,Load!H:H,0,)</f>
        <v>Stand-Up Bag</v>
      </c>
      <c r="H124" t="str">
        <f>_xlfn.XLOOKUP($A124,Load!$B:$B,Load!I:I,0,)</f>
        <v>Everyday Candy Shapes (like Original, Gummy bear, Fruit, Jewels, etc.)</v>
      </c>
      <c r="I124" t="str">
        <f>_xlfn.XLOOKUP($A124,Load!$B:$B,Load!J:J,0,)</f>
        <v>Everyday Graphics</v>
      </c>
      <c r="J124" t="str">
        <f>_xlfn.XLOOKUP($A124,Load!$B:$B,Load!K:K,0,)</f>
        <v>Regular Lollipop size (on sticks or rings)</v>
      </c>
      <c r="K124" t="str">
        <f>_xlfn.XLOOKUP($A124,Load!$B:$B,Load!L:L,0,)</f>
        <v>Regular/Original Wrapping</v>
      </c>
      <c r="L124" t="str">
        <f>_xlfn.XLOOKUP($A124,Load!$B:$B,Load!M:M,0,)</f>
        <v>Single Brand / Variety Flavors or Form</v>
      </c>
    </row>
    <row r="125" spans="1:12" x14ac:dyDescent="0.25">
      <c r="B125">
        <f>_xlfn.XLOOKUP($A125,Load!$B:$B,Load!C:C,0,)</f>
        <v>0</v>
      </c>
      <c r="C125">
        <f>_xlfn.XLOOKUP($A125,Load!$B:$B,Load!D:D,0,)</f>
        <v>0</v>
      </c>
      <c r="D125">
        <f>_xlfn.XLOOKUP($A125,Load!$B:$B,Load!E:E,0,)</f>
        <v>0</v>
      </c>
      <c r="E125">
        <f>_xlfn.XLOOKUP($A125,Load!$B:$B,Load!F:F,0,)</f>
        <v>0</v>
      </c>
      <c r="F125">
        <f>_xlfn.XLOOKUP($A125,Load!$B:$B,Load!G:G,0,)</f>
        <v>0</v>
      </c>
      <c r="G125">
        <f>_xlfn.XLOOKUP($A125,Load!$B:$B,Load!H:H,0,)</f>
        <v>0</v>
      </c>
      <c r="H125">
        <f>_xlfn.XLOOKUP($A125,Load!$B:$B,Load!I:I,0,)</f>
        <v>0</v>
      </c>
      <c r="I125">
        <f>_xlfn.XLOOKUP($A125,Load!$B:$B,Load!J:J,0,)</f>
        <v>0</v>
      </c>
      <c r="J125">
        <f>_xlfn.XLOOKUP($A125,Load!$B:$B,Load!K:K,0,)</f>
        <v>0</v>
      </c>
      <c r="K125">
        <f>_xlfn.XLOOKUP($A125,Load!$B:$B,Load!L:L,0,)</f>
        <v>0</v>
      </c>
      <c r="L125">
        <f>_xlfn.XLOOKUP($A125,Load!$B:$B,Load!M:M,0,)</f>
        <v>0</v>
      </c>
    </row>
    <row r="126" spans="1:12" x14ac:dyDescent="0.25">
      <c r="A126" t="s">
        <v>266</v>
      </c>
      <c r="B126" t="str">
        <f>_xlfn.XLOOKUP($A126,Load!$B:$B,Load!C:C,0,)</f>
        <v>Smarties</v>
      </c>
      <c r="C126" t="str">
        <f>_xlfn.XLOOKUP($A126,Load!$B:$B,Load!D:D,0,)</f>
        <v>Non-Chocolate Candy Only</v>
      </c>
      <c r="D126" t="str">
        <f>_xlfn.XLOOKUP($A126,Load!$B:$B,Load!E:E,0,)</f>
        <v>Fruit Flavor (Cherry, Grape, Apple, Citrus, Tropical Fruit)</v>
      </c>
      <c r="E126" t="str">
        <f>_xlfn.XLOOKUP($A126,Load!$B:$B,Load!F:F,0,)</f>
        <v>Powder / Chalky</v>
      </c>
      <c r="F126" t="str">
        <f>_xlfn.XLOOKUP($A126,Load!$B:$B,Load!G:G,0,)</f>
        <v>Small Multipack (Less than 40 ct)</v>
      </c>
      <c r="G126" t="str">
        <f>_xlfn.XLOOKUP($A126,Load!$B:$B,Load!H:H,0,)</f>
        <v>Laydown Bag</v>
      </c>
      <c r="H126" t="str">
        <f>_xlfn.XLOOKUP($A126,Load!$B:$B,Load!I:I,0,)</f>
        <v>Everyday Candy Shapes (like Original, Gummy bear, Fruit, Jewels, etc.)</v>
      </c>
      <c r="I126" t="str">
        <f>_xlfn.XLOOKUP($A126,Load!$B:$B,Load!J:J,0,)</f>
        <v>Seasonal Graphics (Like Bat, Ghost, Pumpkin, Fall Leaves, Eyeballs, etc.)</v>
      </c>
      <c r="J126" t="str">
        <f>_xlfn.XLOOKUP($A126,Load!$B:$B,Load!K:K,0,)</f>
        <v>Small Pieces (Tiny bite size candies)</v>
      </c>
      <c r="K126" t="str">
        <f>_xlfn.XLOOKUP($A126,Load!$B:$B,Load!L:L,0,)</f>
        <v>Regular/Original Wrapping</v>
      </c>
      <c r="L126" t="str">
        <f>_xlfn.XLOOKUP($A126,Load!$B:$B,Load!M:M,0,)</f>
        <v>Single Brand / Single Flavor or Form</v>
      </c>
    </row>
    <row r="127" spans="1:12" x14ac:dyDescent="0.25">
      <c r="A127" t="s">
        <v>142</v>
      </c>
      <c r="B127" t="str">
        <f>_xlfn.XLOOKUP($A127,Load!$B:$B,Load!C:C,0,)</f>
        <v>Hershey's Variety Pack + Haribo</v>
      </c>
      <c r="C127" t="str">
        <f>_xlfn.XLOOKUP($A127,Load!$B:$B,Load!D:D,0,)</f>
        <v>Mix of Chocolate and Non-Chocolate Candy</v>
      </c>
      <c r="D127" t="str">
        <f>_xlfn.XLOOKUP($A127,Load!$B:$B,Load!E:E,0,)</f>
        <v>Variety / Mixed Flavors (Fruity, Sour, Seasonal Flavors)</v>
      </c>
      <c r="E127" t="str">
        <f>_xlfn.XLOOKUP($A127,Load!$B:$B,Load!F:F,0,)</f>
        <v>Mixed / Combo Packs (Gummy, Chewy, Taffy, etc.)</v>
      </c>
      <c r="F127" t="str">
        <f>_xlfn.XLOOKUP($A127,Load!$B:$B,Load!G:G,0,)</f>
        <v>Small Multipack (Less than 40 ct)</v>
      </c>
      <c r="G127" t="str">
        <f>_xlfn.XLOOKUP($A127,Load!$B:$B,Load!H:H,0,)</f>
        <v>Laydown Bag</v>
      </c>
      <c r="H127" t="str">
        <f>_xlfn.XLOOKUP($A127,Load!$B:$B,Load!I:I,0,)</f>
        <v>Everyday Candy Shapes (like Original, Gummy bear, Fruit, Jewels, etc.)</v>
      </c>
      <c r="I127" t="str">
        <f>_xlfn.XLOOKUP($A127,Load!$B:$B,Load!J:J,0,)</f>
        <v>Seasonal Graphics (Like Bat, Ghost, Pumpkin, Fall Leaves, Eyeballs, etc.)</v>
      </c>
      <c r="J127" t="str">
        <f>_xlfn.XLOOKUP($A127,Load!$B:$B,Load!K:K,0,)</f>
        <v>Fun Size / Treat Size</v>
      </c>
      <c r="K127" t="str">
        <f>_xlfn.XLOOKUP($A127,Load!$B:$B,Load!L:L,0,)</f>
        <v>Regular/Original Wrapping</v>
      </c>
      <c r="L127" t="str">
        <f>_xlfn.XLOOKUP($A127,Load!$B:$B,Load!M:M,0,)</f>
        <v>Multiple Brands / Variety Flavors or Form</v>
      </c>
    </row>
    <row r="128" spans="1:12" x14ac:dyDescent="0.25">
      <c r="B128">
        <f>_xlfn.XLOOKUP($A128,Load!$B:$B,Load!C:C,0,)</f>
        <v>0</v>
      </c>
      <c r="C128">
        <f>_xlfn.XLOOKUP($A128,Load!$B:$B,Load!D:D,0,)</f>
        <v>0</v>
      </c>
      <c r="D128">
        <f>_xlfn.XLOOKUP($A128,Load!$B:$B,Load!E:E,0,)</f>
        <v>0</v>
      </c>
      <c r="E128">
        <f>_xlfn.XLOOKUP($A128,Load!$B:$B,Load!F:F,0,)</f>
        <v>0</v>
      </c>
      <c r="F128">
        <f>_xlfn.XLOOKUP($A128,Load!$B:$B,Load!G:G,0,)</f>
        <v>0</v>
      </c>
      <c r="G128">
        <f>_xlfn.XLOOKUP($A128,Load!$B:$B,Load!H:H,0,)</f>
        <v>0</v>
      </c>
      <c r="H128">
        <f>_xlfn.XLOOKUP($A128,Load!$B:$B,Load!I:I,0,)</f>
        <v>0</v>
      </c>
      <c r="I128">
        <f>_xlfn.XLOOKUP($A128,Load!$B:$B,Load!J:J,0,)</f>
        <v>0</v>
      </c>
      <c r="J128">
        <f>_xlfn.XLOOKUP($A128,Load!$B:$B,Load!K:K,0,)</f>
        <v>0</v>
      </c>
      <c r="K128">
        <f>_xlfn.XLOOKUP($A128,Load!$B:$B,Load!L:L,0,)</f>
        <v>0</v>
      </c>
      <c r="L128">
        <f>_xlfn.XLOOKUP($A128,Load!$B:$B,Load!M:M,0,)</f>
        <v>0</v>
      </c>
    </row>
    <row r="129" spans="1:12" x14ac:dyDescent="0.25">
      <c r="B129">
        <f>_xlfn.XLOOKUP($A129,Load!$B:$B,Load!C:C,0,)</f>
        <v>0</v>
      </c>
      <c r="C129">
        <f>_xlfn.XLOOKUP($A129,Load!$B:$B,Load!D:D,0,)</f>
        <v>0</v>
      </c>
      <c r="D129">
        <f>_xlfn.XLOOKUP($A129,Load!$B:$B,Load!E:E,0,)</f>
        <v>0</v>
      </c>
      <c r="E129">
        <f>_xlfn.XLOOKUP($A129,Load!$B:$B,Load!F:F,0,)</f>
        <v>0</v>
      </c>
      <c r="F129">
        <f>_xlfn.XLOOKUP($A129,Load!$B:$B,Load!G:G,0,)</f>
        <v>0</v>
      </c>
      <c r="G129">
        <f>_xlfn.XLOOKUP($A129,Load!$B:$B,Load!H:H,0,)</f>
        <v>0</v>
      </c>
      <c r="H129">
        <f>_xlfn.XLOOKUP($A129,Load!$B:$B,Load!I:I,0,)</f>
        <v>0</v>
      </c>
      <c r="I129">
        <f>_xlfn.XLOOKUP($A129,Load!$B:$B,Load!J:J,0,)</f>
        <v>0</v>
      </c>
      <c r="J129">
        <f>_xlfn.XLOOKUP($A129,Load!$B:$B,Load!K:K,0,)</f>
        <v>0</v>
      </c>
      <c r="K129">
        <f>_xlfn.XLOOKUP($A129,Load!$B:$B,Load!L:L,0,)</f>
        <v>0</v>
      </c>
      <c r="L129">
        <f>_xlfn.XLOOKUP($A129,Load!$B:$B,Load!M:M,0,)</f>
        <v>0</v>
      </c>
    </row>
    <row r="130" spans="1:12" x14ac:dyDescent="0.25">
      <c r="B130">
        <f>_xlfn.XLOOKUP($A130,Load!$B:$B,Load!C:C,0,)</f>
        <v>0</v>
      </c>
      <c r="C130">
        <f>_xlfn.XLOOKUP($A130,Load!$B:$B,Load!D:D,0,)</f>
        <v>0</v>
      </c>
      <c r="D130">
        <f>_xlfn.XLOOKUP($A130,Load!$B:$B,Load!E:E,0,)</f>
        <v>0</v>
      </c>
      <c r="E130">
        <f>_xlfn.XLOOKUP($A130,Load!$B:$B,Load!F:F,0,)</f>
        <v>0</v>
      </c>
      <c r="F130">
        <f>_xlfn.XLOOKUP($A130,Load!$B:$B,Load!G:G,0,)</f>
        <v>0</v>
      </c>
      <c r="G130">
        <f>_xlfn.XLOOKUP($A130,Load!$B:$B,Load!H:H,0,)</f>
        <v>0</v>
      </c>
      <c r="H130">
        <f>_xlfn.XLOOKUP($A130,Load!$B:$B,Load!I:I,0,)</f>
        <v>0</v>
      </c>
      <c r="I130">
        <f>_xlfn.XLOOKUP($A130,Load!$B:$B,Load!J:J,0,)</f>
        <v>0</v>
      </c>
      <c r="J130">
        <f>_xlfn.XLOOKUP($A130,Load!$B:$B,Load!K:K,0,)</f>
        <v>0</v>
      </c>
      <c r="K130">
        <f>_xlfn.XLOOKUP($A130,Load!$B:$B,Load!L:L,0,)</f>
        <v>0</v>
      </c>
      <c r="L130">
        <f>_xlfn.XLOOKUP($A130,Load!$B:$B,Load!M:M,0,)</f>
        <v>0</v>
      </c>
    </row>
    <row r="131" spans="1:12" x14ac:dyDescent="0.25">
      <c r="B131">
        <f>_xlfn.XLOOKUP($A131,Load!$B:$B,Load!C:C,0,)</f>
        <v>0</v>
      </c>
      <c r="C131">
        <f>_xlfn.XLOOKUP($A131,Load!$B:$B,Load!D:D,0,)</f>
        <v>0</v>
      </c>
      <c r="D131">
        <f>_xlfn.XLOOKUP($A131,Load!$B:$B,Load!E:E,0,)</f>
        <v>0</v>
      </c>
      <c r="E131">
        <f>_xlfn.XLOOKUP($A131,Load!$B:$B,Load!F:F,0,)</f>
        <v>0</v>
      </c>
      <c r="F131">
        <f>_xlfn.XLOOKUP($A131,Load!$B:$B,Load!G:G,0,)</f>
        <v>0</v>
      </c>
      <c r="G131">
        <f>_xlfn.XLOOKUP($A131,Load!$B:$B,Load!H:H,0,)</f>
        <v>0</v>
      </c>
      <c r="H131">
        <f>_xlfn.XLOOKUP($A131,Load!$B:$B,Load!I:I,0,)</f>
        <v>0</v>
      </c>
      <c r="I131">
        <f>_xlfn.XLOOKUP($A131,Load!$B:$B,Load!J:J,0,)</f>
        <v>0</v>
      </c>
      <c r="J131">
        <f>_xlfn.XLOOKUP($A131,Load!$B:$B,Load!K:K,0,)</f>
        <v>0</v>
      </c>
      <c r="K131">
        <f>_xlfn.XLOOKUP($A131,Load!$B:$B,Load!L:L,0,)</f>
        <v>0</v>
      </c>
      <c r="L131">
        <f>_xlfn.XLOOKUP($A131,Load!$B:$B,Load!M:M,0,)</f>
        <v>0</v>
      </c>
    </row>
    <row r="132" spans="1:12" x14ac:dyDescent="0.25">
      <c r="B132">
        <f>_xlfn.XLOOKUP($A132,Load!$B:$B,Load!C:C,0,)</f>
        <v>0</v>
      </c>
      <c r="C132">
        <f>_xlfn.XLOOKUP($A132,Load!$B:$B,Load!D:D,0,)</f>
        <v>0</v>
      </c>
      <c r="D132">
        <f>_xlfn.XLOOKUP($A132,Load!$B:$B,Load!E:E,0,)</f>
        <v>0</v>
      </c>
      <c r="E132">
        <f>_xlfn.XLOOKUP($A132,Load!$B:$B,Load!F:F,0,)</f>
        <v>0</v>
      </c>
      <c r="F132">
        <f>_xlfn.XLOOKUP($A132,Load!$B:$B,Load!G:G,0,)</f>
        <v>0</v>
      </c>
      <c r="G132">
        <f>_xlfn.XLOOKUP($A132,Load!$B:$B,Load!H:H,0,)</f>
        <v>0</v>
      </c>
      <c r="H132">
        <f>_xlfn.XLOOKUP($A132,Load!$B:$B,Load!I:I,0,)</f>
        <v>0</v>
      </c>
      <c r="I132">
        <f>_xlfn.XLOOKUP($A132,Load!$B:$B,Load!J:J,0,)</f>
        <v>0</v>
      </c>
      <c r="J132">
        <f>_xlfn.XLOOKUP($A132,Load!$B:$B,Load!K:K,0,)</f>
        <v>0</v>
      </c>
      <c r="K132">
        <f>_xlfn.XLOOKUP($A132,Load!$B:$B,Load!L:L,0,)</f>
        <v>0</v>
      </c>
      <c r="L132">
        <f>_xlfn.XLOOKUP($A132,Load!$B:$B,Load!M:M,0,)</f>
        <v>0</v>
      </c>
    </row>
    <row r="133" spans="1:12" x14ac:dyDescent="0.25">
      <c r="B133">
        <f>_xlfn.XLOOKUP($A133,Load!$B:$B,Load!C:C,0,)</f>
        <v>0</v>
      </c>
      <c r="C133">
        <f>_xlfn.XLOOKUP($A133,Load!$B:$B,Load!D:D,0,)</f>
        <v>0</v>
      </c>
      <c r="D133">
        <f>_xlfn.XLOOKUP($A133,Load!$B:$B,Load!E:E,0,)</f>
        <v>0</v>
      </c>
      <c r="E133">
        <f>_xlfn.XLOOKUP($A133,Load!$B:$B,Load!F:F,0,)</f>
        <v>0</v>
      </c>
      <c r="F133">
        <f>_xlfn.XLOOKUP($A133,Load!$B:$B,Load!G:G,0,)</f>
        <v>0</v>
      </c>
      <c r="G133">
        <f>_xlfn.XLOOKUP($A133,Load!$B:$B,Load!H:H,0,)</f>
        <v>0</v>
      </c>
      <c r="H133">
        <f>_xlfn.XLOOKUP($A133,Load!$B:$B,Load!I:I,0,)</f>
        <v>0</v>
      </c>
      <c r="I133">
        <f>_xlfn.XLOOKUP($A133,Load!$B:$B,Load!J:J,0,)</f>
        <v>0</v>
      </c>
      <c r="J133">
        <f>_xlfn.XLOOKUP($A133,Load!$B:$B,Load!K:K,0,)</f>
        <v>0</v>
      </c>
      <c r="K133">
        <f>_xlfn.XLOOKUP($A133,Load!$B:$B,Load!L:L,0,)</f>
        <v>0</v>
      </c>
      <c r="L133">
        <f>_xlfn.XLOOKUP($A133,Load!$B:$B,Load!M:M,0,)</f>
        <v>0</v>
      </c>
    </row>
    <row r="134" spans="1:12" x14ac:dyDescent="0.25">
      <c r="A134" t="s">
        <v>109</v>
      </c>
      <c r="B134" t="str">
        <f>_xlfn.XLOOKUP($A134,Load!$B:$B,Load!C:C,0,)</f>
        <v>Frankford</v>
      </c>
      <c r="C134" t="str">
        <f>_xlfn.XLOOKUP($A134,Load!$B:$B,Load!D:D,0,)</f>
        <v>Non-Chocolate Candy Only</v>
      </c>
      <c r="D134" t="str">
        <f>_xlfn.XLOOKUP($A134,Load!$B:$B,Load!E:E,0,)</f>
        <v>Sour</v>
      </c>
      <c r="E134" t="str">
        <f>_xlfn.XLOOKUP($A134,Load!$B:$B,Load!F:F,0,)</f>
        <v>Mixed / Combo Packs (Gummy, Chewy, Taffy, etc.)</v>
      </c>
      <c r="F134" t="str">
        <f>_xlfn.XLOOKUP($A134,Load!$B:$B,Load!G:G,0,)</f>
        <v>Large Multipack (More than 80 ct)</v>
      </c>
      <c r="G134" t="str">
        <f>_xlfn.XLOOKUP($A134,Load!$B:$B,Load!H:H,0,)</f>
        <v>Laydown Bag</v>
      </c>
      <c r="H134" t="str">
        <f>_xlfn.XLOOKUP($A134,Load!$B:$B,Load!I:I,0,)</f>
        <v>Everyday Candy Shapes (like Original, Gummy bear, Fruit, Jewels, etc.)</v>
      </c>
      <c r="I134" t="str">
        <f>_xlfn.XLOOKUP($A134,Load!$B:$B,Load!J:J,0,)</f>
        <v>Seasonal Graphics (Like Bat, Ghost, Pumpkin, Fall Leaves, Eyeballs, etc.)</v>
      </c>
      <c r="J134" t="str">
        <f>_xlfn.XLOOKUP($A134,Load!$B:$B,Load!K:K,0,)</f>
        <v>Small Pieces (Tiny bite size candies)</v>
      </c>
      <c r="K134" t="str">
        <f>_xlfn.XLOOKUP($A134,Load!$B:$B,Load!L:L,0,)</f>
        <v>Regular/Original Wrapping</v>
      </c>
      <c r="L134" t="str">
        <f>_xlfn.XLOOKUP($A134,Load!$B:$B,Load!M:M,0,)</f>
        <v>Multiple Brands / Variety Flavors or Form</v>
      </c>
    </row>
    <row r="135" spans="1:12" x14ac:dyDescent="0.25">
      <c r="A135" t="s">
        <v>170</v>
      </c>
      <c r="B135" t="str">
        <f>_xlfn.XLOOKUP($A135,Load!$B:$B,Load!C:C,0,)</f>
        <v>Laffy Taffy</v>
      </c>
      <c r="C135" t="str">
        <f>_xlfn.XLOOKUP($A135,Load!$B:$B,Load!D:D,0,)</f>
        <v>Non-Chocolate Candy Only</v>
      </c>
      <c r="D135" t="str">
        <f>_xlfn.XLOOKUP($A135,Load!$B:$B,Load!E:E,0,)</f>
        <v>Fruit Flavor (Cherry, Grape, Apple, Citrus, Tropical Fruit)</v>
      </c>
      <c r="E135" t="str">
        <f>_xlfn.XLOOKUP($A135,Load!$B:$B,Load!F:F,0,)</f>
        <v>Taffy</v>
      </c>
      <c r="F135" t="str">
        <f>_xlfn.XLOOKUP($A135,Load!$B:$B,Load!G:G,0,)</f>
        <v>Large Multipack (More than 80 ct)</v>
      </c>
      <c r="G135" t="str">
        <f>_xlfn.XLOOKUP($A135,Load!$B:$B,Load!H:H,0,)</f>
        <v>Stand-Up Bag</v>
      </c>
      <c r="H135" t="str">
        <f>_xlfn.XLOOKUP($A135,Load!$B:$B,Load!I:I,0,)</f>
        <v>Everyday Candy Shapes (like Original, Gummy bear, Fruit, Jewels, etc.)</v>
      </c>
      <c r="I135" t="str">
        <f>_xlfn.XLOOKUP($A135,Load!$B:$B,Load!J:J,0,)</f>
        <v>Everyday Graphics</v>
      </c>
      <c r="J135" t="str">
        <f>_xlfn.XLOOKUP($A135,Load!$B:$B,Load!K:K,0,)</f>
        <v>Fun Size / Treat Size</v>
      </c>
      <c r="K135" t="str">
        <f>_xlfn.XLOOKUP($A135,Load!$B:$B,Load!L:L,0,)</f>
        <v>Regular/Original Wrapping</v>
      </c>
      <c r="L135" t="str">
        <f>_xlfn.XLOOKUP($A135,Load!$B:$B,Load!M:M,0,)</f>
        <v>Single Brand / Variety Flavors or Form</v>
      </c>
    </row>
    <row r="136" spans="1:12" x14ac:dyDescent="0.25">
      <c r="B136">
        <f>_xlfn.XLOOKUP($A136,Load!$B:$B,Load!C:C,0,)</f>
        <v>0</v>
      </c>
      <c r="C136">
        <f>_xlfn.XLOOKUP($A136,Load!$B:$B,Load!D:D,0,)</f>
        <v>0</v>
      </c>
      <c r="D136">
        <f>_xlfn.XLOOKUP($A136,Load!$B:$B,Load!E:E,0,)</f>
        <v>0</v>
      </c>
      <c r="E136">
        <f>_xlfn.XLOOKUP($A136,Load!$B:$B,Load!F:F,0,)</f>
        <v>0</v>
      </c>
      <c r="F136">
        <f>_xlfn.XLOOKUP($A136,Load!$B:$B,Load!G:G,0,)</f>
        <v>0</v>
      </c>
      <c r="G136">
        <f>_xlfn.XLOOKUP($A136,Load!$B:$B,Load!H:H,0,)</f>
        <v>0</v>
      </c>
      <c r="H136">
        <f>_xlfn.XLOOKUP($A136,Load!$B:$B,Load!I:I,0,)</f>
        <v>0</v>
      </c>
      <c r="I136">
        <f>_xlfn.XLOOKUP($A136,Load!$B:$B,Load!J:J,0,)</f>
        <v>0</v>
      </c>
      <c r="J136">
        <f>_xlfn.XLOOKUP($A136,Load!$B:$B,Load!K:K,0,)</f>
        <v>0</v>
      </c>
      <c r="K136">
        <f>_xlfn.XLOOKUP($A136,Load!$B:$B,Load!L:L,0,)</f>
        <v>0</v>
      </c>
      <c r="L136">
        <f>_xlfn.XLOOKUP($A136,Load!$B:$B,Load!M:M,0,)</f>
        <v>0</v>
      </c>
    </row>
    <row r="137" spans="1:12" x14ac:dyDescent="0.25">
      <c r="B137">
        <f>_xlfn.XLOOKUP($A137,Load!$B:$B,Load!C:C,0,)</f>
        <v>0</v>
      </c>
      <c r="C137">
        <f>_xlfn.XLOOKUP($A137,Load!$B:$B,Load!D:D,0,)</f>
        <v>0</v>
      </c>
      <c r="D137">
        <f>_xlfn.XLOOKUP($A137,Load!$B:$B,Load!E:E,0,)</f>
        <v>0</v>
      </c>
      <c r="E137">
        <f>_xlfn.XLOOKUP($A137,Load!$B:$B,Load!F:F,0,)</f>
        <v>0</v>
      </c>
      <c r="F137">
        <f>_xlfn.XLOOKUP($A137,Load!$B:$B,Load!G:G,0,)</f>
        <v>0</v>
      </c>
      <c r="G137">
        <f>_xlfn.XLOOKUP($A137,Load!$B:$B,Load!H:H,0,)</f>
        <v>0</v>
      </c>
      <c r="H137">
        <f>_xlfn.XLOOKUP($A137,Load!$B:$B,Load!I:I,0,)</f>
        <v>0</v>
      </c>
      <c r="I137">
        <f>_xlfn.XLOOKUP($A137,Load!$B:$B,Load!J:J,0,)</f>
        <v>0</v>
      </c>
      <c r="J137">
        <f>_xlfn.XLOOKUP($A137,Load!$B:$B,Load!K:K,0,)</f>
        <v>0</v>
      </c>
      <c r="K137">
        <f>_xlfn.XLOOKUP($A137,Load!$B:$B,Load!L:L,0,)</f>
        <v>0</v>
      </c>
      <c r="L137">
        <f>_xlfn.XLOOKUP($A137,Load!$B:$B,Load!M:M,0,)</f>
        <v>0</v>
      </c>
    </row>
    <row r="138" spans="1:12" x14ac:dyDescent="0.25">
      <c r="A138" t="s">
        <v>255</v>
      </c>
      <c r="B138" t="str">
        <f>_xlfn.XLOOKUP($A138,Load!$B:$B,Load!C:C,0,)</f>
        <v>Skittles</v>
      </c>
      <c r="C138" t="str">
        <f>_xlfn.XLOOKUP($A138,Load!$B:$B,Load!D:D,0,)</f>
        <v>Non-Chocolate Candy Only</v>
      </c>
      <c r="D138" t="str">
        <f>_xlfn.XLOOKUP($A138,Load!$B:$B,Load!E:E,0,)</f>
        <v>Variety / Mixed Flavors (Fruity, Sour, Seasonal Flavors)</v>
      </c>
      <c r="E138" t="str">
        <f>_xlfn.XLOOKUP($A138,Load!$B:$B,Load!F:F,0,)</f>
        <v>Gummy</v>
      </c>
      <c r="F138" t="str">
        <f>_xlfn.XLOOKUP($A138,Load!$B:$B,Load!G:G,0,)</f>
        <v>Large Multipack (More than 80 ct)</v>
      </c>
      <c r="G138" t="str">
        <f>_xlfn.XLOOKUP($A138,Load!$B:$B,Load!H:H,0,)</f>
        <v>Stand-Up Bag</v>
      </c>
      <c r="H138" t="str">
        <f>_xlfn.XLOOKUP($A138,Load!$B:$B,Load!I:I,0,)</f>
        <v>Everyday Candy Shapes (like Original, Gummy bear, Fruit, Jewels, etc.)</v>
      </c>
      <c r="I138" t="str">
        <f>_xlfn.XLOOKUP($A138,Load!$B:$B,Load!J:J,0,)</f>
        <v>Everyday Graphics</v>
      </c>
      <c r="J138" t="str">
        <f>_xlfn.XLOOKUP($A138,Load!$B:$B,Load!K:K,0,)</f>
        <v>Fun Size / Treat Size</v>
      </c>
      <c r="K138" t="str">
        <f>_xlfn.XLOOKUP($A138,Load!$B:$B,Load!L:L,0,)</f>
        <v>Regular/Original Wrapping</v>
      </c>
      <c r="L138" t="str">
        <f>_xlfn.XLOOKUP($A138,Load!$B:$B,Load!M:M,0,)</f>
        <v>Single Brand / Variety Flavors or Form</v>
      </c>
    </row>
    <row r="139" spans="1:12" x14ac:dyDescent="0.25">
      <c r="B139">
        <f>_xlfn.XLOOKUP($A139,Load!$B:$B,Load!C:C,0,)</f>
        <v>0</v>
      </c>
      <c r="C139">
        <f>_xlfn.XLOOKUP($A139,Load!$B:$B,Load!D:D,0,)</f>
        <v>0</v>
      </c>
      <c r="D139">
        <f>_xlfn.XLOOKUP($A139,Load!$B:$B,Load!E:E,0,)</f>
        <v>0</v>
      </c>
      <c r="E139">
        <f>_xlfn.XLOOKUP($A139,Load!$B:$B,Load!F:F,0,)</f>
        <v>0</v>
      </c>
      <c r="F139">
        <f>_xlfn.XLOOKUP($A139,Load!$B:$B,Load!G:G,0,)</f>
        <v>0</v>
      </c>
      <c r="G139">
        <f>_xlfn.XLOOKUP($A139,Load!$B:$B,Load!H:H,0,)</f>
        <v>0</v>
      </c>
      <c r="H139">
        <f>_xlfn.XLOOKUP($A139,Load!$B:$B,Load!I:I,0,)</f>
        <v>0</v>
      </c>
      <c r="I139">
        <f>_xlfn.XLOOKUP($A139,Load!$B:$B,Load!J:J,0,)</f>
        <v>0</v>
      </c>
      <c r="J139">
        <f>_xlfn.XLOOKUP($A139,Load!$B:$B,Load!K:K,0,)</f>
        <v>0</v>
      </c>
      <c r="K139">
        <f>_xlfn.XLOOKUP($A139,Load!$B:$B,Load!L:L,0,)</f>
        <v>0</v>
      </c>
      <c r="L139">
        <f>_xlfn.XLOOKUP($A139,Load!$B:$B,Load!M:M,0,)</f>
        <v>0</v>
      </c>
    </row>
    <row r="140" spans="1:12" x14ac:dyDescent="0.25">
      <c r="A140" t="s">
        <v>39</v>
      </c>
      <c r="B140" t="str">
        <f>_xlfn.XLOOKUP($A140,Load!$B:$B,Load!C:C,0,)</f>
        <v>Brach's</v>
      </c>
      <c r="C140" t="str">
        <f>_xlfn.XLOOKUP($A140,Load!$B:$B,Load!D:D,0,)</f>
        <v>Non-Chocolate Candy Only</v>
      </c>
      <c r="D140" t="str">
        <f>_xlfn.XLOOKUP($A140,Load!$B:$B,Load!E:E,0,)</f>
        <v>Fall / Seasonal Flavors (pumpkin spice, caramel apple, candy corn)</v>
      </c>
      <c r="E140" t="str">
        <f>_xlfn.XLOOKUP($A140,Load!$B:$B,Load!F:F,0,)</f>
        <v>Candy Pieces / Bites</v>
      </c>
      <c r="F140" t="str">
        <f>_xlfn.XLOOKUP($A140,Load!$B:$B,Load!G:G,0,)</f>
        <v>Single Pack</v>
      </c>
      <c r="G140" t="str">
        <f>_xlfn.XLOOKUP($A140,Load!$B:$B,Load!H:H,0,)</f>
        <v>Stand-Up Bag</v>
      </c>
      <c r="H140" t="str">
        <f>_xlfn.XLOOKUP($A140,Load!$B:$B,Load!I:I,0,)</f>
        <v>Seasonal Shapes (like pumpkins, candy corn, ghost, bats, etc.)</v>
      </c>
      <c r="I140" t="str">
        <f>_xlfn.XLOOKUP($A140,Load!$B:$B,Load!J:J,0,)</f>
        <v>Seasonal Graphics (Like Bat, Ghost, Pumpkin, Fall Leaves, Eyeballs, etc.)</v>
      </c>
      <c r="J140" t="str">
        <f>_xlfn.XLOOKUP($A140,Load!$B:$B,Load!K:K,0,)</f>
        <v>Small Pieces (Tiny bite size candies)</v>
      </c>
      <c r="K140" t="str">
        <f>_xlfn.XLOOKUP($A140,Load!$B:$B,Load!L:L,0,)</f>
        <v>Unwrapped</v>
      </c>
      <c r="L140" t="str">
        <f>_xlfn.XLOOKUP($A140,Load!$B:$B,Load!M:M,0,)</f>
        <v>Single Brand / Single Flavor or Form</v>
      </c>
    </row>
    <row r="141" spans="1:12" x14ac:dyDescent="0.25">
      <c r="A141" t="s">
        <v>48</v>
      </c>
      <c r="B141" t="str">
        <f>_xlfn.XLOOKUP($A141,Load!$B:$B,Load!C:C,0,)</f>
        <v>Brach's</v>
      </c>
      <c r="C141" t="str">
        <f>_xlfn.XLOOKUP($A141,Load!$B:$B,Load!D:D,0,)</f>
        <v>Non-Chocolate Candy Only</v>
      </c>
      <c r="D141" t="str">
        <f>_xlfn.XLOOKUP($A141,Load!$B:$B,Load!E:E,0,)</f>
        <v>Fall / Seasonal Flavors (pumpkin spice, caramel apple, candy corn)</v>
      </c>
      <c r="E141" t="str">
        <f>_xlfn.XLOOKUP($A141,Load!$B:$B,Load!F:F,0,)</f>
        <v>Candy Pieces / Bites</v>
      </c>
      <c r="F141" t="str">
        <f>_xlfn.XLOOKUP($A141,Load!$B:$B,Load!G:G,0,)</f>
        <v>Single Pack</v>
      </c>
      <c r="G141" t="str">
        <f>_xlfn.XLOOKUP($A141,Load!$B:$B,Load!H:H,0,)</f>
        <v>Stand-Up Bag</v>
      </c>
      <c r="H141" t="str">
        <f>_xlfn.XLOOKUP($A141,Load!$B:$B,Load!I:I,0,)</f>
        <v>Seasonal Shapes (like pumpkins, candy corn, ghost, bats, etc.)</v>
      </c>
      <c r="I141" t="str">
        <f>_xlfn.XLOOKUP($A141,Load!$B:$B,Load!J:J,0,)</f>
        <v>Seasonal Graphics (Like Bat, Ghost, Pumpkin, Fall Leaves, Eyeballs, etc.)</v>
      </c>
      <c r="J141" t="str">
        <f>_xlfn.XLOOKUP($A141,Load!$B:$B,Load!K:K,0,)</f>
        <v>Small Pieces (Tiny bite size candies)</v>
      </c>
      <c r="K141" t="str">
        <f>_xlfn.XLOOKUP($A141,Load!$B:$B,Load!L:L,0,)</f>
        <v>Unwrapped</v>
      </c>
      <c r="L141" t="str">
        <f>_xlfn.XLOOKUP($A141,Load!$B:$B,Load!M:M,0,)</f>
        <v>Single Brand / Single Flavor or Form</v>
      </c>
    </row>
    <row r="142" spans="1:12" x14ac:dyDescent="0.25">
      <c r="A142" t="s">
        <v>261</v>
      </c>
      <c r="B142" t="str">
        <f>_xlfn.XLOOKUP($A142,Load!$B:$B,Load!C:C,0,)</f>
        <v>Skittles</v>
      </c>
      <c r="C142" t="str">
        <f>_xlfn.XLOOKUP($A142,Load!$B:$B,Load!D:D,0,)</f>
        <v>Non-Chocolate Candy Only</v>
      </c>
      <c r="D142" t="str">
        <f>_xlfn.XLOOKUP($A142,Load!$B:$B,Load!E:E,0,)</f>
        <v>Fruit Flavor (Cherry, Grape, Apple, Citrus, Tropical Fruit)</v>
      </c>
      <c r="E142" t="str">
        <f>_xlfn.XLOOKUP($A142,Load!$B:$B,Load!F:F,0,)</f>
        <v>Candy Pieces / Bites</v>
      </c>
      <c r="F142" t="str">
        <f>_xlfn.XLOOKUP($A142,Load!$B:$B,Load!G:G,0,)</f>
        <v>Single Pack</v>
      </c>
      <c r="G142" t="str">
        <f>_xlfn.XLOOKUP($A142,Load!$B:$B,Load!H:H,0,)</f>
        <v>Laydown Bag</v>
      </c>
      <c r="H142" t="str">
        <f>_xlfn.XLOOKUP($A142,Load!$B:$B,Load!I:I,0,)</f>
        <v>Everyday Candy Shapes (like Original, Gummy bear, Fruit, Jewels, etc.)</v>
      </c>
      <c r="I142" t="str">
        <f>_xlfn.XLOOKUP($A142,Load!$B:$B,Load!J:J,0,)</f>
        <v>Everyday Graphics</v>
      </c>
      <c r="J142" t="str">
        <f>_xlfn.XLOOKUP($A142,Load!$B:$B,Load!K:K,0,)</f>
        <v>Small Pieces (Tiny bite size candies)</v>
      </c>
      <c r="K142" t="str">
        <f>_xlfn.XLOOKUP($A142,Load!$B:$B,Load!L:L,0,)</f>
        <v>Unwrapped</v>
      </c>
      <c r="L142" t="str">
        <f>_xlfn.XLOOKUP($A142,Load!$B:$B,Load!M:M,0,)</f>
        <v>Single Brand / Single Flavor or Form</v>
      </c>
    </row>
    <row r="143" spans="1:12" x14ac:dyDescent="0.25">
      <c r="B143">
        <f>_xlfn.XLOOKUP($A143,Load!$B:$B,Load!C:C,0,)</f>
        <v>0</v>
      </c>
      <c r="C143">
        <f>_xlfn.XLOOKUP($A143,Load!$B:$B,Load!D:D,0,)</f>
        <v>0</v>
      </c>
      <c r="D143">
        <f>_xlfn.XLOOKUP($A143,Load!$B:$B,Load!E:E,0,)</f>
        <v>0</v>
      </c>
      <c r="E143">
        <f>_xlfn.XLOOKUP($A143,Load!$B:$B,Load!F:F,0,)</f>
        <v>0</v>
      </c>
      <c r="F143">
        <f>_xlfn.XLOOKUP($A143,Load!$B:$B,Load!G:G,0,)</f>
        <v>0</v>
      </c>
      <c r="G143">
        <f>_xlfn.XLOOKUP($A143,Load!$B:$B,Load!H:H,0,)</f>
        <v>0</v>
      </c>
      <c r="H143">
        <f>_xlfn.XLOOKUP($A143,Load!$B:$B,Load!I:I,0,)</f>
        <v>0</v>
      </c>
      <c r="I143">
        <f>_xlfn.XLOOKUP($A143,Load!$B:$B,Load!J:J,0,)</f>
        <v>0</v>
      </c>
      <c r="J143">
        <f>_xlfn.XLOOKUP($A143,Load!$B:$B,Load!K:K,0,)</f>
        <v>0</v>
      </c>
      <c r="K143">
        <f>_xlfn.XLOOKUP($A143,Load!$B:$B,Load!L:L,0,)</f>
        <v>0</v>
      </c>
      <c r="L143">
        <f>_xlfn.XLOOKUP($A143,Load!$B:$B,Load!M:M,0,)</f>
        <v>0</v>
      </c>
    </row>
    <row r="144" spans="1:12" x14ac:dyDescent="0.25">
      <c r="B144">
        <f>_xlfn.XLOOKUP($A144,Load!$B:$B,Load!C:C,0,)</f>
        <v>0</v>
      </c>
      <c r="C144">
        <f>_xlfn.XLOOKUP($A144,Load!$B:$B,Load!D:D,0,)</f>
        <v>0</v>
      </c>
      <c r="D144">
        <f>_xlfn.XLOOKUP($A144,Load!$B:$B,Load!E:E,0,)</f>
        <v>0</v>
      </c>
      <c r="E144">
        <f>_xlfn.XLOOKUP($A144,Load!$B:$B,Load!F:F,0,)</f>
        <v>0</v>
      </c>
      <c r="F144">
        <f>_xlfn.XLOOKUP($A144,Load!$B:$B,Load!G:G,0,)</f>
        <v>0</v>
      </c>
      <c r="G144">
        <f>_xlfn.XLOOKUP($A144,Load!$B:$B,Load!H:H,0,)</f>
        <v>0</v>
      </c>
      <c r="H144">
        <f>_xlfn.XLOOKUP($A144,Load!$B:$B,Load!I:I,0,)</f>
        <v>0</v>
      </c>
      <c r="I144">
        <f>_xlfn.XLOOKUP($A144,Load!$B:$B,Load!J:J,0,)</f>
        <v>0</v>
      </c>
      <c r="J144">
        <f>_xlfn.XLOOKUP($A144,Load!$B:$B,Load!K:K,0,)</f>
        <v>0</v>
      </c>
      <c r="K144">
        <f>_xlfn.XLOOKUP($A144,Load!$B:$B,Load!L:L,0,)</f>
        <v>0</v>
      </c>
      <c r="L144">
        <f>_xlfn.XLOOKUP($A144,Load!$B:$B,Load!M:M,0,)</f>
        <v>0</v>
      </c>
    </row>
    <row r="145" spans="1:12" x14ac:dyDescent="0.25">
      <c r="B145">
        <f>_xlfn.XLOOKUP($A145,Load!$B:$B,Load!C:C,0,)</f>
        <v>0</v>
      </c>
      <c r="C145">
        <f>_xlfn.XLOOKUP($A145,Load!$B:$B,Load!D:D,0,)</f>
        <v>0</v>
      </c>
      <c r="D145">
        <f>_xlfn.XLOOKUP($A145,Load!$B:$B,Load!E:E,0,)</f>
        <v>0</v>
      </c>
      <c r="E145">
        <f>_xlfn.XLOOKUP($A145,Load!$B:$B,Load!F:F,0,)</f>
        <v>0</v>
      </c>
      <c r="F145">
        <f>_xlfn.XLOOKUP($A145,Load!$B:$B,Load!G:G,0,)</f>
        <v>0</v>
      </c>
      <c r="G145">
        <f>_xlfn.XLOOKUP($A145,Load!$B:$B,Load!H:H,0,)</f>
        <v>0</v>
      </c>
      <c r="H145">
        <f>_xlfn.XLOOKUP($A145,Load!$B:$B,Load!I:I,0,)</f>
        <v>0</v>
      </c>
      <c r="I145">
        <f>_xlfn.XLOOKUP($A145,Load!$B:$B,Load!J:J,0,)</f>
        <v>0</v>
      </c>
      <c r="J145">
        <f>_xlfn.XLOOKUP($A145,Load!$B:$B,Load!K:K,0,)</f>
        <v>0</v>
      </c>
      <c r="K145">
        <f>_xlfn.XLOOKUP($A145,Load!$B:$B,Load!L:L,0,)</f>
        <v>0</v>
      </c>
      <c r="L145">
        <f>_xlfn.XLOOKUP($A145,Load!$B:$B,Load!M:M,0,)</f>
        <v>0</v>
      </c>
    </row>
    <row r="146" spans="1:12" x14ac:dyDescent="0.25">
      <c r="A146" t="s">
        <v>108</v>
      </c>
      <c r="B146" t="str">
        <f>_xlfn.XLOOKUP($A146,Load!$B:$B,Load!C:C,0,)</f>
        <v>Frankford</v>
      </c>
      <c r="C146" t="str">
        <f>_xlfn.XLOOKUP($A146,Load!$B:$B,Load!D:D,0,)</f>
        <v>Non-Chocolate Candy Only</v>
      </c>
      <c r="D146" t="str">
        <f>_xlfn.XLOOKUP($A146,Load!$B:$B,Load!E:E,0,)</f>
        <v>Fruit Flavor (Cherry, Grape, Apple, Citrus, Tropical Fruit)</v>
      </c>
      <c r="E146" t="str">
        <f>_xlfn.XLOOKUP($A146,Load!$B:$B,Load!F:F,0,)</f>
        <v>Gummy</v>
      </c>
      <c r="F146" t="str">
        <f>_xlfn.XLOOKUP($A146,Load!$B:$B,Load!G:G,0,)</f>
        <v>Small Multipack (Less than 40 ct)</v>
      </c>
      <c r="G146" t="str">
        <f>_xlfn.XLOOKUP($A146,Load!$B:$B,Load!H:H,0,)</f>
        <v>Laydown Bag</v>
      </c>
      <c r="H146" t="str">
        <f>_xlfn.XLOOKUP($A146,Load!$B:$B,Load!I:I,0,)</f>
        <v>Everyday Candy Shapes (like Original, Gummy bear, Fruit, Jewels, etc.)</v>
      </c>
      <c r="I146" t="str">
        <f>_xlfn.XLOOKUP($A146,Load!$B:$B,Load!J:J,0,)</f>
        <v>Seasonal Graphics (Like Bat, Ghost, Pumpkin, Fall Leaves, Eyeballs, etc.)</v>
      </c>
      <c r="J146" t="str">
        <f>_xlfn.XLOOKUP($A146,Load!$B:$B,Load!K:K,0,)</f>
        <v>Fun Size / Treat Size</v>
      </c>
      <c r="K146" t="str">
        <f>_xlfn.XLOOKUP($A146,Load!$B:$B,Load!L:L,0,)</f>
        <v>Regular/Original Wrapping</v>
      </c>
      <c r="L146" t="str">
        <f>_xlfn.XLOOKUP($A146,Load!$B:$B,Load!M:M,0,)</f>
        <v>Single Brand / Single Flavor or Form</v>
      </c>
    </row>
    <row r="147" spans="1:12" x14ac:dyDescent="0.25">
      <c r="B147">
        <f>_xlfn.XLOOKUP($A147,Load!$B:$B,Load!C:C,0,)</f>
        <v>0</v>
      </c>
      <c r="C147">
        <f>_xlfn.XLOOKUP($A147,Load!$B:$B,Load!D:D,0,)</f>
        <v>0</v>
      </c>
      <c r="D147">
        <f>_xlfn.XLOOKUP($A147,Load!$B:$B,Load!E:E,0,)</f>
        <v>0</v>
      </c>
      <c r="E147">
        <f>_xlfn.XLOOKUP($A147,Load!$B:$B,Load!F:F,0,)</f>
        <v>0</v>
      </c>
      <c r="F147">
        <f>_xlfn.XLOOKUP($A147,Load!$B:$B,Load!G:G,0,)</f>
        <v>0</v>
      </c>
      <c r="G147">
        <f>_xlfn.XLOOKUP($A147,Load!$B:$B,Load!H:H,0,)</f>
        <v>0</v>
      </c>
      <c r="H147">
        <f>_xlfn.XLOOKUP($A147,Load!$B:$B,Load!I:I,0,)</f>
        <v>0</v>
      </c>
      <c r="I147">
        <f>_xlfn.XLOOKUP($A147,Load!$B:$B,Load!J:J,0,)</f>
        <v>0</v>
      </c>
      <c r="J147">
        <f>_xlfn.XLOOKUP($A147,Load!$B:$B,Load!K:K,0,)</f>
        <v>0</v>
      </c>
      <c r="K147">
        <f>_xlfn.XLOOKUP($A147,Load!$B:$B,Load!L:L,0,)</f>
        <v>0</v>
      </c>
      <c r="L147">
        <f>_xlfn.XLOOKUP($A147,Load!$B:$B,Load!M:M,0,)</f>
        <v>0</v>
      </c>
    </row>
    <row r="148" spans="1:12" x14ac:dyDescent="0.25">
      <c r="A148" t="s">
        <v>75</v>
      </c>
      <c r="B148" t="str">
        <f>_xlfn.XLOOKUP($A148,Load!$B:$B,Load!C:C,0,)</f>
        <v>Dum Dums</v>
      </c>
      <c r="C148" t="str">
        <f>_xlfn.XLOOKUP($A148,Load!$B:$B,Load!D:D,0,)</f>
        <v>Non-Chocolate Candy Only</v>
      </c>
      <c r="D148" t="str">
        <f>_xlfn.XLOOKUP($A148,Load!$B:$B,Load!E:E,0,)</f>
        <v>Variety / Mixed Flavors (Fruity, Sour, Seasonal Flavors)</v>
      </c>
      <c r="E148" t="str">
        <f>_xlfn.XLOOKUP($A148,Load!$B:$B,Load!F:F,0,)</f>
        <v>Lollipop (regular or lollipop rings)</v>
      </c>
      <c r="F148" t="str">
        <f>_xlfn.XLOOKUP($A148,Load!$B:$B,Load!G:G,0,)</f>
        <v>Single Pack</v>
      </c>
      <c r="G148" t="str">
        <f>_xlfn.XLOOKUP($A148,Load!$B:$B,Load!H:H,0,)</f>
        <v>Laydown Bag</v>
      </c>
      <c r="H148" t="str">
        <f>_xlfn.XLOOKUP($A148,Load!$B:$B,Load!I:I,0,)</f>
        <v>Everyday Candy Shapes (like Original, Gummy bear, Fruit, Jewels, etc.)</v>
      </c>
      <c r="I148" t="str">
        <f>_xlfn.XLOOKUP($A148,Load!$B:$B,Load!J:J,0,)</f>
        <v>Everyday Graphics</v>
      </c>
      <c r="J148" t="str">
        <f>_xlfn.XLOOKUP($A148,Load!$B:$B,Load!K:K,0,)</f>
        <v>Regular Lollipop size (on sticks or rings)</v>
      </c>
      <c r="K148" t="str">
        <f>_xlfn.XLOOKUP($A148,Load!$B:$B,Load!L:L,0,)</f>
        <v>Regular/Original Wrapping</v>
      </c>
      <c r="L148" t="str">
        <f>_xlfn.XLOOKUP($A148,Load!$B:$B,Load!M:M,0,)</f>
        <v>Single Brand / Variety Flavors or Form</v>
      </c>
    </row>
    <row r="149" spans="1:12" x14ac:dyDescent="0.25">
      <c r="A149" t="s">
        <v>262</v>
      </c>
      <c r="B149" t="str">
        <f>_xlfn.XLOOKUP($A149,Load!$B:$B,Load!C:C,0,)</f>
        <v>Smart Sweets</v>
      </c>
      <c r="C149" t="str">
        <f>_xlfn.XLOOKUP($A149,Load!$B:$B,Load!D:D,0,)</f>
        <v>Non-Chocolate Candy Only</v>
      </c>
      <c r="D149" t="str">
        <f>_xlfn.XLOOKUP($A149,Load!$B:$B,Load!E:E,0,)</f>
        <v>Berry Based (Raspberry, Strawberry, Medley, etc.)</v>
      </c>
      <c r="E149" t="str">
        <f>_xlfn.XLOOKUP($A149,Load!$B:$B,Load!F:F,0,)</f>
        <v>Lollipop (regular or lollipop rings)</v>
      </c>
      <c r="F149" t="str">
        <f>_xlfn.XLOOKUP($A149,Load!$B:$B,Load!G:G,0,)</f>
        <v>Single Pack</v>
      </c>
      <c r="G149" t="str">
        <f>_xlfn.XLOOKUP($A149,Load!$B:$B,Load!H:H,0,)</f>
        <v>Peg Bag</v>
      </c>
      <c r="H149" t="str">
        <f>_xlfn.XLOOKUP($A149,Load!$B:$B,Load!I:I,0,)</f>
        <v>Everyday Candy Shapes (like Original, Gummy bear, Fruit, Jewels, etc.)</v>
      </c>
      <c r="I149" t="str">
        <f>_xlfn.XLOOKUP($A149,Load!$B:$B,Load!J:J,0,)</f>
        <v>Seasonal Graphics (Like Bat, Ghost, Pumpkin, Fall Leaves, Eyeballs, etc.)</v>
      </c>
      <c r="J149" t="str">
        <f>_xlfn.XLOOKUP($A149,Load!$B:$B,Load!K:K,0,)</f>
        <v>Regular Lollipop size (on sticks or rings)</v>
      </c>
      <c r="K149" t="str">
        <f>_xlfn.XLOOKUP($A149,Load!$B:$B,Load!L:L,0,)</f>
        <v>Regular/Original Wrapping</v>
      </c>
      <c r="L149" t="str">
        <f>_xlfn.XLOOKUP($A149,Load!$B:$B,Load!M:M,0,)</f>
        <v>Single Brand / Variety Flavors or Form</v>
      </c>
    </row>
    <row r="150" spans="1:12" x14ac:dyDescent="0.25">
      <c r="B150">
        <f>_xlfn.XLOOKUP($A150,Load!$B:$B,Load!C:C,0,)</f>
        <v>0</v>
      </c>
      <c r="C150">
        <f>_xlfn.XLOOKUP($A150,Load!$B:$B,Load!D:D,0,)</f>
        <v>0</v>
      </c>
      <c r="D150">
        <f>_xlfn.XLOOKUP($A150,Load!$B:$B,Load!E:E,0,)</f>
        <v>0</v>
      </c>
      <c r="E150">
        <f>_xlfn.XLOOKUP($A150,Load!$B:$B,Load!F:F,0,)</f>
        <v>0</v>
      </c>
      <c r="F150">
        <f>_xlfn.XLOOKUP($A150,Load!$B:$B,Load!G:G,0,)</f>
        <v>0</v>
      </c>
      <c r="G150">
        <f>_xlfn.XLOOKUP($A150,Load!$B:$B,Load!H:H,0,)</f>
        <v>0</v>
      </c>
      <c r="H150">
        <f>_xlfn.XLOOKUP($A150,Load!$B:$B,Load!I:I,0,)</f>
        <v>0</v>
      </c>
      <c r="I150">
        <f>_xlfn.XLOOKUP($A150,Load!$B:$B,Load!J:J,0,)</f>
        <v>0</v>
      </c>
      <c r="J150">
        <f>_xlfn.XLOOKUP($A150,Load!$B:$B,Load!K:K,0,)</f>
        <v>0</v>
      </c>
      <c r="K150">
        <f>_xlfn.XLOOKUP($A150,Load!$B:$B,Load!L:L,0,)</f>
        <v>0</v>
      </c>
      <c r="L150">
        <f>_xlfn.XLOOKUP($A150,Load!$B:$B,Load!M:M,0,)</f>
        <v>0</v>
      </c>
    </row>
    <row r="151" spans="1:12" x14ac:dyDescent="0.25">
      <c r="B151">
        <f>_xlfn.XLOOKUP($A151,Load!$B:$B,Load!C:C,0,)</f>
        <v>0</v>
      </c>
      <c r="C151">
        <f>_xlfn.XLOOKUP($A151,Load!$B:$B,Load!D:D,0,)</f>
        <v>0</v>
      </c>
      <c r="D151">
        <f>_xlfn.XLOOKUP($A151,Load!$B:$B,Load!E:E,0,)</f>
        <v>0</v>
      </c>
      <c r="E151">
        <f>_xlfn.XLOOKUP($A151,Load!$B:$B,Load!F:F,0,)</f>
        <v>0</v>
      </c>
      <c r="F151">
        <f>_xlfn.XLOOKUP($A151,Load!$B:$B,Load!G:G,0,)</f>
        <v>0</v>
      </c>
      <c r="G151">
        <f>_xlfn.XLOOKUP($A151,Load!$B:$B,Load!H:H,0,)</f>
        <v>0</v>
      </c>
      <c r="H151">
        <f>_xlfn.XLOOKUP($A151,Load!$B:$B,Load!I:I,0,)</f>
        <v>0</v>
      </c>
      <c r="I151">
        <f>_xlfn.XLOOKUP($A151,Load!$B:$B,Load!J:J,0,)</f>
        <v>0</v>
      </c>
      <c r="J151">
        <f>_xlfn.XLOOKUP($A151,Load!$B:$B,Load!K:K,0,)</f>
        <v>0</v>
      </c>
      <c r="K151">
        <f>_xlfn.XLOOKUP($A151,Load!$B:$B,Load!L:L,0,)</f>
        <v>0</v>
      </c>
      <c r="L151">
        <f>_xlfn.XLOOKUP($A151,Load!$B:$B,Load!M:M,0,)</f>
        <v>0</v>
      </c>
    </row>
    <row r="152" spans="1:12" x14ac:dyDescent="0.25">
      <c r="A152" t="s">
        <v>54</v>
      </c>
      <c r="B152" t="str">
        <f>_xlfn.XLOOKUP($A152,Load!$B:$B,Load!C:C,0,)</f>
        <v>Brach's</v>
      </c>
      <c r="C152" t="str">
        <f>_xlfn.XLOOKUP($A152,Load!$B:$B,Load!D:D,0,)</f>
        <v>Non-Chocolate Candy Only</v>
      </c>
      <c r="D152" t="str">
        <f>_xlfn.XLOOKUP($A152,Load!$B:$B,Load!E:E,0,)</f>
        <v>Fall / Seasonal Flavors (pumpkin spice, caramel apple, candy corn)</v>
      </c>
      <c r="E152" t="str">
        <f>_xlfn.XLOOKUP($A152,Load!$B:$B,Load!F:F,0,)</f>
        <v>Candy Pieces / Bites</v>
      </c>
      <c r="F152" t="str">
        <f>_xlfn.XLOOKUP($A152,Load!$B:$B,Load!G:G,0,)</f>
        <v>Single Pack</v>
      </c>
      <c r="G152" t="str">
        <f>_xlfn.XLOOKUP($A152,Load!$B:$B,Load!H:H,0,)</f>
        <v>Peg Bag</v>
      </c>
      <c r="H152" t="str">
        <f>_xlfn.XLOOKUP($A152,Load!$B:$B,Load!I:I,0,)</f>
        <v>Seasonal Shapes (like pumpkins, candy corn, ghost, bats, etc.)</v>
      </c>
      <c r="I152" t="str">
        <f>_xlfn.XLOOKUP($A152,Load!$B:$B,Load!J:J,0,)</f>
        <v>Seasonal Graphics (Like Bat, Ghost, Pumpkin, Fall Leaves, Eyeballs, etc.)</v>
      </c>
      <c r="J152" t="str">
        <f>_xlfn.XLOOKUP($A152,Load!$B:$B,Load!K:K,0,)</f>
        <v>Small Pieces (Tiny bite size candies)</v>
      </c>
      <c r="K152" t="str">
        <f>_xlfn.XLOOKUP($A152,Load!$B:$B,Load!L:L,0,)</f>
        <v>Unwrapped</v>
      </c>
      <c r="L152" t="str">
        <f>_xlfn.XLOOKUP($A152,Load!$B:$B,Load!M:M,0,)</f>
        <v>Single Brand / Single Flavor or Form</v>
      </c>
    </row>
    <row r="153" spans="1:12" x14ac:dyDescent="0.25">
      <c r="B153">
        <f>_xlfn.XLOOKUP($A153,Load!$B:$B,Load!C:C,0,)</f>
        <v>0</v>
      </c>
      <c r="C153">
        <f>_xlfn.XLOOKUP($A153,Load!$B:$B,Load!D:D,0,)</f>
        <v>0</v>
      </c>
      <c r="D153">
        <f>_xlfn.XLOOKUP($A153,Load!$B:$B,Load!E:E,0,)</f>
        <v>0</v>
      </c>
      <c r="E153">
        <f>_xlfn.XLOOKUP($A153,Load!$B:$B,Load!F:F,0,)</f>
        <v>0</v>
      </c>
      <c r="F153">
        <f>_xlfn.XLOOKUP($A153,Load!$B:$B,Load!G:G,0,)</f>
        <v>0</v>
      </c>
      <c r="G153">
        <f>_xlfn.XLOOKUP($A153,Load!$B:$B,Load!H:H,0,)</f>
        <v>0</v>
      </c>
      <c r="H153">
        <f>_xlfn.XLOOKUP($A153,Load!$B:$B,Load!I:I,0,)</f>
        <v>0</v>
      </c>
      <c r="I153">
        <f>_xlfn.XLOOKUP($A153,Load!$B:$B,Load!J:J,0,)</f>
        <v>0</v>
      </c>
      <c r="J153">
        <f>_xlfn.XLOOKUP($A153,Load!$B:$B,Load!K:K,0,)</f>
        <v>0</v>
      </c>
      <c r="K153">
        <f>_xlfn.XLOOKUP($A153,Load!$B:$B,Load!L:L,0,)</f>
        <v>0</v>
      </c>
      <c r="L153">
        <f>_xlfn.XLOOKUP($A153,Load!$B:$B,Load!M:M,0,)</f>
        <v>0</v>
      </c>
    </row>
    <row r="154" spans="1:12" x14ac:dyDescent="0.25">
      <c r="A154" t="s">
        <v>285</v>
      </c>
      <c r="B154" t="str">
        <f>_xlfn.XLOOKUP($A154,Load!$B:$B,Load!C:C,0,)</f>
        <v>Starburst</v>
      </c>
      <c r="C154" t="str">
        <f>_xlfn.XLOOKUP($A154,Load!$B:$B,Load!D:D,0,)</f>
        <v>Non-Chocolate Candy Only</v>
      </c>
      <c r="D154" t="str">
        <f>_xlfn.XLOOKUP($A154,Load!$B:$B,Load!E:E,0,)</f>
        <v>Fruit Flavor (Cherry, Grape, Apple, Citrus, Tropical Fruit)</v>
      </c>
      <c r="E154" t="str">
        <f>_xlfn.XLOOKUP($A154,Load!$B:$B,Load!F:F,0,)</f>
        <v>Chewy</v>
      </c>
      <c r="F154" t="str">
        <f>_xlfn.XLOOKUP($A154,Load!$B:$B,Load!G:G,0,)</f>
        <v>Small Multipack (Less than 40 ct)</v>
      </c>
      <c r="G154" t="str">
        <f>_xlfn.XLOOKUP($A154,Load!$B:$B,Load!H:H,0,)</f>
        <v>Laydown Bag</v>
      </c>
      <c r="H154" t="str">
        <f>_xlfn.XLOOKUP($A154,Load!$B:$B,Load!I:I,0,)</f>
        <v>Everyday Candy Shapes (like Original, Gummy bear, Fruit, Jewels, etc.)</v>
      </c>
      <c r="I154" t="str">
        <f>_xlfn.XLOOKUP($A154,Load!$B:$B,Load!J:J,0,)</f>
        <v>Everyday Graphics</v>
      </c>
      <c r="J154" t="str">
        <f>_xlfn.XLOOKUP($A154,Load!$B:$B,Load!K:K,0,)</f>
        <v>Small Pieces (Tiny bite size candies)</v>
      </c>
      <c r="K154" t="str">
        <f>_xlfn.XLOOKUP($A154,Load!$B:$B,Load!L:L,0,)</f>
        <v>Regular/Original Wrapping</v>
      </c>
      <c r="L154" t="str">
        <f>_xlfn.XLOOKUP($A154,Load!$B:$B,Load!M:M,0,)</f>
        <v>Single Brand / Variety Flavors or Form</v>
      </c>
    </row>
    <row r="155" spans="1:12" x14ac:dyDescent="0.25">
      <c r="A155" t="s">
        <v>301</v>
      </c>
      <c r="B155" t="str">
        <f>_xlfn.XLOOKUP($A155,Load!$B:$B,Load!C:C,0,)</f>
        <v>Twizzlers</v>
      </c>
      <c r="C155" t="str">
        <f>_xlfn.XLOOKUP($A155,Load!$B:$B,Load!D:D,0,)</f>
        <v>Non-Chocolate Candy Only</v>
      </c>
      <c r="D155" t="str">
        <f>_xlfn.XLOOKUP($A155,Load!$B:$B,Load!E:E,0,)</f>
        <v>Variety / Mixed Flavors (Fruity, Sour, Seasonal Flavors)</v>
      </c>
      <c r="E155" t="str">
        <f>_xlfn.XLOOKUP($A155,Load!$B:$B,Load!F:F,0,)</f>
        <v>Mixed / Combo Packs (Gummy, Chewy, Taffy, etc.)</v>
      </c>
      <c r="F155" t="str">
        <f>_xlfn.XLOOKUP($A155,Load!$B:$B,Load!G:G,0,)</f>
        <v>Medium Multipack (40–80 ct)</v>
      </c>
      <c r="G155" t="str">
        <f>_xlfn.XLOOKUP($A155,Load!$B:$B,Load!H:H,0,)</f>
        <v>Laydown Bag</v>
      </c>
      <c r="H155" t="str">
        <f>_xlfn.XLOOKUP($A155,Load!$B:$B,Load!I:I,0,)</f>
        <v>Everyday Candy Shapes (like Original, Gummy bear, Fruit, Jewels, etc.)</v>
      </c>
      <c r="I155" t="str">
        <f>_xlfn.XLOOKUP($A155,Load!$B:$B,Load!J:J,0,)</f>
        <v>Seasonal Graphics (Like Bat, Ghost, Pumpkin, Fall Leaves, Eyeballs, etc.)</v>
      </c>
      <c r="J155" t="str">
        <f>_xlfn.XLOOKUP($A155,Load!$B:$B,Load!K:K,0,)</f>
        <v>Fun Size / Treat Size</v>
      </c>
      <c r="K155" t="str">
        <f>_xlfn.XLOOKUP($A155,Load!$B:$B,Load!L:L,0,)</f>
        <v>Regular/Original Wrapping</v>
      </c>
      <c r="L155" t="str">
        <f>_xlfn.XLOOKUP($A155,Load!$B:$B,Load!M:M,0,)</f>
        <v>Single Brand / Variety Flavors or Form</v>
      </c>
    </row>
    <row r="156" spans="1:12" x14ac:dyDescent="0.25">
      <c r="B156">
        <f>_xlfn.XLOOKUP($A156,Load!$B:$B,Load!C:C,0,)</f>
        <v>0</v>
      </c>
      <c r="C156">
        <f>_xlfn.XLOOKUP($A156,Load!$B:$B,Load!D:D,0,)</f>
        <v>0</v>
      </c>
      <c r="D156">
        <f>_xlfn.XLOOKUP($A156,Load!$B:$B,Load!E:E,0,)</f>
        <v>0</v>
      </c>
      <c r="E156">
        <f>_xlfn.XLOOKUP($A156,Load!$B:$B,Load!F:F,0,)</f>
        <v>0</v>
      </c>
      <c r="F156">
        <f>_xlfn.XLOOKUP($A156,Load!$B:$B,Load!G:G,0,)</f>
        <v>0</v>
      </c>
      <c r="G156">
        <f>_xlfn.XLOOKUP($A156,Load!$B:$B,Load!H:H,0,)</f>
        <v>0</v>
      </c>
      <c r="H156">
        <f>_xlfn.XLOOKUP($A156,Load!$B:$B,Load!I:I,0,)</f>
        <v>0</v>
      </c>
      <c r="I156">
        <f>_xlfn.XLOOKUP($A156,Load!$B:$B,Load!J:J,0,)</f>
        <v>0</v>
      </c>
      <c r="J156">
        <f>_xlfn.XLOOKUP($A156,Load!$B:$B,Load!K:K,0,)</f>
        <v>0</v>
      </c>
      <c r="K156">
        <f>_xlfn.XLOOKUP($A156,Load!$B:$B,Load!L:L,0,)</f>
        <v>0</v>
      </c>
      <c r="L156">
        <f>_xlfn.XLOOKUP($A156,Load!$B:$B,Load!M:M,0,)</f>
        <v>0</v>
      </c>
    </row>
    <row r="157" spans="1:12" x14ac:dyDescent="0.25">
      <c r="B157">
        <f>_xlfn.XLOOKUP($A157,Load!$B:$B,Load!C:C,0,)</f>
        <v>0</v>
      </c>
      <c r="C157">
        <f>_xlfn.XLOOKUP($A157,Load!$B:$B,Load!D:D,0,)</f>
        <v>0</v>
      </c>
      <c r="D157">
        <f>_xlfn.XLOOKUP($A157,Load!$B:$B,Load!E:E,0,)</f>
        <v>0</v>
      </c>
      <c r="E157">
        <f>_xlfn.XLOOKUP($A157,Load!$B:$B,Load!F:F,0,)</f>
        <v>0</v>
      </c>
      <c r="F157">
        <f>_xlfn.XLOOKUP($A157,Load!$B:$B,Load!G:G,0,)</f>
        <v>0</v>
      </c>
      <c r="G157">
        <f>_xlfn.XLOOKUP($A157,Load!$B:$B,Load!H:H,0,)</f>
        <v>0</v>
      </c>
      <c r="H157">
        <f>_xlfn.XLOOKUP($A157,Load!$B:$B,Load!I:I,0,)</f>
        <v>0</v>
      </c>
      <c r="I157">
        <f>_xlfn.XLOOKUP($A157,Load!$B:$B,Load!J:J,0,)</f>
        <v>0</v>
      </c>
      <c r="J157">
        <f>_xlfn.XLOOKUP($A157,Load!$B:$B,Load!K:K,0,)</f>
        <v>0</v>
      </c>
      <c r="K157">
        <f>_xlfn.XLOOKUP($A157,Load!$B:$B,Load!L:L,0,)</f>
        <v>0</v>
      </c>
      <c r="L157">
        <f>_xlfn.XLOOKUP($A157,Load!$B:$B,Load!M:M,0,)</f>
        <v>0</v>
      </c>
    </row>
    <row r="158" spans="1:12" x14ac:dyDescent="0.25">
      <c r="B158">
        <f>_xlfn.XLOOKUP($A158,Load!$B:$B,Load!C:C,0,)</f>
        <v>0</v>
      </c>
      <c r="C158">
        <f>_xlfn.XLOOKUP($A158,Load!$B:$B,Load!D:D,0,)</f>
        <v>0</v>
      </c>
      <c r="D158">
        <f>_xlfn.XLOOKUP($A158,Load!$B:$B,Load!E:E,0,)</f>
        <v>0</v>
      </c>
      <c r="E158">
        <f>_xlfn.XLOOKUP($A158,Load!$B:$B,Load!F:F,0,)</f>
        <v>0</v>
      </c>
      <c r="F158">
        <f>_xlfn.XLOOKUP($A158,Load!$B:$B,Load!G:G,0,)</f>
        <v>0</v>
      </c>
      <c r="G158">
        <f>_xlfn.XLOOKUP($A158,Load!$B:$B,Load!H:H,0,)</f>
        <v>0</v>
      </c>
      <c r="H158">
        <f>_xlfn.XLOOKUP($A158,Load!$B:$B,Load!I:I,0,)</f>
        <v>0</v>
      </c>
      <c r="I158">
        <f>_xlfn.XLOOKUP($A158,Load!$B:$B,Load!J:J,0,)</f>
        <v>0</v>
      </c>
      <c r="J158">
        <f>_xlfn.XLOOKUP($A158,Load!$B:$B,Load!K:K,0,)</f>
        <v>0</v>
      </c>
      <c r="K158">
        <f>_xlfn.XLOOKUP($A158,Load!$B:$B,Load!L:L,0,)</f>
        <v>0</v>
      </c>
      <c r="L158">
        <f>_xlfn.XLOOKUP($A158,Load!$B:$B,Load!M:M,0,)</f>
        <v>0</v>
      </c>
    </row>
    <row r="159" spans="1:12" x14ac:dyDescent="0.25">
      <c r="B159">
        <f>_xlfn.XLOOKUP($A159,Load!$B:$B,Load!C:C,0,)</f>
        <v>0</v>
      </c>
      <c r="C159">
        <f>_xlfn.XLOOKUP($A159,Load!$B:$B,Load!D:D,0,)</f>
        <v>0</v>
      </c>
      <c r="D159">
        <f>_xlfn.XLOOKUP($A159,Load!$B:$B,Load!E:E,0,)</f>
        <v>0</v>
      </c>
      <c r="E159">
        <f>_xlfn.XLOOKUP($A159,Load!$B:$B,Load!F:F,0,)</f>
        <v>0</v>
      </c>
      <c r="F159">
        <f>_xlfn.XLOOKUP($A159,Load!$B:$B,Load!G:G,0,)</f>
        <v>0</v>
      </c>
      <c r="G159">
        <f>_xlfn.XLOOKUP($A159,Load!$B:$B,Load!H:H,0,)</f>
        <v>0</v>
      </c>
      <c r="H159">
        <f>_xlfn.XLOOKUP($A159,Load!$B:$B,Load!I:I,0,)</f>
        <v>0</v>
      </c>
      <c r="I159">
        <f>_xlfn.XLOOKUP($A159,Load!$B:$B,Load!J:J,0,)</f>
        <v>0</v>
      </c>
      <c r="J159">
        <f>_xlfn.XLOOKUP($A159,Load!$B:$B,Load!K:K,0,)</f>
        <v>0</v>
      </c>
      <c r="K159">
        <f>_xlfn.XLOOKUP($A159,Load!$B:$B,Load!L:L,0,)</f>
        <v>0</v>
      </c>
      <c r="L159">
        <f>_xlfn.XLOOKUP($A159,Load!$B:$B,Load!M:M,0,)</f>
        <v>0</v>
      </c>
    </row>
    <row r="160" spans="1:12" x14ac:dyDescent="0.25">
      <c r="B160">
        <f>_xlfn.XLOOKUP($A160,Load!$B:$B,Load!C:C,0,)</f>
        <v>0</v>
      </c>
      <c r="C160">
        <f>_xlfn.XLOOKUP($A160,Load!$B:$B,Load!D:D,0,)</f>
        <v>0</v>
      </c>
      <c r="D160">
        <f>_xlfn.XLOOKUP($A160,Load!$B:$B,Load!E:E,0,)</f>
        <v>0</v>
      </c>
      <c r="E160">
        <f>_xlfn.XLOOKUP($A160,Load!$B:$B,Load!F:F,0,)</f>
        <v>0</v>
      </c>
      <c r="F160">
        <f>_xlfn.XLOOKUP($A160,Load!$B:$B,Load!G:G,0,)</f>
        <v>0</v>
      </c>
      <c r="G160">
        <f>_xlfn.XLOOKUP($A160,Load!$B:$B,Load!H:H,0,)</f>
        <v>0</v>
      </c>
      <c r="H160">
        <f>_xlfn.XLOOKUP($A160,Load!$B:$B,Load!I:I,0,)</f>
        <v>0</v>
      </c>
      <c r="I160">
        <f>_xlfn.XLOOKUP($A160,Load!$B:$B,Load!J:J,0,)</f>
        <v>0</v>
      </c>
      <c r="J160">
        <f>_xlfn.XLOOKUP($A160,Load!$B:$B,Load!K:K,0,)</f>
        <v>0</v>
      </c>
      <c r="K160">
        <f>_xlfn.XLOOKUP($A160,Load!$B:$B,Load!L:L,0,)</f>
        <v>0</v>
      </c>
      <c r="L160">
        <f>_xlfn.XLOOKUP($A160,Load!$B:$B,Load!M:M,0,)</f>
        <v>0</v>
      </c>
    </row>
    <row r="161" spans="1:12" x14ac:dyDescent="0.25">
      <c r="B161">
        <f>_xlfn.XLOOKUP($A161,Load!$B:$B,Load!C:C,0,)</f>
        <v>0</v>
      </c>
      <c r="C161">
        <f>_xlfn.XLOOKUP($A161,Load!$B:$B,Load!D:D,0,)</f>
        <v>0</v>
      </c>
      <c r="D161">
        <f>_xlfn.XLOOKUP($A161,Load!$B:$B,Load!E:E,0,)</f>
        <v>0</v>
      </c>
      <c r="E161">
        <f>_xlfn.XLOOKUP($A161,Load!$B:$B,Load!F:F,0,)</f>
        <v>0</v>
      </c>
      <c r="F161">
        <f>_xlfn.XLOOKUP($A161,Load!$B:$B,Load!G:G,0,)</f>
        <v>0</v>
      </c>
      <c r="G161">
        <f>_xlfn.XLOOKUP($A161,Load!$B:$B,Load!H:H,0,)</f>
        <v>0</v>
      </c>
      <c r="H161">
        <f>_xlfn.XLOOKUP($A161,Load!$B:$B,Load!I:I,0,)</f>
        <v>0</v>
      </c>
      <c r="I161">
        <f>_xlfn.XLOOKUP($A161,Load!$B:$B,Load!J:J,0,)</f>
        <v>0</v>
      </c>
      <c r="J161">
        <f>_xlfn.XLOOKUP($A161,Load!$B:$B,Load!K:K,0,)</f>
        <v>0</v>
      </c>
      <c r="K161">
        <f>_xlfn.XLOOKUP($A161,Load!$B:$B,Load!L:L,0,)</f>
        <v>0</v>
      </c>
      <c r="L161">
        <f>_xlfn.XLOOKUP($A161,Load!$B:$B,Load!M:M,0,)</f>
        <v>0</v>
      </c>
    </row>
    <row r="162" spans="1:12" x14ac:dyDescent="0.25">
      <c r="B162">
        <f>_xlfn.XLOOKUP($A162,Load!$B:$B,Load!C:C,0,)</f>
        <v>0</v>
      </c>
      <c r="C162">
        <f>_xlfn.XLOOKUP($A162,Load!$B:$B,Load!D:D,0,)</f>
        <v>0</v>
      </c>
      <c r="D162">
        <f>_xlfn.XLOOKUP($A162,Load!$B:$B,Load!E:E,0,)</f>
        <v>0</v>
      </c>
      <c r="E162">
        <f>_xlfn.XLOOKUP($A162,Load!$B:$B,Load!F:F,0,)</f>
        <v>0</v>
      </c>
      <c r="F162">
        <f>_xlfn.XLOOKUP($A162,Load!$B:$B,Load!G:G,0,)</f>
        <v>0</v>
      </c>
      <c r="G162">
        <f>_xlfn.XLOOKUP($A162,Load!$B:$B,Load!H:H,0,)</f>
        <v>0</v>
      </c>
      <c r="H162">
        <f>_xlfn.XLOOKUP($A162,Load!$B:$B,Load!I:I,0,)</f>
        <v>0</v>
      </c>
      <c r="I162">
        <f>_xlfn.XLOOKUP($A162,Load!$B:$B,Load!J:J,0,)</f>
        <v>0</v>
      </c>
      <c r="J162">
        <f>_xlfn.XLOOKUP($A162,Load!$B:$B,Load!K:K,0,)</f>
        <v>0</v>
      </c>
      <c r="K162">
        <f>_xlfn.XLOOKUP($A162,Load!$B:$B,Load!L:L,0,)</f>
        <v>0</v>
      </c>
      <c r="L162">
        <f>_xlfn.XLOOKUP($A162,Load!$B:$B,Load!M:M,0,)</f>
        <v>0</v>
      </c>
    </row>
    <row r="163" spans="1:12" x14ac:dyDescent="0.25">
      <c r="B163">
        <f>_xlfn.XLOOKUP($A163,Load!$B:$B,Load!C:C,0,)</f>
        <v>0</v>
      </c>
      <c r="C163">
        <f>_xlfn.XLOOKUP($A163,Load!$B:$B,Load!D:D,0,)</f>
        <v>0</v>
      </c>
      <c r="D163">
        <f>_xlfn.XLOOKUP($A163,Load!$B:$B,Load!E:E,0,)</f>
        <v>0</v>
      </c>
      <c r="E163">
        <f>_xlfn.XLOOKUP($A163,Load!$B:$B,Load!F:F,0,)</f>
        <v>0</v>
      </c>
      <c r="F163">
        <f>_xlfn.XLOOKUP($A163,Load!$B:$B,Load!G:G,0,)</f>
        <v>0</v>
      </c>
      <c r="G163">
        <f>_xlfn.XLOOKUP($A163,Load!$B:$B,Load!H:H,0,)</f>
        <v>0</v>
      </c>
      <c r="H163">
        <f>_xlfn.XLOOKUP($A163,Load!$B:$B,Load!I:I,0,)</f>
        <v>0</v>
      </c>
      <c r="I163">
        <f>_xlfn.XLOOKUP($A163,Load!$B:$B,Load!J:J,0,)</f>
        <v>0</v>
      </c>
      <c r="J163">
        <f>_xlfn.XLOOKUP($A163,Load!$B:$B,Load!K:K,0,)</f>
        <v>0</v>
      </c>
      <c r="K163">
        <f>_xlfn.XLOOKUP($A163,Load!$B:$B,Load!L:L,0,)</f>
        <v>0</v>
      </c>
      <c r="L163">
        <f>_xlfn.XLOOKUP($A163,Load!$B:$B,Load!M:M,0,)</f>
        <v>0</v>
      </c>
    </row>
    <row r="164" spans="1:12" x14ac:dyDescent="0.25">
      <c r="A164" t="s">
        <v>110</v>
      </c>
      <c r="B164" t="str">
        <f>_xlfn.XLOOKUP($A164,Load!$B:$B,Load!C:C,0,)</f>
        <v>Frankford</v>
      </c>
      <c r="C164" t="str">
        <f>_xlfn.XLOOKUP($A164,Load!$B:$B,Load!D:D,0,)</f>
        <v>Non-Chocolate Candy Only</v>
      </c>
      <c r="D164" t="str">
        <f>_xlfn.XLOOKUP($A164,Load!$B:$B,Load!E:E,0,)</f>
        <v>Fruit Flavor (Cherry, Grape, Apple, Citrus, Tropical Fruit)</v>
      </c>
      <c r="E164" t="str">
        <f>_xlfn.XLOOKUP($A164,Load!$B:$B,Load!F:F,0,)</f>
        <v>Gummy</v>
      </c>
      <c r="F164" t="str">
        <f>_xlfn.XLOOKUP($A164,Load!$B:$B,Load!G:G,0,)</f>
        <v>Single Pack</v>
      </c>
      <c r="G164" t="str">
        <f>_xlfn.XLOOKUP($A164,Load!$B:$B,Load!H:H,0,)</f>
        <v>Plastic Cup / Container</v>
      </c>
      <c r="H164" t="str">
        <f>_xlfn.XLOOKUP($A164,Load!$B:$B,Load!I:I,0,)</f>
        <v>Seasonal Shapes (like pumpkins, candy corn, ghost, bats, etc.)</v>
      </c>
      <c r="I164" t="str">
        <f>_xlfn.XLOOKUP($A164,Load!$B:$B,Load!J:J,0,)</f>
        <v>Seasonal Graphics (Like Bat, Ghost, Pumpkin, Fall Leaves, Eyeballs, etc.)</v>
      </c>
      <c r="J164" t="str">
        <f>_xlfn.XLOOKUP($A164,Load!$B:$B,Load!K:K,0,)</f>
        <v>Fun Size / Treat Size</v>
      </c>
      <c r="K164" t="str">
        <f>_xlfn.XLOOKUP($A164,Load!$B:$B,Load!L:L,0,)</f>
        <v>Unwrapped</v>
      </c>
      <c r="L164" t="str">
        <f>_xlfn.XLOOKUP($A164,Load!$B:$B,Load!M:M,0,)</f>
        <v>Single Brand / Variety Flavors or Form</v>
      </c>
    </row>
    <row r="165" spans="1:12" x14ac:dyDescent="0.25">
      <c r="B165">
        <f>_xlfn.XLOOKUP($A165,Load!$B:$B,Load!C:C,0,)</f>
        <v>0</v>
      </c>
      <c r="C165">
        <f>_xlfn.XLOOKUP($A165,Load!$B:$B,Load!D:D,0,)</f>
        <v>0</v>
      </c>
      <c r="D165">
        <f>_xlfn.XLOOKUP($A165,Load!$B:$B,Load!E:E,0,)</f>
        <v>0</v>
      </c>
      <c r="E165">
        <f>_xlfn.XLOOKUP($A165,Load!$B:$B,Load!F:F,0,)</f>
        <v>0</v>
      </c>
      <c r="F165">
        <f>_xlfn.XLOOKUP($A165,Load!$B:$B,Load!G:G,0,)</f>
        <v>0</v>
      </c>
      <c r="G165">
        <f>_xlfn.XLOOKUP($A165,Load!$B:$B,Load!H:H,0,)</f>
        <v>0</v>
      </c>
      <c r="H165">
        <f>_xlfn.XLOOKUP($A165,Load!$B:$B,Load!I:I,0,)</f>
        <v>0</v>
      </c>
      <c r="I165">
        <f>_xlfn.XLOOKUP($A165,Load!$B:$B,Load!J:J,0,)</f>
        <v>0</v>
      </c>
      <c r="J165">
        <f>_xlfn.XLOOKUP($A165,Load!$B:$B,Load!K:K,0,)</f>
        <v>0</v>
      </c>
      <c r="K165">
        <f>_xlfn.XLOOKUP($A165,Load!$B:$B,Load!L:L,0,)</f>
        <v>0</v>
      </c>
      <c r="L165">
        <f>_xlfn.XLOOKUP($A165,Load!$B:$B,Load!M:M,0,)</f>
        <v>0</v>
      </c>
    </row>
    <row r="166" spans="1:12" x14ac:dyDescent="0.25">
      <c r="A166" t="s">
        <v>125</v>
      </c>
      <c r="B166" t="str">
        <f>_xlfn.XLOOKUP($A166,Load!$B:$B,Load!C:C,0,)</f>
        <v>HARIBO</v>
      </c>
      <c r="C166" t="str">
        <f>_xlfn.XLOOKUP($A166,Load!$B:$B,Load!D:D,0,)</f>
        <v>Non-Chocolate Candy Only</v>
      </c>
      <c r="D166" t="str">
        <f>_xlfn.XLOOKUP($A166,Load!$B:$B,Load!E:E,0,)</f>
        <v>Berry Based (Raspberry, Strawberry, Medley, etc.)</v>
      </c>
      <c r="E166" t="str">
        <f>_xlfn.XLOOKUP($A166,Load!$B:$B,Load!F:F,0,)</f>
        <v>Gummy</v>
      </c>
      <c r="F166" t="str">
        <f>_xlfn.XLOOKUP($A166,Load!$B:$B,Load!G:G,0,)</f>
        <v>Small Multipack (Less than 40 ct)</v>
      </c>
      <c r="G166" t="str">
        <f>_xlfn.XLOOKUP($A166,Load!$B:$B,Load!H:H,0,)</f>
        <v>Laydown Bag</v>
      </c>
      <c r="H166" t="str">
        <f>_xlfn.XLOOKUP($A166,Load!$B:$B,Load!I:I,0,)</f>
        <v>Everyday Candy Shapes (like Original, Gummy bear, Fruit, Jewels, etc.)</v>
      </c>
      <c r="I166" t="str">
        <f>_xlfn.XLOOKUP($A166,Load!$B:$B,Load!J:J,0,)</f>
        <v>Everyday Graphics</v>
      </c>
      <c r="J166" t="str">
        <f>_xlfn.XLOOKUP($A166,Load!$B:$B,Load!K:K,0,)</f>
        <v>Small Pieces (Tiny bite size candies)</v>
      </c>
      <c r="K166" t="str">
        <f>_xlfn.XLOOKUP($A166,Load!$B:$B,Load!L:L,0,)</f>
        <v>Regular/Original Wrapping</v>
      </c>
      <c r="L166" t="str">
        <f>_xlfn.XLOOKUP($A166,Load!$B:$B,Load!M:M,0,)</f>
        <v>Single Brand / Variety Flavors or Form</v>
      </c>
    </row>
    <row r="167" spans="1:12" x14ac:dyDescent="0.25">
      <c r="B167">
        <f>_xlfn.XLOOKUP($A167,Load!$B:$B,Load!C:C,0,)</f>
        <v>0</v>
      </c>
      <c r="C167">
        <f>_xlfn.XLOOKUP($A167,Load!$B:$B,Load!D:D,0,)</f>
        <v>0</v>
      </c>
      <c r="D167">
        <f>_xlfn.XLOOKUP($A167,Load!$B:$B,Load!E:E,0,)</f>
        <v>0</v>
      </c>
      <c r="E167">
        <f>_xlfn.XLOOKUP($A167,Load!$B:$B,Load!F:F,0,)</f>
        <v>0</v>
      </c>
      <c r="F167">
        <f>_xlfn.XLOOKUP($A167,Load!$B:$B,Load!G:G,0,)</f>
        <v>0</v>
      </c>
      <c r="G167">
        <f>_xlfn.XLOOKUP($A167,Load!$B:$B,Load!H:H,0,)</f>
        <v>0</v>
      </c>
      <c r="H167">
        <f>_xlfn.XLOOKUP($A167,Load!$B:$B,Load!I:I,0,)</f>
        <v>0</v>
      </c>
      <c r="I167">
        <f>_xlfn.XLOOKUP($A167,Load!$B:$B,Load!J:J,0,)</f>
        <v>0</v>
      </c>
      <c r="J167">
        <f>_xlfn.XLOOKUP($A167,Load!$B:$B,Load!K:K,0,)</f>
        <v>0</v>
      </c>
      <c r="K167">
        <f>_xlfn.XLOOKUP($A167,Load!$B:$B,Load!L:L,0,)</f>
        <v>0</v>
      </c>
      <c r="L167">
        <f>_xlfn.XLOOKUP($A167,Load!$B:$B,Load!M:M,0,)</f>
        <v>0</v>
      </c>
    </row>
    <row r="168" spans="1:12" x14ac:dyDescent="0.25">
      <c r="A168" t="s">
        <v>226</v>
      </c>
      <c r="B168" t="str">
        <f>_xlfn.XLOOKUP($A168,Load!$B:$B,Load!C:C,0,)</f>
        <v>Nerds</v>
      </c>
      <c r="C168" t="str">
        <f>_xlfn.XLOOKUP($A168,Load!$B:$B,Load!D:D,0,)</f>
        <v>Non-Chocolate Candy Only</v>
      </c>
      <c r="D168" t="str">
        <f>_xlfn.XLOOKUP($A168,Load!$B:$B,Load!E:E,0,)</f>
        <v>Sweet</v>
      </c>
      <c r="E168" t="str">
        <f>_xlfn.XLOOKUP($A168,Load!$B:$B,Load!F:F,0,)</f>
        <v>Gummy</v>
      </c>
      <c r="F168" t="str">
        <f>_xlfn.XLOOKUP($A168,Load!$B:$B,Load!G:G,0,)</f>
        <v>Single Pack</v>
      </c>
      <c r="G168" t="str">
        <f>_xlfn.XLOOKUP($A168,Load!$B:$B,Load!H:H,0,)</f>
        <v>Laydown Bag</v>
      </c>
      <c r="H168" t="str">
        <f>_xlfn.XLOOKUP($A168,Load!$B:$B,Load!I:I,0,)</f>
        <v>Seasonal Shapes (like pumpkins, candy corn, ghost, bats, etc.)</v>
      </c>
      <c r="I168" t="str">
        <f>_xlfn.XLOOKUP($A168,Load!$B:$B,Load!J:J,0,)</f>
        <v>Seasonal Graphics (Like Bat, Ghost, Pumpkin, Fall Leaves, Eyeballs, etc.)</v>
      </c>
      <c r="J168" t="str">
        <f>_xlfn.XLOOKUP($A168,Load!$B:$B,Load!K:K,0,)</f>
        <v>Fun Size / Treat Size</v>
      </c>
      <c r="K168" t="str">
        <f>_xlfn.XLOOKUP($A168,Load!$B:$B,Load!L:L,0,)</f>
        <v>Unwrapped</v>
      </c>
      <c r="L168" t="str">
        <f>_xlfn.XLOOKUP($A168,Load!$B:$B,Load!M:M,0,)</f>
        <v>Single Brand / Single Flavor or Form</v>
      </c>
    </row>
    <row r="169" spans="1:12" x14ac:dyDescent="0.25">
      <c r="A169" t="s">
        <v>146</v>
      </c>
      <c r="B169" t="str">
        <f>_xlfn.XLOOKUP($A169,Load!$B:$B,Load!C:C,0,)</f>
        <v>Hi Chew</v>
      </c>
      <c r="C169" t="str">
        <f>_xlfn.XLOOKUP($A169,Load!$B:$B,Load!D:D,0,)</f>
        <v>Non-Chocolate Candy Only</v>
      </c>
      <c r="D169" t="str">
        <f>_xlfn.XLOOKUP($A169,Load!$B:$B,Load!E:E,0,)</f>
        <v>Fruit Flavor (Cherry, Grape, Apple, Citrus, Tropical Fruit)</v>
      </c>
      <c r="E169" t="str">
        <f>_xlfn.XLOOKUP($A169,Load!$B:$B,Load!F:F,0,)</f>
        <v>Gummy</v>
      </c>
      <c r="F169" t="str">
        <f>_xlfn.XLOOKUP($A169,Load!$B:$B,Load!G:G,0,)</f>
        <v>Medium Multipack (40–80 ct)</v>
      </c>
      <c r="G169" t="str">
        <f>_xlfn.XLOOKUP($A169,Load!$B:$B,Load!H:H,0,)</f>
        <v>Stand-Up Bag</v>
      </c>
      <c r="H169" t="str">
        <f>_xlfn.XLOOKUP($A169,Load!$B:$B,Load!I:I,0,)</f>
        <v>Everyday Candy Shapes (like Original, Gummy bear, Fruit, Jewels, etc.)</v>
      </c>
      <c r="I169" t="str">
        <f>_xlfn.XLOOKUP($A169,Load!$B:$B,Load!J:J,0,)</f>
        <v>Seasonal Graphics (Like Bat, Ghost, Pumpkin, Fall Leaves, Eyeballs, etc.)</v>
      </c>
      <c r="J169" t="str">
        <f>_xlfn.XLOOKUP($A169,Load!$B:$B,Load!K:K,0,)</f>
        <v>Fun Size / Treat Size</v>
      </c>
      <c r="K169" t="str">
        <f>_xlfn.XLOOKUP($A169,Load!$B:$B,Load!L:L,0,)</f>
        <v>Regular/Original Wrapping</v>
      </c>
      <c r="L169" t="str">
        <f>_xlfn.XLOOKUP($A169,Load!$B:$B,Load!M:M,0,)</f>
        <v>Multiple Brands / Variety Flavors or Form</v>
      </c>
    </row>
    <row r="170" spans="1:12" x14ac:dyDescent="0.25">
      <c r="A170" t="s">
        <v>16</v>
      </c>
      <c r="B170" t="str">
        <f>_xlfn.XLOOKUP($A170,Load!$B:$B,Load!C:C,0,)</f>
        <v>Airheads</v>
      </c>
      <c r="C170" t="str">
        <f>_xlfn.XLOOKUP($A170,Load!$B:$B,Load!D:D,0,)</f>
        <v>Non-Chocolate Candy Only</v>
      </c>
      <c r="D170" t="str">
        <f>_xlfn.XLOOKUP($A170,Load!$B:$B,Load!E:E,0,)</f>
        <v>Fruit Flavor (Cherry, Grape, Apple, Citrus, Tropical Fruit)</v>
      </c>
      <c r="E170" t="str">
        <f>_xlfn.XLOOKUP($A170,Load!$B:$B,Load!F:F,0,)</f>
        <v>Candy Pieces / Bites</v>
      </c>
      <c r="F170" t="str">
        <f>_xlfn.XLOOKUP($A170,Load!$B:$B,Load!G:G,0,)</f>
        <v>Small Multipack (Less than 40 ct)</v>
      </c>
      <c r="G170" t="str">
        <f>_xlfn.XLOOKUP($A170,Load!$B:$B,Load!H:H,0,)</f>
        <v>Laydown Bag</v>
      </c>
      <c r="H170" t="str">
        <f>_xlfn.XLOOKUP($A170,Load!$B:$B,Load!I:I,0,)</f>
        <v>Everyday Candy Shapes (like Original, Gummy bear, Fruit, Jewels, etc.)</v>
      </c>
      <c r="I170" t="str">
        <f>_xlfn.XLOOKUP($A170,Load!$B:$B,Load!J:J,0,)</f>
        <v>Everyday Graphics</v>
      </c>
      <c r="J170" t="str">
        <f>_xlfn.XLOOKUP($A170,Load!$B:$B,Load!K:K,0,)</f>
        <v>Small Pieces (Tiny bite size candies)</v>
      </c>
      <c r="K170" t="str">
        <f>_xlfn.XLOOKUP($A170,Load!$B:$B,Load!L:L,0,)</f>
        <v>Unwrapped</v>
      </c>
      <c r="L170" t="str">
        <f>_xlfn.XLOOKUP($A170,Load!$B:$B,Load!M:M,0,)</f>
        <v>Single Brand / Variety Flavors or Form</v>
      </c>
    </row>
    <row r="171" spans="1:12" x14ac:dyDescent="0.25">
      <c r="B171">
        <f>_xlfn.XLOOKUP($A171,Load!$B:$B,Load!C:C,0,)</f>
        <v>0</v>
      </c>
      <c r="C171">
        <f>_xlfn.XLOOKUP($A171,Load!$B:$B,Load!D:D,0,)</f>
        <v>0</v>
      </c>
      <c r="D171">
        <f>_xlfn.XLOOKUP($A171,Load!$B:$B,Load!E:E,0,)</f>
        <v>0</v>
      </c>
      <c r="E171">
        <f>_xlfn.XLOOKUP($A171,Load!$B:$B,Load!F:F,0,)</f>
        <v>0</v>
      </c>
      <c r="F171">
        <f>_xlfn.XLOOKUP($A171,Load!$B:$B,Load!G:G,0,)</f>
        <v>0</v>
      </c>
      <c r="G171">
        <f>_xlfn.XLOOKUP($A171,Load!$B:$B,Load!H:H,0,)</f>
        <v>0</v>
      </c>
      <c r="H171">
        <f>_xlfn.XLOOKUP($A171,Load!$B:$B,Load!I:I,0,)</f>
        <v>0</v>
      </c>
      <c r="I171">
        <f>_xlfn.XLOOKUP($A171,Load!$B:$B,Load!J:J,0,)</f>
        <v>0</v>
      </c>
      <c r="J171">
        <f>_xlfn.XLOOKUP($A171,Load!$B:$B,Load!K:K,0,)</f>
        <v>0</v>
      </c>
      <c r="K171">
        <f>_xlfn.XLOOKUP($A171,Load!$B:$B,Load!L:L,0,)</f>
        <v>0</v>
      </c>
      <c r="L171">
        <f>_xlfn.XLOOKUP($A171,Load!$B:$B,Load!M:M,0,)</f>
        <v>0</v>
      </c>
    </row>
    <row r="172" spans="1:12" x14ac:dyDescent="0.25">
      <c r="B172">
        <f>_xlfn.XLOOKUP($A172,Load!$B:$B,Load!C:C,0,)</f>
        <v>0</v>
      </c>
      <c r="C172">
        <f>_xlfn.XLOOKUP($A172,Load!$B:$B,Load!D:D,0,)</f>
        <v>0</v>
      </c>
      <c r="D172">
        <f>_xlfn.XLOOKUP($A172,Load!$B:$B,Load!E:E,0,)</f>
        <v>0</v>
      </c>
      <c r="E172">
        <f>_xlfn.XLOOKUP($A172,Load!$B:$B,Load!F:F,0,)</f>
        <v>0</v>
      </c>
      <c r="F172">
        <f>_xlfn.XLOOKUP($A172,Load!$B:$B,Load!G:G,0,)</f>
        <v>0</v>
      </c>
      <c r="G172">
        <f>_xlfn.XLOOKUP($A172,Load!$B:$B,Load!H:H,0,)</f>
        <v>0</v>
      </c>
      <c r="H172">
        <f>_xlfn.XLOOKUP($A172,Load!$B:$B,Load!I:I,0,)</f>
        <v>0</v>
      </c>
      <c r="I172">
        <f>_xlfn.XLOOKUP($A172,Load!$B:$B,Load!J:J,0,)</f>
        <v>0</v>
      </c>
      <c r="J172">
        <f>_xlfn.XLOOKUP($A172,Load!$B:$B,Load!K:K,0,)</f>
        <v>0</v>
      </c>
      <c r="K172">
        <f>_xlfn.XLOOKUP($A172,Load!$B:$B,Load!L:L,0,)</f>
        <v>0</v>
      </c>
      <c r="L172">
        <f>_xlfn.XLOOKUP($A172,Load!$B:$B,Load!M:M,0,)</f>
        <v>0</v>
      </c>
    </row>
    <row r="173" spans="1:12" x14ac:dyDescent="0.25">
      <c r="B173">
        <f>_xlfn.XLOOKUP($A173,Load!$B:$B,Load!C:C,0,)</f>
        <v>0</v>
      </c>
      <c r="C173">
        <f>_xlfn.XLOOKUP($A173,Load!$B:$B,Load!D:D,0,)</f>
        <v>0</v>
      </c>
      <c r="D173">
        <f>_xlfn.XLOOKUP($A173,Load!$B:$B,Load!E:E,0,)</f>
        <v>0</v>
      </c>
      <c r="E173">
        <f>_xlfn.XLOOKUP($A173,Load!$B:$B,Load!F:F,0,)</f>
        <v>0</v>
      </c>
      <c r="F173">
        <f>_xlfn.XLOOKUP($A173,Load!$B:$B,Load!G:G,0,)</f>
        <v>0</v>
      </c>
      <c r="G173">
        <f>_xlfn.XLOOKUP($A173,Load!$B:$B,Load!H:H,0,)</f>
        <v>0</v>
      </c>
      <c r="H173">
        <f>_xlfn.XLOOKUP($A173,Load!$B:$B,Load!I:I,0,)</f>
        <v>0</v>
      </c>
      <c r="I173">
        <f>_xlfn.XLOOKUP($A173,Load!$B:$B,Load!J:J,0,)</f>
        <v>0</v>
      </c>
      <c r="J173">
        <f>_xlfn.XLOOKUP($A173,Load!$B:$B,Load!K:K,0,)</f>
        <v>0</v>
      </c>
      <c r="K173">
        <f>_xlfn.XLOOKUP($A173,Load!$B:$B,Load!L:L,0,)</f>
        <v>0</v>
      </c>
      <c r="L173">
        <f>_xlfn.XLOOKUP($A173,Load!$B:$B,Load!M:M,0,)</f>
        <v>0</v>
      </c>
    </row>
    <row r="174" spans="1:12" x14ac:dyDescent="0.25">
      <c r="A174" t="s">
        <v>215</v>
      </c>
      <c r="B174" t="str">
        <f>_xlfn.XLOOKUP($A174,Load!$B:$B,Load!C:C,0,)</f>
        <v>Maud Borup</v>
      </c>
      <c r="C174" t="str">
        <f>_xlfn.XLOOKUP($A174,Load!$B:$B,Load!D:D,0,)</f>
        <v>Non-Chocolate Candy Only</v>
      </c>
      <c r="D174" t="str">
        <f>_xlfn.XLOOKUP($A174,Load!$B:$B,Load!E:E,0,)</f>
        <v>Berry Based (Raspberry, Strawberry, Medley, etc.)</v>
      </c>
      <c r="E174" t="str">
        <f>_xlfn.XLOOKUP($A174,Load!$B:$B,Load!F:F,0,)</f>
        <v>Gummy</v>
      </c>
      <c r="F174" t="str">
        <f>_xlfn.XLOOKUP($A174,Load!$B:$B,Load!G:G,0,)</f>
        <v>Single Pack</v>
      </c>
      <c r="G174" t="str">
        <f>_xlfn.XLOOKUP($A174,Load!$B:$B,Load!H:H,0,)</f>
        <v>Peg Bag</v>
      </c>
      <c r="H174" t="str">
        <f>_xlfn.XLOOKUP($A174,Load!$B:$B,Load!I:I,0,)</f>
        <v>Seasonal Shapes (like pumpkins, candy corn, ghost, bats, etc.)</v>
      </c>
      <c r="I174" t="str">
        <f>_xlfn.XLOOKUP($A174,Load!$B:$B,Load!J:J,0,)</f>
        <v>Seasonal Graphics (Like Bat, Ghost, Pumpkin, Fall Leaves, Eyeballs, etc.)</v>
      </c>
      <c r="J174" t="str">
        <f>_xlfn.XLOOKUP($A174,Load!$B:$B,Load!K:K,0,)</f>
        <v>Fun Size / Treat Size</v>
      </c>
      <c r="K174" t="str">
        <f>_xlfn.XLOOKUP($A174,Load!$B:$B,Load!L:L,0,)</f>
        <v>Unwrapped</v>
      </c>
      <c r="L174" t="str">
        <f>_xlfn.XLOOKUP($A174,Load!$B:$B,Load!M:M,0,)</f>
        <v>Single Brand / Single Flavor or Form</v>
      </c>
    </row>
    <row r="175" spans="1:12" x14ac:dyDescent="0.25">
      <c r="A175" t="s">
        <v>305</v>
      </c>
      <c r="B175" t="str">
        <f>_xlfn.XLOOKUP($A175,Load!$B:$B,Load!C:C,0,)</f>
        <v>Werther's Original</v>
      </c>
      <c r="C175" t="str">
        <f>_xlfn.XLOOKUP($A175,Load!$B:$B,Load!D:D,0,)</f>
        <v>Non-Chocolate Candy Only</v>
      </c>
      <c r="D175" t="str">
        <f>_xlfn.XLOOKUP($A175,Load!$B:$B,Load!E:E,0,)</f>
        <v>Fall / Seasonal Flavors (pumpkin spice, caramel apple, candy corn)</v>
      </c>
      <c r="E175" t="str">
        <f>_xlfn.XLOOKUP($A175,Load!$B:$B,Load!F:F,0,)</f>
        <v>Chewy</v>
      </c>
      <c r="F175" t="str">
        <f>_xlfn.XLOOKUP($A175,Load!$B:$B,Load!G:G,0,)</f>
        <v>Single Pack</v>
      </c>
      <c r="G175" t="str">
        <f>_xlfn.XLOOKUP($A175,Load!$B:$B,Load!H:H,0,)</f>
        <v>Stand-Up Bag</v>
      </c>
      <c r="H175" t="str">
        <f>_xlfn.XLOOKUP($A175,Load!$B:$B,Load!I:I,0,)</f>
        <v>Everyday Candy Shapes (like Original, Gummy bear, Fruit, Jewels, etc.)</v>
      </c>
      <c r="I175" t="str">
        <f>_xlfn.XLOOKUP($A175,Load!$B:$B,Load!J:J,0,)</f>
        <v>Seasonal Graphics (Like Bat, Ghost, Pumpkin, Fall Leaves, Eyeballs, etc.)</v>
      </c>
      <c r="J175" t="str">
        <f>_xlfn.XLOOKUP($A175,Load!$B:$B,Load!K:K,0,)</f>
        <v>Fun Size / Treat Size</v>
      </c>
      <c r="K175" t="str">
        <f>_xlfn.XLOOKUP($A175,Load!$B:$B,Load!L:L,0,)</f>
        <v>Regular/Original Wrapping</v>
      </c>
      <c r="L175" t="str">
        <f>_xlfn.XLOOKUP($A175,Load!$B:$B,Load!M:M,0,)</f>
        <v>Single Brand / Single Flavor or Form</v>
      </c>
    </row>
    <row r="176" spans="1:12" x14ac:dyDescent="0.25">
      <c r="B176">
        <f>_xlfn.XLOOKUP($A176,Load!$B:$B,Load!C:C,0,)</f>
        <v>0</v>
      </c>
      <c r="C176">
        <f>_xlfn.XLOOKUP($A176,Load!$B:$B,Load!D:D,0,)</f>
        <v>0</v>
      </c>
      <c r="D176">
        <f>_xlfn.XLOOKUP($A176,Load!$B:$B,Load!E:E,0,)</f>
        <v>0</v>
      </c>
      <c r="E176">
        <f>_xlfn.XLOOKUP($A176,Load!$B:$B,Load!F:F,0,)</f>
        <v>0</v>
      </c>
      <c r="F176">
        <f>_xlfn.XLOOKUP($A176,Load!$B:$B,Load!G:G,0,)</f>
        <v>0</v>
      </c>
      <c r="G176">
        <f>_xlfn.XLOOKUP($A176,Load!$B:$B,Load!H:H,0,)</f>
        <v>0</v>
      </c>
      <c r="H176">
        <f>_xlfn.XLOOKUP($A176,Load!$B:$B,Load!I:I,0,)</f>
        <v>0</v>
      </c>
      <c r="I176">
        <f>_xlfn.XLOOKUP($A176,Load!$B:$B,Load!J:J,0,)</f>
        <v>0</v>
      </c>
      <c r="J176">
        <f>_xlfn.XLOOKUP($A176,Load!$B:$B,Load!K:K,0,)</f>
        <v>0</v>
      </c>
      <c r="K176">
        <f>_xlfn.XLOOKUP($A176,Load!$B:$B,Load!L:L,0,)</f>
        <v>0</v>
      </c>
      <c r="L176">
        <f>_xlfn.XLOOKUP($A176,Load!$B:$B,Load!M:M,0,)</f>
        <v>0</v>
      </c>
    </row>
    <row r="177" spans="1:12" x14ac:dyDescent="0.25">
      <c r="B177">
        <f>_xlfn.XLOOKUP($A177,Load!$B:$B,Load!C:C,0,)</f>
        <v>0</v>
      </c>
      <c r="C177">
        <f>_xlfn.XLOOKUP($A177,Load!$B:$B,Load!D:D,0,)</f>
        <v>0</v>
      </c>
      <c r="D177">
        <f>_xlfn.XLOOKUP($A177,Load!$B:$B,Load!E:E,0,)</f>
        <v>0</v>
      </c>
      <c r="E177">
        <f>_xlfn.XLOOKUP($A177,Load!$B:$B,Load!F:F,0,)</f>
        <v>0</v>
      </c>
      <c r="F177">
        <f>_xlfn.XLOOKUP($A177,Load!$B:$B,Load!G:G,0,)</f>
        <v>0</v>
      </c>
      <c r="G177">
        <f>_xlfn.XLOOKUP($A177,Load!$B:$B,Load!H:H,0,)</f>
        <v>0</v>
      </c>
      <c r="H177">
        <f>_xlfn.XLOOKUP($A177,Load!$B:$B,Load!I:I,0,)</f>
        <v>0</v>
      </c>
      <c r="I177">
        <f>_xlfn.XLOOKUP($A177,Load!$B:$B,Load!J:J,0,)</f>
        <v>0</v>
      </c>
      <c r="J177">
        <f>_xlfn.XLOOKUP($A177,Load!$B:$B,Load!K:K,0,)</f>
        <v>0</v>
      </c>
      <c r="K177">
        <f>_xlfn.XLOOKUP($A177,Load!$B:$B,Load!L:L,0,)</f>
        <v>0</v>
      </c>
      <c r="L177">
        <f>_xlfn.XLOOKUP($A177,Load!$B:$B,Load!M:M,0,)</f>
        <v>0</v>
      </c>
    </row>
    <row r="178" spans="1:12" x14ac:dyDescent="0.25">
      <c r="A178" t="s">
        <v>299</v>
      </c>
      <c r="B178" t="str">
        <f>_xlfn.XLOOKUP($A178,Load!$B:$B,Load!C:C,0,)</f>
        <v>Twizzlers</v>
      </c>
      <c r="C178" t="str">
        <f>_xlfn.XLOOKUP($A178,Load!$B:$B,Load!D:D,0,)</f>
        <v>Non-Chocolate Candy Only</v>
      </c>
      <c r="D178" t="str">
        <f>_xlfn.XLOOKUP($A178,Load!$B:$B,Load!E:E,0,)</f>
        <v>Fruit Flavor (Cherry, Grape, Apple, Citrus, Tropical Fruit)</v>
      </c>
      <c r="E178" t="str">
        <f>_xlfn.XLOOKUP($A178,Load!$B:$B,Load!F:F,0,)</f>
        <v>Chewy</v>
      </c>
      <c r="F178" t="str">
        <f>_xlfn.XLOOKUP($A178,Load!$B:$B,Load!G:G,0,)</f>
        <v>Single Pack</v>
      </c>
      <c r="G178" t="str">
        <f>_xlfn.XLOOKUP($A178,Load!$B:$B,Load!H:H,0,)</f>
        <v>Stand-Up Bag</v>
      </c>
      <c r="H178" t="str">
        <f>_xlfn.XLOOKUP($A178,Load!$B:$B,Load!I:I,0,)</f>
        <v>Seasonal Shapes (like pumpkins, candy corn, ghost, bats, etc.)</v>
      </c>
      <c r="I178" t="str">
        <f>_xlfn.XLOOKUP($A178,Load!$B:$B,Load!J:J,0,)</f>
        <v>Seasonal Graphics (Like Bat, Ghost, Pumpkin, Fall Leaves, Eyeballs, etc.)</v>
      </c>
      <c r="J178" t="str">
        <f>_xlfn.XLOOKUP($A178,Load!$B:$B,Load!K:K,0,)</f>
        <v>Fun Size / Treat Size</v>
      </c>
      <c r="K178" t="str">
        <f>_xlfn.XLOOKUP($A178,Load!$B:$B,Load!L:L,0,)</f>
        <v>Unwrapped</v>
      </c>
      <c r="L178" t="str">
        <f>_xlfn.XLOOKUP($A178,Load!$B:$B,Load!M:M,0,)</f>
        <v>Single Brand / Single Flavor or Form</v>
      </c>
    </row>
    <row r="179" spans="1:12" x14ac:dyDescent="0.25">
      <c r="B179">
        <f>_xlfn.XLOOKUP($A179,Load!$B:$B,Load!C:C,0,)</f>
        <v>0</v>
      </c>
      <c r="C179">
        <f>_xlfn.XLOOKUP($A179,Load!$B:$B,Load!D:D,0,)</f>
        <v>0</v>
      </c>
      <c r="D179">
        <f>_xlfn.XLOOKUP($A179,Load!$B:$B,Load!E:E,0,)</f>
        <v>0</v>
      </c>
      <c r="E179">
        <f>_xlfn.XLOOKUP($A179,Load!$B:$B,Load!F:F,0,)</f>
        <v>0</v>
      </c>
      <c r="F179">
        <f>_xlfn.XLOOKUP($A179,Load!$B:$B,Load!G:G,0,)</f>
        <v>0</v>
      </c>
      <c r="G179">
        <f>_xlfn.XLOOKUP($A179,Load!$B:$B,Load!H:H,0,)</f>
        <v>0</v>
      </c>
      <c r="H179">
        <f>_xlfn.XLOOKUP($A179,Load!$B:$B,Load!I:I,0,)</f>
        <v>0</v>
      </c>
      <c r="I179">
        <f>_xlfn.XLOOKUP($A179,Load!$B:$B,Load!J:J,0,)</f>
        <v>0</v>
      </c>
      <c r="J179">
        <f>_xlfn.XLOOKUP($A179,Load!$B:$B,Load!K:K,0,)</f>
        <v>0</v>
      </c>
      <c r="K179">
        <f>_xlfn.XLOOKUP($A179,Load!$B:$B,Load!L:L,0,)</f>
        <v>0</v>
      </c>
      <c r="L179">
        <f>_xlfn.XLOOKUP($A179,Load!$B:$B,Load!M:M,0,)</f>
        <v>0</v>
      </c>
    </row>
    <row r="180" spans="1:12" x14ac:dyDescent="0.25">
      <c r="A180" t="s">
        <v>178</v>
      </c>
      <c r="B180" t="str">
        <f>_xlfn.XLOOKUP($A180,Load!$B:$B,Load!C:C,0,)</f>
        <v>Mars Variety Pack</v>
      </c>
      <c r="C180" t="str">
        <f>_xlfn.XLOOKUP($A180,Load!$B:$B,Load!D:D,0,)</f>
        <v>Mix of Chocolate and Non-Chocolate Candy</v>
      </c>
      <c r="D180" t="str">
        <f>_xlfn.XLOOKUP($A180,Load!$B:$B,Load!E:E,0,)</f>
        <v>Variety / Mixed Flavors (Fruity, Sour, Seasonal Flavors)</v>
      </c>
      <c r="E180" t="str">
        <f>_xlfn.XLOOKUP($A180,Load!$B:$B,Load!F:F,0,)</f>
        <v>Mixed / Combo Packs (Gummy, Chewy, Taffy, etc.)</v>
      </c>
      <c r="F180" t="str">
        <f>_xlfn.XLOOKUP($A180,Load!$B:$B,Load!G:G,0,)</f>
        <v>Small Multipack (Less than 40 ct)</v>
      </c>
      <c r="G180" t="str">
        <f>_xlfn.XLOOKUP($A180,Load!$B:$B,Load!H:H,0,)</f>
        <v>Laydown Bag</v>
      </c>
      <c r="H180" t="str">
        <f>_xlfn.XLOOKUP($A180,Load!$B:$B,Load!I:I,0,)</f>
        <v>Everyday Candy Shapes (like Original, Gummy bear, Fruit, Jewels, etc.)</v>
      </c>
      <c r="I180" t="str">
        <f>_xlfn.XLOOKUP($A180,Load!$B:$B,Load!J:J,0,)</f>
        <v>Seasonal Graphics (Like Bat, Ghost, Pumpkin, Fall Leaves, Eyeballs, etc.)</v>
      </c>
      <c r="J180" t="str">
        <f>_xlfn.XLOOKUP($A180,Load!$B:$B,Load!K:K,0,)</f>
        <v xml:space="preserve">Variety Candy Sizes </v>
      </c>
      <c r="K180" t="str">
        <f>_xlfn.XLOOKUP($A180,Load!$B:$B,Load!L:L,0,)</f>
        <v>Regular/Original Wrapping</v>
      </c>
      <c r="L180" t="str">
        <f>_xlfn.XLOOKUP($A180,Load!$B:$B,Load!M:M,0,)</f>
        <v>Multiple Brands / Variety Flavors or Form</v>
      </c>
    </row>
    <row r="181" spans="1:12" x14ac:dyDescent="0.25">
      <c r="B181">
        <f>_xlfn.XLOOKUP($A181,Load!$B:$B,Load!C:C,0,)</f>
        <v>0</v>
      </c>
      <c r="C181">
        <f>_xlfn.XLOOKUP($A181,Load!$B:$B,Load!D:D,0,)</f>
        <v>0</v>
      </c>
      <c r="D181">
        <f>_xlfn.XLOOKUP($A181,Load!$B:$B,Load!E:E,0,)</f>
        <v>0</v>
      </c>
      <c r="E181">
        <f>_xlfn.XLOOKUP($A181,Load!$B:$B,Load!F:F,0,)</f>
        <v>0</v>
      </c>
      <c r="F181">
        <f>_xlfn.XLOOKUP($A181,Load!$B:$B,Load!G:G,0,)</f>
        <v>0</v>
      </c>
      <c r="G181">
        <f>_xlfn.XLOOKUP($A181,Load!$B:$B,Load!H:H,0,)</f>
        <v>0</v>
      </c>
      <c r="H181">
        <f>_xlfn.XLOOKUP($A181,Load!$B:$B,Load!I:I,0,)</f>
        <v>0</v>
      </c>
      <c r="I181">
        <f>_xlfn.XLOOKUP($A181,Load!$B:$B,Load!J:J,0,)</f>
        <v>0</v>
      </c>
      <c r="J181">
        <f>_xlfn.XLOOKUP($A181,Load!$B:$B,Load!K:K,0,)</f>
        <v>0</v>
      </c>
      <c r="K181">
        <f>_xlfn.XLOOKUP($A181,Load!$B:$B,Load!L:L,0,)</f>
        <v>0</v>
      </c>
      <c r="L181">
        <f>_xlfn.XLOOKUP($A181,Load!$B:$B,Load!M:M,0,)</f>
        <v>0</v>
      </c>
    </row>
    <row r="182" spans="1:12" x14ac:dyDescent="0.25">
      <c r="A182" t="s">
        <v>222</v>
      </c>
      <c r="B182" t="str">
        <f>_xlfn.XLOOKUP($A182,Load!$B:$B,Load!C:C,0,)</f>
        <v>Nerds</v>
      </c>
      <c r="C182" t="str">
        <f>_xlfn.XLOOKUP($A182,Load!$B:$B,Load!D:D,0,)</f>
        <v>Non-Chocolate Candy Only</v>
      </c>
      <c r="D182" t="str">
        <f>_xlfn.XLOOKUP($A182,Load!$B:$B,Load!E:E,0,)</f>
        <v>Sweet</v>
      </c>
      <c r="E182" t="str">
        <f>_xlfn.XLOOKUP($A182,Load!$B:$B,Load!F:F,0,)</f>
        <v>Gummy</v>
      </c>
      <c r="F182" t="str">
        <f>_xlfn.XLOOKUP($A182,Load!$B:$B,Load!G:G,0,)</f>
        <v>Small Multipack (Less than 40 ct)</v>
      </c>
      <c r="G182" t="str">
        <f>_xlfn.XLOOKUP($A182,Load!$B:$B,Load!H:H,0,)</f>
        <v>Stand-Up Bag</v>
      </c>
      <c r="H182" t="str">
        <f>_xlfn.XLOOKUP($A182,Load!$B:$B,Load!I:I,0,)</f>
        <v>Everyday Candy Shapes (like Original, Gummy bear, Fruit, Jewels, etc.)</v>
      </c>
      <c r="I182" t="str">
        <f>_xlfn.XLOOKUP($A182,Load!$B:$B,Load!J:J,0,)</f>
        <v>Seasonal Graphics (Like Bat, Ghost, Pumpkin, Fall Leaves, Eyeballs, etc.)</v>
      </c>
      <c r="J182" t="str">
        <f>_xlfn.XLOOKUP($A182,Load!$B:$B,Load!K:K,0,)</f>
        <v>Fun Size / Treat Size</v>
      </c>
      <c r="K182" t="str">
        <f>_xlfn.XLOOKUP($A182,Load!$B:$B,Load!L:L,0,)</f>
        <v>Regular/Original Wrapping</v>
      </c>
      <c r="L182" t="str">
        <f>_xlfn.XLOOKUP($A182,Load!$B:$B,Load!M:M,0,)</f>
        <v>Single Brand / Variety Flavors or Form</v>
      </c>
    </row>
    <row r="183" spans="1:12" x14ac:dyDescent="0.25">
      <c r="A183" t="s">
        <v>192</v>
      </c>
      <c r="B183" t="str">
        <f>_xlfn.XLOOKUP($A183,Load!$B:$B,Load!C:C,0,)</f>
        <v>Mars Variety Pack</v>
      </c>
      <c r="C183" t="str">
        <f>_xlfn.XLOOKUP($A183,Load!$B:$B,Load!D:D,0,)</f>
        <v>Non-Chocolate Candy Only</v>
      </c>
      <c r="D183" t="str">
        <f>_xlfn.XLOOKUP($A183,Load!$B:$B,Load!E:E,0,)</f>
        <v>Variety / Mixed Flavors (Fruity, Sour, Seasonal Flavors)</v>
      </c>
      <c r="E183" t="str">
        <f>_xlfn.XLOOKUP($A183,Load!$B:$B,Load!F:F,0,)</f>
        <v>Mixed / Combo Packs (Gummy, Chewy, Taffy, etc.)</v>
      </c>
      <c r="F183" t="str">
        <f>_xlfn.XLOOKUP($A183,Load!$B:$B,Load!G:G,0,)</f>
        <v>Medium Multipack (40–80 ct)</v>
      </c>
      <c r="G183" t="str">
        <f>_xlfn.XLOOKUP($A183,Load!$B:$B,Load!H:H,0,)</f>
        <v>Stand-Up Bag</v>
      </c>
      <c r="H183" t="str">
        <f>_xlfn.XLOOKUP($A183,Load!$B:$B,Load!I:I,0,)</f>
        <v>Everyday Candy Shapes (like Original, Gummy bear, Fruit, Jewels, etc.)</v>
      </c>
      <c r="I183" t="str">
        <f>_xlfn.XLOOKUP($A183,Load!$B:$B,Load!J:J,0,)</f>
        <v>Seasonal Graphics (Like Bat, Ghost, Pumpkin, Fall Leaves, Eyeballs, etc.)</v>
      </c>
      <c r="J183" t="str">
        <f>_xlfn.XLOOKUP($A183,Load!$B:$B,Load!K:K,0,)</f>
        <v>Fun Size / Treat Size</v>
      </c>
      <c r="K183" t="str">
        <f>_xlfn.XLOOKUP($A183,Load!$B:$B,Load!L:L,0,)</f>
        <v>Regular/Original Wrapping</v>
      </c>
      <c r="L183" t="str">
        <f>_xlfn.XLOOKUP($A183,Load!$B:$B,Load!M:M,0,)</f>
        <v>Multiple Brands / Variety Flavors or Form</v>
      </c>
    </row>
    <row r="184" spans="1:12" x14ac:dyDescent="0.25">
      <c r="B184">
        <f>_xlfn.XLOOKUP($A184,Load!$B:$B,Load!C:C,0,)</f>
        <v>0</v>
      </c>
      <c r="C184">
        <f>_xlfn.XLOOKUP($A184,Load!$B:$B,Load!D:D,0,)</f>
        <v>0</v>
      </c>
      <c r="D184">
        <f>_xlfn.XLOOKUP($A184,Load!$B:$B,Load!E:E,0,)</f>
        <v>0</v>
      </c>
      <c r="E184">
        <f>_xlfn.XLOOKUP($A184,Load!$B:$B,Load!F:F,0,)</f>
        <v>0</v>
      </c>
      <c r="F184">
        <f>_xlfn.XLOOKUP($A184,Load!$B:$B,Load!G:G,0,)</f>
        <v>0</v>
      </c>
      <c r="G184">
        <f>_xlfn.XLOOKUP($A184,Load!$B:$B,Load!H:H,0,)</f>
        <v>0</v>
      </c>
      <c r="H184">
        <f>_xlfn.XLOOKUP($A184,Load!$B:$B,Load!I:I,0,)</f>
        <v>0</v>
      </c>
      <c r="I184">
        <f>_xlfn.XLOOKUP($A184,Load!$B:$B,Load!J:J,0,)</f>
        <v>0</v>
      </c>
      <c r="J184">
        <f>_xlfn.XLOOKUP($A184,Load!$B:$B,Load!K:K,0,)</f>
        <v>0</v>
      </c>
      <c r="K184">
        <f>_xlfn.XLOOKUP($A184,Load!$B:$B,Load!L:L,0,)</f>
        <v>0</v>
      </c>
      <c r="L184">
        <f>_xlfn.XLOOKUP($A184,Load!$B:$B,Load!M:M,0,)</f>
        <v>0</v>
      </c>
    </row>
    <row r="185" spans="1:12" x14ac:dyDescent="0.25">
      <c r="B185">
        <f>_xlfn.XLOOKUP($A185,Load!$B:$B,Load!C:C,0,)</f>
        <v>0</v>
      </c>
      <c r="C185">
        <f>_xlfn.XLOOKUP($A185,Load!$B:$B,Load!D:D,0,)</f>
        <v>0</v>
      </c>
      <c r="D185">
        <f>_xlfn.XLOOKUP($A185,Load!$B:$B,Load!E:E,0,)</f>
        <v>0</v>
      </c>
      <c r="E185">
        <f>_xlfn.XLOOKUP($A185,Load!$B:$B,Load!F:F,0,)</f>
        <v>0</v>
      </c>
      <c r="F185">
        <f>_xlfn.XLOOKUP($A185,Load!$B:$B,Load!G:G,0,)</f>
        <v>0</v>
      </c>
      <c r="G185">
        <f>_xlfn.XLOOKUP($A185,Load!$B:$B,Load!H:H,0,)</f>
        <v>0</v>
      </c>
      <c r="H185">
        <f>_xlfn.XLOOKUP($A185,Load!$B:$B,Load!I:I,0,)</f>
        <v>0</v>
      </c>
      <c r="I185">
        <f>_xlfn.XLOOKUP($A185,Load!$B:$B,Load!J:J,0,)</f>
        <v>0</v>
      </c>
      <c r="J185">
        <f>_xlfn.XLOOKUP($A185,Load!$B:$B,Load!K:K,0,)</f>
        <v>0</v>
      </c>
      <c r="K185">
        <f>_xlfn.XLOOKUP($A185,Load!$B:$B,Load!L:L,0,)</f>
        <v>0</v>
      </c>
      <c r="L185">
        <f>_xlfn.XLOOKUP($A185,Load!$B:$B,Load!M:M,0,)</f>
        <v>0</v>
      </c>
    </row>
    <row r="186" spans="1:12" x14ac:dyDescent="0.25">
      <c r="B186">
        <f>_xlfn.XLOOKUP($A186,Load!$B:$B,Load!C:C,0,)</f>
        <v>0</v>
      </c>
      <c r="C186">
        <f>_xlfn.XLOOKUP($A186,Load!$B:$B,Load!D:D,0,)</f>
        <v>0</v>
      </c>
      <c r="D186">
        <f>_xlfn.XLOOKUP($A186,Load!$B:$B,Load!E:E,0,)</f>
        <v>0</v>
      </c>
      <c r="E186">
        <f>_xlfn.XLOOKUP($A186,Load!$B:$B,Load!F:F,0,)</f>
        <v>0</v>
      </c>
      <c r="F186">
        <f>_xlfn.XLOOKUP($A186,Load!$B:$B,Load!G:G,0,)</f>
        <v>0</v>
      </c>
      <c r="G186">
        <f>_xlfn.XLOOKUP($A186,Load!$B:$B,Load!H:H,0,)</f>
        <v>0</v>
      </c>
      <c r="H186">
        <f>_xlfn.XLOOKUP($A186,Load!$B:$B,Load!I:I,0,)</f>
        <v>0</v>
      </c>
      <c r="I186">
        <f>_xlfn.XLOOKUP($A186,Load!$B:$B,Load!J:J,0,)</f>
        <v>0</v>
      </c>
      <c r="J186">
        <f>_xlfn.XLOOKUP($A186,Load!$B:$B,Load!K:K,0,)</f>
        <v>0</v>
      </c>
      <c r="K186">
        <f>_xlfn.XLOOKUP($A186,Load!$B:$B,Load!L:L,0,)</f>
        <v>0</v>
      </c>
      <c r="L186">
        <f>_xlfn.XLOOKUP($A186,Load!$B:$B,Load!M:M,0,)</f>
        <v>0</v>
      </c>
    </row>
    <row r="187" spans="1:12" x14ac:dyDescent="0.25">
      <c r="B187">
        <f>_xlfn.XLOOKUP($A187,Load!$B:$B,Load!C:C,0,)</f>
        <v>0</v>
      </c>
      <c r="C187">
        <f>_xlfn.XLOOKUP($A187,Load!$B:$B,Load!D:D,0,)</f>
        <v>0</v>
      </c>
      <c r="D187">
        <f>_xlfn.XLOOKUP($A187,Load!$B:$B,Load!E:E,0,)</f>
        <v>0</v>
      </c>
      <c r="E187">
        <f>_xlfn.XLOOKUP($A187,Load!$B:$B,Load!F:F,0,)</f>
        <v>0</v>
      </c>
      <c r="F187">
        <f>_xlfn.XLOOKUP($A187,Load!$B:$B,Load!G:G,0,)</f>
        <v>0</v>
      </c>
      <c r="G187">
        <f>_xlfn.XLOOKUP($A187,Load!$B:$B,Load!H:H,0,)</f>
        <v>0</v>
      </c>
      <c r="H187">
        <f>_xlfn.XLOOKUP($A187,Load!$B:$B,Load!I:I,0,)</f>
        <v>0</v>
      </c>
      <c r="I187">
        <f>_xlfn.XLOOKUP($A187,Load!$B:$B,Load!J:J,0,)</f>
        <v>0</v>
      </c>
      <c r="J187">
        <f>_xlfn.XLOOKUP($A187,Load!$B:$B,Load!K:K,0,)</f>
        <v>0</v>
      </c>
      <c r="K187">
        <f>_xlfn.XLOOKUP($A187,Load!$B:$B,Load!L:L,0,)</f>
        <v>0</v>
      </c>
      <c r="L187">
        <f>_xlfn.XLOOKUP($A187,Load!$B:$B,Load!M:M,0,)</f>
        <v>0</v>
      </c>
    </row>
    <row r="188" spans="1:12" x14ac:dyDescent="0.25">
      <c r="A188" t="s">
        <v>252</v>
      </c>
      <c r="B188" t="str">
        <f>_xlfn.XLOOKUP($A188,Load!$B:$B,Load!C:C,0,)</f>
        <v>Skittles</v>
      </c>
      <c r="C188" t="str">
        <f>_xlfn.XLOOKUP($A188,Load!$B:$B,Load!D:D,0,)</f>
        <v>Non-Chocolate Candy Only</v>
      </c>
      <c r="D188" t="str">
        <f>_xlfn.XLOOKUP($A188,Load!$B:$B,Load!E:E,0,)</f>
        <v>Sour</v>
      </c>
      <c r="E188" t="str">
        <f>_xlfn.XLOOKUP($A188,Load!$B:$B,Load!F:F,0,)</f>
        <v>Candy Pieces / Bites</v>
      </c>
      <c r="F188" t="str">
        <f>_xlfn.XLOOKUP($A188,Load!$B:$B,Load!G:G,0,)</f>
        <v>Single Pack</v>
      </c>
      <c r="G188" t="str">
        <f>_xlfn.XLOOKUP($A188,Load!$B:$B,Load!H:H,0,)</f>
        <v>Laydown Bag</v>
      </c>
      <c r="H188" t="str">
        <f>_xlfn.XLOOKUP($A188,Load!$B:$B,Load!I:I,0,)</f>
        <v>Everyday Candy Shapes (like Original, Gummy bear, Fruit, Jewels, etc.)</v>
      </c>
      <c r="I188" t="str">
        <f>_xlfn.XLOOKUP($A188,Load!$B:$B,Load!J:J,0,)</f>
        <v>Seasonal Graphics (Like Bat, Ghost, Pumpkin, Fall Leaves, Eyeballs, etc.)</v>
      </c>
      <c r="J188" t="str">
        <f>_xlfn.XLOOKUP($A188,Load!$B:$B,Load!K:K,0,)</f>
        <v>Small Pieces (Tiny bite size candies)</v>
      </c>
      <c r="K188" t="str">
        <f>_xlfn.XLOOKUP($A188,Load!$B:$B,Load!L:L,0,)</f>
        <v>Unwrapped</v>
      </c>
      <c r="L188" t="str">
        <f>_xlfn.XLOOKUP($A188,Load!$B:$B,Load!M:M,0,)</f>
        <v>Single Brand / Variety Flavors or Form</v>
      </c>
    </row>
    <row r="189" spans="1:12" x14ac:dyDescent="0.25">
      <c r="A189" t="s">
        <v>285</v>
      </c>
      <c r="B189" t="str">
        <f>_xlfn.XLOOKUP($A189,Load!$B:$B,Load!C:C,0,)</f>
        <v>Starburst</v>
      </c>
      <c r="C189" t="str">
        <f>_xlfn.XLOOKUP($A189,Load!$B:$B,Load!D:D,0,)</f>
        <v>Non-Chocolate Candy Only</v>
      </c>
      <c r="D189" t="str">
        <f>_xlfn.XLOOKUP($A189,Load!$B:$B,Load!E:E,0,)</f>
        <v>Fruit Flavor (Cherry, Grape, Apple, Citrus, Tropical Fruit)</v>
      </c>
      <c r="E189" t="str">
        <f>_xlfn.XLOOKUP($A189,Load!$B:$B,Load!F:F,0,)</f>
        <v>Chewy</v>
      </c>
      <c r="F189" t="str">
        <f>_xlfn.XLOOKUP($A189,Load!$B:$B,Load!G:G,0,)</f>
        <v>Small Multipack (Less than 40 ct)</v>
      </c>
      <c r="G189" t="str">
        <f>_xlfn.XLOOKUP($A189,Load!$B:$B,Load!H:H,0,)</f>
        <v>Laydown Bag</v>
      </c>
      <c r="H189" t="str">
        <f>_xlfn.XLOOKUP($A189,Load!$B:$B,Load!I:I,0,)</f>
        <v>Everyday Candy Shapes (like Original, Gummy bear, Fruit, Jewels, etc.)</v>
      </c>
      <c r="I189" t="str">
        <f>_xlfn.XLOOKUP($A189,Load!$B:$B,Load!J:J,0,)</f>
        <v>Everyday Graphics</v>
      </c>
      <c r="J189" t="str">
        <f>_xlfn.XLOOKUP($A189,Load!$B:$B,Load!K:K,0,)</f>
        <v>Small Pieces (Tiny bite size candies)</v>
      </c>
      <c r="K189" t="str">
        <f>_xlfn.XLOOKUP($A189,Load!$B:$B,Load!L:L,0,)</f>
        <v>Regular/Original Wrapping</v>
      </c>
      <c r="L189" t="str">
        <f>_xlfn.XLOOKUP($A189,Load!$B:$B,Load!M:M,0,)</f>
        <v>Single Brand / Variety Flavors or Form</v>
      </c>
    </row>
    <row r="190" spans="1:12" x14ac:dyDescent="0.25">
      <c r="B190">
        <f>_xlfn.XLOOKUP($A190,Load!$B:$B,Load!C:C,0,)</f>
        <v>0</v>
      </c>
      <c r="C190">
        <f>_xlfn.XLOOKUP($A190,Load!$B:$B,Load!D:D,0,)</f>
        <v>0</v>
      </c>
      <c r="D190">
        <f>_xlfn.XLOOKUP($A190,Load!$B:$B,Load!E:E,0,)</f>
        <v>0</v>
      </c>
      <c r="E190">
        <f>_xlfn.XLOOKUP($A190,Load!$B:$B,Load!F:F,0,)</f>
        <v>0</v>
      </c>
      <c r="F190">
        <f>_xlfn.XLOOKUP($A190,Load!$B:$B,Load!G:G,0,)</f>
        <v>0</v>
      </c>
      <c r="G190">
        <f>_xlfn.XLOOKUP($A190,Load!$B:$B,Load!H:H,0,)</f>
        <v>0</v>
      </c>
      <c r="H190">
        <f>_xlfn.XLOOKUP($A190,Load!$B:$B,Load!I:I,0,)</f>
        <v>0</v>
      </c>
      <c r="I190">
        <f>_xlfn.XLOOKUP($A190,Load!$B:$B,Load!J:J,0,)</f>
        <v>0</v>
      </c>
      <c r="J190">
        <f>_xlfn.XLOOKUP($A190,Load!$B:$B,Load!K:K,0,)</f>
        <v>0</v>
      </c>
      <c r="K190">
        <f>_xlfn.XLOOKUP($A190,Load!$B:$B,Load!L:L,0,)</f>
        <v>0</v>
      </c>
      <c r="L190">
        <f>_xlfn.XLOOKUP($A190,Load!$B:$B,Load!M:M,0,)</f>
        <v>0</v>
      </c>
    </row>
    <row r="191" spans="1:12" x14ac:dyDescent="0.25">
      <c r="B191">
        <f>_xlfn.XLOOKUP($A191,Load!$B:$B,Load!C:C,0,)</f>
        <v>0</v>
      </c>
      <c r="C191">
        <f>_xlfn.XLOOKUP($A191,Load!$B:$B,Load!D:D,0,)</f>
        <v>0</v>
      </c>
      <c r="D191">
        <f>_xlfn.XLOOKUP($A191,Load!$B:$B,Load!E:E,0,)</f>
        <v>0</v>
      </c>
      <c r="E191">
        <f>_xlfn.XLOOKUP($A191,Load!$B:$B,Load!F:F,0,)</f>
        <v>0</v>
      </c>
      <c r="F191">
        <f>_xlfn.XLOOKUP($A191,Load!$B:$B,Load!G:G,0,)</f>
        <v>0</v>
      </c>
      <c r="G191">
        <f>_xlfn.XLOOKUP($A191,Load!$B:$B,Load!H:H,0,)</f>
        <v>0</v>
      </c>
      <c r="H191">
        <f>_xlfn.XLOOKUP($A191,Load!$B:$B,Load!I:I,0,)</f>
        <v>0</v>
      </c>
      <c r="I191">
        <f>_xlfn.XLOOKUP($A191,Load!$B:$B,Load!J:J,0,)</f>
        <v>0</v>
      </c>
      <c r="J191">
        <f>_xlfn.XLOOKUP($A191,Load!$B:$B,Load!K:K,0,)</f>
        <v>0</v>
      </c>
      <c r="K191">
        <f>_xlfn.XLOOKUP($A191,Load!$B:$B,Load!L:L,0,)</f>
        <v>0</v>
      </c>
      <c r="L191">
        <f>_xlfn.XLOOKUP($A191,Load!$B:$B,Load!M:M,0,)</f>
        <v>0</v>
      </c>
    </row>
    <row r="192" spans="1:12" x14ac:dyDescent="0.25">
      <c r="B192">
        <f>_xlfn.XLOOKUP($A192,Load!$B:$B,Load!C:C,0,)</f>
        <v>0</v>
      </c>
      <c r="C192">
        <f>_xlfn.XLOOKUP($A192,Load!$B:$B,Load!D:D,0,)</f>
        <v>0</v>
      </c>
      <c r="D192">
        <f>_xlfn.XLOOKUP($A192,Load!$B:$B,Load!E:E,0,)</f>
        <v>0</v>
      </c>
      <c r="E192">
        <f>_xlfn.XLOOKUP($A192,Load!$B:$B,Load!F:F,0,)</f>
        <v>0</v>
      </c>
      <c r="F192">
        <f>_xlfn.XLOOKUP($A192,Load!$B:$B,Load!G:G,0,)</f>
        <v>0</v>
      </c>
      <c r="G192">
        <f>_xlfn.XLOOKUP($A192,Load!$B:$B,Load!H:H,0,)</f>
        <v>0</v>
      </c>
      <c r="H192">
        <f>_xlfn.XLOOKUP($A192,Load!$B:$B,Load!I:I,0,)</f>
        <v>0</v>
      </c>
      <c r="I192">
        <f>_xlfn.XLOOKUP($A192,Load!$B:$B,Load!J:J,0,)</f>
        <v>0</v>
      </c>
      <c r="J192">
        <f>_xlfn.XLOOKUP($A192,Load!$B:$B,Load!K:K,0,)</f>
        <v>0</v>
      </c>
      <c r="K192">
        <f>_xlfn.XLOOKUP($A192,Load!$B:$B,Load!L:L,0,)</f>
        <v>0</v>
      </c>
      <c r="L192">
        <f>_xlfn.XLOOKUP($A192,Load!$B:$B,Load!M:M,0,)</f>
        <v>0</v>
      </c>
    </row>
    <row r="193" spans="1:12" x14ac:dyDescent="0.25">
      <c r="B193">
        <f>_xlfn.XLOOKUP($A193,Load!$B:$B,Load!C:C,0,)</f>
        <v>0</v>
      </c>
      <c r="C193">
        <f>_xlfn.XLOOKUP($A193,Load!$B:$B,Load!D:D,0,)</f>
        <v>0</v>
      </c>
      <c r="D193">
        <f>_xlfn.XLOOKUP($A193,Load!$B:$B,Load!E:E,0,)</f>
        <v>0</v>
      </c>
      <c r="E193">
        <f>_xlfn.XLOOKUP($A193,Load!$B:$B,Load!F:F,0,)</f>
        <v>0</v>
      </c>
      <c r="F193">
        <f>_xlfn.XLOOKUP($A193,Load!$B:$B,Load!G:G,0,)</f>
        <v>0</v>
      </c>
      <c r="G193">
        <f>_xlfn.XLOOKUP($A193,Load!$B:$B,Load!H:H,0,)</f>
        <v>0</v>
      </c>
      <c r="H193">
        <f>_xlfn.XLOOKUP($A193,Load!$B:$B,Load!I:I,0,)</f>
        <v>0</v>
      </c>
      <c r="I193">
        <f>_xlfn.XLOOKUP($A193,Load!$B:$B,Load!J:J,0,)</f>
        <v>0</v>
      </c>
      <c r="J193">
        <f>_xlfn.XLOOKUP($A193,Load!$B:$B,Load!K:K,0,)</f>
        <v>0</v>
      </c>
      <c r="K193">
        <f>_xlfn.XLOOKUP($A193,Load!$B:$B,Load!L:L,0,)</f>
        <v>0</v>
      </c>
      <c r="L193">
        <f>_xlfn.XLOOKUP($A193,Load!$B:$B,Load!M:M,0,)</f>
        <v>0</v>
      </c>
    </row>
    <row r="194" spans="1:12" x14ac:dyDescent="0.25">
      <c r="A194" t="s">
        <v>132</v>
      </c>
      <c r="B194" t="str">
        <f>_xlfn.XLOOKUP($A194,Load!$B:$B,Load!C:C,0,)</f>
        <v>Hershey's</v>
      </c>
      <c r="C194" t="str">
        <f>_xlfn.XLOOKUP($A194,Load!$B:$B,Load!D:D,0,)</f>
        <v>Mix of Chocolate and Non-Chocolate Candy</v>
      </c>
      <c r="D194" t="str">
        <f>_xlfn.XLOOKUP($A194,Load!$B:$B,Load!E:E,0,)</f>
        <v>Variety / Mixed Flavors (Fruity, Sour, Seasonal Flavors)</v>
      </c>
      <c r="E194" t="str">
        <f>_xlfn.XLOOKUP($A194,Load!$B:$B,Load!F:F,0,)</f>
        <v>Mixed / Combo Packs (Gummy, Chewy, Taffy, etc.)</v>
      </c>
      <c r="F194" t="str">
        <f>_xlfn.XLOOKUP($A194,Load!$B:$B,Load!G:G,0,)</f>
        <v>Small Multipack (Less than 40 ct)</v>
      </c>
      <c r="G194" t="str">
        <f>_xlfn.XLOOKUP($A194,Load!$B:$B,Load!H:H,0,)</f>
        <v>Laydown Bag</v>
      </c>
      <c r="H194" t="str">
        <f>_xlfn.XLOOKUP($A194,Load!$B:$B,Load!I:I,0,)</f>
        <v>Everyday Candy Shapes (like Original, Gummy bear, Fruit, Jewels, etc.)</v>
      </c>
      <c r="I194" t="str">
        <f>_xlfn.XLOOKUP($A194,Load!$B:$B,Load!J:J,0,)</f>
        <v>Seasonal Graphics (Like Bat, Ghost, Pumpkin, Fall Leaves, Eyeballs, etc.)</v>
      </c>
      <c r="J194" t="str">
        <f>_xlfn.XLOOKUP($A194,Load!$B:$B,Load!K:K,0,)</f>
        <v xml:space="preserve">Variety Candy Sizes </v>
      </c>
      <c r="K194" t="str">
        <f>_xlfn.XLOOKUP($A194,Load!$B:$B,Load!L:L,0,)</f>
        <v>Regular/Original Wrapping</v>
      </c>
      <c r="L194" t="str">
        <f>_xlfn.XLOOKUP($A194,Load!$B:$B,Load!M:M,0,)</f>
        <v>Multiple Brands / Variety Flavors or Form</v>
      </c>
    </row>
    <row r="195" spans="1:12" x14ac:dyDescent="0.25">
      <c r="A195" t="s">
        <v>143</v>
      </c>
      <c r="B195" t="str">
        <f>_xlfn.XLOOKUP($A195,Load!$B:$B,Load!C:C,0,)</f>
        <v>Hershey's Variety Pack + Haribo</v>
      </c>
      <c r="C195" t="str">
        <f>_xlfn.XLOOKUP($A195,Load!$B:$B,Load!D:D,0,)</f>
        <v>Non-Chocolate Candy Only</v>
      </c>
      <c r="D195" t="str">
        <f>_xlfn.XLOOKUP($A195,Load!$B:$B,Load!E:E,0,)</f>
        <v>Variety / Mixed Flavors (Fruity, Sour, Seasonal Flavors)</v>
      </c>
      <c r="E195" t="str">
        <f>_xlfn.XLOOKUP($A195,Load!$B:$B,Load!F:F,0,)</f>
        <v>Mixed / Combo Packs (Gummy, Chewy, Taffy, etc.)</v>
      </c>
      <c r="F195" t="str">
        <f>_xlfn.XLOOKUP($A195,Load!$B:$B,Load!G:G,0,)</f>
        <v>Small Multipack (Less than 40 ct)</v>
      </c>
      <c r="G195" t="str">
        <f>_xlfn.XLOOKUP($A195,Load!$B:$B,Load!H:H,0,)</f>
        <v>Laydown Bag</v>
      </c>
      <c r="H195" t="str">
        <f>_xlfn.XLOOKUP($A195,Load!$B:$B,Load!I:I,0,)</f>
        <v>Seasonal Shapes (like pumpkins, candy corn, ghost, bats, etc.)</v>
      </c>
      <c r="I195" t="str">
        <f>_xlfn.XLOOKUP($A195,Load!$B:$B,Load!J:J,0,)</f>
        <v>Seasonal Graphics (Like Bat, Ghost, Pumpkin, Fall Leaves, Eyeballs, etc.)</v>
      </c>
      <c r="J195" t="str">
        <f>_xlfn.XLOOKUP($A195,Load!$B:$B,Load!K:K,0,)</f>
        <v>Fun Size / Treat Size</v>
      </c>
      <c r="K195" t="str">
        <f>_xlfn.XLOOKUP($A195,Load!$B:$B,Load!L:L,0,)</f>
        <v>Regular/Original Wrapping</v>
      </c>
      <c r="L195" t="str">
        <f>_xlfn.XLOOKUP($A195,Load!$B:$B,Load!M:M,0,)</f>
        <v>Multiple Brands / Variety Flavors or Form</v>
      </c>
    </row>
    <row r="196" spans="1:12" x14ac:dyDescent="0.25">
      <c r="A196" t="s">
        <v>223</v>
      </c>
      <c r="B196" t="str">
        <f>_xlfn.XLOOKUP($A196,Load!$B:$B,Load!C:C,0,)</f>
        <v>Nerds</v>
      </c>
      <c r="C196" t="str">
        <f>_xlfn.XLOOKUP($A196,Load!$B:$B,Load!D:D,0,)</f>
        <v>Non-Chocolate Candy Only</v>
      </c>
      <c r="D196" t="str">
        <f>_xlfn.XLOOKUP($A196,Load!$B:$B,Load!E:E,0,)</f>
        <v>Sweet</v>
      </c>
      <c r="E196" t="str">
        <f>_xlfn.XLOOKUP($A196,Load!$B:$B,Load!F:F,0,)</f>
        <v>Gummy</v>
      </c>
      <c r="F196" t="str">
        <f>_xlfn.XLOOKUP($A196,Load!$B:$B,Load!G:G,0,)</f>
        <v>Small Multipack (Less than 40 ct)</v>
      </c>
      <c r="G196" t="str">
        <f>_xlfn.XLOOKUP($A196,Load!$B:$B,Load!H:H,0,)</f>
        <v>Laydown Bag</v>
      </c>
      <c r="H196" t="str">
        <f>_xlfn.XLOOKUP($A196,Load!$B:$B,Load!I:I,0,)</f>
        <v>Everyday Candy Shapes (like Original, Gummy bear, Fruit, Jewels, etc.)</v>
      </c>
      <c r="I196" t="str">
        <f>_xlfn.XLOOKUP($A196,Load!$B:$B,Load!J:J,0,)</f>
        <v>Seasonal Graphics (Like Bat, Ghost, Pumpkin, Fall Leaves, Eyeballs, etc.)</v>
      </c>
      <c r="J196" t="str">
        <f>_xlfn.XLOOKUP($A196,Load!$B:$B,Load!K:K,0,)</f>
        <v>Small Pieces (Tiny bite size candies)</v>
      </c>
      <c r="K196" t="str">
        <f>_xlfn.XLOOKUP($A196,Load!$B:$B,Load!L:L,0,)</f>
        <v>Regular/Original Wrapping</v>
      </c>
      <c r="L196" t="str">
        <f>_xlfn.XLOOKUP($A196,Load!$B:$B,Load!M:M,0,)</f>
        <v>Single Brand / Variety Flavors or Form</v>
      </c>
    </row>
    <row r="197" spans="1:12" x14ac:dyDescent="0.25">
      <c r="B197">
        <f>_xlfn.XLOOKUP($A197,Load!$B:$B,Load!C:C,0,)</f>
        <v>0</v>
      </c>
      <c r="C197">
        <f>_xlfn.XLOOKUP($A197,Load!$B:$B,Load!D:D,0,)</f>
        <v>0</v>
      </c>
      <c r="D197">
        <f>_xlfn.XLOOKUP($A197,Load!$B:$B,Load!E:E,0,)</f>
        <v>0</v>
      </c>
      <c r="E197">
        <f>_xlfn.XLOOKUP($A197,Load!$B:$B,Load!F:F,0,)</f>
        <v>0</v>
      </c>
      <c r="F197">
        <f>_xlfn.XLOOKUP($A197,Load!$B:$B,Load!G:G,0,)</f>
        <v>0</v>
      </c>
      <c r="G197">
        <f>_xlfn.XLOOKUP($A197,Load!$B:$B,Load!H:H,0,)</f>
        <v>0</v>
      </c>
      <c r="H197">
        <f>_xlfn.XLOOKUP($A197,Load!$B:$B,Load!I:I,0,)</f>
        <v>0</v>
      </c>
      <c r="I197">
        <f>_xlfn.XLOOKUP($A197,Load!$B:$B,Load!J:J,0,)</f>
        <v>0</v>
      </c>
      <c r="J197">
        <f>_xlfn.XLOOKUP($A197,Load!$B:$B,Load!K:K,0,)</f>
        <v>0</v>
      </c>
      <c r="K197">
        <f>_xlfn.XLOOKUP($A197,Load!$B:$B,Load!L:L,0,)</f>
        <v>0</v>
      </c>
      <c r="L197">
        <f>_xlfn.XLOOKUP($A197,Load!$B:$B,Load!M:M,0,)</f>
        <v>0</v>
      </c>
    </row>
    <row r="198" spans="1:12" x14ac:dyDescent="0.25">
      <c r="A198" t="s">
        <v>146</v>
      </c>
      <c r="B198" t="str">
        <f>_xlfn.XLOOKUP($A198,Load!$B:$B,Load!C:C,0,)</f>
        <v>Hi Chew</v>
      </c>
      <c r="C198" t="str">
        <f>_xlfn.XLOOKUP($A198,Load!$B:$B,Load!D:D,0,)</f>
        <v>Non-Chocolate Candy Only</v>
      </c>
      <c r="D198" t="str">
        <f>_xlfn.XLOOKUP($A198,Load!$B:$B,Load!E:E,0,)</f>
        <v>Fruit Flavor (Cherry, Grape, Apple, Citrus, Tropical Fruit)</v>
      </c>
      <c r="E198" t="str">
        <f>_xlfn.XLOOKUP($A198,Load!$B:$B,Load!F:F,0,)</f>
        <v>Gummy</v>
      </c>
      <c r="F198" t="str">
        <f>_xlfn.XLOOKUP($A198,Load!$B:$B,Load!G:G,0,)</f>
        <v>Medium Multipack (40–80 ct)</v>
      </c>
      <c r="G198" t="str">
        <f>_xlfn.XLOOKUP($A198,Load!$B:$B,Load!H:H,0,)</f>
        <v>Stand-Up Bag</v>
      </c>
      <c r="H198" t="str">
        <f>_xlfn.XLOOKUP($A198,Load!$B:$B,Load!I:I,0,)</f>
        <v>Everyday Candy Shapes (like Original, Gummy bear, Fruit, Jewels, etc.)</v>
      </c>
      <c r="I198" t="str">
        <f>_xlfn.XLOOKUP($A198,Load!$B:$B,Load!J:J,0,)</f>
        <v>Seasonal Graphics (Like Bat, Ghost, Pumpkin, Fall Leaves, Eyeballs, etc.)</v>
      </c>
      <c r="J198" t="str">
        <f>_xlfn.XLOOKUP($A198,Load!$B:$B,Load!K:K,0,)</f>
        <v>Fun Size / Treat Size</v>
      </c>
      <c r="K198" t="str">
        <f>_xlfn.XLOOKUP($A198,Load!$B:$B,Load!L:L,0,)</f>
        <v>Regular/Original Wrapping</v>
      </c>
      <c r="L198" t="str">
        <f>_xlfn.XLOOKUP($A198,Load!$B:$B,Load!M:M,0,)</f>
        <v>Multiple Brands / Variety Flavors or Form</v>
      </c>
    </row>
    <row r="199" spans="1:12" x14ac:dyDescent="0.25">
      <c r="B199">
        <f>_xlfn.XLOOKUP($A199,Load!$B:$B,Load!C:C,0,)</f>
        <v>0</v>
      </c>
      <c r="C199">
        <f>_xlfn.XLOOKUP($A199,Load!$B:$B,Load!D:D,0,)</f>
        <v>0</v>
      </c>
      <c r="D199">
        <f>_xlfn.XLOOKUP($A199,Load!$B:$B,Load!E:E,0,)</f>
        <v>0</v>
      </c>
      <c r="E199">
        <f>_xlfn.XLOOKUP($A199,Load!$B:$B,Load!F:F,0,)</f>
        <v>0</v>
      </c>
      <c r="F199">
        <f>_xlfn.XLOOKUP($A199,Load!$B:$B,Load!G:G,0,)</f>
        <v>0</v>
      </c>
      <c r="G199">
        <f>_xlfn.XLOOKUP($A199,Load!$B:$B,Load!H:H,0,)</f>
        <v>0</v>
      </c>
      <c r="H199">
        <f>_xlfn.XLOOKUP($A199,Load!$B:$B,Load!I:I,0,)</f>
        <v>0</v>
      </c>
      <c r="I199">
        <f>_xlfn.XLOOKUP($A199,Load!$B:$B,Load!J:J,0,)</f>
        <v>0</v>
      </c>
      <c r="J199">
        <f>_xlfn.XLOOKUP($A199,Load!$B:$B,Load!K:K,0,)</f>
        <v>0</v>
      </c>
      <c r="K199">
        <f>_xlfn.XLOOKUP($A199,Load!$B:$B,Load!L:L,0,)</f>
        <v>0</v>
      </c>
      <c r="L199">
        <f>_xlfn.XLOOKUP($A199,Load!$B:$B,Load!M:M,0,)</f>
        <v>0</v>
      </c>
    </row>
    <row r="200" spans="1:12" x14ac:dyDescent="0.25">
      <c r="A200" t="s">
        <v>61</v>
      </c>
      <c r="B200" t="str">
        <f>_xlfn.XLOOKUP($A200,Load!$B:$B,Load!C:C,0,)</f>
        <v>Charms</v>
      </c>
      <c r="C200" t="str">
        <f>_xlfn.XLOOKUP($A200,Load!$B:$B,Load!D:D,0,)</f>
        <v>Non-Chocolate Candy Only</v>
      </c>
      <c r="D200" t="str">
        <f>_xlfn.XLOOKUP($A200,Load!$B:$B,Load!E:E,0,)</f>
        <v>Fruit Flavor (Cherry, Grape, Apple, Citrus, Tropical Fruit)</v>
      </c>
      <c r="E200" t="str">
        <f>_xlfn.XLOOKUP($A200,Load!$B:$B,Load!F:F,0,)</f>
        <v>Lollipop (regular or lollipop rings)</v>
      </c>
      <c r="F200" t="str">
        <f>_xlfn.XLOOKUP($A200,Load!$B:$B,Load!G:G,0,)</f>
        <v>Single Pack</v>
      </c>
      <c r="G200" t="str">
        <f>_xlfn.XLOOKUP($A200,Load!$B:$B,Load!H:H,0,)</f>
        <v>Laydown Bag</v>
      </c>
      <c r="H200" t="str">
        <f>_xlfn.XLOOKUP($A200,Load!$B:$B,Load!I:I,0,)</f>
        <v>Everyday Candy Shapes (like Original, Gummy bear, Fruit, Jewels, etc.)</v>
      </c>
      <c r="I200" t="str">
        <f>_xlfn.XLOOKUP($A200,Load!$B:$B,Load!J:J,0,)</f>
        <v>Seasonal Graphics (Like Bat, Ghost, Pumpkin, Fall Leaves, Eyeballs, etc.)</v>
      </c>
      <c r="J200" t="str">
        <f>_xlfn.XLOOKUP($A200,Load!$B:$B,Load!K:K,0,)</f>
        <v>Regular Lollipop size (on sticks or rings)</v>
      </c>
      <c r="K200" t="str">
        <f>_xlfn.XLOOKUP($A200,Load!$B:$B,Load!L:L,0,)</f>
        <v>Regular/Original Wrapping</v>
      </c>
      <c r="L200" t="str">
        <f>_xlfn.XLOOKUP($A200,Load!$B:$B,Load!M:M,0,)</f>
        <v>Single Brand / Variety Flavors or Form</v>
      </c>
    </row>
    <row r="201" spans="1:12" x14ac:dyDescent="0.25">
      <c r="A201" t="s">
        <v>32</v>
      </c>
      <c r="B201" t="str">
        <f>_xlfn.XLOOKUP($A201,Load!$B:$B,Load!C:C,0,)</f>
        <v>Bazooka Brands</v>
      </c>
      <c r="C201" t="str">
        <f>_xlfn.XLOOKUP($A201,Load!$B:$B,Load!D:D,0,)</f>
        <v>Non-Chocolate Candy Only</v>
      </c>
      <c r="D201" t="str">
        <f>_xlfn.XLOOKUP($A201,Load!$B:$B,Load!E:E,0,)</f>
        <v>Sweet</v>
      </c>
      <c r="E201" t="str">
        <f>_xlfn.XLOOKUP($A201,Load!$B:$B,Load!F:F,0,)</f>
        <v>Gummy</v>
      </c>
      <c r="F201" t="str">
        <f>_xlfn.XLOOKUP($A201,Load!$B:$B,Load!G:G,0,)</f>
        <v>Small Multipack (Less than 40 ct)</v>
      </c>
      <c r="G201" t="str">
        <f>_xlfn.XLOOKUP($A201,Load!$B:$B,Load!H:H,0,)</f>
        <v>Stand-Up Bag</v>
      </c>
      <c r="H201" t="str">
        <f>_xlfn.XLOOKUP($A201,Load!$B:$B,Load!I:I,0,)</f>
        <v>Seasonal Shapes (like pumpkins, candy corn, ghost, bats, etc.)</v>
      </c>
      <c r="I201" t="str">
        <f>_xlfn.XLOOKUP($A201,Load!$B:$B,Load!J:J,0,)</f>
        <v>Seasonal Graphics (Like Bat, Ghost, Pumpkin, Fall Leaves, Eyeballs, etc.)</v>
      </c>
      <c r="J201" t="str">
        <f>_xlfn.XLOOKUP($A201,Load!$B:$B,Load!K:K,0,)</f>
        <v>Fun Size / Treat Size</v>
      </c>
      <c r="K201" t="str">
        <f>_xlfn.XLOOKUP($A201,Load!$B:$B,Load!L:L,0,)</f>
        <v>Regular/Original Wrapping</v>
      </c>
      <c r="L201" t="str">
        <f>_xlfn.XLOOKUP($A201,Load!$B:$B,Load!M:M,0,)</f>
        <v>Multiple Brands / Variety Flavors or Form</v>
      </c>
    </row>
    <row r="202" spans="1:12" x14ac:dyDescent="0.25">
      <c r="B202">
        <f>_xlfn.XLOOKUP($A202,Load!$B:$B,Load!C:C,0,)</f>
        <v>0</v>
      </c>
      <c r="C202">
        <f>_xlfn.XLOOKUP($A202,Load!$B:$B,Load!D:D,0,)</f>
        <v>0</v>
      </c>
      <c r="D202">
        <f>_xlfn.XLOOKUP($A202,Load!$B:$B,Load!E:E,0,)</f>
        <v>0</v>
      </c>
      <c r="E202">
        <f>_xlfn.XLOOKUP($A202,Load!$B:$B,Load!F:F,0,)</f>
        <v>0</v>
      </c>
      <c r="F202">
        <f>_xlfn.XLOOKUP($A202,Load!$B:$B,Load!G:G,0,)</f>
        <v>0</v>
      </c>
      <c r="G202">
        <f>_xlfn.XLOOKUP($A202,Load!$B:$B,Load!H:H,0,)</f>
        <v>0</v>
      </c>
      <c r="H202">
        <f>_xlfn.XLOOKUP($A202,Load!$B:$B,Load!I:I,0,)</f>
        <v>0</v>
      </c>
      <c r="I202">
        <f>_xlfn.XLOOKUP($A202,Load!$B:$B,Load!J:J,0,)</f>
        <v>0</v>
      </c>
      <c r="J202">
        <f>_xlfn.XLOOKUP($A202,Load!$B:$B,Load!K:K,0,)</f>
        <v>0</v>
      </c>
      <c r="K202">
        <f>_xlfn.XLOOKUP($A202,Load!$B:$B,Load!L:L,0,)</f>
        <v>0</v>
      </c>
      <c r="L202">
        <f>_xlfn.XLOOKUP($A202,Load!$B:$B,Load!M:M,0,)</f>
        <v>0</v>
      </c>
    </row>
    <row r="203" spans="1:12" x14ac:dyDescent="0.25">
      <c r="B203">
        <f>_xlfn.XLOOKUP($A203,Load!$B:$B,Load!C:C,0,)</f>
        <v>0</v>
      </c>
      <c r="C203">
        <f>_xlfn.XLOOKUP($A203,Load!$B:$B,Load!D:D,0,)</f>
        <v>0</v>
      </c>
      <c r="D203">
        <f>_xlfn.XLOOKUP($A203,Load!$B:$B,Load!E:E,0,)</f>
        <v>0</v>
      </c>
      <c r="E203">
        <f>_xlfn.XLOOKUP($A203,Load!$B:$B,Load!F:F,0,)</f>
        <v>0</v>
      </c>
      <c r="F203">
        <f>_xlfn.XLOOKUP($A203,Load!$B:$B,Load!G:G,0,)</f>
        <v>0</v>
      </c>
      <c r="G203">
        <f>_xlfn.XLOOKUP($A203,Load!$B:$B,Load!H:H,0,)</f>
        <v>0</v>
      </c>
      <c r="H203">
        <f>_xlfn.XLOOKUP($A203,Load!$B:$B,Load!I:I,0,)</f>
        <v>0</v>
      </c>
      <c r="I203">
        <f>_xlfn.XLOOKUP($A203,Load!$B:$B,Load!J:J,0,)</f>
        <v>0</v>
      </c>
      <c r="J203">
        <f>_xlfn.XLOOKUP($A203,Load!$B:$B,Load!K:K,0,)</f>
        <v>0</v>
      </c>
      <c r="K203">
        <f>_xlfn.XLOOKUP($A203,Load!$B:$B,Load!L:L,0,)</f>
        <v>0</v>
      </c>
      <c r="L203">
        <f>_xlfn.XLOOKUP($A203,Load!$B:$B,Load!M:M,0,)</f>
        <v>0</v>
      </c>
    </row>
    <row r="204" spans="1:12" x14ac:dyDescent="0.25">
      <c r="B204">
        <f>_xlfn.XLOOKUP($A204,Load!$B:$B,Load!C:C,0,)</f>
        <v>0</v>
      </c>
      <c r="C204">
        <f>_xlfn.XLOOKUP($A204,Load!$B:$B,Load!D:D,0,)</f>
        <v>0</v>
      </c>
      <c r="D204">
        <f>_xlfn.XLOOKUP($A204,Load!$B:$B,Load!E:E,0,)</f>
        <v>0</v>
      </c>
      <c r="E204">
        <f>_xlfn.XLOOKUP($A204,Load!$B:$B,Load!F:F,0,)</f>
        <v>0</v>
      </c>
      <c r="F204">
        <f>_xlfn.XLOOKUP($A204,Load!$B:$B,Load!G:G,0,)</f>
        <v>0</v>
      </c>
      <c r="G204">
        <f>_xlfn.XLOOKUP($A204,Load!$B:$B,Load!H:H,0,)</f>
        <v>0</v>
      </c>
      <c r="H204">
        <f>_xlfn.XLOOKUP($A204,Load!$B:$B,Load!I:I,0,)</f>
        <v>0</v>
      </c>
      <c r="I204">
        <f>_xlfn.XLOOKUP($A204,Load!$B:$B,Load!J:J,0,)</f>
        <v>0</v>
      </c>
      <c r="J204">
        <f>_xlfn.XLOOKUP($A204,Load!$B:$B,Load!K:K,0,)</f>
        <v>0</v>
      </c>
      <c r="K204">
        <f>_xlfn.XLOOKUP($A204,Load!$B:$B,Load!L:L,0,)</f>
        <v>0</v>
      </c>
      <c r="L204">
        <f>_xlfn.XLOOKUP($A204,Load!$B:$B,Load!M:M,0,)</f>
        <v>0</v>
      </c>
    </row>
    <row r="205" spans="1:12" x14ac:dyDescent="0.25">
      <c r="B205">
        <f>_xlfn.XLOOKUP($A205,Load!$B:$B,Load!C:C,0,)</f>
        <v>0</v>
      </c>
      <c r="C205">
        <f>_xlfn.XLOOKUP($A205,Load!$B:$B,Load!D:D,0,)</f>
        <v>0</v>
      </c>
      <c r="D205">
        <f>_xlfn.XLOOKUP($A205,Load!$B:$B,Load!E:E,0,)</f>
        <v>0</v>
      </c>
      <c r="E205">
        <f>_xlfn.XLOOKUP($A205,Load!$B:$B,Load!F:F,0,)</f>
        <v>0</v>
      </c>
      <c r="F205">
        <f>_xlfn.XLOOKUP($A205,Load!$B:$B,Load!G:G,0,)</f>
        <v>0</v>
      </c>
      <c r="G205">
        <f>_xlfn.XLOOKUP($A205,Load!$B:$B,Load!H:H,0,)</f>
        <v>0</v>
      </c>
      <c r="H205">
        <f>_xlfn.XLOOKUP($A205,Load!$B:$B,Load!I:I,0,)</f>
        <v>0</v>
      </c>
      <c r="I205">
        <f>_xlfn.XLOOKUP($A205,Load!$B:$B,Load!J:J,0,)</f>
        <v>0</v>
      </c>
      <c r="J205">
        <f>_xlfn.XLOOKUP($A205,Load!$B:$B,Load!K:K,0,)</f>
        <v>0</v>
      </c>
      <c r="K205">
        <f>_xlfn.XLOOKUP($A205,Load!$B:$B,Load!L:L,0,)</f>
        <v>0</v>
      </c>
      <c r="L205">
        <f>_xlfn.XLOOKUP($A205,Load!$B:$B,Load!M:M,0,)</f>
        <v>0</v>
      </c>
    </row>
    <row r="206" spans="1:12" x14ac:dyDescent="0.25">
      <c r="B206">
        <f>_xlfn.XLOOKUP($A206,Load!$B:$B,Load!C:C,0,)</f>
        <v>0</v>
      </c>
      <c r="C206">
        <f>_xlfn.XLOOKUP($A206,Load!$B:$B,Load!D:D,0,)</f>
        <v>0</v>
      </c>
      <c r="D206">
        <f>_xlfn.XLOOKUP($A206,Load!$B:$B,Load!E:E,0,)</f>
        <v>0</v>
      </c>
      <c r="E206">
        <f>_xlfn.XLOOKUP($A206,Load!$B:$B,Load!F:F,0,)</f>
        <v>0</v>
      </c>
      <c r="F206">
        <f>_xlfn.XLOOKUP($A206,Load!$B:$B,Load!G:G,0,)</f>
        <v>0</v>
      </c>
      <c r="G206">
        <f>_xlfn.XLOOKUP($A206,Load!$B:$B,Load!H:H,0,)</f>
        <v>0</v>
      </c>
      <c r="H206">
        <f>_xlfn.XLOOKUP($A206,Load!$B:$B,Load!I:I,0,)</f>
        <v>0</v>
      </c>
      <c r="I206">
        <f>_xlfn.XLOOKUP($A206,Load!$B:$B,Load!J:J,0,)</f>
        <v>0</v>
      </c>
      <c r="J206">
        <f>_xlfn.XLOOKUP($A206,Load!$B:$B,Load!K:K,0,)</f>
        <v>0</v>
      </c>
      <c r="K206">
        <f>_xlfn.XLOOKUP($A206,Load!$B:$B,Load!L:L,0,)</f>
        <v>0</v>
      </c>
      <c r="L206">
        <f>_xlfn.XLOOKUP($A206,Load!$B:$B,Load!M:M,0,)</f>
        <v>0</v>
      </c>
    </row>
    <row r="207" spans="1:12" x14ac:dyDescent="0.25">
      <c r="B207">
        <f>_xlfn.XLOOKUP($A207,Load!$B:$B,Load!C:C,0,)</f>
        <v>0</v>
      </c>
      <c r="C207">
        <f>_xlfn.XLOOKUP($A207,Load!$B:$B,Load!D:D,0,)</f>
        <v>0</v>
      </c>
      <c r="D207">
        <f>_xlfn.XLOOKUP($A207,Load!$B:$B,Load!E:E,0,)</f>
        <v>0</v>
      </c>
      <c r="E207">
        <f>_xlfn.XLOOKUP($A207,Load!$B:$B,Load!F:F,0,)</f>
        <v>0</v>
      </c>
      <c r="F207">
        <f>_xlfn.XLOOKUP($A207,Load!$B:$B,Load!G:G,0,)</f>
        <v>0</v>
      </c>
      <c r="G207">
        <f>_xlfn.XLOOKUP($A207,Load!$B:$B,Load!H:H,0,)</f>
        <v>0</v>
      </c>
      <c r="H207">
        <f>_xlfn.XLOOKUP($A207,Load!$B:$B,Load!I:I,0,)</f>
        <v>0</v>
      </c>
      <c r="I207">
        <f>_xlfn.XLOOKUP($A207,Load!$B:$B,Load!J:J,0,)</f>
        <v>0</v>
      </c>
      <c r="J207">
        <f>_xlfn.XLOOKUP($A207,Load!$B:$B,Load!K:K,0,)</f>
        <v>0</v>
      </c>
      <c r="K207">
        <f>_xlfn.XLOOKUP($A207,Load!$B:$B,Load!L:L,0,)</f>
        <v>0</v>
      </c>
      <c r="L207">
        <f>_xlfn.XLOOKUP($A207,Load!$B:$B,Load!M:M,0,)</f>
        <v>0</v>
      </c>
    </row>
    <row r="208" spans="1:12" x14ac:dyDescent="0.25">
      <c r="B208">
        <f>_xlfn.XLOOKUP($A208,Load!$B:$B,Load!C:C,0,)</f>
        <v>0</v>
      </c>
      <c r="C208">
        <f>_xlfn.XLOOKUP($A208,Load!$B:$B,Load!D:D,0,)</f>
        <v>0</v>
      </c>
      <c r="D208">
        <f>_xlfn.XLOOKUP($A208,Load!$B:$B,Load!E:E,0,)</f>
        <v>0</v>
      </c>
      <c r="E208">
        <f>_xlfn.XLOOKUP($A208,Load!$B:$B,Load!F:F,0,)</f>
        <v>0</v>
      </c>
      <c r="F208">
        <f>_xlfn.XLOOKUP($A208,Load!$B:$B,Load!G:G,0,)</f>
        <v>0</v>
      </c>
      <c r="G208">
        <f>_xlfn.XLOOKUP($A208,Load!$B:$B,Load!H:H,0,)</f>
        <v>0</v>
      </c>
      <c r="H208">
        <f>_xlfn.XLOOKUP($A208,Load!$B:$B,Load!I:I,0,)</f>
        <v>0</v>
      </c>
      <c r="I208">
        <f>_xlfn.XLOOKUP($A208,Load!$B:$B,Load!J:J,0,)</f>
        <v>0</v>
      </c>
      <c r="J208">
        <f>_xlfn.XLOOKUP($A208,Load!$B:$B,Load!K:K,0,)</f>
        <v>0</v>
      </c>
      <c r="K208">
        <f>_xlfn.XLOOKUP($A208,Load!$B:$B,Load!L:L,0,)</f>
        <v>0</v>
      </c>
      <c r="L208">
        <f>_xlfn.XLOOKUP($A208,Load!$B:$B,Load!M:M,0,)</f>
        <v>0</v>
      </c>
    </row>
    <row r="209" spans="1:12" x14ac:dyDescent="0.25">
      <c r="B209">
        <f>_xlfn.XLOOKUP($A209,Load!$B:$B,Load!C:C,0,)</f>
        <v>0</v>
      </c>
      <c r="C209">
        <f>_xlfn.XLOOKUP($A209,Load!$B:$B,Load!D:D,0,)</f>
        <v>0</v>
      </c>
      <c r="D209">
        <f>_xlfn.XLOOKUP($A209,Load!$B:$B,Load!E:E,0,)</f>
        <v>0</v>
      </c>
      <c r="E209">
        <f>_xlfn.XLOOKUP($A209,Load!$B:$B,Load!F:F,0,)</f>
        <v>0</v>
      </c>
      <c r="F209">
        <f>_xlfn.XLOOKUP($A209,Load!$B:$B,Load!G:G,0,)</f>
        <v>0</v>
      </c>
      <c r="G209">
        <f>_xlfn.XLOOKUP($A209,Load!$B:$B,Load!H:H,0,)</f>
        <v>0</v>
      </c>
      <c r="H209">
        <f>_xlfn.XLOOKUP($A209,Load!$B:$B,Load!I:I,0,)</f>
        <v>0</v>
      </c>
      <c r="I209">
        <f>_xlfn.XLOOKUP($A209,Load!$B:$B,Load!J:J,0,)</f>
        <v>0</v>
      </c>
      <c r="J209">
        <f>_xlfn.XLOOKUP($A209,Load!$B:$B,Load!K:K,0,)</f>
        <v>0</v>
      </c>
      <c r="K209">
        <f>_xlfn.XLOOKUP($A209,Load!$B:$B,Load!L:L,0,)</f>
        <v>0</v>
      </c>
      <c r="L209">
        <f>_xlfn.XLOOKUP($A209,Load!$B:$B,Load!M:M,0,)</f>
        <v>0</v>
      </c>
    </row>
    <row r="210" spans="1:12" x14ac:dyDescent="0.25">
      <c r="B210">
        <f>_xlfn.XLOOKUP($A210,Load!$B:$B,Load!C:C,0,)</f>
        <v>0</v>
      </c>
      <c r="C210">
        <f>_xlfn.XLOOKUP($A210,Load!$B:$B,Load!D:D,0,)</f>
        <v>0</v>
      </c>
      <c r="D210">
        <f>_xlfn.XLOOKUP($A210,Load!$B:$B,Load!E:E,0,)</f>
        <v>0</v>
      </c>
      <c r="E210">
        <f>_xlfn.XLOOKUP($A210,Load!$B:$B,Load!F:F,0,)</f>
        <v>0</v>
      </c>
      <c r="F210">
        <f>_xlfn.XLOOKUP($A210,Load!$B:$B,Load!G:G,0,)</f>
        <v>0</v>
      </c>
      <c r="G210">
        <f>_xlfn.XLOOKUP($A210,Load!$B:$B,Load!H:H,0,)</f>
        <v>0</v>
      </c>
      <c r="H210">
        <f>_xlfn.XLOOKUP($A210,Load!$B:$B,Load!I:I,0,)</f>
        <v>0</v>
      </c>
      <c r="I210">
        <f>_xlfn.XLOOKUP($A210,Load!$B:$B,Load!J:J,0,)</f>
        <v>0</v>
      </c>
      <c r="J210">
        <f>_xlfn.XLOOKUP($A210,Load!$B:$B,Load!K:K,0,)</f>
        <v>0</v>
      </c>
      <c r="K210">
        <f>_xlfn.XLOOKUP($A210,Load!$B:$B,Load!L:L,0,)</f>
        <v>0</v>
      </c>
      <c r="L210">
        <f>_xlfn.XLOOKUP($A210,Load!$B:$B,Load!M:M,0,)</f>
        <v>0</v>
      </c>
    </row>
    <row r="211" spans="1:12" x14ac:dyDescent="0.25">
      <c r="B211">
        <f>_xlfn.XLOOKUP($A211,Load!$B:$B,Load!C:C,0,)</f>
        <v>0</v>
      </c>
      <c r="C211">
        <f>_xlfn.XLOOKUP($A211,Load!$B:$B,Load!D:D,0,)</f>
        <v>0</v>
      </c>
      <c r="D211">
        <f>_xlfn.XLOOKUP($A211,Load!$B:$B,Load!E:E,0,)</f>
        <v>0</v>
      </c>
      <c r="E211">
        <f>_xlfn.XLOOKUP($A211,Load!$B:$B,Load!F:F,0,)</f>
        <v>0</v>
      </c>
      <c r="F211">
        <f>_xlfn.XLOOKUP($A211,Load!$B:$B,Load!G:G,0,)</f>
        <v>0</v>
      </c>
      <c r="G211">
        <f>_xlfn.XLOOKUP($A211,Load!$B:$B,Load!H:H,0,)</f>
        <v>0</v>
      </c>
      <c r="H211">
        <f>_xlfn.XLOOKUP($A211,Load!$B:$B,Load!I:I,0,)</f>
        <v>0</v>
      </c>
      <c r="I211">
        <f>_xlfn.XLOOKUP($A211,Load!$B:$B,Load!J:J,0,)</f>
        <v>0</v>
      </c>
      <c r="J211">
        <f>_xlfn.XLOOKUP($A211,Load!$B:$B,Load!K:K,0,)</f>
        <v>0</v>
      </c>
      <c r="K211">
        <f>_xlfn.XLOOKUP($A211,Load!$B:$B,Load!L:L,0,)</f>
        <v>0</v>
      </c>
      <c r="L211">
        <f>_xlfn.XLOOKUP($A211,Load!$B:$B,Load!M:M,0,)</f>
        <v>0</v>
      </c>
    </row>
    <row r="212" spans="1:12" x14ac:dyDescent="0.25">
      <c r="A212" t="s">
        <v>317</v>
      </c>
      <c r="B212" t="str">
        <f>_xlfn.XLOOKUP($A212,Load!$B:$B,Load!C:C,0,)</f>
        <v>YumEarth</v>
      </c>
      <c r="C212" t="str">
        <f>_xlfn.XLOOKUP($A212,Load!$B:$B,Load!D:D,0,)</f>
        <v>Non-Chocolate Candy Only</v>
      </c>
      <c r="D212" t="str">
        <f>_xlfn.XLOOKUP($A212,Load!$B:$B,Load!E:E,0,)</f>
        <v>Fruit Flavor (Cherry, Grape, Apple, Citrus, Tropical Fruit)</v>
      </c>
      <c r="E212" t="str">
        <f>_xlfn.XLOOKUP($A212,Load!$B:$B,Load!F:F,0,)</f>
        <v>Chewy</v>
      </c>
      <c r="F212" t="str">
        <f>_xlfn.XLOOKUP($A212,Load!$B:$B,Load!G:G,0,)</f>
        <v>Small Multipack (Less than 40 ct)</v>
      </c>
      <c r="G212" t="str">
        <f>_xlfn.XLOOKUP($A212,Load!$B:$B,Load!H:H,0,)</f>
        <v>Box (theatre box, gift box, carton)</v>
      </c>
      <c r="H212" t="str">
        <f>_xlfn.XLOOKUP($A212,Load!$B:$B,Load!I:I,0,)</f>
        <v>Everyday Candy Shapes (like Original, Gummy bear, Fruit, Jewels, etc.)</v>
      </c>
      <c r="I212" t="str">
        <f>_xlfn.XLOOKUP($A212,Load!$B:$B,Load!J:J,0,)</f>
        <v>Everyday Graphics</v>
      </c>
      <c r="J212" t="str">
        <f>_xlfn.XLOOKUP($A212,Load!$B:$B,Load!K:K,0,)</f>
        <v>Small Pieces (Tiny bite size candies)</v>
      </c>
      <c r="K212" t="str">
        <f>_xlfn.XLOOKUP($A212,Load!$B:$B,Load!L:L,0,)</f>
        <v>Regular/Original Wrapping</v>
      </c>
      <c r="L212" t="str">
        <f>_xlfn.XLOOKUP($A212,Load!$B:$B,Load!M:M,0,)</f>
        <v>Single Brand / Variety Flavors or Form</v>
      </c>
    </row>
    <row r="213" spans="1:12" x14ac:dyDescent="0.25">
      <c r="A213" t="s">
        <v>318</v>
      </c>
      <c r="B213" t="str">
        <f>_xlfn.XLOOKUP($A213,Load!$B:$B,Load!C:C,0,)</f>
        <v>YumEarth</v>
      </c>
      <c r="C213" t="str">
        <f>_xlfn.XLOOKUP($A213,Load!$B:$B,Load!D:D,0,)</f>
        <v>Non-Chocolate Candy Only</v>
      </c>
      <c r="D213" t="str">
        <f>_xlfn.XLOOKUP($A213,Load!$B:$B,Load!E:E,0,)</f>
        <v>Variety / Mixed Flavors (Fruity, Sour, Seasonal Flavors)</v>
      </c>
      <c r="E213" t="str">
        <f>_xlfn.XLOOKUP($A213,Load!$B:$B,Load!F:F,0,)</f>
        <v>Chewy</v>
      </c>
      <c r="F213" t="str">
        <f>_xlfn.XLOOKUP($A213,Load!$B:$B,Load!G:G,0,)</f>
        <v>Small Multipack (Less than 40 ct)</v>
      </c>
      <c r="G213" t="str">
        <f>_xlfn.XLOOKUP($A213,Load!$B:$B,Load!H:H,0,)</f>
        <v>Box (theatre box, gift box, carton)</v>
      </c>
      <c r="H213" t="str">
        <f>_xlfn.XLOOKUP($A213,Load!$B:$B,Load!I:I,0,)</f>
        <v>Everyday Candy Shapes (like Original, Gummy bear, Fruit, Jewels, etc.)</v>
      </c>
      <c r="I213" t="str">
        <f>_xlfn.XLOOKUP($A213,Load!$B:$B,Load!J:J,0,)</f>
        <v>Everyday Graphics</v>
      </c>
      <c r="J213" t="str">
        <f>_xlfn.XLOOKUP($A213,Load!$B:$B,Load!K:K,0,)</f>
        <v>Small Pieces (Tiny bite size candies)</v>
      </c>
      <c r="K213" t="str">
        <f>_xlfn.XLOOKUP($A213,Load!$B:$B,Load!L:L,0,)</f>
        <v>Regular/Original Wrapping</v>
      </c>
      <c r="L213" t="str">
        <f>_xlfn.XLOOKUP($A213,Load!$B:$B,Load!M:M,0,)</f>
        <v>Single Brand / Variety Flavors or Form</v>
      </c>
    </row>
    <row r="214" spans="1:12" x14ac:dyDescent="0.25">
      <c r="A214" t="s">
        <v>148</v>
      </c>
      <c r="B214" t="str">
        <f>_xlfn.XLOOKUP($A214,Load!$B:$B,Load!C:C,0,)</f>
        <v>Jelly Belly</v>
      </c>
      <c r="C214" t="str">
        <f>_xlfn.XLOOKUP($A214,Load!$B:$B,Load!D:D,0,)</f>
        <v>Non-Chocolate Candy Only</v>
      </c>
      <c r="D214" t="str">
        <f>_xlfn.XLOOKUP($A214,Load!$B:$B,Load!E:E,0,)</f>
        <v>Variety / Mixed Flavors (Fruity, Sour, Seasonal Flavors)</v>
      </c>
      <c r="E214" t="str">
        <f>_xlfn.XLOOKUP($A214,Load!$B:$B,Load!F:F,0,)</f>
        <v>Candy Pieces / Bites</v>
      </c>
      <c r="F214" t="str">
        <f>_xlfn.XLOOKUP($A214,Load!$B:$B,Load!G:G,0,)</f>
        <v>Single Pack</v>
      </c>
      <c r="G214" t="str">
        <f>_xlfn.XLOOKUP($A214,Load!$B:$B,Load!H:H,0,)</f>
        <v>Stand-Up Bag</v>
      </c>
      <c r="H214" t="str">
        <f>_xlfn.XLOOKUP($A214,Load!$B:$B,Load!I:I,0,)</f>
        <v>Everyday Candy Shapes (like Original, Gummy bear, Fruit, Jewels, etc.)</v>
      </c>
      <c r="I214" t="str">
        <f>_xlfn.XLOOKUP($A214,Load!$B:$B,Load!J:J,0,)</f>
        <v>Seasonal Graphics (Like Bat, Ghost, Pumpkin, Fall Leaves, Eyeballs, etc.)</v>
      </c>
      <c r="J214" t="str">
        <f>_xlfn.XLOOKUP($A214,Load!$B:$B,Load!K:K,0,)</f>
        <v>Small Pieces (Tiny bite size candies)</v>
      </c>
      <c r="K214" t="str">
        <f>_xlfn.XLOOKUP($A214,Load!$B:$B,Load!L:L,0,)</f>
        <v>Unwrapped</v>
      </c>
      <c r="L214" t="str">
        <f>_xlfn.XLOOKUP($A214,Load!$B:$B,Load!M:M,0,)</f>
        <v>Single Brand / Variety Flavors or Form</v>
      </c>
    </row>
    <row r="215" spans="1:12" x14ac:dyDescent="0.25">
      <c r="B215">
        <f>_xlfn.XLOOKUP($A215,Load!$B:$B,Load!C:C,0,)</f>
        <v>0</v>
      </c>
      <c r="C215">
        <f>_xlfn.XLOOKUP($A215,Load!$B:$B,Load!D:D,0,)</f>
        <v>0</v>
      </c>
      <c r="D215">
        <f>_xlfn.XLOOKUP($A215,Load!$B:$B,Load!E:E,0,)</f>
        <v>0</v>
      </c>
      <c r="E215">
        <f>_xlfn.XLOOKUP($A215,Load!$B:$B,Load!F:F,0,)</f>
        <v>0</v>
      </c>
      <c r="F215">
        <f>_xlfn.XLOOKUP($A215,Load!$B:$B,Load!G:G,0,)</f>
        <v>0</v>
      </c>
      <c r="G215">
        <f>_xlfn.XLOOKUP($A215,Load!$B:$B,Load!H:H,0,)</f>
        <v>0</v>
      </c>
      <c r="H215">
        <f>_xlfn.XLOOKUP($A215,Load!$B:$B,Load!I:I,0,)</f>
        <v>0</v>
      </c>
      <c r="I215">
        <f>_xlfn.XLOOKUP($A215,Load!$B:$B,Load!J:J,0,)</f>
        <v>0</v>
      </c>
      <c r="J215">
        <f>_xlfn.XLOOKUP($A215,Load!$B:$B,Load!K:K,0,)</f>
        <v>0</v>
      </c>
      <c r="K215">
        <f>_xlfn.XLOOKUP($A215,Load!$B:$B,Load!L:L,0,)</f>
        <v>0</v>
      </c>
      <c r="L215">
        <f>_xlfn.XLOOKUP($A215,Load!$B:$B,Load!M:M,0,)</f>
        <v>0</v>
      </c>
    </row>
    <row r="216" spans="1:12" x14ac:dyDescent="0.25">
      <c r="A216" t="s">
        <v>285</v>
      </c>
      <c r="B216" t="str">
        <f>_xlfn.XLOOKUP($A216,Load!$B:$B,Load!C:C,0,)</f>
        <v>Starburst</v>
      </c>
      <c r="C216" t="str">
        <f>_xlfn.XLOOKUP($A216,Load!$B:$B,Load!D:D,0,)</f>
        <v>Non-Chocolate Candy Only</v>
      </c>
      <c r="D216" t="str">
        <f>_xlfn.XLOOKUP($A216,Load!$B:$B,Load!E:E,0,)</f>
        <v>Fruit Flavor (Cherry, Grape, Apple, Citrus, Tropical Fruit)</v>
      </c>
      <c r="E216" t="str">
        <f>_xlfn.XLOOKUP($A216,Load!$B:$B,Load!F:F,0,)</f>
        <v>Chewy</v>
      </c>
      <c r="F216" t="str">
        <f>_xlfn.XLOOKUP($A216,Load!$B:$B,Load!G:G,0,)</f>
        <v>Small Multipack (Less than 40 ct)</v>
      </c>
      <c r="G216" t="str">
        <f>_xlfn.XLOOKUP($A216,Load!$B:$B,Load!H:H,0,)</f>
        <v>Laydown Bag</v>
      </c>
      <c r="H216" t="str">
        <f>_xlfn.XLOOKUP($A216,Load!$B:$B,Load!I:I,0,)</f>
        <v>Everyday Candy Shapes (like Original, Gummy bear, Fruit, Jewels, etc.)</v>
      </c>
      <c r="I216" t="str">
        <f>_xlfn.XLOOKUP($A216,Load!$B:$B,Load!J:J,0,)</f>
        <v>Everyday Graphics</v>
      </c>
      <c r="J216" t="str">
        <f>_xlfn.XLOOKUP($A216,Load!$B:$B,Load!K:K,0,)</f>
        <v>Small Pieces (Tiny bite size candies)</v>
      </c>
      <c r="K216" t="str">
        <f>_xlfn.XLOOKUP($A216,Load!$B:$B,Load!L:L,0,)</f>
        <v>Regular/Original Wrapping</v>
      </c>
      <c r="L216" t="str">
        <f>_xlfn.XLOOKUP($A216,Load!$B:$B,Load!M:M,0,)</f>
        <v>Single Brand / Variety Flavors or Form</v>
      </c>
    </row>
    <row r="217" spans="1:12" x14ac:dyDescent="0.25">
      <c r="B217">
        <f>_xlfn.XLOOKUP($A217,Load!$B:$B,Load!C:C,0,)</f>
        <v>0</v>
      </c>
      <c r="C217">
        <f>_xlfn.XLOOKUP($A217,Load!$B:$B,Load!D:D,0,)</f>
        <v>0</v>
      </c>
      <c r="D217">
        <f>_xlfn.XLOOKUP($A217,Load!$B:$B,Load!E:E,0,)</f>
        <v>0</v>
      </c>
      <c r="E217">
        <f>_xlfn.XLOOKUP($A217,Load!$B:$B,Load!F:F,0,)</f>
        <v>0</v>
      </c>
      <c r="F217">
        <f>_xlfn.XLOOKUP($A217,Load!$B:$B,Load!G:G,0,)</f>
        <v>0</v>
      </c>
      <c r="G217">
        <f>_xlfn.XLOOKUP($A217,Load!$B:$B,Load!H:H,0,)</f>
        <v>0</v>
      </c>
      <c r="H217">
        <f>_xlfn.XLOOKUP($A217,Load!$B:$B,Load!I:I,0,)</f>
        <v>0</v>
      </c>
      <c r="I217">
        <f>_xlfn.XLOOKUP($A217,Load!$B:$B,Load!J:J,0,)</f>
        <v>0</v>
      </c>
      <c r="J217">
        <f>_xlfn.XLOOKUP($A217,Load!$B:$B,Load!K:K,0,)</f>
        <v>0</v>
      </c>
      <c r="K217">
        <f>_xlfn.XLOOKUP($A217,Load!$B:$B,Load!L:L,0,)</f>
        <v>0</v>
      </c>
      <c r="L217">
        <f>_xlfn.XLOOKUP($A217,Load!$B:$B,Load!M:M,0,)</f>
        <v>0</v>
      </c>
    </row>
    <row r="218" spans="1:12" x14ac:dyDescent="0.25">
      <c r="B218">
        <f>_xlfn.XLOOKUP($A218,Load!$B:$B,Load!C:C,0,)</f>
        <v>0</v>
      </c>
      <c r="C218">
        <f>_xlfn.XLOOKUP($A218,Load!$B:$B,Load!D:D,0,)</f>
        <v>0</v>
      </c>
      <c r="D218">
        <f>_xlfn.XLOOKUP($A218,Load!$B:$B,Load!E:E,0,)</f>
        <v>0</v>
      </c>
      <c r="E218">
        <f>_xlfn.XLOOKUP($A218,Load!$B:$B,Load!F:F,0,)</f>
        <v>0</v>
      </c>
      <c r="F218">
        <f>_xlfn.XLOOKUP($A218,Load!$B:$B,Load!G:G,0,)</f>
        <v>0</v>
      </c>
      <c r="G218">
        <f>_xlfn.XLOOKUP($A218,Load!$B:$B,Load!H:H,0,)</f>
        <v>0</v>
      </c>
      <c r="H218">
        <f>_xlfn.XLOOKUP($A218,Load!$B:$B,Load!I:I,0,)</f>
        <v>0</v>
      </c>
      <c r="I218">
        <f>_xlfn.XLOOKUP($A218,Load!$B:$B,Load!J:J,0,)</f>
        <v>0</v>
      </c>
      <c r="J218">
        <f>_xlfn.XLOOKUP($A218,Load!$B:$B,Load!K:K,0,)</f>
        <v>0</v>
      </c>
      <c r="K218">
        <f>_xlfn.XLOOKUP($A218,Load!$B:$B,Load!L:L,0,)</f>
        <v>0</v>
      </c>
      <c r="L218">
        <f>_xlfn.XLOOKUP($A218,Load!$B:$B,Load!M:M,0,)</f>
        <v>0</v>
      </c>
    </row>
    <row r="219" spans="1:12" x14ac:dyDescent="0.25">
      <c r="B219">
        <f>_xlfn.XLOOKUP($A219,Load!$B:$B,Load!C:C,0,)</f>
        <v>0</v>
      </c>
      <c r="C219">
        <f>_xlfn.XLOOKUP($A219,Load!$B:$B,Load!D:D,0,)</f>
        <v>0</v>
      </c>
      <c r="D219">
        <f>_xlfn.XLOOKUP($A219,Load!$B:$B,Load!E:E,0,)</f>
        <v>0</v>
      </c>
      <c r="E219">
        <f>_xlfn.XLOOKUP($A219,Load!$B:$B,Load!F:F,0,)</f>
        <v>0</v>
      </c>
      <c r="F219">
        <f>_xlfn.XLOOKUP($A219,Load!$B:$B,Load!G:G,0,)</f>
        <v>0</v>
      </c>
      <c r="G219">
        <f>_xlfn.XLOOKUP($A219,Load!$B:$B,Load!H:H,0,)</f>
        <v>0</v>
      </c>
      <c r="H219">
        <f>_xlfn.XLOOKUP($A219,Load!$B:$B,Load!I:I,0,)</f>
        <v>0</v>
      </c>
      <c r="I219">
        <f>_xlfn.XLOOKUP($A219,Load!$B:$B,Load!J:J,0,)</f>
        <v>0</v>
      </c>
      <c r="J219">
        <f>_xlfn.XLOOKUP($A219,Load!$B:$B,Load!K:K,0,)</f>
        <v>0</v>
      </c>
      <c r="K219">
        <f>_xlfn.XLOOKUP($A219,Load!$B:$B,Load!L:L,0,)</f>
        <v>0</v>
      </c>
      <c r="L219">
        <f>_xlfn.XLOOKUP($A219,Load!$B:$B,Load!M:M,0,)</f>
        <v>0</v>
      </c>
    </row>
    <row r="220" spans="1:12" x14ac:dyDescent="0.25">
      <c r="A220" t="s">
        <v>154</v>
      </c>
      <c r="B220" t="str">
        <f>_xlfn.XLOOKUP($A220,Load!$B:$B,Load!C:C,0,)</f>
        <v>Jolly Rancher</v>
      </c>
      <c r="C220" t="str">
        <f>_xlfn.XLOOKUP($A220,Load!$B:$B,Load!D:D,0,)</f>
        <v>Non-Chocolate Candy Only</v>
      </c>
      <c r="D220" t="str">
        <f>_xlfn.XLOOKUP($A220,Load!$B:$B,Load!E:E,0,)</f>
        <v>Fruit Flavor (Cherry, Grape, Apple, Citrus, Tropical Fruit)</v>
      </c>
      <c r="E220" t="str">
        <f>_xlfn.XLOOKUP($A220,Load!$B:$B,Load!F:F,0,)</f>
        <v>Hard Candy</v>
      </c>
      <c r="F220" t="str">
        <f>_xlfn.XLOOKUP($A220,Load!$B:$B,Load!G:G,0,)</f>
        <v>Small Multipack (Less than 40 ct)</v>
      </c>
      <c r="G220" t="str">
        <f>_xlfn.XLOOKUP($A220,Load!$B:$B,Load!H:H,0,)</f>
        <v>Stand-Up Bag</v>
      </c>
      <c r="H220" t="str">
        <f>_xlfn.XLOOKUP($A220,Load!$B:$B,Load!I:I,0,)</f>
        <v>Everyday Candy Shapes (like Original, Gummy bear, Fruit, Jewels, etc.)</v>
      </c>
      <c r="I220" t="str">
        <f>_xlfn.XLOOKUP($A220,Load!$B:$B,Load!J:J,0,)</f>
        <v>Everyday Graphics</v>
      </c>
      <c r="J220" t="str">
        <f>_xlfn.XLOOKUP($A220,Load!$B:$B,Load!K:K,0,)</f>
        <v>Small Pieces (Tiny bite size candies)</v>
      </c>
      <c r="K220" t="str">
        <f>_xlfn.XLOOKUP($A220,Load!$B:$B,Load!L:L,0,)</f>
        <v>Regular/Original Wrapping</v>
      </c>
      <c r="L220" t="str">
        <f>_xlfn.XLOOKUP($A220,Load!$B:$B,Load!M:M,0,)</f>
        <v>Single Brand / Variety Flavors or Form</v>
      </c>
    </row>
    <row r="221" spans="1:12" x14ac:dyDescent="0.25">
      <c r="A221" t="s">
        <v>228</v>
      </c>
      <c r="B221" t="str">
        <f>_xlfn.XLOOKUP($A221,Load!$B:$B,Load!C:C,0,)</f>
        <v>Nerds</v>
      </c>
      <c r="C221" t="str">
        <f>_xlfn.XLOOKUP($A221,Load!$B:$B,Load!D:D,0,)</f>
        <v>Non-Chocolate Candy Only</v>
      </c>
      <c r="D221" t="str">
        <f>_xlfn.XLOOKUP($A221,Load!$B:$B,Load!E:E,0,)</f>
        <v>Berry Based (Raspberry, Strawberry, Medley, etc.)</v>
      </c>
      <c r="E221" t="str">
        <f>_xlfn.XLOOKUP($A221,Load!$B:$B,Load!F:F,0,)</f>
        <v>Hard Candy</v>
      </c>
      <c r="F221" t="str">
        <f>_xlfn.XLOOKUP($A221,Load!$B:$B,Load!G:G,0,)</f>
        <v>Single Pack</v>
      </c>
      <c r="G221" t="str">
        <f>_xlfn.XLOOKUP($A221,Load!$B:$B,Load!H:H,0,)</f>
        <v>Laydown Bag</v>
      </c>
      <c r="H221" t="str">
        <f>_xlfn.XLOOKUP($A221,Load!$B:$B,Load!I:I,0,)</f>
        <v>Everyday Candy Shapes (like Original, Gummy bear, Fruit, Jewels, etc.)</v>
      </c>
      <c r="I221" t="str">
        <f>_xlfn.XLOOKUP($A221,Load!$B:$B,Load!J:J,0,)</f>
        <v>Seasonal Graphics (Like Bat, Ghost, Pumpkin, Fall Leaves, Eyeballs, etc.)</v>
      </c>
      <c r="J221" t="str">
        <f>_xlfn.XLOOKUP($A221,Load!$B:$B,Load!K:K,0,)</f>
        <v>Small Pieces (Tiny bite size candies)</v>
      </c>
      <c r="K221" t="str">
        <f>_xlfn.XLOOKUP($A221,Load!$B:$B,Load!L:L,0,)</f>
        <v>Unwrapped</v>
      </c>
      <c r="L221" t="str">
        <f>_xlfn.XLOOKUP($A221,Load!$B:$B,Load!M:M,0,)</f>
        <v>Single Brand / Variety Flavors or Form</v>
      </c>
    </row>
    <row r="222" spans="1:12" x14ac:dyDescent="0.25">
      <c r="A222" t="s">
        <v>223</v>
      </c>
      <c r="B222" t="str">
        <f>_xlfn.XLOOKUP($A222,Load!$B:$B,Load!C:C,0,)</f>
        <v>Nerds</v>
      </c>
      <c r="C222" t="str">
        <f>_xlfn.XLOOKUP($A222,Load!$B:$B,Load!D:D,0,)</f>
        <v>Non-Chocolate Candy Only</v>
      </c>
      <c r="D222" t="str">
        <f>_xlfn.XLOOKUP($A222,Load!$B:$B,Load!E:E,0,)</f>
        <v>Sweet</v>
      </c>
      <c r="E222" t="str">
        <f>_xlfn.XLOOKUP($A222,Load!$B:$B,Load!F:F,0,)</f>
        <v>Gummy</v>
      </c>
      <c r="F222" t="str">
        <f>_xlfn.XLOOKUP($A222,Load!$B:$B,Load!G:G,0,)</f>
        <v>Small Multipack (Less than 40 ct)</v>
      </c>
      <c r="G222" t="str">
        <f>_xlfn.XLOOKUP($A222,Load!$B:$B,Load!H:H,0,)</f>
        <v>Laydown Bag</v>
      </c>
      <c r="H222" t="str">
        <f>_xlfn.XLOOKUP($A222,Load!$B:$B,Load!I:I,0,)</f>
        <v>Everyday Candy Shapes (like Original, Gummy bear, Fruit, Jewels, etc.)</v>
      </c>
      <c r="I222" t="str">
        <f>_xlfn.XLOOKUP($A222,Load!$B:$B,Load!J:J,0,)</f>
        <v>Seasonal Graphics (Like Bat, Ghost, Pumpkin, Fall Leaves, Eyeballs, etc.)</v>
      </c>
      <c r="J222" t="str">
        <f>_xlfn.XLOOKUP($A222,Load!$B:$B,Load!K:K,0,)</f>
        <v>Small Pieces (Tiny bite size candies)</v>
      </c>
      <c r="K222" t="str">
        <f>_xlfn.XLOOKUP($A222,Load!$B:$B,Load!L:L,0,)</f>
        <v>Regular/Original Wrapping</v>
      </c>
      <c r="L222" t="str">
        <f>_xlfn.XLOOKUP($A222,Load!$B:$B,Load!M:M,0,)</f>
        <v>Single Brand / Variety Flavors or Form</v>
      </c>
    </row>
    <row r="223" spans="1:12" x14ac:dyDescent="0.25">
      <c r="A223" t="s">
        <v>224</v>
      </c>
      <c r="B223" t="str">
        <f>_xlfn.XLOOKUP($A223,Load!$B:$B,Load!C:C,0,)</f>
        <v>Nerds</v>
      </c>
      <c r="C223" t="str">
        <f>_xlfn.XLOOKUP($A223,Load!$B:$B,Load!D:D,0,)</f>
        <v>Non-Chocolate Candy Only</v>
      </c>
      <c r="D223" t="str">
        <f>_xlfn.XLOOKUP($A223,Load!$B:$B,Load!E:E,0,)</f>
        <v>Sweet</v>
      </c>
      <c r="E223" t="str">
        <f>_xlfn.XLOOKUP($A223,Load!$B:$B,Load!F:F,0,)</f>
        <v>Mixed / Combo Packs (Gummy, Chewy, Taffy, etc.)</v>
      </c>
      <c r="F223" t="str">
        <f>_xlfn.XLOOKUP($A223,Load!$B:$B,Load!G:G,0,)</f>
        <v>Medium Multipack (40–80 ct)</v>
      </c>
      <c r="G223" t="str">
        <f>_xlfn.XLOOKUP($A223,Load!$B:$B,Load!H:H,0,)</f>
        <v>Stand-Up Bag</v>
      </c>
      <c r="H223" t="str">
        <f>_xlfn.XLOOKUP($A223,Load!$B:$B,Load!I:I,0,)</f>
        <v>Everyday Candy Shapes (like Original, Gummy bear, Fruit, Jewels, etc.)</v>
      </c>
      <c r="I223" t="str">
        <f>_xlfn.XLOOKUP($A223,Load!$B:$B,Load!J:J,0,)</f>
        <v>Seasonal Graphics (Like Bat, Ghost, Pumpkin, Fall Leaves, Eyeballs, etc.)</v>
      </c>
      <c r="J223" t="str">
        <f>_xlfn.XLOOKUP($A223,Load!$B:$B,Load!K:K,0,)</f>
        <v xml:space="preserve">Variety Candy Sizes </v>
      </c>
      <c r="K223" t="str">
        <f>_xlfn.XLOOKUP($A223,Load!$B:$B,Load!L:L,0,)</f>
        <v>Regular/Original Wrapping</v>
      </c>
      <c r="L223" t="str">
        <f>_xlfn.XLOOKUP($A223,Load!$B:$B,Load!M:M,0,)</f>
        <v>Single Brand / Variety Flavors or Form</v>
      </c>
    </row>
    <row r="224" spans="1:12" x14ac:dyDescent="0.25">
      <c r="A224" t="s">
        <v>288</v>
      </c>
      <c r="B224" t="str">
        <f>_xlfn.XLOOKUP($A224,Load!$B:$B,Load!C:C,0,)</f>
        <v>SweeTARTS</v>
      </c>
      <c r="C224" t="str">
        <f>_xlfn.XLOOKUP($A224,Load!$B:$B,Load!D:D,0,)</f>
        <v>Non-Chocolate Candy Only</v>
      </c>
      <c r="D224" t="str">
        <f>_xlfn.XLOOKUP($A224,Load!$B:$B,Load!E:E,0,)</f>
        <v>Variety / Mixed Flavors (Fruity, Sour, Seasonal Flavors)</v>
      </c>
      <c r="E224" t="str">
        <f>_xlfn.XLOOKUP($A224,Load!$B:$B,Load!F:F,0,)</f>
        <v>Mixed / Combo Packs (Gummy, Chewy, Taffy, etc.)</v>
      </c>
      <c r="F224" t="str">
        <f>_xlfn.XLOOKUP($A224,Load!$B:$B,Load!G:G,0,)</f>
        <v>Medium Multipack (40–80 ct)</v>
      </c>
      <c r="G224" t="str">
        <f>_xlfn.XLOOKUP($A224,Load!$B:$B,Load!H:H,0,)</f>
        <v>Stand-Up Bag</v>
      </c>
      <c r="H224" t="str">
        <f>_xlfn.XLOOKUP($A224,Load!$B:$B,Load!I:I,0,)</f>
        <v>Everyday Candy Shapes (like Original, Gummy bear, Fruit, Jewels, etc.)</v>
      </c>
      <c r="I224" t="str">
        <f>_xlfn.XLOOKUP($A224,Load!$B:$B,Load!J:J,0,)</f>
        <v>Seasonal Graphics (Like Bat, Ghost, Pumpkin, Fall Leaves, Eyeballs, etc.)</v>
      </c>
      <c r="J224" t="str">
        <f>_xlfn.XLOOKUP($A224,Load!$B:$B,Load!K:K,0,)</f>
        <v>Small Pieces (Tiny bite size candies)</v>
      </c>
      <c r="K224" t="str">
        <f>_xlfn.XLOOKUP($A224,Load!$B:$B,Load!L:L,0,)</f>
        <v>Regular/Original Wrapping</v>
      </c>
      <c r="L224" t="str">
        <f>_xlfn.XLOOKUP($A224,Load!$B:$B,Load!M:M,0,)</f>
        <v>Single Brand / Variety Flavors or Form</v>
      </c>
    </row>
    <row r="225" spans="1:12" x14ac:dyDescent="0.25">
      <c r="A225" t="s">
        <v>224</v>
      </c>
      <c r="B225" t="str">
        <f>_xlfn.XLOOKUP($A225,Load!$B:$B,Load!C:C,0,)</f>
        <v>Nerds</v>
      </c>
      <c r="C225" t="str">
        <f>_xlfn.XLOOKUP($A225,Load!$B:$B,Load!D:D,0,)</f>
        <v>Non-Chocolate Candy Only</v>
      </c>
      <c r="D225" t="str">
        <f>_xlfn.XLOOKUP($A225,Load!$B:$B,Load!E:E,0,)</f>
        <v>Sweet</v>
      </c>
      <c r="E225" t="str">
        <f>_xlfn.XLOOKUP($A225,Load!$B:$B,Load!F:F,0,)</f>
        <v>Mixed / Combo Packs (Gummy, Chewy, Taffy, etc.)</v>
      </c>
      <c r="F225" t="str">
        <f>_xlfn.XLOOKUP($A225,Load!$B:$B,Load!G:G,0,)</f>
        <v>Medium Multipack (40–80 ct)</v>
      </c>
      <c r="G225" t="str">
        <f>_xlfn.XLOOKUP($A225,Load!$B:$B,Load!H:H,0,)</f>
        <v>Stand-Up Bag</v>
      </c>
      <c r="H225" t="str">
        <f>_xlfn.XLOOKUP($A225,Load!$B:$B,Load!I:I,0,)</f>
        <v>Everyday Candy Shapes (like Original, Gummy bear, Fruit, Jewels, etc.)</v>
      </c>
      <c r="I225" t="str">
        <f>_xlfn.XLOOKUP($A225,Load!$B:$B,Load!J:J,0,)</f>
        <v>Seasonal Graphics (Like Bat, Ghost, Pumpkin, Fall Leaves, Eyeballs, etc.)</v>
      </c>
      <c r="J225" t="str">
        <f>_xlfn.XLOOKUP($A225,Load!$B:$B,Load!K:K,0,)</f>
        <v xml:space="preserve">Variety Candy Sizes </v>
      </c>
      <c r="K225" t="str">
        <f>_xlfn.XLOOKUP($A225,Load!$B:$B,Load!L:L,0,)</f>
        <v>Regular/Original Wrapping</v>
      </c>
      <c r="L225" t="str">
        <f>_xlfn.XLOOKUP($A225,Load!$B:$B,Load!M:M,0,)</f>
        <v>Single Brand / Variety Flavors or Form</v>
      </c>
    </row>
    <row r="226" spans="1:12" x14ac:dyDescent="0.25">
      <c r="B226">
        <f>_xlfn.XLOOKUP($A226,Load!$B:$B,Load!C:C,0,)</f>
        <v>0</v>
      </c>
      <c r="C226">
        <f>_xlfn.XLOOKUP($A226,Load!$B:$B,Load!D:D,0,)</f>
        <v>0</v>
      </c>
      <c r="D226">
        <f>_xlfn.XLOOKUP($A226,Load!$B:$B,Load!E:E,0,)</f>
        <v>0</v>
      </c>
      <c r="E226">
        <f>_xlfn.XLOOKUP($A226,Load!$B:$B,Load!F:F,0,)</f>
        <v>0</v>
      </c>
      <c r="F226">
        <f>_xlfn.XLOOKUP($A226,Load!$B:$B,Load!G:G,0,)</f>
        <v>0</v>
      </c>
      <c r="G226">
        <f>_xlfn.XLOOKUP($A226,Load!$B:$B,Load!H:H,0,)</f>
        <v>0</v>
      </c>
      <c r="H226">
        <f>_xlfn.XLOOKUP($A226,Load!$B:$B,Load!I:I,0,)</f>
        <v>0</v>
      </c>
      <c r="I226">
        <f>_xlfn.XLOOKUP($A226,Load!$B:$B,Load!J:J,0,)</f>
        <v>0</v>
      </c>
      <c r="J226">
        <f>_xlfn.XLOOKUP($A226,Load!$B:$B,Load!K:K,0,)</f>
        <v>0</v>
      </c>
      <c r="K226">
        <f>_xlfn.XLOOKUP($A226,Load!$B:$B,Load!L:L,0,)</f>
        <v>0</v>
      </c>
      <c r="L226">
        <f>_xlfn.XLOOKUP($A226,Load!$B:$B,Load!M:M,0,)</f>
        <v>0</v>
      </c>
    </row>
    <row r="227" spans="1:12" x14ac:dyDescent="0.25">
      <c r="B227">
        <f>_xlfn.XLOOKUP($A227,Load!$B:$B,Load!C:C,0,)</f>
        <v>0</v>
      </c>
      <c r="C227">
        <f>_xlfn.XLOOKUP($A227,Load!$B:$B,Load!D:D,0,)</f>
        <v>0</v>
      </c>
      <c r="D227">
        <f>_xlfn.XLOOKUP($A227,Load!$B:$B,Load!E:E,0,)</f>
        <v>0</v>
      </c>
      <c r="E227">
        <f>_xlfn.XLOOKUP($A227,Load!$B:$B,Load!F:F,0,)</f>
        <v>0</v>
      </c>
      <c r="F227">
        <f>_xlfn.XLOOKUP($A227,Load!$B:$B,Load!G:G,0,)</f>
        <v>0</v>
      </c>
      <c r="G227">
        <f>_xlfn.XLOOKUP($A227,Load!$B:$B,Load!H:H,0,)</f>
        <v>0</v>
      </c>
      <c r="H227">
        <f>_xlfn.XLOOKUP($A227,Load!$B:$B,Load!I:I,0,)</f>
        <v>0</v>
      </c>
      <c r="I227">
        <f>_xlfn.XLOOKUP($A227,Load!$B:$B,Load!J:J,0,)</f>
        <v>0</v>
      </c>
      <c r="J227">
        <f>_xlfn.XLOOKUP($A227,Load!$B:$B,Load!K:K,0,)</f>
        <v>0</v>
      </c>
      <c r="K227">
        <f>_xlfn.XLOOKUP($A227,Load!$B:$B,Load!L:L,0,)</f>
        <v>0</v>
      </c>
      <c r="L227">
        <f>_xlfn.XLOOKUP($A227,Load!$B:$B,Load!M:M,0,)</f>
        <v>0</v>
      </c>
    </row>
    <row r="228" spans="1:12" x14ac:dyDescent="0.25">
      <c r="B228">
        <f>_xlfn.XLOOKUP($A228,Load!$B:$B,Load!C:C,0,)</f>
        <v>0</v>
      </c>
      <c r="C228">
        <f>_xlfn.XLOOKUP($A228,Load!$B:$B,Load!D:D,0,)</f>
        <v>0</v>
      </c>
      <c r="D228">
        <f>_xlfn.XLOOKUP($A228,Load!$B:$B,Load!E:E,0,)</f>
        <v>0</v>
      </c>
      <c r="E228">
        <f>_xlfn.XLOOKUP($A228,Load!$B:$B,Load!F:F,0,)</f>
        <v>0</v>
      </c>
      <c r="F228">
        <f>_xlfn.XLOOKUP($A228,Load!$B:$B,Load!G:G,0,)</f>
        <v>0</v>
      </c>
      <c r="G228">
        <f>_xlfn.XLOOKUP($A228,Load!$B:$B,Load!H:H,0,)</f>
        <v>0</v>
      </c>
      <c r="H228">
        <f>_xlfn.XLOOKUP($A228,Load!$B:$B,Load!I:I,0,)</f>
        <v>0</v>
      </c>
      <c r="I228">
        <f>_xlfn.XLOOKUP($A228,Load!$B:$B,Load!J:J,0,)</f>
        <v>0</v>
      </c>
      <c r="J228">
        <f>_xlfn.XLOOKUP($A228,Load!$B:$B,Load!K:K,0,)</f>
        <v>0</v>
      </c>
      <c r="K228">
        <f>_xlfn.XLOOKUP($A228,Load!$B:$B,Load!L:L,0,)</f>
        <v>0</v>
      </c>
      <c r="L228">
        <f>_xlfn.XLOOKUP($A228,Load!$B:$B,Load!M:M,0,)</f>
        <v>0</v>
      </c>
    </row>
    <row r="229" spans="1:12" x14ac:dyDescent="0.25">
      <c r="B229">
        <f>_xlfn.XLOOKUP($A229,Load!$B:$B,Load!C:C,0,)</f>
        <v>0</v>
      </c>
      <c r="C229">
        <f>_xlfn.XLOOKUP($A229,Load!$B:$B,Load!D:D,0,)</f>
        <v>0</v>
      </c>
      <c r="D229">
        <f>_xlfn.XLOOKUP($A229,Load!$B:$B,Load!E:E,0,)</f>
        <v>0</v>
      </c>
      <c r="E229">
        <f>_xlfn.XLOOKUP($A229,Load!$B:$B,Load!F:F,0,)</f>
        <v>0</v>
      </c>
      <c r="F229">
        <f>_xlfn.XLOOKUP($A229,Load!$B:$B,Load!G:G,0,)</f>
        <v>0</v>
      </c>
      <c r="G229">
        <f>_xlfn.XLOOKUP($A229,Load!$B:$B,Load!H:H,0,)</f>
        <v>0</v>
      </c>
      <c r="H229">
        <f>_xlfn.XLOOKUP($A229,Load!$B:$B,Load!I:I,0,)</f>
        <v>0</v>
      </c>
      <c r="I229">
        <f>_xlfn.XLOOKUP($A229,Load!$B:$B,Load!J:J,0,)</f>
        <v>0</v>
      </c>
      <c r="J229">
        <f>_xlfn.XLOOKUP($A229,Load!$B:$B,Load!K:K,0,)</f>
        <v>0</v>
      </c>
      <c r="K229">
        <f>_xlfn.XLOOKUP($A229,Load!$B:$B,Load!L:L,0,)</f>
        <v>0</v>
      </c>
      <c r="L229">
        <f>_xlfn.XLOOKUP($A229,Load!$B:$B,Load!M:M,0,)</f>
        <v>0</v>
      </c>
    </row>
    <row r="230" spans="1:12" x14ac:dyDescent="0.25">
      <c r="A230" t="s">
        <v>68</v>
      </c>
      <c r="B230" t="str">
        <f>_xlfn.XLOOKUP($A230,Load!$B:$B,Load!C:C,0,)</f>
        <v>Dum Dums</v>
      </c>
      <c r="C230" t="str">
        <f>_xlfn.XLOOKUP($A230,Load!$B:$B,Load!D:D,0,)</f>
        <v>Non-Chocolate Candy Only</v>
      </c>
      <c r="D230" t="str">
        <f>_xlfn.XLOOKUP($A230,Load!$B:$B,Load!E:E,0,)</f>
        <v>Fruit Flavor (Cherry, Grape, Apple, Citrus, Tropical Fruit)</v>
      </c>
      <c r="E230" t="str">
        <f>_xlfn.XLOOKUP($A230,Load!$B:$B,Load!F:F,0,)</f>
        <v>Lollipop (regular or lollipop rings)</v>
      </c>
      <c r="F230" t="str">
        <f>_xlfn.XLOOKUP($A230,Load!$B:$B,Load!G:G,0,)</f>
        <v>Single Pack</v>
      </c>
      <c r="G230" t="str">
        <f>_xlfn.XLOOKUP($A230,Load!$B:$B,Load!H:H,0,)</f>
        <v>Laydown Bag</v>
      </c>
      <c r="H230" t="str">
        <f>_xlfn.XLOOKUP($A230,Load!$B:$B,Load!I:I,0,)</f>
        <v>Everyday Candy Shapes (like Original, Gummy bear, Fruit, Jewels, etc.)</v>
      </c>
      <c r="I230" t="str">
        <f>_xlfn.XLOOKUP($A230,Load!$B:$B,Load!J:J,0,)</f>
        <v>Seasonal Graphics (Like Bat, Ghost, Pumpkin, Fall Leaves, Eyeballs, etc.)</v>
      </c>
      <c r="J230" t="str">
        <f>_xlfn.XLOOKUP($A230,Load!$B:$B,Load!K:K,0,)</f>
        <v>Regular Lollipop size (on sticks or rings)</v>
      </c>
      <c r="K230" t="str">
        <f>_xlfn.XLOOKUP($A230,Load!$B:$B,Load!L:L,0,)</f>
        <v>Regular/Original Wrapping</v>
      </c>
      <c r="L230" t="str">
        <f>_xlfn.XLOOKUP($A230,Load!$B:$B,Load!M:M,0,)</f>
        <v>Single Brand / Variety Flavors or Form</v>
      </c>
    </row>
    <row r="231" spans="1:12" x14ac:dyDescent="0.25">
      <c r="A231" t="s">
        <v>70</v>
      </c>
      <c r="B231" t="str">
        <f>_xlfn.XLOOKUP($A231,Load!$B:$B,Load!C:C,0,)</f>
        <v>Dum Dums</v>
      </c>
      <c r="C231" t="str">
        <f>_xlfn.XLOOKUP($A231,Load!$B:$B,Load!D:D,0,)</f>
        <v>Non-Chocolate Candy Only</v>
      </c>
      <c r="D231" t="str">
        <f>_xlfn.XLOOKUP($A231,Load!$B:$B,Load!E:E,0,)</f>
        <v>Fall / Seasonal Flavors (pumpkin spice, caramel apple, candy corn)</v>
      </c>
      <c r="E231" t="str">
        <f>_xlfn.XLOOKUP($A231,Load!$B:$B,Load!F:F,0,)</f>
        <v>Lollipop (regular or lollipop rings)</v>
      </c>
      <c r="F231" t="str">
        <f>_xlfn.XLOOKUP($A231,Load!$B:$B,Load!G:G,0,)</f>
        <v>Single Pack</v>
      </c>
      <c r="G231" t="str">
        <f>_xlfn.XLOOKUP($A231,Load!$B:$B,Load!H:H,0,)</f>
        <v>Laydown Bag</v>
      </c>
      <c r="H231" t="str">
        <f>_xlfn.XLOOKUP($A231,Load!$B:$B,Load!I:I,0,)</f>
        <v>Everyday Candy Shapes (like Original, Gummy bear, Fruit, Jewels, etc.)</v>
      </c>
      <c r="I231" t="str">
        <f>_xlfn.XLOOKUP($A231,Load!$B:$B,Load!J:J,0,)</f>
        <v>Seasonal Graphics (Like Bat, Ghost, Pumpkin, Fall Leaves, Eyeballs, etc.)</v>
      </c>
      <c r="J231" t="str">
        <f>_xlfn.XLOOKUP($A231,Load!$B:$B,Load!K:K,0,)</f>
        <v>Regular Lollipop size (on sticks or rings)</v>
      </c>
      <c r="K231" t="str">
        <f>_xlfn.XLOOKUP($A231,Load!$B:$B,Load!L:L,0,)</f>
        <v>Regular/Original Wrapping</v>
      </c>
      <c r="L231" t="str">
        <f>_xlfn.XLOOKUP($A231,Load!$B:$B,Load!M:M,0,)</f>
        <v>Single Brand / Variety Flavors or Form</v>
      </c>
    </row>
    <row r="232" spans="1:12" x14ac:dyDescent="0.25">
      <c r="B232">
        <f>_xlfn.XLOOKUP($A232,Load!$B:$B,Load!C:C,0,)</f>
        <v>0</v>
      </c>
      <c r="C232">
        <f>_xlfn.XLOOKUP($A232,Load!$B:$B,Load!D:D,0,)</f>
        <v>0</v>
      </c>
      <c r="D232">
        <f>_xlfn.XLOOKUP($A232,Load!$B:$B,Load!E:E,0,)</f>
        <v>0</v>
      </c>
      <c r="E232">
        <f>_xlfn.XLOOKUP($A232,Load!$B:$B,Load!F:F,0,)</f>
        <v>0</v>
      </c>
      <c r="F232">
        <f>_xlfn.XLOOKUP($A232,Load!$B:$B,Load!G:G,0,)</f>
        <v>0</v>
      </c>
      <c r="G232">
        <f>_xlfn.XLOOKUP($A232,Load!$B:$B,Load!H:H,0,)</f>
        <v>0</v>
      </c>
      <c r="H232">
        <f>_xlfn.XLOOKUP($A232,Load!$B:$B,Load!I:I,0,)</f>
        <v>0</v>
      </c>
      <c r="I232">
        <f>_xlfn.XLOOKUP($A232,Load!$B:$B,Load!J:J,0,)</f>
        <v>0</v>
      </c>
      <c r="J232">
        <f>_xlfn.XLOOKUP($A232,Load!$B:$B,Load!K:K,0,)</f>
        <v>0</v>
      </c>
      <c r="K232">
        <f>_xlfn.XLOOKUP($A232,Load!$B:$B,Load!L:L,0,)</f>
        <v>0</v>
      </c>
      <c r="L232">
        <f>_xlfn.XLOOKUP($A232,Load!$B:$B,Load!M:M,0,)</f>
        <v>0</v>
      </c>
    </row>
    <row r="233" spans="1:12" x14ac:dyDescent="0.25">
      <c r="B233">
        <f>_xlfn.XLOOKUP($A233,Load!$B:$B,Load!C:C,0,)</f>
        <v>0</v>
      </c>
      <c r="C233">
        <f>_xlfn.XLOOKUP($A233,Load!$B:$B,Load!D:D,0,)</f>
        <v>0</v>
      </c>
      <c r="D233">
        <f>_xlfn.XLOOKUP($A233,Load!$B:$B,Load!E:E,0,)</f>
        <v>0</v>
      </c>
      <c r="E233">
        <f>_xlfn.XLOOKUP($A233,Load!$B:$B,Load!F:F,0,)</f>
        <v>0</v>
      </c>
      <c r="F233">
        <f>_xlfn.XLOOKUP($A233,Load!$B:$B,Load!G:G,0,)</f>
        <v>0</v>
      </c>
      <c r="G233">
        <f>_xlfn.XLOOKUP($A233,Load!$B:$B,Load!H:H,0,)</f>
        <v>0</v>
      </c>
      <c r="H233">
        <f>_xlfn.XLOOKUP($A233,Load!$B:$B,Load!I:I,0,)</f>
        <v>0</v>
      </c>
      <c r="I233">
        <f>_xlfn.XLOOKUP($A233,Load!$B:$B,Load!J:J,0,)</f>
        <v>0</v>
      </c>
      <c r="J233">
        <f>_xlfn.XLOOKUP($A233,Load!$B:$B,Load!K:K,0,)</f>
        <v>0</v>
      </c>
      <c r="K233">
        <f>_xlfn.XLOOKUP($A233,Load!$B:$B,Load!L:L,0,)</f>
        <v>0</v>
      </c>
      <c r="L233">
        <f>_xlfn.XLOOKUP($A233,Load!$B:$B,Load!M:M,0,)</f>
        <v>0</v>
      </c>
    </row>
    <row r="234" spans="1:12" x14ac:dyDescent="0.25">
      <c r="B234">
        <f>_xlfn.XLOOKUP($A234,Load!$B:$B,Load!C:C,0,)</f>
        <v>0</v>
      </c>
      <c r="C234">
        <f>_xlfn.XLOOKUP($A234,Load!$B:$B,Load!D:D,0,)</f>
        <v>0</v>
      </c>
      <c r="D234">
        <f>_xlfn.XLOOKUP($A234,Load!$B:$B,Load!E:E,0,)</f>
        <v>0</v>
      </c>
      <c r="E234">
        <f>_xlfn.XLOOKUP($A234,Load!$B:$B,Load!F:F,0,)</f>
        <v>0</v>
      </c>
      <c r="F234">
        <f>_xlfn.XLOOKUP($A234,Load!$B:$B,Load!G:G,0,)</f>
        <v>0</v>
      </c>
      <c r="G234">
        <f>_xlfn.XLOOKUP($A234,Load!$B:$B,Load!H:H,0,)</f>
        <v>0</v>
      </c>
      <c r="H234">
        <f>_xlfn.XLOOKUP($A234,Load!$B:$B,Load!I:I,0,)</f>
        <v>0</v>
      </c>
      <c r="I234">
        <f>_xlfn.XLOOKUP($A234,Load!$B:$B,Load!J:J,0,)</f>
        <v>0</v>
      </c>
      <c r="J234">
        <f>_xlfn.XLOOKUP($A234,Load!$B:$B,Load!K:K,0,)</f>
        <v>0</v>
      </c>
      <c r="K234">
        <f>_xlfn.XLOOKUP($A234,Load!$B:$B,Load!L:L,0,)</f>
        <v>0</v>
      </c>
      <c r="L234">
        <f>_xlfn.XLOOKUP($A234,Load!$B:$B,Load!M:M,0,)</f>
        <v>0</v>
      </c>
    </row>
    <row r="235" spans="1:12" x14ac:dyDescent="0.25">
      <c r="B235">
        <f>_xlfn.XLOOKUP($A235,Load!$B:$B,Load!C:C,0,)</f>
        <v>0</v>
      </c>
      <c r="C235">
        <f>_xlfn.XLOOKUP($A235,Load!$B:$B,Load!D:D,0,)</f>
        <v>0</v>
      </c>
      <c r="D235">
        <f>_xlfn.XLOOKUP($A235,Load!$B:$B,Load!E:E,0,)</f>
        <v>0</v>
      </c>
      <c r="E235">
        <f>_xlfn.XLOOKUP($A235,Load!$B:$B,Load!F:F,0,)</f>
        <v>0</v>
      </c>
      <c r="F235">
        <f>_xlfn.XLOOKUP($A235,Load!$B:$B,Load!G:G,0,)</f>
        <v>0</v>
      </c>
      <c r="G235">
        <f>_xlfn.XLOOKUP($A235,Load!$B:$B,Load!H:H,0,)</f>
        <v>0</v>
      </c>
      <c r="H235">
        <f>_xlfn.XLOOKUP($A235,Load!$B:$B,Load!I:I,0,)</f>
        <v>0</v>
      </c>
      <c r="I235">
        <f>_xlfn.XLOOKUP($A235,Load!$B:$B,Load!J:J,0,)</f>
        <v>0</v>
      </c>
      <c r="J235">
        <f>_xlfn.XLOOKUP($A235,Load!$B:$B,Load!K:K,0,)</f>
        <v>0</v>
      </c>
      <c r="K235">
        <f>_xlfn.XLOOKUP($A235,Load!$B:$B,Load!L:L,0,)</f>
        <v>0</v>
      </c>
      <c r="L235">
        <f>_xlfn.XLOOKUP($A235,Load!$B:$B,Load!M:M,0,)</f>
        <v>0</v>
      </c>
    </row>
    <row r="236" spans="1:12" x14ac:dyDescent="0.25">
      <c r="A236" t="s">
        <v>239</v>
      </c>
      <c r="B236" t="str">
        <f>_xlfn.XLOOKUP($A236,Load!$B:$B,Load!C:C,0,)</f>
        <v>Peeps</v>
      </c>
      <c r="C236" t="str">
        <f>_xlfn.XLOOKUP($A236,Load!$B:$B,Load!D:D,0,)</f>
        <v>Non-Chocolate Candy Only</v>
      </c>
      <c r="D236" t="str">
        <f>_xlfn.XLOOKUP($A236,Load!$B:$B,Load!E:E,0,)</f>
        <v>Sweet</v>
      </c>
      <c r="E236" t="str">
        <f>_xlfn.XLOOKUP($A236,Load!$B:$B,Load!F:F,0,)</f>
        <v>Foamy / Aerated / Freeze Dried</v>
      </c>
      <c r="F236" t="str">
        <f>_xlfn.XLOOKUP($A236,Load!$B:$B,Load!G:G,0,)</f>
        <v>Single Pack</v>
      </c>
      <c r="G236" t="str">
        <f>_xlfn.XLOOKUP($A236,Load!$B:$B,Load!H:H,0,)</f>
        <v>Box (theatre box, gift box, carton)</v>
      </c>
      <c r="H236" t="str">
        <f>_xlfn.XLOOKUP($A236,Load!$B:$B,Load!I:I,0,)</f>
        <v>Seasonal Shapes (like pumpkins, candy corn, ghost, bats, etc.)</v>
      </c>
      <c r="I236" t="str">
        <f>_xlfn.XLOOKUP($A236,Load!$B:$B,Load!J:J,0,)</f>
        <v>Seasonal Graphics (Like Bat, Ghost, Pumpkin, Fall Leaves, Eyeballs, etc.)</v>
      </c>
      <c r="J236" t="str">
        <f>_xlfn.XLOOKUP($A236,Load!$B:$B,Load!K:K,0,)</f>
        <v>Fun Size / Treat Size</v>
      </c>
      <c r="K236" t="str">
        <f>_xlfn.XLOOKUP($A236,Load!$B:$B,Load!L:L,0,)</f>
        <v>Unwrapped</v>
      </c>
      <c r="L236" t="str">
        <f>_xlfn.XLOOKUP($A236,Load!$B:$B,Load!M:M,0,)</f>
        <v>Single Brand / Single Flavor or Form</v>
      </c>
    </row>
    <row r="237" spans="1:12" x14ac:dyDescent="0.25">
      <c r="B237">
        <f>_xlfn.XLOOKUP($A237,Load!$B:$B,Load!C:C,0,)</f>
        <v>0</v>
      </c>
      <c r="C237">
        <f>_xlfn.XLOOKUP($A237,Load!$B:$B,Load!D:D,0,)</f>
        <v>0</v>
      </c>
      <c r="D237">
        <f>_xlfn.XLOOKUP($A237,Load!$B:$B,Load!E:E,0,)</f>
        <v>0</v>
      </c>
      <c r="E237">
        <f>_xlfn.XLOOKUP($A237,Load!$B:$B,Load!F:F,0,)</f>
        <v>0</v>
      </c>
      <c r="F237">
        <f>_xlfn.XLOOKUP($A237,Load!$B:$B,Load!G:G,0,)</f>
        <v>0</v>
      </c>
      <c r="G237">
        <f>_xlfn.XLOOKUP($A237,Load!$B:$B,Load!H:H,0,)</f>
        <v>0</v>
      </c>
      <c r="H237">
        <f>_xlfn.XLOOKUP($A237,Load!$B:$B,Load!I:I,0,)</f>
        <v>0</v>
      </c>
      <c r="I237">
        <f>_xlfn.XLOOKUP($A237,Load!$B:$B,Load!J:J,0,)</f>
        <v>0</v>
      </c>
      <c r="J237">
        <f>_xlfn.XLOOKUP($A237,Load!$B:$B,Load!K:K,0,)</f>
        <v>0</v>
      </c>
      <c r="K237">
        <f>_xlfn.XLOOKUP($A237,Load!$B:$B,Load!L:L,0,)</f>
        <v>0</v>
      </c>
      <c r="L237">
        <f>_xlfn.XLOOKUP($A237,Load!$B:$B,Load!M:M,0,)</f>
        <v>0</v>
      </c>
    </row>
    <row r="238" spans="1:12" x14ac:dyDescent="0.25">
      <c r="B238">
        <f>_xlfn.XLOOKUP($A238,Load!$B:$B,Load!C:C,0,)</f>
        <v>0</v>
      </c>
      <c r="C238">
        <f>_xlfn.XLOOKUP($A238,Load!$B:$B,Load!D:D,0,)</f>
        <v>0</v>
      </c>
      <c r="D238">
        <f>_xlfn.XLOOKUP($A238,Load!$B:$B,Load!E:E,0,)</f>
        <v>0</v>
      </c>
      <c r="E238">
        <f>_xlfn.XLOOKUP($A238,Load!$B:$B,Load!F:F,0,)</f>
        <v>0</v>
      </c>
      <c r="F238">
        <f>_xlfn.XLOOKUP($A238,Load!$B:$B,Load!G:G,0,)</f>
        <v>0</v>
      </c>
      <c r="G238">
        <f>_xlfn.XLOOKUP($A238,Load!$B:$B,Load!H:H,0,)</f>
        <v>0</v>
      </c>
      <c r="H238">
        <f>_xlfn.XLOOKUP($A238,Load!$B:$B,Load!I:I,0,)</f>
        <v>0</v>
      </c>
      <c r="I238">
        <f>_xlfn.XLOOKUP($A238,Load!$B:$B,Load!J:J,0,)</f>
        <v>0</v>
      </c>
      <c r="J238">
        <f>_xlfn.XLOOKUP($A238,Load!$B:$B,Load!K:K,0,)</f>
        <v>0</v>
      </c>
      <c r="K238">
        <f>_xlfn.XLOOKUP($A238,Load!$B:$B,Load!L:L,0,)</f>
        <v>0</v>
      </c>
      <c r="L238">
        <f>_xlfn.XLOOKUP($A238,Load!$B:$B,Load!M:M,0,)</f>
        <v>0</v>
      </c>
    </row>
    <row r="239" spans="1:12" x14ac:dyDescent="0.25">
      <c r="B239">
        <f>_xlfn.XLOOKUP($A239,Load!$B:$B,Load!C:C,0,)</f>
        <v>0</v>
      </c>
      <c r="C239">
        <f>_xlfn.XLOOKUP($A239,Load!$B:$B,Load!D:D,0,)</f>
        <v>0</v>
      </c>
      <c r="D239">
        <f>_xlfn.XLOOKUP($A239,Load!$B:$B,Load!E:E,0,)</f>
        <v>0</v>
      </c>
      <c r="E239">
        <f>_xlfn.XLOOKUP($A239,Load!$B:$B,Load!F:F,0,)</f>
        <v>0</v>
      </c>
      <c r="F239">
        <f>_xlfn.XLOOKUP($A239,Load!$B:$B,Load!G:G,0,)</f>
        <v>0</v>
      </c>
      <c r="G239">
        <f>_xlfn.XLOOKUP($A239,Load!$B:$B,Load!H:H,0,)</f>
        <v>0</v>
      </c>
      <c r="H239">
        <f>_xlfn.XLOOKUP($A239,Load!$B:$B,Load!I:I,0,)</f>
        <v>0</v>
      </c>
      <c r="I239">
        <f>_xlfn.XLOOKUP($A239,Load!$B:$B,Load!J:J,0,)</f>
        <v>0</v>
      </c>
      <c r="J239">
        <f>_xlfn.XLOOKUP($A239,Load!$B:$B,Load!K:K,0,)</f>
        <v>0</v>
      </c>
      <c r="K239">
        <f>_xlfn.XLOOKUP($A239,Load!$B:$B,Load!L:L,0,)</f>
        <v>0</v>
      </c>
      <c r="L239">
        <f>_xlfn.XLOOKUP($A239,Load!$B:$B,Load!M:M,0,)</f>
        <v>0</v>
      </c>
    </row>
    <row r="240" spans="1:12" x14ac:dyDescent="0.25">
      <c r="A240" t="s">
        <v>66</v>
      </c>
      <c r="B240" t="str">
        <f>_xlfn.XLOOKUP($A240,Load!$B:$B,Load!C:C,0,)</f>
        <v>Dots</v>
      </c>
      <c r="C240" t="str">
        <f>_xlfn.XLOOKUP($A240,Load!$B:$B,Load!D:D,0,)</f>
        <v>Non-Chocolate Candy Only</v>
      </c>
      <c r="D240" t="str">
        <f>_xlfn.XLOOKUP($A240,Load!$B:$B,Load!E:E,0,)</f>
        <v>Variety / Mixed Flavors (Fruity, Sour, Seasonal Flavors)</v>
      </c>
      <c r="E240" t="str">
        <f>_xlfn.XLOOKUP($A240,Load!$B:$B,Load!F:F,0,)</f>
        <v>Candy Pieces / Bites</v>
      </c>
      <c r="F240" t="str">
        <f>_xlfn.XLOOKUP($A240,Load!$B:$B,Load!G:G,0,)</f>
        <v>Small Multipack (Less than 40 ct)</v>
      </c>
      <c r="G240" t="str">
        <f>_xlfn.XLOOKUP($A240,Load!$B:$B,Load!H:H,0,)</f>
        <v>Stand-Up Bag</v>
      </c>
      <c r="H240" t="str">
        <f>_xlfn.XLOOKUP($A240,Load!$B:$B,Load!I:I,0,)</f>
        <v>Seasonal Shapes (like pumpkins, candy corn, ghost, bats, etc.)</v>
      </c>
      <c r="I240" t="str">
        <f>_xlfn.XLOOKUP($A240,Load!$B:$B,Load!J:J,0,)</f>
        <v>Seasonal Graphics (Like Bat, Ghost, Pumpkin, Fall Leaves, Eyeballs, etc.)</v>
      </c>
      <c r="J240" t="str">
        <f>_xlfn.XLOOKUP($A240,Load!$B:$B,Load!K:K,0,)</f>
        <v>Fun Size / Treat Size</v>
      </c>
      <c r="K240" t="str">
        <f>_xlfn.XLOOKUP($A240,Load!$B:$B,Load!L:L,0,)</f>
        <v>Regular/Original Wrapping</v>
      </c>
      <c r="L240" t="str">
        <f>_xlfn.XLOOKUP($A240,Load!$B:$B,Load!M:M,0,)</f>
        <v>Single Brand / Variety Flavors or Form</v>
      </c>
    </row>
    <row r="241" spans="1:12" x14ac:dyDescent="0.25">
      <c r="A241" t="s">
        <v>58</v>
      </c>
      <c r="B241" t="str">
        <f>_xlfn.XLOOKUP($A241,Load!$B:$B,Load!C:C,0,)</f>
        <v>Charms</v>
      </c>
      <c r="C241" t="str">
        <f>_xlfn.XLOOKUP($A241,Load!$B:$B,Load!D:D,0,)</f>
        <v>Non-Chocolate Candy Only</v>
      </c>
      <c r="D241" t="str">
        <f>_xlfn.XLOOKUP($A241,Load!$B:$B,Load!E:E,0,)</f>
        <v>Variety / Mixed Flavors (Fruity, Sour, Seasonal Flavors)</v>
      </c>
      <c r="E241" t="str">
        <f>_xlfn.XLOOKUP($A241,Load!$B:$B,Load!F:F,0,)</f>
        <v>Lollipop (regular or lollipop rings)</v>
      </c>
      <c r="F241" t="str">
        <f>_xlfn.XLOOKUP($A241,Load!$B:$B,Load!G:G,0,)</f>
        <v>Small Multipack (Less than 40 ct)</v>
      </c>
      <c r="G241" t="str">
        <f>_xlfn.XLOOKUP($A241,Load!$B:$B,Load!H:H,0,)</f>
        <v>Laydown Bag</v>
      </c>
      <c r="H241" t="str">
        <f>_xlfn.XLOOKUP($A241,Load!$B:$B,Load!I:I,0,)</f>
        <v>Everyday Candy Shapes (like Original, Gummy bear, Fruit, Jewels, etc.)</v>
      </c>
      <c r="I241" t="str">
        <f>_xlfn.XLOOKUP($A241,Load!$B:$B,Load!J:J,0,)</f>
        <v>Seasonal Graphics (Like Bat, Ghost, Pumpkin, Fall Leaves, Eyeballs, etc.)</v>
      </c>
      <c r="J241" t="str">
        <f>_xlfn.XLOOKUP($A241,Load!$B:$B,Load!K:K,0,)</f>
        <v>Regular Lollipop size (on sticks or rings)</v>
      </c>
      <c r="K241" t="str">
        <f>_xlfn.XLOOKUP($A241,Load!$B:$B,Load!L:L,0,)</f>
        <v>Regular/Original Wrapping</v>
      </c>
      <c r="L241" t="str">
        <f>_xlfn.XLOOKUP($A241,Load!$B:$B,Load!M:M,0,)</f>
        <v>Single Brand / Variety Flavors or Form</v>
      </c>
    </row>
    <row r="242" spans="1:12" x14ac:dyDescent="0.25">
      <c r="A242" t="s">
        <v>189</v>
      </c>
      <c r="B242" t="str">
        <f>_xlfn.XLOOKUP($A242,Load!$B:$B,Load!C:C,0,)</f>
        <v>Mars Variety Pack</v>
      </c>
      <c r="C242" t="str">
        <f>_xlfn.XLOOKUP($A242,Load!$B:$B,Load!D:D,0,)</f>
        <v>Non-Chocolate Candy Only</v>
      </c>
      <c r="D242" t="str">
        <f>_xlfn.XLOOKUP($A242,Load!$B:$B,Load!E:E,0,)</f>
        <v>Variety / Mixed Flavors (Fruity, Sour, Seasonal Flavors)</v>
      </c>
      <c r="E242" t="str">
        <f>_xlfn.XLOOKUP($A242,Load!$B:$B,Load!F:F,0,)</f>
        <v>Mixed / Combo Packs (Gummy, Chewy, Taffy, etc.)</v>
      </c>
      <c r="F242" t="str">
        <f>_xlfn.XLOOKUP($A242,Load!$B:$B,Load!G:G,0,)</f>
        <v>Small Multipack (Less than 40 ct)</v>
      </c>
      <c r="G242" t="str">
        <f>_xlfn.XLOOKUP($A242,Load!$B:$B,Load!H:H,0,)</f>
        <v>Box (theatre box, gift box, carton)</v>
      </c>
      <c r="H242" t="str">
        <f>_xlfn.XLOOKUP($A242,Load!$B:$B,Load!I:I,0,)</f>
        <v>Everyday Candy Shapes (like Original, Gummy bear, Fruit, Jewels, etc.)</v>
      </c>
      <c r="I242" t="str">
        <f>_xlfn.XLOOKUP($A242,Load!$B:$B,Load!J:J,0,)</f>
        <v>Everyday Graphics</v>
      </c>
      <c r="J242" t="str">
        <f>_xlfn.XLOOKUP($A242,Load!$B:$B,Load!K:K,0,)</f>
        <v>Small Pieces (Tiny bite size candies)</v>
      </c>
      <c r="K242" t="str">
        <f>_xlfn.XLOOKUP($A242,Load!$B:$B,Load!L:L,0,)</f>
        <v>Regular/Original Wrapping</v>
      </c>
      <c r="L242" t="str">
        <f>_xlfn.XLOOKUP($A242,Load!$B:$B,Load!M:M,0,)</f>
        <v>Multiple Brands / Variety Flavors or Form</v>
      </c>
    </row>
    <row r="243" spans="1:12" x14ac:dyDescent="0.25">
      <c r="A243" t="s">
        <v>205</v>
      </c>
      <c r="B243" t="str">
        <f>_xlfn.XLOOKUP($A243,Load!$B:$B,Load!C:C,0,)</f>
        <v>Mars Variety Pack</v>
      </c>
      <c r="C243" t="str">
        <f>_xlfn.XLOOKUP($A243,Load!$B:$B,Load!D:D,0,)</f>
        <v>Non-Chocolate Candy Only</v>
      </c>
      <c r="D243" t="str">
        <f>_xlfn.XLOOKUP($A243,Load!$B:$B,Load!E:E,0,)</f>
        <v>Variety / Mixed Flavors (Fruity, Sour, Seasonal Flavors)</v>
      </c>
      <c r="E243" t="str">
        <f>_xlfn.XLOOKUP($A243,Load!$B:$B,Load!F:F,0,)</f>
        <v>Mixed / Combo Packs (Gummy, Chewy, Taffy, etc.)</v>
      </c>
      <c r="F243" t="str">
        <f>_xlfn.XLOOKUP($A243,Load!$B:$B,Load!G:G,0,)</f>
        <v>Small Multipack (Less than 40 ct)</v>
      </c>
      <c r="G243" t="str">
        <f>_xlfn.XLOOKUP($A243,Load!$B:$B,Load!H:H,0,)</f>
        <v>Box (theatre box, gift box, carton)</v>
      </c>
      <c r="H243" t="str">
        <f>_xlfn.XLOOKUP($A243,Load!$B:$B,Load!I:I,0,)</f>
        <v>Everyday Candy Shapes (like Original, Gummy bear, Fruit, Jewels, etc.)</v>
      </c>
      <c r="I243" t="str">
        <f>_xlfn.XLOOKUP($A243,Load!$B:$B,Load!J:J,0,)</f>
        <v>Everyday Graphics</v>
      </c>
      <c r="J243" t="str">
        <f>_xlfn.XLOOKUP($A243,Load!$B:$B,Load!K:K,0,)</f>
        <v>Small Pieces (Tiny bite size candies)</v>
      </c>
      <c r="K243" t="str">
        <f>_xlfn.XLOOKUP($A243,Load!$B:$B,Load!L:L,0,)</f>
        <v>Regular/Original Wrapping</v>
      </c>
      <c r="L243" t="str">
        <f>_xlfn.XLOOKUP($A243,Load!$B:$B,Load!M:M,0,)</f>
        <v>Multiple Brands / Variety Flavors or Form</v>
      </c>
    </row>
    <row r="244" spans="1:12" x14ac:dyDescent="0.25">
      <c r="B244">
        <f>_xlfn.XLOOKUP($A244,Load!$B:$B,Load!C:C,0,)</f>
        <v>0</v>
      </c>
      <c r="C244">
        <f>_xlfn.XLOOKUP($A244,Load!$B:$B,Load!D:D,0,)</f>
        <v>0</v>
      </c>
      <c r="D244">
        <f>_xlfn.XLOOKUP($A244,Load!$B:$B,Load!E:E,0,)</f>
        <v>0</v>
      </c>
      <c r="E244">
        <f>_xlfn.XLOOKUP($A244,Load!$B:$B,Load!F:F,0,)</f>
        <v>0</v>
      </c>
      <c r="F244">
        <f>_xlfn.XLOOKUP($A244,Load!$B:$B,Load!G:G,0,)</f>
        <v>0</v>
      </c>
      <c r="G244">
        <f>_xlfn.XLOOKUP($A244,Load!$B:$B,Load!H:H,0,)</f>
        <v>0</v>
      </c>
      <c r="H244">
        <f>_xlfn.XLOOKUP($A244,Load!$B:$B,Load!I:I,0,)</f>
        <v>0</v>
      </c>
      <c r="I244">
        <f>_xlfn.XLOOKUP($A244,Load!$B:$B,Load!J:J,0,)</f>
        <v>0</v>
      </c>
      <c r="J244">
        <f>_xlfn.XLOOKUP($A244,Load!$B:$B,Load!K:K,0,)</f>
        <v>0</v>
      </c>
      <c r="K244">
        <f>_xlfn.XLOOKUP($A244,Load!$B:$B,Load!L:L,0,)</f>
        <v>0</v>
      </c>
      <c r="L244">
        <f>_xlfn.XLOOKUP($A244,Load!$B:$B,Load!M:M,0,)</f>
        <v>0</v>
      </c>
    </row>
    <row r="245" spans="1:12" x14ac:dyDescent="0.25">
      <c r="B245">
        <f>_xlfn.XLOOKUP($A245,Load!$B:$B,Load!C:C,0,)</f>
        <v>0</v>
      </c>
      <c r="C245">
        <f>_xlfn.XLOOKUP($A245,Load!$B:$B,Load!D:D,0,)</f>
        <v>0</v>
      </c>
      <c r="D245">
        <f>_xlfn.XLOOKUP($A245,Load!$B:$B,Load!E:E,0,)</f>
        <v>0</v>
      </c>
      <c r="E245">
        <f>_xlfn.XLOOKUP($A245,Load!$B:$B,Load!F:F,0,)</f>
        <v>0</v>
      </c>
      <c r="F245">
        <f>_xlfn.XLOOKUP($A245,Load!$B:$B,Load!G:G,0,)</f>
        <v>0</v>
      </c>
      <c r="G245">
        <f>_xlfn.XLOOKUP($A245,Load!$B:$B,Load!H:H,0,)</f>
        <v>0</v>
      </c>
      <c r="H245">
        <f>_xlfn.XLOOKUP($A245,Load!$B:$B,Load!I:I,0,)</f>
        <v>0</v>
      </c>
      <c r="I245">
        <f>_xlfn.XLOOKUP($A245,Load!$B:$B,Load!J:J,0,)</f>
        <v>0</v>
      </c>
      <c r="J245">
        <f>_xlfn.XLOOKUP($A245,Load!$B:$B,Load!K:K,0,)</f>
        <v>0</v>
      </c>
      <c r="K245">
        <f>_xlfn.XLOOKUP($A245,Load!$B:$B,Load!L:L,0,)</f>
        <v>0</v>
      </c>
      <c r="L245">
        <f>_xlfn.XLOOKUP($A245,Load!$B:$B,Load!M:M,0,)</f>
        <v>0</v>
      </c>
    </row>
    <row r="246" spans="1:12" x14ac:dyDescent="0.25">
      <c r="A246" t="s">
        <v>294</v>
      </c>
      <c r="B246" t="str">
        <f>_xlfn.XLOOKUP($A246,Load!$B:$B,Load!C:C,0,)</f>
        <v>Tootsie</v>
      </c>
      <c r="C246" t="str">
        <f>_xlfn.XLOOKUP($A246,Load!$B:$B,Load!D:D,0,)</f>
        <v>Non-Chocolate Candy Only</v>
      </c>
      <c r="D246" t="str">
        <f>_xlfn.XLOOKUP($A246,Load!$B:$B,Load!E:E,0,)</f>
        <v>Sweet</v>
      </c>
      <c r="E246" t="str">
        <f>_xlfn.XLOOKUP($A246,Load!$B:$B,Load!F:F,0,)</f>
        <v>Lollipop (regular or lollipop rings)</v>
      </c>
      <c r="F246" t="str">
        <f>_xlfn.XLOOKUP($A246,Load!$B:$B,Load!G:G,0,)</f>
        <v>Large Multipack (More than 80 ct)</v>
      </c>
      <c r="G246" t="str">
        <f>_xlfn.XLOOKUP($A246,Load!$B:$B,Load!H:H,0,)</f>
        <v>Laydown Bag</v>
      </c>
      <c r="H246" t="str">
        <f>_xlfn.XLOOKUP($A246,Load!$B:$B,Load!I:I,0,)</f>
        <v>Everyday Candy Shapes (like Original, Gummy bear, Fruit, Jewels, etc.)</v>
      </c>
      <c r="I246" t="str">
        <f>_xlfn.XLOOKUP($A246,Load!$B:$B,Load!J:J,0,)</f>
        <v>Everyday Graphics</v>
      </c>
      <c r="J246" t="str">
        <f>_xlfn.XLOOKUP($A246,Load!$B:$B,Load!K:K,0,)</f>
        <v>Regular Lollipop size (on sticks or rings)</v>
      </c>
      <c r="K246" t="str">
        <f>_xlfn.XLOOKUP($A246,Load!$B:$B,Load!L:L,0,)</f>
        <v>Regular/Original Wrapping</v>
      </c>
      <c r="L246" t="str">
        <f>_xlfn.XLOOKUP($A246,Load!$B:$B,Load!M:M,0,)</f>
        <v>Single Brand / Single Flavor or Form</v>
      </c>
    </row>
    <row r="247" spans="1:12" x14ac:dyDescent="0.25">
      <c r="A247" t="s">
        <v>140</v>
      </c>
      <c r="B247" t="str">
        <f>_xlfn.XLOOKUP($A247,Load!$B:$B,Load!C:C,0,)</f>
        <v>Hershey's Variety Pack + Haribo</v>
      </c>
      <c r="C247" t="str">
        <f>_xlfn.XLOOKUP($A247,Load!$B:$B,Load!D:D,0,)</f>
        <v>Mix of Chocolate and Non-Chocolate Candy</v>
      </c>
      <c r="D247" t="str">
        <f>_xlfn.XLOOKUP($A247,Load!$B:$B,Load!E:E,0,)</f>
        <v>Variety / Mixed Flavors (Fruity, Sour, Seasonal Flavors)</v>
      </c>
      <c r="E247" t="str">
        <f>_xlfn.XLOOKUP($A247,Load!$B:$B,Load!F:F,0,)</f>
        <v>Mixed / Combo Packs (Gummy, Chewy, Taffy, etc.)</v>
      </c>
      <c r="F247" t="str">
        <f>_xlfn.XLOOKUP($A247,Load!$B:$B,Load!G:G,0,)</f>
        <v>Large Multipack (More than 80 ct)</v>
      </c>
      <c r="G247" t="str">
        <f>_xlfn.XLOOKUP($A247,Load!$B:$B,Load!H:H,0,)</f>
        <v>Stand-Up Bag</v>
      </c>
      <c r="H247" t="str">
        <f>_xlfn.XLOOKUP($A247,Load!$B:$B,Load!I:I,0,)</f>
        <v>Everyday Candy Shapes (like Original, Gummy bear, Fruit, Jewels, etc.)</v>
      </c>
      <c r="I247" t="str">
        <f>_xlfn.XLOOKUP($A247,Load!$B:$B,Load!J:J,0,)</f>
        <v>Seasonal Graphics (Like Bat, Ghost, Pumpkin, Fall Leaves, Eyeballs, etc.)</v>
      </c>
      <c r="J247" t="str">
        <f>_xlfn.XLOOKUP($A247,Load!$B:$B,Load!K:K,0,)</f>
        <v xml:space="preserve">Variety Candy Sizes </v>
      </c>
      <c r="K247" t="str">
        <f>_xlfn.XLOOKUP($A247,Load!$B:$B,Load!L:L,0,)</f>
        <v>Regular/Original Wrapping</v>
      </c>
      <c r="L247" t="str">
        <f>_xlfn.XLOOKUP($A247,Load!$B:$B,Load!M:M,0,)</f>
        <v>Multiple Brands / Variety Flavors or Form</v>
      </c>
    </row>
    <row r="248" spans="1:12" x14ac:dyDescent="0.25">
      <c r="B248">
        <f>_xlfn.XLOOKUP($A248,Load!$B:$B,Load!C:C,0,)</f>
        <v>0</v>
      </c>
      <c r="C248">
        <f>_xlfn.XLOOKUP($A248,Load!$B:$B,Load!D:D,0,)</f>
        <v>0</v>
      </c>
      <c r="D248">
        <f>_xlfn.XLOOKUP($A248,Load!$B:$B,Load!E:E,0,)</f>
        <v>0</v>
      </c>
      <c r="E248">
        <f>_xlfn.XLOOKUP($A248,Load!$B:$B,Load!F:F,0,)</f>
        <v>0</v>
      </c>
      <c r="F248">
        <f>_xlfn.XLOOKUP($A248,Load!$B:$B,Load!G:G,0,)</f>
        <v>0</v>
      </c>
      <c r="G248">
        <f>_xlfn.XLOOKUP($A248,Load!$B:$B,Load!H:H,0,)</f>
        <v>0</v>
      </c>
      <c r="H248">
        <f>_xlfn.XLOOKUP($A248,Load!$B:$B,Load!I:I,0,)</f>
        <v>0</v>
      </c>
      <c r="I248">
        <f>_xlfn.XLOOKUP($A248,Load!$B:$B,Load!J:J,0,)</f>
        <v>0</v>
      </c>
      <c r="J248">
        <f>_xlfn.XLOOKUP($A248,Load!$B:$B,Load!K:K,0,)</f>
        <v>0</v>
      </c>
      <c r="K248">
        <f>_xlfn.XLOOKUP($A248,Load!$B:$B,Load!L:L,0,)</f>
        <v>0</v>
      </c>
      <c r="L248">
        <f>_xlfn.XLOOKUP($A248,Load!$B:$B,Load!M:M,0,)</f>
        <v>0</v>
      </c>
    </row>
    <row r="249" spans="1:12" x14ac:dyDescent="0.25">
      <c r="B249">
        <f>_xlfn.XLOOKUP($A249,Load!$B:$B,Load!C:C,0,)</f>
        <v>0</v>
      </c>
      <c r="C249">
        <f>_xlfn.XLOOKUP($A249,Load!$B:$B,Load!D:D,0,)</f>
        <v>0</v>
      </c>
      <c r="D249">
        <f>_xlfn.XLOOKUP($A249,Load!$B:$B,Load!E:E,0,)</f>
        <v>0</v>
      </c>
      <c r="E249">
        <f>_xlfn.XLOOKUP($A249,Load!$B:$B,Load!F:F,0,)</f>
        <v>0</v>
      </c>
      <c r="F249">
        <f>_xlfn.XLOOKUP($A249,Load!$B:$B,Load!G:G,0,)</f>
        <v>0</v>
      </c>
      <c r="G249">
        <f>_xlfn.XLOOKUP($A249,Load!$B:$B,Load!H:H,0,)</f>
        <v>0</v>
      </c>
      <c r="H249">
        <f>_xlfn.XLOOKUP($A249,Load!$B:$B,Load!I:I,0,)</f>
        <v>0</v>
      </c>
      <c r="I249">
        <f>_xlfn.XLOOKUP($A249,Load!$B:$B,Load!J:J,0,)</f>
        <v>0</v>
      </c>
      <c r="J249">
        <f>_xlfn.XLOOKUP($A249,Load!$B:$B,Load!K:K,0,)</f>
        <v>0</v>
      </c>
      <c r="K249">
        <f>_xlfn.XLOOKUP($A249,Load!$B:$B,Load!L:L,0,)</f>
        <v>0</v>
      </c>
      <c r="L249">
        <f>_xlfn.XLOOKUP($A249,Load!$B:$B,Load!M:M,0,)</f>
        <v>0</v>
      </c>
    </row>
    <row r="250" spans="1:12" x14ac:dyDescent="0.25">
      <c r="A250" t="s">
        <v>242</v>
      </c>
      <c r="B250" t="str">
        <f>_xlfn.XLOOKUP($A250,Load!$B:$B,Load!C:C,0,)</f>
        <v>Peeps</v>
      </c>
      <c r="C250" t="str">
        <f>_xlfn.XLOOKUP($A250,Load!$B:$B,Load!D:D,0,)</f>
        <v>Non-Chocolate Candy Only</v>
      </c>
      <c r="D250" t="str">
        <f>_xlfn.XLOOKUP($A250,Load!$B:$B,Load!E:E,0,)</f>
        <v>Sweet</v>
      </c>
      <c r="E250" t="str">
        <f>_xlfn.XLOOKUP($A250,Load!$B:$B,Load!F:F,0,)</f>
        <v>Foamy / Aerated / Freeze Dried</v>
      </c>
      <c r="F250" t="str">
        <f>_xlfn.XLOOKUP($A250,Load!$B:$B,Load!G:G,0,)</f>
        <v>Single Pack</v>
      </c>
      <c r="G250" t="str">
        <f>_xlfn.XLOOKUP($A250,Load!$B:$B,Load!H:H,0,)</f>
        <v>Box (theatre box, gift box, carton)</v>
      </c>
      <c r="H250" t="str">
        <f>_xlfn.XLOOKUP($A250,Load!$B:$B,Load!I:I,0,)</f>
        <v>Seasonal Shapes (like pumpkins, candy corn, ghost, bats, etc.)</v>
      </c>
      <c r="I250" t="str">
        <f>_xlfn.XLOOKUP($A250,Load!$B:$B,Load!J:J,0,)</f>
        <v>Seasonal Graphics (Like Bat, Ghost, Pumpkin, Fall Leaves, Eyeballs, etc.)</v>
      </c>
      <c r="J250" t="str">
        <f>_xlfn.XLOOKUP($A250,Load!$B:$B,Load!K:K,0,)</f>
        <v>Fun Size / Treat Size</v>
      </c>
      <c r="K250" t="str">
        <f>_xlfn.XLOOKUP($A250,Load!$B:$B,Load!L:L,0,)</f>
        <v>Unwrapped</v>
      </c>
      <c r="L250" t="str">
        <f>_xlfn.XLOOKUP($A250,Load!$B:$B,Load!M:M,0,)</f>
        <v>Single Brand / Single Flavor or Form</v>
      </c>
    </row>
    <row r="251" spans="1:12" x14ac:dyDescent="0.25">
      <c r="A251" t="s">
        <v>223</v>
      </c>
      <c r="B251" t="str">
        <f>_xlfn.XLOOKUP($A251,Load!$B:$B,Load!C:C,0,)</f>
        <v>Nerds</v>
      </c>
      <c r="C251" t="str">
        <f>_xlfn.XLOOKUP($A251,Load!$B:$B,Load!D:D,0,)</f>
        <v>Non-Chocolate Candy Only</v>
      </c>
      <c r="D251" t="str">
        <f>_xlfn.XLOOKUP($A251,Load!$B:$B,Load!E:E,0,)</f>
        <v>Sweet</v>
      </c>
      <c r="E251" t="str">
        <f>_xlfn.XLOOKUP($A251,Load!$B:$B,Load!F:F,0,)</f>
        <v>Gummy</v>
      </c>
      <c r="F251" t="str">
        <f>_xlfn.XLOOKUP($A251,Load!$B:$B,Load!G:G,0,)</f>
        <v>Small Multipack (Less than 40 ct)</v>
      </c>
      <c r="G251" t="str">
        <f>_xlfn.XLOOKUP($A251,Load!$B:$B,Load!H:H,0,)</f>
        <v>Laydown Bag</v>
      </c>
      <c r="H251" t="str">
        <f>_xlfn.XLOOKUP($A251,Load!$B:$B,Load!I:I,0,)</f>
        <v>Everyday Candy Shapes (like Original, Gummy bear, Fruit, Jewels, etc.)</v>
      </c>
      <c r="I251" t="str">
        <f>_xlfn.XLOOKUP($A251,Load!$B:$B,Load!J:J,0,)</f>
        <v>Seasonal Graphics (Like Bat, Ghost, Pumpkin, Fall Leaves, Eyeballs, etc.)</v>
      </c>
      <c r="J251" t="str">
        <f>_xlfn.XLOOKUP($A251,Load!$B:$B,Load!K:K,0,)</f>
        <v>Small Pieces (Tiny bite size candies)</v>
      </c>
      <c r="K251" t="str">
        <f>_xlfn.XLOOKUP($A251,Load!$B:$B,Load!L:L,0,)</f>
        <v>Regular/Original Wrapping</v>
      </c>
      <c r="L251" t="str">
        <f>_xlfn.XLOOKUP($A251,Load!$B:$B,Load!M:M,0,)</f>
        <v>Single Brand / Variety Flavors or Form</v>
      </c>
    </row>
    <row r="252" spans="1:12" x14ac:dyDescent="0.25">
      <c r="A252" t="s">
        <v>267</v>
      </c>
      <c r="B252" t="str">
        <f>_xlfn.XLOOKUP($A252,Load!$B:$B,Load!C:C,0,)</f>
        <v>Sour Patch Kids</v>
      </c>
      <c r="C252" t="str">
        <f>_xlfn.XLOOKUP($A252,Load!$B:$B,Load!D:D,0,)</f>
        <v>Non-Chocolate Candy Only</v>
      </c>
      <c r="D252" t="str">
        <f>_xlfn.XLOOKUP($A252,Load!$B:$B,Load!E:E,0,)</f>
        <v>Sour</v>
      </c>
      <c r="E252" t="str">
        <f>_xlfn.XLOOKUP($A252,Load!$B:$B,Load!F:F,0,)</f>
        <v>Chewy</v>
      </c>
      <c r="F252" t="str">
        <f>_xlfn.XLOOKUP($A252,Load!$B:$B,Load!G:G,0,)</f>
        <v>Small Multipack (Less than 40 ct)</v>
      </c>
      <c r="G252" t="str">
        <f>_xlfn.XLOOKUP($A252,Load!$B:$B,Load!H:H,0,)</f>
        <v>Laydown Bag</v>
      </c>
      <c r="H252" t="str">
        <f>_xlfn.XLOOKUP($A252,Load!$B:$B,Load!I:I,0,)</f>
        <v>Everyday Candy Shapes (like Original, Gummy bear, Fruit, Jewels, etc.)</v>
      </c>
      <c r="I252" t="str">
        <f>_xlfn.XLOOKUP($A252,Load!$B:$B,Load!J:J,0,)</f>
        <v>Seasonal Graphics (Like Bat, Ghost, Pumpkin, Fall Leaves, Eyeballs, etc.)</v>
      </c>
      <c r="J252" t="str">
        <f>_xlfn.XLOOKUP($A252,Load!$B:$B,Load!K:K,0,)</f>
        <v>Small Pieces (Tiny bite size candies)</v>
      </c>
      <c r="K252" t="str">
        <f>_xlfn.XLOOKUP($A252,Load!$B:$B,Load!L:L,0,)</f>
        <v>Regular/Original Wrapping</v>
      </c>
      <c r="L252" t="str">
        <f>_xlfn.XLOOKUP($A252,Load!$B:$B,Load!M:M,0,)</f>
        <v>Single Brand / Variety Flavors or Form</v>
      </c>
    </row>
    <row r="253" spans="1:12" x14ac:dyDescent="0.25">
      <c r="A253" t="s">
        <v>112</v>
      </c>
      <c r="B253" t="str">
        <f>_xlfn.XLOOKUP($A253,Load!$B:$B,Load!C:C,0,)</f>
        <v>Frankford</v>
      </c>
      <c r="C253" t="str">
        <f>_xlfn.XLOOKUP($A253,Load!$B:$B,Load!D:D,0,)</f>
        <v>Non-Chocolate Candy Only</v>
      </c>
      <c r="D253" t="str">
        <f>_xlfn.XLOOKUP($A253,Load!$B:$B,Load!E:E,0,)</f>
        <v>Sour</v>
      </c>
      <c r="E253" t="str">
        <f>_xlfn.XLOOKUP($A253,Load!$B:$B,Load!F:F,0,)</f>
        <v>Mixed / Combo Packs (Gummy, Chewy, Taffy, etc.)</v>
      </c>
      <c r="F253" t="str">
        <f>_xlfn.XLOOKUP($A253,Load!$B:$B,Load!G:G,0,)</f>
        <v>Large Multipack (More than 80 ct)</v>
      </c>
      <c r="G253" t="str">
        <f>_xlfn.XLOOKUP($A253,Load!$B:$B,Load!H:H,0,)</f>
        <v>Laydown Bag</v>
      </c>
      <c r="H253" t="str">
        <f>_xlfn.XLOOKUP($A253,Load!$B:$B,Load!I:I,0,)</f>
        <v>Everyday Candy Shapes (like Original, Gummy bear, Fruit, Jewels, etc.)</v>
      </c>
      <c r="I253" t="str">
        <f>_xlfn.XLOOKUP($A253,Load!$B:$B,Load!J:J,0,)</f>
        <v>Seasonal Graphics (Like Bat, Ghost, Pumpkin, Fall Leaves, Eyeballs, etc.)</v>
      </c>
      <c r="J253" t="str">
        <f>_xlfn.XLOOKUP($A253,Load!$B:$B,Load!K:K,0,)</f>
        <v>Small Pieces (Tiny bite size candies)</v>
      </c>
      <c r="K253" t="str">
        <f>_xlfn.XLOOKUP($A253,Load!$B:$B,Load!L:L,0,)</f>
        <v>Regular/Original Wrapping</v>
      </c>
      <c r="L253" t="str">
        <f>_xlfn.XLOOKUP($A253,Load!$B:$B,Load!M:M,0,)</f>
        <v>Multiple Brands / Variety Flavors or Form</v>
      </c>
    </row>
    <row r="254" spans="1:12" x14ac:dyDescent="0.25">
      <c r="A254" t="s">
        <v>304</v>
      </c>
      <c r="B254" t="str">
        <f>_xlfn.XLOOKUP($A254,Load!$B:$B,Load!C:C,0,)</f>
        <v>Warheads</v>
      </c>
      <c r="C254" t="str">
        <f>_xlfn.XLOOKUP($A254,Load!$B:$B,Load!D:D,0,)</f>
        <v>Non-Chocolate Candy Only</v>
      </c>
      <c r="D254" t="str">
        <f>_xlfn.XLOOKUP($A254,Load!$B:$B,Load!E:E,0,)</f>
        <v>Sour</v>
      </c>
      <c r="E254" t="str">
        <f>_xlfn.XLOOKUP($A254,Load!$B:$B,Load!F:F,0,)</f>
        <v>Chewy</v>
      </c>
      <c r="F254" t="str">
        <f>_xlfn.XLOOKUP($A254,Load!$B:$B,Load!G:G,0,)</f>
        <v>Medium Multipack (40–80 ct)</v>
      </c>
      <c r="G254" t="str">
        <f>_xlfn.XLOOKUP($A254,Load!$B:$B,Load!H:H,0,)</f>
        <v>Laydown Bag</v>
      </c>
      <c r="H254" t="str">
        <f>_xlfn.XLOOKUP($A254,Load!$B:$B,Load!I:I,0,)</f>
        <v>Everyday Candy Shapes (like Original, Gummy bear, Fruit, Jewels, etc.)</v>
      </c>
      <c r="I254" t="str">
        <f>_xlfn.XLOOKUP($A254,Load!$B:$B,Load!J:J,0,)</f>
        <v>Seasonal Graphics (Like Bat, Ghost, Pumpkin, Fall Leaves, Eyeballs, etc.)</v>
      </c>
      <c r="J254" t="str">
        <f>_xlfn.XLOOKUP($A254,Load!$B:$B,Load!K:K,0,)</f>
        <v>Fun Size / Treat Size</v>
      </c>
      <c r="K254" t="str">
        <f>_xlfn.XLOOKUP($A254,Load!$B:$B,Load!L:L,0,)</f>
        <v>Regular/Original Wrapping</v>
      </c>
      <c r="L254" t="str">
        <f>_xlfn.XLOOKUP($A254,Load!$B:$B,Load!M:M,0,)</f>
        <v>Single Brand / Single Flavor or Form</v>
      </c>
    </row>
    <row r="255" spans="1:12" x14ac:dyDescent="0.25">
      <c r="B255">
        <f>_xlfn.XLOOKUP($A255,Load!$B:$B,Load!C:C,0,)</f>
        <v>0</v>
      </c>
      <c r="C255">
        <f>_xlfn.XLOOKUP($A255,Load!$B:$B,Load!D:D,0,)</f>
        <v>0</v>
      </c>
      <c r="D255">
        <f>_xlfn.XLOOKUP($A255,Load!$B:$B,Load!E:E,0,)</f>
        <v>0</v>
      </c>
      <c r="E255">
        <f>_xlfn.XLOOKUP($A255,Load!$B:$B,Load!F:F,0,)</f>
        <v>0</v>
      </c>
      <c r="F255">
        <f>_xlfn.XLOOKUP($A255,Load!$B:$B,Load!G:G,0,)</f>
        <v>0</v>
      </c>
      <c r="G255">
        <f>_xlfn.XLOOKUP($A255,Load!$B:$B,Load!H:H,0,)</f>
        <v>0</v>
      </c>
      <c r="H255">
        <f>_xlfn.XLOOKUP($A255,Load!$B:$B,Load!I:I,0,)</f>
        <v>0</v>
      </c>
      <c r="I255">
        <f>_xlfn.XLOOKUP($A255,Load!$B:$B,Load!J:J,0,)</f>
        <v>0</v>
      </c>
      <c r="J255">
        <f>_xlfn.XLOOKUP($A255,Load!$B:$B,Load!K:K,0,)</f>
        <v>0</v>
      </c>
      <c r="K255">
        <f>_xlfn.XLOOKUP($A255,Load!$B:$B,Load!L:L,0,)</f>
        <v>0</v>
      </c>
      <c r="L255">
        <f>_xlfn.XLOOKUP($A255,Load!$B:$B,Load!M:M,0,)</f>
        <v>0</v>
      </c>
    </row>
    <row r="256" spans="1:12" x14ac:dyDescent="0.25">
      <c r="A256" t="s">
        <v>275</v>
      </c>
      <c r="B256" t="str">
        <f>_xlfn.XLOOKUP($A256,Load!$B:$B,Load!C:C,0,)</f>
        <v>Mondelez Variety Pack</v>
      </c>
      <c r="C256" t="str">
        <f>_xlfn.XLOOKUP($A256,Load!$B:$B,Load!D:D,0,)</f>
        <v>Non-Chocolate Candy Only</v>
      </c>
      <c r="D256" t="str">
        <f>_xlfn.XLOOKUP($A256,Load!$B:$B,Load!E:E,0,)</f>
        <v>Variety / Mixed Flavors (Fruity, Sour, Seasonal Flavors)</v>
      </c>
      <c r="E256" t="str">
        <f>_xlfn.XLOOKUP($A256,Load!$B:$B,Load!F:F,0,)</f>
        <v>Mixed / Combo Packs (Gummy, Chewy, Taffy, etc.)</v>
      </c>
      <c r="F256" t="str">
        <f>_xlfn.XLOOKUP($A256,Load!$B:$B,Load!G:G,0,)</f>
        <v>Small Multipack (Less than 40 ct)</v>
      </c>
      <c r="G256" t="str">
        <f>_xlfn.XLOOKUP($A256,Load!$B:$B,Load!H:H,0,)</f>
        <v>Box (theatre box, gift box, carton)</v>
      </c>
      <c r="H256" t="str">
        <f>_xlfn.XLOOKUP($A256,Load!$B:$B,Load!I:I,0,)</f>
        <v>Everyday Candy Shapes (like Original, Gummy bear, Fruit, Jewels, etc.)</v>
      </c>
      <c r="I256" t="str">
        <f>_xlfn.XLOOKUP($A256,Load!$B:$B,Load!J:J,0,)</f>
        <v>Seasonal Graphics (Like Bat, Ghost, Pumpkin, Fall Leaves, Eyeballs, etc.)</v>
      </c>
      <c r="J256" t="str">
        <f>_xlfn.XLOOKUP($A256,Load!$B:$B,Load!K:K,0,)</f>
        <v>Small Pieces (Tiny bite size candies)</v>
      </c>
      <c r="K256" t="str">
        <f>_xlfn.XLOOKUP($A256,Load!$B:$B,Load!L:L,0,)</f>
        <v>Regular/Original Wrapping</v>
      </c>
      <c r="L256" t="str">
        <f>_xlfn.XLOOKUP($A256,Load!$B:$B,Load!M:M,0,)</f>
        <v>Multiple Brands / Variety Flavors or Form</v>
      </c>
    </row>
    <row r="257" spans="1:12" x14ac:dyDescent="0.25">
      <c r="A257" t="s">
        <v>326</v>
      </c>
      <c r="B257" t="str">
        <f>_xlfn.XLOOKUP($A257,Load!$B:$B,Load!C:C,0,)</f>
        <v>Mondelez Variety Pack</v>
      </c>
      <c r="C257" t="str">
        <f>_xlfn.XLOOKUP($A257,Load!$B:$B,Load!D:D,0,)</f>
        <v>Mix of Chocolate and Non-Chocolate Candy</v>
      </c>
      <c r="D257" t="str">
        <f>_xlfn.XLOOKUP($A257,Load!$B:$B,Load!E:E,0,)</f>
        <v>Variety / Mixed Flavors (Fruity, Sour, Seasonal Flavors)</v>
      </c>
      <c r="E257" t="str">
        <f>_xlfn.XLOOKUP($A257,Load!$B:$B,Load!F:F,0,)</f>
        <v>Mixed / Combo Packs (Gummy, Chewy, Taffy, etc.)</v>
      </c>
      <c r="F257" t="str">
        <f>_xlfn.XLOOKUP($A257,Load!$B:$B,Load!G:G,0,)</f>
        <v>Medium Multipack (40–80 ct)</v>
      </c>
      <c r="G257" t="str">
        <f>_xlfn.XLOOKUP($A257,Load!$B:$B,Load!H:H,0,)</f>
        <v>Stand-Up Bag</v>
      </c>
      <c r="H257" t="str">
        <f>_xlfn.XLOOKUP($A257,Load!$B:$B,Load!I:I,0,)</f>
        <v>Everyday Candy Shapes (like Original, Gummy bear, Fruit, Jewels, etc.)</v>
      </c>
      <c r="I257" t="str">
        <f>_xlfn.XLOOKUP($A257,Load!$B:$B,Load!J:J,0,)</f>
        <v>Seasonal Graphics (Like Bat, Ghost, Pumpkin, Fall Leaves, Eyeballs, etc.)</v>
      </c>
      <c r="J257" t="str">
        <f>_xlfn.XLOOKUP($A257,Load!$B:$B,Load!K:K,0,)</f>
        <v xml:space="preserve">Variety Candy Sizes </v>
      </c>
      <c r="K257" t="str">
        <f>_xlfn.XLOOKUP($A257,Load!$B:$B,Load!L:L,0,)</f>
        <v>Regular/Original Wrapping</v>
      </c>
      <c r="L257" t="str">
        <f>_xlfn.XLOOKUP($A257,Load!$B:$B,Load!M:M,0,)</f>
        <v>Multiple Brands / Variety Flavors or Form</v>
      </c>
    </row>
    <row r="258" spans="1:12" x14ac:dyDescent="0.25">
      <c r="B258">
        <f>_xlfn.XLOOKUP($A258,Load!$B:$B,Load!C:C,0,)</f>
        <v>0</v>
      </c>
      <c r="C258">
        <f>_xlfn.XLOOKUP($A258,Load!$B:$B,Load!D:D,0,)</f>
        <v>0</v>
      </c>
      <c r="D258">
        <f>_xlfn.XLOOKUP($A258,Load!$B:$B,Load!E:E,0,)</f>
        <v>0</v>
      </c>
      <c r="E258">
        <f>_xlfn.XLOOKUP($A258,Load!$B:$B,Load!F:F,0,)</f>
        <v>0</v>
      </c>
      <c r="F258">
        <f>_xlfn.XLOOKUP($A258,Load!$B:$B,Load!G:G,0,)</f>
        <v>0</v>
      </c>
      <c r="G258">
        <f>_xlfn.XLOOKUP($A258,Load!$B:$B,Load!H:H,0,)</f>
        <v>0</v>
      </c>
      <c r="H258">
        <f>_xlfn.XLOOKUP($A258,Load!$B:$B,Load!I:I,0,)</f>
        <v>0</v>
      </c>
      <c r="I258">
        <f>_xlfn.XLOOKUP($A258,Load!$B:$B,Load!J:J,0,)</f>
        <v>0</v>
      </c>
      <c r="J258">
        <f>_xlfn.XLOOKUP($A258,Load!$B:$B,Load!K:K,0,)</f>
        <v>0</v>
      </c>
      <c r="K258">
        <f>_xlfn.XLOOKUP($A258,Load!$B:$B,Load!L:L,0,)</f>
        <v>0</v>
      </c>
      <c r="L258">
        <f>_xlfn.XLOOKUP($A258,Load!$B:$B,Load!M:M,0,)</f>
        <v>0</v>
      </c>
    </row>
    <row r="259" spans="1:12" x14ac:dyDescent="0.25">
      <c r="B259">
        <f>_xlfn.XLOOKUP($A259,Load!$B:$B,Load!C:C,0,)</f>
        <v>0</v>
      </c>
      <c r="C259">
        <f>_xlfn.XLOOKUP($A259,Load!$B:$B,Load!D:D,0,)</f>
        <v>0</v>
      </c>
      <c r="D259">
        <f>_xlfn.XLOOKUP($A259,Load!$B:$B,Load!E:E,0,)</f>
        <v>0</v>
      </c>
      <c r="E259">
        <f>_xlfn.XLOOKUP($A259,Load!$B:$B,Load!F:F,0,)</f>
        <v>0</v>
      </c>
      <c r="F259">
        <f>_xlfn.XLOOKUP($A259,Load!$B:$B,Load!G:G,0,)</f>
        <v>0</v>
      </c>
      <c r="G259">
        <f>_xlfn.XLOOKUP($A259,Load!$B:$B,Load!H:H,0,)</f>
        <v>0</v>
      </c>
      <c r="H259">
        <f>_xlfn.XLOOKUP($A259,Load!$B:$B,Load!I:I,0,)</f>
        <v>0</v>
      </c>
      <c r="I259">
        <f>_xlfn.XLOOKUP($A259,Load!$B:$B,Load!J:J,0,)</f>
        <v>0</v>
      </c>
      <c r="J259">
        <f>_xlfn.XLOOKUP($A259,Load!$B:$B,Load!K:K,0,)</f>
        <v>0</v>
      </c>
      <c r="K259">
        <f>_xlfn.XLOOKUP($A259,Load!$B:$B,Load!L:L,0,)</f>
        <v>0</v>
      </c>
      <c r="L259">
        <f>_xlfn.XLOOKUP($A259,Load!$B:$B,Load!M:M,0,)</f>
        <v>0</v>
      </c>
    </row>
    <row r="260" spans="1:12" x14ac:dyDescent="0.25">
      <c r="B260">
        <f>_xlfn.XLOOKUP($A260,Load!$B:$B,Load!C:C,0,)</f>
        <v>0</v>
      </c>
      <c r="C260">
        <f>_xlfn.XLOOKUP($A260,Load!$B:$B,Load!D:D,0,)</f>
        <v>0</v>
      </c>
      <c r="D260">
        <f>_xlfn.XLOOKUP($A260,Load!$B:$B,Load!E:E,0,)</f>
        <v>0</v>
      </c>
      <c r="E260">
        <f>_xlfn.XLOOKUP($A260,Load!$B:$B,Load!F:F,0,)</f>
        <v>0</v>
      </c>
      <c r="F260">
        <f>_xlfn.XLOOKUP($A260,Load!$B:$B,Load!G:G,0,)</f>
        <v>0</v>
      </c>
      <c r="G260">
        <f>_xlfn.XLOOKUP($A260,Load!$B:$B,Load!H:H,0,)</f>
        <v>0</v>
      </c>
      <c r="H260">
        <f>_xlfn.XLOOKUP($A260,Load!$B:$B,Load!I:I,0,)</f>
        <v>0</v>
      </c>
      <c r="I260">
        <f>_xlfn.XLOOKUP($A260,Load!$B:$B,Load!J:J,0,)</f>
        <v>0</v>
      </c>
      <c r="J260">
        <f>_xlfn.XLOOKUP($A260,Load!$B:$B,Load!K:K,0,)</f>
        <v>0</v>
      </c>
      <c r="K260">
        <f>_xlfn.XLOOKUP($A260,Load!$B:$B,Load!L:L,0,)</f>
        <v>0</v>
      </c>
      <c r="L260">
        <f>_xlfn.XLOOKUP($A260,Load!$B:$B,Load!M:M,0,)</f>
        <v>0</v>
      </c>
    </row>
    <row r="261" spans="1:12" x14ac:dyDescent="0.25">
      <c r="B261">
        <f>_xlfn.XLOOKUP($A261,Load!$B:$B,Load!C:C,0,)</f>
        <v>0</v>
      </c>
      <c r="C261">
        <f>_xlfn.XLOOKUP($A261,Load!$B:$B,Load!D:D,0,)</f>
        <v>0</v>
      </c>
      <c r="D261">
        <f>_xlfn.XLOOKUP($A261,Load!$B:$B,Load!E:E,0,)</f>
        <v>0</v>
      </c>
      <c r="E261">
        <f>_xlfn.XLOOKUP($A261,Load!$B:$B,Load!F:F,0,)</f>
        <v>0</v>
      </c>
      <c r="F261">
        <f>_xlfn.XLOOKUP($A261,Load!$B:$B,Load!G:G,0,)</f>
        <v>0</v>
      </c>
      <c r="G261">
        <f>_xlfn.XLOOKUP($A261,Load!$B:$B,Load!H:H,0,)</f>
        <v>0</v>
      </c>
      <c r="H261">
        <f>_xlfn.XLOOKUP($A261,Load!$B:$B,Load!I:I,0,)</f>
        <v>0</v>
      </c>
      <c r="I261">
        <f>_xlfn.XLOOKUP($A261,Load!$B:$B,Load!J:J,0,)</f>
        <v>0</v>
      </c>
      <c r="J261">
        <f>_xlfn.XLOOKUP($A261,Load!$B:$B,Load!K:K,0,)</f>
        <v>0</v>
      </c>
      <c r="K261">
        <f>_xlfn.XLOOKUP($A261,Load!$B:$B,Load!L:L,0,)</f>
        <v>0</v>
      </c>
      <c r="L261">
        <f>_xlfn.XLOOKUP($A261,Load!$B:$B,Load!M:M,0,)</f>
        <v>0</v>
      </c>
    </row>
    <row r="262" spans="1:12" x14ac:dyDescent="0.25">
      <c r="A262" t="s">
        <v>230</v>
      </c>
      <c r="B262" t="str">
        <f>_xlfn.XLOOKUP($A262,Load!$B:$B,Load!C:C,0,)</f>
        <v>Nerds</v>
      </c>
      <c r="C262" t="str">
        <f>_xlfn.XLOOKUP($A262,Load!$B:$B,Load!D:D,0,)</f>
        <v>Non-Chocolate Candy Only</v>
      </c>
      <c r="D262" t="str">
        <f>_xlfn.XLOOKUP($A262,Load!$B:$B,Load!E:E,0,)</f>
        <v>Sweet</v>
      </c>
      <c r="E262" t="str">
        <f>_xlfn.XLOOKUP($A262,Load!$B:$B,Load!F:F,0,)</f>
        <v>Chewy</v>
      </c>
      <c r="F262" t="str">
        <f>_xlfn.XLOOKUP($A262,Load!$B:$B,Load!G:G,0,)</f>
        <v>Single Pack</v>
      </c>
      <c r="G262" t="str">
        <f>_xlfn.XLOOKUP($A262,Load!$B:$B,Load!H:H,0,)</f>
        <v>Laydown Bag</v>
      </c>
      <c r="H262" t="str">
        <f>_xlfn.XLOOKUP($A262,Load!$B:$B,Load!I:I,0,)</f>
        <v>Everyday Candy Shapes (like Original, Gummy bear, Fruit, Jewels, etc.)</v>
      </c>
      <c r="I262" t="str">
        <f>_xlfn.XLOOKUP($A262,Load!$B:$B,Load!J:J,0,)</f>
        <v>Seasonal Graphics (Like Bat, Ghost, Pumpkin, Fall Leaves, Eyeballs, etc.)</v>
      </c>
      <c r="J262" t="str">
        <f>_xlfn.XLOOKUP($A262,Load!$B:$B,Load!K:K,0,)</f>
        <v>Fun Size / Treat Size</v>
      </c>
      <c r="K262" t="str">
        <f>_xlfn.XLOOKUP($A262,Load!$B:$B,Load!L:L,0,)</f>
        <v>Regular/Original Wrapping</v>
      </c>
      <c r="L262" t="str">
        <f>_xlfn.XLOOKUP($A262,Load!$B:$B,Load!M:M,0,)</f>
        <v>Single Brand / Single Flavor or Form</v>
      </c>
    </row>
    <row r="263" spans="1:12" x14ac:dyDescent="0.25">
      <c r="B263">
        <f>_xlfn.XLOOKUP($A263,Load!$B:$B,Load!C:C,0,)</f>
        <v>0</v>
      </c>
      <c r="C263">
        <f>_xlfn.XLOOKUP($A263,Load!$B:$B,Load!D:D,0,)</f>
        <v>0</v>
      </c>
      <c r="D263">
        <f>_xlfn.XLOOKUP($A263,Load!$B:$B,Load!E:E,0,)</f>
        <v>0</v>
      </c>
      <c r="E263">
        <f>_xlfn.XLOOKUP($A263,Load!$B:$B,Load!F:F,0,)</f>
        <v>0</v>
      </c>
      <c r="F263">
        <f>_xlfn.XLOOKUP($A263,Load!$B:$B,Load!G:G,0,)</f>
        <v>0</v>
      </c>
      <c r="G263">
        <f>_xlfn.XLOOKUP($A263,Load!$B:$B,Load!H:H,0,)</f>
        <v>0</v>
      </c>
      <c r="H263">
        <f>_xlfn.XLOOKUP($A263,Load!$B:$B,Load!I:I,0,)</f>
        <v>0</v>
      </c>
      <c r="I263">
        <f>_xlfn.XLOOKUP($A263,Load!$B:$B,Load!J:J,0,)</f>
        <v>0</v>
      </c>
      <c r="J263">
        <f>_xlfn.XLOOKUP($A263,Load!$B:$B,Load!K:K,0,)</f>
        <v>0</v>
      </c>
      <c r="K263">
        <f>_xlfn.XLOOKUP($A263,Load!$B:$B,Load!L:L,0,)</f>
        <v>0</v>
      </c>
      <c r="L263">
        <f>_xlfn.XLOOKUP($A263,Load!$B:$B,Load!M:M,0,)</f>
        <v>0</v>
      </c>
    </row>
    <row r="264" spans="1:12" x14ac:dyDescent="0.25">
      <c r="B264">
        <f>_xlfn.XLOOKUP($A264,Load!$B:$B,Load!C:C,0,)</f>
        <v>0</v>
      </c>
      <c r="C264">
        <f>_xlfn.XLOOKUP($A264,Load!$B:$B,Load!D:D,0,)</f>
        <v>0</v>
      </c>
      <c r="D264">
        <f>_xlfn.XLOOKUP($A264,Load!$B:$B,Load!E:E,0,)</f>
        <v>0</v>
      </c>
      <c r="E264">
        <f>_xlfn.XLOOKUP($A264,Load!$B:$B,Load!F:F,0,)</f>
        <v>0</v>
      </c>
      <c r="F264">
        <f>_xlfn.XLOOKUP($A264,Load!$B:$B,Load!G:G,0,)</f>
        <v>0</v>
      </c>
      <c r="G264">
        <f>_xlfn.XLOOKUP($A264,Load!$B:$B,Load!H:H,0,)</f>
        <v>0</v>
      </c>
      <c r="H264">
        <f>_xlfn.XLOOKUP($A264,Load!$B:$B,Load!I:I,0,)</f>
        <v>0</v>
      </c>
      <c r="I264">
        <f>_xlfn.XLOOKUP($A264,Load!$B:$B,Load!J:J,0,)</f>
        <v>0</v>
      </c>
      <c r="J264">
        <f>_xlfn.XLOOKUP($A264,Load!$B:$B,Load!K:K,0,)</f>
        <v>0</v>
      </c>
      <c r="K264">
        <f>_xlfn.XLOOKUP($A264,Load!$B:$B,Load!L:L,0,)</f>
        <v>0</v>
      </c>
      <c r="L264">
        <f>_xlfn.XLOOKUP($A264,Load!$B:$B,Load!M:M,0,)</f>
        <v>0</v>
      </c>
    </row>
    <row r="265" spans="1:12" x14ac:dyDescent="0.25">
      <c r="B265">
        <f>_xlfn.XLOOKUP($A265,Load!$B:$B,Load!C:C,0,)</f>
        <v>0</v>
      </c>
      <c r="C265">
        <f>_xlfn.XLOOKUP($A265,Load!$B:$B,Load!D:D,0,)</f>
        <v>0</v>
      </c>
      <c r="D265">
        <f>_xlfn.XLOOKUP($A265,Load!$B:$B,Load!E:E,0,)</f>
        <v>0</v>
      </c>
      <c r="E265">
        <f>_xlfn.XLOOKUP($A265,Load!$B:$B,Load!F:F,0,)</f>
        <v>0</v>
      </c>
      <c r="F265">
        <f>_xlfn.XLOOKUP($A265,Load!$B:$B,Load!G:G,0,)</f>
        <v>0</v>
      </c>
      <c r="G265">
        <f>_xlfn.XLOOKUP($A265,Load!$B:$B,Load!H:H,0,)</f>
        <v>0</v>
      </c>
      <c r="H265">
        <f>_xlfn.XLOOKUP($A265,Load!$B:$B,Load!I:I,0,)</f>
        <v>0</v>
      </c>
      <c r="I265">
        <f>_xlfn.XLOOKUP($A265,Load!$B:$B,Load!J:J,0,)</f>
        <v>0</v>
      </c>
      <c r="J265">
        <f>_xlfn.XLOOKUP($A265,Load!$B:$B,Load!K:K,0,)</f>
        <v>0</v>
      </c>
      <c r="K265">
        <f>_xlfn.XLOOKUP($A265,Load!$B:$B,Load!L:L,0,)</f>
        <v>0</v>
      </c>
      <c r="L265">
        <f>_xlfn.XLOOKUP($A265,Load!$B:$B,Load!M:M,0,)</f>
        <v>0</v>
      </c>
    </row>
    <row r="266" spans="1:12" x14ac:dyDescent="0.25">
      <c r="A266" t="s">
        <v>161</v>
      </c>
      <c r="B266" t="str">
        <f>_xlfn.XLOOKUP($A266,Load!$B:$B,Load!C:C,0,)</f>
        <v>Jolly Rancher</v>
      </c>
      <c r="C266" t="str">
        <f>_xlfn.XLOOKUP($A266,Load!$B:$B,Load!D:D,0,)</f>
        <v>Non-Chocolate Candy Only</v>
      </c>
      <c r="D266" t="str">
        <f>_xlfn.XLOOKUP($A266,Load!$B:$B,Load!E:E,0,)</f>
        <v>Variety / Mixed Flavors (Fruity, Sour, Seasonal Flavors)</v>
      </c>
      <c r="E266" t="str">
        <f>_xlfn.XLOOKUP($A266,Load!$B:$B,Load!F:F,0,)</f>
        <v>Mixed / Combo Packs (Gummy, Chewy, Taffy, etc.)</v>
      </c>
      <c r="F266" t="str">
        <f>_xlfn.XLOOKUP($A266,Load!$B:$B,Load!G:G,0,)</f>
        <v>Large Multipack (More than 80 ct)</v>
      </c>
      <c r="G266" t="str">
        <f>_xlfn.XLOOKUP($A266,Load!$B:$B,Load!H:H,0,)</f>
        <v>Stand-Up Bag</v>
      </c>
      <c r="H266" t="str">
        <f>_xlfn.XLOOKUP($A266,Load!$B:$B,Load!I:I,0,)</f>
        <v>Everyday Candy Shapes (like Original, Gummy bear, Fruit, Jewels, etc.)</v>
      </c>
      <c r="I266" t="str">
        <f>_xlfn.XLOOKUP($A266,Load!$B:$B,Load!J:J,0,)</f>
        <v>Seasonal Graphics (Like Bat, Ghost, Pumpkin, Fall Leaves, Eyeballs, etc.)</v>
      </c>
      <c r="J266" t="str">
        <f>_xlfn.XLOOKUP($A266,Load!$B:$B,Load!K:K,0,)</f>
        <v xml:space="preserve">Variety Candy Sizes </v>
      </c>
      <c r="K266" t="str">
        <f>_xlfn.XLOOKUP($A266,Load!$B:$B,Load!L:L,0,)</f>
        <v>Regular/Original Wrapping</v>
      </c>
      <c r="L266" t="str">
        <f>_xlfn.XLOOKUP($A266,Load!$B:$B,Load!M:M,0,)</f>
        <v>Single Brand / Variety Flavors or Form</v>
      </c>
    </row>
    <row r="267" spans="1:12" x14ac:dyDescent="0.25">
      <c r="B267">
        <f>_xlfn.XLOOKUP($A267,Load!$B:$B,Load!C:C,0,)</f>
        <v>0</v>
      </c>
      <c r="C267">
        <f>_xlfn.XLOOKUP($A267,Load!$B:$B,Load!D:D,0,)</f>
        <v>0</v>
      </c>
      <c r="D267">
        <f>_xlfn.XLOOKUP($A267,Load!$B:$B,Load!E:E,0,)</f>
        <v>0</v>
      </c>
      <c r="E267">
        <f>_xlfn.XLOOKUP($A267,Load!$B:$B,Load!F:F,0,)</f>
        <v>0</v>
      </c>
      <c r="F267">
        <f>_xlfn.XLOOKUP($A267,Load!$B:$B,Load!G:G,0,)</f>
        <v>0</v>
      </c>
      <c r="G267">
        <f>_xlfn.XLOOKUP($A267,Load!$B:$B,Load!H:H,0,)</f>
        <v>0</v>
      </c>
      <c r="H267">
        <f>_xlfn.XLOOKUP($A267,Load!$B:$B,Load!I:I,0,)</f>
        <v>0</v>
      </c>
      <c r="I267">
        <f>_xlfn.XLOOKUP($A267,Load!$B:$B,Load!J:J,0,)</f>
        <v>0</v>
      </c>
      <c r="J267">
        <f>_xlfn.XLOOKUP($A267,Load!$B:$B,Load!K:K,0,)</f>
        <v>0</v>
      </c>
      <c r="K267">
        <f>_xlfn.XLOOKUP($A267,Load!$B:$B,Load!L:L,0,)</f>
        <v>0</v>
      </c>
      <c r="L267">
        <f>_xlfn.XLOOKUP($A267,Load!$B:$B,Load!M:M,0,)</f>
        <v>0</v>
      </c>
    </row>
    <row r="268" spans="1:12" x14ac:dyDescent="0.25">
      <c r="A268" t="s">
        <v>64</v>
      </c>
      <c r="B268" t="str">
        <f>_xlfn.XLOOKUP($A268,Load!$B:$B,Load!C:C,0,)</f>
        <v>Cow Tails</v>
      </c>
      <c r="C268" t="str">
        <f>_xlfn.XLOOKUP($A268,Load!$B:$B,Load!D:D,0,)</f>
        <v>Non-Chocolate Candy Only</v>
      </c>
      <c r="D268" t="str">
        <f>_xlfn.XLOOKUP($A268,Load!$B:$B,Load!E:E,0,)</f>
        <v>Fall / Seasonal Flavors (pumpkin spice, caramel apple, candy corn)</v>
      </c>
      <c r="E268" t="str">
        <f>_xlfn.XLOOKUP($A268,Load!$B:$B,Load!F:F,0,)</f>
        <v>Chewy</v>
      </c>
      <c r="F268" t="str">
        <f>_xlfn.XLOOKUP($A268,Load!$B:$B,Load!G:G,0,)</f>
        <v>Single Pack</v>
      </c>
      <c r="G268" t="str">
        <f>_xlfn.XLOOKUP($A268,Load!$B:$B,Load!H:H,0,)</f>
        <v>Laydown Bag</v>
      </c>
      <c r="H268" t="str">
        <f>_xlfn.XLOOKUP($A268,Load!$B:$B,Load!I:I,0,)</f>
        <v>Everyday Candy Shapes (like Original, Gummy bear, Fruit, Jewels, etc.)</v>
      </c>
      <c r="I268" t="str">
        <f>_xlfn.XLOOKUP($A268,Load!$B:$B,Load!J:J,0,)</f>
        <v>Everyday Graphics</v>
      </c>
      <c r="J268" t="str">
        <f>_xlfn.XLOOKUP($A268,Load!$B:$B,Load!K:K,0,)</f>
        <v>Fun Size / Treat Size</v>
      </c>
      <c r="K268" t="str">
        <f>_xlfn.XLOOKUP($A268,Load!$B:$B,Load!L:L,0,)</f>
        <v>Regular/Original Wrapping</v>
      </c>
      <c r="L268" t="str">
        <f>_xlfn.XLOOKUP($A268,Load!$B:$B,Load!M:M,0,)</f>
        <v>Single Brand / Single Flavor or Form</v>
      </c>
    </row>
    <row r="269" spans="1:12" x14ac:dyDescent="0.25">
      <c r="B269">
        <f>_xlfn.XLOOKUP($A269,Load!$B:$B,Load!C:C,0,)</f>
        <v>0</v>
      </c>
      <c r="C269">
        <f>_xlfn.XLOOKUP($A269,Load!$B:$B,Load!D:D,0,)</f>
        <v>0</v>
      </c>
      <c r="D269">
        <f>_xlfn.XLOOKUP($A269,Load!$B:$B,Load!E:E,0,)</f>
        <v>0</v>
      </c>
      <c r="E269">
        <f>_xlfn.XLOOKUP($A269,Load!$B:$B,Load!F:F,0,)</f>
        <v>0</v>
      </c>
      <c r="F269">
        <f>_xlfn.XLOOKUP($A269,Load!$B:$B,Load!G:G,0,)</f>
        <v>0</v>
      </c>
      <c r="G269">
        <f>_xlfn.XLOOKUP($A269,Load!$B:$B,Load!H:H,0,)</f>
        <v>0</v>
      </c>
      <c r="H269">
        <f>_xlfn.XLOOKUP($A269,Load!$B:$B,Load!I:I,0,)</f>
        <v>0</v>
      </c>
      <c r="I269">
        <f>_xlfn.XLOOKUP($A269,Load!$B:$B,Load!J:J,0,)</f>
        <v>0</v>
      </c>
      <c r="J269">
        <f>_xlfn.XLOOKUP($A269,Load!$B:$B,Load!K:K,0,)</f>
        <v>0</v>
      </c>
      <c r="K269">
        <f>_xlfn.XLOOKUP($A269,Load!$B:$B,Load!L:L,0,)</f>
        <v>0</v>
      </c>
      <c r="L269">
        <f>_xlfn.XLOOKUP($A269,Load!$B:$B,Load!M:M,0,)</f>
        <v>0</v>
      </c>
    </row>
    <row r="270" spans="1:12" x14ac:dyDescent="0.25">
      <c r="B270">
        <f>_xlfn.XLOOKUP($A270,Load!$B:$B,Load!C:C,0,)</f>
        <v>0</v>
      </c>
      <c r="C270">
        <f>_xlfn.XLOOKUP($A270,Load!$B:$B,Load!D:D,0,)</f>
        <v>0</v>
      </c>
      <c r="D270">
        <f>_xlfn.XLOOKUP($A270,Load!$B:$B,Load!E:E,0,)</f>
        <v>0</v>
      </c>
      <c r="E270">
        <f>_xlfn.XLOOKUP($A270,Load!$B:$B,Load!F:F,0,)</f>
        <v>0</v>
      </c>
      <c r="F270">
        <f>_xlfn.XLOOKUP($A270,Load!$B:$B,Load!G:G,0,)</f>
        <v>0</v>
      </c>
      <c r="G270">
        <f>_xlfn.XLOOKUP($A270,Load!$B:$B,Load!H:H,0,)</f>
        <v>0</v>
      </c>
      <c r="H270">
        <f>_xlfn.XLOOKUP($A270,Load!$B:$B,Load!I:I,0,)</f>
        <v>0</v>
      </c>
      <c r="I270">
        <f>_xlfn.XLOOKUP($A270,Load!$B:$B,Load!J:J,0,)</f>
        <v>0</v>
      </c>
      <c r="J270">
        <f>_xlfn.XLOOKUP($A270,Load!$B:$B,Load!K:K,0,)</f>
        <v>0</v>
      </c>
      <c r="K270">
        <f>_xlfn.XLOOKUP($A270,Load!$B:$B,Load!L:L,0,)</f>
        <v>0</v>
      </c>
      <c r="L270">
        <f>_xlfn.XLOOKUP($A270,Load!$B:$B,Load!M:M,0,)</f>
        <v>0</v>
      </c>
    </row>
    <row r="271" spans="1:12" x14ac:dyDescent="0.25">
      <c r="B271">
        <f>_xlfn.XLOOKUP($A271,Load!$B:$B,Load!C:C,0,)</f>
        <v>0</v>
      </c>
      <c r="C271">
        <f>_xlfn.XLOOKUP($A271,Load!$B:$B,Load!D:D,0,)</f>
        <v>0</v>
      </c>
      <c r="D271">
        <f>_xlfn.XLOOKUP($A271,Load!$B:$B,Load!E:E,0,)</f>
        <v>0</v>
      </c>
      <c r="E271">
        <f>_xlfn.XLOOKUP($A271,Load!$B:$B,Load!F:F,0,)</f>
        <v>0</v>
      </c>
      <c r="F271">
        <f>_xlfn.XLOOKUP($A271,Load!$B:$B,Load!G:G,0,)</f>
        <v>0</v>
      </c>
      <c r="G271">
        <f>_xlfn.XLOOKUP($A271,Load!$B:$B,Load!H:H,0,)</f>
        <v>0</v>
      </c>
      <c r="H271">
        <f>_xlfn.XLOOKUP($A271,Load!$B:$B,Load!I:I,0,)</f>
        <v>0</v>
      </c>
      <c r="I271">
        <f>_xlfn.XLOOKUP($A271,Load!$B:$B,Load!J:J,0,)</f>
        <v>0</v>
      </c>
      <c r="J271">
        <f>_xlfn.XLOOKUP($A271,Load!$B:$B,Load!K:K,0,)</f>
        <v>0</v>
      </c>
      <c r="K271">
        <f>_xlfn.XLOOKUP($A271,Load!$B:$B,Load!L:L,0,)</f>
        <v>0</v>
      </c>
      <c r="L271">
        <f>_xlfn.XLOOKUP($A271,Load!$B:$B,Load!M:M,0,)</f>
        <v>0</v>
      </c>
    </row>
    <row r="272" spans="1:12" x14ac:dyDescent="0.25">
      <c r="B272">
        <f>_xlfn.XLOOKUP($A272,Load!$B:$B,Load!C:C,0,)</f>
        <v>0</v>
      </c>
      <c r="C272">
        <f>_xlfn.XLOOKUP($A272,Load!$B:$B,Load!D:D,0,)</f>
        <v>0</v>
      </c>
      <c r="D272">
        <f>_xlfn.XLOOKUP($A272,Load!$B:$B,Load!E:E,0,)</f>
        <v>0</v>
      </c>
      <c r="E272">
        <f>_xlfn.XLOOKUP($A272,Load!$B:$B,Load!F:F,0,)</f>
        <v>0</v>
      </c>
      <c r="F272">
        <f>_xlfn.XLOOKUP($A272,Load!$B:$B,Load!G:G,0,)</f>
        <v>0</v>
      </c>
      <c r="G272">
        <f>_xlfn.XLOOKUP($A272,Load!$B:$B,Load!H:H,0,)</f>
        <v>0</v>
      </c>
      <c r="H272">
        <f>_xlfn.XLOOKUP($A272,Load!$B:$B,Load!I:I,0,)</f>
        <v>0</v>
      </c>
      <c r="I272">
        <f>_xlfn.XLOOKUP($A272,Load!$B:$B,Load!J:J,0,)</f>
        <v>0</v>
      </c>
      <c r="J272">
        <f>_xlfn.XLOOKUP($A272,Load!$B:$B,Load!K:K,0,)</f>
        <v>0</v>
      </c>
      <c r="K272">
        <f>_xlfn.XLOOKUP($A272,Load!$B:$B,Load!L:L,0,)</f>
        <v>0</v>
      </c>
      <c r="L272">
        <f>_xlfn.XLOOKUP($A272,Load!$B:$B,Load!M:M,0,)</f>
        <v>0</v>
      </c>
    </row>
    <row r="273" spans="1:12" x14ac:dyDescent="0.25">
      <c r="B273">
        <f>_xlfn.XLOOKUP($A273,Load!$B:$B,Load!C:C,0,)</f>
        <v>0</v>
      </c>
      <c r="C273">
        <f>_xlfn.XLOOKUP($A273,Load!$B:$B,Load!D:D,0,)</f>
        <v>0</v>
      </c>
      <c r="D273">
        <f>_xlfn.XLOOKUP($A273,Load!$B:$B,Load!E:E,0,)</f>
        <v>0</v>
      </c>
      <c r="E273">
        <f>_xlfn.XLOOKUP($A273,Load!$B:$B,Load!F:F,0,)</f>
        <v>0</v>
      </c>
      <c r="F273">
        <f>_xlfn.XLOOKUP($A273,Load!$B:$B,Load!G:G,0,)</f>
        <v>0</v>
      </c>
      <c r="G273">
        <f>_xlfn.XLOOKUP($A273,Load!$B:$B,Load!H:H,0,)</f>
        <v>0</v>
      </c>
      <c r="H273">
        <f>_xlfn.XLOOKUP($A273,Load!$B:$B,Load!I:I,0,)</f>
        <v>0</v>
      </c>
      <c r="I273">
        <f>_xlfn.XLOOKUP($A273,Load!$B:$B,Load!J:J,0,)</f>
        <v>0</v>
      </c>
      <c r="J273">
        <f>_xlfn.XLOOKUP($A273,Load!$B:$B,Load!K:K,0,)</f>
        <v>0</v>
      </c>
      <c r="K273">
        <f>_xlfn.XLOOKUP($A273,Load!$B:$B,Load!L:L,0,)</f>
        <v>0</v>
      </c>
      <c r="L273">
        <f>_xlfn.XLOOKUP($A273,Load!$B:$B,Load!M:M,0,)</f>
        <v>0</v>
      </c>
    </row>
    <row r="274" spans="1:12" x14ac:dyDescent="0.25">
      <c r="A274" t="s">
        <v>173</v>
      </c>
      <c r="B274" t="str">
        <f>_xlfn.XLOOKUP($A274,Load!$B:$B,Load!C:C,0,)</f>
        <v>Mars Variety Pack</v>
      </c>
      <c r="C274" t="str">
        <f>_xlfn.XLOOKUP($A274,Load!$B:$B,Load!D:D,0,)</f>
        <v>Mix of Chocolate and Non-Chocolate Candy</v>
      </c>
      <c r="D274" t="str">
        <f>_xlfn.XLOOKUP($A274,Load!$B:$B,Load!E:E,0,)</f>
        <v>Variety / Mixed Flavors (Fruity, Sour, Seasonal Flavors)</v>
      </c>
      <c r="E274" t="str">
        <f>_xlfn.XLOOKUP($A274,Load!$B:$B,Load!F:F,0,)</f>
        <v>Mixed / Combo Packs (Gummy, Chewy, Taffy, etc.)</v>
      </c>
      <c r="F274" t="str">
        <f>_xlfn.XLOOKUP($A274,Load!$B:$B,Load!G:G,0,)</f>
        <v>Large Multipack (More than 80 ct)</v>
      </c>
      <c r="G274" t="str">
        <f>_xlfn.XLOOKUP($A274,Load!$B:$B,Load!H:H,0,)</f>
        <v>Stand-Up Bag</v>
      </c>
      <c r="H274" t="str">
        <f>_xlfn.XLOOKUP($A274,Load!$B:$B,Load!I:I,0,)</f>
        <v>Everyday Candy Shapes (like Original, Gummy bear, Fruit, Jewels, etc.)</v>
      </c>
      <c r="I274" t="str">
        <f>_xlfn.XLOOKUP($A274,Load!$B:$B,Load!J:J,0,)</f>
        <v>Seasonal Graphics (Like Bat, Ghost, Pumpkin, Fall Leaves, Eyeballs, etc.)</v>
      </c>
      <c r="J274" t="str">
        <f>_xlfn.XLOOKUP($A274,Load!$B:$B,Load!K:K,0,)</f>
        <v>Fun Size / Treat Size</v>
      </c>
      <c r="K274" t="str">
        <f>_xlfn.XLOOKUP($A274,Load!$B:$B,Load!L:L,0,)</f>
        <v>Regular/Original Wrapping</v>
      </c>
      <c r="L274" t="str">
        <f>_xlfn.XLOOKUP($A274,Load!$B:$B,Load!M:M,0,)</f>
        <v>Multiple Brands / Variety Flavors or Form</v>
      </c>
    </row>
    <row r="275" spans="1:12" x14ac:dyDescent="0.25">
      <c r="A275" t="s">
        <v>214</v>
      </c>
      <c r="B275" t="str">
        <f>_xlfn.XLOOKUP($A275,Load!$B:$B,Load!C:C,0,)</f>
        <v>Mars Variety Pack</v>
      </c>
      <c r="C275" t="str">
        <f>_xlfn.XLOOKUP($A275,Load!$B:$B,Load!D:D,0,)</f>
        <v>Mix of Chocolate and Non-Chocolate Candy</v>
      </c>
      <c r="D275" t="str">
        <f>_xlfn.XLOOKUP($A275,Load!$B:$B,Load!E:E,0,)</f>
        <v>Variety / Mixed Flavors (Fruity, Sour, Seasonal Flavors)</v>
      </c>
      <c r="E275" t="str">
        <f>_xlfn.XLOOKUP($A275,Load!$B:$B,Load!F:F,0,)</f>
        <v>Mixed / Combo Packs (Gummy, Chewy, Taffy, etc.)</v>
      </c>
      <c r="F275" t="str">
        <f>_xlfn.XLOOKUP($A275,Load!$B:$B,Load!G:G,0,)</f>
        <v>Large Multipack (More than 80 ct)</v>
      </c>
      <c r="G275" t="str">
        <f>_xlfn.XLOOKUP($A275,Load!$B:$B,Load!H:H,0,)</f>
        <v>Stand-Up Bag</v>
      </c>
      <c r="H275" t="str">
        <f>_xlfn.XLOOKUP($A275,Load!$B:$B,Load!I:I,0,)</f>
        <v>Everyday Candy Shapes (like Original, Gummy bear, Fruit, Jewels, etc.)</v>
      </c>
      <c r="I275" t="str">
        <f>_xlfn.XLOOKUP($A275,Load!$B:$B,Load!J:J,0,)</f>
        <v>Seasonal Graphics (Like Bat, Ghost, Pumpkin, Fall Leaves, Eyeballs, etc.)</v>
      </c>
      <c r="J275" t="str">
        <f>_xlfn.XLOOKUP($A275,Load!$B:$B,Load!K:K,0,)</f>
        <v>Fun Size / Treat Size</v>
      </c>
      <c r="K275" t="str">
        <f>_xlfn.XLOOKUP($A275,Load!$B:$B,Load!L:L,0,)</f>
        <v>Regular/Original Wrapping</v>
      </c>
      <c r="L275" t="str">
        <f>_xlfn.XLOOKUP($A275,Load!$B:$B,Load!M:M,0,)</f>
        <v>Multiple Brands / Variety Flavors or Form</v>
      </c>
    </row>
    <row r="276" spans="1:12" x14ac:dyDescent="0.25">
      <c r="A276" t="s">
        <v>255</v>
      </c>
      <c r="B276" t="str">
        <f>_xlfn.XLOOKUP($A276,Load!$B:$B,Load!C:C,0,)</f>
        <v>Skittles</v>
      </c>
      <c r="C276" t="str">
        <f>_xlfn.XLOOKUP($A276,Load!$B:$B,Load!D:D,0,)</f>
        <v>Non-Chocolate Candy Only</v>
      </c>
      <c r="D276" t="str">
        <f>_xlfn.XLOOKUP($A276,Load!$B:$B,Load!E:E,0,)</f>
        <v>Variety / Mixed Flavors (Fruity, Sour, Seasonal Flavors)</v>
      </c>
      <c r="E276" t="str">
        <f>_xlfn.XLOOKUP($A276,Load!$B:$B,Load!F:F,0,)</f>
        <v>Gummy</v>
      </c>
      <c r="F276" t="str">
        <f>_xlfn.XLOOKUP($A276,Load!$B:$B,Load!G:G,0,)</f>
        <v>Large Multipack (More than 80 ct)</v>
      </c>
      <c r="G276" t="str">
        <f>_xlfn.XLOOKUP($A276,Load!$B:$B,Load!H:H,0,)</f>
        <v>Stand-Up Bag</v>
      </c>
      <c r="H276" t="str">
        <f>_xlfn.XLOOKUP($A276,Load!$B:$B,Load!I:I,0,)</f>
        <v>Everyday Candy Shapes (like Original, Gummy bear, Fruit, Jewels, etc.)</v>
      </c>
      <c r="I276" t="str">
        <f>_xlfn.XLOOKUP($A276,Load!$B:$B,Load!J:J,0,)</f>
        <v>Everyday Graphics</v>
      </c>
      <c r="J276" t="str">
        <f>_xlfn.XLOOKUP($A276,Load!$B:$B,Load!K:K,0,)</f>
        <v>Fun Size / Treat Size</v>
      </c>
      <c r="K276" t="str">
        <f>_xlfn.XLOOKUP($A276,Load!$B:$B,Load!L:L,0,)</f>
        <v>Regular/Original Wrapping</v>
      </c>
      <c r="L276" t="str">
        <f>_xlfn.XLOOKUP($A276,Load!$B:$B,Load!M:M,0,)</f>
        <v>Single Brand / Variety Flavors or Form</v>
      </c>
    </row>
    <row r="277" spans="1:12" x14ac:dyDescent="0.25">
      <c r="B277">
        <f>_xlfn.XLOOKUP($A277,Load!$B:$B,Load!C:C,0,)</f>
        <v>0</v>
      </c>
      <c r="C277">
        <f>_xlfn.XLOOKUP($A277,Load!$B:$B,Load!D:D,0,)</f>
        <v>0</v>
      </c>
      <c r="D277">
        <f>_xlfn.XLOOKUP($A277,Load!$B:$B,Load!E:E,0,)</f>
        <v>0</v>
      </c>
      <c r="E277">
        <f>_xlfn.XLOOKUP($A277,Load!$B:$B,Load!F:F,0,)</f>
        <v>0</v>
      </c>
      <c r="F277">
        <f>_xlfn.XLOOKUP($A277,Load!$B:$B,Load!G:G,0,)</f>
        <v>0</v>
      </c>
      <c r="G277">
        <f>_xlfn.XLOOKUP($A277,Load!$B:$B,Load!H:H,0,)</f>
        <v>0</v>
      </c>
      <c r="H277">
        <f>_xlfn.XLOOKUP($A277,Load!$B:$B,Load!I:I,0,)</f>
        <v>0</v>
      </c>
      <c r="I277">
        <f>_xlfn.XLOOKUP($A277,Load!$B:$B,Load!J:J,0,)</f>
        <v>0</v>
      </c>
      <c r="J277">
        <f>_xlfn.XLOOKUP($A277,Load!$B:$B,Load!K:K,0,)</f>
        <v>0</v>
      </c>
      <c r="K277">
        <f>_xlfn.XLOOKUP($A277,Load!$B:$B,Load!L:L,0,)</f>
        <v>0</v>
      </c>
      <c r="L277">
        <f>_xlfn.XLOOKUP($A277,Load!$B:$B,Load!M:M,0,)</f>
        <v>0</v>
      </c>
    </row>
    <row r="278" spans="1:12" x14ac:dyDescent="0.25">
      <c r="B278">
        <f>_xlfn.XLOOKUP($A278,Load!$B:$B,Load!C:C,0,)</f>
        <v>0</v>
      </c>
      <c r="C278">
        <f>_xlfn.XLOOKUP($A278,Load!$B:$B,Load!D:D,0,)</f>
        <v>0</v>
      </c>
      <c r="D278">
        <f>_xlfn.XLOOKUP($A278,Load!$B:$B,Load!E:E,0,)</f>
        <v>0</v>
      </c>
      <c r="E278">
        <f>_xlfn.XLOOKUP($A278,Load!$B:$B,Load!F:F,0,)</f>
        <v>0</v>
      </c>
      <c r="F278">
        <f>_xlfn.XLOOKUP($A278,Load!$B:$B,Load!G:G,0,)</f>
        <v>0</v>
      </c>
      <c r="G278">
        <f>_xlfn.XLOOKUP($A278,Load!$B:$B,Load!H:H,0,)</f>
        <v>0</v>
      </c>
      <c r="H278">
        <f>_xlfn.XLOOKUP($A278,Load!$B:$B,Load!I:I,0,)</f>
        <v>0</v>
      </c>
      <c r="I278">
        <f>_xlfn.XLOOKUP($A278,Load!$B:$B,Load!J:J,0,)</f>
        <v>0</v>
      </c>
      <c r="J278">
        <f>_xlfn.XLOOKUP($A278,Load!$B:$B,Load!K:K,0,)</f>
        <v>0</v>
      </c>
      <c r="K278">
        <f>_xlfn.XLOOKUP($A278,Load!$B:$B,Load!L:L,0,)</f>
        <v>0</v>
      </c>
      <c r="L278">
        <f>_xlfn.XLOOKUP($A278,Load!$B:$B,Load!M:M,0,)</f>
        <v>0</v>
      </c>
    </row>
    <row r="279" spans="1:12" x14ac:dyDescent="0.25">
      <c r="B279">
        <f>_xlfn.XLOOKUP($A279,Load!$B:$B,Load!C:C,0,)</f>
        <v>0</v>
      </c>
      <c r="C279">
        <f>_xlfn.XLOOKUP($A279,Load!$B:$B,Load!D:D,0,)</f>
        <v>0</v>
      </c>
      <c r="D279">
        <f>_xlfn.XLOOKUP($A279,Load!$B:$B,Load!E:E,0,)</f>
        <v>0</v>
      </c>
      <c r="E279">
        <f>_xlfn.XLOOKUP($A279,Load!$B:$B,Load!F:F,0,)</f>
        <v>0</v>
      </c>
      <c r="F279">
        <f>_xlfn.XLOOKUP($A279,Load!$B:$B,Load!G:G,0,)</f>
        <v>0</v>
      </c>
      <c r="G279">
        <f>_xlfn.XLOOKUP($A279,Load!$B:$B,Load!H:H,0,)</f>
        <v>0</v>
      </c>
      <c r="H279">
        <f>_xlfn.XLOOKUP($A279,Load!$B:$B,Load!I:I,0,)</f>
        <v>0</v>
      </c>
      <c r="I279">
        <f>_xlfn.XLOOKUP($A279,Load!$B:$B,Load!J:J,0,)</f>
        <v>0</v>
      </c>
      <c r="J279">
        <f>_xlfn.XLOOKUP($A279,Load!$B:$B,Load!K:K,0,)</f>
        <v>0</v>
      </c>
      <c r="K279">
        <f>_xlfn.XLOOKUP($A279,Load!$B:$B,Load!L:L,0,)</f>
        <v>0</v>
      </c>
      <c r="L279">
        <f>_xlfn.XLOOKUP($A279,Load!$B:$B,Load!M:M,0,)</f>
        <v>0</v>
      </c>
    </row>
    <row r="280" spans="1:12" x14ac:dyDescent="0.25">
      <c r="B280">
        <f>_xlfn.XLOOKUP($A280,Load!$B:$B,Load!C:C,0,)</f>
        <v>0</v>
      </c>
      <c r="C280">
        <f>_xlfn.XLOOKUP($A280,Load!$B:$B,Load!D:D,0,)</f>
        <v>0</v>
      </c>
      <c r="D280">
        <f>_xlfn.XLOOKUP($A280,Load!$B:$B,Load!E:E,0,)</f>
        <v>0</v>
      </c>
      <c r="E280">
        <f>_xlfn.XLOOKUP($A280,Load!$B:$B,Load!F:F,0,)</f>
        <v>0</v>
      </c>
      <c r="F280">
        <f>_xlfn.XLOOKUP($A280,Load!$B:$B,Load!G:G,0,)</f>
        <v>0</v>
      </c>
      <c r="G280">
        <f>_xlfn.XLOOKUP($A280,Load!$B:$B,Load!H:H,0,)</f>
        <v>0</v>
      </c>
      <c r="H280">
        <f>_xlfn.XLOOKUP($A280,Load!$B:$B,Load!I:I,0,)</f>
        <v>0</v>
      </c>
      <c r="I280">
        <f>_xlfn.XLOOKUP($A280,Load!$B:$B,Load!J:J,0,)</f>
        <v>0</v>
      </c>
      <c r="J280">
        <f>_xlfn.XLOOKUP($A280,Load!$B:$B,Load!K:K,0,)</f>
        <v>0</v>
      </c>
      <c r="K280">
        <f>_xlfn.XLOOKUP($A280,Load!$B:$B,Load!L:L,0,)</f>
        <v>0</v>
      </c>
      <c r="L280">
        <f>_xlfn.XLOOKUP($A280,Load!$B:$B,Load!M:M,0,)</f>
        <v>0</v>
      </c>
    </row>
    <row r="281" spans="1:12" x14ac:dyDescent="0.25">
      <c r="B281">
        <f>_xlfn.XLOOKUP($A281,Load!$B:$B,Load!C:C,0,)</f>
        <v>0</v>
      </c>
      <c r="C281">
        <f>_xlfn.XLOOKUP($A281,Load!$B:$B,Load!D:D,0,)</f>
        <v>0</v>
      </c>
      <c r="D281">
        <f>_xlfn.XLOOKUP($A281,Load!$B:$B,Load!E:E,0,)</f>
        <v>0</v>
      </c>
      <c r="E281">
        <f>_xlfn.XLOOKUP($A281,Load!$B:$B,Load!F:F,0,)</f>
        <v>0</v>
      </c>
      <c r="F281">
        <f>_xlfn.XLOOKUP($A281,Load!$B:$B,Load!G:G,0,)</f>
        <v>0</v>
      </c>
      <c r="G281">
        <f>_xlfn.XLOOKUP($A281,Load!$B:$B,Load!H:H,0,)</f>
        <v>0</v>
      </c>
      <c r="H281">
        <f>_xlfn.XLOOKUP($A281,Load!$B:$B,Load!I:I,0,)</f>
        <v>0</v>
      </c>
      <c r="I281">
        <f>_xlfn.XLOOKUP($A281,Load!$B:$B,Load!J:J,0,)</f>
        <v>0</v>
      </c>
      <c r="J281">
        <f>_xlfn.XLOOKUP($A281,Load!$B:$B,Load!K:K,0,)</f>
        <v>0</v>
      </c>
      <c r="K281">
        <f>_xlfn.XLOOKUP($A281,Load!$B:$B,Load!L:L,0,)</f>
        <v>0</v>
      </c>
      <c r="L281">
        <f>_xlfn.XLOOKUP($A281,Load!$B:$B,Load!M:M,0,)</f>
        <v>0</v>
      </c>
    </row>
    <row r="282" spans="1:12" x14ac:dyDescent="0.25">
      <c r="A282" t="s">
        <v>285</v>
      </c>
      <c r="B282" t="str">
        <f>_xlfn.XLOOKUP($A282,Load!$B:$B,Load!C:C,0,)</f>
        <v>Starburst</v>
      </c>
      <c r="C282" t="str">
        <f>_xlfn.XLOOKUP($A282,Load!$B:$B,Load!D:D,0,)</f>
        <v>Non-Chocolate Candy Only</v>
      </c>
      <c r="D282" t="str">
        <f>_xlfn.XLOOKUP($A282,Load!$B:$B,Load!E:E,0,)</f>
        <v>Fruit Flavor (Cherry, Grape, Apple, Citrus, Tropical Fruit)</v>
      </c>
      <c r="E282" t="str">
        <f>_xlfn.XLOOKUP($A282,Load!$B:$B,Load!F:F,0,)</f>
        <v>Chewy</v>
      </c>
      <c r="F282" t="str">
        <f>_xlfn.XLOOKUP($A282,Load!$B:$B,Load!G:G,0,)</f>
        <v>Small Multipack (Less than 40 ct)</v>
      </c>
      <c r="G282" t="str">
        <f>_xlfn.XLOOKUP($A282,Load!$B:$B,Load!H:H,0,)</f>
        <v>Laydown Bag</v>
      </c>
      <c r="H282" t="str">
        <f>_xlfn.XLOOKUP($A282,Load!$B:$B,Load!I:I,0,)</f>
        <v>Everyday Candy Shapes (like Original, Gummy bear, Fruit, Jewels, etc.)</v>
      </c>
      <c r="I282" t="str">
        <f>_xlfn.XLOOKUP($A282,Load!$B:$B,Load!J:J,0,)</f>
        <v>Everyday Graphics</v>
      </c>
      <c r="J282" t="str">
        <f>_xlfn.XLOOKUP($A282,Load!$B:$B,Load!K:K,0,)</f>
        <v>Small Pieces (Tiny bite size candies)</v>
      </c>
      <c r="K282" t="str">
        <f>_xlfn.XLOOKUP($A282,Load!$B:$B,Load!L:L,0,)</f>
        <v>Regular/Original Wrapping</v>
      </c>
      <c r="L282" t="str">
        <f>_xlfn.XLOOKUP($A282,Load!$B:$B,Load!M:M,0,)</f>
        <v>Single Brand / Variety Flavors or Form</v>
      </c>
    </row>
    <row r="283" spans="1:12" x14ac:dyDescent="0.25">
      <c r="B283">
        <f>_xlfn.XLOOKUP($A283,Load!$B:$B,Load!C:C,0,)</f>
        <v>0</v>
      </c>
      <c r="C283">
        <f>_xlfn.XLOOKUP($A283,Load!$B:$B,Load!D:D,0,)</f>
        <v>0</v>
      </c>
      <c r="D283">
        <f>_xlfn.XLOOKUP($A283,Load!$B:$B,Load!E:E,0,)</f>
        <v>0</v>
      </c>
      <c r="E283">
        <f>_xlfn.XLOOKUP($A283,Load!$B:$B,Load!F:F,0,)</f>
        <v>0</v>
      </c>
      <c r="F283">
        <f>_xlfn.XLOOKUP($A283,Load!$B:$B,Load!G:G,0,)</f>
        <v>0</v>
      </c>
      <c r="G283">
        <f>_xlfn.XLOOKUP($A283,Load!$B:$B,Load!H:H,0,)</f>
        <v>0</v>
      </c>
      <c r="H283">
        <f>_xlfn.XLOOKUP($A283,Load!$B:$B,Load!I:I,0,)</f>
        <v>0</v>
      </c>
      <c r="I283">
        <f>_xlfn.XLOOKUP($A283,Load!$B:$B,Load!J:J,0,)</f>
        <v>0</v>
      </c>
      <c r="J283">
        <f>_xlfn.XLOOKUP($A283,Load!$B:$B,Load!K:K,0,)</f>
        <v>0</v>
      </c>
      <c r="K283">
        <f>_xlfn.XLOOKUP($A283,Load!$B:$B,Load!L:L,0,)</f>
        <v>0</v>
      </c>
      <c r="L283">
        <f>_xlfn.XLOOKUP($A283,Load!$B:$B,Load!M:M,0,)</f>
        <v>0</v>
      </c>
    </row>
    <row r="284" spans="1:12" x14ac:dyDescent="0.25">
      <c r="A284" t="s">
        <v>261</v>
      </c>
      <c r="B284" t="str">
        <f>_xlfn.XLOOKUP($A284,Load!$B:$B,Load!C:C,0,)</f>
        <v>Skittles</v>
      </c>
      <c r="C284" t="str">
        <f>_xlfn.XLOOKUP($A284,Load!$B:$B,Load!D:D,0,)</f>
        <v>Non-Chocolate Candy Only</v>
      </c>
      <c r="D284" t="str">
        <f>_xlfn.XLOOKUP($A284,Load!$B:$B,Load!E:E,0,)</f>
        <v>Fruit Flavor (Cherry, Grape, Apple, Citrus, Tropical Fruit)</v>
      </c>
      <c r="E284" t="str">
        <f>_xlfn.XLOOKUP($A284,Load!$B:$B,Load!F:F,0,)</f>
        <v>Candy Pieces / Bites</v>
      </c>
      <c r="F284" t="str">
        <f>_xlfn.XLOOKUP($A284,Load!$B:$B,Load!G:G,0,)</f>
        <v>Single Pack</v>
      </c>
      <c r="G284" t="str">
        <f>_xlfn.XLOOKUP($A284,Load!$B:$B,Load!H:H,0,)</f>
        <v>Laydown Bag</v>
      </c>
      <c r="H284" t="str">
        <f>_xlfn.XLOOKUP($A284,Load!$B:$B,Load!I:I,0,)</f>
        <v>Everyday Candy Shapes (like Original, Gummy bear, Fruit, Jewels, etc.)</v>
      </c>
      <c r="I284" t="str">
        <f>_xlfn.XLOOKUP($A284,Load!$B:$B,Load!J:J,0,)</f>
        <v>Everyday Graphics</v>
      </c>
      <c r="J284" t="str">
        <f>_xlfn.XLOOKUP($A284,Load!$B:$B,Load!K:K,0,)</f>
        <v>Small Pieces (Tiny bite size candies)</v>
      </c>
      <c r="K284" t="str">
        <f>_xlfn.XLOOKUP($A284,Load!$B:$B,Load!L:L,0,)</f>
        <v>Unwrapped</v>
      </c>
      <c r="L284" t="str">
        <f>_xlfn.XLOOKUP($A284,Load!$B:$B,Load!M:M,0,)</f>
        <v>Single Brand / Single Flavor or Form</v>
      </c>
    </row>
    <row r="285" spans="1:12" x14ac:dyDescent="0.25">
      <c r="A285" t="s">
        <v>260</v>
      </c>
      <c r="B285" t="str">
        <f>_xlfn.XLOOKUP($A285,Load!$B:$B,Load!C:C,0,)</f>
        <v>Skittles</v>
      </c>
      <c r="C285" t="str">
        <f>_xlfn.XLOOKUP($A285,Load!$B:$B,Load!D:D,0,)</f>
        <v>Non-Chocolate Candy Only</v>
      </c>
      <c r="D285" t="str">
        <f>_xlfn.XLOOKUP($A285,Load!$B:$B,Load!E:E,0,)</f>
        <v>Fruit Flavor (Cherry, Grape, Apple, Citrus, Tropical Fruit)</v>
      </c>
      <c r="E285" t="str">
        <f>_xlfn.XLOOKUP($A285,Load!$B:$B,Load!F:F,0,)</f>
        <v>Candy Pieces / Bites</v>
      </c>
      <c r="F285" t="str">
        <f>_xlfn.XLOOKUP($A285,Load!$B:$B,Load!G:G,0,)</f>
        <v>Single Pack</v>
      </c>
      <c r="G285" t="str">
        <f>_xlfn.XLOOKUP($A285,Load!$B:$B,Load!H:H,0,)</f>
        <v>Plastic Cup / Container</v>
      </c>
      <c r="H285" t="str">
        <f>_xlfn.XLOOKUP($A285,Load!$B:$B,Load!I:I,0,)</f>
        <v>Everyday Candy Shapes (like Original, Gummy bear, Fruit, Jewels, etc.)</v>
      </c>
      <c r="I285" t="str">
        <f>_xlfn.XLOOKUP($A285,Load!$B:$B,Load!J:J,0,)</f>
        <v>Seasonal Graphics (Like Bat, Ghost, Pumpkin, Fall Leaves, Eyeballs, etc.)</v>
      </c>
      <c r="J285" t="str">
        <f>_xlfn.XLOOKUP($A285,Load!$B:$B,Load!K:K,0,)</f>
        <v>Small Pieces (Tiny bite size candies)</v>
      </c>
      <c r="K285" t="str">
        <f>_xlfn.XLOOKUP($A285,Load!$B:$B,Load!L:L,0,)</f>
        <v>Unwrapped</v>
      </c>
      <c r="L285" t="str">
        <f>_xlfn.XLOOKUP($A285,Load!$B:$B,Load!M:M,0,)</f>
        <v>Single Brand / Single Flavor or Form</v>
      </c>
    </row>
    <row r="286" spans="1:12" x14ac:dyDescent="0.25">
      <c r="A286" t="s">
        <v>134</v>
      </c>
      <c r="B286" t="str">
        <f>_xlfn.XLOOKUP($A286,Load!$B:$B,Load!C:C,0,)</f>
        <v>Hershey's Variety Pack</v>
      </c>
      <c r="C286" t="str">
        <f>_xlfn.XLOOKUP($A286,Load!$B:$B,Load!D:D,0,)</f>
        <v>Non-Chocolate Candy Only</v>
      </c>
      <c r="D286" t="str">
        <f>_xlfn.XLOOKUP($A286,Load!$B:$B,Load!E:E,0,)</f>
        <v>Variety / Mixed Flavors (Fruity, Sour, Seasonal Flavors)</v>
      </c>
      <c r="E286" t="str">
        <f>_xlfn.XLOOKUP($A286,Load!$B:$B,Load!F:F,0,)</f>
        <v>Mixed / Combo Packs (Gummy, Chewy, Taffy, etc.)</v>
      </c>
      <c r="F286" t="str">
        <f>_xlfn.XLOOKUP($A286,Load!$B:$B,Load!G:G,0,)</f>
        <v>Large Multipack (More than 80 ct)</v>
      </c>
      <c r="G286" t="str">
        <f>_xlfn.XLOOKUP($A286,Load!$B:$B,Load!H:H,0,)</f>
        <v>Stand-Up Bag</v>
      </c>
      <c r="H286" t="str">
        <f>_xlfn.XLOOKUP($A286,Load!$B:$B,Load!I:I,0,)</f>
        <v>Everyday Candy Shapes (like Original, Gummy bear, Fruit, Jewels, etc.)</v>
      </c>
      <c r="I286" t="str">
        <f>_xlfn.XLOOKUP($A286,Load!$B:$B,Load!J:J,0,)</f>
        <v>Seasonal Graphics (Like Bat, Ghost, Pumpkin, Fall Leaves, Eyeballs, etc.)</v>
      </c>
      <c r="J286" t="str">
        <f>_xlfn.XLOOKUP($A286,Load!$B:$B,Load!K:K,0,)</f>
        <v xml:space="preserve">Variety Candy Sizes </v>
      </c>
      <c r="K286" t="str">
        <f>_xlfn.XLOOKUP($A286,Load!$B:$B,Load!L:L,0,)</f>
        <v>Regular/Original Wrapping</v>
      </c>
      <c r="L286" t="str">
        <f>_xlfn.XLOOKUP($A286,Load!$B:$B,Load!M:M,0,)</f>
        <v>Multiple Brands / Variety Flavors or Form</v>
      </c>
    </row>
    <row r="287" spans="1:12" x14ac:dyDescent="0.25">
      <c r="B287">
        <f>_xlfn.XLOOKUP($A287,Load!$B:$B,Load!C:C,0,)</f>
        <v>0</v>
      </c>
      <c r="C287">
        <f>_xlfn.XLOOKUP($A287,Load!$B:$B,Load!D:D,0,)</f>
        <v>0</v>
      </c>
      <c r="D287">
        <f>_xlfn.XLOOKUP($A287,Load!$B:$B,Load!E:E,0,)</f>
        <v>0</v>
      </c>
      <c r="E287">
        <f>_xlfn.XLOOKUP($A287,Load!$B:$B,Load!F:F,0,)</f>
        <v>0</v>
      </c>
      <c r="F287">
        <f>_xlfn.XLOOKUP($A287,Load!$B:$B,Load!G:G,0,)</f>
        <v>0</v>
      </c>
      <c r="G287">
        <f>_xlfn.XLOOKUP($A287,Load!$B:$B,Load!H:H,0,)</f>
        <v>0</v>
      </c>
      <c r="H287">
        <f>_xlfn.XLOOKUP($A287,Load!$B:$B,Load!I:I,0,)</f>
        <v>0</v>
      </c>
      <c r="I287">
        <f>_xlfn.XLOOKUP($A287,Load!$B:$B,Load!J:J,0,)</f>
        <v>0</v>
      </c>
      <c r="J287">
        <f>_xlfn.XLOOKUP($A287,Load!$B:$B,Load!K:K,0,)</f>
        <v>0</v>
      </c>
      <c r="K287">
        <f>_xlfn.XLOOKUP($A287,Load!$B:$B,Load!L:L,0,)</f>
        <v>0</v>
      </c>
      <c r="L287">
        <f>_xlfn.XLOOKUP($A287,Load!$B:$B,Load!M:M,0,)</f>
        <v>0</v>
      </c>
    </row>
    <row r="288" spans="1:12" x14ac:dyDescent="0.25">
      <c r="B288">
        <f>_xlfn.XLOOKUP($A288,Load!$B:$B,Load!C:C,0,)</f>
        <v>0</v>
      </c>
      <c r="C288">
        <f>_xlfn.XLOOKUP($A288,Load!$B:$B,Load!D:D,0,)</f>
        <v>0</v>
      </c>
      <c r="D288">
        <f>_xlfn.XLOOKUP($A288,Load!$B:$B,Load!E:E,0,)</f>
        <v>0</v>
      </c>
      <c r="E288">
        <f>_xlfn.XLOOKUP($A288,Load!$B:$B,Load!F:F,0,)</f>
        <v>0</v>
      </c>
      <c r="F288">
        <f>_xlfn.XLOOKUP($A288,Load!$B:$B,Load!G:G,0,)</f>
        <v>0</v>
      </c>
      <c r="G288">
        <f>_xlfn.XLOOKUP($A288,Load!$B:$B,Load!H:H,0,)</f>
        <v>0</v>
      </c>
      <c r="H288">
        <f>_xlfn.XLOOKUP($A288,Load!$B:$B,Load!I:I,0,)</f>
        <v>0</v>
      </c>
      <c r="I288">
        <f>_xlfn.XLOOKUP($A288,Load!$B:$B,Load!J:J,0,)</f>
        <v>0</v>
      </c>
      <c r="J288">
        <f>_xlfn.XLOOKUP($A288,Load!$B:$B,Load!K:K,0,)</f>
        <v>0</v>
      </c>
      <c r="K288">
        <f>_xlfn.XLOOKUP($A288,Load!$B:$B,Load!L:L,0,)</f>
        <v>0</v>
      </c>
      <c r="L288">
        <f>_xlfn.XLOOKUP($A288,Load!$B:$B,Load!M:M,0,)</f>
        <v>0</v>
      </c>
    </row>
    <row r="289" spans="1:12" x14ac:dyDescent="0.25">
      <c r="B289">
        <f>_xlfn.XLOOKUP($A289,Load!$B:$B,Load!C:C,0,)</f>
        <v>0</v>
      </c>
      <c r="C289">
        <f>_xlfn.XLOOKUP($A289,Load!$B:$B,Load!D:D,0,)</f>
        <v>0</v>
      </c>
      <c r="D289">
        <f>_xlfn.XLOOKUP($A289,Load!$B:$B,Load!E:E,0,)</f>
        <v>0</v>
      </c>
      <c r="E289">
        <f>_xlfn.XLOOKUP($A289,Load!$B:$B,Load!F:F,0,)</f>
        <v>0</v>
      </c>
      <c r="F289">
        <f>_xlfn.XLOOKUP($A289,Load!$B:$B,Load!G:G,0,)</f>
        <v>0</v>
      </c>
      <c r="G289">
        <f>_xlfn.XLOOKUP($A289,Load!$B:$B,Load!H:H,0,)</f>
        <v>0</v>
      </c>
      <c r="H289">
        <f>_xlfn.XLOOKUP($A289,Load!$B:$B,Load!I:I,0,)</f>
        <v>0</v>
      </c>
      <c r="I289">
        <f>_xlfn.XLOOKUP($A289,Load!$B:$B,Load!J:J,0,)</f>
        <v>0</v>
      </c>
      <c r="J289">
        <f>_xlfn.XLOOKUP($A289,Load!$B:$B,Load!K:K,0,)</f>
        <v>0</v>
      </c>
      <c r="K289">
        <f>_xlfn.XLOOKUP($A289,Load!$B:$B,Load!L:L,0,)</f>
        <v>0</v>
      </c>
      <c r="L289">
        <f>_xlfn.XLOOKUP($A289,Load!$B:$B,Load!M:M,0,)</f>
        <v>0</v>
      </c>
    </row>
    <row r="290" spans="1:12" x14ac:dyDescent="0.25">
      <c r="B290">
        <f>_xlfn.XLOOKUP($A290,Load!$B:$B,Load!C:C,0,)</f>
        <v>0</v>
      </c>
      <c r="C290">
        <f>_xlfn.XLOOKUP($A290,Load!$B:$B,Load!D:D,0,)</f>
        <v>0</v>
      </c>
      <c r="D290">
        <f>_xlfn.XLOOKUP($A290,Load!$B:$B,Load!E:E,0,)</f>
        <v>0</v>
      </c>
      <c r="E290">
        <f>_xlfn.XLOOKUP($A290,Load!$B:$B,Load!F:F,0,)</f>
        <v>0</v>
      </c>
      <c r="F290">
        <f>_xlfn.XLOOKUP($A290,Load!$B:$B,Load!G:G,0,)</f>
        <v>0</v>
      </c>
      <c r="G290">
        <f>_xlfn.XLOOKUP($A290,Load!$B:$B,Load!H:H,0,)</f>
        <v>0</v>
      </c>
      <c r="H290">
        <f>_xlfn.XLOOKUP($A290,Load!$B:$B,Load!I:I,0,)</f>
        <v>0</v>
      </c>
      <c r="I290">
        <f>_xlfn.XLOOKUP($A290,Load!$B:$B,Load!J:J,0,)</f>
        <v>0</v>
      </c>
      <c r="J290">
        <f>_xlfn.XLOOKUP($A290,Load!$B:$B,Load!K:K,0,)</f>
        <v>0</v>
      </c>
      <c r="K290">
        <f>_xlfn.XLOOKUP($A290,Load!$B:$B,Load!L:L,0,)</f>
        <v>0</v>
      </c>
      <c r="L290">
        <f>_xlfn.XLOOKUP($A290,Load!$B:$B,Load!M:M,0,)</f>
        <v>0</v>
      </c>
    </row>
    <row r="291" spans="1:12" x14ac:dyDescent="0.25">
      <c r="B291">
        <f>_xlfn.XLOOKUP($A291,Load!$B:$B,Load!C:C,0,)</f>
        <v>0</v>
      </c>
      <c r="C291">
        <f>_xlfn.XLOOKUP($A291,Load!$B:$B,Load!D:D,0,)</f>
        <v>0</v>
      </c>
      <c r="D291">
        <f>_xlfn.XLOOKUP($A291,Load!$B:$B,Load!E:E,0,)</f>
        <v>0</v>
      </c>
      <c r="E291">
        <f>_xlfn.XLOOKUP($A291,Load!$B:$B,Load!F:F,0,)</f>
        <v>0</v>
      </c>
      <c r="F291">
        <f>_xlfn.XLOOKUP($A291,Load!$B:$B,Load!G:G,0,)</f>
        <v>0</v>
      </c>
      <c r="G291">
        <f>_xlfn.XLOOKUP($A291,Load!$B:$B,Load!H:H,0,)</f>
        <v>0</v>
      </c>
      <c r="H291">
        <f>_xlfn.XLOOKUP($A291,Load!$B:$B,Load!I:I,0,)</f>
        <v>0</v>
      </c>
      <c r="I291">
        <f>_xlfn.XLOOKUP($A291,Load!$B:$B,Load!J:J,0,)</f>
        <v>0</v>
      </c>
      <c r="J291">
        <f>_xlfn.XLOOKUP($A291,Load!$B:$B,Load!K:K,0,)</f>
        <v>0</v>
      </c>
      <c r="K291">
        <f>_xlfn.XLOOKUP($A291,Load!$B:$B,Load!L:L,0,)</f>
        <v>0</v>
      </c>
      <c r="L291">
        <f>_xlfn.XLOOKUP($A291,Load!$B:$B,Load!M:M,0,)</f>
        <v>0</v>
      </c>
    </row>
    <row r="292" spans="1:12" x14ac:dyDescent="0.25">
      <c r="A292" t="s">
        <v>169</v>
      </c>
      <c r="B292" t="str">
        <f>_xlfn.XLOOKUP($A292,Load!$B:$B,Load!C:C,0,)</f>
        <v>Laffy Taffy</v>
      </c>
      <c r="C292" t="str">
        <f>_xlfn.XLOOKUP($A292,Load!$B:$B,Load!D:D,0,)</f>
        <v>Non-Chocolate Candy Only</v>
      </c>
      <c r="D292" t="str">
        <f>_xlfn.XLOOKUP($A292,Load!$B:$B,Load!E:E,0,)</f>
        <v>Fruit Flavor (Cherry, Grape, Apple, Citrus, Tropical Fruit)</v>
      </c>
      <c r="E292" t="str">
        <f>_xlfn.XLOOKUP($A292,Load!$B:$B,Load!F:F,0,)</f>
        <v>Taffy</v>
      </c>
      <c r="F292" t="str">
        <f>_xlfn.XLOOKUP($A292,Load!$B:$B,Load!G:G,0,)</f>
        <v>Small Multipack (Less than 40 ct)</v>
      </c>
      <c r="G292" t="str">
        <f>_xlfn.XLOOKUP($A292,Load!$B:$B,Load!H:H,0,)</f>
        <v>Laydown Bag</v>
      </c>
      <c r="H292" t="str">
        <f>_xlfn.XLOOKUP($A292,Load!$B:$B,Load!I:I,0,)</f>
        <v>Everyday Candy Shapes (like Original, Gummy bear, Fruit, Jewels, etc.)</v>
      </c>
      <c r="I292" t="str">
        <f>_xlfn.XLOOKUP($A292,Load!$B:$B,Load!J:J,0,)</f>
        <v>Everyday Graphics</v>
      </c>
      <c r="J292" t="str">
        <f>_xlfn.XLOOKUP($A292,Load!$B:$B,Load!K:K,0,)</f>
        <v>Fun Size / Treat Size</v>
      </c>
      <c r="K292" t="str">
        <f>_xlfn.XLOOKUP($A292,Load!$B:$B,Load!L:L,0,)</f>
        <v>Regular/Original Wrapping</v>
      </c>
      <c r="L292" t="str">
        <f>_xlfn.XLOOKUP($A292,Load!$B:$B,Load!M:M,0,)</f>
        <v>Single Brand / Variety Flavors or Form</v>
      </c>
    </row>
    <row r="293" spans="1:12" x14ac:dyDescent="0.25">
      <c r="B293">
        <f>_xlfn.XLOOKUP($A293,Load!$B:$B,Load!C:C,0,)</f>
        <v>0</v>
      </c>
      <c r="C293">
        <f>_xlfn.XLOOKUP($A293,Load!$B:$B,Load!D:D,0,)</f>
        <v>0</v>
      </c>
      <c r="D293">
        <f>_xlfn.XLOOKUP($A293,Load!$B:$B,Load!E:E,0,)</f>
        <v>0</v>
      </c>
      <c r="E293">
        <f>_xlfn.XLOOKUP($A293,Load!$B:$B,Load!F:F,0,)</f>
        <v>0</v>
      </c>
      <c r="F293">
        <f>_xlfn.XLOOKUP($A293,Load!$B:$B,Load!G:G,0,)</f>
        <v>0</v>
      </c>
      <c r="G293">
        <f>_xlfn.XLOOKUP($A293,Load!$B:$B,Load!H:H,0,)</f>
        <v>0</v>
      </c>
      <c r="H293">
        <f>_xlfn.XLOOKUP($A293,Load!$B:$B,Load!I:I,0,)</f>
        <v>0</v>
      </c>
      <c r="I293">
        <f>_xlfn.XLOOKUP($A293,Load!$B:$B,Load!J:J,0,)</f>
        <v>0</v>
      </c>
      <c r="J293">
        <f>_xlfn.XLOOKUP($A293,Load!$B:$B,Load!K:K,0,)</f>
        <v>0</v>
      </c>
      <c r="K293">
        <f>_xlfn.XLOOKUP($A293,Load!$B:$B,Load!L:L,0,)</f>
        <v>0</v>
      </c>
      <c r="L293">
        <f>_xlfn.XLOOKUP($A293,Load!$B:$B,Load!M:M,0,)</f>
        <v>0</v>
      </c>
    </row>
    <row r="294" spans="1:12" x14ac:dyDescent="0.25">
      <c r="B294">
        <f>_xlfn.XLOOKUP($A294,Load!$B:$B,Load!C:C,0,)</f>
        <v>0</v>
      </c>
      <c r="C294">
        <f>_xlfn.XLOOKUP($A294,Load!$B:$B,Load!D:D,0,)</f>
        <v>0</v>
      </c>
      <c r="D294">
        <f>_xlfn.XLOOKUP($A294,Load!$B:$B,Load!E:E,0,)</f>
        <v>0</v>
      </c>
      <c r="E294">
        <f>_xlfn.XLOOKUP($A294,Load!$B:$B,Load!F:F,0,)</f>
        <v>0</v>
      </c>
      <c r="F294">
        <f>_xlfn.XLOOKUP($A294,Load!$B:$B,Load!G:G,0,)</f>
        <v>0</v>
      </c>
      <c r="G294">
        <f>_xlfn.XLOOKUP($A294,Load!$B:$B,Load!H:H,0,)</f>
        <v>0</v>
      </c>
      <c r="H294">
        <f>_xlfn.XLOOKUP($A294,Load!$B:$B,Load!I:I,0,)</f>
        <v>0</v>
      </c>
      <c r="I294">
        <f>_xlfn.XLOOKUP($A294,Load!$B:$B,Load!J:J,0,)</f>
        <v>0</v>
      </c>
      <c r="J294">
        <f>_xlfn.XLOOKUP($A294,Load!$B:$B,Load!K:K,0,)</f>
        <v>0</v>
      </c>
      <c r="K294">
        <f>_xlfn.XLOOKUP($A294,Load!$B:$B,Load!L:L,0,)</f>
        <v>0</v>
      </c>
      <c r="L294">
        <f>_xlfn.XLOOKUP($A294,Load!$B:$B,Load!M:M,0,)</f>
        <v>0</v>
      </c>
    </row>
    <row r="295" spans="1:12" x14ac:dyDescent="0.25">
      <c r="B295">
        <f>_xlfn.XLOOKUP($A295,Load!$B:$B,Load!C:C,0,)</f>
        <v>0</v>
      </c>
      <c r="C295">
        <f>_xlfn.XLOOKUP($A295,Load!$B:$B,Load!D:D,0,)</f>
        <v>0</v>
      </c>
      <c r="D295">
        <f>_xlfn.XLOOKUP($A295,Load!$B:$B,Load!E:E,0,)</f>
        <v>0</v>
      </c>
      <c r="E295">
        <f>_xlfn.XLOOKUP($A295,Load!$B:$B,Load!F:F,0,)</f>
        <v>0</v>
      </c>
      <c r="F295">
        <f>_xlfn.XLOOKUP($A295,Load!$B:$B,Load!G:G,0,)</f>
        <v>0</v>
      </c>
      <c r="G295">
        <f>_xlfn.XLOOKUP($A295,Load!$B:$B,Load!H:H,0,)</f>
        <v>0</v>
      </c>
      <c r="H295">
        <f>_xlfn.XLOOKUP($A295,Load!$B:$B,Load!I:I,0,)</f>
        <v>0</v>
      </c>
      <c r="I295">
        <f>_xlfn.XLOOKUP($A295,Load!$B:$B,Load!J:J,0,)</f>
        <v>0</v>
      </c>
      <c r="J295">
        <f>_xlfn.XLOOKUP($A295,Load!$B:$B,Load!K:K,0,)</f>
        <v>0</v>
      </c>
      <c r="K295">
        <f>_xlfn.XLOOKUP($A295,Load!$B:$B,Load!L:L,0,)</f>
        <v>0</v>
      </c>
      <c r="L295">
        <f>_xlfn.XLOOKUP($A295,Load!$B:$B,Load!M:M,0,)</f>
        <v>0</v>
      </c>
    </row>
    <row r="296" spans="1:12" x14ac:dyDescent="0.25">
      <c r="A296" t="s">
        <v>213</v>
      </c>
      <c r="B296" t="str">
        <f>_xlfn.XLOOKUP($A296,Load!$B:$B,Load!C:C,0,)</f>
        <v>Mars Variety Pack</v>
      </c>
      <c r="C296" t="str">
        <f>_xlfn.XLOOKUP($A296,Load!$B:$B,Load!D:D,0,)</f>
        <v>Mix of Chocolate and Non-Chocolate Candy</v>
      </c>
      <c r="D296" t="str">
        <f>_xlfn.XLOOKUP($A296,Load!$B:$B,Load!E:E,0,)</f>
        <v>Variety / Mixed Flavors (Fruity, Sour, Seasonal Flavors)</v>
      </c>
      <c r="E296" t="str">
        <f>_xlfn.XLOOKUP($A296,Load!$B:$B,Load!F:F,0,)</f>
        <v>Mixed / Combo Packs (Gummy, Chewy, Taffy, etc.)</v>
      </c>
      <c r="F296" t="str">
        <f>_xlfn.XLOOKUP($A296,Load!$B:$B,Load!G:G,0,)</f>
        <v>Medium Multipack (40–80 ct)</v>
      </c>
      <c r="G296" t="str">
        <f>_xlfn.XLOOKUP($A296,Load!$B:$B,Load!H:H,0,)</f>
        <v>Stand-Up Bag</v>
      </c>
      <c r="H296" t="str">
        <f>_xlfn.XLOOKUP($A296,Load!$B:$B,Load!I:I,0,)</f>
        <v>Everyday Candy Shapes (like Original, Gummy bear, Fruit, Jewels, etc.)</v>
      </c>
      <c r="I296" t="str">
        <f>_xlfn.XLOOKUP($A296,Load!$B:$B,Load!J:J,0,)</f>
        <v>Seasonal Graphics (Like Bat, Ghost, Pumpkin, Fall Leaves, Eyeballs, etc.)</v>
      </c>
      <c r="J296" t="str">
        <f>_xlfn.XLOOKUP($A296,Load!$B:$B,Load!K:K,0,)</f>
        <v>Fun Size / Treat Size</v>
      </c>
      <c r="K296" t="str">
        <f>_xlfn.XLOOKUP($A296,Load!$B:$B,Load!L:L,0,)</f>
        <v>Regular/Original Wrapping</v>
      </c>
      <c r="L296" t="str">
        <f>_xlfn.XLOOKUP($A296,Load!$B:$B,Load!M:M,0,)</f>
        <v>Multiple Brands / Variety Flavors or Form</v>
      </c>
    </row>
    <row r="297" spans="1:12" x14ac:dyDescent="0.25">
      <c r="A297" t="s">
        <v>463</v>
      </c>
      <c r="B297" t="str">
        <f>_xlfn.XLOOKUP($A297,Load!$B:$B,Load!C:C,0,)</f>
        <v>Mars Variety Pack</v>
      </c>
      <c r="C297" t="str">
        <f>_xlfn.XLOOKUP($A297,Load!$B:$B,Load!D:D,0,)</f>
        <v>Mix of Chocolate and Non-Chocolate Candy</v>
      </c>
      <c r="D297" t="str">
        <f>_xlfn.XLOOKUP($A297,Load!$B:$B,Load!E:E,0,)</f>
        <v>Variety / Mixed Flavors (Fruity, Sour, Seasonal Flavors)</v>
      </c>
      <c r="E297" t="str">
        <f>_xlfn.XLOOKUP($A297,Load!$B:$B,Load!F:F,0,)</f>
        <v>Mixed / Combo Packs (Gummy, Chewy, Taffy, etc.)</v>
      </c>
      <c r="F297" t="str">
        <f>_xlfn.XLOOKUP($A297,Load!$B:$B,Load!G:G,0,)</f>
        <v>Medium Multipack (40–80 ct)</v>
      </c>
      <c r="G297" t="str">
        <f>_xlfn.XLOOKUP($A297,Load!$B:$B,Load!H:H,0,)</f>
        <v>Stand-Up Bag</v>
      </c>
      <c r="H297" t="str">
        <f>_xlfn.XLOOKUP($A297,Load!$B:$B,Load!I:I,0,)</f>
        <v>Everyday Candy Shapes (like Original, Gummy bear, Fruit, Jewels, etc.)</v>
      </c>
      <c r="I297" t="str">
        <f>_xlfn.XLOOKUP($A297,Load!$B:$B,Load!J:J,0,)</f>
        <v>Seasonal Graphics (Like Bat, Ghost, Pumpkin, Fall Leaves, Eyeballs, etc.)</v>
      </c>
      <c r="J297" t="str">
        <f>_xlfn.XLOOKUP($A297,Load!$B:$B,Load!K:K,0,)</f>
        <v>Fun Size / Treat Size</v>
      </c>
      <c r="K297" t="str">
        <f>_xlfn.XLOOKUP($A297,Load!$B:$B,Load!L:L,0,)</f>
        <v>Regular/Original Wrapping</v>
      </c>
      <c r="L297" t="str">
        <f>_xlfn.XLOOKUP($A297,Load!$B:$B,Load!M:M,0,)</f>
        <v>Multiple Brands / Variety Flavors or Form</v>
      </c>
    </row>
    <row r="298" spans="1:12" x14ac:dyDescent="0.25">
      <c r="B298">
        <f>_xlfn.XLOOKUP($A298,Load!$B:$B,Load!C:C,0,)</f>
        <v>0</v>
      </c>
      <c r="C298">
        <f>_xlfn.XLOOKUP($A298,Load!$B:$B,Load!D:D,0,)</f>
        <v>0</v>
      </c>
      <c r="D298">
        <f>_xlfn.XLOOKUP($A298,Load!$B:$B,Load!E:E,0,)</f>
        <v>0</v>
      </c>
      <c r="E298">
        <f>_xlfn.XLOOKUP($A298,Load!$B:$B,Load!F:F,0,)</f>
        <v>0</v>
      </c>
      <c r="F298">
        <f>_xlfn.XLOOKUP($A298,Load!$B:$B,Load!G:G,0,)</f>
        <v>0</v>
      </c>
      <c r="G298">
        <f>_xlfn.XLOOKUP($A298,Load!$B:$B,Load!H:H,0,)</f>
        <v>0</v>
      </c>
      <c r="H298">
        <f>_xlfn.XLOOKUP($A298,Load!$B:$B,Load!I:I,0,)</f>
        <v>0</v>
      </c>
      <c r="I298">
        <f>_xlfn.XLOOKUP($A298,Load!$B:$B,Load!J:J,0,)</f>
        <v>0</v>
      </c>
      <c r="J298">
        <f>_xlfn.XLOOKUP($A298,Load!$B:$B,Load!K:K,0,)</f>
        <v>0</v>
      </c>
      <c r="K298">
        <f>_xlfn.XLOOKUP($A298,Load!$B:$B,Load!L:L,0,)</f>
        <v>0</v>
      </c>
      <c r="L298">
        <f>_xlfn.XLOOKUP($A298,Load!$B:$B,Load!M:M,0,)</f>
        <v>0</v>
      </c>
    </row>
    <row r="299" spans="1:12" x14ac:dyDescent="0.25">
      <c r="B299">
        <f>_xlfn.XLOOKUP($A299,Load!$B:$B,Load!C:C,0,)</f>
        <v>0</v>
      </c>
      <c r="C299">
        <f>_xlfn.XLOOKUP($A299,Load!$B:$B,Load!D:D,0,)</f>
        <v>0</v>
      </c>
      <c r="D299">
        <f>_xlfn.XLOOKUP($A299,Load!$B:$B,Load!E:E,0,)</f>
        <v>0</v>
      </c>
      <c r="E299">
        <f>_xlfn.XLOOKUP($A299,Load!$B:$B,Load!F:F,0,)</f>
        <v>0</v>
      </c>
      <c r="F299">
        <f>_xlfn.XLOOKUP($A299,Load!$B:$B,Load!G:G,0,)</f>
        <v>0</v>
      </c>
      <c r="G299">
        <f>_xlfn.XLOOKUP($A299,Load!$B:$B,Load!H:H,0,)</f>
        <v>0</v>
      </c>
      <c r="H299">
        <f>_xlfn.XLOOKUP($A299,Load!$B:$B,Load!I:I,0,)</f>
        <v>0</v>
      </c>
      <c r="I299">
        <f>_xlfn.XLOOKUP($A299,Load!$B:$B,Load!J:J,0,)</f>
        <v>0</v>
      </c>
      <c r="J299">
        <f>_xlfn.XLOOKUP($A299,Load!$B:$B,Load!K:K,0,)</f>
        <v>0</v>
      </c>
      <c r="K299">
        <f>_xlfn.XLOOKUP($A299,Load!$B:$B,Load!L:L,0,)</f>
        <v>0</v>
      </c>
      <c r="L299">
        <f>_xlfn.XLOOKUP($A299,Load!$B:$B,Load!M:M,0,)</f>
        <v>0</v>
      </c>
    </row>
    <row r="300" spans="1:12" x14ac:dyDescent="0.25">
      <c r="B300">
        <f>_xlfn.XLOOKUP($A300,Load!$B:$B,Load!C:C,0,)</f>
        <v>0</v>
      </c>
      <c r="C300">
        <f>_xlfn.XLOOKUP($A300,Load!$B:$B,Load!D:D,0,)</f>
        <v>0</v>
      </c>
      <c r="D300">
        <f>_xlfn.XLOOKUP($A300,Load!$B:$B,Load!E:E,0,)</f>
        <v>0</v>
      </c>
      <c r="E300">
        <f>_xlfn.XLOOKUP($A300,Load!$B:$B,Load!F:F,0,)</f>
        <v>0</v>
      </c>
      <c r="F300">
        <f>_xlfn.XLOOKUP($A300,Load!$B:$B,Load!G:G,0,)</f>
        <v>0</v>
      </c>
      <c r="G300">
        <f>_xlfn.XLOOKUP($A300,Load!$B:$B,Load!H:H,0,)</f>
        <v>0</v>
      </c>
      <c r="H300">
        <f>_xlfn.XLOOKUP($A300,Load!$B:$B,Load!I:I,0,)</f>
        <v>0</v>
      </c>
      <c r="I300">
        <f>_xlfn.XLOOKUP($A300,Load!$B:$B,Load!J:J,0,)</f>
        <v>0</v>
      </c>
      <c r="J300">
        <f>_xlfn.XLOOKUP($A300,Load!$B:$B,Load!K:K,0,)</f>
        <v>0</v>
      </c>
      <c r="K300">
        <f>_xlfn.XLOOKUP($A300,Load!$B:$B,Load!L:L,0,)</f>
        <v>0</v>
      </c>
      <c r="L300">
        <f>_xlfn.XLOOKUP($A300,Load!$B:$B,Load!M:M,0,)</f>
        <v>0</v>
      </c>
    </row>
    <row r="301" spans="1:12" x14ac:dyDescent="0.25">
      <c r="B301">
        <f>_xlfn.XLOOKUP($A301,Load!$B:$B,Load!C:C,0,)</f>
        <v>0</v>
      </c>
      <c r="C301">
        <f>_xlfn.XLOOKUP($A301,Load!$B:$B,Load!D:D,0,)</f>
        <v>0</v>
      </c>
      <c r="D301">
        <f>_xlfn.XLOOKUP($A301,Load!$B:$B,Load!E:E,0,)</f>
        <v>0</v>
      </c>
      <c r="E301">
        <f>_xlfn.XLOOKUP($A301,Load!$B:$B,Load!F:F,0,)</f>
        <v>0</v>
      </c>
      <c r="F301">
        <f>_xlfn.XLOOKUP($A301,Load!$B:$B,Load!G:G,0,)</f>
        <v>0</v>
      </c>
      <c r="G301">
        <f>_xlfn.XLOOKUP($A301,Load!$B:$B,Load!H:H,0,)</f>
        <v>0</v>
      </c>
      <c r="H301">
        <f>_xlfn.XLOOKUP($A301,Load!$B:$B,Load!I:I,0,)</f>
        <v>0</v>
      </c>
      <c r="I301">
        <f>_xlfn.XLOOKUP($A301,Load!$B:$B,Load!J:J,0,)</f>
        <v>0</v>
      </c>
      <c r="J301">
        <f>_xlfn.XLOOKUP($A301,Load!$B:$B,Load!K:K,0,)</f>
        <v>0</v>
      </c>
      <c r="K301">
        <f>_xlfn.XLOOKUP($A301,Load!$B:$B,Load!L:L,0,)</f>
        <v>0</v>
      </c>
      <c r="L301">
        <f>_xlfn.XLOOKUP($A301,Load!$B:$B,Load!M:M,0,)</f>
        <v>0</v>
      </c>
    </row>
    <row r="302" spans="1:12" x14ac:dyDescent="0.25">
      <c r="A302" t="s">
        <v>27</v>
      </c>
      <c r="B302" t="str">
        <f>_xlfn.XLOOKUP($A302,Load!$B:$B,Load!C:C,0,)</f>
        <v>AMOS</v>
      </c>
      <c r="C302" t="str">
        <f>_xlfn.XLOOKUP($A302,Load!$B:$B,Load!D:D,0,)</f>
        <v>Non-Chocolate Candy Only</v>
      </c>
      <c r="D302" t="str">
        <f>_xlfn.XLOOKUP($A302,Load!$B:$B,Load!E:E,0,)</f>
        <v>Sweet</v>
      </c>
      <c r="E302" t="str">
        <f>_xlfn.XLOOKUP($A302,Load!$B:$B,Load!F:F,0,)</f>
        <v>Lollipop (regular or lollipop rings)</v>
      </c>
      <c r="F302" t="str">
        <f>_xlfn.XLOOKUP($A302,Load!$B:$B,Load!G:G,0,)</f>
        <v>Small Multipack (Less than 40 ct)</v>
      </c>
      <c r="G302" t="str">
        <f>_xlfn.XLOOKUP($A302,Load!$B:$B,Load!H:H,0,)</f>
        <v>Laydown Bag</v>
      </c>
      <c r="H302" t="str">
        <f>_xlfn.XLOOKUP($A302,Load!$B:$B,Load!I:I,0,)</f>
        <v>Seasonal Shapes (like pumpkins, candy corn, ghost, bats, etc.)</v>
      </c>
      <c r="I302" t="str">
        <f>_xlfn.XLOOKUP($A302,Load!$B:$B,Load!J:J,0,)</f>
        <v>Seasonal Graphics (Like Bat, Ghost, Pumpkin, Fall Leaves, Eyeballs, etc.)</v>
      </c>
      <c r="J302" t="str">
        <f>_xlfn.XLOOKUP($A302,Load!$B:$B,Load!K:K,0,)</f>
        <v>Regular Lollipop size (on sticks or rings)</v>
      </c>
      <c r="K302" t="str">
        <f>_xlfn.XLOOKUP($A302,Load!$B:$B,Load!L:L,0,)</f>
        <v>Regular/Original Wrapping</v>
      </c>
      <c r="L302" t="str">
        <f>_xlfn.XLOOKUP($A302,Load!$B:$B,Load!M:M,0,)</f>
        <v>Single Brand / Variety Flavors or Form</v>
      </c>
    </row>
    <row r="303" spans="1:12" x14ac:dyDescent="0.25">
      <c r="A303" t="s">
        <v>169</v>
      </c>
      <c r="B303" t="str">
        <f>_xlfn.XLOOKUP($A303,Load!$B:$B,Load!C:C,0,)</f>
        <v>Laffy Taffy</v>
      </c>
      <c r="C303" t="str">
        <f>_xlfn.XLOOKUP($A303,Load!$B:$B,Load!D:D,0,)</f>
        <v>Non-Chocolate Candy Only</v>
      </c>
      <c r="D303" t="str">
        <f>_xlfn.XLOOKUP($A303,Load!$B:$B,Load!E:E,0,)</f>
        <v>Fruit Flavor (Cherry, Grape, Apple, Citrus, Tropical Fruit)</v>
      </c>
      <c r="E303" t="str">
        <f>_xlfn.XLOOKUP($A303,Load!$B:$B,Load!F:F,0,)</f>
        <v>Taffy</v>
      </c>
      <c r="F303" t="str">
        <f>_xlfn.XLOOKUP($A303,Load!$B:$B,Load!G:G,0,)</f>
        <v>Small Multipack (Less than 40 ct)</v>
      </c>
      <c r="G303" t="str">
        <f>_xlfn.XLOOKUP($A303,Load!$B:$B,Load!H:H,0,)</f>
        <v>Laydown Bag</v>
      </c>
      <c r="H303" t="str">
        <f>_xlfn.XLOOKUP($A303,Load!$B:$B,Load!I:I,0,)</f>
        <v>Everyday Candy Shapes (like Original, Gummy bear, Fruit, Jewels, etc.)</v>
      </c>
      <c r="I303" t="str">
        <f>_xlfn.XLOOKUP($A303,Load!$B:$B,Load!J:J,0,)</f>
        <v>Everyday Graphics</v>
      </c>
      <c r="J303" t="str">
        <f>_xlfn.XLOOKUP($A303,Load!$B:$B,Load!K:K,0,)</f>
        <v>Fun Size / Treat Size</v>
      </c>
      <c r="K303" t="str">
        <f>_xlfn.XLOOKUP($A303,Load!$B:$B,Load!L:L,0,)</f>
        <v>Regular/Original Wrapping</v>
      </c>
      <c r="L303" t="str">
        <f>_xlfn.XLOOKUP($A303,Load!$B:$B,Load!M:M,0,)</f>
        <v>Single Brand / Variety Flavors or Form</v>
      </c>
    </row>
    <row r="304" spans="1:12" x14ac:dyDescent="0.25">
      <c r="B304">
        <f>_xlfn.XLOOKUP($A304,Load!$B:$B,Load!C:C,0,)</f>
        <v>0</v>
      </c>
      <c r="C304">
        <f>_xlfn.XLOOKUP($A304,Load!$B:$B,Load!D:D,0,)</f>
        <v>0</v>
      </c>
      <c r="D304">
        <f>_xlfn.XLOOKUP($A304,Load!$B:$B,Load!E:E,0,)</f>
        <v>0</v>
      </c>
      <c r="E304">
        <f>_xlfn.XLOOKUP($A304,Load!$B:$B,Load!F:F,0,)</f>
        <v>0</v>
      </c>
      <c r="F304">
        <f>_xlfn.XLOOKUP($A304,Load!$B:$B,Load!G:G,0,)</f>
        <v>0</v>
      </c>
      <c r="G304">
        <f>_xlfn.XLOOKUP($A304,Load!$B:$B,Load!H:H,0,)</f>
        <v>0</v>
      </c>
      <c r="H304">
        <f>_xlfn.XLOOKUP($A304,Load!$B:$B,Load!I:I,0,)</f>
        <v>0</v>
      </c>
      <c r="I304">
        <f>_xlfn.XLOOKUP($A304,Load!$B:$B,Load!J:J,0,)</f>
        <v>0</v>
      </c>
      <c r="J304">
        <f>_xlfn.XLOOKUP($A304,Load!$B:$B,Load!K:K,0,)</f>
        <v>0</v>
      </c>
      <c r="K304">
        <f>_xlfn.XLOOKUP($A304,Load!$B:$B,Load!L:L,0,)</f>
        <v>0</v>
      </c>
      <c r="L304">
        <f>_xlfn.XLOOKUP($A304,Load!$B:$B,Load!M:M,0,)</f>
        <v>0</v>
      </c>
    </row>
    <row r="305" spans="1:12" x14ac:dyDescent="0.25">
      <c r="B305">
        <f>_xlfn.XLOOKUP($A305,Load!$B:$B,Load!C:C,0,)</f>
        <v>0</v>
      </c>
      <c r="C305">
        <f>_xlfn.XLOOKUP($A305,Load!$B:$B,Load!D:D,0,)</f>
        <v>0</v>
      </c>
      <c r="D305">
        <f>_xlfn.XLOOKUP($A305,Load!$B:$B,Load!E:E,0,)</f>
        <v>0</v>
      </c>
      <c r="E305">
        <f>_xlfn.XLOOKUP($A305,Load!$B:$B,Load!F:F,0,)</f>
        <v>0</v>
      </c>
      <c r="F305">
        <f>_xlfn.XLOOKUP($A305,Load!$B:$B,Load!G:G,0,)</f>
        <v>0</v>
      </c>
      <c r="G305">
        <f>_xlfn.XLOOKUP($A305,Load!$B:$B,Load!H:H,0,)</f>
        <v>0</v>
      </c>
      <c r="H305">
        <f>_xlfn.XLOOKUP($A305,Load!$B:$B,Load!I:I,0,)</f>
        <v>0</v>
      </c>
      <c r="I305">
        <f>_xlfn.XLOOKUP($A305,Load!$B:$B,Load!J:J,0,)</f>
        <v>0</v>
      </c>
      <c r="J305">
        <f>_xlfn.XLOOKUP($A305,Load!$B:$B,Load!K:K,0,)</f>
        <v>0</v>
      </c>
      <c r="K305">
        <f>_xlfn.XLOOKUP($A305,Load!$B:$B,Load!L:L,0,)</f>
        <v>0</v>
      </c>
      <c r="L305">
        <f>_xlfn.XLOOKUP($A305,Load!$B:$B,Load!M:M,0,)</f>
        <v>0</v>
      </c>
    </row>
    <row r="306" spans="1:12" x14ac:dyDescent="0.25">
      <c r="B306">
        <f>_xlfn.XLOOKUP($A306,Load!$B:$B,Load!C:C,0,)</f>
        <v>0</v>
      </c>
      <c r="C306">
        <f>_xlfn.XLOOKUP($A306,Load!$B:$B,Load!D:D,0,)</f>
        <v>0</v>
      </c>
      <c r="D306">
        <f>_xlfn.XLOOKUP($A306,Load!$B:$B,Load!E:E,0,)</f>
        <v>0</v>
      </c>
      <c r="E306">
        <f>_xlfn.XLOOKUP($A306,Load!$B:$B,Load!F:F,0,)</f>
        <v>0</v>
      </c>
      <c r="F306">
        <f>_xlfn.XLOOKUP($A306,Load!$B:$B,Load!G:G,0,)</f>
        <v>0</v>
      </c>
      <c r="G306">
        <f>_xlfn.XLOOKUP($A306,Load!$B:$B,Load!H:H,0,)</f>
        <v>0</v>
      </c>
      <c r="H306">
        <f>_xlfn.XLOOKUP($A306,Load!$B:$B,Load!I:I,0,)</f>
        <v>0</v>
      </c>
      <c r="I306">
        <f>_xlfn.XLOOKUP($A306,Load!$B:$B,Load!J:J,0,)</f>
        <v>0</v>
      </c>
      <c r="J306">
        <f>_xlfn.XLOOKUP($A306,Load!$B:$B,Load!K:K,0,)</f>
        <v>0</v>
      </c>
      <c r="K306">
        <f>_xlfn.XLOOKUP($A306,Load!$B:$B,Load!L:L,0,)</f>
        <v>0</v>
      </c>
      <c r="L306">
        <f>_xlfn.XLOOKUP($A306,Load!$B:$B,Load!M:M,0,)</f>
        <v>0</v>
      </c>
    </row>
    <row r="307" spans="1:12" x14ac:dyDescent="0.25">
      <c r="B307">
        <f>_xlfn.XLOOKUP($A307,Load!$B:$B,Load!C:C,0,)</f>
        <v>0</v>
      </c>
      <c r="C307">
        <f>_xlfn.XLOOKUP($A307,Load!$B:$B,Load!D:D,0,)</f>
        <v>0</v>
      </c>
      <c r="D307">
        <f>_xlfn.XLOOKUP($A307,Load!$B:$B,Load!E:E,0,)</f>
        <v>0</v>
      </c>
      <c r="E307">
        <f>_xlfn.XLOOKUP($A307,Load!$B:$B,Load!F:F,0,)</f>
        <v>0</v>
      </c>
      <c r="F307">
        <f>_xlfn.XLOOKUP($A307,Load!$B:$B,Load!G:G,0,)</f>
        <v>0</v>
      </c>
      <c r="G307">
        <f>_xlfn.XLOOKUP($A307,Load!$B:$B,Load!H:H,0,)</f>
        <v>0</v>
      </c>
      <c r="H307">
        <f>_xlfn.XLOOKUP($A307,Load!$B:$B,Load!I:I,0,)</f>
        <v>0</v>
      </c>
      <c r="I307">
        <f>_xlfn.XLOOKUP($A307,Load!$B:$B,Load!J:J,0,)</f>
        <v>0</v>
      </c>
      <c r="J307">
        <f>_xlfn.XLOOKUP($A307,Load!$B:$B,Load!K:K,0,)</f>
        <v>0</v>
      </c>
      <c r="K307">
        <f>_xlfn.XLOOKUP($A307,Load!$B:$B,Load!L:L,0,)</f>
        <v>0</v>
      </c>
      <c r="L307">
        <f>_xlfn.XLOOKUP($A307,Load!$B:$B,Load!M:M,0,)</f>
        <v>0</v>
      </c>
    </row>
    <row r="308" spans="1:12" x14ac:dyDescent="0.25">
      <c r="B308">
        <f>_xlfn.XLOOKUP($A308,Load!$B:$B,Load!C:C,0,)</f>
        <v>0</v>
      </c>
      <c r="C308">
        <f>_xlfn.XLOOKUP($A308,Load!$B:$B,Load!D:D,0,)</f>
        <v>0</v>
      </c>
      <c r="D308">
        <f>_xlfn.XLOOKUP($A308,Load!$B:$B,Load!E:E,0,)</f>
        <v>0</v>
      </c>
      <c r="E308">
        <f>_xlfn.XLOOKUP($A308,Load!$B:$B,Load!F:F,0,)</f>
        <v>0</v>
      </c>
      <c r="F308">
        <f>_xlfn.XLOOKUP($A308,Load!$B:$B,Load!G:G,0,)</f>
        <v>0</v>
      </c>
      <c r="G308">
        <f>_xlfn.XLOOKUP($A308,Load!$B:$B,Load!H:H,0,)</f>
        <v>0</v>
      </c>
      <c r="H308">
        <f>_xlfn.XLOOKUP($A308,Load!$B:$B,Load!I:I,0,)</f>
        <v>0</v>
      </c>
      <c r="I308">
        <f>_xlfn.XLOOKUP($A308,Load!$B:$B,Load!J:J,0,)</f>
        <v>0</v>
      </c>
      <c r="J308">
        <f>_xlfn.XLOOKUP($A308,Load!$B:$B,Load!K:K,0,)</f>
        <v>0</v>
      </c>
      <c r="K308">
        <f>_xlfn.XLOOKUP($A308,Load!$B:$B,Load!L:L,0,)</f>
        <v>0</v>
      </c>
      <c r="L308">
        <f>_xlfn.XLOOKUP($A308,Load!$B:$B,Load!M:M,0,)</f>
        <v>0</v>
      </c>
    </row>
    <row r="309" spans="1:12" x14ac:dyDescent="0.25">
      <c r="B309">
        <f>_xlfn.XLOOKUP($A309,Load!$B:$B,Load!C:C,0,)</f>
        <v>0</v>
      </c>
      <c r="C309">
        <f>_xlfn.XLOOKUP($A309,Load!$B:$B,Load!D:D,0,)</f>
        <v>0</v>
      </c>
      <c r="D309">
        <f>_xlfn.XLOOKUP($A309,Load!$B:$B,Load!E:E,0,)</f>
        <v>0</v>
      </c>
      <c r="E309">
        <f>_xlfn.XLOOKUP($A309,Load!$B:$B,Load!F:F,0,)</f>
        <v>0</v>
      </c>
      <c r="F309">
        <f>_xlfn.XLOOKUP($A309,Load!$B:$B,Load!G:G,0,)</f>
        <v>0</v>
      </c>
      <c r="G309">
        <f>_xlfn.XLOOKUP($A309,Load!$B:$B,Load!H:H,0,)</f>
        <v>0</v>
      </c>
      <c r="H309">
        <f>_xlfn.XLOOKUP($A309,Load!$B:$B,Load!I:I,0,)</f>
        <v>0</v>
      </c>
      <c r="I309">
        <f>_xlfn.XLOOKUP($A309,Load!$B:$B,Load!J:J,0,)</f>
        <v>0</v>
      </c>
      <c r="J309">
        <f>_xlfn.XLOOKUP($A309,Load!$B:$B,Load!K:K,0,)</f>
        <v>0</v>
      </c>
      <c r="K309">
        <f>_xlfn.XLOOKUP($A309,Load!$B:$B,Load!L:L,0,)</f>
        <v>0</v>
      </c>
      <c r="L309">
        <f>_xlfn.XLOOKUP($A309,Load!$B:$B,Load!M:M,0,)</f>
        <v>0</v>
      </c>
    </row>
    <row r="310" spans="1:12" x14ac:dyDescent="0.25">
      <c r="A310" t="s">
        <v>142</v>
      </c>
      <c r="B310" t="str">
        <f>_xlfn.XLOOKUP($A310,Load!$B:$B,Load!C:C,0,)</f>
        <v>Hershey's Variety Pack + Haribo</v>
      </c>
      <c r="C310" t="str">
        <f>_xlfn.XLOOKUP($A310,Load!$B:$B,Load!D:D,0,)</f>
        <v>Mix of Chocolate and Non-Chocolate Candy</v>
      </c>
      <c r="D310" t="str">
        <f>_xlfn.XLOOKUP($A310,Load!$B:$B,Load!E:E,0,)</f>
        <v>Variety / Mixed Flavors (Fruity, Sour, Seasonal Flavors)</v>
      </c>
      <c r="E310" t="str">
        <f>_xlfn.XLOOKUP($A310,Load!$B:$B,Load!F:F,0,)</f>
        <v>Mixed / Combo Packs (Gummy, Chewy, Taffy, etc.)</v>
      </c>
      <c r="F310" t="str">
        <f>_xlfn.XLOOKUP($A310,Load!$B:$B,Load!G:G,0,)</f>
        <v>Small Multipack (Less than 40 ct)</v>
      </c>
      <c r="G310" t="str">
        <f>_xlfn.XLOOKUP($A310,Load!$B:$B,Load!H:H,0,)</f>
        <v>Laydown Bag</v>
      </c>
      <c r="H310" t="str">
        <f>_xlfn.XLOOKUP($A310,Load!$B:$B,Load!I:I,0,)</f>
        <v>Everyday Candy Shapes (like Original, Gummy bear, Fruit, Jewels, etc.)</v>
      </c>
      <c r="I310" t="str">
        <f>_xlfn.XLOOKUP($A310,Load!$B:$B,Load!J:J,0,)</f>
        <v>Seasonal Graphics (Like Bat, Ghost, Pumpkin, Fall Leaves, Eyeballs, etc.)</v>
      </c>
      <c r="J310" t="str">
        <f>_xlfn.XLOOKUP($A310,Load!$B:$B,Load!K:K,0,)</f>
        <v>Fun Size / Treat Size</v>
      </c>
      <c r="K310" t="str">
        <f>_xlfn.XLOOKUP($A310,Load!$B:$B,Load!L:L,0,)</f>
        <v>Regular/Original Wrapping</v>
      </c>
      <c r="L310" t="str">
        <f>_xlfn.XLOOKUP($A310,Load!$B:$B,Load!M:M,0,)</f>
        <v>Multiple Brands / Variety Flavors or Form</v>
      </c>
    </row>
    <row r="311" spans="1:12" x14ac:dyDescent="0.25">
      <c r="A311" t="s">
        <v>143</v>
      </c>
      <c r="B311" t="str">
        <f>_xlfn.XLOOKUP($A311,Load!$B:$B,Load!C:C,0,)</f>
        <v>Hershey's Variety Pack + Haribo</v>
      </c>
      <c r="C311" t="str">
        <f>_xlfn.XLOOKUP($A311,Load!$B:$B,Load!D:D,0,)</f>
        <v>Non-Chocolate Candy Only</v>
      </c>
      <c r="D311" t="str">
        <f>_xlfn.XLOOKUP($A311,Load!$B:$B,Load!E:E,0,)</f>
        <v>Variety / Mixed Flavors (Fruity, Sour, Seasonal Flavors)</v>
      </c>
      <c r="E311" t="str">
        <f>_xlfn.XLOOKUP($A311,Load!$B:$B,Load!F:F,0,)</f>
        <v>Mixed / Combo Packs (Gummy, Chewy, Taffy, etc.)</v>
      </c>
      <c r="F311" t="str">
        <f>_xlfn.XLOOKUP($A311,Load!$B:$B,Load!G:G,0,)</f>
        <v>Small Multipack (Less than 40 ct)</v>
      </c>
      <c r="G311" t="str">
        <f>_xlfn.XLOOKUP($A311,Load!$B:$B,Load!H:H,0,)</f>
        <v>Laydown Bag</v>
      </c>
      <c r="H311" t="str">
        <f>_xlfn.XLOOKUP($A311,Load!$B:$B,Load!I:I,0,)</f>
        <v>Seasonal Shapes (like pumpkins, candy corn, ghost, bats, etc.)</v>
      </c>
      <c r="I311" t="str">
        <f>_xlfn.XLOOKUP($A311,Load!$B:$B,Load!J:J,0,)</f>
        <v>Seasonal Graphics (Like Bat, Ghost, Pumpkin, Fall Leaves, Eyeballs, etc.)</v>
      </c>
      <c r="J311" t="str">
        <f>_xlfn.XLOOKUP($A311,Load!$B:$B,Load!K:K,0,)</f>
        <v>Fun Size / Treat Size</v>
      </c>
      <c r="K311" t="str">
        <f>_xlfn.XLOOKUP($A311,Load!$B:$B,Load!L:L,0,)</f>
        <v>Regular/Original Wrapping</v>
      </c>
      <c r="L311" t="str">
        <f>_xlfn.XLOOKUP($A311,Load!$B:$B,Load!M:M,0,)</f>
        <v>Multiple Brands / Variety Flavors or Form</v>
      </c>
    </row>
    <row r="312" spans="1:12" x14ac:dyDescent="0.25">
      <c r="B312">
        <f>_xlfn.XLOOKUP($A312,Load!$B:$B,Load!C:C,0,)</f>
        <v>0</v>
      </c>
      <c r="C312">
        <f>_xlfn.XLOOKUP($A312,Load!$B:$B,Load!D:D,0,)</f>
        <v>0</v>
      </c>
      <c r="D312">
        <f>_xlfn.XLOOKUP($A312,Load!$B:$B,Load!E:E,0,)</f>
        <v>0</v>
      </c>
      <c r="E312">
        <f>_xlfn.XLOOKUP($A312,Load!$B:$B,Load!F:F,0,)</f>
        <v>0</v>
      </c>
      <c r="F312">
        <f>_xlfn.XLOOKUP($A312,Load!$B:$B,Load!G:G,0,)</f>
        <v>0</v>
      </c>
      <c r="G312">
        <f>_xlfn.XLOOKUP($A312,Load!$B:$B,Load!H:H,0,)</f>
        <v>0</v>
      </c>
      <c r="H312">
        <f>_xlfn.XLOOKUP($A312,Load!$B:$B,Load!I:I,0,)</f>
        <v>0</v>
      </c>
      <c r="I312">
        <f>_xlfn.XLOOKUP($A312,Load!$B:$B,Load!J:J,0,)</f>
        <v>0</v>
      </c>
      <c r="J312">
        <f>_xlfn.XLOOKUP($A312,Load!$B:$B,Load!K:K,0,)</f>
        <v>0</v>
      </c>
      <c r="K312">
        <f>_xlfn.XLOOKUP($A312,Load!$B:$B,Load!L:L,0,)</f>
        <v>0</v>
      </c>
      <c r="L312">
        <f>_xlfn.XLOOKUP($A312,Load!$B:$B,Load!M:M,0,)</f>
        <v>0</v>
      </c>
    </row>
    <row r="313" spans="1:12" x14ac:dyDescent="0.25">
      <c r="B313">
        <f>_xlfn.XLOOKUP($A313,Load!$B:$B,Load!C:C,0,)</f>
        <v>0</v>
      </c>
      <c r="C313">
        <f>_xlfn.XLOOKUP($A313,Load!$B:$B,Load!D:D,0,)</f>
        <v>0</v>
      </c>
      <c r="D313">
        <f>_xlfn.XLOOKUP($A313,Load!$B:$B,Load!E:E,0,)</f>
        <v>0</v>
      </c>
      <c r="E313">
        <f>_xlfn.XLOOKUP($A313,Load!$B:$B,Load!F:F,0,)</f>
        <v>0</v>
      </c>
      <c r="F313">
        <f>_xlfn.XLOOKUP($A313,Load!$B:$B,Load!G:G,0,)</f>
        <v>0</v>
      </c>
      <c r="G313">
        <f>_xlfn.XLOOKUP($A313,Load!$B:$B,Load!H:H,0,)</f>
        <v>0</v>
      </c>
      <c r="H313">
        <f>_xlfn.XLOOKUP($A313,Load!$B:$B,Load!I:I,0,)</f>
        <v>0</v>
      </c>
      <c r="I313">
        <f>_xlfn.XLOOKUP($A313,Load!$B:$B,Load!J:J,0,)</f>
        <v>0</v>
      </c>
      <c r="J313">
        <f>_xlfn.XLOOKUP($A313,Load!$B:$B,Load!K:K,0,)</f>
        <v>0</v>
      </c>
      <c r="K313">
        <f>_xlfn.XLOOKUP($A313,Load!$B:$B,Load!L:L,0,)</f>
        <v>0</v>
      </c>
      <c r="L313">
        <f>_xlfn.XLOOKUP($A313,Load!$B:$B,Load!M:M,0,)</f>
        <v>0</v>
      </c>
    </row>
    <row r="314" spans="1:12" x14ac:dyDescent="0.25">
      <c r="A314" t="s">
        <v>466</v>
      </c>
      <c r="B314" t="str">
        <f>_xlfn.XLOOKUP($A314,Load!$B:$B,Load!C:C,0,)</f>
        <v>Pez</v>
      </c>
      <c r="C314" t="str">
        <f>_xlfn.XLOOKUP($A314,Load!$B:$B,Load!D:D,0,)</f>
        <v>Non-Chocolate Candy Only</v>
      </c>
      <c r="D314" t="str">
        <f>_xlfn.XLOOKUP($A314,Load!$B:$B,Load!E:E,0,)</f>
        <v>Fruit Flavor (Cherry, Grape, Apple, Citrus, Tropical Fruit)</v>
      </c>
      <c r="E314" t="str">
        <f>_xlfn.XLOOKUP($A314,Load!$B:$B,Load!F:F,0,)</f>
        <v>Hard Candy</v>
      </c>
      <c r="F314" t="str">
        <f>_xlfn.XLOOKUP($A314,Load!$B:$B,Load!G:G,0,)</f>
        <v>Single Pack</v>
      </c>
      <c r="G314" t="str">
        <f>_xlfn.XLOOKUP($A314,Load!$B:$B,Load!H:H,0,)</f>
        <v>Peg Bag</v>
      </c>
      <c r="H314" t="str">
        <f>_xlfn.XLOOKUP($A314,Load!$B:$B,Load!I:I,0,)</f>
        <v>Everyday Candy Shapes (like Original, Gummy bear, Fruit, Jewels, etc.)</v>
      </c>
      <c r="I314" t="str">
        <f>_xlfn.XLOOKUP($A314,Load!$B:$B,Load!J:J,0,)</f>
        <v>Seasonal Graphics (Like Bat, Ghost, Pumpkin, Fall Leaves, Eyeballs, etc.)</v>
      </c>
      <c r="J314" t="str">
        <f>_xlfn.XLOOKUP($A314,Load!$B:$B,Load!K:K,0,)</f>
        <v>Small Pieces (Tiny bite size candies)</v>
      </c>
      <c r="K314" t="str">
        <f>_xlfn.XLOOKUP($A314,Load!$B:$B,Load!L:L,0,)</f>
        <v>Regular/Original Wrapping</v>
      </c>
      <c r="L314" t="str">
        <f>_xlfn.XLOOKUP($A314,Load!$B:$B,Load!M:M,0,)</f>
        <v>Single Brand / Variety Flavors or Form</v>
      </c>
    </row>
    <row r="315" spans="1:12" x14ac:dyDescent="0.25">
      <c r="B315">
        <f>_xlfn.XLOOKUP($A315,Load!$B:$B,Load!C:C,0,)</f>
        <v>0</v>
      </c>
      <c r="C315">
        <f>_xlfn.XLOOKUP($A315,Load!$B:$B,Load!D:D,0,)</f>
        <v>0</v>
      </c>
      <c r="D315">
        <f>_xlfn.XLOOKUP($A315,Load!$B:$B,Load!E:E,0,)</f>
        <v>0</v>
      </c>
      <c r="E315">
        <f>_xlfn.XLOOKUP($A315,Load!$B:$B,Load!F:F,0,)</f>
        <v>0</v>
      </c>
      <c r="F315">
        <f>_xlfn.XLOOKUP($A315,Load!$B:$B,Load!G:G,0,)</f>
        <v>0</v>
      </c>
      <c r="G315">
        <f>_xlfn.XLOOKUP($A315,Load!$B:$B,Load!H:H,0,)</f>
        <v>0</v>
      </c>
      <c r="H315">
        <f>_xlfn.XLOOKUP($A315,Load!$B:$B,Load!I:I,0,)</f>
        <v>0</v>
      </c>
      <c r="I315">
        <f>_xlfn.XLOOKUP($A315,Load!$B:$B,Load!J:J,0,)</f>
        <v>0</v>
      </c>
      <c r="J315">
        <f>_xlfn.XLOOKUP($A315,Load!$B:$B,Load!K:K,0,)</f>
        <v>0</v>
      </c>
      <c r="K315">
        <f>_xlfn.XLOOKUP($A315,Load!$B:$B,Load!L:L,0,)</f>
        <v>0</v>
      </c>
      <c r="L315">
        <f>_xlfn.XLOOKUP($A315,Load!$B:$B,Load!M:M,0,)</f>
        <v>0</v>
      </c>
    </row>
    <row r="316" spans="1:12" x14ac:dyDescent="0.25">
      <c r="A316" t="s">
        <v>200</v>
      </c>
      <c r="B316" t="str">
        <f>_xlfn.XLOOKUP($A316,Load!$B:$B,Load!C:C,0,)</f>
        <v>Mars Variety Pack</v>
      </c>
      <c r="C316" t="str">
        <f>_xlfn.XLOOKUP($A316,Load!$B:$B,Load!D:D,0,)</f>
        <v>Non-Chocolate Candy Only</v>
      </c>
      <c r="D316" t="str">
        <f>_xlfn.XLOOKUP($A316,Load!$B:$B,Load!E:E,0,)</f>
        <v>Variety / Mixed Flavors (Fruity, Sour, Seasonal Flavors)</v>
      </c>
      <c r="E316" t="str">
        <f>_xlfn.XLOOKUP($A316,Load!$B:$B,Load!F:F,0,)</f>
        <v>Mixed / Combo Packs (Gummy, Chewy, Taffy, etc.)</v>
      </c>
      <c r="F316" t="str">
        <f>_xlfn.XLOOKUP($A316,Load!$B:$B,Load!G:G,0,)</f>
        <v>Small Multipack (Less than 40 ct)</v>
      </c>
      <c r="G316" t="str">
        <f>_xlfn.XLOOKUP($A316,Load!$B:$B,Load!H:H,0,)</f>
        <v>Box (theatre box, gift box, carton)</v>
      </c>
      <c r="H316" t="str">
        <f>_xlfn.XLOOKUP($A316,Load!$B:$B,Load!I:I,0,)</f>
        <v>Everyday Candy Shapes (like Original, Gummy bear, Fruit, Jewels, etc.)</v>
      </c>
      <c r="I316" t="str">
        <f>_xlfn.XLOOKUP($A316,Load!$B:$B,Load!J:J,0,)</f>
        <v>Seasonal Graphics (Like Bat, Ghost, Pumpkin, Fall Leaves, Eyeballs, etc.)</v>
      </c>
      <c r="J316" t="str">
        <f>_xlfn.XLOOKUP($A316,Load!$B:$B,Load!K:K,0,)</f>
        <v>Small Pieces (Tiny bite size candies)</v>
      </c>
      <c r="K316" t="str">
        <f>_xlfn.XLOOKUP($A316,Load!$B:$B,Load!L:L,0,)</f>
        <v>Regular/Original Wrapping</v>
      </c>
      <c r="L316" t="str">
        <f>_xlfn.XLOOKUP($A316,Load!$B:$B,Load!M:M,0,)</f>
        <v>Multiple Brands / Variety Flavors or Form</v>
      </c>
    </row>
    <row r="317" spans="1:12" x14ac:dyDescent="0.25">
      <c r="B317">
        <f>_xlfn.XLOOKUP($A317,Load!$B:$B,Load!C:C,0,)</f>
        <v>0</v>
      </c>
      <c r="C317">
        <f>_xlfn.XLOOKUP($A317,Load!$B:$B,Load!D:D,0,)</f>
        <v>0</v>
      </c>
      <c r="D317">
        <f>_xlfn.XLOOKUP($A317,Load!$B:$B,Load!E:E,0,)</f>
        <v>0</v>
      </c>
      <c r="E317">
        <f>_xlfn.XLOOKUP($A317,Load!$B:$B,Load!F:F,0,)</f>
        <v>0</v>
      </c>
      <c r="F317">
        <f>_xlfn.XLOOKUP($A317,Load!$B:$B,Load!G:G,0,)</f>
        <v>0</v>
      </c>
      <c r="G317">
        <f>_xlfn.XLOOKUP($A317,Load!$B:$B,Load!H:H,0,)</f>
        <v>0</v>
      </c>
      <c r="H317">
        <f>_xlfn.XLOOKUP($A317,Load!$B:$B,Load!I:I,0,)</f>
        <v>0</v>
      </c>
      <c r="I317">
        <f>_xlfn.XLOOKUP($A317,Load!$B:$B,Load!J:J,0,)</f>
        <v>0</v>
      </c>
      <c r="J317">
        <f>_xlfn.XLOOKUP($A317,Load!$B:$B,Load!K:K,0,)</f>
        <v>0</v>
      </c>
      <c r="K317">
        <f>_xlfn.XLOOKUP($A317,Load!$B:$B,Load!L:L,0,)</f>
        <v>0</v>
      </c>
      <c r="L317">
        <f>_xlfn.XLOOKUP($A317,Load!$B:$B,Load!M:M,0,)</f>
        <v>0</v>
      </c>
    </row>
    <row r="318" spans="1:12" x14ac:dyDescent="0.25">
      <c r="A318" t="s">
        <v>211</v>
      </c>
      <c r="B318" t="str">
        <f>_xlfn.XLOOKUP($A318,Load!$B:$B,Load!C:C,0,)</f>
        <v>Mars Variety Pack</v>
      </c>
      <c r="C318" t="str">
        <f>_xlfn.XLOOKUP($A318,Load!$B:$B,Load!D:D,0,)</f>
        <v>Mix of Chocolate and Non-Chocolate Candy</v>
      </c>
      <c r="D318" t="str">
        <f>_xlfn.XLOOKUP($A318,Load!$B:$B,Load!E:E,0,)</f>
        <v>Variety / Mixed Flavors (Fruity, Sour, Seasonal Flavors)</v>
      </c>
      <c r="E318" t="str">
        <f>_xlfn.XLOOKUP($A318,Load!$B:$B,Load!F:F,0,)</f>
        <v>Mixed / Combo Packs (Gummy, Chewy, Taffy, etc.)</v>
      </c>
      <c r="F318" t="str">
        <f>_xlfn.XLOOKUP($A318,Load!$B:$B,Load!G:G,0,)</f>
        <v>Medium Multipack (40–80 ct)</v>
      </c>
      <c r="G318" t="str">
        <f>_xlfn.XLOOKUP($A318,Load!$B:$B,Load!H:H,0,)</f>
        <v>Laydown Bag</v>
      </c>
      <c r="H318" t="str">
        <f>_xlfn.XLOOKUP($A318,Load!$B:$B,Load!I:I,0,)</f>
        <v>Everyday Candy Shapes (like Original, Gummy bear, Fruit, Jewels, etc.)</v>
      </c>
      <c r="I318" t="str">
        <f>_xlfn.XLOOKUP($A318,Load!$B:$B,Load!J:J,0,)</f>
        <v>Seasonal Graphics (Like Bat, Ghost, Pumpkin, Fall Leaves, Eyeballs, etc.)</v>
      </c>
      <c r="J318" t="str">
        <f>_xlfn.XLOOKUP($A318,Load!$B:$B,Load!K:K,0,)</f>
        <v>Fun Size / Treat Size</v>
      </c>
      <c r="K318" t="str">
        <f>_xlfn.XLOOKUP($A318,Load!$B:$B,Load!L:L,0,)</f>
        <v>Regular/Original Wrapping</v>
      </c>
      <c r="L318" t="str">
        <f>_xlfn.XLOOKUP($A318,Load!$B:$B,Load!M:M,0,)</f>
        <v>Multiple Brands / Variety Flavors or Form</v>
      </c>
    </row>
    <row r="319" spans="1:12" x14ac:dyDescent="0.25">
      <c r="B319">
        <f>_xlfn.XLOOKUP($A319,Load!$B:$B,Load!C:C,0,)</f>
        <v>0</v>
      </c>
      <c r="C319">
        <f>_xlfn.XLOOKUP($A319,Load!$B:$B,Load!D:D,0,)</f>
        <v>0</v>
      </c>
      <c r="D319">
        <f>_xlfn.XLOOKUP($A319,Load!$B:$B,Load!E:E,0,)</f>
        <v>0</v>
      </c>
      <c r="E319">
        <f>_xlfn.XLOOKUP($A319,Load!$B:$B,Load!F:F,0,)</f>
        <v>0</v>
      </c>
      <c r="F319">
        <f>_xlfn.XLOOKUP($A319,Load!$B:$B,Load!G:G,0,)</f>
        <v>0</v>
      </c>
      <c r="G319">
        <f>_xlfn.XLOOKUP($A319,Load!$B:$B,Load!H:H,0,)</f>
        <v>0</v>
      </c>
      <c r="H319">
        <f>_xlfn.XLOOKUP($A319,Load!$B:$B,Load!I:I,0,)</f>
        <v>0</v>
      </c>
      <c r="I319">
        <f>_xlfn.XLOOKUP($A319,Load!$B:$B,Load!J:J,0,)</f>
        <v>0</v>
      </c>
      <c r="J319">
        <f>_xlfn.XLOOKUP($A319,Load!$B:$B,Load!K:K,0,)</f>
        <v>0</v>
      </c>
      <c r="K319">
        <f>_xlfn.XLOOKUP($A319,Load!$B:$B,Load!L:L,0,)</f>
        <v>0</v>
      </c>
      <c r="L319">
        <f>_xlfn.XLOOKUP($A319,Load!$B:$B,Load!M:M,0,)</f>
        <v>0</v>
      </c>
    </row>
    <row r="320" spans="1:12" x14ac:dyDescent="0.25">
      <c r="B320">
        <f>_xlfn.XLOOKUP($A320,Load!$B:$B,Load!C:C,0,)</f>
        <v>0</v>
      </c>
      <c r="C320">
        <f>_xlfn.XLOOKUP($A320,Load!$B:$B,Load!D:D,0,)</f>
        <v>0</v>
      </c>
      <c r="D320">
        <f>_xlfn.XLOOKUP($A320,Load!$B:$B,Load!E:E,0,)</f>
        <v>0</v>
      </c>
      <c r="E320">
        <f>_xlfn.XLOOKUP($A320,Load!$B:$B,Load!F:F,0,)</f>
        <v>0</v>
      </c>
      <c r="F320">
        <f>_xlfn.XLOOKUP($A320,Load!$B:$B,Load!G:G,0,)</f>
        <v>0</v>
      </c>
      <c r="G320">
        <f>_xlfn.XLOOKUP($A320,Load!$B:$B,Load!H:H,0,)</f>
        <v>0</v>
      </c>
      <c r="H320">
        <f>_xlfn.XLOOKUP($A320,Load!$B:$B,Load!I:I,0,)</f>
        <v>0</v>
      </c>
      <c r="I320">
        <f>_xlfn.XLOOKUP($A320,Load!$B:$B,Load!J:J,0,)</f>
        <v>0</v>
      </c>
      <c r="J320">
        <f>_xlfn.XLOOKUP($A320,Load!$B:$B,Load!K:K,0,)</f>
        <v>0</v>
      </c>
      <c r="K320">
        <f>_xlfn.XLOOKUP($A320,Load!$B:$B,Load!L:L,0,)</f>
        <v>0</v>
      </c>
      <c r="L320">
        <f>_xlfn.XLOOKUP($A320,Load!$B:$B,Load!M:M,0,)</f>
        <v>0</v>
      </c>
    </row>
    <row r="321" spans="1:12" x14ac:dyDescent="0.25">
      <c r="B321">
        <f>_xlfn.XLOOKUP($A321,Load!$B:$B,Load!C:C,0,)</f>
        <v>0</v>
      </c>
      <c r="C321">
        <f>_xlfn.XLOOKUP($A321,Load!$B:$B,Load!D:D,0,)</f>
        <v>0</v>
      </c>
      <c r="D321">
        <f>_xlfn.XLOOKUP($A321,Load!$B:$B,Load!E:E,0,)</f>
        <v>0</v>
      </c>
      <c r="E321">
        <f>_xlfn.XLOOKUP($A321,Load!$B:$B,Load!F:F,0,)</f>
        <v>0</v>
      </c>
      <c r="F321">
        <f>_xlfn.XLOOKUP($A321,Load!$B:$B,Load!G:G,0,)</f>
        <v>0</v>
      </c>
      <c r="G321">
        <f>_xlfn.XLOOKUP($A321,Load!$B:$B,Load!H:H,0,)</f>
        <v>0</v>
      </c>
      <c r="H321">
        <f>_xlfn.XLOOKUP($A321,Load!$B:$B,Load!I:I,0,)</f>
        <v>0</v>
      </c>
      <c r="I321">
        <f>_xlfn.XLOOKUP($A321,Load!$B:$B,Load!J:J,0,)</f>
        <v>0</v>
      </c>
      <c r="J321">
        <f>_xlfn.XLOOKUP($A321,Load!$B:$B,Load!K:K,0,)</f>
        <v>0</v>
      </c>
      <c r="K321">
        <f>_xlfn.XLOOKUP($A321,Load!$B:$B,Load!L:L,0,)</f>
        <v>0</v>
      </c>
      <c r="L321">
        <f>_xlfn.XLOOKUP($A321,Load!$B:$B,Load!M:M,0,)</f>
        <v>0</v>
      </c>
    </row>
    <row r="322" spans="1:12" x14ac:dyDescent="0.25">
      <c r="B322">
        <f>_xlfn.XLOOKUP($A322,Load!$B:$B,Load!C:C,0,)</f>
        <v>0</v>
      </c>
      <c r="C322">
        <f>_xlfn.XLOOKUP($A322,Load!$B:$B,Load!D:D,0,)</f>
        <v>0</v>
      </c>
      <c r="D322">
        <f>_xlfn.XLOOKUP($A322,Load!$B:$B,Load!E:E,0,)</f>
        <v>0</v>
      </c>
      <c r="E322">
        <f>_xlfn.XLOOKUP($A322,Load!$B:$B,Load!F:F,0,)</f>
        <v>0</v>
      </c>
      <c r="F322">
        <f>_xlfn.XLOOKUP($A322,Load!$B:$B,Load!G:G,0,)</f>
        <v>0</v>
      </c>
      <c r="G322">
        <f>_xlfn.XLOOKUP($A322,Load!$B:$B,Load!H:H,0,)</f>
        <v>0</v>
      </c>
      <c r="H322">
        <f>_xlfn.XLOOKUP($A322,Load!$B:$B,Load!I:I,0,)</f>
        <v>0</v>
      </c>
      <c r="I322">
        <f>_xlfn.XLOOKUP($A322,Load!$B:$B,Load!J:J,0,)</f>
        <v>0</v>
      </c>
      <c r="J322">
        <f>_xlfn.XLOOKUP($A322,Load!$B:$B,Load!K:K,0,)</f>
        <v>0</v>
      </c>
      <c r="K322">
        <f>_xlfn.XLOOKUP($A322,Load!$B:$B,Load!L:L,0,)</f>
        <v>0</v>
      </c>
      <c r="L322">
        <f>_xlfn.XLOOKUP($A322,Load!$B:$B,Load!M:M,0,)</f>
        <v>0</v>
      </c>
    </row>
    <row r="323" spans="1:12" x14ac:dyDescent="0.25">
      <c r="B323">
        <f>_xlfn.XLOOKUP($A323,Load!$B:$B,Load!C:C,0,)</f>
        <v>0</v>
      </c>
      <c r="C323">
        <f>_xlfn.XLOOKUP($A323,Load!$B:$B,Load!D:D,0,)</f>
        <v>0</v>
      </c>
      <c r="D323">
        <f>_xlfn.XLOOKUP($A323,Load!$B:$B,Load!E:E,0,)</f>
        <v>0</v>
      </c>
      <c r="E323">
        <f>_xlfn.XLOOKUP($A323,Load!$B:$B,Load!F:F,0,)</f>
        <v>0</v>
      </c>
      <c r="F323">
        <f>_xlfn.XLOOKUP($A323,Load!$B:$B,Load!G:G,0,)</f>
        <v>0</v>
      </c>
      <c r="G323">
        <f>_xlfn.XLOOKUP($A323,Load!$B:$B,Load!H:H,0,)</f>
        <v>0</v>
      </c>
      <c r="H323">
        <f>_xlfn.XLOOKUP($A323,Load!$B:$B,Load!I:I,0,)</f>
        <v>0</v>
      </c>
      <c r="I323">
        <f>_xlfn.XLOOKUP($A323,Load!$B:$B,Load!J:J,0,)</f>
        <v>0</v>
      </c>
      <c r="J323">
        <f>_xlfn.XLOOKUP($A323,Load!$B:$B,Load!K:K,0,)</f>
        <v>0</v>
      </c>
      <c r="K323">
        <f>_xlfn.XLOOKUP($A323,Load!$B:$B,Load!L:L,0,)</f>
        <v>0</v>
      </c>
      <c r="L323">
        <f>_xlfn.XLOOKUP($A323,Load!$B:$B,Load!M:M,0,)</f>
        <v>0</v>
      </c>
    </row>
    <row r="324" spans="1:12" x14ac:dyDescent="0.25">
      <c r="A324" t="s">
        <v>89</v>
      </c>
      <c r="B324" t="str">
        <f>_xlfn.XLOOKUP($A324,Load!$B:$B,Load!C:C,0,)</f>
        <v>Ferrara Variety Pack</v>
      </c>
      <c r="C324" t="str">
        <f>_xlfn.XLOOKUP($A324,Load!$B:$B,Load!D:D,0,)</f>
        <v>Non-Chocolate Candy Only</v>
      </c>
      <c r="D324" t="str">
        <f>_xlfn.XLOOKUP($A324,Load!$B:$B,Load!E:E,0,)</f>
        <v>Variety / Mixed Flavors (Fruity, Sour, Seasonal Flavors)</v>
      </c>
      <c r="E324" t="str">
        <f>_xlfn.XLOOKUP($A324,Load!$B:$B,Load!F:F,0,)</f>
        <v>Mixed / Combo Packs (Gummy, Chewy, Taffy, etc.)</v>
      </c>
      <c r="F324" t="str">
        <f>_xlfn.XLOOKUP($A324,Load!$B:$B,Load!G:G,0,)</f>
        <v>Medium Multipack (40–80 ct)</v>
      </c>
      <c r="G324" t="str">
        <f>_xlfn.XLOOKUP($A324,Load!$B:$B,Load!H:H,0,)</f>
        <v>Stand-Up Bag</v>
      </c>
      <c r="H324" t="str">
        <f>_xlfn.XLOOKUP($A324,Load!$B:$B,Load!I:I,0,)</f>
        <v>Everyday Candy Shapes (like Original, Gummy bear, Fruit, Jewels, etc.)</v>
      </c>
      <c r="I324" t="str">
        <f>_xlfn.XLOOKUP($A324,Load!$B:$B,Load!J:J,0,)</f>
        <v>Seasonal Graphics (Like Bat, Ghost, Pumpkin, Fall Leaves, Eyeballs, etc.)</v>
      </c>
      <c r="J324" t="str">
        <f>_xlfn.XLOOKUP($A324,Load!$B:$B,Load!K:K,0,)</f>
        <v xml:space="preserve">Variety Candy Sizes </v>
      </c>
      <c r="K324" t="str">
        <f>_xlfn.XLOOKUP($A324,Load!$B:$B,Load!L:L,0,)</f>
        <v>Regular/Original Wrapping</v>
      </c>
      <c r="L324" t="str">
        <f>_xlfn.XLOOKUP($A324,Load!$B:$B,Load!M:M,0,)</f>
        <v>Multiple Brands / Variety Flavors or Form</v>
      </c>
    </row>
    <row r="325" spans="1:12" x14ac:dyDescent="0.25">
      <c r="B325">
        <f>_xlfn.XLOOKUP($A325,Load!$B:$B,Load!C:C,0,)</f>
        <v>0</v>
      </c>
      <c r="C325">
        <f>_xlfn.XLOOKUP($A325,Load!$B:$B,Load!D:D,0,)</f>
        <v>0</v>
      </c>
      <c r="D325">
        <f>_xlfn.XLOOKUP($A325,Load!$B:$B,Load!E:E,0,)</f>
        <v>0</v>
      </c>
      <c r="E325">
        <f>_xlfn.XLOOKUP($A325,Load!$B:$B,Load!F:F,0,)</f>
        <v>0</v>
      </c>
      <c r="F325">
        <f>_xlfn.XLOOKUP($A325,Load!$B:$B,Load!G:G,0,)</f>
        <v>0</v>
      </c>
      <c r="G325">
        <f>_xlfn.XLOOKUP($A325,Load!$B:$B,Load!H:H,0,)</f>
        <v>0</v>
      </c>
      <c r="H325">
        <f>_xlfn.XLOOKUP($A325,Load!$B:$B,Load!I:I,0,)</f>
        <v>0</v>
      </c>
      <c r="I325">
        <f>_xlfn.XLOOKUP($A325,Load!$B:$B,Load!J:J,0,)</f>
        <v>0</v>
      </c>
      <c r="J325">
        <f>_xlfn.XLOOKUP($A325,Load!$B:$B,Load!K:K,0,)</f>
        <v>0</v>
      </c>
      <c r="K325">
        <f>_xlfn.XLOOKUP($A325,Load!$B:$B,Load!L:L,0,)</f>
        <v>0</v>
      </c>
      <c r="L325">
        <f>_xlfn.XLOOKUP($A325,Load!$B:$B,Load!M:M,0,)</f>
        <v>0</v>
      </c>
    </row>
    <row r="326" spans="1:12" x14ac:dyDescent="0.25">
      <c r="A326" t="s">
        <v>178</v>
      </c>
      <c r="B326" t="str">
        <f>_xlfn.XLOOKUP($A326,Load!$B:$B,Load!C:C,0,)</f>
        <v>Mars Variety Pack</v>
      </c>
      <c r="C326" t="str">
        <f>_xlfn.XLOOKUP($A326,Load!$B:$B,Load!D:D,0,)</f>
        <v>Mix of Chocolate and Non-Chocolate Candy</v>
      </c>
      <c r="D326" t="str">
        <f>_xlfn.XLOOKUP($A326,Load!$B:$B,Load!E:E,0,)</f>
        <v>Variety / Mixed Flavors (Fruity, Sour, Seasonal Flavors)</v>
      </c>
      <c r="E326" t="str">
        <f>_xlfn.XLOOKUP($A326,Load!$B:$B,Load!F:F,0,)</f>
        <v>Mixed / Combo Packs (Gummy, Chewy, Taffy, etc.)</v>
      </c>
      <c r="F326" t="str">
        <f>_xlfn.XLOOKUP($A326,Load!$B:$B,Load!G:G,0,)</f>
        <v>Small Multipack (Less than 40 ct)</v>
      </c>
      <c r="G326" t="str">
        <f>_xlfn.XLOOKUP($A326,Load!$B:$B,Load!H:H,0,)</f>
        <v>Laydown Bag</v>
      </c>
      <c r="H326" t="str">
        <f>_xlfn.XLOOKUP($A326,Load!$B:$B,Load!I:I,0,)</f>
        <v>Everyday Candy Shapes (like Original, Gummy bear, Fruit, Jewels, etc.)</v>
      </c>
      <c r="I326" t="str">
        <f>_xlfn.XLOOKUP($A326,Load!$B:$B,Load!J:J,0,)</f>
        <v>Seasonal Graphics (Like Bat, Ghost, Pumpkin, Fall Leaves, Eyeballs, etc.)</v>
      </c>
      <c r="J326" t="str">
        <f>_xlfn.XLOOKUP($A326,Load!$B:$B,Load!K:K,0,)</f>
        <v xml:space="preserve">Variety Candy Sizes </v>
      </c>
      <c r="K326" t="str">
        <f>_xlfn.XLOOKUP($A326,Load!$B:$B,Load!L:L,0,)</f>
        <v>Regular/Original Wrapping</v>
      </c>
      <c r="L326" t="str">
        <f>_xlfn.XLOOKUP($A326,Load!$B:$B,Load!M:M,0,)</f>
        <v>Multiple Brands / Variety Flavors or Form</v>
      </c>
    </row>
    <row r="327" spans="1:12" x14ac:dyDescent="0.25">
      <c r="B327">
        <f>_xlfn.XLOOKUP($A327,Load!$B:$B,Load!C:C,0,)</f>
        <v>0</v>
      </c>
      <c r="C327">
        <f>_xlfn.XLOOKUP($A327,Load!$B:$B,Load!D:D,0,)</f>
        <v>0</v>
      </c>
      <c r="D327">
        <f>_xlfn.XLOOKUP($A327,Load!$B:$B,Load!E:E,0,)</f>
        <v>0</v>
      </c>
      <c r="E327">
        <f>_xlfn.XLOOKUP($A327,Load!$B:$B,Load!F:F,0,)</f>
        <v>0</v>
      </c>
      <c r="F327">
        <f>_xlfn.XLOOKUP($A327,Load!$B:$B,Load!G:G,0,)</f>
        <v>0</v>
      </c>
      <c r="G327">
        <f>_xlfn.XLOOKUP($A327,Load!$B:$B,Load!H:H,0,)</f>
        <v>0</v>
      </c>
      <c r="H327">
        <f>_xlfn.XLOOKUP($A327,Load!$B:$B,Load!I:I,0,)</f>
        <v>0</v>
      </c>
      <c r="I327">
        <f>_xlfn.XLOOKUP($A327,Load!$B:$B,Load!J:J,0,)</f>
        <v>0</v>
      </c>
      <c r="J327">
        <f>_xlfn.XLOOKUP($A327,Load!$B:$B,Load!K:K,0,)</f>
        <v>0</v>
      </c>
      <c r="K327">
        <f>_xlfn.XLOOKUP($A327,Load!$B:$B,Load!L:L,0,)</f>
        <v>0</v>
      </c>
      <c r="L327">
        <f>_xlfn.XLOOKUP($A327,Load!$B:$B,Load!M:M,0,)</f>
        <v>0</v>
      </c>
    </row>
    <row r="328" spans="1:12" x14ac:dyDescent="0.25">
      <c r="B328">
        <f>_xlfn.XLOOKUP($A328,Load!$B:$B,Load!C:C,0,)</f>
        <v>0</v>
      </c>
      <c r="C328">
        <f>_xlfn.XLOOKUP($A328,Load!$B:$B,Load!D:D,0,)</f>
        <v>0</v>
      </c>
      <c r="D328">
        <f>_xlfn.XLOOKUP($A328,Load!$B:$B,Load!E:E,0,)</f>
        <v>0</v>
      </c>
      <c r="E328">
        <f>_xlfn.XLOOKUP($A328,Load!$B:$B,Load!F:F,0,)</f>
        <v>0</v>
      </c>
      <c r="F328">
        <f>_xlfn.XLOOKUP($A328,Load!$B:$B,Load!G:G,0,)</f>
        <v>0</v>
      </c>
      <c r="G328">
        <f>_xlfn.XLOOKUP($A328,Load!$B:$B,Load!H:H,0,)</f>
        <v>0</v>
      </c>
      <c r="H328">
        <f>_xlfn.XLOOKUP($A328,Load!$B:$B,Load!I:I,0,)</f>
        <v>0</v>
      </c>
      <c r="I328">
        <f>_xlfn.XLOOKUP($A328,Load!$B:$B,Load!J:J,0,)</f>
        <v>0</v>
      </c>
      <c r="J328">
        <f>_xlfn.XLOOKUP($A328,Load!$B:$B,Load!K:K,0,)</f>
        <v>0</v>
      </c>
      <c r="K328">
        <f>_xlfn.XLOOKUP($A328,Load!$B:$B,Load!L:L,0,)</f>
        <v>0</v>
      </c>
      <c r="L328">
        <f>_xlfn.XLOOKUP($A328,Load!$B:$B,Load!M:M,0,)</f>
        <v>0</v>
      </c>
    </row>
    <row r="329" spans="1:12" x14ac:dyDescent="0.25">
      <c r="B329">
        <f>_xlfn.XLOOKUP($A329,Load!$B:$B,Load!C:C,0,)</f>
        <v>0</v>
      </c>
      <c r="C329">
        <f>_xlfn.XLOOKUP($A329,Load!$B:$B,Load!D:D,0,)</f>
        <v>0</v>
      </c>
      <c r="D329">
        <f>_xlfn.XLOOKUP($A329,Load!$B:$B,Load!E:E,0,)</f>
        <v>0</v>
      </c>
      <c r="E329">
        <f>_xlfn.XLOOKUP($A329,Load!$B:$B,Load!F:F,0,)</f>
        <v>0</v>
      </c>
      <c r="F329">
        <f>_xlfn.XLOOKUP($A329,Load!$B:$B,Load!G:G,0,)</f>
        <v>0</v>
      </c>
      <c r="G329">
        <f>_xlfn.XLOOKUP($A329,Load!$B:$B,Load!H:H,0,)</f>
        <v>0</v>
      </c>
      <c r="H329">
        <f>_xlfn.XLOOKUP($A329,Load!$B:$B,Load!I:I,0,)</f>
        <v>0</v>
      </c>
      <c r="I329">
        <f>_xlfn.XLOOKUP($A329,Load!$B:$B,Load!J:J,0,)</f>
        <v>0</v>
      </c>
      <c r="J329">
        <f>_xlfn.XLOOKUP($A329,Load!$B:$B,Load!K:K,0,)</f>
        <v>0</v>
      </c>
      <c r="K329">
        <f>_xlfn.XLOOKUP($A329,Load!$B:$B,Load!L:L,0,)</f>
        <v>0</v>
      </c>
      <c r="L329">
        <f>_xlfn.XLOOKUP($A329,Load!$B:$B,Load!M:M,0,)</f>
        <v>0</v>
      </c>
    </row>
    <row r="330" spans="1:12" x14ac:dyDescent="0.25">
      <c r="B330">
        <f>_xlfn.XLOOKUP($A330,Load!$B:$B,Load!C:C,0,)</f>
        <v>0</v>
      </c>
      <c r="C330">
        <f>_xlfn.XLOOKUP($A330,Load!$B:$B,Load!D:D,0,)</f>
        <v>0</v>
      </c>
      <c r="D330">
        <f>_xlfn.XLOOKUP($A330,Load!$B:$B,Load!E:E,0,)</f>
        <v>0</v>
      </c>
      <c r="E330">
        <f>_xlfn.XLOOKUP($A330,Load!$B:$B,Load!F:F,0,)</f>
        <v>0</v>
      </c>
      <c r="F330">
        <f>_xlfn.XLOOKUP($A330,Load!$B:$B,Load!G:G,0,)</f>
        <v>0</v>
      </c>
      <c r="G330">
        <f>_xlfn.XLOOKUP($A330,Load!$B:$B,Load!H:H,0,)</f>
        <v>0</v>
      </c>
      <c r="H330">
        <f>_xlfn.XLOOKUP($A330,Load!$B:$B,Load!I:I,0,)</f>
        <v>0</v>
      </c>
      <c r="I330">
        <f>_xlfn.XLOOKUP($A330,Load!$B:$B,Load!J:J,0,)</f>
        <v>0</v>
      </c>
      <c r="J330">
        <f>_xlfn.XLOOKUP($A330,Load!$B:$B,Load!K:K,0,)</f>
        <v>0</v>
      </c>
      <c r="K330">
        <f>_xlfn.XLOOKUP($A330,Load!$B:$B,Load!L:L,0,)</f>
        <v>0</v>
      </c>
      <c r="L330">
        <f>_xlfn.XLOOKUP($A330,Load!$B:$B,Load!M:M,0,)</f>
        <v>0</v>
      </c>
    </row>
    <row r="331" spans="1:12" x14ac:dyDescent="0.25">
      <c r="B331">
        <f>_xlfn.XLOOKUP($A331,Load!$B:$B,Load!C:C,0,)</f>
        <v>0</v>
      </c>
      <c r="C331">
        <f>_xlfn.XLOOKUP($A331,Load!$B:$B,Load!D:D,0,)</f>
        <v>0</v>
      </c>
      <c r="D331">
        <f>_xlfn.XLOOKUP($A331,Load!$B:$B,Load!E:E,0,)</f>
        <v>0</v>
      </c>
      <c r="E331">
        <f>_xlfn.XLOOKUP($A331,Load!$B:$B,Load!F:F,0,)</f>
        <v>0</v>
      </c>
      <c r="F331">
        <f>_xlfn.XLOOKUP($A331,Load!$B:$B,Load!G:G,0,)</f>
        <v>0</v>
      </c>
      <c r="G331">
        <f>_xlfn.XLOOKUP($A331,Load!$B:$B,Load!H:H,0,)</f>
        <v>0</v>
      </c>
      <c r="H331">
        <f>_xlfn.XLOOKUP($A331,Load!$B:$B,Load!I:I,0,)</f>
        <v>0</v>
      </c>
      <c r="I331">
        <f>_xlfn.XLOOKUP($A331,Load!$B:$B,Load!J:J,0,)</f>
        <v>0</v>
      </c>
      <c r="J331">
        <f>_xlfn.XLOOKUP($A331,Load!$B:$B,Load!K:K,0,)</f>
        <v>0</v>
      </c>
      <c r="K331">
        <f>_xlfn.XLOOKUP($A331,Load!$B:$B,Load!L:L,0,)</f>
        <v>0</v>
      </c>
      <c r="L331">
        <f>_xlfn.XLOOKUP($A331,Load!$B:$B,Load!M:M,0,)</f>
        <v>0</v>
      </c>
    </row>
    <row r="332" spans="1:12" x14ac:dyDescent="0.25">
      <c r="A332" t="s">
        <v>177</v>
      </c>
      <c r="B332" t="str">
        <f>_xlfn.XLOOKUP($A332,Load!$B:$B,Load!C:C,0,)</f>
        <v>Mars Variety Pack</v>
      </c>
      <c r="C332" t="str">
        <f>_xlfn.XLOOKUP($A332,Load!$B:$B,Load!D:D,0,)</f>
        <v>Non-Chocolate Candy Only</v>
      </c>
      <c r="D332" t="str">
        <f>_xlfn.XLOOKUP($A332,Load!$B:$B,Load!E:E,0,)</f>
        <v>Variety / Mixed Flavors (Fruity, Sour, Seasonal Flavors)</v>
      </c>
      <c r="E332" t="str">
        <f>_xlfn.XLOOKUP($A332,Load!$B:$B,Load!F:F,0,)</f>
        <v>Mixed / Combo Packs (Gummy, Chewy, Taffy, etc.)</v>
      </c>
      <c r="F332" t="str">
        <f>_xlfn.XLOOKUP($A332,Load!$B:$B,Load!G:G,0,)</f>
        <v>Small Multipack (Less than 40 ct)</v>
      </c>
      <c r="G332" t="str">
        <f>_xlfn.XLOOKUP($A332,Load!$B:$B,Load!H:H,0,)</f>
        <v>Box (theatre box, gift box, carton)</v>
      </c>
      <c r="H332" t="str">
        <f>_xlfn.XLOOKUP($A332,Load!$B:$B,Load!I:I,0,)</f>
        <v>Everyday Candy Shapes (like Original, Gummy bear, Fruit, Jewels, etc.)</v>
      </c>
      <c r="I332" t="str">
        <f>_xlfn.XLOOKUP($A332,Load!$B:$B,Load!J:J,0,)</f>
        <v>Seasonal Graphics (Like Bat, Ghost, Pumpkin, Fall Leaves, Eyeballs, etc.)</v>
      </c>
      <c r="J332" t="str">
        <f>_xlfn.XLOOKUP($A332,Load!$B:$B,Load!K:K,0,)</f>
        <v>Small Pieces (Tiny bite size candies)</v>
      </c>
      <c r="K332" t="str">
        <f>_xlfn.XLOOKUP($A332,Load!$B:$B,Load!L:L,0,)</f>
        <v>Regular/Original Wrapping</v>
      </c>
      <c r="L332" t="str">
        <f>_xlfn.XLOOKUP($A332,Load!$B:$B,Load!M:M,0,)</f>
        <v>Multiple Brands / Variety Flavors or Form</v>
      </c>
    </row>
    <row r="333" spans="1:12" x14ac:dyDescent="0.25">
      <c r="A333" t="s">
        <v>203</v>
      </c>
      <c r="B333" t="str">
        <f>_xlfn.XLOOKUP($A333,Load!$B:$B,Load!C:C,0,)</f>
        <v>Mars Variety Pack</v>
      </c>
      <c r="C333" t="str">
        <f>_xlfn.XLOOKUP($A333,Load!$B:$B,Load!D:D,0,)</f>
        <v>Mix of Chocolate and Non-Chocolate Candy</v>
      </c>
      <c r="D333" t="str">
        <f>_xlfn.XLOOKUP($A333,Load!$B:$B,Load!E:E,0,)</f>
        <v>Variety / Mixed Flavors (Fruity, Sour, Seasonal Flavors)</v>
      </c>
      <c r="E333" t="str">
        <f>_xlfn.XLOOKUP($A333,Load!$B:$B,Load!F:F,0,)</f>
        <v>Mixed / Combo Packs (Gummy, Chewy, Taffy, etc.)</v>
      </c>
      <c r="F333" t="str">
        <f>_xlfn.XLOOKUP($A333,Load!$B:$B,Load!G:G,0,)</f>
        <v>Small Multipack (Less than 40 ct)</v>
      </c>
      <c r="G333" t="str">
        <f>_xlfn.XLOOKUP($A333,Load!$B:$B,Load!H:H,0,)</f>
        <v>Box (theatre box, gift box, carton)</v>
      </c>
      <c r="H333" t="str">
        <f>_xlfn.XLOOKUP($A333,Load!$B:$B,Load!I:I,0,)</f>
        <v>Everyday Candy Shapes (like Original, Gummy bear, Fruit, Jewels, etc.)</v>
      </c>
      <c r="I333" t="str">
        <f>_xlfn.XLOOKUP($A333,Load!$B:$B,Load!J:J,0,)</f>
        <v>Everyday Graphics</v>
      </c>
      <c r="J333" t="str">
        <f>_xlfn.XLOOKUP($A333,Load!$B:$B,Load!K:K,0,)</f>
        <v>Fun Size / Treat Size</v>
      </c>
      <c r="K333" t="str">
        <f>_xlfn.XLOOKUP($A333,Load!$B:$B,Load!L:L,0,)</f>
        <v>Regular/Original Wrapping</v>
      </c>
      <c r="L333" t="str">
        <f>_xlfn.XLOOKUP($A333,Load!$B:$B,Load!M:M,0,)</f>
        <v>Multiple Brands / Variety Flavors or Form</v>
      </c>
    </row>
    <row r="334" spans="1:12" x14ac:dyDescent="0.25">
      <c r="A334" t="s">
        <v>467</v>
      </c>
      <c r="B334" t="str">
        <f>_xlfn.XLOOKUP($A334,Load!$B:$B,Load!C:C,0,)</f>
        <v>Trolli</v>
      </c>
      <c r="C334" t="str">
        <f>_xlfn.XLOOKUP($A334,Load!$B:$B,Load!D:D,0,)</f>
        <v>Non-Chocolate Candy Only</v>
      </c>
      <c r="D334" t="str">
        <f>_xlfn.XLOOKUP($A334,Load!$B:$B,Load!E:E,0,)</f>
        <v>Sour</v>
      </c>
      <c r="E334" t="str">
        <f>_xlfn.XLOOKUP($A334,Load!$B:$B,Load!F:F,0,)</f>
        <v>Gummy</v>
      </c>
      <c r="F334" t="str">
        <f>_xlfn.XLOOKUP($A334,Load!$B:$B,Load!G:G,0,)</f>
        <v>Small Multipack (Less than 40 ct)</v>
      </c>
      <c r="G334" t="str">
        <f>_xlfn.XLOOKUP($A334,Load!$B:$B,Load!H:H,0,)</f>
        <v>Laydown Bag</v>
      </c>
      <c r="H334" t="str">
        <f>_xlfn.XLOOKUP($A334,Load!$B:$B,Load!I:I,0,)</f>
        <v>Seasonal Shapes (like pumpkins, candy corn, ghost, bats, etc.)</v>
      </c>
      <c r="I334" t="str">
        <f>_xlfn.XLOOKUP($A334,Load!$B:$B,Load!J:J,0,)</f>
        <v>Seasonal Graphics (Like Bat, Ghost, Pumpkin, Fall Leaves, Eyeballs, etc.)</v>
      </c>
      <c r="J334" t="str">
        <f>_xlfn.XLOOKUP($A334,Load!$B:$B,Load!K:K,0,)</f>
        <v>Fun Size / Treat Size</v>
      </c>
      <c r="K334" t="str">
        <f>_xlfn.XLOOKUP($A334,Load!$B:$B,Load!L:L,0,)</f>
        <v>Regular/Original Wrapping</v>
      </c>
      <c r="L334" t="str">
        <f>_xlfn.XLOOKUP($A334,Load!$B:$B,Load!M:M,0,)</f>
        <v>Single Brand / Variety Flavors or Form</v>
      </c>
    </row>
    <row r="335" spans="1:12" x14ac:dyDescent="0.25">
      <c r="A335" t="s">
        <v>462</v>
      </c>
      <c r="B335" t="str">
        <f>_xlfn.XLOOKUP($A335,Load!$B:$B,Load!C:C,0,)</f>
        <v>Trolli</v>
      </c>
      <c r="C335" t="str">
        <f>_xlfn.XLOOKUP($A335,Load!$B:$B,Load!D:D,0,)</f>
        <v>Non-Chocolate Candy Only</v>
      </c>
      <c r="D335" t="str">
        <f>_xlfn.XLOOKUP($A335,Load!$B:$B,Load!E:E,0,)</f>
        <v>Sour</v>
      </c>
      <c r="E335" t="str">
        <f>_xlfn.XLOOKUP($A335,Load!$B:$B,Load!F:F,0,)</f>
        <v>Gummy</v>
      </c>
      <c r="F335" t="str">
        <f>_xlfn.XLOOKUP($A335,Load!$B:$B,Load!G:G,0,)</f>
        <v>Small Multipack (Less than 40 ct)</v>
      </c>
      <c r="G335" t="str">
        <f>_xlfn.XLOOKUP($A335,Load!$B:$B,Load!H:H,0,)</f>
        <v>Laydown Bag</v>
      </c>
      <c r="H335" t="str">
        <f>_xlfn.XLOOKUP($A335,Load!$B:$B,Load!I:I,0,)</f>
        <v>Seasonal Shapes (like pumpkins, candy corn, ghost, bats, etc.)</v>
      </c>
      <c r="I335" t="str">
        <f>_xlfn.XLOOKUP($A335,Load!$B:$B,Load!J:J,0,)</f>
        <v>Seasonal Graphics (Like Bat, Ghost, Pumpkin, Fall Leaves, Eyeballs, etc.)</v>
      </c>
      <c r="J335" t="str">
        <f>_xlfn.XLOOKUP($A335,Load!$B:$B,Load!K:K,0,)</f>
        <v>Fun Size / Treat Size</v>
      </c>
      <c r="K335" t="str">
        <f>_xlfn.XLOOKUP($A335,Load!$B:$B,Load!L:L,0,)</f>
        <v>Regular/Original Wrapping</v>
      </c>
      <c r="L335" t="str">
        <f>_xlfn.XLOOKUP($A335,Load!$B:$B,Load!M:M,0,)</f>
        <v>Single Brand / Variety Flavors or Form</v>
      </c>
    </row>
    <row r="336" spans="1:12" x14ac:dyDescent="0.25">
      <c r="A336" t="s">
        <v>147</v>
      </c>
      <c r="B336" t="str">
        <f>_xlfn.XLOOKUP($A336,Load!$B:$B,Load!C:C,0,)</f>
        <v>Jelly Belly</v>
      </c>
      <c r="C336" t="str">
        <f>_xlfn.XLOOKUP($A336,Load!$B:$B,Load!D:D,0,)</f>
        <v>Non-Chocolate Candy Only</v>
      </c>
      <c r="D336" t="str">
        <f>_xlfn.XLOOKUP($A336,Load!$B:$B,Load!E:E,0,)</f>
        <v>Variety / Mixed Flavors (Fruity, Sour, Seasonal Flavors)</v>
      </c>
      <c r="E336" t="str">
        <f>_xlfn.XLOOKUP($A336,Load!$B:$B,Load!F:F,0,)</f>
        <v>Candy Pieces / Bites</v>
      </c>
      <c r="F336" t="str">
        <f>_xlfn.XLOOKUP($A336,Load!$B:$B,Load!G:G,0,)</f>
        <v>Medium Multipack (40–80 ct)</v>
      </c>
      <c r="G336" t="str">
        <f>_xlfn.XLOOKUP($A336,Load!$B:$B,Load!H:H,0,)</f>
        <v>Box (theatre box, gift box, carton)</v>
      </c>
      <c r="H336" t="str">
        <f>_xlfn.XLOOKUP($A336,Load!$B:$B,Load!I:I,0,)</f>
        <v>Everyday Candy Shapes (like Original, Gummy bear, Fruit, Jewels, etc.)</v>
      </c>
      <c r="I336" t="str">
        <f>_xlfn.XLOOKUP($A336,Load!$B:$B,Load!J:J,0,)</f>
        <v>Everyday Graphics</v>
      </c>
      <c r="J336" t="str">
        <f>_xlfn.XLOOKUP($A336,Load!$B:$B,Load!K:K,0,)</f>
        <v>Small Pieces (Tiny bite size candies)</v>
      </c>
      <c r="K336" t="str">
        <f>_xlfn.XLOOKUP($A336,Load!$B:$B,Load!L:L,0,)</f>
        <v>Regular/Original Wrapping</v>
      </c>
      <c r="L336" t="str">
        <f>_xlfn.XLOOKUP($A336,Load!$B:$B,Load!M:M,0,)</f>
        <v>Single Brand / Variety Flavors or Form</v>
      </c>
    </row>
    <row r="337" spans="1:12" x14ac:dyDescent="0.25">
      <c r="A337" t="s">
        <v>271</v>
      </c>
      <c r="B337" t="str">
        <f>_xlfn.XLOOKUP($A337,Load!$B:$B,Load!C:C,0,)</f>
        <v>Sour Patch Kids</v>
      </c>
      <c r="C337" t="str">
        <f>_xlfn.XLOOKUP($A337,Load!$B:$B,Load!D:D,0,)</f>
        <v>Non-Chocolate Candy Only</v>
      </c>
      <c r="D337" t="str">
        <f>_xlfn.XLOOKUP($A337,Load!$B:$B,Load!E:E,0,)</f>
        <v>Sour</v>
      </c>
      <c r="E337" t="str">
        <f>_xlfn.XLOOKUP($A337,Load!$B:$B,Load!F:F,0,)</f>
        <v>Chewy</v>
      </c>
      <c r="F337" t="str">
        <f>_xlfn.XLOOKUP($A337,Load!$B:$B,Load!G:G,0,)</f>
        <v>Medium Multipack (40–80 ct)</v>
      </c>
      <c r="G337" t="str">
        <f>_xlfn.XLOOKUP($A337,Load!$B:$B,Load!H:H,0,)</f>
        <v>Laydown Bag</v>
      </c>
      <c r="H337" t="str">
        <f>_xlfn.XLOOKUP($A337,Load!$B:$B,Load!I:I,0,)</f>
        <v>Everyday Candy Shapes (like Original, Gummy bear, Fruit, Jewels, etc.)</v>
      </c>
      <c r="I337" t="str">
        <f>_xlfn.XLOOKUP($A337,Load!$B:$B,Load!J:J,0,)</f>
        <v>Seasonal Graphics (Like Bat, Ghost, Pumpkin, Fall Leaves, Eyeballs, etc.)</v>
      </c>
      <c r="J337" t="str">
        <f>_xlfn.XLOOKUP($A337,Load!$B:$B,Load!K:K,0,)</f>
        <v>Small Pieces (Tiny bite size candies)</v>
      </c>
      <c r="K337" t="str">
        <f>_xlfn.XLOOKUP($A337,Load!$B:$B,Load!L:L,0,)</f>
        <v>Regular/Original Wrapping</v>
      </c>
      <c r="L337" t="str">
        <f>_xlfn.XLOOKUP($A337,Load!$B:$B,Load!M:M,0,)</f>
        <v>Single Brand / Variety Flavors or Form</v>
      </c>
    </row>
    <row r="338" spans="1:12" x14ac:dyDescent="0.25">
      <c r="A338" t="s">
        <v>218</v>
      </c>
      <c r="B338" t="str">
        <f>_xlfn.XLOOKUP($A338,Load!$B:$B,Load!C:C,0,)</f>
        <v>Mondelez Variety Pack</v>
      </c>
      <c r="C338" t="str">
        <f>_xlfn.XLOOKUP($A338,Load!$B:$B,Load!D:D,0,)</f>
        <v>Non-Chocolate Candy Only</v>
      </c>
      <c r="D338" t="str">
        <f>_xlfn.XLOOKUP($A338,Load!$B:$B,Load!E:E,0,)</f>
        <v>Sour</v>
      </c>
      <c r="E338" t="str">
        <f>_xlfn.XLOOKUP($A338,Load!$B:$B,Load!F:F,0,)</f>
        <v>Mixed / Combo Packs (Gummy, Chewy, Taffy, etc.)</v>
      </c>
      <c r="F338" t="str">
        <f>_xlfn.XLOOKUP($A338,Load!$B:$B,Load!G:G,0,)</f>
        <v>Large Multipack (More than 80 ct)</v>
      </c>
      <c r="G338" t="str">
        <f>_xlfn.XLOOKUP($A338,Load!$B:$B,Load!H:H,0,)</f>
        <v>Stand-Up Bag</v>
      </c>
      <c r="H338" t="str">
        <f>_xlfn.XLOOKUP($A338,Load!$B:$B,Load!I:I,0,)</f>
        <v>Seasonal Shapes (like pumpkins, candy corn, ghost, bats, etc.)</v>
      </c>
      <c r="I338" t="str">
        <f>_xlfn.XLOOKUP($A338,Load!$B:$B,Load!J:J,0,)</f>
        <v>Seasonal Graphics (Like Bat, Ghost, Pumpkin, Fall Leaves, Eyeballs, etc.)</v>
      </c>
      <c r="J338" t="str">
        <f>_xlfn.XLOOKUP($A338,Load!$B:$B,Load!K:K,0,)</f>
        <v>Small Pieces (Tiny bite size candies)</v>
      </c>
      <c r="K338" t="str">
        <f>_xlfn.XLOOKUP($A338,Load!$B:$B,Load!L:L,0,)</f>
        <v>Regular/Original Wrapping</v>
      </c>
      <c r="L338" t="str">
        <f>_xlfn.XLOOKUP($A338,Load!$B:$B,Load!M:M,0,)</f>
        <v>Multiple Brands / Variety Flavors or Form</v>
      </c>
    </row>
    <row r="339" spans="1:12" x14ac:dyDescent="0.25">
      <c r="B339">
        <f>_xlfn.XLOOKUP($A339,Load!$B:$B,Load!C:C,0,)</f>
        <v>0</v>
      </c>
      <c r="C339">
        <f>_xlfn.XLOOKUP($A339,Load!$B:$B,Load!D:D,0,)</f>
        <v>0</v>
      </c>
      <c r="D339">
        <f>_xlfn.XLOOKUP($A339,Load!$B:$B,Load!E:E,0,)</f>
        <v>0</v>
      </c>
      <c r="E339">
        <f>_xlfn.XLOOKUP($A339,Load!$B:$B,Load!F:F,0,)</f>
        <v>0</v>
      </c>
      <c r="F339">
        <f>_xlfn.XLOOKUP($A339,Load!$B:$B,Load!G:G,0,)</f>
        <v>0</v>
      </c>
      <c r="G339">
        <f>_xlfn.XLOOKUP($A339,Load!$B:$B,Load!H:H,0,)</f>
        <v>0</v>
      </c>
      <c r="H339">
        <f>_xlfn.XLOOKUP($A339,Load!$B:$B,Load!I:I,0,)</f>
        <v>0</v>
      </c>
      <c r="I339">
        <f>_xlfn.XLOOKUP($A339,Load!$B:$B,Load!J:J,0,)</f>
        <v>0</v>
      </c>
      <c r="J339">
        <f>_xlfn.XLOOKUP($A339,Load!$B:$B,Load!K:K,0,)</f>
        <v>0</v>
      </c>
      <c r="K339">
        <f>_xlfn.XLOOKUP($A339,Load!$B:$B,Load!L:L,0,)</f>
        <v>0</v>
      </c>
      <c r="L339">
        <f>_xlfn.XLOOKUP($A339,Load!$B:$B,Load!M:M,0,)</f>
        <v>0</v>
      </c>
    </row>
    <row r="340" spans="1:12" x14ac:dyDescent="0.25">
      <c r="B340">
        <f>_xlfn.XLOOKUP($A340,Load!$B:$B,Load!C:C,0,)</f>
        <v>0</v>
      </c>
      <c r="C340">
        <f>_xlfn.XLOOKUP($A340,Load!$B:$B,Load!D:D,0,)</f>
        <v>0</v>
      </c>
      <c r="D340">
        <f>_xlfn.XLOOKUP($A340,Load!$B:$B,Load!E:E,0,)</f>
        <v>0</v>
      </c>
      <c r="E340">
        <f>_xlfn.XLOOKUP($A340,Load!$B:$B,Load!F:F,0,)</f>
        <v>0</v>
      </c>
      <c r="F340">
        <f>_xlfn.XLOOKUP($A340,Load!$B:$B,Load!G:G,0,)</f>
        <v>0</v>
      </c>
      <c r="G340">
        <f>_xlfn.XLOOKUP($A340,Load!$B:$B,Load!H:H,0,)</f>
        <v>0</v>
      </c>
      <c r="H340">
        <f>_xlfn.XLOOKUP($A340,Load!$B:$B,Load!I:I,0,)</f>
        <v>0</v>
      </c>
      <c r="I340">
        <f>_xlfn.XLOOKUP($A340,Load!$B:$B,Load!J:J,0,)</f>
        <v>0</v>
      </c>
      <c r="J340">
        <f>_xlfn.XLOOKUP($A340,Load!$B:$B,Load!K:K,0,)</f>
        <v>0</v>
      </c>
      <c r="K340">
        <f>_xlfn.XLOOKUP($A340,Load!$B:$B,Load!L:L,0,)</f>
        <v>0</v>
      </c>
      <c r="L340">
        <f>_xlfn.XLOOKUP($A340,Load!$B:$B,Load!M:M,0,)</f>
        <v>0</v>
      </c>
    </row>
    <row r="341" spans="1:12" x14ac:dyDescent="0.25">
      <c r="B341">
        <f>_xlfn.XLOOKUP($A341,Load!$B:$B,Load!C:C,0,)</f>
        <v>0</v>
      </c>
      <c r="C341">
        <f>_xlfn.XLOOKUP($A341,Load!$B:$B,Load!D:D,0,)</f>
        <v>0</v>
      </c>
      <c r="D341">
        <f>_xlfn.XLOOKUP($A341,Load!$B:$B,Load!E:E,0,)</f>
        <v>0</v>
      </c>
      <c r="E341">
        <f>_xlfn.XLOOKUP($A341,Load!$B:$B,Load!F:F,0,)</f>
        <v>0</v>
      </c>
      <c r="F341">
        <f>_xlfn.XLOOKUP($A341,Load!$B:$B,Load!G:G,0,)</f>
        <v>0</v>
      </c>
      <c r="G341">
        <f>_xlfn.XLOOKUP($A341,Load!$B:$B,Load!H:H,0,)</f>
        <v>0</v>
      </c>
      <c r="H341">
        <f>_xlfn.XLOOKUP($A341,Load!$B:$B,Load!I:I,0,)</f>
        <v>0</v>
      </c>
      <c r="I341">
        <f>_xlfn.XLOOKUP($A341,Load!$B:$B,Load!J:J,0,)</f>
        <v>0</v>
      </c>
      <c r="J341">
        <f>_xlfn.XLOOKUP($A341,Load!$B:$B,Load!K:K,0,)</f>
        <v>0</v>
      </c>
      <c r="K341">
        <f>_xlfn.XLOOKUP($A341,Load!$B:$B,Load!L:L,0,)</f>
        <v>0</v>
      </c>
      <c r="L341">
        <f>_xlfn.XLOOKUP($A341,Load!$B:$B,Load!M:M,0,)</f>
        <v>0</v>
      </c>
    </row>
    <row r="342" spans="1:12" x14ac:dyDescent="0.25">
      <c r="B342">
        <f>_xlfn.XLOOKUP($A342,Load!$B:$B,Load!C:C,0,)</f>
        <v>0</v>
      </c>
      <c r="C342">
        <f>_xlfn.XLOOKUP($A342,Load!$B:$B,Load!D:D,0,)</f>
        <v>0</v>
      </c>
      <c r="D342">
        <f>_xlfn.XLOOKUP($A342,Load!$B:$B,Load!E:E,0,)</f>
        <v>0</v>
      </c>
      <c r="E342">
        <f>_xlfn.XLOOKUP($A342,Load!$B:$B,Load!F:F,0,)</f>
        <v>0</v>
      </c>
      <c r="F342">
        <f>_xlfn.XLOOKUP($A342,Load!$B:$B,Load!G:G,0,)</f>
        <v>0</v>
      </c>
      <c r="G342">
        <f>_xlfn.XLOOKUP($A342,Load!$B:$B,Load!H:H,0,)</f>
        <v>0</v>
      </c>
      <c r="H342">
        <f>_xlfn.XLOOKUP($A342,Load!$B:$B,Load!I:I,0,)</f>
        <v>0</v>
      </c>
      <c r="I342">
        <f>_xlfn.XLOOKUP($A342,Load!$B:$B,Load!J:J,0,)</f>
        <v>0</v>
      </c>
      <c r="J342">
        <f>_xlfn.XLOOKUP($A342,Load!$B:$B,Load!K:K,0,)</f>
        <v>0</v>
      </c>
      <c r="K342">
        <f>_xlfn.XLOOKUP($A342,Load!$B:$B,Load!L:L,0,)</f>
        <v>0</v>
      </c>
      <c r="L342">
        <f>_xlfn.XLOOKUP($A342,Load!$B:$B,Load!M:M,0,)</f>
        <v>0</v>
      </c>
    </row>
    <row r="343" spans="1:12" x14ac:dyDescent="0.25">
      <c r="B343">
        <f>_xlfn.XLOOKUP($A343,Load!$B:$B,Load!C:C,0,)</f>
        <v>0</v>
      </c>
      <c r="C343">
        <f>_xlfn.XLOOKUP($A343,Load!$B:$B,Load!D:D,0,)</f>
        <v>0</v>
      </c>
      <c r="D343">
        <f>_xlfn.XLOOKUP($A343,Load!$B:$B,Load!E:E,0,)</f>
        <v>0</v>
      </c>
      <c r="E343">
        <f>_xlfn.XLOOKUP($A343,Load!$B:$B,Load!F:F,0,)</f>
        <v>0</v>
      </c>
      <c r="F343">
        <f>_xlfn.XLOOKUP($A343,Load!$B:$B,Load!G:G,0,)</f>
        <v>0</v>
      </c>
      <c r="G343">
        <f>_xlfn.XLOOKUP($A343,Load!$B:$B,Load!H:H,0,)</f>
        <v>0</v>
      </c>
      <c r="H343">
        <f>_xlfn.XLOOKUP($A343,Load!$B:$B,Load!I:I,0,)</f>
        <v>0</v>
      </c>
      <c r="I343">
        <f>_xlfn.XLOOKUP($A343,Load!$B:$B,Load!J:J,0,)</f>
        <v>0</v>
      </c>
      <c r="J343">
        <f>_xlfn.XLOOKUP($A343,Load!$B:$B,Load!K:K,0,)</f>
        <v>0</v>
      </c>
      <c r="K343">
        <f>_xlfn.XLOOKUP($A343,Load!$B:$B,Load!L:L,0,)</f>
        <v>0</v>
      </c>
      <c r="L343">
        <f>_xlfn.XLOOKUP($A343,Load!$B:$B,Load!M:M,0,)</f>
        <v>0</v>
      </c>
    </row>
    <row r="344" spans="1:12" x14ac:dyDescent="0.25">
      <c r="B344">
        <f>_xlfn.XLOOKUP($A344,Load!$B:$B,Load!C:C,0,)</f>
        <v>0</v>
      </c>
      <c r="C344">
        <f>_xlfn.XLOOKUP($A344,Load!$B:$B,Load!D:D,0,)</f>
        <v>0</v>
      </c>
      <c r="D344">
        <f>_xlfn.XLOOKUP($A344,Load!$B:$B,Load!E:E,0,)</f>
        <v>0</v>
      </c>
      <c r="E344">
        <f>_xlfn.XLOOKUP($A344,Load!$B:$B,Load!F:F,0,)</f>
        <v>0</v>
      </c>
      <c r="F344">
        <f>_xlfn.XLOOKUP($A344,Load!$B:$B,Load!G:G,0,)</f>
        <v>0</v>
      </c>
      <c r="G344">
        <f>_xlfn.XLOOKUP($A344,Load!$B:$B,Load!H:H,0,)</f>
        <v>0</v>
      </c>
      <c r="H344">
        <f>_xlfn.XLOOKUP($A344,Load!$B:$B,Load!I:I,0,)</f>
        <v>0</v>
      </c>
      <c r="I344">
        <f>_xlfn.XLOOKUP($A344,Load!$B:$B,Load!J:J,0,)</f>
        <v>0</v>
      </c>
      <c r="J344">
        <f>_xlfn.XLOOKUP($A344,Load!$B:$B,Load!K:K,0,)</f>
        <v>0</v>
      </c>
      <c r="K344">
        <f>_xlfn.XLOOKUP($A344,Load!$B:$B,Load!L:L,0,)</f>
        <v>0</v>
      </c>
      <c r="L344">
        <f>_xlfn.XLOOKUP($A344,Load!$B:$B,Load!M:M,0,)</f>
        <v>0</v>
      </c>
    </row>
    <row r="345" spans="1:12" x14ac:dyDescent="0.25">
      <c r="B345">
        <f>_xlfn.XLOOKUP($A345,Load!$B:$B,Load!C:C,0,)</f>
        <v>0</v>
      </c>
      <c r="C345">
        <f>_xlfn.XLOOKUP($A345,Load!$B:$B,Load!D:D,0,)</f>
        <v>0</v>
      </c>
      <c r="D345">
        <f>_xlfn.XLOOKUP($A345,Load!$B:$B,Load!E:E,0,)</f>
        <v>0</v>
      </c>
      <c r="E345">
        <f>_xlfn.XLOOKUP($A345,Load!$B:$B,Load!F:F,0,)</f>
        <v>0</v>
      </c>
      <c r="F345">
        <f>_xlfn.XLOOKUP($A345,Load!$B:$B,Load!G:G,0,)</f>
        <v>0</v>
      </c>
      <c r="G345">
        <f>_xlfn.XLOOKUP($A345,Load!$B:$B,Load!H:H,0,)</f>
        <v>0</v>
      </c>
      <c r="H345">
        <f>_xlfn.XLOOKUP($A345,Load!$B:$B,Load!I:I,0,)</f>
        <v>0</v>
      </c>
      <c r="I345">
        <f>_xlfn.XLOOKUP($A345,Load!$B:$B,Load!J:J,0,)</f>
        <v>0</v>
      </c>
      <c r="J345">
        <f>_xlfn.XLOOKUP($A345,Load!$B:$B,Load!K:K,0,)</f>
        <v>0</v>
      </c>
      <c r="K345">
        <f>_xlfn.XLOOKUP($A345,Load!$B:$B,Load!L:L,0,)</f>
        <v>0</v>
      </c>
      <c r="L345">
        <f>_xlfn.XLOOKUP($A345,Load!$B:$B,Load!M:M,0,)</f>
        <v>0</v>
      </c>
    </row>
    <row r="346" spans="1:12" x14ac:dyDescent="0.25">
      <c r="B346">
        <f>_xlfn.XLOOKUP($A346,Load!$B:$B,Load!C:C,0,)</f>
        <v>0</v>
      </c>
      <c r="C346">
        <f>_xlfn.XLOOKUP($A346,Load!$B:$B,Load!D:D,0,)</f>
        <v>0</v>
      </c>
      <c r="D346">
        <f>_xlfn.XLOOKUP($A346,Load!$B:$B,Load!E:E,0,)</f>
        <v>0</v>
      </c>
      <c r="E346">
        <f>_xlfn.XLOOKUP($A346,Load!$B:$B,Load!F:F,0,)</f>
        <v>0</v>
      </c>
      <c r="F346">
        <f>_xlfn.XLOOKUP($A346,Load!$B:$B,Load!G:G,0,)</f>
        <v>0</v>
      </c>
      <c r="G346">
        <f>_xlfn.XLOOKUP($A346,Load!$B:$B,Load!H:H,0,)</f>
        <v>0</v>
      </c>
      <c r="H346">
        <f>_xlfn.XLOOKUP($A346,Load!$B:$B,Load!I:I,0,)</f>
        <v>0</v>
      </c>
      <c r="I346">
        <f>_xlfn.XLOOKUP($A346,Load!$B:$B,Load!J:J,0,)</f>
        <v>0</v>
      </c>
      <c r="J346">
        <f>_xlfn.XLOOKUP($A346,Load!$B:$B,Load!K:K,0,)</f>
        <v>0</v>
      </c>
      <c r="K346">
        <f>_xlfn.XLOOKUP($A346,Load!$B:$B,Load!L:L,0,)</f>
        <v>0</v>
      </c>
      <c r="L346">
        <f>_xlfn.XLOOKUP($A346,Load!$B:$B,Load!M:M,0,)</f>
        <v>0</v>
      </c>
    </row>
    <row r="347" spans="1:12" x14ac:dyDescent="0.25">
      <c r="B347">
        <f>_xlfn.XLOOKUP($A347,Load!$B:$B,Load!C:C,0,)</f>
        <v>0</v>
      </c>
      <c r="C347">
        <f>_xlfn.XLOOKUP($A347,Load!$B:$B,Load!D:D,0,)</f>
        <v>0</v>
      </c>
      <c r="D347">
        <f>_xlfn.XLOOKUP($A347,Load!$B:$B,Load!E:E,0,)</f>
        <v>0</v>
      </c>
      <c r="E347">
        <f>_xlfn.XLOOKUP($A347,Load!$B:$B,Load!F:F,0,)</f>
        <v>0</v>
      </c>
      <c r="F347">
        <f>_xlfn.XLOOKUP($A347,Load!$B:$B,Load!G:G,0,)</f>
        <v>0</v>
      </c>
      <c r="G347">
        <f>_xlfn.XLOOKUP($A347,Load!$B:$B,Load!H:H,0,)</f>
        <v>0</v>
      </c>
      <c r="H347">
        <f>_xlfn.XLOOKUP($A347,Load!$B:$B,Load!I:I,0,)</f>
        <v>0</v>
      </c>
      <c r="I347">
        <f>_xlfn.XLOOKUP($A347,Load!$B:$B,Load!J:J,0,)</f>
        <v>0</v>
      </c>
      <c r="J347">
        <f>_xlfn.XLOOKUP($A347,Load!$B:$B,Load!K:K,0,)</f>
        <v>0</v>
      </c>
      <c r="K347">
        <f>_xlfn.XLOOKUP($A347,Load!$B:$B,Load!L:L,0,)</f>
        <v>0</v>
      </c>
      <c r="L347">
        <f>_xlfn.XLOOKUP($A347,Load!$B:$B,Load!M:M,0,)</f>
        <v>0</v>
      </c>
    </row>
    <row r="348" spans="1:12" x14ac:dyDescent="0.25">
      <c r="A348" t="s">
        <v>220</v>
      </c>
      <c r="B348" t="str">
        <f>_xlfn.XLOOKUP($A348,Load!$B:$B,Load!C:C,0,)</f>
        <v>Mondelez Variety Pack</v>
      </c>
      <c r="C348" t="str">
        <f>_xlfn.XLOOKUP($A348,Load!$B:$B,Load!D:D,0,)</f>
        <v>Non-Chocolate Candy Only</v>
      </c>
      <c r="D348" t="str">
        <f>_xlfn.XLOOKUP($A348,Load!$B:$B,Load!E:E,0,)</f>
        <v>Variety / Mixed Flavors (Fruity, Sour, Seasonal Flavors)</v>
      </c>
      <c r="E348" t="str">
        <f>_xlfn.XLOOKUP($A348,Load!$B:$B,Load!F:F,0,)</f>
        <v>Chewy</v>
      </c>
      <c r="F348" t="str">
        <f>_xlfn.XLOOKUP($A348,Load!$B:$B,Load!G:G,0,)</f>
        <v>Large Multipack (More than 80 ct)</v>
      </c>
      <c r="G348" t="str">
        <f>_xlfn.XLOOKUP($A348,Load!$B:$B,Load!H:H,0,)</f>
        <v>Stand-Up Bag</v>
      </c>
      <c r="H348" t="str">
        <f>_xlfn.XLOOKUP($A348,Load!$B:$B,Load!I:I,0,)</f>
        <v>Seasonal Shapes (like pumpkins, candy corn, ghost, bats, etc.)</v>
      </c>
      <c r="I348" t="str">
        <f>_xlfn.XLOOKUP($A348,Load!$B:$B,Load!J:J,0,)</f>
        <v>Seasonal Graphics (Like Bat, Ghost, Pumpkin, Fall Leaves, Eyeballs, etc.)</v>
      </c>
      <c r="J348" t="str">
        <f>_xlfn.XLOOKUP($A348,Load!$B:$B,Load!K:K,0,)</f>
        <v>Small Pieces (Tiny bite size candies)</v>
      </c>
      <c r="K348" t="str">
        <f>_xlfn.XLOOKUP($A348,Load!$B:$B,Load!L:L,0,)</f>
        <v>Regular/Original Wrapping</v>
      </c>
      <c r="L348" t="str">
        <f>_xlfn.XLOOKUP($A348,Load!$B:$B,Load!M:M,0,)</f>
        <v>Single Brand / Variety Flavors or Form</v>
      </c>
    </row>
    <row r="349" spans="1:12" x14ac:dyDescent="0.25">
      <c r="A349" t="s">
        <v>6</v>
      </c>
      <c r="B349" t="str">
        <f>_xlfn.XLOOKUP($A349,Load!$B:$B,Load!C:C,0,)</f>
        <v>Airheads</v>
      </c>
      <c r="C349" t="str">
        <f>_xlfn.XLOOKUP($A349,Load!$B:$B,Load!D:D,0,)</f>
        <v>Non-Chocolate Candy Only</v>
      </c>
      <c r="D349" t="str">
        <f>_xlfn.XLOOKUP($A349,Load!$B:$B,Load!E:E,0,)</f>
        <v>Sour</v>
      </c>
      <c r="E349" t="str">
        <f>_xlfn.XLOOKUP($A349,Load!$B:$B,Load!F:F,0,)</f>
        <v>Taffy</v>
      </c>
      <c r="F349" t="str">
        <f>_xlfn.XLOOKUP($A349,Load!$B:$B,Load!G:G,0,)</f>
        <v>Large Multipack (More than 80 ct)</v>
      </c>
      <c r="G349" t="str">
        <f>_xlfn.XLOOKUP($A349,Load!$B:$B,Load!H:H,0,)</f>
        <v>Laydown Bag</v>
      </c>
      <c r="H349" t="str">
        <f>_xlfn.XLOOKUP($A349,Load!$B:$B,Load!I:I,0,)</f>
        <v>Everyday Candy Shapes (like Original, Gummy bear, Fruit, Jewels, etc.)</v>
      </c>
      <c r="I349" t="str">
        <f>_xlfn.XLOOKUP($A349,Load!$B:$B,Load!J:J,0,)</f>
        <v>Everyday Graphics</v>
      </c>
      <c r="J349" t="str">
        <f>_xlfn.XLOOKUP($A349,Load!$B:$B,Load!K:K,0,)</f>
        <v>Fun Size / Treat Size</v>
      </c>
      <c r="K349" t="str">
        <f>_xlfn.XLOOKUP($A349,Load!$B:$B,Load!L:L,0,)</f>
        <v>Regular/Original Wrapping</v>
      </c>
      <c r="L349" t="str">
        <f>_xlfn.XLOOKUP($A349,Load!$B:$B,Load!M:M,0,)</f>
        <v>Single Brand / Variety Flavors or Form</v>
      </c>
    </row>
    <row r="350" spans="1:12" x14ac:dyDescent="0.25">
      <c r="A350" t="s">
        <v>145</v>
      </c>
      <c r="B350" t="str">
        <f>_xlfn.XLOOKUP($A350,Load!$B:$B,Load!C:C,0,)</f>
        <v>Hershey's Variety Pack + Haribo</v>
      </c>
      <c r="C350" t="str">
        <f>_xlfn.XLOOKUP($A350,Load!$B:$B,Load!D:D,0,)</f>
        <v>Non-Chocolate Candy Only</v>
      </c>
      <c r="D350" t="str">
        <f>_xlfn.XLOOKUP($A350,Load!$B:$B,Load!E:E,0,)</f>
        <v>Variety / Mixed Flavors (Fruity, Sour, Seasonal Flavors)</v>
      </c>
      <c r="E350" t="str">
        <f>_xlfn.XLOOKUP($A350,Load!$B:$B,Load!F:F,0,)</f>
        <v>Mixed / Combo Packs (Gummy, Chewy, Taffy, etc.)</v>
      </c>
      <c r="F350" t="str">
        <f>_xlfn.XLOOKUP($A350,Load!$B:$B,Load!G:G,0,)</f>
        <v>Large Multipack (More than 80 ct)</v>
      </c>
      <c r="G350" t="str">
        <f>_xlfn.XLOOKUP($A350,Load!$B:$B,Load!H:H,0,)</f>
        <v>Stand-Up Bag</v>
      </c>
      <c r="H350" t="str">
        <f>_xlfn.XLOOKUP($A350,Load!$B:$B,Load!I:I,0,)</f>
        <v>Everyday Candy Shapes (like Original, Gummy bear, Fruit, Jewels, etc.)</v>
      </c>
      <c r="I350" t="str">
        <f>_xlfn.XLOOKUP($A350,Load!$B:$B,Load!J:J,0,)</f>
        <v>Seasonal Graphics (Like Bat, Ghost, Pumpkin, Fall Leaves, Eyeballs, etc.)</v>
      </c>
      <c r="J350" t="str">
        <f>_xlfn.XLOOKUP($A350,Load!$B:$B,Load!K:K,0,)</f>
        <v xml:space="preserve">Variety Candy Sizes </v>
      </c>
      <c r="K350" t="str">
        <f>_xlfn.XLOOKUP($A350,Load!$B:$B,Load!L:L,0,)</f>
        <v>Regular/Original Wrapping</v>
      </c>
      <c r="L350" t="str">
        <f>_xlfn.XLOOKUP($A350,Load!$B:$B,Load!M:M,0,)</f>
        <v>Multiple Brands / Variety Flavors or Form</v>
      </c>
    </row>
    <row r="351" spans="1:12" x14ac:dyDescent="0.25">
      <c r="A351" t="s">
        <v>182</v>
      </c>
      <c r="B351" t="str">
        <f>_xlfn.XLOOKUP($A351,Load!$B:$B,Load!C:C,0,)</f>
        <v>Mars Variety Pack</v>
      </c>
      <c r="C351" t="str">
        <f>_xlfn.XLOOKUP($A351,Load!$B:$B,Load!D:D,0,)</f>
        <v>Non-Chocolate Candy Only</v>
      </c>
      <c r="D351" t="str">
        <f>_xlfn.XLOOKUP($A351,Load!$B:$B,Load!E:E,0,)</f>
        <v>Variety / Mixed Flavors (Fruity, Sour, Seasonal Flavors)</v>
      </c>
      <c r="E351" t="str">
        <f>_xlfn.XLOOKUP($A351,Load!$B:$B,Load!F:F,0,)</f>
        <v>Mixed / Combo Packs (Gummy, Chewy, Taffy, etc.)</v>
      </c>
      <c r="F351" t="str">
        <f>_xlfn.XLOOKUP($A351,Load!$B:$B,Load!G:G,0,)</f>
        <v>Large Multipack (More than 80 ct)</v>
      </c>
      <c r="G351" t="str">
        <f>_xlfn.XLOOKUP($A351,Load!$B:$B,Load!H:H,0,)</f>
        <v>Stand-Up Bag</v>
      </c>
      <c r="H351" t="str">
        <f>_xlfn.XLOOKUP($A351,Load!$B:$B,Load!I:I,0,)</f>
        <v>Everyday Candy Shapes (like Original, Gummy bear, Fruit, Jewels, etc.)</v>
      </c>
      <c r="I351" t="str">
        <f>_xlfn.XLOOKUP($A351,Load!$B:$B,Load!J:J,0,)</f>
        <v>Seasonal Graphics (Like Bat, Ghost, Pumpkin, Fall Leaves, Eyeballs, etc.)</v>
      </c>
      <c r="J351" t="str">
        <f>_xlfn.XLOOKUP($A351,Load!$B:$B,Load!K:K,0,)</f>
        <v xml:space="preserve">Variety Candy Sizes </v>
      </c>
      <c r="K351" t="str">
        <f>_xlfn.XLOOKUP($A351,Load!$B:$B,Load!L:L,0,)</f>
        <v>Regular/Original Wrapping</v>
      </c>
      <c r="L351" t="str">
        <f>_xlfn.XLOOKUP($A351,Load!$B:$B,Load!M:M,0,)</f>
        <v>Multiple Brands / Variety Flavors or Form</v>
      </c>
    </row>
    <row r="352" spans="1:12" x14ac:dyDescent="0.25">
      <c r="A352" t="s">
        <v>324</v>
      </c>
      <c r="B352" t="str">
        <f>_xlfn.XLOOKUP($A352,Load!$B:$B,Load!C:C,0,)</f>
        <v>Zachary</v>
      </c>
      <c r="C352" t="str">
        <f>_xlfn.XLOOKUP($A352,Load!$B:$B,Load!D:D,0,)</f>
        <v>Non-Chocolate Candy Only</v>
      </c>
      <c r="D352" t="str">
        <f>_xlfn.XLOOKUP($A352,Load!$B:$B,Load!E:E,0,)</f>
        <v>Fall / Seasonal Flavors (pumpkin spice, caramel apple, candy corn)</v>
      </c>
      <c r="E352" t="str">
        <f>_xlfn.XLOOKUP($A352,Load!$B:$B,Load!F:F,0,)</f>
        <v>Candy Pieces / Bites</v>
      </c>
      <c r="F352" t="str">
        <f>_xlfn.XLOOKUP($A352,Load!$B:$B,Load!G:G,0,)</f>
        <v>Single Pack</v>
      </c>
      <c r="G352" t="str">
        <f>_xlfn.XLOOKUP($A352,Load!$B:$B,Load!H:H,0,)</f>
        <v>Laydown Bag</v>
      </c>
      <c r="H352" t="str">
        <f>_xlfn.XLOOKUP($A352,Load!$B:$B,Load!I:I,0,)</f>
        <v>Seasonal Shapes (like pumpkins, candy corn, ghost, bats, etc.)</v>
      </c>
      <c r="I352" t="str">
        <f>_xlfn.XLOOKUP($A352,Load!$B:$B,Load!J:J,0,)</f>
        <v>Seasonal Graphics (Like Bat, Ghost, Pumpkin, Fall Leaves, Eyeballs, etc.)</v>
      </c>
      <c r="J352" t="str">
        <f>_xlfn.XLOOKUP($A352,Load!$B:$B,Load!K:K,0,)</f>
        <v>Small Pieces (Tiny bite size candies)</v>
      </c>
      <c r="K352" t="str">
        <f>_xlfn.XLOOKUP($A352,Load!$B:$B,Load!L:L,0,)</f>
        <v>Unwrapped</v>
      </c>
      <c r="L352" t="str">
        <f>_xlfn.XLOOKUP($A352,Load!$B:$B,Load!M:M,0,)</f>
        <v>Single Brand / Single Flavor or Form</v>
      </c>
    </row>
    <row r="353" spans="1:12" x14ac:dyDescent="0.25">
      <c r="A353" t="s">
        <v>468</v>
      </c>
      <c r="B353" t="str">
        <f>_xlfn.XLOOKUP($A353,Load!$B:$B,Load!C:C,0,)</f>
        <v>Brach's</v>
      </c>
      <c r="C353" t="str">
        <f>_xlfn.XLOOKUP($A353,Load!$B:$B,Load!D:D,0,)</f>
        <v>Non-Chocolate Candy Only</v>
      </c>
      <c r="D353" t="str">
        <f>_xlfn.XLOOKUP($A353,Load!$B:$B,Load!E:E,0,)</f>
        <v>Fall / Seasonal Flavors (pumpkin spice, caramel apple, candy corn)</v>
      </c>
      <c r="E353" t="str">
        <f>_xlfn.XLOOKUP($A353,Load!$B:$B,Load!F:F,0,)</f>
        <v>Candy Pieces / Bites</v>
      </c>
      <c r="F353" t="str">
        <f>_xlfn.XLOOKUP($A353,Load!$B:$B,Load!G:G,0,)</f>
        <v>Single Pack</v>
      </c>
      <c r="G353" t="str">
        <f>_xlfn.XLOOKUP($A353,Load!$B:$B,Load!H:H,0,)</f>
        <v>Laydown Bag</v>
      </c>
      <c r="H353" t="str">
        <f>_xlfn.XLOOKUP($A353,Load!$B:$B,Load!I:I,0,)</f>
        <v>Seasonal Shapes (like pumpkins, candy corn, ghost, bats, etc.)</v>
      </c>
      <c r="I353" t="str">
        <f>_xlfn.XLOOKUP($A353,Load!$B:$B,Load!J:J,0,)</f>
        <v>Seasonal Graphics (Like Bat, Ghost, Pumpkin, Fall Leaves, Eyeballs, etc.)</v>
      </c>
      <c r="J353" t="str">
        <f>_xlfn.XLOOKUP($A353,Load!$B:$B,Load!K:K,0,)</f>
        <v>Small Pieces (Tiny bite size candies)</v>
      </c>
      <c r="K353" t="str">
        <f>_xlfn.XLOOKUP($A353,Load!$B:$B,Load!L:L,0,)</f>
        <v>Unwrapped</v>
      </c>
      <c r="L353" t="str">
        <f>_xlfn.XLOOKUP($A353,Load!$B:$B,Load!M:M,0,)</f>
        <v>Single Brand / Single Flavor or Form</v>
      </c>
    </row>
    <row r="354" spans="1:12" x14ac:dyDescent="0.25">
      <c r="B354">
        <f>_xlfn.XLOOKUP($A354,Load!$B:$B,Load!C:C,0,)</f>
        <v>0</v>
      </c>
      <c r="C354">
        <f>_xlfn.XLOOKUP($A354,Load!$B:$B,Load!D:D,0,)</f>
        <v>0</v>
      </c>
      <c r="D354">
        <f>_xlfn.XLOOKUP($A354,Load!$B:$B,Load!E:E,0,)</f>
        <v>0</v>
      </c>
      <c r="E354">
        <f>_xlfn.XLOOKUP($A354,Load!$B:$B,Load!F:F,0,)</f>
        <v>0</v>
      </c>
      <c r="F354">
        <f>_xlfn.XLOOKUP($A354,Load!$B:$B,Load!G:G,0,)</f>
        <v>0</v>
      </c>
      <c r="G354">
        <f>_xlfn.XLOOKUP($A354,Load!$B:$B,Load!H:H,0,)</f>
        <v>0</v>
      </c>
      <c r="H354">
        <f>_xlfn.XLOOKUP($A354,Load!$B:$B,Load!I:I,0,)</f>
        <v>0</v>
      </c>
      <c r="I354">
        <f>_xlfn.XLOOKUP($A354,Load!$B:$B,Load!J:J,0,)</f>
        <v>0</v>
      </c>
      <c r="J354">
        <f>_xlfn.XLOOKUP($A354,Load!$B:$B,Load!K:K,0,)</f>
        <v>0</v>
      </c>
      <c r="K354">
        <f>_xlfn.XLOOKUP($A354,Load!$B:$B,Load!L:L,0,)</f>
        <v>0</v>
      </c>
      <c r="L354">
        <f>_xlfn.XLOOKUP($A354,Load!$B:$B,Load!M:M,0,)</f>
        <v>0</v>
      </c>
    </row>
    <row r="355" spans="1:12" x14ac:dyDescent="0.25">
      <c r="B355">
        <f>_xlfn.XLOOKUP($A355,Load!$B:$B,Load!C:C,0,)</f>
        <v>0</v>
      </c>
      <c r="C355">
        <f>_xlfn.XLOOKUP($A355,Load!$B:$B,Load!D:D,0,)</f>
        <v>0</v>
      </c>
      <c r="D355">
        <f>_xlfn.XLOOKUP($A355,Load!$B:$B,Load!E:E,0,)</f>
        <v>0</v>
      </c>
      <c r="E355">
        <f>_xlfn.XLOOKUP($A355,Load!$B:$B,Load!F:F,0,)</f>
        <v>0</v>
      </c>
      <c r="F355">
        <f>_xlfn.XLOOKUP($A355,Load!$B:$B,Load!G:G,0,)</f>
        <v>0</v>
      </c>
      <c r="G355">
        <f>_xlfn.XLOOKUP($A355,Load!$B:$B,Load!H:H,0,)</f>
        <v>0</v>
      </c>
      <c r="H355">
        <f>_xlfn.XLOOKUP($A355,Load!$B:$B,Load!I:I,0,)</f>
        <v>0</v>
      </c>
      <c r="I355">
        <f>_xlfn.XLOOKUP($A355,Load!$B:$B,Load!J:J,0,)</f>
        <v>0</v>
      </c>
      <c r="J355">
        <f>_xlfn.XLOOKUP($A355,Load!$B:$B,Load!K:K,0,)</f>
        <v>0</v>
      </c>
      <c r="K355">
        <f>_xlfn.XLOOKUP($A355,Load!$B:$B,Load!L:L,0,)</f>
        <v>0</v>
      </c>
      <c r="L355">
        <f>_xlfn.XLOOKUP($A355,Load!$B:$B,Load!M:M,0,)</f>
        <v>0</v>
      </c>
    </row>
    <row r="356" spans="1:12" x14ac:dyDescent="0.25">
      <c r="B356">
        <f>_xlfn.XLOOKUP($A356,Load!$B:$B,Load!C:C,0,)</f>
        <v>0</v>
      </c>
      <c r="C356">
        <f>_xlfn.XLOOKUP($A356,Load!$B:$B,Load!D:D,0,)</f>
        <v>0</v>
      </c>
      <c r="D356">
        <f>_xlfn.XLOOKUP($A356,Load!$B:$B,Load!E:E,0,)</f>
        <v>0</v>
      </c>
      <c r="E356">
        <f>_xlfn.XLOOKUP($A356,Load!$B:$B,Load!F:F,0,)</f>
        <v>0</v>
      </c>
      <c r="F356">
        <f>_xlfn.XLOOKUP($A356,Load!$B:$B,Load!G:G,0,)</f>
        <v>0</v>
      </c>
      <c r="G356">
        <f>_xlfn.XLOOKUP($A356,Load!$B:$B,Load!H:H,0,)</f>
        <v>0</v>
      </c>
      <c r="H356">
        <f>_xlfn.XLOOKUP($A356,Load!$B:$B,Load!I:I,0,)</f>
        <v>0</v>
      </c>
      <c r="I356">
        <f>_xlfn.XLOOKUP($A356,Load!$B:$B,Load!J:J,0,)</f>
        <v>0</v>
      </c>
      <c r="J356">
        <f>_xlfn.XLOOKUP($A356,Load!$B:$B,Load!K:K,0,)</f>
        <v>0</v>
      </c>
      <c r="K356">
        <f>_xlfn.XLOOKUP($A356,Load!$B:$B,Load!L:L,0,)</f>
        <v>0</v>
      </c>
      <c r="L356">
        <f>_xlfn.XLOOKUP($A356,Load!$B:$B,Load!M:M,0,)</f>
        <v>0</v>
      </c>
    </row>
    <row r="357" spans="1:12" x14ac:dyDescent="0.25">
      <c r="B357">
        <f>_xlfn.XLOOKUP($A357,Load!$B:$B,Load!C:C,0,)</f>
        <v>0</v>
      </c>
      <c r="C357">
        <f>_xlfn.XLOOKUP($A357,Load!$B:$B,Load!D:D,0,)</f>
        <v>0</v>
      </c>
      <c r="D357">
        <f>_xlfn.XLOOKUP($A357,Load!$B:$B,Load!E:E,0,)</f>
        <v>0</v>
      </c>
      <c r="E357">
        <f>_xlfn.XLOOKUP($A357,Load!$B:$B,Load!F:F,0,)</f>
        <v>0</v>
      </c>
      <c r="F357">
        <f>_xlfn.XLOOKUP($A357,Load!$B:$B,Load!G:G,0,)</f>
        <v>0</v>
      </c>
      <c r="G357">
        <f>_xlfn.XLOOKUP($A357,Load!$B:$B,Load!H:H,0,)</f>
        <v>0</v>
      </c>
      <c r="H357">
        <f>_xlfn.XLOOKUP($A357,Load!$B:$B,Load!I:I,0,)</f>
        <v>0</v>
      </c>
      <c r="I357">
        <f>_xlfn.XLOOKUP($A357,Load!$B:$B,Load!J:J,0,)</f>
        <v>0</v>
      </c>
      <c r="J357">
        <f>_xlfn.XLOOKUP($A357,Load!$B:$B,Load!K:K,0,)</f>
        <v>0</v>
      </c>
      <c r="K357">
        <f>_xlfn.XLOOKUP($A357,Load!$B:$B,Load!L:L,0,)</f>
        <v>0</v>
      </c>
      <c r="L357">
        <f>_xlfn.XLOOKUP($A357,Load!$B:$B,Load!M:M,0,)</f>
        <v>0</v>
      </c>
    </row>
    <row r="358" spans="1:12" x14ac:dyDescent="0.25">
      <c r="B358">
        <f>_xlfn.XLOOKUP($A358,Load!$B:$B,Load!C:C,0,)</f>
        <v>0</v>
      </c>
      <c r="C358">
        <f>_xlfn.XLOOKUP($A358,Load!$B:$B,Load!D:D,0,)</f>
        <v>0</v>
      </c>
      <c r="D358">
        <f>_xlfn.XLOOKUP($A358,Load!$B:$B,Load!E:E,0,)</f>
        <v>0</v>
      </c>
      <c r="E358">
        <f>_xlfn.XLOOKUP($A358,Load!$B:$B,Load!F:F,0,)</f>
        <v>0</v>
      </c>
      <c r="F358">
        <f>_xlfn.XLOOKUP($A358,Load!$B:$B,Load!G:G,0,)</f>
        <v>0</v>
      </c>
      <c r="G358">
        <f>_xlfn.XLOOKUP($A358,Load!$B:$B,Load!H:H,0,)</f>
        <v>0</v>
      </c>
      <c r="H358">
        <f>_xlfn.XLOOKUP($A358,Load!$B:$B,Load!I:I,0,)</f>
        <v>0</v>
      </c>
      <c r="I358">
        <f>_xlfn.XLOOKUP($A358,Load!$B:$B,Load!J:J,0,)</f>
        <v>0</v>
      </c>
      <c r="J358">
        <f>_xlfn.XLOOKUP($A358,Load!$B:$B,Load!K:K,0,)</f>
        <v>0</v>
      </c>
      <c r="K358">
        <f>_xlfn.XLOOKUP($A358,Load!$B:$B,Load!L:L,0,)</f>
        <v>0</v>
      </c>
      <c r="L358">
        <f>_xlfn.XLOOKUP($A358,Load!$B:$B,Load!M:M,0,)</f>
        <v>0</v>
      </c>
    </row>
    <row r="359" spans="1:12" x14ac:dyDescent="0.25">
      <c r="B359">
        <f>_xlfn.XLOOKUP($A359,Load!$B:$B,Load!C:C,0,)</f>
        <v>0</v>
      </c>
      <c r="C359">
        <f>_xlfn.XLOOKUP($A359,Load!$B:$B,Load!D:D,0,)</f>
        <v>0</v>
      </c>
      <c r="D359">
        <f>_xlfn.XLOOKUP($A359,Load!$B:$B,Load!E:E,0,)</f>
        <v>0</v>
      </c>
      <c r="E359">
        <f>_xlfn.XLOOKUP($A359,Load!$B:$B,Load!F:F,0,)</f>
        <v>0</v>
      </c>
      <c r="F359">
        <f>_xlfn.XLOOKUP($A359,Load!$B:$B,Load!G:G,0,)</f>
        <v>0</v>
      </c>
      <c r="G359">
        <f>_xlfn.XLOOKUP($A359,Load!$B:$B,Load!H:H,0,)</f>
        <v>0</v>
      </c>
      <c r="H359">
        <f>_xlfn.XLOOKUP($A359,Load!$B:$B,Load!I:I,0,)</f>
        <v>0</v>
      </c>
      <c r="I359">
        <f>_xlfn.XLOOKUP($A359,Load!$B:$B,Load!J:J,0,)</f>
        <v>0</v>
      </c>
      <c r="J359">
        <f>_xlfn.XLOOKUP($A359,Load!$B:$B,Load!K:K,0,)</f>
        <v>0</v>
      </c>
      <c r="K359">
        <f>_xlfn.XLOOKUP($A359,Load!$B:$B,Load!L:L,0,)</f>
        <v>0</v>
      </c>
      <c r="L359">
        <f>_xlfn.XLOOKUP($A359,Load!$B:$B,Load!M:M,0,)</f>
        <v>0</v>
      </c>
    </row>
    <row r="360" spans="1:12" x14ac:dyDescent="0.25">
      <c r="B360">
        <f>_xlfn.XLOOKUP($A360,Load!$B:$B,Load!C:C,0,)</f>
        <v>0</v>
      </c>
      <c r="C360">
        <f>_xlfn.XLOOKUP($A360,Load!$B:$B,Load!D:D,0,)</f>
        <v>0</v>
      </c>
      <c r="D360">
        <f>_xlfn.XLOOKUP($A360,Load!$B:$B,Load!E:E,0,)</f>
        <v>0</v>
      </c>
      <c r="E360">
        <f>_xlfn.XLOOKUP($A360,Load!$B:$B,Load!F:F,0,)</f>
        <v>0</v>
      </c>
      <c r="F360">
        <f>_xlfn.XLOOKUP($A360,Load!$B:$B,Load!G:G,0,)</f>
        <v>0</v>
      </c>
      <c r="G360">
        <f>_xlfn.XLOOKUP($A360,Load!$B:$B,Load!H:H,0,)</f>
        <v>0</v>
      </c>
      <c r="H360">
        <f>_xlfn.XLOOKUP($A360,Load!$B:$B,Load!I:I,0,)</f>
        <v>0</v>
      </c>
      <c r="I360">
        <f>_xlfn.XLOOKUP($A360,Load!$B:$B,Load!J:J,0,)</f>
        <v>0</v>
      </c>
      <c r="J360">
        <f>_xlfn.XLOOKUP($A360,Load!$B:$B,Load!K:K,0,)</f>
        <v>0</v>
      </c>
      <c r="K360">
        <f>_xlfn.XLOOKUP($A360,Load!$B:$B,Load!L:L,0,)</f>
        <v>0</v>
      </c>
      <c r="L360">
        <f>_xlfn.XLOOKUP($A360,Load!$B:$B,Load!M:M,0,)</f>
        <v>0</v>
      </c>
    </row>
    <row r="361" spans="1:12" x14ac:dyDescent="0.25">
      <c r="B361">
        <f>_xlfn.XLOOKUP($A361,Load!$B:$B,Load!C:C,0,)</f>
        <v>0</v>
      </c>
      <c r="C361">
        <f>_xlfn.XLOOKUP($A361,Load!$B:$B,Load!D:D,0,)</f>
        <v>0</v>
      </c>
      <c r="D361">
        <f>_xlfn.XLOOKUP($A361,Load!$B:$B,Load!E:E,0,)</f>
        <v>0</v>
      </c>
      <c r="E361">
        <f>_xlfn.XLOOKUP($A361,Load!$B:$B,Load!F:F,0,)</f>
        <v>0</v>
      </c>
      <c r="F361">
        <f>_xlfn.XLOOKUP($A361,Load!$B:$B,Load!G:G,0,)</f>
        <v>0</v>
      </c>
      <c r="G361">
        <f>_xlfn.XLOOKUP($A361,Load!$B:$B,Load!H:H,0,)</f>
        <v>0</v>
      </c>
      <c r="H361">
        <f>_xlfn.XLOOKUP($A361,Load!$B:$B,Load!I:I,0,)</f>
        <v>0</v>
      </c>
      <c r="I361">
        <f>_xlfn.XLOOKUP($A361,Load!$B:$B,Load!J:J,0,)</f>
        <v>0</v>
      </c>
      <c r="J361">
        <f>_xlfn.XLOOKUP($A361,Load!$B:$B,Load!K:K,0,)</f>
        <v>0</v>
      </c>
      <c r="K361">
        <f>_xlfn.XLOOKUP($A361,Load!$B:$B,Load!L:L,0,)</f>
        <v>0</v>
      </c>
      <c r="L361">
        <f>_xlfn.XLOOKUP($A361,Load!$B:$B,Load!M:M,0,)</f>
        <v>0</v>
      </c>
    </row>
    <row r="362" spans="1:12" x14ac:dyDescent="0.25">
      <c r="B362">
        <f>_xlfn.XLOOKUP($A362,Load!$B:$B,Load!C:C,0,)</f>
        <v>0</v>
      </c>
      <c r="C362">
        <f>_xlfn.XLOOKUP($A362,Load!$B:$B,Load!D:D,0,)</f>
        <v>0</v>
      </c>
      <c r="D362">
        <f>_xlfn.XLOOKUP($A362,Load!$B:$B,Load!E:E,0,)</f>
        <v>0</v>
      </c>
      <c r="E362">
        <f>_xlfn.XLOOKUP($A362,Load!$B:$B,Load!F:F,0,)</f>
        <v>0</v>
      </c>
      <c r="F362">
        <f>_xlfn.XLOOKUP($A362,Load!$B:$B,Load!G:G,0,)</f>
        <v>0</v>
      </c>
      <c r="G362">
        <f>_xlfn.XLOOKUP($A362,Load!$B:$B,Load!H:H,0,)</f>
        <v>0</v>
      </c>
      <c r="H362">
        <f>_xlfn.XLOOKUP($A362,Load!$B:$B,Load!I:I,0,)</f>
        <v>0</v>
      </c>
      <c r="I362">
        <f>_xlfn.XLOOKUP($A362,Load!$B:$B,Load!J:J,0,)</f>
        <v>0</v>
      </c>
      <c r="J362">
        <f>_xlfn.XLOOKUP($A362,Load!$B:$B,Load!K:K,0,)</f>
        <v>0</v>
      </c>
      <c r="K362">
        <f>_xlfn.XLOOKUP($A362,Load!$B:$B,Load!L:L,0,)</f>
        <v>0</v>
      </c>
      <c r="L362">
        <f>_xlfn.XLOOKUP($A362,Load!$B:$B,Load!M:M,0,)</f>
        <v>0</v>
      </c>
    </row>
    <row r="363" spans="1:12" x14ac:dyDescent="0.25">
      <c r="B363">
        <f>_xlfn.XLOOKUP($A363,Load!$B:$B,Load!C:C,0,)</f>
        <v>0</v>
      </c>
      <c r="C363">
        <f>_xlfn.XLOOKUP($A363,Load!$B:$B,Load!D:D,0,)</f>
        <v>0</v>
      </c>
      <c r="D363">
        <f>_xlfn.XLOOKUP($A363,Load!$B:$B,Load!E:E,0,)</f>
        <v>0</v>
      </c>
      <c r="E363">
        <f>_xlfn.XLOOKUP($A363,Load!$B:$B,Load!F:F,0,)</f>
        <v>0</v>
      </c>
      <c r="F363">
        <f>_xlfn.XLOOKUP($A363,Load!$B:$B,Load!G:G,0,)</f>
        <v>0</v>
      </c>
      <c r="G363">
        <f>_xlfn.XLOOKUP($A363,Load!$B:$B,Load!H:H,0,)</f>
        <v>0</v>
      </c>
      <c r="H363">
        <f>_xlfn.XLOOKUP($A363,Load!$B:$B,Load!I:I,0,)</f>
        <v>0</v>
      </c>
      <c r="I363">
        <f>_xlfn.XLOOKUP($A363,Load!$B:$B,Load!J:J,0,)</f>
        <v>0</v>
      </c>
      <c r="J363">
        <f>_xlfn.XLOOKUP($A363,Load!$B:$B,Load!K:K,0,)</f>
        <v>0</v>
      </c>
      <c r="K363">
        <f>_xlfn.XLOOKUP($A363,Load!$B:$B,Load!L:L,0,)</f>
        <v>0</v>
      </c>
      <c r="L363">
        <f>_xlfn.XLOOKUP($A363,Load!$B:$B,Load!M:M,0,)</f>
        <v>0</v>
      </c>
    </row>
    <row r="364" spans="1:12" x14ac:dyDescent="0.25">
      <c r="A364" t="s">
        <v>39</v>
      </c>
      <c r="B364" t="str">
        <f>_xlfn.XLOOKUP($A364,Load!$B:$B,Load!C:C,0,)</f>
        <v>Brach's</v>
      </c>
      <c r="C364" t="str">
        <f>_xlfn.XLOOKUP($A364,Load!$B:$B,Load!D:D,0,)</f>
        <v>Non-Chocolate Candy Only</v>
      </c>
      <c r="D364" t="str">
        <f>_xlfn.XLOOKUP($A364,Load!$B:$B,Load!E:E,0,)</f>
        <v>Fall / Seasonal Flavors (pumpkin spice, caramel apple, candy corn)</v>
      </c>
      <c r="E364" t="str">
        <f>_xlfn.XLOOKUP($A364,Load!$B:$B,Load!F:F,0,)</f>
        <v>Candy Pieces / Bites</v>
      </c>
      <c r="F364" t="str">
        <f>_xlfn.XLOOKUP($A364,Load!$B:$B,Load!G:G,0,)</f>
        <v>Single Pack</v>
      </c>
      <c r="G364" t="str">
        <f>_xlfn.XLOOKUP($A364,Load!$B:$B,Load!H:H,0,)</f>
        <v>Stand-Up Bag</v>
      </c>
      <c r="H364" t="str">
        <f>_xlfn.XLOOKUP($A364,Load!$B:$B,Load!I:I,0,)</f>
        <v>Seasonal Shapes (like pumpkins, candy corn, ghost, bats, etc.)</v>
      </c>
      <c r="I364" t="str">
        <f>_xlfn.XLOOKUP($A364,Load!$B:$B,Load!J:J,0,)</f>
        <v>Seasonal Graphics (Like Bat, Ghost, Pumpkin, Fall Leaves, Eyeballs, etc.)</v>
      </c>
      <c r="J364" t="str">
        <f>_xlfn.XLOOKUP($A364,Load!$B:$B,Load!K:K,0,)</f>
        <v>Small Pieces (Tiny bite size candies)</v>
      </c>
      <c r="K364" t="str">
        <f>_xlfn.XLOOKUP($A364,Load!$B:$B,Load!L:L,0,)</f>
        <v>Unwrapped</v>
      </c>
      <c r="L364" t="str">
        <f>_xlfn.XLOOKUP($A364,Load!$B:$B,Load!M:M,0,)</f>
        <v>Single Brand / Single Flavor or Form</v>
      </c>
    </row>
    <row r="365" spans="1:12" x14ac:dyDescent="0.25">
      <c r="B365">
        <f>_xlfn.XLOOKUP($A365,Load!$B:$B,Load!C:C,0,)</f>
        <v>0</v>
      </c>
      <c r="C365">
        <f>_xlfn.XLOOKUP($A365,Load!$B:$B,Load!D:D,0,)</f>
        <v>0</v>
      </c>
      <c r="D365">
        <f>_xlfn.XLOOKUP($A365,Load!$B:$B,Load!E:E,0,)</f>
        <v>0</v>
      </c>
      <c r="E365">
        <f>_xlfn.XLOOKUP($A365,Load!$B:$B,Load!F:F,0,)</f>
        <v>0</v>
      </c>
      <c r="F365">
        <f>_xlfn.XLOOKUP($A365,Load!$B:$B,Load!G:G,0,)</f>
        <v>0</v>
      </c>
      <c r="G365">
        <f>_xlfn.XLOOKUP($A365,Load!$B:$B,Load!H:H,0,)</f>
        <v>0</v>
      </c>
      <c r="H365">
        <f>_xlfn.XLOOKUP($A365,Load!$B:$B,Load!I:I,0,)</f>
        <v>0</v>
      </c>
      <c r="I365">
        <f>_xlfn.XLOOKUP($A365,Load!$B:$B,Load!J:J,0,)</f>
        <v>0</v>
      </c>
      <c r="J365">
        <f>_xlfn.XLOOKUP($A365,Load!$B:$B,Load!K:K,0,)</f>
        <v>0</v>
      </c>
      <c r="K365">
        <f>_xlfn.XLOOKUP($A365,Load!$B:$B,Load!L:L,0,)</f>
        <v>0</v>
      </c>
      <c r="L365">
        <f>_xlfn.XLOOKUP($A365,Load!$B:$B,Load!M:M,0,)</f>
        <v>0</v>
      </c>
    </row>
    <row r="366" spans="1:12" x14ac:dyDescent="0.25">
      <c r="B366">
        <f>_xlfn.XLOOKUP($A366,Load!$B:$B,Load!C:C,0,)</f>
        <v>0</v>
      </c>
      <c r="C366">
        <f>_xlfn.XLOOKUP($A366,Load!$B:$B,Load!D:D,0,)</f>
        <v>0</v>
      </c>
      <c r="D366">
        <f>_xlfn.XLOOKUP($A366,Load!$B:$B,Load!E:E,0,)</f>
        <v>0</v>
      </c>
      <c r="E366">
        <f>_xlfn.XLOOKUP($A366,Load!$B:$B,Load!F:F,0,)</f>
        <v>0</v>
      </c>
      <c r="F366">
        <f>_xlfn.XLOOKUP($A366,Load!$B:$B,Load!G:G,0,)</f>
        <v>0</v>
      </c>
      <c r="G366">
        <f>_xlfn.XLOOKUP($A366,Load!$B:$B,Load!H:H,0,)</f>
        <v>0</v>
      </c>
      <c r="H366">
        <f>_xlfn.XLOOKUP($A366,Load!$B:$B,Load!I:I,0,)</f>
        <v>0</v>
      </c>
      <c r="I366">
        <f>_xlfn.XLOOKUP($A366,Load!$B:$B,Load!J:J,0,)</f>
        <v>0</v>
      </c>
      <c r="J366">
        <f>_xlfn.XLOOKUP($A366,Load!$B:$B,Load!K:K,0,)</f>
        <v>0</v>
      </c>
      <c r="K366">
        <f>_xlfn.XLOOKUP($A366,Load!$B:$B,Load!L:L,0,)</f>
        <v>0</v>
      </c>
      <c r="L366">
        <f>_xlfn.XLOOKUP($A366,Load!$B:$B,Load!M:M,0,)</f>
        <v>0</v>
      </c>
    </row>
    <row r="367" spans="1:12" x14ac:dyDescent="0.25">
      <c r="B367">
        <f>_xlfn.XLOOKUP($A367,Load!$B:$B,Load!C:C,0,)</f>
        <v>0</v>
      </c>
      <c r="C367">
        <f>_xlfn.XLOOKUP($A367,Load!$B:$B,Load!D:D,0,)</f>
        <v>0</v>
      </c>
      <c r="D367">
        <f>_xlfn.XLOOKUP($A367,Load!$B:$B,Load!E:E,0,)</f>
        <v>0</v>
      </c>
      <c r="E367">
        <f>_xlfn.XLOOKUP($A367,Load!$B:$B,Load!F:F,0,)</f>
        <v>0</v>
      </c>
      <c r="F367">
        <f>_xlfn.XLOOKUP($A367,Load!$B:$B,Load!G:G,0,)</f>
        <v>0</v>
      </c>
      <c r="G367">
        <f>_xlfn.XLOOKUP($A367,Load!$B:$B,Load!H:H,0,)</f>
        <v>0</v>
      </c>
      <c r="H367">
        <f>_xlfn.XLOOKUP($A367,Load!$B:$B,Load!I:I,0,)</f>
        <v>0</v>
      </c>
      <c r="I367">
        <f>_xlfn.XLOOKUP($A367,Load!$B:$B,Load!J:J,0,)</f>
        <v>0</v>
      </c>
      <c r="J367">
        <f>_xlfn.XLOOKUP($A367,Load!$B:$B,Load!K:K,0,)</f>
        <v>0</v>
      </c>
      <c r="K367">
        <f>_xlfn.XLOOKUP($A367,Load!$B:$B,Load!L:L,0,)</f>
        <v>0</v>
      </c>
      <c r="L367">
        <f>_xlfn.XLOOKUP($A367,Load!$B:$B,Load!M:M,0,)</f>
        <v>0</v>
      </c>
    </row>
    <row r="368" spans="1:12" x14ac:dyDescent="0.25">
      <c r="A368" t="s">
        <v>85</v>
      </c>
      <c r="B368" t="str">
        <f>_xlfn.XLOOKUP($A368,Load!$B:$B,Load!C:C,0,)</f>
        <v>Ferrara Variety Pack</v>
      </c>
      <c r="C368" t="str">
        <f>_xlfn.XLOOKUP($A368,Load!$B:$B,Load!D:D,0,)</f>
        <v>Non-Chocolate Candy Only</v>
      </c>
      <c r="D368" t="str">
        <f>_xlfn.XLOOKUP($A368,Load!$B:$B,Load!E:E,0,)</f>
        <v>Variety / Mixed Flavors (Fruity, Sour, Seasonal Flavors)</v>
      </c>
      <c r="E368" t="str">
        <f>_xlfn.XLOOKUP($A368,Load!$B:$B,Load!F:F,0,)</f>
        <v>Mixed / Combo Packs (Gummy, Chewy, Taffy, etc.)</v>
      </c>
      <c r="F368" t="str">
        <f>_xlfn.XLOOKUP($A368,Load!$B:$B,Load!G:G,0,)</f>
        <v>Large Multipack (More than 80 ct)</v>
      </c>
      <c r="G368" t="str">
        <f>_xlfn.XLOOKUP($A368,Load!$B:$B,Load!H:H,0,)</f>
        <v>Stand-Up Bag</v>
      </c>
      <c r="H368" t="str">
        <f>_xlfn.XLOOKUP($A368,Load!$B:$B,Load!I:I,0,)</f>
        <v>Seasonal Shapes (like pumpkins, candy corn, ghost, bats, etc.)</v>
      </c>
      <c r="I368" t="str">
        <f>_xlfn.XLOOKUP($A368,Load!$B:$B,Load!J:J,0,)</f>
        <v>Seasonal Graphics (Like Bat, Ghost, Pumpkin, Fall Leaves, Eyeballs, etc.)</v>
      </c>
      <c r="J368" t="str">
        <f>_xlfn.XLOOKUP($A368,Load!$B:$B,Load!K:K,0,)</f>
        <v>Fun Size / Treat Size</v>
      </c>
      <c r="K368" t="str">
        <f>_xlfn.XLOOKUP($A368,Load!$B:$B,Load!L:L,0,)</f>
        <v>Regular/Original Wrapping</v>
      </c>
      <c r="L368" t="str">
        <f>_xlfn.XLOOKUP($A368,Load!$B:$B,Load!M:M,0,)</f>
        <v>Multiple Brands / Variety Flavors or Form</v>
      </c>
    </row>
    <row r="369" spans="1:12" x14ac:dyDescent="0.25">
      <c r="A369" t="s">
        <v>186</v>
      </c>
      <c r="B369" t="str">
        <f>_xlfn.XLOOKUP($A369,Load!$B:$B,Load!C:C,0,)</f>
        <v>Mars Variety Pack</v>
      </c>
      <c r="C369" t="str">
        <f>_xlfn.XLOOKUP($A369,Load!$B:$B,Load!D:D,0,)</f>
        <v>Mix of Chocolate and Non-Chocolate Candy</v>
      </c>
      <c r="D369" t="str">
        <f>_xlfn.XLOOKUP($A369,Load!$B:$B,Load!E:E,0,)</f>
        <v>Variety / Mixed Flavors (Fruity, Sour, Seasonal Flavors)</v>
      </c>
      <c r="E369" t="str">
        <f>_xlfn.XLOOKUP($A369,Load!$B:$B,Load!F:F,0,)</f>
        <v>Mixed / Combo Packs (Gummy, Chewy, Taffy, etc.)</v>
      </c>
      <c r="F369" t="str">
        <f>_xlfn.XLOOKUP($A369,Load!$B:$B,Load!G:G,0,)</f>
        <v>Large Multipack (More than 80 ct)</v>
      </c>
      <c r="G369" t="str">
        <f>_xlfn.XLOOKUP($A369,Load!$B:$B,Load!H:H,0,)</f>
        <v>Stand-Up Bag</v>
      </c>
      <c r="H369" t="str">
        <f>_xlfn.XLOOKUP($A369,Load!$B:$B,Load!I:I,0,)</f>
        <v>Everyday Candy Shapes (like Original, Gummy bear, Fruit, Jewels, etc.)</v>
      </c>
      <c r="I369" t="str">
        <f>_xlfn.XLOOKUP($A369,Load!$B:$B,Load!J:J,0,)</f>
        <v>Seasonal Graphics (Like Bat, Ghost, Pumpkin, Fall Leaves, Eyeballs, etc.)</v>
      </c>
      <c r="J369" t="str">
        <f>_xlfn.XLOOKUP($A369,Load!$B:$B,Load!K:K,0,)</f>
        <v>Fun Size / Treat Size</v>
      </c>
      <c r="K369" t="str">
        <f>_xlfn.XLOOKUP($A369,Load!$B:$B,Load!L:L,0,)</f>
        <v>Regular/Original Wrapping</v>
      </c>
      <c r="L369" t="str">
        <f>_xlfn.XLOOKUP($A369,Load!$B:$B,Load!M:M,0,)</f>
        <v>Multiple Brands / Variety Flavors or Form</v>
      </c>
    </row>
    <row r="370" spans="1:12" x14ac:dyDescent="0.25">
      <c r="B370">
        <f>_xlfn.XLOOKUP($A370,Load!$B:$B,Load!C:C,0,)</f>
        <v>0</v>
      </c>
      <c r="C370">
        <f>_xlfn.XLOOKUP($A370,Load!$B:$B,Load!D:D,0,)</f>
        <v>0</v>
      </c>
      <c r="D370">
        <f>_xlfn.XLOOKUP($A370,Load!$B:$B,Load!E:E,0,)</f>
        <v>0</v>
      </c>
      <c r="E370">
        <f>_xlfn.XLOOKUP($A370,Load!$B:$B,Load!F:F,0,)</f>
        <v>0</v>
      </c>
      <c r="F370">
        <f>_xlfn.XLOOKUP($A370,Load!$B:$B,Load!G:G,0,)</f>
        <v>0</v>
      </c>
      <c r="G370">
        <f>_xlfn.XLOOKUP($A370,Load!$B:$B,Load!H:H,0,)</f>
        <v>0</v>
      </c>
      <c r="H370">
        <f>_xlfn.XLOOKUP($A370,Load!$B:$B,Load!I:I,0,)</f>
        <v>0</v>
      </c>
      <c r="I370">
        <f>_xlfn.XLOOKUP($A370,Load!$B:$B,Load!J:J,0,)</f>
        <v>0</v>
      </c>
      <c r="J370">
        <f>_xlfn.XLOOKUP($A370,Load!$B:$B,Load!K:K,0,)</f>
        <v>0</v>
      </c>
      <c r="K370">
        <f>_xlfn.XLOOKUP($A370,Load!$B:$B,Load!L:L,0,)</f>
        <v>0</v>
      </c>
      <c r="L370">
        <f>_xlfn.XLOOKUP($A370,Load!$B:$B,Load!M:M,0,)</f>
        <v>0</v>
      </c>
    </row>
    <row r="371" spans="1:12" x14ac:dyDescent="0.25">
      <c r="B371">
        <f>_xlfn.XLOOKUP($A371,Load!$B:$B,Load!C:C,0,)</f>
        <v>0</v>
      </c>
      <c r="C371">
        <f>_xlfn.XLOOKUP($A371,Load!$B:$B,Load!D:D,0,)</f>
        <v>0</v>
      </c>
      <c r="D371">
        <f>_xlfn.XLOOKUP($A371,Load!$B:$B,Load!E:E,0,)</f>
        <v>0</v>
      </c>
      <c r="E371">
        <f>_xlfn.XLOOKUP($A371,Load!$B:$B,Load!F:F,0,)</f>
        <v>0</v>
      </c>
      <c r="F371">
        <f>_xlfn.XLOOKUP($A371,Load!$B:$B,Load!G:G,0,)</f>
        <v>0</v>
      </c>
      <c r="G371">
        <f>_xlfn.XLOOKUP($A371,Load!$B:$B,Load!H:H,0,)</f>
        <v>0</v>
      </c>
      <c r="H371">
        <f>_xlfn.XLOOKUP($A371,Load!$B:$B,Load!I:I,0,)</f>
        <v>0</v>
      </c>
      <c r="I371">
        <f>_xlfn.XLOOKUP($A371,Load!$B:$B,Load!J:J,0,)</f>
        <v>0</v>
      </c>
      <c r="J371">
        <f>_xlfn.XLOOKUP($A371,Load!$B:$B,Load!K:K,0,)</f>
        <v>0</v>
      </c>
      <c r="K371">
        <f>_xlfn.XLOOKUP($A371,Load!$B:$B,Load!L:L,0,)</f>
        <v>0</v>
      </c>
      <c r="L371">
        <f>_xlfn.XLOOKUP($A371,Load!$B:$B,Load!M:M,0,)</f>
        <v>0</v>
      </c>
    </row>
    <row r="372" spans="1:12" x14ac:dyDescent="0.25">
      <c r="B372">
        <f>_xlfn.XLOOKUP($A372,Load!$B:$B,Load!C:C,0,)</f>
        <v>0</v>
      </c>
      <c r="C372">
        <f>_xlfn.XLOOKUP($A372,Load!$B:$B,Load!D:D,0,)</f>
        <v>0</v>
      </c>
      <c r="D372">
        <f>_xlfn.XLOOKUP($A372,Load!$B:$B,Load!E:E,0,)</f>
        <v>0</v>
      </c>
      <c r="E372">
        <f>_xlfn.XLOOKUP($A372,Load!$B:$B,Load!F:F,0,)</f>
        <v>0</v>
      </c>
      <c r="F372">
        <f>_xlfn.XLOOKUP($A372,Load!$B:$B,Load!G:G,0,)</f>
        <v>0</v>
      </c>
      <c r="G372">
        <f>_xlfn.XLOOKUP($A372,Load!$B:$B,Load!H:H,0,)</f>
        <v>0</v>
      </c>
      <c r="H372">
        <f>_xlfn.XLOOKUP($A372,Load!$B:$B,Load!I:I,0,)</f>
        <v>0</v>
      </c>
      <c r="I372">
        <f>_xlfn.XLOOKUP($A372,Load!$B:$B,Load!J:J,0,)</f>
        <v>0</v>
      </c>
      <c r="J372">
        <f>_xlfn.XLOOKUP($A372,Load!$B:$B,Load!K:K,0,)</f>
        <v>0</v>
      </c>
      <c r="K372">
        <f>_xlfn.XLOOKUP($A372,Load!$B:$B,Load!L:L,0,)</f>
        <v>0</v>
      </c>
      <c r="L372">
        <f>_xlfn.XLOOKUP($A372,Load!$B:$B,Load!M:M,0,)</f>
        <v>0</v>
      </c>
    </row>
    <row r="373" spans="1:12" x14ac:dyDescent="0.25">
      <c r="B373">
        <f>_xlfn.XLOOKUP($A373,Load!$B:$B,Load!C:C,0,)</f>
        <v>0</v>
      </c>
      <c r="C373">
        <f>_xlfn.XLOOKUP($A373,Load!$B:$B,Load!D:D,0,)</f>
        <v>0</v>
      </c>
      <c r="D373">
        <f>_xlfn.XLOOKUP($A373,Load!$B:$B,Load!E:E,0,)</f>
        <v>0</v>
      </c>
      <c r="E373">
        <f>_xlfn.XLOOKUP($A373,Load!$B:$B,Load!F:F,0,)</f>
        <v>0</v>
      </c>
      <c r="F373">
        <f>_xlfn.XLOOKUP($A373,Load!$B:$B,Load!G:G,0,)</f>
        <v>0</v>
      </c>
      <c r="G373">
        <f>_xlfn.XLOOKUP($A373,Load!$B:$B,Load!H:H,0,)</f>
        <v>0</v>
      </c>
      <c r="H373">
        <f>_xlfn.XLOOKUP($A373,Load!$B:$B,Load!I:I,0,)</f>
        <v>0</v>
      </c>
      <c r="I373">
        <f>_xlfn.XLOOKUP($A373,Load!$B:$B,Load!J:J,0,)</f>
        <v>0</v>
      </c>
      <c r="J373">
        <f>_xlfn.XLOOKUP($A373,Load!$B:$B,Load!K:K,0,)</f>
        <v>0</v>
      </c>
      <c r="K373">
        <f>_xlfn.XLOOKUP($A373,Load!$B:$B,Load!L:L,0,)</f>
        <v>0</v>
      </c>
      <c r="L373">
        <f>_xlfn.XLOOKUP($A373,Load!$B:$B,Load!M:M,0,)</f>
        <v>0</v>
      </c>
    </row>
    <row r="374" spans="1:12" x14ac:dyDescent="0.25">
      <c r="A374" t="s">
        <v>323</v>
      </c>
      <c r="B374" t="str">
        <f>_xlfn.XLOOKUP($A374,Load!$B:$B,Load!C:C,0,)</f>
        <v>Zachary</v>
      </c>
      <c r="C374" t="str">
        <f>_xlfn.XLOOKUP($A374,Load!$B:$B,Load!D:D,0,)</f>
        <v>Non-Chocolate Candy Only</v>
      </c>
      <c r="D374" t="str">
        <f>_xlfn.XLOOKUP($A374,Load!$B:$B,Load!E:E,0,)</f>
        <v>Fall / Seasonal Flavors (pumpkin spice, caramel apple, candy corn)</v>
      </c>
      <c r="E374" t="str">
        <f>_xlfn.XLOOKUP($A374,Load!$B:$B,Load!F:F,0,)</f>
        <v>Candy Pieces / Bites</v>
      </c>
      <c r="F374" t="str">
        <f>_xlfn.XLOOKUP($A374,Load!$B:$B,Load!G:G,0,)</f>
        <v>Single Pack</v>
      </c>
      <c r="G374" t="str">
        <f>_xlfn.XLOOKUP($A374,Load!$B:$B,Load!H:H,0,)</f>
        <v>Laydown Bag</v>
      </c>
      <c r="H374" t="str">
        <f>_xlfn.XLOOKUP($A374,Load!$B:$B,Load!I:I,0,)</f>
        <v>Seasonal Shapes (like pumpkins, candy corn, ghost, bats, etc.)</v>
      </c>
      <c r="I374" t="str">
        <f>_xlfn.XLOOKUP($A374,Load!$B:$B,Load!J:J,0,)</f>
        <v>Seasonal Graphics (Like Bat, Ghost, Pumpkin, Fall Leaves, Eyeballs, etc.)</v>
      </c>
      <c r="J374" t="str">
        <f>_xlfn.XLOOKUP($A374,Load!$B:$B,Load!K:K,0,)</f>
        <v>Small Pieces (Tiny bite size candies)</v>
      </c>
      <c r="K374" t="str">
        <f>_xlfn.XLOOKUP($A374,Load!$B:$B,Load!L:L,0,)</f>
        <v>Unwrapped</v>
      </c>
      <c r="L374" t="str">
        <f>_xlfn.XLOOKUP($A374,Load!$B:$B,Load!M:M,0,)</f>
        <v>Single Brand / Single Flavor or Form</v>
      </c>
    </row>
    <row r="375" spans="1:12" x14ac:dyDescent="0.25">
      <c r="B375">
        <f>_xlfn.XLOOKUP($A375,Load!$B:$B,Load!C:C,0,)</f>
        <v>0</v>
      </c>
      <c r="C375">
        <f>_xlfn.XLOOKUP($A375,Load!$B:$B,Load!D:D,0,)</f>
        <v>0</v>
      </c>
      <c r="D375">
        <f>_xlfn.XLOOKUP($A375,Load!$B:$B,Load!E:E,0,)</f>
        <v>0</v>
      </c>
      <c r="E375">
        <f>_xlfn.XLOOKUP($A375,Load!$B:$B,Load!F:F,0,)</f>
        <v>0</v>
      </c>
      <c r="F375">
        <f>_xlfn.XLOOKUP($A375,Load!$B:$B,Load!G:G,0,)</f>
        <v>0</v>
      </c>
      <c r="G375">
        <f>_xlfn.XLOOKUP($A375,Load!$B:$B,Load!H:H,0,)</f>
        <v>0</v>
      </c>
      <c r="H375">
        <f>_xlfn.XLOOKUP($A375,Load!$B:$B,Load!I:I,0,)</f>
        <v>0</v>
      </c>
      <c r="I375">
        <f>_xlfn.XLOOKUP($A375,Load!$B:$B,Load!J:J,0,)</f>
        <v>0</v>
      </c>
      <c r="J375">
        <f>_xlfn.XLOOKUP($A375,Load!$B:$B,Load!K:K,0,)</f>
        <v>0</v>
      </c>
      <c r="K375">
        <f>_xlfn.XLOOKUP($A375,Load!$B:$B,Load!L:L,0,)</f>
        <v>0</v>
      </c>
      <c r="L375">
        <f>_xlfn.XLOOKUP($A375,Load!$B:$B,Load!M:M,0,)</f>
        <v>0</v>
      </c>
    </row>
    <row r="376" spans="1:12" x14ac:dyDescent="0.25">
      <c r="A376" t="s">
        <v>140</v>
      </c>
      <c r="B376" t="str">
        <f>_xlfn.XLOOKUP($A376,Load!$B:$B,Load!C:C,0,)</f>
        <v>Hershey's Variety Pack + Haribo</v>
      </c>
      <c r="C376" t="str">
        <f>_xlfn.XLOOKUP($A376,Load!$B:$B,Load!D:D,0,)</f>
        <v>Mix of Chocolate and Non-Chocolate Candy</v>
      </c>
      <c r="D376" t="str">
        <f>_xlfn.XLOOKUP($A376,Load!$B:$B,Load!E:E,0,)</f>
        <v>Variety / Mixed Flavors (Fruity, Sour, Seasonal Flavors)</v>
      </c>
      <c r="E376" t="str">
        <f>_xlfn.XLOOKUP($A376,Load!$B:$B,Load!F:F,0,)</f>
        <v>Mixed / Combo Packs (Gummy, Chewy, Taffy, etc.)</v>
      </c>
      <c r="F376" t="str">
        <f>_xlfn.XLOOKUP($A376,Load!$B:$B,Load!G:G,0,)</f>
        <v>Large Multipack (More than 80 ct)</v>
      </c>
      <c r="G376" t="str">
        <f>_xlfn.XLOOKUP($A376,Load!$B:$B,Load!H:H,0,)</f>
        <v>Stand-Up Bag</v>
      </c>
      <c r="H376" t="str">
        <f>_xlfn.XLOOKUP($A376,Load!$B:$B,Load!I:I,0,)</f>
        <v>Everyday Candy Shapes (like Original, Gummy bear, Fruit, Jewels, etc.)</v>
      </c>
      <c r="I376" t="str">
        <f>_xlfn.XLOOKUP($A376,Load!$B:$B,Load!J:J,0,)</f>
        <v>Seasonal Graphics (Like Bat, Ghost, Pumpkin, Fall Leaves, Eyeballs, etc.)</v>
      </c>
      <c r="J376" t="str">
        <f>_xlfn.XLOOKUP($A376,Load!$B:$B,Load!K:K,0,)</f>
        <v xml:space="preserve">Variety Candy Sizes </v>
      </c>
      <c r="K376" t="str">
        <f>_xlfn.XLOOKUP($A376,Load!$B:$B,Load!L:L,0,)</f>
        <v>Regular/Original Wrapping</v>
      </c>
      <c r="L376" t="str">
        <f>_xlfn.XLOOKUP($A376,Load!$B:$B,Load!M:M,0,)</f>
        <v>Multiple Brands / Variety Flavors or Form</v>
      </c>
    </row>
    <row r="377" spans="1:12" x14ac:dyDescent="0.25">
      <c r="A377" t="s">
        <v>326</v>
      </c>
      <c r="B377" t="str">
        <f>_xlfn.XLOOKUP($A377,Load!$B:$B,Load!C:C,0,)</f>
        <v>Mondelez Variety Pack</v>
      </c>
      <c r="C377" t="str">
        <f>_xlfn.XLOOKUP($A377,Load!$B:$B,Load!D:D,0,)</f>
        <v>Mix of Chocolate and Non-Chocolate Candy</v>
      </c>
      <c r="D377" t="str">
        <f>_xlfn.XLOOKUP($A377,Load!$B:$B,Load!E:E,0,)</f>
        <v>Variety / Mixed Flavors (Fruity, Sour, Seasonal Flavors)</v>
      </c>
      <c r="E377" t="str">
        <f>_xlfn.XLOOKUP($A377,Load!$B:$B,Load!F:F,0,)</f>
        <v>Mixed / Combo Packs (Gummy, Chewy, Taffy, etc.)</v>
      </c>
      <c r="F377" t="str">
        <f>_xlfn.XLOOKUP($A377,Load!$B:$B,Load!G:G,0,)</f>
        <v>Medium Multipack (40–80 ct)</v>
      </c>
      <c r="G377" t="str">
        <f>_xlfn.XLOOKUP($A377,Load!$B:$B,Load!H:H,0,)</f>
        <v>Stand-Up Bag</v>
      </c>
      <c r="H377" t="str">
        <f>_xlfn.XLOOKUP($A377,Load!$B:$B,Load!I:I,0,)</f>
        <v>Everyday Candy Shapes (like Original, Gummy bear, Fruit, Jewels, etc.)</v>
      </c>
      <c r="I377" t="str">
        <f>_xlfn.XLOOKUP($A377,Load!$B:$B,Load!J:J,0,)</f>
        <v>Seasonal Graphics (Like Bat, Ghost, Pumpkin, Fall Leaves, Eyeballs, etc.)</v>
      </c>
      <c r="J377" t="str">
        <f>_xlfn.XLOOKUP($A377,Load!$B:$B,Load!K:K,0,)</f>
        <v xml:space="preserve">Variety Candy Sizes </v>
      </c>
      <c r="K377" t="str">
        <f>_xlfn.XLOOKUP($A377,Load!$B:$B,Load!L:L,0,)</f>
        <v>Regular/Original Wrapping</v>
      </c>
      <c r="L377" t="str">
        <f>_xlfn.XLOOKUP($A377,Load!$B:$B,Load!M:M,0,)</f>
        <v>Multiple Brands / Variety Flavors or Form</v>
      </c>
    </row>
    <row r="378" spans="1:12" x14ac:dyDescent="0.25">
      <c r="A378" t="s">
        <v>189</v>
      </c>
      <c r="B378" t="str">
        <f>_xlfn.XLOOKUP($A378,Load!$B:$B,Load!C:C,0,)</f>
        <v>Mars Variety Pack</v>
      </c>
      <c r="C378" t="str">
        <f>_xlfn.XLOOKUP($A378,Load!$B:$B,Load!D:D,0,)</f>
        <v>Non-Chocolate Candy Only</v>
      </c>
      <c r="D378" t="str">
        <f>_xlfn.XLOOKUP($A378,Load!$B:$B,Load!E:E,0,)</f>
        <v>Variety / Mixed Flavors (Fruity, Sour, Seasonal Flavors)</v>
      </c>
      <c r="E378" t="str">
        <f>_xlfn.XLOOKUP($A378,Load!$B:$B,Load!F:F,0,)</f>
        <v>Mixed / Combo Packs (Gummy, Chewy, Taffy, etc.)</v>
      </c>
      <c r="F378" t="str">
        <f>_xlfn.XLOOKUP($A378,Load!$B:$B,Load!G:G,0,)</f>
        <v>Small Multipack (Less than 40 ct)</v>
      </c>
      <c r="G378" t="str">
        <f>_xlfn.XLOOKUP($A378,Load!$B:$B,Load!H:H,0,)</f>
        <v>Box (theatre box, gift box, carton)</v>
      </c>
      <c r="H378" t="str">
        <f>_xlfn.XLOOKUP($A378,Load!$B:$B,Load!I:I,0,)</f>
        <v>Everyday Candy Shapes (like Original, Gummy bear, Fruit, Jewels, etc.)</v>
      </c>
      <c r="I378" t="str">
        <f>_xlfn.XLOOKUP($A378,Load!$B:$B,Load!J:J,0,)</f>
        <v>Everyday Graphics</v>
      </c>
      <c r="J378" t="str">
        <f>_xlfn.XLOOKUP($A378,Load!$B:$B,Load!K:K,0,)</f>
        <v>Small Pieces (Tiny bite size candies)</v>
      </c>
      <c r="K378" t="str">
        <f>_xlfn.XLOOKUP($A378,Load!$B:$B,Load!L:L,0,)</f>
        <v>Regular/Original Wrapping</v>
      </c>
      <c r="L378" t="str">
        <f>_xlfn.XLOOKUP($A378,Load!$B:$B,Load!M:M,0,)</f>
        <v>Multiple Brands / Variety Flavors or Form</v>
      </c>
    </row>
    <row r="379" spans="1:12" x14ac:dyDescent="0.25">
      <c r="B379">
        <f>_xlfn.XLOOKUP($A379,Load!$B:$B,Load!C:C,0,)</f>
        <v>0</v>
      </c>
      <c r="C379">
        <f>_xlfn.XLOOKUP($A379,Load!$B:$B,Load!D:D,0,)</f>
        <v>0</v>
      </c>
      <c r="D379">
        <f>_xlfn.XLOOKUP($A379,Load!$B:$B,Load!E:E,0,)</f>
        <v>0</v>
      </c>
      <c r="E379">
        <f>_xlfn.XLOOKUP($A379,Load!$B:$B,Load!F:F,0,)</f>
        <v>0</v>
      </c>
      <c r="F379">
        <f>_xlfn.XLOOKUP($A379,Load!$B:$B,Load!G:G,0,)</f>
        <v>0</v>
      </c>
      <c r="G379">
        <f>_xlfn.XLOOKUP($A379,Load!$B:$B,Load!H:H,0,)</f>
        <v>0</v>
      </c>
      <c r="H379">
        <f>_xlfn.XLOOKUP($A379,Load!$B:$B,Load!I:I,0,)</f>
        <v>0</v>
      </c>
      <c r="I379">
        <f>_xlfn.XLOOKUP($A379,Load!$B:$B,Load!J:J,0,)</f>
        <v>0</v>
      </c>
      <c r="J379">
        <f>_xlfn.XLOOKUP($A379,Load!$B:$B,Load!K:K,0,)</f>
        <v>0</v>
      </c>
      <c r="K379">
        <f>_xlfn.XLOOKUP($A379,Load!$B:$B,Load!L:L,0,)</f>
        <v>0</v>
      </c>
      <c r="L379">
        <f>_xlfn.XLOOKUP($A379,Load!$B:$B,Load!M:M,0,)</f>
        <v>0</v>
      </c>
    </row>
    <row r="380" spans="1:12" x14ac:dyDescent="0.25">
      <c r="A380" t="s">
        <v>238</v>
      </c>
      <c r="B380" t="str">
        <f>_xlfn.XLOOKUP($A380,Load!$B:$B,Load!C:C,0,)</f>
        <v>Peeps</v>
      </c>
      <c r="C380" t="str">
        <f>_xlfn.XLOOKUP($A380,Load!$B:$B,Load!D:D,0,)</f>
        <v>Non-Chocolate Candy Only</v>
      </c>
      <c r="D380" t="str">
        <f>_xlfn.XLOOKUP($A380,Load!$B:$B,Load!E:E,0,)</f>
        <v>Sweet</v>
      </c>
      <c r="E380" t="str">
        <f>_xlfn.XLOOKUP($A380,Load!$B:$B,Load!F:F,0,)</f>
        <v>Foamy / Aerated / Freeze Dried</v>
      </c>
      <c r="F380" t="str">
        <f>_xlfn.XLOOKUP($A380,Load!$B:$B,Load!G:G,0,)</f>
        <v>Single Pack</v>
      </c>
      <c r="G380" t="str">
        <f>_xlfn.XLOOKUP($A380,Load!$B:$B,Load!H:H,0,)</f>
        <v>Box (theatre box, gift box, carton)</v>
      </c>
      <c r="H380" t="str">
        <f>_xlfn.XLOOKUP($A380,Load!$B:$B,Load!I:I,0,)</f>
        <v>Seasonal Shapes (like pumpkins, candy corn, ghost, bats, etc.)</v>
      </c>
      <c r="I380" t="str">
        <f>_xlfn.XLOOKUP($A380,Load!$B:$B,Load!J:J,0,)</f>
        <v>Seasonal Graphics (Like Bat, Ghost, Pumpkin, Fall Leaves, Eyeballs, etc.)</v>
      </c>
      <c r="J380" t="str">
        <f>_xlfn.XLOOKUP($A380,Load!$B:$B,Load!K:K,0,)</f>
        <v>Fun Size / Treat Size</v>
      </c>
      <c r="K380" t="str">
        <f>_xlfn.XLOOKUP($A380,Load!$B:$B,Load!L:L,0,)</f>
        <v>Unwrapped</v>
      </c>
      <c r="L380" t="str">
        <f>_xlfn.XLOOKUP($A380,Load!$B:$B,Load!M:M,0,)</f>
        <v>Single Brand / Single Flavor or Form</v>
      </c>
    </row>
    <row r="381" spans="1:12" x14ac:dyDescent="0.25">
      <c r="B381">
        <f>_xlfn.XLOOKUP($A381,Load!$B:$B,Load!C:C,0,)</f>
        <v>0</v>
      </c>
      <c r="C381">
        <f>_xlfn.XLOOKUP($A381,Load!$B:$B,Load!D:D,0,)</f>
        <v>0</v>
      </c>
      <c r="D381">
        <f>_xlfn.XLOOKUP($A381,Load!$B:$B,Load!E:E,0,)</f>
        <v>0</v>
      </c>
      <c r="E381">
        <f>_xlfn.XLOOKUP($A381,Load!$B:$B,Load!F:F,0,)</f>
        <v>0</v>
      </c>
      <c r="F381">
        <f>_xlfn.XLOOKUP($A381,Load!$B:$B,Load!G:G,0,)</f>
        <v>0</v>
      </c>
      <c r="G381">
        <f>_xlfn.XLOOKUP($A381,Load!$B:$B,Load!H:H,0,)</f>
        <v>0</v>
      </c>
      <c r="H381">
        <f>_xlfn.XLOOKUP($A381,Load!$B:$B,Load!I:I,0,)</f>
        <v>0</v>
      </c>
      <c r="I381">
        <f>_xlfn.XLOOKUP($A381,Load!$B:$B,Load!J:J,0,)</f>
        <v>0</v>
      </c>
      <c r="J381">
        <f>_xlfn.XLOOKUP($A381,Load!$B:$B,Load!K:K,0,)</f>
        <v>0</v>
      </c>
      <c r="K381">
        <f>_xlfn.XLOOKUP($A381,Load!$B:$B,Load!L:L,0,)</f>
        <v>0</v>
      </c>
      <c r="L381">
        <f>_xlfn.XLOOKUP($A381,Load!$B:$B,Load!M:M,0,)</f>
        <v>0</v>
      </c>
    </row>
    <row r="382" spans="1:12" x14ac:dyDescent="0.25">
      <c r="A382" t="s">
        <v>159</v>
      </c>
      <c r="B382" t="str">
        <f>_xlfn.XLOOKUP($A382,Load!$B:$B,Load!C:C,0,)</f>
        <v>Jolly Rancher</v>
      </c>
      <c r="C382" t="str">
        <f>_xlfn.XLOOKUP($A382,Load!$B:$B,Load!D:D,0,)</f>
        <v>Non-Chocolate Candy Only</v>
      </c>
      <c r="D382" t="str">
        <f>_xlfn.XLOOKUP($A382,Load!$B:$B,Load!E:E,0,)</f>
        <v>Fruit Flavor (Cherry, Grape, Apple, Citrus, Tropical Fruit)</v>
      </c>
      <c r="E382" t="str">
        <f>_xlfn.XLOOKUP($A382,Load!$B:$B,Load!F:F,0,)</f>
        <v>Gummy</v>
      </c>
      <c r="F382" t="str">
        <f>_xlfn.XLOOKUP($A382,Load!$B:$B,Load!G:G,0,)</f>
        <v>Single Pack</v>
      </c>
      <c r="G382" t="str">
        <f>_xlfn.XLOOKUP($A382,Load!$B:$B,Load!H:H,0,)</f>
        <v>Laydown Bag</v>
      </c>
      <c r="H382" t="str">
        <f>_xlfn.XLOOKUP($A382,Load!$B:$B,Load!I:I,0,)</f>
        <v>Seasonal Shapes (like pumpkins, candy corn, ghost, bats, etc.)</v>
      </c>
      <c r="I382" t="str">
        <f>_xlfn.XLOOKUP($A382,Load!$B:$B,Load!J:J,0,)</f>
        <v>Everyday Graphics</v>
      </c>
      <c r="J382" t="str">
        <f>_xlfn.XLOOKUP($A382,Load!$B:$B,Load!K:K,0,)</f>
        <v>Small Pieces (Tiny bite size candies)</v>
      </c>
      <c r="K382" t="str">
        <f>_xlfn.XLOOKUP($A382,Load!$B:$B,Load!L:L,0,)</f>
        <v>Unwrapped</v>
      </c>
      <c r="L382" t="str">
        <f>_xlfn.XLOOKUP($A382,Load!$B:$B,Load!M:M,0,)</f>
        <v>Single Brand / Variety Flavors or Form</v>
      </c>
    </row>
    <row r="383" spans="1:12" x14ac:dyDescent="0.25">
      <c r="B383">
        <f>_xlfn.XLOOKUP($A383,Load!$B:$B,Load!C:C,0,)</f>
        <v>0</v>
      </c>
      <c r="C383">
        <f>_xlfn.XLOOKUP($A383,Load!$B:$B,Load!D:D,0,)</f>
        <v>0</v>
      </c>
      <c r="D383">
        <f>_xlfn.XLOOKUP($A383,Load!$B:$B,Load!E:E,0,)</f>
        <v>0</v>
      </c>
      <c r="E383">
        <f>_xlfn.XLOOKUP($A383,Load!$B:$B,Load!F:F,0,)</f>
        <v>0</v>
      </c>
      <c r="F383">
        <f>_xlfn.XLOOKUP($A383,Load!$B:$B,Load!G:G,0,)</f>
        <v>0</v>
      </c>
      <c r="G383">
        <f>_xlfn.XLOOKUP($A383,Load!$B:$B,Load!H:H,0,)</f>
        <v>0</v>
      </c>
      <c r="H383">
        <f>_xlfn.XLOOKUP($A383,Load!$B:$B,Load!I:I,0,)</f>
        <v>0</v>
      </c>
      <c r="I383">
        <f>_xlfn.XLOOKUP($A383,Load!$B:$B,Load!J:J,0,)</f>
        <v>0</v>
      </c>
      <c r="J383">
        <f>_xlfn.XLOOKUP($A383,Load!$B:$B,Load!K:K,0,)</f>
        <v>0</v>
      </c>
      <c r="K383">
        <f>_xlfn.XLOOKUP($A383,Load!$B:$B,Load!L:L,0,)</f>
        <v>0</v>
      </c>
      <c r="L383">
        <f>_xlfn.XLOOKUP($A383,Load!$B:$B,Load!M:M,0,)</f>
        <v>0</v>
      </c>
    </row>
    <row r="384" spans="1:12" x14ac:dyDescent="0.25">
      <c r="A384" t="s">
        <v>317</v>
      </c>
      <c r="B384" t="str">
        <f>_xlfn.XLOOKUP($A384,Load!$B:$B,Load!C:C,0,)</f>
        <v>YumEarth</v>
      </c>
      <c r="C384" t="str">
        <f>_xlfn.XLOOKUP($A384,Load!$B:$B,Load!D:D,0,)</f>
        <v>Non-Chocolate Candy Only</v>
      </c>
      <c r="D384" t="str">
        <f>_xlfn.XLOOKUP($A384,Load!$B:$B,Load!E:E,0,)</f>
        <v>Fruit Flavor (Cherry, Grape, Apple, Citrus, Tropical Fruit)</v>
      </c>
      <c r="E384" t="str">
        <f>_xlfn.XLOOKUP($A384,Load!$B:$B,Load!F:F,0,)</f>
        <v>Chewy</v>
      </c>
      <c r="F384" t="str">
        <f>_xlfn.XLOOKUP($A384,Load!$B:$B,Load!G:G,0,)</f>
        <v>Small Multipack (Less than 40 ct)</v>
      </c>
      <c r="G384" t="str">
        <f>_xlfn.XLOOKUP($A384,Load!$B:$B,Load!H:H,0,)</f>
        <v>Box (theatre box, gift box, carton)</v>
      </c>
      <c r="H384" t="str">
        <f>_xlfn.XLOOKUP($A384,Load!$B:$B,Load!I:I,0,)</f>
        <v>Everyday Candy Shapes (like Original, Gummy bear, Fruit, Jewels, etc.)</v>
      </c>
      <c r="I384" t="str">
        <f>_xlfn.XLOOKUP($A384,Load!$B:$B,Load!J:J,0,)</f>
        <v>Everyday Graphics</v>
      </c>
      <c r="J384" t="str">
        <f>_xlfn.XLOOKUP($A384,Load!$B:$B,Load!K:K,0,)</f>
        <v>Small Pieces (Tiny bite size candies)</v>
      </c>
      <c r="K384" t="str">
        <f>_xlfn.XLOOKUP($A384,Load!$B:$B,Load!L:L,0,)</f>
        <v>Regular/Original Wrapping</v>
      </c>
      <c r="L384" t="str">
        <f>_xlfn.XLOOKUP($A384,Load!$B:$B,Load!M:M,0,)</f>
        <v>Single Brand / Variety Flavors or Form</v>
      </c>
    </row>
    <row r="385" spans="1:12" x14ac:dyDescent="0.25">
      <c r="A385" t="s">
        <v>97</v>
      </c>
      <c r="B385" t="str">
        <f>_xlfn.XLOOKUP($A385,Load!$B:$B,Load!C:C,0,)</f>
        <v>Ferrero Variety Pack</v>
      </c>
      <c r="C385" t="str">
        <f>_xlfn.XLOOKUP($A385,Load!$B:$B,Load!D:D,0,)</f>
        <v>Mix of Chocolate and Non-Chocolate Candy</v>
      </c>
      <c r="D385" t="str">
        <f>_xlfn.XLOOKUP($A385,Load!$B:$B,Load!E:E,0,)</f>
        <v>Variety / Mixed Flavors (Fruity, Sour, Seasonal Flavors)</v>
      </c>
      <c r="E385" t="str">
        <f>_xlfn.XLOOKUP($A385,Load!$B:$B,Load!F:F,0,)</f>
        <v>Mixed / Combo Packs (Gummy, Chewy, Taffy, etc.)</v>
      </c>
      <c r="F385" t="str">
        <f>_xlfn.XLOOKUP($A385,Load!$B:$B,Load!G:G,0,)</f>
        <v>Large Multipack (More than 80 ct)</v>
      </c>
      <c r="G385" t="str">
        <f>_xlfn.XLOOKUP($A385,Load!$B:$B,Load!H:H,0,)</f>
        <v>Stand-Up Bag</v>
      </c>
      <c r="H385" t="str">
        <f>_xlfn.XLOOKUP($A385,Load!$B:$B,Load!I:I,0,)</f>
        <v>Everyday Candy Shapes (like Original, Gummy bear, Fruit, Jewels, etc.)</v>
      </c>
      <c r="I385" t="str">
        <f>_xlfn.XLOOKUP($A385,Load!$B:$B,Load!J:J,0,)</f>
        <v>Seasonal Graphics (Like Bat, Ghost, Pumpkin, Fall Leaves, Eyeballs, etc.)</v>
      </c>
      <c r="J385" t="str">
        <f>_xlfn.XLOOKUP($A385,Load!$B:$B,Load!K:K,0,)</f>
        <v>Fun Size / Treat Size</v>
      </c>
      <c r="K385" t="str">
        <f>_xlfn.XLOOKUP($A385,Load!$B:$B,Load!L:L,0,)</f>
        <v>Regular/Original Wrapping</v>
      </c>
      <c r="L385" t="str">
        <f>_xlfn.XLOOKUP($A385,Load!$B:$B,Load!M:M,0,)</f>
        <v>Multiple Brands / Variety Flavors or Form</v>
      </c>
    </row>
    <row r="386" spans="1:12" x14ac:dyDescent="0.25">
      <c r="B386">
        <f>_xlfn.XLOOKUP($A386,Load!$B:$B,Load!C:C,0,)</f>
        <v>0</v>
      </c>
      <c r="C386">
        <f>_xlfn.XLOOKUP($A386,Load!$B:$B,Load!D:D,0,)</f>
        <v>0</v>
      </c>
      <c r="D386">
        <f>_xlfn.XLOOKUP($A386,Load!$B:$B,Load!E:E,0,)</f>
        <v>0</v>
      </c>
      <c r="E386">
        <f>_xlfn.XLOOKUP($A386,Load!$B:$B,Load!F:F,0,)</f>
        <v>0</v>
      </c>
      <c r="F386">
        <f>_xlfn.XLOOKUP($A386,Load!$B:$B,Load!G:G,0,)</f>
        <v>0</v>
      </c>
      <c r="G386">
        <f>_xlfn.XLOOKUP($A386,Load!$B:$B,Load!H:H,0,)</f>
        <v>0</v>
      </c>
      <c r="H386">
        <f>_xlfn.XLOOKUP($A386,Load!$B:$B,Load!I:I,0,)</f>
        <v>0</v>
      </c>
      <c r="I386">
        <f>_xlfn.XLOOKUP($A386,Load!$B:$B,Load!J:J,0,)</f>
        <v>0</v>
      </c>
      <c r="J386">
        <f>_xlfn.XLOOKUP($A386,Load!$B:$B,Load!K:K,0,)</f>
        <v>0</v>
      </c>
      <c r="K386">
        <f>_xlfn.XLOOKUP($A386,Load!$B:$B,Load!L:L,0,)</f>
        <v>0</v>
      </c>
      <c r="L386">
        <f>_xlfn.XLOOKUP($A386,Load!$B:$B,Load!M:M,0,)</f>
        <v>0</v>
      </c>
    </row>
    <row r="387" spans="1:12" x14ac:dyDescent="0.25">
      <c r="B387">
        <f>_xlfn.XLOOKUP($A387,Load!$B:$B,Load!C:C,0,)</f>
        <v>0</v>
      </c>
      <c r="C387">
        <f>_xlfn.XLOOKUP($A387,Load!$B:$B,Load!D:D,0,)</f>
        <v>0</v>
      </c>
      <c r="D387">
        <f>_xlfn.XLOOKUP($A387,Load!$B:$B,Load!E:E,0,)</f>
        <v>0</v>
      </c>
      <c r="E387">
        <f>_xlfn.XLOOKUP($A387,Load!$B:$B,Load!F:F,0,)</f>
        <v>0</v>
      </c>
      <c r="F387">
        <f>_xlfn.XLOOKUP($A387,Load!$B:$B,Load!G:G,0,)</f>
        <v>0</v>
      </c>
      <c r="G387">
        <f>_xlfn.XLOOKUP($A387,Load!$B:$B,Load!H:H,0,)</f>
        <v>0</v>
      </c>
      <c r="H387">
        <f>_xlfn.XLOOKUP($A387,Load!$B:$B,Load!I:I,0,)</f>
        <v>0</v>
      </c>
      <c r="I387">
        <f>_xlfn.XLOOKUP($A387,Load!$B:$B,Load!J:J,0,)</f>
        <v>0</v>
      </c>
      <c r="J387">
        <f>_xlfn.XLOOKUP($A387,Load!$B:$B,Load!K:K,0,)</f>
        <v>0</v>
      </c>
      <c r="K387">
        <f>_xlfn.XLOOKUP($A387,Load!$B:$B,Load!L:L,0,)</f>
        <v>0</v>
      </c>
      <c r="L387">
        <f>_xlfn.XLOOKUP($A387,Load!$B:$B,Load!M:M,0,)</f>
        <v>0</v>
      </c>
    </row>
    <row r="388" spans="1:12" x14ac:dyDescent="0.25">
      <c r="B388">
        <f>_xlfn.XLOOKUP($A388,Load!$B:$B,Load!C:C,0,)</f>
        <v>0</v>
      </c>
      <c r="C388">
        <f>_xlfn.XLOOKUP($A388,Load!$B:$B,Load!D:D,0,)</f>
        <v>0</v>
      </c>
      <c r="D388">
        <f>_xlfn.XLOOKUP($A388,Load!$B:$B,Load!E:E,0,)</f>
        <v>0</v>
      </c>
      <c r="E388">
        <f>_xlfn.XLOOKUP($A388,Load!$B:$B,Load!F:F,0,)</f>
        <v>0</v>
      </c>
      <c r="F388">
        <f>_xlfn.XLOOKUP($A388,Load!$B:$B,Load!G:G,0,)</f>
        <v>0</v>
      </c>
      <c r="G388">
        <f>_xlfn.XLOOKUP($A388,Load!$B:$B,Load!H:H,0,)</f>
        <v>0</v>
      </c>
      <c r="H388">
        <f>_xlfn.XLOOKUP($A388,Load!$B:$B,Load!I:I,0,)</f>
        <v>0</v>
      </c>
      <c r="I388">
        <f>_xlfn.XLOOKUP($A388,Load!$B:$B,Load!J:J,0,)</f>
        <v>0</v>
      </c>
      <c r="J388">
        <f>_xlfn.XLOOKUP($A388,Load!$B:$B,Load!K:K,0,)</f>
        <v>0</v>
      </c>
      <c r="K388">
        <f>_xlfn.XLOOKUP($A388,Load!$B:$B,Load!L:L,0,)</f>
        <v>0</v>
      </c>
      <c r="L388">
        <f>_xlfn.XLOOKUP($A388,Load!$B:$B,Load!M:M,0,)</f>
        <v>0</v>
      </c>
    </row>
    <row r="389" spans="1:12" x14ac:dyDescent="0.25">
      <c r="B389">
        <f>_xlfn.XLOOKUP($A389,Load!$B:$B,Load!C:C,0,)</f>
        <v>0</v>
      </c>
      <c r="C389">
        <f>_xlfn.XLOOKUP($A389,Load!$B:$B,Load!D:D,0,)</f>
        <v>0</v>
      </c>
      <c r="D389">
        <f>_xlfn.XLOOKUP($A389,Load!$B:$B,Load!E:E,0,)</f>
        <v>0</v>
      </c>
      <c r="E389">
        <f>_xlfn.XLOOKUP($A389,Load!$B:$B,Load!F:F,0,)</f>
        <v>0</v>
      </c>
      <c r="F389">
        <f>_xlfn.XLOOKUP($A389,Load!$B:$B,Load!G:G,0,)</f>
        <v>0</v>
      </c>
      <c r="G389">
        <f>_xlfn.XLOOKUP($A389,Load!$B:$B,Load!H:H,0,)</f>
        <v>0</v>
      </c>
      <c r="H389">
        <f>_xlfn.XLOOKUP($A389,Load!$B:$B,Load!I:I,0,)</f>
        <v>0</v>
      </c>
      <c r="I389">
        <f>_xlfn.XLOOKUP($A389,Load!$B:$B,Load!J:J,0,)</f>
        <v>0</v>
      </c>
      <c r="J389">
        <f>_xlfn.XLOOKUP($A389,Load!$B:$B,Load!K:K,0,)</f>
        <v>0</v>
      </c>
      <c r="K389">
        <f>_xlfn.XLOOKUP($A389,Load!$B:$B,Load!L:L,0,)</f>
        <v>0</v>
      </c>
      <c r="L389">
        <f>_xlfn.XLOOKUP($A389,Load!$B:$B,Load!M:M,0,)</f>
        <v>0</v>
      </c>
    </row>
    <row r="390" spans="1:12" x14ac:dyDescent="0.25">
      <c r="B390">
        <f>_xlfn.XLOOKUP($A390,Load!$B:$B,Load!C:C,0,)</f>
        <v>0</v>
      </c>
      <c r="C390">
        <f>_xlfn.XLOOKUP($A390,Load!$B:$B,Load!D:D,0,)</f>
        <v>0</v>
      </c>
      <c r="D390">
        <f>_xlfn.XLOOKUP($A390,Load!$B:$B,Load!E:E,0,)</f>
        <v>0</v>
      </c>
      <c r="E390">
        <f>_xlfn.XLOOKUP($A390,Load!$B:$B,Load!F:F,0,)</f>
        <v>0</v>
      </c>
      <c r="F390">
        <f>_xlfn.XLOOKUP($A390,Load!$B:$B,Load!G:G,0,)</f>
        <v>0</v>
      </c>
      <c r="G390">
        <f>_xlfn.XLOOKUP($A390,Load!$B:$B,Load!H:H,0,)</f>
        <v>0</v>
      </c>
      <c r="H390">
        <f>_xlfn.XLOOKUP($A390,Load!$B:$B,Load!I:I,0,)</f>
        <v>0</v>
      </c>
      <c r="I390">
        <f>_xlfn.XLOOKUP($A390,Load!$B:$B,Load!J:J,0,)</f>
        <v>0</v>
      </c>
      <c r="J390">
        <f>_xlfn.XLOOKUP($A390,Load!$B:$B,Load!K:K,0,)</f>
        <v>0</v>
      </c>
      <c r="K390">
        <f>_xlfn.XLOOKUP($A390,Load!$B:$B,Load!L:L,0,)</f>
        <v>0</v>
      </c>
      <c r="L390">
        <f>_xlfn.XLOOKUP($A390,Load!$B:$B,Load!M:M,0,)</f>
        <v>0</v>
      </c>
    </row>
    <row r="391" spans="1:12" x14ac:dyDescent="0.25">
      <c r="B391">
        <f>_xlfn.XLOOKUP($A391,Load!$B:$B,Load!C:C,0,)</f>
        <v>0</v>
      </c>
      <c r="C391">
        <f>_xlfn.XLOOKUP($A391,Load!$B:$B,Load!D:D,0,)</f>
        <v>0</v>
      </c>
      <c r="D391">
        <f>_xlfn.XLOOKUP($A391,Load!$B:$B,Load!E:E,0,)</f>
        <v>0</v>
      </c>
      <c r="E391">
        <f>_xlfn.XLOOKUP($A391,Load!$B:$B,Load!F:F,0,)</f>
        <v>0</v>
      </c>
      <c r="F391">
        <f>_xlfn.XLOOKUP($A391,Load!$B:$B,Load!G:G,0,)</f>
        <v>0</v>
      </c>
      <c r="G391">
        <f>_xlfn.XLOOKUP($A391,Load!$B:$B,Load!H:H,0,)</f>
        <v>0</v>
      </c>
      <c r="H391">
        <f>_xlfn.XLOOKUP($A391,Load!$B:$B,Load!I:I,0,)</f>
        <v>0</v>
      </c>
      <c r="I391">
        <f>_xlfn.XLOOKUP($A391,Load!$B:$B,Load!J:J,0,)</f>
        <v>0</v>
      </c>
      <c r="J391">
        <f>_xlfn.XLOOKUP($A391,Load!$B:$B,Load!K:K,0,)</f>
        <v>0</v>
      </c>
      <c r="K391">
        <f>_xlfn.XLOOKUP($A391,Load!$B:$B,Load!L:L,0,)</f>
        <v>0</v>
      </c>
      <c r="L391">
        <f>_xlfn.XLOOKUP($A391,Load!$B:$B,Load!M:M,0,)</f>
        <v>0</v>
      </c>
    </row>
    <row r="392" spans="1:12" x14ac:dyDescent="0.25">
      <c r="A392" t="s">
        <v>226</v>
      </c>
      <c r="B392" t="str">
        <f>_xlfn.XLOOKUP($A392,Load!$B:$B,Load!C:C,0,)</f>
        <v>Nerds</v>
      </c>
      <c r="C392" t="str">
        <f>_xlfn.XLOOKUP($A392,Load!$B:$B,Load!D:D,0,)</f>
        <v>Non-Chocolate Candy Only</v>
      </c>
      <c r="D392" t="str">
        <f>_xlfn.XLOOKUP($A392,Load!$B:$B,Load!E:E,0,)</f>
        <v>Sweet</v>
      </c>
      <c r="E392" t="str">
        <f>_xlfn.XLOOKUP($A392,Load!$B:$B,Load!F:F,0,)</f>
        <v>Gummy</v>
      </c>
      <c r="F392" t="str">
        <f>_xlfn.XLOOKUP($A392,Load!$B:$B,Load!G:G,0,)</f>
        <v>Single Pack</v>
      </c>
      <c r="G392" t="str">
        <f>_xlfn.XLOOKUP($A392,Load!$B:$B,Load!H:H,0,)</f>
        <v>Laydown Bag</v>
      </c>
      <c r="H392" t="str">
        <f>_xlfn.XLOOKUP($A392,Load!$B:$B,Load!I:I,0,)</f>
        <v>Seasonal Shapes (like pumpkins, candy corn, ghost, bats, etc.)</v>
      </c>
      <c r="I392" t="str">
        <f>_xlfn.XLOOKUP($A392,Load!$B:$B,Load!J:J,0,)</f>
        <v>Seasonal Graphics (Like Bat, Ghost, Pumpkin, Fall Leaves, Eyeballs, etc.)</v>
      </c>
      <c r="J392" t="str">
        <f>_xlfn.XLOOKUP($A392,Load!$B:$B,Load!K:K,0,)</f>
        <v>Fun Size / Treat Size</v>
      </c>
      <c r="K392" t="str">
        <f>_xlfn.XLOOKUP($A392,Load!$B:$B,Load!L:L,0,)</f>
        <v>Unwrapped</v>
      </c>
      <c r="L392" t="str">
        <f>_xlfn.XLOOKUP($A392,Load!$B:$B,Load!M:M,0,)</f>
        <v>Single Brand / Single Flavor or Form</v>
      </c>
    </row>
    <row r="393" spans="1:12" x14ac:dyDescent="0.25">
      <c r="A393" t="s">
        <v>12</v>
      </c>
      <c r="B393" t="str">
        <f>_xlfn.XLOOKUP($A393,Load!$B:$B,Load!C:C,0,)</f>
        <v>Airheads</v>
      </c>
      <c r="C393" t="str">
        <f>_xlfn.XLOOKUP($A393,Load!$B:$B,Load!D:D,0,)</f>
        <v>Non-Chocolate Candy Only</v>
      </c>
      <c r="D393" t="str">
        <f>_xlfn.XLOOKUP($A393,Load!$B:$B,Load!E:E,0,)</f>
        <v>Berry Based (Raspberry, Strawberry, Medley, etc.)</v>
      </c>
      <c r="E393" t="str">
        <f>_xlfn.XLOOKUP($A393,Load!$B:$B,Load!F:F,0,)</f>
        <v>Chewy</v>
      </c>
      <c r="F393" t="str">
        <f>_xlfn.XLOOKUP($A393,Load!$B:$B,Load!G:G,0,)</f>
        <v>Single Pack</v>
      </c>
      <c r="G393" t="str">
        <f>_xlfn.XLOOKUP($A393,Load!$B:$B,Load!H:H,0,)</f>
        <v>Laydown Bag</v>
      </c>
      <c r="H393" t="str">
        <f>_xlfn.XLOOKUP($A393,Load!$B:$B,Load!I:I,0,)</f>
        <v>Everyday Candy Shapes (like Original, Gummy bear, Fruit, Jewels, etc.)</v>
      </c>
      <c r="I393" t="str">
        <f>_xlfn.XLOOKUP($A393,Load!$B:$B,Load!J:J,0,)</f>
        <v>Everyday Graphics</v>
      </c>
      <c r="J393" t="str">
        <f>_xlfn.XLOOKUP($A393,Load!$B:$B,Load!K:K,0,)</f>
        <v>Fun Size / Treat Size</v>
      </c>
      <c r="K393" t="str">
        <f>_xlfn.XLOOKUP($A393,Load!$B:$B,Load!L:L,0,)</f>
        <v>Unwrapped</v>
      </c>
      <c r="L393" t="str">
        <f>_xlfn.XLOOKUP($A393,Load!$B:$B,Load!M:M,0,)</f>
        <v>Single Brand / Single Flavor or Form</v>
      </c>
    </row>
    <row r="394" spans="1:12" x14ac:dyDescent="0.25">
      <c r="A394" t="s">
        <v>272</v>
      </c>
      <c r="B394" t="str">
        <f>_xlfn.XLOOKUP($A394,Load!$B:$B,Load!C:C,0,)</f>
        <v>Sour Patch Kids</v>
      </c>
      <c r="C394" t="str">
        <f>_xlfn.XLOOKUP($A394,Load!$B:$B,Load!D:D,0,)</f>
        <v>Non-Chocolate Candy Only</v>
      </c>
      <c r="D394" t="str">
        <f>_xlfn.XLOOKUP($A394,Load!$B:$B,Load!E:E,0,)</f>
        <v>Sour</v>
      </c>
      <c r="E394" t="str">
        <f>_xlfn.XLOOKUP($A394,Load!$B:$B,Load!F:F,0,)</f>
        <v>Chewy</v>
      </c>
      <c r="F394" t="str">
        <f>_xlfn.XLOOKUP($A394,Load!$B:$B,Load!G:G,0,)</f>
        <v>Medium Multipack (40–80 ct)</v>
      </c>
      <c r="G394" t="str">
        <f>_xlfn.XLOOKUP($A394,Load!$B:$B,Load!H:H,0,)</f>
        <v>Peg Bag</v>
      </c>
      <c r="H394" t="str">
        <f>_xlfn.XLOOKUP($A394,Load!$B:$B,Load!I:I,0,)</f>
        <v>Everyday Candy Shapes (like Original, Gummy bear, Fruit, Jewels, etc.)</v>
      </c>
      <c r="I394" t="str">
        <f>_xlfn.XLOOKUP($A394,Load!$B:$B,Load!J:J,0,)</f>
        <v>Seasonal Graphics (Like Bat, Ghost, Pumpkin, Fall Leaves, Eyeballs, etc.)</v>
      </c>
      <c r="J394" t="str">
        <f>_xlfn.XLOOKUP($A394,Load!$B:$B,Load!K:K,0,)</f>
        <v>Small Pieces (Tiny bite size candies)</v>
      </c>
      <c r="K394" t="str">
        <f>_xlfn.XLOOKUP($A394,Load!$B:$B,Load!L:L,0,)</f>
        <v>Unwrapped</v>
      </c>
      <c r="L394" t="str">
        <f>_xlfn.XLOOKUP($A394,Load!$B:$B,Load!M:M,0,)</f>
        <v>Single Brand / Single Flavor or Form</v>
      </c>
    </row>
    <row r="395" spans="1:12" x14ac:dyDescent="0.25">
      <c r="B395">
        <f>_xlfn.XLOOKUP($A395,Load!$B:$B,Load!C:C,0,)</f>
        <v>0</v>
      </c>
      <c r="C395">
        <f>_xlfn.XLOOKUP($A395,Load!$B:$B,Load!D:D,0,)</f>
        <v>0</v>
      </c>
      <c r="D395">
        <f>_xlfn.XLOOKUP($A395,Load!$B:$B,Load!E:E,0,)</f>
        <v>0</v>
      </c>
      <c r="E395">
        <f>_xlfn.XLOOKUP($A395,Load!$B:$B,Load!F:F,0,)</f>
        <v>0</v>
      </c>
      <c r="F395">
        <f>_xlfn.XLOOKUP($A395,Load!$B:$B,Load!G:G,0,)</f>
        <v>0</v>
      </c>
      <c r="G395">
        <f>_xlfn.XLOOKUP($A395,Load!$B:$B,Load!H:H,0,)</f>
        <v>0</v>
      </c>
      <c r="H395">
        <f>_xlfn.XLOOKUP($A395,Load!$B:$B,Load!I:I,0,)</f>
        <v>0</v>
      </c>
      <c r="I395">
        <f>_xlfn.XLOOKUP($A395,Load!$B:$B,Load!J:J,0,)</f>
        <v>0</v>
      </c>
      <c r="J395">
        <f>_xlfn.XLOOKUP($A395,Load!$B:$B,Load!K:K,0,)</f>
        <v>0</v>
      </c>
      <c r="K395">
        <f>_xlfn.XLOOKUP($A395,Load!$B:$B,Load!L:L,0,)</f>
        <v>0</v>
      </c>
      <c r="L395">
        <f>_xlfn.XLOOKUP($A395,Load!$B:$B,Load!M:M,0,)</f>
        <v>0</v>
      </c>
    </row>
    <row r="396" spans="1:12" x14ac:dyDescent="0.25">
      <c r="A396" t="s">
        <v>297</v>
      </c>
      <c r="B396" t="str">
        <f>_xlfn.XLOOKUP($A396,Load!$B:$B,Load!C:C,0,)</f>
        <v>Trolli</v>
      </c>
      <c r="C396" t="str">
        <f>_xlfn.XLOOKUP($A396,Load!$B:$B,Load!D:D,0,)</f>
        <v>Non-Chocolate Candy Only</v>
      </c>
      <c r="D396" t="str">
        <f>_xlfn.XLOOKUP($A396,Load!$B:$B,Load!E:E,0,)</f>
        <v>Sour</v>
      </c>
      <c r="E396" t="str">
        <f>_xlfn.XLOOKUP($A396,Load!$B:$B,Load!F:F,0,)</f>
        <v>Gummy</v>
      </c>
      <c r="F396" t="str">
        <f>_xlfn.XLOOKUP($A396,Load!$B:$B,Load!G:G,0,)</f>
        <v>Small Multipack (Less than 40 ct)</v>
      </c>
      <c r="G396" t="str">
        <f>_xlfn.XLOOKUP($A396,Load!$B:$B,Load!H:H,0,)</f>
        <v>Peg Bag</v>
      </c>
      <c r="H396" t="str">
        <f>_xlfn.XLOOKUP($A396,Load!$B:$B,Load!I:I,0,)</f>
        <v>Everyday Candy Shapes (like Original, Gummy bear, Fruit, Jewels, etc.)</v>
      </c>
      <c r="I396" t="str">
        <f>_xlfn.XLOOKUP($A396,Load!$B:$B,Load!J:J,0,)</f>
        <v>Everyday Graphics</v>
      </c>
      <c r="J396" t="str">
        <f>_xlfn.XLOOKUP($A396,Load!$B:$B,Load!K:K,0,)</f>
        <v>Fun Size / Treat Size</v>
      </c>
      <c r="K396" t="str">
        <f>_xlfn.XLOOKUP($A396,Load!$B:$B,Load!L:L,0,)</f>
        <v>Unwrapped</v>
      </c>
      <c r="L396" t="str">
        <f>_xlfn.XLOOKUP($A396,Load!$B:$B,Load!M:M,0,)</f>
        <v>Single Brand / Variety Flavors or Form</v>
      </c>
    </row>
    <row r="397" spans="1:12" x14ac:dyDescent="0.25">
      <c r="B397">
        <f>_xlfn.XLOOKUP($A397,Load!$B:$B,Load!C:C,0,)</f>
        <v>0</v>
      </c>
      <c r="C397">
        <f>_xlfn.XLOOKUP($A397,Load!$B:$B,Load!D:D,0,)</f>
        <v>0</v>
      </c>
      <c r="D397">
        <f>_xlfn.XLOOKUP($A397,Load!$B:$B,Load!E:E,0,)</f>
        <v>0</v>
      </c>
      <c r="E397">
        <f>_xlfn.XLOOKUP($A397,Load!$B:$B,Load!F:F,0,)</f>
        <v>0</v>
      </c>
      <c r="F397">
        <f>_xlfn.XLOOKUP($A397,Load!$B:$B,Load!G:G,0,)</f>
        <v>0</v>
      </c>
      <c r="G397">
        <f>_xlfn.XLOOKUP($A397,Load!$B:$B,Load!H:H,0,)</f>
        <v>0</v>
      </c>
      <c r="H397">
        <f>_xlfn.XLOOKUP($A397,Load!$B:$B,Load!I:I,0,)</f>
        <v>0</v>
      </c>
      <c r="I397">
        <f>_xlfn.XLOOKUP($A397,Load!$B:$B,Load!J:J,0,)</f>
        <v>0</v>
      </c>
      <c r="J397">
        <f>_xlfn.XLOOKUP($A397,Load!$B:$B,Load!K:K,0,)</f>
        <v>0</v>
      </c>
      <c r="K397">
        <f>_xlfn.XLOOKUP($A397,Load!$B:$B,Load!L:L,0,)</f>
        <v>0</v>
      </c>
      <c r="L397">
        <f>_xlfn.XLOOKUP($A397,Load!$B:$B,Load!M:M,0,)</f>
        <v>0</v>
      </c>
    </row>
    <row r="398" spans="1:12" x14ac:dyDescent="0.25">
      <c r="A398" t="s">
        <v>65</v>
      </c>
      <c r="B398" t="str">
        <f>_xlfn.XLOOKUP($A398,Load!$B:$B,Load!C:C,0,)</f>
        <v>Dots</v>
      </c>
      <c r="C398" t="str">
        <f>_xlfn.XLOOKUP($A398,Load!$B:$B,Load!D:D,0,)</f>
        <v>Non-Chocolate Candy Only</v>
      </c>
      <c r="D398" t="str">
        <f>_xlfn.XLOOKUP($A398,Load!$B:$B,Load!E:E,0,)</f>
        <v>Variety / Mixed Flavors (Fruity, Sour, Seasonal Flavors)</v>
      </c>
      <c r="E398" t="str">
        <f>_xlfn.XLOOKUP($A398,Load!$B:$B,Load!F:F,0,)</f>
        <v>Candy Pieces / Bites</v>
      </c>
      <c r="F398" t="str">
        <f>_xlfn.XLOOKUP($A398,Load!$B:$B,Load!G:G,0,)</f>
        <v>Medium Multipack (40–80 ct)</v>
      </c>
      <c r="G398" t="str">
        <f>_xlfn.XLOOKUP($A398,Load!$B:$B,Load!H:H,0,)</f>
        <v>Box (theatre box, gift box, carton)</v>
      </c>
      <c r="H398" t="str">
        <f>_xlfn.XLOOKUP($A398,Load!$B:$B,Load!I:I,0,)</f>
        <v>Seasonal Shapes (like pumpkins, candy corn, ghost, bats, etc.)</v>
      </c>
      <c r="I398" t="str">
        <f>_xlfn.XLOOKUP($A398,Load!$B:$B,Load!J:J,0,)</f>
        <v>Seasonal Graphics (Like Bat, Ghost, Pumpkin, Fall Leaves, Eyeballs, etc.)</v>
      </c>
      <c r="J398" t="str">
        <f>_xlfn.XLOOKUP($A398,Load!$B:$B,Load!K:K,0,)</f>
        <v>Fun Size / Treat Size</v>
      </c>
      <c r="K398" t="str">
        <f>_xlfn.XLOOKUP($A398,Load!$B:$B,Load!L:L,0,)</f>
        <v>Regular/Original Wrapping</v>
      </c>
      <c r="L398" t="str">
        <f>_xlfn.XLOOKUP($A398,Load!$B:$B,Load!M:M,0,)</f>
        <v>Single Brand / Variety Flavors or Form</v>
      </c>
    </row>
    <row r="399" spans="1:12" x14ac:dyDescent="0.25">
      <c r="A399" t="s">
        <v>105</v>
      </c>
      <c r="B399" t="str">
        <f>_xlfn.XLOOKUP($A399,Load!$B:$B,Load!C:C,0,)</f>
        <v>Frankford</v>
      </c>
      <c r="C399" t="str">
        <f>_xlfn.XLOOKUP($A399,Load!$B:$B,Load!D:D,0,)</f>
        <v>Non-Chocolate Candy Only</v>
      </c>
      <c r="D399" t="str">
        <f>_xlfn.XLOOKUP($A399,Load!$B:$B,Load!E:E,0,)</f>
        <v>Variety / Mixed Flavors (Fruity, Sour, Seasonal Flavors)</v>
      </c>
      <c r="E399" t="str">
        <f>_xlfn.XLOOKUP($A399,Load!$B:$B,Load!F:F,0,)</f>
        <v>Gummy</v>
      </c>
      <c r="F399" t="str">
        <f>_xlfn.XLOOKUP($A399,Load!$B:$B,Load!G:G,0,)</f>
        <v>Medium Multipack (40–80 ct)</v>
      </c>
      <c r="G399" t="str">
        <f>_xlfn.XLOOKUP($A399,Load!$B:$B,Load!H:H,0,)</f>
        <v>Stand-Up Bag</v>
      </c>
      <c r="H399" t="str">
        <f>_xlfn.XLOOKUP($A399,Load!$B:$B,Load!I:I,0,)</f>
        <v>Seasonal Shapes (like pumpkins, candy corn, ghost, bats, etc.)</v>
      </c>
      <c r="I399" t="str">
        <f>_xlfn.XLOOKUP($A399,Load!$B:$B,Load!J:J,0,)</f>
        <v>Seasonal Graphics (Like Bat, Ghost, Pumpkin, Fall Leaves, Eyeballs, etc.)</v>
      </c>
      <c r="J399" t="str">
        <f>_xlfn.XLOOKUP($A399,Load!$B:$B,Load!K:K,0,)</f>
        <v>Fun Size / Treat Size</v>
      </c>
      <c r="K399" t="str">
        <f>_xlfn.XLOOKUP($A399,Load!$B:$B,Load!L:L,0,)</f>
        <v>Regular/Original Wrapping</v>
      </c>
      <c r="L399" t="str">
        <f>_xlfn.XLOOKUP($A399,Load!$B:$B,Load!M:M,0,)</f>
        <v>Single Brand / Variety Flavors or Form</v>
      </c>
    </row>
    <row r="400" spans="1:12" x14ac:dyDescent="0.25">
      <c r="A400" t="s">
        <v>139</v>
      </c>
      <c r="B400" t="str">
        <f>_xlfn.XLOOKUP($A400,Load!$B:$B,Load!C:C,0,)</f>
        <v>Hershey's Variety Pack + Haribo</v>
      </c>
      <c r="C400" t="str">
        <f>_xlfn.XLOOKUP($A400,Load!$B:$B,Load!D:D,0,)</f>
        <v>Mix of Chocolate and Non-Chocolate Candy</v>
      </c>
      <c r="D400" t="str">
        <f>_xlfn.XLOOKUP($A400,Load!$B:$B,Load!E:E,0,)</f>
        <v>Variety / Mixed Flavors (Fruity, Sour, Seasonal Flavors)</v>
      </c>
      <c r="E400" t="str">
        <f>_xlfn.XLOOKUP($A400,Load!$B:$B,Load!F:F,0,)</f>
        <v>Mixed / Combo Packs (Gummy, Chewy, Taffy, etc.)</v>
      </c>
      <c r="F400" t="str">
        <f>_xlfn.XLOOKUP($A400,Load!$B:$B,Load!G:G,0,)</f>
        <v>Large Multipack (More than 80 ct)</v>
      </c>
      <c r="G400" t="str">
        <f>_xlfn.XLOOKUP($A400,Load!$B:$B,Load!H:H,0,)</f>
        <v>Stand-Up Bag</v>
      </c>
      <c r="H400" t="str">
        <f>_xlfn.XLOOKUP($A400,Load!$B:$B,Load!I:I,0,)</f>
        <v>Everyday Candy Shapes (like Original, Gummy bear, Fruit, Jewels, etc.)</v>
      </c>
      <c r="I400" t="str">
        <f>_xlfn.XLOOKUP($A400,Load!$B:$B,Load!J:J,0,)</f>
        <v>Seasonal Graphics (Like Bat, Ghost, Pumpkin, Fall Leaves, Eyeballs, etc.)</v>
      </c>
      <c r="J400" t="str">
        <f>_xlfn.XLOOKUP($A400,Load!$B:$B,Load!K:K,0,)</f>
        <v>Fun Size / Treat Size</v>
      </c>
      <c r="K400" t="str">
        <f>_xlfn.XLOOKUP($A400,Load!$B:$B,Load!L:L,0,)</f>
        <v>Regular/Original Wrapping</v>
      </c>
      <c r="L400" t="str">
        <f>_xlfn.XLOOKUP($A400,Load!$B:$B,Load!M:M,0,)</f>
        <v>Multiple Brands / Variety Flavors or Form</v>
      </c>
    </row>
    <row r="401" spans="1:12" x14ac:dyDescent="0.25">
      <c r="A401" t="s">
        <v>214</v>
      </c>
      <c r="B401" t="str">
        <f>_xlfn.XLOOKUP($A401,Load!$B:$B,Load!C:C,0,)</f>
        <v>Mars Variety Pack</v>
      </c>
      <c r="C401" t="str">
        <f>_xlfn.XLOOKUP($A401,Load!$B:$B,Load!D:D,0,)</f>
        <v>Mix of Chocolate and Non-Chocolate Candy</v>
      </c>
      <c r="D401" t="str">
        <f>_xlfn.XLOOKUP($A401,Load!$B:$B,Load!E:E,0,)</f>
        <v>Variety / Mixed Flavors (Fruity, Sour, Seasonal Flavors)</v>
      </c>
      <c r="E401" t="str">
        <f>_xlfn.XLOOKUP($A401,Load!$B:$B,Load!F:F,0,)</f>
        <v>Mixed / Combo Packs (Gummy, Chewy, Taffy, etc.)</v>
      </c>
      <c r="F401" t="str">
        <f>_xlfn.XLOOKUP($A401,Load!$B:$B,Load!G:G,0,)</f>
        <v>Large Multipack (More than 80 ct)</v>
      </c>
      <c r="G401" t="str">
        <f>_xlfn.XLOOKUP($A401,Load!$B:$B,Load!H:H,0,)</f>
        <v>Stand-Up Bag</v>
      </c>
      <c r="H401" t="str">
        <f>_xlfn.XLOOKUP($A401,Load!$B:$B,Load!I:I,0,)</f>
        <v>Everyday Candy Shapes (like Original, Gummy bear, Fruit, Jewels, etc.)</v>
      </c>
      <c r="I401" t="str">
        <f>_xlfn.XLOOKUP($A401,Load!$B:$B,Load!J:J,0,)</f>
        <v>Seasonal Graphics (Like Bat, Ghost, Pumpkin, Fall Leaves, Eyeballs, etc.)</v>
      </c>
      <c r="J401" t="str">
        <f>_xlfn.XLOOKUP($A401,Load!$B:$B,Load!K:K,0,)</f>
        <v>Fun Size / Treat Size</v>
      </c>
      <c r="K401" t="str">
        <f>_xlfn.XLOOKUP($A401,Load!$B:$B,Load!L:L,0,)</f>
        <v>Regular/Original Wrapping</v>
      </c>
      <c r="L401" t="str">
        <f>_xlfn.XLOOKUP($A401,Load!$B:$B,Load!M:M,0,)</f>
        <v>Multiple Brands / Variety Flavors or Form</v>
      </c>
    </row>
    <row r="402" spans="1:12" x14ac:dyDescent="0.25">
      <c r="A402" t="s">
        <v>98</v>
      </c>
      <c r="B402" t="str">
        <f>_xlfn.XLOOKUP($A402,Load!$B:$B,Load!C:C,0,)</f>
        <v>Flix</v>
      </c>
      <c r="C402" t="str">
        <f>_xlfn.XLOOKUP($A402,Load!$B:$B,Load!D:D,0,)</f>
        <v>Non-Chocolate Candy Only</v>
      </c>
      <c r="D402" t="str">
        <f>_xlfn.XLOOKUP($A402,Load!$B:$B,Load!E:E,0,)</f>
        <v>Fruit Flavor (Cherry, Grape, Apple, Citrus, Tropical Fruit)</v>
      </c>
      <c r="E402" t="str">
        <f>_xlfn.XLOOKUP($A402,Load!$B:$B,Load!F:F,0,)</f>
        <v>Lollipop (regular or lollipop rings)</v>
      </c>
      <c r="F402" t="str">
        <f>_xlfn.XLOOKUP($A402,Load!$B:$B,Load!G:G,0,)</f>
        <v>Small Multipack (Less than 40 ct)</v>
      </c>
      <c r="G402" t="str">
        <f>_xlfn.XLOOKUP($A402,Load!$B:$B,Load!H:H,0,)</f>
        <v>Box (theatre box, gift box, carton)</v>
      </c>
      <c r="H402" t="str">
        <f>_xlfn.XLOOKUP($A402,Load!$B:$B,Load!I:I,0,)</f>
        <v>Seasonal Shapes (like pumpkins, candy corn, ghost, bats, etc.)</v>
      </c>
      <c r="I402" t="str">
        <f>_xlfn.XLOOKUP($A402,Load!$B:$B,Load!J:J,0,)</f>
        <v>Seasonal Graphics (Like Bat, Ghost, Pumpkin, Fall Leaves, Eyeballs, etc.)</v>
      </c>
      <c r="J402" t="str">
        <f>_xlfn.XLOOKUP($A402,Load!$B:$B,Load!K:K,0,)</f>
        <v>Regular Lollipop size (on sticks or rings)</v>
      </c>
      <c r="K402" t="str">
        <f>_xlfn.XLOOKUP($A402,Load!$B:$B,Load!L:L,0,)</f>
        <v>Regular/Original Wrapping</v>
      </c>
      <c r="L402" t="str">
        <f>_xlfn.XLOOKUP($A402,Load!$B:$B,Load!M:M,0,)</f>
        <v>Single Brand / Variety Flavors or Form</v>
      </c>
    </row>
    <row r="403" spans="1:12" x14ac:dyDescent="0.25">
      <c r="B403">
        <f>_xlfn.XLOOKUP($A403,Load!$B:$B,Load!C:C,0,)</f>
        <v>0</v>
      </c>
      <c r="C403">
        <f>_xlfn.XLOOKUP($A403,Load!$B:$B,Load!D:D,0,)</f>
        <v>0</v>
      </c>
      <c r="D403">
        <f>_xlfn.XLOOKUP($A403,Load!$B:$B,Load!E:E,0,)</f>
        <v>0</v>
      </c>
      <c r="E403">
        <f>_xlfn.XLOOKUP($A403,Load!$B:$B,Load!F:F,0,)</f>
        <v>0</v>
      </c>
      <c r="F403">
        <f>_xlfn.XLOOKUP($A403,Load!$B:$B,Load!G:G,0,)</f>
        <v>0</v>
      </c>
      <c r="G403">
        <f>_xlfn.XLOOKUP($A403,Load!$B:$B,Load!H:H,0,)</f>
        <v>0</v>
      </c>
      <c r="H403">
        <f>_xlfn.XLOOKUP($A403,Load!$B:$B,Load!I:I,0,)</f>
        <v>0</v>
      </c>
      <c r="I403">
        <f>_xlfn.XLOOKUP($A403,Load!$B:$B,Load!J:J,0,)</f>
        <v>0</v>
      </c>
      <c r="J403">
        <f>_xlfn.XLOOKUP($A403,Load!$B:$B,Load!K:K,0,)</f>
        <v>0</v>
      </c>
      <c r="K403">
        <f>_xlfn.XLOOKUP($A403,Load!$B:$B,Load!L:L,0,)</f>
        <v>0</v>
      </c>
      <c r="L403">
        <f>_xlfn.XLOOKUP($A403,Load!$B:$B,Load!M:M,0,)</f>
        <v>0</v>
      </c>
    </row>
    <row r="404" spans="1:12" x14ac:dyDescent="0.25">
      <c r="B404">
        <f>_xlfn.XLOOKUP($A404,Load!$B:$B,Load!C:C,0,)</f>
        <v>0</v>
      </c>
      <c r="C404">
        <f>_xlfn.XLOOKUP($A404,Load!$B:$B,Load!D:D,0,)</f>
        <v>0</v>
      </c>
      <c r="D404">
        <f>_xlfn.XLOOKUP($A404,Load!$B:$B,Load!E:E,0,)</f>
        <v>0</v>
      </c>
      <c r="E404">
        <f>_xlfn.XLOOKUP($A404,Load!$B:$B,Load!F:F,0,)</f>
        <v>0</v>
      </c>
      <c r="F404">
        <f>_xlfn.XLOOKUP($A404,Load!$B:$B,Load!G:G,0,)</f>
        <v>0</v>
      </c>
      <c r="G404">
        <f>_xlfn.XLOOKUP($A404,Load!$B:$B,Load!H:H,0,)</f>
        <v>0</v>
      </c>
      <c r="H404">
        <f>_xlfn.XLOOKUP($A404,Load!$B:$B,Load!I:I,0,)</f>
        <v>0</v>
      </c>
      <c r="I404">
        <f>_xlfn.XLOOKUP($A404,Load!$B:$B,Load!J:J,0,)</f>
        <v>0</v>
      </c>
      <c r="J404">
        <f>_xlfn.XLOOKUP($A404,Load!$B:$B,Load!K:K,0,)</f>
        <v>0</v>
      </c>
      <c r="K404">
        <f>_xlfn.XLOOKUP($A404,Load!$B:$B,Load!L:L,0,)</f>
        <v>0</v>
      </c>
      <c r="L404">
        <f>_xlfn.XLOOKUP($A404,Load!$B:$B,Load!M:M,0,)</f>
        <v>0</v>
      </c>
    </row>
    <row r="405" spans="1:12" x14ac:dyDescent="0.25">
      <c r="B405">
        <f>_xlfn.XLOOKUP($A405,Load!$B:$B,Load!C:C,0,)</f>
        <v>0</v>
      </c>
      <c r="C405">
        <f>_xlfn.XLOOKUP($A405,Load!$B:$B,Load!D:D,0,)</f>
        <v>0</v>
      </c>
      <c r="D405">
        <f>_xlfn.XLOOKUP($A405,Load!$B:$B,Load!E:E,0,)</f>
        <v>0</v>
      </c>
      <c r="E405">
        <f>_xlfn.XLOOKUP($A405,Load!$B:$B,Load!F:F,0,)</f>
        <v>0</v>
      </c>
      <c r="F405">
        <f>_xlfn.XLOOKUP($A405,Load!$B:$B,Load!G:G,0,)</f>
        <v>0</v>
      </c>
      <c r="G405">
        <f>_xlfn.XLOOKUP($A405,Load!$B:$B,Load!H:H,0,)</f>
        <v>0</v>
      </c>
      <c r="H405">
        <f>_xlfn.XLOOKUP($A405,Load!$B:$B,Load!I:I,0,)</f>
        <v>0</v>
      </c>
      <c r="I405">
        <f>_xlfn.XLOOKUP($A405,Load!$B:$B,Load!J:J,0,)</f>
        <v>0</v>
      </c>
      <c r="J405">
        <f>_xlfn.XLOOKUP($A405,Load!$B:$B,Load!K:K,0,)</f>
        <v>0</v>
      </c>
      <c r="K405">
        <f>_xlfn.XLOOKUP($A405,Load!$B:$B,Load!L:L,0,)</f>
        <v>0</v>
      </c>
      <c r="L405">
        <f>_xlfn.XLOOKUP($A405,Load!$B:$B,Load!M:M,0,)</f>
        <v>0</v>
      </c>
    </row>
    <row r="406" spans="1:12" x14ac:dyDescent="0.25">
      <c r="A406" t="s">
        <v>214</v>
      </c>
      <c r="B406" t="str">
        <f>_xlfn.XLOOKUP($A406,Load!$B:$B,Load!C:C,0,)</f>
        <v>Mars Variety Pack</v>
      </c>
      <c r="C406" t="str">
        <f>_xlfn.XLOOKUP($A406,Load!$B:$B,Load!D:D,0,)</f>
        <v>Mix of Chocolate and Non-Chocolate Candy</v>
      </c>
      <c r="D406" t="str">
        <f>_xlfn.XLOOKUP($A406,Load!$B:$B,Load!E:E,0,)</f>
        <v>Variety / Mixed Flavors (Fruity, Sour, Seasonal Flavors)</v>
      </c>
      <c r="E406" t="str">
        <f>_xlfn.XLOOKUP($A406,Load!$B:$B,Load!F:F,0,)</f>
        <v>Mixed / Combo Packs (Gummy, Chewy, Taffy, etc.)</v>
      </c>
      <c r="F406" t="str">
        <f>_xlfn.XLOOKUP($A406,Load!$B:$B,Load!G:G,0,)</f>
        <v>Large Multipack (More than 80 ct)</v>
      </c>
      <c r="G406" t="str">
        <f>_xlfn.XLOOKUP($A406,Load!$B:$B,Load!H:H,0,)</f>
        <v>Stand-Up Bag</v>
      </c>
      <c r="H406" t="str">
        <f>_xlfn.XLOOKUP($A406,Load!$B:$B,Load!I:I,0,)</f>
        <v>Everyday Candy Shapes (like Original, Gummy bear, Fruit, Jewels, etc.)</v>
      </c>
      <c r="I406" t="str">
        <f>_xlfn.XLOOKUP($A406,Load!$B:$B,Load!J:J,0,)</f>
        <v>Seasonal Graphics (Like Bat, Ghost, Pumpkin, Fall Leaves, Eyeballs, etc.)</v>
      </c>
      <c r="J406" t="str">
        <f>_xlfn.XLOOKUP($A406,Load!$B:$B,Load!K:K,0,)</f>
        <v>Fun Size / Treat Size</v>
      </c>
      <c r="K406" t="str">
        <f>_xlfn.XLOOKUP($A406,Load!$B:$B,Load!L:L,0,)</f>
        <v>Regular/Original Wrapping</v>
      </c>
      <c r="L406" t="str">
        <f>_xlfn.XLOOKUP($A406,Load!$B:$B,Load!M:M,0,)</f>
        <v>Multiple Brands / Variety Flavors or Form</v>
      </c>
    </row>
    <row r="407" spans="1:12" x14ac:dyDescent="0.25">
      <c r="B407">
        <f>_xlfn.XLOOKUP($A407,Load!$B:$B,Load!C:C,0,)</f>
        <v>0</v>
      </c>
      <c r="C407">
        <f>_xlfn.XLOOKUP($A407,Load!$B:$B,Load!D:D,0,)</f>
        <v>0</v>
      </c>
      <c r="D407">
        <f>_xlfn.XLOOKUP($A407,Load!$B:$B,Load!E:E,0,)</f>
        <v>0</v>
      </c>
      <c r="E407">
        <f>_xlfn.XLOOKUP($A407,Load!$B:$B,Load!F:F,0,)</f>
        <v>0</v>
      </c>
      <c r="F407">
        <f>_xlfn.XLOOKUP($A407,Load!$B:$B,Load!G:G,0,)</f>
        <v>0</v>
      </c>
      <c r="G407">
        <f>_xlfn.XLOOKUP($A407,Load!$B:$B,Load!H:H,0,)</f>
        <v>0</v>
      </c>
      <c r="H407">
        <f>_xlfn.XLOOKUP($A407,Load!$B:$B,Load!I:I,0,)</f>
        <v>0</v>
      </c>
      <c r="I407">
        <f>_xlfn.XLOOKUP($A407,Load!$B:$B,Load!J:J,0,)</f>
        <v>0</v>
      </c>
      <c r="J407">
        <f>_xlfn.XLOOKUP($A407,Load!$B:$B,Load!K:K,0,)</f>
        <v>0</v>
      </c>
      <c r="K407">
        <f>_xlfn.XLOOKUP($A407,Load!$B:$B,Load!L:L,0,)</f>
        <v>0</v>
      </c>
      <c r="L407">
        <f>_xlfn.XLOOKUP($A407,Load!$B:$B,Load!M:M,0,)</f>
        <v>0</v>
      </c>
    </row>
    <row r="408" spans="1:12" x14ac:dyDescent="0.25">
      <c r="B408">
        <f>_xlfn.XLOOKUP($A408,Load!$B:$B,Load!C:C,0,)</f>
        <v>0</v>
      </c>
      <c r="C408">
        <f>_xlfn.XLOOKUP($A408,Load!$B:$B,Load!D:D,0,)</f>
        <v>0</v>
      </c>
      <c r="D408">
        <f>_xlfn.XLOOKUP($A408,Load!$B:$B,Load!E:E,0,)</f>
        <v>0</v>
      </c>
      <c r="E408">
        <f>_xlfn.XLOOKUP($A408,Load!$B:$B,Load!F:F,0,)</f>
        <v>0</v>
      </c>
      <c r="F408">
        <f>_xlfn.XLOOKUP($A408,Load!$B:$B,Load!G:G,0,)</f>
        <v>0</v>
      </c>
      <c r="G408">
        <f>_xlfn.XLOOKUP($A408,Load!$B:$B,Load!H:H,0,)</f>
        <v>0</v>
      </c>
      <c r="H408">
        <f>_xlfn.XLOOKUP($A408,Load!$B:$B,Load!I:I,0,)</f>
        <v>0</v>
      </c>
      <c r="I408">
        <f>_xlfn.XLOOKUP($A408,Load!$B:$B,Load!J:J,0,)</f>
        <v>0</v>
      </c>
      <c r="J408">
        <f>_xlfn.XLOOKUP($A408,Load!$B:$B,Load!K:K,0,)</f>
        <v>0</v>
      </c>
      <c r="K408">
        <f>_xlfn.XLOOKUP($A408,Load!$B:$B,Load!L:L,0,)</f>
        <v>0</v>
      </c>
      <c r="L408">
        <f>_xlfn.XLOOKUP($A408,Load!$B:$B,Load!M:M,0,)</f>
        <v>0</v>
      </c>
    </row>
    <row r="409" spans="1:12" x14ac:dyDescent="0.25">
      <c r="B409">
        <f>_xlfn.XLOOKUP($A409,Load!$B:$B,Load!C:C,0,)</f>
        <v>0</v>
      </c>
      <c r="C409">
        <f>_xlfn.XLOOKUP($A409,Load!$B:$B,Load!D:D,0,)</f>
        <v>0</v>
      </c>
      <c r="D409">
        <f>_xlfn.XLOOKUP($A409,Load!$B:$B,Load!E:E,0,)</f>
        <v>0</v>
      </c>
      <c r="E409">
        <f>_xlfn.XLOOKUP($A409,Load!$B:$B,Load!F:F,0,)</f>
        <v>0</v>
      </c>
      <c r="F409">
        <f>_xlfn.XLOOKUP($A409,Load!$B:$B,Load!G:G,0,)</f>
        <v>0</v>
      </c>
      <c r="G409">
        <f>_xlfn.XLOOKUP($A409,Load!$B:$B,Load!H:H,0,)</f>
        <v>0</v>
      </c>
      <c r="H409">
        <f>_xlfn.XLOOKUP($A409,Load!$B:$B,Load!I:I,0,)</f>
        <v>0</v>
      </c>
      <c r="I409">
        <f>_xlfn.XLOOKUP($A409,Load!$B:$B,Load!J:J,0,)</f>
        <v>0</v>
      </c>
      <c r="J409">
        <f>_xlfn.XLOOKUP($A409,Load!$B:$B,Load!K:K,0,)</f>
        <v>0</v>
      </c>
      <c r="K409">
        <f>_xlfn.XLOOKUP($A409,Load!$B:$B,Load!L:L,0,)</f>
        <v>0</v>
      </c>
      <c r="L409">
        <f>_xlfn.XLOOKUP($A409,Load!$B:$B,Load!M:M,0,)</f>
        <v>0</v>
      </c>
    </row>
    <row r="410" spans="1:12" x14ac:dyDescent="0.25">
      <c r="A410" t="s">
        <v>288</v>
      </c>
      <c r="B410" t="str">
        <f>_xlfn.XLOOKUP($A410,Load!$B:$B,Load!C:C,0,)</f>
        <v>SweeTARTS</v>
      </c>
      <c r="C410" t="str">
        <f>_xlfn.XLOOKUP($A410,Load!$B:$B,Load!D:D,0,)</f>
        <v>Non-Chocolate Candy Only</v>
      </c>
      <c r="D410" t="str">
        <f>_xlfn.XLOOKUP($A410,Load!$B:$B,Load!E:E,0,)</f>
        <v>Variety / Mixed Flavors (Fruity, Sour, Seasonal Flavors)</v>
      </c>
      <c r="E410" t="str">
        <f>_xlfn.XLOOKUP($A410,Load!$B:$B,Load!F:F,0,)</f>
        <v>Mixed / Combo Packs (Gummy, Chewy, Taffy, etc.)</v>
      </c>
      <c r="F410" t="str">
        <f>_xlfn.XLOOKUP($A410,Load!$B:$B,Load!G:G,0,)</f>
        <v>Medium Multipack (40–80 ct)</v>
      </c>
      <c r="G410" t="str">
        <f>_xlfn.XLOOKUP($A410,Load!$B:$B,Load!H:H,0,)</f>
        <v>Stand-Up Bag</v>
      </c>
      <c r="H410" t="str">
        <f>_xlfn.XLOOKUP($A410,Load!$B:$B,Load!I:I,0,)</f>
        <v>Everyday Candy Shapes (like Original, Gummy bear, Fruit, Jewels, etc.)</v>
      </c>
      <c r="I410" t="str">
        <f>_xlfn.XLOOKUP($A410,Load!$B:$B,Load!J:J,0,)</f>
        <v>Seasonal Graphics (Like Bat, Ghost, Pumpkin, Fall Leaves, Eyeballs, etc.)</v>
      </c>
      <c r="J410" t="str">
        <f>_xlfn.XLOOKUP($A410,Load!$B:$B,Load!K:K,0,)</f>
        <v>Small Pieces (Tiny bite size candies)</v>
      </c>
      <c r="K410" t="str">
        <f>_xlfn.XLOOKUP($A410,Load!$B:$B,Load!L:L,0,)</f>
        <v>Regular/Original Wrapping</v>
      </c>
      <c r="L410" t="str">
        <f>_xlfn.XLOOKUP($A410,Load!$B:$B,Load!M:M,0,)</f>
        <v>Single Brand / Variety Flavors or Form</v>
      </c>
    </row>
    <row r="411" spans="1:12" x14ac:dyDescent="0.25">
      <c r="B411">
        <f>_xlfn.XLOOKUP($A411,Load!$B:$B,Load!C:C,0,)</f>
        <v>0</v>
      </c>
      <c r="C411">
        <f>_xlfn.XLOOKUP($A411,Load!$B:$B,Load!D:D,0,)</f>
        <v>0</v>
      </c>
      <c r="D411">
        <f>_xlfn.XLOOKUP($A411,Load!$B:$B,Load!E:E,0,)</f>
        <v>0</v>
      </c>
      <c r="E411">
        <f>_xlfn.XLOOKUP($A411,Load!$B:$B,Load!F:F,0,)</f>
        <v>0</v>
      </c>
      <c r="F411">
        <f>_xlfn.XLOOKUP($A411,Load!$B:$B,Load!G:G,0,)</f>
        <v>0</v>
      </c>
      <c r="G411">
        <f>_xlfn.XLOOKUP($A411,Load!$B:$B,Load!H:H,0,)</f>
        <v>0</v>
      </c>
      <c r="H411">
        <f>_xlfn.XLOOKUP($A411,Load!$B:$B,Load!I:I,0,)</f>
        <v>0</v>
      </c>
      <c r="I411">
        <f>_xlfn.XLOOKUP($A411,Load!$B:$B,Load!J:J,0,)</f>
        <v>0</v>
      </c>
      <c r="J411">
        <f>_xlfn.XLOOKUP($A411,Load!$B:$B,Load!K:K,0,)</f>
        <v>0</v>
      </c>
      <c r="K411">
        <f>_xlfn.XLOOKUP($A411,Load!$B:$B,Load!L:L,0,)</f>
        <v>0</v>
      </c>
      <c r="L411">
        <f>_xlfn.XLOOKUP($A411,Load!$B:$B,Load!M:M,0,)</f>
        <v>0</v>
      </c>
    </row>
    <row r="412" spans="1:12" x14ac:dyDescent="0.25">
      <c r="B412">
        <f>_xlfn.XLOOKUP($A412,Load!$B:$B,Load!C:C,0,)</f>
        <v>0</v>
      </c>
      <c r="C412">
        <f>_xlfn.XLOOKUP($A412,Load!$B:$B,Load!D:D,0,)</f>
        <v>0</v>
      </c>
      <c r="D412">
        <f>_xlfn.XLOOKUP($A412,Load!$B:$B,Load!E:E,0,)</f>
        <v>0</v>
      </c>
      <c r="E412">
        <f>_xlfn.XLOOKUP($A412,Load!$B:$B,Load!F:F,0,)</f>
        <v>0</v>
      </c>
      <c r="F412">
        <f>_xlfn.XLOOKUP($A412,Load!$B:$B,Load!G:G,0,)</f>
        <v>0</v>
      </c>
      <c r="G412">
        <f>_xlfn.XLOOKUP($A412,Load!$B:$B,Load!H:H,0,)</f>
        <v>0</v>
      </c>
      <c r="H412">
        <f>_xlfn.XLOOKUP($A412,Load!$B:$B,Load!I:I,0,)</f>
        <v>0</v>
      </c>
      <c r="I412">
        <f>_xlfn.XLOOKUP($A412,Load!$B:$B,Load!J:J,0,)</f>
        <v>0</v>
      </c>
      <c r="J412">
        <f>_xlfn.XLOOKUP($A412,Load!$B:$B,Load!K:K,0,)</f>
        <v>0</v>
      </c>
      <c r="K412">
        <f>_xlfn.XLOOKUP($A412,Load!$B:$B,Load!L:L,0,)</f>
        <v>0</v>
      </c>
      <c r="L412">
        <f>_xlfn.XLOOKUP($A412,Load!$B:$B,Load!M:M,0,)</f>
        <v>0</v>
      </c>
    </row>
    <row r="413" spans="1:12" x14ac:dyDescent="0.25">
      <c r="B413">
        <f>_xlfn.XLOOKUP($A413,Load!$B:$B,Load!C:C,0,)</f>
        <v>0</v>
      </c>
      <c r="C413">
        <f>_xlfn.XLOOKUP($A413,Load!$B:$B,Load!D:D,0,)</f>
        <v>0</v>
      </c>
      <c r="D413">
        <f>_xlfn.XLOOKUP($A413,Load!$B:$B,Load!E:E,0,)</f>
        <v>0</v>
      </c>
      <c r="E413">
        <f>_xlfn.XLOOKUP($A413,Load!$B:$B,Load!F:F,0,)</f>
        <v>0</v>
      </c>
      <c r="F413">
        <f>_xlfn.XLOOKUP($A413,Load!$B:$B,Load!G:G,0,)</f>
        <v>0</v>
      </c>
      <c r="G413">
        <f>_xlfn.XLOOKUP($A413,Load!$B:$B,Load!H:H,0,)</f>
        <v>0</v>
      </c>
      <c r="H413">
        <f>_xlfn.XLOOKUP($A413,Load!$B:$B,Load!I:I,0,)</f>
        <v>0</v>
      </c>
      <c r="I413">
        <f>_xlfn.XLOOKUP($A413,Load!$B:$B,Load!J:J,0,)</f>
        <v>0</v>
      </c>
      <c r="J413">
        <f>_xlfn.XLOOKUP($A413,Load!$B:$B,Load!K:K,0,)</f>
        <v>0</v>
      </c>
      <c r="K413">
        <f>_xlfn.XLOOKUP($A413,Load!$B:$B,Load!L:L,0,)</f>
        <v>0</v>
      </c>
      <c r="L413">
        <f>_xlfn.XLOOKUP($A413,Load!$B:$B,Load!M:M,0,)</f>
        <v>0</v>
      </c>
    </row>
    <row r="414" spans="1:12" x14ac:dyDescent="0.25">
      <c r="A414" t="s">
        <v>116</v>
      </c>
      <c r="B414" t="str">
        <f>_xlfn.XLOOKUP($A414,Load!$B:$B,Load!C:C,0,)</f>
        <v>George Howe</v>
      </c>
      <c r="C414" t="str">
        <f>_xlfn.XLOOKUP($A414,Load!$B:$B,Load!D:D,0,)</f>
        <v>Mix of Chocolate and Non-Chocolate Candy</v>
      </c>
      <c r="D414" t="str">
        <f>_xlfn.XLOOKUP($A414,Load!$B:$B,Load!E:E,0,)</f>
        <v>Fall / Seasonal Flavors (pumpkin spice, caramel apple, candy corn)</v>
      </c>
      <c r="E414" t="str">
        <f>_xlfn.XLOOKUP($A414,Load!$B:$B,Load!F:F,0,)</f>
        <v>Candy Pieces / Bites</v>
      </c>
      <c r="F414" t="str">
        <f>_xlfn.XLOOKUP($A414,Load!$B:$B,Load!G:G,0,)</f>
        <v>Single Pack</v>
      </c>
      <c r="G414" t="str">
        <f>_xlfn.XLOOKUP($A414,Load!$B:$B,Load!H:H,0,)</f>
        <v>Laydown Bag</v>
      </c>
      <c r="H414" t="str">
        <f>_xlfn.XLOOKUP($A414,Load!$B:$B,Load!I:I,0,)</f>
        <v>Seasonal Shapes (like pumpkins, candy corn, ghost, bats, etc.)</v>
      </c>
      <c r="I414" t="str">
        <f>_xlfn.XLOOKUP($A414,Load!$B:$B,Load!J:J,0,)</f>
        <v>Everyday Graphics</v>
      </c>
      <c r="J414" t="str">
        <f>_xlfn.XLOOKUP($A414,Load!$B:$B,Load!K:K,0,)</f>
        <v>Small Pieces (Tiny bite size candies)</v>
      </c>
      <c r="K414" t="str">
        <f>_xlfn.XLOOKUP($A414,Load!$B:$B,Load!L:L,0,)</f>
        <v>Unwrapped</v>
      </c>
      <c r="L414" t="str">
        <f>_xlfn.XLOOKUP($A414,Load!$B:$B,Load!M:M,0,)</f>
        <v>Single Brand / Variety Flavors or Form</v>
      </c>
    </row>
    <row r="415" spans="1:12" x14ac:dyDescent="0.25">
      <c r="B415">
        <f>_xlfn.XLOOKUP($A415,Load!$B:$B,Load!C:C,0,)</f>
        <v>0</v>
      </c>
      <c r="C415">
        <f>_xlfn.XLOOKUP($A415,Load!$B:$B,Load!D:D,0,)</f>
        <v>0</v>
      </c>
      <c r="D415">
        <f>_xlfn.XLOOKUP($A415,Load!$B:$B,Load!E:E,0,)</f>
        <v>0</v>
      </c>
      <c r="E415">
        <f>_xlfn.XLOOKUP($A415,Load!$B:$B,Load!F:F,0,)</f>
        <v>0</v>
      </c>
      <c r="F415">
        <f>_xlfn.XLOOKUP($A415,Load!$B:$B,Load!G:G,0,)</f>
        <v>0</v>
      </c>
      <c r="G415">
        <f>_xlfn.XLOOKUP($A415,Load!$B:$B,Load!H:H,0,)</f>
        <v>0</v>
      </c>
      <c r="H415">
        <f>_xlfn.XLOOKUP($A415,Load!$B:$B,Load!I:I,0,)</f>
        <v>0</v>
      </c>
      <c r="I415">
        <f>_xlfn.XLOOKUP($A415,Load!$B:$B,Load!J:J,0,)</f>
        <v>0</v>
      </c>
      <c r="J415">
        <f>_xlfn.XLOOKUP($A415,Load!$B:$B,Load!K:K,0,)</f>
        <v>0</v>
      </c>
      <c r="K415">
        <f>_xlfn.XLOOKUP($A415,Load!$B:$B,Load!L:L,0,)</f>
        <v>0</v>
      </c>
      <c r="L415">
        <f>_xlfn.XLOOKUP($A415,Load!$B:$B,Load!M:M,0,)</f>
        <v>0</v>
      </c>
    </row>
    <row r="416" spans="1:12" x14ac:dyDescent="0.25">
      <c r="B416">
        <f>_xlfn.XLOOKUP($A416,Load!$B:$B,Load!C:C,0,)</f>
        <v>0</v>
      </c>
      <c r="C416">
        <f>_xlfn.XLOOKUP($A416,Load!$B:$B,Load!D:D,0,)</f>
        <v>0</v>
      </c>
      <c r="D416">
        <f>_xlfn.XLOOKUP($A416,Load!$B:$B,Load!E:E,0,)</f>
        <v>0</v>
      </c>
      <c r="E416">
        <f>_xlfn.XLOOKUP($A416,Load!$B:$B,Load!F:F,0,)</f>
        <v>0</v>
      </c>
      <c r="F416">
        <f>_xlfn.XLOOKUP($A416,Load!$B:$B,Load!G:G,0,)</f>
        <v>0</v>
      </c>
      <c r="G416">
        <f>_xlfn.XLOOKUP($A416,Load!$B:$B,Load!H:H,0,)</f>
        <v>0</v>
      </c>
      <c r="H416">
        <f>_xlfn.XLOOKUP($A416,Load!$B:$B,Load!I:I,0,)</f>
        <v>0</v>
      </c>
      <c r="I416">
        <f>_xlfn.XLOOKUP($A416,Load!$B:$B,Load!J:J,0,)</f>
        <v>0</v>
      </c>
      <c r="J416">
        <f>_xlfn.XLOOKUP($A416,Load!$B:$B,Load!K:K,0,)</f>
        <v>0</v>
      </c>
      <c r="K416">
        <f>_xlfn.XLOOKUP($A416,Load!$B:$B,Load!L:L,0,)</f>
        <v>0</v>
      </c>
      <c r="L416">
        <f>_xlfn.XLOOKUP($A416,Load!$B:$B,Load!M:M,0,)</f>
        <v>0</v>
      </c>
    </row>
    <row r="417" spans="1:12" x14ac:dyDescent="0.25">
      <c r="B417">
        <f>_xlfn.XLOOKUP($A417,Load!$B:$B,Load!C:C,0,)</f>
        <v>0</v>
      </c>
      <c r="C417">
        <f>_xlfn.XLOOKUP($A417,Load!$B:$B,Load!D:D,0,)</f>
        <v>0</v>
      </c>
      <c r="D417">
        <f>_xlfn.XLOOKUP($A417,Load!$B:$B,Load!E:E,0,)</f>
        <v>0</v>
      </c>
      <c r="E417">
        <f>_xlfn.XLOOKUP($A417,Load!$B:$B,Load!F:F,0,)</f>
        <v>0</v>
      </c>
      <c r="F417">
        <f>_xlfn.XLOOKUP($A417,Load!$B:$B,Load!G:G,0,)</f>
        <v>0</v>
      </c>
      <c r="G417">
        <f>_xlfn.XLOOKUP($A417,Load!$B:$B,Load!H:H,0,)</f>
        <v>0</v>
      </c>
      <c r="H417">
        <f>_xlfn.XLOOKUP($A417,Load!$B:$B,Load!I:I,0,)</f>
        <v>0</v>
      </c>
      <c r="I417">
        <f>_xlfn.XLOOKUP($A417,Load!$B:$B,Load!J:J,0,)</f>
        <v>0</v>
      </c>
      <c r="J417">
        <f>_xlfn.XLOOKUP($A417,Load!$B:$B,Load!K:K,0,)</f>
        <v>0</v>
      </c>
      <c r="K417">
        <f>_xlfn.XLOOKUP($A417,Load!$B:$B,Load!L:L,0,)</f>
        <v>0</v>
      </c>
      <c r="L417">
        <f>_xlfn.XLOOKUP($A417,Load!$B:$B,Load!M:M,0,)</f>
        <v>0</v>
      </c>
    </row>
    <row r="418" spans="1:12" x14ac:dyDescent="0.25">
      <c r="B418">
        <f>_xlfn.XLOOKUP($A418,Load!$B:$B,Load!C:C,0,)</f>
        <v>0</v>
      </c>
      <c r="C418">
        <f>_xlfn.XLOOKUP($A418,Load!$B:$B,Load!D:D,0,)</f>
        <v>0</v>
      </c>
      <c r="D418">
        <f>_xlfn.XLOOKUP($A418,Load!$B:$B,Load!E:E,0,)</f>
        <v>0</v>
      </c>
      <c r="E418">
        <f>_xlfn.XLOOKUP($A418,Load!$B:$B,Load!F:F,0,)</f>
        <v>0</v>
      </c>
      <c r="F418">
        <f>_xlfn.XLOOKUP($A418,Load!$B:$B,Load!G:G,0,)</f>
        <v>0</v>
      </c>
      <c r="G418">
        <f>_xlfn.XLOOKUP($A418,Load!$B:$B,Load!H:H,0,)</f>
        <v>0</v>
      </c>
      <c r="H418">
        <f>_xlfn.XLOOKUP($A418,Load!$B:$B,Load!I:I,0,)</f>
        <v>0</v>
      </c>
      <c r="I418">
        <f>_xlfn.XLOOKUP($A418,Load!$B:$B,Load!J:J,0,)</f>
        <v>0</v>
      </c>
      <c r="J418">
        <f>_xlfn.XLOOKUP($A418,Load!$B:$B,Load!K:K,0,)</f>
        <v>0</v>
      </c>
      <c r="K418">
        <f>_xlfn.XLOOKUP($A418,Load!$B:$B,Load!L:L,0,)</f>
        <v>0</v>
      </c>
      <c r="L418">
        <f>_xlfn.XLOOKUP($A418,Load!$B:$B,Load!M:M,0,)</f>
        <v>0</v>
      </c>
    </row>
    <row r="419" spans="1:12" x14ac:dyDescent="0.25">
      <c r="B419">
        <f>_xlfn.XLOOKUP($A419,Load!$B:$B,Load!C:C,0,)</f>
        <v>0</v>
      </c>
      <c r="C419">
        <f>_xlfn.XLOOKUP($A419,Load!$B:$B,Load!D:D,0,)</f>
        <v>0</v>
      </c>
      <c r="D419">
        <f>_xlfn.XLOOKUP($A419,Load!$B:$B,Load!E:E,0,)</f>
        <v>0</v>
      </c>
      <c r="E419">
        <f>_xlfn.XLOOKUP($A419,Load!$B:$B,Load!F:F,0,)</f>
        <v>0</v>
      </c>
      <c r="F419">
        <f>_xlfn.XLOOKUP($A419,Load!$B:$B,Load!G:G,0,)</f>
        <v>0</v>
      </c>
      <c r="G419">
        <f>_xlfn.XLOOKUP($A419,Load!$B:$B,Load!H:H,0,)</f>
        <v>0</v>
      </c>
      <c r="H419">
        <f>_xlfn.XLOOKUP($A419,Load!$B:$B,Load!I:I,0,)</f>
        <v>0</v>
      </c>
      <c r="I419">
        <f>_xlfn.XLOOKUP($A419,Load!$B:$B,Load!J:J,0,)</f>
        <v>0</v>
      </c>
      <c r="J419">
        <f>_xlfn.XLOOKUP($A419,Load!$B:$B,Load!K:K,0,)</f>
        <v>0</v>
      </c>
      <c r="K419">
        <f>_xlfn.XLOOKUP($A419,Load!$B:$B,Load!L:L,0,)</f>
        <v>0</v>
      </c>
      <c r="L419">
        <f>_xlfn.XLOOKUP($A419,Load!$B:$B,Load!M:M,0,)</f>
        <v>0</v>
      </c>
    </row>
    <row r="420" spans="1:12" x14ac:dyDescent="0.25">
      <c r="B420">
        <f>_xlfn.XLOOKUP($A420,Load!$B:$B,Load!C:C,0,)</f>
        <v>0</v>
      </c>
      <c r="C420">
        <f>_xlfn.XLOOKUP($A420,Load!$B:$B,Load!D:D,0,)</f>
        <v>0</v>
      </c>
      <c r="D420">
        <f>_xlfn.XLOOKUP($A420,Load!$B:$B,Load!E:E,0,)</f>
        <v>0</v>
      </c>
      <c r="E420">
        <f>_xlfn.XLOOKUP($A420,Load!$B:$B,Load!F:F,0,)</f>
        <v>0</v>
      </c>
      <c r="F420">
        <f>_xlfn.XLOOKUP($A420,Load!$B:$B,Load!G:G,0,)</f>
        <v>0</v>
      </c>
      <c r="G420">
        <f>_xlfn.XLOOKUP($A420,Load!$B:$B,Load!H:H,0,)</f>
        <v>0</v>
      </c>
      <c r="H420">
        <f>_xlfn.XLOOKUP($A420,Load!$B:$B,Load!I:I,0,)</f>
        <v>0</v>
      </c>
      <c r="I420">
        <f>_xlfn.XLOOKUP($A420,Load!$B:$B,Load!J:J,0,)</f>
        <v>0</v>
      </c>
      <c r="J420">
        <f>_xlfn.XLOOKUP($A420,Load!$B:$B,Load!K:K,0,)</f>
        <v>0</v>
      </c>
      <c r="K420">
        <f>_xlfn.XLOOKUP($A420,Load!$B:$B,Load!L:L,0,)</f>
        <v>0</v>
      </c>
      <c r="L420">
        <f>_xlfn.XLOOKUP($A420,Load!$B:$B,Load!M:M,0,)</f>
        <v>0</v>
      </c>
    </row>
    <row r="421" spans="1:12" x14ac:dyDescent="0.25">
      <c r="B421">
        <f>_xlfn.XLOOKUP($A421,Load!$B:$B,Load!C:C,0,)</f>
        <v>0</v>
      </c>
      <c r="C421">
        <f>_xlfn.XLOOKUP($A421,Load!$B:$B,Load!D:D,0,)</f>
        <v>0</v>
      </c>
      <c r="D421">
        <f>_xlfn.XLOOKUP($A421,Load!$B:$B,Load!E:E,0,)</f>
        <v>0</v>
      </c>
      <c r="E421">
        <f>_xlfn.XLOOKUP($A421,Load!$B:$B,Load!F:F,0,)</f>
        <v>0</v>
      </c>
      <c r="F421">
        <f>_xlfn.XLOOKUP($A421,Load!$B:$B,Load!G:G,0,)</f>
        <v>0</v>
      </c>
      <c r="G421">
        <f>_xlfn.XLOOKUP($A421,Load!$B:$B,Load!H:H,0,)</f>
        <v>0</v>
      </c>
      <c r="H421">
        <f>_xlfn.XLOOKUP($A421,Load!$B:$B,Load!I:I,0,)</f>
        <v>0</v>
      </c>
      <c r="I421">
        <f>_xlfn.XLOOKUP($A421,Load!$B:$B,Load!J:J,0,)</f>
        <v>0</v>
      </c>
      <c r="J421">
        <f>_xlfn.XLOOKUP($A421,Load!$B:$B,Load!K:K,0,)</f>
        <v>0</v>
      </c>
      <c r="K421">
        <f>_xlfn.XLOOKUP($A421,Load!$B:$B,Load!L:L,0,)</f>
        <v>0</v>
      </c>
      <c r="L421">
        <f>_xlfn.XLOOKUP($A421,Load!$B:$B,Load!M:M,0,)</f>
        <v>0</v>
      </c>
    </row>
    <row r="422" spans="1:12" x14ac:dyDescent="0.25">
      <c r="B422">
        <f>_xlfn.XLOOKUP($A422,Load!$B:$B,Load!C:C,0,)</f>
        <v>0</v>
      </c>
      <c r="C422">
        <f>_xlfn.XLOOKUP($A422,Load!$B:$B,Load!D:D,0,)</f>
        <v>0</v>
      </c>
      <c r="D422">
        <f>_xlfn.XLOOKUP($A422,Load!$B:$B,Load!E:E,0,)</f>
        <v>0</v>
      </c>
      <c r="E422">
        <f>_xlfn.XLOOKUP($A422,Load!$B:$B,Load!F:F,0,)</f>
        <v>0</v>
      </c>
      <c r="F422">
        <f>_xlfn.XLOOKUP($A422,Load!$B:$B,Load!G:G,0,)</f>
        <v>0</v>
      </c>
      <c r="G422">
        <f>_xlfn.XLOOKUP($A422,Load!$B:$B,Load!H:H,0,)</f>
        <v>0</v>
      </c>
      <c r="H422">
        <f>_xlfn.XLOOKUP($A422,Load!$B:$B,Load!I:I,0,)</f>
        <v>0</v>
      </c>
      <c r="I422">
        <f>_xlfn.XLOOKUP($A422,Load!$B:$B,Load!J:J,0,)</f>
        <v>0</v>
      </c>
      <c r="J422">
        <f>_xlfn.XLOOKUP($A422,Load!$B:$B,Load!K:K,0,)</f>
        <v>0</v>
      </c>
      <c r="K422">
        <f>_xlfn.XLOOKUP($A422,Load!$B:$B,Load!L:L,0,)</f>
        <v>0</v>
      </c>
      <c r="L422">
        <f>_xlfn.XLOOKUP($A422,Load!$B:$B,Load!M:M,0,)</f>
        <v>0</v>
      </c>
    </row>
    <row r="423" spans="1:12" x14ac:dyDescent="0.25">
      <c r="B423">
        <f>_xlfn.XLOOKUP($A423,Load!$B:$B,Load!C:C,0,)</f>
        <v>0</v>
      </c>
      <c r="C423">
        <f>_xlfn.XLOOKUP($A423,Load!$B:$B,Load!D:D,0,)</f>
        <v>0</v>
      </c>
      <c r="D423">
        <f>_xlfn.XLOOKUP($A423,Load!$B:$B,Load!E:E,0,)</f>
        <v>0</v>
      </c>
      <c r="E423">
        <f>_xlfn.XLOOKUP($A423,Load!$B:$B,Load!F:F,0,)</f>
        <v>0</v>
      </c>
      <c r="F423">
        <f>_xlfn.XLOOKUP($A423,Load!$B:$B,Load!G:G,0,)</f>
        <v>0</v>
      </c>
      <c r="G423">
        <f>_xlfn.XLOOKUP($A423,Load!$B:$B,Load!H:H,0,)</f>
        <v>0</v>
      </c>
      <c r="H423">
        <f>_xlfn.XLOOKUP($A423,Load!$B:$B,Load!I:I,0,)</f>
        <v>0</v>
      </c>
      <c r="I423">
        <f>_xlfn.XLOOKUP($A423,Load!$B:$B,Load!J:J,0,)</f>
        <v>0</v>
      </c>
      <c r="J423">
        <f>_xlfn.XLOOKUP($A423,Load!$B:$B,Load!K:K,0,)</f>
        <v>0</v>
      </c>
      <c r="K423">
        <f>_xlfn.XLOOKUP($A423,Load!$B:$B,Load!L:L,0,)</f>
        <v>0</v>
      </c>
      <c r="L423">
        <f>_xlfn.XLOOKUP($A423,Load!$B:$B,Load!M:M,0,)</f>
        <v>0</v>
      </c>
    </row>
    <row r="424" spans="1:12" x14ac:dyDescent="0.25">
      <c r="A424" t="s">
        <v>280</v>
      </c>
      <c r="B424" t="str">
        <f>_xlfn.XLOOKUP($A424,Load!$B:$B,Load!C:C,0,)</f>
        <v>Sour Patch Kids</v>
      </c>
      <c r="C424" t="str">
        <f>_xlfn.XLOOKUP($A424,Load!$B:$B,Load!D:D,0,)</f>
        <v>Non-Chocolate Candy Only</v>
      </c>
      <c r="D424" t="str">
        <f>_xlfn.XLOOKUP($A424,Load!$B:$B,Load!E:E,0,)</f>
        <v>Sour</v>
      </c>
      <c r="E424" t="str">
        <f>_xlfn.XLOOKUP($A424,Load!$B:$B,Load!F:F,0,)</f>
        <v>Chewy</v>
      </c>
      <c r="F424" t="str">
        <f>_xlfn.XLOOKUP($A424,Load!$B:$B,Load!G:G,0,)</f>
        <v>Medium Multipack (40–80 ct)</v>
      </c>
      <c r="G424" t="str">
        <f>_xlfn.XLOOKUP($A424,Load!$B:$B,Load!H:H,0,)</f>
        <v>Laydown Bag</v>
      </c>
      <c r="H424" t="str">
        <f>_xlfn.XLOOKUP($A424,Load!$B:$B,Load!I:I,0,)</f>
        <v>Seasonal Shapes (like pumpkins, candy corn, ghost, bats, etc.)</v>
      </c>
      <c r="I424" t="str">
        <f>_xlfn.XLOOKUP($A424,Load!$B:$B,Load!J:J,0,)</f>
        <v>Seasonal Graphics (Like Bat, Ghost, Pumpkin, Fall Leaves, Eyeballs, etc.)</v>
      </c>
      <c r="J424" t="str">
        <f>_xlfn.XLOOKUP($A424,Load!$B:$B,Load!K:K,0,)</f>
        <v>Small Pieces (Tiny bite size candies)</v>
      </c>
      <c r="K424" t="str">
        <f>_xlfn.XLOOKUP($A424,Load!$B:$B,Load!L:L,0,)</f>
        <v>Regular/Original Wrapping</v>
      </c>
      <c r="L424" t="str">
        <f>_xlfn.XLOOKUP($A424,Load!$B:$B,Load!M:M,0,)</f>
        <v>Single Brand / Variety Flavors or Form</v>
      </c>
    </row>
    <row r="425" spans="1:12" x14ac:dyDescent="0.25">
      <c r="A425" t="s">
        <v>276</v>
      </c>
      <c r="B425" t="str">
        <f>_xlfn.XLOOKUP($A425,Load!$B:$B,Load!C:C,0,)</f>
        <v>Sour Patch Kids</v>
      </c>
      <c r="C425" t="str">
        <f>_xlfn.XLOOKUP($A425,Load!$B:$B,Load!D:D,0,)</f>
        <v>Non-Chocolate Candy Only</v>
      </c>
      <c r="D425" t="str">
        <f>_xlfn.XLOOKUP($A425,Load!$B:$B,Load!E:E,0,)</f>
        <v>Sour</v>
      </c>
      <c r="E425" t="str">
        <f>_xlfn.XLOOKUP($A425,Load!$B:$B,Load!F:F,0,)</f>
        <v>Chewy</v>
      </c>
      <c r="F425" t="str">
        <f>_xlfn.XLOOKUP($A425,Load!$B:$B,Load!G:G,0,)</f>
        <v>Small Multipack (Less than 40 ct)</v>
      </c>
      <c r="G425" t="str">
        <f>_xlfn.XLOOKUP($A425,Load!$B:$B,Load!H:H,0,)</f>
        <v>Stand-Up Bag</v>
      </c>
      <c r="H425" t="str">
        <f>_xlfn.XLOOKUP($A425,Load!$B:$B,Load!I:I,0,)</f>
        <v>Everyday Candy Shapes (like Original, Gummy bear, Fruit, Jewels, etc.)</v>
      </c>
      <c r="I425" t="str">
        <f>_xlfn.XLOOKUP($A425,Load!$B:$B,Load!J:J,0,)</f>
        <v>Seasonal Graphics (Like Bat, Ghost, Pumpkin, Fall Leaves, Eyeballs, etc.)</v>
      </c>
      <c r="J425" t="str">
        <f>_xlfn.XLOOKUP($A425,Load!$B:$B,Load!K:K,0,)</f>
        <v>Small Pieces (Tiny bite size candies)</v>
      </c>
      <c r="K425" t="str">
        <f>_xlfn.XLOOKUP($A425,Load!$B:$B,Load!L:L,0,)</f>
        <v>Unwrapped</v>
      </c>
      <c r="L425" t="str">
        <f>_xlfn.XLOOKUP($A425,Load!$B:$B,Load!M:M,0,)</f>
        <v>Single Brand / Single Flavor or Form</v>
      </c>
    </row>
    <row r="426" spans="1:12" x14ac:dyDescent="0.25">
      <c r="B426">
        <f>_xlfn.XLOOKUP($A426,Load!$B:$B,Load!C:C,0,)</f>
        <v>0</v>
      </c>
      <c r="C426">
        <f>_xlfn.XLOOKUP($A426,Load!$B:$B,Load!D:D,0,)</f>
        <v>0</v>
      </c>
      <c r="D426">
        <f>_xlfn.XLOOKUP($A426,Load!$B:$B,Load!E:E,0,)</f>
        <v>0</v>
      </c>
      <c r="E426">
        <f>_xlfn.XLOOKUP($A426,Load!$B:$B,Load!F:F,0,)</f>
        <v>0</v>
      </c>
      <c r="F426">
        <f>_xlfn.XLOOKUP($A426,Load!$B:$B,Load!G:G,0,)</f>
        <v>0</v>
      </c>
      <c r="G426">
        <f>_xlfn.XLOOKUP($A426,Load!$B:$B,Load!H:H,0,)</f>
        <v>0</v>
      </c>
      <c r="H426">
        <f>_xlfn.XLOOKUP($A426,Load!$B:$B,Load!I:I,0,)</f>
        <v>0</v>
      </c>
      <c r="I426">
        <f>_xlfn.XLOOKUP($A426,Load!$B:$B,Load!J:J,0,)</f>
        <v>0</v>
      </c>
      <c r="J426">
        <f>_xlfn.XLOOKUP($A426,Load!$B:$B,Load!K:K,0,)</f>
        <v>0</v>
      </c>
      <c r="K426">
        <f>_xlfn.XLOOKUP($A426,Load!$B:$B,Load!L:L,0,)</f>
        <v>0</v>
      </c>
      <c r="L426">
        <f>_xlfn.XLOOKUP($A426,Load!$B:$B,Load!M:M,0,)</f>
        <v>0</v>
      </c>
    </row>
    <row r="427" spans="1:12" x14ac:dyDescent="0.25">
      <c r="B427">
        <f>_xlfn.XLOOKUP($A427,Load!$B:$B,Load!C:C,0,)</f>
        <v>0</v>
      </c>
      <c r="C427">
        <f>_xlfn.XLOOKUP($A427,Load!$B:$B,Load!D:D,0,)</f>
        <v>0</v>
      </c>
      <c r="D427">
        <f>_xlfn.XLOOKUP($A427,Load!$B:$B,Load!E:E,0,)</f>
        <v>0</v>
      </c>
      <c r="E427">
        <f>_xlfn.XLOOKUP($A427,Load!$B:$B,Load!F:F,0,)</f>
        <v>0</v>
      </c>
      <c r="F427">
        <f>_xlfn.XLOOKUP($A427,Load!$B:$B,Load!G:G,0,)</f>
        <v>0</v>
      </c>
      <c r="G427">
        <f>_xlfn.XLOOKUP($A427,Load!$B:$B,Load!H:H,0,)</f>
        <v>0</v>
      </c>
      <c r="H427">
        <f>_xlfn.XLOOKUP($A427,Load!$B:$B,Load!I:I,0,)</f>
        <v>0</v>
      </c>
      <c r="I427">
        <f>_xlfn.XLOOKUP($A427,Load!$B:$B,Load!J:J,0,)</f>
        <v>0</v>
      </c>
      <c r="J427">
        <f>_xlfn.XLOOKUP($A427,Load!$B:$B,Load!K:K,0,)</f>
        <v>0</v>
      </c>
      <c r="K427">
        <f>_xlfn.XLOOKUP($A427,Load!$B:$B,Load!L:L,0,)</f>
        <v>0</v>
      </c>
      <c r="L427">
        <f>_xlfn.XLOOKUP($A427,Load!$B:$B,Load!M:M,0,)</f>
        <v>0</v>
      </c>
    </row>
    <row r="428" spans="1:12" x14ac:dyDescent="0.25">
      <c r="B428">
        <f>_xlfn.XLOOKUP($A428,Load!$B:$B,Load!C:C,0,)</f>
        <v>0</v>
      </c>
      <c r="C428">
        <f>_xlfn.XLOOKUP($A428,Load!$B:$B,Load!D:D,0,)</f>
        <v>0</v>
      </c>
      <c r="D428">
        <f>_xlfn.XLOOKUP($A428,Load!$B:$B,Load!E:E,0,)</f>
        <v>0</v>
      </c>
      <c r="E428">
        <f>_xlfn.XLOOKUP($A428,Load!$B:$B,Load!F:F,0,)</f>
        <v>0</v>
      </c>
      <c r="F428">
        <f>_xlfn.XLOOKUP($A428,Load!$B:$B,Load!G:G,0,)</f>
        <v>0</v>
      </c>
      <c r="G428">
        <f>_xlfn.XLOOKUP($A428,Load!$B:$B,Load!H:H,0,)</f>
        <v>0</v>
      </c>
      <c r="H428">
        <f>_xlfn.XLOOKUP($A428,Load!$B:$B,Load!I:I,0,)</f>
        <v>0</v>
      </c>
      <c r="I428">
        <f>_xlfn.XLOOKUP($A428,Load!$B:$B,Load!J:J,0,)</f>
        <v>0</v>
      </c>
      <c r="J428">
        <f>_xlfn.XLOOKUP($A428,Load!$B:$B,Load!K:K,0,)</f>
        <v>0</v>
      </c>
      <c r="K428">
        <f>_xlfn.XLOOKUP($A428,Load!$B:$B,Load!L:L,0,)</f>
        <v>0</v>
      </c>
      <c r="L428">
        <f>_xlfn.XLOOKUP($A428,Load!$B:$B,Load!M:M,0,)</f>
        <v>0</v>
      </c>
    </row>
    <row r="429" spans="1:12" x14ac:dyDescent="0.25">
      <c r="B429">
        <f>_xlfn.XLOOKUP($A429,Load!$B:$B,Load!C:C,0,)</f>
        <v>0</v>
      </c>
      <c r="C429">
        <f>_xlfn.XLOOKUP($A429,Load!$B:$B,Load!D:D,0,)</f>
        <v>0</v>
      </c>
      <c r="D429">
        <f>_xlfn.XLOOKUP($A429,Load!$B:$B,Load!E:E,0,)</f>
        <v>0</v>
      </c>
      <c r="E429">
        <f>_xlfn.XLOOKUP($A429,Load!$B:$B,Load!F:F,0,)</f>
        <v>0</v>
      </c>
      <c r="F429">
        <f>_xlfn.XLOOKUP($A429,Load!$B:$B,Load!G:G,0,)</f>
        <v>0</v>
      </c>
      <c r="G429">
        <f>_xlfn.XLOOKUP($A429,Load!$B:$B,Load!H:H,0,)</f>
        <v>0</v>
      </c>
      <c r="H429">
        <f>_xlfn.XLOOKUP($A429,Load!$B:$B,Load!I:I,0,)</f>
        <v>0</v>
      </c>
      <c r="I429">
        <f>_xlfn.XLOOKUP($A429,Load!$B:$B,Load!J:J,0,)</f>
        <v>0</v>
      </c>
      <c r="J429">
        <f>_xlfn.XLOOKUP($A429,Load!$B:$B,Load!K:K,0,)</f>
        <v>0</v>
      </c>
      <c r="K429">
        <f>_xlfn.XLOOKUP($A429,Load!$B:$B,Load!L:L,0,)</f>
        <v>0</v>
      </c>
      <c r="L429">
        <f>_xlfn.XLOOKUP($A429,Load!$B:$B,Load!M:M,0,)</f>
        <v>0</v>
      </c>
    </row>
    <row r="430" spans="1:12" x14ac:dyDescent="0.25">
      <c r="B430">
        <f>_xlfn.XLOOKUP($A430,Load!$B:$B,Load!C:C,0,)</f>
        <v>0</v>
      </c>
      <c r="C430">
        <f>_xlfn.XLOOKUP($A430,Load!$B:$B,Load!D:D,0,)</f>
        <v>0</v>
      </c>
      <c r="D430">
        <f>_xlfn.XLOOKUP($A430,Load!$B:$B,Load!E:E,0,)</f>
        <v>0</v>
      </c>
      <c r="E430">
        <f>_xlfn.XLOOKUP($A430,Load!$B:$B,Load!F:F,0,)</f>
        <v>0</v>
      </c>
      <c r="F430">
        <f>_xlfn.XLOOKUP($A430,Load!$B:$B,Load!G:G,0,)</f>
        <v>0</v>
      </c>
      <c r="G430">
        <f>_xlfn.XLOOKUP($A430,Load!$B:$B,Load!H:H,0,)</f>
        <v>0</v>
      </c>
      <c r="H430">
        <f>_xlfn.XLOOKUP($A430,Load!$B:$B,Load!I:I,0,)</f>
        <v>0</v>
      </c>
      <c r="I430">
        <f>_xlfn.XLOOKUP($A430,Load!$B:$B,Load!J:J,0,)</f>
        <v>0</v>
      </c>
      <c r="J430">
        <f>_xlfn.XLOOKUP($A430,Load!$B:$B,Load!K:K,0,)</f>
        <v>0</v>
      </c>
      <c r="K430">
        <f>_xlfn.XLOOKUP($A430,Load!$B:$B,Load!L:L,0,)</f>
        <v>0</v>
      </c>
      <c r="L430">
        <f>_xlfn.XLOOKUP($A430,Load!$B:$B,Load!M:M,0,)</f>
        <v>0</v>
      </c>
    </row>
    <row r="431" spans="1:12" x14ac:dyDescent="0.25">
      <c r="B431">
        <f>_xlfn.XLOOKUP($A431,Load!$B:$B,Load!C:C,0,)</f>
        <v>0</v>
      </c>
      <c r="C431">
        <f>_xlfn.XLOOKUP($A431,Load!$B:$B,Load!D:D,0,)</f>
        <v>0</v>
      </c>
      <c r="D431">
        <f>_xlfn.XLOOKUP($A431,Load!$B:$B,Load!E:E,0,)</f>
        <v>0</v>
      </c>
      <c r="E431">
        <f>_xlfn.XLOOKUP($A431,Load!$B:$B,Load!F:F,0,)</f>
        <v>0</v>
      </c>
      <c r="F431">
        <f>_xlfn.XLOOKUP($A431,Load!$B:$B,Load!G:G,0,)</f>
        <v>0</v>
      </c>
      <c r="G431">
        <f>_xlfn.XLOOKUP($A431,Load!$B:$B,Load!H:H,0,)</f>
        <v>0</v>
      </c>
      <c r="H431">
        <f>_xlfn.XLOOKUP($A431,Load!$B:$B,Load!I:I,0,)</f>
        <v>0</v>
      </c>
      <c r="I431">
        <f>_xlfn.XLOOKUP($A431,Load!$B:$B,Load!J:J,0,)</f>
        <v>0</v>
      </c>
      <c r="J431">
        <f>_xlfn.XLOOKUP($A431,Load!$B:$B,Load!K:K,0,)</f>
        <v>0</v>
      </c>
      <c r="K431">
        <f>_xlfn.XLOOKUP($A431,Load!$B:$B,Load!L:L,0,)</f>
        <v>0</v>
      </c>
      <c r="L431">
        <f>_xlfn.XLOOKUP($A431,Load!$B:$B,Load!M:M,0,)</f>
        <v>0</v>
      </c>
    </row>
    <row r="432" spans="1:12" x14ac:dyDescent="0.25">
      <c r="B432">
        <f>_xlfn.XLOOKUP($A432,Load!$B:$B,Load!C:C,0,)</f>
        <v>0</v>
      </c>
      <c r="C432">
        <f>_xlfn.XLOOKUP($A432,Load!$B:$B,Load!D:D,0,)</f>
        <v>0</v>
      </c>
      <c r="D432">
        <f>_xlfn.XLOOKUP($A432,Load!$B:$B,Load!E:E,0,)</f>
        <v>0</v>
      </c>
      <c r="E432">
        <f>_xlfn.XLOOKUP($A432,Load!$B:$B,Load!F:F,0,)</f>
        <v>0</v>
      </c>
      <c r="F432">
        <f>_xlfn.XLOOKUP($A432,Load!$B:$B,Load!G:G,0,)</f>
        <v>0</v>
      </c>
      <c r="G432">
        <f>_xlfn.XLOOKUP($A432,Load!$B:$B,Load!H:H,0,)</f>
        <v>0</v>
      </c>
      <c r="H432">
        <f>_xlfn.XLOOKUP($A432,Load!$B:$B,Load!I:I,0,)</f>
        <v>0</v>
      </c>
      <c r="I432">
        <f>_xlfn.XLOOKUP($A432,Load!$B:$B,Load!J:J,0,)</f>
        <v>0</v>
      </c>
      <c r="J432">
        <f>_xlfn.XLOOKUP($A432,Load!$B:$B,Load!K:K,0,)</f>
        <v>0</v>
      </c>
      <c r="K432">
        <f>_xlfn.XLOOKUP($A432,Load!$B:$B,Load!L:L,0,)</f>
        <v>0</v>
      </c>
      <c r="L432">
        <f>_xlfn.XLOOKUP($A432,Load!$B:$B,Load!M:M,0,)</f>
        <v>0</v>
      </c>
    </row>
    <row r="433" spans="1:12" x14ac:dyDescent="0.25">
      <c r="B433">
        <f>_xlfn.XLOOKUP($A433,Load!$B:$B,Load!C:C,0,)</f>
        <v>0</v>
      </c>
      <c r="C433">
        <f>_xlfn.XLOOKUP($A433,Load!$B:$B,Load!D:D,0,)</f>
        <v>0</v>
      </c>
      <c r="D433">
        <f>_xlfn.XLOOKUP($A433,Load!$B:$B,Load!E:E,0,)</f>
        <v>0</v>
      </c>
      <c r="E433">
        <f>_xlfn.XLOOKUP($A433,Load!$B:$B,Load!F:F,0,)</f>
        <v>0</v>
      </c>
      <c r="F433">
        <f>_xlfn.XLOOKUP($A433,Load!$B:$B,Load!G:G,0,)</f>
        <v>0</v>
      </c>
      <c r="G433">
        <f>_xlfn.XLOOKUP($A433,Load!$B:$B,Load!H:H,0,)</f>
        <v>0</v>
      </c>
      <c r="H433">
        <f>_xlfn.XLOOKUP($A433,Load!$B:$B,Load!I:I,0,)</f>
        <v>0</v>
      </c>
      <c r="I433">
        <f>_xlfn.XLOOKUP($A433,Load!$B:$B,Load!J:J,0,)</f>
        <v>0</v>
      </c>
      <c r="J433">
        <f>_xlfn.XLOOKUP($A433,Load!$B:$B,Load!K:K,0,)</f>
        <v>0</v>
      </c>
      <c r="K433">
        <f>_xlfn.XLOOKUP($A433,Load!$B:$B,Load!L:L,0,)</f>
        <v>0</v>
      </c>
      <c r="L433">
        <f>_xlfn.XLOOKUP($A433,Load!$B:$B,Load!M:M,0,)</f>
        <v>0</v>
      </c>
    </row>
    <row r="434" spans="1:12" x14ac:dyDescent="0.25">
      <c r="B434">
        <f>_xlfn.XLOOKUP($A434,Load!$B:$B,Load!C:C,0,)</f>
        <v>0</v>
      </c>
      <c r="C434">
        <f>_xlfn.XLOOKUP($A434,Load!$B:$B,Load!D:D,0,)</f>
        <v>0</v>
      </c>
      <c r="D434">
        <f>_xlfn.XLOOKUP($A434,Load!$B:$B,Load!E:E,0,)</f>
        <v>0</v>
      </c>
      <c r="E434">
        <f>_xlfn.XLOOKUP($A434,Load!$B:$B,Load!F:F,0,)</f>
        <v>0</v>
      </c>
      <c r="F434">
        <f>_xlfn.XLOOKUP($A434,Load!$B:$B,Load!G:G,0,)</f>
        <v>0</v>
      </c>
      <c r="G434">
        <f>_xlfn.XLOOKUP($A434,Load!$B:$B,Load!H:H,0,)</f>
        <v>0</v>
      </c>
      <c r="H434">
        <f>_xlfn.XLOOKUP($A434,Load!$B:$B,Load!I:I,0,)</f>
        <v>0</v>
      </c>
      <c r="I434">
        <f>_xlfn.XLOOKUP($A434,Load!$B:$B,Load!J:J,0,)</f>
        <v>0</v>
      </c>
      <c r="J434">
        <f>_xlfn.XLOOKUP($A434,Load!$B:$B,Load!K:K,0,)</f>
        <v>0</v>
      </c>
      <c r="K434">
        <f>_xlfn.XLOOKUP($A434,Load!$B:$B,Load!L:L,0,)</f>
        <v>0</v>
      </c>
      <c r="L434">
        <f>_xlfn.XLOOKUP($A434,Load!$B:$B,Load!M:M,0,)</f>
        <v>0</v>
      </c>
    </row>
    <row r="435" spans="1:12" x14ac:dyDescent="0.25">
      <c r="B435">
        <f>_xlfn.XLOOKUP($A435,Load!$B:$B,Load!C:C,0,)</f>
        <v>0</v>
      </c>
      <c r="C435">
        <f>_xlfn.XLOOKUP($A435,Load!$B:$B,Load!D:D,0,)</f>
        <v>0</v>
      </c>
      <c r="D435">
        <f>_xlfn.XLOOKUP($A435,Load!$B:$B,Load!E:E,0,)</f>
        <v>0</v>
      </c>
      <c r="E435">
        <f>_xlfn.XLOOKUP($A435,Load!$B:$B,Load!F:F,0,)</f>
        <v>0</v>
      </c>
      <c r="F435">
        <f>_xlfn.XLOOKUP($A435,Load!$B:$B,Load!G:G,0,)</f>
        <v>0</v>
      </c>
      <c r="G435">
        <f>_xlfn.XLOOKUP($A435,Load!$B:$B,Load!H:H,0,)</f>
        <v>0</v>
      </c>
      <c r="H435">
        <f>_xlfn.XLOOKUP($A435,Load!$B:$B,Load!I:I,0,)</f>
        <v>0</v>
      </c>
      <c r="I435">
        <f>_xlfn.XLOOKUP($A435,Load!$B:$B,Load!J:J,0,)</f>
        <v>0</v>
      </c>
      <c r="J435">
        <f>_xlfn.XLOOKUP($A435,Load!$B:$B,Load!K:K,0,)</f>
        <v>0</v>
      </c>
      <c r="K435">
        <f>_xlfn.XLOOKUP($A435,Load!$B:$B,Load!L:L,0,)</f>
        <v>0</v>
      </c>
      <c r="L435">
        <f>_xlfn.XLOOKUP($A435,Load!$B:$B,Load!M:M,0,)</f>
        <v>0</v>
      </c>
    </row>
    <row r="436" spans="1:12" x14ac:dyDescent="0.25">
      <c r="A436" t="s">
        <v>240</v>
      </c>
      <c r="B436" t="str">
        <f>_xlfn.XLOOKUP($A436,Load!$B:$B,Load!C:C,0,)</f>
        <v>Peeps</v>
      </c>
      <c r="C436" t="str">
        <f>_xlfn.XLOOKUP($A436,Load!$B:$B,Load!D:D,0,)</f>
        <v>Non-Chocolate Candy Only</v>
      </c>
      <c r="D436" t="str">
        <f>_xlfn.XLOOKUP($A436,Load!$B:$B,Load!E:E,0,)</f>
        <v>Sweet</v>
      </c>
      <c r="E436" t="str">
        <f>_xlfn.XLOOKUP($A436,Load!$B:$B,Load!F:F,0,)</f>
        <v>Foamy / Aerated / Freeze Dried</v>
      </c>
      <c r="F436" t="str">
        <f>_xlfn.XLOOKUP($A436,Load!$B:$B,Load!G:G,0,)</f>
        <v>Single Pack</v>
      </c>
      <c r="G436" t="str">
        <f>_xlfn.XLOOKUP($A436,Load!$B:$B,Load!H:H,0,)</f>
        <v>Box (theatre box, gift box, carton)</v>
      </c>
      <c r="H436" t="str">
        <f>_xlfn.XLOOKUP($A436,Load!$B:$B,Load!I:I,0,)</f>
        <v>Seasonal Shapes (like pumpkins, candy corn, ghost, bats, etc.)</v>
      </c>
      <c r="I436" t="str">
        <f>_xlfn.XLOOKUP($A436,Load!$B:$B,Load!J:J,0,)</f>
        <v>Seasonal Graphics (Like Bat, Ghost, Pumpkin, Fall Leaves, Eyeballs, etc.)</v>
      </c>
      <c r="J436" t="str">
        <f>_xlfn.XLOOKUP($A436,Load!$B:$B,Load!K:K,0,)</f>
        <v>Fun Size / Treat Size</v>
      </c>
      <c r="K436" t="str">
        <f>_xlfn.XLOOKUP($A436,Load!$B:$B,Load!L:L,0,)</f>
        <v>Unwrapped</v>
      </c>
      <c r="L436" t="str">
        <f>_xlfn.XLOOKUP($A436,Load!$B:$B,Load!M:M,0,)</f>
        <v>Single Brand / Single Flavor or Form</v>
      </c>
    </row>
    <row r="437" spans="1:12" x14ac:dyDescent="0.25">
      <c r="A437" t="s">
        <v>226</v>
      </c>
      <c r="B437" t="str">
        <f>_xlfn.XLOOKUP($A437,Load!$B:$B,Load!C:C,0,)</f>
        <v>Nerds</v>
      </c>
      <c r="C437" t="str">
        <f>_xlfn.XLOOKUP($A437,Load!$B:$B,Load!D:D,0,)</f>
        <v>Non-Chocolate Candy Only</v>
      </c>
      <c r="D437" t="str">
        <f>_xlfn.XLOOKUP($A437,Load!$B:$B,Load!E:E,0,)</f>
        <v>Sweet</v>
      </c>
      <c r="E437" t="str">
        <f>_xlfn.XLOOKUP($A437,Load!$B:$B,Load!F:F,0,)</f>
        <v>Gummy</v>
      </c>
      <c r="F437" t="str">
        <f>_xlfn.XLOOKUP($A437,Load!$B:$B,Load!G:G,0,)</f>
        <v>Single Pack</v>
      </c>
      <c r="G437" t="str">
        <f>_xlfn.XLOOKUP($A437,Load!$B:$B,Load!H:H,0,)</f>
        <v>Laydown Bag</v>
      </c>
      <c r="H437" t="str">
        <f>_xlfn.XLOOKUP($A437,Load!$B:$B,Load!I:I,0,)</f>
        <v>Seasonal Shapes (like pumpkins, candy corn, ghost, bats, etc.)</v>
      </c>
      <c r="I437" t="str">
        <f>_xlfn.XLOOKUP($A437,Load!$B:$B,Load!J:J,0,)</f>
        <v>Seasonal Graphics (Like Bat, Ghost, Pumpkin, Fall Leaves, Eyeballs, etc.)</v>
      </c>
      <c r="J437" t="str">
        <f>_xlfn.XLOOKUP($A437,Load!$B:$B,Load!K:K,0,)</f>
        <v>Fun Size / Treat Size</v>
      </c>
      <c r="K437" t="str">
        <f>_xlfn.XLOOKUP($A437,Load!$B:$B,Load!L:L,0,)</f>
        <v>Unwrapped</v>
      </c>
      <c r="L437" t="str">
        <f>_xlfn.XLOOKUP($A437,Load!$B:$B,Load!M:M,0,)</f>
        <v>Single Brand / Single Flavor or Form</v>
      </c>
    </row>
    <row r="438" spans="1:12" x14ac:dyDescent="0.25">
      <c r="A438" t="s">
        <v>299</v>
      </c>
      <c r="B438" t="str">
        <f>_xlfn.XLOOKUP($A438,Load!$B:$B,Load!C:C,0,)</f>
        <v>Twizzlers</v>
      </c>
      <c r="C438" t="str">
        <f>_xlfn.XLOOKUP($A438,Load!$B:$B,Load!D:D,0,)</f>
        <v>Non-Chocolate Candy Only</v>
      </c>
      <c r="D438" t="str">
        <f>_xlfn.XLOOKUP($A438,Load!$B:$B,Load!E:E,0,)</f>
        <v>Fruit Flavor (Cherry, Grape, Apple, Citrus, Tropical Fruit)</v>
      </c>
      <c r="E438" t="str">
        <f>_xlfn.XLOOKUP($A438,Load!$B:$B,Load!F:F,0,)</f>
        <v>Chewy</v>
      </c>
      <c r="F438" t="str">
        <f>_xlfn.XLOOKUP($A438,Load!$B:$B,Load!G:G,0,)</f>
        <v>Single Pack</v>
      </c>
      <c r="G438" t="str">
        <f>_xlfn.XLOOKUP($A438,Load!$B:$B,Load!H:H,0,)</f>
        <v>Stand-Up Bag</v>
      </c>
      <c r="H438" t="str">
        <f>_xlfn.XLOOKUP($A438,Load!$B:$B,Load!I:I,0,)</f>
        <v>Seasonal Shapes (like pumpkins, candy corn, ghost, bats, etc.)</v>
      </c>
      <c r="I438" t="str">
        <f>_xlfn.XLOOKUP($A438,Load!$B:$B,Load!J:J,0,)</f>
        <v>Seasonal Graphics (Like Bat, Ghost, Pumpkin, Fall Leaves, Eyeballs, etc.)</v>
      </c>
      <c r="J438" t="str">
        <f>_xlfn.XLOOKUP($A438,Load!$B:$B,Load!K:K,0,)</f>
        <v>Fun Size / Treat Size</v>
      </c>
      <c r="K438" t="str">
        <f>_xlfn.XLOOKUP($A438,Load!$B:$B,Load!L:L,0,)</f>
        <v>Unwrapped</v>
      </c>
      <c r="L438" t="str">
        <f>_xlfn.XLOOKUP($A438,Load!$B:$B,Load!M:M,0,)</f>
        <v>Single Brand / Single Flavor or Form</v>
      </c>
    </row>
    <row r="439" spans="1:12" x14ac:dyDescent="0.25">
      <c r="A439" t="s">
        <v>48</v>
      </c>
      <c r="B439" t="str">
        <f>_xlfn.XLOOKUP($A439,Load!$B:$B,Load!C:C,0,)</f>
        <v>Brach's</v>
      </c>
      <c r="C439" t="str">
        <f>_xlfn.XLOOKUP($A439,Load!$B:$B,Load!D:D,0,)</f>
        <v>Non-Chocolate Candy Only</v>
      </c>
      <c r="D439" t="str">
        <f>_xlfn.XLOOKUP($A439,Load!$B:$B,Load!E:E,0,)</f>
        <v>Fall / Seasonal Flavors (pumpkin spice, caramel apple, candy corn)</v>
      </c>
      <c r="E439" t="str">
        <f>_xlfn.XLOOKUP($A439,Load!$B:$B,Load!F:F,0,)</f>
        <v>Candy Pieces / Bites</v>
      </c>
      <c r="F439" t="str">
        <f>_xlfn.XLOOKUP($A439,Load!$B:$B,Load!G:G,0,)</f>
        <v>Single Pack</v>
      </c>
      <c r="G439" t="str">
        <f>_xlfn.XLOOKUP($A439,Load!$B:$B,Load!H:H,0,)</f>
        <v>Stand-Up Bag</v>
      </c>
      <c r="H439" t="str">
        <f>_xlfn.XLOOKUP($A439,Load!$B:$B,Load!I:I,0,)</f>
        <v>Seasonal Shapes (like pumpkins, candy corn, ghost, bats, etc.)</v>
      </c>
      <c r="I439" t="str">
        <f>_xlfn.XLOOKUP($A439,Load!$B:$B,Load!J:J,0,)</f>
        <v>Seasonal Graphics (Like Bat, Ghost, Pumpkin, Fall Leaves, Eyeballs, etc.)</v>
      </c>
      <c r="J439" t="str">
        <f>_xlfn.XLOOKUP($A439,Load!$B:$B,Load!K:K,0,)</f>
        <v>Small Pieces (Tiny bite size candies)</v>
      </c>
      <c r="K439" t="str">
        <f>_xlfn.XLOOKUP($A439,Load!$B:$B,Load!L:L,0,)</f>
        <v>Unwrapped</v>
      </c>
      <c r="L439" t="str">
        <f>_xlfn.XLOOKUP($A439,Load!$B:$B,Load!M:M,0,)</f>
        <v>Single Brand / Single Flavor or Form</v>
      </c>
    </row>
    <row r="440" spans="1:12" x14ac:dyDescent="0.25">
      <c r="A440" t="s">
        <v>251</v>
      </c>
      <c r="B440" t="str">
        <f>_xlfn.XLOOKUP($A440,Load!$B:$B,Load!C:C,0,)</f>
        <v>Shaq-A-Licious</v>
      </c>
      <c r="C440" t="str">
        <f>_xlfn.XLOOKUP($A440,Load!$B:$B,Load!D:D,0,)</f>
        <v>Non-Chocolate Candy Only</v>
      </c>
      <c r="D440" t="str">
        <f>_xlfn.XLOOKUP($A440,Load!$B:$B,Load!E:E,0,)</f>
        <v>Fruit Flavor (Cherry, Grape, Apple, Citrus, Tropical Fruit)</v>
      </c>
      <c r="E440" t="str">
        <f>_xlfn.XLOOKUP($A440,Load!$B:$B,Load!F:F,0,)</f>
        <v>Gummy</v>
      </c>
      <c r="F440" t="str">
        <f>_xlfn.XLOOKUP($A440,Load!$B:$B,Load!G:G,0,)</f>
        <v>Small Multipack (Less than 40 ct)</v>
      </c>
      <c r="G440" t="str">
        <f>_xlfn.XLOOKUP($A440,Load!$B:$B,Load!H:H,0,)</f>
        <v>Laydown Bag</v>
      </c>
      <c r="H440" t="str">
        <f>_xlfn.XLOOKUP($A440,Load!$B:$B,Load!I:I,0,)</f>
        <v>Seasonal Shapes (like pumpkins, candy corn, ghost, bats, etc.)</v>
      </c>
      <c r="I440" t="str">
        <f>_xlfn.XLOOKUP($A440,Load!$B:$B,Load!J:J,0,)</f>
        <v>Seasonal Graphics (Like Bat, Ghost, Pumpkin, Fall Leaves, Eyeballs, etc.)</v>
      </c>
      <c r="J440" t="str">
        <f>_xlfn.XLOOKUP($A440,Load!$B:$B,Load!K:K,0,)</f>
        <v>Fun Size / Treat Size</v>
      </c>
      <c r="K440" t="str">
        <f>_xlfn.XLOOKUP($A440,Load!$B:$B,Load!L:L,0,)</f>
        <v>Regular/Original Wrapping</v>
      </c>
      <c r="L440" t="str">
        <f>_xlfn.XLOOKUP($A440,Load!$B:$B,Load!M:M,0,)</f>
        <v>Single Brand / Variety Flavors or Form</v>
      </c>
    </row>
    <row r="441" spans="1:12" x14ac:dyDescent="0.25">
      <c r="B441">
        <f>_xlfn.XLOOKUP($A441,Load!$B:$B,Load!C:C,0,)</f>
        <v>0</v>
      </c>
      <c r="C441">
        <f>_xlfn.XLOOKUP($A441,Load!$B:$B,Load!D:D,0,)</f>
        <v>0</v>
      </c>
      <c r="D441">
        <f>_xlfn.XLOOKUP($A441,Load!$B:$B,Load!E:E,0,)</f>
        <v>0</v>
      </c>
      <c r="E441">
        <f>_xlfn.XLOOKUP($A441,Load!$B:$B,Load!F:F,0,)</f>
        <v>0</v>
      </c>
      <c r="F441">
        <f>_xlfn.XLOOKUP($A441,Load!$B:$B,Load!G:G,0,)</f>
        <v>0</v>
      </c>
      <c r="G441">
        <f>_xlfn.XLOOKUP($A441,Load!$B:$B,Load!H:H,0,)</f>
        <v>0</v>
      </c>
      <c r="H441">
        <f>_xlfn.XLOOKUP($A441,Load!$B:$B,Load!I:I,0,)</f>
        <v>0</v>
      </c>
      <c r="I441">
        <f>_xlfn.XLOOKUP($A441,Load!$B:$B,Load!J:J,0,)</f>
        <v>0</v>
      </c>
      <c r="J441">
        <f>_xlfn.XLOOKUP($A441,Load!$B:$B,Load!K:K,0,)</f>
        <v>0</v>
      </c>
      <c r="K441">
        <f>_xlfn.XLOOKUP($A441,Load!$B:$B,Load!L:L,0,)</f>
        <v>0</v>
      </c>
      <c r="L441">
        <f>_xlfn.XLOOKUP($A441,Load!$B:$B,Load!M:M,0,)</f>
        <v>0</v>
      </c>
    </row>
    <row r="442" spans="1:12" x14ac:dyDescent="0.25">
      <c r="A442" t="s">
        <v>265</v>
      </c>
      <c r="B442" t="str">
        <f>_xlfn.XLOOKUP($A442,Load!$B:$B,Load!C:C,0,)</f>
        <v>Smarties</v>
      </c>
      <c r="C442" t="str">
        <f>_xlfn.XLOOKUP($A442,Load!$B:$B,Load!D:D,0,)</f>
        <v>Non-Chocolate Candy Only</v>
      </c>
      <c r="D442" t="str">
        <f>_xlfn.XLOOKUP($A442,Load!$B:$B,Load!E:E,0,)</f>
        <v>Fruit Flavor (Cherry, Grape, Apple, Citrus, Tropical Fruit)</v>
      </c>
      <c r="E442" t="str">
        <f>_xlfn.XLOOKUP($A442,Load!$B:$B,Load!F:F,0,)</f>
        <v>Powder / Chalky</v>
      </c>
      <c r="F442" t="str">
        <f>_xlfn.XLOOKUP($A442,Load!$B:$B,Load!G:G,0,)</f>
        <v>Large Multipack (More than 80 ct)</v>
      </c>
      <c r="G442" t="str">
        <f>_xlfn.XLOOKUP($A442,Load!$B:$B,Load!H:H,0,)</f>
        <v>Laydown Bag</v>
      </c>
      <c r="H442" t="str">
        <f>_xlfn.XLOOKUP($A442,Load!$B:$B,Load!I:I,0,)</f>
        <v>Seasonal Shapes (like pumpkins, candy corn, ghost, bats, etc.)</v>
      </c>
      <c r="I442" t="str">
        <f>_xlfn.XLOOKUP($A442,Load!$B:$B,Load!J:J,0,)</f>
        <v>Seasonal Graphics (Like Bat, Ghost, Pumpkin, Fall Leaves, Eyeballs, etc.)</v>
      </c>
      <c r="J442" t="str">
        <f>_xlfn.XLOOKUP($A442,Load!$B:$B,Load!K:K,0,)</f>
        <v>Small Pieces (Tiny bite size candies)</v>
      </c>
      <c r="K442" t="str">
        <f>_xlfn.XLOOKUP($A442,Load!$B:$B,Load!L:L,0,)</f>
        <v>Regular/Original Wrapping</v>
      </c>
      <c r="L442" t="str">
        <f>_xlfn.XLOOKUP($A442,Load!$B:$B,Load!M:M,0,)</f>
        <v>Single Brand / Single Flavor or Form</v>
      </c>
    </row>
    <row r="443" spans="1:12" x14ac:dyDescent="0.25">
      <c r="A443" t="s">
        <v>264</v>
      </c>
      <c r="B443" t="str">
        <f>_xlfn.XLOOKUP($A443,Load!$B:$B,Load!C:C,0,)</f>
        <v>Smarties</v>
      </c>
      <c r="C443" t="str">
        <f>_xlfn.XLOOKUP($A443,Load!$B:$B,Load!D:D,0,)</f>
        <v>Non-Chocolate Candy Only</v>
      </c>
      <c r="D443" t="str">
        <f>_xlfn.XLOOKUP($A443,Load!$B:$B,Load!E:E,0,)</f>
        <v>Fruit Flavor (Cherry, Grape, Apple, Citrus, Tropical Fruit)</v>
      </c>
      <c r="E443" t="str">
        <f>_xlfn.XLOOKUP($A443,Load!$B:$B,Load!F:F,0,)</f>
        <v>Powder / Chalky</v>
      </c>
      <c r="F443" t="str">
        <f>_xlfn.XLOOKUP($A443,Load!$B:$B,Load!G:G,0,)</f>
        <v>Single Pack</v>
      </c>
      <c r="G443" t="str">
        <f>_xlfn.XLOOKUP($A443,Load!$B:$B,Load!H:H,0,)</f>
        <v>Laydown Bag</v>
      </c>
      <c r="H443" t="str">
        <f>_xlfn.XLOOKUP($A443,Load!$B:$B,Load!I:I,0,)</f>
        <v>Everyday Candy Shapes (like Original, Gummy bear, Fruit, Jewels, etc.)</v>
      </c>
      <c r="I443" t="str">
        <f>_xlfn.XLOOKUP($A443,Load!$B:$B,Load!J:J,0,)</f>
        <v>Everyday Graphics</v>
      </c>
      <c r="J443" t="str">
        <f>_xlfn.XLOOKUP($A443,Load!$B:$B,Load!K:K,0,)</f>
        <v>Small Pieces (Tiny bite size candies)</v>
      </c>
      <c r="K443" t="str">
        <f>_xlfn.XLOOKUP($A443,Load!$B:$B,Load!L:L,0,)</f>
        <v>Regular/Original Wrapping</v>
      </c>
      <c r="L443" t="str">
        <f>_xlfn.XLOOKUP($A443,Load!$B:$B,Load!M:M,0,)</f>
        <v>Single Brand / Single Flavor or Form</v>
      </c>
    </row>
    <row r="444" spans="1:12" x14ac:dyDescent="0.25">
      <c r="A444" t="s">
        <v>143</v>
      </c>
      <c r="B444" t="str">
        <f>_xlfn.XLOOKUP($A444,Load!$B:$B,Load!C:C,0,)</f>
        <v>Hershey's Variety Pack + Haribo</v>
      </c>
      <c r="C444" t="str">
        <f>_xlfn.XLOOKUP($A444,Load!$B:$B,Load!D:D,0,)</f>
        <v>Non-Chocolate Candy Only</v>
      </c>
      <c r="D444" t="str">
        <f>_xlfn.XLOOKUP($A444,Load!$B:$B,Load!E:E,0,)</f>
        <v>Variety / Mixed Flavors (Fruity, Sour, Seasonal Flavors)</v>
      </c>
      <c r="E444" t="str">
        <f>_xlfn.XLOOKUP($A444,Load!$B:$B,Load!F:F,0,)</f>
        <v>Mixed / Combo Packs (Gummy, Chewy, Taffy, etc.)</v>
      </c>
      <c r="F444" t="str">
        <f>_xlfn.XLOOKUP($A444,Load!$B:$B,Load!G:G,0,)</f>
        <v>Small Multipack (Less than 40 ct)</v>
      </c>
      <c r="G444" t="str">
        <f>_xlfn.XLOOKUP($A444,Load!$B:$B,Load!H:H,0,)</f>
        <v>Laydown Bag</v>
      </c>
      <c r="H444" t="str">
        <f>_xlfn.XLOOKUP($A444,Load!$B:$B,Load!I:I,0,)</f>
        <v>Seasonal Shapes (like pumpkins, candy corn, ghost, bats, etc.)</v>
      </c>
      <c r="I444" t="str">
        <f>_xlfn.XLOOKUP($A444,Load!$B:$B,Load!J:J,0,)</f>
        <v>Seasonal Graphics (Like Bat, Ghost, Pumpkin, Fall Leaves, Eyeballs, etc.)</v>
      </c>
      <c r="J444" t="str">
        <f>_xlfn.XLOOKUP($A444,Load!$B:$B,Load!K:K,0,)</f>
        <v>Fun Size / Treat Size</v>
      </c>
      <c r="K444" t="str">
        <f>_xlfn.XLOOKUP($A444,Load!$B:$B,Load!L:L,0,)</f>
        <v>Regular/Original Wrapping</v>
      </c>
      <c r="L444" t="str">
        <f>_xlfn.XLOOKUP($A444,Load!$B:$B,Load!M:M,0,)</f>
        <v>Multiple Brands / Variety Flavors or Form</v>
      </c>
    </row>
    <row r="445" spans="1:12" x14ac:dyDescent="0.25">
      <c r="B445">
        <f>_xlfn.XLOOKUP($A445,Load!$B:$B,Load!C:C,0,)</f>
        <v>0</v>
      </c>
      <c r="C445">
        <f>_xlfn.XLOOKUP($A445,Load!$B:$B,Load!D:D,0,)</f>
        <v>0</v>
      </c>
      <c r="D445">
        <f>_xlfn.XLOOKUP($A445,Load!$B:$B,Load!E:E,0,)</f>
        <v>0</v>
      </c>
      <c r="E445">
        <f>_xlfn.XLOOKUP($A445,Load!$B:$B,Load!F:F,0,)</f>
        <v>0</v>
      </c>
      <c r="F445">
        <f>_xlfn.XLOOKUP($A445,Load!$B:$B,Load!G:G,0,)</f>
        <v>0</v>
      </c>
      <c r="G445">
        <f>_xlfn.XLOOKUP($A445,Load!$B:$B,Load!H:H,0,)</f>
        <v>0</v>
      </c>
      <c r="H445">
        <f>_xlfn.XLOOKUP($A445,Load!$B:$B,Load!I:I,0,)</f>
        <v>0</v>
      </c>
      <c r="I445">
        <f>_xlfn.XLOOKUP($A445,Load!$B:$B,Load!J:J,0,)</f>
        <v>0</v>
      </c>
      <c r="J445">
        <f>_xlfn.XLOOKUP($A445,Load!$B:$B,Load!K:K,0,)</f>
        <v>0</v>
      </c>
      <c r="K445">
        <f>_xlfn.XLOOKUP($A445,Load!$B:$B,Load!L:L,0,)</f>
        <v>0</v>
      </c>
      <c r="L445">
        <f>_xlfn.XLOOKUP($A445,Load!$B:$B,Load!M:M,0,)</f>
        <v>0</v>
      </c>
    </row>
    <row r="446" spans="1:12" x14ac:dyDescent="0.25">
      <c r="A446" t="s">
        <v>327</v>
      </c>
      <c r="B446" t="str">
        <f>_xlfn.XLOOKUP($A446,Load!$B:$B,Load!C:C,0,)</f>
        <v>Googly Eyes</v>
      </c>
      <c r="C446" t="str">
        <f>_xlfn.XLOOKUP($A446,Load!$B:$B,Load!D:D,0,)</f>
        <v>Non-Chocolate Candy Only</v>
      </c>
      <c r="D446" t="str">
        <f>_xlfn.XLOOKUP($A446,Load!$B:$B,Load!E:E,0,)</f>
        <v>Variety / Mixed Flavors (Fruity, Sour, Seasonal Flavors)</v>
      </c>
      <c r="E446" t="str">
        <f>_xlfn.XLOOKUP($A446,Load!$B:$B,Load!F:F,0,)</f>
        <v>Candy Pieces / Bites</v>
      </c>
      <c r="F446" t="str">
        <f>_xlfn.XLOOKUP($A446,Load!$B:$B,Load!G:G,0,)</f>
        <v>Small Multipack (Less than 40 ct)</v>
      </c>
      <c r="G446" t="str">
        <f>_xlfn.XLOOKUP($A446,Load!$B:$B,Load!H:H,0,)</f>
        <v>Plastic Cup / Container</v>
      </c>
      <c r="H446" t="str">
        <f>_xlfn.XLOOKUP($A446,Load!$B:$B,Load!I:I,0,)</f>
        <v>Seasonal Shapes (like pumpkins, candy corn, ghost, bats, etc.)</v>
      </c>
      <c r="I446" t="str">
        <f>_xlfn.XLOOKUP($A446,Load!$B:$B,Load!J:J,0,)</f>
        <v>Seasonal Graphics (Like Bat, Ghost, Pumpkin, Fall Leaves, Eyeballs, etc.)</v>
      </c>
      <c r="J446" t="str">
        <f>_xlfn.XLOOKUP($A446,Load!$B:$B,Load!K:K,0,)</f>
        <v>Fun Size / Treat Size</v>
      </c>
      <c r="K446" t="str">
        <f>_xlfn.XLOOKUP($A446,Load!$B:$B,Load!L:L,0,)</f>
        <v>Regular/Original Wrapping</v>
      </c>
      <c r="L446" t="str">
        <f>_xlfn.XLOOKUP($A446,Load!$B:$B,Load!M:M,0,)</f>
        <v>Single Brand / Variety Flavors or Form</v>
      </c>
    </row>
    <row r="447" spans="1:12" x14ac:dyDescent="0.25">
      <c r="B447">
        <f>_xlfn.XLOOKUP($A447,Load!$B:$B,Load!C:C,0,)</f>
        <v>0</v>
      </c>
      <c r="C447">
        <f>_xlfn.XLOOKUP($A447,Load!$B:$B,Load!D:D,0,)</f>
        <v>0</v>
      </c>
      <c r="D447">
        <f>_xlfn.XLOOKUP($A447,Load!$B:$B,Load!E:E,0,)</f>
        <v>0</v>
      </c>
      <c r="E447">
        <f>_xlfn.XLOOKUP($A447,Load!$B:$B,Load!F:F,0,)</f>
        <v>0</v>
      </c>
      <c r="F447">
        <f>_xlfn.XLOOKUP($A447,Load!$B:$B,Load!G:G,0,)</f>
        <v>0</v>
      </c>
      <c r="G447">
        <f>_xlfn.XLOOKUP($A447,Load!$B:$B,Load!H:H,0,)</f>
        <v>0</v>
      </c>
      <c r="H447">
        <f>_xlfn.XLOOKUP($A447,Load!$B:$B,Load!I:I,0,)</f>
        <v>0</v>
      </c>
      <c r="I447">
        <f>_xlfn.XLOOKUP($A447,Load!$B:$B,Load!J:J,0,)</f>
        <v>0</v>
      </c>
      <c r="J447">
        <f>_xlfn.XLOOKUP($A447,Load!$B:$B,Load!K:K,0,)</f>
        <v>0</v>
      </c>
      <c r="K447">
        <f>_xlfn.XLOOKUP($A447,Load!$B:$B,Load!L:L,0,)</f>
        <v>0</v>
      </c>
      <c r="L447">
        <f>_xlfn.XLOOKUP($A447,Load!$B:$B,Load!M:M,0,)</f>
        <v>0</v>
      </c>
    </row>
    <row r="448" spans="1:12" x14ac:dyDescent="0.25">
      <c r="A448" t="s">
        <v>270</v>
      </c>
      <c r="B448" t="str">
        <f>_xlfn.XLOOKUP($A448,Load!$B:$B,Load!C:C,0,)</f>
        <v>Sour Patch Kids</v>
      </c>
      <c r="C448" t="str">
        <f>_xlfn.XLOOKUP($A448,Load!$B:$B,Load!D:D,0,)</f>
        <v>Non-Chocolate Candy Only</v>
      </c>
      <c r="D448" t="str">
        <f>_xlfn.XLOOKUP($A448,Load!$B:$B,Load!E:E,0,)</f>
        <v>Fruit Flavor (Cherry, Grape, Apple, Citrus, Tropical Fruit)</v>
      </c>
      <c r="E448" t="str">
        <f>_xlfn.XLOOKUP($A448,Load!$B:$B,Load!F:F,0,)</f>
        <v>Chewy</v>
      </c>
      <c r="F448" t="str">
        <f>_xlfn.XLOOKUP($A448,Load!$B:$B,Load!G:G,0,)</f>
        <v>Small Multipack (Less than 40 ct)</v>
      </c>
      <c r="G448" t="str">
        <f>_xlfn.XLOOKUP($A448,Load!$B:$B,Load!H:H,0,)</f>
        <v>Box (theatre box, gift box, carton)</v>
      </c>
      <c r="H448" t="str">
        <f>_xlfn.XLOOKUP($A448,Load!$B:$B,Load!I:I,0,)</f>
        <v>Everyday Candy Shapes (like Original, Gummy bear, Fruit, Jewels, etc.)</v>
      </c>
      <c r="I448" t="str">
        <f>_xlfn.XLOOKUP($A448,Load!$B:$B,Load!J:J,0,)</f>
        <v>Seasonal Graphics (Like Bat, Ghost, Pumpkin, Fall Leaves, Eyeballs, etc.)</v>
      </c>
      <c r="J448" t="str">
        <f>_xlfn.XLOOKUP($A448,Load!$B:$B,Load!K:K,0,)</f>
        <v>Small Pieces (Tiny bite size candies)</v>
      </c>
      <c r="K448" t="str">
        <f>_xlfn.XLOOKUP($A448,Load!$B:$B,Load!L:L,0,)</f>
        <v>Unwrapped</v>
      </c>
      <c r="L448" t="str">
        <f>_xlfn.XLOOKUP($A448,Load!$B:$B,Load!M:M,0,)</f>
        <v>Single Brand / Variety Flavors or Form</v>
      </c>
    </row>
    <row r="449" spans="1:12" x14ac:dyDescent="0.25">
      <c r="A449" t="s">
        <v>288</v>
      </c>
      <c r="B449" t="str">
        <f>_xlfn.XLOOKUP($A449,Load!$B:$B,Load!C:C,0,)</f>
        <v>SweeTARTS</v>
      </c>
      <c r="C449" t="str">
        <f>_xlfn.XLOOKUP($A449,Load!$B:$B,Load!D:D,0,)</f>
        <v>Non-Chocolate Candy Only</v>
      </c>
      <c r="D449" t="str">
        <f>_xlfn.XLOOKUP($A449,Load!$B:$B,Load!E:E,0,)</f>
        <v>Variety / Mixed Flavors (Fruity, Sour, Seasonal Flavors)</v>
      </c>
      <c r="E449" t="str">
        <f>_xlfn.XLOOKUP($A449,Load!$B:$B,Load!F:F,0,)</f>
        <v>Mixed / Combo Packs (Gummy, Chewy, Taffy, etc.)</v>
      </c>
      <c r="F449" t="str">
        <f>_xlfn.XLOOKUP($A449,Load!$B:$B,Load!G:G,0,)</f>
        <v>Medium Multipack (40–80 ct)</v>
      </c>
      <c r="G449" t="str">
        <f>_xlfn.XLOOKUP($A449,Load!$B:$B,Load!H:H,0,)</f>
        <v>Stand-Up Bag</v>
      </c>
      <c r="H449" t="str">
        <f>_xlfn.XLOOKUP($A449,Load!$B:$B,Load!I:I,0,)</f>
        <v>Everyday Candy Shapes (like Original, Gummy bear, Fruit, Jewels, etc.)</v>
      </c>
      <c r="I449" t="str">
        <f>_xlfn.XLOOKUP($A449,Load!$B:$B,Load!J:J,0,)</f>
        <v>Seasonal Graphics (Like Bat, Ghost, Pumpkin, Fall Leaves, Eyeballs, etc.)</v>
      </c>
      <c r="J449" t="str">
        <f>_xlfn.XLOOKUP($A449,Load!$B:$B,Load!K:K,0,)</f>
        <v>Small Pieces (Tiny bite size candies)</v>
      </c>
      <c r="K449" t="str">
        <f>_xlfn.XLOOKUP($A449,Load!$B:$B,Load!L:L,0,)</f>
        <v>Regular/Original Wrapping</v>
      </c>
      <c r="L449" t="str">
        <f>_xlfn.XLOOKUP($A449,Load!$B:$B,Load!M:M,0,)</f>
        <v>Single Brand / Variety Flavors or Form</v>
      </c>
    </row>
    <row r="450" spans="1:12" x14ac:dyDescent="0.25">
      <c r="B450">
        <f>_xlfn.XLOOKUP($A450,Load!$B:$B,Load!C:C,0,)</f>
        <v>0</v>
      </c>
      <c r="C450">
        <f>_xlfn.XLOOKUP($A450,Load!$B:$B,Load!D:D,0,)</f>
        <v>0</v>
      </c>
      <c r="D450">
        <f>_xlfn.XLOOKUP($A450,Load!$B:$B,Load!E:E,0,)</f>
        <v>0</v>
      </c>
      <c r="E450">
        <f>_xlfn.XLOOKUP($A450,Load!$B:$B,Load!F:F,0,)</f>
        <v>0</v>
      </c>
      <c r="F450">
        <f>_xlfn.XLOOKUP($A450,Load!$B:$B,Load!G:G,0,)</f>
        <v>0</v>
      </c>
      <c r="G450">
        <f>_xlfn.XLOOKUP($A450,Load!$B:$B,Load!H:H,0,)</f>
        <v>0</v>
      </c>
      <c r="H450">
        <f>_xlfn.XLOOKUP($A450,Load!$B:$B,Load!I:I,0,)</f>
        <v>0</v>
      </c>
      <c r="I450">
        <f>_xlfn.XLOOKUP($A450,Load!$B:$B,Load!J:J,0,)</f>
        <v>0</v>
      </c>
      <c r="J450">
        <f>_xlfn.XLOOKUP($A450,Load!$B:$B,Load!K:K,0,)</f>
        <v>0</v>
      </c>
      <c r="K450">
        <f>_xlfn.XLOOKUP($A450,Load!$B:$B,Load!L:L,0,)</f>
        <v>0</v>
      </c>
      <c r="L450">
        <f>_xlfn.XLOOKUP($A450,Load!$B:$B,Load!M:M,0,)</f>
        <v>0</v>
      </c>
    </row>
    <row r="451" spans="1:12" x14ac:dyDescent="0.25">
      <c r="B451">
        <f>_xlfn.XLOOKUP($A451,Load!$B:$B,Load!C:C,0,)</f>
        <v>0</v>
      </c>
      <c r="C451">
        <f>_xlfn.XLOOKUP($A451,Load!$B:$B,Load!D:D,0,)</f>
        <v>0</v>
      </c>
      <c r="D451">
        <f>_xlfn.XLOOKUP($A451,Load!$B:$B,Load!E:E,0,)</f>
        <v>0</v>
      </c>
      <c r="E451">
        <f>_xlfn.XLOOKUP($A451,Load!$B:$B,Load!F:F,0,)</f>
        <v>0</v>
      </c>
      <c r="F451">
        <f>_xlfn.XLOOKUP($A451,Load!$B:$B,Load!G:G,0,)</f>
        <v>0</v>
      </c>
      <c r="G451">
        <f>_xlfn.XLOOKUP($A451,Load!$B:$B,Load!H:H,0,)</f>
        <v>0</v>
      </c>
      <c r="H451">
        <f>_xlfn.XLOOKUP($A451,Load!$B:$B,Load!I:I,0,)</f>
        <v>0</v>
      </c>
      <c r="I451">
        <f>_xlfn.XLOOKUP($A451,Load!$B:$B,Load!J:J,0,)</f>
        <v>0</v>
      </c>
      <c r="J451">
        <f>_xlfn.XLOOKUP($A451,Load!$B:$B,Load!K:K,0,)</f>
        <v>0</v>
      </c>
      <c r="K451">
        <f>_xlfn.XLOOKUP($A451,Load!$B:$B,Load!L:L,0,)</f>
        <v>0</v>
      </c>
      <c r="L451">
        <f>_xlfn.XLOOKUP($A451,Load!$B:$B,Load!M:M,0,)</f>
        <v>0</v>
      </c>
    </row>
    <row r="452" spans="1:12" x14ac:dyDescent="0.25">
      <c r="A452" t="s">
        <v>232</v>
      </c>
      <c r="B452" t="str">
        <f>_xlfn.XLOOKUP($A452,Load!$B:$B,Load!C:C,0,)</f>
        <v>Nerds</v>
      </c>
      <c r="C452" t="str">
        <f>_xlfn.XLOOKUP($A452,Load!$B:$B,Load!D:D,0,)</f>
        <v>Non-Chocolate Candy Only</v>
      </c>
      <c r="D452" t="str">
        <f>_xlfn.XLOOKUP($A452,Load!$B:$B,Load!E:E,0,)</f>
        <v>Berry Based (Raspberry, Strawberry, Medley, etc.)</v>
      </c>
      <c r="E452" t="str">
        <f>_xlfn.XLOOKUP($A452,Load!$B:$B,Load!F:F,0,)</f>
        <v>Candy Pieces / Bites</v>
      </c>
      <c r="F452" t="str">
        <f>_xlfn.XLOOKUP($A452,Load!$B:$B,Load!G:G,0,)</f>
        <v>Single Pack</v>
      </c>
      <c r="G452" t="str">
        <f>_xlfn.XLOOKUP($A452,Load!$B:$B,Load!H:H,0,)</f>
        <v>Laydown Bag</v>
      </c>
      <c r="H452" t="str">
        <f>_xlfn.XLOOKUP($A452,Load!$B:$B,Load!I:I,0,)</f>
        <v>Everyday Candy Shapes (like Original, Gummy bear, Fruit, Jewels, etc.)</v>
      </c>
      <c r="I452" t="str">
        <f>_xlfn.XLOOKUP($A452,Load!$B:$B,Load!J:J,0,)</f>
        <v>Seasonal Graphics (Like Bat, Ghost, Pumpkin, Fall Leaves, Eyeballs, etc.)</v>
      </c>
      <c r="J452" t="str">
        <f>_xlfn.XLOOKUP($A452,Load!$B:$B,Load!K:K,0,)</f>
        <v>Small Pieces (Tiny bite size candies)</v>
      </c>
      <c r="K452" t="str">
        <f>_xlfn.XLOOKUP($A452,Load!$B:$B,Load!L:L,0,)</f>
        <v>Unwrapped</v>
      </c>
      <c r="L452" t="str">
        <f>_xlfn.XLOOKUP($A452,Load!$B:$B,Load!M:M,0,)</f>
        <v>Single Brand / Variety Flavors or Form</v>
      </c>
    </row>
    <row r="453" spans="1:12" x14ac:dyDescent="0.25">
      <c r="B453">
        <f>_xlfn.XLOOKUP($A453,Load!$B:$B,Load!C:C,0,)</f>
        <v>0</v>
      </c>
      <c r="C453">
        <f>_xlfn.XLOOKUP($A453,Load!$B:$B,Load!D:D,0,)</f>
        <v>0</v>
      </c>
      <c r="D453">
        <f>_xlfn.XLOOKUP($A453,Load!$B:$B,Load!E:E,0,)</f>
        <v>0</v>
      </c>
      <c r="E453">
        <f>_xlfn.XLOOKUP($A453,Load!$B:$B,Load!F:F,0,)</f>
        <v>0</v>
      </c>
      <c r="F453">
        <f>_xlfn.XLOOKUP($A453,Load!$B:$B,Load!G:G,0,)</f>
        <v>0</v>
      </c>
      <c r="G453">
        <f>_xlfn.XLOOKUP($A453,Load!$B:$B,Load!H:H,0,)</f>
        <v>0</v>
      </c>
      <c r="H453">
        <f>_xlfn.XLOOKUP($A453,Load!$B:$B,Load!I:I,0,)</f>
        <v>0</v>
      </c>
      <c r="I453">
        <f>_xlfn.XLOOKUP($A453,Load!$B:$B,Load!J:J,0,)</f>
        <v>0</v>
      </c>
      <c r="J453">
        <f>_xlfn.XLOOKUP($A453,Load!$B:$B,Load!K:K,0,)</f>
        <v>0</v>
      </c>
      <c r="K453">
        <f>_xlfn.XLOOKUP($A453,Load!$B:$B,Load!L:L,0,)</f>
        <v>0</v>
      </c>
      <c r="L453">
        <f>_xlfn.XLOOKUP($A453,Load!$B:$B,Load!M:M,0,)</f>
        <v>0</v>
      </c>
    </row>
    <row r="454" spans="1:12" x14ac:dyDescent="0.25">
      <c r="B454">
        <f>_xlfn.XLOOKUP($A454,Load!$B:$B,Load!C:C,0,)</f>
        <v>0</v>
      </c>
      <c r="C454">
        <f>_xlfn.XLOOKUP($A454,Load!$B:$B,Load!D:D,0,)</f>
        <v>0</v>
      </c>
      <c r="D454">
        <f>_xlfn.XLOOKUP($A454,Load!$B:$B,Load!E:E,0,)</f>
        <v>0</v>
      </c>
      <c r="E454">
        <f>_xlfn.XLOOKUP($A454,Load!$B:$B,Load!F:F,0,)</f>
        <v>0</v>
      </c>
      <c r="F454">
        <f>_xlfn.XLOOKUP($A454,Load!$B:$B,Load!G:G,0,)</f>
        <v>0</v>
      </c>
      <c r="G454">
        <f>_xlfn.XLOOKUP($A454,Load!$B:$B,Load!H:H,0,)</f>
        <v>0</v>
      </c>
      <c r="H454">
        <f>_xlfn.XLOOKUP($A454,Load!$B:$B,Load!I:I,0,)</f>
        <v>0</v>
      </c>
      <c r="I454">
        <f>_xlfn.XLOOKUP($A454,Load!$B:$B,Load!J:J,0,)</f>
        <v>0</v>
      </c>
      <c r="J454">
        <f>_xlfn.XLOOKUP($A454,Load!$B:$B,Load!K:K,0,)</f>
        <v>0</v>
      </c>
      <c r="K454">
        <f>_xlfn.XLOOKUP($A454,Load!$B:$B,Load!L:L,0,)</f>
        <v>0</v>
      </c>
      <c r="L454">
        <f>_xlfn.XLOOKUP($A454,Load!$B:$B,Load!M:M,0,)</f>
        <v>0</v>
      </c>
    </row>
    <row r="455" spans="1:12" x14ac:dyDescent="0.25">
      <c r="B455">
        <f>_xlfn.XLOOKUP($A455,Load!$B:$B,Load!C:C,0,)</f>
        <v>0</v>
      </c>
      <c r="C455">
        <f>_xlfn.XLOOKUP($A455,Load!$B:$B,Load!D:D,0,)</f>
        <v>0</v>
      </c>
      <c r="D455">
        <f>_xlfn.XLOOKUP($A455,Load!$B:$B,Load!E:E,0,)</f>
        <v>0</v>
      </c>
      <c r="E455">
        <f>_xlfn.XLOOKUP($A455,Load!$B:$B,Load!F:F,0,)</f>
        <v>0</v>
      </c>
      <c r="F455">
        <f>_xlfn.XLOOKUP($A455,Load!$B:$B,Load!G:G,0,)</f>
        <v>0</v>
      </c>
      <c r="G455">
        <f>_xlfn.XLOOKUP($A455,Load!$B:$B,Load!H:H,0,)</f>
        <v>0</v>
      </c>
      <c r="H455">
        <f>_xlfn.XLOOKUP($A455,Load!$B:$B,Load!I:I,0,)</f>
        <v>0</v>
      </c>
      <c r="I455">
        <f>_xlfn.XLOOKUP($A455,Load!$B:$B,Load!J:J,0,)</f>
        <v>0</v>
      </c>
      <c r="J455">
        <f>_xlfn.XLOOKUP($A455,Load!$B:$B,Load!K:K,0,)</f>
        <v>0</v>
      </c>
      <c r="K455">
        <f>_xlfn.XLOOKUP($A455,Load!$B:$B,Load!L:L,0,)</f>
        <v>0</v>
      </c>
      <c r="L455">
        <f>_xlfn.XLOOKUP($A455,Load!$B:$B,Load!M:M,0,)</f>
        <v>0</v>
      </c>
    </row>
    <row r="456" spans="1:12" x14ac:dyDescent="0.25">
      <c r="A456" t="s">
        <v>14</v>
      </c>
      <c r="B456" t="str">
        <f>_xlfn.XLOOKUP($A456,Load!$B:$B,Load!C:C,0,)</f>
        <v>Airheads</v>
      </c>
      <c r="C456" t="str">
        <f>_xlfn.XLOOKUP($A456,Load!$B:$B,Load!D:D,0,)</f>
        <v>Non-Chocolate Candy Only</v>
      </c>
      <c r="D456" t="str">
        <f>_xlfn.XLOOKUP($A456,Load!$B:$B,Load!E:E,0,)</f>
        <v>Variety / Mixed Flavors (Fruity, Sour, Seasonal Flavors)</v>
      </c>
      <c r="E456" t="str">
        <f>_xlfn.XLOOKUP($A456,Load!$B:$B,Load!F:F,0,)</f>
        <v>Chewy</v>
      </c>
      <c r="F456" t="str">
        <f>_xlfn.XLOOKUP($A456,Load!$B:$B,Load!G:G,0,)</f>
        <v>Small Multipack (Less than 40 ct)</v>
      </c>
      <c r="G456" t="str">
        <f>_xlfn.XLOOKUP($A456,Load!$B:$B,Load!H:H,0,)</f>
        <v>Stand-Up Bag</v>
      </c>
      <c r="H456" t="str">
        <f>_xlfn.XLOOKUP($A456,Load!$B:$B,Load!I:I,0,)</f>
        <v>Everyday Candy Shapes (like Original, Gummy bear, Fruit, Jewels, etc.)</v>
      </c>
      <c r="I456" t="str">
        <f>_xlfn.XLOOKUP($A456,Load!$B:$B,Load!J:J,0,)</f>
        <v>Everyday Graphics</v>
      </c>
      <c r="J456" t="str">
        <f>_xlfn.XLOOKUP($A456,Load!$B:$B,Load!K:K,0,)</f>
        <v>Fun Size / Treat Size</v>
      </c>
      <c r="K456" t="str">
        <f>_xlfn.XLOOKUP($A456,Load!$B:$B,Load!L:L,0,)</f>
        <v>Regular/Original Wrapping</v>
      </c>
      <c r="L456" t="str">
        <f>_xlfn.XLOOKUP($A456,Load!$B:$B,Load!M:M,0,)</f>
        <v>Single Brand / Variety Flavors or Form</v>
      </c>
    </row>
    <row r="457" spans="1:12" x14ac:dyDescent="0.25">
      <c r="A457" t="s">
        <v>76</v>
      </c>
      <c r="B457" t="str">
        <f>_xlfn.XLOOKUP($A457,Load!$B:$B,Load!C:C,0,)</f>
        <v>Dum Dums</v>
      </c>
      <c r="C457" t="str">
        <f>_xlfn.XLOOKUP($A457,Load!$B:$B,Load!D:D,0,)</f>
        <v>Non-Chocolate Candy Only</v>
      </c>
      <c r="D457" t="str">
        <f>_xlfn.XLOOKUP($A457,Load!$B:$B,Load!E:E,0,)</f>
        <v>Variety / Mixed Flavors (Fruity, Sour, Seasonal Flavors)</v>
      </c>
      <c r="E457" t="str">
        <f>_xlfn.XLOOKUP($A457,Load!$B:$B,Load!F:F,0,)</f>
        <v>Lollipop (regular or lollipop rings)</v>
      </c>
      <c r="F457" t="str">
        <f>_xlfn.XLOOKUP($A457,Load!$B:$B,Load!G:G,0,)</f>
        <v>Large Multipack (More than 80 ct)</v>
      </c>
      <c r="G457" t="str">
        <f>_xlfn.XLOOKUP($A457,Load!$B:$B,Load!H:H,0,)</f>
        <v>Stand-Up Bag</v>
      </c>
      <c r="H457" t="str">
        <f>_xlfn.XLOOKUP($A457,Load!$B:$B,Load!I:I,0,)</f>
        <v>Everyday Candy Shapes (like Original, Gummy bear, Fruit, Jewels, etc.)</v>
      </c>
      <c r="I457" t="str">
        <f>_xlfn.XLOOKUP($A457,Load!$B:$B,Load!J:J,0,)</f>
        <v>Everyday Graphics</v>
      </c>
      <c r="J457" t="str">
        <f>_xlfn.XLOOKUP($A457,Load!$B:$B,Load!K:K,0,)</f>
        <v>Regular Lollipop size (on sticks or rings)</v>
      </c>
      <c r="K457" t="str">
        <f>_xlfn.XLOOKUP($A457,Load!$B:$B,Load!L:L,0,)</f>
        <v>Regular/Original Wrapping</v>
      </c>
      <c r="L457" t="str">
        <f>_xlfn.XLOOKUP($A457,Load!$B:$B,Load!M:M,0,)</f>
        <v>Single Brand / Variety Flavors or Form</v>
      </c>
    </row>
    <row r="458" spans="1:12" x14ac:dyDescent="0.25">
      <c r="A458" t="s">
        <v>62</v>
      </c>
      <c r="B458" t="str">
        <f>_xlfn.XLOOKUP($A458,Load!$B:$B,Load!C:C,0,)</f>
        <v>Colombina</v>
      </c>
      <c r="C458" t="str">
        <f>_xlfn.XLOOKUP($A458,Load!$B:$B,Load!D:D,0,)</f>
        <v>Non-Chocolate Candy Only</v>
      </c>
      <c r="D458" t="str">
        <f>_xlfn.XLOOKUP($A458,Load!$B:$B,Load!E:E,0,)</f>
        <v>Fruit Flavor (Cherry, Grape, Apple, Citrus, Tropical Fruit)</v>
      </c>
      <c r="E458" t="str">
        <f>_xlfn.XLOOKUP($A458,Load!$B:$B,Load!F:F,0,)</f>
        <v>Hard Candy</v>
      </c>
      <c r="F458" t="str">
        <f>_xlfn.XLOOKUP($A458,Load!$B:$B,Load!G:G,0,)</f>
        <v>Single Pack</v>
      </c>
      <c r="G458" t="str">
        <f>_xlfn.XLOOKUP($A458,Load!$B:$B,Load!H:H,0,)</f>
        <v>Laydown Bag</v>
      </c>
      <c r="H458" t="str">
        <f>_xlfn.XLOOKUP($A458,Load!$B:$B,Load!I:I,0,)</f>
        <v>Everyday Candy Shapes (like Original, Gummy bear, Fruit, Jewels, etc.)</v>
      </c>
      <c r="I458" t="str">
        <f>_xlfn.XLOOKUP($A458,Load!$B:$B,Load!J:J,0,)</f>
        <v>Everyday Graphics</v>
      </c>
      <c r="J458" t="str">
        <f>_xlfn.XLOOKUP($A458,Load!$B:$B,Load!K:K,0,)</f>
        <v>Small Pieces (Tiny bite size candies)</v>
      </c>
      <c r="K458" t="str">
        <f>_xlfn.XLOOKUP($A458,Load!$B:$B,Load!L:L,0,)</f>
        <v>Regular/Original Wrapping</v>
      </c>
      <c r="L458" t="str">
        <f>_xlfn.XLOOKUP($A458,Load!$B:$B,Load!M:M,0,)</f>
        <v>Single Brand / Variety Flavors or Form</v>
      </c>
    </row>
    <row r="459" spans="1:12" x14ac:dyDescent="0.25">
      <c r="A459" t="s">
        <v>63</v>
      </c>
      <c r="B459" t="str">
        <f>_xlfn.XLOOKUP($A459,Load!$B:$B,Load!C:C,0,)</f>
        <v>Colombina</v>
      </c>
      <c r="C459" t="str">
        <f>_xlfn.XLOOKUP($A459,Load!$B:$B,Load!D:D,0,)</f>
        <v>Non-Chocolate Candy Only</v>
      </c>
      <c r="D459" t="str">
        <f>_xlfn.XLOOKUP($A459,Load!$B:$B,Load!E:E,0,)</f>
        <v>Variety / Mixed Flavors (Fruity, Sour, Seasonal Flavors)</v>
      </c>
      <c r="E459" t="str">
        <f>_xlfn.XLOOKUP($A459,Load!$B:$B,Load!F:F,0,)</f>
        <v>Lollipop (regular or lollipop rings)</v>
      </c>
      <c r="F459" t="str">
        <f>_xlfn.XLOOKUP($A459,Load!$B:$B,Load!G:G,0,)</f>
        <v>Single Pack</v>
      </c>
      <c r="G459" t="str">
        <f>_xlfn.XLOOKUP($A459,Load!$B:$B,Load!H:H,0,)</f>
        <v>Laydown Bag</v>
      </c>
      <c r="H459" t="str">
        <f>_xlfn.XLOOKUP($A459,Load!$B:$B,Load!I:I,0,)</f>
        <v>Everyday Candy Shapes (like Original, Gummy bear, Fruit, Jewels, etc.)</v>
      </c>
      <c r="I459" t="str">
        <f>_xlfn.XLOOKUP($A459,Load!$B:$B,Load!J:J,0,)</f>
        <v>Everyday Graphics</v>
      </c>
      <c r="J459" t="str">
        <f>_xlfn.XLOOKUP($A459,Load!$B:$B,Load!K:K,0,)</f>
        <v>Regular Lollipop size (on sticks or rings)</v>
      </c>
      <c r="K459" t="str">
        <f>_xlfn.XLOOKUP($A459,Load!$B:$B,Load!L:L,0,)</f>
        <v>Regular/Original Wrapping</v>
      </c>
      <c r="L459" t="str">
        <f>_xlfn.XLOOKUP($A459,Load!$B:$B,Load!M:M,0,)</f>
        <v>Single Brand / Variety Flavors or Form</v>
      </c>
    </row>
    <row r="460" spans="1:12" x14ac:dyDescent="0.25">
      <c r="A460" t="s">
        <v>36</v>
      </c>
      <c r="B460" t="str">
        <f>_xlfn.XLOOKUP($A460,Load!$B:$B,Load!C:C,0,)</f>
        <v>Brach's</v>
      </c>
      <c r="C460" t="str">
        <f>_xlfn.XLOOKUP($A460,Load!$B:$B,Load!D:D,0,)</f>
        <v>Non-Chocolate Candy Only</v>
      </c>
      <c r="D460" t="str">
        <f>_xlfn.XLOOKUP($A460,Load!$B:$B,Load!E:E,0,)</f>
        <v>Fall / Seasonal Flavors (pumpkin spice, caramel apple, candy corn)</v>
      </c>
      <c r="E460" t="str">
        <f>_xlfn.XLOOKUP($A460,Load!$B:$B,Load!F:F,0,)</f>
        <v>Candy Pieces / Bites</v>
      </c>
      <c r="F460" t="str">
        <f>_xlfn.XLOOKUP($A460,Load!$B:$B,Load!G:G,0,)</f>
        <v>Single Pack</v>
      </c>
      <c r="G460" t="str">
        <f>_xlfn.XLOOKUP($A460,Load!$B:$B,Load!H:H,0,)</f>
        <v>Laydown Bag</v>
      </c>
      <c r="H460" t="str">
        <f>_xlfn.XLOOKUP($A460,Load!$B:$B,Load!I:I,0,)</f>
        <v>Seasonal Shapes (like pumpkins, candy corn, ghost, bats, etc.)</v>
      </c>
      <c r="I460" t="str">
        <f>_xlfn.XLOOKUP($A460,Load!$B:$B,Load!J:J,0,)</f>
        <v>Seasonal Graphics (Like Bat, Ghost, Pumpkin, Fall Leaves, Eyeballs, etc.)</v>
      </c>
      <c r="J460" t="str">
        <f>_xlfn.XLOOKUP($A460,Load!$B:$B,Load!K:K,0,)</f>
        <v>Small Pieces (Tiny bite size candies)</v>
      </c>
      <c r="K460" t="str">
        <f>_xlfn.XLOOKUP($A460,Load!$B:$B,Load!L:L,0,)</f>
        <v>Unwrapped</v>
      </c>
      <c r="L460" t="str">
        <f>_xlfn.XLOOKUP($A460,Load!$B:$B,Load!M:M,0,)</f>
        <v>Single Brand / Single Flavor or Form</v>
      </c>
    </row>
    <row r="461" spans="1:12" x14ac:dyDescent="0.25">
      <c r="A461" t="s">
        <v>46</v>
      </c>
      <c r="B461" t="str">
        <f>_xlfn.XLOOKUP($A461,Load!$B:$B,Load!C:C,0,)</f>
        <v>Brach's</v>
      </c>
      <c r="C461" t="str">
        <f>_xlfn.XLOOKUP($A461,Load!$B:$B,Load!D:D,0,)</f>
        <v>Non-Chocolate Candy Only</v>
      </c>
      <c r="D461" t="str">
        <f>_xlfn.XLOOKUP($A461,Load!$B:$B,Load!E:E,0,)</f>
        <v>Fall / Seasonal Flavors (pumpkin spice, caramel apple, candy corn)</v>
      </c>
      <c r="E461" t="str">
        <f>_xlfn.XLOOKUP($A461,Load!$B:$B,Load!F:F,0,)</f>
        <v>Candy Pieces / Bites</v>
      </c>
      <c r="F461" t="str">
        <f>_xlfn.XLOOKUP($A461,Load!$B:$B,Load!G:G,0,)</f>
        <v>Single Pack</v>
      </c>
      <c r="G461" t="str">
        <f>_xlfn.XLOOKUP($A461,Load!$B:$B,Load!H:H,0,)</f>
        <v>Laydown Bag</v>
      </c>
      <c r="H461" t="str">
        <f>_xlfn.XLOOKUP($A461,Load!$B:$B,Load!I:I,0,)</f>
        <v>Seasonal Shapes (like pumpkins, candy corn, ghost, bats, etc.)</v>
      </c>
      <c r="I461" t="str">
        <f>_xlfn.XLOOKUP($A461,Load!$B:$B,Load!J:J,0,)</f>
        <v>Seasonal Graphics (Like Bat, Ghost, Pumpkin, Fall Leaves, Eyeballs, etc.)</v>
      </c>
      <c r="J461" t="str">
        <f>_xlfn.XLOOKUP($A461,Load!$B:$B,Load!K:K,0,)</f>
        <v>Small Pieces (Tiny bite size candies)</v>
      </c>
      <c r="K461" t="str">
        <f>_xlfn.XLOOKUP($A461,Load!$B:$B,Load!L:L,0,)</f>
        <v>Unwrapped</v>
      </c>
      <c r="L461" t="str">
        <f>_xlfn.XLOOKUP($A461,Load!$B:$B,Load!M:M,0,)</f>
        <v>Single Brand / Variety Flavors or Form</v>
      </c>
    </row>
    <row r="462" spans="1:12" x14ac:dyDescent="0.25">
      <c r="B462">
        <f>_xlfn.XLOOKUP($A462,Load!$B:$B,Load!C:C,0,)</f>
        <v>0</v>
      </c>
      <c r="C462">
        <f>_xlfn.XLOOKUP($A462,Load!$B:$B,Load!D:D,0,)</f>
        <v>0</v>
      </c>
      <c r="D462">
        <f>_xlfn.XLOOKUP($A462,Load!$B:$B,Load!E:E,0,)</f>
        <v>0</v>
      </c>
      <c r="E462">
        <f>_xlfn.XLOOKUP($A462,Load!$B:$B,Load!F:F,0,)</f>
        <v>0</v>
      </c>
      <c r="F462">
        <f>_xlfn.XLOOKUP($A462,Load!$B:$B,Load!G:G,0,)</f>
        <v>0</v>
      </c>
      <c r="G462">
        <f>_xlfn.XLOOKUP($A462,Load!$B:$B,Load!H:H,0,)</f>
        <v>0</v>
      </c>
      <c r="H462">
        <f>_xlfn.XLOOKUP($A462,Load!$B:$B,Load!I:I,0,)</f>
        <v>0</v>
      </c>
      <c r="I462">
        <f>_xlfn.XLOOKUP($A462,Load!$B:$B,Load!J:J,0,)</f>
        <v>0</v>
      </c>
      <c r="J462">
        <f>_xlfn.XLOOKUP($A462,Load!$B:$B,Load!K:K,0,)</f>
        <v>0</v>
      </c>
      <c r="K462">
        <f>_xlfn.XLOOKUP($A462,Load!$B:$B,Load!L:L,0,)</f>
        <v>0</v>
      </c>
      <c r="L462">
        <f>_xlfn.XLOOKUP($A462,Load!$B:$B,Load!M:M,0,)</f>
        <v>0</v>
      </c>
    </row>
    <row r="463" spans="1:12" x14ac:dyDescent="0.25">
      <c r="B463">
        <f>_xlfn.XLOOKUP($A463,Load!$B:$B,Load!C:C,0,)</f>
        <v>0</v>
      </c>
      <c r="C463">
        <f>_xlfn.XLOOKUP($A463,Load!$B:$B,Load!D:D,0,)</f>
        <v>0</v>
      </c>
      <c r="D463">
        <f>_xlfn.XLOOKUP($A463,Load!$B:$B,Load!E:E,0,)</f>
        <v>0</v>
      </c>
      <c r="E463">
        <f>_xlfn.XLOOKUP($A463,Load!$B:$B,Load!F:F,0,)</f>
        <v>0</v>
      </c>
      <c r="F463">
        <f>_xlfn.XLOOKUP($A463,Load!$B:$B,Load!G:G,0,)</f>
        <v>0</v>
      </c>
      <c r="G463">
        <f>_xlfn.XLOOKUP($A463,Load!$B:$B,Load!H:H,0,)</f>
        <v>0</v>
      </c>
      <c r="H463">
        <f>_xlfn.XLOOKUP($A463,Load!$B:$B,Load!I:I,0,)</f>
        <v>0</v>
      </c>
      <c r="I463">
        <f>_xlfn.XLOOKUP($A463,Load!$B:$B,Load!J:J,0,)</f>
        <v>0</v>
      </c>
      <c r="J463">
        <f>_xlfn.XLOOKUP($A463,Load!$B:$B,Load!K:K,0,)</f>
        <v>0</v>
      </c>
      <c r="K463">
        <f>_xlfn.XLOOKUP($A463,Load!$B:$B,Load!L:L,0,)</f>
        <v>0</v>
      </c>
      <c r="L463">
        <f>_xlfn.XLOOKUP($A463,Load!$B:$B,Load!M:M,0,)</f>
        <v>0</v>
      </c>
    </row>
    <row r="464" spans="1:12" x14ac:dyDescent="0.25">
      <c r="B464">
        <f>_xlfn.XLOOKUP($A464,Load!$B:$B,Load!C:C,0,)</f>
        <v>0</v>
      </c>
      <c r="C464">
        <f>_xlfn.XLOOKUP($A464,Load!$B:$B,Load!D:D,0,)</f>
        <v>0</v>
      </c>
      <c r="D464">
        <f>_xlfn.XLOOKUP($A464,Load!$B:$B,Load!E:E,0,)</f>
        <v>0</v>
      </c>
      <c r="E464">
        <f>_xlfn.XLOOKUP($A464,Load!$B:$B,Load!F:F,0,)</f>
        <v>0</v>
      </c>
      <c r="F464">
        <f>_xlfn.XLOOKUP($A464,Load!$B:$B,Load!G:G,0,)</f>
        <v>0</v>
      </c>
      <c r="G464">
        <f>_xlfn.XLOOKUP($A464,Load!$B:$B,Load!H:H,0,)</f>
        <v>0</v>
      </c>
      <c r="H464">
        <f>_xlfn.XLOOKUP($A464,Load!$B:$B,Load!I:I,0,)</f>
        <v>0</v>
      </c>
      <c r="I464">
        <f>_xlfn.XLOOKUP($A464,Load!$B:$B,Load!J:J,0,)</f>
        <v>0</v>
      </c>
      <c r="J464">
        <f>_xlfn.XLOOKUP($A464,Load!$B:$B,Load!K:K,0,)</f>
        <v>0</v>
      </c>
      <c r="K464">
        <f>_xlfn.XLOOKUP($A464,Load!$B:$B,Load!L:L,0,)</f>
        <v>0</v>
      </c>
      <c r="L464">
        <f>_xlfn.XLOOKUP($A464,Load!$B:$B,Load!M:M,0,)</f>
        <v>0</v>
      </c>
    </row>
    <row r="465" spans="1:12" x14ac:dyDescent="0.25">
      <c r="B465">
        <f>_xlfn.XLOOKUP($A465,Load!$B:$B,Load!C:C,0,)</f>
        <v>0</v>
      </c>
      <c r="C465">
        <f>_xlfn.XLOOKUP($A465,Load!$B:$B,Load!D:D,0,)</f>
        <v>0</v>
      </c>
      <c r="D465">
        <f>_xlfn.XLOOKUP($A465,Load!$B:$B,Load!E:E,0,)</f>
        <v>0</v>
      </c>
      <c r="E465">
        <f>_xlfn.XLOOKUP($A465,Load!$B:$B,Load!F:F,0,)</f>
        <v>0</v>
      </c>
      <c r="F465">
        <f>_xlfn.XLOOKUP($A465,Load!$B:$B,Load!G:G,0,)</f>
        <v>0</v>
      </c>
      <c r="G465">
        <f>_xlfn.XLOOKUP($A465,Load!$B:$B,Load!H:H,0,)</f>
        <v>0</v>
      </c>
      <c r="H465">
        <f>_xlfn.XLOOKUP($A465,Load!$B:$B,Load!I:I,0,)</f>
        <v>0</v>
      </c>
      <c r="I465">
        <f>_xlfn.XLOOKUP($A465,Load!$B:$B,Load!J:J,0,)</f>
        <v>0</v>
      </c>
      <c r="J465">
        <f>_xlfn.XLOOKUP($A465,Load!$B:$B,Load!K:K,0,)</f>
        <v>0</v>
      </c>
      <c r="K465">
        <f>_xlfn.XLOOKUP($A465,Load!$B:$B,Load!L:L,0,)</f>
        <v>0</v>
      </c>
      <c r="L465">
        <f>_xlfn.XLOOKUP($A465,Load!$B:$B,Load!M:M,0,)</f>
        <v>0</v>
      </c>
    </row>
    <row r="466" spans="1:12" x14ac:dyDescent="0.25">
      <c r="A466" t="s">
        <v>121</v>
      </c>
      <c r="B466" t="str">
        <f>_xlfn.XLOOKUP($A466,Load!$B:$B,Load!C:C,0,)</f>
        <v>HARIBO</v>
      </c>
      <c r="C466" t="str">
        <f>_xlfn.XLOOKUP($A466,Load!$B:$B,Load!D:D,0,)</f>
        <v>Non-Chocolate Candy Only</v>
      </c>
      <c r="D466" t="str">
        <f>_xlfn.XLOOKUP($A466,Load!$B:$B,Load!E:E,0,)</f>
        <v>Variety / Mixed Flavors (Fruity, Sour, Seasonal Flavors)</v>
      </c>
      <c r="E466" t="str">
        <f>_xlfn.XLOOKUP($A466,Load!$B:$B,Load!F:F,0,)</f>
        <v>Gummy</v>
      </c>
      <c r="F466" t="str">
        <f>_xlfn.XLOOKUP($A466,Load!$B:$B,Load!G:G,0,)</f>
        <v>Large Multipack (More than 80 ct)</v>
      </c>
      <c r="G466" t="str">
        <f>_xlfn.XLOOKUP($A466,Load!$B:$B,Load!H:H,0,)</f>
        <v>Stand-Up Bag</v>
      </c>
      <c r="H466" t="str">
        <f>_xlfn.XLOOKUP($A466,Load!$B:$B,Load!I:I,0,)</f>
        <v>Seasonal Shapes (like pumpkins, candy corn, ghost, bats, etc.)</v>
      </c>
      <c r="I466" t="str">
        <f>_xlfn.XLOOKUP($A466,Load!$B:$B,Load!J:J,0,)</f>
        <v>Seasonal Graphics (Like Bat, Ghost, Pumpkin, Fall Leaves, Eyeballs, etc.)</v>
      </c>
      <c r="J466" t="str">
        <f>_xlfn.XLOOKUP($A466,Load!$B:$B,Load!K:K,0,)</f>
        <v>Fun Size / Treat Size</v>
      </c>
      <c r="K466" t="str">
        <f>_xlfn.XLOOKUP($A466,Load!$B:$B,Load!L:L,0,)</f>
        <v>Regular/Original Wrapping</v>
      </c>
      <c r="L466" t="str">
        <f>_xlfn.XLOOKUP($A466,Load!$B:$B,Load!M:M,0,)</f>
        <v>Multiple Brands / Variety Flavors or Form</v>
      </c>
    </row>
    <row r="467" spans="1:12" x14ac:dyDescent="0.25">
      <c r="B467">
        <f>_xlfn.XLOOKUP($A467,Load!$B:$B,Load!C:C,0,)</f>
        <v>0</v>
      </c>
      <c r="C467">
        <f>_xlfn.XLOOKUP($A467,Load!$B:$B,Load!D:D,0,)</f>
        <v>0</v>
      </c>
      <c r="D467">
        <f>_xlfn.XLOOKUP($A467,Load!$B:$B,Load!E:E,0,)</f>
        <v>0</v>
      </c>
      <c r="E467">
        <f>_xlfn.XLOOKUP($A467,Load!$B:$B,Load!F:F,0,)</f>
        <v>0</v>
      </c>
      <c r="F467">
        <f>_xlfn.XLOOKUP($A467,Load!$B:$B,Load!G:G,0,)</f>
        <v>0</v>
      </c>
      <c r="G467">
        <f>_xlfn.XLOOKUP($A467,Load!$B:$B,Load!H:H,0,)</f>
        <v>0</v>
      </c>
      <c r="H467">
        <f>_xlfn.XLOOKUP($A467,Load!$B:$B,Load!I:I,0,)</f>
        <v>0</v>
      </c>
      <c r="I467">
        <f>_xlfn.XLOOKUP($A467,Load!$B:$B,Load!J:J,0,)</f>
        <v>0</v>
      </c>
      <c r="J467">
        <f>_xlfn.XLOOKUP($A467,Load!$B:$B,Load!K:K,0,)</f>
        <v>0</v>
      </c>
      <c r="K467">
        <f>_xlfn.XLOOKUP($A467,Load!$B:$B,Load!L:L,0,)</f>
        <v>0</v>
      </c>
      <c r="L467">
        <f>_xlfn.XLOOKUP($A467,Load!$B:$B,Load!M:M,0,)</f>
        <v>0</v>
      </c>
    </row>
    <row r="468" spans="1:12" x14ac:dyDescent="0.25">
      <c r="A468" t="s">
        <v>71</v>
      </c>
      <c r="B468" t="str">
        <f>_xlfn.XLOOKUP($A468,Load!$B:$B,Load!C:C,0,)</f>
        <v>Dum Dums</v>
      </c>
      <c r="C468" t="str">
        <f>_xlfn.XLOOKUP($A468,Load!$B:$B,Load!D:D,0,)</f>
        <v>Non-Chocolate Candy Only</v>
      </c>
      <c r="D468" t="str">
        <f>_xlfn.XLOOKUP($A468,Load!$B:$B,Load!E:E,0,)</f>
        <v>Sweet</v>
      </c>
      <c r="E468" t="str">
        <f>_xlfn.XLOOKUP($A468,Load!$B:$B,Load!F:F,0,)</f>
        <v>Lollipop (regular or lollipop rings)</v>
      </c>
      <c r="F468" t="str">
        <f>_xlfn.XLOOKUP($A468,Load!$B:$B,Load!G:G,0,)</f>
        <v>Large Multipack (More than 80 ct)</v>
      </c>
      <c r="G468" t="str">
        <f>_xlfn.XLOOKUP($A468,Load!$B:$B,Load!H:H,0,)</f>
        <v>Stand-Up Bag</v>
      </c>
      <c r="H468" t="str">
        <f>_xlfn.XLOOKUP($A468,Load!$B:$B,Load!I:I,0,)</f>
        <v>Everyday Candy Shapes (like Original, Gummy bear, Fruit, Jewels, etc.)</v>
      </c>
      <c r="I468" t="str">
        <f>_xlfn.XLOOKUP($A468,Load!$B:$B,Load!J:J,0,)</f>
        <v>Seasonal Graphics (Like Bat, Ghost, Pumpkin, Fall Leaves, Eyeballs, etc.)</v>
      </c>
      <c r="J468" t="str">
        <f>_xlfn.XLOOKUP($A468,Load!$B:$B,Load!K:K,0,)</f>
        <v>Regular Lollipop size (on sticks or rings)</v>
      </c>
      <c r="K468" t="str">
        <f>_xlfn.XLOOKUP($A468,Load!$B:$B,Load!L:L,0,)</f>
        <v>Regular/Original Wrapping</v>
      </c>
      <c r="L468" t="str">
        <f>_xlfn.XLOOKUP($A468,Load!$B:$B,Load!M:M,0,)</f>
        <v>Multiple Brands / Variety Flavors or Form</v>
      </c>
    </row>
    <row r="469" spans="1:12" x14ac:dyDescent="0.25">
      <c r="B469">
        <f>_xlfn.XLOOKUP($A469,Load!$B:$B,Load!C:C,0,)</f>
        <v>0</v>
      </c>
      <c r="C469">
        <f>_xlfn.XLOOKUP($A469,Load!$B:$B,Load!D:D,0,)</f>
        <v>0</v>
      </c>
      <c r="D469">
        <f>_xlfn.XLOOKUP($A469,Load!$B:$B,Load!E:E,0,)</f>
        <v>0</v>
      </c>
      <c r="E469">
        <f>_xlfn.XLOOKUP($A469,Load!$B:$B,Load!F:F,0,)</f>
        <v>0</v>
      </c>
      <c r="F469">
        <f>_xlfn.XLOOKUP($A469,Load!$B:$B,Load!G:G,0,)</f>
        <v>0</v>
      </c>
      <c r="G469">
        <f>_xlfn.XLOOKUP($A469,Load!$B:$B,Load!H:H,0,)</f>
        <v>0</v>
      </c>
      <c r="H469">
        <f>_xlfn.XLOOKUP($A469,Load!$B:$B,Load!I:I,0,)</f>
        <v>0</v>
      </c>
      <c r="I469">
        <f>_xlfn.XLOOKUP($A469,Load!$B:$B,Load!J:J,0,)</f>
        <v>0</v>
      </c>
      <c r="J469">
        <f>_xlfn.XLOOKUP($A469,Load!$B:$B,Load!K:K,0,)</f>
        <v>0</v>
      </c>
      <c r="K469">
        <f>_xlfn.XLOOKUP($A469,Load!$B:$B,Load!L:L,0,)</f>
        <v>0</v>
      </c>
      <c r="L469">
        <f>_xlfn.XLOOKUP($A469,Load!$B:$B,Load!M:M,0,)</f>
        <v>0</v>
      </c>
    </row>
    <row r="470" spans="1:12" x14ac:dyDescent="0.25">
      <c r="B470">
        <f>_xlfn.XLOOKUP($A470,Load!$B:$B,Load!C:C,0,)</f>
        <v>0</v>
      </c>
      <c r="C470">
        <f>_xlfn.XLOOKUP($A470,Load!$B:$B,Load!D:D,0,)</f>
        <v>0</v>
      </c>
      <c r="D470">
        <f>_xlfn.XLOOKUP($A470,Load!$B:$B,Load!E:E,0,)</f>
        <v>0</v>
      </c>
      <c r="E470">
        <f>_xlfn.XLOOKUP($A470,Load!$B:$B,Load!F:F,0,)</f>
        <v>0</v>
      </c>
      <c r="F470">
        <f>_xlfn.XLOOKUP($A470,Load!$B:$B,Load!G:G,0,)</f>
        <v>0</v>
      </c>
      <c r="G470">
        <f>_xlfn.XLOOKUP($A470,Load!$B:$B,Load!H:H,0,)</f>
        <v>0</v>
      </c>
      <c r="H470">
        <f>_xlfn.XLOOKUP($A470,Load!$B:$B,Load!I:I,0,)</f>
        <v>0</v>
      </c>
      <c r="I470">
        <f>_xlfn.XLOOKUP($A470,Load!$B:$B,Load!J:J,0,)</f>
        <v>0</v>
      </c>
      <c r="J470">
        <f>_xlfn.XLOOKUP($A470,Load!$B:$B,Load!K:K,0,)</f>
        <v>0</v>
      </c>
      <c r="K470">
        <f>_xlfn.XLOOKUP($A470,Load!$B:$B,Load!L:L,0,)</f>
        <v>0</v>
      </c>
      <c r="L470">
        <f>_xlfn.XLOOKUP($A470,Load!$B:$B,Load!M:M,0,)</f>
        <v>0</v>
      </c>
    </row>
    <row r="471" spans="1:12" x14ac:dyDescent="0.25">
      <c r="B471">
        <f>_xlfn.XLOOKUP($A471,Load!$B:$B,Load!C:C,0,)</f>
        <v>0</v>
      </c>
      <c r="C471">
        <f>_xlfn.XLOOKUP($A471,Load!$B:$B,Load!D:D,0,)</f>
        <v>0</v>
      </c>
      <c r="D471">
        <f>_xlfn.XLOOKUP($A471,Load!$B:$B,Load!E:E,0,)</f>
        <v>0</v>
      </c>
      <c r="E471">
        <f>_xlfn.XLOOKUP($A471,Load!$B:$B,Load!F:F,0,)</f>
        <v>0</v>
      </c>
      <c r="F471">
        <f>_xlfn.XLOOKUP($A471,Load!$B:$B,Load!G:G,0,)</f>
        <v>0</v>
      </c>
      <c r="G471">
        <f>_xlfn.XLOOKUP($A471,Load!$B:$B,Load!H:H,0,)</f>
        <v>0</v>
      </c>
      <c r="H471">
        <f>_xlfn.XLOOKUP($A471,Load!$B:$B,Load!I:I,0,)</f>
        <v>0</v>
      </c>
      <c r="I471">
        <f>_xlfn.XLOOKUP($A471,Load!$B:$B,Load!J:J,0,)</f>
        <v>0</v>
      </c>
      <c r="J471">
        <f>_xlfn.XLOOKUP($A471,Load!$B:$B,Load!K:K,0,)</f>
        <v>0</v>
      </c>
      <c r="K471">
        <f>_xlfn.XLOOKUP($A471,Load!$B:$B,Load!L:L,0,)</f>
        <v>0</v>
      </c>
      <c r="L471">
        <f>_xlfn.XLOOKUP($A471,Load!$B:$B,Load!M:M,0,)</f>
        <v>0</v>
      </c>
    </row>
    <row r="472" spans="1:12" x14ac:dyDescent="0.25">
      <c r="A472" t="s">
        <v>148</v>
      </c>
      <c r="B472" t="str">
        <f>_xlfn.XLOOKUP($A472,Load!$B:$B,Load!C:C,0,)</f>
        <v>Jelly Belly</v>
      </c>
      <c r="C472" t="str">
        <f>_xlfn.XLOOKUP($A472,Load!$B:$B,Load!D:D,0,)</f>
        <v>Non-Chocolate Candy Only</v>
      </c>
      <c r="D472" t="str">
        <f>_xlfn.XLOOKUP($A472,Load!$B:$B,Load!E:E,0,)</f>
        <v>Variety / Mixed Flavors (Fruity, Sour, Seasonal Flavors)</v>
      </c>
      <c r="E472" t="str">
        <f>_xlfn.XLOOKUP($A472,Load!$B:$B,Load!F:F,0,)</f>
        <v>Candy Pieces / Bites</v>
      </c>
      <c r="F472" t="str">
        <f>_xlfn.XLOOKUP($A472,Load!$B:$B,Load!G:G,0,)</f>
        <v>Single Pack</v>
      </c>
      <c r="G472" t="str">
        <f>_xlfn.XLOOKUP($A472,Load!$B:$B,Load!H:H,0,)</f>
        <v>Stand-Up Bag</v>
      </c>
      <c r="H472" t="str">
        <f>_xlfn.XLOOKUP($A472,Load!$B:$B,Load!I:I,0,)</f>
        <v>Everyday Candy Shapes (like Original, Gummy bear, Fruit, Jewels, etc.)</v>
      </c>
      <c r="I472" t="str">
        <f>_xlfn.XLOOKUP($A472,Load!$B:$B,Load!J:J,0,)</f>
        <v>Seasonal Graphics (Like Bat, Ghost, Pumpkin, Fall Leaves, Eyeballs, etc.)</v>
      </c>
      <c r="J472" t="str">
        <f>_xlfn.XLOOKUP($A472,Load!$B:$B,Load!K:K,0,)</f>
        <v>Small Pieces (Tiny bite size candies)</v>
      </c>
      <c r="K472" t="str">
        <f>_xlfn.XLOOKUP($A472,Load!$B:$B,Load!L:L,0,)</f>
        <v>Unwrapped</v>
      </c>
      <c r="L472" t="str">
        <f>_xlfn.XLOOKUP($A472,Load!$B:$B,Load!M:M,0,)</f>
        <v>Single Brand / Variety Flavors or Form</v>
      </c>
    </row>
    <row r="473" spans="1:12" x14ac:dyDescent="0.25">
      <c r="B473">
        <f>_xlfn.XLOOKUP($A473,Load!$B:$B,Load!C:C,0,)</f>
        <v>0</v>
      </c>
      <c r="C473">
        <f>_xlfn.XLOOKUP($A473,Load!$B:$B,Load!D:D,0,)</f>
        <v>0</v>
      </c>
      <c r="D473">
        <f>_xlfn.XLOOKUP($A473,Load!$B:$B,Load!E:E,0,)</f>
        <v>0</v>
      </c>
      <c r="E473">
        <f>_xlfn.XLOOKUP($A473,Load!$B:$B,Load!F:F,0,)</f>
        <v>0</v>
      </c>
      <c r="F473">
        <f>_xlfn.XLOOKUP($A473,Load!$B:$B,Load!G:G,0,)</f>
        <v>0</v>
      </c>
      <c r="G473">
        <f>_xlfn.XLOOKUP($A473,Load!$B:$B,Load!H:H,0,)</f>
        <v>0</v>
      </c>
      <c r="H473">
        <f>_xlfn.XLOOKUP($A473,Load!$B:$B,Load!I:I,0,)</f>
        <v>0</v>
      </c>
      <c r="I473">
        <f>_xlfn.XLOOKUP($A473,Load!$B:$B,Load!J:J,0,)</f>
        <v>0</v>
      </c>
      <c r="J473">
        <f>_xlfn.XLOOKUP($A473,Load!$B:$B,Load!K:K,0,)</f>
        <v>0</v>
      </c>
      <c r="K473">
        <f>_xlfn.XLOOKUP($A473,Load!$B:$B,Load!L:L,0,)</f>
        <v>0</v>
      </c>
      <c r="L473">
        <f>_xlfn.XLOOKUP($A473,Load!$B:$B,Load!M:M,0,)</f>
        <v>0</v>
      </c>
    </row>
    <row r="474" spans="1:12" x14ac:dyDescent="0.25">
      <c r="A474" t="s">
        <v>225</v>
      </c>
      <c r="B474" t="str">
        <f>_xlfn.XLOOKUP($A474,Load!$B:$B,Load!C:C,0,)</f>
        <v>Nerds</v>
      </c>
      <c r="C474" t="str">
        <f>_xlfn.XLOOKUP($A474,Load!$B:$B,Load!D:D,0,)</f>
        <v>Non-Chocolate Candy Only</v>
      </c>
      <c r="D474" t="str">
        <f>_xlfn.XLOOKUP($A474,Load!$B:$B,Load!E:E,0,)</f>
        <v>Sweet</v>
      </c>
      <c r="E474" t="str">
        <f>_xlfn.XLOOKUP($A474,Load!$B:$B,Load!F:F,0,)</f>
        <v>Gummy</v>
      </c>
      <c r="F474" t="str">
        <f>_xlfn.XLOOKUP($A474,Load!$B:$B,Load!G:G,0,)</f>
        <v>Single Pack</v>
      </c>
      <c r="G474" t="str">
        <f>_xlfn.XLOOKUP($A474,Load!$B:$B,Load!H:H,0,)</f>
        <v>Peg Bag</v>
      </c>
      <c r="H474" t="str">
        <f>_xlfn.XLOOKUP($A474,Load!$B:$B,Load!I:I,0,)</f>
        <v>Seasonal Shapes (like pumpkins, candy corn, ghost, bats, etc.)</v>
      </c>
      <c r="I474" t="str">
        <f>_xlfn.XLOOKUP($A474,Load!$B:$B,Load!J:J,0,)</f>
        <v>Seasonal Graphics (Like Bat, Ghost, Pumpkin, Fall Leaves, Eyeballs, etc.)</v>
      </c>
      <c r="J474" t="str">
        <f>_xlfn.XLOOKUP($A474,Load!$B:$B,Load!K:K,0,)</f>
        <v>Fun Size / Treat Size</v>
      </c>
      <c r="K474" t="str">
        <f>_xlfn.XLOOKUP($A474,Load!$B:$B,Load!L:L,0,)</f>
        <v>Unwrapped</v>
      </c>
      <c r="L474" t="str">
        <f>_xlfn.XLOOKUP($A474,Load!$B:$B,Load!M:M,0,)</f>
        <v>Single Brand / Variety Flavors or Form</v>
      </c>
    </row>
    <row r="475" spans="1:12" x14ac:dyDescent="0.25">
      <c r="B475">
        <f>_xlfn.XLOOKUP($A475,Load!$B:$B,Load!C:C,0,)</f>
        <v>0</v>
      </c>
      <c r="C475">
        <f>_xlfn.XLOOKUP($A475,Load!$B:$B,Load!D:D,0,)</f>
        <v>0</v>
      </c>
      <c r="D475">
        <f>_xlfn.XLOOKUP($A475,Load!$B:$B,Load!E:E,0,)</f>
        <v>0</v>
      </c>
      <c r="E475">
        <f>_xlfn.XLOOKUP($A475,Load!$B:$B,Load!F:F,0,)</f>
        <v>0</v>
      </c>
      <c r="F475">
        <f>_xlfn.XLOOKUP($A475,Load!$B:$B,Load!G:G,0,)</f>
        <v>0</v>
      </c>
      <c r="G475">
        <f>_xlfn.XLOOKUP($A475,Load!$B:$B,Load!H:H,0,)</f>
        <v>0</v>
      </c>
      <c r="H475">
        <f>_xlfn.XLOOKUP($A475,Load!$B:$B,Load!I:I,0,)</f>
        <v>0</v>
      </c>
      <c r="I475">
        <f>_xlfn.XLOOKUP($A475,Load!$B:$B,Load!J:J,0,)</f>
        <v>0</v>
      </c>
      <c r="J475">
        <f>_xlfn.XLOOKUP($A475,Load!$B:$B,Load!K:K,0,)</f>
        <v>0</v>
      </c>
      <c r="K475">
        <f>_xlfn.XLOOKUP($A475,Load!$B:$B,Load!L:L,0,)</f>
        <v>0</v>
      </c>
      <c r="L475">
        <f>_xlfn.XLOOKUP($A475,Load!$B:$B,Load!M:M,0,)</f>
        <v>0</v>
      </c>
    </row>
    <row r="476" spans="1:12" x14ac:dyDescent="0.25">
      <c r="A476" t="s">
        <v>256</v>
      </c>
      <c r="B476" t="str">
        <f>_xlfn.XLOOKUP($A476,Load!$B:$B,Load!C:C,0,)</f>
        <v>Skittles</v>
      </c>
      <c r="C476" t="str">
        <f>_xlfn.XLOOKUP($A476,Load!$B:$B,Load!D:D,0,)</f>
        <v>Non-Chocolate Candy Only</v>
      </c>
      <c r="D476" t="str">
        <f>_xlfn.XLOOKUP($A476,Load!$B:$B,Load!E:E,0,)</f>
        <v>Sour</v>
      </c>
      <c r="E476" t="str">
        <f>_xlfn.XLOOKUP($A476,Load!$B:$B,Load!F:F,0,)</f>
        <v>Chewy</v>
      </c>
      <c r="F476" t="str">
        <f>_xlfn.XLOOKUP($A476,Load!$B:$B,Load!G:G,0,)</f>
        <v>Single Pack</v>
      </c>
      <c r="G476" t="str">
        <f>_xlfn.XLOOKUP($A476,Load!$B:$B,Load!H:H,0,)</f>
        <v>Laydown Bag</v>
      </c>
      <c r="H476" t="str">
        <f>_xlfn.XLOOKUP($A476,Load!$B:$B,Load!I:I,0,)</f>
        <v>Seasonal Shapes (like pumpkins, candy corn, ghost, bats, etc.)</v>
      </c>
      <c r="I476" t="str">
        <f>_xlfn.XLOOKUP($A476,Load!$B:$B,Load!J:J,0,)</f>
        <v>Seasonal Graphics (Like Bat, Ghost, Pumpkin, Fall Leaves, Eyeballs, etc.)</v>
      </c>
      <c r="J476" t="str">
        <f>_xlfn.XLOOKUP($A476,Load!$B:$B,Load!K:K,0,)</f>
        <v>Small Pieces (Tiny bite size candies)</v>
      </c>
      <c r="K476" t="str">
        <f>_xlfn.XLOOKUP($A476,Load!$B:$B,Load!L:L,0,)</f>
        <v>Regular/Original Wrapping</v>
      </c>
      <c r="L476" t="str">
        <f>_xlfn.XLOOKUP($A476,Load!$B:$B,Load!M:M,0,)</f>
        <v>Single Brand / Variety Flavors or Form</v>
      </c>
    </row>
    <row r="477" spans="1:12" x14ac:dyDescent="0.25">
      <c r="A477" t="s">
        <v>109</v>
      </c>
      <c r="B477" t="str">
        <f>_xlfn.XLOOKUP($A477,Load!$B:$B,Load!C:C,0,)</f>
        <v>Frankford</v>
      </c>
      <c r="C477" t="str">
        <f>_xlfn.XLOOKUP($A477,Load!$B:$B,Load!D:D,0,)</f>
        <v>Non-Chocolate Candy Only</v>
      </c>
      <c r="D477" t="str">
        <f>_xlfn.XLOOKUP($A477,Load!$B:$B,Load!E:E,0,)</f>
        <v>Sour</v>
      </c>
      <c r="E477" t="str">
        <f>_xlfn.XLOOKUP($A477,Load!$B:$B,Load!F:F,0,)</f>
        <v>Mixed / Combo Packs (Gummy, Chewy, Taffy, etc.)</v>
      </c>
      <c r="F477" t="str">
        <f>_xlfn.XLOOKUP($A477,Load!$B:$B,Load!G:G,0,)</f>
        <v>Large Multipack (More than 80 ct)</v>
      </c>
      <c r="G477" t="str">
        <f>_xlfn.XLOOKUP($A477,Load!$B:$B,Load!H:H,0,)</f>
        <v>Laydown Bag</v>
      </c>
      <c r="H477" t="str">
        <f>_xlfn.XLOOKUP($A477,Load!$B:$B,Load!I:I,0,)</f>
        <v>Everyday Candy Shapes (like Original, Gummy bear, Fruit, Jewels, etc.)</v>
      </c>
      <c r="I477" t="str">
        <f>_xlfn.XLOOKUP($A477,Load!$B:$B,Load!J:J,0,)</f>
        <v>Seasonal Graphics (Like Bat, Ghost, Pumpkin, Fall Leaves, Eyeballs, etc.)</v>
      </c>
      <c r="J477" t="str">
        <f>_xlfn.XLOOKUP($A477,Load!$B:$B,Load!K:K,0,)</f>
        <v>Small Pieces (Tiny bite size candies)</v>
      </c>
      <c r="K477" t="str">
        <f>_xlfn.XLOOKUP($A477,Load!$B:$B,Load!L:L,0,)</f>
        <v>Regular/Original Wrapping</v>
      </c>
      <c r="L477" t="str">
        <f>_xlfn.XLOOKUP($A477,Load!$B:$B,Load!M:M,0,)</f>
        <v>Multiple Brands / Variety Flavors or Form</v>
      </c>
    </row>
    <row r="478" spans="1:12" x14ac:dyDescent="0.25">
      <c r="A478" t="s">
        <v>43</v>
      </c>
      <c r="B478" t="str">
        <f>_xlfn.XLOOKUP($A478,Load!$B:$B,Load!C:C,0,)</f>
        <v>Brach's</v>
      </c>
      <c r="C478" t="str">
        <f>_xlfn.XLOOKUP($A478,Load!$B:$B,Load!D:D,0,)</f>
        <v>Non-Chocolate Candy Only</v>
      </c>
      <c r="D478" t="str">
        <f>_xlfn.XLOOKUP($A478,Load!$B:$B,Load!E:E,0,)</f>
        <v>Fall / Seasonal Flavors (pumpkin spice, caramel apple, candy corn)</v>
      </c>
      <c r="E478" t="str">
        <f>_xlfn.XLOOKUP($A478,Load!$B:$B,Load!F:F,0,)</f>
        <v>Candy Pieces / Bites</v>
      </c>
      <c r="F478" t="str">
        <f>_xlfn.XLOOKUP($A478,Load!$B:$B,Load!G:G,0,)</f>
        <v>Single Pack</v>
      </c>
      <c r="G478" t="str">
        <f>_xlfn.XLOOKUP($A478,Load!$B:$B,Load!H:H,0,)</f>
        <v>Laydown Bag</v>
      </c>
      <c r="H478" t="str">
        <f>_xlfn.XLOOKUP($A478,Load!$B:$B,Load!I:I,0,)</f>
        <v>Seasonal Shapes (like pumpkins, candy corn, ghost, bats, etc.)</v>
      </c>
      <c r="I478" t="str">
        <f>_xlfn.XLOOKUP($A478,Load!$B:$B,Load!J:J,0,)</f>
        <v>Seasonal Graphics (Like Bat, Ghost, Pumpkin, Fall Leaves, Eyeballs, etc.)</v>
      </c>
      <c r="J478" t="str">
        <f>_xlfn.XLOOKUP($A478,Load!$B:$B,Load!K:K,0,)</f>
        <v>Small Pieces (Tiny bite size candies)</v>
      </c>
      <c r="K478" t="str">
        <f>_xlfn.XLOOKUP($A478,Load!$B:$B,Load!L:L,0,)</f>
        <v>Unwrapped</v>
      </c>
      <c r="L478" t="str">
        <f>_xlfn.XLOOKUP($A478,Load!$B:$B,Load!M:M,0,)</f>
        <v>Single Brand / Single Flavor or Form</v>
      </c>
    </row>
    <row r="479" spans="1:12" x14ac:dyDescent="0.25">
      <c r="A479" t="s">
        <v>44</v>
      </c>
      <c r="B479" t="str">
        <f>_xlfn.XLOOKUP($A479,Load!$B:$B,Load!C:C,0,)</f>
        <v>Brach's</v>
      </c>
      <c r="C479" t="str">
        <f>_xlfn.XLOOKUP($A479,Load!$B:$B,Load!D:D,0,)</f>
        <v>Non-Chocolate Candy Only</v>
      </c>
      <c r="D479" t="str">
        <f>_xlfn.XLOOKUP($A479,Load!$B:$B,Load!E:E,0,)</f>
        <v>Fall / Seasonal Flavors (pumpkin spice, caramel apple, candy corn)</v>
      </c>
      <c r="E479" t="str">
        <f>_xlfn.XLOOKUP($A479,Load!$B:$B,Load!F:F,0,)</f>
        <v>Candy Pieces / Bites</v>
      </c>
      <c r="F479" t="str">
        <f>_xlfn.XLOOKUP($A479,Load!$B:$B,Load!G:G,0,)</f>
        <v>Single Pack</v>
      </c>
      <c r="G479" t="str">
        <f>_xlfn.XLOOKUP($A479,Load!$B:$B,Load!H:H,0,)</f>
        <v>Laydown Bag</v>
      </c>
      <c r="H479" t="str">
        <f>_xlfn.XLOOKUP($A479,Load!$B:$B,Load!I:I,0,)</f>
        <v>Seasonal Shapes (like pumpkins, candy corn, ghost, bats, etc.)</v>
      </c>
      <c r="I479" t="str">
        <f>_xlfn.XLOOKUP($A479,Load!$B:$B,Load!J:J,0,)</f>
        <v>Seasonal Graphics (Like Bat, Ghost, Pumpkin, Fall Leaves, Eyeballs, etc.)</v>
      </c>
      <c r="J479" t="str">
        <f>_xlfn.XLOOKUP($A479,Load!$B:$B,Load!K:K,0,)</f>
        <v>Small Pieces (Tiny bite size candies)</v>
      </c>
      <c r="K479" t="str">
        <f>_xlfn.XLOOKUP($A479,Load!$B:$B,Load!L:L,0,)</f>
        <v>Unwrapped</v>
      </c>
      <c r="L479" t="str">
        <f>_xlfn.XLOOKUP($A479,Load!$B:$B,Load!M:M,0,)</f>
        <v>Single Brand / Single Flavor or Form</v>
      </c>
    </row>
    <row r="480" spans="1:12" x14ac:dyDescent="0.25">
      <c r="A480" t="s">
        <v>469</v>
      </c>
      <c r="B480" t="str">
        <f>_xlfn.XLOOKUP($A480,Load!$B:$B,Load!C:C,0,)</f>
        <v>Zachary</v>
      </c>
      <c r="C480" t="str">
        <f>_xlfn.XLOOKUP($A480,Load!$B:$B,Load!D:D,0,)</f>
        <v>Non-Chocolate Candy Only</v>
      </c>
      <c r="D480" t="str">
        <f>_xlfn.XLOOKUP($A480,Load!$B:$B,Load!E:E,0,)</f>
        <v>Fall / Seasonal Flavors (pumpkin spice, caramel apple, candy corn)</v>
      </c>
      <c r="E480" t="str">
        <f>_xlfn.XLOOKUP($A480,Load!$B:$B,Load!F:F,0,)</f>
        <v>Candy Pieces / Bites</v>
      </c>
      <c r="F480" t="str">
        <f>_xlfn.XLOOKUP($A480,Load!$B:$B,Load!G:G,0,)</f>
        <v>Single Pack</v>
      </c>
      <c r="G480" t="str">
        <f>_xlfn.XLOOKUP($A480,Load!$B:$B,Load!H:H,0,)</f>
        <v>Plastic Cup / Container</v>
      </c>
      <c r="H480" t="str">
        <f>_xlfn.XLOOKUP($A480,Load!$B:$B,Load!I:I,0,)</f>
        <v>Seasonal Shapes (like pumpkins, candy corn, ghost, bats, etc.)</v>
      </c>
      <c r="I480" t="str">
        <f>_xlfn.XLOOKUP($A480,Load!$B:$B,Load!J:J,0,)</f>
        <v>Seasonal Graphics (Like Bat, Ghost, Pumpkin, Fall Leaves, Eyeballs, etc.)</v>
      </c>
      <c r="J480" t="str">
        <f>_xlfn.XLOOKUP($A480,Load!$B:$B,Load!K:K,0,)</f>
        <v>Small Pieces (Tiny bite size candies)</v>
      </c>
      <c r="K480" t="str">
        <f>_xlfn.XLOOKUP($A480,Load!$B:$B,Load!L:L,0,)</f>
        <v>Unwrapped</v>
      </c>
      <c r="L480" t="str">
        <f>_xlfn.XLOOKUP($A480,Load!$B:$B,Load!M:M,0,)</f>
        <v>Single Brand / Single Flavor or Form</v>
      </c>
    </row>
    <row r="481" spans="1:12" x14ac:dyDescent="0.25">
      <c r="A481" t="s">
        <v>470</v>
      </c>
      <c r="B481" t="str">
        <f>_xlfn.XLOOKUP($A481,Load!$B:$B,Load!C:C,0,)</f>
        <v>Zachary</v>
      </c>
      <c r="C481" t="str">
        <f>_xlfn.XLOOKUP($A481,Load!$B:$B,Load!D:D,0,)</f>
        <v>Non-Chocolate Candy Only</v>
      </c>
      <c r="D481" t="str">
        <f>_xlfn.XLOOKUP($A481,Load!$B:$B,Load!E:E,0,)</f>
        <v>Fall / Seasonal Flavors (pumpkin spice, caramel apple, candy corn)</v>
      </c>
      <c r="E481" t="str">
        <f>_xlfn.XLOOKUP($A481,Load!$B:$B,Load!F:F,0,)</f>
        <v>Candy Pieces / Bites</v>
      </c>
      <c r="F481" t="str">
        <f>_xlfn.XLOOKUP($A481,Load!$B:$B,Load!G:G,0,)</f>
        <v>Single Pack</v>
      </c>
      <c r="G481" t="str">
        <f>_xlfn.XLOOKUP($A481,Load!$B:$B,Load!H:H,0,)</f>
        <v>Laydown Bag</v>
      </c>
      <c r="H481" t="str">
        <f>_xlfn.XLOOKUP($A481,Load!$B:$B,Load!I:I,0,)</f>
        <v>Seasonal Shapes (like pumpkins, candy corn, ghost, bats, etc.)</v>
      </c>
      <c r="I481" t="str">
        <f>_xlfn.XLOOKUP($A481,Load!$B:$B,Load!J:J,0,)</f>
        <v>Seasonal Graphics (Like Bat, Ghost, Pumpkin, Fall Leaves, Eyeballs, etc.)</v>
      </c>
      <c r="J481" t="str">
        <f>_xlfn.XLOOKUP($A481,Load!$B:$B,Load!K:K,0,)</f>
        <v>Small Pieces (Tiny bite size candies)</v>
      </c>
      <c r="K481" t="str">
        <f>_xlfn.XLOOKUP($A481,Load!$B:$B,Load!L:L,0,)</f>
        <v>Unwrapped</v>
      </c>
      <c r="L481" t="str">
        <f>_xlfn.XLOOKUP($A481,Load!$B:$B,Load!M:M,0,)</f>
        <v>Single Brand / Single Flavor or Form</v>
      </c>
    </row>
    <row r="482" spans="1:12" x14ac:dyDescent="0.25">
      <c r="A482" t="s">
        <v>71</v>
      </c>
      <c r="B482" t="str">
        <f>_xlfn.XLOOKUP($A482,Load!$B:$B,Load!C:C,0,)</f>
        <v>Dum Dums</v>
      </c>
      <c r="C482" t="str">
        <f>_xlfn.XLOOKUP($A482,Load!$B:$B,Load!D:D,0,)</f>
        <v>Non-Chocolate Candy Only</v>
      </c>
      <c r="D482" t="str">
        <f>_xlfn.XLOOKUP($A482,Load!$B:$B,Load!E:E,0,)</f>
        <v>Sweet</v>
      </c>
      <c r="E482" t="str">
        <f>_xlfn.XLOOKUP($A482,Load!$B:$B,Load!F:F,0,)</f>
        <v>Lollipop (regular or lollipop rings)</v>
      </c>
      <c r="F482" t="str">
        <f>_xlfn.XLOOKUP($A482,Load!$B:$B,Load!G:G,0,)</f>
        <v>Large Multipack (More than 80 ct)</v>
      </c>
      <c r="G482" t="str">
        <f>_xlfn.XLOOKUP($A482,Load!$B:$B,Load!H:H,0,)</f>
        <v>Stand-Up Bag</v>
      </c>
      <c r="H482" t="str">
        <f>_xlfn.XLOOKUP($A482,Load!$B:$B,Load!I:I,0,)</f>
        <v>Everyday Candy Shapes (like Original, Gummy bear, Fruit, Jewels, etc.)</v>
      </c>
      <c r="I482" t="str">
        <f>_xlfn.XLOOKUP($A482,Load!$B:$B,Load!J:J,0,)</f>
        <v>Seasonal Graphics (Like Bat, Ghost, Pumpkin, Fall Leaves, Eyeballs, etc.)</v>
      </c>
      <c r="J482" t="str">
        <f>_xlfn.XLOOKUP($A482,Load!$B:$B,Load!K:K,0,)</f>
        <v>Regular Lollipop size (on sticks or rings)</v>
      </c>
      <c r="K482" t="str">
        <f>_xlfn.XLOOKUP($A482,Load!$B:$B,Load!L:L,0,)</f>
        <v>Regular/Original Wrapping</v>
      </c>
      <c r="L482" t="str">
        <f>_xlfn.XLOOKUP($A482,Load!$B:$B,Load!M:M,0,)</f>
        <v>Multiple Brands / Variety Flavors or Form</v>
      </c>
    </row>
    <row r="483" spans="1:12" x14ac:dyDescent="0.25">
      <c r="B483">
        <f>_xlfn.XLOOKUP($A483,Load!$B:$B,Load!C:C,0,)</f>
        <v>0</v>
      </c>
      <c r="C483">
        <f>_xlfn.XLOOKUP($A483,Load!$B:$B,Load!D:D,0,)</f>
        <v>0</v>
      </c>
      <c r="D483">
        <f>_xlfn.XLOOKUP($A483,Load!$B:$B,Load!E:E,0,)</f>
        <v>0</v>
      </c>
      <c r="E483">
        <f>_xlfn.XLOOKUP($A483,Load!$B:$B,Load!F:F,0,)</f>
        <v>0</v>
      </c>
      <c r="F483">
        <f>_xlfn.XLOOKUP($A483,Load!$B:$B,Load!G:G,0,)</f>
        <v>0</v>
      </c>
      <c r="G483">
        <f>_xlfn.XLOOKUP($A483,Load!$B:$B,Load!H:H,0,)</f>
        <v>0</v>
      </c>
      <c r="H483">
        <f>_xlfn.XLOOKUP($A483,Load!$B:$B,Load!I:I,0,)</f>
        <v>0</v>
      </c>
      <c r="I483">
        <f>_xlfn.XLOOKUP($A483,Load!$B:$B,Load!J:J,0,)</f>
        <v>0</v>
      </c>
      <c r="J483">
        <f>_xlfn.XLOOKUP($A483,Load!$B:$B,Load!K:K,0,)</f>
        <v>0</v>
      </c>
      <c r="K483">
        <f>_xlfn.XLOOKUP($A483,Load!$B:$B,Load!L:L,0,)</f>
        <v>0</v>
      </c>
      <c r="L483">
        <f>_xlfn.XLOOKUP($A483,Load!$B:$B,Load!M:M,0,)</f>
        <v>0</v>
      </c>
    </row>
    <row r="484" spans="1:12" x14ac:dyDescent="0.25">
      <c r="B484">
        <f>_xlfn.XLOOKUP($A484,Load!$B:$B,Load!C:C,0,)</f>
        <v>0</v>
      </c>
      <c r="C484">
        <f>_xlfn.XLOOKUP($A484,Load!$B:$B,Load!D:D,0,)</f>
        <v>0</v>
      </c>
      <c r="D484">
        <f>_xlfn.XLOOKUP($A484,Load!$B:$B,Load!E:E,0,)</f>
        <v>0</v>
      </c>
      <c r="E484">
        <f>_xlfn.XLOOKUP($A484,Load!$B:$B,Load!F:F,0,)</f>
        <v>0</v>
      </c>
      <c r="F484">
        <f>_xlfn.XLOOKUP($A484,Load!$B:$B,Load!G:G,0,)</f>
        <v>0</v>
      </c>
      <c r="G484">
        <f>_xlfn.XLOOKUP($A484,Load!$B:$B,Load!H:H,0,)</f>
        <v>0</v>
      </c>
      <c r="H484">
        <f>_xlfn.XLOOKUP($A484,Load!$B:$B,Load!I:I,0,)</f>
        <v>0</v>
      </c>
      <c r="I484">
        <f>_xlfn.XLOOKUP($A484,Load!$B:$B,Load!J:J,0,)</f>
        <v>0</v>
      </c>
      <c r="J484">
        <f>_xlfn.XLOOKUP($A484,Load!$B:$B,Load!K:K,0,)</f>
        <v>0</v>
      </c>
      <c r="K484">
        <f>_xlfn.XLOOKUP($A484,Load!$B:$B,Load!L:L,0,)</f>
        <v>0</v>
      </c>
      <c r="L484">
        <f>_xlfn.XLOOKUP($A484,Load!$B:$B,Load!M:M,0,)</f>
        <v>0</v>
      </c>
    </row>
    <row r="485" spans="1:12" x14ac:dyDescent="0.25">
      <c r="B485">
        <f>_xlfn.XLOOKUP($A485,Load!$B:$B,Load!C:C,0,)</f>
        <v>0</v>
      </c>
      <c r="C485">
        <f>_xlfn.XLOOKUP($A485,Load!$B:$B,Load!D:D,0,)</f>
        <v>0</v>
      </c>
      <c r="D485">
        <f>_xlfn.XLOOKUP($A485,Load!$B:$B,Load!E:E,0,)</f>
        <v>0</v>
      </c>
      <c r="E485">
        <f>_xlfn.XLOOKUP($A485,Load!$B:$B,Load!F:F,0,)</f>
        <v>0</v>
      </c>
      <c r="F485">
        <f>_xlfn.XLOOKUP($A485,Load!$B:$B,Load!G:G,0,)</f>
        <v>0</v>
      </c>
      <c r="G485">
        <f>_xlfn.XLOOKUP($A485,Load!$B:$B,Load!H:H,0,)</f>
        <v>0</v>
      </c>
      <c r="H485">
        <f>_xlfn.XLOOKUP($A485,Load!$B:$B,Load!I:I,0,)</f>
        <v>0</v>
      </c>
      <c r="I485">
        <f>_xlfn.XLOOKUP($A485,Load!$B:$B,Load!J:J,0,)</f>
        <v>0</v>
      </c>
      <c r="J485">
        <f>_xlfn.XLOOKUP($A485,Load!$B:$B,Load!K:K,0,)</f>
        <v>0</v>
      </c>
      <c r="K485">
        <f>_xlfn.XLOOKUP($A485,Load!$B:$B,Load!L:L,0,)</f>
        <v>0</v>
      </c>
      <c r="L485">
        <f>_xlfn.XLOOKUP($A485,Load!$B:$B,Load!M:M,0,)</f>
        <v>0</v>
      </c>
    </row>
    <row r="486" spans="1:12" x14ac:dyDescent="0.25">
      <c r="A486" t="s">
        <v>290</v>
      </c>
      <c r="B486" t="str">
        <f>_xlfn.XLOOKUP($A486,Load!$B:$B,Load!C:C,0,)</f>
        <v>Tootsie</v>
      </c>
      <c r="C486" t="str">
        <f>_xlfn.XLOOKUP($A486,Load!$B:$B,Load!D:D,0,)</f>
        <v>Mix of Chocolate and Non-Chocolate Candy</v>
      </c>
      <c r="D486" t="str">
        <f>_xlfn.XLOOKUP($A486,Load!$B:$B,Load!E:E,0,)</f>
        <v>Variety / Mixed Flavors (Fruity, Sour, Seasonal Flavors)</v>
      </c>
      <c r="E486" t="str">
        <f>_xlfn.XLOOKUP($A486,Load!$B:$B,Load!F:F,0,)</f>
        <v>Mixed / Combo Packs (Gummy, Chewy, Taffy, etc.)</v>
      </c>
      <c r="F486" t="str">
        <f>_xlfn.XLOOKUP($A486,Load!$B:$B,Load!G:G,0,)</f>
        <v>Large Multipack (More than 80 ct)</v>
      </c>
      <c r="G486" t="str">
        <f>_xlfn.XLOOKUP($A486,Load!$B:$B,Load!H:H,0,)</f>
        <v>Laydown Bag</v>
      </c>
      <c r="H486" t="str">
        <f>_xlfn.XLOOKUP($A486,Load!$B:$B,Load!I:I,0,)</f>
        <v>Everyday Candy Shapes (like Original, Gummy bear, Fruit, Jewels, etc.)</v>
      </c>
      <c r="I486" t="str">
        <f>_xlfn.XLOOKUP($A486,Load!$B:$B,Load!J:J,0,)</f>
        <v>Everyday Graphics</v>
      </c>
      <c r="J486" t="str">
        <f>_xlfn.XLOOKUP($A486,Load!$B:$B,Load!K:K,0,)</f>
        <v>Fun Size / Treat Size</v>
      </c>
      <c r="K486" t="str">
        <f>_xlfn.XLOOKUP($A486,Load!$B:$B,Load!L:L,0,)</f>
        <v>Regular/Original Wrapping</v>
      </c>
      <c r="L486" t="str">
        <f>_xlfn.XLOOKUP($A486,Load!$B:$B,Load!M:M,0,)</f>
        <v>Single Brand / Variety Flavors or Form</v>
      </c>
    </row>
    <row r="487" spans="1:12" x14ac:dyDescent="0.25">
      <c r="B487">
        <f>_xlfn.XLOOKUP($A487,Load!$B:$B,Load!C:C,0,)</f>
        <v>0</v>
      </c>
      <c r="C487">
        <f>_xlfn.XLOOKUP($A487,Load!$B:$B,Load!D:D,0,)</f>
        <v>0</v>
      </c>
      <c r="D487">
        <f>_xlfn.XLOOKUP($A487,Load!$B:$B,Load!E:E,0,)</f>
        <v>0</v>
      </c>
      <c r="E487">
        <f>_xlfn.XLOOKUP($A487,Load!$B:$B,Load!F:F,0,)</f>
        <v>0</v>
      </c>
      <c r="F487">
        <f>_xlfn.XLOOKUP($A487,Load!$B:$B,Load!G:G,0,)</f>
        <v>0</v>
      </c>
      <c r="G487">
        <f>_xlfn.XLOOKUP($A487,Load!$B:$B,Load!H:H,0,)</f>
        <v>0</v>
      </c>
      <c r="H487">
        <f>_xlfn.XLOOKUP($A487,Load!$B:$B,Load!I:I,0,)</f>
        <v>0</v>
      </c>
      <c r="I487">
        <f>_xlfn.XLOOKUP($A487,Load!$B:$B,Load!J:J,0,)</f>
        <v>0</v>
      </c>
      <c r="J487">
        <f>_xlfn.XLOOKUP($A487,Load!$B:$B,Load!K:K,0,)</f>
        <v>0</v>
      </c>
      <c r="K487">
        <f>_xlfn.XLOOKUP($A487,Load!$B:$B,Load!L:L,0,)</f>
        <v>0</v>
      </c>
      <c r="L487">
        <f>_xlfn.XLOOKUP($A487,Load!$B:$B,Load!M:M,0,)</f>
        <v>0</v>
      </c>
    </row>
    <row r="488" spans="1:12" x14ac:dyDescent="0.25">
      <c r="A488" t="s">
        <v>307</v>
      </c>
      <c r="B488" t="str">
        <f>_xlfn.XLOOKUP($A488,Load!$B:$B,Load!C:C,0,)</f>
        <v>Werther's Original</v>
      </c>
      <c r="C488" t="str">
        <f>_xlfn.XLOOKUP($A488,Load!$B:$B,Load!D:D,0,)</f>
        <v>Non-Chocolate Candy Only</v>
      </c>
      <c r="D488" t="str">
        <f>_xlfn.XLOOKUP($A488,Load!$B:$B,Load!E:E,0,)</f>
        <v>Fall / Seasonal Flavors (pumpkin spice, caramel apple, candy corn)</v>
      </c>
      <c r="E488" t="str">
        <f>_xlfn.XLOOKUP($A488,Load!$B:$B,Load!F:F,0,)</f>
        <v>Hard Candy</v>
      </c>
      <c r="F488" t="str">
        <f>_xlfn.XLOOKUP($A488,Load!$B:$B,Load!G:G,0,)</f>
        <v>Single Pack</v>
      </c>
      <c r="G488" t="str">
        <f>_xlfn.XLOOKUP($A488,Load!$B:$B,Load!H:H,0,)</f>
        <v>Stand-Up Bag</v>
      </c>
      <c r="H488" t="str">
        <f>_xlfn.XLOOKUP($A488,Load!$B:$B,Load!I:I,0,)</f>
        <v>Everyday Candy Shapes (like Original, Gummy bear, Fruit, Jewels, etc.)</v>
      </c>
      <c r="I488" t="str">
        <f>_xlfn.XLOOKUP($A488,Load!$B:$B,Load!J:J,0,)</f>
        <v>Seasonal Graphics (Like Bat, Ghost, Pumpkin, Fall Leaves, Eyeballs, etc.)</v>
      </c>
      <c r="J488" t="str">
        <f>_xlfn.XLOOKUP($A488,Load!$B:$B,Load!K:K,0,)</f>
        <v>Fun Size / Treat Size</v>
      </c>
      <c r="K488" t="str">
        <f>_xlfn.XLOOKUP($A488,Load!$B:$B,Load!L:L,0,)</f>
        <v>Regular/Original Wrapping</v>
      </c>
      <c r="L488" t="str">
        <f>_xlfn.XLOOKUP($A488,Load!$B:$B,Load!M:M,0,)</f>
        <v>Single Brand / Single Flavor or Form</v>
      </c>
    </row>
    <row r="489" spans="1:12" x14ac:dyDescent="0.25">
      <c r="B489">
        <f>_xlfn.XLOOKUP($A489,Load!$B:$B,Load!C:C,0,)</f>
        <v>0</v>
      </c>
      <c r="C489">
        <f>_xlfn.XLOOKUP($A489,Load!$B:$B,Load!D:D,0,)</f>
        <v>0</v>
      </c>
      <c r="D489">
        <f>_xlfn.XLOOKUP($A489,Load!$B:$B,Load!E:E,0,)</f>
        <v>0</v>
      </c>
      <c r="E489">
        <f>_xlfn.XLOOKUP($A489,Load!$B:$B,Load!F:F,0,)</f>
        <v>0</v>
      </c>
      <c r="F489">
        <f>_xlfn.XLOOKUP($A489,Load!$B:$B,Load!G:G,0,)</f>
        <v>0</v>
      </c>
      <c r="G489">
        <f>_xlfn.XLOOKUP($A489,Load!$B:$B,Load!H:H,0,)</f>
        <v>0</v>
      </c>
      <c r="H489">
        <f>_xlfn.XLOOKUP($A489,Load!$B:$B,Load!I:I,0,)</f>
        <v>0</v>
      </c>
      <c r="I489">
        <f>_xlfn.XLOOKUP($A489,Load!$B:$B,Load!J:J,0,)</f>
        <v>0</v>
      </c>
      <c r="J489">
        <f>_xlfn.XLOOKUP($A489,Load!$B:$B,Load!K:K,0,)</f>
        <v>0</v>
      </c>
      <c r="K489">
        <f>_xlfn.XLOOKUP($A489,Load!$B:$B,Load!L:L,0,)</f>
        <v>0</v>
      </c>
      <c r="L489">
        <f>_xlfn.XLOOKUP($A489,Load!$B:$B,Load!M:M,0,)</f>
        <v>0</v>
      </c>
    </row>
    <row r="490" spans="1:12" x14ac:dyDescent="0.25">
      <c r="A490" t="s">
        <v>71</v>
      </c>
      <c r="B490" t="str">
        <f>_xlfn.XLOOKUP($A490,Load!$B:$B,Load!C:C,0,)</f>
        <v>Dum Dums</v>
      </c>
      <c r="C490" t="str">
        <f>_xlfn.XLOOKUP($A490,Load!$B:$B,Load!D:D,0,)</f>
        <v>Non-Chocolate Candy Only</v>
      </c>
      <c r="D490" t="str">
        <f>_xlfn.XLOOKUP($A490,Load!$B:$B,Load!E:E,0,)</f>
        <v>Sweet</v>
      </c>
      <c r="E490" t="str">
        <f>_xlfn.XLOOKUP($A490,Load!$B:$B,Load!F:F,0,)</f>
        <v>Lollipop (regular or lollipop rings)</v>
      </c>
      <c r="F490" t="str">
        <f>_xlfn.XLOOKUP($A490,Load!$B:$B,Load!G:G,0,)</f>
        <v>Large Multipack (More than 80 ct)</v>
      </c>
      <c r="G490" t="str">
        <f>_xlfn.XLOOKUP($A490,Load!$B:$B,Load!H:H,0,)</f>
        <v>Stand-Up Bag</v>
      </c>
      <c r="H490" t="str">
        <f>_xlfn.XLOOKUP($A490,Load!$B:$B,Load!I:I,0,)</f>
        <v>Everyday Candy Shapes (like Original, Gummy bear, Fruit, Jewels, etc.)</v>
      </c>
      <c r="I490" t="str">
        <f>_xlfn.XLOOKUP($A490,Load!$B:$B,Load!J:J,0,)</f>
        <v>Seasonal Graphics (Like Bat, Ghost, Pumpkin, Fall Leaves, Eyeballs, etc.)</v>
      </c>
      <c r="J490" t="str">
        <f>_xlfn.XLOOKUP($A490,Load!$B:$B,Load!K:K,0,)</f>
        <v>Regular Lollipop size (on sticks or rings)</v>
      </c>
      <c r="K490" t="str">
        <f>_xlfn.XLOOKUP($A490,Load!$B:$B,Load!L:L,0,)</f>
        <v>Regular/Original Wrapping</v>
      </c>
      <c r="L490" t="str">
        <f>_xlfn.XLOOKUP($A490,Load!$B:$B,Load!M:M,0,)</f>
        <v>Multiple Brands / Variety Flavors or Form</v>
      </c>
    </row>
    <row r="491" spans="1:12" x14ac:dyDescent="0.25">
      <c r="B491">
        <f>_xlfn.XLOOKUP($A491,Load!$B:$B,Load!C:C,0,)</f>
        <v>0</v>
      </c>
      <c r="C491">
        <f>_xlfn.XLOOKUP($A491,Load!$B:$B,Load!D:D,0,)</f>
        <v>0</v>
      </c>
      <c r="D491">
        <f>_xlfn.XLOOKUP($A491,Load!$B:$B,Load!E:E,0,)</f>
        <v>0</v>
      </c>
      <c r="E491">
        <f>_xlfn.XLOOKUP($A491,Load!$B:$B,Load!F:F,0,)</f>
        <v>0</v>
      </c>
      <c r="F491">
        <f>_xlfn.XLOOKUP($A491,Load!$B:$B,Load!G:G,0,)</f>
        <v>0</v>
      </c>
      <c r="G491">
        <f>_xlfn.XLOOKUP($A491,Load!$B:$B,Load!H:H,0,)</f>
        <v>0</v>
      </c>
      <c r="H491">
        <f>_xlfn.XLOOKUP($A491,Load!$B:$B,Load!I:I,0,)</f>
        <v>0</v>
      </c>
      <c r="I491">
        <f>_xlfn.XLOOKUP($A491,Load!$B:$B,Load!J:J,0,)</f>
        <v>0</v>
      </c>
      <c r="J491">
        <f>_xlfn.XLOOKUP($A491,Load!$B:$B,Load!K:K,0,)</f>
        <v>0</v>
      </c>
      <c r="K491">
        <f>_xlfn.XLOOKUP($A491,Load!$B:$B,Load!L:L,0,)</f>
        <v>0</v>
      </c>
      <c r="L491">
        <f>_xlfn.XLOOKUP($A491,Load!$B:$B,Load!M:M,0,)</f>
        <v>0</v>
      </c>
    </row>
    <row r="492" spans="1:12" x14ac:dyDescent="0.25">
      <c r="A492" t="s">
        <v>31</v>
      </c>
      <c r="B492" t="str">
        <f>_xlfn.XLOOKUP($A492,Load!$B:$B,Load!C:C,0,)</f>
        <v>AMOS</v>
      </c>
      <c r="C492" t="str">
        <f>_xlfn.XLOOKUP($A492,Load!$B:$B,Load!D:D,0,)</f>
        <v>Non-Chocolate Candy Only</v>
      </c>
      <c r="D492" t="str">
        <f>_xlfn.XLOOKUP($A492,Load!$B:$B,Load!E:E,0,)</f>
        <v>Berry Based (Raspberry, Strawberry, Medley, etc.)</v>
      </c>
      <c r="E492" t="str">
        <f>_xlfn.XLOOKUP($A492,Load!$B:$B,Load!F:F,0,)</f>
        <v>Gummy</v>
      </c>
      <c r="F492" t="str">
        <f>_xlfn.XLOOKUP($A492,Load!$B:$B,Load!G:G,0,)</f>
        <v>Medium Multipack (40–80 ct)</v>
      </c>
      <c r="G492" t="str">
        <f>_xlfn.XLOOKUP($A492,Load!$B:$B,Load!H:H,0,)</f>
        <v>Laydown Bag</v>
      </c>
      <c r="H492" t="str">
        <f>_xlfn.XLOOKUP($A492,Load!$B:$B,Load!I:I,0,)</f>
        <v>Seasonal Shapes (like pumpkins, candy corn, ghost, bats, etc.)</v>
      </c>
      <c r="I492" t="str">
        <f>_xlfn.XLOOKUP($A492,Load!$B:$B,Load!J:J,0,)</f>
        <v>Seasonal Graphics (Like Bat, Ghost, Pumpkin, Fall Leaves, Eyeballs, etc.)</v>
      </c>
      <c r="J492" t="str">
        <f>_xlfn.XLOOKUP($A492,Load!$B:$B,Load!K:K,0,)</f>
        <v>Small Pieces (Tiny bite size candies)</v>
      </c>
      <c r="K492" t="str">
        <f>_xlfn.XLOOKUP($A492,Load!$B:$B,Load!L:L,0,)</f>
        <v>Unwrapped</v>
      </c>
      <c r="L492" t="str">
        <f>_xlfn.XLOOKUP($A492,Load!$B:$B,Load!M:M,0,)</f>
        <v>Single Brand / Variety Flavors or Form</v>
      </c>
    </row>
    <row r="493" spans="1:12" x14ac:dyDescent="0.25">
      <c r="A493" t="s">
        <v>248</v>
      </c>
      <c r="B493" t="str">
        <f>_xlfn.XLOOKUP($A493,Load!$B:$B,Load!C:C,0,)</f>
        <v>Rolling Pin</v>
      </c>
      <c r="C493" t="str">
        <f>_xlfn.XLOOKUP($A493,Load!$B:$B,Load!D:D,0,)</f>
        <v>Non-Chocolate Candy Only</v>
      </c>
      <c r="D493" t="str">
        <f>_xlfn.XLOOKUP($A493,Load!$B:$B,Load!E:E,0,)</f>
        <v>Fall / Seasonal Flavors (pumpkin spice, caramel apple, candy corn)</v>
      </c>
      <c r="E493" t="str">
        <f>_xlfn.XLOOKUP($A493,Load!$B:$B,Load!F:F,0,)</f>
        <v>Candy Pieces / Bites</v>
      </c>
      <c r="F493" t="str">
        <f>_xlfn.XLOOKUP($A493,Load!$B:$B,Load!G:G,0,)</f>
        <v>Small Multipack (Less than 40 ct)</v>
      </c>
      <c r="G493" t="str">
        <f>_xlfn.XLOOKUP($A493,Load!$B:$B,Load!H:H,0,)</f>
        <v>Stand-Up Bag</v>
      </c>
      <c r="H493" t="str">
        <f>_xlfn.XLOOKUP($A493,Load!$B:$B,Load!I:I,0,)</f>
        <v>Seasonal Shapes (like pumpkins, candy corn, ghost, bats, etc.)</v>
      </c>
      <c r="I493" t="str">
        <f>_xlfn.XLOOKUP($A493,Load!$B:$B,Load!J:J,0,)</f>
        <v>Seasonal Graphics (Like Bat, Ghost, Pumpkin, Fall Leaves, Eyeballs, etc.)</v>
      </c>
      <c r="J493" t="str">
        <f>_xlfn.XLOOKUP($A493,Load!$B:$B,Load!K:K,0,)</f>
        <v>Small Pieces (Tiny bite size candies)</v>
      </c>
      <c r="K493" t="str">
        <f>_xlfn.XLOOKUP($A493,Load!$B:$B,Load!L:L,0,)</f>
        <v>Unwrapped</v>
      </c>
      <c r="L493" t="str">
        <f>_xlfn.XLOOKUP($A493,Load!$B:$B,Load!M:M,0,)</f>
        <v>Single Brand / Variety Flavors or Form</v>
      </c>
    </row>
    <row r="494" spans="1:12" x14ac:dyDescent="0.25">
      <c r="B494">
        <f>_xlfn.XLOOKUP($A494,Load!$B:$B,Load!C:C,0,)</f>
        <v>0</v>
      </c>
      <c r="C494">
        <f>_xlfn.XLOOKUP($A494,Load!$B:$B,Load!D:D,0,)</f>
        <v>0</v>
      </c>
      <c r="D494">
        <f>_xlfn.XLOOKUP($A494,Load!$B:$B,Load!E:E,0,)</f>
        <v>0</v>
      </c>
      <c r="E494">
        <f>_xlfn.XLOOKUP($A494,Load!$B:$B,Load!F:F,0,)</f>
        <v>0</v>
      </c>
      <c r="F494">
        <f>_xlfn.XLOOKUP($A494,Load!$B:$B,Load!G:G,0,)</f>
        <v>0</v>
      </c>
      <c r="G494">
        <f>_xlfn.XLOOKUP($A494,Load!$B:$B,Load!H:H,0,)</f>
        <v>0</v>
      </c>
      <c r="H494">
        <f>_xlfn.XLOOKUP($A494,Load!$B:$B,Load!I:I,0,)</f>
        <v>0</v>
      </c>
      <c r="I494">
        <f>_xlfn.XLOOKUP($A494,Load!$B:$B,Load!J:J,0,)</f>
        <v>0</v>
      </c>
      <c r="J494">
        <f>_xlfn.XLOOKUP($A494,Load!$B:$B,Load!K:K,0,)</f>
        <v>0</v>
      </c>
      <c r="K494">
        <f>_xlfn.XLOOKUP($A494,Load!$B:$B,Load!L:L,0,)</f>
        <v>0</v>
      </c>
      <c r="L494">
        <f>_xlfn.XLOOKUP($A494,Load!$B:$B,Load!M:M,0,)</f>
        <v>0</v>
      </c>
    </row>
    <row r="495" spans="1:12" x14ac:dyDescent="0.25">
      <c r="B495">
        <f>_xlfn.XLOOKUP($A495,Load!$B:$B,Load!C:C,0,)</f>
        <v>0</v>
      </c>
      <c r="C495">
        <f>_xlfn.XLOOKUP($A495,Load!$B:$B,Load!D:D,0,)</f>
        <v>0</v>
      </c>
      <c r="D495">
        <f>_xlfn.XLOOKUP($A495,Load!$B:$B,Load!E:E,0,)</f>
        <v>0</v>
      </c>
      <c r="E495">
        <f>_xlfn.XLOOKUP($A495,Load!$B:$B,Load!F:F,0,)</f>
        <v>0</v>
      </c>
      <c r="F495">
        <f>_xlfn.XLOOKUP($A495,Load!$B:$B,Load!G:G,0,)</f>
        <v>0</v>
      </c>
      <c r="G495">
        <f>_xlfn.XLOOKUP($A495,Load!$B:$B,Load!H:H,0,)</f>
        <v>0</v>
      </c>
      <c r="H495">
        <f>_xlfn.XLOOKUP($A495,Load!$B:$B,Load!I:I,0,)</f>
        <v>0</v>
      </c>
      <c r="I495">
        <f>_xlfn.XLOOKUP($A495,Load!$B:$B,Load!J:J,0,)</f>
        <v>0</v>
      </c>
      <c r="J495">
        <f>_xlfn.XLOOKUP($A495,Load!$B:$B,Load!K:K,0,)</f>
        <v>0</v>
      </c>
      <c r="K495">
        <f>_xlfn.XLOOKUP($A495,Load!$B:$B,Load!L:L,0,)</f>
        <v>0</v>
      </c>
      <c r="L495">
        <f>_xlfn.XLOOKUP($A495,Load!$B:$B,Load!M:M,0,)</f>
        <v>0</v>
      </c>
    </row>
    <row r="496" spans="1:12" x14ac:dyDescent="0.25">
      <c r="B496">
        <f>_xlfn.XLOOKUP($A496,Load!$B:$B,Load!C:C,0,)</f>
        <v>0</v>
      </c>
      <c r="C496">
        <f>_xlfn.XLOOKUP($A496,Load!$B:$B,Load!D:D,0,)</f>
        <v>0</v>
      </c>
      <c r="D496">
        <f>_xlfn.XLOOKUP($A496,Load!$B:$B,Load!E:E,0,)</f>
        <v>0</v>
      </c>
      <c r="E496">
        <f>_xlfn.XLOOKUP($A496,Load!$B:$B,Load!F:F,0,)</f>
        <v>0</v>
      </c>
      <c r="F496">
        <f>_xlfn.XLOOKUP($A496,Load!$B:$B,Load!G:G,0,)</f>
        <v>0</v>
      </c>
      <c r="G496">
        <f>_xlfn.XLOOKUP($A496,Load!$B:$B,Load!H:H,0,)</f>
        <v>0</v>
      </c>
      <c r="H496">
        <f>_xlfn.XLOOKUP($A496,Load!$B:$B,Load!I:I,0,)</f>
        <v>0</v>
      </c>
      <c r="I496">
        <f>_xlfn.XLOOKUP($A496,Load!$B:$B,Load!J:J,0,)</f>
        <v>0</v>
      </c>
      <c r="J496">
        <f>_xlfn.XLOOKUP($A496,Load!$B:$B,Load!K:K,0,)</f>
        <v>0</v>
      </c>
      <c r="K496">
        <f>_xlfn.XLOOKUP($A496,Load!$B:$B,Load!L:L,0,)</f>
        <v>0</v>
      </c>
      <c r="L496">
        <f>_xlfn.XLOOKUP($A496,Load!$B:$B,Load!M:M,0,)</f>
        <v>0</v>
      </c>
    </row>
    <row r="497" spans="1:12" x14ac:dyDescent="0.25">
      <c r="B497">
        <f>_xlfn.XLOOKUP($A497,Load!$B:$B,Load!C:C,0,)</f>
        <v>0</v>
      </c>
      <c r="C497">
        <f>_xlfn.XLOOKUP($A497,Load!$B:$B,Load!D:D,0,)</f>
        <v>0</v>
      </c>
      <c r="D497">
        <f>_xlfn.XLOOKUP($A497,Load!$B:$B,Load!E:E,0,)</f>
        <v>0</v>
      </c>
      <c r="E497">
        <f>_xlfn.XLOOKUP($A497,Load!$B:$B,Load!F:F,0,)</f>
        <v>0</v>
      </c>
      <c r="F497">
        <f>_xlfn.XLOOKUP($A497,Load!$B:$B,Load!G:G,0,)</f>
        <v>0</v>
      </c>
      <c r="G497">
        <f>_xlfn.XLOOKUP($A497,Load!$B:$B,Load!H:H,0,)</f>
        <v>0</v>
      </c>
      <c r="H497">
        <f>_xlfn.XLOOKUP($A497,Load!$B:$B,Load!I:I,0,)</f>
        <v>0</v>
      </c>
      <c r="I497">
        <f>_xlfn.XLOOKUP($A497,Load!$B:$B,Load!J:J,0,)</f>
        <v>0</v>
      </c>
      <c r="J497">
        <f>_xlfn.XLOOKUP($A497,Load!$B:$B,Load!K:K,0,)</f>
        <v>0</v>
      </c>
      <c r="K497">
        <f>_xlfn.XLOOKUP($A497,Load!$B:$B,Load!L:L,0,)</f>
        <v>0</v>
      </c>
      <c r="L497">
        <f>_xlfn.XLOOKUP($A497,Load!$B:$B,Load!M:M,0,)</f>
        <v>0</v>
      </c>
    </row>
    <row r="498" spans="1:12" x14ac:dyDescent="0.25">
      <c r="B498">
        <f>_xlfn.XLOOKUP($A498,Load!$B:$B,Load!C:C,0,)</f>
        <v>0</v>
      </c>
      <c r="C498">
        <f>_xlfn.XLOOKUP($A498,Load!$B:$B,Load!D:D,0,)</f>
        <v>0</v>
      </c>
      <c r="D498">
        <f>_xlfn.XLOOKUP($A498,Load!$B:$B,Load!E:E,0,)</f>
        <v>0</v>
      </c>
      <c r="E498">
        <f>_xlfn.XLOOKUP($A498,Load!$B:$B,Load!F:F,0,)</f>
        <v>0</v>
      </c>
      <c r="F498">
        <f>_xlfn.XLOOKUP($A498,Load!$B:$B,Load!G:G,0,)</f>
        <v>0</v>
      </c>
      <c r="G498">
        <f>_xlfn.XLOOKUP($A498,Load!$B:$B,Load!H:H,0,)</f>
        <v>0</v>
      </c>
      <c r="H498">
        <f>_xlfn.XLOOKUP($A498,Load!$B:$B,Load!I:I,0,)</f>
        <v>0</v>
      </c>
      <c r="I498">
        <f>_xlfn.XLOOKUP($A498,Load!$B:$B,Load!J:J,0,)</f>
        <v>0</v>
      </c>
      <c r="J498">
        <f>_xlfn.XLOOKUP($A498,Load!$B:$B,Load!K:K,0,)</f>
        <v>0</v>
      </c>
      <c r="K498">
        <f>_xlfn.XLOOKUP($A498,Load!$B:$B,Load!L:L,0,)</f>
        <v>0</v>
      </c>
      <c r="L498">
        <f>_xlfn.XLOOKUP($A498,Load!$B:$B,Load!M:M,0,)</f>
        <v>0</v>
      </c>
    </row>
    <row r="499" spans="1:12" x14ac:dyDescent="0.25">
      <c r="B499">
        <f>_xlfn.XLOOKUP($A499,Load!$B:$B,Load!C:C,0,)</f>
        <v>0</v>
      </c>
      <c r="C499">
        <f>_xlfn.XLOOKUP($A499,Load!$B:$B,Load!D:D,0,)</f>
        <v>0</v>
      </c>
      <c r="D499">
        <f>_xlfn.XLOOKUP($A499,Load!$B:$B,Load!E:E,0,)</f>
        <v>0</v>
      </c>
      <c r="E499">
        <f>_xlfn.XLOOKUP($A499,Load!$B:$B,Load!F:F,0,)</f>
        <v>0</v>
      </c>
      <c r="F499">
        <f>_xlfn.XLOOKUP($A499,Load!$B:$B,Load!G:G,0,)</f>
        <v>0</v>
      </c>
      <c r="G499">
        <f>_xlfn.XLOOKUP($A499,Load!$B:$B,Load!H:H,0,)</f>
        <v>0</v>
      </c>
      <c r="H499">
        <f>_xlfn.XLOOKUP($A499,Load!$B:$B,Load!I:I,0,)</f>
        <v>0</v>
      </c>
      <c r="I499">
        <f>_xlfn.XLOOKUP($A499,Load!$B:$B,Load!J:J,0,)</f>
        <v>0</v>
      </c>
      <c r="J499">
        <f>_xlfn.XLOOKUP($A499,Load!$B:$B,Load!K:K,0,)</f>
        <v>0</v>
      </c>
      <c r="K499">
        <f>_xlfn.XLOOKUP($A499,Load!$B:$B,Load!L:L,0,)</f>
        <v>0</v>
      </c>
      <c r="L499">
        <f>_xlfn.XLOOKUP($A499,Load!$B:$B,Load!M:M,0,)</f>
        <v>0</v>
      </c>
    </row>
    <row r="500" spans="1:12" x14ac:dyDescent="0.25">
      <c r="B500">
        <f>_xlfn.XLOOKUP($A500,Load!$B:$B,Load!C:C,0,)</f>
        <v>0</v>
      </c>
      <c r="C500">
        <f>_xlfn.XLOOKUP($A500,Load!$B:$B,Load!D:D,0,)</f>
        <v>0</v>
      </c>
      <c r="D500">
        <f>_xlfn.XLOOKUP($A500,Load!$B:$B,Load!E:E,0,)</f>
        <v>0</v>
      </c>
      <c r="E500">
        <f>_xlfn.XLOOKUP($A500,Load!$B:$B,Load!F:F,0,)</f>
        <v>0</v>
      </c>
      <c r="F500">
        <f>_xlfn.XLOOKUP($A500,Load!$B:$B,Load!G:G,0,)</f>
        <v>0</v>
      </c>
      <c r="G500">
        <f>_xlfn.XLOOKUP($A500,Load!$B:$B,Load!H:H,0,)</f>
        <v>0</v>
      </c>
      <c r="H500">
        <f>_xlfn.XLOOKUP($A500,Load!$B:$B,Load!I:I,0,)</f>
        <v>0</v>
      </c>
      <c r="I500">
        <f>_xlfn.XLOOKUP($A500,Load!$B:$B,Load!J:J,0,)</f>
        <v>0</v>
      </c>
      <c r="J500">
        <f>_xlfn.XLOOKUP($A500,Load!$B:$B,Load!K:K,0,)</f>
        <v>0</v>
      </c>
      <c r="K500">
        <f>_xlfn.XLOOKUP($A500,Load!$B:$B,Load!L:L,0,)</f>
        <v>0</v>
      </c>
      <c r="L500">
        <f>_xlfn.XLOOKUP($A500,Load!$B:$B,Load!M:M,0,)</f>
        <v>0</v>
      </c>
    </row>
    <row r="501" spans="1:12" x14ac:dyDescent="0.25">
      <c r="B501">
        <f>_xlfn.XLOOKUP($A501,Load!$B:$B,Load!C:C,0,)</f>
        <v>0</v>
      </c>
      <c r="C501">
        <f>_xlfn.XLOOKUP($A501,Load!$B:$B,Load!D:D,0,)</f>
        <v>0</v>
      </c>
      <c r="D501">
        <f>_xlfn.XLOOKUP($A501,Load!$B:$B,Load!E:E,0,)</f>
        <v>0</v>
      </c>
      <c r="E501">
        <f>_xlfn.XLOOKUP($A501,Load!$B:$B,Load!F:F,0,)</f>
        <v>0</v>
      </c>
      <c r="F501">
        <f>_xlfn.XLOOKUP($A501,Load!$B:$B,Load!G:G,0,)</f>
        <v>0</v>
      </c>
      <c r="G501">
        <f>_xlfn.XLOOKUP($A501,Load!$B:$B,Load!H:H,0,)</f>
        <v>0</v>
      </c>
      <c r="H501">
        <f>_xlfn.XLOOKUP($A501,Load!$B:$B,Load!I:I,0,)</f>
        <v>0</v>
      </c>
      <c r="I501">
        <f>_xlfn.XLOOKUP($A501,Load!$B:$B,Load!J:J,0,)</f>
        <v>0</v>
      </c>
      <c r="J501">
        <f>_xlfn.XLOOKUP($A501,Load!$B:$B,Load!K:K,0,)</f>
        <v>0</v>
      </c>
      <c r="K501">
        <f>_xlfn.XLOOKUP($A501,Load!$B:$B,Load!L:L,0,)</f>
        <v>0</v>
      </c>
      <c r="L501">
        <f>_xlfn.XLOOKUP($A501,Load!$B:$B,Load!M:M,0,)</f>
        <v>0</v>
      </c>
    </row>
    <row r="502" spans="1:12" x14ac:dyDescent="0.25">
      <c r="B502">
        <f>_xlfn.XLOOKUP($A502,Load!$B:$B,Load!C:C,0,)</f>
        <v>0</v>
      </c>
      <c r="C502">
        <f>_xlfn.XLOOKUP($A502,Load!$B:$B,Load!D:D,0,)</f>
        <v>0</v>
      </c>
      <c r="D502">
        <f>_xlfn.XLOOKUP($A502,Load!$B:$B,Load!E:E,0,)</f>
        <v>0</v>
      </c>
      <c r="E502">
        <f>_xlfn.XLOOKUP($A502,Load!$B:$B,Load!F:F,0,)</f>
        <v>0</v>
      </c>
      <c r="F502">
        <f>_xlfn.XLOOKUP($A502,Load!$B:$B,Load!G:G,0,)</f>
        <v>0</v>
      </c>
      <c r="G502">
        <f>_xlfn.XLOOKUP($A502,Load!$B:$B,Load!H:H,0,)</f>
        <v>0</v>
      </c>
      <c r="H502">
        <f>_xlfn.XLOOKUP($A502,Load!$B:$B,Load!I:I,0,)</f>
        <v>0</v>
      </c>
      <c r="I502">
        <f>_xlfn.XLOOKUP($A502,Load!$B:$B,Load!J:J,0,)</f>
        <v>0</v>
      </c>
      <c r="J502">
        <f>_xlfn.XLOOKUP($A502,Load!$B:$B,Load!K:K,0,)</f>
        <v>0</v>
      </c>
      <c r="K502">
        <f>_xlfn.XLOOKUP($A502,Load!$B:$B,Load!L:L,0,)</f>
        <v>0</v>
      </c>
      <c r="L502">
        <f>_xlfn.XLOOKUP($A502,Load!$B:$B,Load!M:M,0,)</f>
        <v>0</v>
      </c>
    </row>
    <row r="503" spans="1:12" x14ac:dyDescent="0.25">
      <c r="B503">
        <f>_xlfn.XLOOKUP($A503,Load!$B:$B,Load!C:C,0,)</f>
        <v>0</v>
      </c>
      <c r="C503">
        <f>_xlfn.XLOOKUP($A503,Load!$B:$B,Load!D:D,0,)</f>
        <v>0</v>
      </c>
      <c r="D503">
        <f>_xlfn.XLOOKUP($A503,Load!$B:$B,Load!E:E,0,)</f>
        <v>0</v>
      </c>
      <c r="E503">
        <f>_xlfn.XLOOKUP($A503,Load!$B:$B,Load!F:F,0,)</f>
        <v>0</v>
      </c>
      <c r="F503">
        <f>_xlfn.XLOOKUP($A503,Load!$B:$B,Load!G:G,0,)</f>
        <v>0</v>
      </c>
      <c r="G503">
        <f>_xlfn.XLOOKUP($A503,Load!$B:$B,Load!H:H,0,)</f>
        <v>0</v>
      </c>
      <c r="H503">
        <f>_xlfn.XLOOKUP($A503,Load!$B:$B,Load!I:I,0,)</f>
        <v>0</v>
      </c>
      <c r="I503">
        <f>_xlfn.XLOOKUP($A503,Load!$B:$B,Load!J:J,0,)</f>
        <v>0</v>
      </c>
      <c r="J503">
        <f>_xlfn.XLOOKUP($A503,Load!$B:$B,Load!K:K,0,)</f>
        <v>0</v>
      </c>
      <c r="K503">
        <f>_xlfn.XLOOKUP($A503,Load!$B:$B,Load!L:L,0,)</f>
        <v>0</v>
      </c>
      <c r="L503">
        <f>_xlfn.XLOOKUP($A503,Load!$B:$B,Load!M:M,0,)</f>
        <v>0</v>
      </c>
    </row>
    <row r="504" spans="1:12" x14ac:dyDescent="0.25">
      <c r="B504">
        <f>_xlfn.XLOOKUP($A504,Load!$B:$B,Load!C:C,0,)</f>
        <v>0</v>
      </c>
      <c r="C504">
        <f>_xlfn.XLOOKUP($A504,Load!$B:$B,Load!D:D,0,)</f>
        <v>0</v>
      </c>
      <c r="D504">
        <f>_xlfn.XLOOKUP($A504,Load!$B:$B,Load!E:E,0,)</f>
        <v>0</v>
      </c>
      <c r="E504">
        <f>_xlfn.XLOOKUP($A504,Load!$B:$B,Load!F:F,0,)</f>
        <v>0</v>
      </c>
      <c r="F504">
        <f>_xlfn.XLOOKUP($A504,Load!$B:$B,Load!G:G,0,)</f>
        <v>0</v>
      </c>
      <c r="G504">
        <f>_xlfn.XLOOKUP($A504,Load!$B:$B,Load!H:H,0,)</f>
        <v>0</v>
      </c>
      <c r="H504">
        <f>_xlfn.XLOOKUP($A504,Load!$B:$B,Load!I:I,0,)</f>
        <v>0</v>
      </c>
      <c r="I504">
        <f>_xlfn.XLOOKUP($A504,Load!$B:$B,Load!J:J,0,)</f>
        <v>0</v>
      </c>
      <c r="J504">
        <f>_xlfn.XLOOKUP($A504,Load!$B:$B,Load!K:K,0,)</f>
        <v>0</v>
      </c>
      <c r="K504">
        <f>_xlfn.XLOOKUP($A504,Load!$B:$B,Load!L:L,0,)</f>
        <v>0</v>
      </c>
      <c r="L504">
        <f>_xlfn.XLOOKUP($A504,Load!$B:$B,Load!M:M,0,)</f>
        <v>0</v>
      </c>
    </row>
    <row r="505" spans="1:12" x14ac:dyDescent="0.25">
      <c r="B505">
        <f>_xlfn.XLOOKUP($A505,Load!$B:$B,Load!C:C,0,)</f>
        <v>0</v>
      </c>
      <c r="C505">
        <f>_xlfn.XLOOKUP($A505,Load!$B:$B,Load!D:D,0,)</f>
        <v>0</v>
      </c>
      <c r="D505">
        <f>_xlfn.XLOOKUP($A505,Load!$B:$B,Load!E:E,0,)</f>
        <v>0</v>
      </c>
      <c r="E505">
        <f>_xlfn.XLOOKUP($A505,Load!$B:$B,Load!F:F,0,)</f>
        <v>0</v>
      </c>
      <c r="F505">
        <f>_xlfn.XLOOKUP($A505,Load!$B:$B,Load!G:G,0,)</f>
        <v>0</v>
      </c>
      <c r="G505">
        <f>_xlfn.XLOOKUP($A505,Load!$B:$B,Load!H:H,0,)</f>
        <v>0</v>
      </c>
      <c r="H505">
        <f>_xlfn.XLOOKUP($A505,Load!$B:$B,Load!I:I,0,)</f>
        <v>0</v>
      </c>
      <c r="I505">
        <f>_xlfn.XLOOKUP($A505,Load!$B:$B,Load!J:J,0,)</f>
        <v>0</v>
      </c>
      <c r="J505">
        <f>_xlfn.XLOOKUP($A505,Load!$B:$B,Load!K:K,0,)</f>
        <v>0</v>
      </c>
      <c r="K505">
        <f>_xlfn.XLOOKUP($A505,Load!$B:$B,Load!L:L,0,)</f>
        <v>0</v>
      </c>
      <c r="L505">
        <f>_xlfn.XLOOKUP($A505,Load!$B:$B,Load!M:M,0,)</f>
        <v>0</v>
      </c>
    </row>
    <row r="506" spans="1:12" x14ac:dyDescent="0.25">
      <c r="A506" t="s">
        <v>227</v>
      </c>
      <c r="B506" t="str">
        <f>_xlfn.XLOOKUP($A506,Load!$B:$B,Load!C:C,0,)</f>
        <v>Nerds</v>
      </c>
      <c r="C506" t="str">
        <f>_xlfn.XLOOKUP($A506,Load!$B:$B,Load!D:D,0,)</f>
        <v>Non-Chocolate Candy Only</v>
      </c>
      <c r="D506" t="str">
        <f>_xlfn.XLOOKUP($A506,Load!$B:$B,Load!E:E,0,)</f>
        <v>Sweet</v>
      </c>
      <c r="E506" t="str">
        <f>_xlfn.XLOOKUP($A506,Load!$B:$B,Load!F:F,0,)</f>
        <v>Chewy</v>
      </c>
      <c r="F506" t="str">
        <f>_xlfn.XLOOKUP($A506,Load!$B:$B,Load!G:G,0,)</f>
        <v>Single Pack</v>
      </c>
      <c r="G506" t="str">
        <f>_xlfn.XLOOKUP($A506,Load!$B:$B,Load!H:H,0,)</f>
        <v>Laydown Bag</v>
      </c>
      <c r="H506" t="str">
        <f>_xlfn.XLOOKUP($A506,Load!$B:$B,Load!I:I,0,)</f>
        <v>Seasonal Shapes (like pumpkins, candy corn, ghost, bats, etc.)</v>
      </c>
      <c r="I506" t="str">
        <f>_xlfn.XLOOKUP($A506,Load!$B:$B,Load!J:J,0,)</f>
        <v>Seasonal Graphics (Like Bat, Ghost, Pumpkin, Fall Leaves, Eyeballs, etc.)</v>
      </c>
      <c r="J506" t="str">
        <f>_xlfn.XLOOKUP($A506,Load!$B:$B,Load!K:K,0,)</f>
        <v>Small Pieces (Tiny bite size candies)</v>
      </c>
      <c r="K506" t="str">
        <f>_xlfn.XLOOKUP($A506,Load!$B:$B,Load!L:L,0,)</f>
        <v>Unwrapped</v>
      </c>
      <c r="L506" t="str">
        <f>_xlfn.XLOOKUP($A506,Load!$B:$B,Load!M:M,0,)</f>
        <v>Single Brand / Variety Flavors or Form</v>
      </c>
    </row>
    <row r="507" spans="1:12" x14ac:dyDescent="0.25">
      <c r="B507">
        <f>_xlfn.XLOOKUP($A507,Load!$B:$B,Load!C:C,0,)</f>
        <v>0</v>
      </c>
      <c r="C507">
        <f>_xlfn.XLOOKUP($A507,Load!$B:$B,Load!D:D,0,)</f>
        <v>0</v>
      </c>
      <c r="D507">
        <f>_xlfn.XLOOKUP($A507,Load!$B:$B,Load!E:E,0,)</f>
        <v>0</v>
      </c>
      <c r="E507">
        <f>_xlfn.XLOOKUP($A507,Load!$B:$B,Load!F:F,0,)</f>
        <v>0</v>
      </c>
      <c r="F507">
        <f>_xlfn.XLOOKUP($A507,Load!$B:$B,Load!G:G,0,)</f>
        <v>0</v>
      </c>
      <c r="G507">
        <f>_xlfn.XLOOKUP($A507,Load!$B:$B,Load!H:H,0,)</f>
        <v>0</v>
      </c>
      <c r="H507">
        <f>_xlfn.XLOOKUP($A507,Load!$B:$B,Load!I:I,0,)</f>
        <v>0</v>
      </c>
      <c r="I507">
        <f>_xlfn.XLOOKUP($A507,Load!$B:$B,Load!J:J,0,)</f>
        <v>0</v>
      </c>
      <c r="J507">
        <f>_xlfn.XLOOKUP($A507,Load!$B:$B,Load!K:K,0,)</f>
        <v>0</v>
      </c>
      <c r="K507">
        <f>_xlfn.XLOOKUP($A507,Load!$B:$B,Load!L:L,0,)</f>
        <v>0</v>
      </c>
      <c r="L507">
        <f>_xlfn.XLOOKUP($A507,Load!$B:$B,Load!M:M,0,)</f>
        <v>0</v>
      </c>
    </row>
    <row r="508" spans="1:12" x14ac:dyDescent="0.25">
      <c r="B508">
        <f>_xlfn.XLOOKUP($A508,Load!$B:$B,Load!C:C,0,)</f>
        <v>0</v>
      </c>
      <c r="C508">
        <f>_xlfn.XLOOKUP($A508,Load!$B:$B,Load!D:D,0,)</f>
        <v>0</v>
      </c>
      <c r="D508">
        <f>_xlfn.XLOOKUP($A508,Load!$B:$B,Load!E:E,0,)</f>
        <v>0</v>
      </c>
      <c r="E508">
        <f>_xlfn.XLOOKUP($A508,Load!$B:$B,Load!F:F,0,)</f>
        <v>0</v>
      </c>
      <c r="F508">
        <f>_xlfn.XLOOKUP($A508,Load!$B:$B,Load!G:G,0,)</f>
        <v>0</v>
      </c>
      <c r="G508">
        <f>_xlfn.XLOOKUP($A508,Load!$B:$B,Load!H:H,0,)</f>
        <v>0</v>
      </c>
      <c r="H508">
        <f>_xlfn.XLOOKUP($A508,Load!$B:$B,Load!I:I,0,)</f>
        <v>0</v>
      </c>
      <c r="I508">
        <f>_xlfn.XLOOKUP($A508,Load!$B:$B,Load!J:J,0,)</f>
        <v>0</v>
      </c>
      <c r="J508">
        <f>_xlfn.XLOOKUP($A508,Load!$B:$B,Load!K:K,0,)</f>
        <v>0</v>
      </c>
      <c r="K508">
        <f>_xlfn.XLOOKUP($A508,Load!$B:$B,Load!L:L,0,)</f>
        <v>0</v>
      </c>
      <c r="L508">
        <f>_xlfn.XLOOKUP($A508,Load!$B:$B,Load!M:M,0,)</f>
        <v>0</v>
      </c>
    </row>
    <row r="509" spans="1:12" x14ac:dyDescent="0.25">
      <c r="B509">
        <f>_xlfn.XLOOKUP($A509,Load!$B:$B,Load!C:C,0,)</f>
        <v>0</v>
      </c>
      <c r="C509">
        <f>_xlfn.XLOOKUP($A509,Load!$B:$B,Load!D:D,0,)</f>
        <v>0</v>
      </c>
      <c r="D509">
        <f>_xlfn.XLOOKUP($A509,Load!$B:$B,Load!E:E,0,)</f>
        <v>0</v>
      </c>
      <c r="E509">
        <f>_xlfn.XLOOKUP($A509,Load!$B:$B,Load!F:F,0,)</f>
        <v>0</v>
      </c>
      <c r="F509">
        <f>_xlfn.XLOOKUP($A509,Load!$B:$B,Load!G:G,0,)</f>
        <v>0</v>
      </c>
      <c r="G509">
        <f>_xlfn.XLOOKUP($A509,Load!$B:$B,Load!H:H,0,)</f>
        <v>0</v>
      </c>
      <c r="H509">
        <f>_xlfn.XLOOKUP($A509,Load!$B:$B,Load!I:I,0,)</f>
        <v>0</v>
      </c>
      <c r="I509">
        <f>_xlfn.XLOOKUP($A509,Load!$B:$B,Load!J:J,0,)</f>
        <v>0</v>
      </c>
      <c r="J509">
        <f>_xlfn.XLOOKUP($A509,Load!$B:$B,Load!K:K,0,)</f>
        <v>0</v>
      </c>
      <c r="K509">
        <f>_xlfn.XLOOKUP($A509,Load!$B:$B,Load!L:L,0,)</f>
        <v>0</v>
      </c>
      <c r="L509">
        <f>_xlfn.XLOOKUP($A509,Load!$B:$B,Load!M:M,0,)</f>
        <v>0</v>
      </c>
    </row>
    <row r="510" spans="1:12" x14ac:dyDescent="0.25">
      <c r="A510" t="s">
        <v>65</v>
      </c>
      <c r="B510" t="str">
        <f>_xlfn.XLOOKUP($A510,Load!$B:$B,Load!C:C,0,)</f>
        <v>Dots</v>
      </c>
      <c r="C510" t="str">
        <f>_xlfn.XLOOKUP($A510,Load!$B:$B,Load!D:D,0,)</f>
        <v>Non-Chocolate Candy Only</v>
      </c>
      <c r="D510" t="str">
        <f>_xlfn.XLOOKUP($A510,Load!$B:$B,Load!E:E,0,)</f>
        <v>Variety / Mixed Flavors (Fruity, Sour, Seasonal Flavors)</v>
      </c>
      <c r="E510" t="str">
        <f>_xlfn.XLOOKUP($A510,Load!$B:$B,Load!F:F,0,)</f>
        <v>Candy Pieces / Bites</v>
      </c>
      <c r="F510" t="str">
        <f>_xlfn.XLOOKUP($A510,Load!$B:$B,Load!G:G,0,)</f>
        <v>Medium Multipack (40–80 ct)</v>
      </c>
      <c r="G510" t="str">
        <f>_xlfn.XLOOKUP($A510,Load!$B:$B,Load!H:H,0,)</f>
        <v>Box (theatre box, gift box, carton)</v>
      </c>
      <c r="H510" t="str">
        <f>_xlfn.XLOOKUP($A510,Load!$B:$B,Load!I:I,0,)</f>
        <v>Seasonal Shapes (like pumpkins, candy corn, ghost, bats, etc.)</v>
      </c>
      <c r="I510" t="str">
        <f>_xlfn.XLOOKUP($A510,Load!$B:$B,Load!J:J,0,)</f>
        <v>Seasonal Graphics (Like Bat, Ghost, Pumpkin, Fall Leaves, Eyeballs, etc.)</v>
      </c>
      <c r="J510" t="str">
        <f>_xlfn.XLOOKUP($A510,Load!$B:$B,Load!K:K,0,)</f>
        <v>Fun Size / Treat Size</v>
      </c>
      <c r="K510" t="str">
        <f>_xlfn.XLOOKUP($A510,Load!$B:$B,Load!L:L,0,)</f>
        <v>Regular/Original Wrapping</v>
      </c>
      <c r="L510" t="str">
        <f>_xlfn.XLOOKUP($A510,Load!$B:$B,Load!M:M,0,)</f>
        <v>Single Brand / Variety Flavors or Form</v>
      </c>
    </row>
    <row r="511" spans="1:12" x14ac:dyDescent="0.25">
      <c r="B511">
        <f>_xlfn.XLOOKUP($A511,Load!$B:$B,Load!C:C,0,)</f>
        <v>0</v>
      </c>
      <c r="C511">
        <f>_xlfn.XLOOKUP($A511,Load!$B:$B,Load!D:D,0,)</f>
        <v>0</v>
      </c>
      <c r="D511">
        <f>_xlfn.XLOOKUP($A511,Load!$B:$B,Load!E:E,0,)</f>
        <v>0</v>
      </c>
      <c r="E511">
        <f>_xlfn.XLOOKUP($A511,Load!$B:$B,Load!F:F,0,)</f>
        <v>0</v>
      </c>
      <c r="F511">
        <f>_xlfn.XLOOKUP($A511,Load!$B:$B,Load!G:G,0,)</f>
        <v>0</v>
      </c>
      <c r="G511">
        <f>_xlfn.XLOOKUP($A511,Load!$B:$B,Load!H:H,0,)</f>
        <v>0</v>
      </c>
      <c r="H511">
        <f>_xlfn.XLOOKUP($A511,Load!$B:$B,Load!I:I,0,)</f>
        <v>0</v>
      </c>
      <c r="I511">
        <f>_xlfn.XLOOKUP($A511,Load!$B:$B,Load!J:J,0,)</f>
        <v>0</v>
      </c>
      <c r="J511">
        <f>_xlfn.XLOOKUP($A511,Load!$B:$B,Load!K:K,0,)</f>
        <v>0</v>
      </c>
      <c r="K511">
        <f>_xlfn.XLOOKUP($A511,Load!$B:$B,Load!L:L,0,)</f>
        <v>0</v>
      </c>
      <c r="L511">
        <f>_xlfn.XLOOKUP($A511,Load!$B:$B,Load!M:M,0,)</f>
        <v>0</v>
      </c>
    </row>
    <row r="512" spans="1:12" x14ac:dyDescent="0.25">
      <c r="A512" t="s">
        <v>207</v>
      </c>
      <c r="B512" t="str">
        <f>_xlfn.XLOOKUP($A512,Load!$B:$B,Load!C:C,0,)</f>
        <v>Mars Variety Pack</v>
      </c>
      <c r="C512" t="str">
        <f>_xlfn.XLOOKUP($A512,Load!$B:$B,Load!D:D,0,)</f>
        <v>Mix of Chocolate and Non-Chocolate Candy</v>
      </c>
      <c r="D512" t="str">
        <f>_xlfn.XLOOKUP($A512,Load!$B:$B,Load!E:E,0,)</f>
        <v>Variety / Mixed Flavors (Fruity, Sour, Seasonal Flavors)</v>
      </c>
      <c r="E512" t="str">
        <f>_xlfn.XLOOKUP($A512,Load!$B:$B,Load!F:F,0,)</f>
        <v>Mixed / Combo Packs (Gummy, Chewy, Taffy, etc.)</v>
      </c>
      <c r="F512" t="str">
        <f>_xlfn.XLOOKUP($A512,Load!$B:$B,Load!G:G,0,)</f>
        <v>Large Multipack (More than 80 ct)</v>
      </c>
      <c r="G512" t="str">
        <f>_xlfn.XLOOKUP($A512,Load!$B:$B,Load!H:H,0,)</f>
        <v>Stand-Up Bag</v>
      </c>
      <c r="H512" t="str">
        <f>_xlfn.XLOOKUP($A512,Load!$B:$B,Load!I:I,0,)</f>
        <v>Everyday Candy Shapes (like Original, Gummy bear, Fruit, Jewels, etc.)</v>
      </c>
      <c r="I512" t="str">
        <f>_xlfn.XLOOKUP($A512,Load!$B:$B,Load!J:J,0,)</f>
        <v>Everyday Graphics</v>
      </c>
      <c r="J512" t="str">
        <f>_xlfn.XLOOKUP($A512,Load!$B:$B,Load!K:K,0,)</f>
        <v>Fun Size / Treat Size</v>
      </c>
      <c r="K512" t="str">
        <f>_xlfn.XLOOKUP($A512,Load!$B:$B,Load!L:L,0,)</f>
        <v>Regular/Original Wrapping</v>
      </c>
      <c r="L512" t="str">
        <f>_xlfn.XLOOKUP($A512,Load!$B:$B,Load!M:M,0,)</f>
        <v>Multiple Brands / Variety Flavors or Form</v>
      </c>
    </row>
    <row r="513" spans="1:12" x14ac:dyDescent="0.25">
      <c r="A513" t="s">
        <v>290</v>
      </c>
      <c r="B513" t="str">
        <f>_xlfn.XLOOKUP($A513,Load!$B:$B,Load!C:C,0,)</f>
        <v>Tootsie</v>
      </c>
      <c r="C513" t="str">
        <f>_xlfn.XLOOKUP($A513,Load!$B:$B,Load!D:D,0,)</f>
        <v>Mix of Chocolate and Non-Chocolate Candy</v>
      </c>
      <c r="D513" t="str">
        <f>_xlfn.XLOOKUP($A513,Load!$B:$B,Load!E:E,0,)</f>
        <v>Variety / Mixed Flavors (Fruity, Sour, Seasonal Flavors)</v>
      </c>
      <c r="E513" t="str">
        <f>_xlfn.XLOOKUP($A513,Load!$B:$B,Load!F:F,0,)</f>
        <v>Mixed / Combo Packs (Gummy, Chewy, Taffy, etc.)</v>
      </c>
      <c r="F513" t="str">
        <f>_xlfn.XLOOKUP($A513,Load!$B:$B,Load!G:G,0,)</f>
        <v>Large Multipack (More than 80 ct)</v>
      </c>
      <c r="G513" t="str">
        <f>_xlfn.XLOOKUP($A513,Load!$B:$B,Load!H:H,0,)</f>
        <v>Laydown Bag</v>
      </c>
      <c r="H513" t="str">
        <f>_xlfn.XLOOKUP($A513,Load!$B:$B,Load!I:I,0,)</f>
        <v>Everyday Candy Shapes (like Original, Gummy bear, Fruit, Jewels, etc.)</v>
      </c>
      <c r="I513" t="str">
        <f>_xlfn.XLOOKUP($A513,Load!$B:$B,Load!J:J,0,)</f>
        <v>Everyday Graphics</v>
      </c>
      <c r="J513" t="str">
        <f>_xlfn.XLOOKUP($A513,Load!$B:$B,Load!K:K,0,)</f>
        <v>Fun Size / Treat Size</v>
      </c>
      <c r="K513" t="str">
        <f>_xlfn.XLOOKUP($A513,Load!$B:$B,Load!L:L,0,)</f>
        <v>Regular/Original Wrapping</v>
      </c>
      <c r="L513" t="str">
        <f>_xlfn.XLOOKUP($A513,Load!$B:$B,Load!M:M,0,)</f>
        <v>Single Brand / Variety Flavors or Form</v>
      </c>
    </row>
    <row r="514" spans="1:12" x14ac:dyDescent="0.25">
      <c r="A514" t="s">
        <v>96</v>
      </c>
      <c r="B514" t="str">
        <f>_xlfn.XLOOKUP($A514,Load!$B:$B,Load!C:C,0,)</f>
        <v>Ferrero Variety Pack</v>
      </c>
      <c r="C514" t="str">
        <f>_xlfn.XLOOKUP($A514,Load!$B:$B,Load!D:D,0,)</f>
        <v>Mix of Chocolate and Non-Chocolate Candy</v>
      </c>
      <c r="D514" t="str">
        <f>_xlfn.XLOOKUP($A514,Load!$B:$B,Load!E:E,0,)</f>
        <v>Variety / Mixed Flavors (Fruity, Sour, Seasonal Flavors)</v>
      </c>
      <c r="E514" t="str">
        <f>_xlfn.XLOOKUP($A514,Load!$B:$B,Load!F:F,0,)</f>
        <v>Mixed / Combo Packs (Gummy, Chewy, Taffy, etc.)</v>
      </c>
      <c r="F514" t="str">
        <f>_xlfn.XLOOKUP($A514,Load!$B:$B,Load!G:G,0,)</f>
        <v>Large Multipack (More than 80 ct)</v>
      </c>
      <c r="G514" t="str">
        <f>_xlfn.XLOOKUP($A514,Load!$B:$B,Load!H:H,0,)</f>
        <v>Stand-Up Bag</v>
      </c>
      <c r="H514" t="str">
        <f>_xlfn.XLOOKUP($A514,Load!$B:$B,Load!I:I,0,)</f>
        <v>Everyday Candy Shapes (like Original, Gummy bear, Fruit, Jewels, etc.)</v>
      </c>
      <c r="I514" t="str">
        <f>_xlfn.XLOOKUP($A514,Load!$B:$B,Load!J:J,0,)</f>
        <v>Seasonal Graphics (Like Bat, Ghost, Pumpkin, Fall Leaves, Eyeballs, etc.)</v>
      </c>
      <c r="J514" t="str">
        <f>_xlfn.XLOOKUP($A514,Load!$B:$B,Load!K:K,0,)</f>
        <v>Fun Size / Treat Size</v>
      </c>
      <c r="K514" t="str">
        <f>_xlfn.XLOOKUP($A514,Load!$B:$B,Load!L:L,0,)</f>
        <v>Regular/Original Wrapping</v>
      </c>
      <c r="L514" t="str">
        <f>_xlfn.XLOOKUP($A514,Load!$B:$B,Load!M:M,0,)</f>
        <v>Multiple Brands / Variety Flavors or Form</v>
      </c>
    </row>
    <row r="515" spans="1:12" x14ac:dyDescent="0.25">
      <c r="A515" t="s">
        <v>290</v>
      </c>
      <c r="B515" t="str">
        <f>_xlfn.XLOOKUP($A515,Load!$B:$B,Load!C:C,0,)</f>
        <v>Tootsie</v>
      </c>
      <c r="C515" t="str">
        <f>_xlfn.XLOOKUP($A515,Load!$B:$B,Load!D:D,0,)</f>
        <v>Mix of Chocolate and Non-Chocolate Candy</v>
      </c>
      <c r="D515" t="str">
        <f>_xlfn.XLOOKUP($A515,Load!$B:$B,Load!E:E,0,)</f>
        <v>Variety / Mixed Flavors (Fruity, Sour, Seasonal Flavors)</v>
      </c>
      <c r="E515" t="str">
        <f>_xlfn.XLOOKUP($A515,Load!$B:$B,Load!F:F,0,)</f>
        <v>Mixed / Combo Packs (Gummy, Chewy, Taffy, etc.)</v>
      </c>
      <c r="F515" t="str">
        <f>_xlfn.XLOOKUP($A515,Load!$B:$B,Load!G:G,0,)</f>
        <v>Large Multipack (More than 80 ct)</v>
      </c>
      <c r="G515" t="str">
        <f>_xlfn.XLOOKUP($A515,Load!$B:$B,Load!H:H,0,)</f>
        <v>Laydown Bag</v>
      </c>
      <c r="H515" t="str">
        <f>_xlfn.XLOOKUP($A515,Load!$B:$B,Load!I:I,0,)</f>
        <v>Everyday Candy Shapes (like Original, Gummy bear, Fruit, Jewels, etc.)</v>
      </c>
      <c r="I515" t="str">
        <f>_xlfn.XLOOKUP($A515,Load!$B:$B,Load!J:J,0,)</f>
        <v>Everyday Graphics</v>
      </c>
      <c r="J515" t="str">
        <f>_xlfn.XLOOKUP($A515,Load!$B:$B,Load!K:K,0,)</f>
        <v>Fun Size / Treat Size</v>
      </c>
      <c r="K515" t="str">
        <f>_xlfn.XLOOKUP($A515,Load!$B:$B,Load!L:L,0,)</f>
        <v>Regular/Original Wrapping</v>
      </c>
      <c r="L515" t="str">
        <f>_xlfn.XLOOKUP($A515,Load!$B:$B,Load!M:M,0,)</f>
        <v>Single Brand / Variety Flavors or Form</v>
      </c>
    </row>
    <row r="516" spans="1:12" x14ac:dyDescent="0.25">
      <c r="B516">
        <f>_xlfn.XLOOKUP($A516,Load!$B:$B,Load!C:C,0,)</f>
        <v>0</v>
      </c>
      <c r="C516">
        <f>_xlfn.XLOOKUP($A516,Load!$B:$B,Load!D:D,0,)</f>
        <v>0</v>
      </c>
      <c r="D516">
        <f>_xlfn.XLOOKUP($A516,Load!$B:$B,Load!E:E,0,)</f>
        <v>0</v>
      </c>
      <c r="E516">
        <f>_xlfn.XLOOKUP($A516,Load!$B:$B,Load!F:F,0,)</f>
        <v>0</v>
      </c>
      <c r="F516">
        <f>_xlfn.XLOOKUP($A516,Load!$B:$B,Load!G:G,0,)</f>
        <v>0</v>
      </c>
      <c r="G516">
        <f>_xlfn.XLOOKUP($A516,Load!$B:$B,Load!H:H,0,)</f>
        <v>0</v>
      </c>
      <c r="H516">
        <f>_xlfn.XLOOKUP($A516,Load!$B:$B,Load!I:I,0,)</f>
        <v>0</v>
      </c>
      <c r="I516">
        <f>_xlfn.XLOOKUP($A516,Load!$B:$B,Load!J:J,0,)</f>
        <v>0</v>
      </c>
      <c r="J516">
        <f>_xlfn.XLOOKUP($A516,Load!$B:$B,Load!K:K,0,)</f>
        <v>0</v>
      </c>
      <c r="K516">
        <f>_xlfn.XLOOKUP($A516,Load!$B:$B,Load!L:L,0,)</f>
        <v>0</v>
      </c>
      <c r="L516">
        <f>_xlfn.XLOOKUP($A516,Load!$B:$B,Load!M:M,0,)</f>
        <v>0</v>
      </c>
    </row>
    <row r="517" spans="1:12" x14ac:dyDescent="0.25">
      <c r="B517">
        <f>_xlfn.XLOOKUP($A517,Load!$B:$B,Load!C:C,0,)</f>
        <v>0</v>
      </c>
      <c r="C517">
        <f>_xlfn.XLOOKUP($A517,Load!$B:$B,Load!D:D,0,)</f>
        <v>0</v>
      </c>
      <c r="D517">
        <f>_xlfn.XLOOKUP($A517,Load!$B:$B,Load!E:E,0,)</f>
        <v>0</v>
      </c>
      <c r="E517">
        <f>_xlfn.XLOOKUP($A517,Load!$B:$B,Load!F:F,0,)</f>
        <v>0</v>
      </c>
      <c r="F517">
        <f>_xlfn.XLOOKUP($A517,Load!$B:$B,Load!G:G,0,)</f>
        <v>0</v>
      </c>
      <c r="G517">
        <f>_xlfn.XLOOKUP($A517,Load!$B:$B,Load!H:H,0,)</f>
        <v>0</v>
      </c>
      <c r="H517">
        <f>_xlfn.XLOOKUP($A517,Load!$B:$B,Load!I:I,0,)</f>
        <v>0</v>
      </c>
      <c r="I517">
        <f>_xlfn.XLOOKUP($A517,Load!$B:$B,Load!J:J,0,)</f>
        <v>0</v>
      </c>
      <c r="J517">
        <f>_xlfn.XLOOKUP($A517,Load!$B:$B,Load!K:K,0,)</f>
        <v>0</v>
      </c>
      <c r="K517">
        <f>_xlfn.XLOOKUP($A517,Load!$B:$B,Load!L:L,0,)</f>
        <v>0</v>
      </c>
      <c r="L517">
        <f>_xlfn.XLOOKUP($A517,Load!$B:$B,Load!M:M,0,)</f>
        <v>0</v>
      </c>
    </row>
    <row r="518" spans="1:12" x14ac:dyDescent="0.25">
      <c r="A518" t="s">
        <v>141</v>
      </c>
      <c r="B518" t="str">
        <f>_xlfn.XLOOKUP($A518,Load!$B:$B,Load!C:C,0,)</f>
        <v>Hershey's Variety Pack + Haribo</v>
      </c>
      <c r="C518" t="str">
        <f>_xlfn.XLOOKUP($A518,Load!$B:$B,Load!D:D,0,)</f>
        <v>Non-Chocolate Candy Only</v>
      </c>
      <c r="D518" t="str">
        <f>_xlfn.XLOOKUP($A518,Load!$B:$B,Load!E:E,0,)</f>
        <v>Variety / Mixed Flavors (Fruity, Sour, Seasonal Flavors)</v>
      </c>
      <c r="E518" t="str">
        <f>_xlfn.XLOOKUP($A518,Load!$B:$B,Load!F:F,0,)</f>
        <v>Mixed / Combo Packs (Gummy, Chewy, Taffy, etc.)</v>
      </c>
      <c r="F518" t="str">
        <f>_xlfn.XLOOKUP($A518,Load!$B:$B,Load!G:G,0,)</f>
        <v>Large Multipack (More than 80 ct)</v>
      </c>
      <c r="G518" t="str">
        <f>_xlfn.XLOOKUP($A518,Load!$B:$B,Load!H:H,0,)</f>
        <v>Plastic Cup / Container</v>
      </c>
      <c r="H518" t="str">
        <f>_xlfn.XLOOKUP($A518,Load!$B:$B,Load!I:I,0,)</f>
        <v>Everyday Candy Shapes (like Original, Gummy bear, Fruit, Jewels, etc.)</v>
      </c>
      <c r="I518" t="str">
        <f>_xlfn.XLOOKUP($A518,Load!$B:$B,Load!J:J,0,)</f>
        <v>Everyday Graphics</v>
      </c>
      <c r="J518" t="str">
        <f>_xlfn.XLOOKUP($A518,Load!$B:$B,Load!K:K,0,)</f>
        <v xml:space="preserve">Variety Candy Sizes </v>
      </c>
      <c r="K518" t="str">
        <f>_xlfn.XLOOKUP($A518,Load!$B:$B,Load!L:L,0,)</f>
        <v>Regular/Original Wrapping</v>
      </c>
      <c r="L518" t="str">
        <f>_xlfn.XLOOKUP($A518,Load!$B:$B,Load!M:M,0,)</f>
        <v>Multiple Brands / Variety Flavors or Form</v>
      </c>
    </row>
    <row r="519" spans="1:12" x14ac:dyDescent="0.25">
      <c r="B519">
        <f>_xlfn.XLOOKUP($A519,Load!$B:$B,Load!C:C,0,)</f>
        <v>0</v>
      </c>
      <c r="C519">
        <f>_xlfn.XLOOKUP($A519,Load!$B:$B,Load!D:D,0,)</f>
        <v>0</v>
      </c>
      <c r="D519">
        <f>_xlfn.XLOOKUP($A519,Load!$B:$B,Load!E:E,0,)</f>
        <v>0</v>
      </c>
      <c r="E519">
        <f>_xlfn.XLOOKUP($A519,Load!$B:$B,Load!F:F,0,)</f>
        <v>0</v>
      </c>
      <c r="F519">
        <f>_xlfn.XLOOKUP($A519,Load!$B:$B,Load!G:G,0,)</f>
        <v>0</v>
      </c>
      <c r="G519">
        <f>_xlfn.XLOOKUP($A519,Load!$B:$B,Load!H:H,0,)</f>
        <v>0</v>
      </c>
      <c r="H519">
        <f>_xlfn.XLOOKUP($A519,Load!$B:$B,Load!I:I,0,)</f>
        <v>0</v>
      </c>
      <c r="I519">
        <f>_xlfn.XLOOKUP($A519,Load!$B:$B,Load!J:J,0,)</f>
        <v>0</v>
      </c>
      <c r="J519">
        <f>_xlfn.XLOOKUP($A519,Load!$B:$B,Load!K:K,0,)</f>
        <v>0</v>
      </c>
      <c r="K519">
        <f>_xlfn.XLOOKUP($A519,Load!$B:$B,Load!L:L,0,)</f>
        <v>0</v>
      </c>
      <c r="L519">
        <f>_xlfn.XLOOKUP($A519,Load!$B:$B,Load!M:M,0,)</f>
        <v>0</v>
      </c>
    </row>
    <row r="520" spans="1:12" x14ac:dyDescent="0.25">
      <c r="B520">
        <f>_xlfn.XLOOKUP($A520,Load!$B:$B,Load!C:C,0,)</f>
        <v>0</v>
      </c>
      <c r="C520">
        <f>_xlfn.XLOOKUP($A520,Load!$B:$B,Load!D:D,0,)</f>
        <v>0</v>
      </c>
      <c r="D520">
        <f>_xlfn.XLOOKUP($A520,Load!$B:$B,Load!E:E,0,)</f>
        <v>0</v>
      </c>
      <c r="E520">
        <f>_xlfn.XLOOKUP($A520,Load!$B:$B,Load!F:F,0,)</f>
        <v>0</v>
      </c>
      <c r="F520">
        <f>_xlfn.XLOOKUP($A520,Load!$B:$B,Load!G:G,0,)</f>
        <v>0</v>
      </c>
      <c r="G520">
        <f>_xlfn.XLOOKUP($A520,Load!$B:$B,Load!H:H,0,)</f>
        <v>0</v>
      </c>
      <c r="H520">
        <f>_xlfn.XLOOKUP($A520,Load!$B:$B,Load!I:I,0,)</f>
        <v>0</v>
      </c>
      <c r="I520">
        <f>_xlfn.XLOOKUP($A520,Load!$B:$B,Load!J:J,0,)</f>
        <v>0</v>
      </c>
      <c r="J520">
        <f>_xlfn.XLOOKUP($A520,Load!$B:$B,Load!K:K,0,)</f>
        <v>0</v>
      </c>
      <c r="K520">
        <f>_xlfn.XLOOKUP($A520,Load!$B:$B,Load!L:L,0,)</f>
        <v>0</v>
      </c>
      <c r="L520">
        <f>_xlfn.XLOOKUP($A520,Load!$B:$B,Load!M:M,0,)</f>
        <v>0</v>
      </c>
    </row>
    <row r="521" spans="1:12" x14ac:dyDescent="0.25">
      <c r="B521">
        <f>_xlfn.XLOOKUP($A521,Load!$B:$B,Load!C:C,0,)</f>
        <v>0</v>
      </c>
      <c r="C521">
        <f>_xlfn.XLOOKUP($A521,Load!$B:$B,Load!D:D,0,)</f>
        <v>0</v>
      </c>
      <c r="D521">
        <f>_xlfn.XLOOKUP($A521,Load!$B:$B,Load!E:E,0,)</f>
        <v>0</v>
      </c>
      <c r="E521">
        <f>_xlfn.XLOOKUP($A521,Load!$B:$B,Load!F:F,0,)</f>
        <v>0</v>
      </c>
      <c r="F521">
        <f>_xlfn.XLOOKUP($A521,Load!$B:$B,Load!G:G,0,)</f>
        <v>0</v>
      </c>
      <c r="G521">
        <f>_xlfn.XLOOKUP($A521,Load!$B:$B,Load!H:H,0,)</f>
        <v>0</v>
      </c>
      <c r="H521">
        <f>_xlfn.XLOOKUP($A521,Load!$B:$B,Load!I:I,0,)</f>
        <v>0</v>
      </c>
      <c r="I521">
        <f>_xlfn.XLOOKUP($A521,Load!$B:$B,Load!J:J,0,)</f>
        <v>0</v>
      </c>
      <c r="J521">
        <f>_xlfn.XLOOKUP($A521,Load!$B:$B,Load!K:K,0,)</f>
        <v>0</v>
      </c>
      <c r="K521">
        <f>_xlfn.XLOOKUP($A521,Load!$B:$B,Load!L:L,0,)</f>
        <v>0</v>
      </c>
      <c r="L521">
        <f>_xlfn.XLOOKUP($A521,Load!$B:$B,Load!M:M,0,)</f>
        <v>0</v>
      </c>
    </row>
    <row r="522" spans="1:12" x14ac:dyDescent="0.25">
      <c r="B522">
        <f>_xlfn.XLOOKUP($A522,Load!$B:$B,Load!C:C,0,)</f>
        <v>0</v>
      </c>
      <c r="C522">
        <f>_xlfn.XLOOKUP($A522,Load!$B:$B,Load!D:D,0,)</f>
        <v>0</v>
      </c>
      <c r="D522">
        <f>_xlfn.XLOOKUP($A522,Load!$B:$B,Load!E:E,0,)</f>
        <v>0</v>
      </c>
      <c r="E522">
        <f>_xlfn.XLOOKUP($A522,Load!$B:$B,Load!F:F,0,)</f>
        <v>0</v>
      </c>
      <c r="F522">
        <f>_xlfn.XLOOKUP($A522,Load!$B:$B,Load!G:G,0,)</f>
        <v>0</v>
      </c>
      <c r="G522">
        <f>_xlfn.XLOOKUP($A522,Load!$B:$B,Load!H:H,0,)</f>
        <v>0</v>
      </c>
      <c r="H522">
        <f>_xlfn.XLOOKUP($A522,Load!$B:$B,Load!I:I,0,)</f>
        <v>0</v>
      </c>
      <c r="I522">
        <f>_xlfn.XLOOKUP($A522,Load!$B:$B,Load!J:J,0,)</f>
        <v>0</v>
      </c>
      <c r="J522">
        <f>_xlfn.XLOOKUP($A522,Load!$B:$B,Load!K:K,0,)</f>
        <v>0</v>
      </c>
      <c r="K522">
        <f>_xlfn.XLOOKUP($A522,Load!$B:$B,Load!L:L,0,)</f>
        <v>0</v>
      </c>
      <c r="L522">
        <f>_xlfn.XLOOKUP($A522,Load!$B:$B,Load!M:M,0,)</f>
        <v>0</v>
      </c>
    </row>
    <row r="523" spans="1:12" x14ac:dyDescent="0.25">
      <c r="B523">
        <f>_xlfn.XLOOKUP($A523,Load!$B:$B,Load!C:C,0,)</f>
        <v>0</v>
      </c>
      <c r="C523">
        <f>_xlfn.XLOOKUP($A523,Load!$B:$B,Load!D:D,0,)</f>
        <v>0</v>
      </c>
      <c r="D523">
        <f>_xlfn.XLOOKUP($A523,Load!$B:$B,Load!E:E,0,)</f>
        <v>0</v>
      </c>
      <c r="E523">
        <f>_xlfn.XLOOKUP($A523,Load!$B:$B,Load!F:F,0,)</f>
        <v>0</v>
      </c>
      <c r="F523">
        <f>_xlfn.XLOOKUP($A523,Load!$B:$B,Load!G:G,0,)</f>
        <v>0</v>
      </c>
      <c r="G523">
        <f>_xlfn.XLOOKUP($A523,Load!$B:$B,Load!H:H,0,)</f>
        <v>0</v>
      </c>
      <c r="H523">
        <f>_xlfn.XLOOKUP($A523,Load!$B:$B,Load!I:I,0,)</f>
        <v>0</v>
      </c>
      <c r="I523">
        <f>_xlfn.XLOOKUP($A523,Load!$B:$B,Load!J:J,0,)</f>
        <v>0</v>
      </c>
      <c r="J523">
        <f>_xlfn.XLOOKUP($A523,Load!$B:$B,Load!K:K,0,)</f>
        <v>0</v>
      </c>
      <c r="K523">
        <f>_xlfn.XLOOKUP($A523,Load!$B:$B,Load!L:L,0,)</f>
        <v>0</v>
      </c>
      <c r="L523">
        <f>_xlfn.XLOOKUP($A523,Load!$B:$B,Load!M:M,0,)</f>
        <v>0</v>
      </c>
    </row>
    <row r="524" spans="1:12" x14ac:dyDescent="0.25">
      <c r="A524" t="s">
        <v>463</v>
      </c>
      <c r="B524" t="str">
        <f>_xlfn.XLOOKUP($A524,Load!$B:$B,Load!C:C,0,)</f>
        <v>Mars Variety Pack</v>
      </c>
      <c r="C524" t="str">
        <f>_xlfn.XLOOKUP($A524,Load!$B:$B,Load!D:D,0,)</f>
        <v>Mix of Chocolate and Non-Chocolate Candy</v>
      </c>
      <c r="D524" t="str">
        <f>_xlfn.XLOOKUP($A524,Load!$B:$B,Load!E:E,0,)</f>
        <v>Variety / Mixed Flavors (Fruity, Sour, Seasonal Flavors)</v>
      </c>
      <c r="E524" t="str">
        <f>_xlfn.XLOOKUP($A524,Load!$B:$B,Load!F:F,0,)</f>
        <v>Mixed / Combo Packs (Gummy, Chewy, Taffy, etc.)</v>
      </c>
      <c r="F524" t="str">
        <f>_xlfn.XLOOKUP($A524,Load!$B:$B,Load!G:G,0,)</f>
        <v>Medium Multipack (40–80 ct)</v>
      </c>
      <c r="G524" t="str">
        <f>_xlfn.XLOOKUP($A524,Load!$B:$B,Load!H:H,0,)</f>
        <v>Stand-Up Bag</v>
      </c>
      <c r="H524" t="str">
        <f>_xlfn.XLOOKUP($A524,Load!$B:$B,Load!I:I,0,)</f>
        <v>Everyday Candy Shapes (like Original, Gummy bear, Fruit, Jewels, etc.)</v>
      </c>
      <c r="I524" t="str">
        <f>_xlfn.XLOOKUP($A524,Load!$B:$B,Load!J:J,0,)</f>
        <v>Seasonal Graphics (Like Bat, Ghost, Pumpkin, Fall Leaves, Eyeballs, etc.)</v>
      </c>
      <c r="J524" t="str">
        <f>_xlfn.XLOOKUP($A524,Load!$B:$B,Load!K:K,0,)</f>
        <v>Fun Size / Treat Size</v>
      </c>
      <c r="K524" t="str">
        <f>_xlfn.XLOOKUP($A524,Load!$B:$B,Load!L:L,0,)</f>
        <v>Regular/Original Wrapping</v>
      </c>
      <c r="L524" t="str">
        <f>_xlfn.XLOOKUP($A524,Load!$B:$B,Load!M:M,0,)</f>
        <v>Multiple Brands / Variety Flavors or Form</v>
      </c>
    </row>
    <row r="525" spans="1:12" x14ac:dyDescent="0.25">
      <c r="B525">
        <f>_xlfn.XLOOKUP($A525,Load!$B:$B,Load!C:C,0,)</f>
        <v>0</v>
      </c>
      <c r="C525">
        <f>_xlfn.XLOOKUP($A525,Load!$B:$B,Load!D:D,0,)</f>
        <v>0</v>
      </c>
      <c r="D525">
        <f>_xlfn.XLOOKUP($A525,Load!$B:$B,Load!E:E,0,)</f>
        <v>0</v>
      </c>
      <c r="E525">
        <f>_xlfn.XLOOKUP($A525,Load!$B:$B,Load!F:F,0,)</f>
        <v>0</v>
      </c>
      <c r="F525">
        <f>_xlfn.XLOOKUP($A525,Load!$B:$B,Load!G:G,0,)</f>
        <v>0</v>
      </c>
      <c r="G525">
        <f>_xlfn.XLOOKUP($A525,Load!$B:$B,Load!H:H,0,)</f>
        <v>0</v>
      </c>
      <c r="H525">
        <f>_xlfn.XLOOKUP($A525,Load!$B:$B,Load!I:I,0,)</f>
        <v>0</v>
      </c>
      <c r="I525">
        <f>_xlfn.XLOOKUP($A525,Load!$B:$B,Load!J:J,0,)</f>
        <v>0</v>
      </c>
      <c r="J525">
        <f>_xlfn.XLOOKUP($A525,Load!$B:$B,Load!K:K,0,)</f>
        <v>0</v>
      </c>
      <c r="K525">
        <f>_xlfn.XLOOKUP($A525,Load!$B:$B,Load!L:L,0,)</f>
        <v>0</v>
      </c>
      <c r="L525">
        <f>_xlfn.XLOOKUP($A525,Load!$B:$B,Load!M:M,0,)</f>
        <v>0</v>
      </c>
    </row>
    <row r="526" spans="1:12" x14ac:dyDescent="0.25">
      <c r="A526" t="s">
        <v>288</v>
      </c>
      <c r="B526" t="str">
        <f>_xlfn.XLOOKUP($A526,Load!$B:$B,Load!C:C,0,)</f>
        <v>SweeTARTS</v>
      </c>
      <c r="C526" t="str">
        <f>_xlfn.XLOOKUP($A526,Load!$B:$B,Load!D:D,0,)</f>
        <v>Non-Chocolate Candy Only</v>
      </c>
      <c r="D526" t="str">
        <f>_xlfn.XLOOKUP($A526,Load!$B:$B,Load!E:E,0,)</f>
        <v>Variety / Mixed Flavors (Fruity, Sour, Seasonal Flavors)</v>
      </c>
      <c r="E526" t="str">
        <f>_xlfn.XLOOKUP($A526,Load!$B:$B,Load!F:F,0,)</f>
        <v>Mixed / Combo Packs (Gummy, Chewy, Taffy, etc.)</v>
      </c>
      <c r="F526" t="str">
        <f>_xlfn.XLOOKUP($A526,Load!$B:$B,Load!G:G,0,)</f>
        <v>Medium Multipack (40–80 ct)</v>
      </c>
      <c r="G526" t="str">
        <f>_xlfn.XLOOKUP($A526,Load!$B:$B,Load!H:H,0,)</f>
        <v>Stand-Up Bag</v>
      </c>
      <c r="H526" t="str">
        <f>_xlfn.XLOOKUP($A526,Load!$B:$B,Load!I:I,0,)</f>
        <v>Everyday Candy Shapes (like Original, Gummy bear, Fruit, Jewels, etc.)</v>
      </c>
      <c r="I526" t="str">
        <f>_xlfn.XLOOKUP($A526,Load!$B:$B,Load!J:J,0,)</f>
        <v>Seasonal Graphics (Like Bat, Ghost, Pumpkin, Fall Leaves, Eyeballs, etc.)</v>
      </c>
      <c r="J526" t="str">
        <f>_xlfn.XLOOKUP($A526,Load!$B:$B,Load!K:K,0,)</f>
        <v>Small Pieces (Tiny bite size candies)</v>
      </c>
      <c r="K526" t="str">
        <f>_xlfn.XLOOKUP($A526,Load!$B:$B,Load!L:L,0,)</f>
        <v>Regular/Original Wrapping</v>
      </c>
      <c r="L526" t="str">
        <f>_xlfn.XLOOKUP($A526,Load!$B:$B,Load!M:M,0,)</f>
        <v>Single Brand / Variety Flavors or Form</v>
      </c>
    </row>
    <row r="527" spans="1:12" x14ac:dyDescent="0.25">
      <c r="B527">
        <f>_xlfn.XLOOKUP($A527,Load!$B:$B,Load!C:C,0,)</f>
        <v>0</v>
      </c>
      <c r="C527">
        <f>_xlfn.XLOOKUP($A527,Load!$B:$B,Load!D:D,0,)</f>
        <v>0</v>
      </c>
      <c r="D527">
        <f>_xlfn.XLOOKUP($A527,Load!$B:$B,Load!E:E,0,)</f>
        <v>0</v>
      </c>
      <c r="E527">
        <f>_xlfn.XLOOKUP($A527,Load!$B:$B,Load!F:F,0,)</f>
        <v>0</v>
      </c>
      <c r="F527">
        <f>_xlfn.XLOOKUP($A527,Load!$B:$B,Load!G:G,0,)</f>
        <v>0</v>
      </c>
      <c r="G527">
        <f>_xlfn.XLOOKUP($A527,Load!$B:$B,Load!H:H,0,)</f>
        <v>0</v>
      </c>
      <c r="H527">
        <f>_xlfn.XLOOKUP($A527,Load!$B:$B,Load!I:I,0,)</f>
        <v>0</v>
      </c>
      <c r="I527">
        <f>_xlfn.XLOOKUP($A527,Load!$B:$B,Load!J:J,0,)</f>
        <v>0</v>
      </c>
      <c r="J527">
        <f>_xlfn.XLOOKUP($A527,Load!$B:$B,Load!K:K,0,)</f>
        <v>0</v>
      </c>
      <c r="K527">
        <f>_xlfn.XLOOKUP($A527,Load!$B:$B,Load!L:L,0,)</f>
        <v>0</v>
      </c>
      <c r="L527">
        <f>_xlfn.XLOOKUP($A527,Load!$B:$B,Load!M:M,0,)</f>
        <v>0</v>
      </c>
    </row>
    <row r="528" spans="1:12" x14ac:dyDescent="0.25">
      <c r="B528">
        <f>_xlfn.XLOOKUP($A528,Load!$B:$B,Load!C:C,0,)</f>
        <v>0</v>
      </c>
      <c r="C528">
        <f>_xlfn.XLOOKUP($A528,Load!$B:$B,Load!D:D,0,)</f>
        <v>0</v>
      </c>
      <c r="D528">
        <f>_xlfn.XLOOKUP($A528,Load!$B:$B,Load!E:E,0,)</f>
        <v>0</v>
      </c>
      <c r="E528">
        <f>_xlfn.XLOOKUP($A528,Load!$B:$B,Load!F:F,0,)</f>
        <v>0</v>
      </c>
      <c r="F528">
        <f>_xlfn.XLOOKUP($A528,Load!$B:$B,Load!G:G,0,)</f>
        <v>0</v>
      </c>
      <c r="G528">
        <f>_xlfn.XLOOKUP($A528,Load!$B:$B,Load!H:H,0,)</f>
        <v>0</v>
      </c>
      <c r="H528">
        <f>_xlfn.XLOOKUP($A528,Load!$B:$B,Load!I:I,0,)</f>
        <v>0</v>
      </c>
      <c r="I528">
        <f>_xlfn.XLOOKUP($A528,Load!$B:$B,Load!J:J,0,)</f>
        <v>0</v>
      </c>
      <c r="J528">
        <f>_xlfn.XLOOKUP($A528,Load!$B:$B,Load!K:K,0,)</f>
        <v>0</v>
      </c>
      <c r="K528">
        <f>_xlfn.XLOOKUP($A528,Load!$B:$B,Load!L:L,0,)</f>
        <v>0</v>
      </c>
      <c r="L528">
        <f>_xlfn.XLOOKUP($A528,Load!$B:$B,Load!M:M,0,)</f>
        <v>0</v>
      </c>
    </row>
    <row r="529" spans="2:12" x14ac:dyDescent="0.25">
      <c r="B529">
        <f>_xlfn.XLOOKUP($A529,Load!$B:$B,Load!C:C,0,)</f>
        <v>0</v>
      </c>
      <c r="C529">
        <f>_xlfn.XLOOKUP($A529,Load!$B:$B,Load!D:D,0,)</f>
        <v>0</v>
      </c>
      <c r="D529">
        <f>_xlfn.XLOOKUP($A529,Load!$B:$B,Load!E:E,0,)</f>
        <v>0</v>
      </c>
      <c r="E529">
        <f>_xlfn.XLOOKUP($A529,Load!$B:$B,Load!F:F,0,)</f>
        <v>0</v>
      </c>
      <c r="F529">
        <f>_xlfn.XLOOKUP($A529,Load!$B:$B,Load!G:G,0,)</f>
        <v>0</v>
      </c>
      <c r="G529">
        <f>_xlfn.XLOOKUP($A529,Load!$B:$B,Load!H:H,0,)</f>
        <v>0</v>
      </c>
      <c r="H529">
        <f>_xlfn.XLOOKUP($A529,Load!$B:$B,Load!I:I,0,)</f>
        <v>0</v>
      </c>
      <c r="I529">
        <f>_xlfn.XLOOKUP($A529,Load!$B:$B,Load!J:J,0,)</f>
        <v>0</v>
      </c>
      <c r="J529">
        <f>_xlfn.XLOOKUP($A529,Load!$B:$B,Load!K:K,0,)</f>
        <v>0</v>
      </c>
      <c r="K529">
        <f>_xlfn.XLOOKUP($A529,Load!$B:$B,Load!L:L,0,)</f>
        <v>0</v>
      </c>
      <c r="L529">
        <f>_xlfn.XLOOKUP($A529,Load!$B:$B,Load!M:M,0,)</f>
        <v>0</v>
      </c>
    </row>
    <row r="530" spans="2:12" x14ac:dyDescent="0.25">
      <c r="B530">
        <f>_xlfn.XLOOKUP($A530,Load!$B:$B,Load!C:C,0,)</f>
        <v>0</v>
      </c>
      <c r="C530">
        <f>_xlfn.XLOOKUP($A530,Load!$B:$B,Load!D:D,0,)</f>
        <v>0</v>
      </c>
      <c r="D530">
        <f>_xlfn.XLOOKUP($A530,Load!$B:$B,Load!E:E,0,)</f>
        <v>0</v>
      </c>
      <c r="E530">
        <f>_xlfn.XLOOKUP($A530,Load!$B:$B,Load!F:F,0,)</f>
        <v>0</v>
      </c>
      <c r="F530">
        <f>_xlfn.XLOOKUP($A530,Load!$B:$B,Load!G:G,0,)</f>
        <v>0</v>
      </c>
      <c r="G530">
        <f>_xlfn.XLOOKUP($A530,Load!$B:$B,Load!H:H,0,)</f>
        <v>0</v>
      </c>
      <c r="H530">
        <f>_xlfn.XLOOKUP($A530,Load!$B:$B,Load!I:I,0,)</f>
        <v>0</v>
      </c>
      <c r="I530">
        <f>_xlfn.XLOOKUP($A530,Load!$B:$B,Load!J:J,0,)</f>
        <v>0</v>
      </c>
      <c r="J530">
        <f>_xlfn.XLOOKUP($A530,Load!$B:$B,Load!K:K,0,)</f>
        <v>0</v>
      </c>
      <c r="K530">
        <f>_xlfn.XLOOKUP($A530,Load!$B:$B,Load!L:L,0,)</f>
        <v>0</v>
      </c>
      <c r="L530">
        <f>_xlfn.XLOOKUP($A530,Load!$B:$B,Load!M:M,0,)</f>
        <v>0</v>
      </c>
    </row>
    <row r="531" spans="2:12" x14ac:dyDescent="0.25">
      <c r="B531">
        <f>_xlfn.XLOOKUP($A531,Load!$B:$B,Load!C:C,0,)</f>
        <v>0</v>
      </c>
      <c r="C531">
        <f>_xlfn.XLOOKUP($A531,Load!$B:$B,Load!D:D,0,)</f>
        <v>0</v>
      </c>
      <c r="D531">
        <f>_xlfn.XLOOKUP($A531,Load!$B:$B,Load!E:E,0,)</f>
        <v>0</v>
      </c>
      <c r="E531">
        <f>_xlfn.XLOOKUP($A531,Load!$B:$B,Load!F:F,0,)</f>
        <v>0</v>
      </c>
      <c r="F531">
        <f>_xlfn.XLOOKUP($A531,Load!$B:$B,Load!G:G,0,)</f>
        <v>0</v>
      </c>
      <c r="G531">
        <f>_xlfn.XLOOKUP($A531,Load!$B:$B,Load!H:H,0,)</f>
        <v>0</v>
      </c>
      <c r="H531">
        <f>_xlfn.XLOOKUP($A531,Load!$B:$B,Load!I:I,0,)</f>
        <v>0</v>
      </c>
      <c r="I531">
        <f>_xlfn.XLOOKUP($A531,Load!$B:$B,Load!J:J,0,)</f>
        <v>0</v>
      </c>
      <c r="J531">
        <f>_xlfn.XLOOKUP($A531,Load!$B:$B,Load!K:K,0,)</f>
        <v>0</v>
      </c>
      <c r="K531">
        <f>_xlfn.XLOOKUP($A531,Load!$B:$B,Load!L:L,0,)</f>
        <v>0</v>
      </c>
      <c r="L531">
        <f>_xlfn.XLOOKUP($A531,Load!$B:$B,Load!M:M,0,)</f>
        <v>0</v>
      </c>
    </row>
    <row r="532" spans="2:12" x14ac:dyDescent="0.25">
      <c r="B532">
        <f>_xlfn.XLOOKUP($A532,Load!$B:$B,Load!C:C,0,)</f>
        <v>0</v>
      </c>
      <c r="C532">
        <f>_xlfn.XLOOKUP($A532,Load!$B:$B,Load!D:D,0,)</f>
        <v>0</v>
      </c>
      <c r="D532">
        <f>_xlfn.XLOOKUP($A532,Load!$B:$B,Load!E:E,0,)</f>
        <v>0</v>
      </c>
      <c r="E532">
        <f>_xlfn.XLOOKUP($A532,Load!$B:$B,Load!F:F,0,)</f>
        <v>0</v>
      </c>
      <c r="F532">
        <f>_xlfn.XLOOKUP($A532,Load!$B:$B,Load!G:G,0,)</f>
        <v>0</v>
      </c>
      <c r="G532">
        <f>_xlfn.XLOOKUP($A532,Load!$B:$B,Load!H:H,0,)</f>
        <v>0</v>
      </c>
      <c r="H532">
        <f>_xlfn.XLOOKUP($A532,Load!$B:$B,Load!I:I,0,)</f>
        <v>0</v>
      </c>
      <c r="I532">
        <f>_xlfn.XLOOKUP($A532,Load!$B:$B,Load!J:J,0,)</f>
        <v>0</v>
      </c>
      <c r="J532">
        <f>_xlfn.XLOOKUP($A532,Load!$B:$B,Load!K:K,0,)</f>
        <v>0</v>
      </c>
      <c r="K532">
        <f>_xlfn.XLOOKUP($A532,Load!$B:$B,Load!L:L,0,)</f>
        <v>0</v>
      </c>
      <c r="L532">
        <f>_xlfn.XLOOKUP($A532,Load!$B:$B,Load!M:M,0,)</f>
        <v>0</v>
      </c>
    </row>
    <row r="533" spans="2:12" x14ac:dyDescent="0.25">
      <c r="B533">
        <f>_xlfn.XLOOKUP($A533,Load!$B:$B,Load!C:C,0,)</f>
        <v>0</v>
      </c>
      <c r="C533">
        <f>_xlfn.XLOOKUP($A533,Load!$B:$B,Load!D:D,0,)</f>
        <v>0</v>
      </c>
      <c r="D533">
        <f>_xlfn.XLOOKUP($A533,Load!$B:$B,Load!E:E,0,)</f>
        <v>0</v>
      </c>
      <c r="E533">
        <f>_xlfn.XLOOKUP($A533,Load!$B:$B,Load!F:F,0,)</f>
        <v>0</v>
      </c>
      <c r="F533">
        <f>_xlfn.XLOOKUP($A533,Load!$B:$B,Load!G:G,0,)</f>
        <v>0</v>
      </c>
      <c r="G533">
        <f>_xlfn.XLOOKUP($A533,Load!$B:$B,Load!H:H,0,)</f>
        <v>0</v>
      </c>
      <c r="H533">
        <f>_xlfn.XLOOKUP($A533,Load!$B:$B,Load!I:I,0,)</f>
        <v>0</v>
      </c>
      <c r="I533">
        <f>_xlfn.XLOOKUP($A533,Load!$B:$B,Load!J:J,0,)</f>
        <v>0</v>
      </c>
      <c r="J533">
        <f>_xlfn.XLOOKUP($A533,Load!$B:$B,Load!K:K,0,)</f>
        <v>0</v>
      </c>
      <c r="K533">
        <f>_xlfn.XLOOKUP($A533,Load!$B:$B,Load!L:L,0,)</f>
        <v>0</v>
      </c>
      <c r="L533">
        <f>_xlfn.XLOOKUP($A533,Load!$B:$B,Load!M:M,0,)</f>
        <v>0</v>
      </c>
    </row>
    <row r="534" spans="2:12" x14ac:dyDescent="0.25">
      <c r="B534">
        <f>_xlfn.XLOOKUP($A534,Load!$B:$B,Load!C:C,0,)</f>
        <v>0</v>
      </c>
      <c r="C534">
        <f>_xlfn.XLOOKUP($A534,Load!$B:$B,Load!D:D,0,)</f>
        <v>0</v>
      </c>
      <c r="D534">
        <f>_xlfn.XLOOKUP($A534,Load!$B:$B,Load!E:E,0,)</f>
        <v>0</v>
      </c>
      <c r="E534">
        <f>_xlfn.XLOOKUP($A534,Load!$B:$B,Load!F:F,0,)</f>
        <v>0</v>
      </c>
      <c r="F534">
        <f>_xlfn.XLOOKUP($A534,Load!$B:$B,Load!G:G,0,)</f>
        <v>0</v>
      </c>
      <c r="G534">
        <f>_xlfn.XLOOKUP($A534,Load!$B:$B,Load!H:H,0,)</f>
        <v>0</v>
      </c>
      <c r="H534">
        <f>_xlfn.XLOOKUP($A534,Load!$B:$B,Load!I:I,0,)</f>
        <v>0</v>
      </c>
      <c r="I534">
        <f>_xlfn.XLOOKUP($A534,Load!$B:$B,Load!J:J,0,)</f>
        <v>0</v>
      </c>
      <c r="J534">
        <f>_xlfn.XLOOKUP($A534,Load!$B:$B,Load!K:K,0,)</f>
        <v>0</v>
      </c>
      <c r="K534">
        <f>_xlfn.XLOOKUP($A534,Load!$B:$B,Load!L:L,0,)</f>
        <v>0</v>
      </c>
      <c r="L534">
        <f>_xlfn.XLOOKUP($A534,Load!$B:$B,Load!M:M,0,)</f>
        <v>0</v>
      </c>
    </row>
    <row r="535" spans="2:12" x14ac:dyDescent="0.25">
      <c r="B535">
        <f>_xlfn.XLOOKUP($A535,Load!$B:$B,Load!C:C,0,)</f>
        <v>0</v>
      </c>
      <c r="C535">
        <f>_xlfn.XLOOKUP($A535,Load!$B:$B,Load!D:D,0,)</f>
        <v>0</v>
      </c>
      <c r="D535">
        <f>_xlfn.XLOOKUP($A535,Load!$B:$B,Load!E:E,0,)</f>
        <v>0</v>
      </c>
      <c r="E535">
        <f>_xlfn.XLOOKUP($A535,Load!$B:$B,Load!F:F,0,)</f>
        <v>0</v>
      </c>
      <c r="F535">
        <f>_xlfn.XLOOKUP($A535,Load!$B:$B,Load!G:G,0,)</f>
        <v>0</v>
      </c>
      <c r="G535">
        <f>_xlfn.XLOOKUP($A535,Load!$B:$B,Load!H:H,0,)</f>
        <v>0</v>
      </c>
      <c r="H535">
        <f>_xlfn.XLOOKUP($A535,Load!$B:$B,Load!I:I,0,)</f>
        <v>0</v>
      </c>
      <c r="I535">
        <f>_xlfn.XLOOKUP($A535,Load!$B:$B,Load!J:J,0,)</f>
        <v>0</v>
      </c>
      <c r="J535">
        <f>_xlfn.XLOOKUP($A535,Load!$B:$B,Load!K:K,0,)</f>
        <v>0</v>
      </c>
      <c r="K535">
        <f>_xlfn.XLOOKUP($A535,Load!$B:$B,Load!L:L,0,)</f>
        <v>0</v>
      </c>
      <c r="L535">
        <f>_xlfn.XLOOKUP($A535,Load!$B:$B,Load!M:M,0,)</f>
        <v>0</v>
      </c>
    </row>
    <row r="536" spans="2:12" x14ac:dyDescent="0.25">
      <c r="B536">
        <f>_xlfn.XLOOKUP($A536,Load!$B:$B,Load!C:C,0,)</f>
        <v>0</v>
      </c>
      <c r="C536">
        <f>_xlfn.XLOOKUP($A536,Load!$B:$B,Load!D:D,0,)</f>
        <v>0</v>
      </c>
      <c r="D536">
        <f>_xlfn.XLOOKUP($A536,Load!$B:$B,Load!E:E,0,)</f>
        <v>0</v>
      </c>
      <c r="E536">
        <f>_xlfn.XLOOKUP($A536,Load!$B:$B,Load!F:F,0,)</f>
        <v>0</v>
      </c>
      <c r="F536">
        <f>_xlfn.XLOOKUP($A536,Load!$B:$B,Load!G:G,0,)</f>
        <v>0</v>
      </c>
      <c r="G536">
        <f>_xlfn.XLOOKUP($A536,Load!$B:$B,Load!H:H,0,)</f>
        <v>0</v>
      </c>
      <c r="H536">
        <f>_xlfn.XLOOKUP($A536,Load!$B:$B,Load!I:I,0,)</f>
        <v>0</v>
      </c>
      <c r="I536">
        <f>_xlfn.XLOOKUP($A536,Load!$B:$B,Load!J:J,0,)</f>
        <v>0</v>
      </c>
      <c r="J536">
        <f>_xlfn.XLOOKUP($A536,Load!$B:$B,Load!K:K,0,)</f>
        <v>0</v>
      </c>
      <c r="K536">
        <f>_xlfn.XLOOKUP($A536,Load!$B:$B,Load!L:L,0,)</f>
        <v>0</v>
      </c>
      <c r="L536">
        <f>_xlfn.XLOOKUP($A536,Load!$B:$B,Load!M:M,0,)</f>
        <v>0</v>
      </c>
    </row>
    <row r="537" spans="2:12" x14ac:dyDescent="0.25">
      <c r="B537">
        <f>_xlfn.XLOOKUP($A537,Load!$B:$B,Load!C:C,0,)</f>
        <v>0</v>
      </c>
      <c r="C537">
        <f>_xlfn.XLOOKUP($A537,Load!$B:$B,Load!D:D,0,)</f>
        <v>0</v>
      </c>
      <c r="D537">
        <f>_xlfn.XLOOKUP($A537,Load!$B:$B,Load!E:E,0,)</f>
        <v>0</v>
      </c>
      <c r="E537">
        <f>_xlfn.XLOOKUP($A537,Load!$B:$B,Load!F:F,0,)</f>
        <v>0</v>
      </c>
      <c r="F537">
        <f>_xlfn.XLOOKUP($A537,Load!$B:$B,Load!G:G,0,)</f>
        <v>0</v>
      </c>
      <c r="G537">
        <f>_xlfn.XLOOKUP($A537,Load!$B:$B,Load!H:H,0,)</f>
        <v>0</v>
      </c>
      <c r="H537">
        <f>_xlfn.XLOOKUP($A537,Load!$B:$B,Load!I:I,0,)</f>
        <v>0</v>
      </c>
      <c r="I537">
        <f>_xlfn.XLOOKUP($A537,Load!$B:$B,Load!J:J,0,)</f>
        <v>0</v>
      </c>
      <c r="J537">
        <f>_xlfn.XLOOKUP($A537,Load!$B:$B,Load!K:K,0,)</f>
        <v>0</v>
      </c>
      <c r="K537">
        <f>_xlfn.XLOOKUP($A537,Load!$B:$B,Load!L:L,0,)</f>
        <v>0</v>
      </c>
      <c r="L537">
        <f>_xlfn.XLOOKUP($A537,Load!$B:$B,Load!M:M,0,)</f>
        <v>0</v>
      </c>
    </row>
    <row r="538" spans="2:12" x14ac:dyDescent="0.25">
      <c r="B538">
        <f>_xlfn.XLOOKUP($A538,Load!$B:$B,Load!C:C,0,)</f>
        <v>0</v>
      </c>
      <c r="C538">
        <f>_xlfn.XLOOKUP($A538,Load!$B:$B,Load!D:D,0,)</f>
        <v>0</v>
      </c>
      <c r="D538">
        <f>_xlfn.XLOOKUP($A538,Load!$B:$B,Load!E:E,0,)</f>
        <v>0</v>
      </c>
      <c r="E538">
        <f>_xlfn.XLOOKUP($A538,Load!$B:$B,Load!F:F,0,)</f>
        <v>0</v>
      </c>
      <c r="F538">
        <f>_xlfn.XLOOKUP($A538,Load!$B:$B,Load!G:G,0,)</f>
        <v>0</v>
      </c>
      <c r="G538">
        <f>_xlfn.XLOOKUP($A538,Load!$B:$B,Load!H:H,0,)</f>
        <v>0</v>
      </c>
      <c r="H538">
        <f>_xlfn.XLOOKUP($A538,Load!$B:$B,Load!I:I,0,)</f>
        <v>0</v>
      </c>
      <c r="I538">
        <f>_xlfn.XLOOKUP($A538,Load!$B:$B,Load!J:J,0,)</f>
        <v>0</v>
      </c>
      <c r="J538">
        <f>_xlfn.XLOOKUP($A538,Load!$B:$B,Load!K:K,0,)</f>
        <v>0</v>
      </c>
      <c r="K538">
        <f>_xlfn.XLOOKUP($A538,Load!$B:$B,Load!L:L,0,)</f>
        <v>0</v>
      </c>
      <c r="L538">
        <f>_xlfn.XLOOKUP($A538,Load!$B:$B,Load!M:M,0,)</f>
        <v>0</v>
      </c>
    </row>
    <row r="539" spans="2:12" x14ac:dyDescent="0.25">
      <c r="B539">
        <f>_xlfn.XLOOKUP($A539,Load!$B:$B,Load!C:C,0,)</f>
        <v>0</v>
      </c>
      <c r="C539">
        <f>_xlfn.XLOOKUP($A539,Load!$B:$B,Load!D:D,0,)</f>
        <v>0</v>
      </c>
      <c r="D539">
        <f>_xlfn.XLOOKUP($A539,Load!$B:$B,Load!E:E,0,)</f>
        <v>0</v>
      </c>
      <c r="E539">
        <f>_xlfn.XLOOKUP($A539,Load!$B:$B,Load!F:F,0,)</f>
        <v>0</v>
      </c>
      <c r="F539">
        <f>_xlfn.XLOOKUP($A539,Load!$B:$B,Load!G:G,0,)</f>
        <v>0</v>
      </c>
      <c r="G539">
        <f>_xlfn.XLOOKUP($A539,Load!$B:$B,Load!H:H,0,)</f>
        <v>0</v>
      </c>
      <c r="H539">
        <f>_xlfn.XLOOKUP($A539,Load!$B:$B,Load!I:I,0,)</f>
        <v>0</v>
      </c>
      <c r="I539">
        <f>_xlfn.XLOOKUP($A539,Load!$B:$B,Load!J:J,0,)</f>
        <v>0</v>
      </c>
      <c r="J539">
        <f>_xlfn.XLOOKUP($A539,Load!$B:$B,Load!K:K,0,)</f>
        <v>0</v>
      </c>
      <c r="K539">
        <f>_xlfn.XLOOKUP($A539,Load!$B:$B,Load!L:L,0,)</f>
        <v>0</v>
      </c>
      <c r="L539">
        <f>_xlfn.XLOOKUP($A539,Load!$B:$B,Load!M:M,0,)</f>
        <v>0</v>
      </c>
    </row>
    <row r="540" spans="2:12" x14ac:dyDescent="0.25">
      <c r="B540">
        <f>_xlfn.XLOOKUP($A540,Load!$B:$B,Load!C:C,0,)</f>
        <v>0</v>
      </c>
      <c r="C540">
        <f>_xlfn.XLOOKUP($A540,Load!$B:$B,Load!D:D,0,)</f>
        <v>0</v>
      </c>
      <c r="D540">
        <f>_xlfn.XLOOKUP($A540,Load!$B:$B,Load!E:E,0,)</f>
        <v>0</v>
      </c>
      <c r="E540">
        <f>_xlfn.XLOOKUP($A540,Load!$B:$B,Load!F:F,0,)</f>
        <v>0</v>
      </c>
      <c r="F540">
        <f>_xlfn.XLOOKUP($A540,Load!$B:$B,Load!G:G,0,)</f>
        <v>0</v>
      </c>
      <c r="G540">
        <f>_xlfn.XLOOKUP($A540,Load!$B:$B,Load!H:H,0,)</f>
        <v>0</v>
      </c>
      <c r="H540">
        <f>_xlfn.XLOOKUP($A540,Load!$B:$B,Load!I:I,0,)</f>
        <v>0</v>
      </c>
      <c r="I540">
        <f>_xlfn.XLOOKUP($A540,Load!$B:$B,Load!J:J,0,)</f>
        <v>0</v>
      </c>
      <c r="J540">
        <f>_xlfn.XLOOKUP($A540,Load!$B:$B,Load!K:K,0,)</f>
        <v>0</v>
      </c>
      <c r="K540">
        <f>_xlfn.XLOOKUP($A540,Load!$B:$B,Load!L:L,0,)</f>
        <v>0</v>
      </c>
      <c r="L540">
        <f>_xlfn.XLOOKUP($A540,Load!$B:$B,Load!M:M,0,)</f>
        <v>0</v>
      </c>
    </row>
    <row r="541" spans="2:12" x14ac:dyDescent="0.25">
      <c r="B541">
        <f>_xlfn.XLOOKUP($A541,Load!$B:$B,Load!C:C,0,)</f>
        <v>0</v>
      </c>
      <c r="C541">
        <f>_xlfn.XLOOKUP($A541,Load!$B:$B,Load!D:D,0,)</f>
        <v>0</v>
      </c>
      <c r="D541">
        <f>_xlfn.XLOOKUP($A541,Load!$B:$B,Load!E:E,0,)</f>
        <v>0</v>
      </c>
      <c r="E541">
        <f>_xlfn.XLOOKUP($A541,Load!$B:$B,Load!F:F,0,)</f>
        <v>0</v>
      </c>
      <c r="F541">
        <f>_xlfn.XLOOKUP($A541,Load!$B:$B,Load!G:G,0,)</f>
        <v>0</v>
      </c>
      <c r="G541">
        <f>_xlfn.XLOOKUP($A541,Load!$B:$B,Load!H:H,0,)</f>
        <v>0</v>
      </c>
      <c r="H541">
        <f>_xlfn.XLOOKUP($A541,Load!$B:$B,Load!I:I,0,)</f>
        <v>0</v>
      </c>
      <c r="I541">
        <f>_xlfn.XLOOKUP($A541,Load!$B:$B,Load!J:J,0,)</f>
        <v>0</v>
      </c>
      <c r="J541">
        <f>_xlfn.XLOOKUP($A541,Load!$B:$B,Load!K:K,0,)</f>
        <v>0</v>
      </c>
      <c r="K541">
        <f>_xlfn.XLOOKUP($A541,Load!$B:$B,Load!L:L,0,)</f>
        <v>0</v>
      </c>
      <c r="L541">
        <f>_xlfn.XLOOKUP($A541,Load!$B:$B,Load!M:M,0,)</f>
        <v>0</v>
      </c>
    </row>
    <row r="542" spans="2:12" x14ac:dyDescent="0.25">
      <c r="B542">
        <f>_xlfn.XLOOKUP($A542,Load!$B:$B,Load!C:C,0,)</f>
        <v>0</v>
      </c>
      <c r="C542">
        <f>_xlfn.XLOOKUP($A542,Load!$B:$B,Load!D:D,0,)</f>
        <v>0</v>
      </c>
      <c r="D542">
        <f>_xlfn.XLOOKUP($A542,Load!$B:$B,Load!E:E,0,)</f>
        <v>0</v>
      </c>
      <c r="E542">
        <f>_xlfn.XLOOKUP($A542,Load!$B:$B,Load!F:F,0,)</f>
        <v>0</v>
      </c>
      <c r="F542">
        <f>_xlfn.XLOOKUP($A542,Load!$B:$B,Load!G:G,0,)</f>
        <v>0</v>
      </c>
      <c r="G542">
        <f>_xlfn.XLOOKUP($A542,Load!$B:$B,Load!H:H,0,)</f>
        <v>0</v>
      </c>
      <c r="H542">
        <f>_xlfn.XLOOKUP($A542,Load!$B:$B,Load!I:I,0,)</f>
        <v>0</v>
      </c>
      <c r="I542">
        <f>_xlfn.XLOOKUP($A542,Load!$B:$B,Load!J:J,0,)</f>
        <v>0</v>
      </c>
      <c r="J542">
        <f>_xlfn.XLOOKUP($A542,Load!$B:$B,Load!K:K,0,)</f>
        <v>0</v>
      </c>
      <c r="K542">
        <f>_xlfn.XLOOKUP($A542,Load!$B:$B,Load!L:L,0,)</f>
        <v>0</v>
      </c>
      <c r="L542">
        <f>_xlfn.XLOOKUP($A542,Load!$B:$B,Load!M:M,0,)</f>
        <v>0</v>
      </c>
    </row>
    <row r="543" spans="2:12" x14ac:dyDescent="0.25">
      <c r="B543">
        <f>_xlfn.XLOOKUP($A543,Load!$B:$B,Load!C:C,0,)</f>
        <v>0</v>
      </c>
      <c r="C543">
        <f>_xlfn.XLOOKUP($A543,Load!$B:$B,Load!D:D,0,)</f>
        <v>0</v>
      </c>
      <c r="D543">
        <f>_xlfn.XLOOKUP($A543,Load!$B:$B,Load!E:E,0,)</f>
        <v>0</v>
      </c>
      <c r="E543">
        <f>_xlfn.XLOOKUP($A543,Load!$B:$B,Load!F:F,0,)</f>
        <v>0</v>
      </c>
      <c r="F543">
        <f>_xlfn.XLOOKUP($A543,Load!$B:$B,Load!G:G,0,)</f>
        <v>0</v>
      </c>
      <c r="G543">
        <f>_xlfn.XLOOKUP($A543,Load!$B:$B,Load!H:H,0,)</f>
        <v>0</v>
      </c>
      <c r="H543">
        <f>_xlfn.XLOOKUP($A543,Load!$B:$B,Load!I:I,0,)</f>
        <v>0</v>
      </c>
      <c r="I543">
        <f>_xlfn.XLOOKUP($A543,Load!$B:$B,Load!J:J,0,)</f>
        <v>0</v>
      </c>
      <c r="J543">
        <f>_xlfn.XLOOKUP($A543,Load!$B:$B,Load!K:K,0,)</f>
        <v>0</v>
      </c>
      <c r="K543">
        <f>_xlfn.XLOOKUP($A543,Load!$B:$B,Load!L:L,0,)</f>
        <v>0</v>
      </c>
      <c r="L543">
        <f>_xlfn.XLOOKUP($A543,Load!$B:$B,Load!M:M,0,)</f>
        <v>0</v>
      </c>
    </row>
    <row r="544" spans="2:12" x14ac:dyDescent="0.25">
      <c r="B544">
        <f>_xlfn.XLOOKUP($A544,Load!$B:$B,Load!C:C,0,)</f>
        <v>0</v>
      </c>
      <c r="C544">
        <f>_xlfn.XLOOKUP($A544,Load!$B:$B,Load!D:D,0,)</f>
        <v>0</v>
      </c>
      <c r="D544">
        <f>_xlfn.XLOOKUP($A544,Load!$B:$B,Load!E:E,0,)</f>
        <v>0</v>
      </c>
      <c r="E544">
        <f>_xlfn.XLOOKUP($A544,Load!$B:$B,Load!F:F,0,)</f>
        <v>0</v>
      </c>
      <c r="F544">
        <f>_xlfn.XLOOKUP($A544,Load!$B:$B,Load!G:G,0,)</f>
        <v>0</v>
      </c>
      <c r="G544">
        <f>_xlfn.XLOOKUP($A544,Load!$B:$B,Load!H:H,0,)</f>
        <v>0</v>
      </c>
      <c r="H544">
        <f>_xlfn.XLOOKUP($A544,Load!$B:$B,Load!I:I,0,)</f>
        <v>0</v>
      </c>
      <c r="I544">
        <f>_xlfn.XLOOKUP($A544,Load!$B:$B,Load!J:J,0,)</f>
        <v>0</v>
      </c>
      <c r="J544">
        <f>_xlfn.XLOOKUP($A544,Load!$B:$B,Load!K:K,0,)</f>
        <v>0</v>
      </c>
      <c r="K544">
        <f>_xlfn.XLOOKUP($A544,Load!$B:$B,Load!L:L,0,)</f>
        <v>0</v>
      </c>
      <c r="L544">
        <f>_xlfn.XLOOKUP($A544,Load!$B:$B,Load!M:M,0,)</f>
        <v>0</v>
      </c>
    </row>
    <row r="545" spans="1:12" x14ac:dyDescent="0.25">
      <c r="B545">
        <f>_xlfn.XLOOKUP($A545,Load!$B:$B,Load!C:C,0,)</f>
        <v>0</v>
      </c>
      <c r="C545">
        <f>_xlfn.XLOOKUP($A545,Load!$B:$B,Load!D:D,0,)</f>
        <v>0</v>
      </c>
      <c r="D545">
        <f>_xlfn.XLOOKUP($A545,Load!$B:$B,Load!E:E,0,)</f>
        <v>0</v>
      </c>
      <c r="E545">
        <f>_xlfn.XLOOKUP($A545,Load!$B:$B,Load!F:F,0,)</f>
        <v>0</v>
      </c>
      <c r="F545">
        <f>_xlfn.XLOOKUP($A545,Load!$B:$B,Load!G:G,0,)</f>
        <v>0</v>
      </c>
      <c r="G545">
        <f>_xlfn.XLOOKUP($A545,Load!$B:$B,Load!H:H,0,)</f>
        <v>0</v>
      </c>
      <c r="H545">
        <f>_xlfn.XLOOKUP($A545,Load!$B:$B,Load!I:I,0,)</f>
        <v>0</v>
      </c>
      <c r="I545">
        <f>_xlfn.XLOOKUP($A545,Load!$B:$B,Load!J:J,0,)</f>
        <v>0</v>
      </c>
      <c r="J545">
        <f>_xlfn.XLOOKUP($A545,Load!$B:$B,Load!K:K,0,)</f>
        <v>0</v>
      </c>
      <c r="K545">
        <f>_xlfn.XLOOKUP($A545,Load!$B:$B,Load!L:L,0,)</f>
        <v>0</v>
      </c>
      <c r="L545">
        <f>_xlfn.XLOOKUP($A545,Load!$B:$B,Load!M:M,0,)</f>
        <v>0</v>
      </c>
    </row>
    <row r="546" spans="1:12" x14ac:dyDescent="0.25">
      <c r="B546">
        <f>_xlfn.XLOOKUP($A546,Load!$B:$B,Load!C:C,0,)</f>
        <v>0</v>
      </c>
      <c r="C546">
        <f>_xlfn.XLOOKUP($A546,Load!$B:$B,Load!D:D,0,)</f>
        <v>0</v>
      </c>
      <c r="D546">
        <f>_xlfn.XLOOKUP($A546,Load!$B:$B,Load!E:E,0,)</f>
        <v>0</v>
      </c>
      <c r="E546">
        <f>_xlfn.XLOOKUP($A546,Load!$B:$B,Load!F:F,0,)</f>
        <v>0</v>
      </c>
      <c r="F546">
        <f>_xlfn.XLOOKUP($A546,Load!$B:$B,Load!G:G,0,)</f>
        <v>0</v>
      </c>
      <c r="G546">
        <f>_xlfn.XLOOKUP($A546,Load!$B:$B,Load!H:H,0,)</f>
        <v>0</v>
      </c>
      <c r="H546">
        <f>_xlfn.XLOOKUP($A546,Load!$B:$B,Load!I:I,0,)</f>
        <v>0</v>
      </c>
      <c r="I546">
        <f>_xlfn.XLOOKUP($A546,Load!$B:$B,Load!J:J,0,)</f>
        <v>0</v>
      </c>
      <c r="J546">
        <f>_xlfn.XLOOKUP($A546,Load!$B:$B,Load!K:K,0,)</f>
        <v>0</v>
      </c>
      <c r="K546">
        <f>_xlfn.XLOOKUP($A546,Load!$B:$B,Load!L:L,0,)</f>
        <v>0</v>
      </c>
      <c r="L546">
        <f>_xlfn.XLOOKUP($A546,Load!$B:$B,Load!M:M,0,)</f>
        <v>0</v>
      </c>
    </row>
    <row r="547" spans="1:12" x14ac:dyDescent="0.25">
      <c r="B547">
        <f>_xlfn.XLOOKUP($A547,Load!$B:$B,Load!C:C,0,)</f>
        <v>0</v>
      </c>
      <c r="C547">
        <f>_xlfn.XLOOKUP($A547,Load!$B:$B,Load!D:D,0,)</f>
        <v>0</v>
      </c>
      <c r="D547">
        <f>_xlfn.XLOOKUP($A547,Load!$B:$B,Load!E:E,0,)</f>
        <v>0</v>
      </c>
      <c r="E547">
        <f>_xlfn.XLOOKUP($A547,Load!$B:$B,Load!F:F,0,)</f>
        <v>0</v>
      </c>
      <c r="F547">
        <f>_xlfn.XLOOKUP($A547,Load!$B:$B,Load!G:G,0,)</f>
        <v>0</v>
      </c>
      <c r="G547">
        <f>_xlfn.XLOOKUP($A547,Load!$B:$B,Load!H:H,0,)</f>
        <v>0</v>
      </c>
      <c r="H547">
        <f>_xlfn.XLOOKUP($A547,Load!$B:$B,Load!I:I,0,)</f>
        <v>0</v>
      </c>
      <c r="I547">
        <f>_xlfn.XLOOKUP($A547,Load!$B:$B,Load!J:J,0,)</f>
        <v>0</v>
      </c>
      <c r="J547">
        <f>_xlfn.XLOOKUP($A547,Load!$B:$B,Load!K:K,0,)</f>
        <v>0</v>
      </c>
      <c r="K547">
        <f>_xlfn.XLOOKUP($A547,Load!$B:$B,Load!L:L,0,)</f>
        <v>0</v>
      </c>
      <c r="L547">
        <f>_xlfn.XLOOKUP($A547,Load!$B:$B,Load!M:M,0,)</f>
        <v>0</v>
      </c>
    </row>
    <row r="548" spans="1:12" x14ac:dyDescent="0.25">
      <c r="A548" t="s">
        <v>245</v>
      </c>
      <c r="B548" t="str">
        <f>_xlfn.XLOOKUP($A548,Load!$B:$B,Load!C:C,0,)</f>
        <v>Ring Pop</v>
      </c>
      <c r="C548" t="str">
        <f>_xlfn.XLOOKUP($A548,Load!$B:$B,Load!D:D,0,)</f>
        <v>Non-Chocolate Candy Only</v>
      </c>
      <c r="D548" t="str">
        <f>_xlfn.XLOOKUP($A548,Load!$B:$B,Load!E:E,0,)</f>
        <v>Fruit Flavor (Cherry, Grape, Apple, Citrus, Tropical Fruit)</v>
      </c>
      <c r="E548" t="str">
        <f>_xlfn.XLOOKUP($A548,Load!$B:$B,Load!F:F,0,)</f>
        <v>Lollipop (regular or lollipop rings)</v>
      </c>
      <c r="F548" t="str">
        <f>_xlfn.XLOOKUP($A548,Load!$B:$B,Load!G:G,0,)</f>
        <v>Single Pack</v>
      </c>
      <c r="G548" t="str">
        <f>_xlfn.XLOOKUP($A548,Load!$B:$B,Load!H:H,0,)</f>
        <v>Box (theatre box, gift box, carton)</v>
      </c>
      <c r="H548" t="str">
        <f>_xlfn.XLOOKUP($A548,Load!$B:$B,Load!I:I,0,)</f>
        <v>Everyday Candy Shapes (like Original, Gummy bear, Fruit, Jewels, etc.)</v>
      </c>
      <c r="I548" t="str">
        <f>_xlfn.XLOOKUP($A548,Load!$B:$B,Load!J:J,0,)</f>
        <v>Seasonal Graphics (Like Bat, Ghost, Pumpkin, Fall Leaves, Eyeballs, etc.)</v>
      </c>
      <c r="J548" t="str">
        <f>_xlfn.XLOOKUP($A548,Load!$B:$B,Load!K:K,0,)</f>
        <v>Regular Lollipop size (on sticks or rings)</v>
      </c>
      <c r="K548" t="str">
        <f>_xlfn.XLOOKUP($A548,Load!$B:$B,Load!L:L,0,)</f>
        <v>Regular/Original Wrapping</v>
      </c>
      <c r="L548" t="str">
        <f>_xlfn.XLOOKUP($A548,Load!$B:$B,Load!M:M,0,)</f>
        <v>Single Brand / Single Flavor or Form</v>
      </c>
    </row>
    <row r="549" spans="1:12" x14ac:dyDescent="0.25">
      <c r="B549">
        <f>_xlfn.XLOOKUP($A549,Load!$B:$B,Load!C:C,0,)</f>
        <v>0</v>
      </c>
      <c r="C549">
        <f>_xlfn.XLOOKUP($A549,Load!$B:$B,Load!D:D,0,)</f>
        <v>0</v>
      </c>
      <c r="D549">
        <f>_xlfn.XLOOKUP($A549,Load!$B:$B,Load!E:E,0,)</f>
        <v>0</v>
      </c>
      <c r="E549">
        <f>_xlfn.XLOOKUP($A549,Load!$B:$B,Load!F:F,0,)</f>
        <v>0</v>
      </c>
      <c r="F549">
        <f>_xlfn.XLOOKUP($A549,Load!$B:$B,Load!G:G,0,)</f>
        <v>0</v>
      </c>
      <c r="G549">
        <f>_xlfn.XLOOKUP($A549,Load!$B:$B,Load!H:H,0,)</f>
        <v>0</v>
      </c>
      <c r="H549">
        <f>_xlfn.XLOOKUP($A549,Load!$B:$B,Load!I:I,0,)</f>
        <v>0</v>
      </c>
      <c r="I549">
        <f>_xlfn.XLOOKUP($A549,Load!$B:$B,Load!J:J,0,)</f>
        <v>0</v>
      </c>
      <c r="J549">
        <f>_xlfn.XLOOKUP($A549,Load!$B:$B,Load!K:K,0,)</f>
        <v>0</v>
      </c>
      <c r="K549">
        <f>_xlfn.XLOOKUP($A549,Load!$B:$B,Load!L:L,0,)</f>
        <v>0</v>
      </c>
      <c r="L549">
        <f>_xlfn.XLOOKUP($A549,Load!$B:$B,Load!M:M,0,)</f>
        <v>0</v>
      </c>
    </row>
    <row r="550" spans="1:12" x14ac:dyDescent="0.25">
      <c r="B550">
        <f>_xlfn.XLOOKUP($A550,Load!$B:$B,Load!C:C,0,)</f>
        <v>0</v>
      </c>
      <c r="C550">
        <f>_xlfn.XLOOKUP($A550,Load!$B:$B,Load!D:D,0,)</f>
        <v>0</v>
      </c>
      <c r="D550">
        <f>_xlfn.XLOOKUP($A550,Load!$B:$B,Load!E:E,0,)</f>
        <v>0</v>
      </c>
      <c r="E550">
        <f>_xlfn.XLOOKUP($A550,Load!$B:$B,Load!F:F,0,)</f>
        <v>0</v>
      </c>
      <c r="F550">
        <f>_xlfn.XLOOKUP($A550,Load!$B:$B,Load!G:G,0,)</f>
        <v>0</v>
      </c>
      <c r="G550">
        <f>_xlfn.XLOOKUP($A550,Load!$B:$B,Load!H:H,0,)</f>
        <v>0</v>
      </c>
      <c r="H550">
        <f>_xlfn.XLOOKUP($A550,Load!$B:$B,Load!I:I,0,)</f>
        <v>0</v>
      </c>
      <c r="I550">
        <f>_xlfn.XLOOKUP($A550,Load!$B:$B,Load!J:J,0,)</f>
        <v>0</v>
      </c>
      <c r="J550">
        <f>_xlfn.XLOOKUP($A550,Load!$B:$B,Load!K:K,0,)</f>
        <v>0</v>
      </c>
      <c r="K550">
        <f>_xlfn.XLOOKUP($A550,Load!$B:$B,Load!L:L,0,)</f>
        <v>0</v>
      </c>
      <c r="L550">
        <f>_xlfn.XLOOKUP($A550,Load!$B:$B,Load!M:M,0,)</f>
        <v>0</v>
      </c>
    </row>
    <row r="551" spans="1:12" x14ac:dyDescent="0.25">
      <c r="B551">
        <f>_xlfn.XLOOKUP($A551,Load!$B:$B,Load!C:C,0,)</f>
        <v>0</v>
      </c>
      <c r="C551">
        <f>_xlfn.XLOOKUP($A551,Load!$B:$B,Load!D:D,0,)</f>
        <v>0</v>
      </c>
      <c r="D551">
        <f>_xlfn.XLOOKUP($A551,Load!$B:$B,Load!E:E,0,)</f>
        <v>0</v>
      </c>
      <c r="E551">
        <f>_xlfn.XLOOKUP($A551,Load!$B:$B,Load!F:F,0,)</f>
        <v>0</v>
      </c>
      <c r="F551">
        <f>_xlfn.XLOOKUP($A551,Load!$B:$B,Load!G:G,0,)</f>
        <v>0</v>
      </c>
      <c r="G551">
        <f>_xlfn.XLOOKUP($A551,Load!$B:$B,Load!H:H,0,)</f>
        <v>0</v>
      </c>
      <c r="H551">
        <f>_xlfn.XLOOKUP($A551,Load!$B:$B,Load!I:I,0,)</f>
        <v>0</v>
      </c>
      <c r="I551">
        <f>_xlfn.XLOOKUP($A551,Load!$B:$B,Load!J:J,0,)</f>
        <v>0</v>
      </c>
      <c r="J551">
        <f>_xlfn.XLOOKUP($A551,Load!$B:$B,Load!K:K,0,)</f>
        <v>0</v>
      </c>
      <c r="K551">
        <f>_xlfn.XLOOKUP($A551,Load!$B:$B,Load!L:L,0,)</f>
        <v>0</v>
      </c>
      <c r="L551">
        <f>_xlfn.XLOOKUP($A551,Load!$B:$B,Load!M:M,0,)</f>
        <v>0</v>
      </c>
    </row>
    <row r="552" spans="1:12" x14ac:dyDescent="0.25">
      <c r="A552" t="s">
        <v>324</v>
      </c>
      <c r="B552" t="str">
        <f>_xlfn.XLOOKUP($A552,Load!$B:$B,Load!C:C,0,)</f>
        <v>Zachary</v>
      </c>
      <c r="C552" t="str">
        <f>_xlfn.XLOOKUP($A552,Load!$B:$B,Load!D:D,0,)</f>
        <v>Non-Chocolate Candy Only</v>
      </c>
      <c r="D552" t="str">
        <f>_xlfn.XLOOKUP($A552,Load!$B:$B,Load!E:E,0,)</f>
        <v>Fall / Seasonal Flavors (pumpkin spice, caramel apple, candy corn)</v>
      </c>
      <c r="E552" t="str">
        <f>_xlfn.XLOOKUP($A552,Load!$B:$B,Load!F:F,0,)</f>
        <v>Candy Pieces / Bites</v>
      </c>
      <c r="F552" t="str">
        <f>_xlfn.XLOOKUP($A552,Load!$B:$B,Load!G:G,0,)</f>
        <v>Single Pack</v>
      </c>
      <c r="G552" t="str">
        <f>_xlfn.XLOOKUP($A552,Load!$B:$B,Load!H:H,0,)</f>
        <v>Laydown Bag</v>
      </c>
      <c r="H552" t="str">
        <f>_xlfn.XLOOKUP($A552,Load!$B:$B,Load!I:I,0,)</f>
        <v>Seasonal Shapes (like pumpkins, candy corn, ghost, bats, etc.)</v>
      </c>
      <c r="I552" t="str">
        <f>_xlfn.XLOOKUP($A552,Load!$B:$B,Load!J:J,0,)</f>
        <v>Seasonal Graphics (Like Bat, Ghost, Pumpkin, Fall Leaves, Eyeballs, etc.)</v>
      </c>
      <c r="J552" t="str">
        <f>_xlfn.XLOOKUP($A552,Load!$B:$B,Load!K:K,0,)</f>
        <v>Small Pieces (Tiny bite size candies)</v>
      </c>
      <c r="K552" t="str">
        <f>_xlfn.XLOOKUP($A552,Load!$B:$B,Load!L:L,0,)</f>
        <v>Unwrapped</v>
      </c>
      <c r="L552" t="str">
        <f>_xlfn.XLOOKUP($A552,Load!$B:$B,Load!M:M,0,)</f>
        <v>Single Brand / Single Flavor or Form</v>
      </c>
    </row>
    <row r="553" spans="1:12" x14ac:dyDescent="0.25">
      <c r="A553" t="s">
        <v>88</v>
      </c>
      <c r="B553" t="str">
        <f>_xlfn.XLOOKUP($A553,Load!$B:$B,Load!C:C,0,)</f>
        <v>Ferrara Variety Pack</v>
      </c>
      <c r="C553" t="str">
        <f>_xlfn.XLOOKUP($A553,Load!$B:$B,Load!D:D,0,)</f>
        <v>Non-Chocolate Candy Only</v>
      </c>
      <c r="D553" t="str">
        <f>_xlfn.XLOOKUP($A553,Load!$B:$B,Load!E:E,0,)</f>
        <v>Variety / Mixed Flavors (Fruity, Sour, Seasonal Flavors)</v>
      </c>
      <c r="E553" t="str">
        <f>_xlfn.XLOOKUP($A553,Load!$B:$B,Load!F:F,0,)</f>
        <v>Mixed / Combo Packs (Gummy, Chewy, Taffy, etc.)</v>
      </c>
      <c r="F553" t="str">
        <f>_xlfn.XLOOKUP($A553,Load!$B:$B,Load!G:G,0,)</f>
        <v>Small Multipack (Less than 40 ct)</v>
      </c>
      <c r="G553" t="str">
        <f>_xlfn.XLOOKUP($A553,Load!$B:$B,Load!H:H,0,)</f>
        <v>Laydown Bag</v>
      </c>
      <c r="H553" t="str">
        <f>_xlfn.XLOOKUP($A553,Load!$B:$B,Load!I:I,0,)</f>
        <v>Seasonal Shapes (like pumpkins, candy corn, ghost, bats, etc.)</v>
      </c>
      <c r="I553" t="str">
        <f>_xlfn.XLOOKUP($A553,Load!$B:$B,Load!J:J,0,)</f>
        <v>Seasonal Graphics (Like Bat, Ghost, Pumpkin, Fall Leaves, Eyeballs, etc.)</v>
      </c>
      <c r="J553" t="str">
        <f>_xlfn.XLOOKUP($A553,Load!$B:$B,Load!K:K,0,)</f>
        <v>Fun Size / Treat Size</v>
      </c>
      <c r="K553" t="str">
        <f>_xlfn.XLOOKUP($A553,Load!$B:$B,Load!L:L,0,)</f>
        <v>Regular/Original Wrapping</v>
      </c>
      <c r="L553" t="str">
        <f>_xlfn.XLOOKUP($A553,Load!$B:$B,Load!M:M,0,)</f>
        <v>Multiple Brands / Variety Flavors or Form</v>
      </c>
    </row>
    <row r="554" spans="1:12" x14ac:dyDescent="0.25">
      <c r="A554" t="s">
        <v>170</v>
      </c>
      <c r="B554" t="str">
        <f>_xlfn.XLOOKUP($A554,Load!$B:$B,Load!C:C,0,)</f>
        <v>Laffy Taffy</v>
      </c>
      <c r="C554" t="str">
        <f>_xlfn.XLOOKUP($A554,Load!$B:$B,Load!D:D,0,)</f>
        <v>Non-Chocolate Candy Only</v>
      </c>
      <c r="D554" t="str">
        <f>_xlfn.XLOOKUP($A554,Load!$B:$B,Load!E:E,0,)</f>
        <v>Fruit Flavor (Cherry, Grape, Apple, Citrus, Tropical Fruit)</v>
      </c>
      <c r="E554" t="str">
        <f>_xlfn.XLOOKUP($A554,Load!$B:$B,Load!F:F,0,)</f>
        <v>Taffy</v>
      </c>
      <c r="F554" t="str">
        <f>_xlfn.XLOOKUP($A554,Load!$B:$B,Load!G:G,0,)</f>
        <v>Large Multipack (More than 80 ct)</v>
      </c>
      <c r="G554" t="str">
        <f>_xlfn.XLOOKUP($A554,Load!$B:$B,Load!H:H,0,)</f>
        <v>Stand-Up Bag</v>
      </c>
      <c r="H554" t="str">
        <f>_xlfn.XLOOKUP($A554,Load!$B:$B,Load!I:I,0,)</f>
        <v>Everyday Candy Shapes (like Original, Gummy bear, Fruit, Jewels, etc.)</v>
      </c>
      <c r="I554" t="str">
        <f>_xlfn.XLOOKUP($A554,Load!$B:$B,Load!J:J,0,)</f>
        <v>Everyday Graphics</v>
      </c>
      <c r="J554" t="str">
        <f>_xlfn.XLOOKUP($A554,Load!$B:$B,Load!K:K,0,)</f>
        <v>Fun Size / Treat Size</v>
      </c>
      <c r="K554" t="str">
        <f>_xlfn.XLOOKUP($A554,Load!$B:$B,Load!L:L,0,)</f>
        <v>Regular/Original Wrapping</v>
      </c>
      <c r="L554" t="str">
        <f>_xlfn.XLOOKUP($A554,Load!$B:$B,Load!M:M,0,)</f>
        <v>Single Brand / Variety Flavors or Form</v>
      </c>
    </row>
    <row r="555" spans="1:12" x14ac:dyDescent="0.25">
      <c r="A555" t="s">
        <v>169</v>
      </c>
      <c r="B555" t="str">
        <f>_xlfn.XLOOKUP($A555,Load!$B:$B,Load!C:C,0,)</f>
        <v>Laffy Taffy</v>
      </c>
      <c r="C555" t="str">
        <f>_xlfn.XLOOKUP($A555,Load!$B:$B,Load!D:D,0,)</f>
        <v>Non-Chocolate Candy Only</v>
      </c>
      <c r="D555" t="str">
        <f>_xlfn.XLOOKUP($A555,Load!$B:$B,Load!E:E,0,)</f>
        <v>Fruit Flavor (Cherry, Grape, Apple, Citrus, Tropical Fruit)</v>
      </c>
      <c r="E555" t="str">
        <f>_xlfn.XLOOKUP($A555,Load!$B:$B,Load!F:F,0,)</f>
        <v>Taffy</v>
      </c>
      <c r="F555" t="str">
        <f>_xlfn.XLOOKUP($A555,Load!$B:$B,Load!G:G,0,)</f>
        <v>Small Multipack (Less than 40 ct)</v>
      </c>
      <c r="G555" t="str">
        <f>_xlfn.XLOOKUP($A555,Load!$B:$B,Load!H:H,0,)</f>
        <v>Laydown Bag</v>
      </c>
      <c r="H555" t="str">
        <f>_xlfn.XLOOKUP($A555,Load!$B:$B,Load!I:I,0,)</f>
        <v>Everyday Candy Shapes (like Original, Gummy bear, Fruit, Jewels, etc.)</v>
      </c>
      <c r="I555" t="str">
        <f>_xlfn.XLOOKUP($A555,Load!$B:$B,Load!J:J,0,)</f>
        <v>Everyday Graphics</v>
      </c>
      <c r="J555" t="str">
        <f>_xlfn.XLOOKUP($A555,Load!$B:$B,Load!K:K,0,)</f>
        <v>Fun Size / Treat Size</v>
      </c>
      <c r="K555" t="str">
        <f>_xlfn.XLOOKUP($A555,Load!$B:$B,Load!L:L,0,)</f>
        <v>Regular/Original Wrapping</v>
      </c>
      <c r="L555" t="str">
        <f>_xlfn.XLOOKUP($A555,Load!$B:$B,Load!M:M,0,)</f>
        <v>Single Brand / Variety Flavors or Form</v>
      </c>
    </row>
    <row r="556" spans="1:12" x14ac:dyDescent="0.25">
      <c r="B556">
        <f>_xlfn.XLOOKUP($A556,Load!$B:$B,Load!C:C,0,)</f>
        <v>0</v>
      </c>
      <c r="C556">
        <f>_xlfn.XLOOKUP($A556,Load!$B:$B,Load!D:D,0,)</f>
        <v>0</v>
      </c>
      <c r="D556">
        <f>_xlfn.XLOOKUP($A556,Load!$B:$B,Load!E:E,0,)</f>
        <v>0</v>
      </c>
      <c r="E556">
        <f>_xlfn.XLOOKUP($A556,Load!$B:$B,Load!F:F,0,)</f>
        <v>0</v>
      </c>
      <c r="F556">
        <f>_xlfn.XLOOKUP($A556,Load!$B:$B,Load!G:G,0,)</f>
        <v>0</v>
      </c>
      <c r="G556">
        <f>_xlfn.XLOOKUP($A556,Load!$B:$B,Load!H:H,0,)</f>
        <v>0</v>
      </c>
      <c r="H556">
        <f>_xlfn.XLOOKUP($A556,Load!$B:$B,Load!I:I,0,)</f>
        <v>0</v>
      </c>
      <c r="I556">
        <f>_xlfn.XLOOKUP($A556,Load!$B:$B,Load!J:J,0,)</f>
        <v>0</v>
      </c>
      <c r="J556">
        <f>_xlfn.XLOOKUP($A556,Load!$B:$B,Load!K:K,0,)</f>
        <v>0</v>
      </c>
      <c r="K556">
        <f>_xlfn.XLOOKUP($A556,Load!$B:$B,Load!L:L,0,)</f>
        <v>0</v>
      </c>
      <c r="L556">
        <f>_xlfn.XLOOKUP($A556,Load!$B:$B,Load!M:M,0,)</f>
        <v>0</v>
      </c>
    </row>
    <row r="557" spans="1:12" x14ac:dyDescent="0.25">
      <c r="B557">
        <f>_xlfn.XLOOKUP($A557,Load!$B:$B,Load!C:C,0,)</f>
        <v>0</v>
      </c>
      <c r="C557">
        <f>_xlfn.XLOOKUP($A557,Load!$B:$B,Load!D:D,0,)</f>
        <v>0</v>
      </c>
      <c r="D557">
        <f>_xlfn.XLOOKUP($A557,Load!$B:$B,Load!E:E,0,)</f>
        <v>0</v>
      </c>
      <c r="E557">
        <f>_xlfn.XLOOKUP($A557,Load!$B:$B,Load!F:F,0,)</f>
        <v>0</v>
      </c>
      <c r="F557">
        <f>_xlfn.XLOOKUP($A557,Load!$B:$B,Load!G:G,0,)</f>
        <v>0</v>
      </c>
      <c r="G557">
        <f>_xlfn.XLOOKUP($A557,Load!$B:$B,Load!H:H,0,)</f>
        <v>0</v>
      </c>
      <c r="H557">
        <f>_xlfn.XLOOKUP($A557,Load!$B:$B,Load!I:I,0,)</f>
        <v>0</v>
      </c>
      <c r="I557">
        <f>_xlfn.XLOOKUP($A557,Load!$B:$B,Load!J:J,0,)</f>
        <v>0</v>
      </c>
      <c r="J557">
        <f>_xlfn.XLOOKUP($A557,Load!$B:$B,Load!K:K,0,)</f>
        <v>0</v>
      </c>
      <c r="K557">
        <f>_xlfn.XLOOKUP($A557,Load!$B:$B,Load!L:L,0,)</f>
        <v>0</v>
      </c>
      <c r="L557">
        <f>_xlfn.XLOOKUP($A557,Load!$B:$B,Load!M:M,0,)</f>
        <v>0</v>
      </c>
    </row>
    <row r="558" spans="1:12" x14ac:dyDescent="0.25">
      <c r="B558">
        <f>_xlfn.XLOOKUP($A558,Load!$B:$B,Load!C:C,0,)</f>
        <v>0</v>
      </c>
      <c r="C558">
        <f>_xlfn.XLOOKUP($A558,Load!$B:$B,Load!D:D,0,)</f>
        <v>0</v>
      </c>
      <c r="D558">
        <f>_xlfn.XLOOKUP($A558,Load!$B:$B,Load!E:E,0,)</f>
        <v>0</v>
      </c>
      <c r="E558">
        <f>_xlfn.XLOOKUP($A558,Load!$B:$B,Load!F:F,0,)</f>
        <v>0</v>
      </c>
      <c r="F558">
        <f>_xlfn.XLOOKUP($A558,Load!$B:$B,Load!G:G,0,)</f>
        <v>0</v>
      </c>
      <c r="G558">
        <f>_xlfn.XLOOKUP($A558,Load!$B:$B,Load!H:H,0,)</f>
        <v>0</v>
      </c>
      <c r="H558">
        <f>_xlfn.XLOOKUP($A558,Load!$B:$B,Load!I:I,0,)</f>
        <v>0</v>
      </c>
      <c r="I558">
        <f>_xlfn.XLOOKUP($A558,Load!$B:$B,Load!J:J,0,)</f>
        <v>0</v>
      </c>
      <c r="J558">
        <f>_xlfn.XLOOKUP($A558,Load!$B:$B,Load!K:K,0,)</f>
        <v>0</v>
      </c>
      <c r="K558">
        <f>_xlfn.XLOOKUP($A558,Load!$B:$B,Load!L:L,0,)</f>
        <v>0</v>
      </c>
      <c r="L558">
        <f>_xlfn.XLOOKUP($A558,Load!$B:$B,Load!M:M,0,)</f>
        <v>0</v>
      </c>
    </row>
    <row r="559" spans="1:12" x14ac:dyDescent="0.25">
      <c r="B559">
        <f>_xlfn.XLOOKUP($A559,Load!$B:$B,Load!C:C,0,)</f>
        <v>0</v>
      </c>
      <c r="C559">
        <f>_xlfn.XLOOKUP($A559,Load!$B:$B,Load!D:D,0,)</f>
        <v>0</v>
      </c>
      <c r="D559">
        <f>_xlfn.XLOOKUP($A559,Load!$B:$B,Load!E:E,0,)</f>
        <v>0</v>
      </c>
      <c r="E559">
        <f>_xlfn.XLOOKUP($A559,Load!$B:$B,Load!F:F,0,)</f>
        <v>0</v>
      </c>
      <c r="F559">
        <f>_xlfn.XLOOKUP($A559,Load!$B:$B,Load!G:G,0,)</f>
        <v>0</v>
      </c>
      <c r="G559">
        <f>_xlfn.XLOOKUP($A559,Load!$B:$B,Load!H:H,0,)</f>
        <v>0</v>
      </c>
      <c r="H559">
        <f>_xlfn.XLOOKUP($A559,Load!$B:$B,Load!I:I,0,)</f>
        <v>0</v>
      </c>
      <c r="I559">
        <f>_xlfn.XLOOKUP($A559,Load!$B:$B,Load!J:J,0,)</f>
        <v>0</v>
      </c>
      <c r="J559">
        <f>_xlfn.XLOOKUP($A559,Load!$B:$B,Load!K:K,0,)</f>
        <v>0</v>
      </c>
      <c r="K559">
        <f>_xlfn.XLOOKUP($A559,Load!$B:$B,Load!L:L,0,)</f>
        <v>0</v>
      </c>
      <c r="L559">
        <f>_xlfn.XLOOKUP($A559,Load!$B:$B,Load!M:M,0,)</f>
        <v>0</v>
      </c>
    </row>
    <row r="560" spans="1:12" x14ac:dyDescent="0.25">
      <c r="B560">
        <f>_xlfn.XLOOKUP($A560,Load!$B:$B,Load!C:C,0,)</f>
        <v>0</v>
      </c>
      <c r="C560">
        <f>_xlfn.XLOOKUP($A560,Load!$B:$B,Load!D:D,0,)</f>
        <v>0</v>
      </c>
      <c r="D560">
        <f>_xlfn.XLOOKUP($A560,Load!$B:$B,Load!E:E,0,)</f>
        <v>0</v>
      </c>
      <c r="E560">
        <f>_xlfn.XLOOKUP($A560,Load!$B:$B,Load!F:F,0,)</f>
        <v>0</v>
      </c>
      <c r="F560">
        <f>_xlfn.XLOOKUP($A560,Load!$B:$B,Load!G:G,0,)</f>
        <v>0</v>
      </c>
      <c r="G560">
        <f>_xlfn.XLOOKUP($A560,Load!$B:$B,Load!H:H,0,)</f>
        <v>0</v>
      </c>
      <c r="H560">
        <f>_xlfn.XLOOKUP($A560,Load!$B:$B,Load!I:I,0,)</f>
        <v>0</v>
      </c>
      <c r="I560">
        <f>_xlfn.XLOOKUP($A560,Load!$B:$B,Load!J:J,0,)</f>
        <v>0</v>
      </c>
      <c r="J560">
        <f>_xlfn.XLOOKUP($A560,Load!$B:$B,Load!K:K,0,)</f>
        <v>0</v>
      </c>
      <c r="K560">
        <f>_xlfn.XLOOKUP($A560,Load!$B:$B,Load!L:L,0,)</f>
        <v>0</v>
      </c>
      <c r="L560">
        <f>_xlfn.XLOOKUP($A560,Load!$B:$B,Load!M:M,0,)</f>
        <v>0</v>
      </c>
    </row>
    <row r="561" spans="1:12" x14ac:dyDescent="0.25">
      <c r="B561">
        <f>_xlfn.XLOOKUP($A561,Load!$B:$B,Load!C:C,0,)</f>
        <v>0</v>
      </c>
      <c r="C561">
        <f>_xlfn.XLOOKUP($A561,Load!$B:$B,Load!D:D,0,)</f>
        <v>0</v>
      </c>
      <c r="D561">
        <f>_xlfn.XLOOKUP($A561,Load!$B:$B,Load!E:E,0,)</f>
        <v>0</v>
      </c>
      <c r="E561">
        <f>_xlfn.XLOOKUP($A561,Load!$B:$B,Load!F:F,0,)</f>
        <v>0</v>
      </c>
      <c r="F561">
        <f>_xlfn.XLOOKUP($A561,Load!$B:$B,Load!G:G,0,)</f>
        <v>0</v>
      </c>
      <c r="G561">
        <f>_xlfn.XLOOKUP($A561,Load!$B:$B,Load!H:H,0,)</f>
        <v>0</v>
      </c>
      <c r="H561">
        <f>_xlfn.XLOOKUP($A561,Load!$B:$B,Load!I:I,0,)</f>
        <v>0</v>
      </c>
      <c r="I561">
        <f>_xlfn.XLOOKUP($A561,Load!$B:$B,Load!J:J,0,)</f>
        <v>0</v>
      </c>
      <c r="J561">
        <f>_xlfn.XLOOKUP($A561,Load!$B:$B,Load!K:K,0,)</f>
        <v>0</v>
      </c>
      <c r="K561">
        <f>_xlfn.XLOOKUP($A561,Load!$B:$B,Load!L:L,0,)</f>
        <v>0</v>
      </c>
      <c r="L561">
        <f>_xlfn.XLOOKUP($A561,Load!$B:$B,Load!M:M,0,)</f>
        <v>0</v>
      </c>
    </row>
    <row r="562" spans="1:12" x14ac:dyDescent="0.25">
      <c r="A562" t="s">
        <v>471</v>
      </c>
      <c r="B562" t="str">
        <f>_xlfn.XLOOKUP($A562,Load!$B:$B,Load!C:C,0,)</f>
        <v>Airheads</v>
      </c>
      <c r="C562" t="str">
        <f>_xlfn.XLOOKUP($A562,Load!$B:$B,Load!D:D,0,)</f>
        <v>Non-Chocolate Candy Only</v>
      </c>
      <c r="D562" t="str">
        <f>_xlfn.XLOOKUP($A562,Load!$B:$B,Load!E:E,0,)</f>
        <v>Fruit Flavor (Cherry, Grape, Apple, Citrus, Tropical Fruit)</v>
      </c>
      <c r="E562" t="str">
        <f>_xlfn.XLOOKUP($A562,Load!$B:$B,Load!F:F,0,)</f>
        <v>Candy Pieces / Bites</v>
      </c>
      <c r="F562" t="str">
        <f>_xlfn.XLOOKUP($A562,Load!$B:$B,Load!G:G,0,)</f>
        <v>Small Multipack (Less than 40 ct)</v>
      </c>
      <c r="G562" t="str">
        <f>_xlfn.XLOOKUP($A562,Load!$B:$B,Load!H:H,0,)</f>
        <v>Box (theatre box, gift box, carton)</v>
      </c>
      <c r="H562" t="str">
        <f>_xlfn.XLOOKUP($A562,Load!$B:$B,Load!I:I,0,)</f>
        <v>Everyday Candy Shapes (like Original, Gummy bear, Fruit, Jewels, etc.)</v>
      </c>
      <c r="I562" t="str">
        <f>_xlfn.XLOOKUP($A562,Load!$B:$B,Load!J:J,0,)</f>
        <v>Everyday Graphics</v>
      </c>
      <c r="J562" t="str">
        <f>_xlfn.XLOOKUP($A562,Load!$B:$B,Load!K:K,0,)</f>
        <v>Small Pieces (Tiny bite size candies)</v>
      </c>
      <c r="K562" t="str">
        <f>_xlfn.XLOOKUP($A562,Load!$B:$B,Load!L:L,0,)</f>
        <v>Regular/Original Wrapping</v>
      </c>
      <c r="L562" t="str">
        <f>_xlfn.XLOOKUP($A562,Load!$B:$B,Load!M:M,0,)</f>
        <v>Single Brand / Variety Flavors or Form</v>
      </c>
    </row>
    <row r="563" spans="1:12" x14ac:dyDescent="0.25">
      <c r="A563" t="s">
        <v>26</v>
      </c>
      <c r="B563" t="str">
        <f>_xlfn.XLOOKUP($A563,Load!$B:$B,Load!C:C,0,)</f>
        <v>Albert's Candy Company</v>
      </c>
      <c r="C563" t="str">
        <f>_xlfn.XLOOKUP($A563,Load!$B:$B,Load!D:D,0,)</f>
        <v>Non-Chocolate Candy Only</v>
      </c>
      <c r="D563" t="str">
        <f>_xlfn.XLOOKUP($A563,Load!$B:$B,Load!E:E,0,)</f>
        <v>Fruit Flavor (Cherry, Grape, Apple, Citrus, Tropical Fruit)</v>
      </c>
      <c r="E563" t="str">
        <f>_xlfn.XLOOKUP($A563,Load!$B:$B,Load!F:F,0,)</f>
        <v>Chewy</v>
      </c>
      <c r="F563" t="str">
        <f>_xlfn.XLOOKUP($A563,Load!$B:$B,Load!G:G,0,)</f>
        <v>Large Multipack (More than 80 ct)</v>
      </c>
      <c r="G563" t="str">
        <f>_xlfn.XLOOKUP($A563,Load!$B:$B,Load!H:H,0,)</f>
        <v>Laydown Bag</v>
      </c>
      <c r="H563" t="str">
        <f>_xlfn.XLOOKUP($A563,Load!$B:$B,Load!I:I,0,)</f>
        <v>Everyday Candy Shapes (like Original, Gummy bear, Fruit, Jewels, etc.)</v>
      </c>
      <c r="I563" t="str">
        <f>_xlfn.XLOOKUP($A563,Load!$B:$B,Load!J:J,0,)</f>
        <v>Seasonal Graphics (Like Bat, Ghost, Pumpkin, Fall Leaves, Eyeballs, etc.)</v>
      </c>
      <c r="J563" t="str">
        <f>_xlfn.XLOOKUP($A563,Load!$B:$B,Load!K:K,0,)</f>
        <v>Small Pieces (Tiny bite size candies)</v>
      </c>
      <c r="K563" t="str">
        <f>_xlfn.XLOOKUP($A563,Load!$B:$B,Load!L:L,0,)</f>
        <v>Regular/Original Wrapping</v>
      </c>
      <c r="L563" t="str">
        <f>_xlfn.XLOOKUP($A563,Load!$B:$B,Load!M:M,0,)</f>
        <v>Single Brand / Variety Flavors or Form</v>
      </c>
    </row>
    <row r="564" spans="1:12" x14ac:dyDescent="0.25">
      <c r="A564" t="s">
        <v>65</v>
      </c>
      <c r="B564" t="str">
        <f>_xlfn.XLOOKUP($A564,Load!$B:$B,Load!C:C,0,)</f>
        <v>Dots</v>
      </c>
      <c r="C564" t="str">
        <f>_xlfn.XLOOKUP($A564,Load!$B:$B,Load!D:D,0,)</f>
        <v>Non-Chocolate Candy Only</v>
      </c>
      <c r="D564" t="str">
        <f>_xlfn.XLOOKUP($A564,Load!$B:$B,Load!E:E,0,)</f>
        <v>Variety / Mixed Flavors (Fruity, Sour, Seasonal Flavors)</v>
      </c>
      <c r="E564" t="str">
        <f>_xlfn.XLOOKUP($A564,Load!$B:$B,Load!F:F,0,)</f>
        <v>Candy Pieces / Bites</v>
      </c>
      <c r="F564" t="str">
        <f>_xlfn.XLOOKUP($A564,Load!$B:$B,Load!G:G,0,)</f>
        <v>Medium Multipack (40–80 ct)</v>
      </c>
      <c r="G564" t="str">
        <f>_xlfn.XLOOKUP($A564,Load!$B:$B,Load!H:H,0,)</f>
        <v>Box (theatre box, gift box, carton)</v>
      </c>
      <c r="H564" t="str">
        <f>_xlfn.XLOOKUP($A564,Load!$B:$B,Load!I:I,0,)</f>
        <v>Seasonal Shapes (like pumpkins, candy corn, ghost, bats, etc.)</v>
      </c>
      <c r="I564" t="str">
        <f>_xlfn.XLOOKUP($A564,Load!$B:$B,Load!J:J,0,)</f>
        <v>Seasonal Graphics (Like Bat, Ghost, Pumpkin, Fall Leaves, Eyeballs, etc.)</v>
      </c>
      <c r="J564" t="str">
        <f>_xlfn.XLOOKUP($A564,Load!$B:$B,Load!K:K,0,)</f>
        <v>Fun Size / Treat Size</v>
      </c>
      <c r="K564" t="str">
        <f>_xlfn.XLOOKUP($A564,Load!$B:$B,Load!L:L,0,)</f>
        <v>Regular/Original Wrapping</v>
      </c>
      <c r="L564" t="str">
        <f>_xlfn.XLOOKUP($A564,Load!$B:$B,Load!M:M,0,)</f>
        <v>Single Brand / Variety Flavors or Form</v>
      </c>
    </row>
    <row r="565" spans="1:12" x14ac:dyDescent="0.25">
      <c r="A565" t="s">
        <v>2</v>
      </c>
      <c r="B565" t="str">
        <f>_xlfn.XLOOKUP($A565,Load!$B:$B,Load!C:C,0,)</f>
        <v>Airheads</v>
      </c>
      <c r="C565" t="str">
        <f>_xlfn.XLOOKUP($A565,Load!$B:$B,Load!D:D,0,)</f>
        <v>Non-Chocolate Candy Only</v>
      </c>
      <c r="D565" t="str">
        <f>_xlfn.XLOOKUP($A565,Load!$B:$B,Load!E:E,0,)</f>
        <v>Variety / Mixed Flavors (Fruity, Sour, Seasonal Flavors)</v>
      </c>
      <c r="E565" t="str">
        <f>_xlfn.XLOOKUP($A565,Load!$B:$B,Load!F:F,0,)</f>
        <v>Chewy</v>
      </c>
      <c r="F565" t="str">
        <f>_xlfn.XLOOKUP($A565,Load!$B:$B,Load!G:G,0,)</f>
        <v>Medium Multipack (40–80 ct)</v>
      </c>
      <c r="G565" t="str">
        <f>_xlfn.XLOOKUP($A565,Load!$B:$B,Load!H:H,0,)</f>
        <v>Box (theatre box, gift box, carton)</v>
      </c>
      <c r="H565" t="str">
        <f>_xlfn.XLOOKUP($A565,Load!$B:$B,Load!I:I,0,)</f>
        <v>Everyday Candy Shapes (like Original, Gummy bear, Fruit, Jewels, etc.)</v>
      </c>
      <c r="I565" t="str">
        <f>_xlfn.XLOOKUP($A565,Load!$B:$B,Load!J:J,0,)</f>
        <v>Seasonal Graphics (Like Bat, Ghost, Pumpkin, Fall Leaves, Eyeballs, etc.)</v>
      </c>
      <c r="J565" t="str">
        <f>_xlfn.XLOOKUP($A565,Load!$B:$B,Load!K:K,0,)</f>
        <v>Fun Size / Treat Size</v>
      </c>
      <c r="K565" t="str">
        <f>_xlfn.XLOOKUP($A565,Load!$B:$B,Load!L:L,0,)</f>
        <v>Regular/Original Wrapping</v>
      </c>
      <c r="L565" t="str">
        <f>_xlfn.XLOOKUP($A565,Load!$B:$B,Load!M:M,0,)</f>
        <v>Single Brand / Variety Flavors or Form</v>
      </c>
    </row>
    <row r="566" spans="1:12" x14ac:dyDescent="0.25">
      <c r="A566" t="s">
        <v>247</v>
      </c>
      <c r="B566" t="str">
        <f>_xlfn.XLOOKUP($A566,Load!$B:$B,Load!C:C,0,)</f>
        <v>Rolling Pin</v>
      </c>
      <c r="C566" t="str">
        <f>_xlfn.XLOOKUP($A566,Load!$B:$B,Load!D:D,0,)</f>
        <v>Non-Chocolate Candy Only</v>
      </c>
      <c r="D566" t="str">
        <f>_xlfn.XLOOKUP($A566,Load!$B:$B,Load!E:E,0,)</f>
        <v>Fruit Flavor (Cherry, Grape, Apple, Citrus, Tropical Fruit)</v>
      </c>
      <c r="E566" t="str">
        <f>_xlfn.XLOOKUP($A566,Load!$B:$B,Load!F:F,0,)</f>
        <v>Gummy</v>
      </c>
      <c r="F566" t="str">
        <f>_xlfn.XLOOKUP($A566,Load!$B:$B,Load!G:G,0,)</f>
        <v>Single Pack</v>
      </c>
      <c r="G566" t="str">
        <f>_xlfn.XLOOKUP($A566,Load!$B:$B,Load!H:H,0,)</f>
        <v>Peg Bag</v>
      </c>
      <c r="H566" t="str">
        <f>_xlfn.XLOOKUP($A566,Load!$B:$B,Load!I:I,0,)</f>
        <v>Seasonal Shapes (like pumpkins, candy corn, ghost, bats, etc.)</v>
      </c>
      <c r="I566" t="str">
        <f>_xlfn.XLOOKUP($A566,Load!$B:$B,Load!J:J,0,)</f>
        <v>Seasonal Graphics (Like Bat, Ghost, Pumpkin, Fall Leaves, Eyeballs, etc.)</v>
      </c>
      <c r="J566" t="str">
        <f>_xlfn.XLOOKUP($A566,Load!$B:$B,Load!K:K,0,)</f>
        <v>Small Pieces (Tiny bite size candies)</v>
      </c>
      <c r="K566" t="str">
        <f>_xlfn.XLOOKUP($A566,Load!$B:$B,Load!L:L,0,)</f>
        <v>Unwrapped</v>
      </c>
      <c r="L566" t="str">
        <f>_xlfn.XLOOKUP($A566,Load!$B:$B,Load!M:M,0,)</f>
        <v>Single Brand / Single Flavor or Form</v>
      </c>
    </row>
    <row r="567" spans="1:12" x14ac:dyDescent="0.25">
      <c r="A567" t="s">
        <v>31</v>
      </c>
      <c r="B567" t="str">
        <f>_xlfn.XLOOKUP($A567,Load!$B:$B,Load!C:C,0,)</f>
        <v>AMOS</v>
      </c>
      <c r="C567" t="str">
        <f>_xlfn.XLOOKUP($A567,Load!$B:$B,Load!D:D,0,)</f>
        <v>Non-Chocolate Candy Only</v>
      </c>
      <c r="D567" t="str">
        <f>_xlfn.XLOOKUP($A567,Load!$B:$B,Load!E:E,0,)</f>
        <v>Berry Based (Raspberry, Strawberry, Medley, etc.)</v>
      </c>
      <c r="E567" t="str">
        <f>_xlfn.XLOOKUP($A567,Load!$B:$B,Load!F:F,0,)</f>
        <v>Gummy</v>
      </c>
      <c r="F567" t="str">
        <f>_xlfn.XLOOKUP($A567,Load!$B:$B,Load!G:G,0,)</f>
        <v>Medium Multipack (40–80 ct)</v>
      </c>
      <c r="G567" t="str">
        <f>_xlfn.XLOOKUP($A567,Load!$B:$B,Load!H:H,0,)</f>
        <v>Laydown Bag</v>
      </c>
      <c r="H567" t="str">
        <f>_xlfn.XLOOKUP($A567,Load!$B:$B,Load!I:I,0,)</f>
        <v>Seasonal Shapes (like pumpkins, candy corn, ghost, bats, etc.)</v>
      </c>
      <c r="I567" t="str">
        <f>_xlfn.XLOOKUP($A567,Load!$B:$B,Load!J:J,0,)</f>
        <v>Seasonal Graphics (Like Bat, Ghost, Pumpkin, Fall Leaves, Eyeballs, etc.)</v>
      </c>
      <c r="J567" t="str">
        <f>_xlfn.XLOOKUP($A567,Load!$B:$B,Load!K:K,0,)</f>
        <v>Small Pieces (Tiny bite size candies)</v>
      </c>
      <c r="K567" t="str">
        <f>_xlfn.XLOOKUP($A567,Load!$B:$B,Load!L:L,0,)</f>
        <v>Unwrapped</v>
      </c>
      <c r="L567" t="str">
        <f>_xlfn.XLOOKUP($A567,Load!$B:$B,Load!M:M,0,)</f>
        <v>Single Brand / Variety Flavors or Form</v>
      </c>
    </row>
    <row r="568" spans="1:12" x14ac:dyDescent="0.25">
      <c r="A568" t="s">
        <v>264</v>
      </c>
      <c r="B568" t="str">
        <f>_xlfn.XLOOKUP($A568,Load!$B:$B,Load!C:C,0,)</f>
        <v>Smarties</v>
      </c>
      <c r="C568" t="str">
        <f>_xlfn.XLOOKUP($A568,Load!$B:$B,Load!D:D,0,)</f>
        <v>Non-Chocolate Candy Only</v>
      </c>
      <c r="D568" t="str">
        <f>_xlfn.XLOOKUP($A568,Load!$B:$B,Load!E:E,0,)</f>
        <v>Fruit Flavor (Cherry, Grape, Apple, Citrus, Tropical Fruit)</v>
      </c>
      <c r="E568" t="str">
        <f>_xlfn.XLOOKUP($A568,Load!$B:$B,Load!F:F,0,)</f>
        <v>Powder / Chalky</v>
      </c>
      <c r="F568" t="str">
        <f>_xlfn.XLOOKUP($A568,Load!$B:$B,Load!G:G,0,)</f>
        <v>Single Pack</v>
      </c>
      <c r="G568" t="str">
        <f>_xlfn.XLOOKUP($A568,Load!$B:$B,Load!H:H,0,)</f>
        <v>Laydown Bag</v>
      </c>
      <c r="H568" t="str">
        <f>_xlfn.XLOOKUP($A568,Load!$B:$B,Load!I:I,0,)</f>
        <v>Everyday Candy Shapes (like Original, Gummy bear, Fruit, Jewels, etc.)</v>
      </c>
      <c r="I568" t="str">
        <f>_xlfn.XLOOKUP($A568,Load!$B:$B,Load!J:J,0,)</f>
        <v>Everyday Graphics</v>
      </c>
      <c r="J568" t="str">
        <f>_xlfn.XLOOKUP($A568,Load!$B:$B,Load!K:K,0,)</f>
        <v>Small Pieces (Tiny bite size candies)</v>
      </c>
      <c r="K568" t="str">
        <f>_xlfn.XLOOKUP($A568,Load!$B:$B,Load!L:L,0,)</f>
        <v>Regular/Original Wrapping</v>
      </c>
      <c r="L568" t="str">
        <f>_xlfn.XLOOKUP($A568,Load!$B:$B,Load!M:M,0,)</f>
        <v>Single Brand / Single Flavor or Form</v>
      </c>
    </row>
    <row r="569" spans="1:12" x14ac:dyDescent="0.25">
      <c r="A569" t="s">
        <v>245</v>
      </c>
      <c r="B569" t="str">
        <f>_xlfn.XLOOKUP($A569,Load!$B:$B,Load!C:C,0,)</f>
        <v>Ring Pop</v>
      </c>
      <c r="C569" t="str">
        <f>_xlfn.XLOOKUP($A569,Load!$B:$B,Load!D:D,0,)</f>
        <v>Non-Chocolate Candy Only</v>
      </c>
      <c r="D569" t="str">
        <f>_xlfn.XLOOKUP($A569,Load!$B:$B,Load!E:E,0,)</f>
        <v>Fruit Flavor (Cherry, Grape, Apple, Citrus, Tropical Fruit)</v>
      </c>
      <c r="E569" t="str">
        <f>_xlfn.XLOOKUP($A569,Load!$B:$B,Load!F:F,0,)</f>
        <v>Lollipop (regular or lollipop rings)</v>
      </c>
      <c r="F569" t="str">
        <f>_xlfn.XLOOKUP($A569,Load!$B:$B,Load!G:G,0,)</f>
        <v>Single Pack</v>
      </c>
      <c r="G569" t="str">
        <f>_xlfn.XLOOKUP($A569,Load!$B:$B,Load!H:H,0,)</f>
        <v>Box (theatre box, gift box, carton)</v>
      </c>
      <c r="H569" t="str">
        <f>_xlfn.XLOOKUP($A569,Load!$B:$B,Load!I:I,0,)</f>
        <v>Everyday Candy Shapes (like Original, Gummy bear, Fruit, Jewels, etc.)</v>
      </c>
      <c r="I569" t="str">
        <f>_xlfn.XLOOKUP($A569,Load!$B:$B,Load!J:J,0,)</f>
        <v>Seasonal Graphics (Like Bat, Ghost, Pumpkin, Fall Leaves, Eyeballs, etc.)</v>
      </c>
      <c r="J569" t="str">
        <f>_xlfn.XLOOKUP($A569,Load!$B:$B,Load!K:K,0,)</f>
        <v>Regular Lollipop size (on sticks or rings)</v>
      </c>
      <c r="K569" t="str">
        <f>_xlfn.XLOOKUP($A569,Load!$B:$B,Load!L:L,0,)</f>
        <v>Regular/Original Wrapping</v>
      </c>
      <c r="L569" t="str">
        <f>_xlfn.XLOOKUP($A569,Load!$B:$B,Load!M:M,0,)</f>
        <v>Single Brand / Single Flavor or Form</v>
      </c>
    </row>
    <row r="570" spans="1:12" x14ac:dyDescent="0.25">
      <c r="A570" t="s">
        <v>285</v>
      </c>
      <c r="B570" t="str">
        <f>_xlfn.XLOOKUP($A570,Load!$B:$B,Load!C:C,0,)</f>
        <v>Starburst</v>
      </c>
      <c r="C570" t="str">
        <f>_xlfn.XLOOKUP($A570,Load!$B:$B,Load!D:D,0,)</f>
        <v>Non-Chocolate Candy Only</v>
      </c>
      <c r="D570" t="str">
        <f>_xlfn.XLOOKUP($A570,Load!$B:$B,Load!E:E,0,)</f>
        <v>Fruit Flavor (Cherry, Grape, Apple, Citrus, Tropical Fruit)</v>
      </c>
      <c r="E570" t="str">
        <f>_xlfn.XLOOKUP($A570,Load!$B:$B,Load!F:F,0,)</f>
        <v>Chewy</v>
      </c>
      <c r="F570" t="str">
        <f>_xlfn.XLOOKUP($A570,Load!$B:$B,Load!G:G,0,)</f>
        <v>Small Multipack (Less than 40 ct)</v>
      </c>
      <c r="G570" t="str">
        <f>_xlfn.XLOOKUP($A570,Load!$B:$B,Load!H:H,0,)</f>
        <v>Laydown Bag</v>
      </c>
      <c r="H570" t="str">
        <f>_xlfn.XLOOKUP($A570,Load!$B:$B,Load!I:I,0,)</f>
        <v>Everyday Candy Shapes (like Original, Gummy bear, Fruit, Jewels, etc.)</v>
      </c>
      <c r="I570" t="str">
        <f>_xlfn.XLOOKUP($A570,Load!$B:$B,Load!J:J,0,)</f>
        <v>Everyday Graphics</v>
      </c>
      <c r="J570" t="str">
        <f>_xlfn.XLOOKUP($A570,Load!$B:$B,Load!K:K,0,)</f>
        <v>Small Pieces (Tiny bite size candies)</v>
      </c>
      <c r="K570" t="str">
        <f>_xlfn.XLOOKUP($A570,Load!$B:$B,Load!L:L,0,)</f>
        <v>Regular/Original Wrapping</v>
      </c>
      <c r="L570" t="str">
        <f>_xlfn.XLOOKUP($A570,Load!$B:$B,Load!M:M,0,)</f>
        <v>Single Brand / Variety Flavors or Form</v>
      </c>
    </row>
    <row r="571" spans="1:12" x14ac:dyDescent="0.25">
      <c r="B571">
        <f>_xlfn.XLOOKUP($A571,Load!$B:$B,Load!C:C,0,)</f>
        <v>0</v>
      </c>
      <c r="C571">
        <f>_xlfn.XLOOKUP($A571,Load!$B:$B,Load!D:D,0,)</f>
        <v>0</v>
      </c>
      <c r="D571">
        <f>_xlfn.XLOOKUP($A571,Load!$B:$B,Load!E:E,0,)</f>
        <v>0</v>
      </c>
      <c r="E571">
        <f>_xlfn.XLOOKUP($A571,Load!$B:$B,Load!F:F,0,)</f>
        <v>0</v>
      </c>
      <c r="F571">
        <f>_xlfn.XLOOKUP($A571,Load!$B:$B,Load!G:G,0,)</f>
        <v>0</v>
      </c>
      <c r="G571">
        <f>_xlfn.XLOOKUP($A571,Load!$B:$B,Load!H:H,0,)</f>
        <v>0</v>
      </c>
      <c r="H571">
        <f>_xlfn.XLOOKUP($A571,Load!$B:$B,Load!I:I,0,)</f>
        <v>0</v>
      </c>
      <c r="I571">
        <f>_xlfn.XLOOKUP($A571,Load!$B:$B,Load!J:J,0,)</f>
        <v>0</v>
      </c>
      <c r="J571">
        <f>_xlfn.XLOOKUP($A571,Load!$B:$B,Load!K:K,0,)</f>
        <v>0</v>
      </c>
      <c r="K571">
        <f>_xlfn.XLOOKUP($A571,Load!$B:$B,Load!L:L,0,)</f>
        <v>0</v>
      </c>
      <c r="L571">
        <f>_xlfn.XLOOKUP($A571,Load!$B:$B,Load!M:M,0,)</f>
        <v>0</v>
      </c>
    </row>
    <row r="572" spans="1:12" x14ac:dyDescent="0.25">
      <c r="A572" t="s">
        <v>82</v>
      </c>
      <c r="B572" t="str">
        <f>_xlfn.XLOOKUP($A572,Load!$B:$B,Load!C:C,0,)</f>
        <v>Ferrara Variety Pack</v>
      </c>
      <c r="C572" t="str">
        <f>_xlfn.XLOOKUP($A572,Load!$B:$B,Load!D:D,0,)</f>
        <v>Non-Chocolate Candy Only</v>
      </c>
      <c r="D572" t="str">
        <f>_xlfn.XLOOKUP($A572,Load!$B:$B,Load!E:E,0,)</f>
        <v>Variety / Mixed Flavors (Fruity, Sour, Seasonal Flavors)</v>
      </c>
      <c r="E572" t="str">
        <f>_xlfn.XLOOKUP($A572,Load!$B:$B,Load!F:F,0,)</f>
        <v>Mixed / Combo Packs (Gummy, Chewy, Taffy, etc.)</v>
      </c>
      <c r="F572" t="str">
        <f>_xlfn.XLOOKUP($A572,Load!$B:$B,Load!G:G,0,)</f>
        <v>Large Multipack (More than 80 ct)</v>
      </c>
      <c r="G572" t="str">
        <f>_xlfn.XLOOKUP($A572,Load!$B:$B,Load!H:H,0,)</f>
        <v>Stand-Up Bag</v>
      </c>
      <c r="H572" t="str">
        <f>_xlfn.XLOOKUP($A572,Load!$B:$B,Load!I:I,0,)</f>
        <v>Everyday Candy Shapes (like Original, Gummy bear, Fruit, Jewels, etc.)</v>
      </c>
      <c r="I572" t="str">
        <f>_xlfn.XLOOKUP($A572,Load!$B:$B,Load!J:J,0,)</f>
        <v>Seasonal Graphics (Like Bat, Ghost, Pumpkin, Fall Leaves, Eyeballs, etc.)</v>
      </c>
      <c r="J572" t="str">
        <f>_xlfn.XLOOKUP($A572,Load!$B:$B,Load!K:K,0,)</f>
        <v xml:space="preserve">Variety Candy Sizes </v>
      </c>
      <c r="K572" t="str">
        <f>_xlfn.XLOOKUP($A572,Load!$B:$B,Load!L:L,0,)</f>
        <v>Regular/Original Wrapping</v>
      </c>
      <c r="L572" t="str">
        <f>_xlfn.XLOOKUP($A572,Load!$B:$B,Load!M:M,0,)</f>
        <v>Multiple Brands / Variety Flavors or Form</v>
      </c>
    </row>
    <row r="573" spans="1:12" x14ac:dyDescent="0.25">
      <c r="A573" t="s">
        <v>175</v>
      </c>
      <c r="B573" t="str">
        <f>_xlfn.XLOOKUP($A573,Load!$B:$B,Load!C:C,0,)</f>
        <v>Mars Variety Pack</v>
      </c>
      <c r="C573" t="str">
        <f>_xlfn.XLOOKUP($A573,Load!$B:$B,Load!D:D,0,)</f>
        <v>Mix of Chocolate and Non-Chocolate Candy</v>
      </c>
      <c r="D573" t="str">
        <f>_xlfn.XLOOKUP($A573,Load!$B:$B,Load!E:E,0,)</f>
        <v>Variety / Mixed Flavors (Fruity, Sour, Seasonal Flavors)</v>
      </c>
      <c r="E573" t="str">
        <f>_xlfn.XLOOKUP($A573,Load!$B:$B,Load!F:F,0,)</f>
        <v>Mixed / Combo Packs (Gummy, Chewy, Taffy, etc.)</v>
      </c>
      <c r="F573" t="str">
        <f>_xlfn.XLOOKUP($A573,Load!$B:$B,Load!G:G,0,)</f>
        <v>Large Multipack (More than 80 ct)</v>
      </c>
      <c r="G573" t="str">
        <f>_xlfn.XLOOKUP($A573,Load!$B:$B,Load!H:H,0,)</f>
        <v>Stand-Up Bag</v>
      </c>
      <c r="H573" t="str">
        <f>_xlfn.XLOOKUP($A573,Load!$B:$B,Load!I:I,0,)</f>
        <v>Everyday Candy Shapes (like Original, Gummy bear, Fruit, Jewels, etc.)</v>
      </c>
      <c r="I573" t="str">
        <f>_xlfn.XLOOKUP($A573,Load!$B:$B,Load!J:J,0,)</f>
        <v>Seasonal Graphics (Like Bat, Ghost, Pumpkin, Fall Leaves, Eyeballs, etc.)</v>
      </c>
      <c r="J573" t="str">
        <f>_xlfn.XLOOKUP($A573,Load!$B:$B,Load!K:K,0,)</f>
        <v xml:space="preserve">Variety Candy Sizes </v>
      </c>
      <c r="K573" t="str">
        <f>_xlfn.XLOOKUP($A573,Load!$B:$B,Load!L:L,0,)</f>
        <v>Regular/Original Wrapping</v>
      </c>
      <c r="L573" t="str">
        <f>_xlfn.XLOOKUP($A573,Load!$B:$B,Load!M:M,0,)</f>
        <v>Multiple Brands / Variety Flavors or Form</v>
      </c>
    </row>
    <row r="574" spans="1:12" x14ac:dyDescent="0.25">
      <c r="B574">
        <f>_xlfn.XLOOKUP($A574,Load!$B:$B,Load!C:C,0,)</f>
        <v>0</v>
      </c>
      <c r="C574">
        <f>_xlfn.XLOOKUP($A574,Load!$B:$B,Load!D:D,0,)</f>
        <v>0</v>
      </c>
      <c r="D574">
        <f>_xlfn.XLOOKUP($A574,Load!$B:$B,Load!E:E,0,)</f>
        <v>0</v>
      </c>
      <c r="E574">
        <f>_xlfn.XLOOKUP($A574,Load!$B:$B,Load!F:F,0,)</f>
        <v>0</v>
      </c>
      <c r="F574">
        <f>_xlfn.XLOOKUP($A574,Load!$B:$B,Load!G:G,0,)</f>
        <v>0</v>
      </c>
      <c r="G574">
        <f>_xlfn.XLOOKUP($A574,Load!$B:$B,Load!H:H,0,)</f>
        <v>0</v>
      </c>
      <c r="H574">
        <f>_xlfn.XLOOKUP($A574,Load!$B:$B,Load!I:I,0,)</f>
        <v>0</v>
      </c>
      <c r="I574">
        <f>_xlfn.XLOOKUP($A574,Load!$B:$B,Load!J:J,0,)</f>
        <v>0</v>
      </c>
      <c r="J574">
        <f>_xlfn.XLOOKUP($A574,Load!$B:$B,Load!K:K,0,)</f>
        <v>0</v>
      </c>
      <c r="K574">
        <f>_xlfn.XLOOKUP($A574,Load!$B:$B,Load!L:L,0,)</f>
        <v>0</v>
      </c>
      <c r="L574">
        <f>_xlfn.XLOOKUP($A574,Load!$B:$B,Load!M:M,0,)</f>
        <v>0</v>
      </c>
    </row>
    <row r="575" spans="1:12" x14ac:dyDescent="0.25">
      <c r="B575">
        <f>_xlfn.XLOOKUP($A575,Load!$B:$B,Load!C:C,0,)</f>
        <v>0</v>
      </c>
      <c r="C575">
        <f>_xlfn.XLOOKUP($A575,Load!$B:$B,Load!D:D,0,)</f>
        <v>0</v>
      </c>
      <c r="D575">
        <f>_xlfn.XLOOKUP($A575,Load!$B:$B,Load!E:E,0,)</f>
        <v>0</v>
      </c>
      <c r="E575">
        <f>_xlfn.XLOOKUP($A575,Load!$B:$B,Load!F:F,0,)</f>
        <v>0</v>
      </c>
      <c r="F575">
        <f>_xlfn.XLOOKUP($A575,Load!$B:$B,Load!G:G,0,)</f>
        <v>0</v>
      </c>
      <c r="G575">
        <f>_xlfn.XLOOKUP($A575,Load!$B:$B,Load!H:H,0,)</f>
        <v>0</v>
      </c>
      <c r="H575">
        <f>_xlfn.XLOOKUP($A575,Load!$B:$B,Load!I:I,0,)</f>
        <v>0</v>
      </c>
      <c r="I575">
        <f>_xlfn.XLOOKUP($A575,Load!$B:$B,Load!J:J,0,)</f>
        <v>0</v>
      </c>
      <c r="J575">
        <f>_xlfn.XLOOKUP($A575,Load!$B:$B,Load!K:K,0,)</f>
        <v>0</v>
      </c>
      <c r="K575">
        <f>_xlfn.XLOOKUP($A575,Load!$B:$B,Load!L:L,0,)</f>
        <v>0</v>
      </c>
      <c r="L575">
        <f>_xlfn.XLOOKUP($A575,Load!$B:$B,Load!M:M,0,)</f>
        <v>0</v>
      </c>
    </row>
    <row r="576" spans="1:12" x14ac:dyDescent="0.25">
      <c r="A576" t="s">
        <v>201</v>
      </c>
      <c r="B576" t="str">
        <f>_xlfn.XLOOKUP($A576,Load!$B:$B,Load!C:C,0,)</f>
        <v>Mars Variety Pack</v>
      </c>
      <c r="C576" t="str">
        <f>_xlfn.XLOOKUP($A576,Load!$B:$B,Load!D:D,0,)</f>
        <v>Non-Chocolate Candy Only</v>
      </c>
      <c r="D576" t="str">
        <f>_xlfn.XLOOKUP($A576,Load!$B:$B,Load!E:E,0,)</f>
        <v>Variety / Mixed Flavors (Fruity, Sour, Seasonal Flavors)</v>
      </c>
      <c r="E576" t="str">
        <f>_xlfn.XLOOKUP($A576,Load!$B:$B,Load!F:F,0,)</f>
        <v>Mixed / Combo Packs (Gummy, Chewy, Taffy, etc.)</v>
      </c>
      <c r="F576" t="str">
        <f>_xlfn.XLOOKUP($A576,Load!$B:$B,Load!G:G,0,)</f>
        <v>Large Multipack (More than 80 ct)</v>
      </c>
      <c r="G576" t="str">
        <f>_xlfn.XLOOKUP($A576,Load!$B:$B,Load!H:H,0,)</f>
        <v>Stand-Up Bag</v>
      </c>
      <c r="H576" t="str">
        <f>_xlfn.XLOOKUP($A576,Load!$B:$B,Load!I:I,0,)</f>
        <v>Everyday Candy Shapes (like Original, Gummy bear, Fruit, Jewels, etc.)</v>
      </c>
      <c r="I576" t="str">
        <f>_xlfn.XLOOKUP($A576,Load!$B:$B,Load!J:J,0,)</f>
        <v>Everyday Graphics</v>
      </c>
      <c r="J576" t="str">
        <f>_xlfn.XLOOKUP($A576,Load!$B:$B,Load!K:K,0,)</f>
        <v>Fun Size / Treat Size</v>
      </c>
      <c r="K576" t="str">
        <f>_xlfn.XLOOKUP($A576,Load!$B:$B,Load!L:L,0,)</f>
        <v>Regular/Original Wrapping</v>
      </c>
      <c r="L576" t="str">
        <f>_xlfn.XLOOKUP($A576,Load!$B:$B,Load!M:M,0,)</f>
        <v>Multiple Brands / Variety Flavors or Form</v>
      </c>
    </row>
    <row r="577" spans="1:12" x14ac:dyDescent="0.25">
      <c r="A577" t="s">
        <v>202</v>
      </c>
      <c r="B577" t="str">
        <f>_xlfn.XLOOKUP($A577,Load!$B:$B,Load!C:C,0,)</f>
        <v>Mars Variety Pack</v>
      </c>
      <c r="C577" t="str">
        <f>_xlfn.XLOOKUP($A577,Load!$B:$B,Load!D:D,0,)</f>
        <v>Mix of Chocolate and Non-Chocolate Candy</v>
      </c>
      <c r="D577" t="str">
        <f>_xlfn.XLOOKUP($A577,Load!$B:$B,Load!E:E,0,)</f>
        <v>Variety / Mixed Flavors (Fruity, Sour, Seasonal Flavors)</v>
      </c>
      <c r="E577" t="str">
        <f>_xlfn.XLOOKUP($A577,Load!$B:$B,Load!F:F,0,)</f>
        <v>Mixed / Combo Packs (Gummy, Chewy, Taffy, etc.)</v>
      </c>
      <c r="F577" t="str">
        <f>_xlfn.XLOOKUP($A577,Load!$B:$B,Load!G:G,0,)</f>
        <v>Large Multipack (More than 80 ct)</v>
      </c>
      <c r="G577" t="str">
        <f>_xlfn.XLOOKUP($A577,Load!$B:$B,Load!H:H,0,)</f>
        <v>Stand-Up Bag</v>
      </c>
      <c r="H577" t="str">
        <f>_xlfn.XLOOKUP($A577,Load!$B:$B,Load!I:I,0,)</f>
        <v>Everyday Candy Shapes (like Original, Gummy bear, Fruit, Jewels, etc.)</v>
      </c>
      <c r="I577" t="str">
        <f>_xlfn.XLOOKUP($A577,Load!$B:$B,Load!J:J,0,)</f>
        <v>Everyday Graphics</v>
      </c>
      <c r="J577" t="str">
        <f>_xlfn.XLOOKUP($A577,Load!$B:$B,Load!K:K,0,)</f>
        <v>Fun Size / Treat Size</v>
      </c>
      <c r="K577" t="str">
        <f>_xlfn.XLOOKUP($A577,Load!$B:$B,Load!L:L,0,)</f>
        <v>Regular/Original Wrapping</v>
      </c>
      <c r="L577" t="str">
        <f>_xlfn.XLOOKUP($A577,Load!$B:$B,Load!M:M,0,)</f>
        <v>Multiple Brands / Variety Flavors or Form</v>
      </c>
    </row>
    <row r="578" spans="1:12" x14ac:dyDescent="0.25">
      <c r="A578" t="s">
        <v>134</v>
      </c>
      <c r="B578" t="str">
        <f>_xlfn.XLOOKUP($A578,Load!$B:$B,Load!C:C,0,)</f>
        <v>Hershey's Variety Pack</v>
      </c>
      <c r="C578" t="str">
        <f>_xlfn.XLOOKUP($A578,Load!$B:$B,Load!D:D,0,)</f>
        <v>Non-Chocolate Candy Only</v>
      </c>
      <c r="D578" t="str">
        <f>_xlfn.XLOOKUP($A578,Load!$B:$B,Load!E:E,0,)</f>
        <v>Variety / Mixed Flavors (Fruity, Sour, Seasonal Flavors)</v>
      </c>
      <c r="E578" t="str">
        <f>_xlfn.XLOOKUP($A578,Load!$B:$B,Load!F:F,0,)</f>
        <v>Mixed / Combo Packs (Gummy, Chewy, Taffy, etc.)</v>
      </c>
      <c r="F578" t="str">
        <f>_xlfn.XLOOKUP($A578,Load!$B:$B,Load!G:G,0,)</f>
        <v>Large Multipack (More than 80 ct)</v>
      </c>
      <c r="G578" t="str">
        <f>_xlfn.XLOOKUP($A578,Load!$B:$B,Load!H:H,0,)</f>
        <v>Stand-Up Bag</v>
      </c>
      <c r="H578" t="str">
        <f>_xlfn.XLOOKUP($A578,Load!$B:$B,Load!I:I,0,)</f>
        <v>Everyday Candy Shapes (like Original, Gummy bear, Fruit, Jewels, etc.)</v>
      </c>
      <c r="I578" t="str">
        <f>_xlfn.XLOOKUP($A578,Load!$B:$B,Load!J:J,0,)</f>
        <v>Seasonal Graphics (Like Bat, Ghost, Pumpkin, Fall Leaves, Eyeballs, etc.)</v>
      </c>
      <c r="J578" t="str">
        <f>_xlfn.XLOOKUP($A578,Load!$B:$B,Load!K:K,0,)</f>
        <v xml:space="preserve">Variety Candy Sizes </v>
      </c>
      <c r="K578" t="str">
        <f>_xlfn.XLOOKUP($A578,Load!$B:$B,Load!L:L,0,)</f>
        <v>Regular/Original Wrapping</v>
      </c>
      <c r="L578" t="str">
        <f>_xlfn.XLOOKUP($A578,Load!$B:$B,Load!M:M,0,)</f>
        <v>Multiple Brands / Variety Flavors or Form</v>
      </c>
    </row>
    <row r="579" spans="1:12" x14ac:dyDescent="0.25">
      <c r="B579">
        <f>_xlfn.XLOOKUP($A579,Load!$B:$B,Load!C:C,0,)</f>
        <v>0</v>
      </c>
      <c r="C579">
        <f>_xlfn.XLOOKUP($A579,Load!$B:$B,Load!D:D,0,)</f>
        <v>0</v>
      </c>
      <c r="D579">
        <f>_xlfn.XLOOKUP($A579,Load!$B:$B,Load!E:E,0,)</f>
        <v>0</v>
      </c>
      <c r="E579">
        <f>_xlfn.XLOOKUP($A579,Load!$B:$B,Load!F:F,0,)</f>
        <v>0</v>
      </c>
      <c r="F579">
        <f>_xlfn.XLOOKUP($A579,Load!$B:$B,Load!G:G,0,)</f>
        <v>0</v>
      </c>
      <c r="G579">
        <f>_xlfn.XLOOKUP($A579,Load!$B:$B,Load!H:H,0,)</f>
        <v>0</v>
      </c>
      <c r="H579">
        <f>_xlfn.XLOOKUP($A579,Load!$B:$B,Load!I:I,0,)</f>
        <v>0</v>
      </c>
      <c r="I579">
        <f>_xlfn.XLOOKUP($A579,Load!$B:$B,Load!J:J,0,)</f>
        <v>0</v>
      </c>
      <c r="J579">
        <f>_xlfn.XLOOKUP($A579,Load!$B:$B,Load!K:K,0,)</f>
        <v>0</v>
      </c>
      <c r="K579">
        <f>_xlfn.XLOOKUP($A579,Load!$B:$B,Load!L:L,0,)</f>
        <v>0</v>
      </c>
      <c r="L579">
        <f>_xlfn.XLOOKUP($A579,Load!$B:$B,Load!M:M,0,)</f>
        <v>0</v>
      </c>
    </row>
    <row r="580" spans="1:12" x14ac:dyDescent="0.25">
      <c r="A580" t="s">
        <v>162</v>
      </c>
      <c r="B580" t="str">
        <f>_xlfn.XLOOKUP($A580,Load!$B:$B,Load!C:C,0,)</f>
        <v>Jolly Rancher</v>
      </c>
      <c r="C580" t="str">
        <f>_xlfn.XLOOKUP($A580,Load!$B:$B,Load!D:D,0,)</f>
        <v>Non-Chocolate Candy Only</v>
      </c>
      <c r="D580" t="str">
        <f>_xlfn.XLOOKUP($A580,Load!$B:$B,Load!E:E,0,)</f>
        <v>Variety / Mixed Flavors (Fruity, Sour, Seasonal Flavors)</v>
      </c>
      <c r="E580" t="str">
        <f>_xlfn.XLOOKUP($A580,Load!$B:$B,Load!F:F,0,)</f>
        <v>Gummy</v>
      </c>
      <c r="F580" t="str">
        <f>_xlfn.XLOOKUP($A580,Load!$B:$B,Load!G:G,0,)</f>
        <v>Single Pack</v>
      </c>
      <c r="G580" t="str">
        <f>_xlfn.XLOOKUP($A580,Load!$B:$B,Load!H:H,0,)</f>
        <v>Peg Bag</v>
      </c>
      <c r="H580" t="str">
        <f>_xlfn.XLOOKUP($A580,Load!$B:$B,Load!I:I,0,)</f>
        <v>Seasonal Shapes (like pumpkins, candy corn, ghost, bats, etc.)</v>
      </c>
      <c r="I580" t="str">
        <f>_xlfn.XLOOKUP($A580,Load!$B:$B,Load!J:J,0,)</f>
        <v>Seasonal Graphics (Like Bat, Ghost, Pumpkin, Fall Leaves, Eyeballs, etc.)</v>
      </c>
      <c r="J580" t="str">
        <f>_xlfn.XLOOKUP($A580,Load!$B:$B,Load!K:K,0,)</f>
        <v>Small Pieces (Tiny bite size candies)</v>
      </c>
      <c r="K580" t="str">
        <f>_xlfn.XLOOKUP($A580,Load!$B:$B,Load!L:L,0,)</f>
        <v>Unwrapped</v>
      </c>
      <c r="L580" t="str">
        <f>_xlfn.XLOOKUP($A580,Load!$B:$B,Load!M:M,0,)</f>
        <v>Single Brand / Variety Flavors or Form</v>
      </c>
    </row>
    <row r="581" spans="1:12" x14ac:dyDescent="0.25">
      <c r="A581" t="s">
        <v>215</v>
      </c>
      <c r="B581" t="str">
        <f>_xlfn.XLOOKUP($A581,Load!$B:$B,Load!C:C,0,)</f>
        <v>Maud Borup</v>
      </c>
      <c r="C581" t="str">
        <f>_xlfn.XLOOKUP($A581,Load!$B:$B,Load!D:D,0,)</f>
        <v>Non-Chocolate Candy Only</v>
      </c>
      <c r="D581" t="str">
        <f>_xlfn.XLOOKUP($A581,Load!$B:$B,Load!E:E,0,)</f>
        <v>Berry Based (Raspberry, Strawberry, Medley, etc.)</v>
      </c>
      <c r="E581" t="str">
        <f>_xlfn.XLOOKUP($A581,Load!$B:$B,Load!F:F,0,)</f>
        <v>Gummy</v>
      </c>
      <c r="F581" t="str">
        <f>_xlfn.XLOOKUP($A581,Load!$B:$B,Load!G:G,0,)</f>
        <v>Single Pack</v>
      </c>
      <c r="G581" t="str">
        <f>_xlfn.XLOOKUP($A581,Load!$B:$B,Load!H:H,0,)</f>
        <v>Peg Bag</v>
      </c>
      <c r="H581" t="str">
        <f>_xlfn.XLOOKUP($A581,Load!$B:$B,Load!I:I,0,)</f>
        <v>Seasonal Shapes (like pumpkins, candy corn, ghost, bats, etc.)</v>
      </c>
      <c r="I581" t="str">
        <f>_xlfn.XLOOKUP($A581,Load!$B:$B,Load!J:J,0,)</f>
        <v>Seasonal Graphics (Like Bat, Ghost, Pumpkin, Fall Leaves, Eyeballs, etc.)</v>
      </c>
      <c r="J581" t="str">
        <f>_xlfn.XLOOKUP($A581,Load!$B:$B,Load!K:K,0,)</f>
        <v>Fun Size / Treat Size</v>
      </c>
      <c r="K581" t="str">
        <f>_xlfn.XLOOKUP($A581,Load!$B:$B,Load!L:L,0,)</f>
        <v>Unwrapped</v>
      </c>
      <c r="L581" t="str">
        <f>_xlfn.XLOOKUP($A581,Load!$B:$B,Load!M:M,0,)</f>
        <v>Single Brand / Single Flavor or Form</v>
      </c>
    </row>
    <row r="582" spans="1:12" x14ac:dyDescent="0.25">
      <c r="A582" t="s">
        <v>149</v>
      </c>
      <c r="B582" t="str">
        <f>_xlfn.XLOOKUP($A582,Load!$B:$B,Load!C:C,0,)</f>
        <v>Jolly Rancher</v>
      </c>
      <c r="C582" t="str">
        <f>_xlfn.XLOOKUP($A582,Load!$B:$B,Load!D:D,0,)</f>
        <v>Non-Chocolate Candy Only</v>
      </c>
      <c r="D582" t="str">
        <f>_xlfn.XLOOKUP($A582,Load!$B:$B,Load!E:E,0,)</f>
        <v>Fruit Flavor (Cherry, Grape, Apple, Citrus, Tropical Fruit)</v>
      </c>
      <c r="E582" t="str">
        <f>_xlfn.XLOOKUP($A582,Load!$B:$B,Load!F:F,0,)</f>
        <v>Gummy</v>
      </c>
      <c r="F582" t="str">
        <f>_xlfn.XLOOKUP($A582,Load!$B:$B,Load!G:G,0,)</f>
        <v>Small Multipack (Less than 40 ct)</v>
      </c>
      <c r="G582" t="str">
        <f>_xlfn.XLOOKUP($A582,Load!$B:$B,Load!H:H,0,)</f>
        <v>Laydown Bag</v>
      </c>
      <c r="H582" t="str">
        <f>_xlfn.XLOOKUP($A582,Load!$B:$B,Load!I:I,0,)</f>
        <v>Everyday Candy Shapes (like Original, Gummy bear, Fruit, Jewels, etc.)</v>
      </c>
      <c r="I582" t="str">
        <f>_xlfn.XLOOKUP($A582,Load!$B:$B,Load!J:J,0,)</f>
        <v>Everyday Graphics</v>
      </c>
      <c r="J582" t="str">
        <f>_xlfn.XLOOKUP($A582,Load!$B:$B,Load!K:K,0,)</f>
        <v>Fun Size / Treat Size</v>
      </c>
      <c r="K582" t="str">
        <f>_xlfn.XLOOKUP($A582,Load!$B:$B,Load!L:L,0,)</f>
        <v>Regular/Original Wrapping</v>
      </c>
      <c r="L582" t="str">
        <f>_xlfn.XLOOKUP($A582,Load!$B:$B,Load!M:M,0,)</f>
        <v>Single Brand / Variety Flavors or Form</v>
      </c>
    </row>
    <row r="583" spans="1:12" x14ac:dyDescent="0.25">
      <c r="B583">
        <f>_xlfn.XLOOKUP($A583,Load!$B:$B,Load!C:C,0,)</f>
        <v>0</v>
      </c>
      <c r="C583">
        <f>_xlfn.XLOOKUP($A583,Load!$B:$B,Load!D:D,0,)</f>
        <v>0</v>
      </c>
      <c r="D583">
        <f>_xlfn.XLOOKUP($A583,Load!$B:$B,Load!E:E,0,)</f>
        <v>0</v>
      </c>
      <c r="E583">
        <f>_xlfn.XLOOKUP($A583,Load!$B:$B,Load!F:F,0,)</f>
        <v>0</v>
      </c>
      <c r="F583">
        <f>_xlfn.XLOOKUP($A583,Load!$B:$B,Load!G:G,0,)</f>
        <v>0</v>
      </c>
      <c r="G583">
        <f>_xlfn.XLOOKUP($A583,Load!$B:$B,Load!H:H,0,)</f>
        <v>0</v>
      </c>
      <c r="H583">
        <f>_xlfn.XLOOKUP($A583,Load!$B:$B,Load!I:I,0,)</f>
        <v>0</v>
      </c>
      <c r="I583">
        <f>_xlfn.XLOOKUP($A583,Load!$B:$B,Load!J:J,0,)</f>
        <v>0</v>
      </c>
      <c r="J583">
        <f>_xlfn.XLOOKUP($A583,Load!$B:$B,Load!K:K,0,)</f>
        <v>0</v>
      </c>
      <c r="K583">
        <f>_xlfn.XLOOKUP($A583,Load!$B:$B,Load!L:L,0,)</f>
        <v>0</v>
      </c>
      <c r="L583">
        <f>_xlfn.XLOOKUP($A583,Load!$B:$B,Load!M:M,0,)</f>
        <v>0</v>
      </c>
    </row>
    <row r="584" spans="1:12" x14ac:dyDescent="0.25">
      <c r="A584" t="s">
        <v>327</v>
      </c>
      <c r="B584" t="str">
        <f>_xlfn.XLOOKUP($A584,Load!$B:$B,Load!C:C,0,)</f>
        <v>Googly Eyes</v>
      </c>
      <c r="C584" t="str">
        <f>_xlfn.XLOOKUP($A584,Load!$B:$B,Load!D:D,0,)</f>
        <v>Non-Chocolate Candy Only</v>
      </c>
      <c r="D584" t="str">
        <f>_xlfn.XLOOKUP($A584,Load!$B:$B,Load!E:E,0,)</f>
        <v>Variety / Mixed Flavors (Fruity, Sour, Seasonal Flavors)</v>
      </c>
      <c r="E584" t="str">
        <f>_xlfn.XLOOKUP($A584,Load!$B:$B,Load!F:F,0,)</f>
        <v>Candy Pieces / Bites</v>
      </c>
      <c r="F584" t="str">
        <f>_xlfn.XLOOKUP($A584,Load!$B:$B,Load!G:G,0,)</f>
        <v>Small Multipack (Less than 40 ct)</v>
      </c>
      <c r="G584" t="str">
        <f>_xlfn.XLOOKUP($A584,Load!$B:$B,Load!H:H,0,)</f>
        <v>Plastic Cup / Container</v>
      </c>
      <c r="H584" t="str">
        <f>_xlfn.XLOOKUP($A584,Load!$B:$B,Load!I:I,0,)</f>
        <v>Seasonal Shapes (like pumpkins, candy corn, ghost, bats, etc.)</v>
      </c>
      <c r="I584" t="str">
        <f>_xlfn.XLOOKUP($A584,Load!$B:$B,Load!J:J,0,)</f>
        <v>Seasonal Graphics (Like Bat, Ghost, Pumpkin, Fall Leaves, Eyeballs, etc.)</v>
      </c>
      <c r="J584" t="str">
        <f>_xlfn.XLOOKUP($A584,Load!$B:$B,Load!K:K,0,)</f>
        <v>Fun Size / Treat Size</v>
      </c>
      <c r="K584" t="str">
        <f>_xlfn.XLOOKUP($A584,Load!$B:$B,Load!L:L,0,)</f>
        <v>Regular/Original Wrapping</v>
      </c>
      <c r="L584" t="str">
        <f>_xlfn.XLOOKUP($A584,Load!$B:$B,Load!M:M,0,)</f>
        <v>Single Brand / Variety Flavors or Form</v>
      </c>
    </row>
    <row r="585" spans="1:12" x14ac:dyDescent="0.25">
      <c r="B585">
        <f>_xlfn.XLOOKUP($A585,Load!$B:$B,Load!C:C,0,)</f>
        <v>0</v>
      </c>
      <c r="C585">
        <f>_xlfn.XLOOKUP($A585,Load!$B:$B,Load!D:D,0,)</f>
        <v>0</v>
      </c>
      <c r="D585">
        <f>_xlfn.XLOOKUP($A585,Load!$B:$B,Load!E:E,0,)</f>
        <v>0</v>
      </c>
      <c r="E585">
        <f>_xlfn.XLOOKUP($A585,Load!$B:$B,Load!F:F,0,)</f>
        <v>0</v>
      </c>
      <c r="F585">
        <f>_xlfn.XLOOKUP($A585,Load!$B:$B,Load!G:G,0,)</f>
        <v>0</v>
      </c>
      <c r="G585">
        <f>_xlfn.XLOOKUP($A585,Load!$B:$B,Load!H:H,0,)</f>
        <v>0</v>
      </c>
      <c r="H585">
        <f>_xlfn.XLOOKUP($A585,Load!$B:$B,Load!I:I,0,)</f>
        <v>0</v>
      </c>
      <c r="I585">
        <f>_xlfn.XLOOKUP($A585,Load!$B:$B,Load!J:J,0,)</f>
        <v>0</v>
      </c>
      <c r="J585">
        <f>_xlfn.XLOOKUP($A585,Load!$B:$B,Load!K:K,0,)</f>
        <v>0</v>
      </c>
      <c r="K585">
        <f>_xlfn.XLOOKUP($A585,Load!$B:$B,Load!L:L,0,)</f>
        <v>0</v>
      </c>
      <c r="L585">
        <f>_xlfn.XLOOKUP($A585,Load!$B:$B,Load!M:M,0,)</f>
        <v>0</v>
      </c>
    </row>
    <row r="586" spans="1:12" x14ac:dyDescent="0.25">
      <c r="A586" t="s">
        <v>121</v>
      </c>
      <c r="B586" t="str">
        <f>_xlfn.XLOOKUP($A586,Load!$B:$B,Load!C:C,0,)</f>
        <v>HARIBO</v>
      </c>
      <c r="C586" t="str">
        <f>_xlfn.XLOOKUP($A586,Load!$B:$B,Load!D:D,0,)</f>
        <v>Non-Chocolate Candy Only</v>
      </c>
      <c r="D586" t="str">
        <f>_xlfn.XLOOKUP($A586,Load!$B:$B,Load!E:E,0,)</f>
        <v>Variety / Mixed Flavors (Fruity, Sour, Seasonal Flavors)</v>
      </c>
      <c r="E586" t="str">
        <f>_xlfn.XLOOKUP($A586,Load!$B:$B,Load!F:F,0,)</f>
        <v>Gummy</v>
      </c>
      <c r="F586" t="str">
        <f>_xlfn.XLOOKUP($A586,Load!$B:$B,Load!G:G,0,)</f>
        <v>Large Multipack (More than 80 ct)</v>
      </c>
      <c r="G586" t="str">
        <f>_xlfn.XLOOKUP($A586,Load!$B:$B,Load!H:H,0,)</f>
        <v>Stand-Up Bag</v>
      </c>
      <c r="H586" t="str">
        <f>_xlfn.XLOOKUP($A586,Load!$B:$B,Load!I:I,0,)</f>
        <v>Seasonal Shapes (like pumpkins, candy corn, ghost, bats, etc.)</v>
      </c>
      <c r="I586" t="str">
        <f>_xlfn.XLOOKUP($A586,Load!$B:$B,Load!J:J,0,)</f>
        <v>Seasonal Graphics (Like Bat, Ghost, Pumpkin, Fall Leaves, Eyeballs, etc.)</v>
      </c>
      <c r="J586" t="str">
        <f>_xlfn.XLOOKUP($A586,Load!$B:$B,Load!K:K,0,)</f>
        <v>Fun Size / Treat Size</v>
      </c>
      <c r="K586" t="str">
        <f>_xlfn.XLOOKUP($A586,Load!$B:$B,Load!L:L,0,)</f>
        <v>Regular/Original Wrapping</v>
      </c>
      <c r="L586" t="str">
        <f>_xlfn.XLOOKUP($A586,Load!$B:$B,Load!M:M,0,)</f>
        <v>Multiple Brands / Variety Flavors or Form</v>
      </c>
    </row>
    <row r="587" spans="1:12" x14ac:dyDescent="0.25">
      <c r="A587" t="s">
        <v>145</v>
      </c>
      <c r="B587" t="str">
        <f>_xlfn.XLOOKUP($A587,Load!$B:$B,Load!C:C,0,)</f>
        <v>Hershey's Variety Pack + Haribo</v>
      </c>
      <c r="C587" t="str">
        <f>_xlfn.XLOOKUP($A587,Load!$B:$B,Load!D:D,0,)</f>
        <v>Non-Chocolate Candy Only</v>
      </c>
      <c r="D587" t="str">
        <f>_xlfn.XLOOKUP($A587,Load!$B:$B,Load!E:E,0,)</f>
        <v>Variety / Mixed Flavors (Fruity, Sour, Seasonal Flavors)</v>
      </c>
      <c r="E587" t="str">
        <f>_xlfn.XLOOKUP($A587,Load!$B:$B,Load!F:F,0,)</f>
        <v>Mixed / Combo Packs (Gummy, Chewy, Taffy, etc.)</v>
      </c>
      <c r="F587" t="str">
        <f>_xlfn.XLOOKUP($A587,Load!$B:$B,Load!G:G,0,)</f>
        <v>Large Multipack (More than 80 ct)</v>
      </c>
      <c r="G587" t="str">
        <f>_xlfn.XLOOKUP($A587,Load!$B:$B,Load!H:H,0,)</f>
        <v>Stand-Up Bag</v>
      </c>
      <c r="H587" t="str">
        <f>_xlfn.XLOOKUP($A587,Load!$B:$B,Load!I:I,0,)</f>
        <v>Everyday Candy Shapes (like Original, Gummy bear, Fruit, Jewels, etc.)</v>
      </c>
      <c r="I587" t="str">
        <f>_xlfn.XLOOKUP($A587,Load!$B:$B,Load!J:J,0,)</f>
        <v>Seasonal Graphics (Like Bat, Ghost, Pumpkin, Fall Leaves, Eyeballs, etc.)</v>
      </c>
      <c r="J587" t="str">
        <f>_xlfn.XLOOKUP($A587,Load!$B:$B,Load!K:K,0,)</f>
        <v xml:space="preserve">Variety Candy Sizes </v>
      </c>
      <c r="K587" t="str">
        <f>_xlfn.XLOOKUP($A587,Load!$B:$B,Load!L:L,0,)</f>
        <v>Regular/Original Wrapping</v>
      </c>
      <c r="L587" t="str">
        <f>_xlfn.XLOOKUP($A587,Load!$B:$B,Load!M:M,0,)</f>
        <v>Multiple Brands / Variety Flavors or Form</v>
      </c>
    </row>
    <row r="588" spans="1:12" x14ac:dyDescent="0.25">
      <c r="A588" t="s">
        <v>173</v>
      </c>
      <c r="B588" t="str">
        <f>_xlfn.XLOOKUP($A588,Load!$B:$B,Load!C:C,0,)</f>
        <v>Mars Variety Pack</v>
      </c>
      <c r="C588" t="str">
        <f>_xlfn.XLOOKUP($A588,Load!$B:$B,Load!D:D,0,)</f>
        <v>Mix of Chocolate and Non-Chocolate Candy</v>
      </c>
      <c r="D588" t="str">
        <f>_xlfn.XLOOKUP($A588,Load!$B:$B,Load!E:E,0,)</f>
        <v>Variety / Mixed Flavors (Fruity, Sour, Seasonal Flavors)</v>
      </c>
      <c r="E588" t="str">
        <f>_xlfn.XLOOKUP($A588,Load!$B:$B,Load!F:F,0,)</f>
        <v>Mixed / Combo Packs (Gummy, Chewy, Taffy, etc.)</v>
      </c>
      <c r="F588" t="str">
        <f>_xlfn.XLOOKUP($A588,Load!$B:$B,Load!G:G,0,)</f>
        <v>Large Multipack (More than 80 ct)</v>
      </c>
      <c r="G588" t="str">
        <f>_xlfn.XLOOKUP($A588,Load!$B:$B,Load!H:H,0,)</f>
        <v>Stand-Up Bag</v>
      </c>
      <c r="H588" t="str">
        <f>_xlfn.XLOOKUP($A588,Load!$B:$B,Load!I:I,0,)</f>
        <v>Everyday Candy Shapes (like Original, Gummy bear, Fruit, Jewels, etc.)</v>
      </c>
      <c r="I588" t="str">
        <f>_xlfn.XLOOKUP($A588,Load!$B:$B,Load!J:J,0,)</f>
        <v>Seasonal Graphics (Like Bat, Ghost, Pumpkin, Fall Leaves, Eyeballs, etc.)</v>
      </c>
      <c r="J588" t="str">
        <f>_xlfn.XLOOKUP($A588,Load!$B:$B,Load!K:K,0,)</f>
        <v>Fun Size / Treat Size</v>
      </c>
      <c r="K588" t="str">
        <f>_xlfn.XLOOKUP($A588,Load!$B:$B,Load!L:L,0,)</f>
        <v>Regular/Original Wrapping</v>
      </c>
      <c r="L588" t="str">
        <f>_xlfn.XLOOKUP($A588,Load!$B:$B,Load!M:M,0,)</f>
        <v>Multiple Brands / Variety Flavors or Form</v>
      </c>
    </row>
    <row r="589" spans="1:12" x14ac:dyDescent="0.25">
      <c r="B589">
        <f>_xlfn.XLOOKUP($A589,Load!$B:$B,Load!C:C,0,)</f>
        <v>0</v>
      </c>
      <c r="C589">
        <f>_xlfn.XLOOKUP($A589,Load!$B:$B,Load!D:D,0,)</f>
        <v>0</v>
      </c>
      <c r="D589">
        <f>_xlfn.XLOOKUP($A589,Load!$B:$B,Load!E:E,0,)</f>
        <v>0</v>
      </c>
      <c r="E589">
        <f>_xlfn.XLOOKUP($A589,Load!$B:$B,Load!F:F,0,)</f>
        <v>0</v>
      </c>
      <c r="F589">
        <f>_xlfn.XLOOKUP($A589,Load!$B:$B,Load!G:G,0,)</f>
        <v>0</v>
      </c>
      <c r="G589">
        <f>_xlfn.XLOOKUP($A589,Load!$B:$B,Load!H:H,0,)</f>
        <v>0</v>
      </c>
      <c r="H589">
        <f>_xlfn.XLOOKUP($A589,Load!$B:$B,Load!I:I,0,)</f>
        <v>0</v>
      </c>
      <c r="I589">
        <f>_xlfn.XLOOKUP($A589,Load!$B:$B,Load!J:J,0,)</f>
        <v>0</v>
      </c>
      <c r="J589">
        <f>_xlfn.XLOOKUP($A589,Load!$B:$B,Load!K:K,0,)</f>
        <v>0</v>
      </c>
      <c r="K589">
        <f>_xlfn.XLOOKUP($A589,Load!$B:$B,Load!L:L,0,)</f>
        <v>0</v>
      </c>
      <c r="L589">
        <f>_xlfn.XLOOKUP($A589,Load!$B:$B,Load!M:M,0,)</f>
        <v>0</v>
      </c>
    </row>
    <row r="590" spans="1:12" x14ac:dyDescent="0.25">
      <c r="A590" t="s">
        <v>145</v>
      </c>
      <c r="B590" t="str">
        <f>_xlfn.XLOOKUP($A590,Load!$B:$B,Load!C:C,0,)</f>
        <v>Hershey's Variety Pack + Haribo</v>
      </c>
      <c r="C590" t="str">
        <f>_xlfn.XLOOKUP($A590,Load!$B:$B,Load!D:D,0,)</f>
        <v>Non-Chocolate Candy Only</v>
      </c>
      <c r="D590" t="str">
        <f>_xlfn.XLOOKUP($A590,Load!$B:$B,Load!E:E,0,)</f>
        <v>Variety / Mixed Flavors (Fruity, Sour, Seasonal Flavors)</v>
      </c>
      <c r="E590" t="str">
        <f>_xlfn.XLOOKUP($A590,Load!$B:$B,Load!F:F,0,)</f>
        <v>Mixed / Combo Packs (Gummy, Chewy, Taffy, etc.)</v>
      </c>
      <c r="F590" t="str">
        <f>_xlfn.XLOOKUP($A590,Load!$B:$B,Load!G:G,0,)</f>
        <v>Large Multipack (More than 80 ct)</v>
      </c>
      <c r="G590" t="str">
        <f>_xlfn.XLOOKUP($A590,Load!$B:$B,Load!H:H,0,)</f>
        <v>Stand-Up Bag</v>
      </c>
      <c r="H590" t="str">
        <f>_xlfn.XLOOKUP($A590,Load!$B:$B,Load!I:I,0,)</f>
        <v>Everyday Candy Shapes (like Original, Gummy bear, Fruit, Jewels, etc.)</v>
      </c>
      <c r="I590" t="str">
        <f>_xlfn.XLOOKUP($A590,Load!$B:$B,Load!J:J,0,)</f>
        <v>Seasonal Graphics (Like Bat, Ghost, Pumpkin, Fall Leaves, Eyeballs, etc.)</v>
      </c>
      <c r="J590" t="str">
        <f>_xlfn.XLOOKUP($A590,Load!$B:$B,Load!K:K,0,)</f>
        <v xml:space="preserve">Variety Candy Sizes </v>
      </c>
      <c r="K590" t="str">
        <f>_xlfn.XLOOKUP($A590,Load!$B:$B,Load!L:L,0,)</f>
        <v>Regular/Original Wrapping</v>
      </c>
      <c r="L590" t="str">
        <f>_xlfn.XLOOKUP($A590,Load!$B:$B,Load!M:M,0,)</f>
        <v>Multiple Brands / Variety Flavors or Form</v>
      </c>
    </row>
    <row r="591" spans="1:12" x14ac:dyDescent="0.25">
      <c r="B591">
        <f>_xlfn.XLOOKUP($A591,Load!$B:$B,Load!C:C,0,)</f>
        <v>0</v>
      </c>
      <c r="C591">
        <f>_xlfn.XLOOKUP($A591,Load!$B:$B,Load!D:D,0,)</f>
        <v>0</v>
      </c>
      <c r="D591">
        <f>_xlfn.XLOOKUP($A591,Load!$B:$B,Load!E:E,0,)</f>
        <v>0</v>
      </c>
      <c r="E591">
        <f>_xlfn.XLOOKUP($A591,Load!$B:$B,Load!F:F,0,)</f>
        <v>0</v>
      </c>
      <c r="F591">
        <f>_xlfn.XLOOKUP($A591,Load!$B:$B,Load!G:G,0,)</f>
        <v>0</v>
      </c>
      <c r="G591">
        <f>_xlfn.XLOOKUP($A591,Load!$B:$B,Load!H:H,0,)</f>
        <v>0</v>
      </c>
      <c r="H591">
        <f>_xlfn.XLOOKUP($A591,Load!$B:$B,Load!I:I,0,)</f>
        <v>0</v>
      </c>
      <c r="I591">
        <f>_xlfn.XLOOKUP($A591,Load!$B:$B,Load!J:J,0,)</f>
        <v>0</v>
      </c>
      <c r="J591">
        <f>_xlfn.XLOOKUP($A591,Load!$B:$B,Load!K:K,0,)</f>
        <v>0</v>
      </c>
      <c r="K591">
        <f>_xlfn.XLOOKUP($A591,Load!$B:$B,Load!L:L,0,)</f>
        <v>0</v>
      </c>
      <c r="L591">
        <f>_xlfn.XLOOKUP($A591,Load!$B:$B,Load!M:M,0,)</f>
        <v>0</v>
      </c>
    </row>
    <row r="592" spans="1:12" x14ac:dyDescent="0.25">
      <c r="B592">
        <f>_xlfn.XLOOKUP($A592,Load!$B:$B,Load!C:C,0,)</f>
        <v>0</v>
      </c>
      <c r="C592">
        <f>_xlfn.XLOOKUP($A592,Load!$B:$B,Load!D:D,0,)</f>
        <v>0</v>
      </c>
      <c r="D592">
        <f>_xlfn.XLOOKUP($A592,Load!$B:$B,Load!E:E,0,)</f>
        <v>0</v>
      </c>
      <c r="E592">
        <f>_xlfn.XLOOKUP($A592,Load!$B:$B,Load!F:F,0,)</f>
        <v>0</v>
      </c>
      <c r="F592">
        <f>_xlfn.XLOOKUP($A592,Load!$B:$B,Load!G:G,0,)</f>
        <v>0</v>
      </c>
      <c r="G592">
        <f>_xlfn.XLOOKUP($A592,Load!$B:$B,Load!H:H,0,)</f>
        <v>0</v>
      </c>
      <c r="H592">
        <f>_xlfn.XLOOKUP($A592,Load!$B:$B,Load!I:I,0,)</f>
        <v>0</v>
      </c>
      <c r="I592">
        <f>_xlfn.XLOOKUP($A592,Load!$B:$B,Load!J:J,0,)</f>
        <v>0</v>
      </c>
      <c r="J592">
        <f>_xlfn.XLOOKUP($A592,Load!$B:$B,Load!K:K,0,)</f>
        <v>0</v>
      </c>
      <c r="K592">
        <f>_xlfn.XLOOKUP($A592,Load!$B:$B,Load!L:L,0,)</f>
        <v>0</v>
      </c>
      <c r="L592">
        <f>_xlfn.XLOOKUP($A592,Load!$B:$B,Load!M:M,0,)</f>
        <v>0</v>
      </c>
    </row>
    <row r="593" spans="1:12" x14ac:dyDescent="0.25">
      <c r="B593">
        <f>_xlfn.XLOOKUP($A593,Load!$B:$B,Load!C:C,0,)</f>
        <v>0</v>
      </c>
      <c r="C593">
        <f>_xlfn.XLOOKUP($A593,Load!$B:$B,Load!D:D,0,)</f>
        <v>0</v>
      </c>
      <c r="D593">
        <f>_xlfn.XLOOKUP($A593,Load!$B:$B,Load!E:E,0,)</f>
        <v>0</v>
      </c>
      <c r="E593">
        <f>_xlfn.XLOOKUP($A593,Load!$B:$B,Load!F:F,0,)</f>
        <v>0</v>
      </c>
      <c r="F593">
        <f>_xlfn.XLOOKUP($A593,Load!$B:$B,Load!G:G,0,)</f>
        <v>0</v>
      </c>
      <c r="G593">
        <f>_xlfn.XLOOKUP($A593,Load!$B:$B,Load!H:H,0,)</f>
        <v>0</v>
      </c>
      <c r="H593">
        <f>_xlfn.XLOOKUP($A593,Load!$B:$B,Load!I:I,0,)</f>
        <v>0</v>
      </c>
      <c r="I593">
        <f>_xlfn.XLOOKUP($A593,Load!$B:$B,Load!J:J,0,)</f>
        <v>0</v>
      </c>
      <c r="J593">
        <f>_xlfn.XLOOKUP($A593,Load!$B:$B,Load!K:K,0,)</f>
        <v>0</v>
      </c>
      <c r="K593">
        <f>_xlfn.XLOOKUP($A593,Load!$B:$B,Load!L:L,0,)</f>
        <v>0</v>
      </c>
      <c r="L593">
        <f>_xlfn.XLOOKUP($A593,Load!$B:$B,Load!M:M,0,)</f>
        <v>0</v>
      </c>
    </row>
    <row r="594" spans="1:12" x14ac:dyDescent="0.25">
      <c r="A594" t="s">
        <v>180</v>
      </c>
      <c r="B594" t="str">
        <f>_xlfn.XLOOKUP($A594,Load!$B:$B,Load!C:C,0,)</f>
        <v>Mars Variety Pack</v>
      </c>
      <c r="C594" t="str">
        <f>_xlfn.XLOOKUP($A594,Load!$B:$B,Load!D:D,0,)</f>
        <v>Mix of Chocolate and Non-Chocolate Candy</v>
      </c>
      <c r="D594" t="str">
        <f>_xlfn.XLOOKUP($A594,Load!$B:$B,Load!E:E,0,)</f>
        <v>Variety / Mixed Flavors (Fruity, Sour, Seasonal Flavors)</v>
      </c>
      <c r="E594" t="str">
        <f>_xlfn.XLOOKUP($A594,Load!$B:$B,Load!F:F,0,)</f>
        <v>Mixed / Combo Packs (Gummy, Chewy, Taffy, etc.)</v>
      </c>
      <c r="F594" t="str">
        <f>_xlfn.XLOOKUP($A594,Load!$B:$B,Load!G:G,0,)</f>
        <v>Large Multipack (More than 80 ct)</v>
      </c>
      <c r="G594" t="str">
        <f>_xlfn.XLOOKUP($A594,Load!$B:$B,Load!H:H,0,)</f>
        <v>Stand-Up Bag</v>
      </c>
      <c r="H594" t="str">
        <f>_xlfn.XLOOKUP($A594,Load!$B:$B,Load!I:I,0,)</f>
        <v>Everyday Candy Shapes (like Original, Gummy bear, Fruit, Jewels, etc.)</v>
      </c>
      <c r="I594" t="str">
        <f>_xlfn.XLOOKUP($A594,Load!$B:$B,Load!J:J,0,)</f>
        <v>Seasonal Graphics (Like Bat, Ghost, Pumpkin, Fall Leaves, Eyeballs, etc.)</v>
      </c>
      <c r="J594" t="str">
        <f>_xlfn.XLOOKUP($A594,Load!$B:$B,Load!K:K,0,)</f>
        <v>Fun Size / Treat Size</v>
      </c>
      <c r="K594" t="str">
        <f>_xlfn.XLOOKUP($A594,Load!$B:$B,Load!L:L,0,)</f>
        <v>Regular/Original Wrapping</v>
      </c>
      <c r="L594" t="str">
        <f>_xlfn.XLOOKUP($A594,Load!$B:$B,Load!M:M,0,)</f>
        <v>Multiple Brands / Variety Flavors or Form</v>
      </c>
    </row>
    <row r="595" spans="1:12" x14ac:dyDescent="0.25">
      <c r="A595" t="s">
        <v>204</v>
      </c>
      <c r="B595" t="str">
        <f>_xlfn.XLOOKUP($A595,Load!$B:$B,Load!C:C,0,)</f>
        <v>Mars Variety Pack</v>
      </c>
      <c r="C595" t="str">
        <f>_xlfn.XLOOKUP($A595,Load!$B:$B,Load!D:D,0,)</f>
        <v>Mix of Chocolate and Non-Chocolate Candy</v>
      </c>
      <c r="D595" t="str">
        <f>_xlfn.XLOOKUP($A595,Load!$B:$B,Load!E:E,0,)</f>
        <v>Variety / Mixed Flavors (Fruity, Sour, Seasonal Flavors)</v>
      </c>
      <c r="E595" t="str">
        <f>_xlfn.XLOOKUP($A595,Load!$B:$B,Load!F:F,0,)</f>
        <v>Mixed / Combo Packs (Gummy, Chewy, Taffy, etc.)</v>
      </c>
      <c r="F595" t="str">
        <f>_xlfn.XLOOKUP($A595,Load!$B:$B,Load!G:G,0,)</f>
        <v>Medium Multipack (40–80 ct)</v>
      </c>
      <c r="G595" t="str">
        <f>_xlfn.XLOOKUP($A595,Load!$B:$B,Load!H:H,0,)</f>
        <v>Stand-Up Bag</v>
      </c>
      <c r="H595" t="str">
        <f>_xlfn.XLOOKUP($A595,Load!$B:$B,Load!I:I,0,)</f>
        <v>Everyday Candy Shapes (like Original, Gummy bear, Fruit, Jewels, etc.)</v>
      </c>
      <c r="I595" t="str">
        <f>_xlfn.XLOOKUP($A595,Load!$B:$B,Load!J:J,0,)</f>
        <v>Everyday Graphics</v>
      </c>
      <c r="J595" t="str">
        <f>_xlfn.XLOOKUP($A595,Load!$B:$B,Load!K:K,0,)</f>
        <v>Fun Size / Treat Size</v>
      </c>
      <c r="K595" t="str">
        <f>_xlfn.XLOOKUP($A595,Load!$B:$B,Load!L:L,0,)</f>
        <v>Regular/Original Wrapping</v>
      </c>
      <c r="L595" t="str">
        <f>_xlfn.XLOOKUP($A595,Load!$B:$B,Load!M:M,0,)</f>
        <v>Multiple Brands / Variety Flavors or Form</v>
      </c>
    </row>
    <row r="596" spans="1:12" x14ac:dyDescent="0.25">
      <c r="A596" t="s">
        <v>154</v>
      </c>
      <c r="B596" t="str">
        <f>_xlfn.XLOOKUP($A596,Load!$B:$B,Load!C:C,0,)</f>
        <v>Jolly Rancher</v>
      </c>
      <c r="C596" t="str">
        <f>_xlfn.XLOOKUP($A596,Load!$B:$B,Load!D:D,0,)</f>
        <v>Non-Chocolate Candy Only</v>
      </c>
      <c r="D596" t="str">
        <f>_xlfn.XLOOKUP($A596,Load!$B:$B,Load!E:E,0,)</f>
        <v>Fruit Flavor (Cherry, Grape, Apple, Citrus, Tropical Fruit)</v>
      </c>
      <c r="E596" t="str">
        <f>_xlfn.XLOOKUP($A596,Load!$B:$B,Load!F:F,0,)</f>
        <v>Hard Candy</v>
      </c>
      <c r="F596" t="str">
        <f>_xlfn.XLOOKUP($A596,Load!$B:$B,Load!G:G,0,)</f>
        <v>Small Multipack (Less than 40 ct)</v>
      </c>
      <c r="G596" t="str">
        <f>_xlfn.XLOOKUP($A596,Load!$B:$B,Load!H:H,0,)</f>
        <v>Stand-Up Bag</v>
      </c>
      <c r="H596" t="str">
        <f>_xlfn.XLOOKUP($A596,Load!$B:$B,Load!I:I,0,)</f>
        <v>Everyday Candy Shapes (like Original, Gummy bear, Fruit, Jewels, etc.)</v>
      </c>
      <c r="I596" t="str">
        <f>_xlfn.XLOOKUP($A596,Load!$B:$B,Load!J:J,0,)</f>
        <v>Everyday Graphics</v>
      </c>
      <c r="J596" t="str">
        <f>_xlfn.XLOOKUP($A596,Load!$B:$B,Load!K:K,0,)</f>
        <v>Small Pieces (Tiny bite size candies)</v>
      </c>
      <c r="K596" t="str">
        <f>_xlfn.XLOOKUP($A596,Load!$B:$B,Load!L:L,0,)</f>
        <v>Regular/Original Wrapping</v>
      </c>
      <c r="L596" t="str">
        <f>_xlfn.XLOOKUP($A596,Load!$B:$B,Load!M:M,0,)</f>
        <v>Single Brand / Variety Flavors or Form</v>
      </c>
    </row>
    <row r="597" spans="1:12" x14ac:dyDescent="0.25">
      <c r="B597">
        <f>_xlfn.XLOOKUP($A597,Load!$B:$B,Load!C:C,0,)</f>
        <v>0</v>
      </c>
      <c r="C597">
        <f>_xlfn.XLOOKUP($A597,Load!$B:$B,Load!D:D,0,)</f>
        <v>0</v>
      </c>
      <c r="D597">
        <f>_xlfn.XLOOKUP($A597,Load!$B:$B,Load!E:E,0,)</f>
        <v>0</v>
      </c>
      <c r="E597">
        <f>_xlfn.XLOOKUP($A597,Load!$B:$B,Load!F:F,0,)</f>
        <v>0</v>
      </c>
      <c r="F597">
        <f>_xlfn.XLOOKUP($A597,Load!$B:$B,Load!G:G,0,)</f>
        <v>0</v>
      </c>
      <c r="G597">
        <f>_xlfn.XLOOKUP($A597,Load!$B:$B,Load!H:H,0,)</f>
        <v>0</v>
      </c>
      <c r="H597">
        <f>_xlfn.XLOOKUP($A597,Load!$B:$B,Load!I:I,0,)</f>
        <v>0</v>
      </c>
      <c r="I597">
        <f>_xlfn.XLOOKUP($A597,Load!$B:$B,Load!J:J,0,)</f>
        <v>0</v>
      </c>
      <c r="J597">
        <f>_xlfn.XLOOKUP($A597,Load!$B:$B,Load!K:K,0,)</f>
        <v>0</v>
      </c>
      <c r="K597">
        <f>_xlfn.XLOOKUP($A597,Load!$B:$B,Load!L:L,0,)</f>
        <v>0</v>
      </c>
      <c r="L597">
        <f>_xlfn.XLOOKUP($A597,Load!$B:$B,Load!M:M,0,)</f>
        <v>0</v>
      </c>
    </row>
    <row r="598" spans="1:12" x14ac:dyDescent="0.25">
      <c r="A598" t="s">
        <v>297</v>
      </c>
      <c r="B598" t="str">
        <f>_xlfn.XLOOKUP($A598,Load!$B:$B,Load!C:C,0,)</f>
        <v>Trolli</v>
      </c>
      <c r="C598" t="str">
        <f>_xlfn.XLOOKUP($A598,Load!$B:$B,Load!D:D,0,)</f>
        <v>Non-Chocolate Candy Only</v>
      </c>
      <c r="D598" t="str">
        <f>_xlfn.XLOOKUP($A598,Load!$B:$B,Load!E:E,0,)</f>
        <v>Sour</v>
      </c>
      <c r="E598" t="str">
        <f>_xlfn.XLOOKUP($A598,Load!$B:$B,Load!F:F,0,)</f>
        <v>Gummy</v>
      </c>
      <c r="F598" t="str">
        <f>_xlfn.XLOOKUP($A598,Load!$B:$B,Load!G:G,0,)</f>
        <v>Small Multipack (Less than 40 ct)</v>
      </c>
      <c r="G598" t="str">
        <f>_xlfn.XLOOKUP($A598,Load!$B:$B,Load!H:H,0,)</f>
        <v>Peg Bag</v>
      </c>
      <c r="H598" t="str">
        <f>_xlfn.XLOOKUP($A598,Load!$B:$B,Load!I:I,0,)</f>
        <v>Everyday Candy Shapes (like Original, Gummy bear, Fruit, Jewels, etc.)</v>
      </c>
      <c r="I598" t="str">
        <f>_xlfn.XLOOKUP($A598,Load!$B:$B,Load!J:J,0,)</f>
        <v>Everyday Graphics</v>
      </c>
      <c r="J598" t="str">
        <f>_xlfn.XLOOKUP($A598,Load!$B:$B,Load!K:K,0,)</f>
        <v>Fun Size / Treat Size</v>
      </c>
      <c r="K598" t="str">
        <f>_xlfn.XLOOKUP($A598,Load!$B:$B,Load!L:L,0,)</f>
        <v>Unwrapped</v>
      </c>
      <c r="L598" t="str">
        <f>_xlfn.XLOOKUP($A598,Load!$B:$B,Load!M:M,0,)</f>
        <v>Single Brand / Variety Flavors or Form</v>
      </c>
    </row>
    <row r="599" spans="1:12" x14ac:dyDescent="0.25">
      <c r="B599">
        <f>_xlfn.XLOOKUP($A599,Load!$B:$B,Load!C:C,0,)</f>
        <v>0</v>
      </c>
      <c r="C599">
        <f>_xlfn.XLOOKUP($A599,Load!$B:$B,Load!D:D,0,)</f>
        <v>0</v>
      </c>
      <c r="D599">
        <f>_xlfn.XLOOKUP($A599,Load!$B:$B,Load!E:E,0,)</f>
        <v>0</v>
      </c>
      <c r="E599">
        <f>_xlfn.XLOOKUP($A599,Load!$B:$B,Load!F:F,0,)</f>
        <v>0</v>
      </c>
      <c r="F599">
        <f>_xlfn.XLOOKUP($A599,Load!$B:$B,Load!G:G,0,)</f>
        <v>0</v>
      </c>
      <c r="G599">
        <f>_xlfn.XLOOKUP($A599,Load!$B:$B,Load!H:H,0,)</f>
        <v>0</v>
      </c>
      <c r="H599">
        <f>_xlfn.XLOOKUP($A599,Load!$B:$B,Load!I:I,0,)</f>
        <v>0</v>
      </c>
      <c r="I599">
        <f>_xlfn.XLOOKUP($A599,Load!$B:$B,Load!J:J,0,)</f>
        <v>0</v>
      </c>
      <c r="J599">
        <f>_xlfn.XLOOKUP($A599,Load!$B:$B,Load!K:K,0,)</f>
        <v>0</v>
      </c>
      <c r="K599">
        <f>_xlfn.XLOOKUP($A599,Load!$B:$B,Load!L:L,0,)</f>
        <v>0</v>
      </c>
      <c r="L599">
        <f>_xlfn.XLOOKUP($A599,Load!$B:$B,Load!M:M,0,)</f>
        <v>0</v>
      </c>
    </row>
    <row r="600" spans="1:12" x14ac:dyDescent="0.25">
      <c r="B600">
        <f>_xlfn.XLOOKUP($A600,Load!$B:$B,Load!C:C,0,)</f>
        <v>0</v>
      </c>
      <c r="C600">
        <f>_xlfn.XLOOKUP($A600,Load!$B:$B,Load!D:D,0,)</f>
        <v>0</v>
      </c>
      <c r="D600">
        <f>_xlfn.XLOOKUP($A600,Load!$B:$B,Load!E:E,0,)</f>
        <v>0</v>
      </c>
      <c r="E600">
        <f>_xlfn.XLOOKUP($A600,Load!$B:$B,Load!F:F,0,)</f>
        <v>0</v>
      </c>
      <c r="F600">
        <f>_xlfn.XLOOKUP($A600,Load!$B:$B,Load!G:G,0,)</f>
        <v>0</v>
      </c>
      <c r="G600">
        <f>_xlfn.XLOOKUP($A600,Load!$B:$B,Load!H:H,0,)</f>
        <v>0</v>
      </c>
      <c r="H600">
        <f>_xlfn.XLOOKUP($A600,Load!$B:$B,Load!I:I,0,)</f>
        <v>0</v>
      </c>
      <c r="I600">
        <f>_xlfn.XLOOKUP($A600,Load!$B:$B,Load!J:J,0,)</f>
        <v>0</v>
      </c>
      <c r="J600">
        <f>_xlfn.XLOOKUP($A600,Load!$B:$B,Load!K:K,0,)</f>
        <v>0</v>
      </c>
      <c r="K600">
        <f>_xlfn.XLOOKUP($A600,Load!$B:$B,Load!L:L,0,)</f>
        <v>0</v>
      </c>
      <c r="L600">
        <f>_xlfn.XLOOKUP($A600,Load!$B:$B,Load!M:M,0,)</f>
        <v>0</v>
      </c>
    </row>
    <row r="601" spans="1:12" x14ac:dyDescent="0.25">
      <c r="B601">
        <f>_xlfn.XLOOKUP($A601,Load!$B:$B,Load!C:C,0,)</f>
        <v>0</v>
      </c>
      <c r="C601">
        <f>_xlfn.XLOOKUP($A601,Load!$B:$B,Load!D:D,0,)</f>
        <v>0</v>
      </c>
      <c r="D601">
        <f>_xlfn.XLOOKUP($A601,Load!$B:$B,Load!E:E,0,)</f>
        <v>0</v>
      </c>
      <c r="E601">
        <f>_xlfn.XLOOKUP($A601,Load!$B:$B,Load!F:F,0,)</f>
        <v>0</v>
      </c>
      <c r="F601">
        <f>_xlfn.XLOOKUP($A601,Load!$B:$B,Load!G:G,0,)</f>
        <v>0</v>
      </c>
      <c r="G601">
        <f>_xlfn.XLOOKUP($A601,Load!$B:$B,Load!H:H,0,)</f>
        <v>0</v>
      </c>
      <c r="H601">
        <f>_xlfn.XLOOKUP($A601,Load!$B:$B,Load!I:I,0,)</f>
        <v>0</v>
      </c>
      <c r="I601">
        <f>_xlfn.XLOOKUP($A601,Load!$B:$B,Load!J:J,0,)</f>
        <v>0</v>
      </c>
      <c r="J601">
        <f>_xlfn.XLOOKUP($A601,Load!$B:$B,Load!K:K,0,)</f>
        <v>0</v>
      </c>
      <c r="K601">
        <f>_xlfn.XLOOKUP($A601,Load!$B:$B,Load!L:L,0,)</f>
        <v>0</v>
      </c>
      <c r="L601">
        <f>_xlfn.XLOOKUP($A601,Load!$B:$B,Load!M:M,0,)</f>
        <v>0</v>
      </c>
    </row>
    <row r="602" spans="1:12" x14ac:dyDescent="0.25">
      <c r="B602">
        <f>_xlfn.XLOOKUP($A602,Load!$B:$B,Load!C:C,0,)</f>
        <v>0</v>
      </c>
      <c r="C602">
        <f>_xlfn.XLOOKUP($A602,Load!$B:$B,Load!D:D,0,)</f>
        <v>0</v>
      </c>
      <c r="D602">
        <f>_xlfn.XLOOKUP($A602,Load!$B:$B,Load!E:E,0,)</f>
        <v>0</v>
      </c>
      <c r="E602">
        <f>_xlfn.XLOOKUP($A602,Load!$B:$B,Load!F:F,0,)</f>
        <v>0</v>
      </c>
      <c r="F602">
        <f>_xlfn.XLOOKUP($A602,Load!$B:$B,Load!G:G,0,)</f>
        <v>0</v>
      </c>
      <c r="G602">
        <f>_xlfn.XLOOKUP($A602,Load!$B:$B,Load!H:H,0,)</f>
        <v>0</v>
      </c>
      <c r="H602">
        <f>_xlfn.XLOOKUP($A602,Load!$B:$B,Load!I:I,0,)</f>
        <v>0</v>
      </c>
      <c r="I602">
        <f>_xlfn.XLOOKUP($A602,Load!$B:$B,Load!J:J,0,)</f>
        <v>0</v>
      </c>
      <c r="J602">
        <f>_xlfn.XLOOKUP($A602,Load!$B:$B,Load!K:K,0,)</f>
        <v>0</v>
      </c>
      <c r="K602">
        <f>_xlfn.XLOOKUP($A602,Load!$B:$B,Load!L:L,0,)</f>
        <v>0</v>
      </c>
      <c r="L602">
        <f>_xlfn.XLOOKUP($A602,Load!$B:$B,Load!M:M,0,)</f>
        <v>0</v>
      </c>
    </row>
    <row r="603" spans="1:12" x14ac:dyDescent="0.25">
      <c r="B603">
        <f>_xlfn.XLOOKUP($A603,Load!$B:$B,Load!C:C,0,)</f>
        <v>0</v>
      </c>
      <c r="C603">
        <f>_xlfn.XLOOKUP($A603,Load!$B:$B,Load!D:D,0,)</f>
        <v>0</v>
      </c>
      <c r="D603">
        <f>_xlfn.XLOOKUP($A603,Load!$B:$B,Load!E:E,0,)</f>
        <v>0</v>
      </c>
      <c r="E603">
        <f>_xlfn.XLOOKUP($A603,Load!$B:$B,Load!F:F,0,)</f>
        <v>0</v>
      </c>
      <c r="F603">
        <f>_xlfn.XLOOKUP($A603,Load!$B:$B,Load!G:G,0,)</f>
        <v>0</v>
      </c>
      <c r="G603">
        <f>_xlfn.XLOOKUP($A603,Load!$B:$B,Load!H:H,0,)</f>
        <v>0</v>
      </c>
      <c r="H603">
        <f>_xlfn.XLOOKUP($A603,Load!$B:$B,Load!I:I,0,)</f>
        <v>0</v>
      </c>
      <c r="I603">
        <f>_xlfn.XLOOKUP($A603,Load!$B:$B,Load!J:J,0,)</f>
        <v>0</v>
      </c>
      <c r="J603">
        <f>_xlfn.XLOOKUP($A603,Load!$B:$B,Load!K:K,0,)</f>
        <v>0</v>
      </c>
      <c r="K603">
        <f>_xlfn.XLOOKUP($A603,Load!$B:$B,Load!L:L,0,)</f>
        <v>0</v>
      </c>
      <c r="L603">
        <f>_xlfn.XLOOKUP($A603,Load!$B:$B,Load!M:M,0,)</f>
        <v>0</v>
      </c>
    </row>
    <row r="604" spans="1:12" x14ac:dyDescent="0.25">
      <c r="A604" t="s">
        <v>251</v>
      </c>
      <c r="B604" t="str">
        <f>_xlfn.XLOOKUP($A604,Load!$B:$B,Load!C:C,0,)</f>
        <v>Shaq-A-Licious</v>
      </c>
      <c r="C604" t="str">
        <f>_xlfn.XLOOKUP($A604,Load!$B:$B,Load!D:D,0,)</f>
        <v>Non-Chocolate Candy Only</v>
      </c>
      <c r="D604" t="str">
        <f>_xlfn.XLOOKUP($A604,Load!$B:$B,Load!E:E,0,)</f>
        <v>Fruit Flavor (Cherry, Grape, Apple, Citrus, Tropical Fruit)</v>
      </c>
      <c r="E604" t="str">
        <f>_xlfn.XLOOKUP($A604,Load!$B:$B,Load!F:F,0,)</f>
        <v>Gummy</v>
      </c>
      <c r="F604" t="str">
        <f>_xlfn.XLOOKUP($A604,Load!$B:$B,Load!G:G,0,)</f>
        <v>Small Multipack (Less than 40 ct)</v>
      </c>
      <c r="G604" t="str">
        <f>_xlfn.XLOOKUP($A604,Load!$B:$B,Load!H:H,0,)</f>
        <v>Laydown Bag</v>
      </c>
      <c r="H604" t="str">
        <f>_xlfn.XLOOKUP($A604,Load!$B:$B,Load!I:I,0,)</f>
        <v>Seasonal Shapes (like pumpkins, candy corn, ghost, bats, etc.)</v>
      </c>
      <c r="I604" t="str">
        <f>_xlfn.XLOOKUP($A604,Load!$B:$B,Load!J:J,0,)</f>
        <v>Seasonal Graphics (Like Bat, Ghost, Pumpkin, Fall Leaves, Eyeballs, etc.)</v>
      </c>
      <c r="J604" t="str">
        <f>_xlfn.XLOOKUP($A604,Load!$B:$B,Load!K:K,0,)</f>
        <v>Fun Size / Treat Size</v>
      </c>
      <c r="K604" t="str">
        <f>_xlfn.XLOOKUP($A604,Load!$B:$B,Load!L:L,0,)</f>
        <v>Regular/Original Wrapping</v>
      </c>
      <c r="L604" t="str">
        <f>_xlfn.XLOOKUP($A604,Load!$B:$B,Load!M:M,0,)</f>
        <v>Single Brand / Variety Flavors or Form</v>
      </c>
    </row>
    <row r="605" spans="1:12" x14ac:dyDescent="0.25">
      <c r="A605" t="s">
        <v>124</v>
      </c>
      <c r="B605" t="str">
        <f>_xlfn.XLOOKUP($A605,Load!$B:$B,Load!C:C,0,)</f>
        <v>HARIBO</v>
      </c>
      <c r="C605" t="str">
        <f>_xlfn.XLOOKUP($A605,Load!$B:$B,Load!D:D,0,)</f>
        <v>Non-Chocolate Candy Only</v>
      </c>
      <c r="D605" t="str">
        <f>_xlfn.XLOOKUP($A605,Load!$B:$B,Load!E:E,0,)</f>
        <v>Fruit Flavor (Cherry, Grape, Apple, Citrus, Tropical Fruit)</v>
      </c>
      <c r="E605" t="str">
        <f>_xlfn.XLOOKUP($A605,Load!$B:$B,Load!F:F,0,)</f>
        <v>Gummy</v>
      </c>
      <c r="F605" t="str">
        <f>_xlfn.XLOOKUP($A605,Load!$B:$B,Load!G:G,0,)</f>
        <v>Small Multipack (Less than 40 ct)</v>
      </c>
      <c r="G605" t="str">
        <f>_xlfn.XLOOKUP($A605,Load!$B:$B,Load!H:H,0,)</f>
        <v>Laydown Bag</v>
      </c>
      <c r="H605" t="str">
        <f>_xlfn.XLOOKUP($A605,Load!$B:$B,Load!I:I,0,)</f>
        <v>Everyday Candy Shapes (like Original, Gummy bear, Fruit, Jewels, etc.)</v>
      </c>
      <c r="I605" t="str">
        <f>_xlfn.XLOOKUP($A605,Load!$B:$B,Load!J:J,0,)</f>
        <v>Everyday Graphics</v>
      </c>
      <c r="J605" t="str">
        <f>_xlfn.XLOOKUP($A605,Load!$B:$B,Load!K:K,0,)</f>
        <v>Small Pieces (Tiny bite size candies)</v>
      </c>
      <c r="K605" t="str">
        <f>_xlfn.XLOOKUP($A605,Load!$B:$B,Load!L:L,0,)</f>
        <v>Regular/Original Wrapping</v>
      </c>
      <c r="L605" t="str">
        <f>_xlfn.XLOOKUP($A605,Load!$B:$B,Load!M:M,0,)</f>
        <v>Single Brand / Variety Flavors or Form</v>
      </c>
    </row>
    <row r="606" spans="1:12" x14ac:dyDescent="0.25">
      <c r="B606">
        <f>_xlfn.XLOOKUP($A606,Load!$B:$B,Load!C:C,0,)</f>
        <v>0</v>
      </c>
      <c r="C606">
        <f>_xlfn.XLOOKUP($A606,Load!$B:$B,Load!D:D,0,)</f>
        <v>0</v>
      </c>
      <c r="D606">
        <f>_xlfn.XLOOKUP($A606,Load!$B:$B,Load!E:E,0,)</f>
        <v>0</v>
      </c>
      <c r="E606">
        <f>_xlfn.XLOOKUP($A606,Load!$B:$B,Load!F:F,0,)</f>
        <v>0</v>
      </c>
      <c r="F606">
        <f>_xlfn.XLOOKUP($A606,Load!$B:$B,Load!G:G,0,)</f>
        <v>0</v>
      </c>
      <c r="G606">
        <f>_xlfn.XLOOKUP($A606,Load!$B:$B,Load!H:H,0,)</f>
        <v>0</v>
      </c>
      <c r="H606">
        <f>_xlfn.XLOOKUP($A606,Load!$B:$B,Load!I:I,0,)</f>
        <v>0</v>
      </c>
      <c r="I606">
        <f>_xlfn.XLOOKUP($A606,Load!$B:$B,Load!J:J,0,)</f>
        <v>0</v>
      </c>
      <c r="J606">
        <f>_xlfn.XLOOKUP($A606,Load!$B:$B,Load!K:K,0,)</f>
        <v>0</v>
      </c>
      <c r="K606">
        <f>_xlfn.XLOOKUP($A606,Load!$B:$B,Load!L:L,0,)</f>
        <v>0</v>
      </c>
      <c r="L606">
        <f>_xlfn.XLOOKUP($A606,Load!$B:$B,Load!M:M,0,)</f>
        <v>0</v>
      </c>
    </row>
    <row r="607" spans="1:12" x14ac:dyDescent="0.25">
      <c r="B607">
        <f>_xlfn.XLOOKUP($A607,Load!$B:$B,Load!C:C,0,)</f>
        <v>0</v>
      </c>
      <c r="C607">
        <f>_xlfn.XLOOKUP($A607,Load!$B:$B,Load!D:D,0,)</f>
        <v>0</v>
      </c>
      <c r="D607">
        <f>_xlfn.XLOOKUP($A607,Load!$B:$B,Load!E:E,0,)</f>
        <v>0</v>
      </c>
      <c r="E607">
        <f>_xlfn.XLOOKUP($A607,Load!$B:$B,Load!F:F,0,)</f>
        <v>0</v>
      </c>
      <c r="F607">
        <f>_xlfn.XLOOKUP($A607,Load!$B:$B,Load!G:G,0,)</f>
        <v>0</v>
      </c>
      <c r="G607">
        <f>_xlfn.XLOOKUP($A607,Load!$B:$B,Load!H:H,0,)</f>
        <v>0</v>
      </c>
      <c r="H607">
        <f>_xlfn.XLOOKUP($A607,Load!$B:$B,Load!I:I,0,)</f>
        <v>0</v>
      </c>
      <c r="I607">
        <f>_xlfn.XLOOKUP($A607,Load!$B:$B,Load!J:J,0,)</f>
        <v>0</v>
      </c>
      <c r="J607">
        <f>_xlfn.XLOOKUP($A607,Load!$B:$B,Load!K:K,0,)</f>
        <v>0</v>
      </c>
      <c r="K607">
        <f>_xlfn.XLOOKUP($A607,Load!$B:$B,Load!L:L,0,)</f>
        <v>0</v>
      </c>
      <c r="L607">
        <f>_xlfn.XLOOKUP($A607,Load!$B:$B,Load!M:M,0,)</f>
        <v>0</v>
      </c>
    </row>
    <row r="608" spans="1:12" x14ac:dyDescent="0.25">
      <c r="A608" t="s">
        <v>214</v>
      </c>
      <c r="B608" t="str">
        <f>_xlfn.XLOOKUP($A608,Load!$B:$B,Load!C:C,0,)</f>
        <v>Mars Variety Pack</v>
      </c>
      <c r="C608" t="str">
        <f>_xlfn.XLOOKUP($A608,Load!$B:$B,Load!D:D,0,)</f>
        <v>Mix of Chocolate and Non-Chocolate Candy</v>
      </c>
      <c r="D608" t="str">
        <f>_xlfn.XLOOKUP($A608,Load!$B:$B,Load!E:E,0,)</f>
        <v>Variety / Mixed Flavors (Fruity, Sour, Seasonal Flavors)</v>
      </c>
      <c r="E608" t="str">
        <f>_xlfn.XLOOKUP($A608,Load!$B:$B,Load!F:F,0,)</f>
        <v>Mixed / Combo Packs (Gummy, Chewy, Taffy, etc.)</v>
      </c>
      <c r="F608" t="str">
        <f>_xlfn.XLOOKUP($A608,Load!$B:$B,Load!G:G,0,)</f>
        <v>Large Multipack (More than 80 ct)</v>
      </c>
      <c r="G608" t="str">
        <f>_xlfn.XLOOKUP($A608,Load!$B:$B,Load!H:H,0,)</f>
        <v>Stand-Up Bag</v>
      </c>
      <c r="H608" t="str">
        <f>_xlfn.XLOOKUP($A608,Load!$B:$B,Load!I:I,0,)</f>
        <v>Everyday Candy Shapes (like Original, Gummy bear, Fruit, Jewels, etc.)</v>
      </c>
      <c r="I608" t="str">
        <f>_xlfn.XLOOKUP($A608,Load!$B:$B,Load!J:J,0,)</f>
        <v>Seasonal Graphics (Like Bat, Ghost, Pumpkin, Fall Leaves, Eyeballs, etc.)</v>
      </c>
      <c r="J608" t="str">
        <f>_xlfn.XLOOKUP($A608,Load!$B:$B,Load!K:K,0,)</f>
        <v>Fun Size / Treat Size</v>
      </c>
      <c r="K608" t="str">
        <f>_xlfn.XLOOKUP($A608,Load!$B:$B,Load!L:L,0,)</f>
        <v>Regular/Original Wrapping</v>
      </c>
      <c r="L608" t="str">
        <f>_xlfn.XLOOKUP($A608,Load!$B:$B,Load!M:M,0,)</f>
        <v>Multiple Brands / Variety Flavors or Form</v>
      </c>
    </row>
    <row r="609" spans="1:12" x14ac:dyDescent="0.25">
      <c r="A609" t="s">
        <v>96</v>
      </c>
      <c r="B609" t="str">
        <f>_xlfn.XLOOKUP($A609,Load!$B:$B,Load!C:C,0,)</f>
        <v>Ferrero Variety Pack</v>
      </c>
      <c r="C609" t="str">
        <f>_xlfn.XLOOKUP($A609,Load!$B:$B,Load!D:D,0,)</f>
        <v>Mix of Chocolate and Non-Chocolate Candy</v>
      </c>
      <c r="D609" t="str">
        <f>_xlfn.XLOOKUP($A609,Load!$B:$B,Load!E:E,0,)</f>
        <v>Variety / Mixed Flavors (Fruity, Sour, Seasonal Flavors)</v>
      </c>
      <c r="E609" t="str">
        <f>_xlfn.XLOOKUP($A609,Load!$B:$B,Load!F:F,0,)</f>
        <v>Mixed / Combo Packs (Gummy, Chewy, Taffy, etc.)</v>
      </c>
      <c r="F609" t="str">
        <f>_xlfn.XLOOKUP($A609,Load!$B:$B,Load!G:G,0,)</f>
        <v>Large Multipack (More than 80 ct)</v>
      </c>
      <c r="G609" t="str">
        <f>_xlfn.XLOOKUP($A609,Load!$B:$B,Load!H:H,0,)</f>
        <v>Stand-Up Bag</v>
      </c>
      <c r="H609" t="str">
        <f>_xlfn.XLOOKUP($A609,Load!$B:$B,Load!I:I,0,)</f>
        <v>Everyday Candy Shapes (like Original, Gummy bear, Fruit, Jewels, etc.)</v>
      </c>
      <c r="I609" t="str">
        <f>_xlfn.XLOOKUP($A609,Load!$B:$B,Load!J:J,0,)</f>
        <v>Seasonal Graphics (Like Bat, Ghost, Pumpkin, Fall Leaves, Eyeballs, etc.)</v>
      </c>
      <c r="J609" t="str">
        <f>_xlfn.XLOOKUP($A609,Load!$B:$B,Load!K:K,0,)</f>
        <v>Fun Size / Treat Size</v>
      </c>
      <c r="K609" t="str">
        <f>_xlfn.XLOOKUP($A609,Load!$B:$B,Load!L:L,0,)</f>
        <v>Regular/Original Wrapping</v>
      </c>
      <c r="L609" t="str">
        <f>_xlfn.XLOOKUP($A609,Load!$B:$B,Load!M:M,0,)</f>
        <v>Multiple Brands / Variety Flavors or Form</v>
      </c>
    </row>
    <row r="610" spans="1:12" x14ac:dyDescent="0.25">
      <c r="A610" t="s">
        <v>224</v>
      </c>
      <c r="B610" t="str">
        <f>_xlfn.XLOOKUP($A610,Load!$B:$B,Load!C:C,0,)</f>
        <v>Nerds</v>
      </c>
      <c r="C610" t="str">
        <f>_xlfn.XLOOKUP($A610,Load!$B:$B,Load!D:D,0,)</f>
        <v>Non-Chocolate Candy Only</v>
      </c>
      <c r="D610" t="str">
        <f>_xlfn.XLOOKUP($A610,Load!$B:$B,Load!E:E,0,)</f>
        <v>Sweet</v>
      </c>
      <c r="E610" t="str">
        <f>_xlfn.XLOOKUP($A610,Load!$B:$B,Load!F:F,0,)</f>
        <v>Mixed / Combo Packs (Gummy, Chewy, Taffy, etc.)</v>
      </c>
      <c r="F610" t="str">
        <f>_xlfn.XLOOKUP($A610,Load!$B:$B,Load!G:G,0,)</f>
        <v>Medium Multipack (40–80 ct)</v>
      </c>
      <c r="G610" t="str">
        <f>_xlfn.XLOOKUP($A610,Load!$B:$B,Load!H:H,0,)</f>
        <v>Stand-Up Bag</v>
      </c>
      <c r="H610" t="str">
        <f>_xlfn.XLOOKUP($A610,Load!$B:$B,Load!I:I,0,)</f>
        <v>Everyday Candy Shapes (like Original, Gummy bear, Fruit, Jewels, etc.)</v>
      </c>
      <c r="I610" t="str">
        <f>_xlfn.XLOOKUP($A610,Load!$B:$B,Load!J:J,0,)</f>
        <v>Seasonal Graphics (Like Bat, Ghost, Pumpkin, Fall Leaves, Eyeballs, etc.)</v>
      </c>
      <c r="J610" t="str">
        <f>_xlfn.XLOOKUP($A610,Load!$B:$B,Load!K:K,0,)</f>
        <v xml:space="preserve">Variety Candy Sizes </v>
      </c>
      <c r="K610" t="str">
        <f>_xlfn.XLOOKUP($A610,Load!$B:$B,Load!L:L,0,)</f>
        <v>Regular/Original Wrapping</v>
      </c>
      <c r="L610" t="str">
        <f>_xlfn.XLOOKUP($A610,Load!$B:$B,Load!M:M,0,)</f>
        <v>Single Brand / Variety Flavors or Form</v>
      </c>
    </row>
    <row r="611" spans="1:12" x14ac:dyDescent="0.25">
      <c r="B611">
        <f>_xlfn.XLOOKUP($A611,Load!$B:$B,Load!C:C,0,)</f>
        <v>0</v>
      </c>
      <c r="C611">
        <f>_xlfn.XLOOKUP($A611,Load!$B:$B,Load!D:D,0,)</f>
        <v>0</v>
      </c>
      <c r="D611">
        <f>_xlfn.XLOOKUP($A611,Load!$B:$B,Load!E:E,0,)</f>
        <v>0</v>
      </c>
      <c r="E611">
        <f>_xlfn.XLOOKUP($A611,Load!$B:$B,Load!F:F,0,)</f>
        <v>0</v>
      </c>
      <c r="F611">
        <f>_xlfn.XLOOKUP($A611,Load!$B:$B,Load!G:G,0,)</f>
        <v>0</v>
      </c>
      <c r="G611">
        <f>_xlfn.XLOOKUP($A611,Load!$B:$B,Load!H:H,0,)</f>
        <v>0</v>
      </c>
      <c r="H611">
        <f>_xlfn.XLOOKUP($A611,Load!$B:$B,Load!I:I,0,)</f>
        <v>0</v>
      </c>
      <c r="I611">
        <f>_xlfn.XLOOKUP($A611,Load!$B:$B,Load!J:J,0,)</f>
        <v>0</v>
      </c>
      <c r="J611">
        <f>_xlfn.XLOOKUP($A611,Load!$B:$B,Load!K:K,0,)</f>
        <v>0</v>
      </c>
      <c r="K611">
        <f>_xlfn.XLOOKUP($A611,Load!$B:$B,Load!L:L,0,)</f>
        <v>0</v>
      </c>
      <c r="L611">
        <f>_xlfn.XLOOKUP($A611,Load!$B:$B,Load!M:M,0,)</f>
        <v>0</v>
      </c>
    </row>
    <row r="612" spans="1:12" x14ac:dyDescent="0.25">
      <c r="A612" t="s">
        <v>463</v>
      </c>
      <c r="B612" t="str">
        <f>_xlfn.XLOOKUP($A612,Load!$B:$B,Load!C:C,0,)</f>
        <v>Mars Variety Pack</v>
      </c>
      <c r="C612" t="str">
        <f>_xlfn.XLOOKUP($A612,Load!$B:$B,Load!D:D,0,)</f>
        <v>Mix of Chocolate and Non-Chocolate Candy</v>
      </c>
      <c r="D612" t="str">
        <f>_xlfn.XLOOKUP($A612,Load!$B:$B,Load!E:E,0,)</f>
        <v>Variety / Mixed Flavors (Fruity, Sour, Seasonal Flavors)</v>
      </c>
      <c r="E612" t="str">
        <f>_xlfn.XLOOKUP($A612,Load!$B:$B,Load!F:F,0,)</f>
        <v>Mixed / Combo Packs (Gummy, Chewy, Taffy, etc.)</v>
      </c>
      <c r="F612" t="str">
        <f>_xlfn.XLOOKUP($A612,Load!$B:$B,Load!G:G,0,)</f>
        <v>Medium Multipack (40–80 ct)</v>
      </c>
      <c r="G612" t="str">
        <f>_xlfn.XLOOKUP($A612,Load!$B:$B,Load!H:H,0,)</f>
        <v>Stand-Up Bag</v>
      </c>
      <c r="H612" t="str">
        <f>_xlfn.XLOOKUP($A612,Load!$B:$B,Load!I:I,0,)</f>
        <v>Everyday Candy Shapes (like Original, Gummy bear, Fruit, Jewels, etc.)</v>
      </c>
      <c r="I612" t="str">
        <f>_xlfn.XLOOKUP($A612,Load!$B:$B,Load!J:J,0,)</f>
        <v>Seasonal Graphics (Like Bat, Ghost, Pumpkin, Fall Leaves, Eyeballs, etc.)</v>
      </c>
      <c r="J612" t="str">
        <f>_xlfn.XLOOKUP($A612,Load!$B:$B,Load!K:K,0,)</f>
        <v>Fun Size / Treat Size</v>
      </c>
      <c r="K612" t="str">
        <f>_xlfn.XLOOKUP($A612,Load!$B:$B,Load!L:L,0,)</f>
        <v>Regular/Original Wrapping</v>
      </c>
      <c r="L612" t="str">
        <f>_xlfn.XLOOKUP($A612,Load!$B:$B,Load!M:M,0,)</f>
        <v>Multiple Brands / Variety Flavors or Form</v>
      </c>
    </row>
    <row r="613" spans="1:12" x14ac:dyDescent="0.25">
      <c r="A613" t="s">
        <v>179</v>
      </c>
      <c r="B613" t="str">
        <f>_xlfn.XLOOKUP($A613,Load!$B:$B,Load!C:C,0,)</f>
        <v>Mars Variety Pack</v>
      </c>
      <c r="C613" t="str">
        <f>_xlfn.XLOOKUP($A613,Load!$B:$B,Load!D:D,0,)</f>
        <v>Non-Chocolate Candy Only</v>
      </c>
      <c r="D613" t="str">
        <f>_xlfn.XLOOKUP($A613,Load!$B:$B,Load!E:E,0,)</f>
        <v>Variety / Mixed Flavors (Fruity, Sour, Seasonal Flavors)</v>
      </c>
      <c r="E613" t="str">
        <f>_xlfn.XLOOKUP($A613,Load!$B:$B,Load!F:F,0,)</f>
        <v>Mixed / Combo Packs (Gummy, Chewy, Taffy, etc.)</v>
      </c>
      <c r="F613" t="str">
        <f>_xlfn.XLOOKUP($A613,Load!$B:$B,Load!G:G,0,)</f>
        <v>Medium Multipack (40–80 ct)</v>
      </c>
      <c r="G613" t="str">
        <f>_xlfn.XLOOKUP($A613,Load!$B:$B,Load!H:H,0,)</f>
        <v>Stand-Up Bag</v>
      </c>
      <c r="H613" t="str">
        <f>_xlfn.XLOOKUP($A613,Load!$B:$B,Load!I:I,0,)</f>
        <v>Everyday Candy Shapes (like Original, Gummy bear, Fruit, Jewels, etc.)</v>
      </c>
      <c r="I613" t="str">
        <f>_xlfn.XLOOKUP($A613,Load!$B:$B,Load!J:J,0,)</f>
        <v>Seasonal Graphics (Like Bat, Ghost, Pumpkin, Fall Leaves, Eyeballs, etc.)</v>
      </c>
      <c r="J613" t="str">
        <f>_xlfn.XLOOKUP($A613,Load!$B:$B,Load!K:K,0,)</f>
        <v>Fun Size / Treat Size</v>
      </c>
      <c r="K613" t="str">
        <f>_xlfn.XLOOKUP($A613,Load!$B:$B,Load!L:L,0,)</f>
        <v>Regular/Original Wrapping</v>
      </c>
      <c r="L613" t="str">
        <f>_xlfn.XLOOKUP($A613,Load!$B:$B,Load!M:M,0,)</f>
        <v>Multiple Brands / Variety Flavors or Form</v>
      </c>
    </row>
    <row r="614" spans="1:12" x14ac:dyDescent="0.25">
      <c r="A614" t="s">
        <v>226</v>
      </c>
      <c r="B614" t="str">
        <f>_xlfn.XLOOKUP($A614,Load!$B:$B,Load!C:C,0,)</f>
        <v>Nerds</v>
      </c>
      <c r="C614" t="str">
        <f>_xlfn.XLOOKUP($A614,Load!$B:$B,Load!D:D,0,)</f>
        <v>Non-Chocolate Candy Only</v>
      </c>
      <c r="D614" t="str">
        <f>_xlfn.XLOOKUP($A614,Load!$B:$B,Load!E:E,0,)</f>
        <v>Sweet</v>
      </c>
      <c r="E614" t="str">
        <f>_xlfn.XLOOKUP($A614,Load!$B:$B,Load!F:F,0,)</f>
        <v>Gummy</v>
      </c>
      <c r="F614" t="str">
        <f>_xlfn.XLOOKUP($A614,Load!$B:$B,Load!G:G,0,)</f>
        <v>Single Pack</v>
      </c>
      <c r="G614" t="str">
        <f>_xlfn.XLOOKUP($A614,Load!$B:$B,Load!H:H,0,)</f>
        <v>Laydown Bag</v>
      </c>
      <c r="H614" t="str">
        <f>_xlfn.XLOOKUP($A614,Load!$B:$B,Load!I:I,0,)</f>
        <v>Seasonal Shapes (like pumpkins, candy corn, ghost, bats, etc.)</v>
      </c>
      <c r="I614" t="str">
        <f>_xlfn.XLOOKUP($A614,Load!$B:$B,Load!J:J,0,)</f>
        <v>Seasonal Graphics (Like Bat, Ghost, Pumpkin, Fall Leaves, Eyeballs, etc.)</v>
      </c>
      <c r="J614" t="str">
        <f>_xlfn.XLOOKUP($A614,Load!$B:$B,Load!K:K,0,)</f>
        <v>Fun Size / Treat Size</v>
      </c>
      <c r="K614" t="str">
        <f>_xlfn.XLOOKUP($A614,Load!$B:$B,Load!L:L,0,)</f>
        <v>Unwrapped</v>
      </c>
      <c r="L614" t="str">
        <f>_xlfn.XLOOKUP($A614,Load!$B:$B,Load!M:M,0,)</f>
        <v>Single Brand / Single Flavor or Form</v>
      </c>
    </row>
    <row r="615" spans="1:12" x14ac:dyDescent="0.25">
      <c r="B615">
        <f>_xlfn.XLOOKUP($A615,Load!$B:$B,Load!C:C,0,)</f>
        <v>0</v>
      </c>
      <c r="C615">
        <f>_xlfn.XLOOKUP($A615,Load!$B:$B,Load!D:D,0,)</f>
        <v>0</v>
      </c>
      <c r="D615">
        <f>_xlfn.XLOOKUP($A615,Load!$B:$B,Load!E:E,0,)</f>
        <v>0</v>
      </c>
      <c r="E615">
        <f>_xlfn.XLOOKUP($A615,Load!$B:$B,Load!F:F,0,)</f>
        <v>0</v>
      </c>
      <c r="F615">
        <f>_xlfn.XLOOKUP($A615,Load!$B:$B,Load!G:G,0,)</f>
        <v>0</v>
      </c>
      <c r="G615">
        <f>_xlfn.XLOOKUP($A615,Load!$B:$B,Load!H:H,0,)</f>
        <v>0</v>
      </c>
      <c r="H615">
        <f>_xlfn.XLOOKUP($A615,Load!$B:$B,Load!I:I,0,)</f>
        <v>0</v>
      </c>
      <c r="I615">
        <f>_xlfn.XLOOKUP($A615,Load!$B:$B,Load!J:J,0,)</f>
        <v>0</v>
      </c>
      <c r="J615">
        <f>_xlfn.XLOOKUP($A615,Load!$B:$B,Load!K:K,0,)</f>
        <v>0</v>
      </c>
      <c r="K615">
        <f>_xlfn.XLOOKUP($A615,Load!$B:$B,Load!L:L,0,)</f>
        <v>0</v>
      </c>
      <c r="L615">
        <f>_xlfn.XLOOKUP($A615,Load!$B:$B,Load!M:M,0,)</f>
        <v>0</v>
      </c>
    </row>
    <row r="616" spans="1:12" x14ac:dyDescent="0.25">
      <c r="A616" t="s">
        <v>234</v>
      </c>
      <c r="B616" t="str">
        <f>_xlfn.XLOOKUP($A616,Load!$B:$B,Load!C:C,0,)</f>
        <v>Nerds</v>
      </c>
      <c r="C616" t="str">
        <f>_xlfn.XLOOKUP($A616,Load!$B:$B,Load!D:D,0,)</f>
        <v>Non-Chocolate Candy Only</v>
      </c>
      <c r="D616" t="str">
        <f>_xlfn.XLOOKUP($A616,Load!$B:$B,Load!E:E,0,)</f>
        <v>Variety / Mixed Flavors (Fruity, Sour, Seasonal Flavors)</v>
      </c>
      <c r="E616" t="str">
        <f>_xlfn.XLOOKUP($A616,Load!$B:$B,Load!F:F,0,)</f>
        <v>Mixed / Combo Packs (Gummy, Chewy, Taffy, etc.)</v>
      </c>
      <c r="F616" t="str">
        <f>_xlfn.XLOOKUP($A616,Load!$B:$B,Load!G:G,0,)</f>
        <v>Large Multipack (More than 80 ct)</v>
      </c>
      <c r="G616" t="str">
        <f>_xlfn.XLOOKUP($A616,Load!$B:$B,Load!H:H,0,)</f>
        <v>Stand-Up Bag</v>
      </c>
      <c r="H616" t="str">
        <f>_xlfn.XLOOKUP($A616,Load!$B:$B,Load!I:I,0,)</f>
        <v>Everyday Candy Shapes (like Original, Gummy bear, Fruit, Jewels, etc.)</v>
      </c>
      <c r="I616" t="str">
        <f>_xlfn.XLOOKUP($A616,Load!$B:$B,Load!J:J,0,)</f>
        <v>Everyday Graphics</v>
      </c>
      <c r="J616" t="str">
        <f>_xlfn.XLOOKUP($A616,Load!$B:$B,Load!K:K,0,)</f>
        <v>Fun Size / Treat Size</v>
      </c>
      <c r="K616" t="str">
        <f>_xlfn.XLOOKUP($A616,Load!$B:$B,Load!L:L,0,)</f>
        <v>Regular/Original Wrapping</v>
      </c>
      <c r="L616" t="str">
        <f>_xlfn.XLOOKUP($A616,Load!$B:$B,Load!M:M,0,)</f>
        <v>Single Brand / Variety Flavors or Form</v>
      </c>
    </row>
    <row r="617" spans="1:12" x14ac:dyDescent="0.25">
      <c r="B617">
        <f>_xlfn.XLOOKUP($A617,Load!$B:$B,Load!C:C,0,)</f>
        <v>0</v>
      </c>
      <c r="C617">
        <f>_xlfn.XLOOKUP($A617,Load!$B:$B,Load!D:D,0,)</f>
        <v>0</v>
      </c>
      <c r="D617">
        <f>_xlfn.XLOOKUP($A617,Load!$B:$B,Load!E:E,0,)</f>
        <v>0</v>
      </c>
      <c r="E617">
        <f>_xlfn.XLOOKUP($A617,Load!$B:$B,Load!F:F,0,)</f>
        <v>0</v>
      </c>
      <c r="F617">
        <f>_xlfn.XLOOKUP($A617,Load!$B:$B,Load!G:G,0,)</f>
        <v>0</v>
      </c>
      <c r="G617">
        <f>_xlfn.XLOOKUP($A617,Load!$B:$B,Load!H:H,0,)</f>
        <v>0</v>
      </c>
      <c r="H617">
        <f>_xlfn.XLOOKUP($A617,Load!$B:$B,Load!I:I,0,)</f>
        <v>0</v>
      </c>
      <c r="I617">
        <f>_xlfn.XLOOKUP($A617,Load!$B:$B,Load!J:J,0,)</f>
        <v>0</v>
      </c>
      <c r="J617">
        <f>_xlfn.XLOOKUP($A617,Load!$B:$B,Load!K:K,0,)</f>
        <v>0</v>
      </c>
      <c r="K617">
        <f>_xlfn.XLOOKUP($A617,Load!$B:$B,Load!L:L,0,)</f>
        <v>0</v>
      </c>
      <c r="L617">
        <f>_xlfn.XLOOKUP($A617,Load!$B:$B,Load!M:M,0,)</f>
        <v>0</v>
      </c>
    </row>
    <row r="618" spans="1:12" x14ac:dyDescent="0.25">
      <c r="A618" t="s">
        <v>287</v>
      </c>
      <c r="B618" t="str">
        <f>_xlfn.XLOOKUP($A618,Load!$B:$B,Load!C:C,0,)</f>
        <v>SweeTARTS</v>
      </c>
      <c r="C618" t="str">
        <f>_xlfn.XLOOKUP($A618,Load!$B:$B,Load!D:D,0,)</f>
        <v>Non-Chocolate Candy Only</v>
      </c>
      <c r="D618" t="str">
        <f>_xlfn.XLOOKUP($A618,Load!$B:$B,Load!E:E,0,)</f>
        <v>Berry Based (Raspberry, Strawberry, Medley, etc.)</v>
      </c>
      <c r="E618" t="str">
        <f>_xlfn.XLOOKUP($A618,Load!$B:$B,Load!F:F,0,)</f>
        <v>Chewy</v>
      </c>
      <c r="F618" t="str">
        <f>_xlfn.XLOOKUP($A618,Load!$B:$B,Load!G:G,0,)</f>
        <v>Small Multipack (Less than 40 ct)</v>
      </c>
      <c r="G618" t="str">
        <f>_xlfn.XLOOKUP($A618,Load!$B:$B,Load!H:H,0,)</f>
        <v>Laydown Bag</v>
      </c>
      <c r="H618" t="str">
        <f>_xlfn.XLOOKUP($A618,Load!$B:$B,Load!I:I,0,)</f>
        <v>Everyday Candy Shapes (like Original, Gummy bear, Fruit, Jewels, etc.)</v>
      </c>
      <c r="I618" t="str">
        <f>_xlfn.XLOOKUP($A618,Load!$B:$B,Load!J:J,0,)</f>
        <v>Everyday Graphics</v>
      </c>
      <c r="J618" t="str">
        <f>_xlfn.XLOOKUP($A618,Load!$B:$B,Load!K:K,0,)</f>
        <v>Fun Size / Treat Size</v>
      </c>
      <c r="K618" t="str">
        <f>_xlfn.XLOOKUP($A618,Load!$B:$B,Load!L:L,0,)</f>
        <v>Unwrapped</v>
      </c>
      <c r="L618" t="str">
        <f>_xlfn.XLOOKUP($A618,Load!$B:$B,Load!M:M,0,)</f>
        <v>Single Brand / Single Flavor or Form</v>
      </c>
    </row>
    <row r="619" spans="1:12" x14ac:dyDescent="0.25">
      <c r="A619" t="s">
        <v>472</v>
      </c>
      <c r="B619" t="str">
        <f>_xlfn.XLOOKUP($A619,Load!$B:$B,Load!C:C,0,)</f>
        <v>SweeTARTS</v>
      </c>
      <c r="C619" t="str">
        <f>_xlfn.XLOOKUP($A619,Load!$B:$B,Load!D:D,0,)</f>
        <v>Non-Chocolate Candy Only</v>
      </c>
      <c r="D619" t="str">
        <f>_xlfn.XLOOKUP($A619,Load!$B:$B,Load!E:E,0,)</f>
        <v>Fruit Flavor (Cherry, Grape, Apple, Citrus, Tropical Fruit)</v>
      </c>
      <c r="E619" t="str">
        <f>_xlfn.XLOOKUP($A619,Load!$B:$B,Load!F:F,0,)</f>
        <v>Chewy</v>
      </c>
      <c r="F619" t="str">
        <f>_xlfn.XLOOKUP($A619,Load!$B:$B,Load!G:G,0,)</f>
        <v>Small Multipack (Less than 40 ct)</v>
      </c>
      <c r="G619" t="str">
        <f>_xlfn.XLOOKUP($A619,Load!$B:$B,Load!H:H,0,)</f>
        <v>Laydown Bag</v>
      </c>
      <c r="H619" t="str">
        <f>_xlfn.XLOOKUP($A619,Load!$B:$B,Load!I:I,0,)</f>
        <v>Everyday Candy Shapes (like Original, Gummy bear, Fruit, Jewels, etc.)</v>
      </c>
      <c r="I619" t="str">
        <f>_xlfn.XLOOKUP($A619,Load!$B:$B,Load!J:J,0,)</f>
        <v>Everyday Graphics</v>
      </c>
      <c r="J619" t="str">
        <f>_xlfn.XLOOKUP($A619,Load!$B:$B,Load!K:K,0,)</f>
        <v>Small Pieces (Tiny bite size candies)</v>
      </c>
      <c r="K619" t="str">
        <f>_xlfn.XLOOKUP($A619,Load!$B:$B,Load!L:L,0,)</f>
        <v>unwrapped</v>
      </c>
      <c r="L619" t="str">
        <f>_xlfn.XLOOKUP($A619,Load!$B:$B,Load!M:M,0,)</f>
        <v>Single Brand / Single Flavor or Form</v>
      </c>
    </row>
    <row r="620" spans="1:12" x14ac:dyDescent="0.25">
      <c r="B620">
        <f>_xlfn.XLOOKUP($A620,Load!$B:$B,Load!C:C,0,)</f>
        <v>0</v>
      </c>
      <c r="C620">
        <f>_xlfn.XLOOKUP($A620,Load!$B:$B,Load!D:D,0,)</f>
        <v>0</v>
      </c>
      <c r="D620">
        <f>_xlfn.XLOOKUP($A620,Load!$B:$B,Load!E:E,0,)</f>
        <v>0</v>
      </c>
      <c r="E620">
        <f>_xlfn.XLOOKUP($A620,Load!$B:$B,Load!F:F,0,)</f>
        <v>0</v>
      </c>
      <c r="F620">
        <f>_xlfn.XLOOKUP($A620,Load!$B:$B,Load!G:G,0,)</f>
        <v>0</v>
      </c>
      <c r="G620">
        <f>_xlfn.XLOOKUP($A620,Load!$B:$B,Load!H:H,0,)</f>
        <v>0</v>
      </c>
      <c r="H620">
        <f>_xlfn.XLOOKUP($A620,Load!$B:$B,Load!I:I,0,)</f>
        <v>0</v>
      </c>
      <c r="I620">
        <f>_xlfn.XLOOKUP($A620,Load!$B:$B,Load!J:J,0,)</f>
        <v>0</v>
      </c>
      <c r="J620">
        <f>_xlfn.XLOOKUP($A620,Load!$B:$B,Load!K:K,0,)</f>
        <v>0</v>
      </c>
      <c r="K620">
        <f>_xlfn.XLOOKUP($A620,Load!$B:$B,Load!L:L,0,)</f>
        <v>0</v>
      </c>
      <c r="L620">
        <f>_xlfn.XLOOKUP($A620,Load!$B:$B,Load!M:M,0,)</f>
        <v>0</v>
      </c>
    </row>
    <row r="621" spans="1:12" x14ac:dyDescent="0.25">
      <c r="B621">
        <f>_xlfn.XLOOKUP($A621,Load!$B:$B,Load!C:C,0,)</f>
        <v>0</v>
      </c>
      <c r="C621">
        <f>_xlfn.XLOOKUP($A621,Load!$B:$B,Load!D:D,0,)</f>
        <v>0</v>
      </c>
      <c r="D621">
        <f>_xlfn.XLOOKUP($A621,Load!$B:$B,Load!E:E,0,)</f>
        <v>0</v>
      </c>
      <c r="E621">
        <f>_xlfn.XLOOKUP($A621,Load!$B:$B,Load!F:F,0,)</f>
        <v>0</v>
      </c>
      <c r="F621">
        <f>_xlfn.XLOOKUP($A621,Load!$B:$B,Load!G:G,0,)</f>
        <v>0</v>
      </c>
      <c r="G621">
        <f>_xlfn.XLOOKUP($A621,Load!$B:$B,Load!H:H,0,)</f>
        <v>0</v>
      </c>
      <c r="H621">
        <f>_xlfn.XLOOKUP($A621,Load!$B:$B,Load!I:I,0,)</f>
        <v>0</v>
      </c>
      <c r="I621">
        <f>_xlfn.XLOOKUP($A621,Load!$B:$B,Load!J:J,0,)</f>
        <v>0</v>
      </c>
      <c r="J621">
        <f>_xlfn.XLOOKUP($A621,Load!$B:$B,Load!K:K,0,)</f>
        <v>0</v>
      </c>
      <c r="K621">
        <f>_xlfn.XLOOKUP($A621,Load!$B:$B,Load!L:L,0,)</f>
        <v>0</v>
      </c>
      <c r="L621">
        <f>_xlfn.XLOOKUP($A621,Load!$B:$B,Load!M:M,0,)</f>
        <v>0</v>
      </c>
    </row>
    <row r="622" spans="1:12" x14ac:dyDescent="0.25">
      <c r="A622" t="s">
        <v>126</v>
      </c>
      <c r="B622" t="str">
        <f>_xlfn.XLOOKUP($A622,Load!$B:$B,Load!C:C,0,)</f>
        <v>HARIBO</v>
      </c>
      <c r="C622" t="str">
        <f>_xlfn.XLOOKUP($A622,Load!$B:$B,Load!D:D,0,)</f>
        <v>Non-Chocolate Candy Only</v>
      </c>
      <c r="D622" t="str">
        <f>_xlfn.XLOOKUP($A622,Load!$B:$B,Load!E:E,0,)</f>
        <v>Sweet</v>
      </c>
      <c r="E622" t="str">
        <f>_xlfn.XLOOKUP($A622,Load!$B:$B,Load!F:F,0,)</f>
        <v>Gummy</v>
      </c>
      <c r="F622" t="str">
        <f>_xlfn.XLOOKUP($A622,Load!$B:$B,Load!G:G,0,)</f>
        <v>Single Pack</v>
      </c>
      <c r="G622" t="str">
        <f>_xlfn.XLOOKUP($A622,Load!$B:$B,Load!H:H,0,)</f>
        <v>Laydown Bag</v>
      </c>
      <c r="H622" t="str">
        <f>_xlfn.XLOOKUP($A622,Load!$B:$B,Load!I:I,0,)</f>
        <v>Seasonal Shapes (like pumpkins, candy corn, ghost, bats, etc.)</v>
      </c>
      <c r="I622" t="str">
        <f>_xlfn.XLOOKUP($A622,Load!$B:$B,Load!J:J,0,)</f>
        <v>Seasonal Graphics (Like Bat, Ghost, Pumpkin, Fall Leaves, Eyeballs, etc.)</v>
      </c>
      <c r="J622" t="str">
        <f>_xlfn.XLOOKUP($A622,Load!$B:$B,Load!K:K,0,)</f>
        <v>Small Pieces (Tiny bite size candies)</v>
      </c>
      <c r="K622" t="str">
        <f>_xlfn.XLOOKUP($A622,Load!$B:$B,Load!L:L,0,)</f>
        <v>Unwrapped</v>
      </c>
      <c r="L622" t="str">
        <f>_xlfn.XLOOKUP($A622,Load!$B:$B,Load!M:M,0,)</f>
        <v>Single Brand / Variety Flavors or Form</v>
      </c>
    </row>
    <row r="623" spans="1:12" x14ac:dyDescent="0.25">
      <c r="A623" t="s">
        <v>226</v>
      </c>
      <c r="B623" t="str">
        <f>_xlfn.XLOOKUP($A623,Load!$B:$B,Load!C:C,0,)</f>
        <v>Nerds</v>
      </c>
      <c r="C623" t="str">
        <f>_xlfn.XLOOKUP($A623,Load!$B:$B,Load!D:D,0,)</f>
        <v>Non-Chocolate Candy Only</v>
      </c>
      <c r="D623" t="str">
        <f>_xlfn.XLOOKUP($A623,Load!$B:$B,Load!E:E,0,)</f>
        <v>Sweet</v>
      </c>
      <c r="E623" t="str">
        <f>_xlfn.XLOOKUP($A623,Load!$B:$B,Load!F:F,0,)</f>
        <v>Gummy</v>
      </c>
      <c r="F623" t="str">
        <f>_xlfn.XLOOKUP($A623,Load!$B:$B,Load!G:G,0,)</f>
        <v>Single Pack</v>
      </c>
      <c r="G623" t="str">
        <f>_xlfn.XLOOKUP($A623,Load!$B:$B,Load!H:H,0,)</f>
        <v>Laydown Bag</v>
      </c>
      <c r="H623" t="str">
        <f>_xlfn.XLOOKUP($A623,Load!$B:$B,Load!I:I,0,)</f>
        <v>Seasonal Shapes (like pumpkins, candy corn, ghost, bats, etc.)</v>
      </c>
      <c r="I623" t="str">
        <f>_xlfn.XLOOKUP($A623,Load!$B:$B,Load!J:J,0,)</f>
        <v>Seasonal Graphics (Like Bat, Ghost, Pumpkin, Fall Leaves, Eyeballs, etc.)</v>
      </c>
      <c r="J623" t="str">
        <f>_xlfn.XLOOKUP($A623,Load!$B:$B,Load!K:K,0,)</f>
        <v>Fun Size / Treat Size</v>
      </c>
      <c r="K623" t="str">
        <f>_xlfn.XLOOKUP($A623,Load!$B:$B,Load!L:L,0,)</f>
        <v>Unwrapped</v>
      </c>
      <c r="L623" t="str">
        <f>_xlfn.XLOOKUP($A623,Load!$B:$B,Load!M:M,0,)</f>
        <v>Single Brand / Single Flavor or Form</v>
      </c>
    </row>
    <row r="624" spans="1:12" x14ac:dyDescent="0.25">
      <c r="A624" t="s">
        <v>207</v>
      </c>
      <c r="B624" t="str">
        <f>_xlfn.XLOOKUP($A624,Load!$B:$B,Load!C:C,0,)</f>
        <v>Mars Variety Pack</v>
      </c>
      <c r="C624" t="str">
        <f>_xlfn.XLOOKUP($A624,Load!$B:$B,Load!D:D,0,)</f>
        <v>Mix of Chocolate and Non-Chocolate Candy</v>
      </c>
      <c r="D624" t="str">
        <f>_xlfn.XLOOKUP($A624,Load!$B:$B,Load!E:E,0,)</f>
        <v>Variety / Mixed Flavors (Fruity, Sour, Seasonal Flavors)</v>
      </c>
      <c r="E624" t="str">
        <f>_xlfn.XLOOKUP($A624,Load!$B:$B,Load!F:F,0,)</f>
        <v>Mixed / Combo Packs (Gummy, Chewy, Taffy, etc.)</v>
      </c>
      <c r="F624" t="str">
        <f>_xlfn.XLOOKUP($A624,Load!$B:$B,Load!G:G,0,)</f>
        <v>Large Multipack (More than 80 ct)</v>
      </c>
      <c r="G624" t="str">
        <f>_xlfn.XLOOKUP($A624,Load!$B:$B,Load!H:H,0,)</f>
        <v>Stand-Up Bag</v>
      </c>
      <c r="H624" t="str">
        <f>_xlfn.XLOOKUP($A624,Load!$B:$B,Load!I:I,0,)</f>
        <v>Everyday Candy Shapes (like Original, Gummy bear, Fruit, Jewels, etc.)</v>
      </c>
      <c r="I624" t="str">
        <f>_xlfn.XLOOKUP($A624,Load!$B:$B,Load!J:J,0,)</f>
        <v>Everyday Graphics</v>
      </c>
      <c r="J624" t="str">
        <f>_xlfn.XLOOKUP($A624,Load!$B:$B,Load!K:K,0,)</f>
        <v>Fun Size / Treat Size</v>
      </c>
      <c r="K624" t="str">
        <f>_xlfn.XLOOKUP($A624,Load!$B:$B,Load!L:L,0,)</f>
        <v>Regular/Original Wrapping</v>
      </c>
      <c r="L624" t="str">
        <f>_xlfn.XLOOKUP($A624,Load!$B:$B,Load!M:M,0,)</f>
        <v>Multiple Brands / Variety Flavors or Form</v>
      </c>
    </row>
    <row r="625" spans="1:12" x14ac:dyDescent="0.25">
      <c r="A625" t="s">
        <v>121</v>
      </c>
      <c r="B625" t="str">
        <f>_xlfn.XLOOKUP($A625,Load!$B:$B,Load!C:C,0,)</f>
        <v>HARIBO</v>
      </c>
      <c r="C625" t="str">
        <f>_xlfn.XLOOKUP($A625,Load!$B:$B,Load!D:D,0,)</f>
        <v>Non-Chocolate Candy Only</v>
      </c>
      <c r="D625" t="str">
        <f>_xlfn.XLOOKUP($A625,Load!$B:$B,Load!E:E,0,)</f>
        <v>Variety / Mixed Flavors (Fruity, Sour, Seasonal Flavors)</v>
      </c>
      <c r="E625" t="str">
        <f>_xlfn.XLOOKUP($A625,Load!$B:$B,Load!F:F,0,)</f>
        <v>Gummy</v>
      </c>
      <c r="F625" t="str">
        <f>_xlfn.XLOOKUP($A625,Load!$B:$B,Load!G:G,0,)</f>
        <v>Large Multipack (More than 80 ct)</v>
      </c>
      <c r="G625" t="str">
        <f>_xlfn.XLOOKUP($A625,Load!$B:$B,Load!H:H,0,)</f>
        <v>Stand-Up Bag</v>
      </c>
      <c r="H625" t="str">
        <f>_xlfn.XLOOKUP($A625,Load!$B:$B,Load!I:I,0,)</f>
        <v>Seasonal Shapes (like pumpkins, candy corn, ghost, bats, etc.)</v>
      </c>
      <c r="I625" t="str">
        <f>_xlfn.XLOOKUP($A625,Load!$B:$B,Load!J:J,0,)</f>
        <v>Seasonal Graphics (Like Bat, Ghost, Pumpkin, Fall Leaves, Eyeballs, etc.)</v>
      </c>
      <c r="J625" t="str">
        <f>_xlfn.XLOOKUP($A625,Load!$B:$B,Load!K:K,0,)</f>
        <v>Fun Size / Treat Size</v>
      </c>
      <c r="K625" t="str">
        <f>_xlfn.XLOOKUP($A625,Load!$B:$B,Load!L:L,0,)</f>
        <v>Regular/Original Wrapping</v>
      </c>
      <c r="L625" t="str">
        <f>_xlfn.XLOOKUP($A625,Load!$B:$B,Load!M:M,0,)</f>
        <v>Multiple Brands / Variety Flavors or Form</v>
      </c>
    </row>
    <row r="626" spans="1:12" x14ac:dyDescent="0.25">
      <c r="A626" t="s">
        <v>97</v>
      </c>
      <c r="B626" t="str">
        <f>_xlfn.XLOOKUP($A626,Load!$B:$B,Load!C:C,0,)</f>
        <v>Ferrero Variety Pack</v>
      </c>
      <c r="C626" t="str">
        <f>_xlfn.XLOOKUP($A626,Load!$B:$B,Load!D:D,0,)</f>
        <v>Mix of Chocolate and Non-Chocolate Candy</v>
      </c>
      <c r="D626" t="str">
        <f>_xlfn.XLOOKUP($A626,Load!$B:$B,Load!E:E,0,)</f>
        <v>Variety / Mixed Flavors (Fruity, Sour, Seasonal Flavors)</v>
      </c>
      <c r="E626" t="str">
        <f>_xlfn.XLOOKUP($A626,Load!$B:$B,Load!F:F,0,)</f>
        <v>Mixed / Combo Packs (Gummy, Chewy, Taffy, etc.)</v>
      </c>
      <c r="F626" t="str">
        <f>_xlfn.XLOOKUP($A626,Load!$B:$B,Load!G:G,0,)</f>
        <v>Large Multipack (More than 80 ct)</v>
      </c>
      <c r="G626" t="str">
        <f>_xlfn.XLOOKUP($A626,Load!$B:$B,Load!H:H,0,)</f>
        <v>Stand-Up Bag</v>
      </c>
      <c r="H626" t="str">
        <f>_xlfn.XLOOKUP($A626,Load!$B:$B,Load!I:I,0,)</f>
        <v>Everyday Candy Shapes (like Original, Gummy bear, Fruit, Jewels, etc.)</v>
      </c>
      <c r="I626" t="str">
        <f>_xlfn.XLOOKUP($A626,Load!$B:$B,Load!J:J,0,)</f>
        <v>Seasonal Graphics (Like Bat, Ghost, Pumpkin, Fall Leaves, Eyeballs, etc.)</v>
      </c>
      <c r="J626" t="str">
        <f>_xlfn.XLOOKUP($A626,Load!$B:$B,Load!K:K,0,)</f>
        <v>Fun Size / Treat Size</v>
      </c>
      <c r="K626" t="str">
        <f>_xlfn.XLOOKUP($A626,Load!$B:$B,Load!L:L,0,)</f>
        <v>Regular/Original Wrapping</v>
      </c>
      <c r="L626" t="str">
        <f>_xlfn.XLOOKUP($A626,Load!$B:$B,Load!M:M,0,)</f>
        <v>Multiple Brands / Variety Flavors or Form</v>
      </c>
    </row>
    <row r="627" spans="1:12" x14ac:dyDescent="0.25">
      <c r="B627">
        <f>_xlfn.XLOOKUP($A627,Load!$B:$B,Load!C:C,0,)</f>
        <v>0</v>
      </c>
      <c r="C627">
        <f>_xlfn.XLOOKUP($A627,Load!$B:$B,Load!D:D,0,)</f>
        <v>0</v>
      </c>
      <c r="D627">
        <f>_xlfn.XLOOKUP($A627,Load!$B:$B,Load!E:E,0,)</f>
        <v>0</v>
      </c>
      <c r="E627">
        <f>_xlfn.XLOOKUP($A627,Load!$B:$B,Load!F:F,0,)</f>
        <v>0</v>
      </c>
      <c r="F627">
        <f>_xlfn.XLOOKUP($A627,Load!$B:$B,Load!G:G,0,)</f>
        <v>0</v>
      </c>
      <c r="G627">
        <f>_xlfn.XLOOKUP($A627,Load!$B:$B,Load!H:H,0,)</f>
        <v>0</v>
      </c>
      <c r="H627">
        <f>_xlfn.XLOOKUP($A627,Load!$B:$B,Load!I:I,0,)</f>
        <v>0</v>
      </c>
      <c r="I627">
        <f>_xlfn.XLOOKUP($A627,Load!$B:$B,Load!J:J,0,)</f>
        <v>0</v>
      </c>
      <c r="J627">
        <f>_xlfn.XLOOKUP($A627,Load!$B:$B,Load!K:K,0,)</f>
        <v>0</v>
      </c>
      <c r="K627">
        <f>_xlfn.XLOOKUP($A627,Load!$B:$B,Load!L:L,0,)</f>
        <v>0</v>
      </c>
      <c r="L627">
        <f>_xlfn.XLOOKUP($A627,Load!$B:$B,Load!M:M,0,)</f>
        <v>0</v>
      </c>
    </row>
    <row r="628" spans="1:12" x14ac:dyDescent="0.25">
      <c r="A628" t="s">
        <v>309</v>
      </c>
      <c r="B628" t="str">
        <f>_xlfn.XLOOKUP($A628,Load!$B:$B,Load!C:C,0,)</f>
        <v>Werther's Original</v>
      </c>
      <c r="C628" t="str">
        <f>_xlfn.XLOOKUP($A628,Load!$B:$B,Load!D:D,0,)</f>
        <v>Non-Chocolate Candy Only</v>
      </c>
      <c r="D628" t="str">
        <f>_xlfn.XLOOKUP($A628,Load!$B:$B,Load!E:E,0,)</f>
        <v>Fall / Seasonal Flavors (pumpkin spice, caramel apple, candy corn)</v>
      </c>
      <c r="E628" t="str">
        <f>_xlfn.XLOOKUP($A628,Load!$B:$B,Load!F:F,0,)</f>
        <v>Chewy</v>
      </c>
      <c r="F628" t="str">
        <f>_xlfn.XLOOKUP($A628,Load!$B:$B,Load!G:G,0,)</f>
        <v>Single Pack</v>
      </c>
      <c r="G628" t="str">
        <f>_xlfn.XLOOKUP($A628,Load!$B:$B,Load!H:H,0,)</f>
        <v>Stand-Up Bag</v>
      </c>
      <c r="H628" t="str">
        <f>_xlfn.XLOOKUP($A628,Load!$B:$B,Load!I:I,0,)</f>
        <v>Everyday Candy Shapes (like Original, Gummy bear, Fruit, Jewels, etc.)</v>
      </c>
      <c r="I628" t="str">
        <f>_xlfn.XLOOKUP($A628,Load!$B:$B,Load!J:J,0,)</f>
        <v>Seasonal Graphics (Like Bat, Ghost, Pumpkin, Fall Leaves, Eyeballs, etc.)</v>
      </c>
      <c r="J628" t="str">
        <f>_xlfn.XLOOKUP($A628,Load!$B:$B,Load!K:K,0,)</f>
        <v>Fun Size / Treat Size</v>
      </c>
      <c r="K628" t="str">
        <f>_xlfn.XLOOKUP($A628,Load!$B:$B,Load!L:L,0,)</f>
        <v>Regular/Original Wrapping</v>
      </c>
      <c r="L628" t="str">
        <f>_xlfn.XLOOKUP($A628,Load!$B:$B,Load!M:M,0,)</f>
        <v>Single Brand / Single Flavor or Form</v>
      </c>
    </row>
    <row r="629" spans="1:12" x14ac:dyDescent="0.25">
      <c r="B629">
        <f>_xlfn.XLOOKUP($A629,Load!$B:$B,Load!C:C,0,)</f>
        <v>0</v>
      </c>
      <c r="C629">
        <f>_xlfn.XLOOKUP($A629,Load!$B:$B,Load!D:D,0,)</f>
        <v>0</v>
      </c>
      <c r="D629">
        <f>_xlfn.XLOOKUP($A629,Load!$B:$B,Load!E:E,0,)</f>
        <v>0</v>
      </c>
      <c r="E629">
        <f>_xlfn.XLOOKUP($A629,Load!$B:$B,Load!F:F,0,)</f>
        <v>0</v>
      </c>
      <c r="F629">
        <f>_xlfn.XLOOKUP($A629,Load!$B:$B,Load!G:G,0,)</f>
        <v>0</v>
      </c>
      <c r="G629">
        <f>_xlfn.XLOOKUP($A629,Load!$B:$B,Load!H:H,0,)</f>
        <v>0</v>
      </c>
      <c r="H629">
        <f>_xlfn.XLOOKUP($A629,Load!$B:$B,Load!I:I,0,)</f>
        <v>0</v>
      </c>
      <c r="I629">
        <f>_xlfn.XLOOKUP($A629,Load!$B:$B,Load!J:J,0,)</f>
        <v>0</v>
      </c>
      <c r="J629">
        <f>_xlfn.XLOOKUP($A629,Load!$B:$B,Load!K:K,0,)</f>
        <v>0</v>
      </c>
      <c r="K629">
        <f>_xlfn.XLOOKUP($A629,Load!$B:$B,Load!L:L,0,)</f>
        <v>0</v>
      </c>
      <c r="L629">
        <f>_xlfn.XLOOKUP($A629,Load!$B:$B,Load!M:M,0,)</f>
        <v>0</v>
      </c>
    </row>
    <row r="630" spans="1:12" x14ac:dyDescent="0.25">
      <c r="A630" t="s">
        <v>140</v>
      </c>
      <c r="B630" t="str">
        <f>_xlfn.XLOOKUP($A630,Load!$B:$B,Load!C:C,0,)</f>
        <v>Hershey's Variety Pack + Haribo</v>
      </c>
      <c r="C630" t="str">
        <f>_xlfn.XLOOKUP($A630,Load!$B:$B,Load!D:D,0,)</f>
        <v>Mix of Chocolate and Non-Chocolate Candy</v>
      </c>
      <c r="D630" t="str">
        <f>_xlfn.XLOOKUP($A630,Load!$B:$B,Load!E:E,0,)</f>
        <v>Variety / Mixed Flavors (Fruity, Sour, Seasonal Flavors)</v>
      </c>
      <c r="E630" t="str">
        <f>_xlfn.XLOOKUP($A630,Load!$B:$B,Load!F:F,0,)</f>
        <v>Mixed / Combo Packs (Gummy, Chewy, Taffy, etc.)</v>
      </c>
      <c r="F630" t="str">
        <f>_xlfn.XLOOKUP($A630,Load!$B:$B,Load!G:G,0,)</f>
        <v>Large Multipack (More than 80 ct)</v>
      </c>
      <c r="G630" t="str">
        <f>_xlfn.XLOOKUP($A630,Load!$B:$B,Load!H:H,0,)</f>
        <v>Stand-Up Bag</v>
      </c>
      <c r="H630" t="str">
        <f>_xlfn.XLOOKUP($A630,Load!$B:$B,Load!I:I,0,)</f>
        <v>Everyday Candy Shapes (like Original, Gummy bear, Fruit, Jewels, etc.)</v>
      </c>
      <c r="I630" t="str">
        <f>_xlfn.XLOOKUP($A630,Load!$B:$B,Load!J:J,0,)</f>
        <v>Seasonal Graphics (Like Bat, Ghost, Pumpkin, Fall Leaves, Eyeballs, etc.)</v>
      </c>
      <c r="J630" t="str">
        <f>_xlfn.XLOOKUP($A630,Load!$B:$B,Load!K:K,0,)</f>
        <v xml:space="preserve">Variety Candy Sizes </v>
      </c>
      <c r="K630" t="str">
        <f>_xlfn.XLOOKUP($A630,Load!$B:$B,Load!L:L,0,)</f>
        <v>Regular/Original Wrapping</v>
      </c>
      <c r="L630" t="str">
        <f>_xlfn.XLOOKUP($A630,Load!$B:$B,Load!M:M,0,)</f>
        <v>Multiple Brands / Variety Flavors or Form</v>
      </c>
    </row>
    <row r="631" spans="1:12" x14ac:dyDescent="0.25">
      <c r="A631" t="s">
        <v>221</v>
      </c>
      <c r="B631" t="str">
        <f>_xlfn.XLOOKUP($A631,Load!$B:$B,Load!C:C,0,)</f>
        <v>Hershey's Variety Pack + Haribo</v>
      </c>
      <c r="C631" t="str">
        <f>_xlfn.XLOOKUP($A631,Load!$B:$B,Load!D:D,0,)</f>
        <v>Mix of Chocolate and Non-Chocolate Candy</v>
      </c>
      <c r="D631" t="str">
        <f>_xlfn.XLOOKUP($A631,Load!$B:$B,Load!E:E,0,)</f>
        <v>Variety / Mixed Flavors (Fruity, Sour, Seasonal Flavors)</v>
      </c>
      <c r="E631" t="str">
        <f>_xlfn.XLOOKUP($A631,Load!$B:$B,Load!F:F,0,)</f>
        <v>Mixed / Combo Packs (Gummy, Chewy, Taffy, etc.)</v>
      </c>
      <c r="F631" t="str">
        <f>_xlfn.XLOOKUP($A631,Load!$B:$B,Load!G:G,0,)</f>
        <v>Large Multipack (More than 80 ct)</v>
      </c>
      <c r="G631" t="str">
        <f>_xlfn.XLOOKUP($A631,Load!$B:$B,Load!H:H,0,)</f>
        <v>Stand-Up Bag</v>
      </c>
      <c r="H631" t="str">
        <f>_xlfn.XLOOKUP($A631,Load!$B:$B,Load!I:I,0,)</f>
        <v>Everyday Candy Shapes (like Original, Gummy bear, Fruit, Jewels, etc.)</v>
      </c>
      <c r="I631" t="str">
        <f>_xlfn.XLOOKUP($A631,Load!$B:$B,Load!J:J,0,)</f>
        <v>Seasonal Graphics (Like Bat, Ghost, Pumpkin, Fall Leaves, Eyeballs, etc.)</v>
      </c>
      <c r="J631" t="str">
        <f>_xlfn.XLOOKUP($A631,Load!$B:$B,Load!K:K,0,)</f>
        <v xml:space="preserve">Variety Candy Sizes </v>
      </c>
      <c r="K631" t="str">
        <f>_xlfn.XLOOKUP($A631,Load!$B:$B,Load!L:L,0,)</f>
        <v>Regular/Original Wrapping</v>
      </c>
      <c r="L631" t="str">
        <f>_xlfn.XLOOKUP($A631,Load!$B:$B,Load!M:M,0,)</f>
        <v>Multiple Brands / Variety Flavors or Form</v>
      </c>
    </row>
    <row r="632" spans="1:12" x14ac:dyDescent="0.25">
      <c r="B632">
        <f>_xlfn.XLOOKUP($A632,Load!$B:$B,Load!C:C,0,)</f>
        <v>0</v>
      </c>
      <c r="C632">
        <f>_xlfn.XLOOKUP($A632,Load!$B:$B,Load!D:D,0,)</f>
        <v>0</v>
      </c>
      <c r="D632">
        <f>_xlfn.XLOOKUP($A632,Load!$B:$B,Load!E:E,0,)</f>
        <v>0</v>
      </c>
      <c r="E632">
        <f>_xlfn.XLOOKUP($A632,Load!$B:$B,Load!F:F,0,)</f>
        <v>0</v>
      </c>
      <c r="F632">
        <f>_xlfn.XLOOKUP($A632,Load!$B:$B,Load!G:G,0,)</f>
        <v>0</v>
      </c>
      <c r="G632">
        <f>_xlfn.XLOOKUP($A632,Load!$B:$B,Load!H:H,0,)</f>
        <v>0</v>
      </c>
      <c r="H632">
        <f>_xlfn.XLOOKUP($A632,Load!$B:$B,Load!I:I,0,)</f>
        <v>0</v>
      </c>
      <c r="I632">
        <f>_xlfn.XLOOKUP($A632,Load!$B:$B,Load!J:J,0,)</f>
        <v>0</v>
      </c>
      <c r="J632">
        <f>_xlfn.XLOOKUP($A632,Load!$B:$B,Load!K:K,0,)</f>
        <v>0</v>
      </c>
      <c r="K632">
        <f>_xlfn.XLOOKUP($A632,Load!$B:$B,Load!L:L,0,)</f>
        <v>0</v>
      </c>
      <c r="L632">
        <f>_xlfn.XLOOKUP($A632,Load!$B:$B,Load!M:M,0,)</f>
        <v>0</v>
      </c>
    </row>
    <row r="633" spans="1:12" x14ac:dyDescent="0.25">
      <c r="B633">
        <f>_xlfn.XLOOKUP($A633,Load!$B:$B,Load!C:C,0,)</f>
        <v>0</v>
      </c>
      <c r="C633">
        <f>_xlfn.XLOOKUP($A633,Load!$B:$B,Load!D:D,0,)</f>
        <v>0</v>
      </c>
      <c r="D633">
        <f>_xlfn.XLOOKUP($A633,Load!$B:$B,Load!E:E,0,)</f>
        <v>0</v>
      </c>
      <c r="E633">
        <f>_xlfn.XLOOKUP($A633,Load!$B:$B,Load!F:F,0,)</f>
        <v>0</v>
      </c>
      <c r="F633">
        <f>_xlfn.XLOOKUP($A633,Load!$B:$B,Load!G:G,0,)</f>
        <v>0</v>
      </c>
      <c r="G633">
        <f>_xlfn.XLOOKUP($A633,Load!$B:$B,Load!H:H,0,)</f>
        <v>0</v>
      </c>
      <c r="H633">
        <f>_xlfn.XLOOKUP($A633,Load!$B:$B,Load!I:I,0,)</f>
        <v>0</v>
      </c>
      <c r="I633">
        <f>_xlfn.XLOOKUP($A633,Load!$B:$B,Load!J:J,0,)</f>
        <v>0</v>
      </c>
      <c r="J633">
        <f>_xlfn.XLOOKUP($A633,Load!$B:$B,Load!K:K,0,)</f>
        <v>0</v>
      </c>
      <c r="K633">
        <f>_xlfn.XLOOKUP($A633,Load!$B:$B,Load!L:L,0,)</f>
        <v>0</v>
      </c>
      <c r="L633">
        <f>_xlfn.XLOOKUP($A633,Load!$B:$B,Load!M:M,0,)</f>
        <v>0</v>
      </c>
    </row>
    <row r="634" spans="1:12" x14ac:dyDescent="0.25">
      <c r="B634">
        <f>_xlfn.XLOOKUP($A634,Load!$B:$B,Load!C:C,0,)</f>
        <v>0</v>
      </c>
      <c r="C634">
        <f>_xlfn.XLOOKUP($A634,Load!$B:$B,Load!D:D,0,)</f>
        <v>0</v>
      </c>
      <c r="D634">
        <f>_xlfn.XLOOKUP($A634,Load!$B:$B,Load!E:E,0,)</f>
        <v>0</v>
      </c>
      <c r="E634">
        <f>_xlfn.XLOOKUP($A634,Load!$B:$B,Load!F:F,0,)</f>
        <v>0</v>
      </c>
      <c r="F634">
        <f>_xlfn.XLOOKUP($A634,Load!$B:$B,Load!G:G,0,)</f>
        <v>0</v>
      </c>
      <c r="G634">
        <f>_xlfn.XLOOKUP($A634,Load!$B:$B,Load!H:H,0,)</f>
        <v>0</v>
      </c>
      <c r="H634">
        <f>_xlfn.XLOOKUP($A634,Load!$B:$B,Load!I:I,0,)</f>
        <v>0</v>
      </c>
      <c r="I634">
        <f>_xlfn.XLOOKUP($A634,Load!$B:$B,Load!J:J,0,)</f>
        <v>0</v>
      </c>
      <c r="J634">
        <f>_xlfn.XLOOKUP($A634,Load!$B:$B,Load!K:K,0,)</f>
        <v>0</v>
      </c>
      <c r="K634">
        <f>_xlfn.XLOOKUP($A634,Load!$B:$B,Load!L:L,0,)</f>
        <v>0</v>
      </c>
      <c r="L634">
        <f>_xlfn.XLOOKUP($A634,Load!$B:$B,Load!M:M,0,)</f>
        <v>0</v>
      </c>
    </row>
    <row r="635" spans="1:12" x14ac:dyDescent="0.25">
      <c r="B635">
        <f>_xlfn.XLOOKUP($A635,Load!$B:$B,Load!C:C,0,)</f>
        <v>0</v>
      </c>
      <c r="C635">
        <f>_xlfn.XLOOKUP($A635,Load!$B:$B,Load!D:D,0,)</f>
        <v>0</v>
      </c>
      <c r="D635">
        <f>_xlfn.XLOOKUP($A635,Load!$B:$B,Load!E:E,0,)</f>
        <v>0</v>
      </c>
      <c r="E635">
        <f>_xlfn.XLOOKUP($A635,Load!$B:$B,Load!F:F,0,)</f>
        <v>0</v>
      </c>
      <c r="F635">
        <f>_xlfn.XLOOKUP($A635,Load!$B:$B,Load!G:G,0,)</f>
        <v>0</v>
      </c>
      <c r="G635">
        <f>_xlfn.XLOOKUP($A635,Load!$B:$B,Load!H:H,0,)</f>
        <v>0</v>
      </c>
      <c r="H635">
        <f>_xlfn.XLOOKUP($A635,Load!$B:$B,Load!I:I,0,)</f>
        <v>0</v>
      </c>
      <c r="I635">
        <f>_xlfn.XLOOKUP($A635,Load!$B:$B,Load!J:J,0,)</f>
        <v>0</v>
      </c>
      <c r="J635">
        <f>_xlfn.XLOOKUP($A635,Load!$B:$B,Load!K:K,0,)</f>
        <v>0</v>
      </c>
      <c r="K635">
        <f>_xlfn.XLOOKUP($A635,Load!$B:$B,Load!L:L,0,)</f>
        <v>0</v>
      </c>
      <c r="L635">
        <f>_xlfn.XLOOKUP($A635,Load!$B:$B,Load!M:M,0,)</f>
        <v>0</v>
      </c>
    </row>
    <row r="636" spans="1:12" x14ac:dyDescent="0.25">
      <c r="B636">
        <f>_xlfn.XLOOKUP($A636,Load!$B:$B,Load!C:C,0,)</f>
        <v>0</v>
      </c>
      <c r="C636">
        <f>_xlfn.XLOOKUP($A636,Load!$B:$B,Load!D:D,0,)</f>
        <v>0</v>
      </c>
      <c r="D636">
        <f>_xlfn.XLOOKUP($A636,Load!$B:$B,Load!E:E,0,)</f>
        <v>0</v>
      </c>
      <c r="E636">
        <f>_xlfn.XLOOKUP($A636,Load!$B:$B,Load!F:F,0,)</f>
        <v>0</v>
      </c>
      <c r="F636">
        <f>_xlfn.XLOOKUP($A636,Load!$B:$B,Load!G:G,0,)</f>
        <v>0</v>
      </c>
      <c r="G636">
        <f>_xlfn.XLOOKUP($A636,Load!$B:$B,Load!H:H,0,)</f>
        <v>0</v>
      </c>
      <c r="H636">
        <f>_xlfn.XLOOKUP($A636,Load!$B:$B,Load!I:I,0,)</f>
        <v>0</v>
      </c>
      <c r="I636">
        <f>_xlfn.XLOOKUP($A636,Load!$B:$B,Load!J:J,0,)</f>
        <v>0</v>
      </c>
      <c r="J636">
        <f>_xlfn.XLOOKUP($A636,Load!$B:$B,Load!K:K,0,)</f>
        <v>0</v>
      </c>
      <c r="K636">
        <f>_xlfn.XLOOKUP($A636,Load!$B:$B,Load!L:L,0,)</f>
        <v>0</v>
      </c>
      <c r="L636">
        <f>_xlfn.XLOOKUP($A636,Load!$B:$B,Load!M:M,0,)</f>
        <v>0</v>
      </c>
    </row>
    <row r="637" spans="1:12" x14ac:dyDescent="0.25">
      <c r="B637">
        <f>_xlfn.XLOOKUP($A637,Load!$B:$B,Load!C:C,0,)</f>
        <v>0</v>
      </c>
      <c r="C637">
        <f>_xlfn.XLOOKUP($A637,Load!$B:$B,Load!D:D,0,)</f>
        <v>0</v>
      </c>
      <c r="D637">
        <f>_xlfn.XLOOKUP($A637,Load!$B:$B,Load!E:E,0,)</f>
        <v>0</v>
      </c>
      <c r="E637">
        <f>_xlfn.XLOOKUP($A637,Load!$B:$B,Load!F:F,0,)</f>
        <v>0</v>
      </c>
      <c r="F637">
        <f>_xlfn.XLOOKUP($A637,Load!$B:$B,Load!G:G,0,)</f>
        <v>0</v>
      </c>
      <c r="G637">
        <f>_xlfn.XLOOKUP($A637,Load!$B:$B,Load!H:H,0,)</f>
        <v>0</v>
      </c>
      <c r="H637">
        <f>_xlfn.XLOOKUP($A637,Load!$B:$B,Load!I:I,0,)</f>
        <v>0</v>
      </c>
      <c r="I637">
        <f>_xlfn.XLOOKUP($A637,Load!$B:$B,Load!J:J,0,)</f>
        <v>0</v>
      </c>
      <c r="J637">
        <f>_xlfn.XLOOKUP($A637,Load!$B:$B,Load!K:K,0,)</f>
        <v>0</v>
      </c>
      <c r="K637">
        <f>_xlfn.XLOOKUP($A637,Load!$B:$B,Load!L:L,0,)</f>
        <v>0</v>
      </c>
      <c r="L637">
        <f>_xlfn.XLOOKUP($A637,Load!$B:$B,Load!M:M,0,)</f>
        <v>0</v>
      </c>
    </row>
    <row r="638" spans="1:12" x14ac:dyDescent="0.25">
      <c r="A638" t="s">
        <v>147</v>
      </c>
      <c r="B638" t="str">
        <f>_xlfn.XLOOKUP($A638,Load!$B:$B,Load!C:C,0,)</f>
        <v>Jelly Belly</v>
      </c>
      <c r="C638" t="str">
        <f>_xlfn.XLOOKUP($A638,Load!$B:$B,Load!D:D,0,)</f>
        <v>Non-Chocolate Candy Only</v>
      </c>
      <c r="D638" t="str">
        <f>_xlfn.XLOOKUP($A638,Load!$B:$B,Load!E:E,0,)</f>
        <v>Variety / Mixed Flavors (Fruity, Sour, Seasonal Flavors)</v>
      </c>
      <c r="E638" t="str">
        <f>_xlfn.XLOOKUP($A638,Load!$B:$B,Load!F:F,0,)</f>
        <v>Candy Pieces / Bites</v>
      </c>
      <c r="F638" t="str">
        <f>_xlfn.XLOOKUP($A638,Load!$B:$B,Load!G:G,0,)</f>
        <v>Medium Multipack (40–80 ct)</v>
      </c>
      <c r="G638" t="str">
        <f>_xlfn.XLOOKUP($A638,Load!$B:$B,Load!H:H,0,)</f>
        <v>Box (theatre box, gift box, carton)</v>
      </c>
      <c r="H638" t="str">
        <f>_xlfn.XLOOKUP($A638,Load!$B:$B,Load!I:I,0,)</f>
        <v>Everyday Candy Shapes (like Original, Gummy bear, Fruit, Jewels, etc.)</v>
      </c>
      <c r="I638" t="str">
        <f>_xlfn.XLOOKUP($A638,Load!$B:$B,Load!J:J,0,)</f>
        <v>Everyday Graphics</v>
      </c>
      <c r="J638" t="str">
        <f>_xlfn.XLOOKUP($A638,Load!$B:$B,Load!K:K,0,)</f>
        <v>Small Pieces (Tiny bite size candies)</v>
      </c>
      <c r="K638" t="str">
        <f>_xlfn.XLOOKUP($A638,Load!$B:$B,Load!L:L,0,)</f>
        <v>Regular/Original Wrapping</v>
      </c>
      <c r="L638" t="str">
        <f>_xlfn.XLOOKUP($A638,Load!$B:$B,Load!M:M,0,)</f>
        <v>Single Brand / Variety Flavors or Form</v>
      </c>
    </row>
    <row r="639" spans="1:12" x14ac:dyDescent="0.25">
      <c r="B639">
        <f>_xlfn.XLOOKUP($A639,Load!$B:$B,Load!C:C,0,)</f>
        <v>0</v>
      </c>
      <c r="C639">
        <f>_xlfn.XLOOKUP($A639,Load!$B:$B,Load!D:D,0,)</f>
        <v>0</v>
      </c>
      <c r="D639">
        <f>_xlfn.XLOOKUP($A639,Load!$B:$B,Load!E:E,0,)</f>
        <v>0</v>
      </c>
      <c r="E639">
        <f>_xlfn.XLOOKUP($A639,Load!$B:$B,Load!F:F,0,)</f>
        <v>0</v>
      </c>
      <c r="F639">
        <f>_xlfn.XLOOKUP($A639,Load!$B:$B,Load!G:G,0,)</f>
        <v>0</v>
      </c>
      <c r="G639">
        <f>_xlfn.XLOOKUP($A639,Load!$B:$B,Load!H:H,0,)</f>
        <v>0</v>
      </c>
      <c r="H639">
        <f>_xlfn.XLOOKUP($A639,Load!$B:$B,Load!I:I,0,)</f>
        <v>0</v>
      </c>
      <c r="I639">
        <f>_xlfn.XLOOKUP($A639,Load!$B:$B,Load!J:J,0,)</f>
        <v>0</v>
      </c>
      <c r="J639">
        <f>_xlfn.XLOOKUP($A639,Load!$B:$B,Load!K:K,0,)</f>
        <v>0</v>
      </c>
      <c r="K639">
        <f>_xlfn.XLOOKUP($A639,Load!$B:$B,Load!L:L,0,)</f>
        <v>0</v>
      </c>
      <c r="L639">
        <f>_xlfn.XLOOKUP($A639,Load!$B:$B,Load!M:M,0,)</f>
        <v>0</v>
      </c>
    </row>
    <row r="640" spans="1:12" x14ac:dyDescent="0.25">
      <c r="A640" t="s">
        <v>220</v>
      </c>
      <c r="B640" t="str">
        <f>_xlfn.XLOOKUP($A640,Load!$B:$B,Load!C:C,0,)</f>
        <v>Mondelez Variety Pack</v>
      </c>
      <c r="C640" t="str">
        <f>_xlfn.XLOOKUP($A640,Load!$B:$B,Load!D:D,0,)</f>
        <v>Non-Chocolate Candy Only</v>
      </c>
      <c r="D640" t="str">
        <f>_xlfn.XLOOKUP($A640,Load!$B:$B,Load!E:E,0,)</f>
        <v>Variety / Mixed Flavors (Fruity, Sour, Seasonal Flavors)</v>
      </c>
      <c r="E640" t="str">
        <f>_xlfn.XLOOKUP($A640,Load!$B:$B,Load!F:F,0,)</f>
        <v>Chewy</v>
      </c>
      <c r="F640" t="str">
        <f>_xlfn.XLOOKUP($A640,Load!$B:$B,Load!G:G,0,)</f>
        <v>Large Multipack (More than 80 ct)</v>
      </c>
      <c r="G640" t="str">
        <f>_xlfn.XLOOKUP($A640,Load!$B:$B,Load!H:H,0,)</f>
        <v>Stand-Up Bag</v>
      </c>
      <c r="H640" t="str">
        <f>_xlfn.XLOOKUP($A640,Load!$B:$B,Load!I:I,0,)</f>
        <v>Seasonal Shapes (like pumpkins, candy corn, ghost, bats, etc.)</v>
      </c>
      <c r="I640" t="str">
        <f>_xlfn.XLOOKUP($A640,Load!$B:$B,Load!J:J,0,)</f>
        <v>Seasonal Graphics (Like Bat, Ghost, Pumpkin, Fall Leaves, Eyeballs, etc.)</v>
      </c>
      <c r="J640" t="str">
        <f>_xlfn.XLOOKUP($A640,Load!$B:$B,Load!K:K,0,)</f>
        <v>Small Pieces (Tiny bite size candies)</v>
      </c>
      <c r="K640" t="str">
        <f>_xlfn.XLOOKUP($A640,Load!$B:$B,Load!L:L,0,)</f>
        <v>Regular/Original Wrapping</v>
      </c>
      <c r="L640" t="str">
        <f>_xlfn.XLOOKUP($A640,Load!$B:$B,Load!M:M,0,)</f>
        <v>Single Brand / Variety Flavors or Form</v>
      </c>
    </row>
    <row r="641" spans="1:12" x14ac:dyDescent="0.25">
      <c r="A641" t="s">
        <v>253</v>
      </c>
      <c r="B641" t="str">
        <f>_xlfn.XLOOKUP($A641,Load!$B:$B,Load!C:C,0,)</f>
        <v>Skittles</v>
      </c>
      <c r="C641" t="str">
        <f>_xlfn.XLOOKUP($A641,Load!$B:$B,Load!D:D,0,)</f>
        <v>Non-Chocolate Candy Only</v>
      </c>
      <c r="D641" t="str">
        <f>_xlfn.XLOOKUP($A641,Load!$B:$B,Load!E:E,0,)</f>
        <v>Variety / Mixed Flavors (Fruity, Sour, Seasonal Flavors)</v>
      </c>
      <c r="E641" t="str">
        <f>_xlfn.XLOOKUP($A641,Load!$B:$B,Load!F:F,0,)</f>
        <v>Mixed / Combo Packs (Gummy, Chewy, Taffy, etc.)</v>
      </c>
      <c r="F641" t="str">
        <f>_xlfn.XLOOKUP($A641,Load!$B:$B,Load!G:G,0,)</f>
        <v>Medium Multipack (40–80 ct)</v>
      </c>
      <c r="G641" t="str">
        <f>_xlfn.XLOOKUP($A641,Load!$B:$B,Load!H:H,0,)</f>
        <v>Stand-Up Bag</v>
      </c>
      <c r="H641" t="str">
        <f>_xlfn.XLOOKUP($A641,Load!$B:$B,Load!I:I,0,)</f>
        <v>Everyday Candy Shapes (like Original, Gummy bear, Fruit, Jewels, etc.)</v>
      </c>
      <c r="I641" t="str">
        <f>_xlfn.XLOOKUP($A641,Load!$B:$B,Load!J:J,0,)</f>
        <v>Seasonal Graphics (Like Bat, Ghost, Pumpkin, Fall Leaves, Eyeballs, etc.)</v>
      </c>
      <c r="J641" t="str">
        <f>_xlfn.XLOOKUP($A641,Load!$B:$B,Load!K:K,0,)</f>
        <v>Small Pieces (Tiny bite size candies)</v>
      </c>
      <c r="K641" t="str">
        <f>_xlfn.XLOOKUP($A641,Load!$B:$B,Load!L:L,0,)</f>
        <v>Regular/Original Wrapping</v>
      </c>
      <c r="L641" t="str">
        <f>_xlfn.XLOOKUP($A641,Load!$B:$B,Load!M:M,0,)</f>
        <v>Single Brand / Variety Flavors or Form</v>
      </c>
    </row>
    <row r="642" spans="1:12" x14ac:dyDescent="0.25">
      <c r="B642">
        <f>_xlfn.XLOOKUP($A642,Load!$B:$B,Load!C:C,0,)</f>
        <v>0</v>
      </c>
      <c r="C642">
        <f>_xlfn.XLOOKUP($A642,Load!$B:$B,Load!D:D,0,)</f>
        <v>0</v>
      </c>
      <c r="D642">
        <f>_xlfn.XLOOKUP($A642,Load!$B:$B,Load!E:E,0,)</f>
        <v>0</v>
      </c>
      <c r="E642">
        <f>_xlfn.XLOOKUP($A642,Load!$B:$B,Load!F:F,0,)</f>
        <v>0</v>
      </c>
      <c r="F642">
        <f>_xlfn.XLOOKUP($A642,Load!$B:$B,Load!G:G,0,)</f>
        <v>0</v>
      </c>
      <c r="G642">
        <f>_xlfn.XLOOKUP($A642,Load!$B:$B,Load!H:H,0,)</f>
        <v>0</v>
      </c>
      <c r="H642">
        <f>_xlfn.XLOOKUP($A642,Load!$B:$B,Load!I:I,0,)</f>
        <v>0</v>
      </c>
      <c r="I642">
        <f>_xlfn.XLOOKUP($A642,Load!$B:$B,Load!J:J,0,)</f>
        <v>0</v>
      </c>
      <c r="J642">
        <f>_xlfn.XLOOKUP($A642,Load!$B:$B,Load!K:K,0,)</f>
        <v>0</v>
      </c>
      <c r="K642">
        <f>_xlfn.XLOOKUP($A642,Load!$B:$B,Load!L:L,0,)</f>
        <v>0</v>
      </c>
      <c r="L642">
        <f>_xlfn.XLOOKUP($A642,Load!$B:$B,Load!M:M,0,)</f>
        <v>0</v>
      </c>
    </row>
    <row r="643" spans="1:12" x14ac:dyDescent="0.25">
      <c r="B643">
        <f>_xlfn.XLOOKUP($A643,Load!$B:$B,Load!C:C,0,)</f>
        <v>0</v>
      </c>
      <c r="C643">
        <f>_xlfn.XLOOKUP($A643,Load!$B:$B,Load!D:D,0,)</f>
        <v>0</v>
      </c>
      <c r="D643">
        <f>_xlfn.XLOOKUP($A643,Load!$B:$B,Load!E:E,0,)</f>
        <v>0</v>
      </c>
      <c r="E643">
        <f>_xlfn.XLOOKUP($A643,Load!$B:$B,Load!F:F,0,)</f>
        <v>0</v>
      </c>
      <c r="F643">
        <f>_xlfn.XLOOKUP($A643,Load!$B:$B,Load!G:G,0,)</f>
        <v>0</v>
      </c>
      <c r="G643">
        <f>_xlfn.XLOOKUP($A643,Load!$B:$B,Load!H:H,0,)</f>
        <v>0</v>
      </c>
      <c r="H643">
        <f>_xlfn.XLOOKUP($A643,Load!$B:$B,Load!I:I,0,)</f>
        <v>0</v>
      </c>
      <c r="I643">
        <f>_xlfn.XLOOKUP($A643,Load!$B:$B,Load!J:J,0,)</f>
        <v>0</v>
      </c>
      <c r="J643">
        <f>_xlfn.XLOOKUP($A643,Load!$B:$B,Load!K:K,0,)</f>
        <v>0</v>
      </c>
      <c r="K643">
        <f>_xlfn.XLOOKUP($A643,Load!$B:$B,Load!L:L,0,)</f>
        <v>0</v>
      </c>
      <c r="L643">
        <f>_xlfn.XLOOKUP($A643,Load!$B:$B,Load!M:M,0,)</f>
        <v>0</v>
      </c>
    </row>
    <row r="644" spans="1:12" x14ac:dyDescent="0.25">
      <c r="B644">
        <f>_xlfn.XLOOKUP($A644,Load!$B:$B,Load!C:C,0,)</f>
        <v>0</v>
      </c>
      <c r="C644">
        <f>_xlfn.XLOOKUP($A644,Load!$B:$B,Load!D:D,0,)</f>
        <v>0</v>
      </c>
      <c r="D644">
        <f>_xlfn.XLOOKUP($A644,Load!$B:$B,Load!E:E,0,)</f>
        <v>0</v>
      </c>
      <c r="E644">
        <f>_xlfn.XLOOKUP($A644,Load!$B:$B,Load!F:F,0,)</f>
        <v>0</v>
      </c>
      <c r="F644">
        <f>_xlfn.XLOOKUP($A644,Load!$B:$B,Load!G:G,0,)</f>
        <v>0</v>
      </c>
      <c r="G644">
        <f>_xlfn.XLOOKUP($A644,Load!$B:$B,Load!H:H,0,)</f>
        <v>0</v>
      </c>
      <c r="H644">
        <f>_xlfn.XLOOKUP($A644,Load!$B:$B,Load!I:I,0,)</f>
        <v>0</v>
      </c>
      <c r="I644">
        <f>_xlfn.XLOOKUP($A644,Load!$B:$B,Load!J:J,0,)</f>
        <v>0</v>
      </c>
      <c r="J644">
        <f>_xlfn.XLOOKUP($A644,Load!$B:$B,Load!K:K,0,)</f>
        <v>0</v>
      </c>
      <c r="K644">
        <f>_xlfn.XLOOKUP($A644,Load!$B:$B,Load!L:L,0,)</f>
        <v>0</v>
      </c>
      <c r="L644">
        <f>_xlfn.XLOOKUP($A644,Load!$B:$B,Load!M:M,0,)</f>
        <v>0</v>
      </c>
    </row>
    <row r="645" spans="1:12" x14ac:dyDescent="0.25">
      <c r="B645">
        <f>_xlfn.XLOOKUP($A645,Load!$B:$B,Load!C:C,0,)</f>
        <v>0</v>
      </c>
      <c r="C645">
        <f>_xlfn.XLOOKUP($A645,Load!$B:$B,Load!D:D,0,)</f>
        <v>0</v>
      </c>
      <c r="D645">
        <f>_xlfn.XLOOKUP($A645,Load!$B:$B,Load!E:E,0,)</f>
        <v>0</v>
      </c>
      <c r="E645">
        <f>_xlfn.XLOOKUP($A645,Load!$B:$B,Load!F:F,0,)</f>
        <v>0</v>
      </c>
      <c r="F645">
        <f>_xlfn.XLOOKUP($A645,Load!$B:$B,Load!G:G,0,)</f>
        <v>0</v>
      </c>
      <c r="G645">
        <f>_xlfn.XLOOKUP($A645,Load!$B:$B,Load!H:H,0,)</f>
        <v>0</v>
      </c>
      <c r="H645">
        <f>_xlfn.XLOOKUP($A645,Load!$B:$B,Load!I:I,0,)</f>
        <v>0</v>
      </c>
      <c r="I645">
        <f>_xlfn.XLOOKUP($A645,Load!$B:$B,Load!J:J,0,)</f>
        <v>0</v>
      </c>
      <c r="J645">
        <f>_xlfn.XLOOKUP($A645,Load!$B:$B,Load!K:K,0,)</f>
        <v>0</v>
      </c>
      <c r="K645">
        <f>_xlfn.XLOOKUP($A645,Load!$B:$B,Load!L:L,0,)</f>
        <v>0</v>
      </c>
      <c r="L645">
        <f>_xlfn.XLOOKUP($A645,Load!$B:$B,Load!M:M,0,)</f>
        <v>0</v>
      </c>
    </row>
    <row r="646" spans="1:12" x14ac:dyDescent="0.25">
      <c r="B646">
        <f>_xlfn.XLOOKUP($A646,Load!$B:$B,Load!C:C,0,)</f>
        <v>0</v>
      </c>
      <c r="C646">
        <f>_xlfn.XLOOKUP($A646,Load!$B:$B,Load!D:D,0,)</f>
        <v>0</v>
      </c>
      <c r="D646">
        <f>_xlfn.XLOOKUP($A646,Load!$B:$B,Load!E:E,0,)</f>
        <v>0</v>
      </c>
      <c r="E646">
        <f>_xlfn.XLOOKUP($A646,Load!$B:$B,Load!F:F,0,)</f>
        <v>0</v>
      </c>
      <c r="F646">
        <f>_xlfn.XLOOKUP($A646,Load!$B:$B,Load!G:G,0,)</f>
        <v>0</v>
      </c>
      <c r="G646">
        <f>_xlfn.XLOOKUP($A646,Load!$B:$B,Load!H:H,0,)</f>
        <v>0</v>
      </c>
      <c r="H646">
        <f>_xlfn.XLOOKUP($A646,Load!$B:$B,Load!I:I,0,)</f>
        <v>0</v>
      </c>
      <c r="I646">
        <f>_xlfn.XLOOKUP($A646,Load!$B:$B,Load!J:J,0,)</f>
        <v>0</v>
      </c>
      <c r="J646">
        <f>_xlfn.XLOOKUP($A646,Load!$B:$B,Load!K:K,0,)</f>
        <v>0</v>
      </c>
      <c r="K646">
        <f>_xlfn.XLOOKUP($A646,Load!$B:$B,Load!L:L,0,)</f>
        <v>0</v>
      </c>
      <c r="L646">
        <f>_xlfn.XLOOKUP($A646,Load!$B:$B,Load!M:M,0,)</f>
        <v>0</v>
      </c>
    </row>
    <row r="647" spans="1:12" x14ac:dyDescent="0.25">
      <c r="B647">
        <f>_xlfn.XLOOKUP($A647,Load!$B:$B,Load!C:C,0,)</f>
        <v>0</v>
      </c>
      <c r="C647">
        <f>_xlfn.XLOOKUP($A647,Load!$B:$B,Load!D:D,0,)</f>
        <v>0</v>
      </c>
      <c r="D647">
        <f>_xlfn.XLOOKUP($A647,Load!$B:$B,Load!E:E,0,)</f>
        <v>0</v>
      </c>
      <c r="E647">
        <f>_xlfn.XLOOKUP($A647,Load!$B:$B,Load!F:F,0,)</f>
        <v>0</v>
      </c>
      <c r="F647">
        <f>_xlfn.XLOOKUP($A647,Load!$B:$B,Load!G:G,0,)</f>
        <v>0</v>
      </c>
      <c r="G647">
        <f>_xlfn.XLOOKUP($A647,Load!$B:$B,Load!H:H,0,)</f>
        <v>0</v>
      </c>
      <c r="H647">
        <f>_xlfn.XLOOKUP($A647,Load!$B:$B,Load!I:I,0,)</f>
        <v>0</v>
      </c>
      <c r="I647">
        <f>_xlfn.XLOOKUP($A647,Load!$B:$B,Load!J:J,0,)</f>
        <v>0</v>
      </c>
      <c r="J647">
        <f>_xlfn.XLOOKUP($A647,Load!$B:$B,Load!K:K,0,)</f>
        <v>0</v>
      </c>
      <c r="K647">
        <f>_xlfn.XLOOKUP($A647,Load!$B:$B,Load!L:L,0,)</f>
        <v>0</v>
      </c>
      <c r="L647">
        <f>_xlfn.XLOOKUP($A647,Load!$B:$B,Load!M:M,0,)</f>
        <v>0</v>
      </c>
    </row>
    <row r="648" spans="1:12" x14ac:dyDescent="0.25">
      <c r="B648">
        <f>_xlfn.XLOOKUP($A648,Load!$B:$B,Load!C:C,0,)</f>
        <v>0</v>
      </c>
      <c r="C648">
        <f>_xlfn.XLOOKUP($A648,Load!$B:$B,Load!D:D,0,)</f>
        <v>0</v>
      </c>
      <c r="D648">
        <f>_xlfn.XLOOKUP($A648,Load!$B:$B,Load!E:E,0,)</f>
        <v>0</v>
      </c>
      <c r="E648">
        <f>_xlfn.XLOOKUP($A648,Load!$B:$B,Load!F:F,0,)</f>
        <v>0</v>
      </c>
      <c r="F648">
        <f>_xlfn.XLOOKUP($A648,Load!$B:$B,Load!G:G,0,)</f>
        <v>0</v>
      </c>
      <c r="G648">
        <f>_xlfn.XLOOKUP($A648,Load!$B:$B,Load!H:H,0,)</f>
        <v>0</v>
      </c>
      <c r="H648">
        <f>_xlfn.XLOOKUP($A648,Load!$B:$B,Load!I:I,0,)</f>
        <v>0</v>
      </c>
      <c r="I648">
        <f>_xlfn.XLOOKUP($A648,Load!$B:$B,Load!J:J,0,)</f>
        <v>0</v>
      </c>
      <c r="J648">
        <f>_xlfn.XLOOKUP($A648,Load!$B:$B,Load!K:K,0,)</f>
        <v>0</v>
      </c>
      <c r="K648">
        <f>_xlfn.XLOOKUP($A648,Load!$B:$B,Load!L:L,0,)</f>
        <v>0</v>
      </c>
      <c r="L648">
        <f>_xlfn.XLOOKUP($A648,Load!$B:$B,Load!M:M,0,)</f>
        <v>0</v>
      </c>
    </row>
    <row r="649" spans="1:12" x14ac:dyDescent="0.25">
      <c r="B649">
        <f>_xlfn.XLOOKUP($A649,Load!$B:$B,Load!C:C,0,)</f>
        <v>0</v>
      </c>
      <c r="C649">
        <f>_xlfn.XLOOKUP($A649,Load!$B:$B,Load!D:D,0,)</f>
        <v>0</v>
      </c>
      <c r="D649">
        <f>_xlfn.XLOOKUP($A649,Load!$B:$B,Load!E:E,0,)</f>
        <v>0</v>
      </c>
      <c r="E649">
        <f>_xlfn.XLOOKUP($A649,Load!$B:$B,Load!F:F,0,)</f>
        <v>0</v>
      </c>
      <c r="F649">
        <f>_xlfn.XLOOKUP($A649,Load!$B:$B,Load!G:G,0,)</f>
        <v>0</v>
      </c>
      <c r="G649">
        <f>_xlfn.XLOOKUP($A649,Load!$B:$B,Load!H:H,0,)</f>
        <v>0</v>
      </c>
      <c r="H649">
        <f>_xlfn.XLOOKUP($A649,Load!$B:$B,Load!I:I,0,)</f>
        <v>0</v>
      </c>
      <c r="I649">
        <f>_xlfn.XLOOKUP($A649,Load!$B:$B,Load!J:J,0,)</f>
        <v>0</v>
      </c>
      <c r="J649">
        <f>_xlfn.XLOOKUP($A649,Load!$B:$B,Load!K:K,0,)</f>
        <v>0</v>
      </c>
      <c r="K649">
        <f>_xlfn.XLOOKUP($A649,Load!$B:$B,Load!L:L,0,)</f>
        <v>0</v>
      </c>
      <c r="L649">
        <f>_xlfn.XLOOKUP($A649,Load!$B:$B,Load!M:M,0,)</f>
        <v>0</v>
      </c>
    </row>
    <row r="650" spans="1:12" x14ac:dyDescent="0.25">
      <c r="B650">
        <f>_xlfn.XLOOKUP($A650,Load!$B:$B,Load!C:C,0,)</f>
        <v>0</v>
      </c>
      <c r="C650">
        <f>_xlfn.XLOOKUP($A650,Load!$B:$B,Load!D:D,0,)</f>
        <v>0</v>
      </c>
      <c r="D650">
        <f>_xlfn.XLOOKUP($A650,Load!$B:$B,Load!E:E,0,)</f>
        <v>0</v>
      </c>
      <c r="E650">
        <f>_xlfn.XLOOKUP($A650,Load!$B:$B,Load!F:F,0,)</f>
        <v>0</v>
      </c>
      <c r="F650">
        <f>_xlfn.XLOOKUP($A650,Load!$B:$B,Load!G:G,0,)</f>
        <v>0</v>
      </c>
      <c r="G650">
        <f>_xlfn.XLOOKUP($A650,Load!$B:$B,Load!H:H,0,)</f>
        <v>0</v>
      </c>
      <c r="H650">
        <f>_xlfn.XLOOKUP($A650,Load!$B:$B,Load!I:I,0,)</f>
        <v>0</v>
      </c>
      <c r="I650">
        <f>_xlfn.XLOOKUP($A650,Load!$B:$B,Load!J:J,0,)</f>
        <v>0</v>
      </c>
      <c r="J650">
        <f>_xlfn.XLOOKUP($A650,Load!$B:$B,Load!K:K,0,)</f>
        <v>0</v>
      </c>
      <c r="K650">
        <f>_xlfn.XLOOKUP($A650,Load!$B:$B,Load!L:L,0,)</f>
        <v>0</v>
      </c>
      <c r="L650">
        <f>_xlfn.XLOOKUP($A650,Load!$B:$B,Load!M:M,0,)</f>
        <v>0</v>
      </c>
    </row>
    <row r="651" spans="1:12" x14ac:dyDescent="0.25">
      <c r="B651">
        <f>_xlfn.XLOOKUP($A651,Load!$B:$B,Load!C:C,0,)</f>
        <v>0</v>
      </c>
      <c r="C651">
        <f>_xlfn.XLOOKUP($A651,Load!$B:$B,Load!D:D,0,)</f>
        <v>0</v>
      </c>
      <c r="D651">
        <f>_xlfn.XLOOKUP($A651,Load!$B:$B,Load!E:E,0,)</f>
        <v>0</v>
      </c>
      <c r="E651">
        <f>_xlfn.XLOOKUP($A651,Load!$B:$B,Load!F:F,0,)</f>
        <v>0</v>
      </c>
      <c r="F651">
        <f>_xlfn.XLOOKUP($A651,Load!$B:$B,Load!G:G,0,)</f>
        <v>0</v>
      </c>
      <c r="G651">
        <f>_xlfn.XLOOKUP($A651,Load!$B:$B,Load!H:H,0,)</f>
        <v>0</v>
      </c>
      <c r="H651">
        <f>_xlfn.XLOOKUP($A651,Load!$B:$B,Load!I:I,0,)</f>
        <v>0</v>
      </c>
      <c r="I651">
        <f>_xlfn.XLOOKUP($A651,Load!$B:$B,Load!J:J,0,)</f>
        <v>0</v>
      </c>
      <c r="J651">
        <f>_xlfn.XLOOKUP($A651,Load!$B:$B,Load!K:K,0,)</f>
        <v>0</v>
      </c>
      <c r="K651">
        <f>_xlfn.XLOOKUP($A651,Load!$B:$B,Load!L:L,0,)</f>
        <v>0</v>
      </c>
      <c r="L651">
        <f>_xlfn.XLOOKUP($A651,Load!$B:$B,Load!M:M,0,)</f>
        <v>0</v>
      </c>
    </row>
    <row r="652" spans="1:12" x14ac:dyDescent="0.25">
      <c r="A652" t="s">
        <v>265</v>
      </c>
      <c r="B652" t="str">
        <f>_xlfn.XLOOKUP($A652,Load!$B:$B,Load!C:C,0,)</f>
        <v>Smarties</v>
      </c>
      <c r="C652" t="str">
        <f>_xlfn.XLOOKUP($A652,Load!$B:$B,Load!D:D,0,)</f>
        <v>Non-Chocolate Candy Only</v>
      </c>
      <c r="D652" t="str">
        <f>_xlfn.XLOOKUP($A652,Load!$B:$B,Load!E:E,0,)</f>
        <v>Fruit Flavor (Cherry, Grape, Apple, Citrus, Tropical Fruit)</v>
      </c>
      <c r="E652" t="str">
        <f>_xlfn.XLOOKUP($A652,Load!$B:$B,Load!F:F,0,)</f>
        <v>Powder / Chalky</v>
      </c>
      <c r="F652" t="str">
        <f>_xlfn.XLOOKUP($A652,Load!$B:$B,Load!G:G,0,)</f>
        <v>Large Multipack (More than 80 ct)</v>
      </c>
      <c r="G652" t="str">
        <f>_xlfn.XLOOKUP($A652,Load!$B:$B,Load!H:H,0,)</f>
        <v>Laydown Bag</v>
      </c>
      <c r="H652" t="str">
        <f>_xlfn.XLOOKUP($A652,Load!$B:$B,Load!I:I,0,)</f>
        <v>Seasonal Shapes (like pumpkins, candy corn, ghost, bats, etc.)</v>
      </c>
      <c r="I652" t="str">
        <f>_xlfn.XLOOKUP($A652,Load!$B:$B,Load!J:J,0,)</f>
        <v>Seasonal Graphics (Like Bat, Ghost, Pumpkin, Fall Leaves, Eyeballs, etc.)</v>
      </c>
      <c r="J652" t="str">
        <f>_xlfn.XLOOKUP($A652,Load!$B:$B,Load!K:K,0,)</f>
        <v>Small Pieces (Tiny bite size candies)</v>
      </c>
      <c r="K652" t="str">
        <f>_xlfn.XLOOKUP($A652,Load!$B:$B,Load!L:L,0,)</f>
        <v>Regular/Original Wrapping</v>
      </c>
      <c r="L652" t="str">
        <f>_xlfn.XLOOKUP($A652,Load!$B:$B,Load!M:M,0,)</f>
        <v>Single Brand / Single Flavor or Form</v>
      </c>
    </row>
    <row r="653" spans="1:12" x14ac:dyDescent="0.25">
      <c r="B653">
        <f>_xlfn.XLOOKUP($A653,Load!$B:$B,Load!C:C,0,)</f>
        <v>0</v>
      </c>
      <c r="C653">
        <f>_xlfn.XLOOKUP($A653,Load!$B:$B,Load!D:D,0,)</f>
        <v>0</v>
      </c>
      <c r="D653">
        <f>_xlfn.XLOOKUP($A653,Load!$B:$B,Load!E:E,0,)</f>
        <v>0</v>
      </c>
      <c r="E653">
        <f>_xlfn.XLOOKUP($A653,Load!$B:$B,Load!F:F,0,)</f>
        <v>0</v>
      </c>
      <c r="F653">
        <f>_xlfn.XLOOKUP($A653,Load!$B:$B,Load!G:G,0,)</f>
        <v>0</v>
      </c>
      <c r="G653">
        <f>_xlfn.XLOOKUP($A653,Load!$B:$B,Load!H:H,0,)</f>
        <v>0</v>
      </c>
      <c r="H653">
        <f>_xlfn.XLOOKUP($A653,Load!$B:$B,Load!I:I,0,)</f>
        <v>0</v>
      </c>
      <c r="I653">
        <f>_xlfn.XLOOKUP($A653,Load!$B:$B,Load!J:J,0,)</f>
        <v>0</v>
      </c>
      <c r="J653">
        <f>_xlfn.XLOOKUP($A653,Load!$B:$B,Load!K:K,0,)</f>
        <v>0</v>
      </c>
      <c r="K653">
        <f>_xlfn.XLOOKUP($A653,Load!$B:$B,Load!L:L,0,)</f>
        <v>0</v>
      </c>
      <c r="L653">
        <f>_xlfn.XLOOKUP($A653,Load!$B:$B,Load!M:M,0,)</f>
        <v>0</v>
      </c>
    </row>
    <row r="654" spans="1:12" x14ac:dyDescent="0.25">
      <c r="A654" t="s">
        <v>138</v>
      </c>
      <c r="B654" t="str">
        <f>_xlfn.XLOOKUP($A654,Load!$B:$B,Load!C:C,0,)</f>
        <v>Hershey's Variety Pack + Haribo</v>
      </c>
      <c r="C654" t="str">
        <f>_xlfn.XLOOKUP($A654,Load!$B:$B,Load!D:D,0,)</f>
        <v>Non-Chocolate Candy Only</v>
      </c>
      <c r="D654" t="str">
        <f>_xlfn.XLOOKUP($A654,Load!$B:$B,Load!E:E,0,)</f>
        <v>Variety / Mixed Flavors (Fruity, Sour, Seasonal Flavors)</v>
      </c>
      <c r="E654" t="str">
        <f>_xlfn.XLOOKUP($A654,Load!$B:$B,Load!F:F,0,)</f>
        <v>Mixed / Combo Packs (Gummy, Chewy, Taffy, etc.)</v>
      </c>
      <c r="F654" t="str">
        <f>_xlfn.XLOOKUP($A654,Load!$B:$B,Load!G:G,0,)</f>
        <v>Medium Multipack (40–80 ct)</v>
      </c>
      <c r="G654" t="str">
        <f>_xlfn.XLOOKUP($A654,Load!$B:$B,Load!H:H,0,)</f>
        <v>Laydown Bag</v>
      </c>
      <c r="H654" t="str">
        <f>_xlfn.XLOOKUP($A654,Load!$B:$B,Load!I:I,0,)</f>
        <v>Everyday Candy Shapes (like Original, Gummy bear, Fruit, Jewels, etc.)</v>
      </c>
      <c r="I654" t="str">
        <f>_xlfn.XLOOKUP($A654,Load!$B:$B,Load!J:J,0,)</f>
        <v>Seasonal Graphics (Like Bat, Ghost, Pumpkin, Fall Leaves, Eyeballs, etc.)</v>
      </c>
      <c r="J654" t="str">
        <f>_xlfn.XLOOKUP($A654,Load!$B:$B,Load!K:K,0,)</f>
        <v>Fun Size / Treat Size</v>
      </c>
      <c r="K654" t="str">
        <f>_xlfn.XLOOKUP($A654,Load!$B:$B,Load!L:L,0,)</f>
        <v>Regular/Original Wrapping</v>
      </c>
      <c r="L654" t="str">
        <f>_xlfn.XLOOKUP($A654,Load!$B:$B,Load!M:M,0,)</f>
        <v>Multiple Brands / Variety Flavors or Form</v>
      </c>
    </row>
    <row r="655" spans="1:12" x14ac:dyDescent="0.25">
      <c r="B655">
        <f>_xlfn.XLOOKUP($A655,Load!$B:$B,Load!C:C,0,)</f>
        <v>0</v>
      </c>
      <c r="C655">
        <f>_xlfn.XLOOKUP($A655,Load!$B:$B,Load!D:D,0,)</f>
        <v>0</v>
      </c>
      <c r="D655">
        <f>_xlfn.XLOOKUP($A655,Load!$B:$B,Load!E:E,0,)</f>
        <v>0</v>
      </c>
      <c r="E655">
        <f>_xlfn.XLOOKUP($A655,Load!$B:$B,Load!F:F,0,)</f>
        <v>0</v>
      </c>
      <c r="F655">
        <f>_xlfn.XLOOKUP($A655,Load!$B:$B,Load!G:G,0,)</f>
        <v>0</v>
      </c>
      <c r="G655">
        <f>_xlfn.XLOOKUP($A655,Load!$B:$B,Load!H:H,0,)</f>
        <v>0</v>
      </c>
      <c r="H655">
        <f>_xlfn.XLOOKUP($A655,Load!$B:$B,Load!I:I,0,)</f>
        <v>0</v>
      </c>
      <c r="I655">
        <f>_xlfn.XLOOKUP($A655,Load!$B:$B,Load!J:J,0,)</f>
        <v>0</v>
      </c>
      <c r="J655">
        <f>_xlfn.XLOOKUP($A655,Load!$B:$B,Load!K:K,0,)</f>
        <v>0</v>
      </c>
      <c r="K655">
        <f>_xlfn.XLOOKUP($A655,Load!$B:$B,Load!L:L,0,)</f>
        <v>0</v>
      </c>
      <c r="L655">
        <f>_xlfn.XLOOKUP($A655,Load!$B:$B,Load!M:M,0,)</f>
        <v>0</v>
      </c>
    </row>
    <row r="656" spans="1:12" x14ac:dyDescent="0.25">
      <c r="B656">
        <f>_xlfn.XLOOKUP($A656,Load!$B:$B,Load!C:C,0,)</f>
        <v>0</v>
      </c>
      <c r="C656">
        <f>_xlfn.XLOOKUP($A656,Load!$B:$B,Load!D:D,0,)</f>
        <v>0</v>
      </c>
      <c r="D656">
        <f>_xlfn.XLOOKUP($A656,Load!$B:$B,Load!E:E,0,)</f>
        <v>0</v>
      </c>
      <c r="E656">
        <f>_xlfn.XLOOKUP($A656,Load!$B:$B,Load!F:F,0,)</f>
        <v>0</v>
      </c>
      <c r="F656">
        <f>_xlfn.XLOOKUP($A656,Load!$B:$B,Load!G:G,0,)</f>
        <v>0</v>
      </c>
      <c r="G656">
        <f>_xlfn.XLOOKUP($A656,Load!$B:$B,Load!H:H,0,)</f>
        <v>0</v>
      </c>
      <c r="H656">
        <f>_xlfn.XLOOKUP($A656,Load!$B:$B,Load!I:I,0,)</f>
        <v>0</v>
      </c>
      <c r="I656">
        <f>_xlfn.XLOOKUP($A656,Load!$B:$B,Load!J:J,0,)</f>
        <v>0</v>
      </c>
      <c r="J656">
        <f>_xlfn.XLOOKUP($A656,Load!$B:$B,Load!K:K,0,)</f>
        <v>0</v>
      </c>
      <c r="K656">
        <f>_xlfn.XLOOKUP($A656,Load!$B:$B,Load!L:L,0,)</f>
        <v>0</v>
      </c>
      <c r="L656">
        <f>_xlfn.XLOOKUP($A656,Load!$B:$B,Load!M:M,0,)</f>
        <v>0</v>
      </c>
    </row>
    <row r="657" spans="1:12" x14ac:dyDescent="0.25">
      <c r="B657">
        <f>_xlfn.XLOOKUP($A657,Load!$B:$B,Load!C:C,0,)</f>
        <v>0</v>
      </c>
      <c r="C657">
        <f>_xlfn.XLOOKUP($A657,Load!$B:$B,Load!D:D,0,)</f>
        <v>0</v>
      </c>
      <c r="D657">
        <f>_xlfn.XLOOKUP($A657,Load!$B:$B,Load!E:E,0,)</f>
        <v>0</v>
      </c>
      <c r="E657">
        <f>_xlfn.XLOOKUP($A657,Load!$B:$B,Load!F:F,0,)</f>
        <v>0</v>
      </c>
      <c r="F657">
        <f>_xlfn.XLOOKUP($A657,Load!$B:$B,Load!G:G,0,)</f>
        <v>0</v>
      </c>
      <c r="G657">
        <f>_xlfn.XLOOKUP($A657,Load!$B:$B,Load!H:H,0,)</f>
        <v>0</v>
      </c>
      <c r="H657">
        <f>_xlfn.XLOOKUP($A657,Load!$B:$B,Load!I:I,0,)</f>
        <v>0</v>
      </c>
      <c r="I657">
        <f>_xlfn.XLOOKUP($A657,Load!$B:$B,Load!J:J,0,)</f>
        <v>0</v>
      </c>
      <c r="J657">
        <f>_xlfn.XLOOKUP($A657,Load!$B:$B,Load!K:K,0,)</f>
        <v>0</v>
      </c>
      <c r="K657">
        <f>_xlfn.XLOOKUP($A657,Load!$B:$B,Load!L:L,0,)</f>
        <v>0</v>
      </c>
      <c r="L657">
        <f>_xlfn.XLOOKUP($A657,Load!$B:$B,Load!M:M,0,)</f>
        <v>0</v>
      </c>
    </row>
    <row r="658" spans="1:12" x14ac:dyDescent="0.25">
      <c r="A658" t="s">
        <v>230</v>
      </c>
      <c r="B658" t="str">
        <f>_xlfn.XLOOKUP($A658,Load!$B:$B,Load!C:C,0,)</f>
        <v>Nerds</v>
      </c>
      <c r="C658" t="str">
        <f>_xlfn.XLOOKUP($A658,Load!$B:$B,Load!D:D,0,)</f>
        <v>Non-Chocolate Candy Only</v>
      </c>
      <c r="D658" t="str">
        <f>_xlfn.XLOOKUP($A658,Load!$B:$B,Load!E:E,0,)</f>
        <v>Sweet</v>
      </c>
      <c r="E658" t="str">
        <f>_xlfn.XLOOKUP($A658,Load!$B:$B,Load!F:F,0,)</f>
        <v>Chewy</v>
      </c>
      <c r="F658" t="str">
        <f>_xlfn.XLOOKUP($A658,Load!$B:$B,Load!G:G,0,)</f>
        <v>Single Pack</v>
      </c>
      <c r="G658" t="str">
        <f>_xlfn.XLOOKUP($A658,Load!$B:$B,Load!H:H,0,)</f>
        <v>Laydown Bag</v>
      </c>
      <c r="H658" t="str">
        <f>_xlfn.XLOOKUP($A658,Load!$B:$B,Load!I:I,0,)</f>
        <v>Everyday Candy Shapes (like Original, Gummy bear, Fruit, Jewels, etc.)</v>
      </c>
      <c r="I658" t="str">
        <f>_xlfn.XLOOKUP($A658,Load!$B:$B,Load!J:J,0,)</f>
        <v>Seasonal Graphics (Like Bat, Ghost, Pumpkin, Fall Leaves, Eyeballs, etc.)</v>
      </c>
      <c r="J658" t="str">
        <f>_xlfn.XLOOKUP($A658,Load!$B:$B,Load!K:K,0,)</f>
        <v>Fun Size / Treat Size</v>
      </c>
      <c r="K658" t="str">
        <f>_xlfn.XLOOKUP($A658,Load!$B:$B,Load!L:L,0,)</f>
        <v>Regular/Original Wrapping</v>
      </c>
      <c r="L658" t="str">
        <f>_xlfn.XLOOKUP($A658,Load!$B:$B,Load!M:M,0,)</f>
        <v>Single Brand / Single Flavor or Form</v>
      </c>
    </row>
    <row r="659" spans="1:12" x14ac:dyDescent="0.25">
      <c r="A659" t="s">
        <v>303</v>
      </c>
      <c r="B659" t="str">
        <f>_xlfn.XLOOKUP($A659,Load!$B:$B,Load!C:C,0,)</f>
        <v>Warheads</v>
      </c>
      <c r="C659" t="str">
        <f>_xlfn.XLOOKUP($A659,Load!$B:$B,Load!D:D,0,)</f>
        <v>Non-Chocolate Candy Only</v>
      </c>
      <c r="D659" t="str">
        <f>_xlfn.XLOOKUP($A659,Load!$B:$B,Load!E:E,0,)</f>
        <v>Variety / Mixed Flavors (Fruity, Sour, Seasonal Flavors)</v>
      </c>
      <c r="E659" t="str">
        <f>_xlfn.XLOOKUP($A659,Load!$B:$B,Load!F:F,0,)</f>
        <v>Chewy</v>
      </c>
      <c r="F659" t="str">
        <f>_xlfn.XLOOKUP($A659,Load!$B:$B,Load!G:G,0,)</f>
        <v>Single Pack</v>
      </c>
      <c r="G659" t="str">
        <f>_xlfn.XLOOKUP($A659,Load!$B:$B,Load!H:H,0,)</f>
        <v>Peg Bag</v>
      </c>
      <c r="H659" t="str">
        <f>_xlfn.XLOOKUP($A659,Load!$B:$B,Load!I:I,0,)</f>
        <v>Everyday Candy Shapes (like Original, Gummy bear, Fruit, Jewels, etc.)</v>
      </c>
      <c r="I659" t="str">
        <f>_xlfn.XLOOKUP($A659,Load!$B:$B,Load!J:J,0,)</f>
        <v>Seasonal Graphics (Like Bat, Ghost, Pumpkin, Fall Leaves, Eyeballs, etc.)</v>
      </c>
      <c r="J659" t="str">
        <f>_xlfn.XLOOKUP($A659,Load!$B:$B,Load!K:K,0,)</f>
        <v>Fun Size / Treat Size</v>
      </c>
      <c r="K659" t="str">
        <f>_xlfn.XLOOKUP($A659,Load!$B:$B,Load!L:L,0,)</f>
        <v>Unwrapped</v>
      </c>
      <c r="L659" t="str">
        <f>_xlfn.XLOOKUP($A659,Load!$B:$B,Load!M:M,0,)</f>
        <v>Single Brand / Single Flavor or Form</v>
      </c>
    </row>
    <row r="660" spans="1:12" x14ac:dyDescent="0.25">
      <c r="A660" t="s">
        <v>214</v>
      </c>
      <c r="B660" t="str">
        <f>_xlfn.XLOOKUP($A660,Load!$B:$B,Load!C:C,0,)</f>
        <v>Mars Variety Pack</v>
      </c>
      <c r="C660" t="str">
        <f>_xlfn.XLOOKUP($A660,Load!$B:$B,Load!D:D,0,)</f>
        <v>Mix of Chocolate and Non-Chocolate Candy</v>
      </c>
      <c r="D660" t="str">
        <f>_xlfn.XLOOKUP($A660,Load!$B:$B,Load!E:E,0,)</f>
        <v>Variety / Mixed Flavors (Fruity, Sour, Seasonal Flavors)</v>
      </c>
      <c r="E660" t="str">
        <f>_xlfn.XLOOKUP($A660,Load!$B:$B,Load!F:F,0,)</f>
        <v>Mixed / Combo Packs (Gummy, Chewy, Taffy, etc.)</v>
      </c>
      <c r="F660" t="str">
        <f>_xlfn.XLOOKUP($A660,Load!$B:$B,Load!G:G,0,)</f>
        <v>Large Multipack (More than 80 ct)</v>
      </c>
      <c r="G660" t="str">
        <f>_xlfn.XLOOKUP($A660,Load!$B:$B,Load!H:H,0,)</f>
        <v>Stand-Up Bag</v>
      </c>
      <c r="H660" t="str">
        <f>_xlfn.XLOOKUP($A660,Load!$B:$B,Load!I:I,0,)</f>
        <v>Everyday Candy Shapes (like Original, Gummy bear, Fruit, Jewels, etc.)</v>
      </c>
      <c r="I660" t="str">
        <f>_xlfn.XLOOKUP($A660,Load!$B:$B,Load!J:J,0,)</f>
        <v>Seasonal Graphics (Like Bat, Ghost, Pumpkin, Fall Leaves, Eyeballs, etc.)</v>
      </c>
      <c r="J660" t="str">
        <f>_xlfn.XLOOKUP($A660,Load!$B:$B,Load!K:K,0,)</f>
        <v>Fun Size / Treat Size</v>
      </c>
      <c r="K660" t="str">
        <f>_xlfn.XLOOKUP($A660,Load!$B:$B,Load!L:L,0,)</f>
        <v>Regular/Original Wrapping</v>
      </c>
      <c r="L660" t="str">
        <f>_xlfn.XLOOKUP($A660,Load!$B:$B,Load!M:M,0,)</f>
        <v>Multiple Brands / Variety Flavors or Form</v>
      </c>
    </row>
    <row r="661" spans="1:12" x14ac:dyDescent="0.25">
      <c r="A661" t="s">
        <v>133</v>
      </c>
      <c r="B661" t="str">
        <f>_xlfn.XLOOKUP($A661,Load!$B:$B,Load!C:C,0,)</f>
        <v>Hershey's</v>
      </c>
      <c r="C661" t="str">
        <f>_xlfn.XLOOKUP($A661,Load!$B:$B,Load!D:D,0,)</f>
        <v>Non-Chocolate Candy Only</v>
      </c>
      <c r="D661" t="str">
        <f>_xlfn.XLOOKUP($A661,Load!$B:$B,Load!E:E,0,)</f>
        <v>Variety / Mixed Flavors (Fruity, Sour, Seasonal Flavors)</v>
      </c>
      <c r="E661" t="str">
        <f>_xlfn.XLOOKUP($A661,Load!$B:$B,Load!F:F,0,)</f>
        <v>Mixed / Combo Packs (Gummy, Chewy, Taffy, etc.)</v>
      </c>
      <c r="F661" t="str">
        <f>_xlfn.XLOOKUP($A661,Load!$B:$B,Load!G:G,0,)</f>
        <v>Large Multipack (More than 80 ct)</v>
      </c>
      <c r="G661" t="str">
        <f>_xlfn.XLOOKUP($A661,Load!$B:$B,Load!H:H,0,)</f>
        <v>Stand-Up Bag</v>
      </c>
      <c r="H661" t="str">
        <f>_xlfn.XLOOKUP($A661,Load!$B:$B,Load!I:I,0,)</f>
        <v>Everyday Candy Shapes (like Original, Gummy bear, Fruit, Jewels, etc.)</v>
      </c>
      <c r="I661" t="str">
        <f>_xlfn.XLOOKUP($A661,Load!$B:$B,Load!J:J,0,)</f>
        <v>Seasonal Graphics (Like Bat, Ghost, Pumpkin, Fall Leaves, Eyeballs, etc.)</v>
      </c>
      <c r="J661" t="str">
        <f>_xlfn.XLOOKUP($A661,Load!$B:$B,Load!K:K,0,)</f>
        <v>Fun Size / Treat Size</v>
      </c>
      <c r="K661" t="str">
        <f>_xlfn.XLOOKUP($A661,Load!$B:$B,Load!L:L,0,)</f>
        <v>Regular/Original Wrapping</v>
      </c>
      <c r="L661" t="str">
        <f>_xlfn.XLOOKUP($A661,Load!$B:$B,Load!M:M,0,)</f>
        <v>Multiple Brands / Variety Flavors or Form</v>
      </c>
    </row>
    <row r="662" spans="1:12" x14ac:dyDescent="0.25">
      <c r="A662" t="s">
        <v>272</v>
      </c>
      <c r="B662" t="str">
        <f>_xlfn.XLOOKUP($A662,Load!$B:$B,Load!C:C,0,)</f>
        <v>Sour Patch Kids</v>
      </c>
      <c r="C662" t="str">
        <f>_xlfn.XLOOKUP($A662,Load!$B:$B,Load!D:D,0,)</f>
        <v>Non-Chocolate Candy Only</v>
      </c>
      <c r="D662" t="str">
        <f>_xlfn.XLOOKUP($A662,Load!$B:$B,Load!E:E,0,)</f>
        <v>Sour</v>
      </c>
      <c r="E662" t="str">
        <f>_xlfn.XLOOKUP($A662,Load!$B:$B,Load!F:F,0,)</f>
        <v>Chewy</v>
      </c>
      <c r="F662" t="str">
        <f>_xlfn.XLOOKUP($A662,Load!$B:$B,Load!G:G,0,)</f>
        <v>Medium Multipack (40–80 ct)</v>
      </c>
      <c r="G662" t="str">
        <f>_xlfn.XLOOKUP($A662,Load!$B:$B,Load!H:H,0,)</f>
        <v>Peg Bag</v>
      </c>
      <c r="H662" t="str">
        <f>_xlfn.XLOOKUP($A662,Load!$B:$B,Load!I:I,0,)</f>
        <v>Everyday Candy Shapes (like Original, Gummy bear, Fruit, Jewels, etc.)</v>
      </c>
      <c r="I662" t="str">
        <f>_xlfn.XLOOKUP($A662,Load!$B:$B,Load!J:J,0,)</f>
        <v>Seasonal Graphics (Like Bat, Ghost, Pumpkin, Fall Leaves, Eyeballs, etc.)</v>
      </c>
      <c r="J662" t="str">
        <f>_xlfn.XLOOKUP($A662,Load!$B:$B,Load!K:K,0,)</f>
        <v>Small Pieces (Tiny bite size candies)</v>
      </c>
      <c r="K662" t="str">
        <f>_xlfn.XLOOKUP($A662,Load!$B:$B,Load!L:L,0,)</f>
        <v>Unwrapped</v>
      </c>
      <c r="L662" t="str">
        <f>_xlfn.XLOOKUP($A662,Load!$B:$B,Load!M:M,0,)</f>
        <v>Single Brand / Single Flavor or Form</v>
      </c>
    </row>
    <row r="663" spans="1:12" x14ac:dyDescent="0.25">
      <c r="B663">
        <f>_xlfn.XLOOKUP($A663,Load!$B:$B,Load!C:C,0,)</f>
        <v>0</v>
      </c>
      <c r="C663">
        <f>_xlfn.XLOOKUP($A663,Load!$B:$B,Load!D:D,0,)</f>
        <v>0</v>
      </c>
      <c r="D663">
        <f>_xlfn.XLOOKUP($A663,Load!$B:$B,Load!E:E,0,)</f>
        <v>0</v>
      </c>
      <c r="E663">
        <f>_xlfn.XLOOKUP($A663,Load!$B:$B,Load!F:F,0,)</f>
        <v>0</v>
      </c>
      <c r="F663">
        <f>_xlfn.XLOOKUP($A663,Load!$B:$B,Load!G:G,0,)</f>
        <v>0</v>
      </c>
      <c r="G663">
        <f>_xlfn.XLOOKUP($A663,Load!$B:$B,Load!H:H,0,)</f>
        <v>0</v>
      </c>
      <c r="H663">
        <f>_xlfn.XLOOKUP($A663,Load!$B:$B,Load!I:I,0,)</f>
        <v>0</v>
      </c>
      <c r="I663">
        <f>_xlfn.XLOOKUP($A663,Load!$B:$B,Load!J:J,0,)</f>
        <v>0</v>
      </c>
      <c r="J663">
        <f>_xlfn.XLOOKUP($A663,Load!$B:$B,Load!K:K,0,)</f>
        <v>0</v>
      </c>
      <c r="K663">
        <f>_xlfn.XLOOKUP($A663,Load!$B:$B,Load!L:L,0,)</f>
        <v>0</v>
      </c>
      <c r="L663">
        <f>_xlfn.XLOOKUP($A663,Load!$B:$B,Load!M:M,0,)</f>
        <v>0</v>
      </c>
    </row>
    <row r="664" spans="1:12" x14ac:dyDescent="0.25">
      <c r="B664">
        <f>_xlfn.XLOOKUP($A664,Load!$B:$B,Load!C:C,0,)</f>
        <v>0</v>
      </c>
      <c r="C664">
        <f>_xlfn.XLOOKUP($A664,Load!$B:$B,Load!D:D,0,)</f>
        <v>0</v>
      </c>
      <c r="D664">
        <f>_xlfn.XLOOKUP($A664,Load!$B:$B,Load!E:E,0,)</f>
        <v>0</v>
      </c>
      <c r="E664">
        <f>_xlfn.XLOOKUP($A664,Load!$B:$B,Load!F:F,0,)</f>
        <v>0</v>
      </c>
      <c r="F664">
        <f>_xlfn.XLOOKUP($A664,Load!$B:$B,Load!G:G,0,)</f>
        <v>0</v>
      </c>
      <c r="G664">
        <f>_xlfn.XLOOKUP($A664,Load!$B:$B,Load!H:H,0,)</f>
        <v>0</v>
      </c>
      <c r="H664">
        <f>_xlfn.XLOOKUP($A664,Load!$B:$B,Load!I:I,0,)</f>
        <v>0</v>
      </c>
      <c r="I664">
        <f>_xlfn.XLOOKUP($A664,Load!$B:$B,Load!J:J,0,)</f>
        <v>0</v>
      </c>
      <c r="J664">
        <f>_xlfn.XLOOKUP($A664,Load!$B:$B,Load!K:K,0,)</f>
        <v>0</v>
      </c>
      <c r="K664">
        <f>_xlfn.XLOOKUP($A664,Load!$B:$B,Load!L:L,0,)</f>
        <v>0</v>
      </c>
      <c r="L664">
        <f>_xlfn.XLOOKUP($A664,Load!$B:$B,Load!M:M,0,)</f>
        <v>0</v>
      </c>
    </row>
    <row r="665" spans="1:12" x14ac:dyDescent="0.25">
      <c r="B665">
        <f>_xlfn.XLOOKUP($A665,Load!$B:$B,Load!C:C,0,)</f>
        <v>0</v>
      </c>
      <c r="C665">
        <f>_xlfn.XLOOKUP($A665,Load!$B:$B,Load!D:D,0,)</f>
        <v>0</v>
      </c>
      <c r="D665">
        <f>_xlfn.XLOOKUP($A665,Load!$B:$B,Load!E:E,0,)</f>
        <v>0</v>
      </c>
      <c r="E665">
        <f>_xlfn.XLOOKUP($A665,Load!$B:$B,Load!F:F,0,)</f>
        <v>0</v>
      </c>
      <c r="F665">
        <f>_xlfn.XLOOKUP($A665,Load!$B:$B,Load!G:G,0,)</f>
        <v>0</v>
      </c>
      <c r="G665">
        <f>_xlfn.XLOOKUP($A665,Load!$B:$B,Load!H:H,0,)</f>
        <v>0</v>
      </c>
      <c r="H665">
        <f>_xlfn.XLOOKUP($A665,Load!$B:$B,Load!I:I,0,)</f>
        <v>0</v>
      </c>
      <c r="I665">
        <f>_xlfn.XLOOKUP($A665,Load!$B:$B,Load!J:J,0,)</f>
        <v>0</v>
      </c>
      <c r="J665">
        <f>_xlfn.XLOOKUP($A665,Load!$B:$B,Load!K:K,0,)</f>
        <v>0</v>
      </c>
      <c r="K665">
        <f>_xlfn.XLOOKUP($A665,Load!$B:$B,Load!L:L,0,)</f>
        <v>0</v>
      </c>
      <c r="L665">
        <f>_xlfn.XLOOKUP($A665,Load!$B:$B,Load!M:M,0,)</f>
        <v>0</v>
      </c>
    </row>
    <row r="666" spans="1:12" x14ac:dyDescent="0.25">
      <c r="A666" t="s">
        <v>180</v>
      </c>
      <c r="B666" t="str">
        <f>_xlfn.XLOOKUP($A666,Load!$B:$B,Load!C:C,0,)</f>
        <v>Mars Variety Pack</v>
      </c>
      <c r="C666" t="str">
        <f>_xlfn.XLOOKUP($A666,Load!$B:$B,Load!D:D,0,)</f>
        <v>Mix of Chocolate and Non-Chocolate Candy</v>
      </c>
      <c r="D666" t="str">
        <f>_xlfn.XLOOKUP($A666,Load!$B:$B,Load!E:E,0,)</f>
        <v>Variety / Mixed Flavors (Fruity, Sour, Seasonal Flavors)</v>
      </c>
      <c r="E666" t="str">
        <f>_xlfn.XLOOKUP($A666,Load!$B:$B,Load!F:F,0,)</f>
        <v>Mixed / Combo Packs (Gummy, Chewy, Taffy, etc.)</v>
      </c>
      <c r="F666" t="str">
        <f>_xlfn.XLOOKUP($A666,Load!$B:$B,Load!G:G,0,)</f>
        <v>Large Multipack (More than 80 ct)</v>
      </c>
      <c r="G666" t="str">
        <f>_xlfn.XLOOKUP($A666,Load!$B:$B,Load!H:H,0,)</f>
        <v>Stand-Up Bag</v>
      </c>
      <c r="H666" t="str">
        <f>_xlfn.XLOOKUP($A666,Load!$B:$B,Load!I:I,0,)</f>
        <v>Everyday Candy Shapes (like Original, Gummy bear, Fruit, Jewels, etc.)</v>
      </c>
      <c r="I666" t="str">
        <f>_xlfn.XLOOKUP($A666,Load!$B:$B,Load!J:J,0,)</f>
        <v>Seasonal Graphics (Like Bat, Ghost, Pumpkin, Fall Leaves, Eyeballs, etc.)</v>
      </c>
      <c r="J666" t="str">
        <f>_xlfn.XLOOKUP($A666,Load!$B:$B,Load!K:K,0,)</f>
        <v>Fun Size / Treat Size</v>
      </c>
      <c r="K666" t="str">
        <f>_xlfn.XLOOKUP($A666,Load!$B:$B,Load!L:L,0,)</f>
        <v>Regular/Original Wrapping</v>
      </c>
      <c r="L666" t="str">
        <f>_xlfn.XLOOKUP($A666,Load!$B:$B,Load!M:M,0,)</f>
        <v>Multiple Brands / Variety Flavors or Form</v>
      </c>
    </row>
    <row r="667" spans="1:12" x14ac:dyDescent="0.25">
      <c r="A667" t="s">
        <v>188</v>
      </c>
      <c r="B667" t="str">
        <f>_xlfn.XLOOKUP($A667,Load!$B:$B,Load!C:C,0,)</f>
        <v>Mars Variety Pack</v>
      </c>
      <c r="C667" t="str">
        <f>_xlfn.XLOOKUP($A667,Load!$B:$B,Load!D:D,0,)</f>
        <v>Non-Chocolate Candy Only</v>
      </c>
      <c r="D667" t="str">
        <f>_xlfn.XLOOKUP($A667,Load!$B:$B,Load!E:E,0,)</f>
        <v>Variety / Mixed Flavors (Fruity, Sour, Seasonal Flavors)</v>
      </c>
      <c r="E667" t="str">
        <f>_xlfn.XLOOKUP($A667,Load!$B:$B,Load!F:F,0,)</f>
        <v>Mixed / Combo Packs (Gummy, Chewy, Taffy, etc.)</v>
      </c>
      <c r="F667" t="str">
        <f>_xlfn.XLOOKUP($A667,Load!$B:$B,Load!G:G,0,)</f>
        <v>Large Multipack (More than 80 ct)</v>
      </c>
      <c r="G667" t="str">
        <f>_xlfn.XLOOKUP($A667,Load!$B:$B,Load!H:H,0,)</f>
        <v>Laydown Bag</v>
      </c>
      <c r="H667" t="str">
        <f>_xlfn.XLOOKUP($A667,Load!$B:$B,Load!I:I,0,)</f>
        <v>Everyday Candy Shapes (like Original, Gummy bear, Fruit, Jewels, etc.)</v>
      </c>
      <c r="I667" t="str">
        <f>_xlfn.XLOOKUP($A667,Load!$B:$B,Load!J:J,0,)</f>
        <v>Everyday Graphics</v>
      </c>
      <c r="J667" t="str">
        <f>_xlfn.XLOOKUP($A667,Load!$B:$B,Load!K:K,0,)</f>
        <v>Small Pieces (Tiny bite size candies)</v>
      </c>
      <c r="K667" t="str">
        <f>_xlfn.XLOOKUP($A667,Load!$B:$B,Load!L:L,0,)</f>
        <v>Regular/Original Wrapping</v>
      </c>
      <c r="L667" t="str">
        <f>_xlfn.XLOOKUP($A667,Load!$B:$B,Load!M:M,0,)</f>
        <v>Multiple Brands / Variety Flavors or Form</v>
      </c>
    </row>
    <row r="668" spans="1:12" x14ac:dyDescent="0.25">
      <c r="A668" t="s">
        <v>184</v>
      </c>
      <c r="B668" t="str">
        <f>_xlfn.XLOOKUP($A668,Load!$B:$B,Load!C:C,0,)</f>
        <v>Mars Variety Pack</v>
      </c>
      <c r="C668" t="str">
        <f>_xlfn.XLOOKUP($A668,Load!$B:$B,Load!D:D,0,)</f>
        <v>Mix of Chocolate and Non-Chocolate Candy</v>
      </c>
      <c r="D668" t="str">
        <f>_xlfn.XLOOKUP($A668,Load!$B:$B,Load!E:E,0,)</f>
        <v>Variety / Mixed Flavors (Fruity, Sour, Seasonal Flavors)</v>
      </c>
      <c r="E668" t="str">
        <f>_xlfn.XLOOKUP($A668,Load!$B:$B,Load!F:F,0,)</f>
        <v>Mixed / Combo Packs (Gummy, Chewy, Taffy, etc.)</v>
      </c>
      <c r="F668" t="str">
        <f>_xlfn.XLOOKUP($A668,Load!$B:$B,Load!G:G,0,)</f>
        <v>Large Multipack (More than 80 ct)</v>
      </c>
      <c r="G668" t="str">
        <f>_xlfn.XLOOKUP($A668,Load!$B:$B,Load!H:H,0,)</f>
        <v>Stand-Up Bag</v>
      </c>
      <c r="H668" t="str">
        <f>_xlfn.XLOOKUP($A668,Load!$B:$B,Load!I:I,0,)</f>
        <v>Everyday Candy Shapes (like Original, Gummy bear, Fruit, Jewels, etc.)</v>
      </c>
      <c r="I668" t="str">
        <f>_xlfn.XLOOKUP($A668,Load!$B:$B,Load!J:J,0,)</f>
        <v>Seasonal Graphics (Like Bat, Ghost, Pumpkin, Fall Leaves, Eyeballs, etc.)</v>
      </c>
      <c r="J668" t="str">
        <f>_xlfn.XLOOKUP($A668,Load!$B:$B,Load!K:K,0,)</f>
        <v>Fun Size / Treat Size</v>
      </c>
      <c r="K668" t="str">
        <f>_xlfn.XLOOKUP($A668,Load!$B:$B,Load!L:L,0,)</f>
        <v>Regular/Original Wrapping</v>
      </c>
      <c r="L668" t="str">
        <f>_xlfn.XLOOKUP($A668,Load!$B:$B,Load!M:M,0,)</f>
        <v>Multiple Brands / Variety Flavors or Form</v>
      </c>
    </row>
    <row r="669" spans="1:12" x14ac:dyDescent="0.25">
      <c r="A669" t="s">
        <v>85</v>
      </c>
      <c r="B669" t="str">
        <f>_xlfn.XLOOKUP($A669,Load!$B:$B,Load!C:C,0,)</f>
        <v>Ferrara Variety Pack</v>
      </c>
      <c r="C669" t="str">
        <f>_xlfn.XLOOKUP($A669,Load!$B:$B,Load!D:D,0,)</f>
        <v>Non-Chocolate Candy Only</v>
      </c>
      <c r="D669" t="str">
        <f>_xlfn.XLOOKUP($A669,Load!$B:$B,Load!E:E,0,)</f>
        <v>Variety / Mixed Flavors (Fruity, Sour, Seasonal Flavors)</v>
      </c>
      <c r="E669" t="str">
        <f>_xlfn.XLOOKUP($A669,Load!$B:$B,Load!F:F,0,)</f>
        <v>Mixed / Combo Packs (Gummy, Chewy, Taffy, etc.)</v>
      </c>
      <c r="F669" t="str">
        <f>_xlfn.XLOOKUP($A669,Load!$B:$B,Load!G:G,0,)</f>
        <v>Large Multipack (More than 80 ct)</v>
      </c>
      <c r="G669" t="str">
        <f>_xlfn.XLOOKUP($A669,Load!$B:$B,Load!H:H,0,)</f>
        <v>Stand-Up Bag</v>
      </c>
      <c r="H669" t="str">
        <f>_xlfn.XLOOKUP($A669,Load!$B:$B,Load!I:I,0,)</f>
        <v>Seasonal Shapes (like pumpkins, candy corn, ghost, bats, etc.)</v>
      </c>
      <c r="I669" t="str">
        <f>_xlfn.XLOOKUP($A669,Load!$B:$B,Load!J:J,0,)</f>
        <v>Seasonal Graphics (Like Bat, Ghost, Pumpkin, Fall Leaves, Eyeballs, etc.)</v>
      </c>
      <c r="J669" t="str">
        <f>_xlfn.XLOOKUP($A669,Load!$B:$B,Load!K:K,0,)</f>
        <v>Fun Size / Treat Size</v>
      </c>
      <c r="K669" t="str">
        <f>_xlfn.XLOOKUP($A669,Load!$B:$B,Load!L:L,0,)</f>
        <v>Regular/Original Wrapping</v>
      </c>
      <c r="L669" t="str">
        <f>_xlfn.XLOOKUP($A669,Load!$B:$B,Load!M:M,0,)</f>
        <v>Multiple Brands / Variety Flavors or Form</v>
      </c>
    </row>
    <row r="670" spans="1:12" x14ac:dyDescent="0.25">
      <c r="A670" t="s">
        <v>280</v>
      </c>
      <c r="B670" t="str">
        <f>_xlfn.XLOOKUP($A670,Load!$B:$B,Load!C:C,0,)</f>
        <v>Sour Patch Kids</v>
      </c>
      <c r="C670" t="str">
        <f>_xlfn.XLOOKUP($A670,Load!$B:$B,Load!D:D,0,)</f>
        <v>Non-Chocolate Candy Only</v>
      </c>
      <c r="D670" t="str">
        <f>_xlfn.XLOOKUP($A670,Load!$B:$B,Load!E:E,0,)</f>
        <v>Sour</v>
      </c>
      <c r="E670" t="str">
        <f>_xlfn.XLOOKUP($A670,Load!$B:$B,Load!F:F,0,)</f>
        <v>Chewy</v>
      </c>
      <c r="F670" t="str">
        <f>_xlfn.XLOOKUP($A670,Load!$B:$B,Load!G:G,0,)</f>
        <v>Medium Multipack (40–80 ct)</v>
      </c>
      <c r="G670" t="str">
        <f>_xlfn.XLOOKUP($A670,Load!$B:$B,Load!H:H,0,)</f>
        <v>Laydown Bag</v>
      </c>
      <c r="H670" t="str">
        <f>_xlfn.XLOOKUP($A670,Load!$B:$B,Load!I:I,0,)</f>
        <v>Seasonal Shapes (like pumpkins, candy corn, ghost, bats, etc.)</v>
      </c>
      <c r="I670" t="str">
        <f>_xlfn.XLOOKUP($A670,Load!$B:$B,Load!J:J,0,)</f>
        <v>Seasonal Graphics (Like Bat, Ghost, Pumpkin, Fall Leaves, Eyeballs, etc.)</v>
      </c>
      <c r="J670" t="str">
        <f>_xlfn.XLOOKUP($A670,Load!$B:$B,Load!K:K,0,)</f>
        <v>Small Pieces (Tiny bite size candies)</v>
      </c>
      <c r="K670" t="str">
        <f>_xlfn.XLOOKUP($A670,Load!$B:$B,Load!L:L,0,)</f>
        <v>Regular/Original Wrapping</v>
      </c>
      <c r="L670" t="str">
        <f>_xlfn.XLOOKUP($A670,Load!$B:$B,Load!M:M,0,)</f>
        <v>Single Brand / Variety Flavors or Form</v>
      </c>
    </row>
    <row r="671" spans="1:12" x14ac:dyDescent="0.25">
      <c r="A671" t="s">
        <v>304</v>
      </c>
      <c r="B671" t="str">
        <f>_xlfn.XLOOKUP($A671,Load!$B:$B,Load!C:C,0,)</f>
        <v>Warheads</v>
      </c>
      <c r="C671" t="str">
        <f>_xlfn.XLOOKUP($A671,Load!$B:$B,Load!D:D,0,)</f>
        <v>Non-Chocolate Candy Only</v>
      </c>
      <c r="D671" t="str">
        <f>_xlfn.XLOOKUP($A671,Load!$B:$B,Load!E:E,0,)</f>
        <v>Sour</v>
      </c>
      <c r="E671" t="str">
        <f>_xlfn.XLOOKUP($A671,Load!$B:$B,Load!F:F,0,)</f>
        <v>Chewy</v>
      </c>
      <c r="F671" t="str">
        <f>_xlfn.XLOOKUP($A671,Load!$B:$B,Load!G:G,0,)</f>
        <v>Medium Multipack (40–80 ct)</v>
      </c>
      <c r="G671" t="str">
        <f>_xlfn.XLOOKUP($A671,Load!$B:$B,Load!H:H,0,)</f>
        <v>Laydown Bag</v>
      </c>
      <c r="H671" t="str">
        <f>_xlfn.XLOOKUP($A671,Load!$B:$B,Load!I:I,0,)</f>
        <v>Everyday Candy Shapes (like Original, Gummy bear, Fruit, Jewels, etc.)</v>
      </c>
      <c r="I671" t="str">
        <f>_xlfn.XLOOKUP($A671,Load!$B:$B,Load!J:J,0,)</f>
        <v>Seasonal Graphics (Like Bat, Ghost, Pumpkin, Fall Leaves, Eyeballs, etc.)</v>
      </c>
      <c r="J671" t="str">
        <f>_xlfn.XLOOKUP($A671,Load!$B:$B,Load!K:K,0,)</f>
        <v>Fun Size / Treat Size</v>
      </c>
      <c r="K671" t="str">
        <f>_xlfn.XLOOKUP($A671,Load!$B:$B,Load!L:L,0,)</f>
        <v>Regular/Original Wrapping</v>
      </c>
      <c r="L671" t="str">
        <f>_xlfn.XLOOKUP($A671,Load!$B:$B,Load!M:M,0,)</f>
        <v>Single Brand / Single Flavor or Form</v>
      </c>
    </row>
    <row r="672" spans="1:12" x14ac:dyDescent="0.25">
      <c r="A672" t="s">
        <v>122</v>
      </c>
      <c r="B672" t="str">
        <f>_xlfn.XLOOKUP($A672,Load!$B:$B,Load!C:C,0,)</f>
        <v>HARIBO</v>
      </c>
      <c r="C672" t="str">
        <f>_xlfn.XLOOKUP($A672,Load!$B:$B,Load!D:D,0,)</f>
        <v>Non-Chocolate Candy Only</v>
      </c>
      <c r="D672" t="str">
        <f>_xlfn.XLOOKUP($A672,Load!$B:$B,Load!E:E,0,)</f>
        <v>Variety / Mixed Flavors (Fruity, Sour, Seasonal Flavors)</v>
      </c>
      <c r="E672" t="str">
        <f>_xlfn.XLOOKUP($A672,Load!$B:$B,Load!F:F,0,)</f>
        <v>Gummy</v>
      </c>
      <c r="F672" t="str">
        <f>_xlfn.XLOOKUP($A672,Load!$B:$B,Load!G:G,0,)</f>
        <v>Medium Multipack (40–80 ct)</v>
      </c>
      <c r="G672" t="str">
        <f>_xlfn.XLOOKUP($A672,Load!$B:$B,Load!H:H,0,)</f>
        <v>Laydown Bag</v>
      </c>
      <c r="H672" t="str">
        <f>_xlfn.XLOOKUP($A672,Load!$B:$B,Load!I:I,0,)</f>
        <v>Seasonal Shapes (like pumpkins, candy corn, ghost, bats, etc.)</v>
      </c>
      <c r="I672" t="str">
        <f>_xlfn.XLOOKUP($A672,Load!$B:$B,Load!J:J,0,)</f>
        <v>Seasonal Graphics (Like Bat, Ghost, Pumpkin, Fall Leaves, Eyeballs, etc.)</v>
      </c>
      <c r="J672" t="str">
        <f>_xlfn.XLOOKUP($A672,Load!$B:$B,Load!K:K,0,)</f>
        <v>Small Pieces (Tiny bite size candies)</v>
      </c>
      <c r="K672" t="str">
        <f>_xlfn.XLOOKUP($A672,Load!$B:$B,Load!L:L,0,)</f>
        <v>Regular/Original Wrapping</v>
      </c>
      <c r="L672" t="str">
        <f>_xlfn.XLOOKUP($A672,Load!$B:$B,Load!M:M,0,)</f>
        <v>Multiple Brands / Variety Flavors or Form</v>
      </c>
    </row>
    <row r="673" spans="1:12" x14ac:dyDescent="0.25">
      <c r="A673" t="s">
        <v>2</v>
      </c>
      <c r="B673" t="str">
        <f>_xlfn.XLOOKUP($A673,Load!$B:$B,Load!C:C,0,)</f>
        <v>Airheads</v>
      </c>
      <c r="C673" t="str">
        <f>_xlfn.XLOOKUP($A673,Load!$B:$B,Load!D:D,0,)</f>
        <v>Non-Chocolate Candy Only</v>
      </c>
      <c r="D673" t="str">
        <f>_xlfn.XLOOKUP($A673,Load!$B:$B,Load!E:E,0,)</f>
        <v>Variety / Mixed Flavors (Fruity, Sour, Seasonal Flavors)</v>
      </c>
      <c r="E673" t="str">
        <f>_xlfn.XLOOKUP($A673,Load!$B:$B,Load!F:F,0,)</f>
        <v>Chewy</v>
      </c>
      <c r="F673" t="str">
        <f>_xlfn.XLOOKUP($A673,Load!$B:$B,Load!G:G,0,)</f>
        <v>Medium Multipack (40–80 ct)</v>
      </c>
      <c r="G673" t="str">
        <f>_xlfn.XLOOKUP($A673,Load!$B:$B,Load!H:H,0,)</f>
        <v>Box (theatre box, gift box, carton)</v>
      </c>
      <c r="H673" t="str">
        <f>_xlfn.XLOOKUP($A673,Load!$B:$B,Load!I:I,0,)</f>
        <v>Everyday Candy Shapes (like Original, Gummy bear, Fruit, Jewels, etc.)</v>
      </c>
      <c r="I673" t="str">
        <f>_xlfn.XLOOKUP($A673,Load!$B:$B,Load!J:J,0,)</f>
        <v>Seasonal Graphics (Like Bat, Ghost, Pumpkin, Fall Leaves, Eyeballs, etc.)</v>
      </c>
      <c r="J673" t="str">
        <f>_xlfn.XLOOKUP($A673,Load!$B:$B,Load!K:K,0,)</f>
        <v>Fun Size / Treat Size</v>
      </c>
      <c r="K673" t="str">
        <f>_xlfn.XLOOKUP($A673,Load!$B:$B,Load!L:L,0,)</f>
        <v>Regular/Original Wrapping</v>
      </c>
      <c r="L673" t="str">
        <f>_xlfn.XLOOKUP($A673,Load!$B:$B,Load!M:M,0,)</f>
        <v>Single Brand / Variety Flavors or Form</v>
      </c>
    </row>
    <row r="674" spans="1:12" x14ac:dyDescent="0.25">
      <c r="B674">
        <f>_xlfn.XLOOKUP($A674,Load!$B:$B,Load!C:C,0,)</f>
        <v>0</v>
      </c>
      <c r="C674">
        <f>_xlfn.XLOOKUP($A674,Load!$B:$B,Load!D:D,0,)</f>
        <v>0</v>
      </c>
      <c r="D674">
        <f>_xlfn.XLOOKUP($A674,Load!$B:$B,Load!E:E,0,)</f>
        <v>0</v>
      </c>
      <c r="E674">
        <f>_xlfn.XLOOKUP($A674,Load!$B:$B,Load!F:F,0,)</f>
        <v>0</v>
      </c>
      <c r="F674">
        <f>_xlfn.XLOOKUP($A674,Load!$B:$B,Load!G:G,0,)</f>
        <v>0</v>
      </c>
      <c r="G674">
        <f>_xlfn.XLOOKUP($A674,Load!$B:$B,Load!H:H,0,)</f>
        <v>0</v>
      </c>
      <c r="H674">
        <f>_xlfn.XLOOKUP($A674,Load!$B:$B,Load!I:I,0,)</f>
        <v>0</v>
      </c>
      <c r="I674">
        <f>_xlfn.XLOOKUP($A674,Load!$B:$B,Load!J:J,0,)</f>
        <v>0</v>
      </c>
      <c r="J674">
        <f>_xlfn.XLOOKUP($A674,Load!$B:$B,Load!K:K,0,)</f>
        <v>0</v>
      </c>
      <c r="K674">
        <f>_xlfn.XLOOKUP($A674,Load!$B:$B,Load!L:L,0,)</f>
        <v>0</v>
      </c>
      <c r="L674">
        <f>_xlfn.XLOOKUP($A674,Load!$B:$B,Load!M:M,0,)</f>
        <v>0</v>
      </c>
    </row>
    <row r="675" spans="1:12" x14ac:dyDescent="0.25">
      <c r="B675">
        <f>_xlfn.XLOOKUP($A675,Load!$B:$B,Load!C:C,0,)</f>
        <v>0</v>
      </c>
      <c r="C675">
        <f>_xlfn.XLOOKUP($A675,Load!$B:$B,Load!D:D,0,)</f>
        <v>0</v>
      </c>
      <c r="D675">
        <f>_xlfn.XLOOKUP($A675,Load!$B:$B,Load!E:E,0,)</f>
        <v>0</v>
      </c>
      <c r="E675">
        <f>_xlfn.XLOOKUP($A675,Load!$B:$B,Load!F:F,0,)</f>
        <v>0</v>
      </c>
      <c r="F675">
        <f>_xlfn.XLOOKUP($A675,Load!$B:$B,Load!G:G,0,)</f>
        <v>0</v>
      </c>
      <c r="G675">
        <f>_xlfn.XLOOKUP($A675,Load!$B:$B,Load!H:H,0,)</f>
        <v>0</v>
      </c>
      <c r="H675">
        <f>_xlfn.XLOOKUP($A675,Load!$B:$B,Load!I:I,0,)</f>
        <v>0</v>
      </c>
      <c r="I675">
        <f>_xlfn.XLOOKUP($A675,Load!$B:$B,Load!J:J,0,)</f>
        <v>0</v>
      </c>
      <c r="J675">
        <f>_xlfn.XLOOKUP($A675,Load!$B:$B,Load!K:K,0,)</f>
        <v>0</v>
      </c>
      <c r="K675">
        <f>_xlfn.XLOOKUP($A675,Load!$B:$B,Load!L:L,0,)</f>
        <v>0</v>
      </c>
      <c r="L675">
        <f>_xlfn.XLOOKUP($A675,Load!$B:$B,Load!M:M,0,)</f>
        <v>0</v>
      </c>
    </row>
    <row r="676" spans="1:12" x14ac:dyDescent="0.25">
      <c r="B676">
        <f>_xlfn.XLOOKUP($A676,Load!$B:$B,Load!C:C,0,)</f>
        <v>0</v>
      </c>
      <c r="C676">
        <f>_xlfn.XLOOKUP($A676,Load!$B:$B,Load!D:D,0,)</f>
        <v>0</v>
      </c>
      <c r="D676">
        <f>_xlfn.XLOOKUP($A676,Load!$B:$B,Load!E:E,0,)</f>
        <v>0</v>
      </c>
      <c r="E676">
        <f>_xlfn.XLOOKUP($A676,Load!$B:$B,Load!F:F,0,)</f>
        <v>0</v>
      </c>
      <c r="F676">
        <f>_xlfn.XLOOKUP($A676,Load!$B:$B,Load!G:G,0,)</f>
        <v>0</v>
      </c>
      <c r="G676">
        <f>_xlfn.XLOOKUP($A676,Load!$B:$B,Load!H:H,0,)</f>
        <v>0</v>
      </c>
      <c r="H676">
        <f>_xlfn.XLOOKUP($A676,Load!$B:$B,Load!I:I,0,)</f>
        <v>0</v>
      </c>
      <c r="I676">
        <f>_xlfn.XLOOKUP($A676,Load!$B:$B,Load!J:J,0,)</f>
        <v>0</v>
      </c>
      <c r="J676">
        <f>_xlfn.XLOOKUP($A676,Load!$B:$B,Load!K:K,0,)</f>
        <v>0</v>
      </c>
      <c r="K676">
        <f>_xlfn.XLOOKUP($A676,Load!$B:$B,Load!L:L,0,)</f>
        <v>0</v>
      </c>
      <c r="L676">
        <f>_xlfn.XLOOKUP($A676,Load!$B:$B,Load!M:M,0,)</f>
        <v>0</v>
      </c>
    </row>
    <row r="677" spans="1:12" x14ac:dyDescent="0.25">
      <c r="B677">
        <f>_xlfn.XLOOKUP($A677,Load!$B:$B,Load!C:C,0,)</f>
        <v>0</v>
      </c>
      <c r="C677">
        <f>_xlfn.XLOOKUP($A677,Load!$B:$B,Load!D:D,0,)</f>
        <v>0</v>
      </c>
      <c r="D677">
        <f>_xlfn.XLOOKUP($A677,Load!$B:$B,Load!E:E,0,)</f>
        <v>0</v>
      </c>
      <c r="E677">
        <f>_xlfn.XLOOKUP($A677,Load!$B:$B,Load!F:F,0,)</f>
        <v>0</v>
      </c>
      <c r="F677">
        <f>_xlfn.XLOOKUP($A677,Load!$B:$B,Load!G:G,0,)</f>
        <v>0</v>
      </c>
      <c r="G677">
        <f>_xlfn.XLOOKUP($A677,Load!$B:$B,Load!H:H,0,)</f>
        <v>0</v>
      </c>
      <c r="H677">
        <f>_xlfn.XLOOKUP($A677,Load!$B:$B,Load!I:I,0,)</f>
        <v>0</v>
      </c>
      <c r="I677">
        <f>_xlfn.XLOOKUP($A677,Load!$B:$B,Load!J:J,0,)</f>
        <v>0</v>
      </c>
      <c r="J677">
        <f>_xlfn.XLOOKUP($A677,Load!$B:$B,Load!K:K,0,)</f>
        <v>0</v>
      </c>
      <c r="K677">
        <f>_xlfn.XLOOKUP($A677,Load!$B:$B,Load!L:L,0,)</f>
        <v>0</v>
      </c>
      <c r="L677">
        <f>_xlfn.XLOOKUP($A677,Load!$B:$B,Load!M:M,0,)</f>
        <v>0</v>
      </c>
    </row>
    <row r="678" spans="1:12" x14ac:dyDescent="0.25">
      <c r="B678">
        <f>_xlfn.XLOOKUP($A678,Load!$B:$B,Load!C:C,0,)</f>
        <v>0</v>
      </c>
      <c r="C678">
        <f>_xlfn.XLOOKUP($A678,Load!$B:$B,Load!D:D,0,)</f>
        <v>0</v>
      </c>
      <c r="D678">
        <f>_xlfn.XLOOKUP($A678,Load!$B:$B,Load!E:E,0,)</f>
        <v>0</v>
      </c>
      <c r="E678">
        <f>_xlfn.XLOOKUP($A678,Load!$B:$B,Load!F:F,0,)</f>
        <v>0</v>
      </c>
      <c r="F678">
        <f>_xlfn.XLOOKUP($A678,Load!$B:$B,Load!G:G,0,)</f>
        <v>0</v>
      </c>
      <c r="G678">
        <f>_xlfn.XLOOKUP($A678,Load!$B:$B,Load!H:H,0,)</f>
        <v>0</v>
      </c>
      <c r="H678">
        <f>_xlfn.XLOOKUP($A678,Load!$B:$B,Load!I:I,0,)</f>
        <v>0</v>
      </c>
      <c r="I678">
        <f>_xlfn.XLOOKUP($A678,Load!$B:$B,Load!J:J,0,)</f>
        <v>0</v>
      </c>
      <c r="J678">
        <f>_xlfn.XLOOKUP($A678,Load!$B:$B,Load!K:K,0,)</f>
        <v>0</v>
      </c>
      <c r="K678">
        <f>_xlfn.XLOOKUP($A678,Load!$B:$B,Load!L:L,0,)</f>
        <v>0</v>
      </c>
      <c r="L678">
        <f>_xlfn.XLOOKUP($A678,Load!$B:$B,Load!M:M,0,)</f>
        <v>0</v>
      </c>
    </row>
    <row r="679" spans="1:12" x14ac:dyDescent="0.25">
      <c r="B679">
        <f>_xlfn.XLOOKUP($A679,Load!$B:$B,Load!C:C,0,)</f>
        <v>0</v>
      </c>
      <c r="C679">
        <f>_xlfn.XLOOKUP($A679,Load!$B:$B,Load!D:D,0,)</f>
        <v>0</v>
      </c>
      <c r="D679">
        <f>_xlfn.XLOOKUP($A679,Load!$B:$B,Load!E:E,0,)</f>
        <v>0</v>
      </c>
      <c r="E679">
        <f>_xlfn.XLOOKUP($A679,Load!$B:$B,Load!F:F,0,)</f>
        <v>0</v>
      </c>
      <c r="F679">
        <f>_xlfn.XLOOKUP($A679,Load!$B:$B,Load!G:G,0,)</f>
        <v>0</v>
      </c>
      <c r="G679">
        <f>_xlfn.XLOOKUP($A679,Load!$B:$B,Load!H:H,0,)</f>
        <v>0</v>
      </c>
      <c r="H679">
        <f>_xlfn.XLOOKUP($A679,Load!$B:$B,Load!I:I,0,)</f>
        <v>0</v>
      </c>
      <c r="I679">
        <f>_xlfn.XLOOKUP($A679,Load!$B:$B,Load!J:J,0,)</f>
        <v>0</v>
      </c>
      <c r="J679">
        <f>_xlfn.XLOOKUP($A679,Load!$B:$B,Load!K:K,0,)</f>
        <v>0</v>
      </c>
      <c r="K679">
        <f>_xlfn.XLOOKUP($A679,Load!$B:$B,Load!L:L,0,)</f>
        <v>0</v>
      </c>
      <c r="L679">
        <f>_xlfn.XLOOKUP($A679,Load!$B:$B,Load!M:M,0,)</f>
        <v>0</v>
      </c>
    </row>
    <row r="680" spans="1:12" x14ac:dyDescent="0.25">
      <c r="A680" t="s">
        <v>173</v>
      </c>
      <c r="B680" t="str">
        <f>_xlfn.XLOOKUP($A680,Load!$B:$B,Load!C:C,0,)</f>
        <v>Mars Variety Pack</v>
      </c>
      <c r="C680" t="str">
        <f>_xlfn.XLOOKUP($A680,Load!$B:$B,Load!D:D,0,)</f>
        <v>Mix of Chocolate and Non-Chocolate Candy</v>
      </c>
      <c r="D680" t="str">
        <f>_xlfn.XLOOKUP($A680,Load!$B:$B,Load!E:E,0,)</f>
        <v>Variety / Mixed Flavors (Fruity, Sour, Seasonal Flavors)</v>
      </c>
      <c r="E680" t="str">
        <f>_xlfn.XLOOKUP($A680,Load!$B:$B,Load!F:F,0,)</f>
        <v>Mixed / Combo Packs (Gummy, Chewy, Taffy, etc.)</v>
      </c>
      <c r="F680" t="str">
        <f>_xlfn.XLOOKUP($A680,Load!$B:$B,Load!G:G,0,)</f>
        <v>Large Multipack (More than 80 ct)</v>
      </c>
      <c r="G680" t="str">
        <f>_xlfn.XLOOKUP($A680,Load!$B:$B,Load!H:H,0,)</f>
        <v>Stand-Up Bag</v>
      </c>
      <c r="H680" t="str">
        <f>_xlfn.XLOOKUP($A680,Load!$B:$B,Load!I:I,0,)</f>
        <v>Everyday Candy Shapes (like Original, Gummy bear, Fruit, Jewels, etc.)</v>
      </c>
      <c r="I680" t="str">
        <f>_xlfn.XLOOKUP($A680,Load!$B:$B,Load!J:J,0,)</f>
        <v>Seasonal Graphics (Like Bat, Ghost, Pumpkin, Fall Leaves, Eyeballs, etc.)</v>
      </c>
      <c r="J680" t="str">
        <f>_xlfn.XLOOKUP($A680,Load!$B:$B,Load!K:K,0,)</f>
        <v>Fun Size / Treat Size</v>
      </c>
      <c r="K680" t="str">
        <f>_xlfn.XLOOKUP($A680,Load!$B:$B,Load!L:L,0,)</f>
        <v>Regular/Original Wrapping</v>
      </c>
      <c r="L680" t="str">
        <f>_xlfn.XLOOKUP($A680,Load!$B:$B,Load!M:M,0,)</f>
        <v>Multiple Brands / Variety Flavors or Form</v>
      </c>
    </row>
    <row r="681" spans="1:12" x14ac:dyDescent="0.25">
      <c r="A681" t="s">
        <v>139</v>
      </c>
      <c r="B681" t="str">
        <f>_xlfn.XLOOKUP($A681,Load!$B:$B,Load!C:C,0,)</f>
        <v>Hershey's Variety Pack + Haribo</v>
      </c>
      <c r="C681" t="str">
        <f>_xlfn.XLOOKUP($A681,Load!$B:$B,Load!D:D,0,)</f>
        <v>Mix of Chocolate and Non-Chocolate Candy</v>
      </c>
      <c r="D681" t="str">
        <f>_xlfn.XLOOKUP($A681,Load!$B:$B,Load!E:E,0,)</f>
        <v>Variety / Mixed Flavors (Fruity, Sour, Seasonal Flavors)</v>
      </c>
      <c r="E681" t="str">
        <f>_xlfn.XLOOKUP($A681,Load!$B:$B,Load!F:F,0,)</f>
        <v>Mixed / Combo Packs (Gummy, Chewy, Taffy, etc.)</v>
      </c>
      <c r="F681" t="str">
        <f>_xlfn.XLOOKUP($A681,Load!$B:$B,Load!G:G,0,)</f>
        <v>Large Multipack (More than 80 ct)</v>
      </c>
      <c r="G681" t="str">
        <f>_xlfn.XLOOKUP($A681,Load!$B:$B,Load!H:H,0,)</f>
        <v>Stand-Up Bag</v>
      </c>
      <c r="H681" t="str">
        <f>_xlfn.XLOOKUP($A681,Load!$B:$B,Load!I:I,0,)</f>
        <v>Everyday Candy Shapes (like Original, Gummy bear, Fruit, Jewels, etc.)</v>
      </c>
      <c r="I681" t="str">
        <f>_xlfn.XLOOKUP($A681,Load!$B:$B,Load!J:J,0,)</f>
        <v>Seasonal Graphics (Like Bat, Ghost, Pumpkin, Fall Leaves, Eyeballs, etc.)</v>
      </c>
      <c r="J681" t="str">
        <f>_xlfn.XLOOKUP($A681,Load!$B:$B,Load!K:K,0,)</f>
        <v>Fun Size / Treat Size</v>
      </c>
      <c r="K681" t="str">
        <f>_xlfn.XLOOKUP($A681,Load!$B:$B,Load!L:L,0,)</f>
        <v>Regular/Original Wrapping</v>
      </c>
      <c r="L681" t="str">
        <f>_xlfn.XLOOKUP($A681,Load!$B:$B,Load!M:M,0,)</f>
        <v>Multiple Brands / Variety Flavors or Form</v>
      </c>
    </row>
    <row r="682" spans="1:12" x14ac:dyDescent="0.25">
      <c r="B682">
        <f>_xlfn.XLOOKUP($A682,Load!$B:$B,Load!C:C,0,)</f>
        <v>0</v>
      </c>
      <c r="C682">
        <f>_xlfn.XLOOKUP($A682,Load!$B:$B,Load!D:D,0,)</f>
        <v>0</v>
      </c>
      <c r="D682">
        <f>_xlfn.XLOOKUP($A682,Load!$B:$B,Load!E:E,0,)</f>
        <v>0</v>
      </c>
      <c r="E682">
        <f>_xlfn.XLOOKUP($A682,Load!$B:$B,Load!F:F,0,)</f>
        <v>0</v>
      </c>
      <c r="F682">
        <f>_xlfn.XLOOKUP($A682,Load!$B:$B,Load!G:G,0,)</f>
        <v>0</v>
      </c>
      <c r="G682">
        <f>_xlfn.XLOOKUP($A682,Load!$B:$B,Load!H:H,0,)</f>
        <v>0</v>
      </c>
      <c r="H682">
        <f>_xlfn.XLOOKUP($A682,Load!$B:$B,Load!I:I,0,)</f>
        <v>0</v>
      </c>
      <c r="I682">
        <f>_xlfn.XLOOKUP($A682,Load!$B:$B,Load!J:J,0,)</f>
        <v>0</v>
      </c>
      <c r="J682">
        <f>_xlfn.XLOOKUP($A682,Load!$B:$B,Load!K:K,0,)</f>
        <v>0</v>
      </c>
      <c r="K682">
        <f>_xlfn.XLOOKUP($A682,Load!$B:$B,Load!L:L,0,)</f>
        <v>0</v>
      </c>
      <c r="L682">
        <f>_xlfn.XLOOKUP($A682,Load!$B:$B,Load!M:M,0,)</f>
        <v>0</v>
      </c>
    </row>
    <row r="683" spans="1:12" x14ac:dyDescent="0.25">
      <c r="B683">
        <f>_xlfn.XLOOKUP($A683,Load!$B:$B,Load!C:C,0,)</f>
        <v>0</v>
      </c>
      <c r="C683">
        <f>_xlfn.XLOOKUP($A683,Load!$B:$B,Load!D:D,0,)</f>
        <v>0</v>
      </c>
      <c r="D683">
        <f>_xlfn.XLOOKUP($A683,Load!$B:$B,Load!E:E,0,)</f>
        <v>0</v>
      </c>
      <c r="E683">
        <f>_xlfn.XLOOKUP($A683,Load!$B:$B,Load!F:F,0,)</f>
        <v>0</v>
      </c>
      <c r="F683">
        <f>_xlfn.XLOOKUP($A683,Load!$B:$B,Load!G:G,0,)</f>
        <v>0</v>
      </c>
      <c r="G683">
        <f>_xlfn.XLOOKUP($A683,Load!$B:$B,Load!H:H,0,)</f>
        <v>0</v>
      </c>
      <c r="H683">
        <f>_xlfn.XLOOKUP($A683,Load!$B:$B,Load!I:I,0,)</f>
        <v>0</v>
      </c>
      <c r="I683">
        <f>_xlfn.XLOOKUP($A683,Load!$B:$B,Load!J:J,0,)</f>
        <v>0</v>
      </c>
      <c r="J683">
        <f>_xlfn.XLOOKUP($A683,Load!$B:$B,Load!K:K,0,)</f>
        <v>0</v>
      </c>
      <c r="K683">
        <f>_xlfn.XLOOKUP($A683,Load!$B:$B,Load!L:L,0,)</f>
        <v>0</v>
      </c>
      <c r="L683">
        <f>_xlfn.XLOOKUP($A683,Load!$B:$B,Load!M:M,0,)</f>
        <v>0</v>
      </c>
    </row>
    <row r="684" spans="1:12" x14ac:dyDescent="0.25">
      <c r="A684" t="s">
        <v>214</v>
      </c>
      <c r="B684" t="str">
        <f>_xlfn.XLOOKUP($A684,Load!$B:$B,Load!C:C,0,)</f>
        <v>Mars Variety Pack</v>
      </c>
      <c r="C684" t="str">
        <f>_xlfn.XLOOKUP($A684,Load!$B:$B,Load!D:D,0,)</f>
        <v>Mix of Chocolate and Non-Chocolate Candy</v>
      </c>
      <c r="D684" t="str">
        <f>_xlfn.XLOOKUP($A684,Load!$B:$B,Load!E:E,0,)</f>
        <v>Variety / Mixed Flavors (Fruity, Sour, Seasonal Flavors)</v>
      </c>
      <c r="E684" t="str">
        <f>_xlfn.XLOOKUP($A684,Load!$B:$B,Load!F:F,0,)</f>
        <v>Mixed / Combo Packs (Gummy, Chewy, Taffy, etc.)</v>
      </c>
      <c r="F684" t="str">
        <f>_xlfn.XLOOKUP($A684,Load!$B:$B,Load!G:G,0,)</f>
        <v>Large Multipack (More than 80 ct)</v>
      </c>
      <c r="G684" t="str">
        <f>_xlfn.XLOOKUP($A684,Load!$B:$B,Load!H:H,0,)</f>
        <v>Stand-Up Bag</v>
      </c>
      <c r="H684" t="str">
        <f>_xlfn.XLOOKUP($A684,Load!$B:$B,Load!I:I,0,)</f>
        <v>Everyday Candy Shapes (like Original, Gummy bear, Fruit, Jewels, etc.)</v>
      </c>
      <c r="I684" t="str">
        <f>_xlfn.XLOOKUP($A684,Load!$B:$B,Load!J:J,0,)</f>
        <v>Seasonal Graphics (Like Bat, Ghost, Pumpkin, Fall Leaves, Eyeballs, etc.)</v>
      </c>
      <c r="J684" t="str">
        <f>_xlfn.XLOOKUP($A684,Load!$B:$B,Load!K:K,0,)</f>
        <v>Fun Size / Treat Size</v>
      </c>
      <c r="K684" t="str">
        <f>_xlfn.XLOOKUP($A684,Load!$B:$B,Load!L:L,0,)</f>
        <v>Regular/Original Wrapping</v>
      </c>
      <c r="L684" t="str">
        <f>_xlfn.XLOOKUP($A684,Load!$B:$B,Load!M:M,0,)</f>
        <v>Multiple Brands / Variety Flavors or Form</v>
      </c>
    </row>
    <row r="685" spans="1:12" x14ac:dyDescent="0.25">
      <c r="A685" t="s">
        <v>133</v>
      </c>
      <c r="B685" t="str">
        <f>_xlfn.XLOOKUP($A685,Load!$B:$B,Load!C:C,0,)</f>
        <v>Hershey's</v>
      </c>
      <c r="C685" t="str">
        <f>_xlfn.XLOOKUP($A685,Load!$B:$B,Load!D:D,0,)</f>
        <v>Non-Chocolate Candy Only</v>
      </c>
      <c r="D685" t="str">
        <f>_xlfn.XLOOKUP($A685,Load!$B:$B,Load!E:E,0,)</f>
        <v>Variety / Mixed Flavors (Fruity, Sour, Seasonal Flavors)</v>
      </c>
      <c r="E685" t="str">
        <f>_xlfn.XLOOKUP($A685,Load!$B:$B,Load!F:F,0,)</f>
        <v>Mixed / Combo Packs (Gummy, Chewy, Taffy, etc.)</v>
      </c>
      <c r="F685" t="str">
        <f>_xlfn.XLOOKUP($A685,Load!$B:$B,Load!G:G,0,)</f>
        <v>Large Multipack (More than 80 ct)</v>
      </c>
      <c r="G685" t="str">
        <f>_xlfn.XLOOKUP($A685,Load!$B:$B,Load!H:H,0,)</f>
        <v>Stand-Up Bag</v>
      </c>
      <c r="H685" t="str">
        <f>_xlfn.XLOOKUP($A685,Load!$B:$B,Load!I:I,0,)</f>
        <v>Everyday Candy Shapes (like Original, Gummy bear, Fruit, Jewels, etc.)</v>
      </c>
      <c r="I685" t="str">
        <f>_xlfn.XLOOKUP($A685,Load!$B:$B,Load!J:J,0,)</f>
        <v>Seasonal Graphics (Like Bat, Ghost, Pumpkin, Fall Leaves, Eyeballs, etc.)</v>
      </c>
      <c r="J685" t="str">
        <f>_xlfn.XLOOKUP($A685,Load!$B:$B,Load!K:K,0,)</f>
        <v>Fun Size / Treat Size</v>
      </c>
      <c r="K685" t="str">
        <f>_xlfn.XLOOKUP($A685,Load!$B:$B,Load!L:L,0,)</f>
        <v>Regular/Original Wrapping</v>
      </c>
      <c r="L685" t="str">
        <f>_xlfn.XLOOKUP($A685,Load!$B:$B,Load!M:M,0,)</f>
        <v>Multiple Brands / Variety Flavors or Form</v>
      </c>
    </row>
    <row r="686" spans="1:12" x14ac:dyDescent="0.25">
      <c r="A686" t="s">
        <v>203</v>
      </c>
      <c r="B686" t="str">
        <f>_xlfn.XLOOKUP($A686,Load!$B:$B,Load!C:C,0,)</f>
        <v>Mars Variety Pack</v>
      </c>
      <c r="C686" t="str">
        <f>_xlfn.XLOOKUP($A686,Load!$B:$B,Load!D:D,0,)</f>
        <v>Mix of Chocolate and Non-Chocolate Candy</v>
      </c>
      <c r="D686" t="str">
        <f>_xlfn.XLOOKUP($A686,Load!$B:$B,Load!E:E,0,)</f>
        <v>Variety / Mixed Flavors (Fruity, Sour, Seasonal Flavors)</v>
      </c>
      <c r="E686" t="str">
        <f>_xlfn.XLOOKUP($A686,Load!$B:$B,Load!F:F,0,)</f>
        <v>Mixed / Combo Packs (Gummy, Chewy, Taffy, etc.)</v>
      </c>
      <c r="F686" t="str">
        <f>_xlfn.XLOOKUP($A686,Load!$B:$B,Load!G:G,0,)</f>
        <v>Small Multipack (Less than 40 ct)</v>
      </c>
      <c r="G686" t="str">
        <f>_xlfn.XLOOKUP($A686,Load!$B:$B,Load!H:H,0,)</f>
        <v>Box (theatre box, gift box, carton)</v>
      </c>
      <c r="H686" t="str">
        <f>_xlfn.XLOOKUP($A686,Load!$B:$B,Load!I:I,0,)</f>
        <v>Everyday Candy Shapes (like Original, Gummy bear, Fruit, Jewels, etc.)</v>
      </c>
      <c r="I686" t="str">
        <f>_xlfn.XLOOKUP($A686,Load!$B:$B,Load!J:J,0,)</f>
        <v>Everyday Graphics</v>
      </c>
      <c r="J686" t="str">
        <f>_xlfn.XLOOKUP($A686,Load!$B:$B,Load!K:K,0,)</f>
        <v>Fun Size / Treat Size</v>
      </c>
      <c r="K686" t="str">
        <f>_xlfn.XLOOKUP($A686,Load!$B:$B,Load!L:L,0,)</f>
        <v>Regular/Original Wrapping</v>
      </c>
      <c r="L686" t="str">
        <f>_xlfn.XLOOKUP($A686,Load!$B:$B,Load!M:M,0,)</f>
        <v>Multiple Brands / Variety Flavors or Form</v>
      </c>
    </row>
    <row r="687" spans="1:12" x14ac:dyDescent="0.25">
      <c r="B687">
        <f>_xlfn.XLOOKUP($A687,Load!$B:$B,Load!C:C,0,)</f>
        <v>0</v>
      </c>
      <c r="C687">
        <f>_xlfn.XLOOKUP($A687,Load!$B:$B,Load!D:D,0,)</f>
        <v>0</v>
      </c>
      <c r="D687">
        <f>_xlfn.XLOOKUP($A687,Load!$B:$B,Load!E:E,0,)</f>
        <v>0</v>
      </c>
      <c r="E687">
        <f>_xlfn.XLOOKUP($A687,Load!$B:$B,Load!F:F,0,)</f>
        <v>0</v>
      </c>
      <c r="F687">
        <f>_xlfn.XLOOKUP($A687,Load!$B:$B,Load!G:G,0,)</f>
        <v>0</v>
      </c>
      <c r="G687">
        <f>_xlfn.XLOOKUP($A687,Load!$B:$B,Load!H:H,0,)</f>
        <v>0</v>
      </c>
      <c r="H687">
        <f>_xlfn.XLOOKUP($A687,Load!$B:$B,Load!I:I,0,)</f>
        <v>0</v>
      </c>
      <c r="I687">
        <f>_xlfn.XLOOKUP($A687,Load!$B:$B,Load!J:J,0,)</f>
        <v>0</v>
      </c>
      <c r="J687">
        <f>_xlfn.XLOOKUP($A687,Load!$B:$B,Load!K:K,0,)</f>
        <v>0</v>
      </c>
      <c r="K687">
        <f>_xlfn.XLOOKUP($A687,Load!$B:$B,Load!L:L,0,)</f>
        <v>0</v>
      </c>
      <c r="L687">
        <f>_xlfn.XLOOKUP($A687,Load!$B:$B,Load!M:M,0,)</f>
        <v>0</v>
      </c>
    </row>
    <row r="688" spans="1:12" x14ac:dyDescent="0.25">
      <c r="A688" t="s">
        <v>104</v>
      </c>
      <c r="B688" t="str">
        <f>_xlfn.XLOOKUP($A688,Load!$B:$B,Load!C:C,0,)</f>
        <v>Frankford</v>
      </c>
      <c r="C688" t="str">
        <f>_xlfn.XLOOKUP($A688,Load!$B:$B,Load!D:D,0,)</f>
        <v>Non-Chocolate Candy Only</v>
      </c>
      <c r="D688" t="str">
        <f>_xlfn.XLOOKUP($A688,Load!$B:$B,Load!E:E,0,)</f>
        <v>Variety / Mixed Flavors (Fruity, Sour, Seasonal Flavors)</v>
      </c>
      <c r="E688" t="str">
        <f>_xlfn.XLOOKUP($A688,Load!$B:$B,Load!F:F,0,)</f>
        <v>Mixed / Combo Packs (Gummy, Chewy, Taffy, etc.)</v>
      </c>
      <c r="F688" t="str">
        <f>_xlfn.XLOOKUP($A688,Load!$B:$B,Load!G:G,0,)</f>
        <v>Large Multipack (More than 80 ct)</v>
      </c>
      <c r="G688" t="str">
        <f>_xlfn.XLOOKUP($A688,Load!$B:$B,Load!H:H,0,)</f>
        <v>Stand-Up Bag</v>
      </c>
      <c r="H688" t="str">
        <f>_xlfn.XLOOKUP($A688,Load!$B:$B,Load!I:I,0,)</f>
        <v>Seasonal Shapes (like pumpkins, candy corn, ghost, bats, etc.)</v>
      </c>
      <c r="I688" t="str">
        <f>_xlfn.XLOOKUP($A688,Load!$B:$B,Load!J:J,0,)</f>
        <v>Seasonal Graphics (Like Bat, Ghost, Pumpkin, Fall Leaves, Eyeballs, etc.)</v>
      </c>
      <c r="J688" t="str">
        <f>_xlfn.XLOOKUP($A688,Load!$B:$B,Load!K:K,0,)</f>
        <v xml:space="preserve">Variety Candy Sizes </v>
      </c>
      <c r="K688" t="str">
        <f>_xlfn.XLOOKUP($A688,Load!$B:$B,Load!L:L,0,)</f>
        <v>Regular/Original Wrapping</v>
      </c>
      <c r="L688" t="str">
        <f>_xlfn.XLOOKUP($A688,Load!$B:$B,Load!M:M,0,)</f>
        <v>Multiple Brands / Variety Flavors or Form</v>
      </c>
    </row>
    <row r="689" spans="1:12" x14ac:dyDescent="0.25">
      <c r="B689">
        <f>_xlfn.XLOOKUP($A689,Load!$B:$B,Load!C:C,0,)</f>
        <v>0</v>
      </c>
      <c r="C689">
        <f>_xlfn.XLOOKUP($A689,Load!$B:$B,Load!D:D,0,)</f>
        <v>0</v>
      </c>
      <c r="D689">
        <f>_xlfn.XLOOKUP($A689,Load!$B:$B,Load!E:E,0,)</f>
        <v>0</v>
      </c>
      <c r="E689">
        <f>_xlfn.XLOOKUP($A689,Load!$B:$B,Load!F:F,0,)</f>
        <v>0</v>
      </c>
      <c r="F689">
        <f>_xlfn.XLOOKUP($A689,Load!$B:$B,Load!G:G,0,)</f>
        <v>0</v>
      </c>
      <c r="G689">
        <f>_xlfn.XLOOKUP($A689,Load!$B:$B,Load!H:H,0,)</f>
        <v>0</v>
      </c>
      <c r="H689">
        <f>_xlfn.XLOOKUP($A689,Load!$B:$B,Load!I:I,0,)</f>
        <v>0</v>
      </c>
      <c r="I689">
        <f>_xlfn.XLOOKUP($A689,Load!$B:$B,Load!J:J,0,)</f>
        <v>0</v>
      </c>
      <c r="J689">
        <f>_xlfn.XLOOKUP($A689,Load!$B:$B,Load!K:K,0,)</f>
        <v>0</v>
      </c>
      <c r="K689">
        <f>_xlfn.XLOOKUP($A689,Load!$B:$B,Load!L:L,0,)</f>
        <v>0</v>
      </c>
      <c r="L689">
        <f>_xlfn.XLOOKUP($A689,Load!$B:$B,Load!M:M,0,)</f>
        <v>0</v>
      </c>
    </row>
    <row r="690" spans="1:12" x14ac:dyDescent="0.25">
      <c r="A690" t="s">
        <v>146</v>
      </c>
      <c r="B690" t="str">
        <f>_xlfn.XLOOKUP($A690,Load!$B:$B,Load!C:C,0,)</f>
        <v>Hi Chew</v>
      </c>
      <c r="C690" t="str">
        <f>_xlfn.XLOOKUP($A690,Load!$B:$B,Load!D:D,0,)</f>
        <v>Non-Chocolate Candy Only</v>
      </c>
      <c r="D690" t="str">
        <f>_xlfn.XLOOKUP($A690,Load!$B:$B,Load!E:E,0,)</f>
        <v>Fruit Flavor (Cherry, Grape, Apple, Citrus, Tropical Fruit)</v>
      </c>
      <c r="E690" t="str">
        <f>_xlfn.XLOOKUP($A690,Load!$B:$B,Load!F:F,0,)</f>
        <v>Gummy</v>
      </c>
      <c r="F690" t="str">
        <f>_xlfn.XLOOKUP($A690,Load!$B:$B,Load!G:G,0,)</f>
        <v>Medium Multipack (40–80 ct)</v>
      </c>
      <c r="G690" t="str">
        <f>_xlfn.XLOOKUP($A690,Load!$B:$B,Load!H:H,0,)</f>
        <v>Stand-Up Bag</v>
      </c>
      <c r="H690" t="str">
        <f>_xlfn.XLOOKUP($A690,Load!$B:$B,Load!I:I,0,)</f>
        <v>Everyday Candy Shapes (like Original, Gummy bear, Fruit, Jewels, etc.)</v>
      </c>
      <c r="I690" t="str">
        <f>_xlfn.XLOOKUP($A690,Load!$B:$B,Load!J:J,0,)</f>
        <v>Seasonal Graphics (Like Bat, Ghost, Pumpkin, Fall Leaves, Eyeballs, etc.)</v>
      </c>
      <c r="J690" t="str">
        <f>_xlfn.XLOOKUP($A690,Load!$B:$B,Load!K:K,0,)</f>
        <v>Fun Size / Treat Size</v>
      </c>
      <c r="K690" t="str">
        <f>_xlfn.XLOOKUP($A690,Load!$B:$B,Load!L:L,0,)</f>
        <v>Regular/Original Wrapping</v>
      </c>
      <c r="L690" t="str">
        <f>_xlfn.XLOOKUP($A690,Load!$B:$B,Load!M:M,0,)</f>
        <v>Multiple Brands / Variety Flavors or Form</v>
      </c>
    </row>
    <row r="691" spans="1:12" x14ac:dyDescent="0.25">
      <c r="A691" t="s">
        <v>8</v>
      </c>
      <c r="B691" t="str">
        <f>_xlfn.XLOOKUP($A691,Load!$B:$B,Load!C:C,0,)</f>
        <v>Airheads</v>
      </c>
      <c r="C691" t="str">
        <f>_xlfn.XLOOKUP($A691,Load!$B:$B,Load!D:D,0,)</f>
        <v>Non-Chocolate Candy Only</v>
      </c>
      <c r="D691" t="str">
        <f>_xlfn.XLOOKUP($A691,Load!$B:$B,Load!E:E,0,)</f>
        <v>Fruit Flavor (Cherry, Grape, Apple, Citrus, Tropical Fruit)</v>
      </c>
      <c r="E691" t="str">
        <f>_xlfn.XLOOKUP($A691,Load!$B:$B,Load!F:F,0,)</f>
        <v>Chewy</v>
      </c>
      <c r="F691" t="str">
        <f>_xlfn.XLOOKUP($A691,Load!$B:$B,Load!G:G,0,)</f>
        <v>Small Multipack (Less than 40 ct)</v>
      </c>
      <c r="G691" t="str">
        <f>_xlfn.XLOOKUP($A691,Load!$B:$B,Load!H:H,0,)</f>
        <v>Laydown Bag</v>
      </c>
      <c r="H691" t="str">
        <f>_xlfn.XLOOKUP($A691,Load!$B:$B,Load!I:I,0,)</f>
        <v>Everyday Candy Shapes (like Original, Gummy bear, Fruit, Jewels, etc.)</v>
      </c>
      <c r="I691" t="str">
        <f>_xlfn.XLOOKUP($A691,Load!$B:$B,Load!J:J,0,)</f>
        <v>Everyday Graphics</v>
      </c>
      <c r="J691" t="str">
        <f>_xlfn.XLOOKUP($A691,Load!$B:$B,Load!K:K,0,)</f>
        <v>Fun Size / Treat Size</v>
      </c>
      <c r="K691" t="str">
        <f>_xlfn.XLOOKUP($A691,Load!$B:$B,Load!L:L,0,)</f>
        <v>Regular/Original Wrapping</v>
      </c>
      <c r="L691" t="str">
        <f>_xlfn.XLOOKUP($A691,Load!$B:$B,Load!M:M,0,)</f>
        <v>Single Brand / Variety Flavors or Form</v>
      </c>
    </row>
    <row r="692" spans="1:12" x14ac:dyDescent="0.25">
      <c r="A692" t="s">
        <v>122</v>
      </c>
      <c r="B692" t="str">
        <f>_xlfn.XLOOKUP($A692,Load!$B:$B,Load!C:C,0,)</f>
        <v>HARIBO</v>
      </c>
      <c r="C692" t="str">
        <f>_xlfn.XLOOKUP($A692,Load!$B:$B,Load!D:D,0,)</f>
        <v>Non-Chocolate Candy Only</v>
      </c>
      <c r="D692" t="str">
        <f>_xlfn.XLOOKUP($A692,Load!$B:$B,Load!E:E,0,)</f>
        <v>Variety / Mixed Flavors (Fruity, Sour, Seasonal Flavors)</v>
      </c>
      <c r="E692" t="str">
        <f>_xlfn.XLOOKUP($A692,Load!$B:$B,Load!F:F,0,)</f>
        <v>Gummy</v>
      </c>
      <c r="F692" t="str">
        <f>_xlfn.XLOOKUP($A692,Load!$B:$B,Load!G:G,0,)</f>
        <v>Medium Multipack (40–80 ct)</v>
      </c>
      <c r="G692" t="str">
        <f>_xlfn.XLOOKUP($A692,Load!$B:$B,Load!H:H,0,)</f>
        <v>Laydown Bag</v>
      </c>
      <c r="H692" t="str">
        <f>_xlfn.XLOOKUP($A692,Load!$B:$B,Load!I:I,0,)</f>
        <v>Seasonal Shapes (like pumpkins, candy corn, ghost, bats, etc.)</v>
      </c>
      <c r="I692" t="str">
        <f>_xlfn.XLOOKUP($A692,Load!$B:$B,Load!J:J,0,)</f>
        <v>Seasonal Graphics (Like Bat, Ghost, Pumpkin, Fall Leaves, Eyeballs, etc.)</v>
      </c>
      <c r="J692" t="str">
        <f>_xlfn.XLOOKUP($A692,Load!$B:$B,Load!K:K,0,)</f>
        <v>Small Pieces (Tiny bite size candies)</v>
      </c>
      <c r="K692" t="str">
        <f>_xlfn.XLOOKUP($A692,Load!$B:$B,Load!L:L,0,)</f>
        <v>Regular/Original Wrapping</v>
      </c>
      <c r="L692" t="str">
        <f>_xlfn.XLOOKUP($A692,Load!$B:$B,Load!M:M,0,)</f>
        <v>Multiple Brands / Variety Flavors or Form</v>
      </c>
    </row>
    <row r="693" spans="1:12" x14ac:dyDescent="0.25">
      <c r="A693" t="s">
        <v>93</v>
      </c>
      <c r="B693" t="str">
        <f>_xlfn.XLOOKUP($A693,Load!$B:$B,Load!C:C,0,)</f>
        <v>Ferrara Variety Pack</v>
      </c>
      <c r="C693" t="str">
        <f>_xlfn.XLOOKUP($A693,Load!$B:$B,Load!D:D,0,)</f>
        <v>Non-Chocolate Candy Only</v>
      </c>
      <c r="D693" t="str">
        <f>_xlfn.XLOOKUP($A693,Load!$B:$B,Load!E:E,0,)</f>
        <v>Variety / Mixed Flavors (Fruity, Sour, Seasonal Flavors)</v>
      </c>
      <c r="E693" t="str">
        <f>_xlfn.XLOOKUP($A693,Load!$B:$B,Load!F:F,0,)</f>
        <v>Mixed / Combo Packs (Gummy, Chewy, Taffy, etc.)</v>
      </c>
      <c r="F693" t="str">
        <f>_xlfn.XLOOKUP($A693,Load!$B:$B,Load!G:G,0,)</f>
        <v>Large Multipack (More than 80 ct)</v>
      </c>
      <c r="G693" t="str">
        <f>_xlfn.XLOOKUP($A693,Load!$B:$B,Load!H:H,0,)</f>
        <v>Stand-Up Bag</v>
      </c>
      <c r="H693" t="str">
        <f>_xlfn.XLOOKUP($A693,Load!$B:$B,Load!I:I,0,)</f>
        <v>Everyday Candy Shapes (like Original, Gummy bear, Fruit, Jewels, etc.)</v>
      </c>
      <c r="I693" t="str">
        <f>_xlfn.XLOOKUP($A693,Load!$B:$B,Load!J:J,0,)</f>
        <v>Seasonal Graphics (Like Bat, Ghost, Pumpkin, Fall Leaves, Eyeballs, etc.)</v>
      </c>
      <c r="J693" t="str">
        <f>_xlfn.XLOOKUP($A693,Load!$B:$B,Load!K:K,0,)</f>
        <v xml:space="preserve">Variety Candy Sizes </v>
      </c>
      <c r="K693" t="str">
        <f>_xlfn.XLOOKUP($A693,Load!$B:$B,Load!L:L,0,)</f>
        <v>Regular/Original Wrapping</v>
      </c>
      <c r="L693" t="str">
        <f>_xlfn.XLOOKUP($A693,Load!$B:$B,Load!M:M,0,)</f>
        <v>Multiple Brands / Variety Flavors or Form</v>
      </c>
    </row>
    <row r="694" spans="1:12" x14ac:dyDescent="0.25">
      <c r="B694">
        <f>_xlfn.XLOOKUP($A694,Load!$B:$B,Load!C:C,0,)</f>
        <v>0</v>
      </c>
      <c r="C694">
        <f>_xlfn.XLOOKUP($A694,Load!$B:$B,Load!D:D,0,)</f>
        <v>0</v>
      </c>
      <c r="D694">
        <f>_xlfn.XLOOKUP($A694,Load!$B:$B,Load!E:E,0,)</f>
        <v>0</v>
      </c>
      <c r="E694">
        <f>_xlfn.XLOOKUP($A694,Load!$B:$B,Load!F:F,0,)</f>
        <v>0</v>
      </c>
      <c r="F694">
        <f>_xlfn.XLOOKUP($A694,Load!$B:$B,Load!G:G,0,)</f>
        <v>0</v>
      </c>
      <c r="G694">
        <f>_xlfn.XLOOKUP($A694,Load!$B:$B,Load!H:H,0,)</f>
        <v>0</v>
      </c>
      <c r="H694">
        <f>_xlfn.XLOOKUP($A694,Load!$B:$B,Load!I:I,0,)</f>
        <v>0</v>
      </c>
      <c r="I694">
        <f>_xlfn.XLOOKUP($A694,Load!$B:$B,Load!J:J,0,)</f>
        <v>0</v>
      </c>
      <c r="J694">
        <f>_xlfn.XLOOKUP($A694,Load!$B:$B,Load!K:K,0,)</f>
        <v>0</v>
      </c>
      <c r="K694">
        <f>_xlfn.XLOOKUP($A694,Load!$B:$B,Load!L:L,0,)</f>
        <v>0</v>
      </c>
      <c r="L694">
        <f>_xlfn.XLOOKUP($A694,Load!$B:$B,Load!M:M,0,)</f>
        <v>0</v>
      </c>
    </row>
    <row r="695" spans="1:12" x14ac:dyDescent="0.25">
      <c r="B695">
        <f>_xlfn.XLOOKUP($A695,Load!$B:$B,Load!C:C,0,)</f>
        <v>0</v>
      </c>
      <c r="C695">
        <f>_xlfn.XLOOKUP($A695,Load!$B:$B,Load!D:D,0,)</f>
        <v>0</v>
      </c>
      <c r="D695">
        <f>_xlfn.XLOOKUP($A695,Load!$B:$B,Load!E:E,0,)</f>
        <v>0</v>
      </c>
      <c r="E695">
        <f>_xlfn.XLOOKUP($A695,Load!$B:$B,Load!F:F,0,)</f>
        <v>0</v>
      </c>
      <c r="F695">
        <f>_xlfn.XLOOKUP($A695,Load!$B:$B,Load!G:G,0,)</f>
        <v>0</v>
      </c>
      <c r="G695">
        <f>_xlfn.XLOOKUP($A695,Load!$B:$B,Load!H:H,0,)</f>
        <v>0</v>
      </c>
      <c r="H695">
        <f>_xlfn.XLOOKUP($A695,Load!$B:$B,Load!I:I,0,)</f>
        <v>0</v>
      </c>
      <c r="I695">
        <f>_xlfn.XLOOKUP($A695,Load!$B:$B,Load!J:J,0,)</f>
        <v>0</v>
      </c>
      <c r="J695">
        <f>_xlfn.XLOOKUP($A695,Load!$B:$B,Load!K:K,0,)</f>
        <v>0</v>
      </c>
      <c r="K695">
        <f>_xlfn.XLOOKUP($A695,Load!$B:$B,Load!L:L,0,)</f>
        <v>0</v>
      </c>
      <c r="L695">
        <f>_xlfn.XLOOKUP($A695,Load!$B:$B,Load!M:M,0,)</f>
        <v>0</v>
      </c>
    </row>
    <row r="696" spans="1:12" x14ac:dyDescent="0.25">
      <c r="A696" t="s">
        <v>148</v>
      </c>
      <c r="B696" t="str">
        <f>_xlfn.XLOOKUP($A696,Load!$B:$B,Load!C:C,0,)</f>
        <v>Jelly Belly</v>
      </c>
      <c r="C696" t="str">
        <f>_xlfn.XLOOKUP($A696,Load!$B:$B,Load!D:D,0,)</f>
        <v>Non-Chocolate Candy Only</v>
      </c>
      <c r="D696" t="str">
        <f>_xlfn.XLOOKUP($A696,Load!$B:$B,Load!E:E,0,)</f>
        <v>Variety / Mixed Flavors (Fruity, Sour, Seasonal Flavors)</v>
      </c>
      <c r="E696" t="str">
        <f>_xlfn.XLOOKUP($A696,Load!$B:$B,Load!F:F,0,)</f>
        <v>Candy Pieces / Bites</v>
      </c>
      <c r="F696" t="str">
        <f>_xlfn.XLOOKUP($A696,Load!$B:$B,Load!G:G,0,)</f>
        <v>Single Pack</v>
      </c>
      <c r="G696" t="str">
        <f>_xlfn.XLOOKUP($A696,Load!$B:$B,Load!H:H,0,)</f>
        <v>Stand-Up Bag</v>
      </c>
      <c r="H696" t="str">
        <f>_xlfn.XLOOKUP($A696,Load!$B:$B,Load!I:I,0,)</f>
        <v>Everyday Candy Shapes (like Original, Gummy bear, Fruit, Jewels, etc.)</v>
      </c>
      <c r="I696" t="str">
        <f>_xlfn.XLOOKUP($A696,Load!$B:$B,Load!J:J,0,)</f>
        <v>Seasonal Graphics (Like Bat, Ghost, Pumpkin, Fall Leaves, Eyeballs, etc.)</v>
      </c>
      <c r="J696" t="str">
        <f>_xlfn.XLOOKUP($A696,Load!$B:$B,Load!K:K,0,)</f>
        <v>Small Pieces (Tiny bite size candies)</v>
      </c>
      <c r="K696" t="str">
        <f>_xlfn.XLOOKUP($A696,Load!$B:$B,Load!L:L,0,)</f>
        <v>Unwrapped</v>
      </c>
      <c r="L696" t="str">
        <f>_xlfn.XLOOKUP($A696,Load!$B:$B,Load!M:M,0,)</f>
        <v>Single Brand / Variety Flavors or Form</v>
      </c>
    </row>
    <row r="697" spans="1:12" x14ac:dyDescent="0.25">
      <c r="A697" t="s">
        <v>129</v>
      </c>
      <c r="B697" t="str">
        <f>_xlfn.XLOOKUP($A697,Load!$B:$B,Load!C:C,0,)</f>
        <v>HARIBO</v>
      </c>
      <c r="C697" t="str">
        <f>_xlfn.XLOOKUP($A697,Load!$B:$B,Load!D:D,0,)</f>
        <v>Non-Chocolate Candy Only</v>
      </c>
      <c r="D697" t="str">
        <f>_xlfn.XLOOKUP($A697,Load!$B:$B,Load!E:E,0,)</f>
        <v>Fruit Flavor (Cherry, Grape, Apple, Citrus, Tropical Fruit)</v>
      </c>
      <c r="E697" t="str">
        <f>_xlfn.XLOOKUP($A697,Load!$B:$B,Load!F:F,0,)</f>
        <v>Gummy</v>
      </c>
      <c r="F697" t="str">
        <f>_xlfn.XLOOKUP($A697,Load!$B:$B,Load!G:G,0,)</f>
        <v>Single Pack</v>
      </c>
      <c r="G697" t="str">
        <f>_xlfn.XLOOKUP($A697,Load!$B:$B,Load!H:H,0,)</f>
        <v>Peg Bag</v>
      </c>
      <c r="H697" t="str">
        <f>_xlfn.XLOOKUP($A697,Load!$B:$B,Load!I:I,0,)</f>
        <v>Everyday Candy Shapes (like Original, Gummy bear, Fruit, Jewels, etc.)</v>
      </c>
      <c r="I697" t="str">
        <f>_xlfn.XLOOKUP($A697,Load!$B:$B,Load!J:J,0,)</f>
        <v>Everyday Graphics</v>
      </c>
      <c r="J697" t="str">
        <f>_xlfn.XLOOKUP($A697,Load!$B:$B,Load!K:K,0,)</f>
        <v>Small Pieces (Tiny bite size candies)</v>
      </c>
      <c r="K697" t="str">
        <f>_xlfn.XLOOKUP($A697,Load!$B:$B,Load!L:L,0,)</f>
        <v>Regular/Original Wrapping</v>
      </c>
      <c r="L697" t="str">
        <f>_xlfn.XLOOKUP($A697,Load!$B:$B,Load!M:M,0,)</f>
        <v>Single Brand / Variety Flavors or Form</v>
      </c>
    </row>
    <row r="698" spans="1:12" x14ac:dyDescent="0.25">
      <c r="B698">
        <f>_xlfn.XLOOKUP($A698,Load!$B:$B,Load!C:C,0,)</f>
        <v>0</v>
      </c>
      <c r="C698">
        <f>_xlfn.XLOOKUP($A698,Load!$B:$B,Load!D:D,0,)</f>
        <v>0</v>
      </c>
      <c r="D698">
        <f>_xlfn.XLOOKUP($A698,Load!$B:$B,Load!E:E,0,)</f>
        <v>0</v>
      </c>
      <c r="E698">
        <f>_xlfn.XLOOKUP($A698,Load!$B:$B,Load!F:F,0,)</f>
        <v>0</v>
      </c>
      <c r="F698">
        <f>_xlfn.XLOOKUP($A698,Load!$B:$B,Load!G:G,0,)</f>
        <v>0</v>
      </c>
      <c r="G698">
        <f>_xlfn.XLOOKUP($A698,Load!$B:$B,Load!H:H,0,)</f>
        <v>0</v>
      </c>
      <c r="H698">
        <f>_xlfn.XLOOKUP($A698,Load!$B:$B,Load!I:I,0,)</f>
        <v>0</v>
      </c>
      <c r="I698">
        <f>_xlfn.XLOOKUP($A698,Load!$B:$B,Load!J:J,0,)</f>
        <v>0</v>
      </c>
      <c r="J698">
        <f>_xlfn.XLOOKUP($A698,Load!$B:$B,Load!K:K,0,)</f>
        <v>0</v>
      </c>
      <c r="K698">
        <f>_xlfn.XLOOKUP($A698,Load!$B:$B,Load!L:L,0,)</f>
        <v>0</v>
      </c>
      <c r="L698">
        <f>_xlfn.XLOOKUP($A698,Load!$B:$B,Load!M:M,0,)</f>
        <v>0</v>
      </c>
    </row>
    <row r="699" spans="1:12" x14ac:dyDescent="0.25">
      <c r="B699">
        <f>_xlfn.XLOOKUP($A699,Load!$B:$B,Load!C:C,0,)</f>
        <v>0</v>
      </c>
      <c r="C699">
        <f>_xlfn.XLOOKUP($A699,Load!$B:$B,Load!D:D,0,)</f>
        <v>0</v>
      </c>
      <c r="D699">
        <f>_xlfn.XLOOKUP($A699,Load!$B:$B,Load!E:E,0,)</f>
        <v>0</v>
      </c>
      <c r="E699">
        <f>_xlfn.XLOOKUP($A699,Load!$B:$B,Load!F:F,0,)</f>
        <v>0</v>
      </c>
      <c r="F699">
        <f>_xlfn.XLOOKUP($A699,Load!$B:$B,Load!G:G,0,)</f>
        <v>0</v>
      </c>
      <c r="G699">
        <f>_xlfn.XLOOKUP($A699,Load!$B:$B,Load!H:H,0,)</f>
        <v>0</v>
      </c>
      <c r="H699">
        <f>_xlfn.XLOOKUP($A699,Load!$B:$B,Load!I:I,0,)</f>
        <v>0</v>
      </c>
      <c r="I699">
        <f>_xlfn.XLOOKUP($A699,Load!$B:$B,Load!J:J,0,)</f>
        <v>0</v>
      </c>
      <c r="J699">
        <f>_xlfn.XLOOKUP($A699,Load!$B:$B,Load!K:K,0,)</f>
        <v>0</v>
      </c>
      <c r="K699">
        <f>_xlfn.XLOOKUP($A699,Load!$B:$B,Load!L:L,0,)</f>
        <v>0</v>
      </c>
      <c r="L699">
        <f>_xlfn.XLOOKUP($A699,Load!$B:$B,Load!M:M,0,)</f>
        <v>0</v>
      </c>
    </row>
    <row r="700" spans="1:12" x14ac:dyDescent="0.25">
      <c r="B700">
        <f>_xlfn.XLOOKUP($A700,Load!$B:$B,Load!C:C,0,)</f>
        <v>0</v>
      </c>
      <c r="C700">
        <f>_xlfn.XLOOKUP($A700,Load!$B:$B,Load!D:D,0,)</f>
        <v>0</v>
      </c>
      <c r="D700">
        <f>_xlfn.XLOOKUP($A700,Load!$B:$B,Load!E:E,0,)</f>
        <v>0</v>
      </c>
      <c r="E700">
        <f>_xlfn.XLOOKUP($A700,Load!$B:$B,Load!F:F,0,)</f>
        <v>0</v>
      </c>
      <c r="F700">
        <f>_xlfn.XLOOKUP($A700,Load!$B:$B,Load!G:G,0,)</f>
        <v>0</v>
      </c>
      <c r="G700">
        <f>_xlfn.XLOOKUP($A700,Load!$B:$B,Load!H:H,0,)</f>
        <v>0</v>
      </c>
      <c r="H700">
        <f>_xlfn.XLOOKUP($A700,Load!$B:$B,Load!I:I,0,)</f>
        <v>0</v>
      </c>
      <c r="I700">
        <f>_xlfn.XLOOKUP($A700,Load!$B:$B,Load!J:J,0,)</f>
        <v>0</v>
      </c>
      <c r="J700">
        <f>_xlfn.XLOOKUP($A700,Load!$B:$B,Load!K:K,0,)</f>
        <v>0</v>
      </c>
      <c r="K700">
        <f>_xlfn.XLOOKUP($A700,Load!$B:$B,Load!L:L,0,)</f>
        <v>0</v>
      </c>
      <c r="L700">
        <f>_xlfn.XLOOKUP($A700,Load!$B:$B,Load!M:M,0,)</f>
        <v>0</v>
      </c>
    </row>
    <row r="701" spans="1:12" x14ac:dyDescent="0.25">
      <c r="B701">
        <f>_xlfn.XLOOKUP($A701,Load!$B:$B,Load!C:C,0,)</f>
        <v>0</v>
      </c>
      <c r="C701">
        <f>_xlfn.XLOOKUP($A701,Load!$B:$B,Load!D:D,0,)</f>
        <v>0</v>
      </c>
      <c r="D701">
        <f>_xlfn.XLOOKUP($A701,Load!$B:$B,Load!E:E,0,)</f>
        <v>0</v>
      </c>
      <c r="E701">
        <f>_xlfn.XLOOKUP($A701,Load!$B:$B,Load!F:F,0,)</f>
        <v>0</v>
      </c>
      <c r="F701">
        <f>_xlfn.XLOOKUP($A701,Load!$B:$B,Load!G:G,0,)</f>
        <v>0</v>
      </c>
      <c r="G701">
        <f>_xlfn.XLOOKUP($A701,Load!$B:$B,Load!H:H,0,)</f>
        <v>0</v>
      </c>
      <c r="H701">
        <f>_xlfn.XLOOKUP($A701,Load!$B:$B,Load!I:I,0,)</f>
        <v>0</v>
      </c>
      <c r="I701">
        <f>_xlfn.XLOOKUP($A701,Load!$B:$B,Load!J:J,0,)</f>
        <v>0</v>
      </c>
      <c r="J701">
        <f>_xlfn.XLOOKUP($A701,Load!$B:$B,Load!K:K,0,)</f>
        <v>0</v>
      </c>
      <c r="K701">
        <f>_xlfn.XLOOKUP($A701,Load!$B:$B,Load!L:L,0,)</f>
        <v>0</v>
      </c>
      <c r="L701">
        <f>_xlfn.XLOOKUP($A701,Load!$B:$B,Load!M:M,0,)</f>
        <v>0</v>
      </c>
    </row>
    <row r="702" spans="1:12" x14ac:dyDescent="0.25">
      <c r="A702" t="s">
        <v>138</v>
      </c>
      <c r="B702" t="str">
        <f>_xlfn.XLOOKUP($A702,Load!$B:$B,Load!C:C,0,)</f>
        <v>Hershey's Variety Pack + Haribo</v>
      </c>
      <c r="C702" t="str">
        <f>_xlfn.XLOOKUP($A702,Load!$B:$B,Load!D:D,0,)</f>
        <v>Non-Chocolate Candy Only</v>
      </c>
      <c r="D702" t="str">
        <f>_xlfn.XLOOKUP($A702,Load!$B:$B,Load!E:E,0,)</f>
        <v>Variety / Mixed Flavors (Fruity, Sour, Seasonal Flavors)</v>
      </c>
      <c r="E702" t="str">
        <f>_xlfn.XLOOKUP($A702,Load!$B:$B,Load!F:F,0,)</f>
        <v>Mixed / Combo Packs (Gummy, Chewy, Taffy, etc.)</v>
      </c>
      <c r="F702" t="str">
        <f>_xlfn.XLOOKUP($A702,Load!$B:$B,Load!G:G,0,)</f>
        <v>Medium Multipack (40–80 ct)</v>
      </c>
      <c r="G702" t="str">
        <f>_xlfn.XLOOKUP($A702,Load!$B:$B,Load!H:H,0,)</f>
        <v>Laydown Bag</v>
      </c>
      <c r="H702" t="str">
        <f>_xlfn.XLOOKUP($A702,Load!$B:$B,Load!I:I,0,)</f>
        <v>Everyday Candy Shapes (like Original, Gummy bear, Fruit, Jewels, etc.)</v>
      </c>
      <c r="I702" t="str">
        <f>_xlfn.XLOOKUP($A702,Load!$B:$B,Load!J:J,0,)</f>
        <v>Seasonal Graphics (Like Bat, Ghost, Pumpkin, Fall Leaves, Eyeballs, etc.)</v>
      </c>
      <c r="J702" t="str">
        <f>_xlfn.XLOOKUP($A702,Load!$B:$B,Load!K:K,0,)</f>
        <v>Fun Size / Treat Size</v>
      </c>
      <c r="K702" t="str">
        <f>_xlfn.XLOOKUP($A702,Load!$B:$B,Load!L:L,0,)</f>
        <v>Regular/Original Wrapping</v>
      </c>
      <c r="L702" t="str">
        <f>_xlfn.XLOOKUP($A702,Load!$B:$B,Load!M:M,0,)</f>
        <v>Multiple Brands / Variety Flavors or Form</v>
      </c>
    </row>
    <row r="703" spans="1:12" x14ac:dyDescent="0.25">
      <c r="B703">
        <f>_xlfn.XLOOKUP($A703,Load!$B:$B,Load!C:C,0,)</f>
        <v>0</v>
      </c>
      <c r="C703">
        <f>_xlfn.XLOOKUP($A703,Load!$B:$B,Load!D:D,0,)</f>
        <v>0</v>
      </c>
      <c r="D703">
        <f>_xlfn.XLOOKUP($A703,Load!$B:$B,Load!E:E,0,)</f>
        <v>0</v>
      </c>
      <c r="E703">
        <f>_xlfn.XLOOKUP($A703,Load!$B:$B,Load!F:F,0,)</f>
        <v>0</v>
      </c>
      <c r="F703">
        <f>_xlfn.XLOOKUP($A703,Load!$B:$B,Load!G:G,0,)</f>
        <v>0</v>
      </c>
      <c r="G703">
        <f>_xlfn.XLOOKUP($A703,Load!$B:$B,Load!H:H,0,)</f>
        <v>0</v>
      </c>
      <c r="H703">
        <f>_xlfn.XLOOKUP($A703,Load!$B:$B,Load!I:I,0,)</f>
        <v>0</v>
      </c>
      <c r="I703">
        <f>_xlfn.XLOOKUP($A703,Load!$B:$B,Load!J:J,0,)</f>
        <v>0</v>
      </c>
      <c r="J703">
        <f>_xlfn.XLOOKUP($A703,Load!$B:$B,Load!K:K,0,)</f>
        <v>0</v>
      </c>
      <c r="K703">
        <f>_xlfn.XLOOKUP($A703,Load!$B:$B,Load!L:L,0,)</f>
        <v>0</v>
      </c>
      <c r="L703">
        <f>_xlfn.XLOOKUP($A703,Load!$B:$B,Load!M:M,0,)</f>
        <v>0</v>
      </c>
    </row>
    <row r="704" spans="1:12" x14ac:dyDescent="0.25">
      <c r="A704" t="s">
        <v>18</v>
      </c>
      <c r="B704" t="str">
        <f>_xlfn.XLOOKUP($A704,Load!$B:$B,Load!C:C,0,)</f>
        <v>Airheads</v>
      </c>
      <c r="C704" t="str">
        <f>_xlfn.XLOOKUP($A704,Load!$B:$B,Load!D:D,0,)</f>
        <v>Non-Chocolate Candy Only</v>
      </c>
      <c r="D704" t="str">
        <f>_xlfn.XLOOKUP($A704,Load!$B:$B,Load!E:E,0,)</f>
        <v>Sour</v>
      </c>
      <c r="E704" t="str">
        <f>_xlfn.XLOOKUP($A704,Load!$B:$B,Load!F:F,0,)</f>
        <v>Chewy</v>
      </c>
      <c r="F704" t="str">
        <f>_xlfn.XLOOKUP($A704,Load!$B:$B,Load!G:G,0,)</f>
        <v>Small Multipack (Less than 40 ct)</v>
      </c>
      <c r="G704" t="str">
        <f>_xlfn.XLOOKUP($A704,Load!$B:$B,Load!H:H,0,)</f>
        <v>Laydown Bag</v>
      </c>
      <c r="H704" t="str">
        <f>_xlfn.XLOOKUP($A704,Load!$B:$B,Load!I:I,0,)</f>
        <v>Everyday Candy Shapes (like Original, Gummy bear, Fruit, Jewels, etc.)</v>
      </c>
      <c r="I704" t="str">
        <f>_xlfn.XLOOKUP($A704,Load!$B:$B,Load!J:J,0,)</f>
        <v>Everyday Graphics</v>
      </c>
      <c r="J704" t="str">
        <f>_xlfn.XLOOKUP($A704,Load!$B:$B,Load!K:K,0,)</f>
        <v>Fun Size / Treat Size</v>
      </c>
      <c r="K704" t="str">
        <f>_xlfn.XLOOKUP($A704,Load!$B:$B,Load!L:L,0,)</f>
        <v>Regular/Original Wrapping</v>
      </c>
      <c r="L704" t="str">
        <f>_xlfn.XLOOKUP($A704,Load!$B:$B,Load!M:M,0,)</f>
        <v>Single Brand / Variety Flavors or Form</v>
      </c>
    </row>
    <row r="705" spans="1:12" x14ac:dyDescent="0.25">
      <c r="A705" t="s">
        <v>295</v>
      </c>
      <c r="B705" t="str">
        <f>_xlfn.XLOOKUP($A705,Load!$B:$B,Load!C:C,0,)</f>
        <v>Tootsie</v>
      </c>
      <c r="C705" t="str">
        <f>_xlfn.XLOOKUP($A705,Load!$B:$B,Load!D:D,0,)</f>
        <v>Non-Chocolate Candy Only</v>
      </c>
      <c r="D705" t="str">
        <f>_xlfn.XLOOKUP($A705,Load!$B:$B,Load!E:E,0,)</f>
        <v>Sweet</v>
      </c>
      <c r="E705" t="str">
        <f>_xlfn.XLOOKUP($A705,Load!$B:$B,Load!F:F,0,)</f>
        <v>Lollipop (regular or lollipop rings)</v>
      </c>
      <c r="F705" t="str">
        <f>_xlfn.XLOOKUP($A705,Load!$B:$B,Load!G:G,0,)</f>
        <v>Single Pack</v>
      </c>
      <c r="G705" t="str">
        <f>_xlfn.XLOOKUP($A705,Load!$B:$B,Load!H:H,0,)</f>
        <v>Laydown Bag</v>
      </c>
      <c r="H705" t="str">
        <f>_xlfn.XLOOKUP($A705,Load!$B:$B,Load!I:I,0,)</f>
        <v>Everyday Candy Shapes (like Original, Gummy bear, Fruit, Jewels, etc.)</v>
      </c>
      <c r="I705" t="str">
        <f>_xlfn.XLOOKUP($A705,Load!$B:$B,Load!J:J,0,)</f>
        <v>Everyday Graphics</v>
      </c>
      <c r="J705" t="str">
        <f>_xlfn.XLOOKUP($A705,Load!$B:$B,Load!K:K,0,)</f>
        <v>Regular Lollipop size (on sticks or rings)</v>
      </c>
      <c r="K705" t="str">
        <f>_xlfn.XLOOKUP($A705,Load!$B:$B,Load!L:L,0,)</f>
        <v>Regular/Original Wrapping</v>
      </c>
      <c r="L705" t="str">
        <f>_xlfn.XLOOKUP($A705,Load!$B:$B,Load!M:M,0,)</f>
        <v>Single Brand / Single Flavor or Form</v>
      </c>
    </row>
    <row r="706" spans="1:12" x14ac:dyDescent="0.25">
      <c r="A706" t="s">
        <v>139</v>
      </c>
      <c r="B706" t="str">
        <f>_xlfn.XLOOKUP($A706,Load!$B:$B,Load!C:C,0,)</f>
        <v>Hershey's Variety Pack + Haribo</v>
      </c>
      <c r="C706" t="str">
        <f>_xlfn.XLOOKUP($A706,Load!$B:$B,Load!D:D,0,)</f>
        <v>Mix of Chocolate and Non-Chocolate Candy</v>
      </c>
      <c r="D706" t="str">
        <f>_xlfn.XLOOKUP($A706,Load!$B:$B,Load!E:E,0,)</f>
        <v>Variety / Mixed Flavors (Fruity, Sour, Seasonal Flavors)</v>
      </c>
      <c r="E706" t="str">
        <f>_xlfn.XLOOKUP($A706,Load!$B:$B,Load!F:F,0,)</f>
        <v>Mixed / Combo Packs (Gummy, Chewy, Taffy, etc.)</v>
      </c>
      <c r="F706" t="str">
        <f>_xlfn.XLOOKUP($A706,Load!$B:$B,Load!G:G,0,)</f>
        <v>Large Multipack (More than 80 ct)</v>
      </c>
      <c r="G706" t="str">
        <f>_xlfn.XLOOKUP($A706,Load!$B:$B,Load!H:H,0,)</f>
        <v>Stand-Up Bag</v>
      </c>
      <c r="H706" t="str">
        <f>_xlfn.XLOOKUP($A706,Load!$B:$B,Load!I:I,0,)</f>
        <v>Everyday Candy Shapes (like Original, Gummy bear, Fruit, Jewels, etc.)</v>
      </c>
      <c r="I706" t="str">
        <f>_xlfn.XLOOKUP($A706,Load!$B:$B,Load!J:J,0,)</f>
        <v>Seasonal Graphics (Like Bat, Ghost, Pumpkin, Fall Leaves, Eyeballs, etc.)</v>
      </c>
      <c r="J706" t="str">
        <f>_xlfn.XLOOKUP($A706,Load!$B:$B,Load!K:K,0,)</f>
        <v>Fun Size / Treat Size</v>
      </c>
      <c r="K706" t="str">
        <f>_xlfn.XLOOKUP($A706,Load!$B:$B,Load!L:L,0,)</f>
        <v>Regular/Original Wrapping</v>
      </c>
      <c r="L706" t="str">
        <f>_xlfn.XLOOKUP($A706,Load!$B:$B,Load!M:M,0,)</f>
        <v>Multiple Brands / Variety Flavors or Form</v>
      </c>
    </row>
    <row r="707" spans="1:12" x14ac:dyDescent="0.25">
      <c r="A707" t="s">
        <v>186</v>
      </c>
      <c r="B707" t="str">
        <f>_xlfn.XLOOKUP($A707,Load!$B:$B,Load!C:C,0,)</f>
        <v>Mars Variety Pack</v>
      </c>
      <c r="C707" t="str">
        <f>_xlfn.XLOOKUP($A707,Load!$B:$B,Load!D:D,0,)</f>
        <v>Mix of Chocolate and Non-Chocolate Candy</v>
      </c>
      <c r="D707" t="str">
        <f>_xlfn.XLOOKUP($A707,Load!$B:$B,Load!E:E,0,)</f>
        <v>Variety / Mixed Flavors (Fruity, Sour, Seasonal Flavors)</v>
      </c>
      <c r="E707" t="str">
        <f>_xlfn.XLOOKUP($A707,Load!$B:$B,Load!F:F,0,)</f>
        <v>Mixed / Combo Packs (Gummy, Chewy, Taffy, etc.)</v>
      </c>
      <c r="F707" t="str">
        <f>_xlfn.XLOOKUP($A707,Load!$B:$B,Load!G:G,0,)</f>
        <v>Large Multipack (More than 80 ct)</v>
      </c>
      <c r="G707" t="str">
        <f>_xlfn.XLOOKUP($A707,Load!$B:$B,Load!H:H,0,)</f>
        <v>Stand-Up Bag</v>
      </c>
      <c r="H707" t="str">
        <f>_xlfn.XLOOKUP($A707,Load!$B:$B,Load!I:I,0,)</f>
        <v>Everyday Candy Shapes (like Original, Gummy bear, Fruit, Jewels, etc.)</v>
      </c>
      <c r="I707" t="str">
        <f>_xlfn.XLOOKUP($A707,Load!$B:$B,Load!J:J,0,)</f>
        <v>Seasonal Graphics (Like Bat, Ghost, Pumpkin, Fall Leaves, Eyeballs, etc.)</v>
      </c>
      <c r="J707" t="str">
        <f>_xlfn.XLOOKUP($A707,Load!$B:$B,Load!K:K,0,)</f>
        <v>Fun Size / Treat Size</v>
      </c>
      <c r="K707" t="str">
        <f>_xlfn.XLOOKUP($A707,Load!$B:$B,Load!L:L,0,)</f>
        <v>Regular/Original Wrapping</v>
      </c>
      <c r="L707" t="str">
        <f>_xlfn.XLOOKUP($A707,Load!$B:$B,Load!M:M,0,)</f>
        <v>Multiple Brands / Variety Flavors or Form</v>
      </c>
    </row>
    <row r="708" spans="1:12" x14ac:dyDescent="0.25">
      <c r="B708">
        <f>_xlfn.XLOOKUP($A708,Load!$B:$B,Load!C:C,0,)</f>
        <v>0</v>
      </c>
      <c r="C708">
        <f>_xlfn.XLOOKUP($A708,Load!$B:$B,Load!D:D,0,)</f>
        <v>0</v>
      </c>
      <c r="D708">
        <f>_xlfn.XLOOKUP($A708,Load!$B:$B,Load!E:E,0,)</f>
        <v>0</v>
      </c>
      <c r="E708">
        <f>_xlfn.XLOOKUP($A708,Load!$B:$B,Load!F:F,0,)</f>
        <v>0</v>
      </c>
      <c r="F708">
        <f>_xlfn.XLOOKUP($A708,Load!$B:$B,Load!G:G,0,)</f>
        <v>0</v>
      </c>
      <c r="G708">
        <f>_xlfn.XLOOKUP($A708,Load!$B:$B,Load!H:H,0,)</f>
        <v>0</v>
      </c>
      <c r="H708">
        <f>_xlfn.XLOOKUP($A708,Load!$B:$B,Load!I:I,0,)</f>
        <v>0</v>
      </c>
      <c r="I708">
        <f>_xlfn.XLOOKUP($A708,Load!$B:$B,Load!J:J,0,)</f>
        <v>0</v>
      </c>
      <c r="J708">
        <f>_xlfn.XLOOKUP($A708,Load!$B:$B,Load!K:K,0,)</f>
        <v>0</v>
      </c>
      <c r="K708">
        <f>_xlfn.XLOOKUP($A708,Load!$B:$B,Load!L:L,0,)</f>
        <v>0</v>
      </c>
      <c r="L708">
        <f>_xlfn.XLOOKUP($A708,Load!$B:$B,Load!M:M,0,)</f>
        <v>0</v>
      </c>
    </row>
    <row r="709" spans="1:12" x14ac:dyDescent="0.25">
      <c r="B709">
        <f>_xlfn.XLOOKUP($A709,Load!$B:$B,Load!C:C,0,)</f>
        <v>0</v>
      </c>
      <c r="C709">
        <f>_xlfn.XLOOKUP($A709,Load!$B:$B,Load!D:D,0,)</f>
        <v>0</v>
      </c>
      <c r="D709">
        <f>_xlfn.XLOOKUP($A709,Load!$B:$B,Load!E:E,0,)</f>
        <v>0</v>
      </c>
      <c r="E709">
        <f>_xlfn.XLOOKUP($A709,Load!$B:$B,Load!F:F,0,)</f>
        <v>0</v>
      </c>
      <c r="F709">
        <f>_xlfn.XLOOKUP($A709,Load!$B:$B,Load!G:G,0,)</f>
        <v>0</v>
      </c>
      <c r="G709">
        <f>_xlfn.XLOOKUP($A709,Load!$B:$B,Load!H:H,0,)</f>
        <v>0</v>
      </c>
      <c r="H709">
        <f>_xlfn.XLOOKUP($A709,Load!$B:$B,Load!I:I,0,)</f>
        <v>0</v>
      </c>
      <c r="I709">
        <f>_xlfn.XLOOKUP($A709,Load!$B:$B,Load!J:J,0,)</f>
        <v>0</v>
      </c>
      <c r="J709">
        <f>_xlfn.XLOOKUP($A709,Load!$B:$B,Load!K:K,0,)</f>
        <v>0</v>
      </c>
      <c r="K709">
        <f>_xlfn.XLOOKUP($A709,Load!$B:$B,Load!L:L,0,)</f>
        <v>0</v>
      </c>
      <c r="L709">
        <f>_xlfn.XLOOKUP($A709,Load!$B:$B,Load!M:M,0,)</f>
        <v>0</v>
      </c>
    </row>
    <row r="710" spans="1:12" x14ac:dyDescent="0.25">
      <c r="A710" t="s">
        <v>237</v>
      </c>
      <c r="B710" t="str">
        <f>_xlfn.XLOOKUP($A710,Load!$B:$B,Load!C:C,0,)</f>
        <v>Now &amp; Later</v>
      </c>
      <c r="C710" t="str">
        <f>_xlfn.XLOOKUP($A710,Load!$B:$B,Load!D:D,0,)</f>
        <v>Non-Chocolate Candy Only</v>
      </c>
      <c r="D710" t="str">
        <f>_xlfn.XLOOKUP($A710,Load!$B:$B,Load!E:E,0,)</f>
        <v>Fruit Flavor (Cherry, Grape, Apple, Citrus, Tropical Fruit)</v>
      </c>
      <c r="E710" t="str">
        <f>_xlfn.XLOOKUP($A710,Load!$B:$B,Load!F:F,0,)</f>
        <v>Chewy</v>
      </c>
      <c r="F710" t="str">
        <f>_xlfn.XLOOKUP($A710,Load!$B:$B,Load!G:G,0,)</f>
        <v>Medium Multipack (40–80 ct)</v>
      </c>
      <c r="G710" t="str">
        <f>_xlfn.XLOOKUP($A710,Load!$B:$B,Load!H:H,0,)</f>
        <v>Laydown Bag</v>
      </c>
      <c r="H710" t="str">
        <f>_xlfn.XLOOKUP($A710,Load!$B:$B,Load!I:I,0,)</f>
        <v>Everyday Candy Shapes (like Original, Gummy bear, Fruit, Jewels, etc.)</v>
      </c>
      <c r="I710" t="str">
        <f>_xlfn.XLOOKUP($A710,Load!$B:$B,Load!J:J,0,)</f>
        <v>Seasonal Graphics (Like Bat, Ghost, Pumpkin, Fall Leaves, Eyeballs, etc.)</v>
      </c>
      <c r="J710" t="str">
        <f>_xlfn.XLOOKUP($A710,Load!$B:$B,Load!K:K,0,)</f>
        <v>Small Pieces (Tiny bite size candies)</v>
      </c>
      <c r="K710" t="str">
        <f>_xlfn.XLOOKUP($A710,Load!$B:$B,Load!L:L,0,)</f>
        <v>Regular/Original Wrapping</v>
      </c>
      <c r="L710" t="str">
        <f>_xlfn.XLOOKUP($A710,Load!$B:$B,Load!M:M,0,)</f>
        <v>Single Brand / Variety Flavors or Form</v>
      </c>
    </row>
    <row r="711" spans="1:12" x14ac:dyDescent="0.25">
      <c r="A711" t="s">
        <v>25</v>
      </c>
      <c r="B711" t="str">
        <f>_xlfn.XLOOKUP($A711,Load!$B:$B,Load!C:C,0,)</f>
        <v>Albert's Candy Company</v>
      </c>
      <c r="C711" t="str">
        <f>_xlfn.XLOOKUP($A711,Load!$B:$B,Load!D:D,0,)</f>
        <v>Non-Chocolate Candy Only</v>
      </c>
      <c r="D711" t="str">
        <f>_xlfn.XLOOKUP($A711,Load!$B:$B,Load!E:E,0,)</f>
        <v>Fruit Flavor (Cherry, Grape, Apple, Citrus, Tropical Fruit)</v>
      </c>
      <c r="E711" t="str">
        <f>_xlfn.XLOOKUP($A711,Load!$B:$B,Load!F:F,0,)</f>
        <v>Chewy</v>
      </c>
      <c r="F711" t="str">
        <f>_xlfn.XLOOKUP($A711,Load!$B:$B,Load!G:G,0,)</f>
        <v>Large Multipack (More than 80 ct)</v>
      </c>
      <c r="G711" t="str">
        <f>_xlfn.XLOOKUP($A711,Load!$B:$B,Load!H:H,0,)</f>
        <v>Laydown Bag</v>
      </c>
      <c r="H711" t="str">
        <f>_xlfn.XLOOKUP($A711,Load!$B:$B,Load!I:I,0,)</f>
        <v>Everyday Candy Shapes (like Original, Gummy bear, Fruit, Jewels, etc.)</v>
      </c>
      <c r="I711" t="str">
        <f>_xlfn.XLOOKUP($A711,Load!$B:$B,Load!J:J,0,)</f>
        <v>Seasonal Graphics (Like Bat, Ghost, Pumpkin, Fall Leaves, Eyeballs, etc.)</v>
      </c>
      <c r="J711" t="str">
        <f>_xlfn.XLOOKUP($A711,Load!$B:$B,Load!K:K,0,)</f>
        <v>Small Pieces (Tiny bite size candies)</v>
      </c>
      <c r="K711" t="str">
        <f>_xlfn.XLOOKUP($A711,Load!$B:$B,Load!L:L,0,)</f>
        <v>Regular/Original Wrapping</v>
      </c>
      <c r="L711" t="str">
        <f>_xlfn.XLOOKUP($A711,Load!$B:$B,Load!M:M,0,)</f>
        <v>Single Brand / Variety Flavors or Form</v>
      </c>
    </row>
    <row r="712" spans="1:12" x14ac:dyDescent="0.25">
      <c r="A712" t="s">
        <v>136</v>
      </c>
      <c r="B712" t="str">
        <f>_xlfn.XLOOKUP($A712,Load!$B:$B,Load!C:C,0,)</f>
        <v>Hershey's Variety Pack + Haribo</v>
      </c>
      <c r="C712" t="str">
        <f>_xlfn.XLOOKUP($A712,Load!$B:$B,Load!D:D,0,)</f>
        <v>Non-Chocolate Candy Only</v>
      </c>
      <c r="D712" t="str">
        <f>_xlfn.XLOOKUP($A712,Load!$B:$B,Load!E:E,0,)</f>
        <v>Variety / Mixed Flavors (Fruity, Sour, Seasonal Flavors)</v>
      </c>
      <c r="E712" t="str">
        <f>_xlfn.XLOOKUP($A712,Load!$B:$B,Load!F:F,0,)</f>
        <v>Mixed / Combo Packs (Gummy, Chewy, Taffy, etc.)</v>
      </c>
      <c r="F712" t="str">
        <f>_xlfn.XLOOKUP($A712,Load!$B:$B,Load!G:G,0,)</f>
        <v>Medium Multipack (40–80 ct)</v>
      </c>
      <c r="G712" t="str">
        <f>_xlfn.XLOOKUP($A712,Load!$B:$B,Load!H:H,0,)</f>
        <v>Laydown Bag</v>
      </c>
      <c r="H712" t="str">
        <f>_xlfn.XLOOKUP($A712,Load!$B:$B,Load!I:I,0,)</f>
        <v>Everyday Candy Shapes (like Original, Gummy bear, Fruit, Jewels, etc.)</v>
      </c>
      <c r="I712" t="str">
        <f>_xlfn.XLOOKUP($A712,Load!$B:$B,Load!J:J,0,)</f>
        <v>Seasonal Graphics (Like Bat, Ghost, Pumpkin, Fall Leaves, Eyeballs, etc.)</v>
      </c>
      <c r="J712" t="str">
        <f>_xlfn.XLOOKUP($A712,Load!$B:$B,Load!K:K,0,)</f>
        <v xml:space="preserve">Variety Candy Sizes </v>
      </c>
      <c r="K712" t="str">
        <f>_xlfn.XLOOKUP($A712,Load!$B:$B,Load!L:L,0,)</f>
        <v>Regular/Original Wrapping</v>
      </c>
      <c r="L712" t="str">
        <f>_xlfn.XLOOKUP($A712,Load!$B:$B,Load!M:M,0,)</f>
        <v>Multiple Brands / Variety Flavors or Form</v>
      </c>
    </row>
    <row r="713" spans="1:12" x14ac:dyDescent="0.25">
      <c r="A713" t="s">
        <v>130</v>
      </c>
      <c r="B713" t="str">
        <f>_xlfn.XLOOKUP($A713,Load!$B:$B,Load!C:C,0,)</f>
        <v>Hershey's</v>
      </c>
      <c r="C713" t="str">
        <f>_xlfn.XLOOKUP($A713,Load!$B:$B,Load!D:D,0,)</f>
        <v>Non-Chocolate Candy Only</v>
      </c>
      <c r="D713" t="str">
        <f>_xlfn.XLOOKUP($A713,Load!$B:$B,Load!E:E,0,)</f>
        <v>Variety / Mixed Flavors (Fruity, Sour, Seasonal Flavors)</v>
      </c>
      <c r="E713" t="str">
        <f>_xlfn.XLOOKUP($A713,Load!$B:$B,Load!F:F,0,)</f>
        <v>Mixed / Combo Packs (Gummy, Chewy, Taffy, etc.)</v>
      </c>
      <c r="F713" t="str">
        <f>_xlfn.XLOOKUP($A713,Load!$B:$B,Load!G:G,0,)</f>
        <v>Medium Multipack (40–80 ct)</v>
      </c>
      <c r="G713" t="str">
        <f>_xlfn.XLOOKUP($A713,Load!$B:$B,Load!H:H,0,)</f>
        <v>Laydown Bag</v>
      </c>
      <c r="H713" t="str">
        <f>_xlfn.XLOOKUP($A713,Load!$B:$B,Load!I:I,0,)</f>
        <v>Everyday Candy Shapes (like Original, Gummy bear, Fruit, Jewels, etc.)</v>
      </c>
      <c r="I713" t="str">
        <f>_xlfn.XLOOKUP($A713,Load!$B:$B,Load!J:J,0,)</f>
        <v>Seasonal Graphics (Like Bat, Ghost, Pumpkin, Fall Leaves, Eyeballs, etc.)</v>
      </c>
      <c r="J713" t="str">
        <f>_xlfn.XLOOKUP($A713,Load!$B:$B,Load!K:K,0,)</f>
        <v xml:space="preserve">Variety Candy Sizes </v>
      </c>
      <c r="K713" t="str">
        <f>_xlfn.XLOOKUP($A713,Load!$B:$B,Load!L:L,0,)</f>
        <v>Regular/Original Wrapping</v>
      </c>
      <c r="L713" t="str">
        <f>_xlfn.XLOOKUP($A713,Load!$B:$B,Load!M:M,0,)</f>
        <v>Multiple Brands / Variety Flavors or Form</v>
      </c>
    </row>
    <row r="714" spans="1:12" x14ac:dyDescent="0.25">
      <c r="A714" t="s">
        <v>219</v>
      </c>
      <c r="B714" t="str">
        <f>_xlfn.XLOOKUP($A714,Load!$B:$B,Load!C:C,0,)</f>
        <v>Mondelez Variety Pack</v>
      </c>
      <c r="C714" t="str">
        <f>_xlfn.XLOOKUP($A714,Load!$B:$B,Load!D:D,0,)</f>
        <v>Non-Chocolate Candy Only</v>
      </c>
      <c r="D714" t="str">
        <f>_xlfn.XLOOKUP($A714,Load!$B:$B,Load!E:E,0,)</f>
        <v>Sour</v>
      </c>
      <c r="E714" t="str">
        <f>_xlfn.XLOOKUP($A714,Load!$B:$B,Load!F:F,0,)</f>
        <v>Chewy</v>
      </c>
      <c r="F714" t="str">
        <f>_xlfn.XLOOKUP($A714,Load!$B:$B,Load!G:G,0,)</f>
        <v>Medium Multipack (40–80 ct)</v>
      </c>
      <c r="G714" t="str">
        <f>_xlfn.XLOOKUP($A714,Load!$B:$B,Load!H:H,0,)</f>
        <v>Stand-Up Bag</v>
      </c>
      <c r="H714" t="str">
        <f>_xlfn.XLOOKUP($A714,Load!$B:$B,Load!I:I,0,)</f>
        <v>Everyday Candy Shapes (like Original, Gummy bear, Fruit, Jewels, etc.)</v>
      </c>
      <c r="I714" t="str">
        <f>_xlfn.XLOOKUP($A714,Load!$B:$B,Load!J:J,0,)</f>
        <v>Seasonal Graphics (Like Bat, Ghost, Pumpkin, Fall Leaves, Eyeballs, etc.)</v>
      </c>
      <c r="J714" t="str">
        <f>_xlfn.XLOOKUP($A714,Load!$B:$B,Load!K:K,0,)</f>
        <v>Small Pieces (Tiny bite size candies)</v>
      </c>
      <c r="K714" t="str">
        <f>_xlfn.XLOOKUP($A714,Load!$B:$B,Load!L:L,0,)</f>
        <v>Regular/Original Wrapping</v>
      </c>
      <c r="L714" t="str">
        <f>_xlfn.XLOOKUP($A714,Load!$B:$B,Load!M:M,0,)</f>
        <v>Multiple Brands / Variety Flavors or Form</v>
      </c>
    </row>
    <row r="715" spans="1:12" x14ac:dyDescent="0.25">
      <c r="B715">
        <f>_xlfn.XLOOKUP($A715,Load!$B:$B,Load!C:C,0,)</f>
        <v>0</v>
      </c>
      <c r="C715">
        <f>_xlfn.XLOOKUP($A715,Load!$B:$B,Load!D:D,0,)</f>
        <v>0</v>
      </c>
      <c r="D715">
        <f>_xlfn.XLOOKUP($A715,Load!$B:$B,Load!E:E,0,)</f>
        <v>0</v>
      </c>
      <c r="E715">
        <f>_xlfn.XLOOKUP($A715,Load!$B:$B,Load!F:F,0,)</f>
        <v>0</v>
      </c>
      <c r="F715">
        <f>_xlfn.XLOOKUP($A715,Load!$B:$B,Load!G:G,0,)</f>
        <v>0</v>
      </c>
      <c r="G715">
        <f>_xlfn.XLOOKUP($A715,Load!$B:$B,Load!H:H,0,)</f>
        <v>0</v>
      </c>
      <c r="H715">
        <f>_xlfn.XLOOKUP($A715,Load!$B:$B,Load!I:I,0,)</f>
        <v>0</v>
      </c>
      <c r="I715">
        <f>_xlfn.XLOOKUP($A715,Load!$B:$B,Load!J:J,0,)</f>
        <v>0</v>
      </c>
      <c r="J715">
        <f>_xlfn.XLOOKUP($A715,Load!$B:$B,Load!K:K,0,)</f>
        <v>0</v>
      </c>
      <c r="K715">
        <f>_xlfn.XLOOKUP($A715,Load!$B:$B,Load!L:L,0,)</f>
        <v>0</v>
      </c>
      <c r="L715">
        <f>_xlfn.XLOOKUP($A715,Load!$B:$B,Load!M:M,0,)</f>
        <v>0</v>
      </c>
    </row>
    <row r="716" spans="1:12" x14ac:dyDescent="0.25">
      <c r="B716">
        <f>_xlfn.XLOOKUP($A716,Load!$B:$B,Load!C:C,0,)</f>
        <v>0</v>
      </c>
      <c r="C716">
        <f>_xlfn.XLOOKUP($A716,Load!$B:$B,Load!D:D,0,)</f>
        <v>0</v>
      </c>
      <c r="D716">
        <f>_xlfn.XLOOKUP($A716,Load!$B:$B,Load!E:E,0,)</f>
        <v>0</v>
      </c>
      <c r="E716">
        <f>_xlfn.XLOOKUP($A716,Load!$B:$B,Load!F:F,0,)</f>
        <v>0</v>
      </c>
      <c r="F716">
        <f>_xlfn.XLOOKUP($A716,Load!$B:$B,Load!G:G,0,)</f>
        <v>0</v>
      </c>
      <c r="G716">
        <f>_xlfn.XLOOKUP($A716,Load!$B:$B,Load!H:H,0,)</f>
        <v>0</v>
      </c>
      <c r="H716">
        <f>_xlfn.XLOOKUP($A716,Load!$B:$B,Load!I:I,0,)</f>
        <v>0</v>
      </c>
      <c r="I716">
        <f>_xlfn.XLOOKUP($A716,Load!$B:$B,Load!J:J,0,)</f>
        <v>0</v>
      </c>
      <c r="J716">
        <f>_xlfn.XLOOKUP($A716,Load!$B:$B,Load!K:K,0,)</f>
        <v>0</v>
      </c>
      <c r="K716">
        <f>_xlfn.XLOOKUP($A716,Load!$B:$B,Load!L:L,0,)</f>
        <v>0</v>
      </c>
      <c r="L716">
        <f>_xlfn.XLOOKUP($A716,Load!$B:$B,Load!M:M,0,)</f>
        <v>0</v>
      </c>
    </row>
    <row r="717" spans="1:12" x14ac:dyDescent="0.25">
      <c r="B717">
        <f>_xlfn.XLOOKUP($A717,Load!$B:$B,Load!C:C,0,)</f>
        <v>0</v>
      </c>
      <c r="C717">
        <f>_xlfn.XLOOKUP($A717,Load!$B:$B,Load!D:D,0,)</f>
        <v>0</v>
      </c>
      <c r="D717">
        <f>_xlfn.XLOOKUP($A717,Load!$B:$B,Load!E:E,0,)</f>
        <v>0</v>
      </c>
      <c r="E717">
        <f>_xlfn.XLOOKUP($A717,Load!$B:$B,Load!F:F,0,)</f>
        <v>0</v>
      </c>
      <c r="F717">
        <f>_xlfn.XLOOKUP($A717,Load!$B:$B,Load!G:G,0,)</f>
        <v>0</v>
      </c>
      <c r="G717">
        <f>_xlfn.XLOOKUP($A717,Load!$B:$B,Load!H:H,0,)</f>
        <v>0</v>
      </c>
      <c r="H717">
        <f>_xlfn.XLOOKUP($A717,Load!$B:$B,Load!I:I,0,)</f>
        <v>0</v>
      </c>
      <c r="I717">
        <f>_xlfn.XLOOKUP($A717,Load!$B:$B,Load!J:J,0,)</f>
        <v>0</v>
      </c>
      <c r="J717">
        <f>_xlfn.XLOOKUP($A717,Load!$B:$B,Load!K:K,0,)</f>
        <v>0</v>
      </c>
      <c r="K717">
        <f>_xlfn.XLOOKUP($A717,Load!$B:$B,Load!L:L,0,)</f>
        <v>0</v>
      </c>
      <c r="L717">
        <f>_xlfn.XLOOKUP($A717,Load!$B:$B,Load!M:M,0,)</f>
        <v>0</v>
      </c>
    </row>
    <row r="718" spans="1:12" x14ac:dyDescent="0.25">
      <c r="B718">
        <f>_xlfn.XLOOKUP($A718,Load!$B:$B,Load!C:C,0,)</f>
        <v>0</v>
      </c>
      <c r="C718">
        <f>_xlfn.XLOOKUP($A718,Load!$B:$B,Load!D:D,0,)</f>
        <v>0</v>
      </c>
      <c r="D718">
        <f>_xlfn.XLOOKUP($A718,Load!$B:$B,Load!E:E,0,)</f>
        <v>0</v>
      </c>
      <c r="E718">
        <f>_xlfn.XLOOKUP($A718,Load!$B:$B,Load!F:F,0,)</f>
        <v>0</v>
      </c>
      <c r="F718">
        <f>_xlfn.XLOOKUP($A718,Load!$B:$B,Load!G:G,0,)</f>
        <v>0</v>
      </c>
      <c r="G718">
        <f>_xlfn.XLOOKUP($A718,Load!$B:$B,Load!H:H,0,)</f>
        <v>0</v>
      </c>
      <c r="H718">
        <f>_xlfn.XLOOKUP($A718,Load!$B:$B,Load!I:I,0,)</f>
        <v>0</v>
      </c>
      <c r="I718">
        <f>_xlfn.XLOOKUP($A718,Load!$B:$B,Load!J:J,0,)</f>
        <v>0</v>
      </c>
      <c r="J718">
        <f>_xlfn.XLOOKUP($A718,Load!$B:$B,Load!K:K,0,)</f>
        <v>0</v>
      </c>
      <c r="K718">
        <f>_xlfn.XLOOKUP($A718,Load!$B:$B,Load!L:L,0,)</f>
        <v>0</v>
      </c>
      <c r="L718">
        <f>_xlfn.XLOOKUP($A718,Load!$B:$B,Load!M:M,0,)</f>
        <v>0</v>
      </c>
    </row>
    <row r="719" spans="1:12" x14ac:dyDescent="0.25">
      <c r="B719">
        <f>_xlfn.XLOOKUP($A719,Load!$B:$B,Load!C:C,0,)</f>
        <v>0</v>
      </c>
      <c r="C719">
        <f>_xlfn.XLOOKUP($A719,Load!$B:$B,Load!D:D,0,)</f>
        <v>0</v>
      </c>
      <c r="D719">
        <f>_xlfn.XLOOKUP($A719,Load!$B:$B,Load!E:E,0,)</f>
        <v>0</v>
      </c>
      <c r="E719">
        <f>_xlfn.XLOOKUP($A719,Load!$B:$B,Load!F:F,0,)</f>
        <v>0</v>
      </c>
      <c r="F719">
        <f>_xlfn.XLOOKUP($A719,Load!$B:$B,Load!G:G,0,)</f>
        <v>0</v>
      </c>
      <c r="G719">
        <f>_xlfn.XLOOKUP($A719,Load!$B:$B,Load!H:H,0,)</f>
        <v>0</v>
      </c>
      <c r="H719">
        <f>_xlfn.XLOOKUP($A719,Load!$B:$B,Load!I:I,0,)</f>
        <v>0</v>
      </c>
      <c r="I719">
        <f>_xlfn.XLOOKUP($A719,Load!$B:$B,Load!J:J,0,)</f>
        <v>0</v>
      </c>
      <c r="J719">
        <f>_xlfn.XLOOKUP($A719,Load!$B:$B,Load!K:K,0,)</f>
        <v>0</v>
      </c>
      <c r="K719">
        <f>_xlfn.XLOOKUP($A719,Load!$B:$B,Load!L:L,0,)</f>
        <v>0</v>
      </c>
      <c r="L719">
        <f>_xlfn.XLOOKUP($A719,Load!$B:$B,Load!M:M,0,)</f>
        <v>0</v>
      </c>
    </row>
    <row r="720" spans="1:12" x14ac:dyDescent="0.25">
      <c r="B720">
        <f>_xlfn.XLOOKUP($A720,Load!$B:$B,Load!C:C,0,)</f>
        <v>0</v>
      </c>
      <c r="C720">
        <f>_xlfn.XLOOKUP($A720,Load!$B:$B,Load!D:D,0,)</f>
        <v>0</v>
      </c>
      <c r="D720">
        <f>_xlfn.XLOOKUP($A720,Load!$B:$B,Load!E:E,0,)</f>
        <v>0</v>
      </c>
      <c r="E720">
        <f>_xlfn.XLOOKUP($A720,Load!$B:$B,Load!F:F,0,)</f>
        <v>0</v>
      </c>
      <c r="F720">
        <f>_xlfn.XLOOKUP($A720,Load!$B:$B,Load!G:G,0,)</f>
        <v>0</v>
      </c>
      <c r="G720">
        <f>_xlfn.XLOOKUP($A720,Load!$B:$B,Load!H:H,0,)</f>
        <v>0</v>
      </c>
      <c r="H720">
        <f>_xlfn.XLOOKUP($A720,Load!$B:$B,Load!I:I,0,)</f>
        <v>0</v>
      </c>
      <c r="I720">
        <f>_xlfn.XLOOKUP($A720,Load!$B:$B,Load!J:J,0,)</f>
        <v>0</v>
      </c>
      <c r="J720">
        <f>_xlfn.XLOOKUP($A720,Load!$B:$B,Load!K:K,0,)</f>
        <v>0</v>
      </c>
      <c r="K720">
        <f>_xlfn.XLOOKUP($A720,Load!$B:$B,Load!L:L,0,)</f>
        <v>0</v>
      </c>
      <c r="L720">
        <f>_xlfn.XLOOKUP($A720,Load!$B:$B,Load!M:M,0,)</f>
        <v>0</v>
      </c>
    </row>
    <row r="721" spans="1:12" x14ac:dyDescent="0.25">
      <c r="B721">
        <f>_xlfn.XLOOKUP($A721,Load!$B:$B,Load!C:C,0,)</f>
        <v>0</v>
      </c>
      <c r="C721">
        <f>_xlfn.XLOOKUP($A721,Load!$B:$B,Load!D:D,0,)</f>
        <v>0</v>
      </c>
      <c r="D721">
        <f>_xlfn.XLOOKUP($A721,Load!$B:$B,Load!E:E,0,)</f>
        <v>0</v>
      </c>
      <c r="E721">
        <f>_xlfn.XLOOKUP($A721,Load!$B:$B,Load!F:F,0,)</f>
        <v>0</v>
      </c>
      <c r="F721">
        <f>_xlfn.XLOOKUP($A721,Load!$B:$B,Load!G:G,0,)</f>
        <v>0</v>
      </c>
      <c r="G721">
        <f>_xlfn.XLOOKUP($A721,Load!$B:$B,Load!H:H,0,)</f>
        <v>0</v>
      </c>
      <c r="H721">
        <f>_xlfn.XLOOKUP($A721,Load!$B:$B,Load!I:I,0,)</f>
        <v>0</v>
      </c>
      <c r="I721">
        <f>_xlfn.XLOOKUP($A721,Load!$B:$B,Load!J:J,0,)</f>
        <v>0</v>
      </c>
      <c r="J721">
        <f>_xlfn.XLOOKUP($A721,Load!$B:$B,Load!K:K,0,)</f>
        <v>0</v>
      </c>
      <c r="K721">
        <f>_xlfn.XLOOKUP($A721,Load!$B:$B,Load!L:L,0,)</f>
        <v>0</v>
      </c>
      <c r="L721">
        <f>_xlfn.XLOOKUP($A721,Load!$B:$B,Load!M:M,0,)</f>
        <v>0</v>
      </c>
    </row>
    <row r="722" spans="1:12" x14ac:dyDescent="0.25">
      <c r="A722" t="s">
        <v>267</v>
      </c>
      <c r="B722" t="str">
        <f>_xlfn.XLOOKUP($A722,Load!$B:$B,Load!C:C,0,)</f>
        <v>Sour Patch Kids</v>
      </c>
      <c r="C722" t="str">
        <f>_xlfn.XLOOKUP($A722,Load!$B:$B,Load!D:D,0,)</f>
        <v>Non-Chocolate Candy Only</v>
      </c>
      <c r="D722" t="str">
        <f>_xlfn.XLOOKUP($A722,Load!$B:$B,Load!E:E,0,)</f>
        <v>Sour</v>
      </c>
      <c r="E722" t="str">
        <f>_xlfn.XLOOKUP($A722,Load!$B:$B,Load!F:F,0,)</f>
        <v>Chewy</v>
      </c>
      <c r="F722" t="str">
        <f>_xlfn.XLOOKUP($A722,Load!$B:$B,Load!G:G,0,)</f>
        <v>Small Multipack (Less than 40 ct)</v>
      </c>
      <c r="G722" t="str">
        <f>_xlfn.XLOOKUP($A722,Load!$B:$B,Load!H:H,0,)</f>
        <v>Laydown Bag</v>
      </c>
      <c r="H722" t="str">
        <f>_xlfn.XLOOKUP($A722,Load!$B:$B,Load!I:I,0,)</f>
        <v>Everyday Candy Shapes (like Original, Gummy bear, Fruit, Jewels, etc.)</v>
      </c>
      <c r="I722" t="str">
        <f>_xlfn.XLOOKUP($A722,Load!$B:$B,Load!J:J,0,)</f>
        <v>Seasonal Graphics (Like Bat, Ghost, Pumpkin, Fall Leaves, Eyeballs, etc.)</v>
      </c>
      <c r="J722" t="str">
        <f>_xlfn.XLOOKUP($A722,Load!$B:$B,Load!K:K,0,)</f>
        <v>Small Pieces (Tiny bite size candies)</v>
      </c>
      <c r="K722" t="str">
        <f>_xlfn.XLOOKUP($A722,Load!$B:$B,Load!L:L,0,)</f>
        <v>Regular/Original Wrapping</v>
      </c>
      <c r="L722" t="str">
        <f>_xlfn.XLOOKUP($A722,Load!$B:$B,Load!M:M,0,)</f>
        <v>Single Brand / Variety Flavors or Form</v>
      </c>
    </row>
    <row r="723" spans="1:12" x14ac:dyDescent="0.25">
      <c r="A723" t="s">
        <v>157</v>
      </c>
      <c r="B723" t="str">
        <f>_xlfn.XLOOKUP($A723,Load!$B:$B,Load!C:C,0,)</f>
        <v>Jolly Rancher</v>
      </c>
      <c r="C723" t="str">
        <f>_xlfn.XLOOKUP($A723,Load!$B:$B,Load!D:D,0,)</f>
        <v>Non-Chocolate Candy Only</v>
      </c>
      <c r="D723" t="str">
        <f>_xlfn.XLOOKUP($A723,Load!$B:$B,Load!E:E,0,)</f>
        <v>Fruit Flavor (Cherry, Grape, Apple, Citrus, Tropical Fruit)</v>
      </c>
      <c r="E723" t="str">
        <f>_xlfn.XLOOKUP($A723,Load!$B:$B,Load!F:F,0,)</f>
        <v>Hard Candy</v>
      </c>
      <c r="F723" t="str">
        <f>_xlfn.XLOOKUP($A723,Load!$B:$B,Load!G:G,0,)</f>
        <v>Single Pack</v>
      </c>
      <c r="G723" t="str">
        <f>_xlfn.XLOOKUP($A723,Load!$B:$B,Load!H:H,0,)</f>
        <v>Laydown Bag</v>
      </c>
      <c r="H723" t="str">
        <f>_xlfn.XLOOKUP($A723,Load!$B:$B,Load!I:I,0,)</f>
        <v>Everyday Candy Shapes (like Original, Gummy bear, Fruit, Jewels, etc.)</v>
      </c>
      <c r="I723" t="str">
        <f>_xlfn.XLOOKUP($A723,Load!$B:$B,Load!J:J,0,)</f>
        <v>Everyday Graphics</v>
      </c>
      <c r="J723" t="str">
        <f>_xlfn.XLOOKUP($A723,Load!$B:$B,Load!K:K,0,)</f>
        <v>Small Pieces (Tiny bite size candies)</v>
      </c>
      <c r="K723" t="str">
        <f>_xlfn.XLOOKUP($A723,Load!$B:$B,Load!L:L,0,)</f>
        <v>Regular/Original Wrapping</v>
      </c>
      <c r="L723" t="str">
        <f>_xlfn.XLOOKUP($A723,Load!$B:$B,Load!M:M,0,)</f>
        <v>Single Brand / Variety Flavors or Form</v>
      </c>
    </row>
    <row r="724" spans="1:12" x14ac:dyDescent="0.25">
      <c r="A724" t="s">
        <v>226</v>
      </c>
      <c r="B724" t="str">
        <f>_xlfn.XLOOKUP($A724,Load!$B:$B,Load!C:C,0,)</f>
        <v>Nerds</v>
      </c>
      <c r="C724" t="str">
        <f>_xlfn.XLOOKUP($A724,Load!$B:$B,Load!D:D,0,)</f>
        <v>Non-Chocolate Candy Only</v>
      </c>
      <c r="D724" t="str">
        <f>_xlfn.XLOOKUP($A724,Load!$B:$B,Load!E:E,0,)</f>
        <v>Sweet</v>
      </c>
      <c r="E724" t="str">
        <f>_xlfn.XLOOKUP($A724,Load!$B:$B,Load!F:F,0,)</f>
        <v>Gummy</v>
      </c>
      <c r="F724" t="str">
        <f>_xlfn.XLOOKUP($A724,Load!$B:$B,Load!G:G,0,)</f>
        <v>Single Pack</v>
      </c>
      <c r="G724" t="str">
        <f>_xlfn.XLOOKUP($A724,Load!$B:$B,Load!H:H,0,)</f>
        <v>Laydown Bag</v>
      </c>
      <c r="H724" t="str">
        <f>_xlfn.XLOOKUP($A724,Load!$B:$B,Load!I:I,0,)</f>
        <v>Seasonal Shapes (like pumpkins, candy corn, ghost, bats, etc.)</v>
      </c>
      <c r="I724" t="str">
        <f>_xlfn.XLOOKUP($A724,Load!$B:$B,Load!J:J,0,)</f>
        <v>Seasonal Graphics (Like Bat, Ghost, Pumpkin, Fall Leaves, Eyeballs, etc.)</v>
      </c>
      <c r="J724" t="str">
        <f>_xlfn.XLOOKUP($A724,Load!$B:$B,Load!K:K,0,)</f>
        <v>Fun Size / Treat Size</v>
      </c>
      <c r="K724" t="str">
        <f>_xlfn.XLOOKUP($A724,Load!$B:$B,Load!L:L,0,)</f>
        <v>Unwrapped</v>
      </c>
      <c r="L724" t="str">
        <f>_xlfn.XLOOKUP($A724,Load!$B:$B,Load!M:M,0,)</f>
        <v>Single Brand / Single Flavor or Form</v>
      </c>
    </row>
    <row r="725" spans="1:12" x14ac:dyDescent="0.25">
      <c r="A725" t="s">
        <v>293</v>
      </c>
      <c r="B725" t="str">
        <f>_xlfn.XLOOKUP($A725,Load!$B:$B,Load!C:C,0,)</f>
        <v>Tootsie</v>
      </c>
      <c r="C725" t="str">
        <f>_xlfn.XLOOKUP($A725,Load!$B:$B,Load!D:D,0,)</f>
        <v>Mix of Chocolate and Non-Chocolate Candy</v>
      </c>
      <c r="D725" t="str">
        <f>_xlfn.XLOOKUP($A725,Load!$B:$B,Load!E:E,0,)</f>
        <v>Sweet</v>
      </c>
      <c r="E725" t="str">
        <f>_xlfn.XLOOKUP($A725,Load!$B:$B,Load!F:F,0,)</f>
        <v>Lollipop (regular or lollipop rings)</v>
      </c>
      <c r="F725" t="str">
        <f>_xlfn.XLOOKUP($A725,Load!$B:$B,Load!G:G,0,)</f>
        <v>Large Multipack (More than 80 ct)</v>
      </c>
      <c r="G725" t="str">
        <f>_xlfn.XLOOKUP($A725,Load!$B:$B,Load!H:H,0,)</f>
        <v>Laydown Bag</v>
      </c>
      <c r="H725" t="str">
        <f>_xlfn.XLOOKUP($A725,Load!$B:$B,Load!I:I,0,)</f>
        <v>Everyday Candy Shapes (like Original, Gummy bear, Fruit, Jewels, etc.)</v>
      </c>
      <c r="I725" t="str">
        <f>_xlfn.XLOOKUP($A725,Load!$B:$B,Load!J:J,0,)</f>
        <v>Everyday Graphics</v>
      </c>
      <c r="J725" t="str">
        <f>_xlfn.XLOOKUP($A725,Load!$B:$B,Load!K:K,0,)</f>
        <v>Regular Lollipop size (on sticks or rings)</v>
      </c>
      <c r="K725" t="str">
        <f>_xlfn.XLOOKUP($A725,Load!$B:$B,Load!L:L,0,)</f>
        <v>Regular/Original Wrapping</v>
      </c>
      <c r="L725" t="str">
        <f>_xlfn.XLOOKUP($A725,Load!$B:$B,Load!M:M,0,)</f>
        <v>Single Brand / Single Flavor or Form</v>
      </c>
    </row>
    <row r="726" spans="1:12" x14ac:dyDescent="0.25">
      <c r="A726" t="s">
        <v>104</v>
      </c>
      <c r="B726" t="str">
        <f>_xlfn.XLOOKUP($A726,Load!$B:$B,Load!C:C,0,)</f>
        <v>Frankford</v>
      </c>
      <c r="C726" t="str">
        <f>_xlfn.XLOOKUP($A726,Load!$B:$B,Load!D:D,0,)</f>
        <v>Non-Chocolate Candy Only</v>
      </c>
      <c r="D726" t="str">
        <f>_xlfn.XLOOKUP($A726,Load!$B:$B,Load!E:E,0,)</f>
        <v>Variety / Mixed Flavors (Fruity, Sour, Seasonal Flavors)</v>
      </c>
      <c r="E726" t="str">
        <f>_xlfn.XLOOKUP($A726,Load!$B:$B,Load!F:F,0,)</f>
        <v>Mixed / Combo Packs (Gummy, Chewy, Taffy, etc.)</v>
      </c>
      <c r="F726" t="str">
        <f>_xlfn.XLOOKUP($A726,Load!$B:$B,Load!G:G,0,)</f>
        <v>Large Multipack (More than 80 ct)</v>
      </c>
      <c r="G726" t="str">
        <f>_xlfn.XLOOKUP($A726,Load!$B:$B,Load!H:H,0,)</f>
        <v>Stand-Up Bag</v>
      </c>
      <c r="H726" t="str">
        <f>_xlfn.XLOOKUP($A726,Load!$B:$B,Load!I:I,0,)</f>
        <v>Seasonal Shapes (like pumpkins, candy corn, ghost, bats, etc.)</v>
      </c>
      <c r="I726" t="str">
        <f>_xlfn.XLOOKUP($A726,Load!$B:$B,Load!J:J,0,)</f>
        <v>Seasonal Graphics (Like Bat, Ghost, Pumpkin, Fall Leaves, Eyeballs, etc.)</v>
      </c>
      <c r="J726" t="str">
        <f>_xlfn.XLOOKUP($A726,Load!$B:$B,Load!K:K,0,)</f>
        <v xml:space="preserve">Variety Candy Sizes </v>
      </c>
      <c r="K726" t="str">
        <f>_xlfn.XLOOKUP($A726,Load!$B:$B,Load!L:L,0,)</f>
        <v>Regular/Original Wrapping</v>
      </c>
      <c r="L726" t="str">
        <f>_xlfn.XLOOKUP($A726,Load!$B:$B,Load!M:M,0,)</f>
        <v>Multiple Brands / Variety Flavors or Form</v>
      </c>
    </row>
    <row r="727" spans="1:12" x14ac:dyDescent="0.25">
      <c r="B727">
        <f>_xlfn.XLOOKUP($A727,Load!$B:$B,Load!C:C,0,)</f>
        <v>0</v>
      </c>
      <c r="C727">
        <f>_xlfn.XLOOKUP($A727,Load!$B:$B,Load!D:D,0,)</f>
        <v>0</v>
      </c>
      <c r="D727">
        <f>_xlfn.XLOOKUP($A727,Load!$B:$B,Load!E:E,0,)</f>
        <v>0</v>
      </c>
      <c r="E727">
        <f>_xlfn.XLOOKUP($A727,Load!$B:$B,Load!F:F,0,)</f>
        <v>0</v>
      </c>
      <c r="F727">
        <f>_xlfn.XLOOKUP($A727,Load!$B:$B,Load!G:G,0,)</f>
        <v>0</v>
      </c>
      <c r="G727">
        <f>_xlfn.XLOOKUP($A727,Load!$B:$B,Load!H:H,0,)</f>
        <v>0</v>
      </c>
      <c r="H727">
        <f>_xlfn.XLOOKUP($A727,Load!$B:$B,Load!I:I,0,)</f>
        <v>0</v>
      </c>
      <c r="I727">
        <f>_xlfn.XLOOKUP($A727,Load!$B:$B,Load!J:J,0,)</f>
        <v>0</v>
      </c>
      <c r="J727">
        <f>_xlfn.XLOOKUP($A727,Load!$B:$B,Load!K:K,0,)</f>
        <v>0</v>
      </c>
      <c r="K727">
        <f>_xlfn.XLOOKUP($A727,Load!$B:$B,Load!L:L,0,)</f>
        <v>0</v>
      </c>
      <c r="L727">
        <f>_xlfn.XLOOKUP($A727,Load!$B:$B,Load!M:M,0,)</f>
        <v>0</v>
      </c>
    </row>
    <row r="728" spans="1:12" x14ac:dyDescent="0.25">
      <c r="B728">
        <f>_xlfn.XLOOKUP($A728,Load!$B:$B,Load!C:C,0,)</f>
        <v>0</v>
      </c>
      <c r="C728">
        <f>_xlfn.XLOOKUP($A728,Load!$B:$B,Load!D:D,0,)</f>
        <v>0</v>
      </c>
      <c r="D728">
        <f>_xlfn.XLOOKUP($A728,Load!$B:$B,Load!E:E,0,)</f>
        <v>0</v>
      </c>
      <c r="E728">
        <f>_xlfn.XLOOKUP($A728,Load!$B:$B,Load!F:F,0,)</f>
        <v>0</v>
      </c>
      <c r="F728">
        <f>_xlfn.XLOOKUP($A728,Load!$B:$B,Load!G:G,0,)</f>
        <v>0</v>
      </c>
      <c r="G728">
        <f>_xlfn.XLOOKUP($A728,Load!$B:$B,Load!H:H,0,)</f>
        <v>0</v>
      </c>
      <c r="H728">
        <f>_xlfn.XLOOKUP($A728,Load!$B:$B,Load!I:I,0,)</f>
        <v>0</v>
      </c>
      <c r="I728">
        <f>_xlfn.XLOOKUP($A728,Load!$B:$B,Load!J:J,0,)</f>
        <v>0</v>
      </c>
      <c r="J728">
        <f>_xlfn.XLOOKUP($A728,Load!$B:$B,Load!K:K,0,)</f>
        <v>0</v>
      </c>
      <c r="K728">
        <f>_xlfn.XLOOKUP($A728,Load!$B:$B,Load!L:L,0,)</f>
        <v>0</v>
      </c>
      <c r="L728">
        <f>_xlfn.XLOOKUP($A728,Load!$B:$B,Load!M:M,0,)</f>
        <v>0</v>
      </c>
    </row>
    <row r="729" spans="1:12" x14ac:dyDescent="0.25">
      <c r="B729">
        <f>_xlfn.XLOOKUP($A729,Load!$B:$B,Load!C:C,0,)</f>
        <v>0</v>
      </c>
      <c r="C729">
        <f>_xlfn.XLOOKUP($A729,Load!$B:$B,Load!D:D,0,)</f>
        <v>0</v>
      </c>
      <c r="D729">
        <f>_xlfn.XLOOKUP($A729,Load!$B:$B,Load!E:E,0,)</f>
        <v>0</v>
      </c>
      <c r="E729">
        <f>_xlfn.XLOOKUP($A729,Load!$B:$B,Load!F:F,0,)</f>
        <v>0</v>
      </c>
      <c r="F729">
        <f>_xlfn.XLOOKUP($A729,Load!$B:$B,Load!G:G,0,)</f>
        <v>0</v>
      </c>
      <c r="G729">
        <f>_xlfn.XLOOKUP($A729,Load!$B:$B,Load!H:H,0,)</f>
        <v>0</v>
      </c>
      <c r="H729">
        <f>_xlfn.XLOOKUP($A729,Load!$B:$B,Load!I:I,0,)</f>
        <v>0</v>
      </c>
      <c r="I729">
        <f>_xlfn.XLOOKUP($A729,Load!$B:$B,Load!J:J,0,)</f>
        <v>0</v>
      </c>
      <c r="J729">
        <f>_xlfn.XLOOKUP($A729,Load!$B:$B,Load!K:K,0,)</f>
        <v>0</v>
      </c>
      <c r="K729">
        <f>_xlfn.XLOOKUP($A729,Load!$B:$B,Load!L:L,0,)</f>
        <v>0</v>
      </c>
      <c r="L729">
        <f>_xlfn.XLOOKUP($A729,Load!$B:$B,Load!M:M,0,)</f>
        <v>0</v>
      </c>
    </row>
    <row r="730" spans="1:12" x14ac:dyDescent="0.25">
      <c r="B730">
        <f>_xlfn.XLOOKUP($A730,Load!$B:$B,Load!C:C,0,)</f>
        <v>0</v>
      </c>
      <c r="C730">
        <f>_xlfn.XLOOKUP($A730,Load!$B:$B,Load!D:D,0,)</f>
        <v>0</v>
      </c>
      <c r="D730">
        <f>_xlfn.XLOOKUP($A730,Load!$B:$B,Load!E:E,0,)</f>
        <v>0</v>
      </c>
      <c r="E730">
        <f>_xlfn.XLOOKUP($A730,Load!$B:$B,Load!F:F,0,)</f>
        <v>0</v>
      </c>
      <c r="F730">
        <f>_xlfn.XLOOKUP($A730,Load!$B:$B,Load!G:G,0,)</f>
        <v>0</v>
      </c>
      <c r="G730">
        <f>_xlfn.XLOOKUP($A730,Load!$B:$B,Load!H:H,0,)</f>
        <v>0</v>
      </c>
      <c r="H730">
        <f>_xlfn.XLOOKUP($A730,Load!$B:$B,Load!I:I,0,)</f>
        <v>0</v>
      </c>
      <c r="I730">
        <f>_xlfn.XLOOKUP($A730,Load!$B:$B,Load!J:J,0,)</f>
        <v>0</v>
      </c>
      <c r="J730">
        <f>_xlfn.XLOOKUP($A730,Load!$B:$B,Load!K:K,0,)</f>
        <v>0</v>
      </c>
      <c r="K730">
        <f>_xlfn.XLOOKUP($A730,Load!$B:$B,Load!L:L,0,)</f>
        <v>0</v>
      </c>
      <c r="L730">
        <f>_xlfn.XLOOKUP($A730,Load!$B:$B,Load!M:M,0,)</f>
        <v>0</v>
      </c>
    </row>
    <row r="731" spans="1:12" x14ac:dyDescent="0.25">
      <c r="B731">
        <f>_xlfn.XLOOKUP($A731,Load!$B:$B,Load!C:C,0,)</f>
        <v>0</v>
      </c>
      <c r="C731">
        <f>_xlfn.XLOOKUP($A731,Load!$B:$B,Load!D:D,0,)</f>
        <v>0</v>
      </c>
      <c r="D731">
        <f>_xlfn.XLOOKUP($A731,Load!$B:$B,Load!E:E,0,)</f>
        <v>0</v>
      </c>
      <c r="E731">
        <f>_xlfn.XLOOKUP($A731,Load!$B:$B,Load!F:F,0,)</f>
        <v>0</v>
      </c>
      <c r="F731">
        <f>_xlfn.XLOOKUP($A731,Load!$B:$B,Load!G:G,0,)</f>
        <v>0</v>
      </c>
      <c r="G731">
        <f>_xlfn.XLOOKUP($A731,Load!$B:$B,Load!H:H,0,)</f>
        <v>0</v>
      </c>
      <c r="H731">
        <f>_xlfn.XLOOKUP($A731,Load!$B:$B,Load!I:I,0,)</f>
        <v>0</v>
      </c>
      <c r="I731">
        <f>_xlfn.XLOOKUP($A731,Load!$B:$B,Load!J:J,0,)</f>
        <v>0</v>
      </c>
      <c r="J731">
        <f>_xlfn.XLOOKUP($A731,Load!$B:$B,Load!K:K,0,)</f>
        <v>0</v>
      </c>
      <c r="K731">
        <f>_xlfn.XLOOKUP($A731,Load!$B:$B,Load!L:L,0,)</f>
        <v>0</v>
      </c>
      <c r="L731">
        <f>_xlfn.XLOOKUP($A731,Load!$B:$B,Load!M:M,0,)</f>
        <v>0</v>
      </c>
    </row>
    <row r="732" spans="1:12" x14ac:dyDescent="0.25">
      <c r="A732" t="s">
        <v>8</v>
      </c>
      <c r="B732" t="str">
        <f>_xlfn.XLOOKUP($A732,Load!$B:$B,Load!C:C,0,)</f>
        <v>Airheads</v>
      </c>
      <c r="C732" t="str">
        <f>_xlfn.XLOOKUP($A732,Load!$B:$B,Load!D:D,0,)</f>
        <v>Non-Chocolate Candy Only</v>
      </c>
      <c r="D732" t="str">
        <f>_xlfn.XLOOKUP($A732,Load!$B:$B,Load!E:E,0,)</f>
        <v>Fruit Flavor (Cherry, Grape, Apple, Citrus, Tropical Fruit)</v>
      </c>
      <c r="E732" t="str">
        <f>_xlfn.XLOOKUP($A732,Load!$B:$B,Load!F:F,0,)</f>
        <v>Chewy</v>
      </c>
      <c r="F732" t="str">
        <f>_xlfn.XLOOKUP($A732,Load!$B:$B,Load!G:G,0,)</f>
        <v>Small Multipack (Less than 40 ct)</v>
      </c>
      <c r="G732" t="str">
        <f>_xlfn.XLOOKUP($A732,Load!$B:$B,Load!H:H,0,)</f>
        <v>Laydown Bag</v>
      </c>
      <c r="H732" t="str">
        <f>_xlfn.XLOOKUP($A732,Load!$B:$B,Load!I:I,0,)</f>
        <v>Everyday Candy Shapes (like Original, Gummy bear, Fruit, Jewels, etc.)</v>
      </c>
      <c r="I732" t="str">
        <f>_xlfn.XLOOKUP($A732,Load!$B:$B,Load!J:J,0,)</f>
        <v>Everyday Graphics</v>
      </c>
      <c r="J732" t="str">
        <f>_xlfn.XLOOKUP($A732,Load!$B:$B,Load!K:K,0,)</f>
        <v>Fun Size / Treat Size</v>
      </c>
      <c r="K732" t="str">
        <f>_xlfn.XLOOKUP($A732,Load!$B:$B,Load!L:L,0,)</f>
        <v>Regular/Original Wrapping</v>
      </c>
      <c r="L732" t="str">
        <f>_xlfn.XLOOKUP($A732,Load!$B:$B,Load!M:M,0,)</f>
        <v>Single Brand / Variety Flavors or Form</v>
      </c>
    </row>
    <row r="733" spans="1:12" x14ac:dyDescent="0.25">
      <c r="B733">
        <f>_xlfn.XLOOKUP($A733,Load!$B:$B,Load!C:C,0,)</f>
        <v>0</v>
      </c>
      <c r="C733">
        <f>_xlfn.XLOOKUP($A733,Load!$B:$B,Load!D:D,0,)</f>
        <v>0</v>
      </c>
      <c r="D733">
        <f>_xlfn.XLOOKUP($A733,Load!$B:$B,Load!E:E,0,)</f>
        <v>0</v>
      </c>
      <c r="E733">
        <f>_xlfn.XLOOKUP($A733,Load!$B:$B,Load!F:F,0,)</f>
        <v>0</v>
      </c>
      <c r="F733">
        <f>_xlfn.XLOOKUP($A733,Load!$B:$B,Load!G:G,0,)</f>
        <v>0</v>
      </c>
      <c r="G733">
        <f>_xlfn.XLOOKUP($A733,Load!$B:$B,Load!H:H,0,)</f>
        <v>0</v>
      </c>
      <c r="H733">
        <f>_xlfn.XLOOKUP($A733,Load!$B:$B,Load!I:I,0,)</f>
        <v>0</v>
      </c>
      <c r="I733">
        <f>_xlfn.XLOOKUP($A733,Load!$B:$B,Load!J:J,0,)</f>
        <v>0</v>
      </c>
      <c r="J733">
        <f>_xlfn.XLOOKUP($A733,Load!$B:$B,Load!K:K,0,)</f>
        <v>0</v>
      </c>
      <c r="K733">
        <f>_xlfn.XLOOKUP($A733,Load!$B:$B,Load!L:L,0,)</f>
        <v>0</v>
      </c>
      <c r="L733">
        <f>_xlfn.XLOOKUP($A733,Load!$B:$B,Load!M:M,0,)</f>
        <v>0</v>
      </c>
    </row>
    <row r="734" spans="1:12" x14ac:dyDescent="0.25">
      <c r="B734">
        <f>_xlfn.XLOOKUP($A734,Load!$B:$B,Load!C:C,0,)</f>
        <v>0</v>
      </c>
      <c r="C734">
        <f>_xlfn.XLOOKUP($A734,Load!$B:$B,Load!D:D,0,)</f>
        <v>0</v>
      </c>
      <c r="D734">
        <f>_xlfn.XLOOKUP($A734,Load!$B:$B,Load!E:E,0,)</f>
        <v>0</v>
      </c>
      <c r="E734">
        <f>_xlfn.XLOOKUP($A734,Load!$B:$B,Load!F:F,0,)</f>
        <v>0</v>
      </c>
      <c r="F734">
        <f>_xlfn.XLOOKUP($A734,Load!$B:$B,Load!G:G,0,)</f>
        <v>0</v>
      </c>
      <c r="G734">
        <f>_xlfn.XLOOKUP($A734,Load!$B:$B,Load!H:H,0,)</f>
        <v>0</v>
      </c>
      <c r="H734">
        <f>_xlfn.XLOOKUP($A734,Load!$B:$B,Load!I:I,0,)</f>
        <v>0</v>
      </c>
      <c r="I734">
        <f>_xlfn.XLOOKUP($A734,Load!$B:$B,Load!J:J,0,)</f>
        <v>0</v>
      </c>
      <c r="J734">
        <f>_xlfn.XLOOKUP($A734,Load!$B:$B,Load!K:K,0,)</f>
        <v>0</v>
      </c>
      <c r="K734">
        <f>_xlfn.XLOOKUP($A734,Load!$B:$B,Load!L:L,0,)</f>
        <v>0</v>
      </c>
      <c r="L734">
        <f>_xlfn.XLOOKUP($A734,Load!$B:$B,Load!M:M,0,)</f>
        <v>0</v>
      </c>
    </row>
    <row r="735" spans="1:12" x14ac:dyDescent="0.25">
      <c r="B735">
        <f>_xlfn.XLOOKUP($A735,Load!$B:$B,Load!C:C,0,)</f>
        <v>0</v>
      </c>
      <c r="C735">
        <f>_xlfn.XLOOKUP($A735,Load!$B:$B,Load!D:D,0,)</f>
        <v>0</v>
      </c>
      <c r="D735">
        <f>_xlfn.XLOOKUP($A735,Load!$B:$B,Load!E:E,0,)</f>
        <v>0</v>
      </c>
      <c r="E735">
        <f>_xlfn.XLOOKUP($A735,Load!$B:$B,Load!F:F,0,)</f>
        <v>0</v>
      </c>
      <c r="F735">
        <f>_xlfn.XLOOKUP($A735,Load!$B:$B,Load!G:G,0,)</f>
        <v>0</v>
      </c>
      <c r="G735">
        <f>_xlfn.XLOOKUP($A735,Load!$B:$B,Load!H:H,0,)</f>
        <v>0</v>
      </c>
      <c r="H735">
        <f>_xlfn.XLOOKUP($A735,Load!$B:$B,Load!I:I,0,)</f>
        <v>0</v>
      </c>
      <c r="I735">
        <f>_xlfn.XLOOKUP($A735,Load!$B:$B,Load!J:J,0,)</f>
        <v>0</v>
      </c>
      <c r="J735">
        <f>_xlfn.XLOOKUP($A735,Load!$B:$B,Load!K:K,0,)</f>
        <v>0</v>
      </c>
      <c r="K735">
        <f>_xlfn.XLOOKUP($A735,Load!$B:$B,Load!L:L,0,)</f>
        <v>0</v>
      </c>
      <c r="L735">
        <f>_xlfn.XLOOKUP($A735,Load!$B:$B,Load!M:M,0,)</f>
        <v>0</v>
      </c>
    </row>
    <row r="736" spans="1:12" x14ac:dyDescent="0.25">
      <c r="A736" t="s">
        <v>18</v>
      </c>
      <c r="B736" t="str">
        <f>_xlfn.XLOOKUP($A736,Load!$B:$B,Load!C:C,0,)</f>
        <v>Airheads</v>
      </c>
      <c r="C736" t="str">
        <f>_xlfn.XLOOKUP($A736,Load!$B:$B,Load!D:D,0,)</f>
        <v>Non-Chocolate Candy Only</v>
      </c>
      <c r="D736" t="str">
        <f>_xlfn.XLOOKUP($A736,Load!$B:$B,Load!E:E,0,)</f>
        <v>Sour</v>
      </c>
      <c r="E736" t="str">
        <f>_xlfn.XLOOKUP($A736,Load!$B:$B,Load!F:F,0,)</f>
        <v>Chewy</v>
      </c>
      <c r="F736" t="str">
        <f>_xlfn.XLOOKUP($A736,Load!$B:$B,Load!G:G,0,)</f>
        <v>Small Multipack (Less than 40 ct)</v>
      </c>
      <c r="G736" t="str">
        <f>_xlfn.XLOOKUP($A736,Load!$B:$B,Load!H:H,0,)</f>
        <v>Laydown Bag</v>
      </c>
      <c r="H736" t="str">
        <f>_xlfn.XLOOKUP($A736,Load!$B:$B,Load!I:I,0,)</f>
        <v>Everyday Candy Shapes (like Original, Gummy bear, Fruit, Jewels, etc.)</v>
      </c>
      <c r="I736" t="str">
        <f>_xlfn.XLOOKUP($A736,Load!$B:$B,Load!J:J,0,)</f>
        <v>Everyday Graphics</v>
      </c>
      <c r="J736" t="str">
        <f>_xlfn.XLOOKUP($A736,Load!$B:$B,Load!K:K,0,)</f>
        <v>Fun Size / Treat Size</v>
      </c>
      <c r="K736" t="str">
        <f>_xlfn.XLOOKUP($A736,Load!$B:$B,Load!L:L,0,)</f>
        <v>Regular/Original Wrapping</v>
      </c>
      <c r="L736" t="str">
        <f>_xlfn.XLOOKUP($A736,Load!$B:$B,Load!M:M,0,)</f>
        <v>Single Brand / Variety Flavors or Form</v>
      </c>
    </row>
    <row r="737" spans="1:12" x14ac:dyDescent="0.25">
      <c r="A737" t="s">
        <v>223</v>
      </c>
      <c r="B737" t="str">
        <f>_xlfn.XLOOKUP($A737,Load!$B:$B,Load!C:C,0,)</f>
        <v>Nerds</v>
      </c>
      <c r="C737" t="str">
        <f>_xlfn.XLOOKUP($A737,Load!$B:$B,Load!D:D,0,)</f>
        <v>Non-Chocolate Candy Only</v>
      </c>
      <c r="D737" t="str">
        <f>_xlfn.XLOOKUP($A737,Load!$B:$B,Load!E:E,0,)</f>
        <v>Sweet</v>
      </c>
      <c r="E737" t="str">
        <f>_xlfn.XLOOKUP($A737,Load!$B:$B,Load!F:F,0,)</f>
        <v>Gummy</v>
      </c>
      <c r="F737" t="str">
        <f>_xlfn.XLOOKUP($A737,Load!$B:$B,Load!G:G,0,)</f>
        <v>Small Multipack (Less than 40 ct)</v>
      </c>
      <c r="G737" t="str">
        <f>_xlfn.XLOOKUP($A737,Load!$B:$B,Load!H:H,0,)</f>
        <v>Laydown Bag</v>
      </c>
      <c r="H737" t="str">
        <f>_xlfn.XLOOKUP($A737,Load!$B:$B,Load!I:I,0,)</f>
        <v>Everyday Candy Shapes (like Original, Gummy bear, Fruit, Jewels, etc.)</v>
      </c>
      <c r="I737" t="str">
        <f>_xlfn.XLOOKUP($A737,Load!$B:$B,Load!J:J,0,)</f>
        <v>Seasonal Graphics (Like Bat, Ghost, Pumpkin, Fall Leaves, Eyeballs, etc.)</v>
      </c>
      <c r="J737" t="str">
        <f>_xlfn.XLOOKUP($A737,Load!$B:$B,Load!K:K,0,)</f>
        <v>Small Pieces (Tiny bite size candies)</v>
      </c>
      <c r="K737" t="str">
        <f>_xlfn.XLOOKUP($A737,Load!$B:$B,Load!L:L,0,)</f>
        <v>Regular/Original Wrapping</v>
      </c>
      <c r="L737" t="str">
        <f>_xlfn.XLOOKUP($A737,Load!$B:$B,Load!M:M,0,)</f>
        <v>Single Brand / Variety Flavors or Form</v>
      </c>
    </row>
    <row r="738" spans="1:12" x14ac:dyDescent="0.25">
      <c r="A738" t="s">
        <v>219</v>
      </c>
      <c r="B738" t="str">
        <f>_xlfn.XLOOKUP($A738,Load!$B:$B,Load!C:C,0,)</f>
        <v>Mondelez Variety Pack</v>
      </c>
      <c r="C738" t="str">
        <f>_xlfn.XLOOKUP($A738,Load!$B:$B,Load!D:D,0,)</f>
        <v>Non-Chocolate Candy Only</v>
      </c>
      <c r="D738" t="str">
        <f>_xlfn.XLOOKUP($A738,Load!$B:$B,Load!E:E,0,)</f>
        <v>Sour</v>
      </c>
      <c r="E738" t="str">
        <f>_xlfn.XLOOKUP($A738,Load!$B:$B,Load!F:F,0,)</f>
        <v>Chewy</v>
      </c>
      <c r="F738" t="str">
        <f>_xlfn.XLOOKUP($A738,Load!$B:$B,Load!G:G,0,)</f>
        <v>Medium Multipack (40–80 ct)</v>
      </c>
      <c r="G738" t="str">
        <f>_xlfn.XLOOKUP($A738,Load!$B:$B,Load!H:H,0,)</f>
        <v>Stand-Up Bag</v>
      </c>
      <c r="H738" t="str">
        <f>_xlfn.XLOOKUP($A738,Load!$B:$B,Load!I:I,0,)</f>
        <v>Everyday Candy Shapes (like Original, Gummy bear, Fruit, Jewels, etc.)</v>
      </c>
      <c r="I738" t="str">
        <f>_xlfn.XLOOKUP($A738,Load!$B:$B,Load!J:J,0,)</f>
        <v>Seasonal Graphics (Like Bat, Ghost, Pumpkin, Fall Leaves, Eyeballs, etc.)</v>
      </c>
      <c r="J738" t="str">
        <f>_xlfn.XLOOKUP($A738,Load!$B:$B,Load!K:K,0,)</f>
        <v>Small Pieces (Tiny bite size candies)</v>
      </c>
      <c r="K738" t="str">
        <f>_xlfn.XLOOKUP($A738,Load!$B:$B,Load!L:L,0,)</f>
        <v>Regular/Original Wrapping</v>
      </c>
      <c r="L738" t="str">
        <f>_xlfn.XLOOKUP($A738,Load!$B:$B,Load!M:M,0,)</f>
        <v>Multiple Brands / Variety Flavors or Form</v>
      </c>
    </row>
    <row r="739" spans="1:12" x14ac:dyDescent="0.25">
      <c r="B739">
        <f>_xlfn.XLOOKUP($A739,Load!$B:$B,Load!C:C,0,)</f>
        <v>0</v>
      </c>
      <c r="C739">
        <f>_xlfn.XLOOKUP($A739,Load!$B:$B,Load!D:D,0,)</f>
        <v>0</v>
      </c>
      <c r="D739">
        <f>_xlfn.XLOOKUP($A739,Load!$B:$B,Load!E:E,0,)</f>
        <v>0</v>
      </c>
      <c r="E739">
        <f>_xlfn.XLOOKUP($A739,Load!$B:$B,Load!F:F,0,)</f>
        <v>0</v>
      </c>
      <c r="F739">
        <f>_xlfn.XLOOKUP($A739,Load!$B:$B,Load!G:G,0,)</f>
        <v>0</v>
      </c>
      <c r="G739">
        <f>_xlfn.XLOOKUP($A739,Load!$B:$B,Load!H:H,0,)</f>
        <v>0</v>
      </c>
      <c r="H739">
        <f>_xlfn.XLOOKUP($A739,Load!$B:$B,Load!I:I,0,)</f>
        <v>0</v>
      </c>
      <c r="I739">
        <f>_xlfn.XLOOKUP($A739,Load!$B:$B,Load!J:J,0,)</f>
        <v>0</v>
      </c>
      <c r="J739">
        <f>_xlfn.XLOOKUP($A739,Load!$B:$B,Load!K:K,0,)</f>
        <v>0</v>
      </c>
      <c r="K739">
        <f>_xlfn.XLOOKUP($A739,Load!$B:$B,Load!L:L,0,)</f>
        <v>0</v>
      </c>
      <c r="L739">
        <f>_xlfn.XLOOKUP($A739,Load!$B:$B,Load!M:M,0,)</f>
        <v>0</v>
      </c>
    </row>
    <row r="740" spans="1:12" x14ac:dyDescent="0.25">
      <c r="B740">
        <f>_xlfn.XLOOKUP($A740,Load!$B:$B,Load!C:C,0,)</f>
        <v>0</v>
      </c>
      <c r="C740">
        <f>_xlfn.XLOOKUP($A740,Load!$B:$B,Load!D:D,0,)</f>
        <v>0</v>
      </c>
      <c r="D740">
        <f>_xlfn.XLOOKUP($A740,Load!$B:$B,Load!E:E,0,)</f>
        <v>0</v>
      </c>
      <c r="E740">
        <f>_xlfn.XLOOKUP($A740,Load!$B:$B,Load!F:F,0,)</f>
        <v>0</v>
      </c>
      <c r="F740">
        <f>_xlfn.XLOOKUP($A740,Load!$B:$B,Load!G:G,0,)</f>
        <v>0</v>
      </c>
      <c r="G740">
        <f>_xlfn.XLOOKUP($A740,Load!$B:$B,Load!H:H,0,)</f>
        <v>0</v>
      </c>
      <c r="H740">
        <f>_xlfn.XLOOKUP($A740,Load!$B:$B,Load!I:I,0,)</f>
        <v>0</v>
      </c>
      <c r="I740">
        <f>_xlfn.XLOOKUP($A740,Load!$B:$B,Load!J:J,0,)</f>
        <v>0</v>
      </c>
      <c r="J740">
        <f>_xlfn.XLOOKUP($A740,Load!$B:$B,Load!K:K,0,)</f>
        <v>0</v>
      </c>
      <c r="K740">
        <f>_xlfn.XLOOKUP($A740,Load!$B:$B,Load!L:L,0,)</f>
        <v>0</v>
      </c>
      <c r="L740">
        <f>_xlfn.XLOOKUP($A740,Load!$B:$B,Load!M:M,0,)</f>
        <v>0</v>
      </c>
    </row>
    <row r="741" spans="1:12" x14ac:dyDescent="0.25">
      <c r="B741">
        <f>_xlfn.XLOOKUP($A741,Load!$B:$B,Load!C:C,0,)</f>
        <v>0</v>
      </c>
      <c r="C741">
        <f>_xlfn.XLOOKUP($A741,Load!$B:$B,Load!D:D,0,)</f>
        <v>0</v>
      </c>
      <c r="D741">
        <f>_xlfn.XLOOKUP($A741,Load!$B:$B,Load!E:E,0,)</f>
        <v>0</v>
      </c>
      <c r="E741">
        <f>_xlfn.XLOOKUP($A741,Load!$B:$B,Load!F:F,0,)</f>
        <v>0</v>
      </c>
      <c r="F741">
        <f>_xlfn.XLOOKUP($A741,Load!$B:$B,Load!G:G,0,)</f>
        <v>0</v>
      </c>
      <c r="G741">
        <f>_xlfn.XLOOKUP($A741,Load!$B:$B,Load!H:H,0,)</f>
        <v>0</v>
      </c>
      <c r="H741">
        <f>_xlfn.XLOOKUP($A741,Load!$B:$B,Load!I:I,0,)</f>
        <v>0</v>
      </c>
      <c r="I741">
        <f>_xlfn.XLOOKUP($A741,Load!$B:$B,Load!J:J,0,)</f>
        <v>0</v>
      </c>
      <c r="J741">
        <f>_xlfn.XLOOKUP($A741,Load!$B:$B,Load!K:K,0,)</f>
        <v>0</v>
      </c>
      <c r="K741">
        <f>_xlfn.XLOOKUP($A741,Load!$B:$B,Load!L:L,0,)</f>
        <v>0</v>
      </c>
      <c r="L741">
        <f>_xlfn.XLOOKUP($A741,Load!$B:$B,Load!M:M,0,)</f>
        <v>0</v>
      </c>
    </row>
    <row r="742" spans="1:12" x14ac:dyDescent="0.25">
      <c r="A742" t="s">
        <v>198</v>
      </c>
      <c r="B742" t="str">
        <f>_xlfn.XLOOKUP($A742,Load!$B:$B,Load!C:C,0,)</f>
        <v>Mars Variety Pack</v>
      </c>
      <c r="C742" t="str">
        <f>_xlfn.XLOOKUP($A742,Load!$B:$B,Load!D:D,0,)</f>
        <v>Non-Chocolate Candy Only</v>
      </c>
      <c r="D742" t="str">
        <f>_xlfn.XLOOKUP($A742,Load!$B:$B,Load!E:E,0,)</f>
        <v>Variety / Mixed Flavors (Fruity, Sour, Seasonal Flavors)</v>
      </c>
      <c r="E742" t="str">
        <f>_xlfn.XLOOKUP($A742,Load!$B:$B,Load!F:F,0,)</f>
        <v>Mixed / Combo Packs (Gummy, Chewy, Taffy, etc.)</v>
      </c>
      <c r="F742" t="str">
        <f>_xlfn.XLOOKUP($A742,Load!$B:$B,Load!G:G,0,)</f>
        <v>Large Multipack (More than 80 ct)</v>
      </c>
      <c r="G742" t="str">
        <f>_xlfn.XLOOKUP($A742,Load!$B:$B,Load!H:H,0,)</f>
        <v>Stand-Up Bag</v>
      </c>
      <c r="H742" t="str">
        <f>_xlfn.XLOOKUP($A742,Load!$B:$B,Load!I:I,0,)</f>
        <v>Everyday Candy Shapes (like Original, Gummy bear, Fruit, Jewels, etc.)</v>
      </c>
      <c r="I742" t="str">
        <f>_xlfn.XLOOKUP($A742,Load!$B:$B,Load!J:J,0,)</f>
        <v>Seasonal Graphics (Like Bat, Ghost, Pumpkin, Fall Leaves, Eyeballs, etc.)</v>
      </c>
      <c r="J742" t="str">
        <f>_xlfn.XLOOKUP($A742,Load!$B:$B,Load!K:K,0,)</f>
        <v>Fun Size / Treat Size</v>
      </c>
      <c r="K742" t="str">
        <f>_xlfn.XLOOKUP($A742,Load!$B:$B,Load!L:L,0,)</f>
        <v>Regular/Original Wrapping</v>
      </c>
      <c r="L742" t="str">
        <f>_xlfn.XLOOKUP($A742,Load!$B:$B,Load!M:M,0,)</f>
        <v>Multiple Brands / Variety Flavors or Form</v>
      </c>
    </row>
    <row r="743" spans="1:12" x14ac:dyDescent="0.25">
      <c r="A743" t="s">
        <v>181</v>
      </c>
      <c r="B743" t="str">
        <f>_xlfn.XLOOKUP($A743,Load!$B:$B,Load!C:C,0,)</f>
        <v>Mars Variety Pack</v>
      </c>
      <c r="C743" t="str">
        <f>_xlfn.XLOOKUP($A743,Load!$B:$B,Load!D:D,0,)</f>
        <v>Mix of Chocolate and Non-Chocolate Candy</v>
      </c>
      <c r="D743" t="str">
        <f>_xlfn.XLOOKUP($A743,Load!$B:$B,Load!E:E,0,)</f>
        <v>Variety / Mixed Flavors (Fruity, Sour, Seasonal Flavors)</v>
      </c>
      <c r="E743" t="str">
        <f>_xlfn.XLOOKUP($A743,Load!$B:$B,Load!F:F,0,)</f>
        <v>Mixed / Combo Packs (Gummy, Chewy, Taffy, etc.)</v>
      </c>
      <c r="F743" t="str">
        <f>_xlfn.XLOOKUP($A743,Load!$B:$B,Load!G:G,0,)</f>
        <v>Large Multipack (More than 80 ct)</v>
      </c>
      <c r="G743" t="str">
        <f>_xlfn.XLOOKUP($A743,Load!$B:$B,Load!H:H,0,)</f>
        <v>Stand-Up Bag</v>
      </c>
      <c r="H743" t="str">
        <f>_xlfn.XLOOKUP($A743,Load!$B:$B,Load!I:I,0,)</f>
        <v>Everyday Candy Shapes (like Original, Gummy bear, Fruit, Jewels, etc.)</v>
      </c>
      <c r="I743" t="str">
        <f>_xlfn.XLOOKUP($A743,Load!$B:$B,Load!J:J,0,)</f>
        <v>Seasonal Graphics (Like Bat, Ghost, Pumpkin, Fall Leaves, Eyeballs, etc.)</v>
      </c>
      <c r="J743" t="str">
        <f>_xlfn.XLOOKUP($A743,Load!$B:$B,Load!K:K,0,)</f>
        <v>Fun Size / Treat Size</v>
      </c>
      <c r="K743" t="str">
        <f>_xlfn.XLOOKUP($A743,Load!$B:$B,Load!L:L,0,)</f>
        <v>Regular/Original Wrapping</v>
      </c>
      <c r="L743" t="str">
        <f>_xlfn.XLOOKUP($A743,Load!$B:$B,Load!M:M,0,)</f>
        <v>Multiple Brands / Variety Flavors or Form</v>
      </c>
    </row>
    <row r="744" spans="1:12" x14ac:dyDescent="0.25">
      <c r="A744" t="s">
        <v>143</v>
      </c>
      <c r="B744" t="str">
        <f>_xlfn.XLOOKUP($A744,Load!$B:$B,Load!C:C,0,)</f>
        <v>Hershey's Variety Pack + Haribo</v>
      </c>
      <c r="C744" t="str">
        <f>_xlfn.XLOOKUP($A744,Load!$B:$B,Load!D:D,0,)</f>
        <v>Non-Chocolate Candy Only</v>
      </c>
      <c r="D744" t="str">
        <f>_xlfn.XLOOKUP($A744,Load!$B:$B,Load!E:E,0,)</f>
        <v>Variety / Mixed Flavors (Fruity, Sour, Seasonal Flavors)</v>
      </c>
      <c r="E744" t="str">
        <f>_xlfn.XLOOKUP($A744,Load!$B:$B,Load!F:F,0,)</f>
        <v>Mixed / Combo Packs (Gummy, Chewy, Taffy, etc.)</v>
      </c>
      <c r="F744" t="str">
        <f>_xlfn.XLOOKUP($A744,Load!$B:$B,Load!G:G,0,)</f>
        <v>Small Multipack (Less than 40 ct)</v>
      </c>
      <c r="G744" t="str">
        <f>_xlfn.XLOOKUP($A744,Load!$B:$B,Load!H:H,0,)</f>
        <v>Laydown Bag</v>
      </c>
      <c r="H744" t="str">
        <f>_xlfn.XLOOKUP($A744,Load!$B:$B,Load!I:I,0,)</f>
        <v>Seasonal Shapes (like pumpkins, candy corn, ghost, bats, etc.)</v>
      </c>
      <c r="I744" t="str">
        <f>_xlfn.XLOOKUP($A744,Load!$B:$B,Load!J:J,0,)</f>
        <v>Seasonal Graphics (Like Bat, Ghost, Pumpkin, Fall Leaves, Eyeballs, etc.)</v>
      </c>
      <c r="J744" t="str">
        <f>_xlfn.XLOOKUP($A744,Load!$B:$B,Load!K:K,0,)</f>
        <v>Fun Size / Treat Size</v>
      </c>
      <c r="K744" t="str">
        <f>_xlfn.XLOOKUP($A744,Load!$B:$B,Load!L:L,0,)</f>
        <v>Regular/Original Wrapping</v>
      </c>
      <c r="L744" t="str">
        <f>_xlfn.XLOOKUP($A744,Load!$B:$B,Load!M:M,0,)</f>
        <v>Multiple Brands / Variety Flavors or Form</v>
      </c>
    </row>
    <row r="745" spans="1:12" x14ac:dyDescent="0.25">
      <c r="A745" t="s">
        <v>192</v>
      </c>
      <c r="B745" t="str">
        <f>_xlfn.XLOOKUP($A745,Load!$B:$B,Load!C:C,0,)</f>
        <v>Mars Variety Pack</v>
      </c>
      <c r="C745" t="str">
        <f>_xlfn.XLOOKUP($A745,Load!$B:$B,Load!D:D,0,)</f>
        <v>Non-Chocolate Candy Only</v>
      </c>
      <c r="D745" t="str">
        <f>_xlfn.XLOOKUP($A745,Load!$B:$B,Load!E:E,0,)</f>
        <v>Variety / Mixed Flavors (Fruity, Sour, Seasonal Flavors)</v>
      </c>
      <c r="E745" t="str">
        <f>_xlfn.XLOOKUP($A745,Load!$B:$B,Load!F:F,0,)</f>
        <v>Mixed / Combo Packs (Gummy, Chewy, Taffy, etc.)</v>
      </c>
      <c r="F745" t="str">
        <f>_xlfn.XLOOKUP($A745,Load!$B:$B,Load!G:G,0,)</f>
        <v>Medium Multipack (40–80 ct)</v>
      </c>
      <c r="G745" t="str">
        <f>_xlfn.XLOOKUP($A745,Load!$B:$B,Load!H:H,0,)</f>
        <v>Stand-Up Bag</v>
      </c>
      <c r="H745" t="str">
        <f>_xlfn.XLOOKUP($A745,Load!$B:$B,Load!I:I,0,)</f>
        <v>Everyday Candy Shapes (like Original, Gummy bear, Fruit, Jewels, etc.)</v>
      </c>
      <c r="I745" t="str">
        <f>_xlfn.XLOOKUP($A745,Load!$B:$B,Load!J:J,0,)</f>
        <v>Seasonal Graphics (Like Bat, Ghost, Pumpkin, Fall Leaves, Eyeballs, etc.)</v>
      </c>
      <c r="J745" t="str">
        <f>_xlfn.XLOOKUP($A745,Load!$B:$B,Load!K:K,0,)</f>
        <v>Fun Size / Treat Size</v>
      </c>
      <c r="K745" t="str">
        <f>_xlfn.XLOOKUP($A745,Load!$B:$B,Load!L:L,0,)</f>
        <v>Regular/Original Wrapping</v>
      </c>
      <c r="L745" t="str">
        <f>_xlfn.XLOOKUP($A745,Load!$B:$B,Load!M:M,0,)</f>
        <v>Multiple Brands / Variety Flavors or Form</v>
      </c>
    </row>
    <row r="746" spans="1:12" x14ac:dyDescent="0.25">
      <c r="A746" t="s">
        <v>101</v>
      </c>
      <c r="B746" t="str">
        <f>_xlfn.XLOOKUP($A746,Load!$B:$B,Load!C:C,0,)</f>
        <v>Flix</v>
      </c>
      <c r="C746" t="str">
        <f>_xlfn.XLOOKUP($A746,Load!$B:$B,Load!D:D,0,)</f>
        <v>Non-Chocolate Candy Only</v>
      </c>
      <c r="D746" t="str">
        <f>_xlfn.XLOOKUP($A746,Load!$B:$B,Load!E:E,0,)</f>
        <v>Fruit Flavor (Cherry, Grape, Apple, Citrus, Tropical Fruit)</v>
      </c>
      <c r="E746" t="str">
        <f>_xlfn.XLOOKUP($A746,Load!$B:$B,Load!F:F,0,)</f>
        <v>Gummy</v>
      </c>
      <c r="F746" t="str">
        <f>_xlfn.XLOOKUP($A746,Load!$B:$B,Load!G:G,0,)</f>
        <v>Small Multipack (Less than 40 ct)</v>
      </c>
      <c r="G746" t="str">
        <f>_xlfn.XLOOKUP($A746,Load!$B:$B,Load!H:H,0,)</f>
        <v>Laydown Bag</v>
      </c>
      <c r="H746" t="str">
        <f>_xlfn.XLOOKUP($A746,Load!$B:$B,Load!I:I,0,)</f>
        <v>Seasonal Shapes (like pumpkins, candy corn, ghost, bats, etc.)</v>
      </c>
      <c r="I746" t="str">
        <f>_xlfn.XLOOKUP($A746,Load!$B:$B,Load!J:J,0,)</f>
        <v>Seasonal Graphics (Like Bat, Ghost, Pumpkin, Fall Leaves, Eyeballs, etc.)</v>
      </c>
      <c r="J746" t="str">
        <f>_xlfn.XLOOKUP($A746,Load!$B:$B,Load!K:K,0,)</f>
        <v>Small Pieces (Tiny bite size candies)</v>
      </c>
      <c r="K746" t="str">
        <f>_xlfn.XLOOKUP($A746,Load!$B:$B,Load!L:L,0,)</f>
        <v>Regular/Original Wrapping</v>
      </c>
      <c r="L746" t="str">
        <f>_xlfn.XLOOKUP($A746,Load!$B:$B,Load!M:M,0,)</f>
        <v>Single Brand / Variety Flavors or Form</v>
      </c>
    </row>
    <row r="747" spans="1:12" x14ac:dyDescent="0.25">
      <c r="A747" t="s">
        <v>467</v>
      </c>
      <c r="B747" t="str">
        <f>_xlfn.XLOOKUP($A747,Load!$B:$B,Load!C:C,0,)</f>
        <v>Trolli</v>
      </c>
      <c r="C747" t="str">
        <f>_xlfn.XLOOKUP($A747,Load!$B:$B,Load!D:D,0,)</f>
        <v>Non-Chocolate Candy Only</v>
      </c>
      <c r="D747" t="str">
        <f>_xlfn.XLOOKUP($A747,Load!$B:$B,Load!E:E,0,)</f>
        <v>Sour</v>
      </c>
      <c r="E747" t="str">
        <f>_xlfn.XLOOKUP($A747,Load!$B:$B,Load!F:F,0,)</f>
        <v>Gummy</v>
      </c>
      <c r="F747" t="str">
        <f>_xlfn.XLOOKUP($A747,Load!$B:$B,Load!G:G,0,)</f>
        <v>Small Multipack (Less than 40 ct)</v>
      </c>
      <c r="G747" t="str">
        <f>_xlfn.XLOOKUP($A747,Load!$B:$B,Load!H:H,0,)</f>
        <v>Laydown Bag</v>
      </c>
      <c r="H747" t="str">
        <f>_xlfn.XLOOKUP($A747,Load!$B:$B,Load!I:I,0,)</f>
        <v>Seasonal Shapes (like pumpkins, candy corn, ghost, bats, etc.)</v>
      </c>
      <c r="I747" t="str">
        <f>_xlfn.XLOOKUP($A747,Load!$B:$B,Load!J:J,0,)</f>
        <v>Seasonal Graphics (Like Bat, Ghost, Pumpkin, Fall Leaves, Eyeballs, etc.)</v>
      </c>
      <c r="J747" t="str">
        <f>_xlfn.XLOOKUP($A747,Load!$B:$B,Load!K:K,0,)</f>
        <v>Fun Size / Treat Size</v>
      </c>
      <c r="K747" t="str">
        <f>_xlfn.XLOOKUP($A747,Load!$B:$B,Load!L:L,0,)</f>
        <v>Regular/Original Wrapping</v>
      </c>
      <c r="L747" t="str">
        <f>_xlfn.XLOOKUP($A747,Load!$B:$B,Load!M:M,0,)</f>
        <v>Single Brand / Variety Flavors or Form</v>
      </c>
    </row>
    <row r="748" spans="1:12" x14ac:dyDescent="0.25">
      <c r="A748" t="s">
        <v>288</v>
      </c>
      <c r="B748" t="str">
        <f>_xlfn.XLOOKUP($A748,Load!$B:$B,Load!C:C,0,)</f>
        <v>SweeTARTS</v>
      </c>
      <c r="C748" t="str">
        <f>_xlfn.XLOOKUP($A748,Load!$B:$B,Load!D:D,0,)</f>
        <v>Non-Chocolate Candy Only</v>
      </c>
      <c r="D748" t="str">
        <f>_xlfn.XLOOKUP($A748,Load!$B:$B,Load!E:E,0,)</f>
        <v>Variety / Mixed Flavors (Fruity, Sour, Seasonal Flavors)</v>
      </c>
      <c r="E748" t="str">
        <f>_xlfn.XLOOKUP($A748,Load!$B:$B,Load!F:F,0,)</f>
        <v>Mixed / Combo Packs (Gummy, Chewy, Taffy, etc.)</v>
      </c>
      <c r="F748" t="str">
        <f>_xlfn.XLOOKUP($A748,Load!$B:$B,Load!G:G,0,)</f>
        <v>Medium Multipack (40–80 ct)</v>
      </c>
      <c r="G748" t="str">
        <f>_xlfn.XLOOKUP($A748,Load!$B:$B,Load!H:H,0,)</f>
        <v>Stand-Up Bag</v>
      </c>
      <c r="H748" t="str">
        <f>_xlfn.XLOOKUP($A748,Load!$B:$B,Load!I:I,0,)</f>
        <v>Everyday Candy Shapes (like Original, Gummy bear, Fruit, Jewels, etc.)</v>
      </c>
      <c r="I748" t="str">
        <f>_xlfn.XLOOKUP($A748,Load!$B:$B,Load!J:J,0,)</f>
        <v>Seasonal Graphics (Like Bat, Ghost, Pumpkin, Fall Leaves, Eyeballs, etc.)</v>
      </c>
      <c r="J748" t="str">
        <f>_xlfn.XLOOKUP($A748,Load!$B:$B,Load!K:K,0,)</f>
        <v>Small Pieces (Tiny bite size candies)</v>
      </c>
      <c r="K748" t="str">
        <f>_xlfn.XLOOKUP($A748,Load!$B:$B,Load!L:L,0,)</f>
        <v>Regular/Original Wrapping</v>
      </c>
      <c r="L748" t="str">
        <f>_xlfn.XLOOKUP($A748,Load!$B:$B,Load!M:M,0,)</f>
        <v>Single Brand / Variety Flavors or Form</v>
      </c>
    </row>
    <row r="749" spans="1:12" x14ac:dyDescent="0.25">
      <c r="B749">
        <f>_xlfn.XLOOKUP($A749,Load!$B:$B,Load!C:C,0,)</f>
        <v>0</v>
      </c>
      <c r="C749">
        <f>_xlfn.XLOOKUP($A749,Load!$B:$B,Load!D:D,0,)</f>
        <v>0</v>
      </c>
      <c r="D749">
        <f>_xlfn.XLOOKUP($A749,Load!$B:$B,Load!E:E,0,)</f>
        <v>0</v>
      </c>
      <c r="E749">
        <f>_xlfn.XLOOKUP($A749,Load!$B:$B,Load!F:F,0,)</f>
        <v>0</v>
      </c>
      <c r="F749">
        <f>_xlfn.XLOOKUP($A749,Load!$B:$B,Load!G:G,0,)</f>
        <v>0</v>
      </c>
      <c r="G749">
        <f>_xlfn.XLOOKUP($A749,Load!$B:$B,Load!H:H,0,)</f>
        <v>0</v>
      </c>
      <c r="H749">
        <f>_xlfn.XLOOKUP($A749,Load!$B:$B,Load!I:I,0,)</f>
        <v>0</v>
      </c>
      <c r="I749">
        <f>_xlfn.XLOOKUP($A749,Load!$B:$B,Load!J:J,0,)</f>
        <v>0</v>
      </c>
      <c r="J749">
        <f>_xlfn.XLOOKUP($A749,Load!$B:$B,Load!K:K,0,)</f>
        <v>0</v>
      </c>
      <c r="K749">
        <f>_xlfn.XLOOKUP($A749,Load!$B:$B,Load!L:L,0,)</f>
        <v>0</v>
      </c>
      <c r="L749">
        <f>_xlfn.XLOOKUP($A749,Load!$B:$B,Load!M:M,0,)</f>
        <v>0</v>
      </c>
    </row>
    <row r="750" spans="1:12" x14ac:dyDescent="0.25">
      <c r="B750">
        <f>_xlfn.XLOOKUP($A750,Load!$B:$B,Load!C:C,0,)</f>
        <v>0</v>
      </c>
      <c r="C750">
        <f>_xlfn.XLOOKUP($A750,Load!$B:$B,Load!D:D,0,)</f>
        <v>0</v>
      </c>
      <c r="D750">
        <f>_xlfn.XLOOKUP($A750,Load!$B:$B,Load!E:E,0,)</f>
        <v>0</v>
      </c>
      <c r="E750">
        <f>_xlfn.XLOOKUP($A750,Load!$B:$B,Load!F:F,0,)</f>
        <v>0</v>
      </c>
      <c r="F750">
        <f>_xlfn.XLOOKUP($A750,Load!$B:$B,Load!G:G,0,)</f>
        <v>0</v>
      </c>
      <c r="G750">
        <f>_xlfn.XLOOKUP($A750,Load!$B:$B,Load!H:H,0,)</f>
        <v>0</v>
      </c>
      <c r="H750">
        <f>_xlfn.XLOOKUP($A750,Load!$B:$B,Load!I:I,0,)</f>
        <v>0</v>
      </c>
      <c r="I750">
        <f>_xlfn.XLOOKUP($A750,Load!$B:$B,Load!J:J,0,)</f>
        <v>0</v>
      </c>
      <c r="J750">
        <f>_xlfn.XLOOKUP($A750,Load!$B:$B,Load!K:K,0,)</f>
        <v>0</v>
      </c>
      <c r="K750">
        <f>_xlfn.XLOOKUP($A750,Load!$B:$B,Load!L:L,0,)</f>
        <v>0</v>
      </c>
      <c r="L750">
        <f>_xlfn.XLOOKUP($A750,Load!$B:$B,Load!M:M,0,)</f>
        <v>0</v>
      </c>
    </row>
    <row r="751" spans="1:12" x14ac:dyDescent="0.25">
      <c r="B751">
        <f>_xlfn.XLOOKUP($A751,Load!$B:$B,Load!C:C,0,)</f>
        <v>0</v>
      </c>
      <c r="C751">
        <f>_xlfn.XLOOKUP($A751,Load!$B:$B,Load!D:D,0,)</f>
        <v>0</v>
      </c>
      <c r="D751">
        <f>_xlfn.XLOOKUP($A751,Load!$B:$B,Load!E:E,0,)</f>
        <v>0</v>
      </c>
      <c r="E751">
        <f>_xlfn.XLOOKUP($A751,Load!$B:$B,Load!F:F,0,)</f>
        <v>0</v>
      </c>
      <c r="F751">
        <f>_xlfn.XLOOKUP($A751,Load!$B:$B,Load!G:G,0,)</f>
        <v>0</v>
      </c>
      <c r="G751">
        <f>_xlfn.XLOOKUP($A751,Load!$B:$B,Load!H:H,0,)</f>
        <v>0</v>
      </c>
      <c r="H751">
        <f>_xlfn.XLOOKUP($A751,Load!$B:$B,Load!I:I,0,)</f>
        <v>0</v>
      </c>
      <c r="I751">
        <f>_xlfn.XLOOKUP($A751,Load!$B:$B,Load!J:J,0,)</f>
        <v>0</v>
      </c>
      <c r="J751">
        <f>_xlfn.XLOOKUP($A751,Load!$B:$B,Load!K:K,0,)</f>
        <v>0</v>
      </c>
      <c r="K751">
        <f>_xlfn.XLOOKUP($A751,Load!$B:$B,Load!L:L,0,)</f>
        <v>0</v>
      </c>
      <c r="L751">
        <f>_xlfn.XLOOKUP($A751,Load!$B:$B,Load!M:M,0,)</f>
        <v>0</v>
      </c>
    </row>
    <row r="752" spans="1:12" x14ac:dyDescent="0.25">
      <c r="B752">
        <f>_xlfn.XLOOKUP($A752,Load!$B:$B,Load!C:C,0,)</f>
        <v>0</v>
      </c>
      <c r="C752">
        <f>_xlfn.XLOOKUP($A752,Load!$B:$B,Load!D:D,0,)</f>
        <v>0</v>
      </c>
      <c r="D752">
        <f>_xlfn.XLOOKUP($A752,Load!$B:$B,Load!E:E,0,)</f>
        <v>0</v>
      </c>
      <c r="E752">
        <f>_xlfn.XLOOKUP($A752,Load!$B:$B,Load!F:F,0,)</f>
        <v>0</v>
      </c>
      <c r="F752">
        <f>_xlfn.XLOOKUP($A752,Load!$B:$B,Load!G:G,0,)</f>
        <v>0</v>
      </c>
      <c r="G752">
        <f>_xlfn.XLOOKUP($A752,Load!$B:$B,Load!H:H,0,)</f>
        <v>0</v>
      </c>
      <c r="H752">
        <f>_xlfn.XLOOKUP($A752,Load!$B:$B,Load!I:I,0,)</f>
        <v>0</v>
      </c>
      <c r="I752">
        <f>_xlfn.XLOOKUP($A752,Load!$B:$B,Load!J:J,0,)</f>
        <v>0</v>
      </c>
      <c r="J752">
        <f>_xlfn.XLOOKUP($A752,Load!$B:$B,Load!K:K,0,)</f>
        <v>0</v>
      </c>
      <c r="K752">
        <f>_xlfn.XLOOKUP($A752,Load!$B:$B,Load!L:L,0,)</f>
        <v>0</v>
      </c>
      <c r="L752">
        <f>_xlfn.XLOOKUP($A752,Load!$B:$B,Load!M:M,0,)</f>
        <v>0</v>
      </c>
    </row>
    <row r="753" spans="1:12" x14ac:dyDescent="0.25">
      <c r="B753">
        <f>_xlfn.XLOOKUP($A753,Load!$B:$B,Load!C:C,0,)</f>
        <v>0</v>
      </c>
      <c r="C753">
        <f>_xlfn.XLOOKUP($A753,Load!$B:$B,Load!D:D,0,)</f>
        <v>0</v>
      </c>
      <c r="D753">
        <f>_xlfn.XLOOKUP($A753,Load!$B:$B,Load!E:E,0,)</f>
        <v>0</v>
      </c>
      <c r="E753">
        <f>_xlfn.XLOOKUP($A753,Load!$B:$B,Load!F:F,0,)</f>
        <v>0</v>
      </c>
      <c r="F753">
        <f>_xlfn.XLOOKUP($A753,Load!$B:$B,Load!G:G,0,)</f>
        <v>0</v>
      </c>
      <c r="G753">
        <f>_xlfn.XLOOKUP($A753,Load!$B:$B,Load!H:H,0,)</f>
        <v>0</v>
      </c>
      <c r="H753">
        <f>_xlfn.XLOOKUP($A753,Load!$B:$B,Load!I:I,0,)</f>
        <v>0</v>
      </c>
      <c r="I753">
        <f>_xlfn.XLOOKUP($A753,Load!$B:$B,Load!J:J,0,)</f>
        <v>0</v>
      </c>
      <c r="J753">
        <f>_xlfn.XLOOKUP($A753,Load!$B:$B,Load!K:K,0,)</f>
        <v>0</v>
      </c>
      <c r="K753">
        <f>_xlfn.XLOOKUP($A753,Load!$B:$B,Load!L:L,0,)</f>
        <v>0</v>
      </c>
      <c r="L753">
        <f>_xlfn.XLOOKUP($A753,Load!$B:$B,Load!M:M,0,)</f>
        <v>0</v>
      </c>
    </row>
    <row r="754" spans="1:12" x14ac:dyDescent="0.25">
      <c r="B754">
        <f>_xlfn.XLOOKUP($A754,Load!$B:$B,Load!C:C,0,)</f>
        <v>0</v>
      </c>
      <c r="C754">
        <f>_xlfn.XLOOKUP($A754,Load!$B:$B,Load!D:D,0,)</f>
        <v>0</v>
      </c>
      <c r="D754">
        <f>_xlfn.XLOOKUP($A754,Load!$B:$B,Load!E:E,0,)</f>
        <v>0</v>
      </c>
      <c r="E754">
        <f>_xlfn.XLOOKUP($A754,Load!$B:$B,Load!F:F,0,)</f>
        <v>0</v>
      </c>
      <c r="F754">
        <f>_xlfn.XLOOKUP($A754,Load!$B:$B,Load!G:G,0,)</f>
        <v>0</v>
      </c>
      <c r="G754">
        <f>_xlfn.XLOOKUP($A754,Load!$B:$B,Load!H:H,0,)</f>
        <v>0</v>
      </c>
      <c r="H754">
        <f>_xlfn.XLOOKUP($A754,Load!$B:$B,Load!I:I,0,)</f>
        <v>0</v>
      </c>
      <c r="I754">
        <f>_xlfn.XLOOKUP($A754,Load!$B:$B,Load!J:J,0,)</f>
        <v>0</v>
      </c>
      <c r="J754">
        <f>_xlfn.XLOOKUP($A754,Load!$B:$B,Load!K:K,0,)</f>
        <v>0</v>
      </c>
      <c r="K754">
        <f>_xlfn.XLOOKUP($A754,Load!$B:$B,Load!L:L,0,)</f>
        <v>0</v>
      </c>
      <c r="L754">
        <f>_xlfn.XLOOKUP($A754,Load!$B:$B,Load!M:M,0,)</f>
        <v>0</v>
      </c>
    </row>
    <row r="755" spans="1:12" x14ac:dyDescent="0.25">
      <c r="B755">
        <f>_xlfn.XLOOKUP($A755,Load!$B:$B,Load!C:C,0,)</f>
        <v>0</v>
      </c>
      <c r="C755">
        <f>_xlfn.XLOOKUP($A755,Load!$B:$B,Load!D:D,0,)</f>
        <v>0</v>
      </c>
      <c r="D755">
        <f>_xlfn.XLOOKUP($A755,Load!$B:$B,Load!E:E,0,)</f>
        <v>0</v>
      </c>
      <c r="E755">
        <f>_xlfn.XLOOKUP($A755,Load!$B:$B,Load!F:F,0,)</f>
        <v>0</v>
      </c>
      <c r="F755">
        <f>_xlfn.XLOOKUP($A755,Load!$B:$B,Load!G:G,0,)</f>
        <v>0</v>
      </c>
      <c r="G755">
        <f>_xlfn.XLOOKUP($A755,Load!$B:$B,Load!H:H,0,)</f>
        <v>0</v>
      </c>
      <c r="H755">
        <f>_xlfn.XLOOKUP($A755,Load!$B:$B,Load!I:I,0,)</f>
        <v>0</v>
      </c>
      <c r="I755">
        <f>_xlfn.XLOOKUP($A755,Load!$B:$B,Load!J:J,0,)</f>
        <v>0</v>
      </c>
      <c r="J755">
        <f>_xlfn.XLOOKUP($A755,Load!$B:$B,Load!K:K,0,)</f>
        <v>0</v>
      </c>
      <c r="K755">
        <f>_xlfn.XLOOKUP($A755,Load!$B:$B,Load!L:L,0,)</f>
        <v>0</v>
      </c>
      <c r="L755">
        <f>_xlfn.XLOOKUP($A755,Load!$B:$B,Load!M:M,0,)</f>
        <v>0</v>
      </c>
    </row>
    <row r="756" spans="1:12" x14ac:dyDescent="0.25">
      <c r="B756">
        <f>_xlfn.XLOOKUP($A756,Load!$B:$B,Load!C:C,0,)</f>
        <v>0</v>
      </c>
      <c r="C756">
        <f>_xlfn.XLOOKUP($A756,Load!$B:$B,Load!D:D,0,)</f>
        <v>0</v>
      </c>
      <c r="D756">
        <f>_xlfn.XLOOKUP($A756,Load!$B:$B,Load!E:E,0,)</f>
        <v>0</v>
      </c>
      <c r="E756">
        <f>_xlfn.XLOOKUP($A756,Load!$B:$B,Load!F:F,0,)</f>
        <v>0</v>
      </c>
      <c r="F756">
        <f>_xlfn.XLOOKUP($A756,Load!$B:$B,Load!G:G,0,)</f>
        <v>0</v>
      </c>
      <c r="G756">
        <f>_xlfn.XLOOKUP($A756,Load!$B:$B,Load!H:H,0,)</f>
        <v>0</v>
      </c>
      <c r="H756">
        <f>_xlfn.XLOOKUP($A756,Load!$B:$B,Load!I:I,0,)</f>
        <v>0</v>
      </c>
      <c r="I756">
        <f>_xlfn.XLOOKUP($A756,Load!$B:$B,Load!J:J,0,)</f>
        <v>0</v>
      </c>
      <c r="J756">
        <f>_xlfn.XLOOKUP($A756,Load!$B:$B,Load!K:K,0,)</f>
        <v>0</v>
      </c>
      <c r="K756">
        <f>_xlfn.XLOOKUP($A756,Load!$B:$B,Load!L:L,0,)</f>
        <v>0</v>
      </c>
      <c r="L756">
        <f>_xlfn.XLOOKUP($A756,Load!$B:$B,Load!M:M,0,)</f>
        <v>0</v>
      </c>
    </row>
    <row r="757" spans="1:12" x14ac:dyDescent="0.25">
      <c r="B757">
        <f>_xlfn.XLOOKUP($A757,Load!$B:$B,Load!C:C,0,)</f>
        <v>0</v>
      </c>
      <c r="C757">
        <f>_xlfn.XLOOKUP($A757,Load!$B:$B,Load!D:D,0,)</f>
        <v>0</v>
      </c>
      <c r="D757">
        <f>_xlfn.XLOOKUP($A757,Load!$B:$B,Load!E:E,0,)</f>
        <v>0</v>
      </c>
      <c r="E757">
        <f>_xlfn.XLOOKUP($A757,Load!$B:$B,Load!F:F,0,)</f>
        <v>0</v>
      </c>
      <c r="F757">
        <f>_xlfn.XLOOKUP($A757,Load!$B:$B,Load!G:G,0,)</f>
        <v>0</v>
      </c>
      <c r="G757">
        <f>_xlfn.XLOOKUP($A757,Load!$B:$B,Load!H:H,0,)</f>
        <v>0</v>
      </c>
      <c r="H757">
        <f>_xlfn.XLOOKUP($A757,Load!$B:$B,Load!I:I,0,)</f>
        <v>0</v>
      </c>
      <c r="I757">
        <f>_xlfn.XLOOKUP($A757,Load!$B:$B,Load!J:J,0,)</f>
        <v>0</v>
      </c>
      <c r="J757">
        <f>_xlfn.XLOOKUP($A757,Load!$B:$B,Load!K:K,0,)</f>
        <v>0</v>
      </c>
      <c r="K757">
        <f>_xlfn.XLOOKUP($A757,Load!$B:$B,Load!L:L,0,)</f>
        <v>0</v>
      </c>
      <c r="L757">
        <f>_xlfn.XLOOKUP($A757,Load!$B:$B,Load!M:M,0,)</f>
        <v>0</v>
      </c>
    </row>
    <row r="758" spans="1:12" x14ac:dyDescent="0.25">
      <c r="B758">
        <f>_xlfn.XLOOKUP($A758,Load!$B:$B,Load!C:C,0,)</f>
        <v>0</v>
      </c>
      <c r="C758">
        <f>_xlfn.XLOOKUP($A758,Load!$B:$B,Load!D:D,0,)</f>
        <v>0</v>
      </c>
      <c r="D758">
        <f>_xlfn.XLOOKUP($A758,Load!$B:$B,Load!E:E,0,)</f>
        <v>0</v>
      </c>
      <c r="E758">
        <f>_xlfn.XLOOKUP($A758,Load!$B:$B,Load!F:F,0,)</f>
        <v>0</v>
      </c>
      <c r="F758">
        <f>_xlfn.XLOOKUP($A758,Load!$B:$B,Load!G:G,0,)</f>
        <v>0</v>
      </c>
      <c r="G758">
        <f>_xlfn.XLOOKUP($A758,Load!$B:$B,Load!H:H,0,)</f>
        <v>0</v>
      </c>
      <c r="H758">
        <f>_xlfn.XLOOKUP($A758,Load!$B:$B,Load!I:I,0,)</f>
        <v>0</v>
      </c>
      <c r="I758">
        <f>_xlfn.XLOOKUP($A758,Load!$B:$B,Load!J:J,0,)</f>
        <v>0</v>
      </c>
      <c r="J758">
        <f>_xlfn.XLOOKUP($A758,Load!$B:$B,Load!K:K,0,)</f>
        <v>0</v>
      </c>
      <c r="K758">
        <f>_xlfn.XLOOKUP($A758,Load!$B:$B,Load!L:L,0,)</f>
        <v>0</v>
      </c>
      <c r="L758">
        <f>_xlfn.XLOOKUP($A758,Load!$B:$B,Load!M:M,0,)</f>
        <v>0</v>
      </c>
    </row>
    <row r="759" spans="1:12" x14ac:dyDescent="0.25">
      <c r="B759">
        <f>_xlfn.XLOOKUP($A759,Load!$B:$B,Load!C:C,0,)</f>
        <v>0</v>
      </c>
      <c r="C759">
        <f>_xlfn.XLOOKUP($A759,Load!$B:$B,Load!D:D,0,)</f>
        <v>0</v>
      </c>
      <c r="D759">
        <f>_xlfn.XLOOKUP($A759,Load!$B:$B,Load!E:E,0,)</f>
        <v>0</v>
      </c>
      <c r="E759">
        <f>_xlfn.XLOOKUP($A759,Load!$B:$B,Load!F:F,0,)</f>
        <v>0</v>
      </c>
      <c r="F759">
        <f>_xlfn.XLOOKUP($A759,Load!$B:$B,Load!G:G,0,)</f>
        <v>0</v>
      </c>
      <c r="G759">
        <f>_xlfn.XLOOKUP($A759,Load!$B:$B,Load!H:H,0,)</f>
        <v>0</v>
      </c>
      <c r="H759">
        <f>_xlfn.XLOOKUP($A759,Load!$B:$B,Load!I:I,0,)</f>
        <v>0</v>
      </c>
      <c r="I759">
        <f>_xlfn.XLOOKUP($A759,Load!$B:$B,Load!J:J,0,)</f>
        <v>0</v>
      </c>
      <c r="J759">
        <f>_xlfn.XLOOKUP($A759,Load!$B:$B,Load!K:K,0,)</f>
        <v>0</v>
      </c>
      <c r="K759">
        <f>_xlfn.XLOOKUP($A759,Load!$B:$B,Load!L:L,0,)</f>
        <v>0</v>
      </c>
      <c r="L759">
        <f>_xlfn.XLOOKUP($A759,Load!$B:$B,Load!M:M,0,)</f>
        <v>0</v>
      </c>
    </row>
    <row r="760" spans="1:12" x14ac:dyDescent="0.25">
      <c r="A760" t="s">
        <v>293</v>
      </c>
      <c r="B760" t="str">
        <f>_xlfn.XLOOKUP($A760,Load!$B:$B,Load!C:C,0,)</f>
        <v>Tootsie</v>
      </c>
      <c r="C760" t="str">
        <f>_xlfn.XLOOKUP($A760,Load!$B:$B,Load!D:D,0,)</f>
        <v>Mix of Chocolate and Non-Chocolate Candy</v>
      </c>
      <c r="D760" t="str">
        <f>_xlfn.XLOOKUP($A760,Load!$B:$B,Load!E:E,0,)</f>
        <v>Sweet</v>
      </c>
      <c r="E760" t="str">
        <f>_xlfn.XLOOKUP($A760,Load!$B:$B,Load!F:F,0,)</f>
        <v>Lollipop (regular or lollipop rings)</v>
      </c>
      <c r="F760" t="str">
        <f>_xlfn.XLOOKUP($A760,Load!$B:$B,Load!G:G,0,)</f>
        <v>Large Multipack (More than 80 ct)</v>
      </c>
      <c r="G760" t="str">
        <f>_xlfn.XLOOKUP($A760,Load!$B:$B,Load!H:H,0,)</f>
        <v>Laydown Bag</v>
      </c>
      <c r="H760" t="str">
        <f>_xlfn.XLOOKUP($A760,Load!$B:$B,Load!I:I,0,)</f>
        <v>Everyday Candy Shapes (like Original, Gummy bear, Fruit, Jewels, etc.)</v>
      </c>
      <c r="I760" t="str">
        <f>_xlfn.XLOOKUP($A760,Load!$B:$B,Load!J:J,0,)</f>
        <v>Everyday Graphics</v>
      </c>
      <c r="J760" t="str">
        <f>_xlfn.XLOOKUP($A760,Load!$B:$B,Load!K:K,0,)</f>
        <v>Regular Lollipop size (on sticks or rings)</v>
      </c>
      <c r="K760" t="str">
        <f>_xlfn.XLOOKUP($A760,Load!$B:$B,Load!L:L,0,)</f>
        <v>Regular/Original Wrapping</v>
      </c>
      <c r="L760" t="str">
        <f>_xlfn.XLOOKUP($A760,Load!$B:$B,Load!M:M,0,)</f>
        <v>Single Brand / Single Flavor or Form</v>
      </c>
    </row>
    <row r="761" spans="1:12" x14ac:dyDescent="0.25">
      <c r="B761">
        <f>_xlfn.XLOOKUP($A761,Load!$B:$B,Load!C:C,0,)</f>
        <v>0</v>
      </c>
      <c r="C761">
        <f>_xlfn.XLOOKUP($A761,Load!$B:$B,Load!D:D,0,)</f>
        <v>0</v>
      </c>
      <c r="D761">
        <f>_xlfn.XLOOKUP($A761,Load!$B:$B,Load!E:E,0,)</f>
        <v>0</v>
      </c>
      <c r="E761">
        <f>_xlfn.XLOOKUP($A761,Load!$B:$B,Load!F:F,0,)</f>
        <v>0</v>
      </c>
      <c r="F761">
        <f>_xlfn.XLOOKUP($A761,Load!$B:$B,Load!G:G,0,)</f>
        <v>0</v>
      </c>
      <c r="G761">
        <f>_xlfn.XLOOKUP($A761,Load!$B:$B,Load!H:H,0,)</f>
        <v>0</v>
      </c>
      <c r="H761">
        <f>_xlfn.XLOOKUP($A761,Load!$B:$B,Load!I:I,0,)</f>
        <v>0</v>
      </c>
      <c r="I761">
        <f>_xlfn.XLOOKUP($A761,Load!$B:$B,Load!J:J,0,)</f>
        <v>0</v>
      </c>
      <c r="J761">
        <f>_xlfn.XLOOKUP($A761,Load!$B:$B,Load!K:K,0,)</f>
        <v>0</v>
      </c>
      <c r="K761">
        <f>_xlfn.XLOOKUP($A761,Load!$B:$B,Load!L:L,0,)</f>
        <v>0</v>
      </c>
      <c r="L761">
        <f>_xlfn.XLOOKUP($A761,Load!$B:$B,Load!M:M,0,)</f>
        <v>0</v>
      </c>
    </row>
    <row r="762" spans="1:12" x14ac:dyDescent="0.25">
      <c r="A762" t="s">
        <v>288</v>
      </c>
      <c r="B762" t="str">
        <f>_xlfn.XLOOKUP($A762,Load!$B:$B,Load!C:C,0,)</f>
        <v>SweeTARTS</v>
      </c>
      <c r="C762" t="str">
        <f>_xlfn.XLOOKUP($A762,Load!$B:$B,Load!D:D,0,)</f>
        <v>Non-Chocolate Candy Only</v>
      </c>
      <c r="D762" t="str">
        <f>_xlfn.XLOOKUP($A762,Load!$B:$B,Load!E:E,0,)</f>
        <v>Variety / Mixed Flavors (Fruity, Sour, Seasonal Flavors)</v>
      </c>
      <c r="E762" t="str">
        <f>_xlfn.XLOOKUP($A762,Load!$B:$B,Load!F:F,0,)</f>
        <v>Mixed / Combo Packs (Gummy, Chewy, Taffy, etc.)</v>
      </c>
      <c r="F762" t="str">
        <f>_xlfn.XLOOKUP($A762,Load!$B:$B,Load!G:G,0,)</f>
        <v>Medium Multipack (40–80 ct)</v>
      </c>
      <c r="G762" t="str">
        <f>_xlfn.XLOOKUP($A762,Load!$B:$B,Load!H:H,0,)</f>
        <v>Stand-Up Bag</v>
      </c>
      <c r="H762" t="str">
        <f>_xlfn.XLOOKUP($A762,Load!$B:$B,Load!I:I,0,)</f>
        <v>Everyday Candy Shapes (like Original, Gummy bear, Fruit, Jewels, etc.)</v>
      </c>
      <c r="I762" t="str">
        <f>_xlfn.XLOOKUP($A762,Load!$B:$B,Load!J:J,0,)</f>
        <v>Seasonal Graphics (Like Bat, Ghost, Pumpkin, Fall Leaves, Eyeballs, etc.)</v>
      </c>
      <c r="J762" t="str">
        <f>_xlfn.XLOOKUP($A762,Load!$B:$B,Load!K:K,0,)</f>
        <v>Small Pieces (Tiny bite size candies)</v>
      </c>
      <c r="K762" t="str">
        <f>_xlfn.XLOOKUP($A762,Load!$B:$B,Load!L:L,0,)</f>
        <v>Regular/Original Wrapping</v>
      </c>
      <c r="L762" t="str">
        <f>_xlfn.XLOOKUP($A762,Load!$B:$B,Load!M:M,0,)</f>
        <v>Single Brand / Variety Flavors or Form</v>
      </c>
    </row>
    <row r="763" spans="1:12" x14ac:dyDescent="0.25">
      <c r="B763">
        <f>_xlfn.XLOOKUP($A763,Load!$B:$B,Load!C:C,0,)</f>
        <v>0</v>
      </c>
      <c r="C763">
        <f>_xlfn.XLOOKUP($A763,Load!$B:$B,Load!D:D,0,)</f>
        <v>0</v>
      </c>
      <c r="D763">
        <f>_xlfn.XLOOKUP($A763,Load!$B:$B,Load!E:E,0,)</f>
        <v>0</v>
      </c>
      <c r="E763">
        <f>_xlfn.XLOOKUP($A763,Load!$B:$B,Load!F:F,0,)</f>
        <v>0</v>
      </c>
      <c r="F763">
        <f>_xlfn.XLOOKUP($A763,Load!$B:$B,Load!G:G,0,)</f>
        <v>0</v>
      </c>
      <c r="G763">
        <f>_xlfn.XLOOKUP($A763,Load!$B:$B,Load!H:H,0,)</f>
        <v>0</v>
      </c>
      <c r="H763">
        <f>_xlfn.XLOOKUP($A763,Load!$B:$B,Load!I:I,0,)</f>
        <v>0</v>
      </c>
      <c r="I763">
        <f>_xlfn.XLOOKUP($A763,Load!$B:$B,Load!J:J,0,)</f>
        <v>0</v>
      </c>
      <c r="J763">
        <f>_xlfn.XLOOKUP($A763,Load!$B:$B,Load!K:K,0,)</f>
        <v>0</v>
      </c>
      <c r="K763">
        <f>_xlfn.XLOOKUP($A763,Load!$B:$B,Load!L:L,0,)</f>
        <v>0</v>
      </c>
      <c r="L763">
        <f>_xlfn.XLOOKUP($A763,Load!$B:$B,Load!M:M,0,)</f>
        <v>0</v>
      </c>
    </row>
    <row r="764" spans="1:12" x14ac:dyDescent="0.25">
      <c r="B764">
        <f>_xlfn.XLOOKUP($A764,Load!$B:$B,Load!C:C,0,)</f>
        <v>0</v>
      </c>
      <c r="C764">
        <f>_xlfn.XLOOKUP($A764,Load!$B:$B,Load!D:D,0,)</f>
        <v>0</v>
      </c>
      <c r="D764">
        <f>_xlfn.XLOOKUP($A764,Load!$B:$B,Load!E:E,0,)</f>
        <v>0</v>
      </c>
      <c r="E764">
        <f>_xlfn.XLOOKUP($A764,Load!$B:$B,Load!F:F,0,)</f>
        <v>0</v>
      </c>
      <c r="F764">
        <f>_xlfn.XLOOKUP($A764,Load!$B:$B,Load!G:G,0,)</f>
        <v>0</v>
      </c>
      <c r="G764">
        <f>_xlfn.XLOOKUP($A764,Load!$B:$B,Load!H:H,0,)</f>
        <v>0</v>
      </c>
      <c r="H764">
        <f>_xlfn.XLOOKUP($A764,Load!$B:$B,Load!I:I,0,)</f>
        <v>0</v>
      </c>
      <c r="I764">
        <f>_xlfn.XLOOKUP($A764,Load!$B:$B,Load!J:J,0,)</f>
        <v>0</v>
      </c>
      <c r="J764">
        <f>_xlfn.XLOOKUP($A764,Load!$B:$B,Load!K:K,0,)</f>
        <v>0</v>
      </c>
      <c r="K764">
        <f>_xlfn.XLOOKUP($A764,Load!$B:$B,Load!L:L,0,)</f>
        <v>0</v>
      </c>
      <c r="L764">
        <f>_xlfn.XLOOKUP($A764,Load!$B:$B,Load!M:M,0,)</f>
        <v>0</v>
      </c>
    </row>
    <row r="765" spans="1:12" x14ac:dyDescent="0.25">
      <c r="B765">
        <f>_xlfn.XLOOKUP($A765,Load!$B:$B,Load!C:C,0,)</f>
        <v>0</v>
      </c>
      <c r="C765">
        <f>_xlfn.XLOOKUP($A765,Load!$B:$B,Load!D:D,0,)</f>
        <v>0</v>
      </c>
      <c r="D765">
        <f>_xlfn.XLOOKUP($A765,Load!$B:$B,Load!E:E,0,)</f>
        <v>0</v>
      </c>
      <c r="E765">
        <f>_xlfn.XLOOKUP($A765,Load!$B:$B,Load!F:F,0,)</f>
        <v>0</v>
      </c>
      <c r="F765">
        <f>_xlfn.XLOOKUP($A765,Load!$B:$B,Load!G:G,0,)</f>
        <v>0</v>
      </c>
      <c r="G765">
        <f>_xlfn.XLOOKUP($A765,Load!$B:$B,Load!H:H,0,)</f>
        <v>0</v>
      </c>
      <c r="H765">
        <f>_xlfn.XLOOKUP($A765,Load!$B:$B,Load!I:I,0,)</f>
        <v>0</v>
      </c>
      <c r="I765">
        <f>_xlfn.XLOOKUP($A765,Load!$B:$B,Load!J:J,0,)</f>
        <v>0</v>
      </c>
      <c r="J765">
        <f>_xlfn.XLOOKUP($A765,Load!$B:$B,Load!K:K,0,)</f>
        <v>0</v>
      </c>
      <c r="K765">
        <f>_xlfn.XLOOKUP($A765,Load!$B:$B,Load!L:L,0,)</f>
        <v>0</v>
      </c>
      <c r="L765">
        <f>_xlfn.XLOOKUP($A765,Load!$B:$B,Load!M:M,0,)</f>
        <v>0</v>
      </c>
    </row>
    <row r="766" spans="1:12" x14ac:dyDescent="0.25">
      <c r="A766" t="s">
        <v>305</v>
      </c>
      <c r="B766" t="str">
        <f>_xlfn.XLOOKUP($A766,Load!$B:$B,Load!C:C,0,)</f>
        <v>Werther's Original</v>
      </c>
      <c r="C766" t="str">
        <f>_xlfn.XLOOKUP($A766,Load!$B:$B,Load!D:D,0,)</f>
        <v>Non-Chocolate Candy Only</v>
      </c>
      <c r="D766" t="str">
        <f>_xlfn.XLOOKUP($A766,Load!$B:$B,Load!E:E,0,)</f>
        <v>Fall / Seasonal Flavors (pumpkin spice, caramel apple, candy corn)</v>
      </c>
      <c r="E766" t="str">
        <f>_xlfn.XLOOKUP($A766,Load!$B:$B,Load!F:F,0,)</f>
        <v>Chewy</v>
      </c>
      <c r="F766" t="str">
        <f>_xlfn.XLOOKUP($A766,Load!$B:$B,Load!G:G,0,)</f>
        <v>Single Pack</v>
      </c>
      <c r="G766" t="str">
        <f>_xlfn.XLOOKUP($A766,Load!$B:$B,Load!H:H,0,)</f>
        <v>Stand-Up Bag</v>
      </c>
      <c r="H766" t="str">
        <f>_xlfn.XLOOKUP($A766,Load!$B:$B,Load!I:I,0,)</f>
        <v>Everyday Candy Shapes (like Original, Gummy bear, Fruit, Jewels, etc.)</v>
      </c>
      <c r="I766" t="str">
        <f>_xlfn.XLOOKUP($A766,Load!$B:$B,Load!J:J,0,)</f>
        <v>Seasonal Graphics (Like Bat, Ghost, Pumpkin, Fall Leaves, Eyeballs, etc.)</v>
      </c>
      <c r="J766" t="str">
        <f>_xlfn.XLOOKUP($A766,Load!$B:$B,Load!K:K,0,)</f>
        <v>Fun Size / Treat Size</v>
      </c>
      <c r="K766" t="str">
        <f>_xlfn.XLOOKUP($A766,Load!$B:$B,Load!L:L,0,)</f>
        <v>Regular/Original Wrapping</v>
      </c>
      <c r="L766" t="str">
        <f>_xlfn.XLOOKUP($A766,Load!$B:$B,Load!M:M,0,)</f>
        <v>Single Brand / Single Flavor or Form</v>
      </c>
    </row>
    <row r="767" spans="1:12" x14ac:dyDescent="0.25">
      <c r="A767" t="s">
        <v>306</v>
      </c>
      <c r="B767" t="str">
        <f>_xlfn.XLOOKUP($A767,Load!$B:$B,Load!C:C,0,)</f>
        <v>Werther's Original</v>
      </c>
      <c r="C767" t="str">
        <f>_xlfn.XLOOKUP($A767,Load!$B:$B,Load!D:D,0,)</f>
        <v>Non-Chocolate Candy Only</v>
      </c>
      <c r="D767" t="str">
        <f>_xlfn.XLOOKUP($A767,Load!$B:$B,Load!E:E,0,)</f>
        <v>Fall / Seasonal Flavors (pumpkin spice, caramel apple, candy corn)</v>
      </c>
      <c r="E767" t="str">
        <f>_xlfn.XLOOKUP($A767,Load!$B:$B,Load!F:F,0,)</f>
        <v>Chewy</v>
      </c>
      <c r="F767" t="str">
        <f>_xlfn.XLOOKUP($A767,Load!$B:$B,Load!G:G,0,)</f>
        <v>Single Pack</v>
      </c>
      <c r="G767" t="str">
        <f>_xlfn.XLOOKUP($A767,Load!$B:$B,Load!H:H,0,)</f>
        <v>Stand-Up Bag</v>
      </c>
      <c r="H767" t="str">
        <f>_xlfn.XLOOKUP($A767,Load!$B:$B,Load!I:I,0,)</f>
        <v>Seasonal Shapes (like pumpkins, candy corn, ghost, bats, etc.)</v>
      </c>
      <c r="I767" t="str">
        <f>_xlfn.XLOOKUP($A767,Load!$B:$B,Load!J:J,0,)</f>
        <v>Seasonal Graphics (Like Bat, Ghost, Pumpkin, Fall Leaves, Eyeballs, etc.)</v>
      </c>
      <c r="J767" t="str">
        <f>_xlfn.XLOOKUP($A767,Load!$B:$B,Load!K:K,0,)</f>
        <v>Fun Size / Treat Size</v>
      </c>
      <c r="K767" t="str">
        <f>_xlfn.XLOOKUP($A767,Load!$B:$B,Load!L:L,0,)</f>
        <v>Regular/Original Wrapping</v>
      </c>
      <c r="L767" t="str">
        <f>_xlfn.XLOOKUP($A767,Load!$B:$B,Load!M:M,0,)</f>
        <v>Single Brand / Single Flavor or Form</v>
      </c>
    </row>
    <row r="768" spans="1:12" x14ac:dyDescent="0.25">
      <c r="A768" t="s">
        <v>133</v>
      </c>
      <c r="B768" t="str">
        <f>_xlfn.XLOOKUP($A768,Load!$B:$B,Load!C:C,0,)</f>
        <v>Hershey's</v>
      </c>
      <c r="C768" t="str">
        <f>_xlfn.XLOOKUP($A768,Load!$B:$B,Load!D:D,0,)</f>
        <v>Non-Chocolate Candy Only</v>
      </c>
      <c r="D768" t="str">
        <f>_xlfn.XLOOKUP($A768,Load!$B:$B,Load!E:E,0,)</f>
        <v>Variety / Mixed Flavors (Fruity, Sour, Seasonal Flavors)</v>
      </c>
      <c r="E768" t="str">
        <f>_xlfn.XLOOKUP($A768,Load!$B:$B,Load!F:F,0,)</f>
        <v>Mixed / Combo Packs (Gummy, Chewy, Taffy, etc.)</v>
      </c>
      <c r="F768" t="str">
        <f>_xlfn.XLOOKUP($A768,Load!$B:$B,Load!G:G,0,)</f>
        <v>Large Multipack (More than 80 ct)</v>
      </c>
      <c r="G768" t="str">
        <f>_xlfn.XLOOKUP($A768,Load!$B:$B,Load!H:H,0,)</f>
        <v>Stand-Up Bag</v>
      </c>
      <c r="H768" t="str">
        <f>_xlfn.XLOOKUP($A768,Load!$B:$B,Load!I:I,0,)</f>
        <v>Everyday Candy Shapes (like Original, Gummy bear, Fruit, Jewels, etc.)</v>
      </c>
      <c r="I768" t="str">
        <f>_xlfn.XLOOKUP($A768,Load!$B:$B,Load!J:J,0,)</f>
        <v>Seasonal Graphics (Like Bat, Ghost, Pumpkin, Fall Leaves, Eyeballs, etc.)</v>
      </c>
      <c r="J768" t="str">
        <f>_xlfn.XLOOKUP($A768,Load!$B:$B,Load!K:K,0,)</f>
        <v>Fun Size / Treat Size</v>
      </c>
      <c r="K768" t="str">
        <f>_xlfn.XLOOKUP($A768,Load!$B:$B,Load!L:L,0,)</f>
        <v>Regular/Original Wrapping</v>
      </c>
      <c r="L768" t="str">
        <f>_xlfn.XLOOKUP($A768,Load!$B:$B,Load!M:M,0,)</f>
        <v>Multiple Brands / Variety Flavors or Form</v>
      </c>
    </row>
    <row r="769" spans="1:12" x14ac:dyDescent="0.25">
      <c r="B769">
        <f>_xlfn.XLOOKUP($A769,Load!$B:$B,Load!C:C,0,)</f>
        <v>0</v>
      </c>
      <c r="C769">
        <f>_xlfn.XLOOKUP($A769,Load!$B:$B,Load!D:D,0,)</f>
        <v>0</v>
      </c>
      <c r="D769">
        <f>_xlfn.XLOOKUP($A769,Load!$B:$B,Load!E:E,0,)</f>
        <v>0</v>
      </c>
      <c r="E769">
        <f>_xlfn.XLOOKUP($A769,Load!$B:$B,Load!F:F,0,)</f>
        <v>0</v>
      </c>
      <c r="F769">
        <f>_xlfn.XLOOKUP($A769,Load!$B:$B,Load!G:G,0,)</f>
        <v>0</v>
      </c>
      <c r="G769">
        <f>_xlfn.XLOOKUP($A769,Load!$B:$B,Load!H:H,0,)</f>
        <v>0</v>
      </c>
      <c r="H769">
        <f>_xlfn.XLOOKUP($A769,Load!$B:$B,Load!I:I,0,)</f>
        <v>0</v>
      </c>
      <c r="I769">
        <f>_xlfn.XLOOKUP($A769,Load!$B:$B,Load!J:J,0,)</f>
        <v>0</v>
      </c>
      <c r="J769">
        <f>_xlfn.XLOOKUP($A769,Load!$B:$B,Load!K:K,0,)</f>
        <v>0</v>
      </c>
      <c r="K769">
        <f>_xlfn.XLOOKUP($A769,Load!$B:$B,Load!L:L,0,)</f>
        <v>0</v>
      </c>
      <c r="L769">
        <f>_xlfn.XLOOKUP($A769,Load!$B:$B,Load!M:M,0,)</f>
        <v>0</v>
      </c>
    </row>
    <row r="770" spans="1:12" x14ac:dyDescent="0.25">
      <c r="B770">
        <f>_xlfn.XLOOKUP($A770,Load!$B:$B,Load!C:C,0,)</f>
        <v>0</v>
      </c>
      <c r="C770">
        <f>_xlfn.XLOOKUP($A770,Load!$B:$B,Load!D:D,0,)</f>
        <v>0</v>
      </c>
      <c r="D770">
        <f>_xlfn.XLOOKUP($A770,Load!$B:$B,Load!E:E,0,)</f>
        <v>0</v>
      </c>
      <c r="E770">
        <f>_xlfn.XLOOKUP($A770,Load!$B:$B,Load!F:F,0,)</f>
        <v>0</v>
      </c>
      <c r="F770">
        <f>_xlfn.XLOOKUP($A770,Load!$B:$B,Load!G:G,0,)</f>
        <v>0</v>
      </c>
      <c r="G770">
        <f>_xlfn.XLOOKUP($A770,Load!$B:$B,Load!H:H,0,)</f>
        <v>0</v>
      </c>
      <c r="H770">
        <f>_xlfn.XLOOKUP($A770,Load!$B:$B,Load!I:I,0,)</f>
        <v>0</v>
      </c>
      <c r="I770">
        <f>_xlfn.XLOOKUP($A770,Load!$B:$B,Load!J:J,0,)</f>
        <v>0</v>
      </c>
      <c r="J770">
        <f>_xlfn.XLOOKUP($A770,Load!$B:$B,Load!K:K,0,)</f>
        <v>0</v>
      </c>
      <c r="K770">
        <f>_xlfn.XLOOKUP($A770,Load!$B:$B,Load!L:L,0,)</f>
        <v>0</v>
      </c>
      <c r="L770">
        <f>_xlfn.XLOOKUP($A770,Load!$B:$B,Load!M:M,0,)</f>
        <v>0</v>
      </c>
    </row>
    <row r="771" spans="1:12" x14ac:dyDescent="0.25">
      <c r="B771">
        <f>_xlfn.XLOOKUP($A771,Load!$B:$B,Load!C:C,0,)</f>
        <v>0</v>
      </c>
      <c r="C771">
        <f>_xlfn.XLOOKUP($A771,Load!$B:$B,Load!D:D,0,)</f>
        <v>0</v>
      </c>
      <c r="D771">
        <f>_xlfn.XLOOKUP($A771,Load!$B:$B,Load!E:E,0,)</f>
        <v>0</v>
      </c>
      <c r="E771">
        <f>_xlfn.XLOOKUP($A771,Load!$B:$B,Load!F:F,0,)</f>
        <v>0</v>
      </c>
      <c r="F771">
        <f>_xlfn.XLOOKUP($A771,Load!$B:$B,Load!G:G,0,)</f>
        <v>0</v>
      </c>
      <c r="G771">
        <f>_xlfn.XLOOKUP($A771,Load!$B:$B,Load!H:H,0,)</f>
        <v>0</v>
      </c>
      <c r="H771">
        <f>_xlfn.XLOOKUP($A771,Load!$B:$B,Load!I:I,0,)</f>
        <v>0</v>
      </c>
      <c r="I771">
        <f>_xlfn.XLOOKUP($A771,Load!$B:$B,Load!J:J,0,)</f>
        <v>0</v>
      </c>
      <c r="J771">
        <f>_xlfn.XLOOKUP($A771,Load!$B:$B,Load!K:K,0,)</f>
        <v>0</v>
      </c>
      <c r="K771">
        <f>_xlfn.XLOOKUP($A771,Load!$B:$B,Load!L:L,0,)</f>
        <v>0</v>
      </c>
      <c r="L771">
        <f>_xlfn.XLOOKUP($A771,Load!$B:$B,Load!M:M,0,)</f>
        <v>0</v>
      </c>
    </row>
    <row r="772" spans="1:12" x14ac:dyDescent="0.25">
      <c r="B772">
        <f>_xlfn.XLOOKUP($A772,Load!$B:$B,Load!C:C,0,)</f>
        <v>0</v>
      </c>
      <c r="C772">
        <f>_xlfn.XLOOKUP($A772,Load!$B:$B,Load!D:D,0,)</f>
        <v>0</v>
      </c>
      <c r="D772">
        <f>_xlfn.XLOOKUP($A772,Load!$B:$B,Load!E:E,0,)</f>
        <v>0</v>
      </c>
      <c r="E772">
        <f>_xlfn.XLOOKUP($A772,Load!$B:$B,Load!F:F,0,)</f>
        <v>0</v>
      </c>
      <c r="F772">
        <f>_xlfn.XLOOKUP($A772,Load!$B:$B,Load!G:G,0,)</f>
        <v>0</v>
      </c>
      <c r="G772">
        <f>_xlfn.XLOOKUP($A772,Load!$B:$B,Load!H:H,0,)</f>
        <v>0</v>
      </c>
      <c r="H772">
        <f>_xlfn.XLOOKUP($A772,Load!$B:$B,Load!I:I,0,)</f>
        <v>0</v>
      </c>
      <c r="I772">
        <f>_xlfn.XLOOKUP($A772,Load!$B:$B,Load!J:J,0,)</f>
        <v>0</v>
      </c>
      <c r="J772">
        <f>_xlfn.XLOOKUP($A772,Load!$B:$B,Load!K:K,0,)</f>
        <v>0</v>
      </c>
      <c r="K772">
        <f>_xlfn.XLOOKUP($A772,Load!$B:$B,Load!L:L,0,)</f>
        <v>0</v>
      </c>
      <c r="L772">
        <f>_xlfn.XLOOKUP($A772,Load!$B:$B,Load!M:M,0,)</f>
        <v>0</v>
      </c>
    </row>
    <row r="773" spans="1:12" x14ac:dyDescent="0.25">
      <c r="B773">
        <f>_xlfn.XLOOKUP($A773,Load!$B:$B,Load!C:C,0,)</f>
        <v>0</v>
      </c>
      <c r="C773">
        <f>_xlfn.XLOOKUP($A773,Load!$B:$B,Load!D:D,0,)</f>
        <v>0</v>
      </c>
      <c r="D773">
        <f>_xlfn.XLOOKUP($A773,Load!$B:$B,Load!E:E,0,)</f>
        <v>0</v>
      </c>
      <c r="E773">
        <f>_xlfn.XLOOKUP($A773,Load!$B:$B,Load!F:F,0,)</f>
        <v>0</v>
      </c>
      <c r="F773">
        <f>_xlfn.XLOOKUP($A773,Load!$B:$B,Load!G:G,0,)</f>
        <v>0</v>
      </c>
      <c r="G773">
        <f>_xlfn.XLOOKUP($A773,Load!$B:$B,Load!H:H,0,)</f>
        <v>0</v>
      </c>
      <c r="H773">
        <f>_xlfn.XLOOKUP($A773,Load!$B:$B,Load!I:I,0,)</f>
        <v>0</v>
      </c>
      <c r="I773">
        <f>_xlfn.XLOOKUP($A773,Load!$B:$B,Load!J:J,0,)</f>
        <v>0</v>
      </c>
      <c r="J773">
        <f>_xlfn.XLOOKUP($A773,Load!$B:$B,Load!K:K,0,)</f>
        <v>0</v>
      </c>
      <c r="K773">
        <f>_xlfn.XLOOKUP($A773,Load!$B:$B,Load!L:L,0,)</f>
        <v>0</v>
      </c>
      <c r="L773">
        <f>_xlfn.XLOOKUP($A773,Load!$B:$B,Load!M:M,0,)</f>
        <v>0</v>
      </c>
    </row>
    <row r="774" spans="1:12" x14ac:dyDescent="0.25">
      <c r="A774" t="s">
        <v>173</v>
      </c>
      <c r="B774" t="str">
        <f>_xlfn.XLOOKUP($A774,Load!$B:$B,Load!C:C,0,)</f>
        <v>Mars Variety Pack</v>
      </c>
      <c r="C774" t="str">
        <f>_xlfn.XLOOKUP($A774,Load!$B:$B,Load!D:D,0,)</f>
        <v>Mix of Chocolate and Non-Chocolate Candy</v>
      </c>
      <c r="D774" t="str">
        <f>_xlfn.XLOOKUP($A774,Load!$B:$B,Load!E:E,0,)</f>
        <v>Variety / Mixed Flavors (Fruity, Sour, Seasonal Flavors)</v>
      </c>
      <c r="E774" t="str">
        <f>_xlfn.XLOOKUP($A774,Load!$B:$B,Load!F:F,0,)</f>
        <v>Mixed / Combo Packs (Gummy, Chewy, Taffy, etc.)</v>
      </c>
      <c r="F774" t="str">
        <f>_xlfn.XLOOKUP($A774,Load!$B:$B,Load!G:G,0,)</f>
        <v>Large Multipack (More than 80 ct)</v>
      </c>
      <c r="G774" t="str">
        <f>_xlfn.XLOOKUP($A774,Load!$B:$B,Load!H:H,0,)</f>
        <v>Stand-Up Bag</v>
      </c>
      <c r="H774" t="str">
        <f>_xlfn.XLOOKUP($A774,Load!$B:$B,Load!I:I,0,)</f>
        <v>Everyday Candy Shapes (like Original, Gummy bear, Fruit, Jewels, etc.)</v>
      </c>
      <c r="I774" t="str">
        <f>_xlfn.XLOOKUP($A774,Load!$B:$B,Load!J:J,0,)</f>
        <v>Seasonal Graphics (Like Bat, Ghost, Pumpkin, Fall Leaves, Eyeballs, etc.)</v>
      </c>
      <c r="J774" t="str">
        <f>_xlfn.XLOOKUP($A774,Load!$B:$B,Load!K:K,0,)</f>
        <v>Fun Size / Treat Size</v>
      </c>
      <c r="K774" t="str">
        <f>_xlfn.XLOOKUP($A774,Load!$B:$B,Load!L:L,0,)</f>
        <v>Regular/Original Wrapping</v>
      </c>
      <c r="L774" t="str">
        <f>_xlfn.XLOOKUP($A774,Load!$B:$B,Load!M:M,0,)</f>
        <v>Multiple Brands / Variety Flavors or Form</v>
      </c>
    </row>
    <row r="775" spans="1:12" x14ac:dyDescent="0.25">
      <c r="A775" t="s">
        <v>97</v>
      </c>
      <c r="B775" t="str">
        <f>_xlfn.XLOOKUP($A775,Load!$B:$B,Load!C:C,0,)</f>
        <v>Ferrero Variety Pack</v>
      </c>
      <c r="C775" t="str">
        <f>_xlfn.XLOOKUP($A775,Load!$B:$B,Load!D:D,0,)</f>
        <v>Mix of Chocolate and Non-Chocolate Candy</v>
      </c>
      <c r="D775" t="str">
        <f>_xlfn.XLOOKUP($A775,Load!$B:$B,Load!E:E,0,)</f>
        <v>Variety / Mixed Flavors (Fruity, Sour, Seasonal Flavors)</v>
      </c>
      <c r="E775" t="str">
        <f>_xlfn.XLOOKUP($A775,Load!$B:$B,Load!F:F,0,)</f>
        <v>Mixed / Combo Packs (Gummy, Chewy, Taffy, etc.)</v>
      </c>
      <c r="F775" t="str">
        <f>_xlfn.XLOOKUP($A775,Load!$B:$B,Load!G:G,0,)</f>
        <v>Large Multipack (More than 80 ct)</v>
      </c>
      <c r="G775" t="str">
        <f>_xlfn.XLOOKUP($A775,Load!$B:$B,Load!H:H,0,)</f>
        <v>Stand-Up Bag</v>
      </c>
      <c r="H775" t="str">
        <f>_xlfn.XLOOKUP($A775,Load!$B:$B,Load!I:I,0,)</f>
        <v>Everyday Candy Shapes (like Original, Gummy bear, Fruit, Jewels, etc.)</v>
      </c>
      <c r="I775" t="str">
        <f>_xlfn.XLOOKUP($A775,Load!$B:$B,Load!J:J,0,)</f>
        <v>Seasonal Graphics (Like Bat, Ghost, Pumpkin, Fall Leaves, Eyeballs, etc.)</v>
      </c>
      <c r="J775" t="str">
        <f>_xlfn.XLOOKUP($A775,Load!$B:$B,Load!K:K,0,)</f>
        <v>Fun Size / Treat Size</v>
      </c>
      <c r="K775" t="str">
        <f>_xlfn.XLOOKUP($A775,Load!$B:$B,Load!L:L,0,)</f>
        <v>Regular/Original Wrapping</v>
      </c>
      <c r="L775" t="str">
        <f>_xlfn.XLOOKUP($A775,Load!$B:$B,Load!M:M,0,)</f>
        <v>Multiple Brands / Variety Flavors or Form</v>
      </c>
    </row>
    <row r="776" spans="1:12" x14ac:dyDescent="0.25">
      <c r="B776">
        <f>_xlfn.XLOOKUP($A776,Load!$B:$B,Load!C:C,0,)</f>
        <v>0</v>
      </c>
      <c r="C776">
        <f>_xlfn.XLOOKUP($A776,Load!$B:$B,Load!D:D,0,)</f>
        <v>0</v>
      </c>
      <c r="D776">
        <f>_xlfn.XLOOKUP($A776,Load!$B:$B,Load!E:E,0,)</f>
        <v>0</v>
      </c>
      <c r="E776">
        <f>_xlfn.XLOOKUP($A776,Load!$B:$B,Load!F:F,0,)</f>
        <v>0</v>
      </c>
      <c r="F776">
        <f>_xlfn.XLOOKUP($A776,Load!$B:$B,Load!G:G,0,)</f>
        <v>0</v>
      </c>
      <c r="G776">
        <f>_xlfn.XLOOKUP($A776,Load!$B:$B,Load!H:H,0,)</f>
        <v>0</v>
      </c>
      <c r="H776">
        <f>_xlfn.XLOOKUP($A776,Load!$B:$B,Load!I:I,0,)</f>
        <v>0</v>
      </c>
      <c r="I776">
        <f>_xlfn.XLOOKUP($A776,Load!$B:$B,Load!J:J,0,)</f>
        <v>0</v>
      </c>
      <c r="J776">
        <f>_xlfn.XLOOKUP($A776,Load!$B:$B,Load!K:K,0,)</f>
        <v>0</v>
      </c>
      <c r="K776">
        <f>_xlfn.XLOOKUP($A776,Load!$B:$B,Load!L:L,0,)</f>
        <v>0</v>
      </c>
      <c r="L776">
        <f>_xlfn.XLOOKUP($A776,Load!$B:$B,Load!M:M,0,)</f>
        <v>0</v>
      </c>
    </row>
    <row r="777" spans="1:12" x14ac:dyDescent="0.25">
      <c r="B777">
        <f>_xlfn.XLOOKUP($A777,Load!$B:$B,Load!C:C,0,)</f>
        <v>0</v>
      </c>
      <c r="C777">
        <f>_xlfn.XLOOKUP($A777,Load!$B:$B,Load!D:D,0,)</f>
        <v>0</v>
      </c>
      <c r="D777">
        <f>_xlfn.XLOOKUP($A777,Load!$B:$B,Load!E:E,0,)</f>
        <v>0</v>
      </c>
      <c r="E777">
        <f>_xlfn.XLOOKUP($A777,Load!$B:$B,Load!F:F,0,)</f>
        <v>0</v>
      </c>
      <c r="F777">
        <f>_xlfn.XLOOKUP($A777,Load!$B:$B,Load!G:G,0,)</f>
        <v>0</v>
      </c>
      <c r="G777">
        <f>_xlfn.XLOOKUP($A777,Load!$B:$B,Load!H:H,0,)</f>
        <v>0</v>
      </c>
      <c r="H777">
        <f>_xlfn.XLOOKUP($A777,Load!$B:$B,Load!I:I,0,)</f>
        <v>0</v>
      </c>
      <c r="I777">
        <f>_xlfn.XLOOKUP($A777,Load!$B:$B,Load!J:J,0,)</f>
        <v>0</v>
      </c>
      <c r="J777">
        <f>_xlfn.XLOOKUP($A777,Load!$B:$B,Load!K:K,0,)</f>
        <v>0</v>
      </c>
      <c r="K777">
        <f>_xlfn.XLOOKUP($A777,Load!$B:$B,Load!L:L,0,)</f>
        <v>0</v>
      </c>
      <c r="L777">
        <f>_xlfn.XLOOKUP($A777,Load!$B:$B,Load!M:M,0,)</f>
        <v>0</v>
      </c>
    </row>
    <row r="778" spans="1:12" x14ac:dyDescent="0.25">
      <c r="A778" t="s">
        <v>232</v>
      </c>
      <c r="B778" t="str">
        <f>_xlfn.XLOOKUP($A778,Load!$B:$B,Load!C:C,0,)</f>
        <v>Nerds</v>
      </c>
      <c r="C778" t="str">
        <f>_xlfn.XLOOKUP($A778,Load!$B:$B,Load!D:D,0,)</f>
        <v>Non-Chocolate Candy Only</v>
      </c>
      <c r="D778" t="str">
        <f>_xlfn.XLOOKUP($A778,Load!$B:$B,Load!E:E,0,)</f>
        <v>Berry Based (Raspberry, Strawberry, Medley, etc.)</v>
      </c>
      <c r="E778" t="str">
        <f>_xlfn.XLOOKUP($A778,Load!$B:$B,Load!F:F,0,)</f>
        <v>Candy Pieces / Bites</v>
      </c>
      <c r="F778" t="str">
        <f>_xlfn.XLOOKUP($A778,Load!$B:$B,Load!G:G,0,)</f>
        <v>Single Pack</v>
      </c>
      <c r="G778" t="str">
        <f>_xlfn.XLOOKUP($A778,Load!$B:$B,Load!H:H,0,)</f>
        <v>Laydown Bag</v>
      </c>
      <c r="H778" t="str">
        <f>_xlfn.XLOOKUP($A778,Load!$B:$B,Load!I:I,0,)</f>
        <v>Everyday Candy Shapes (like Original, Gummy bear, Fruit, Jewels, etc.)</v>
      </c>
      <c r="I778" t="str">
        <f>_xlfn.XLOOKUP($A778,Load!$B:$B,Load!J:J,0,)</f>
        <v>Seasonal Graphics (Like Bat, Ghost, Pumpkin, Fall Leaves, Eyeballs, etc.)</v>
      </c>
      <c r="J778" t="str">
        <f>_xlfn.XLOOKUP($A778,Load!$B:$B,Load!K:K,0,)</f>
        <v>Small Pieces (Tiny bite size candies)</v>
      </c>
      <c r="K778" t="str">
        <f>_xlfn.XLOOKUP($A778,Load!$B:$B,Load!L:L,0,)</f>
        <v>Unwrapped</v>
      </c>
      <c r="L778" t="str">
        <f>_xlfn.XLOOKUP($A778,Load!$B:$B,Load!M:M,0,)</f>
        <v>Single Brand / Variety Flavors or Form</v>
      </c>
    </row>
    <row r="779" spans="1:12" x14ac:dyDescent="0.25">
      <c r="A779" t="s">
        <v>227</v>
      </c>
      <c r="B779" t="str">
        <f>_xlfn.XLOOKUP($A779,Load!$B:$B,Load!C:C,0,)</f>
        <v>Nerds</v>
      </c>
      <c r="C779" t="str">
        <f>_xlfn.XLOOKUP($A779,Load!$B:$B,Load!D:D,0,)</f>
        <v>Non-Chocolate Candy Only</v>
      </c>
      <c r="D779" t="str">
        <f>_xlfn.XLOOKUP($A779,Load!$B:$B,Load!E:E,0,)</f>
        <v>Sweet</v>
      </c>
      <c r="E779" t="str">
        <f>_xlfn.XLOOKUP($A779,Load!$B:$B,Load!F:F,0,)</f>
        <v>Chewy</v>
      </c>
      <c r="F779" t="str">
        <f>_xlfn.XLOOKUP($A779,Load!$B:$B,Load!G:G,0,)</f>
        <v>Single Pack</v>
      </c>
      <c r="G779" t="str">
        <f>_xlfn.XLOOKUP($A779,Load!$B:$B,Load!H:H,0,)</f>
        <v>Laydown Bag</v>
      </c>
      <c r="H779" t="str">
        <f>_xlfn.XLOOKUP($A779,Load!$B:$B,Load!I:I,0,)</f>
        <v>Seasonal Shapes (like pumpkins, candy corn, ghost, bats, etc.)</v>
      </c>
      <c r="I779" t="str">
        <f>_xlfn.XLOOKUP($A779,Load!$B:$B,Load!J:J,0,)</f>
        <v>Seasonal Graphics (Like Bat, Ghost, Pumpkin, Fall Leaves, Eyeballs, etc.)</v>
      </c>
      <c r="J779" t="str">
        <f>_xlfn.XLOOKUP($A779,Load!$B:$B,Load!K:K,0,)</f>
        <v>Small Pieces (Tiny bite size candies)</v>
      </c>
      <c r="K779" t="str">
        <f>_xlfn.XLOOKUP($A779,Load!$B:$B,Load!L:L,0,)</f>
        <v>Unwrapped</v>
      </c>
      <c r="L779" t="str">
        <f>_xlfn.XLOOKUP($A779,Load!$B:$B,Load!M:M,0,)</f>
        <v>Single Brand / Variety Flavors or Form</v>
      </c>
    </row>
    <row r="780" spans="1:12" x14ac:dyDescent="0.25">
      <c r="A780" t="s">
        <v>285</v>
      </c>
      <c r="B780" t="str">
        <f>_xlfn.XLOOKUP($A780,Load!$B:$B,Load!C:C,0,)</f>
        <v>Starburst</v>
      </c>
      <c r="C780" t="str">
        <f>_xlfn.XLOOKUP($A780,Load!$B:$B,Load!D:D,0,)</f>
        <v>Non-Chocolate Candy Only</v>
      </c>
      <c r="D780" t="str">
        <f>_xlfn.XLOOKUP($A780,Load!$B:$B,Load!E:E,0,)</f>
        <v>Fruit Flavor (Cherry, Grape, Apple, Citrus, Tropical Fruit)</v>
      </c>
      <c r="E780" t="str">
        <f>_xlfn.XLOOKUP($A780,Load!$B:$B,Load!F:F,0,)</f>
        <v>Chewy</v>
      </c>
      <c r="F780" t="str">
        <f>_xlfn.XLOOKUP($A780,Load!$B:$B,Load!G:G,0,)</f>
        <v>Small Multipack (Less than 40 ct)</v>
      </c>
      <c r="G780" t="str">
        <f>_xlfn.XLOOKUP($A780,Load!$B:$B,Load!H:H,0,)</f>
        <v>Laydown Bag</v>
      </c>
      <c r="H780" t="str">
        <f>_xlfn.XLOOKUP($A780,Load!$B:$B,Load!I:I,0,)</f>
        <v>Everyday Candy Shapes (like Original, Gummy bear, Fruit, Jewels, etc.)</v>
      </c>
      <c r="I780" t="str">
        <f>_xlfn.XLOOKUP($A780,Load!$B:$B,Load!J:J,0,)</f>
        <v>Everyday Graphics</v>
      </c>
      <c r="J780" t="str">
        <f>_xlfn.XLOOKUP($A780,Load!$B:$B,Load!K:K,0,)</f>
        <v>Small Pieces (Tiny bite size candies)</v>
      </c>
      <c r="K780" t="str">
        <f>_xlfn.XLOOKUP($A780,Load!$B:$B,Load!L:L,0,)</f>
        <v>Regular/Original Wrapping</v>
      </c>
      <c r="L780" t="str">
        <f>_xlfn.XLOOKUP($A780,Load!$B:$B,Load!M:M,0,)</f>
        <v>Single Brand / Variety Flavors or Form</v>
      </c>
    </row>
    <row r="781" spans="1:12" x14ac:dyDescent="0.25">
      <c r="A781" t="s">
        <v>260</v>
      </c>
      <c r="B781" t="str">
        <f>_xlfn.XLOOKUP($A781,Load!$B:$B,Load!C:C,0,)</f>
        <v>Skittles</v>
      </c>
      <c r="C781" t="str">
        <f>_xlfn.XLOOKUP($A781,Load!$B:$B,Load!D:D,0,)</f>
        <v>Non-Chocolate Candy Only</v>
      </c>
      <c r="D781" t="str">
        <f>_xlfn.XLOOKUP($A781,Load!$B:$B,Load!E:E,0,)</f>
        <v>Fruit Flavor (Cherry, Grape, Apple, Citrus, Tropical Fruit)</v>
      </c>
      <c r="E781" t="str">
        <f>_xlfn.XLOOKUP($A781,Load!$B:$B,Load!F:F,0,)</f>
        <v>Candy Pieces / Bites</v>
      </c>
      <c r="F781" t="str">
        <f>_xlfn.XLOOKUP($A781,Load!$B:$B,Load!G:G,0,)</f>
        <v>Single Pack</v>
      </c>
      <c r="G781" t="str">
        <f>_xlfn.XLOOKUP($A781,Load!$B:$B,Load!H:H,0,)</f>
        <v>Plastic Cup / Container</v>
      </c>
      <c r="H781" t="str">
        <f>_xlfn.XLOOKUP($A781,Load!$B:$B,Load!I:I,0,)</f>
        <v>Everyday Candy Shapes (like Original, Gummy bear, Fruit, Jewels, etc.)</v>
      </c>
      <c r="I781" t="str">
        <f>_xlfn.XLOOKUP($A781,Load!$B:$B,Load!J:J,0,)</f>
        <v>Seasonal Graphics (Like Bat, Ghost, Pumpkin, Fall Leaves, Eyeballs, etc.)</v>
      </c>
      <c r="J781" t="str">
        <f>_xlfn.XLOOKUP($A781,Load!$B:$B,Load!K:K,0,)</f>
        <v>Small Pieces (Tiny bite size candies)</v>
      </c>
      <c r="K781" t="str">
        <f>_xlfn.XLOOKUP($A781,Load!$B:$B,Load!L:L,0,)</f>
        <v>Unwrapped</v>
      </c>
      <c r="L781" t="str">
        <f>_xlfn.XLOOKUP($A781,Load!$B:$B,Load!M:M,0,)</f>
        <v>Single Brand / Single Flavor or Form</v>
      </c>
    </row>
    <row r="782" spans="1:12" x14ac:dyDescent="0.25">
      <c r="A782" t="s">
        <v>154</v>
      </c>
      <c r="B782" t="str">
        <f>_xlfn.XLOOKUP($A782,Load!$B:$B,Load!C:C,0,)</f>
        <v>Jolly Rancher</v>
      </c>
      <c r="C782" t="str">
        <f>_xlfn.XLOOKUP($A782,Load!$B:$B,Load!D:D,0,)</f>
        <v>Non-Chocolate Candy Only</v>
      </c>
      <c r="D782" t="str">
        <f>_xlfn.XLOOKUP($A782,Load!$B:$B,Load!E:E,0,)</f>
        <v>Fruit Flavor (Cherry, Grape, Apple, Citrus, Tropical Fruit)</v>
      </c>
      <c r="E782" t="str">
        <f>_xlfn.XLOOKUP($A782,Load!$B:$B,Load!F:F,0,)</f>
        <v>Hard Candy</v>
      </c>
      <c r="F782" t="str">
        <f>_xlfn.XLOOKUP($A782,Load!$B:$B,Load!G:G,0,)</f>
        <v>Small Multipack (Less than 40 ct)</v>
      </c>
      <c r="G782" t="str">
        <f>_xlfn.XLOOKUP($A782,Load!$B:$B,Load!H:H,0,)</f>
        <v>Stand-Up Bag</v>
      </c>
      <c r="H782" t="str">
        <f>_xlfn.XLOOKUP($A782,Load!$B:$B,Load!I:I,0,)</f>
        <v>Everyday Candy Shapes (like Original, Gummy bear, Fruit, Jewels, etc.)</v>
      </c>
      <c r="I782" t="str">
        <f>_xlfn.XLOOKUP($A782,Load!$B:$B,Load!J:J,0,)</f>
        <v>Everyday Graphics</v>
      </c>
      <c r="J782" t="str">
        <f>_xlfn.XLOOKUP($A782,Load!$B:$B,Load!K:K,0,)</f>
        <v>Small Pieces (Tiny bite size candies)</v>
      </c>
      <c r="K782" t="str">
        <f>_xlfn.XLOOKUP($A782,Load!$B:$B,Load!L:L,0,)</f>
        <v>Regular/Original Wrapping</v>
      </c>
      <c r="L782" t="str">
        <f>_xlfn.XLOOKUP($A782,Load!$B:$B,Load!M:M,0,)</f>
        <v>Single Brand / Variety Flavors or Form</v>
      </c>
    </row>
    <row r="783" spans="1:12" x14ac:dyDescent="0.25">
      <c r="A783" t="s">
        <v>216</v>
      </c>
      <c r="B783" t="str">
        <f>_xlfn.XLOOKUP($A783,Load!$B:$B,Load!C:C,0,)</f>
        <v>Mike and Ike</v>
      </c>
      <c r="C783" t="str">
        <f>_xlfn.XLOOKUP($A783,Load!$B:$B,Load!D:D,0,)</f>
        <v>Non-Chocolate Candy Only</v>
      </c>
      <c r="D783" t="str">
        <f>_xlfn.XLOOKUP($A783,Load!$B:$B,Load!E:E,0,)</f>
        <v>Sour</v>
      </c>
      <c r="E783" t="str">
        <f>_xlfn.XLOOKUP($A783,Load!$B:$B,Load!F:F,0,)</f>
        <v>Chewy</v>
      </c>
      <c r="F783" t="str">
        <f>_xlfn.XLOOKUP($A783,Load!$B:$B,Load!G:G,0,)</f>
        <v>Small Multipack (Less than 40 ct)</v>
      </c>
      <c r="G783" t="str">
        <f>_xlfn.XLOOKUP($A783,Load!$B:$B,Load!H:H,0,)</f>
        <v>Box (theatre box, gift box, carton)</v>
      </c>
      <c r="H783" t="str">
        <f>_xlfn.XLOOKUP($A783,Load!$B:$B,Load!I:I,0,)</f>
        <v>Seasonal Shapes (like pumpkins, candy corn, ghost, bats, etc.)</v>
      </c>
      <c r="I783" t="str">
        <f>_xlfn.XLOOKUP($A783,Load!$B:$B,Load!J:J,0,)</f>
        <v>Seasonal Graphics (Like Bat, Ghost, Pumpkin, Fall Leaves, Eyeballs, etc.)</v>
      </c>
      <c r="J783" t="str">
        <f>_xlfn.XLOOKUP($A783,Load!$B:$B,Load!K:K,0,)</f>
        <v>Small Pieces (Tiny bite size candies)</v>
      </c>
      <c r="K783" t="str">
        <f>_xlfn.XLOOKUP($A783,Load!$B:$B,Load!L:L,0,)</f>
        <v>Unwrapped</v>
      </c>
      <c r="L783" t="str">
        <f>_xlfn.XLOOKUP($A783,Load!$B:$B,Load!M:M,0,)</f>
        <v>Single Brand / Variety Flavors or Form</v>
      </c>
    </row>
    <row r="784" spans="1:12" x14ac:dyDescent="0.25">
      <c r="A784" t="s">
        <v>144</v>
      </c>
      <c r="B784" t="str">
        <f>_xlfn.XLOOKUP($A784,Load!$B:$B,Load!C:C,0,)</f>
        <v>Hershey's Variety Pack + Haribo</v>
      </c>
      <c r="C784" t="str">
        <f>_xlfn.XLOOKUP($A784,Load!$B:$B,Load!D:D,0,)</f>
        <v>Mix of Chocolate and Non-Chocolate Candy</v>
      </c>
      <c r="D784" t="str">
        <f>_xlfn.XLOOKUP($A784,Load!$B:$B,Load!E:E,0,)</f>
        <v>Variety / Mixed Flavors (Fruity, Sour, Seasonal Flavors)</v>
      </c>
      <c r="E784" t="str">
        <f>_xlfn.XLOOKUP($A784,Load!$B:$B,Load!F:F,0,)</f>
        <v>Mixed / Combo Packs (Gummy, Chewy, Taffy, etc.)</v>
      </c>
      <c r="F784" t="str">
        <f>_xlfn.XLOOKUP($A784,Load!$B:$B,Load!G:G,0,)</f>
        <v>Large Multipack (More than 80 ct)</v>
      </c>
      <c r="G784" t="str">
        <f>_xlfn.XLOOKUP($A784,Load!$B:$B,Load!H:H,0,)</f>
        <v>Stand-Up Bag</v>
      </c>
      <c r="H784" t="str">
        <f>_xlfn.XLOOKUP($A784,Load!$B:$B,Load!I:I,0,)</f>
        <v>Everyday Candy Shapes (like Original, Gummy bear, Fruit, Jewels, etc.)</v>
      </c>
      <c r="I784" t="str">
        <f>_xlfn.XLOOKUP($A784,Load!$B:$B,Load!J:J,0,)</f>
        <v>Seasonal Graphics (Like Bat, Ghost, Pumpkin, Fall Leaves, Eyeballs, etc.)</v>
      </c>
      <c r="J784" t="str">
        <f>_xlfn.XLOOKUP($A784,Load!$B:$B,Load!K:K,0,)</f>
        <v>Fun Size / Treat Size</v>
      </c>
      <c r="K784" t="str">
        <f>_xlfn.XLOOKUP($A784,Load!$B:$B,Load!L:L,0,)</f>
        <v>Regular/Original Wrapping</v>
      </c>
      <c r="L784" t="str">
        <f>_xlfn.XLOOKUP($A784,Load!$B:$B,Load!M:M,0,)</f>
        <v>Multiple Brands / Variety Flavors or Form</v>
      </c>
    </row>
    <row r="785" spans="1:12" x14ac:dyDescent="0.25">
      <c r="B785">
        <f>_xlfn.XLOOKUP($A785,Load!$B:$B,Load!C:C,0,)</f>
        <v>0</v>
      </c>
      <c r="C785">
        <f>_xlfn.XLOOKUP($A785,Load!$B:$B,Load!D:D,0,)</f>
        <v>0</v>
      </c>
      <c r="D785">
        <f>_xlfn.XLOOKUP($A785,Load!$B:$B,Load!E:E,0,)</f>
        <v>0</v>
      </c>
      <c r="E785">
        <f>_xlfn.XLOOKUP($A785,Load!$B:$B,Load!F:F,0,)</f>
        <v>0</v>
      </c>
      <c r="F785">
        <f>_xlfn.XLOOKUP($A785,Load!$B:$B,Load!G:G,0,)</f>
        <v>0</v>
      </c>
      <c r="G785">
        <f>_xlfn.XLOOKUP($A785,Load!$B:$B,Load!H:H,0,)</f>
        <v>0</v>
      </c>
      <c r="H785">
        <f>_xlfn.XLOOKUP($A785,Load!$B:$B,Load!I:I,0,)</f>
        <v>0</v>
      </c>
      <c r="I785">
        <f>_xlfn.XLOOKUP($A785,Load!$B:$B,Load!J:J,0,)</f>
        <v>0</v>
      </c>
      <c r="J785">
        <f>_xlfn.XLOOKUP($A785,Load!$B:$B,Load!K:K,0,)</f>
        <v>0</v>
      </c>
      <c r="K785">
        <f>_xlfn.XLOOKUP($A785,Load!$B:$B,Load!L:L,0,)</f>
        <v>0</v>
      </c>
      <c r="L785">
        <f>_xlfn.XLOOKUP($A785,Load!$B:$B,Load!M:M,0,)</f>
        <v>0</v>
      </c>
    </row>
    <row r="786" spans="1:12" x14ac:dyDescent="0.25">
      <c r="A786" t="s">
        <v>102</v>
      </c>
      <c r="B786" t="str">
        <f>_xlfn.XLOOKUP($A786,Load!$B:$B,Load!C:C,0,)</f>
        <v>Flix</v>
      </c>
      <c r="C786" t="str">
        <f>_xlfn.XLOOKUP($A786,Load!$B:$B,Load!D:D,0,)</f>
        <v>Non-Chocolate Candy Only</v>
      </c>
      <c r="D786" t="str">
        <f>_xlfn.XLOOKUP($A786,Load!$B:$B,Load!E:E,0,)</f>
        <v>Berry Based (Raspberry, Strawberry, Medley, etc.)</v>
      </c>
      <c r="E786" t="str">
        <f>_xlfn.XLOOKUP($A786,Load!$B:$B,Load!F:F,0,)</f>
        <v>Lollipop (regular or lollipop rings)</v>
      </c>
      <c r="F786" t="str">
        <f>_xlfn.XLOOKUP($A786,Load!$B:$B,Load!G:G,0,)</f>
        <v>Small Multipack (Less than 40 ct)</v>
      </c>
      <c r="G786" t="str">
        <f>_xlfn.XLOOKUP($A786,Load!$B:$B,Load!H:H,0,)</f>
        <v>Box (theatre box, gift box, carton)</v>
      </c>
      <c r="H786" t="str">
        <f>_xlfn.XLOOKUP($A786,Load!$B:$B,Load!I:I,0,)</f>
        <v>Seasonal Shapes (like pumpkins, candy corn, ghost, bats, etc.)</v>
      </c>
      <c r="I786" t="str">
        <f>_xlfn.XLOOKUP($A786,Load!$B:$B,Load!J:J,0,)</f>
        <v>Seasonal Graphics (Like Bat, Ghost, Pumpkin, Fall Leaves, Eyeballs, etc.)</v>
      </c>
      <c r="J786" t="str">
        <f>_xlfn.XLOOKUP($A786,Load!$B:$B,Load!K:K,0,)</f>
        <v>Regular Lollipop size (on sticks or rings)</v>
      </c>
      <c r="K786" t="str">
        <f>_xlfn.XLOOKUP($A786,Load!$B:$B,Load!L:L,0,)</f>
        <v>Regular/Original Wrapping</v>
      </c>
      <c r="L786" t="str">
        <f>_xlfn.XLOOKUP($A786,Load!$B:$B,Load!M:M,0,)</f>
        <v>Single Brand / Variety Flavors or Form</v>
      </c>
    </row>
    <row r="787" spans="1:12" x14ac:dyDescent="0.25">
      <c r="A787" t="s">
        <v>293</v>
      </c>
      <c r="B787" t="str">
        <f>_xlfn.XLOOKUP($A787,Load!$B:$B,Load!C:C,0,)</f>
        <v>Tootsie</v>
      </c>
      <c r="C787" t="str">
        <f>_xlfn.XLOOKUP($A787,Load!$B:$B,Load!D:D,0,)</f>
        <v>Mix of Chocolate and Non-Chocolate Candy</v>
      </c>
      <c r="D787" t="str">
        <f>_xlfn.XLOOKUP($A787,Load!$B:$B,Load!E:E,0,)</f>
        <v>Sweet</v>
      </c>
      <c r="E787" t="str">
        <f>_xlfn.XLOOKUP($A787,Load!$B:$B,Load!F:F,0,)</f>
        <v>Lollipop (regular or lollipop rings)</v>
      </c>
      <c r="F787" t="str">
        <f>_xlfn.XLOOKUP($A787,Load!$B:$B,Load!G:G,0,)</f>
        <v>Large Multipack (More than 80 ct)</v>
      </c>
      <c r="G787" t="str">
        <f>_xlfn.XLOOKUP($A787,Load!$B:$B,Load!H:H,0,)</f>
        <v>Laydown Bag</v>
      </c>
      <c r="H787" t="str">
        <f>_xlfn.XLOOKUP($A787,Load!$B:$B,Load!I:I,0,)</f>
        <v>Everyday Candy Shapes (like Original, Gummy bear, Fruit, Jewels, etc.)</v>
      </c>
      <c r="I787" t="str">
        <f>_xlfn.XLOOKUP($A787,Load!$B:$B,Load!J:J,0,)</f>
        <v>Everyday Graphics</v>
      </c>
      <c r="J787" t="str">
        <f>_xlfn.XLOOKUP($A787,Load!$B:$B,Load!K:K,0,)</f>
        <v>Regular Lollipop size (on sticks or rings)</v>
      </c>
      <c r="K787" t="str">
        <f>_xlfn.XLOOKUP($A787,Load!$B:$B,Load!L:L,0,)</f>
        <v>Regular/Original Wrapping</v>
      </c>
      <c r="L787" t="str">
        <f>_xlfn.XLOOKUP($A787,Load!$B:$B,Load!M:M,0,)</f>
        <v>Single Brand / Single Flavor or Form</v>
      </c>
    </row>
    <row r="788" spans="1:12" x14ac:dyDescent="0.25">
      <c r="B788">
        <f>_xlfn.XLOOKUP($A788,Load!$B:$B,Load!C:C,0,)</f>
        <v>0</v>
      </c>
      <c r="C788">
        <f>_xlfn.XLOOKUP($A788,Load!$B:$B,Load!D:D,0,)</f>
        <v>0</v>
      </c>
      <c r="D788">
        <f>_xlfn.XLOOKUP($A788,Load!$B:$B,Load!E:E,0,)</f>
        <v>0</v>
      </c>
      <c r="E788">
        <f>_xlfn.XLOOKUP($A788,Load!$B:$B,Load!F:F,0,)</f>
        <v>0</v>
      </c>
      <c r="F788">
        <f>_xlfn.XLOOKUP($A788,Load!$B:$B,Load!G:G,0,)</f>
        <v>0</v>
      </c>
      <c r="G788">
        <f>_xlfn.XLOOKUP($A788,Load!$B:$B,Load!H:H,0,)</f>
        <v>0</v>
      </c>
      <c r="H788">
        <f>_xlfn.XLOOKUP($A788,Load!$B:$B,Load!I:I,0,)</f>
        <v>0</v>
      </c>
      <c r="I788">
        <f>_xlfn.XLOOKUP($A788,Load!$B:$B,Load!J:J,0,)</f>
        <v>0</v>
      </c>
      <c r="J788">
        <f>_xlfn.XLOOKUP($A788,Load!$B:$B,Load!K:K,0,)</f>
        <v>0</v>
      </c>
      <c r="K788">
        <f>_xlfn.XLOOKUP($A788,Load!$B:$B,Load!L:L,0,)</f>
        <v>0</v>
      </c>
      <c r="L788">
        <f>_xlfn.XLOOKUP($A788,Load!$B:$B,Load!M:M,0,)</f>
        <v>0</v>
      </c>
    </row>
    <row r="789" spans="1:12" x14ac:dyDescent="0.25">
      <c r="B789">
        <f>_xlfn.XLOOKUP($A789,Load!$B:$B,Load!C:C,0,)</f>
        <v>0</v>
      </c>
      <c r="C789">
        <f>_xlfn.XLOOKUP($A789,Load!$B:$B,Load!D:D,0,)</f>
        <v>0</v>
      </c>
      <c r="D789">
        <f>_xlfn.XLOOKUP($A789,Load!$B:$B,Load!E:E,0,)</f>
        <v>0</v>
      </c>
      <c r="E789">
        <f>_xlfn.XLOOKUP($A789,Load!$B:$B,Load!F:F,0,)</f>
        <v>0</v>
      </c>
      <c r="F789">
        <f>_xlfn.XLOOKUP($A789,Load!$B:$B,Load!G:G,0,)</f>
        <v>0</v>
      </c>
      <c r="G789">
        <f>_xlfn.XLOOKUP($A789,Load!$B:$B,Load!H:H,0,)</f>
        <v>0</v>
      </c>
      <c r="H789">
        <f>_xlfn.XLOOKUP($A789,Load!$B:$B,Load!I:I,0,)</f>
        <v>0</v>
      </c>
      <c r="I789">
        <f>_xlfn.XLOOKUP($A789,Load!$B:$B,Load!J:J,0,)</f>
        <v>0</v>
      </c>
      <c r="J789">
        <f>_xlfn.XLOOKUP($A789,Load!$B:$B,Load!K:K,0,)</f>
        <v>0</v>
      </c>
      <c r="K789">
        <f>_xlfn.XLOOKUP($A789,Load!$B:$B,Load!L:L,0,)</f>
        <v>0</v>
      </c>
      <c r="L789">
        <f>_xlfn.XLOOKUP($A789,Load!$B:$B,Load!M:M,0,)</f>
        <v>0</v>
      </c>
    </row>
    <row r="790" spans="1:12" x14ac:dyDescent="0.25">
      <c r="B790">
        <f>_xlfn.XLOOKUP($A790,Load!$B:$B,Load!C:C,0,)</f>
        <v>0</v>
      </c>
      <c r="C790">
        <f>_xlfn.XLOOKUP($A790,Load!$B:$B,Load!D:D,0,)</f>
        <v>0</v>
      </c>
      <c r="D790">
        <f>_xlfn.XLOOKUP($A790,Load!$B:$B,Load!E:E,0,)</f>
        <v>0</v>
      </c>
      <c r="E790">
        <f>_xlfn.XLOOKUP($A790,Load!$B:$B,Load!F:F,0,)</f>
        <v>0</v>
      </c>
      <c r="F790">
        <f>_xlfn.XLOOKUP($A790,Load!$B:$B,Load!G:G,0,)</f>
        <v>0</v>
      </c>
      <c r="G790">
        <f>_xlfn.XLOOKUP($A790,Load!$B:$B,Load!H:H,0,)</f>
        <v>0</v>
      </c>
      <c r="H790">
        <f>_xlfn.XLOOKUP($A790,Load!$B:$B,Load!I:I,0,)</f>
        <v>0</v>
      </c>
      <c r="I790">
        <f>_xlfn.XLOOKUP($A790,Load!$B:$B,Load!J:J,0,)</f>
        <v>0</v>
      </c>
      <c r="J790">
        <f>_xlfn.XLOOKUP($A790,Load!$B:$B,Load!K:K,0,)</f>
        <v>0</v>
      </c>
      <c r="K790">
        <f>_xlfn.XLOOKUP($A790,Load!$B:$B,Load!L:L,0,)</f>
        <v>0</v>
      </c>
      <c r="L790">
        <f>_xlfn.XLOOKUP($A790,Load!$B:$B,Load!M:M,0,)</f>
        <v>0</v>
      </c>
    </row>
    <row r="791" spans="1:12" x14ac:dyDescent="0.25">
      <c r="B791">
        <f>_xlfn.XLOOKUP($A791,Load!$B:$B,Load!C:C,0,)</f>
        <v>0</v>
      </c>
      <c r="C791">
        <f>_xlfn.XLOOKUP($A791,Load!$B:$B,Load!D:D,0,)</f>
        <v>0</v>
      </c>
      <c r="D791">
        <f>_xlfn.XLOOKUP($A791,Load!$B:$B,Load!E:E,0,)</f>
        <v>0</v>
      </c>
      <c r="E791">
        <f>_xlfn.XLOOKUP($A791,Load!$B:$B,Load!F:F,0,)</f>
        <v>0</v>
      </c>
      <c r="F791">
        <f>_xlfn.XLOOKUP($A791,Load!$B:$B,Load!G:G,0,)</f>
        <v>0</v>
      </c>
      <c r="G791">
        <f>_xlfn.XLOOKUP($A791,Load!$B:$B,Load!H:H,0,)</f>
        <v>0</v>
      </c>
      <c r="H791">
        <f>_xlfn.XLOOKUP($A791,Load!$B:$B,Load!I:I,0,)</f>
        <v>0</v>
      </c>
      <c r="I791">
        <f>_xlfn.XLOOKUP($A791,Load!$B:$B,Load!J:J,0,)</f>
        <v>0</v>
      </c>
      <c r="J791">
        <f>_xlfn.XLOOKUP($A791,Load!$B:$B,Load!K:K,0,)</f>
        <v>0</v>
      </c>
      <c r="K791">
        <f>_xlfn.XLOOKUP($A791,Load!$B:$B,Load!L:L,0,)</f>
        <v>0</v>
      </c>
      <c r="L791">
        <f>_xlfn.XLOOKUP($A791,Load!$B:$B,Load!M:M,0,)</f>
        <v>0</v>
      </c>
    </row>
    <row r="792" spans="1:12" x14ac:dyDescent="0.25">
      <c r="A792" t="s">
        <v>462</v>
      </c>
      <c r="B792" t="str">
        <f>_xlfn.XLOOKUP($A792,Load!$B:$B,Load!C:C,0,)</f>
        <v>Trolli</v>
      </c>
      <c r="C792" t="str">
        <f>_xlfn.XLOOKUP($A792,Load!$B:$B,Load!D:D,0,)</f>
        <v>Non-Chocolate Candy Only</v>
      </c>
      <c r="D792" t="str">
        <f>_xlfn.XLOOKUP($A792,Load!$B:$B,Load!E:E,0,)</f>
        <v>Sour</v>
      </c>
      <c r="E792" t="str">
        <f>_xlfn.XLOOKUP($A792,Load!$B:$B,Load!F:F,0,)</f>
        <v>Gummy</v>
      </c>
      <c r="F792" t="str">
        <f>_xlfn.XLOOKUP($A792,Load!$B:$B,Load!G:G,0,)</f>
        <v>Small Multipack (Less than 40 ct)</v>
      </c>
      <c r="G792" t="str">
        <f>_xlfn.XLOOKUP($A792,Load!$B:$B,Load!H:H,0,)</f>
        <v>Laydown Bag</v>
      </c>
      <c r="H792" t="str">
        <f>_xlfn.XLOOKUP($A792,Load!$B:$B,Load!I:I,0,)</f>
        <v>Seasonal Shapes (like pumpkins, candy corn, ghost, bats, etc.)</v>
      </c>
      <c r="I792" t="str">
        <f>_xlfn.XLOOKUP($A792,Load!$B:$B,Load!J:J,0,)</f>
        <v>Seasonal Graphics (Like Bat, Ghost, Pumpkin, Fall Leaves, Eyeballs, etc.)</v>
      </c>
      <c r="J792" t="str">
        <f>_xlfn.XLOOKUP($A792,Load!$B:$B,Load!K:K,0,)</f>
        <v>Fun Size / Treat Size</v>
      </c>
      <c r="K792" t="str">
        <f>_xlfn.XLOOKUP($A792,Load!$B:$B,Load!L:L,0,)</f>
        <v>Regular/Original Wrapping</v>
      </c>
      <c r="L792" t="str">
        <f>_xlfn.XLOOKUP($A792,Load!$B:$B,Load!M:M,0,)</f>
        <v>Single Brand / Variety Flavors or Form</v>
      </c>
    </row>
    <row r="793" spans="1:12" x14ac:dyDescent="0.25">
      <c r="A793" t="s">
        <v>121</v>
      </c>
      <c r="B793" t="str">
        <f>_xlfn.XLOOKUP($A793,Load!$B:$B,Load!C:C,0,)</f>
        <v>HARIBO</v>
      </c>
      <c r="C793" t="str">
        <f>_xlfn.XLOOKUP($A793,Load!$B:$B,Load!D:D,0,)</f>
        <v>Non-Chocolate Candy Only</v>
      </c>
      <c r="D793" t="str">
        <f>_xlfn.XLOOKUP($A793,Load!$B:$B,Load!E:E,0,)</f>
        <v>Variety / Mixed Flavors (Fruity, Sour, Seasonal Flavors)</v>
      </c>
      <c r="E793" t="str">
        <f>_xlfn.XLOOKUP($A793,Load!$B:$B,Load!F:F,0,)</f>
        <v>Gummy</v>
      </c>
      <c r="F793" t="str">
        <f>_xlfn.XLOOKUP($A793,Load!$B:$B,Load!G:G,0,)</f>
        <v>Large Multipack (More than 80 ct)</v>
      </c>
      <c r="G793" t="str">
        <f>_xlfn.XLOOKUP($A793,Load!$B:$B,Load!H:H,0,)</f>
        <v>Stand-Up Bag</v>
      </c>
      <c r="H793" t="str">
        <f>_xlfn.XLOOKUP($A793,Load!$B:$B,Load!I:I,0,)</f>
        <v>Seasonal Shapes (like pumpkins, candy corn, ghost, bats, etc.)</v>
      </c>
      <c r="I793" t="str">
        <f>_xlfn.XLOOKUP($A793,Load!$B:$B,Load!J:J,0,)</f>
        <v>Seasonal Graphics (Like Bat, Ghost, Pumpkin, Fall Leaves, Eyeballs, etc.)</v>
      </c>
      <c r="J793" t="str">
        <f>_xlfn.XLOOKUP($A793,Load!$B:$B,Load!K:K,0,)</f>
        <v>Fun Size / Treat Size</v>
      </c>
      <c r="K793" t="str">
        <f>_xlfn.XLOOKUP($A793,Load!$B:$B,Load!L:L,0,)</f>
        <v>Regular/Original Wrapping</v>
      </c>
      <c r="L793" t="str">
        <f>_xlfn.XLOOKUP($A793,Load!$B:$B,Load!M:M,0,)</f>
        <v>Multiple Brands / Variety Flavors or Form</v>
      </c>
    </row>
    <row r="794" spans="1:12" x14ac:dyDescent="0.25">
      <c r="A794" t="s">
        <v>326</v>
      </c>
      <c r="B794" t="str">
        <f>_xlfn.XLOOKUP($A794,Load!$B:$B,Load!C:C,0,)</f>
        <v>Mondelez Variety Pack</v>
      </c>
      <c r="C794" t="str">
        <f>_xlfn.XLOOKUP($A794,Load!$B:$B,Load!D:D,0,)</f>
        <v>Mix of Chocolate and Non-Chocolate Candy</v>
      </c>
      <c r="D794" t="str">
        <f>_xlfn.XLOOKUP($A794,Load!$B:$B,Load!E:E,0,)</f>
        <v>Variety / Mixed Flavors (Fruity, Sour, Seasonal Flavors)</v>
      </c>
      <c r="E794" t="str">
        <f>_xlfn.XLOOKUP($A794,Load!$B:$B,Load!F:F,0,)</f>
        <v>Mixed / Combo Packs (Gummy, Chewy, Taffy, etc.)</v>
      </c>
      <c r="F794" t="str">
        <f>_xlfn.XLOOKUP($A794,Load!$B:$B,Load!G:G,0,)</f>
        <v>Medium Multipack (40–80 ct)</v>
      </c>
      <c r="G794" t="str">
        <f>_xlfn.XLOOKUP($A794,Load!$B:$B,Load!H:H,0,)</f>
        <v>Stand-Up Bag</v>
      </c>
      <c r="H794" t="str">
        <f>_xlfn.XLOOKUP($A794,Load!$B:$B,Load!I:I,0,)</f>
        <v>Everyday Candy Shapes (like Original, Gummy bear, Fruit, Jewels, etc.)</v>
      </c>
      <c r="I794" t="str">
        <f>_xlfn.XLOOKUP($A794,Load!$B:$B,Load!J:J,0,)</f>
        <v>Seasonal Graphics (Like Bat, Ghost, Pumpkin, Fall Leaves, Eyeballs, etc.)</v>
      </c>
      <c r="J794" t="str">
        <f>_xlfn.XLOOKUP($A794,Load!$B:$B,Load!K:K,0,)</f>
        <v xml:space="preserve">Variety Candy Sizes </v>
      </c>
      <c r="K794" t="str">
        <f>_xlfn.XLOOKUP($A794,Load!$B:$B,Load!L:L,0,)</f>
        <v>Regular/Original Wrapping</v>
      </c>
      <c r="L794" t="str">
        <f>_xlfn.XLOOKUP($A794,Load!$B:$B,Load!M:M,0,)</f>
        <v>Multiple Brands / Variety Flavors or Form</v>
      </c>
    </row>
    <row r="795" spans="1:12" x14ac:dyDescent="0.25">
      <c r="A795" t="s">
        <v>2</v>
      </c>
      <c r="B795" t="str">
        <f>_xlfn.XLOOKUP($A795,Load!$B:$B,Load!C:C,0,)</f>
        <v>Airheads</v>
      </c>
      <c r="C795" t="str">
        <f>_xlfn.XLOOKUP($A795,Load!$B:$B,Load!D:D,0,)</f>
        <v>Non-Chocolate Candy Only</v>
      </c>
      <c r="D795" t="str">
        <f>_xlfn.XLOOKUP($A795,Load!$B:$B,Load!E:E,0,)</f>
        <v>Variety / Mixed Flavors (Fruity, Sour, Seasonal Flavors)</v>
      </c>
      <c r="E795" t="str">
        <f>_xlfn.XLOOKUP($A795,Load!$B:$B,Load!F:F,0,)</f>
        <v>Chewy</v>
      </c>
      <c r="F795" t="str">
        <f>_xlfn.XLOOKUP($A795,Load!$B:$B,Load!G:G,0,)</f>
        <v>Medium Multipack (40–80 ct)</v>
      </c>
      <c r="G795" t="str">
        <f>_xlfn.XLOOKUP($A795,Load!$B:$B,Load!H:H,0,)</f>
        <v>Box (theatre box, gift box, carton)</v>
      </c>
      <c r="H795" t="str">
        <f>_xlfn.XLOOKUP($A795,Load!$B:$B,Load!I:I,0,)</f>
        <v>Everyday Candy Shapes (like Original, Gummy bear, Fruit, Jewels, etc.)</v>
      </c>
      <c r="I795" t="str">
        <f>_xlfn.XLOOKUP($A795,Load!$B:$B,Load!J:J,0,)</f>
        <v>Seasonal Graphics (Like Bat, Ghost, Pumpkin, Fall Leaves, Eyeballs, etc.)</v>
      </c>
      <c r="J795" t="str">
        <f>_xlfn.XLOOKUP($A795,Load!$B:$B,Load!K:K,0,)</f>
        <v>Fun Size / Treat Size</v>
      </c>
      <c r="K795" t="str">
        <f>_xlfn.XLOOKUP($A795,Load!$B:$B,Load!L:L,0,)</f>
        <v>Regular/Original Wrapping</v>
      </c>
      <c r="L795" t="str">
        <f>_xlfn.XLOOKUP($A795,Load!$B:$B,Load!M:M,0,)</f>
        <v>Single Brand / Variety Flavors or Form</v>
      </c>
    </row>
    <row r="796" spans="1:12" x14ac:dyDescent="0.25">
      <c r="B796">
        <f>_xlfn.XLOOKUP($A796,Load!$B:$B,Load!C:C,0,)</f>
        <v>0</v>
      </c>
      <c r="C796">
        <f>_xlfn.XLOOKUP($A796,Load!$B:$B,Load!D:D,0,)</f>
        <v>0</v>
      </c>
      <c r="D796">
        <f>_xlfn.XLOOKUP($A796,Load!$B:$B,Load!E:E,0,)</f>
        <v>0</v>
      </c>
      <c r="E796">
        <f>_xlfn.XLOOKUP($A796,Load!$B:$B,Load!F:F,0,)</f>
        <v>0</v>
      </c>
      <c r="F796">
        <f>_xlfn.XLOOKUP($A796,Load!$B:$B,Load!G:G,0,)</f>
        <v>0</v>
      </c>
      <c r="G796">
        <f>_xlfn.XLOOKUP($A796,Load!$B:$B,Load!H:H,0,)</f>
        <v>0</v>
      </c>
      <c r="H796">
        <f>_xlfn.XLOOKUP($A796,Load!$B:$B,Load!I:I,0,)</f>
        <v>0</v>
      </c>
      <c r="I796">
        <f>_xlfn.XLOOKUP($A796,Load!$B:$B,Load!J:J,0,)</f>
        <v>0</v>
      </c>
      <c r="J796">
        <f>_xlfn.XLOOKUP($A796,Load!$B:$B,Load!K:K,0,)</f>
        <v>0</v>
      </c>
      <c r="K796">
        <f>_xlfn.XLOOKUP($A796,Load!$B:$B,Load!L:L,0,)</f>
        <v>0</v>
      </c>
      <c r="L796">
        <f>_xlfn.XLOOKUP($A796,Load!$B:$B,Load!M:M,0,)</f>
        <v>0</v>
      </c>
    </row>
    <row r="797" spans="1:12" x14ac:dyDescent="0.25">
      <c r="B797">
        <f>_xlfn.XLOOKUP($A797,Load!$B:$B,Load!C:C,0,)</f>
        <v>0</v>
      </c>
      <c r="C797">
        <f>_xlfn.XLOOKUP($A797,Load!$B:$B,Load!D:D,0,)</f>
        <v>0</v>
      </c>
      <c r="D797">
        <f>_xlfn.XLOOKUP($A797,Load!$B:$B,Load!E:E,0,)</f>
        <v>0</v>
      </c>
      <c r="E797">
        <f>_xlfn.XLOOKUP($A797,Load!$B:$B,Load!F:F,0,)</f>
        <v>0</v>
      </c>
      <c r="F797">
        <f>_xlfn.XLOOKUP($A797,Load!$B:$B,Load!G:G,0,)</f>
        <v>0</v>
      </c>
      <c r="G797">
        <f>_xlfn.XLOOKUP($A797,Load!$B:$B,Load!H:H,0,)</f>
        <v>0</v>
      </c>
      <c r="H797">
        <f>_xlfn.XLOOKUP($A797,Load!$B:$B,Load!I:I,0,)</f>
        <v>0</v>
      </c>
      <c r="I797">
        <f>_xlfn.XLOOKUP($A797,Load!$B:$B,Load!J:J,0,)</f>
        <v>0</v>
      </c>
      <c r="J797">
        <f>_xlfn.XLOOKUP($A797,Load!$B:$B,Load!K:K,0,)</f>
        <v>0</v>
      </c>
      <c r="K797">
        <f>_xlfn.XLOOKUP($A797,Load!$B:$B,Load!L:L,0,)</f>
        <v>0</v>
      </c>
      <c r="L797">
        <f>_xlfn.XLOOKUP($A797,Load!$B:$B,Load!M:M,0,)</f>
        <v>0</v>
      </c>
    </row>
    <row r="798" spans="1:12" x14ac:dyDescent="0.25">
      <c r="A798" t="s">
        <v>146</v>
      </c>
      <c r="B798" t="str">
        <f>_xlfn.XLOOKUP($A798,Load!$B:$B,Load!C:C,0,)</f>
        <v>Hi Chew</v>
      </c>
      <c r="C798" t="str">
        <f>_xlfn.XLOOKUP($A798,Load!$B:$B,Load!D:D,0,)</f>
        <v>Non-Chocolate Candy Only</v>
      </c>
      <c r="D798" t="str">
        <f>_xlfn.XLOOKUP($A798,Load!$B:$B,Load!E:E,0,)</f>
        <v>Fruit Flavor (Cherry, Grape, Apple, Citrus, Tropical Fruit)</v>
      </c>
      <c r="E798" t="str">
        <f>_xlfn.XLOOKUP($A798,Load!$B:$B,Load!F:F,0,)</f>
        <v>Gummy</v>
      </c>
      <c r="F798" t="str">
        <f>_xlfn.XLOOKUP($A798,Load!$B:$B,Load!G:G,0,)</f>
        <v>Medium Multipack (40–80 ct)</v>
      </c>
      <c r="G798" t="str">
        <f>_xlfn.XLOOKUP($A798,Load!$B:$B,Load!H:H,0,)</f>
        <v>Stand-Up Bag</v>
      </c>
      <c r="H798" t="str">
        <f>_xlfn.XLOOKUP($A798,Load!$B:$B,Load!I:I,0,)</f>
        <v>Everyday Candy Shapes (like Original, Gummy bear, Fruit, Jewels, etc.)</v>
      </c>
      <c r="I798" t="str">
        <f>_xlfn.XLOOKUP($A798,Load!$B:$B,Load!J:J,0,)</f>
        <v>Seasonal Graphics (Like Bat, Ghost, Pumpkin, Fall Leaves, Eyeballs, etc.)</v>
      </c>
      <c r="J798" t="str">
        <f>_xlfn.XLOOKUP($A798,Load!$B:$B,Load!K:K,0,)</f>
        <v>Fun Size / Treat Size</v>
      </c>
      <c r="K798" t="str">
        <f>_xlfn.XLOOKUP($A798,Load!$B:$B,Load!L:L,0,)</f>
        <v>Regular/Original Wrapping</v>
      </c>
      <c r="L798" t="str">
        <f>_xlfn.XLOOKUP($A798,Load!$B:$B,Load!M:M,0,)</f>
        <v>Multiple Brands / Variety Flavors or Form</v>
      </c>
    </row>
    <row r="799" spans="1:12" x14ac:dyDescent="0.25">
      <c r="A799" t="s">
        <v>65</v>
      </c>
      <c r="B799" t="str">
        <f>_xlfn.XLOOKUP($A799,Load!$B:$B,Load!C:C,0,)</f>
        <v>Dots</v>
      </c>
      <c r="C799" t="str">
        <f>_xlfn.XLOOKUP($A799,Load!$B:$B,Load!D:D,0,)</f>
        <v>Non-Chocolate Candy Only</v>
      </c>
      <c r="D799" t="str">
        <f>_xlfn.XLOOKUP($A799,Load!$B:$B,Load!E:E,0,)</f>
        <v>Variety / Mixed Flavors (Fruity, Sour, Seasonal Flavors)</v>
      </c>
      <c r="E799" t="str">
        <f>_xlfn.XLOOKUP($A799,Load!$B:$B,Load!F:F,0,)</f>
        <v>Candy Pieces / Bites</v>
      </c>
      <c r="F799" t="str">
        <f>_xlfn.XLOOKUP($A799,Load!$B:$B,Load!G:G,0,)</f>
        <v>Medium Multipack (40–80 ct)</v>
      </c>
      <c r="G799" t="str">
        <f>_xlfn.XLOOKUP($A799,Load!$B:$B,Load!H:H,0,)</f>
        <v>Box (theatre box, gift box, carton)</v>
      </c>
      <c r="H799" t="str">
        <f>_xlfn.XLOOKUP($A799,Load!$B:$B,Load!I:I,0,)</f>
        <v>Seasonal Shapes (like pumpkins, candy corn, ghost, bats, etc.)</v>
      </c>
      <c r="I799" t="str">
        <f>_xlfn.XLOOKUP($A799,Load!$B:$B,Load!J:J,0,)</f>
        <v>Seasonal Graphics (Like Bat, Ghost, Pumpkin, Fall Leaves, Eyeballs, etc.)</v>
      </c>
      <c r="J799" t="str">
        <f>_xlfn.XLOOKUP($A799,Load!$B:$B,Load!K:K,0,)</f>
        <v>Fun Size / Treat Size</v>
      </c>
      <c r="K799" t="str">
        <f>_xlfn.XLOOKUP($A799,Load!$B:$B,Load!L:L,0,)</f>
        <v>Regular/Original Wrapping</v>
      </c>
      <c r="L799" t="str">
        <f>_xlfn.XLOOKUP($A799,Load!$B:$B,Load!M:M,0,)</f>
        <v>Single Brand / Variety Flavors or Form</v>
      </c>
    </row>
    <row r="800" spans="1:12" x14ac:dyDescent="0.25">
      <c r="B800">
        <f>_xlfn.XLOOKUP($A800,Load!$B:$B,Load!C:C,0,)</f>
        <v>0</v>
      </c>
      <c r="C800">
        <f>_xlfn.XLOOKUP($A800,Load!$B:$B,Load!D:D,0,)</f>
        <v>0</v>
      </c>
      <c r="D800">
        <f>_xlfn.XLOOKUP($A800,Load!$B:$B,Load!E:E,0,)</f>
        <v>0</v>
      </c>
      <c r="E800">
        <f>_xlfn.XLOOKUP($A800,Load!$B:$B,Load!F:F,0,)</f>
        <v>0</v>
      </c>
      <c r="F800">
        <f>_xlfn.XLOOKUP($A800,Load!$B:$B,Load!G:G,0,)</f>
        <v>0</v>
      </c>
      <c r="G800">
        <f>_xlfn.XLOOKUP($A800,Load!$B:$B,Load!H:H,0,)</f>
        <v>0</v>
      </c>
      <c r="H800">
        <f>_xlfn.XLOOKUP($A800,Load!$B:$B,Load!I:I,0,)</f>
        <v>0</v>
      </c>
      <c r="I800">
        <f>_xlfn.XLOOKUP($A800,Load!$B:$B,Load!J:J,0,)</f>
        <v>0</v>
      </c>
      <c r="J800">
        <f>_xlfn.XLOOKUP($A800,Load!$B:$B,Load!K:K,0,)</f>
        <v>0</v>
      </c>
      <c r="K800">
        <f>_xlfn.XLOOKUP($A800,Load!$B:$B,Load!L:L,0,)</f>
        <v>0</v>
      </c>
      <c r="L800">
        <f>_xlfn.XLOOKUP($A800,Load!$B:$B,Load!M:M,0,)</f>
        <v>0</v>
      </c>
    </row>
    <row r="801" spans="1:12" x14ac:dyDescent="0.25">
      <c r="B801">
        <f>_xlfn.XLOOKUP($A801,Load!$B:$B,Load!C:C,0,)</f>
        <v>0</v>
      </c>
      <c r="C801">
        <f>_xlfn.XLOOKUP($A801,Load!$B:$B,Load!D:D,0,)</f>
        <v>0</v>
      </c>
      <c r="D801">
        <f>_xlfn.XLOOKUP($A801,Load!$B:$B,Load!E:E,0,)</f>
        <v>0</v>
      </c>
      <c r="E801">
        <f>_xlfn.XLOOKUP($A801,Load!$B:$B,Load!F:F,0,)</f>
        <v>0</v>
      </c>
      <c r="F801">
        <f>_xlfn.XLOOKUP($A801,Load!$B:$B,Load!G:G,0,)</f>
        <v>0</v>
      </c>
      <c r="G801">
        <f>_xlfn.XLOOKUP($A801,Load!$B:$B,Load!H:H,0,)</f>
        <v>0</v>
      </c>
      <c r="H801">
        <f>_xlfn.XLOOKUP($A801,Load!$B:$B,Load!I:I,0,)</f>
        <v>0</v>
      </c>
      <c r="I801">
        <f>_xlfn.XLOOKUP($A801,Load!$B:$B,Load!J:J,0,)</f>
        <v>0</v>
      </c>
      <c r="J801">
        <f>_xlfn.XLOOKUP($A801,Load!$B:$B,Load!K:K,0,)</f>
        <v>0</v>
      </c>
      <c r="K801">
        <f>_xlfn.XLOOKUP($A801,Load!$B:$B,Load!L:L,0,)</f>
        <v>0</v>
      </c>
      <c r="L801">
        <f>_xlfn.XLOOKUP($A801,Load!$B:$B,Load!M:M,0,)</f>
        <v>0</v>
      </c>
    </row>
    <row r="802" spans="1:12" x14ac:dyDescent="0.25">
      <c r="B802">
        <f>_xlfn.XLOOKUP($A802,Load!$B:$B,Load!C:C,0,)</f>
        <v>0</v>
      </c>
      <c r="C802">
        <f>_xlfn.XLOOKUP($A802,Load!$B:$B,Load!D:D,0,)</f>
        <v>0</v>
      </c>
      <c r="D802">
        <f>_xlfn.XLOOKUP($A802,Load!$B:$B,Load!E:E,0,)</f>
        <v>0</v>
      </c>
      <c r="E802">
        <f>_xlfn.XLOOKUP($A802,Load!$B:$B,Load!F:F,0,)</f>
        <v>0</v>
      </c>
      <c r="F802">
        <f>_xlfn.XLOOKUP($A802,Load!$B:$B,Load!G:G,0,)</f>
        <v>0</v>
      </c>
      <c r="G802">
        <f>_xlfn.XLOOKUP($A802,Load!$B:$B,Load!H:H,0,)</f>
        <v>0</v>
      </c>
      <c r="H802">
        <f>_xlfn.XLOOKUP($A802,Load!$B:$B,Load!I:I,0,)</f>
        <v>0</v>
      </c>
      <c r="I802">
        <f>_xlfn.XLOOKUP($A802,Load!$B:$B,Load!J:J,0,)</f>
        <v>0</v>
      </c>
      <c r="J802">
        <f>_xlfn.XLOOKUP($A802,Load!$B:$B,Load!K:K,0,)</f>
        <v>0</v>
      </c>
      <c r="K802">
        <f>_xlfn.XLOOKUP($A802,Load!$B:$B,Load!L:L,0,)</f>
        <v>0</v>
      </c>
      <c r="L802">
        <f>_xlfn.XLOOKUP($A802,Load!$B:$B,Load!M:M,0,)</f>
        <v>0</v>
      </c>
    </row>
    <row r="803" spans="1:12" x14ac:dyDescent="0.25">
      <c r="B803">
        <f>_xlfn.XLOOKUP($A803,Load!$B:$B,Load!C:C,0,)</f>
        <v>0</v>
      </c>
      <c r="C803">
        <f>_xlfn.XLOOKUP($A803,Load!$B:$B,Load!D:D,0,)</f>
        <v>0</v>
      </c>
      <c r="D803">
        <f>_xlfn.XLOOKUP($A803,Load!$B:$B,Load!E:E,0,)</f>
        <v>0</v>
      </c>
      <c r="E803">
        <f>_xlfn.XLOOKUP($A803,Load!$B:$B,Load!F:F,0,)</f>
        <v>0</v>
      </c>
      <c r="F803">
        <f>_xlfn.XLOOKUP($A803,Load!$B:$B,Load!G:G,0,)</f>
        <v>0</v>
      </c>
      <c r="G803">
        <f>_xlfn.XLOOKUP($A803,Load!$B:$B,Load!H:H,0,)</f>
        <v>0</v>
      </c>
      <c r="H803">
        <f>_xlfn.XLOOKUP($A803,Load!$B:$B,Load!I:I,0,)</f>
        <v>0</v>
      </c>
      <c r="I803">
        <f>_xlfn.XLOOKUP($A803,Load!$B:$B,Load!J:J,0,)</f>
        <v>0</v>
      </c>
      <c r="J803">
        <f>_xlfn.XLOOKUP($A803,Load!$B:$B,Load!K:K,0,)</f>
        <v>0</v>
      </c>
      <c r="K803">
        <f>_xlfn.XLOOKUP($A803,Load!$B:$B,Load!L:L,0,)</f>
        <v>0</v>
      </c>
      <c r="L803">
        <f>_xlfn.XLOOKUP($A803,Load!$B:$B,Load!M:M,0,)</f>
        <v>0</v>
      </c>
    </row>
    <row r="804" spans="1:12" x14ac:dyDescent="0.25">
      <c r="B804">
        <f>_xlfn.XLOOKUP($A804,Load!$B:$B,Load!C:C,0,)</f>
        <v>0</v>
      </c>
      <c r="C804">
        <f>_xlfn.XLOOKUP($A804,Load!$B:$B,Load!D:D,0,)</f>
        <v>0</v>
      </c>
      <c r="D804">
        <f>_xlfn.XLOOKUP($A804,Load!$B:$B,Load!E:E,0,)</f>
        <v>0</v>
      </c>
      <c r="E804">
        <f>_xlfn.XLOOKUP($A804,Load!$B:$B,Load!F:F,0,)</f>
        <v>0</v>
      </c>
      <c r="F804">
        <f>_xlfn.XLOOKUP($A804,Load!$B:$B,Load!G:G,0,)</f>
        <v>0</v>
      </c>
      <c r="G804">
        <f>_xlfn.XLOOKUP($A804,Load!$B:$B,Load!H:H,0,)</f>
        <v>0</v>
      </c>
      <c r="H804">
        <f>_xlfn.XLOOKUP($A804,Load!$B:$B,Load!I:I,0,)</f>
        <v>0</v>
      </c>
      <c r="I804">
        <f>_xlfn.XLOOKUP($A804,Load!$B:$B,Load!J:J,0,)</f>
        <v>0</v>
      </c>
      <c r="J804">
        <f>_xlfn.XLOOKUP($A804,Load!$B:$B,Load!K:K,0,)</f>
        <v>0</v>
      </c>
      <c r="K804">
        <f>_xlfn.XLOOKUP($A804,Load!$B:$B,Load!L:L,0,)</f>
        <v>0</v>
      </c>
      <c r="L804">
        <f>_xlfn.XLOOKUP($A804,Load!$B:$B,Load!M:M,0,)</f>
        <v>0</v>
      </c>
    </row>
    <row r="805" spans="1:12" x14ac:dyDescent="0.25">
      <c r="B805">
        <f>_xlfn.XLOOKUP($A805,Load!$B:$B,Load!C:C,0,)</f>
        <v>0</v>
      </c>
      <c r="C805">
        <f>_xlfn.XLOOKUP($A805,Load!$B:$B,Load!D:D,0,)</f>
        <v>0</v>
      </c>
      <c r="D805">
        <f>_xlfn.XLOOKUP($A805,Load!$B:$B,Load!E:E,0,)</f>
        <v>0</v>
      </c>
      <c r="E805">
        <f>_xlfn.XLOOKUP($A805,Load!$B:$B,Load!F:F,0,)</f>
        <v>0</v>
      </c>
      <c r="F805">
        <f>_xlfn.XLOOKUP($A805,Load!$B:$B,Load!G:G,0,)</f>
        <v>0</v>
      </c>
      <c r="G805">
        <f>_xlfn.XLOOKUP($A805,Load!$B:$B,Load!H:H,0,)</f>
        <v>0</v>
      </c>
      <c r="H805">
        <f>_xlfn.XLOOKUP($A805,Load!$B:$B,Load!I:I,0,)</f>
        <v>0</v>
      </c>
      <c r="I805">
        <f>_xlfn.XLOOKUP($A805,Load!$B:$B,Load!J:J,0,)</f>
        <v>0</v>
      </c>
      <c r="J805">
        <f>_xlfn.XLOOKUP($A805,Load!$B:$B,Load!K:K,0,)</f>
        <v>0</v>
      </c>
      <c r="K805">
        <f>_xlfn.XLOOKUP($A805,Load!$B:$B,Load!L:L,0,)</f>
        <v>0</v>
      </c>
      <c r="L805">
        <f>_xlfn.XLOOKUP($A805,Load!$B:$B,Load!M:M,0,)</f>
        <v>0</v>
      </c>
    </row>
    <row r="806" spans="1:12" x14ac:dyDescent="0.25">
      <c r="A806" t="s">
        <v>244</v>
      </c>
      <c r="B806" t="str">
        <f>_xlfn.XLOOKUP($A806,Load!$B:$B,Load!C:C,0,)</f>
        <v>Pez</v>
      </c>
      <c r="C806" t="str">
        <f>_xlfn.XLOOKUP($A806,Load!$B:$B,Load!D:D,0,)</f>
        <v>Non-Chocolate Candy Only</v>
      </c>
      <c r="D806" t="str">
        <f>_xlfn.XLOOKUP($A806,Load!$B:$B,Load!E:E,0,)</f>
        <v>Fruit Flavor (Cherry, Grape, Apple, Citrus, Tropical Fruit)</v>
      </c>
      <c r="E806" t="str">
        <f>_xlfn.XLOOKUP($A806,Load!$B:$B,Load!F:F,0,)</f>
        <v>Hard Candy</v>
      </c>
      <c r="F806" t="str">
        <f>_xlfn.XLOOKUP($A806,Load!$B:$B,Load!G:G,0,)</f>
        <v>Single Pack</v>
      </c>
      <c r="G806" t="str">
        <f>_xlfn.XLOOKUP($A806,Load!$B:$B,Load!H:H,0,)</f>
        <v>Peg Bag</v>
      </c>
      <c r="H806" t="str">
        <f>_xlfn.XLOOKUP($A806,Load!$B:$B,Load!I:I,0,)</f>
        <v>Everyday Candy Shapes (like Original, Gummy bear, Fruit, Jewels, etc.)</v>
      </c>
      <c r="I806" t="str">
        <f>_xlfn.XLOOKUP($A806,Load!$B:$B,Load!J:J,0,)</f>
        <v>Seasonal Graphics (Like Bat, Ghost, Pumpkin, Fall Leaves, Eyeballs, etc.)</v>
      </c>
      <c r="J806" t="str">
        <f>_xlfn.XLOOKUP($A806,Load!$B:$B,Load!K:K,0,)</f>
        <v>Small Pieces (Tiny bite size candies)</v>
      </c>
      <c r="K806" t="str">
        <f>_xlfn.XLOOKUP($A806,Load!$B:$B,Load!L:L,0,)</f>
        <v>Regular/Original Wrapping</v>
      </c>
      <c r="L806" t="str">
        <f>_xlfn.XLOOKUP($A806,Load!$B:$B,Load!M:M,0,)</f>
        <v>Single Brand / Variety Flavors or Form</v>
      </c>
    </row>
    <row r="807" spans="1:12" x14ac:dyDescent="0.25">
      <c r="A807" t="s">
        <v>466</v>
      </c>
      <c r="B807" t="str">
        <f>_xlfn.XLOOKUP($A807,Load!$B:$B,Load!C:C,0,)</f>
        <v>Pez</v>
      </c>
      <c r="C807" t="str">
        <f>_xlfn.XLOOKUP($A807,Load!$B:$B,Load!D:D,0,)</f>
        <v>Non-Chocolate Candy Only</v>
      </c>
      <c r="D807" t="str">
        <f>_xlfn.XLOOKUP($A807,Load!$B:$B,Load!E:E,0,)</f>
        <v>Fruit Flavor (Cherry, Grape, Apple, Citrus, Tropical Fruit)</v>
      </c>
      <c r="E807" t="str">
        <f>_xlfn.XLOOKUP($A807,Load!$B:$B,Load!F:F,0,)</f>
        <v>Hard Candy</v>
      </c>
      <c r="F807" t="str">
        <f>_xlfn.XLOOKUP($A807,Load!$B:$B,Load!G:G,0,)</f>
        <v>Single Pack</v>
      </c>
      <c r="G807" t="str">
        <f>_xlfn.XLOOKUP($A807,Load!$B:$B,Load!H:H,0,)</f>
        <v>Peg Bag</v>
      </c>
      <c r="H807" t="str">
        <f>_xlfn.XLOOKUP($A807,Load!$B:$B,Load!I:I,0,)</f>
        <v>Everyday Candy Shapes (like Original, Gummy bear, Fruit, Jewels, etc.)</v>
      </c>
      <c r="I807" t="str">
        <f>_xlfn.XLOOKUP($A807,Load!$B:$B,Load!J:J,0,)</f>
        <v>Seasonal Graphics (Like Bat, Ghost, Pumpkin, Fall Leaves, Eyeballs, etc.)</v>
      </c>
      <c r="J807" t="str">
        <f>_xlfn.XLOOKUP($A807,Load!$B:$B,Load!K:K,0,)</f>
        <v>Small Pieces (Tiny bite size candies)</v>
      </c>
      <c r="K807" t="str">
        <f>_xlfn.XLOOKUP($A807,Load!$B:$B,Load!L:L,0,)</f>
        <v>Regular/Original Wrapping</v>
      </c>
      <c r="L807" t="str">
        <f>_xlfn.XLOOKUP($A807,Load!$B:$B,Load!M:M,0,)</f>
        <v>Single Brand / Variety Flavors or Form</v>
      </c>
    </row>
    <row r="808" spans="1:12" x14ac:dyDescent="0.25">
      <c r="A808" t="s">
        <v>175</v>
      </c>
      <c r="B808" t="str">
        <f>_xlfn.XLOOKUP($A808,Load!$B:$B,Load!C:C,0,)</f>
        <v>Mars Variety Pack</v>
      </c>
      <c r="C808" t="str">
        <f>_xlfn.XLOOKUP($A808,Load!$B:$B,Load!D:D,0,)</f>
        <v>Mix of Chocolate and Non-Chocolate Candy</v>
      </c>
      <c r="D808" t="str">
        <f>_xlfn.XLOOKUP($A808,Load!$B:$B,Load!E:E,0,)</f>
        <v>Variety / Mixed Flavors (Fruity, Sour, Seasonal Flavors)</v>
      </c>
      <c r="E808" t="str">
        <f>_xlfn.XLOOKUP($A808,Load!$B:$B,Load!F:F,0,)</f>
        <v>Mixed / Combo Packs (Gummy, Chewy, Taffy, etc.)</v>
      </c>
      <c r="F808" t="str">
        <f>_xlfn.XLOOKUP($A808,Load!$B:$B,Load!G:G,0,)</f>
        <v>Large Multipack (More than 80 ct)</v>
      </c>
      <c r="G808" t="str">
        <f>_xlfn.XLOOKUP($A808,Load!$B:$B,Load!H:H,0,)</f>
        <v>Stand-Up Bag</v>
      </c>
      <c r="H808" t="str">
        <f>_xlfn.XLOOKUP($A808,Load!$B:$B,Load!I:I,0,)</f>
        <v>Everyday Candy Shapes (like Original, Gummy bear, Fruit, Jewels, etc.)</v>
      </c>
      <c r="I808" t="str">
        <f>_xlfn.XLOOKUP($A808,Load!$B:$B,Load!J:J,0,)</f>
        <v>Seasonal Graphics (Like Bat, Ghost, Pumpkin, Fall Leaves, Eyeballs, etc.)</v>
      </c>
      <c r="J808" t="str">
        <f>_xlfn.XLOOKUP($A808,Load!$B:$B,Load!K:K,0,)</f>
        <v xml:space="preserve">Variety Candy Sizes </v>
      </c>
      <c r="K808" t="str">
        <f>_xlfn.XLOOKUP($A808,Load!$B:$B,Load!L:L,0,)</f>
        <v>Regular/Original Wrapping</v>
      </c>
      <c r="L808" t="str">
        <f>_xlfn.XLOOKUP($A808,Load!$B:$B,Load!M:M,0,)</f>
        <v>Multiple Brands / Variety Flavors or Form</v>
      </c>
    </row>
    <row r="809" spans="1:12" x14ac:dyDescent="0.25">
      <c r="A809" t="s">
        <v>202</v>
      </c>
      <c r="B809" t="str">
        <f>_xlfn.XLOOKUP($A809,Load!$B:$B,Load!C:C,0,)</f>
        <v>Mars Variety Pack</v>
      </c>
      <c r="C809" t="str">
        <f>_xlfn.XLOOKUP($A809,Load!$B:$B,Load!D:D,0,)</f>
        <v>Mix of Chocolate and Non-Chocolate Candy</v>
      </c>
      <c r="D809" t="str">
        <f>_xlfn.XLOOKUP($A809,Load!$B:$B,Load!E:E,0,)</f>
        <v>Variety / Mixed Flavors (Fruity, Sour, Seasonal Flavors)</v>
      </c>
      <c r="E809" t="str">
        <f>_xlfn.XLOOKUP($A809,Load!$B:$B,Load!F:F,0,)</f>
        <v>Mixed / Combo Packs (Gummy, Chewy, Taffy, etc.)</v>
      </c>
      <c r="F809" t="str">
        <f>_xlfn.XLOOKUP($A809,Load!$B:$B,Load!G:G,0,)</f>
        <v>Large Multipack (More than 80 ct)</v>
      </c>
      <c r="G809" t="str">
        <f>_xlfn.XLOOKUP($A809,Load!$B:$B,Load!H:H,0,)</f>
        <v>Stand-Up Bag</v>
      </c>
      <c r="H809" t="str">
        <f>_xlfn.XLOOKUP($A809,Load!$B:$B,Load!I:I,0,)</f>
        <v>Everyday Candy Shapes (like Original, Gummy bear, Fruit, Jewels, etc.)</v>
      </c>
      <c r="I809" t="str">
        <f>_xlfn.XLOOKUP($A809,Load!$B:$B,Load!J:J,0,)</f>
        <v>Everyday Graphics</v>
      </c>
      <c r="J809" t="str">
        <f>_xlfn.XLOOKUP($A809,Load!$B:$B,Load!K:K,0,)</f>
        <v>Fun Size / Treat Size</v>
      </c>
      <c r="K809" t="str">
        <f>_xlfn.XLOOKUP($A809,Load!$B:$B,Load!L:L,0,)</f>
        <v>Regular/Original Wrapping</v>
      </c>
      <c r="L809" t="str">
        <f>_xlfn.XLOOKUP($A809,Load!$B:$B,Load!M:M,0,)</f>
        <v>Multiple Brands / Variety Flavors or Form</v>
      </c>
    </row>
    <row r="810" spans="1:12" x14ac:dyDescent="0.25">
      <c r="A810" t="s">
        <v>110</v>
      </c>
      <c r="B810" t="str">
        <f>_xlfn.XLOOKUP($A810,Load!$B:$B,Load!C:C,0,)</f>
        <v>Frankford</v>
      </c>
      <c r="C810" t="str">
        <f>_xlfn.XLOOKUP($A810,Load!$B:$B,Load!D:D,0,)</f>
        <v>Non-Chocolate Candy Only</v>
      </c>
      <c r="D810" t="str">
        <f>_xlfn.XLOOKUP($A810,Load!$B:$B,Load!E:E,0,)</f>
        <v>Fruit Flavor (Cherry, Grape, Apple, Citrus, Tropical Fruit)</v>
      </c>
      <c r="E810" t="str">
        <f>_xlfn.XLOOKUP($A810,Load!$B:$B,Load!F:F,0,)</f>
        <v>Gummy</v>
      </c>
      <c r="F810" t="str">
        <f>_xlfn.XLOOKUP($A810,Load!$B:$B,Load!G:G,0,)</f>
        <v>Single Pack</v>
      </c>
      <c r="G810" t="str">
        <f>_xlfn.XLOOKUP($A810,Load!$B:$B,Load!H:H,0,)</f>
        <v>Plastic Cup / Container</v>
      </c>
      <c r="H810" t="str">
        <f>_xlfn.XLOOKUP($A810,Load!$B:$B,Load!I:I,0,)</f>
        <v>Seasonal Shapes (like pumpkins, candy corn, ghost, bats, etc.)</v>
      </c>
      <c r="I810" t="str">
        <f>_xlfn.XLOOKUP($A810,Load!$B:$B,Load!J:J,0,)</f>
        <v>Seasonal Graphics (Like Bat, Ghost, Pumpkin, Fall Leaves, Eyeballs, etc.)</v>
      </c>
      <c r="J810" t="str">
        <f>_xlfn.XLOOKUP($A810,Load!$B:$B,Load!K:K,0,)</f>
        <v>Fun Size / Treat Size</v>
      </c>
      <c r="K810" t="str">
        <f>_xlfn.XLOOKUP($A810,Load!$B:$B,Load!L:L,0,)</f>
        <v>Unwrapped</v>
      </c>
      <c r="L810" t="str">
        <f>_xlfn.XLOOKUP($A810,Load!$B:$B,Load!M:M,0,)</f>
        <v>Single Brand / Variety Flavors or Form</v>
      </c>
    </row>
    <row r="811" spans="1:12" x14ac:dyDescent="0.25">
      <c r="A811" t="s">
        <v>149</v>
      </c>
      <c r="B811" t="str">
        <f>_xlfn.XLOOKUP($A811,Load!$B:$B,Load!C:C,0,)</f>
        <v>Jolly Rancher</v>
      </c>
      <c r="C811" t="str">
        <f>_xlfn.XLOOKUP($A811,Load!$B:$B,Load!D:D,0,)</f>
        <v>Non-Chocolate Candy Only</v>
      </c>
      <c r="D811" t="str">
        <f>_xlfn.XLOOKUP($A811,Load!$B:$B,Load!E:E,0,)</f>
        <v>Fruit Flavor (Cherry, Grape, Apple, Citrus, Tropical Fruit)</v>
      </c>
      <c r="E811" t="str">
        <f>_xlfn.XLOOKUP($A811,Load!$B:$B,Load!F:F,0,)</f>
        <v>Gummy</v>
      </c>
      <c r="F811" t="str">
        <f>_xlfn.XLOOKUP($A811,Load!$B:$B,Load!G:G,0,)</f>
        <v>Small Multipack (Less than 40 ct)</v>
      </c>
      <c r="G811" t="str">
        <f>_xlfn.XLOOKUP($A811,Load!$B:$B,Load!H:H,0,)</f>
        <v>Laydown Bag</v>
      </c>
      <c r="H811" t="str">
        <f>_xlfn.XLOOKUP($A811,Load!$B:$B,Load!I:I,0,)</f>
        <v>Everyday Candy Shapes (like Original, Gummy bear, Fruit, Jewels, etc.)</v>
      </c>
      <c r="I811" t="str">
        <f>_xlfn.XLOOKUP($A811,Load!$B:$B,Load!J:J,0,)</f>
        <v>Everyday Graphics</v>
      </c>
      <c r="J811" t="str">
        <f>_xlfn.XLOOKUP($A811,Load!$B:$B,Load!K:K,0,)</f>
        <v>Fun Size / Treat Size</v>
      </c>
      <c r="K811" t="str">
        <f>_xlfn.XLOOKUP($A811,Load!$B:$B,Load!L:L,0,)</f>
        <v>Regular/Original Wrapping</v>
      </c>
      <c r="L811" t="str">
        <f>_xlfn.XLOOKUP($A811,Load!$B:$B,Load!M:M,0,)</f>
        <v>Single Brand / Variety Flavors or Form</v>
      </c>
    </row>
    <row r="812" spans="1:12" x14ac:dyDescent="0.25">
      <c r="A812" t="s">
        <v>463</v>
      </c>
      <c r="B812" t="str">
        <f>_xlfn.XLOOKUP($A812,Load!$B:$B,Load!C:C,0,)</f>
        <v>Mars Variety Pack</v>
      </c>
      <c r="C812" t="str">
        <f>_xlfn.XLOOKUP($A812,Load!$B:$B,Load!D:D,0,)</f>
        <v>Mix of Chocolate and Non-Chocolate Candy</v>
      </c>
      <c r="D812" t="str">
        <f>_xlfn.XLOOKUP($A812,Load!$B:$B,Load!E:E,0,)</f>
        <v>Variety / Mixed Flavors (Fruity, Sour, Seasonal Flavors)</v>
      </c>
      <c r="E812" t="str">
        <f>_xlfn.XLOOKUP($A812,Load!$B:$B,Load!F:F,0,)</f>
        <v>Mixed / Combo Packs (Gummy, Chewy, Taffy, etc.)</v>
      </c>
      <c r="F812" t="str">
        <f>_xlfn.XLOOKUP($A812,Load!$B:$B,Load!G:G,0,)</f>
        <v>Medium Multipack (40–80 ct)</v>
      </c>
      <c r="G812" t="str">
        <f>_xlfn.XLOOKUP($A812,Load!$B:$B,Load!H:H,0,)</f>
        <v>Stand-Up Bag</v>
      </c>
      <c r="H812" t="str">
        <f>_xlfn.XLOOKUP($A812,Load!$B:$B,Load!I:I,0,)</f>
        <v>Everyday Candy Shapes (like Original, Gummy bear, Fruit, Jewels, etc.)</v>
      </c>
      <c r="I812" t="str">
        <f>_xlfn.XLOOKUP($A812,Load!$B:$B,Load!J:J,0,)</f>
        <v>Seasonal Graphics (Like Bat, Ghost, Pumpkin, Fall Leaves, Eyeballs, etc.)</v>
      </c>
      <c r="J812" t="str">
        <f>_xlfn.XLOOKUP($A812,Load!$B:$B,Load!K:K,0,)</f>
        <v>Fun Size / Treat Size</v>
      </c>
      <c r="K812" t="str">
        <f>_xlfn.XLOOKUP($A812,Load!$B:$B,Load!L:L,0,)</f>
        <v>Regular/Original Wrapping</v>
      </c>
      <c r="L812" t="str">
        <f>_xlfn.XLOOKUP($A812,Load!$B:$B,Load!M:M,0,)</f>
        <v>Multiple Brands / Variety Flavors or Form</v>
      </c>
    </row>
    <row r="813" spans="1:12" x14ac:dyDescent="0.25">
      <c r="A813" t="s">
        <v>213</v>
      </c>
      <c r="B813" t="str">
        <f>_xlfn.XLOOKUP($A813,Load!$B:$B,Load!C:C,0,)</f>
        <v>Mars Variety Pack</v>
      </c>
      <c r="C813" t="str">
        <f>_xlfn.XLOOKUP($A813,Load!$B:$B,Load!D:D,0,)</f>
        <v>Mix of Chocolate and Non-Chocolate Candy</v>
      </c>
      <c r="D813" t="str">
        <f>_xlfn.XLOOKUP($A813,Load!$B:$B,Load!E:E,0,)</f>
        <v>Variety / Mixed Flavors (Fruity, Sour, Seasonal Flavors)</v>
      </c>
      <c r="E813" t="str">
        <f>_xlfn.XLOOKUP($A813,Load!$B:$B,Load!F:F,0,)</f>
        <v>Mixed / Combo Packs (Gummy, Chewy, Taffy, etc.)</v>
      </c>
      <c r="F813" t="str">
        <f>_xlfn.XLOOKUP($A813,Load!$B:$B,Load!G:G,0,)</f>
        <v>Medium Multipack (40–80 ct)</v>
      </c>
      <c r="G813" t="str">
        <f>_xlfn.XLOOKUP($A813,Load!$B:$B,Load!H:H,0,)</f>
        <v>Stand-Up Bag</v>
      </c>
      <c r="H813" t="str">
        <f>_xlfn.XLOOKUP($A813,Load!$B:$B,Load!I:I,0,)</f>
        <v>Everyday Candy Shapes (like Original, Gummy bear, Fruit, Jewels, etc.)</v>
      </c>
      <c r="I813" t="str">
        <f>_xlfn.XLOOKUP($A813,Load!$B:$B,Load!J:J,0,)</f>
        <v>Seasonal Graphics (Like Bat, Ghost, Pumpkin, Fall Leaves, Eyeballs, etc.)</v>
      </c>
      <c r="J813" t="str">
        <f>_xlfn.XLOOKUP($A813,Load!$B:$B,Load!K:K,0,)</f>
        <v>Fun Size / Treat Size</v>
      </c>
      <c r="K813" t="str">
        <f>_xlfn.XLOOKUP($A813,Load!$B:$B,Load!L:L,0,)</f>
        <v>Regular/Original Wrapping</v>
      </c>
      <c r="L813" t="str">
        <f>_xlfn.XLOOKUP($A813,Load!$B:$B,Load!M:M,0,)</f>
        <v>Multiple Brands / Variety Flavors or Form</v>
      </c>
    </row>
    <row r="814" spans="1:12" x14ac:dyDescent="0.25">
      <c r="B814">
        <f>_xlfn.XLOOKUP($A814,Load!$B:$B,Load!C:C,0,)</f>
        <v>0</v>
      </c>
      <c r="C814">
        <f>_xlfn.XLOOKUP($A814,Load!$B:$B,Load!D:D,0,)</f>
        <v>0</v>
      </c>
      <c r="D814">
        <f>_xlfn.XLOOKUP($A814,Load!$B:$B,Load!E:E,0,)</f>
        <v>0</v>
      </c>
      <c r="E814">
        <f>_xlfn.XLOOKUP($A814,Load!$B:$B,Load!F:F,0,)</f>
        <v>0</v>
      </c>
      <c r="F814">
        <f>_xlfn.XLOOKUP($A814,Load!$B:$B,Load!G:G,0,)</f>
        <v>0</v>
      </c>
      <c r="G814">
        <f>_xlfn.XLOOKUP($A814,Load!$B:$B,Load!H:H,0,)</f>
        <v>0</v>
      </c>
      <c r="H814">
        <f>_xlfn.XLOOKUP($A814,Load!$B:$B,Load!I:I,0,)</f>
        <v>0</v>
      </c>
      <c r="I814">
        <f>_xlfn.XLOOKUP($A814,Load!$B:$B,Load!J:J,0,)</f>
        <v>0</v>
      </c>
      <c r="J814">
        <f>_xlfn.XLOOKUP($A814,Load!$B:$B,Load!K:K,0,)</f>
        <v>0</v>
      </c>
      <c r="K814">
        <f>_xlfn.XLOOKUP($A814,Load!$B:$B,Load!L:L,0,)</f>
        <v>0</v>
      </c>
      <c r="L814">
        <f>_xlfn.XLOOKUP($A814,Load!$B:$B,Load!M:M,0,)</f>
        <v>0</v>
      </c>
    </row>
    <row r="815" spans="1:12" x14ac:dyDescent="0.25">
      <c r="B815">
        <f>_xlfn.XLOOKUP($A815,Load!$B:$B,Load!C:C,0,)</f>
        <v>0</v>
      </c>
      <c r="C815">
        <f>_xlfn.XLOOKUP($A815,Load!$B:$B,Load!D:D,0,)</f>
        <v>0</v>
      </c>
      <c r="D815">
        <f>_xlfn.XLOOKUP($A815,Load!$B:$B,Load!E:E,0,)</f>
        <v>0</v>
      </c>
      <c r="E815">
        <f>_xlfn.XLOOKUP($A815,Load!$B:$B,Load!F:F,0,)</f>
        <v>0</v>
      </c>
      <c r="F815">
        <f>_xlfn.XLOOKUP($A815,Load!$B:$B,Load!G:G,0,)</f>
        <v>0</v>
      </c>
      <c r="G815">
        <f>_xlfn.XLOOKUP($A815,Load!$B:$B,Load!H:H,0,)</f>
        <v>0</v>
      </c>
      <c r="H815">
        <f>_xlfn.XLOOKUP($A815,Load!$B:$B,Load!I:I,0,)</f>
        <v>0</v>
      </c>
      <c r="I815">
        <f>_xlfn.XLOOKUP($A815,Load!$B:$B,Load!J:J,0,)</f>
        <v>0</v>
      </c>
      <c r="J815">
        <f>_xlfn.XLOOKUP($A815,Load!$B:$B,Load!K:K,0,)</f>
        <v>0</v>
      </c>
      <c r="K815">
        <f>_xlfn.XLOOKUP($A815,Load!$B:$B,Load!L:L,0,)</f>
        <v>0</v>
      </c>
      <c r="L815">
        <f>_xlfn.XLOOKUP($A815,Load!$B:$B,Load!M:M,0,)</f>
        <v>0</v>
      </c>
    </row>
    <row r="816" spans="1:12" x14ac:dyDescent="0.25">
      <c r="B816">
        <f>_xlfn.XLOOKUP($A816,Load!$B:$B,Load!C:C,0,)</f>
        <v>0</v>
      </c>
      <c r="C816">
        <f>_xlfn.XLOOKUP($A816,Load!$B:$B,Load!D:D,0,)</f>
        <v>0</v>
      </c>
      <c r="D816">
        <f>_xlfn.XLOOKUP($A816,Load!$B:$B,Load!E:E,0,)</f>
        <v>0</v>
      </c>
      <c r="E816">
        <f>_xlfn.XLOOKUP($A816,Load!$B:$B,Load!F:F,0,)</f>
        <v>0</v>
      </c>
      <c r="F816">
        <f>_xlfn.XLOOKUP($A816,Load!$B:$B,Load!G:G,0,)</f>
        <v>0</v>
      </c>
      <c r="G816">
        <f>_xlfn.XLOOKUP($A816,Load!$B:$B,Load!H:H,0,)</f>
        <v>0</v>
      </c>
      <c r="H816">
        <f>_xlfn.XLOOKUP($A816,Load!$B:$B,Load!I:I,0,)</f>
        <v>0</v>
      </c>
      <c r="I816">
        <f>_xlfn.XLOOKUP($A816,Load!$B:$B,Load!J:J,0,)</f>
        <v>0</v>
      </c>
      <c r="J816">
        <f>_xlfn.XLOOKUP($A816,Load!$B:$B,Load!K:K,0,)</f>
        <v>0</v>
      </c>
      <c r="K816">
        <f>_xlfn.XLOOKUP($A816,Load!$B:$B,Load!L:L,0,)</f>
        <v>0</v>
      </c>
      <c r="L816">
        <f>_xlfn.XLOOKUP($A816,Load!$B:$B,Load!M:M,0,)</f>
        <v>0</v>
      </c>
    </row>
    <row r="817" spans="1:12" x14ac:dyDescent="0.25">
      <c r="B817">
        <f>_xlfn.XLOOKUP($A817,Load!$B:$B,Load!C:C,0,)</f>
        <v>0</v>
      </c>
      <c r="C817">
        <f>_xlfn.XLOOKUP($A817,Load!$B:$B,Load!D:D,0,)</f>
        <v>0</v>
      </c>
      <c r="D817">
        <f>_xlfn.XLOOKUP($A817,Load!$B:$B,Load!E:E,0,)</f>
        <v>0</v>
      </c>
      <c r="E817">
        <f>_xlfn.XLOOKUP($A817,Load!$B:$B,Load!F:F,0,)</f>
        <v>0</v>
      </c>
      <c r="F817">
        <f>_xlfn.XLOOKUP($A817,Load!$B:$B,Load!G:G,0,)</f>
        <v>0</v>
      </c>
      <c r="G817">
        <f>_xlfn.XLOOKUP($A817,Load!$B:$B,Load!H:H,0,)</f>
        <v>0</v>
      </c>
      <c r="H817">
        <f>_xlfn.XLOOKUP($A817,Load!$B:$B,Load!I:I,0,)</f>
        <v>0</v>
      </c>
      <c r="I817">
        <f>_xlfn.XLOOKUP($A817,Load!$B:$B,Load!J:J,0,)</f>
        <v>0</v>
      </c>
      <c r="J817">
        <f>_xlfn.XLOOKUP($A817,Load!$B:$B,Load!K:K,0,)</f>
        <v>0</v>
      </c>
      <c r="K817">
        <f>_xlfn.XLOOKUP($A817,Load!$B:$B,Load!L:L,0,)</f>
        <v>0</v>
      </c>
      <c r="L817">
        <f>_xlfn.XLOOKUP($A817,Load!$B:$B,Load!M:M,0,)</f>
        <v>0</v>
      </c>
    </row>
    <row r="818" spans="1:12" x14ac:dyDescent="0.25">
      <c r="B818">
        <f>_xlfn.XLOOKUP($A818,Load!$B:$B,Load!C:C,0,)</f>
        <v>0</v>
      </c>
      <c r="C818">
        <f>_xlfn.XLOOKUP($A818,Load!$B:$B,Load!D:D,0,)</f>
        <v>0</v>
      </c>
      <c r="D818">
        <f>_xlfn.XLOOKUP($A818,Load!$B:$B,Load!E:E,0,)</f>
        <v>0</v>
      </c>
      <c r="E818">
        <f>_xlfn.XLOOKUP($A818,Load!$B:$B,Load!F:F,0,)</f>
        <v>0</v>
      </c>
      <c r="F818">
        <f>_xlfn.XLOOKUP($A818,Load!$B:$B,Load!G:G,0,)</f>
        <v>0</v>
      </c>
      <c r="G818">
        <f>_xlfn.XLOOKUP($A818,Load!$B:$B,Load!H:H,0,)</f>
        <v>0</v>
      </c>
      <c r="H818">
        <f>_xlfn.XLOOKUP($A818,Load!$B:$B,Load!I:I,0,)</f>
        <v>0</v>
      </c>
      <c r="I818">
        <f>_xlfn.XLOOKUP($A818,Load!$B:$B,Load!J:J,0,)</f>
        <v>0</v>
      </c>
      <c r="J818">
        <f>_xlfn.XLOOKUP($A818,Load!$B:$B,Load!K:K,0,)</f>
        <v>0</v>
      </c>
      <c r="K818">
        <f>_xlfn.XLOOKUP($A818,Load!$B:$B,Load!L:L,0,)</f>
        <v>0</v>
      </c>
      <c r="L818">
        <f>_xlfn.XLOOKUP($A818,Load!$B:$B,Load!M:M,0,)</f>
        <v>0</v>
      </c>
    </row>
    <row r="819" spans="1:12" x14ac:dyDescent="0.25">
      <c r="B819">
        <f>_xlfn.XLOOKUP($A819,Load!$B:$B,Load!C:C,0,)</f>
        <v>0</v>
      </c>
      <c r="C819">
        <f>_xlfn.XLOOKUP($A819,Load!$B:$B,Load!D:D,0,)</f>
        <v>0</v>
      </c>
      <c r="D819">
        <f>_xlfn.XLOOKUP($A819,Load!$B:$B,Load!E:E,0,)</f>
        <v>0</v>
      </c>
      <c r="E819">
        <f>_xlfn.XLOOKUP($A819,Load!$B:$B,Load!F:F,0,)</f>
        <v>0</v>
      </c>
      <c r="F819">
        <f>_xlfn.XLOOKUP($A819,Load!$B:$B,Load!G:G,0,)</f>
        <v>0</v>
      </c>
      <c r="G819">
        <f>_xlfn.XLOOKUP($A819,Load!$B:$B,Load!H:H,0,)</f>
        <v>0</v>
      </c>
      <c r="H819">
        <f>_xlfn.XLOOKUP($A819,Load!$B:$B,Load!I:I,0,)</f>
        <v>0</v>
      </c>
      <c r="I819">
        <f>_xlfn.XLOOKUP($A819,Load!$B:$B,Load!J:J,0,)</f>
        <v>0</v>
      </c>
      <c r="J819">
        <f>_xlfn.XLOOKUP($A819,Load!$B:$B,Load!K:K,0,)</f>
        <v>0</v>
      </c>
      <c r="K819">
        <f>_xlfn.XLOOKUP($A819,Load!$B:$B,Load!L:L,0,)</f>
        <v>0</v>
      </c>
      <c r="L819">
        <f>_xlfn.XLOOKUP($A819,Load!$B:$B,Load!M:M,0,)</f>
        <v>0</v>
      </c>
    </row>
    <row r="820" spans="1:12" x14ac:dyDescent="0.25">
      <c r="B820">
        <f>_xlfn.XLOOKUP($A820,Load!$B:$B,Load!C:C,0,)</f>
        <v>0</v>
      </c>
      <c r="C820">
        <f>_xlfn.XLOOKUP($A820,Load!$B:$B,Load!D:D,0,)</f>
        <v>0</v>
      </c>
      <c r="D820">
        <f>_xlfn.XLOOKUP($A820,Load!$B:$B,Load!E:E,0,)</f>
        <v>0</v>
      </c>
      <c r="E820">
        <f>_xlfn.XLOOKUP($A820,Load!$B:$B,Load!F:F,0,)</f>
        <v>0</v>
      </c>
      <c r="F820">
        <f>_xlfn.XLOOKUP($A820,Load!$B:$B,Load!G:G,0,)</f>
        <v>0</v>
      </c>
      <c r="G820">
        <f>_xlfn.XLOOKUP($A820,Load!$B:$B,Load!H:H,0,)</f>
        <v>0</v>
      </c>
      <c r="H820">
        <f>_xlfn.XLOOKUP($A820,Load!$B:$B,Load!I:I,0,)</f>
        <v>0</v>
      </c>
      <c r="I820">
        <f>_xlfn.XLOOKUP($A820,Load!$B:$B,Load!J:J,0,)</f>
        <v>0</v>
      </c>
      <c r="J820">
        <f>_xlfn.XLOOKUP($A820,Load!$B:$B,Load!K:K,0,)</f>
        <v>0</v>
      </c>
      <c r="K820">
        <f>_xlfn.XLOOKUP($A820,Load!$B:$B,Load!L:L,0,)</f>
        <v>0</v>
      </c>
      <c r="L820">
        <f>_xlfn.XLOOKUP($A820,Load!$B:$B,Load!M:M,0,)</f>
        <v>0</v>
      </c>
    </row>
    <row r="821" spans="1:12" x14ac:dyDescent="0.25">
      <c r="B821">
        <f>_xlfn.XLOOKUP($A821,Load!$B:$B,Load!C:C,0,)</f>
        <v>0</v>
      </c>
      <c r="C821">
        <f>_xlfn.XLOOKUP($A821,Load!$B:$B,Load!D:D,0,)</f>
        <v>0</v>
      </c>
      <c r="D821">
        <f>_xlfn.XLOOKUP($A821,Load!$B:$B,Load!E:E,0,)</f>
        <v>0</v>
      </c>
      <c r="E821">
        <f>_xlfn.XLOOKUP($A821,Load!$B:$B,Load!F:F,0,)</f>
        <v>0</v>
      </c>
      <c r="F821">
        <f>_xlfn.XLOOKUP($A821,Load!$B:$B,Load!G:G,0,)</f>
        <v>0</v>
      </c>
      <c r="G821">
        <f>_xlfn.XLOOKUP($A821,Load!$B:$B,Load!H:H,0,)</f>
        <v>0</v>
      </c>
      <c r="H821">
        <f>_xlfn.XLOOKUP($A821,Load!$B:$B,Load!I:I,0,)</f>
        <v>0</v>
      </c>
      <c r="I821">
        <f>_xlfn.XLOOKUP($A821,Load!$B:$B,Load!J:J,0,)</f>
        <v>0</v>
      </c>
      <c r="J821">
        <f>_xlfn.XLOOKUP($A821,Load!$B:$B,Load!K:K,0,)</f>
        <v>0</v>
      </c>
      <c r="K821">
        <f>_xlfn.XLOOKUP($A821,Load!$B:$B,Load!L:L,0,)</f>
        <v>0</v>
      </c>
      <c r="L821">
        <f>_xlfn.XLOOKUP($A821,Load!$B:$B,Load!M:M,0,)</f>
        <v>0</v>
      </c>
    </row>
    <row r="822" spans="1:12" x14ac:dyDescent="0.25">
      <c r="B822">
        <f>_xlfn.XLOOKUP($A822,Load!$B:$B,Load!C:C,0,)</f>
        <v>0</v>
      </c>
      <c r="C822">
        <f>_xlfn.XLOOKUP($A822,Load!$B:$B,Load!D:D,0,)</f>
        <v>0</v>
      </c>
      <c r="D822">
        <f>_xlfn.XLOOKUP($A822,Load!$B:$B,Load!E:E,0,)</f>
        <v>0</v>
      </c>
      <c r="E822">
        <f>_xlfn.XLOOKUP($A822,Load!$B:$B,Load!F:F,0,)</f>
        <v>0</v>
      </c>
      <c r="F822">
        <f>_xlfn.XLOOKUP($A822,Load!$B:$B,Load!G:G,0,)</f>
        <v>0</v>
      </c>
      <c r="G822">
        <f>_xlfn.XLOOKUP($A822,Load!$B:$B,Load!H:H,0,)</f>
        <v>0</v>
      </c>
      <c r="H822">
        <f>_xlfn.XLOOKUP($A822,Load!$B:$B,Load!I:I,0,)</f>
        <v>0</v>
      </c>
      <c r="I822">
        <f>_xlfn.XLOOKUP($A822,Load!$B:$B,Load!J:J,0,)</f>
        <v>0</v>
      </c>
      <c r="J822">
        <f>_xlfn.XLOOKUP($A822,Load!$B:$B,Load!K:K,0,)</f>
        <v>0</v>
      </c>
      <c r="K822">
        <f>_xlfn.XLOOKUP($A822,Load!$B:$B,Load!L:L,0,)</f>
        <v>0</v>
      </c>
      <c r="L822">
        <f>_xlfn.XLOOKUP($A822,Load!$B:$B,Load!M:M,0,)</f>
        <v>0</v>
      </c>
    </row>
    <row r="823" spans="1:12" x14ac:dyDescent="0.25">
      <c r="B823">
        <f>_xlfn.XLOOKUP($A823,Load!$B:$B,Load!C:C,0,)</f>
        <v>0</v>
      </c>
      <c r="C823">
        <f>_xlfn.XLOOKUP($A823,Load!$B:$B,Load!D:D,0,)</f>
        <v>0</v>
      </c>
      <c r="D823">
        <f>_xlfn.XLOOKUP($A823,Load!$B:$B,Load!E:E,0,)</f>
        <v>0</v>
      </c>
      <c r="E823">
        <f>_xlfn.XLOOKUP($A823,Load!$B:$B,Load!F:F,0,)</f>
        <v>0</v>
      </c>
      <c r="F823">
        <f>_xlfn.XLOOKUP($A823,Load!$B:$B,Load!G:G,0,)</f>
        <v>0</v>
      </c>
      <c r="G823">
        <f>_xlfn.XLOOKUP($A823,Load!$B:$B,Load!H:H,0,)</f>
        <v>0</v>
      </c>
      <c r="H823">
        <f>_xlfn.XLOOKUP($A823,Load!$B:$B,Load!I:I,0,)</f>
        <v>0</v>
      </c>
      <c r="I823">
        <f>_xlfn.XLOOKUP($A823,Load!$B:$B,Load!J:J,0,)</f>
        <v>0</v>
      </c>
      <c r="J823">
        <f>_xlfn.XLOOKUP($A823,Load!$B:$B,Load!K:K,0,)</f>
        <v>0</v>
      </c>
      <c r="K823">
        <f>_xlfn.XLOOKUP($A823,Load!$B:$B,Load!L:L,0,)</f>
        <v>0</v>
      </c>
      <c r="L823">
        <f>_xlfn.XLOOKUP($A823,Load!$B:$B,Load!M:M,0,)</f>
        <v>0</v>
      </c>
    </row>
    <row r="824" spans="1:12" x14ac:dyDescent="0.25">
      <c r="A824" t="s">
        <v>224</v>
      </c>
      <c r="B824" t="str">
        <f>_xlfn.XLOOKUP($A824,Load!$B:$B,Load!C:C,0,)</f>
        <v>Nerds</v>
      </c>
      <c r="C824" t="str">
        <f>_xlfn.XLOOKUP($A824,Load!$B:$B,Load!D:D,0,)</f>
        <v>Non-Chocolate Candy Only</v>
      </c>
      <c r="D824" t="str">
        <f>_xlfn.XLOOKUP($A824,Load!$B:$B,Load!E:E,0,)</f>
        <v>Sweet</v>
      </c>
      <c r="E824" t="str">
        <f>_xlfn.XLOOKUP($A824,Load!$B:$B,Load!F:F,0,)</f>
        <v>Mixed / Combo Packs (Gummy, Chewy, Taffy, etc.)</v>
      </c>
      <c r="F824" t="str">
        <f>_xlfn.XLOOKUP($A824,Load!$B:$B,Load!G:G,0,)</f>
        <v>Medium Multipack (40–80 ct)</v>
      </c>
      <c r="G824" t="str">
        <f>_xlfn.XLOOKUP($A824,Load!$B:$B,Load!H:H,0,)</f>
        <v>Stand-Up Bag</v>
      </c>
      <c r="H824" t="str">
        <f>_xlfn.XLOOKUP($A824,Load!$B:$B,Load!I:I,0,)</f>
        <v>Everyday Candy Shapes (like Original, Gummy bear, Fruit, Jewels, etc.)</v>
      </c>
      <c r="I824" t="str">
        <f>_xlfn.XLOOKUP($A824,Load!$B:$B,Load!J:J,0,)</f>
        <v>Seasonal Graphics (Like Bat, Ghost, Pumpkin, Fall Leaves, Eyeballs, etc.)</v>
      </c>
      <c r="J824" t="str">
        <f>_xlfn.XLOOKUP($A824,Load!$B:$B,Load!K:K,0,)</f>
        <v xml:space="preserve">Variety Candy Sizes </v>
      </c>
      <c r="K824" t="str">
        <f>_xlfn.XLOOKUP($A824,Load!$B:$B,Load!L:L,0,)</f>
        <v>Regular/Original Wrapping</v>
      </c>
      <c r="L824" t="str">
        <f>_xlfn.XLOOKUP($A824,Load!$B:$B,Load!M:M,0,)</f>
        <v>Single Brand / Variety Flavors or Form</v>
      </c>
    </row>
    <row r="825" spans="1:12" x14ac:dyDescent="0.25">
      <c r="B825">
        <f>_xlfn.XLOOKUP($A825,Load!$B:$B,Load!C:C,0,)</f>
        <v>0</v>
      </c>
      <c r="C825">
        <f>_xlfn.XLOOKUP($A825,Load!$B:$B,Load!D:D,0,)</f>
        <v>0</v>
      </c>
      <c r="D825">
        <f>_xlfn.XLOOKUP($A825,Load!$B:$B,Load!E:E,0,)</f>
        <v>0</v>
      </c>
      <c r="E825">
        <f>_xlfn.XLOOKUP($A825,Load!$B:$B,Load!F:F,0,)</f>
        <v>0</v>
      </c>
      <c r="F825">
        <f>_xlfn.XLOOKUP($A825,Load!$B:$B,Load!G:G,0,)</f>
        <v>0</v>
      </c>
      <c r="G825">
        <f>_xlfn.XLOOKUP($A825,Load!$B:$B,Load!H:H,0,)</f>
        <v>0</v>
      </c>
      <c r="H825">
        <f>_xlfn.XLOOKUP($A825,Load!$B:$B,Load!I:I,0,)</f>
        <v>0</v>
      </c>
      <c r="I825">
        <f>_xlfn.XLOOKUP($A825,Load!$B:$B,Load!J:J,0,)</f>
        <v>0</v>
      </c>
      <c r="J825">
        <f>_xlfn.XLOOKUP($A825,Load!$B:$B,Load!K:K,0,)</f>
        <v>0</v>
      </c>
      <c r="K825">
        <f>_xlfn.XLOOKUP($A825,Load!$B:$B,Load!L:L,0,)</f>
        <v>0</v>
      </c>
      <c r="L825">
        <f>_xlfn.XLOOKUP($A825,Load!$B:$B,Load!M:M,0,)</f>
        <v>0</v>
      </c>
    </row>
    <row r="826" spans="1:12" x14ac:dyDescent="0.25">
      <c r="A826" t="s">
        <v>103</v>
      </c>
      <c r="B826" t="str">
        <f>_xlfn.XLOOKUP($A826,Load!$B:$B,Load!C:C,0,)</f>
        <v>Frankford</v>
      </c>
      <c r="C826" t="str">
        <f>_xlfn.XLOOKUP($A826,Load!$B:$B,Load!D:D,0,)</f>
        <v>Non-Chocolate Candy Only</v>
      </c>
      <c r="D826" t="str">
        <f>_xlfn.XLOOKUP($A826,Load!$B:$B,Load!E:E,0,)</f>
        <v>Sweet</v>
      </c>
      <c r="E826" t="str">
        <f>_xlfn.XLOOKUP($A826,Load!$B:$B,Load!F:F,0,)</f>
        <v>Gummy</v>
      </c>
      <c r="F826" t="str">
        <f>_xlfn.XLOOKUP($A826,Load!$B:$B,Load!G:G,0,)</f>
        <v>Medium Multipack (40–80 ct)</v>
      </c>
      <c r="G826" t="str">
        <f>_xlfn.XLOOKUP($A826,Load!$B:$B,Load!H:H,0,)</f>
        <v>Stand-Up Bag</v>
      </c>
      <c r="H826" t="str">
        <f>_xlfn.XLOOKUP($A826,Load!$B:$B,Load!I:I,0,)</f>
        <v>Seasonal Shapes (like pumpkins, candy corn, ghost, bats, etc.)</v>
      </c>
      <c r="I826" t="str">
        <f>_xlfn.XLOOKUP($A826,Load!$B:$B,Load!J:J,0,)</f>
        <v>Seasonal Graphics (Like Bat, Ghost, Pumpkin, Fall Leaves, Eyeballs, etc.)</v>
      </c>
      <c r="J826" t="str">
        <f>_xlfn.XLOOKUP($A826,Load!$B:$B,Load!K:K,0,)</f>
        <v>Fun Size / Treat Size</v>
      </c>
      <c r="K826" t="str">
        <f>_xlfn.XLOOKUP($A826,Load!$B:$B,Load!L:L,0,)</f>
        <v>Regular/Original Wrapping</v>
      </c>
      <c r="L826" t="str">
        <f>_xlfn.XLOOKUP($A826,Load!$B:$B,Load!M:M,0,)</f>
        <v>Single Brand / Variety Flavors or Form</v>
      </c>
    </row>
    <row r="827" spans="1:12" x14ac:dyDescent="0.25">
      <c r="B827">
        <f>_xlfn.XLOOKUP($A827,Load!$B:$B,Load!C:C,0,)</f>
        <v>0</v>
      </c>
      <c r="C827">
        <f>_xlfn.XLOOKUP($A827,Load!$B:$B,Load!D:D,0,)</f>
        <v>0</v>
      </c>
      <c r="D827">
        <f>_xlfn.XLOOKUP($A827,Load!$B:$B,Load!E:E,0,)</f>
        <v>0</v>
      </c>
      <c r="E827">
        <f>_xlfn.XLOOKUP($A827,Load!$B:$B,Load!F:F,0,)</f>
        <v>0</v>
      </c>
      <c r="F827">
        <f>_xlfn.XLOOKUP($A827,Load!$B:$B,Load!G:G,0,)</f>
        <v>0</v>
      </c>
      <c r="G827">
        <f>_xlfn.XLOOKUP($A827,Load!$B:$B,Load!H:H,0,)</f>
        <v>0</v>
      </c>
      <c r="H827">
        <f>_xlfn.XLOOKUP($A827,Load!$B:$B,Load!I:I,0,)</f>
        <v>0</v>
      </c>
      <c r="I827">
        <f>_xlfn.XLOOKUP($A827,Load!$B:$B,Load!J:J,0,)</f>
        <v>0</v>
      </c>
      <c r="J827">
        <f>_xlfn.XLOOKUP($A827,Load!$B:$B,Load!K:K,0,)</f>
        <v>0</v>
      </c>
      <c r="K827">
        <f>_xlfn.XLOOKUP($A827,Load!$B:$B,Load!L:L,0,)</f>
        <v>0</v>
      </c>
      <c r="L827">
        <f>_xlfn.XLOOKUP($A827,Load!$B:$B,Load!M:M,0,)</f>
        <v>0</v>
      </c>
    </row>
    <row r="828" spans="1:12" x14ac:dyDescent="0.25">
      <c r="A828" t="s">
        <v>65</v>
      </c>
      <c r="B828" t="str">
        <f>_xlfn.XLOOKUP($A828,Load!$B:$B,Load!C:C,0,)</f>
        <v>Dots</v>
      </c>
      <c r="C828" t="str">
        <f>_xlfn.XLOOKUP($A828,Load!$B:$B,Load!D:D,0,)</f>
        <v>Non-Chocolate Candy Only</v>
      </c>
      <c r="D828" t="str">
        <f>_xlfn.XLOOKUP($A828,Load!$B:$B,Load!E:E,0,)</f>
        <v>Variety / Mixed Flavors (Fruity, Sour, Seasonal Flavors)</v>
      </c>
      <c r="E828" t="str">
        <f>_xlfn.XLOOKUP($A828,Load!$B:$B,Load!F:F,0,)</f>
        <v>Candy Pieces / Bites</v>
      </c>
      <c r="F828" t="str">
        <f>_xlfn.XLOOKUP($A828,Load!$B:$B,Load!G:G,0,)</f>
        <v>Medium Multipack (40–80 ct)</v>
      </c>
      <c r="G828" t="str">
        <f>_xlfn.XLOOKUP($A828,Load!$B:$B,Load!H:H,0,)</f>
        <v>Box (theatre box, gift box, carton)</v>
      </c>
      <c r="H828" t="str">
        <f>_xlfn.XLOOKUP($A828,Load!$B:$B,Load!I:I,0,)</f>
        <v>Seasonal Shapes (like pumpkins, candy corn, ghost, bats, etc.)</v>
      </c>
      <c r="I828" t="str">
        <f>_xlfn.XLOOKUP($A828,Load!$B:$B,Load!J:J,0,)</f>
        <v>Seasonal Graphics (Like Bat, Ghost, Pumpkin, Fall Leaves, Eyeballs, etc.)</v>
      </c>
      <c r="J828" t="str">
        <f>_xlfn.XLOOKUP($A828,Load!$B:$B,Load!K:K,0,)</f>
        <v>Fun Size / Treat Size</v>
      </c>
      <c r="K828" t="str">
        <f>_xlfn.XLOOKUP($A828,Load!$B:$B,Load!L:L,0,)</f>
        <v>Regular/Original Wrapping</v>
      </c>
      <c r="L828" t="str">
        <f>_xlfn.XLOOKUP($A828,Load!$B:$B,Load!M:M,0,)</f>
        <v>Single Brand / Variety Flavors or Form</v>
      </c>
    </row>
    <row r="829" spans="1:12" x14ac:dyDescent="0.25">
      <c r="A829" t="s">
        <v>273</v>
      </c>
      <c r="B829" t="str">
        <f>_xlfn.XLOOKUP($A829,Load!$B:$B,Load!C:C,0,)</f>
        <v>Sour Patch Kids</v>
      </c>
      <c r="C829" t="str">
        <f>_xlfn.XLOOKUP($A829,Load!$B:$B,Load!D:D,0,)</f>
        <v>Non-Chocolate Candy Only</v>
      </c>
      <c r="D829" t="str">
        <f>_xlfn.XLOOKUP($A829,Load!$B:$B,Load!E:E,0,)</f>
        <v>Sour</v>
      </c>
      <c r="E829" t="str">
        <f>_xlfn.XLOOKUP($A829,Load!$B:$B,Load!F:F,0,)</f>
        <v>Chewy</v>
      </c>
      <c r="F829" t="str">
        <f>_xlfn.XLOOKUP($A829,Load!$B:$B,Load!G:G,0,)</f>
        <v>Small Multipack (Less than 40 ct)</v>
      </c>
      <c r="G829" t="str">
        <f>_xlfn.XLOOKUP($A829,Load!$B:$B,Load!H:H,0,)</f>
        <v>Box (theatre box, gift box, carton)</v>
      </c>
      <c r="H829" t="str">
        <f>_xlfn.XLOOKUP($A829,Load!$B:$B,Load!I:I,0,)</f>
        <v>Everyday Candy Shapes (like Original, Gummy bear, Fruit, Jewels, etc.)</v>
      </c>
      <c r="I829" t="str">
        <f>_xlfn.XLOOKUP($A829,Load!$B:$B,Load!J:J,0,)</f>
        <v>Seasonal Graphics (Like Bat, Ghost, Pumpkin, Fall Leaves, Eyeballs, etc.)</v>
      </c>
      <c r="J829" t="str">
        <f>_xlfn.XLOOKUP($A829,Load!$B:$B,Load!K:K,0,)</f>
        <v>Small Pieces (Tiny bite size candies)</v>
      </c>
      <c r="K829" t="str">
        <f>_xlfn.XLOOKUP($A829,Load!$B:$B,Load!L:L,0,)</f>
        <v>Unwrapped</v>
      </c>
      <c r="L829" t="str">
        <f>_xlfn.XLOOKUP($A829,Load!$B:$B,Load!M:M,0,)</f>
        <v>Single Brand / Variety Flavors or Form</v>
      </c>
    </row>
    <row r="830" spans="1:12" x14ac:dyDescent="0.25">
      <c r="A830" t="s">
        <v>127</v>
      </c>
      <c r="B830" t="str">
        <f>_xlfn.XLOOKUP($A830,Load!$B:$B,Load!C:C,0,)</f>
        <v>HARIBO</v>
      </c>
      <c r="C830" t="str">
        <f>_xlfn.XLOOKUP($A830,Load!$B:$B,Load!D:D,0,)</f>
        <v>Non-Chocolate Candy Only</v>
      </c>
      <c r="D830" t="str">
        <f>_xlfn.XLOOKUP($A830,Load!$B:$B,Load!E:E,0,)</f>
        <v>Sweet</v>
      </c>
      <c r="E830" t="str">
        <f>_xlfn.XLOOKUP($A830,Load!$B:$B,Load!F:F,0,)</f>
        <v>Gummy</v>
      </c>
      <c r="F830" t="str">
        <f>_xlfn.XLOOKUP($A830,Load!$B:$B,Load!G:G,0,)</f>
        <v>Single Pack</v>
      </c>
      <c r="G830" t="str">
        <f>_xlfn.XLOOKUP($A830,Load!$B:$B,Load!H:H,0,)</f>
        <v>Laydown Bag</v>
      </c>
      <c r="H830" t="str">
        <f>_xlfn.XLOOKUP($A830,Load!$B:$B,Load!I:I,0,)</f>
        <v>Seasonal Shapes (like pumpkins, candy corn, ghost, bats, etc.)</v>
      </c>
      <c r="I830" t="str">
        <f>_xlfn.XLOOKUP($A830,Load!$B:$B,Load!J:J,0,)</f>
        <v>Seasonal Graphics (Like Bat, Ghost, Pumpkin, Fall Leaves, Eyeballs, etc.)</v>
      </c>
      <c r="J830" t="str">
        <f>_xlfn.XLOOKUP($A830,Load!$B:$B,Load!K:K,0,)</f>
        <v>Small Pieces (Tiny bite size candies)</v>
      </c>
      <c r="K830" t="str">
        <f>_xlfn.XLOOKUP($A830,Load!$B:$B,Load!L:L,0,)</f>
        <v>Unwrapped</v>
      </c>
      <c r="L830" t="str">
        <f>_xlfn.XLOOKUP($A830,Load!$B:$B,Load!M:M,0,)</f>
        <v>Single Brand / Variety Flavors or Form</v>
      </c>
    </row>
    <row r="831" spans="1:12" x14ac:dyDescent="0.25">
      <c r="A831" t="s">
        <v>162</v>
      </c>
      <c r="B831" t="str">
        <f>_xlfn.XLOOKUP($A831,Load!$B:$B,Load!C:C,0,)</f>
        <v>Jolly Rancher</v>
      </c>
      <c r="C831" t="str">
        <f>_xlfn.XLOOKUP($A831,Load!$B:$B,Load!D:D,0,)</f>
        <v>Non-Chocolate Candy Only</v>
      </c>
      <c r="D831" t="str">
        <f>_xlfn.XLOOKUP($A831,Load!$B:$B,Load!E:E,0,)</f>
        <v>Variety / Mixed Flavors (Fruity, Sour, Seasonal Flavors)</v>
      </c>
      <c r="E831" t="str">
        <f>_xlfn.XLOOKUP($A831,Load!$B:$B,Load!F:F,0,)</f>
        <v>Gummy</v>
      </c>
      <c r="F831" t="str">
        <f>_xlfn.XLOOKUP($A831,Load!$B:$B,Load!G:G,0,)</f>
        <v>Single Pack</v>
      </c>
      <c r="G831" t="str">
        <f>_xlfn.XLOOKUP($A831,Load!$B:$B,Load!H:H,0,)</f>
        <v>Peg Bag</v>
      </c>
      <c r="H831" t="str">
        <f>_xlfn.XLOOKUP($A831,Load!$B:$B,Load!I:I,0,)</f>
        <v>Seasonal Shapes (like pumpkins, candy corn, ghost, bats, etc.)</v>
      </c>
      <c r="I831" t="str">
        <f>_xlfn.XLOOKUP($A831,Load!$B:$B,Load!J:J,0,)</f>
        <v>Seasonal Graphics (Like Bat, Ghost, Pumpkin, Fall Leaves, Eyeballs, etc.)</v>
      </c>
      <c r="J831" t="str">
        <f>_xlfn.XLOOKUP($A831,Load!$B:$B,Load!K:K,0,)</f>
        <v>Small Pieces (Tiny bite size candies)</v>
      </c>
      <c r="K831" t="str">
        <f>_xlfn.XLOOKUP($A831,Load!$B:$B,Load!L:L,0,)</f>
        <v>Unwrapped</v>
      </c>
      <c r="L831" t="str">
        <f>_xlfn.XLOOKUP($A831,Load!$B:$B,Load!M:M,0,)</f>
        <v>Single Brand / Variety Flavors or Form</v>
      </c>
    </row>
    <row r="832" spans="1:12" x14ac:dyDescent="0.25">
      <c r="B832">
        <f>_xlfn.XLOOKUP($A832,Load!$B:$B,Load!C:C,0,)</f>
        <v>0</v>
      </c>
      <c r="C832">
        <f>_xlfn.XLOOKUP($A832,Load!$B:$B,Load!D:D,0,)</f>
        <v>0</v>
      </c>
      <c r="D832">
        <f>_xlfn.XLOOKUP($A832,Load!$B:$B,Load!E:E,0,)</f>
        <v>0</v>
      </c>
      <c r="E832">
        <f>_xlfn.XLOOKUP($A832,Load!$B:$B,Load!F:F,0,)</f>
        <v>0</v>
      </c>
      <c r="F832">
        <f>_xlfn.XLOOKUP($A832,Load!$B:$B,Load!G:G,0,)</f>
        <v>0</v>
      </c>
      <c r="G832">
        <f>_xlfn.XLOOKUP($A832,Load!$B:$B,Load!H:H,0,)</f>
        <v>0</v>
      </c>
      <c r="H832">
        <f>_xlfn.XLOOKUP($A832,Load!$B:$B,Load!I:I,0,)</f>
        <v>0</v>
      </c>
      <c r="I832">
        <f>_xlfn.XLOOKUP($A832,Load!$B:$B,Load!J:J,0,)</f>
        <v>0</v>
      </c>
      <c r="J832">
        <f>_xlfn.XLOOKUP($A832,Load!$B:$B,Load!K:K,0,)</f>
        <v>0</v>
      </c>
      <c r="K832">
        <f>_xlfn.XLOOKUP($A832,Load!$B:$B,Load!L:L,0,)</f>
        <v>0</v>
      </c>
      <c r="L832">
        <f>_xlfn.XLOOKUP($A832,Load!$B:$B,Load!M:M,0,)</f>
        <v>0</v>
      </c>
    </row>
    <row r="833" spans="1:12" x14ac:dyDescent="0.25">
      <c r="B833">
        <f>_xlfn.XLOOKUP($A833,Load!$B:$B,Load!C:C,0,)</f>
        <v>0</v>
      </c>
      <c r="C833">
        <f>_xlfn.XLOOKUP($A833,Load!$B:$B,Load!D:D,0,)</f>
        <v>0</v>
      </c>
      <c r="D833">
        <f>_xlfn.XLOOKUP($A833,Load!$B:$B,Load!E:E,0,)</f>
        <v>0</v>
      </c>
      <c r="E833">
        <f>_xlfn.XLOOKUP($A833,Load!$B:$B,Load!F:F,0,)</f>
        <v>0</v>
      </c>
      <c r="F833">
        <f>_xlfn.XLOOKUP($A833,Load!$B:$B,Load!G:G,0,)</f>
        <v>0</v>
      </c>
      <c r="G833">
        <f>_xlfn.XLOOKUP($A833,Load!$B:$B,Load!H:H,0,)</f>
        <v>0</v>
      </c>
      <c r="H833">
        <f>_xlfn.XLOOKUP($A833,Load!$B:$B,Load!I:I,0,)</f>
        <v>0</v>
      </c>
      <c r="I833">
        <f>_xlfn.XLOOKUP($A833,Load!$B:$B,Load!J:J,0,)</f>
        <v>0</v>
      </c>
      <c r="J833">
        <f>_xlfn.XLOOKUP($A833,Load!$B:$B,Load!K:K,0,)</f>
        <v>0</v>
      </c>
      <c r="K833">
        <f>_xlfn.XLOOKUP($A833,Load!$B:$B,Load!L:L,0,)</f>
        <v>0</v>
      </c>
      <c r="L833">
        <f>_xlfn.XLOOKUP($A833,Load!$B:$B,Load!M:M,0,)</f>
        <v>0</v>
      </c>
    </row>
    <row r="834" spans="1:12" x14ac:dyDescent="0.25">
      <c r="A834" t="s">
        <v>192</v>
      </c>
      <c r="B834" t="str">
        <f>_xlfn.XLOOKUP($A834,Load!$B:$B,Load!C:C,0,)</f>
        <v>Mars Variety Pack</v>
      </c>
      <c r="C834" t="str">
        <f>_xlfn.XLOOKUP($A834,Load!$B:$B,Load!D:D,0,)</f>
        <v>Non-Chocolate Candy Only</v>
      </c>
      <c r="D834" t="str">
        <f>_xlfn.XLOOKUP($A834,Load!$B:$B,Load!E:E,0,)</f>
        <v>Variety / Mixed Flavors (Fruity, Sour, Seasonal Flavors)</v>
      </c>
      <c r="E834" t="str">
        <f>_xlfn.XLOOKUP($A834,Load!$B:$B,Load!F:F,0,)</f>
        <v>Mixed / Combo Packs (Gummy, Chewy, Taffy, etc.)</v>
      </c>
      <c r="F834" t="str">
        <f>_xlfn.XLOOKUP($A834,Load!$B:$B,Load!G:G,0,)</f>
        <v>Medium Multipack (40–80 ct)</v>
      </c>
      <c r="G834" t="str">
        <f>_xlfn.XLOOKUP($A834,Load!$B:$B,Load!H:H,0,)</f>
        <v>Stand-Up Bag</v>
      </c>
      <c r="H834" t="str">
        <f>_xlfn.XLOOKUP($A834,Load!$B:$B,Load!I:I,0,)</f>
        <v>Everyday Candy Shapes (like Original, Gummy bear, Fruit, Jewels, etc.)</v>
      </c>
      <c r="I834" t="str">
        <f>_xlfn.XLOOKUP($A834,Load!$B:$B,Load!J:J,0,)</f>
        <v>Seasonal Graphics (Like Bat, Ghost, Pumpkin, Fall Leaves, Eyeballs, etc.)</v>
      </c>
      <c r="J834" t="str">
        <f>_xlfn.XLOOKUP($A834,Load!$B:$B,Load!K:K,0,)</f>
        <v>Fun Size / Treat Size</v>
      </c>
      <c r="K834" t="str">
        <f>_xlfn.XLOOKUP($A834,Load!$B:$B,Load!L:L,0,)</f>
        <v>Regular/Original Wrapping</v>
      </c>
      <c r="L834" t="str">
        <f>_xlfn.XLOOKUP($A834,Load!$B:$B,Load!M:M,0,)</f>
        <v>Multiple Brands / Variety Flavors or Form</v>
      </c>
    </row>
    <row r="835" spans="1:12" x14ac:dyDescent="0.25">
      <c r="A835" t="s">
        <v>95</v>
      </c>
      <c r="B835" t="str">
        <f>_xlfn.XLOOKUP($A835,Load!$B:$B,Load!C:C,0,)</f>
        <v>Ferrara Variety Pack</v>
      </c>
      <c r="C835" t="str">
        <f>_xlfn.XLOOKUP($A835,Load!$B:$B,Load!D:D,0,)</f>
        <v>Non-Chocolate Candy Only</v>
      </c>
      <c r="D835" t="str">
        <f>_xlfn.XLOOKUP($A835,Load!$B:$B,Load!E:E,0,)</f>
        <v>Variety / Mixed Flavors (Fruity, Sour, Seasonal Flavors)</v>
      </c>
      <c r="E835" t="str">
        <f>_xlfn.XLOOKUP($A835,Load!$B:$B,Load!F:F,0,)</f>
        <v>Mixed / Combo Packs (Gummy, Chewy, Taffy, etc.)</v>
      </c>
      <c r="F835" t="str">
        <f>_xlfn.XLOOKUP($A835,Load!$B:$B,Load!G:G,0,)</f>
        <v>Medium Multipack (40–80 ct)</v>
      </c>
      <c r="G835" t="str">
        <f>_xlfn.XLOOKUP($A835,Load!$B:$B,Load!H:H,0,)</f>
        <v>Stand-Up Bag</v>
      </c>
      <c r="H835" t="str">
        <f>_xlfn.XLOOKUP($A835,Load!$B:$B,Load!I:I,0,)</f>
        <v>Everyday Candy Shapes (like Original, Gummy bear, Fruit, Jewels, etc.)</v>
      </c>
      <c r="I835" t="str">
        <f>_xlfn.XLOOKUP($A835,Load!$B:$B,Load!J:J,0,)</f>
        <v>Seasonal Graphics (Like Bat, Ghost, Pumpkin, Fall Leaves, Eyeballs, etc.)</v>
      </c>
      <c r="J835" t="str">
        <f>_xlfn.XLOOKUP($A835,Load!$B:$B,Load!K:K,0,)</f>
        <v xml:space="preserve">Variety Candy Sizes </v>
      </c>
      <c r="K835" t="str">
        <f>_xlfn.XLOOKUP($A835,Load!$B:$B,Load!L:L,0,)</f>
        <v>Regular/Original Wrapping</v>
      </c>
      <c r="L835" t="str">
        <f>_xlfn.XLOOKUP($A835,Load!$B:$B,Load!M:M,0,)</f>
        <v>Multiple Brands / Variety Flavors or Form</v>
      </c>
    </row>
    <row r="836" spans="1:12" x14ac:dyDescent="0.25">
      <c r="B836">
        <f>_xlfn.XLOOKUP($A836,Load!$B:$B,Load!C:C,0,)</f>
        <v>0</v>
      </c>
      <c r="C836">
        <f>_xlfn.XLOOKUP($A836,Load!$B:$B,Load!D:D,0,)</f>
        <v>0</v>
      </c>
      <c r="D836">
        <f>_xlfn.XLOOKUP($A836,Load!$B:$B,Load!E:E,0,)</f>
        <v>0</v>
      </c>
      <c r="E836">
        <f>_xlfn.XLOOKUP($A836,Load!$B:$B,Load!F:F,0,)</f>
        <v>0</v>
      </c>
      <c r="F836">
        <f>_xlfn.XLOOKUP($A836,Load!$B:$B,Load!G:G,0,)</f>
        <v>0</v>
      </c>
      <c r="G836">
        <f>_xlfn.XLOOKUP($A836,Load!$B:$B,Load!H:H,0,)</f>
        <v>0</v>
      </c>
      <c r="H836">
        <f>_xlfn.XLOOKUP($A836,Load!$B:$B,Load!I:I,0,)</f>
        <v>0</v>
      </c>
      <c r="I836">
        <f>_xlfn.XLOOKUP($A836,Load!$B:$B,Load!J:J,0,)</f>
        <v>0</v>
      </c>
      <c r="J836">
        <f>_xlfn.XLOOKUP($A836,Load!$B:$B,Load!K:K,0,)</f>
        <v>0</v>
      </c>
      <c r="K836">
        <f>_xlfn.XLOOKUP($A836,Load!$B:$B,Load!L:L,0,)</f>
        <v>0</v>
      </c>
      <c r="L836">
        <f>_xlfn.XLOOKUP($A836,Load!$B:$B,Load!M:M,0,)</f>
        <v>0</v>
      </c>
    </row>
    <row r="837" spans="1:12" x14ac:dyDescent="0.25">
      <c r="B837">
        <f>_xlfn.XLOOKUP($A837,Load!$B:$B,Load!C:C,0,)</f>
        <v>0</v>
      </c>
      <c r="C837">
        <f>_xlfn.XLOOKUP($A837,Load!$B:$B,Load!D:D,0,)</f>
        <v>0</v>
      </c>
      <c r="D837">
        <f>_xlfn.XLOOKUP($A837,Load!$B:$B,Load!E:E,0,)</f>
        <v>0</v>
      </c>
      <c r="E837">
        <f>_xlfn.XLOOKUP($A837,Load!$B:$B,Load!F:F,0,)</f>
        <v>0</v>
      </c>
      <c r="F837">
        <f>_xlfn.XLOOKUP($A837,Load!$B:$B,Load!G:G,0,)</f>
        <v>0</v>
      </c>
      <c r="G837">
        <f>_xlfn.XLOOKUP($A837,Load!$B:$B,Load!H:H,0,)</f>
        <v>0</v>
      </c>
      <c r="H837">
        <f>_xlfn.XLOOKUP($A837,Load!$B:$B,Load!I:I,0,)</f>
        <v>0</v>
      </c>
      <c r="I837">
        <f>_xlfn.XLOOKUP($A837,Load!$B:$B,Load!J:J,0,)</f>
        <v>0</v>
      </c>
      <c r="J837">
        <f>_xlfn.XLOOKUP($A837,Load!$B:$B,Load!K:K,0,)</f>
        <v>0</v>
      </c>
      <c r="K837">
        <f>_xlfn.XLOOKUP($A837,Load!$B:$B,Load!L:L,0,)</f>
        <v>0</v>
      </c>
      <c r="L837">
        <f>_xlfn.XLOOKUP($A837,Load!$B:$B,Load!M:M,0,)</f>
        <v>0</v>
      </c>
    </row>
    <row r="838" spans="1:12" x14ac:dyDescent="0.25">
      <c r="A838" t="s">
        <v>66</v>
      </c>
      <c r="B838" t="str">
        <f>_xlfn.XLOOKUP($A838,Load!$B:$B,Load!C:C,0,)</f>
        <v>Dots</v>
      </c>
      <c r="C838" t="str">
        <f>_xlfn.XLOOKUP($A838,Load!$B:$B,Load!D:D,0,)</f>
        <v>Non-Chocolate Candy Only</v>
      </c>
      <c r="D838" t="str">
        <f>_xlfn.XLOOKUP($A838,Load!$B:$B,Load!E:E,0,)</f>
        <v>Variety / Mixed Flavors (Fruity, Sour, Seasonal Flavors)</v>
      </c>
      <c r="E838" t="str">
        <f>_xlfn.XLOOKUP($A838,Load!$B:$B,Load!F:F,0,)</f>
        <v>Candy Pieces / Bites</v>
      </c>
      <c r="F838" t="str">
        <f>_xlfn.XLOOKUP($A838,Load!$B:$B,Load!G:G,0,)</f>
        <v>Small Multipack (Less than 40 ct)</v>
      </c>
      <c r="G838" t="str">
        <f>_xlfn.XLOOKUP($A838,Load!$B:$B,Load!H:H,0,)</f>
        <v>Stand-Up Bag</v>
      </c>
      <c r="H838" t="str">
        <f>_xlfn.XLOOKUP($A838,Load!$B:$B,Load!I:I,0,)</f>
        <v>Seasonal Shapes (like pumpkins, candy corn, ghost, bats, etc.)</v>
      </c>
      <c r="I838" t="str">
        <f>_xlfn.XLOOKUP($A838,Load!$B:$B,Load!J:J,0,)</f>
        <v>Seasonal Graphics (Like Bat, Ghost, Pumpkin, Fall Leaves, Eyeballs, etc.)</v>
      </c>
      <c r="J838" t="str">
        <f>_xlfn.XLOOKUP($A838,Load!$B:$B,Load!K:K,0,)</f>
        <v>Fun Size / Treat Size</v>
      </c>
      <c r="K838" t="str">
        <f>_xlfn.XLOOKUP($A838,Load!$B:$B,Load!L:L,0,)</f>
        <v>Regular/Original Wrapping</v>
      </c>
      <c r="L838" t="str">
        <f>_xlfn.XLOOKUP($A838,Load!$B:$B,Load!M:M,0,)</f>
        <v>Single Brand / Variety Flavors or Form</v>
      </c>
    </row>
    <row r="839" spans="1:12" x14ac:dyDescent="0.25">
      <c r="B839">
        <f>_xlfn.XLOOKUP($A839,Load!$B:$B,Load!C:C,0,)</f>
        <v>0</v>
      </c>
      <c r="C839">
        <f>_xlfn.XLOOKUP($A839,Load!$B:$B,Load!D:D,0,)</f>
        <v>0</v>
      </c>
      <c r="D839">
        <f>_xlfn.XLOOKUP($A839,Load!$B:$B,Load!E:E,0,)</f>
        <v>0</v>
      </c>
      <c r="E839">
        <f>_xlfn.XLOOKUP($A839,Load!$B:$B,Load!F:F,0,)</f>
        <v>0</v>
      </c>
      <c r="F839">
        <f>_xlfn.XLOOKUP($A839,Load!$B:$B,Load!G:G,0,)</f>
        <v>0</v>
      </c>
      <c r="G839">
        <f>_xlfn.XLOOKUP($A839,Load!$B:$B,Load!H:H,0,)</f>
        <v>0</v>
      </c>
      <c r="H839">
        <f>_xlfn.XLOOKUP($A839,Load!$B:$B,Load!I:I,0,)</f>
        <v>0</v>
      </c>
      <c r="I839">
        <f>_xlfn.XLOOKUP($A839,Load!$B:$B,Load!J:J,0,)</f>
        <v>0</v>
      </c>
      <c r="J839">
        <f>_xlfn.XLOOKUP($A839,Load!$B:$B,Load!K:K,0,)</f>
        <v>0</v>
      </c>
      <c r="K839">
        <f>_xlfn.XLOOKUP($A839,Load!$B:$B,Load!L:L,0,)</f>
        <v>0</v>
      </c>
      <c r="L839">
        <f>_xlfn.XLOOKUP($A839,Load!$B:$B,Load!M:M,0,)</f>
        <v>0</v>
      </c>
    </row>
    <row r="840" spans="1:12" x14ac:dyDescent="0.25">
      <c r="A840" t="s">
        <v>283</v>
      </c>
      <c r="B840" t="str">
        <f>_xlfn.XLOOKUP($A840,Load!$B:$B,Load!C:C,0,)</f>
        <v>Sour Punch</v>
      </c>
      <c r="C840" t="str">
        <f>_xlfn.XLOOKUP($A840,Load!$B:$B,Load!D:D,0,)</f>
        <v>Non-Chocolate Candy Only</v>
      </c>
      <c r="D840" t="str">
        <f>_xlfn.XLOOKUP($A840,Load!$B:$B,Load!E:E,0,)</f>
        <v>Sour</v>
      </c>
      <c r="E840" t="str">
        <f>_xlfn.XLOOKUP($A840,Load!$B:$B,Load!F:F,0,)</f>
        <v>Chewy</v>
      </c>
      <c r="F840" t="str">
        <f>_xlfn.XLOOKUP($A840,Load!$B:$B,Load!G:G,0,)</f>
        <v>Large Multipack (More than 80 ct)</v>
      </c>
      <c r="G840" t="str">
        <f>_xlfn.XLOOKUP($A840,Load!$B:$B,Load!H:H,0,)</f>
        <v>Laydown Bag</v>
      </c>
      <c r="H840" t="str">
        <f>_xlfn.XLOOKUP($A840,Load!$B:$B,Load!I:I,0,)</f>
        <v>Seasonal Shapes (like pumpkins, candy corn, ghost, bats, etc.)</v>
      </c>
      <c r="I840" t="str">
        <f>_xlfn.XLOOKUP($A840,Load!$B:$B,Load!J:J,0,)</f>
        <v>Seasonal Graphics (Like Bat, Ghost, Pumpkin, Fall Leaves, Eyeballs, etc.)</v>
      </c>
      <c r="J840" t="str">
        <f>_xlfn.XLOOKUP($A840,Load!$B:$B,Load!K:K,0,)</f>
        <v>Small Pieces (Tiny bite size candies)</v>
      </c>
      <c r="K840" t="str">
        <f>_xlfn.XLOOKUP($A840,Load!$B:$B,Load!L:L,0,)</f>
        <v>Regular/Original Wrapping</v>
      </c>
      <c r="L840" t="str">
        <f>_xlfn.XLOOKUP($A840,Load!$B:$B,Load!M:M,0,)</f>
        <v>Single Brand / Variety Flavors or Form</v>
      </c>
    </row>
    <row r="841" spans="1:12" x14ac:dyDescent="0.25">
      <c r="B841">
        <f>_xlfn.XLOOKUP($A841,Load!$B:$B,Load!C:C,0,)</f>
        <v>0</v>
      </c>
      <c r="C841">
        <f>_xlfn.XLOOKUP($A841,Load!$B:$B,Load!D:D,0,)</f>
        <v>0</v>
      </c>
      <c r="D841">
        <f>_xlfn.XLOOKUP($A841,Load!$B:$B,Load!E:E,0,)</f>
        <v>0</v>
      </c>
      <c r="E841">
        <f>_xlfn.XLOOKUP($A841,Load!$B:$B,Load!F:F,0,)</f>
        <v>0</v>
      </c>
      <c r="F841">
        <f>_xlfn.XLOOKUP($A841,Load!$B:$B,Load!G:G,0,)</f>
        <v>0</v>
      </c>
      <c r="G841">
        <f>_xlfn.XLOOKUP($A841,Load!$B:$B,Load!H:H,0,)</f>
        <v>0</v>
      </c>
      <c r="H841">
        <f>_xlfn.XLOOKUP($A841,Load!$B:$B,Load!I:I,0,)</f>
        <v>0</v>
      </c>
      <c r="I841">
        <f>_xlfn.XLOOKUP($A841,Load!$B:$B,Load!J:J,0,)</f>
        <v>0</v>
      </c>
      <c r="J841">
        <f>_xlfn.XLOOKUP($A841,Load!$B:$B,Load!K:K,0,)</f>
        <v>0</v>
      </c>
      <c r="K841">
        <f>_xlfn.XLOOKUP($A841,Load!$B:$B,Load!L:L,0,)</f>
        <v>0</v>
      </c>
      <c r="L841">
        <f>_xlfn.XLOOKUP($A841,Load!$B:$B,Load!M:M,0,)</f>
        <v>0</v>
      </c>
    </row>
    <row r="842" spans="1:12" x14ac:dyDescent="0.25">
      <c r="B842">
        <f>_xlfn.XLOOKUP($A842,Load!$B:$B,Load!C:C,0,)</f>
        <v>0</v>
      </c>
      <c r="C842">
        <f>_xlfn.XLOOKUP($A842,Load!$B:$B,Load!D:D,0,)</f>
        <v>0</v>
      </c>
      <c r="D842">
        <f>_xlfn.XLOOKUP($A842,Load!$B:$B,Load!E:E,0,)</f>
        <v>0</v>
      </c>
      <c r="E842">
        <f>_xlfn.XLOOKUP($A842,Load!$B:$B,Load!F:F,0,)</f>
        <v>0</v>
      </c>
      <c r="F842">
        <f>_xlfn.XLOOKUP($A842,Load!$B:$B,Load!G:G,0,)</f>
        <v>0</v>
      </c>
      <c r="G842">
        <f>_xlfn.XLOOKUP($A842,Load!$B:$B,Load!H:H,0,)</f>
        <v>0</v>
      </c>
      <c r="H842">
        <f>_xlfn.XLOOKUP($A842,Load!$B:$B,Load!I:I,0,)</f>
        <v>0</v>
      </c>
      <c r="I842">
        <f>_xlfn.XLOOKUP($A842,Load!$B:$B,Load!J:J,0,)</f>
        <v>0</v>
      </c>
      <c r="J842">
        <f>_xlfn.XLOOKUP($A842,Load!$B:$B,Load!K:K,0,)</f>
        <v>0</v>
      </c>
      <c r="K842">
        <f>_xlfn.XLOOKUP($A842,Load!$B:$B,Load!L:L,0,)</f>
        <v>0</v>
      </c>
      <c r="L842">
        <f>_xlfn.XLOOKUP($A842,Load!$B:$B,Load!M:M,0,)</f>
        <v>0</v>
      </c>
    </row>
    <row r="843" spans="1:12" x14ac:dyDescent="0.25">
      <c r="B843">
        <f>_xlfn.XLOOKUP($A843,Load!$B:$B,Load!C:C,0,)</f>
        <v>0</v>
      </c>
      <c r="C843">
        <f>_xlfn.XLOOKUP($A843,Load!$B:$B,Load!D:D,0,)</f>
        <v>0</v>
      </c>
      <c r="D843">
        <f>_xlfn.XLOOKUP($A843,Load!$B:$B,Load!E:E,0,)</f>
        <v>0</v>
      </c>
      <c r="E843">
        <f>_xlfn.XLOOKUP($A843,Load!$B:$B,Load!F:F,0,)</f>
        <v>0</v>
      </c>
      <c r="F843">
        <f>_xlfn.XLOOKUP($A843,Load!$B:$B,Load!G:G,0,)</f>
        <v>0</v>
      </c>
      <c r="G843">
        <f>_xlfn.XLOOKUP($A843,Load!$B:$B,Load!H:H,0,)</f>
        <v>0</v>
      </c>
      <c r="H843">
        <f>_xlfn.XLOOKUP($A843,Load!$B:$B,Load!I:I,0,)</f>
        <v>0</v>
      </c>
      <c r="I843">
        <f>_xlfn.XLOOKUP($A843,Load!$B:$B,Load!J:J,0,)</f>
        <v>0</v>
      </c>
      <c r="J843">
        <f>_xlfn.XLOOKUP($A843,Load!$B:$B,Load!K:K,0,)</f>
        <v>0</v>
      </c>
      <c r="K843">
        <f>_xlfn.XLOOKUP($A843,Load!$B:$B,Load!L:L,0,)</f>
        <v>0</v>
      </c>
      <c r="L843">
        <f>_xlfn.XLOOKUP($A843,Load!$B:$B,Load!M:M,0,)</f>
        <v>0</v>
      </c>
    </row>
    <row r="844" spans="1:12" x14ac:dyDescent="0.25">
      <c r="B844">
        <f>_xlfn.XLOOKUP($A844,Load!$B:$B,Load!C:C,0,)</f>
        <v>0</v>
      </c>
      <c r="C844">
        <f>_xlfn.XLOOKUP($A844,Load!$B:$B,Load!D:D,0,)</f>
        <v>0</v>
      </c>
      <c r="D844">
        <f>_xlfn.XLOOKUP($A844,Load!$B:$B,Load!E:E,0,)</f>
        <v>0</v>
      </c>
      <c r="E844">
        <f>_xlfn.XLOOKUP($A844,Load!$B:$B,Load!F:F,0,)</f>
        <v>0</v>
      </c>
      <c r="F844">
        <f>_xlfn.XLOOKUP($A844,Load!$B:$B,Load!G:G,0,)</f>
        <v>0</v>
      </c>
      <c r="G844">
        <f>_xlfn.XLOOKUP($A844,Load!$B:$B,Load!H:H,0,)</f>
        <v>0</v>
      </c>
      <c r="H844">
        <f>_xlfn.XLOOKUP($A844,Load!$B:$B,Load!I:I,0,)</f>
        <v>0</v>
      </c>
      <c r="I844">
        <f>_xlfn.XLOOKUP($A844,Load!$B:$B,Load!J:J,0,)</f>
        <v>0</v>
      </c>
      <c r="J844">
        <f>_xlfn.XLOOKUP($A844,Load!$B:$B,Load!K:K,0,)</f>
        <v>0</v>
      </c>
      <c r="K844">
        <f>_xlfn.XLOOKUP($A844,Load!$B:$B,Load!L:L,0,)</f>
        <v>0</v>
      </c>
      <c r="L844">
        <f>_xlfn.XLOOKUP($A844,Load!$B:$B,Load!M:M,0,)</f>
        <v>0</v>
      </c>
    </row>
    <row r="845" spans="1:12" x14ac:dyDescent="0.25">
      <c r="B845">
        <f>_xlfn.XLOOKUP($A845,Load!$B:$B,Load!C:C,0,)</f>
        <v>0</v>
      </c>
      <c r="C845">
        <f>_xlfn.XLOOKUP($A845,Load!$B:$B,Load!D:D,0,)</f>
        <v>0</v>
      </c>
      <c r="D845">
        <f>_xlfn.XLOOKUP($A845,Load!$B:$B,Load!E:E,0,)</f>
        <v>0</v>
      </c>
      <c r="E845">
        <f>_xlfn.XLOOKUP($A845,Load!$B:$B,Load!F:F,0,)</f>
        <v>0</v>
      </c>
      <c r="F845">
        <f>_xlfn.XLOOKUP($A845,Load!$B:$B,Load!G:G,0,)</f>
        <v>0</v>
      </c>
      <c r="G845">
        <f>_xlfn.XLOOKUP($A845,Load!$B:$B,Load!H:H,0,)</f>
        <v>0</v>
      </c>
      <c r="H845">
        <f>_xlfn.XLOOKUP($A845,Load!$B:$B,Load!I:I,0,)</f>
        <v>0</v>
      </c>
      <c r="I845">
        <f>_xlfn.XLOOKUP($A845,Load!$B:$B,Load!J:J,0,)</f>
        <v>0</v>
      </c>
      <c r="J845">
        <f>_xlfn.XLOOKUP($A845,Load!$B:$B,Load!K:K,0,)</f>
        <v>0</v>
      </c>
      <c r="K845">
        <f>_xlfn.XLOOKUP($A845,Load!$B:$B,Load!L:L,0,)</f>
        <v>0</v>
      </c>
      <c r="L845">
        <f>_xlfn.XLOOKUP($A845,Load!$B:$B,Load!M:M,0,)</f>
        <v>0</v>
      </c>
    </row>
    <row r="846" spans="1:12" x14ac:dyDescent="0.25">
      <c r="B846">
        <f>_xlfn.XLOOKUP($A846,Load!$B:$B,Load!C:C,0,)</f>
        <v>0</v>
      </c>
      <c r="C846">
        <f>_xlfn.XLOOKUP($A846,Load!$B:$B,Load!D:D,0,)</f>
        <v>0</v>
      </c>
      <c r="D846">
        <f>_xlfn.XLOOKUP($A846,Load!$B:$B,Load!E:E,0,)</f>
        <v>0</v>
      </c>
      <c r="E846">
        <f>_xlfn.XLOOKUP($A846,Load!$B:$B,Load!F:F,0,)</f>
        <v>0</v>
      </c>
      <c r="F846">
        <f>_xlfn.XLOOKUP($A846,Load!$B:$B,Load!G:G,0,)</f>
        <v>0</v>
      </c>
      <c r="G846">
        <f>_xlfn.XLOOKUP($A846,Load!$B:$B,Load!H:H,0,)</f>
        <v>0</v>
      </c>
      <c r="H846">
        <f>_xlfn.XLOOKUP($A846,Load!$B:$B,Load!I:I,0,)</f>
        <v>0</v>
      </c>
      <c r="I846">
        <f>_xlfn.XLOOKUP($A846,Load!$B:$B,Load!J:J,0,)</f>
        <v>0</v>
      </c>
      <c r="J846">
        <f>_xlfn.XLOOKUP($A846,Load!$B:$B,Load!K:K,0,)</f>
        <v>0</v>
      </c>
      <c r="K846">
        <f>_xlfn.XLOOKUP($A846,Load!$B:$B,Load!L:L,0,)</f>
        <v>0</v>
      </c>
      <c r="L846">
        <f>_xlfn.XLOOKUP($A846,Load!$B:$B,Load!M:M,0,)</f>
        <v>0</v>
      </c>
    </row>
    <row r="847" spans="1:12" x14ac:dyDescent="0.25">
      <c r="B847">
        <f>_xlfn.XLOOKUP($A847,Load!$B:$B,Load!C:C,0,)</f>
        <v>0</v>
      </c>
      <c r="C847">
        <f>_xlfn.XLOOKUP($A847,Load!$B:$B,Load!D:D,0,)</f>
        <v>0</v>
      </c>
      <c r="D847">
        <f>_xlfn.XLOOKUP($A847,Load!$B:$B,Load!E:E,0,)</f>
        <v>0</v>
      </c>
      <c r="E847">
        <f>_xlfn.XLOOKUP($A847,Load!$B:$B,Load!F:F,0,)</f>
        <v>0</v>
      </c>
      <c r="F847">
        <f>_xlfn.XLOOKUP($A847,Load!$B:$B,Load!G:G,0,)</f>
        <v>0</v>
      </c>
      <c r="G847">
        <f>_xlfn.XLOOKUP($A847,Load!$B:$B,Load!H:H,0,)</f>
        <v>0</v>
      </c>
      <c r="H847">
        <f>_xlfn.XLOOKUP($A847,Load!$B:$B,Load!I:I,0,)</f>
        <v>0</v>
      </c>
      <c r="I847">
        <f>_xlfn.XLOOKUP($A847,Load!$B:$B,Load!J:J,0,)</f>
        <v>0</v>
      </c>
      <c r="J847">
        <f>_xlfn.XLOOKUP($A847,Load!$B:$B,Load!K:K,0,)</f>
        <v>0</v>
      </c>
      <c r="K847">
        <f>_xlfn.XLOOKUP($A847,Load!$B:$B,Load!L:L,0,)</f>
        <v>0</v>
      </c>
      <c r="L847">
        <f>_xlfn.XLOOKUP($A847,Load!$B:$B,Load!M:M,0,)</f>
        <v>0</v>
      </c>
    </row>
    <row r="848" spans="1:12" x14ac:dyDescent="0.25">
      <c r="A848" t="s">
        <v>253</v>
      </c>
      <c r="B848" t="str">
        <f>_xlfn.XLOOKUP($A848,Load!$B:$B,Load!C:C,0,)</f>
        <v>Skittles</v>
      </c>
      <c r="C848" t="str">
        <f>_xlfn.XLOOKUP($A848,Load!$B:$B,Load!D:D,0,)</f>
        <v>Non-Chocolate Candy Only</v>
      </c>
      <c r="D848" t="str">
        <f>_xlfn.XLOOKUP($A848,Load!$B:$B,Load!E:E,0,)</f>
        <v>Variety / Mixed Flavors (Fruity, Sour, Seasonal Flavors)</v>
      </c>
      <c r="E848" t="str">
        <f>_xlfn.XLOOKUP($A848,Load!$B:$B,Load!F:F,0,)</f>
        <v>Mixed / Combo Packs (Gummy, Chewy, Taffy, etc.)</v>
      </c>
      <c r="F848" t="str">
        <f>_xlfn.XLOOKUP($A848,Load!$B:$B,Load!G:G,0,)</f>
        <v>Medium Multipack (40–80 ct)</v>
      </c>
      <c r="G848" t="str">
        <f>_xlfn.XLOOKUP($A848,Load!$B:$B,Load!H:H,0,)</f>
        <v>Stand-Up Bag</v>
      </c>
      <c r="H848" t="str">
        <f>_xlfn.XLOOKUP($A848,Load!$B:$B,Load!I:I,0,)</f>
        <v>Everyday Candy Shapes (like Original, Gummy bear, Fruit, Jewels, etc.)</v>
      </c>
      <c r="I848" t="str">
        <f>_xlfn.XLOOKUP($A848,Load!$B:$B,Load!J:J,0,)</f>
        <v>Seasonal Graphics (Like Bat, Ghost, Pumpkin, Fall Leaves, Eyeballs, etc.)</v>
      </c>
      <c r="J848" t="str">
        <f>_xlfn.XLOOKUP($A848,Load!$B:$B,Load!K:K,0,)</f>
        <v>Small Pieces (Tiny bite size candies)</v>
      </c>
      <c r="K848" t="str">
        <f>_xlfn.XLOOKUP($A848,Load!$B:$B,Load!L:L,0,)</f>
        <v>Regular/Original Wrapping</v>
      </c>
      <c r="L848" t="str">
        <f>_xlfn.XLOOKUP($A848,Load!$B:$B,Load!M:M,0,)</f>
        <v>Single Brand / Variety Flavors or Form</v>
      </c>
    </row>
    <row r="849" spans="1:12" x14ac:dyDescent="0.25">
      <c r="B849">
        <f>_xlfn.XLOOKUP($A849,Load!$B:$B,Load!C:C,0,)</f>
        <v>0</v>
      </c>
      <c r="C849">
        <f>_xlfn.XLOOKUP($A849,Load!$B:$B,Load!D:D,0,)</f>
        <v>0</v>
      </c>
      <c r="D849">
        <f>_xlfn.XLOOKUP($A849,Load!$B:$B,Load!E:E,0,)</f>
        <v>0</v>
      </c>
      <c r="E849">
        <f>_xlfn.XLOOKUP($A849,Load!$B:$B,Load!F:F,0,)</f>
        <v>0</v>
      </c>
      <c r="F849">
        <f>_xlfn.XLOOKUP($A849,Load!$B:$B,Load!G:G,0,)</f>
        <v>0</v>
      </c>
      <c r="G849">
        <f>_xlfn.XLOOKUP($A849,Load!$B:$B,Load!H:H,0,)</f>
        <v>0</v>
      </c>
      <c r="H849">
        <f>_xlfn.XLOOKUP($A849,Load!$B:$B,Load!I:I,0,)</f>
        <v>0</v>
      </c>
      <c r="I849">
        <f>_xlfn.XLOOKUP($A849,Load!$B:$B,Load!J:J,0,)</f>
        <v>0</v>
      </c>
      <c r="J849">
        <f>_xlfn.XLOOKUP($A849,Load!$B:$B,Load!K:K,0,)</f>
        <v>0</v>
      </c>
      <c r="K849">
        <f>_xlfn.XLOOKUP($A849,Load!$B:$B,Load!L:L,0,)</f>
        <v>0</v>
      </c>
      <c r="L849">
        <f>_xlfn.XLOOKUP($A849,Load!$B:$B,Load!M:M,0,)</f>
        <v>0</v>
      </c>
    </row>
    <row r="850" spans="1:12" x14ac:dyDescent="0.25">
      <c r="A850" t="s">
        <v>224</v>
      </c>
      <c r="B850" t="str">
        <f>_xlfn.XLOOKUP($A850,Load!$B:$B,Load!C:C,0,)</f>
        <v>Nerds</v>
      </c>
      <c r="C850" t="str">
        <f>_xlfn.XLOOKUP($A850,Load!$B:$B,Load!D:D,0,)</f>
        <v>Non-Chocolate Candy Only</v>
      </c>
      <c r="D850" t="str">
        <f>_xlfn.XLOOKUP($A850,Load!$B:$B,Load!E:E,0,)</f>
        <v>Sweet</v>
      </c>
      <c r="E850" t="str">
        <f>_xlfn.XLOOKUP($A850,Load!$B:$B,Load!F:F,0,)</f>
        <v>Mixed / Combo Packs (Gummy, Chewy, Taffy, etc.)</v>
      </c>
      <c r="F850" t="str">
        <f>_xlfn.XLOOKUP($A850,Load!$B:$B,Load!G:G,0,)</f>
        <v>Medium Multipack (40–80 ct)</v>
      </c>
      <c r="G850" t="str">
        <f>_xlfn.XLOOKUP($A850,Load!$B:$B,Load!H:H,0,)</f>
        <v>Stand-Up Bag</v>
      </c>
      <c r="H850" t="str">
        <f>_xlfn.XLOOKUP($A850,Load!$B:$B,Load!I:I,0,)</f>
        <v>Everyday Candy Shapes (like Original, Gummy bear, Fruit, Jewels, etc.)</v>
      </c>
      <c r="I850" t="str">
        <f>_xlfn.XLOOKUP($A850,Load!$B:$B,Load!J:J,0,)</f>
        <v>Seasonal Graphics (Like Bat, Ghost, Pumpkin, Fall Leaves, Eyeballs, etc.)</v>
      </c>
      <c r="J850" t="str">
        <f>_xlfn.XLOOKUP($A850,Load!$B:$B,Load!K:K,0,)</f>
        <v xml:space="preserve">Variety Candy Sizes </v>
      </c>
      <c r="K850" t="str">
        <f>_xlfn.XLOOKUP($A850,Load!$B:$B,Load!L:L,0,)</f>
        <v>Regular/Original Wrapping</v>
      </c>
      <c r="L850" t="str">
        <f>_xlfn.XLOOKUP($A850,Load!$B:$B,Load!M:M,0,)</f>
        <v>Single Brand / Variety Flavors or Form</v>
      </c>
    </row>
    <row r="851" spans="1:12" x14ac:dyDescent="0.25">
      <c r="B851">
        <f>_xlfn.XLOOKUP($A851,Load!$B:$B,Load!C:C,0,)</f>
        <v>0</v>
      </c>
      <c r="C851">
        <f>_xlfn.XLOOKUP($A851,Load!$B:$B,Load!D:D,0,)</f>
        <v>0</v>
      </c>
      <c r="D851">
        <f>_xlfn.XLOOKUP($A851,Load!$B:$B,Load!E:E,0,)</f>
        <v>0</v>
      </c>
      <c r="E851">
        <f>_xlfn.XLOOKUP($A851,Load!$B:$B,Load!F:F,0,)</f>
        <v>0</v>
      </c>
      <c r="F851">
        <f>_xlfn.XLOOKUP($A851,Load!$B:$B,Load!G:G,0,)</f>
        <v>0</v>
      </c>
      <c r="G851">
        <f>_xlfn.XLOOKUP($A851,Load!$B:$B,Load!H:H,0,)</f>
        <v>0</v>
      </c>
      <c r="H851">
        <f>_xlfn.XLOOKUP($A851,Load!$B:$B,Load!I:I,0,)</f>
        <v>0</v>
      </c>
      <c r="I851">
        <f>_xlfn.XLOOKUP($A851,Load!$B:$B,Load!J:J,0,)</f>
        <v>0</v>
      </c>
      <c r="J851">
        <f>_xlfn.XLOOKUP($A851,Load!$B:$B,Load!K:K,0,)</f>
        <v>0</v>
      </c>
      <c r="K851">
        <f>_xlfn.XLOOKUP($A851,Load!$B:$B,Load!L:L,0,)</f>
        <v>0</v>
      </c>
      <c r="L851">
        <f>_xlfn.XLOOKUP($A851,Load!$B:$B,Load!M:M,0,)</f>
        <v>0</v>
      </c>
    </row>
    <row r="852" spans="1:12" x14ac:dyDescent="0.25">
      <c r="A852" t="s">
        <v>128</v>
      </c>
      <c r="B852" t="str">
        <f>_xlfn.XLOOKUP($A852,Load!$B:$B,Load!C:C,0,)</f>
        <v>HARIBO</v>
      </c>
      <c r="C852" t="str">
        <f>_xlfn.XLOOKUP($A852,Load!$B:$B,Load!D:D,0,)</f>
        <v>Non-Chocolate Candy Only</v>
      </c>
      <c r="D852" t="str">
        <f>_xlfn.XLOOKUP($A852,Load!$B:$B,Load!E:E,0,)</f>
        <v>Fruit Flavor (Cherry, Grape, Apple, Citrus, Tropical Fruit)</v>
      </c>
      <c r="E852" t="str">
        <f>_xlfn.XLOOKUP($A852,Load!$B:$B,Load!F:F,0,)</f>
        <v>Gummy</v>
      </c>
      <c r="F852" t="str">
        <f>_xlfn.XLOOKUP($A852,Load!$B:$B,Load!G:G,0,)</f>
        <v>Medium Multipack (40–80 ct)</v>
      </c>
      <c r="G852" t="str">
        <f>_xlfn.XLOOKUP($A852,Load!$B:$B,Load!H:H,0,)</f>
        <v>Plastic Cup / Container</v>
      </c>
      <c r="H852" t="str">
        <f>_xlfn.XLOOKUP($A852,Load!$B:$B,Load!I:I,0,)</f>
        <v>Everyday Candy Shapes (like Original, Gummy bear, Fruit, Jewels, etc.)</v>
      </c>
      <c r="I852" t="str">
        <f>_xlfn.XLOOKUP($A852,Load!$B:$B,Load!J:J,0,)</f>
        <v>Everyday Graphics</v>
      </c>
      <c r="J852" t="str">
        <f>_xlfn.XLOOKUP($A852,Load!$B:$B,Load!K:K,0,)</f>
        <v>Small Pieces (Tiny bite size candies)</v>
      </c>
      <c r="K852" t="str">
        <f>_xlfn.XLOOKUP($A852,Load!$B:$B,Load!L:L,0,)</f>
        <v>Regular/Original Wrapping</v>
      </c>
      <c r="L852" t="str">
        <f>_xlfn.XLOOKUP($A852,Load!$B:$B,Load!M:M,0,)</f>
        <v>Single Brand / Variety Flavors or Form</v>
      </c>
    </row>
    <row r="853" spans="1:12" x14ac:dyDescent="0.25">
      <c r="A853" t="s">
        <v>31</v>
      </c>
      <c r="B853" t="str">
        <f>_xlfn.XLOOKUP($A853,Load!$B:$B,Load!C:C,0,)</f>
        <v>AMOS</v>
      </c>
      <c r="C853" t="str">
        <f>_xlfn.XLOOKUP($A853,Load!$B:$B,Load!D:D,0,)</f>
        <v>Non-Chocolate Candy Only</v>
      </c>
      <c r="D853" t="str">
        <f>_xlfn.XLOOKUP($A853,Load!$B:$B,Load!E:E,0,)</f>
        <v>Berry Based (Raspberry, Strawberry, Medley, etc.)</v>
      </c>
      <c r="E853" t="str">
        <f>_xlfn.XLOOKUP($A853,Load!$B:$B,Load!F:F,0,)</f>
        <v>Gummy</v>
      </c>
      <c r="F853" t="str">
        <f>_xlfn.XLOOKUP($A853,Load!$B:$B,Load!G:G,0,)</f>
        <v>Medium Multipack (40–80 ct)</v>
      </c>
      <c r="G853" t="str">
        <f>_xlfn.XLOOKUP($A853,Load!$B:$B,Load!H:H,0,)</f>
        <v>Laydown Bag</v>
      </c>
      <c r="H853" t="str">
        <f>_xlfn.XLOOKUP($A853,Load!$B:$B,Load!I:I,0,)</f>
        <v>Seasonal Shapes (like pumpkins, candy corn, ghost, bats, etc.)</v>
      </c>
      <c r="I853" t="str">
        <f>_xlfn.XLOOKUP($A853,Load!$B:$B,Load!J:J,0,)</f>
        <v>Seasonal Graphics (Like Bat, Ghost, Pumpkin, Fall Leaves, Eyeballs, etc.)</v>
      </c>
      <c r="J853" t="str">
        <f>_xlfn.XLOOKUP($A853,Load!$B:$B,Load!K:K,0,)</f>
        <v>Small Pieces (Tiny bite size candies)</v>
      </c>
      <c r="K853" t="str">
        <f>_xlfn.XLOOKUP($A853,Load!$B:$B,Load!L:L,0,)</f>
        <v>Unwrapped</v>
      </c>
      <c r="L853" t="str">
        <f>_xlfn.XLOOKUP($A853,Load!$B:$B,Load!M:M,0,)</f>
        <v>Single Brand / Variety Flavors or Form</v>
      </c>
    </row>
    <row r="854" spans="1:12" x14ac:dyDescent="0.25">
      <c r="B854">
        <f>_xlfn.XLOOKUP($A854,Load!$B:$B,Load!C:C,0,)</f>
        <v>0</v>
      </c>
      <c r="C854">
        <f>_xlfn.XLOOKUP($A854,Load!$B:$B,Load!D:D,0,)</f>
        <v>0</v>
      </c>
      <c r="D854">
        <f>_xlfn.XLOOKUP($A854,Load!$B:$B,Load!E:E,0,)</f>
        <v>0</v>
      </c>
      <c r="E854">
        <f>_xlfn.XLOOKUP($A854,Load!$B:$B,Load!F:F,0,)</f>
        <v>0</v>
      </c>
      <c r="F854">
        <f>_xlfn.XLOOKUP($A854,Load!$B:$B,Load!G:G,0,)</f>
        <v>0</v>
      </c>
      <c r="G854">
        <f>_xlfn.XLOOKUP($A854,Load!$B:$B,Load!H:H,0,)</f>
        <v>0</v>
      </c>
      <c r="H854">
        <f>_xlfn.XLOOKUP($A854,Load!$B:$B,Load!I:I,0,)</f>
        <v>0</v>
      </c>
      <c r="I854">
        <f>_xlfn.XLOOKUP($A854,Load!$B:$B,Load!J:J,0,)</f>
        <v>0</v>
      </c>
      <c r="J854">
        <f>_xlfn.XLOOKUP($A854,Load!$B:$B,Load!K:K,0,)</f>
        <v>0</v>
      </c>
      <c r="K854">
        <f>_xlfn.XLOOKUP($A854,Load!$B:$B,Load!L:L,0,)</f>
        <v>0</v>
      </c>
      <c r="L854">
        <f>_xlfn.XLOOKUP($A854,Load!$B:$B,Load!M:M,0,)</f>
        <v>0</v>
      </c>
    </row>
    <row r="855" spans="1:12" x14ac:dyDescent="0.25">
      <c r="B855">
        <f>_xlfn.XLOOKUP($A855,Load!$B:$B,Load!C:C,0,)</f>
        <v>0</v>
      </c>
      <c r="C855">
        <f>_xlfn.XLOOKUP($A855,Load!$B:$B,Load!D:D,0,)</f>
        <v>0</v>
      </c>
      <c r="D855">
        <f>_xlfn.XLOOKUP($A855,Load!$B:$B,Load!E:E,0,)</f>
        <v>0</v>
      </c>
      <c r="E855">
        <f>_xlfn.XLOOKUP($A855,Load!$B:$B,Load!F:F,0,)</f>
        <v>0</v>
      </c>
      <c r="F855">
        <f>_xlfn.XLOOKUP($A855,Load!$B:$B,Load!G:G,0,)</f>
        <v>0</v>
      </c>
      <c r="G855">
        <f>_xlfn.XLOOKUP($A855,Load!$B:$B,Load!H:H,0,)</f>
        <v>0</v>
      </c>
      <c r="H855">
        <f>_xlfn.XLOOKUP($A855,Load!$B:$B,Load!I:I,0,)</f>
        <v>0</v>
      </c>
      <c r="I855">
        <f>_xlfn.XLOOKUP($A855,Load!$B:$B,Load!J:J,0,)</f>
        <v>0</v>
      </c>
      <c r="J855">
        <f>_xlfn.XLOOKUP($A855,Load!$B:$B,Load!K:K,0,)</f>
        <v>0</v>
      </c>
      <c r="K855">
        <f>_xlfn.XLOOKUP($A855,Load!$B:$B,Load!L:L,0,)</f>
        <v>0</v>
      </c>
      <c r="L855">
        <f>_xlfn.XLOOKUP($A855,Load!$B:$B,Load!M:M,0,)</f>
        <v>0</v>
      </c>
    </row>
    <row r="856" spans="1:12" x14ac:dyDescent="0.25">
      <c r="B856">
        <f>_xlfn.XLOOKUP($A856,Load!$B:$B,Load!C:C,0,)</f>
        <v>0</v>
      </c>
      <c r="C856">
        <f>_xlfn.XLOOKUP($A856,Load!$B:$B,Load!D:D,0,)</f>
        <v>0</v>
      </c>
      <c r="D856">
        <f>_xlfn.XLOOKUP($A856,Load!$B:$B,Load!E:E,0,)</f>
        <v>0</v>
      </c>
      <c r="E856">
        <f>_xlfn.XLOOKUP($A856,Load!$B:$B,Load!F:F,0,)</f>
        <v>0</v>
      </c>
      <c r="F856">
        <f>_xlfn.XLOOKUP($A856,Load!$B:$B,Load!G:G,0,)</f>
        <v>0</v>
      </c>
      <c r="G856">
        <f>_xlfn.XLOOKUP($A856,Load!$B:$B,Load!H:H,0,)</f>
        <v>0</v>
      </c>
      <c r="H856">
        <f>_xlfn.XLOOKUP($A856,Load!$B:$B,Load!I:I,0,)</f>
        <v>0</v>
      </c>
      <c r="I856">
        <f>_xlfn.XLOOKUP($A856,Load!$B:$B,Load!J:J,0,)</f>
        <v>0</v>
      </c>
      <c r="J856">
        <f>_xlfn.XLOOKUP($A856,Load!$B:$B,Load!K:K,0,)</f>
        <v>0</v>
      </c>
      <c r="K856">
        <f>_xlfn.XLOOKUP($A856,Load!$B:$B,Load!L:L,0,)</f>
        <v>0</v>
      </c>
      <c r="L856">
        <f>_xlfn.XLOOKUP($A856,Load!$B:$B,Load!M:M,0,)</f>
        <v>0</v>
      </c>
    </row>
    <row r="857" spans="1:12" x14ac:dyDescent="0.25">
      <c r="B857">
        <f>_xlfn.XLOOKUP($A857,Load!$B:$B,Load!C:C,0,)</f>
        <v>0</v>
      </c>
      <c r="C857">
        <f>_xlfn.XLOOKUP($A857,Load!$B:$B,Load!D:D,0,)</f>
        <v>0</v>
      </c>
      <c r="D857">
        <f>_xlfn.XLOOKUP($A857,Load!$B:$B,Load!E:E,0,)</f>
        <v>0</v>
      </c>
      <c r="E857">
        <f>_xlfn.XLOOKUP($A857,Load!$B:$B,Load!F:F,0,)</f>
        <v>0</v>
      </c>
      <c r="F857">
        <f>_xlfn.XLOOKUP($A857,Load!$B:$B,Load!G:G,0,)</f>
        <v>0</v>
      </c>
      <c r="G857">
        <f>_xlfn.XLOOKUP($A857,Load!$B:$B,Load!H:H,0,)</f>
        <v>0</v>
      </c>
      <c r="H857">
        <f>_xlfn.XLOOKUP($A857,Load!$B:$B,Load!I:I,0,)</f>
        <v>0</v>
      </c>
      <c r="I857">
        <f>_xlfn.XLOOKUP($A857,Load!$B:$B,Load!J:J,0,)</f>
        <v>0</v>
      </c>
      <c r="J857">
        <f>_xlfn.XLOOKUP($A857,Load!$B:$B,Load!K:K,0,)</f>
        <v>0</v>
      </c>
      <c r="K857">
        <f>_xlfn.XLOOKUP($A857,Load!$B:$B,Load!L:L,0,)</f>
        <v>0</v>
      </c>
      <c r="L857">
        <f>_xlfn.XLOOKUP($A857,Load!$B:$B,Load!M:M,0,)</f>
        <v>0</v>
      </c>
    </row>
    <row r="858" spans="1:12" x14ac:dyDescent="0.25">
      <c r="B858">
        <f>_xlfn.XLOOKUP($A858,Load!$B:$B,Load!C:C,0,)</f>
        <v>0</v>
      </c>
      <c r="C858">
        <f>_xlfn.XLOOKUP($A858,Load!$B:$B,Load!D:D,0,)</f>
        <v>0</v>
      </c>
      <c r="D858">
        <f>_xlfn.XLOOKUP($A858,Load!$B:$B,Load!E:E,0,)</f>
        <v>0</v>
      </c>
      <c r="E858">
        <f>_xlfn.XLOOKUP($A858,Load!$B:$B,Load!F:F,0,)</f>
        <v>0</v>
      </c>
      <c r="F858">
        <f>_xlfn.XLOOKUP($A858,Load!$B:$B,Load!G:G,0,)</f>
        <v>0</v>
      </c>
      <c r="G858">
        <f>_xlfn.XLOOKUP($A858,Load!$B:$B,Load!H:H,0,)</f>
        <v>0</v>
      </c>
      <c r="H858">
        <f>_xlfn.XLOOKUP($A858,Load!$B:$B,Load!I:I,0,)</f>
        <v>0</v>
      </c>
      <c r="I858">
        <f>_xlfn.XLOOKUP($A858,Load!$B:$B,Load!J:J,0,)</f>
        <v>0</v>
      </c>
      <c r="J858">
        <f>_xlfn.XLOOKUP($A858,Load!$B:$B,Load!K:K,0,)</f>
        <v>0</v>
      </c>
      <c r="K858">
        <f>_xlfn.XLOOKUP($A858,Load!$B:$B,Load!L:L,0,)</f>
        <v>0</v>
      </c>
      <c r="L858">
        <f>_xlfn.XLOOKUP($A858,Load!$B:$B,Load!M:M,0,)</f>
        <v>0</v>
      </c>
    </row>
    <row r="859" spans="1:12" x14ac:dyDescent="0.25">
      <c r="B859">
        <f>_xlfn.XLOOKUP($A859,Load!$B:$B,Load!C:C,0,)</f>
        <v>0</v>
      </c>
      <c r="C859">
        <f>_xlfn.XLOOKUP($A859,Load!$B:$B,Load!D:D,0,)</f>
        <v>0</v>
      </c>
      <c r="D859">
        <f>_xlfn.XLOOKUP($A859,Load!$B:$B,Load!E:E,0,)</f>
        <v>0</v>
      </c>
      <c r="E859">
        <f>_xlfn.XLOOKUP($A859,Load!$B:$B,Load!F:F,0,)</f>
        <v>0</v>
      </c>
      <c r="F859">
        <f>_xlfn.XLOOKUP($A859,Load!$B:$B,Load!G:G,0,)</f>
        <v>0</v>
      </c>
      <c r="G859">
        <f>_xlfn.XLOOKUP($A859,Load!$B:$B,Load!H:H,0,)</f>
        <v>0</v>
      </c>
      <c r="H859">
        <f>_xlfn.XLOOKUP($A859,Load!$B:$B,Load!I:I,0,)</f>
        <v>0</v>
      </c>
      <c r="I859">
        <f>_xlfn.XLOOKUP($A859,Load!$B:$B,Load!J:J,0,)</f>
        <v>0</v>
      </c>
      <c r="J859">
        <f>_xlfn.XLOOKUP($A859,Load!$B:$B,Load!K:K,0,)</f>
        <v>0</v>
      </c>
      <c r="K859">
        <f>_xlfn.XLOOKUP($A859,Load!$B:$B,Load!L:L,0,)</f>
        <v>0</v>
      </c>
      <c r="L859">
        <f>_xlfn.XLOOKUP($A859,Load!$B:$B,Load!M:M,0,)</f>
        <v>0</v>
      </c>
    </row>
    <row r="860" spans="1:12" x14ac:dyDescent="0.25">
      <c r="B860">
        <f>_xlfn.XLOOKUP($A860,Load!$B:$B,Load!C:C,0,)</f>
        <v>0</v>
      </c>
      <c r="C860">
        <f>_xlfn.XLOOKUP($A860,Load!$B:$B,Load!D:D,0,)</f>
        <v>0</v>
      </c>
      <c r="D860">
        <f>_xlfn.XLOOKUP($A860,Load!$B:$B,Load!E:E,0,)</f>
        <v>0</v>
      </c>
      <c r="E860">
        <f>_xlfn.XLOOKUP($A860,Load!$B:$B,Load!F:F,0,)</f>
        <v>0</v>
      </c>
      <c r="F860">
        <f>_xlfn.XLOOKUP($A860,Load!$B:$B,Load!G:G,0,)</f>
        <v>0</v>
      </c>
      <c r="G860">
        <f>_xlfn.XLOOKUP($A860,Load!$B:$B,Load!H:H,0,)</f>
        <v>0</v>
      </c>
      <c r="H860">
        <f>_xlfn.XLOOKUP($A860,Load!$B:$B,Load!I:I,0,)</f>
        <v>0</v>
      </c>
      <c r="I860">
        <f>_xlfn.XLOOKUP($A860,Load!$B:$B,Load!J:J,0,)</f>
        <v>0</v>
      </c>
      <c r="J860">
        <f>_xlfn.XLOOKUP($A860,Load!$B:$B,Load!K:K,0,)</f>
        <v>0</v>
      </c>
      <c r="K860">
        <f>_xlfn.XLOOKUP($A860,Load!$B:$B,Load!L:L,0,)</f>
        <v>0</v>
      </c>
      <c r="L860">
        <f>_xlfn.XLOOKUP($A860,Load!$B:$B,Load!M:M,0,)</f>
        <v>0</v>
      </c>
    </row>
    <row r="861" spans="1:12" x14ac:dyDescent="0.25">
      <c r="B861">
        <f>_xlfn.XLOOKUP($A861,Load!$B:$B,Load!C:C,0,)</f>
        <v>0</v>
      </c>
      <c r="C861">
        <f>_xlfn.XLOOKUP($A861,Load!$B:$B,Load!D:D,0,)</f>
        <v>0</v>
      </c>
      <c r="D861">
        <f>_xlfn.XLOOKUP($A861,Load!$B:$B,Load!E:E,0,)</f>
        <v>0</v>
      </c>
      <c r="E861">
        <f>_xlfn.XLOOKUP($A861,Load!$B:$B,Load!F:F,0,)</f>
        <v>0</v>
      </c>
      <c r="F861">
        <f>_xlfn.XLOOKUP($A861,Load!$B:$B,Load!G:G,0,)</f>
        <v>0</v>
      </c>
      <c r="G861">
        <f>_xlfn.XLOOKUP($A861,Load!$B:$B,Load!H:H,0,)</f>
        <v>0</v>
      </c>
      <c r="H861">
        <f>_xlfn.XLOOKUP($A861,Load!$B:$B,Load!I:I,0,)</f>
        <v>0</v>
      </c>
      <c r="I861">
        <f>_xlfn.XLOOKUP($A861,Load!$B:$B,Load!J:J,0,)</f>
        <v>0</v>
      </c>
      <c r="J861">
        <f>_xlfn.XLOOKUP($A861,Load!$B:$B,Load!K:K,0,)</f>
        <v>0</v>
      </c>
      <c r="K861">
        <f>_xlfn.XLOOKUP($A861,Load!$B:$B,Load!L:L,0,)</f>
        <v>0</v>
      </c>
      <c r="L861">
        <f>_xlfn.XLOOKUP($A861,Load!$B:$B,Load!M:M,0,)</f>
        <v>0</v>
      </c>
    </row>
    <row r="862" spans="1:12" x14ac:dyDescent="0.25">
      <c r="A862" t="s">
        <v>96</v>
      </c>
      <c r="B862" t="str">
        <f>_xlfn.XLOOKUP($A862,Load!$B:$B,Load!C:C,0,)</f>
        <v>Ferrero Variety Pack</v>
      </c>
      <c r="C862" t="str">
        <f>_xlfn.XLOOKUP($A862,Load!$B:$B,Load!D:D,0,)</f>
        <v>Mix of Chocolate and Non-Chocolate Candy</v>
      </c>
      <c r="D862" t="str">
        <f>_xlfn.XLOOKUP($A862,Load!$B:$B,Load!E:E,0,)</f>
        <v>Variety / Mixed Flavors (Fruity, Sour, Seasonal Flavors)</v>
      </c>
      <c r="E862" t="str">
        <f>_xlfn.XLOOKUP($A862,Load!$B:$B,Load!F:F,0,)</f>
        <v>Mixed / Combo Packs (Gummy, Chewy, Taffy, etc.)</v>
      </c>
      <c r="F862" t="str">
        <f>_xlfn.XLOOKUP($A862,Load!$B:$B,Load!G:G,0,)</f>
        <v>Large Multipack (More than 80 ct)</v>
      </c>
      <c r="G862" t="str">
        <f>_xlfn.XLOOKUP($A862,Load!$B:$B,Load!H:H,0,)</f>
        <v>Stand-Up Bag</v>
      </c>
      <c r="H862" t="str">
        <f>_xlfn.XLOOKUP($A862,Load!$B:$B,Load!I:I,0,)</f>
        <v>Everyday Candy Shapes (like Original, Gummy bear, Fruit, Jewels, etc.)</v>
      </c>
      <c r="I862" t="str">
        <f>_xlfn.XLOOKUP($A862,Load!$B:$B,Load!J:J,0,)</f>
        <v>Seasonal Graphics (Like Bat, Ghost, Pumpkin, Fall Leaves, Eyeballs, etc.)</v>
      </c>
      <c r="J862" t="str">
        <f>_xlfn.XLOOKUP($A862,Load!$B:$B,Load!K:K,0,)</f>
        <v>Fun Size / Treat Size</v>
      </c>
      <c r="K862" t="str">
        <f>_xlfn.XLOOKUP($A862,Load!$B:$B,Load!L:L,0,)</f>
        <v>Regular/Original Wrapping</v>
      </c>
      <c r="L862" t="str">
        <f>_xlfn.XLOOKUP($A862,Load!$B:$B,Load!M:M,0,)</f>
        <v>Multiple Brands / Variety Flavors or Form</v>
      </c>
    </row>
    <row r="863" spans="1:12" x14ac:dyDescent="0.25">
      <c r="B863">
        <f>_xlfn.XLOOKUP($A863,Load!$B:$B,Load!C:C,0,)</f>
        <v>0</v>
      </c>
      <c r="C863">
        <f>_xlfn.XLOOKUP($A863,Load!$B:$B,Load!D:D,0,)</f>
        <v>0</v>
      </c>
      <c r="D863">
        <f>_xlfn.XLOOKUP($A863,Load!$B:$B,Load!E:E,0,)</f>
        <v>0</v>
      </c>
      <c r="E863">
        <f>_xlfn.XLOOKUP($A863,Load!$B:$B,Load!F:F,0,)</f>
        <v>0</v>
      </c>
      <c r="F863">
        <f>_xlfn.XLOOKUP($A863,Load!$B:$B,Load!G:G,0,)</f>
        <v>0</v>
      </c>
      <c r="G863">
        <f>_xlfn.XLOOKUP($A863,Load!$B:$B,Load!H:H,0,)</f>
        <v>0</v>
      </c>
      <c r="H863">
        <f>_xlfn.XLOOKUP($A863,Load!$B:$B,Load!I:I,0,)</f>
        <v>0</v>
      </c>
      <c r="I863">
        <f>_xlfn.XLOOKUP($A863,Load!$B:$B,Load!J:J,0,)</f>
        <v>0</v>
      </c>
      <c r="J863">
        <f>_xlfn.XLOOKUP($A863,Load!$B:$B,Load!K:K,0,)</f>
        <v>0</v>
      </c>
      <c r="K863">
        <f>_xlfn.XLOOKUP($A863,Load!$B:$B,Load!L:L,0,)</f>
        <v>0</v>
      </c>
      <c r="L863">
        <f>_xlfn.XLOOKUP($A863,Load!$B:$B,Load!M:M,0,)</f>
        <v>0</v>
      </c>
    </row>
    <row r="864" spans="1:12" x14ac:dyDescent="0.25">
      <c r="B864">
        <f>_xlfn.XLOOKUP($A864,Load!$B:$B,Load!C:C,0,)</f>
        <v>0</v>
      </c>
      <c r="C864">
        <f>_xlfn.XLOOKUP($A864,Load!$B:$B,Load!D:D,0,)</f>
        <v>0</v>
      </c>
      <c r="D864">
        <f>_xlfn.XLOOKUP($A864,Load!$B:$B,Load!E:E,0,)</f>
        <v>0</v>
      </c>
      <c r="E864">
        <f>_xlfn.XLOOKUP($A864,Load!$B:$B,Load!F:F,0,)</f>
        <v>0</v>
      </c>
      <c r="F864">
        <f>_xlfn.XLOOKUP($A864,Load!$B:$B,Load!G:G,0,)</f>
        <v>0</v>
      </c>
      <c r="G864">
        <f>_xlfn.XLOOKUP($A864,Load!$B:$B,Load!H:H,0,)</f>
        <v>0</v>
      </c>
      <c r="H864">
        <f>_xlfn.XLOOKUP($A864,Load!$B:$B,Load!I:I,0,)</f>
        <v>0</v>
      </c>
      <c r="I864">
        <f>_xlfn.XLOOKUP($A864,Load!$B:$B,Load!J:J,0,)</f>
        <v>0</v>
      </c>
      <c r="J864">
        <f>_xlfn.XLOOKUP($A864,Load!$B:$B,Load!K:K,0,)</f>
        <v>0</v>
      </c>
      <c r="K864">
        <f>_xlfn.XLOOKUP($A864,Load!$B:$B,Load!L:L,0,)</f>
        <v>0</v>
      </c>
      <c r="L864">
        <f>_xlfn.XLOOKUP($A864,Load!$B:$B,Load!M:M,0,)</f>
        <v>0</v>
      </c>
    </row>
    <row r="865" spans="1:12" x14ac:dyDescent="0.25">
      <c r="B865">
        <f>_xlfn.XLOOKUP($A865,Load!$B:$B,Load!C:C,0,)</f>
        <v>0</v>
      </c>
      <c r="C865">
        <f>_xlfn.XLOOKUP($A865,Load!$B:$B,Load!D:D,0,)</f>
        <v>0</v>
      </c>
      <c r="D865">
        <f>_xlfn.XLOOKUP($A865,Load!$B:$B,Load!E:E,0,)</f>
        <v>0</v>
      </c>
      <c r="E865">
        <f>_xlfn.XLOOKUP($A865,Load!$B:$B,Load!F:F,0,)</f>
        <v>0</v>
      </c>
      <c r="F865">
        <f>_xlfn.XLOOKUP($A865,Load!$B:$B,Load!G:G,0,)</f>
        <v>0</v>
      </c>
      <c r="G865">
        <f>_xlfn.XLOOKUP($A865,Load!$B:$B,Load!H:H,0,)</f>
        <v>0</v>
      </c>
      <c r="H865">
        <f>_xlfn.XLOOKUP($A865,Load!$B:$B,Load!I:I,0,)</f>
        <v>0</v>
      </c>
      <c r="I865">
        <f>_xlfn.XLOOKUP($A865,Load!$B:$B,Load!J:J,0,)</f>
        <v>0</v>
      </c>
      <c r="J865">
        <f>_xlfn.XLOOKUP($A865,Load!$B:$B,Load!K:K,0,)</f>
        <v>0</v>
      </c>
      <c r="K865">
        <f>_xlfn.XLOOKUP($A865,Load!$B:$B,Load!L:L,0,)</f>
        <v>0</v>
      </c>
      <c r="L865">
        <f>_xlfn.XLOOKUP($A865,Load!$B:$B,Load!M:M,0,)</f>
        <v>0</v>
      </c>
    </row>
    <row r="866" spans="1:12" x14ac:dyDescent="0.25">
      <c r="B866">
        <f>_xlfn.XLOOKUP($A866,Load!$B:$B,Load!C:C,0,)</f>
        <v>0</v>
      </c>
      <c r="C866">
        <f>_xlfn.XLOOKUP($A866,Load!$B:$B,Load!D:D,0,)</f>
        <v>0</v>
      </c>
      <c r="D866">
        <f>_xlfn.XLOOKUP($A866,Load!$B:$B,Load!E:E,0,)</f>
        <v>0</v>
      </c>
      <c r="E866">
        <f>_xlfn.XLOOKUP($A866,Load!$B:$B,Load!F:F,0,)</f>
        <v>0</v>
      </c>
      <c r="F866">
        <f>_xlfn.XLOOKUP($A866,Load!$B:$B,Load!G:G,0,)</f>
        <v>0</v>
      </c>
      <c r="G866">
        <f>_xlfn.XLOOKUP($A866,Load!$B:$B,Load!H:H,0,)</f>
        <v>0</v>
      </c>
      <c r="H866">
        <f>_xlfn.XLOOKUP($A866,Load!$B:$B,Load!I:I,0,)</f>
        <v>0</v>
      </c>
      <c r="I866">
        <f>_xlfn.XLOOKUP($A866,Load!$B:$B,Load!J:J,0,)</f>
        <v>0</v>
      </c>
      <c r="J866">
        <f>_xlfn.XLOOKUP($A866,Load!$B:$B,Load!K:K,0,)</f>
        <v>0</v>
      </c>
      <c r="K866">
        <f>_xlfn.XLOOKUP($A866,Load!$B:$B,Load!L:L,0,)</f>
        <v>0</v>
      </c>
      <c r="L866">
        <f>_xlfn.XLOOKUP($A866,Load!$B:$B,Load!M:M,0,)</f>
        <v>0</v>
      </c>
    </row>
    <row r="867" spans="1:12" x14ac:dyDescent="0.25">
      <c r="B867">
        <f>_xlfn.XLOOKUP($A867,Load!$B:$B,Load!C:C,0,)</f>
        <v>0</v>
      </c>
      <c r="C867">
        <f>_xlfn.XLOOKUP($A867,Load!$B:$B,Load!D:D,0,)</f>
        <v>0</v>
      </c>
      <c r="D867">
        <f>_xlfn.XLOOKUP($A867,Load!$B:$B,Load!E:E,0,)</f>
        <v>0</v>
      </c>
      <c r="E867">
        <f>_xlfn.XLOOKUP($A867,Load!$B:$B,Load!F:F,0,)</f>
        <v>0</v>
      </c>
      <c r="F867">
        <f>_xlfn.XLOOKUP($A867,Load!$B:$B,Load!G:G,0,)</f>
        <v>0</v>
      </c>
      <c r="G867">
        <f>_xlfn.XLOOKUP($A867,Load!$B:$B,Load!H:H,0,)</f>
        <v>0</v>
      </c>
      <c r="H867">
        <f>_xlfn.XLOOKUP($A867,Load!$B:$B,Load!I:I,0,)</f>
        <v>0</v>
      </c>
      <c r="I867">
        <f>_xlfn.XLOOKUP($A867,Load!$B:$B,Load!J:J,0,)</f>
        <v>0</v>
      </c>
      <c r="J867">
        <f>_xlfn.XLOOKUP($A867,Load!$B:$B,Load!K:K,0,)</f>
        <v>0</v>
      </c>
      <c r="K867">
        <f>_xlfn.XLOOKUP($A867,Load!$B:$B,Load!L:L,0,)</f>
        <v>0</v>
      </c>
      <c r="L867">
        <f>_xlfn.XLOOKUP($A867,Load!$B:$B,Load!M:M,0,)</f>
        <v>0</v>
      </c>
    </row>
    <row r="868" spans="1:12" x14ac:dyDescent="0.25">
      <c r="A868" t="s">
        <v>57</v>
      </c>
      <c r="B868" t="str">
        <f>_xlfn.XLOOKUP($A868,Load!$B:$B,Load!C:C,0,)</f>
        <v>Brach's</v>
      </c>
      <c r="C868" t="str">
        <f>_xlfn.XLOOKUP($A868,Load!$B:$B,Load!D:D,0,)</f>
        <v>Non-Chocolate Candy Only</v>
      </c>
      <c r="D868" t="str">
        <f>_xlfn.XLOOKUP($A868,Load!$B:$B,Load!E:E,0,)</f>
        <v>Fall / Seasonal Flavors (pumpkin spice, caramel apple, candy corn)</v>
      </c>
      <c r="E868" t="str">
        <f>_xlfn.XLOOKUP($A868,Load!$B:$B,Load!F:F,0,)</f>
        <v>Candy Pieces / Bites</v>
      </c>
      <c r="F868" t="str">
        <f>_xlfn.XLOOKUP($A868,Load!$B:$B,Load!G:G,0,)</f>
        <v>Medium Multipack (40–80 ct)</v>
      </c>
      <c r="G868" t="str">
        <f>_xlfn.XLOOKUP($A868,Load!$B:$B,Load!H:H,0,)</f>
        <v>Laydown Bag</v>
      </c>
      <c r="H868" t="str">
        <f>_xlfn.XLOOKUP($A868,Load!$B:$B,Load!I:I,0,)</f>
        <v>Seasonal Shapes (like pumpkins, candy corn, ghost, bats, etc.)</v>
      </c>
      <c r="I868" t="str">
        <f>_xlfn.XLOOKUP($A868,Load!$B:$B,Load!J:J,0,)</f>
        <v>Seasonal Graphics (Like Bat, Ghost, Pumpkin, Fall Leaves, Eyeballs, etc.)</v>
      </c>
      <c r="J868" t="str">
        <f>_xlfn.XLOOKUP($A868,Load!$B:$B,Load!K:K,0,)</f>
        <v>Small Pieces (Tiny bite size candies)</v>
      </c>
      <c r="K868" t="str">
        <f>_xlfn.XLOOKUP($A868,Load!$B:$B,Load!L:L,0,)</f>
        <v>Unwrapped</v>
      </c>
      <c r="L868" t="str">
        <f>_xlfn.XLOOKUP($A868,Load!$B:$B,Load!M:M,0,)</f>
        <v>Single Brand / Single Flavor or Form</v>
      </c>
    </row>
    <row r="869" spans="1:12" x14ac:dyDescent="0.25">
      <c r="B869">
        <f>_xlfn.XLOOKUP($A869,Load!$B:$B,Load!C:C,0,)</f>
        <v>0</v>
      </c>
      <c r="C869">
        <f>_xlfn.XLOOKUP($A869,Load!$B:$B,Load!D:D,0,)</f>
        <v>0</v>
      </c>
      <c r="D869">
        <f>_xlfn.XLOOKUP($A869,Load!$B:$B,Load!E:E,0,)</f>
        <v>0</v>
      </c>
      <c r="E869">
        <f>_xlfn.XLOOKUP($A869,Load!$B:$B,Load!F:F,0,)</f>
        <v>0</v>
      </c>
      <c r="F869">
        <f>_xlfn.XLOOKUP($A869,Load!$B:$B,Load!G:G,0,)</f>
        <v>0</v>
      </c>
      <c r="G869">
        <f>_xlfn.XLOOKUP($A869,Load!$B:$B,Load!H:H,0,)</f>
        <v>0</v>
      </c>
      <c r="H869">
        <f>_xlfn.XLOOKUP($A869,Load!$B:$B,Load!I:I,0,)</f>
        <v>0</v>
      </c>
      <c r="I869">
        <f>_xlfn.XLOOKUP($A869,Load!$B:$B,Load!J:J,0,)</f>
        <v>0</v>
      </c>
      <c r="J869">
        <f>_xlfn.XLOOKUP($A869,Load!$B:$B,Load!K:K,0,)</f>
        <v>0</v>
      </c>
      <c r="K869">
        <f>_xlfn.XLOOKUP($A869,Load!$B:$B,Load!L:L,0,)</f>
        <v>0</v>
      </c>
      <c r="L869">
        <f>_xlfn.XLOOKUP($A869,Load!$B:$B,Load!M:M,0,)</f>
        <v>0</v>
      </c>
    </row>
    <row r="870" spans="1:12" x14ac:dyDescent="0.25">
      <c r="A870" t="s">
        <v>320</v>
      </c>
      <c r="B870" t="str">
        <f>_xlfn.XLOOKUP($A870,Load!$B:$B,Load!C:C,0,)</f>
        <v>YumEarth</v>
      </c>
      <c r="C870" t="str">
        <f>_xlfn.XLOOKUP($A870,Load!$B:$B,Load!D:D,0,)</f>
        <v>Non-Chocolate Candy Only</v>
      </c>
      <c r="D870" t="str">
        <f>_xlfn.XLOOKUP($A870,Load!$B:$B,Load!E:E,0,)</f>
        <v>Sour</v>
      </c>
      <c r="E870" t="str">
        <f>_xlfn.XLOOKUP($A870,Load!$B:$B,Load!F:F,0,)</f>
        <v>Chewy</v>
      </c>
      <c r="F870" t="str">
        <f>_xlfn.XLOOKUP($A870,Load!$B:$B,Load!G:G,0,)</f>
        <v>Single Pack</v>
      </c>
      <c r="G870" t="str">
        <f>_xlfn.XLOOKUP($A870,Load!$B:$B,Load!H:H,0,)</f>
        <v>Laydown Bag</v>
      </c>
      <c r="H870" t="str">
        <f>_xlfn.XLOOKUP($A870,Load!$B:$B,Load!I:I,0,)</f>
        <v>Seasonal Shapes (like pumpkins, candy corn, ghost, bats, etc.)</v>
      </c>
      <c r="I870" t="str">
        <f>_xlfn.XLOOKUP($A870,Load!$B:$B,Load!J:J,0,)</f>
        <v>Seasonal Graphics (Like Bat, Ghost, Pumpkin, Fall Leaves, Eyeballs, etc.)</v>
      </c>
      <c r="J870" t="str">
        <f>_xlfn.XLOOKUP($A870,Load!$B:$B,Load!K:K,0,)</f>
        <v>Small Pieces (Tiny bite size candies)</v>
      </c>
      <c r="K870" t="str">
        <f>_xlfn.XLOOKUP($A870,Load!$B:$B,Load!L:L,0,)</f>
        <v>Regular/Original Wrapping</v>
      </c>
      <c r="L870" t="str">
        <f>_xlfn.XLOOKUP($A870,Load!$B:$B,Load!M:M,0,)</f>
        <v>Single Brand / Variety Flavors or Form</v>
      </c>
    </row>
    <row r="871" spans="1:12" x14ac:dyDescent="0.25">
      <c r="A871" t="s">
        <v>99</v>
      </c>
      <c r="B871" t="str">
        <f>_xlfn.XLOOKUP($A871,Load!$B:$B,Load!C:C,0,)</f>
        <v>Flix</v>
      </c>
      <c r="C871" t="str">
        <f>_xlfn.XLOOKUP($A871,Load!$B:$B,Load!D:D,0,)</f>
        <v>Non-Chocolate Candy Only</v>
      </c>
      <c r="D871" t="str">
        <f>_xlfn.XLOOKUP($A871,Load!$B:$B,Load!E:E,0,)</f>
        <v>Sour</v>
      </c>
      <c r="E871" t="str">
        <f>_xlfn.XLOOKUP($A871,Load!$B:$B,Load!F:F,0,)</f>
        <v>Gummy</v>
      </c>
      <c r="F871" t="str">
        <f>_xlfn.XLOOKUP($A871,Load!$B:$B,Load!G:G,0,)</f>
        <v>Small Multipack (Less than 40 ct)</v>
      </c>
      <c r="G871" t="str">
        <f>_xlfn.XLOOKUP($A871,Load!$B:$B,Load!H:H,0,)</f>
        <v>Box (theatre box, gift box, carton)</v>
      </c>
      <c r="H871" t="str">
        <f>_xlfn.XLOOKUP($A871,Load!$B:$B,Load!I:I,0,)</f>
        <v>Seasonal Shapes (like pumpkins, candy corn, ghost, bats, etc.)</v>
      </c>
      <c r="I871" t="str">
        <f>_xlfn.XLOOKUP($A871,Load!$B:$B,Load!J:J,0,)</f>
        <v>Seasonal Graphics (Like Bat, Ghost, Pumpkin, Fall Leaves, Eyeballs, etc.)</v>
      </c>
      <c r="J871" t="str">
        <f>_xlfn.XLOOKUP($A871,Load!$B:$B,Load!K:K,0,)</f>
        <v>Small Pieces (Tiny bite size candies)</v>
      </c>
      <c r="K871" t="str">
        <f>_xlfn.XLOOKUP($A871,Load!$B:$B,Load!L:L,0,)</f>
        <v>Unwrapped</v>
      </c>
      <c r="L871" t="str">
        <f>_xlfn.XLOOKUP($A871,Load!$B:$B,Load!M:M,0,)</f>
        <v>Single Brand / Variety Flavors or Form</v>
      </c>
    </row>
    <row r="872" spans="1:12" x14ac:dyDescent="0.25">
      <c r="B872">
        <f>_xlfn.XLOOKUP($A872,Load!$B:$B,Load!C:C,0,)</f>
        <v>0</v>
      </c>
      <c r="C872">
        <f>_xlfn.XLOOKUP($A872,Load!$B:$B,Load!D:D,0,)</f>
        <v>0</v>
      </c>
      <c r="D872">
        <f>_xlfn.XLOOKUP($A872,Load!$B:$B,Load!E:E,0,)</f>
        <v>0</v>
      </c>
      <c r="E872">
        <f>_xlfn.XLOOKUP($A872,Load!$B:$B,Load!F:F,0,)</f>
        <v>0</v>
      </c>
      <c r="F872">
        <f>_xlfn.XLOOKUP($A872,Load!$B:$B,Load!G:G,0,)</f>
        <v>0</v>
      </c>
      <c r="G872">
        <f>_xlfn.XLOOKUP($A872,Load!$B:$B,Load!H:H,0,)</f>
        <v>0</v>
      </c>
      <c r="H872">
        <f>_xlfn.XLOOKUP($A872,Load!$B:$B,Load!I:I,0,)</f>
        <v>0</v>
      </c>
      <c r="I872">
        <f>_xlfn.XLOOKUP($A872,Load!$B:$B,Load!J:J,0,)</f>
        <v>0</v>
      </c>
      <c r="J872">
        <f>_xlfn.XLOOKUP($A872,Load!$B:$B,Load!K:K,0,)</f>
        <v>0</v>
      </c>
      <c r="K872">
        <f>_xlfn.XLOOKUP($A872,Load!$B:$B,Load!L:L,0,)</f>
        <v>0</v>
      </c>
      <c r="L872">
        <f>_xlfn.XLOOKUP($A872,Load!$B:$B,Load!M:M,0,)</f>
        <v>0</v>
      </c>
    </row>
    <row r="873" spans="1:12" x14ac:dyDescent="0.25">
      <c r="B873">
        <f>_xlfn.XLOOKUP($A873,Load!$B:$B,Load!C:C,0,)</f>
        <v>0</v>
      </c>
      <c r="C873">
        <f>_xlfn.XLOOKUP($A873,Load!$B:$B,Load!D:D,0,)</f>
        <v>0</v>
      </c>
      <c r="D873">
        <f>_xlfn.XLOOKUP($A873,Load!$B:$B,Load!E:E,0,)</f>
        <v>0</v>
      </c>
      <c r="E873">
        <f>_xlfn.XLOOKUP($A873,Load!$B:$B,Load!F:F,0,)</f>
        <v>0</v>
      </c>
      <c r="F873">
        <f>_xlfn.XLOOKUP($A873,Load!$B:$B,Load!G:G,0,)</f>
        <v>0</v>
      </c>
      <c r="G873">
        <f>_xlfn.XLOOKUP($A873,Load!$B:$B,Load!H:H,0,)</f>
        <v>0</v>
      </c>
      <c r="H873">
        <f>_xlfn.XLOOKUP($A873,Load!$B:$B,Load!I:I,0,)</f>
        <v>0</v>
      </c>
      <c r="I873">
        <f>_xlfn.XLOOKUP($A873,Load!$B:$B,Load!J:J,0,)</f>
        <v>0</v>
      </c>
      <c r="J873">
        <f>_xlfn.XLOOKUP($A873,Load!$B:$B,Load!K:K,0,)</f>
        <v>0</v>
      </c>
      <c r="K873">
        <f>_xlfn.XLOOKUP($A873,Load!$B:$B,Load!L:L,0,)</f>
        <v>0</v>
      </c>
      <c r="L873">
        <f>_xlfn.XLOOKUP($A873,Load!$B:$B,Load!M:M,0,)</f>
        <v>0</v>
      </c>
    </row>
    <row r="874" spans="1:12" x14ac:dyDescent="0.25">
      <c r="B874">
        <f>_xlfn.XLOOKUP($A874,Load!$B:$B,Load!C:C,0,)</f>
        <v>0</v>
      </c>
      <c r="C874">
        <f>_xlfn.XLOOKUP($A874,Load!$B:$B,Load!D:D,0,)</f>
        <v>0</v>
      </c>
      <c r="D874">
        <f>_xlfn.XLOOKUP($A874,Load!$B:$B,Load!E:E,0,)</f>
        <v>0</v>
      </c>
      <c r="E874">
        <f>_xlfn.XLOOKUP($A874,Load!$B:$B,Load!F:F,0,)</f>
        <v>0</v>
      </c>
      <c r="F874">
        <f>_xlfn.XLOOKUP($A874,Load!$B:$B,Load!G:G,0,)</f>
        <v>0</v>
      </c>
      <c r="G874">
        <f>_xlfn.XLOOKUP($A874,Load!$B:$B,Load!H:H,0,)</f>
        <v>0</v>
      </c>
      <c r="H874">
        <f>_xlfn.XLOOKUP($A874,Load!$B:$B,Load!I:I,0,)</f>
        <v>0</v>
      </c>
      <c r="I874">
        <f>_xlfn.XLOOKUP($A874,Load!$B:$B,Load!J:J,0,)</f>
        <v>0</v>
      </c>
      <c r="J874">
        <f>_xlfn.XLOOKUP($A874,Load!$B:$B,Load!K:K,0,)</f>
        <v>0</v>
      </c>
      <c r="K874">
        <f>_xlfn.XLOOKUP($A874,Load!$B:$B,Load!L:L,0,)</f>
        <v>0</v>
      </c>
      <c r="L874">
        <f>_xlfn.XLOOKUP($A874,Load!$B:$B,Load!M:M,0,)</f>
        <v>0</v>
      </c>
    </row>
    <row r="875" spans="1:12" x14ac:dyDescent="0.25">
      <c r="B875">
        <f>_xlfn.XLOOKUP($A875,Load!$B:$B,Load!C:C,0,)</f>
        <v>0</v>
      </c>
      <c r="C875">
        <f>_xlfn.XLOOKUP($A875,Load!$B:$B,Load!D:D,0,)</f>
        <v>0</v>
      </c>
      <c r="D875">
        <f>_xlfn.XLOOKUP($A875,Load!$B:$B,Load!E:E,0,)</f>
        <v>0</v>
      </c>
      <c r="E875">
        <f>_xlfn.XLOOKUP($A875,Load!$B:$B,Load!F:F,0,)</f>
        <v>0</v>
      </c>
      <c r="F875">
        <f>_xlfn.XLOOKUP($A875,Load!$B:$B,Load!G:G,0,)</f>
        <v>0</v>
      </c>
      <c r="G875">
        <f>_xlfn.XLOOKUP($A875,Load!$B:$B,Load!H:H,0,)</f>
        <v>0</v>
      </c>
      <c r="H875">
        <f>_xlfn.XLOOKUP($A875,Load!$B:$B,Load!I:I,0,)</f>
        <v>0</v>
      </c>
      <c r="I875">
        <f>_xlfn.XLOOKUP($A875,Load!$B:$B,Load!J:J,0,)</f>
        <v>0</v>
      </c>
      <c r="J875">
        <f>_xlfn.XLOOKUP($A875,Load!$B:$B,Load!K:K,0,)</f>
        <v>0</v>
      </c>
      <c r="K875">
        <f>_xlfn.XLOOKUP($A875,Load!$B:$B,Load!L:L,0,)</f>
        <v>0</v>
      </c>
      <c r="L875">
        <f>_xlfn.XLOOKUP($A875,Load!$B:$B,Load!M:M,0,)</f>
        <v>0</v>
      </c>
    </row>
    <row r="876" spans="1:12" x14ac:dyDescent="0.25">
      <c r="A876" t="s">
        <v>463</v>
      </c>
      <c r="B876" t="str">
        <f>_xlfn.XLOOKUP($A876,Load!$B:$B,Load!C:C,0,)</f>
        <v>Mars Variety Pack</v>
      </c>
      <c r="C876" t="str">
        <f>_xlfn.XLOOKUP($A876,Load!$B:$B,Load!D:D,0,)</f>
        <v>Mix of Chocolate and Non-Chocolate Candy</v>
      </c>
      <c r="D876" t="str">
        <f>_xlfn.XLOOKUP($A876,Load!$B:$B,Load!E:E,0,)</f>
        <v>Variety / Mixed Flavors (Fruity, Sour, Seasonal Flavors)</v>
      </c>
      <c r="E876" t="str">
        <f>_xlfn.XLOOKUP($A876,Load!$B:$B,Load!F:F,0,)</f>
        <v>Mixed / Combo Packs (Gummy, Chewy, Taffy, etc.)</v>
      </c>
      <c r="F876" t="str">
        <f>_xlfn.XLOOKUP($A876,Load!$B:$B,Load!G:G,0,)</f>
        <v>Medium Multipack (40–80 ct)</v>
      </c>
      <c r="G876" t="str">
        <f>_xlfn.XLOOKUP($A876,Load!$B:$B,Load!H:H,0,)</f>
        <v>Stand-Up Bag</v>
      </c>
      <c r="H876" t="str">
        <f>_xlfn.XLOOKUP($A876,Load!$B:$B,Load!I:I,0,)</f>
        <v>Everyday Candy Shapes (like Original, Gummy bear, Fruit, Jewels, etc.)</v>
      </c>
      <c r="I876" t="str">
        <f>_xlfn.XLOOKUP($A876,Load!$B:$B,Load!J:J,0,)</f>
        <v>Seasonal Graphics (Like Bat, Ghost, Pumpkin, Fall Leaves, Eyeballs, etc.)</v>
      </c>
      <c r="J876" t="str">
        <f>_xlfn.XLOOKUP($A876,Load!$B:$B,Load!K:K,0,)</f>
        <v>Fun Size / Treat Size</v>
      </c>
      <c r="K876" t="str">
        <f>_xlfn.XLOOKUP($A876,Load!$B:$B,Load!L:L,0,)</f>
        <v>Regular/Original Wrapping</v>
      </c>
      <c r="L876" t="str">
        <f>_xlfn.XLOOKUP($A876,Load!$B:$B,Load!M:M,0,)</f>
        <v>Multiple Brands / Variety Flavors or Form</v>
      </c>
    </row>
    <row r="877" spans="1:12" x14ac:dyDescent="0.25">
      <c r="A877" t="s">
        <v>204</v>
      </c>
      <c r="B877" t="str">
        <f>_xlfn.XLOOKUP($A877,Load!$B:$B,Load!C:C,0,)</f>
        <v>Mars Variety Pack</v>
      </c>
      <c r="C877" t="str">
        <f>_xlfn.XLOOKUP($A877,Load!$B:$B,Load!D:D,0,)</f>
        <v>Mix of Chocolate and Non-Chocolate Candy</v>
      </c>
      <c r="D877" t="str">
        <f>_xlfn.XLOOKUP($A877,Load!$B:$B,Load!E:E,0,)</f>
        <v>Variety / Mixed Flavors (Fruity, Sour, Seasonal Flavors)</v>
      </c>
      <c r="E877" t="str">
        <f>_xlfn.XLOOKUP($A877,Load!$B:$B,Load!F:F,0,)</f>
        <v>Mixed / Combo Packs (Gummy, Chewy, Taffy, etc.)</v>
      </c>
      <c r="F877" t="str">
        <f>_xlfn.XLOOKUP($A877,Load!$B:$B,Load!G:G,0,)</f>
        <v>Medium Multipack (40–80 ct)</v>
      </c>
      <c r="G877" t="str">
        <f>_xlfn.XLOOKUP($A877,Load!$B:$B,Load!H:H,0,)</f>
        <v>Stand-Up Bag</v>
      </c>
      <c r="H877" t="str">
        <f>_xlfn.XLOOKUP($A877,Load!$B:$B,Load!I:I,0,)</f>
        <v>Everyday Candy Shapes (like Original, Gummy bear, Fruit, Jewels, etc.)</v>
      </c>
      <c r="I877" t="str">
        <f>_xlfn.XLOOKUP($A877,Load!$B:$B,Load!J:J,0,)</f>
        <v>Everyday Graphics</v>
      </c>
      <c r="J877" t="str">
        <f>_xlfn.XLOOKUP($A877,Load!$B:$B,Load!K:K,0,)</f>
        <v>Fun Size / Treat Size</v>
      </c>
      <c r="K877" t="str">
        <f>_xlfn.XLOOKUP($A877,Load!$B:$B,Load!L:L,0,)</f>
        <v>Regular/Original Wrapping</v>
      </c>
      <c r="L877" t="str">
        <f>_xlfn.XLOOKUP($A877,Load!$B:$B,Load!M:M,0,)</f>
        <v>Multiple Brands / Variety Flavors or Form</v>
      </c>
    </row>
    <row r="878" spans="1:12" x14ac:dyDescent="0.25">
      <c r="A878" t="s">
        <v>296</v>
      </c>
      <c r="B878" t="str">
        <f>_xlfn.XLOOKUP($A878,Load!$B:$B,Load!C:C,0,)</f>
        <v>Torie &amp; Howard</v>
      </c>
      <c r="C878" t="str">
        <f>_xlfn.XLOOKUP($A878,Load!$B:$B,Load!D:D,0,)</f>
        <v>Non-Chocolate Candy Only</v>
      </c>
      <c r="D878" t="str">
        <f>_xlfn.XLOOKUP($A878,Load!$B:$B,Load!E:E,0,)</f>
        <v>Fruit Flavor (Cherry, Grape, Apple, Citrus, Tropical Fruit)</v>
      </c>
      <c r="E878" t="str">
        <f>_xlfn.XLOOKUP($A878,Load!$B:$B,Load!F:F,0,)</f>
        <v>Lollipop (regular or lollipop rings)</v>
      </c>
      <c r="F878" t="str">
        <f>_xlfn.XLOOKUP($A878,Load!$B:$B,Load!G:G,0,)</f>
        <v>Medium Multipack (40–80 ct)</v>
      </c>
      <c r="G878" t="str">
        <f>_xlfn.XLOOKUP($A878,Load!$B:$B,Load!H:H,0,)</f>
        <v>Stand-Up Bag</v>
      </c>
      <c r="H878" t="str">
        <f>_xlfn.XLOOKUP($A878,Load!$B:$B,Load!I:I,0,)</f>
        <v>Everyday Candy Shapes (like Original, Gummy bear, Fruit, Jewels, etc.)</v>
      </c>
      <c r="I878" t="str">
        <f>_xlfn.XLOOKUP($A878,Load!$B:$B,Load!J:J,0,)</f>
        <v>Seasonal Graphics (Like Bat, Ghost, Pumpkin, Fall Leaves, Eyeballs, etc.)</v>
      </c>
      <c r="J878" t="str">
        <f>_xlfn.XLOOKUP($A878,Load!$B:$B,Load!K:K,0,)</f>
        <v>Regular Lollipop size (on sticks or rings)</v>
      </c>
      <c r="K878" t="str">
        <f>_xlfn.XLOOKUP($A878,Load!$B:$B,Load!L:L,0,)</f>
        <v>Regular/Original Wrapping</v>
      </c>
      <c r="L878" t="str">
        <f>_xlfn.XLOOKUP($A878,Load!$B:$B,Load!M:M,0,)</f>
        <v>Single Brand / Variety Flavors or Form</v>
      </c>
    </row>
    <row r="879" spans="1:12" x14ac:dyDescent="0.25">
      <c r="A879" t="s">
        <v>341</v>
      </c>
      <c r="B879" t="str">
        <f>_xlfn.XLOOKUP($A879,Load!$B:$B,Load!C:C,0,)</f>
        <v>Your Store Brand</v>
      </c>
      <c r="C879" t="str">
        <f>_xlfn.XLOOKUP($A879,Load!$B:$B,Load!D:D,0,)</f>
        <v>Non-Chocolate Candy Only</v>
      </c>
      <c r="D879" t="str">
        <f>_xlfn.XLOOKUP($A879,Load!$B:$B,Load!E:E,0,)</f>
        <v>Sour</v>
      </c>
      <c r="E879" t="str">
        <f>_xlfn.XLOOKUP($A879,Load!$B:$B,Load!F:F,0,)</f>
        <v>Gummy</v>
      </c>
      <c r="F879" t="str">
        <f>_xlfn.XLOOKUP($A879,Load!$B:$B,Load!G:G,0,)</f>
        <v>Single Pack</v>
      </c>
      <c r="G879" t="str">
        <f>_xlfn.XLOOKUP($A879,Load!$B:$B,Load!H:H,0,)</f>
        <v>Peg Bag</v>
      </c>
      <c r="H879" t="str">
        <f>_xlfn.XLOOKUP($A879,Load!$B:$B,Load!I:I,0,)</f>
        <v>Seasonal Shapes (like pumpkins, candy corn, ghost, bats, etc.)</v>
      </c>
      <c r="I879" t="str">
        <f>_xlfn.XLOOKUP($A879,Load!$B:$B,Load!J:J,0,)</f>
        <v>Everyday Graphics</v>
      </c>
      <c r="J879" t="str">
        <f>_xlfn.XLOOKUP($A879,Load!$B:$B,Load!K:K,0,)</f>
        <v>Small Pieces (Tiny bite size candies)</v>
      </c>
      <c r="K879" t="str">
        <f>_xlfn.XLOOKUP($A879,Load!$B:$B,Load!L:L,0,)</f>
        <v>Unwrapped</v>
      </c>
      <c r="L879" t="str">
        <f>_xlfn.XLOOKUP($A879,Load!$B:$B,Load!M:M,0,)</f>
        <v>Single Brand / Single Flavor or Form</v>
      </c>
    </row>
    <row r="880" spans="1:12" x14ac:dyDescent="0.25">
      <c r="A880" t="s">
        <v>139</v>
      </c>
      <c r="B880" t="str">
        <f>_xlfn.XLOOKUP($A880,Load!$B:$B,Load!C:C,0,)</f>
        <v>Hershey's Variety Pack + Haribo</v>
      </c>
      <c r="C880" t="str">
        <f>_xlfn.XLOOKUP($A880,Load!$B:$B,Load!D:D,0,)</f>
        <v>Mix of Chocolate and Non-Chocolate Candy</v>
      </c>
      <c r="D880" t="str">
        <f>_xlfn.XLOOKUP($A880,Load!$B:$B,Load!E:E,0,)</f>
        <v>Variety / Mixed Flavors (Fruity, Sour, Seasonal Flavors)</v>
      </c>
      <c r="E880" t="str">
        <f>_xlfn.XLOOKUP($A880,Load!$B:$B,Load!F:F,0,)</f>
        <v>Mixed / Combo Packs (Gummy, Chewy, Taffy, etc.)</v>
      </c>
      <c r="F880" t="str">
        <f>_xlfn.XLOOKUP($A880,Load!$B:$B,Load!G:G,0,)</f>
        <v>Large Multipack (More than 80 ct)</v>
      </c>
      <c r="G880" t="str">
        <f>_xlfn.XLOOKUP($A880,Load!$B:$B,Load!H:H,0,)</f>
        <v>Stand-Up Bag</v>
      </c>
      <c r="H880" t="str">
        <f>_xlfn.XLOOKUP($A880,Load!$B:$B,Load!I:I,0,)</f>
        <v>Everyday Candy Shapes (like Original, Gummy bear, Fruit, Jewels, etc.)</v>
      </c>
      <c r="I880" t="str">
        <f>_xlfn.XLOOKUP($A880,Load!$B:$B,Load!J:J,0,)</f>
        <v>Seasonal Graphics (Like Bat, Ghost, Pumpkin, Fall Leaves, Eyeballs, etc.)</v>
      </c>
      <c r="J880" t="str">
        <f>_xlfn.XLOOKUP($A880,Load!$B:$B,Load!K:K,0,)</f>
        <v>Fun Size / Treat Size</v>
      </c>
      <c r="K880" t="str">
        <f>_xlfn.XLOOKUP($A880,Load!$B:$B,Load!L:L,0,)</f>
        <v>Regular/Original Wrapping</v>
      </c>
      <c r="L880" t="str">
        <f>_xlfn.XLOOKUP($A880,Load!$B:$B,Load!M:M,0,)</f>
        <v>Multiple Brands / Variety Flavors or Form</v>
      </c>
    </row>
    <row r="881" spans="1:12" x14ac:dyDescent="0.25">
      <c r="B881">
        <f>_xlfn.XLOOKUP($A881,Load!$B:$B,Load!C:C,0,)</f>
        <v>0</v>
      </c>
      <c r="C881">
        <f>_xlfn.XLOOKUP($A881,Load!$B:$B,Load!D:D,0,)</f>
        <v>0</v>
      </c>
      <c r="D881">
        <f>_xlfn.XLOOKUP($A881,Load!$B:$B,Load!E:E,0,)</f>
        <v>0</v>
      </c>
      <c r="E881">
        <f>_xlfn.XLOOKUP($A881,Load!$B:$B,Load!F:F,0,)</f>
        <v>0</v>
      </c>
      <c r="F881">
        <f>_xlfn.XLOOKUP($A881,Load!$B:$B,Load!G:G,0,)</f>
        <v>0</v>
      </c>
      <c r="G881">
        <f>_xlfn.XLOOKUP($A881,Load!$B:$B,Load!H:H,0,)</f>
        <v>0</v>
      </c>
      <c r="H881">
        <f>_xlfn.XLOOKUP($A881,Load!$B:$B,Load!I:I,0,)</f>
        <v>0</v>
      </c>
      <c r="I881">
        <f>_xlfn.XLOOKUP($A881,Load!$B:$B,Load!J:J,0,)</f>
        <v>0</v>
      </c>
      <c r="J881">
        <f>_xlfn.XLOOKUP($A881,Load!$B:$B,Load!K:K,0,)</f>
        <v>0</v>
      </c>
      <c r="K881">
        <f>_xlfn.XLOOKUP($A881,Load!$B:$B,Load!L:L,0,)</f>
        <v>0</v>
      </c>
      <c r="L881">
        <f>_xlfn.XLOOKUP($A881,Load!$B:$B,Load!M:M,0,)</f>
        <v>0</v>
      </c>
    </row>
    <row r="882" spans="1:12" x14ac:dyDescent="0.25">
      <c r="B882">
        <f>_xlfn.XLOOKUP($A882,Load!$B:$B,Load!C:C,0,)</f>
        <v>0</v>
      </c>
      <c r="C882">
        <f>_xlfn.XLOOKUP($A882,Load!$B:$B,Load!D:D,0,)</f>
        <v>0</v>
      </c>
      <c r="D882">
        <f>_xlfn.XLOOKUP($A882,Load!$B:$B,Load!E:E,0,)</f>
        <v>0</v>
      </c>
      <c r="E882">
        <f>_xlfn.XLOOKUP($A882,Load!$B:$B,Load!F:F,0,)</f>
        <v>0</v>
      </c>
      <c r="F882">
        <f>_xlfn.XLOOKUP($A882,Load!$B:$B,Load!G:G,0,)</f>
        <v>0</v>
      </c>
      <c r="G882">
        <f>_xlfn.XLOOKUP($A882,Load!$B:$B,Load!H:H,0,)</f>
        <v>0</v>
      </c>
      <c r="H882">
        <f>_xlfn.XLOOKUP($A882,Load!$B:$B,Load!I:I,0,)</f>
        <v>0</v>
      </c>
      <c r="I882">
        <f>_xlfn.XLOOKUP($A882,Load!$B:$B,Load!J:J,0,)</f>
        <v>0</v>
      </c>
      <c r="J882">
        <f>_xlfn.XLOOKUP($A882,Load!$B:$B,Load!K:K,0,)</f>
        <v>0</v>
      </c>
      <c r="K882">
        <f>_xlfn.XLOOKUP($A882,Load!$B:$B,Load!L:L,0,)</f>
        <v>0</v>
      </c>
      <c r="L882">
        <f>_xlfn.XLOOKUP($A882,Load!$B:$B,Load!M:M,0,)</f>
        <v>0</v>
      </c>
    </row>
    <row r="883" spans="1:12" x14ac:dyDescent="0.25">
      <c r="B883">
        <f>_xlfn.XLOOKUP($A883,Load!$B:$B,Load!C:C,0,)</f>
        <v>0</v>
      </c>
      <c r="C883">
        <f>_xlfn.XLOOKUP($A883,Load!$B:$B,Load!D:D,0,)</f>
        <v>0</v>
      </c>
      <c r="D883">
        <f>_xlfn.XLOOKUP($A883,Load!$B:$B,Load!E:E,0,)</f>
        <v>0</v>
      </c>
      <c r="E883">
        <f>_xlfn.XLOOKUP($A883,Load!$B:$B,Load!F:F,0,)</f>
        <v>0</v>
      </c>
      <c r="F883">
        <f>_xlfn.XLOOKUP($A883,Load!$B:$B,Load!G:G,0,)</f>
        <v>0</v>
      </c>
      <c r="G883">
        <f>_xlfn.XLOOKUP($A883,Load!$B:$B,Load!H:H,0,)</f>
        <v>0</v>
      </c>
      <c r="H883">
        <f>_xlfn.XLOOKUP($A883,Load!$B:$B,Load!I:I,0,)</f>
        <v>0</v>
      </c>
      <c r="I883">
        <f>_xlfn.XLOOKUP($A883,Load!$B:$B,Load!J:J,0,)</f>
        <v>0</v>
      </c>
      <c r="J883">
        <f>_xlfn.XLOOKUP($A883,Load!$B:$B,Load!K:K,0,)</f>
        <v>0</v>
      </c>
      <c r="K883">
        <f>_xlfn.XLOOKUP($A883,Load!$B:$B,Load!L:L,0,)</f>
        <v>0</v>
      </c>
      <c r="L883">
        <f>_xlfn.XLOOKUP($A883,Load!$B:$B,Load!M:M,0,)</f>
        <v>0</v>
      </c>
    </row>
    <row r="884" spans="1:12" x14ac:dyDescent="0.25">
      <c r="B884">
        <f>_xlfn.XLOOKUP($A884,Load!$B:$B,Load!C:C,0,)</f>
        <v>0</v>
      </c>
      <c r="C884">
        <f>_xlfn.XLOOKUP($A884,Load!$B:$B,Load!D:D,0,)</f>
        <v>0</v>
      </c>
      <c r="D884">
        <f>_xlfn.XLOOKUP($A884,Load!$B:$B,Load!E:E,0,)</f>
        <v>0</v>
      </c>
      <c r="E884">
        <f>_xlfn.XLOOKUP($A884,Load!$B:$B,Load!F:F,0,)</f>
        <v>0</v>
      </c>
      <c r="F884">
        <f>_xlfn.XLOOKUP($A884,Load!$B:$B,Load!G:G,0,)</f>
        <v>0</v>
      </c>
      <c r="G884">
        <f>_xlfn.XLOOKUP($A884,Load!$B:$B,Load!H:H,0,)</f>
        <v>0</v>
      </c>
      <c r="H884">
        <f>_xlfn.XLOOKUP($A884,Load!$B:$B,Load!I:I,0,)</f>
        <v>0</v>
      </c>
      <c r="I884">
        <f>_xlfn.XLOOKUP($A884,Load!$B:$B,Load!J:J,0,)</f>
        <v>0</v>
      </c>
      <c r="J884">
        <f>_xlfn.XLOOKUP($A884,Load!$B:$B,Load!K:K,0,)</f>
        <v>0</v>
      </c>
      <c r="K884">
        <f>_xlfn.XLOOKUP($A884,Load!$B:$B,Load!L:L,0,)</f>
        <v>0</v>
      </c>
      <c r="L884">
        <f>_xlfn.XLOOKUP($A884,Load!$B:$B,Load!M:M,0,)</f>
        <v>0</v>
      </c>
    </row>
    <row r="885" spans="1:12" x14ac:dyDescent="0.25">
      <c r="B885">
        <f>_xlfn.XLOOKUP($A885,Load!$B:$B,Load!C:C,0,)</f>
        <v>0</v>
      </c>
      <c r="C885">
        <f>_xlfn.XLOOKUP($A885,Load!$B:$B,Load!D:D,0,)</f>
        <v>0</v>
      </c>
      <c r="D885">
        <f>_xlfn.XLOOKUP($A885,Load!$B:$B,Load!E:E,0,)</f>
        <v>0</v>
      </c>
      <c r="E885">
        <f>_xlfn.XLOOKUP($A885,Load!$B:$B,Load!F:F,0,)</f>
        <v>0</v>
      </c>
      <c r="F885">
        <f>_xlfn.XLOOKUP($A885,Load!$B:$B,Load!G:G,0,)</f>
        <v>0</v>
      </c>
      <c r="G885">
        <f>_xlfn.XLOOKUP($A885,Load!$B:$B,Load!H:H,0,)</f>
        <v>0</v>
      </c>
      <c r="H885">
        <f>_xlfn.XLOOKUP($A885,Load!$B:$B,Load!I:I,0,)</f>
        <v>0</v>
      </c>
      <c r="I885">
        <f>_xlfn.XLOOKUP($A885,Load!$B:$B,Load!J:J,0,)</f>
        <v>0</v>
      </c>
      <c r="J885">
        <f>_xlfn.XLOOKUP($A885,Load!$B:$B,Load!K:K,0,)</f>
        <v>0</v>
      </c>
      <c r="K885">
        <f>_xlfn.XLOOKUP($A885,Load!$B:$B,Load!L:L,0,)</f>
        <v>0</v>
      </c>
      <c r="L885">
        <f>_xlfn.XLOOKUP($A885,Load!$B:$B,Load!M:M,0,)</f>
        <v>0</v>
      </c>
    </row>
    <row r="886" spans="1:12" x14ac:dyDescent="0.25">
      <c r="B886">
        <f>_xlfn.XLOOKUP($A886,Load!$B:$B,Load!C:C,0,)</f>
        <v>0</v>
      </c>
      <c r="C886">
        <f>_xlfn.XLOOKUP($A886,Load!$B:$B,Load!D:D,0,)</f>
        <v>0</v>
      </c>
      <c r="D886">
        <f>_xlfn.XLOOKUP($A886,Load!$B:$B,Load!E:E,0,)</f>
        <v>0</v>
      </c>
      <c r="E886">
        <f>_xlfn.XLOOKUP($A886,Load!$B:$B,Load!F:F,0,)</f>
        <v>0</v>
      </c>
      <c r="F886">
        <f>_xlfn.XLOOKUP($A886,Load!$B:$B,Load!G:G,0,)</f>
        <v>0</v>
      </c>
      <c r="G886">
        <f>_xlfn.XLOOKUP($A886,Load!$B:$B,Load!H:H,0,)</f>
        <v>0</v>
      </c>
      <c r="H886">
        <f>_xlfn.XLOOKUP($A886,Load!$B:$B,Load!I:I,0,)</f>
        <v>0</v>
      </c>
      <c r="I886">
        <f>_xlfn.XLOOKUP($A886,Load!$B:$B,Load!J:J,0,)</f>
        <v>0</v>
      </c>
      <c r="J886">
        <f>_xlfn.XLOOKUP($A886,Load!$B:$B,Load!K:K,0,)</f>
        <v>0</v>
      </c>
      <c r="K886">
        <f>_xlfn.XLOOKUP($A886,Load!$B:$B,Load!L:L,0,)</f>
        <v>0</v>
      </c>
      <c r="L886">
        <f>_xlfn.XLOOKUP($A886,Load!$B:$B,Load!M:M,0,)</f>
        <v>0</v>
      </c>
    </row>
    <row r="887" spans="1:12" x14ac:dyDescent="0.25">
      <c r="B887">
        <f>_xlfn.XLOOKUP($A887,Load!$B:$B,Load!C:C,0,)</f>
        <v>0</v>
      </c>
      <c r="C887">
        <f>_xlfn.XLOOKUP($A887,Load!$B:$B,Load!D:D,0,)</f>
        <v>0</v>
      </c>
      <c r="D887">
        <f>_xlfn.XLOOKUP($A887,Load!$B:$B,Load!E:E,0,)</f>
        <v>0</v>
      </c>
      <c r="E887">
        <f>_xlfn.XLOOKUP($A887,Load!$B:$B,Load!F:F,0,)</f>
        <v>0</v>
      </c>
      <c r="F887">
        <f>_xlfn.XLOOKUP($A887,Load!$B:$B,Load!G:G,0,)</f>
        <v>0</v>
      </c>
      <c r="G887">
        <f>_xlfn.XLOOKUP($A887,Load!$B:$B,Load!H:H,0,)</f>
        <v>0</v>
      </c>
      <c r="H887">
        <f>_xlfn.XLOOKUP($A887,Load!$B:$B,Load!I:I,0,)</f>
        <v>0</v>
      </c>
      <c r="I887">
        <f>_xlfn.XLOOKUP($A887,Load!$B:$B,Load!J:J,0,)</f>
        <v>0</v>
      </c>
      <c r="J887">
        <f>_xlfn.XLOOKUP($A887,Load!$B:$B,Load!K:K,0,)</f>
        <v>0</v>
      </c>
      <c r="K887">
        <f>_xlfn.XLOOKUP($A887,Load!$B:$B,Load!L:L,0,)</f>
        <v>0</v>
      </c>
      <c r="L887">
        <f>_xlfn.XLOOKUP($A887,Load!$B:$B,Load!M:M,0,)</f>
        <v>0</v>
      </c>
    </row>
    <row r="888" spans="1:12" x14ac:dyDescent="0.25">
      <c r="A888" t="s">
        <v>218</v>
      </c>
      <c r="B888" t="str">
        <f>_xlfn.XLOOKUP($A888,Load!$B:$B,Load!C:C,0,)</f>
        <v>Mondelez Variety Pack</v>
      </c>
      <c r="C888" t="str">
        <f>_xlfn.XLOOKUP($A888,Load!$B:$B,Load!D:D,0,)</f>
        <v>Non-Chocolate Candy Only</v>
      </c>
      <c r="D888" t="str">
        <f>_xlfn.XLOOKUP($A888,Load!$B:$B,Load!E:E,0,)</f>
        <v>Sour</v>
      </c>
      <c r="E888" t="str">
        <f>_xlfn.XLOOKUP($A888,Load!$B:$B,Load!F:F,0,)</f>
        <v>Mixed / Combo Packs (Gummy, Chewy, Taffy, etc.)</v>
      </c>
      <c r="F888" t="str">
        <f>_xlfn.XLOOKUP($A888,Load!$B:$B,Load!G:G,0,)</f>
        <v>Large Multipack (More than 80 ct)</v>
      </c>
      <c r="G888" t="str">
        <f>_xlfn.XLOOKUP($A888,Load!$B:$B,Load!H:H,0,)</f>
        <v>Stand-Up Bag</v>
      </c>
      <c r="H888" t="str">
        <f>_xlfn.XLOOKUP($A888,Load!$B:$B,Load!I:I,0,)</f>
        <v>Seasonal Shapes (like pumpkins, candy corn, ghost, bats, etc.)</v>
      </c>
      <c r="I888" t="str">
        <f>_xlfn.XLOOKUP($A888,Load!$B:$B,Load!J:J,0,)</f>
        <v>Seasonal Graphics (Like Bat, Ghost, Pumpkin, Fall Leaves, Eyeballs, etc.)</v>
      </c>
      <c r="J888" t="str">
        <f>_xlfn.XLOOKUP($A888,Load!$B:$B,Load!K:K,0,)</f>
        <v>Small Pieces (Tiny bite size candies)</v>
      </c>
      <c r="K888" t="str">
        <f>_xlfn.XLOOKUP($A888,Load!$B:$B,Load!L:L,0,)</f>
        <v>Regular/Original Wrapping</v>
      </c>
      <c r="L888" t="str">
        <f>_xlfn.XLOOKUP($A888,Load!$B:$B,Load!M:M,0,)</f>
        <v>Multiple Brands / Variety Flavors or Form</v>
      </c>
    </row>
    <row r="889" spans="1:12" x14ac:dyDescent="0.25">
      <c r="B889">
        <f>_xlfn.XLOOKUP($A889,Load!$B:$B,Load!C:C,0,)</f>
        <v>0</v>
      </c>
      <c r="C889">
        <f>_xlfn.XLOOKUP($A889,Load!$B:$B,Load!D:D,0,)</f>
        <v>0</v>
      </c>
      <c r="D889">
        <f>_xlfn.XLOOKUP($A889,Load!$B:$B,Load!E:E,0,)</f>
        <v>0</v>
      </c>
      <c r="E889">
        <f>_xlfn.XLOOKUP($A889,Load!$B:$B,Load!F:F,0,)</f>
        <v>0</v>
      </c>
      <c r="F889">
        <f>_xlfn.XLOOKUP($A889,Load!$B:$B,Load!G:G,0,)</f>
        <v>0</v>
      </c>
      <c r="G889">
        <f>_xlfn.XLOOKUP($A889,Load!$B:$B,Load!H:H,0,)</f>
        <v>0</v>
      </c>
      <c r="H889">
        <f>_xlfn.XLOOKUP($A889,Load!$B:$B,Load!I:I,0,)</f>
        <v>0</v>
      </c>
      <c r="I889">
        <f>_xlfn.XLOOKUP($A889,Load!$B:$B,Load!J:J,0,)</f>
        <v>0</v>
      </c>
      <c r="J889">
        <f>_xlfn.XLOOKUP($A889,Load!$B:$B,Load!K:K,0,)</f>
        <v>0</v>
      </c>
      <c r="K889">
        <f>_xlfn.XLOOKUP($A889,Load!$B:$B,Load!L:L,0,)</f>
        <v>0</v>
      </c>
      <c r="L889">
        <f>_xlfn.XLOOKUP($A889,Load!$B:$B,Load!M:M,0,)</f>
        <v>0</v>
      </c>
    </row>
    <row r="890" spans="1:12" x14ac:dyDescent="0.25">
      <c r="A890" t="s">
        <v>146</v>
      </c>
      <c r="B890" t="str">
        <f>_xlfn.XLOOKUP($A890,Load!$B:$B,Load!C:C,0,)</f>
        <v>Hi Chew</v>
      </c>
      <c r="C890" t="str">
        <f>_xlfn.XLOOKUP($A890,Load!$B:$B,Load!D:D,0,)</f>
        <v>Non-Chocolate Candy Only</v>
      </c>
      <c r="D890" t="str">
        <f>_xlfn.XLOOKUP($A890,Load!$B:$B,Load!E:E,0,)</f>
        <v>Fruit Flavor (Cherry, Grape, Apple, Citrus, Tropical Fruit)</v>
      </c>
      <c r="E890" t="str">
        <f>_xlfn.XLOOKUP($A890,Load!$B:$B,Load!F:F,0,)</f>
        <v>Gummy</v>
      </c>
      <c r="F890" t="str">
        <f>_xlfn.XLOOKUP($A890,Load!$B:$B,Load!G:G,0,)</f>
        <v>Medium Multipack (40–80 ct)</v>
      </c>
      <c r="G890" t="str">
        <f>_xlfn.XLOOKUP($A890,Load!$B:$B,Load!H:H,0,)</f>
        <v>Stand-Up Bag</v>
      </c>
      <c r="H890" t="str">
        <f>_xlfn.XLOOKUP($A890,Load!$B:$B,Load!I:I,0,)</f>
        <v>Everyday Candy Shapes (like Original, Gummy bear, Fruit, Jewels, etc.)</v>
      </c>
      <c r="I890" t="str">
        <f>_xlfn.XLOOKUP($A890,Load!$B:$B,Load!J:J,0,)</f>
        <v>Seasonal Graphics (Like Bat, Ghost, Pumpkin, Fall Leaves, Eyeballs, etc.)</v>
      </c>
      <c r="J890" t="str">
        <f>_xlfn.XLOOKUP($A890,Load!$B:$B,Load!K:K,0,)</f>
        <v>Fun Size / Treat Size</v>
      </c>
      <c r="K890" t="str">
        <f>_xlfn.XLOOKUP($A890,Load!$B:$B,Load!L:L,0,)</f>
        <v>Regular/Original Wrapping</v>
      </c>
      <c r="L890" t="str">
        <f>_xlfn.XLOOKUP($A890,Load!$B:$B,Load!M:M,0,)</f>
        <v>Multiple Brands / Variety Flavors or Form</v>
      </c>
    </row>
    <row r="891" spans="1:12" x14ac:dyDescent="0.25">
      <c r="B891">
        <f>_xlfn.XLOOKUP($A891,Load!$B:$B,Load!C:C,0,)</f>
        <v>0</v>
      </c>
      <c r="C891">
        <f>_xlfn.XLOOKUP($A891,Load!$B:$B,Load!D:D,0,)</f>
        <v>0</v>
      </c>
      <c r="D891">
        <f>_xlfn.XLOOKUP($A891,Load!$B:$B,Load!E:E,0,)</f>
        <v>0</v>
      </c>
      <c r="E891">
        <f>_xlfn.XLOOKUP($A891,Load!$B:$B,Load!F:F,0,)</f>
        <v>0</v>
      </c>
      <c r="F891">
        <f>_xlfn.XLOOKUP($A891,Load!$B:$B,Load!G:G,0,)</f>
        <v>0</v>
      </c>
      <c r="G891">
        <f>_xlfn.XLOOKUP($A891,Load!$B:$B,Load!H:H,0,)</f>
        <v>0</v>
      </c>
      <c r="H891">
        <f>_xlfn.XLOOKUP($A891,Load!$B:$B,Load!I:I,0,)</f>
        <v>0</v>
      </c>
      <c r="I891">
        <f>_xlfn.XLOOKUP($A891,Load!$B:$B,Load!J:J,0,)</f>
        <v>0</v>
      </c>
      <c r="J891">
        <f>_xlfn.XLOOKUP($A891,Load!$B:$B,Load!K:K,0,)</f>
        <v>0</v>
      </c>
      <c r="K891">
        <f>_xlfn.XLOOKUP($A891,Load!$B:$B,Load!L:L,0,)</f>
        <v>0</v>
      </c>
      <c r="L891">
        <f>_xlfn.XLOOKUP($A891,Load!$B:$B,Load!M:M,0,)</f>
        <v>0</v>
      </c>
    </row>
    <row r="892" spans="1:12" x14ac:dyDescent="0.25">
      <c r="B892">
        <f>_xlfn.XLOOKUP($A892,Load!$B:$B,Load!C:C,0,)</f>
        <v>0</v>
      </c>
      <c r="C892">
        <f>_xlfn.XLOOKUP($A892,Load!$B:$B,Load!D:D,0,)</f>
        <v>0</v>
      </c>
      <c r="D892">
        <f>_xlfn.XLOOKUP($A892,Load!$B:$B,Load!E:E,0,)</f>
        <v>0</v>
      </c>
      <c r="E892">
        <f>_xlfn.XLOOKUP($A892,Load!$B:$B,Load!F:F,0,)</f>
        <v>0</v>
      </c>
      <c r="F892">
        <f>_xlfn.XLOOKUP($A892,Load!$B:$B,Load!G:G,0,)</f>
        <v>0</v>
      </c>
      <c r="G892">
        <f>_xlfn.XLOOKUP($A892,Load!$B:$B,Load!H:H,0,)</f>
        <v>0</v>
      </c>
      <c r="H892">
        <f>_xlfn.XLOOKUP($A892,Load!$B:$B,Load!I:I,0,)</f>
        <v>0</v>
      </c>
      <c r="I892">
        <f>_xlfn.XLOOKUP($A892,Load!$B:$B,Load!J:J,0,)</f>
        <v>0</v>
      </c>
      <c r="J892">
        <f>_xlfn.XLOOKUP($A892,Load!$B:$B,Load!K:K,0,)</f>
        <v>0</v>
      </c>
      <c r="K892">
        <f>_xlfn.XLOOKUP($A892,Load!$B:$B,Load!L:L,0,)</f>
        <v>0</v>
      </c>
      <c r="L892">
        <f>_xlfn.XLOOKUP($A892,Load!$B:$B,Load!M:M,0,)</f>
        <v>0</v>
      </c>
    </row>
    <row r="893" spans="1:12" x14ac:dyDescent="0.25">
      <c r="B893">
        <f>_xlfn.XLOOKUP($A893,Load!$B:$B,Load!C:C,0,)</f>
        <v>0</v>
      </c>
      <c r="C893">
        <f>_xlfn.XLOOKUP($A893,Load!$B:$B,Load!D:D,0,)</f>
        <v>0</v>
      </c>
      <c r="D893">
        <f>_xlfn.XLOOKUP($A893,Load!$B:$B,Load!E:E,0,)</f>
        <v>0</v>
      </c>
      <c r="E893">
        <f>_xlfn.XLOOKUP($A893,Load!$B:$B,Load!F:F,0,)</f>
        <v>0</v>
      </c>
      <c r="F893">
        <f>_xlfn.XLOOKUP($A893,Load!$B:$B,Load!G:G,0,)</f>
        <v>0</v>
      </c>
      <c r="G893">
        <f>_xlfn.XLOOKUP($A893,Load!$B:$B,Load!H:H,0,)</f>
        <v>0</v>
      </c>
      <c r="H893">
        <f>_xlfn.XLOOKUP($A893,Load!$B:$B,Load!I:I,0,)</f>
        <v>0</v>
      </c>
      <c r="I893">
        <f>_xlfn.XLOOKUP($A893,Load!$B:$B,Load!J:J,0,)</f>
        <v>0</v>
      </c>
      <c r="J893">
        <f>_xlfn.XLOOKUP($A893,Load!$B:$B,Load!K:K,0,)</f>
        <v>0</v>
      </c>
      <c r="K893">
        <f>_xlfn.XLOOKUP($A893,Load!$B:$B,Load!L:L,0,)</f>
        <v>0</v>
      </c>
      <c r="L893">
        <f>_xlfn.XLOOKUP($A893,Load!$B:$B,Load!M:M,0,)</f>
        <v>0</v>
      </c>
    </row>
    <row r="894" spans="1:12" x14ac:dyDescent="0.25">
      <c r="B894">
        <f>_xlfn.XLOOKUP($A894,Load!$B:$B,Load!C:C,0,)</f>
        <v>0</v>
      </c>
      <c r="C894">
        <f>_xlfn.XLOOKUP($A894,Load!$B:$B,Load!D:D,0,)</f>
        <v>0</v>
      </c>
      <c r="D894">
        <f>_xlfn.XLOOKUP($A894,Load!$B:$B,Load!E:E,0,)</f>
        <v>0</v>
      </c>
      <c r="E894">
        <f>_xlfn.XLOOKUP($A894,Load!$B:$B,Load!F:F,0,)</f>
        <v>0</v>
      </c>
      <c r="F894">
        <f>_xlfn.XLOOKUP($A894,Load!$B:$B,Load!G:G,0,)</f>
        <v>0</v>
      </c>
      <c r="G894">
        <f>_xlfn.XLOOKUP($A894,Load!$B:$B,Load!H:H,0,)</f>
        <v>0</v>
      </c>
      <c r="H894">
        <f>_xlfn.XLOOKUP($A894,Load!$B:$B,Load!I:I,0,)</f>
        <v>0</v>
      </c>
      <c r="I894">
        <f>_xlfn.XLOOKUP($A894,Load!$B:$B,Load!J:J,0,)</f>
        <v>0</v>
      </c>
      <c r="J894">
        <f>_xlfn.XLOOKUP($A894,Load!$B:$B,Load!K:K,0,)</f>
        <v>0</v>
      </c>
      <c r="K894">
        <f>_xlfn.XLOOKUP($A894,Load!$B:$B,Load!L:L,0,)</f>
        <v>0</v>
      </c>
      <c r="L894">
        <f>_xlfn.XLOOKUP($A894,Load!$B:$B,Load!M:M,0,)</f>
        <v>0</v>
      </c>
    </row>
    <row r="895" spans="1:12" x14ac:dyDescent="0.25">
      <c r="B895">
        <f>_xlfn.XLOOKUP($A895,Load!$B:$B,Load!C:C,0,)</f>
        <v>0</v>
      </c>
      <c r="C895">
        <f>_xlfn.XLOOKUP($A895,Load!$B:$B,Load!D:D,0,)</f>
        <v>0</v>
      </c>
      <c r="D895">
        <f>_xlfn.XLOOKUP($A895,Load!$B:$B,Load!E:E,0,)</f>
        <v>0</v>
      </c>
      <c r="E895">
        <f>_xlfn.XLOOKUP($A895,Load!$B:$B,Load!F:F,0,)</f>
        <v>0</v>
      </c>
      <c r="F895">
        <f>_xlfn.XLOOKUP($A895,Load!$B:$B,Load!G:G,0,)</f>
        <v>0</v>
      </c>
      <c r="G895">
        <f>_xlfn.XLOOKUP($A895,Load!$B:$B,Load!H:H,0,)</f>
        <v>0</v>
      </c>
      <c r="H895">
        <f>_xlfn.XLOOKUP($A895,Load!$B:$B,Load!I:I,0,)</f>
        <v>0</v>
      </c>
      <c r="I895">
        <f>_xlfn.XLOOKUP($A895,Load!$B:$B,Load!J:J,0,)</f>
        <v>0</v>
      </c>
      <c r="J895">
        <f>_xlfn.XLOOKUP($A895,Load!$B:$B,Load!K:K,0,)</f>
        <v>0</v>
      </c>
      <c r="K895">
        <f>_xlfn.XLOOKUP($A895,Load!$B:$B,Load!L:L,0,)</f>
        <v>0</v>
      </c>
      <c r="L895">
        <f>_xlfn.XLOOKUP($A895,Load!$B:$B,Load!M:M,0,)</f>
        <v>0</v>
      </c>
    </row>
    <row r="896" spans="1:12" x14ac:dyDescent="0.25">
      <c r="A896" t="s">
        <v>293</v>
      </c>
      <c r="B896" t="str">
        <f>_xlfn.XLOOKUP($A896,Load!$B:$B,Load!C:C,0,)</f>
        <v>Tootsie</v>
      </c>
      <c r="C896" t="str">
        <f>_xlfn.XLOOKUP($A896,Load!$B:$B,Load!D:D,0,)</f>
        <v>Mix of Chocolate and Non-Chocolate Candy</v>
      </c>
      <c r="D896" t="str">
        <f>_xlfn.XLOOKUP($A896,Load!$B:$B,Load!E:E,0,)</f>
        <v>Sweet</v>
      </c>
      <c r="E896" t="str">
        <f>_xlfn.XLOOKUP($A896,Load!$B:$B,Load!F:F,0,)</f>
        <v>Lollipop (regular or lollipop rings)</v>
      </c>
      <c r="F896" t="str">
        <f>_xlfn.XLOOKUP($A896,Load!$B:$B,Load!G:G,0,)</f>
        <v>Large Multipack (More than 80 ct)</v>
      </c>
      <c r="G896" t="str">
        <f>_xlfn.XLOOKUP($A896,Load!$B:$B,Load!H:H,0,)</f>
        <v>Laydown Bag</v>
      </c>
      <c r="H896" t="str">
        <f>_xlfn.XLOOKUP($A896,Load!$B:$B,Load!I:I,0,)</f>
        <v>Everyday Candy Shapes (like Original, Gummy bear, Fruit, Jewels, etc.)</v>
      </c>
      <c r="I896" t="str">
        <f>_xlfn.XLOOKUP($A896,Load!$B:$B,Load!J:J,0,)</f>
        <v>Everyday Graphics</v>
      </c>
      <c r="J896" t="str">
        <f>_xlfn.XLOOKUP($A896,Load!$B:$B,Load!K:K,0,)</f>
        <v>Regular Lollipop size (on sticks or rings)</v>
      </c>
      <c r="K896" t="str">
        <f>_xlfn.XLOOKUP($A896,Load!$B:$B,Load!L:L,0,)</f>
        <v>Regular/Original Wrapping</v>
      </c>
      <c r="L896" t="str">
        <f>_xlfn.XLOOKUP($A896,Load!$B:$B,Load!M:M,0,)</f>
        <v>Single Brand / Single Flavor or Form</v>
      </c>
    </row>
    <row r="897" spans="1:12" x14ac:dyDescent="0.25">
      <c r="B897">
        <f>_xlfn.XLOOKUP($A897,Load!$B:$B,Load!C:C,0,)</f>
        <v>0</v>
      </c>
      <c r="C897">
        <f>_xlfn.XLOOKUP($A897,Load!$B:$B,Load!D:D,0,)</f>
        <v>0</v>
      </c>
      <c r="D897">
        <f>_xlfn.XLOOKUP($A897,Load!$B:$B,Load!E:E,0,)</f>
        <v>0</v>
      </c>
      <c r="E897">
        <f>_xlfn.XLOOKUP($A897,Load!$B:$B,Load!F:F,0,)</f>
        <v>0</v>
      </c>
      <c r="F897">
        <f>_xlfn.XLOOKUP($A897,Load!$B:$B,Load!G:G,0,)</f>
        <v>0</v>
      </c>
      <c r="G897">
        <f>_xlfn.XLOOKUP($A897,Load!$B:$B,Load!H:H,0,)</f>
        <v>0</v>
      </c>
      <c r="H897">
        <f>_xlfn.XLOOKUP($A897,Load!$B:$B,Load!I:I,0,)</f>
        <v>0</v>
      </c>
      <c r="I897">
        <f>_xlfn.XLOOKUP($A897,Load!$B:$B,Load!J:J,0,)</f>
        <v>0</v>
      </c>
      <c r="J897">
        <f>_xlfn.XLOOKUP($A897,Load!$B:$B,Load!K:K,0,)</f>
        <v>0</v>
      </c>
      <c r="K897">
        <f>_xlfn.XLOOKUP($A897,Load!$B:$B,Load!L:L,0,)</f>
        <v>0</v>
      </c>
      <c r="L897">
        <f>_xlfn.XLOOKUP($A897,Load!$B:$B,Load!M:M,0,)</f>
        <v>0</v>
      </c>
    </row>
    <row r="898" spans="1:12" x14ac:dyDescent="0.25">
      <c r="B898">
        <f>_xlfn.XLOOKUP($A898,Load!$B:$B,Load!C:C,0,)</f>
        <v>0</v>
      </c>
      <c r="C898">
        <f>_xlfn.XLOOKUP($A898,Load!$B:$B,Load!D:D,0,)</f>
        <v>0</v>
      </c>
      <c r="D898">
        <f>_xlfn.XLOOKUP($A898,Load!$B:$B,Load!E:E,0,)</f>
        <v>0</v>
      </c>
      <c r="E898">
        <f>_xlfn.XLOOKUP($A898,Load!$B:$B,Load!F:F,0,)</f>
        <v>0</v>
      </c>
      <c r="F898">
        <f>_xlfn.XLOOKUP($A898,Load!$B:$B,Load!G:G,0,)</f>
        <v>0</v>
      </c>
      <c r="G898">
        <f>_xlfn.XLOOKUP($A898,Load!$B:$B,Load!H:H,0,)</f>
        <v>0</v>
      </c>
      <c r="H898">
        <f>_xlfn.XLOOKUP($A898,Load!$B:$B,Load!I:I,0,)</f>
        <v>0</v>
      </c>
      <c r="I898">
        <f>_xlfn.XLOOKUP($A898,Load!$B:$B,Load!J:J,0,)</f>
        <v>0</v>
      </c>
      <c r="J898">
        <f>_xlfn.XLOOKUP($A898,Load!$B:$B,Load!K:K,0,)</f>
        <v>0</v>
      </c>
      <c r="K898">
        <f>_xlfn.XLOOKUP($A898,Load!$B:$B,Load!L:L,0,)</f>
        <v>0</v>
      </c>
      <c r="L898">
        <f>_xlfn.XLOOKUP($A898,Load!$B:$B,Load!M:M,0,)</f>
        <v>0</v>
      </c>
    </row>
    <row r="899" spans="1:12" x14ac:dyDescent="0.25">
      <c r="B899">
        <f>_xlfn.XLOOKUP($A899,Load!$B:$B,Load!C:C,0,)</f>
        <v>0</v>
      </c>
      <c r="C899">
        <f>_xlfn.XLOOKUP($A899,Load!$B:$B,Load!D:D,0,)</f>
        <v>0</v>
      </c>
      <c r="D899">
        <f>_xlfn.XLOOKUP($A899,Load!$B:$B,Load!E:E,0,)</f>
        <v>0</v>
      </c>
      <c r="E899">
        <f>_xlfn.XLOOKUP($A899,Load!$B:$B,Load!F:F,0,)</f>
        <v>0</v>
      </c>
      <c r="F899">
        <f>_xlfn.XLOOKUP($A899,Load!$B:$B,Load!G:G,0,)</f>
        <v>0</v>
      </c>
      <c r="G899">
        <f>_xlfn.XLOOKUP($A899,Load!$B:$B,Load!H:H,0,)</f>
        <v>0</v>
      </c>
      <c r="H899">
        <f>_xlfn.XLOOKUP($A899,Load!$B:$B,Load!I:I,0,)</f>
        <v>0</v>
      </c>
      <c r="I899">
        <f>_xlfn.XLOOKUP($A899,Load!$B:$B,Load!J:J,0,)</f>
        <v>0</v>
      </c>
      <c r="J899">
        <f>_xlfn.XLOOKUP($A899,Load!$B:$B,Load!K:K,0,)</f>
        <v>0</v>
      </c>
      <c r="K899">
        <f>_xlfn.XLOOKUP($A899,Load!$B:$B,Load!L:L,0,)</f>
        <v>0</v>
      </c>
      <c r="L899">
        <f>_xlfn.XLOOKUP($A899,Load!$B:$B,Load!M:M,0,)</f>
        <v>0</v>
      </c>
    </row>
    <row r="900" spans="1:12" x14ac:dyDescent="0.25">
      <c r="B900">
        <f>_xlfn.XLOOKUP($A900,Load!$B:$B,Load!C:C,0,)</f>
        <v>0</v>
      </c>
      <c r="C900">
        <f>_xlfn.XLOOKUP($A900,Load!$B:$B,Load!D:D,0,)</f>
        <v>0</v>
      </c>
      <c r="D900">
        <f>_xlfn.XLOOKUP($A900,Load!$B:$B,Load!E:E,0,)</f>
        <v>0</v>
      </c>
      <c r="E900">
        <f>_xlfn.XLOOKUP($A900,Load!$B:$B,Load!F:F,0,)</f>
        <v>0</v>
      </c>
      <c r="F900">
        <f>_xlfn.XLOOKUP($A900,Load!$B:$B,Load!G:G,0,)</f>
        <v>0</v>
      </c>
      <c r="G900">
        <f>_xlfn.XLOOKUP($A900,Load!$B:$B,Load!H:H,0,)</f>
        <v>0</v>
      </c>
      <c r="H900">
        <f>_xlfn.XLOOKUP($A900,Load!$B:$B,Load!I:I,0,)</f>
        <v>0</v>
      </c>
      <c r="I900">
        <f>_xlfn.XLOOKUP($A900,Load!$B:$B,Load!J:J,0,)</f>
        <v>0</v>
      </c>
      <c r="J900">
        <f>_xlfn.XLOOKUP($A900,Load!$B:$B,Load!K:K,0,)</f>
        <v>0</v>
      </c>
      <c r="K900">
        <f>_xlfn.XLOOKUP($A900,Load!$B:$B,Load!L:L,0,)</f>
        <v>0</v>
      </c>
      <c r="L900">
        <f>_xlfn.XLOOKUP($A900,Load!$B:$B,Load!M:M,0,)</f>
        <v>0</v>
      </c>
    </row>
    <row r="901" spans="1:12" x14ac:dyDescent="0.25">
      <c r="B901">
        <f>_xlfn.XLOOKUP($A901,Load!$B:$B,Load!C:C,0,)</f>
        <v>0</v>
      </c>
      <c r="C901">
        <f>_xlfn.XLOOKUP($A901,Load!$B:$B,Load!D:D,0,)</f>
        <v>0</v>
      </c>
      <c r="D901">
        <f>_xlfn.XLOOKUP($A901,Load!$B:$B,Load!E:E,0,)</f>
        <v>0</v>
      </c>
      <c r="E901">
        <f>_xlfn.XLOOKUP($A901,Load!$B:$B,Load!F:F,0,)</f>
        <v>0</v>
      </c>
      <c r="F901">
        <f>_xlfn.XLOOKUP($A901,Load!$B:$B,Load!G:G,0,)</f>
        <v>0</v>
      </c>
      <c r="G901">
        <f>_xlfn.XLOOKUP($A901,Load!$B:$B,Load!H:H,0,)</f>
        <v>0</v>
      </c>
      <c r="H901">
        <f>_xlfn.XLOOKUP($A901,Load!$B:$B,Load!I:I,0,)</f>
        <v>0</v>
      </c>
      <c r="I901">
        <f>_xlfn.XLOOKUP($A901,Load!$B:$B,Load!J:J,0,)</f>
        <v>0</v>
      </c>
      <c r="J901">
        <f>_xlfn.XLOOKUP($A901,Load!$B:$B,Load!K:K,0,)</f>
        <v>0</v>
      </c>
      <c r="K901">
        <f>_xlfn.XLOOKUP($A901,Load!$B:$B,Load!L:L,0,)</f>
        <v>0</v>
      </c>
      <c r="L901">
        <f>_xlfn.XLOOKUP($A901,Load!$B:$B,Load!M:M,0,)</f>
        <v>0</v>
      </c>
    </row>
    <row r="902" spans="1:12" x14ac:dyDescent="0.25">
      <c r="A902" t="s">
        <v>84</v>
      </c>
      <c r="B902" t="str">
        <f>_xlfn.XLOOKUP($A902,Load!$B:$B,Load!C:C,0,)</f>
        <v>Ferrara Variety Pack</v>
      </c>
      <c r="C902" t="str">
        <f>_xlfn.XLOOKUP($A902,Load!$B:$B,Load!D:D,0,)</f>
        <v>Non-Chocolate Candy Only</v>
      </c>
      <c r="D902" t="str">
        <f>_xlfn.XLOOKUP($A902,Load!$B:$B,Load!E:E,0,)</f>
        <v>Variety / Mixed Flavors (Fruity, Sour, Seasonal Flavors)</v>
      </c>
      <c r="E902" t="str">
        <f>_xlfn.XLOOKUP($A902,Load!$B:$B,Load!F:F,0,)</f>
        <v>Mixed / Combo Packs (Gummy, Chewy, Taffy, etc.)</v>
      </c>
      <c r="F902" t="str">
        <f>_xlfn.XLOOKUP($A902,Load!$B:$B,Load!G:G,0,)</f>
        <v>Large Multipack (More than 80 ct)</v>
      </c>
      <c r="G902" t="str">
        <f>_xlfn.XLOOKUP($A902,Load!$B:$B,Load!H:H,0,)</f>
        <v>Stand-Up Bag</v>
      </c>
      <c r="H902" t="str">
        <f>_xlfn.XLOOKUP($A902,Load!$B:$B,Load!I:I,0,)</f>
        <v>Everyday Candy Shapes (like Original, Gummy bear, Fruit, Jewels, etc.)</v>
      </c>
      <c r="I902" t="str">
        <f>_xlfn.XLOOKUP($A902,Load!$B:$B,Load!J:J,0,)</f>
        <v>Seasonal Graphics (Like Bat, Ghost, Pumpkin, Fall Leaves, Eyeballs, etc.)</v>
      </c>
      <c r="J902" t="str">
        <f>_xlfn.XLOOKUP($A902,Load!$B:$B,Load!K:K,0,)</f>
        <v xml:space="preserve">Variety Candy Sizes </v>
      </c>
      <c r="K902" t="str">
        <f>_xlfn.XLOOKUP($A902,Load!$B:$B,Load!L:L,0,)</f>
        <v>Regular/Original Wrapping</v>
      </c>
      <c r="L902" t="str">
        <f>_xlfn.XLOOKUP($A902,Load!$B:$B,Load!M:M,0,)</f>
        <v>Multiple Brands / Variety Flavors or Form</v>
      </c>
    </row>
    <row r="903" spans="1:12" x14ac:dyDescent="0.25">
      <c r="A903" t="s">
        <v>181</v>
      </c>
      <c r="B903" t="str">
        <f>_xlfn.XLOOKUP($A903,Load!$B:$B,Load!C:C,0,)</f>
        <v>Mars Variety Pack</v>
      </c>
      <c r="C903" t="str">
        <f>_xlfn.XLOOKUP($A903,Load!$B:$B,Load!D:D,0,)</f>
        <v>Mix of Chocolate and Non-Chocolate Candy</v>
      </c>
      <c r="D903" t="str">
        <f>_xlfn.XLOOKUP($A903,Load!$B:$B,Load!E:E,0,)</f>
        <v>Variety / Mixed Flavors (Fruity, Sour, Seasonal Flavors)</v>
      </c>
      <c r="E903" t="str">
        <f>_xlfn.XLOOKUP($A903,Load!$B:$B,Load!F:F,0,)</f>
        <v>Mixed / Combo Packs (Gummy, Chewy, Taffy, etc.)</v>
      </c>
      <c r="F903" t="str">
        <f>_xlfn.XLOOKUP($A903,Load!$B:$B,Load!G:G,0,)</f>
        <v>Large Multipack (More than 80 ct)</v>
      </c>
      <c r="G903" t="str">
        <f>_xlfn.XLOOKUP($A903,Load!$B:$B,Load!H:H,0,)</f>
        <v>Stand-Up Bag</v>
      </c>
      <c r="H903" t="str">
        <f>_xlfn.XLOOKUP($A903,Load!$B:$B,Load!I:I,0,)</f>
        <v>Everyday Candy Shapes (like Original, Gummy bear, Fruit, Jewels, etc.)</v>
      </c>
      <c r="I903" t="str">
        <f>_xlfn.XLOOKUP($A903,Load!$B:$B,Load!J:J,0,)</f>
        <v>Seasonal Graphics (Like Bat, Ghost, Pumpkin, Fall Leaves, Eyeballs, etc.)</v>
      </c>
      <c r="J903" t="str">
        <f>_xlfn.XLOOKUP($A903,Load!$B:$B,Load!K:K,0,)</f>
        <v>Fun Size / Treat Size</v>
      </c>
      <c r="K903" t="str">
        <f>_xlfn.XLOOKUP($A903,Load!$B:$B,Load!L:L,0,)</f>
        <v>Regular/Original Wrapping</v>
      </c>
      <c r="L903" t="str">
        <f>_xlfn.XLOOKUP($A903,Load!$B:$B,Load!M:M,0,)</f>
        <v>Multiple Brands / Variety Flavors or Form</v>
      </c>
    </row>
    <row r="904" spans="1:12" x14ac:dyDescent="0.25">
      <c r="B904">
        <f>_xlfn.XLOOKUP($A904,Load!$B:$B,Load!C:C,0,)</f>
        <v>0</v>
      </c>
      <c r="C904">
        <f>_xlfn.XLOOKUP($A904,Load!$B:$B,Load!D:D,0,)</f>
        <v>0</v>
      </c>
      <c r="D904">
        <f>_xlfn.XLOOKUP($A904,Load!$B:$B,Load!E:E,0,)</f>
        <v>0</v>
      </c>
      <c r="E904">
        <f>_xlfn.XLOOKUP($A904,Load!$B:$B,Load!F:F,0,)</f>
        <v>0</v>
      </c>
      <c r="F904">
        <f>_xlfn.XLOOKUP($A904,Load!$B:$B,Load!G:G,0,)</f>
        <v>0</v>
      </c>
      <c r="G904">
        <f>_xlfn.XLOOKUP($A904,Load!$B:$B,Load!H:H,0,)</f>
        <v>0</v>
      </c>
      <c r="H904">
        <f>_xlfn.XLOOKUP($A904,Load!$B:$B,Load!I:I,0,)</f>
        <v>0</v>
      </c>
      <c r="I904">
        <f>_xlfn.XLOOKUP($A904,Load!$B:$B,Load!J:J,0,)</f>
        <v>0</v>
      </c>
      <c r="J904">
        <f>_xlfn.XLOOKUP($A904,Load!$B:$B,Load!K:K,0,)</f>
        <v>0</v>
      </c>
      <c r="K904">
        <f>_xlfn.XLOOKUP($A904,Load!$B:$B,Load!L:L,0,)</f>
        <v>0</v>
      </c>
      <c r="L904">
        <f>_xlfn.XLOOKUP($A904,Load!$B:$B,Load!M:M,0,)</f>
        <v>0</v>
      </c>
    </row>
    <row r="905" spans="1:12" x14ac:dyDescent="0.25">
      <c r="B905">
        <f>_xlfn.XLOOKUP($A905,Load!$B:$B,Load!C:C,0,)</f>
        <v>0</v>
      </c>
      <c r="C905">
        <f>_xlfn.XLOOKUP($A905,Load!$B:$B,Load!D:D,0,)</f>
        <v>0</v>
      </c>
      <c r="D905">
        <f>_xlfn.XLOOKUP($A905,Load!$B:$B,Load!E:E,0,)</f>
        <v>0</v>
      </c>
      <c r="E905">
        <f>_xlfn.XLOOKUP($A905,Load!$B:$B,Load!F:F,0,)</f>
        <v>0</v>
      </c>
      <c r="F905">
        <f>_xlfn.XLOOKUP($A905,Load!$B:$B,Load!G:G,0,)</f>
        <v>0</v>
      </c>
      <c r="G905">
        <f>_xlfn.XLOOKUP($A905,Load!$B:$B,Load!H:H,0,)</f>
        <v>0</v>
      </c>
      <c r="H905">
        <f>_xlfn.XLOOKUP($A905,Load!$B:$B,Load!I:I,0,)</f>
        <v>0</v>
      </c>
      <c r="I905">
        <f>_xlfn.XLOOKUP($A905,Load!$B:$B,Load!J:J,0,)</f>
        <v>0</v>
      </c>
      <c r="J905">
        <f>_xlfn.XLOOKUP($A905,Load!$B:$B,Load!K:K,0,)</f>
        <v>0</v>
      </c>
      <c r="K905">
        <f>_xlfn.XLOOKUP($A905,Load!$B:$B,Load!L:L,0,)</f>
        <v>0</v>
      </c>
      <c r="L905">
        <f>_xlfn.XLOOKUP($A905,Load!$B:$B,Load!M:M,0,)</f>
        <v>0</v>
      </c>
    </row>
    <row r="906" spans="1:12" x14ac:dyDescent="0.25">
      <c r="A906" t="s">
        <v>103</v>
      </c>
      <c r="B906" t="str">
        <f>_xlfn.XLOOKUP($A906,Load!$B:$B,Load!C:C,0,)</f>
        <v>Frankford</v>
      </c>
      <c r="C906" t="str">
        <f>_xlfn.XLOOKUP($A906,Load!$B:$B,Load!D:D,0,)</f>
        <v>Non-Chocolate Candy Only</v>
      </c>
      <c r="D906" t="str">
        <f>_xlfn.XLOOKUP($A906,Load!$B:$B,Load!E:E,0,)</f>
        <v>Sweet</v>
      </c>
      <c r="E906" t="str">
        <f>_xlfn.XLOOKUP($A906,Load!$B:$B,Load!F:F,0,)</f>
        <v>Gummy</v>
      </c>
      <c r="F906" t="str">
        <f>_xlfn.XLOOKUP($A906,Load!$B:$B,Load!G:G,0,)</f>
        <v>Medium Multipack (40–80 ct)</v>
      </c>
      <c r="G906" t="str">
        <f>_xlfn.XLOOKUP($A906,Load!$B:$B,Load!H:H,0,)</f>
        <v>Stand-Up Bag</v>
      </c>
      <c r="H906" t="str">
        <f>_xlfn.XLOOKUP($A906,Load!$B:$B,Load!I:I,0,)</f>
        <v>Seasonal Shapes (like pumpkins, candy corn, ghost, bats, etc.)</v>
      </c>
      <c r="I906" t="str">
        <f>_xlfn.XLOOKUP($A906,Load!$B:$B,Load!J:J,0,)</f>
        <v>Seasonal Graphics (Like Bat, Ghost, Pumpkin, Fall Leaves, Eyeballs, etc.)</v>
      </c>
      <c r="J906" t="str">
        <f>_xlfn.XLOOKUP($A906,Load!$B:$B,Load!K:K,0,)</f>
        <v>Fun Size / Treat Size</v>
      </c>
      <c r="K906" t="str">
        <f>_xlfn.XLOOKUP($A906,Load!$B:$B,Load!L:L,0,)</f>
        <v>Regular/Original Wrapping</v>
      </c>
      <c r="L906" t="str">
        <f>_xlfn.XLOOKUP($A906,Load!$B:$B,Load!M:M,0,)</f>
        <v>Single Brand / Variety Flavors or Form</v>
      </c>
    </row>
    <row r="907" spans="1:12" x14ac:dyDescent="0.25">
      <c r="A907" t="s">
        <v>261</v>
      </c>
      <c r="B907" t="str">
        <f>_xlfn.XLOOKUP($A907,Load!$B:$B,Load!C:C,0,)</f>
        <v>Skittles</v>
      </c>
      <c r="C907" t="str">
        <f>_xlfn.XLOOKUP($A907,Load!$B:$B,Load!D:D,0,)</f>
        <v>Non-Chocolate Candy Only</v>
      </c>
      <c r="D907" t="str">
        <f>_xlfn.XLOOKUP($A907,Load!$B:$B,Load!E:E,0,)</f>
        <v>Fruit Flavor (Cherry, Grape, Apple, Citrus, Tropical Fruit)</v>
      </c>
      <c r="E907" t="str">
        <f>_xlfn.XLOOKUP($A907,Load!$B:$B,Load!F:F,0,)</f>
        <v>Candy Pieces / Bites</v>
      </c>
      <c r="F907" t="str">
        <f>_xlfn.XLOOKUP($A907,Load!$B:$B,Load!G:G,0,)</f>
        <v>Single Pack</v>
      </c>
      <c r="G907" t="str">
        <f>_xlfn.XLOOKUP($A907,Load!$B:$B,Load!H:H,0,)</f>
        <v>Laydown Bag</v>
      </c>
      <c r="H907" t="str">
        <f>_xlfn.XLOOKUP($A907,Load!$B:$B,Load!I:I,0,)</f>
        <v>Everyday Candy Shapes (like Original, Gummy bear, Fruit, Jewels, etc.)</v>
      </c>
      <c r="I907" t="str">
        <f>_xlfn.XLOOKUP($A907,Load!$B:$B,Load!J:J,0,)</f>
        <v>Everyday Graphics</v>
      </c>
      <c r="J907" t="str">
        <f>_xlfn.XLOOKUP($A907,Load!$B:$B,Load!K:K,0,)</f>
        <v>Small Pieces (Tiny bite size candies)</v>
      </c>
      <c r="K907" t="str">
        <f>_xlfn.XLOOKUP($A907,Load!$B:$B,Load!L:L,0,)</f>
        <v>Unwrapped</v>
      </c>
      <c r="L907" t="str">
        <f>_xlfn.XLOOKUP($A907,Load!$B:$B,Load!M:M,0,)</f>
        <v>Single Brand / Single Flavor or Form</v>
      </c>
    </row>
    <row r="908" spans="1:12" x14ac:dyDescent="0.25">
      <c r="B908">
        <f>_xlfn.XLOOKUP($A908,Load!$B:$B,Load!C:C,0,)</f>
        <v>0</v>
      </c>
      <c r="C908">
        <f>_xlfn.XLOOKUP($A908,Load!$B:$B,Load!D:D,0,)</f>
        <v>0</v>
      </c>
      <c r="D908">
        <f>_xlfn.XLOOKUP($A908,Load!$B:$B,Load!E:E,0,)</f>
        <v>0</v>
      </c>
      <c r="E908">
        <f>_xlfn.XLOOKUP($A908,Load!$B:$B,Load!F:F,0,)</f>
        <v>0</v>
      </c>
      <c r="F908">
        <f>_xlfn.XLOOKUP($A908,Load!$B:$B,Load!G:G,0,)</f>
        <v>0</v>
      </c>
      <c r="G908">
        <f>_xlfn.XLOOKUP($A908,Load!$B:$B,Load!H:H,0,)</f>
        <v>0</v>
      </c>
      <c r="H908">
        <f>_xlfn.XLOOKUP($A908,Load!$B:$B,Load!I:I,0,)</f>
        <v>0</v>
      </c>
      <c r="I908">
        <f>_xlfn.XLOOKUP($A908,Load!$B:$B,Load!J:J,0,)</f>
        <v>0</v>
      </c>
      <c r="J908">
        <f>_xlfn.XLOOKUP($A908,Load!$B:$B,Load!K:K,0,)</f>
        <v>0</v>
      </c>
      <c r="K908">
        <f>_xlfn.XLOOKUP($A908,Load!$B:$B,Load!L:L,0,)</f>
        <v>0</v>
      </c>
      <c r="L908">
        <f>_xlfn.XLOOKUP($A908,Load!$B:$B,Load!M:M,0,)</f>
        <v>0</v>
      </c>
    </row>
    <row r="909" spans="1:12" x14ac:dyDescent="0.25">
      <c r="B909">
        <f>_xlfn.XLOOKUP($A909,Load!$B:$B,Load!C:C,0,)</f>
        <v>0</v>
      </c>
      <c r="C909">
        <f>_xlfn.XLOOKUP($A909,Load!$B:$B,Load!D:D,0,)</f>
        <v>0</v>
      </c>
      <c r="D909">
        <f>_xlfn.XLOOKUP($A909,Load!$B:$B,Load!E:E,0,)</f>
        <v>0</v>
      </c>
      <c r="E909">
        <f>_xlfn.XLOOKUP($A909,Load!$B:$B,Load!F:F,0,)</f>
        <v>0</v>
      </c>
      <c r="F909">
        <f>_xlfn.XLOOKUP($A909,Load!$B:$B,Load!G:G,0,)</f>
        <v>0</v>
      </c>
      <c r="G909">
        <f>_xlfn.XLOOKUP($A909,Load!$B:$B,Load!H:H,0,)</f>
        <v>0</v>
      </c>
      <c r="H909">
        <f>_xlfn.XLOOKUP($A909,Load!$B:$B,Load!I:I,0,)</f>
        <v>0</v>
      </c>
      <c r="I909">
        <f>_xlfn.XLOOKUP($A909,Load!$B:$B,Load!J:J,0,)</f>
        <v>0</v>
      </c>
      <c r="J909">
        <f>_xlfn.XLOOKUP($A909,Load!$B:$B,Load!K:K,0,)</f>
        <v>0</v>
      </c>
      <c r="K909">
        <f>_xlfn.XLOOKUP($A909,Load!$B:$B,Load!L:L,0,)</f>
        <v>0</v>
      </c>
      <c r="L909">
        <f>_xlfn.XLOOKUP($A909,Load!$B:$B,Load!M:M,0,)</f>
        <v>0</v>
      </c>
    </row>
    <row r="910" spans="1:12" x14ac:dyDescent="0.25">
      <c r="B910">
        <f>_xlfn.XLOOKUP($A910,Load!$B:$B,Load!C:C,0,)</f>
        <v>0</v>
      </c>
      <c r="C910">
        <f>_xlfn.XLOOKUP($A910,Load!$B:$B,Load!D:D,0,)</f>
        <v>0</v>
      </c>
      <c r="D910">
        <f>_xlfn.XLOOKUP($A910,Load!$B:$B,Load!E:E,0,)</f>
        <v>0</v>
      </c>
      <c r="E910">
        <f>_xlfn.XLOOKUP($A910,Load!$B:$B,Load!F:F,0,)</f>
        <v>0</v>
      </c>
      <c r="F910">
        <f>_xlfn.XLOOKUP($A910,Load!$B:$B,Load!G:G,0,)</f>
        <v>0</v>
      </c>
      <c r="G910">
        <f>_xlfn.XLOOKUP($A910,Load!$B:$B,Load!H:H,0,)</f>
        <v>0</v>
      </c>
      <c r="H910">
        <f>_xlfn.XLOOKUP($A910,Load!$B:$B,Load!I:I,0,)</f>
        <v>0</v>
      </c>
      <c r="I910">
        <f>_xlfn.XLOOKUP($A910,Load!$B:$B,Load!J:J,0,)</f>
        <v>0</v>
      </c>
      <c r="J910">
        <f>_xlfn.XLOOKUP($A910,Load!$B:$B,Load!K:K,0,)</f>
        <v>0</v>
      </c>
      <c r="K910">
        <f>_xlfn.XLOOKUP($A910,Load!$B:$B,Load!L:L,0,)</f>
        <v>0</v>
      </c>
      <c r="L910">
        <f>_xlfn.XLOOKUP($A910,Load!$B:$B,Load!M:M,0,)</f>
        <v>0</v>
      </c>
    </row>
    <row r="911" spans="1:12" x14ac:dyDescent="0.25">
      <c r="B911">
        <f>_xlfn.XLOOKUP($A911,Load!$B:$B,Load!C:C,0,)</f>
        <v>0</v>
      </c>
      <c r="C911">
        <f>_xlfn.XLOOKUP($A911,Load!$B:$B,Load!D:D,0,)</f>
        <v>0</v>
      </c>
      <c r="D911">
        <f>_xlfn.XLOOKUP($A911,Load!$B:$B,Load!E:E,0,)</f>
        <v>0</v>
      </c>
      <c r="E911">
        <f>_xlfn.XLOOKUP($A911,Load!$B:$B,Load!F:F,0,)</f>
        <v>0</v>
      </c>
      <c r="F911">
        <f>_xlfn.XLOOKUP($A911,Load!$B:$B,Load!G:G,0,)</f>
        <v>0</v>
      </c>
      <c r="G911">
        <f>_xlfn.XLOOKUP($A911,Load!$B:$B,Load!H:H,0,)</f>
        <v>0</v>
      </c>
      <c r="H911">
        <f>_xlfn.XLOOKUP($A911,Load!$B:$B,Load!I:I,0,)</f>
        <v>0</v>
      </c>
      <c r="I911">
        <f>_xlfn.XLOOKUP($A911,Load!$B:$B,Load!J:J,0,)</f>
        <v>0</v>
      </c>
      <c r="J911">
        <f>_xlfn.XLOOKUP($A911,Load!$B:$B,Load!K:K,0,)</f>
        <v>0</v>
      </c>
      <c r="K911">
        <f>_xlfn.XLOOKUP($A911,Load!$B:$B,Load!L:L,0,)</f>
        <v>0</v>
      </c>
      <c r="L911">
        <f>_xlfn.XLOOKUP($A911,Load!$B:$B,Load!M:M,0,)</f>
        <v>0</v>
      </c>
    </row>
    <row r="912" spans="1:12" x14ac:dyDescent="0.25">
      <c r="B912">
        <f>_xlfn.XLOOKUP($A912,Load!$B:$B,Load!C:C,0,)</f>
        <v>0</v>
      </c>
      <c r="C912">
        <f>_xlfn.XLOOKUP($A912,Load!$B:$B,Load!D:D,0,)</f>
        <v>0</v>
      </c>
      <c r="D912">
        <f>_xlfn.XLOOKUP($A912,Load!$B:$B,Load!E:E,0,)</f>
        <v>0</v>
      </c>
      <c r="E912">
        <f>_xlfn.XLOOKUP($A912,Load!$B:$B,Load!F:F,0,)</f>
        <v>0</v>
      </c>
      <c r="F912">
        <f>_xlfn.XLOOKUP($A912,Load!$B:$B,Load!G:G,0,)</f>
        <v>0</v>
      </c>
      <c r="G912">
        <f>_xlfn.XLOOKUP($A912,Load!$B:$B,Load!H:H,0,)</f>
        <v>0</v>
      </c>
      <c r="H912">
        <f>_xlfn.XLOOKUP($A912,Load!$B:$B,Load!I:I,0,)</f>
        <v>0</v>
      </c>
      <c r="I912">
        <f>_xlfn.XLOOKUP($A912,Load!$B:$B,Load!J:J,0,)</f>
        <v>0</v>
      </c>
      <c r="J912">
        <f>_xlfn.XLOOKUP($A912,Load!$B:$B,Load!K:K,0,)</f>
        <v>0</v>
      </c>
      <c r="K912">
        <f>_xlfn.XLOOKUP($A912,Load!$B:$B,Load!L:L,0,)</f>
        <v>0</v>
      </c>
      <c r="L912">
        <f>_xlfn.XLOOKUP($A912,Load!$B:$B,Load!M:M,0,)</f>
        <v>0</v>
      </c>
    </row>
    <row r="913" spans="1:12" x14ac:dyDescent="0.25">
      <c r="B913">
        <f>_xlfn.XLOOKUP($A913,Load!$B:$B,Load!C:C,0,)</f>
        <v>0</v>
      </c>
      <c r="C913">
        <f>_xlfn.XLOOKUP($A913,Load!$B:$B,Load!D:D,0,)</f>
        <v>0</v>
      </c>
      <c r="D913">
        <f>_xlfn.XLOOKUP($A913,Load!$B:$B,Load!E:E,0,)</f>
        <v>0</v>
      </c>
      <c r="E913">
        <f>_xlfn.XLOOKUP($A913,Load!$B:$B,Load!F:F,0,)</f>
        <v>0</v>
      </c>
      <c r="F913">
        <f>_xlfn.XLOOKUP($A913,Load!$B:$B,Load!G:G,0,)</f>
        <v>0</v>
      </c>
      <c r="G913">
        <f>_xlfn.XLOOKUP($A913,Load!$B:$B,Load!H:H,0,)</f>
        <v>0</v>
      </c>
      <c r="H913">
        <f>_xlfn.XLOOKUP($A913,Load!$B:$B,Load!I:I,0,)</f>
        <v>0</v>
      </c>
      <c r="I913">
        <f>_xlfn.XLOOKUP($A913,Load!$B:$B,Load!J:J,0,)</f>
        <v>0</v>
      </c>
      <c r="J913">
        <f>_xlfn.XLOOKUP($A913,Load!$B:$B,Load!K:K,0,)</f>
        <v>0</v>
      </c>
      <c r="K913">
        <f>_xlfn.XLOOKUP($A913,Load!$B:$B,Load!L:L,0,)</f>
        <v>0</v>
      </c>
      <c r="L913">
        <f>_xlfn.XLOOKUP($A913,Load!$B:$B,Load!M:M,0,)</f>
        <v>0</v>
      </c>
    </row>
    <row r="914" spans="1:12" x14ac:dyDescent="0.25">
      <c r="A914" t="s">
        <v>132</v>
      </c>
      <c r="B914" t="str">
        <f>_xlfn.XLOOKUP($A914,Load!$B:$B,Load!C:C,0,)</f>
        <v>Hershey's</v>
      </c>
      <c r="C914" t="str">
        <f>_xlfn.XLOOKUP($A914,Load!$B:$B,Load!D:D,0,)</f>
        <v>Mix of Chocolate and Non-Chocolate Candy</v>
      </c>
      <c r="D914" t="str">
        <f>_xlfn.XLOOKUP($A914,Load!$B:$B,Load!E:E,0,)</f>
        <v>Variety / Mixed Flavors (Fruity, Sour, Seasonal Flavors)</v>
      </c>
      <c r="E914" t="str">
        <f>_xlfn.XLOOKUP($A914,Load!$B:$B,Load!F:F,0,)</f>
        <v>Mixed / Combo Packs (Gummy, Chewy, Taffy, etc.)</v>
      </c>
      <c r="F914" t="str">
        <f>_xlfn.XLOOKUP($A914,Load!$B:$B,Load!G:G,0,)</f>
        <v>Small Multipack (Less than 40 ct)</v>
      </c>
      <c r="G914" t="str">
        <f>_xlfn.XLOOKUP($A914,Load!$B:$B,Load!H:H,0,)</f>
        <v>Laydown Bag</v>
      </c>
      <c r="H914" t="str">
        <f>_xlfn.XLOOKUP($A914,Load!$B:$B,Load!I:I,0,)</f>
        <v>Everyday Candy Shapes (like Original, Gummy bear, Fruit, Jewels, etc.)</v>
      </c>
      <c r="I914" t="str">
        <f>_xlfn.XLOOKUP($A914,Load!$B:$B,Load!J:J,0,)</f>
        <v>Seasonal Graphics (Like Bat, Ghost, Pumpkin, Fall Leaves, Eyeballs, etc.)</v>
      </c>
      <c r="J914" t="str">
        <f>_xlfn.XLOOKUP($A914,Load!$B:$B,Load!K:K,0,)</f>
        <v xml:space="preserve">Variety Candy Sizes </v>
      </c>
      <c r="K914" t="str">
        <f>_xlfn.XLOOKUP($A914,Load!$B:$B,Load!L:L,0,)</f>
        <v>Regular/Original Wrapping</v>
      </c>
      <c r="L914" t="str">
        <f>_xlfn.XLOOKUP($A914,Load!$B:$B,Load!M:M,0,)</f>
        <v>Multiple Brands / Variety Flavors or Form</v>
      </c>
    </row>
    <row r="915" spans="1:12" x14ac:dyDescent="0.25">
      <c r="A915" t="s">
        <v>326</v>
      </c>
      <c r="B915" t="str">
        <f>_xlfn.XLOOKUP($A915,Load!$B:$B,Load!C:C,0,)</f>
        <v>Mondelez Variety Pack</v>
      </c>
      <c r="C915" t="str">
        <f>_xlfn.XLOOKUP($A915,Load!$B:$B,Load!D:D,0,)</f>
        <v>Mix of Chocolate and Non-Chocolate Candy</v>
      </c>
      <c r="D915" t="str">
        <f>_xlfn.XLOOKUP($A915,Load!$B:$B,Load!E:E,0,)</f>
        <v>Variety / Mixed Flavors (Fruity, Sour, Seasonal Flavors)</v>
      </c>
      <c r="E915" t="str">
        <f>_xlfn.XLOOKUP($A915,Load!$B:$B,Load!F:F,0,)</f>
        <v>Mixed / Combo Packs (Gummy, Chewy, Taffy, etc.)</v>
      </c>
      <c r="F915" t="str">
        <f>_xlfn.XLOOKUP($A915,Load!$B:$B,Load!G:G,0,)</f>
        <v>Medium Multipack (40–80 ct)</v>
      </c>
      <c r="G915" t="str">
        <f>_xlfn.XLOOKUP($A915,Load!$B:$B,Load!H:H,0,)</f>
        <v>Stand-Up Bag</v>
      </c>
      <c r="H915" t="str">
        <f>_xlfn.XLOOKUP($A915,Load!$B:$B,Load!I:I,0,)</f>
        <v>Everyday Candy Shapes (like Original, Gummy bear, Fruit, Jewels, etc.)</v>
      </c>
      <c r="I915" t="str">
        <f>_xlfn.XLOOKUP($A915,Load!$B:$B,Load!J:J,0,)</f>
        <v>Seasonal Graphics (Like Bat, Ghost, Pumpkin, Fall Leaves, Eyeballs, etc.)</v>
      </c>
      <c r="J915" t="str">
        <f>_xlfn.XLOOKUP($A915,Load!$B:$B,Load!K:K,0,)</f>
        <v xml:space="preserve">Variety Candy Sizes </v>
      </c>
      <c r="K915" t="str">
        <f>_xlfn.XLOOKUP($A915,Load!$B:$B,Load!L:L,0,)</f>
        <v>Regular/Original Wrapping</v>
      </c>
      <c r="L915" t="str">
        <f>_xlfn.XLOOKUP($A915,Load!$B:$B,Load!M:M,0,)</f>
        <v>Multiple Brands / Variety Flavors or Form</v>
      </c>
    </row>
    <row r="916" spans="1:12" x14ac:dyDescent="0.25">
      <c r="A916" t="s">
        <v>130</v>
      </c>
      <c r="B916" t="str">
        <f>_xlfn.XLOOKUP($A916,Load!$B:$B,Load!C:C,0,)</f>
        <v>Hershey's</v>
      </c>
      <c r="C916" t="str">
        <f>_xlfn.XLOOKUP($A916,Load!$B:$B,Load!D:D,0,)</f>
        <v>Non-Chocolate Candy Only</v>
      </c>
      <c r="D916" t="str">
        <f>_xlfn.XLOOKUP($A916,Load!$B:$B,Load!E:E,0,)</f>
        <v>Variety / Mixed Flavors (Fruity, Sour, Seasonal Flavors)</v>
      </c>
      <c r="E916" t="str">
        <f>_xlfn.XLOOKUP($A916,Load!$B:$B,Load!F:F,0,)</f>
        <v>Mixed / Combo Packs (Gummy, Chewy, Taffy, etc.)</v>
      </c>
      <c r="F916" t="str">
        <f>_xlfn.XLOOKUP($A916,Load!$B:$B,Load!G:G,0,)</f>
        <v>Medium Multipack (40–80 ct)</v>
      </c>
      <c r="G916" t="str">
        <f>_xlfn.XLOOKUP($A916,Load!$B:$B,Load!H:H,0,)</f>
        <v>Laydown Bag</v>
      </c>
      <c r="H916" t="str">
        <f>_xlfn.XLOOKUP($A916,Load!$B:$B,Load!I:I,0,)</f>
        <v>Everyday Candy Shapes (like Original, Gummy bear, Fruit, Jewels, etc.)</v>
      </c>
      <c r="I916" t="str">
        <f>_xlfn.XLOOKUP($A916,Load!$B:$B,Load!J:J,0,)</f>
        <v>Seasonal Graphics (Like Bat, Ghost, Pumpkin, Fall Leaves, Eyeballs, etc.)</v>
      </c>
      <c r="J916" t="str">
        <f>_xlfn.XLOOKUP($A916,Load!$B:$B,Load!K:K,0,)</f>
        <v xml:space="preserve">Variety Candy Sizes </v>
      </c>
      <c r="K916" t="str">
        <f>_xlfn.XLOOKUP($A916,Load!$B:$B,Load!L:L,0,)</f>
        <v>Regular/Original Wrapping</v>
      </c>
      <c r="L916" t="str">
        <f>_xlfn.XLOOKUP($A916,Load!$B:$B,Load!M:M,0,)</f>
        <v>Multiple Brands / Variety Flavors or Form</v>
      </c>
    </row>
    <row r="917" spans="1:12" x14ac:dyDescent="0.25">
      <c r="A917" t="s">
        <v>138</v>
      </c>
      <c r="B917" t="str">
        <f>_xlfn.XLOOKUP($A917,Load!$B:$B,Load!C:C,0,)</f>
        <v>Hershey's Variety Pack + Haribo</v>
      </c>
      <c r="C917" t="str">
        <f>_xlfn.XLOOKUP($A917,Load!$B:$B,Load!D:D,0,)</f>
        <v>Non-Chocolate Candy Only</v>
      </c>
      <c r="D917" t="str">
        <f>_xlfn.XLOOKUP($A917,Load!$B:$B,Load!E:E,0,)</f>
        <v>Variety / Mixed Flavors (Fruity, Sour, Seasonal Flavors)</v>
      </c>
      <c r="E917" t="str">
        <f>_xlfn.XLOOKUP($A917,Load!$B:$B,Load!F:F,0,)</f>
        <v>Mixed / Combo Packs (Gummy, Chewy, Taffy, etc.)</v>
      </c>
      <c r="F917" t="str">
        <f>_xlfn.XLOOKUP($A917,Load!$B:$B,Load!G:G,0,)</f>
        <v>Medium Multipack (40–80 ct)</v>
      </c>
      <c r="G917" t="str">
        <f>_xlfn.XLOOKUP($A917,Load!$B:$B,Load!H:H,0,)</f>
        <v>Laydown Bag</v>
      </c>
      <c r="H917" t="str">
        <f>_xlfn.XLOOKUP($A917,Load!$B:$B,Load!I:I,0,)</f>
        <v>Everyday Candy Shapes (like Original, Gummy bear, Fruit, Jewels, etc.)</v>
      </c>
      <c r="I917" t="str">
        <f>_xlfn.XLOOKUP($A917,Load!$B:$B,Load!J:J,0,)</f>
        <v>Seasonal Graphics (Like Bat, Ghost, Pumpkin, Fall Leaves, Eyeballs, etc.)</v>
      </c>
      <c r="J917" t="str">
        <f>_xlfn.XLOOKUP($A917,Load!$B:$B,Load!K:K,0,)</f>
        <v>Fun Size / Treat Size</v>
      </c>
      <c r="K917" t="str">
        <f>_xlfn.XLOOKUP($A917,Load!$B:$B,Load!L:L,0,)</f>
        <v>Regular/Original Wrapping</v>
      </c>
      <c r="L917" t="str">
        <f>_xlfn.XLOOKUP($A917,Load!$B:$B,Load!M:M,0,)</f>
        <v>Multiple Brands / Variety Flavors or Form</v>
      </c>
    </row>
    <row r="918" spans="1:12" x14ac:dyDescent="0.25">
      <c r="A918" t="s">
        <v>263</v>
      </c>
      <c r="B918" t="str">
        <f>_xlfn.XLOOKUP($A918,Load!$B:$B,Load!C:C,0,)</f>
        <v>Smarties</v>
      </c>
      <c r="C918" t="str">
        <f>_xlfn.XLOOKUP($A918,Load!$B:$B,Load!D:D,0,)</f>
        <v>Non-Chocolate Candy Only</v>
      </c>
      <c r="D918" t="str">
        <f>_xlfn.XLOOKUP($A918,Load!$B:$B,Load!E:E,0,)</f>
        <v>Fruit Flavor (Cherry, Grape, Apple, Citrus, Tropical Fruit)</v>
      </c>
      <c r="E918" t="str">
        <f>_xlfn.XLOOKUP($A918,Load!$B:$B,Load!F:F,0,)</f>
        <v>Powder / Chalky</v>
      </c>
      <c r="F918" t="str">
        <f>_xlfn.XLOOKUP($A918,Load!$B:$B,Load!G:G,0,)</f>
        <v>Single Pack</v>
      </c>
      <c r="G918" t="str">
        <f>_xlfn.XLOOKUP($A918,Load!$B:$B,Load!H:H,0,)</f>
        <v>Laydown Bag</v>
      </c>
      <c r="H918" t="str">
        <f>_xlfn.XLOOKUP($A918,Load!$B:$B,Load!I:I,0,)</f>
        <v>Everyday Candy Shapes (like Original, Gummy bear, Fruit, Jewels, etc.)</v>
      </c>
      <c r="I918" t="str">
        <f>_xlfn.XLOOKUP($A918,Load!$B:$B,Load!J:J,0,)</f>
        <v>Everyday Graphics</v>
      </c>
      <c r="J918" t="str">
        <f>_xlfn.XLOOKUP($A918,Load!$B:$B,Load!K:K,0,)</f>
        <v>Small Pieces (Tiny bite size candies)</v>
      </c>
      <c r="K918" t="str">
        <f>_xlfn.XLOOKUP($A918,Load!$B:$B,Load!L:L,0,)</f>
        <v>Regular/Original Wrapping</v>
      </c>
      <c r="L918" t="str">
        <f>_xlfn.XLOOKUP($A918,Load!$B:$B,Load!M:M,0,)</f>
        <v>Single Brand / Single Flavor or Form</v>
      </c>
    </row>
    <row r="919" spans="1:12" x14ac:dyDescent="0.25">
      <c r="A919" t="s">
        <v>122</v>
      </c>
      <c r="B919" t="str">
        <f>_xlfn.XLOOKUP($A919,Load!$B:$B,Load!C:C,0,)</f>
        <v>HARIBO</v>
      </c>
      <c r="C919" t="str">
        <f>_xlfn.XLOOKUP($A919,Load!$B:$B,Load!D:D,0,)</f>
        <v>Non-Chocolate Candy Only</v>
      </c>
      <c r="D919" t="str">
        <f>_xlfn.XLOOKUP($A919,Load!$B:$B,Load!E:E,0,)</f>
        <v>Variety / Mixed Flavors (Fruity, Sour, Seasonal Flavors)</v>
      </c>
      <c r="E919" t="str">
        <f>_xlfn.XLOOKUP($A919,Load!$B:$B,Load!F:F,0,)</f>
        <v>Gummy</v>
      </c>
      <c r="F919" t="str">
        <f>_xlfn.XLOOKUP($A919,Load!$B:$B,Load!G:G,0,)</f>
        <v>Medium Multipack (40–80 ct)</v>
      </c>
      <c r="G919" t="str">
        <f>_xlfn.XLOOKUP($A919,Load!$B:$B,Load!H:H,0,)</f>
        <v>Laydown Bag</v>
      </c>
      <c r="H919" t="str">
        <f>_xlfn.XLOOKUP($A919,Load!$B:$B,Load!I:I,0,)</f>
        <v>Seasonal Shapes (like pumpkins, candy corn, ghost, bats, etc.)</v>
      </c>
      <c r="I919" t="str">
        <f>_xlfn.XLOOKUP($A919,Load!$B:$B,Load!J:J,0,)</f>
        <v>Seasonal Graphics (Like Bat, Ghost, Pumpkin, Fall Leaves, Eyeballs, etc.)</v>
      </c>
      <c r="J919" t="str">
        <f>_xlfn.XLOOKUP($A919,Load!$B:$B,Load!K:K,0,)</f>
        <v>Small Pieces (Tiny bite size candies)</v>
      </c>
      <c r="K919" t="str">
        <f>_xlfn.XLOOKUP($A919,Load!$B:$B,Load!L:L,0,)</f>
        <v>Regular/Original Wrapping</v>
      </c>
      <c r="L919" t="str">
        <f>_xlfn.XLOOKUP($A919,Load!$B:$B,Load!M:M,0,)</f>
        <v>Multiple Brands / Variety Flavors or Form</v>
      </c>
    </row>
    <row r="920" spans="1:12" x14ac:dyDescent="0.25">
      <c r="B920">
        <f>_xlfn.XLOOKUP($A920,Load!$B:$B,Load!C:C,0,)</f>
        <v>0</v>
      </c>
      <c r="C920">
        <f>_xlfn.XLOOKUP($A920,Load!$B:$B,Load!D:D,0,)</f>
        <v>0</v>
      </c>
      <c r="D920">
        <f>_xlfn.XLOOKUP($A920,Load!$B:$B,Load!E:E,0,)</f>
        <v>0</v>
      </c>
      <c r="E920">
        <f>_xlfn.XLOOKUP($A920,Load!$B:$B,Load!F:F,0,)</f>
        <v>0</v>
      </c>
      <c r="F920">
        <f>_xlfn.XLOOKUP($A920,Load!$B:$B,Load!G:G,0,)</f>
        <v>0</v>
      </c>
      <c r="G920">
        <f>_xlfn.XLOOKUP($A920,Load!$B:$B,Load!H:H,0,)</f>
        <v>0</v>
      </c>
      <c r="H920">
        <f>_xlfn.XLOOKUP($A920,Load!$B:$B,Load!I:I,0,)</f>
        <v>0</v>
      </c>
      <c r="I920">
        <f>_xlfn.XLOOKUP($A920,Load!$B:$B,Load!J:J,0,)</f>
        <v>0</v>
      </c>
      <c r="J920">
        <f>_xlfn.XLOOKUP($A920,Load!$B:$B,Load!K:K,0,)</f>
        <v>0</v>
      </c>
      <c r="K920">
        <f>_xlfn.XLOOKUP($A920,Load!$B:$B,Load!L:L,0,)</f>
        <v>0</v>
      </c>
      <c r="L920">
        <f>_xlfn.XLOOKUP($A920,Load!$B:$B,Load!M:M,0,)</f>
        <v>0</v>
      </c>
    </row>
    <row r="921" spans="1:12" x14ac:dyDescent="0.25">
      <c r="B921">
        <f>_xlfn.XLOOKUP($A921,Load!$B:$B,Load!C:C,0,)</f>
        <v>0</v>
      </c>
      <c r="C921">
        <f>_xlfn.XLOOKUP($A921,Load!$B:$B,Load!D:D,0,)</f>
        <v>0</v>
      </c>
      <c r="D921">
        <f>_xlfn.XLOOKUP($A921,Load!$B:$B,Load!E:E,0,)</f>
        <v>0</v>
      </c>
      <c r="E921">
        <f>_xlfn.XLOOKUP($A921,Load!$B:$B,Load!F:F,0,)</f>
        <v>0</v>
      </c>
      <c r="F921">
        <f>_xlfn.XLOOKUP($A921,Load!$B:$B,Load!G:G,0,)</f>
        <v>0</v>
      </c>
      <c r="G921">
        <f>_xlfn.XLOOKUP($A921,Load!$B:$B,Load!H:H,0,)</f>
        <v>0</v>
      </c>
      <c r="H921">
        <f>_xlfn.XLOOKUP($A921,Load!$B:$B,Load!I:I,0,)</f>
        <v>0</v>
      </c>
      <c r="I921">
        <f>_xlfn.XLOOKUP($A921,Load!$B:$B,Load!J:J,0,)</f>
        <v>0</v>
      </c>
      <c r="J921">
        <f>_xlfn.XLOOKUP($A921,Load!$B:$B,Load!K:K,0,)</f>
        <v>0</v>
      </c>
      <c r="K921">
        <f>_xlfn.XLOOKUP($A921,Load!$B:$B,Load!L:L,0,)</f>
        <v>0</v>
      </c>
      <c r="L921">
        <f>_xlfn.XLOOKUP($A921,Load!$B:$B,Load!M:M,0,)</f>
        <v>0</v>
      </c>
    </row>
    <row r="922" spans="1:12" x14ac:dyDescent="0.25">
      <c r="B922">
        <f>_xlfn.XLOOKUP($A922,Load!$B:$B,Load!C:C,0,)</f>
        <v>0</v>
      </c>
      <c r="C922">
        <f>_xlfn.XLOOKUP($A922,Load!$B:$B,Load!D:D,0,)</f>
        <v>0</v>
      </c>
      <c r="D922">
        <f>_xlfn.XLOOKUP($A922,Load!$B:$B,Load!E:E,0,)</f>
        <v>0</v>
      </c>
      <c r="E922">
        <f>_xlfn.XLOOKUP($A922,Load!$B:$B,Load!F:F,0,)</f>
        <v>0</v>
      </c>
      <c r="F922">
        <f>_xlfn.XLOOKUP($A922,Load!$B:$B,Load!G:G,0,)</f>
        <v>0</v>
      </c>
      <c r="G922">
        <f>_xlfn.XLOOKUP($A922,Load!$B:$B,Load!H:H,0,)</f>
        <v>0</v>
      </c>
      <c r="H922">
        <f>_xlfn.XLOOKUP($A922,Load!$B:$B,Load!I:I,0,)</f>
        <v>0</v>
      </c>
      <c r="I922">
        <f>_xlfn.XLOOKUP($A922,Load!$B:$B,Load!J:J,0,)</f>
        <v>0</v>
      </c>
      <c r="J922">
        <f>_xlfn.XLOOKUP($A922,Load!$B:$B,Load!K:K,0,)</f>
        <v>0</v>
      </c>
      <c r="K922">
        <f>_xlfn.XLOOKUP($A922,Load!$B:$B,Load!L:L,0,)</f>
        <v>0</v>
      </c>
      <c r="L922">
        <f>_xlfn.XLOOKUP($A922,Load!$B:$B,Load!M:M,0,)</f>
        <v>0</v>
      </c>
    </row>
    <row r="923" spans="1:12" x14ac:dyDescent="0.25">
      <c r="B923">
        <f>_xlfn.XLOOKUP($A923,Load!$B:$B,Load!C:C,0,)</f>
        <v>0</v>
      </c>
      <c r="C923">
        <f>_xlfn.XLOOKUP($A923,Load!$B:$B,Load!D:D,0,)</f>
        <v>0</v>
      </c>
      <c r="D923">
        <f>_xlfn.XLOOKUP($A923,Load!$B:$B,Load!E:E,0,)</f>
        <v>0</v>
      </c>
      <c r="E923">
        <f>_xlfn.XLOOKUP($A923,Load!$B:$B,Load!F:F,0,)</f>
        <v>0</v>
      </c>
      <c r="F923">
        <f>_xlfn.XLOOKUP($A923,Load!$B:$B,Load!G:G,0,)</f>
        <v>0</v>
      </c>
      <c r="G923">
        <f>_xlfn.XLOOKUP($A923,Load!$B:$B,Load!H:H,0,)</f>
        <v>0</v>
      </c>
      <c r="H923">
        <f>_xlfn.XLOOKUP($A923,Load!$B:$B,Load!I:I,0,)</f>
        <v>0</v>
      </c>
      <c r="I923">
        <f>_xlfn.XLOOKUP($A923,Load!$B:$B,Load!J:J,0,)</f>
        <v>0</v>
      </c>
      <c r="J923">
        <f>_xlfn.XLOOKUP($A923,Load!$B:$B,Load!K:K,0,)</f>
        <v>0</v>
      </c>
      <c r="K923">
        <f>_xlfn.XLOOKUP($A923,Load!$B:$B,Load!L:L,0,)</f>
        <v>0</v>
      </c>
      <c r="L923">
        <f>_xlfn.XLOOKUP($A923,Load!$B:$B,Load!M:M,0,)</f>
        <v>0</v>
      </c>
    </row>
    <row r="924" spans="1:12" x14ac:dyDescent="0.25">
      <c r="A924" t="s">
        <v>101</v>
      </c>
      <c r="B924" t="str">
        <f>_xlfn.XLOOKUP($A924,Load!$B:$B,Load!C:C,0,)</f>
        <v>Flix</v>
      </c>
      <c r="C924" t="str">
        <f>_xlfn.XLOOKUP($A924,Load!$B:$B,Load!D:D,0,)</f>
        <v>Non-Chocolate Candy Only</v>
      </c>
      <c r="D924" t="str">
        <f>_xlfn.XLOOKUP($A924,Load!$B:$B,Load!E:E,0,)</f>
        <v>Fruit Flavor (Cherry, Grape, Apple, Citrus, Tropical Fruit)</v>
      </c>
      <c r="E924" t="str">
        <f>_xlfn.XLOOKUP($A924,Load!$B:$B,Load!F:F,0,)</f>
        <v>Gummy</v>
      </c>
      <c r="F924" t="str">
        <f>_xlfn.XLOOKUP($A924,Load!$B:$B,Load!G:G,0,)</f>
        <v>Small Multipack (Less than 40 ct)</v>
      </c>
      <c r="G924" t="str">
        <f>_xlfn.XLOOKUP($A924,Load!$B:$B,Load!H:H,0,)</f>
        <v>Laydown Bag</v>
      </c>
      <c r="H924" t="str">
        <f>_xlfn.XLOOKUP($A924,Load!$B:$B,Load!I:I,0,)</f>
        <v>Seasonal Shapes (like pumpkins, candy corn, ghost, bats, etc.)</v>
      </c>
      <c r="I924" t="str">
        <f>_xlfn.XLOOKUP($A924,Load!$B:$B,Load!J:J,0,)</f>
        <v>Seasonal Graphics (Like Bat, Ghost, Pumpkin, Fall Leaves, Eyeballs, etc.)</v>
      </c>
      <c r="J924" t="str">
        <f>_xlfn.XLOOKUP($A924,Load!$B:$B,Load!K:K,0,)</f>
        <v>Small Pieces (Tiny bite size candies)</v>
      </c>
      <c r="K924" t="str">
        <f>_xlfn.XLOOKUP($A924,Load!$B:$B,Load!L:L,0,)</f>
        <v>Regular/Original Wrapping</v>
      </c>
      <c r="L924" t="str">
        <f>_xlfn.XLOOKUP($A924,Load!$B:$B,Load!M:M,0,)</f>
        <v>Single Brand / Variety Flavors or Form</v>
      </c>
    </row>
    <row r="925" spans="1:12" x14ac:dyDescent="0.25">
      <c r="A925" t="s">
        <v>136</v>
      </c>
      <c r="B925" t="str">
        <f>_xlfn.XLOOKUP($A925,Load!$B:$B,Load!C:C,0,)</f>
        <v>Hershey's Variety Pack + Haribo</v>
      </c>
      <c r="C925" t="str">
        <f>_xlfn.XLOOKUP($A925,Load!$B:$B,Load!D:D,0,)</f>
        <v>Non-Chocolate Candy Only</v>
      </c>
      <c r="D925" t="str">
        <f>_xlfn.XLOOKUP($A925,Load!$B:$B,Load!E:E,0,)</f>
        <v>Variety / Mixed Flavors (Fruity, Sour, Seasonal Flavors)</v>
      </c>
      <c r="E925" t="str">
        <f>_xlfn.XLOOKUP($A925,Load!$B:$B,Load!F:F,0,)</f>
        <v>Mixed / Combo Packs (Gummy, Chewy, Taffy, etc.)</v>
      </c>
      <c r="F925" t="str">
        <f>_xlfn.XLOOKUP($A925,Load!$B:$B,Load!G:G,0,)</f>
        <v>Medium Multipack (40–80 ct)</v>
      </c>
      <c r="G925" t="str">
        <f>_xlfn.XLOOKUP($A925,Load!$B:$B,Load!H:H,0,)</f>
        <v>Laydown Bag</v>
      </c>
      <c r="H925" t="str">
        <f>_xlfn.XLOOKUP($A925,Load!$B:$B,Load!I:I,0,)</f>
        <v>Everyday Candy Shapes (like Original, Gummy bear, Fruit, Jewels, etc.)</v>
      </c>
      <c r="I925" t="str">
        <f>_xlfn.XLOOKUP($A925,Load!$B:$B,Load!J:J,0,)</f>
        <v>Seasonal Graphics (Like Bat, Ghost, Pumpkin, Fall Leaves, Eyeballs, etc.)</v>
      </c>
      <c r="J925" t="str">
        <f>_xlfn.XLOOKUP($A925,Load!$B:$B,Load!K:K,0,)</f>
        <v xml:space="preserve">Variety Candy Sizes </v>
      </c>
      <c r="K925" t="str">
        <f>_xlfn.XLOOKUP($A925,Load!$B:$B,Load!L:L,0,)</f>
        <v>Regular/Original Wrapping</v>
      </c>
      <c r="L925" t="str">
        <f>_xlfn.XLOOKUP($A925,Load!$B:$B,Load!M:M,0,)</f>
        <v>Multiple Brands / Variety Flavors or Form</v>
      </c>
    </row>
    <row r="926" spans="1:12" x14ac:dyDescent="0.25">
      <c r="B926">
        <f>_xlfn.XLOOKUP($A926,Load!$B:$B,Load!C:C,0,)</f>
        <v>0</v>
      </c>
      <c r="C926">
        <f>_xlfn.XLOOKUP($A926,Load!$B:$B,Load!D:D,0,)</f>
        <v>0</v>
      </c>
      <c r="D926">
        <f>_xlfn.XLOOKUP($A926,Load!$B:$B,Load!E:E,0,)</f>
        <v>0</v>
      </c>
      <c r="E926">
        <f>_xlfn.XLOOKUP($A926,Load!$B:$B,Load!F:F,0,)</f>
        <v>0</v>
      </c>
      <c r="F926">
        <f>_xlfn.XLOOKUP($A926,Load!$B:$B,Load!G:G,0,)</f>
        <v>0</v>
      </c>
      <c r="G926">
        <f>_xlfn.XLOOKUP($A926,Load!$B:$B,Load!H:H,0,)</f>
        <v>0</v>
      </c>
      <c r="H926">
        <f>_xlfn.XLOOKUP($A926,Load!$B:$B,Load!I:I,0,)</f>
        <v>0</v>
      </c>
      <c r="I926">
        <f>_xlfn.XLOOKUP($A926,Load!$B:$B,Load!J:J,0,)</f>
        <v>0</v>
      </c>
      <c r="J926">
        <f>_xlfn.XLOOKUP($A926,Load!$B:$B,Load!K:K,0,)</f>
        <v>0</v>
      </c>
      <c r="K926">
        <f>_xlfn.XLOOKUP($A926,Load!$B:$B,Load!L:L,0,)</f>
        <v>0</v>
      </c>
      <c r="L926">
        <f>_xlfn.XLOOKUP($A926,Load!$B:$B,Load!M:M,0,)</f>
        <v>0</v>
      </c>
    </row>
    <row r="927" spans="1:12" x14ac:dyDescent="0.25">
      <c r="B927">
        <f>_xlfn.XLOOKUP($A927,Load!$B:$B,Load!C:C,0,)</f>
        <v>0</v>
      </c>
      <c r="C927">
        <f>_xlfn.XLOOKUP($A927,Load!$B:$B,Load!D:D,0,)</f>
        <v>0</v>
      </c>
      <c r="D927">
        <f>_xlfn.XLOOKUP($A927,Load!$B:$B,Load!E:E,0,)</f>
        <v>0</v>
      </c>
      <c r="E927">
        <f>_xlfn.XLOOKUP($A927,Load!$B:$B,Load!F:F,0,)</f>
        <v>0</v>
      </c>
      <c r="F927">
        <f>_xlfn.XLOOKUP($A927,Load!$B:$B,Load!G:G,0,)</f>
        <v>0</v>
      </c>
      <c r="G927">
        <f>_xlfn.XLOOKUP($A927,Load!$B:$B,Load!H:H,0,)</f>
        <v>0</v>
      </c>
      <c r="H927">
        <f>_xlfn.XLOOKUP($A927,Load!$B:$B,Load!I:I,0,)</f>
        <v>0</v>
      </c>
      <c r="I927">
        <f>_xlfn.XLOOKUP($A927,Load!$B:$B,Load!J:J,0,)</f>
        <v>0</v>
      </c>
      <c r="J927">
        <f>_xlfn.XLOOKUP($A927,Load!$B:$B,Load!K:K,0,)</f>
        <v>0</v>
      </c>
      <c r="K927">
        <f>_xlfn.XLOOKUP($A927,Load!$B:$B,Load!L:L,0,)</f>
        <v>0</v>
      </c>
      <c r="L927">
        <f>_xlfn.XLOOKUP($A927,Load!$B:$B,Load!M:M,0,)</f>
        <v>0</v>
      </c>
    </row>
    <row r="928" spans="1:12" x14ac:dyDescent="0.25">
      <c r="A928" t="s">
        <v>214</v>
      </c>
      <c r="B928" t="str">
        <f>_xlfn.XLOOKUP($A928,Load!$B:$B,Load!C:C,0,)</f>
        <v>Mars Variety Pack</v>
      </c>
      <c r="C928" t="str">
        <f>_xlfn.XLOOKUP($A928,Load!$B:$B,Load!D:D,0,)</f>
        <v>Mix of Chocolate and Non-Chocolate Candy</v>
      </c>
      <c r="D928" t="str">
        <f>_xlfn.XLOOKUP($A928,Load!$B:$B,Load!E:E,0,)</f>
        <v>Variety / Mixed Flavors (Fruity, Sour, Seasonal Flavors)</v>
      </c>
      <c r="E928" t="str">
        <f>_xlfn.XLOOKUP($A928,Load!$B:$B,Load!F:F,0,)</f>
        <v>Mixed / Combo Packs (Gummy, Chewy, Taffy, etc.)</v>
      </c>
      <c r="F928" t="str">
        <f>_xlfn.XLOOKUP($A928,Load!$B:$B,Load!G:G,0,)</f>
        <v>Large Multipack (More than 80 ct)</v>
      </c>
      <c r="G928" t="str">
        <f>_xlfn.XLOOKUP($A928,Load!$B:$B,Load!H:H,0,)</f>
        <v>Stand-Up Bag</v>
      </c>
      <c r="H928" t="str">
        <f>_xlfn.XLOOKUP($A928,Load!$B:$B,Load!I:I,0,)</f>
        <v>Everyday Candy Shapes (like Original, Gummy bear, Fruit, Jewels, etc.)</v>
      </c>
      <c r="I928" t="str">
        <f>_xlfn.XLOOKUP($A928,Load!$B:$B,Load!J:J,0,)</f>
        <v>Seasonal Graphics (Like Bat, Ghost, Pumpkin, Fall Leaves, Eyeballs, etc.)</v>
      </c>
      <c r="J928" t="str">
        <f>_xlfn.XLOOKUP($A928,Load!$B:$B,Load!K:K,0,)</f>
        <v>Fun Size / Treat Size</v>
      </c>
      <c r="K928" t="str">
        <f>_xlfn.XLOOKUP($A928,Load!$B:$B,Load!L:L,0,)</f>
        <v>Regular/Original Wrapping</v>
      </c>
      <c r="L928" t="str">
        <f>_xlfn.XLOOKUP($A928,Load!$B:$B,Load!M:M,0,)</f>
        <v>Multiple Brands / Variety Flavors or Form</v>
      </c>
    </row>
    <row r="929" spans="1:12" x14ac:dyDescent="0.25">
      <c r="B929">
        <f>_xlfn.XLOOKUP($A929,Load!$B:$B,Load!C:C,0,)</f>
        <v>0</v>
      </c>
      <c r="C929">
        <f>_xlfn.XLOOKUP($A929,Load!$B:$B,Load!D:D,0,)</f>
        <v>0</v>
      </c>
      <c r="D929">
        <f>_xlfn.XLOOKUP($A929,Load!$B:$B,Load!E:E,0,)</f>
        <v>0</v>
      </c>
      <c r="E929">
        <f>_xlfn.XLOOKUP($A929,Load!$B:$B,Load!F:F,0,)</f>
        <v>0</v>
      </c>
      <c r="F929">
        <f>_xlfn.XLOOKUP($A929,Load!$B:$B,Load!G:G,0,)</f>
        <v>0</v>
      </c>
      <c r="G929">
        <f>_xlfn.XLOOKUP($A929,Load!$B:$B,Load!H:H,0,)</f>
        <v>0</v>
      </c>
      <c r="H929">
        <f>_xlfn.XLOOKUP($A929,Load!$B:$B,Load!I:I,0,)</f>
        <v>0</v>
      </c>
      <c r="I929">
        <f>_xlfn.XLOOKUP($A929,Load!$B:$B,Load!J:J,0,)</f>
        <v>0</v>
      </c>
      <c r="J929">
        <f>_xlfn.XLOOKUP($A929,Load!$B:$B,Load!K:K,0,)</f>
        <v>0</v>
      </c>
      <c r="K929">
        <f>_xlfn.XLOOKUP($A929,Load!$B:$B,Load!L:L,0,)</f>
        <v>0</v>
      </c>
      <c r="L929">
        <f>_xlfn.XLOOKUP($A929,Load!$B:$B,Load!M:M,0,)</f>
        <v>0</v>
      </c>
    </row>
    <row r="930" spans="1:12" x14ac:dyDescent="0.25">
      <c r="B930">
        <f>_xlfn.XLOOKUP($A930,Load!$B:$B,Load!C:C,0,)</f>
        <v>0</v>
      </c>
      <c r="C930">
        <f>_xlfn.XLOOKUP($A930,Load!$B:$B,Load!D:D,0,)</f>
        <v>0</v>
      </c>
      <c r="D930">
        <f>_xlfn.XLOOKUP($A930,Load!$B:$B,Load!E:E,0,)</f>
        <v>0</v>
      </c>
      <c r="E930">
        <f>_xlfn.XLOOKUP($A930,Load!$B:$B,Load!F:F,0,)</f>
        <v>0</v>
      </c>
      <c r="F930">
        <f>_xlfn.XLOOKUP($A930,Load!$B:$B,Load!G:G,0,)</f>
        <v>0</v>
      </c>
      <c r="G930">
        <f>_xlfn.XLOOKUP($A930,Load!$B:$B,Load!H:H,0,)</f>
        <v>0</v>
      </c>
      <c r="H930">
        <f>_xlfn.XLOOKUP($A930,Load!$B:$B,Load!I:I,0,)</f>
        <v>0</v>
      </c>
      <c r="I930">
        <f>_xlfn.XLOOKUP($A930,Load!$B:$B,Load!J:J,0,)</f>
        <v>0</v>
      </c>
      <c r="J930">
        <f>_xlfn.XLOOKUP($A930,Load!$B:$B,Load!K:K,0,)</f>
        <v>0</v>
      </c>
      <c r="K930">
        <f>_xlfn.XLOOKUP($A930,Load!$B:$B,Load!L:L,0,)</f>
        <v>0</v>
      </c>
      <c r="L930">
        <f>_xlfn.XLOOKUP($A930,Load!$B:$B,Load!M:M,0,)</f>
        <v>0</v>
      </c>
    </row>
    <row r="931" spans="1:12" x14ac:dyDescent="0.25">
      <c r="B931">
        <f>_xlfn.XLOOKUP($A931,Load!$B:$B,Load!C:C,0,)</f>
        <v>0</v>
      </c>
      <c r="C931">
        <f>_xlfn.XLOOKUP($A931,Load!$B:$B,Load!D:D,0,)</f>
        <v>0</v>
      </c>
      <c r="D931">
        <f>_xlfn.XLOOKUP($A931,Load!$B:$B,Load!E:E,0,)</f>
        <v>0</v>
      </c>
      <c r="E931">
        <f>_xlfn.XLOOKUP($A931,Load!$B:$B,Load!F:F,0,)</f>
        <v>0</v>
      </c>
      <c r="F931">
        <f>_xlfn.XLOOKUP($A931,Load!$B:$B,Load!G:G,0,)</f>
        <v>0</v>
      </c>
      <c r="G931">
        <f>_xlfn.XLOOKUP($A931,Load!$B:$B,Load!H:H,0,)</f>
        <v>0</v>
      </c>
      <c r="H931">
        <f>_xlfn.XLOOKUP($A931,Load!$B:$B,Load!I:I,0,)</f>
        <v>0</v>
      </c>
      <c r="I931">
        <f>_xlfn.XLOOKUP($A931,Load!$B:$B,Load!J:J,0,)</f>
        <v>0</v>
      </c>
      <c r="J931">
        <f>_xlfn.XLOOKUP($A931,Load!$B:$B,Load!K:K,0,)</f>
        <v>0</v>
      </c>
      <c r="K931">
        <f>_xlfn.XLOOKUP($A931,Load!$B:$B,Load!L:L,0,)</f>
        <v>0</v>
      </c>
      <c r="L931">
        <f>_xlfn.XLOOKUP($A931,Load!$B:$B,Load!M:M,0,)</f>
        <v>0</v>
      </c>
    </row>
    <row r="932" spans="1:12" x14ac:dyDescent="0.25">
      <c r="B932">
        <f>_xlfn.XLOOKUP($A932,Load!$B:$B,Load!C:C,0,)</f>
        <v>0</v>
      </c>
      <c r="C932">
        <f>_xlfn.XLOOKUP($A932,Load!$B:$B,Load!D:D,0,)</f>
        <v>0</v>
      </c>
      <c r="D932">
        <f>_xlfn.XLOOKUP($A932,Load!$B:$B,Load!E:E,0,)</f>
        <v>0</v>
      </c>
      <c r="E932">
        <f>_xlfn.XLOOKUP($A932,Load!$B:$B,Load!F:F,0,)</f>
        <v>0</v>
      </c>
      <c r="F932">
        <f>_xlfn.XLOOKUP($A932,Load!$B:$B,Load!G:G,0,)</f>
        <v>0</v>
      </c>
      <c r="G932">
        <f>_xlfn.XLOOKUP($A932,Load!$B:$B,Load!H:H,0,)</f>
        <v>0</v>
      </c>
      <c r="H932">
        <f>_xlfn.XLOOKUP($A932,Load!$B:$B,Load!I:I,0,)</f>
        <v>0</v>
      </c>
      <c r="I932">
        <f>_xlfn.XLOOKUP($A932,Load!$B:$B,Load!J:J,0,)</f>
        <v>0</v>
      </c>
      <c r="J932">
        <f>_xlfn.XLOOKUP($A932,Load!$B:$B,Load!K:K,0,)</f>
        <v>0</v>
      </c>
      <c r="K932">
        <f>_xlfn.XLOOKUP($A932,Load!$B:$B,Load!L:L,0,)</f>
        <v>0</v>
      </c>
      <c r="L932">
        <f>_xlfn.XLOOKUP($A932,Load!$B:$B,Load!M:M,0,)</f>
        <v>0</v>
      </c>
    </row>
    <row r="933" spans="1:12" x14ac:dyDescent="0.25">
      <c r="B933">
        <f>_xlfn.XLOOKUP($A933,Load!$B:$B,Load!C:C,0,)</f>
        <v>0</v>
      </c>
      <c r="C933">
        <f>_xlfn.XLOOKUP($A933,Load!$B:$B,Load!D:D,0,)</f>
        <v>0</v>
      </c>
      <c r="D933">
        <f>_xlfn.XLOOKUP($A933,Load!$B:$B,Load!E:E,0,)</f>
        <v>0</v>
      </c>
      <c r="E933">
        <f>_xlfn.XLOOKUP($A933,Load!$B:$B,Load!F:F,0,)</f>
        <v>0</v>
      </c>
      <c r="F933">
        <f>_xlfn.XLOOKUP($A933,Load!$B:$B,Load!G:G,0,)</f>
        <v>0</v>
      </c>
      <c r="G933">
        <f>_xlfn.XLOOKUP($A933,Load!$B:$B,Load!H:H,0,)</f>
        <v>0</v>
      </c>
      <c r="H933">
        <f>_xlfn.XLOOKUP($A933,Load!$B:$B,Load!I:I,0,)</f>
        <v>0</v>
      </c>
      <c r="I933">
        <f>_xlfn.XLOOKUP($A933,Load!$B:$B,Load!J:J,0,)</f>
        <v>0</v>
      </c>
      <c r="J933">
        <f>_xlfn.XLOOKUP($A933,Load!$B:$B,Load!K:K,0,)</f>
        <v>0</v>
      </c>
      <c r="K933">
        <f>_xlfn.XLOOKUP($A933,Load!$B:$B,Load!L:L,0,)</f>
        <v>0</v>
      </c>
      <c r="L933">
        <f>_xlfn.XLOOKUP($A933,Load!$B:$B,Load!M:M,0,)</f>
        <v>0</v>
      </c>
    </row>
    <row r="934" spans="1:12" x14ac:dyDescent="0.25">
      <c r="B934">
        <f>_xlfn.XLOOKUP($A934,Load!$B:$B,Load!C:C,0,)</f>
        <v>0</v>
      </c>
      <c r="C934">
        <f>_xlfn.XLOOKUP($A934,Load!$B:$B,Load!D:D,0,)</f>
        <v>0</v>
      </c>
      <c r="D934">
        <f>_xlfn.XLOOKUP($A934,Load!$B:$B,Load!E:E,0,)</f>
        <v>0</v>
      </c>
      <c r="E934">
        <f>_xlfn.XLOOKUP($A934,Load!$B:$B,Load!F:F,0,)</f>
        <v>0</v>
      </c>
      <c r="F934">
        <f>_xlfn.XLOOKUP($A934,Load!$B:$B,Load!G:G,0,)</f>
        <v>0</v>
      </c>
      <c r="G934">
        <f>_xlfn.XLOOKUP($A934,Load!$B:$B,Load!H:H,0,)</f>
        <v>0</v>
      </c>
      <c r="H934">
        <f>_xlfn.XLOOKUP($A934,Load!$B:$B,Load!I:I,0,)</f>
        <v>0</v>
      </c>
      <c r="I934">
        <f>_xlfn.XLOOKUP($A934,Load!$B:$B,Load!J:J,0,)</f>
        <v>0</v>
      </c>
      <c r="J934">
        <f>_xlfn.XLOOKUP($A934,Load!$B:$B,Load!K:K,0,)</f>
        <v>0</v>
      </c>
      <c r="K934">
        <f>_xlfn.XLOOKUP($A934,Load!$B:$B,Load!L:L,0,)</f>
        <v>0</v>
      </c>
      <c r="L934">
        <f>_xlfn.XLOOKUP($A934,Load!$B:$B,Load!M:M,0,)</f>
        <v>0</v>
      </c>
    </row>
    <row r="935" spans="1:12" x14ac:dyDescent="0.25">
      <c r="B935">
        <f>_xlfn.XLOOKUP($A935,Load!$B:$B,Load!C:C,0,)</f>
        <v>0</v>
      </c>
      <c r="C935">
        <f>_xlfn.XLOOKUP($A935,Load!$B:$B,Load!D:D,0,)</f>
        <v>0</v>
      </c>
      <c r="D935">
        <f>_xlfn.XLOOKUP($A935,Load!$B:$B,Load!E:E,0,)</f>
        <v>0</v>
      </c>
      <c r="E935">
        <f>_xlfn.XLOOKUP($A935,Load!$B:$B,Load!F:F,0,)</f>
        <v>0</v>
      </c>
      <c r="F935">
        <f>_xlfn.XLOOKUP($A935,Load!$B:$B,Load!G:G,0,)</f>
        <v>0</v>
      </c>
      <c r="G935">
        <f>_xlfn.XLOOKUP($A935,Load!$B:$B,Load!H:H,0,)</f>
        <v>0</v>
      </c>
      <c r="H935">
        <f>_xlfn.XLOOKUP($A935,Load!$B:$B,Load!I:I,0,)</f>
        <v>0</v>
      </c>
      <c r="I935">
        <f>_xlfn.XLOOKUP($A935,Load!$B:$B,Load!J:J,0,)</f>
        <v>0</v>
      </c>
      <c r="J935">
        <f>_xlfn.XLOOKUP($A935,Load!$B:$B,Load!K:K,0,)</f>
        <v>0</v>
      </c>
      <c r="K935">
        <f>_xlfn.XLOOKUP($A935,Load!$B:$B,Load!L:L,0,)</f>
        <v>0</v>
      </c>
      <c r="L935">
        <f>_xlfn.XLOOKUP($A935,Load!$B:$B,Load!M:M,0,)</f>
        <v>0</v>
      </c>
    </row>
    <row r="936" spans="1:12" x14ac:dyDescent="0.25">
      <c r="A936" t="s">
        <v>202</v>
      </c>
      <c r="B936" t="str">
        <f>_xlfn.XLOOKUP($A936,Load!$B:$B,Load!C:C,0,)</f>
        <v>Mars Variety Pack</v>
      </c>
      <c r="C936" t="str">
        <f>_xlfn.XLOOKUP($A936,Load!$B:$B,Load!D:D,0,)</f>
        <v>Mix of Chocolate and Non-Chocolate Candy</v>
      </c>
      <c r="D936" t="str">
        <f>_xlfn.XLOOKUP($A936,Load!$B:$B,Load!E:E,0,)</f>
        <v>Variety / Mixed Flavors (Fruity, Sour, Seasonal Flavors)</v>
      </c>
      <c r="E936" t="str">
        <f>_xlfn.XLOOKUP($A936,Load!$B:$B,Load!F:F,0,)</f>
        <v>Mixed / Combo Packs (Gummy, Chewy, Taffy, etc.)</v>
      </c>
      <c r="F936" t="str">
        <f>_xlfn.XLOOKUP($A936,Load!$B:$B,Load!G:G,0,)</f>
        <v>Large Multipack (More than 80 ct)</v>
      </c>
      <c r="G936" t="str">
        <f>_xlfn.XLOOKUP($A936,Load!$B:$B,Load!H:H,0,)</f>
        <v>Stand-Up Bag</v>
      </c>
      <c r="H936" t="str">
        <f>_xlfn.XLOOKUP($A936,Load!$B:$B,Load!I:I,0,)</f>
        <v>Everyday Candy Shapes (like Original, Gummy bear, Fruit, Jewels, etc.)</v>
      </c>
      <c r="I936" t="str">
        <f>_xlfn.XLOOKUP($A936,Load!$B:$B,Load!J:J,0,)</f>
        <v>Everyday Graphics</v>
      </c>
      <c r="J936" t="str">
        <f>_xlfn.XLOOKUP($A936,Load!$B:$B,Load!K:K,0,)</f>
        <v>Fun Size / Treat Size</v>
      </c>
      <c r="K936" t="str">
        <f>_xlfn.XLOOKUP($A936,Load!$B:$B,Load!L:L,0,)</f>
        <v>Regular/Original Wrapping</v>
      </c>
      <c r="L936" t="str">
        <f>_xlfn.XLOOKUP($A936,Load!$B:$B,Load!M:M,0,)</f>
        <v>Multiple Brands / Variety Flavors or Form</v>
      </c>
    </row>
    <row r="937" spans="1:12" x14ac:dyDescent="0.25">
      <c r="A937" t="s">
        <v>185</v>
      </c>
      <c r="B937" t="str">
        <f>_xlfn.XLOOKUP($A937,Load!$B:$B,Load!C:C,0,)</f>
        <v>Mars Variety Pack</v>
      </c>
      <c r="C937" t="str">
        <f>_xlfn.XLOOKUP($A937,Load!$B:$B,Load!D:D,0,)</f>
        <v>Mix of Chocolate and Non-Chocolate Candy</v>
      </c>
      <c r="D937" t="str">
        <f>_xlfn.XLOOKUP($A937,Load!$B:$B,Load!E:E,0,)</f>
        <v>Variety / Mixed Flavors (Fruity, Sour, Seasonal Flavors)</v>
      </c>
      <c r="E937" t="str">
        <f>_xlfn.XLOOKUP($A937,Load!$B:$B,Load!F:F,0,)</f>
        <v>Mixed / Combo Packs (Gummy, Chewy, Taffy, etc.)</v>
      </c>
      <c r="F937" t="str">
        <f>_xlfn.XLOOKUP($A937,Load!$B:$B,Load!G:G,0,)</f>
        <v>Large Multipack (More than 80 ct)</v>
      </c>
      <c r="G937" t="str">
        <f>_xlfn.XLOOKUP($A937,Load!$B:$B,Load!H:H,0,)</f>
        <v>Stand-Up Bag</v>
      </c>
      <c r="H937" t="str">
        <f>_xlfn.XLOOKUP($A937,Load!$B:$B,Load!I:I,0,)</f>
        <v>Everyday Candy Shapes (like Original, Gummy bear, Fruit, Jewels, etc.)</v>
      </c>
      <c r="I937" t="str">
        <f>_xlfn.XLOOKUP($A937,Load!$B:$B,Load!J:J,0,)</f>
        <v>Seasonal Graphics (Like Bat, Ghost, Pumpkin, Fall Leaves, Eyeballs, etc.)</v>
      </c>
      <c r="J937" t="str">
        <f>_xlfn.XLOOKUP($A937,Load!$B:$B,Load!K:K,0,)</f>
        <v>Fun Size / Treat Size</v>
      </c>
      <c r="K937" t="str">
        <f>_xlfn.XLOOKUP($A937,Load!$B:$B,Load!L:L,0,)</f>
        <v>Regular/Original Wrapping</v>
      </c>
      <c r="L937" t="str">
        <f>_xlfn.XLOOKUP($A937,Load!$B:$B,Load!M:M,0,)</f>
        <v>Multiple Brands / Variety Flavors or Form</v>
      </c>
    </row>
    <row r="938" spans="1:12" x14ac:dyDescent="0.25">
      <c r="A938" t="s">
        <v>43</v>
      </c>
      <c r="B938" t="str">
        <f>_xlfn.XLOOKUP($A938,Load!$B:$B,Load!C:C,0,)</f>
        <v>Brach's</v>
      </c>
      <c r="C938" t="str">
        <f>_xlfn.XLOOKUP($A938,Load!$B:$B,Load!D:D,0,)</f>
        <v>Non-Chocolate Candy Only</v>
      </c>
      <c r="D938" t="str">
        <f>_xlfn.XLOOKUP($A938,Load!$B:$B,Load!E:E,0,)</f>
        <v>Fall / Seasonal Flavors (pumpkin spice, caramel apple, candy corn)</v>
      </c>
      <c r="E938" t="str">
        <f>_xlfn.XLOOKUP($A938,Load!$B:$B,Load!F:F,0,)</f>
        <v>Candy Pieces / Bites</v>
      </c>
      <c r="F938" t="str">
        <f>_xlfn.XLOOKUP($A938,Load!$B:$B,Load!G:G,0,)</f>
        <v>Single Pack</v>
      </c>
      <c r="G938" t="str">
        <f>_xlfn.XLOOKUP($A938,Load!$B:$B,Load!H:H,0,)</f>
        <v>Laydown Bag</v>
      </c>
      <c r="H938" t="str">
        <f>_xlfn.XLOOKUP($A938,Load!$B:$B,Load!I:I,0,)</f>
        <v>Seasonal Shapes (like pumpkins, candy corn, ghost, bats, etc.)</v>
      </c>
      <c r="I938" t="str">
        <f>_xlfn.XLOOKUP($A938,Load!$B:$B,Load!J:J,0,)</f>
        <v>Seasonal Graphics (Like Bat, Ghost, Pumpkin, Fall Leaves, Eyeballs, etc.)</v>
      </c>
      <c r="J938" t="str">
        <f>_xlfn.XLOOKUP($A938,Load!$B:$B,Load!K:K,0,)</f>
        <v>Small Pieces (Tiny bite size candies)</v>
      </c>
      <c r="K938" t="str">
        <f>_xlfn.XLOOKUP($A938,Load!$B:$B,Load!L:L,0,)</f>
        <v>Unwrapped</v>
      </c>
      <c r="L938" t="str">
        <f>_xlfn.XLOOKUP($A938,Load!$B:$B,Load!M:M,0,)</f>
        <v>Single Brand / Single Flavor or Form</v>
      </c>
    </row>
    <row r="939" spans="1:12" x14ac:dyDescent="0.25">
      <c r="B939">
        <f>_xlfn.XLOOKUP($A939,Load!$B:$B,Load!C:C,0,)</f>
        <v>0</v>
      </c>
      <c r="C939">
        <f>_xlfn.XLOOKUP($A939,Load!$B:$B,Load!D:D,0,)</f>
        <v>0</v>
      </c>
      <c r="D939">
        <f>_xlfn.XLOOKUP($A939,Load!$B:$B,Load!E:E,0,)</f>
        <v>0</v>
      </c>
      <c r="E939">
        <f>_xlfn.XLOOKUP($A939,Load!$B:$B,Load!F:F,0,)</f>
        <v>0</v>
      </c>
      <c r="F939">
        <f>_xlfn.XLOOKUP($A939,Load!$B:$B,Load!G:G,0,)</f>
        <v>0</v>
      </c>
      <c r="G939">
        <f>_xlfn.XLOOKUP($A939,Load!$B:$B,Load!H:H,0,)</f>
        <v>0</v>
      </c>
      <c r="H939">
        <f>_xlfn.XLOOKUP($A939,Load!$B:$B,Load!I:I,0,)</f>
        <v>0</v>
      </c>
      <c r="I939">
        <f>_xlfn.XLOOKUP($A939,Load!$B:$B,Load!J:J,0,)</f>
        <v>0</v>
      </c>
      <c r="J939">
        <f>_xlfn.XLOOKUP($A939,Load!$B:$B,Load!K:K,0,)</f>
        <v>0</v>
      </c>
      <c r="K939">
        <f>_xlfn.XLOOKUP($A939,Load!$B:$B,Load!L:L,0,)</f>
        <v>0</v>
      </c>
      <c r="L939">
        <f>_xlfn.XLOOKUP($A939,Load!$B:$B,Load!M:M,0,)</f>
        <v>0</v>
      </c>
    </row>
    <row r="940" spans="1:12" x14ac:dyDescent="0.25">
      <c r="B940">
        <f>_xlfn.XLOOKUP($A940,Load!$B:$B,Load!C:C,0,)</f>
        <v>0</v>
      </c>
      <c r="C940">
        <f>_xlfn.XLOOKUP($A940,Load!$B:$B,Load!D:D,0,)</f>
        <v>0</v>
      </c>
      <c r="D940">
        <f>_xlfn.XLOOKUP($A940,Load!$B:$B,Load!E:E,0,)</f>
        <v>0</v>
      </c>
      <c r="E940">
        <f>_xlfn.XLOOKUP($A940,Load!$B:$B,Load!F:F,0,)</f>
        <v>0</v>
      </c>
      <c r="F940">
        <f>_xlfn.XLOOKUP($A940,Load!$B:$B,Load!G:G,0,)</f>
        <v>0</v>
      </c>
      <c r="G940">
        <f>_xlfn.XLOOKUP($A940,Load!$B:$B,Load!H:H,0,)</f>
        <v>0</v>
      </c>
      <c r="H940">
        <f>_xlfn.XLOOKUP($A940,Load!$B:$B,Load!I:I,0,)</f>
        <v>0</v>
      </c>
      <c r="I940">
        <f>_xlfn.XLOOKUP($A940,Load!$B:$B,Load!J:J,0,)</f>
        <v>0</v>
      </c>
      <c r="J940">
        <f>_xlfn.XLOOKUP($A940,Load!$B:$B,Load!K:K,0,)</f>
        <v>0</v>
      </c>
      <c r="K940">
        <f>_xlfn.XLOOKUP($A940,Load!$B:$B,Load!L:L,0,)</f>
        <v>0</v>
      </c>
      <c r="L940">
        <f>_xlfn.XLOOKUP($A940,Load!$B:$B,Load!M:M,0,)</f>
        <v>0</v>
      </c>
    </row>
    <row r="941" spans="1:12" x14ac:dyDescent="0.25">
      <c r="B941">
        <f>_xlfn.XLOOKUP($A941,Load!$B:$B,Load!C:C,0,)</f>
        <v>0</v>
      </c>
      <c r="C941">
        <f>_xlfn.XLOOKUP($A941,Load!$B:$B,Load!D:D,0,)</f>
        <v>0</v>
      </c>
      <c r="D941">
        <f>_xlfn.XLOOKUP($A941,Load!$B:$B,Load!E:E,0,)</f>
        <v>0</v>
      </c>
      <c r="E941">
        <f>_xlfn.XLOOKUP($A941,Load!$B:$B,Load!F:F,0,)</f>
        <v>0</v>
      </c>
      <c r="F941">
        <f>_xlfn.XLOOKUP($A941,Load!$B:$B,Load!G:G,0,)</f>
        <v>0</v>
      </c>
      <c r="G941">
        <f>_xlfn.XLOOKUP($A941,Load!$B:$B,Load!H:H,0,)</f>
        <v>0</v>
      </c>
      <c r="H941">
        <f>_xlfn.XLOOKUP($A941,Load!$B:$B,Load!I:I,0,)</f>
        <v>0</v>
      </c>
      <c r="I941">
        <f>_xlfn.XLOOKUP($A941,Load!$B:$B,Load!J:J,0,)</f>
        <v>0</v>
      </c>
      <c r="J941">
        <f>_xlfn.XLOOKUP($A941,Load!$B:$B,Load!K:K,0,)</f>
        <v>0</v>
      </c>
      <c r="K941">
        <f>_xlfn.XLOOKUP($A941,Load!$B:$B,Load!L:L,0,)</f>
        <v>0</v>
      </c>
      <c r="L941">
        <f>_xlfn.XLOOKUP($A941,Load!$B:$B,Load!M:M,0,)</f>
        <v>0</v>
      </c>
    </row>
    <row r="942" spans="1:12" x14ac:dyDescent="0.25">
      <c r="B942">
        <f>_xlfn.XLOOKUP($A942,Load!$B:$B,Load!C:C,0,)</f>
        <v>0</v>
      </c>
      <c r="C942">
        <f>_xlfn.XLOOKUP($A942,Load!$B:$B,Load!D:D,0,)</f>
        <v>0</v>
      </c>
      <c r="D942">
        <f>_xlfn.XLOOKUP($A942,Load!$B:$B,Load!E:E,0,)</f>
        <v>0</v>
      </c>
      <c r="E942">
        <f>_xlfn.XLOOKUP($A942,Load!$B:$B,Load!F:F,0,)</f>
        <v>0</v>
      </c>
      <c r="F942">
        <f>_xlfn.XLOOKUP($A942,Load!$B:$B,Load!G:G,0,)</f>
        <v>0</v>
      </c>
      <c r="G942">
        <f>_xlfn.XLOOKUP($A942,Load!$B:$B,Load!H:H,0,)</f>
        <v>0</v>
      </c>
      <c r="H942">
        <f>_xlfn.XLOOKUP($A942,Load!$B:$B,Load!I:I,0,)</f>
        <v>0</v>
      </c>
      <c r="I942">
        <f>_xlfn.XLOOKUP($A942,Load!$B:$B,Load!J:J,0,)</f>
        <v>0</v>
      </c>
      <c r="J942">
        <f>_xlfn.XLOOKUP($A942,Load!$B:$B,Load!K:K,0,)</f>
        <v>0</v>
      </c>
      <c r="K942">
        <f>_xlfn.XLOOKUP($A942,Load!$B:$B,Load!L:L,0,)</f>
        <v>0</v>
      </c>
      <c r="L942">
        <f>_xlfn.XLOOKUP($A942,Load!$B:$B,Load!M:M,0,)</f>
        <v>0</v>
      </c>
    </row>
    <row r="943" spans="1:12" x14ac:dyDescent="0.25">
      <c r="B943">
        <f>_xlfn.XLOOKUP($A943,Load!$B:$B,Load!C:C,0,)</f>
        <v>0</v>
      </c>
      <c r="C943">
        <f>_xlfn.XLOOKUP($A943,Load!$B:$B,Load!D:D,0,)</f>
        <v>0</v>
      </c>
      <c r="D943">
        <f>_xlfn.XLOOKUP($A943,Load!$B:$B,Load!E:E,0,)</f>
        <v>0</v>
      </c>
      <c r="E943">
        <f>_xlfn.XLOOKUP($A943,Load!$B:$B,Load!F:F,0,)</f>
        <v>0</v>
      </c>
      <c r="F943">
        <f>_xlfn.XLOOKUP($A943,Load!$B:$B,Load!G:G,0,)</f>
        <v>0</v>
      </c>
      <c r="G943">
        <f>_xlfn.XLOOKUP($A943,Load!$B:$B,Load!H:H,0,)</f>
        <v>0</v>
      </c>
      <c r="H943">
        <f>_xlfn.XLOOKUP($A943,Load!$B:$B,Load!I:I,0,)</f>
        <v>0</v>
      </c>
      <c r="I943">
        <f>_xlfn.XLOOKUP($A943,Load!$B:$B,Load!J:J,0,)</f>
        <v>0</v>
      </c>
      <c r="J943">
        <f>_xlfn.XLOOKUP($A943,Load!$B:$B,Load!K:K,0,)</f>
        <v>0</v>
      </c>
      <c r="K943">
        <f>_xlfn.XLOOKUP($A943,Load!$B:$B,Load!L:L,0,)</f>
        <v>0</v>
      </c>
      <c r="L943">
        <f>_xlfn.XLOOKUP($A943,Load!$B:$B,Load!M:M,0,)</f>
        <v>0</v>
      </c>
    </row>
    <row r="944" spans="1:12" x14ac:dyDescent="0.25">
      <c r="B944">
        <f>_xlfn.XLOOKUP($A944,Load!$B:$B,Load!C:C,0,)</f>
        <v>0</v>
      </c>
      <c r="C944">
        <f>_xlfn.XLOOKUP($A944,Load!$B:$B,Load!D:D,0,)</f>
        <v>0</v>
      </c>
      <c r="D944">
        <f>_xlfn.XLOOKUP($A944,Load!$B:$B,Load!E:E,0,)</f>
        <v>0</v>
      </c>
      <c r="E944">
        <f>_xlfn.XLOOKUP($A944,Load!$B:$B,Load!F:F,0,)</f>
        <v>0</v>
      </c>
      <c r="F944">
        <f>_xlfn.XLOOKUP($A944,Load!$B:$B,Load!G:G,0,)</f>
        <v>0</v>
      </c>
      <c r="G944">
        <f>_xlfn.XLOOKUP($A944,Load!$B:$B,Load!H:H,0,)</f>
        <v>0</v>
      </c>
      <c r="H944">
        <f>_xlfn.XLOOKUP($A944,Load!$B:$B,Load!I:I,0,)</f>
        <v>0</v>
      </c>
      <c r="I944">
        <f>_xlfn.XLOOKUP($A944,Load!$B:$B,Load!J:J,0,)</f>
        <v>0</v>
      </c>
      <c r="J944">
        <f>_xlfn.XLOOKUP($A944,Load!$B:$B,Load!K:K,0,)</f>
        <v>0</v>
      </c>
      <c r="K944">
        <f>_xlfn.XLOOKUP($A944,Load!$B:$B,Load!L:L,0,)</f>
        <v>0</v>
      </c>
      <c r="L944">
        <f>_xlfn.XLOOKUP($A944,Load!$B:$B,Load!M:M,0,)</f>
        <v>0</v>
      </c>
    </row>
    <row r="945" spans="1:12" x14ac:dyDescent="0.25">
      <c r="B945">
        <f>_xlfn.XLOOKUP($A945,Load!$B:$B,Load!C:C,0,)</f>
        <v>0</v>
      </c>
      <c r="C945">
        <f>_xlfn.XLOOKUP($A945,Load!$B:$B,Load!D:D,0,)</f>
        <v>0</v>
      </c>
      <c r="D945">
        <f>_xlfn.XLOOKUP($A945,Load!$B:$B,Load!E:E,0,)</f>
        <v>0</v>
      </c>
      <c r="E945">
        <f>_xlfn.XLOOKUP($A945,Load!$B:$B,Load!F:F,0,)</f>
        <v>0</v>
      </c>
      <c r="F945">
        <f>_xlfn.XLOOKUP($A945,Load!$B:$B,Load!G:G,0,)</f>
        <v>0</v>
      </c>
      <c r="G945">
        <f>_xlfn.XLOOKUP($A945,Load!$B:$B,Load!H:H,0,)</f>
        <v>0</v>
      </c>
      <c r="H945">
        <f>_xlfn.XLOOKUP($A945,Load!$B:$B,Load!I:I,0,)</f>
        <v>0</v>
      </c>
      <c r="I945">
        <f>_xlfn.XLOOKUP($A945,Load!$B:$B,Load!J:J,0,)</f>
        <v>0</v>
      </c>
      <c r="J945">
        <f>_xlfn.XLOOKUP($A945,Load!$B:$B,Load!K:K,0,)</f>
        <v>0</v>
      </c>
      <c r="K945">
        <f>_xlfn.XLOOKUP($A945,Load!$B:$B,Load!L:L,0,)</f>
        <v>0</v>
      </c>
      <c r="L945">
        <f>_xlfn.XLOOKUP($A945,Load!$B:$B,Load!M:M,0,)</f>
        <v>0</v>
      </c>
    </row>
    <row r="946" spans="1:12" x14ac:dyDescent="0.25">
      <c r="B946">
        <f>_xlfn.XLOOKUP($A946,Load!$B:$B,Load!C:C,0,)</f>
        <v>0</v>
      </c>
      <c r="C946">
        <f>_xlfn.XLOOKUP($A946,Load!$B:$B,Load!D:D,0,)</f>
        <v>0</v>
      </c>
      <c r="D946">
        <f>_xlfn.XLOOKUP($A946,Load!$B:$B,Load!E:E,0,)</f>
        <v>0</v>
      </c>
      <c r="E946">
        <f>_xlfn.XLOOKUP($A946,Load!$B:$B,Load!F:F,0,)</f>
        <v>0</v>
      </c>
      <c r="F946">
        <f>_xlfn.XLOOKUP($A946,Load!$B:$B,Load!G:G,0,)</f>
        <v>0</v>
      </c>
      <c r="G946">
        <f>_xlfn.XLOOKUP($A946,Load!$B:$B,Load!H:H,0,)</f>
        <v>0</v>
      </c>
      <c r="H946">
        <f>_xlfn.XLOOKUP($A946,Load!$B:$B,Load!I:I,0,)</f>
        <v>0</v>
      </c>
      <c r="I946">
        <f>_xlfn.XLOOKUP($A946,Load!$B:$B,Load!J:J,0,)</f>
        <v>0</v>
      </c>
      <c r="J946">
        <f>_xlfn.XLOOKUP($A946,Load!$B:$B,Load!K:K,0,)</f>
        <v>0</v>
      </c>
      <c r="K946">
        <f>_xlfn.XLOOKUP($A946,Load!$B:$B,Load!L:L,0,)</f>
        <v>0</v>
      </c>
      <c r="L946">
        <f>_xlfn.XLOOKUP($A946,Load!$B:$B,Load!M:M,0,)</f>
        <v>0</v>
      </c>
    </row>
    <row r="947" spans="1:12" x14ac:dyDescent="0.25">
      <c r="B947">
        <f>_xlfn.XLOOKUP($A947,Load!$B:$B,Load!C:C,0,)</f>
        <v>0</v>
      </c>
      <c r="C947">
        <f>_xlfn.XLOOKUP($A947,Load!$B:$B,Load!D:D,0,)</f>
        <v>0</v>
      </c>
      <c r="D947">
        <f>_xlfn.XLOOKUP($A947,Load!$B:$B,Load!E:E,0,)</f>
        <v>0</v>
      </c>
      <c r="E947">
        <f>_xlfn.XLOOKUP($A947,Load!$B:$B,Load!F:F,0,)</f>
        <v>0</v>
      </c>
      <c r="F947">
        <f>_xlfn.XLOOKUP($A947,Load!$B:$B,Load!G:G,0,)</f>
        <v>0</v>
      </c>
      <c r="G947">
        <f>_xlfn.XLOOKUP($A947,Load!$B:$B,Load!H:H,0,)</f>
        <v>0</v>
      </c>
      <c r="H947">
        <f>_xlfn.XLOOKUP($A947,Load!$B:$B,Load!I:I,0,)</f>
        <v>0</v>
      </c>
      <c r="I947">
        <f>_xlfn.XLOOKUP($A947,Load!$B:$B,Load!J:J,0,)</f>
        <v>0</v>
      </c>
      <c r="J947">
        <f>_xlfn.XLOOKUP($A947,Load!$B:$B,Load!K:K,0,)</f>
        <v>0</v>
      </c>
      <c r="K947">
        <f>_xlfn.XLOOKUP($A947,Load!$B:$B,Load!L:L,0,)</f>
        <v>0</v>
      </c>
      <c r="L947">
        <f>_xlfn.XLOOKUP($A947,Load!$B:$B,Load!M:M,0,)</f>
        <v>0</v>
      </c>
    </row>
    <row r="948" spans="1:12" x14ac:dyDescent="0.25">
      <c r="B948">
        <f>_xlfn.XLOOKUP($A948,Load!$B:$B,Load!C:C,0,)</f>
        <v>0</v>
      </c>
      <c r="C948">
        <f>_xlfn.XLOOKUP($A948,Load!$B:$B,Load!D:D,0,)</f>
        <v>0</v>
      </c>
      <c r="D948">
        <f>_xlfn.XLOOKUP($A948,Load!$B:$B,Load!E:E,0,)</f>
        <v>0</v>
      </c>
      <c r="E948">
        <f>_xlfn.XLOOKUP($A948,Load!$B:$B,Load!F:F,0,)</f>
        <v>0</v>
      </c>
      <c r="F948">
        <f>_xlfn.XLOOKUP($A948,Load!$B:$B,Load!G:G,0,)</f>
        <v>0</v>
      </c>
      <c r="G948">
        <f>_xlfn.XLOOKUP($A948,Load!$B:$B,Load!H:H,0,)</f>
        <v>0</v>
      </c>
      <c r="H948">
        <f>_xlfn.XLOOKUP($A948,Load!$B:$B,Load!I:I,0,)</f>
        <v>0</v>
      </c>
      <c r="I948">
        <f>_xlfn.XLOOKUP($A948,Load!$B:$B,Load!J:J,0,)</f>
        <v>0</v>
      </c>
      <c r="J948">
        <f>_xlfn.XLOOKUP($A948,Load!$B:$B,Load!K:K,0,)</f>
        <v>0</v>
      </c>
      <c r="K948">
        <f>_xlfn.XLOOKUP($A948,Load!$B:$B,Load!L:L,0,)</f>
        <v>0</v>
      </c>
      <c r="L948">
        <f>_xlfn.XLOOKUP($A948,Load!$B:$B,Load!M:M,0,)</f>
        <v>0</v>
      </c>
    </row>
    <row r="949" spans="1:12" x14ac:dyDescent="0.25">
      <c r="B949">
        <f>_xlfn.XLOOKUP($A949,Load!$B:$B,Load!C:C,0,)</f>
        <v>0</v>
      </c>
      <c r="C949">
        <f>_xlfn.XLOOKUP($A949,Load!$B:$B,Load!D:D,0,)</f>
        <v>0</v>
      </c>
      <c r="D949">
        <f>_xlfn.XLOOKUP($A949,Load!$B:$B,Load!E:E,0,)</f>
        <v>0</v>
      </c>
      <c r="E949">
        <f>_xlfn.XLOOKUP($A949,Load!$B:$B,Load!F:F,0,)</f>
        <v>0</v>
      </c>
      <c r="F949">
        <f>_xlfn.XLOOKUP($A949,Load!$B:$B,Load!G:G,0,)</f>
        <v>0</v>
      </c>
      <c r="G949">
        <f>_xlfn.XLOOKUP($A949,Load!$B:$B,Load!H:H,0,)</f>
        <v>0</v>
      </c>
      <c r="H949">
        <f>_xlfn.XLOOKUP($A949,Load!$B:$B,Load!I:I,0,)</f>
        <v>0</v>
      </c>
      <c r="I949">
        <f>_xlfn.XLOOKUP($A949,Load!$B:$B,Load!J:J,0,)</f>
        <v>0</v>
      </c>
      <c r="J949">
        <f>_xlfn.XLOOKUP($A949,Load!$B:$B,Load!K:K,0,)</f>
        <v>0</v>
      </c>
      <c r="K949">
        <f>_xlfn.XLOOKUP($A949,Load!$B:$B,Load!L:L,0,)</f>
        <v>0</v>
      </c>
      <c r="L949">
        <f>_xlfn.XLOOKUP($A949,Load!$B:$B,Load!M:M,0,)</f>
        <v>0</v>
      </c>
    </row>
    <row r="950" spans="1:12" x14ac:dyDescent="0.25">
      <c r="A950" t="s">
        <v>169</v>
      </c>
      <c r="B950" t="str">
        <f>_xlfn.XLOOKUP($A950,Load!$B:$B,Load!C:C,0,)</f>
        <v>Laffy Taffy</v>
      </c>
      <c r="C950" t="str">
        <f>_xlfn.XLOOKUP($A950,Load!$B:$B,Load!D:D,0,)</f>
        <v>Non-Chocolate Candy Only</v>
      </c>
      <c r="D950" t="str">
        <f>_xlfn.XLOOKUP($A950,Load!$B:$B,Load!E:E,0,)</f>
        <v>Fruit Flavor (Cherry, Grape, Apple, Citrus, Tropical Fruit)</v>
      </c>
      <c r="E950" t="str">
        <f>_xlfn.XLOOKUP($A950,Load!$B:$B,Load!F:F,0,)</f>
        <v>Taffy</v>
      </c>
      <c r="F950" t="str">
        <f>_xlfn.XLOOKUP($A950,Load!$B:$B,Load!G:G,0,)</f>
        <v>Small Multipack (Less than 40 ct)</v>
      </c>
      <c r="G950" t="str">
        <f>_xlfn.XLOOKUP($A950,Load!$B:$B,Load!H:H,0,)</f>
        <v>Laydown Bag</v>
      </c>
      <c r="H950" t="str">
        <f>_xlfn.XLOOKUP($A950,Load!$B:$B,Load!I:I,0,)</f>
        <v>Everyday Candy Shapes (like Original, Gummy bear, Fruit, Jewels, etc.)</v>
      </c>
      <c r="I950" t="str">
        <f>_xlfn.XLOOKUP($A950,Load!$B:$B,Load!J:J,0,)</f>
        <v>Everyday Graphics</v>
      </c>
      <c r="J950" t="str">
        <f>_xlfn.XLOOKUP($A950,Load!$B:$B,Load!K:K,0,)</f>
        <v>Fun Size / Treat Size</v>
      </c>
      <c r="K950" t="str">
        <f>_xlfn.XLOOKUP($A950,Load!$B:$B,Load!L:L,0,)</f>
        <v>Regular/Original Wrapping</v>
      </c>
      <c r="L950" t="str">
        <f>_xlfn.XLOOKUP($A950,Load!$B:$B,Load!M:M,0,)</f>
        <v>Single Brand / Variety Flavors or Form</v>
      </c>
    </row>
    <row r="951" spans="1:12" x14ac:dyDescent="0.25">
      <c r="A951" t="s">
        <v>124</v>
      </c>
      <c r="B951" t="str">
        <f>_xlfn.XLOOKUP($A951,Load!$B:$B,Load!C:C,0,)</f>
        <v>HARIBO</v>
      </c>
      <c r="C951" t="str">
        <f>_xlfn.XLOOKUP($A951,Load!$B:$B,Load!D:D,0,)</f>
        <v>Non-Chocolate Candy Only</v>
      </c>
      <c r="D951" t="str">
        <f>_xlfn.XLOOKUP($A951,Load!$B:$B,Load!E:E,0,)</f>
        <v>Fruit Flavor (Cherry, Grape, Apple, Citrus, Tropical Fruit)</v>
      </c>
      <c r="E951" t="str">
        <f>_xlfn.XLOOKUP($A951,Load!$B:$B,Load!F:F,0,)</f>
        <v>Gummy</v>
      </c>
      <c r="F951" t="str">
        <f>_xlfn.XLOOKUP($A951,Load!$B:$B,Load!G:G,0,)</f>
        <v>Small Multipack (Less than 40 ct)</v>
      </c>
      <c r="G951" t="str">
        <f>_xlfn.XLOOKUP($A951,Load!$B:$B,Load!H:H,0,)</f>
        <v>Laydown Bag</v>
      </c>
      <c r="H951" t="str">
        <f>_xlfn.XLOOKUP($A951,Load!$B:$B,Load!I:I,0,)</f>
        <v>Everyday Candy Shapes (like Original, Gummy bear, Fruit, Jewels, etc.)</v>
      </c>
      <c r="I951" t="str">
        <f>_xlfn.XLOOKUP($A951,Load!$B:$B,Load!J:J,0,)</f>
        <v>Everyday Graphics</v>
      </c>
      <c r="J951" t="str">
        <f>_xlfn.XLOOKUP($A951,Load!$B:$B,Load!K:K,0,)</f>
        <v>Small Pieces (Tiny bite size candies)</v>
      </c>
      <c r="K951" t="str">
        <f>_xlfn.XLOOKUP($A951,Load!$B:$B,Load!L:L,0,)</f>
        <v>Regular/Original Wrapping</v>
      </c>
      <c r="L951" t="str">
        <f>_xlfn.XLOOKUP($A951,Load!$B:$B,Load!M:M,0,)</f>
        <v>Single Brand / Variety Flavors or Form</v>
      </c>
    </row>
    <row r="952" spans="1:12" x14ac:dyDescent="0.25">
      <c r="B952">
        <f>_xlfn.XLOOKUP($A952,Load!$B:$B,Load!C:C,0,)</f>
        <v>0</v>
      </c>
      <c r="C952">
        <f>_xlfn.XLOOKUP($A952,Load!$B:$B,Load!D:D,0,)</f>
        <v>0</v>
      </c>
      <c r="D952">
        <f>_xlfn.XLOOKUP($A952,Load!$B:$B,Load!E:E,0,)</f>
        <v>0</v>
      </c>
      <c r="E952">
        <f>_xlfn.XLOOKUP($A952,Load!$B:$B,Load!F:F,0,)</f>
        <v>0</v>
      </c>
      <c r="F952">
        <f>_xlfn.XLOOKUP($A952,Load!$B:$B,Load!G:G,0,)</f>
        <v>0</v>
      </c>
      <c r="G952">
        <f>_xlfn.XLOOKUP($A952,Load!$B:$B,Load!H:H,0,)</f>
        <v>0</v>
      </c>
      <c r="H952">
        <f>_xlfn.XLOOKUP($A952,Load!$B:$B,Load!I:I,0,)</f>
        <v>0</v>
      </c>
      <c r="I952">
        <f>_xlfn.XLOOKUP($A952,Load!$B:$B,Load!J:J,0,)</f>
        <v>0</v>
      </c>
      <c r="J952">
        <f>_xlfn.XLOOKUP($A952,Load!$B:$B,Load!K:K,0,)</f>
        <v>0</v>
      </c>
      <c r="K952">
        <f>_xlfn.XLOOKUP($A952,Load!$B:$B,Load!L:L,0,)</f>
        <v>0</v>
      </c>
      <c r="L952">
        <f>_xlfn.XLOOKUP($A952,Load!$B:$B,Load!M:M,0,)</f>
        <v>0</v>
      </c>
    </row>
    <row r="953" spans="1:12" x14ac:dyDescent="0.25">
      <c r="B953">
        <f>_xlfn.XLOOKUP($A953,Load!$B:$B,Load!C:C,0,)</f>
        <v>0</v>
      </c>
      <c r="C953">
        <f>_xlfn.XLOOKUP($A953,Load!$B:$B,Load!D:D,0,)</f>
        <v>0</v>
      </c>
      <c r="D953">
        <f>_xlfn.XLOOKUP($A953,Load!$B:$B,Load!E:E,0,)</f>
        <v>0</v>
      </c>
      <c r="E953">
        <f>_xlfn.XLOOKUP($A953,Load!$B:$B,Load!F:F,0,)</f>
        <v>0</v>
      </c>
      <c r="F953">
        <f>_xlfn.XLOOKUP($A953,Load!$B:$B,Load!G:G,0,)</f>
        <v>0</v>
      </c>
      <c r="G953">
        <f>_xlfn.XLOOKUP($A953,Load!$B:$B,Load!H:H,0,)</f>
        <v>0</v>
      </c>
      <c r="H953">
        <f>_xlfn.XLOOKUP($A953,Load!$B:$B,Load!I:I,0,)</f>
        <v>0</v>
      </c>
      <c r="I953">
        <f>_xlfn.XLOOKUP($A953,Load!$B:$B,Load!J:J,0,)</f>
        <v>0</v>
      </c>
      <c r="J953">
        <f>_xlfn.XLOOKUP($A953,Load!$B:$B,Load!K:K,0,)</f>
        <v>0</v>
      </c>
      <c r="K953">
        <f>_xlfn.XLOOKUP($A953,Load!$B:$B,Load!L:L,0,)</f>
        <v>0</v>
      </c>
      <c r="L953">
        <f>_xlfn.XLOOKUP($A953,Load!$B:$B,Load!M:M,0,)</f>
        <v>0</v>
      </c>
    </row>
    <row r="954" spans="1:12" x14ac:dyDescent="0.25">
      <c r="B954">
        <f>_xlfn.XLOOKUP($A954,Load!$B:$B,Load!C:C,0,)</f>
        <v>0</v>
      </c>
      <c r="C954">
        <f>_xlfn.XLOOKUP($A954,Load!$B:$B,Load!D:D,0,)</f>
        <v>0</v>
      </c>
      <c r="D954">
        <f>_xlfn.XLOOKUP($A954,Load!$B:$B,Load!E:E,0,)</f>
        <v>0</v>
      </c>
      <c r="E954">
        <f>_xlfn.XLOOKUP($A954,Load!$B:$B,Load!F:F,0,)</f>
        <v>0</v>
      </c>
      <c r="F954">
        <f>_xlfn.XLOOKUP($A954,Load!$B:$B,Load!G:G,0,)</f>
        <v>0</v>
      </c>
      <c r="G954">
        <f>_xlfn.XLOOKUP($A954,Load!$B:$B,Load!H:H,0,)</f>
        <v>0</v>
      </c>
      <c r="H954">
        <f>_xlfn.XLOOKUP($A954,Load!$B:$B,Load!I:I,0,)</f>
        <v>0</v>
      </c>
      <c r="I954">
        <f>_xlfn.XLOOKUP($A954,Load!$B:$B,Load!J:J,0,)</f>
        <v>0</v>
      </c>
      <c r="J954">
        <f>_xlfn.XLOOKUP($A954,Load!$B:$B,Load!K:K,0,)</f>
        <v>0</v>
      </c>
      <c r="K954">
        <f>_xlfn.XLOOKUP($A954,Load!$B:$B,Load!L:L,0,)</f>
        <v>0</v>
      </c>
      <c r="L954">
        <f>_xlfn.XLOOKUP($A954,Load!$B:$B,Load!M:M,0,)</f>
        <v>0</v>
      </c>
    </row>
    <row r="955" spans="1:12" x14ac:dyDescent="0.25">
      <c r="B955">
        <f>_xlfn.XLOOKUP($A955,Load!$B:$B,Load!C:C,0,)</f>
        <v>0</v>
      </c>
      <c r="C955">
        <f>_xlfn.XLOOKUP($A955,Load!$B:$B,Load!D:D,0,)</f>
        <v>0</v>
      </c>
      <c r="D955">
        <f>_xlfn.XLOOKUP($A955,Load!$B:$B,Load!E:E,0,)</f>
        <v>0</v>
      </c>
      <c r="E955">
        <f>_xlfn.XLOOKUP($A955,Load!$B:$B,Load!F:F,0,)</f>
        <v>0</v>
      </c>
      <c r="F955">
        <f>_xlfn.XLOOKUP($A955,Load!$B:$B,Load!G:G,0,)</f>
        <v>0</v>
      </c>
      <c r="G955">
        <f>_xlfn.XLOOKUP($A955,Load!$B:$B,Load!H:H,0,)</f>
        <v>0</v>
      </c>
      <c r="H955">
        <f>_xlfn.XLOOKUP($A955,Load!$B:$B,Load!I:I,0,)</f>
        <v>0</v>
      </c>
      <c r="I955">
        <f>_xlfn.XLOOKUP($A955,Load!$B:$B,Load!J:J,0,)</f>
        <v>0</v>
      </c>
      <c r="J955">
        <f>_xlfn.XLOOKUP($A955,Load!$B:$B,Load!K:K,0,)</f>
        <v>0</v>
      </c>
      <c r="K955">
        <f>_xlfn.XLOOKUP($A955,Load!$B:$B,Load!L:L,0,)</f>
        <v>0</v>
      </c>
      <c r="L955">
        <f>_xlfn.XLOOKUP($A955,Load!$B:$B,Load!M:M,0,)</f>
        <v>0</v>
      </c>
    </row>
    <row r="956" spans="1:12" x14ac:dyDescent="0.25">
      <c r="A956" t="s">
        <v>304</v>
      </c>
      <c r="B956" t="str">
        <f>_xlfn.XLOOKUP($A956,Load!$B:$B,Load!C:C,0,)</f>
        <v>Warheads</v>
      </c>
      <c r="C956" t="str">
        <f>_xlfn.XLOOKUP($A956,Load!$B:$B,Load!D:D,0,)</f>
        <v>Non-Chocolate Candy Only</v>
      </c>
      <c r="D956" t="str">
        <f>_xlfn.XLOOKUP($A956,Load!$B:$B,Load!E:E,0,)</f>
        <v>Sour</v>
      </c>
      <c r="E956" t="str">
        <f>_xlfn.XLOOKUP($A956,Load!$B:$B,Load!F:F,0,)</f>
        <v>Chewy</v>
      </c>
      <c r="F956" t="str">
        <f>_xlfn.XLOOKUP($A956,Load!$B:$B,Load!G:G,0,)</f>
        <v>Medium Multipack (40–80 ct)</v>
      </c>
      <c r="G956" t="str">
        <f>_xlfn.XLOOKUP($A956,Load!$B:$B,Load!H:H,0,)</f>
        <v>Laydown Bag</v>
      </c>
      <c r="H956" t="str">
        <f>_xlfn.XLOOKUP($A956,Load!$B:$B,Load!I:I,0,)</f>
        <v>Everyday Candy Shapes (like Original, Gummy bear, Fruit, Jewels, etc.)</v>
      </c>
      <c r="I956" t="str">
        <f>_xlfn.XLOOKUP($A956,Load!$B:$B,Load!J:J,0,)</f>
        <v>Seasonal Graphics (Like Bat, Ghost, Pumpkin, Fall Leaves, Eyeballs, etc.)</v>
      </c>
      <c r="J956" t="str">
        <f>_xlfn.XLOOKUP($A956,Load!$B:$B,Load!K:K,0,)</f>
        <v>Fun Size / Treat Size</v>
      </c>
      <c r="K956" t="str">
        <f>_xlfn.XLOOKUP($A956,Load!$B:$B,Load!L:L,0,)</f>
        <v>Regular/Original Wrapping</v>
      </c>
      <c r="L956" t="str">
        <f>_xlfn.XLOOKUP($A956,Load!$B:$B,Load!M:M,0,)</f>
        <v>Single Brand / Single Flavor or Form</v>
      </c>
    </row>
    <row r="957" spans="1:12" x14ac:dyDescent="0.25">
      <c r="B957">
        <f>_xlfn.XLOOKUP($A957,Load!$B:$B,Load!C:C,0,)</f>
        <v>0</v>
      </c>
      <c r="C957">
        <f>_xlfn.XLOOKUP($A957,Load!$B:$B,Load!D:D,0,)</f>
        <v>0</v>
      </c>
      <c r="D957">
        <f>_xlfn.XLOOKUP($A957,Load!$B:$B,Load!E:E,0,)</f>
        <v>0</v>
      </c>
      <c r="E957">
        <f>_xlfn.XLOOKUP($A957,Load!$B:$B,Load!F:F,0,)</f>
        <v>0</v>
      </c>
      <c r="F957">
        <f>_xlfn.XLOOKUP($A957,Load!$B:$B,Load!G:G,0,)</f>
        <v>0</v>
      </c>
      <c r="G957">
        <f>_xlfn.XLOOKUP($A957,Load!$B:$B,Load!H:H,0,)</f>
        <v>0</v>
      </c>
      <c r="H957">
        <f>_xlfn.XLOOKUP($A957,Load!$B:$B,Load!I:I,0,)</f>
        <v>0</v>
      </c>
      <c r="I957">
        <f>_xlfn.XLOOKUP($A957,Load!$B:$B,Load!J:J,0,)</f>
        <v>0</v>
      </c>
      <c r="J957">
        <f>_xlfn.XLOOKUP($A957,Load!$B:$B,Load!K:K,0,)</f>
        <v>0</v>
      </c>
      <c r="K957">
        <f>_xlfn.XLOOKUP($A957,Load!$B:$B,Load!L:L,0,)</f>
        <v>0</v>
      </c>
      <c r="L957">
        <f>_xlfn.XLOOKUP($A957,Load!$B:$B,Load!M:M,0,)</f>
        <v>0</v>
      </c>
    </row>
    <row r="958" spans="1:12" x14ac:dyDescent="0.25">
      <c r="B958">
        <f>_xlfn.XLOOKUP($A958,Load!$B:$B,Load!C:C,0,)</f>
        <v>0</v>
      </c>
      <c r="C958">
        <f>_xlfn.XLOOKUP($A958,Load!$B:$B,Load!D:D,0,)</f>
        <v>0</v>
      </c>
      <c r="D958">
        <f>_xlfn.XLOOKUP($A958,Load!$B:$B,Load!E:E,0,)</f>
        <v>0</v>
      </c>
      <c r="E958">
        <f>_xlfn.XLOOKUP($A958,Load!$B:$B,Load!F:F,0,)</f>
        <v>0</v>
      </c>
      <c r="F958">
        <f>_xlfn.XLOOKUP($A958,Load!$B:$B,Load!G:G,0,)</f>
        <v>0</v>
      </c>
      <c r="G958">
        <f>_xlfn.XLOOKUP($A958,Load!$B:$B,Load!H:H,0,)</f>
        <v>0</v>
      </c>
      <c r="H958">
        <f>_xlfn.XLOOKUP($A958,Load!$B:$B,Load!I:I,0,)</f>
        <v>0</v>
      </c>
      <c r="I958">
        <f>_xlfn.XLOOKUP($A958,Load!$B:$B,Load!J:J,0,)</f>
        <v>0</v>
      </c>
      <c r="J958">
        <f>_xlfn.XLOOKUP($A958,Load!$B:$B,Load!K:K,0,)</f>
        <v>0</v>
      </c>
      <c r="K958">
        <f>_xlfn.XLOOKUP($A958,Load!$B:$B,Load!L:L,0,)</f>
        <v>0</v>
      </c>
      <c r="L958">
        <f>_xlfn.XLOOKUP($A958,Load!$B:$B,Load!M:M,0,)</f>
        <v>0</v>
      </c>
    </row>
    <row r="959" spans="1:12" x14ac:dyDescent="0.25">
      <c r="B959">
        <f>_xlfn.XLOOKUP($A959,Load!$B:$B,Load!C:C,0,)</f>
        <v>0</v>
      </c>
      <c r="C959">
        <f>_xlfn.XLOOKUP($A959,Load!$B:$B,Load!D:D,0,)</f>
        <v>0</v>
      </c>
      <c r="D959">
        <f>_xlfn.XLOOKUP($A959,Load!$B:$B,Load!E:E,0,)</f>
        <v>0</v>
      </c>
      <c r="E959">
        <f>_xlfn.XLOOKUP($A959,Load!$B:$B,Load!F:F,0,)</f>
        <v>0</v>
      </c>
      <c r="F959">
        <f>_xlfn.XLOOKUP($A959,Load!$B:$B,Load!G:G,0,)</f>
        <v>0</v>
      </c>
      <c r="G959">
        <f>_xlfn.XLOOKUP($A959,Load!$B:$B,Load!H:H,0,)</f>
        <v>0</v>
      </c>
      <c r="H959">
        <f>_xlfn.XLOOKUP($A959,Load!$B:$B,Load!I:I,0,)</f>
        <v>0</v>
      </c>
      <c r="I959">
        <f>_xlfn.XLOOKUP($A959,Load!$B:$B,Load!J:J,0,)</f>
        <v>0</v>
      </c>
      <c r="J959">
        <f>_xlfn.XLOOKUP($A959,Load!$B:$B,Load!K:K,0,)</f>
        <v>0</v>
      </c>
      <c r="K959">
        <f>_xlfn.XLOOKUP($A959,Load!$B:$B,Load!L:L,0,)</f>
        <v>0</v>
      </c>
      <c r="L959">
        <f>_xlfn.XLOOKUP($A959,Load!$B:$B,Load!M:M,0,)</f>
        <v>0</v>
      </c>
    </row>
    <row r="960" spans="1:12" x14ac:dyDescent="0.25">
      <c r="A960" t="s">
        <v>208</v>
      </c>
      <c r="B960" t="str">
        <f>_xlfn.XLOOKUP($A960,Load!$B:$B,Load!C:C,0,)</f>
        <v>Mars Variety Pack</v>
      </c>
      <c r="C960" t="str">
        <f>_xlfn.XLOOKUP($A960,Load!$B:$B,Load!D:D,0,)</f>
        <v>Non-Chocolate Candy Only</v>
      </c>
      <c r="D960" t="str">
        <f>_xlfn.XLOOKUP($A960,Load!$B:$B,Load!E:E,0,)</f>
        <v>Variety / Mixed Flavors (Fruity, Sour, Seasonal Flavors)</v>
      </c>
      <c r="E960" t="str">
        <f>_xlfn.XLOOKUP($A960,Load!$B:$B,Load!F:F,0,)</f>
        <v>Mixed / Combo Packs (Gummy, Chewy, Taffy, etc.)</v>
      </c>
      <c r="F960" t="str">
        <f>_xlfn.XLOOKUP($A960,Load!$B:$B,Load!G:G,0,)</f>
        <v>Large Multipack (More than 80 ct)</v>
      </c>
      <c r="G960" t="str">
        <f>_xlfn.XLOOKUP($A960,Load!$B:$B,Load!H:H,0,)</f>
        <v>Stand-Up Bag</v>
      </c>
      <c r="H960" t="str">
        <f>_xlfn.XLOOKUP($A960,Load!$B:$B,Load!I:I,0,)</f>
        <v>Everyday Candy Shapes (like Original, Gummy bear, Fruit, Jewels, etc.)</v>
      </c>
      <c r="I960" t="str">
        <f>_xlfn.XLOOKUP($A960,Load!$B:$B,Load!J:J,0,)</f>
        <v>Seasonal Graphics (Like Bat, Ghost, Pumpkin, Fall Leaves, Eyeballs, etc.)</v>
      </c>
      <c r="J960" t="str">
        <f>_xlfn.XLOOKUP($A960,Load!$B:$B,Load!K:K,0,)</f>
        <v>Fun Size / Treat Size</v>
      </c>
      <c r="K960" t="str">
        <f>_xlfn.XLOOKUP($A960,Load!$B:$B,Load!L:L,0,)</f>
        <v>Regular/Original Wrapping</v>
      </c>
      <c r="L960" t="str">
        <f>_xlfn.XLOOKUP($A960,Load!$B:$B,Load!M:M,0,)</f>
        <v>Multiple Brands / Variety Flavors or Form</v>
      </c>
    </row>
    <row r="961" spans="1:12" x14ac:dyDescent="0.25">
      <c r="A961" t="s">
        <v>181</v>
      </c>
      <c r="B961" t="str">
        <f>_xlfn.XLOOKUP($A961,Load!$B:$B,Load!C:C,0,)</f>
        <v>Mars Variety Pack</v>
      </c>
      <c r="C961" t="str">
        <f>_xlfn.XLOOKUP($A961,Load!$B:$B,Load!D:D,0,)</f>
        <v>Mix of Chocolate and Non-Chocolate Candy</v>
      </c>
      <c r="D961" t="str">
        <f>_xlfn.XLOOKUP($A961,Load!$B:$B,Load!E:E,0,)</f>
        <v>Variety / Mixed Flavors (Fruity, Sour, Seasonal Flavors)</v>
      </c>
      <c r="E961" t="str">
        <f>_xlfn.XLOOKUP($A961,Load!$B:$B,Load!F:F,0,)</f>
        <v>Mixed / Combo Packs (Gummy, Chewy, Taffy, etc.)</v>
      </c>
      <c r="F961" t="str">
        <f>_xlfn.XLOOKUP($A961,Load!$B:$B,Load!G:G,0,)</f>
        <v>Large Multipack (More than 80 ct)</v>
      </c>
      <c r="G961" t="str">
        <f>_xlfn.XLOOKUP($A961,Load!$B:$B,Load!H:H,0,)</f>
        <v>Stand-Up Bag</v>
      </c>
      <c r="H961" t="str">
        <f>_xlfn.XLOOKUP($A961,Load!$B:$B,Load!I:I,0,)</f>
        <v>Everyday Candy Shapes (like Original, Gummy bear, Fruit, Jewels, etc.)</v>
      </c>
      <c r="I961" t="str">
        <f>_xlfn.XLOOKUP($A961,Load!$B:$B,Load!J:J,0,)</f>
        <v>Seasonal Graphics (Like Bat, Ghost, Pumpkin, Fall Leaves, Eyeballs, etc.)</v>
      </c>
      <c r="J961" t="str">
        <f>_xlfn.XLOOKUP($A961,Load!$B:$B,Load!K:K,0,)</f>
        <v>Fun Size / Treat Size</v>
      </c>
      <c r="K961" t="str">
        <f>_xlfn.XLOOKUP($A961,Load!$B:$B,Load!L:L,0,)</f>
        <v>Regular/Original Wrapping</v>
      </c>
      <c r="L961" t="str">
        <f>_xlfn.XLOOKUP($A961,Load!$B:$B,Load!M:M,0,)</f>
        <v>Multiple Brands / Variety Flavors or Form</v>
      </c>
    </row>
    <row r="962" spans="1:12" x14ac:dyDescent="0.25">
      <c r="B962">
        <f>_xlfn.XLOOKUP($A962,Load!$B:$B,Load!C:C,0,)</f>
        <v>0</v>
      </c>
      <c r="C962">
        <f>_xlfn.XLOOKUP($A962,Load!$B:$B,Load!D:D,0,)</f>
        <v>0</v>
      </c>
      <c r="D962">
        <f>_xlfn.XLOOKUP($A962,Load!$B:$B,Load!E:E,0,)</f>
        <v>0</v>
      </c>
      <c r="E962">
        <f>_xlfn.XLOOKUP($A962,Load!$B:$B,Load!F:F,0,)</f>
        <v>0</v>
      </c>
      <c r="F962">
        <f>_xlfn.XLOOKUP($A962,Load!$B:$B,Load!G:G,0,)</f>
        <v>0</v>
      </c>
      <c r="G962">
        <f>_xlfn.XLOOKUP($A962,Load!$B:$B,Load!H:H,0,)</f>
        <v>0</v>
      </c>
      <c r="H962">
        <f>_xlfn.XLOOKUP($A962,Load!$B:$B,Load!I:I,0,)</f>
        <v>0</v>
      </c>
      <c r="I962">
        <f>_xlfn.XLOOKUP($A962,Load!$B:$B,Load!J:J,0,)</f>
        <v>0</v>
      </c>
      <c r="J962">
        <f>_xlfn.XLOOKUP($A962,Load!$B:$B,Load!K:K,0,)</f>
        <v>0</v>
      </c>
      <c r="K962">
        <f>_xlfn.XLOOKUP($A962,Load!$B:$B,Load!L:L,0,)</f>
        <v>0</v>
      </c>
      <c r="L962">
        <f>_xlfn.XLOOKUP($A962,Load!$B:$B,Load!M:M,0,)</f>
        <v>0</v>
      </c>
    </row>
    <row r="963" spans="1:12" x14ac:dyDescent="0.25">
      <c r="B963">
        <f>_xlfn.XLOOKUP($A963,Load!$B:$B,Load!C:C,0,)</f>
        <v>0</v>
      </c>
      <c r="C963">
        <f>_xlfn.XLOOKUP($A963,Load!$B:$B,Load!D:D,0,)</f>
        <v>0</v>
      </c>
      <c r="D963">
        <f>_xlfn.XLOOKUP($A963,Load!$B:$B,Load!E:E,0,)</f>
        <v>0</v>
      </c>
      <c r="E963">
        <f>_xlfn.XLOOKUP($A963,Load!$B:$B,Load!F:F,0,)</f>
        <v>0</v>
      </c>
      <c r="F963">
        <f>_xlfn.XLOOKUP($A963,Load!$B:$B,Load!G:G,0,)</f>
        <v>0</v>
      </c>
      <c r="G963">
        <f>_xlfn.XLOOKUP($A963,Load!$B:$B,Load!H:H,0,)</f>
        <v>0</v>
      </c>
      <c r="H963">
        <f>_xlfn.XLOOKUP($A963,Load!$B:$B,Load!I:I,0,)</f>
        <v>0</v>
      </c>
      <c r="I963">
        <f>_xlfn.XLOOKUP($A963,Load!$B:$B,Load!J:J,0,)</f>
        <v>0</v>
      </c>
      <c r="J963">
        <f>_xlfn.XLOOKUP($A963,Load!$B:$B,Load!K:K,0,)</f>
        <v>0</v>
      </c>
      <c r="K963">
        <f>_xlfn.XLOOKUP($A963,Load!$B:$B,Load!L:L,0,)</f>
        <v>0</v>
      </c>
      <c r="L963">
        <f>_xlfn.XLOOKUP($A963,Load!$B:$B,Load!M:M,0,)</f>
        <v>0</v>
      </c>
    </row>
    <row r="964" spans="1:12" x14ac:dyDescent="0.25">
      <c r="A964" t="s">
        <v>105</v>
      </c>
      <c r="B964" t="str">
        <f>_xlfn.XLOOKUP($A964,Load!$B:$B,Load!C:C,0,)</f>
        <v>Frankford</v>
      </c>
      <c r="C964" t="str">
        <f>_xlfn.XLOOKUP($A964,Load!$B:$B,Load!D:D,0,)</f>
        <v>Non-Chocolate Candy Only</v>
      </c>
      <c r="D964" t="str">
        <f>_xlfn.XLOOKUP($A964,Load!$B:$B,Load!E:E,0,)</f>
        <v>Variety / Mixed Flavors (Fruity, Sour, Seasonal Flavors)</v>
      </c>
      <c r="E964" t="str">
        <f>_xlfn.XLOOKUP($A964,Load!$B:$B,Load!F:F,0,)</f>
        <v>Gummy</v>
      </c>
      <c r="F964" t="str">
        <f>_xlfn.XLOOKUP($A964,Load!$B:$B,Load!G:G,0,)</f>
        <v>Medium Multipack (40–80 ct)</v>
      </c>
      <c r="G964" t="str">
        <f>_xlfn.XLOOKUP($A964,Load!$B:$B,Load!H:H,0,)</f>
        <v>Stand-Up Bag</v>
      </c>
      <c r="H964" t="str">
        <f>_xlfn.XLOOKUP($A964,Load!$B:$B,Load!I:I,0,)</f>
        <v>Seasonal Shapes (like pumpkins, candy corn, ghost, bats, etc.)</v>
      </c>
      <c r="I964" t="str">
        <f>_xlfn.XLOOKUP($A964,Load!$B:$B,Load!J:J,0,)</f>
        <v>Seasonal Graphics (Like Bat, Ghost, Pumpkin, Fall Leaves, Eyeballs, etc.)</v>
      </c>
      <c r="J964" t="str">
        <f>_xlfn.XLOOKUP($A964,Load!$B:$B,Load!K:K,0,)</f>
        <v>Fun Size / Treat Size</v>
      </c>
      <c r="K964" t="str">
        <f>_xlfn.XLOOKUP($A964,Load!$B:$B,Load!L:L,0,)</f>
        <v>Regular/Original Wrapping</v>
      </c>
      <c r="L964" t="str">
        <f>_xlfn.XLOOKUP($A964,Load!$B:$B,Load!M:M,0,)</f>
        <v>Single Brand / Variety Flavors or Form</v>
      </c>
    </row>
    <row r="965" spans="1:12" x14ac:dyDescent="0.25">
      <c r="A965" t="s">
        <v>111</v>
      </c>
      <c r="B965" t="str">
        <f>_xlfn.XLOOKUP($A965,Load!$B:$B,Load!C:C,0,)</f>
        <v>Frankford</v>
      </c>
      <c r="C965" t="str">
        <f>_xlfn.XLOOKUP($A965,Load!$B:$B,Load!D:D,0,)</f>
        <v>Non-Chocolate Candy Only</v>
      </c>
      <c r="D965" t="str">
        <f>_xlfn.XLOOKUP($A965,Load!$B:$B,Load!E:E,0,)</f>
        <v>Variety / Mixed Flavors (Fruity, Sour, Seasonal Flavors)</v>
      </c>
      <c r="E965" t="str">
        <f>_xlfn.XLOOKUP($A965,Load!$B:$B,Load!F:F,0,)</f>
        <v>Gummy</v>
      </c>
      <c r="F965" t="str">
        <f>_xlfn.XLOOKUP($A965,Load!$B:$B,Load!G:G,0,)</f>
        <v>Medium Multipack (40–80 ct)</v>
      </c>
      <c r="G965" t="str">
        <f>_xlfn.XLOOKUP($A965,Load!$B:$B,Load!H:H,0,)</f>
        <v>Stand-Up Bag</v>
      </c>
      <c r="H965" t="str">
        <f>_xlfn.XLOOKUP($A965,Load!$B:$B,Load!I:I,0,)</f>
        <v>Seasonal Shapes (like pumpkins, candy corn, ghost, bats, etc.)</v>
      </c>
      <c r="I965" t="str">
        <f>_xlfn.XLOOKUP($A965,Load!$B:$B,Load!J:J,0,)</f>
        <v>Seasonal Graphics (Like Bat, Ghost, Pumpkin, Fall Leaves, Eyeballs, etc.)</v>
      </c>
      <c r="J965" t="str">
        <f>_xlfn.XLOOKUP($A965,Load!$B:$B,Load!K:K,0,)</f>
        <v>Fun Size / Treat Size</v>
      </c>
      <c r="K965" t="str">
        <f>_xlfn.XLOOKUP($A965,Load!$B:$B,Load!L:L,0,)</f>
        <v>Regular/Original Wrapping</v>
      </c>
      <c r="L965" t="str">
        <f>_xlfn.XLOOKUP($A965,Load!$B:$B,Load!M:M,0,)</f>
        <v>Single Brand / Variety Flavors or Form</v>
      </c>
    </row>
    <row r="966" spans="1:12" x14ac:dyDescent="0.25">
      <c r="B966">
        <f>_xlfn.XLOOKUP($A966,Load!$B:$B,Load!C:C,0,)</f>
        <v>0</v>
      </c>
      <c r="C966">
        <f>_xlfn.XLOOKUP($A966,Load!$B:$B,Load!D:D,0,)</f>
        <v>0</v>
      </c>
      <c r="D966">
        <f>_xlfn.XLOOKUP($A966,Load!$B:$B,Load!E:E,0,)</f>
        <v>0</v>
      </c>
      <c r="E966">
        <f>_xlfn.XLOOKUP($A966,Load!$B:$B,Load!F:F,0,)</f>
        <v>0</v>
      </c>
      <c r="F966">
        <f>_xlfn.XLOOKUP($A966,Load!$B:$B,Load!G:G,0,)</f>
        <v>0</v>
      </c>
      <c r="G966">
        <f>_xlfn.XLOOKUP($A966,Load!$B:$B,Load!H:H,0,)</f>
        <v>0</v>
      </c>
      <c r="H966">
        <f>_xlfn.XLOOKUP($A966,Load!$B:$B,Load!I:I,0,)</f>
        <v>0</v>
      </c>
      <c r="I966">
        <f>_xlfn.XLOOKUP($A966,Load!$B:$B,Load!J:J,0,)</f>
        <v>0</v>
      </c>
      <c r="J966">
        <f>_xlfn.XLOOKUP($A966,Load!$B:$B,Load!K:K,0,)</f>
        <v>0</v>
      </c>
      <c r="K966">
        <f>_xlfn.XLOOKUP($A966,Load!$B:$B,Load!L:L,0,)</f>
        <v>0</v>
      </c>
      <c r="L966">
        <f>_xlfn.XLOOKUP($A966,Load!$B:$B,Load!M:M,0,)</f>
        <v>0</v>
      </c>
    </row>
    <row r="967" spans="1:12" x14ac:dyDescent="0.25">
      <c r="B967">
        <f>_xlfn.XLOOKUP($A967,Load!$B:$B,Load!C:C,0,)</f>
        <v>0</v>
      </c>
      <c r="C967">
        <f>_xlfn.XLOOKUP($A967,Load!$B:$B,Load!D:D,0,)</f>
        <v>0</v>
      </c>
      <c r="D967">
        <f>_xlfn.XLOOKUP($A967,Load!$B:$B,Load!E:E,0,)</f>
        <v>0</v>
      </c>
      <c r="E967">
        <f>_xlfn.XLOOKUP($A967,Load!$B:$B,Load!F:F,0,)</f>
        <v>0</v>
      </c>
      <c r="F967">
        <f>_xlfn.XLOOKUP($A967,Load!$B:$B,Load!G:G,0,)</f>
        <v>0</v>
      </c>
      <c r="G967">
        <f>_xlfn.XLOOKUP($A967,Load!$B:$B,Load!H:H,0,)</f>
        <v>0</v>
      </c>
      <c r="H967">
        <f>_xlfn.XLOOKUP($A967,Load!$B:$B,Load!I:I,0,)</f>
        <v>0</v>
      </c>
      <c r="I967">
        <f>_xlfn.XLOOKUP($A967,Load!$B:$B,Load!J:J,0,)</f>
        <v>0</v>
      </c>
      <c r="J967">
        <f>_xlfn.XLOOKUP($A967,Load!$B:$B,Load!K:K,0,)</f>
        <v>0</v>
      </c>
      <c r="K967">
        <f>_xlfn.XLOOKUP($A967,Load!$B:$B,Load!L:L,0,)</f>
        <v>0</v>
      </c>
      <c r="L967">
        <f>_xlfn.XLOOKUP($A967,Load!$B:$B,Load!M:M,0,)</f>
        <v>0</v>
      </c>
    </row>
    <row r="968" spans="1:12" x14ac:dyDescent="0.25">
      <c r="B968">
        <f>_xlfn.XLOOKUP($A968,Load!$B:$B,Load!C:C,0,)</f>
        <v>0</v>
      </c>
      <c r="C968">
        <f>_xlfn.XLOOKUP($A968,Load!$B:$B,Load!D:D,0,)</f>
        <v>0</v>
      </c>
      <c r="D968">
        <f>_xlfn.XLOOKUP($A968,Load!$B:$B,Load!E:E,0,)</f>
        <v>0</v>
      </c>
      <c r="E968">
        <f>_xlfn.XLOOKUP($A968,Load!$B:$B,Load!F:F,0,)</f>
        <v>0</v>
      </c>
      <c r="F968">
        <f>_xlfn.XLOOKUP($A968,Load!$B:$B,Load!G:G,0,)</f>
        <v>0</v>
      </c>
      <c r="G968">
        <f>_xlfn.XLOOKUP($A968,Load!$B:$B,Load!H:H,0,)</f>
        <v>0</v>
      </c>
      <c r="H968">
        <f>_xlfn.XLOOKUP($A968,Load!$B:$B,Load!I:I,0,)</f>
        <v>0</v>
      </c>
      <c r="I968">
        <f>_xlfn.XLOOKUP($A968,Load!$B:$B,Load!J:J,0,)</f>
        <v>0</v>
      </c>
      <c r="J968">
        <f>_xlfn.XLOOKUP($A968,Load!$B:$B,Load!K:K,0,)</f>
        <v>0</v>
      </c>
      <c r="K968">
        <f>_xlfn.XLOOKUP($A968,Load!$B:$B,Load!L:L,0,)</f>
        <v>0</v>
      </c>
      <c r="L968">
        <f>_xlfn.XLOOKUP($A968,Load!$B:$B,Load!M:M,0,)</f>
        <v>0</v>
      </c>
    </row>
    <row r="969" spans="1:12" x14ac:dyDescent="0.25">
      <c r="B969">
        <f>_xlfn.XLOOKUP($A969,Load!$B:$B,Load!C:C,0,)</f>
        <v>0</v>
      </c>
      <c r="C969">
        <f>_xlfn.XLOOKUP($A969,Load!$B:$B,Load!D:D,0,)</f>
        <v>0</v>
      </c>
      <c r="D969">
        <f>_xlfn.XLOOKUP($A969,Load!$B:$B,Load!E:E,0,)</f>
        <v>0</v>
      </c>
      <c r="E969">
        <f>_xlfn.XLOOKUP($A969,Load!$B:$B,Load!F:F,0,)</f>
        <v>0</v>
      </c>
      <c r="F969">
        <f>_xlfn.XLOOKUP($A969,Load!$B:$B,Load!G:G,0,)</f>
        <v>0</v>
      </c>
      <c r="G969">
        <f>_xlfn.XLOOKUP($A969,Load!$B:$B,Load!H:H,0,)</f>
        <v>0</v>
      </c>
      <c r="H969">
        <f>_xlfn.XLOOKUP($A969,Load!$B:$B,Load!I:I,0,)</f>
        <v>0</v>
      </c>
      <c r="I969">
        <f>_xlfn.XLOOKUP($A969,Load!$B:$B,Load!J:J,0,)</f>
        <v>0</v>
      </c>
      <c r="J969">
        <f>_xlfn.XLOOKUP($A969,Load!$B:$B,Load!K:K,0,)</f>
        <v>0</v>
      </c>
      <c r="K969">
        <f>_xlfn.XLOOKUP($A969,Load!$B:$B,Load!L:L,0,)</f>
        <v>0</v>
      </c>
      <c r="L969">
        <f>_xlfn.XLOOKUP($A969,Load!$B:$B,Load!M:M,0,)</f>
        <v>0</v>
      </c>
    </row>
    <row r="970" spans="1:12" x14ac:dyDescent="0.25">
      <c r="B970">
        <f>_xlfn.XLOOKUP($A970,Load!$B:$B,Load!C:C,0,)</f>
        <v>0</v>
      </c>
      <c r="C970">
        <f>_xlfn.XLOOKUP($A970,Load!$B:$B,Load!D:D,0,)</f>
        <v>0</v>
      </c>
      <c r="D970">
        <f>_xlfn.XLOOKUP($A970,Load!$B:$B,Load!E:E,0,)</f>
        <v>0</v>
      </c>
      <c r="E970">
        <f>_xlfn.XLOOKUP($A970,Load!$B:$B,Load!F:F,0,)</f>
        <v>0</v>
      </c>
      <c r="F970">
        <f>_xlfn.XLOOKUP($A970,Load!$B:$B,Load!G:G,0,)</f>
        <v>0</v>
      </c>
      <c r="G970">
        <f>_xlfn.XLOOKUP($A970,Load!$B:$B,Load!H:H,0,)</f>
        <v>0</v>
      </c>
      <c r="H970">
        <f>_xlfn.XLOOKUP($A970,Load!$B:$B,Load!I:I,0,)</f>
        <v>0</v>
      </c>
      <c r="I970">
        <f>_xlfn.XLOOKUP($A970,Load!$B:$B,Load!J:J,0,)</f>
        <v>0</v>
      </c>
      <c r="J970">
        <f>_xlfn.XLOOKUP($A970,Load!$B:$B,Load!K:K,0,)</f>
        <v>0</v>
      </c>
      <c r="K970">
        <f>_xlfn.XLOOKUP($A970,Load!$B:$B,Load!L:L,0,)</f>
        <v>0</v>
      </c>
      <c r="L970">
        <f>_xlfn.XLOOKUP($A970,Load!$B:$B,Load!M:M,0,)</f>
        <v>0</v>
      </c>
    </row>
    <row r="971" spans="1:12" x14ac:dyDescent="0.25">
      <c r="B971">
        <f>_xlfn.XLOOKUP($A971,Load!$B:$B,Load!C:C,0,)</f>
        <v>0</v>
      </c>
      <c r="C971">
        <f>_xlfn.XLOOKUP($A971,Load!$B:$B,Load!D:D,0,)</f>
        <v>0</v>
      </c>
      <c r="D971">
        <f>_xlfn.XLOOKUP($A971,Load!$B:$B,Load!E:E,0,)</f>
        <v>0</v>
      </c>
      <c r="E971">
        <f>_xlfn.XLOOKUP($A971,Load!$B:$B,Load!F:F,0,)</f>
        <v>0</v>
      </c>
      <c r="F971">
        <f>_xlfn.XLOOKUP($A971,Load!$B:$B,Load!G:G,0,)</f>
        <v>0</v>
      </c>
      <c r="G971">
        <f>_xlfn.XLOOKUP($A971,Load!$B:$B,Load!H:H,0,)</f>
        <v>0</v>
      </c>
      <c r="H971">
        <f>_xlfn.XLOOKUP($A971,Load!$B:$B,Load!I:I,0,)</f>
        <v>0</v>
      </c>
      <c r="I971">
        <f>_xlfn.XLOOKUP($A971,Load!$B:$B,Load!J:J,0,)</f>
        <v>0</v>
      </c>
      <c r="J971">
        <f>_xlfn.XLOOKUP($A971,Load!$B:$B,Load!K:K,0,)</f>
        <v>0</v>
      </c>
      <c r="K971">
        <f>_xlfn.XLOOKUP($A971,Load!$B:$B,Load!L:L,0,)</f>
        <v>0</v>
      </c>
      <c r="L971">
        <f>_xlfn.XLOOKUP($A971,Load!$B:$B,Load!M:M,0,)</f>
        <v>0</v>
      </c>
    </row>
    <row r="972" spans="1:12" x14ac:dyDescent="0.25">
      <c r="A972" t="s">
        <v>254</v>
      </c>
      <c r="B972" t="str">
        <f>_xlfn.XLOOKUP($A972,Load!$B:$B,Load!C:C,0,)</f>
        <v>Skittles</v>
      </c>
      <c r="C972" t="str">
        <f>_xlfn.XLOOKUP($A972,Load!$B:$B,Load!D:D,0,)</f>
        <v>Non-Chocolate Candy Only</v>
      </c>
      <c r="D972" t="str">
        <f>_xlfn.XLOOKUP($A972,Load!$B:$B,Load!E:E,0,)</f>
        <v>Variety / Mixed Flavors (Fruity, Sour, Seasonal Flavors)</v>
      </c>
      <c r="E972" t="str">
        <f>_xlfn.XLOOKUP($A972,Load!$B:$B,Load!F:F,0,)</f>
        <v>Candy Pieces / Bites</v>
      </c>
      <c r="F972" t="str">
        <f>_xlfn.XLOOKUP($A972,Load!$B:$B,Load!G:G,0,)</f>
        <v>Medium Multipack (40–80 ct)</v>
      </c>
      <c r="G972" t="str">
        <f>_xlfn.XLOOKUP($A972,Load!$B:$B,Load!H:H,0,)</f>
        <v>Stand-Up Bag</v>
      </c>
      <c r="H972" t="str">
        <f>_xlfn.XLOOKUP($A972,Load!$B:$B,Load!I:I,0,)</f>
        <v>Everyday Candy Shapes (like Original, Gummy bear, Fruit, Jewels, etc.)</v>
      </c>
      <c r="I972" t="str">
        <f>_xlfn.XLOOKUP($A972,Load!$B:$B,Load!J:J,0,)</f>
        <v>Everyday Graphics</v>
      </c>
      <c r="J972" t="str">
        <f>_xlfn.XLOOKUP($A972,Load!$B:$B,Load!K:K,0,)</f>
        <v>Small Pieces (Tiny bite size candies)</v>
      </c>
      <c r="K972" t="str">
        <f>_xlfn.XLOOKUP($A972,Load!$B:$B,Load!L:L,0,)</f>
        <v>Regular/Original Wrapping</v>
      </c>
      <c r="L972" t="str">
        <f>_xlfn.XLOOKUP($A972,Load!$B:$B,Load!M:M,0,)</f>
        <v>Single Brand / Variety Flavors or Form</v>
      </c>
    </row>
    <row r="973" spans="1:12" x14ac:dyDescent="0.25">
      <c r="A973" t="s">
        <v>71</v>
      </c>
      <c r="B973" t="str">
        <f>_xlfn.XLOOKUP($A973,Load!$B:$B,Load!C:C,0,)</f>
        <v>Dum Dums</v>
      </c>
      <c r="C973" t="str">
        <f>_xlfn.XLOOKUP($A973,Load!$B:$B,Load!D:D,0,)</f>
        <v>Non-Chocolate Candy Only</v>
      </c>
      <c r="D973" t="str">
        <f>_xlfn.XLOOKUP($A973,Load!$B:$B,Load!E:E,0,)</f>
        <v>Sweet</v>
      </c>
      <c r="E973" t="str">
        <f>_xlfn.XLOOKUP($A973,Load!$B:$B,Load!F:F,0,)</f>
        <v>Lollipop (regular or lollipop rings)</v>
      </c>
      <c r="F973" t="str">
        <f>_xlfn.XLOOKUP($A973,Load!$B:$B,Load!G:G,0,)</f>
        <v>Large Multipack (More than 80 ct)</v>
      </c>
      <c r="G973" t="str">
        <f>_xlfn.XLOOKUP($A973,Load!$B:$B,Load!H:H,0,)</f>
        <v>Stand-Up Bag</v>
      </c>
      <c r="H973" t="str">
        <f>_xlfn.XLOOKUP($A973,Load!$B:$B,Load!I:I,0,)</f>
        <v>Everyday Candy Shapes (like Original, Gummy bear, Fruit, Jewels, etc.)</v>
      </c>
      <c r="I973" t="str">
        <f>_xlfn.XLOOKUP($A973,Load!$B:$B,Load!J:J,0,)</f>
        <v>Seasonal Graphics (Like Bat, Ghost, Pumpkin, Fall Leaves, Eyeballs, etc.)</v>
      </c>
      <c r="J973" t="str">
        <f>_xlfn.XLOOKUP($A973,Load!$B:$B,Load!K:K,0,)</f>
        <v>Regular Lollipop size (on sticks or rings)</v>
      </c>
      <c r="K973" t="str">
        <f>_xlfn.XLOOKUP($A973,Load!$B:$B,Load!L:L,0,)</f>
        <v>Regular/Original Wrapping</v>
      </c>
      <c r="L973" t="str">
        <f>_xlfn.XLOOKUP($A973,Load!$B:$B,Load!M:M,0,)</f>
        <v>Multiple Brands / Variety Flavors or Form</v>
      </c>
    </row>
    <row r="974" spans="1:12" x14ac:dyDescent="0.25">
      <c r="B974">
        <f>_xlfn.XLOOKUP($A974,Load!$B:$B,Load!C:C,0,)</f>
        <v>0</v>
      </c>
      <c r="C974">
        <f>_xlfn.XLOOKUP($A974,Load!$B:$B,Load!D:D,0,)</f>
        <v>0</v>
      </c>
      <c r="D974">
        <f>_xlfn.XLOOKUP($A974,Load!$B:$B,Load!E:E,0,)</f>
        <v>0</v>
      </c>
      <c r="E974">
        <f>_xlfn.XLOOKUP($A974,Load!$B:$B,Load!F:F,0,)</f>
        <v>0</v>
      </c>
      <c r="F974">
        <f>_xlfn.XLOOKUP($A974,Load!$B:$B,Load!G:G,0,)</f>
        <v>0</v>
      </c>
      <c r="G974">
        <f>_xlfn.XLOOKUP($A974,Load!$B:$B,Load!H:H,0,)</f>
        <v>0</v>
      </c>
      <c r="H974">
        <f>_xlfn.XLOOKUP($A974,Load!$B:$B,Load!I:I,0,)</f>
        <v>0</v>
      </c>
      <c r="I974">
        <f>_xlfn.XLOOKUP($A974,Load!$B:$B,Load!J:J,0,)</f>
        <v>0</v>
      </c>
      <c r="J974">
        <f>_xlfn.XLOOKUP($A974,Load!$B:$B,Load!K:K,0,)</f>
        <v>0</v>
      </c>
      <c r="K974">
        <f>_xlfn.XLOOKUP($A974,Load!$B:$B,Load!L:L,0,)</f>
        <v>0</v>
      </c>
      <c r="L974">
        <f>_xlfn.XLOOKUP($A974,Load!$B:$B,Load!M:M,0,)</f>
        <v>0</v>
      </c>
    </row>
    <row r="975" spans="1:12" x14ac:dyDescent="0.25">
      <c r="B975">
        <f>_xlfn.XLOOKUP($A975,Load!$B:$B,Load!C:C,0,)</f>
        <v>0</v>
      </c>
      <c r="C975">
        <f>_xlfn.XLOOKUP($A975,Load!$B:$B,Load!D:D,0,)</f>
        <v>0</v>
      </c>
      <c r="D975">
        <f>_xlfn.XLOOKUP($A975,Load!$B:$B,Load!E:E,0,)</f>
        <v>0</v>
      </c>
      <c r="E975">
        <f>_xlfn.XLOOKUP($A975,Load!$B:$B,Load!F:F,0,)</f>
        <v>0</v>
      </c>
      <c r="F975">
        <f>_xlfn.XLOOKUP($A975,Load!$B:$B,Load!G:G,0,)</f>
        <v>0</v>
      </c>
      <c r="G975">
        <f>_xlfn.XLOOKUP($A975,Load!$B:$B,Load!H:H,0,)</f>
        <v>0</v>
      </c>
      <c r="H975">
        <f>_xlfn.XLOOKUP($A975,Load!$B:$B,Load!I:I,0,)</f>
        <v>0</v>
      </c>
      <c r="I975">
        <f>_xlfn.XLOOKUP($A975,Load!$B:$B,Load!J:J,0,)</f>
        <v>0</v>
      </c>
      <c r="J975">
        <f>_xlfn.XLOOKUP($A975,Load!$B:$B,Load!K:K,0,)</f>
        <v>0</v>
      </c>
      <c r="K975">
        <f>_xlfn.XLOOKUP($A975,Load!$B:$B,Load!L:L,0,)</f>
        <v>0</v>
      </c>
      <c r="L975">
        <f>_xlfn.XLOOKUP($A975,Load!$B:$B,Load!M:M,0,)</f>
        <v>0</v>
      </c>
    </row>
    <row r="976" spans="1:12" x14ac:dyDescent="0.25">
      <c r="A976" t="s">
        <v>262</v>
      </c>
      <c r="B976" t="str">
        <f>_xlfn.XLOOKUP($A976,Load!$B:$B,Load!C:C,0,)</f>
        <v>Smart Sweets</v>
      </c>
      <c r="C976" t="str">
        <f>_xlfn.XLOOKUP($A976,Load!$B:$B,Load!D:D,0,)</f>
        <v>Non-Chocolate Candy Only</v>
      </c>
      <c r="D976" t="str">
        <f>_xlfn.XLOOKUP($A976,Load!$B:$B,Load!E:E,0,)</f>
        <v>Berry Based (Raspberry, Strawberry, Medley, etc.)</v>
      </c>
      <c r="E976" t="str">
        <f>_xlfn.XLOOKUP($A976,Load!$B:$B,Load!F:F,0,)</f>
        <v>Lollipop (regular or lollipop rings)</v>
      </c>
      <c r="F976" t="str">
        <f>_xlfn.XLOOKUP($A976,Load!$B:$B,Load!G:G,0,)</f>
        <v>Single Pack</v>
      </c>
      <c r="G976" t="str">
        <f>_xlfn.XLOOKUP($A976,Load!$B:$B,Load!H:H,0,)</f>
        <v>Peg Bag</v>
      </c>
      <c r="H976" t="str">
        <f>_xlfn.XLOOKUP($A976,Load!$B:$B,Load!I:I,0,)</f>
        <v>Everyday Candy Shapes (like Original, Gummy bear, Fruit, Jewels, etc.)</v>
      </c>
      <c r="I976" t="str">
        <f>_xlfn.XLOOKUP($A976,Load!$B:$B,Load!J:J,0,)</f>
        <v>Seasonal Graphics (Like Bat, Ghost, Pumpkin, Fall Leaves, Eyeballs, etc.)</v>
      </c>
      <c r="J976" t="str">
        <f>_xlfn.XLOOKUP($A976,Load!$B:$B,Load!K:K,0,)</f>
        <v>Regular Lollipop size (on sticks or rings)</v>
      </c>
      <c r="K976" t="str">
        <f>_xlfn.XLOOKUP($A976,Load!$B:$B,Load!L:L,0,)</f>
        <v>Regular/Original Wrapping</v>
      </c>
      <c r="L976" t="str">
        <f>_xlfn.XLOOKUP($A976,Load!$B:$B,Load!M:M,0,)</f>
        <v>Single Brand / Variety Flavors or Form</v>
      </c>
    </row>
    <row r="977" spans="1:12" x14ac:dyDescent="0.25">
      <c r="B977">
        <f>_xlfn.XLOOKUP($A977,Load!$B:$B,Load!C:C,0,)</f>
        <v>0</v>
      </c>
      <c r="C977">
        <f>_xlfn.XLOOKUP($A977,Load!$B:$B,Load!D:D,0,)</f>
        <v>0</v>
      </c>
      <c r="D977">
        <f>_xlfn.XLOOKUP($A977,Load!$B:$B,Load!E:E,0,)</f>
        <v>0</v>
      </c>
      <c r="E977">
        <f>_xlfn.XLOOKUP($A977,Load!$B:$B,Load!F:F,0,)</f>
        <v>0</v>
      </c>
      <c r="F977">
        <f>_xlfn.XLOOKUP($A977,Load!$B:$B,Load!G:G,0,)</f>
        <v>0</v>
      </c>
      <c r="G977">
        <f>_xlfn.XLOOKUP($A977,Load!$B:$B,Load!H:H,0,)</f>
        <v>0</v>
      </c>
      <c r="H977">
        <f>_xlfn.XLOOKUP($A977,Load!$B:$B,Load!I:I,0,)</f>
        <v>0</v>
      </c>
      <c r="I977">
        <f>_xlfn.XLOOKUP($A977,Load!$B:$B,Load!J:J,0,)</f>
        <v>0</v>
      </c>
      <c r="J977">
        <f>_xlfn.XLOOKUP($A977,Load!$B:$B,Load!K:K,0,)</f>
        <v>0</v>
      </c>
      <c r="K977">
        <f>_xlfn.XLOOKUP($A977,Load!$B:$B,Load!L:L,0,)</f>
        <v>0</v>
      </c>
      <c r="L977">
        <f>_xlfn.XLOOKUP($A977,Load!$B:$B,Load!M:M,0,)</f>
        <v>0</v>
      </c>
    </row>
    <row r="978" spans="1:12" x14ac:dyDescent="0.25">
      <c r="A978" t="s">
        <v>73</v>
      </c>
      <c r="B978" t="str">
        <f>_xlfn.XLOOKUP($A978,Load!$B:$B,Load!C:C,0,)</f>
        <v>Dum Dums</v>
      </c>
      <c r="C978" t="str">
        <f>_xlfn.XLOOKUP($A978,Load!$B:$B,Load!D:D,0,)</f>
        <v>Non-Chocolate Candy Only</v>
      </c>
      <c r="D978" t="str">
        <f>_xlfn.XLOOKUP($A978,Load!$B:$B,Load!E:E,0,)</f>
        <v>Variety / Mixed Flavors (Fruity, Sour, Seasonal Flavors)</v>
      </c>
      <c r="E978" t="str">
        <f>_xlfn.XLOOKUP($A978,Load!$B:$B,Load!F:F,0,)</f>
        <v>Lollipop (regular or lollipop rings)</v>
      </c>
      <c r="F978" t="str">
        <f>_xlfn.XLOOKUP($A978,Load!$B:$B,Load!G:G,0,)</f>
        <v>Single Pack</v>
      </c>
      <c r="G978" t="str">
        <f>_xlfn.XLOOKUP($A978,Load!$B:$B,Load!H:H,0,)</f>
        <v>Laydown Bag</v>
      </c>
      <c r="H978" t="str">
        <f>_xlfn.XLOOKUP($A978,Load!$B:$B,Load!I:I,0,)</f>
        <v>Everyday Candy Shapes (like Original, Gummy bear, Fruit, Jewels, etc.)</v>
      </c>
      <c r="I978" t="str">
        <f>_xlfn.XLOOKUP($A978,Load!$B:$B,Load!J:J,0,)</f>
        <v>Seasonal Graphics (Like Bat, Ghost, Pumpkin, Fall Leaves, Eyeballs, etc.)</v>
      </c>
      <c r="J978" t="str">
        <f>_xlfn.XLOOKUP($A978,Load!$B:$B,Load!K:K,0,)</f>
        <v>Regular Lollipop size (on sticks or rings)</v>
      </c>
      <c r="K978" t="str">
        <f>_xlfn.XLOOKUP($A978,Load!$B:$B,Load!L:L,0,)</f>
        <v>Regular/Original Wrapping</v>
      </c>
      <c r="L978" t="str">
        <f>_xlfn.XLOOKUP($A978,Load!$B:$B,Load!M:M,0,)</f>
        <v>Single Brand / Variety Flavors or Form</v>
      </c>
    </row>
    <row r="979" spans="1:12" x14ac:dyDescent="0.25">
      <c r="A979" t="s">
        <v>156</v>
      </c>
      <c r="B979" t="str">
        <f>_xlfn.XLOOKUP($A979,Load!$B:$B,Load!C:C,0,)</f>
        <v>Jolly Rancher</v>
      </c>
      <c r="C979" t="str">
        <f>_xlfn.XLOOKUP($A979,Load!$B:$B,Load!D:D,0,)</f>
        <v>Non-Chocolate Candy Only</v>
      </c>
      <c r="D979" t="str">
        <f>_xlfn.XLOOKUP($A979,Load!$B:$B,Load!E:E,0,)</f>
        <v>Fruit Flavor (Cherry, Grape, Apple, Citrus, Tropical Fruit)</v>
      </c>
      <c r="E979" t="str">
        <f>_xlfn.XLOOKUP($A979,Load!$B:$B,Load!F:F,0,)</f>
        <v>Gummy</v>
      </c>
      <c r="F979" t="str">
        <f>_xlfn.XLOOKUP($A979,Load!$B:$B,Load!G:G,0,)</f>
        <v>Single Pack</v>
      </c>
      <c r="G979" t="str">
        <f>_xlfn.XLOOKUP($A979,Load!$B:$B,Load!H:H,0,)</f>
        <v>Laydown Bag</v>
      </c>
      <c r="H979" t="str">
        <f>_xlfn.XLOOKUP($A979,Load!$B:$B,Load!I:I,0,)</f>
        <v>Everyday Candy Shapes (like Original, Gummy bear, Fruit, Jewels, etc.)</v>
      </c>
      <c r="I979" t="str">
        <f>_xlfn.XLOOKUP($A979,Load!$B:$B,Load!J:J,0,)</f>
        <v>Everyday Graphics</v>
      </c>
      <c r="J979" t="str">
        <f>_xlfn.XLOOKUP($A979,Load!$B:$B,Load!K:K,0,)</f>
        <v>Small Pieces (Tiny bite size candies)</v>
      </c>
      <c r="K979" t="str">
        <f>_xlfn.XLOOKUP($A979,Load!$B:$B,Load!L:L,0,)</f>
        <v>Unwrapped</v>
      </c>
      <c r="L979" t="str">
        <f>_xlfn.XLOOKUP($A979,Load!$B:$B,Load!M:M,0,)</f>
        <v>Single Brand / Variety Flavors or Form</v>
      </c>
    </row>
    <row r="980" spans="1:12" x14ac:dyDescent="0.25">
      <c r="A980" t="s">
        <v>4</v>
      </c>
      <c r="B980" t="str">
        <f>_xlfn.XLOOKUP($A980,Load!$B:$B,Load!C:C,0,)</f>
        <v>Airheads</v>
      </c>
      <c r="C980" t="str">
        <f>_xlfn.XLOOKUP($A980,Load!$B:$B,Load!D:D,0,)</f>
        <v>Non-Chocolate Candy Only</v>
      </c>
      <c r="D980" t="str">
        <f>_xlfn.XLOOKUP($A980,Load!$B:$B,Load!E:E,0,)</f>
        <v>Variety / Mixed Flavors (Fruity, Sour, Seasonal Flavors)</v>
      </c>
      <c r="E980" t="str">
        <f>_xlfn.XLOOKUP($A980,Load!$B:$B,Load!F:F,0,)</f>
        <v>Chewy</v>
      </c>
      <c r="F980" t="str">
        <f>_xlfn.XLOOKUP($A980,Load!$B:$B,Load!G:G,0,)</f>
        <v>Large Multipack (More than 80 ct)</v>
      </c>
      <c r="G980" t="str">
        <f>_xlfn.XLOOKUP($A980,Load!$B:$B,Load!H:H,0,)</f>
        <v>Box (theatre box, gift box, carton)</v>
      </c>
      <c r="H980" t="str">
        <f>_xlfn.XLOOKUP($A980,Load!$B:$B,Load!I:I,0,)</f>
        <v>Everyday Candy Shapes (like Original, Gummy bear, Fruit, Jewels, etc.)</v>
      </c>
      <c r="I980" t="str">
        <f>_xlfn.XLOOKUP($A980,Load!$B:$B,Load!J:J,0,)</f>
        <v>Seasonal Graphics (Like Bat, Ghost, Pumpkin, Fall Leaves, Eyeballs, etc.)</v>
      </c>
      <c r="J980" t="str">
        <f>_xlfn.XLOOKUP($A980,Load!$B:$B,Load!K:K,0,)</f>
        <v>Fun Size / Treat Size</v>
      </c>
      <c r="K980" t="str">
        <f>_xlfn.XLOOKUP($A980,Load!$B:$B,Load!L:L,0,)</f>
        <v>Regular/Original Wrapping</v>
      </c>
      <c r="L980" t="str">
        <f>_xlfn.XLOOKUP($A980,Load!$B:$B,Load!M:M,0,)</f>
        <v>Single Brand / Variety Flavors or Form</v>
      </c>
    </row>
    <row r="981" spans="1:12" x14ac:dyDescent="0.25">
      <c r="B981">
        <f>_xlfn.XLOOKUP($A981,Load!$B:$B,Load!C:C,0,)</f>
        <v>0</v>
      </c>
      <c r="C981">
        <f>_xlfn.XLOOKUP($A981,Load!$B:$B,Load!D:D,0,)</f>
        <v>0</v>
      </c>
      <c r="D981">
        <f>_xlfn.XLOOKUP($A981,Load!$B:$B,Load!E:E,0,)</f>
        <v>0</v>
      </c>
      <c r="E981">
        <f>_xlfn.XLOOKUP($A981,Load!$B:$B,Load!F:F,0,)</f>
        <v>0</v>
      </c>
      <c r="F981">
        <f>_xlfn.XLOOKUP($A981,Load!$B:$B,Load!G:G,0,)</f>
        <v>0</v>
      </c>
      <c r="G981">
        <f>_xlfn.XLOOKUP($A981,Load!$B:$B,Load!H:H,0,)</f>
        <v>0</v>
      </c>
      <c r="H981">
        <f>_xlfn.XLOOKUP($A981,Load!$B:$B,Load!I:I,0,)</f>
        <v>0</v>
      </c>
      <c r="I981">
        <f>_xlfn.XLOOKUP($A981,Load!$B:$B,Load!J:J,0,)</f>
        <v>0</v>
      </c>
      <c r="J981">
        <f>_xlfn.XLOOKUP($A981,Load!$B:$B,Load!K:K,0,)</f>
        <v>0</v>
      </c>
      <c r="K981">
        <f>_xlfn.XLOOKUP($A981,Load!$B:$B,Load!L:L,0,)</f>
        <v>0</v>
      </c>
      <c r="L981">
        <f>_xlfn.XLOOKUP($A981,Load!$B:$B,Load!M:M,0,)</f>
        <v>0</v>
      </c>
    </row>
    <row r="982" spans="1:12" x14ac:dyDescent="0.25">
      <c r="B982">
        <f>_xlfn.XLOOKUP($A982,Load!$B:$B,Load!C:C,0,)</f>
        <v>0</v>
      </c>
      <c r="C982">
        <f>_xlfn.XLOOKUP($A982,Load!$B:$B,Load!D:D,0,)</f>
        <v>0</v>
      </c>
      <c r="D982">
        <f>_xlfn.XLOOKUP($A982,Load!$B:$B,Load!E:E,0,)</f>
        <v>0</v>
      </c>
      <c r="E982">
        <f>_xlfn.XLOOKUP($A982,Load!$B:$B,Load!F:F,0,)</f>
        <v>0</v>
      </c>
      <c r="F982">
        <f>_xlfn.XLOOKUP($A982,Load!$B:$B,Load!G:G,0,)</f>
        <v>0</v>
      </c>
      <c r="G982">
        <f>_xlfn.XLOOKUP($A982,Load!$B:$B,Load!H:H,0,)</f>
        <v>0</v>
      </c>
      <c r="H982">
        <f>_xlfn.XLOOKUP($A982,Load!$B:$B,Load!I:I,0,)</f>
        <v>0</v>
      </c>
      <c r="I982">
        <f>_xlfn.XLOOKUP($A982,Load!$B:$B,Load!J:J,0,)</f>
        <v>0</v>
      </c>
      <c r="J982">
        <f>_xlfn.XLOOKUP($A982,Load!$B:$B,Load!K:K,0,)</f>
        <v>0</v>
      </c>
      <c r="K982">
        <f>_xlfn.XLOOKUP($A982,Load!$B:$B,Load!L:L,0,)</f>
        <v>0</v>
      </c>
      <c r="L982">
        <f>_xlfn.XLOOKUP($A982,Load!$B:$B,Load!M:M,0,)</f>
        <v>0</v>
      </c>
    </row>
    <row r="983" spans="1:12" x14ac:dyDescent="0.25">
      <c r="B983">
        <f>_xlfn.XLOOKUP($A983,Load!$B:$B,Load!C:C,0,)</f>
        <v>0</v>
      </c>
      <c r="C983">
        <f>_xlfn.XLOOKUP($A983,Load!$B:$B,Load!D:D,0,)</f>
        <v>0</v>
      </c>
      <c r="D983">
        <f>_xlfn.XLOOKUP($A983,Load!$B:$B,Load!E:E,0,)</f>
        <v>0</v>
      </c>
      <c r="E983">
        <f>_xlfn.XLOOKUP($A983,Load!$B:$B,Load!F:F,0,)</f>
        <v>0</v>
      </c>
      <c r="F983">
        <f>_xlfn.XLOOKUP($A983,Load!$B:$B,Load!G:G,0,)</f>
        <v>0</v>
      </c>
      <c r="G983">
        <f>_xlfn.XLOOKUP($A983,Load!$B:$B,Load!H:H,0,)</f>
        <v>0</v>
      </c>
      <c r="H983">
        <f>_xlfn.XLOOKUP($A983,Load!$B:$B,Load!I:I,0,)</f>
        <v>0</v>
      </c>
      <c r="I983">
        <f>_xlfn.XLOOKUP($A983,Load!$B:$B,Load!J:J,0,)</f>
        <v>0</v>
      </c>
      <c r="J983">
        <f>_xlfn.XLOOKUP($A983,Load!$B:$B,Load!K:K,0,)</f>
        <v>0</v>
      </c>
      <c r="K983">
        <f>_xlfn.XLOOKUP($A983,Load!$B:$B,Load!L:L,0,)</f>
        <v>0</v>
      </c>
      <c r="L983">
        <f>_xlfn.XLOOKUP($A983,Load!$B:$B,Load!M:M,0,)</f>
        <v>0</v>
      </c>
    </row>
    <row r="984" spans="1:12" x14ac:dyDescent="0.25">
      <c r="A984" t="s">
        <v>226</v>
      </c>
      <c r="B984" t="str">
        <f>_xlfn.XLOOKUP($A984,Load!$B:$B,Load!C:C,0,)</f>
        <v>Nerds</v>
      </c>
      <c r="C984" t="str">
        <f>_xlfn.XLOOKUP($A984,Load!$B:$B,Load!D:D,0,)</f>
        <v>Non-Chocolate Candy Only</v>
      </c>
      <c r="D984" t="str">
        <f>_xlfn.XLOOKUP($A984,Load!$B:$B,Load!E:E,0,)</f>
        <v>Sweet</v>
      </c>
      <c r="E984" t="str">
        <f>_xlfn.XLOOKUP($A984,Load!$B:$B,Load!F:F,0,)</f>
        <v>Gummy</v>
      </c>
      <c r="F984" t="str">
        <f>_xlfn.XLOOKUP($A984,Load!$B:$B,Load!G:G,0,)</f>
        <v>Single Pack</v>
      </c>
      <c r="G984" t="str">
        <f>_xlfn.XLOOKUP($A984,Load!$B:$B,Load!H:H,0,)</f>
        <v>Laydown Bag</v>
      </c>
      <c r="H984" t="str">
        <f>_xlfn.XLOOKUP($A984,Load!$B:$B,Load!I:I,0,)</f>
        <v>Seasonal Shapes (like pumpkins, candy corn, ghost, bats, etc.)</v>
      </c>
      <c r="I984" t="str">
        <f>_xlfn.XLOOKUP($A984,Load!$B:$B,Load!J:J,0,)</f>
        <v>Seasonal Graphics (Like Bat, Ghost, Pumpkin, Fall Leaves, Eyeballs, etc.)</v>
      </c>
      <c r="J984" t="str">
        <f>_xlfn.XLOOKUP($A984,Load!$B:$B,Load!K:K,0,)</f>
        <v>Fun Size / Treat Size</v>
      </c>
      <c r="K984" t="str">
        <f>_xlfn.XLOOKUP($A984,Load!$B:$B,Load!L:L,0,)</f>
        <v>Unwrapped</v>
      </c>
      <c r="L984" t="str">
        <f>_xlfn.XLOOKUP($A984,Load!$B:$B,Load!M:M,0,)</f>
        <v>Single Brand / Single Flavor or Form</v>
      </c>
    </row>
    <row r="985" spans="1:12" x14ac:dyDescent="0.25">
      <c r="B985">
        <f>_xlfn.XLOOKUP($A985,Load!$B:$B,Load!C:C,0,)</f>
        <v>0</v>
      </c>
      <c r="C985">
        <f>_xlfn.XLOOKUP($A985,Load!$B:$B,Load!D:D,0,)</f>
        <v>0</v>
      </c>
      <c r="D985">
        <f>_xlfn.XLOOKUP($A985,Load!$B:$B,Load!E:E,0,)</f>
        <v>0</v>
      </c>
      <c r="E985">
        <f>_xlfn.XLOOKUP($A985,Load!$B:$B,Load!F:F,0,)</f>
        <v>0</v>
      </c>
      <c r="F985">
        <f>_xlfn.XLOOKUP($A985,Load!$B:$B,Load!G:G,0,)</f>
        <v>0</v>
      </c>
      <c r="G985">
        <f>_xlfn.XLOOKUP($A985,Load!$B:$B,Load!H:H,0,)</f>
        <v>0</v>
      </c>
      <c r="H985">
        <f>_xlfn.XLOOKUP($A985,Load!$B:$B,Load!I:I,0,)</f>
        <v>0</v>
      </c>
      <c r="I985">
        <f>_xlfn.XLOOKUP($A985,Load!$B:$B,Load!J:J,0,)</f>
        <v>0</v>
      </c>
      <c r="J985">
        <f>_xlfn.XLOOKUP($A985,Load!$B:$B,Load!K:K,0,)</f>
        <v>0</v>
      </c>
      <c r="K985">
        <f>_xlfn.XLOOKUP($A985,Load!$B:$B,Load!L:L,0,)</f>
        <v>0</v>
      </c>
      <c r="L985">
        <f>_xlfn.XLOOKUP($A985,Load!$B:$B,Load!M:M,0,)</f>
        <v>0</v>
      </c>
    </row>
    <row r="986" spans="1:12" x14ac:dyDescent="0.25">
      <c r="B986">
        <f>_xlfn.XLOOKUP($A986,Load!$B:$B,Load!C:C,0,)</f>
        <v>0</v>
      </c>
      <c r="C986">
        <f>_xlfn.XLOOKUP($A986,Load!$B:$B,Load!D:D,0,)</f>
        <v>0</v>
      </c>
      <c r="D986">
        <f>_xlfn.XLOOKUP($A986,Load!$B:$B,Load!E:E,0,)</f>
        <v>0</v>
      </c>
      <c r="E986">
        <f>_xlfn.XLOOKUP($A986,Load!$B:$B,Load!F:F,0,)</f>
        <v>0</v>
      </c>
      <c r="F986">
        <f>_xlfn.XLOOKUP($A986,Load!$B:$B,Load!G:G,0,)</f>
        <v>0</v>
      </c>
      <c r="G986">
        <f>_xlfn.XLOOKUP($A986,Load!$B:$B,Load!H:H,0,)</f>
        <v>0</v>
      </c>
      <c r="H986">
        <f>_xlfn.XLOOKUP($A986,Load!$B:$B,Load!I:I,0,)</f>
        <v>0</v>
      </c>
      <c r="I986">
        <f>_xlfn.XLOOKUP($A986,Load!$B:$B,Load!J:J,0,)</f>
        <v>0</v>
      </c>
      <c r="J986">
        <f>_xlfn.XLOOKUP($A986,Load!$B:$B,Load!K:K,0,)</f>
        <v>0</v>
      </c>
      <c r="K986">
        <f>_xlfn.XLOOKUP($A986,Load!$B:$B,Load!L:L,0,)</f>
        <v>0</v>
      </c>
      <c r="L986">
        <f>_xlfn.XLOOKUP($A986,Load!$B:$B,Load!M:M,0,)</f>
        <v>0</v>
      </c>
    </row>
    <row r="987" spans="1:12" x14ac:dyDescent="0.25">
      <c r="B987">
        <f>_xlfn.XLOOKUP($A987,Load!$B:$B,Load!C:C,0,)</f>
        <v>0</v>
      </c>
      <c r="C987">
        <f>_xlfn.XLOOKUP($A987,Load!$B:$B,Load!D:D,0,)</f>
        <v>0</v>
      </c>
      <c r="D987">
        <f>_xlfn.XLOOKUP($A987,Load!$B:$B,Load!E:E,0,)</f>
        <v>0</v>
      </c>
      <c r="E987">
        <f>_xlfn.XLOOKUP($A987,Load!$B:$B,Load!F:F,0,)</f>
        <v>0</v>
      </c>
      <c r="F987">
        <f>_xlfn.XLOOKUP($A987,Load!$B:$B,Load!G:G,0,)</f>
        <v>0</v>
      </c>
      <c r="G987">
        <f>_xlfn.XLOOKUP($A987,Load!$B:$B,Load!H:H,0,)</f>
        <v>0</v>
      </c>
      <c r="H987">
        <f>_xlfn.XLOOKUP($A987,Load!$B:$B,Load!I:I,0,)</f>
        <v>0</v>
      </c>
      <c r="I987">
        <f>_xlfn.XLOOKUP($A987,Load!$B:$B,Load!J:J,0,)</f>
        <v>0</v>
      </c>
      <c r="J987">
        <f>_xlfn.XLOOKUP($A987,Load!$B:$B,Load!K:K,0,)</f>
        <v>0</v>
      </c>
      <c r="K987">
        <f>_xlfn.XLOOKUP($A987,Load!$B:$B,Load!L:L,0,)</f>
        <v>0</v>
      </c>
      <c r="L987">
        <f>_xlfn.XLOOKUP($A987,Load!$B:$B,Load!M:M,0,)</f>
        <v>0</v>
      </c>
    </row>
    <row r="988" spans="1:12" x14ac:dyDescent="0.25">
      <c r="B988">
        <f>_xlfn.XLOOKUP($A988,Load!$B:$B,Load!C:C,0,)</f>
        <v>0</v>
      </c>
      <c r="C988">
        <f>_xlfn.XLOOKUP($A988,Load!$B:$B,Load!D:D,0,)</f>
        <v>0</v>
      </c>
      <c r="D988">
        <f>_xlfn.XLOOKUP($A988,Load!$B:$B,Load!E:E,0,)</f>
        <v>0</v>
      </c>
      <c r="E988">
        <f>_xlfn.XLOOKUP($A988,Load!$B:$B,Load!F:F,0,)</f>
        <v>0</v>
      </c>
      <c r="F988">
        <f>_xlfn.XLOOKUP($A988,Load!$B:$B,Load!G:G,0,)</f>
        <v>0</v>
      </c>
      <c r="G988">
        <f>_xlfn.XLOOKUP($A988,Load!$B:$B,Load!H:H,0,)</f>
        <v>0</v>
      </c>
      <c r="H988">
        <f>_xlfn.XLOOKUP($A988,Load!$B:$B,Load!I:I,0,)</f>
        <v>0</v>
      </c>
      <c r="I988">
        <f>_xlfn.XLOOKUP($A988,Load!$B:$B,Load!J:J,0,)</f>
        <v>0</v>
      </c>
      <c r="J988">
        <f>_xlfn.XLOOKUP($A988,Load!$B:$B,Load!K:K,0,)</f>
        <v>0</v>
      </c>
      <c r="K988">
        <f>_xlfn.XLOOKUP($A988,Load!$B:$B,Load!L:L,0,)</f>
        <v>0</v>
      </c>
      <c r="L988">
        <f>_xlfn.XLOOKUP($A988,Load!$B:$B,Load!M:M,0,)</f>
        <v>0</v>
      </c>
    </row>
    <row r="989" spans="1:12" x14ac:dyDescent="0.25">
      <c r="B989">
        <f>_xlfn.XLOOKUP($A989,Load!$B:$B,Load!C:C,0,)</f>
        <v>0</v>
      </c>
      <c r="C989">
        <f>_xlfn.XLOOKUP($A989,Load!$B:$B,Load!D:D,0,)</f>
        <v>0</v>
      </c>
      <c r="D989">
        <f>_xlfn.XLOOKUP($A989,Load!$B:$B,Load!E:E,0,)</f>
        <v>0</v>
      </c>
      <c r="E989">
        <f>_xlfn.XLOOKUP($A989,Load!$B:$B,Load!F:F,0,)</f>
        <v>0</v>
      </c>
      <c r="F989">
        <f>_xlfn.XLOOKUP($A989,Load!$B:$B,Load!G:G,0,)</f>
        <v>0</v>
      </c>
      <c r="G989">
        <f>_xlfn.XLOOKUP($A989,Load!$B:$B,Load!H:H,0,)</f>
        <v>0</v>
      </c>
      <c r="H989">
        <f>_xlfn.XLOOKUP($A989,Load!$B:$B,Load!I:I,0,)</f>
        <v>0</v>
      </c>
      <c r="I989">
        <f>_xlfn.XLOOKUP($A989,Load!$B:$B,Load!J:J,0,)</f>
        <v>0</v>
      </c>
      <c r="J989">
        <f>_xlfn.XLOOKUP($A989,Load!$B:$B,Load!K:K,0,)</f>
        <v>0</v>
      </c>
      <c r="K989">
        <f>_xlfn.XLOOKUP($A989,Load!$B:$B,Load!L:L,0,)</f>
        <v>0</v>
      </c>
      <c r="L989">
        <f>_xlfn.XLOOKUP($A989,Load!$B:$B,Load!M:M,0,)</f>
        <v>0</v>
      </c>
    </row>
    <row r="990" spans="1:12" x14ac:dyDescent="0.25">
      <c r="A990" t="s">
        <v>125</v>
      </c>
      <c r="B990" t="str">
        <f>_xlfn.XLOOKUP($A990,Load!$B:$B,Load!C:C,0,)</f>
        <v>HARIBO</v>
      </c>
      <c r="C990" t="str">
        <f>_xlfn.XLOOKUP($A990,Load!$B:$B,Load!D:D,0,)</f>
        <v>Non-Chocolate Candy Only</v>
      </c>
      <c r="D990" t="str">
        <f>_xlfn.XLOOKUP($A990,Load!$B:$B,Load!E:E,0,)</f>
        <v>Berry Based (Raspberry, Strawberry, Medley, etc.)</v>
      </c>
      <c r="E990" t="str">
        <f>_xlfn.XLOOKUP($A990,Load!$B:$B,Load!F:F,0,)</f>
        <v>Gummy</v>
      </c>
      <c r="F990" t="str">
        <f>_xlfn.XLOOKUP($A990,Load!$B:$B,Load!G:G,0,)</f>
        <v>Small Multipack (Less than 40 ct)</v>
      </c>
      <c r="G990" t="str">
        <f>_xlfn.XLOOKUP($A990,Load!$B:$B,Load!H:H,0,)</f>
        <v>Laydown Bag</v>
      </c>
      <c r="H990" t="str">
        <f>_xlfn.XLOOKUP($A990,Load!$B:$B,Load!I:I,0,)</f>
        <v>Everyday Candy Shapes (like Original, Gummy bear, Fruit, Jewels, etc.)</v>
      </c>
      <c r="I990" t="str">
        <f>_xlfn.XLOOKUP($A990,Load!$B:$B,Load!J:J,0,)</f>
        <v>Everyday Graphics</v>
      </c>
      <c r="J990" t="str">
        <f>_xlfn.XLOOKUP($A990,Load!$B:$B,Load!K:K,0,)</f>
        <v>Small Pieces (Tiny bite size candies)</v>
      </c>
      <c r="K990" t="str">
        <f>_xlfn.XLOOKUP($A990,Load!$B:$B,Load!L:L,0,)</f>
        <v>Regular/Original Wrapping</v>
      </c>
      <c r="L990" t="str">
        <f>_xlfn.XLOOKUP($A990,Load!$B:$B,Load!M:M,0,)</f>
        <v>Single Brand / Variety Flavors or Form</v>
      </c>
    </row>
    <row r="991" spans="1:12" x14ac:dyDescent="0.25">
      <c r="B991">
        <f>_xlfn.XLOOKUP($A991,Load!$B:$B,Load!C:C,0,)</f>
        <v>0</v>
      </c>
      <c r="C991">
        <f>_xlfn.XLOOKUP($A991,Load!$B:$B,Load!D:D,0,)</f>
        <v>0</v>
      </c>
      <c r="D991">
        <f>_xlfn.XLOOKUP($A991,Load!$B:$B,Load!E:E,0,)</f>
        <v>0</v>
      </c>
      <c r="E991">
        <f>_xlfn.XLOOKUP($A991,Load!$B:$B,Load!F:F,0,)</f>
        <v>0</v>
      </c>
      <c r="F991">
        <f>_xlfn.XLOOKUP($A991,Load!$B:$B,Load!G:G,0,)</f>
        <v>0</v>
      </c>
      <c r="G991">
        <f>_xlfn.XLOOKUP($A991,Load!$B:$B,Load!H:H,0,)</f>
        <v>0</v>
      </c>
      <c r="H991">
        <f>_xlfn.XLOOKUP($A991,Load!$B:$B,Load!I:I,0,)</f>
        <v>0</v>
      </c>
      <c r="I991">
        <f>_xlfn.XLOOKUP($A991,Load!$B:$B,Load!J:J,0,)</f>
        <v>0</v>
      </c>
      <c r="J991">
        <f>_xlfn.XLOOKUP($A991,Load!$B:$B,Load!K:K,0,)</f>
        <v>0</v>
      </c>
      <c r="K991">
        <f>_xlfn.XLOOKUP($A991,Load!$B:$B,Load!L:L,0,)</f>
        <v>0</v>
      </c>
      <c r="L991">
        <f>_xlfn.XLOOKUP($A991,Load!$B:$B,Load!M:M,0,)</f>
        <v>0</v>
      </c>
    </row>
    <row r="992" spans="1:12" x14ac:dyDescent="0.25">
      <c r="A992" t="s">
        <v>88</v>
      </c>
      <c r="B992" t="str">
        <f>_xlfn.XLOOKUP($A992,Load!$B:$B,Load!C:C,0,)</f>
        <v>Ferrara Variety Pack</v>
      </c>
      <c r="C992" t="str">
        <f>_xlfn.XLOOKUP($A992,Load!$B:$B,Load!D:D,0,)</f>
        <v>Non-Chocolate Candy Only</v>
      </c>
      <c r="D992" t="str">
        <f>_xlfn.XLOOKUP($A992,Load!$B:$B,Load!E:E,0,)</f>
        <v>Variety / Mixed Flavors (Fruity, Sour, Seasonal Flavors)</v>
      </c>
      <c r="E992" t="str">
        <f>_xlfn.XLOOKUP($A992,Load!$B:$B,Load!F:F,0,)</f>
        <v>Mixed / Combo Packs (Gummy, Chewy, Taffy, etc.)</v>
      </c>
      <c r="F992" t="str">
        <f>_xlfn.XLOOKUP($A992,Load!$B:$B,Load!G:G,0,)</f>
        <v>Small Multipack (Less than 40 ct)</v>
      </c>
      <c r="G992" t="str">
        <f>_xlfn.XLOOKUP($A992,Load!$B:$B,Load!H:H,0,)</f>
        <v>Laydown Bag</v>
      </c>
      <c r="H992" t="str">
        <f>_xlfn.XLOOKUP($A992,Load!$B:$B,Load!I:I,0,)</f>
        <v>Seasonal Shapes (like pumpkins, candy corn, ghost, bats, etc.)</v>
      </c>
      <c r="I992" t="str">
        <f>_xlfn.XLOOKUP($A992,Load!$B:$B,Load!J:J,0,)</f>
        <v>Seasonal Graphics (Like Bat, Ghost, Pumpkin, Fall Leaves, Eyeballs, etc.)</v>
      </c>
      <c r="J992" t="str">
        <f>_xlfn.XLOOKUP($A992,Load!$B:$B,Load!K:K,0,)</f>
        <v>Fun Size / Treat Size</v>
      </c>
      <c r="K992" t="str">
        <f>_xlfn.XLOOKUP($A992,Load!$B:$B,Load!L:L,0,)</f>
        <v>Regular/Original Wrapping</v>
      </c>
      <c r="L992" t="str">
        <f>_xlfn.XLOOKUP($A992,Load!$B:$B,Load!M:M,0,)</f>
        <v>Multiple Brands / Variety Flavors or Form</v>
      </c>
    </row>
    <row r="993" spans="1:12" x14ac:dyDescent="0.25">
      <c r="B993">
        <f>_xlfn.XLOOKUP($A993,Load!$B:$B,Load!C:C,0,)</f>
        <v>0</v>
      </c>
      <c r="C993">
        <f>_xlfn.XLOOKUP($A993,Load!$B:$B,Load!D:D,0,)</f>
        <v>0</v>
      </c>
      <c r="D993">
        <f>_xlfn.XLOOKUP($A993,Load!$B:$B,Load!E:E,0,)</f>
        <v>0</v>
      </c>
      <c r="E993">
        <f>_xlfn.XLOOKUP($A993,Load!$B:$B,Load!F:F,0,)</f>
        <v>0</v>
      </c>
      <c r="F993">
        <f>_xlfn.XLOOKUP($A993,Load!$B:$B,Load!G:G,0,)</f>
        <v>0</v>
      </c>
      <c r="G993">
        <f>_xlfn.XLOOKUP($A993,Load!$B:$B,Load!H:H,0,)</f>
        <v>0</v>
      </c>
      <c r="H993">
        <f>_xlfn.XLOOKUP($A993,Load!$B:$B,Load!I:I,0,)</f>
        <v>0</v>
      </c>
      <c r="I993">
        <f>_xlfn.XLOOKUP($A993,Load!$B:$B,Load!J:J,0,)</f>
        <v>0</v>
      </c>
      <c r="J993">
        <f>_xlfn.XLOOKUP($A993,Load!$B:$B,Load!K:K,0,)</f>
        <v>0</v>
      </c>
      <c r="K993">
        <f>_xlfn.XLOOKUP($A993,Load!$B:$B,Load!L:L,0,)</f>
        <v>0</v>
      </c>
      <c r="L993">
        <f>_xlfn.XLOOKUP($A993,Load!$B:$B,Load!M:M,0,)</f>
        <v>0</v>
      </c>
    </row>
    <row r="994" spans="1:12" x14ac:dyDescent="0.25">
      <c r="B994">
        <f>_xlfn.XLOOKUP($A994,Load!$B:$B,Load!C:C,0,)</f>
        <v>0</v>
      </c>
      <c r="C994">
        <f>_xlfn.XLOOKUP($A994,Load!$B:$B,Load!D:D,0,)</f>
        <v>0</v>
      </c>
      <c r="D994">
        <f>_xlfn.XLOOKUP($A994,Load!$B:$B,Load!E:E,0,)</f>
        <v>0</v>
      </c>
      <c r="E994">
        <f>_xlfn.XLOOKUP($A994,Load!$B:$B,Load!F:F,0,)</f>
        <v>0</v>
      </c>
      <c r="F994">
        <f>_xlfn.XLOOKUP($A994,Load!$B:$B,Load!G:G,0,)</f>
        <v>0</v>
      </c>
      <c r="G994">
        <f>_xlfn.XLOOKUP($A994,Load!$B:$B,Load!H:H,0,)</f>
        <v>0</v>
      </c>
      <c r="H994">
        <f>_xlfn.XLOOKUP($A994,Load!$B:$B,Load!I:I,0,)</f>
        <v>0</v>
      </c>
      <c r="I994">
        <f>_xlfn.XLOOKUP($A994,Load!$B:$B,Load!J:J,0,)</f>
        <v>0</v>
      </c>
      <c r="J994">
        <f>_xlfn.XLOOKUP($A994,Load!$B:$B,Load!K:K,0,)</f>
        <v>0</v>
      </c>
      <c r="K994">
        <f>_xlfn.XLOOKUP($A994,Load!$B:$B,Load!L:L,0,)</f>
        <v>0</v>
      </c>
      <c r="L994">
        <f>_xlfn.XLOOKUP($A994,Load!$B:$B,Load!M:M,0,)</f>
        <v>0</v>
      </c>
    </row>
    <row r="995" spans="1:12" x14ac:dyDescent="0.25">
      <c r="B995">
        <f>_xlfn.XLOOKUP($A995,Load!$B:$B,Load!C:C,0,)</f>
        <v>0</v>
      </c>
      <c r="C995">
        <f>_xlfn.XLOOKUP($A995,Load!$B:$B,Load!D:D,0,)</f>
        <v>0</v>
      </c>
      <c r="D995">
        <f>_xlfn.XLOOKUP($A995,Load!$B:$B,Load!E:E,0,)</f>
        <v>0</v>
      </c>
      <c r="E995">
        <f>_xlfn.XLOOKUP($A995,Load!$B:$B,Load!F:F,0,)</f>
        <v>0</v>
      </c>
      <c r="F995">
        <f>_xlfn.XLOOKUP($A995,Load!$B:$B,Load!G:G,0,)</f>
        <v>0</v>
      </c>
      <c r="G995">
        <f>_xlfn.XLOOKUP($A995,Load!$B:$B,Load!H:H,0,)</f>
        <v>0</v>
      </c>
      <c r="H995">
        <f>_xlfn.XLOOKUP($A995,Load!$B:$B,Load!I:I,0,)</f>
        <v>0</v>
      </c>
      <c r="I995">
        <f>_xlfn.XLOOKUP($A995,Load!$B:$B,Load!J:J,0,)</f>
        <v>0</v>
      </c>
      <c r="J995">
        <f>_xlfn.XLOOKUP($A995,Load!$B:$B,Load!K:K,0,)</f>
        <v>0</v>
      </c>
      <c r="K995">
        <f>_xlfn.XLOOKUP($A995,Load!$B:$B,Load!L:L,0,)</f>
        <v>0</v>
      </c>
      <c r="L995">
        <f>_xlfn.XLOOKUP($A995,Load!$B:$B,Load!M:M,0,)</f>
        <v>0</v>
      </c>
    </row>
    <row r="996" spans="1:12" x14ac:dyDescent="0.25">
      <c r="A996" t="s">
        <v>236</v>
      </c>
      <c r="B996" t="str">
        <f>_xlfn.XLOOKUP($A996,Load!$B:$B,Load!C:C,0,)</f>
        <v>Nerds</v>
      </c>
      <c r="C996" t="str">
        <f>_xlfn.XLOOKUP($A996,Load!$B:$B,Load!D:D,0,)</f>
        <v>Non-Chocolate Candy Only</v>
      </c>
      <c r="D996" t="str">
        <f>_xlfn.XLOOKUP($A996,Load!$B:$B,Load!E:E,0,)</f>
        <v>Variety / Mixed Flavors (Fruity, Sour, Seasonal Flavors)</v>
      </c>
      <c r="E996" t="str">
        <f>_xlfn.XLOOKUP($A996,Load!$B:$B,Load!F:F,0,)</f>
        <v>Candy Pieces / Bites</v>
      </c>
      <c r="F996" t="str">
        <f>_xlfn.XLOOKUP($A996,Load!$B:$B,Load!G:G,0,)</f>
        <v>Medium Multipack (40–80 ct)</v>
      </c>
      <c r="G996" t="str">
        <f>_xlfn.XLOOKUP($A996,Load!$B:$B,Load!H:H,0,)</f>
        <v>Stand-Up Bag</v>
      </c>
      <c r="H996" t="str">
        <f>_xlfn.XLOOKUP($A996,Load!$B:$B,Load!I:I,0,)</f>
        <v>Everyday Candy Shapes (like Original, Gummy bear, Fruit, Jewels, etc.)</v>
      </c>
      <c r="I996" t="str">
        <f>_xlfn.XLOOKUP($A996,Load!$B:$B,Load!J:J,0,)</f>
        <v>Seasonal Graphics (Like Bat, Ghost, Pumpkin, Fall Leaves, Eyeballs, etc.)</v>
      </c>
      <c r="J996" t="str">
        <f>_xlfn.XLOOKUP($A996,Load!$B:$B,Load!K:K,0,)</f>
        <v>Small Pieces (Tiny bite size candies)</v>
      </c>
      <c r="K996" t="str">
        <f>_xlfn.XLOOKUP($A996,Load!$B:$B,Load!L:L,0,)</f>
        <v>Unwrapped</v>
      </c>
      <c r="L996" t="str">
        <f>_xlfn.XLOOKUP($A996,Load!$B:$B,Load!M:M,0,)</f>
        <v>Single Brand / Variety Flavors or Form</v>
      </c>
    </row>
    <row r="997" spans="1:12" x14ac:dyDescent="0.25">
      <c r="A997" t="s">
        <v>265</v>
      </c>
      <c r="B997" t="str">
        <f>_xlfn.XLOOKUP($A997,Load!$B:$B,Load!C:C,0,)</f>
        <v>Smarties</v>
      </c>
      <c r="C997" t="str">
        <f>_xlfn.XLOOKUP($A997,Load!$B:$B,Load!D:D,0,)</f>
        <v>Non-Chocolate Candy Only</v>
      </c>
      <c r="D997" t="str">
        <f>_xlfn.XLOOKUP($A997,Load!$B:$B,Load!E:E,0,)</f>
        <v>Fruit Flavor (Cherry, Grape, Apple, Citrus, Tropical Fruit)</v>
      </c>
      <c r="E997" t="str">
        <f>_xlfn.XLOOKUP($A997,Load!$B:$B,Load!F:F,0,)</f>
        <v>Powder / Chalky</v>
      </c>
      <c r="F997" t="str">
        <f>_xlfn.XLOOKUP($A997,Load!$B:$B,Load!G:G,0,)</f>
        <v>Large Multipack (More than 80 ct)</v>
      </c>
      <c r="G997" t="str">
        <f>_xlfn.XLOOKUP($A997,Load!$B:$B,Load!H:H,0,)</f>
        <v>Laydown Bag</v>
      </c>
      <c r="H997" t="str">
        <f>_xlfn.XLOOKUP($A997,Load!$B:$B,Load!I:I,0,)</f>
        <v>Seasonal Shapes (like pumpkins, candy corn, ghost, bats, etc.)</v>
      </c>
      <c r="I997" t="str">
        <f>_xlfn.XLOOKUP($A997,Load!$B:$B,Load!J:J,0,)</f>
        <v>Seasonal Graphics (Like Bat, Ghost, Pumpkin, Fall Leaves, Eyeballs, etc.)</v>
      </c>
      <c r="J997" t="str">
        <f>_xlfn.XLOOKUP($A997,Load!$B:$B,Load!K:K,0,)</f>
        <v>Small Pieces (Tiny bite size candies)</v>
      </c>
      <c r="K997" t="str">
        <f>_xlfn.XLOOKUP($A997,Load!$B:$B,Load!L:L,0,)</f>
        <v>Regular/Original Wrapping</v>
      </c>
      <c r="L997" t="str">
        <f>_xlfn.XLOOKUP($A997,Load!$B:$B,Load!M:M,0,)</f>
        <v>Single Brand / Single Flavor or Form</v>
      </c>
    </row>
    <row r="998" spans="1:12" x14ac:dyDescent="0.25">
      <c r="A998" t="s">
        <v>307</v>
      </c>
      <c r="B998" t="str">
        <f>_xlfn.XLOOKUP($A998,Load!$B:$B,Load!C:C,0,)</f>
        <v>Werther's Original</v>
      </c>
      <c r="C998" t="str">
        <f>_xlfn.XLOOKUP($A998,Load!$B:$B,Load!D:D,0,)</f>
        <v>Non-Chocolate Candy Only</v>
      </c>
      <c r="D998" t="str">
        <f>_xlfn.XLOOKUP($A998,Load!$B:$B,Load!E:E,0,)</f>
        <v>Fall / Seasonal Flavors (pumpkin spice, caramel apple, candy corn)</v>
      </c>
      <c r="E998" t="str">
        <f>_xlfn.XLOOKUP($A998,Load!$B:$B,Load!F:F,0,)</f>
        <v>Hard Candy</v>
      </c>
      <c r="F998" t="str">
        <f>_xlfn.XLOOKUP($A998,Load!$B:$B,Load!G:G,0,)</f>
        <v>Single Pack</v>
      </c>
      <c r="G998" t="str">
        <f>_xlfn.XLOOKUP($A998,Load!$B:$B,Load!H:H,0,)</f>
        <v>Stand-Up Bag</v>
      </c>
      <c r="H998" t="str">
        <f>_xlfn.XLOOKUP($A998,Load!$B:$B,Load!I:I,0,)</f>
        <v>Everyday Candy Shapes (like Original, Gummy bear, Fruit, Jewels, etc.)</v>
      </c>
      <c r="I998" t="str">
        <f>_xlfn.XLOOKUP($A998,Load!$B:$B,Load!J:J,0,)</f>
        <v>Seasonal Graphics (Like Bat, Ghost, Pumpkin, Fall Leaves, Eyeballs, etc.)</v>
      </c>
      <c r="J998" t="str">
        <f>_xlfn.XLOOKUP($A998,Load!$B:$B,Load!K:K,0,)</f>
        <v>Fun Size / Treat Size</v>
      </c>
      <c r="K998" t="str">
        <f>_xlfn.XLOOKUP($A998,Load!$B:$B,Load!L:L,0,)</f>
        <v>Regular/Original Wrapping</v>
      </c>
      <c r="L998" t="str">
        <f>_xlfn.XLOOKUP($A998,Load!$B:$B,Load!M:M,0,)</f>
        <v>Single Brand / Single Flavor or Form</v>
      </c>
    </row>
    <row r="999" spans="1:12" x14ac:dyDescent="0.25">
      <c r="A999" t="s">
        <v>156</v>
      </c>
      <c r="B999" t="str">
        <f>_xlfn.XLOOKUP($A999,Load!$B:$B,Load!C:C,0,)</f>
        <v>Jolly Rancher</v>
      </c>
      <c r="C999" t="str">
        <f>_xlfn.XLOOKUP($A999,Load!$B:$B,Load!D:D,0,)</f>
        <v>Non-Chocolate Candy Only</v>
      </c>
      <c r="D999" t="str">
        <f>_xlfn.XLOOKUP($A999,Load!$B:$B,Load!E:E,0,)</f>
        <v>Fruit Flavor (Cherry, Grape, Apple, Citrus, Tropical Fruit)</v>
      </c>
      <c r="E999" t="str">
        <f>_xlfn.XLOOKUP($A999,Load!$B:$B,Load!F:F,0,)</f>
        <v>Gummy</v>
      </c>
      <c r="F999" t="str">
        <f>_xlfn.XLOOKUP($A999,Load!$B:$B,Load!G:G,0,)</f>
        <v>Single Pack</v>
      </c>
      <c r="G999" t="str">
        <f>_xlfn.XLOOKUP($A999,Load!$B:$B,Load!H:H,0,)</f>
        <v>Laydown Bag</v>
      </c>
      <c r="H999" t="str">
        <f>_xlfn.XLOOKUP($A999,Load!$B:$B,Load!I:I,0,)</f>
        <v>Everyday Candy Shapes (like Original, Gummy bear, Fruit, Jewels, etc.)</v>
      </c>
      <c r="I999" t="str">
        <f>_xlfn.XLOOKUP($A999,Load!$B:$B,Load!J:J,0,)</f>
        <v>Everyday Graphics</v>
      </c>
      <c r="J999" t="str">
        <f>_xlfn.XLOOKUP($A999,Load!$B:$B,Load!K:K,0,)</f>
        <v>Small Pieces (Tiny bite size candies)</v>
      </c>
      <c r="K999" t="str">
        <f>_xlfn.XLOOKUP($A999,Load!$B:$B,Load!L:L,0,)</f>
        <v>Unwrapped</v>
      </c>
      <c r="L999" t="str">
        <f>_xlfn.XLOOKUP($A999,Load!$B:$B,Load!M:M,0,)</f>
        <v>Single Brand / Variety Flavors or Form</v>
      </c>
    </row>
    <row r="1000" spans="1:12" x14ac:dyDescent="0.25">
      <c r="A1000" t="s">
        <v>222</v>
      </c>
      <c r="B1000" t="str">
        <f>_xlfn.XLOOKUP($A1000,Load!$B:$B,Load!C:C,0,)</f>
        <v>Nerds</v>
      </c>
      <c r="C1000" t="str">
        <f>_xlfn.XLOOKUP($A1000,Load!$B:$B,Load!D:D,0,)</f>
        <v>Non-Chocolate Candy Only</v>
      </c>
      <c r="D1000" t="str">
        <f>_xlfn.XLOOKUP($A1000,Load!$B:$B,Load!E:E,0,)</f>
        <v>Sweet</v>
      </c>
      <c r="E1000" t="str">
        <f>_xlfn.XLOOKUP($A1000,Load!$B:$B,Load!F:F,0,)</f>
        <v>Gummy</v>
      </c>
      <c r="F1000" t="str">
        <f>_xlfn.XLOOKUP($A1000,Load!$B:$B,Load!G:G,0,)</f>
        <v>Small Multipack (Less than 40 ct)</v>
      </c>
      <c r="G1000" t="str">
        <f>_xlfn.XLOOKUP($A1000,Load!$B:$B,Load!H:H,0,)</f>
        <v>Stand-Up Bag</v>
      </c>
      <c r="H1000" t="str">
        <f>_xlfn.XLOOKUP($A1000,Load!$B:$B,Load!I:I,0,)</f>
        <v>Everyday Candy Shapes (like Original, Gummy bear, Fruit, Jewels, etc.)</v>
      </c>
      <c r="I1000" t="str">
        <f>_xlfn.XLOOKUP($A1000,Load!$B:$B,Load!J:J,0,)</f>
        <v>Seasonal Graphics (Like Bat, Ghost, Pumpkin, Fall Leaves, Eyeballs, etc.)</v>
      </c>
      <c r="J1000" t="str">
        <f>_xlfn.XLOOKUP($A1000,Load!$B:$B,Load!K:K,0,)</f>
        <v>Fun Size / Treat Size</v>
      </c>
      <c r="K1000" t="str">
        <f>_xlfn.XLOOKUP($A1000,Load!$B:$B,Load!L:L,0,)</f>
        <v>Regular/Original Wrapping</v>
      </c>
      <c r="L1000" t="str">
        <f>_xlfn.XLOOKUP($A1000,Load!$B:$B,Load!M:M,0,)</f>
        <v>Single Brand / Variety Flavors or Form</v>
      </c>
    </row>
    <row r="1001" spans="1:12" x14ac:dyDescent="0.25">
      <c r="A1001" t="s">
        <v>70</v>
      </c>
      <c r="B1001" t="str">
        <f>_xlfn.XLOOKUP($A1001,Load!$B:$B,Load!C:C,0,)</f>
        <v>Dum Dums</v>
      </c>
      <c r="C1001" t="str">
        <f>_xlfn.XLOOKUP($A1001,Load!$B:$B,Load!D:D,0,)</f>
        <v>Non-Chocolate Candy Only</v>
      </c>
      <c r="D1001" t="str">
        <f>_xlfn.XLOOKUP($A1001,Load!$B:$B,Load!E:E,0,)</f>
        <v>Fall / Seasonal Flavors (pumpkin spice, caramel apple, candy corn)</v>
      </c>
      <c r="E1001" t="str">
        <f>_xlfn.XLOOKUP($A1001,Load!$B:$B,Load!F:F,0,)</f>
        <v>Lollipop (regular or lollipop rings)</v>
      </c>
      <c r="F1001" t="str">
        <f>_xlfn.XLOOKUP($A1001,Load!$B:$B,Load!G:G,0,)</f>
        <v>Single Pack</v>
      </c>
      <c r="G1001" t="str">
        <f>_xlfn.XLOOKUP($A1001,Load!$B:$B,Load!H:H,0,)</f>
        <v>Laydown Bag</v>
      </c>
      <c r="H1001" t="str">
        <f>_xlfn.XLOOKUP($A1001,Load!$B:$B,Load!I:I,0,)</f>
        <v>Everyday Candy Shapes (like Original, Gummy bear, Fruit, Jewels, etc.)</v>
      </c>
      <c r="I1001" t="str">
        <f>_xlfn.XLOOKUP($A1001,Load!$B:$B,Load!J:J,0,)</f>
        <v>Seasonal Graphics (Like Bat, Ghost, Pumpkin, Fall Leaves, Eyeballs, etc.)</v>
      </c>
      <c r="J1001" t="str">
        <f>_xlfn.XLOOKUP($A1001,Load!$B:$B,Load!K:K,0,)</f>
        <v>Regular Lollipop size (on sticks or rings)</v>
      </c>
      <c r="K1001" t="str">
        <f>_xlfn.XLOOKUP($A1001,Load!$B:$B,Load!L:L,0,)</f>
        <v>Regular/Original Wrapping</v>
      </c>
      <c r="L1001" t="str">
        <f>_xlfn.XLOOKUP($A1001,Load!$B:$B,Load!M:M,0,)</f>
        <v>Single Brand / Variety Flavors or Form</v>
      </c>
    </row>
    <row r="1002" spans="1:12" x14ac:dyDescent="0.25">
      <c r="B1002">
        <f>_xlfn.XLOOKUP($A1002,Load!$B:$B,Load!C:C,0,)</f>
        <v>0</v>
      </c>
      <c r="C1002">
        <f>_xlfn.XLOOKUP($A1002,Load!$B:$B,Load!D:D,0,)</f>
        <v>0</v>
      </c>
      <c r="D1002">
        <f>_xlfn.XLOOKUP($A1002,Load!$B:$B,Load!E:E,0,)</f>
        <v>0</v>
      </c>
      <c r="E1002">
        <f>_xlfn.XLOOKUP($A1002,Load!$B:$B,Load!F:F,0,)</f>
        <v>0</v>
      </c>
      <c r="F1002">
        <f>_xlfn.XLOOKUP($A1002,Load!$B:$B,Load!G:G,0,)</f>
        <v>0</v>
      </c>
      <c r="G1002">
        <f>_xlfn.XLOOKUP($A1002,Load!$B:$B,Load!H:H,0,)</f>
        <v>0</v>
      </c>
      <c r="H1002">
        <f>_xlfn.XLOOKUP($A1002,Load!$B:$B,Load!I:I,0,)</f>
        <v>0</v>
      </c>
      <c r="I1002">
        <f>_xlfn.XLOOKUP($A1002,Load!$B:$B,Load!J:J,0,)</f>
        <v>0</v>
      </c>
      <c r="J1002">
        <f>_xlfn.XLOOKUP($A1002,Load!$B:$B,Load!K:K,0,)</f>
        <v>0</v>
      </c>
      <c r="K1002">
        <f>_xlfn.XLOOKUP($A1002,Load!$B:$B,Load!L:L,0,)</f>
        <v>0</v>
      </c>
      <c r="L1002">
        <f>_xlfn.XLOOKUP($A1002,Load!$B:$B,Load!M:M,0,)</f>
        <v>0</v>
      </c>
    </row>
    <row r="1003" spans="1:12" x14ac:dyDescent="0.25">
      <c r="B1003">
        <f>_xlfn.XLOOKUP($A1003,Load!$B:$B,Load!C:C,0,)</f>
        <v>0</v>
      </c>
      <c r="C1003">
        <f>_xlfn.XLOOKUP($A1003,Load!$B:$B,Load!D:D,0,)</f>
        <v>0</v>
      </c>
      <c r="D1003">
        <f>_xlfn.XLOOKUP($A1003,Load!$B:$B,Load!E:E,0,)</f>
        <v>0</v>
      </c>
      <c r="E1003">
        <f>_xlfn.XLOOKUP($A1003,Load!$B:$B,Load!F:F,0,)</f>
        <v>0</v>
      </c>
      <c r="F1003">
        <f>_xlfn.XLOOKUP($A1003,Load!$B:$B,Load!G:G,0,)</f>
        <v>0</v>
      </c>
      <c r="G1003">
        <f>_xlfn.XLOOKUP($A1003,Load!$B:$B,Load!H:H,0,)</f>
        <v>0</v>
      </c>
      <c r="H1003">
        <f>_xlfn.XLOOKUP($A1003,Load!$B:$B,Load!I:I,0,)</f>
        <v>0</v>
      </c>
      <c r="I1003">
        <f>_xlfn.XLOOKUP($A1003,Load!$B:$B,Load!J:J,0,)</f>
        <v>0</v>
      </c>
      <c r="J1003">
        <f>_xlfn.XLOOKUP($A1003,Load!$B:$B,Load!K:K,0,)</f>
        <v>0</v>
      </c>
      <c r="K1003">
        <f>_xlfn.XLOOKUP($A1003,Load!$B:$B,Load!L:L,0,)</f>
        <v>0</v>
      </c>
      <c r="L1003">
        <f>_xlfn.XLOOKUP($A1003,Load!$B:$B,Load!M:M,0,)</f>
        <v>0</v>
      </c>
    </row>
    <row r="1004" spans="1:12" x14ac:dyDescent="0.25">
      <c r="B1004">
        <f>_xlfn.XLOOKUP($A1004,Load!$B:$B,Load!C:C,0,)</f>
        <v>0</v>
      </c>
      <c r="C1004">
        <f>_xlfn.XLOOKUP($A1004,Load!$B:$B,Load!D:D,0,)</f>
        <v>0</v>
      </c>
      <c r="D1004">
        <f>_xlfn.XLOOKUP($A1004,Load!$B:$B,Load!E:E,0,)</f>
        <v>0</v>
      </c>
      <c r="E1004">
        <f>_xlfn.XLOOKUP($A1004,Load!$B:$B,Load!F:F,0,)</f>
        <v>0</v>
      </c>
      <c r="F1004">
        <f>_xlfn.XLOOKUP($A1004,Load!$B:$B,Load!G:G,0,)</f>
        <v>0</v>
      </c>
      <c r="G1004">
        <f>_xlfn.XLOOKUP($A1004,Load!$B:$B,Load!H:H,0,)</f>
        <v>0</v>
      </c>
      <c r="H1004">
        <f>_xlfn.XLOOKUP($A1004,Load!$B:$B,Load!I:I,0,)</f>
        <v>0</v>
      </c>
      <c r="I1004">
        <f>_xlfn.XLOOKUP($A1004,Load!$B:$B,Load!J:J,0,)</f>
        <v>0</v>
      </c>
      <c r="J1004">
        <f>_xlfn.XLOOKUP($A1004,Load!$B:$B,Load!K:K,0,)</f>
        <v>0</v>
      </c>
      <c r="K1004">
        <f>_xlfn.XLOOKUP($A1004,Load!$B:$B,Load!L:L,0,)</f>
        <v>0</v>
      </c>
      <c r="L1004">
        <f>_xlfn.XLOOKUP($A1004,Load!$B:$B,Load!M:M,0,)</f>
        <v>0</v>
      </c>
    </row>
    <row r="1005" spans="1:12" x14ac:dyDescent="0.25">
      <c r="B1005">
        <f>_xlfn.XLOOKUP($A1005,Load!$B:$B,Load!C:C,0,)</f>
        <v>0</v>
      </c>
      <c r="C1005">
        <f>_xlfn.XLOOKUP($A1005,Load!$B:$B,Load!D:D,0,)</f>
        <v>0</v>
      </c>
      <c r="D1005">
        <f>_xlfn.XLOOKUP($A1005,Load!$B:$B,Load!E:E,0,)</f>
        <v>0</v>
      </c>
      <c r="E1005">
        <f>_xlfn.XLOOKUP($A1005,Load!$B:$B,Load!F:F,0,)</f>
        <v>0</v>
      </c>
      <c r="F1005">
        <f>_xlfn.XLOOKUP($A1005,Load!$B:$B,Load!G:G,0,)</f>
        <v>0</v>
      </c>
      <c r="G1005">
        <f>_xlfn.XLOOKUP($A1005,Load!$B:$B,Load!H:H,0,)</f>
        <v>0</v>
      </c>
      <c r="H1005">
        <f>_xlfn.XLOOKUP($A1005,Load!$B:$B,Load!I:I,0,)</f>
        <v>0</v>
      </c>
      <c r="I1005">
        <f>_xlfn.XLOOKUP($A1005,Load!$B:$B,Load!J:J,0,)</f>
        <v>0</v>
      </c>
      <c r="J1005">
        <f>_xlfn.XLOOKUP($A1005,Load!$B:$B,Load!K:K,0,)</f>
        <v>0</v>
      </c>
      <c r="K1005">
        <f>_xlfn.XLOOKUP($A1005,Load!$B:$B,Load!L:L,0,)</f>
        <v>0</v>
      </c>
      <c r="L1005">
        <f>_xlfn.XLOOKUP($A1005,Load!$B:$B,Load!M:M,0,)</f>
        <v>0</v>
      </c>
    </row>
    <row r="1006" spans="1:12" x14ac:dyDescent="0.25">
      <c r="A1006" t="s">
        <v>144</v>
      </c>
      <c r="B1006" t="str">
        <f>_xlfn.XLOOKUP($A1006,Load!$B:$B,Load!C:C,0,)</f>
        <v>Hershey's Variety Pack + Haribo</v>
      </c>
      <c r="C1006" t="str">
        <f>_xlfn.XLOOKUP($A1006,Load!$B:$B,Load!D:D,0,)</f>
        <v>Mix of Chocolate and Non-Chocolate Candy</v>
      </c>
      <c r="D1006" t="str">
        <f>_xlfn.XLOOKUP($A1006,Load!$B:$B,Load!E:E,0,)</f>
        <v>Variety / Mixed Flavors (Fruity, Sour, Seasonal Flavors)</v>
      </c>
      <c r="E1006" t="str">
        <f>_xlfn.XLOOKUP($A1006,Load!$B:$B,Load!F:F,0,)</f>
        <v>Mixed / Combo Packs (Gummy, Chewy, Taffy, etc.)</v>
      </c>
      <c r="F1006" t="str">
        <f>_xlfn.XLOOKUP($A1006,Load!$B:$B,Load!G:G,0,)</f>
        <v>Large Multipack (More than 80 ct)</v>
      </c>
      <c r="G1006" t="str">
        <f>_xlfn.XLOOKUP($A1006,Load!$B:$B,Load!H:H,0,)</f>
        <v>Stand-Up Bag</v>
      </c>
      <c r="H1006" t="str">
        <f>_xlfn.XLOOKUP($A1006,Load!$B:$B,Load!I:I,0,)</f>
        <v>Everyday Candy Shapes (like Original, Gummy bear, Fruit, Jewels, etc.)</v>
      </c>
      <c r="I1006" t="str">
        <f>_xlfn.XLOOKUP($A1006,Load!$B:$B,Load!J:J,0,)</f>
        <v>Seasonal Graphics (Like Bat, Ghost, Pumpkin, Fall Leaves, Eyeballs, etc.)</v>
      </c>
      <c r="J1006" t="str">
        <f>_xlfn.XLOOKUP($A1006,Load!$B:$B,Load!K:K,0,)</f>
        <v>Fun Size / Treat Size</v>
      </c>
      <c r="K1006" t="str">
        <f>_xlfn.XLOOKUP($A1006,Load!$B:$B,Load!L:L,0,)</f>
        <v>Regular/Original Wrapping</v>
      </c>
      <c r="L1006" t="str">
        <f>_xlfn.XLOOKUP($A1006,Load!$B:$B,Load!M:M,0,)</f>
        <v>Multiple Brands / Variety Flavors or Form</v>
      </c>
    </row>
    <row r="1007" spans="1:12" x14ac:dyDescent="0.25">
      <c r="B1007">
        <f>_xlfn.XLOOKUP($A1007,Load!$B:$B,Load!C:C,0,)</f>
        <v>0</v>
      </c>
      <c r="C1007">
        <f>_xlfn.XLOOKUP($A1007,Load!$B:$B,Load!D:D,0,)</f>
        <v>0</v>
      </c>
      <c r="D1007">
        <f>_xlfn.XLOOKUP($A1007,Load!$B:$B,Load!E:E,0,)</f>
        <v>0</v>
      </c>
      <c r="E1007">
        <f>_xlfn.XLOOKUP($A1007,Load!$B:$B,Load!F:F,0,)</f>
        <v>0</v>
      </c>
      <c r="F1007">
        <f>_xlfn.XLOOKUP($A1007,Load!$B:$B,Load!G:G,0,)</f>
        <v>0</v>
      </c>
      <c r="G1007">
        <f>_xlfn.XLOOKUP($A1007,Load!$B:$B,Load!H:H,0,)</f>
        <v>0</v>
      </c>
      <c r="H1007">
        <f>_xlfn.XLOOKUP($A1007,Load!$B:$B,Load!I:I,0,)</f>
        <v>0</v>
      </c>
      <c r="I1007">
        <f>_xlfn.XLOOKUP($A1007,Load!$B:$B,Load!J:J,0,)</f>
        <v>0</v>
      </c>
      <c r="J1007">
        <f>_xlfn.XLOOKUP($A1007,Load!$B:$B,Load!K:K,0,)</f>
        <v>0</v>
      </c>
      <c r="K1007">
        <f>_xlfn.XLOOKUP($A1007,Load!$B:$B,Load!L:L,0,)</f>
        <v>0</v>
      </c>
      <c r="L1007">
        <f>_xlfn.XLOOKUP($A1007,Load!$B:$B,Load!M:M,0,)</f>
        <v>0</v>
      </c>
    </row>
    <row r="1008" spans="1:12" x14ac:dyDescent="0.25">
      <c r="B1008">
        <f>_xlfn.XLOOKUP($A1008,Load!$B:$B,Load!C:C,0,)</f>
        <v>0</v>
      </c>
      <c r="C1008">
        <f>_xlfn.XLOOKUP($A1008,Load!$B:$B,Load!D:D,0,)</f>
        <v>0</v>
      </c>
      <c r="D1008">
        <f>_xlfn.XLOOKUP($A1008,Load!$B:$B,Load!E:E,0,)</f>
        <v>0</v>
      </c>
      <c r="E1008">
        <f>_xlfn.XLOOKUP($A1008,Load!$B:$B,Load!F:F,0,)</f>
        <v>0</v>
      </c>
      <c r="F1008">
        <f>_xlfn.XLOOKUP($A1008,Load!$B:$B,Load!G:G,0,)</f>
        <v>0</v>
      </c>
      <c r="G1008">
        <f>_xlfn.XLOOKUP($A1008,Load!$B:$B,Load!H:H,0,)</f>
        <v>0</v>
      </c>
      <c r="H1008">
        <f>_xlfn.XLOOKUP($A1008,Load!$B:$B,Load!I:I,0,)</f>
        <v>0</v>
      </c>
      <c r="I1008">
        <f>_xlfn.XLOOKUP($A1008,Load!$B:$B,Load!J:J,0,)</f>
        <v>0</v>
      </c>
      <c r="J1008">
        <f>_xlfn.XLOOKUP($A1008,Load!$B:$B,Load!K:K,0,)</f>
        <v>0</v>
      </c>
      <c r="K1008">
        <f>_xlfn.XLOOKUP($A1008,Load!$B:$B,Load!L:L,0,)</f>
        <v>0</v>
      </c>
      <c r="L1008">
        <f>_xlfn.XLOOKUP($A1008,Load!$B:$B,Load!M:M,0,)</f>
        <v>0</v>
      </c>
    </row>
    <row r="1009" spans="1:12" x14ac:dyDescent="0.25">
      <c r="B1009">
        <f>_xlfn.XLOOKUP($A1009,Load!$B:$B,Load!C:C,0,)</f>
        <v>0</v>
      </c>
      <c r="C1009">
        <f>_xlfn.XLOOKUP($A1009,Load!$B:$B,Load!D:D,0,)</f>
        <v>0</v>
      </c>
      <c r="D1009">
        <f>_xlfn.XLOOKUP($A1009,Load!$B:$B,Load!E:E,0,)</f>
        <v>0</v>
      </c>
      <c r="E1009">
        <f>_xlfn.XLOOKUP($A1009,Load!$B:$B,Load!F:F,0,)</f>
        <v>0</v>
      </c>
      <c r="F1009">
        <f>_xlfn.XLOOKUP($A1009,Load!$B:$B,Load!G:G,0,)</f>
        <v>0</v>
      </c>
      <c r="G1009">
        <f>_xlfn.XLOOKUP($A1009,Load!$B:$B,Load!H:H,0,)</f>
        <v>0</v>
      </c>
      <c r="H1009">
        <f>_xlfn.XLOOKUP($A1009,Load!$B:$B,Load!I:I,0,)</f>
        <v>0</v>
      </c>
      <c r="I1009">
        <f>_xlfn.XLOOKUP($A1009,Load!$B:$B,Load!J:J,0,)</f>
        <v>0</v>
      </c>
      <c r="J1009">
        <f>_xlfn.XLOOKUP($A1009,Load!$B:$B,Load!K:K,0,)</f>
        <v>0</v>
      </c>
      <c r="K1009">
        <f>_xlfn.XLOOKUP($A1009,Load!$B:$B,Load!L:L,0,)</f>
        <v>0</v>
      </c>
      <c r="L1009">
        <f>_xlfn.XLOOKUP($A1009,Load!$B:$B,Load!M:M,0,)</f>
        <v>0</v>
      </c>
    </row>
    <row r="1010" spans="1:12" x14ac:dyDescent="0.25">
      <c r="B1010">
        <f>_xlfn.XLOOKUP($A1010,Load!$B:$B,Load!C:C,0,)</f>
        <v>0</v>
      </c>
      <c r="C1010">
        <f>_xlfn.XLOOKUP($A1010,Load!$B:$B,Load!D:D,0,)</f>
        <v>0</v>
      </c>
      <c r="D1010">
        <f>_xlfn.XLOOKUP($A1010,Load!$B:$B,Load!E:E,0,)</f>
        <v>0</v>
      </c>
      <c r="E1010">
        <f>_xlfn.XLOOKUP($A1010,Load!$B:$B,Load!F:F,0,)</f>
        <v>0</v>
      </c>
      <c r="F1010">
        <f>_xlfn.XLOOKUP($A1010,Load!$B:$B,Load!G:G,0,)</f>
        <v>0</v>
      </c>
      <c r="G1010">
        <f>_xlfn.XLOOKUP($A1010,Load!$B:$B,Load!H:H,0,)</f>
        <v>0</v>
      </c>
      <c r="H1010">
        <f>_xlfn.XLOOKUP($A1010,Load!$B:$B,Load!I:I,0,)</f>
        <v>0</v>
      </c>
      <c r="I1010">
        <f>_xlfn.XLOOKUP($A1010,Load!$B:$B,Load!J:J,0,)</f>
        <v>0</v>
      </c>
      <c r="J1010">
        <f>_xlfn.XLOOKUP($A1010,Load!$B:$B,Load!K:K,0,)</f>
        <v>0</v>
      </c>
      <c r="K1010">
        <f>_xlfn.XLOOKUP($A1010,Load!$B:$B,Load!L:L,0,)</f>
        <v>0</v>
      </c>
      <c r="L1010">
        <f>_xlfn.XLOOKUP($A1010,Load!$B:$B,Load!M:M,0,)</f>
        <v>0</v>
      </c>
    </row>
    <row r="1011" spans="1:12" x14ac:dyDescent="0.25">
      <c r="B1011">
        <f>_xlfn.XLOOKUP($A1011,Load!$B:$B,Load!C:C,0,)</f>
        <v>0</v>
      </c>
      <c r="C1011">
        <f>_xlfn.XLOOKUP($A1011,Load!$B:$B,Load!D:D,0,)</f>
        <v>0</v>
      </c>
      <c r="D1011">
        <f>_xlfn.XLOOKUP($A1011,Load!$B:$B,Load!E:E,0,)</f>
        <v>0</v>
      </c>
      <c r="E1011">
        <f>_xlfn.XLOOKUP($A1011,Load!$B:$B,Load!F:F,0,)</f>
        <v>0</v>
      </c>
      <c r="F1011">
        <f>_xlfn.XLOOKUP($A1011,Load!$B:$B,Load!G:G,0,)</f>
        <v>0</v>
      </c>
      <c r="G1011">
        <f>_xlfn.XLOOKUP($A1011,Load!$B:$B,Load!H:H,0,)</f>
        <v>0</v>
      </c>
      <c r="H1011">
        <f>_xlfn.XLOOKUP($A1011,Load!$B:$B,Load!I:I,0,)</f>
        <v>0</v>
      </c>
      <c r="I1011">
        <f>_xlfn.XLOOKUP($A1011,Load!$B:$B,Load!J:J,0,)</f>
        <v>0</v>
      </c>
      <c r="J1011">
        <f>_xlfn.XLOOKUP($A1011,Load!$B:$B,Load!K:K,0,)</f>
        <v>0</v>
      </c>
      <c r="K1011">
        <f>_xlfn.XLOOKUP($A1011,Load!$B:$B,Load!L:L,0,)</f>
        <v>0</v>
      </c>
      <c r="L1011">
        <f>_xlfn.XLOOKUP($A1011,Load!$B:$B,Load!M:M,0,)</f>
        <v>0</v>
      </c>
    </row>
    <row r="1012" spans="1:12" x14ac:dyDescent="0.25">
      <c r="A1012" t="s">
        <v>136</v>
      </c>
      <c r="B1012" t="str">
        <f>_xlfn.XLOOKUP($A1012,Load!$B:$B,Load!C:C,0,)</f>
        <v>Hershey's Variety Pack + Haribo</v>
      </c>
      <c r="C1012" t="str">
        <f>_xlfn.XLOOKUP($A1012,Load!$B:$B,Load!D:D,0,)</f>
        <v>Non-Chocolate Candy Only</v>
      </c>
      <c r="D1012" t="str">
        <f>_xlfn.XLOOKUP($A1012,Load!$B:$B,Load!E:E,0,)</f>
        <v>Variety / Mixed Flavors (Fruity, Sour, Seasonal Flavors)</v>
      </c>
      <c r="E1012" t="str">
        <f>_xlfn.XLOOKUP($A1012,Load!$B:$B,Load!F:F,0,)</f>
        <v>Mixed / Combo Packs (Gummy, Chewy, Taffy, etc.)</v>
      </c>
      <c r="F1012" t="str">
        <f>_xlfn.XLOOKUP($A1012,Load!$B:$B,Load!G:G,0,)</f>
        <v>Medium Multipack (40–80 ct)</v>
      </c>
      <c r="G1012" t="str">
        <f>_xlfn.XLOOKUP($A1012,Load!$B:$B,Load!H:H,0,)</f>
        <v>Laydown Bag</v>
      </c>
      <c r="H1012" t="str">
        <f>_xlfn.XLOOKUP($A1012,Load!$B:$B,Load!I:I,0,)</f>
        <v>Everyday Candy Shapes (like Original, Gummy bear, Fruit, Jewels, etc.)</v>
      </c>
      <c r="I1012" t="str">
        <f>_xlfn.XLOOKUP($A1012,Load!$B:$B,Load!J:J,0,)</f>
        <v>Seasonal Graphics (Like Bat, Ghost, Pumpkin, Fall Leaves, Eyeballs, etc.)</v>
      </c>
      <c r="J1012" t="str">
        <f>_xlfn.XLOOKUP($A1012,Load!$B:$B,Load!K:K,0,)</f>
        <v xml:space="preserve">Variety Candy Sizes </v>
      </c>
      <c r="K1012" t="str">
        <f>_xlfn.XLOOKUP($A1012,Load!$B:$B,Load!L:L,0,)</f>
        <v>Regular/Original Wrapping</v>
      </c>
      <c r="L1012" t="str">
        <f>_xlfn.XLOOKUP($A1012,Load!$B:$B,Load!M:M,0,)</f>
        <v>Multiple Brands / Variety Flavors or Form</v>
      </c>
    </row>
    <row r="1013" spans="1:12" x14ac:dyDescent="0.25">
      <c r="B1013">
        <f>_xlfn.XLOOKUP($A1013,Load!$B:$B,Load!C:C,0,)</f>
        <v>0</v>
      </c>
      <c r="C1013">
        <f>_xlfn.XLOOKUP($A1013,Load!$B:$B,Load!D:D,0,)</f>
        <v>0</v>
      </c>
      <c r="D1013">
        <f>_xlfn.XLOOKUP($A1013,Load!$B:$B,Load!E:E,0,)</f>
        <v>0</v>
      </c>
      <c r="E1013">
        <f>_xlfn.XLOOKUP($A1013,Load!$B:$B,Load!F:F,0,)</f>
        <v>0</v>
      </c>
      <c r="F1013">
        <f>_xlfn.XLOOKUP($A1013,Load!$B:$B,Load!G:G,0,)</f>
        <v>0</v>
      </c>
      <c r="G1013">
        <f>_xlfn.XLOOKUP($A1013,Load!$B:$B,Load!H:H,0,)</f>
        <v>0</v>
      </c>
      <c r="H1013">
        <f>_xlfn.XLOOKUP($A1013,Load!$B:$B,Load!I:I,0,)</f>
        <v>0</v>
      </c>
      <c r="I1013">
        <f>_xlfn.XLOOKUP($A1013,Load!$B:$B,Load!J:J,0,)</f>
        <v>0</v>
      </c>
      <c r="J1013">
        <f>_xlfn.XLOOKUP($A1013,Load!$B:$B,Load!K:K,0,)</f>
        <v>0</v>
      </c>
      <c r="K1013">
        <f>_xlfn.XLOOKUP($A1013,Load!$B:$B,Load!L:L,0,)</f>
        <v>0</v>
      </c>
      <c r="L1013">
        <f>_xlfn.XLOOKUP($A1013,Load!$B:$B,Load!M:M,0,)</f>
        <v>0</v>
      </c>
    </row>
    <row r="1014" spans="1:12" x14ac:dyDescent="0.25">
      <c r="B1014">
        <f>_xlfn.XLOOKUP($A1014,Load!$B:$B,Load!C:C,0,)</f>
        <v>0</v>
      </c>
      <c r="C1014">
        <f>_xlfn.XLOOKUP($A1014,Load!$B:$B,Load!D:D,0,)</f>
        <v>0</v>
      </c>
      <c r="D1014">
        <f>_xlfn.XLOOKUP($A1014,Load!$B:$B,Load!E:E,0,)</f>
        <v>0</v>
      </c>
      <c r="E1014">
        <f>_xlfn.XLOOKUP($A1014,Load!$B:$B,Load!F:F,0,)</f>
        <v>0</v>
      </c>
      <c r="F1014">
        <f>_xlfn.XLOOKUP($A1014,Load!$B:$B,Load!G:G,0,)</f>
        <v>0</v>
      </c>
      <c r="G1014">
        <f>_xlfn.XLOOKUP($A1014,Load!$B:$B,Load!H:H,0,)</f>
        <v>0</v>
      </c>
      <c r="H1014">
        <f>_xlfn.XLOOKUP($A1014,Load!$B:$B,Load!I:I,0,)</f>
        <v>0</v>
      </c>
      <c r="I1014">
        <f>_xlfn.XLOOKUP($A1014,Load!$B:$B,Load!J:J,0,)</f>
        <v>0</v>
      </c>
      <c r="J1014">
        <f>_xlfn.XLOOKUP($A1014,Load!$B:$B,Load!K:K,0,)</f>
        <v>0</v>
      </c>
      <c r="K1014">
        <f>_xlfn.XLOOKUP($A1014,Load!$B:$B,Load!L:L,0,)</f>
        <v>0</v>
      </c>
      <c r="L1014">
        <f>_xlfn.XLOOKUP($A1014,Load!$B:$B,Load!M:M,0,)</f>
        <v>0</v>
      </c>
    </row>
    <row r="1015" spans="1:12" x14ac:dyDescent="0.25">
      <c r="B1015">
        <f>_xlfn.XLOOKUP($A1015,Load!$B:$B,Load!C:C,0,)</f>
        <v>0</v>
      </c>
      <c r="C1015">
        <f>_xlfn.XLOOKUP($A1015,Load!$B:$B,Load!D:D,0,)</f>
        <v>0</v>
      </c>
      <c r="D1015">
        <f>_xlfn.XLOOKUP($A1015,Load!$B:$B,Load!E:E,0,)</f>
        <v>0</v>
      </c>
      <c r="E1015">
        <f>_xlfn.XLOOKUP($A1015,Load!$B:$B,Load!F:F,0,)</f>
        <v>0</v>
      </c>
      <c r="F1015">
        <f>_xlfn.XLOOKUP($A1015,Load!$B:$B,Load!G:G,0,)</f>
        <v>0</v>
      </c>
      <c r="G1015">
        <f>_xlfn.XLOOKUP($A1015,Load!$B:$B,Load!H:H,0,)</f>
        <v>0</v>
      </c>
      <c r="H1015">
        <f>_xlfn.XLOOKUP($A1015,Load!$B:$B,Load!I:I,0,)</f>
        <v>0</v>
      </c>
      <c r="I1015">
        <f>_xlfn.XLOOKUP($A1015,Load!$B:$B,Load!J:J,0,)</f>
        <v>0</v>
      </c>
      <c r="J1015">
        <f>_xlfn.XLOOKUP($A1015,Load!$B:$B,Load!K:K,0,)</f>
        <v>0</v>
      </c>
      <c r="K1015">
        <f>_xlfn.XLOOKUP($A1015,Load!$B:$B,Load!L:L,0,)</f>
        <v>0</v>
      </c>
      <c r="L1015">
        <f>_xlfn.XLOOKUP($A1015,Load!$B:$B,Load!M:M,0,)</f>
        <v>0</v>
      </c>
    </row>
    <row r="1016" spans="1:12" x14ac:dyDescent="0.25">
      <c r="A1016" t="s">
        <v>146</v>
      </c>
      <c r="B1016" t="str">
        <f>_xlfn.XLOOKUP($A1016,Load!$B:$B,Load!C:C,0,)</f>
        <v>Hi Chew</v>
      </c>
      <c r="C1016" t="str">
        <f>_xlfn.XLOOKUP($A1016,Load!$B:$B,Load!D:D,0,)</f>
        <v>Non-Chocolate Candy Only</v>
      </c>
      <c r="D1016" t="str">
        <f>_xlfn.XLOOKUP($A1016,Load!$B:$B,Load!E:E,0,)</f>
        <v>Fruit Flavor (Cherry, Grape, Apple, Citrus, Tropical Fruit)</v>
      </c>
      <c r="E1016" t="str">
        <f>_xlfn.XLOOKUP($A1016,Load!$B:$B,Load!F:F,0,)</f>
        <v>Gummy</v>
      </c>
      <c r="F1016" t="str">
        <f>_xlfn.XLOOKUP($A1016,Load!$B:$B,Load!G:G,0,)</f>
        <v>Medium Multipack (40–80 ct)</v>
      </c>
      <c r="G1016" t="str">
        <f>_xlfn.XLOOKUP($A1016,Load!$B:$B,Load!H:H,0,)</f>
        <v>Stand-Up Bag</v>
      </c>
      <c r="H1016" t="str">
        <f>_xlfn.XLOOKUP($A1016,Load!$B:$B,Load!I:I,0,)</f>
        <v>Everyday Candy Shapes (like Original, Gummy bear, Fruit, Jewels, etc.)</v>
      </c>
      <c r="I1016" t="str">
        <f>_xlfn.XLOOKUP($A1016,Load!$B:$B,Load!J:J,0,)</f>
        <v>Seasonal Graphics (Like Bat, Ghost, Pumpkin, Fall Leaves, Eyeballs, etc.)</v>
      </c>
      <c r="J1016" t="str">
        <f>_xlfn.XLOOKUP($A1016,Load!$B:$B,Load!K:K,0,)</f>
        <v>Fun Size / Treat Size</v>
      </c>
      <c r="K1016" t="str">
        <f>_xlfn.XLOOKUP($A1016,Load!$B:$B,Load!L:L,0,)</f>
        <v>Regular/Original Wrapping</v>
      </c>
      <c r="L1016" t="str">
        <f>_xlfn.XLOOKUP($A1016,Load!$B:$B,Load!M:M,0,)</f>
        <v>Multiple Brands / Variety Flavors or Form</v>
      </c>
    </row>
    <row r="1017" spans="1:12" x14ac:dyDescent="0.25">
      <c r="B1017">
        <f>_xlfn.XLOOKUP($A1017,Load!$B:$B,Load!C:C,0,)</f>
        <v>0</v>
      </c>
      <c r="C1017">
        <f>_xlfn.XLOOKUP($A1017,Load!$B:$B,Load!D:D,0,)</f>
        <v>0</v>
      </c>
      <c r="D1017">
        <f>_xlfn.XLOOKUP($A1017,Load!$B:$B,Load!E:E,0,)</f>
        <v>0</v>
      </c>
      <c r="E1017">
        <f>_xlfn.XLOOKUP($A1017,Load!$B:$B,Load!F:F,0,)</f>
        <v>0</v>
      </c>
      <c r="F1017">
        <f>_xlfn.XLOOKUP($A1017,Load!$B:$B,Load!G:G,0,)</f>
        <v>0</v>
      </c>
      <c r="G1017">
        <f>_xlfn.XLOOKUP($A1017,Load!$B:$B,Load!H:H,0,)</f>
        <v>0</v>
      </c>
      <c r="H1017">
        <f>_xlfn.XLOOKUP($A1017,Load!$B:$B,Load!I:I,0,)</f>
        <v>0</v>
      </c>
      <c r="I1017">
        <f>_xlfn.XLOOKUP($A1017,Load!$B:$B,Load!J:J,0,)</f>
        <v>0</v>
      </c>
      <c r="J1017">
        <f>_xlfn.XLOOKUP($A1017,Load!$B:$B,Load!K:K,0,)</f>
        <v>0</v>
      </c>
      <c r="K1017">
        <f>_xlfn.XLOOKUP($A1017,Load!$B:$B,Load!L:L,0,)</f>
        <v>0</v>
      </c>
      <c r="L1017">
        <f>_xlfn.XLOOKUP($A1017,Load!$B:$B,Load!M:M,0,)</f>
        <v>0</v>
      </c>
    </row>
    <row r="1018" spans="1:12" x14ac:dyDescent="0.25">
      <c r="B1018">
        <f>_xlfn.XLOOKUP($A1018,Load!$B:$B,Load!C:C,0,)</f>
        <v>0</v>
      </c>
      <c r="C1018">
        <f>_xlfn.XLOOKUP($A1018,Load!$B:$B,Load!D:D,0,)</f>
        <v>0</v>
      </c>
      <c r="D1018">
        <f>_xlfn.XLOOKUP($A1018,Load!$B:$B,Load!E:E,0,)</f>
        <v>0</v>
      </c>
      <c r="E1018">
        <f>_xlfn.XLOOKUP($A1018,Load!$B:$B,Load!F:F,0,)</f>
        <v>0</v>
      </c>
      <c r="F1018">
        <f>_xlfn.XLOOKUP($A1018,Load!$B:$B,Load!G:G,0,)</f>
        <v>0</v>
      </c>
      <c r="G1018">
        <f>_xlfn.XLOOKUP($A1018,Load!$B:$B,Load!H:H,0,)</f>
        <v>0</v>
      </c>
      <c r="H1018">
        <f>_xlfn.XLOOKUP($A1018,Load!$B:$B,Load!I:I,0,)</f>
        <v>0</v>
      </c>
      <c r="I1018">
        <f>_xlfn.XLOOKUP($A1018,Load!$B:$B,Load!J:J,0,)</f>
        <v>0</v>
      </c>
      <c r="J1018">
        <f>_xlfn.XLOOKUP($A1018,Load!$B:$B,Load!K:K,0,)</f>
        <v>0</v>
      </c>
      <c r="K1018">
        <f>_xlfn.XLOOKUP($A1018,Load!$B:$B,Load!L:L,0,)</f>
        <v>0</v>
      </c>
      <c r="L1018">
        <f>_xlfn.XLOOKUP($A1018,Load!$B:$B,Load!M:M,0,)</f>
        <v>0</v>
      </c>
    </row>
    <row r="1019" spans="1:12" x14ac:dyDescent="0.25">
      <c r="B1019">
        <f>_xlfn.XLOOKUP($A1019,Load!$B:$B,Load!C:C,0,)</f>
        <v>0</v>
      </c>
      <c r="C1019">
        <f>_xlfn.XLOOKUP($A1019,Load!$B:$B,Load!D:D,0,)</f>
        <v>0</v>
      </c>
      <c r="D1019">
        <f>_xlfn.XLOOKUP($A1019,Load!$B:$B,Load!E:E,0,)</f>
        <v>0</v>
      </c>
      <c r="E1019">
        <f>_xlfn.XLOOKUP($A1019,Load!$B:$B,Load!F:F,0,)</f>
        <v>0</v>
      </c>
      <c r="F1019">
        <f>_xlfn.XLOOKUP($A1019,Load!$B:$B,Load!G:G,0,)</f>
        <v>0</v>
      </c>
      <c r="G1019">
        <f>_xlfn.XLOOKUP($A1019,Load!$B:$B,Load!H:H,0,)</f>
        <v>0</v>
      </c>
      <c r="H1019">
        <f>_xlfn.XLOOKUP($A1019,Load!$B:$B,Load!I:I,0,)</f>
        <v>0</v>
      </c>
      <c r="I1019">
        <f>_xlfn.XLOOKUP($A1019,Load!$B:$B,Load!J:J,0,)</f>
        <v>0</v>
      </c>
      <c r="J1019">
        <f>_xlfn.XLOOKUP($A1019,Load!$B:$B,Load!K:K,0,)</f>
        <v>0</v>
      </c>
      <c r="K1019">
        <f>_xlfn.XLOOKUP($A1019,Load!$B:$B,Load!L:L,0,)</f>
        <v>0</v>
      </c>
      <c r="L1019">
        <f>_xlfn.XLOOKUP($A1019,Load!$B:$B,Load!M:M,0,)</f>
        <v>0</v>
      </c>
    </row>
    <row r="1020" spans="1:12" x14ac:dyDescent="0.25">
      <c r="A1020" t="s">
        <v>82</v>
      </c>
      <c r="B1020" t="str">
        <f>_xlfn.XLOOKUP($A1020,Load!$B:$B,Load!C:C,0,)</f>
        <v>Ferrara Variety Pack</v>
      </c>
      <c r="C1020" t="str">
        <f>_xlfn.XLOOKUP($A1020,Load!$B:$B,Load!D:D,0,)</f>
        <v>Non-Chocolate Candy Only</v>
      </c>
      <c r="D1020" t="str">
        <f>_xlfn.XLOOKUP($A1020,Load!$B:$B,Load!E:E,0,)</f>
        <v>Variety / Mixed Flavors (Fruity, Sour, Seasonal Flavors)</v>
      </c>
      <c r="E1020" t="str">
        <f>_xlfn.XLOOKUP($A1020,Load!$B:$B,Load!F:F,0,)</f>
        <v>Mixed / Combo Packs (Gummy, Chewy, Taffy, etc.)</v>
      </c>
      <c r="F1020" t="str">
        <f>_xlfn.XLOOKUP($A1020,Load!$B:$B,Load!G:G,0,)</f>
        <v>Large Multipack (More than 80 ct)</v>
      </c>
      <c r="G1020" t="str">
        <f>_xlfn.XLOOKUP($A1020,Load!$B:$B,Load!H:H,0,)</f>
        <v>Stand-Up Bag</v>
      </c>
      <c r="H1020" t="str">
        <f>_xlfn.XLOOKUP($A1020,Load!$B:$B,Load!I:I,0,)</f>
        <v>Everyday Candy Shapes (like Original, Gummy bear, Fruit, Jewels, etc.)</v>
      </c>
      <c r="I1020" t="str">
        <f>_xlfn.XLOOKUP($A1020,Load!$B:$B,Load!J:J,0,)</f>
        <v>Seasonal Graphics (Like Bat, Ghost, Pumpkin, Fall Leaves, Eyeballs, etc.)</v>
      </c>
      <c r="J1020" t="str">
        <f>_xlfn.XLOOKUP($A1020,Load!$B:$B,Load!K:K,0,)</f>
        <v xml:space="preserve">Variety Candy Sizes </v>
      </c>
      <c r="K1020" t="str">
        <f>_xlfn.XLOOKUP($A1020,Load!$B:$B,Load!L:L,0,)</f>
        <v>Regular/Original Wrapping</v>
      </c>
      <c r="L1020" t="str">
        <f>_xlfn.XLOOKUP($A1020,Load!$B:$B,Load!M:M,0,)</f>
        <v>Multiple Brands / Variety Flavors or Form</v>
      </c>
    </row>
    <row r="1021" spans="1:12" x14ac:dyDescent="0.25">
      <c r="A1021" t="s">
        <v>221</v>
      </c>
      <c r="B1021" t="str">
        <f>_xlfn.XLOOKUP($A1021,Load!$B:$B,Load!C:C,0,)</f>
        <v>Hershey's Variety Pack + Haribo</v>
      </c>
      <c r="C1021" t="str">
        <f>_xlfn.XLOOKUP($A1021,Load!$B:$B,Load!D:D,0,)</f>
        <v>Mix of Chocolate and Non-Chocolate Candy</v>
      </c>
      <c r="D1021" t="str">
        <f>_xlfn.XLOOKUP($A1021,Load!$B:$B,Load!E:E,0,)</f>
        <v>Variety / Mixed Flavors (Fruity, Sour, Seasonal Flavors)</v>
      </c>
      <c r="E1021" t="str">
        <f>_xlfn.XLOOKUP($A1021,Load!$B:$B,Load!F:F,0,)</f>
        <v>Mixed / Combo Packs (Gummy, Chewy, Taffy, etc.)</v>
      </c>
      <c r="F1021" t="str">
        <f>_xlfn.XLOOKUP($A1021,Load!$B:$B,Load!G:G,0,)</f>
        <v>Large Multipack (More than 80 ct)</v>
      </c>
      <c r="G1021" t="str">
        <f>_xlfn.XLOOKUP($A1021,Load!$B:$B,Load!H:H,0,)</f>
        <v>Stand-Up Bag</v>
      </c>
      <c r="H1021" t="str">
        <f>_xlfn.XLOOKUP($A1021,Load!$B:$B,Load!I:I,0,)</f>
        <v>Everyday Candy Shapes (like Original, Gummy bear, Fruit, Jewels, etc.)</v>
      </c>
      <c r="I1021" t="str">
        <f>_xlfn.XLOOKUP($A1021,Load!$B:$B,Load!J:J,0,)</f>
        <v>Seasonal Graphics (Like Bat, Ghost, Pumpkin, Fall Leaves, Eyeballs, etc.)</v>
      </c>
      <c r="J1021" t="str">
        <f>_xlfn.XLOOKUP($A1021,Load!$B:$B,Load!K:K,0,)</f>
        <v xml:space="preserve">Variety Candy Sizes </v>
      </c>
      <c r="K1021" t="str">
        <f>_xlfn.XLOOKUP($A1021,Load!$B:$B,Load!L:L,0,)</f>
        <v>Regular/Original Wrapping</v>
      </c>
      <c r="L1021" t="str">
        <f>_xlfn.XLOOKUP($A1021,Load!$B:$B,Load!M:M,0,)</f>
        <v>Multiple Brands / Variety Flavors or Form</v>
      </c>
    </row>
    <row r="1022" spans="1:12" x14ac:dyDescent="0.25">
      <c r="A1022" t="s">
        <v>8</v>
      </c>
      <c r="B1022" t="str">
        <f>_xlfn.XLOOKUP($A1022,Load!$B:$B,Load!C:C,0,)</f>
        <v>Airheads</v>
      </c>
      <c r="C1022" t="str">
        <f>_xlfn.XLOOKUP($A1022,Load!$B:$B,Load!D:D,0,)</f>
        <v>Non-Chocolate Candy Only</v>
      </c>
      <c r="D1022" t="str">
        <f>_xlfn.XLOOKUP($A1022,Load!$B:$B,Load!E:E,0,)</f>
        <v>Fruit Flavor (Cherry, Grape, Apple, Citrus, Tropical Fruit)</v>
      </c>
      <c r="E1022" t="str">
        <f>_xlfn.XLOOKUP($A1022,Load!$B:$B,Load!F:F,0,)</f>
        <v>Chewy</v>
      </c>
      <c r="F1022" t="str">
        <f>_xlfn.XLOOKUP($A1022,Load!$B:$B,Load!G:G,0,)</f>
        <v>Small Multipack (Less than 40 ct)</v>
      </c>
      <c r="G1022" t="str">
        <f>_xlfn.XLOOKUP($A1022,Load!$B:$B,Load!H:H,0,)</f>
        <v>Laydown Bag</v>
      </c>
      <c r="H1022" t="str">
        <f>_xlfn.XLOOKUP($A1022,Load!$B:$B,Load!I:I,0,)</f>
        <v>Everyday Candy Shapes (like Original, Gummy bear, Fruit, Jewels, etc.)</v>
      </c>
      <c r="I1022" t="str">
        <f>_xlfn.XLOOKUP($A1022,Load!$B:$B,Load!J:J,0,)</f>
        <v>Everyday Graphics</v>
      </c>
      <c r="J1022" t="str">
        <f>_xlfn.XLOOKUP($A1022,Load!$B:$B,Load!K:K,0,)</f>
        <v>Fun Size / Treat Size</v>
      </c>
      <c r="K1022" t="str">
        <f>_xlfn.XLOOKUP($A1022,Load!$B:$B,Load!L:L,0,)</f>
        <v>Regular/Original Wrapping</v>
      </c>
      <c r="L1022" t="str">
        <f>_xlfn.XLOOKUP($A1022,Load!$B:$B,Load!M:M,0,)</f>
        <v>Single Brand / Variety Flavors or Form</v>
      </c>
    </row>
    <row r="1023" spans="1:12" x14ac:dyDescent="0.25">
      <c r="A1023" t="s">
        <v>222</v>
      </c>
      <c r="B1023" t="str">
        <f>_xlfn.XLOOKUP($A1023,Load!$B:$B,Load!C:C,0,)</f>
        <v>Nerds</v>
      </c>
      <c r="C1023" t="str">
        <f>_xlfn.XLOOKUP($A1023,Load!$B:$B,Load!D:D,0,)</f>
        <v>Non-Chocolate Candy Only</v>
      </c>
      <c r="D1023" t="str">
        <f>_xlfn.XLOOKUP($A1023,Load!$B:$B,Load!E:E,0,)</f>
        <v>Sweet</v>
      </c>
      <c r="E1023" t="str">
        <f>_xlfn.XLOOKUP($A1023,Load!$B:$B,Load!F:F,0,)</f>
        <v>Gummy</v>
      </c>
      <c r="F1023" t="str">
        <f>_xlfn.XLOOKUP($A1023,Load!$B:$B,Load!G:G,0,)</f>
        <v>Small Multipack (Less than 40 ct)</v>
      </c>
      <c r="G1023" t="str">
        <f>_xlfn.XLOOKUP($A1023,Load!$B:$B,Load!H:H,0,)</f>
        <v>Stand-Up Bag</v>
      </c>
      <c r="H1023" t="str">
        <f>_xlfn.XLOOKUP($A1023,Load!$B:$B,Load!I:I,0,)</f>
        <v>Everyday Candy Shapes (like Original, Gummy bear, Fruit, Jewels, etc.)</v>
      </c>
      <c r="I1023" t="str">
        <f>_xlfn.XLOOKUP($A1023,Load!$B:$B,Load!J:J,0,)</f>
        <v>Seasonal Graphics (Like Bat, Ghost, Pumpkin, Fall Leaves, Eyeballs, etc.)</v>
      </c>
      <c r="J1023" t="str">
        <f>_xlfn.XLOOKUP($A1023,Load!$B:$B,Load!K:K,0,)</f>
        <v>Fun Size / Treat Size</v>
      </c>
      <c r="K1023" t="str">
        <f>_xlfn.XLOOKUP($A1023,Load!$B:$B,Load!L:L,0,)</f>
        <v>Regular/Original Wrapping</v>
      </c>
      <c r="L1023" t="str">
        <f>_xlfn.XLOOKUP($A1023,Load!$B:$B,Load!M:M,0,)</f>
        <v>Single Brand / Variety Flavors or Form</v>
      </c>
    </row>
    <row r="1024" spans="1:12" x14ac:dyDescent="0.25">
      <c r="A1024" t="s">
        <v>289</v>
      </c>
      <c r="B1024" t="str">
        <f>_xlfn.XLOOKUP($A1024,Load!$B:$B,Load!C:C,0,)</f>
        <v>Tootsie</v>
      </c>
      <c r="C1024" t="str">
        <f>_xlfn.XLOOKUP($A1024,Load!$B:$B,Load!D:D,0,)</f>
        <v>Mix of Chocolate and Non-Chocolate Candy</v>
      </c>
      <c r="D1024" t="str">
        <f>_xlfn.XLOOKUP($A1024,Load!$B:$B,Load!E:E,0,)</f>
        <v>Variety / Mixed Flavors (Fruity, Sour, Seasonal Flavors)</v>
      </c>
      <c r="E1024" t="str">
        <f>_xlfn.XLOOKUP($A1024,Load!$B:$B,Load!F:F,0,)</f>
        <v>Mixed / Combo Packs (Gummy, Chewy, Taffy, etc.)</v>
      </c>
      <c r="F1024" t="str">
        <f>_xlfn.XLOOKUP($A1024,Load!$B:$B,Load!G:G,0,)</f>
        <v>Large Multipack (More than 80 ct)</v>
      </c>
      <c r="G1024" t="str">
        <f>_xlfn.XLOOKUP($A1024,Load!$B:$B,Load!H:H,0,)</f>
        <v>Laydown Bag</v>
      </c>
      <c r="H1024" t="str">
        <f>_xlfn.XLOOKUP($A1024,Load!$B:$B,Load!I:I,0,)</f>
        <v>Everyday Candy Shapes (like Original, Gummy bear, Fruit, Jewels, etc.)</v>
      </c>
      <c r="I1024" t="str">
        <f>_xlfn.XLOOKUP($A1024,Load!$B:$B,Load!J:J,0,)</f>
        <v>Everyday Graphics</v>
      </c>
      <c r="J1024" t="str">
        <f>_xlfn.XLOOKUP($A1024,Load!$B:$B,Load!K:K,0,)</f>
        <v xml:space="preserve">Variety Candy Sizes </v>
      </c>
      <c r="K1024" t="str">
        <f>_xlfn.XLOOKUP($A1024,Load!$B:$B,Load!L:L,0,)</f>
        <v>Regular/Original Wrapping</v>
      </c>
      <c r="L1024" t="str">
        <f>_xlfn.XLOOKUP($A1024,Load!$B:$B,Load!M:M,0,)</f>
        <v>Single Brand / Variety Flavors or Form</v>
      </c>
    </row>
    <row r="1025" spans="1:12" x14ac:dyDescent="0.25">
      <c r="A1025" t="s">
        <v>290</v>
      </c>
      <c r="B1025" t="str">
        <f>_xlfn.XLOOKUP($A1025,Load!$B:$B,Load!C:C,0,)</f>
        <v>Tootsie</v>
      </c>
      <c r="C1025" t="str">
        <f>_xlfn.XLOOKUP($A1025,Load!$B:$B,Load!D:D,0,)</f>
        <v>Mix of Chocolate and Non-Chocolate Candy</v>
      </c>
      <c r="D1025" t="str">
        <f>_xlfn.XLOOKUP($A1025,Load!$B:$B,Load!E:E,0,)</f>
        <v>Variety / Mixed Flavors (Fruity, Sour, Seasonal Flavors)</v>
      </c>
      <c r="E1025" t="str">
        <f>_xlfn.XLOOKUP($A1025,Load!$B:$B,Load!F:F,0,)</f>
        <v>Mixed / Combo Packs (Gummy, Chewy, Taffy, etc.)</v>
      </c>
      <c r="F1025" t="str">
        <f>_xlfn.XLOOKUP($A1025,Load!$B:$B,Load!G:G,0,)</f>
        <v>Large Multipack (More than 80 ct)</v>
      </c>
      <c r="G1025" t="str">
        <f>_xlfn.XLOOKUP($A1025,Load!$B:$B,Load!H:H,0,)</f>
        <v>Laydown Bag</v>
      </c>
      <c r="H1025" t="str">
        <f>_xlfn.XLOOKUP($A1025,Load!$B:$B,Load!I:I,0,)</f>
        <v>Everyday Candy Shapes (like Original, Gummy bear, Fruit, Jewels, etc.)</v>
      </c>
      <c r="I1025" t="str">
        <f>_xlfn.XLOOKUP($A1025,Load!$B:$B,Load!J:J,0,)</f>
        <v>Everyday Graphics</v>
      </c>
      <c r="J1025" t="str">
        <f>_xlfn.XLOOKUP($A1025,Load!$B:$B,Load!K:K,0,)</f>
        <v>Fun Size / Treat Size</v>
      </c>
      <c r="K1025" t="str">
        <f>_xlfn.XLOOKUP($A1025,Load!$B:$B,Load!L:L,0,)</f>
        <v>Regular/Original Wrapping</v>
      </c>
      <c r="L1025" t="str">
        <f>_xlfn.XLOOKUP($A1025,Load!$B:$B,Load!M:M,0,)</f>
        <v>Single Brand / Variety Flavors or Form</v>
      </c>
    </row>
    <row r="1026" spans="1:12" x14ac:dyDescent="0.25">
      <c r="A1026" t="s">
        <v>158</v>
      </c>
      <c r="B1026" t="str">
        <f>_xlfn.XLOOKUP($A1026,Load!$B:$B,Load!C:C,0,)</f>
        <v>Jolly Rancher</v>
      </c>
      <c r="C1026" t="str">
        <f>_xlfn.XLOOKUP($A1026,Load!$B:$B,Load!D:D,0,)</f>
        <v>Non-Chocolate Candy Only</v>
      </c>
      <c r="D1026" t="str">
        <f>_xlfn.XLOOKUP($A1026,Load!$B:$B,Load!E:E,0,)</f>
        <v>Sweet</v>
      </c>
      <c r="E1026" t="str">
        <f>_xlfn.XLOOKUP($A1026,Load!$B:$B,Load!F:F,0,)</f>
        <v>Hard Candy</v>
      </c>
      <c r="F1026" t="str">
        <f>_xlfn.XLOOKUP($A1026,Load!$B:$B,Load!G:G,0,)</f>
        <v>Single Pack</v>
      </c>
      <c r="G1026" t="str">
        <f>_xlfn.XLOOKUP($A1026,Load!$B:$B,Load!H:H,0,)</f>
        <v>Peg Bag</v>
      </c>
      <c r="H1026" t="str">
        <f>_xlfn.XLOOKUP($A1026,Load!$B:$B,Load!I:I,0,)</f>
        <v>Everyday Candy Shapes (like Original, Gummy bear, Fruit, Jewels, etc.)</v>
      </c>
      <c r="I1026" t="str">
        <f>_xlfn.XLOOKUP($A1026,Load!$B:$B,Load!J:J,0,)</f>
        <v>Everyday Graphics</v>
      </c>
      <c r="J1026" t="str">
        <f>_xlfn.XLOOKUP($A1026,Load!$B:$B,Load!K:K,0,)</f>
        <v>Small Pieces (Tiny bite size candies)</v>
      </c>
      <c r="K1026" t="str">
        <f>_xlfn.XLOOKUP($A1026,Load!$B:$B,Load!L:L,0,)</f>
        <v>Regular/Original Wrapping</v>
      </c>
      <c r="L1026" t="str">
        <f>_xlfn.XLOOKUP($A1026,Load!$B:$B,Load!M:M,0,)</f>
        <v>Single Brand / Variety Flavors or Form</v>
      </c>
    </row>
    <row r="1027" spans="1:12" x14ac:dyDescent="0.25">
      <c r="A1027" t="s">
        <v>164</v>
      </c>
      <c r="B1027" t="str">
        <f>_xlfn.XLOOKUP($A1027,Load!$B:$B,Load!C:C,0,)</f>
        <v>JOYRIDE</v>
      </c>
      <c r="C1027" t="str">
        <f>_xlfn.XLOOKUP($A1027,Load!$B:$B,Load!D:D,0,)</f>
        <v>Non-Chocolate Candy Only</v>
      </c>
      <c r="D1027" t="str">
        <f>_xlfn.XLOOKUP($A1027,Load!$B:$B,Load!E:E,0,)</f>
        <v>Sour</v>
      </c>
      <c r="E1027" t="str">
        <f>_xlfn.XLOOKUP($A1027,Load!$B:$B,Load!F:F,0,)</f>
        <v>Chewy</v>
      </c>
      <c r="F1027" t="str">
        <f>_xlfn.XLOOKUP($A1027,Load!$B:$B,Load!G:G,0,)</f>
        <v>Single Pack</v>
      </c>
      <c r="G1027" t="str">
        <f>_xlfn.XLOOKUP($A1027,Load!$B:$B,Load!H:H,0,)</f>
        <v>Peg Bag</v>
      </c>
      <c r="H1027" t="str">
        <f>_xlfn.XLOOKUP($A1027,Load!$B:$B,Load!I:I,0,)</f>
        <v>Everyday Candy Shapes (like Original, Gummy bear, Fruit, Jewels, etc.)</v>
      </c>
      <c r="I1027" t="str">
        <f>_xlfn.XLOOKUP($A1027,Load!$B:$B,Load!J:J,0,)</f>
        <v>Seasonal Graphics (Like Bat, Ghost, Pumpkin, Fall Leaves, Eyeballs, etc.)</v>
      </c>
      <c r="J1027" t="str">
        <f>_xlfn.XLOOKUP($A1027,Load!$B:$B,Load!K:K,0,)</f>
        <v>Small Pieces (Tiny bite size candies)</v>
      </c>
      <c r="K1027" t="str">
        <f>_xlfn.XLOOKUP($A1027,Load!$B:$B,Load!L:L,0,)</f>
        <v>Regular/Original Wrapping</v>
      </c>
      <c r="L1027" t="str">
        <f>_xlfn.XLOOKUP($A1027,Load!$B:$B,Load!M:M,0,)</f>
        <v>Single Brand / Single Flavor or Form</v>
      </c>
    </row>
    <row r="1028" spans="1:12" x14ac:dyDescent="0.25">
      <c r="A1028" t="s">
        <v>184</v>
      </c>
      <c r="B1028" t="str">
        <f>_xlfn.XLOOKUP($A1028,Load!$B:$B,Load!C:C,0,)</f>
        <v>Mars Variety Pack</v>
      </c>
      <c r="C1028" t="str">
        <f>_xlfn.XLOOKUP($A1028,Load!$B:$B,Load!D:D,0,)</f>
        <v>Mix of Chocolate and Non-Chocolate Candy</v>
      </c>
      <c r="D1028" t="str">
        <f>_xlfn.XLOOKUP($A1028,Load!$B:$B,Load!E:E,0,)</f>
        <v>Variety / Mixed Flavors (Fruity, Sour, Seasonal Flavors)</v>
      </c>
      <c r="E1028" t="str">
        <f>_xlfn.XLOOKUP($A1028,Load!$B:$B,Load!F:F,0,)</f>
        <v>Mixed / Combo Packs (Gummy, Chewy, Taffy, etc.)</v>
      </c>
      <c r="F1028" t="str">
        <f>_xlfn.XLOOKUP($A1028,Load!$B:$B,Load!G:G,0,)</f>
        <v>Large Multipack (More than 80 ct)</v>
      </c>
      <c r="G1028" t="str">
        <f>_xlfn.XLOOKUP($A1028,Load!$B:$B,Load!H:H,0,)</f>
        <v>Stand-Up Bag</v>
      </c>
      <c r="H1028" t="str">
        <f>_xlfn.XLOOKUP($A1028,Load!$B:$B,Load!I:I,0,)</f>
        <v>Everyday Candy Shapes (like Original, Gummy bear, Fruit, Jewels, etc.)</v>
      </c>
      <c r="I1028" t="str">
        <f>_xlfn.XLOOKUP($A1028,Load!$B:$B,Load!J:J,0,)</f>
        <v>Seasonal Graphics (Like Bat, Ghost, Pumpkin, Fall Leaves, Eyeballs, etc.)</v>
      </c>
      <c r="J1028" t="str">
        <f>_xlfn.XLOOKUP($A1028,Load!$B:$B,Load!K:K,0,)</f>
        <v>Fun Size / Treat Size</v>
      </c>
      <c r="K1028" t="str">
        <f>_xlfn.XLOOKUP($A1028,Load!$B:$B,Load!L:L,0,)</f>
        <v>Regular/Original Wrapping</v>
      </c>
      <c r="L1028" t="str">
        <f>_xlfn.XLOOKUP($A1028,Load!$B:$B,Load!M:M,0,)</f>
        <v>Multiple Brands / Variety Flavors or Form</v>
      </c>
    </row>
    <row r="1029" spans="1:12" x14ac:dyDescent="0.25">
      <c r="A1029" t="s">
        <v>183</v>
      </c>
      <c r="B1029" t="str">
        <f>_xlfn.XLOOKUP($A1029,Load!$B:$B,Load!C:C,0,)</f>
        <v>Mars Variety Pack</v>
      </c>
      <c r="C1029" t="str">
        <f>_xlfn.XLOOKUP($A1029,Load!$B:$B,Load!D:D,0,)</f>
        <v>Non-Chocolate Candy Only</v>
      </c>
      <c r="D1029" t="str">
        <f>_xlfn.XLOOKUP($A1029,Load!$B:$B,Load!E:E,0,)</f>
        <v>Variety / Mixed Flavors (Fruity, Sour, Seasonal Flavors)</v>
      </c>
      <c r="E1029" t="str">
        <f>_xlfn.XLOOKUP($A1029,Load!$B:$B,Load!F:F,0,)</f>
        <v>Mixed / Combo Packs (Gummy, Chewy, Taffy, etc.)</v>
      </c>
      <c r="F1029" t="str">
        <f>_xlfn.XLOOKUP($A1029,Load!$B:$B,Load!G:G,0,)</f>
        <v>Large Multipack (More than 80 ct)</v>
      </c>
      <c r="G1029" t="str">
        <f>_xlfn.XLOOKUP($A1029,Load!$B:$B,Load!H:H,0,)</f>
        <v>Stand-Up Bag</v>
      </c>
      <c r="H1029" t="str">
        <f>_xlfn.XLOOKUP($A1029,Load!$B:$B,Load!I:I,0,)</f>
        <v>Seasonal Shapes (like pumpkins, candy corn, ghost, bats, etc.)</v>
      </c>
      <c r="I1029" t="str">
        <f>_xlfn.XLOOKUP($A1029,Load!$B:$B,Load!J:J,0,)</f>
        <v>Seasonal Graphics (Like Bat, Ghost, Pumpkin, Fall Leaves, Eyeballs, etc.)</v>
      </c>
      <c r="J1029" t="str">
        <f>_xlfn.XLOOKUP($A1029,Load!$B:$B,Load!K:K,0,)</f>
        <v xml:space="preserve">Variety Candy Sizes </v>
      </c>
      <c r="K1029" t="str">
        <f>_xlfn.XLOOKUP($A1029,Load!$B:$B,Load!L:L,0,)</f>
        <v>Regular/Original Wrapping</v>
      </c>
      <c r="L1029" t="str">
        <f>_xlfn.XLOOKUP($A1029,Load!$B:$B,Load!M:M,0,)</f>
        <v>Multiple Brands / Variety Flavors or Form</v>
      </c>
    </row>
    <row r="1030" spans="1:12" x14ac:dyDescent="0.25">
      <c r="A1030" t="s">
        <v>198</v>
      </c>
      <c r="B1030" t="str">
        <f>_xlfn.XLOOKUP($A1030,Load!$B:$B,Load!C:C,0,)</f>
        <v>Mars Variety Pack</v>
      </c>
      <c r="C1030" t="str">
        <f>_xlfn.XLOOKUP($A1030,Load!$B:$B,Load!D:D,0,)</f>
        <v>Non-Chocolate Candy Only</v>
      </c>
      <c r="D1030" t="str">
        <f>_xlfn.XLOOKUP($A1030,Load!$B:$B,Load!E:E,0,)</f>
        <v>Variety / Mixed Flavors (Fruity, Sour, Seasonal Flavors)</v>
      </c>
      <c r="E1030" t="str">
        <f>_xlfn.XLOOKUP($A1030,Load!$B:$B,Load!F:F,0,)</f>
        <v>Mixed / Combo Packs (Gummy, Chewy, Taffy, etc.)</v>
      </c>
      <c r="F1030" t="str">
        <f>_xlfn.XLOOKUP($A1030,Load!$B:$B,Load!G:G,0,)</f>
        <v>Large Multipack (More than 80 ct)</v>
      </c>
      <c r="G1030" t="str">
        <f>_xlfn.XLOOKUP($A1030,Load!$B:$B,Load!H:H,0,)</f>
        <v>Stand-Up Bag</v>
      </c>
      <c r="H1030" t="str">
        <f>_xlfn.XLOOKUP($A1030,Load!$B:$B,Load!I:I,0,)</f>
        <v>Everyday Candy Shapes (like Original, Gummy bear, Fruit, Jewels, etc.)</v>
      </c>
      <c r="I1030" t="str">
        <f>_xlfn.XLOOKUP($A1030,Load!$B:$B,Load!J:J,0,)</f>
        <v>Seasonal Graphics (Like Bat, Ghost, Pumpkin, Fall Leaves, Eyeballs, etc.)</v>
      </c>
      <c r="J1030" t="str">
        <f>_xlfn.XLOOKUP($A1030,Load!$B:$B,Load!K:K,0,)</f>
        <v>Fun Size / Treat Size</v>
      </c>
      <c r="K1030" t="str">
        <f>_xlfn.XLOOKUP($A1030,Load!$B:$B,Load!L:L,0,)</f>
        <v>Regular/Original Wrapping</v>
      </c>
      <c r="L1030" t="str">
        <f>_xlfn.XLOOKUP($A1030,Load!$B:$B,Load!M:M,0,)</f>
        <v>Multiple Brands / Variety Flavors or Form</v>
      </c>
    </row>
    <row r="1031" spans="1:12" x14ac:dyDescent="0.25">
      <c r="A1031" t="s">
        <v>201</v>
      </c>
      <c r="B1031" t="str">
        <f>_xlfn.XLOOKUP($A1031,Load!$B:$B,Load!C:C,0,)</f>
        <v>Mars Variety Pack</v>
      </c>
      <c r="C1031" t="str">
        <f>_xlfn.XLOOKUP($A1031,Load!$B:$B,Load!D:D,0,)</f>
        <v>Non-Chocolate Candy Only</v>
      </c>
      <c r="D1031" t="str">
        <f>_xlfn.XLOOKUP($A1031,Load!$B:$B,Load!E:E,0,)</f>
        <v>Variety / Mixed Flavors (Fruity, Sour, Seasonal Flavors)</v>
      </c>
      <c r="E1031" t="str">
        <f>_xlfn.XLOOKUP($A1031,Load!$B:$B,Load!F:F,0,)</f>
        <v>Mixed / Combo Packs (Gummy, Chewy, Taffy, etc.)</v>
      </c>
      <c r="F1031" t="str">
        <f>_xlfn.XLOOKUP($A1031,Load!$B:$B,Load!G:G,0,)</f>
        <v>Large Multipack (More than 80 ct)</v>
      </c>
      <c r="G1031" t="str">
        <f>_xlfn.XLOOKUP($A1031,Load!$B:$B,Load!H:H,0,)</f>
        <v>Stand-Up Bag</v>
      </c>
      <c r="H1031" t="str">
        <f>_xlfn.XLOOKUP($A1031,Load!$B:$B,Load!I:I,0,)</f>
        <v>Everyday Candy Shapes (like Original, Gummy bear, Fruit, Jewels, etc.)</v>
      </c>
      <c r="I1031" t="str">
        <f>_xlfn.XLOOKUP($A1031,Load!$B:$B,Load!J:J,0,)</f>
        <v>Everyday Graphics</v>
      </c>
      <c r="J1031" t="str">
        <f>_xlfn.XLOOKUP($A1031,Load!$B:$B,Load!K:K,0,)</f>
        <v>Fun Size / Treat Size</v>
      </c>
      <c r="K1031" t="str">
        <f>_xlfn.XLOOKUP($A1031,Load!$B:$B,Load!L:L,0,)</f>
        <v>Regular/Original Wrapping</v>
      </c>
      <c r="L1031" t="str">
        <f>_xlfn.XLOOKUP($A1031,Load!$B:$B,Load!M:M,0,)</f>
        <v>Multiple Brands / Variety Flavors or Form</v>
      </c>
    </row>
    <row r="1032" spans="1:12" x14ac:dyDescent="0.25">
      <c r="B1032">
        <f>_xlfn.XLOOKUP($A1032,Load!$B:$B,Load!C:C,0,)</f>
        <v>0</v>
      </c>
      <c r="C1032">
        <f>_xlfn.XLOOKUP($A1032,Load!$B:$B,Load!D:D,0,)</f>
        <v>0</v>
      </c>
      <c r="D1032">
        <f>_xlfn.XLOOKUP($A1032,Load!$B:$B,Load!E:E,0,)</f>
        <v>0</v>
      </c>
      <c r="E1032">
        <f>_xlfn.XLOOKUP($A1032,Load!$B:$B,Load!F:F,0,)</f>
        <v>0</v>
      </c>
      <c r="F1032">
        <f>_xlfn.XLOOKUP($A1032,Load!$B:$B,Load!G:G,0,)</f>
        <v>0</v>
      </c>
      <c r="G1032">
        <f>_xlfn.XLOOKUP($A1032,Load!$B:$B,Load!H:H,0,)</f>
        <v>0</v>
      </c>
      <c r="H1032">
        <f>_xlfn.XLOOKUP($A1032,Load!$B:$B,Load!I:I,0,)</f>
        <v>0</v>
      </c>
      <c r="I1032">
        <f>_xlfn.XLOOKUP($A1032,Load!$B:$B,Load!J:J,0,)</f>
        <v>0</v>
      </c>
      <c r="J1032">
        <f>_xlfn.XLOOKUP($A1032,Load!$B:$B,Load!K:K,0,)</f>
        <v>0</v>
      </c>
      <c r="K1032">
        <f>_xlfn.XLOOKUP($A1032,Load!$B:$B,Load!L:L,0,)</f>
        <v>0</v>
      </c>
      <c r="L1032">
        <f>_xlfn.XLOOKUP($A1032,Load!$B:$B,Load!M:M,0,)</f>
        <v>0</v>
      </c>
    </row>
    <row r="1033" spans="1:12" x14ac:dyDescent="0.25">
      <c r="B1033">
        <f>_xlfn.XLOOKUP($A1033,Load!$B:$B,Load!C:C,0,)</f>
        <v>0</v>
      </c>
      <c r="C1033">
        <f>_xlfn.XLOOKUP($A1033,Load!$B:$B,Load!D:D,0,)</f>
        <v>0</v>
      </c>
      <c r="D1033">
        <f>_xlfn.XLOOKUP($A1033,Load!$B:$B,Load!E:E,0,)</f>
        <v>0</v>
      </c>
      <c r="E1033">
        <f>_xlfn.XLOOKUP($A1033,Load!$B:$B,Load!F:F,0,)</f>
        <v>0</v>
      </c>
      <c r="F1033">
        <f>_xlfn.XLOOKUP($A1033,Load!$B:$B,Load!G:G,0,)</f>
        <v>0</v>
      </c>
      <c r="G1033">
        <f>_xlfn.XLOOKUP($A1033,Load!$B:$B,Load!H:H,0,)</f>
        <v>0</v>
      </c>
      <c r="H1033">
        <f>_xlfn.XLOOKUP($A1033,Load!$B:$B,Load!I:I,0,)</f>
        <v>0</v>
      </c>
      <c r="I1033">
        <f>_xlfn.XLOOKUP($A1033,Load!$B:$B,Load!J:J,0,)</f>
        <v>0</v>
      </c>
      <c r="J1033">
        <f>_xlfn.XLOOKUP($A1033,Load!$B:$B,Load!K:K,0,)</f>
        <v>0</v>
      </c>
      <c r="K1033">
        <f>_xlfn.XLOOKUP($A1033,Load!$B:$B,Load!L:L,0,)</f>
        <v>0</v>
      </c>
      <c r="L1033">
        <f>_xlfn.XLOOKUP($A1033,Load!$B:$B,Load!M:M,0,)</f>
        <v>0</v>
      </c>
    </row>
    <row r="1034" spans="1:12" x14ac:dyDescent="0.25">
      <c r="B1034">
        <f>_xlfn.XLOOKUP($A1034,Load!$B:$B,Load!C:C,0,)</f>
        <v>0</v>
      </c>
      <c r="C1034">
        <f>_xlfn.XLOOKUP($A1034,Load!$B:$B,Load!D:D,0,)</f>
        <v>0</v>
      </c>
      <c r="D1034">
        <f>_xlfn.XLOOKUP($A1034,Load!$B:$B,Load!E:E,0,)</f>
        <v>0</v>
      </c>
      <c r="E1034">
        <f>_xlfn.XLOOKUP($A1034,Load!$B:$B,Load!F:F,0,)</f>
        <v>0</v>
      </c>
      <c r="F1034">
        <f>_xlfn.XLOOKUP($A1034,Load!$B:$B,Load!G:G,0,)</f>
        <v>0</v>
      </c>
      <c r="G1034">
        <f>_xlfn.XLOOKUP($A1034,Load!$B:$B,Load!H:H,0,)</f>
        <v>0</v>
      </c>
      <c r="H1034">
        <f>_xlfn.XLOOKUP($A1034,Load!$B:$B,Load!I:I,0,)</f>
        <v>0</v>
      </c>
      <c r="I1034">
        <f>_xlfn.XLOOKUP($A1034,Load!$B:$B,Load!J:J,0,)</f>
        <v>0</v>
      </c>
      <c r="J1034">
        <f>_xlfn.XLOOKUP($A1034,Load!$B:$B,Load!K:K,0,)</f>
        <v>0</v>
      </c>
      <c r="K1034">
        <f>_xlfn.XLOOKUP($A1034,Load!$B:$B,Load!L:L,0,)</f>
        <v>0</v>
      </c>
      <c r="L1034">
        <f>_xlfn.XLOOKUP($A1034,Load!$B:$B,Load!M:M,0,)</f>
        <v>0</v>
      </c>
    </row>
    <row r="1035" spans="1:12" x14ac:dyDescent="0.25">
      <c r="B1035">
        <f>_xlfn.XLOOKUP($A1035,Load!$B:$B,Load!C:C,0,)</f>
        <v>0</v>
      </c>
      <c r="C1035">
        <f>_xlfn.XLOOKUP($A1035,Load!$B:$B,Load!D:D,0,)</f>
        <v>0</v>
      </c>
      <c r="D1035">
        <f>_xlfn.XLOOKUP($A1035,Load!$B:$B,Load!E:E,0,)</f>
        <v>0</v>
      </c>
      <c r="E1035">
        <f>_xlfn.XLOOKUP($A1035,Load!$B:$B,Load!F:F,0,)</f>
        <v>0</v>
      </c>
      <c r="F1035">
        <f>_xlfn.XLOOKUP($A1035,Load!$B:$B,Load!G:G,0,)</f>
        <v>0</v>
      </c>
      <c r="G1035">
        <f>_xlfn.XLOOKUP($A1035,Load!$B:$B,Load!H:H,0,)</f>
        <v>0</v>
      </c>
      <c r="H1035">
        <f>_xlfn.XLOOKUP($A1035,Load!$B:$B,Load!I:I,0,)</f>
        <v>0</v>
      </c>
      <c r="I1035">
        <f>_xlfn.XLOOKUP($A1035,Load!$B:$B,Load!J:J,0,)</f>
        <v>0</v>
      </c>
      <c r="J1035">
        <f>_xlfn.XLOOKUP($A1035,Load!$B:$B,Load!K:K,0,)</f>
        <v>0</v>
      </c>
      <c r="K1035">
        <f>_xlfn.XLOOKUP($A1035,Load!$B:$B,Load!L:L,0,)</f>
        <v>0</v>
      </c>
      <c r="L1035">
        <f>_xlfn.XLOOKUP($A1035,Load!$B:$B,Load!M:M,0,)</f>
        <v>0</v>
      </c>
    </row>
    <row r="1036" spans="1:12" x14ac:dyDescent="0.25">
      <c r="B1036">
        <f>_xlfn.XLOOKUP($A1036,Load!$B:$B,Load!C:C,0,)</f>
        <v>0</v>
      </c>
      <c r="C1036">
        <f>_xlfn.XLOOKUP($A1036,Load!$B:$B,Load!D:D,0,)</f>
        <v>0</v>
      </c>
      <c r="D1036">
        <f>_xlfn.XLOOKUP($A1036,Load!$B:$B,Load!E:E,0,)</f>
        <v>0</v>
      </c>
      <c r="E1036">
        <f>_xlfn.XLOOKUP($A1036,Load!$B:$B,Load!F:F,0,)</f>
        <v>0</v>
      </c>
      <c r="F1036">
        <f>_xlfn.XLOOKUP($A1036,Load!$B:$B,Load!G:G,0,)</f>
        <v>0</v>
      </c>
      <c r="G1036">
        <f>_xlfn.XLOOKUP($A1036,Load!$B:$B,Load!H:H,0,)</f>
        <v>0</v>
      </c>
      <c r="H1036">
        <f>_xlfn.XLOOKUP($A1036,Load!$B:$B,Load!I:I,0,)</f>
        <v>0</v>
      </c>
      <c r="I1036">
        <f>_xlfn.XLOOKUP($A1036,Load!$B:$B,Load!J:J,0,)</f>
        <v>0</v>
      </c>
      <c r="J1036">
        <f>_xlfn.XLOOKUP($A1036,Load!$B:$B,Load!K:K,0,)</f>
        <v>0</v>
      </c>
      <c r="K1036">
        <f>_xlfn.XLOOKUP($A1036,Load!$B:$B,Load!L:L,0,)</f>
        <v>0</v>
      </c>
      <c r="L1036">
        <f>_xlfn.XLOOKUP($A1036,Load!$B:$B,Load!M:M,0,)</f>
        <v>0</v>
      </c>
    </row>
    <row r="1037" spans="1:12" x14ac:dyDescent="0.25">
      <c r="B1037">
        <f>_xlfn.XLOOKUP($A1037,Load!$B:$B,Load!C:C,0,)</f>
        <v>0</v>
      </c>
      <c r="C1037">
        <f>_xlfn.XLOOKUP($A1037,Load!$B:$B,Load!D:D,0,)</f>
        <v>0</v>
      </c>
      <c r="D1037">
        <f>_xlfn.XLOOKUP($A1037,Load!$B:$B,Load!E:E,0,)</f>
        <v>0</v>
      </c>
      <c r="E1037">
        <f>_xlfn.XLOOKUP($A1037,Load!$B:$B,Load!F:F,0,)</f>
        <v>0</v>
      </c>
      <c r="F1037">
        <f>_xlfn.XLOOKUP($A1037,Load!$B:$B,Load!G:G,0,)</f>
        <v>0</v>
      </c>
      <c r="G1037">
        <f>_xlfn.XLOOKUP($A1037,Load!$B:$B,Load!H:H,0,)</f>
        <v>0</v>
      </c>
      <c r="H1037">
        <f>_xlfn.XLOOKUP($A1037,Load!$B:$B,Load!I:I,0,)</f>
        <v>0</v>
      </c>
      <c r="I1037">
        <f>_xlfn.XLOOKUP($A1037,Load!$B:$B,Load!J:J,0,)</f>
        <v>0</v>
      </c>
      <c r="J1037">
        <f>_xlfn.XLOOKUP($A1037,Load!$B:$B,Load!K:K,0,)</f>
        <v>0</v>
      </c>
      <c r="K1037">
        <f>_xlfn.XLOOKUP($A1037,Load!$B:$B,Load!L:L,0,)</f>
        <v>0</v>
      </c>
      <c r="L1037">
        <f>_xlfn.XLOOKUP($A1037,Load!$B:$B,Load!M:M,0,)</f>
        <v>0</v>
      </c>
    </row>
    <row r="1038" spans="1:12" x14ac:dyDescent="0.25">
      <c r="B1038">
        <f>_xlfn.XLOOKUP($A1038,Load!$B:$B,Load!C:C,0,)</f>
        <v>0</v>
      </c>
      <c r="C1038">
        <f>_xlfn.XLOOKUP($A1038,Load!$B:$B,Load!D:D,0,)</f>
        <v>0</v>
      </c>
      <c r="D1038">
        <f>_xlfn.XLOOKUP($A1038,Load!$B:$B,Load!E:E,0,)</f>
        <v>0</v>
      </c>
      <c r="E1038">
        <f>_xlfn.XLOOKUP($A1038,Load!$B:$B,Load!F:F,0,)</f>
        <v>0</v>
      </c>
      <c r="F1038">
        <f>_xlfn.XLOOKUP($A1038,Load!$B:$B,Load!G:G,0,)</f>
        <v>0</v>
      </c>
      <c r="G1038">
        <f>_xlfn.XLOOKUP($A1038,Load!$B:$B,Load!H:H,0,)</f>
        <v>0</v>
      </c>
      <c r="H1038">
        <f>_xlfn.XLOOKUP($A1038,Load!$B:$B,Load!I:I,0,)</f>
        <v>0</v>
      </c>
      <c r="I1038">
        <f>_xlfn.XLOOKUP($A1038,Load!$B:$B,Load!J:J,0,)</f>
        <v>0</v>
      </c>
      <c r="J1038">
        <f>_xlfn.XLOOKUP($A1038,Load!$B:$B,Load!K:K,0,)</f>
        <v>0</v>
      </c>
      <c r="K1038">
        <f>_xlfn.XLOOKUP($A1038,Load!$B:$B,Load!L:L,0,)</f>
        <v>0</v>
      </c>
      <c r="L1038">
        <f>_xlfn.XLOOKUP($A1038,Load!$B:$B,Load!M:M,0,)</f>
        <v>0</v>
      </c>
    </row>
    <row r="1039" spans="1:12" x14ac:dyDescent="0.25">
      <c r="B1039">
        <f>_xlfn.XLOOKUP($A1039,Load!$B:$B,Load!C:C,0,)</f>
        <v>0</v>
      </c>
      <c r="C1039">
        <f>_xlfn.XLOOKUP($A1039,Load!$B:$B,Load!D:D,0,)</f>
        <v>0</v>
      </c>
      <c r="D1039">
        <f>_xlfn.XLOOKUP($A1039,Load!$B:$B,Load!E:E,0,)</f>
        <v>0</v>
      </c>
      <c r="E1039">
        <f>_xlfn.XLOOKUP($A1039,Load!$B:$B,Load!F:F,0,)</f>
        <v>0</v>
      </c>
      <c r="F1039">
        <f>_xlfn.XLOOKUP($A1039,Load!$B:$B,Load!G:G,0,)</f>
        <v>0</v>
      </c>
      <c r="G1039">
        <f>_xlfn.XLOOKUP($A1039,Load!$B:$B,Load!H:H,0,)</f>
        <v>0</v>
      </c>
      <c r="H1039">
        <f>_xlfn.XLOOKUP($A1039,Load!$B:$B,Load!I:I,0,)</f>
        <v>0</v>
      </c>
      <c r="I1039">
        <f>_xlfn.XLOOKUP($A1039,Load!$B:$B,Load!J:J,0,)</f>
        <v>0</v>
      </c>
      <c r="J1039">
        <f>_xlfn.XLOOKUP($A1039,Load!$B:$B,Load!K:K,0,)</f>
        <v>0</v>
      </c>
      <c r="K1039">
        <f>_xlfn.XLOOKUP($A1039,Load!$B:$B,Load!L:L,0,)</f>
        <v>0</v>
      </c>
      <c r="L1039">
        <f>_xlfn.XLOOKUP($A1039,Load!$B:$B,Load!M:M,0,)</f>
        <v>0</v>
      </c>
    </row>
    <row r="1040" spans="1:12" x14ac:dyDescent="0.25">
      <c r="A1040" t="s">
        <v>272</v>
      </c>
      <c r="B1040" t="str">
        <f>_xlfn.XLOOKUP($A1040,Load!$B:$B,Load!C:C,0,)</f>
        <v>Sour Patch Kids</v>
      </c>
      <c r="C1040" t="str">
        <f>_xlfn.XLOOKUP($A1040,Load!$B:$B,Load!D:D,0,)</f>
        <v>Non-Chocolate Candy Only</v>
      </c>
      <c r="D1040" t="str">
        <f>_xlfn.XLOOKUP($A1040,Load!$B:$B,Load!E:E,0,)</f>
        <v>Sour</v>
      </c>
      <c r="E1040" t="str">
        <f>_xlfn.XLOOKUP($A1040,Load!$B:$B,Load!F:F,0,)</f>
        <v>Chewy</v>
      </c>
      <c r="F1040" t="str">
        <f>_xlfn.XLOOKUP($A1040,Load!$B:$B,Load!G:G,0,)</f>
        <v>Medium Multipack (40–80 ct)</v>
      </c>
      <c r="G1040" t="str">
        <f>_xlfn.XLOOKUP($A1040,Load!$B:$B,Load!H:H,0,)</f>
        <v>Peg Bag</v>
      </c>
      <c r="H1040" t="str">
        <f>_xlfn.XLOOKUP($A1040,Load!$B:$B,Load!I:I,0,)</f>
        <v>Everyday Candy Shapes (like Original, Gummy bear, Fruit, Jewels, etc.)</v>
      </c>
      <c r="I1040" t="str">
        <f>_xlfn.XLOOKUP($A1040,Load!$B:$B,Load!J:J,0,)</f>
        <v>Seasonal Graphics (Like Bat, Ghost, Pumpkin, Fall Leaves, Eyeballs, etc.)</v>
      </c>
      <c r="J1040" t="str">
        <f>_xlfn.XLOOKUP($A1040,Load!$B:$B,Load!K:K,0,)</f>
        <v>Small Pieces (Tiny bite size candies)</v>
      </c>
      <c r="K1040" t="str">
        <f>_xlfn.XLOOKUP($A1040,Load!$B:$B,Load!L:L,0,)</f>
        <v>Unwrapped</v>
      </c>
      <c r="L1040" t="str">
        <f>_xlfn.XLOOKUP($A1040,Load!$B:$B,Load!M:M,0,)</f>
        <v>Single Brand / Single Flavor or Form</v>
      </c>
    </row>
    <row r="1041" spans="1:12" x14ac:dyDescent="0.25">
      <c r="A1041" t="s">
        <v>267</v>
      </c>
      <c r="B1041" t="str">
        <f>_xlfn.XLOOKUP($A1041,Load!$B:$B,Load!C:C,0,)</f>
        <v>Sour Patch Kids</v>
      </c>
      <c r="C1041" t="str">
        <f>_xlfn.XLOOKUP($A1041,Load!$B:$B,Load!D:D,0,)</f>
        <v>Non-Chocolate Candy Only</v>
      </c>
      <c r="D1041" t="str">
        <f>_xlfn.XLOOKUP($A1041,Load!$B:$B,Load!E:E,0,)</f>
        <v>Sour</v>
      </c>
      <c r="E1041" t="str">
        <f>_xlfn.XLOOKUP($A1041,Load!$B:$B,Load!F:F,0,)</f>
        <v>Chewy</v>
      </c>
      <c r="F1041" t="str">
        <f>_xlfn.XLOOKUP($A1041,Load!$B:$B,Load!G:G,0,)</f>
        <v>Small Multipack (Less than 40 ct)</v>
      </c>
      <c r="G1041" t="str">
        <f>_xlfn.XLOOKUP($A1041,Load!$B:$B,Load!H:H,0,)</f>
        <v>Laydown Bag</v>
      </c>
      <c r="H1041" t="str">
        <f>_xlfn.XLOOKUP($A1041,Load!$B:$B,Load!I:I,0,)</f>
        <v>Everyday Candy Shapes (like Original, Gummy bear, Fruit, Jewels, etc.)</v>
      </c>
      <c r="I1041" t="str">
        <f>_xlfn.XLOOKUP($A1041,Load!$B:$B,Load!J:J,0,)</f>
        <v>Seasonal Graphics (Like Bat, Ghost, Pumpkin, Fall Leaves, Eyeballs, etc.)</v>
      </c>
      <c r="J1041" t="str">
        <f>_xlfn.XLOOKUP($A1041,Load!$B:$B,Load!K:K,0,)</f>
        <v>Small Pieces (Tiny bite size candies)</v>
      </c>
      <c r="K1041" t="str">
        <f>_xlfn.XLOOKUP($A1041,Load!$B:$B,Load!L:L,0,)</f>
        <v>Regular/Original Wrapping</v>
      </c>
      <c r="L1041" t="str">
        <f>_xlfn.XLOOKUP($A1041,Load!$B:$B,Load!M:M,0,)</f>
        <v>Single Brand / Variety Flavors or Form</v>
      </c>
    </row>
    <row r="1042" spans="1:12" x14ac:dyDescent="0.25">
      <c r="A1042" t="s">
        <v>252</v>
      </c>
      <c r="B1042" t="str">
        <f>_xlfn.XLOOKUP($A1042,Load!$B:$B,Load!C:C,0,)</f>
        <v>Skittles</v>
      </c>
      <c r="C1042" t="str">
        <f>_xlfn.XLOOKUP($A1042,Load!$B:$B,Load!D:D,0,)</f>
        <v>Non-Chocolate Candy Only</v>
      </c>
      <c r="D1042" t="str">
        <f>_xlfn.XLOOKUP($A1042,Load!$B:$B,Load!E:E,0,)</f>
        <v>Sour</v>
      </c>
      <c r="E1042" t="str">
        <f>_xlfn.XLOOKUP($A1042,Load!$B:$B,Load!F:F,0,)</f>
        <v>Candy Pieces / Bites</v>
      </c>
      <c r="F1042" t="str">
        <f>_xlfn.XLOOKUP($A1042,Load!$B:$B,Load!G:G,0,)</f>
        <v>Single Pack</v>
      </c>
      <c r="G1042" t="str">
        <f>_xlfn.XLOOKUP($A1042,Load!$B:$B,Load!H:H,0,)</f>
        <v>Laydown Bag</v>
      </c>
      <c r="H1042" t="str">
        <f>_xlfn.XLOOKUP($A1042,Load!$B:$B,Load!I:I,0,)</f>
        <v>Everyday Candy Shapes (like Original, Gummy bear, Fruit, Jewels, etc.)</v>
      </c>
      <c r="I1042" t="str">
        <f>_xlfn.XLOOKUP($A1042,Load!$B:$B,Load!J:J,0,)</f>
        <v>Seasonal Graphics (Like Bat, Ghost, Pumpkin, Fall Leaves, Eyeballs, etc.)</v>
      </c>
      <c r="J1042" t="str">
        <f>_xlfn.XLOOKUP($A1042,Load!$B:$B,Load!K:K,0,)</f>
        <v>Small Pieces (Tiny bite size candies)</v>
      </c>
      <c r="K1042" t="str">
        <f>_xlfn.XLOOKUP($A1042,Load!$B:$B,Load!L:L,0,)</f>
        <v>Unwrapped</v>
      </c>
      <c r="L1042" t="str">
        <f>_xlfn.XLOOKUP($A1042,Load!$B:$B,Load!M:M,0,)</f>
        <v>Single Brand / Variety Flavors or Form</v>
      </c>
    </row>
    <row r="1043" spans="1:12" x14ac:dyDescent="0.25">
      <c r="B1043">
        <f>_xlfn.XLOOKUP($A1043,Load!$B:$B,Load!C:C,0,)</f>
        <v>0</v>
      </c>
      <c r="C1043">
        <f>_xlfn.XLOOKUP($A1043,Load!$B:$B,Load!D:D,0,)</f>
        <v>0</v>
      </c>
      <c r="D1043">
        <f>_xlfn.XLOOKUP($A1043,Load!$B:$B,Load!E:E,0,)</f>
        <v>0</v>
      </c>
      <c r="E1043">
        <f>_xlfn.XLOOKUP($A1043,Load!$B:$B,Load!F:F,0,)</f>
        <v>0</v>
      </c>
      <c r="F1043">
        <f>_xlfn.XLOOKUP($A1043,Load!$B:$B,Load!G:G,0,)</f>
        <v>0</v>
      </c>
      <c r="G1043">
        <f>_xlfn.XLOOKUP($A1043,Load!$B:$B,Load!H:H,0,)</f>
        <v>0</v>
      </c>
      <c r="H1043">
        <f>_xlfn.XLOOKUP($A1043,Load!$B:$B,Load!I:I,0,)</f>
        <v>0</v>
      </c>
      <c r="I1043">
        <f>_xlfn.XLOOKUP($A1043,Load!$B:$B,Load!J:J,0,)</f>
        <v>0</v>
      </c>
      <c r="J1043">
        <f>_xlfn.XLOOKUP($A1043,Load!$B:$B,Load!K:K,0,)</f>
        <v>0</v>
      </c>
      <c r="K1043">
        <f>_xlfn.XLOOKUP($A1043,Load!$B:$B,Load!L:L,0,)</f>
        <v>0</v>
      </c>
      <c r="L1043">
        <f>_xlfn.XLOOKUP($A1043,Load!$B:$B,Load!M:M,0,)</f>
        <v>0</v>
      </c>
    </row>
    <row r="1044" spans="1:12" x14ac:dyDescent="0.25">
      <c r="B1044">
        <f>_xlfn.XLOOKUP($A1044,Load!$B:$B,Load!C:C,0,)</f>
        <v>0</v>
      </c>
      <c r="C1044">
        <f>_xlfn.XLOOKUP($A1044,Load!$B:$B,Load!D:D,0,)</f>
        <v>0</v>
      </c>
      <c r="D1044">
        <f>_xlfn.XLOOKUP($A1044,Load!$B:$B,Load!E:E,0,)</f>
        <v>0</v>
      </c>
      <c r="E1044">
        <f>_xlfn.XLOOKUP($A1044,Load!$B:$B,Load!F:F,0,)</f>
        <v>0</v>
      </c>
      <c r="F1044">
        <f>_xlfn.XLOOKUP($A1044,Load!$B:$B,Load!G:G,0,)</f>
        <v>0</v>
      </c>
      <c r="G1044">
        <f>_xlfn.XLOOKUP($A1044,Load!$B:$B,Load!H:H,0,)</f>
        <v>0</v>
      </c>
      <c r="H1044">
        <f>_xlfn.XLOOKUP($A1044,Load!$B:$B,Load!I:I,0,)</f>
        <v>0</v>
      </c>
      <c r="I1044">
        <f>_xlfn.XLOOKUP($A1044,Load!$B:$B,Load!J:J,0,)</f>
        <v>0</v>
      </c>
      <c r="J1044">
        <f>_xlfn.XLOOKUP($A1044,Load!$B:$B,Load!K:K,0,)</f>
        <v>0</v>
      </c>
      <c r="K1044">
        <f>_xlfn.XLOOKUP($A1044,Load!$B:$B,Load!L:L,0,)</f>
        <v>0</v>
      </c>
      <c r="L1044">
        <f>_xlfn.XLOOKUP($A1044,Load!$B:$B,Load!M:M,0,)</f>
        <v>0</v>
      </c>
    </row>
    <row r="1045" spans="1:12" x14ac:dyDescent="0.25">
      <c r="B1045">
        <f>_xlfn.XLOOKUP($A1045,Load!$B:$B,Load!C:C,0,)</f>
        <v>0</v>
      </c>
      <c r="C1045">
        <f>_xlfn.XLOOKUP($A1045,Load!$B:$B,Load!D:D,0,)</f>
        <v>0</v>
      </c>
      <c r="D1045">
        <f>_xlfn.XLOOKUP($A1045,Load!$B:$B,Load!E:E,0,)</f>
        <v>0</v>
      </c>
      <c r="E1045">
        <f>_xlfn.XLOOKUP($A1045,Load!$B:$B,Load!F:F,0,)</f>
        <v>0</v>
      </c>
      <c r="F1045">
        <f>_xlfn.XLOOKUP($A1045,Load!$B:$B,Load!G:G,0,)</f>
        <v>0</v>
      </c>
      <c r="G1045">
        <f>_xlfn.XLOOKUP($A1045,Load!$B:$B,Load!H:H,0,)</f>
        <v>0</v>
      </c>
      <c r="H1045">
        <f>_xlfn.XLOOKUP($A1045,Load!$B:$B,Load!I:I,0,)</f>
        <v>0</v>
      </c>
      <c r="I1045">
        <f>_xlfn.XLOOKUP($A1045,Load!$B:$B,Load!J:J,0,)</f>
        <v>0</v>
      </c>
      <c r="J1045">
        <f>_xlfn.XLOOKUP($A1045,Load!$B:$B,Load!K:K,0,)</f>
        <v>0</v>
      </c>
      <c r="K1045">
        <f>_xlfn.XLOOKUP($A1045,Load!$B:$B,Load!L:L,0,)</f>
        <v>0</v>
      </c>
      <c r="L1045">
        <f>_xlfn.XLOOKUP($A1045,Load!$B:$B,Load!M:M,0,)</f>
        <v>0</v>
      </c>
    </row>
    <row r="1046" spans="1:12" x14ac:dyDescent="0.25">
      <c r="B1046">
        <f>_xlfn.XLOOKUP($A1046,Load!$B:$B,Load!C:C,0,)</f>
        <v>0</v>
      </c>
      <c r="C1046">
        <f>_xlfn.XLOOKUP($A1046,Load!$B:$B,Load!D:D,0,)</f>
        <v>0</v>
      </c>
      <c r="D1046">
        <f>_xlfn.XLOOKUP($A1046,Load!$B:$B,Load!E:E,0,)</f>
        <v>0</v>
      </c>
      <c r="E1046">
        <f>_xlfn.XLOOKUP($A1046,Load!$B:$B,Load!F:F,0,)</f>
        <v>0</v>
      </c>
      <c r="F1046">
        <f>_xlfn.XLOOKUP($A1046,Load!$B:$B,Load!G:G,0,)</f>
        <v>0</v>
      </c>
      <c r="G1046">
        <f>_xlfn.XLOOKUP($A1046,Load!$B:$B,Load!H:H,0,)</f>
        <v>0</v>
      </c>
      <c r="H1046">
        <f>_xlfn.XLOOKUP($A1046,Load!$B:$B,Load!I:I,0,)</f>
        <v>0</v>
      </c>
      <c r="I1046">
        <f>_xlfn.XLOOKUP($A1046,Load!$B:$B,Load!J:J,0,)</f>
        <v>0</v>
      </c>
      <c r="J1046">
        <f>_xlfn.XLOOKUP($A1046,Load!$B:$B,Load!K:K,0,)</f>
        <v>0</v>
      </c>
      <c r="K1046">
        <f>_xlfn.XLOOKUP($A1046,Load!$B:$B,Load!L:L,0,)</f>
        <v>0</v>
      </c>
      <c r="L1046">
        <f>_xlfn.XLOOKUP($A1046,Load!$B:$B,Load!M:M,0,)</f>
        <v>0</v>
      </c>
    </row>
    <row r="1047" spans="1:12" x14ac:dyDescent="0.25">
      <c r="B1047">
        <f>_xlfn.XLOOKUP($A1047,Load!$B:$B,Load!C:C,0,)</f>
        <v>0</v>
      </c>
      <c r="C1047">
        <f>_xlfn.XLOOKUP($A1047,Load!$B:$B,Load!D:D,0,)</f>
        <v>0</v>
      </c>
      <c r="D1047">
        <f>_xlfn.XLOOKUP($A1047,Load!$B:$B,Load!E:E,0,)</f>
        <v>0</v>
      </c>
      <c r="E1047">
        <f>_xlfn.XLOOKUP($A1047,Load!$B:$B,Load!F:F,0,)</f>
        <v>0</v>
      </c>
      <c r="F1047">
        <f>_xlfn.XLOOKUP($A1047,Load!$B:$B,Load!G:G,0,)</f>
        <v>0</v>
      </c>
      <c r="G1047">
        <f>_xlfn.XLOOKUP($A1047,Load!$B:$B,Load!H:H,0,)</f>
        <v>0</v>
      </c>
      <c r="H1047">
        <f>_xlfn.XLOOKUP($A1047,Load!$B:$B,Load!I:I,0,)</f>
        <v>0</v>
      </c>
      <c r="I1047">
        <f>_xlfn.XLOOKUP($A1047,Load!$B:$B,Load!J:J,0,)</f>
        <v>0</v>
      </c>
      <c r="J1047">
        <f>_xlfn.XLOOKUP($A1047,Load!$B:$B,Load!K:K,0,)</f>
        <v>0</v>
      </c>
      <c r="K1047">
        <f>_xlfn.XLOOKUP($A1047,Load!$B:$B,Load!L:L,0,)</f>
        <v>0</v>
      </c>
      <c r="L1047">
        <f>_xlfn.XLOOKUP($A1047,Load!$B:$B,Load!M:M,0,)</f>
        <v>0</v>
      </c>
    </row>
    <row r="1048" spans="1:12" x14ac:dyDescent="0.25">
      <c r="B1048">
        <f>_xlfn.XLOOKUP($A1048,Load!$B:$B,Load!C:C,0,)</f>
        <v>0</v>
      </c>
      <c r="C1048">
        <f>_xlfn.XLOOKUP($A1048,Load!$B:$B,Load!D:D,0,)</f>
        <v>0</v>
      </c>
      <c r="D1048">
        <f>_xlfn.XLOOKUP($A1048,Load!$B:$B,Load!E:E,0,)</f>
        <v>0</v>
      </c>
      <c r="E1048">
        <f>_xlfn.XLOOKUP($A1048,Load!$B:$B,Load!F:F,0,)</f>
        <v>0</v>
      </c>
      <c r="F1048">
        <f>_xlfn.XLOOKUP($A1048,Load!$B:$B,Load!G:G,0,)</f>
        <v>0</v>
      </c>
      <c r="G1048">
        <f>_xlfn.XLOOKUP($A1048,Load!$B:$B,Load!H:H,0,)</f>
        <v>0</v>
      </c>
      <c r="H1048">
        <f>_xlfn.XLOOKUP($A1048,Load!$B:$B,Load!I:I,0,)</f>
        <v>0</v>
      </c>
      <c r="I1048">
        <f>_xlfn.XLOOKUP($A1048,Load!$B:$B,Load!J:J,0,)</f>
        <v>0</v>
      </c>
      <c r="J1048">
        <f>_xlfn.XLOOKUP($A1048,Load!$B:$B,Load!K:K,0,)</f>
        <v>0</v>
      </c>
      <c r="K1048">
        <f>_xlfn.XLOOKUP($A1048,Load!$B:$B,Load!L:L,0,)</f>
        <v>0</v>
      </c>
      <c r="L1048">
        <f>_xlfn.XLOOKUP($A1048,Load!$B:$B,Load!M:M,0,)</f>
        <v>0</v>
      </c>
    </row>
    <row r="1049" spans="1:12" x14ac:dyDescent="0.25">
      <c r="B1049">
        <f>_xlfn.XLOOKUP($A1049,Load!$B:$B,Load!C:C,0,)</f>
        <v>0</v>
      </c>
      <c r="C1049">
        <f>_xlfn.XLOOKUP($A1049,Load!$B:$B,Load!D:D,0,)</f>
        <v>0</v>
      </c>
      <c r="D1049">
        <f>_xlfn.XLOOKUP($A1049,Load!$B:$B,Load!E:E,0,)</f>
        <v>0</v>
      </c>
      <c r="E1049">
        <f>_xlfn.XLOOKUP($A1049,Load!$B:$B,Load!F:F,0,)</f>
        <v>0</v>
      </c>
      <c r="F1049">
        <f>_xlfn.XLOOKUP($A1049,Load!$B:$B,Load!G:G,0,)</f>
        <v>0</v>
      </c>
      <c r="G1049">
        <f>_xlfn.XLOOKUP($A1049,Load!$B:$B,Load!H:H,0,)</f>
        <v>0</v>
      </c>
      <c r="H1049">
        <f>_xlfn.XLOOKUP($A1049,Load!$B:$B,Load!I:I,0,)</f>
        <v>0</v>
      </c>
      <c r="I1049">
        <f>_xlfn.XLOOKUP($A1049,Load!$B:$B,Load!J:J,0,)</f>
        <v>0</v>
      </c>
      <c r="J1049">
        <f>_xlfn.XLOOKUP($A1049,Load!$B:$B,Load!K:K,0,)</f>
        <v>0</v>
      </c>
      <c r="K1049">
        <f>_xlfn.XLOOKUP($A1049,Load!$B:$B,Load!L:L,0,)</f>
        <v>0</v>
      </c>
      <c r="L1049">
        <f>_xlfn.XLOOKUP($A1049,Load!$B:$B,Load!M:M,0,)</f>
        <v>0</v>
      </c>
    </row>
    <row r="1050" spans="1:12" x14ac:dyDescent="0.25">
      <c r="A1050" t="s">
        <v>88</v>
      </c>
      <c r="B1050" t="str">
        <f>_xlfn.XLOOKUP($A1050,Load!$B:$B,Load!C:C,0,)</f>
        <v>Ferrara Variety Pack</v>
      </c>
      <c r="C1050" t="str">
        <f>_xlfn.XLOOKUP($A1050,Load!$B:$B,Load!D:D,0,)</f>
        <v>Non-Chocolate Candy Only</v>
      </c>
      <c r="D1050" t="str">
        <f>_xlfn.XLOOKUP($A1050,Load!$B:$B,Load!E:E,0,)</f>
        <v>Variety / Mixed Flavors (Fruity, Sour, Seasonal Flavors)</v>
      </c>
      <c r="E1050" t="str">
        <f>_xlfn.XLOOKUP($A1050,Load!$B:$B,Load!F:F,0,)</f>
        <v>Mixed / Combo Packs (Gummy, Chewy, Taffy, etc.)</v>
      </c>
      <c r="F1050" t="str">
        <f>_xlfn.XLOOKUP($A1050,Load!$B:$B,Load!G:G,0,)</f>
        <v>Small Multipack (Less than 40 ct)</v>
      </c>
      <c r="G1050" t="str">
        <f>_xlfn.XLOOKUP($A1050,Load!$B:$B,Load!H:H,0,)</f>
        <v>Laydown Bag</v>
      </c>
      <c r="H1050" t="str">
        <f>_xlfn.XLOOKUP($A1050,Load!$B:$B,Load!I:I,0,)</f>
        <v>Seasonal Shapes (like pumpkins, candy corn, ghost, bats, etc.)</v>
      </c>
      <c r="I1050" t="str">
        <f>_xlfn.XLOOKUP($A1050,Load!$B:$B,Load!J:J,0,)</f>
        <v>Seasonal Graphics (Like Bat, Ghost, Pumpkin, Fall Leaves, Eyeballs, etc.)</v>
      </c>
      <c r="J1050" t="str">
        <f>_xlfn.XLOOKUP($A1050,Load!$B:$B,Load!K:K,0,)</f>
        <v>Fun Size / Treat Size</v>
      </c>
      <c r="K1050" t="str">
        <f>_xlfn.XLOOKUP($A1050,Load!$B:$B,Load!L:L,0,)</f>
        <v>Regular/Original Wrapping</v>
      </c>
      <c r="L1050" t="str">
        <f>_xlfn.XLOOKUP($A1050,Load!$B:$B,Load!M:M,0,)</f>
        <v>Multiple Brands / Variety Flavors or Form</v>
      </c>
    </row>
    <row r="1051" spans="1:12" x14ac:dyDescent="0.25">
      <c r="A1051" t="s">
        <v>120</v>
      </c>
      <c r="B1051" t="str">
        <f>_xlfn.XLOOKUP($A1051,Load!$B:$B,Load!C:C,0,)</f>
        <v>HARIBO</v>
      </c>
      <c r="C1051" t="str">
        <f>_xlfn.XLOOKUP($A1051,Load!$B:$B,Load!D:D,0,)</f>
        <v>Non-Chocolate Candy Only</v>
      </c>
      <c r="D1051" t="str">
        <f>_xlfn.XLOOKUP($A1051,Load!$B:$B,Load!E:E,0,)</f>
        <v>Variety / Mixed Flavors (Fruity, Sour, Seasonal Flavors)</v>
      </c>
      <c r="E1051" t="str">
        <f>_xlfn.XLOOKUP($A1051,Load!$B:$B,Load!F:F,0,)</f>
        <v>Mixed / Combo Packs (Gummy, Chewy, Taffy, etc.)</v>
      </c>
      <c r="F1051" t="str">
        <f>_xlfn.XLOOKUP($A1051,Load!$B:$B,Load!G:G,0,)</f>
        <v>Medium Multipack (40–80 ct)</v>
      </c>
      <c r="G1051" t="str">
        <f>_xlfn.XLOOKUP($A1051,Load!$B:$B,Load!H:H,0,)</f>
        <v>Laydown Bag</v>
      </c>
      <c r="H1051" t="str">
        <f>_xlfn.XLOOKUP($A1051,Load!$B:$B,Load!I:I,0,)</f>
        <v>Seasonal Shapes (like pumpkins, candy corn, ghost, bats, etc.)</v>
      </c>
      <c r="I1051" t="str">
        <f>_xlfn.XLOOKUP($A1051,Load!$B:$B,Load!J:J,0,)</f>
        <v>Seasonal Graphics (Like Bat, Ghost, Pumpkin, Fall Leaves, Eyeballs, etc.)</v>
      </c>
      <c r="J1051" t="str">
        <f>_xlfn.XLOOKUP($A1051,Load!$B:$B,Load!K:K,0,)</f>
        <v>Small Pieces (Tiny bite size candies)</v>
      </c>
      <c r="K1051" t="str">
        <f>_xlfn.XLOOKUP($A1051,Load!$B:$B,Load!L:L,0,)</f>
        <v>Regular/Original Wrapping</v>
      </c>
      <c r="L1051" t="str">
        <f>_xlfn.XLOOKUP($A1051,Load!$B:$B,Load!M:M,0,)</f>
        <v>Single Brand / Variety Flavors or Form</v>
      </c>
    </row>
    <row r="1052" spans="1:12" x14ac:dyDescent="0.25">
      <c r="A1052" t="s">
        <v>253</v>
      </c>
      <c r="B1052" t="str">
        <f>_xlfn.XLOOKUP($A1052,Load!$B:$B,Load!C:C,0,)</f>
        <v>Skittles</v>
      </c>
      <c r="C1052" t="str">
        <f>_xlfn.XLOOKUP($A1052,Load!$B:$B,Load!D:D,0,)</f>
        <v>Non-Chocolate Candy Only</v>
      </c>
      <c r="D1052" t="str">
        <f>_xlfn.XLOOKUP($A1052,Load!$B:$B,Load!E:E,0,)</f>
        <v>Variety / Mixed Flavors (Fruity, Sour, Seasonal Flavors)</v>
      </c>
      <c r="E1052" t="str">
        <f>_xlfn.XLOOKUP($A1052,Load!$B:$B,Load!F:F,0,)</f>
        <v>Mixed / Combo Packs (Gummy, Chewy, Taffy, etc.)</v>
      </c>
      <c r="F1052" t="str">
        <f>_xlfn.XLOOKUP($A1052,Load!$B:$B,Load!G:G,0,)</f>
        <v>Medium Multipack (40–80 ct)</v>
      </c>
      <c r="G1052" t="str">
        <f>_xlfn.XLOOKUP($A1052,Load!$B:$B,Load!H:H,0,)</f>
        <v>Stand-Up Bag</v>
      </c>
      <c r="H1052" t="str">
        <f>_xlfn.XLOOKUP($A1052,Load!$B:$B,Load!I:I,0,)</f>
        <v>Everyday Candy Shapes (like Original, Gummy bear, Fruit, Jewels, etc.)</v>
      </c>
      <c r="I1052" t="str">
        <f>_xlfn.XLOOKUP($A1052,Load!$B:$B,Load!J:J,0,)</f>
        <v>Seasonal Graphics (Like Bat, Ghost, Pumpkin, Fall Leaves, Eyeballs, etc.)</v>
      </c>
      <c r="J1052" t="str">
        <f>_xlfn.XLOOKUP($A1052,Load!$B:$B,Load!K:K,0,)</f>
        <v>Small Pieces (Tiny bite size candies)</v>
      </c>
      <c r="K1052" t="str">
        <f>_xlfn.XLOOKUP($A1052,Load!$B:$B,Load!L:L,0,)</f>
        <v>Regular/Original Wrapping</v>
      </c>
      <c r="L1052" t="str">
        <f>_xlfn.XLOOKUP($A1052,Load!$B:$B,Load!M:M,0,)</f>
        <v>Single Brand / Variety Flavors or Form</v>
      </c>
    </row>
    <row r="1053" spans="1:12" x14ac:dyDescent="0.25">
      <c r="B1053">
        <f>_xlfn.XLOOKUP($A1053,Load!$B:$B,Load!C:C,0,)</f>
        <v>0</v>
      </c>
      <c r="C1053">
        <f>_xlfn.XLOOKUP($A1053,Load!$B:$B,Load!D:D,0,)</f>
        <v>0</v>
      </c>
      <c r="D1053">
        <f>_xlfn.XLOOKUP($A1053,Load!$B:$B,Load!E:E,0,)</f>
        <v>0</v>
      </c>
      <c r="E1053">
        <f>_xlfn.XLOOKUP($A1053,Load!$B:$B,Load!F:F,0,)</f>
        <v>0</v>
      </c>
      <c r="F1053">
        <f>_xlfn.XLOOKUP($A1053,Load!$B:$B,Load!G:G,0,)</f>
        <v>0</v>
      </c>
      <c r="G1053">
        <f>_xlfn.XLOOKUP($A1053,Load!$B:$B,Load!H:H,0,)</f>
        <v>0</v>
      </c>
      <c r="H1053">
        <f>_xlfn.XLOOKUP($A1053,Load!$B:$B,Load!I:I,0,)</f>
        <v>0</v>
      </c>
      <c r="I1053">
        <f>_xlfn.XLOOKUP($A1053,Load!$B:$B,Load!J:J,0,)</f>
        <v>0</v>
      </c>
      <c r="J1053">
        <f>_xlfn.XLOOKUP($A1053,Load!$B:$B,Load!K:K,0,)</f>
        <v>0</v>
      </c>
      <c r="K1053">
        <f>_xlfn.XLOOKUP($A1053,Load!$B:$B,Load!L:L,0,)</f>
        <v>0</v>
      </c>
      <c r="L1053">
        <f>_xlfn.XLOOKUP($A1053,Load!$B:$B,Load!M:M,0,)</f>
        <v>0</v>
      </c>
    </row>
    <row r="1054" spans="1:12" x14ac:dyDescent="0.25">
      <c r="B1054">
        <f>_xlfn.XLOOKUP($A1054,Load!$B:$B,Load!C:C,0,)</f>
        <v>0</v>
      </c>
      <c r="C1054">
        <f>_xlfn.XLOOKUP($A1054,Load!$B:$B,Load!D:D,0,)</f>
        <v>0</v>
      </c>
      <c r="D1054">
        <f>_xlfn.XLOOKUP($A1054,Load!$B:$B,Load!E:E,0,)</f>
        <v>0</v>
      </c>
      <c r="E1054">
        <f>_xlfn.XLOOKUP($A1054,Load!$B:$B,Load!F:F,0,)</f>
        <v>0</v>
      </c>
      <c r="F1054">
        <f>_xlfn.XLOOKUP($A1054,Load!$B:$B,Load!G:G,0,)</f>
        <v>0</v>
      </c>
      <c r="G1054">
        <f>_xlfn.XLOOKUP($A1054,Load!$B:$B,Load!H:H,0,)</f>
        <v>0</v>
      </c>
      <c r="H1054">
        <f>_xlfn.XLOOKUP($A1054,Load!$B:$B,Load!I:I,0,)</f>
        <v>0</v>
      </c>
      <c r="I1054">
        <f>_xlfn.XLOOKUP($A1054,Load!$B:$B,Load!J:J,0,)</f>
        <v>0</v>
      </c>
      <c r="J1054">
        <f>_xlfn.XLOOKUP($A1054,Load!$B:$B,Load!K:K,0,)</f>
        <v>0</v>
      </c>
      <c r="K1054">
        <f>_xlfn.XLOOKUP($A1054,Load!$B:$B,Load!L:L,0,)</f>
        <v>0</v>
      </c>
      <c r="L1054">
        <f>_xlfn.XLOOKUP($A1054,Load!$B:$B,Load!M:M,0,)</f>
        <v>0</v>
      </c>
    </row>
    <row r="1055" spans="1:12" x14ac:dyDescent="0.25">
      <c r="B1055">
        <f>_xlfn.XLOOKUP($A1055,Load!$B:$B,Load!C:C,0,)</f>
        <v>0</v>
      </c>
      <c r="C1055">
        <f>_xlfn.XLOOKUP($A1055,Load!$B:$B,Load!D:D,0,)</f>
        <v>0</v>
      </c>
      <c r="D1055">
        <f>_xlfn.XLOOKUP($A1055,Load!$B:$B,Load!E:E,0,)</f>
        <v>0</v>
      </c>
      <c r="E1055">
        <f>_xlfn.XLOOKUP($A1055,Load!$B:$B,Load!F:F,0,)</f>
        <v>0</v>
      </c>
      <c r="F1055">
        <f>_xlfn.XLOOKUP($A1055,Load!$B:$B,Load!G:G,0,)</f>
        <v>0</v>
      </c>
      <c r="G1055">
        <f>_xlfn.XLOOKUP($A1055,Load!$B:$B,Load!H:H,0,)</f>
        <v>0</v>
      </c>
      <c r="H1055">
        <f>_xlfn.XLOOKUP($A1055,Load!$B:$B,Load!I:I,0,)</f>
        <v>0</v>
      </c>
      <c r="I1055">
        <f>_xlfn.XLOOKUP($A1055,Load!$B:$B,Load!J:J,0,)</f>
        <v>0</v>
      </c>
      <c r="J1055">
        <f>_xlfn.XLOOKUP($A1055,Load!$B:$B,Load!K:K,0,)</f>
        <v>0</v>
      </c>
      <c r="K1055">
        <f>_xlfn.XLOOKUP($A1055,Load!$B:$B,Load!L:L,0,)</f>
        <v>0</v>
      </c>
      <c r="L1055">
        <f>_xlfn.XLOOKUP($A1055,Load!$B:$B,Load!M:M,0,)</f>
        <v>0</v>
      </c>
    </row>
    <row r="1056" spans="1:12" x14ac:dyDescent="0.25">
      <c r="A1056" t="s">
        <v>293</v>
      </c>
      <c r="B1056" t="str">
        <f>_xlfn.XLOOKUP($A1056,Load!$B:$B,Load!C:C,0,)</f>
        <v>Tootsie</v>
      </c>
      <c r="C1056" t="str">
        <f>_xlfn.XLOOKUP($A1056,Load!$B:$B,Load!D:D,0,)</f>
        <v>Mix of Chocolate and Non-Chocolate Candy</v>
      </c>
      <c r="D1056" t="str">
        <f>_xlfn.XLOOKUP($A1056,Load!$B:$B,Load!E:E,0,)</f>
        <v>Sweet</v>
      </c>
      <c r="E1056" t="str">
        <f>_xlfn.XLOOKUP($A1056,Load!$B:$B,Load!F:F,0,)</f>
        <v>Lollipop (regular or lollipop rings)</v>
      </c>
      <c r="F1056" t="str">
        <f>_xlfn.XLOOKUP($A1056,Load!$B:$B,Load!G:G,0,)</f>
        <v>Large Multipack (More than 80 ct)</v>
      </c>
      <c r="G1056" t="str">
        <f>_xlfn.XLOOKUP($A1056,Load!$B:$B,Load!H:H,0,)</f>
        <v>Laydown Bag</v>
      </c>
      <c r="H1056" t="str">
        <f>_xlfn.XLOOKUP($A1056,Load!$B:$B,Load!I:I,0,)</f>
        <v>Everyday Candy Shapes (like Original, Gummy bear, Fruit, Jewels, etc.)</v>
      </c>
      <c r="I1056" t="str">
        <f>_xlfn.XLOOKUP($A1056,Load!$B:$B,Load!J:J,0,)</f>
        <v>Everyday Graphics</v>
      </c>
      <c r="J1056" t="str">
        <f>_xlfn.XLOOKUP($A1056,Load!$B:$B,Load!K:K,0,)</f>
        <v>Regular Lollipop size (on sticks or rings)</v>
      </c>
      <c r="K1056" t="str">
        <f>_xlfn.XLOOKUP($A1056,Load!$B:$B,Load!L:L,0,)</f>
        <v>Regular/Original Wrapping</v>
      </c>
      <c r="L1056" t="str">
        <f>_xlfn.XLOOKUP($A1056,Load!$B:$B,Load!M:M,0,)</f>
        <v>Single Brand / Single Flavor or Form</v>
      </c>
    </row>
    <row r="1057" spans="1:12" x14ac:dyDescent="0.25">
      <c r="A1057" t="s">
        <v>294</v>
      </c>
      <c r="B1057" t="str">
        <f>_xlfn.XLOOKUP($A1057,Load!$B:$B,Load!C:C,0,)</f>
        <v>Tootsie</v>
      </c>
      <c r="C1057" t="str">
        <f>_xlfn.XLOOKUP($A1057,Load!$B:$B,Load!D:D,0,)</f>
        <v>Non-Chocolate Candy Only</v>
      </c>
      <c r="D1057" t="str">
        <f>_xlfn.XLOOKUP($A1057,Load!$B:$B,Load!E:E,0,)</f>
        <v>Sweet</v>
      </c>
      <c r="E1057" t="str">
        <f>_xlfn.XLOOKUP($A1057,Load!$B:$B,Load!F:F,0,)</f>
        <v>Lollipop (regular or lollipop rings)</v>
      </c>
      <c r="F1057" t="str">
        <f>_xlfn.XLOOKUP($A1057,Load!$B:$B,Load!G:G,0,)</f>
        <v>Large Multipack (More than 80 ct)</v>
      </c>
      <c r="G1057" t="str">
        <f>_xlfn.XLOOKUP($A1057,Load!$B:$B,Load!H:H,0,)</f>
        <v>Laydown Bag</v>
      </c>
      <c r="H1057" t="str">
        <f>_xlfn.XLOOKUP($A1057,Load!$B:$B,Load!I:I,0,)</f>
        <v>Everyday Candy Shapes (like Original, Gummy bear, Fruit, Jewels, etc.)</v>
      </c>
      <c r="I1057" t="str">
        <f>_xlfn.XLOOKUP($A1057,Load!$B:$B,Load!J:J,0,)</f>
        <v>Everyday Graphics</v>
      </c>
      <c r="J1057" t="str">
        <f>_xlfn.XLOOKUP($A1057,Load!$B:$B,Load!K:K,0,)</f>
        <v>Regular Lollipop size (on sticks or rings)</v>
      </c>
      <c r="K1057" t="str">
        <f>_xlfn.XLOOKUP($A1057,Load!$B:$B,Load!L:L,0,)</f>
        <v>Regular/Original Wrapping</v>
      </c>
      <c r="L1057" t="str">
        <f>_xlfn.XLOOKUP($A1057,Load!$B:$B,Load!M:M,0,)</f>
        <v>Single Brand / Single Flavor or Form</v>
      </c>
    </row>
    <row r="1058" spans="1:12" x14ac:dyDescent="0.25">
      <c r="A1058" t="s">
        <v>144</v>
      </c>
      <c r="B1058" t="str">
        <f>_xlfn.XLOOKUP($A1058,Load!$B:$B,Load!C:C,0,)</f>
        <v>Hershey's Variety Pack + Haribo</v>
      </c>
      <c r="C1058" t="str">
        <f>_xlfn.XLOOKUP($A1058,Load!$B:$B,Load!D:D,0,)</f>
        <v>Mix of Chocolate and Non-Chocolate Candy</v>
      </c>
      <c r="D1058" t="str">
        <f>_xlfn.XLOOKUP($A1058,Load!$B:$B,Load!E:E,0,)</f>
        <v>Variety / Mixed Flavors (Fruity, Sour, Seasonal Flavors)</v>
      </c>
      <c r="E1058" t="str">
        <f>_xlfn.XLOOKUP($A1058,Load!$B:$B,Load!F:F,0,)</f>
        <v>Mixed / Combo Packs (Gummy, Chewy, Taffy, etc.)</v>
      </c>
      <c r="F1058" t="str">
        <f>_xlfn.XLOOKUP($A1058,Load!$B:$B,Load!G:G,0,)</f>
        <v>Large Multipack (More than 80 ct)</v>
      </c>
      <c r="G1058" t="str">
        <f>_xlfn.XLOOKUP($A1058,Load!$B:$B,Load!H:H,0,)</f>
        <v>Stand-Up Bag</v>
      </c>
      <c r="H1058" t="str">
        <f>_xlfn.XLOOKUP($A1058,Load!$B:$B,Load!I:I,0,)</f>
        <v>Everyday Candy Shapes (like Original, Gummy bear, Fruit, Jewels, etc.)</v>
      </c>
      <c r="I1058" t="str">
        <f>_xlfn.XLOOKUP($A1058,Load!$B:$B,Load!J:J,0,)</f>
        <v>Seasonal Graphics (Like Bat, Ghost, Pumpkin, Fall Leaves, Eyeballs, etc.)</v>
      </c>
      <c r="J1058" t="str">
        <f>_xlfn.XLOOKUP($A1058,Load!$B:$B,Load!K:K,0,)</f>
        <v>Fun Size / Treat Size</v>
      </c>
      <c r="K1058" t="str">
        <f>_xlfn.XLOOKUP($A1058,Load!$B:$B,Load!L:L,0,)</f>
        <v>Regular/Original Wrapping</v>
      </c>
      <c r="L1058" t="str">
        <f>_xlfn.XLOOKUP($A1058,Load!$B:$B,Load!M:M,0,)</f>
        <v>Multiple Brands / Variety Flavors or Form</v>
      </c>
    </row>
    <row r="1059" spans="1:12" x14ac:dyDescent="0.25">
      <c r="B1059">
        <f>_xlfn.XLOOKUP($A1059,Load!$B:$B,Load!C:C,0,)</f>
        <v>0</v>
      </c>
      <c r="C1059">
        <f>_xlfn.XLOOKUP($A1059,Load!$B:$B,Load!D:D,0,)</f>
        <v>0</v>
      </c>
      <c r="D1059">
        <f>_xlfn.XLOOKUP($A1059,Load!$B:$B,Load!E:E,0,)</f>
        <v>0</v>
      </c>
      <c r="E1059">
        <f>_xlfn.XLOOKUP($A1059,Load!$B:$B,Load!F:F,0,)</f>
        <v>0</v>
      </c>
      <c r="F1059">
        <f>_xlfn.XLOOKUP($A1059,Load!$B:$B,Load!G:G,0,)</f>
        <v>0</v>
      </c>
      <c r="G1059">
        <f>_xlfn.XLOOKUP($A1059,Load!$B:$B,Load!H:H,0,)</f>
        <v>0</v>
      </c>
      <c r="H1059">
        <f>_xlfn.XLOOKUP($A1059,Load!$B:$B,Load!I:I,0,)</f>
        <v>0</v>
      </c>
      <c r="I1059">
        <f>_xlfn.XLOOKUP($A1059,Load!$B:$B,Load!J:J,0,)</f>
        <v>0</v>
      </c>
      <c r="J1059">
        <f>_xlfn.XLOOKUP($A1059,Load!$B:$B,Load!K:K,0,)</f>
        <v>0</v>
      </c>
      <c r="K1059">
        <f>_xlfn.XLOOKUP($A1059,Load!$B:$B,Load!L:L,0,)</f>
        <v>0</v>
      </c>
      <c r="L1059">
        <f>_xlfn.XLOOKUP($A1059,Load!$B:$B,Load!M:M,0,)</f>
        <v>0</v>
      </c>
    </row>
    <row r="1060" spans="1:12" x14ac:dyDescent="0.25">
      <c r="A1060" t="s">
        <v>182</v>
      </c>
      <c r="B1060" t="str">
        <f>_xlfn.XLOOKUP($A1060,Load!$B:$B,Load!C:C,0,)</f>
        <v>Mars Variety Pack</v>
      </c>
      <c r="C1060" t="str">
        <f>_xlfn.XLOOKUP($A1060,Load!$B:$B,Load!D:D,0,)</f>
        <v>Non-Chocolate Candy Only</v>
      </c>
      <c r="D1060" t="str">
        <f>_xlfn.XLOOKUP($A1060,Load!$B:$B,Load!E:E,0,)</f>
        <v>Variety / Mixed Flavors (Fruity, Sour, Seasonal Flavors)</v>
      </c>
      <c r="E1060" t="str">
        <f>_xlfn.XLOOKUP($A1060,Load!$B:$B,Load!F:F,0,)</f>
        <v>Mixed / Combo Packs (Gummy, Chewy, Taffy, etc.)</v>
      </c>
      <c r="F1060" t="str">
        <f>_xlfn.XLOOKUP($A1060,Load!$B:$B,Load!G:G,0,)</f>
        <v>Large Multipack (More than 80 ct)</v>
      </c>
      <c r="G1060" t="str">
        <f>_xlfn.XLOOKUP($A1060,Load!$B:$B,Load!H:H,0,)</f>
        <v>Stand-Up Bag</v>
      </c>
      <c r="H1060" t="str">
        <f>_xlfn.XLOOKUP($A1060,Load!$B:$B,Load!I:I,0,)</f>
        <v>Everyday Candy Shapes (like Original, Gummy bear, Fruit, Jewels, etc.)</v>
      </c>
      <c r="I1060" t="str">
        <f>_xlfn.XLOOKUP($A1060,Load!$B:$B,Load!J:J,0,)</f>
        <v>Seasonal Graphics (Like Bat, Ghost, Pumpkin, Fall Leaves, Eyeballs, etc.)</v>
      </c>
      <c r="J1060" t="str">
        <f>_xlfn.XLOOKUP($A1060,Load!$B:$B,Load!K:K,0,)</f>
        <v xml:space="preserve">Variety Candy Sizes </v>
      </c>
      <c r="K1060" t="str">
        <f>_xlfn.XLOOKUP($A1060,Load!$B:$B,Load!L:L,0,)</f>
        <v>Regular/Original Wrapping</v>
      </c>
      <c r="L1060" t="str">
        <f>_xlfn.XLOOKUP($A1060,Load!$B:$B,Load!M:M,0,)</f>
        <v>Multiple Brands / Variety Flavors or Form</v>
      </c>
    </row>
    <row r="1061" spans="1:12" x14ac:dyDescent="0.25">
      <c r="A1061" t="s">
        <v>201</v>
      </c>
      <c r="B1061" t="str">
        <f>_xlfn.XLOOKUP($A1061,Load!$B:$B,Load!C:C,0,)</f>
        <v>Mars Variety Pack</v>
      </c>
      <c r="C1061" t="str">
        <f>_xlfn.XLOOKUP($A1061,Load!$B:$B,Load!D:D,0,)</f>
        <v>Non-Chocolate Candy Only</v>
      </c>
      <c r="D1061" t="str">
        <f>_xlfn.XLOOKUP($A1061,Load!$B:$B,Load!E:E,0,)</f>
        <v>Variety / Mixed Flavors (Fruity, Sour, Seasonal Flavors)</v>
      </c>
      <c r="E1061" t="str">
        <f>_xlfn.XLOOKUP($A1061,Load!$B:$B,Load!F:F,0,)</f>
        <v>Mixed / Combo Packs (Gummy, Chewy, Taffy, etc.)</v>
      </c>
      <c r="F1061" t="str">
        <f>_xlfn.XLOOKUP($A1061,Load!$B:$B,Load!G:G,0,)</f>
        <v>Large Multipack (More than 80 ct)</v>
      </c>
      <c r="G1061" t="str">
        <f>_xlfn.XLOOKUP($A1061,Load!$B:$B,Load!H:H,0,)</f>
        <v>Stand-Up Bag</v>
      </c>
      <c r="H1061" t="str">
        <f>_xlfn.XLOOKUP($A1061,Load!$B:$B,Load!I:I,0,)</f>
        <v>Everyday Candy Shapes (like Original, Gummy bear, Fruit, Jewels, etc.)</v>
      </c>
      <c r="I1061" t="str">
        <f>_xlfn.XLOOKUP($A1061,Load!$B:$B,Load!J:J,0,)</f>
        <v>Everyday Graphics</v>
      </c>
      <c r="J1061" t="str">
        <f>_xlfn.XLOOKUP($A1061,Load!$B:$B,Load!K:K,0,)</f>
        <v>Fun Size / Treat Size</v>
      </c>
      <c r="K1061" t="str">
        <f>_xlfn.XLOOKUP($A1061,Load!$B:$B,Load!L:L,0,)</f>
        <v>Regular/Original Wrapping</v>
      </c>
      <c r="L1061" t="str">
        <f>_xlfn.XLOOKUP($A1061,Load!$B:$B,Load!M:M,0,)</f>
        <v>Multiple Brands / Variety Flavors or Form</v>
      </c>
    </row>
    <row r="1062" spans="1:12" x14ac:dyDescent="0.25">
      <c r="B1062">
        <f>_xlfn.XLOOKUP($A1062,Load!$B:$B,Load!C:C,0,)</f>
        <v>0</v>
      </c>
      <c r="C1062">
        <f>_xlfn.XLOOKUP($A1062,Load!$B:$B,Load!D:D,0,)</f>
        <v>0</v>
      </c>
      <c r="D1062">
        <f>_xlfn.XLOOKUP($A1062,Load!$B:$B,Load!E:E,0,)</f>
        <v>0</v>
      </c>
      <c r="E1062">
        <f>_xlfn.XLOOKUP($A1062,Load!$B:$B,Load!F:F,0,)</f>
        <v>0</v>
      </c>
      <c r="F1062">
        <f>_xlfn.XLOOKUP($A1062,Load!$B:$B,Load!G:G,0,)</f>
        <v>0</v>
      </c>
      <c r="G1062">
        <f>_xlfn.XLOOKUP($A1062,Load!$B:$B,Load!H:H,0,)</f>
        <v>0</v>
      </c>
      <c r="H1062">
        <f>_xlfn.XLOOKUP($A1062,Load!$B:$B,Load!I:I,0,)</f>
        <v>0</v>
      </c>
      <c r="I1062">
        <f>_xlfn.XLOOKUP($A1062,Load!$B:$B,Load!J:J,0,)</f>
        <v>0</v>
      </c>
      <c r="J1062">
        <f>_xlfn.XLOOKUP($A1062,Load!$B:$B,Load!K:K,0,)</f>
        <v>0</v>
      </c>
      <c r="K1062">
        <f>_xlfn.XLOOKUP($A1062,Load!$B:$B,Load!L:L,0,)</f>
        <v>0</v>
      </c>
      <c r="L1062">
        <f>_xlfn.XLOOKUP($A1062,Load!$B:$B,Load!M:M,0,)</f>
        <v>0</v>
      </c>
    </row>
    <row r="1063" spans="1:12" x14ac:dyDescent="0.25">
      <c r="B1063">
        <f>_xlfn.XLOOKUP($A1063,Load!$B:$B,Load!C:C,0,)</f>
        <v>0</v>
      </c>
      <c r="C1063">
        <f>_xlfn.XLOOKUP($A1063,Load!$B:$B,Load!D:D,0,)</f>
        <v>0</v>
      </c>
      <c r="D1063">
        <f>_xlfn.XLOOKUP($A1063,Load!$B:$B,Load!E:E,0,)</f>
        <v>0</v>
      </c>
      <c r="E1063">
        <f>_xlfn.XLOOKUP($A1063,Load!$B:$B,Load!F:F,0,)</f>
        <v>0</v>
      </c>
      <c r="F1063">
        <f>_xlfn.XLOOKUP($A1063,Load!$B:$B,Load!G:G,0,)</f>
        <v>0</v>
      </c>
      <c r="G1063">
        <f>_xlfn.XLOOKUP($A1063,Load!$B:$B,Load!H:H,0,)</f>
        <v>0</v>
      </c>
      <c r="H1063">
        <f>_xlfn.XLOOKUP($A1063,Load!$B:$B,Load!I:I,0,)</f>
        <v>0</v>
      </c>
      <c r="I1063">
        <f>_xlfn.XLOOKUP($A1063,Load!$B:$B,Load!J:J,0,)</f>
        <v>0</v>
      </c>
      <c r="J1063">
        <f>_xlfn.XLOOKUP($A1063,Load!$B:$B,Load!K:K,0,)</f>
        <v>0</v>
      </c>
      <c r="K1063">
        <f>_xlfn.XLOOKUP($A1063,Load!$B:$B,Load!L:L,0,)</f>
        <v>0</v>
      </c>
      <c r="L1063">
        <f>_xlfn.XLOOKUP($A1063,Load!$B:$B,Load!M:M,0,)</f>
        <v>0</v>
      </c>
    </row>
    <row r="1064" spans="1:12" x14ac:dyDescent="0.25">
      <c r="A1064" t="s">
        <v>130</v>
      </c>
      <c r="B1064" t="str">
        <f>_xlfn.XLOOKUP($A1064,Load!$B:$B,Load!C:C,0,)</f>
        <v>Hershey's</v>
      </c>
      <c r="C1064" t="str">
        <f>_xlfn.XLOOKUP($A1064,Load!$B:$B,Load!D:D,0,)</f>
        <v>Non-Chocolate Candy Only</v>
      </c>
      <c r="D1064" t="str">
        <f>_xlfn.XLOOKUP($A1064,Load!$B:$B,Load!E:E,0,)</f>
        <v>Variety / Mixed Flavors (Fruity, Sour, Seasonal Flavors)</v>
      </c>
      <c r="E1064" t="str">
        <f>_xlfn.XLOOKUP($A1064,Load!$B:$B,Load!F:F,0,)</f>
        <v>Mixed / Combo Packs (Gummy, Chewy, Taffy, etc.)</v>
      </c>
      <c r="F1064" t="str">
        <f>_xlfn.XLOOKUP($A1064,Load!$B:$B,Load!G:G,0,)</f>
        <v>Medium Multipack (40–80 ct)</v>
      </c>
      <c r="G1064" t="str">
        <f>_xlfn.XLOOKUP($A1064,Load!$B:$B,Load!H:H,0,)</f>
        <v>Laydown Bag</v>
      </c>
      <c r="H1064" t="str">
        <f>_xlfn.XLOOKUP($A1064,Load!$B:$B,Load!I:I,0,)</f>
        <v>Everyday Candy Shapes (like Original, Gummy bear, Fruit, Jewels, etc.)</v>
      </c>
      <c r="I1064" t="str">
        <f>_xlfn.XLOOKUP($A1064,Load!$B:$B,Load!J:J,0,)</f>
        <v>Seasonal Graphics (Like Bat, Ghost, Pumpkin, Fall Leaves, Eyeballs, etc.)</v>
      </c>
      <c r="J1064" t="str">
        <f>_xlfn.XLOOKUP($A1064,Load!$B:$B,Load!K:K,0,)</f>
        <v xml:space="preserve">Variety Candy Sizes </v>
      </c>
      <c r="K1064" t="str">
        <f>_xlfn.XLOOKUP($A1064,Load!$B:$B,Load!L:L,0,)</f>
        <v>Regular/Original Wrapping</v>
      </c>
      <c r="L1064" t="str">
        <f>_xlfn.XLOOKUP($A1064,Load!$B:$B,Load!M:M,0,)</f>
        <v>Multiple Brands / Variety Flavors or Form</v>
      </c>
    </row>
    <row r="1065" spans="1:12" x14ac:dyDescent="0.25">
      <c r="B1065">
        <f>_xlfn.XLOOKUP($A1065,Load!$B:$B,Load!C:C,0,)</f>
        <v>0</v>
      </c>
      <c r="C1065">
        <f>_xlfn.XLOOKUP($A1065,Load!$B:$B,Load!D:D,0,)</f>
        <v>0</v>
      </c>
      <c r="D1065">
        <f>_xlfn.XLOOKUP($A1065,Load!$B:$B,Load!E:E,0,)</f>
        <v>0</v>
      </c>
      <c r="E1065">
        <f>_xlfn.XLOOKUP($A1065,Load!$B:$B,Load!F:F,0,)</f>
        <v>0</v>
      </c>
      <c r="F1065">
        <f>_xlfn.XLOOKUP($A1065,Load!$B:$B,Load!G:G,0,)</f>
        <v>0</v>
      </c>
      <c r="G1065">
        <f>_xlfn.XLOOKUP($A1065,Load!$B:$B,Load!H:H,0,)</f>
        <v>0</v>
      </c>
      <c r="H1065">
        <f>_xlfn.XLOOKUP($A1065,Load!$B:$B,Load!I:I,0,)</f>
        <v>0</v>
      </c>
      <c r="I1065">
        <f>_xlfn.XLOOKUP($A1065,Load!$B:$B,Load!J:J,0,)</f>
        <v>0</v>
      </c>
      <c r="J1065">
        <f>_xlfn.XLOOKUP($A1065,Load!$B:$B,Load!K:K,0,)</f>
        <v>0</v>
      </c>
      <c r="K1065">
        <f>_xlfn.XLOOKUP($A1065,Load!$B:$B,Load!L:L,0,)</f>
        <v>0</v>
      </c>
      <c r="L1065">
        <f>_xlfn.XLOOKUP($A1065,Load!$B:$B,Load!M:M,0,)</f>
        <v>0</v>
      </c>
    </row>
    <row r="1066" spans="1:12" x14ac:dyDescent="0.25">
      <c r="A1066" t="s">
        <v>95</v>
      </c>
      <c r="B1066" t="str">
        <f>_xlfn.XLOOKUP($A1066,Load!$B:$B,Load!C:C,0,)</f>
        <v>Ferrara Variety Pack</v>
      </c>
      <c r="C1066" t="str">
        <f>_xlfn.XLOOKUP($A1066,Load!$B:$B,Load!D:D,0,)</f>
        <v>Non-Chocolate Candy Only</v>
      </c>
      <c r="D1066" t="str">
        <f>_xlfn.XLOOKUP($A1066,Load!$B:$B,Load!E:E,0,)</f>
        <v>Variety / Mixed Flavors (Fruity, Sour, Seasonal Flavors)</v>
      </c>
      <c r="E1066" t="str">
        <f>_xlfn.XLOOKUP($A1066,Load!$B:$B,Load!F:F,0,)</f>
        <v>Mixed / Combo Packs (Gummy, Chewy, Taffy, etc.)</v>
      </c>
      <c r="F1066" t="str">
        <f>_xlfn.XLOOKUP($A1066,Load!$B:$B,Load!G:G,0,)</f>
        <v>Medium Multipack (40–80 ct)</v>
      </c>
      <c r="G1066" t="str">
        <f>_xlfn.XLOOKUP($A1066,Load!$B:$B,Load!H:H,0,)</f>
        <v>Stand-Up Bag</v>
      </c>
      <c r="H1066" t="str">
        <f>_xlfn.XLOOKUP($A1066,Load!$B:$B,Load!I:I,0,)</f>
        <v>Everyday Candy Shapes (like Original, Gummy bear, Fruit, Jewels, etc.)</v>
      </c>
      <c r="I1066" t="str">
        <f>_xlfn.XLOOKUP($A1066,Load!$B:$B,Load!J:J,0,)</f>
        <v>Seasonal Graphics (Like Bat, Ghost, Pumpkin, Fall Leaves, Eyeballs, etc.)</v>
      </c>
      <c r="J1066" t="str">
        <f>_xlfn.XLOOKUP($A1066,Load!$B:$B,Load!K:K,0,)</f>
        <v xml:space="preserve">Variety Candy Sizes </v>
      </c>
      <c r="K1066" t="str">
        <f>_xlfn.XLOOKUP($A1066,Load!$B:$B,Load!L:L,0,)</f>
        <v>Regular/Original Wrapping</v>
      </c>
      <c r="L1066" t="str">
        <f>_xlfn.XLOOKUP($A1066,Load!$B:$B,Load!M:M,0,)</f>
        <v>Multiple Brands / Variety Flavors or Form</v>
      </c>
    </row>
    <row r="1067" spans="1:12" x14ac:dyDescent="0.25">
      <c r="B1067">
        <f>_xlfn.XLOOKUP($A1067,Load!$B:$B,Load!C:C,0,)</f>
        <v>0</v>
      </c>
      <c r="C1067">
        <f>_xlfn.XLOOKUP($A1067,Load!$B:$B,Load!D:D,0,)</f>
        <v>0</v>
      </c>
      <c r="D1067">
        <f>_xlfn.XLOOKUP($A1067,Load!$B:$B,Load!E:E,0,)</f>
        <v>0</v>
      </c>
      <c r="E1067">
        <f>_xlfn.XLOOKUP($A1067,Load!$B:$B,Load!F:F,0,)</f>
        <v>0</v>
      </c>
      <c r="F1067">
        <f>_xlfn.XLOOKUP($A1067,Load!$B:$B,Load!G:G,0,)</f>
        <v>0</v>
      </c>
      <c r="G1067">
        <f>_xlfn.XLOOKUP($A1067,Load!$B:$B,Load!H:H,0,)</f>
        <v>0</v>
      </c>
      <c r="H1067">
        <f>_xlfn.XLOOKUP($A1067,Load!$B:$B,Load!I:I,0,)</f>
        <v>0</v>
      </c>
      <c r="I1067">
        <f>_xlfn.XLOOKUP($A1067,Load!$B:$B,Load!J:J,0,)</f>
        <v>0</v>
      </c>
      <c r="J1067">
        <f>_xlfn.XLOOKUP($A1067,Load!$B:$B,Load!K:K,0,)</f>
        <v>0</v>
      </c>
      <c r="K1067">
        <f>_xlfn.XLOOKUP($A1067,Load!$B:$B,Load!L:L,0,)</f>
        <v>0</v>
      </c>
      <c r="L1067">
        <f>_xlfn.XLOOKUP($A1067,Load!$B:$B,Load!M:M,0,)</f>
        <v>0</v>
      </c>
    </row>
    <row r="1068" spans="1:12" x14ac:dyDescent="0.25">
      <c r="B1068">
        <f>_xlfn.XLOOKUP($A1068,Load!$B:$B,Load!C:C,0,)</f>
        <v>0</v>
      </c>
      <c r="C1068">
        <f>_xlfn.XLOOKUP($A1068,Load!$B:$B,Load!D:D,0,)</f>
        <v>0</v>
      </c>
      <c r="D1068">
        <f>_xlfn.XLOOKUP($A1068,Load!$B:$B,Load!E:E,0,)</f>
        <v>0</v>
      </c>
      <c r="E1068">
        <f>_xlfn.XLOOKUP($A1068,Load!$B:$B,Load!F:F,0,)</f>
        <v>0</v>
      </c>
      <c r="F1068">
        <f>_xlfn.XLOOKUP($A1068,Load!$B:$B,Load!G:G,0,)</f>
        <v>0</v>
      </c>
      <c r="G1068">
        <f>_xlfn.XLOOKUP($A1068,Load!$B:$B,Load!H:H,0,)</f>
        <v>0</v>
      </c>
      <c r="H1068">
        <f>_xlfn.XLOOKUP($A1068,Load!$B:$B,Load!I:I,0,)</f>
        <v>0</v>
      </c>
      <c r="I1068">
        <f>_xlfn.XLOOKUP($A1068,Load!$B:$B,Load!J:J,0,)</f>
        <v>0</v>
      </c>
      <c r="J1068">
        <f>_xlfn.XLOOKUP($A1068,Load!$B:$B,Load!K:K,0,)</f>
        <v>0</v>
      </c>
      <c r="K1068">
        <f>_xlfn.XLOOKUP($A1068,Load!$B:$B,Load!L:L,0,)</f>
        <v>0</v>
      </c>
      <c r="L1068">
        <f>_xlfn.XLOOKUP($A1068,Load!$B:$B,Load!M:M,0,)</f>
        <v>0</v>
      </c>
    </row>
    <row r="1069" spans="1:12" x14ac:dyDescent="0.25">
      <c r="B1069">
        <f>_xlfn.XLOOKUP($A1069,Load!$B:$B,Load!C:C,0,)</f>
        <v>0</v>
      </c>
      <c r="C1069">
        <f>_xlfn.XLOOKUP($A1069,Load!$B:$B,Load!D:D,0,)</f>
        <v>0</v>
      </c>
      <c r="D1069">
        <f>_xlfn.XLOOKUP($A1069,Load!$B:$B,Load!E:E,0,)</f>
        <v>0</v>
      </c>
      <c r="E1069">
        <f>_xlfn.XLOOKUP($A1069,Load!$B:$B,Load!F:F,0,)</f>
        <v>0</v>
      </c>
      <c r="F1069">
        <f>_xlfn.XLOOKUP($A1069,Load!$B:$B,Load!G:G,0,)</f>
        <v>0</v>
      </c>
      <c r="G1069">
        <f>_xlfn.XLOOKUP($A1069,Load!$B:$B,Load!H:H,0,)</f>
        <v>0</v>
      </c>
      <c r="H1069">
        <f>_xlfn.XLOOKUP($A1069,Load!$B:$B,Load!I:I,0,)</f>
        <v>0</v>
      </c>
      <c r="I1069">
        <f>_xlfn.XLOOKUP($A1069,Load!$B:$B,Load!J:J,0,)</f>
        <v>0</v>
      </c>
      <c r="J1069">
        <f>_xlfn.XLOOKUP($A1069,Load!$B:$B,Load!K:K,0,)</f>
        <v>0</v>
      </c>
      <c r="K1069">
        <f>_xlfn.XLOOKUP($A1069,Load!$B:$B,Load!L:L,0,)</f>
        <v>0</v>
      </c>
      <c r="L1069">
        <f>_xlfn.XLOOKUP($A1069,Load!$B:$B,Load!M:M,0,)</f>
        <v>0</v>
      </c>
    </row>
    <row r="1070" spans="1:12" x14ac:dyDescent="0.25">
      <c r="A1070" t="s">
        <v>100</v>
      </c>
      <c r="B1070" t="str">
        <f>_xlfn.XLOOKUP($A1070,Load!$B:$B,Load!C:C,0,)</f>
        <v>Flix</v>
      </c>
      <c r="C1070" t="str">
        <f>_xlfn.XLOOKUP($A1070,Load!$B:$B,Load!D:D,0,)</f>
        <v>Non-Chocolate Candy Only</v>
      </c>
      <c r="D1070" t="str">
        <f>_xlfn.XLOOKUP($A1070,Load!$B:$B,Load!E:E,0,)</f>
        <v>Berry Based (Raspberry, Strawberry, Medley, etc.)</v>
      </c>
      <c r="E1070" t="str">
        <f>_xlfn.XLOOKUP($A1070,Load!$B:$B,Load!F:F,0,)</f>
        <v>Gummy</v>
      </c>
      <c r="F1070" t="str">
        <f>_xlfn.XLOOKUP($A1070,Load!$B:$B,Load!G:G,0,)</f>
        <v>Small Multipack (Less than 40 ct)</v>
      </c>
      <c r="G1070" t="str">
        <f>_xlfn.XLOOKUP($A1070,Load!$B:$B,Load!H:H,0,)</f>
        <v>Box (theatre box, gift box, carton)</v>
      </c>
      <c r="H1070" t="str">
        <f>_xlfn.XLOOKUP($A1070,Load!$B:$B,Load!I:I,0,)</f>
        <v>Seasonal Shapes (like pumpkins, candy corn, ghost, bats, etc.)</v>
      </c>
      <c r="I1070" t="str">
        <f>_xlfn.XLOOKUP($A1070,Load!$B:$B,Load!J:J,0,)</f>
        <v>Seasonal Graphics (Like Bat, Ghost, Pumpkin, Fall Leaves, Eyeballs, etc.)</v>
      </c>
      <c r="J1070" t="str">
        <f>_xlfn.XLOOKUP($A1070,Load!$B:$B,Load!K:K,0,)</f>
        <v xml:space="preserve">Variety Candy Sizes </v>
      </c>
      <c r="K1070" t="str">
        <f>_xlfn.XLOOKUP($A1070,Load!$B:$B,Load!L:L,0,)</f>
        <v>Unwrapped</v>
      </c>
      <c r="L1070" t="str">
        <f>_xlfn.XLOOKUP($A1070,Load!$B:$B,Load!M:M,0,)</f>
        <v>Single Brand / Variety Flavors or Form</v>
      </c>
    </row>
    <row r="1071" spans="1:12" x14ac:dyDescent="0.25">
      <c r="A1071" t="s">
        <v>62</v>
      </c>
      <c r="B1071" t="str">
        <f>_xlfn.XLOOKUP($A1071,Load!$B:$B,Load!C:C,0,)</f>
        <v>Colombina</v>
      </c>
      <c r="C1071" t="str">
        <f>_xlfn.XLOOKUP($A1071,Load!$B:$B,Load!D:D,0,)</f>
        <v>Non-Chocolate Candy Only</v>
      </c>
      <c r="D1071" t="str">
        <f>_xlfn.XLOOKUP($A1071,Load!$B:$B,Load!E:E,0,)</f>
        <v>Fruit Flavor (Cherry, Grape, Apple, Citrus, Tropical Fruit)</v>
      </c>
      <c r="E1071" t="str">
        <f>_xlfn.XLOOKUP($A1071,Load!$B:$B,Load!F:F,0,)</f>
        <v>Hard Candy</v>
      </c>
      <c r="F1071" t="str">
        <f>_xlfn.XLOOKUP($A1071,Load!$B:$B,Load!G:G,0,)</f>
        <v>Single Pack</v>
      </c>
      <c r="G1071" t="str">
        <f>_xlfn.XLOOKUP($A1071,Load!$B:$B,Load!H:H,0,)</f>
        <v>Laydown Bag</v>
      </c>
      <c r="H1071" t="str">
        <f>_xlfn.XLOOKUP($A1071,Load!$B:$B,Load!I:I,0,)</f>
        <v>Everyday Candy Shapes (like Original, Gummy bear, Fruit, Jewels, etc.)</v>
      </c>
      <c r="I1071" t="str">
        <f>_xlfn.XLOOKUP($A1071,Load!$B:$B,Load!J:J,0,)</f>
        <v>Everyday Graphics</v>
      </c>
      <c r="J1071" t="str">
        <f>_xlfn.XLOOKUP($A1071,Load!$B:$B,Load!K:K,0,)</f>
        <v>Small Pieces (Tiny bite size candies)</v>
      </c>
      <c r="K1071" t="str">
        <f>_xlfn.XLOOKUP($A1071,Load!$B:$B,Load!L:L,0,)</f>
        <v>Regular/Original Wrapping</v>
      </c>
      <c r="L1071" t="str">
        <f>_xlfn.XLOOKUP($A1071,Load!$B:$B,Load!M:M,0,)</f>
        <v>Single Brand / Variety Flavors or Form</v>
      </c>
    </row>
    <row r="1072" spans="1:12" x14ac:dyDescent="0.25">
      <c r="A1072" t="s">
        <v>222</v>
      </c>
      <c r="B1072" t="str">
        <f>_xlfn.XLOOKUP($A1072,Load!$B:$B,Load!C:C,0,)</f>
        <v>Nerds</v>
      </c>
      <c r="C1072" t="str">
        <f>_xlfn.XLOOKUP($A1072,Load!$B:$B,Load!D:D,0,)</f>
        <v>Non-Chocolate Candy Only</v>
      </c>
      <c r="D1072" t="str">
        <f>_xlfn.XLOOKUP($A1072,Load!$B:$B,Load!E:E,0,)</f>
        <v>Sweet</v>
      </c>
      <c r="E1072" t="str">
        <f>_xlfn.XLOOKUP($A1072,Load!$B:$B,Load!F:F,0,)</f>
        <v>Gummy</v>
      </c>
      <c r="F1072" t="str">
        <f>_xlfn.XLOOKUP($A1072,Load!$B:$B,Load!G:G,0,)</f>
        <v>Small Multipack (Less than 40 ct)</v>
      </c>
      <c r="G1072" t="str">
        <f>_xlfn.XLOOKUP($A1072,Load!$B:$B,Load!H:H,0,)</f>
        <v>Stand-Up Bag</v>
      </c>
      <c r="H1072" t="str">
        <f>_xlfn.XLOOKUP($A1072,Load!$B:$B,Load!I:I,0,)</f>
        <v>Everyday Candy Shapes (like Original, Gummy bear, Fruit, Jewels, etc.)</v>
      </c>
      <c r="I1072" t="str">
        <f>_xlfn.XLOOKUP($A1072,Load!$B:$B,Load!J:J,0,)</f>
        <v>Seasonal Graphics (Like Bat, Ghost, Pumpkin, Fall Leaves, Eyeballs, etc.)</v>
      </c>
      <c r="J1072" t="str">
        <f>_xlfn.XLOOKUP($A1072,Load!$B:$B,Load!K:K,0,)</f>
        <v>Fun Size / Treat Size</v>
      </c>
      <c r="K1072" t="str">
        <f>_xlfn.XLOOKUP($A1072,Load!$B:$B,Load!L:L,0,)</f>
        <v>Regular/Original Wrapping</v>
      </c>
      <c r="L1072" t="str">
        <f>_xlfn.XLOOKUP($A1072,Load!$B:$B,Load!M:M,0,)</f>
        <v>Single Brand / Variety Flavors or Form</v>
      </c>
    </row>
    <row r="1073" spans="1:12" x14ac:dyDescent="0.25">
      <c r="B1073">
        <f>_xlfn.XLOOKUP($A1073,Load!$B:$B,Load!C:C,0,)</f>
        <v>0</v>
      </c>
      <c r="C1073">
        <f>_xlfn.XLOOKUP($A1073,Load!$B:$B,Load!D:D,0,)</f>
        <v>0</v>
      </c>
      <c r="D1073">
        <f>_xlfn.XLOOKUP($A1073,Load!$B:$B,Load!E:E,0,)</f>
        <v>0</v>
      </c>
      <c r="E1073">
        <f>_xlfn.XLOOKUP($A1073,Load!$B:$B,Load!F:F,0,)</f>
        <v>0</v>
      </c>
      <c r="F1073">
        <f>_xlfn.XLOOKUP($A1073,Load!$B:$B,Load!G:G,0,)</f>
        <v>0</v>
      </c>
      <c r="G1073">
        <f>_xlfn.XLOOKUP($A1073,Load!$B:$B,Load!H:H,0,)</f>
        <v>0</v>
      </c>
      <c r="H1073">
        <f>_xlfn.XLOOKUP($A1073,Load!$B:$B,Load!I:I,0,)</f>
        <v>0</v>
      </c>
      <c r="I1073">
        <f>_xlfn.XLOOKUP($A1073,Load!$B:$B,Load!J:J,0,)</f>
        <v>0</v>
      </c>
      <c r="J1073">
        <f>_xlfn.XLOOKUP($A1073,Load!$B:$B,Load!K:K,0,)</f>
        <v>0</v>
      </c>
      <c r="K1073">
        <f>_xlfn.XLOOKUP($A1073,Load!$B:$B,Load!L:L,0,)</f>
        <v>0</v>
      </c>
      <c r="L1073">
        <f>_xlfn.XLOOKUP($A1073,Load!$B:$B,Load!M:M,0,)</f>
        <v>0</v>
      </c>
    </row>
    <row r="1074" spans="1:12" x14ac:dyDescent="0.25">
      <c r="B1074">
        <f>_xlfn.XLOOKUP($A1074,Load!$B:$B,Load!C:C,0,)</f>
        <v>0</v>
      </c>
      <c r="C1074">
        <f>_xlfn.XLOOKUP($A1074,Load!$B:$B,Load!D:D,0,)</f>
        <v>0</v>
      </c>
      <c r="D1074">
        <f>_xlfn.XLOOKUP($A1074,Load!$B:$B,Load!E:E,0,)</f>
        <v>0</v>
      </c>
      <c r="E1074">
        <f>_xlfn.XLOOKUP($A1074,Load!$B:$B,Load!F:F,0,)</f>
        <v>0</v>
      </c>
      <c r="F1074">
        <f>_xlfn.XLOOKUP($A1074,Load!$B:$B,Load!G:G,0,)</f>
        <v>0</v>
      </c>
      <c r="G1074">
        <f>_xlfn.XLOOKUP($A1074,Load!$B:$B,Load!H:H,0,)</f>
        <v>0</v>
      </c>
      <c r="H1074">
        <f>_xlfn.XLOOKUP($A1074,Load!$B:$B,Load!I:I,0,)</f>
        <v>0</v>
      </c>
      <c r="I1074">
        <f>_xlfn.XLOOKUP($A1074,Load!$B:$B,Load!J:J,0,)</f>
        <v>0</v>
      </c>
      <c r="J1074">
        <f>_xlfn.XLOOKUP($A1074,Load!$B:$B,Load!K:K,0,)</f>
        <v>0</v>
      </c>
      <c r="K1074">
        <f>_xlfn.XLOOKUP($A1074,Load!$B:$B,Load!L:L,0,)</f>
        <v>0</v>
      </c>
      <c r="L1074">
        <f>_xlfn.XLOOKUP($A1074,Load!$B:$B,Load!M:M,0,)</f>
        <v>0</v>
      </c>
    </row>
    <row r="1075" spans="1:12" x14ac:dyDescent="0.25">
      <c r="B1075">
        <f>_xlfn.XLOOKUP($A1075,Load!$B:$B,Load!C:C,0,)</f>
        <v>0</v>
      </c>
      <c r="C1075">
        <f>_xlfn.XLOOKUP($A1075,Load!$B:$B,Load!D:D,0,)</f>
        <v>0</v>
      </c>
      <c r="D1075">
        <f>_xlfn.XLOOKUP($A1075,Load!$B:$B,Load!E:E,0,)</f>
        <v>0</v>
      </c>
      <c r="E1075">
        <f>_xlfn.XLOOKUP($A1075,Load!$B:$B,Load!F:F,0,)</f>
        <v>0</v>
      </c>
      <c r="F1075">
        <f>_xlfn.XLOOKUP($A1075,Load!$B:$B,Load!G:G,0,)</f>
        <v>0</v>
      </c>
      <c r="G1075">
        <f>_xlfn.XLOOKUP($A1075,Load!$B:$B,Load!H:H,0,)</f>
        <v>0</v>
      </c>
      <c r="H1075">
        <f>_xlfn.XLOOKUP($A1075,Load!$B:$B,Load!I:I,0,)</f>
        <v>0</v>
      </c>
      <c r="I1075">
        <f>_xlfn.XLOOKUP($A1075,Load!$B:$B,Load!J:J,0,)</f>
        <v>0</v>
      </c>
      <c r="J1075">
        <f>_xlfn.XLOOKUP($A1075,Load!$B:$B,Load!K:K,0,)</f>
        <v>0</v>
      </c>
      <c r="K1075">
        <f>_xlfn.XLOOKUP($A1075,Load!$B:$B,Load!L:L,0,)</f>
        <v>0</v>
      </c>
      <c r="L1075">
        <f>_xlfn.XLOOKUP($A1075,Load!$B:$B,Load!M:M,0,)</f>
        <v>0</v>
      </c>
    </row>
    <row r="1076" spans="1:12" x14ac:dyDescent="0.25">
      <c r="A1076" t="s">
        <v>226</v>
      </c>
      <c r="B1076" t="str">
        <f>_xlfn.XLOOKUP($A1076,Load!$B:$B,Load!C:C,0,)</f>
        <v>Nerds</v>
      </c>
      <c r="C1076" t="str">
        <f>_xlfn.XLOOKUP($A1076,Load!$B:$B,Load!D:D,0,)</f>
        <v>Non-Chocolate Candy Only</v>
      </c>
      <c r="D1076" t="str">
        <f>_xlfn.XLOOKUP($A1076,Load!$B:$B,Load!E:E,0,)</f>
        <v>Sweet</v>
      </c>
      <c r="E1076" t="str">
        <f>_xlfn.XLOOKUP($A1076,Load!$B:$B,Load!F:F,0,)</f>
        <v>Gummy</v>
      </c>
      <c r="F1076" t="str">
        <f>_xlfn.XLOOKUP($A1076,Load!$B:$B,Load!G:G,0,)</f>
        <v>Single Pack</v>
      </c>
      <c r="G1076" t="str">
        <f>_xlfn.XLOOKUP($A1076,Load!$B:$B,Load!H:H,0,)</f>
        <v>Laydown Bag</v>
      </c>
      <c r="H1076" t="str">
        <f>_xlfn.XLOOKUP($A1076,Load!$B:$B,Load!I:I,0,)</f>
        <v>Seasonal Shapes (like pumpkins, candy corn, ghost, bats, etc.)</v>
      </c>
      <c r="I1076" t="str">
        <f>_xlfn.XLOOKUP($A1076,Load!$B:$B,Load!J:J,0,)</f>
        <v>Seasonal Graphics (Like Bat, Ghost, Pumpkin, Fall Leaves, Eyeballs, etc.)</v>
      </c>
      <c r="J1076" t="str">
        <f>_xlfn.XLOOKUP($A1076,Load!$B:$B,Load!K:K,0,)</f>
        <v>Fun Size / Treat Size</v>
      </c>
      <c r="K1076" t="str">
        <f>_xlfn.XLOOKUP($A1076,Load!$B:$B,Load!L:L,0,)</f>
        <v>Unwrapped</v>
      </c>
      <c r="L1076" t="str">
        <f>_xlfn.XLOOKUP($A1076,Load!$B:$B,Load!M:M,0,)</f>
        <v>Single Brand / Single Flavor or Form</v>
      </c>
    </row>
    <row r="1077" spans="1:12" x14ac:dyDescent="0.25">
      <c r="B1077">
        <f>_xlfn.XLOOKUP($A1077,Load!$B:$B,Load!C:C,0,)</f>
        <v>0</v>
      </c>
      <c r="C1077">
        <f>_xlfn.XLOOKUP($A1077,Load!$B:$B,Load!D:D,0,)</f>
        <v>0</v>
      </c>
      <c r="D1077">
        <f>_xlfn.XLOOKUP($A1077,Load!$B:$B,Load!E:E,0,)</f>
        <v>0</v>
      </c>
      <c r="E1077">
        <f>_xlfn.XLOOKUP($A1077,Load!$B:$B,Load!F:F,0,)</f>
        <v>0</v>
      </c>
      <c r="F1077">
        <f>_xlfn.XLOOKUP($A1077,Load!$B:$B,Load!G:G,0,)</f>
        <v>0</v>
      </c>
      <c r="G1077">
        <f>_xlfn.XLOOKUP($A1077,Load!$B:$B,Load!H:H,0,)</f>
        <v>0</v>
      </c>
      <c r="H1077">
        <f>_xlfn.XLOOKUP($A1077,Load!$B:$B,Load!I:I,0,)</f>
        <v>0</v>
      </c>
      <c r="I1077">
        <f>_xlfn.XLOOKUP($A1077,Load!$B:$B,Load!J:J,0,)</f>
        <v>0</v>
      </c>
      <c r="J1077">
        <f>_xlfn.XLOOKUP($A1077,Load!$B:$B,Load!K:K,0,)</f>
        <v>0</v>
      </c>
      <c r="K1077">
        <f>_xlfn.XLOOKUP($A1077,Load!$B:$B,Load!L:L,0,)</f>
        <v>0</v>
      </c>
      <c r="L1077">
        <f>_xlfn.XLOOKUP($A1077,Load!$B:$B,Load!M:M,0,)</f>
        <v>0</v>
      </c>
    </row>
    <row r="1078" spans="1:12" x14ac:dyDescent="0.25">
      <c r="A1078" t="s">
        <v>299</v>
      </c>
      <c r="B1078" t="str">
        <f>_xlfn.XLOOKUP($A1078,Load!$B:$B,Load!C:C,0,)</f>
        <v>Twizzlers</v>
      </c>
      <c r="C1078" t="str">
        <f>_xlfn.XLOOKUP($A1078,Load!$B:$B,Load!D:D,0,)</f>
        <v>Non-Chocolate Candy Only</v>
      </c>
      <c r="D1078" t="str">
        <f>_xlfn.XLOOKUP($A1078,Load!$B:$B,Load!E:E,0,)</f>
        <v>Fruit Flavor (Cherry, Grape, Apple, Citrus, Tropical Fruit)</v>
      </c>
      <c r="E1078" t="str">
        <f>_xlfn.XLOOKUP($A1078,Load!$B:$B,Load!F:F,0,)</f>
        <v>Chewy</v>
      </c>
      <c r="F1078" t="str">
        <f>_xlfn.XLOOKUP($A1078,Load!$B:$B,Load!G:G,0,)</f>
        <v>Single Pack</v>
      </c>
      <c r="G1078" t="str">
        <f>_xlfn.XLOOKUP($A1078,Load!$B:$B,Load!H:H,0,)</f>
        <v>Stand-Up Bag</v>
      </c>
      <c r="H1078" t="str">
        <f>_xlfn.XLOOKUP($A1078,Load!$B:$B,Load!I:I,0,)</f>
        <v>Seasonal Shapes (like pumpkins, candy corn, ghost, bats, etc.)</v>
      </c>
      <c r="I1078" t="str">
        <f>_xlfn.XLOOKUP($A1078,Load!$B:$B,Load!J:J,0,)</f>
        <v>Seasonal Graphics (Like Bat, Ghost, Pumpkin, Fall Leaves, Eyeballs, etc.)</v>
      </c>
      <c r="J1078" t="str">
        <f>_xlfn.XLOOKUP($A1078,Load!$B:$B,Load!K:K,0,)</f>
        <v>Fun Size / Treat Size</v>
      </c>
      <c r="K1078" t="str">
        <f>_xlfn.XLOOKUP($A1078,Load!$B:$B,Load!L:L,0,)</f>
        <v>Unwrapped</v>
      </c>
      <c r="L1078" t="str">
        <f>_xlfn.XLOOKUP($A1078,Load!$B:$B,Load!M:M,0,)</f>
        <v>Single Brand / Single Flavor or Form</v>
      </c>
    </row>
    <row r="1079" spans="1:12" x14ac:dyDescent="0.25">
      <c r="A1079" t="s">
        <v>302</v>
      </c>
      <c r="B1079" t="str">
        <f>_xlfn.XLOOKUP($A1079,Load!$B:$B,Load!C:C,0,)</f>
        <v>Twizzlers</v>
      </c>
      <c r="C1079" t="str">
        <f>_xlfn.XLOOKUP($A1079,Load!$B:$B,Load!D:D,0,)</f>
        <v>Non-Chocolate Candy Only</v>
      </c>
      <c r="D1079" t="str">
        <f>_xlfn.XLOOKUP($A1079,Load!$B:$B,Load!E:E,0,)</f>
        <v>Berry Based (Raspberry, Strawberry, Medley, etc.)</v>
      </c>
      <c r="E1079" t="str">
        <f>_xlfn.XLOOKUP($A1079,Load!$B:$B,Load!F:F,0,)</f>
        <v>Chewy</v>
      </c>
      <c r="F1079" t="str">
        <f>_xlfn.XLOOKUP($A1079,Load!$B:$B,Load!G:G,0,)</f>
        <v>Single Pack</v>
      </c>
      <c r="G1079" t="str">
        <f>_xlfn.XLOOKUP($A1079,Load!$B:$B,Load!H:H,0,)</f>
        <v>Laydown Bag</v>
      </c>
      <c r="H1079" t="str">
        <f>_xlfn.XLOOKUP($A1079,Load!$B:$B,Load!I:I,0,)</f>
        <v>Everyday Candy Shapes (like Original, Gummy bear, Fruit, Jewels, etc.)</v>
      </c>
      <c r="I1079" t="str">
        <f>_xlfn.XLOOKUP($A1079,Load!$B:$B,Load!J:J,0,)</f>
        <v>Seasonal Graphics (Like Bat, Ghost, Pumpkin, Fall Leaves, Eyeballs, etc.)</v>
      </c>
      <c r="J1079" t="str">
        <f>_xlfn.XLOOKUP($A1079,Load!$B:$B,Load!K:K,0,)</f>
        <v>Small Pieces (Tiny bite size candies)</v>
      </c>
      <c r="K1079" t="str">
        <f>_xlfn.XLOOKUP($A1079,Load!$B:$B,Load!L:L,0,)</f>
        <v>unwrapped</v>
      </c>
      <c r="L1079" t="str">
        <f>_xlfn.XLOOKUP($A1079,Load!$B:$B,Load!M:M,0,)</f>
        <v>Single Brand / Single Flavor or Form</v>
      </c>
    </row>
    <row r="1080" spans="1:12" x14ac:dyDescent="0.25">
      <c r="A1080" t="s">
        <v>220</v>
      </c>
      <c r="B1080" t="str">
        <f>_xlfn.XLOOKUP($A1080,Load!$B:$B,Load!C:C,0,)</f>
        <v>Mondelez Variety Pack</v>
      </c>
      <c r="C1080" t="str">
        <f>_xlfn.XLOOKUP($A1080,Load!$B:$B,Load!D:D,0,)</f>
        <v>Non-Chocolate Candy Only</v>
      </c>
      <c r="D1080" t="str">
        <f>_xlfn.XLOOKUP($A1080,Load!$B:$B,Load!E:E,0,)</f>
        <v>Variety / Mixed Flavors (Fruity, Sour, Seasonal Flavors)</v>
      </c>
      <c r="E1080" t="str">
        <f>_xlfn.XLOOKUP($A1080,Load!$B:$B,Load!F:F,0,)</f>
        <v>Chewy</v>
      </c>
      <c r="F1080" t="str">
        <f>_xlfn.XLOOKUP($A1080,Load!$B:$B,Load!G:G,0,)</f>
        <v>Large Multipack (More than 80 ct)</v>
      </c>
      <c r="G1080" t="str">
        <f>_xlfn.XLOOKUP($A1080,Load!$B:$B,Load!H:H,0,)</f>
        <v>Stand-Up Bag</v>
      </c>
      <c r="H1080" t="str">
        <f>_xlfn.XLOOKUP($A1080,Load!$B:$B,Load!I:I,0,)</f>
        <v>Seasonal Shapes (like pumpkins, candy corn, ghost, bats, etc.)</v>
      </c>
      <c r="I1080" t="str">
        <f>_xlfn.XLOOKUP($A1080,Load!$B:$B,Load!J:J,0,)</f>
        <v>Seasonal Graphics (Like Bat, Ghost, Pumpkin, Fall Leaves, Eyeballs, etc.)</v>
      </c>
      <c r="J1080" t="str">
        <f>_xlfn.XLOOKUP($A1080,Load!$B:$B,Load!K:K,0,)</f>
        <v>Small Pieces (Tiny bite size candies)</v>
      </c>
      <c r="K1080" t="str">
        <f>_xlfn.XLOOKUP($A1080,Load!$B:$B,Load!L:L,0,)</f>
        <v>Regular/Original Wrapping</v>
      </c>
      <c r="L1080" t="str">
        <f>_xlfn.XLOOKUP($A1080,Load!$B:$B,Load!M:M,0,)</f>
        <v>Single Brand / Variety Flavors or Form</v>
      </c>
    </row>
    <row r="1081" spans="1:12" x14ac:dyDescent="0.25">
      <c r="B1081">
        <f>_xlfn.XLOOKUP($A1081,Load!$B:$B,Load!C:C,0,)</f>
        <v>0</v>
      </c>
      <c r="C1081">
        <f>_xlfn.XLOOKUP($A1081,Load!$B:$B,Load!D:D,0,)</f>
        <v>0</v>
      </c>
      <c r="D1081">
        <f>_xlfn.XLOOKUP($A1081,Load!$B:$B,Load!E:E,0,)</f>
        <v>0</v>
      </c>
      <c r="E1081">
        <f>_xlfn.XLOOKUP($A1081,Load!$B:$B,Load!F:F,0,)</f>
        <v>0</v>
      </c>
      <c r="F1081">
        <f>_xlfn.XLOOKUP($A1081,Load!$B:$B,Load!G:G,0,)</f>
        <v>0</v>
      </c>
      <c r="G1081">
        <f>_xlfn.XLOOKUP($A1081,Load!$B:$B,Load!H:H,0,)</f>
        <v>0</v>
      </c>
      <c r="H1081">
        <f>_xlfn.XLOOKUP($A1081,Load!$B:$B,Load!I:I,0,)</f>
        <v>0</v>
      </c>
      <c r="I1081">
        <f>_xlfn.XLOOKUP($A1081,Load!$B:$B,Load!J:J,0,)</f>
        <v>0</v>
      </c>
      <c r="J1081">
        <f>_xlfn.XLOOKUP($A1081,Load!$B:$B,Load!K:K,0,)</f>
        <v>0</v>
      </c>
      <c r="K1081">
        <f>_xlfn.XLOOKUP($A1081,Load!$B:$B,Load!L:L,0,)</f>
        <v>0</v>
      </c>
      <c r="L1081">
        <f>_xlfn.XLOOKUP($A1081,Load!$B:$B,Load!M:M,0,)</f>
        <v>0</v>
      </c>
    </row>
    <row r="1082" spans="1:12" x14ac:dyDescent="0.25">
      <c r="B1082">
        <f>_xlfn.XLOOKUP($A1082,Load!$B:$B,Load!C:C,0,)</f>
        <v>0</v>
      </c>
      <c r="C1082">
        <f>_xlfn.XLOOKUP($A1082,Load!$B:$B,Load!D:D,0,)</f>
        <v>0</v>
      </c>
      <c r="D1082">
        <f>_xlfn.XLOOKUP($A1082,Load!$B:$B,Load!E:E,0,)</f>
        <v>0</v>
      </c>
      <c r="E1082">
        <f>_xlfn.XLOOKUP($A1082,Load!$B:$B,Load!F:F,0,)</f>
        <v>0</v>
      </c>
      <c r="F1082">
        <f>_xlfn.XLOOKUP($A1082,Load!$B:$B,Load!G:G,0,)</f>
        <v>0</v>
      </c>
      <c r="G1082">
        <f>_xlfn.XLOOKUP($A1082,Load!$B:$B,Load!H:H,0,)</f>
        <v>0</v>
      </c>
      <c r="H1082">
        <f>_xlfn.XLOOKUP($A1082,Load!$B:$B,Load!I:I,0,)</f>
        <v>0</v>
      </c>
      <c r="I1082">
        <f>_xlfn.XLOOKUP($A1082,Load!$B:$B,Load!J:J,0,)</f>
        <v>0</v>
      </c>
      <c r="J1082">
        <f>_xlfn.XLOOKUP($A1082,Load!$B:$B,Load!K:K,0,)</f>
        <v>0</v>
      </c>
      <c r="K1082">
        <f>_xlfn.XLOOKUP($A1082,Load!$B:$B,Load!L:L,0,)</f>
        <v>0</v>
      </c>
      <c r="L1082">
        <f>_xlfn.XLOOKUP($A1082,Load!$B:$B,Load!M:M,0,)</f>
        <v>0</v>
      </c>
    </row>
    <row r="1083" spans="1:12" x14ac:dyDescent="0.25">
      <c r="B1083">
        <f>_xlfn.XLOOKUP($A1083,Load!$B:$B,Load!C:C,0,)</f>
        <v>0</v>
      </c>
      <c r="C1083">
        <f>_xlfn.XLOOKUP($A1083,Load!$B:$B,Load!D:D,0,)</f>
        <v>0</v>
      </c>
      <c r="D1083">
        <f>_xlfn.XLOOKUP($A1083,Load!$B:$B,Load!E:E,0,)</f>
        <v>0</v>
      </c>
      <c r="E1083">
        <f>_xlfn.XLOOKUP($A1083,Load!$B:$B,Load!F:F,0,)</f>
        <v>0</v>
      </c>
      <c r="F1083">
        <f>_xlfn.XLOOKUP($A1083,Load!$B:$B,Load!G:G,0,)</f>
        <v>0</v>
      </c>
      <c r="G1083">
        <f>_xlfn.XLOOKUP($A1083,Load!$B:$B,Load!H:H,0,)</f>
        <v>0</v>
      </c>
      <c r="H1083">
        <f>_xlfn.XLOOKUP($A1083,Load!$B:$B,Load!I:I,0,)</f>
        <v>0</v>
      </c>
      <c r="I1083">
        <f>_xlfn.XLOOKUP($A1083,Load!$B:$B,Load!J:J,0,)</f>
        <v>0</v>
      </c>
      <c r="J1083">
        <f>_xlfn.XLOOKUP($A1083,Load!$B:$B,Load!K:K,0,)</f>
        <v>0</v>
      </c>
      <c r="K1083">
        <f>_xlfn.XLOOKUP($A1083,Load!$B:$B,Load!L:L,0,)</f>
        <v>0</v>
      </c>
      <c r="L1083">
        <f>_xlfn.XLOOKUP($A1083,Load!$B:$B,Load!M:M,0,)</f>
        <v>0</v>
      </c>
    </row>
    <row r="1084" spans="1:12" x14ac:dyDescent="0.25">
      <c r="A1084" t="s">
        <v>326</v>
      </c>
      <c r="B1084" t="str">
        <f>_xlfn.XLOOKUP($A1084,Load!$B:$B,Load!C:C,0,)</f>
        <v>Mondelez Variety Pack</v>
      </c>
      <c r="C1084" t="str">
        <f>_xlfn.XLOOKUP($A1084,Load!$B:$B,Load!D:D,0,)</f>
        <v>Mix of Chocolate and Non-Chocolate Candy</v>
      </c>
      <c r="D1084" t="str">
        <f>_xlfn.XLOOKUP($A1084,Load!$B:$B,Load!E:E,0,)</f>
        <v>Variety / Mixed Flavors (Fruity, Sour, Seasonal Flavors)</v>
      </c>
      <c r="E1084" t="str">
        <f>_xlfn.XLOOKUP($A1084,Load!$B:$B,Load!F:F,0,)</f>
        <v>Mixed / Combo Packs (Gummy, Chewy, Taffy, etc.)</v>
      </c>
      <c r="F1084" t="str">
        <f>_xlfn.XLOOKUP($A1084,Load!$B:$B,Load!G:G,0,)</f>
        <v>Medium Multipack (40–80 ct)</v>
      </c>
      <c r="G1084" t="str">
        <f>_xlfn.XLOOKUP($A1084,Load!$B:$B,Load!H:H,0,)</f>
        <v>Stand-Up Bag</v>
      </c>
      <c r="H1084" t="str">
        <f>_xlfn.XLOOKUP($A1084,Load!$B:$B,Load!I:I,0,)</f>
        <v>Everyday Candy Shapes (like Original, Gummy bear, Fruit, Jewels, etc.)</v>
      </c>
      <c r="I1084" t="str">
        <f>_xlfn.XLOOKUP($A1084,Load!$B:$B,Load!J:J,0,)</f>
        <v>Seasonal Graphics (Like Bat, Ghost, Pumpkin, Fall Leaves, Eyeballs, etc.)</v>
      </c>
      <c r="J1084" t="str">
        <f>_xlfn.XLOOKUP($A1084,Load!$B:$B,Load!K:K,0,)</f>
        <v xml:space="preserve">Variety Candy Sizes </v>
      </c>
      <c r="K1084" t="str">
        <f>_xlfn.XLOOKUP($A1084,Load!$B:$B,Load!L:L,0,)</f>
        <v>Regular/Original Wrapping</v>
      </c>
      <c r="L1084" t="str">
        <f>_xlfn.XLOOKUP($A1084,Load!$B:$B,Load!M:M,0,)</f>
        <v>Multiple Brands / Variety Flavors or Form</v>
      </c>
    </row>
    <row r="1085" spans="1:12" x14ac:dyDescent="0.25">
      <c r="A1085" t="s">
        <v>213</v>
      </c>
      <c r="B1085" t="str">
        <f>_xlfn.XLOOKUP($A1085,Load!$B:$B,Load!C:C,0,)</f>
        <v>Mars Variety Pack</v>
      </c>
      <c r="C1085" t="str">
        <f>_xlfn.XLOOKUP($A1085,Load!$B:$B,Load!D:D,0,)</f>
        <v>Mix of Chocolate and Non-Chocolate Candy</v>
      </c>
      <c r="D1085" t="str">
        <f>_xlfn.XLOOKUP($A1085,Load!$B:$B,Load!E:E,0,)</f>
        <v>Variety / Mixed Flavors (Fruity, Sour, Seasonal Flavors)</v>
      </c>
      <c r="E1085" t="str">
        <f>_xlfn.XLOOKUP($A1085,Load!$B:$B,Load!F:F,0,)</f>
        <v>Mixed / Combo Packs (Gummy, Chewy, Taffy, etc.)</v>
      </c>
      <c r="F1085" t="str">
        <f>_xlfn.XLOOKUP($A1085,Load!$B:$B,Load!G:G,0,)</f>
        <v>Medium Multipack (40–80 ct)</v>
      </c>
      <c r="G1085" t="str">
        <f>_xlfn.XLOOKUP($A1085,Load!$B:$B,Load!H:H,0,)</f>
        <v>Stand-Up Bag</v>
      </c>
      <c r="H1085" t="str">
        <f>_xlfn.XLOOKUP($A1085,Load!$B:$B,Load!I:I,0,)</f>
        <v>Everyday Candy Shapes (like Original, Gummy bear, Fruit, Jewels, etc.)</v>
      </c>
      <c r="I1085" t="str">
        <f>_xlfn.XLOOKUP($A1085,Load!$B:$B,Load!J:J,0,)</f>
        <v>Seasonal Graphics (Like Bat, Ghost, Pumpkin, Fall Leaves, Eyeballs, etc.)</v>
      </c>
      <c r="J1085" t="str">
        <f>_xlfn.XLOOKUP($A1085,Load!$B:$B,Load!K:K,0,)</f>
        <v>Fun Size / Treat Size</v>
      </c>
      <c r="K1085" t="str">
        <f>_xlfn.XLOOKUP($A1085,Load!$B:$B,Load!L:L,0,)</f>
        <v>Regular/Original Wrapping</v>
      </c>
      <c r="L1085" t="str">
        <f>_xlfn.XLOOKUP($A1085,Load!$B:$B,Load!M:M,0,)</f>
        <v>Multiple Brands / Variety Flavors or Form</v>
      </c>
    </row>
    <row r="1086" spans="1:12" x14ac:dyDescent="0.25">
      <c r="A1086" t="s">
        <v>76</v>
      </c>
      <c r="B1086" t="str">
        <f>_xlfn.XLOOKUP($A1086,Load!$B:$B,Load!C:C,0,)</f>
        <v>Dum Dums</v>
      </c>
      <c r="C1086" t="str">
        <f>_xlfn.XLOOKUP($A1086,Load!$B:$B,Load!D:D,0,)</f>
        <v>Non-Chocolate Candy Only</v>
      </c>
      <c r="D1086" t="str">
        <f>_xlfn.XLOOKUP($A1086,Load!$B:$B,Load!E:E,0,)</f>
        <v>Variety / Mixed Flavors (Fruity, Sour, Seasonal Flavors)</v>
      </c>
      <c r="E1086" t="str">
        <f>_xlfn.XLOOKUP($A1086,Load!$B:$B,Load!F:F,0,)</f>
        <v>Lollipop (regular or lollipop rings)</v>
      </c>
      <c r="F1086" t="str">
        <f>_xlfn.XLOOKUP($A1086,Load!$B:$B,Load!G:G,0,)</f>
        <v>Large Multipack (More than 80 ct)</v>
      </c>
      <c r="G1086" t="str">
        <f>_xlfn.XLOOKUP($A1086,Load!$B:$B,Load!H:H,0,)</f>
        <v>Stand-Up Bag</v>
      </c>
      <c r="H1086" t="str">
        <f>_xlfn.XLOOKUP($A1086,Load!$B:$B,Load!I:I,0,)</f>
        <v>Everyday Candy Shapes (like Original, Gummy bear, Fruit, Jewels, etc.)</v>
      </c>
      <c r="I1086" t="str">
        <f>_xlfn.XLOOKUP($A1086,Load!$B:$B,Load!J:J,0,)</f>
        <v>Everyday Graphics</v>
      </c>
      <c r="J1086" t="str">
        <f>_xlfn.XLOOKUP($A1086,Load!$B:$B,Load!K:K,0,)</f>
        <v>Regular Lollipop size (on sticks or rings)</v>
      </c>
      <c r="K1086" t="str">
        <f>_xlfn.XLOOKUP($A1086,Load!$B:$B,Load!L:L,0,)</f>
        <v>Regular/Original Wrapping</v>
      </c>
      <c r="L1086" t="str">
        <f>_xlfn.XLOOKUP($A1086,Load!$B:$B,Load!M:M,0,)</f>
        <v>Single Brand / Variety Flavors or Form</v>
      </c>
    </row>
    <row r="1087" spans="1:12" x14ac:dyDescent="0.25">
      <c r="A1087" t="s">
        <v>107</v>
      </c>
      <c r="B1087" t="str">
        <f>_xlfn.XLOOKUP($A1087,Load!$B:$B,Load!C:C,0,)</f>
        <v>Frankford</v>
      </c>
      <c r="C1087" t="str">
        <f>_xlfn.XLOOKUP($A1087,Load!$B:$B,Load!D:D,0,)</f>
        <v>Non-Chocolate Candy Only</v>
      </c>
      <c r="D1087" t="str">
        <f>_xlfn.XLOOKUP($A1087,Load!$B:$B,Load!E:E,0,)</f>
        <v>Variety / Mixed Flavors (Fruity, Sour, Seasonal Flavors)</v>
      </c>
      <c r="E1087" t="str">
        <f>_xlfn.XLOOKUP($A1087,Load!$B:$B,Load!F:F,0,)</f>
        <v>Mixed / Combo Packs (Gummy, Chewy, Taffy, etc.)</v>
      </c>
      <c r="F1087" t="str">
        <f>_xlfn.XLOOKUP($A1087,Load!$B:$B,Load!G:G,0,)</f>
        <v>Large Multipack (More than 80 ct)</v>
      </c>
      <c r="G1087" t="str">
        <f>_xlfn.XLOOKUP($A1087,Load!$B:$B,Load!H:H,0,)</f>
        <v>Laydown Bag</v>
      </c>
      <c r="H1087" t="str">
        <f>_xlfn.XLOOKUP($A1087,Load!$B:$B,Load!I:I,0,)</f>
        <v>Everyday Candy Shapes (like Original, Gummy bear, Fruit, Jewels, etc.)</v>
      </c>
      <c r="I1087" t="str">
        <f>_xlfn.XLOOKUP($A1087,Load!$B:$B,Load!J:J,0,)</f>
        <v>Seasonal Graphics (Like Bat, Ghost, Pumpkin, Fall Leaves, Eyeballs, etc.)</v>
      </c>
      <c r="J1087" t="str">
        <f>_xlfn.XLOOKUP($A1087,Load!$B:$B,Load!K:K,0,)</f>
        <v xml:space="preserve">Variety Candy Sizes </v>
      </c>
      <c r="K1087" t="str">
        <f>_xlfn.XLOOKUP($A1087,Load!$B:$B,Load!L:L,0,)</f>
        <v>Regular/Original Wrapping</v>
      </c>
      <c r="L1087" t="str">
        <f>_xlfn.XLOOKUP($A1087,Load!$B:$B,Load!M:M,0,)</f>
        <v>Multiple Brands / Variety Flavors or Form</v>
      </c>
    </row>
    <row r="1088" spans="1:12" x14ac:dyDescent="0.25">
      <c r="B1088">
        <f>_xlfn.XLOOKUP($A1088,Load!$B:$B,Load!C:C,0,)</f>
        <v>0</v>
      </c>
      <c r="C1088">
        <f>_xlfn.XLOOKUP($A1088,Load!$B:$B,Load!D:D,0,)</f>
        <v>0</v>
      </c>
      <c r="D1088">
        <f>_xlfn.XLOOKUP($A1088,Load!$B:$B,Load!E:E,0,)</f>
        <v>0</v>
      </c>
      <c r="E1088">
        <f>_xlfn.XLOOKUP($A1088,Load!$B:$B,Load!F:F,0,)</f>
        <v>0</v>
      </c>
      <c r="F1088">
        <f>_xlfn.XLOOKUP($A1088,Load!$B:$B,Load!G:G,0,)</f>
        <v>0</v>
      </c>
      <c r="G1088">
        <f>_xlfn.XLOOKUP($A1088,Load!$B:$B,Load!H:H,0,)</f>
        <v>0</v>
      </c>
      <c r="H1088">
        <f>_xlfn.XLOOKUP($A1088,Load!$B:$B,Load!I:I,0,)</f>
        <v>0</v>
      </c>
      <c r="I1088">
        <f>_xlfn.XLOOKUP($A1088,Load!$B:$B,Load!J:J,0,)</f>
        <v>0</v>
      </c>
      <c r="J1088">
        <f>_xlfn.XLOOKUP($A1088,Load!$B:$B,Load!K:K,0,)</f>
        <v>0</v>
      </c>
      <c r="K1088">
        <f>_xlfn.XLOOKUP($A1088,Load!$B:$B,Load!L:L,0,)</f>
        <v>0</v>
      </c>
      <c r="L1088">
        <f>_xlfn.XLOOKUP($A1088,Load!$B:$B,Load!M:M,0,)</f>
        <v>0</v>
      </c>
    </row>
    <row r="1089" spans="1:12" x14ac:dyDescent="0.25">
      <c r="B1089">
        <f>_xlfn.XLOOKUP($A1089,Load!$B:$B,Load!C:C,0,)</f>
        <v>0</v>
      </c>
      <c r="C1089">
        <f>_xlfn.XLOOKUP($A1089,Load!$B:$B,Load!D:D,0,)</f>
        <v>0</v>
      </c>
      <c r="D1089">
        <f>_xlfn.XLOOKUP($A1089,Load!$B:$B,Load!E:E,0,)</f>
        <v>0</v>
      </c>
      <c r="E1089">
        <f>_xlfn.XLOOKUP($A1089,Load!$B:$B,Load!F:F,0,)</f>
        <v>0</v>
      </c>
      <c r="F1089">
        <f>_xlfn.XLOOKUP($A1089,Load!$B:$B,Load!G:G,0,)</f>
        <v>0</v>
      </c>
      <c r="G1089">
        <f>_xlfn.XLOOKUP($A1089,Load!$B:$B,Load!H:H,0,)</f>
        <v>0</v>
      </c>
      <c r="H1089">
        <f>_xlfn.XLOOKUP($A1089,Load!$B:$B,Load!I:I,0,)</f>
        <v>0</v>
      </c>
      <c r="I1089">
        <f>_xlfn.XLOOKUP($A1089,Load!$B:$B,Load!J:J,0,)</f>
        <v>0</v>
      </c>
      <c r="J1089">
        <f>_xlfn.XLOOKUP($A1089,Load!$B:$B,Load!K:K,0,)</f>
        <v>0</v>
      </c>
      <c r="K1089">
        <f>_xlfn.XLOOKUP($A1089,Load!$B:$B,Load!L:L,0,)</f>
        <v>0</v>
      </c>
      <c r="L1089">
        <f>_xlfn.XLOOKUP($A1089,Load!$B:$B,Load!M:M,0,)</f>
        <v>0</v>
      </c>
    </row>
    <row r="1090" spans="1:12" x14ac:dyDescent="0.25">
      <c r="A1090" t="s">
        <v>97</v>
      </c>
      <c r="B1090" t="str">
        <f>_xlfn.XLOOKUP($A1090,Load!$B:$B,Load!C:C,0,)</f>
        <v>Ferrero Variety Pack</v>
      </c>
      <c r="C1090" t="str">
        <f>_xlfn.XLOOKUP($A1090,Load!$B:$B,Load!D:D,0,)</f>
        <v>Mix of Chocolate and Non-Chocolate Candy</v>
      </c>
      <c r="D1090" t="str">
        <f>_xlfn.XLOOKUP($A1090,Load!$B:$B,Load!E:E,0,)</f>
        <v>Variety / Mixed Flavors (Fruity, Sour, Seasonal Flavors)</v>
      </c>
      <c r="E1090" t="str">
        <f>_xlfn.XLOOKUP($A1090,Load!$B:$B,Load!F:F,0,)</f>
        <v>Mixed / Combo Packs (Gummy, Chewy, Taffy, etc.)</v>
      </c>
      <c r="F1090" t="str">
        <f>_xlfn.XLOOKUP($A1090,Load!$B:$B,Load!G:G,0,)</f>
        <v>Large Multipack (More than 80 ct)</v>
      </c>
      <c r="G1090" t="str">
        <f>_xlfn.XLOOKUP($A1090,Load!$B:$B,Load!H:H,0,)</f>
        <v>Stand-Up Bag</v>
      </c>
      <c r="H1090" t="str">
        <f>_xlfn.XLOOKUP($A1090,Load!$B:$B,Load!I:I,0,)</f>
        <v>Everyday Candy Shapes (like Original, Gummy bear, Fruit, Jewels, etc.)</v>
      </c>
      <c r="I1090" t="str">
        <f>_xlfn.XLOOKUP($A1090,Load!$B:$B,Load!J:J,0,)</f>
        <v>Seasonal Graphics (Like Bat, Ghost, Pumpkin, Fall Leaves, Eyeballs, etc.)</v>
      </c>
      <c r="J1090" t="str">
        <f>_xlfn.XLOOKUP($A1090,Load!$B:$B,Load!K:K,0,)</f>
        <v>Fun Size / Treat Size</v>
      </c>
      <c r="K1090" t="str">
        <f>_xlfn.XLOOKUP($A1090,Load!$B:$B,Load!L:L,0,)</f>
        <v>Regular/Original Wrapping</v>
      </c>
      <c r="L1090" t="str">
        <f>_xlfn.XLOOKUP($A1090,Load!$B:$B,Load!M:M,0,)</f>
        <v>Multiple Brands / Variety Flavors or Form</v>
      </c>
    </row>
    <row r="1091" spans="1:12" x14ac:dyDescent="0.25">
      <c r="A1091" t="s">
        <v>140</v>
      </c>
      <c r="B1091" t="str">
        <f>_xlfn.XLOOKUP($A1091,Load!$B:$B,Load!C:C,0,)</f>
        <v>Hershey's Variety Pack + Haribo</v>
      </c>
      <c r="C1091" t="str">
        <f>_xlfn.XLOOKUP($A1091,Load!$B:$B,Load!D:D,0,)</f>
        <v>Mix of Chocolate and Non-Chocolate Candy</v>
      </c>
      <c r="D1091" t="str">
        <f>_xlfn.XLOOKUP($A1091,Load!$B:$B,Load!E:E,0,)</f>
        <v>Variety / Mixed Flavors (Fruity, Sour, Seasonal Flavors)</v>
      </c>
      <c r="E1091" t="str">
        <f>_xlfn.XLOOKUP($A1091,Load!$B:$B,Load!F:F,0,)</f>
        <v>Mixed / Combo Packs (Gummy, Chewy, Taffy, etc.)</v>
      </c>
      <c r="F1091" t="str">
        <f>_xlfn.XLOOKUP($A1091,Load!$B:$B,Load!G:G,0,)</f>
        <v>Large Multipack (More than 80 ct)</v>
      </c>
      <c r="G1091" t="str">
        <f>_xlfn.XLOOKUP($A1091,Load!$B:$B,Load!H:H,0,)</f>
        <v>Stand-Up Bag</v>
      </c>
      <c r="H1091" t="str">
        <f>_xlfn.XLOOKUP($A1091,Load!$B:$B,Load!I:I,0,)</f>
        <v>Everyday Candy Shapes (like Original, Gummy bear, Fruit, Jewels, etc.)</v>
      </c>
      <c r="I1091" t="str">
        <f>_xlfn.XLOOKUP($A1091,Load!$B:$B,Load!J:J,0,)</f>
        <v>Seasonal Graphics (Like Bat, Ghost, Pumpkin, Fall Leaves, Eyeballs, etc.)</v>
      </c>
      <c r="J1091" t="str">
        <f>_xlfn.XLOOKUP($A1091,Load!$B:$B,Load!K:K,0,)</f>
        <v xml:space="preserve">Variety Candy Sizes </v>
      </c>
      <c r="K1091" t="str">
        <f>_xlfn.XLOOKUP($A1091,Load!$B:$B,Load!L:L,0,)</f>
        <v>Regular/Original Wrapping</v>
      </c>
      <c r="L1091" t="str">
        <f>_xlfn.XLOOKUP($A1091,Load!$B:$B,Load!M:M,0,)</f>
        <v>Multiple Brands / Variety Flavors or Form</v>
      </c>
    </row>
    <row r="1092" spans="1:12" x14ac:dyDescent="0.25">
      <c r="A1092" t="s">
        <v>134</v>
      </c>
      <c r="B1092" t="str">
        <f>_xlfn.XLOOKUP($A1092,Load!$B:$B,Load!C:C,0,)</f>
        <v>Hershey's Variety Pack</v>
      </c>
      <c r="C1092" t="str">
        <f>_xlfn.XLOOKUP($A1092,Load!$B:$B,Load!D:D,0,)</f>
        <v>Non-Chocolate Candy Only</v>
      </c>
      <c r="D1092" t="str">
        <f>_xlfn.XLOOKUP($A1092,Load!$B:$B,Load!E:E,0,)</f>
        <v>Variety / Mixed Flavors (Fruity, Sour, Seasonal Flavors)</v>
      </c>
      <c r="E1092" t="str">
        <f>_xlfn.XLOOKUP($A1092,Load!$B:$B,Load!F:F,0,)</f>
        <v>Mixed / Combo Packs (Gummy, Chewy, Taffy, etc.)</v>
      </c>
      <c r="F1092" t="str">
        <f>_xlfn.XLOOKUP($A1092,Load!$B:$B,Load!G:G,0,)</f>
        <v>Large Multipack (More than 80 ct)</v>
      </c>
      <c r="G1092" t="str">
        <f>_xlfn.XLOOKUP($A1092,Load!$B:$B,Load!H:H,0,)</f>
        <v>Stand-Up Bag</v>
      </c>
      <c r="H1092" t="str">
        <f>_xlfn.XLOOKUP($A1092,Load!$B:$B,Load!I:I,0,)</f>
        <v>Everyday Candy Shapes (like Original, Gummy bear, Fruit, Jewels, etc.)</v>
      </c>
      <c r="I1092" t="str">
        <f>_xlfn.XLOOKUP($A1092,Load!$B:$B,Load!J:J,0,)</f>
        <v>Seasonal Graphics (Like Bat, Ghost, Pumpkin, Fall Leaves, Eyeballs, etc.)</v>
      </c>
      <c r="J1092" t="str">
        <f>_xlfn.XLOOKUP($A1092,Load!$B:$B,Load!K:K,0,)</f>
        <v xml:space="preserve">Variety Candy Sizes </v>
      </c>
      <c r="K1092" t="str">
        <f>_xlfn.XLOOKUP($A1092,Load!$B:$B,Load!L:L,0,)</f>
        <v>Regular/Original Wrapping</v>
      </c>
      <c r="L1092" t="str">
        <f>_xlfn.XLOOKUP($A1092,Load!$B:$B,Load!M:M,0,)</f>
        <v>Multiple Brands / Variety Flavors or Form</v>
      </c>
    </row>
    <row r="1093" spans="1:12" x14ac:dyDescent="0.25">
      <c r="B1093">
        <f>_xlfn.XLOOKUP($A1093,Load!$B:$B,Load!C:C,0,)</f>
        <v>0</v>
      </c>
      <c r="C1093">
        <f>_xlfn.XLOOKUP($A1093,Load!$B:$B,Load!D:D,0,)</f>
        <v>0</v>
      </c>
      <c r="D1093">
        <f>_xlfn.XLOOKUP($A1093,Load!$B:$B,Load!E:E,0,)</f>
        <v>0</v>
      </c>
      <c r="E1093">
        <f>_xlfn.XLOOKUP($A1093,Load!$B:$B,Load!F:F,0,)</f>
        <v>0</v>
      </c>
      <c r="F1093">
        <f>_xlfn.XLOOKUP($A1093,Load!$B:$B,Load!G:G,0,)</f>
        <v>0</v>
      </c>
      <c r="G1093">
        <f>_xlfn.XLOOKUP($A1093,Load!$B:$B,Load!H:H,0,)</f>
        <v>0</v>
      </c>
      <c r="H1093">
        <f>_xlfn.XLOOKUP($A1093,Load!$B:$B,Load!I:I,0,)</f>
        <v>0</v>
      </c>
      <c r="I1093">
        <f>_xlfn.XLOOKUP($A1093,Load!$B:$B,Load!J:J,0,)</f>
        <v>0</v>
      </c>
      <c r="J1093">
        <f>_xlfn.XLOOKUP($A1093,Load!$B:$B,Load!K:K,0,)</f>
        <v>0</v>
      </c>
      <c r="K1093">
        <f>_xlfn.XLOOKUP($A1093,Load!$B:$B,Load!L:L,0,)</f>
        <v>0</v>
      </c>
      <c r="L1093">
        <f>_xlfn.XLOOKUP($A1093,Load!$B:$B,Load!M:M,0,)</f>
        <v>0</v>
      </c>
    </row>
    <row r="1094" spans="1:12" x14ac:dyDescent="0.25">
      <c r="A1094" t="s">
        <v>141</v>
      </c>
      <c r="B1094" t="str">
        <f>_xlfn.XLOOKUP($A1094,Load!$B:$B,Load!C:C,0,)</f>
        <v>Hershey's Variety Pack + Haribo</v>
      </c>
      <c r="C1094" t="str">
        <f>_xlfn.XLOOKUP($A1094,Load!$B:$B,Load!D:D,0,)</f>
        <v>Non-Chocolate Candy Only</v>
      </c>
      <c r="D1094" t="str">
        <f>_xlfn.XLOOKUP($A1094,Load!$B:$B,Load!E:E,0,)</f>
        <v>Variety / Mixed Flavors (Fruity, Sour, Seasonal Flavors)</v>
      </c>
      <c r="E1094" t="str">
        <f>_xlfn.XLOOKUP($A1094,Load!$B:$B,Load!F:F,0,)</f>
        <v>Mixed / Combo Packs (Gummy, Chewy, Taffy, etc.)</v>
      </c>
      <c r="F1094" t="str">
        <f>_xlfn.XLOOKUP($A1094,Load!$B:$B,Load!G:G,0,)</f>
        <v>Large Multipack (More than 80 ct)</v>
      </c>
      <c r="G1094" t="str">
        <f>_xlfn.XLOOKUP($A1094,Load!$B:$B,Load!H:H,0,)</f>
        <v>Plastic Cup / Container</v>
      </c>
      <c r="H1094" t="str">
        <f>_xlfn.XLOOKUP($A1094,Load!$B:$B,Load!I:I,0,)</f>
        <v>Everyday Candy Shapes (like Original, Gummy bear, Fruit, Jewels, etc.)</v>
      </c>
      <c r="I1094" t="str">
        <f>_xlfn.XLOOKUP($A1094,Load!$B:$B,Load!J:J,0,)</f>
        <v>Everyday Graphics</v>
      </c>
      <c r="J1094" t="str">
        <f>_xlfn.XLOOKUP($A1094,Load!$B:$B,Load!K:K,0,)</f>
        <v xml:space="preserve">Variety Candy Sizes </v>
      </c>
      <c r="K1094" t="str">
        <f>_xlfn.XLOOKUP($A1094,Load!$B:$B,Load!L:L,0,)</f>
        <v>Regular/Original Wrapping</v>
      </c>
      <c r="L1094" t="str">
        <f>_xlfn.XLOOKUP($A1094,Load!$B:$B,Load!M:M,0,)</f>
        <v>Multiple Brands / Variety Flavors or Form</v>
      </c>
    </row>
    <row r="1095" spans="1:12" x14ac:dyDescent="0.25">
      <c r="B1095">
        <f>_xlfn.XLOOKUP($A1095,Load!$B:$B,Load!C:C,0,)</f>
        <v>0</v>
      </c>
      <c r="C1095">
        <f>_xlfn.XLOOKUP($A1095,Load!$B:$B,Load!D:D,0,)</f>
        <v>0</v>
      </c>
      <c r="D1095">
        <f>_xlfn.XLOOKUP($A1095,Load!$B:$B,Load!E:E,0,)</f>
        <v>0</v>
      </c>
      <c r="E1095">
        <f>_xlfn.XLOOKUP($A1095,Load!$B:$B,Load!F:F,0,)</f>
        <v>0</v>
      </c>
      <c r="F1095">
        <f>_xlfn.XLOOKUP($A1095,Load!$B:$B,Load!G:G,0,)</f>
        <v>0</v>
      </c>
      <c r="G1095">
        <f>_xlfn.XLOOKUP($A1095,Load!$B:$B,Load!H:H,0,)</f>
        <v>0</v>
      </c>
      <c r="H1095">
        <f>_xlfn.XLOOKUP($A1095,Load!$B:$B,Load!I:I,0,)</f>
        <v>0</v>
      </c>
      <c r="I1095">
        <f>_xlfn.XLOOKUP($A1095,Load!$B:$B,Load!J:J,0,)</f>
        <v>0</v>
      </c>
      <c r="J1095">
        <f>_xlfn.XLOOKUP($A1095,Load!$B:$B,Load!K:K,0,)</f>
        <v>0</v>
      </c>
      <c r="K1095">
        <f>_xlfn.XLOOKUP($A1095,Load!$B:$B,Load!L:L,0,)</f>
        <v>0</v>
      </c>
      <c r="L1095">
        <f>_xlfn.XLOOKUP($A1095,Load!$B:$B,Load!M:M,0,)</f>
        <v>0</v>
      </c>
    </row>
    <row r="1096" spans="1:12" x14ac:dyDescent="0.25">
      <c r="B1096">
        <f>_xlfn.XLOOKUP($A1096,Load!$B:$B,Load!C:C,0,)</f>
        <v>0</v>
      </c>
      <c r="C1096">
        <f>_xlfn.XLOOKUP($A1096,Load!$B:$B,Load!D:D,0,)</f>
        <v>0</v>
      </c>
      <c r="D1096">
        <f>_xlfn.XLOOKUP($A1096,Load!$B:$B,Load!E:E,0,)</f>
        <v>0</v>
      </c>
      <c r="E1096">
        <f>_xlfn.XLOOKUP($A1096,Load!$B:$B,Load!F:F,0,)</f>
        <v>0</v>
      </c>
      <c r="F1096">
        <f>_xlfn.XLOOKUP($A1096,Load!$B:$B,Load!G:G,0,)</f>
        <v>0</v>
      </c>
      <c r="G1096">
        <f>_xlfn.XLOOKUP($A1096,Load!$B:$B,Load!H:H,0,)</f>
        <v>0</v>
      </c>
      <c r="H1096">
        <f>_xlfn.XLOOKUP($A1096,Load!$B:$B,Load!I:I,0,)</f>
        <v>0</v>
      </c>
      <c r="I1096">
        <f>_xlfn.XLOOKUP($A1096,Load!$B:$B,Load!J:J,0,)</f>
        <v>0</v>
      </c>
      <c r="J1096">
        <f>_xlfn.XLOOKUP($A1096,Load!$B:$B,Load!K:K,0,)</f>
        <v>0</v>
      </c>
      <c r="K1096">
        <f>_xlfn.XLOOKUP($A1096,Load!$B:$B,Load!L:L,0,)</f>
        <v>0</v>
      </c>
      <c r="L1096">
        <f>_xlfn.XLOOKUP($A1096,Load!$B:$B,Load!M:M,0,)</f>
        <v>0</v>
      </c>
    </row>
    <row r="1097" spans="1:12" x14ac:dyDescent="0.25">
      <c r="B1097">
        <f>_xlfn.XLOOKUP($A1097,Load!$B:$B,Load!C:C,0,)</f>
        <v>0</v>
      </c>
      <c r="C1097">
        <f>_xlfn.XLOOKUP($A1097,Load!$B:$B,Load!D:D,0,)</f>
        <v>0</v>
      </c>
      <c r="D1097">
        <f>_xlfn.XLOOKUP($A1097,Load!$B:$B,Load!E:E,0,)</f>
        <v>0</v>
      </c>
      <c r="E1097">
        <f>_xlfn.XLOOKUP($A1097,Load!$B:$B,Load!F:F,0,)</f>
        <v>0</v>
      </c>
      <c r="F1097">
        <f>_xlfn.XLOOKUP($A1097,Load!$B:$B,Load!G:G,0,)</f>
        <v>0</v>
      </c>
      <c r="G1097">
        <f>_xlfn.XLOOKUP($A1097,Load!$B:$B,Load!H:H,0,)</f>
        <v>0</v>
      </c>
      <c r="H1097">
        <f>_xlfn.XLOOKUP($A1097,Load!$B:$B,Load!I:I,0,)</f>
        <v>0</v>
      </c>
      <c r="I1097">
        <f>_xlfn.XLOOKUP($A1097,Load!$B:$B,Load!J:J,0,)</f>
        <v>0</v>
      </c>
      <c r="J1097">
        <f>_xlfn.XLOOKUP($A1097,Load!$B:$B,Load!K:K,0,)</f>
        <v>0</v>
      </c>
      <c r="K1097">
        <f>_xlfn.XLOOKUP($A1097,Load!$B:$B,Load!L:L,0,)</f>
        <v>0</v>
      </c>
      <c r="L1097">
        <f>_xlfn.XLOOKUP($A1097,Load!$B:$B,Load!M:M,0,)</f>
        <v>0</v>
      </c>
    </row>
    <row r="1098" spans="1:12" x14ac:dyDescent="0.25">
      <c r="B1098">
        <f>_xlfn.XLOOKUP($A1098,Load!$B:$B,Load!C:C,0,)</f>
        <v>0</v>
      </c>
      <c r="C1098">
        <f>_xlfn.XLOOKUP($A1098,Load!$B:$B,Load!D:D,0,)</f>
        <v>0</v>
      </c>
      <c r="D1098">
        <f>_xlfn.XLOOKUP($A1098,Load!$B:$B,Load!E:E,0,)</f>
        <v>0</v>
      </c>
      <c r="E1098">
        <f>_xlfn.XLOOKUP($A1098,Load!$B:$B,Load!F:F,0,)</f>
        <v>0</v>
      </c>
      <c r="F1098">
        <f>_xlfn.XLOOKUP($A1098,Load!$B:$B,Load!G:G,0,)</f>
        <v>0</v>
      </c>
      <c r="G1098">
        <f>_xlfn.XLOOKUP($A1098,Load!$B:$B,Load!H:H,0,)</f>
        <v>0</v>
      </c>
      <c r="H1098">
        <f>_xlfn.XLOOKUP($A1098,Load!$B:$B,Load!I:I,0,)</f>
        <v>0</v>
      </c>
      <c r="I1098">
        <f>_xlfn.XLOOKUP($A1098,Load!$B:$B,Load!J:J,0,)</f>
        <v>0</v>
      </c>
      <c r="J1098">
        <f>_xlfn.XLOOKUP($A1098,Load!$B:$B,Load!K:K,0,)</f>
        <v>0</v>
      </c>
      <c r="K1098">
        <f>_xlfn.XLOOKUP($A1098,Load!$B:$B,Load!L:L,0,)</f>
        <v>0</v>
      </c>
      <c r="L1098">
        <f>_xlfn.XLOOKUP($A1098,Load!$B:$B,Load!M:M,0,)</f>
        <v>0</v>
      </c>
    </row>
    <row r="1099" spans="1:12" x14ac:dyDescent="0.25">
      <c r="B1099">
        <f>_xlfn.XLOOKUP($A1099,Load!$B:$B,Load!C:C,0,)</f>
        <v>0</v>
      </c>
      <c r="C1099">
        <f>_xlfn.XLOOKUP($A1099,Load!$B:$B,Load!D:D,0,)</f>
        <v>0</v>
      </c>
      <c r="D1099">
        <f>_xlfn.XLOOKUP($A1099,Load!$B:$B,Load!E:E,0,)</f>
        <v>0</v>
      </c>
      <c r="E1099">
        <f>_xlfn.XLOOKUP($A1099,Load!$B:$B,Load!F:F,0,)</f>
        <v>0</v>
      </c>
      <c r="F1099">
        <f>_xlfn.XLOOKUP($A1099,Load!$B:$B,Load!G:G,0,)</f>
        <v>0</v>
      </c>
      <c r="G1099">
        <f>_xlfn.XLOOKUP($A1099,Load!$B:$B,Load!H:H,0,)</f>
        <v>0</v>
      </c>
      <c r="H1099">
        <f>_xlfn.XLOOKUP($A1099,Load!$B:$B,Load!I:I,0,)</f>
        <v>0</v>
      </c>
      <c r="I1099">
        <f>_xlfn.XLOOKUP($A1099,Load!$B:$B,Load!J:J,0,)</f>
        <v>0</v>
      </c>
      <c r="J1099">
        <f>_xlfn.XLOOKUP($A1099,Load!$B:$B,Load!K:K,0,)</f>
        <v>0</v>
      </c>
      <c r="K1099">
        <f>_xlfn.XLOOKUP($A1099,Load!$B:$B,Load!L:L,0,)</f>
        <v>0</v>
      </c>
      <c r="L1099">
        <f>_xlfn.XLOOKUP($A1099,Load!$B:$B,Load!M:M,0,)</f>
        <v>0</v>
      </c>
    </row>
    <row r="1100" spans="1:12" x14ac:dyDescent="0.25">
      <c r="A1100" t="s">
        <v>128</v>
      </c>
      <c r="B1100" t="str">
        <f>_xlfn.XLOOKUP($A1100,Load!$B:$B,Load!C:C,0,)</f>
        <v>HARIBO</v>
      </c>
      <c r="C1100" t="str">
        <f>_xlfn.XLOOKUP($A1100,Load!$B:$B,Load!D:D,0,)</f>
        <v>Non-Chocolate Candy Only</v>
      </c>
      <c r="D1100" t="str">
        <f>_xlfn.XLOOKUP($A1100,Load!$B:$B,Load!E:E,0,)</f>
        <v>Fruit Flavor (Cherry, Grape, Apple, Citrus, Tropical Fruit)</v>
      </c>
      <c r="E1100" t="str">
        <f>_xlfn.XLOOKUP($A1100,Load!$B:$B,Load!F:F,0,)</f>
        <v>Gummy</v>
      </c>
      <c r="F1100" t="str">
        <f>_xlfn.XLOOKUP($A1100,Load!$B:$B,Load!G:G,0,)</f>
        <v>Medium Multipack (40–80 ct)</v>
      </c>
      <c r="G1100" t="str">
        <f>_xlfn.XLOOKUP($A1100,Load!$B:$B,Load!H:H,0,)</f>
        <v>Plastic Cup / Container</v>
      </c>
      <c r="H1100" t="str">
        <f>_xlfn.XLOOKUP($A1100,Load!$B:$B,Load!I:I,0,)</f>
        <v>Everyday Candy Shapes (like Original, Gummy bear, Fruit, Jewels, etc.)</v>
      </c>
      <c r="I1100" t="str">
        <f>_xlfn.XLOOKUP($A1100,Load!$B:$B,Load!J:J,0,)</f>
        <v>Everyday Graphics</v>
      </c>
      <c r="J1100" t="str">
        <f>_xlfn.XLOOKUP($A1100,Load!$B:$B,Load!K:K,0,)</f>
        <v>Small Pieces (Tiny bite size candies)</v>
      </c>
      <c r="K1100" t="str">
        <f>_xlfn.XLOOKUP($A1100,Load!$B:$B,Load!L:L,0,)</f>
        <v>Regular/Original Wrapping</v>
      </c>
      <c r="L1100" t="str">
        <f>_xlfn.XLOOKUP($A1100,Load!$B:$B,Load!M:M,0,)</f>
        <v>Single Brand / Variety Flavors or Form</v>
      </c>
    </row>
    <row r="1101" spans="1:12" x14ac:dyDescent="0.25">
      <c r="B1101">
        <f>_xlfn.XLOOKUP($A1101,Load!$B:$B,Load!C:C,0,)</f>
        <v>0</v>
      </c>
      <c r="C1101">
        <f>_xlfn.XLOOKUP($A1101,Load!$B:$B,Load!D:D,0,)</f>
        <v>0</v>
      </c>
      <c r="D1101">
        <f>_xlfn.XLOOKUP($A1101,Load!$B:$B,Load!E:E,0,)</f>
        <v>0</v>
      </c>
      <c r="E1101">
        <f>_xlfn.XLOOKUP($A1101,Load!$B:$B,Load!F:F,0,)</f>
        <v>0</v>
      </c>
      <c r="F1101">
        <f>_xlfn.XLOOKUP($A1101,Load!$B:$B,Load!G:G,0,)</f>
        <v>0</v>
      </c>
      <c r="G1101">
        <f>_xlfn.XLOOKUP($A1101,Load!$B:$B,Load!H:H,0,)</f>
        <v>0</v>
      </c>
      <c r="H1101">
        <f>_xlfn.XLOOKUP($A1101,Load!$B:$B,Load!I:I,0,)</f>
        <v>0</v>
      </c>
      <c r="I1101">
        <f>_xlfn.XLOOKUP($A1101,Load!$B:$B,Load!J:J,0,)</f>
        <v>0</v>
      </c>
      <c r="J1101">
        <f>_xlfn.XLOOKUP($A1101,Load!$B:$B,Load!K:K,0,)</f>
        <v>0</v>
      </c>
      <c r="K1101">
        <f>_xlfn.XLOOKUP($A1101,Load!$B:$B,Load!L:L,0,)</f>
        <v>0</v>
      </c>
      <c r="L1101">
        <f>_xlfn.XLOOKUP($A1101,Load!$B:$B,Load!M:M,0,)</f>
        <v>0</v>
      </c>
    </row>
    <row r="1102" spans="1:12" x14ac:dyDescent="0.25">
      <c r="A1102" t="s">
        <v>301</v>
      </c>
      <c r="B1102" t="str">
        <f>_xlfn.XLOOKUP($A1102,Load!$B:$B,Load!C:C,0,)</f>
        <v>Twizzlers</v>
      </c>
      <c r="C1102" t="str">
        <f>_xlfn.XLOOKUP($A1102,Load!$B:$B,Load!D:D,0,)</f>
        <v>Non-Chocolate Candy Only</v>
      </c>
      <c r="D1102" t="str">
        <f>_xlfn.XLOOKUP($A1102,Load!$B:$B,Load!E:E,0,)</f>
        <v>Variety / Mixed Flavors (Fruity, Sour, Seasonal Flavors)</v>
      </c>
      <c r="E1102" t="str">
        <f>_xlfn.XLOOKUP($A1102,Load!$B:$B,Load!F:F,0,)</f>
        <v>Mixed / Combo Packs (Gummy, Chewy, Taffy, etc.)</v>
      </c>
      <c r="F1102" t="str">
        <f>_xlfn.XLOOKUP($A1102,Load!$B:$B,Load!G:G,0,)</f>
        <v>Medium Multipack (40–80 ct)</v>
      </c>
      <c r="G1102" t="str">
        <f>_xlfn.XLOOKUP($A1102,Load!$B:$B,Load!H:H,0,)</f>
        <v>Laydown Bag</v>
      </c>
      <c r="H1102" t="str">
        <f>_xlfn.XLOOKUP($A1102,Load!$B:$B,Load!I:I,0,)</f>
        <v>Everyday Candy Shapes (like Original, Gummy bear, Fruit, Jewels, etc.)</v>
      </c>
      <c r="I1102" t="str">
        <f>_xlfn.XLOOKUP($A1102,Load!$B:$B,Load!J:J,0,)</f>
        <v>Seasonal Graphics (Like Bat, Ghost, Pumpkin, Fall Leaves, Eyeballs, etc.)</v>
      </c>
      <c r="J1102" t="str">
        <f>_xlfn.XLOOKUP($A1102,Load!$B:$B,Load!K:K,0,)</f>
        <v>Fun Size / Treat Size</v>
      </c>
      <c r="K1102" t="str">
        <f>_xlfn.XLOOKUP($A1102,Load!$B:$B,Load!L:L,0,)</f>
        <v>Regular/Original Wrapping</v>
      </c>
      <c r="L1102" t="str">
        <f>_xlfn.XLOOKUP($A1102,Load!$B:$B,Load!M:M,0,)</f>
        <v>Single Brand / Variety Flavors or Form</v>
      </c>
    </row>
    <row r="1103" spans="1:12" x14ac:dyDescent="0.25">
      <c r="A1103" t="s">
        <v>161</v>
      </c>
      <c r="B1103" t="str">
        <f>_xlfn.XLOOKUP($A1103,Load!$B:$B,Load!C:C,0,)</f>
        <v>Jolly Rancher</v>
      </c>
      <c r="C1103" t="str">
        <f>_xlfn.XLOOKUP($A1103,Load!$B:$B,Load!D:D,0,)</f>
        <v>Non-Chocolate Candy Only</v>
      </c>
      <c r="D1103" t="str">
        <f>_xlfn.XLOOKUP($A1103,Load!$B:$B,Load!E:E,0,)</f>
        <v>Variety / Mixed Flavors (Fruity, Sour, Seasonal Flavors)</v>
      </c>
      <c r="E1103" t="str">
        <f>_xlfn.XLOOKUP($A1103,Load!$B:$B,Load!F:F,0,)</f>
        <v>Mixed / Combo Packs (Gummy, Chewy, Taffy, etc.)</v>
      </c>
      <c r="F1103" t="str">
        <f>_xlfn.XLOOKUP($A1103,Load!$B:$B,Load!G:G,0,)</f>
        <v>Large Multipack (More than 80 ct)</v>
      </c>
      <c r="G1103" t="str">
        <f>_xlfn.XLOOKUP($A1103,Load!$B:$B,Load!H:H,0,)</f>
        <v>Stand-Up Bag</v>
      </c>
      <c r="H1103" t="str">
        <f>_xlfn.XLOOKUP($A1103,Load!$B:$B,Load!I:I,0,)</f>
        <v>Everyday Candy Shapes (like Original, Gummy bear, Fruit, Jewels, etc.)</v>
      </c>
      <c r="I1103" t="str">
        <f>_xlfn.XLOOKUP($A1103,Load!$B:$B,Load!J:J,0,)</f>
        <v>Seasonal Graphics (Like Bat, Ghost, Pumpkin, Fall Leaves, Eyeballs, etc.)</v>
      </c>
      <c r="J1103" t="str">
        <f>_xlfn.XLOOKUP($A1103,Load!$B:$B,Load!K:K,0,)</f>
        <v xml:space="preserve">Variety Candy Sizes </v>
      </c>
      <c r="K1103" t="str">
        <f>_xlfn.XLOOKUP($A1103,Load!$B:$B,Load!L:L,0,)</f>
        <v>Regular/Original Wrapping</v>
      </c>
      <c r="L1103" t="str">
        <f>_xlfn.XLOOKUP($A1103,Load!$B:$B,Load!M:M,0,)</f>
        <v>Single Brand / Variety Flavors or Form</v>
      </c>
    </row>
    <row r="1104" spans="1:12" x14ac:dyDescent="0.25">
      <c r="B1104">
        <f>_xlfn.XLOOKUP($A1104,Load!$B:$B,Load!C:C,0,)</f>
        <v>0</v>
      </c>
      <c r="C1104">
        <f>_xlfn.XLOOKUP($A1104,Load!$B:$B,Load!D:D,0,)</f>
        <v>0</v>
      </c>
      <c r="D1104">
        <f>_xlfn.XLOOKUP($A1104,Load!$B:$B,Load!E:E,0,)</f>
        <v>0</v>
      </c>
      <c r="E1104">
        <f>_xlfn.XLOOKUP($A1104,Load!$B:$B,Load!F:F,0,)</f>
        <v>0</v>
      </c>
      <c r="F1104">
        <f>_xlfn.XLOOKUP($A1104,Load!$B:$B,Load!G:G,0,)</f>
        <v>0</v>
      </c>
      <c r="G1104">
        <f>_xlfn.XLOOKUP($A1104,Load!$B:$B,Load!H:H,0,)</f>
        <v>0</v>
      </c>
      <c r="H1104">
        <f>_xlfn.XLOOKUP($A1104,Load!$B:$B,Load!I:I,0,)</f>
        <v>0</v>
      </c>
      <c r="I1104">
        <f>_xlfn.XLOOKUP($A1104,Load!$B:$B,Load!J:J,0,)</f>
        <v>0</v>
      </c>
      <c r="J1104">
        <f>_xlfn.XLOOKUP($A1104,Load!$B:$B,Load!K:K,0,)</f>
        <v>0</v>
      </c>
      <c r="K1104">
        <f>_xlfn.XLOOKUP($A1104,Load!$B:$B,Load!L:L,0,)</f>
        <v>0</v>
      </c>
      <c r="L1104">
        <f>_xlfn.XLOOKUP($A1104,Load!$B:$B,Load!M:M,0,)</f>
        <v>0</v>
      </c>
    </row>
    <row r="1105" spans="1:12" x14ac:dyDescent="0.25">
      <c r="B1105">
        <f>_xlfn.XLOOKUP($A1105,Load!$B:$B,Load!C:C,0,)</f>
        <v>0</v>
      </c>
      <c r="C1105">
        <f>_xlfn.XLOOKUP($A1105,Load!$B:$B,Load!D:D,0,)</f>
        <v>0</v>
      </c>
      <c r="D1105">
        <f>_xlfn.XLOOKUP($A1105,Load!$B:$B,Load!E:E,0,)</f>
        <v>0</v>
      </c>
      <c r="E1105">
        <f>_xlfn.XLOOKUP($A1105,Load!$B:$B,Load!F:F,0,)</f>
        <v>0</v>
      </c>
      <c r="F1105">
        <f>_xlfn.XLOOKUP($A1105,Load!$B:$B,Load!G:G,0,)</f>
        <v>0</v>
      </c>
      <c r="G1105">
        <f>_xlfn.XLOOKUP($A1105,Load!$B:$B,Load!H:H,0,)</f>
        <v>0</v>
      </c>
      <c r="H1105">
        <f>_xlfn.XLOOKUP($A1105,Load!$B:$B,Load!I:I,0,)</f>
        <v>0</v>
      </c>
      <c r="I1105">
        <f>_xlfn.XLOOKUP($A1105,Load!$B:$B,Load!J:J,0,)</f>
        <v>0</v>
      </c>
      <c r="J1105">
        <f>_xlfn.XLOOKUP($A1105,Load!$B:$B,Load!K:K,0,)</f>
        <v>0</v>
      </c>
      <c r="K1105">
        <f>_xlfn.XLOOKUP($A1105,Load!$B:$B,Load!L:L,0,)</f>
        <v>0</v>
      </c>
      <c r="L1105">
        <f>_xlfn.XLOOKUP($A1105,Load!$B:$B,Load!M:M,0,)</f>
        <v>0</v>
      </c>
    </row>
    <row r="1106" spans="1:12" x14ac:dyDescent="0.25">
      <c r="B1106">
        <f>_xlfn.XLOOKUP($A1106,Load!$B:$B,Load!C:C,0,)</f>
        <v>0</v>
      </c>
      <c r="C1106">
        <f>_xlfn.XLOOKUP($A1106,Load!$B:$B,Load!D:D,0,)</f>
        <v>0</v>
      </c>
      <c r="D1106">
        <f>_xlfn.XLOOKUP($A1106,Load!$B:$B,Load!E:E,0,)</f>
        <v>0</v>
      </c>
      <c r="E1106">
        <f>_xlfn.XLOOKUP($A1106,Load!$B:$B,Load!F:F,0,)</f>
        <v>0</v>
      </c>
      <c r="F1106">
        <f>_xlfn.XLOOKUP($A1106,Load!$B:$B,Load!G:G,0,)</f>
        <v>0</v>
      </c>
      <c r="G1106">
        <f>_xlfn.XLOOKUP($A1106,Load!$B:$B,Load!H:H,0,)</f>
        <v>0</v>
      </c>
      <c r="H1106">
        <f>_xlfn.XLOOKUP($A1106,Load!$B:$B,Load!I:I,0,)</f>
        <v>0</v>
      </c>
      <c r="I1106">
        <f>_xlfn.XLOOKUP($A1106,Load!$B:$B,Load!J:J,0,)</f>
        <v>0</v>
      </c>
      <c r="J1106">
        <f>_xlfn.XLOOKUP($A1106,Load!$B:$B,Load!K:K,0,)</f>
        <v>0</v>
      </c>
      <c r="K1106">
        <f>_xlfn.XLOOKUP($A1106,Load!$B:$B,Load!L:L,0,)</f>
        <v>0</v>
      </c>
      <c r="L1106">
        <f>_xlfn.XLOOKUP($A1106,Load!$B:$B,Load!M:M,0,)</f>
        <v>0</v>
      </c>
    </row>
    <row r="1107" spans="1:12" x14ac:dyDescent="0.25">
      <c r="B1107">
        <f>_xlfn.XLOOKUP($A1107,Load!$B:$B,Load!C:C,0,)</f>
        <v>0</v>
      </c>
      <c r="C1107">
        <f>_xlfn.XLOOKUP($A1107,Load!$B:$B,Load!D:D,0,)</f>
        <v>0</v>
      </c>
      <c r="D1107">
        <f>_xlfn.XLOOKUP($A1107,Load!$B:$B,Load!E:E,0,)</f>
        <v>0</v>
      </c>
      <c r="E1107">
        <f>_xlfn.XLOOKUP($A1107,Load!$B:$B,Load!F:F,0,)</f>
        <v>0</v>
      </c>
      <c r="F1107">
        <f>_xlfn.XLOOKUP($A1107,Load!$B:$B,Load!G:G,0,)</f>
        <v>0</v>
      </c>
      <c r="G1107">
        <f>_xlfn.XLOOKUP($A1107,Load!$B:$B,Load!H:H,0,)</f>
        <v>0</v>
      </c>
      <c r="H1107">
        <f>_xlfn.XLOOKUP($A1107,Load!$B:$B,Load!I:I,0,)</f>
        <v>0</v>
      </c>
      <c r="I1107">
        <f>_xlfn.XLOOKUP($A1107,Load!$B:$B,Load!J:J,0,)</f>
        <v>0</v>
      </c>
      <c r="J1107">
        <f>_xlfn.XLOOKUP($A1107,Load!$B:$B,Load!K:K,0,)</f>
        <v>0</v>
      </c>
      <c r="K1107">
        <f>_xlfn.XLOOKUP($A1107,Load!$B:$B,Load!L:L,0,)</f>
        <v>0</v>
      </c>
      <c r="L1107">
        <f>_xlfn.XLOOKUP($A1107,Load!$B:$B,Load!M:M,0,)</f>
        <v>0</v>
      </c>
    </row>
    <row r="1108" spans="1:12" x14ac:dyDescent="0.25">
      <c r="A1108" t="s">
        <v>236</v>
      </c>
      <c r="B1108" t="str">
        <f>_xlfn.XLOOKUP($A1108,Load!$B:$B,Load!C:C,0,)</f>
        <v>Nerds</v>
      </c>
      <c r="C1108" t="str">
        <f>_xlfn.XLOOKUP($A1108,Load!$B:$B,Load!D:D,0,)</f>
        <v>Non-Chocolate Candy Only</v>
      </c>
      <c r="D1108" t="str">
        <f>_xlfn.XLOOKUP($A1108,Load!$B:$B,Load!E:E,0,)</f>
        <v>Variety / Mixed Flavors (Fruity, Sour, Seasonal Flavors)</v>
      </c>
      <c r="E1108" t="str">
        <f>_xlfn.XLOOKUP($A1108,Load!$B:$B,Load!F:F,0,)</f>
        <v>Candy Pieces / Bites</v>
      </c>
      <c r="F1108" t="str">
        <f>_xlfn.XLOOKUP($A1108,Load!$B:$B,Load!G:G,0,)</f>
        <v>Medium Multipack (40–80 ct)</v>
      </c>
      <c r="G1108" t="str">
        <f>_xlfn.XLOOKUP($A1108,Load!$B:$B,Load!H:H,0,)</f>
        <v>Stand-Up Bag</v>
      </c>
      <c r="H1108" t="str">
        <f>_xlfn.XLOOKUP($A1108,Load!$B:$B,Load!I:I,0,)</f>
        <v>Everyday Candy Shapes (like Original, Gummy bear, Fruit, Jewels, etc.)</v>
      </c>
      <c r="I1108" t="str">
        <f>_xlfn.XLOOKUP($A1108,Load!$B:$B,Load!J:J,0,)</f>
        <v>Seasonal Graphics (Like Bat, Ghost, Pumpkin, Fall Leaves, Eyeballs, etc.)</v>
      </c>
      <c r="J1108" t="str">
        <f>_xlfn.XLOOKUP($A1108,Load!$B:$B,Load!K:K,0,)</f>
        <v>Small Pieces (Tiny bite size candies)</v>
      </c>
      <c r="K1108" t="str">
        <f>_xlfn.XLOOKUP($A1108,Load!$B:$B,Load!L:L,0,)</f>
        <v>Unwrapped</v>
      </c>
      <c r="L1108" t="str">
        <f>_xlfn.XLOOKUP($A1108,Load!$B:$B,Load!M:M,0,)</f>
        <v>Single Brand / Variety Flavors or Form</v>
      </c>
    </row>
    <row r="1109" spans="1:12" x14ac:dyDescent="0.25">
      <c r="A1109" t="s">
        <v>36</v>
      </c>
      <c r="B1109" t="str">
        <f>_xlfn.XLOOKUP($A1109,Load!$B:$B,Load!C:C,0,)</f>
        <v>Brach's</v>
      </c>
      <c r="C1109" t="str">
        <f>_xlfn.XLOOKUP($A1109,Load!$B:$B,Load!D:D,0,)</f>
        <v>Non-Chocolate Candy Only</v>
      </c>
      <c r="D1109" t="str">
        <f>_xlfn.XLOOKUP($A1109,Load!$B:$B,Load!E:E,0,)</f>
        <v>Fall / Seasonal Flavors (pumpkin spice, caramel apple, candy corn)</v>
      </c>
      <c r="E1109" t="str">
        <f>_xlfn.XLOOKUP($A1109,Load!$B:$B,Load!F:F,0,)</f>
        <v>Candy Pieces / Bites</v>
      </c>
      <c r="F1109" t="str">
        <f>_xlfn.XLOOKUP($A1109,Load!$B:$B,Load!G:G,0,)</f>
        <v>Single Pack</v>
      </c>
      <c r="G1109" t="str">
        <f>_xlfn.XLOOKUP($A1109,Load!$B:$B,Load!H:H,0,)</f>
        <v>Laydown Bag</v>
      </c>
      <c r="H1109" t="str">
        <f>_xlfn.XLOOKUP($A1109,Load!$B:$B,Load!I:I,0,)</f>
        <v>Seasonal Shapes (like pumpkins, candy corn, ghost, bats, etc.)</v>
      </c>
      <c r="I1109" t="str">
        <f>_xlfn.XLOOKUP($A1109,Load!$B:$B,Load!J:J,0,)</f>
        <v>Seasonal Graphics (Like Bat, Ghost, Pumpkin, Fall Leaves, Eyeballs, etc.)</v>
      </c>
      <c r="J1109" t="str">
        <f>_xlfn.XLOOKUP($A1109,Load!$B:$B,Load!K:K,0,)</f>
        <v>Small Pieces (Tiny bite size candies)</v>
      </c>
      <c r="K1109" t="str">
        <f>_xlfn.XLOOKUP($A1109,Load!$B:$B,Load!L:L,0,)</f>
        <v>Unwrapped</v>
      </c>
      <c r="L1109" t="str">
        <f>_xlfn.XLOOKUP($A1109,Load!$B:$B,Load!M:M,0,)</f>
        <v>Single Brand / Single Flavor or Form</v>
      </c>
    </row>
    <row r="1110" spans="1:12" x14ac:dyDescent="0.25">
      <c r="B1110">
        <f>_xlfn.XLOOKUP($A1110,Load!$B:$B,Load!C:C,0,)</f>
        <v>0</v>
      </c>
      <c r="C1110">
        <f>_xlfn.XLOOKUP($A1110,Load!$B:$B,Load!D:D,0,)</f>
        <v>0</v>
      </c>
      <c r="D1110">
        <f>_xlfn.XLOOKUP($A1110,Load!$B:$B,Load!E:E,0,)</f>
        <v>0</v>
      </c>
      <c r="E1110">
        <f>_xlfn.XLOOKUP($A1110,Load!$B:$B,Load!F:F,0,)</f>
        <v>0</v>
      </c>
      <c r="F1110">
        <f>_xlfn.XLOOKUP($A1110,Load!$B:$B,Load!G:G,0,)</f>
        <v>0</v>
      </c>
      <c r="G1110">
        <f>_xlfn.XLOOKUP($A1110,Load!$B:$B,Load!H:H,0,)</f>
        <v>0</v>
      </c>
      <c r="H1110">
        <f>_xlfn.XLOOKUP($A1110,Load!$B:$B,Load!I:I,0,)</f>
        <v>0</v>
      </c>
      <c r="I1110">
        <f>_xlfn.XLOOKUP($A1110,Load!$B:$B,Load!J:J,0,)</f>
        <v>0</v>
      </c>
      <c r="J1110">
        <f>_xlfn.XLOOKUP($A1110,Load!$B:$B,Load!K:K,0,)</f>
        <v>0</v>
      </c>
      <c r="K1110">
        <f>_xlfn.XLOOKUP($A1110,Load!$B:$B,Load!L:L,0,)</f>
        <v>0</v>
      </c>
      <c r="L1110">
        <f>_xlfn.XLOOKUP($A1110,Load!$B:$B,Load!M:M,0,)</f>
        <v>0</v>
      </c>
    </row>
    <row r="1111" spans="1:12" x14ac:dyDescent="0.25">
      <c r="B1111">
        <f>_xlfn.XLOOKUP($A1111,Load!$B:$B,Load!C:C,0,)</f>
        <v>0</v>
      </c>
      <c r="C1111">
        <f>_xlfn.XLOOKUP($A1111,Load!$B:$B,Load!D:D,0,)</f>
        <v>0</v>
      </c>
      <c r="D1111">
        <f>_xlfn.XLOOKUP($A1111,Load!$B:$B,Load!E:E,0,)</f>
        <v>0</v>
      </c>
      <c r="E1111">
        <f>_xlfn.XLOOKUP($A1111,Load!$B:$B,Load!F:F,0,)</f>
        <v>0</v>
      </c>
      <c r="F1111">
        <f>_xlfn.XLOOKUP($A1111,Load!$B:$B,Load!G:G,0,)</f>
        <v>0</v>
      </c>
      <c r="G1111">
        <f>_xlfn.XLOOKUP($A1111,Load!$B:$B,Load!H:H,0,)</f>
        <v>0</v>
      </c>
      <c r="H1111">
        <f>_xlfn.XLOOKUP($A1111,Load!$B:$B,Load!I:I,0,)</f>
        <v>0</v>
      </c>
      <c r="I1111">
        <f>_xlfn.XLOOKUP($A1111,Load!$B:$B,Load!J:J,0,)</f>
        <v>0</v>
      </c>
      <c r="J1111">
        <f>_xlfn.XLOOKUP($A1111,Load!$B:$B,Load!K:K,0,)</f>
        <v>0</v>
      </c>
      <c r="K1111">
        <f>_xlfn.XLOOKUP($A1111,Load!$B:$B,Load!L:L,0,)</f>
        <v>0</v>
      </c>
      <c r="L1111">
        <f>_xlfn.XLOOKUP($A1111,Load!$B:$B,Load!M:M,0,)</f>
        <v>0</v>
      </c>
    </row>
    <row r="1112" spans="1:12" x14ac:dyDescent="0.25">
      <c r="A1112" t="s">
        <v>271</v>
      </c>
      <c r="B1112" t="str">
        <f>_xlfn.XLOOKUP($A1112,Load!$B:$B,Load!C:C,0,)</f>
        <v>Sour Patch Kids</v>
      </c>
      <c r="C1112" t="str">
        <f>_xlfn.XLOOKUP($A1112,Load!$B:$B,Load!D:D,0,)</f>
        <v>Non-Chocolate Candy Only</v>
      </c>
      <c r="D1112" t="str">
        <f>_xlfn.XLOOKUP($A1112,Load!$B:$B,Load!E:E,0,)</f>
        <v>Sour</v>
      </c>
      <c r="E1112" t="str">
        <f>_xlfn.XLOOKUP($A1112,Load!$B:$B,Load!F:F,0,)</f>
        <v>Chewy</v>
      </c>
      <c r="F1112" t="str">
        <f>_xlfn.XLOOKUP($A1112,Load!$B:$B,Load!G:G,0,)</f>
        <v>Medium Multipack (40–80 ct)</v>
      </c>
      <c r="G1112" t="str">
        <f>_xlfn.XLOOKUP($A1112,Load!$B:$B,Load!H:H,0,)</f>
        <v>Laydown Bag</v>
      </c>
      <c r="H1112" t="str">
        <f>_xlfn.XLOOKUP($A1112,Load!$B:$B,Load!I:I,0,)</f>
        <v>Everyday Candy Shapes (like Original, Gummy bear, Fruit, Jewels, etc.)</v>
      </c>
      <c r="I1112" t="str">
        <f>_xlfn.XLOOKUP($A1112,Load!$B:$B,Load!J:J,0,)</f>
        <v>Seasonal Graphics (Like Bat, Ghost, Pumpkin, Fall Leaves, Eyeballs, etc.)</v>
      </c>
      <c r="J1112" t="str">
        <f>_xlfn.XLOOKUP($A1112,Load!$B:$B,Load!K:K,0,)</f>
        <v>Small Pieces (Tiny bite size candies)</v>
      </c>
      <c r="K1112" t="str">
        <f>_xlfn.XLOOKUP($A1112,Load!$B:$B,Load!L:L,0,)</f>
        <v>Regular/Original Wrapping</v>
      </c>
      <c r="L1112" t="str">
        <f>_xlfn.XLOOKUP($A1112,Load!$B:$B,Load!M:M,0,)</f>
        <v>Single Brand / Variety Flavors or Form</v>
      </c>
    </row>
    <row r="1113" spans="1:12" x14ac:dyDescent="0.25">
      <c r="A1113" t="s">
        <v>301</v>
      </c>
      <c r="B1113" t="str">
        <f>_xlfn.XLOOKUP($A1113,Load!$B:$B,Load!C:C,0,)</f>
        <v>Twizzlers</v>
      </c>
      <c r="C1113" t="str">
        <f>_xlfn.XLOOKUP($A1113,Load!$B:$B,Load!D:D,0,)</f>
        <v>Non-Chocolate Candy Only</v>
      </c>
      <c r="D1113" t="str">
        <f>_xlfn.XLOOKUP($A1113,Load!$B:$B,Load!E:E,0,)</f>
        <v>Variety / Mixed Flavors (Fruity, Sour, Seasonal Flavors)</v>
      </c>
      <c r="E1113" t="str">
        <f>_xlfn.XLOOKUP($A1113,Load!$B:$B,Load!F:F,0,)</f>
        <v>Mixed / Combo Packs (Gummy, Chewy, Taffy, etc.)</v>
      </c>
      <c r="F1113" t="str">
        <f>_xlfn.XLOOKUP($A1113,Load!$B:$B,Load!G:G,0,)</f>
        <v>Medium Multipack (40–80 ct)</v>
      </c>
      <c r="G1113" t="str">
        <f>_xlfn.XLOOKUP($A1113,Load!$B:$B,Load!H:H,0,)</f>
        <v>Laydown Bag</v>
      </c>
      <c r="H1113" t="str">
        <f>_xlfn.XLOOKUP($A1113,Load!$B:$B,Load!I:I,0,)</f>
        <v>Everyday Candy Shapes (like Original, Gummy bear, Fruit, Jewels, etc.)</v>
      </c>
      <c r="I1113" t="str">
        <f>_xlfn.XLOOKUP($A1113,Load!$B:$B,Load!J:J,0,)</f>
        <v>Seasonal Graphics (Like Bat, Ghost, Pumpkin, Fall Leaves, Eyeballs, etc.)</v>
      </c>
      <c r="J1113" t="str">
        <f>_xlfn.XLOOKUP($A1113,Load!$B:$B,Load!K:K,0,)</f>
        <v>Fun Size / Treat Size</v>
      </c>
      <c r="K1113" t="str">
        <f>_xlfn.XLOOKUP($A1113,Load!$B:$B,Load!L:L,0,)</f>
        <v>Regular/Original Wrapping</v>
      </c>
      <c r="L1113" t="str">
        <f>_xlfn.XLOOKUP($A1113,Load!$B:$B,Load!M:M,0,)</f>
        <v>Single Brand / Variety Flavors or Form</v>
      </c>
    </row>
    <row r="1114" spans="1:12" x14ac:dyDescent="0.25">
      <c r="A1114" t="s">
        <v>125</v>
      </c>
      <c r="B1114" t="str">
        <f>_xlfn.XLOOKUP($A1114,Load!$B:$B,Load!C:C,0,)</f>
        <v>HARIBO</v>
      </c>
      <c r="C1114" t="str">
        <f>_xlfn.XLOOKUP($A1114,Load!$B:$B,Load!D:D,0,)</f>
        <v>Non-Chocolate Candy Only</v>
      </c>
      <c r="D1114" t="str">
        <f>_xlfn.XLOOKUP($A1114,Load!$B:$B,Load!E:E,0,)</f>
        <v>Berry Based (Raspberry, Strawberry, Medley, etc.)</v>
      </c>
      <c r="E1114" t="str">
        <f>_xlfn.XLOOKUP($A1114,Load!$B:$B,Load!F:F,0,)</f>
        <v>Gummy</v>
      </c>
      <c r="F1114" t="str">
        <f>_xlfn.XLOOKUP($A1114,Load!$B:$B,Load!G:G,0,)</f>
        <v>Small Multipack (Less than 40 ct)</v>
      </c>
      <c r="G1114" t="str">
        <f>_xlfn.XLOOKUP($A1114,Load!$B:$B,Load!H:H,0,)</f>
        <v>Laydown Bag</v>
      </c>
      <c r="H1114" t="str">
        <f>_xlfn.XLOOKUP($A1114,Load!$B:$B,Load!I:I,0,)</f>
        <v>Everyday Candy Shapes (like Original, Gummy bear, Fruit, Jewels, etc.)</v>
      </c>
      <c r="I1114" t="str">
        <f>_xlfn.XLOOKUP($A1114,Load!$B:$B,Load!J:J,0,)</f>
        <v>Everyday Graphics</v>
      </c>
      <c r="J1114" t="str">
        <f>_xlfn.XLOOKUP($A1114,Load!$B:$B,Load!K:K,0,)</f>
        <v>Small Pieces (Tiny bite size candies)</v>
      </c>
      <c r="K1114" t="str">
        <f>_xlfn.XLOOKUP($A1114,Load!$B:$B,Load!L:L,0,)</f>
        <v>Regular/Original Wrapping</v>
      </c>
      <c r="L1114" t="str">
        <f>_xlfn.XLOOKUP($A1114,Load!$B:$B,Load!M:M,0,)</f>
        <v>Single Brand / Variety Flavors or Form</v>
      </c>
    </row>
    <row r="1115" spans="1:12" x14ac:dyDescent="0.25">
      <c r="A1115" t="s">
        <v>128</v>
      </c>
      <c r="B1115" t="str">
        <f>_xlfn.XLOOKUP($A1115,Load!$B:$B,Load!C:C,0,)</f>
        <v>HARIBO</v>
      </c>
      <c r="C1115" t="str">
        <f>_xlfn.XLOOKUP($A1115,Load!$B:$B,Load!D:D,0,)</f>
        <v>Non-Chocolate Candy Only</v>
      </c>
      <c r="D1115" t="str">
        <f>_xlfn.XLOOKUP($A1115,Load!$B:$B,Load!E:E,0,)</f>
        <v>Fruit Flavor (Cherry, Grape, Apple, Citrus, Tropical Fruit)</v>
      </c>
      <c r="E1115" t="str">
        <f>_xlfn.XLOOKUP($A1115,Load!$B:$B,Load!F:F,0,)</f>
        <v>Gummy</v>
      </c>
      <c r="F1115" t="str">
        <f>_xlfn.XLOOKUP($A1115,Load!$B:$B,Load!G:G,0,)</f>
        <v>Medium Multipack (40–80 ct)</v>
      </c>
      <c r="G1115" t="str">
        <f>_xlfn.XLOOKUP($A1115,Load!$B:$B,Load!H:H,0,)</f>
        <v>Plastic Cup / Container</v>
      </c>
      <c r="H1115" t="str">
        <f>_xlfn.XLOOKUP($A1115,Load!$B:$B,Load!I:I,0,)</f>
        <v>Everyday Candy Shapes (like Original, Gummy bear, Fruit, Jewels, etc.)</v>
      </c>
      <c r="I1115" t="str">
        <f>_xlfn.XLOOKUP($A1115,Load!$B:$B,Load!J:J,0,)</f>
        <v>Everyday Graphics</v>
      </c>
      <c r="J1115" t="str">
        <f>_xlfn.XLOOKUP($A1115,Load!$B:$B,Load!K:K,0,)</f>
        <v>Small Pieces (Tiny bite size candies)</v>
      </c>
      <c r="K1115" t="str">
        <f>_xlfn.XLOOKUP($A1115,Load!$B:$B,Load!L:L,0,)</f>
        <v>Regular/Original Wrapping</v>
      </c>
      <c r="L1115" t="str">
        <f>_xlfn.XLOOKUP($A1115,Load!$B:$B,Load!M:M,0,)</f>
        <v>Single Brand / Variety Flavors or Form</v>
      </c>
    </row>
    <row r="1116" spans="1:12" x14ac:dyDescent="0.25">
      <c r="A1116" t="s">
        <v>33</v>
      </c>
      <c r="B1116" t="str">
        <f>_xlfn.XLOOKUP($A1116,Load!$B:$B,Load!C:C,0,)</f>
        <v>Bazooka Brands</v>
      </c>
      <c r="C1116" t="str">
        <f>_xlfn.XLOOKUP($A1116,Load!$B:$B,Load!D:D,0,)</f>
        <v>Non-Chocolate Candy Only</v>
      </c>
      <c r="D1116" t="str">
        <f>_xlfn.XLOOKUP($A1116,Load!$B:$B,Load!E:E,0,)</f>
        <v>Variety / Mixed Flavors (Fruity, Sour, Seasonal Flavors)</v>
      </c>
      <c r="E1116" t="str">
        <f>_xlfn.XLOOKUP($A1116,Load!$B:$B,Load!F:F,0,)</f>
        <v>Mixed / Combo Packs (Gummy, Chewy, Taffy, etc.)</v>
      </c>
      <c r="F1116" t="str">
        <f>_xlfn.XLOOKUP($A1116,Load!$B:$B,Load!G:G,0,)</f>
        <v>Small Multipack (Less than 40 ct)</v>
      </c>
      <c r="G1116" t="str">
        <f>_xlfn.XLOOKUP($A1116,Load!$B:$B,Load!H:H,0,)</f>
        <v>Box (theatre box, gift box, carton)</v>
      </c>
      <c r="H1116" t="str">
        <f>_xlfn.XLOOKUP($A1116,Load!$B:$B,Load!I:I,0,)</f>
        <v>Seasonal Shapes (like pumpkins, candy corn, ghost, bats, etc.)</v>
      </c>
      <c r="I1116" t="str">
        <f>_xlfn.XLOOKUP($A1116,Load!$B:$B,Load!J:J,0,)</f>
        <v>Seasonal Graphics (Like Bat, Ghost, Pumpkin, Fall Leaves, Eyeballs, etc.)</v>
      </c>
      <c r="J1116" t="str">
        <f>_xlfn.XLOOKUP($A1116,Load!$B:$B,Load!K:K,0,)</f>
        <v>Small Pieces (Tiny bite size candies)</v>
      </c>
      <c r="K1116" t="str">
        <f>_xlfn.XLOOKUP($A1116,Load!$B:$B,Load!L:L,0,)</f>
        <v>Regular/Original Wrapping</v>
      </c>
      <c r="L1116" t="str">
        <f>_xlfn.XLOOKUP($A1116,Load!$B:$B,Load!M:M,0,)</f>
        <v>Single Brand / Variety Flavors or Form</v>
      </c>
    </row>
    <row r="1117" spans="1:12" x14ac:dyDescent="0.25">
      <c r="B1117">
        <f>_xlfn.XLOOKUP($A1117,Load!$B:$B,Load!C:C,0,)</f>
        <v>0</v>
      </c>
      <c r="C1117">
        <f>_xlfn.XLOOKUP($A1117,Load!$B:$B,Load!D:D,0,)</f>
        <v>0</v>
      </c>
      <c r="D1117">
        <f>_xlfn.XLOOKUP($A1117,Load!$B:$B,Load!E:E,0,)</f>
        <v>0</v>
      </c>
      <c r="E1117">
        <f>_xlfn.XLOOKUP($A1117,Load!$B:$B,Load!F:F,0,)</f>
        <v>0</v>
      </c>
      <c r="F1117">
        <f>_xlfn.XLOOKUP($A1117,Load!$B:$B,Load!G:G,0,)</f>
        <v>0</v>
      </c>
      <c r="G1117">
        <f>_xlfn.XLOOKUP($A1117,Load!$B:$B,Load!H:H,0,)</f>
        <v>0</v>
      </c>
      <c r="H1117">
        <f>_xlfn.XLOOKUP($A1117,Load!$B:$B,Load!I:I,0,)</f>
        <v>0</v>
      </c>
      <c r="I1117">
        <f>_xlfn.XLOOKUP($A1117,Load!$B:$B,Load!J:J,0,)</f>
        <v>0</v>
      </c>
      <c r="J1117">
        <f>_xlfn.XLOOKUP($A1117,Load!$B:$B,Load!K:K,0,)</f>
        <v>0</v>
      </c>
      <c r="K1117">
        <f>_xlfn.XLOOKUP($A1117,Load!$B:$B,Load!L:L,0,)</f>
        <v>0</v>
      </c>
      <c r="L1117">
        <f>_xlfn.XLOOKUP($A1117,Load!$B:$B,Load!M:M,0,)</f>
        <v>0</v>
      </c>
    </row>
    <row r="1118" spans="1:12" x14ac:dyDescent="0.25">
      <c r="A1118" t="s">
        <v>88</v>
      </c>
      <c r="B1118" t="str">
        <f>_xlfn.XLOOKUP($A1118,Load!$B:$B,Load!C:C,0,)</f>
        <v>Ferrara Variety Pack</v>
      </c>
      <c r="C1118" t="str">
        <f>_xlfn.XLOOKUP($A1118,Load!$B:$B,Load!D:D,0,)</f>
        <v>Non-Chocolate Candy Only</v>
      </c>
      <c r="D1118" t="str">
        <f>_xlfn.XLOOKUP($A1118,Load!$B:$B,Load!E:E,0,)</f>
        <v>Variety / Mixed Flavors (Fruity, Sour, Seasonal Flavors)</v>
      </c>
      <c r="E1118" t="str">
        <f>_xlfn.XLOOKUP($A1118,Load!$B:$B,Load!F:F,0,)</f>
        <v>Mixed / Combo Packs (Gummy, Chewy, Taffy, etc.)</v>
      </c>
      <c r="F1118" t="str">
        <f>_xlfn.XLOOKUP($A1118,Load!$B:$B,Load!G:G,0,)</f>
        <v>Small Multipack (Less than 40 ct)</v>
      </c>
      <c r="G1118" t="str">
        <f>_xlfn.XLOOKUP($A1118,Load!$B:$B,Load!H:H,0,)</f>
        <v>Laydown Bag</v>
      </c>
      <c r="H1118" t="str">
        <f>_xlfn.XLOOKUP($A1118,Load!$B:$B,Load!I:I,0,)</f>
        <v>Seasonal Shapes (like pumpkins, candy corn, ghost, bats, etc.)</v>
      </c>
      <c r="I1118" t="str">
        <f>_xlfn.XLOOKUP($A1118,Load!$B:$B,Load!J:J,0,)</f>
        <v>Seasonal Graphics (Like Bat, Ghost, Pumpkin, Fall Leaves, Eyeballs, etc.)</v>
      </c>
      <c r="J1118" t="str">
        <f>_xlfn.XLOOKUP($A1118,Load!$B:$B,Load!K:K,0,)</f>
        <v>Fun Size / Treat Size</v>
      </c>
      <c r="K1118" t="str">
        <f>_xlfn.XLOOKUP($A1118,Load!$B:$B,Load!L:L,0,)</f>
        <v>Regular/Original Wrapping</v>
      </c>
      <c r="L1118" t="str">
        <f>_xlfn.XLOOKUP($A1118,Load!$B:$B,Load!M:M,0,)</f>
        <v>Multiple Brands / Variety Flavors or Form</v>
      </c>
    </row>
    <row r="1119" spans="1:12" x14ac:dyDescent="0.25">
      <c r="A1119" t="s">
        <v>172</v>
      </c>
      <c r="B1119" t="str">
        <f>_xlfn.XLOOKUP($A1119,Load!$B:$B,Load!C:C,0,)</f>
        <v>Mars Variety Pack</v>
      </c>
      <c r="C1119" t="str">
        <f>_xlfn.XLOOKUP($A1119,Load!$B:$B,Load!D:D,0,)</f>
        <v>Non-Chocolate Candy Only</v>
      </c>
      <c r="D1119" t="str">
        <f>_xlfn.XLOOKUP($A1119,Load!$B:$B,Load!E:E,0,)</f>
        <v>Variety / Mixed Flavors (Fruity, Sour, Seasonal Flavors)</v>
      </c>
      <c r="E1119" t="str">
        <f>_xlfn.XLOOKUP($A1119,Load!$B:$B,Load!F:F,0,)</f>
        <v>Mixed / Combo Packs (Gummy, Chewy, Taffy, etc.)</v>
      </c>
      <c r="F1119" t="str">
        <f>_xlfn.XLOOKUP($A1119,Load!$B:$B,Load!G:G,0,)</f>
        <v>Small Multipack (Less than 40 ct)</v>
      </c>
      <c r="G1119" t="str">
        <f>_xlfn.XLOOKUP($A1119,Load!$B:$B,Load!H:H,0,)</f>
        <v>Laydown Bag</v>
      </c>
      <c r="H1119" t="str">
        <f>_xlfn.XLOOKUP($A1119,Load!$B:$B,Load!I:I,0,)</f>
        <v>Everyday Candy Shapes (like Original, Gummy bear, Fruit, Jewels, etc.)</v>
      </c>
      <c r="I1119" t="str">
        <f>_xlfn.XLOOKUP($A1119,Load!$B:$B,Load!J:J,0,)</f>
        <v>Seasonal Graphics (Like Bat, Ghost, Pumpkin, Fall Leaves, Eyeballs, etc.)</v>
      </c>
      <c r="J1119" t="str">
        <f>_xlfn.XLOOKUP($A1119,Load!$B:$B,Load!K:K,0,)</f>
        <v>Fun Size / Treat Size</v>
      </c>
      <c r="K1119" t="str">
        <f>_xlfn.XLOOKUP($A1119,Load!$B:$B,Load!L:L,0,)</f>
        <v>Regular/Original Wrapping</v>
      </c>
      <c r="L1119" t="str">
        <f>_xlfn.XLOOKUP($A1119,Load!$B:$B,Load!M:M,0,)</f>
        <v>Multiple Brands / Variety Flavors or Form</v>
      </c>
    </row>
    <row r="1120" spans="1:12" x14ac:dyDescent="0.25">
      <c r="B1120">
        <f>_xlfn.XLOOKUP($A1120,Load!$B:$B,Load!C:C,0,)</f>
        <v>0</v>
      </c>
      <c r="C1120">
        <f>_xlfn.XLOOKUP($A1120,Load!$B:$B,Load!D:D,0,)</f>
        <v>0</v>
      </c>
      <c r="D1120">
        <f>_xlfn.XLOOKUP($A1120,Load!$B:$B,Load!E:E,0,)</f>
        <v>0</v>
      </c>
      <c r="E1120">
        <f>_xlfn.XLOOKUP($A1120,Load!$B:$B,Load!F:F,0,)</f>
        <v>0</v>
      </c>
      <c r="F1120">
        <f>_xlfn.XLOOKUP($A1120,Load!$B:$B,Load!G:G,0,)</f>
        <v>0</v>
      </c>
      <c r="G1120">
        <f>_xlfn.XLOOKUP($A1120,Load!$B:$B,Load!H:H,0,)</f>
        <v>0</v>
      </c>
      <c r="H1120">
        <f>_xlfn.XLOOKUP($A1120,Load!$B:$B,Load!I:I,0,)</f>
        <v>0</v>
      </c>
      <c r="I1120">
        <f>_xlfn.XLOOKUP($A1120,Load!$B:$B,Load!J:J,0,)</f>
        <v>0</v>
      </c>
      <c r="J1120">
        <f>_xlfn.XLOOKUP($A1120,Load!$B:$B,Load!K:K,0,)</f>
        <v>0</v>
      </c>
      <c r="K1120">
        <f>_xlfn.XLOOKUP($A1120,Load!$B:$B,Load!L:L,0,)</f>
        <v>0</v>
      </c>
      <c r="L1120">
        <f>_xlfn.XLOOKUP($A1120,Load!$B:$B,Load!M:M,0,)</f>
        <v>0</v>
      </c>
    </row>
    <row r="1121" spans="1:12" x14ac:dyDescent="0.25">
      <c r="B1121">
        <f>_xlfn.XLOOKUP($A1121,Load!$B:$B,Load!C:C,0,)</f>
        <v>0</v>
      </c>
      <c r="C1121">
        <f>_xlfn.XLOOKUP($A1121,Load!$B:$B,Load!D:D,0,)</f>
        <v>0</v>
      </c>
      <c r="D1121">
        <f>_xlfn.XLOOKUP($A1121,Load!$B:$B,Load!E:E,0,)</f>
        <v>0</v>
      </c>
      <c r="E1121">
        <f>_xlfn.XLOOKUP($A1121,Load!$B:$B,Load!F:F,0,)</f>
        <v>0</v>
      </c>
      <c r="F1121">
        <f>_xlfn.XLOOKUP($A1121,Load!$B:$B,Load!G:G,0,)</f>
        <v>0</v>
      </c>
      <c r="G1121">
        <f>_xlfn.XLOOKUP($A1121,Load!$B:$B,Load!H:H,0,)</f>
        <v>0</v>
      </c>
      <c r="H1121">
        <f>_xlfn.XLOOKUP($A1121,Load!$B:$B,Load!I:I,0,)</f>
        <v>0</v>
      </c>
      <c r="I1121">
        <f>_xlfn.XLOOKUP($A1121,Load!$B:$B,Load!J:J,0,)</f>
        <v>0</v>
      </c>
      <c r="J1121">
        <f>_xlfn.XLOOKUP($A1121,Load!$B:$B,Load!K:K,0,)</f>
        <v>0</v>
      </c>
      <c r="K1121">
        <f>_xlfn.XLOOKUP($A1121,Load!$B:$B,Load!L:L,0,)</f>
        <v>0</v>
      </c>
      <c r="L1121">
        <f>_xlfn.XLOOKUP($A1121,Load!$B:$B,Load!M:M,0,)</f>
        <v>0</v>
      </c>
    </row>
    <row r="1122" spans="1:12" x14ac:dyDescent="0.25">
      <c r="A1122" t="s">
        <v>65</v>
      </c>
      <c r="B1122" t="str">
        <f>_xlfn.XLOOKUP($A1122,Load!$B:$B,Load!C:C,0,)</f>
        <v>Dots</v>
      </c>
      <c r="C1122" t="str">
        <f>_xlfn.XLOOKUP($A1122,Load!$B:$B,Load!D:D,0,)</f>
        <v>Non-Chocolate Candy Only</v>
      </c>
      <c r="D1122" t="str">
        <f>_xlfn.XLOOKUP($A1122,Load!$B:$B,Load!E:E,0,)</f>
        <v>Variety / Mixed Flavors (Fruity, Sour, Seasonal Flavors)</v>
      </c>
      <c r="E1122" t="str">
        <f>_xlfn.XLOOKUP($A1122,Load!$B:$B,Load!F:F,0,)</f>
        <v>Candy Pieces / Bites</v>
      </c>
      <c r="F1122" t="str">
        <f>_xlfn.XLOOKUP($A1122,Load!$B:$B,Load!G:G,0,)</f>
        <v>Medium Multipack (40–80 ct)</v>
      </c>
      <c r="G1122" t="str">
        <f>_xlfn.XLOOKUP($A1122,Load!$B:$B,Load!H:H,0,)</f>
        <v>Box (theatre box, gift box, carton)</v>
      </c>
      <c r="H1122" t="str">
        <f>_xlfn.XLOOKUP($A1122,Load!$B:$B,Load!I:I,0,)</f>
        <v>Seasonal Shapes (like pumpkins, candy corn, ghost, bats, etc.)</v>
      </c>
      <c r="I1122" t="str">
        <f>_xlfn.XLOOKUP($A1122,Load!$B:$B,Load!J:J,0,)</f>
        <v>Seasonal Graphics (Like Bat, Ghost, Pumpkin, Fall Leaves, Eyeballs, etc.)</v>
      </c>
      <c r="J1122" t="str">
        <f>_xlfn.XLOOKUP($A1122,Load!$B:$B,Load!K:K,0,)</f>
        <v>Fun Size / Treat Size</v>
      </c>
      <c r="K1122" t="str">
        <f>_xlfn.XLOOKUP($A1122,Load!$B:$B,Load!L:L,0,)</f>
        <v>Regular/Original Wrapping</v>
      </c>
      <c r="L1122" t="str">
        <f>_xlfn.XLOOKUP($A1122,Load!$B:$B,Load!M:M,0,)</f>
        <v>Single Brand / Variety Flavors or Form</v>
      </c>
    </row>
    <row r="1123" spans="1:12" x14ac:dyDescent="0.25">
      <c r="B1123">
        <f>_xlfn.XLOOKUP($A1123,Load!$B:$B,Load!C:C,0,)</f>
        <v>0</v>
      </c>
      <c r="C1123">
        <f>_xlfn.XLOOKUP($A1123,Load!$B:$B,Load!D:D,0,)</f>
        <v>0</v>
      </c>
      <c r="D1123">
        <f>_xlfn.XLOOKUP($A1123,Load!$B:$B,Load!E:E,0,)</f>
        <v>0</v>
      </c>
      <c r="E1123">
        <f>_xlfn.XLOOKUP($A1123,Load!$B:$B,Load!F:F,0,)</f>
        <v>0</v>
      </c>
      <c r="F1123">
        <f>_xlfn.XLOOKUP($A1123,Load!$B:$B,Load!G:G,0,)</f>
        <v>0</v>
      </c>
      <c r="G1123">
        <f>_xlfn.XLOOKUP($A1123,Load!$B:$B,Load!H:H,0,)</f>
        <v>0</v>
      </c>
      <c r="H1123">
        <f>_xlfn.XLOOKUP($A1123,Load!$B:$B,Load!I:I,0,)</f>
        <v>0</v>
      </c>
      <c r="I1123">
        <f>_xlfn.XLOOKUP($A1123,Load!$B:$B,Load!J:J,0,)</f>
        <v>0</v>
      </c>
      <c r="J1123">
        <f>_xlfn.XLOOKUP($A1123,Load!$B:$B,Load!K:K,0,)</f>
        <v>0</v>
      </c>
      <c r="K1123">
        <f>_xlfn.XLOOKUP($A1123,Load!$B:$B,Load!L:L,0,)</f>
        <v>0</v>
      </c>
      <c r="L1123">
        <f>_xlfn.XLOOKUP($A1123,Load!$B:$B,Load!M:M,0,)</f>
        <v>0</v>
      </c>
    </row>
    <row r="1124" spans="1:12" x14ac:dyDescent="0.25">
      <c r="A1124" t="s">
        <v>138</v>
      </c>
      <c r="B1124" t="str">
        <f>_xlfn.XLOOKUP($A1124,Load!$B:$B,Load!C:C,0,)</f>
        <v>Hershey's Variety Pack + Haribo</v>
      </c>
      <c r="C1124" t="str">
        <f>_xlfn.XLOOKUP($A1124,Load!$B:$B,Load!D:D,0,)</f>
        <v>Non-Chocolate Candy Only</v>
      </c>
      <c r="D1124" t="str">
        <f>_xlfn.XLOOKUP($A1124,Load!$B:$B,Load!E:E,0,)</f>
        <v>Variety / Mixed Flavors (Fruity, Sour, Seasonal Flavors)</v>
      </c>
      <c r="E1124" t="str">
        <f>_xlfn.XLOOKUP($A1124,Load!$B:$B,Load!F:F,0,)</f>
        <v>Mixed / Combo Packs (Gummy, Chewy, Taffy, etc.)</v>
      </c>
      <c r="F1124" t="str">
        <f>_xlfn.XLOOKUP($A1124,Load!$B:$B,Load!G:G,0,)</f>
        <v>Medium Multipack (40–80 ct)</v>
      </c>
      <c r="G1124" t="str">
        <f>_xlfn.XLOOKUP($A1124,Load!$B:$B,Load!H:H,0,)</f>
        <v>Laydown Bag</v>
      </c>
      <c r="H1124" t="str">
        <f>_xlfn.XLOOKUP($A1124,Load!$B:$B,Load!I:I,0,)</f>
        <v>Everyday Candy Shapes (like Original, Gummy bear, Fruit, Jewels, etc.)</v>
      </c>
      <c r="I1124" t="str">
        <f>_xlfn.XLOOKUP($A1124,Load!$B:$B,Load!J:J,0,)</f>
        <v>Seasonal Graphics (Like Bat, Ghost, Pumpkin, Fall Leaves, Eyeballs, etc.)</v>
      </c>
      <c r="J1124" t="str">
        <f>_xlfn.XLOOKUP($A1124,Load!$B:$B,Load!K:K,0,)</f>
        <v>Fun Size / Treat Size</v>
      </c>
      <c r="K1124" t="str">
        <f>_xlfn.XLOOKUP($A1124,Load!$B:$B,Load!L:L,0,)</f>
        <v>Regular/Original Wrapping</v>
      </c>
      <c r="L1124" t="str">
        <f>_xlfn.XLOOKUP($A1124,Load!$B:$B,Load!M:M,0,)</f>
        <v>Multiple Brands / Variety Flavors or Form</v>
      </c>
    </row>
    <row r="1125" spans="1:12" x14ac:dyDescent="0.25">
      <c r="A1125" t="s">
        <v>179</v>
      </c>
      <c r="B1125" t="str">
        <f>_xlfn.XLOOKUP($A1125,Load!$B:$B,Load!C:C,0,)</f>
        <v>Mars Variety Pack</v>
      </c>
      <c r="C1125" t="str">
        <f>_xlfn.XLOOKUP($A1125,Load!$B:$B,Load!D:D,0,)</f>
        <v>Non-Chocolate Candy Only</v>
      </c>
      <c r="D1125" t="str">
        <f>_xlfn.XLOOKUP($A1125,Load!$B:$B,Load!E:E,0,)</f>
        <v>Variety / Mixed Flavors (Fruity, Sour, Seasonal Flavors)</v>
      </c>
      <c r="E1125" t="str">
        <f>_xlfn.XLOOKUP($A1125,Load!$B:$B,Load!F:F,0,)</f>
        <v>Mixed / Combo Packs (Gummy, Chewy, Taffy, etc.)</v>
      </c>
      <c r="F1125" t="str">
        <f>_xlfn.XLOOKUP($A1125,Load!$B:$B,Load!G:G,0,)</f>
        <v>Medium Multipack (40–80 ct)</v>
      </c>
      <c r="G1125" t="str">
        <f>_xlfn.XLOOKUP($A1125,Load!$B:$B,Load!H:H,0,)</f>
        <v>Stand-Up Bag</v>
      </c>
      <c r="H1125" t="str">
        <f>_xlfn.XLOOKUP($A1125,Load!$B:$B,Load!I:I,0,)</f>
        <v>Everyday Candy Shapes (like Original, Gummy bear, Fruit, Jewels, etc.)</v>
      </c>
      <c r="I1125" t="str">
        <f>_xlfn.XLOOKUP($A1125,Load!$B:$B,Load!J:J,0,)</f>
        <v>Seasonal Graphics (Like Bat, Ghost, Pumpkin, Fall Leaves, Eyeballs, etc.)</v>
      </c>
      <c r="J1125" t="str">
        <f>_xlfn.XLOOKUP($A1125,Load!$B:$B,Load!K:K,0,)</f>
        <v>Fun Size / Treat Size</v>
      </c>
      <c r="K1125" t="str">
        <f>_xlfn.XLOOKUP($A1125,Load!$B:$B,Load!L:L,0,)</f>
        <v>Regular/Original Wrapping</v>
      </c>
      <c r="L1125" t="str">
        <f>_xlfn.XLOOKUP($A1125,Load!$B:$B,Load!M:M,0,)</f>
        <v>Multiple Brands / Variety Flavors or Form</v>
      </c>
    </row>
    <row r="1126" spans="1:12" x14ac:dyDescent="0.25">
      <c r="A1126" t="s">
        <v>183</v>
      </c>
      <c r="B1126" t="str">
        <f>_xlfn.XLOOKUP($A1126,Load!$B:$B,Load!C:C,0,)</f>
        <v>Mars Variety Pack</v>
      </c>
      <c r="C1126" t="str">
        <f>_xlfn.XLOOKUP($A1126,Load!$B:$B,Load!D:D,0,)</f>
        <v>Non-Chocolate Candy Only</v>
      </c>
      <c r="D1126" t="str">
        <f>_xlfn.XLOOKUP($A1126,Load!$B:$B,Load!E:E,0,)</f>
        <v>Variety / Mixed Flavors (Fruity, Sour, Seasonal Flavors)</v>
      </c>
      <c r="E1126" t="str">
        <f>_xlfn.XLOOKUP($A1126,Load!$B:$B,Load!F:F,0,)</f>
        <v>Mixed / Combo Packs (Gummy, Chewy, Taffy, etc.)</v>
      </c>
      <c r="F1126" t="str">
        <f>_xlfn.XLOOKUP($A1126,Load!$B:$B,Load!G:G,0,)</f>
        <v>Large Multipack (More than 80 ct)</v>
      </c>
      <c r="G1126" t="str">
        <f>_xlfn.XLOOKUP($A1126,Load!$B:$B,Load!H:H,0,)</f>
        <v>Stand-Up Bag</v>
      </c>
      <c r="H1126" t="str">
        <f>_xlfn.XLOOKUP($A1126,Load!$B:$B,Load!I:I,0,)</f>
        <v>Seasonal Shapes (like pumpkins, candy corn, ghost, bats, etc.)</v>
      </c>
      <c r="I1126" t="str">
        <f>_xlfn.XLOOKUP($A1126,Load!$B:$B,Load!J:J,0,)</f>
        <v>Seasonal Graphics (Like Bat, Ghost, Pumpkin, Fall Leaves, Eyeballs, etc.)</v>
      </c>
      <c r="J1126" t="str">
        <f>_xlfn.XLOOKUP($A1126,Load!$B:$B,Load!K:K,0,)</f>
        <v xml:space="preserve">Variety Candy Sizes </v>
      </c>
      <c r="K1126" t="str">
        <f>_xlfn.XLOOKUP($A1126,Load!$B:$B,Load!L:L,0,)</f>
        <v>Regular/Original Wrapping</v>
      </c>
      <c r="L1126" t="str">
        <f>_xlfn.XLOOKUP($A1126,Load!$B:$B,Load!M:M,0,)</f>
        <v>Multiple Brands / Variety Flavors or Form</v>
      </c>
    </row>
    <row r="1127" spans="1:12" x14ac:dyDescent="0.25">
      <c r="B1127">
        <f>_xlfn.XLOOKUP($A1127,Load!$B:$B,Load!C:C,0,)</f>
        <v>0</v>
      </c>
      <c r="C1127">
        <f>_xlfn.XLOOKUP($A1127,Load!$B:$B,Load!D:D,0,)</f>
        <v>0</v>
      </c>
      <c r="D1127">
        <f>_xlfn.XLOOKUP($A1127,Load!$B:$B,Load!E:E,0,)</f>
        <v>0</v>
      </c>
      <c r="E1127">
        <f>_xlfn.XLOOKUP($A1127,Load!$B:$B,Load!F:F,0,)</f>
        <v>0</v>
      </c>
      <c r="F1127">
        <f>_xlfn.XLOOKUP($A1127,Load!$B:$B,Load!G:G,0,)</f>
        <v>0</v>
      </c>
      <c r="G1127">
        <f>_xlfn.XLOOKUP($A1127,Load!$B:$B,Load!H:H,0,)</f>
        <v>0</v>
      </c>
      <c r="H1127">
        <f>_xlfn.XLOOKUP($A1127,Load!$B:$B,Load!I:I,0,)</f>
        <v>0</v>
      </c>
      <c r="I1127">
        <f>_xlfn.XLOOKUP($A1127,Load!$B:$B,Load!J:J,0,)</f>
        <v>0</v>
      </c>
      <c r="J1127">
        <f>_xlfn.XLOOKUP($A1127,Load!$B:$B,Load!K:K,0,)</f>
        <v>0</v>
      </c>
      <c r="K1127">
        <f>_xlfn.XLOOKUP($A1127,Load!$B:$B,Load!L:L,0,)</f>
        <v>0</v>
      </c>
      <c r="L1127">
        <f>_xlfn.XLOOKUP($A1127,Load!$B:$B,Load!M:M,0,)</f>
        <v>0</v>
      </c>
    </row>
    <row r="1128" spans="1:12" x14ac:dyDescent="0.25">
      <c r="B1128">
        <f>_xlfn.XLOOKUP($A1128,Load!$B:$B,Load!C:C,0,)</f>
        <v>0</v>
      </c>
      <c r="C1128">
        <f>_xlfn.XLOOKUP($A1128,Load!$B:$B,Load!D:D,0,)</f>
        <v>0</v>
      </c>
      <c r="D1128">
        <f>_xlfn.XLOOKUP($A1128,Load!$B:$B,Load!E:E,0,)</f>
        <v>0</v>
      </c>
      <c r="E1128">
        <f>_xlfn.XLOOKUP($A1128,Load!$B:$B,Load!F:F,0,)</f>
        <v>0</v>
      </c>
      <c r="F1128">
        <f>_xlfn.XLOOKUP($A1128,Load!$B:$B,Load!G:G,0,)</f>
        <v>0</v>
      </c>
      <c r="G1128">
        <f>_xlfn.XLOOKUP($A1128,Load!$B:$B,Load!H:H,0,)</f>
        <v>0</v>
      </c>
      <c r="H1128">
        <f>_xlfn.XLOOKUP($A1128,Load!$B:$B,Load!I:I,0,)</f>
        <v>0</v>
      </c>
      <c r="I1128">
        <f>_xlfn.XLOOKUP($A1128,Load!$B:$B,Load!J:J,0,)</f>
        <v>0</v>
      </c>
      <c r="J1128">
        <f>_xlfn.XLOOKUP($A1128,Load!$B:$B,Load!K:K,0,)</f>
        <v>0</v>
      </c>
      <c r="K1128">
        <f>_xlfn.XLOOKUP($A1128,Load!$B:$B,Load!L:L,0,)</f>
        <v>0</v>
      </c>
      <c r="L1128">
        <f>_xlfn.XLOOKUP($A1128,Load!$B:$B,Load!M:M,0,)</f>
        <v>0</v>
      </c>
    </row>
    <row r="1129" spans="1:12" x14ac:dyDescent="0.25">
      <c r="B1129">
        <f>_xlfn.XLOOKUP($A1129,Load!$B:$B,Load!C:C,0,)</f>
        <v>0</v>
      </c>
      <c r="C1129">
        <f>_xlfn.XLOOKUP($A1129,Load!$B:$B,Load!D:D,0,)</f>
        <v>0</v>
      </c>
      <c r="D1129">
        <f>_xlfn.XLOOKUP($A1129,Load!$B:$B,Load!E:E,0,)</f>
        <v>0</v>
      </c>
      <c r="E1129">
        <f>_xlfn.XLOOKUP($A1129,Load!$B:$B,Load!F:F,0,)</f>
        <v>0</v>
      </c>
      <c r="F1129">
        <f>_xlfn.XLOOKUP($A1129,Load!$B:$B,Load!G:G,0,)</f>
        <v>0</v>
      </c>
      <c r="G1129">
        <f>_xlfn.XLOOKUP($A1129,Load!$B:$B,Load!H:H,0,)</f>
        <v>0</v>
      </c>
      <c r="H1129">
        <f>_xlfn.XLOOKUP($A1129,Load!$B:$B,Load!I:I,0,)</f>
        <v>0</v>
      </c>
      <c r="I1129">
        <f>_xlfn.XLOOKUP($A1129,Load!$B:$B,Load!J:J,0,)</f>
        <v>0</v>
      </c>
      <c r="J1129">
        <f>_xlfn.XLOOKUP($A1129,Load!$B:$B,Load!K:K,0,)</f>
        <v>0</v>
      </c>
      <c r="K1129">
        <f>_xlfn.XLOOKUP($A1129,Load!$B:$B,Load!L:L,0,)</f>
        <v>0</v>
      </c>
      <c r="L1129">
        <f>_xlfn.XLOOKUP($A1129,Load!$B:$B,Load!M:M,0,)</f>
        <v>0</v>
      </c>
    </row>
    <row r="1130" spans="1:12" x14ac:dyDescent="0.25">
      <c r="A1130" t="s">
        <v>220</v>
      </c>
      <c r="B1130" t="str">
        <f>_xlfn.XLOOKUP($A1130,Load!$B:$B,Load!C:C,0,)</f>
        <v>Mondelez Variety Pack</v>
      </c>
      <c r="C1130" t="str">
        <f>_xlfn.XLOOKUP($A1130,Load!$B:$B,Load!D:D,0,)</f>
        <v>Non-Chocolate Candy Only</v>
      </c>
      <c r="D1130" t="str">
        <f>_xlfn.XLOOKUP($A1130,Load!$B:$B,Load!E:E,0,)</f>
        <v>Variety / Mixed Flavors (Fruity, Sour, Seasonal Flavors)</v>
      </c>
      <c r="E1130" t="str">
        <f>_xlfn.XLOOKUP($A1130,Load!$B:$B,Load!F:F,0,)</f>
        <v>Chewy</v>
      </c>
      <c r="F1130" t="str">
        <f>_xlfn.XLOOKUP($A1130,Load!$B:$B,Load!G:G,0,)</f>
        <v>Large Multipack (More than 80 ct)</v>
      </c>
      <c r="G1130" t="str">
        <f>_xlfn.XLOOKUP($A1130,Load!$B:$B,Load!H:H,0,)</f>
        <v>Stand-Up Bag</v>
      </c>
      <c r="H1130" t="str">
        <f>_xlfn.XLOOKUP($A1130,Load!$B:$B,Load!I:I,0,)</f>
        <v>Seasonal Shapes (like pumpkins, candy corn, ghost, bats, etc.)</v>
      </c>
      <c r="I1130" t="str">
        <f>_xlfn.XLOOKUP($A1130,Load!$B:$B,Load!J:J,0,)</f>
        <v>Seasonal Graphics (Like Bat, Ghost, Pumpkin, Fall Leaves, Eyeballs, etc.)</v>
      </c>
      <c r="J1130" t="str">
        <f>_xlfn.XLOOKUP($A1130,Load!$B:$B,Load!K:K,0,)</f>
        <v>Small Pieces (Tiny bite size candies)</v>
      </c>
      <c r="K1130" t="str">
        <f>_xlfn.XLOOKUP($A1130,Load!$B:$B,Load!L:L,0,)</f>
        <v>Regular/Original Wrapping</v>
      </c>
      <c r="L1130" t="str">
        <f>_xlfn.XLOOKUP($A1130,Load!$B:$B,Load!M:M,0,)</f>
        <v>Single Brand / Variety Flavors or Form</v>
      </c>
    </row>
    <row r="1131" spans="1:12" x14ac:dyDescent="0.25">
      <c r="A1131" t="s">
        <v>170</v>
      </c>
      <c r="B1131" t="str">
        <f>_xlfn.XLOOKUP($A1131,Load!$B:$B,Load!C:C,0,)</f>
        <v>Laffy Taffy</v>
      </c>
      <c r="C1131" t="str">
        <f>_xlfn.XLOOKUP($A1131,Load!$B:$B,Load!D:D,0,)</f>
        <v>Non-Chocolate Candy Only</v>
      </c>
      <c r="D1131" t="str">
        <f>_xlfn.XLOOKUP($A1131,Load!$B:$B,Load!E:E,0,)</f>
        <v>Fruit Flavor (Cherry, Grape, Apple, Citrus, Tropical Fruit)</v>
      </c>
      <c r="E1131" t="str">
        <f>_xlfn.XLOOKUP($A1131,Load!$B:$B,Load!F:F,0,)</f>
        <v>Taffy</v>
      </c>
      <c r="F1131" t="str">
        <f>_xlfn.XLOOKUP($A1131,Load!$B:$B,Load!G:G,0,)</f>
        <v>Large Multipack (More than 80 ct)</v>
      </c>
      <c r="G1131" t="str">
        <f>_xlfn.XLOOKUP($A1131,Load!$B:$B,Load!H:H,0,)</f>
        <v>Stand-Up Bag</v>
      </c>
      <c r="H1131" t="str">
        <f>_xlfn.XLOOKUP($A1131,Load!$B:$B,Load!I:I,0,)</f>
        <v>Everyday Candy Shapes (like Original, Gummy bear, Fruit, Jewels, etc.)</v>
      </c>
      <c r="I1131" t="str">
        <f>_xlfn.XLOOKUP($A1131,Load!$B:$B,Load!J:J,0,)</f>
        <v>Everyday Graphics</v>
      </c>
      <c r="J1131" t="str">
        <f>_xlfn.XLOOKUP($A1131,Load!$B:$B,Load!K:K,0,)</f>
        <v>Fun Size / Treat Size</v>
      </c>
      <c r="K1131" t="str">
        <f>_xlfn.XLOOKUP($A1131,Load!$B:$B,Load!L:L,0,)</f>
        <v>Regular/Original Wrapping</v>
      </c>
      <c r="L1131" t="str">
        <f>_xlfn.XLOOKUP($A1131,Load!$B:$B,Load!M:M,0,)</f>
        <v>Single Brand / Variety Flavors or Form</v>
      </c>
    </row>
    <row r="1132" spans="1:12" x14ac:dyDescent="0.25">
      <c r="A1132" t="s">
        <v>175</v>
      </c>
      <c r="B1132" t="str">
        <f>_xlfn.XLOOKUP($A1132,Load!$B:$B,Load!C:C,0,)</f>
        <v>Mars Variety Pack</v>
      </c>
      <c r="C1132" t="str">
        <f>_xlfn.XLOOKUP($A1132,Load!$B:$B,Load!D:D,0,)</f>
        <v>Mix of Chocolate and Non-Chocolate Candy</v>
      </c>
      <c r="D1132" t="str">
        <f>_xlfn.XLOOKUP($A1132,Load!$B:$B,Load!E:E,0,)</f>
        <v>Variety / Mixed Flavors (Fruity, Sour, Seasonal Flavors)</v>
      </c>
      <c r="E1132" t="str">
        <f>_xlfn.XLOOKUP($A1132,Load!$B:$B,Load!F:F,0,)</f>
        <v>Mixed / Combo Packs (Gummy, Chewy, Taffy, etc.)</v>
      </c>
      <c r="F1132" t="str">
        <f>_xlfn.XLOOKUP($A1132,Load!$B:$B,Load!G:G,0,)</f>
        <v>Large Multipack (More than 80 ct)</v>
      </c>
      <c r="G1132" t="str">
        <f>_xlfn.XLOOKUP($A1132,Load!$B:$B,Load!H:H,0,)</f>
        <v>Stand-Up Bag</v>
      </c>
      <c r="H1132" t="str">
        <f>_xlfn.XLOOKUP($A1132,Load!$B:$B,Load!I:I,0,)</f>
        <v>Everyday Candy Shapes (like Original, Gummy bear, Fruit, Jewels, etc.)</v>
      </c>
      <c r="I1132" t="str">
        <f>_xlfn.XLOOKUP($A1132,Load!$B:$B,Load!J:J,0,)</f>
        <v>Seasonal Graphics (Like Bat, Ghost, Pumpkin, Fall Leaves, Eyeballs, etc.)</v>
      </c>
      <c r="J1132" t="str">
        <f>_xlfn.XLOOKUP($A1132,Load!$B:$B,Load!K:K,0,)</f>
        <v xml:space="preserve">Variety Candy Sizes </v>
      </c>
      <c r="K1132" t="str">
        <f>_xlfn.XLOOKUP($A1132,Load!$B:$B,Load!L:L,0,)</f>
        <v>Regular/Original Wrapping</v>
      </c>
      <c r="L1132" t="str">
        <f>_xlfn.XLOOKUP($A1132,Load!$B:$B,Load!M:M,0,)</f>
        <v>Multiple Brands / Variety Flavors or Form</v>
      </c>
    </row>
    <row r="1133" spans="1:12" x14ac:dyDescent="0.25">
      <c r="A1133" t="s">
        <v>145</v>
      </c>
      <c r="B1133" t="str">
        <f>_xlfn.XLOOKUP($A1133,Load!$B:$B,Load!C:C,0,)</f>
        <v>Hershey's Variety Pack + Haribo</v>
      </c>
      <c r="C1133" t="str">
        <f>_xlfn.XLOOKUP($A1133,Load!$B:$B,Load!D:D,0,)</f>
        <v>Non-Chocolate Candy Only</v>
      </c>
      <c r="D1133" t="str">
        <f>_xlfn.XLOOKUP($A1133,Load!$B:$B,Load!E:E,0,)</f>
        <v>Variety / Mixed Flavors (Fruity, Sour, Seasonal Flavors)</v>
      </c>
      <c r="E1133" t="str">
        <f>_xlfn.XLOOKUP($A1133,Load!$B:$B,Load!F:F,0,)</f>
        <v>Mixed / Combo Packs (Gummy, Chewy, Taffy, etc.)</v>
      </c>
      <c r="F1133" t="str">
        <f>_xlfn.XLOOKUP($A1133,Load!$B:$B,Load!G:G,0,)</f>
        <v>Large Multipack (More than 80 ct)</v>
      </c>
      <c r="G1133" t="str">
        <f>_xlfn.XLOOKUP($A1133,Load!$B:$B,Load!H:H,0,)</f>
        <v>Stand-Up Bag</v>
      </c>
      <c r="H1133" t="str">
        <f>_xlfn.XLOOKUP($A1133,Load!$B:$B,Load!I:I,0,)</f>
        <v>Everyday Candy Shapes (like Original, Gummy bear, Fruit, Jewels, etc.)</v>
      </c>
      <c r="I1133" t="str">
        <f>_xlfn.XLOOKUP($A1133,Load!$B:$B,Load!J:J,0,)</f>
        <v>Seasonal Graphics (Like Bat, Ghost, Pumpkin, Fall Leaves, Eyeballs, etc.)</v>
      </c>
      <c r="J1133" t="str">
        <f>_xlfn.XLOOKUP($A1133,Load!$B:$B,Load!K:K,0,)</f>
        <v xml:space="preserve">Variety Candy Sizes </v>
      </c>
      <c r="K1133" t="str">
        <f>_xlfn.XLOOKUP($A1133,Load!$B:$B,Load!L:L,0,)</f>
        <v>Regular/Original Wrapping</v>
      </c>
      <c r="L1133" t="str">
        <f>_xlfn.XLOOKUP($A1133,Load!$B:$B,Load!M:M,0,)</f>
        <v>Multiple Brands / Variety Flavors or Form</v>
      </c>
    </row>
    <row r="1134" spans="1:12" x14ac:dyDescent="0.25">
      <c r="A1134" t="s">
        <v>202</v>
      </c>
      <c r="B1134" t="str">
        <f>_xlfn.XLOOKUP($A1134,Load!$B:$B,Load!C:C,0,)</f>
        <v>Mars Variety Pack</v>
      </c>
      <c r="C1134" t="str">
        <f>_xlfn.XLOOKUP($A1134,Load!$B:$B,Load!D:D,0,)</f>
        <v>Mix of Chocolate and Non-Chocolate Candy</v>
      </c>
      <c r="D1134" t="str">
        <f>_xlfn.XLOOKUP($A1134,Load!$B:$B,Load!E:E,0,)</f>
        <v>Variety / Mixed Flavors (Fruity, Sour, Seasonal Flavors)</v>
      </c>
      <c r="E1134" t="str">
        <f>_xlfn.XLOOKUP($A1134,Load!$B:$B,Load!F:F,0,)</f>
        <v>Mixed / Combo Packs (Gummy, Chewy, Taffy, etc.)</v>
      </c>
      <c r="F1134" t="str">
        <f>_xlfn.XLOOKUP($A1134,Load!$B:$B,Load!G:G,0,)</f>
        <v>Large Multipack (More than 80 ct)</v>
      </c>
      <c r="G1134" t="str">
        <f>_xlfn.XLOOKUP($A1134,Load!$B:$B,Load!H:H,0,)</f>
        <v>Stand-Up Bag</v>
      </c>
      <c r="H1134" t="str">
        <f>_xlfn.XLOOKUP($A1134,Load!$B:$B,Load!I:I,0,)</f>
        <v>Everyday Candy Shapes (like Original, Gummy bear, Fruit, Jewels, etc.)</v>
      </c>
      <c r="I1134" t="str">
        <f>_xlfn.XLOOKUP($A1134,Load!$B:$B,Load!J:J,0,)</f>
        <v>Everyday Graphics</v>
      </c>
      <c r="J1134" t="str">
        <f>_xlfn.XLOOKUP($A1134,Load!$B:$B,Load!K:K,0,)</f>
        <v>Fun Size / Treat Size</v>
      </c>
      <c r="K1134" t="str">
        <f>_xlfn.XLOOKUP($A1134,Load!$B:$B,Load!L:L,0,)</f>
        <v>Regular/Original Wrapping</v>
      </c>
      <c r="L1134" t="str">
        <f>_xlfn.XLOOKUP($A1134,Load!$B:$B,Load!M:M,0,)</f>
        <v>Multiple Brands / Variety Flavors or Form</v>
      </c>
    </row>
    <row r="1135" spans="1:12" x14ac:dyDescent="0.25">
      <c r="B1135">
        <f>_xlfn.XLOOKUP($A1135,Load!$B:$B,Load!C:C,0,)</f>
        <v>0</v>
      </c>
      <c r="C1135">
        <f>_xlfn.XLOOKUP($A1135,Load!$B:$B,Load!D:D,0,)</f>
        <v>0</v>
      </c>
      <c r="D1135">
        <f>_xlfn.XLOOKUP($A1135,Load!$B:$B,Load!E:E,0,)</f>
        <v>0</v>
      </c>
      <c r="E1135">
        <f>_xlfn.XLOOKUP($A1135,Load!$B:$B,Load!F:F,0,)</f>
        <v>0</v>
      </c>
      <c r="F1135">
        <f>_xlfn.XLOOKUP($A1135,Load!$B:$B,Load!G:G,0,)</f>
        <v>0</v>
      </c>
      <c r="G1135">
        <f>_xlfn.XLOOKUP($A1135,Load!$B:$B,Load!H:H,0,)</f>
        <v>0</v>
      </c>
      <c r="H1135">
        <f>_xlfn.XLOOKUP($A1135,Load!$B:$B,Load!I:I,0,)</f>
        <v>0</v>
      </c>
      <c r="I1135">
        <f>_xlfn.XLOOKUP($A1135,Load!$B:$B,Load!J:J,0,)</f>
        <v>0</v>
      </c>
      <c r="J1135">
        <f>_xlfn.XLOOKUP($A1135,Load!$B:$B,Load!K:K,0,)</f>
        <v>0</v>
      </c>
      <c r="K1135">
        <f>_xlfn.XLOOKUP($A1135,Load!$B:$B,Load!L:L,0,)</f>
        <v>0</v>
      </c>
      <c r="L1135">
        <f>_xlfn.XLOOKUP($A1135,Load!$B:$B,Load!M:M,0,)</f>
        <v>0</v>
      </c>
    </row>
    <row r="1136" spans="1:12" x14ac:dyDescent="0.25">
      <c r="A1136" t="s">
        <v>462</v>
      </c>
      <c r="B1136" t="str">
        <f>_xlfn.XLOOKUP($A1136,Load!$B:$B,Load!C:C,0,)</f>
        <v>Trolli</v>
      </c>
      <c r="C1136" t="str">
        <f>_xlfn.XLOOKUP($A1136,Load!$B:$B,Load!D:D,0,)</f>
        <v>Non-Chocolate Candy Only</v>
      </c>
      <c r="D1136" t="str">
        <f>_xlfn.XLOOKUP($A1136,Load!$B:$B,Load!E:E,0,)</f>
        <v>Sour</v>
      </c>
      <c r="E1136" t="str">
        <f>_xlfn.XLOOKUP($A1136,Load!$B:$B,Load!F:F,0,)</f>
        <v>Gummy</v>
      </c>
      <c r="F1136" t="str">
        <f>_xlfn.XLOOKUP($A1136,Load!$B:$B,Load!G:G,0,)</f>
        <v>Small Multipack (Less than 40 ct)</v>
      </c>
      <c r="G1136" t="str">
        <f>_xlfn.XLOOKUP($A1136,Load!$B:$B,Load!H:H,0,)</f>
        <v>Laydown Bag</v>
      </c>
      <c r="H1136" t="str">
        <f>_xlfn.XLOOKUP($A1136,Load!$B:$B,Load!I:I,0,)</f>
        <v>Seasonal Shapes (like pumpkins, candy corn, ghost, bats, etc.)</v>
      </c>
      <c r="I1136" t="str">
        <f>_xlfn.XLOOKUP($A1136,Load!$B:$B,Load!J:J,0,)</f>
        <v>Seasonal Graphics (Like Bat, Ghost, Pumpkin, Fall Leaves, Eyeballs, etc.)</v>
      </c>
      <c r="J1136" t="str">
        <f>_xlfn.XLOOKUP($A1136,Load!$B:$B,Load!K:K,0,)</f>
        <v>Fun Size / Treat Size</v>
      </c>
      <c r="K1136" t="str">
        <f>_xlfn.XLOOKUP($A1136,Load!$B:$B,Load!L:L,0,)</f>
        <v>Regular/Original Wrapping</v>
      </c>
      <c r="L1136" t="str">
        <f>_xlfn.XLOOKUP($A1136,Load!$B:$B,Load!M:M,0,)</f>
        <v>Single Brand / Variety Flavors or Form</v>
      </c>
    </row>
    <row r="1137" spans="1:12" x14ac:dyDescent="0.25">
      <c r="B1137">
        <f>_xlfn.XLOOKUP($A1137,Load!$B:$B,Load!C:C,0,)</f>
        <v>0</v>
      </c>
      <c r="C1137">
        <f>_xlfn.XLOOKUP($A1137,Load!$B:$B,Load!D:D,0,)</f>
        <v>0</v>
      </c>
      <c r="D1137">
        <f>_xlfn.XLOOKUP($A1137,Load!$B:$B,Load!E:E,0,)</f>
        <v>0</v>
      </c>
      <c r="E1137">
        <f>_xlfn.XLOOKUP($A1137,Load!$B:$B,Load!F:F,0,)</f>
        <v>0</v>
      </c>
      <c r="F1137">
        <f>_xlfn.XLOOKUP($A1137,Load!$B:$B,Load!G:G,0,)</f>
        <v>0</v>
      </c>
      <c r="G1137">
        <f>_xlfn.XLOOKUP($A1137,Load!$B:$B,Load!H:H,0,)</f>
        <v>0</v>
      </c>
      <c r="H1137">
        <f>_xlfn.XLOOKUP($A1137,Load!$B:$B,Load!I:I,0,)</f>
        <v>0</v>
      </c>
      <c r="I1137">
        <f>_xlfn.XLOOKUP($A1137,Load!$B:$B,Load!J:J,0,)</f>
        <v>0</v>
      </c>
      <c r="J1137">
        <f>_xlfn.XLOOKUP($A1137,Load!$B:$B,Load!K:K,0,)</f>
        <v>0</v>
      </c>
      <c r="K1137">
        <f>_xlfn.XLOOKUP($A1137,Load!$B:$B,Load!L:L,0,)</f>
        <v>0</v>
      </c>
      <c r="L1137">
        <f>_xlfn.XLOOKUP($A1137,Load!$B:$B,Load!M:M,0,)</f>
        <v>0</v>
      </c>
    </row>
    <row r="1138" spans="1:12" x14ac:dyDescent="0.25">
      <c r="A1138" t="s">
        <v>218</v>
      </c>
      <c r="B1138" t="str">
        <f>_xlfn.XLOOKUP($A1138,Load!$B:$B,Load!C:C,0,)</f>
        <v>Mondelez Variety Pack</v>
      </c>
      <c r="C1138" t="str">
        <f>_xlfn.XLOOKUP($A1138,Load!$B:$B,Load!D:D,0,)</f>
        <v>Non-Chocolate Candy Only</v>
      </c>
      <c r="D1138" t="str">
        <f>_xlfn.XLOOKUP($A1138,Load!$B:$B,Load!E:E,0,)</f>
        <v>Sour</v>
      </c>
      <c r="E1138" t="str">
        <f>_xlfn.XLOOKUP($A1138,Load!$B:$B,Load!F:F,0,)</f>
        <v>Mixed / Combo Packs (Gummy, Chewy, Taffy, etc.)</v>
      </c>
      <c r="F1138" t="str">
        <f>_xlfn.XLOOKUP($A1138,Load!$B:$B,Load!G:G,0,)</f>
        <v>Large Multipack (More than 80 ct)</v>
      </c>
      <c r="G1138" t="str">
        <f>_xlfn.XLOOKUP($A1138,Load!$B:$B,Load!H:H,0,)</f>
        <v>Stand-Up Bag</v>
      </c>
      <c r="H1138" t="str">
        <f>_xlfn.XLOOKUP($A1138,Load!$B:$B,Load!I:I,0,)</f>
        <v>Seasonal Shapes (like pumpkins, candy corn, ghost, bats, etc.)</v>
      </c>
      <c r="I1138" t="str">
        <f>_xlfn.XLOOKUP($A1138,Load!$B:$B,Load!J:J,0,)</f>
        <v>Seasonal Graphics (Like Bat, Ghost, Pumpkin, Fall Leaves, Eyeballs, etc.)</v>
      </c>
      <c r="J1138" t="str">
        <f>_xlfn.XLOOKUP($A1138,Load!$B:$B,Load!K:K,0,)</f>
        <v>Small Pieces (Tiny bite size candies)</v>
      </c>
      <c r="K1138" t="str">
        <f>_xlfn.XLOOKUP($A1138,Load!$B:$B,Load!L:L,0,)</f>
        <v>Regular/Original Wrapping</v>
      </c>
      <c r="L1138" t="str">
        <f>_xlfn.XLOOKUP($A1138,Load!$B:$B,Load!M:M,0,)</f>
        <v>Multiple Brands / Variety Flavors or Form</v>
      </c>
    </row>
    <row r="1139" spans="1:12" x14ac:dyDescent="0.25">
      <c r="A1139" t="s">
        <v>220</v>
      </c>
      <c r="B1139" t="str">
        <f>_xlfn.XLOOKUP($A1139,Load!$B:$B,Load!C:C,0,)</f>
        <v>Mondelez Variety Pack</v>
      </c>
      <c r="C1139" t="str">
        <f>_xlfn.XLOOKUP($A1139,Load!$B:$B,Load!D:D,0,)</f>
        <v>Non-Chocolate Candy Only</v>
      </c>
      <c r="D1139" t="str">
        <f>_xlfn.XLOOKUP($A1139,Load!$B:$B,Load!E:E,0,)</f>
        <v>Variety / Mixed Flavors (Fruity, Sour, Seasonal Flavors)</v>
      </c>
      <c r="E1139" t="str">
        <f>_xlfn.XLOOKUP($A1139,Load!$B:$B,Load!F:F,0,)</f>
        <v>Chewy</v>
      </c>
      <c r="F1139" t="str">
        <f>_xlfn.XLOOKUP($A1139,Load!$B:$B,Load!G:G,0,)</f>
        <v>Large Multipack (More than 80 ct)</v>
      </c>
      <c r="G1139" t="str">
        <f>_xlfn.XLOOKUP($A1139,Load!$B:$B,Load!H:H,0,)</f>
        <v>Stand-Up Bag</v>
      </c>
      <c r="H1139" t="str">
        <f>_xlfn.XLOOKUP($A1139,Load!$B:$B,Load!I:I,0,)</f>
        <v>Seasonal Shapes (like pumpkins, candy corn, ghost, bats, etc.)</v>
      </c>
      <c r="I1139" t="str">
        <f>_xlfn.XLOOKUP($A1139,Load!$B:$B,Load!J:J,0,)</f>
        <v>Seasonal Graphics (Like Bat, Ghost, Pumpkin, Fall Leaves, Eyeballs, etc.)</v>
      </c>
      <c r="J1139" t="str">
        <f>_xlfn.XLOOKUP($A1139,Load!$B:$B,Load!K:K,0,)</f>
        <v>Small Pieces (Tiny bite size candies)</v>
      </c>
      <c r="K1139" t="str">
        <f>_xlfn.XLOOKUP($A1139,Load!$B:$B,Load!L:L,0,)</f>
        <v>Regular/Original Wrapping</v>
      </c>
      <c r="L1139" t="str">
        <f>_xlfn.XLOOKUP($A1139,Load!$B:$B,Load!M:M,0,)</f>
        <v>Single Brand / Variety Flavors or Form</v>
      </c>
    </row>
    <row r="1140" spans="1:12" x14ac:dyDescent="0.25">
      <c r="B1140">
        <f>_xlfn.XLOOKUP($A1140,Load!$B:$B,Load!C:C,0,)</f>
        <v>0</v>
      </c>
      <c r="C1140">
        <f>_xlfn.XLOOKUP($A1140,Load!$B:$B,Load!D:D,0,)</f>
        <v>0</v>
      </c>
      <c r="D1140">
        <f>_xlfn.XLOOKUP($A1140,Load!$B:$B,Load!E:E,0,)</f>
        <v>0</v>
      </c>
      <c r="E1140">
        <f>_xlfn.XLOOKUP($A1140,Load!$B:$B,Load!F:F,0,)</f>
        <v>0</v>
      </c>
      <c r="F1140">
        <f>_xlfn.XLOOKUP($A1140,Load!$B:$B,Load!G:G,0,)</f>
        <v>0</v>
      </c>
      <c r="G1140">
        <f>_xlfn.XLOOKUP($A1140,Load!$B:$B,Load!H:H,0,)</f>
        <v>0</v>
      </c>
      <c r="H1140">
        <f>_xlfn.XLOOKUP($A1140,Load!$B:$B,Load!I:I,0,)</f>
        <v>0</v>
      </c>
      <c r="I1140">
        <f>_xlfn.XLOOKUP($A1140,Load!$B:$B,Load!J:J,0,)</f>
        <v>0</v>
      </c>
      <c r="J1140">
        <f>_xlfn.XLOOKUP($A1140,Load!$B:$B,Load!K:K,0,)</f>
        <v>0</v>
      </c>
      <c r="K1140">
        <f>_xlfn.XLOOKUP($A1140,Load!$B:$B,Load!L:L,0,)</f>
        <v>0</v>
      </c>
      <c r="L1140">
        <f>_xlfn.XLOOKUP($A1140,Load!$B:$B,Load!M:M,0,)</f>
        <v>0</v>
      </c>
    </row>
    <row r="1141" spans="1:12" x14ac:dyDescent="0.25">
      <c r="B1141">
        <f>_xlfn.XLOOKUP($A1141,Load!$B:$B,Load!C:C,0,)</f>
        <v>0</v>
      </c>
      <c r="C1141">
        <f>_xlfn.XLOOKUP($A1141,Load!$B:$B,Load!D:D,0,)</f>
        <v>0</v>
      </c>
      <c r="D1141">
        <f>_xlfn.XLOOKUP($A1141,Load!$B:$B,Load!E:E,0,)</f>
        <v>0</v>
      </c>
      <c r="E1141">
        <f>_xlfn.XLOOKUP($A1141,Load!$B:$B,Load!F:F,0,)</f>
        <v>0</v>
      </c>
      <c r="F1141">
        <f>_xlfn.XLOOKUP($A1141,Load!$B:$B,Load!G:G,0,)</f>
        <v>0</v>
      </c>
      <c r="G1141">
        <f>_xlfn.XLOOKUP($A1141,Load!$B:$B,Load!H:H,0,)</f>
        <v>0</v>
      </c>
      <c r="H1141">
        <f>_xlfn.XLOOKUP($A1141,Load!$B:$B,Load!I:I,0,)</f>
        <v>0</v>
      </c>
      <c r="I1141">
        <f>_xlfn.XLOOKUP($A1141,Load!$B:$B,Load!J:J,0,)</f>
        <v>0</v>
      </c>
      <c r="J1141">
        <f>_xlfn.XLOOKUP($A1141,Load!$B:$B,Load!K:K,0,)</f>
        <v>0</v>
      </c>
      <c r="K1141">
        <f>_xlfn.XLOOKUP($A1141,Load!$B:$B,Load!L:L,0,)</f>
        <v>0</v>
      </c>
      <c r="L1141">
        <f>_xlfn.XLOOKUP($A1141,Load!$B:$B,Load!M:M,0,)</f>
        <v>0</v>
      </c>
    </row>
    <row r="1142" spans="1:12" x14ac:dyDescent="0.25">
      <c r="B1142">
        <f>_xlfn.XLOOKUP($A1142,Load!$B:$B,Load!C:C,0,)</f>
        <v>0</v>
      </c>
      <c r="C1142">
        <f>_xlfn.XLOOKUP($A1142,Load!$B:$B,Load!D:D,0,)</f>
        <v>0</v>
      </c>
      <c r="D1142">
        <f>_xlfn.XLOOKUP($A1142,Load!$B:$B,Load!E:E,0,)</f>
        <v>0</v>
      </c>
      <c r="E1142">
        <f>_xlfn.XLOOKUP($A1142,Load!$B:$B,Load!F:F,0,)</f>
        <v>0</v>
      </c>
      <c r="F1142">
        <f>_xlfn.XLOOKUP($A1142,Load!$B:$B,Load!G:G,0,)</f>
        <v>0</v>
      </c>
      <c r="G1142">
        <f>_xlfn.XLOOKUP($A1142,Load!$B:$B,Load!H:H,0,)</f>
        <v>0</v>
      </c>
      <c r="H1142">
        <f>_xlfn.XLOOKUP($A1142,Load!$B:$B,Load!I:I,0,)</f>
        <v>0</v>
      </c>
      <c r="I1142">
        <f>_xlfn.XLOOKUP($A1142,Load!$B:$B,Load!J:J,0,)</f>
        <v>0</v>
      </c>
      <c r="J1142">
        <f>_xlfn.XLOOKUP($A1142,Load!$B:$B,Load!K:K,0,)</f>
        <v>0</v>
      </c>
      <c r="K1142">
        <f>_xlfn.XLOOKUP($A1142,Load!$B:$B,Load!L:L,0,)</f>
        <v>0</v>
      </c>
      <c r="L1142">
        <f>_xlfn.XLOOKUP($A1142,Load!$B:$B,Load!M:M,0,)</f>
        <v>0</v>
      </c>
    </row>
    <row r="1143" spans="1:12" x14ac:dyDescent="0.25">
      <c r="B1143">
        <f>_xlfn.XLOOKUP($A1143,Load!$B:$B,Load!C:C,0,)</f>
        <v>0</v>
      </c>
      <c r="C1143">
        <f>_xlfn.XLOOKUP($A1143,Load!$B:$B,Load!D:D,0,)</f>
        <v>0</v>
      </c>
      <c r="D1143">
        <f>_xlfn.XLOOKUP($A1143,Load!$B:$B,Load!E:E,0,)</f>
        <v>0</v>
      </c>
      <c r="E1143">
        <f>_xlfn.XLOOKUP($A1143,Load!$B:$B,Load!F:F,0,)</f>
        <v>0</v>
      </c>
      <c r="F1143">
        <f>_xlfn.XLOOKUP($A1143,Load!$B:$B,Load!G:G,0,)</f>
        <v>0</v>
      </c>
      <c r="G1143">
        <f>_xlfn.XLOOKUP($A1143,Load!$B:$B,Load!H:H,0,)</f>
        <v>0</v>
      </c>
      <c r="H1143">
        <f>_xlfn.XLOOKUP($A1143,Load!$B:$B,Load!I:I,0,)</f>
        <v>0</v>
      </c>
      <c r="I1143">
        <f>_xlfn.XLOOKUP($A1143,Load!$B:$B,Load!J:J,0,)</f>
        <v>0</v>
      </c>
      <c r="J1143">
        <f>_xlfn.XLOOKUP($A1143,Load!$B:$B,Load!K:K,0,)</f>
        <v>0</v>
      </c>
      <c r="K1143">
        <f>_xlfn.XLOOKUP($A1143,Load!$B:$B,Load!L:L,0,)</f>
        <v>0</v>
      </c>
      <c r="L1143">
        <f>_xlfn.XLOOKUP($A1143,Load!$B:$B,Load!M:M,0,)</f>
        <v>0</v>
      </c>
    </row>
    <row r="1144" spans="1:12" x14ac:dyDescent="0.25">
      <c r="A1144" t="s">
        <v>317</v>
      </c>
      <c r="B1144" t="str">
        <f>_xlfn.XLOOKUP($A1144,Load!$B:$B,Load!C:C,0,)</f>
        <v>YumEarth</v>
      </c>
      <c r="C1144" t="str">
        <f>_xlfn.XLOOKUP($A1144,Load!$B:$B,Load!D:D,0,)</f>
        <v>Non-Chocolate Candy Only</v>
      </c>
      <c r="D1144" t="str">
        <f>_xlfn.XLOOKUP($A1144,Load!$B:$B,Load!E:E,0,)</f>
        <v>Fruit Flavor (Cherry, Grape, Apple, Citrus, Tropical Fruit)</v>
      </c>
      <c r="E1144" t="str">
        <f>_xlfn.XLOOKUP($A1144,Load!$B:$B,Load!F:F,0,)</f>
        <v>Chewy</v>
      </c>
      <c r="F1144" t="str">
        <f>_xlfn.XLOOKUP($A1144,Load!$B:$B,Load!G:G,0,)</f>
        <v>Small Multipack (Less than 40 ct)</v>
      </c>
      <c r="G1144" t="str">
        <f>_xlfn.XLOOKUP($A1144,Load!$B:$B,Load!H:H,0,)</f>
        <v>Box (theatre box, gift box, carton)</v>
      </c>
      <c r="H1144" t="str">
        <f>_xlfn.XLOOKUP($A1144,Load!$B:$B,Load!I:I,0,)</f>
        <v>Everyday Candy Shapes (like Original, Gummy bear, Fruit, Jewels, etc.)</v>
      </c>
      <c r="I1144" t="str">
        <f>_xlfn.XLOOKUP($A1144,Load!$B:$B,Load!J:J,0,)</f>
        <v>Everyday Graphics</v>
      </c>
      <c r="J1144" t="str">
        <f>_xlfn.XLOOKUP($A1144,Load!$B:$B,Load!K:K,0,)</f>
        <v>Small Pieces (Tiny bite size candies)</v>
      </c>
      <c r="K1144" t="str">
        <f>_xlfn.XLOOKUP($A1144,Load!$B:$B,Load!L:L,0,)</f>
        <v>Regular/Original Wrapping</v>
      </c>
      <c r="L1144" t="str">
        <f>_xlfn.XLOOKUP($A1144,Load!$B:$B,Load!M:M,0,)</f>
        <v>Single Brand / Variety Flavors or Form</v>
      </c>
    </row>
    <row r="1145" spans="1:12" x14ac:dyDescent="0.25">
      <c r="B1145">
        <f>_xlfn.XLOOKUP($A1145,Load!$B:$B,Load!C:C,0,)</f>
        <v>0</v>
      </c>
      <c r="C1145">
        <f>_xlfn.XLOOKUP($A1145,Load!$B:$B,Load!D:D,0,)</f>
        <v>0</v>
      </c>
      <c r="D1145">
        <f>_xlfn.XLOOKUP($A1145,Load!$B:$B,Load!E:E,0,)</f>
        <v>0</v>
      </c>
      <c r="E1145">
        <f>_xlfn.XLOOKUP($A1145,Load!$B:$B,Load!F:F,0,)</f>
        <v>0</v>
      </c>
      <c r="F1145">
        <f>_xlfn.XLOOKUP($A1145,Load!$B:$B,Load!G:G,0,)</f>
        <v>0</v>
      </c>
      <c r="G1145">
        <f>_xlfn.XLOOKUP($A1145,Load!$B:$B,Load!H:H,0,)</f>
        <v>0</v>
      </c>
      <c r="H1145">
        <f>_xlfn.XLOOKUP($A1145,Load!$B:$B,Load!I:I,0,)</f>
        <v>0</v>
      </c>
      <c r="I1145">
        <f>_xlfn.XLOOKUP($A1145,Load!$B:$B,Load!J:J,0,)</f>
        <v>0</v>
      </c>
      <c r="J1145">
        <f>_xlfn.XLOOKUP($A1145,Load!$B:$B,Load!K:K,0,)</f>
        <v>0</v>
      </c>
      <c r="K1145">
        <f>_xlfn.XLOOKUP($A1145,Load!$B:$B,Load!L:L,0,)</f>
        <v>0</v>
      </c>
      <c r="L1145">
        <f>_xlfn.XLOOKUP($A1145,Load!$B:$B,Load!M:M,0,)</f>
        <v>0</v>
      </c>
    </row>
    <row r="1146" spans="1:12" x14ac:dyDescent="0.25">
      <c r="A1146" t="s">
        <v>206</v>
      </c>
      <c r="B1146" t="str">
        <f>_xlfn.XLOOKUP($A1146,Load!$B:$B,Load!C:C,0,)</f>
        <v>Mars Variety Pack</v>
      </c>
      <c r="C1146" t="str">
        <f>_xlfn.XLOOKUP($A1146,Load!$B:$B,Load!D:D,0,)</f>
        <v>Non-Chocolate Candy Only</v>
      </c>
      <c r="D1146" t="str">
        <f>_xlfn.XLOOKUP($A1146,Load!$B:$B,Load!E:E,0,)</f>
        <v>Variety / Mixed Flavors (Fruity, Sour, Seasonal Flavors)</v>
      </c>
      <c r="E1146" t="str">
        <f>_xlfn.XLOOKUP($A1146,Load!$B:$B,Load!F:F,0,)</f>
        <v>Mixed / Combo Packs (Gummy, Chewy, Taffy, etc.)</v>
      </c>
      <c r="F1146" t="str">
        <f>_xlfn.XLOOKUP($A1146,Load!$B:$B,Load!G:G,0,)</f>
        <v>Large Multipack (More than 80 ct)</v>
      </c>
      <c r="G1146" t="str">
        <f>_xlfn.XLOOKUP($A1146,Load!$B:$B,Load!H:H,0,)</f>
        <v>Stand-Up Bag</v>
      </c>
      <c r="H1146" t="str">
        <f>_xlfn.XLOOKUP($A1146,Load!$B:$B,Load!I:I,0,)</f>
        <v>Everyday Candy Shapes (like Original, Gummy bear, Fruit, Jewels, etc.)</v>
      </c>
      <c r="I1146" t="str">
        <f>_xlfn.XLOOKUP($A1146,Load!$B:$B,Load!J:J,0,)</f>
        <v>Seasonal Graphics (Like Bat, Ghost, Pumpkin, Fall Leaves, Eyeballs, etc.)</v>
      </c>
      <c r="J1146" t="str">
        <f>_xlfn.XLOOKUP($A1146,Load!$B:$B,Load!K:K,0,)</f>
        <v>Fun Size / Treat Size</v>
      </c>
      <c r="K1146" t="str">
        <f>_xlfn.XLOOKUP($A1146,Load!$B:$B,Load!L:L,0,)</f>
        <v>Regular/Original Wrapping</v>
      </c>
      <c r="L1146" t="str">
        <f>_xlfn.XLOOKUP($A1146,Load!$B:$B,Load!M:M,0,)</f>
        <v>Multiple Brands / Variety Flavors or Form</v>
      </c>
    </row>
    <row r="1147" spans="1:12" x14ac:dyDescent="0.25">
      <c r="A1147" t="s">
        <v>201</v>
      </c>
      <c r="B1147" t="str">
        <f>_xlfn.XLOOKUP($A1147,Load!$B:$B,Load!C:C,0,)</f>
        <v>Mars Variety Pack</v>
      </c>
      <c r="C1147" t="str">
        <f>_xlfn.XLOOKUP($A1147,Load!$B:$B,Load!D:D,0,)</f>
        <v>Non-Chocolate Candy Only</v>
      </c>
      <c r="D1147" t="str">
        <f>_xlfn.XLOOKUP($A1147,Load!$B:$B,Load!E:E,0,)</f>
        <v>Variety / Mixed Flavors (Fruity, Sour, Seasonal Flavors)</v>
      </c>
      <c r="E1147" t="str">
        <f>_xlfn.XLOOKUP($A1147,Load!$B:$B,Load!F:F,0,)</f>
        <v>Mixed / Combo Packs (Gummy, Chewy, Taffy, etc.)</v>
      </c>
      <c r="F1147" t="str">
        <f>_xlfn.XLOOKUP($A1147,Load!$B:$B,Load!G:G,0,)</f>
        <v>Large Multipack (More than 80 ct)</v>
      </c>
      <c r="G1147" t="str">
        <f>_xlfn.XLOOKUP($A1147,Load!$B:$B,Load!H:H,0,)</f>
        <v>Stand-Up Bag</v>
      </c>
      <c r="H1147" t="str">
        <f>_xlfn.XLOOKUP($A1147,Load!$B:$B,Load!I:I,0,)</f>
        <v>Everyday Candy Shapes (like Original, Gummy bear, Fruit, Jewels, etc.)</v>
      </c>
      <c r="I1147" t="str">
        <f>_xlfn.XLOOKUP($A1147,Load!$B:$B,Load!J:J,0,)</f>
        <v>Everyday Graphics</v>
      </c>
      <c r="J1147" t="str">
        <f>_xlfn.XLOOKUP($A1147,Load!$B:$B,Load!K:K,0,)</f>
        <v>Fun Size / Treat Size</v>
      </c>
      <c r="K1147" t="str">
        <f>_xlfn.XLOOKUP($A1147,Load!$B:$B,Load!L:L,0,)</f>
        <v>Regular/Original Wrapping</v>
      </c>
      <c r="L1147" t="str">
        <f>_xlfn.XLOOKUP($A1147,Load!$B:$B,Load!M:M,0,)</f>
        <v>Multiple Brands / Variety Flavors or Form</v>
      </c>
    </row>
    <row r="1148" spans="1:12" x14ac:dyDescent="0.25">
      <c r="A1148" t="s">
        <v>122</v>
      </c>
      <c r="B1148" t="str">
        <f>_xlfn.XLOOKUP($A1148,Load!$B:$B,Load!C:C,0,)</f>
        <v>HARIBO</v>
      </c>
      <c r="C1148" t="str">
        <f>_xlfn.XLOOKUP($A1148,Load!$B:$B,Load!D:D,0,)</f>
        <v>Non-Chocolate Candy Only</v>
      </c>
      <c r="D1148" t="str">
        <f>_xlfn.XLOOKUP($A1148,Load!$B:$B,Load!E:E,0,)</f>
        <v>Variety / Mixed Flavors (Fruity, Sour, Seasonal Flavors)</v>
      </c>
      <c r="E1148" t="str">
        <f>_xlfn.XLOOKUP($A1148,Load!$B:$B,Load!F:F,0,)</f>
        <v>Gummy</v>
      </c>
      <c r="F1148" t="str">
        <f>_xlfn.XLOOKUP($A1148,Load!$B:$B,Load!G:G,0,)</f>
        <v>Medium Multipack (40–80 ct)</v>
      </c>
      <c r="G1148" t="str">
        <f>_xlfn.XLOOKUP($A1148,Load!$B:$B,Load!H:H,0,)</f>
        <v>Laydown Bag</v>
      </c>
      <c r="H1148" t="str">
        <f>_xlfn.XLOOKUP($A1148,Load!$B:$B,Load!I:I,0,)</f>
        <v>Seasonal Shapes (like pumpkins, candy corn, ghost, bats, etc.)</v>
      </c>
      <c r="I1148" t="str">
        <f>_xlfn.XLOOKUP($A1148,Load!$B:$B,Load!J:J,0,)</f>
        <v>Seasonal Graphics (Like Bat, Ghost, Pumpkin, Fall Leaves, Eyeballs, etc.)</v>
      </c>
      <c r="J1148" t="str">
        <f>_xlfn.XLOOKUP($A1148,Load!$B:$B,Load!K:K,0,)</f>
        <v>Small Pieces (Tiny bite size candies)</v>
      </c>
      <c r="K1148" t="str">
        <f>_xlfn.XLOOKUP($A1148,Load!$B:$B,Load!L:L,0,)</f>
        <v>Regular/Original Wrapping</v>
      </c>
      <c r="L1148" t="str">
        <f>_xlfn.XLOOKUP($A1148,Load!$B:$B,Load!M:M,0,)</f>
        <v>Multiple Brands / Variety Flavors or Form</v>
      </c>
    </row>
    <row r="1149" spans="1:12" x14ac:dyDescent="0.25">
      <c r="A1149" t="s">
        <v>280</v>
      </c>
      <c r="B1149" t="str">
        <f>_xlfn.XLOOKUP($A1149,Load!$B:$B,Load!C:C,0,)</f>
        <v>Sour Patch Kids</v>
      </c>
      <c r="C1149" t="str">
        <f>_xlfn.XLOOKUP($A1149,Load!$B:$B,Load!D:D,0,)</f>
        <v>Non-Chocolate Candy Only</v>
      </c>
      <c r="D1149" t="str">
        <f>_xlfn.XLOOKUP($A1149,Load!$B:$B,Load!E:E,0,)</f>
        <v>Sour</v>
      </c>
      <c r="E1149" t="str">
        <f>_xlfn.XLOOKUP($A1149,Load!$B:$B,Load!F:F,0,)</f>
        <v>Chewy</v>
      </c>
      <c r="F1149" t="str">
        <f>_xlfn.XLOOKUP($A1149,Load!$B:$B,Load!G:G,0,)</f>
        <v>Medium Multipack (40–80 ct)</v>
      </c>
      <c r="G1149" t="str">
        <f>_xlfn.XLOOKUP($A1149,Load!$B:$B,Load!H:H,0,)</f>
        <v>Laydown Bag</v>
      </c>
      <c r="H1149" t="str">
        <f>_xlfn.XLOOKUP($A1149,Load!$B:$B,Load!I:I,0,)</f>
        <v>Seasonal Shapes (like pumpkins, candy corn, ghost, bats, etc.)</v>
      </c>
      <c r="I1149" t="str">
        <f>_xlfn.XLOOKUP($A1149,Load!$B:$B,Load!J:J,0,)</f>
        <v>Seasonal Graphics (Like Bat, Ghost, Pumpkin, Fall Leaves, Eyeballs, etc.)</v>
      </c>
      <c r="J1149" t="str">
        <f>_xlfn.XLOOKUP($A1149,Load!$B:$B,Load!K:K,0,)</f>
        <v>Small Pieces (Tiny bite size candies)</v>
      </c>
      <c r="K1149" t="str">
        <f>_xlfn.XLOOKUP($A1149,Load!$B:$B,Load!L:L,0,)</f>
        <v>Regular/Original Wrapping</v>
      </c>
      <c r="L1149" t="str">
        <f>_xlfn.XLOOKUP($A1149,Load!$B:$B,Load!M:M,0,)</f>
        <v>Single Brand / Variety Flavors or Form</v>
      </c>
    </row>
    <row r="1150" spans="1:12" x14ac:dyDescent="0.25">
      <c r="B1150">
        <f>_xlfn.XLOOKUP($A1150,Load!$B:$B,Load!C:C,0,)</f>
        <v>0</v>
      </c>
      <c r="C1150">
        <f>_xlfn.XLOOKUP($A1150,Load!$B:$B,Load!D:D,0,)</f>
        <v>0</v>
      </c>
      <c r="D1150">
        <f>_xlfn.XLOOKUP($A1150,Load!$B:$B,Load!E:E,0,)</f>
        <v>0</v>
      </c>
      <c r="E1150">
        <f>_xlfn.XLOOKUP($A1150,Load!$B:$B,Load!F:F,0,)</f>
        <v>0</v>
      </c>
      <c r="F1150">
        <f>_xlfn.XLOOKUP($A1150,Load!$B:$B,Load!G:G,0,)</f>
        <v>0</v>
      </c>
      <c r="G1150">
        <f>_xlfn.XLOOKUP($A1150,Load!$B:$B,Load!H:H,0,)</f>
        <v>0</v>
      </c>
      <c r="H1150">
        <f>_xlfn.XLOOKUP($A1150,Load!$B:$B,Load!I:I,0,)</f>
        <v>0</v>
      </c>
      <c r="I1150">
        <f>_xlfn.XLOOKUP($A1150,Load!$B:$B,Load!J:J,0,)</f>
        <v>0</v>
      </c>
      <c r="J1150">
        <f>_xlfn.XLOOKUP($A1150,Load!$B:$B,Load!K:K,0,)</f>
        <v>0</v>
      </c>
      <c r="K1150">
        <f>_xlfn.XLOOKUP($A1150,Load!$B:$B,Load!L:L,0,)</f>
        <v>0</v>
      </c>
      <c r="L1150">
        <f>_xlfn.XLOOKUP($A1150,Load!$B:$B,Load!M:M,0,)</f>
        <v>0</v>
      </c>
    </row>
    <row r="1151" spans="1:12" x14ac:dyDescent="0.25">
      <c r="B1151">
        <f>_xlfn.XLOOKUP($A1151,Load!$B:$B,Load!C:C,0,)</f>
        <v>0</v>
      </c>
      <c r="C1151">
        <f>_xlfn.XLOOKUP($A1151,Load!$B:$B,Load!D:D,0,)</f>
        <v>0</v>
      </c>
      <c r="D1151">
        <f>_xlfn.XLOOKUP($A1151,Load!$B:$B,Load!E:E,0,)</f>
        <v>0</v>
      </c>
      <c r="E1151">
        <f>_xlfn.XLOOKUP($A1151,Load!$B:$B,Load!F:F,0,)</f>
        <v>0</v>
      </c>
      <c r="F1151">
        <f>_xlfn.XLOOKUP($A1151,Load!$B:$B,Load!G:G,0,)</f>
        <v>0</v>
      </c>
      <c r="G1151">
        <f>_xlfn.XLOOKUP($A1151,Load!$B:$B,Load!H:H,0,)</f>
        <v>0</v>
      </c>
      <c r="H1151">
        <f>_xlfn.XLOOKUP($A1151,Load!$B:$B,Load!I:I,0,)</f>
        <v>0</v>
      </c>
      <c r="I1151">
        <f>_xlfn.XLOOKUP($A1151,Load!$B:$B,Load!J:J,0,)</f>
        <v>0</v>
      </c>
      <c r="J1151">
        <f>_xlfn.XLOOKUP($A1151,Load!$B:$B,Load!K:K,0,)</f>
        <v>0</v>
      </c>
      <c r="K1151">
        <f>_xlfn.XLOOKUP($A1151,Load!$B:$B,Load!L:L,0,)</f>
        <v>0</v>
      </c>
      <c r="L1151">
        <f>_xlfn.XLOOKUP($A1151,Load!$B:$B,Load!M:M,0,)</f>
        <v>0</v>
      </c>
    </row>
    <row r="1152" spans="1:12" x14ac:dyDescent="0.25">
      <c r="B1152">
        <f>_xlfn.XLOOKUP($A1152,Load!$B:$B,Load!C:C,0,)</f>
        <v>0</v>
      </c>
      <c r="C1152">
        <f>_xlfn.XLOOKUP($A1152,Load!$B:$B,Load!D:D,0,)</f>
        <v>0</v>
      </c>
      <c r="D1152">
        <f>_xlfn.XLOOKUP($A1152,Load!$B:$B,Load!E:E,0,)</f>
        <v>0</v>
      </c>
      <c r="E1152">
        <f>_xlfn.XLOOKUP($A1152,Load!$B:$B,Load!F:F,0,)</f>
        <v>0</v>
      </c>
      <c r="F1152">
        <f>_xlfn.XLOOKUP($A1152,Load!$B:$B,Load!G:G,0,)</f>
        <v>0</v>
      </c>
      <c r="G1152">
        <f>_xlfn.XLOOKUP($A1152,Load!$B:$B,Load!H:H,0,)</f>
        <v>0</v>
      </c>
      <c r="H1152">
        <f>_xlfn.XLOOKUP($A1152,Load!$B:$B,Load!I:I,0,)</f>
        <v>0</v>
      </c>
      <c r="I1152">
        <f>_xlfn.XLOOKUP($A1152,Load!$B:$B,Load!J:J,0,)</f>
        <v>0</v>
      </c>
      <c r="J1152">
        <f>_xlfn.XLOOKUP($A1152,Load!$B:$B,Load!K:K,0,)</f>
        <v>0</v>
      </c>
      <c r="K1152">
        <f>_xlfn.XLOOKUP($A1152,Load!$B:$B,Load!L:L,0,)</f>
        <v>0</v>
      </c>
      <c r="L1152">
        <f>_xlfn.XLOOKUP($A1152,Load!$B:$B,Load!M:M,0,)</f>
        <v>0</v>
      </c>
    </row>
    <row r="1153" spans="1:12" x14ac:dyDescent="0.25">
      <c r="B1153">
        <f>_xlfn.XLOOKUP($A1153,Load!$B:$B,Load!C:C,0,)</f>
        <v>0</v>
      </c>
      <c r="C1153">
        <f>_xlfn.XLOOKUP($A1153,Load!$B:$B,Load!D:D,0,)</f>
        <v>0</v>
      </c>
      <c r="D1153">
        <f>_xlfn.XLOOKUP($A1153,Load!$B:$B,Load!E:E,0,)</f>
        <v>0</v>
      </c>
      <c r="E1153">
        <f>_xlfn.XLOOKUP($A1153,Load!$B:$B,Load!F:F,0,)</f>
        <v>0</v>
      </c>
      <c r="F1153">
        <f>_xlfn.XLOOKUP($A1153,Load!$B:$B,Load!G:G,0,)</f>
        <v>0</v>
      </c>
      <c r="G1153">
        <f>_xlfn.XLOOKUP($A1153,Load!$B:$B,Load!H:H,0,)</f>
        <v>0</v>
      </c>
      <c r="H1153">
        <f>_xlfn.XLOOKUP($A1153,Load!$B:$B,Load!I:I,0,)</f>
        <v>0</v>
      </c>
      <c r="I1153">
        <f>_xlfn.XLOOKUP($A1153,Load!$B:$B,Load!J:J,0,)</f>
        <v>0</v>
      </c>
      <c r="J1153">
        <f>_xlfn.XLOOKUP($A1153,Load!$B:$B,Load!K:K,0,)</f>
        <v>0</v>
      </c>
      <c r="K1153">
        <f>_xlfn.XLOOKUP($A1153,Load!$B:$B,Load!L:L,0,)</f>
        <v>0</v>
      </c>
      <c r="L1153">
        <f>_xlfn.XLOOKUP($A1153,Load!$B:$B,Load!M:M,0,)</f>
        <v>0</v>
      </c>
    </row>
    <row r="1154" spans="1:12" x14ac:dyDescent="0.25">
      <c r="A1154" t="s">
        <v>260</v>
      </c>
      <c r="B1154" t="str">
        <f>_xlfn.XLOOKUP($A1154,Load!$B:$B,Load!C:C,0,)</f>
        <v>Skittles</v>
      </c>
      <c r="C1154" t="str">
        <f>_xlfn.XLOOKUP($A1154,Load!$B:$B,Load!D:D,0,)</f>
        <v>Non-Chocolate Candy Only</v>
      </c>
      <c r="D1154" t="str">
        <f>_xlfn.XLOOKUP($A1154,Load!$B:$B,Load!E:E,0,)</f>
        <v>Fruit Flavor (Cherry, Grape, Apple, Citrus, Tropical Fruit)</v>
      </c>
      <c r="E1154" t="str">
        <f>_xlfn.XLOOKUP($A1154,Load!$B:$B,Load!F:F,0,)</f>
        <v>Candy Pieces / Bites</v>
      </c>
      <c r="F1154" t="str">
        <f>_xlfn.XLOOKUP($A1154,Load!$B:$B,Load!G:G,0,)</f>
        <v>Single Pack</v>
      </c>
      <c r="G1154" t="str">
        <f>_xlfn.XLOOKUP($A1154,Load!$B:$B,Load!H:H,0,)</f>
        <v>Plastic Cup / Container</v>
      </c>
      <c r="H1154" t="str">
        <f>_xlfn.XLOOKUP($A1154,Load!$B:$B,Load!I:I,0,)</f>
        <v>Everyday Candy Shapes (like Original, Gummy bear, Fruit, Jewels, etc.)</v>
      </c>
      <c r="I1154" t="str">
        <f>_xlfn.XLOOKUP($A1154,Load!$B:$B,Load!J:J,0,)</f>
        <v>Seasonal Graphics (Like Bat, Ghost, Pumpkin, Fall Leaves, Eyeballs, etc.)</v>
      </c>
      <c r="J1154" t="str">
        <f>_xlfn.XLOOKUP($A1154,Load!$B:$B,Load!K:K,0,)</f>
        <v>Small Pieces (Tiny bite size candies)</v>
      </c>
      <c r="K1154" t="str">
        <f>_xlfn.XLOOKUP($A1154,Load!$B:$B,Load!L:L,0,)</f>
        <v>Unwrapped</v>
      </c>
      <c r="L1154" t="str">
        <f>_xlfn.XLOOKUP($A1154,Load!$B:$B,Load!M:M,0,)</f>
        <v>Single Brand / Single Flavor or Form</v>
      </c>
    </row>
    <row r="1155" spans="1:12" x14ac:dyDescent="0.25">
      <c r="B1155">
        <f>_xlfn.XLOOKUP($A1155,Load!$B:$B,Load!C:C,0,)</f>
        <v>0</v>
      </c>
      <c r="C1155">
        <f>_xlfn.XLOOKUP($A1155,Load!$B:$B,Load!D:D,0,)</f>
        <v>0</v>
      </c>
      <c r="D1155">
        <f>_xlfn.XLOOKUP($A1155,Load!$B:$B,Load!E:E,0,)</f>
        <v>0</v>
      </c>
      <c r="E1155">
        <f>_xlfn.XLOOKUP($A1155,Load!$B:$B,Load!F:F,0,)</f>
        <v>0</v>
      </c>
      <c r="F1155">
        <f>_xlfn.XLOOKUP($A1155,Load!$B:$B,Load!G:G,0,)</f>
        <v>0</v>
      </c>
      <c r="G1155">
        <f>_xlfn.XLOOKUP($A1155,Load!$B:$B,Load!H:H,0,)</f>
        <v>0</v>
      </c>
      <c r="H1155">
        <f>_xlfn.XLOOKUP($A1155,Load!$B:$B,Load!I:I,0,)</f>
        <v>0</v>
      </c>
      <c r="I1155">
        <f>_xlfn.XLOOKUP($A1155,Load!$B:$B,Load!J:J,0,)</f>
        <v>0</v>
      </c>
      <c r="J1155">
        <f>_xlfn.XLOOKUP($A1155,Load!$B:$B,Load!K:K,0,)</f>
        <v>0</v>
      </c>
      <c r="K1155">
        <f>_xlfn.XLOOKUP($A1155,Load!$B:$B,Load!L:L,0,)</f>
        <v>0</v>
      </c>
      <c r="L1155">
        <f>_xlfn.XLOOKUP($A1155,Load!$B:$B,Load!M:M,0,)</f>
        <v>0</v>
      </c>
    </row>
    <row r="1156" spans="1:12" x14ac:dyDescent="0.25">
      <c r="A1156" t="s">
        <v>103</v>
      </c>
      <c r="B1156" t="str">
        <f>_xlfn.XLOOKUP($A1156,Load!$B:$B,Load!C:C,0,)</f>
        <v>Frankford</v>
      </c>
      <c r="C1156" t="str">
        <f>_xlfn.XLOOKUP($A1156,Load!$B:$B,Load!D:D,0,)</f>
        <v>Non-Chocolate Candy Only</v>
      </c>
      <c r="D1156" t="str">
        <f>_xlfn.XLOOKUP($A1156,Load!$B:$B,Load!E:E,0,)</f>
        <v>Sweet</v>
      </c>
      <c r="E1156" t="str">
        <f>_xlfn.XLOOKUP($A1156,Load!$B:$B,Load!F:F,0,)</f>
        <v>Gummy</v>
      </c>
      <c r="F1156" t="str">
        <f>_xlfn.XLOOKUP($A1156,Load!$B:$B,Load!G:G,0,)</f>
        <v>Medium Multipack (40–80 ct)</v>
      </c>
      <c r="G1156" t="str">
        <f>_xlfn.XLOOKUP($A1156,Load!$B:$B,Load!H:H,0,)</f>
        <v>Stand-Up Bag</v>
      </c>
      <c r="H1156" t="str">
        <f>_xlfn.XLOOKUP($A1156,Load!$B:$B,Load!I:I,0,)</f>
        <v>Seasonal Shapes (like pumpkins, candy corn, ghost, bats, etc.)</v>
      </c>
      <c r="I1156" t="str">
        <f>_xlfn.XLOOKUP($A1156,Load!$B:$B,Load!J:J,0,)</f>
        <v>Seasonal Graphics (Like Bat, Ghost, Pumpkin, Fall Leaves, Eyeballs, etc.)</v>
      </c>
      <c r="J1156" t="str">
        <f>_xlfn.XLOOKUP($A1156,Load!$B:$B,Load!K:K,0,)</f>
        <v>Fun Size / Treat Size</v>
      </c>
      <c r="K1156" t="str">
        <f>_xlfn.XLOOKUP($A1156,Load!$B:$B,Load!L:L,0,)</f>
        <v>Regular/Original Wrapping</v>
      </c>
      <c r="L1156" t="str">
        <f>_xlfn.XLOOKUP($A1156,Load!$B:$B,Load!M:M,0,)</f>
        <v>Single Brand / Variety Flavors or Form</v>
      </c>
    </row>
    <row r="1157" spans="1:12" x14ac:dyDescent="0.25">
      <c r="B1157">
        <f>_xlfn.XLOOKUP($A1157,Load!$B:$B,Load!C:C,0,)</f>
        <v>0</v>
      </c>
      <c r="C1157">
        <f>_xlfn.XLOOKUP($A1157,Load!$B:$B,Load!D:D,0,)</f>
        <v>0</v>
      </c>
      <c r="D1157">
        <f>_xlfn.XLOOKUP($A1157,Load!$B:$B,Load!E:E,0,)</f>
        <v>0</v>
      </c>
      <c r="E1157">
        <f>_xlfn.XLOOKUP($A1157,Load!$B:$B,Load!F:F,0,)</f>
        <v>0</v>
      </c>
      <c r="F1157">
        <f>_xlfn.XLOOKUP($A1157,Load!$B:$B,Load!G:G,0,)</f>
        <v>0</v>
      </c>
      <c r="G1157">
        <f>_xlfn.XLOOKUP($A1157,Load!$B:$B,Load!H:H,0,)</f>
        <v>0</v>
      </c>
      <c r="H1157">
        <f>_xlfn.XLOOKUP($A1157,Load!$B:$B,Load!I:I,0,)</f>
        <v>0</v>
      </c>
      <c r="I1157">
        <f>_xlfn.XLOOKUP($A1157,Load!$B:$B,Load!J:J,0,)</f>
        <v>0</v>
      </c>
      <c r="J1157">
        <f>_xlfn.XLOOKUP($A1157,Load!$B:$B,Load!K:K,0,)</f>
        <v>0</v>
      </c>
      <c r="K1157">
        <f>_xlfn.XLOOKUP($A1157,Load!$B:$B,Load!L:L,0,)</f>
        <v>0</v>
      </c>
      <c r="L1157">
        <f>_xlfn.XLOOKUP($A1157,Load!$B:$B,Load!M:M,0,)</f>
        <v>0</v>
      </c>
    </row>
    <row r="1158" spans="1:12" x14ac:dyDescent="0.25">
      <c r="A1158" t="s">
        <v>246</v>
      </c>
      <c r="B1158" t="str">
        <f>_xlfn.XLOOKUP($A1158,Load!$B:$B,Load!C:C,0,)</f>
        <v>Ring Pop</v>
      </c>
      <c r="C1158" t="str">
        <f>_xlfn.XLOOKUP($A1158,Load!$B:$B,Load!D:D,0,)</f>
        <v>Non-Chocolate Candy Only</v>
      </c>
      <c r="D1158" t="str">
        <f>_xlfn.XLOOKUP($A1158,Load!$B:$B,Load!E:E,0,)</f>
        <v>Variety / Mixed Flavors (Fruity, Sour, Seasonal Flavors)</v>
      </c>
      <c r="E1158" t="str">
        <f>_xlfn.XLOOKUP($A1158,Load!$B:$B,Load!F:F,0,)</f>
        <v>Lollipop (regular or lollipop rings)</v>
      </c>
      <c r="F1158" t="str">
        <f>_xlfn.XLOOKUP($A1158,Load!$B:$B,Load!G:G,0,)</f>
        <v>Single Pack</v>
      </c>
      <c r="G1158" t="str">
        <f>_xlfn.XLOOKUP($A1158,Load!$B:$B,Load!H:H,0,)</f>
        <v>Laydown Bag</v>
      </c>
      <c r="H1158" t="str">
        <f>_xlfn.XLOOKUP($A1158,Load!$B:$B,Load!I:I,0,)</f>
        <v>Everyday Candy Shapes (like Original, Gummy bear, Fruit, Jewels, etc.)</v>
      </c>
      <c r="I1158" t="str">
        <f>_xlfn.XLOOKUP($A1158,Load!$B:$B,Load!J:J,0,)</f>
        <v>Seasonal Graphics (Like Bat, Ghost, Pumpkin, Fall Leaves, Eyeballs, etc.)</v>
      </c>
      <c r="J1158" t="str">
        <f>_xlfn.XLOOKUP($A1158,Load!$B:$B,Load!K:K,0,)</f>
        <v>Regular Lollipop size (on sticks or rings)</v>
      </c>
      <c r="K1158" t="str">
        <f>_xlfn.XLOOKUP($A1158,Load!$B:$B,Load!L:L,0,)</f>
        <v>Regular/Original Wrapping</v>
      </c>
      <c r="L1158" t="str">
        <f>_xlfn.XLOOKUP($A1158,Load!$B:$B,Load!M:M,0,)</f>
        <v>Single Brand / Variety Flavors or Form</v>
      </c>
    </row>
    <row r="1159" spans="1:12" x14ac:dyDescent="0.25">
      <c r="A1159" t="s">
        <v>68</v>
      </c>
      <c r="B1159" t="str">
        <f>_xlfn.XLOOKUP($A1159,Load!$B:$B,Load!C:C,0,)</f>
        <v>Dum Dums</v>
      </c>
      <c r="C1159" t="str">
        <f>_xlfn.XLOOKUP($A1159,Load!$B:$B,Load!D:D,0,)</f>
        <v>Non-Chocolate Candy Only</v>
      </c>
      <c r="D1159" t="str">
        <f>_xlfn.XLOOKUP($A1159,Load!$B:$B,Load!E:E,0,)</f>
        <v>Fruit Flavor (Cherry, Grape, Apple, Citrus, Tropical Fruit)</v>
      </c>
      <c r="E1159" t="str">
        <f>_xlfn.XLOOKUP($A1159,Load!$B:$B,Load!F:F,0,)</f>
        <v>Lollipop (regular or lollipop rings)</v>
      </c>
      <c r="F1159" t="str">
        <f>_xlfn.XLOOKUP($A1159,Load!$B:$B,Load!G:G,0,)</f>
        <v>Single Pack</v>
      </c>
      <c r="G1159" t="str">
        <f>_xlfn.XLOOKUP($A1159,Load!$B:$B,Load!H:H,0,)</f>
        <v>Laydown Bag</v>
      </c>
      <c r="H1159" t="str">
        <f>_xlfn.XLOOKUP($A1159,Load!$B:$B,Load!I:I,0,)</f>
        <v>Everyday Candy Shapes (like Original, Gummy bear, Fruit, Jewels, etc.)</v>
      </c>
      <c r="I1159" t="str">
        <f>_xlfn.XLOOKUP($A1159,Load!$B:$B,Load!J:J,0,)</f>
        <v>Seasonal Graphics (Like Bat, Ghost, Pumpkin, Fall Leaves, Eyeballs, etc.)</v>
      </c>
      <c r="J1159" t="str">
        <f>_xlfn.XLOOKUP($A1159,Load!$B:$B,Load!K:K,0,)</f>
        <v>Regular Lollipop size (on sticks or rings)</v>
      </c>
      <c r="K1159" t="str">
        <f>_xlfn.XLOOKUP($A1159,Load!$B:$B,Load!L:L,0,)</f>
        <v>Regular/Original Wrapping</v>
      </c>
      <c r="L1159" t="str">
        <f>_xlfn.XLOOKUP($A1159,Load!$B:$B,Load!M:M,0,)</f>
        <v>Single Brand / Variety Flavors or Form</v>
      </c>
    </row>
    <row r="1160" spans="1:12" x14ac:dyDescent="0.25">
      <c r="A1160" t="s">
        <v>294</v>
      </c>
      <c r="B1160" t="str">
        <f>_xlfn.XLOOKUP($A1160,Load!$B:$B,Load!C:C,0,)</f>
        <v>Tootsie</v>
      </c>
      <c r="C1160" t="str">
        <f>_xlfn.XLOOKUP($A1160,Load!$B:$B,Load!D:D,0,)</f>
        <v>Non-Chocolate Candy Only</v>
      </c>
      <c r="D1160" t="str">
        <f>_xlfn.XLOOKUP($A1160,Load!$B:$B,Load!E:E,0,)</f>
        <v>Sweet</v>
      </c>
      <c r="E1160" t="str">
        <f>_xlfn.XLOOKUP($A1160,Load!$B:$B,Load!F:F,0,)</f>
        <v>Lollipop (regular or lollipop rings)</v>
      </c>
      <c r="F1160" t="str">
        <f>_xlfn.XLOOKUP($A1160,Load!$B:$B,Load!G:G,0,)</f>
        <v>Large Multipack (More than 80 ct)</v>
      </c>
      <c r="G1160" t="str">
        <f>_xlfn.XLOOKUP($A1160,Load!$B:$B,Load!H:H,0,)</f>
        <v>Laydown Bag</v>
      </c>
      <c r="H1160" t="str">
        <f>_xlfn.XLOOKUP($A1160,Load!$B:$B,Load!I:I,0,)</f>
        <v>Everyday Candy Shapes (like Original, Gummy bear, Fruit, Jewels, etc.)</v>
      </c>
      <c r="I1160" t="str">
        <f>_xlfn.XLOOKUP($A1160,Load!$B:$B,Load!J:J,0,)</f>
        <v>Everyday Graphics</v>
      </c>
      <c r="J1160" t="str">
        <f>_xlfn.XLOOKUP($A1160,Load!$B:$B,Load!K:K,0,)</f>
        <v>Regular Lollipop size (on sticks or rings)</v>
      </c>
      <c r="K1160" t="str">
        <f>_xlfn.XLOOKUP($A1160,Load!$B:$B,Load!L:L,0,)</f>
        <v>Regular/Original Wrapping</v>
      </c>
      <c r="L1160" t="str">
        <f>_xlfn.XLOOKUP($A1160,Load!$B:$B,Load!M:M,0,)</f>
        <v>Single Brand / Single Flavor or Form</v>
      </c>
    </row>
    <row r="1161" spans="1:12" x14ac:dyDescent="0.25">
      <c r="B1161">
        <f>_xlfn.XLOOKUP($A1161,Load!$B:$B,Load!C:C,0,)</f>
        <v>0</v>
      </c>
      <c r="C1161">
        <f>_xlfn.XLOOKUP($A1161,Load!$B:$B,Load!D:D,0,)</f>
        <v>0</v>
      </c>
      <c r="D1161">
        <f>_xlfn.XLOOKUP($A1161,Load!$B:$B,Load!E:E,0,)</f>
        <v>0</v>
      </c>
      <c r="E1161">
        <f>_xlfn.XLOOKUP($A1161,Load!$B:$B,Load!F:F,0,)</f>
        <v>0</v>
      </c>
      <c r="F1161">
        <f>_xlfn.XLOOKUP($A1161,Load!$B:$B,Load!G:G,0,)</f>
        <v>0</v>
      </c>
      <c r="G1161">
        <f>_xlfn.XLOOKUP($A1161,Load!$B:$B,Load!H:H,0,)</f>
        <v>0</v>
      </c>
      <c r="H1161">
        <f>_xlfn.XLOOKUP($A1161,Load!$B:$B,Load!I:I,0,)</f>
        <v>0</v>
      </c>
      <c r="I1161">
        <f>_xlfn.XLOOKUP($A1161,Load!$B:$B,Load!J:J,0,)</f>
        <v>0</v>
      </c>
      <c r="J1161">
        <f>_xlfn.XLOOKUP($A1161,Load!$B:$B,Load!K:K,0,)</f>
        <v>0</v>
      </c>
      <c r="K1161">
        <f>_xlfn.XLOOKUP($A1161,Load!$B:$B,Load!L:L,0,)</f>
        <v>0</v>
      </c>
      <c r="L1161">
        <f>_xlfn.XLOOKUP($A1161,Load!$B:$B,Load!M:M,0,)</f>
        <v>0</v>
      </c>
    </row>
    <row r="1162" spans="1:12" x14ac:dyDescent="0.25">
      <c r="B1162">
        <f>_xlfn.XLOOKUP($A1162,Load!$B:$B,Load!C:C,0,)</f>
        <v>0</v>
      </c>
      <c r="C1162">
        <f>_xlfn.XLOOKUP($A1162,Load!$B:$B,Load!D:D,0,)</f>
        <v>0</v>
      </c>
      <c r="D1162">
        <f>_xlfn.XLOOKUP($A1162,Load!$B:$B,Load!E:E,0,)</f>
        <v>0</v>
      </c>
      <c r="E1162">
        <f>_xlfn.XLOOKUP($A1162,Load!$B:$B,Load!F:F,0,)</f>
        <v>0</v>
      </c>
      <c r="F1162">
        <f>_xlfn.XLOOKUP($A1162,Load!$B:$B,Load!G:G,0,)</f>
        <v>0</v>
      </c>
      <c r="G1162">
        <f>_xlfn.XLOOKUP($A1162,Load!$B:$B,Load!H:H,0,)</f>
        <v>0</v>
      </c>
      <c r="H1162">
        <f>_xlfn.XLOOKUP($A1162,Load!$B:$B,Load!I:I,0,)</f>
        <v>0</v>
      </c>
      <c r="I1162">
        <f>_xlfn.XLOOKUP($A1162,Load!$B:$B,Load!J:J,0,)</f>
        <v>0</v>
      </c>
      <c r="J1162">
        <f>_xlfn.XLOOKUP($A1162,Load!$B:$B,Load!K:K,0,)</f>
        <v>0</v>
      </c>
      <c r="K1162">
        <f>_xlfn.XLOOKUP($A1162,Load!$B:$B,Load!L:L,0,)</f>
        <v>0</v>
      </c>
      <c r="L1162">
        <f>_xlfn.XLOOKUP($A1162,Load!$B:$B,Load!M:M,0,)</f>
        <v>0</v>
      </c>
    </row>
    <row r="1163" spans="1:12" x14ac:dyDescent="0.25">
      <c r="B1163">
        <f>_xlfn.XLOOKUP($A1163,Load!$B:$B,Load!C:C,0,)</f>
        <v>0</v>
      </c>
      <c r="C1163">
        <f>_xlfn.XLOOKUP($A1163,Load!$B:$B,Load!D:D,0,)</f>
        <v>0</v>
      </c>
      <c r="D1163">
        <f>_xlfn.XLOOKUP($A1163,Load!$B:$B,Load!E:E,0,)</f>
        <v>0</v>
      </c>
      <c r="E1163">
        <f>_xlfn.XLOOKUP($A1163,Load!$B:$B,Load!F:F,0,)</f>
        <v>0</v>
      </c>
      <c r="F1163">
        <f>_xlfn.XLOOKUP($A1163,Load!$B:$B,Load!G:G,0,)</f>
        <v>0</v>
      </c>
      <c r="G1163">
        <f>_xlfn.XLOOKUP($A1163,Load!$B:$B,Load!H:H,0,)</f>
        <v>0</v>
      </c>
      <c r="H1163">
        <f>_xlfn.XLOOKUP($A1163,Load!$B:$B,Load!I:I,0,)</f>
        <v>0</v>
      </c>
      <c r="I1163">
        <f>_xlfn.XLOOKUP($A1163,Load!$B:$B,Load!J:J,0,)</f>
        <v>0</v>
      </c>
      <c r="J1163">
        <f>_xlfn.XLOOKUP($A1163,Load!$B:$B,Load!K:K,0,)</f>
        <v>0</v>
      </c>
      <c r="K1163">
        <f>_xlfn.XLOOKUP($A1163,Load!$B:$B,Load!L:L,0,)</f>
        <v>0</v>
      </c>
      <c r="L1163">
        <f>_xlfn.XLOOKUP($A1163,Load!$B:$B,Load!M:M,0,)</f>
        <v>0</v>
      </c>
    </row>
    <row r="1164" spans="1:12" x14ac:dyDescent="0.25">
      <c r="A1164" t="s">
        <v>207</v>
      </c>
      <c r="B1164" t="str">
        <f>_xlfn.XLOOKUP($A1164,Load!$B:$B,Load!C:C,0,)</f>
        <v>Mars Variety Pack</v>
      </c>
      <c r="C1164" t="str">
        <f>_xlfn.XLOOKUP($A1164,Load!$B:$B,Load!D:D,0,)</f>
        <v>Mix of Chocolate and Non-Chocolate Candy</v>
      </c>
      <c r="D1164" t="str">
        <f>_xlfn.XLOOKUP($A1164,Load!$B:$B,Load!E:E,0,)</f>
        <v>Variety / Mixed Flavors (Fruity, Sour, Seasonal Flavors)</v>
      </c>
      <c r="E1164" t="str">
        <f>_xlfn.XLOOKUP($A1164,Load!$B:$B,Load!F:F,0,)</f>
        <v>Mixed / Combo Packs (Gummy, Chewy, Taffy, etc.)</v>
      </c>
      <c r="F1164" t="str">
        <f>_xlfn.XLOOKUP($A1164,Load!$B:$B,Load!G:G,0,)</f>
        <v>Large Multipack (More than 80 ct)</v>
      </c>
      <c r="G1164" t="str">
        <f>_xlfn.XLOOKUP($A1164,Load!$B:$B,Load!H:H,0,)</f>
        <v>Stand-Up Bag</v>
      </c>
      <c r="H1164" t="str">
        <f>_xlfn.XLOOKUP($A1164,Load!$B:$B,Load!I:I,0,)</f>
        <v>Everyday Candy Shapes (like Original, Gummy bear, Fruit, Jewels, etc.)</v>
      </c>
      <c r="I1164" t="str">
        <f>_xlfn.XLOOKUP($A1164,Load!$B:$B,Load!J:J,0,)</f>
        <v>Everyday Graphics</v>
      </c>
      <c r="J1164" t="str">
        <f>_xlfn.XLOOKUP($A1164,Load!$B:$B,Load!K:K,0,)</f>
        <v>Fun Size / Treat Size</v>
      </c>
      <c r="K1164" t="str">
        <f>_xlfn.XLOOKUP($A1164,Load!$B:$B,Load!L:L,0,)</f>
        <v>Regular/Original Wrapping</v>
      </c>
      <c r="L1164" t="str">
        <f>_xlfn.XLOOKUP($A1164,Load!$B:$B,Load!M:M,0,)</f>
        <v>Multiple Brands / Variety Flavors or Form</v>
      </c>
    </row>
    <row r="1165" spans="1:12" x14ac:dyDescent="0.25">
      <c r="A1165" t="s">
        <v>172</v>
      </c>
      <c r="B1165" t="str">
        <f>_xlfn.XLOOKUP($A1165,Load!$B:$B,Load!C:C,0,)</f>
        <v>Mars Variety Pack</v>
      </c>
      <c r="C1165" t="str">
        <f>_xlfn.XLOOKUP($A1165,Load!$B:$B,Load!D:D,0,)</f>
        <v>Non-Chocolate Candy Only</v>
      </c>
      <c r="D1165" t="str">
        <f>_xlfn.XLOOKUP($A1165,Load!$B:$B,Load!E:E,0,)</f>
        <v>Variety / Mixed Flavors (Fruity, Sour, Seasonal Flavors)</v>
      </c>
      <c r="E1165" t="str">
        <f>_xlfn.XLOOKUP($A1165,Load!$B:$B,Load!F:F,0,)</f>
        <v>Mixed / Combo Packs (Gummy, Chewy, Taffy, etc.)</v>
      </c>
      <c r="F1165" t="str">
        <f>_xlfn.XLOOKUP($A1165,Load!$B:$B,Load!G:G,0,)</f>
        <v>Small Multipack (Less than 40 ct)</v>
      </c>
      <c r="G1165" t="str">
        <f>_xlfn.XLOOKUP($A1165,Load!$B:$B,Load!H:H,0,)</f>
        <v>Laydown Bag</v>
      </c>
      <c r="H1165" t="str">
        <f>_xlfn.XLOOKUP($A1165,Load!$B:$B,Load!I:I,0,)</f>
        <v>Everyday Candy Shapes (like Original, Gummy bear, Fruit, Jewels, etc.)</v>
      </c>
      <c r="I1165" t="str">
        <f>_xlfn.XLOOKUP($A1165,Load!$B:$B,Load!J:J,0,)</f>
        <v>Seasonal Graphics (Like Bat, Ghost, Pumpkin, Fall Leaves, Eyeballs, etc.)</v>
      </c>
      <c r="J1165" t="str">
        <f>_xlfn.XLOOKUP($A1165,Load!$B:$B,Load!K:K,0,)</f>
        <v>Fun Size / Treat Size</v>
      </c>
      <c r="K1165" t="str">
        <f>_xlfn.XLOOKUP($A1165,Load!$B:$B,Load!L:L,0,)</f>
        <v>Regular/Original Wrapping</v>
      </c>
      <c r="L1165" t="str">
        <f>_xlfn.XLOOKUP($A1165,Load!$B:$B,Load!M:M,0,)</f>
        <v>Multiple Brands / Variety Flavors or Form</v>
      </c>
    </row>
    <row r="1166" spans="1:12" x14ac:dyDescent="0.25">
      <c r="A1166" t="s">
        <v>188</v>
      </c>
      <c r="B1166" t="str">
        <f>_xlfn.XLOOKUP($A1166,Load!$B:$B,Load!C:C,0,)</f>
        <v>Mars Variety Pack</v>
      </c>
      <c r="C1166" t="str">
        <f>_xlfn.XLOOKUP($A1166,Load!$B:$B,Load!D:D,0,)</f>
        <v>Non-Chocolate Candy Only</v>
      </c>
      <c r="D1166" t="str">
        <f>_xlfn.XLOOKUP($A1166,Load!$B:$B,Load!E:E,0,)</f>
        <v>Variety / Mixed Flavors (Fruity, Sour, Seasonal Flavors)</v>
      </c>
      <c r="E1166" t="str">
        <f>_xlfn.XLOOKUP($A1166,Load!$B:$B,Load!F:F,0,)</f>
        <v>Mixed / Combo Packs (Gummy, Chewy, Taffy, etc.)</v>
      </c>
      <c r="F1166" t="str">
        <f>_xlfn.XLOOKUP($A1166,Load!$B:$B,Load!G:G,0,)</f>
        <v>Large Multipack (More than 80 ct)</v>
      </c>
      <c r="G1166" t="str">
        <f>_xlfn.XLOOKUP($A1166,Load!$B:$B,Load!H:H,0,)</f>
        <v>Laydown Bag</v>
      </c>
      <c r="H1166" t="str">
        <f>_xlfn.XLOOKUP($A1166,Load!$B:$B,Load!I:I,0,)</f>
        <v>Everyday Candy Shapes (like Original, Gummy bear, Fruit, Jewels, etc.)</v>
      </c>
      <c r="I1166" t="str">
        <f>_xlfn.XLOOKUP($A1166,Load!$B:$B,Load!J:J,0,)</f>
        <v>Everyday Graphics</v>
      </c>
      <c r="J1166" t="str">
        <f>_xlfn.XLOOKUP($A1166,Load!$B:$B,Load!K:K,0,)</f>
        <v>Small Pieces (Tiny bite size candies)</v>
      </c>
      <c r="K1166" t="str">
        <f>_xlfn.XLOOKUP($A1166,Load!$B:$B,Load!L:L,0,)</f>
        <v>Regular/Original Wrapping</v>
      </c>
      <c r="L1166" t="str">
        <f>_xlfn.XLOOKUP($A1166,Load!$B:$B,Load!M:M,0,)</f>
        <v>Multiple Brands / Variety Flavors or Form</v>
      </c>
    </row>
    <row r="1167" spans="1:12" x14ac:dyDescent="0.25">
      <c r="A1167" t="s">
        <v>104</v>
      </c>
      <c r="B1167" t="str">
        <f>_xlfn.XLOOKUP($A1167,Load!$B:$B,Load!C:C,0,)</f>
        <v>Frankford</v>
      </c>
      <c r="C1167" t="str">
        <f>_xlfn.XLOOKUP($A1167,Load!$B:$B,Load!D:D,0,)</f>
        <v>Non-Chocolate Candy Only</v>
      </c>
      <c r="D1167" t="str">
        <f>_xlfn.XLOOKUP($A1167,Load!$B:$B,Load!E:E,0,)</f>
        <v>Variety / Mixed Flavors (Fruity, Sour, Seasonal Flavors)</v>
      </c>
      <c r="E1167" t="str">
        <f>_xlfn.XLOOKUP($A1167,Load!$B:$B,Load!F:F,0,)</f>
        <v>Mixed / Combo Packs (Gummy, Chewy, Taffy, etc.)</v>
      </c>
      <c r="F1167" t="str">
        <f>_xlfn.XLOOKUP($A1167,Load!$B:$B,Load!G:G,0,)</f>
        <v>Large Multipack (More than 80 ct)</v>
      </c>
      <c r="G1167" t="str">
        <f>_xlfn.XLOOKUP($A1167,Load!$B:$B,Load!H:H,0,)</f>
        <v>Stand-Up Bag</v>
      </c>
      <c r="H1167" t="str">
        <f>_xlfn.XLOOKUP($A1167,Load!$B:$B,Load!I:I,0,)</f>
        <v>Seasonal Shapes (like pumpkins, candy corn, ghost, bats, etc.)</v>
      </c>
      <c r="I1167" t="str">
        <f>_xlfn.XLOOKUP($A1167,Load!$B:$B,Load!J:J,0,)</f>
        <v>Seasonal Graphics (Like Bat, Ghost, Pumpkin, Fall Leaves, Eyeballs, etc.)</v>
      </c>
      <c r="J1167" t="str">
        <f>_xlfn.XLOOKUP($A1167,Load!$B:$B,Load!K:K,0,)</f>
        <v xml:space="preserve">Variety Candy Sizes </v>
      </c>
      <c r="K1167" t="str">
        <f>_xlfn.XLOOKUP($A1167,Load!$B:$B,Load!L:L,0,)</f>
        <v>Regular/Original Wrapping</v>
      </c>
      <c r="L1167" t="str">
        <f>_xlfn.XLOOKUP($A1167,Load!$B:$B,Load!M:M,0,)</f>
        <v>Multiple Brands / Variety Flavors or Form</v>
      </c>
    </row>
    <row r="1168" spans="1:12" x14ac:dyDescent="0.25">
      <c r="A1168" t="s">
        <v>144</v>
      </c>
      <c r="B1168" t="str">
        <f>_xlfn.XLOOKUP($A1168,Load!$B:$B,Load!C:C,0,)</f>
        <v>Hershey's Variety Pack + Haribo</v>
      </c>
      <c r="C1168" t="str">
        <f>_xlfn.XLOOKUP($A1168,Load!$B:$B,Load!D:D,0,)</f>
        <v>Mix of Chocolate and Non-Chocolate Candy</v>
      </c>
      <c r="D1168" t="str">
        <f>_xlfn.XLOOKUP($A1168,Load!$B:$B,Load!E:E,0,)</f>
        <v>Variety / Mixed Flavors (Fruity, Sour, Seasonal Flavors)</v>
      </c>
      <c r="E1168" t="str">
        <f>_xlfn.XLOOKUP($A1168,Load!$B:$B,Load!F:F,0,)</f>
        <v>Mixed / Combo Packs (Gummy, Chewy, Taffy, etc.)</v>
      </c>
      <c r="F1168" t="str">
        <f>_xlfn.XLOOKUP($A1168,Load!$B:$B,Load!G:G,0,)</f>
        <v>Large Multipack (More than 80 ct)</v>
      </c>
      <c r="G1168" t="str">
        <f>_xlfn.XLOOKUP($A1168,Load!$B:$B,Load!H:H,0,)</f>
        <v>Stand-Up Bag</v>
      </c>
      <c r="H1168" t="str">
        <f>_xlfn.XLOOKUP($A1168,Load!$B:$B,Load!I:I,0,)</f>
        <v>Everyday Candy Shapes (like Original, Gummy bear, Fruit, Jewels, etc.)</v>
      </c>
      <c r="I1168" t="str">
        <f>_xlfn.XLOOKUP($A1168,Load!$B:$B,Load!J:J,0,)</f>
        <v>Seasonal Graphics (Like Bat, Ghost, Pumpkin, Fall Leaves, Eyeballs, etc.)</v>
      </c>
      <c r="J1168" t="str">
        <f>_xlfn.XLOOKUP($A1168,Load!$B:$B,Load!K:K,0,)</f>
        <v>Fun Size / Treat Size</v>
      </c>
      <c r="K1168" t="str">
        <f>_xlfn.XLOOKUP($A1168,Load!$B:$B,Load!L:L,0,)</f>
        <v>Regular/Original Wrapping</v>
      </c>
      <c r="L1168" t="str">
        <f>_xlfn.XLOOKUP($A1168,Load!$B:$B,Load!M:M,0,)</f>
        <v>Multiple Brands / Variety Flavors or Form</v>
      </c>
    </row>
    <row r="1169" spans="1:12" x14ac:dyDescent="0.25">
      <c r="B1169">
        <f>_xlfn.XLOOKUP($A1169,Load!$B:$B,Load!C:C,0,)</f>
        <v>0</v>
      </c>
      <c r="C1169">
        <f>_xlfn.XLOOKUP($A1169,Load!$B:$B,Load!D:D,0,)</f>
        <v>0</v>
      </c>
      <c r="D1169">
        <f>_xlfn.XLOOKUP($A1169,Load!$B:$B,Load!E:E,0,)</f>
        <v>0</v>
      </c>
      <c r="E1169">
        <f>_xlfn.XLOOKUP($A1169,Load!$B:$B,Load!F:F,0,)</f>
        <v>0</v>
      </c>
      <c r="F1169">
        <f>_xlfn.XLOOKUP($A1169,Load!$B:$B,Load!G:G,0,)</f>
        <v>0</v>
      </c>
      <c r="G1169">
        <f>_xlfn.XLOOKUP($A1169,Load!$B:$B,Load!H:H,0,)</f>
        <v>0</v>
      </c>
      <c r="H1169">
        <f>_xlfn.XLOOKUP($A1169,Load!$B:$B,Load!I:I,0,)</f>
        <v>0</v>
      </c>
      <c r="I1169">
        <f>_xlfn.XLOOKUP($A1169,Load!$B:$B,Load!J:J,0,)</f>
        <v>0</v>
      </c>
      <c r="J1169">
        <f>_xlfn.XLOOKUP($A1169,Load!$B:$B,Load!K:K,0,)</f>
        <v>0</v>
      </c>
      <c r="K1169">
        <f>_xlfn.XLOOKUP($A1169,Load!$B:$B,Load!L:L,0,)</f>
        <v>0</v>
      </c>
      <c r="L1169">
        <f>_xlfn.XLOOKUP($A1169,Load!$B:$B,Load!M:M,0,)</f>
        <v>0</v>
      </c>
    </row>
    <row r="1170" spans="1:12" x14ac:dyDescent="0.25">
      <c r="A1170" t="s">
        <v>175</v>
      </c>
      <c r="B1170" t="str">
        <f>_xlfn.XLOOKUP($A1170,Load!$B:$B,Load!C:C,0,)</f>
        <v>Mars Variety Pack</v>
      </c>
      <c r="C1170" t="str">
        <f>_xlfn.XLOOKUP($A1170,Load!$B:$B,Load!D:D,0,)</f>
        <v>Mix of Chocolate and Non-Chocolate Candy</v>
      </c>
      <c r="D1170" t="str">
        <f>_xlfn.XLOOKUP($A1170,Load!$B:$B,Load!E:E,0,)</f>
        <v>Variety / Mixed Flavors (Fruity, Sour, Seasonal Flavors)</v>
      </c>
      <c r="E1170" t="str">
        <f>_xlfn.XLOOKUP($A1170,Load!$B:$B,Load!F:F,0,)</f>
        <v>Mixed / Combo Packs (Gummy, Chewy, Taffy, etc.)</v>
      </c>
      <c r="F1170" t="str">
        <f>_xlfn.XLOOKUP($A1170,Load!$B:$B,Load!G:G,0,)</f>
        <v>Large Multipack (More than 80 ct)</v>
      </c>
      <c r="G1170" t="str">
        <f>_xlfn.XLOOKUP($A1170,Load!$B:$B,Load!H:H,0,)</f>
        <v>Stand-Up Bag</v>
      </c>
      <c r="H1170" t="str">
        <f>_xlfn.XLOOKUP($A1170,Load!$B:$B,Load!I:I,0,)</f>
        <v>Everyday Candy Shapes (like Original, Gummy bear, Fruit, Jewels, etc.)</v>
      </c>
      <c r="I1170" t="str">
        <f>_xlfn.XLOOKUP($A1170,Load!$B:$B,Load!J:J,0,)</f>
        <v>Seasonal Graphics (Like Bat, Ghost, Pumpkin, Fall Leaves, Eyeballs, etc.)</v>
      </c>
      <c r="J1170" t="str">
        <f>_xlfn.XLOOKUP($A1170,Load!$B:$B,Load!K:K,0,)</f>
        <v xml:space="preserve">Variety Candy Sizes </v>
      </c>
      <c r="K1170" t="str">
        <f>_xlfn.XLOOKUP($A1170,Load!$B:$B,Load!L:L,0,)</f>
        <v>Regular/Original Wrapping</v>
      </c>
      <c r="L1170" t="str">
        <f>_xlfn.XLOOKUP($A1170,Load!$B:$B,Load!M:M,0,)</f>
        <v>Multiple Brands / Variety Flavors or Form</v>
      </c>
    </row>
    <row r="1171" spans="1:12" x14ac:dyDescent="0.25">
      <c r="A1171" t="s">
        <v>186</v>
      </c>
      <c r="B1171" t="str">
        <f>_xlfn.XLOOKUP($A1171,Load!$B:$B,Load!C:C,0,)</f>
        <v>Mars Variety Pack</v>
      </c>
      <c r="C1171" t="str">
        <f>_xlfn.XLOOKUP($A1171,Load!$B:$B,Load!D:D,0,)</f>
        <v>Mix of Chocolate and Non-Chocolate Candy</v>
      </c>
      <c r="D1171" t="str">
        <f>_xlfn.XLOOKUP($A1171,Load!$B:$B,Load!E:E,0,)</f>
        <v>Variety / Mixed Flavors (Fruity, Sour, Seasonal Flavors)</v>
      </c>
      <c r="E1171" t="str">
        <f>_xlfn.XLOOKUP($A1171,Load!$B:$B,Load!F:F,0,)</f>
        <v>Mixed / Combo Packs (Gummy, Chewy, Taffy, etc.)</v>
      </c>
      <c r="F1171" t="str">
        <f>_xlfn.XLOOKUP($A1171,Load!$B:$B,Load!G:G,0,)</f>
        <v>Large Multipack (More than 80 ct)</v>
      </c>
      <c r="G1171" t="str">
        <f>_xlfn.XLOOKUP($A1171,Load!$B:$B,Load!H:H,0,)</f>
        <v>Stand-Up Bag</v>
      </c>
      <c r="H1171" t="str">
        <f>_xlfn.XLOOKUP($A1171,Load!$B:$B,Load!I:I,0,)</f>
        <v>Everyday Candy Shapes (like Original, Gummy bear, Fruit, Jewels, etc.)</v>
      </c>
      <c r="I1171" t="str">
        <f>_xlfn.XLOOKUP($A1171,Load!$B:$B,Load!J:J,0,)</f>
        <v>Seasonal Graphics (Like Bat, Ghost, Pumpkin, Fall Leaves, Eyeballs, etc.)</v>
      </c>
      <c r="J1171" t="str">
        <f>_xlfn.XLOOKUP($A1171,Load!$B:$B,Load!K:K,0,)</f>
        <v>Fun Size / Treat Size</v>
      </c>
      <c r="K1171" t="str">
        <f>_xlfn.XLOOKUP($A1171,Load!$B:$B,Load!L:L,0,)</f>
        <v>Regular/Original Wrapping</v>
      </c>
      <c r="L1171" t="str">
        <f>_xlfn.XLOOKUP($A1171,Load!$B:$B,Load!M:M,0,)</f>
        <v>Multiple Brands / Variety Flavors or Form</v>
      </c>
    </row>
    <row r="1172" spans="1:12" x14ac:dyDescent="0.25">
      <c r="A1172" t="s">
        <v>264</v>
      </c>
      <c r="B1172" t="str">
        <f>_xlfn.XLOOKUP($A1172,Load!$B:$B,Load!C:C,0,)</f>
        <v>Smarties</v>
      </c>
      <c r="C1172" t="str">
        <f>_xlfn.XLOOKUP($A1172,Load!$B:$B,Load!D:D,0,)</f>
        <v>Non-Chocolate Candy Only</v>
      </c>
      <c r="D1172" t="str">
        <f>_xlfn.XLOOKUP($A1172,Load!$B:$B,Load!E:E,0,)</f>
        <v>Fruit Flavor (Cherry, Grape, Apple, Citrus, Tropical Fruit)</v>
      </c>
      <c r="E1172" t="str">
        <f>_xlfn.XLOOKUP($A1172,Load!$B:$B,Load!F:F,0,)</f>
        <v>Powder / Chalky</v>
      </c>
      <c r="F1172" t="str">
        <f>_xlfn.XLOOKUP($A1172,Load!$B:$B,Load!G:G,0,)</f>
        <v>Single Pack</v>
      </c>
      <c r="G1172" t="str">
        <f>_xlfn.XLOOKUP($A1172,Load!$B:$B,Load!H:H,0,)</f>
        <v>Laydown Bag</v>
      </c>
      <c r="H1172" t="str">
        <f>_xlfn.XLOOKUP($A1172,Load!$B:$B,Load!I:I,0,)</f>
        <v>Everyday Candy Shapes (like Original, Gummy bear, Fruit, Jewels, etc.)</v>
      </c>
      <c r="I1172" t="str">
        <f>_xlfn.XLOOKUP($A1172,Load!$B:$B,Load!J:J,0,)</f>
        <v>Everyday Graphics</v>
      </c>
      <c r="J1172" t="str">
        <f>_xlfn.XLOOKUP($A1172,Load!$B:$B,Load!K:K,0,)</f>
        <v>Small Pieces (Tiny bite size candies)</v>
      </c>
      <c r="K1172" t="str">
        <f>_xlfn.XLOOKUP($A1172,Load!$B:$B,Load!L:L,0,)</f>
        <v>Regular/Original Wrapping</v>
      </c>
      <c r="L1172" t="str">
        <f>_xlfn.XLOOKUP($A1172,Load!$B:$B,Load!M:M,0,)</f>
        <v>Single Brand / Single Flavor or Form</v>
      </c>
    </row>
    <row r="1173" spans="1:12" x14ac:dyDescent="0.25">
      <c r="A1173" t="s">
        <v>266</v>
      </c>
      <c r="B1173" t="str">
        <f>_xlfn.XLOOKUP($A1173,Load!$B:$B,Load!C:C,0,)</f>
        <v>Smarties</v>
      </c>
      <c r="C1173" t="str">
        <f>_xlfn.XLOOKUP($A1173,Load!$B:$B,Load!D:D,0,)</f>
        <v>Non-Chocolate Candy Only</v>
      </c>
      <c r="D1173" t="str">
        <f>_xlfn.XLOOKUP($A1173,Load!$B:$B,Load!E:E,0,)</f>
        <v>Fruit Flavor (Cherry, Grape, Apple, Citrus, Tropical Fruit)</v>
      </c>
      <c r="E1173" t="str">
        <f>_xlfn.XLOOKUP($A1173,Load!$B:$B,Load!F:F,0,)</f>
        <v>Powder / Chalky</v>
      </c>
      <c r="F1173" t="str">
        <f>_xlfn.XLOOKUP($A1173,Load!$B:$B,Load!G:G,0,)</f>
        <v>Small Multipack (Less than 40 ct)</v>
      </c>
      <c r="G1173" t="str">
        <f>_xlfn.XLOOKUP($A1173,Load!$B:$B,Load!H:H,0,)</f>
        <v>Laydown Bag</v>
      </c>
      <c r="H1173" t="str">
        <f>_xlfn.XLOOKUP($A1173,Load!$B:$B,Load!I:I,0,)</f>
        <v>Everyday Candy Shapes (like Original, Gummy bear, Fruit, Jewels, etc.)</v>
      </c>
      <c r="I1173" t="str">
        <f>_xlfn.XLOOKUP($A1173,Load!$B:$B,Load!J:J,0,)</f>
        <v>Seasonal Graphics (Like Bat, Ghost, Pumpkin, Fall Leaves, Eyeballs, etc.)</v>
      </c>
      <c r="J1173" t="str">
        <f>_xlfn.XLOOKUP($A1173,Load!$B:$B,Load!K:K,0,)</f>
        <v>Small Pieces (Tiny bite size candies)</v>
      </c>
      <c r="K1173" t="str">
        <f>_xlfn.XLOOKUP($A1173,Load!$B:$B,Load!L:L,0,)</f>
        <v>Regular/Original Wrapping</v>
      </c>
      <c r="L1173" t="str">
        <f>_xlfn.XLOOKUP($A1173,Load!$B:$B,Load!M:M,0,)</f>
        <v>Single Brand / Single Flavor or Form</v>
      </c>
    </row>
    <row r="1174" spans="1:12" x14ac:dyDescent="0.25">
      <c r="B1174">
        <f>_xlfn.XLOOKUP($A1174,Load!$B:$B,Load!C:C,0,)</f>
        <v>0</v>
      </c>
      <c r="C1174">
        <f>_xlfn.XLOOKUP($A1174,Load!$B:$B,Load!D:D,0,)</f>
        <v>0</v>
      </c>
      <c r="D1174">
        <f>_xlfn.XLOOKUP($A1174,Load!$B:$B,Load!E:E,0,)</f>
        <v>0</v>
      </c>
      <c r="E1174">
        <f>_xlfn.XLOOKUP($A1174,Load!$B:$B,Load!F:F,0,)</f>
        <v>0</v>
      </c>
      <c r="F1174">
        <f>_xlfn.XLOOKUP($A1174,Load!$B:$B,Load!G:G,0,)</f>
        <v>0</v>
      </c>
      <c r="G1174">
        <f>_xlfn.XLOOKUP($A1174,Load!$B:$B,Load!H:H,0,)</f>
        <v>0</v>
      </c>
      <c r="H1174">
        <f>_xlfn.XLOOKUP($A1174,Load!$B:$B,Load!I:I,0,)</f>
        <v>0</v>
      </c>
      <c r="I1174">
        <f>_xlfn.XLOOKUP($A1174,Load!$B:$B,Load!J:J,0,)</f>
        <v>0</v>
      </c>
      <c r="J1174">
        <f>_xlfn.XLOOKUP($A1174,Load!$B:$B,Load!K:K,0,)</f>
        <v>0</v>
      </c>
      <c r="K1174">
        <f>_xlfn.XLOOKUP($A1174,Load!$B:$B,Load!L:L,0,)</f>
        <v>0</v>
      </c>
      <c r="L1174">
        <f>_xlfn.XLOOKUP($A1174,Load!$B:$B,Load!M:M,0,)</f>
        <v>0</v>
      </c>
    </row>
    <row r="1175" spans="1:12" x14ac:dyDescent="0.25">
      <c r="B1175">
        <f>_xlfn.XLOOKUP($A1175,Load!$B:$B,Load!C:C,0,)</f>
        <v>0</v>
      </c>
      <c r="C1175">
        <f>_xlfn.XLOOKUP($A1175,Load!$B:$B,Load!D:D,0,)</f>
        <v>0</v>
      </c>
      <c r="D1175">
        <f>_xlfn.XLOOKUP($A1175,Load!$B:$B,Load!E:E,0,)</f>
        <v>0</v>
      </c>
      <c r="E1175">
        <f>_xlfn.XLOOKUP($A1175,Load!$B:$B,Load!F:F,0,)</f>
        <v>0</v>
      </c>
      <c r="F1175">
        <f>_xlfn.XLOOKUP($A1175,Load!$B:$B,Load!G:G,0,)</f>
        <v>0</v>
      </c>
      <c r="G1175">
        <f>_xlfn.XLOOKUP($A1175,Load!$B:$B,Load!H:H,0,)</f>
        <v>0</v>
      </c>
      <c r="H1175">
        <f>_xlfn.XLOOKUP($A1175,Load!$B:$B,Load!I:I,0,)</f>
        <v>0</v>
      </c>
      <c r="I1175">
        <f>_xlfn.XLOOKUP($A1175,Load!$B:$B,Load!J:J,0,)</f>
        <v>0</v>
      </c>
      <c r="J1175">
        <f>_xlfn.XLOOKUP($A1175,Load!$B:$B,Load!K:K,0,)</f>
        <v>0</v>
      </c>
      <c r="K1175">
        <f>_xlfn.XLOOKUP($A1175,Load!$B:$B,Load!L:L,0,)</f>
        <v>0</v>
      </c>
      <c r="L1175">
        <f>_xlfn.XLOOKUP($A1175,Load!$B:$B,Load!M:M,0,)</f>
        <v>0</v>
      </c>
    </row>
    <row r="1176" spans="1:12" x14ac:dyDescent="0.25">
      <c r="B1176">
        <f>_xlfn.XLOOKUP($A1176,Load!$B:$B,Load!C:C,0,)</f>
        <v>0</v>
      </c>
      <c r="C1176">
        <f>_xlfn.XLOOKUP($A1176,Load!$B:$B,Load!D:D,0,)</f>
        <v>0</v>
      </c>
      <c r="D1176">
        <f>_xlfn.XLOOKUP($A1176,Load!$B:$B,Load!E:E,0,)</f>
        <v>0</v>
      </c>
      <c r="E1176">
        <f>_xlfn.XLOOKUP($A1176,Load!$B:$B,Load!F:F,0,)</f>
        <v>0</v>
      </c>
      <c r="F1176">
        <f>_xlfn.XLOOKUP($A1176,Load!$B:$B,Load!G:G,0,)</f>
        <v>0</v>
      </c>
      <c r="G1176">
        <f>_xlfn.XLOOKUP($A1176,Load!$B:$B,Load!H:H,0,)</f>
        <v>0</v>
      </c>
      <c r="H1176">
        <f>_xlfn.XLOOKUP($A1176,Load!$B:$B,Load!I:I,0,)</f>
        <v>0</v>
      </c>
      <c r="I1176">
        <f>_xlfn.XLOOKUP($A1176,Load!$B:$B,Load!J:J,0,)</f>
        <v>0</v>
      </c>
      <c r="J1176">
        <f>_xlfn.XLOOKUP($A1176,Load!$B:$B,Load!K:K,0,)</f>
        <v>0</v>
      </c>
      <c r="K1176">
        <f>_xlfn.XLOOKUP($A1176,Load!$B:$B,Load!L:L,0,)</f>
        <v>0</v>
      </c>
      <c r="L1176">
        <f>_xlfn.XLOOKUP($A1176,Load!$B:$B,Load!M:M,0,)</f>
        <v>0</v>
      </c>
    </row>
    <row r="1177" spans="1:12" x14ac:dyDescent="0.25">
      <c r="B1177">
        <f>_xlfn.XLOOKUP($A1177,Load!$B:$B,Load!C:C,0,)</f>
        <v>0</v>
      </c>
      <c r="C1177">
        <f>_xlfn.XLOOKUP($A1177,Load!$B:$B,Load!D:D,0,)</f>
        <v>0</v>
      </c>
      <c r="D1177">
        <f>_xlfn.XLOOKUP($A1177,Load!$B:$B,Load!E:E,0,)</f>
        <v>0</v>
      </c>
      <c r="E1177">
        <f>_xlfn.XLOOKUP($A1177,Load!$B:$B,Load!F:F,0,)</f>
        <v>0</v>
      </c>
      <c r="F1177">
        <f>_xlfn.XLOOKUP($A1177,Load!$B:$B,Load!G:G,0,)</f>
        <v>0</v>
      </c>
      <c r="G1177">
        <f>_xlfn.XLOOKUP($A1177,Load!$B:$B,Load!H:H,0,)</f>
        <v>0</v>
      </c>
      <c r="H1177">
        <f>_xlfn.XLOOKUP($A1177,Load!$B:$B,Load!I:I,0,)</f>
        <v>0</v>
      </c>
      <c r="I1177">
        <f>_xlfn.XLOOKUP($A1177,Load!$B:$B,Load!J:J,0,)</f>
        <v>0</v>
      </c>
      <c r="J1177">
        <f>_xlfn.XLOOKUP($A1177,Load!$B:$B,Load!K:K,0,)</f>
        <v>0</v>
      </c>
      <c r="K1177">
        <f>_xlfn.XLOOKUP($A1177,Load!$B:$B,Load!L:L,0,)</f>
        <v>0</v>
      </c>
      <c r="L1177">
        <f>_xlfn.XLOOKUP($A1177,Load!$B:$B,Load!M:M,0,)</f>
        <v>0</v>
      </c>
    </row>
    <row r="1178" spans="1:12" x14ac:dyDescent="0.25">
      <c r="A1178" t="s">
        <v>68</v>
      </c>
      <c r="B1178" t="str">
        <f>_xlfn.XLOOKUP($A1178,Load!$B:$B,Load!C:C,0,)</f>
        <v>Dum Dums</v>
      </c>
      <c r="C1178" t="str">
        <f>_xlfn.XLOOKUP($A1178,Load!$B:$B,Load!D:D,0,)</f>
        <v>Non-Chocolate Candy Only</v>
      </c>
      <c r="D1178" t="str">
        <f>_xlfn.XLOOKUP($A1178,Load!$B:$B,Load!E:E,0,)</f>
        <v>Fruit Flavor (Cherry, Grape, Apple, Citrus, Tropical Fruit)</v>
      </c>
      <c r="E1178" t="str">
        <f>_xlfn.XLOOKUP($A1178,Load!$B:$B,Load!F:F,0,)</f>
        <v>Lollipop (regular or lollipop rings)</v>
      </c>
      <c r="F1178" t="str">
        <f>_xlfn.XLOOKUP($A1178,Load!$B:$B,Load!G:G,0,)</f>
        <v>Single Pack</v>
      </c>
      <c r="G1178" t="str">
        <f>_xlfn.XLOOKUP($A1178,Load!$B:$B,Load!H:H,0,)</f>
        <v>Laydown Bag</v>
      </c>
      <c r="H1178" t="str">
        <f>_xlfn.XLOOKUP($A1178,Load!$B:$B,Load!I:I,0,)</f>
        <v>Everyday Candy Shapes (like Original, Gummy bear, Fruit, Jewels, etc.)</v>
      </c>
      <c r="I1178" t="str">
        <f>_xlfn.XLOOKUP($A1178,Load!$B:$B,Load!J:J,0,)</f>
        <v>Seasonal Graphics (Like Bat, Ghost, Pumpkin, Fall Leaves, Eyeballs, etc.)</v>
      </c>
      <c r="J1178" t="str">
        <f>_xlfn.XLOOKUP($A1178,Load!$B:$B,Load!K:K,0,)</f>
        <v>Regular Lollipop size (on sticks or rings)</v>
      </c>
      <c r="K1178" t="str">
        <f>_xlfn.XLOOKUP($A1178,Load!$B:$B,Load!L:L,0,)</f>
        <v>Regular/Original Wrapping</v>
      </c>
      <c r="L1178" t="str">
        <f>_xlfn.XLOOKUP($A1178,Load!$B:$B,Load!M:M,0,)</f>
        <v>Single Brand / Variety Flavors or Form</v>
      </c>
    </row>
    <row r="1179" spans="1:12" x14ac:dyDescent="0.25">
      <c r="A1179" t="s">
        <v>263</v>
      </c>
      <c r="B1179" t="str">
        <f>_xlfn.XLOOKUP($A1179,Load!$B:$B,Load!C:C,0,)</f>
        <v>Smarties</v>
      </c>
      <c r="C1179" t="str">
        <f>_xlfn.XLOOKUP($A1179,Load!$B:$B,Load!D:D,0,)</f>
        <v>Non-Chocolate Candy Only</v>
      </c>
      <c r="D1179" t="str">
        <f>_xlfn.XLOOKUP($A1179,Load!$B:$B,Load!E:E,0,)</f>
        <v>Fruit Flavor (Cherry, Grape, Apple, Citrus, Tropical Fruit)</v>
      </c>
      <c r="E1179" t="str">
        <f>_xlfn.XLOOKUP($A1179,Load!$B:$B,Load!F:F,0,)</f>
        <v>Powder / Chalky</v>
      </c>
      <c r="F1179" t="str">
        <f>_xlfn.XLOOKUP($A1179,Load!$B:$B,Load!G:G,0,)</f>
        <v>Single Pack</v>
      </c>
      <c r="G1179" t="str">
        <f>_xlfn.XLOOKUP($A1179,Load!$B:$B,Load!H:H,0,)</f>
        <v>Laydown Bag</v>
      </c>
      <c r="H1179" t="str">
        <f>_xlfn.XLOOKUP($A1179,Load!$B:$B,Load!I:I,0,)</f>
        <v>Everyday Candy Shapes (like Original, Gummy bear, Fruit, Jewels, etc.)</v>
      </c>
      <c r="I1179" t="str">
        <f>_xlfn.XLOOKUP($A1179,Load!$B:$B,Load!J:J,0,)</f>
        <v>Everyday Graphics</v>
      </c>
      <c r="J1179" t="str">
        <f>_xlfn.XLOOKUP($A1179,Load!$B:$B,Load!K:K,0,)</f>
        <v>Small Pieces (Tiny bite size candies)</v>
      </c>
      <c r="K1179" t="str">
        <f>_xlfn.XLOOKUP($A1179,Load!$B:$B,Load!L:L,0,)</f>
        <v>Regular/Original Wrapping</v>
      </c>
      <c r="L1179" t="str">
        <f>_xlfn.XLOOKUP($A1179,Load!$B:$B,Load!M:M,0,)</f>
        <v>Single Brand / Single Flavor or Form</v>
      </c>
    </row>
    <row r="1180" spans="1:12" x14ac:dyDescent="0.25">
      <c r="B1180">
        <f>_xlfn.XLOOKUP($A1180,Load!$B:$B,Load!C:C,0,)</f>
        <v>0</v>
      </c>
      <c r="C1180">
        <f>_xlfn.XLOOKUP($A1180,Load!$B:$B,Load!D:D,0,)</f>
        <v>0</v>
      </c>
      <c r="D1180">
        <f>_xlfn.XLOOKUP($A1180,Load!$B:$B,Load!E:E,0,)</f>
        <v>0</v>
      </c>
      <c r="E1180">
        <f>_xlfn.XLOOKUP($A1180,Load!$B:$B,Load!F:F,0,)</f>
        <v>0</v>
      </c>
      <c r="F1180">
        <f>_xlfn.XLOOKUP($A1180,Load!$B:$B,Load!G:G,0,)</f>
        <v>0</v>
      </c>
      <c r="G1180">
        <f>_xlfn.XLOOKUP($A1180,Load!$B:$B,Load!H:H,0,)</f>
        <v>0</v>
      </c>
      <c r="H1180">
        <f>_xlfn.XLOOKUP($A1180,Load!$B:$B,Load!I:I,0,)</f>
        <v>0</v>
      </c>
      <c r="I1180">
        <f>_xlfn.XLOOKUP($A1180,Load!$B:$B,Load!J:J,0,)</f>
        <v>0</v>
      </c>
      <c r="J1180">
        <f>_xlfn.XLOOKUP($A1180,Load!$B:$B,Load!K:K,0,)</f>
        <v>0</v>
      </c>
      <c r="K1180">
        <f>_xlfn.XLOOKUP($A1180,Load!$B:$B,Load!L:L,0,)</f>
        <v>0</v>
      </c>
      <c r="L1180">
        <f>_xlfn.XLOOKUP($A1180,Load!$B:$B,Load!M:M,0,)</f>
        <v>0</v>
      </c>
    </row>
    <row r="1181" spans="1:12" x14ac:dyDescent="0.25">
      <c r="B1181">
        <f>_xlfn.XLOOKUP($A1181,Load!$B:$B,Load!C:C,0,)</f>
        <v>0</v>
      </c>
      <c r="C1181">
        <f>_xlfn.XLOOKUP($A1181,Load!$B:$B,Load!D:D,0,)</f>
        <v>0</v>
      </c>
      <c r="D1181">
        <f>_xlfn.XLOOKUP($A1181,Load!$B:$B,Load!E:E,0,)</f>
        <v>0</v>
      </c>
      <c r="E1181">
        <f>_xlfn.XLOOKUP($A1181,Load!$B:$B,Load!F:F,0,)</f>
        <v>0</v>
      </c>
      <c r="F1181">
        <f>_xlfn.XLOOKUP($A1181,Load!$B:$B,Load!G:G,0,)</f>
        <v>0</v>
      </c>
      <c r="G1181">
        <f>_xlfn.XLOOKUP($A1181,Load!$B:$B,Load!H:H,0,)</f>
        <v>0</v>
      </c>
      <c r="H1181">
        <f>_xlfn.XLOOKUP($A1181,Load!$B:$B,Load!I:I,0,)</f>
        <v>0</v>
      </c>
      <c r="I1181">
        <f>_xlfn.XLOOKUP($A1181,Load!$B:$B,Load!J:J,0,)</f>
        <v>0</v>
      </c>
      <c r="J1181">
        <f>_xlfn.XLOOKUP($A1181,Load!$B:$B,Load!K:K,0,)</f>
        <v>0</v>
      </c>
      <c r="K1181">
        <f>_xlfn.XLOOKUP($A1181,Load!$B:$B,Load!L:L,0,)</f>
        <v>0</v>
      </c>
      <c r="L1181">
        <f>_xlfn.XLOOKUP($A1181,Load!$B:$B,Load!M:M,0,)</f>
        <v>0</v>
      </c>
    </row>
    <row r="1182" spans="1:12" x14ac:dyDescent="0.25">
      <c r="A1182" t="s">
        <v>207</v>
      </c>
      <c r="B1182" t="str">
        <f>_xlfn.XLOOKUP($A1182,Load!$B:$B,Load!C:C,0,)</f>
        <v>Mars Variety Pack</v>
      </c>
      <c r="C1182" t="str">
        <f>_xlfn.XLOOKUP($A1182,Load!$B:$B,Load!D:D,0,)</f>
        <v>Mix of Chocolate and Non-Chocolate Candy</v>
      </c>
      <c r="D1182" t="str">
        <f>_xlfn.XLOOKUP($A1182,Load!$B:$B,Load!E:E,0,)</f>
        <v>Variety / Mixed Flavors (Fruity, Sour, Seasonal Flavors)</v>
      </c>
      <c r="E1182" t="str">
        <f>_xlfn.XLOOKUP($A1182,Load!$B:$B,Load!F:F,0,)</f>
        <v>Mixed / Combo Packs (Gummy, Chewy, Taffy, etc.)</v>
      </c>
      <c r="F1182" t="str">
        <f>_xlfn.XLOOKUP($A1182,Load!$B:$B,Load!G:G,0,)</f>
        <v>Large Multipack (More than 80 ct)</v>
      </c>
      <c r="G1182" t="str">
        <f>_xlfn.XLOOKUP($A1182,Load!$B:$B,Load!H:H,0,)</f>
        <v>Stand-Up Bag</v>
      </c>
      <c r="H1182" t="str">
        <f>_xlfn.XLOOKUP($A1182,Load!$B:$B,Load!I:I,0,)</f>
        <v>Everyday Candy Shapes (like Original, Gummy bear, Fruit, Jewels, etc.)</v>
      </c>
      <c r="I1182" t="str">
        <f>_xlfn.XLOOKUP($A1182,Load!$B:$B,Load!J:J,0,)</f>
        <v>Everyday Graphics</v>
      </c>
      <c r="J1182" t="str">
        <f>_xlfn.XLOOKUP($A1182,Load!$B:$B,Load!K:K,0,)</f>
        <v>Fun Size / Treat Size</v>
      </c>
      <c r="K1182" t="str">
        <f>_xlfn.XLOOKUP($A1182,Load!$B:$B,Load!L:L,0,)</f>
        <v>Regular/Original Wrapping</v>
      </c>
      <c r="L1182" t="str">
        <f>_xlfn.XLOOKUP($A1182,Load!$B:$B,Load!M:M,0,)</f>
        <v>Multiple Brands / Variety Flavors or Form</v>
      </c>
    </row>
    <row r="1183" spans="1:12" x14ac:dyDescent="0.25">
      <c r="A1183" t="s">
        <v>173</v>
      </c>
      <c r="B1183" t="str">
        <f>_xlfn.XLOOKUP($A1183,Load!$B:$B,Load!C:C,0,)</f>
        <v>Mars Variety Pack</v>
      </c>
      <c r="C1183" t="str">
        <f>_xlfn.XLOOKUP($A1183,Load!$B:$B,Load!D:D,0,)</f>
        <v>Mix of Chocolate and Non-Chocolate Candy</v>
      </c>
      <c r="D1183" t="str">
        <f>_xlfn.XLOOKUP($A1183,Load!$B:$B,Load!E:E,0,)</f>
        <v>Variety / Mixed Flavors (Fruity, Sour, Seasonal Flavors)</v>
      </c>
      <c r="E1183" t="str">
        <f>_xlfn.XLOOKUP($A1183,Load!$B:$B,Load!F:F,0,)</f>
        <v>Mixed / Combo Packs (Gummy, Chewy, Taffy, etc.)</v>
      </c>
      <c r="F1183" t="str">
        <f>_xlfn.XLOOKUP($A1183,Load!$B:$B,Load!G:G,0,)</f>
        <v>Large Multipack (More than 80 ct)</v>
      </c>
      <c r="G1183" t="str">
        <f>_xlfn.XLOOKUP($A1183,Load!$B:$B,Load!H:H,0,)</f>
        <v>Stand-Up Bag</v>
      </c>
      <c r="H1183" t="str">
        <f>_xlfn.XLOOKUP($A1183,Load!$B:$B,Load!I:I,0,)</f>
        <v>Everyday Candy Shapes (like Original, Gummy bear, Fruit, Jewels, etc.)</v>
      </c>
      <c r="I1183" t="str">
        <f>_xlfn.XLOOKUP($A1183,Load!$B:$B,Load!J:J,0,)</f>
        <v>Seasonal Graphics (Like Bat, Ghost, Pumpkin, Fall Leaves, Eyeballs, etc.)</v>
      </c>
      <c r="J1183" t="str">
        <f>_xlfn.XLOOKUP($A1183,Load!$B:$B,Load!K:K,0,)</f>
        <v>Fun Size / Treat Size</v>
      </c>
      <c r="K1183" t="str">
        <f>_xlfn.XLOOKUP($A1183,Load!$B:$B,Load!L:L,0,)</f>
        <v>Regular/Original Wrapping</v>
      </c>
      <c r="L1183" t="str">
        <f>_xlfn.XLOOKUP($A1183,Load!$B:$B,Load!M:M,0,)</f>
        <v>Multiple Brands / Variety Flavors or Form</v>
      </c>
    </row>
    <row r="1184" spans="1:12" x14ac:dyDescent="0.25">
      <c r="B1184">
        <f>_xlfn.XLOOKUP($A1184,Load!$B:$B,Load!C:C,0,)</f>
        <v>0</v>
      </c>
      <c r="C1184">
        <f>_xlfn.XLOOKUP($A1184,Load!$B:$B,Load!D:D,0,)</f>
        <v>0</v>
      </c>
      <c r="D1184">
        <f>_xlfn.XLOOKUP($A1184,Load!$B:$B,Load!E:E,0,)</f>
        <v>0</v>
      </c>
      <c r="E1184">
        <f>_xlfn.XLOOKUP($A1184,Load!$B:$B,Load!F:F,0,)</f>
        <v>0</v>
      </c>
      <c r="F1184">
        <f>_xlfn.XLOOKUP($A1184,Load!$B:$B,Load!G:G,0,)</f>
        <v>0</v>
      </c>
      <c r="G1184">
        <f>_xlfn.XLOOKUP($A1184,Load!$B:$B,Load!H:H,0,)</f>
        <v>0</v>
      </c>
      <c r="H1184">
        <f>_xlfn.XLOOKUP($A1184,Load!$B:$B,Load!I:I,0,)</f>
        <v>0</v>
      </c>
      <c r="I1184">
        <f>_xlfn.XLOOKUP($A1184,Load!$B:$B,Load!J:J,0,)</f>
        <v>0</v>
      </c>
      <c r="J1184">
        <f>_xlfn.XLOOKUP($A1184,Load!$B:$B,Load!K:K,0,)</f>
        <v>0</v>
      </c>
      <c r="K1184">
        <f>_xlfn.XLOOKUP($A1184,Load!$B:$B,Load!L:L,0,)</f>
        <v>0</v>
      </c>
      <c r="L1184">
        <f>_xlfn.XLOOKUP($A1184,Load!$B:$B,Load!M:M,0,)</f>
        <v>0</v>
      </c>
    </row>
    <row r="1185" spans="1:12" x14ac:dyDescent="0.25">
      <c r="B1185">
        <f>_xlfn.XLOOKUP($A1185,Load!$B:$B,Load!C:C,0,)</f>
        <v>0</v>
      </c>
      <c r="C1185">
        <f>_xlfn.XLOOKUP($A1185,Load!$B:$B,Load!D:D,0,)</f>
        <v>0</v>
      </c>
      <c r="D1185">
        <f>_xlfn.XLOOKUP($A1185,Load!$B:$B,Load!E:E,0,)</f>
        <v>0</v>
      </c>
      <c r="E1185">
        <f>_xlfn.XLOOKUP($A1185,Load!$B:$B,Load!F:F,0,)</f>
        <v>0</v>
      </c>
      <c r="F1185">
        <f>_xlfn.XLOOKUP($A1185,Load!$B:$B,Load!G:G,0,)</f>
        <v>0</v>
      </c>
      <c r="G1185">
        <f>_xlfn.XLOOKUP($A1185,Load!$B:$B,Load!H:H,0,)</f>
        <v>0</v>
      </c>
      <c r="H1185">
        <f>_xlfn.XLOOKUP($A1185,Load!$B:$B,Load!I:I,0,)</f>
        <v>0</v>
      </c>
      <c r="I1185">
        <f>_xlfn.XLOOKUP($A1185,Load!$B:$B,Load!J:J,0,)</f>
        <v>0</v>
      </c>
      <c r="J1185">
        <f>_xlfn.XLOOKUP($A1185,Load!$B:$B,Load!K:K,0,)</f>
        <v>0</v>
      </c>
      <c r="K1185">
        <f>_xlfn.XLOOKUP($A1185,Load!$B:$B,Load!L:L,0,)</f>
        <v>0</v>
      </c>
      <c r="L1185">
        <f>_xlfn.XLOOKUP($A1185,Load!$B:$B,Load!M:M,0,)</f>
        <v>0</v>
      </c>
    </row>
    <row r="1186" spans="1:12" x14ac:dyDescent="0.25">
      <c r="B1186">
        <f>_xlfn.XLOOKUP($A1186,Load!$B:$B,Load!C:C,0,)</f>
        <v>0</v>
      </c>
      <c r="C1186">
        <f>_xlfn.XLOOKUP($A1186,Load!$B:$B,Load!D:D,0,)</f>
        <v>0</v>
      </c>
      <c r="D1186">
        <f>_xlfn.XLOOKUP($A1186,Load!$B:$B,Load!E:E,0,)</f>
        <v>0</v>
      </c>
      <c r="E1186">
        <f>_xlfn.XLOOKUP($A1186,Load!$B:$B,Load!F:F,0,)</f>
        <v>0</v>
      </c>
      <c r="F1186">
        <f>_xlfn.XLOOKUP($A1186,Load!$B:$B,Load!G:G,0,)</f>
        <v>0</v>
      </c>
      <c r="G1186">
        <f>_xlfn.XLOOKUP($A1186,Load!$B:$B,Load!H:H,0,)</f>
        <v>0</v>
      </c>
      <c r="H1186">
        <f>_xlfn.XLOOKUP($A1186,Load!$B:$B,Load!I:I,0,)</f>
        <v>0</v>
      </c>
      <c r="I1186">
        <f>_xlfn.XLOOKUP($A1186,Load!$B:$B,Load!J:J,0,)</f>
        <v>0</v>
      </c>
      <c r="J1186">
        <f>_xlfn.XLOOKUP($A1186,Load!$B:$B,Load!K:K,0,)</f>
        <v>0</v>
      </c>
      <c r="K1186">
        <f>_xlfn.XLOOKUP($A1186,Load!$B:$B,Load!L:L,0,)</f>
        <v>0</v>
      </c>
      <c r="L1186">
        <f>_xlfn.XLOOKUP($A1186,Load!$B:$B,Load!M:M,0,)</f>
        <v>0</v>
      </c>
    </row>
    <row r="1187" spans="1:12" x14ac:dyDescent="0.25">
      <c r="B1187">
        <f>_xlfn.XLOOKUP($A1187,Load!$B:$B,Load!C:C,0,)</f>
        <v>0</v>
      </c>
      <c r="C1187">
        <f>_xlfn.XLOOKUP($A1187,Load!$B:$B,Load!D:D,0,)</f>
        <v>0</v>
      </c>
      <c r="D1187">
        <f>_xlfn.XLOOKUP($A1187,Load!$B:$B,Load!E:E,0,)</f>
        <v>0</v>
      </c>
      <c r="E1187">
        <f>_xlfn.XLOOKUP($A1187,Load!$B:$B,Load!F:F,0,)</f>
        <v>0</v>
      </c>
      <c r="F1187">
        <f>_xlfn.XLOOKUP($A1187,Load!$B:$B,Load!G:G,0,)</f>
        <v>0</v>
      </c>
      <c r="G1187">
        <f>_xlfn.XLOOKUP($A1187,Load!$B:$B,Load!H:H,0,)</f>
        <v>0</v>
      </c>
      <c r="H1187">
        <f>_xlfn.XLOOKUP($A1187,Load!$B:$B,Load!I:I,0,)</f>
        <v>0</v>
      </c>
      <c r="I1187">
        <f>_xlfn.XLOOKUP($A1187,Load!$B:$B,Load!J:J,0,)</f>
        <v>0</v>
      </c>
      <c r="J1187">
        <f>_xlfn.XLOOKUP($A1187,Load!$B:$B,Load!K:K,0,)</f>
        <v>0</v>
      </c>
      <c r="K1187">
        <f>_xlfn.XLOOKUP($A1187,Load!$B:$B,Load!L:L,0,)</f>
        <v>0</v>
      </c>
      <c r="L1187">
        <f>_xlfn.XLOOKUP($A1187,Load!$B:$B,Load!M:M,0,)</f>
        <v>0</v>
      </c>
    </row>
    <row r="1188" spans="1:12" x14ac:dyDescent="0.25">
      <c r="B1188">
        <f>_xlfn.XLOOKUP($A1188,Load!$B:$B,Load!C:C,0,)</f>
        <v>0</v>
      </c>
      <c r="C1188">
        <f>_xlfn.XLOOKUP($A1188,Load!$B:$B,Load!D:D,0,)</f>
        <v>0</v>
      </c>
      <c r="D1188">
        <f>_xlfn.XLOOKUP($A1188,Load!$B:$B,Load!E:E,0,)</f>
        <v>0</v>
      </c>
      <c r="E1188">
        <f>_xlfn.XLOOKUP($A1188,Load!$B:$B,Load!F:F,0,)</f>
        <v>0</v>
      </c>
      <c r="F1188">
        <f>_xlfn.XLOOKUP($A1188,Load!$B:$B,Load!G:G,0,)</f>
        <v>0</v>
      </c>
      <c r="G1188">
        <f>_xlfn.XLOOKUP($A1188,Load!$B:$B,Load!H:H,0,)</f>
        <v>0</v>
      </c>
      <c r="H1188">
        <f>_xlfn.XLOOKUP($A1188,Load!$B:$B,Load!I:I,0,)</f>
        <v>0</v>
      </c>
      <c r="I1188">
        <f>_xlfn.XLOOKUP($A1188,Load!$B:$B,Load!J:J,0,)</f>
        <v>0</v>
      </c>
      <c r="J1188">
        <f>_xlfn.XLOOKUP($A1188,Load!$B:$B,Load!K:K,0,)</f>
        <v>0</v>
      </c>
      <c r="K1188">
        <f>_xlfn.XLOOKUP($A1188,Load!$B:$B,Load!L:L,0,)</f>
        <v>0</v>
      </c>
      <c r="L1188">
        <f>_xlfn.XLOOKUP($A1188,Load!$B:$B,Load!M:M,0,)</f>
        <v>0</v>
      </c>
    </row>
    <row r="1189" spans="1:12" x14ac:dyDescent="0.25">
      <c r="B1189">
        <f>_xlfn.XLOOKUP($A1189,Load!$B:$B,Load!C:C,0,)</f>
        <v>0</v>
      </c>
      <c r="C1189">
        <f>_xlfn.XLOOKUP($A1189,Load!$B:$B,Load!D:D,0,)</f>
        <v>0</v>
      </c>
      <c r="D1189">
        <f>_xlfn.XLOOKUP($A1189,Load!$B:$B,Load!E:E,0,)</f>
        <v>0</v>
      </c>
      <c r="E1189">
        <f>_xlfn.XLOOKUP($A1189,Load!$B:$B,Load!F:F,0,)</f>
        <v>0</v>
      </c>
      <c r="F1189">
        <f>_xlfn.XLOOKUP($A1189,Load!$B:$B,Load!G:G,0,)</f>
        <v>0</v>
      </c>
      <c r="G1189">
        <f>_xlfn.XLOOKUP($A1189,Load!$B:$B,Load!H:H,0,)</f>
        <v>0</v>
      </c>
      <c r="H1189">
        <f>_xlfn.XLOOKUP($A1189,Load!$B:$B,Load!I:I,0,)</f>
        <v>0</v>
      </c>
      <c r="I1189">
        <f>_xlfn.XLOOKUP($A1189,Load!$B:$B,Load!J:J,0,)</f>
        <v>0</v>
      </c>
      <c r="J1189">
        <f>_xlfn.XLOOKUP($A1189,Load!$B:$B,Load!K:K,0,)</f>
        <v>0</v>
      </c>
      <c r="K1189">
        <f>_xlfn.XLOOKUP($A1189,Load!$B:$B,Load!L:L,0,)</f>
        <v>0</v>
      </c>
      <c r="L1189">
        <f>_xlfn.XLOOKUP($A1189,Load!$B:$B,Load!M:M,0,)</f>
        <v>0</v>
      </c>
    </row>
    <row r="1190" spans="1:12" x14ac:dyDescent="0.25">
      <c r="B1190">
        <f>_xlfn.XLOOKUP($A1190,Load!$B:$B,Load!C:C,0,)</f>
        <v>0</v>
      </c>
      <c r="C1190">
        <f>_xlfn.XLOOKUP($A1190,Load!$B:$B,Load!D:D,0,)</f>
        <v>0</v>
      </c>
      <c r="D1190">
        <f>_xlfn.XLOOKUP($A1190,Load!$B:$B,Load!E:E,0,)</f>
        <v>0</v>
      </c>
      <c r="E1190">
        <f>_xlfn.XLOOKUP($A1190,Load!$B:$B,Load!F:F,0,)</f>
        <v>0</v>
      </c>
      <c r="F1190">
        <f>_xlfn.XLOOKUP($A1190,Load!$B:$B,Load!G:G,0,)</f>
        <v>0</v>
      </c>
      <c r="G1190">
        <f>_xlfn.XLOOKUP($A1190,Load!$B:$B,Load!H:H,0,)</f>
        <v>0</v>
      </c>
      <c r="H1190">
        <f>_xlfn.XLOOKUP($A1190,Load!$B:$B,Load!I:I,0,)</f>
        <v>0</v>
      </c>
      <c r="I1190">
        <f>_xlfn.XLOOKUP($A1190,Load!$B:$B,Load!J:J,0,)</f>
        <v>0</v>
      </c>
      <c r="J1190">
        <f>_xlfn.XLOOKUP($A1190,Load!$B:$B,Load!K:K,0,)</f>
        <v>0</v>
      </c>
      <c r="K1190">
        <f>_xlfn.XLOOKUP($A1190,Load!$B:$B,Load!L:L,0,)</f>
        <v>0</v>
      </c>
      <c r="L1190">
        <f>_xlfn.XLOOKUP($A1190,Load!$B:$B,Load!M:M,0,)</f>
        <v>0</v>
      </c>
    </row>
    <row r="1191" spans="1:12" x14ac:dyDescent="0.25">
      <c r="B1191">
        <f>_xlfn.XLOOKUP($A1191,Load!$B:$B,Load!C:C,0,)</f>
        <v>0</v>
      </c>
      <c r="C1191">
        <f>_xlfn.XLOOKUP($A1191,Load!$B:$B,Load!D:D,0,)</f>
        <v>0</v>
      </c>
      <c r="D1191">
        <f>_xlfn.XLOOKUP($A1191,Load!$B:$B,Load!E:E,0,)</f>
        <v>0</v>
      </c>
      <c r="E1191">
        <f>_xlfn.XLOOKUP($A1191,Load!$B:$B,Load!F:F,0,)</f>
        <v>0</v>
      </c>
      <c r="F1191">
        <f>_xlfn.XLOOKUP($A1191,Load!$B:$B,Load!G:G,0,)</f>
        <v>0</v>
      </c>
      <c r="G1191">
        <f>_xlfn.XLOOKUP($A1191,Load!$B:$B,Load!H:H,0,)</f>
        <v>0</v>
      </c>
      <c r="H1191">
        <f>_xlfn.XLOOKUP($A1191,Load!$B:$B,Load!I:I,0,)</f>
        <v>0</v>
      </c>
      <c r="I1191">
        <f>_xlfn.XLOOKUP($A1191,Load!$B:$B,Load!J:J,0,)</f>
        <v>0</v>
      </c>
      <c r="J1191">
        <f>_xlfn.XLOOKUP($A1191,Load!$B:$B,Load!K:K,0,)</f>
        <v>0</v>
      </c>
      <c r="K1191">
        <f>_xlfn.XLOOKUP($A1191,Load!$B:$B,Load!L:L,0,)</f>
        <v>0</v>
      </c>
      <c r="L1191">
        <f>_xlfn.XLOOKUP($A1191,Load!$B:$B,Load!M:M,0,)</f>
        <v>0</v>
      </c>
    </row>
    <row r="1192" spans="1:12" x14ac:dyDescent="0.25">
      <c r="A1192" t="s">
        <v>219</v>
      </c>
      <c r="B1192" t="str">
        <f>_xlfn.XLOOKUP($A1192,Load!$B:$B,Load!C:C,0,)</f>
        <v>Mondelez Variety Pack</v>
      </c>
      <c r="C1192" t="str">
        <f>_xlfn.XLOOKUP($A1192,Load!$B:$B,Load!D:D,0,)</f>
        <v>Non-Chocolate Candy Only</v>
      </c>
      <c r="D1192" t="str">
        <f>_xlfn.XLOOKUP($A1192,Load!$B:$B,Load!E:E,0,)</f>
        <v>Sour</v>
      </c>
      <c r="E1192" t="str">
        <f>_xlfn.XLOOKUP($A1192,Load!$B:$B,Load!F:F,0,)</f>
        <v>Chewy</v>
      </c>
      <c r="F1192" t="str">
        <f>_xlfn.XLOOKUP($A1192,Load!$B:$B,Load!G:G,0,)</f>
        <v>Medium Multipack (40–80 ct)</v>
      </c>
      <c r="G1192" t="str">
        <f>_xlfn.XLOOKUP($A1192,Load!$B:$B,Load!H:H,0,)</f>
        <v>Stand-Up Bag</v>
      </c>
      <c r="H1192" t="str">
        <f>_xlfn.XLOOKUP($A1192,Load!$B:$B,Load!I:I,0,)</f>
        <v>Everyday Candy Shapes (like Original, Gummy bear, Fruit, Jewels, etc.)</v>
      </c>
      <c r="I1192" t="str">
        <f>_xlfn.XLOOKUP($A1192,Load!$B:$B,Load!J:J,0,)</f>
        <v>Seasonal Graphics (Like Bat, Ghost, Pumpkin, Fall Leaves, Eyeballs, etc.)</v>
      </c>
      <c r="J1192" t="str">
        <f>_xlfn.XLOOKUP($A1192,Load!$B:$B,Load!K:K,0,)</f>
        <v>Small Pieces (Tiny bite size candies)</v>
      </c>
      <c r="K1192" t="str">
        <f>_xlfn.XLOOKUP($A1192,Load!$B:$B,Load!L:L,0,)</f>
        <v>Regular/Original Wrapping</v>
      </c>
      <c r="L1192" t="str">
        <f>_xlfn.XLOOKUP($A1192,Load!$B:$B,Load!M:M,0,)</f>
        <v>Multiple Brands / Variety Flavors or Form</v>
      </c>
    </row>
    <row r="1193" spans="1:12" x14ac:dyDescent="0.25">
      <c r="B1193">
        <f>_xlfn.XLOOKUP($A1193,Load!$B:$B,Load!C:C,0,)</f>
        <v>0</v>
      </c>
      <c r="C1193">
        <f>_xlfn.XLOOKUP($A1193,Load!$B:$B,Load!D:D,0,)</f>
        <v>0</v>
      </c>
      <c r="D1193">
        <f>_xlfn.XLOOKUP($A1193,Load!$B:$B,Load!E:E,0,)</f>
        <v>0</v>
      </c>
      <c r="E1193">
        <f>_xlfn.XLOOKUP($A1193,Load!$B:$B,Load!F:F,0,)</f>
        <v>0</v>
      </c>
      <c r="F1193">
        <f>_xlfn.XLOOKUP($A1193,Load!$B:$B,Load!G:G,0,)</f>
        <v>0</v>
      </c>
      <c r="G1193">
        <f>_xlfn.XLOOKUP($A1193,Load!$B:$B,Load!H:H,0,)</f>
        <v>0</v>
      </c>
      <c r="H1193">
        <f>_xlfn.XLOOKUP($A1193,Load!$B:$B,Load!I:I,0,)</f>
        <v>0</v>
      </c>
      <c r="I1193">
        <f>_xlfn.XLOOKUP($A1193,Load!$B:$B,Load!J:J,0,)</f>
        <v>0</v>
      </c>
      <c r="J1193">
        <f>_xlfn.XLOOKUP($A1193,Load!$B:$B,Load!K:K,0,)</f>
        <v>0</v>
      </c>
      <c r="K1193">
        <f>_xlfn.XLOOKUP($A1193,Load!$B:$B,Load!L:L,0,)</f>
        <v>0</v>
      </c>
      <c r="L1193">
        <f>_xlfn.XLOOKUP($A1193,Load!$B:$B,Load!M:M,0,)</f>
        <v>0</v>
      </c>
    </row>
    <row r="1194" spans="1:12" x14ac:dyDescent="0.25">
      <c r="A1194" t="s">
        <v>194</v>
      </c>
      <c r="B1194" t="str">
        <f>_xlfn.XLOOKUP($A1194,Load!$B:$B,Load!C:C,0,)</f>
        <v>Mars Variety Pack</v>
      </c>
      <c r="C1194" t="str">
        <f>_xlfn.XLOOKUP($A1194,Load!$B:$B,Load!D:D,0,)</f>
        <v>Mix of Chocolate and Non-Chocolate Candy</v>
      </c>
      <c r="D1194" t="str">
        <f>_xlfn.XLOOKUP($A1194,Load!$B:$B,Load!E:E,0,)</f>
        <v>Variety / Mixed Flavors (Fruity, Sour, Seasonal Flavors)</v>
      </c>
      <c r="E1194" t="str">
        <f>_xlfn.XLOOKUP($A1194,Load!$B:$B,Load!F:F,0,)</f>
        <v>Mixed / Combo Packs (Gummy, Chewy, Taffy, etc.)</v>
      </c>
      <c r="F1194" t="str">
        <f>_xlfn.XLOOKUP($A1194,Load!$B:$B,Load!G:G,0,)</f>
        <v>Small Multipack (Less than 40 ct)</v>
      </c>
      <c r="G1194" t="str">
        <f>_xlfn.XLOOKUP($A1194,Load!$B:$B,Load!H:H,0,)</f>
        <v>Laydown Bag</v>
      </c>
      <c r="H1194" t="str">
        <f>_xlfn.XLOOKUP($A1194,Load!$B:$B,Load!I:I,0,)</f>
        <v>Everyday Candy Shapes (like Original, Gummy bear, Fruit, Jewels, etc.)</v>
      </c>
      <c r="I1194" t="str">
        <f>_xlfn.XLOOKUP($A1194,Load!$B:$B,Load!J:J,0,)</f>
        <v>Seasonal Graphics (Like Bat, Ghost, Pumpkin, Fall Leaves, Eyeballs, etc.)</v>
      </c>
      <c r="J1194" t="str">
        <f>_xlfn.XLOOKUP($A1194,Load!$B:$B,Load!K:K,0,)</f>
        <v>Fun Size / Treat Size</v>
      </c>
      <c r="K1194" t="str">
        <f>_xlfn.XLOOKUP($A1194,Load!$B:$B,Load!L:L,0,)</f>
        <v>Regular/Original Wrapping</v>
      </c>
      <c r="L1194" t="str">
        <f>_xlfn.XLOOKUP($A1194,Load!$B:$B,Load!M:M,0,)</f>
        <v>Multiple Brands / Variety Flavors or Form</v>
      </c>
    </row>
    <row r="1195" spans="1:12" x14ac:dyDescent="0.25">
      <c r="A1195" t="s">
        <v>8</v>
      </c>
      <c r="B1195" t="str">
        <f>_xlfn.XLOOKUP($A1195,Load!$B:$B,Load!C:C,0,)</f>
        <v>Airheads</v>
      </c>
      <c r="C1195" t="str">
        <f>_xlfn.XLOOKUP($A1195,Load!$B:$B,Load!D:D,0,)</f>
        <v>Non-Chocolate Candy Only</v>
      </c>
      <c r="D1195" t="str">
        <f>_xlfn.XLOOKUP($A1195,Load!$B:$B,Load!E:E,0,)</f>
        <v>Fruit Flavor (Cherry, Grape, Apple, Citrus, Tropical Fruit)</v>
      </c>
      <c r="E1195" t="str">
        <f>_xlfn.XLOOKUP($A1195,Load!$B:$B,Load!F:F,0,)</f>
        <v>Chewy</v>
      </c>
      <c r="F1195" t="str">
        <f>_xlfn.XLOOKUP($A1195,Load!$B:$B,Load!G:G,0,)</f>
        <v>Small Multipack (Less than 40 ct)</v>
      </c>
      <c r="G1195" t="str">
        <f>_xlfn.XLOOKUP($A1195,Load!$B:$B,Load!H:H,0,)</f>
        <v>Laydown Bag</v>
      </c>
      <c r="H1195" t="str">
        <f>_xlfn.XLOOKUP($A1195,Load!$B:$B,Load!I:I,0,)</f>
        <v>Everyday Candy Shapes (like Original, Gummy bear, Fruit, Jewels, etc.)</v>
      </c>
      <c r="I1195" t="str">
        <f>_xlfn.XLOOKUP($A1195,Load!$B:$B,Load!J:J,0,)</f>
        <v>Everyday Graphics</v>
      </c>
      <c r="J1195" t="str">
        <f>_xlfn.XLOOKUP($A1195,Load!$B:$B,Load!K:K,0,)</f>
        <v>Fun Size / Treat Size</v>
      </c>
      <c r="K1195" t="str">
        <f>_xlfn.XLOOKUP($A1195,Load!$B:$B,Load!L:L,0,)</f>
        <v>Regular/Original Wrapping</v>
      </c>
      <c r="L1195" t="str">
        <f>_xlfn.XLOOKUP($A1195,Load!$B:$B,Load!M:M,0,)</f>
        <v>Single Brand / Variety Flavors or Form</v>
      </c>
    </row>
    <row r="1196" spans="1:12" x14ac:dyDescent="0.25">
      <c r="A1196" t="s">
        <v>290</v>
      </c>
      <c r="B1196" t="str">
        <f>_xlfn.XLOOKUP($A1196,Load!$B:$B,Load!C:C,0,)</f>
        <v>Tootsie</v>
      </c>
      <c r="C1196" t="str">
        <f>_xlfn.XLOOKUP($A1196,Load!$B:$B,Load!D:D,0,)</f>
        <v>Mix of Chocolate and Non-Chocolate Candy</v>
      </c>
      <c r="D1196" t="str">
        <f>_xlfn.XLOOKUP($A1196,Load!$B:$B,Load!E:E,0,)</f>
        <v>Variety / Mixed Flavors (Fruity, Sour, Seasonal Flavors)</v>
      </c>
      <c r="E1196" t="str">
        <f>_xlfn.XLOOKUP($A1196,Load!$B:$B,Load!F:F,0,)</f>
        <v>Mixed / Combo Packs (Gummy, Chewy, Taffy, etc.)</v>
      </c>
      <c r="F1196" t="str">
        <f>_xlfn.XLOOKUP($A1196,Load!$B:$B,Load!G:G,0,)</f>
        <v>Large Multipack (More than 80 ct)</v>
      </c>
      <c r="G1196" t="str">
        <f>_xlfn.XLOOKUP($A1196,Load!$B:$B,Load!H:H,0,)</f>
        <v>Laydown Bag</v>
      </c>
      <c r="H1196" t="str">
        <f>_xlfn.XLOOKUP($A1196,Load!$B:$B,Load!I:I,0,)</f>
        <v>Everyday Candy Shapes (like Original, Gummy bear, Fruit, Jewels, etc.)</v>
      </c>
      <c r="I1196" t="str">
        <f>_xlfn.XLOOKUP($A1196,Load!$B:$B,Load!J:J,0,)</f>
        <v>Everyday Graphics</v>
      </c>
      <c r="J1196" t="str">
        <f>_xlfn.XLOOKUP($A1196,Load!$B:$B,Load!K:K,0,)</f>
        <v>Fun Size / Treat Size</v>
      </c>
      <c r="K1196" t="str">
        <f>_xlfn.XLOOKUP($A1196,Load!$B:$B,Load!L:L,0,)</f>
        <v>Regular/Original Wrapping</v>
      </c>
      <c r="L1196" t="str">
        <f>_xlfn.XLOOKUP($A1196,Load!$B:$B,Load!M:M,0,)</f>
        <v>Single Brand / Variety Flavors or Form</v>
      </c>
    </row>
    <row r="1197" spans="1:12" x14ac:dyDescent="0.25">
      <c r="A1197" t="s">
        <v>214</v>
      </c>
      <c r="B1197" t="str">
        <f>_xlfn.XLOOKUP($A1197,Load!$B:$B,Load!C:C,0,)</f>
        <v>Mars Variety Pack</v>
      </c>
      <c r="C1197" t="str">
        <f>_xlfn.XLOOKUP($A1197,Load!$B:$B,Load!D:D,0,)</f>
        <v>Mix of Chocolate and Non-Chocolate Candy</v>
      </c>
      <c r="D1197" t="str">
        <f>_xlfn.XLOOKUP($A1197,Load!$B:$B,Load!E:E,0,)</f>
        <v>Variety / Mixed Flavors (Fruity, Sour, Seasonal Flavors)</v>
      </c>
      <c r="E1197" t="str">
        <f>_xlfn.XLOOKUP($A1197,Load!$B:$B,Load!F:F,0,)</f>
        <v>Mixed / Combo Packs (Gummy, Chewy, Taffy, etc.)</v>
      </c>
      <c r="F1197" t="str">
        <f>_xlfn.XLOOKUP($A1197,Load!$B:$B,Load!G:G,0,)</f>
        <v>Large Multipack (More than 80 ct)</v>
      </c>
      <c r="G1197" t="str">
        <f>_xlfn.XLOOKUP($A1197,Load!$B:$B,Load!H:H,0,)</f>
        <v>Stand-Up Bag</v>
      </c>
      <c r="H1197" t="str">
        <f>_xlfn.XLOOKUP($A1197,Load!$B:$B,Load!I:I,0,)</f>
        <v>Everyday Candy Shapes (like Original, Gummy bear, Fruit, Jewels, etc.)</v>
      </c>
      <c r="I1197" t="str">
        <f>_xlfn.XLOOKUP($A1197,Load!$B:$B,Load!J:J,0,)</f>
        <v>Seasonal Graphics (Like Bat, Ghost, Pumpkin, Fall Leaves, Eyeballs, etc.)</v>
      </c>
      <c r="J1197" t="str">
        <f>_xlfn.XLOOKUP($A1197,Load!$B:$B,Load!K:K,0,)</f>
        <v>Fun Size / Treat Size</v>
      </c>
      <c r="K1197" t="str">
        <f>_xlfn.XLOOKUP($A1197,Load!$B:$B,Load!L:L,0,)</f>
        <v>Regular/Original Wrapping</v>
      </c>
      <c r="L1197" t="str">
        <f>_xlfn.XLOOKUP($A1197,Load!$B:$B,Load!M:M,0,)</f>
        <v>Multiple Brands / Variety Flavors or Form</v>
      </c>
    </row>
    <row r="1198" spans="1:12" x14ac:dyDescent="0.25">
      <c r="A1198" t="s">
        <v>65</v>
      </c>
      <c r="B1198" t="str">
        <f>_xlfn.XLOOKUP($A1198,Load!$B:$B,Load!C:C,0,)</f>
        <v>Dots</v>
      </c>
      <c r="C1198" t="str">
        <f>_xlfn.XLOOKUP($A1198,Load!$B:$B,Load!D:D,0,)</f>
        <v>Non-Chocolate Candy Only</v>
      </c>
      <c r="D1198" t="str">
        <f>_xlfn.XLOOKUP($A1198,Load!$B:$B,Load!E:E,0,)</f>
        <v>Variety / Mixed Flavors (Fruity, Sour, Seasonal Flavors)</v>
      </c>
      <c r="E1198" t="str">
        <f>_xlfn.XLOOKUP($A1198,Load!$B:$B,Load!F:F,0,)</f>
        <v>Candy Pieces / Bites</v>
      </c>
      <c r="F1198" t="str">
        <f>_xlfn.XLOOKUP($A1198,Load!$B:$B,Load!G:G,0,)</f>
        <v>Medium Multipack (40–80 ct)</v>
      </c>
      <c r="G1198" t="str">
        <f>_xlfn.XLOOKUP($A1198,Load!$B:$B,Load!H:H,0,)</f>
        <v>Box (theatre box, gift box, carton)</v>
      </c>
      <c r="H1198" t="str">
        <f>_xlfn.XLOOKUP($A1198,Load!$B:$B,Load!I:I,0,)</f>
        <v>Seasonal Shapes (like pumpkins, candy corn, ghost, bats, etc.)</v>
      </c>
      <c r="I1198" t="str">
        <f>_xlfn.XLOOKUP($A1198,Load!$B:$B,Load!J:J,0,)</f>
        <v>Seasonal Graphics (Like Bat, Ghost, Pumpkin, Fall Leaves, Eyeballs, etc.)</v>
      </c>
      <c r="J1198" t="str">
        <f>_xlfn.XLOOKUP($A1198,Load!$B:$B,Load!K:K,0,)</f>
        <v>Fun Size / Treat Size</v>
      </c>
      <c r="K1198" t="str">
        <f>_xlfn.XLOOKUP($A1198,Load!$B:$B,Load!L:L,0,)</f>
        <v>Regular/Original Wrapping</v>
      </c>
      <c r="L1198" t="str">
        <f>_xlfn.XLOOKUP($A1198,Load!$B:$B,Load!M:M,0,)</f>
        <v>Single Brand / Variety Flavors or Form</v>
      </c>
    </row>
    <row r="1199" spans="1:12" x14ac:dyDescent="0.25">
      <c r="B1199">
        <f>_xlfn.XLOOKUP($A1199,Load!$B:$B,Load!C:C,0,)</f>
        <v>0</v>
      </c>
      <c r="C1199">
        <f>_xlfn.XLOOKUP($A1199,Load!$B:$B,Load!D:D,0,)</f>
        <v>0</v>
      </c>
      <c r="D1199">
        <f>_xlfn.XLOOKUP($A1199,Load!$B:$B,Load!E:E,0,)</f>
        <v>0</v>
      </c>
      <c r="E1199">
        <f>_xlfn.XLOOKUP($A1199,Load!$B:$B,Load!F:F,0,)</f>
        <v>0</v>
      </c>
      <c r="F1199">
        <f>_xlfn.XLOOKUP($A1199,Load!$B:$B,Load!G:G,0,)</f>
        <v>0</v>
      </c>
      <c r="G1199">
        <f>_xlfn.XLOOKUP($A1199,Load!$B:$B,Load!H:H,0,)</f>
        <v>0</v>
      </c>
      <c r="H1199">
        <f>_xlfn.XLOOKUP($A1199,Load!$B:$B,Load!I:I,0,)</f>
        <v>0</v>
      </c>
      <c r="I1199">
        <f>_xlfn.XLOOKUP($A1199,Load!$B:$B,Load!J:J,0,)</f>
        <v>0</v>
      </c>
      <c r="J1199">
        <f>_xlfn.XLOOKUP($A1199,Load!$B:$B,Load!K:K,0,)</f>
        <v>0</v>
      </c>
      <c r="K1199">
        <f>_xlfn.XLOOKUP($A1199,Load!$B:$B,Load!L:L,0,)</f>
        <v>0</v>
      </c>
      <c r="L1199">
        <f>_xlfn.XLOOKUP($A1199,Load!$B:$B,Load!M:M,0,)</f>
        <v>0</v>
      </c>
    </row>
    <row r="1200" spans="1:12" x14ac:dyDescent="0.25">
      <c r="B1200">
        <f>_xlfn.XLOOKUP($A1200,Load!$B:$B,Load!C:C,0,)</f>
        <v>0</v>
      </c>
      <c r="C1200">
        <f>_xlfn.XLOOKUP($A1200,Load!$B:$B,Load!D:D,0,)</f>
        <v>0</v>
      </c>
      <c r="D1200">
        <f>_xlfn.XLOOKUP($A1200,Load!$B:$B,Load!E:E,0,)</f>
        <v>0</v>
      </c>
      <c r="E1200">
        <f>_xlfn.XLOOKUP($A1200,Load!$B:$B,Load!F:F,0,)</f>
        <v>0</v>
      </c>
      <c r="F1200">
        <f>_xlfn.XLOOKUP($A1200,Load!$B:$B,Load!G:G,0,)</f>
        <v>0</v>
      </c>
      <c r="G1200">
        <f>_xlfn.XLOOKUP($A1200,Load!$B:$B,Load!H:H,0,)</f>
        <v>0</v>
      </c>
      <c r="H1200">
        <f>_xlfn.XLOOKUP($A1200,Load!$B:$B,Load!I:I,0,)</f>
        <v>0</v>
      </c>
      <c r="I1200">
        <f>_xlfn.XLOOKUP($A1200,Load!$B:$B,Load!J:J,0,)</f>
        <v>0</v>
      </c>
      <c r="J1200">
        <f>_xlfn.XLOOKUP($A1200,Load!$B:$B,Load!K:K,0,)</f>
        <v>0</v>
      </c>
      <c r="K1200">
        <f>_xlfn.XLOOKUP($A1200,Load!$B:$B,Load!L:L,0,)</f>
        <v>0</v>
      </c>
      <c r="L1200">
        <f>_xlfn.XLOOKUP($A1200,Load!$B:$B,Load!M:M,0,)</f>
        <v>0</v>
      </c>
    </row>
    <row r="1201" spans="1:12" x14ac:dyDescent="0.25">
      <c r="B1201">
        <f>_xlfn.XLOOKUP($A1201,Load!$B:$B,Load!C:C,0,)</f>
        <v>0</v>
      </c>
      <c r="C1201">
        <f>_xlfn.XLOOKUP($A1201,Load!$B:$B,Load!D:D,0,)</f>
        <v>0</v>
      </c>
      <c r="D1201">
        <f>_xlfn.XLOOKUP($A1201,Load!$B:$B,Load!E:E,0,)</f>
        <v>0</v>
      </c>
      <c r="E1201">
        <f>_xlfn.XLOOKUP($A1201,Load!$B:$B,Load!F:F,0,)</f>
        <v>0</v>
      </c>
      <c r="F1201">
        <f>_xlfn.XLOOKUP($A1201,Load!$B:$B,Load!G:G,0,)</f>
        <v>0</v>
      </c>
      <c r="G1201">
        <f>_xlfn.XLOOKUP($A1201,Load!$B:$B,Load!H:H,0,)</f>
        <v>0</v>
      </c>
      <c r="H1201">
        <f>_xlfn.XLOOKUP($A1201,Load!$B:$B,Load!I:I,0,)</f>
        <v>0</v>
      </c>
      <c r="I1201">
        <f>_xlfn.XLOOKUP($A1201,Load!$B:$B,Load!J:J,0,)</f>
        <v>0</v>
      </c>
      <c r="J1201">
        <f>_xlfn.XLOOKUP($A1201,Load!$B:$B,Load!K:K,0,)</f>
        <v>0</v>
      </c>
      <c r="K1201">
        <f>_xlfn.XLOOKUP($A1201,Load!$B:$B,Load!L:L,0,)</f>
        <v>0</v>
      </c>
      <c r="L1201">
        <f>_xlfn.XLOOKUP($A1201,Load!$B:$B,Load!M:M,0,)</f>
        <v>0</v>
      </c>
    </row>
    <row r="1202" spans="1:12" x14ac:dyDescent="0.25">
      <c r="A1202" t="s">
        <v>144</v>
      </c>
      <c r="B1202" t="str">
        <f>_xlfn.XLOOKUP($A1202,Load!$B:$B,Load!C:C,0,)</f>
        <v>Hershey's Variety Pack + Haribo</v>
      </c>
      <c r="C1202" t="str">
        <f>_xlfn.XLOOKUP($A1202,Load!$B:$B,Load!D:D,0,)</f>
        <v>Mix of Chocolate and Non-Chocolate Candy</v>
      </c>
      <c r="D1202" t="str">
        <f>_xlfn.XLOOKUP($A1202,Load!$B:$B,Load!E:E,0,)</f>
        <v>Variety / Mixed Flavors (Fruity, Sour, Seasonal Flavors)</v>
      </c>
      <c r="E1202" t="str">
        <f>_xlfn.XLOOKUP($A1202,Load!$B:$B,Load!F:F,0,)</f>
        <v>Mixed / Combo Packs (Gummy, Chewy, Taffy, etc.)</v>
      </c>
      <c r="F1202" t="str">
        <f>_xlfn.XLOOKUP($A1202,Load!$B:$B,Load!G:G,0,)</f>
        <v>Large Multipack (More than 80 ct)</v>
      </c>
      <c r="G1202" t="str">
        <f>_xlfn.XLOOKUP($A1202,Load!$B:$B,Load!H:H,0,)</f>
        <v>Stand-Up Bag</v>
      </c>
      <c r="H1202" t="str">
        <f>_xlfn.XLOOKUP($A1202,Load!$B:$B,Load!I:I,0,)</f>
        <v>Everyday Candy Shapes (like Original, Gummy bear, Fruit, Jewels, etc.)</v>
      </c>
      <c r="I1202" t="str">
        <f>_xlfn.XLOOKUP($A1202,Load!$B:$B,Load!J:J,0,)</f>
        <v>Seasonal Graphics (Like Bat, Ghost, Pumpkin, Fall Leaves, Eyeballs, etc.)</v>
      </c>
      <c r="J1202" t="str">
        <f>_xlfn.XLOOKUP($A1202,Load!$B:$B,Load!K:K,0,)</f>
        <v>Fun Size / Treat Size</v>
      </c>
      <c r="K1202" t="str">
        <f>_xlfn.XLOOKUP($A1202,Load!$B:$B,Load!L:L,0,)</f>
        <v>Regular/Original Wrapping</v>
      </c>
      <c r="L1202" t="str">
        <f>_xlfn.XLOOKUP($A1202,Load!$B:$B,Load!M:M,0,)</f>
        <v>Multiple Brands / Variety Flavors or Form</v>
      </c>
    </row>
    <row r="1203" spans="1:12" x14ac:dyDescent="0.25">
      <c r="B1203">
        <f>_xlfn.XLOOKUP($A1203,Load!$B:$B,Load!C:C,0,)</f>
        <v>0</v>
      </c>
      <c r="C1203">
        <f>_xlfn.XLOOKUP($A1203,Load!$B:$B,Load!D:D,0,)</f>
        <v>0</v>
      </c>
      <c r="D1203">
        <f>_xlfn.XLOOKUP($A1203,Load!$B:$B,Load!E:E,0,)</f>
        <v>0</v>
      </c>
      <c r="E1203">
        <f>_xlfn.XLOOKUP($A1203,Load!$B:$B,Load!F:F,0,)</f>
        <v>0</v>
      </c>
      <c r="F1203">
        <f>_xlfn.XLOOKUP($A1203,Load!$B:$B,Load!G:G,0,)</f>
        <v>0</v>
      </c>
      <c r="G1203">
        <f>_xlfn.XLOOKUP($A1203,Load!$B:$B,Load!H:H,0,)</f>
        <v>0</v>
      </c>
      <c r="H1203">
        <f>_xlfn.XLOOKUP($A1203,Load!$B:$B,Load!I:I,0,)</f>
        <v>0</v>
      </c>
      <c r="I1203">
        <f>_xlfn.XLOOKUP($A1203,Load!$B:$B,Load!J:J,0,)</f>
        <v>0</v>
      </c>
      <c r="J1203">
        <f>_xlfn.XLOOKUP($A1203,Load!$B:$B,Load!K:K,0,)</f>
        <v>0</v>
      </c>
      <c r="K1203">
        <f>_xlfn.XLOOKUP($A1203,Load!$B:$B,Load!L:L,0,)</f>
        <v>0</v>
      </c>
      <c r="L1203">
        <f>_xlfn.XLOOKUP($A1203,Load!$B:$B,Load!M:M,0,)</f>
        <v>0</v>
      </c>
    </row>
    <row r="1204" spans="1:12" x14ac:dyDescent="0.25">
      <c r="A1204" t="s">
        <v>155</v>
      </c>
      <c r="B1204" t="str">
        <f>_xlfn.XLOOKUP($A1204,Load!$B:$B,Load!C:C,0,)</f>
        <v>Jolly Rancher</v>
      </c>
      <c r="C1204" t="str">
        <f>_xlfn.XLOOKUP($A1204,Load!$B:$B,Load!D:D,0,)</f>
        <v>Non-Chocolate Candy Only</v>
      </c>
      <c r="D1204" t="str">
        <f>_xlfn.XLOOKUP($A1204,Load!$B:$B,Load!E:E,0,)</f>
        <v>Fruit Flavor (Cherry, Grape, Apple, Citrus, Tropical Fruit)</v>
      </c>
      <c r="E1204" t="str">
        <f>_xlfn.XLOOKUP($A1204,Load!$B:$B,Load!F:F,0,)</f>
        <v>Hard Candy</v>
      </c>
      <c r="F1204" t="str">
        <f>_xlfn.XLOOKUP($A1204,Load!$B:$B,Load!G:G,0,)</f>
        <v>Small Multipack (Less than 40 ct)</v>
      </c>
      <c r="G1204" t="str">
        <f>_xlfn.XLOOKUP($A1204,Load!$B:$B,Load!H:H,0,)</f>
        <v>Stand-Up Bag</v>
      </c>
      <c r="H1204" t="str">
        <f>_xlfn.XLOOKUP($A1204,Load!$B:$B,Load!I:I,0,)</f>
        <v>Everyday Candy Shapes (like Original, Gummy bear, Fruit, Jewels, etc.)</v>
      </c>
      <c r="I1204" t="str">
        <f>_xlfn.XLOOKUP($A1204,Load!$B:$B,Load!J:J,0,)</f>
        <v>Everyday Graphics</v>
      </c>
      <c r="J1204" t="str">
        <f>_xlfn.XLOOKUP($A1204,Load!$B:$B,Load!K:K,0,)</f>
        <v>Small Pieces (Tiny bite size candies)</v>
      </c>
      <c r="K1204" t="str">
        <f>_xlfn.XLOOKUP($A1204,Load!$B:$B,Load!L:L,0,)</f>
        <v>Regular/Original Wrapping</v>
      </c>
      <c r="L1204" t="str">
        <f>_xlfn.XLOOKUP($A1204,Load!$B:$B,Load!M:M,0,)</f>
        <v>Single Brand / Variety Flavors or Form</v>
      </c>
    </row>
    <row r="1205" spans="1:12" x14ac:dyDescent="0.25">
      <c r="A1205" t="s">
        <v>315</v>
      </c>
      <c r="B1205" t="str">
        <f>_xlfn.XLOOKUP($A1205,Load!$B:$B,Load!C:C,0,)</f>
        <v>YumEarth</v>
      </c>
      <c r="C1205" t="str">
        <f>_xlfn.XLOOKUP($A1205,Load!$B:$B,Load!D:D,0,)</f>
        <v>Non-Chocolate Candy Only</v>
      </c>
      <c r="D1205" t="str">
        <f>_xlfn.XLOOKUP($A1205,Load!$B:$B,Load!E:E,0,)</f>
        <v>Sour</v>
      </c>
      <c r="E1205" t="str">
        <f>_xlfn.XLOOKUP($A1205,Load!$B:$B,Load!F:F,0,)</f>
        <v>Chewy</v>
      </c>
      <c r="F1205" t="str">
        <f>_xlfn.XLOOKUP($A1205,Load!$B:$B,Load!G:G,0,)</f>
        <v>Small Multipack (Less than 40 ct)</v>
      </c>
      <c r="G1205" t="str">
        <f>_xlfn.XLOOKUP($A1205,Load!$B:$B,Load!H:H,0,)</f>
        <v>Box (theatre box, gift box, carton)</v>
      </c>
      <c r="H1205" t="str">
        <f>_xlfn.XLOOKUP($A1205,Load!$B:$B,Load!I:I,0,)</f>
        <v>Seasonal Shapes (like pumpkins, candy corn, ghost, bats, etc.)</v>
      </c>
      <c r="I1205" t="str">
        <f>_xlfn.XLOOKUP($A1205,Load!$B:$B,Load!J:J,0,)</f>
        <v>Seasonal Graphics (Like Bat, Ghost, Pumpkin, Fall Leaves, Eyeballs, etc.)</v>
      </c>
      <c r="J1205" t="str">
        <f>_xlfn.XLOOKUP($A1205,Load!$B:$B,Load!K:K,0,)</f>
        <v>Small Pieces (Tiny bite size candies)</v>
      </c>
      <c r="K1205" t="str">
        <f>_xlfn.XLOOKUP($A1205,Load!$B:$B,Load!L:L,0,)</f>
        <v>Regular/Original Wrapping</v>
      </c>
      <c r="L1205" t="str">
        <f>_xlfn.XLOOKUP($A1205,Load!$B:$B,Load!M:M,0,)</f>
        <v>Single Brand / Variety Flavors or Form</v>
      </c>
    </row>
    <row r="1206" spans="1:12" x14ac:dyDescent="0.25">
      <c r="A1206" t="s">
        <v>286</v>
      </c>
      <c r="B1206" t="str">
        <f>_xlfn.XLOOKUP($A1206,Load!$B:$B,Load!C:C,0,)</f>
        <v>SweeTARTS</v>
      </c>
      <c r="C1206" t="str">
        <f>_xlfn.XLOOKUP($A1206,Load!$B:$B,Load!D:D,0,)</f>
        <v>Non-Chocolate Candy Only</v>
      </c>
      <c r="D1206" t="str">
        <f>_xlfn.XLOOKUP($A1206,Load!$B:$B,Load!E:E,0,)</f>
        <v>Variety / Mixed Flavors (Fruity, Sour, Seasonal Flavors)</v>
      </c>
      <c r="E1206" t="str">
        <f>_xlfn.XLOOKUP($A1206,Load!$B:$B,Load!F:F,0,)</f>
        <v>Chewy</v>
      </c>
      <c r="F1206" t="str">
        <f>_xlfn.XLOOKUP($A1206,Load!$B:$B,Load!G:G,0,)</f>
        <v>Small Multipack (Less than 40 ct)</v>
      </c>
      <c r="G1206" t="str">
        <f>_xlfn.XLOOKUP($A1206,Load!$B:$B,Load!H:H,0,)</f>
        <v>Stand-Up Bag</v>
      </c>
      <c r="H1206" t="str">
        <f>_xlfn.XLOOKUP($A1206,Load!$B:$B,Load!I:I,0,)</f>
        <v>Everyday Candy Shapes (like Original, Gummy bear, Fruit, Jewels, etc.)</v>
      </c>
      <c r="I1206" t="str">
        <f>_xlfn.XLOOKUP($A1206,Load!$B:$B,Load!J:J,0,)</f>
        <v>Seasonal Graphics (Like Bat, Ghost, Pumpkin, Fall Leaves, Eyeballs, etc.)</v>
      </c>
      <c r="J1206" t="str">
        <f>_xlfn.XLOOKUP($A1206,Load!$B:$B,Load!K:K,0,)</f>
        <v>Fun Size / Treat Size</v>
      </c>
      <c r="K1206" t="str">
        <f>_xlfn.XLOOKUP($A1206,Load!$B:$B,Load!L:L,0,)</f>
        <v>Regular/Original Wrapping</v>
      </c>
      <c r="L1206" t="str">
        <f>_xlfn.XLOOKUP($A1206,Load!$B:$B,Load!M:M,0,)</f>
        <v>Single Brand / Variety Flavors or Form</v>
      </c>
    </row>
    <row r="1207" spans="1:12" x14ac:dyDescent="0.25">
      <c r="B1207">
        <f>_xlfn.XLOOKUP($A1207,Load!$B:$B,Load!C:C,0,)</f>
        <v>0</v>
      </c>
      <c r="C1207">
        <f>_xlfn.XLOOKUP($A1207,Load!$B:$B,Load!D:D,0,)</f>
        <v>0</v>
      </c>
      <c r="D1207">
        <f>_xlfn.XLOOKUP($A1207,Load!$B:$B,Load!E:E,0,)</f>
        <v>0</v>
      </c>
      <c r="E1207">
        <f>_xlfn.XLOOKUP($A1207,Load!$B:$B,Load!F:F,0,)</f>
        <v>0</v>
      </c>
      <c r="F1207">
        <f>_xlfn.XLOOKUP($A1207,Load!$B:$B,Load!G:G,0,)</f>
        <v>0</v>
      </c>
      <c r="G1207">
        <f>_xlfn.XLOOKUP($A1207,Load!$B:$B,Load!H:H,0,)</f>
        <v>0</v>
      </c>
      <c r="H1207">
        <f>_xlfn.XLOOKUP($A1207,Load!$B:$B,Load!I:I,0,)</f>
        <v>0</v>
      </c>
      <c r="I1207">
        <f>_xlfn.XLOOKUP($A1207,Load!$B:$B,Load!J:J,0,)</f>
        <v>0</v>
      </c>
      <c r="J1207">
        <f>_xlfn.XLOOKUP($A1207,Load!$B:$B,Load!K:K,0,)</f>
        <v>0</v>
      </c>
      <c r="K1207">
        <f>_xlfn.XLOOKUP($A1207,Load!$B:$B,Load!L:L,0,)</f>
        <v>0</v>
      </c>
      <c r="L1207">
        <f>_xlfn.XLOOKUP($A1207,Load!$B:$B,Load!M:M,0,)</f>
        <v>0</v>
      </c>
    </row>
    <row r="1208" spans="1:12" x14ac:dyDescent="0.25">
      <c r="A1208" t="s">
        <v>219</v>
      </c>
      <c r="B1208" t="str">
        <f>_xlfn.XLOOKUP($A1208,Load!$B:$B,Load!C:C,0,)</f>
        <v>Mondelez Variety Pack</v>
      </c>
      <c r="C1208" t="str">
        <f>_xlfn.XLOOKUP($A1208,Load!$B:$B,Load!D:D,0,)</f>
        <v>Non-Chocolate Candy Only</v>
      </c>
      <c r="D1208" t="str">
        <f>_xlfn.XLOOKUP($A1208,Load!$B:$B,Load!E:E,0,)</f>
        <v>Sour</v>
      </c>
      <c r="E1208" t="str">
        <f>_xlfn.XLOOKUP($A1208,Load!$B:$B,Load!F:F,0,)</f>
        <v>Chewy</v>
      </c>
      <c r="F1208" t="str">
        <f>_xlfn.XLOOKUP($A1208,Load!$B:$B,Load!G:G,0,)</f>
        <v>Medium Multipack (40–80 ct)</v>
      </c>
      <c r="G1208" t="str">
        <f>_xlfn.XLOOKUP($A1208,Load!$B:$B,Load!H:H,0,)</f>
        <v>Stand-Up Bag</v>
      </c>
      <c r="H1208" t="str">
        <f>_xlfn.XLOOKUP($A1208,Load!$B:$B,Load!I:I,0,)</f>
        <v>Everyday Candy Shapes (like Original, Gummy bear, Fruit, Jewels, etc.)</v>
      </c>
      <c r="I1208" t="str">
        <f>_xlfn.XLOOKUP($A1208,Load!$B:$B,Load!J:J,0,)</f>
        <v>Seasonal Graphics (Like Bat, Ghost, Pumpkin, Fall Leaves, Eyeballs, etc.)</v>
      </c>
      <c r="J1208" t="str">
        <f>_xlfn.XLOOKUP($A1208,Load!$B:$B,Load!K:K,0,)</f>
        <v>Small Pieces (Tiny bite size candies)</v>
      </c>
      <c r="K1208" t="str">
        <f>_xlfn.XLOOKUP($A1208,Load!$B:$B,Load!L:L,0,)</f>
        <v>Regular/Original Wrapping</v>
      </c>
      <c r="L1208" t="str">
        <f>_xlfn.XLOOKUP($A1208,Load!$B:$B,Load!M:M,0,)</f>
        <v>Multiple Brands / Variety Flavors or Form</v>
      </c>
    </row>
    <row r="1209" spans="1:12" x14ac:dyDescent="0.25">
      <c r="B1209">
        <f>_xlfn.XLOOKUP($A1209,Load!$B:$B,Load!C:C,0,)</f>
        <v>0</v>
      </c>
      <c r="C1209">
        <f>_xlfn.XLOOKUP($A1209,Load!$B:$B,Load!D:D,0,)</f>
        <v>0</v>
      </c>
      <c r="D1209">
        <f>_xlfn.XLOOKUP($A1209,Load!$B:$B,Load!E:E,0,)</f>
        <v>0</v>
      </c>
      <c r="E1209">
        <f>_xlfn.XLOOKUP($A1209,Load!$B:$B,Load!F:F,0,)</f>
        <v>0</v>
      </c>
      <c r="F1209">
        <f>_xlfn.XLOOKUP($A1209,Load!$B:$B,Load!G:G,0,)</f>
        <v>0</v>
      </c>
      <c r="G1209">
        <f>_xlfn.XLOOKUP($A1209,Load!$B:$B,Load!H:H,0,)</f>
        <v>0</v>
      </c>
      <c r="H1209">
        <f>_xlfn.XLOOKUP($A1209,Load!$B:$B,Load!I:I,0,)</f>
        <v>0</v>
      </c>
      <c r="I1209">
        <f>_xlfn.XLOOKUP($A1209,Load!$B:$B,Load!J:J,0,)</f>
        <v>0</v>
      </c>
      <c r="J1209">
        <f>_xlfn.XLOOKUP($A1209,Load!$B:$B,Load!K:K,0,)</f>
        <v>0</v>
      </c>
      <c r="K1209">
        <f>_xlfn.XLOOKUP($A1209,Load!$B:$B,Load!L:L,0,)</f>
        <v>0</v>
      </c>
      <c r="L1209">
        <f>_xlfn.XLOOKUP($A1209,Load!$B:$B,Load!M:M,0,)</f>
        <v>0</v>
      </c>
    </row>
    <row r="1210" spans="1:12" x14ac:dyDescent="0.25">
      <c r="B1210">
        <f>_xlfn.XLOOKUP($A1210,Load!$B:$B,Load!C:C,0,)</f>
        <v>0</v>
      </c>
      <c r="C1210">
        <f>_xlfn.XLOOKUP($A1210,Load!$B:$B,Load!D:D,0,)</f>
        <v>0</v>
      </c>
      <c r="D1210">
        <f>_xlfn.XLOOKUP($A1210,Load!$B:$B,Load!E:E,0,)</f>
        <v>0</v>
      </c>
      <c r="E1210">
        <f>_xlfn.XLOOKUP($A1210,Load!$B:$B,Load!F:F,0,)</f>
        <v>0</v>
      </c>
      <c r="F1210">
        <f>_xlfn.XLOOKUP($A1210,Load!$B:$B,Load!G:G,0,)</f>
        <v>0</v>
      </c>
      <c r="G1210">
        <f>_xlfn.XLOOKUP($A1210,Load!$B:$B,Load!H:H,0,)</f>
        <v>0</v>
      </c>
      <c r="H1210">
        <f>_xlfn.XLOOKUP($A1210,Load!$B:$B,Load!I:I,0,)</f>
        <v>0</v>
      </c>
      <c r="I1210">
        <f>_xlfn.XLOOKUP($A1210,Load!$B:$B,Load!J:J,0,)</f>
        <v>0</v>
      </c>
      <c r="J1210">
        <f>_xlfn.XLOOKUP($A1210,Load!$B:$B,Load!K:K,0,)</f>
        <v>0</v>
      </c>
      <c r="K1210">
        <f>_xlfn.XLOOKUP($A1210,Load!$B:$B,Load!L:L,0,)</f>
        <v>0</v>
      </c>
      <c r="L1210">
        <f>_xlfn.XLOOKUP($A1210,Load!$B:$B,Load!M:M,0,)</f>
        <v>0</v>
      </c>
    </row>
    <row r="1211" spans="1:12" x14ac:dyDescent="0.25">
      <c r="B1211">
        <f>_xlfn.XLOOKUP($A1211,Load!$B:$B,Load!C:C,0,)</f>
        <v>0</v>
      </c>
      <c r="C1211">
        <f>_xlfn.XLOOKUP($A1211,Load!$B:$B,Load!D:D,0,)</f>
        <v>0</v>
      </c>
      <c r="D1211">
        <f>_xlfn.XLOOKUP($A1211,Load!$B:$B,Load!E:E,0,)</f>
        <v>0</v>
      </c>
      <c r="E1211">
        <f>_xlfn.XLOOKUP($A1211,Load!$B:$B,Load!F:F,0,)</f>
        <v>0</v>
      </c>
      <c r="F1211">
        <f>_xlfn.XLOOKUP($A1211,Load!$B:$B,Load!G:G,0,)</f>
        <v>0</v>
      </c>
      <c r="G1211">
        <f>_xlfn.XLOOKUP($A1211,Load!$B:$B,Load!H:H,0,)</f>
        <v>0</v>
      </c>
      <c r="H1211">
        <f>_xlfn.XLOOKUP($A1211,Load!$B:$B,Load!I:I,0,)</f>
        <v>0</v>
      </c>
      <c r="I1211">
        <f>_xlfn.XLOOKUP($A1211,Load!$B:$B,Load!J:J,0,)</f>
        <v>0</v>
      </c>
      <c r="J1211">
        <f>_xlfn.XLOOKUP($A1211,Load!$B:$B,Load!K:K,0,)</f>
        <v>0</v>
      </c>
      <c r="K1211">
        <f>_xlfn.XLOOKUP($A1211,Load!$B:$B,Load!L:L,0,)</f>
        <v>0</v>
      </c>
      <c r="L1211">
        <f>_xlfn.XLOOKUP($A1211,Load!$B:$B,Load!M:M,0,)</f>
        <v>0</v>
      </c>
    </row>
    <row r="1212" spans="1:12" x14ac:dyDescent="0.25">
      <c r="A1212" t="s">
        <v>115</v>
      </c>
      <c r="B1212" t="str">
        <f>_xlfn.XLOOKUP($A1212,Load!$B:$B,Load!C:C,0,)</f>
        <v>George Howe</v>
      </c>
      <c r="C1212" t="str">
        <f>_xlfn.XLOOKUP($A1212,Load!$B:$B,Load!D:D,0,)</f>
        <v>Non-Chocolate Candy Only</v>
      </c>
      <c r="D1212" t="str">
        <f>_xlfn.XLOOKUP($A1212,Load!$B:$B,Load!E:E,0,)</f>
        <v>Fall / Seasonal Flavors (pumpkin spice, caramel apple, candy corn)</v>
      </c>
      <c r="E1212" t="str">
        <f>_xlfn.XLOOKUP($A1212,Load!$B:$B,Load!F:F,0,)</f>
        <v>Candy Pieces / Bites</v>
      </c>
      <c r="F1212" t="str">
        <f>_xlfn.XLOOKUP($A1212,Load!$B:$B,Load!G:G,0,)</f>
        <v>Single Pack</v>
      </c>
      <c r="G1212" t="str">
        <f>_xlfn.XLOOKUP($A1212,Load!$B:$B,Load!H:H,0,)</f>
        <v>Laydown Bag</v>
      </c>
      <c r="H1212" t="str">
        <f>_xlfn.XLOOKUP($A1212,Load!$B:$B,Load!I:I,0,)</f>
        <v>Seasonal Shapes (like pumpkins, candy corn, ghost, bats, etc.)</v>
      </c>
      <c r="I1212" t="str">
        <f>_xlfn.XLOOKUP($A1212,Load!$B:$B,Load!J:J,0,)</f>
        <v>Everyday Graphics</v>
      </c>
      <c r="J1212" t="str">
        <f>_xlfn.XLOOKUP($A1212,Load!$B:$B,Load!K:K,0,)</f>
        <v>Small Pieces (Tiny bite size candies)</v>
      </c>
      <c r="K1212" t="str">
        <f>_xlfn.XLOOKUP($A1212,Load!$B:$B,Load!L:L,0,)</f>
        <v>Unwrapped</v>
      </c>
      <c r="L1212" t="str">
        <f>_xlfn.XLOOKUP($A1212,Load!$B:$B,Load!M:M,0,)</f>
        <v>Single Brand / Single Flavor or Form</v>
      </c>
    </row>
    <row r="1213" spans="1:12" x14ac:dyDescent="0.25">
      <c r="B1213">
        <f>_xlfn.XLOOKUP($A1213,Load!$B:$B,Load!C:C,0,)</f>
        <v>0</v>
      </c>
      <c r="C1213">
        <f>_xlfn.XLOOKUP($A1213,Load!$B:$B,Load!D:D,0,)</f>
        <v>0</v>
      </c>
      <c r="D1213">
        <f>_xlfn.XLOOKUP($A1213,Load!$B:$B,Load!E:E,0,)</f>
        <v>0</v>
      </c>
      <c r="E1213">
        <f>_xlfn.XLOOKUP($A1213,Load!$B:$B,Load!F:F,0,)</f>
        <v>0</v>
      </c>
      <c r="F1213">
        <f>_xlfn.XLOOKUP($A1213,Load!$B:$B,Load!G:G,0,)</f>
        <v>0</v>
      </c>
      <c r="G1213">
        <f>_xlfn.XLOOKUP($A1213,Load!$B:$B,Load!H:H,0,)</f>
        <v>0</v>
      </c>
      <c r="H1213">
        <f>_xlfn.XLOOKUP($A1213,Load!$B:$B,Load!I:I,0,)</f>
        <v>0</v>
      </c>
      <c r="I1213">
        <f>_xlfn.XLOOKUP($A1213,Load!$B:$B,Load!J:J,0,)</f>
        <v>0</v>
      </c>
      <c r="J1213">
        <f>_xlfn.XLOOKUP($A1213,Load!$B:$B,Load!K:K,0,)</f>
        <v>0</v>
      </c>
      <c r="K1213">
        <f>_xlfn.XLOOKUP($A1213,Load!$B:$B,Load!L:L,0,)</f>
        <v>0</v>
      </c>
      <c r="L1213">
        <f>_xlfn.XLOOKUP($A1213,Load!$B:$B,Load!M:M,0,)</f>
        <v>0</v>
      </c>
    </row>
    <row r="1214" spans="1:12" x14ac:dyDescent="0.25">
      <c r="A1214" t="s">
        <v>182</v>
      </c>
      <c r="B1214" t="str">
        <f>_xlfn.XLOOKUP($A1214,Load!$B:$B,Load!C:C,0,)</f>
        <v>Mars Variety Pack</v>
      </c>
      <c r="C1214" t="str">
        <f>_xlfn.XLOOKUP($A1214,Load!$B:$B,Load!D:D,0,)</f>
        <v>Non-Chocolate Candy Only</v>
      </c>
      <c r="D1214" t="str">
        <f>_xlfn.XLOOKUP($A1214,Load!$B:$B,Load!E:E,0,)</f>
        <v>Variety / Mixed Flavors (Fruity, Sour, Seasonal Flavors)</v>
      </c>
      <c r="E1214" t="str">
        <f>_xlfn.XLOOKUP($A1214,Load!$B:$B,Load!F:F,0,)</f>
        <v>Mixed / Combo Packs (Gummy, Chewy, Taffy, etc.)</v>
      </c>
      <c r="F1214" t="str">
        <f>_xlfn.XLOOKUP($A1214,Load!$B:$B,Load!G:G,0,)</f>
        <v>Large Multipack (More than 80 ct)</v>
      </c>
      <c r="G1214" t="str">
        <f>_xlfn.XLOOKUP($A1214,Load!$B:$B,Load!H:H,0,)</f>
        <v>Stand-Up Bag</v>
      </c>
      <c r="H1214" t="str">
        <f>_xlfn.XLOOKUP($A1214,Load!$B:$B,Load!I:I,0,)</f>
        <v>Everyday Candy Shapes (like Original, Gummy bear, Fruit, Jewels, etc.)</v>
      </c>
      <c r="I1214" t="str">
        <f>_xlfn.XLOOKUP($A1214,Load!$B:$B,Load!J:J,0,)</f>
        <v>Seasonal Graphics (Like Bat, Ghost, Pumpkin, Fall Leaves, Eyeballs, etc.)</v>
      </c>
      <c r="J1214" t="str">
        <f>_xlfn.XLOOKUP($A1214,Load!$B:$B,Load!K:K,0,)</f>
        <v xml:space="preserve">Variety Candy Sizes </v>
      </c>
      <c r="K1214" t="str">
        <f>_xlfn.XLOOKUP($A1214,Load!$B:$B,Load!L:L,0,)</f>
        <v>Regular/Original Wrapping</v>
      </c>
      <c r="L1214" t="str">
        <f>_xlfn.XLOOKUP($A1214,Load!$B:$B,Load!M:M,0,)</f>
        <v>Multiple Brands / Variety Flavors or Form</v>
      </c>
    </row>
    <row r="1215" spans="1:12" x14ac:dyDescent="0.25">
      <c r="A1215" t="s">
        <v>181</v>
      </c>
      <c r="B1215" t="str">
        <f>_xlfn.XLOOKUP($A1215,Load!$B:$B,Load!C:C,0,)</f>
        <v>Mars Variety Pack</v>
      </c>
      <c r="C1215" t="str">
        <f>_xlfn.XLOOKUP($A1215,Load!$B:$B,Load!D:D,0,)</f>
        <v>Mix of Chocolate and Non-Chocolate Candy</v>
      </c>
      <c r="D1215" t="str">
        <f>_xlfn.XLOOKUP($A1215,Load!$B:$B,Load!E:E,0,)</f>
        <v>Variety / Mixed Flavors (Fruity, Sour, Seasonal Flavors)</v>
      </c>
      <c r="E1215" t="str">
        <f>_xlfn.XLOOKUP($A1215,Load!$B:$B,Load!F:F,0,)</f>
        <v>Mixed / Combo Packs (Gummy, Chewy, Taffy, etc.)</v>
      </c>
      <c r="F1215" t="str">
        <f>_xlfn.XLOOKUP($A1215,Load!$B:$B,Load!G:G,0,)</f>
        <v>Large Multipack (More than 80 ct)</v>
      </c>
      <c r="G1215" t="str">
        <f>_xlfn.XLOOKUP($A1215,Load!$B:$B,Load!H:H,0,)</f>
        <v>Stand-Up Bag</v>
      </c>
      <c r="H1215" t="str">
        <f>_xlfn.XLOOKUP($A1215,Load!$B:$B,Load!I:I,0,)</f>
        <v>Everyday Candy Shapes (like Original, Gummy bear, Fruit, Jewels, etc.)</v>
      </c>
      <c r="I1215" t="str">
        <f>_xlfn.XLOOKUP($A1215,Load!$B:$B,Load!J:J,0,)</f>
        <v>Seasonal Graphics (Like Bat, Ghost, Pumpkin, Fall Leaves, Eyeballs, etc.)</v>
      </c>
      <c r="J1215" t="str">
        <f>_xlfn.XLOOKUP($A1215,Load!$B:$B,Load!K:K,0,)</f>
        <v>Fun Size / Treat Size</v>
      </c>
      <c r="K1215" t="str">
        <f>_xlfn.XLOOKUP($A1215,Load!$B:$B,Load!L:L,0,)</f>
        <v>Regular/Original Wrapping</v>
      </c>
      <c r="L1215" t="str">
        <f>_xlfn.XLOOKUP($A1215,Load!$B:$B,Load!M:M,0,)</f>
        <v>Multiple Brands / Variety Flavors or Form</v>
      </c>
    </row>
    <row r="1216" spans="1:12" x14ac:dyDescent="0.25">
      <c r="A1216" t="s">
        <v>193</v>
      </c>
      <c r="B1216" t="str">
        <f>_xlfn.XLOOKUP($A1216,Load!$B:$B,Load!C:C,0,)</f>
        <v>Mars Variety Pack</v>
      </c>
      <c r="C1216" t="str">
        <f>_xlfn.XLOOKUP($A1216,Load!$B:$B,Load!D:D,0,)</f>
        <v>Mix of Chocolate and Non-Chocolate Candy</v>
      </c>
      <c r="D1216" t="str">
        <f>_xlfn.XLOOKUP($A1216,Load!$B:$B,Load!E:E,0,)</f>
        <v>Variety / Mixed Flavors (Fruity, Sour, Seasonal Flavors)</v>
      </c>
      <c r="E1216" t="str">
        <f>_xlfn.XLOOKUP($A1216,Load!$B:$B,Load!F:F,0,)</f>
        <v>Mixed / Combo Packs (Gummy, Chewy, Taffy, etc.)</v>
      </c>
      <c r="F1216" t="str">
        <f>_xlfn.XLOOKUP($A1216,Load!$B:$B,Load!G:G,0,)</f>
        <v>Medium Multipack (40–80 ct)</v>
      </c>
      <c r="G1216" t="str">
        <f>_xlfn.XLOOKUP($A1216,Load!$B:$B,Load!H:H,0,)</f>
        <v>Laydown Bag</v>
      </c>
      <c r="H1216" t="str">
        <f>_xlfn.XLOOKUP($A1216,Load!$B:$B,Load!I:I,0,)</f>
        <v>Everyday Candy Shapes (like Original, Gummy bear, Fruit, Jewels, etc.)</v>
      </c>
      <c r="I1216" t="str">
        <f>_xlfn.XLOOKUP($A1216,Load!$B:$B,Load!J:J,0,)</f>
        <v>Seasonal Graphics (Like Bat, Ghost, Pumpkin, Fall Leaves, Eyeballs, etc.)</v>
      </c>
      <c r="J1216" t="str">
        <f>_xlfn.XLOOKUP($A1216,Load!$B:$B,Load!K:K,0,)</f>
        <v>Fun Size / Treat Size</v>
      </c>
      <c r="K1216" t="str">
        <f>_xlfn.XLOOKUP($A1216,Load!$B:$B,Load!L:L,0,)</f>
        <v>Regular/Original Wrapping</v>
      </c>
      <c r="L1216" t="str">
        <f>_xlfn.XLOOKUP($A1216,Load!$B:$B,Load!M:M,0,)</f>
        <v>Multiple Brands / Variety Flavors or Form</v>
      </c>
    </row>
    <row r="1217" spans="1:12" x14ac:dyDescent="0.25">
      <c r="B1217">
        <f>_xlfn.XLOOKUP($A1217,Load!$B:$B,Load!C:C,0,)</f>
        <v>0</v>
      </c>
      <c r="C1217">
        <f>_xlfn.XLOOKUP($A1217,Load!$B:$B,Load!D:D,0,)</f>
        <v>0</v>
      </c>
      <c r="D1217">
        <f>_xlfn.XLOOKUP($A1217,Load!$B:$B,Load!E:E,0,)</f>
        <v>0</v>
      </c>
      <c r="E1217">
        <f>_xlfn.XLOOKUP($A1217,Load!$B:$B,Load!F:F,0,)</f>
        <v>0</v>
      </c>
      <c r="F1217">
        <f>_xlfn.XLOOKUP($A1217,Load!$B:$B,Load!G:G,0,)</f>
        <v>0</v>
      </c>
      <c r="G1217">
        <f>_xlfn.XLOOKUP($A1217,Load!$B:$B,Load!H:H,0,)</f>
        <v>0</v>
      </c>
      <c r="H1217">
        <f>_xlfn.XLOOKUP($A1217,Load!$B:$B,Load!I:I,0,)</f>
        <v>0</v>
      </c>
      <c r="I1217">
        <f>_xlfn.XLOOKUP($A1217,Load!$B:$B,Load!J:J,0,)</f>
        <v>0</v>
      </c>
      <c r="J1217">
        <f>_xlfn.XLOOKUP($A1217,Load!$B:$B,Load!K:K,0,)</f>
        <v>0</v>
      </c>
      <c r="K1217">
        <f>_xlfn.XLOOKUP($A1217,Load!$B:$B,Load!L:L,0,)</f>
        <v>0</v>
      </c>
      <c r="L1217">
        <f>_xlfn.XLOOKUP($A1217,Load!$B:$B,Load!M:M,0,)</f>
        <v>0</v>
      </c>
    </row>
    <row r="1218" spans="1:12" x14ac:dyDescent="0.25">
      <c r="A1218" t="s">
        <v>223</v>
      </c>
      <c r="B1218" t="str">
        <f>_xlfn.XLOOKUP($A1218,Load!$B:$B,Load!C:C,0,)</f>
        <v>Nerds</v>
      </c>
      <c r="C1218" t="str">
        <f>_xlfn.XLOOKUP($A1218,Load!$B:$B,Load!D:D,0,)</f>
        <v>Non-Chocolate Candy Only</v>
      </c>
      <c r="D1218" t="str">
        <f>_xlfn.XLOOKUP($A1218,Load!$B:$B,Load!E:E,0,)</f>
        <v>Sweet</v>
      </c>
      <c r="E1218" t="str">
        <f>_xlfn.XLOOKUP($A1218,Load!$B:$B,Load!F:F,0,)</f>
        <v>Gummy</v>
      </c>
      <c r="F1218" t="str">
        <f>_xlfn.XLOOKUP($A1218,Load!$B:$B,Load!G:G,0,)</f>
        <v>Small Multipack (Less than 40 ct)</v>
      </c>
      <c r="G1218" t="str">
        <f>_xlfn.XLOOKUP($A1218,Load!$B:$B,Load!H:H,0,)</f>
        <v>Laydown Bag</v>
      </c>
      <c r="H1218" t="str">
        <f>_xlfn.XLOOKUP($A1218,Load!$B:$B,Load!I:I,0,)</f>
        <v>Everyday Candy Shapes (like Original, Gummy bear, Fruit, Jewels, etc.)</v>
      </c>
      <c r="I1218" t="str">
        <f>_xlfn.XLOOKUP($A1218,Load!$B:$B,Load!J:J,0,)</f>
        <v>Seasonal Graphics (Like Bat, Ghost, Pumpkin, Fall Leaves, Eyeballs, etc.)</v>
      </c>
      <c r="J1218" t="str">
        <f>_xlfn.XLOOKUP($A1218,Load!$B:$B,Load!K:K,0,)</f>
        <v>Small Pieces (Tiny bite size candies)</v>
      </c>
      <c r="K1218" t="str">
        <f>_xlfn.XLOOKUP($A1218,Load!$B:$B,Load!L:L,0,)</f>
        <v>Regular/Original Wrapping</v>
      </c>
      <c r="L1218" t="str">
        <f>_xlfn.XLOOKUP($A1218,Load!$B:$B,Load!M:M,0,)</f>
        <v>Single Brand / Variety Flavors or Form</v>
      </c>
    </row>
    <row r="1219" spans="1:12" x14ac:dyDescent="0.25">
      <c r="A1219" t="s">
        <v>228</v>
      </c>
      <c r="B1219" t="str">
        <f>_xlfn.XLOOKUP($A1219,Load!$B:$B,Load!C:C,0,)</f>
        <v>Nerds</v>
      </c>
      <c r="C1219" t="str">
        <f>_xlfn.XLOOKUP($A1219,Load!$B:$B,Load!D:D,0,)</f>
        <v>Non-Chocolate Candy Only</v>
      </c>
      <c r="D1219" t="str">
        <f>_xlfn.XLOOKUP($A1219,Load!$B:$B,Load!E:E,0,)</f>
        <v>Berry Based (Raspberry, Strawberry, Medley, etc.)</v>
      </c>
      <c r="E1219" t="str">
        <f>_xlfn.XLOOKUP($A1219,Load!$B:$B,Load!F:F,0,)</f>
        <v>Hard Candy</v>
      </c>
      <c r="F1219" t="str">
        <f>_xlfn.XLOOKUP($A1219,Load!$B:$B,Load!G:G,0,)</f>
        <v>Single Pack</v>
      </c>
      <c r="G1219" t="str">
        <f>_xlfn.XLOOKUP($A1219,Load!$B:$B,Load!H:H,0,)</f>
        <v>Laydown Bag</v>
      </c>
      <c r="H1219" t="str">
        <f>_xlfn.XLOOKUP($A1219,Load!$B:$B,Load!I:I,0,)</f>
        <v>Everyday Candy Shapes (like Original, Gummy bear, Fruit, Jewels, etc.)</v>
      </c>
      <c r="I1219" t="str">
        <f>_xlfn.XLOOKUP($A1219,Load!$B:$B,Load!J:J,0,)</f>
        <v>Seasonal Graphics (Like Bat, Ghost, Pumpkin, Fall Leaves, Eyeballs, etc.)</v>
      </c>
      <c r="J1219" t="str">
        <f>_xlfn.XLOOKUP($A1219,Load!$B:$B,Load!K:K,0,)</f>
        <v>Small Pieces (Tiny bite size candies)</v>
      </c>
      <c r="K1219" t="str">
        <f>_xlfn.XLOOKUP($A1219,Load!$B:$B,Load!L:L,0,)</f>
        <v>Unwrapped</v>
      </c>
      <c r="L1219" t="str">
        <f>_xlfn.XLOOKUP($A1219,Load!$B:$B,Load!M:M,0,)</f>
        <v>Single Brand / Variety Flavors or Form</v>
      </c>
    </row>
    <row r="1220" spans="1:12" x14ac:dyDescent="0.25">
      <c r="B1220">
        <f>_xlfn.XLOOKUP($A1220,Load!$B:$B,Load!C:C,0,)</f>
        <v>0</v>
      </c>
      <c r="C1220">
        <f>_xlfn.XLOOKUP($A1220,Load!$B:$B,Load!D:D,0,)</f>
        <v>0</v>
      </c>
      <c r="D1220">
        <f>_xlfn.XLOOKUP($A1220,Load!$B:$B,Load!E:E,0,)</f>
        <v>0</v>
      </c>
      <c r="E1220">
        <f>_xlfn.XLOOKUP($A1220,Load!$B:$B,Load!F:F,0,)</f>
        <v>0</v>
      </c>
      <c r="F1220">
        <f>_xlfn.XLOOKUP($A1220,Load!$B:$B,Load!G:G,0,)</f>
        <v>0</v>
      </c>
      <c r="G1220">
        <f>_xlfn.XLOOKUP($A1220,Load!$B:$B,Load!H:H,0,)</f>
        <v>0</v>
      </c>
      <c r="H1220">
        <f>_xlfn.XLOOKUP($A1220,Load!$B:$B,Load!I:I,0,)</f>
        <v>0</v>
      </c>
      <c r="I1220">
        <f>_xlfn.XLOOKUP($A1220,Load!$B:$B,Load!J:J,0,)</f>
        <v>0</v>
      </c>
      <c r="J1220">
        <f>_xlfn.XLOOKUP($A1220,Load!$B:$B,Load!K:K,0,)</f>
        <v>0</v>
      </c>
      <c r="K1220">
        <f>_xlfn.XLOOKUP($A1220,Load!$B:$B,Load!L:L,0,)</f>
        <v>0</v>
      </c>
      <c r="L1220">
        <f>_xlfn.XLOOKUP($A1220,Load!$B:$B,Load!M:M,0,)</f>
        <v>0</v>
      </c>
    </row>
    <row r="1221" spans="1:12" x14ac:dyDescent="0.25">
      <c r="B1221">
        <f>_xlfn.XLOOKUP($A1221,Load!$B:$B,Load!C:C,0,)</f>
        <v>0</v>
      </c>
      <c r="C1221">
        <f>_xlfn.XLOOKUP($A1221,Load!$B:$B,Load!D:D,0,)</f>
        <v>0</v>
      </c>
      <c r="D1221">
        <f>_xlfn.XLOOKUP($A1221,Load!$B:$B,Load!E:E,0,)</f>
        <v>0</v>
      </c>
      <c r="E1221">
        <f>_xlfn.XLOOKUP($A1221,Load!$B:$B,Load!F:F,0,)</f>
        <v>0</v>
      </c>
      <c r="F1221">
        <f>_xlfn.XLOOKUP($A1221,Load!$B:$B,Load!G:G,0,)</f>
        <v>0</v>
      </c>
      <c r="G1221">
        <f>_xlfn.XLOOKUP($A1221,Load!$B:$B,Load!H:H,0,)</f>
        <v>0</v>
      </c>
      <c r="H1221">
        <f>_xlfn.XLOOKUP($A1221,Load!$B:$B,Load!I:I,0,)</f>
        <v>0</v>
      </c>
      <c r="I1221">
        <f>_xlfn.XLOOKUP($A1221,Load!$B:$B,Load!J:J,0,)</f>
        <v>0</v>
      </c>
      <c r="J1221">
        <f>_xlfn.XLOOKUP($A1221,Load!$B:$B,Load!K:K,0,)</f>
        <v>0</v>
      </c>
      <c r="K1221">
        <f>_xlfn.XLOOKUP($A1221,Load!$B:$B,Load!L:L,0,)</f>
        <v>0</v>
      </c>
      <c r="L1221">
        <f>_xlfn.XLOOKUP($A1221,Load!$B:$B,Load!M:M,0,)</f>
        <v>0</v>
      </c>
    </row>
    <row r="1222" spans="1:12" x14ac:dyDescent="0.25">
      <c r="B1222">
        <f>_xlfn.XLOOKUP($A1222,Load!$B:$B,Load!C:C,0,)</f>
        <v>0</v>
      </c>
      <c r="C1222">
        <f>_xlfn.XLOOKUP($A1222,Load!$B:$B,Load!D:D,0,)</f>
        <v>0</v>
      </c>
      <c r="D1222">
        <f>_xlfn.XLOOKUP($A1222,Load!$B:$B,Load!E:E,0,)</f>
        <v>0</v>
      </c>
      <c r="E1222">
        <f>_xlfn.XLOOKUP($A1222,Load!$B:$B,Load!F:F,0,)</f>
        <v>0</v>
      </c>
      <c r="F1222">
        <f>_xlfn.XLOOKUP($A1222,Load!$B:$B,Load!G:G,0,)</f>
        <v>0</v>
      </c>
      <c r="G1222">
        <f>_xlfn.XLOOKUP($A1222,Load!$B:$B,Load!H:H,0,)</f>
        <v>0</v>
      </c>
      <c r="H1222">
        <f>_xlfn.XLOOKUP($A1222,Load!$B:$B,Load!I:I,0,)</f>
        <v>0</v>
      </c>
      <c r="I1222">
        <f>_xlfn.XLOOKUP($A1222,Load!$B:$B,Load!J:J,0,)</f>
        <v>0</v>
      </c>
      <c r="J1222">
        <f>_xlfn.XLOOKUP($A1222,Load!$B:$B,Load!K:K,0,)</f>
        <v>0</v>
      </c>
      <c r="K1222">
        <f>_xlfn.XLOOKUP($A1222,Load!$B:$B,Load!L:L,0,)</f>
        <v>0</v>
      </c>
      <c r="L1222">
        <f>_xlfn.XLOOKUP($A1222,Load!$B:$B,Load!M:M,0,)</f>
        <v>0</v>
      </c>
    </row>
    <row r="1223" spans="1:12" x14ac:dyDescent="0.25">
      <c r="B1223">
        <f>_xlfn.XLOOKUP($A1223,Load!$B:$B,Load!C:C,0,)</f>
        <v>0</v>
      </c>
      <c r="C1223">
        <f>_xlfn.XLOOKUP($A1223,Load!$B:$B,Load!D:D,0,)</f>
        <v>0</v>
      </c>
      <c r="D1223">
        <f>_xlfn.XLOOKUP($A1223,Load!$B:$B,Load!E:E,0,)</f>
        <v>0</v>
      </c>
      <c r="E1223">
        <f>_xlfn.XLOOKUP($A1223,Load!$B:$B,Load!F:F,0,)</f>
        <v>0</v>
      </c>
      <c r="F1223">
        <f>_xlfn.XLOOKUP($A1223,Load!$B:$B,Load!G:G,0,)</f>
        <v>0</v>
      </c>
      <c r="G1223">
        <f>_xlfn.XLOOKUP($A1223,Load!$B:$B,Load!H:H,0,)</f>
        <v>0</v>
      </c>
      <c r="H1223">
        <f>_xlfn.XLOOKUP($A1223,Load!$B:$B,Load!I:I,0,)</f>
        <v>0</v>
      </c>
      <c r="I1223">
        <f>_xlfn.XLOOKUP($A1223,Load!$B:$B,Load!J:J,0,)</f>
        <v>0</v>
      </c>
      <c r="J1223">
        <f>_xlfn.XLOOKUP($A1223,Load!$B:$B,Load!K:K,0,)</f>
        <v>0</v>
      </c>
      <c r="K1223">
        <f>_xlfn.XLOOKUP($A1223,Load!$B:$B,Load!L:L,0,)</f>
        <v>0</v>
      </c>
      <c r="L1223">
        <f>_xlfn.XLOOKUP($A1223,Load!$B:$B,Load!M:M,0,)</f>
        <v>0</v>
      </c>
    </row>
    <row r="1224" spans="1:12" x14ac:dyDescent="0.25">
      <c r="B1224">
        <f>_xlfn.XLOOKUP($A1224,Load!$B:$B,Load!C:C,0,)</f>
        <v>0</v>
      </c>
      <c r="C1224">
        <f>_xlfn.XLOOKUP($A1224,Load!$B:$B,Load!D:D,0,)</f>
        <v>0</v>
      </c>
      <c r="D1224">
        <f>_xlfn.XLOOKUP($A1224,Load!$B:$B,Load!E:E,0,)</f>
        <v>0</v>
      </c>
      <c r="E1224">
        <f>_xlfn.XLOOKUP($A1224,Load!$B:$B,Load!F:F,0,)</f>
        <v>0</v>
      </c>
      <c r="F1224">
        <f>_xlfn.XLOOKUP($A1224,Load!$B:$B,Load!G:G,0,)</f>
        <v>0</v>
      </c>
      <c r="G1224">
        <f>_xlfn.XLOOKUP($A1224,Load!$B:$B,Load!H:H,0,)</f>
        <v>0</v>
      </c>
      <c r="H1224">
        <f>_xlfn.XLOOKUP($A1224,Load!$B:$B,Load!I:I,0,)</f>
        <v>0</v>
      </c>
      <c r="I1224">
        <f>_xlfn.XLOOKUP($A1224,Load!$B:$B,Load!J:J,0,)</f>
        <v>0</v>
      </c>
      <c r="J1224">
        <f>_xlfn.XLOOKUP($A1224,Load!$B:$B,Load!K:K,0,)</f>
        <v>0</v>
      </c>
      <c r="K1224">
        <f>_xlfn.XLOOKUP($A1224,Load!$B:$B,Load!L:L,0,)</f>
        <v>0</v>
      </c>
      <c r="L1224">
        <f>_xlfn.XLOOKUP($A1224,Load!$B:$B,Load!M:M,0,)</f>
        <v>0</v>
      </c>
    </row>
    <row r="1225" spans="1:12" x14ac:dyDescent="0.25">
      <c r="B1225">
        <f>_xlfn.XLOOKUP($A1225,Load!$B:$B,Load!C:C,0,)</f>
        <v>0</v>
      </c>
      <c r="C1225">
        <f>_xlfn.XLOOKUP($A1225,Load!$B:$B,Load!D:D,0,)</f>
        <v>0</v>
      </c>
      <c r="D1225">
        <f>_xlfn.XLOOKUP($A1225,Load!$B:$B,Load!E:E,0,)</f>
        <v>0</v>
      </c>
      <c r="E1225">
        <f>_xlfn.XLOOKUP($A1225,Load!$B:$B,Load!F:F,0,)</f>
        <v>0</v>
      </c>
      <c r="F1225">
        <f>_xlfn.XLOOKUP($A1225,Load!$B:$B,Load!G:G,0,)</f>
        <v>0</v>
      </c>
      <c r="G1225">
        <f>_xlfn.XLOOKUP($A1225,Load!$B:$B,Load!H:H,0,)</f>
        <v>0</v>
      </c>
      <c r="H1225">
        <f>_xlfn.XLOOKUP($A1225,Load!$B:$B,Load!I:I,0,)</f>
        <v>0</v>
      </c>
      <c r="I1225">
        <f>_xlfn.XLOOKUP($A1225,Load!$B:$B,Load!J:J,0,)</f>
        <v>0</v>
      </c>
      <c r="J1225">
        <f>_xlfn.XLOOKUP($A1225,Load!$B:$B,Load!K:K,0,)</f>
        <v>0</v>
      </c>
      <c r="K1225">
        <f>_xlfn.XLOOKUP($A1225,Load!$B:$B,Load!L:L,0,)</f>
        <v>0</v>
      </c>
      <c r="L1225">
        <f>_xlfn.XLOOKUP($A1225,Load!$B:$B,Load!M:M,0,)</f>
        <v>0</v>
      </c>
    </row>
    <row r="1226" spans="1:12" x14ac:dyDescent="0.25">
      <c r="B1226">
        <f>_xlfn.XLOOKUP($A1226,Load!$B:$B,Load!C:C,0,)</f>
        <v>0</v>
      </c>
      <c r="C1226">
        <f>_xlfn.XLOOKUP($A1226,Load!$B:$B,Load!D:D,0,)</f>
        <v>0</v>
      </c>
      <c r="D1226">
        <f>_xlfn.XLOOKUP($A1226,Load!$B:$B,Load!E:E,0,)</f>
        <v>0</v>
      </c>
      <c r="E1226">
        <f>_xlfn.XLOOKUP($A1226,Load!$B:$B,Load!F:F,0,)</f>
        <v>0</v>
      </c>
      <c r="F1226">
        <f>_xlfn.XLOOKUP($A1226,Load!$B:$B,Load!G:G,0,)</f>
        <v>0</v>
      </c>
      <c r="G1226">
        <f>_xlfn.XLOOKUP($A1226,Load!$B:$B,Load!H:H,0,)</f>
        <v>0</v>
      </c>
      <c r="H1226">
        <f>_xlfn.XLOOKUP($A1226,Load!$B:$B,Load!I:I,0,)</f>
        <v>0</v>
      </c>
      <c r="I1226">
        <f>_xlfn.XLOOKUP($A1226,Load!$B:$B,Load!J:J,0,)</f>
        <v>0</v>
      </c>
      <c r="J1226">
        <f>_xlfn.XLOOKUP($A1226,Load!$B:$B,Load!K:K,0,)</f>
        <v>0</v>
      </c>
      <c r="K1226">
        <f>_xlfn.XLOOKUP($A1226,Load!$B:$B,Load!L:L,0,)</f>
        <v>0</v>
      </c>
      <c r="L1226">
        <f>_xlfn.XLOOKUP($A1226,Load!$B:$B,Load!M:M,0,)</f>
        <v>0</v>
      </c>
    </row>
    <row r="1227" spans="1:12" x14ac:dyDescent="0.25">
      <c r="B1227">
        <f>_xlfn.XLOOKUP($A1227,Load!$B:$B,Load!C:C,0,)</f>
        <v>0</v>
      </c>
      <c r="C1227">
        <f>_xlfn.XLOOKUP($A1227,Load!$B:$B,Load!D:D,0,)</f>
        <v>0</v>
      </c>
      <c r="D1227">
        <f>_xlfn.XLOOKUP($A1227,Load!$B:$B,Load!E:E,0,)</f>
        <v>0</v>
      </c>
      <c r="E1227">
        <f>_xlfn.XLOOKUP($A1227,Load!$B:$B,Load!F:F,0,)</f>
        <v>0</v>
      </c>
      <c r="F1227">
        <f>_xlfn.XLOOKUP($A1227,Load!$B:$B,Load!G:G,0,)</f>
        <v>0</v>
      </c>
      <c r="G1227">
        <f>_xlfn.XLOOKUP($A1227,Load!$B:$B,Load!H:H,0,)</f>
        <v>0</v>
      </c>
      <c r="H1227">
        <f>_xlfn.XLOOKUP($A1227,Load!$B:$B,Load!I:I,0,)</f>
        <v>0</v>
      </c>
      <c r="I1227">
        <f>_xlfn.XLOOKUP($A1227,Load!$B:$B,Load!J:J,0,)</f>
        <v>0</v>
      </c>
      <c r="J1227">
        <f>_xlfn.XLOOKUP($A1227,Load!$B:$B,Load!K:K,0,)</f>
        <v>0</v>
      </c>
      <c r="K1227">
        <f>_xlfn.XLOOKUP($A1227,Load!$B:$B,Load!L:L,0,)</f>
        <v>0</v>
      </c>
      <c r="L1227">
        <f>_xlfn.XLOOKUP($A1227,Load!$B:$B,Load!M:M,0,)</f>
        <v>0</v>
      </c>
    </row>
    <row r="1228" spans="1:12" x14ac:dyDescent="0.25">
      <c r="A1228" t="s">
        <v>2</v>
      </c>
      <c r="B1228" t="str">
        <f>_xlfn.XLOOKUP($A1228,Load!$B:$B,Load!C:C,0,)</f>
        <v>Airheads</v>
      </c>
      <c r="C1228" t="str">
        <f>_xlfn.XLOOKUP($A1228,Load!$B:$B,Load!D:D,0,)</f>
        <v>Non-Chocolate Candy Only</v>
      </c>
      <c r="D1228" t="str">
        <f>_xlfn.XLOOKUP($A1228,Load!$B:$B,Load!E:E,0,)</f>
        <v>Variety / Mixed Flavors (Fruity, Sour, Seasonal Flavors)</v>
      </c>
      <c r="E1228" t="str">
        <f>_xlfn.XLOOKUP($A1228,Load!$B:$B,Load!F:F,0,)</f>
        <v>Chewy</v>
      </c>
      <c r="F1228" t="str">
        <f>_xlfn.XLOOKUP($A1228,Load!$B:$B,Load!G:G,0,)</f>
        <v>Medium Multipack (40–80 ct)</v>
      </c>
      <c r="G1228" t="str">
        <f>_xlfn.XLOOKUP($A1228,Load!$B:$B,Load!H:H,0,)</f>
        <v>Box (theatre box, gift box, carton)</v>
      </c>
      <c r="H1228" t="str">
        <f>_xlfn.XLOOKUP($A1228,Load!$B:$B,Load!I:I,0,)</f>
        <v>Everyday Candy Shapes (like Original, Gummy bear, Fruit, Jewels, etc.)</v>
      </c>
      <c r="I1228" t="str">
        <f>_xlfn.XLOOKUP($A1228,Load!$B:$B,Load!J:J,0,)</f>
        <v>Seasonal Graphics (Like Bat, Ghost, Pumpkin, Fall Leaves, Eyeballs, etc.)</v>
      </c>
      <c r="J1228" t="str">
        <f>_xlfn.XLOOKUP($A1228,Load!$B:$B,Load!K:K,0,)</f>
        <v>Fun Size / Treat Size</v>
      </c>
      <c r="K1228" t="str">
        <f>_xlfn.XLOOKUP($A1228,Load!$B:$B,Load!L:L,0,)</f>
        <v>Regular/Original Wrapping</v>
      </c>
      <c r="L1228" t="str">
        <f>_xlfn.XLOOKUP($A1228,Load!$B:$B,Load!M:M,0,)</f>
        <v>Single Brand / Variety Flavors or Form</v>
      </c>
    </row>
    <row r="1229" spans="1:12" x14ac:dyDescent="0.25">
      <c r="B1229">
        <f>_xlfn.XLOOKUP($A1229,Load!$B:$B,Load!C:C,0,)</f>
        <v>0</v>
      </c>
      <c r="C1229">
        <f>_xlfn.XLOOKUP($A1229,Load!$B:$B,Load!D:D,0,)</f>
        <v>0</v>
      </c>
      <c r="D1229">
        <f>_xlfn.XLOOKUP($A1229,Load!$B:$B,Load!E:E,0,)</f>
        <v>0</v>
      </c>
      <c r="E1229">
        <f>_xlfn.XLOOKUP($A1229,Load!$B:$B,Load!F:F,0,)</f>
        <v>0</v>
      </c>
      <c r="F1229">
        <f>_xlfn.XLOOKUP($A1229,Load!$B:$B,Load!G:G,0,)</f>
        <v>0</v>
      </c>
      <c r="G1229">
        <f>_xlfn.XLOOKUP($A1229,Load!$B:$B,Load!H:H,0,)</f>
        <v>0</v>
      </c>
      <c r="H1229">
        <f>_xlfn.XLOOKUP($A1229,Load!$B:$B,Load!I:I,0,)</f>
        <v>0</v>
      </c>
      <c r="I1229">
        <f>_xlfn.XLOOKUP($A1229,Load!$B:$B,Load!J:J,0,)</f>
        <v>0</v>
      </c>
      <c r="J1229">
        <f>_xlfn.XLOOKUP($A1229,Load!$B:$B,Load!K:K,0,)</f>
        <v>0</v>
      </c>
      <c r="K1229">
        <f>_xlfn.XLOOKUP($A1229,Load!$B:$B,Load!L:L,0,)</f>
        <v>0</v>
      </c>
      <c r="L1229">
        <f>_xlfn.XLOOKUP($A1229,Load!$B:$B,Load!M:M,0,)</f>
        <v>0</v>
      </c>
    </row>
    <row r="1230" spans="1:12" x14ac:dyDescent="0.25">
      <c r="B1230">
        <f>_xlfn.XLOOKUP($A1230,Load!$B:$B,Load!C:C,0,)</f>
        <v>0</v>
      </c>
      <c r="C1230">
        <f>_xlfn.XLOOKUP($A1230,Load!$B:$B,Load!D:D,0,)</f>
        <v>0</v>
      </c>
      <c r="D1230">
        <f>_xlfn.XLOOKUP($A1230,Load!$B:$B,Load!E:E,0,)</f>
        <v>0</v>
      </c>
      <c r="E1230">
        <f>_xlfn.XLOOKUP($A1230,Load!$B:$B,Load!F:F,0,)</f>
        <v>0</v>
      </c>
      <c r="F1230">
        <f>_xlfn.XLOOKUP($A1230,Load!$B:$B,Load!G:G,0,)</f>
        <v>0</v>
      </c>
      <c r="G1230">
        <f>_xlfn.XLOOKUP($A1230,Load!$B:$B,Load!H:H,0,)</f>
        <v>0</v>
      </c>
      <c r="H1230">
        <f>_xlfn.XLOOKUP($A1230,Load!$B:$B,Load!I:I,0,)</f>
        <v>0</v>
      </c>
      <c r="I1230">
        <f>_xlfn.XLOOKUP($A1230,Load!$B:$B,Load!J:J,0,)</f>
        <v>0</v>
      </c>
      <c r="J1230">
        <f>_xlfn.XLOOKUP($A1230,Load!$B:$B,Load!K:K,0,)</f>
        <v>0</v>
      </c>
      <c r="K1230">
        <f>_xlfn.XLOOKUP($A1230,Load!$B:$B,Load!L:L,0,)</f>
        <v>0</v>
      </c>
      <c r="L1230">
        <f>_xlfn.XLOOKUP($A1230,Load!$B:$B,Load!M:M,0,)</f>
        <v>0</v>
      </c>
    </row>
    <row r="1231" spans="1:12" x14ac:dyDescent="0.25">
      <c r="B1231">
        <f>_xlfn.XLOOKUP($A1231,Load!$B:$B,Load!C:C,0,)</f>
        <v>0</v>
      </c>
      <c r="C1231">
        <f>_xlfn.XLOOKUP($A1231,Load!$B:$B,Load!D:D,0,)</f>
        <v>0</v>
      </c>
      <c r="D1231">
        <f>_xlfn.XLOOKUP($A1231,Load!$B:$B,Load!E:E,0,)</f>
        <v>0</v>
      </c>
      <c r="E1231">
        <f>_xlfn.XLOOKUP($A1231,Load!$B:$B,Load!F:F,0,)</f>
        <v>0</v>
      </c>
      <c r="F1231">
        <f>_xlfn.XLOOKUP($A1231,Load!$B:$B,Load!G:G,0,)</f>
        <v>0</v>
      </c>
      <c r="G1231">
        <f>_xlfn.XLOOKUP($A1231,Load!$B:$B,Load!H:H,0,)</f>
        <v>0</v>
      </c>
      <c r="H1231">
        <f>_xlfn.XLOOKUP($A1231,Load!$B:$B,Load!I:I,0,)</f>
        <v>0</v>
      </c>
      <c r="I1231">
        <f>_xlfn.XLOOKUP($A1231,Load!$B:$B,Load!J:J,0,)</f>
        <v>0</v>
      </c>
      <c r="J1231">
        <f>_xlfn.XLOOKUP($A1231,Load!$B:$B,Load!K:K,0,)</f>
        <v>0</v>
      </c>
      <c r="K1231">
        <f>_xlfn.XLOOKUP($A1231,Load!$B:$B,Load!L:L,0,)</f>
        <v>0</v>
      </c>
      <c r="L1231">
        <f>_xlfn.XLOOKUP($A1231,Load!$B:$B,Load!M:M,0,)</f>
        <v>0</v>
      </c>
    </row>
    <row r="1232" spans="1:12" x14ac:dyDescent="0.25">
      <c r="A1232" t="s">
        <v>104</v>
      </c>
      <c r="B1232" t="str">
        <f>_xlfn.XLOOKUP($A1232,Load!$B:$B,Load!C:C,0,)</f>
        <v>Frankford</v>
      </c>
      <c r="C1232" t="str">
        <f>_xlfn.XLOOKUP($A1232,Load!$B:$B,Load!D:D,0,)</f>
        <v>Non-Chocolate Candy Only</v>
      </c>
      <c r="D1232" t="str">
        <f>_xlfn.XLOOKUP($A1232,Load!$B:$B,Load!E:E,0,)</f>
        <v>Variety / Mixed Flavors (Fruity, Sour, Seasonal Flavors)</v>
      </c>
      <c r="E1232" t="str">
        <f>_xlfn.XLOOKUP($A1232,Load!$B:$B,Load!F:F,0,)</f>
        <v>Mixed / Combo Packs (Gummy, Chewy, Taffy, etc.)</v>
      </c>
      <c r="F1232" t="str">
        <f>_xlfn.XLOOKUP($A1232,Load!$B:$B,Load!G:G,0,)</f>
        <v>Large Multipack (More than 80 ct)</v>
      </c>
      <c r="G1232" t="str">
        <f>_xlfn.XLOOKUP($A1232,Load!$B:$B,Load!H:H,0,)</f>
        <v>Stand-Up Bag</v>
      </c>
      <c r="H1232" t="str">
        <f>_xlfn.XLOOKUP($A1232,Load!$B:$B,Load!I:I,0,)</f>
        <v>Seasonal Shapes (like pumpkins, candy corn, ghost, bats, etc.)</v>
      </c>
      <c r="I1232" t="str">
        <f>_xlfn.XLOOKUP($A1232,Load!$B:$B,Load!J:J,0,)</f>
        <v>Seasonal Graphics (Like Bat, Ghost, Pumpkin, Fall Leaves, Eyeballs, etc.)</v>
      </c>
      <c r="J1232" t="str">
        <f>_xlfn.XLOOKUP($A1232,Load!$B:$B,Load!K:K,0,)</f>
        <v xml:space="preserve">Variety Candy Sizes </v>
      </c>
      <c r="K1232" t="str">
        <f>_xlfn.XLOOKUP($A1232,Load!$B:$B,Load!L:L,0,)</f>
        <v>Regular/Original Wrapping</v>
      </c>
      <c r="L1232" t="str">
        <f>_xlfn.XLOOKUP($A1232,Load!$B:$B,Load!M:M,0,)</f>
        <v>Multiple Brands / Variety Flavors or Form</v>
      </c>
    </row>
    <row r="1233" spans="1:12" x14ac:dyDescent="0.25">
      <c r="B1233">
        <f>_xlfn.XLOOKUP($A1233,Load!$B:$B,Load!C:C,0,)</f>
        <v>0</v>
      </c>
      <c r="C1233">
        <f>_xlfn.XLOOKUP($A1233,Load!$B:$B,Load!D:D,0,)</f>
        <v>0</v>
      </c>
      <c r="D1233">
        <f>_xlfn.XLOOKUP($A1233,Load!$B:$B,Load!E:E,0,)</f>
        <v>0</v>
      </c>
      <c r="E1233">
        <f>_xlfn.XLOOKUP($A1233,Load!$B:$B,Load!F:F,0,)</f>
        <v>0</v>
      </c>
      <c r="F1233">
        <f>_xlfn.XLOOKUP($A1233,Load!$B:$B,Load!G:G,0,)</f>
        <v>0</v>
      </c>
      <c r="G1233">
        <f>_xlfn.XLOOKUP($A1233,Load!$B:$B,Load!H:H,0,)</f>
        <v>0</v>
      </c>
      <c r="H1233">
        <f>_xlfn.XLOOKUP($A1233,Load!$B:$B,Load!I:I,0,)</f>
        <v>0</v>
      </c>
      <c r="I1233">
        <f>_xlfn.XLOOKUP($A1233,Load!$B:$B,Load!J:J,0,)</f>
        <v>0</v>
      </c>
      <c r="J1233">
        <f>_xlfn.XLOOKUP($A1233,Load!$B:$B,Load!K:K,0,)</f>
        <v>0</v>
      </c>
      <c r="K1233">
        <f>_xlfn.XLOOKUP($A1233,Load!$B:$B,Load!L:L,0,)</f>
        <v>0</v>
      </c>
      <c r="L1233">
        <f>_xlfn.XLOOKUP($A1233,Load!$B:$B,Load!M:M,0,)</f>
        <v>0</v>
      </c>
    </row>
    <row r="1234" spans="1:12" x14ac:dyDescent="0.25">
      <c r="B1234">
        <f>_xlfn.XLOOKUP($A1234,Load!$B:$B,Load!C:C,0,)</f>
        <v>0</v>
      </c>
      <c r="C1234">
        <f>_xlfn.XLOOKUP($A1234,Load!$B:$B,Load!D:D,0,)</f>
        <v>0</v>
      </c>
      <c r="D1234">
        <f>_xlfn.XLOOKUP($A1234,Load!$B:$B,Load!E:E,0,)</f>
        <v>0</v>
      </c>
      <c r="E1234">
        <f>_xlfn.XLOOKUP($A1234,Load!$B:$B,Load!F:F,0,)</f>
        <v>0</v>
      </c>
      <c r="F1234">
        <f>_xlfn.XLOOKUP($A1234,Load!$B:$B,Load!G:G,0,)</f>
        <v>0</v>
      </c>
      <c r="G1234">
        <f>_xlfn.XLOOKUP($A1234,Load!$B:$B,Load!H:H,0,)</f>
        <v>0</v>
      </c>
      <c r="H1234">
        <f>_xlfn.XLOOKUP($A1234,Load!$B:$B,Load!I:I,0,)</f>
        <v>0</v>
      </c>
      <c r="I1234">
        <f>_xlfn.XLOOKUP($A1234,Load!$B:$B,Load!J:J,0,)</f>
        <v>0</v>
      </c>
      <c r="J1234">
        <f>_xlfn.XLOOKUP($A1234,Load!$B:$B,Load!K:K,0,)</f>
        <v>0</v>
      </c>
      <c r="K1234">
        <f>_xlfn.XLOOKUP($A1234,Load!$B:$B,Load!L:L,0,)</f>
        <v>0</v>
      </c>
      <c r="L1234">
        <f>_xlfn.XLOOKUP($A1234,Load!$B:$B,Load!M:M,0,)</f>
        <v>0</v>
      </c>
    </row>
    <row r="1235" spans="1:12" x14ac:dyDescent="0.25">
      <c r="B1235">
        <f>_xlfn.XLOOKUP($A1235,Load!$B:$B,Load!C:C,0,)</f>
        <v>0</v>
      </c>
      <c r="C1235">
        <f>_xlfn.XLOOKUP($A1235,Load!$B:$B,Load!D:D,0,)</f>
        <v>0</v>
      </c>
      <c r="D1235">
        <f>_xlfn.XLOOKUP($A1235,Load!$B:$B,Load!E:E,0,)</f>
        <v>0</v>
      </c>
      <c r="E1235">
        <f>_xlfn.XLOOKUP($A1235,Load!$B:$B,Load!F:F,0,)</f>
        <v>0</v>
      </c>
      <c r="F1235">
        <f>_xlfn.XLOOKUP($A1235,Load!$B:$B,Load!G:G,0,)</f>
        <v>0</v>
      </c>
      <c r="G1235">
        <f>_xlfn.XLOOKUP($A1235,Load!$B:$B,Load!H:H,0,)</f>
        <v>0</v>
      </c>
      <c r="H1235">
        <f>_xlfn.XLOOKUP($A1235,Load!$B:$B,Load!I:I,0,)</f>
        <v>0</v>
      </c>
      <c r="I1235">
        <f>_xlfn.XLOOKUP($A1235,Load!$B:$B,Load!J:J,0,)</f>
        <v>0</v>
      </c>
      <c r="J1235">
        <f>_xlfn.XLOOKUP($A1235,Load!$B:$B,Load!K:K,0,)</f>
        <v>0</v>
      </c>
      <c r="K1235">
        <f>_xlfn.XLOOKUP($A1235,Load!$B:$B,Load!L:L,0,)</f>
        <v>0</v>
      </c>
      <c r="L1235">
        <f>_xlfn.XLOOKUP($A1235,Load!$B:$B,Load!M:M,0,)</f>
        <v>0</v>
      </c>
    </row>
    <row r="1236" spans="1:12" x14ac:dyDescent="0.25">
      <c r="A1236" t="s">
        <v>244</v>
      </c>
      <c r="B1236" t="str">
        <f>_xlfn.XLOOKUP($A1236,Load!$B:$B,Load!C:C,0,)</f>
        <v>Pez</v>
      </c>
      <c r="C1236" t="str">
        <f>_xlfn.XLOOKUP($A1236,Load!$B:$B,Load!D:D,0,)</f>
        <v>Non-Chocolate Candy Only</v>
      </c>
      <c r="D1236" t="str">
        <f>_xlfn.XLOOKUP($A1236,Load!$B:$B,Load!E:E,0,)</f>
        <v>Fruit Flavor (Cherry, Grape, Apple, Citrus, Tropical Fruit)</v>
      </c>
      <c r="E1236" t="str">
        <f>_xlfn.XLOOKUP($A1236,Load!$B:$B,Load!F:F,0,)</f>
        <v>Hard Candy</v>
      </c>
      <c r="F1236" t="str">
        <f>_xlfn.XLOOKUP($A1236,Load!$B:$B,Load!G:G,0,)</f>
        <v>Single Pack</v>
      </c>
      <c r="G1236" t="str">
        <f>_xlfn.XLOOKUP($A1236,Load!$B:$B,Load!H:H,0,)</f>
        <v>Peg Bag</v>
      </c>
      <c r="H1236" t="str">
        <f>_xlfn.XLOOKUP($A1236,Load!$B:$B,Load!I:I,0,)</f>
        <v>Everyday Candy Shapes (like Original, Gummy bear, Fruit, Jewels, etc.)</v>
      </c>
      <c r="I1236" t="str">
        <f>_xlfn.XLOOKUP($A1236,Load!$B:$B,Load!J:J,0,)</f>
        <v>Seasonal Graphics (Like Bat, Ghost, Pumpkin, Fall Leaves, Eyeballs, etc.)</v>
      </c>
      <c r="J1236" t="str">
        <f>_xlfn.XLOOKUP($A1236,Load!$B:$B,Load!K:K,0,)</f>
        <v>Small Pieces (Tiny bite size candies)</v>
      </c>
      <c r="K1236" t="str">
        <f>_xlfn.XLOOKUP($A1236,Load!$B:$B,Load!L:L,0,)</f>
        <v>Regular/Original Wrapping</v>
      </c>
      <c r="L1236" t="str">
        <f>_xlfn.XLOOKUP($A1236,Load!$B:$B,Load!M:M,0,)</f>
        <v>Single Brand / Variety Flavors or Form</v>
      </c>
    </row>
    <row r="1237" spans="1:12" x14ac:dyDescent="0.25">
      <c r="A1237" t="s">
        <v>279</v>
      </c>
      <c r="B1237" t="str">
        <f>_xlfn.XLOOKUP($A1237,Load!$B:$B,Load!C:C,0,)</f>
        <v>Sour Patch Kids</v>
      </c>
      <c r="C1237" t="str">
        <f>_xlfn.XLOOKUP($A1237,Load!$B:$B,Load!D:D,0,)</f>
        <v>Non-Chocolate Candy Only</v>
      </c>
      <c r="D1237" t="str">
        <f>_xlfn.XLOOKUP($A1237,Load!$B:$B,Load!E:E,0,)</f>
        <v>Sour</v>
      </c>
      <c r="E1237" t="str">
        <f>_xlfn.XLOOKUP($A1237,Load!$B:$B,Load!F:F,0,)</f>
        <v>Chewy</v>
      </c>
      <c r="F1237" t="str">
        <f>_xlfn.XLOOKUP($A1237,Load!$B:$B,Load!G:G,0,)</f>
        <v>Single Pack</v>
      </c>
      <c r="G1237" t="str">
        <f>_xlfn.XLOOKUP($A1237,Load!$B:$B,Load!H:H,0,)</f>
        <v>Peg Bag</v>
      </c>
      <c r="H1237" t="str">
        <f>_xlfn.XLOOKUP($A1237,Load!$B:$B,Load!I:I,0,)</f>
        <v>Seasonal Shapes (like pumpkins, candy corn, ghost, bats, etc.)</v>
      </c>
      <c r="I1237" t="str">
        <f>_xlfn.XLOOKUP($A1237,Load!$B:$B,Load!J:J,0,)</f>
        <v>Seasonal Graphics (Like Bat, Ghost, Pumpkin, Fall Leaves, Eyeballs, etc.)</v>
      </c>
      <c r="J1237" t="str">
        <f>_xlfn.XLOOKUP($A1237,Load!$B:$B,Load!K:K,0,)</f>
        <v>Small Pieces (Tiny bite size candies)</v>
      </c>
      <c r="K1237" t="str">
        <f>_xlfn.XLOOKUP($A1237,Load!$B:$B,Load!L:L,0,)</f>
        <v>Regular/Original Wrapping</v>
      </c>
      <c r="L1237" t="str">
        <f>_xlfn.XLOOKUP($A1237,Load!$B:$B,Load!M:M,0,)</f>
        <v>Single Brand / Variety Flavors or Form</v>
      </c>
    </row>
    <row r="1238" spans="1:12" x14ac:dyDescent="0.25">
      <c r="A1238" t="s">
        <v>472</v>
      </c>
      <c r="B1238" t="str">
        <f>_xlfn.XLOOKUP($A1238,Load!$B:$B,Load!C:C,0,)</f>
        <v>SweeTARTS</v>
      </c>
      <c r="C1238" t="str">
        <f>_xlfn.XLOOKUP($A1238,Load!$B:$B,Load!D:D,0,)</f>
        <v>Non-Chocolate Candy Only</v>
      </c>
      <c r="D1238" t="str">
        <f>_xlfn.XLOOKUP($A1238,Load!$B:$B,Load!E:E,0,)</f>
        <v>Fruit Flavor (Cherry, Grape, Apple, Citrus, Tropical Fruit)</v>
      </c>
      <c r="E1238" t="str">
        <f>_xlfn.XLOOKUP($A1238,Load!$B:$B,Load!F:F,0,)</f>
        <v>Chewy</v>
      </c>
      <c r="F1238" t="str">
        <f>_xlfn.XLOOKUP($A1238,Load!$B:$B,Load!G:G,0,)</f>
        <v>Small Multipack (Less than 40 ct)</v>
      </c>
      <c r="G1238" t="str">
        <f>_xlfn.XLOOKUP($A1238,Load!$B:$B,Load!H:H,0,)</f>
        <v>Laydown Bag</v>
      </c>
      <c r="H1238" t="str">
        <f>_xlfn.XLOOKUP($A1238,Load!$B:$B,Load!I:I,0,)</f>
        <v>Everyday Candy Shapes (like Original, Gummy bear, Fruit, Jewels, etc.)</v>
      </c>
      <c r="I1238" t="str">
        <f>_xlfn.XLOOKUP($A1238,Load!$B:$B,Load!J:J,0,)</f>
        <v>Everyday Graphics</v>
      </c>
      <c r="J1238" t="str">
        <f>_xlfn.XLOOKUP($A1238,Load!$B:$B,Load!K:K,0,)</f>
        <v>Small Pieces (Tiny bite size candies)</v>
      </c>
      <c r="K1238" t="str">
        <f>_xlfn.XLOOKUP($A1238,Load!$B:$B,Load!L:L,0,)</f>
        <v>unwrapped</v>
      </c>
      <c r="L1238" t="str">
        <f>_xlfn.XLOOKUP($A1238,Load!$B:$B,Load!M:M,0,)</f>
        <v>Single Brand / Single Flavor or Form</v>
      </c>
    </row>
    <row r="1239" spans="1:12" x14ac:dyDescent="0.25">
      <c r="A1239" t="s">
        <v>218</v>
      </c>
      <c r="B1239" t="str">
        <f>_xlfn.XLOOKUP($A1239,Load!$B:$B,Load!C:C,0,)</f>
        <v>Mondelez Variety Pack</v>
      </c>
      <c r="C1239" t="str">
        <f>_xlfn.XLOOKUP($A1239,Load!$B:$B,Load!D:D,0,)</f>
        <v>Non-Chocolate Candy Only</v>
      </c>
      <c r="D1239" t="str">
        <f>_xlfn.XLOOKUP($A1239,Load!$B:$B,Load!E:E,0,)</f>
        <v>Sour</v>
      </c>
      <c r="E1239" t="str">
        <f>_xlfn.XLOOKUP($A1239,Load!$B:$B,Load!F:F,0,)</f>
        <v>Mixed / Combo Packs (Gummy, Chewy, Taffy, etc.)</v>
      </c>
      <c r="F1239" t="str">
        <f>_xlfn.XLOOKUP($A1239,Load!$B:$B,Load!G:G,0,)</f>
        <v>Large Multipack (More than 80 ct)</v>
      </c>
      <c r="G1239" t="str">
        <f>_xlfn.XLOOKUP($A1239,Load!$B:$B,Load!H:H,0,)</f>
        <v>Stand-Up Bag</v>
      </c>
      <c r="H1239" t="str">
        <f>_xlfn.XLOOKUP($A1239,Load!$B:$B,Load!I:I,0,)</f>
        <v>Seasonal Shapes (like pumpkins, candy corn, ghost, bats, etc.)</v>
      </c>
      <c r="I1239" t="str">
        <f>_xlfn.XLOOKUP($A1239,Load!$B:$B,Load!J:J,0,)</f>
        <v>Seasonal Graphics (Like Bat, Ghost, Pumpkin, Fall Leaves, Eyeballs, etc.)</v>
      </c>
      <c r="J1239" t="str">
        <f>_xlfn.XLOOKUP($A1239,Load!$B:$B,Load!K:K,0,)</f>
        <v>Small Pieces (Tiny bite size candies)</v>
      </c>
      <c r="K1239" t="str">
        <f>_xlfn.XLOOKUP($A1239,Load!$B:$B,Load!L:L,0,)</f>
        <v>Regular/Original Wrapping</v>
      </c>
      <c r="L1239" t="str">
        <f>_xlfn.XLOOKUP($A1239,Load!$B:$B,Load!M:M,0,)</f>
        <v>Multiple Brands / Variety Flavors or Form</v>
      </c>
    </row>
    <row r="1240" spans="1:12" x14ac:dyDescent="0.25">
      <c r="A1240" t="s">
        <v>258</v>
      </c>
      <c r="B1240" t="str">
        <f>_xlfn.XLOOKUP($A1240,Load!$B:$B,Load!C:C,0,)</f>
        <v>Skittles</v>
      </c>
      <c r="C1240" t="str">
        <f>_xlfn.XLOOKUP($A1240,Load!$B:$B,Load!D:D,0,)</f>
        <v>Non-Chocolate Candy Only</v>
      </c>
      <c r="D1240" t="str">
        <f>_xlfn.XLOOKUP($A1240,Load!$B:$B,Load!E:E,0,)</f>
        <v>Variety / Mixed Flavors (Fruity, Sour, Seasonal Flavors)</v>
      </c>
      <c r="E1240" t="str">
        <f>_xlfn.XLOOKUP($A1240,Load!$B:$B,Load!F:F,0,)</f>
        <v>Mixed / Combo Packs (Gummy, Chewy, Taffy, etc.)</v>
      </c>
      <c r="F1240" t="str">
        <f>_xlfn.XLOOKUP($A1240,Load!$B:$B,Load!G:G,0,)</f>
        <v>Medium Multipack (40–80 ct)</v>
      </c>
      <c r="G1240" t="str">
        <f>_xlfn.XLOOKUP($A1240,Load!$B:$B,Load!H:H,0,)</f>
        <v>Stand-Up Bag</v>
      </c>
      <c r="H1240" t="str">
        <f>_xlfn.XLOOKUP($A1240,Load!$B:$B,Load!I:I,0,)</f>
        <v>Everyday Candy Shapes (like Original, Gummy bear, Fruit, Jewels, etc.)</v>
      </c>
      <c r="I1240" t="str">
        <f>_xlfn.XLOOKUP($A1240,Load!$B:$B,Load!J:J,0,)</f>
        <v>Everyday Graphics</v>
      </c>
      <c r="J1240" t="str">
        <f>_xlfn.XLOOKUP($A1240,Load!$B:$B,Load!K:K,0,)</f>
        <v>Small Pieces (Tiny bite size candies)</v>
      </c>
      <c r="K1240" t="str">
        <f>_xlfn.XLOOKUP($A1240,Load!$B:$B,Load!L:L,0,)</f>
        <v>Regular/Original Wrapping</v>
      </c>
      <c r="L1240" t="str">
        <f>_xlfn.XLOOKUP($A1240,Load!$B:$B,Load!M:M,0,)</f>
        <v>Single Brand / Variety Flavors or Form</v>
      </c>
    </row>
    <row r="1241" spans="1:12" x14ac:dyDescent="0.25">
      <c r="A1241" t="s">
        <v>124</v>
      </c>
      <c r="B1241" t="str">
        <f>_xlfn.XLOOKUP($A1241,Load!$B:$B,Load!C:C,0,)</f>
        <v>HARIBO</v>
      </c>
      <c r="C1241" t="str">
        <f>_xlfn.XLOOKUP($A1241,Load!$B:$B,Load!D:D,0,)</f>
        <v>Non-Chocolate Candy Only</v>
      </c>
      <c r="D1241" t="str">
        <f>_xlfn.XLOOKUP($A1241,Load!$B:$B,Load!E:E,0,)</f>
        <v>Fruit Flavor (Cherry, Grape, Apple, Citrus, Tropical Fruit)</v>
      </c>
      <c r="E1241" t="str">
        <f>_xlfn.XLOOKUP($A1241,Load!$B:$B,Load!F:F,0,)</f>
        <v>Gummy</v>
      </c>
      <c r="F1241" t="str">
        <f>_xlfn.XLOOKUP($A1241,Load!$B:$B,Load!G:G,0,)</f>
        <v>Small Multipack (Less than 40 ct)</v>
      </c>
      <c r="G1241" t="str">
        <f>_xlfn.XLOOKUP($A1241,Load!$B:$B,Load!H:H,0,)</f>
        <v>Laydown Bag</v>
      </c>
      <c r="H1241" t="str">
        <f>_xlfn.XLOOKUP($A1241,Load!$B:$B,Load!I:I,0,)</f>
        <v>Everyday Candy Shapes (like Original, Gummy bear, Fruit, Jewels, etc.)</v>
      </c>
      <c r="I1241" t="str">
        <f>_xlfn.XLOOKUP($A1241,Load!$B:$B,Load!J:J,0,)</f>
        <v>Everyday Graphics</v>
      </c>
      <c r="J1241" t="str">
        <f>_xlfn.XLOOKUP($A1241,Load!$B:$B,Load!K:K,0,)</f>
        <v>Small Pieces (Tiny bite size candies)</v>
      </c>
      <c r="K1241" t="str">
        <f>_xlfn.XLOOKUP($A1241,Load!$B:$B,Load!L:L,0,)</f>
        <v>Regular/Original Wrapping</v>
      </c>
      <c r="L1241" t="str">
        <f>_xlfn.XLOOKUP($A1241,Load!$B:$B,Load!M:M,0,)</f>
        <v>Single Brand / Variety Flavors or Form</v>
      </c>
    </row>
    <row r="1242" spans="1:12" x14ac:dyDescent="0.25">
      <c r="A1242" t="s">
        <v>228</v>
      </c>
      <c r="B1242" t="str">
        <f>_xlfn.XLOOKUP($A1242,Load!$B:$B,Load!C:C,0,)</f>
        <v>Nerds</v>
      </c>
      <c r="C1242" t="str">
        <f>_xlfn.XLOOKUP($A1242,Load!$B:$B,Load!D:D,0,)</f>
        <v>Non-Chocolate Candy Only</v>
      </c>
      <c r="D1242" t="str">
        <f>_xlfn.XLOOKUP($A1242,Load!$B:$B,Load!E:E,0,)</f>
        <v>Berry Based (Raspberry, Strawberry, Medley, etc.)</v>
      </c>
      <c r="E1242" t="str">
        <f>_xlfn.XLOOKUP($A1242,Load!$B:$B,Load!F:F,0,)</f>
        <v>Hard Candy</v>
      </c>
      <c r="F1242" t="str">
        <f>_xlfn.XLOOKUP($A1242,Load!$B:$B,Load!G:G,0,)</f>
        <v>Single Pack</v>
      </c>
      <c r="G1242" t="str">
        <f>_xlfn.XLOOKUP($A1242,Load!$B:$B,Load!H:H,0,)</f>
        <v>Laydown Bag</v>
      </c>
      <c r="H1242" t="str">
        <f>_xlfn.XLOOKUP($A1242,Load!$B:$B,Load!I:I,0,)</f>
        <v>Everyday Candy Shapes (like Original, Gummy bear, Fruit, Jewels, etc.)</v>
      </c>
      <c r="I1242" t="str">
        <f>_xlfn.XLOOKUP($A1242,Load!$B:$B,Load!J:J,0,)</f>
        <v>Seasonal Graphics (Like Bat, Ghost, Pumpkin, Fall Leaves, Eyeballs, etc.)</v>
      </c>
      <c r="J1242" t="str">
        <f>_xlfn.XLOOKUP($A1242,Load!$B:$B,Load!K:K,0,)</f>
        <v>Small Pieces (Tiny bite size candies)</v>
      </c>
      <c r="K1242" t="str">
        <f>_xlfn.XLOOKUP($A1242,Load!$B:$B,Load!L:L,0,)</f>
        <v>Unwrapped</v>
      </c>
      <c r="L1242" t="str">
        <f>_xlfn.XLOOKUP($A1242,Load!$B:$B,Load!M:M,0,)</f>
        <v>Single Brand / Variety Flavors or Form</v>
      </c>
    </row>
    <row r="1243" spans="1:12" x14ac:dyDescent="0.25">
      <c r="B1243">
        <f>_xlfn.XLOOKUP($A1243,Load!$B:$B,Load!C:C,0,)</f>
        <v>0</v>
      </c>
      <c r="C1243">
        <f>_xlfn.XLOOKUP($A1243,Load!$B:$B,Load!D:D,0,)</f>
        <v>0</v>
      </c>
      <c r="D1243">
        <f>_xlfn.XLOOKUP($A1243,Load!$B:$B,Load!E:E,0,)</f>
        <v>0</v>
      </c>
      <c r="E1243">
        <f>_xlfn.XLOOKUP($A1243,Load!$B:$B,Load!F:F,0,)</f>
        <v>0</v>
      </c>
      <c r="F1243">
        <f>_xlfn.XLOOKUP($A1243,Load!$B:$B,Load!G:G,0,)</f>
        <v>0</v>
      </c>
      <c r="G1243">
        <f>_xlfn.XLOOKUP($A1243,Load!$B:$B,Load!H:H,0,)</f>
        <v>0</v>
      </c>
      <c r="H1243">
        <f>_xlfn.XLOOKUP($A1243,Load!$B:$B,Load!I:I,0,)</f>
        <v>0</v>
      </c>
      <c r="I1243">
        <f>_xlfn.XLOOKUP($A1243,Load!$B:$B,Load!J:J,0,)</f>
        <v>0</v>
      </c>
      <c r="J1243">
        <f>_xlfn.XLOOKUP($A1243,Load!$B:$B,Load!K:K,0,)</f>
        <v>0</v>
      </c>
      <c r="K1243">
        <f>_xlfn.XLOOKUP($A1243,Load!$B:$B,Load!L:L,0,)</f>
        <v>0</v>
      </c>
      <c r="L1243">
        <f>_xlfn.XLOOKUP($A1243,Load!$B:$B,Load!M:M,0,)</f>
        <v>0</v>
      </c>
    </row>
    <row r="1244" spans="1:12" x14ac:dyDescent="0.25">
      <c r="B1244">
        <f>_xlfn.XLOOKUP($A1244,Load!$B:$B,Load!C:C,0,)</f>
        <v>0</v>
      </c>
      <c r="C1244">
        <f>_xlfn.XLOOKUP($A1244,Load!$B:$B,Load!D:D,0,)</f>
        <v>0</v>
      </c>
      <c r="D1244">
        <f>_xlfn.XLOOKUP($A1244,Load!$B:$B,Load!E:E,0,)</f>
        <v>0</v>
      </c>
      <c r="E1244">
        <f>_xlfn.XLOOKUP($A1244,Load!$B:$B,Load!F:F,0,)</f>
        <v>0</v>
      </c>
      <c r="F1244">
        <f>_xlfn.XLOOKUP($A1244,Load!$B:$B,Load!G:G,0,)</f>
        <v>0</v>
      </c>
      <c r="G1244">
        <f>_xlfn.XLOOKUP($A1244,Load!$B:$B,Load!H:H,0,)</f>
        <v>0</v>
      </c>
      <c r="H1244">
        <f>_xlfn.XLOOKUP($A1244,Load!$B:$B,Load!I:I,0,)</f>
        <v>0</v>
      </c>
      <c r="I1244">
        <f>_xlfn.XLOOKUP($A1244,Load!$B:$B,Load!J:J,0,)</f>
        <v>0</v>
      </c>
      <c r="J1244">
        <f>_xlfn.XLOOKUP($A1244,Load!$B:$B,Load!K:K,0,)</f>
        <v>0</v>
      </c>
      <c r="K1244">
        <f>_xlfn.XLOOKUP($A1244,Load!$B:$B,Load!L:L,0,)</f>
        <v>0</v>
      </c>
      <c r="L1244">
        <f>_xlfn.XLOOKUP($A1244,Load!$B:$B,Load!M:M,0,)</f>
        <v>0</v>
      </c>
    </row>
    <row r="1245" spans="1:12" x14ac:dyDescent="0.25">
      <c r="B1245">
        <f>_xlfn.XLOOKUP($A1245,Load!$B:$B,Load!C:C,0,)</f>
        <v>0</v>
      </c>
      <c r="C1245">
        <f>_xlfn.XLOOKUP($A1245,Load!$B:$B,Load!D:D,0,)</f>
        <v>0</v>
      </c>
      <c r="D1245">
        <f>_xlfn.XLOOKUP($A1245,Load!$B:$B,Load!E:E,0,)</f>
        <v>0</v>
      </c>
      <c r="E1245">
        <f>_xlfn.XLOOKUP($A1245,Load!$B:$B,Load!F:F,0,)</f>
        <v>0</v>
      </c>
      <c r="F1245">
        <f>_xlfn.XLOOKUP($A1245,Load!$B:$B,Load!G:G,0,)</f>
        <v>0</v>
      </c>
      <c r="G1245">
        <f>_xlfn.XLOOKUP($A1245,Load!$B:$B,Load!H:H,0,)</f>
        <v>0</v>
      </c>
      <c r="H1245">
        <f>_xlfn.XLOOKUP($A1245,Load!$B:$B,Load!I:I,0,)</f>
        <v>0</v>
      </c>
      <c r="I1245">
        <f>_xlfn.XLOOKUP($A1245,Load!$B:$B,Load!J:J,0,)</f>
        <v>0</v>
      </c>
      <c r="J1245">
        <f>_xlfn.XLOOKUP($A1245,Load!$B:$B,Load!K:K,0,)</f>
        <v>0</v>
      </c>
      <c r="K1245">
        <f>_xlfn.XLOOKUP($A1245,Load!$B:$B,Load!L:L,0,)</f>
        <v>0</v>
      </c>
      <c r="L1245">
        <f>_xlfn.XLOOKUP($A1245,Load!$B:$B,Load!M:M,0,)</f>
        <v>0</v>
      </c>
    </row>
    <row r="1246" spans="1:12" x14ac:dyDescent="0.25">
      <c r="A1246" t="s">
        <v>156</v>
      </c>
      <c r="B1246" t="str">
        <f>_xlfn.XLOOKUP($A1246,Load!$B:$B,Load!C:C,0,)</f>
        <v>Jolly Rancher</v>
      </c>
      <c r="C1246" t="str">
        <f>_xlfn.XLOOKUP($A1246,Load!$B:$B,Load!D:D,0,)</f>
        <v>Non-Chocolate Candy Only</v>
      </c>
      <c r="D1246" t="str">
        <f>_xlfn.XLOOKUP($A1246,Load!$B:$B,Load!E:E,0,)</f>
        <v>Fruit Flavor (Cherry, Grape, Apple, Citrus, Tropical Fruit)</v>
      </c>
      <c r="E1246" t="str">
        <f>_xlfn.XLOOKUP($A1246,Load!$B:$B,Load!F:F,0,)</f>
        <v>Gummy</v>
      </c>
      <c r="F1246" t="str">
        <f>_xlfn.XLOOKUP($A1246,Load!$B:$B,Load!G:G,0,)</f>
        <v>Single Pack</v>
      </c>
      <c r="G1246" t="str">
        <f>_xlfn.XLOOKUP($A1246,Load!$B:$B,Load!H:H,0,)</f>
        <v>Laydown Bag</v>
      </c>
      <c r="H1246" t="str">
        <f>_xlfn.XLOOKUP($A1246,Load!$B:$B,Load!I:I,0,)</f>
        <v>Everyday Candy Shapes (like Original, Gummy bear, Fruit, Jewels, etc.)</v>
      </c>
      <c r="I1246" t="str">
        <f>_xlfn.XLOOKUP($A1246,Load!$B:$B,Load!J:J,0,)</f>
        <v>Everyday Graphics</v>
      </c>
      <c r="J1246" t="str">
        <f>_xlfn.XLOOKUP($A1246,Load!$B:$B,Load!K:K,0,)</f>
        <v>Small Pieces (Tiny bite size candies)</v>
      </c>
      <c r="K1246" t="str">
        <f>_xlfn.XLOOKUP($A1246,Load!$B:$B,Load!L:L,0,)</f>
        <v>Unwrapped</v>
      </c>
      <c r="L1246" t="str">
        <f>_xlfn.XLOOKUP($A1246,Load!$B:$B,Load!M:M,0,)</f>
        <v>Single Brand / Variety Flavors or Form</v>
      </c>
    </row>
    <row r="1247" spans="1:12" x14ac:dyDescent="0.25">
      <c r="A1247" t="s">
        <v>236</v>
      </c>
      <c r="B1247" t="str">
        <f>_xlfn.XLOOKUP($A1247,Load!$B:$B,Load!C:C,0,)</f>
        <v>Nerds</v>
      </c>
      <c r="C1247" t="str">
        <f>_xlfn.XLOOKUP($A1247,Load!$B:$B,Load!D:D,0,)</f>
        <v>Non-Chocolate Candy Only</v>
      </c>
      <c r="D1247" t="str">
        <f>_xlfn.XLOOKUP($A1247,Load!$B:$B,Load!E:E,0,)</f>
        <v>Variety / Mixed Flavors (Fruity, Sour, Seasonal Flavors)</v>
      </c>
      <c r="E1247" t="str">
        <f>_xlfn.XLOOKUP($A1247,Load!$B:$B,Load!F:F,0,)</f>
        <v>Candy Pieces / Bites</v>
      </c>
      <c r="F1247" t="str">
        <f>_xlfn.XLOOKUP($A1247,Load!$B:$B,Load!G:G,0,)</f>
        <v>Medium Multipack (40–80 ct)</v>
      </c>
      <c r="G1247" t="str">
        <f>_xlfn.XLOOKUP($A1247,Load!$B:$B,Load!H:H,0,)</f>
        <v>Stand-Up Bag</v>
      </c>
      <c r="H1247" t="str">
        <f>_xlfn.XLOOKUP($A1247,Load!$B:$B,Load!I:I,0,)</f>
        <v>Everyday Candy Shapes (like Original, Gummy bear, Fruit, Jewels, etc.)</v>
      </c>
      <c r="I1247" t="str">
        <f>_xlfn.XLOOKUP($A1247,Load!$B:$B,Load!J:J,0,)</f>
        <v>Seasonal Graphics (Like Bat, Ghost, Pumpkin, Fall Leaves, Eyeballs, etc.)</v>
      </c>
      <c r="J1247" t="str">
        <f>_xlfn.XLOOKUP($A1247,Load!$B:$B,Load!K:K,0,)</f>
        <v>Small Pieces (Tiny bite size candies)</v>
      </c>
      <c r="K1247" t="str">
        <f>_xlfn.XLOOKUP($A1247,Load!$B:$B,Load!L:L,0,)</f>
        <v>Unwrapped</v>
      </c>
      <c r="L1247" t="str">
        <f>_xlfn.XLOOKUP($A1247,Load!$B:$B,Load!M:M,0,)</f>
        <v>Single Brand / Variety Flavors or Form</v>
      </c>
    </row>
    <row r="1248" spans="1:12" x14ac:dyDescent="0.25">
      <c r="A1248" t="s">
        <v>195</v>
      </c>
      <c r="B1248" t="str">
        <f>_xlfn.XLOOKUP($A1248,Load!$B:$B,Load!C:C,0,)</f>
        <v>Mars Variety Pack</v>
      </c>
      <c r="C1248" t="str">
        <f>_xlfn.XLOOKUP($A1248,Load!$B:$B,Load!D:D,0,)</f>
        <v>Mix of Chocolate and Non-Chocolate Candy</v>
      </c>
      <c r="D1248" t="str">
        <f>_xlfn.XLOOKUP($A1248,Load!$B:$B,Load!E:E,0,)</f>
        <v>Variety / Mixed Flavors (Fruity, Sour, Seasonal Flavors)</v>
      </c>
      <c r="E1248" t="str">
        <f>_xlfn.XLOOKUP($A1248,Load!$B:$B,Load!F:F,0,)</f>
        <v>Mixed / Combo Packs (Gummy, Chewy, Taffy, etc.)</v>
      </c>
      <c r="F1248" t="str">
        <f>_xlfn.XLOOKUP($A1248,Load!$B:$B,Load!G:G,0,)</f>
        <v>Small Multipack (Less than 40 ct)</v>
      </c>
      <c r="G1248" t="str">
        <f>_xlfn.XLOOKUP($A1248,Load!$B:$B,Load!H:H,0,)</f>
        <v>Laydown Bag</v>
      </c>
      <c r="H1248" t="str">
        <f>_xlfn.XLOOKUP($A1248,Load!$B:$B,Load!I:I,0,)</f>
        <v>Everyday Candy Shapes (like Original, Gummy bear, Fruit, Jewels, etc.)</v>
      </c>
      <c r="I1248" t="str">
        <f>_xlfn.XLOOKUP($A1248,Load!$B:$B,Load!J:J,0,)</f>
        <v>Everyday Graphics</v>
      </c>
      <c r="J1248" t="str">
        <f>_xlfn.XLOOKUP($A1248,Load!$B:$B,Load!K:K,0,)</f>
        <v>Fun Size / Treat Size</v>
      </c>
      <c r="K1248" t="str">
        <f>_xlfn.XLOOKUP($A1248,Load!$B:$B,Load!L:L,0,)</f>
        <v>Regular/Original Wrapping</v>
      </c>
      <c r="L1248" t="str">
        <f>_xlfn.XLOOKUP($A1248,Load!$B:$B,Load!M:M,0,)</f>
        <v>Multiple Brands / Variety Flavors or Form</v>
      </c>
    </row>
    <row r="1249" spans="1:12" x14ac:dyDescent="0.25">
      <c r="A1249" t="s">
        <v>194</v>
      </c>
      <c r="B1249" t="str">
        <f>_xlfn.XLOOKUP($A1249,Load!$B:$B,Load!C:C,0,)</f>
        <v>Mars Variety Pack</v>
      </c>
      <c r="C1249" t="str">
        <f>_xlfn.XLOOKUP($A1249,Load!$B:$B,Load!D:D,0,)</f>
        <v>Mix of Chocolate and Non-Chocolate Candy</v>
      </c>
      <c r="D1249" t="str">
        <f>_xlfn.XLOOKUP($A1249,Load!$B:$B,Load!E:E,0,)</f>
        <v>Variety / Mixed Flavors (Fruity, Sour, Seasonal Flavors)</v>
      </c>
      <c r="E1249" t="str">
        <f>_xlfn.XLOOKUP($A1249,Load!$B:$B,Load!F:F,0,)</f>
        <v>Mixed / Combo Packs (Gummy, Chewy, Taffy, etc.)</v>
      </c>
      <c r="F1249" t="str">
        <f>_xlfn.XLOOKUP($A1249,Load!$B:$B,Load!G:G,0,)</f>
        <v>Small Multipack (Less than 40 ct)</v>
      </c>
      <c r="G1249" t="str">
        <f>_xlfn.XLOOKUP($A1249,Load!$B:$B,Load!H:H,0,)</f>
        <v>Laydown Bag</v>
      </c>
      <c r="H1249" t="str">
        <f>_xlfn.XLOOKUP($A1249,Load!$B:$B,Load!I:I,0,)</f>
        <v>Everyday Candy Shapes (like Original, Gummy bear, Fruit, Jewels, etc.)</v>
      </c>
      <c r="I1249" t="str">
        <f>_xlfn.XLOOKUP($A1249,Load!$B:$B,Load!J:J,0,)</f>
        <v>Seasonal Graphics (Like Bat, Ghost, Pumpkin, Fall Leaves, Eyeballs, etc.)</v>
      </c>
      <c r="J1249" t="str">
        <f>_xlfn.XLOOKUP($A1249,Load!$B:$B,Load!K:K,0,)</f>
        <v>Fun Size / Treat Size</v>
      </c>
      <c r="K1249" t="str">
        <f>_xlfn.XLOOKUP($A1249,Load!$B:$B,Load!L:L,0,)</f>
        <v>Regular/Original Wrapping</v>
      </c>
      <c r="L1249" t="str">
        <f>_xlfn.XLOOKUP($A1249,Load!$B:$B,Load!M:M,0,)</f>
        <v>Multiple Brands / Variety Flavors or Form</v>
      </c>
    </row>
    <row r="1250" spans="1:12" x14ac:dyDescent="0.25">
      <c r="B1250">
        <f>_xlfn.XLOOKUP($A1250,Load!$B:$B,Load!C:C,0,)</f>
        <v>0</v>
      </c>
      <c r="C1250">
        <f>_xlfn.XLOOKUP($A1250,Load!$B:$B,Load!D:D,0,)</f>
        <v>0</v>
      </c>
      <c r="D1250">
        <f>_xlfn.XLOOKUP($A1250,Load!$B:$B,Load!E:E,0,)</f>
        <v>0</v>
      </c>
      <c r="E1250">
        <f>_xlfn.XLOOKUP($A1250,Load!$B:$B,Load!F:F,0,)</f>
        <v>0</v>
      </c>
      <c r="F1250">
        <f>_xlfn.XLOOKUP($A1250,Load!$B:$B,Load!G:G,0,)</f>
        <v>0</v>
      </c>
      <c r="G1250">
        <f>_xlfn.XLOOKUP($A1250,Load!$B:$B,Load!H:H,0,)</f>
        <v>0</v>
      </c>
      <c r="H1250">
        <f>_xlfn.XLOOKUP($A1250,Load!$B:$B,Load!I:I,0,)</f>
        <v>0</v>
      </c>
      <c r="I1250">
        <f>_xlfn.XLOOKUP($A1250,Load!$B:$B,Load!J:J,0,)</f>
        <v>0</v>
      </c>
      <c r="J1250">
        <f>_xlfn.XLOOKUP($A1250,Load!$B:$B,Load!K:K,0,)</f>
        <v>0</v>
      </c>
      <c r="K1250">
        <f>_xlfn.XLOOKUP($A1250,Load!$B:$B,Load!L:L,0,)</f>
        <v>0</v>
      </c>
      <c r="L1250">
        <f>_xlfn.XLOOKUP($A1250,Load!$B:$B,Load!M:M,0,)</f>
        <v>0</v>
      </c>
    </row>
    <row r="1251" spans="1:12" x14ac:dyDescent="0.25">
      <c r="B1251">
        <f>_xlfn.XLOOKUP($A1251,Load!$B:$B,Load!C:C,0,)</f>
        <v>0</v>
      </c>
      <c r="C1251">
        <f>_xlfn.XLOOKUP($A1251,Load!$B:$B,Load!D:D,0,)</f>
        <v>0</v>
      </c>
      <c r="D1251">
        <f>_xlfn.XLOOKUP($A1251,Load!$B:$B,Load!E:E,0,)</f>
        <v>0</v>
      </c>
      <c r="E1251">
        <f>_xlfn.XLOOKUP($A1251,Load!$B:$B,Load!F:F,0,)</f>
        <v>0</v>
      </c>
      <c r="F1251">
        <f>_xlfn.XLOOKUP($A1251,Load!$B:$B,Load!G:G,0,)</f>
        <v>0</v>
      </c>
      <c r="G1251">
        <f>_xlfn.XLOOKUP($A1251,Load!$B:$B,Load!H:H,0,)</f>
        <v>0</v>
      </c>
      <c r="H1251">
        <f>_xlfn.XLOOKUP($A1251,Load!$B:$B,Load!I:I,0,)</f>
        <v>0</v>
      </c>
      <c r="I1251">
        <f>_xlfn.XLOOKUP($A1251,Load!$B:$B,Load!J:J,0,)</f>
        <v>0</v>
      </c>
      <c r="J1251">
        <f>_xlfn.XLOOKUP($A1251,Load!$B:$B,Load!K:K,0,)</f>
        <v>0</v>
      </c>
      <c r="K1251">
        <f>_xlfn.XLOOKUP($A1251,Load!$B:$B,Load!L:L,0,)</f>
        <v>0</v>
      </c>
      <c r="L1251">
        <f>_xlfn.XLOOKUP($A1251,Load!$B:$B,Load!M:M,0,)</f>
        <v>0</v>
      </c>
    </row>
    <row r="1252" spans="1:12" x14ac:dyDescent="0.25">
      <c r="B1252">
        <f>_xlfn.XLOOKUP($A1252,Load!$B:$B,Load!C:C,0,)</f>
        <v>0</v>
      </c>
      <c r="C1252">
        <f>_xlfn.XLOOKUP($A1252,Load!$B:$B,Load!D:D,0,)</f>
        <v>0</v>
      </c>
      <c r="D1252">
        <f>_xlfn.XLOOKUP($A1252,Load!$B:$B,Load!E:E,0,)</f>
        <v>0</v>
      </c>
      <c r="E1252">
        <f>_xlfn.XLOOKUP($A1252,Load!$B:$B,Load!F:F,0,)</f>
        <v>0</v>
      </c>
      <c r="F1252">
        <f>_xlfn.XLOOKUP($A1252,Load!$B:$B,Load!G:G,0,)</f>
        <v>0</v>
      </c>
      <c r="G1252">
        <f>_xlfn.XLOOKUP($A1252,Load!$B:$B,Load!H:H,0,)</f>
        <v>0</v>
      </c>
      <c r="H1252">
        <f>_xlfn.XLOOKUP($A1252,Load!$B:$B,Load!I:I,0,)</f>
        <v>0</v>
      </c>
      <c r="I1252">
        <f>_xlfn.XLOOKUP($A1252,Load!$B:$B,Load!J:J,0,)</f>
        <v>0</v>
      </c>
      <c r="J1252">
        <f>_xlfn.XLOOKUP($A1252,Load!$B:$B,Load!K:K,0,)</f>
        <v>0</v>
      </c>
      <c r="K1252">
        <f>_xlfn.XLOOKUP($A1252,Load!$B:$B,Load!L:L,0,)</f>
        <v>0</v>
      </c>
      <c r="L1252">
        <f>_xlfn.XLOOKUP($A1252,Load!$B:$B,Load!M:M,0,)</f>
        <v>0</v>
      </c>
    </row>
    <row r="1253" spans="1:12" x14ac:dyDescent="0.25">
      <c r="B1253">
        <f>_xlfn.XLOOKUP($A1253,Load!$B:$B,Load!C:C,0,)</f>
        <v>0</v>
      </c>
      <c r="C1253">
        <f>_xlfn.XLOOKUP($A1253,Load!$B:$B,Load!D:D,0,)</f>
        <v>0</v>
      </c>
      <c r="D1253">
        <f>_xlfn.XLOOKUP($A1253,Load!$B:$B,Load!E:E,0,)</f>
        <v>0</v>
      </c>
      <c r="E1253">
        <f>_xlfn.XLOOKUP($A1253,Load!$B:$B,Load!F:F,0,)</f>
        <v>0</v>
      </c>
      <c r="F1253">
        <f>_xlfn.XLOOKUP($A1253,Load!$B:$B,Load!G:G,0,)</f>
        <v>0</v>
      </c>
      <c r="G1253">
        <f>_xlfn.XLOOKUP($A1253,Load!$B:$B,Load!H:H,0,)</f>
        <v>0</v>
      </c>
      <c r="H1253">
        <f>_xlfn.XLOOKUP($A1253,Load!$B:$B,Load!I:I,0,)</f>
        <v>0</v>
      </c>
      <c r="I1253">
        <f>_xlfn.XLOOKUP($A1253,Load!$B:$B,Load!J:J,0,)</f>
        <v>0</v>
      </c>
      <c r="J1253">
        <f>_xlfn.XLOOKUP($A1253,Load!$B:$B,Load!K:K,0,)</f>
        <v>0</v>
      </c>
      <c r="K1253">
        <f>_xlfn.XLOOKUP($A1253,Load!$B:$B,Load!L:L,0,)</f>
        <v>0</v>
      </c>
      <c r="L1253">
        <f>_xlfn.XLOOKUP($A1253,Load!$B:$B,Load!M:M,0,)</f>
        <v>0</v>
      </c>
    </row>
    <row r="1254" spans="1:12" x14ac:dyDescent="0.25">
      <c r="A1254" t="s">
        <v>209</v>
      </c>
      <c r="B1254" t="str">
        <f>_xlfn.XLOOKUP($A1254,Load!$B:$B,Load!C:C,0,)</f>
        <v>Mars Variety Pack</v>
      </c>
      <c r="C1254" t="str">
        <f>_xlfn.XLOOKUP($A1254,Load!$B:$B,Load!D:D,0,)</f>
        <v>Non-Chocolate Candy Only</v>
      </c>
      <c r="D1254" t="str">
        <f>_xlfn.XLOOKUP($A1254,Load!$B:$B,Load!E:E,0,)</f>
        <v>Variety / Mixed Flavors (Fruity, Sour, Seasonal Flavors)</v>
      </c>
      <c r="E1254" t="str">
        <f>_xlfn.XLOOKUP($A1254,Load!$B:$B,Load!F:F,0,)</f>
        <v>Mixed / Combo Packs (Gummy, Chewy, Taffy, etc.)</v>
      </c>
      <c r="F1254" t="str">
        <f>_xlfn.XLOOKUP($A1254,Load!$B:$B,Load!G:G,0,)</f>
        <v>Large Multipack (More than 80 ct)</v>
      </c>
      <c r="G1254" t="str">
        <f>_xlfn.XLOOKUP($A1254,Load!$B:$B,Load!H:H,0,)</f>
        <v>Stand-Up Bag</v>
      </c>
      <c r="H1254" t="str">
        <f>_xlfn.XLOOKUP($A1254,Load!$B:$B,Load!I:I,0,)</f>
        <v>Everyday Candy Shapes (like Original, Gummy bear, Fruit, Jewels, etc.)</v>
      </c>
      <c r="I1254" t="str">
        <f>_xlfn.XLOOKUP($A1254,Load!$B:$B,Load!J:J,0,)</f>
        <v>Seasonal Graphics (Like Bat, Ghost, Pumpkin, Fall Leaves, Eyeballs, etc.)</v>
      </c>
      <c r="J1254" t="str">
        <f>_xlfn.XLOOKUP($A1254,Load!$B:$B,Load!K:K,0,)</f>
        <v>Fun Size / Treat Size</v>
      </c>
      <c r="K1254" t="str">
        <f>_xlfn.XLOOKUP($A1254,Load!$B:$B,Load!L:L,0,)</f>
        <v>Regular/Original Wrapping</v>
      </c>
      <c r="L1254" t="str">
        <f>_xlfn.XLOOKUP($A1254,Load!$B:$B,Load!M:M,0,)</f>
        <v>Multiple Brands / Variety Flavors or Form</v>
      </c>
    </row>
    <row r="1255" spans="1:12" x14ac:dyDescent="0.25">
      <c r="A1255" t="s">
        <v>180</v>
      </c>
      <c r="B1255" t="str">
        <f>_xlfn.XLOOKUP($A1255,Load!$B:$B,Load!C:C,0,)</f>
        <v>Mars Variety Pack</v>
      </c>
      <c r="C1255" t="str">
        <f>_xlfn.XLOOKUP($A1255,Load!$B:$B,Load!D:D,0,)</f>
        <v>Mix of Chocolate and Non-Chocolate Candy</v>
      </c>
      <c r="D1255" t="str">
        <f>_xlfn.XLOOKUP($A1255,Load!$B:$B,Load!E:E,0,)</f>
        <v>Variety / Mixed Flavors (Fruity, Sour, Seasonal Flavors)</v>
      </c>
      <c r="E1255" t="str">
        <f>_xlfn.XLOOKUP($A1255,Load!$B:$B,Load!F:F,0,)</f>
        <v>Mixed / Combo Packs (Gummy, Chewy, Taffy, etc.)</v>
      </c>
      <c r="F1255" t="str">
        <f>_xlfn.XLOOKUP($A1255,Load!$B:$B,Load!G:G,0,)</f>
        <v>Large Multipack (More than 80 ct)</v>
      </c>
      <c r="G1255" t="str">
        <f>_xlfn.XLOOKUP($A1255,Load!$B:$B,Load!H:H,0,)</f>
        <v>Stand-Up Bag</v>
      </c>
      <c r="H1255" t="str">
        <f>_xlfn.XLOOKUP($A1255,Load!$B:$B,Load!I:I,0,)</f>
        <v>Everyday Candy Shapes (like Original, Gummy bear, Fruit, Jewels, etc.)</v>
      </c>
      <c r="I1255" t="str">
        <f>_xlfn.XLOOKUP($A1255,Load!$B:$B,Load!J:J,0,)</f>
        <v>Seasonal Graphics (Like Bat, Ghost, Pumpkin, Fall Leaves, Eyeballs, etc.)</v>
      </c>
      <c r="J1255" t="str">
        <f>_xlfn.XLOOKUP($A1255,Load!$B:$B,Load!K:K,0,)</f>
        <v>Fun Size / Treat Size</v>
      </c>
      <c r="K1255" t="str">
        <f>_xlfn.XLOOKUP($A1255,Load!$B:$B,Load!L:L,0,)</f>
        <v>Regular/Original Wrapping</v>
      </c>
      <c r="L1255" t="str">
        <f>_xlfn.XLOOKUP($A1255,Load!$B:$B,Load!M:M,0,)</f>
        <v>Multiple Brands / Variety Flavors or Form</v>
      </c>
    </row>
    <row r="1256" spans="1:12" x14ac:dyDescent="0.25">
      <c r="A1256" t="s">
        <v>121</v>
      </c>
      <c r="B1256" t="str">
        <f>_xlfn.XLOOKUP($A1256,Load!$B:$B,Load!C:C,0,)</f>
        <v>HARIBO</v>
      </c>
      <c r="C1256" t="str">
        <f>_xlfn.XLOOKUP($A1256,Load!$B:$B,Load!D:D,0,)</f>
        <v>Non-Chocolate Candy Only</v>
      </c>
      <c r="D1256" t="str">
        <f>_xlfn.XLOOKUP($A1256,Load!$B:$B,Load!E:E,0,)</f>
        <v>Variety / Mixed Flavors (Fruity, Sour, Seasonal Flavors)</v>
      </c>
      <c r="E1256" t="str">
        <f>_xlfn.XLOOKUP($A1256,Load!$B:$B,Load!F:F,0,)</f>
        <v>Gummy</v>
      </c>
      <c r="F1256" t="str">
        <f>_xlfn.XLOOKUP($A1256,Load!$B:$B,Load!G:G,0,)</f>
        <v>Large Multipack (More than 80 ct)</v>
      </c>
      <c r="G1256" t="str">
        <f>_xlfn.XLOOKUP($A1256,Load!$B:$B,Load!H:H,0,)</f>
        <v>Stand-Up Bag</v>
      </c>
      <c r="H1256" t="str">
        <f>_xlfn.XLOOKUP($A1256,Load!$B:$B,Load!I:I,0,)</f>
        <v>Seasonal Shapes (like pumpkins, candy corn, ghost, bats, etc.)</v>
      </c>
      <c r="I1256" t="str">
        <f>_xlfn.XLOOKUP($A1256,Load!$B:$B,Load!J:J,0,)</f>
        <v>Seasonal Graphics (Like Bat, Ghost, Pumpkin, Fall Leaves, Eyeballs, etc.)</v>
      </c>
      <c r="J1256" t="str">
        <f>_xlfn.XLOOKUP($A1256,Load!$B:$B,Load!K:K,0,)</f>
        <v>Fun Size / Treat Size</v>
      </c>
      <c r="K1256" t="str">
        <f>_xlfn.XLOOKUP($A1256,Load!$B:$B,Load!L:L,0,)</f>
        <v>Regular/Original Wrapping</v>
      </c>
      <c r="L1256" t="str">
        <f>_xlfn.XLOOKUP($A1256,Load!$B:$B,Load!M:M,0,)</f>
        <v>Multiple Brands / Variety Flavors or Form</v>
      </c>
    </row>
    <row r="1257" spans="1:12" x14ac:dyDescent="0.25">
      <c r="A1257" t="s">
        <v>4</v>
      </c>
      <c r="B1257" t="str">
        <f>_xlfn.XLOOKUP($A1257,Load!$B:$B,Load!C:C,0,)</f>
        <v>Airheads</v>
      </c>
      <c r="C1257" t="str">
        <f>_xlfn.XLOOKUP($A1257,Load!$B:$B,Load!D:D,0,)</f>
        <v>Non-Chocolate Candy Only</v>
      </c>
      <c r="D1257" t="str">
        <f>_xlfn.XLOOKUP($A1257,Load!$B:$B,Load!E:E,0,)</f>
        <v>Variety / Mixed Flavors (Fruity, Sour, Seasonal Flavors)</v>
      </c>
      <c r="E1257" t="str">
        <f>_xlfn.XLOOKUP($A1257,Load!$B:$B,Load!F:F,0,)</f>
        <v>Chewy</v>
      </c>
      <c r="F1257" t="str">
        <f>_xlfn.XLOOKUP($A1257,Load!$B:$B,Load!G:G,0,)</f>
        <v>Large Multipack (More than 80 ct)</v>
      </c>
      <c r="G1257" t="str">
        <f>_xlfn.XLOOKUP($A1257,Load!$B:$B,Load!H:H,0,)</f>
        <v>Box (theatre box, gift box, carton)</v>
      </c>
      <c r="H1257" t="str">
        <f>_xlfn.XLOOKUP($A1257,Load!$B:$B,Load!I:I,0,)</f>
        <v>Everyday Candy Shapes (like Original, Gummy bear, Fruit, Jewels, etc.)</v>
      </c>
      <c r="I1257" t="str">
        <f>_xlfn.XLOOKUP($A1257,Load!$B:$B,Load!J:J,0,)</f>
        <v>Seasonal Graphics (Like Bat, Ghost, Pumpkin, Fall Leaves, Eyeballs, etc.)</v>
      </c>
      <c r="J1257" t="str">
        <f>_xlfn.XLOOKUP($A1257,Load!$B:$B,Load!K:K,0,)</f>
        <v>Fun Size / Treat Size</v>
      </c>
      <c r="K1257" t="str">
        <f>_xlfn.XLOOKUP($A1257,Load!$B:$B,Load!L:L,0,)</f>
        <v>Regular/Original Wrapping</v>
      </c>
      <c r="L1257" t="str">
        <f>_xlfn.XLOOKUP($A1257,Load!$B:$B,Load!M:M,0,)</f>
        <v>Single Brand / Variety Flavors or Form</v>
      </c>
    </row>
    <row r="1258" spans="1:12" x14ac:dyDescent="0.25">
      <c r="A1258" t="s">
        <v>257</v>
      </c>
      <c r="B1258" t="str">
        <f>_xlfn.XLOOKUP($A1258,Load!$B:$B,Load!C:C,0,)</f>
        <v>Skittles</v>
      </c>
      <c r="C1258" t="str">
        <f>_xlfn.XLOOKUP($A1258,Load!$B:$B,Load!D:D,0,)</f>
        <v>Non-Chocolate Candy Only</v>
      </c>
      <c r="D1258" t="str">
        <f>_xlfn.XLOOKUP($A1258,Load!$B:$B,Load!E:E,0,)</f>
        <v>Sour</v>
      </c>
      <c r="E1258" t="str">
        <f>_xlfn.XLOOKUP($A1258,Load!$B:$B,Load!F:F,0,)</f>
        <v>Chewy</v>
      </c>
      <c r="F1258" t="str">
        <f>_xlfn.XLOOKUP($A1258,Load!$B:$B,Load!G:G,0,)</f>
        <v>Single Pack</v>
      </c>
      <c r="G1258" t="str">
        <f>_xlfn.XLOOKUP($A1258,Load!$B:$B,Load!H:H,0,)</f>
        <v>Laydown Bag</v>
      </c>
      <c r="H1258" t="str">
        <f>_xlfn.XLOOKUP($A1258,Load!$B:$B,Load!I:I,0,)</f>
        <v>Everyday Candy Shapes (like Original, Gummy bear, Fruit, Jewels, etc.)</v>
      </c>
      <c r="I1258" t="str">
        <f>_xlfn.XLOOKUP($A1258,Load!$B:$B,Load!J:J,0,)</f>
        <v>Seasonal Graphics (Like Bat, Ghost, Pumpkin, Fall Leaves, Eyeballs, etc.)</v>
      </c>
      <c r="J1258" t="str">
        <f>_xlfn.XLOOKUP($A1258,Load!$B:$B,Load!K:K,0,)</f>
        <v>Small Pieces (Tiny bite size candies)</v>
      </c>
      <c r="K1258" t="str">
        <f>_xlfn.XLOOKUP($A1258,Load!$B:$B,Load!L:L,0,)</f>
        <v>Regular/Original Wrapping</v>
      </c>
      <c r="L1258" t="str">
        <f>_xlfn.XLOOKUP($A1258,Load!$B:$B,Load!M:M,0,)</f>
        <v>Single Brand / Variety Flavors or Form</v>
      </c>
    </row>
    <row r="1259" spans="1:12" x14ac:dyDescent="0.25">
      <c r="A1259" t="s">
        <v>227</v>
      </c>
      <c r="B1259" t="str">
        <f>_xlfn.XLOOKUP($A1259,Load!$B:$B,Load!C:C,0,)</f>
        <v>Nerds</v>
      </c>
      <c r="C1259" t="str">
        <f>_xlfn.XLOOKUP($A1259,Load!$B:$B,Load!D:D,0,)</f>
        <v>Non-Chocolate Candy Only</v>
      </c>
      <c r="D1259" t="str">
        <f>_xlfn.XLOOKUP($A1259,Load!$B:$B,Load!E:E,0,)</f>
        <v>Sweet</v>
      </c>
      <c r="E1259" t="str">
        <f>_xlfn.XLOOKUP($A1259,Load!$B:$B,Load!F:F,0,)</f>
        <v>Chewy</v>
      </c>
      <c r="F1259" t="str">
        <f>_xlfn.XLOOKUP($A1259,Load!$B:$B,Load!G:G,0,)</f>
        <v>Single Pack</v>
      </c>
      <c r="G1259" t="str">
        <f>_xlfn.XLOOKUP($A1259,Load!$B:$B,Load!H:H,0,)</f>
        <v>Laydown Bag</v>
      </c>
      <c r="H1259" t="str">
        <f>_xlfn.XLOOKUP($A1259,Load!$B:$B,Load!I:I,0,)</f>
        <v>Seasonal Shapes (like pumpkins, candy corn, ghost, bats, etc.)</v>
      </c>
      <c r="I1259" t="str">
        <f>_xlfn.XLOOKUP($A1259,Load!$B:$B,Load!J:J,0,)</f>
        <v>Seasonal Graphics (Like Bat, Ghost, Pumpkin, Fall Leaves, Eyeballs, etc.)</v>
      </c>
      <c r="J1259" t="str">
        <f>_xlfn.XLOOKUP($A1259,Load!$B:$B,Load!K:K,0,)</f>
        <v>Small Pieces (Tiny bite size candies)</v>
      </c>
      <c r="K1259" t="str">
        <f>_xlfn.XLOOKUP($A1259,Load!$B:$B,Load!L:L,0,)</f>
        <v>Unwrapped</v>
      </c>
      <c r="L1259" t="str">
        <f>_xlfn.XLOOKUP($A1259,Load!$B:$B,Load!M:M,0,)</f>
        <v>Single Brand / Variety Flavors or Form</v>
      </c>
    </row>
    <row r="1260" spans="1:12" x14ac:dyDescent="0.25">
      <c r="A1260" t="s">
        <v>69</v>
      </c>
      <c r="B1260" t="str">
        <f>_xlfn.XLOOKUP($A1260,Load!$B:$B,Load!C:C,0,)</f>
        <v>Dum Dums</v>
      </c>
      <c r="C1260" t="str">
        <f>_xlfn.XLOOKUP($A1260,Load!$B:$B,Load!D:D,0,)</f>
        <v>Non-Chocolate Candy Only</v>
      </c>
      <c r="D1260" t="str">
        <f>_xlfn.XLOOKUP($A1260,Load!$B:$B,Load!E:E,0,)</f>
        <v>Sweet</v>
      </c>
      <c r="E1260" t="str">
        <f>_xlfn.XLOOKUP($A1260,Load!$B:$B,Load!F:F,0,)</f>
        <v>Lollipop (regular or lollipop rings)</v>
      </c>
      <c r="F1260" t="str">
        <f>_xlfn.XLOOKUP($A1260,Load!$B:$B,Load!G:G,0,)</f>
        <v>Single Pack</v>
      </c>
      <c r="G1260" t="str">
        <f>_xlfn.XLOOKUP($A1260,Load!$B:$B,Load!H:H,0,)</f>
        <v>Laydown Bag</v>
      </c>
      <c r="H1260" t="str">
        <f>_xlfn.XLOOKUP($A1260,Load!$B:$B,Load!I:I,0,)</f>
        <v>Seasonal Shapes (like pumpkins, candy corn, ghost, bats, etc.)</v>
      </c>
      <c r="I1260" t="str">
        <f>_xlfn.XLOOKUP($A1260,Load!$B:$B,Load!J:J,0,)</f>
        <v>Seasonal Graphics (Like Bat, Ghost, Pumpkin, Fall Leaves, Eyeballs, etc.)</v>
      </c>
      <c r="J1260" t="str">
        <f>_xlfn.XLOOKUP($A1260,Load!$B:$B,Load!K:K,0,)</f>
        <v>Regular Lollipop size (on sticks or rings)</v>
      </c>
      <c r="K1260" t="str">
        <f>_xlfn.XLOOKUP($A1260,Load!$B:$B,Load!L:L,0,)</f>
        <v>Regular/Original Wrapping</v>
      </c>
      <c r="L1260" t="str">
        <f>_xlfn.XLOOKUP($A1260,Load!$B:$B,Load!M:M,0,)</f>
        <v>Single Brand / Variety Flavors or Form</v>
      </c>
    </row>
    <row r="1261" spans="1:12" x14ac:dyDescent="0.25">
      <c r="B1261">
        <f>_xlfn.XLOOKUP($A1261,Load!$B:$B,Load!C:C,0,)</f>
        <v>0</v>
      </c>
      <c r="C1261">
        <f>_xlfn.XLOOKUP($A1261,Load!$B:$B,Load!D:D,0,)</f>
        <v>0</v>
      </c>
      <c r="D1261">
        <f>_xlfn.XLOOKUP($A1261,Load!$B:$B,Load!E:E,0,)</f>
        <v>0</v>
      </c>
      <c r="E1261">
        <f>_xlfn.XLOOKUP($A1261,Load!$B:$B,Load!F:F,0,)</f>
        <v>0</v>
      </c>
      <c r="F1261">
        <f>_xlfn.XLOOKUP($A1261,Load!$B:$B,Load!G:G,0,)</f>
        <v>0</v>
      </c>
      <c r="G1261">
        <f>_xlfn.XLOOKUP($A1261,Load!$B:$B,Load!H:H,0,)</f>
        <v>0</v>
      </c>
      <c r="H1261">
        <f>_xlfn.XLOOKUP($A1261,Load!$B:$B,Load!I:I,0,)</f>
        <v>0</v>
      </c>
      <c r="I1261">
        <f>_xlfn.XLOOKUP($A1261,Load!$B:$B,Load!J:J,0,)</f>
        <v>0</v>
      </c>
      <c r="J1261">
        <f>_xlfn.XLOOKUP($A1261,Load!$B:$B,Load!K:K,0,)</f>
        <v>0</v>
      </c>
      <c r="K1261">
        <f>_xlfn.XLOOKUP($A1261,Load!$B:$B,Load!L:L,0,)</f>
        <v>0</v>
      </c>
      <c r="L1261">
        <f>_xlfn.XLOOKUP($A1261,Load!$B:$B,Load!M:M,0,)</f>
        <v>0</v>
      </c>
    </row>
    <row r="1262" spans="1:12" x14ac:dyDescent="0.25">
      <c r="B1262">
        <f>_xlfn.XLOOKUP($A1262,Load!$B:$B,Load!C:C,0,)</f>
        <v>0</v>
      </c>
      <c r="C1262">
        <f>_xlfn.XLOOKUP($A1262,Load!$B:$B,Load!D:D,0,)</f>
        <v>0</v>
      </c>
      <c r="D1262">
        <f>_xlfn.XLOOKUP($A1262,Load!$B:$B,Load!E:E,0,)</f>
        <v>0</v>
      </c>
      <c r="E1262">
        <f>_xlfn.XLOOKUP($A1262,Load!$B:$B,Load!F:F,0,)</f>
        <v>0</v>
      </c>
      <c r="F1262">
        <f>_xlfn.XLOOKUP($A1262,Load!$B:$B,Load!G:G,0,)</f>
        <v>0</v>
      </c>
      <c r="G1262">
        <f>_xlfn.XLOOKUP($A1262,Load!$B:$B,Load!H:H,0,)</f>
        <v>0</v>
      </c>
      <c r="H1262">
        <f>_xlfn.XLOOKUP($A1262,Load!$B:$B,Load!I:I,0,)</f>
        <v>0</v>
      </c>
      <c r="I1262">
        <f>_xlfn.XLOOKUP($A1262,Load!$B:$B,Load!J:J,0,)</f>
        <v>0</v>
      </c>
      <c r="J1262">
        <f>_xlfn.XLOOKUP($A1262,Load!$B:$B,Load!K:K,0,)</f>
        <v>0</v>
      </c>
      <c r="K1262">
        <f>_xlfn.XLOOKUP($A1262,Load!$B:$B,Load!L:L,0,)</f>
        <v>0</v>
      </c>
      <c r="L1262">
        <f>_xlfn.XLOOKUP($A1262,Load!$B:$B,Load!M:M,0,)</f>
        <v>0</v>
      </c>
    </row>
    <row r="1263" spans="1:12" x14ac:dyDescent="0.25">
      <c r="B1263">
        <f>_xlfn.XLOOKUP($A1263,Load!$B:$B,Load!C:C,0,)</f>
        <v>0</v>
      </c>
      <c r="C1263">
        <f>_xlfn.XLOOKUP($A1263,Load!$B:$B,Load!D:D,0,)</f>
        <v>0</v>
      </c>
      <c r="D1263">
        <f>_xlfn.XLOOKUP($A1263,Load!$B:$B,Load!E:E,0,)</f>
        <v>0</v>
      </c>
      <c r="E1263">
        <f>_xlfn.XLOOKUP($A1263,Load!$B:$B,Load!F:F,0,)</f>
        <v>0</v>
      </c>
      <c r="F1263">
        <f>_xlfn.XLOOKUP($A1263,Load!$B:$B,Load!G:G,0,)</f>
        <v>0</v>
      </c>
      <c r="G1263">
        <f>_xlfn.XLOOKUP($A1263,Load!$B:$B,Load!H:H,0,)</f>
        <v>0</v>
      </c>
      <c r="H1263">
        <f>_xlfn.XLOOKUP($A1263,Load!$B:$B,Load!I:I,0,)</f>
        <v>0</v>
      </c>
      <c r="I1263">
        <f>_xlfn.XLOOKUP($A1263,Load!$B:$B,Load!J:J,0,)</f>
        <v>0</v>
      </c>
      <c r="J1263">
        <f>_xlfn.XLOOKUP($A1263,Load!$B:$B,Load!K:K,0,)</f>
        <v>0</v>
      </c>
      <c r="K1263">
        <f>_xlfn.XLOOKUP($A1263,Load!$B:$B,Load!L:L,0,)</f>
        <v>0</v>
      </c>
      <c r="L1263">
        <f>_xlfn.XLOOKUP($A1263,Load!$B:$B,Load!M:M,0,)</f>
        <v>0</v>
      </c>
    </row>
    <row r="1264" spans="1:12" x14ac:dyDescent="0.25">
      <c r="A1264" t="s">
        <v>202</v>
      </c>
      <c r="B1264" t="str">
        <f>_xlfn.XLOOKUP($A1264,Load!$B:$B,Load!C:C,0,)</f>
        <v>Mars Variety Pack</v>
      </c>
      <c r="C1264" t="str">
        <f>_xlfn.XLOOKUP($A1264,Load!$B:$B,Load!D:D,0,)</f>
        <v>Mix of Chocolate and Non-Chocolate Candy</v>
      </c>
      <c r="D1264" t="str">
        <f>_xlfn.XLOOKUP($A1264,Load!$B:$B,Load!E:E,0,)</f>
        <v>Variety / Mixed Flavors (Fruity, Sour, Seasonal Flavors)</v>
      </c>
      <c r="E1264" t="str">
        <f>_xlfn.XLOOKUP($A1264,Load!$B:$B,Load!F:F,0,)</f>
        <v>Mixed / Combo Packs (Gummy, Chewy, Taffy, etc.)</v>
      </c>
      <c r="F1264" t="str">
        <f>_xlfn.XLOOKUP($A1264,Load!$B:$B,Load!G:G,0,)</f>
        <v>Large Multipack (More than 80 ct)</v>
      </c>
      <c r="G1264" t="str">
        <f>_xlfn.XLOOKUP($A1264,Load!$B:$B,Load!H:H,0,)</f>
        <v>Stand-Up Bag</v>
      </c>
      <c r="H1264" t="str">
        <f>_xlfn.XLOOKUP($A1264,Load!$B:$B,Load!I:I,0,)</f>
        <v>Everyday Candy Shapes (like Original, Gummy bear, Fruit, Jewels, etc.)</v>
      </c>
      <c r="I1264" t="str">
        <f>_xlfn.XLOOKUP($A1264,Load!$B:$B,Load!J:J,0,)</f>
        <v>Everyday Graphics</v>
      </c>
      <c r="J1264" t="str">
        <f>_xlfn.XLOOKUP($A1264,Load!$B:$B,Load!K:K,0,)</f>
        <v>Fun Size / Treat Size</v>
      </c>
      <c r="K1264" t="str">
        <f>_xlfn.XLOOKUP($A1264,Load!$B:$B,Load!L:L,0,)</f>
        <v>Regular/Original Wrapping</v>
      </c>
      <c r="L1264" t="str">
        <f>_xlfn.XLOOKUP($A1264,Load!$B:$B,Load!M:M,0,)</f>
        <v>Multiple Brands / Variety Flavors or Form</v>
      </c>
    </row>
    <row r="1265" spans="1:12" x14ac:dyDescent="0.25">
      <c r="B1265">
        <f>_xlfn.XLOOKUP($A1265,Load!$B:$B,Load!C:C,0,)</f>
        <v>0</v>
      </c>
      <c r="C1265">
        <f>_xlfn.XLOOKUP($A1265,Load!$B:$B,Load!D:D,0,)</f>
        <v>0</v>
      </c>
      <c r="D1265">
        <f>_xlfn.XLOOKUP($A1265,Load!$B:$B,Load!E:E,0,)</f>
        <v>0</v>
      </c>
      <c r="E1265">
        <f>_xlfn.XLOOKUP($A1265,Load!$B:$B,Load!F:F,0,)</f>
        <v>0</v>
      </c>
      <c r="F1265">
        <f>_xlfn.XLOOKUP($A1265,Load!$B:$B,Load!G:G,0,)</f>
        <v>0</v>
      </c>
      <c r="G1265">
        <f>_xlfn.XLOOKUP($A1265,Load!$B:$B,Load!H:H,0,)</f>
        <v>0</v>
      </c>
      <c r="H1265">
        <f>_xlfn.XLOOKUP($A1265,Load!$B:$B,Load!I:I,0,)</f>
        <v>0</v>
      </c>
      <c r="I1265">
        <f>_xlfn.XLOOKUP($A1265,Load!$B:$B,Load!J:J,0,)</f>
        <v>0</v>
      </c>
      <c r="J1265">
        <f>_xlfn.XLOOKUP($A1265,Load!$B:$B,Load!K:K,0,)</f>
        <v>0</v>
      </c>
      <c r="K1265">
        <f>_xlfn.XLOOKUP($A1265,Load!$B:$B,Load!L:L,0,)</f>
        <v>0</v>
      </c>
      <c r="L1265">
        <f>_xlfn.XLOOKUP($A1265,Load!$B:$B,Load!M:M,0,)</f>
        <v>0</v>
      </c>
    </row>
    <row r="1266" spans="1:12" x14ac:dyDescent="0.25">
      <c r="B1266">
        <f>_xlfn.XLOOKUP($A1266,Load!$B:$B,Load!C:C,0,)</f>
        <v>0</v>
      </c>
      <c r="C1266">
        <f>_xlfn.XLOOKUP($A1266,Load!$B:$B,Load!D:D,0,)</f>
        <v>0</v>
      </c>
      <c r="D1266">
        <f>_xlfn.XLOOKUP($A1266,Load!$B:$B,Load!E:E,0,)</f>
        <v>0</v>
      </c>
      <c r="E1266">
        <f>_xlfn.XLOOKUP($A1266,Load!$B:$B,Load!F:F,0,)</f>
        <v>0</v>
      </c>
      <c r="F1266">
        <f>_xlfn.XLOOKUP($A1266,Load!$B:$B,Load!G:G,0,)</f>
        <v>0</v>
      </c>
      <c r="G1266">
        <f>_xlfn.XLOOKUP($A1266,Load!$B:$B,Load!H:H,0,)</f>
        <v>0</v>
      </c>
      <c r="H1266">
        <f>_xlfn.XLOOKUP($A1266,Load!$B:$B,Load!I:I,0,)</f>
        <v>0</v>
      </c>
      <c r="I1266">
        <f>_xlfn.XLOOKUP($A1266,Load!$B:$B,Load!J:J,0,)</f>
        <v>0</v>
      </c>
      <c r="J1266">
        <f>_xlfn.XLOOKUP($A1266,Load!$B:$B,Load!K:K,0,)</f>
        <v>0</v>
      </c>
      <c r="K1266">
        <f>_xlfn.XLOOKUP($A1266,Load!$B:$B,Load!L:L,0,)</f>
        <v>0</v>
      </c>
      <c r="L1266">
        <f>_xlfn.XLOOKUP($A1266,Load!$B:$B,Load!M:M,0,)</f>
        <v>0</v>
      </c>
    </row>
    <row r="1267" spans="1:12" x14ac:dyDescent="0.25">
      <c r="B1267">
        <f>_xlfn.XLOOKUP($A1267,Load!$B:$B,Load!C:C,0,)</f>
        <v>0</v>
      </c>
      <c r="C1267">
        <f>_xlfn.XLOOKUP($A1267,Load!$B:$B,Load!D:D,0,)</f>
        <v>0</v>
      </c>
      <c r="D1267">
        <f>_xlfn.XLOOKUP($A1267,Load!$B:$B,Load!E:E,0,)</f>
        <v>0</v>
      </c>
      <c r="E1267">
        <f>_xlfn.XLOOKUP($A1267,Load!$B:$B,Load!F:F,0,)</f>
        <v>0</v>
      </c>
      <c r="F1267">
        <f>_xlfn.XLOOKUP($A1267,Load!$B:$B,Load!G:G,0,)</f>
        <v>0</v>
      </c>
      <c r="G1267">
        <f>_xlfn.XLOOKUP($A1267,Load!$B:$B,Load!H:H,0,)</f>
        <v>0</v>
      </c>
      <c r="H1267">
        <f>_xlfn.XLOOKUP($A1267,Load!$B:$B,Load!I:I,0,)</f>
        <v>0</v>
      </c>
      <c r="I1267">
        <f>_xlfn.XLOOKUP($A1267,Load!$B:$B,Load!J:J,0,)</f>
        <v>0</v>
      </c>
      <c r="J1267">
        <f>_xlfn.XLOOKUP($A1267,Load!$B:$B,Load!K:K,0,)</f>
        <v>0</v>
      </c>
      <c r="K1267">
        <f>_xlfn.XLOOKUP($A1267,Load!$B:$B,Load!L:L,0,)</f>
        <v>0</v>
      </c>
      <c r="L1267">
        <f>_xlfn.XLOOKUP($A1267,Load!$B:$B,Load!M:M,0,)</f>
        <v>0</v>
      </c>
    </row>
    <row r="1268" spans="1:12" x14ac:dyDescent="0.25">
      <c r="A1268" t="s">
        <v>96</v>
      </c>
      <c r="B1268" t="str">
        <f>_xlfn.XLOOKUP($A1268,Load!$B:$B,Load!C:C,0,)</f>
        <v>Ferrero Variety Pack</v>
      </c>
      <c r="C1268" t="str">
        <f>_xlfn.XLOOKUP($A1268,Load!$B:$B,Load!D:D,0,)</f>
        <v>Mix of Chocolate and Non-Chocolate Candy</v>
      </c>
      <c r="D1268" t="str">
        <f>_xlfn.XLOOKUP($A1268,Load!$B:$B,Load!E:E,0,)</f>
        <v>Variety / Mixed Flavors (Fruity, Sour, Seasonal Flavors)</v>
      </c>
      <c r="E1268" t="str">
        <f>_xlfn.XLOOKUP($A1268,Load!$B:$B,Load!F:F,0,)</f>
        <v>Mixed / Combo Packs (Gummy, Chewy, Taffy, etc.)</v>
      </c>
      <c r="F1268" t="str">
        <f>_xlfn.XLOOKUP($A1268,Load!$B:$B,Load!G:G,0,)</f>
        <v>Large Multipack (More than 80 ct)</v>
      </c>
      <c r="G1268" t="str">
        <f>_xlfn.XLOOKUP($A1268,Load!$B:$B,Load!H:H,0,)</f>
        <v>Stand-Up Bag</v>
      </c>
      <c r="H1268" t="str">
        <f>_xlfn.XLOOKUP($A1268,Load!$B:$B,Load!I:I,0,)</f>
        <v>Everyday Candy Shapes (like Original, Gummy bear, Fruit, Jewels, etc.)</v>
      </c>
      <c r="I1268" t="str">
        <f>_xlfn.XLOOKUP($A1268,Load!$B:$B,Load!J:J,0,)</f>
        <v>Seasonal Graphics (Like Bat, Ghost, Pumpkin, Fall Leaves, Eyeballs, etc.)</v>
      </c>
      <c r="J1268" t="str">
        <f>_xlfn.XLOOKUP($A1268,Load!$B:$B,Load!K:K,0,)</f>
        <v>Fun Size / Treat Size</v>
      </c>
      <c r="K1268" t="str">
        <f>_xlfn.XLOOKUP($A1268,Load!$B:$B,Load!L:L,0,)</f>
        <v>Regular/Original Wrapping</v>
      </c>
      <c r="L1268" t="str">
        <f>_xlfn.XLOOKUP($A1268,Load!$B:$B,Load!M:M,0,)</f>
        <v>Multiple Brands / Variety Flavors or Form</v>
      </c>
    </row>
    <row r="1269" spans="1:12" x14ac:dyDescent="0.25">
      <c r="A1269" t="s">
        <v>139</v>
      </c>
      <c r="B1269" t="str">
        <f>_xlfn.XLOOKUP($A1269,Load!$B:$B,Load!C:C,0,)</f>
        <v>Hershey's Variety Pack + Haribo</v>
      </c>
      <c r="C1269" t="str">
        <f>_xlfn.XLOOKUP($A1269,Load!$B:$B,Load!D:D,0,)</f>
        <v>Mix of Chocolate and Non-Chocolate Candy</v>
      </c>
      <c r="D1269" t="str">
        <f>_xlfn.XLOOKUP($A1269,Load!$B:$B,Load!E:E,0,)</f>
        <v>Variety / Mixed Flavors (Fruity, Sour, Seasonal Flavors)</v>
      </c>
      <c r="E1269" t="str">
        <f>_xlfn.XLOOKUP($A1269,Load!$B:$B,Load!F:F,0,)</f>
        <v>Mixed / Combo Packs (Gummy, Chewy, Taffy, etc.)</v>
      </c>
      <c r="F1269" t="str">
        <f>_xlfn.XLOOKUP($A1269,Load!$B:$B,Load!G:G,0,)</f>
        <v>Large Multipack (More than 80 ct)</v>
      </c>
      <c r="G1269" t="str">
        <f>_xlfn.XLOOKUP($A1269,Load!$B:$B,Load!H:H,0,)</f>
        <v>Stand-Up Bag</v>
      </c>
      <c r="H1269" t="str">
        <f>_xlfn.XLOOKUP($A1269,Load!$B:$B,Load!I:I,0,)</f>
        <v>Everyday Candy Shapes (like Original, Gummy bear, Fruit, Jewels, etc.)</v>
      </c>
      <c r="I1269" t="str">
        <f>_xlfn.XLOOKUP($A1269,Load!$B:$B,Load!J:J,0,)</f>
        <v>Seasonal Graphics (Like Bat, Ghost, Pumpkin, Fall Leaves, Eyeballs, etc.)</v>
      </c>
      <c r="J1269" t="str">
        <f>_xlfn.XLOOKUP($A1269,Load!$B:$B,Load!K:K,0,)</f>
        <v>Fun Size / Treat Size</v>
      </c>
      <c r="K1269" t="str">
        <f>_xlfn.XLOOKUP($A1269,Load!$B:$B,Load!L:L,0,)</f>
        <v>Regular/Original Wrapping</v>
      </c>
      <c r="L1269" t="str">
        <f>_xlfn.XLOOKUP($A1269,Load!$B:$B,Load!M:M,0,)</f>
        <v>Multiple Brands / Variety Flavors or Form</v>
      </c>
    </row>
    <row r="1270" spans="1:12" x14ac:dyDescent="0.25">
      <c r="A1270" t="s">
        <v>290</v>
      </c>
      <c r="B1270" t="str">
        <f>_xlfn.XLOOKUP($A1270,Load!$B:$B,Load!C:C,0,)</f>
        <v>Tootsie</v>
      </c>
      <c r="C1270" t="str">
        <f>_xlfn.XLOOKUP($A1270,Load!$B:$B,Load!D:D,0,)</f>
        <v>Mix of Chocolate and Non-Chocolate Candy</v>
      </c>
      <c r="D1270" t="str">
        <f>_xlfn.XLOOKUP($A1270,Load!$B:$B,Load!E:E,0,)</f>
        <v>Variety / Mixed Flavors (Fruity, Sour, Seasonal Flavors)</v>
      </c>
      <c r="E1270" t="str">
        <f>_xlfn.XLOOKUP($A1270,Load!$B:$B,Load!F:F,0,)</f>
        <v>Mixed / Combo Packs (Gummy, Chewy, Taffy, etc.)</v>
      </c>
      <c r="F1270" t="str">
        <f>_xlfn.XLOOKUP($A1270,Load!$B:$B,Load!G:G,0,)</f>
        <v>Large Multipack (More than 80 ct)</v>
      </c>
      <c r="G1270" t="str">
        <f>_xlfn.XLOOKUP($A1270,Load!$B:$B,Load!H:H,0,)</f>
        <v>Laydown Bag</v>
      </c>
      <c r="H1270" t="str">
        <f>_xlfn.XLOOKUP($A1270,Load!$B:$B,Load!I:I,0,)</f>
        <v>Everyday Candy Shapes (like Original, Gummy bear, Fruit, Jewels, etc.)</v>
      </c>
      <c r="I1270" t="str">
        <f>_xlfn.XLOOKUP($A1270,Load!$B:$B,Load!J:J,0,)</f>
        <v>Everyday Graphics</v>
      </c>
      <c r="J1270" t="str">
        <f>_xlfn.XLOOKUP($A1270,Load!$B:$B,Load!K:K,0,)</f>
        <v>Fun Size / Treat Size</v>
      </c>
      <c r="K1270" t="str">
        <f>_xlfn.XLOOKUP($A1270,Load!$B:$B,Load!L:L,0,)</f>
        <v>Regular/Original Wrapping</v>
      </c>
      <c r="L1270" t="str">
        <f>_xlfn.XLOOKUP($A1270,Load!$B:$B,Load!M:M,0,)</f>
        <v>Single Brand / Variety Flavors or Form</v>
      </c>
    </row>
    <row r="1271" spans="1:12" x14ac:dyDescent="0.25">
      <c r="B1271">
        <f>_xlfn.XLOOKUP($A1271,Load!$B:$B,Load!C:C,0,)</f>
        <v>0</v>
      </c>
      <c r="C1271">
        <f>_xlfn.XLOOKUP($A1271,Load!$B:$B,Load!D:D,0,)</f>
        <v>0</v>
      </c>
      <c r="D1271">
        <f>_xlfn.XLOOKUP($A1271,Load!$B:$B,Load!E:E,0,)</f>
        <v>0</v>
      </c>
      <c r="E1271">
        <f>_xlfn.XLOOKUP($A1271,Load!$B:$B,Load!F:F,0,)</f>
        <v>0</v>
      </c>
      <c r="F1271">
        <f>_xlfn.XLOOKUP($A1271,Load!$B:$B,Load!G:G,0,)</f>
        <v>0</v>
      </c>
      <c r="G1271">
        <f>_xlfn.XLOOKUP($A1271,Load!$B:$B,Load!H:H,0,)</f>
        <v>0</v>
      </c>
      <c r="H1271">
        <f>_xlfn.XLOOKUP($A1271,Load!$B:$B,Load!I:I,0,)</f>
        <v>0</v>
      </c>
      <c r="I1271">
        <f>_xlfn.XLOOKUP($A1271,Load!$B:$B,Load!J:J,0,)</f>
        <v>0</v>
      </c>
      <c r="J1271">
        <f>_xlfn.XLOOKUP($A1271,Load!$B:$B,Load!K:K,0,)</f>
        <v>0</v>
      </c>
      <c r="K1271">
        <f>_xlfn.XLOOKUP($A1271,Load!$B:$B,Load!L:L,0,)</f>
        <v>0</v>
      </c>
      <c r="L1271">
        <f>_xlfn.XLOOKUP($A1271,Load!$B:$B,Load!M:M,0,)</f>
        <v>0</v>
      </c>
    </row>
    <row r="1272" spans="1:12" x14ac:dyDescent="0.25">
      <c r="A1272" t="s">
        <v>83</v>
      </c>
      <c r="B1272" t="str">
        <f>_xlfn.XLOOKUP($A1272,Load!$B:$B,Load!C:C,0,)</f>
        <v>Ferrara Variety Pack</v>
      </c>
      <c r="C1272" t="str">
        <f>_xlfn.XLOOKUP($A1272,Load!$B:$B,Load!D:D,0,)</f>
        <v>Non-Chocolate Candy Only</v>
      </c>
      <c r="D1272" t="str">
        <f>_xlfn.XLOOKUP($A1272,Load!$B:$B,Load!E:E,0,)</f>
        <v>Variety / Mixed Flavors (Fruity, Sour, Seasonal Flavors)</v>
      </c>
      <c r="E1272" t="str">
        <f>_xlfn.XLOOKUP($A1272,Load!$B:$B,Load!F:F,0,)</f>
        <v>Mixed / Combo Packs (Gummy, Chewy, Taffy, etc.)</v>
      </c>
      <c r="F1272" t="str">
        <f>_xlfn.XLOOKUP($A1272,Load!$B:$B,Load!G:G,0,)</f>
        <v>Medium Multipack (40–80 ct)</v>
      </c>
      <c r="G1272" t="str">
        <f>_xlfn.XLOOKUP($A1272,Load!$B:$B,Load!H:H,0,)</f>
        <v>Stand-Up Bag</v>
      </c>
      <c r="H1272" t="str">
        <f>_xlfn.XLOOKUP($A1272,Load!$B:$B,Load!I:I,0,)</f>
        <v>Everyday Candy Shapes (like Original, Gummy bear, Fruit, Jewels, etc.)</v>
      </c>
      <c r="I1272" t="str">
        <f>_xlfn.XLOOKUP($A1272,Load!$B:$B,Load!J:J,0,)</f>
        <v>Seasonal Graphics (Like Bat, Ghost, Pumpkin, Fall Leaves, Eyeballs, etc.)</v>
      </c>
      <c r="J1272" t="str">
        <f>_xlfn.XLOOKUP($A1272,Load!$B:$B,Load!K:K,0,)</f>
        <v xml:space="preserve">Variety Candy Sizes </v>
      </c>
      <c r="K1272" t="str">
        <f>_xlfn.XLOOKUP($A1272,Load!$B:$B,Load!L:L,0,)</f>
        <v>Regular/Original Wrapping</v>
      </c>
      <c r="L1272" t="str">
        <f>_xlfn.XLOOKUP($A1272,Load!$B:$B,Load!M:M,0,)</f>
        <v>Multiple Brands / Variety Flavors or Form</v>
      </c>
    </row>
    <row r="1273" spans="1:12" x14ac:dyDescent="0.25">
      <c r="A1273" t="s">
        <v>57</v>
      </c>
      <c r="B1273" t="str">
        <f>_xlfn.XLOOKUP($A1273,Load!$B:$B,Load!C:C,0,)</f>
        <v>Brach's</v>
      </c>
      <c r="C1273" t="str">
        <f>_xlfn.XLOOKUP($A1273,Load!$B:$B,Load!D:D,0,)</f>
        <v>Non-Chocolate Candy Only</v>
      </c>
      <c r="D1273" t="str">
        <f>_xlfn.XLOOKUP($A1273,Load!$B:$B,Load!E:E,0,)</f>
        <v>Fall / Seasonal Flavors (pumpkin spice, caramel apple, candy corn)</v>
      </c>
      <c r="E1273" t="str">
        <f>_xlfn.XLOOKUP($A1273,Load!$B:$B,Load!F:F,0,)</f>
        <v>Candy Pieces / Bites</v>
      </c>
      <c r="F1273" t="str">
        <f>_xlfn.XLOOKUP($A1273,Load!$B:$B,Load!G:G,0,)</f>
        <v>Medium Multipack (40–80 ct)</v>
      </c>
      <c r="G1273" t="str">
        <f>_xlfn.XLOOKUP($A1273,Load!$B:$B,Load!H:H,0,)</f>
        <v>Laydown Bag</v>
      </c>
      <c r="H1273" t="str">
        <f>_xlfn.XLOOKUP($A1273,Load!$B:$B,Load!I:I,0,)</f>
        <v>Seasonal Shapes (like pumpkins, candy corn, ghost, bats, etc.)</v>
      </c>
      <c r="I1273" t="str">
        <f>_xlfn.XLOOKUP($A1273,Load!$B:$B,Load!J:J,0,)</f>
        <v>Seasonal Graphics (Like Bat, Ghost, Pumpkin, Fall Leaves, Eyeballs, etc.)</v>
      </c>
      <c r="J1273" t="str">
        <f>_xlfn.XLOOKUP($A1273,Load!$B:$B,Load!K:K,0,)</f>
        <v>Small Pieces (Tiny bite size candies)</v>
      </c>
      <c r="K1273" t="str">
        <f>_xlfn.XLOOKUP($A1273,Load!$B:$B,Load!L:L,0,)</f>
        <v>Unwrapped</v>
      </c>
      <c r="L1273" t="str">
        <f>_xlfn.XLOOKUP($A1273,Load!$B:$B,Load!M:M,0,)</f>
        <v>Single Brand / Single Flavor or Form</v>
      </c>
    </row>
    <row r="1274" spans="1:12" x14ac:dyDescent="0.25">
      <c r="B1274">
        <f>_xlfn.XLOOKUP($A1274,Load!$B:$B,Load!C:C,0,)</f>
        <v>0</v>
      </c>
      <c r="C1274">
        <f>_xlfn.XLOOKUP($A1274,Load!$B:$B,Load!D:D,0,)</f>
        <v>0</v>
      </c>
      <c r="D1274">
        <f>_xlfn.XLOOKUP($A1274,Load!$B:$B,Load!E:E,0,)</f>
        <v>0</v>
      </c>
      <c r="E1274">
        <f>_xlfn.XLOOKUP($A1274,Load!$B:$B,Load!F:F,0,)</f>
        <v>0</v>
      </c>
      <c r="F1274">
        <f>_xlfn.XLOOKUP($A1274,Load!$B:$B,Load!G:G,0,)</f>
        <v>0</v>
      </c>
      <c r="G1274">
        <f>_xlfn.XLOOKUP($A1274,Load!$B:$B,Load!H:H,0,)</f>
        <v>0</v>
      </c>
      <c r="H1274">
        <f>_xlfn.XLOOKUP($A1274,Load!$B:$B,Load!I:I,0,)</f>
        <v>0</v>
      </c>
      <c r="I1274">
        <f>_xlfn.XLOOKUP($A1274,Load!$B:$B,Load!J:J,0,)</f>
        <v>0</v>
      </c>
      <c r="J1274">
        <f>_xlfn.XLOOKUP($A1274,Load!$B:$B,Load!K:K,0,)</f>
        <v>0</v>
      </c>
      <c r="K1274">
        <f>_xlfn.XLOOKUP($A1274,Load!$B:$B,Load!L:L,0,)</f>
        <v>0</v>
      </c>
      <c r="L1274">
        <f>_xlfn.XLOOKUP($A1274,Load!$B:$B,Load!M:M,0,)</f>
        <v>0</v>
      </c>
    </row>
    <row r="1275" spans="1:12" x14ac:dyDescent="0.25">
      <c r="B1275">
        <f>_xlfn.XLOOKUP($A1275,Load!$B:$B,Load!C:C,0,)</f>
        <v>0</v>
      </c>
      <c r="C1275">
        <f>_xlfn.XLOOKUP($A1275,Load!$B:$B,Load!D:D,0,)</f>
        <v>0</v>
      </c>
      <c r="D1275">
        <f>_xlfn.XLOOKUP($A1275,Load!$B:$B,Load!E:E,0,)</f>
        <v>0</v>
      </c>
      <c r="E1275">
        <f>_xlfn.XLOOKUP($A1275,Load!$B:$B,Load!F:F,0,)</f>
        <v>0</v>
      </c>
      <c r="F1275">
        <f>_xlfn.XLOOKUP($A1275,Load!$B:$B,Load!G:G,0,)</f>
        <v>0</v>
      </c>
      <c r="G1275">
        <f>_xlfn.XLOOKUP($A1275,Load!$B:$B,Load!H:H,0,)</f>
        <v>0</v>
      </c>
      <c r="H1275">
        <f>_xlfn.XLOOKUP($A1275,Load!$B:$B,Load!I:I,0,)</f>
        <v>0</v>
      </c>
      <c r="I1275">
        <f>_xlfn.XLOOKUP($A1275,Load!$B:$B,Load!J:J,0,)</f>
        <v>0</v>
      </c>
      <c r="J1275">
        <f>_xlfn.XLOOKUP($A1275,Load!$B:$B,Load!K:K,0,)</f>
        <v>0</v>
      </c>
      <c r="K1275">
        <f>_xlfn.XLOOKUP($A1275,Load!$B:$B,Load!L:L,0,)</f>
        <v>0</v>
      </c>
      <c r="L1275">
        <f>_xlfn.XLOOKUP($A1275,Load!$B:$B,Load!M:M,0,)</f>
        <v>0</v>
      </c>
    </row>
    <row r="1276" spans="1:12" x14ac:dyDescent="0.25">
      <c r="A1276" t="s">
        <v>273</v>
      </c>
      <c r="B1276" t="str">
        <f>_xlfn.XLOOKUP($A1276,Load!$B:$B,Load!C:C,0,)</f>
        <v>Sour Patch Kids</v>
      </c>
      <c r="C1276" t="str">
        <f>_xlfn.XLOOKUP($A1276,Load!$B:$B,Load!D:D,0,)</f>
        <v>Non-Chocolate Candy Only</v>
      </c>
      <c r="D1276" t="str">
        <f>_xlfn.XLOOKUP($A1276,Load!$B:$B,Load!E:E,0,)</f>
        <v>Sour</v>
      </c>
      <c r="E1276" t="str">
        <f>_xlfn.XLOOKUP($A1276,Load!$B:$B,Load!F:F,0,)</f>
        <v>Chewy</v>
      </c>
      <c r="F1276" t="str">
        <f>_xlfn.XLOOKUP($A1276,Load!$B:$B,Load!G:G,0,)</f>
        <v>Small Multipack (Less than 40 ct)</v>
      </c>
      <c r="G1276" t="str">
        <f>_xlfn.XLOOKUP($A1276,Load!$B:$B,Load!H:H,0,)</f>
        <v>Box (theatre box, gift box, carton)</v>
      </c>
      <c r="H1276" t="str">
        <f>_xlfn.XLOOKUP($A1276,Load!$B:$B,Load!I:I,0,)</f>
        <v>Everyday Candy Shapes (like Original, Gummy bear, Fruit, Jewels, etc.)</v>
      </c>
      <c r="I1276" t="str">
        <f>_xlfn.XLOOKUP($A1276,Load!$B:$B,Load!J:J,0,)</f>
        <v>Seasonal Graphics (Like Bat, Ghost, Pumpkin, Fall Leaves, Eyeballs, etc.)</v>
      </c>
      <c r="J1276" t="str">
        <f>_xlfn.XLOOKUP($A1276,Load!$B:$B,Load!K:K,0,)</f>
        <v>Small Pieces (Tiny bite size candies)</v>
      </c>
      <c r="K1276" t="str">
        <f>_xlfn.XLOOKUP($A1276,Load!$B:$B,Load!L:L,0,)</f>
        <v>Unwrapped</v>
      </c>
      <c r="L1276" t="str">
        <f>_xlfn.XLOOKUP($A1276,Load!$B:$B,Load!M:M,0,)</f>
        <v>Single Brand / Variety Flavors or Form</v>
      </c>
    </row>
    <row r="1277" spans="1:12" x14ac:dyDescent="0.25">
      <c r="B1277">
        <f>_xlfn.XLOOKUP($A1277,Load!$B:$B,Load!C:C,0,)</f>
        <v>0</v>
      </c>
      <c r="C1277">
        <f>_xlfn.XLOOKUP($A1277,Load!$B:$B,Load!D:D,0,)</f>
        <v>0</v>
      </c>
      <c r="D1277">
        <f>_xlfn.XLOOKUP($A1277,Load!$B:$B,Load!E:E,0,)</f>
        <v>0</v>
      </c>
      <c r="E1277">
        <f>_xlfn.XLOOKUP($A1277,Load!$B:$B,Load!F:F,0,)</f>
        <v>0</v>
      </c>
      <c r="F1277">
        <f>_xlfn.XLOOKUP($A1277,Load!$B:$B,Load!G:G,0,)</f>
        <v>0</v>
      </c>
      <c r="G1277">
        <f>_xlfn.XLOOKUP($A1277,Load!$B:$B,Load!H:H,0,)</f>
        <v>0</v>
      </c>
      <c r="H1277">
        <f>_xlfn.XLOOKUP($A1277,Load!$B:$B,Load!I:I,0,)</f>
        <v>0</v>
      </c>
      <c r="I1277">
        <f>_xlfn.XLOOKUP($A1277,Load!$B:$B,Load!J:J,0,)</f>
        <v>0</v>
      </c>
      <c r="J1277">
        <f>_xlfn.XLOOKUP($A1277,Load!$B:$B,Load!K:K,0,)</f>
        <v>0</v>
      </c>
      <c r="K1277">
        <f>_xlfn.XLOOKUP($A1277,Load!$B:$B,Load!L:L,0,)</f>
        <v>0</v>
      </c>
      <c r="L1277">
        <f>_xlfn.XLOOKUP($A1277,Load!$B:$B,Load!M:M,0,)</f>
        <v>0</v>
      </c>
    </row>
    <row r="1278" spans="1:12" x14ac:dyDescent="0.25">
      <c r="A1278" t="s">
        <v>173</v>
      </c>
      <c r="B1278" t="str">
        <f>_xlfn.XLOOKUP($A1278,Load!$B:$B,Load!C:C,0,)</f>
        <v>Mars Variety Pack</v>
      </c>
      <c r="C1278" t="str">
        <f>_xlfn.XLOOKUP($A1278,Load!$B:$B,Load!D:D,0,)</f>
        <v>Mix of Chocolate and Non-Chocolate Candy</v>
      </c>
      <c r="D1278" t="str">
        <f>_xlfn.XLOOKUP($A1278,Load!$B:$B,Load!E:E,0,)</f>
        <v>Variety / Mixed Flavors (Fruity, Sour, Seasonal Flavors)</v>
      </c>
      <c r="E1278" t="str">
        <f>_xlfn.XLOOKUP($A1278,Load!$B:$B,Load!F:F,0,)</f>
        <v>Mixed / Combo Packs (Gummy, Chewy, Taffy, etc.)</v>
      </c>
      <c r="F1278" t="str">
        <f>_xlfn.XLOOKUP($A1278,Load!$B:$B,Load!G:G,0,)</f>
        <v>Large Multipack (More than 80 ct)</v>
      </c>
      <c r="G1278" t="str">
        <f>_xlfn.XLOOKUP($A1278,Load!$B:$B,Load!H:H,0,)</f>
        <v>Stand-Up Bag</v>
      </c>
      <c r="H1278" t="str">
        <f>_xlfn.XLOOKUP($A1278,Load!$B:$B,Load!I:I,0,)</f>
        <v>Everyday Candy Shapes (like Original, Gummy bear, Fruit, Jewels, etc.)</v>
      </c>
      <c r="I1278" t="str">
        <f>_xlfn.XLOOKUP($A1278,Load!$B:$B,Load!J:J,0,)</f>
        <v>Seasonal Graphics (Like Bat, Ghost, Pumpkin, Fall Leaves, Eyeballs, etc.)</v>
      </c>
      <c r="J1278" t="str">
        <f>_xlfn.XLOOKUP($A1278,Load!$B:$B,Load!K:K,0,)</f>
        <v>Fun Size / Treat Size</v>
      </c>
      <c r="K1278" t="str">
        <f>_xlfn.XLOOKUP($A1278,Load!$B:$B,Load!L:L,0,)</f>
        <v>Regular/Original Wrapping</v>
      </c>
      <c r="L1278" t="str">
        <f>_xlfn.XLOOKUP($A1278,Load!$B:$B,Load!M:M,0,)</f>
        <v>Multiple Brands / Variety Flavors or Form</v>
      </c>
    </row>
    <row r="1279" spans="1:12" x14ac:dyDescent="0.25">
      <c r="A1279" t="s">
        <v>326</v>
      </c>
      <c r="B1279" t="str">
        <f>_xlfn.XLOOKUP($A1279,Load!$B:$B,Load!C:C,0,)</f>
        <v>Mondelez Variety Pack</v>
      </c>
      <c r="C1279" t="str">
        <f>_xlfn.XLOOKUP($A1279,Load!$B:$B,Load!D:D,0,)</f>
        <v>Mix of Chocolate and Non-Chocolate Candy</v>
      </c>
      <c r="D1279" t="str">
        <f>_xlfn.XLOOKUP($A1279,Load!$B:$B,Load!E:E,0,)</f>
        <v>Variety / Mixed Flavors (Fruity, Sour, Seasonal Flavors)</v>
      </c>
      <c r="E1279" t="str">
        <f>_xlfn.XLOOKUP($A1279,Load!$B:$B,Load!F:F,0,)</f>
        <v>Mixed / Combo Packs (Gummy, Chewy, Taffy, etc.)</v>
      </c>
      <c r="F1279" t="str">
        <f>_xlfn.XLOOKUP($A1279,Load!$B:$B,Load!G:G,0,)</f>
        <v>Medium Multipack (40–80 ct)</v>
      </c>
      <c r="G1279" t="str">
        <f>_xlfn.XLOOKUP($A1279,Load!$B:$B,Load!H:H,0,)</f>
        <v>Stand-Up Bag</v>
      </c>
      <c r="H1279" t="str">
        <f>_xlfn.XLOOKUP($A1279,Load!$B:$B,Load!I:I,0,)</f>
        <v>Everyday Candy Shapes (like Original, Gummy bear, Fruit, Jewels, etc.)</v>
      </c>
      <c r="I1279" t="str">
        <f>_xlfn.XLOOKUP($A1279,Load!$B:$B,Load!J:J,0,)</f>
        <v>Seasonal Graphics (Like Bat, Ghost, Pumpkin, Fall Leaves, Eyeballs, etc.)</v>
      </c>
      <c r="J1279" t="str">
        <f>_xlfn.XLOOKUP($A1279,Load!$B:$B,Load!K:K,0,)</f>
        <v xml:space="preserve">Variety Candy Sizes </v>
      </c>
      <c r="K1279" t="str">
        <f>_xlfn.XLOOKUP($A1279,Load!$B:$B,Load!L:L,0,)</f>
        <v>Regular/Original Wrapping</v>
      </c>
      <c r="L1279" t="str">
        <f>_xlfn.XLOOKUP($A1279,Load!$B:$B,Load!M:M,0,)</f>
        <v>Multiple Brands / Variety Flavors or Form</v>
      </c>
    </row>
    <row r="1280" spans="1:12" x14ac:dyDescent="0.25">
      <c r="A1280" t="s">
        <v>75</v>
      </c>
      <c r="B1280" t="str">
        <f>_xlfn.XLOOKUP($A1280,Load!$B:$B,Load!C:C,0,)</f>
        <v>Dum Dums</v>
      </c>
      <c r="C1280" t="str">
        <f>_xlfn.XLOOKUP($A1280,Load!$B:$B,Load!D:D,0,)</f>
        <v>Non-Chocolate Candy Only</v>
      </c>
      <c r="D1280" t="str">
        <f>_xlfn.XLOOKUP($A1280,Load!$B:$B,Load!E:E,0,)</f>
        <v>Variety / Mixed Flavors (Fruity, Sour, Seasonal Flavors)</v>
      </c>
      <c r="E1280" t="str">
        <f>_xlfn.XLOOKUP($A1280,Load!$B:$B,Load!F:F,0,)</f>
        <v>Lollipop (regular or lollipop rings)</v>
      </c>
      <c r="F1280" t="str">
        <f>_xlfn.XLOOKUP($A1280,Load!$B:$B,Load!G:G,0,)</f>
        <v>Single Pack</v>
      </c>
      <c r="G1280" t="str">
        <f>_xlfn.XLOOKUP($A1280,Load!$B:$B,Load!H:H,0,)</f>
        <v>Laydown Bag</v>
      </c>
      <c r="H1280" t="str">
        <f>_xlfn.XLOOKUP($A1280,Load!$B:$B,Load!I:I,0,)</f>
        <v>Everyday Candy Shapes (like Original, Gummy bear, Fruit, Jewels, etc.)</v>
      </c>
      <c r="I1280" t="str">
        <f>_xlfn.XLOOKUP($A1280,Load!$B:$B,Load!J:J,0,)</f>
        <v>Everyday Graphics</v>
      </c>
      <c r="J1280" t="str">
        <f>_xlfn.XLOOKUP($A1280,Load!$B:$B,Load!K:K,0,)</f>
        <v>Regular Lollipop size (on sticks or rings)</v>
      </c>
      <c r="K1280" t="str">
        <f>_xlfn.XLOOKUP($A1280,Load!$B:$B,Load!L:L,0,)</f>
        <v>Regular/Original Wrapping</v>
      </c>
      <c r="L1280" t="str">
        <f>_xlfn.XLOOKUP($A1280,Load!$B:$B,Load!M:M,0,)</f>
        <v>Single Brand / Variety Flavors or Form</v>
      </c>
    </row>
    <row r="1281" spans="1:12" x14ac:dyDescent="0.25">
      <c r="B1281">
        <f>_xlfn.XLOOKUP($A1281,Load!$B:$B,Load!C:C,0,)</f>
        <v>0</v>
      </c>
      <c r="C1281">
        <f>_xlfn.XLOOKUP($A1281,Load!$B:$B,Load!D:D,0,)</f>
        <v>0</v>
      </c>
      <c r="D1281">
        <f>_xlfn.XLOOKUP($A1281,Load!$B:$B,Load!E:E,0,)</f>
        <v>0</v>
      </c>
      <c r="E1281">
        <f>_xlfn.XLOOKUP($A1281,Load!$B:$B,Load!F:F,0,)</f>
        <v>0</v>
      </c>
      <c r="F1281">
        <f>_xlfn.XLOOKUP($A1281,Load!$B:$B,Load!G:G,0,)</f>
        <v>0</v>
      </c>
      <c r="G1281">
        <f>_xlfn.XLOOKUP($A1281,Load!$B:$B,Load!H:H,0,)</f>
        <v>0</v>
      </c>
      <c r="H1281">
        <f>_xlfn.XLOOKUP($A1281,Load!$B:$B,Load!I:I,0,)</f>
        <v>0</v>
      </c>
      <c r="I1281">
        <f>_xlfn.XLOOKUP($A1281,Load!$B:$B,Load!J:J,0,)</f>
        <v>0</v>
      </c>
      <c r="J1281">
        <f>_xlfn.XLOOKUP($A1281,Load!$B:$B,Load!K:K,0,)</f>
        <v>0</v>
      </c>
      <c r="K1281">
        <f>_xlfn.XLOOKUP($A1281,Load!$B:$B,Load!L:L,0,)</f>
        <v>0</v>
      </c>
      <c r="L1281">
        <f>_xlfn.XLOOKUP($A1281,Load!$B:$B,Load!M:M,0,)</f>
        <v>0</v>
      </c>
    </row>
    <row r="1282" spans="1:12" x14ac:dyDescent="0.25">
      <c r="A1282" t="s">
        <v>322</v>
      </c>
      <c r="B1282" t="str">
        <f>_xlfn.XLOOKUP($A1282,Load!$B:$B,Load!C:C,0,)</f>
        <v>Zachary</v>
      </c>
      <c r="C1282" t="str">
        <f>_xlfn.XLOOKUP($A1282,Load!$B:$B,Load!D:D,0,)</f>
        <v>Non-Chocolate Candy Only</v>
      </c>
      <c r="D1282" t="str">
        <f>_xlfn.XLOOKUP($A1282,Load!$B:$B,Load!E:E,0,)</f>
        <v>Fall / Seasonal Flavors (pumpkin spice, caramel apple, candy corn)</v>
      </c>
      <c r="E1282" t="str">
        <f>_xlfn.XLOOKUP($A1282,Load!$B:$B,Load!F:F,0,)</f>
        <v>Candy Pieces / Bites</v>
      </c>
      <c r="F1282" t="str">
        <f>_xlfn.XLOOKUP($A1282,Load!$B:$B,Load!G:G,0,)</f>
        <v>Single Pack</v>
      </c>
      <c r="G1282" t="str">
        <f>_xlfn.XLOOKUP($A1282,Load!$B:$B,Load!H:H,0,)</f>
        <v>Plastic Cup / Container</v>
      </c>
      <c r="H1282" t="str">
        <f>_xlfn.XLOOKUP($A1282,Load!$B:$B,Load!I:I,0,)</f>
        <v>Seasonal Shapes (like pumpkins, candy corn, ghost, bats, etc.)</v>
      </c>
      <c r="I1282" t="str">
        <f>_xlfn.XLOOKUP($A1282,Load!$B:$B,Load!J:J,0,)</f>
        <v>Seasonal Graphics (Like Bat, Ghost, Pumpkin, Fall Leaves, Eyeballs, etc.)</v>
      </c>
      <c r="J1282" t="str">
        <f>_xlfn.XLOOKUP($A1282,Load!$B:$B,Load!K:K,0,)</f>
        <v>Small Pieces (Tiny bite size candies)</v>
      </c>
      <c r="K1282" t="str">
        <f>_xlfn.XLOOKUP($A1282,Load!$B:$B,Load!L:L,0,)</f>
        <v>Unwrapped</v>
      </c>
      <c r="L1282" t="str">
        <f>_xlfn.XLOOKUP($A1282,Load!$B:$B,Load!M:M,0,)</f>
        <v>Single Brand / Single Flavor or Form</v>
      </c>
    </row>
    <row r="1283" spans="1:12" x14ac:dyDescent="0.25">
      <c r="B1283">
        <f>_xlfn.XLOOKUP($A1283,Load!$B:$B,Load!C:C,0,)</f>
        <v>0</v>
      </c>
      <c r="C1283">
        <f>_xlfn.XLOOKUP($A1283,Load!$B:$B,Load!D:D,0,)</f>
        <v>0</v>
      </c>
      <c r="D1283">
        <f>_xlfn.XLOOKUP($A1283,Load!$B:$B,Load!E:E,0,)</f>
        <v>0</v>
      </c>
      <c r="E1283">
        <f>_xlfn.XLOOKUP($A1283,Load!$B:$B,Load!F:F,0,)</f>
        <v>0</v>
      </c>
      <c r="F1283">
        <f>_xlfn.XLOOKUP($A1283,Load!$B:$B,Load!G:G,0,)</f>
        <v>0</v>
      </c>
      <c r="G1283">
        <f>_xlfn.XLOOKUP($A1283,Load!$B:$B,Load!H:H,0,)</f>
        <v>0</v>
      </c>
      <c r="H1283">
        <f>_xlfn.XLOOKUP($A1283,Load!$B:$B,Load!I:I,0,)</f>
        <v>0</v>
      </c>
      <c r="I1283">
        <f>_xlfn.XLOOKUP($A1283,Load!$B:$B,Load!J:J,0,)</f>
        <v>0</v>
      </c>
      <c r="J1283">
        <f>_xlfn.XLOOKUP($A1283,Load!$B:$B,Load!K:K,0,)</f>
        <v>0</v>
      </c>
      <c r="K1283">
        <f>_xlfn.XLOOKUP($A1283,Load!$B:$B,Load!L:L,0,)</f>
        <v>0</v>
      </c>
      <c r="L1283">
        <f>_xlfn.XLOOKUP($A1283,Load!$B:$B,Load!M:M,0,)</f>
        <v>0</v>
      </c>
    </row>
    <row r="1284" spans="1:12" x14ac:dyDescent="0.25">
      <c r="B1284">
        <f>_xlfn.XLOOKUP($A1284,Load!$B:$B,Load!C:C,0,)</f>
        <v>0</v>
      </c>
      <c r="C1284">
        <f>_xlfn.XLOOKUP($A1284,Load!$B:$B,Load!D:D,0,)</f>
        <v>0</v>
      </c>
      <c r="D1284">
        <f>_xlfn.XLOOKUP($A1284,Load!$B:$B,Load!E:E,0,)</f>
        <v>0</v>
      </c>
      <c r="E1284">
        <f>_xlfn.XLOOKUP($A1284,Load!$B:$B,Load!F:F,0,)</f>
        <v>0</v>
      </c>
      <c r="F1284">
        <f>_xlfn.XLOOKUP($A1284,Load!$B:$B,Load!G:G,0,)</f>
        <v>0</v>
      </c>
      <c r="G1284">
        <f>_xlfn.XLOOKUP($A1284,Load!$B:$B,Load!H:H,0,)</f>
        <v>0</v>
      </c>
      <c r="H1284">
        <f>_xlfn.XLOOKUP($A1284,Load!$B:$B,Load!I:I,0,)</f>
        <v>0</v>
      </c>
      <c r="I1284">
        <f>_xlfn.XLOOKUP($A1284,Load!$B:$B,Load!J:J,0,)</f>
        <v>0</v>
      </c>
      <c r="J1284">
        <f>_xlfn.XLOOKUP($A1284,Load!$B:$B,Load!K:K,0,)</f>
        <v>0</v>
      </c>
      <c r="K1284">
        <f>_xlfn.XLOOKUP($A1284,Load!$B:$B,Load!L:L,0,)</f>
        <v>0</v>
      </c>
      <c r="L1284">
        <f>_xlfn.XLOOKUP($A1284,Load!$B:$B,Load!M:M,0,)</f>
        <v>0</v>
      </c>
    </row>
    <row r="1285" spans="1:12" x14ac:dyDescent="0.25">
      <c r="B1285">
        <f>_xlfn.XLOOKUP($A1285,Load!$B:$B,Load!C:C,0,)</f>
        <v>0</v>
      </c>
      <c r="C1285">
        <f>_xlfn.XLOOKUP($A1285,Load!$B:$B,Load!D:D,0,)</f>
        <v>0</v>
      </c>
      <c r="D1285">
        <f>_xlfn.XLOOKUP($A1285,Load!$B:$B,Load!E:E,0,)</f>
        <v>0</v>
      </c>
      <c r="E1285">
        <f>_xlfn.XLOOKUP($A1285,Load!$B:$B,Load!F:F,0,)</f>
        <v>0</v>
      </c>
      <c r="F1285">
        <f>_xlfn.XLOOKUP($A1285,Load!$B:$B,Load!G:G,0,)</f>
        <v>0</v>
      </c>
      <c r="G1285">
        <f>_xlfn.XLOOKUP($A1285,Load!$B:$B,Load!H:H,0,)</f>
        <v>0</v>
      </c>
      <c r="H1285">
        <f>_xlfn.XLOOKUP($A1285,Load!$B:$B,Load!I:I,0,)</f>
        <v>0</v>
      </c>
      <c r="I1285">
        <f>_xlfn.XLOOKUP($A1285,Load!$B:$B,Load!J:J,0,)</f>
        <v>0</v>
      </c>
      <c r="J1285">
        <f>_xlfn.XLOOKUP($A1285,Load!$B:$B,Load!K:K,0,)</f>
        <v>0</v>
      </c>
      <c r="K1285">
        <f>_xlfn.XLOOKUP($A1285,Load!$B:$B,Load!L:L,0,)</f>
        <v>0</v>
      </c>
      <c r="L1285">
        <f>_xlfn.XLOOKUP($A1285,Load!$B:$B,Load!M:M,0,)</f>
        <v>0</v>
      </c>
    </row>
    <row r="1286" spans="1:12" x14ac:dyDescent="0.25">
      <c r="A1286" t="s">
        <v>202</v>
      </c>
      <c r="B1286" t="str">
        <f>_xlfn.XLOOKUP($A1286,Load!$B:$B,Load!C:C,0,)</f>
        <v>Mars Variety Pack</v>
      </c>
      <c r="C1286" t="str">
        <f>_xlfn.XLOOKUP($A1286,Load!$B:$B,Load!D:D,0,)</f>
        <v>Mix of Chocolate and Non-Chocolate Candy</v>
      </c>
      <c r="D1286" t="str">
        <f>_xlfn.XLOOKUP($A1286,Load!$B:$B,Load!E:E,0,)</f>
        <v>Variety / Mixed Flavors (Fruity, Sour, Seasonal Flavors)</v>
      </c>
      <c r="E1286" t="str">
        <f>_xlfn.XLOOKUP($A1286,Load!$B:$B,Load!F:F,0,)</f>
        <v>Mixed / Combo Packs (Gummy, Chewy, Taffy, etc.)</v>
      </c>
      <c r="F1286" t="str">
        <f>_xlfn.XLOOKUP($A1286,Load!$B:$B,Load!G:G,0,)</f>
        <v>Large Multipack (More than 80 ct)</v>
      </c>
      <c r="G1286" t="str">
        <f>_xlfn.XLOOKUP($A1286,Load!$B:$B,Load!H:H,0,)</f>
        <v>Stand-Up Bag</v>
      </c>
      <c r="H1286" t="str">
        <f>_xlfn.XLOOKUP($A1286,Load!$B:$B,Load!I:I,0,)</f>
        <v>Everyday Candy Shapes (like Original, Gummy bear, Fruit, Jewels, etc.)</v>
      </c>
      <c r="I1286" t="str">
        <f>_xlfn.XLOOKUP($A1286,Load!$B:$B,Load!J:J,0,)</f>
        <v>Everyday Graphics</v>
      </c>
      <c r="J1286" t="str">
        <f>_xlfn.XLOOKUP($A1286,Load!$B:$B,Load!K:K,0,)</f>
        <v>Fun Size / Treat Size</v>
      </c>
      <c r="K1286" t="str">
        <f>_xlfn.XLOOKUP($A1286,Load!$B:$B,Load!L:L,0,)</f>
        <v>Regular/Original Wrapping</v>
      </c>
      <c r="L1286" t="str">
        <f>_xlfn.XLOOKUP($A1286,Load!$B:$B,Load!M:M,0,)</f>
        <v>Multiple Brands / Variety Flavors or Form</v>
      </c>
    </row>
    <row r="1287" spans="1:12" x14ac:dyDescent="0.25">
      <c r="A1287" t="s">
        <v>180</v>
      </c>
      <c r="B1287" t="str">
        <f>_xlfn.XLOOKUP($A1287,Load!$B:$B,Load!C:C,0,)</f>
        <v>Mars Variety Pack</v>
      </c>
      <c r="C1287" t="str">
        <f>_xlfn.XLOOKUP($A1287,Load!$B:$B,Load!D:D,0,)</f>
        <v>Mix of Chocolate and Non-Chocolate Candy</v>
      </c>
      <c r="D1287" t="str">
        <f>_xlfn.XLOOKUP($A1287,Load!$B:$B,Load!E:E,0,)</f>
        <v>Variety / Mixed Flavors (Fruity, Sour, Seasonal Flavors)</v>
      </c>
      <c r="E1287" t="str">
        <f>_xlfn.XLOOKUP($A1287,Load!$B:$B,Load!F:F,0,)</f>
        <v>Mixed / Combo Packs (Gummy, Chewy, Taffy, etc.)</v>
      </c>
      <c r="F1287" t="str">
        <f>_xlfn.XLOOKUP($A1287,Load!$B:$B,Load!G:G,0,)</f>
        <v>Large Multipack (More than 80 ct)</v>
      </c>
      <c r="G1287" t="str">
        <f>_xlfn.XLOOKUP($A1287,Load!$B:$B,Load!H:H,0,)</f>
        <v>Stand-Up Bag</v>
      </c>
      <c r="H1287" t="str">
        <f>_xlfn.XLOOKUP($A1287,Load!$B:$B,Load!I:I,0,)</f>
        <v>Everyday Candy Shapes (like Original, Gummy bear, Fruit, Jewels, etc.)</v>
      </c>
      <c r="I1287" t="str">
        <f>_xlfn.XLOOKUP($A1287,Load!$B:$B,Load!J:J,0,)</f>
        <v>Seasonal Graphics (Like Bat, Ghost, Pumpkin, Fall Leaves, Eyeballs, etc.)</v>
      </c>
      <c r="J1287" t="str">
        <f>_xlfn.XLOOKUP($A1287,Load!$B:$B,Load!K:K,0,)</f>
        <v>Fun Size / Treat Size</v>
      </c>
      <c r="K1287" t="str">
        <f>_xlfn.XLOOKUP($A1287,Load!$B:$B,Load!L:L,0,)</f>
        <v>Regular/Original Wrapping</v>
      </c>
      <c r="L1287" t="str">
        <f>_xlfn.XLOOKUP($A1287,Load!$B:$B,Load!M:M,0,)</f>
        <v>Multiple Brands / Variety Flavors or Form</v>
      </c>
    </row>
    <row r="1288" spans="1:12" x14ac:dyDescent="0.25">
      <c r="B1288">
        <f>_xlfn.XLOOKUP($A1288,Load!$B:$B,Load!C:C,0,)</f>
        <v>0</v>
      </c>
      <c r="C1288">
        <f>_xlfn.XLOOKUP($A1288,Load!$B:$B,Load!D:D,0,)</f>
        <v>0</v>
      </c>
      <c r="D1288">
        <f>_xlfn.XLOOKUP($A1288,Load!$B:$B,Load!E:E,0,)</f>
        <v>0</v>
      </c>
      <c r="E1288">
        <f>_xlfn.XLOOKUP($A1288,Load!$B:$B,Load!F:F,0,)</f>
        <v>0</v>
      </c>
      <c r="F1288">
        <f>_xlfn.XLOOKUP($A1288,Load!$B:$B,Load!G:G,0,)</f>
        <v>0</v>
      </c>
      <c r="G1288">
        <f>_xlfn.XLOOKUP($A1288,Load!$B:$B,Load!H:H,0,)</f>
        <v>0</v>
      </c>
      <c r="H1288">
        <f>_xlfn.XLOOKUP($A1288,Load!$B:$B,Load!I:I,0,)</f>
        <v>0</v>
      </c>
      <c r="I1288">
        <f>_xlfn.XLOOKUP($A1288,Load!$B:$B,Load!J:J,0,)</f>
        <v>0</v>
      </c>
      <c r="J1288">
        <f>_xlfn.XLOOKUP($A1288,Load!$B:$B,Load!K:K,0,)</f>
        <v>0</v>
      </c>
      <c r="K1288">
        <f>_xlfn.XLOOKUP($A1288,Load!$B:$B,Load!L:L,0,)</f>
        <v>0</v>
      </c>
      <c r="L1288">
        <f>_xlfn.XLOOKUP($A1288,Load!$B:$B,Load!M:M,0,)</f>
        <v>0</v>
      </c>
    </row>
    <row r="1289" spans="1:12" x14ac:dyDescent="0.25">
      <c r="B1289">
        <f>_xlfn.XLOOKUP($A1289,Load!$B:$B,Load!C:C,0,)</f>
        <v>0</v>
      </c>
      <c r="C1289">
        <f>_xlfn.XLOOKUP($A1289,Load!$B:$B,Load!D:D,0,)</f>
        <v>0</v>
      </c>
      <c r="D1289">
        <f>_xlfn.XLOOKUP($A1289,Load!$B:$B,Load!E:E,0,)</f>
        <v>0</v>
      </c>
      <c r="E1289">
        <f>_xlfn.XLOOKUP($A1289,Load!$B:$B,Load!F:F,0,)</f>
        <v>0</v>
      </c>
      <c r="F1289">
        <f>_xlfn.XLOOKUP($A1289,Load!$B:$B,Load!G:G,0,)</f>
        <v>0</v>
      </c>
      <c r="G1289">
        <f>_xlfn.XLOOKUP($A1289,Load!$B:$B,Load!H:H,0,)</f>
        <v>0</v>
      </c>
      <c r="H1289">
        <f>_xlfn.XLOOKUP($A1289,Load!$B:$B,Load!I:I,0,)</f>
        <v>0</v>
      </c>
      <c r="I1289">
        <f>_xlfn.XLOOKUP($A1289,Load!$B:$B,Load!J:J,0,)</f>
        <v>0</v>
      </c>
      <c r="J1289">
        <f>_xlfn.XLOOKUP($A1289,Load!$B:$B,Load!K:K,0,)</f>
        <v>0</v>
      </c>
      <c r="K1289">
        <f>_xlfn.XLOOKUP($A1289,Load!$B:$B,Load!L:L,0,)</f>
        <v>0</v>
      </c>
      <c r="L1289">
        <f>_xlfn.XLOOKUP($A1289,Load!$B:$B,Load!M:M,0,)</f>
        <v>0</v>
      </c>
    </row>
    <row r="1290" spans="1:12" x14ac:dyDescent="0.25">
      <c r="B1290">
        <f>_xlfn.XLOOKUP($A1290,Load!$B:$B,Load!C:C,0,)</f>
        <v>0</v>
      </c>
      <c r="C1290">
        <f>_xlfn.XLOOKUP($A1290,Load!$B:$B,Load!D:D,0,)</f>
        <v>0</v>
      </c>
      <c r="D1290">
        <f>_xlfn.XLOOKUP($A1290,Load!$B:$B,Load!E:E,0,)</f>
        <v>0</v>
      </c>
      <c r="E1290">
        <f>_xlfn.XLOOKUP($A1290,Load!$B:$B,Load!F:F,0,)</f>
        <v>0</v>
      </c>
      <c r="F1290">
        <f>_xlfn.XLOOKUP($A1290,Load!$B:$B,Load!G:G,0,)</f>
        <v>0</v>
      </c>
      <c r="G1290">
        <f>_xlfn.XLOOKUP($A1290,Load!$B:$B,Load!H:H,0,)</f>
        <v>0</v>
      </c>
      <c r="H1290">
        <f>_xlfn.XLOOKUP($A1290,Load!$B:$B,Load!I:I,0,)</f>
        <v>0</v>
      </c>
      <c r="I1290">
        <f>_xlfn.XLOOKUP($A1290,Load!$B:$B,Load!J:J,0,)</f>
        <v>0</v>
      </c>
      <c r="J1290">
        <f>_xlfn.XLOOKUP($A1290,Load!$B:$B,Load!K:K,0,)</f>
        <v>0</v>
      </c>
      <c r="K1290">
        <f>_xlfn.XLOOKUP($A1290,Load!$B:$B,Load!L:L,0,)</f>
        <v>0</v>
      </c>
      <c r="L1290">
        <f>_xlfn.XLOOKUP($A1290,Load!$B:$B,Load!M:M,0,)</f>
        <v>0</v>
      </c>
    </row>
    <row r="1291" spans="1:12" x14ac:dyDescent="0.25">
      <c r="B1291">
        <f>_xlfn.XLOOKUP($A1291,Load!$B:$B,Load!C:C,0,)</f>
        <v>0</v>
      </c>
      <c r="C1291">
        <f>_xlfn.XLOOKUP($A1291,Load!$B:$B,Load!D:D,0,)</f>
        <v>0</v>
      </c>
      <c r="D1291">
        <f>_xlfn.XLOOKUP($A1291,Load!$B:$B,Load!E:E,0,)</f>
        <v>0</v>
      </c>
      <c r="E1291">
        <f>_xlfn.XLOOKUP($A1291,Load!$B:$B,Load!F:F,0,)</f>
        <v>0</v>
      </c>
      <c r="F1291">
        <f>_xlfn.XLOOKUP($A1291,Load!$B:$B,Load!G:G,0,)</f>
        <v>0</v>
      </c>
      <c r="G1291">
        <f>_xlfn.XLOOKUP($A1291,Load!$B:$B,Load!H:H,0,)</f>
        <v>0</v>
      </c>
      <c r="H1291">
        <f>_xlfn.XLOOKUP($A1291,Load!$B:$B,Load!I:I,0,)</f>
        <v>0</v>
      </c>
      <c r="I1291">
        <f>_xlfn.XLOOKUP($A1291,Load!$B:$B,Load!J:J,0,)</f>
        <v>0</v>
      </c>
      <c r="J1291">
        <f>_xlfn.XLOOKUP($A1291,Load!$B:$B,Load!K:K,0,)</f>
        <v>0</v>
      </c>
      <c r="K1291">
        <f>_xlfn.XLOOKUP($A1291,Load!$B:$B,Load!L:L,0,)</f>
        <v>0</v>
      </c>
      <c r="L1291">
        <f>_xlfn.XLOOKUP($A1291,Load!$B:$B,Load!M:M,0,)</f>
        <v>0</v>
      </c>
    </row>
    <row r="1292" spans="1:12" x14ac:dyDescent="0.25">
      <c r="B1292">
        <f>_xlfn.XLOOKUP($A1292,Load!$B:$B,Load!C:C,0,)</f>
        <v>0</v>
      </c>
      <c r="C1292">
        <f>_xlfn.XLOOKUP($A1292,Load!$B:$B,Load!D:D,0,)</f>
        <v>0</v>
      </c>
      <c r="D1292">
        <f>_xlfn.XLOOKUP($A1292,Load!$B:$B,Load!E:E,0,)</f>
        <v>0</v>
      </c>
      <c r="E1292">
        <f>_xlfn.XLOOKUP($A1292,Load!$B:$B,Load!F:F,0,)</f>
        <v>0</v>
      </c>
      <c r="F1292">
        <f>_xlfn.XLOOKUP($A1292,Load!$B:$B,Load!G:G,0,)</f>
        <v>0</v>
      </c>
      <c r="G1292">
        <f>_xlfn.XLOOKUP($A1292,Load!$B:$B,Load!H:H,0,)</f>
        <v>0</v>
      </c>
      <c r="H1292">
        <f>_xlfn.XLOOKUP($A1292,Load!$B:$B,Load!I:I,0,)</f>
        <v>0</v>
      </c>
      <c r="I1292">
        <f>_xlfn.XLOOKUP($A1292,Load!$B:$B,Load!J:J,0,)</f>
        <v>0</v>
      </c>
      <c r="J1292">
        <f>_xlfn.XLOOKUP($A1292,Load!$B:$B,Load!K:K,0,)</f>
        <v>0</v>
      </c>
      <c r="K1292">
        <f>_xlfn.XLOOKUP($A1292,Load!$B:$B,Load!L:L,0,)</f>
        <v>0</v>
      </c>
      <c r="L1292">
        <f>_xlfn.XLOOKUP($A1292,Load!$B:$B,Load!M:M,0,)</f>
        <v>0</v>
      </c>
    </row>
    <row r="1293" spans="1:12" x14ac:dyDescent="0.25">
      <c r="B1293">
        <f>_xlfn.XLOOKUP($A1293,Load!$B:$B,Load!C:C,0,)</f>
        <v>0</v>
      </c>
      <c r="C1293">
        <f>_xlfn.XLOOKUP($A1293,Load!$B:$B,Load!D:D,0,)</f>
        <v>0</v>
      </c>
      <c r="D1293">
        <f>_xlfn.XLOOKUP($A1293,Load!$B:$B,Load!E:E,0,)</f>
        <v>0</v>
      </c>
      <c r="E1293">
        <f>_xlfn.XLOOKUP($A1293,Load!$B:$B,Load!F:F,0,)</f>
        <v>0</v>
      </c>
      <c r="F1293">
        <f>_xlfn.XLOOKUP($A1293,Load!$B:$B,Load!G:G,0,)</f>
        <v>0</v>
      </c>
      <c r="G1293">
        <f>_xlfn.XLOOKUP($A1293,Load!$B:$B,Load!H:H,0,)</f>
        <v>0</v>
      </c>
      <c r="H1293">
        <f>_xlfn.XLOOKUP($A1293,Load!$B:$B,Load!I:I,0,)</f>
        <v>0</v>
      </c>
      <c r="I1293">
        <f>_xlfn.XLOOKUP($A1293,Load!$B:$B,Load!J:J,0,)</f>
        <v>0</v>
      </c>
      <c r="J1293">
        <f>_xlfn.XLOOKUP($A1293,Load!$B:$B,Load!K:K,0,)</f>
        <v>0</v>
      </c>
      <c r="K1293">
        <f>_xlfn.XLOOKUP($A1293,Load!$B:$B,Load!L:L,0,)</f>
        <v>0</v>
      </c>
      <c r="L1293">
        <f>_xlfn.XLOOKUP($A1293,Load!$B:$B,Load!M:M,0,)</f>
        <v>0</v>
      </c>
    </row>
    <row r="1294" spans="1:12" x14ac:dyDescent="0.25">
      <c r="B1294">
        <f>_xlfn.XLOOKUP($A1294,Load!$B:$B,Load!C:C,0,)</f>
        <v>0</v>
      </c>
      <c r="C1294">
        <f>_xlfn.XLOOKUP($A1294,Load!$B:$B,Load!D:D,0,)</f>
        <v>0</v>
      </c>
      <c r="D1294">
        <f>_xlfn.XLOOKUP($A1294,Load!$B:$B,Load!E:E,0,)</f>
        <v>0</v>
      </c>
      <c r="E1294">
        <f>_xlfn.XLOOKUP($A1294,Load!$B:$B,Load!F:F,0,)</f>
        <v>0</v>
      </c>
      <c r="F1294">
        <f>_xlfn.XLOOKUP($A1294,Load!$B:$B,Load!G:G,0,)</f>
        <v>0</v>
      </c>
      <c r="G1294">
        <f>_xlfn.XLOOKUP($A1294,Load!$B:$B,Load!H:H,0,)</f>
        <v>0</v>
      </c>
      <c r="H1294">
        <f>_xlfn.XLOOKUP($A1294,Load!$B:$B,Load!I:I,0,)</f>
        <v>0</v>
      </c>
      <c r="I1294">
        <f>_xlfn.XLOOKUP($A1294,Load!$B:$B,Load!J:J,0,)</f>
        <v>0</v>
      </c>
      <c r="J1294">
        <f>_xlfn.XLOOKUP($A1294,Load!$B:$B,Load!K:K,0,)</f>
        <v>0</v>
      </c>
      <c r="K1294">
        <f>_xlfn.XLOOKUP($A1294,Load!$B:$B,Load!L:L,0,)</f>
        <v>0</v>
      </c>
      <c r="L1294">
        <f>_xlfn.XLOOKUP($A1294,Load!$B:$B,Load!M:M,0,)</f>
        <v>0</v>
      </c>
    </row>
    <row r="1295" spans="1:12" x14ac:dyDescent="0.25">
      <c r="B1295">
        <f>_xlfn.XLOOKUP($A1295,Load!$B:$B,Load!C:C,0,)</f>
        <v>0</v>
      </c>
      <c r="C1295">
        <f>_xlfn.XLOOKUP($A1295,Load!$B:$B,Load!D:D,0,)</f>
        <v>0</v>
      </c>
      <c r="D1295">
        <f>_xlfn.XLOOKUP($A1295,Load!$B:$B,Load!E:E,0,)</f>
        <v>0</v>
      </c>
      <c r="E1295">
        <f>_xlfn.XLOOKUP($A1295,Load!$B:$B,Load!F:F,0,)</f>
        <v>0</v>
      </c>
      <c r="F1295">
        <f>_xlfn.XLOOKUP($A1295,Load!$B:$B,Load!G:G,0,)</f>
        <v>0</v>
      </c>
      <c r="G1295">
        <f>_xlfn.XLOOKUP($A1295,Load!$B:$B,Load!H:H,0,)</f>
        <v>0</v>
      </c>
      <c r="H1295">
        <f>_xlfn.XLOOKUP($A1295,Load!$B:$B,Load!I:I,0,)</f>
        <v>0</v>
      </c>
      <c r="I1295">
        <f>_xlfn.XLOOKUP($A1295,Load!$B:$B,Load!J:J,0,)</f>
        <v>0</v>
      </c>
      <c r="J1295">
        <f>_xlfn.XLOOKUP($A1295,Load!$B:$B,Load!K:K,0,)</f>
        <v>0</v>
      </c>
      <c r="K1295">
        <f>_xlfn.XLOOKUP($A1295,Load!$B:$B,Load!L:L,0,)</f>
        <v>0</v>
      </c>
      <c r="L1295">
        <f>_xlfn.XLOOKUP($A1295,Load!$B:$B,Load!M:M,0,)</f>
        <v>0</v>
      </c>
    </row>
    <row r="1296" spans="1:12" x14ac:dyDescent="0.25">
      <c r="B1296">
        <f>_xlfn.XLOOKUP($A1296,Load!$B:$B,Load!C:C,0,)</f>
        <v>0</v>
      </c>
      <c r="C1296">
        <f>_xlfn.XLOOKUP($A1296,Load!$B:$B,Load!D:D,0,)</f>
        <v>0</v>
      </c>
      <c r="D1296">
        <f>_xlfn.XLOOKUP($A1296,Load!$B:$B,Load!E:E,0,)</f>
        <v>0</v>
      </c>
      <c r="E1296">
        <f>_xlfn.XLOOKUP($A1296,Load!$B:$B,Load!F:F,0,)</f>
        <v>0</v>
      </c>
      <c r="F1296">
        <f>_xlfn.XLOOKUP($A1296,Load!$B:$B,Load!G:G,0,)</f>
        <v>0</v>
      </c>
      <c r="G1296">
        <f>_xlfn.XLOOKUP($A1296,Load!$B:$B,Load!H:H,0,)</f>
        <v>0</v>
      </c>
      <c r="H1296">
        <f>_xlfn.XLOOKUP($A1296,Load!$B:$B,Load!I:I,0,)</f>
        <v>0</v>
      </c>
      <c r="I1296">
        <f>_xlfn.XLOOKUP($A1296,Load!$B:$B,Load!J:J,0,)</f>
        <v>0</v>
      </c>
      <c r="J1296">
        <f>_xlfn.XLOOKUP($A1296,Load!$B:$B,Load!K:K,0,)</f>
        <v>0</v>
      </c>
      <c r="K1296">
        <f>_xlfn.XLOOKUP($A1296,Load!$B:$B,Load!L:L,0,)</f>
        <v>0</v>
      </c>
      <c r="L1296">
        <f>_xlfn.XLOOKUP($A1296,Load!$B:$B,Load!M:M,0,)</f>
        <v>0</v>
      </c>
    </row>
    <row r="1297" spans="1:12" x14ac:dyDescent="0.25">
      <c r="B1297">
        <f>_xlfn.XLOOKUP($A1297,Load!$B:$B,Load!C:C,0,)</f>
        <v>0</v>
      </c>
      <c r="C1297">
        <f>_xlfn.XLOOKUP($A1297,Load!$B:$B,Load!D:D,0,)</f>
        <v>0</v>
      </c>
      <c r="D1297">
        <f>_xlfn.XLOOKUP($A1297,Load!$B:$B,Load!E:E,0,)</f>
        <v>0</v>
      </c>
      <c r="E1297">
        <f>_xlfn.XLOOKUP($A1297,Load!$B:$B,Load!F:F,0,)</f>
        <v>0</v>
      </c>
      <c r="F1297">
        <f>_xlfn.XLOOKUP($A1297,Load!$B:$B,Load!G:G,0,)</f>
        <v>0</v>
      </c>
      <c r="G1297">
        <f>_xlfn.XLOOKUP($A1297,Load!$B:$B,Load!H:H,0,)</f>
        <v>0</v>
      </c>
      <c r="H1297">
        <f>_xlfn.XLOOKUP($A1297,Load!$B:$B,Load!I:I,0,)</f>
        <v>0</v>
      </c>
      <c r="I1297">
        <f>_xlfn.XLOOKUP($A1297,Load!$B:$B,Load!J:J,0,)</f>
        <v>0</v>
      </c>
      <c r="J1297">
        <f>_xlfn.XLOOKUP($A1297,Load!$B:$B,Load!K:K,0,)</f>
        <v>0</v>
      </c>
      <c r="K1297">
        <f>_xlfn.XLOOKUP($A1297,Load!$B:$B,Load!L:L,0,)</f>
        <v>0</v>
      </c>
      <c r="L1297">
        <f>_xlfn.XLOOKUP($A1297,Load!$B:$B,Load!M:M,0,)</f>
        <v>0</v>
      </c>
    </row>
    <row r="1298" spans="1:12" x14ac:dyDescent="0.25">
      <c r="A1298" t="s">
        <v>203</v>
      </c>
      <c r="B1298" t="str">
        <f>_xlfn.XLOOKUP($A1298,Load!$B:$B,Load!C:C,0,)</f>
        <v>Mars Variety Pack</v>
      </c>
      <c r="C1298" t="str">
        <f>_xlfn.XLOOKUP($A1298,Load!$B:$B,Load!D:D,0,)</f>
        <v>Mix of Chocolate and Non-Chocolate Candy</v>
      </c>
      <c r="D1298" t="str">
        <f>_xlfn.XLOOKUP($A1298,Load!$B:$B,Load!E:E,0,)</f>
        <v>Variety / Mixed Flavors (Fruity, Sour, Seasonal Flavors)</v>
      </c>
      <c r="E1298" t="str">
        <f>_xlfn.XLOOKUP($A1298,Load!$B:$B,Load!F:F,0,)</f>
        <v>Mixed / Combo Packs (Gummy, Chewy, Taffy, etc.)</v>
      </c>
      <c r="F1298" t="str">
        <f>_xlfn.XLOOKUP($A1298,Load!$B:$B,Load!G:G,0,)</f>
        <v>Small Multipack (Less than 40 ct)</v>
      </c>
      <c r="G1298" t="str">
        <f>_xlfn.XLOOKUP($A1298,Load!$B:$B,Load!H:H,0,)</f>
        <v>Box (theatre box, gift box, carton)</v>
      </c>
      <c r="H1298" t="str">
        <f>_xlfn.XLOOKUP($A1298,Load!$B:$B,Load!I:I,0,)</f>
        <v>Everyday Candy Shapes (like Original, Gummy bear, Fruit, Jewels, etc.)</v>
      </c>
      <c r="I1298" t="str">
        <f>_xlfn.XLOOKUP($A1298,Load!$B:$B,Load!J:J,0,)</f>
        <v>Everyday Graphics</v>
      </c>
      <c r="J1298" t="str">
        <f>_xlfn.XLOOKUP($A1298,Load!$B:$B,Load!K:K,0,)</f>
        <v>Fun Size / Treat Size</v>
      </c>
      <c r="K1298" t="str">
        <f>_xlfn.XLOOKUP($A1298,Load!$B:$B,Load!L:L,0,)</f>
        <v>Regular/Original Wrapping</v>
      </c>
      <c r="L1298" t="str">
        <f>_xlfn.XLOOKUP($A1298,Load!$B:$B,Load!M:M,0,)</f>
        <v>Multiple Brands / Variety Flavors or Form</v>
      </c>
    </row>
    <row r="1299" spans="1:12" x14ac:dyDescent="0.25">
      <c r="A1299" t="s">
        <v>178</v>
      </c>
      <c r="B1299" t="str">
        <f>_xlfn.XLOOKUP($A1299,Load!$B:$B,Load!C:C,0,)</f>
        <v>Mars Variety Pack</v>
      </c>
      <c r="C1299" t="str">
        <f>_xlfn.XLOOKUP($A1299,Load!$B:$B,Load!D:D,0,)</f>
        <v>Mix of Chocolate and Non-Chocolate Candy</v>
      </c>
      <c r="D1299" t="str">
        <f>_xlfn.XLOOKUP($A1299,Load!$B:$B,Load!E:E,0,)</f>
        <v>Variety / Mixed Flavors (Fruity, Sour, Seasonal Flavors)</v>
      </c>
      <c r="E1299" t="str">
        <f>_xlfn.XLOOKUP($A1299,Load!$B:$B,Load!F:F,0,)</f>
        <v>Mixed / Combo Packs (Gummy, Chewy, Taffy, etc.)</v>
      </c>
      <c r="F1299" t="str">
        <f>_xlfn.XLOOKUP($A1299,Load!$B:$B,Load!G:G,0,)</f>
        <v>Small Multipack (Less than 40 ct)</v>
      </c>
      <c r="G1299" t="str">
        <f>_xlfn.XLOOKUP($A1299,Load!$B:$B,Load!H:H,0,)</f>
        <v>Laydown Bag</v>
      </c>
      <c r="H1299" t="str">
        <f>_xlfn.XLOOKUP($A1299,Load!$B:$B,Load!I:I,0,)</f>
        <v>Everyday Candy Shapes (like Original, Gummy bear, Fruit, Jewels, etc.)</v>
      </c>
      <c r="I1299" t="str">
        <f>_xlfn.XLOOKUP($A1299,Load!$B:$B,Load!J:J,0,)</f>
        <v>Seasonal Graphics (Like Bat, Ghost, Pumpkin, Fall Leaves, Eyeballs, etc.)</v>
      </c>
      <c r="J1299" t="str">
        <f>_xlfn.XLOOKUP($A1299,Load!$B:$B,Load!K:K,0,)</f>
        <v xml:space="preserve">Variety Candy Sizes </v>
      </c>
      <c r="K1299" t="str">
        <f>_xlfn.XLOOKUP($A1299,Load!$B:$B,Load!L:L,0,)</f>
        <v>Regular/Original Wrapping</v>
      </c>
      <c r="L1299" t="str">
        <f>_xlfn.XLOOKUP($A1299,Load!$B:$B,Load!M:M,0,)</f>
        <v>Multiple Brands / Variety Flavors or Form</v>
      </c>
    </row>
    <row r="1300" spans="1:12" x14ac:dyDescent="0.25">
      <c r="A1300" t="s">
        <v>290</v>
      </c>
      <c r="B1300" t="str">
        <f>_xlfn.XLOOKUP($A1300,Load!$B:$B,Load!C:C,0,)</f>
        <v>Tootsie</v>
      </c>
      <c r="C1300" t="str">
        <f>_xlfn.XLOOKUP($A1300,Load!$B:$B,Load!D:D,0,)</f>
        <v>Mix of Chocolate and Non-Chocolate Candy</v>
      </c>
      <c r="D1300" t="str">
        <f>_xlfn.XLOOKUP($A1300,Load!$B:$B,Load!E:E,0,)</f>
        <v>Variety / Mixed Flavors (Fruity, Sour, Seasonal Flavors)</v>
      </c>
      <c r="E1300" t="str">
        <f>_xlfn.XLOOKUP($A1300,Load!$B:$B,Load!F:F,0,)</f>
        <v>Mixed / Combo Packs (Gummy, Chewy, Taffy, etc.)</v>
      </c>
      <c r="F1300" t="str">
        <f>_xlfn.XLOOKUP($A1300,Load!$B:$B,Load!G:G,0,)</f>
        <v>Large Multipack (More than 80 ct)</v>
      </c>
      <c r="G1300" t="str">
        <f>_xlfn.XLOOKUP($A1300,Load!$B:$B,Load!H:H,0,)</f>
        <v>Laydown Bag</v>
      </c>
      <c r="H1300" t="str">
        <f>_xlfn.XLOOKUP($A1300,Load!$B:$B,Load!I:I,0,)</f>
        <v>Everyday Candy Shapes (like Original, Gummy bear, Fruit, Jewels, etc.)</v>
      </c>
      <c r="I1300" t="str">
        <f>_xlfn.XLOOKUP($A1300,Load!$B:$B,Load!J:J,0,)</f>
        <v>Everyday Graphics</v>
      </c>
      <c r="J1300" t="str">
        <f>_xlfn.XLOOKUP($A1300,Load!$B:$B,Load!K:K,0,)</f>
        <v>Fun Size / Treat Size</v>
      </c>
      <c r="K1300" t="str">
        <f>_xlfn.XLOOKUP($A1300,Load!$B:$B,Load!L:L,0,)</f>
        <v>Regular/Original Wrapping</v>
      </c>
      <c r="L1300" t="str">
        <f>_xlfn.XLOOKUP($A1300,Load!$B:$B,Load!M:M,0,)</f>
        <v>Single Brand / Variety Flavors or Form</v>
      </c>
    </row>
    <row r="1301" spans="1:12" x14ac:dyDescent="0.25">
      <c r="B1301">
        <f>_xlfn.XLOOKUP($A1301,Load!$B:$B,Load!C:C,0,)</f>
        <v>0</v>
      </c>
      <c r="C1301">
        <f>_xlfn.XLOOKUP($A1301,Load!$B:$B,Load!D:D,0,)</f>
        <v>0</v>
      </c>
      <c r="D1301">
        <f>_xlfn.XLOOKUP($A1301,Load!$B:$B,Load!E:E,0,)</f>
        <v>0</v>
      </c>
      <c r="E1301">
        <f>_xlfn.XLOOKUP($A1301,Load!$B:$B,Load!F:F,0,)</f>
        <v>0</v>
      </c>
      <c r="F1301">
        <f>_xlfn.XLOOKUP($A1301,Load!$B:$B,Load!G:G,0,)</f>
        <v>0</v>
      </c>
      <c r="G1301">
        <f>_xlfn.XLOOKUP($A1301,Load!$B:$B,Load!H:H,0,)</f>
        <v>0</v>
      </c>
      <c r="H1301">
        <f>_xlfn.XLOOKUP($A1301,Load!$B:$B,Load!I:I,0,)</f>
        <v>0</v>
      </c>
      <c r="I1301">
        <f>_xlfn.XLOOKUP($A1301,Load!$B:$B,Load!J:J,0,)</f>
        <v>0</v>
      </c>
      <c r="J1301">
        <f>_xlfn.XLOOKUP($A1301,Load!$B:$B,Load!K:K,0,)</f>
        <v>0</v>
      </c>
      <c r="K1301">
        <f>_xlfn.XLOOKUP($A1301,Load!$B:$B,Load!L:L,0,)</f>
        <v>0</v>
      </c>
      <c r="L1301">
        <f>_xlfn.XLOOKUP($A1301,Load!$B:$B,Load!M:M,0,)</f>
        <v>0</v>
      </c>
    </row>
    <row r="1302" spans="1:12" x14ac:dyDescent="0.25">
      <c r="B1302">
        <f>_xlfn.XLOOKUP($A1302,Load!$B:$B,Load!C:C,0,)</f>
        <v>0</v>
      </c>
      <c r="C1302">
        <f>_xlfn.XLOOKUP($A1302,Load!$B:$B,Load!D:D,0,)</f>
        <v>0</v>
      </c>
      <c r="D1302">
        <f>_xlfn.XLOOKUP($A1302,Load!$B:$B,Load!E:E,0,)</f>
        <v>0</v>
      </c>
      <c r="E1302">
        <f>_xlfn.XLOOKUP($A1302,Load!$B:$B,Load!F:F,0,)</f>
        <v>0</v>
      </c>
      <c r="F1302">
        <f>_xlfn.XLOOKUP($A1302,Load!$B:$B,Load!G:G,0,)</f>
        <v>0</v>
      </c>
      <c r="G1302">
        <f>_xlfn.XLOOKUP($A1302,Load!$B:$B,Load!H:H,0,)</f>
        <v>0</v>
      </c>
      <c r="H1302">
        <f>_xlfn.XLOOKUP($A1302,Load!$B:$B,Load!I:I,0,)</f>
        <v>0</v>
      </c>
      <c r="I1302">
        <f>_xlfn.XLOOKUP($A1302,Load!$B:$B,Load!J:J,0,)</f>
        <v>0</v>
      </c>
      <c r="J1302">
        <f>_xlfn.XLOOKUP($A1302,Load!$B:$B,Load!K:K,0,)</f>
        <v>0</v>
      </c>
      <c r="K1302">
        <f>_xlfn.XLOOKUP($A1302,Load!$B:$B,Load!L:L,0,)</f>
        <v>0</v>
      </c>
      <c r="L1302">
        <f>_xlfn.XLOOKUP($A1302,Load!$B:$B,Load!M:M,0,)</f>
        <v>0</v>
      </c>
    </row>
    <row r="1303" spans="1:12" x14ac:dyDescent="0.25">
      <c r="B1303">
        <f>_xlfn.XLOOKUP($A1303,Load!$B:$B,Load!C:C,0,)</f>
        <v>0</v>
      </c>
      <c r="C1303">
        <f>_xlfn.XLOOKUP($A1303,Load!$B:$B,Load!D:D,0,)</f>
        <v>0</v>
      </c>
      <c r="D1303">
        <f>_xlfn.XLOOKUP($A1303,Load!$B:$B,Load!E:E,0,)</f>
        <v>0</v>
      </c>
      <c r="E1303">
        <f>_xlfn.XLOOKUP($A1303,Load!$B:$B,Load!F:F,0,)</f>
        <v>0</v>
      </c>
      <c r="F1303">
        <f>_xlfn.XLOOKUP($A1303,Load!$B:$B,Load!G:G,0,)</f>
        <v>0</v>
      </c>
      <c r="G1303">
        <f>_xlfn.XLOOKUP($A1303,Load!$B:$B,Load!H:H,0,)</f>
        <v>0</v>
      </c>
      <c r="H1303">
        <f>_xlfn.XLOOKUP($A1303,Load!$B:$B,Load!I:I,0,)</f>
        <v>0</v>
      </c>
      <c r="I1303">
        <f>_xlfn.XLOOKUP($A1303,Load!$B:$B,Load!J:J,0,)</f>
        <v>0</v>
      </c>
      <c r="J1303">
        <f>_xlfn.XLOOKUP($A1303,Load!$B:$B,Load!K:K,0,)</f>
        <v>0</v>
      </c>
      <c r="K1303">
        <f>_xlfn.XLOOKUP($A1303,Load!$B:$B,Load!L:L,0,)</f>
        <v>0</v>
      </c>
      <c r="L1303">
        <f>_xlfn.XLOOKUP($A1303,Load!$B:$B,Load!M:M,0,)</f>
        <v>0</v>
      </c>
    </row>
    <row r="1304" spans="1:12" x14ac:dyDescent="0.25">
      <c r="A1304" t="s">
        <v>170</v>
      </c>
      <c r="B1304" t="str">
        <f>_xlfn.XLOOKUP($A1304,Load!$B:$B,Load!C:C,0,)</f>
        <v>Laffy Taffy</v>
      </c>
      <c r="C1304" t="str">
        <f>_xlfn.XLOOKUP($A1304,Load!$B:$B,Load!D:D,0,)</f>
        <v>Non-Chocolate Candy Only</v>
      </c>
      <c r="D1304" t="str">
        <f>_xlfn.XLOOKUP($A1304,Load!$B:$B,Load!E:E,0,)</f>
        <v>Fruit Flavor (Cherry, Grape, Apple, Citrus, Tropical Fruit)</v>
      </c>
      <c r="E1304" t="str">
        <f>_xlfn.XLOOKUP($A1304,Load!$B:$B,Load!F:F,0,)</f>
        <v>Taffy</v>
      </c>
      <c r="F1304" t="str">
        <f>_xlfn.XLOOKUP($A1304,Load!$B:$B,Load!G:G,0,)</f>
        <v>Large Multipack (More than 80 ct)</v>
      </c>
      <c r="G1304" t="str">
        <f>_xlfn.XLOOKUP($A1304,Load!$B:$B,Load!H:H,0,)</f>
        <v>Stand-Up Bag</v>
      </c>
      <c r="H1304" t="str">
        <f>_xlfn.XLOOKUP($A1304,Load!$B:$B,Load!I:I,0,)</f>
        <v>Everyday Candy Shapes (like Original, Gummy bear, Fruit, Jewels, etc.)</v>
      </c>
      <c r="I1304" t="str">
        <f>_xlfn.XLOOKUP($A1304,Load!$B:$B,Load!J:J,0,)</f>
        <v>Everyday Graphics</v>
      </c>
      <c r="J1304" t="str">
        <f>_xlfn.XLOOKUP($A1304,Load!$B:$B,Load!K:K,0,)</f>
        <v>Fun Size / Treat Size</v>
      </c>
      <c r="K1304" t="str">
        <f>_xlfn.XLOOKUP($A1304,Load!$B:$B,Load!L:L,0,)</f>
        <v>Regular/Original Wrapping</v>
      </c>
      <c r="L1304" t="str">
        <f>_xlfn.XLOOKUP($A1304,Load!$B:$B,Load!M:M,0,)</f>
        <v>Single Brand / Variety Flavors or Form</v>
      </c>
    </row>
    <row r="1305" spans="1:12" x14ac:dyDescent="0.25">
      <c r="B1305">
        <f>_xlfn.XLOOKUP($A1305,Load!$B:$B,Load!C:C,0,)</f>
        <v>0</v>
      </c>
      <c r="C1305">
        <f>_xlfn.XLOOKUP($A1305,Load!$B:$B,Load!D:D,0,)</f>
        <v>0</v>
      </c>
      <c r="D1305">
        <f>_xlfn.XLOOKUP($A1305,Load!$B:$B,Load!E:E,0,)</f>
        <v>0</v>
      </c>
      <c r="E1305">
        <f>_xlfn.XLOOKUP($A1305,Load!$B:$B,Load!F:F,0,)</f>
        <v>0</v>
      </c>
      <c r="F1305">
        <f>_xlfn.XLOOKUP($A1305,Load!$B:$B,Load!G:G,0,)</f>
        <v>0</v>
      </c>
      <c r="G1305">
        <f>_xlfn.XLOOKUP($A1305,Load!$B:$B,Load!H:H,0,)</f>
        <v>0</v>
      </c>
      <c r="H1305">
        <f>_xlfn.XLOOKUP($A1305,Load!$B:$B,Load!I:I,0,)</f>
        <v>0</v>
      </c>
      <c r="I1305">
        <f>_xlfn.XLOOKUP($A1305,Load!$B:$B,Load!J:J,0,)</f>
        <v>0</v>
      </c>
      <c r="J1305">
        <f>_xlfn.XLOOKUP($A1305,Load!$B:$B,Load!K:K,0,)</f>
        <v>0</v>
      </c>
      <c r="K1305">
        <f>_xlfn.XLOOKUP($A1305,Load!$B:$B,Load!L:L,0,)</f>
        <v>0</v>
      </c>
      <c r="L1305">
        <f>_xlfn.XLOOKUP($A1305,Load!$B:$B,Load!M:M,0,)</f>
        <v>0</v>
      </c>
    </row>
    <row r="1306" spans="1:12" x14ac:dyDescent="0.25">
      <c r="A1306" t="s">
        <v>214</v>
      </c>
      <c r="B1306" t="str">
        <f>_xlfn.XLOOKUP($A1306,Load!$B:$B,Load!C:C,0,)</f>
        <v>Mars Variety Pack</v>
      </c>
      <c r="C1306" t="str">
        <f>_xlfn.XLOOKUP($A1306,Load!$B:$B,Load!D:D,0,)</f>
        <v>Mix of Chocolate and Non-Chocolate Candy</v>
      </c>
      <c r="D1306" t="str">
        <f>_xlfn.XLOOKUP($A1306,Load!$B:$B,Load!E:E,0,)</f>
        <v>Variety / Mixed Flavors (Fruity, Sour, Seasonal Flavors)</v>
      </c>
      <c r="E1306" t="str">
        <f>_xlfn.XLOOKUP($A1306,Load!$B:$B,Load!F:F,0,)</f>
        <v>Mixed / Combo Packs (Gummy, Chewy, Taffy, etc.)</v>
      </c>
      <c r="F1306" t="str">
        <f>_xlfn.XLOOKUP($A1306,Load!$B:$B,Load!G:G,0,)</f>
        <v>Large Multipack (More than 80 ct)</v>
      </c>
      <c r="G1306" t="str">
        <f>_xlfn.XLOOKUP($A1306,Load!$B:$B,Load!H:H,0,)</f>
        <v>Stand-Up Bag</v>
      </c>
      <c r="H1306" t="str">
        <f>_xlfn.XLOOKUP($A1306,Load!$B:$B,Load!I:I,0,)</f>
        <v>Everyday Candy Shapes (like Original, Gummy bear, Fruit, Jewels, etc.)</v>
      </c>
      <c r="I1306" t="str">
        <f>_xlfn.XLOOKUP($A1306,Load!$B:$B,Load!J:J,0,)</f>
        <v>Seasonal Graphics (Like Bat, Ghost, Pumpkin, Fall Leaves, Eyeballs, etc.)</v>
      </c>
      <c r="J1306" t="str">
        <f>_xlfn.XLOOKUP($A1306,Load!$B:$B,Load!K:K,0,)</f>
        <v>Fun Size / Treat Size</v>
      </c>
      <c r="K1306" t="str">
        <f>_xlfn.XLOOKUP($A1306,Load!$B:$B,Load!L:L,0,)</f>
        <v>Regular/Original Wrapping</v>
      </c>
      <c r="L1306" t="str">
        <f>_xlfn.XLOOKUP($A1306,Load!$B:$B,Load!M:M,0,)</f>
        <v>Multiple Brands / Variety Flavors or Form</v>
      </c>
    </row>
    <row r="1307" spans="1:12" x14ac:dyDescent="0.25">
      <c r="A1307" t="s">
        <v>181</v>
      </c>
      <c r="B1307" t="str">
        <f>_xlfn.XLOOKUP($A1307,Load!$B:$B,Load!C:C,0,)</f>
        <v>Mars Variety Pack</v>
      </c>
      <c r="C1307" t="str">
        <f>_xlfn.XLOOKUP($A1307,Load!$B:$B,Load!D:D,0,)</f>
        <v>Mix of Chocolate and Non-Chocolate Candy</v>
      </c>
      <c r="D1307" t="str">
        <f>_xlfn.XLOOKUP($A1307,Load!$B:$B,Load!E:E,0,)</f>
        <v>Variety / Mixed Flavors (Fruity, Sour, Seasonal Flavors)</v>
      </c>
      <c r="E1307" t="str">
        <f>_xlfn.XLOOKUP($A1307,Load!$B:$B,Load!F:F,0,)</f>
        <v>Mixed / Combo Packs (Gummy, Chewy, Taffy, etc.)</v>
      </c>
      <c r="F1307" t="str">
        <f>_xlfn.XLOOKUP($A1307,Load!$B:$B,Load!G:G,0,)</f>
        <v>Large Multipack (More than 80 ct)</v>
      </c>
      <c r="G1307" t="str">
        <f>_xlfn.XLOOKUP($A1307,Load!$B:$B,Load!H:H,0,)</f>
        <v>Stand-Up Bag</v>
      </c>
      <c r="H1307" t="str">
        <f>_xlfn.XLOOKUP($A1307,Load!$B:$B,Load!I:I,0,)</f>
        <v>Everyday Candy Shapes (like Original, Gummy bear, Fruit, Jewels, etc.)</v>
      </c>
      <c r="I1307" t="str">
        <f>_xlfn.XLOOKUP($A1307,Load!$B:$B,Load!J:J,0,)</f>
        <v>Seasonal Graphics (Like Bat, Ghost, Pumpkin, Fall Leaves, Eyeballs, etc.)</v>
      </c>
      <c r="J1307" t="str">
        <f>_xlfn.XLOOKUP($A1307,Load!$B:$B,Load!K:K,0,)</f>
        <v>Fun Size / Treat Size</v>
      </c>
      <c r="K1307" t="str">
        <f>_xlfn.XLOOKUP($A1307,Load!$B:$B,Load!L:L,0,)</f>
        <v>Regular/Original Wrapping</v>
      </c>
      <c r="L1307" t="str">
        <f>_xlfn.XLOOKUP($A1307,Load!$B:$B,Load!M:M,0,)</f>
        <v>Multiple Brands / Variety Flavors or Form</v>
      </c>
    </row>
    <row r="1308" spans="1:12" x14ac:dyDescent="0.25">
      <c r="B1308">
        <f>_xlfn.XLOOKUP($A1308,Load!$B:$B,Load!C:C,0,)</f>
        <v>0</v>
      </c>
      <c r="C1308">
        <f>_xlfn.XLOOKUP($A1308,Load!$B:$B,Load!D:D,0,)</f>
        <v>0</v>
      </c>
      <c r="D1308">
        <f>_xlfn.XLOOKUP($A1308,Load!$B:$B,Load!E:E,0,)</f>
        <v>0</v>
      </c>
      <c r="E1308">
        <f>_xlfn.XLOOKUP($A1308,Load!$B:$B,Load!F:F,0,)</f>
        <v>0</v>
      </c>
      <c r="F1308">
        <f>_xlfn.XLOOKUP($A1308,Load!$B:$B,Load!G:G,0,)</f>
        <v>0</v>
      </c>
      <c r="G1308">
        <f>_xlfn.XLOOKUP($A1308,Load!$B:$B,Load!H:H,0,)</f>
        <v>0</v>
      </c>
      <c r="H1308">
        <f>_xlfn.XLOOKUP($A1308,Load!$B:$B,Load!I:I,0,)</f>
        <v>0</v>
      </c>
      <c r="I1308">
        <f>_xlfn.XLOOKUP($A1308,Load!$B:$B,Load!J:J,0,)</f>
        <v>0</v>
      </c>
      <c r="J1308">
        <f>_xlfn.XLOOKUP($A1308,Load!$B:$B,Load!K:K,0,)</f>
        <v>0</v>
      </c>
      <c r="K1308">
        <f>_xlfn.XLOOKUP($A1308,Load!$B:$B,Load!L:L,0,)</f>
        <v>0</v>
      </c>
      <c r="L1308">
        <f>_xlfn.XLOOKUP($A1308,Load!$B:$B,Load!M:M,0,)</f>
        <v>0</v>
      </c>
    </row>
    <row r="1309" spans="1:12" x14ac:dyDescent="0.25">
      <c r="B1309">
        <f>_xlfn.XLOOKUP($A1309,Load!$B:$B,Load!C:C,0,)</f>
        <v>0</v>
      </c>
      <c r="C1309">
        <f>_xlfn.XLOOKUP($A1309,Load!$B:$B,Load!D:D,0,)</f>
        <v>0</v>
      </c>
      <c r="D1309">
        <f>_xlfn.XLOOKUP($A1309,Load!$B:$B,Load!E:E,0,)</f>
        <v>0</v>
      </c>
      <c r="E1309">
        <f>_xlfn.XLOOKUP($A1309,Load!$B:$B,Load!F:F,0,)</f>
        <v>0</v>
      </c>
      <c r="F1309">
        <f>_xlfn.XLOOKUP($A1309,Load!$B:$B,Load!G:G,0,)</f>
        <v>0</v>
      </c>
      <c r="G1309">
        <f>_xlfn.XLOOKUP($A1309,Load!$B:$B,Load!H:H,0,)</f>
        <v>0</v>
      </c>
      <c r="H1309">
        <f>_xlfn.XLOOKUP($A1309,Load!$B:$B,Load!I:I,0,)</f>
        <v>0</v>
      </c>
      <c r="I1309">
        <f>_xlfn.XLOOKUP($A1309,Load!$B:$B,Load!J:J,0,)</f>
        <v>0</v>
      </c>
      <c r="J1309">
        <f>_xlfn.XLOOKUP($A1309,Load!$B:$B,Load!K:K,0,)</f>
        <v>0</v>
      </c>
      <c r="K1309">
        <f>_xlfn.XLOOKUP($A1309,Load!$B:$B,Load!L:L,0,)</f>
        <v>0</v>
      </c>
      <c r="L1309">
        <f>_xlfn.XLOOKUP($A1309,Load!$B:$B,Load!M:M,0,)</f>
        <v>0</v>
      </c>
    </row>
    <row r="1310" spans="1:12" x14ac:dyDescent="0.25">
      <c r="A1310" t="s">
        <v>308</v>
      </c>
      <c r="B1310" t="str">
        <f>_xlfn.XLOOKUP($A1310,Load!$B:$B,Load!C:C,0,)</f>
        <v>Werther's Original</v>
      </c>
      <c r="C1310" t="str">
        <f>_xlfn.XLOOKUP($A1310,Load!$B:$B,Load!D:D,0,)</f>
        <v>Non-Chocolate Candy Only</v>
      </c>
      <c r="D1310" t="str">
        <f>_xlfn.XLOOKUP($A1310,Load!$B:$B,Load!E:E,0,)</f>
        <v>Fall / Seasonal Flavors (pumpkin spice, caramel apple, candy corn)</v>
      </c>
      <c r="E1310" t="str">
        <f>_xlfn.XLOOKUP($A1310,Load!$B:$B,Load!F:F,0,)</f>
        <v>Chewy</v>
      </c>
      <c r="F1310" t="str">
        <f>_xlfn.XLOOKUP($A1310,Load!$B:$B,Load!G:G,0,)</f>
        <v>Single Pack</v>
      </c>
      <c r="G1310" t="str">
        <f>_xlfn.XLOOKUP($A1310,Load!$B:$B,Load!H:H,0,)</f>
        <v>Laydown Bag</v>
      </c>
      <c r="H1310" t="str">
        <f>_xlfn.XLOOKUP($A1310,Load!$B:$B,Load!I:I,0,)</f>
        <v>Everyday Candy Shapes (like Original, Gummy bear, Fruit, Jewels, etc.)</v>
      </c>
      <c r="I1310" t="str">
        <f>_xlfn.XLOOKUP($A1310,Load!$B:$B,Load!J:J,0,)</f>
        <v>Everyday Graphics</v>
      </c>
      <c r="J1310" t="str">
        <f>_xlfn.XLOOKUP($A1310,Load!$B:$B,Load!K:K,0,)</f>
        <v>Fun Size / Treat Size</v>
      </c>
      <c r="K1310" t="str">
        <f>_xlfn.XLOOKUP($A1310,Load!$B:$B,Load!L:L,0,)</f>
        <v>Regular/Original Wrapping</v>
      </c>
      <c r="L1310" t="str">
        <f>_xlfn.XLOOKUP($A1310,Load!$B:$B,Load!M:M,0,)</f>
        <v>Single Brand / Single Flavor or Form</v>
      </c>
    </row>
    <row r="1311" spans="1:12" x14ac:dyDescent="0.25">
      <c r="A1311" t="s">
        <v>306</v>
      </c>
      <c r="B1311" t="str">
        <f>_xlfn.XLOOKUP($A1311,Load!$B:$B,Load!C:C,0,)</f>
        <v>Werther's Original</v>
      </c>
      <c r="C1311" t="str">
        <f>_xlfn.XLOOKUP($A1311,Load!$B:$B,Load!D:D,0,)</f>
        <v>Non-Chocolate Candy Only</v>
      </c>
      <c r="D1311" t="str">
        <f>_xlfn.XLOOKUP($A1311,Load!$B:$B,Load!E:E,0,)</f>
        <v>Fall / Seasonal Flavors (pumpkin spice, caramel apple, candy corn)</v>
      </c>
      <c r="E1311" t="str">
        <f>_xlfn.XLOOKUP($A1311,Load!$B:$B,Load!F:F,0,)</f>
        <v>Chewy</v>
      </c>
      <c r="F1311" t="str">
        <f>_xlfn.XLOOKUP($A1311,Load!$B:$B,Load!G:G,0,)</f>
        <v>Single Pack</v>
      </c>
      <c r="G1311" t="str">
        <f>_xlfn.XLOOKUP($A1311,Load!$B:$B,Load!H:H,0,)</f>
        <v>Stand-Up Bag</v>
      </c>
      <c r="H1311" t="str">
        <f>_xlfn.XLOOKUP($A1311,Load!$B:$B,Load!I:I,0,)</f>
        <v>Seasonal Shapes (like pumpkins, candy corn, ghost, bats, etc.)</v>
      </c>
      <c r="I1311" t="str">
        <f>_xlfn.XLOOKUP($A1311,Load!$B:$B,Load!J:J,0,)</f>
        <v>Seasonal Graphics (Like Bat, Ghost, Pumpkin, Fall Leaves, Eyeballs, etc.)</v>
      </c>
      <c r="J1311" t="str">
        <f>_xlfn.XLOOKUP($A1311,Load!$B:$B,Load!K:K,0,)</f>
        <v>Fun Size / Treat Size</v>
      </c>
      <c r="K1311" t="str">
        <f>_xlfn.XLOOKUP($A1311,Load!$B:$B,Load!L:L,0,)</f>
        <v>Regular/Original Wrapping</v>
      </c>
      <c r="L1311" t="str">
        <f>_xlfn.XLOOKUP($A1311,Load!$B:$B,Load!M:M,0,)</f>
        <v>Single Brand / Single Flavor or Form</v>
      </c>
    </row>
    <row r="1312" spans="1:12" x14ac:dyDescent="0.25">
      <c r="B1312">
        <f>_xlfn.XLOOKUP($A1312,Load!$B:$B,Load!C:C,0,)</f>
        <v>0</v>
      </c>
      <c r="C1312">
        <f>_xlfn.XLOOKUP($A1312,Load!$B:$B,Load!D:D,0,)</f>
        <v>0</v>
      </c>
      <c r="D1312">
        <f>_xlfn.XLOOKUP($A1312,Load!$B:$B,Load!E:E,0,)</f>
        <v>0</v>
      </c>
      <c r="E1312">
        <f>_xlfn.XLOOKUP($A1312,Load!$B:$B,Load!F:F,0,)</f>
        <v>0</v>
      </c>
      <c r="F1312">
        <f>_xlfn.XLOOKUP($A1312,Load!$B:$B,Load!G:G,0,)</f>
        <v>0</v>
      </c>
      <c r="G1312">
        <f>_xlfn.XLOOKUP($A1312,Load!$B:$B,Load!H:H,0,)</f>
        <v>0</v>
      </c>
      <c r="H1312">
        <f>_xlfn.XLOOKUP($A1312,Load!$B:$B,Load!I:I,0,)</f>
        <v>0</v>
      </c>
      <c r="I1312">
        <f>_xlfn.XLOOKUP($A1312,Load!$B:$B,Load!J:J,0,)</f>
        <v>0</v>
      </c>
      <c r="J1312">
        <f>_xlfn.XLOOKUP($A1312,Load!$B:$B,Load!K:K,0,)</f>
        <v>0</v>
      </c>
      <c r="K1312">
        <f>_xlfn.XLOOKUP($A1312,Load!$B:$B,Load!L:L,0,)</f>
        <v>0</v>
      </c>
      <c r="L1312">
        <f>_xlfn.XLOOKUP($A1312,Load!$B:$B,Load!M:M,0,)</f>
        <v>0</v>
      </c>
    </row>
    <row r="1313" spans="1:12" x14ac:dyDescent="0.25">
      <c r="B1313">
        <f>_xlfn.XLOOKUP($A1313,Load!$B:$B,Load!C:C,0,)</f>
        <v>0</v>
      </c>
      <c r="C1313">
        <f>_xlfn.XLOOKUP($A1313,Load!$B:$B,Load!D:D,0,)</f>
        <v>0</v>
      </c>
      <c r="D1313">
        <f>_xlfn.XLOOKUP($A1313,Load!$B:$B,Load!E:E,0,)</f>
        <v>0</v>
      </c>
      <c r="E1313">
        <f>_xlfn.XLOOKUP($A1313,Load!$B:$B,Load!F:F,0,)</f>
        <v>0</v>
      </c>
      <c r="F1313">
        <f>_xlfn.XLOOKUP($A1313,Load!$B:$B,Load!G:G,0,)</f>
        <v>0</v>
      </c>
      <c r="G1313">
        <f>_xlfn.XLOOKUP($A1313,Load!$B:$B,Load!H:H,0,)</f>
        <v>0</v>
      </c>
      <c r="H1313">
        <f>_xlfn.XLOOKUP($A1313,Load!$B:$B,Load!I:I,0,)</f>
        <v>0</v>
      </c>
      <c r="I1313">
        <f>_xlfn.XLOOKUP($A1313,Load!$B:$B,Load!J:J,0,)</f>
        <v>0</v>
      </c>
      <c r="J1313">
        <f>_xlfn.XLOOKUP($A1313,Load!$B:$B,Load!K:K,0,)</f>
        <v>0</v>
      </c>
      <c r="K1313">
        <f>_xlfn.XLOOKUP($A1313,Load!$B:$B,Load!L:L,0,)</f>
        <v>0</v>
      </c>
      <c r="L1313">
        <f>_xlfn.XLOOKUP($A1313,Load!$B:$B,Load!M:M,0,)</f>
        <v>0</v>
      </c>
    </row>
    <row r="1314" spans="1:12" x14ac:dyDescent="0.25">
      <c r="B1314">
        <f>_xlfn.XLOOKUP($A1314,Load!$B:$B,Load!C:C,0,)</f>
        <v>0</v>
      </c>
      <c r="C1314">
        <f>_xlfn.XLOOKUP($A1314,Load!$B:$B,Load!D:D,0,)</f>
        <v>0</v>
      </c>
      <c r="D1314">
        <f>_xlfn.XLOOKUP($A1314,Load!$B:$B,Load!E:E,0,)</f>
        <v>0</v>
      </c>
      <c r="E1314">
        <f>_xlfn.XLOOKUP($A1314,Load!$B:$B,Load!F:F,0,)</f>
        <v>0</v>
      </c>
      <c r="F1314">
        <f>_xlfn.XLOOKUP($A1314,Load!$B:$B,Load!G:G,0,)</f>
        <v>0</v>
      </c>
      <c r="G1314">
        <f>_xlfn.XLOOKUP($A1314,Load!$B:$B,Load!H:H,0,)</f>
        <v>0</v>
      </c>
      <c r="H1314">
        <f>_xlfn.XLOOKUP($A1314,Load!$B:$B,Load!I:I,0,)</f>
        <v>0</v>
      </c>
      <c r="I1314">
        <f>_xlfn.XLOOKUP($A1314,Load!$B:$B,Load!J:J,0,)</f>
        <v>0</v>
      </c>
      <c r="J1314">
        <f>_xlfn.XLOOKUP($A1314,Load!$B:$B,Load!K:K,0,)</f>
        <v>0</v>
      </c>
      <c r="K1314">
        <f>_xlfn.XLOOKUP($A1314,Load!$B:$B,Load!L:L,0,)</f>
        <v>0</v>
      </c>
      <c r="L1314">
        <f>_xlfn.XLOOKUP($A1314,Load!$B:$B,Load!M:M,0,)</f>
        <v>0</v>
      </c>
    </row>
    <row r="1315" spans="1:12" x14ac:dyDescent="0.25">
      <c r="B1315">
        <f>_xlfn.XLOOKUP($A1315,Load!$B:$B,Load!C:C,0,)</f>
        <v>0</v>
      </c>
      <c r="C1315">
        <f>_xlfn.XLOOKUP($A1315,Load!$B:$B,Load!D:D,0,)</f>
        <v>0</v>
      </c>
      <c r="D1315">
        <f>_xlfn.XLOOKUP($A1315,Load!$B:$B,Load!E:E,0,)</f>
        <v>0</v>
      </c>
      <c r="E1315">
        <f>_xlfn.XLOOKUP($A1315,Load!$B:$B,Load!F:F,0,)</f>
        <v>0</v>
      </c>
      <c r="F1315">
        <f>_xlfn.XLOOKUP($A1315,Load!$B:$B,Load!G:G,0,)</f>
        <v>0</v>
      </c>
      <c r="G1315">
        <f>_xlfn.XLOOKUP($A1315,Load!$B:$B,Load!H:H,0,)</f>
        <v>0</v>
      </c>
      <c r="H1315">
        <f>_xlfn.XLOOKUP($A1315,Load!$B:$B,Load!I:I,0,)</f>
        <v>0</v>
      </c>
      <c r="I1315">
        <f>_xlfn.XLOOKUP($A1315,Load!$B:$B,Load!J:J,0,)</f>
        <v>0</v>
      </c>
      <c r="J1315">
        <f>_xlfn.XLOOKUP($A1315,Load!$B:$B,Load!K:K,0,)</f>
        <v>0</v>
      </c>
      <c r="K1315">
        <f>_xlfn.XLOOKUP($A1315,Load!$B:$B,Load!L:L,0,)</f>
        <v>0</v>
      </c>
      <c r="L1315">
        <f>_xlfn.XLOOKUP($A1315,Load!$B:$B,Load!M:M,0,)</f>
        <v>0</v>
      </c>
    </row>
    <row r="1316" spans="1:12" x14ac:dyDescent="0.25">
      <c r="A1316" t="s">
        <v>202</v>
      </c>
      <c r="B1316" t="str">
        <f>_xlfn.XLOOKUP($A1316,Load!$B:$B,Load!C:C,0,)</f>
        <v>Mars Variety Pack</v>
      </c>
      <c r="C1316" t="str">
        <f>_xlfn.XLOOKUP($A1316,Load!$B:$B,Load!D:D,0,)</f>
        <v>Mix of Chocolate and Non-Chocolate Candy</v>
      </c>
      <c r="D1316" t="str">
        <f>_xlfn.XLOOKUP($A1316,Load!$B:$B,Load!E:E,0,)</f>
        <v>Variety / Mixed Flavors (Fruity, Sour, Seasonal Flavors)</v>
      </c>
      <c r="E1316" t="str">
        <f>_xlfn.XLOOKUP($A1316,Load!$B:$B,Load!F:F,0,)</f>
        <v>Mixed / Combo Packs (Gummy, Chewy, Taffy, etc.)</v>
      </c>
      <c r="F1316" t="str">
        <f>_xlfn.XLOOKUP($A1316,Load!$B:$B,Load!G:G,0,)</f>
        <v>Large Multipack (More than 80 ct)</v>
      </c>
      <c r="G1316" t="str">
        <f>_xlfn.XLOOKUP($A1316,Load!$B:$B,Load!H:H,0,)</f>
        <v>Stand-Up Bag</v>
      </c>
      <c r="H1316" t="str">
        <f>_xlfn.XLOOKUP($A1316,Load!$B:$B,Load!I:I,0,)</f>
        <v>Everyday Candy Shapes (like Original, Gummy bear, Fruit, Jewels, etc.)</v>
      </c>
      <c r="I1316" t="str">
        <f>_xlfn.XLOOKUP($A1316,Load!$B:$B,Load!J:J,0,)</f>
        <v>Everyday Graphics</v>
      </c>
      <c r="J1316" t="str">
        <f>_xlfn.XLOOKUP($A1316,Load!$B:$B,Load!K:K,0,)</f>
        <v>Fun Size / Treat Size</v>
      </c>
      <c r="K1316" t="str">
        <f>_xlfn.XLOOKUP($A1316,Load!$B:$B,Load!L:L,0,)</f>
        <v>Regular/Original Wrapping</v>
      </c>
      <c r="L1316" t="str">
        <f>_xlfn.XLOOKUP($A1316,Load!$B:$B,Load!M:M,0,)</f>
        <v>Multiple Brands / Variety Flavors or Form</v>
      </c>
    </row>
    <row r="1317" spans="1:12" x14ac:dyDescent="0.25">
      <c r="A1317" t="s">
        <v>221</v>
      </c>
      <c r="B1317" t="str">
        <f>_xlfn.XLOOKUP($A1317,Load!$B:$B,Load!C:C,0,)</f>
        <v>Hershey's Variety Pack + Haribo</v>
      </c>
      <c r="C1317" t="str">
        <f>_xlfn.XLOOKUP($A1317,Load!$B:$B,Load!D:D,0,)</f>
        <v>Mix of Chocolate and Non-Chocolate Candy</v>
      </c>
      <c r="D1317" t="str">
        <f>_xlfn.XLOOKUP($A1317,Load!$B:$B,Load!E:E,0,)</f>
        <v>Variety / Mixed Flavors (Fruity, Sour, Seasonal Flavors)</v>
      </c>
      <c r="E1317" t="str">
        <f>_xlfn.XLOOKUP($A1317,Load!$B:$B,Load!F:F,0,)</f>
        <v>Mixed / Combo Packs (Gummy, Chewy, Taffy, etc.)</v>
      </c>
      <c r="F1317" t="str">
        <f>_xlfn.XLOOKUP($A1317,Load!$B:$B,Load!G:G,0,)</f>
        <v>Large Multipack (More than 80 ct)</v>
      </c>
      <c r="G1317" t="str">
        <f>_xlfn.XLOOKUP($A1317,Load!$B:$B,Load!H:H,0,)</f>
        <v>Stand-Up Bag</v>
      </c>
      <c r="H1317" t="str">
        <f>_xlfn.XLOOKUP($A1317,Load!$B:$B,Load!I:I,0,)</f>
        <v>Everyday Candy Shapes (like Original, Gummy bear, Fruit, Jewels, etc.)</v>
      </c>
      <c r="I1317" t="str">
        <f>_xlfn.XLOOKUP($A1317,Load!$B:$B,Load!J:J,0,)</f>
        <v>Seasonal Graphics (Like Bat, Ghost, Pumpkin, Fall Leaves, Eyeballs, etc.)</v>
      </c>
      <c r="J1317" t="str">
        <f>_xlfn.XLOOKUP($A1317,Load!$B:$B,Load!K:K,0,)</f>
        <v xml:space="preserve">Variety Candy Sizes </v>
      </c>
      <c r="K1317" t="str">
        <f>_xlfn.XLOOKUP($A1317,Load!$B:$B,Load!L:L,0,)</f>
        <v>Regular/Original Wrapping</v>
      </c>
      <c r="L1317" t="str">
        <f>_xlfn.XLOOKUP($A1317,Load!$B:$B,Load!M:M,0,)</f>
        <v>Multiple Brands / Variety Flavors or Form</v>
      </c>
    </row>
    <row r="1318" spans="1:12" x14ac:dyDescent="0.25">
      <c r="A1318" t="s">
        <v>328</v>
      </c>
      <c r="B1318" t="str">
        <f>_xlfn.XLOOKUP($A1318,Load!$B:$B,Load!C:C,0,)</f>
        <v>Googly Eyes</v>
      </c>
      <c r="C1318" t="str">
        <f>_xlfn.XLOOKUP($A1318,Load!$B:$B,Load!D:D,0,)</f>
        <v>Non-Chocolate Candy Only</v>
      </c>
      <c r="D1318" t="str">
        <f>_xlfn.XLOOKUP($A1318,Load!$B:$B,Load!E:E,0,)</f>
        <v>Variety / Mixed Flavors (Fruity, Sour, Seasonal Flavors)</v>
      </c>
      <c r="E1318" t="str">
        <f>_xlfn.XLOOKUP($A1318,Load!$B:$B,Load!F:F,0,)</f>
        <v>Candy Pieces / Bites</v>
      </c>
      <c r="F1318" t="str">
        <f>_xlfn.XLOOKUP($A1318,Load!$B:$B,Load!G:G,0,)</f>
        <v>Single Pack</v>
      </c>
      <c r="G1318" t="str">
        <f>_xlfn.XLOOKUP($A1318,Load!$B:$B,Load!H:H,0,)</f>
        <v>Plastic Cup / Container</v>
      </c>
      <c r="H1318" t="str">
        <f>_xlfn.XLOOKUP($A1318,Load!$B:$B,Load!I:I,0,)</f>
        <v>Seasonal Shapes (like pumpkins, candy corn, ghost, bats, etc.)</v>
      </c>
      <c r="I1318" t="str">
        <f>_xlfn.XLOOKUP($A1318,Load!$B:$B,Load!J:J,0,)</f>
        <v>Seasonal Graphics (Like Bat, Ghost, Pumpkin, Fall Leaves, Eyeballs, etc.)</v>
      </c>
      <c r="J1318" t="str">
        <f>_xlfn.XLOOKUP($A1318,Load!$B:$B,Load!K:K,0,)</f>
        <v>Fun Size / Treat Size</v>
      </c>
      <c r="K1318" t="str">
        <f>_xlfn.XLOOKUP($A1318,Load!$B:$B,Load!L:L,0,)</f>
        <v>Regular/Original Wrapping</v>
      </c>
      <c r="L1318" t="str">
        <f>_xlfn.XLOOKUP($A1318,Load!$B:$B,Load!M:M,0,)</f>
        <v>Single Brand / Variety Flavors or Form</v>
      </c>
    </row>
    <row r="1319" spans="1:12" x14ac:dyDescent="0.25">
      <c r="B1319">
        <f>_xlfn.XLOOKUP($A1319,Load!$B:$B,Load!C:C,0,)</f>
        <v>0</v>
      </c>
      <c r="C1319">
        <f>_xlfn.XLOOKUP($A1319,Load!$B:$B,Load!D:D,0,)</f>
        <v>0</v>
      </c>
      <c r="D1319">
        <f>_xlfn.XLOOKUP($A1319,Load!$B:$B,Load!E:E,0,)</f>
        <v>0</v>
      </c>
      <c r="E1319">
        <f>_xlfn.XLOOKUP($A1319,Load!$B:$B,Load!F:F,0,)</f>
        <v>0</v>
      </c>
      <c r="F1319">
        <f>_xlfn.XLOOKUP($A1319,Load!$B:$B,Load!G:G,0,)</f>
        <v>0</v>
      </c>
      <c r="G1319">
        <f>_xlfn.XLOOKUP($A1319,Load!$B:$B,Load!H:H,0,)</f>
        <v>0</v>
      </c>
      <c r="H1319">
        <f>_xlfn.XLOOKUP($A1319,Load!$B:$B,Load!I:I,0,)</f>
        <v>0</v>
      </c>
      <c r="I1319">
        <f>_xlfn.XLOOKUP($A1319,Load!$B:$B,Load!J:J,0,)</f>
        <v>0</v>
      </c>
      <c r="J1319">
        <f>_xlfn.XLOOKUP($A1319,Load!$B:$B,Load!K:K,0,)</f>
        <v>0</v>
      </c>
      <c r="K1319">
        <f>_xlfn.XLOOKUP($A1319,Load!$B:$B,Load!L:L,0,)</f>
        <v>0</v>
      </c>
      <c r="L1319">
        <f>_xlfn.XLOOKUP($A1319,Load!$B:$B,Load!M:M,0,)</f>
        <v>0</v>
      </c>
    </row>
    <row r="1320" spans="1:12" x14ac:dyDescent="0.25">
      <c r="B1320">
        <f>_xlfn.XLOOKUP($A1320,Load!$B:$B,Load!C:C,0,)</f>
        <v>0</v>
      </c>
      <c r="C1320">
        <f>_xlfn.XLOOKUP($A1320,Load!$B:$B,Load!D:D,0,)</f>
        <v>0</v>
      </c>
      <c r="D1320">
        <f>_xlfn.XLOOKUP($A1320,Load!$B:$B,Load!E:E,0,)</f>
        <v>0</v>
      </c>
      <c r="E1320">
        <f>_xlfn.XLOOKUP($A1320,Load!$B:$B,Load!F:F,0,)</f>
        <v>0</v>
      </c>
      <c r="F1320">
        <f>_xlfn.XLOOKUP($A1320,Load!$B:$B,Load!G:G,0,)</f>
        <v>0</v>
      </c>
      <c r="G1320">
        <f>_xlfn.XLOOKUP($A1320,Load!$B:$B,Load!H:H,0,)</f>
        <v>0</v>
      </c>
      <c r="H1320">
        <f>_xlfn.XLOOKUP($A1320,Load!$B:$B,Load!I:I,0,)</f>
        <v>0</v>
      </c>
      <c r="I1320">
        <f>_xlfn.XLOOKUP($A1320,Load!$B:$B,Load!J:J,0,)</f>
        <v>0</v>
      </c>
      <c r="J1320">
        <f>_xlfn.XLOOKUP($A1320,Load!$B:$B,Load!K:K,0,)</f>
        <v>0</v>
      </c>
      <c r="K1320">
        <f>_xlfn.XLOOKUP($A1320,Load!$B:$B,Load!L:L,0,)</f>
        <v>0</v>
      </c>
      <c r="L1320">
        <f>_xlfn.XLOOKUP($A1320,Load!$B:$B,Load!M:M,0,)</f>
        <v>0</v>
      </c>
    </row>
    <row r="1321" spans="1:12" x14ac:dyDescent="0.25">
      <c r="B1321">
        <f>_xlfn.XLOOKUP($A1321,Load!$B:$B,Load!C:C,0,)</f>
        <v>0</v>
      </c>
      <c r="C1321">
        <f>_xlfn.XLOOKUP($A1321,Load!$B:$B,Load!D:D,0,)</f>
        <v>0</v>
      </c>
      <c r="D1321">
        <f>_xlfn.XLOOKUP($A1321,Load!$B:$B,Load!E:E,0,)</f>
        <v>0</v>
      </c>
      <c r="E1321">
        <f>_xlfn.XLOOKUP($A1321,Load!$B:$B,Load!F:F,0,)</f>
        <v>0</v>
      </c>
      <c r="F1321">
        <f>_xlfn.XLOOKUP($A1321,Load!$B:$B,Load!G:G,0,)</f>
        <v>0</v>
      </c>
      <c r="G1321">
        <f>_xlfn.XLOOKUP($A1321,Load!$B:$B,Load!H:H,0,)</f>
        <v>0</v>
      </c>
      <c r="H1321">
        <f>_xlfn.XLOOKUP($A1321,Load!$B:$B,Load!I:I,0,)</f>
        <v>0</v>
      </c>
      <c r="I1321">
        <f>_xlfn.XLOOKUP($A1321,Load!$B:$B,Load!J:J,0,)</f>
        <v>0</v>
      </c>
      <c r="J1321">
        <f>_xlfn.XLOOKUP($A1321,Load!$B:$B,Load!K:K,0,)</f>
        <v>0</v>
      </c>
      <c r="K1321">
        <f>_xlfn.XLOOKUP($A1321,Load!$B:$B,Load!L:L,0,)</f>
        <v>0</v>
      </c>
      <c r="L1321">
        <f>_xlfn.XLOOKUP($A1321,Load!$B:$B,Load!M:M,0,)</f>
        <v>0</v>
      </c>
    </row>
    <row r="1322" spans="1:12" x14ac:dyDescent="0.25">
      <c r="A1322" t="s">
        <v>149</v>
      </c>
      <c r="B1322" t="str">
        <f>_xlfn.XLOOKUP($A1322,Load!$B:$B,Load!C:C,0,)</f>
        <v>Jolly Rancher</v>
      </c>
      <c r="C1322" t="str">
        <f>_xlfn.XLOOKUP($A1322,Load!$B:$B,Load!D:D,0,)</f>
        <v>Non-Chocolate Candy Only</v>
      </c>
      <c r="D1322" t="str">
        <f>_xlfn.XLOOKUP($A1322,Load!$B:$B,Load!E:E,0,)</f>
        <v>Fruit Flavor (Cherry, Grape, Apple, Citrus, Tropical Fruit)</v>
      </c>
      <c r="E1322" t="str">
        <f>_xlfn.XLOOKUP($A1322,Load!$B:$B,Load!F:F,0,)</f>
        <v>Gummy</v>
      </c>
      <c r="F1322" t="str">
        <f>_xlfn.XLOOKUP($A1322,Load!$B:$B,Load!G:G,0,)</f>
        <v>Small Multipack (Less than 40 ct)</v>
      </c>
      <c r="G1322" t="str">
        <f>_xlfn.XLOOKUP($A1322,Load!$B:$B,Load!H:H,0,)</f>
        <v>Laydown Bag</v>
      </c>
      <c r="H1322" t="str">
        <f>_xlfn.XLOOKUP($A1322,Load!$B:$B,Load!I:I,0,)</f>
        <v>Everyday Candy Shapes (like Original, Gummy bear, Fruit, Jewels, etc.)</v>
      </c>
      <c r="I1322" t="str">
        <f>_xlfn.XLOOKUP($A1322,Load!$B:$B,Load!J:J,0,)</f>
        <v>Everyday Graphics</v>
      </c>
      <c r="J1322" t="str">
        <f>_xlfn.XLOOKUP($A1322,Load!$B:$B,Load!K:K,0,)</f>
        <v>Fun Size / Treat Size</v>
      </c>
      <c r="K1322" t="str">
        <f>_xlfn.XLOOKUP($A1322,Load!$B:$B,Load!L:L,0,)</f>
        <v>Regular/Original Wrapping</v>
      </c>
      <c r="L1322" t="str">
        <f>_xlfn.XLOOKUP($A1322,Load!$B:$B,Load!M:M,0,)</f>
        <v>Single Brand / Variety Flavors or Form</v>
      </c>
    </row>
    <row r="1323" spans="1:12" x14ac:dyDescent="0.25">
      <c r="A1323" t="s">
        <v>170</v>
      </c>
      <c r="B1323" t="str">
        <f>_xlfn.XLOOKUP($A1323,Load!$B:$B,Load!C:C,0,)</f>
        <v>Laffy Taffy</v>
      </c>
      <c r="C1323" t="str">
        <f>_xlfn.XLOOKUP($A1323,Load!$B:$B,Load!D:D,0,)</f>
        <v>Non-Chocolate Candy Only</v>
      </c>
      <c r="D1323" t="str">
        <f>_xlfn.XLOOKUP($A1323,Load!$B:$B,Load!E:E,0,)</f>
        <v>Fruit Flavor (Cherry, Grape, Apple, Citrus, Tropical Fruit)</v>
      </c>
      <c r="E1323" t="str">
        <f>_xlfn.XLOOKUP($A1323,Load!$B:$B,Load!F:F,0,)</f>
        <v>Taffy</v>
      </c>
      <c r="F1323" t="str">
        <f>_xlfn.XLOOKUP($A1323,Load!$B:$B,Load!G:G,0,)</f>
        <v>Large Multipack (More than 80 ct)</v>
      </c>
      <c r="G1323" t="str">
        <f>_xlfn.XLOOKUP($A1323,Load!$B:$B,Load!H:H,0,)</f>
        <v>Stand-Up Bag</v>
      </c>
      <c r="H1323" t="str">
        <f>_xlfn.XLOOKUP($A1323,Load!$B:$B,Load!I:I,0,)</f>
        <v>Everyday Candy Shapes (like Original, Gummy bear, Fruit, Jewels, etc.)</v>
      </c>
      <c r="I1323" t="str">
        <f>_xlfn.XLOOKUP($A1323,Load!$B:$B,Load!J:J,0,)</f>
        <v>Everyday Graphics</v>
      </c>
      <c r="J1323" t="str">
        <f>_xlfn.XLOOKUP($A1323,Load!$B:$B,Load!K:K,0,)</f>
        <v>Fun Size / Treat Size</v>
      </c>
      <c r="K1323" t="str">
        <f>_xlfn.XLOOKUP($A1323,Load!$B:$B,Load!L:L,0,)</f>
        <v>Regular/Original Wrapping</v>
      </c>
      <c r="L1323" t="str">
        <f>_xlfn.XLOOKUP($A1323,Load!$B:$B,Load!M:M,0,)</f>
        <v>Single Brand / Variety Flavors or Form</v>
      </c>
    </row>
    <row r="1324" spans="1:12" x14ac:dyDescent="0.25">
      <c r="A1324" t="s">
        <v>184</v>
      </c>
      <c r="B1324" t="str">
        <f>_xlfn.XLOOKUP($A1324,Load!$B:$B,Load!C:C,0,)</f>
        <v>Mars Variety Pack</v>
      </c>
      <c r="C1324" t="str">
        <f>_xlfn.XLOOKUP($A1324,Load!$B:$B,Load!D:D,0,)</f>
        <v>Mix of Chocolate and Non-Chocolate Candy</v>
      </c>
      <c r="D1324" t="str">
        <f>_xlfn.XLOOKUP($A1324,Load!$B:$B,Load!E:E,0,)</f>
        <v>Variety / Mixed Flavors (Fruity, Sour, Seasonal Flavors)</v>
      </c>
      <c r="E1324" t="str">
        <f>_xlfn.XLOOKUP($A1324,Load!$B:$B,Load!F:F,0,)</f>
        <v>Mixed / Combo Packs (Gummy, Chewy, Taffy, etc.)</v>
      </c>
      <c r="F1324" t="str">
        <f>_xlfn.XLOOKUP($A1324,Load!$B:$B,Load!G:G,0,)</f>
        <v>Large Multipack (More than 80 ct)</v>
      </c>
      <c r="G1324" t="str">
        <f>_xlfn.XLOOKUP($A1324,Load!$B:$B,Load!H:H,0,)</f>
        <v>Stand-Up Bag</v>
      </c>
      <c r="H1324" t="str">
        <f>_xlfn.XLOOKUP($A1324,Load!$B:$B,Load!I:I,0,)</f>
        <v>Everyday Candy Shapes (like Original, Gummy bear, Fruit, Jewels, etc.)</v>
      </c>
      <c r="I1324" t="str">
        <f>_xlfn.XLOOKUP($A1324,Load!$B:$B,Load!J:J,0,)</f>
        <v>Seasonal Graphics (Like Bat, Ghost, Pumpkin, Fall Leaves, Eyeballs, etc.)</v>
      </c>
      <c r="J1324" t="str">
        <f>_xlfn.XLOOKUP($A1324,Load!$B:$B,Load!K:K,0,)</f>
        <v>Fun Size / Treat Size</v>
      </c>
      <c r="K1324" t="str">
        <f>_xlfn.XLOOKUP($A1324,Load!$B:$B,Load!L:L,0,)</f>
        <v>Regular/Original Wrapping</v>
      </c>
      <c r="L1324" t="str">
        <f>_xlfn.XLOOKUP($A1324,Load!$B:$B,Load!M:M,0,)</f>
        <v>Multiple Brands / Variety Flavors or Form</v>
      </c>
    </row>
    <row r="1325" spans="1:12" x14ac:dyDescent="0.25">
      <c r="B1325">
        <f>_xlfn.XLOOKUP($A1325,Load!$B:$B,Load!C:C,0,)</f>
        <v>0</v>
      </c>
      <c r="C1325">
        <f>_xlfn.XLOOKUP($A1325,Load!$B:$B,Load!D:D,0,)</f>
        <v>0</v>
      </c>
      <c r="D1325">
        <f>_xlfn.XLOOKUP($A1325,Load!$B:$B,Load!E:E,0,)</f>
        <v>0</v>
      </c>
      <c r="E1325">
        <f>_xlfn.XLOOKUP($A1325,Load!$B:$B,Load!F:F,0,)</f>
        <v>0</v>
      </c>
      <c r="F1325">
        <f>_xlfn.XLOOKUP($A1325,Load!$B:$B,Load!G:G,0,)</f>
        <v>0</v>
      </c>
      <c r="G1325">
        <f>_xlfn.XLOOKUP($A1325,Load!$B:$B,Load!H:H,0,)</f>
        <v>0</v>
      </c>
      <c r="H1325">
        <f>_xlfn.XLOOKUP($A1325,Load!$B:$B,Load!I:I,0,)</f>
        <v>0</v>
      </c>
      <c r="I1325">
        <f>_xlfn.XLOOKUP($A1325,Load!$B:$B,Load!J:J,0,)</f>
        <v>0</v>
      </c>
      <c r="J1325">
        <f>_xlfn.XLOOKUP($A1325,Load!$B:$B,Load!K:K,0,)</f>
        <v>0</v>
      </c>
      <c r="K1325">
        <f>_xlfn.XLOOKUP($A1325,Load!$B:$B,Load!L:L,0,)</f>
        <v>0</v>
      </c>
      <c r="L1325">
        <f>_xlfn.XLOOKUP($A1325,Load!$B:$B,Load!M:M,0,)</f>
        <v>0</v>
      </c>
    </row>
    <row r="1326" spans="1:12" x14ac:dyDescent="0.25">
      <c r="B1326">
        <f>_xlfn.XLOOKUP($A1326,Load!$B:$B,Load!C:C,0,)</f>
        <v>0</v>
      </c>
      <c r="C1326">
        <f>_xlfn.XLOOKUP($A1326,Load!$B:$B,Load!D:D,0,)</f>
        <v>0</v>
      </c>
      <c r="D1326">
        <f>_xlfn.XLOOKUP($A1326,Load!$B:$B,Load!E:E,0,)</f>
        <v>0</v>
      </c>
      <c r="E1326">
        <f>_xlfn.XLOOKUP($A1326,Load!$B:$B,Load!F:F,0,)</f>
        <v>0</v>
      </c>
      <c r="F1326">
        <f>_xlfn.XLOOKUP($A1326,Load!$B:$B,Load!G:G,0,)</f>
        <v>0</v>
      </c>
      <c r="G1326">
        <f>_xlfn.XLOOKUP($A1326,Load!$B:$B,Load!H:H,0,)</f>
        <v>0</v>
      </c>
      <c r="H1326">
        <f>_xlfn.XLOOKUP($A1326,Load!$B:$B,Load!I:I,0,)</f>
        <v>0</v>
      </c>
      <c r="I1326">
        <f>_xlfn.XLOOKUP($A1326,Load!$B:$B,Load!J:J,0,)</f>
        <v>0</v>
      </c>
      <c r="J1326">
        <f>_xlfn.XLOOKUP($A1326,Load!$B:$B,Load!K:K,0,)</f>
        <v>0</v>
      </c>
      <c r="K1326">
        <f>_xlfn.XLOOKUP($A1326,Load!$B:$B,Load!L:L,0,)</f>
        <v>0</v>
      </c>
      <c r="L1326">
        <f>_xlfn.XLOOKUP($A1326,Load!$B:$B,Load!M:M,0,)</f>
        <v>0</v>
      </c>
    </row>
    <row r="1327" spans="1:12" x14ac:dyDescent="0.25">
      <c r="B1327">
        <f>_xlfn.XLOOKUP($A1327,Load!$B:$B,Load!C:C,0,)</f>
        <v>0</v>
      </c>
      <c r="C1327">
        <f>_xlfn.XLOOKUP($A1327,Load!$B:$B,Load!D:D,0,)</f>
        <v>0</v>
      </c>
      <c r="D1327">
        <f>_xlfn.XLOOKUP($A1327,Load!$B:$B,Load!E:E,0,)</f>
        <v>0</v>
      </c>
      <c r="E1327">
        <f>_xlfn.XLOOKUP($A1327,Load!$B:$B,Load!F:F,0,)</f>
        <v>0</v>
      </c>
      <c r="F1327">
        <f>_xlfn.XLOOKUP($A1327,Load!$B:$B,Load!G:G,0,)</f>
        <v>0</v>
      </c>
      <c r="G1327">
        <f>_xlfn.XLOOKUP($A1327,Load!$B:$B,Load!H:H,0,)</f>
        <v>0</v>
      </c>
      <c r="H1327">
        <f>_xlfn.XLOOKUP($A1327,Load!$B:$B,Load!I:I,0,)</f>
        <v>0</v>
      </c>
      <c r="I1327">
        <f>_xlfn.XLOOKUP($A1327,Load!$B:$B,Load!J:J,0,)</f>
        <v>0</v>
      </c>
      <c r="J1327">
        <f>_xlfn.XLOOKUP($A1327,Load!$B:$B,Load!K:K,0,)</f>
        <v>0</v>
      </c>
      <c r="K1327">
        <f>_xlfn.XLOOKUP($A1327,Load!$B:$B,Load!L:L,0,)</f>
        <v>0</v>
      </c>
      <c r="L1327">
        <f>_xlfn.XLOOKUP($A1327,Load!$B:$B,Load!M:M,0,)</f>
        <v>0</v>
      </c>
    </row>
    <row r="1328" spans="1:12" x14ac:dyDescent="0.25">
      <c r="A1328" t="s">
        <v>294</v>
      </c>
      <c r="B1328" t="str">
        <f>_xlfn.XLOOKUP($A1328,Load!$B:$B,Load!C:C,0,)</f>
        <v>Tootsie</v>
      </c>
      <c r="C1328" t="str">
        <f>_xlfn.XLOOKUP($A1328,Load!$B:$B,Load!D:D,0,)</f>
        <v>Non-Chocolate Candy Only</v>
      </c>
      <c r="D1328" t="str">
        <f>_xlfn.XLOOKUP($A1328,Load!$B:$B,Load!E:E,0,)</f>
        <v>Sweet</v>
      </c>
      <c r="E1328" t="str">
        <f>_xlfn.XLOOKUP($A1328,Load!$B:$B,Load!F:F,0,)</f>
        <v>Lollipop (regular or lollipop rings)</v>
      </c>
      <c r="F1328" t="str">
        <f>_xlfn.XLOOKUP($A1328,Load!$B:$B,Load!G:G,0,)</f>
        <v>Large Multipack (More than 80 ct)</v>
      </c>
      <c r="G1328" t="str">
        <f>_xlfn.XLOOKUP($A1328,Load!$B:$B,Load!H:H,0,)</f>
        <v>Laydown Bag</v>
      </c>
      <c r="H1328" t="str">
        <f>_xlfn.XLOOKUP($A1328,Load!$B:$B,Load!I:I,0,)</f>
        <v>Everyday Candy Shapes (like Original, Gummy bear, Fruit, Jewels, etc.)</v>
      </c>
      <c r="I1328" t="str">
        <f>_xlfn.XLOOKUP($A1328,Load!$B:$B,Load!J:J,0,)</f>
        <v>Everyday Graphics</v>
      </c>
      <c r="J1328" t="str">
        <f>_xlfn.XLOOKUP($A1328,Load!$B:$B,Load!K:K,0,)</f>
        <v>Regular Lollipop size (on sticks or rings)</v>
      </c>
      <c r="K1328" t="str">
        <f>_xlfn.XLOOKUP($A1328,Load!$B:$B,Load!L:L,0,)</f>
        <v>Regular/Original Wrapping</v>
      </c>
      <c r="L1328" t="str">
        <f>_xlfn.XLOOKUP($A1328,Load!$B:$B,Load!M:M,0,)</f>
        <v>Single Brand / Single Flavor or Form</v>
      </c>
    </row>
    <row r="1329" spans="1:12" x14ac:dyDescent="0.25">
      <c r="A1329" t="s">
        <v>252</v>
      </c>
      <c r="B1329" t="str">
        <f>_xlfn.XLOOKUP($A1329,Load!$B:$B,Load!C:C,0,)</f>
        <v>Skittles</v>
      </c>
      <c r="C1329" t="str">
        <f>_xlfn.XLOOKUP($A1329,Load!$B:$B,Load!D:D,0,)</f>
        <v>Non-Chocolate Candy Only</v>
      </c>
      <c r="D1329" t="str">
        <f>_xlfn.XLOOKUP($A1329,Load!$B:$B,Load!E:E,0,)</f>
        <v>Sour</v>
      </c>
      <c r="E1329" t="str">
        <f>_xlfn.XLOOKUP($A1329,Load!$B:$B,Load!F:F,0,)</f>
        <v>Candy Pieces / Bites</v>
      </c>
      <c r="F1329" t="str">
        <f>_xlfn.XLOOKUP($A1329,Load!$B:$B,Load!G:G,0,)</f>
        <v>Single Pack</v>
      </c>
      <c r="G1329" t="str">
        <f>_xlfn.XLOOKUP($A1329,Load!$B:$B,Load!H:H,0,)</f>
        <v>Laydown Bag</v>
      </c>
      <c r="H1329" t="str">
        <f>_xlfn.XLOOKUP($A1329,Load!$B:$B,Load!I:I,0,)</f>
        <v>Everyday Candy Shapes (like Original, Gummy bear, Fruit, Jewels, etc.)</v>
      </c>
      <c r="I1329" t="str">
        <f>_xlfn.XLOOKUP($A1329,Load!$B:$B,Load!J:J,0,)</f>
        <v>Seasonal Graphics (Like Bat, Ghost, Pumpkin, Fall Leaves, Eyeballs, etc.)</v>
      </c>
      <c r="J1329" t="str">
        <f>_xlfn.XLOOKUP($A1329,Load!$B:$B,Load!K:K,0,)</f>
        <v>Small Pieces (Tiny bite size candies)</v>
      </c>
      <c r="K1329" t="str">
        <f>_xlfn.XLOOKUP($A1329,Load!$B:$B,Load!L:L,0,)</f>
        <v>Unwrapped</v>
      </c>
      <c r="L1329" t="str">
        <f>_xlfn.XLOOKUP($A1329,Load!$B:$B,Load!M:M,0,)</f>
        <v>Single Brand / Variety Flavors or Form</v>
      </c>
    </row>
    <row r="1330" spans="1:12" x14ac:dyDescent="0.25">
      <c r="B1330">
        <f>_xlfn.XLOOKUP($A1330,Load!$B:$B,Load!C:C,0,)</f>
        <v>0</v>
      </c>
      <c r="C1330">
        <f>_xlfn.XLOOKUP($A1330,Load!$B:$B,Load!D:D,0,)</f>
        <v>0</v>
      </c>
      <c r="D1330">
        <f>_xlfn.XLOOKUP($A1330,Load!$B:$B,Load!E:E,0,)</f>
        <v>0</v>
      </c>
      <c r="E1330">
        <f>_xlfn.XLOOKUP($A1330,Load!$B:$B,Load!F:F,0,)</f>
        <v>0</v>
      </c>
      <c r="F1330">
        <f>_xlfn.XLOOKUP($A1330,Load!$B:$B,Load!G:G,0,)</f>
        <v>0</v>
      </c>
      <c r="G1330">
        <f>_xlfn.XLOOKUP($A1330,Load!$B:$B,Load!H:H,0,)</f>
        <v>0</v>
      </c>
      <c r="H1330">
        <f>_xlfn.XLOOKUP($A1330,Load!$B:$B,Load!I:I,0,)</f>
        <v>0</v>
      </c>
      <c r="I1330">
        <f>_xlfn.XLOOKUP($A1330,Load!$B:$B,Load!J:J,0,)</f>
        <v>0</v>
      </c>
      <c r="J1330">
        <f>_xlfn.XLOOKUP($A1330,Load!$B:$B,Load!K:K,0,)</f>
        <v>0</v>
      </c>
      <c r="K1330">
        <f>_xlfn.XLOOKUP($A1330,Load!$B:$B,Load!L:L,0,)</f>
        <v>0</v>
      </c>
      <c r="L1330">
        <f>_xlfn.XLOOKUP($A1330,Load!$B:$B,Load!M:M,0,)</f>
        <v>0</v>
      </c>
    </row>
    <row r="1331" spans="1:12" x14ac:dyDescent="0.25">
      <c r="B1331">
        <f>_xlfn.XLOOKUP($A1331,Load!$B:$B,Load!C:C,0,)</f>
        <v>0</v>
      </c>
      <c r="C1331">
        <f>_xlfn.XLOOKUP($A1331,Load!$B:$B,Load!D:D,0,)</f>
        <v>0</v>
      </c>
      <c r="D1331">
        <f>_xlfn.XLOOKUP($A1331,Load!$B:$B,Load!E:E,0,)</f>
        <v>0</v>
      </c>
      <c r="E1331">
        <f>_xlfn.XLOOKUP($A1331,Load!$B:$B,Load!F:F,0,)</f>
        <v>0</v>
      </c>
      <c r="F1331">
        <f>_xlfn.XLOOKUP($A1331,Load!$B:$B,Load!G:G,0,)</f>
        <v>0</v>
      </c>
      <c r="G1331">
        <f>_xlfn.XLOOKUP($A1331,Load!$B:$B,Load!H:H,0,)</f>
        <v>0</v>
      </c>
      <c r="H1331">
        <f>_xlfn.XLOOKUP($A1331,Load!$B:$B,Load!I:I,0,)</f>
        <v>0</v>
      </c>
      <c r="I1331">
        <f>_xlfn.XLOOKUP($A1331,Load!$B:$B,Load!J:J,0,)</f>
        <v>0</v>
      </c>
      <c r="J1331">
        <f>_xlfn.XLOOKUP($A1331,Load!$B:$B,Load!K:K,0,)</f>
        <v>0</v>
      </c>
      <c r="K1331">
        <f>_xlfn.XLOOKUP($A1331,Load!$B:$B,Load!L:L,0,)</f>
        <v>0</v>
      </c>
      <c r="L1331">
        <f>_xlfn.XLOOKUP($A1331,Load!$B:$B,Load!M:M,0,)</f>
        <v>0</v>
      </c>
    </row>
    <row r="1332" spans="1:12" x14ac:dyDescent="0.25">
      <c r="B1332">
        <f>_xlfn.XLOOKUP($A1332,Load!$B:$B,Load!C:C,0,)</f>
        <v>0</v>
      </c>
      <c r="C1332">
        <f>_xlfn.XLOOKUP($A1332,Load!$B:$B,Load!D:D,0,)</f>
        <v>0</v>
      </c>
      <c r="D1332">
        <f>_xlfn.XLOOKUP($A1332,Load!$B:$B,Load!E:E,0,)</f>
        <v>0</v>
      </c>
      <c r="E1332">
        <f>_xlfn.XLOOKUP($A1332,Load!$B:$B,Load!F:F,0,)</f>
        <v>0</v>
      </c>
      <c r="F1332">
        <f>_xlfn.XLOOKUP($A1332,Load!$B:$B,Load!G:G,0,)</f>
        <v>0</v>
      </c>
      <c r="G1332">
        <f>_xlfn.XLOOKUP($A1332,Load!$B:$B,Load!H:H,0,)</f>
        <v>0</v>
      </c>
      <c r="H1332">
        <f>_xlfn.XLOOKUP($A1332,Load!$B:$B,Load!I:I,0,)</f>
        <v>0</v>
      </c>
      <c r="I1332">
        <f>_xlfn.XLOOKUP($A1332,Load!$B:$B,Load!J:J,0,)</f>
        <v>0</v>
      </c>
      <c r="J1332">
        <f>_xlfn.XLOOKUP($A1332,Load!$B:$B,Load!K:K,0,)</f>
        <v>0</v>
      </c>
      <c r="K1332">
        <f>_xlfn.XLOOKUP($A1332,Load!$B:$B,Load!L:L,0,)</f>
        <v>0</v>
      </c>
      <c r="L1332">
        <f>_xlfn.XLOOKUP($A1332,Load!$B:$B,Load!M:M,0,)</f>
        <v>0</v>
      </c>
    </row>
    <row r="1333" spans="1:12" x14ac:dyDescent="0.25">
      <c r="B1333">
        <f>_xlfn.XLOOKUP($A1333,Load!$B:$B,Load!C:C,0,)</f>
        <v>0</v>
      </c>
      <c r="C1333">
        <f>_xlfn.XLOOKUP($A1333,Load!$B:$B,Load!D:D,0,)</f>
        <v>0</v>
      </c>
      <c r="D1333">
        <f>_xlfn.XLOOKUP($A1333,Load!$B:$B,Load!E:E,0,)</f>
        <v>0</v>
      </c>
      <c r="E1333">
        <f>_xlfn.XLOOKUP($A1333,Load!$B:$B,Load!F:F,0,)</f>
        <v>0</v>
      </c>
      <c r="F1333">
        <f>_xlfn.XLOOKUP($A1333,Load!$B:$B,Load!G:G,0,)</f>
        <v>0</v>
      </c>
      <c r="G1333">
        <f>_xlfn.XLOOKUP($A1333,Load!$B:$B,Load!H:H,0,)</f>
        <v>0</v>
      </c>
      <c r="H1333">
        <f>_xlfn.XLOOKUP($A1333,Load!$B:$B,Load!I:I,0,)</f>
        <v>0</v>
      </c>
      <c r="I1333">
        <f>_xlfn.XLOOKUP($A1333,Load!$B:$B,Load!J:J,0,)</f>
        <v>0</v>
      </c>
      <c r="J1333">
        <f>_xlfn.XLOOKUP($A1333,Load!$B:$B,Load!K:K,0,)</f>
        <v>0</v>
      </c>
      <c r="K1333">
        <f>_xlfn.XLOOKUP($A1333,Load!$B:$B,Load!L:L,0,)</f>
        <v>0</v>
      </c>
      <c r="L1333">
        <f>_xlfn.XLOOKUP($A1333,Load!$B:$B,Load!M:M,0,)</f>
        <v>0</v>
      </c>
    </row>
    <row r="1334" spans="1:12" x14ac:dyDescent="0.25">
      <c r="B1334">
        <f>_xlfn.XLOOKUP($A1334,Load!$B:$B,Load!C:C,0,)</f>
        <v>0</v>
      </c>
      <c r="C1334">
        <f>_xlfn.XLOOKUP($A1334,Load!$B:$B,Load!D:D,0,)</f>
        <v>0</v>
      </c>
      <c r="D1334">
        <f>_xlfn.XLOOKUP($A1334,Load!$B:$B,Load!E:E,0,)</f>
        <v>0</v>
      </c>
      <c r="E1334">
        <f>_xlfn.XLOOKUP($A1334,Load!$B:$B,Load!F:F,0,)</f>
        <v>0</v>
      </c>
      <c r="F1334">
        <f>_xlfn.XLOOKUP($A1334,Load!$B:$B,Load!G:G,0,)</f>
        <v>0</v>
      </c>
      <c r="G1334">
        <f>_xlfn.XLOOKUP($A1334,Load!$B:$B,Load!H:H,0,)</f>
        <v>0</v>
      </c>
      <c r="H1334">
        <f>_xlfn.XLOOKUP($A1334,Load!$B:$B,Load!I:I,0,)</f>
        <v>0</v>
      </c>
      <c r="I1334">
        <f>_xlfn.XLOOKUP($A1334,Load!$B:$B,Load!J:J,0,)</f>
        <v>0</v>
      </c>
      <c r="J1334">
        <f>_xlfn.XLOOKUP($A1334,Load!$B:$B,Load!K:K,0,)</f>
        <v>0</v>
      </c>
      <c r="K1334">
        <f>_xlfn.XLOOKUP($A1334,Load!$B:$B,Load!L:L,0,)</f>
        <v>0</v>
      </c>
      <c r="L1334">
        <f>_xlfn.XLOOKUP($A1334,Load!$B:$B,Load!M:M,0,)</f>
        <v>0</v>
      </c>
    </row>
    <row r="1335" spans="1:12" x14ac:dyDescent="0.25">
      <c r="B1335">
        <f>_xlfn.XLOOKUP($A1335,Load!$B:$B,Load!C:C,0,)</f>
        <v>0</v>
      </c>
      <c r="C1335">
        <f>_xlfn.XLOOKUP($A1335,Load!$B:$B,Load!D:D,0,)</f>
        <v>0</v>
      </c>
      <c r="D1335">
        <f>_xlfn.XLOOKUP($A1335,Load!$B:$B,Load!E:E,0,)</f>
        <v>0</v>
      </c>
      <c r="E1335">
        <f>_xlfn.XLOOKUP($A1335,Load!$B:$B,Load!F:F,0,)</f>
        <v>0</v>
      </c>
      <c r="F1335">
        <f>_xlfn.XLOOKUP($A1335,Load!$B:$B,Load!G:G,0,)</f>
        <v>0</v>
      </c>
      <c r="G1335">
        <f>_xlfn.XLOOKUP($A1335,Load!$B:$B,Load!H:H,0,)</f>
        <v>0</v>
      </c>
      <c r="H1335">
        <f>_xlfn.XLOOKUP($A1335,Load!$B:$B,Load!I:I,0,)</f>
        <v>0</v>
      </c>
      <c r="I1335">
        <f>_xlfn.XLOOKUP($A1335,Load!$B:$B,Load!J:J,0,)</f>
        <v>0</v>
      </c>
      <c r="J1335">
        <f>_xlfn.XLOOKUP($A1335,Load!$B:$B,Load!K:K,0,)</f>
        <v>0</v>
      </c>
      <c r="K1335">
        <f>_xlfn.XLOOKUP($A1335,Load!$B:$B,Load!L:L,0,)</f>
        <v>0</v>
      </c>
      <c r="L1335">
        <f>_xlfn.XLOOKUP($A1335,Load!$B:$B,Load!M:M,0,)</f>
        <v>0</v>
      </c>
    </row>
    <row r="1336" spans="1:12" x14ac:dyDescent="0.25">
      <c r="A1336" t="s">
        <v>186</v>
      </c>
      <c r="B1336" t="str">
        <f>_xlfn.XLOOKUP($A1336,Load!$B:$B,Load!C:C,0,)</f>
        <v>Mars Variety Pack</v>
      </c>
      <c r="C1336" t="str">
        <f>_xlfn.XLOOKUP($A1336,Load!$B:$B,Load!D:D,0,)</f>
        <v>Mix of Chocolate and Non-Chocolate Candy</v>
      </c>
      <c r="D1336" t="str">
        <f>_xlfn.XLOOKUP($A1336,Load!$B:$B,Load!E:E,0,)</f>
        <v>Variety / Mixed Flavors (Fruity, Sour, Seasonal Flavors)</v>
      </c>
      <c r="E1336" t="str">
        <f>_xlfn.XLOOKUP($A1336,Load!$B:$B,Load!F:F,0,)</f>
        <v>Mixed / Combo Packs (Gummy, Chewy, Taffy, etc.)</v>
      </c>
      <c r="F1336" t="str">
        <f>_xlfn.XLOOKUP($A1336,Load!$B:$B,Load!G:G,0,)</f>
        <v>Large Multipack (More than 80 ct)</v>
      </c>
      <c r="G1336" t="str">
        <f>_xlfn.XLOOKUP($A1336,Load!$B:$B,Load!H:H,0,)</f>
        <v>Stand-Up Bag</v>
      </c>
      <c r="H1336" t="str">
        <f>_xlfn.XLOOKUP($A1336,Load!$B:$B,Load!I:I,0,)</f>
        <v>Everyday Candy Shapes (like Original, Gummy bear, Fruit, Jewels, etc.)</v>
      </c>
      <c r="I1336" t="str">
        <f>_xlfn.XLOOKUP($A1336,Load!$B:$B,Load!J:J,0,)</f>
        <v>Seasonal Graphics (Like Bat, Ghost, Pumpkin, Fall Leaves, Eyeballs, etc.)</v>
      </c>
      <c r="J1336" t="str">
        <f>_xlfn.XLOOKUP($A1336,Load!$B:$B,Load!K:K,0,)</f>
        <v>Fun Size / Treat Size</v>
      </c>
      <c r="K1336" t="str">
        <f>_xlfn.XLOOKUP($A1336,Load!$B:$B,Load!L:L,0,)</f>
        <v>Regular/Original Wrapping</v>
      </c>
      <c r="L1336" t="str">
        <f>_xlfn.XLOOKUP($A1336,Load!$B:$B,Load!M:M,0,)</f>
        <v>Multiple Brands / Variety Flavors or Form</v>
      </c>
    </row>
    <row r="1337" spans="1:12" x14ac:dyDescent="0.25">
      <c r="A1337" t="s">
        <v>185</v>
      </c>
      <c r="B1337" t="str">
        <f>_xlfn.XLOOKUP($A1337,Load!$B:$B,Load!C:C,0,)</f>
        <v>Mars Variety Pack</v>
      </c>
      <c r="C1337" t="str">
        <f>_xlfn.XLOOKUP($A1337,Load!$B:$B,Load!D:D,0,)</f>
        <v>Mix of Chocolate and Non-Chocolate Candy</v>
      </c>
      <c r="D1337" t="str">
        <f>_xlfn.XLOOKUP($A1337,Load!$B:$B,Load!E:E,0,)</f>
        <v>Variety / Mixed Flavors (Fruity, Sour, Seasonal Flavors)</v>
      </c>
      <c r="E1337" t="str">
        <f>_xlfn.XLOOKUP($A1337,Load!$B:$B,Load!F:F,0,)</f>
        <v>Mixed / Combo Packs (Gummy, Chewy, Taffy, etc.)</v>
      </c>
      <c r="F1337" t="str">
        <f>_xlfn.XLOOKUP($A1337,Load!$B:$B,Load!G:G,0,)</f>
        <v>Large Multipack (More than 80 ct)</v>
      </c>
      <c r="G1337" t="str">
        <f>_xlfn.XLOOKUP($A1337,Load!$B:$B,Load!H:H,0,)</f>
        <v>Stand-Up Bag</v>
      </c>
      <c r="H1337" t="str">
        <f>_xlfn.XLOOKUP($A1337,Load!$B:$B,Load!I:I,0,)</f>
        <v>Everyday Candy Shapes (like Original, Gummy bear, Fruit, Jewels, etc.)</v>
      </c>
      <c r="I1337" t="str">
        <f>_xlfn.XLOOKUP($A1337,Load!$B:$B,Load!J:J,0,)</f>
        <v>Seasonal Graphics (Like Bat, Ghost, Pumpkin, Fall Leaves, Eyeballs, etc.)</v>
      </c>
      <c r="J1337" t="str">
        <f>_xlfn.XLOOKUP($A1337,Load!$B:$B,Load!K:K,0,)</f>
        <v>Fun Size / Treat Size</v>
      </c>
      <c r="K1337" t="str">
        <f>_xlfn.XLOOKUP($A1337,Load!$B:$B,Load!L:L,0,)</f>
        <v>Regular/Original Wrapping</v>
      </c>
      <c r="L1337" t="str">
        <f>_xlfn.XLOOKUP($A1337,Load!$B:$B,Load!M:M,0,)</f>
        <v>Multiple Brands / Variety Flavors or Form</v>
      </c>
    </row>
    <row r="1338" spans="1:12" x14ac:dyDescent="0.25">
      <c r="A1338" t="s">
        <v>261</v>
      </c>
      <c r="B1338" t="str">
        <f>_xlfn.XLOOKUP($A1338,Load!$B:$B,Load!C:C,0,)</f>
        <v>Skittles</v>
      </c>
      <c r="C1338" t="str">
        <f>_xlfn.XLOOKUP($A1338,Load!$B:$B,Load!D:D,0,)</f>
        <v>Non-Chocolate Candy Only</v>
      </c>
      <c r="D1338" t="str">
        <f>_xlfn.XLOOKUP($A1338,Load!$B:$B,Load!E:E,0,)</f>
        <v>Fruit Flavor (Cherry, Grape, Apple, Citrus, Tropical Fruit)</v>
      </c>
      <c r="E1338" t="str">
        <f>_xlfn.XLOOKUP($A1338,Load!$B:$B,Load!F:F,0,)</f>
        <v>Candy Pieces / Bites</v>
      </c>
      <c r="F1338" t="str">
        <f>_xlfn.XLOOKUP($A1338,Load!$B:$B,Load!G:G,0,)</f>
        <v>Single Pack</v>
      </c>
      <c r="G1338" t="str">
        <f>_xlfn.XLOOKUP($A1338,Load!$B:$B,Load!H:H,0,)</f>
        <v>Laydown Bag</v>
      </c>
      <c r="H1338" t="str">
        <f>_xlfn.XLOOKUP($A1338,Load!$B:$B,Load!I:I,0,)</f>
        <v>Everyday Candy Shapes (like Original, Gummy bear, Fruit, Jewels, etc.)</v>
      </c>
      <c r="I1338" t="str">
        <f>_xlfn.XLOOKUP($A1338,Load!$B:$B,Load!J:J,0,)</f>
        <v>Everyday Graphics</v>
      </c>
      <c r="J1338" t="str">
        <f>_xlfn.XLOOKUP($A1338,Load!$B:$B,Load!K:K,0,)</f>
        <v>Small Pieces (Tiny bite size candies)</v>
      </c>
      <c r="K1338" t="str">
        <f>_xlfn.XLOOKUP($A1338,Load!$B:$B,Load!L:L,0,)</f>
        <v>Unwrapped</v>
      </c>
      <c r="L1338" t="str">
        <f>_xlfn.XLOOKUP($A1338,Load!$B:$B,Load!M:M,0,)</f>
        <v>Single Brand / Single Flavor or Form</v>
      </c>
    </row>
    <row r="1339" spans="1:12" x14ac:dyDescent="0.25">
      <c r="B1339">
        <f>_xlfn.XLOOKUP($A1339,Load!$B:$B,Load!C:C,0,)</f>
        <v>0</v>
      </c>
      <c r="C1339">
        <f>_xlfn.XLOOKUP($A1339,Load!$B:$B,Load!D:D,0,)</f>
        <v>0</v>
      </c>
      <c r="D1339">
        <f>_xlfn.XLOOKUP($A1339,Load!$B:$B,Load!E:E,0,)</f>
        <v>0</v>
      </c>
      <c r="E1339">
        <f>_xlfn.XLOOKUP($A1339,Load!$B:$B,Load!F:F,0,)</f>
        <v>0</v>
      </c>
      <c r="F1339">
        <f>_xlfn.XLOOKUP($A1339,Load!$B:$B,Load!G:G,0,)</f>
        <v>0</v>
      </c>
      <c r="G1339">
        <f>_xlfn.XLOOKUP($A1339,Load!$B:$B,Load!H:H,0,)</f>
        <v>0</v>
      </c>
      <c r="H1339">
        <f>_xlfn.XLOOKUP($A1339,Load!$B:$B,Load!I:I,0,)</f>
        <v>0</v>
      </c>
      <c r="I1339">
        <f>_xlfn.XLOOKUP($A1339,Load!$B:$B,Load!J:J,0,)</f>
        <v>0</v>
      </c>
      <c r="J1339">
        <f>_xlfn.XLOOKUP($A1339,Load!$B:$B,Load!K:K,0,)</f>
        <v>0</v>
      </c>
      <c r="K1339">
        <f>_xlfn.XLOOKUP($A1339,Load!$B:$B,Load!L:L,0,)</f>
        <v>0</v>
      </c>
      <c r="L1339">
        <f>_xlfn.XLOOKUP($A1339,Load!$B:$B,Load!M:M,0,)</f>
        <v>0</v>
      </c>
    </row>
    <row r="1340" spans="1:12" x14ac:dyDescent="0.25">
      <c r="B1340">
        <f>_xlfn.XLOOKUP($A1340,Load!$B:$B,Load!C:C,0,)</f>
        <v>0</v>
      </c>
      <c r="C1340">
        <f>_xlfn.XLOOKUP($A1340,Load!$B:$B,Load!D:D,0,)</f>
        <v>0</v>
      </c>
      <c r="D1340">
        <f>_xlfn.XLOOKUP($A1340,Load!$B:$B,Load!E:E,0,)</f>
        <v>0</v>
      </c>
      <c r="E1340">
        <f>_xlfn.XLOOKUP($A1340,Load!$B:$B,Load!F:F,0,)</f>
        <v>0</v>
      </c>
      <c r="F1340">
        <f>_xlfn.XLOOKUP($A1340,Load!$B:$B,Load!G:G,0,)</f>
        <v>0</v>
      </c>
      <c r="G1340">
        <f>_xlfn.XLOOKUP($A1340,Load!$B:$B,Load!H:H,0,)</f>
        <v>0</v>
      </c>
      <c r="H1340">
        <f>_xlfn.XLOOKUP($A1340,Load!$B:$B,Load!I:I,0,)</f>
        <v>0</v>
      </c>
      <c r="I1340">
        <f>_xlfn.XLOOKUP($A1340,Load!$B:$B,Load!J:J,0,)</f>
        <v>0</v>
      </c>
      <c r="J1340">
        <f>_xlfn.XLOOKUP($A1340,Load!$B:$B,Load!K:K,0,)</f>
        <v>0</v>
      </c>
      <c r="K1340">
        <f>_xlfn.XLOOKUP($A1340,Load!$B:$B,Load!L:L,0,)</f>
        <v>0</v>
      </c>
      <c r="L1340">
        <f>_xlfn.XLOOKUP($A1340,Load!$B:$B,Load!M:M,0,)</f>
        <v>0</v>
      </c>
    </row>
    <row r="1341" spans="1:12" x14ac:dyDescent="0.25">
      <c r="B1341">
        <f>_xlfn.XLOOKUP($A1341,Load!$B:$B,Load!C:C,0,)</f>
        <v>0</v>
      </c>
      <c r="C1341">
        <f>_xlfn.XLOOKUP($A1341,Load!$B:$B,Load!D:D,0,)</f>
        <v>0</v>
      </c>
      <c r="D1341">
        <f>_xlfn.XLOOKUP($A1341,Load!$B:$B,Load!E:E,0,)</f>
        <v>0</v>
      </c>
      <c r="E1341">
        <f>_xlfn.XLOOKUP($A1341,Load!$B:$B,Load!F:F,0,)</f>
        <v>0</v>
      </c>
      <c r="F1341">
        <f>_xlfn.XLOOKUP($A1341,Load!$B:$B,Load!G:G,0,)</f>
        <v>0</v>
      </c>
      <c r="G1341">
        <f>_xlfn.XLOOKUP($A1341,Load!$B:$B,Load!H:H,0,)</f>
        <v>0</v>
      </c>
      <c r="H1341">
        <f>_xlfn.XLOOKUP($A1341,Load!$B:$B,Load!I:I,0,)</f>
        <v>0</v>
      </c>
      <c r="I1341">
        <f>_xlfn.XLOOKUP($A1341,Load!$B:$B,Load!J:J,0,)</f>
        <v>0</v>
      </c>
      <c r="J1341">
        <f>_xlfn.XLOOKUP($A1341,Load!$B:$B,Load!K:K,0,)</f>
        <v>0</v>
      </c>
      <c r="K1341">
        <f>_xlfn.XLOOKUP($A1341,Load!$B:$B,Load!L:L,0,)</f>
        <v>0</v>
      </c>
      <c r="L1341">
        <f>_xlfn.XLOOKUP($A1341,Load!$B:$B,Load!M:M,0,)</f>
        <v>0</v>
      </c>
    </row>
    <row r="1342" spans="1:12" x14ac:dyDescent="0.25">
      <c r="B1342">
        <f>_xlfn.XLOOKUP($A1342,Load!$B:$B,Load!C:C,0,)</f>
        <v>0</v>
      </c>
      <c r="C1342">
        <f>_xlfn.XLOOKUP($A1342,Load!$B:$B,Load!D:D,0,)</f>
        <v>0</v>
      </c>
      <c r="D1342">
        <f>_xlfn.XLOOKUP($A1342,Load!$B:$B,Load!E:E,0,)</f>
        <v>0</v>
      </c>
      <c r="E1342">
        <f>_xlfn.XLOOKUP($A1342,Load!$B:$B,Load!F:F,0,)</f>
        <v>0</v>
      </c>
      <c r="F1342">
        <f>_xlfn.XLOOKUP($A1342,Load!$B:$B,Load!G:G,0,)</f>
        <v>0</v>
      </c>
      <c r="G1342">
        <f>_xlfn.XLOOKUP($A1342,Load!$B:$B,Load!H:H,0,)</f>
        <v>0</v>
      </c>
      <c r="H1342">
        <f>_xlfn.XLOOKUP($A1342,Load!$B:$B,Load!I:I,0,)</f>
        <v>0</v>
      </c>
      <c r="I1342">
        <f>_xlfn.XLOOKUP($A1342,Load!$B:$B,Load!J:J,0,)</f>
        <v>0</v>
      </c>
      <c r="J1342">
        <f>_xlfn.XLOOKUP($A1342,Load!$B:$B,Load!K:K,0,)</f>
        <v>0</v>
      </c>
      <c r="K1342">
        <f>_xlfn.XLOOKUP($A1342,Load!$B:$B,Load!L:L,0,)</f>
        <v>0</v>
      </c>
      <c r="L1342">
        <f>_xlfn.XLOOKUP($A1342,Load!$B:$B,Load!M:M,0,)</f>
        <v>0</v>
      </c>
    </row>
    <row r="1343" spans="1:12" x14ac:dyDescent="0.25">
      <c r="B1343">
        <f>_xlfn.XLOOKUP($A1343,Load!$B:$B,Load!C:C,0,)</f>
        <v>0</v>
      </c>
      <c r="C1343">
        <f>_xlfn.XLOOKUP($A1343,Load!$B:$B,Load!D:D,0,)</f>
        <v>0</v>
      </c>
      <c r="D1343">
        <f>_xlfn.XLOOKUP($A1343,Load!$B:$B,Load!E:E,0,)</f>
        <v>0</v>
      </c>
      <c r="E1343">
        <f>_xlfn.XLOOKUP($A1343,Load!$B:$B,Load!F:F,0,)</f>
        <v>0</v>
      </c>
      <c r="F1343">
        <f>_xlfn.XLOOKUP($A1343,Load!$B:$B,Load!G:G,0,)</f>
        <v>0</v>
      </c>
      <c r="G1343">
        <f>_xlfn.XLOOKUP($A1343,Load!$B:$B,Load!H:H,0,)</f>
        <v>0</v>
      </c>
      <c r="H1343">
        <f>_xlfn.XLOOKUP($A1343,Load!$B:$B,Load!I:I,0,)</f>
        <v>0</v>
      </c>
      <c r="I1343">
        <f>_xlfn.XLOOKUP($A1343,Load!$B:$B,Load!J:J,0,)</f>
        <v>0</v>
      </c>
      <c r="J1343">
        <f>_xlfn.XLOOKUP($A1343,Load!$B:$B,Load!K:K,0,)</f>
        <v>0</v>
      </c>
      <c r="K1343">
        <f>_xlfn.XLOOKUP($A1343,Load!$B:$B,Load!L:L,0,)</f>
        <v>0</v>
      </c>
      <c r="L1343">
        <f>_xlfn.XLOOKUP($A1343,Load!$B:$B,Load!M:M,0,)</f>
        <v>0</v>
      </c>
    </row>
    <row r="1344" spans="1:12" x14ac:dyDescent="0.25">
      <c r="A1344" t="s">
        <v>148</v>
      </c>
      <c r="B1344" t="str">
        <f>_xlfn.XLOOKUP($A1344,Load!$B:$B,Load!C:C,0,)</f>
        <v>Jelly Belly</v>
      </c>
      <c r="C1344" t="str">
        <f>_xlfn.XLOOKUP($A1344,Load!$B:$B,Load!D:D,0,)</f>
        <v>Non-Chocolate Candy Only</v>
      </c>
      <c r="D1344" t="str">
        <f>_xlfn.XLOOKUP($A1344,Load!$B:$B,Load!E:E,0,)</f>
        <v>Variety / Mixed Flavors (Fruity, Sour, Seasonal Flavors)</v>
      </c>
      <c r="E1344" t="str">
        <f>_xlfn.XLOOKUP($A1344,Load!$B:$B,Load!F:F,0,)</f>
        <v>Candy Pieces / Bites</v>
      </c>
      <c r="F1344" t="str">
        <f>_xlfn.XLOOKUP($A1344,Load!$B:$B,Load!G:G,0,)</f>
        <v>Single Pack</v>
      </c>
      <c r="G1344" t="str">
        <f>_xlfn.XLOOKUP($A1344,Load!$B:$B,Load!H:H,0,)</f>
        <v>Stand-Up Bag</v>
      </c>
      <c r="H1344" t="str">
        <f>_xlfn.XLOOKUP($A1344,Load!$B:$B,Load!I:I,0,)</f>
        <v>Everyday Candy Shapes (like Original, Gummy bear, Fruit, Jewels, etc.)</v>
      </c>
      <c r="I1344" t="str">
        <f>_xlfn.XLOOKUP($A1344,Load!$B:$B,Load!J:J,0,)</f>
        <v>Seasonal Graphics (Like Bat, Ghost, Pumpkin, Fall Leaves, Eyeballs, etc.)</v>
      </c>
      <c r="J1344" t="str">
        <f>_xlfn.XLOOKUP($A1344,Load!$B:$B,Load!K:K,0,)</f>
        <v>Small Pieces (Tiny bite size candies)</v>
      </c>
      <c r="K1344" t="str">
        <f>_xlfn.XLOOKUP($A1344,Load!$B:$B,Load!L:L,0,)</f>
        <v>Unwrapped</v>
      </c>
      <c r="L1344" t="str">
        <f>_xlfn.XLOOKUP($A1344,Load!$B:$B,Load!M:M,0,)</f>
        <v>Single Brand / Variety Flavors or Form</v>
      </c>
    </row>
    <row r="1345" spans="1:12" x14ac:dyDescent="0.25">
      <c r="A1345" t="s">
        <v>473</v>
      </c>
      <c r="B1345" t="str">
        <f>_xlfn.XLOOKUP($A1345,Load!$B:$B,Load!C:C,0,)</f>
        <v>Jelly Belly</v>
      </c>
      <c r="C1345" t="str">
        <f>_xlfn.XLOOKUP($A1345,Load!$B:$B,Load!D:D,0,)</f>
        <v>Non-Chocolate Candy Only</v>
      </c>
      <c r="D1345" t="str">
        <f>_xlfn.XLOOKUP($A1345,Load!$B:$B,Load!E:E,0,)</f>
        <v>Variety / Mixed Flavors (Fruity, Sour, Seasonal Flavors)</v>
      </c>
      <c r="E1345" t="str">
        <f>_xlfn.XLOOKUP($A1345,Load!$B:$B,Load!F:F,0,)</f>
        <v>Candy Pieces / Bites</v>
      </c>
      <c r="F1345" t="str">
        <f>_xlfn.XLOOKUP($A1345,Load!$B:$B,Load!G:G,0,)</f>
        <v>Small Multipack (Less than 40 ct)</v>
      </c>
      <c r="G1345" t="str">
        <f>_xlfn.XLOOKUP($A1345,Load!$B:$B,Load!H:H,0,)</f>
        <v>Laydown Bag</v>
      </c>
      <c r="H1345" t="str">
        <f>_xlfn.XLOOKUP($A1345,Load!$B:$B,Load!I:I,0,)</f>
        <v>Everyday Candy Shapes (like Original, Gummy bear, Fruit, Jewels, etc.)</v>
      </c>
      <c r="I1345" t="str">
        <f>_xlfn.XLOOKUP($A1345,Load!$B:$B,Load!J:J,0,)</f>
        <v>Seasonal Graphics (Like Bat, Ghost, Pumpkin, Fall Leaves, Eyeballs, etc.)</v>
      </c>
      <c r="J1345" t="str">
        <f>_xlfn.XLOOKUP($A1345,Load!$B:$B,Load!K:K,0,)</f>
        <v>Small Pieces (Tiny bite size candies)</v>
      </c>
      <c r="K1345" t="str">
        <f>_xlfn.XLOOKUP($A1345,Load!$B:$B,Load!L:L,0,)</f>
        <v>Unwrapped</v>
      </c>
      <c r="L1345" t="str">
        <f>_xlfn.XLOOKUP($A1345,Load!$B:$B,Load!M:M,0,)</f>
        <v>Single Brand / Variety Flavors or Form</v>
      </c>
    </row>
    <row r="1346" spans="1:12" x14ac:dyDescent="0.25">
      <c r="A1346" t="s">
        <v>224</v>
      </c>
      <c r="B1346" t="str">
        <f>_xlfn.XLOOKUP($A1346,Load!$B:$B,Load!C:C,0,)</f>
        <v>Nerds</v>
      </c>
      <c r="C1346" t="str">
        <f>_xlfn.XLOOKUP($A1346,Load!$B:$B,Load!D:D,0,)</f>
        <v>Non-Chocolate Candy Only</v>
      </c>
      <c r="D1346" t="str">
        <f>_xlfn.XLOOKUP($A1346,Load!$B:$B,Load!E:E,0,)</f>
        <v>Sweet</v>
      </c>
      <c r="E1346" t="str">
        <f>_xlfn.XLOOKUP($A1346,Load!$B:$B,Load!F:F,0,)</f>
        <v>Mixed / Combo Packs (Gummy, Chewy, Taffy, etc.)</v>
      </c>
      <c r="F1346" t="str">
        <f>_xlfn.XLOOKUP($A1346,Load!$B:$B,Load!G:G,0,)</f>
        <v>Medium Multipack (40–80 ct)</v>
      </c>
      <c r="G1346" t="str">
        <f>_xlfn.XLOOKUP($A1346,Load!$B:$B,Load!H:H,0,)</f>
        <v>Stand-Up Bag</v>
      </c>
      <c r="H1346" t="str">
        <f>_xlfn.XLOOKUP($A1346,Load!$B:$B,Load!I:I,0,)</f>
        <v>Everyday Candy Shapes (like Original, Gummy bear, Fruit, Jewels, etc.)</v>
      </c>
      <c r="I1346" t="str">
        <f>_xlfn.XLOOKUP($A1346,Load!$B:$B,Load!J:J,0,)</f>
        <v>Seasonal Graphics (Like Bat, Ghost, Pumpkin, Fall Leaves, Eyeballs, etc.)</v>
      </c>
      <c r="J1346" t="str">
        <f>_xlfn.XLOOKUP($A1346,Load!$B:$B,Load!K:K,0,)</f>
        <v xml:space="preserve">Variety Candy Sizes </v>
      </c>
      <c r="K1346" t="str">
        <f>_xlfn.XLOOKUP($A1346,Load!$B:$B,Load!L:L,0,)</f>
        <v>Regular/Original Wrapping</v>
      </c>
      <c r="L1346" t="str">
        <f>_xlfn.XLOOKUP($A1346,Load!$B:$B,Load!M:M,0,)</f>
        <v>Single Brand / Variety Flavors or Form</v>
      </c>
    </row>
    <row r="1347" spans="1:12" x14ac:dyDescent="0.25">
      <c r="A1347" t="s">
        <v>465</v>
      </c>
      <c r="B1347" t="str">
        <f>_xlfn.XLOOKUP($A1347,Load!$B:$B,Load!C:C,0,)</f>
        <v>Werther's Original</v>
      </c>
      <c r="C1347" t="str">
        <f>_xlfn.XLOOKUP($A1347,Load!$B:$B,Load!D:D,0,)</f>
        <v>Non-Chocolate Candy Only</v>
      </c>
      <c r="D1347" t="str">
        <f>_xlfn.XLOOKUP($A1347,Load!$B:$B,Load!E:E,0,)</f>
        <v>Sweet</v>
      </c>
      <c r="E1347" t="str">
        <f>_xlfn.XLOOKUP($A1347,Load!$B:$B,Load!F:F,0,)</f>
        <v>Chewy</v>
      </c>
      <c r="F1347" t="str">
        <f>_xlfn.XLOOKUP($A1347,Load!$B:$B,Load!G:G,0,)</f>
        <v>Single Pack</v>
      </c>
      <c r="G1347" t="str">
        <f>_xlfn.XLOOKUP($A1347,Load!$B:$B,Load!H:H,0,)</f>
        <v>Laydown Bag</v>
      </c>
      <c r="H1347" t="str">
        <f>_xlfn.XLOOKUP($A1347,Load!$B:$B,Load!I:I,0,)</f>
        <v>Everyday Candy Shapes (like Original, Gummy bear, Fruit, Jewels, etc.)</v>
      </c>
      <c r="I1347" t="str">
        <f>_xlfn.XLOOKUP($A1347,Load!$B:$B,Load!J:J,0,)</f>
        <v>Everyday Graphics</v>
      </c>
      <c r="J1347" t="str">
        <f>_xlfn.XLOOKUP($A1347,Load!$B:$B,Load!K:K,0,)</f>
        <v>Fun Size / Treat Size</v>
      </c>
      <c r="K1347" t="str">
        <f>_xlfn.XLOOKUP($A1347,Load!$B:$B,Load!L:L,0,)</f>
        <v>Regular/Original Wrapping</v>
      </c>
      <c r="L1347" t="str">
        <f>_xlfn.XLOOKUP($A1347,Load!$B:$B,Load!M:M,0,)</f>
        <v>Single Brand / Single Flavor or Form</v>
      </c>
    </row>
    <row r="1348" spans="1:12" x14ac:dyDescent="0.25">
      <c r="A1348" t="s">
        <v>302</v>
      </c>
      <c r="B1348" t="str">
        <f>_xlfn.XLOOKUP($A1348,Load!$B:$B,Load!C:C,0,)</f>
        <v>Twizzlers</v>
      </c>
      <c r="C1348" t="str">
        <f>_xlfn.XLOOKUP($A1348,Load!$B:$B,Load!D:D,0,)</f>
        <v>Non-Chocolate Candy Only</v>
      </c>
      <c r="D1348" t="str">
        <f>_xlfn.XLOOKUP($A1348,Load!$B:$B,Load!E:E,0,)</f>
        <v>Berry Based (Raspberry, Strawberry, Medley, etc.)</v>
      </c>
      <c r="E1348" t="str">
        <f>_xlfn.XLOOKUP($A1348,Load!$B:$B,Load!F:F,0,)</f>
        <v>Chewy</v>
      </c>
      <c r="F1348" t="str">
        <f>_xlfn.XLOOKUP($A1348,Load!$B:$B,Load!G:G,0,)</f>
        <v>Single Pack</v>
      </c>
      <c r="G1348" t="str">
        <f>_xlfn.XLOOKUP($A1348,Load!$B:$B,Load!H:H,0,)</f>
        <v>Laydown Bag</v>
      </c>
      <c r="H1348" t="str">
        <f>_xlfn.XLOOKUP($A1348,Load!$B:$B,Load!I:I,0,)</f>
        <v>Everyday Candy Shapes (like Original, Gummy bear, Fruit, Jewels, etc.)</v>
      </c>
      <c r="I1348" t="str">
        <f>_xlfn.XLOOKUP($A1348,Load!$B:$B,Load!J:J,0,)</f>
        <v>Seasonal Graphics (Like Bat, Ghost, Pumpkin, Fall Leaves, Eyeballs, etc.)</v>
      </c>
      <c r="J1348" t="str">
        <f>_xlfn.XLOOKUP($A1348,Load!$B:$B,Load!K:K,0,)</f>
        <v>Small Pieces (Tiny bite size candies)</v>
      </c>
      <c r="K1348" t="str">
        <f>_xlfn.XLOOKUP($A1348,Load!$B:$B,Load!L:L,0,)</f>
        <v>unwrapped</v>
      </c>
      <c r="L1348" t="str">
        <f>_xlfn.XLOOKUP($A1348,Load!$B:$B,Load!M:M,0,)</f>
        <v>Single Brand / Single Flavor or Form</v>
      </c>
    </row>
    <row r="1349" spans="1:12" x14ac:dyDescent="0.25">
      <c r="A1349" t="s">
        <v>68</v>
      </c>
      <c r="B1349" t="str">
        <f>_xlfn.XLOOKUP($A1349,Load!$B:$B,Load!C:C,0,)</f>
        <v>Dum Dums</v>
      </c>
      <c r="C1349" t="str">
        <f>_xlfn.XLOOKUP($A1349,Load!$B:$B,Load!D:D,0,)</f>
        <v>Non-Chocolate Candy Only</v>
      </c>
      <c r="D1349" t="str">
        <f>_xlfn.XLOOKUP($A1349,Load!$B:$B,Load!E:E,0,)</f>
        <v>Fruit Flavor (Cherry, Grape, Apple, Citrus, Tropical Fruit)</v>
      </c>
      <c r="E1349" t="str">
        <f>_xlfn.XLOOKUP($A1349,Load!$B:$B,Load!F:F,0,)</f>
        <v>Lollipop (regular or lollipop rings)</v>
      </c>
      <c r="F1349" t="str">
        <f>_xlfn.XLOOKUP($A1349,Load!$B:$B,Load!G:G,0,)</f>
        <v>Single Pack</v>
      </c>
      <c r="G1349" t="str">
        <f>_xlfn.XLOOKUP($A1349,Load!$B:$B,Load!H:H,0,)</f>
        <v>Laydown Bag</v>
      </c>
      <c r="H1349" t="str">
        <f>_xlfn.XLOOKUP($A1349,Load!$B:$B,Load!I:I,0,)</f>
        <v>Everyday Candy Shapes (like Original, Gummy bear, Fruit, Jewels, etc.)</v>
      </c>
      <c r="I1349" t="str">
        <f>_xlfn.XLOOKUP($A1349,Load!$B:$B,Load!J:J,0,)</f>
        <v>Seasonal Graphics (Like Bat, Ghost, Pumpkin, Fall Leaves, Eyeballs, etc.)</v>
      </c>
      <c r="J1349" t="str">
        <f>_xlfn.XLOOKUP($A1349,Load!$B:$B,Load!K:K,0,)</f>
        <v>Regular Lollipop size (on sticks or rings)</v>
      </c>
      <c r="K1349" t="str">
        <f>_xlfn.XLOOKUP($A1349,Load!$B:$B,Load!L:L,0,)</f>
        <v>Regular/Original Wrapping</v>
      </c>
      <c r="L1349" t="str">
        <f>_xlfn.XLOOKUP($A1349,Load!$B:$B,Load!M:M,0,)</f>
        <v>Single Brand / Variety Flavors or Form</v>
      </c>
    </row>
    <row r="1350" spans="1:12" x14ac:dyDescent="0.25">
      <c r="B1350">
        <f>_xlfn.XLOOKUP($A1350,Load!$B:$B,Load!C:C,0,)</f>
        <v>0</v>
      </c>
      <c r="C1350">
        <f>_xlfn.XLOOKUP($A1350,Load!$B:$B,Load!D:D,0,)</f>
        <v>0</v>
      </c>
      <c r="D1350">
        <f>_xlfn.XLOOKUP($A1350,Load!$B:$B,Load!E:E,0,)</f>
        <v>0</v>
      </c>
      <c r="E1350">
        <f>_xlfn.XLOOKUP($A1350,Load!$B:$B,Load!F:F,0,)</f>
        <v>0</v>
      </c>
      <c r="F1350">
        <f>_xlfn.XLOOKUP($A1350,Load!$B:$B,Load!G:G,0,)</f>
        <v>0</v>
      </c>
      <c r="G1350">
        <f>_xlfn.XLOOKUP($A1350,Load!$B:$B,Load!H:H,0,)</f>
        <v>0</v>
      </c>
      <c r="H1350">
        <f>_xlfn.XLOOKUP($A1350,Load!$B:$B,Load!I:I,0,)</f>
        <v>0</v>
      </c>
      <c r="I1350">
        <f>_xlfn.XLOOKUP($A1350,Load!$B:$B,Load!J:J,0,)</f>
        <v>0</v>
      </c>
      <c r="J1350">
        <f>_xlfn.XLOOKUP($A1350,Load!$B:$B,Load!K:K,0,)</f>
        <v>0</v>
      </c>
      <c r="K1350">
        <f>_xlfn.XLOOKUP($A1350,Load!$B:$B,Load!L:L,0,)</f>
        <v>0</v>
      </c>
      <c r="L1350">
        <f>_xlfn.XLOOKUP($A1350,Load!$B:$B,Load!M:M,0,)</f>
        <v>0</v>
      </c>
    </row>
    <row r="1351" spans="1:12" x14ac:dyDescent="0.25">
      <c r="B1351">
        <f>_xlfn.XLOOKUP($A1351,Load!$B:$B,Load!C:C,0,)</f>
        <v>0</v>
      </c>
      <c r="C1351">
        <f>_xlfn.XLOOKUP($A1351,Load!$B:$B,Load!D:D,0,)</f>
        <v>0</v>
      </c>
      <c r="D1351">
        <f>_xlfn.XLOOKUP($A1351,Load!$B:$B,Load!E:E,0,)</f>
        <v>0</v>
      </c>
      <c r="E1351">
        <f>_xlfn.XLOOKUP($A1351,Load!$B:$B,Load!F:F,0,)</f>
        <v>0</v>
      </c>
      <c r="F1351">
        <f>_xlfn.XLOOKUP($A1351,Load!$B:$B,Load!G:G,0,)</f>
        <v>0</v>
      </c>
      <c r="G1351">
        <f>_xlfn.XLOOKUP($A1351,Load!$B:$B,Load!H:H,0,)</f>
        <v>0</v>
      </c>
      <c r="H1351">
        <f>_xlfn.XLOOKUP($A1351,Load!$B:$B,Load!I:I,0,)</f>
        <v>0</v>
      </c>
      <c r="I1351">
        <f>_xlfn.XLOOKUP($A1351,Load!$B:$B,Load!J:J,0,)</f>
        <v>0</v>
      </c>
      <c r="J1351">
        <f>_xlfn.XLOOKUP($A1351,Load!$B:$B,Load!K:K,0,)</f>
        <v>0</v>
      </c>
      <c r="K1351">
        <f>_xlfn.XLOOKUP($A1351,Load!$B:$B,Load!L:L,0,)</f>
        <v>0</v>
      </c>
      <c r="L1351">
        <f>_xlfn.XLOOKUP($A1351,Load!$B:$B,Load!M:M,0,)</f>
        <v>0</v>
      </c>
    </row>
    <row r="1352" spans="1:12" x14ac:dyDescent="0.25">
      <c r="B1352">
        <f>_xlfn.XLOOKUP($A1352,Load!$B:$B,Load!C:C,0,)</f>
        <v>0</v>
      </c>
      <c r="C1352">
        <f>_xlfn.XLOOKUP($A1352,Load!$B:$B,Load!D:D,0,)</f>
        <v>0</v>
      </c>
      <c r="D1352">
        <f>_xlfn.XLOOKUP($A1352,Load!$B:$B,Load!E:E,0,)</f>
        <v>0</v>
      </c>
      <c r="E1352">
        <f>_xlfn.XLOOKUP($A1352,Load!$B:$B,Load!F:F,0,)</f>
        <v>0</v>
      </c>
      <c r="F1352">
        <f>_xlfn.XLOOKUP($A1352,Load!$B:$B,Load!G:G,0,)</f>
        <v>0</v>
      </c>
      <c r="G1352">
        <f>_xlfn.XLOOKUP($A1352,Load!$B:$B,Load!H:H,0,)</f>
        <v>0</v>
      </c>
      <c r="H1352">
        <f>_xlfn.XLOOKUP($A1352,Load!$B:$B,Load!I:I,0,)</f>
        <v>0</v>
      </c>
      <c r="I1352">
        <f>_xlfn.XLOOKUP($A1352,Load!$B:$B,Load!J:J,0,)</f>
        <v>0</v>
      </c>
      <c r="J1352">
        <f>_xlfn.XLOOKUP($A1352,Load!$B:$B,Load!K:K,0,)</f>
        <v>0</v>
      </c>
      <c r="K1352">
        <f>_xlfn.XLOOKUP($A1352,Load!$B:$B,Load!L:L,0,)</f>
        <v>0</v>
      </c>
      <c r="L1352">
        <f>_xlfn.XLOOKUP($A1352,Load!$B:$B,Load!M:M,0,)</f>
        <v>0</v>
      </c>
    </row>
    <row r="1353" spans="1:12" x14ac:dyDescent="0.25">
      <c r="B1353">
        <f>_xlfn.XLOOKUP($A1353,Load!$B:$B,Load!C:C,0,)</f>
        <v>0</v>
      </c>
      <c r="C1353">
        <f>_xlfn.XLOOKUP($A1353,Load!$B:$B,Load!D:D,0,)</f>
        <v>0</v>
      </c>
      <c r="D1353">
        <f>_xlfn.XLOOKUP($A1353,Load!$B:$B,Load!E:E,0,)</f>
        <v>0</v>
      </c>
      <c r="E1353">
        <f>_xlfn.XLOOKUP($A1353,Load!$B:$B,Load!F:F,0,)</f>
        <v>0</v>
      </c>
      <c r="F1353">
        <f>_xlfn.XLOOKUP($A1353,Load!$B:$B,Load!G:G,0,)</f>
        <v>0</v>
      </c>
      <c r="G1353">
        <f>_xlfn.XLOOKUP($A1353,Load!$B:$B,Load!H:H,0,)</f>
        <v>0</v>
      </c>
      <c r="H1353">
        <f>_xlfn.XLOOKUP($A1353,Load!$B:$B,Load!I:I,0,)</f>
        <v>0</v>
      </c>
      <c r="I1353">
        <f>_xlfn.XLOOKUP($A1353,Load!$B:$B,Load!J:J,0,)</f>
        <v>0</v>
      </c>
      <c r="J1353">
        <f>_xlfn.XLOOKUP($A1353,Load!$B:$B,Load!K:K,0,)</f>
        <v>0</v>
      </c>
      <c r="K1353">
        <f>_xlfn.XLOOKUP($A1353,Load!$B:$B,Load!L:L,0,)</f>
        <v>0</v>
      </c>
      <c r="L1353">
        <f>_xlfn.XLOOKUP($A1353,Load!$B:$B,Load!M:M,0,)</f>
        <v>0</v>
      </c>
    </row>
    <row r="1354" spans="1:12" x14ac:dyDescent="0.25">
      <c r="B1354">
        <f>_xlfn.XLOOKUP($A1354,Load!$B:$B,Load!C:C,0,)</f>
        <v>0</v>
      </c>
      <c r="C1354">
        <f>_xlfn.XLOOKUP($A1354,Load!$B:$B,Load!D:D,0,)</f>
        <v>0</v>
      </c>
      <c r="D1354">
        <f>_xlfn.XLOOKUP($A1354,Load!$B:$B,Load!E:E,0,)</f>
        <v>0</v>
      </c>
      <c r="E1354">
        <f>_xlfn.XLOOKUP($A1354,Load!$B:$B,Load!F:F,0,)</f>
        <v>0</v>
      </c>
      <c r="F1354">
        <f>_xlfn.XLOOKUP($A1354,Load!$B:$B,Load!G:G,0,)</f>
        <v>0</v>
      </c>
      <c r="G1354">
        <f>_xlfn.XLOOKUP($A1354,Load!$B:$B,Load!H:H,0,)</f>
        <v>0</v>
      </c>
      <c r="H1354">
        <f>_xlfn.XLOOKUP($A1354,Load!$B:$B,Load!I:I,0,)</f>
        <v>0</v>
      </c>
      <c r="I1354">
        <f>_xlfn.XLOOKUP($A1354,Load!$B:$B,Load!J:J,0,)</f>
        <v>0</v>
      </c>
      <c r="J1354">
        <f>_xlfn.XLOOKUP($A1354,Load!$B:$B,Load!K:K,0,)</f>
        <v>0</v>
      </c>
      <c r="K1354">
        <f>_xlfn.XLOOKUP($A1354,Load!$B:$B,Load!L:L,0,)</f>
        <v>0</v>
      </c>
      <c r="L1354">
        <f>_xlfn.XLOOKUP($A1354,Load!$B:$B,Load!M:M,0,)</f>
        <v>0</v>
      </c>
    </row>
    <row r="1355" spans="1:12" x14ac:dyDescent="0.25">
      <c r="B1355">
        <f>_xlfn.XLOOKUP($A1355,Load!$B:$B,Load!C:C,0,)</f>
        <v>0</v>
      </c>
      <c r="C1355">
        <f>_xlfn.XLOOKUP($A1355,Load!$B:$B,Load!D:D,0,)</f>
        <v>0</v>
      </c>
      <c r="D1355">
        <f>_xlfn.XLOOKUP($A1355,Load!$B:$B,Load!E:E,0,)</f>
        <v>0</v>
      </c>
      <c r="E1355">
        <f>_xlfn.XLOOKUP($A1355,Load!$B:$B,Load!F:F,0,)</f>
        <v>0</v>
      </c>
      <c r="F1355">
        <f>_xlfn.XLOOKUP($A1355,Load!$B:$B,Load!G:G,0,)</f>
        <v>0</v>
      </c>
      <c r="G1355">
        <f>_xlfn.XLOOKUP($A1355,Load!$B:$B,Load!H:H,0,)</f>
        <v>0</v>
      </c>
      <c r="H1355">
        <f>_xlfn.XLOOKUP($A1355,Load!$B:$B,Load!I:I,0,)</f>
        <v>0</v>
      </c>
      <c r="I1355">
        <f>_xlfn.XLOOKUP($A1355,Load!$B:$B,Load!J:J,0,)</f>
        <v>0</v>
      </c>
      <c r="J1355">
        <f>_xlfn.XLOOKUP($A1355,Load!$B:$B,Load!K:K,0,)</f>
        <v>0</v>
      </c>
      <c r="K1355">
        <f>_xlfn.XLOOKUP($A1355,Load!$B:$B,Load!L:L,0,)</f>
        <v>0</v>
      </c>
      <c r="L1355">
        <f>_xlfn.XLOOKUP($A1355,Load!$B:$B,Load!M:M,0,)</f>
        <v>0</v>
      </c>
    </row>
    <row r="1356" spans="1:12" x14ac:dyDescent="0.25">
      <c r="B1356">
        <f>_xlfn.XLOOKUP($A1356,Load!$B:$B,Load!C:C,0,)</f>
        <v>0</v>
      </c>
      <c r="C1356">
        <f>_xlfn.XLOOKUP($A1356,Load!$B:$B,Load!D:D,0,)</f>
        <v>0</v>
      </c>
      <c r="D1356">
        <f>_xlfn.XLOOKUP($A1356,Load!$B:$B,Load!E:E,0,)</f>
        <v>0</v>
      </c>
      <c r="E1356">
        <f>_xlfn.XLOOKUP($A1356,Load!$B:$B,Load!F:F,0,)</f>
        <v>0</v>
      </c>
      <c r="F1356">
        <f>_xlfn.XLOOKUP($A1356,Load!$B:$B,Load!G:G,0,)</f>
        <v>0</v>
      </c>
      <c r="G1356">
        <f>_xlfn.XLOOKUP($A1356,Load!$B:$B,Load!H:H,0,)</f>
        <v>0</v>
      </c>
      <c r="H1356">
        <f>_xlfn.XLOOKUP($A1356,Load!$B:$B,Load!I:I,0,)</f>
        <v>0</v>
      </c>
      <c r="I1356">
        <f>_xlfn.XLOOKUP($A1356,Load!$B:$B,Load!J:J,0,)</f>
        <v>0</v>
      </c>
      <c r="J1356">
        <f>_xlfn.XLOOKUP($A1356,Load!$B:$B,Load!K:K,0,)</f>
        <v>0</v>
      </c>
      <c r="K1356">
        <f>_xlfn.XLOOKUP($A1356,Load!$B:$B,Load!L:L,0,)</f>
        <v>0</v>
      </c>
      <c r="L1356">
        <f>_xlfn.XLOOKUP($A1356,Load!$B:$B,Load!M:M,0,)</f>
        <v>0</v>
      </c>
    </row>
    <row r="1357" spans="1:12" x14ac:dyDescent="0.25">
      <c r="B1357">
        <f>_xlfn.XLOOKUP($A1357,Load!$B:$B,Load!C:C,0,)</f>
        <v>0</v>
      </c>
      <c r="C1357">
        <f>_xlfn.XLOOKUP($A1357,Load!$B:$B,Load!D:D,0,)</f>
        <v>0</v>
      </c>
      <c r="D1357">
        <f>_xlfn.XLOOKUP($A1357,Load!$B:$B,Load!E:E,0,)</f>
        <v>0</v>
      </c>
      <c r="E1357">
        <f>_xlfn.XLOOKUP($A1357,Load!$B:$B,Load!F:F,0,)</f>
        <v>0</v>
      </c>
      <c r="F1357">
        <f>_xlfn.XLOOKUP($A1357,Load!$B:$B,Load!G:G,0,)</f>
        <v>0</v>
      </c>
      <c r="G1357">
        <f>_xlfn.XLOOKUP($A1357,Load!$B:$B,Load!H:H,0,)</f>
        <v>0</v>
      </c>
      <c r="H1357">
        <f>_xlfn.XLOOKUP($A1357,Load!$B:$B,Load!I:I,0,)</f>
        <v>0</v>
      </c>
      <c r="I1357">
        <f>_xlfn.XLOOKUP($A1357,Load!$B:$B,Load!J:J,0,)</f>
        <v>0</v>
      </c>
      <c r="J1357">
        <f>_xlfn.XLOOKUP($A1357,Load!$B:$B,Load!K:K,0,)</f>
        <v>0</v>
      </c>
      <c r="K1357">
        <f>_xlfn.XLOOKUP($A1357,Load!$B:$B,Load!L:L,0,)</f>
        <v>0</v>
      </c>
      <c r="L1357">
        <f>_xlfn.XLOOKUP($A1357,Load!$B:$B,Load!M:M,0,)</f>
        <v>0</v>
      </c>
    </row>
    <row r="1358" spans="1:12" x14ac:dyDescent="0.25">
      <c r="A1358" t="s">
        <v>213</v>
      </c>
      <c r="B1358" t="str">
        <f>_xlfn.XLOOKUP($A1358,Load!$B:$B,Load!C:C,0,)</f>
        <v>Mars Variety Pack</v>
      </c>
      <c r="C1358" t="str">
        <f>_xlfn.XLOOKUP($A1358,Load!$B:$B,Load!D:D,0,)</f>
        <v>Mix of Chocolate and Non-Chocolate Candy</v>
      </c>
      <c r="D1358" t="str">
        <f>_xlfn.XLOOKUP($A1358,Load!$B:$B,Load!E:E,0,)</f>
        <v>Variety / Mixed Flavors (Fruity, Sour, Seasonal Flavors)</v>
      </c>
      <c r="E1358" t="str">
        <f>_xlfn.XLOOKUP($A1358,Load!$B:$B,Load!F:F,0,)</f>
        <v>Mixed / Combo Packs (Gummy, Chewy, Taffy, etc.)</v>
      </c>
      <c r="F1358" t="str">
        <f>_xlfn.XLOOKUP($A1358,Load!$B:$B,Load!G:G,0,)</f>
        <v>Medium Multipack (40–80 ct)</v>
      </c>
      <c r="G1358" t="str">
        <f>_xlfn.XLOOKUP($A1358,Load!$B:$B,Load!H:H,0,)</f>
        <v>Stand-Up Bag</v>
      </c>
      <c r="H1358" t="str">
        <f>_xlfn.XLOOKUP($A1358,Load!$B:$B,Load!I:I,0,)</f>
        <v>Everyday Candy Shapes (like Original, Gummy bear, Fruit, Jewels, etc.)</v>
      </c>
      <c r="I1358" t="str">
        <f>_xlfn.XLOOKUP($A1358,Load!$B:$B,Load!J:J,0,)</f>
        <v>Seasonal Graphics (Like Bat, Ghost, Pumpkin, Fall Leaves, Eyeballs, etc.)</v>
      </c>
      <c r="J1358" t="str">
        <f>_xlfn.XLOOKUP($A1358,Load!$B:$B,Load!K:K,0,)</f>
        <v>Fun Size / Treat Size</v>
      </c>
      <c r="K1358" t="str">
        <f>_xlfn.XLOOKUP($A1358,Load!$B:$B,Load!L:L,0,)</f>
        <v>Regular/Original Wrapping</v>
      </c>
      <c r="L1358" t="str">
        <f>_xlfn.XLOOKUP($A1358,Load!$B:$B,Load!M:M,0,)</f>
        <v>Multiple Brands / Variety Flavors or Form</v>
      </c>
    </row>
    <row r="1359" spans="1:12" x14ac:dyDescent="0.25">
      <c r="A1359" t="s">
        <v>326</v>
      </c>
      <c r="B1359" t="str">
        <f>_xlfn.XLOOKUP($A1359,Load!$B:$B,Load!C:C,0,)</f>
        <v>Mondelez Variety Pack</v>
      </c>
      <c r="C1359" t="str">
        <f>_xlfn.XLOOKUP($A1359,Load!$B:$B,Load!D:D,0,)</f>
        <v>Mix of Chocolate and Non-Chocolate Candy</v>
      </c>
      <c r="D1359" t="str">
        <f>_xlfn.XLOOKUP($A1359,Load!$B:$B,Load!E:E,0,)</f>
        <v>Variety / Mixed Flavors (Fruity, Sour, Seasonal Flavors)</v>
      </c>
      <c r="E1359" t="str">
        <f>_xlfn.XLOOKUP($A1359,Load!$B:$B,Load!F:F,0,)</f>
        <v>Mixed / Combo Packs (Gummy, Chewy, Taffy, etc.)</v>
      </c>
      <c r="F1359" t="str">
        <f>_xlfn.XLOOKUP($A1359,Load!$B:$B,Load!G:G,0,)</f>
        <v>Medium Multipack (40–80 ct)</v>
      </c>
      <c r="G1359" t="str">
        <f>_xlfn.XLOOKUP($A1359,Load!$B:$B,Load!H:H,0,)</f>
        <v>Stand-Up Bag</v>
      </c>
      <c r="H1359" t="str">
        <f>_xlfn.XLOOKUP($A1359,Load!$B:$B,Load!I:I,0,)</f>
        <v>Everyday Candy Shapes (like Original, Gummy bear, Fruit, Jewels, etc.)</v>
      </c>
      <c r="I1359" t="str">
        <f>_xlfn.XLOOKUP($A1359,Load!$B:$B,Load!J:J,0,)</f>
        <v>Seasonal Graphics (Like Bat, Ghost, Pumpkin, Fall Leaves, Eyeballs, etc.)</v>
      </c>
      <c r="J1359" t="str">
        <f>_xlfn.XLOOKUP($A1359,Load!$B:$B,Load!K:K,0,)</f>
        <v xml:space="preserve">Variety Candy Sizes </v>
      </c>
      <c r="K1359" t="str">
        <f>_xlfn.XLOOKUP($A1359,Load!$B:$B,Load!L:L,0,)</f>
        <v>Regular/Original Wrapping</v>
      </c>
      <c r="L1359" t="str">
        <f>_xlfn.XLOOKUP($A1359,Load!$B:$B,Load!M:M,0,)</f>
        <v>Multiple Brands / Variety Flavors or Form</v>
      </c>
    </row>
    <row r="1360" spans="1:12" x14ac:dyDescent="0.25">
      <c r="A1360" t="s">
        <v>285</v>
      </c>
      <c r="B1360" t="str">
        <f>_xlfn.XLOOKUP($A1360,Load!$B:$B,Load!C:C,0,)</f>
        <v>Starburst</v>
      </c>
      <c r="C1360" t="str">
        <f>_xlfn.XLOOKUP($A1360,Load!$B:$B,Load!D:D,0,)</f>
        <v>Non-Chocolate Candy Only</v>
      </c>
      <c r="D1360" t="str">
        <f>_xlfn.XLOOKUP($A1360,Load!$B:$B,Load!E:E,0,)</f>
        <v>Fruit Flavor (Cherry, Grape, Apple, Citrus, Tropical Fruit)</v>
      </c>
      <c r="E1360" t="str">
        <f>_xlfn.XLOOKUP($A1360,Load!$B:$B,Load!F:F,0,)</f>
        <v>Chewy</v>
      </c>
      <c r="F1360" t="str">
        <f>_xlfn.XLOOKUP($A1360,Load!$B:$B,Load!G:G,0,)</f>
        <v>Small Multipack (Less than 40 ct)</v>
      </c>
      <c r="G1360" t="str">
        <f>_xlfn.XLOOKUP($A1360,Load!$B:$B,Load!H:H,0,)</f>
        <v>Laydown Bag</v>
      </c>
      <c r="H1360" t="str">
        <f>_xlfn.XLOOKUP($A1360,Load!$B:$B,Load!I:I,0,)</f>
        <v>Everyday Candy Shapes (like Original, Gummy bear, Fruit, Jewels, etc.)</v>
      </c>
      <c r="I1360" t="str">
        <f>_xlfn.XLOOKUP($A1360,Load!$B:$B,Load!J:J,0,)</f>
        <v>Everyday Graphics</v>
      </c>
      <c r="J1360" t="str">
        <f>_xlfn.XLOOKUP($A1360,Load!$B:$B,Load!K:K,0,)</f>
        <v>Small Pieces (Tiny bite size candies)</v>
      </c>
      <c r="K1360" t="str">
        <f>_xlfn.XLOOKUP($A1360,Load!$B:$B,Load!L:L,0,)</f>
        <v>Regular/Original Wrapping</v>
      </c>
      <c r="L1360" t="str">
        <f>_xlfn.XLOOKUP($A1360,Load!$B:$B,Load!M:M,0,)</f>
        <v>Single Brand / Variety Flavors or Form</v>
      </c>
    </row>
    <row r="1361" spans="1:12" x14ac:dyDescent="0.25">
      <c r="A1361" t="s">
        <v>259</v>
      </c>
      <c r="B1361" t="str">
        <f>_xlfn.XLOOKUP($A1361,Load!$B:$B,Load!C:C,0,)</f>
        <v>Skittles</v>
      </c>
      <c r="C1361" t="str">
        <f>_xlfn.XLOOKUP($A1361,Load!$B:$B,Load!D:D,0,)</f>
        <v>Non-Chocolate Candy Only</v>
      </c>
      <c r="D1361" t="str">
        <f>_xlfn.XLOOKUP($A1361,Load!$B:$B,Load!E:E,0,)</f>
        <v>Sour</v>
      </c>
      <c r="E1361" t="str">
        <f>_xlfn.XLOOKUP($A1361,Load!$B:$B,Load!F:F,0,)</f>
        <v>Chewy</v>
      </c>
      <c r="F1361" t="str">
        <f>_xlfn.XLOOKUP($A1361,Load!$B:$B,Load!G:G,0,)</f>
        <v>Small Multipack (Less than 40 ct)</v>
      </c>
      <c r="G1361" t="str">
        <f>_xlfn.XLOOKUP($A1361,Load!$B:$B,Load!H:H,0,)</f>
        <v>Laydown Bag</v>
      </c>
      <c r="H1361" t="str">
        <f>_xlfn.XLOOKUP($A1361,Load!$B:$B,Load!I:I,0,)</f>
        <v>Everyday Candy Shapes (like Original, Gummy bear, Fruit, Jewels, etc.)</v>
      </c>
      <c r="I1361" t="str">
        <f>_xlfn.XLOOKUP($A1361,Load!$B:$B,Load!J:J,0,)</f>
        <v>Seasonal Graphics (Like Bat, Ghost, Pumpkin, Fall Leaves, Eyeballs, etc.)</v>
      </c>
      <c r="J1361" t="str">
        <f>_xlfn.XLOOKUP($A1361,Load!$B:$B,Load!K:K,0,)</f>
        <v>Small Pieces (Tiny bite size candies)</v>
      </c>
      <c r="K1361" t="str">
        <f>_xlfn.XLOOKUP($A1361,Load!$B:$B,Load!L:L,0,)</f>
        <v>Regular/Original Wrapping</v>
      </c>
      <c r="L1361" t="str">
        <f>_xlfn.XLOOKUP($A1361,Load!$B:$B,Load!M:M,0,)</f>
        <v>Single Brand / Variety Flavors or Form</v>
      </c>
    </row>
    <row r="1362" spans="1:12" x14ac:dyDescent="0.25">
      <c r="B1362">
        <f>_xlfn.XLOOKUP($A1362,Load!$B:$B,Load!C:C,0,)</f>
        <v>0</v>
      </c>
      <c r="C1362">
        <f>_xlfn.XLOOKUP($A1362,Load!$B:$B,Load!D:D,0,)</f>
        <v>0</v>
      </c>
      <c r="D1362">
        <f>_xlfn.XLOOKUP($A1362,Load!$B:$B,Load!E:E,0,)</f>
        <v>0</v>
      </c>
      <c r="E1362">
        <f>_xlfn.XLOOKUP($A1362,Load!$B:$B,Load!F:F,0,)</f>
        <v>0</v>
      </c>
      <c r="F1362">
        <f>_xlfn.XLOOKUP($A1362,Load!$B:$B,Load!G:G,0,)</f>
        <v>0</v>
      </c>
      <c r="G1362">
        <f>_xlfn.XLOOKUP($A1362,Load!$B:$B,Load!H:H,0,)</f>
        <v>0</v>
      </c>
      <c r="H1362">
        <f>_xlfn.XLOOKUP($A1362,Load!$B:$B,Load!I:I,0,)</f>
        <v>0</v>
      </c>
      <c r="I1362">
        <f>_xlfn.XLOOKUP($A1362,Load!$B:$B,Load!J:J,0,)</f>
        <v>0</v>
      </c>
      <c r="J1362">
        <f>_xlfn.XLOOKUP($A1362,Load!$B:$B,Load!K:K,0,)</f>
        <v>0</v>
      </c>
      <c r="K1362">
        <f>_xlfn.XLOOKUP($A1362,Load!$B:$B,Load!L:L,0,)</f>
        <v>0</v>
      </c>
      <c r="L1362">
        <f>_xlfn.XLOOKUP($A1362,Load!$B:$B,Load!M:M,0,)</f>
        <v>0</v>
      </c>
    </row>
    <row r="1363" spans="1:12" x14ac:dyDescent="0.25">
      <c r="B1363">
        <f>_xlfn.XLOOKUP($A1363,Load!$B:$B,Load!C:C,0,)</f>
        <v>0</v>
      </c>
      <c r="C1363">
        <f>_xlfn.XLOOKUP($A1363,Load!$B:$B,Load!D:D,0,)</f>
        <v>0</v>
      </c>
      <c r="D1363">
        <f>_xlfn.XLOOKUP($A1363,Load!$B:$B,Load!E:E,0,)</f>
        <v>0</v>
      </c>
      <c r="E1363">
        <f>_xlfn.XLOOKUP($A1363,Load!$B:$B,Load!F:F,0,)</f>
        <v>0</v>
      </c>
      <c r="F1363">
        <f>_xlfn.XLOOKUP($A1363,Load!$B:$B,Load!G:G,0,)</f>
        <v>0</v>
      </c>
      <c r="G1363">
        <f>_xlfn.XLOOKUP($A1363,Load!$B:$B,Load!H:H,0,)</f>
        <v>0</v>
      </c>
      <c r="H1363">
        <f>_xlfn.XLOOKUP($A1363,Load!$B:$B,Load!I:I,0,)</f>
        <v>0</v>
      </c>
      <c r="I1363">
        <f>_xlfn.XLOOKUP($A1363,Load!$B:$B,Load!J:J,0,)</f>
        <v>0</v>
      </c>
      <c r="J1363">
        <f>_xlfn.XLOOKUP($A1363,Load!$B:$B,Load!K:K,0,)</f>
        <v>0</v>
      </c>
      <c r="K1363">
        <f>_xlfn.XLOOKUP($A1363,Load!$B:$B,Load!L:L,0,)</f>
        <v>0</v>
      </c>
      <c r="L1363">
        <f>_xlfn.XLOOKUP($A1363,Load!$B:$B,Load!M:M,0,)</f>
        <v>0</v>
      </c>
    </row>
    <row r="1364" spans="1:12" x14ac:dyDescent="0.25">
      <c r="A1364" t="s">
        <v>178</v>
      </c>
      <c r="B1364" t="str">
        <f>_xlfn.XLOOKUP($A1364,Load!$B:$B,Load!C:C,0,)</f>
        <v>Mars Variety Pack</v>
      </c>
      <c r="C1364" t="str">
        <f>_xlfn.XLOOKUP($A1364,Load!$B:$B,Load!D:D,0,)</f>
        <v>Mix of Chocolate and Non-Chocolate Candy</v>
      </c>
      <c r="D1364" t="str">
        <f>_xlfn.XLOOKUP($A1364,Load!$B:$B,Load!E:E,0,)</f>
        <v>Variety / Mixed Flavors (Fruity, Sour, Seasonal Flavors)</v>
      </c>
      <c r="E1364" t="str">
        <f>_xlfn.XLOOKUP($A1364,Load!$B:$B,Load!F:F,0,)</f>
        <v>Mixed / Combo Packs (Gummy, Chewy, Taffy, etc.)</v>
      </c>
      <c r="F1364" t="str">
        <f>_xlfn.XLOOKUP($A1364,Load!$B:$B,Load!G:G,0,)</f>
        <v>Small Multipack (Less than 40 ct)</v>
      </c>
      <c r="G1364" t="str">
        <f>_xlfn.XLOOKUP($A1364,Load!$B:$B,Load!H:H,0,)</f>
        <v>Laydown Bag</v>
      </c>
      <c r="H1364" t="str">
        <f>_xlfn.XLOOKUP($A1364,Load!$B:$B,Load!I:I,0,)</f>
        <v>Everyday Candy Shapes (like Original, Gummy bear, Fruit, Jewels, etc.)</v>
      </c>
      <c r="I1364" t="str">
        <f>_xlfn.XLOOKUP($A1364,Load!$B:$B,Load!J:J,0,)</f>
        <v>Seasonal Graphics (Like Bat, Ghost, Pumpkin, Fall Leaves, Eyeballs, etc.)</v>
      </c>
      <c r="J1364" t="str">
        <f>_xlfn.XLOOKUP($A1364,Load!$B:$B,Load!K:K,0,)</f>
        <v xml:space="preserve">Variety Candy Sizes </v>
      </c>
      <c r="K1364" t="str">
        <f>_xlfn.XLOOKUP($A1364,Load!$B:$B,Load!L:L,0,)</f>
        <v>Regular/Original Wrapping</v>
      </c>
      <c r="L1364" t="str">
        <f>_xlfn.XLOOKUP($A1364,Load!$B:$B,Load!M:M,0,)</f>
        <v>Multiple Brands / Variety Flavors or Form</v>
      </c>
    </row>
    <row r="1365" spans="1:12" x14ac:dyDescent="0.25">
      <c r="A1365" t="s">
        <v>58</v>
      </c>
      <c r="B1365" t="str">
        <f>_xlfn.XLOOKUP($A1365,Load!$B:$B,Load!C:C,0,)</f>
        <v>Charms</v>
      </c>
      <c r="C1365" t="str">
        <f>_xlfn.XLOOKUP($A1365,Load!$B:$B,Load!D:D,0,)</f>
        <v>Non-Chocolate Candy Only</v>
      </c>
      <c r="D1365" t="str">
        <f>_xlfn.XLOOKUP($A1365,Load!$B:$B,Load!E:E,0,)</f>
        <v>Variety / Mixed Flavors (Fruity, Sour, Seasonal Flavors)</v>
      </c>
      <c r="E1365" t="str">
        <f>_xlfn.XLOOKUP($A1365,Load!$B:$B,Load!F:F,0,)</f>
        <v>Lollipop (regular or lollipop rings)</v>
      </c>
      <c r="F1365" t="str">
        <f>_xlfn.XLOOKUP($A1365,Load!$B:$B,Load!G:G,0,)</f>
        <v>Small Multipack (Less than 40 ct)</v>
      </c>
      <c r="G1365" t="str">
        <f>_xlfn.XLOOKUP($A1365,Load!$B:$B,Load!H:H,0,)</f>
        <v>Laydown Bag</v>
      </c>
      <c r="H1365" t="str">
        <f>_xlfn.XLOOKUP($A1365,Load!$B:$B,Load!I:I,0,)</f>
        <v>Everyday Candy Shapes (like Original, Gummy bear, Fruit, Jewels, etc.)</v>
      </c>
      <c r="I1365" t="str">
        <f>_xlfn.XLOOKUP($A1365,Load!$B:$B,Load!J:J,0,)</f>
        <v>Seasonal Graphics (Like Bat, Ghost, Pumpkin, Fall Leaves, Eyeballs, etc.)</v>
      </c>
      <c r="J1365" t="str">
        <f>_xlfn.XLOOKUP($A1365,Load!$B:$B,Load!K:K,0,)</f>
        <v>Regular Lollipop size (on sticks or rings)</v>
      </c>
      <c r="K1365" t="str">
        <f>_xlfn.XLOOKUP($A1365,Load!$B:$B,Load!L:L,0,)</f>
        <v>Regular/Original Wrapping</v>
      </c>
      <c r="L1365" t="str">
        <f>_xlfn.XLOOKUP($A1365,Load!$B:$B,Load!M:M,0,)</f>
        <v>Single Brand / Variety Flavors or Form</v>
      </c>
    </row>
    <row r="1366" spans="1:12" x14ac:dyDescent="0.25">
      <c r="A1366" t="s">
        <v>303</v>
      </c>
      <c r="B1366" t="str">
        <f>_xlfn.XLOOKUP($A1366,Load!$B:$B,Load!C:C,0,)</f>
        <v>Warheads</v>
      </c>
      <c r="C1366" t="str">
        <f>_xlfn.XLOOKUP($A1366,Load!$B:$B,Load!D:D,0,)</f>
        <v>Non-Chocolate Candy Only</v>
      </c>
      <c r="D1366" t="str">
        <f>_xlfn.XLOOKUP($A1366,Load!$B:$B,Load!E:E,0,)</f>
        <v>Variety / Mixed Flavors (Fruity, Sour, Seasonal Flavors)</v>
      </c>
      <c r="E1366" t="str">
        <f>_xlfn.XLOOKUP($A1366,Load!$B:$B,Load!F:F,0,)</f>
        <v>Chewy</v>
      </c>
      <c r="F1366" t="str">
        <f>_xlfn.XLOOKUP($A1366,Load!$B:$B,Load!G:G,0,)</f>
        <v>Single Pack</v>
      </c>
      <c r="G1366" t="str">
        <f>_xlfn.XLOOKUP($A1366,Load!$B:$B,Load!H:H,0,)</f>
        <v>Peg Bag</v>
      </c>
      <c r="H1366" t="str">
        <f>_xlfn.XLOOKUP($A1366,Load!$B:$B,Load!I:I,0,)</f>
        <v>Everyday Candy Shapes (like Original, Gummy bear, Fruit, Jewels, etc.)</v>
      </c>
      <c r="I1366" t="str">
        <f>_xlfn.XLOOKUP($A1366,Load!$B:$B,Load!J:J,0,)</f>
        <v>Seasonal Graphics (Like Bat, Ghost, Pumpkin, Fall Leaves, Eyeballs, etc.)</v>
      </c>
      <c r="J1366" t="str">
        <f>_xlfn.XLOOKUP($A1366,Load!$B:$B,Load!K:K,0,)</f>
        <v>Fun Size / Treat Size</v>
      </c>
      <c r="K1366" t="str">
        <f>_xlfn.XLOOKUP($A1366,Load!$B:$B,Load!L:L,0,)</f>
        <v>Unwrapped</v>
      </c>
      <c r="L1366" t="str">
        <f>_xlfn.XLOOKUP($A1366,Load!$B:$B,Load!M:M,0,)</f>
        <v>Single Brand / Single Flavor or Form</v>
      </c>
    </row>
    <row r="1367" spans="1:12" x14ac:dyDescent="0.25">
      <c r="A1367" t="s">
        <v>14</v>
      </c>
      <c r="B1367" t="str">
        <f>_xlfn.XLOOKUP($A1367,Load!$B:$B,Load!C:C,0,)</f>
        <v>Airheads</v>
      </c>
      <c r="C1367" t="str">
        <f>_xlfn.XLOOKUP($A1367,Load!$B:$B,Load!D:D,0,)</f>
        <v>Non-Chocolate Candy Only</v>
      </c>
      <c r="D1367" t="str">
        <f>_xlfn.XLOOKUP($A1367,Load!$B:$B,Load!E:E,0,)</f>
        <v>Variety / Mixed Flavors (Fruity, Sour, Seasonal Flavors)</v>
      </c>
      <c r="E1367" t="str">
        <f>_xlfn.XLOOKUP($A1367,Load!$B:$B,Load!F:F,0,)</f>
        <v>Chewy</v>
      </c>
      <c r="F1367" t="str">
        <f>_xlfn.XLOOKUP($A1367,Load!$B:$B,Load!G:G,0,)</f>
        <v>Small Multipack (Less than 40 ct)</v>
      </c>
      <c r="G1367" t="str">
        <f>_xlfn.XLOOKUP($A1367,Load!$B:$B,Load!H:H,0,)</f>
        <v>Stand-Up Bag</v>
      </c>
      <c r="H1367" t="str">
        <f>_xlfn.XLOOKUP($A1367,Load!$B:$B,Load!I:I,0,)</f>
        <v>Everyday Candy Shapes (like Original, Gummy bear, Fruit, Jewels, etc.)</v>
      </c>
      <c r="I1367" t="str">
        <f>_xlfn.XLOOKUP($A1367,Load!$B:$B,Load!J:J,0,)</f>
        <v>Everyday Graphics</v>
      </c>
      <c r="J1367" t="str">
        <f>_xlfn.XLOOKUP($A1367,Load!$B:$B,Load!K:K,0,)</f>
        <v>Fun Size / Treat Size</v>
      </c>
      <c r="K1367" t="str">
        <f>_xlfn.XLOOKUP($A1367,Load!$B:$B,Load!L:L,0,)</f>
        <v>Regular/Original Wrapping</v>
      </c>
      <c r="L1367" t="str">
        <f>_xlfn.XLOOKUP($A1367,Load!$B:$B,Load!M:M,0,)</f>
        <v>Single Brand / Variety Flavors or Form</v>
      </c>
    </row>
    <row r="1368" spans="1:12" x14ac:dyDescent="0.25">
      <c r="A1368" t="s">
        <v>101</v>
      </c>
      <c r="B1368" t="str">
        <f>_xlfn.XLOOKUP($A1368,Load!$B:$B,Load!C:C,0,)</f>
        <v>Flix</v>
      </c>
      <c r="C1368" t="str">
        <f>_xlfn.XLOOKUP($A1368,Load!$B:$B,Load!D:D,0,)</f>
        <v>Non-Chocolate Candy Only</v>
      </c>
      <c r="D1368" t="str">
        <f>_xlfn.XLOOKUP($A1368,Load!$B:$B,Load!E:E,0,)</f>
        <v>Fruit Flavor (Cherry, Grape, Apple, Citrus, Tropical Fruit)</v>
      </c>
      <c r="E1368" t="str">
        <f>_xlfn.XLOOKUP($A1368,Load!$B:$B,Load!F:F,0,)</f>
        <v>Gummy</v>
      </c>
      <c r="F1368" t="str">
        <f>_xlfn.XLOOKUP($A1368,Load!$B:$B,Load!G:G,0,)</f>
        <v>Small Multipack (Less than 40 ct)</v>
      </c>
      <c r="G1368" t="str">
        <f>_xlfn.XLOOKUP($A1368,Load!$B:$B,Load!H:H,0,)</f>
        <v>Laydown Bag</v>
      </c>
      <c r="H1368" t="str">
        <f>_xlfn.XLOOKUP($A1368,Load!$B:$B,Load!I:I,0,)</f>
        <v>Seasonal Shapes (like pumpkins, candy corn, ghost, bats, etc.)</v>
      </c>
      <c r="I1368" t="str">
        <f>_xlfn.XLOOKUP($A1368,Load!$B:$B,Load!J:J,0,)</f>
        <v>Seasonal Graphics (Like Bat, Ghost, Pumpkin, Fall Leaves, Eyeballs, etc.)</v>
      </c>
      <c r="J1368" t="str">
        <f>_xlfn.XLOOKUP($A1368,Load!$B:$B,Load!K:K,0,)</f>
        <v>Small Pieces (Tiny bite size candies)</v>
      </c>
      <c r="K1368" t="str">
        <f>_xlfn.XLOOKUP($A1368,Load!$B:$B,Load!L:L,0,)</f>
        <v>Regular/Original Wrapping</v>
      </c>
      <c r="L1368" t="str">
        <f>_xlfn.XLOOKUP($A1368,Load!$B:$B,Load!M:M,0,)</f>
        <v>Single Brand / Variety Flavors or Form</v>
      </c>
    </row>
    <row r="1369" spans="1:12" x14ac:dyDescent="0.25">
      <c r="A1369" t="s">
        <v>467</v>
      </c>
      <c r="B1369" t="str">
        <f>_xlfn.XLOOKUP($A1369,Load!$B:$B,Load!C:C,0,)</f>
        <v>Trolli</v>
      </c>
      <c r="C1369" t="str">
        <f>_xlfn.XLOOKUP($A1369,Load!$B:$B,Load!D:D,0,)</f>
        <v>Non-Chocolate Candy Only</v>
      </c>
      <c r="D1369" t="str">
        <f>_xlfn.XLOOKUP($A1369,Load!$B:$B,Load!E:E,0,)</f>
        <v>Sour</v>
      </c>
      <c r="E1369" t="str">
        <f>_xlfn.XLOOKUP($A1369,Load!$B:$B,Load!F:F,0,)</f>
        <v>Gummy</v>
      </c>
      <c r="F1369" t="str">
        <f>_xlfn.XLOOKUP($A1369,Load!$B:$B,Load!G:G,0,)</f>
        <v>Small Multipack (Less than 40 ct)</v>
      </c>
      <c r="G1369" t="str">
        <f>_xlfn.XLOOKUP($A1369,Load!$B:$B,Load!H:H,0,)</f>
        <v>Laydown Bag</v>
      </c>
      <c r="H1369" t="str">
        <f>_xlfn.XLOOKUP($A1369,Load!$B:$B,Load!I:I,0,)</f>
        <v>Seasonal Shapes (like pumpkins, candy corn, ghost, bats, etc.)</v>
      </c>
      <c r="I1369" t="str">
        <f>_xlfn.XLOOKUP($A1369,Load!$B:$B,Load!J:J,0,)</f>
        <v>Seasonal Graphics (Like Bat, Ghost, Pumpkin, Fall Leaves, Eyeballs, etc.)</v>
      </c>
      <c r="J1369" t="str">
        <f>_xlfn.XLOOKUP($A1369,Load!$B:$B,Load!K:K,0,)</f>
        <v>Fun Size / Treat Size</v>
      </c>
      <c r="K1369" t="str">
        <f>_xlfn.XLOOKUP($A1369,Load!$B:$B,Load!L:L,0,)</f>
        <v>Regular/Original Wrapping</v>
      </c>
      <c r="L1369" t="str">
        <f>_xlfn.XLOOKUP($A1369,Load!$B:$B,Load!M:M,0,)</f>
        <v>Single Brand / Variety Flavors or Form</v>
      </c>
    </row>
    <row r="1370" spans="1:12" x14ac:dyDescent="0.25">
      <c r="A1370" t="s">
        <v>326</v>
      </c>
      <c r="B1370" t="str">
        <f>_xlfn.XLOOKUP($A1370,Load!$B:$B,Load!C:C,0,)</f>
        <v>Mondelez Variety Pack</v>
      </c>
      <c r="C1370" t="str">
        <f>_xlfn.XLOOKUP($A1370,Load!$B:$B,Load!D:D,0,)</f>
        <v>Mix of Chocolate and Non-Chocolate Candy</v>
      </c>
      <c r="D1370" t="str">
        <f>_xlfn.XLOOKUP($A1370,Load!$B:$B,Load!E:E,0,)</f>
        <v>Variety / Mixed Flavors (Fruity, Sour, Seasonal Flavors)</v>
      </c>
      <c r="E1370" t="str">
        <f>_xlfn.XLOOKUP($A1370,Load!$B:$B,Load!F:F,0,)</f>
        <v>Mixed / Combo Packs (Gummy, Chewy, Taffy, etc.)</v>
      </c>
      <c r="F1370" t="str">
        <f>_xlfn.XLOOKUP($A1370,Load!$B:$B,Load!G:G,0,)</f>
        <v>Medium Multipack (40–80 ct)</v>
      </c>
      <c r="G1370" t="str">
        <f>_xlfn.XLOOKUP($A1370,Load!$B:$B,Load!H:H,0,)</f>
        <v>Stand-Up Bag</v>
      </c>
      <c r="H1370" t="str">
        <f>_xlfn.XLOOKUP($A1370,Load!$B:$B,Load!I:I,0,)</f>
        <v>Everyday Candy Shapes (like Original, Gummy bear, Fruit, Jewels, etc.)</v>
      </c>
      <c r="I1370" t="str">
        <f>_xlfn.XLOOKUP($A1370,Load!$B:$B,Load!J:J,0,)</f>
        <v>Seasonal Graphics (Like Bat, Ghost, Pumpkin, Fall Leaves, Eyeballs, etc.)</v>
      </c>
      <c r="J1370" t="str">
        <f>_xlfn.XLOOKUP($A1370,Load!$B:$B,Load!K:K,0,)</f>
        <v xml:space="preserve">Variety Candy Sizes </v>
      </c>
      <c r="K1370" t="str">
        <f>_xlfn.XLOOKUP($A1370,Load!$B:$B,Load!L:L,0,)</f>
        <v>Regular/Original Wrapping</v>
      </c>
      <c r="L1370" t="str">
        <f>_xlfn.XLOOKUP($A1370,Load!$B:$B,Load!M:M,0,)</f>
        <v>Multiple Brands / Variety Flavors or Form</v>
      </c>
    </row>
    <row r="1371" spans="1:12" x14ac:dyDescent="0.25">
      <c r="A1371" t="s">
        <v>463</v>
      </c>
      <c r="B1371" t="str">
        <f>_xlfn.XLOOKUP($A1371,Load!$B:$B,Load!C:C,0,)</f>
        <v>Mars Variety Pack</v>
      </c>
      <c r="C1371" t="str">
        <f>_xlfn.XLOOKUP($A1371,Load!$B:$B,Load!D:D,0,)</f>
        <v>Mix of Chocolate and Non-Chocolate Candy</v>
      </c>
      <c r="D1371" t="str">
        <f>_xlfn.XLOOKUP($A1371,Load!$B:$B,Load!E:E,0,)</f>
        <v>Variety / Mixed Flavors (Fruity, Sour, Seasonal Flavors)</v>
      </c>
      <c r="E1371" t="str">
        <f>_xlfn.XLOOKUP($A1371,Load!$B:$B,Load!F:F,0,)</f>
        <v>Mixed / Combo Packs (Gummy, Chewy, Taffy, etc.)</v>
      </c>
      <c r="F1371" t="str">
        <f>_xlfn.XLOOKUP($A1371,Load!$B:$B,Load!G:G,0,)</f>
        <v>Medium Multipack (40–80 ct)</v>
      </c>
      <c r="G1371" t="str">
        <f>_xlfn.XLOOKUP($A1371,Load!$B:$B,Load!H:H,0,)</f>
        <v>Stand-Up Bag</v>
      </c>
      <c r="H1371" t="str">
        <f>_xlfn.XLOOKUP($A1371,Load!$B:$B,Load!I:I,0,)</f>
        <v>Everyday Candy Shapes (like Original, Gummy bear, Fruit, Jewels, etc.)</v>
      </c>
      <c r="I1371" t="str">
        <f>_xlfn.XLOOKUP($A1371,Load!$B:$B,Load!J:J,0,)</f>
        <v>Seasonal Graphics (Like Bat, Ghost, Pumpkin, Fall Leaves, Eyeballs, etc.)</v>
      </c>
      <c r="J1371" t="str">
        <f>_xlfn.XLOOKUP($A1371,Load!$B:$B,Load!K:K,0,)</f>
        <v>Fun Size / Treat Size</v>
      </c>
      <c r="K1371" t="str">
        <f>_xlfn.XLOOKUP($A1371,Load!$B:$B,Load!L:L,0,)</f>
        <v>Regular/Original Wrapping</v>
      </c>
      <c r="L1371" t="str">
        <f>_xlfn.XLOOKUP($A1371,Load!$B:$B,Load!M:M,0,)</f>
        <v>Multiple Brands / Variety Flavors or Form</v>
      </c>
    </row>
    <row r="1372" spans="1:12" x14ac:dyDescent="0.25">
      <c r="B1372">
        <f>_xlfn.XLOOKUP($A1372,Load!$B:$B,Load!C:C,0,)</f>
        <v>0</v>
      </c>
      <c r="C1372">
        <f>_xlfn.XLOOKUP($A1372,Load!$B:$B,Load!D:D,0,)</f>
        <v>0</v>
      </c>
      <c r="D1372">
        <f>_xlfn.XLOOKUP($A1372,Load!$B:$B,Load!E:E,0,)</f>
        <v>0</v>
      </c>
      <c r="E1372">
        <f>_xlfn.XLOOKUP($A1372,Load!$B:$B,Load!F:F,0,)</f>
        <v>0</v>
      </c>
      <c r="F1372">
        <f>_xlfn.XLOOKUP($A1372,Load!$B:$B,Load!G:G,0,)</f>
        <v>0</v>
      </c>
      <c r="G1372">
        <f>_xlfn.XLOOKUP($A1372,Load!$B:$B,Load!H:H,0,)</f>
        <v>0</v>
      </c>
      <c r="H1372">
        <f>_xlfn.XLOOKUP($A1372,Load!$B:$B,Load!I:I,0,)</f>
        <v>0</v>
      </c>
      <c r="I1372">
        <f>_xlfn.XLOOKUP($A1372,Load!$B:$B,Load!J:J,0,)</f>
        <v>0</v>
      </c>
      <c r="J1372">
        <f>_xlfn.XLOOKUP($A1372,Load!$B:$B,Load!K:K,0,)</f>
        <v>0</v>
      </c>
      <c r="K1372">
        <f>_xlfn.XLOOKUP($A1372,Load!$B:$B,Load!L:L,0,)</f>
        <v>0</v>
      </c>
      <c r="L1372">
        <f>_xlfn.XLOOKUP($A1372,Load!$B:$B,Load!M:M,0,)</f>
        <v>0</v>
      </c>
    </row>
    <row r="1373" spans="1:12" x14ac:dyDescent="0.25">
      <c r="B1373">
        <f>_xlfn.XLOOKUP($A1373,Load!$B:$B,Load!C:C,0,)</f>
        <v>0</v>
      </c>
      <c r="C1373">
        <f>_xlfn.XLOOKUP($A1373,Load!$B:$B,Load!D:D,0,)</f>
        <v>0</v>
      </c>
      <c r="D1373">
        <f>_xlfn.XLOOKUP($A1373,Load!$B:$B,Load!E:E,0,)</f>
        <v>0</v>
      </c>
      <c r="E1373">
        <f>_xlfn.XLOOKUP($A1373,Load!$B:$B,Load!F:F,0,)</f>
        <v>0</v>
      </c>
      <c r="F1373">
        <f>_xlfn.XLOOKUP($A1373,Load!$B:$B,Load!G:G,0,)</f>
        <v>0</v>
      </c>
      <c r="G1373">
        <f>_xlfn.XLOOKUP($A1373,Load!$B:$B,Load!H:H,0,)</f>
        <v>0</v>
      </c>
      <c r="H1373">
        <f>_xlfn.XLOOKUP($A1373,Load!$B:$B,Load!I:I,0,)</f>
        <v>0</v>
      </c>
      <c r="I1373">
        <f>_xlfn.XLOOKUP($A1373,Load!$B:$B,Load!J:J,0,)</f>
        <v>0</v>
      </c>
      <c r="J1373">
        <f>_xlfn.XLOOKUP($A1373,Load!$B:$B,Load!K:K,0,)</f>
        <v>0</v>
      </c>
      <c r="K1373">
        <f>_xlfn.XLOOKUP($A1373,Load!$B:$B,Load!L:L,0,)</f>
        <v>0</v>
      </c>
      <c r="L1373">
        <f>_xlfn.XLOOKUP($A1373,Load!$B:$B,Load!M:M,0,)</f>
        <v>0</v>
      </c>
    </row>
    <row r="1374" spans="1:12" x14ac:dyDescent="0.25">
      <c r="B1374">
        <f>_xlfn.XLOOKUP($A1374,Load!$B:$B,Load!C:C,0,)</f>
        <v>0</v>
      </c>
      <c r="C1374">
        <f>_xlfn.XLOOKUP($A1374,Load!$B:$B,Load!D:D,0,)</f>
        <v>0</v>
      </c>
      <c r="D1374">
        <f>_xlfn.XLOOKUP($A1374,Load!$B:$B,Load!E:E,0,)</f>
        <v>0</v>
      </c>
      <c r="E1374">
        <f>_xlfn.XLOOKUP($A1374,Load!$B:$B,Load!F:F,0,)</f>
        <v>0</v>
      </c>
      <c r="F1374">
        <f>_xlfn.XLOOKUP($A1374,Load!$B:$B,Load!G:G,0,)</f>
        <v>0</v>
      </c>
      <c r="G1374">
        <f>_xlfn.XLOOKUP($A1374,Load!$B:$B,Load!H:H,0,)</f>
        <v>0</v>
      </c>
      <c r="H1374">
        <f>_xlfn.XLOOKUP($A1374,Load!$B:$B,Load!I:I,0,)</f>
        <v>0</v>
      </c>
      <c r="I1374">
        <f>_xlfn.XLOOKUP($A1374,Load!$B:$B,Load!J:J,0,)</f>
        <v>0</v>
      </c>
      <c r="J1374">
        <f>_xlfn.XLOOKUP($A1374,Load!$B:$B,Load!K:K,0,)</f>
        <v>0</v>
      </c>
      <c r="K1374">
        <f>_xlfn.XLOOKUP($A1374,Load!$B:$B,Load!L:L,0,)</f>
        <v>0</v>
      </c>
      <c r="L1374">
        <f>_xlfn.XLOOKUP($A1374,Load!$B:$B,Load!M:M,0,)</f>
        <v>0</v>
      </c>
    </row>
    <row r="1375" spans="1:12" x14ac:dyDescent="0.25">
      <c r="B1375">
        <f>_xlfn.XLOOKUP($A1375,Load!$B:$B,Load!C:C,0,)</f>
        <v>0</v>
      </c>
      <c r="C1375">
        <f>_xlfn.XLOOKUP($A1375,Load!$B:$B,Load!D:D,0,)</f>
        <v>0</v>
      </c>
      <c r="D1375">
        <f>_xlfn.XLOOKUP($A1375,Load!$B:$B,Load!E:E,0,)</f>
        <v>0</v>
      </c>
      <c r="E1375">
        <f>_xlfn.XLOOKUP($A1375,Load!$B:$B,Load!F:F,0,)</f>
        <v>0</v>
      </c>
      <c r="F1375">
        <f>_xlfn.XLOOKUP($A1375,Load!$B:$B,Load!G:G,0,)</f>
        <v>0</v>
      </c>
      <c r="G1375">
        <f>_xlfn.XLOOKUP($A1375,Load!$B:$B,Load!H:H,0,)</f>
        <v>0</v>
      </c>
      <c r="H1375">
        <f>_xlfn.XLOOKUP($A1375,Load!$B:$B,Load!I:I,0,)</f>
        <v>0</v>
      </c>
      <c r="I1375">
        <f>_xlfn.XLOOKUP($A1375,Load!$B:$B,Load!J:J,0,)</f>
        <v>0</v>
      </c>
      <c r="J1375">
        <f>_xlfn.XLOOKUP($A1375,Load!$B:$B,Load!K:K,0,)</f>
        <v>0</v>
      </c>
      <c r="K1375">
        <f>_xlfn.XLOOKUP($A1375,Load!$B:$B,Load!L:L,0,)</f>
        <v>0</v>
      </c>
      <c r="L1375">
        <f>_xlfn.XLOOKUP($A1375,Load!$B:$B,Load!M:M,0,)</f>
        <v>0</v>
      </c>
    </row>
    <row r="1376" spans="1:12" x14ac:dyDescent="0.25">
      <c r="A1376" t="s">
        <v>49</v>
      </c>
      <c r="B1376" t="str">
        <f>_xlfn.XLOOKUP($A1376,Load!$B:$B,Load!C:C,0,)</f>
        <v>Brach's</v>
      </c>
      <c r="C1376" t="str">
        <f>_xlfn.XLOOKUP($A1376,Load!$B:$B,Load!D:D,0,)</f>
        <v>Non-Chocolate Candy Only</v>
      </c>
      <c r="D1376" t="str">
        <f>_xlfn.XLOOKUP($A1376,Load!$B:$B,Load!E:E,0,)</f>
        <v>Fall / Seasonal Flavors (pumpkin spice, caramel apple, candy corn)</v>
      </c>
      <c r="E1376" t="str">
        <f>_xlfn.XLOOKUP($A1376,Load!$B:$B,Load!F:F,0,)</f>
        <v>Candy Pieces / Bites</v>
      </c>
      <c r="F1376" t="str">
        <f>_xlfn.XLOOKUP($A1376,Load!$B:$B,Load!G:G,0,)</f>
        <v>Large Multipack (More than 80 ct)</v>
      </c>
      <c r="G1376" t="str">
        <f>_xlfn.XLOOKUP($A1376,Load!$B:$B,Load!H:H,0,)</f>
        <v>Laydown Bag</v>
      </c>
      <c r="H1376" t="str">
        <f>_xlfn.XLOOKUP($A1376,Load!$B:$B,Load!I:I,0,)</f>
        <v>Seasonal Shapes (like pumpkins, candy corn, ghost, bats, etc.)</v>
      </c>
      <c r="I1376" t="str">
        <f>_xlfn.XLOOKUP($A1376,Load!$B:$B,Load!J:J,0,)</f>
        <v>Seasonal Graphics (Like Bat, Ghost, Pumpkin, Fall Leaves, Eyeballs, etc.)</v>
      </c>
      <c r="J1376" t="str">
        <f>_xlfn.XLOOKUP($A1376,Load!$B:$B,Load!K:K,0,)</f>
        <v>Small Pieces (Tiny bite size candies)</v>
      </c>
      <c r="K1376" t="str">
        <f>_xlfn.XLOOKUP($A1376,Load!$B:$B,Load!L:L,0,)</f>
        <v>Unwrapped</v>
      </c>
      <c r="L1376" t="str">
        <f>_xlfn.XLOOKUP($A1376,Load!$B:$B,Load!M:M,0,)</f>
        <v>Single Brand / Single Flavor or Form</v>
      </c>
    </row>
    <row r="1377" spans="1:12" x14ac:dyDescent="0.25">
      <c r="B1377">
        <f>_xlfn.XLOOKUP($A1377,Load!$B:$B,Load!C:C,0,)</f>
        <v>0</v>
      </c>
      <c r="C1377">
        <f>_xlfn.XLOOKUP($A1377,Load!$B:$B,Load!D:D,0,)</f>
        <v>0</v>
      </c>
      <c r="D1377">
        <f>_xlfn.XLOOKUP($A1377,Load!$B:$B,Load!E:E,0,)</f>
        <v>0</v>
      </c>
      <c r="E1377">
        <f>_xlfn.XLOOKUP($A1377,Load!$B:$B,Load!F:F,0,)</f>
        <v>0</v>
      </c>
      <c r="F1377">
        <f>_xlfn.XLOOKUP($A1377,Load!$B:$B,Load!G:G,0,)</f>
        <v>0</v>
      </c>
      <c r="G1377">
        <f>_xlfn.XLOOKUP($A1377,Load!$B:$B,Load!H:H,0,)</f>
        <v>0</v>
      </c>
      <c r="H1377">
        <f>_xlfn.XLOOKUP($A1377,Load!$B:$B,Load!I:I,0,)</f>
        <v>0</v>
      </c>
      <c r="I1377">
        <f>_xlfn.XLOOKUP($A1377,Load!$B:$B,Load!J:J,0,)</f>
        <v>0</v>
      </c>
      <c r="J1377">
        <f>_xlfn.XLOOKUP($A1377,Load!$B:$B,Load!K:K,0,)</f>
        <v>0</v>
      </c>
      <c r="K1377">
        <f>_xlfn.XLOOKUP($A1377,Load!$B:$B,Load!L:L,0,)</f>
        <v>0</v>
      </c>
      <c r="L1377">
        <f>_xlfn.XLOOKUP($A1377,Load!$B:$B,Load!M:M,0,)</f>
        <v>0</v>
      </c>
    </row>
    <row r="1378" spans="1:12" x14ac:dyDescent="0.25">
      <c r="A1378" t="s">
        <v>265</v>
      </c>
      <c r="B1378" t="str">
        <f>_xlfn.XLOOKUP($A1378,Load!$B:$B,Load!C:C,0,)</f>
        <v>Smarties</v>
      </c>
      <c r="C1378" t="str">
        <f>_xlfn.XLOOKUP($A1378,Load!$B:$B,Load!D:D,0,)</f>
        <v>Non-Chocolate Candy Only</v>
      </c>
      <c r="D1378" t="str">
        <f>_xlfn.XLOOKUP($A1378,Load!$B:$B,Load!E:E,0,)</f>
        <v>Fruit Flavor (Cherry, Grape, Apple, Citrus, Tropical Fruit)</v>
      </c>
      <c r="E1378" t="str">
        <f>_xlfn.XLOOKUP($A1378,Load!$B:$B,Load!F:F,0,)</f>
        <v>Powder / Chalky</v>
      </c>
      <c r="F1378" t="str">
        <f>_xlfn.XLOOKUP($A1378,Load!$B:$B,Load!G:G,0,)</f>
        <v>Large Multipack (More than 80 ct)</v>
      </c>
      <c r="G1378" t="str">
        <f>_xlfn.XLOOKUP($A1378,Load!$B:$B,Load!H:H,0,)</f>
        <v>Laydown Bag</v>
      </c>
      <c r="H1378" t="str">
        <f>_xlfn.XLOOKUP($A1378,Load!$B:$B,Load!I:I,0,)</f>
        <v>Seasonal Shapes (like pumpkins, candy corn, ghost, bats, etc.)</v>
      </c>
      <c r="I1378" t="str">
        <f>_xlfn.XLOOKUP($A1378,Load!$B:$B,Load!J:J,0,)</f>
        <v>Seasonal Graphics (Like Bat, Ghost, Pumpkin, Fall Leaves, Eyeballs, etc.)</v>
      </c>
      <c r="J1378" t="str">
        <f>_xlfn.XLOOKUP($A1378,Load!$B:$B,Load!K:K,0,)</f>
        <v>Small Pieces (Tiny bite size candies)</v>
      </c>
      <c r="K1378" t="str">
        <f>_xlfn.XLOOKUP($A1378,Load!$B:$B,Load!L:L,0,)</f>
        <v>Regular/Original Wrapping</v>
      </c>
      <c r="L1378" t="str">
        <f>_xlfn.XLOOKUP($A1378,Load!$B:$B,Load!M:M,0,)</f>
        <v>Single Brand / Single Flavor or Form</v>
      </c>
    </row>
    <row r="1379" spans="1:12" x14ac:dyDescent="0.25">
      <c r="A1379" t="s">
        <v>293</v>
      </c>
      <c r="B1379" t="str">
        <f>_xlfn.XLOOKUP($A1379,Load!$B:$B,Load!C:C,0,)</f>
        <v>Tootsie</v>
      </c>
      <c r="C1379" t="str">
        <f>_xlfn.XLOOKUP($A1379,Load!$B:$B,Load!D:D,0,)</f>
        <v>Mix of Chocolate and Non-Chocolate Candy</v>
      </c>
      <c r="D1379" t="str">
        <f>_xlfn.XLOOKUP($A1379,Load!$B:$B,Load!E:E,0,)</f>
        <v>Sweet</v>
      </c>
      <c r="E1379" t="str">
        <f>_xlfn.XLOOKUP($A1379,Load!$B:$B,Load!F:F,0,)</f>
        <v>Lollipop (regular or lollipop rings)</v>
      </c>
      <c r="F1379" t="str">
        <f>_xlfn.XLOOKUP($A1379,Load!$B:$B,Load!G:G,0,)</f>
        <v>Large Multipack (More than 80 ct)</v>
      </c>
      <c r="G1379" t="str">
        <f>_xlfn.XLOOKUP($A1379,Load!$B:$B,Load!H:H,0,)</f>
        <v>Laydown Bag</v>
      </c>
      <c r="H1379" t="str">
        <f>_xlfn.XLOOKUP($A1379,Load!$B:$B,Load!I:I,0,)</f>
        <v>Everyday Candy Shapes (like Original, Gummy bear, Fruit, Jewels, etc.)</v>
      </c>
      <c r="I1379" t="str">
        <f>_xlfn.XLOOKUP($A1379,Load!$B:$B,Load!J:J,0,)</f>
        <v>Everyday Graphics</v>
      </c>
      <c r="J1379" t="str">
        <f>_xlfn.XLOOKUP($A1379,Load!$B:$B,Load!K:K,0,)</f>
        <v>Regular Lollipop size (on sticks or rings)</v>
      </c>
      <c r="K1379" t="str">
        <f>_xlfn.XLOOKUP($A1379,Load!$B:$B,Load!L:L,0,)</f>
        <v>Regular/Original Wrapping</v>
      </c>
      <c r="L1379" t="str">
        <f>_xlfn.XLOOKUP($A1379,Load!$B:$B,Load!M:M,0,)</f>
        <v>Single Brand / Single Flavor or Form</v>
      </c>
    </row>
    <row r="1380" spans="1:12" x14ac:dyDescent="0.25">
      <c r="A1380" t="s">
        <v>285</v>
      </c>
      <c r="B1380" t="str">
        <f>_xlfn.XLOOKUP($A1380,Load!$B:$B,Load!C:C,0,)</f>
        <v>Starburst</v>
      </c>
      <c r="C1380" t="str">
        <f>_xlfn.XLOOKUP($A1380,Load!$B:$B,Load!D:D,0,)</f>
        <v>Non-Chocolate Candy Only</v>
      </c>
      <c r="D1380" t="str">
        <f>_xlfn.XLOOKUP($A1380,Load!$B:$B,Load!E:E,0,)</f>
        <v>Fruit Flavor (Cherry, Grape, Apple, Citrus, Tropical Fruit)</v>
      </c>
      <c r="E1380" t="str">
        <f>_xlfn.XLOOKUP($A1380,Load!$B:$B,Load!F:F,0,)</f>
        <v>Chewy</v>
      </c>
      <c r="F1380" t="str">
        <f>_xlfn.XLOOKUP($A1380,Load!$B:$B,Load!G:G,0,)</f>
        <v>Small Multipack (Less than 40 ct)</v>
      </c>
      <c r="G1380" t="str">
        <f>_xlfn.XLOOKUP($A1380,Load!$B:$B,Load!H:H,0,)</f>
        <v>Laydown Bag</v>
      </c>
      <c r="H1380" t="str">
        <f>_xlfn.XLOOKUP($A1380,Load!$B:$B,Load!I:I,0,)</f>
        <v>Everyday Candy Shapes (like Original, Gummy bear, Fruit, Jewels, etc.)</v>
      </c>
      <c r="I1380" t="str">
        <f>_xlfn.XLOOKUP($A1380,Load!$B:$B,Load!J:J,0,)</f>
        <v>Everyday Graphics</v>
      </c>
      <c r="J1380" t="str">
        <f>_xlfn.XLOOKUP($A1380,Load!$B:$B,Load!K:K,0,)</f>
        <v>Small Pieces (Tiny bite size candies)</v>
      </c>
      <c r="K1380" t="str">
        <f>_xlfn.XLOOKUP($A1380,Load!$B:$B,Load!L:L,0,)</f>
        <v>Regular/Original Wrapping</v>
      </c>
      <c r="L1380" t="str">
        <f>_xlfn.XLOOKUP($A1380,Load!$B:$B,Load!M:M,0,)</f>
        <v>Single Brand / Variety Flavors or Form</v>
      </c>
    </row>
    <row r="1381" spans="1:12" x14ac:dyDescent="0.25">
      <c r="A1381" t="s">
        <v>237</v>
      </c>
      <c r="B1381" t="str">
        <f>_xlfn.XLOOKUP($A1381,Load!$B:$B,Load!C:C,0,)</f>
        <v>Now &amp; Later</v>
      </c>
      <c r="C1381" t="str">
        <f>_xlfn.XLOOKUP($A1381,Load!$B:$B,Load!D:D,0,)</f>
        <v>Non-Chocolate Candy Only</v>
      </c>
      <c r="D1381" t="str">
        <f>_xlfn.XLOOKUP($A1381,Load!$B:$B,Load!E:E,0,)</f>
        <v>Fruit Flavor (Cherry, Grape, Apple, Citrus, Tropical Fruit)</v>
      </c>
      <c r="E1381" t="str">
        <f>_xlfn.XLOOKUP($A1381,Load!$B:$B,Load!F:F,0,)</f>
        <v>Chewy</v>
      </c>
      <c r="F1381" t="str">
        <f>_xlfn.XLOOKUP($A1381,Load!$B:$B,Load!G:G,0,)</f>
        <v>Medium Multipack (40–80 ct)</v>
      </c>
      <c r="G1381" t="str">
        <f>_xlfn.XLOOKUP($A1381,Load!$B:$B,Load!H:H,0,)</f>
        <v>Laydown Bag</v>
      </c>
      <c r="H1381" t="str">
        <f>_xlfn.XLOOKUP($A1381,Load!$B:$B,Load!I:I,0,)</f>
        <v>Everyday Candy Shapes (like Original, Gummy bear, Fruit, Jewels, etc.)</v>
      </c>
      <c r="I1381" t="str">
        <f>_xlfn.XLOOKUP($A1381,Load!$B:$B,Load!J:J,0,)</f>
        <v>Seasonal Graphics (Like Bat, Ghost, Pumpkin, Fall Leaves, Eyeballs, etc.)</v>
      </c>
      <c r="J1381" t="str">
        <f>_xlfn.XLOOKUP($A1381,Load!$B:$B,Load!K:K,0,)</f>
        <v>Small Pieces (Tiny bite size candies)</v>
      </c>
      <c r="K1381" t="str">
        <f>_xlfn.XLOOKUP($A1381,Load!$B:$B,Load!L:L,0,)</f>
        <v>Regular/Original Wrapping</v>
      </c>
      <c r="L1381" t="str">
        <f>_xlfn.XLOOKUP($A1381,Load!$B:$B,Load!M:M,0,)</f>
        <v>Single Brand / Variety Flavors or Form</v>
      </c>
    </row>
    <row r="1382" spans="1:12" x14ac:dyDescent="0.25">
      <c r="B1382">
        <f>_xlfn.XLOOKUP($A1382,Load!$B:$B,Load!C:C,0,)</f>
        <v>0</v>
      </c>
      <c r="C1382">
        <f>_xlfn.XLOOKUP($A1382,Load!$B:$B,Load!D:D,0,)</f>
        <v>0</v>
      </c>
      <c r="D1382">
        <f>_xlfn.XLOOKUP($A1382,Load!$B:$B,Load!E:E,0,)</f>
        <v>0</v>
      </c>
      <c r="E1382">
        <f>_xlfn.XLOOKUP($A1382,Load!$B:$B,Load!F:F,0,)</f>
        <v>0</v>
      </c>
      <c r="F1382">
        <f>_xlfn.XLOOKUP($A1382,Load!$B:$B,Load!G:G,0,)</f>
        <v>0</v>
      </c>
      <c r="G1382">
        <f>_xlfn.XLOOKUP($A1382,Load!$B:$B,Load!H:H,0,)</f>
        <v>0</v>
      </c>
      <c r="H1382">
        <f>_xlfn.XLOOKUP($A1382,Load!$B:$B,Load!I:I,0,)</f>
        <v>0</v>
      </c>
      <c r="I1382">
        <f>_xlfn.XLOOKUP($A1382,Load!$B:$B,Load!J:J,0,)</f>
        <v>0</v>
      </c>
      <c r="J1382">
        <f>_xlfn.XLOOKUP($A1382,Load!$B:$B,Load!K:K,0,)</f>
        <v>0</v>
      </c>
      <c r="K1382">
        <f>_xlfn.XLOOKUP($A1382,Load!$B:$B,Load!L:L,0,)</f>
        <v>0</v>
      </c>
      <c r="L1382">
        <f>_xlfn.XLOOKUP($A1382,Load!$B:$B,Load!M:M,0,)</f>
        <v>0</v>
      </c>
    </row>
    <row r="1383" spans="1:12" x14ac:dyDescent="0.25">
      <c r="B1383">
        <f>_xlfn.XLOOKUP($A1383,Load!$B:$B,Load!C:C,0,)</f>
        <v>0</v>
      </c>
      <c r="C1383">
        <f>_xlfn.XLOOKUP($A1383,Load!$B:$B,Load!D:D,0,)</f>
        <v>0</v>
      </c>
      <c r="D1383">
        <f>_xlfn.XLOOKUP($A1383,Load!$B:$B,Load!E:E,0,)</f>
        <v>0</v>
      </c>
      <c r="E1383">
        <f>_xlfn.XLOOKUP($A1383,Load!$B:$B,Load!F:F,0,)</f>
        <v>0</v>
      </c>
      <c r="F1383">
        <f>_xlfn.XLOOKUP($A1383,Load!$B:$B,Load!G:G,0,)</f>
        <v>0</v>
      </c>
      <c r="G1383">
        <f>_xlfn.XLOOKUP($A1383,Load!$B:$B,Load!H:H,0,)</f>
        <v>0</v>
      </c>
      <c r="H1383">
        <f>_xlfn.XLOOKUP($A1383,Load!$B:$B,Load!I:I,0,)</f>
        <v>0</v>
      </c>
      <c r="I1383">
        <f>_xlfn.XLOOKUP($A1383,Load!$B:$B,Load!J:J,0,)</f>
        <v>0</v>
      </c>
      <c r="J1383">
        <f>_xlfn.XLOOKUP($A1383,Load!$B:$B,Load!K:K,0,)</f>
        <v>0</v>
      </c>
      <c r="K1383">
        <f>_xlfn.XLOOKUP($A1383,Load!$B:$B,Load!L:L,0,)</f>
        <v>0</v>
      </c>
      <c r="L1383">
        <f>_xlfn.XLOOKUP($A1383,Load!$B:$B,Load!M:M,0,)</f>
        <v>0</v>
      </c>
    </row>
    <row r="1384" spans="1:12" x14ac:dyDescent="0.25">
      <c r="A1384" t="s">
        <v>148</v>
      </c>
      <c r="B1384" t="str">
        <f>_xlfn.XLOOKUP($A1384,Load!$B:$B,Load!C:C,0,)</f>
        <v>Jelly Belly</v>
      </c>
      <c r="C1384" t="str">
        <f>_xlfn.XLOOKUP($A1384,Load!$B:$B,Load!D:D,0,)</f>
        <v>Non-Chocolate Candy Only</v>
      </c>
      <c r="D1384" t="str">
        <f>_xlfn.XLOOKUP($A1384,Load!$B:$B,Load!E:E,0,)</f>
        <v>Variety / Mixed Flavors (Fruity, Sour, Seasonal Flavors)</v>
      </c>
      <c r="E1384" t="str">
        <f>_xlfn.XLOOKUP($A1384,Load!$B:$B,Load!F:F,0,)</f>
        <v>Candy Pieces / Bites</v>
      </c>
      <c r="F1384" t="str">
        <f>_xlfn.XLOOKUP($A1384,Load!$B:$B,Load!G:G,0,)</f>
        <v>Single Pack</v>
      </c>
      <c r="G1384" t="str">
        <f>_xlfn.XLOOKUP($A1384,Load!$B:$B,Load!H:H,0,)</f>
        <v>Stand-Up Bag</v>
      </c>
      <c r="H1384" t="str">
        <f>_xlfn.XLOOKUP($A1384,Load!$B:$B,Load!I:I,0,)</f>
        <v>Everyday Candy Shapes (like Original, Gummy bear, Fruit, Jewels, etc.)</v>
      </c>
      <c r="I1384" t="str">
        <f>_xlfn.XLOOKUP($A1384,Load!$B:$B,Load!J:J,0,)</f>
        <v>Seasonal Graphics (Like Bat, Ghost, Pumpkin, Fall Leaves, Eyeballs, etc.)</v>
      </c>
      <c r="J1384" t="str">
        <f>_xlfn.XLOOKUP($A1384,Load!$B:$B,Load!K:K,0,)</f>
        <v>Small Pieces (Tiny bite size candies)</v>
      </c>
      <c r="K1384" t="str">
        <f>_xlfn.XLOOKUP($A1384,Load!$B:$B,Load!L:L,0,)</f>
        <v>Unwrapped</v>
      </c>
      <c r="L1384" t="str">
        <f>_xlfn.XLOOKUP($A1384,Load!$B:$B,Load!M:M,0,)</f>
        <v>Single Brand / Variety Flavors or Form</v>
      </c>
    </row>
    <row r="1385" spans="1:12" x14ac:dyDescent="0.25">
      <c r="A1385" t="s">
        <v>24</v>
      </c>
      <c r="B1385" t="str">
        <f>_xlfn.XLOOKUP($A1385,Load!$B:$B,Load!C:C,0,)</f>
        <v>Albanese</v>
      </c>
      <c r="C1385" t="str">
        <f>_xlfn.XLOOKUP($A1385,Load!$B:$B,Load!D:D,0,)</f>
        <v>Non-Chocolate Candy Only</v>
      </c>
      <c r="D1385" t="str">
        <f>_xlfn.XLOOKUP($A1385,Load!$B:$B,Load!E:E,0,)</f>
        <v>Fruit Flavor (Cherry, Grape, Apple, Citrus, Tropical Fruit)</v>
      </c>
      <c r="E1385" t="str">
        <f>_xlfn.XLOOKUP($A1385,Load!$B:$B,Load!F:F,0,)</f>
        <v>Gummy</v>
      </c>
      <c r="F1385" t="str">
        <f>_xlfn.XLOOKUP($A1385,Load!$B:$B,Load!G:G,0,)</f>
        <v>Small Multipack (Less than 40 ct)</v>
      </c>
      <c r="G1385" t="str">
        <f>_xlfn.XLOOKUP($A1385,Load!$B:$B,Load!H:H,0,)</f>
        <v>Stand-Up Bag</v>
      </c>
      <c r="H1385" t="str">
        <f>_xlfn.XLOOKUP($A1385,Load!$B:$B,Load!I:I,0,)</f>
        <v>Seasonal Shapes (like pumpkins, candy corn, ghost, bats, etc.)</v>
      </c>
      <c r="I1385" t="str">
        <f>_xlfn.XLOOKUP($A1385,Load!$B:$B,Load!J:J,0,)</f>
        <v>Seasonal Graphics (Like Bat, Ghost, Pumpkin, Fall Leaves, Eyeballs, etc.)</v>
      </c>
      <c r="J1385" t="str">
        <f>_xlfn.XLOOKUP($A1385,Load!$B:$B,Load!K:K,0,)</f>
        <v>Small Pieces (Tiny bite size candies)</v>
      </c>
      <c r="K1385" t="str">
        <f>_xlfn.XLOOKUP($A1385,Load!$B:$B,Load!L:L,0,)</f>
        <v>unwrapped</v>
      </c>
      <c r="L1385" t="str">
        <f>_xlfn.XLOOKUP($A1385,Load!$B:$B,Load!M:M,0,)</f>
        <v>Single Brand / Variety Flavors or Form</v>
      </c>
    </row>
    <row r="1386" spans="1:12" x14ac:dyDescent="0.25">
      <c r="A1386" t="s">
        <v>147</v>
      </c>
      <c r="B1386" t="str">
        <f>_xlfn.XLOOKUP($A1386,Load!$B:$B,Load!C:C,0,)</f>
        <v>Jelly Belly</v>
      </c>
      <c r="C1386" t="str">
        <f>_xlfn.XLOOKUP($A1386,Load!$B:$B,Load!D:D,0,)</f>
        <v>Non-Chocolate Candy Only</v>
      </c>
      <c r="D1386" t="str">
        <f>_xlfn.XLOOKUP($A1386,Load!$B:$B,Load!E:E,0,)</f>
        <v>Variety / Mixed Flavors (Fruity, Sour, Seasonal Flavors)</v>
      </c>
      <c r="E1386" t="str">
        <f>_xlfn.XLOOKUP($A1386,Load!$B:$B,Load!F:F,0,)</f>
        <v>Candy Pieces / Bites</v>
      </c>
      <c r="F1386" t="str">
        <f>_xlfn.XLOOKUP($A1386,Load!$B:$B,Load!G:G,0,)</f>
        <v>Medium Multipack (40–80 ct)</v>
      </c>
      <c r="G1386" t="str">
        <f>_xlfn.XLOOKUP($A1386,Load!$B:$B,Load!H:H,0,)</f>
        <v>Box (theatre box, gift box, carton)</v>
      </c>
      <c r="H1386" t="str">
        <f>_xlfn.XLOOKUP($A1386,Load!$B:$B,Load!I:I,0,)</f>
        <v>Everyday Candy Shapes (like Original, Gummy bear, Fruit, Jewels, etc.)</v>
      </c>
      <c r="I1386" t="str">
        <f>_xlfn.XLOOKUP($A1386,Load!$B:$B,Load!J:J,0,)</f>
        <v>Everyday Graphics</v>
      </c>
      <c r="J1386" t="str">
        <f>_xlfn.XLOOKUP($A1386,Load!$B:$B,Load!K:K,0,)</f>
        <v>Small Pieces (Tiny bite size candies)</v>
      </c>
      <c r="K1386" t="str">
        <f>_xlfn.XLOOKUP($A1386,Load!$B:$B,Load!L:L,0,)</f>
        <v>Regular/Original Wrapping</v>
      </c>
      <c r="L1386" t="str">
        <f>_xlfn.XLOOKUP($A1386,Load!$B:$B,Load!M:M,0,)</f>
        <v>Single Brand / Variety Flavors or Form</v>
      </c>
    </row>
    <row r="1387" spans="1:12" x14ac:dyDescent="0.25">
      <c r="A1387" t="s">
        <v>254</v>
      </c>
      <c r="B1387" t="str">
        <f>_xlfn.XLOOKUP($A1387,Load!$B:$B,Load!C:C,0,)</f>
        <v>Skittles</v>
      </c>
      <c r="C1387" t="str">
        <f>_xlfn.XLOOKUP($A1387,Load!$B:$B,Load!D:D,0,)</f>
        <v>Non-Chocolate Candy Only</v>
      </c>
      <c r="D1387" t="str">
        <f>_xlfn.XLOOKUP($A1387,Load!$B:$B,Load!E:E,0,)</f>
        <v>Variety / Mixed Flavors (Fruity, Sour, Seasonal Flavors)</v>
      </c>
      <c r="E1387" t="str">
        <f>_xlfn.XLOOKUP($A1387,Load!$B:$B,Load!F:F,0,)</f>
        <v>Candy Pieces / Bites</v>
      </c>
      <c r="F1387" t="str">
        <f>_xlfn.XLOOKUP($A1387,Load!$B:$B,Load!G:G,0,)</f>
        <v>Medium Multipack (40–80 ct)</v>
      </c>
      <c r="G1387" t="str">
        <f>_xlfn.XLOOKUP($A1387,Load!$B:$B,Load!H:H,0,)</f>
        <v>Stand-Up Bag</v>
      </c>
      <c r="H1387" t="str">
        <f>_xlfn.XLOOKUP($A1387,Load!$B:$B,Load!I:I,0,)</f>
        <v>Everyday Candy Shapes (like Original, Gummy bear, Fruit, Jewels, etc.)</v>
      </c>
      <c r="I1387" t="str">
        <f>_xlfn.XLOOKUP($A1387,Load!$B:$B,Load!J:J,0,)</f>
        <v>Everyday Graphics</v>
      </c>
      <c r="J1387" t="str">
        <f>_xlfn.XLOOKUP($A1387,Load!$B:$B,Load!K:K,0,)</f>
        <v>Small Pieces (Tiny bite size candies)</v>
      </c>
      <c r="K1387" t="str">
        <f>_xlfn.XLOOKUP($A1387,Load!$B:$B,Load!L:L,0,)</f>
        <v>Regular/Original Wrapping</v>
      </c>
      <c r="L1387" t="str">
        <f>_xlfn.XLOOKUP($A1387,Load!$B:$B,Load!M:M,0,)</f>
        <v>Single Brand / Variety Flavors or Form</v>
      </c>
    </row>
    <row r="1388" spans="1:12" x14ac:dyDescent="0.25">
      <c r="B1388">
        <f>_xlfn.XLOOKUP($A1388,Load!$B:$B,Load!C:C,0,)</f>
        <v>0</v>
      </c>
      <c r="C1388">
        <f>_xlfn.XLOOKUP($A1388,Load!$B:$B,Load!D:D,0,)</f>
        <v>0</v>
      </c>
      <c r="D1388">
        <f>_xlfn.XLOOKUP($A1388,Load!$B:$B,Load!E:E,0,)</f>
        <v>0</v>
      </c>
      <c r="E1388">
        <f>_xlfn.XLOOKUP($A1388,Load!$B:$B,Load!F:F,0,)</f>
        <v>0</v>
      </c>
      <c r="F1388">
        <f>_xlfn.XLOOKUP($A1388,Load!$B:$B,Load!G:G,0,)</f>
        <v>0</v>
      </c>
      <c r="G1388">
        <f>_xlfn.XLOOKUP($A1388,Load!$B:$B,Load!H:H,0,)</f>
        <v>0</v>
      </c>
      <c r="H1388">
        <f>_xlfn.XLOOKUP($A1388,Load!$B:$B,Load!I:I,0,)</f>
        <v>0</v>
      </c>
      <c r="I1388">
        <f>_xlfn.XLOOKUP($A1388,Load!$B:$B,Load!J:J,0,)</f>
        <v>0</v>
      </c>
      <c r="J1388">
        <f>_xlfn.XLOOKUP($A1388,Load!$B:$B,Load!K:K,0,)</f>
        <v>0</v>
      </c>
      <c r="K1388">
        <f>_xlfn.XLOOKUP($A1388,Load!$B:$B,Load!L:L,0,)</f>
        <v>0</v>
      </c>
      <c r="L1388">
        <f>_xlfn.XLOOKUP($A1388,Load!$B:$B,Load!M:M,0,)</f>
        <v>0</v>
      </c>
    </row>
    <row r="1389" spans="1:12" x14ac:dyDescent="0.25">
      <c r="B1389">
        <f>_xlfn.XLOOKUP($A1389,Load!$B:$B,Load!C:C,0,)</f>
        <v>0</v>
      </c>
      <c r="C1389">
        <f>_xlfn.XLOOKUP($A1389,Load!$B:$B,Load!D:D,0,)</f>
        <v>0</v>
      </c>
      <c r="D1389">
        <f>_xlfn.XLOOKUP($A1389,Load!$B:$B,Load!E:E,0,)</f>
        <v>0</v>
      </c>
      <c r="E1389">
        <f>_xlfn.XLOOKUP($A1389,Load!$B:$B,Load!F:F,0,)</f>
        <v>0</v>
      </c>
      <c r="F1389">
        <f>_xlfn.XLOOKUP($A1389,Load!$B:$B,Load!G:G,0,)</f>
        <v>0</v>
      </c>
      <c r="G1389">
        <f>_xlfn.XLOOKUP($A1389,Load!$B:$B,Load!H:H,0,)</f>
        <v>0</v>
      </c>
      <c r="H1389">
        <f>_xlfn.XLOOKUP($A1389,Load!$B:$B,Load!I:I,0,)</f>
        <v>0</v>
      </c>
      <c r="I1389">
        <f>_xlfn.XLOOKUP($A1389,Load!$B:$B,Load!J:J,0,)</f>
        <v>0</v>
      </c>
      <c r="J1389">
        <f>_xlfn.XLOOKUP($A1389,Load!$B:$B,Load!K:K,0,)</f>
        <v>0</v>
      </c>
      <c r="K1389">
        <f>_xlfn.XLOOKUP($A1389,Load!$B:$B,Load!L:L,0,)</f>
        <v>0</v>
      </c>
      <c r="L1389">
        <f>_xlfn.XLOOKUP($A1389,Load!$B:$B,Load!M:M,0,)</f>
        <v>0</v>
      </c>
    </row>
    <row r="1390" spans="1:12" x14ac:dyDescent="0.25">
      <c r="B1390">
        <f>_xlfn.XLOOKUP($A1390,Load!$B:$B,Load!C:C,0,)</f>
        <v>0</v>
      </c>
      <c r="C1390">
        <f>_xlfn.XLOOKUP($A1390,Load!$B:$B,Load!D:D,0,)</f>
        <v>0</v>
      </c>
      <c r="D1390">
        <f>_xlfn.XLOOKUP($A1390,Load!$B:$B,Load!E:E,0,)</f>
        <v>0</v>
      </c>
      <c r="E1390">
        <f>_xlfn.XLOOKUP($A1390,Load!$B:$B,Load!F:F,0,)</f>
        <v>0</v>
      </c>
      <c r="F1390">
        <f>_xlfn.XLOOKUP($A1390,Load!$B:$B,Load!G:G,0,)</f>
        <v>0</v>
      </c>
      <c r="G1390">
        <f>_xlfn.XLOOKUP($A1390,Load!$B:$B,Load!H:H,0,)</f>
        <v>0</v>
      </c>
      <c r="H1390">
        <f>_xlfn.XLOOKUP($A1390,Load!$B:$B,Load!I:I,0,)</f>
        <v>0</v>
      </c>
      <c r="I1390">
        <f>_xlfn.XLOOKUP($A1390,Load!$B:$B,Load!J:J,0,)</f>
        <v>0</v>
      </c>
      <c r="J1390">
        <f>_xlfn.XLOOKUP($A1390,Load!$B:$B,Load!K:K,0,)</f>
        <v>0</v>
      </c>
      <c r="K1390">
        <f>_xlfn.XLOOKUP($A1390,Load!$B:$B,Load!L:L,0,)</f>
        <v>0</v>
      </c>
      <c r="L1390">
        <f>_xlfn.XLOOKUP($A1390,Load!$B:$B,Load!M:M,0,)</f>
        <v>0</v>
      </c>
    </row>
    <row r="1391" spans="1:12" x14ac:dyDescent="0.25">
      <c r="B1391">
        <f>_xlfn.XLOOKUP($A1391,Load!$B:$B,Load!C:C,0,)</f>
        <v>0</v>
      </c>
      <c r="C1391">
        <f>_xlfn.XLOOKUP($A1391,Load!$B:$B,Load!D:D,0,)</f>
        <v>0</v>
      </c>
      <c r="D1391">
        <f>_xlfn.XLOOKUP($A1391,Load!$B:$B,Load!E:E,0,)</f>
        <v>0</v>
      </c>
      <c r="E1391">
        <f>_xlfn.XLOOKUP($A1391,Load!$B:$B,Load!F:F,0,)</f>
        <v>0</v>
      </c>
      <c r="F1391">
        <f>_xlfn.XLOOKUP($A1391,Load!$B:$B,Load!G:G,0,)</f>
        <v>0</v>
      </c>
      <c r="G1391">
        <f>_xlfn.XLOOKUP($A1391,Load!$B:$B,Load!H:H,0,)</f>
        <v>0</v>
      </c>
      <c r="H1391">
        <f>_xlfn.XLOOKUP($A1391,Load!$B:$B,Load!I:I,0,)</f>
        <v>0</v>
      </c>
      <c r="I1391">
        <f>_xlfn.XLOOKUP($A1391,Load!$B:$B,Load!J:J,0,)</f>
        <v>0</v>
      </c>
      <c r="J1391">
        <f>_xlfn.XLOOKUP($A1391,Load!$B:$B,Load!K:K,0,)</f>
        <v>0</v>
      </c>
      <c r="K1391">
        <f>_xlfn.XLOOKUP($A1391,Load!$B:$B,Load!L:L,0,)</f>
        <v>0</v>
      </c>
      <c r="L1391">
        <f>_xlfn.XLOOKUP($A1391,Load!$B:$B,Load!M:M,0,)</f>
        <v>0</v>
      </c>
    </row>
    <row r="1392" spans="1:12" x14ac:dyDescent="0.25">
      <c r="A1392" t="s">
        <v>128</v>
      </c>
      <c r="B1392" t="str">
        <f>_xlfn.XLOOKUP($A1392,Load!$B:$B,Load!C:C,0,)</f>
        <v>HARIBO</v>
      </c>
      <c r="C1392" t="str">
        <f>_xlfn.XLOOKUP($A1392,Load!$B:$B,Load!D:D,0,)</f>
        <v>Non-Chocolate Candy Only</v>
      </c>
      <c r="D1392" t="str">
        <f>_xlfn.XLOOKUP($A1392,Load!$B:$B,Load!E:E,0,)</f>
        <v>Fruit Flavor (Cherry, Grape, Apple, Citrus, Tropical Fruit)</v>
      </c>
      <c r="E1392" t="str">
        <f>_xlfn.XLOOKUP($A1392,Load!$B:$B,Load!F:F,0,)</f>
        <v>Gummy</v>
      </c>
      <c r="F1392" t="str">
        <f>_xlfn.XLOOKUP($A1392,Load!$B:$B,Load!G:G,0,)</f>
        <v>Medium Multipack (40–80 ct)</v>
      </c>
      <c r="G1392" t="str">
        <f>_xlfn.XLOOKUP($A1392,Load!$B:$B,Load!H:H,0,)</f>
        <v>Plastic Cup / Container</v>
      </c>
      <c r="H1392" t="str">
        <f>_xlfn.XLOOKUP($A1392,Load!$B:$B,Load!I:I,0,)</f>
        <v>Everyday Candy Shapes (like Original, Gummy bear, Fruit, Jewels, etc.)</v>
      </c>
      <c r="I1392" t="str">
        <f>_xlfn.XLOOKUP($A1392,Load!$B:$B,Load!J:J,0,)</f>
        <v>Everyday Graphics</v>
      </c>
      <c r="J1392" t="str">
        <f>_xlfn.XLOOKUP($A1392,Load!$B:$B,Load!K:K,0,)</f>
        <v>Small Pieces (Tiny bite size candies)</v>
      </c>
      <c r="K1392" t="str">
        <f>_xlfn.XLOOKUP($A1392,Load!$B:$B,Load!L:L,0,)</f>
        <v>Regular/Original Wrapping</v>
      </c>
      <c r="L1392" t="str">
        <f>_xlfn.XLOOKUP($A1392,Load!$B:$B,Load!M:M,0,)</f>
        <v>Single Brand / Variety Flavors or Form</v>
      </c>
    </row>
    <row r="1393" spans="1:12" x14ac:dyDescent="0.25">
      <c r="B1393">
        <f>_xlfn.XLOOKUP($A1393,Load!$B:$B,Load!C:C,0,)</f>
        <v>0</v>
      </c>
      <c r="C1393">
        <f>_xlfn.XLOOKUP($A1393,Load!$B:$B,Load!D:D,0,)</f>
        <v>0</v>
      </c>
      <c r="D1393">
        <f>_xlfn.XLOOKUP($A1393,Load!$B:$B,Load!E:E,0,)</f>
        <v>0</v>
      </c>
      <c r="E1393">
        <f>_xlfn.XLOOKUP($A1393,Load!$B:$B,Load!F:F,0,)</f>
        <v>0</v>
      </c>
      <c r="F1393">
        <f>_xlfn.XLOOKUP($A1393,Load!$B:$B,Load!G:G,0,)</f>
        <v>0</v>
      </c>
      <c r="G1393">
        <f>_xlfn.XLOOKUP($A1393,Load!$B:$B,Load!H:H,0,)</f>
        <v>0</v>
      </c>
      <c r="H1393">
        <f>_xlfn.XLOOKUP($A1393,Load!$B:$B,Load!I:I,0,)</f>
        <v>0</v>
      </c>
      <c r="I1393">
        <f>_xlfn.XLOOKUP($A1393,Load!$B:$B,Load!J:J,0,)</f>
        <v>0</v>
      </c>
      <c r="J1393">
        <f>_xlfn.XLOOKUP($A1393,Load!$B:$B,Load!K:K,0,)</f>
        <v>0</v>
      </c>
      <c r="K1393">
        <f>_xlfn.XLOOKUP($A1393,Load!$B:$B,Load!L:L,0,)</f>
        <v>0</v>
      </c>
      <c r="L1393">
        <f>_xlfn.XLOOKUP($A1393,Load!$B:$B,Load!M:M,0,)</f>
        <v>0</v>
      </c>
    </row>
    <row r="1394" spans="1:12" x14ac:dyDescent="0.25">
      <c r="A1394" t="s">
        <v>51</v>
      </c>
      <c r="B1394" t="str">
        <f>_xlfn.XLOOKUP($A1394,Load!$B:$B,Load!C:C,0,)</f>
        <v>Brach's</v>
      </c>
      <c r="C1394" t="str">
        <f>_xlfn.XLOOKUP($A1394,Load!$B:$B,Load!D:D,0,)</f>
        <v>Non-Chocolate Candy Only</v>
      </c>
      <c r="D1394" t="str">
        <f>_xlfn.XLOOKUP($A1394,Load!$B:$B,Load!E:E,0,)</f>
        <v>Fall / Seasonal Flavors (pumpkin spice, caramel apple, candy corn)</v>
      </c>
      <c r="E1394" t="str">
        <f>_xlfn.XLOOKUP($A1394,Load!$B:$B,Load!F:F,0,)</f>
        <v>Candy Pieces / Bites</v>
      </c>
      <c r="F1394" t="str">
        <f>_xlfn.XLOOKUP($A1394,Load!$B:$B,Load!G:G,0,)</f>
        <v>Single Pack</v>
      </c>
      <c r="G1394" t="str">
        <f>_xlfn.XLOOKUP($A1394,Load!$B:$B,Load!H:H,0,)</f>
        <v>Laydown Bag</v>
      </c>
      <c r="H1394" t="str">
        <f>_xlfn.XLOOKUP($A1394,Load!$B:$B,Load!I:I,0,)</f>
        <v>Seasonal Shapes (like pumpkins, candy corn, ghost, bats, etc.)</v>
      </c>
      <c r="I1394" t="str">
        <f>_xlfn.XLOOKUP($A1394,Load!$B:$B,Load!J:J,0,)</f>
        <v>Seasonal Graphics (Like Bat, Ghost, Pumpkin, Fall Leaves, Eyeballs, etc.)</v>
      </c>
      <c r="J1394" t="str">
        <f>_xlfn.XLOOKUP($A1394,Load!$B:$B,Load!K:K,0,)</f>
        <v>Small Pieces (Tiny bite size candies)</v>
      </c>
      <c r="K1394" t="str">
        <f>_xlfn.XLOOKUP($A1394,Load!$B:$B,Load!L:L,0,)</f>
        <v>Unwrapped</v>
      </c>
      <c r="L1394" t="str">
        <f>_xlfn.XLOOKUP($A1394,Load!$B:$B,Load!M:M,0,)</f>
        <v>Single Brand / Single Flavor or Form</v>
      </c>
    </row>
    <row r="1395" spans="1:12" x14ac:dyDescent="0.25">
      <c r="A1395" t="s">
        <v>261</v>
      </c>
      <c r="B1395" t="str">
        <f>_xlfn.XLOOKUP($A1395,Load!$B:$B,Load!C:C,0,)</f>
        <v>Skittles</v>
      </c>
      <c r="C1395" t="str">
        <f>_xlfn.XLOOKUP($A1395,Load!$B:$B,Load!D:D,0,)</f>
        <v>Non-Chocolate Candy Only</v>
      </c>
      <c r="D1395" t="str">
        <f>_xlfn.XLOOKUP($A1395,Load!$B:$B,Load!E:E,0,)</f>
        <v>Fruit Flavor (Cherry, Grape, Apple, Citrus, Tropical Fruit)</v>
      </c>
      <c r="E1395" t="str">
        <f>_xlfn.XLOOKUP($A1395,Load!$B:$B,Load!F:F,0,)</f>
        <v>Candy Pieces / Bites</v>
      </c>
      <c r="F1395" t="str">
        <f>_xlfn.XLOOKUP($A1395,Load!$B:$B,Load!G:G,0,)</f>
        <v>Single Pack</v>
      </c>
      <c r="G1395" t="str">
        <f>_xlfn.XLOOKUP($A1395,Load!$B:$B,Load!H:H,0,)</f>
        <v>Laydown Bag</v>
      </c>
      <c r="H1395" t="str">
        <f>_xlfn.XLOOKUP($A1395,Load!$B:$B,Load!I:I,0,)</f>
        <v>Everyday Candy Shapes (like Original, Gummy bear, Fruit, Jewels, etc.)</v>
      </c>
      <c r="I1395" t="str">
        <f>_xlfn.XLOOKUP($A1395,Load!$B:$B,Load!J:J,0,)</f>
        <v>Everyday Graphics</v>
      </c>
      <c r="J1395" t="str">
        <f>_xlfn.XLOOKUP($A1395,Load!$B:$B,Load!K:K,0,)</f>
        <v>Small Pieces (Tiny bite size candies)</v>
      </c>
      <c r="K1395" t="str">
        <f>_xlfn.XLOOKUP($A1395,Load!$B:$B,Load!L:L,0,)</f>
        <v>Unwrapped</v>
      </c>
      <c r="L1395" t="str">
        <f>_xlfn.XLOOKUP($A1395,Load!$B:$B,Load!M:M,0,)</f>
        <v>Single Brand / Single Flavor or Form</v>
      </c>
    </row>
    <row r="1396" spans="1:12" x14ac:dyDescent="0.25">
      <c r="B1396">
        <f>_xlfn.XLOOKUP($A1396,Load!$B:$B,Load!C:C,0,)</f>
        <v>0</v>
      </c>
      <c r="C1396">
        <f>_xlfn.XLOOKUP($A1396,Load!$B:$B,Load!D:D,0,)</f>
        <v>0</v>
      </c>
      <c r="D1396">
        <f>_xlfn.XLOOKUP($A1396,Load!$B:$B,Load!E:E,0,)</f>
        <v>0</v>
      </c>
      <c r="E1396">
        <f>_xlfn.XLOOKUP($A1396,Load!$B:$B,Load!F:F,0,)</f>
        <v>0</v>
      </c>
      <c r="F1396">
        <f>_xlfn.XLOOKUP($A1396,Load!$B:$B,Load!G:G,0,)</f>
        <v>0</v>
      </c>
      <c r="G1396">
        <f>_xlfn.XLOOKUP($A1396,Load!$B:$B,Load!H:H,0,)</f>
        <v>0</v>
      </c>
      <c r="H1396">
        <f>_xlfn.XLOOKUP($A1396,Load!$B:$B,Load!I:I,0,)</f>
        <v>0</v>
      </c>
      <c r="I1396">
        <f>_xlfn.XLOOKUP($A1396,Load!$B:$B,Load!J:J,0,)</f>
        <v>0</v>
      </c>
      <c r="J1396">
        <f>_xlfn.XLOOKUP($A1396,Load!$B:$B,Load!K:K,0,)</f>
        <v>0</v>
      </c>
      <c r="K1396">
        <f>_xlfn.XLOOKUP($A1396,Load!$B:$B,Load!L:L,0,)</f>
        <v>0</v>
      </c>
      <c r="L1396">
        <f>_xlfn.XLOOKUP($A1396,Load!$B:$B,Load!M:M,0,)</f>
        <v>0</v>
      </c>
    </row>
    <row r="1397" spans="1:12" x14ac:dyDescent="0.25">
      <c r="B1397">
        <f>_xlfn.XLOOKUP($A1397,Load!$B:$B,Load!C:C,0,)</f>
        <v>0</v>
      </c>
      <c r="C1397">
        <f>_xlfn.XLOOKUP($A1397,Load!$B:$B,Load!D:D,0,)</f>
        <v>0</v>
      </c>
      <c r="D1397">
        <f>_xlfn.XLOOKUP($A1397,Load!$B:$B,Load!E:E,0,)</f>
        <v>0</v>
      </c>
      <c r="E1397">
        <f>_xlfn.XLOOKUP($A1397,Load!$B:$B,Load!F:F,0,)</f>
        <v>0</v>
      </c>
      <c r="F1397">
        <f>_xlfn.XLOOKUP($A1397,Load!$B:$B,Load!G:G,0,)</f>
        <v>0</v>
      </c>
      <c r="G1397">
        <f>_xlfn.XLOOKUP($A1397,Load!$B:$B,Load!H:H,0,)</f>
        <v>0</v>
      </c>
      <c r="H1397">
        <f>_xlfn.XLOOKUP($A1397,Load!$B:$B,Load!I:I,0,)</f>
        <v>0</v>
      </c>
      <c r="I1397">
        <f>_xlfn.XLOOKUP($A1397,Load!$B:$B,Load!J:J,0,)</f>
        <v>0</v>
      </c>
      <c r="J1397">
        <f>_xlfn.XLOOKUP($A1397,Load!$B:$B,Load!K:K,0,)</f>
        <v>0</v>
      </c>
      <c r="K1397">
        <f>_xlfn.XLOOKUP($A1397,Load!$B:$B,Load!L:L,0,)</f>
        <v>0</v>
      </c>
      <c r="L1397">
        <f>_xlfn.XLOOKUP($A1397,Load!$B:$B,Load!M:M,0,)</f>
        <v>0</v>
      </c>
    </row>
    <row r="1398" spans="1:12" x14ac:dyDescent="0.25">
      <c r="B1398">
        <f>_xlfn.XLOOKUP($A1398,Load!$B:$B,Load!C:C,0,)</f>
        <v>0</v>
      </c>
      <c r="C1398">
        <f>_xlfn.XLOOKUP($A1398,Load!$B:$B,Load!D:D,0,)</f>
        <v>0</v>
      </c>
      <c r="D1398">
        <f>_xlfn.XLOOKUP($A1398,Load!$B:$B,Load!E:E,0,)</f>
        <v>0</v>
      </c>
      <c r="E1398">
        <f>_xlfn.XLOOKUP($A1398,Load!$B:$B,Load!F:F,0,)</f>
        <v>0</v>
      </c>
      <c r="F1398">
        <f>_xlfn.XLOOKUP($A1398,Load!$B:$B,Load!G:G,0,)</f>
        <v>0</v>
      </c>
      <c r="G1398">
        <f>_xlfn.XLOOKUP($A1398,Load!$B:$B,Load!H:H,0,)</f>
        <v>0</v>
      </c>
      <c r="H1398">
        <f>_xlfn.XLOOKUP($A1398,Load!$B:$B,Load!I:I,0,)</f>
        <v>0</v>
      </c>
      <c r="I1398">
        <f>_xlfn.XLOOKUP($A1398,Load!$B:$B,Load!J:J,0,)</f>
        <v>0</v>
      </c>
      <c r="J1398">
        <f>_xlfn.XLOOKUP($A1398,Load!$B:$B,Load!K:K,0,)</f>
        <v>0</v>
      </c>
      <c r="K1398">
        <f>_xlfn.XLOOKUP($A1398,Load!$B:$B,Load!L:L,0,)</f>
        <v>0</v>
      </c>
      <c r="L1398">
        <f>_xlfn.XLOOKUP($A1398,Load!$B:$B,Load!M:M,0,)</f>
        <v>0</v>
      </c>
    </row>
    <row r="1399" spans="1:12" x14ac:dyDescent="0.25">
      <c r="B1399">
        <f>_xlfn.XLOOKUP($A1399,Load!$B:$B,Load!C:C,0,)</f>
        <v>0</v>
      </c>
      <c r="C1399">
        <f>_xlfn.XLOOKUP($A1399,Load!$B:$B,Load!D:D,0,)</f>
        <v>0</v>
      </c>
      <c r="D1399">
        <f>_xlfn.XLOOKUP($A1399,Load!$B:$B,Load!E:E,0,)</f>
        <v>0</v>
      </c>
      <c r="E1399">
        <f>_xlfn.XLOOKUP($A1399,Load!$B:$B,Load!F:F,0,)</f>
        <v>0</v>
      </c>
      <c r="F1399">
        <f>_xlfn.XLOOKUP($A1399,Load!$B:$B,Load!G:G,0,)</f>
        <v>0</v>
      </c>
      <c r="G1399">
        <f>_xlfn.XLOOKUP($A1399,Load!$B:$B,Load!H:H,0,)</f>
        <v>0</v>
      </c>
      <c r="H1399">
        <f>_xlfn.XLOOKUP($A1399,Load!$B:$B,Load!I:I,0,)</f>
        <v>0</v>
      </c>
      <c r="I1399">
        <f>_xlfn.XLOOKUP($A1399,Load!$B:$B,Load!J:J,0,)</f>
        <v>0</v>
      </c>
      <c r="J1399">
        <f>_xlfn.XLOOKUP($A1399,Load!$B:$B,Load!K:K,0,)</f>
        <v>0</v>
      </c>
      <c r="K1399">
        <f>_xlfn.XLOOKUP($A1399,Load!$B:$B,Load!L:L,0,)</f>
        <v>0</v>
      </c>
      <c r="L1399">
        <f>_xlfn.XLOOKUP($A1399,Load!$B:$B,Load!M:M,0,)</f>
        <v>0</v>
      </c>
    </row>
    <row r="1400" spans="1:12" x14ac:dyDescent="0.25">
      <c r="B1400">
        <f>_xlfn.XLOOKUP($A1400,Load!$B:$B,Load!C:C,0,)</f>
        <v>0</v>
      </c>
      <c r="C1400">
        <f>_xlfn.XLOOKUP($A1400,Load!$B:$B,Load!D:D,0,)</f>
        <v>0</v>
      </c>
      <c r="D1400">
        <f>_xlfn.XLOOKUP($A1400,Load!$B:$B,Load!E:E,0,)</f>
        <v>0</v>
      </c>
      <c r="E1400">
        <f>_xlfn.XLOOKUP($A1400,Load!$B:$B,Load!F:F,0,)</f>
        <v>0</v>
      </c>
      <c r="F1400">
        <f>_xlfn.XLOOKUP($A1400,Load!$B:$B,Load!G:G,0,)</f>
        <v>0</v>
      </c>
      <c r="G1400">
        <f>_xlfn.XLOOKUP($A1400,Load!$B:$B,Load!H:H,0,)</f>
        <v>0</v>
      </c>
      <c r="H1400">
        <f>_xlfn.XLOOKUP($A1400,Load!$B:$B,Load!I:I,0,)</f>
        <v>0</v>
      </c>
      <c r="I1400">
        <f>_xlfn.XLOOKUP($A1400,Load!$B:$B,Load!J:J,0,)</f>
        <v>0</v>
      </c>
      <c r="J1400">
        <f>_xlfn.XLOOKUP($A1400,Load!$B:$B,Load!K:K,0,)</f>
        <v>0</v>
      </c>
      <c r="K1400">
        <f>_xlfn.XLOOKUP($A1400,Load!$B:$B,Load!L:L,0,)</f>
        <v>0</v>
      </c>
      <c r="L1400">
        <f>_xlfn.XLOOKUP($A1400,Load!$B:$B,Load!M:M,0,)</f>
        <v>0</v>
      </c>
    </row>
    <row r="1401" spans="1:12" x14ac:dyDescent="0.25">
      <c r="B1401">
        <f>_xlfn.XLOOKUP($A1401,Load!$B:$B,Load!C:C,0,)</f>
        <v>0</v>
      </c>
      <c r="C1401">
        <f>_xlfn.XLOOKUP($A1401,Load!$B:$B,Load!D:D,0,)</f>
        <v>0</v>
      </c>
      <c r="D1401">
        <f>_xlfn.XLOOKUP($A1401,Load!$B:$B,Load!E:E,0,)</f>
        <v>0</v>
      </c>
      <c r="E1401">
        <f>_xlfn.XLOOKUP($A1401,Load!$B:$B,Load!F:F,0,)</f>
        <v>0</v>
      </c>
      <c r="F1401">
        <f>_xlfn.XLOOKUP($A1401,Load!$B:$B,Load!G:G,0,)</f>
        <v>0</v>
      </c>
      <c r="G1401">
        <f>_xlfn.XLOOKUP($A1401,Load!$B:$B,Load!H:H,0,)</f>
        <v>0</v>
      </c>
      <c r="H1401">
        <f>_xlfn.XLOOKUP($A1401,Load!$B:$B,Load!I:I,0,)</f>
        <v>0</v>
      </c>
      <c r="I1401">
        <f>_xlfn.XLOOKUP($A1401,Load!$B:$B,Load!J:J,0,)</f>
        <v>0</v>
      </c>
      <c r="J1401">
        <f>_xlfn.XLOOKUP($A1401,Load!$B:$B,Load!K:K,0,)</f>
        <v>0</v>
      </c>
      <c r="K1401">
        <f>_xlfn.XLOOKUP($A1401,Load!$B:$B,Load!L:L,0,)</f>
        <v>0</v>
      </c>
      <c r="L1401">
        <f>_xlfn.XLOOKUP($A1401,Load!$B:$B,Load!M:M,0,)</f>
        <v>0</v>
      </c>
    </row>
    <row r="1402" spans="1:12" x14ac:dyDescent="0.25">
      <c r="B1402">
        <f>_xlfn.XLOOKUP($A1402,Load!$B:$B,Load!C:C,0,)</f>
        <v>0</v>
      </c>
      <c r="C1402">
        <f>_xlfn.XLOOKUP($A1402,Load!$B:$B,Load!D:D,0,)</f>
        <v>0</v>
      </c>
      <c r="D1402">
        <f>_xlfn.XLOOKUP($A1402,Load!$B:$B,Load!E:E,0,)</f>
        <v>0</v>
      </c>
      <c r="E1402">
        <f>_xlfn.XLOOKUP($A1402,Load!$B:$B,Load!F:F,0,)</f>
        <v>0</v>
      </c>
      <c r="F1402">
        <f>_xlfn.XLOOKUP($A1402,Load!$B:$B,Load!G:G,0,)</f>
        <v>0</v>
      </c>
      <c r="G1402">
        <f>_xlfn.XLOOKUP($A1402,Load!$B:$B,Load!H:H,0,)</f>
        <v>0</v>
      </c>
      <c r="H1402">
        <f>_xlfn.XLOOKUP($A1402,Load!$B:$B,Load!I:I,0,)</f>
        <v>0</v>
      </c>
      <c r="I1402">
        <f>_xlfn.XLOOKUP($A1402,Load!$B:$B,Load!J:J,0,)</f>
        <v>0</v>
      </c>
      <c r="J1402">
        <f>_xlfn.XLOOKUP($A1402,Load!$B:$B,Load!K:K,0,)</f>
        <v>0</v>
      </c>
      <c r="K1402">
        <f>_xlfn.XLOOKUP($A1402,Load!$B:$B,Load!L:L,0,)</f>
        <v>0</v>
      </c>
      <c r="L1402">
        <f>_xlfn.XLOOKUP($A1402,Load!$B:$B,Load!M:M,0,)</f>
        <v>0</v>
      </c>
    </row>
    <row r="1403" spans="1:12" x14ac:dyDescent="0.25">
      <c r="B1403">
        <f>_xlfn.XLOOKUP($A1403,Load!$B:$B,Load!C:C,0,)</f>
        <v>0</v>
      </c>
      <c r="C1403">
        <f>_xlfn.XLOOKUP($A1403,Load!$B:$B,Load!D:D,0,)</f>
        <v>0</v>
      </c>
      <c r="D1403">
        <f>_xlfn.XLOOKUP($A1403,Load!$B:$B,Load!E:E,0,)</f>
        <v>0</v>
      </c>
      <c r="E1403">
        <f>_xlfn.XLOOKUP($A1403,Load!$B:$B,Load!F:F,0,)</f>
        <v>0</v>
      </c>
      <c r="F1403">
        <f>_xlfn.XLOOKUP($A1403,Load!$B:$B,Load!G:G,0,)</f>
        <v>0</v>
      </c>
      <c r="G1403">
        <f>_xlfn.XLOOKUP($A1403,Load!$B:$B,Load!H:H,0,)</f>
        <v>0</v>
      </c>
      <c r="H1403">
        <f>_xlfn.XLOOKUP($A1403,Load!$B:$B,Load!I:I,0,)</f>
        <v>0</v>
      </c>
      <c r="I1403">
        <f>_xlfn.XLOOKUP($A1403,Load!$B:$B,Load!J:J,0,)</f>
        <v>0</v>
      </c>
      <c r="J1403">
        <f>_xlfn.XLOOKUP($A1403,Load!$B:$B,Load!K:K,0,)</f>
        <v>0</v>
      </c>
      <c r="K1403">
        <f>_xlfn.XLOOKUP($A1403,Load!$B:$B,Load!L:L,0,)</f>
        <v>0</v>
      </c>
      <c r="L1403">
        <f>_xlfn.XLOOKUP($A1403,Load!$B:$B,Load!M:M,0,)</f>
        <v>0</v>
      </c>
    </row>
    <row r="1404" spans="1:12" x14ac:dyDescent="0.25">
      <c r="A1404" t="s">
        <v>169</v>
      </c>
      <c r="B1404" t="str">
        <f>_xlfn.XLOOKUP($A1404,Load!$B:$B,Load!C:C,0,)</f>
        <v>Laffy Taffy</v>
      </c>
      <c r="C1404" t="str">
        <f>_xlfn.XLOOKUP($A1404,Load!$B:$B,Load!D:D,0,)</f>
        <v>Non-Chocolate Candy Only</v>
      </c>
      <c r="D1404" t="str">
        <f>_xlfn.XLOOKUP($A1404,Load!$B:$B,Load!E:E,0,)</f>
        <v>Fruit Flavor (Cherry, Grape, Apple, Citrus, Tropical Fruit)</v>
      </c>
      <c r="E1404" t="str">
        <f>_xlfn.XLOOKUP($A1404,Load!$B:$B,Load!F:F,0,)</f>
        <v>Taffy</v>
      </c>
      <c r="F1404" t="str">
        <f>_xlfn.XLOOKUP($A1404,Load!$B:$B,Load!G:G,0,)</f>
        <v>Small Multipack (Less than 40 ct)</v>
      </c>
      <c r="G1404" t="str">
        <f>_xlfn.XLOOKUP($A1404,Load!$B:$B,Load!H:H,0,)</f>
        <v>Laydown Bag</v>
      </c>
      <c r="H1404" t="str">
        <f>_xlfn.XLOOKUP($A1404,Load!$B:$B,Load!I:I,0,)</f>
        <v>Everyday Candy Shapes (like Original, Gummy bear, Fruit, Jewels, etc.)</v>
      </c>
      <c r="I1404" t="str">
        <f>_xlfn.XLOOKUP($A1404,Load!$B:$B,Load!J:J,0,)</f>
        <v>Everyday Graphics</v>
      </c>
      <c r="J1404" t="str">
        <f>_xlfn.XLOOKUP($A1404,Load!$B:$B,Load!K:K,0,)</f>
        <v>Fun Size / Treat Size</v>
      </c>
      <c r="K1404" t="str">
        <f>_xlfn.XLOOKUP($A1404,Load!$B:$B,Load!L:L,0,)</f>
        <v>Regular/Original Wrapping</v>
      </c>
      <c r="L1404" t="str">
        <f>_xlfn.XLOOKUP($A1404,Load!$B:$B,Load!M:M,0,)</f>
        <v>Single Brand / Variety Flavors or Form</v>
      </c>
    </row>
    <row r="1405" spans="1:12" x14ac:dyDescent="0.25">
      <c r="A1405" t="s">
        <v>27</v>
      </c>
      <c r="B1405" t="str">
        <f>_xlfn.XLOOKUP($A1405,Load!$B:$B,Load!C:C,0,)</f>
        <v>AMOS</v>
      </c>
      <c r="C1405" t="str">
        <f>_xlfn.XLOOKUP($A1405,Load!$B:$B,Load!D:D,0,)</f>
        <v>Non-Chocolate Candy Only</v>
      </c>
      <c r="D1405" t="str">
        <f>_xlfn.XLOOKUP($A1405,Load!$B:$B,Load!E:E,0,)</f>
        <v>Sweet</v>
      </c>
      <c r="E1405" t="str">
        <f>_xlfn.XLOOKUP($A1405,Load!$B:$B,Load!F:F,0,)</f>
        <v>Lollipop (regular or lollipop rings)</v>
      </c>
      <c r="F1405" t="str">
        <f>_xlfn.XLOOKUP($A1405,Load!$B:$B,Load!G:G,0,)</f>
        <v>Small Multipack (Less than 40 ct)</v>
      </c>
      <c r="G1405" t="str">
        <f>_xlfn.XLOOKUP($A1405,Load!$B:$B,Load!H:H,0,)</f>
        <v>Laydown Bag</v>
      </c>
      <c r="H1405" t="str">
        <f>_xlfn.XLOOKUP($A1405,Load!$B:$B,Load!I:I,0,)</f>
        <v>Seasonal Shapes (like pumpkins, candy corn, ghost, bats, etc.)</v>
      </c>
      <c r="I1405" t="str">
        <f>_xlfn.XLOOKUP($A1405,Load!$B:$B,Load!J:J,0,)</f>
        <v>Seasonal Graphics (Like Bat, Ghost, Pumpkin, Fall Leaves, Eyeballs, etc.)</v>
      </c>
      <c r="J1405" t="str">
        <f>_xlfn.XLOOKUP($A1405,Load!$B:$B,Load!K:K,0,)</f>
        <v>Regular Lollipop size (on sticks or rings)</v>
      </c>
      <c r="K1405" t="str">
        <f>_xlfn.XLOOKUP($A1405,Load!$B:$B,Load!L:L,0,)</f>
        <v>Regular/Original Wrapping</v>
      </c>
      <c r="L1405" t="str">
        <f>_xlfn.XLOOKUP($A1405,Load!$B:$B,Load!M:M,0,)</f>
        <v>Single Brand / Variety Flavors or Form</v>
      </c>
    </row>
    <row r="1406" spans="1:12" x14ac:dyDescent="0.25">
      <c r="A1406" t="s">
        <v>22</v>
      </c>
      <c r="B1406" t="str">
        <f>_xlfn.XLOOKUP($A1406,Load!$B:$B,Load!C:C,0,)</f>
        <v>Albanese</v>
      </c>
      <c r="C1406" t="str">
        <f>_xlfn.XLOOKUP($A1406,Load!$B:$B,Load!D:D,0,)</f>
        <v>Non-Chocolate Candy Only</v>
      </c>
      <c r="D1406" t="str">
        <f>_xlfn.XLOOKUP($A1406,Load!$B:$B,Load!E:E,0,)</f>
        <v>Variety / Mixed Flavors (Fruity, Sour, Seasonal Flavors)</v>
      </c>
      <c r="E1406" t="str">
        <f>_xlfn.XLOOKUP($A1406,Load!$B:$B,Load!F:F,0,)</f>
        <v>Gummy</v>
      </c>
      <c r="F1406" t="str">
        <f>_xlfn.XLOOKUP($A1406,Load!$B:$B,Load!G:G,0,)</f>
        <v>Single Pack</v>
      </c>
      <c r="G1406" t="str">
        <f>_xlfn.XLOOKUP($A1406,Load!$B:$B,Load!H:H,0,)</f>
        <v>Laydown Bag</v>
      </c>
      <c r="H1406" t="str">
        <f>_xlfn.XLOOKUP($A1406,Load!$B:$B,Load!I:I,0,)</f>
        <v>Everyday Candy Shapes (like Original, Gummy bear, Fruit, Jewels, etc.)</v>
      </c>
      <c r="I1406" t="str">
        <f>_xlfn.XLOOKUP($A1406,Load!$B:$B,Load!J:J,0,)</f>
        <v>Seasonal Graphics (Like Bat, Ghost, Pumpkin, Fall Leaves, Eyeballs, etc.)</v>
      </c>
      <c r="J1406" t="str">
        <f>_xlfn.XLOOKUP($A1406,Load!$B:$B,Load!K:K,0,)</f>
        <v>Small Pieces (Tiny bite size candies)</v>
      </c>
      <c r="K1406" t="str">
        <f>_xlfn.XLOOKUP($A1406,Load!$B:$B,Load!L:L,0,)</f>
        <v>Regular/Original Wrapping</v>
      </c>
      <c r="L1406" t="str">
        <f>_xlfn.XLOOKUP($A1406,Load!$B:$B,Load!M:M,0,)</f>
        <v>Single Brand / Variety Flavors or Form</v>
      </c>
    </row>
    <row r="1407" spans="1:12" x14ac:dyDescent="0.25">
      <c r="A1407" t="s">
        <v>127</v>
      </c>
      <c r="B1407" t="str">
        <f>_xlfn.XLOOKUP($A1407,Load!$B:$B,Load!C:C,0,)</f>
        <v>HARIBO</v>
      </c>
      <c r="C1407" t="str">
        <f>_xlfn.XLOOKUP($A1407,Load!$B:$B,Load!D:D,0,)</f>
        <v>Non-Chocolate Candy Only</v>
      </c>
      <c r="D1407" t="str">
        <f>_xlfn.XLOOKUP($A1407,Load!$B:$B,Load!E:E,0,)</f>
        <v>Sweet</v>
      </c>
      <c r="E1407" t="str">
        <f>_xlfn.XLOOKUP($A1407,Load!$B:$B,Load!F:F,0,)</f>
        <v>Gummy</v>
      </c>
      <c r="F1407" t="str">
        <f>_xlfn.XLOOKUP($A1407,Load!$B:$B,Load!G:G,0,)</f>
        <v>Single Pack</v>
      </c>
      <c r="G1407" t="str">
        <f>_xlfn.XLOOKUP($A1407,Load!$B:$B,Load!H:H,0,)</f>
        <v>Laydown Bag</v>
      </c>
      <c r="H1407" t="str">
        <f>_xlfn.XLOOKUP($A1407,Load!$B:$B,Load!I:I,0,)</f>
        <v>Seasonal Shapes (like pumpkins, candy corn, ghost, bats, etc.)</v>
      </c>
      <c r="I1407" t="str">
        <f>_xlfn.XLOOKUP($A1407,Load!$B:$B,Load!J:J,0,)</f>
        <v>Seasonal Graphics (Like Bat, Ghost, Pumpkin, Fall Leaves, Eyeballs, etc.)</v>
      </c>
      <c r="J1407" t="str">
        <f>_xlfn.XLOOKUP($A1407,Load!$B:$B,Load!K:K,0,)</f>
        <v>Small Pieces (Tiny bite size candies)</v>
      </c>
      <c r="K1407" t="str">
        <f>_xlfn.XLOOKUP($A1407,Load!$B:$B,Load!L:L,0,)</f>
        <v>Unwrapped</v>
      </c>
      <c r="L1407" t="str">
        <f>_xlfn.XLOOKUP($A1407,Load!$B:$B,Load!M:M,0,)</f>
        <v>Single Brand / Variety Flavors or Form</v>
      </c>
    </row>
    <row r="1408" spans="1:12" x14ac:dyDescent="0.25">
      <c r="A1408" t="s">
        <v>59</v>
      </c>
      <c r="B1408" t="str">
        <f>_xlfn.XLOOKUP($A1408,Load!$B:$B,Load!C:C,0,)</f>
        <v>Charms</v>
      </c>
      <c r="C1408" t="str">
        <f>_xlfn.XLOOKUP($A1408,Load!$B:$B,Load!D:D,0,)</f>
        <v>Non-Chocolate Candy Only</v>
      </c>
      <c r="D1408" t="str">
        <f>_xlfn.XLOOKUP($A1408,Load!$B:$B,Load!E:E,0,)</f>
        <v>Variety / Mixed Flavors (Fruity, Sour, Seasonal Flavors)</v>
      </c>
      <c r="E1408" t="str">
        <f>_xlfn.XLOOKUP($A1408,Load!$B:$B,Load!F:F,0,)</f>
        <v>Mixed / Combo Packs (Gummy, Chewy, Taffy, etc.)</v>
      </c>
      <c r="F1408" t="str">
        <f>_xlfn.XLOOKUP($A1408,Load!$B:$B,Load!G:G,0,)</f>
        <v>Large Multipack (More than 80 ct)</v>
      </c>
      <c r="G1408" t="str">
        <f>_xlfn.XLOOKUP($A1408,Load!$B:$B,Load!H:H,0,)</f>
        <v>Laydown Bag</v>
      </c>
      <c r="H1408" t="str">
        <f>_xlfn.XLOOKUP($A1408,Load!$B:$B,Load!I:I,0,)</f>
        <v>Everyday Candy Shapes (like Original, Gummy bear, Fruit, Jewels, etc.)</v>
      </c>
      <c r="I1408" t="str">
        <f>_xlfn.XLOOKUP($A1408,Load!$B:$B,Load!J:J,0,)</f>
        <v>Seasonal Graphics (Like Bat, Ghost, Pumpkin, Fall Leaves, Eyeballs, etc.)</v>
      </c>
      <c r="J1408" t="str">
        <f>_xlfn.XLOOKUP($A1408,Load!$B:$B,Load!K:K,0,)</f>
        <v xml:space="preserve">Variety Candy Sizes </v>
      </c>
      <c r="K1408" t="str">
        <f>_xlfn.XLOOKUP($A1408,Load!$B:$B,Load!L:L,0,)</f>
        <v>Regular/Original Wrapping</v>
      </c>
      <c r="L1408" t="str">
        <f>_xlfn.XLOOKUP($A1408,Load!$B:$B,Load!M:M,0,)</f>
        <v>Single Brand / Variety Flavors or Form</v>
      </c>
    </row>
    <row r="1409" spans="1:12" x14ac:dyDescent="0.25">
      <c r="B1409">
        <f>_xlfn.XLOOKUP($A1409,Load!$B:$B,Load!C:C,0,)</f>
        <v>0</v>
      </c>
      <c r="C1409">
        <f>_xlfn.XLOOKUP($A1409,Load!$B:$B,Load!D:D,0,)</f>
        <v>0</v>
      </c>
      <c r="D1409">
        <f>_xlfn.XLOOKUP($A1409,Load!$B:$B,Load!E:E,0,)</f>
        <v>0</v>
      </c>
      <c r="E1409">
        <f>_xlfn.XLOOKUP($A1409,Load!$B:$B,Load!F:F,0,)</f>
        <v>0</v>
      </c>
      <c r="F1409">
        <f>_xlfn.XLOOKUP($A1409,Load!$B:$B,Load!G:G,0,)</f>
        <v>0</v>
      </c>
      <c r="G1409">
        <f>_xlfn.XLOOKUP($A1409,Load!$B:$B,Load!H:H,0,)</f>
        <v>0</v>
      </c>
      <c r="H1409">
        <f>_xlfn.XLOOKUP($A1409,Load!$B:$B,Load!I:I,0,)</f>
        <v>0</v>
      </c>
      <c r="I1409">
        <f>_xlfn.XLOOKUP($A1409,Load!$B:$B,Load!J:J,0,)</f>
        <v>0</v>
      </c>
      <c r="J1409">
        <f>_xlfn.XLOOKUP($A1409,Load!$B:$B,Load!K:K,0,)</f>
        <v>0</v>
      </c>
      <c r="K1409">
        <f>_xlfn.XLOOKUP($A1409,Load!$B:$B,Load!L:L,0,)</f>
        <v>0</v>
      </c>
      <c r="L1409">
        <f>_xlfn.XLOOKUP($A1409,Load!$B:$B,Load!M:M,0,)</f>
        <v>0</v>
      </c>
    </row>
    <row r="1410" spans="1:12" x14ac:dyDescent="0.25">
      <c r="B1410">
        <f>_xlfn.XLOOKUP($A1410,Load!$B:$B,Load!C:C,0,)</f>
        <v>0</v>
      </c>
      <c r="C1410">
        <f>_xlfn.XLOOKUP($A1410,Load!$B:$B,Load!D:D,0,)</f>
        <v>0</v>
      </c>
      <c r="D1410">
        <f>_xlfn.XLOOKUP($A1410,Load!$B:$B,Load!E:E,0,)</f>
        <v>0</v>
      </c>
      <c r="E1410">
        <f>_xlfn.XLOOKUP($A1410,Load!$B:$B,Load!F:F,0,)</f>
        <v>0</v>
      </c>
      <c r="F1410">
        <f>_xlfn.XLOOKUP($A1410,Load!$B:$B,Load!G:G,0,)</f>
        <v>0</v>
      </c>
      <c r="G1410">
        <f>_xlfn.XLOOKUP($A1410,Load!$B:$B,Load!H:H,0,)</f>
        <v>0</v>
      </c>
      <c r="H1410">
        <f>_xlfn.XLOOKUP($A1410,Load!$B:$B,Load!I:I,0,)</f>
        <v>0</v>
      </c>
      <c r="I1410">
        <f>_xlfn.XLOOKUP($A1410,Load!$B:$B,Load!J:J,0,)</f>
        <v>0</v>
      </c>
      <c r="J1410">
        <f>_xlfn.XLOOKUP($A1410,Load!$B:$B,Load!K:K,0,)</f>
        <v>0</v>
      </c>
      <c r="K1410">
        <f>_xlfn.XLOOKUP($A1410,Load!$B:$B,Load!L:L,0,)</f>
        <v>0</v>
      </c>
      <c r="L1410">
        <f>_xlfn.XLOOKUP($A1410,Load!$B:$B,Load!M:M,0,)</f>
        <v>0</v>
      </c>
    </row>
    <row r="1411" spans="1:12" x14ac:dyDescent="0.25">
      <c r="B1411">
        <f>_xlfn.XLOOKUP($A1411,Load!$B:$B,Load!C:C,0,)</f>
        <v>0</v>
      </c>
      <c r="C1411">
        <f>_xlfn.XLOOKUP($A1411,Load!$B:$B,Load!D:D,0,)</f>
        <v>0</v>
      </c>
      <c r="D1411">
        <f>_xlfn.XLOOKUP($A1411,Load!$B:$B,Load!E:E,0,)</f>
        <v>0</v>
      </c>
      <c r="E1411">
        <f>_xlfn.XLOOKUP($A1411,Load!$B:$B,Load!F:F,0,)</f>
        <v>0</v>
      </c>
      <c r="F1411">
        <f>_xlfn.XLOOKUP($A1411,Load!$B:$B,Load!G:G,0,)</f>
        <v>0</v>
      </c>
      <c r="G1411">
        <f>_xlfn.XLOOKUP($A1411,Load!$B:$B,Load!H:H,0,)</f>
        <v>0</v>
      </c>
      <c r="H1411">
        <f>_xlfn.XLOOKUP($A1411,Load!$B:$B,Load!I:I,0,)</f>
        <v>0</v>
      </c>
      <c r="I1411">
        <f>_xlfn.XLOOKUP($A1411,Load!$B:$B,Load!J:J,0,)</f>
        <v>0</v>
      </c>
      <c r="J1411">
        <f>_xlfn.XLOOKUP($A1411,Load!$B:$B,Load!K:K,0,)</f>
        <v>0</v>
      </c>
      <c r="K1411">
        <f>_xlfn.XLOOKUP($A1411,Load!$B:$B,Load!L:L,0,)</f>
        <v>0</v>
      </c>
      <c r="L1411">
        <f>_xlfn.XLOOKUP($A1411,Load!$B:$B,Load!M:M,0,)</f>
        <v>0</v>
      </c>
    </row>
    <row r="1412" spans="1:12" x14ac:dyDescent="0.25">
      <c r="A1412" t="s">
        <v>49</v>
      </c>
      <c r="B1412" t="str">
        <f>_xlfn.XLOOKUP($A1412,Load!$B:$B,Load!C:C,0,)</f>
        <v>Brach's</v>
      </c>
      <c r="C1412" t="str">
        <f>_xlfn.XLOOKUP($A1412,Load!$B:$B,Load!D:D,0,)</f>
        <v>Non-Chocolate Candy Only</v>
      </c>
      <c r="D1412" t="str">
        <f>_xlfn.XLOOKUP($A1412,Load!$B:$B,Load!E:E,0,)</f>
        <v>Fall / Seasonal Flavors (pumpkin spice, caramel apple, candy corn)</v>
      </c>
      <c r="E1412" t="str">
        <f>_xlfn.XLOOKUP($A1412,Load!$B:$B,Load!F:F,0,)</f>
        <v>Candy Pieces / Bites</v>
      </c>
      <c r="F1412" t="str">
        <f>_xlfn.XLOOKUP($A1412,Load!$B:$B,Load!G:G,0,)</f>
        <v>Large Multipack (More than 80 ct)</v>
      </c>
      <c r="G1412" t="str">
        <f>_xlfn.XLOOKUP($A1412,Load!$B:$B,Load!H:H,0,)</f>
        <v>Laydown Bag</v>
      </c>
      <c r="H1412" t="str">
        <f>_xlfn.XLOOKUP($A1412,Load!$B:$B,Load!I:I,0,)</f>
        <v>Seasonal Shapes (like pumpkins, candy corn, ghost, bats, etc.)</v>
      </c>
      <c r="I1412" t="str">
        <f>_xlfn.XLOOKUP($A1412,Load!$B:$B,Load!J:J,0,)</f>
        <v>Seasonal Graphics (Like Bat, Ghost, Pumpkin, Fall Leaves, Eyeballs, etc.)</v>
      </c>
      <c r="J1412" t="str">
        <f>_xlfn.XLOOKUP($A1412,Load!$B:$B,Load!K:K,0,)</f>
        <v>Small Pieces (Tiny bite size candies)</v>
      </c>
      <c r="K1412" t="str">
        <f>_xlfn.XLOOKUP($A1412,Load!$B:$B,Load!L:L,0,)</f>
        <v>Unwrapped</v>
      </c>
      <c r="L1412" t="str">
        <f>_xlfn.XLOOKUP($A1412,Load!$B:$B,Load!M:M,0,)</f>
        <v>Single Brand / Single Flavor or Form</v>
      </c>
    </row>
    <row r="1413" spans="1:12" x14ac:dyDescent="0.25">
      <c r="B1413">
        <f>_xlfn.XLOOKUP($A1413,Load!$B:$B,Load!C:C,0,)</f>
        <v>0</v>
      </c>
      <c r="C1413">
        <f>_xlfn.XLOOKUP($A1413,Load!$B:$B,Load!D:D,0,)</f>
        <v>0</v>
      </c>
      <c r="D1413">
        <f>_xlfn.XLOOKUP($A1413,Load!$B:$B,Load!E:E,0,)</f>
        <v>0</v>
      </c>
      <c r="E1413">
        <f>_xlfn.XLOOKUP($A1413,Load!$B:$B,Load!F:F,0,)</f>
        <v>0</v>
      </c>
      <c r="F1413">
        <f>_xlfn.XLOOKUP($A1413,Load!$B:$B,Load!G:G,0,)</f>
        <v>0</v>
      </c>
      <c r="G1413">
        <f>_xlfn.XLOOKUP($A1413,Load!$B:$B,Load!H:H,0,)</f>
        <v>0</v>
      </c>
      <c r="H1413">
        <f>_xlfn.XLOOKUP($A1413,Load!$B:$B,Load!I:I,0,)</f>
        <v>0</v>
      </c>
      <c r="I1413">
        <f>_xlfn.XLOOKUP($A1413,Load!$B:$B,Load!J:J,0,)</f>
        <v>0</v>
      </c>
      <c r="J1413">
        <f>_xlfn.XLOOKUP($A1413,Load!$B:$B,Load!K:K,0,)</f>
        <v>0</v>
      </c>
      <c r="K1413">
        <f>_xlfn.XLOOKUP($A1413,Load!$B:$B,Load!L:L,0,)</f>
        <v>0</v>
      </c>
      <c r="L1413">
        <f>_xlfn.XLOOKUP($A1413,Load!$B:$B,Load!M:M,0,)</f>
        <v>0</v>
      </c>
    </row>
    <row r="1414" spans="1:12" x14ac:dyDescent="0.25">
      <c r="B1414">
        <f>_xlfn.XLOOKUP($A1414,Load!$B:$B,Load!C:C,0,)</f>
        <v>0</v>
      </c>
      <c r="C1414">
        <f>_xlfn.XLOOKUP($A1414,Load!$B:$B,Load!D:D,0,)</f>
        <v>0</v>
      </c>
      <c r="D1414">
        <f>_xlfn.XLOOKUP($A1414,Load!$B:$B,Load!E:E,0,)</f>
        <v>0</v>
      </c>
      <c r="E1414">
        <f>_xlfn.XLOOKUP($A1414,Load!$B:$B,Load!F:F,0,)</f>
        <v>0</v>
      </c>
      <c r="F1414">
        <f>_xlfn.XLOOKUP($A1414,Load!$B:$B,Load!G:G,0,)</f>
        <v>0</v>
      </c>
      <c r="G1414">
        <f>_xlfn.XLOOKUP($A1414,Load!$B:$B,Load!H:H,0,)</f>
        <v>0</v>
      </c>
      <c r="H1414">
        <f>_xlfn.XLOOKUP($A1414,Load!$B:$B,Load!I:I,0,)</f>
        <v>0</v>
      </c>
      <c r="I1414">
        <f>_xlfn.XLOOKUP($A1414,Load!$B:$B,Load!J:J,0,)</f>
        <v>0</v>
      </c>
      <c r="J1414">
        <f>_xlfn.XLOOKUP($A1414,Load!$B:$B,Load!K:K,0,)</f>
        <v>0</v>
      </c>
      <c r="K1414">
        <f>_xlfn.XLOOKUP($A1414,Load!$B:$B,Load!L:L,0,)</f>
        <v>0</v>
      </c>
      <c r="L1414">
        <f>_xlfn.XLOOKUP($A1414,Load!$B:$B,Load!M:M,0,)</f>
        <v>0</v>
      </c>
    </row>
    <row r="1415" spans="1:12" x14ac:dyDescent="0.25">
      <c r="B1415">
        <f>_xlfn.XLOOKUP($A1415,Load!$B:$B,Load!C:C,0,)</f>
        <v>0</v>
      </c>
      <c r="C1415">
        <f>_xlfn.XLOOKUP($A1415,Load!$B:$B,Load!D:D,0,)</f>
        <v>0</v>
      </c>
      <c r="D1415">
        <f>_xlfn.XLOOKUP($A1415,Load!$B:$B,Load!E:E,0,)</f>
        <v>0</v>
      </c>
      <c r="E1415">
        <f>_xlfn.XLOOKUP($A1415,Load!$B:$B,Load!F:F,0,)</f>
        <v>0</v>
      </c>
      <c r="F1415">
        <f>_xlfn.XLOOKUP($A1415,Load!$B:$B,Load!G:G,0,)</f>
        <v>0</v>
      </c>
      <c r="G1415">
        <f>_xlfn.XLOOKUP($A1415,Load!$B:$B,Load!H:H,0,)</f>
        <v>0</v>
      </c>
      <c r="H1415">
        <f>_xlfn.XLOOKUP($A1415,Load!$B:$B,Load!I:I,0,)</f>
        <v>0</v>
      </c>
      <c r="I1415">
        <f>_xlfn.XLOOKUP($A1415,Load!$B:$B,Load!J:J,0,)</f>
        <v>0</v>
      </c>
      <c r="J1415">
        <f>_xlfn.XLOOKUP($A1415,Load!$B:$B,Load!K:K,0,)</f>
        <v>0</v>
      </c>
      <c r="K1415">
        <f>_xlfn.XLOOKUP($A1415,Load!$B:$B,Load!L:L,0,)</f>
        <v>0</v>
      </c>
      <c r="L1415">
        <f>_xlfn.XLOOKUP($A1415,Load!$B:$B,Load!M:M,0,)</f>
        <v>0</v>
      </c>
    </row>
    <row r="1416" spans="1:12" x14ac:dyDescent="0.25">
      <c r="B1416">
        <f>_xlfn.XLOOKUP($A1416,Load!$B:$B,Load!C:C,0,)</f>
        <v>0</v>
      </c>
      <c r="C1416">
        <f>_xlfn.XLOOKUP($A1416,Load!$B:$B,Load!D:D,0,)</f>
        <v>0</v>
      </c>
      <c r="D1416">
        <f>_xlfn.XLOOKUP($A1416,Load!$B:$B,Load!E:E,0,)</f>
        <v>0</v>
      </c>
      <c r="E1416">
        <f>_xlfn.XLOOKUP($A1416,Load!$B:$B,Load!F:F,0,)</f>
        <v>0</v>
      </c>
      <c r="F1416">
        <f>_xlfn.XLOOKUP($A1416,Load!$B:$B,Load!G:G,0,)</f>
        <v>0</v>
      </c>
      <c r="G1416">
        <f>_xlfn.XLOOKUP($A1416,Load!$B:$B,Load!H:H,0,)</f>
        <v>0</v>
      </c>
      <c r="H1416">
        <f>_xlfn.XLOOKUP($A1416,Load!$B:$B,Load!I:I,0,)</f>
        <v>0</v>
      </c>
      <c r="I1416">
        <f>_xlfn.XLOOKUP($A1416,Load!$B:$B,Load!J:J,0,)</f>
        <v>0</v>
      </c>
      <c r="J1416">
        <f>_xlfn.XLOOKUP($A1416,Load!$B:$B,Load!K:K,0,)</f>
        <v>0</v>
      </c>
      <c r="K1416">
        <f>_xlfn.XLOOKUP($A1416,Load!$B:$B,Load!L:L,0,)</f>
        <v>0</v>
      </c>
      <c r="L1416">
        <f>_xlfn.XLOOKUP($A1416,Load!$B:$B,Load!M:M,0,)</f>
        <v>0</v>
      </c>
    </row>
    <row r="1417" spans="1:12" x14ac:dyDescent="0.25">
      <c r="B1417">
        <f>_xlfn.XLOOKUP($A1417,Load!$B:$B,Load!C:C,0,)</f>
        <v>0</v>
      </c>
      <c r="C1417">
        <f>_xlfn.XLOOKUP($A1417,Load!$B:$B,Load!D:D,0,)</f>
        <v>0</v>
      </c>
      <c r="D1417">
        <f>_xlfn.XLOOKUP($A1417,Load!$B:$B,Load!E:E,0,)</f>
        <v>0</v>
      </c>
      <c r="E1417">
        <f>_xlfn.XLOOKUP($A1417,Load!$B:$B,Load!F:F,0,)</f>
        <v>0</v>
      </c>
      <c r="F1417">
        <f>_xlfn.XLOOKUP($A1417,Load!$B:$B,Load!G:G,0,)</f>
        <v>0</v>
      </c>
      <c r="G1417">
        <f>_xlfn.XLOOKUP($A1417,Load!$B:$B,Load!H:H,0,)</f>
        <v>0</v>
      </c>
      <c r="H1417">
        <f>_xlfn.XLOOKUP($A1417,Load!$B:$B,Load!I:I,0,)</f>
        <v>0</v>
      </c>
      <c r="I1417">
        <f>_xlfn.XLOOKUP($A1417,Load!$B:$B,Load!J:J,0,)</f>
        <v>0</v>
      </c>
      <c r="J1417">
        <f>_xlfn.XLOOKUP($A1417,Load!$B:$B,Load!K:K,0,)</f>
        <v>0</v>
      </c>
      <c r="K1417">
        <f>_xlfn.XLOOKUP($A1417,Load!$B:$B,Load!L:L,0,)</f>
        <v>0</v>
      </c>
      <c r="L1417">
        <f>_xlfn.XLOOKUP($A1417,Load!$B:$B,Load!M:M,0,)</f>
        <v>0</v>
      </c>
    </row>
    <row r="1418" spans="1:12" x14ac:dyDescent="0.25">
      <c r="A1418" t="s">
        <v>103</v>
      </c>
      <c r="B1418" t="str">
        <f>_xlfn.XLOOKUP($A1418,Load!$B:$B,Load!C:C,0,)</f>
        <v>Frankford</v>
      </c>
      <c r="C1418" t="str">
        <f>_xlfn.XLOOKUP($A1418,Load!$B:$B,Load!D:D,0,)</f>
        <v>Non-Chocolate Candy Only</v>
      </c>
      <c r="D1418" t="str">
        <f>_xlfn.XLOOKUP($A1418,Load!$B:$B,Load!E:E,0,)</f>
        <v>Sweet</v>
      </c>
      <c r="E1418" t="str">
        <f>_xlfn.XLOOKUP($A1418,Load!$B:$B,Load!F:F,0,)</f>
        <v>Gummy</v>
      </c>
      <c r="F1418" t="str">
        <f>_xlfn.XLOOKUP($A1418,Load!$B:$B,Load!G:G,0,)</f>
        <v>Medium Multipack (40–80 ct)</v>
      </c>
      <c r="G1418" t="str">
        <f>_xlfn.XLOOKUP($A1418,Load!$B:$B,Load!H:H,0,)</f>
        <v>Stand-Up Bag</v>
      </c>
      <c r="H1418" t="str">
        <f>_xlfn.XLOOKUP($A1418,Load!$B:$B,Load!I:I,0,)</f>
        <v>Seasonal Shapes (like pumpkins, candy corn, ghost, bats, etc.)</v>
      </c>
      <c r="I1418" t="str">
        <f>_xlfn.XLOOKUP($A1418,Load!$B:$B,Load!J:J,0,)</f>
        <v>Seasonal Graphics (Like Bat, Ghost, Pumpkin, Fall Leaves, Eyeballs, etc.)</v>
      </c>
      <c r="J1418" t="str">
        <f>_xlfn.XLOOKUP($A1418,Load!$B:$B,Load!K:K,0,)</f>
        <v>Fun Size / Treat Size</v>
      </c>
      <c r="K1418" t="str">
        <f>_xlfn.XLOOKUP($A1418,Load!$B:$B,Load!L:L,0,)</f>
        <v>Regular/Original Wrapping</v>
      </c>
      <c r="L1418" t="str">
        <f>_xlfn.XLOOKUP($A1418,Load!$B:$B,Load!M:M,0,)</f>
        <v>Single Brand / Variety Flavors or Form</v>
      </c>
    </row>
    <row r="1419" spans="1:12" x14ac:dyDescent="0.25">
      <c r="B1419">
        <f>_xlfn.XLOOKUP($A1419,Load!$B:$B,Load!C:C,0,)</f>
        <v>0</v>
      </c>
      <c r="C1419">
        <f>_xlfn.XLOOKUP($A1419,Load!$B:$B,Load!D:D,0,)</f>
        <v>0</v>
      </c>
      <c r="D1419">
        <f>_xlfn.XLOOKUP($A1419,Load!$B:$B,Load!E:E,0,)</f>
        <v>0</v>
      </c>
      <c r="E1419">
        <f>_xlfn.XLOOKUP($A1419,Load!$B:$B,Load!F:F,0,)</f>
        <v>0</v>
      </c>
      <c r="F1419">
        <f>_xlfn.XLOOKUP($A1419,Load!$B:$B,Load!G:G,0,)</f>
        <v>0</v>
      </c>
      <c r="G1419">
        <f>_xlfn.XLOOKUP($A1419,Load!$B:$B,Load!H:H,0,)</f>
        <v>0</v>
      </c>
      <c r="H1419">
        <f>_xlfn.XLOOKUP($A1419,Load!$B:$B,Load!I:I,0,)</f>
        <v>0</v>
      </c>
      <c r="I1419">
        <f>_xlfn.XLOOKUP($A1419,Load!$B:$B,Load!J:J,0,)</f>
        <v>0</v>
      </c>
      <c r="J1419">
        <f>_xlfn.XLOOKUP($A1419,Load!$B:$B,Load!K:K,0,)</f>
        <v>0</v>
      </c>
      <c r="K1419">
        <f>_xlfn.XLOOKUP($A1419,Load!$B:$B,Load!L:L,0,)</f>
        <v>0</v>
      </c>
      <c r="L1419">
        <f>_xlfn.XLOOKUP($A1419,Load!$B:$B,Load!M:M,0,)</f>
        <v>0</v>
      </c>
    </row>
    <row r="1420" spans="1:12" x14ac:dyDescent="0.25">
      <c r="A1420" t="s">
        <v>261</v>
      </c>
      <c r="B1420" t="str">
        <f>_xlfn.XLOOKUP($A1420,Load!$B:$B,Load!C:C,0,)</f>
        <v>Skittles</v>
      </c>
      <c r="C1420" t="str">
        <f>_xlfn.XLOOKUP($A1420,Load!$B:$B,Load!D:D,0,)</f>
        <v>Non-Chocolate Candy Only</v>
      </c>
      <c r="D1420" t="str">
        <f>_xlfn.XLOOKUP($A1420,Load!$B:$B,Load!E:E,0,)</f>
        <v>Fruit Flavor (Cherry, Grape, Apple, Citrus, Tropical Fruit)</v>
      </c>
      <c r="E1420" t="str">
        <f>_xlfn.XLOOKUP($A1420,Load!$B:$B,Load!F:F,0,)</f>
        <v>Candy Pieces / Bites</v>
      </c>
      <c r="F1420" t="str">
        <f>_xlfn.XLOOKUP($A1420,Load!$B:$B,Load!G:G,0,)</f>
        <v>Single Pack</v>
      </c>
      <c r="G1420" t="str">
        <f>_xlfn.XLOOKUP($A1420,Load!$B:$B,Load!H:H,0,)</f>
        <v>Laydown Bag</v>
      </c>
      <c r="H1420" t="str">
        <f>_xlfn.XLOOKUP($A1420,Load!$B:$B,Load!I:I,0,)</f>
        <v>Everyday Candy Shapes (like Original, Gummy bear, Fruit, Jewels, etc.)</v>
      </c>
      <c r="I1420" t="str">
        <f>_xlfn.XLOOKUP($A1420,Load!$B:$B,Load!J:J,0,)</f>
        <v>Everyday Graphics</v>
      </c>
      <c r="J1420" t="str">
        <f>_xlfn.XLOOKUP($A1420,Load!$B:$B,Load!K:K,0,)</f>
        <v>Small Pieces (Tiny bite size candies)</v>
      </c>
      <c r="K1420" t="str">
        <f>_xlfn.XLOOKUP($A1420,Load!$B:$B,Load!L:L,0,)</f>
        <v>Unwrapped</v>
      </c>
      <c r="L1420" t="str">
        <f>_xlfn.XLOOKUP($A1420,Load!$B:$B,Load!M:M,0,)</f>
        <v>Single Brand / Single Flavor or Form</v>
      </c>
    </row>
    <row r="1421" spans="1:12" x14ac:dyDescent="0.25">
      <c r="B1421">
        <f>_xlfn.XLOOKUP($A1421,Load!$B:$B,Load!C:C,0,)</f>
        <v>0</v>
      </c>
      <c r="C1421">
        <f>_xlfn.XLOOKUP($A1421,Load!$B:$B,Load!D:D,0,)</f>
        <v>0</v>
      </c>
      <c r="D1421">
        <f>_xlfn.XLOOKUP($A1421,Load!$B:$B,Load!E:E,0,)</f>
        <v>0</v>
      </c>
      <c r="E1421">
        <f>_xlfn.XLOOKUP($A1421,Load!$B:$B,Load!F:F,0,)</f>
        <v>0</v>
      </c>
      <c r="F1421">
        <f>_xlfn.XLOOKUP($A1421,Load!$B:$B,Load!G:G,0,)</f>
        <v>0</v>
      </c>
      <c r="G1421">
        <f>_xlfn.XLOOKUP($A1421,Load!$B:$B,Load!H:H,0,)</f>
        <v>0</v>
      </c>
      <c r="H1421">
        <f>_xlfn.XLOOKUP($A1421,Load!$B:$B,Load!I:I,0,)</f>
        <v>0</v>
      </c>
      <c r="I1421">
        <f>_xlfn.XLOOKUP($A1421,Load!$B:$B,Load!J:J,0,)</f>
        <v>0</v>
      </c>
      <c r="J1421">
        <f>_xlfn.XLOOKUP($A1421,Load!$B:$B,Load!K:K,0,)</f>
        <v>0</v>
      </c>
      <c r="K1421">
        <f>_xlfn.XLOOKUP($A1421,Load!$B:$B,Load!L:L,0,)</f>
        <v>0</v>
      </c>
      <c r="L1421">
        <f>_xlfn.XLOOKUP($A1421,Load!$B:$B,Load!M:M,0,)</f>
        <v>0</v>
      </c>
    </row>
    <row r="1422" spans="1:12" x14ac:dyDescent="0.25">
      <c r="B1422">
        <f>_xlfn.XLOOKUP($A1422,Load!$B:$B,Load!C:C,0,)</f>
        <v>0</v>
      </c>
      <c r="C1422">
        <f>_xlfn.XLOOKUP($A1422,Load!$B:$B,Load!D:D,0,)</f>
        <v>0</v>
      </c>
      <c r="D1422">
        <f>_xlfn.XLOOKUP($A1422,Load!$B:$B,Load!E:E,0,)</f>
        <v>0</v>
      </c>
      <c r="E1422">
        <f>_xlfn.XLOOKUP($A1422,Load!$B:$B,Load!F:F,0,)</f>
        <v>0</v>
      </c>
      <c r="F1422">
        <f>_xlfn.XLOOKUP($A1422,Load!$B:$B,Load!G:G,0,)</f>
        <v>0</v>
      </c>
      <c r="G1422">
        <f>_xlfn.XLOOKUP($A1422,Load!$B:$B,Load!H:H,0,)</f>
        <v>0</v>
      </c>
      <c r="H1422">
        <f>_xlfn.XLOOKUP($A1422,Load!$B:$B,Load!I:I,0,)</f>
        <v>0</v>
      </c>
      <c r="I1422">
        <f>_xlfn.XLOOKUP($A1422,Load!$B:$B,Load!J:J,0,)</f>
        <v>0</v>
      </c>
      <c r="J1422">
        <f>_xlfn.XLOOKUP($A1422,Load!$B:$B,Load!K:K,0,)</f>
        <v>0</v>
      </c>
      <c r="K1422">
        <f>_xlfn.XLOOKUP($A1422,Load!$B:$B,Load!L:L,0,)</f>
        <v>0</v>
      </c>
      <c r="L1422">
        <f>_xlfn.XLOOKUP($A1422,Load!$B:$B,Load!M:M,0,)</f>
        <v>0</v>
      </c>
    </row>
    <row r="1423" spans="1:12" x14ac:dyDescent="0.25">
      <c r="B1423">
        <f>_xlfn.XLOOKUP($A1423,Load!$B:$B,Load!C:C,0,)</f>
        <v>0</v>
      </c>
      <c r="C1423">
        <f>_xlfn.XLOOKUP($A1423,Load!$B:$B,Load!D:D,0,)</f>
        <v>0</v>
      </c>
      <c r="D1423">
        <f>_xlfn.XLOOKUP($A1423,Load!$B:$B,Load!E:E,0,)</f>
        <v>0</v>
      </c>
      <c r="E1423">
        <f>_xlfn.XLOOKUP($A1423,Load!$B:$B,Load!F:F,0,)</f>
        <v>0</v>
      </c>
      <c r="F1423">
        <f>_xlfn.XLOOKUP($A1423,Load!$B:$B,Load!G:G,0,)</f>
        <v>0</v>
      </c>
      <c r="G1423">
        <f>_xlfn.XLOOKUP($A1423,Load!$B:$B,Load!H:H,0,)</f>
        <v>0</v>
      </c>
      <c r="H1423">
        <f>_xlfn.XLOOKUP($A1423,Load!$B:$B,Load!I:I,0,)</f>
        <v>0</v>
      </c>
      <c r="I1423">
        <f>_xlfn.XLOOKUP($A1423,Load!$B:$B,Load!J:J,0,)</f>
        <v>0</v>
      </c>
      <c r="J1423">
        <f>_xlfn.XLOOKUP($A1423,Load!$B:$B,Load!K:K,0,)</f>
        <v>0</v>
      </c>
      <c r="K1423">
        <f>_xlfn.XLOOKUP($A1423,Load!$B:$B,Load!L:L,0,)</f>
        <v>0</v>
      </c>
      <c r="L1423">
        <f>_xlfn.XLOOKUP($A1423,Load!$B:$B,Load!M:M,0,)</f>
        <v>0</v>
      </c>
    </row>
    <row r="1424" spans="1:12" x14ac:dyDescent="0.25">
      <c r="B1424">
        <f>_xlfn.XLOOKUP($A1424,Load!$B:$B,Load!C:C,0,)</f>
        <v>0</v>
      </c>
      <c r="C1424">
        <f>_xlfn.XLOOKUP($A1424,Load!$B:$B,Load!D:D,0,)</f>
        <v>0</v>
      </c>
      <c r="D1424">
        <f>_xlfn.XLOOKUP($A1424,Load!$B:$B,Load!E:E,0,)</f>
        <v>0</v>
      </c>
      <c r="E1424">
        <f>_xlfn.XLOOKUP($A1424,Load!$B:$B,Load!F:F,0,)</f>
        <v>0</v>
      </c>
      <c r="F1424">
        <f>_xlfn.XLOOKUP($A1424,Load!$B:$B,Load!G:G,0,)</f>
        <v>0</v>
      </c>
      <c r="G1424">
        <f>_xlfn.XLOOKUP($A1424,Load!$B:$B,Load!H:H,0,)</f>
        <v>0</v>
      </c>
      <c r="H1424">
        <f>_xlfn.XLOOKUP($A1424,Load!$B:$B,Load!I:I,0,)</f>
        <v>0</v>
      </c>
      <c r="I1424">
        <f>_xlfn.XLOOKUP($A1424,Load!$B:$B,Load!J:J,0,)</f>
        <v>0</v>
      </c>
      <c r="J1424">
        <f>_xlfn.XLOOKUP($A1424,Load!$B:$B,Load!K:K,0,)</f>
        <v>0</v>
      </c>
      <c r="K1424">
        <f>_xlfn.XLOOKUP($A1424,Load!$B:$B,Load!L:L,0,)</f>
        <v>0</v>
      </c>
      <c r="L1424">
        <f>_xlfn.XLOOKUP($A1424,Load!$B:$B,Load!M:M,0,)</f>
        <v>0</v>
      </c>
    </row>
    <row r="1425" spans="1:12" x14ac:dyDescent="0.25">
      <c r="B1425">
        <f>_xlfn.XLOOKUP($A1425,Load!$B:$B,Load!C:C,0,)</f>
        <v>0</v>
      </c>
      <c r="C1425">
        <f>_xlfn.XLOOKUP($A1425,Load!$B:$B,Load!D:D,0,)</f>
        <v>0</v>
      </c>
      <c r="D1425">
        <f>_xlfn.XLOOKUP($A1425,Load!$B:$B,Load!E:E,0,)</f>
        <v>0</v>
      </c>
      <c r="E1425">
        <f>_xlfn.XLOOKUP($A1425,Load!$B:$B,Load!F:F,0,)</f>
        <v>0</v>
      </c>
      <c r="F1425">
        <f>_xlfn.XLOOKUP($A1425,Load!$B:$B,Load!G:G,0,)</f>
        <v>0</v>
      </c>
      <c r="G1425">
        <f>_xlfn.XLOOKUP($A1425,Load!$B:$B,Load!H:H,0,)</f>
        <v>0</v>
      </c>
      <c r="H1425">
        <f>_xlfn.XLOOKUP($A1425,Load!$B:$B,Load!I:I,0,)</f>
        <v>0</v>
      </c>
      <c r="I1425">
        <f>_xlfn.XLOOKUP($A1425,Load!$B:$B,Load!J:J,0,)</f>
        <v>0</v>
      </c>
      <c r="J1425">
        <f>_xlfn.XLOOKUP($A1425,Load!$B:$B,Load!K:K,0,)</f>
        <v>0</v>
      </c>
      <c r="K1425">
        <f>_xlfn.XLOOKUP($A1425,Load!$B:$B,Load!L:L,0,)</f>
        <v>0</v>
      </c>
      <c r="L1425">
        <f>_xlfn.XLOOKUP($A1425,Load!$B:$B,Load!M:M,0,)</f>
        <v>0</v>
      </c>
    </row>
    <row r="1426" spans="1:12" x14ac:dyDescent="0.25">
      <c r="A1426" t="s">
        <v>130</v>
      </c>
      <c r="B1426" t="str">
        <f>_xlfn.XLOOKUP($A1426,Load!$B:$B,Load!C:C,0,)</f>
        <v>Hershey's</v>
      </c>
      <c r="C1426" t="str">
        <f>_xlfn.XLOOKUP($A1426,Load!$B:$B,Load!D:D,0,)</f>
        <v>Non-Chocolate Candy Only</v>
      </c>
      <c r="D1426" t="str">
        <f>_xlfn.XLOOKUP($A1426,Load!$B:$B,Load!E:E,0,)</f>
        <v>Variety / Mixed Flavors (Fruity, Sour, Seasonal Flavors)</v>
      </c>
      <c r="E1426" t="str">
        <f>_xlfn.XLOOKUP($A1426,Load!$B:$B,Load!F:F,0,)</f>
        <v>Mixed / Combo Packs (Gummy, Chewy, Taffy, etc.)</v>
      </c>
      <c r="F1426" t="str">
        <f>_xlfn.XLOOKUP($A1426,Load!$B:$B,Load!G:G,0,)</f>
        <v>Medium Multipack (40–80 ct)</v>
      </c>
      <c r="G1426" t="str">
        <f>_xlfn.XLOOKUP($A1426,Load!$B:$B,Load!H:H,0,)</f>
        <v>Laydown Bag</v>
      </c>
      <c r="H1426" t="str">
        <f>_xlfn.XLOOKUP($A1426,Load!$B:$B,Load!I:I,0,)</f>
        <v>Everyday Candy Shapes (like Original, Gummy bear, Fruit, Jewels, etc.)</v>
      </c>
      <c r="I1426" t="str">
        <f>_xlfn.XLOOKUP($A1426,Load!$B:$B,Load!J:J,0,)</f>
        <v>Seasonal Graphics (Like Bat, Ghost, Pumpkin, Fall Leaves, Eyeballs, etc.)</v>
      </c>
      <c r="J1426" t="str">
        <f>_xlfn.XLOOKUP($A1426,Load!$B:$B,Load!K:K,0,)</f>
        <v xml:space="preserve">Variety Candy Sizes </v>
      </c>
      <c r="K1426" t="str">
        <f>_xlfn.XLOOKUP($A1426,Load!$B:$B,Load!L:L,0,)</f>
        <v>Regular/Original Wrapping</v>
      </c>
      <c r="L1426" t="str">
        <f>_xlfn.XLOOKUP($A1426,Load!$B:$B,Load!M:M,0,)</f>
        <v>Multiple Brands / Variety Flavors or Form</v>
      </c>
    </row>
    <row r="1427" spans="1:12" x14ac:dyDescent="0.25">
      <c r="B1427">
        <f>_xlfn.XLOOKUP($A1427,Load!$B:$B,Load!C:C,0,)</f>
        <v>0</v>
      </c>
      <c r="C1427">
        <f>_xlfn.XLOOKUP($A1427,Load!$B:$B,Load!D:D,0,)</f>
        <v>0</v>
      </c>
      <c r="D1427">
        <f>_xlfn.XLOOKUP($A1427,Load!$B:$B,Load!E:E,0,)</f>
        <v>0</v>
      </c>
      <c r="E1427">
        <f>_xlfn.XLOOKUP($A1427,Load!$B:$B,Load!F:F,0,)</f>
        <v>0</v>
      </c>
      <c r="F1427">
        <f>_xlfn.XLOOKUP($A1427,Load!$B:$B,Load!G:G,0,)</f>
        <v>0</v>
      </c>
      <c r="G1427">
        <f>_xlfn.XLOOKUP($A1427,Load!$B:$B,Load!H:H,0,)</f>
        <v>0</v>
      </c>
      <c r="H1427">
        <f>_xlfn.XLOOKUP($A1427,Load!$B:$B,Load!I:I,0,)</f>
        <v>0</v>
      </c>
      <c r="I1427">
        <f>_xlfn.XLOOKUP($A1427,Load!$B:$B,Load!J:J,0,)</f>
        <v>0</v>
      </c>
      <c r="J1427">
        <f>_xlfn.XLOOKUP($A1427,Load!$B:$B,Load!K:K,0,)</f>
        <v>0</v>
      </c>
      <c r="K1427">
        <f>_xlfn.XLOOKUP($A1427,Load!$B:$B,Load!L:L,0,)</f>
        <v>0</v>
      </c>
      <c r="L1427">
        <f>_xlfn.XLOOKUP($A1427,Load!$B:$B,Load!M:M,0,)</f>
        <v>0</v>
      </c>
    </row>
    <row r="1428" spans="1:12" x14ac:dyDescent="0.25">
      <c r="B1428">
        <f>_xlfn.XLOOKUP($A1428,Load!$B:$B,Load!C:C,0,)</f>
        <v>0</v>
      </c>
      <c r="C1428">
        <f>_xlfn.XLOOKUP($A1428,Load!$B:$B,Load!D:D,0,)</f>
        <v>0</v>
      </c>
      <c r="D1428">
        <f>_xlfn.XLOOKUP($A1428,Load!$B:$B,Load!E:E,0,)</f>
        <v>0</v>
      </c>
      <c r="E1428">
        <f>_xlfn.XLOOKUP($A1428,Load!$B:$B,Load!F:F,0,)</f>
        <v>0</v>
      </c>
      <c r="F1428">
        <f>_xlfn.XLOOKUP($A1428,Load!$B:$B,Load!G:G,0,)</f>
        <v>0</v>
      </c>
      <c r="G1428">
        <f>_xlfn.XLOOKUP($A1428,Load!$B:$B,Load!H:H,0,)</f>
        <v>0</v>
      </c>
      <c r="H1428">
        <f>_xlfn.XLOOKUP($A1428,Load!$B:$B,Load!I:I,0,)</f>
        <v>0</v>
      </c>
      <c r="I1428">
        <f>_xlfn.XLOOKUP($A1428,Load!$B:$B,Load!J:J,0,)</f>
        <v>0</v>
      </c>
      <c r="J1428">
        <f>_xlfn.XLOOKUP($A1428,Load!$B:$B,Load!K:K,0,)</f>
        <v>0</v>
      </c>
      <c r="K1428">
        <f>_xlfn.XLOOKUP($A1428,Load!$B:$B,Load!L:L,0,)</f>
        <v>0</v>
      </c>
      <c r="L1428">
        <f>_xlfn.XLOOKUP($A1428,Load!$B:$B,Load!M:M,0,)</f>
        <v>0</v>
      </c>
    </row>
    <row r="1429" spans="1:12" x14ac:dyDescent="0.25">
      <c r="B1429">
        <f>_xlfn.XLOOKUP($A1429,Load!$B:$B,Load!C:C,0,)</f>
        <v>0</v>
      </c>
      <c r="C1429">
        <f>_xlfn.XLOOKUP($A1429,Load!$B:$B,Load!D:D,0,)</f>
        <v>0</v>
      </c>
      <c r="D1429">
        <f>_xlfn.XLOOKUP($A1429,Load!$B:$B,Load!E:E,0,)</f>
        <v>0</v>
      </c>
      <c r="E1429">
        <f>_xlfn.XLOOKUP($A1429,Load!$B:$B,Load!F:F,0,)</f>
        <v>0</v>
      </c>
      <c r="F1429">
        <f>_xlfn.XLOOKUP($A1429,Load!$B:$B,Load!G:G,0,)</f>
        <v>0</v>
      </c>
      <c r="G1429">
        <f>_xlfn.XLOOKUP($A1429,Load!$B:$B,Load!H:H,0,)</f>
        <v>0</v>
      </c>
      <c r="H1429">
        <f>_xlfn.XLOOKUP($A1429,Load!$B:$B,Load!I:I,0,)</f>
        <v>0</v>
      </c>
      <c r="I1429">
        <f>_xlfn.XLOOKUP($A1429,Load!$B:$B,Load!J:J,0,)</f>
        <v>0</v>
      </c>
      <c r="J1429">
        <f>_xlfn.XLOOKUP($A1429,Load!$B:$B,Load!K:K,0,)</f>
        <v>0</v>
      </c>
      <c r="K1429">
        <f>_xlfn.XLOOKUP($A1429,Load!$B:$B,Load!L:L,0,)</f>
        <v>0</v>
      </c>
      <c r="L1429">
        <f>_xlfn.XLOOKUP($A1429,Load!$B:$B,Load!M:M,0,)</f>
        <v>0</v>
      </c>
    </row>
    <row r="1430" spans="1:12" x14ac:dyDescent="0.25">
      <c r="B1430">
        <f>_xlfn.XLOOKUP($A1430,Load!$B:$B,Load!C:C,0,)</f>
        <v>0</v>
      </c>
      <c r="C1430">
        <f>_xlfn.XLOOKUP($A1430,Load!$B:$B,Load!D:D,0,)</f>
        <v>0</v>
      </c>
      <c r="D1430">
        <f>_xlfn.XLOOKUP($A1430,Load!$B:$B,Load!E:E,0,)</f>
        <v>0</v>
      </c>
      <c r="E1430">
        <f>_xlfn.XLOOKUP($A1430,Load!$B:$B,Load!F:F,0,)</f>
        <v>0</v>
      </c>
      <c r="F1430">
        <f>_xlfn.XLOOKUP($A1430,Load!$B:$B,Load!G:G,0,)</f>
        <v>0</v>
      </c>
      <c r="G1430">
        <f>_xlfn.XLOOKUP($A1430,Load!$B:$B,Load!H:H,0,)</f>
        <v>0</v>
      </c>
      <c r="H1430">
        <f>_xlfn.XLOOKUP($A1430,Load!$B:$B,Load!I:I,0,)</f>
        <v>0</v>
      </c>
      <c r="I1430">
        <f>_xlfn.XLOOKUP($A1430,Load!$B:$B,Load!J:J,0,)</f>
        <v>0</v>
      </c>
      <c r="J1430">
        <f>_xlfn.XLOOKUP($A1430,Load!$B:$B,Load!K:K,0,)</f>
        <v>0</v>
      </c>
      <c r="K1430">
        <f>_xlfn.XLOOKUP($A1430,Load!$B:$B,Load!L:L,0,)</f>
        <v>0</v>
      </c>
      <c r="L1430">
        <f>_xlfn.XLOOKUP($A1430,Load!$B:$B,Load!M:M,0,)</f>
        <v>0</v>
      </c>
    </row>
    <row r="1431" spans="1:12" x14ac:dyDescent="0.25">
      <c r="B1431">
        <f>_xlfn.XLOOKUP($A1431,Load!$B:$B,Load!C:C,0,)</f>
        <v>0</v>
      </c>
      <c r="C1431">
        <f>_xlfn.XLOOKUP($A1431,Load!$B:$B,Load!D:D,0,)</f>
        <v>0</v>
      </c>
      <c r="D1431">
        <f>_xlfn.XLOOKUP($A1431,Load!$B:$B,Load!E:E,0,)</f>
        <v>0</v>
      </c>
      <c r="E1431">
        <f>_xlfn.XLOOKUP($A1431,Load!$B:$B,Load!F:F,0,)</f>
        <v>0</v>
      </c>
      <c r="F1431">
        <f>_xlfn.XLOOKUP($A1431,Load!$B:$B,Load!G:G,0,)</f>
        <v>0</v>
      </c>
      <c r="G1431">
        <f>_xlfn.XLOOKUP($A1431,Load!$B:$B,Load!H:H,0,)</f>
        <v>0</v>
      </c>
      <c r="H1431">
        <f>_xlfn.XLOOKUP($A1431,Load!$B:$B,Load!I:I,0,)</f>
        <v>0</v>
      </c>
      <c r="I1431">
        <f>_xlfn.XLOOKUP($A1431,Load!$B:$B,Load!J:J,0,)</f>
        <v>0</v>
      </c>
      <c r="J1431">
        <f>_xlfn.XLOOKUP($A1431,Load!$B:$B,Load!K:K,0,)</f>
        <v>0</v>
      </c>
      <c r="K1431">
        <f>_xlfn.XLOOKUP($A1431,Load!$B:$B,Load!L:L,0,)</f>
        <v>0</v>
      </c>
      <c r="L1431">
        <f>_xlfn.XLOOKUP($A1431,Load!$B:$B,Load!M:M,0,)</f>
        <v>0</v>
      </c>
    </row>
    <row r="1432" spans="1:12" x14ac:dyDescent="0.25">
      <c r="B1432">
        <f>_xlfn.XLOOKUP($A1432,Load!$B:$B,Load!C:C,0,)</f>
        <v>0</v>
      </c>
      <c r="C1432">
        <f>_xlfn.XLOOKUP($A1432,Load!$B:$B,Load!D:D,0,)</f>
        <v>0</v>
      </c>
      <c r="D1432">
        <f>_xlfn.XLOOKUP($A1432,Load!$B:$B,Load!E:E,0,)</f>
        <v>0</v>
      </c>
      <c r="E1432">
        <f>_xlfn.XLOOKUP($A1432,Load!$B:$B,Load!F:F,0,)</f>
        <v>0</v>
      </c>
      <c r="F1432">
        <f>_xlfn.XLOOKUP($A1432,Load!$B:$B,Load!G:G,0,)</f>
        <v>0</v>
      </c>
      <c r="G1432">
        <f>_xlfn.XLOOKUP($A1432,Load!$B:$B,Load!H:H,0,)</f>
        <v>0</v>
      </c>
      <c r="H1432">
        <f>_xlfn.XLOOKUP($A1432,Load!$B:$B,Load!I:I,0,)</f>
        <v>0</v>
      </c>
      <c r="I1432">
        <f>_xlfn.XLOOKUP($A1432,Load!$B:$B,Load!J:J,0,)</f>
        <v>0</v>
      </c>
      <c r="J1432">
        <f>_xlfn.XLOOKUP($A1432,Load!$B:$B,Load!K:K,0,)</f>
        <v>0</v>
      </c>
      <c r="K1432">
        <f>_xlfn.XLOOKUP($A1432,Load!$B:$B,Load!L:L,0,)</f>
        <v>0</v>
      </c>
      <c r="L1432">
        <f>_xlfn.XLOOKUP($A1432,Load!$B:$B,Load!M:M,0,)</f>
        <v>0</v>
      </c>
    </row>
    <row r="1433" spans="1:12" x14ac:dyDescent="0.25">
      <c r="B1433">
        <f>_xlfn.XLOOKUP($A1433,Load!$B:$B,Load!C:C,0,)</f>
        <v>0</v>
      </c>
      <c r="C1433">
        <f>_xlfn.XLOOKUP($A1433,Load!$B:$B,Load!D:D,0,)</f>
        <v>0</v>
      </c>
      <c r="D1433">
        <f>_xlfn.XLOOKUP($A1433,Load!$B:$B,Load!E:E,0,)</f>
        <v>0</v>
      </c>
      <c r="E1433">
        <f>_xlfn.XLOOKUP($A1433,Load!$B:$B,Load!F:F,0,)</f>
        <v>0</v>
      </c>
      <c r="F1433">
        <f>_xlfn.XLOOKUP($A1433,Load!$B:$B,Load!G:G,0,)</f>
        <v>0</v>
      </c>
      <c r="G1433">
        <f>_xlfn.XLOOKUP($A1433,Load!$B:$B,Load!H:H,0,)</f>
        <v>0</v>
      </c>
      <c r="H1433">
        <f>_xlfn.XLOOKUP($A1433,Load!$B:$B,Load!I:I,0,)</f>
        <v>0</v>
      </c>
      <c r="I1433">
        <f>_xlfn.XLOOKUP($A1433,Load!$B:$B,Load!J:J,0,)</f>
        <v>0</v>
      </c>
      <c r="J1433">
        <f>_xlfn.XLOOKUP($A1433,Load!$B:$B,Load!K:K,0,)</f>
        <v>0</v>
      </c>
      <c r="K1433">
        <f>_xlfn.XLOOKUP($A1433,Load!$B:$B,Load!L:L,0,)</f>
        <v>0</v>
      </c>
      <c r="L1433">
        <f>_xlfn.XLOOKUP($A1433,Load!$B:$B,Load!M:M,0,)</f>
        <v>0</v>
      </c>
    </row>
    <row r="1434" spans="1:12" x14ac:dyDescent="0.25">
      <c r="B1434">
        <f>_xlfn.XLOOKUP($A1434,Load!$B:$B,Load!C:C,0,)</f>
        <v>0</v>
      </c>
      <c r="C1434">
        <f>_xlfn.XLOOKUP($A1434,Load!$B:$B,Load!D:D,0,)</f>
        <v>0</v>
      </c>
      <c r="D1434">
        <f>_xlfn.XLOOKUP($A1434,Load!$B:$B,Load!E:E,0,)</f>
        <v>0</v>
      </c>
      <c r="E1434">
        <f>_xlfn.XLOOKUP($A1434,Load!$B:$B,Load!F:F,0,)</f>
        <v>0</v>
      </c>
      <c r="F1434">
        <f>_xlfn.XLOOKUP($A1434,Load!$B:$B,Load!G:G,0,)</f>
        <v>0</v>
      </c>
      <c r="G1434">
        <f>_xlfn.XLOOKUP($A1434,Load!$B:$B,Load!H:H,0,)</f>
        <v>0</v>
      </c>
      <c r="H1434">
        <f>_xlfn.XLOOKUP($A1434,Load!$B:$B,Load!I:I,0,)</f>
        <v>0</v>
      </c>
      <c r="I1434">
        <f>_xlfn.XLOOKUP($A1434,Load!$B:$B,Load!J:J,0,)</f>
        <v>0</v>
      </c>
      <c r="J1434">
        <f>_xlfn.XLOOKUP($A1434,Load!$B:$B,Load!K:K,0,)</f>
        <v>0</v>
      </c>
      <c r="K1434">
        <f>_xlfn.XLOOKUP($A1434,Load!$B:$B,Load!L:L,0,)</f>
        <v>0</v>
      </c>
      <c r="L1434">
        <f>_xlfn.XLOOKUP($A1434,Load!$B:$B,Load!M:M,0,)</f>
        <v>0</v>
      </c>
    </row>
    <row r="1435" spans="1:12" x14ac:dyDescent="0.25">
      <c r="B1435">
        <f>_xlfn.XLOOKUP($A1435,Load!$B:$B,Load!C:C,0,)</f>
        <v>0</v>
      </c>
      <c r="C1435">
        <f>_xlfn.XLOOKUP($A1435,Load!$B:$B,Load!D:D,0,)</f>
        <v>0</v>
      </c>
      <c r="D1435">
        <f>_xlfn.XLOOKUP($A1435,Load!$B:$B,Load!E:E,0,)</f>
        <v>0</v>
      </c>
      <c r="E1435">
        <f>_xlfn.XLOOKUP($A1435,Load!$B:$B,Load!F:F,0,)</f>
        <v>0</v>
      </c>
      <c r="F1435">
        <f>_xlfn.XLOOKUP($A1435,Load!$B:$B,Load!G:G,0,)</f>
        <v>0</v>
      </c>
      <c r="G1435">
        <f>_xlfn.XLOOKUP($A1435,Load!$B:$B,Load!H:H,0,)</f>
        <v>0</v>
      </c>
      <c r="H1435">
        <f>_xlfn.XLOOKUP($A1435,Load!$B:$B,Load!I:I,0,)</f>
        <v>0</v>
      </c>
      <c r="I1435">
        <f>_xlfn.XLOOKUP($A1435,Load!$B:$B,Load!J:J,0,)</f>
        <v>0</v>
      </c>
      <c r="J1435">
        <f>_xlfn.XLOOKUP($A1435,Load!$B:$B,Load!K:K,0,)</f>
        <v>0</v>
      </c>
      <c r="K1435">
        <f>_xlfn.XLOOKUP($A1435,Load!$B:$B,Load!L:L,0,)</f>
        <v>0</v>
      </c>
      <c r="L1435">
        <f>_xlfn.XLOOKUP($A1435,Load!$B:$B,Load!M:M,0,)</f>
        <v>0</v>
      </c>
    </row>
    <row r="1436" spans="1:12" x14ac:dyDescent="0.25">
      <c r="A1436" t="s">
        <v>473</v>
      </c>
      <c r="B1436" t="str">
        <f>_xlfn.XLOOKUP($A1436,Load!$B:$B,Load!C:C,0,)</f>
        <v>Jelly Belly</v>
      </c>
      <c r="C1436" t="str">
        <f>_xlfn.XLOOKUP($A1436,Load!$B:$B,Load!D:D,0,)</f>
        <v>Non-Chocolate Candy Only</v>
      </c>
      <c r="D1436" t="str">
        <f>_xlfn.XLOOKUP($A1436,Load!$B:$B,Load!E:E,0,)</f>
        <v>Variety / Mixed Flavors (Fruity, Sour, Seasonal Flavors)</v>
      </c>
      <c r="E1436" t="str">
        <f>_xlfn.XLOOKUP($A1436,Load!$B:$B,Load!F:F,0,)</f>
        <v>Candy Pieces / Bites</v>
      </c>
      <c r="F1436" t="str">
        <f>_xlfn.XLOOKUP($A1436,Load!$B:$B,Load!G:G,0,)</f>
        <v>Small Multipack (Less than 40 ct)</v>
      </c>
      <c r="G1436" t="str">
        <f>_xlfn.XLOOKUP($A1436,Load!$B:$B,Load!H:H,0,)</f>
        <v>Laydown Bag</v>
      </c>
      <c r="H1436" t="str">
        <f>_xlfn.XLOOKUP($A1436,Load!$B:$B,Load!I:I,0,)</f>
        <v>Everyday Candy Shapes (like Original, Gummy bear, Fruit, Jewels, etc.)</v>
      </c>
      <c r="I1436" t="str">
        <f>_xlfn.XLOOKUP($A1436,Load!$B:$B,Load!J:J,0,)</f>
        <v>Seasonal Graphics (Like Bat, Ghost, Pumpkin, Fall Leaves, Eyeballs, etc.)</v>
      </c>
      <c r="J1436" t="str">
        <f>_xlfn.XLOOKUP($A1436,Load!$B:$B,Load!K:K,0,)</f>
        <v>Small Pieces (Tiny bite size candies)</v>
      </c>
      <c r="K1436" t="str">
        <f>_xlfn.XLOOKUP($A1436,Load!$B:$B,Load!L:L,0,)</f>
        <v>Unwrapped</v>
      </c>
      <c r="L1436" t="str">
        <f>_xlfn.XLOOKUP($A1436,Load!$B:$B,Load!M:M,0,)</f>
        <v>Single Brand / Variety Flavors or Form</v>
      </c>
    </row>
    <row r="1437" spans="1:12" x14ac:dyDescent="0.25">
      <c r="B1437">
        <f>_xlfn.XLOOKUP($A1437,Load!$B:$B,Load!C:C,0,)</f>
        <v>0</v>
      </c>
      <c r="C1437">
        <f>_xlfn.XLOOKUP($A1437,Load!$B:$B,Load!D:D,0,)</f>
        <v>0</v>
      </c>
      <c r="D1437">
        <f>_xlfn.XLOOKUP($A1437,Load!$B:$B,Load!E:E,0,)</f>
        <v>0</v>
      </c>
      <c r="E1437">
        <f>_xlfn.XLOOKUP($A1437,Load!$B:$B,Load!F:F,0,)</f>
        <v>0</v>
      </c>
      <c r="F1437">
        <f>_xlfn.XLOOKUP($A1437,Load!$B:$B,Load!G:G,0,)</f>
        <v>0</v>
      </c>
      <c r="G1437">
        <f>_xlfn.XLOOKUP($A1437,Load!$B:$B,Load!H:H,0,)</f>
        <v>0</v>
      </c>
      <c r="H1437">
        <f>_xlfn.XLOOKUP($A1437,Load!$B:$B,Load!I:I,0,)</f>
        <v>0</v>
      </c>
      <c r="I1437">
        <f>_xlfn.XLOOKUP($A1437,Load!$B:$B,Load!J:J,0,)</f>
        <v>0</v>
      </c>
      <c r="J1437">
        <f>_xlfn.XLOOKUP($A1437,Load!$B:$B,Load!K:K,0,)</f>
        <v>0</v>
      </c>
      <c r="K1437">
        <f>_xlfn.XLOOKUP($A1437,Load!$B:$B,Load!L:L,0,)</f>
        <v>0</v>
      </c>
      <c r="L1437">
        <f>_xlfn.XLOOKUP($A1437,Load!$B:$B,Load!M:M,0,)</f>
        <v>0</v>
      </c>
    </row>
    <row r="1438" spans="1:12" x14ac:dyDescent="0.25">
      <c r="B1438">
        <f>_xlfn.XLOOKUP($A1438,Load!$B:$B,Load!C:C,0,)</f>
        <v>0</v>
      </c>
      <c r="C1438">
        <f>_xlfn.XLOOKUP($A1438,Load!$B:$B,Load!D:D,0,)</f>
        <v>0</v>
      </c>
      <c r="D1438">
        <f>_xlfn.XLOOKUP($A1438,Load!$B:$B,Load!E:E,0,)</f>
        <v>0</v>
      </c>
      <c r="E1438">
        <f>_xlfn.XLOOKUP($A1438,Load!$B:$B,Load!F:F,0,)</f>
        <v>0</v>
      </c>
      <c r="F1438">
        <f>_xlfn.XLOOKUP($A1438,Load!$B:$B,Load!G:G,0,)</f>
        <v>0</v>
      </c>
      <c r="G1438">
        <f>_xlfn.XLOOKUP($A1438,Load!$B:$B,Load!H:H,0,)</f>
        <v>0</v>
      </c>
      <c r="H1438">
        <f>_xlfn.XLOOKUP($A1438,Load!$B:$B,Load!I:I,0,)</f>
        <v>0</v>
      </c>
      <c r="I1438">
        <f>_xlfn.XLOOKUP($A1438,Load!$B:$B,Load!J:J,0,)</f>
        <v>0</v>
      </c>
      <c r="J1438">
        <f>_xlfn.XLOOKUP($A1438,Load!$B:$B,Load!K:K,0,)</f>
        <v>0</v>
      </c>
      <c r="K1438">
        <f>_xlfn.XLOOKUP($A1438,Load!$B:$B,Load!L:L,0,)</f>
        <v>0</v>
      </c>
      <c r="L1438">
        <f>_xlfn.XLOOKUP($A1438,Load!$B:$B,Load!M:M,0,)</f>
        <v>0</v>
      </c>
    </row>
    <row r="1439" spans="1:12" x14ac:dyDescent="0.25">
      <c r="B1439">
        <f>_xlfn.XLOOKUP($A1439,Load!$B:$B,Load!C:C,0,)</f>
        <v>0</v>
      </c>
      <c r="C1439">
        <f>_xlfn.XLOOKUP($A1439,Load!$B:$B,Load!D:D,0,)</f>
        <v>0</v>
      </c>
      <c r="D1439">
        <f>_xlfn.XLOOKUP($A1439,Load!$B:$B,Load!E:E,0,)</f>
        <v>0</v>
      </c>
      <c r="E1439">
        <f>_xlfn.XLOOKUP($A1439,Load!$B:$B,Load!F:F,0,)</f>
        <v>0</v>
      </c>
      <c r="F1439">
        <f>_xlfn.XLOOKUP($A1439,Load!$B:$B,Load!G:G,0,)</f>
        <v>0</v>
      </c>
      <c r="G1439">
        <f>_xlfn.XLOOKUP($A1439,Load!$B:$B,Load!H:H,0,)</f>
        <v>0</v>
      </c>
      <c r="H1439">
        <f>_xlfn.XLOOKUP($A1439,Load!$B:$B,Load!I:I,0,)</f>
        <v>0</v>
      </c>
      <c r="I1439">
        <f>_xlfn.XLOOKUP($A1439,Load!$B:$B,Load!J:J,0,)</f>
        <v>0</v>
      </c>
      <c r="J1439">
        <f>_xlfn.XLOOKUP($A1439,Load!$B:$B,Load!K:K,0,)</f>
        <v>0</v>
      </c>
      <c r="K1439">
        <f>_xlfn.XLOOKUP($A1439,Load!$B:$B,Load!L:L,0,)</f>
        <v>0</v>
      </c>
      <c r="L1439">
        <f>_xlfn.XLOOKUP($A1439,Load!$B:$B,Load!M:M,0,)</f>
        <v>0</v>
      </c>
    </row>
    <row r="1440" spans="1:12" x14ac:dyDescent="0.25">
      <c r="A1440" t="s">
        <v>467</v>
      </c>
      <c r="B1440" t="str">
        <f>_xlfn.XLOOKUP($A1440,Load!$B:$B,Load!C:C,0,)</f>
        <v>Trolli</v>
      </c>
      <c r="C1440" t="str">
        <f>_xlfn.XLOOKUP($A1440,Load!$B:$B,Load!D:D,0,)</f>
        <v>Non-Chocolate Candy Only</v>
      </c>
      <c r="D1440" t="str">
        <f>_xlfn.XLOOKUP($A1440,Load!$B:$B,Load!E:E,0,)</f>
        <v>Sour</v>
      </c>
      <c r="E1440" t="str">
        <f>_xlfn.XLOOKUP($A1440,Load!$B:$B,Load!F:F,0,)</f>
        <v>Gummy</v>
      </c>
      <c r="F1440" t="str">
        <f>_xlfn.XLOOKUP($A1440,Load!$B:$B,Load!G:G,0,)</f>
        <v>Small Multipack (Less than 40 ct)</v>
      </c>
      <c r="G1440" t="str">
        <f>_xlfn.XLOOKUP($A1440,Load!$B:$B,Load!H:H,0,)</f>
        <v>Laydown Bag</v>
      </c>
      <c r="H1440" t="str">
        <f>_xlfn.XLOOKUP($A1440,Load!$B:$B,Load!I:I,0,)</f>
        <v>Seasonal Shapes (like pumpkins, candy corn, ghost, bats, etc.)</v>
      </c>
      <c r="I1440" t="str">
        <f>_xlfn.XLOOKUP($A1440,Load!$B:$B,Load!J:J,0,)</f>
        <v>Seasonal Graphics (Like Bat, Ghost, Pumpkin, Fall Leaves, Eyeballs, etc.)</v>
      </c>
      <c r="J1440" t="str">
        <f>_xlfn.XLOOKUP($A1440,Load!$B:$B,Load!K:K,0,)</f>
        <v>Fun Size / Treat Size</v>
      </c>
      <c r="K1440" t="str">
        <f>_xlfn.XLOOKUP($A1440,Load!$B:$B,Load!L:L,0,)</f>
        <v>Regular/Original Wrapping</v>
      </c>
      <c r="L1440" t="str">
        <f>_xlfn.XLOOKUP($A1440,Load!$B:$B,Load!M:M,0,)</f>
        <v>Single Brand / Variety Flavors or Form</v>
      </c>
    </row>
    <row r="1441" spans="1:12" x14ac:dyDescent="0.25">
      <c r="A1441" t="s">
        <v>108</v>
      </c>
      <c r="B1441" t="str">
        <f>_xlfn.XLOOKUP($A1441,Load!$B:$B,Load!C:C,0,)</f>
        <v>Frankford</v>
      </c>
      <c r="C1441" t="str">
        <f>_xlfn.XLOOKUP($A1441,Load!$B:$B,Load!D:D,0,)</f>
        <v>Non-Chocolate Candy Only</v>
      </c>
      <c r="D1441" t="str">
        <f>_xlfn.XLOOKUP($A1441,Load!$B:$B,Load!E:E,0,)</f>
        <v>Fruit Flavor (Cherry, Grape, Apple, Citrus, Tropical Fruit)</v>
      </c>
      <c r="E1441" t="str">
        <f>_xlfn.XLOOKUP($A1441,Load!$B:$B,Load!F:F,0,)</f>
        <v>Gummy</v>
      </c>
      <c r="F1441" t="str">
        <f>_xlfn.XLOOKUP($A1441,Load!$B:$B,Load!G:G,0,)</f>
        <v>Small Multipack (Less than 40 ct)</v>
      </c>
      <c r="G1441" t="str">
        <f>_xlfn.XLOOKUP($A1441,Load!$B:$B,Load!H:H,0,)</f>
        <v>Laydown Bag</v>
      </c>
      <c r="H1441" t="str">
        <f>_xlfn.XLOOKUP($A1441,Load!$B:$B,Load!I:I,0,)</f>
        <v>Everyday Candy Shapes (like Original, Gummy bear, Fruit, Jewels, etc.)</v>
      </c>
      <c r="I1441" t="str">
        <f>_xlfn.XLOOKUP($A1441,Load!$B:$B,Load!J:J,0,)</f>
        <v>Seasonal Graphics (Like Bat, Ghost, Pumpkin, Fall Leaves, Eyeballs, etc.)</v>
      </c>
      <c r="J1441" t="str">
        <f>_xlfn.XLOOKUP($A1441,Load!$B:$B,Load!K:K,0,)</f>
        <v>Fun Size / Treat Size</v>
      </c>
      <c r="K1441" t="str">
        <f>_xlfn.XLOOKUP($A1441,Load!$B:$B,Load!L:L,0,)</f>
        <v>Regular/Original Wrapping</v>
      </c>
      <c r="L1441" t="str">
        <f>_xlfn.XLOOKUP($A1441,Load!$B:$B,Load!M:M,0,)</f>
        <v>Single Brand / Single Flavor or Form</v>
      </c>
    </row>
    <row r="1442" spans="1:12" x14ac:dyDescent="0.25">
      <c r="A1442" t="s">
        <v>125</v>
      </c>
      <c r="B1442" t="str">
        <f>_xlfn.XLOOKUP($A1442,Load!$B:$B,Load!C:C,0,)</f>
        <v>HARIBO</v>
      </c>
      <c r="C1442" t="str">
        <f>_xlfn.XLOOKUP($A1442,Load!$B:$B,Load!D:D,0,)</f>
        <v>Non-Chocolate Candy Only</v>
      </c>
      <c r="D1442" t="str">
        <f>_xlfn.XLOOKUP($A1442,Load!$B:$B,Load!E:E,0,)</f>
        <v>Berry Based (Raspberry, Strawberry, Medley, etc.)</v>
      </c>
      <c r="E1442" t="str">
        <f>_xlfn.XLOOKUP($A1442,Load!$B:$B,Load!F:F,0,)</f>
        <v>Gummy</v>
      </c>
      <c r="F1442" t="str">
        <f>_xlfn.XLOOKUP($A1442,Load!$B:$B,Load!G:G,0,)</f>
        <v>Small Multipack (Less than 40 ct)</v>
      </c>
      <c r="G1442" t="str">
        <f>_xlfn.XLOOKUP($A1442,Load!$B:$B,Load!H:H,0,)</f>
        <v>Laydown Bag</v>
      </c>
      <c r="H1442" t="str">
        <f>_xlfn.XLOOKUP($A1442,Load!$B:$B,Load!I:I,0,)</f>
        <v>Everyday Candy Shapes (like Original, Gummy bear, Fruit, Jewels, etc.)</v>
      </c>
      <c r="I1442" t="str">
        <f>_xlfn.XLOOKUP($A1442,Load!$B:$B,Load!J:J,0,)</f>
        <v>Everyday Graphics</v>
      </c>
      <c r="J1442" t="str">
        <f>_xlfn.XLOOKUP($A1442,Load!$B:$B,Load!K:K,0,)</f>
        <v>Small Pieces (Tiny bite size candies)</v>
      </c>
      <c r="K1442" t="str">
        <f>_xlfn.XLOOKUP($A1442,Load!$B:$B,Load!L:L,0,)</f>
        <v>Regular/Original Wrapping</v>
      </c>
      <c r="L1442" t="str">
        <f>_xlfn.XLOOKUP($A1442,Load!$B:$B,Load!M:M,0,)</f>
        <v>Single Brand / Variety Flavors or Form</v>
      </c>
    </row>
    <row r="1443" spans="1:12" x14ac:dyDescent="0.25">
      <c r="A1443" t="s">
        <v>127</v>
      </c>
      <c r="B1443" t="str">
        <f>_xlfn.XLOOKUP($A1443,Load!$B:$B,Load!C:C,0,)</f>
        <v>HARIBO</v>
      </c>
      <c r="C1443" t="str">
        <f>_xlfn.XLOOKUP($A1443,Load!$B:$B,Load!D:D,0,)</f>
        <v>Non-Chocolate Candy Only</v>
      </c>
      <c r="D1443" t="str">
        <f>_xlfn.XLOOKUP($A1443,Load!$B:$B,Load!E:E,0,)</f>
        <v>Sweet</v>
      </c>
      <c r="E1443" t="str">
        <f>_xlfn.XLOOKUP($A1443,Load!$B:$B,Load!F:F,0,)</f>
        <v>Gummy</v>
      </c>
      <c r="F1443" t="str">
        <f>_xlfn.XLOOKUP($A1443,Load!$B:$B,Load!G:G,0,)</f>
        <v>Single Pack</v>
      </c>
      <c r="G1443" t="str">
        <f>_xlfn.XLOOKUP($A1443,Load!$B:$B,Load!H:H,0,)</f>
        <v>Laydown Bag</v>
      </c>
      <c r="H1443" t="str">
        <f>_xlfn.XLOOKUP($A1443,Load!$B:$B,Load!I:I,0,)</f>
        <v>Seasonal Shapes (like pumpkins, candy corn, ghost, bats, etc.)</v>
      </c>
      <c r="I1443" t="str">
        <f>_xlfn.XLOOKUP($A1443,Load!$B:$B,Load!J:J,0,)</f>
        <v>Seasonal Graphics (Like Bat, Ghost, Pumpkin, Fall Leaves, Eyeballs, etc.)</v>
      </c>
      <c r="J1443" t="str">
        <f>_xlfn.XLOOKUP($A1443,Load!$B:$B,Load!K:K,0,)</f>
        <v>Small Pieces (Tiny bite size candies)</v>
      </c>
      <c r="K1443" t="str">
        <f>_xlfn.XLOOKUP($A1443,Load!$B:$B,Load!L:L,0,)</f>
        <v>Unwrapped</v>
      </c>
      <c r="L1443" t="str">
        <f>_xlfn.XLOOKUP($A1443,Load!$B:$B,Load!M:M,0,)</f>
        <v>Single Brand / Variety Flavors or Form</v>
      </c>
    </row>
    <row r="1444" spans="1:12" x14ac:dyDescent="0.25">
      <c r="A1444" t="s">
        <v>186</v>
      </c>
      <c r="B1444" t="str">
        <f>_xlfn.XLOOKUP($A1444,Load!$B:$B,Load!C:C,0,)</f>
        <v>Mars Variety Pack</v>
      </c>
      <c r="C1444" t="str">
        <f>_xlfn.XLOOKUP($A1444,Load!$B:$B,Load!D:D,0,)</f>
        <v>Mix of Chocolate and Non-Chocolate Candy</v>
      </c>
      <c r="D1444" t="str">
        <f>_xlfn.XLOOKUP($A1444,Load!$B:$B,Load!E:E,0,)</f>
        <v>Variety / Mixed Flavors (Fruity, Sour, Seasonal Flavors)</v>
      </c>
      <c r="E1444" t="str">
        <f>_xlfn.XLOOKUP($A1444,Load!$B:$B,Load!F:F,0,)</f>
        <v>Mixed / Combo Packs (Gummy, Chewy, Taffy, etc.)</v>
      </c>
      <c r="F1444" t="str">
        <f>_xlfn.XLOOKUP($A1444,Load!$B:$B,Load!G:G,0,)</f>
        <v>Large Multipack (More than 80 ct)</v>
      </c>
      <c r="G1444" t="str">
        <f>_xlfn.XLOOKUP($A1444,Load!$B:$B,Load!H:H,0,)</f>
        <v>Stand-Up Bag</v>
      </c>
      <c r="H1444" t="str">
        <f>_xlfn.XLOOKUP($A1444,Load!$B:$B,Load!I:I,0,)</f>
        <v>Everyday Candy Shapes (like Original, Gummy bear, Fruit, Jewels, etc.)</v>
      </c>
      <c r="I1444" t="str">
        <f>_xlfn.XLOOKUP($A1444,Load!$B:$B,Load!J:J,0,)</f>
        <v>Seasonal Graphics (Like Bat, Ghost, Pumpkin, Fall Leaves, Eyeballs, etc.)</v>
      </c>
      <c r="J1444" t="str">
        <f>_xlfn.XLOOKUP($A1444,Load!$B:$B,Load!K:K,0,)</f>
        <v>Fun Size / Treat Size</v>
      </c>
      <c r="K1444" t="str">
        <f>_xlfn.XLOOKUP($A1444,Load!$B:$B,Load!L:L,0,)</f>
        <v>Regular/Original Wrapping</v>
      </c>
      <c r="L1444" t="str">
        <f>_xlfn.XLOOKUP($A1444,Load!$B:$B,Load!M:M,0,)</f>
        <v>Multiple Brands / Variety Flavors or Form</v>
      </c>
    </row>
    <row r="1445" spans="1:12" x14ac:dyDescent="0.25">
      <c r="A1445" t="s">
        <v>187</v>
      </c>
      <c r="B1445" t="str">
        <f>_xlfn.XLOOKUP($A1445,Load!$B:$B,Load!C:C,0,)</f>
        <v>Mars Variety Pack</v>
      </c>
      <c r="C1445" t="str">
        <f>_xlfn.XLOOKUP($A1445,Load!$B:$B,Load!D:D,0,)</f>
        <v>Mix of Chocolate and Non-Chocolate Candy</v>
      </c>
      <c r="D1445" t="str">
        <f>_xlfn.XLOOKUP($A1445,Load!$B:$B,Load!E:E,0,)</f>
        <v>Variety / Mixed Flavors (Fruity, Sour, Seasonal Flavors)</v>
      </c>
      <c r="E1445" t="str">
        <f>_xlfn.XLOOKUP($A1445,Load!$B:$B,Load!F:F,0,)</f>
        <v>Mixed / Combo Packs (Gummy, Chewy, Taffy, etc.)</v>
      </c>
      <c r="F1445" t="str">
        <f>_xlfn.XLOOKUP($A1445,Load!$B:$B,Load!G:G,0,)</f>
        <v>Medium Multipack (40–80 ct)</v>
      </c>
      <c r="G1445" t="str">
        <f>_xlfn.XLOOKUP($A1445,Load!$B:$B,Load!H:H,0,)</f>
        <v>Stand-Up Bag</v>
      </c>
      <c r="H1445" t="str">
        <f>_xlfn.XLOOKUP($A1445,Load!$B:$B,Load!I:I,0,)</f>
        <v>Everyday Candy Shapes (like Original, Gummy bear, Fruit, Jewels, etc.)</v>
      </c>
      <c r="I1445" t="str">
        <f>_xlfn.XLOOKUP($A1445,Load!$B:$B,Load!J:J,0,)</f>
        <v>Seasonal Graphics (Like Bat, Ghost, Pumpkin, Fall Leaves, Eyeballs, etc.)</v>
      </c>
      <c r="J1445" t="str">
        <f>_xlfn.XLOOKUP($A1445,Load!$B:$B,Load!K:K,0,)</f>
        <v>Fun Size / Treat Size</v>
      </c>
      <c r="K1445" t="str">
        <f>_xlfn.XLOOKUP($A1445,Load!$B:$B,Load!L:L,0,)</f>
        <v>Regular/Original Wrapping</v>
      </c>
      <c r="L1445" t="str">
        <f>_xlfn.XLOOKUP($A1445,Load!$B:$B,Load!M:M,0,)</f>
        <v>Multiple Brands / Variety Flavors or Form</v>
      </c>
    </row>
    <row r="1446" spans="1:12" x14ac:dyDescent="0.25">
      <c r="A1446" t="s">
        <v>213</v>
      </c>
      <c r="B1446" t="str">
        <f>_xlfn.XLOOKUP($A1446,Load!$B:$B,Load!C:C,0,)</f>
        <v>Mars Variety Pack</v>
      </c>
      <c r="C1446" t="str">
        <f>_xlfn.XLOOKUP($A1446,Load!$B:$B,Load!D:D,0,)</f>
        <v>Mix of Chocolate and Non-Chocolate Candy</v>
      </c>
      <c r="D1446" t="str">
        <f>_xlfn.XLOOKUP($A1446,Load!$B:$B,Load!E:E,0,)</f>
        <v>Variety / Mixed Flavors (Fruity, Sour, Seasonal Flavors)</v>
      </c>
      <c r="E1446" t="str">
        <f>_xlfn.XLOOKUP($A1446,Load!$B:$B,Load!F:F,0,)</f>
        <v>Mixed / Combo Packs (Gummy, Chewy, Taffy, etc.)</v>
      </c>
      <c r="F1446" t="str">
        <f>_xlfn.XLOOKUP($A1446,Load!$B:$B,Load!G:G,0,)</f>
        <v>Medium Multipack (40–80 ct)</v>
      </c>
      <c r="G1446" t="str">
        <f>_xlfn.XLOOKUP($A1446,Load!$B:$B,Load!H:H,0,)</f>
        <v>Stand-Up Bag</v>
      </c>
      <c r="H1446" t="str">
        <f>_xlfn.XLOOKUP($A1446,Load!$B:$B,Load!I:I,0,)</f>
        <v>Everyday Candy Shapes (like Original, Gummy bear, Fruit, Jewels, etc.)</v>
      </c>
      <c r="I1446" t="str">
        <f>_xlfn.XLOOKUP($A1446,Load!$B:$B,Load!J:J,0,)</f>
        <v>Seasonal Graphics (Like Bat, Ghost, Pumpkin, Fall Leaves, Eyeballs, etc.)</v>
      </c>
      <c r="J1446" t="str">
        <f>_xlfn.XLOOKUP($A1446,Load!$B:$B,Load!K:K,0,)</f>
        <v>Fun Size / Treat Size</v>
      </c>
      <c r="K1446" t="str">
        <f>_xlfn.XLOOKUP($A1446,Load!$B:$B,Load!L:L,0,)</f>
        <v>Regular/Original Wrapping</v>
      </c>
      <c r="L1446" t="str">
        <f>_xlfn.XLOOKUP($A1446,Load!$B:$B,Load!M:M,0,)</f>
        <v>Multiple Brands / Variety Flavors or Form</v>
      </c>
    </row>
    <row r="1447" spans="1:12" x14ac:dyDescent="0.25">
      <c r="A1447" t="s">
        <v>204</v>
      </c>
      <c r="B1447" t="str">
        <f>_xlfn.XLOOKUP($A1447,Load!$B:$B,Load!C:C,0,)</f>
        <v>Mars Variety Pack</v>
      </c>
      <c r="C1447" t="str">
        <f>_xlfn.XLOOKUP($A1447,Load!$B:$B,Load!D:D,0,)</f>
        <v>Mix of Chocolate and Non-Chocolate Candy</v>
      </c>
      <c r="D1447" t="str">
        <f>_xlfn.XLOOKUP($A1447,Load!$B:$B,Load!E:E,0,)</f>
        <v>Variety / Mixed Flavors (Fruity, Sour, Seasonal Flavors)</v>
      </c>
      <c r="E1447" t="str">
        <f>_xlfn.XLOOKUP($A1447,Load!$B:$B,Load!F:F,0,)</f>
        <v>Mixed / Combo Packs (Gummy, Chewy, Taffy, etc.)</v>
      </c>
      <c r="F1447" t="str">
        <f>_xlfn.XLOOKUP($A1447,Load!$B:$B,Load!G:G,0,)</f>
        <v>Medium Multipack (40–80 ct)</v>
      </c>
      <c r="G1447" t="str">
        <f>_xlfn.XLOOKUP($A1447,Load!$B:$B,Load!H:H,0,)</f>
        <v>Stand-Up Bag</v>
      </c>
      <c r="H1447" t="str">
        <f>_xlfn.XLOOKUP($A1447,Load!$B:$B,Load!I:I,0,)</f>
        <v>Everyday Candy Shapes (like Original, Gummy bear, Fruit, Jewels, etc.)</v>
      </c>
      <c r="I1447" t="str">
        <f>_xlfn.XLOOKUP($A1447,Load!$B:$B,Load!J:J,0,)</f>
        <v>Everyday Graphics</v>
      </c>
      <c r="J1447" t="str">
        <f>_xlfn.XLOOKUP($A1447,Load!$B:$B,Load!K:K,0,)</f>
        <v>Fun Size / Treat Size</v>
      </c>
      <c r="K1447" t="str">
        <f>_xlfn.XLOOKUP($A1447,Load!$B:$B,Load!L:L,0,)</f>
        <v>Regular/Original Wrapping</v>
      </c>
      <c r="L1447" t="str">
        <f>_xlfn.XLOOKUP($A1447,Load!$B:$B,Load!M:M,0,)</f>
        <v>Multiple Brands / Variety Flavors or Form</v>
      </c>
    </row>
    <row r="1448" spans="1:12" x14ac:dyDescent="0.25">
      <c r="A1448" t="s">
        <v>260</v>
      </c>
      <c r="B1448" t="str">
        <f>_xlfn.XLOOKUP($A1448,Load!$B:$B,Load!C:C,0,)</f>
        <v>Skittles</v>
      </c>
      <c r="C1448" t="str">
        <f>_xlfn.XLOOKUP($A1448,Load!$B:$B,Load!D:D,0,)</f>
        <v>Non-Chocolate Candy Only</v>
      </c>
      <c r="D1448" t="str">
        <f>_xlfn.XLOOKUP($A1448,Load!$B:$B,Load!E:E,0,)</f>
        <v>Fruit Flavor (Cherry, Grape, Apple, Citrus, Tropical Fruit)</v>
      </c>
      <c r="E1448" t="str">
        <f>_xlfn.XLOOKUP($A1448,Load!$B:$B,Load!F:F,0,)</f>
        <v>Candy Pieces / Bites</v>
      </c>
      <c r="F1448" t="str">
        <f>_xlfn.XLOOKUP($A1448,Load!$B:$B,Load!G:G,0,)</f>
        <v>Single Pack</v>
      </c>
      <c r="G1448" t="str">
        <f>_xlfn.XLOOKUP($A1448,Load!$B:$B,Load!H:H,0,)</f>
        <v>Plastic Cup / Container</v>
      </c>
      <c r="H1448" t="str">
        <f>_xlfn.XLOOKUP($A1448,Load!$B:$B,Load!I:I,0,)</f>
        <v>Everyday Candy Shapes (like Original, Gummy bear, Fruit, Jewels, etc.)</v>
      </c>
      <c r="I1448" t="str">
        <f>_xlfn.XLOOKUP($A1448,Load!$B:$B,Load!J:J,0,)</f>
        <v>Seasonal Graphics (Like Bat, Ghost, Pumpkin, Fall Leaves, Eyeballs, etc.)</v>
      </c>
      <c r="J1448" t="str">
        <f>_xlfn.XLOOKUP($A1448,Load!$B:$B,Load!K:K,0,)</f>
        <v>Small Pieces (Tiny bite size candies)</v>
      </c>
      <c r="K1448" t="str">
        <f>_xlfn.XLOOKUP($A1448,Load!$B:$B,Load!L:L,0,)</f>
        <v>Unwrapped</v>
      </c>
      <c r="L1448" t="str">
        <f>_xlfn.XLOOKUP($A1448,Load!$B:$B,Load!M:M,0,)</f>
        <v>Single Brand / Single Flavor or Form</v>
      </c>
    </row>
    <row r="1449" spans="1:12" x14ac:dyDescent="0.25">
      <c r="B1449">
        <f>_xlfn.XLOOKUP($A1449,Load!$B:$B,Load!C:C,0,)</f>
        <v>0</v>
      </c>
      <c r="C1449">
        <f>_xlfn.XLOOKUP($A1449,Load!$B:$B,Load!D:D,0,)</f>
        <v>0</v>
      </c>
      <c r="D1449">
        <f>_xlfn.XLOOKUP($A1449,Load!$B:$B,Load!E:E,0,)</f>
        <v>0</v>
      </c>
      <c r="E1449">
        <f>_xlfn.XLOOKUP($A1449,Load!$B:$B,Load!F:F,0,)</f>
        <v>0</v>
      </c>
      <c r="F1449">
        <f>_xlfn.XLOOKUP($A1449,Load!$B:$B,Load!G:G,0,)</f>
        <v>0</v>
      </c>
      <c r="G1449">
        <f>_xlfn.XLOOKUP($A1449,Load!$B:$B,Load!H:H,0,)</f>
        <v>0</v>
      </c>
      <c r="H1449">
        <f>_xlfn.XLOOKUP($A1449,Load!$B:$B,Load!I:I,0,)</f>
        <v>0</v>
      </c>
      <c r="I1449">
        <f>_xlfn.XLOOKUP($A1449,Load!$B:$B,Load!J:J,0,)</f>
        <v>0</v>
      </c>
      <c r="J1449">
        <f>_xlfn.XLOOKUP($A1449,Load!$B:$B,Load!K:K,0,)</f>
        <v>0</v>
      </c>
      <c r="K1449">
        <f>_xlfn.XLOOKUP($A1449,Load!$B:$B,Load!L:L,0,)</f>
        <v>0</v>
      </c>
      <c r="L1449">
        <f>_xlfn.XLOOKUP($A1449,Load!$B:$B,Load!M:M,0,)</f>
        <v>0</v>
      </c>
    </row>
    <row r="1450" spans="1:12" x14ac:dyDescent="0.25">
      <c r="A1450" t="s">
        <v>221</v>
      </c>
      <c r="B1450" t="str">
        <f>_xlfn.XLOOKUP($A1450,Load!$B:$B,Load!C:C,0,)</f>
        <v>Hershey's Variety Pack + Haribo</v>
      </c>
      <c r="C1450" t="str">
        <f>_xlfn.XLOOKUP($A1450,Load!$B:$B,Load!D:D,0,)</f>
        <v>Mix of Chocolate and Non-Chocolate Candy</v>
      </c>
      <c r="D1450" t="str">
        <f>_xlfn.XLOOKUP($A1450,Load!$B:$B,Load!E:E,0,)</f>
        <v>Variety / Mixed Flavors (Fruity, Sour, Seasonal Flavors)</v>
      </c>
      <c r="E1450" t="str">
        <f>_xlfn.XLOOKUP($A1450,Load!$B:$B,Load!F:F,0,)</f>
        <v>Mixed / Combo Packs (Gummy, Chewy, Taffy, etc.)</v>
      </c>
      <c r="F1450" t="str">
        <f>_xlfn.XLOOKUP($A1450,Load!$B:$B,Load!G:G,0,)</f>
        <v>Large Multipack (More than 80 ct)</v>
      </c>
      <c r="G1450" t="str">
        <f>_xlfn.XLOOKUP($A1450,Load!$B:$B,Load!H:H,0,)</f>
        <v>Stand-Up Bag</v>
      </c>
      <c r="H1450" t="str">
        <f>_xlfn.XLOOKUP($A1450,Load!$B:$B,Load!I:I,0,)</f>
        <v>Everyday Candy Shapes (like Original, Gummy bear, Fruit, Jewels, etc.)</v>
      </c>
      <c r="I1450" t="str">
        <f>_xlfn.XLOOKUP($A1450,Load!$B:$B,Load!J:J,0,)</f>
        <v>Seasonal Graphics (Like Bat, Ghost, Pumpkin, Fall Leaves, Eyeballs, etc.)</v>
      </c>
      <c r="J1450" t="str">
        <f>_xlfn.XLOOKUP($A1450,Load!$B:$B,Load!K:K,0,)</f>
        <v xml:space="preserve">Variety Candy Sizes </v>
      </c>
      <c r="K1450" t="str">
        <f>_xlfn.XLOOKUP($A1450,Load!$B:$B,Load!L:L,0,)</f>
        <v>Regular/Original Wrapping</v>
      </c>
      <c r="L1450" t="str">
        <f>_xlfn.XLOOKUP($A1450,Load!$B:$B,Load!M:M,0,)</f>
        <v>Multiple Brands / Variety Flavors or Form</v>
      </c>
    </row>
    <row r="1451" spans="1:12" x14ac:dyDescent="0.25">
      <c r="A1451" t="s">
        <v>137</v>
      </c>
      <c r="B1451" t="str">
        <f>_xlfn.XLOOKUP($A1451,Load!$B:$B,Load!C:C,0,)</f>
        <v>Hershey's Variety Pack + Haribo</v>
      </c>
      <c r="C1451" t="str">
        <f>_xlfn.XLOOKUP($A1451,Load!$B:$B,Load!D:D,0,)</f>
        <v>Non-Chocolate Candy Only</v>
      </c>
      <c r="D1451" t="str">
        <f>_xlfn.XLOOKUP($A1451,Load!$B:$B,Load!E:E,0,)</f>
        <v>Variety / Mixed Flavors (Fruity, Sour, Seasonal Flavors)</v>
      </c>
      <c r="E1451" t="str">
        <f>_xlfn.XLOOKUP($A1451,Load!$B:$B,Load!F:F,0,)</f>
        <v>Mixed / Combo Packs (Gummy, Chewy, Taffy, etc.)</v>
      </c>
      <c r="F1451" t="str">
        <f>_xlfn.XLOOKUP($A1451,Load!$B:$B,Load!G:G,0,)</f>
        <v>Large Multipack (More than 80 ct)</v>
      </c>
      <c r="G1451" t="str">
        <f>_xlfn.XLOOKUP($A1451,Load!$B:$B,Load!H:H,0,)</f>
        <v>Stand-Up Bag</v>
      </c>
      <c r="H1451" t="str">
        <f>_xlfn.XLOOKUP($A1451,Load!$B:$B,Load!I:I,0,)</f>
        <v>Everyday Candy Shapes (like Original, Gummy bear, Fruit, Jewels, etc.)</v>
      </c>
      <c r="I1451" t="str">
        <f>_xlfn.XLOOKUP($A1451,Load!$B:$B,Load!J:J,0,)</f>
        <v>Seasonal Graphics (Like Bat, Ghost, Pumpkin, Fall Leaves, Eyeballs, etc.)</v>
      </c>
      <c r="J1451" t="str">
        <f>_xlfn.XLOOKUP($A1451,Load!$B:$B,Load!K:K,0,)</f>
        <v xml:space="preserve">Variety Candy Sizes </v>
      </c>
      <c r="K1451" t="str">
        <f>_xlfn.XLOOKUP($A1451,Load!$B:$B,Load!L:L,0,)</f>
        <v>Regular/Original Wrapping</v>
      </c>
      <c r="L1451" t="str">
        <f>_xlfn.XLOOKUP($A1451,Load!$B:$B,Load!M:M,0,)</f>
        <v>Multiple Brands / Variety Flavors or Form</v>
      </c>
    </row>
    <row r="1452" spans="1:12" x14ac:dyDescent="0.25">
      <c r="A1452" t="s">
        <v>12</v>
      </c>
      <c r="B1452" t="str">
        <f>_xlfn.XLOOKUP($A1452,Load!$B:$B,Load!C:C,0,)</f>
        <v>Airheads</v>
      </c>
      <c r="C1452" t="str">
        <f>_xlfn.XLOOKUP($A1452,Load!$B:$B,Load!D:D,0,)</f>
        <v>Non-Chocolate Candy Only</v>
      </c>
      <c r="D1452" t="str">
        <f>_xlfn.XLOOKUP($A1452,Load!$B:$B,Load!E:E,0,)</f>
        <v>Berry Based (Raspberry, Strawberry, Medley, etc.)</v>
      </c>
      <c r="E1452" t="str">
        <f>_xlfn.XLOOKUP($A1452,Load!$B:$B,Load!F:F,0,)</f>
        <v>Chewy</v>
      </c>
      <c r="F1452" t="str">
        <f>_xlfn.XLOOKUP($A1452,Load!$B:$B,Load!G:G,0,)</f>
        <v>Single Pack</v>
      </c>
      <c r="G1452" t="str">
        <f>_xlfn.XLOOKUP($A1452,Load!$B:$B,Load!H:H,0,)</f>
        <v>Laydown Bag</v>
      </c>
      <c r="H1452" t="str">
        <f>_xlfn.XLOOKUP($A1452,Load!$B:$B,Load!I:I,0,)</f>
        <v>Everyday Candy Shapes (like Original, Gummy bear, Fruit, Jewels, etc.)</v>
      </c>
      <c r="I1452" t="str">
        <f>_xlfn.XLOOKUP($A1452,Load!$B:$B,Load!J:J,0,)</f>
        <v>Everyday Graphics</v>
      </c>
      <c r="J1452" t="str">
        <f>_xlfn.XLOOKUP($A1452,Load!$B:$B,Load!K:K,0,)</f>
        <v>Fun Size / Treat Size</v>
      </c>
      <c r="K1452" t="str">
        <f>_xlfn.XLOOKUP($A1452,Load!$B:$B,Load!L:L,0,)</f>
        <v>Unwrapped</v>
      </c>
      <c r="L1452" t="str">
        <f>_xlfn.XLOOKUP($A1452,Load!$B:$B,Load!M:M,0,)</f>
        <v>Single Brand / Single Flavor or Form</v>
      </c>
    </row>
    <row r="1453" spans="1:12" x14ac:dyDescent="0.25">
      <c r="A1453" t="s">
        <v>100</v>
      </c>
      <c r="B1453" t="str">
        <f>_xlfn.XLOOKUP($A1453,Load!$B:$B,Load!C:C,0,)</f>
        <v>Flix</v>
      </c>
      <c r="C1453" t="str">
        <f>_xlfn.XLOOKUP($A1453,Load!$B:$B,Load!D:D,0,)</f>
        <v>Non-Chocolate Candy Only</v>
      </c>
      <c r="D1453" t="str">
        <f>_xlfn.XLOOKUP($A1453,Load!$B:$B,Load!E:E,0,)</f>
        <v>Berry Based (Raspberry, Strawberry, Medley, etc.)</v>
      </c>
      <c r="E1453" t="str">
        <f>_xlfn.XLOOKUP($A1453,Load!$B:$B,Load!F:F,0,)</f>
        <v>Gummy</v>
      </c>
      <c r="F1453" t="str">
        <f>_xlfn.XLOOKUP($A1453,Load!$B:$B,Load!G:G,0,)</f>
        <v>Small Multipack (Less than 40 ct)</v>
      </c>
      <c r="G1453" t="str">
        <f>_xlfn.XLOOKUP($A1453,Load!$B:$B,Load!H:H,0,)</f>
        <v>Box (theatre box, gift box, carton)</v>
      </c>
      <c r="H1453" t="str">
        <f>_xlfn.XLOOKUP($A1453,Load!$B:$B,Load!I:I,0,)</f>
        <v>Seasonal Shapes (like pumpkins, candy corn, ghost, bats, etc.)</v>
      </c>
      <c r="I1453" t="str">
        <f>_xlfn.XLOOKUP($A1453,Load!$B:$B,Load!J:J,0,)</f>
        <v>Seasonal Graphics (Like Bat, Ghost, Pumpkin, Fall Leaves, Eyeballs, etc.)</v>
      </c>
      <c r="J1453" t="str">
        <f>_xlfn.XLOOKUP($A1453,Load!$B:$B,Load!K:K,0,)</f>
        <v xml:space="preserve">Variety Candy Sizes </v>
      </c>
      <c r="K1453" t="str">
        <f>_xlfn.XLOOKUP($A1453,Load!$B:$B,Load!L:L,0,)</f>
        <v>Unwrapped</v>
      </c>
      <c r="L1453" t="str">
        <f>_xlfn.XLOOKUP($A1453,Load!$B:$B,Load!M:M,0,)</f>
        <v>Single Brand / Variety Flavors or Form</v>
      </c>
    </row>
    <row r="1454" spans="1:12" x14ac:dyDescent="0.25">
      <c r="B1454">
        <f>_xlfn.XLOOKUP($A1454,Load!$B:$B,Load!C:C,0,)</f>
        <v>0</v>
      </c>
      <c r="C1454">
        <f>_xlfn.XLOOKUP($A1454,Load!$B:$B,Load!D:D,0,)</f>
        <v>0</v>
      </c>
      <c r="D1454">
        <f>_xlfn.XLOOKUP($A1454,Load!$B:$B,Load!E:E,0,)</f>
        <v>0</v>
      </c>
      <c r="E1454">
        <f>_xlfn.XLOOKUP($A1454,Load!$B:$B,Load!F:F,0,)</f>
        <v>0</v>
      </c>
      <c r="F1454">
        <f>_xlfn.XLOOKUP($A1454,Load!$B:$B,Load!G:G,0,)</f>
        <v>0</v>
      </c>
      <c r="G1454">
        <f>_xlfn.XLOOKUP($A1454,Load!$B:$B,Load!H:H,0,)</f>
        <v>0</v>
      </c>
      <c r="H1454">
        <f>_xlfn.XLOOKUP($A1454,Load!$B:$B,Load!I:I,0,)</f>
        <v>0</v>
      </c>
      <c r="I1454">
        <f>_xlfn.XLOOKUP($A1454,Load!$B:$B,Load!J:J,0,)</f>
        <v>0</v>
      </c>
      <c r="J1454">
        <f>_xlfn.XLOOKUP($A1454,Load!$B:$B,Load!K:K,0,)</f>
        <v>0</v>
      </c>
      <c r="K1454">
        <f>_xlfn.XLOOKUP($A1454,Load!$B:$B,Load!L:L,0,)</f>
        <v>0</v>
      </c>
      <c r="L1454">
        <f>_xlfn.XLOOKUP($A1454,Load!$B:$B,Load!M:M,0,)</f>
        <v>0</v>
      </c>
    </row>
    <row r="1455" spans="1:12" x14ac:dyDescent="0.25">
      <c r="B1455">
        <f>_xlfn.XLOOKUP($A1455,Load!$B:$B,Load!C:C,0,)</f>
        <v>0</v>
      </c>
      <c r="C1455">
        <f>_xlfn.XLOOKUP($A1455,Load!$B:$B,Load!D:D,0,)</f>
        <v>0</v>
      </c>
      <c r="D1455">
        <f>_xlfn.XLOOKUP($A1455,Load!$B:$B,Load!E:E,0,)</f>
        <v>0</v>
      </c>
      <c r="E1455">
        <f>_xlfn.XLOOKUP($A1455,Load!$B:$B,Load!F:F,0,)</f>
        <v>0</v>
      </c>
      <c r="F1455">
        <f>_xlfn.XLOOKUP($A1455,Load!$B:$B,Load!G:G,0,)</f>
        <v>0</v>
      </c>
      <c r="G1455">
        <f>_xlfn.XLOOKUP($A1455,Load!$B:$B,Load!H:H,0,)</f>
        <v>0</v>
      </c>
      <c r="H1455">
        <f>_xlfn.XLOOKUP($A1455,Load!$B:$B,Load!I:I,0,)</f>
        <v>0</v>
      </c>
      <c r="I1455">
        <f>_xlfn.XLOOKUP($A1455,Load!$B:$B,Load!J:J,0,)</f>
        <v>0</v>
      </c>
      <c r="J1455">
        <f>_xlfn.XLOOKUP($A1455,Load!$B:$B,Load!K:K,0,)</f>
        <v>0</v>
      </c>
      <c r="K1455">
        <f>_xlfn.XLOOKUP($A1455,Load!$B:$B,Load!L:L,0,)</f>
        <v>0</v>
      </c>
      <c r="L1455">
        <f>_xlfn.XLOOKUP($A1455,Load!$B:$B,Load!M:M,0,)</f>
        <v>0</v>
      </c>
    </row>
    <row r="1456" spans="1:12" x14ac:dyDescent="0.25">
      <c r="B1456">
        <f>_xlfn.XLOOKUP($A1456,Load!$B:$B,Load!C:C,0,)</f>
        <v>0</v>
      </c>
      <c r="C1456">
        <f>_xlfn.XLOOKUP($A1456,Load!$B:$B,Load!D:D,0,)</f>
        <v>0</v>
      </c>
      <c r="D1456">
        <f>_xlfn.XLOOKUP($A1456,Load!$B:$B,Load!E:E,0,)</f>
        <v>0</v>
      </c>
      <c r="E1456">
        <f>_xlfn.XLOOKUP($A1456,Load!$B:$B,Load!F:F,0,)</f>
        <v>0</v>
      </c>
      <c r="F1456">
        <f>_xlfn.XLOOKUP($A1456,Load!$B:$B,Load!G:G,0,)</f>
        <v>0</v>
      </c>
      <c r="G1456">
        <f>_xlfn.XLOOKUP($A1456,Load!$B:$B,Load!H:H,0,)</f>
        <v>0</v>
      </c>
      <c r="H1456">
        <f>_xlfn.XLOOKUP($A1456,Load!$B:$B,Load!I:I,0,)</f>
        <v>0</v>
      </c>
      <c r="I1456">
        <f>_xlfn.XLOOKUP($A1456,Load!$B:$B,Load!J:J,0,)</f>
        <v>0</v>
      </c>
      <c r="J1456">
        <f>_xlfn.XLOOKUP($A1456,Load!$B:$B,Load!K:K,0,)</f>
        <v>0</v>
      </c>
      <c r="K1456">
        <f>_xlfn.XLOOKUP($A1456,Load!$B:$B,Load!L:L,0,)</f>
        <v>0</v>
      </c>
      <c r="L1456">
        <f>_xlfn.XLOOKUP($A1456,Load!$B:$B,Load!M:M,0,)</f>
        <v>0</v>
      </c>
    </row>
    <row r="1457" spans="1:12" x14ac:dyDescent="0.25">
      <c r="B1457">
        <f>_xlfn.XLOOKUP($A1457,Load!$B:$B,Load!C:C,0,)</f>
        <v>0</v>
      </c>
      <c r="C1457">
        <f>_xlfn.XLOOKUP($A1457,Load!$B:$B,Load!D:D,0,)</f>
        <v>0</v>
      </c>
      <c r="D1457">
        <f>_xlfn.XLOOKUP($A1457,Load!$B:$B,Load!E:E,0,)</f>
        <v>0</v>
      </c>
      <c r="E1457">
        <f>_xlfn.XLOOKUP($A1457,Load!$B:$B,Load!F:F,0,)</f>
        <v>0</v>
      </c>
      <c r="F1457">
        <f>_xlfn.XLOOKUP($A1457,Load!$B:$B,Load!G:G,0,)</f>
        <v>0</v>
      </c>
      <c r="G1457">
        <f>_xlfn.XLOOKUP($A1457,Load!$B:$B,Load!H:H,0,)</f>
        <v>0</v>
      </c>
      <c r="H1457">
        <f>_xlfn.XLOOKUP($A1457,Load!$B:$B,Load!I:I,0,)</f>
        <v>0</v>
      </c>
      <c r="I1457">
        <f>_xlfn.XLOOKUP($A1457,Load!$B:$B,Load!J:J,0,)</f>
        <v>0</v>
      </c>
      <c r="J1457">
        <f>_xlfn.XLOOKUP($A1457,Load!$B:$B,Load!K:K,0,)</f>
        <v>0</v>
      </c>
      <c r="K1457">
        <f>_xlfn.XLOOKUP($A1457,Load!$B:$B,Load!L:L,0,)</f>
        <v>0</v>
      </c>
      <c r="L1457">
        <f>_xlfn.XLOOKUP($A1457,Load!$B:$B,Load!M:M,0,)</f>
        <v>0</v>
      </c>
    </row>
    <row r="1458" spans="1:12" x14ac:dyDescent="0.25">
      <c r="A1458" t="s">
        <v>473</v>
      </c>
      <c r="B1458" t="str">
        <f>_xlfn.XLOOKUP($A1458,Load!$B:$B,Load!C:C,0,)</f>
        <v>Jelly Belly</v>
      </c>
      <c r="C1458" t="str">
        <f>_xlfn.XLOOKUP($A1458,Load!$B:$B,Load!D:D,0,)</f>
        <v>Non-Chocolate Candy Only</v>
      </c>
      <c r="D1458" t="str">
        <f>_xlfn.XLOOKUP($A1458,Load!$B:$B,Load!E:E,0,)</f>
        <v>Variety / Mixed Flavors (Fruity, Sour, Seasonal Flavors)</v>
      </c>
      <c r="E1458" t="str">
        <f>_xlfn.XLOOKUP($A1458,Load!$B:$B,Load!F:F,0,)</f>
        <v>Candy Pieces / Bites</v>
      </c>
      <c r="F1458" t="str">
        <f>_xlfn.XLOOKUP($A1458,Load!$B:$B,Load!G:G,0,)</f>
        <v>Small Multipack (Less than 40 ct)</v>
      </c>
      <c r="G1458" t="str">
        <f>_xlfn.XLOOKUP($A1458,Load!$B:$B,Load!H:H,0,)</f>
        <v>Laydown Bag</v>
      </c>
      <c r="H1458" t="str">
        <f>_xlfn.XLOOKUP($A1458,Load!$B:$B,Load!I:I,0,)</f>
        <v>Everyday Candy Shapes (like Original, Gummy bear, Fruit, Jewels, etc.)</v>
      </c>
      <c r="I1458" t="str">
        <f>_xlfn.XLOOKUP($A1458,Load!$B:$B,Load!J:J,0,)</f>
        <v>Seasonal Graphics (Like Bat, Ghost, Pumpkin, Fall Leaves, Eyeballs, etc.)</v>
      </c>
      <c r="J1458" t="str">
        <f>_xlfn.XLOOKUP($A1458,Load!$B:$B,Load!K:K,0,)</f>
        <v>Small Pieces (Tiny bite size candies)</v>
      </c>
      <c r="K1458" t="str">
        <f>_xlfn.XLOOKUP($A1458,Load!$B:$B,Load!L:L,0,)</f>
        <v>Unwrapped</v>
      </c>
      <c r="L1458" t="str">
        <f>_xlfn.XLOOKUP($A1458,Load!$B:$B,Load!M:M,0,)</f>
        <v>Single Brand / Variety Flavors or Form</v>
      </c>
    </row>
    <row r="1459" spans="1:12" x14ac:dyDescent="0.25">
      <c r="B1459">
        <f>_xlfn.XLOOKUP($A1459,Load!$B:$B,Load!C:C,0,)</f>
        <v>0</v>
      </c>
      <c r="C1459">
        <f>_xlfn.XLOOKUP($A1459,Load!$B:$B,Load!D:D,0,)</f>
        <v>0</v>
      </c>
      <c r="D1459">
        <f>_xlfn.XLOOKUP($A1459,Load!$B:$B,Load!E:E,0,)</f>
        <v>0</v>
      </c>
      <c r="E1459">
        <f>_xlfn.XLOOKUP($A1459,Load!$B:$B,Load!F:F,0,)</f>
        <v>0</v>
      </c>
      <c r="F1459">
        <f>_xlfn.XLOOKUP($A1459,Load!$B:$B,Load!G:G,0,)</f>
        <v>0</v>
      </c>
      <c r="G1459">
        <f>_xlfn.XLOOKUP($A1459,Load!$B:$B,Load!H:H,0,)</f>
        <v>0</v>
      </c>
      <c r="H1459">
        <f>_xlfn.XLOOKUP($A1459,Load!$B:$B,Load!I:I,0,)</f>
        <v>0</v>
      </c>
      <c r="I1459">
        <f>_xlfn.XLOOKUP($A1459,Load!$B:$B,Load!J:J,0,)</f>
        <v>0</v>
      </c>
      <c r="J1459">
        <f>_xlfn.XLOOKUP($A1459,Load!$B:$B,Load!K:K,0,)</f>
        <v>0</v>
      </c>
      <c r="K1459">
        <f>_xlfn.XLOOKUP($A1459,Load!$B:$B,Load!L:L,0,)</f>
        <v>0</v>
      </c>
      <c r="L1459">
        <f>_xlfn.XLOOKUP($A1459,Load!$B:$B,Load!M:M,0,)</f>
        <v>0</v>
      </c>
    </row>
    <row r="1460" spans="1:12" x14ac:dyDescent="0.25">
      <c r="A1460" t="s">
        <v>157</v>
      </c>
      <c r="B1460" t="str">
        <f>_xlfn.XLOOKUP($A1460,Load!$B:$B,Load!C:C,0,)</f>
        <v>Jolly Rancher</v>
      </c>
      <c r="C1460" t="str">
        <f>_xlfn.XLOOKUP($A1460,Load!$B:$B,Load!D:D,0,)</f>
        <v>Non-Chocolate Candy Only</v>
      </c>
      <c r="D1460" t="str">
        <f>_xlfn.XLOOKUP($A1460,Load!$B:$B,Load!E:E,0,)</f>
        <v>Fruit Flavor (Cherry, Grape, Apple, Citrus, Tropical Fruit)</v>
      </c>
      <c r="E1460" t="str">
        <f>_xlfn.XLOOKUP($A1460,Load!$B:$B,Load!F:F,0,)</f>
        <v>Hard Candy</v>
      </c>
      <c r="F1460" t="str">
        <f>_xlfn.XLOOKUP($A1460,Load!$B:$B,Load!G:G,0,)</f>
        <v>Single Pack</v>
      </c>
      <c r="G1460" t="str">
        <f>_xlfn.XLOOKUP($A1460,Load!$B:$B,Load!H:H,0,)</f>
        <v>Laydown Bag</v>
      </c>
      <c r="H1460" t="str">
        <f>_xlfn.XLOOKUP($A1460,Load!$B:$B,Load!I:I,0,)</f>
        <v>Everyday Candy Shapes (like Original, Gummy bear, Fruit, Jewels, etc.)</v>
      </c>
      <c r="I1460" t="str">
        <f>_xlfn.XLOOKUP($A1460,Load!$B:$B,Load!J:J,0,)</f>
        <v>Everyday Graphics</v>
      </c>
      <c r="J1460" t="str">
        <f>_xlfn.XLOOKUP($A1460,Load!$B:$B,Load!K:K,0,)</f>
        <v>Small Pieces (Tiny bite size candies)</v>
      </c>
      <c r="K1460" t="str">
        <f>_xlfn.XLOOKUP($A1460,Load!$B:$B,Load!L:L,0,)</f>
        <v>Regular/Original Wrapping</v>
      </c>
      <c r="L1460" t="str">
        <f>_xlfn.XLOOKUP($A1460,Load!$B:$B,Load!M:M,0,)</f>
        <v>Single Brand / Variety Flavors or Form</v>
      </c>
    </row>
    <row r="1461" spans="1:12" x14ac:dyDescent="0.25">
      <c r="B1461">
        <f>_xlfn.XLOOKUP($A1461,Load!$B:$B,Load!C:C,0,)</f>
        <v>0</v>
      </c>
      <c r="C1461">
        <f>_xlfn.XLOOKUP($A1461,Load!$B:$B,Load!D:D,0,)</f>
        <v>0</v>
      </c>
      <c r="D1461">
        <f>_xlfn.XLOOKUP($A1461,Load!$B:$B,Load!E:E,0,)</f>
        <v>0</v>
      </c>
      <c r="E1461">
        <f>_xlfn.XLOOKUP($A1461,Load!$B:$B,Load!F:F,0,)</f>
        <v>0</v>
      </c>
      <c r="F1461">
        <f>_xlfn.XLOOKUP($A1461,Load!$B:$B,Load!G:G,0,)</f>
        <v>0</v>
      </c>
      <c r="G1461">
        <f>_xlfn.XLOOKUP($A1461,Load!$B:$B,Load!H:H,0,)</f>
        <v>0</v>
      </c>
      <c r="H1461">
        <f>_xlfn.XLOOKUP($A1461,Load!$B:$B,Load!I:I,0,)</f>
        <v>0</v>
      </c>
      <c r="I1461">
        <f>_xlfn.XLOOKUP($A1461,Load!$B:$B,Load!J:J,0,)</f>
        <v>0</v>
      </c>
      <c r="J1461">
        <f>_xlfn.XLOOKUP($A1461,Load!$B:$B,Load!K:K,0,)</f>
        <v>0</v>
      </c>
      <c r="K1461">
        <f>_xlfn.XLOOKUP($A1461,Load!$B:$B,Load!L:L,0,)</f>
        <v>0</v>
      </c>
      <c r="L1461">
        <f>_xlfn.XLOOKUP($A1461,Load!$B:$B,Load!M:M,0,)</f>
        <v>0</v>
      </c>
    </row>
    <row r="1462" spans="1:12" x14ac:dyDescent="0.25">
      <c r="B1462">
        <f>_xlfn.XLOOKUP($A1462,Load!$B:$B,Load!C:C,0,)</f>
        <v>0</v>
      </c>
      <c r="C1462">
        <f>_xlfn.XLOOKUP($A1462,Load!$B:$B,Load!D:D,0,)</f>
        <v>0</v>
      </c>
      <c r="D1462">
        <f>_xlfn.XLOOKUP($A1462,Load!$B:$B,Load!E:E,0,)</f>
        <v>0</v>
      </c>
      <c r="E1462">
        <f>_xlfn.XLOOKUP($A1462,Load!$B:$B,Load!F:F,0,)</f>
        <v>0</v>
      </c>
      <c r="F1462">
        <f>_xlfn.XLOOKUP($A1462,Load!$B:$B,Load!G:G,0,)</f>
        <v>0</v>
      </c>
      <c r="G1462">
        <f>_xlfn.XLOOKUP($A1462,Load!$B:$B,Load!H:H,0,)</f>
        <v>0</v>
      </c>
      <c r="H1462">
        <f>_xlfn.XLOOKUP($A1462,Load!$B:$B,Load!I:I,0,)</f>
        <v>0</v>
      </c>
      <c r="I1462">
        <f>_xlfn.XLOOKUP($A1462,Load!$B:$B,Load!J:J,0,)</f>
        <v>0</v>
      </c>
      <c r="J1462">
        <f>_xlfn.XLOOKUP($A1462,Load!$B:$B,Load!K:K,0,)</f>
        <v>0</v>
      </c>
      <c r="K1462">
        <f>_xlfn.XLOOKUP($A1462,Load!$B:$B,Load!L:L,0,)</f>
        <v>0</v>
      </c>
      <c r="L1462">
        <f>_xlfn.XLOOKUP($A1462,Load!$B:$B,Load!M:M,0,)</f>
        <v>0</v>
      </c>
    </row>
    <row r="1463" spans="1:12" x14ac:dyDescent="0.25">
      <c r="B1463">
        <f>_xlfn.XLOOKUP($A1463,Load!$B:$B,Load!C:C,0,)</f>
        <v>0</v>
      </c>
      <c r="C1463">
        <f>_xlfn.XLOOKUP($A1463,Load!$B:$B,Load!D:D,0,)</f>
        <v>0</v>
      </c>
      <c r="D1463">
        <f>_xlfn.XLOOKUP($A1463,Load!$B:$B,Load!E:E,0,)</f>
        <v>0</v>
      </c>
      <c r="E1463">
        <f>_xlfn.XLOOKUP($A1463,Load!$B:$B,Load!F:F,0,)</f>
        <v>0</v>
      </c>
      <c r="F1463">
        <f>_xlfn.XLOOKUP($A1463,Load!$B:$B,Load!G:G,0,)</f>
        <v>0</v>
      </c>
      <c r="G1463">
        <f>_xlfn.XLOOKUP($A1463,Load!$B:$B,Load!H:H,0,)</f>
        <v>0</v>
      </c>
      <c r="H1463">
        <f>_xlfn.XLOOKUP($A1463,Load!$B:$B,Load!I:I,0,)</f>
        <v>0</v>
      </c>
      <c r="I1463">
        <f>_xlfn.XLOOKUP($A1463,Load!$B:$B,Load!J:J,0,)</f>
        <v>0</v>
      </c>
      <c r="J1463">
        <f>_xlfn.XLOOKUP($A1463,Load!$B:$B,Load!K:K,0,)</f>
        <v>0</v>
      </c>
      <c r="K1463">
        <f>_xlfn.XLOOKUP($A1463,Load!$B:$B,Load!L:L,0,)</f>
        <v>0</v>
      </c>
      <c r="L1463">
        <f>_xlfn.XLOOKUP($A1463,Load!$B:$B,Load!M:M,0,)</f>
        <v>0</v>
      </c>
    </row>
    <row r="1464" spans="1:12" x14ac:dyDescent="0.25">
      <c r="B1464">
        <f>_xlfn.XLOOKUP($A1464,Load!$B:$B,Load!C:C,0,)</f>
        <v>0</v>
      </c>
      <c r="C1464">
        <f>_xlfn.XLOOKUP($A1464,Load!$B:$B,Load!D:D,0,)</f>
        <v>0</v>
      </c>
      <c r="D1464">
        <f>_xlfn.XLOOKUP($A1464,Load!$B:$B,Load!E:E,0,)</f>
        <v>0</v>
      </c>
      <c r="E1464">
        <f>_xlfn.XLOOKUP($A1464,Load!$B:$B,Load!F:F,0,)</f>
        <v>0</v>
      </c>
      <c r="F1464">
        <f>_xlfn.XLOOKUP($A1464,Load!$B:$B,Load!G:G,0,)</f>
        <v>0</v>
      </c>
      <c r="G1464">
        <f>_xlfn.XLOOKUP($A1464,Load!$B:$B,Load!H:H,0,)</f>
        <v>0</v>
      </c>
      <c r="H1464">
        <f>_xlfn.XLOOKUP($A1464,Load!$B:$B,Load!I:I,0,)</f>
        <v>0</v>
      </c>
      <c r="I1464">
        <f>_xlfn.XLOOKUP($A1464,Load!$B:$B,Load!J:J,0,)</f>
        <v>0</v>
      </c>
      <c r="J1464">
        <f>_xlfn.XLOOKUP($A1464,Load!$B:$B,Load!K:K,0,)</f>
        <v>0</v>
      </c>
      <c r="K1464">
        <f>_xlfn.XLOOKUP($A1464,Load!$B:$B,Load!L:L,0,)</f>
        <v>0</v>
      </c>
      <c r="L1464">
        <f>_xlfn.XLOOKUP($A1464,Load!$B:$B,Load!M:M,0,)</f>
        <v>0</v>
      </c>
    </row>
    <row r="1465" spans="1:12" x14ac:dyDescent="0.25">
      <c r="B1465">
        <f>_xlfn.XLOOKUP($A1465,Load!$B:$B,Load!C:C,0,)</f>
        <v>0</v>
      </c>
      <c r="C1465">
        <f>_xlfn.XLOOKUP($A1465,Load!$B:$B,Load!D:D,0,)</f>
        <v>0</v>
      </c>
      <c r="D1465">
        <f>_xlfn.XLOOKUP($A1465,Load!$B:$B,Load!E:E,0,)</f>
        <v>0</v>
      </c>
      <c r="E1465">
        <f>_xlfn.XLOOKUP($A1465,Load!$B:$B,Load!F:F,0,)</f>
        <v>0</v>
      </c>
      <c r="F1465">
        <f>_xlfn.XLOOKUP($A1465,Load!$B:$B,Load!G:G,0,)</f>
        <v>0</v>
      </c>
      <c r="G1465">
        <f>_xlfn.XLOOKUP($A1465,Load!$B:$B,Load!H:H,0,)</f>
        <v>0</v>
      </c>
      <c r="H1465">
        <f>_xlfn.XLOOKUP($A1465,Load!$B:$B,Load!I:I,0,)</f>
        <v>0</v>
      </c>
      <c r="I1465">
        <f>_xlfn.XLOOKUP($A1465,Load!$B:$B,Load!J:J,0,)</f>
        <v>0</v>
      </c>
      <c r="J1465">
        <f>_xlfn.XLOOKUP($A1465,Load!$B:$B,Load!K:K,0,)</f>
        <v>0</v>
      </c>
      <c r="K1465">
        <f>_xlfn.XLOOKUP($A1465,Load!$B:$B,Load!L:L,0,)</f>
        <v>0</v>
      </c>
      <c r="L1465">
        <f>_xlfn.XLOOKUP($A1465,Load!$B:$B,Load!M:M,0,)</f>
        <v>0</v>
      </c>
    </row>
    <row r="1466" spans="1:12" x14ac:dyDescent="0.25">
      <c r="A1466" t="s">
        <v>214</v>
      </c>
      <c r="B1466" t="str">
        <f>_xlfn.XLOOKUP($A1466,Load!$B:$B,Load!C:C,0,)</f>
        <v>Mars Variety Pack</v>
      </c>
      <c r="C1466" t="str">
        <f>_xlfn.XLOOKUP($A1466,Load!$B:$B,Load!D:D,0,)</f>
        <v>Mix of Chocolate and Non-Chocolate Candy</v>
      </c>
      <c r="D1466" t="str">
        <f>_xlfn.XLOOKUP($A1466,Load!$B:$B,Load!E:E,0,)</f>
        <v>Variety / Mixed Flavors (Fruity, Sour, Seasonal Flavors)</v>
      </c>
      <c r="E1466" t="str">
        <f>_xlfn.XLOOKUP($A1466,Load!$B:$B,Load!F:F,0,)</f>
        <v>Mixed / Combo Packs (Gummy, Chewy, Taffy, etc.)</v>
      </c>
      <c r="F1466" t="str">
        <f>_xlfn.XLOOKUP($A1466,Load!$B:$B,Load!G:G,0,)</f>
        <v>Large Multipack (More than 80 ct)</v>
      </c>
      <c r="G1466" t="str">
        <f>_xlfn.XLOOKUP($A1466,Load!$B:$B,Load!H:H,0,)</f>
        <v>Stand-Up Bag</v>
      </c>
      <c r="H1466" t="str">
        <f>_xlfn.XLOOKUP($A1466,Load!$B:$B,Load!I:I,0,)</f>
        <v>Everyday Candy Shapes (like Original, Gummy bear, Fruit, Jewels, etc.)</v>
      </c>
      <c r="I1466" t="str">
        <f>_xlfn.XLOOKUP($A1466,Load!$B:$B,Load!J:J,0,)</f>
        <v>Seasonal Graphics (Like Bat, Ghost, Pumpkin, Fall Leaves, Eyeballs, etc.)</v>
      </c>
      <c r="J1466" t="str">
        <f>_xlfn.XLOOKUP($A1466,Load!$B:$B,Load!K:K,0,)</f>
        <v>Fun Size / Treat Size</v>
      </c>
      <c r="K1466" t="str">
        <f>_xlfn.XLOOKUP($A1466,Load!$B:$B,Load!L:L,0,)</f>
        <v>Regular/Original Wrapping</v>
      </c>
      <c r="L1466" t="str">
        <f>_xlfn.XLOOKUP($A1466,Load!$B:$B,Load!M:M,0,)</f>
        <v>Multiple Brands / Variety Flavors or Form</v>
      </c>
    </row>
    <row r="1467" spans="1:12" x14ac:dyDescent="0.25">
      <c r="A1467" t="s">
        <v>131</v>
      </c>
      <c r="B1467" t="str">
        <f>_xlfn.XLOOKUP($A1467,Load!$B:$B,Load!C:C,0,)</f>
        <v>Hershey's</v>
      </c>
      <c r="C1467" t="str">
        <f>_xlfn.XLOOKUP($A1467,Load!$B:$B,Load!D:D,0,)</f>
        <v>Mix of Chocolate and Non-Chocolate Candy</v>
      </c>
      <c r="D1467" t="str">
        <f>_xlfn.XLOOKUP($A1467,Load!$B:$B,Load!E:E,0,)</f>
        <v>Variety / Mixed Flavors (Fruity, Sour, Seasonal Flavors)</v>
      </c>
      <c r="E1467" t="str">
        <f>_xlfn.XLOOKUP($A1467,Load!$B:$B,Load!F:F,0,)</f>
        <v>Mixed / Combo Packs (Gummy, Chewy, Taffy, etc.)</v>
      </c>
      <c r="F1467" t="str">
        <f>_xlfn.XLOOKUP($A1467,Load!$B:$B,Load!G:G,0,)</f>
        <v>Large Multipack (More than 80 ct)</v>
      </c>
      <c r="G1467" t="str">
        <f>_xlfn.XLOOKUP($A1467,Load!$B:$B,Load!H:H,0,)</f>
        <v>Stand-Up Bag</v>
      </c>
      <c r="H1467" t="str">
        <f>_xlfn.XLOOKUP($A1467,Load!$B:$B,Load!I:I,0,)</f>
        <v>Everyday Candy Shapes (like Original, Gummy bear, Fruit, Jewels, etc.)</v>
      </c>
      <c r="I1467" t="str">
        <f>_xlfn.XLOOKUP($A1467,Load!$B:$B,Load!J:J,0,)</f>
        <v>Seasonal Graphics (Like Bat, Ghost, Pumpkin, Fall Leaves, Eyeballs, etc.)</v>
      </c>
      <c r="J1467" t="str">
        <f>_xlfn.XLOOKUP($A1467,Load!$B:$B,Load!K:K,0,)</f>
        <v>Fun Size / Treat Size</v>
      </c>
      <c r="K1467" t="str">
        <f>_xlfn.XLOOKUP($A1467,Load!$B:$B,Load!L:L,0,)</f>
        <v>Regular/Original Wrapping</v>
      </c>
      <c r="L1467" t="str">
        <f>_xlfn.XLOOKUP($A1467,Load!$B:$B,Load!M:M,0,)</f>
        <v>Multiple Brands / Variety Flavors or Form</v>
      </c>
    </row>
    <row r="1468" spans="1:12" x14ac:dyDescent="0.25">
      <c r="A1468" t="s">
        <v>209</v>
      </c>
      <c r="B1468" t="str">
        <f>_xlfn.XLOOKUP($A1468,Load!$B:$B,Load!C:C,0,)</f>
        <v>Mars Variety Pack</v>
      </c>
      <c r="C1468" t="str">
        <f>_xlfn.XLOOKUP($A1468,Load!$B:$B,Load!D:D,0,)</f>
        <v>Non-Chocolate Candy Only</v>
      </c>
      <c r="D1468" t="str">
        <f>_xlfn.XLOOKUP($A1468,Load!$B:$B,Load!E:E,0,)</f>
        <v>Variety / Mixed Flavors (Fruity, Sour, Seasonal Flavors)</v>
      </c>
      <c r="E1468" t="str">
        <f>_xlfn.XLOOKUP($A1468,Load!$B:$B,Load!F:F,0,)</f>
        <v>Mixed / Combo Packs (Gummy, Chewy, Taffy, etc.)</v>
      </c>
      <c r="F1468" t="str">
        <f>_xlfn.XLOOKUP($A1468,Load!$B:$B,Load!G:G,0,)</f>
        <v>Large Multipack (More than 80 ct)</v>
      </c>
      <c r="G1468" t="str">
        <f>_xlfn.XLOOKUP($A1468,Load!$B:$B,Load!H:H,0,)</f>
        <v>Stand-Up Bag</v>
      </c>
      <c r="H1468" t="str">
        <f>_xlfn.XLOOKUP($A1468,Load!$B:$B,Load!I:I,0,)</f>
        <v>Everyday Candy Shapes (like Original, Gummy bear, Fruit, Jewels, etc.)</v>
      </c>
      <c r="I1468" t="str">
        <f>_xlfn.XLOOKUP($A1468,Load!$B:$B,Load!J:J,0,)</f>
        <v>Seasonal Graphics (Like Bat, Ghost, Pumpkin, Fall Leaves, Eyeballs, etc.)</v>
      </c>
      <c r="J1468" t="str">
        <f>_xlfn.XLOOKUP($A1468,Load!$B:$B,Load!K:K,0,)</f>
        <v>Fun Size / Treat Size</v>
      </c>
      <c r="K1468" t="str">
        <f>_xlfn.XLOOKUP($A1468,Load!$B:$B,Load!L:L,0,)</f>
        <v>Regular/Original Wrapping</v>
      </c>
      <c r="L1468" t="str">
        <f>_xlfn.XLOOKUP($A1468,Load!$B:$B,Load!M:M,0,)</f>
        <v>Multiple Brands / Variety Flavors or Form</v>
      </c>
    </row>
    <row r="1469" spans="1:12" x14ac:dyDescent="0.25">
      <c r="A1469" t="s">
        <v>180</v>
      </c>
      <c r="B1469" t="str">
        <f>_xlfn.XLOOKUP($A1469,Load!$B:$B,Load!C:C,0,)</f>
        <v>Mars Variety Pack</v>
      </c>
      <c r="C1469" t="str">
        <f>_xlfn.XLOOKUP($A1469,Load!$B:$B,Load!D:D,0,)</f>
        <v>Mix of Chocolate and Non-Chocolate Candy</v>
      </c>
      <c r="D1469" t="str">
        <f>_xlfn.XLOOKUP($A1469,Load!$B:$B,Load!E:E,0,)</f>
        <v>Variety / Mixed Flavors (Fruity, Sour, Seasonal Flavors)</v>
      </c>
      <c r="E1469" t="str">
        <f>_xlfn.XLOOKUP($A1469,Load!$B:$B,Load!F:F,0,)</f>
        <v>Mixed / Combo Packs (Gummy, Chewy, Taffy, etc.)</v>
      </c>
      <c r="F1469" t="str">
        <f>_xlfn.XLOOKUP($A1469,Load!$B:$B,Load!G:G,0,)</f>
        <v>Large Multipack (More than 80 ct)</v>
      </c>
      <c r="G1469" t="str">
        <f>_xlfn.XLOOKUP($A1469,Load!$B:$B,Load!H:H,0,)</f>
        <v>Stand-Up Bag</v>
      </c>
      <c r="H1469" t="str">
        <f>_xlfn.XLOOKUP($A1469,Load!$B:$B,Load!I:I,0,)</f>
        <v>Everyday Candy Shapes (like Original, Gummy bear, Fruit, Jewels, etc.)</v>
      </c>
      <c r="I1469" t="str">
        <f>_xlfn.XLOOKUP($A1469,Load!$B:$B,Load!J:J,0,)</f>
        <v>Seasonal Graphics (Like Bat, Ghost, Pumpkin, Fall Leaves, Eyeballs, etc.)</v>
      </c>
      <c r="J1469" t="str">
        <f>_xlfn.XLOOKUP($A1469,Load!$B:$B,Load!K:K,0,)</f>
        <v>Fun Size / Treat Size</v>
      </c>
      <c r="K1469" t="str">
        <f>_xlfn.XLOOKUP($A1469,Load!$B:$B,Load!L:L,0,)</f>
        <v>Regular/Original Wrapping</v>
      </c>
      <c r="L1469" t="str">
        <f>_xlfn.XLOOKUP($A1469,Load!$B:$B,Load!M:M,0,)</f>
        <v>Multiple Brands / Variety Flavors or Form</v>
      </c>
    </row>
    <row r="1470" spans="1:12" x14ac:dyDescent="0.25">
      <c r="A1470" t="s">
        <v>293</v>
      </c>
      <c r="B1470" t="str">
        <f>_xlfn.XLOOKUP($A1470,Load!$B:$B,Load!C:C,0,)</f>
        <v>Tootsie</v>
      </c>
      <c r="C1470" t="str">
        <f>_xlfn.XLOOKUP($A1470,Load!$B:$B,Load!D:D,0,)</f>
        <v>Mix of Chocolate and Non-Chocolate Candy</v>
      </c>
      <c r="D1470" t="str">
        <f>_xlfn.XLOOKUP($A1470,Load!$B:$B,Load!E:E,0,)</f>
        <v>Sweet</v>
      </c>
      <c r="E1470" t="str">
        <f>_xlfn.XLOOKUP($A1470,Load!$B:$B,Load!F:F,0,)</f>
        <v>Lollipop (regular or lollipop rings)</v>
      </c>
      <c r="F1470" t="str">
        <f>_xlfn.XLOOKUP($A1470,Load!$B:$B,Load!G:G,0,)</f>
        <v>Large Multipack (More than 80 ct)</v>
      </c>
      <c r="G1470" t="str">
        <f>_xlfn.XLOOKUP($A1470,Load!$B:$B,Load!H:H,0,)</f>
        <v>Laydown Bag</v>
      </c>
      <c r="H1470" t="str">
        <f>_xlfn.XLOOKUP($A1470,Load!$B:$B,Load!I:I,0,)</f>
        <v>Everyday Candy Shapes (like Original, Gummy bear, Fruit, Jewels, etc.)</v>
      </c>
      <c r="I1470" t="str">
        <f>_xlfn.XLOOKUP($A1470,Load!$B:$B,Load!J:J,0,)</f>
        <v>Everyday Graphics</v>
      </c>
      <c r="J1470" t="str">
        <f>_xlfn.XLOOKUP($A1470,Load!$B:$B,Load!K:K,0,)</f>
        <v>Regular Lollipop size (on sticks or rings)</v>
      </c>
      <c r="K1470" t="str">
        <f>_xlfn.XLOOKUP($A1470,Load!$B:$B,Load!L:L,0,)</f>
        <v>Regular/Original Wrapping</v>
      </c>
      <c r="L1470" t="str">
        <f>_xlfn.XLOOKUP($A1470,Load!$B:$B,Load!M:M,0,)</f>
        <v>Single Brand / Single Flavor or Form</v>
      </c>
    </row>
    <row r="1471" spans="1:12" x14ac:dyDescent="0.25">
      <c r="A1471" t="s">
        <v>289</v>
      </c>
      <c r="B1471" t="str">
        <f>_xlfn.XLOOKUP($A1471,Load!$B:$B,Load!C:C,0,)</f>
        <v>Tootsie</v>
      </c>
      <c r="C1471" t="str">
        <f>_xlfn.XLOOKUP($A1471,Load!$B:$B,Load!D:D,0,)</f>
        <v>Mix of Chocolate and Non-Chocolate Candy</v>
      </c>
      <c r="D1471" t="str">
        <f>_xlfn.XLOOKUP($A1471,Load!$B:$B,Load!E:E,0,)</f>
        <v>Variety / Mixed Flavors (Fruity, Sour, Seasonal Flavors)</v>
      </c>
      <c r="E1471" t="str">
        <f>_xlfn.XLOOKUP($A1471,Load!$B:$B,Load!F:F,0,)</f>
        <v>Mixed / Combo Packs (Gummy, Chewy, Taffy, etc.)</v>
      </c>
      <c r="F1471" t="str">
        <f>_xlfn.XLOOKUP($A1471,Load!$B:$B,Load!G:G,0,)</f>
        <v>Large Multipack (More than 80 ct)</v>
      </c>
      <c r="G1471" t="str">
        <f>_xlfn.XLOOKUP($A1471,Load!$B:$B,Load!H:H,0,)</f>
        <v>Laydown Bag</v>
      </c>
      <c r="H1471" t="str">
        <f>_xlfn.XLOOKUP($A1471,Load!$B:$B,Load!I:I,0,)</f>
        <v>Everyday Candy Shapes (like Original, Gummy bear, Fruit, Jewels, etc.)</v>
      </c>
      <c r="I1471" t="str">
        <f>_xlfn.XLOOKUP($A1471,Load!$B:$B,Load!J:J,0,)</f>
        <v>Everyday Graphics</v>
      </c>
      <c r="J1471" t="str">
        <f>_xlfn.XLOOKUP($A1471,Load!$B:$B,Load!K:K,0,)</f>
        <v xml:space="preserve">Variety Candy Sizes </v>
      </c>
      <c r="K1471" t="str">
        <f>_xlfn.XLOOKUP($A1471,Load!$B:$B,Load!L:L,0,)</f>
        <v>Regular/Original Wrapping</v>
      </c>
      <c r="L1471" t="str">
        <f>_xlfn.XLOOKUP($A1471,Load!$B:$B,Load!M:M,0,)</f>
        <v>Single Brand / Variety Flavors or Form</v>
      </c>
    </row>
    <row r="1472" spans="1:12" x14ac:dyDescent="0.25">
      <c r="A1472" t="s">
        <v>280</v>
      </c>
      <c r="B1472" t="str">
        <f>_xlfn.XLOOKUP($A1472,Load!$B:$B,Load!C:C,0,)</f>
        <v>Sour Patch Kids</v>
      </c>
      <c r="C1472" t="str">
        <f>_xlfn.XLOOKUP($A1472,Load!$B:$B,Load!D:D,0,)</f>
        <v>Non-Chocolate Candy Only</v>
      </c>
      <c r="D1472" t="str">
        <f>_xlfn.XLOOKUP($A1472,Load!$B:$B,Load!E:E,0,)</f>
        <v>Sour</v>
      </c>
      <c r="E1472" t="str">
        <f>_xlfn.XLOOKUP($A1472,Load!$B:$B,Load!F:F,0,)</f>
        <v>Chewy</v>
      </c>
      <c r="F1472" t="str">
        <f>_xlfn.XLOOKUP($A1472,Load!$B:$B,Load!G:G,0,)</f>
        <v>Medium Multipack (40–80 ct)</v>
      </c>
      <c r="G1472" t="str">
        <f>_xlfn.XLOOKUP($A1472,Load!$B:$B,Load!H:H,0,)</f>
        <v>Laydown Bag</v>
      </c>
      <c r="H1472" t="str">
        <f>_xlfn.XLOOKUP($A1472,Load!$B:$B,Load!I:I,0,)</f>
        <v>Seasonal Shapes (like pumpkins, candy corn, ghost, bats, etc.)</v>
      </c>
      <c r="I1472" t="str">
        <f>_xlfn.XLOOKUP($A1472,Load!$B:$B,Load!J:J,0,)</f>
        <v>Seasonal Graphics (Like Bat, Ghost, Pumpkin, Fall Leaves, Eyeballs, etc.)</v>
      </c>
      <c r="J1472" t="str">
        <f>_xlfn.XLOOKUP($A1472,Load!$B:$B,Load!K:K,0,)</f>
        <v>Small Pieces (Tiny bite size candies)</v>
      </c>
      <c r="K1472" t="str">
        <f>_xlfn.XLOOKUP($A1472,Load!$B:$B,Load!L:L,0,)</f>
        <v>Regular/Original Wrapping</v>
      </c>
      <c r="L1472" t="str">
        <f>_xlfn.XLOOKUP($A1472,Load!$B:$B,Load!M:M,0,)</f>
        <v>Single Brand / Variety Flavors or Form</v>
      </c>
    </row>
    <row r="1473" spans="1:12" x14ac:dyDescent="0.25">
      <c r="B1473">
        <f>_xlfn.XLOOKUP($A1473,Load!$B:$B,Load!C:C,0,)</f>
        <v>0</v>
      </c>
      <c r="C1473">
        <f>_xlfn.XLOOKUP($A1473,Load!$B:$B,Load!D:D,0,)</f>
        <v>0</v>
      </c>
      <c r="D1473">
        <f>_xlfn.XLOOKUP($A1473,Load!$B:$B,Load!E:E,0,)</f>
        <v>0</v>
      </c>
      <c r="E1473">
        <f>_xlfn.XLOOKUP($A1473,Load!$B:$B,Load!F:F,0,)</f>
        <v>0</v>
      </c>
      <c r="F1473">
        <f>_xlfn.XLOOKUP($A1473,Load!$B:$B,Load!G:G,0,)</f>
        <v>0</v>
      </c>
      <c r="G1473">
        <f>_xlfn.XLOOKUP($A1473,Load!$B:$B,Load!H:H,0,)</f>
        <v>0</v>
      </c>
      <c r="H1473">
        <f>_xlfn.XLOOKUP($A1473,Load!$B:$B,Load!I:I,0,)</f>
        <v>0</v>
      </c>
      <c r="I1473">
        <f>_xlfn.XLOOKUP($A1473,Load!$B:$B,Load!J:J,0,)</f>
        <v>0</v>
      </c>
      <c r="J1473">
        <f>_xlfn.XLOOKUP($A1473,Load!$B:$B,Load!K:K,0,)</f>
        <v>0</v>
      </c>
      <c r="K1473">
        <f>_xlfn.XLOOKUP($A1473,Load!$B:$B,Load!L:L,0,)</f>
        <v>0</v>
      </c>
      <c r="L1473">
        <f>_xlfn.XLOOKUP($A1473,Load!$B:$B,Load!M:M,0,)</f>
        <v>0</v>
      </c>
    </row>
    <row r="1474" spans="1:12" x14ac:dyDescent="0.25">
      <c r="A1474" t="s">
        <v>279</v>
      </c>
      <c r="B1474" t="str">
        <f>_xlfn.XLOOKUP($A1474,Load!$B:$B,Load!C:C,0,)</f>
        <v>Sour Patch Kids</v>
      </c>
      <c r="C1474" t="str">
        <f>_xlfn.XLOOKUP($A1474,Load!$B:$B,Load!D:D,0,)</f>
        <v>Non-Chocolate Candy Only</v>
      </c>
      <c r="D1474" t="str">
        <f>_xlfn.XLOOKUP($A1474,Load!$B:$B,Load!E:E,0,)</f>
        <v>Sour</v>
      </c>
      <c r="E1474" t="str">
        <f>_xlfn.XLOOKUP($A1474,Load!$B:$B,Load!F:F,0,)</f>
        <v>Chewy</v>
      </c>
      <c r="F1474" t="str">
        <f>_xlfn.XLOOKUP($A1474,Load!$B:$B,Load!G:G,0,)</f>
        <v>Single Pack</v>
      </c>
      <c r="G1474" t="str">
        <f>_xlfn.XLOOKUP($A1474,Load!$B:$B,Load!H:H,0,)</f>
        <v>Peg Bag</v>
      </c>
      <c r="H1474" t="str">
        <f>_xlfn.XLOOKUP($A1474,Load!$B:$B,Load!I:I,0,)</f>
        <v>Seasonal Shapes (like pumpkins, candy corn, ghost, bats, etc.)</v>
      </c>
      <c r="I1474" t="str">
        <f>_xlfn.XLOOKUP($A1474,Load!$B:$B,Load!J:J,0,)</f>
        <v>Seasonal Graphics (Like Bat, Ghost, Pumpkin, Fall Leaves, Eyeballs, etc.)</v>
      </c>
      <c r="J1474" t="str">
        <f>_xlfn.XLOOKUP($A1474,Load!$B:$B,Load!K:K,0,)</f>
        <v>Small Pieces (Tiny bite size candies)</v>
      </c>
      <c r="K1474" t="str">
        <f>_xlfn.XLOOKUP($A1474,Load!$B:$B,Load!L:L,0,)</f>
        <v>Regular/Original Wrapping</v>
      </c>
      <c r="L1474" t="str">
        <f>_xlfn.XLOOKUP($A1474,Load!$B:$B,Load!M:M,0,)</f>
        <v>Single Brand / Variety Flavors or Form</v>
      </c>
    </row>
    <row r="1475" spans="1:12" x14ac:dyDescent="0.25">
      <c r="A1475" t="s">
        <v>216</v>
      </c>
      <c r="B1475" t="str">
        <f>_xlfn.XLOOKUP($A1475,Load!$B:$B,Load!C:C,0,)</f>
        <v>Mike and Ike</v>
      </c>
      <c r="C1475" t="str">
        <f>_xlfn.XLOOKUP($A1475,Load!$B:$B,Load!D:D,0,)</f>
        <v>Non-Chocolate Candy Only</v>
      </c>
      <c r="D1475" t="str">
        <f>_xlfn.XLOOKUP($A1475,Load!$B:$B,Load!E:E,0,)</f>
        <v>Sour</v>
      </c>
      <c r="E1475" t="str">
        <f>_xlfn.XLOOKUP($A1475,Load!$B:$B,Load!F:F,0,)</f>
        <v>Chewy</v>
      </c>
      <c r="F1475" t="str">
        <f>_xlfn.XLOOKUP($A1475,Load!$B:$B,Load!G:G,0,)</f>
        <v>Small Multipack (Less than 40 ct)</v>
      </c>
      <c r="G1475" t="str">
        <f>_xlfn.XLOOKUP($A1475,Load!$B:$B,Load!H:H,0,)</f>
        <v>Box (theatre box, gift box, carton)</v>
      </c>
      <c r="H1475" t="str">
        <f>_xlfn.XLOOKUP($A1475,Load!$B:$B,Load!I:I,0,)</f>
        <v>Seasonal Shapes (like pumpkins, candy corn, ghost, bats, etc.)</v>
      </c>
      <c r="I1475" t="str">
        <f>_xlfn.XLOOKUP($A1475,Load!$B:$B,Load!J:J,0,)</f>
        <v>Seasonal Graphics (Like Bat, Ghost, Pumpkin, Fall Leaves, Eyeballs, etc.)</v>
      </c>
      <c r="J1475" t="str">
        <f>_xlfn.XLOOKUP($A1475,Load!$B:$B,Load!K:K,0,)</f>
        <v>Small Pieces (Tiny bite size candies)</v>
      </c>
      <c r="K1475" t="str">
        <f>_xlfn.XLOOKUP($A1475,Load!$B:$B,Load!L:L,0,)</f>
        <v>Unwrapped</v>
      </c>
      <c r="L1475" t="str">
        <f>_xlfn.XLOOKUP($A1475,Load!$B:$B,Load!M:M,0,)</f>
        <v>Single Brand / Variety Flavors or Form</v>
      </c>
    </row>
    <row r="1476" spans="1:12" x14ac:dyDescent="0.25">
      <c r="A1476" t="s">
        <v>27</v>
      </c>
      <c r="B1476" t="str">
        <f>_xlfn.XLOOKUP($A1476,Load!$B:$B,Load!C:C,0,)</f>
        <v>AMOS</v>
      </c>
      <c r="C1476" t="str">
        <f>_xlfn.XLOOKUP($A1476,Load!$B:$B,Load!D:D,0,)</f>
        <v>Non-Chocolate Candy Only</v>
      </c>
      <c r="D1476" t="str">
        <f>_xlfn.XLOOKUP($A1476,Load!$B:$B,Load!E:E,0,)</f>
        <v>Sweet</v>
      </c>
      <c r="E1476" t="str">
        <f>_xlfn.XLOOKUP($A1476,Load!$B:$B,Load!F:F,0,)</f>
        <v>Lollipop (regular or lollipop rings)</v>
      </c>
      <c r="F1476" t="str">
        <f>_xlfn.XLOOKUP($A1476,Load!$B:$B,Load!G:G,0,)</f>
        <v>Small Multipack (Less than 40 ct)</v>
      </c>
      <c r="G1476" t="str">
        <f>_xlfn.XLOOKUP($A1476,Load!$B:$B,Load!H:H,0,)</f>
        <v>Laydown Bag</v>
      </c>
      <c r="H1476" t="str">
        <f>_xlfn.XLOOKUP($A1476,Load!$B:$B,Load!I:I,0,)</f>
        <v>Seasonal Shapes (like pumpkins, candy corn, ghost, bats, etc.)</v>
      </c>
      <c r="I1476" t="str">
        <f>_xlfn.XLOOKUP($A1476,Load!$B:$B,Load!J:J,0,)</f>
        <v>Seasonal Graphics (Like Bat, Ghost, Pumpkin, Fall Leaves, Eyeballs, etc.)</v>
      </c>
      <c r="J1476" t="str">
        <f>_xlfn.XLOOKUP($A1476,Load!$B:$B,Load!K:K,0,)</f>
        <v>Regular Lollipop size (on sticks or rings)</v>
      </c>
      <c r="K1476" t="str">
        <f>_xlfn.XLOOKUP($A1476,Load!$B:$B,Load!L:L,0,)</f>
        <v>Regular/Original Wrapping</v>
      </c>
      <c r="L1476" t="str">
        <f>_xlfn.XLOOKUP($A1476,Load!$B:$B,Load!M:M,0,)</f>
        <v>Single Brand / Variety Flavors or Form</v>
      </c>
    </row>
    <row r="1477" spans="1:12" x14ac:dyDescent="0.25">
      <c r="A1477" t="s">
        <v>285</v>
      </c>
      <c r="B1477" t="str">
        <f>_xlfn.XLOOKUP($A1477,Load!$B:$B,Load!C:C,0,)</f>
        <v>Starburst</v>
      </c>
      <c r="C1477" t="str">
        <f>_xlfn.XLOOKUP($A1477,Load!$B:$B,Load!D:D,0,)</f>
        <v>Non-Chocolate Candy Only</v>
      </c>
      <c r="D1477" t="str">
        <f>_xlfn.XLOOKUP($A1477,Load!$B:$B,Load!E:E,0,)</f>
        <v>Fruit Flavor (Cherry, Grape, Apple, Citrus, Tropical Fruit)</v>
      </c>
      <c r="E1477" t="str">
        <f>_xlfn.XLOOKUP($A1477,Load!$B:$B,Load!F:F,0,)</f>
        <v>Chewy</v>
      </c>
      <c r="F1477" t="str">
        <f>_xlfn.XLOOKUP($A1477,Load!$B:$B,Load!G:G,0,)</f>
        <v>Small Multipack (Less than 40 ct)</v>
      </c>
      <c r="G1477" t="str">
        <f>_xlfn.XLOOKUP($A1477,Load!$B:$B,Load!H:H,0,)</f>
        <v>Laydown Bag</v>
      </c>
      <c r="H1477" t="str">
        <f>_xlfn.XLOOKUP($A1477,Load!$B:$B,Load!I:I,0,)</f>
        <v>Everyday Candy Shapes (like Original, Gummy bear, Fruit, Jewels, etc.)</v>
      </c>
      <c r="I1477" t="str">
        <f>_xlfn.XLOOKUP($A1477,Load!$B:$B,Load!J:J,0,)</f>
        <v>Everyday Graphics</v>
      </c>
      <c r="J1477" t="str">
        <f>_xlfn.XLOOKUP($A1477,Load!$B:$B,Load!K:K,0,)</f>
        <v>Small Pieces (Tiny bite size candies)</v>
      </c>
      <c r="K1477" t="str">
        <f>_xlfn.XLOOKUP($A1477,Load!$B:$B,Load!L:L,0,)</f>
        <v>Regular/Original Wrapping</v>
      </c>
      <c r="L1477" t="str">
        <f>_xlfn.XLOOKUP($A1477,Load!$B:$B,Load!M:M,0,)</f>
        <v>Single Brand / Variety Flavors or Form</v>
      </c>
    </row>
    <row r="1478" spans="1:12" x14ac:dyDescent="0.25">
      <c r="B1478">
        <f>_xlfn.XLOOKUP($A1478,Load!$B:$B,Load!C:C,0,)</f>
        <v>0</v>
      </c>
      <c r="C1478">
        <f>_xlfn.XLOOKUP($A1478,Load!$B:$B,Load!D:D,0,)</f>
        <v>0</v>
      </c>
      <c r="D1478">
        <f>_xlfn.XLOOKUP($A1478,Load!$B:$B,Load!E:E,0,)</f>
        <v>0</v>
      </c>
      <c r="E1478">
        <f>_xlfn.XLOOKUP($A1478,Load!$B:$B,Load!F:F,0,)</f>
        <v>0</v>
      </c>
      <c r="F1478">
        <f>_xlfn.XLOOKUP($A1478,Load!$B:$B,Load!G:G,0,)</f>
        <v>0</v>
      </c>
      <c r="G1478">
        <f>_xlfn.XLOOKUP($A1478,Load!$B:$B,Load!H:H,0,)</f>
        <v>0</v>
      </c>
      <c r="H1478">
        <f>_xlfn.XLOOKUP($A1478,Load!$B:$B,Load!I:I,0,)</f>
        <v>0</v>
      </c>
      <c r="I1478">
        <f>_xlfn.XLOOKUP($A1478,Load!$B:$B,Load!J:J,0,)</f>
        <v>0</v>
      </c>
      <c r="J1478">
        <f>_xlfn.XLOOKUP($A1478,Load!$B:$B,Load!K:K,0,)</f>
        <v>0</v>
      </c>
      <c r="K1478">
        <f>_xlfn.XLOOKUP($A1478,Load!$B:$B,Load!L:L,0,)</f>
        <v>0</v>
      </c>
      <c r="L1478">
        <f>_xlfn.XLOOKUP($A1478,Load!$B:$B,Load!M:M,0,)</f>
        <v>0</v>
      </c>
    </row>
    <row r="1479" spans="1:12" x14ac:dyDescent="0.25">
      <c r="B1479">
        <f>_xlfn.XLOOKUP($A1479,Load!$B:$B,Load!C:C,0,)</f>
        <v>0</v>
      </c>
      <c r="C1479">
        <f>_xlfn.XLOOKUP($A1479,Load!$B:$B,Load!D:D,0,)</f>
        <v>0</v>
      </c>
      <c r="D1479">
        <f>_xlfn.XLOOKUP($A1479,Load!$B:$B,Load!E:E,0,)</f>
        <v>0</v>
      </c>
      <c r="E1479">
        <f>_xlfn.XLOOKUP($A1479,Load!$B:$B,Load!F:F,0,)</f>
        <v>0</v>
      </c>
      <c r="F1479">
        <f>_xlfn.XLOOKUP($A1479,Load!$B:$B,Load!G:G,0,)</f>
        <v>0</v>
      </c>
      <c r="G1479">
        <f>_xlfn.XLOOKUP($A1479,Load!$B:$B,Load!H:H,0,)</f>
        <v>0</v>
      </c>
      <c r="H1479">
        <f>_xlfn.XLOOKUP($A1479,Load!$B:$B,Load!I:I,0,)</f>
        <v>0</v>
      </c>
      <c r="I1479">
        <f>_xlfn.XLOOKUP($A1479,Load!$B:$B,Load!J:J,0,)</f>
        <v>0</v>
      </c>
      <c r="J1479">
        <f>_xlfn.XLOOKUP($A1479,Load!$B:$B,Load!K:K,0,)</f>
        <v>0</v>
      </c>
      <c r="K1479">
        <f>_xlfn.XLOOKUP($A1479,Load!$B:$B,Load!L:L,0,)</f>
        <v>0</v>
      </c>
      <c r="L1479">
        <f>_xlfn.XLOOKUP($A1479,Load!$B:$B,Load!M:M,0,)</f>
        <v>0</v>
      </c>
    </row>
    <row r="1480" spans="1:12" x14ac:dyDescent="0.25">
      <c r="A1480" t="s">
        <v>88</v>
      </c>
      <c r="B1480" t="str">
        <f>_xlfn.XLOOKUP($A1480,Load!$B:$B,Load!C:C,0,)</f>
        <v>Ferrara Variety Pack</v>
      </c>
      <c r="C1480" t="str">
        <f>_xlfn.XLOOKUP($A1480,Load!$B:$B,Load!D:D,0,)</f>
        <v>Non-Chocolate Candy Only</v>
      </c>
      <c r="D1480" t="str">
        <f>_xlfn.XLOOKUP($A1480,Load!$B:$B,Load!E:E,0,)</f>
        <v>Variety / Mixed Flavors (Fruity, Sour, Seasonal Flavors)</v>
      </c>
      <c r="E1480" t="str">
        <f>_xlfn.XLOOKUP($A1480,Load!$B:$B,Load!F:F,0,)</f>
        <v>Mixed / Combo Packs (Gummy, Chewy, Taffy, etc.)</v>
      </c>
      <c r="F1480" t="str">
        <f>_xlfn.XLOOKUP($A1480,Load!$B:$B,Load!G:G,0,)</f>
        <v>Small Multipack (Less than 40 ct)</v>
      </c>
      <c r="G1480" t="str">
        <f>_xlfn.XLOOKUP($A1480,Load!$B:$B,Load!H:H,0,)</f>
        <v>Laydown Bag</v>
      </c>
      <c r="H1480" t="str">
        <f>_xlfn.XLOOKUP($A1480,Load!$B:$B,Load!I:I,0,)</f>
        <v>Seasonal Shapes (like pumpkins, candy corn, ghost, bats, etc.)</v>
      </c>
      <c r="I1480" t="str">
        <f>_xlfn.XLOOKUP($A1480,Load!$B:$B,Load!J:J,0,)</f>
        <v>Seasonal Graphics (Like Bat, Ghost, Pumpkin, Fall Leaves, Eyeballs, etc.)</v>
      </c>
      <c r="J1480" t="str">
        <f>_xlfn.XLOOKUP($A1480,Load!$B:$B,Load!K:K,0,)</f>
        <v>Fun Size / Treat Size</v>
      </c>
      <c r="K1480" t="str">
        <f>_xlfn.XLOOKUP($A1480,Load!$B:$B,Load!L:L,0,)</f>
        <v>Regular/Original Wrapping</v>
      </c>
      <c r="L1480" t="str">
        <f>_xlfn.XLOOKUP($A1480,Load!$B:$B,Load!M:M,0,)</f>
        <v>Multiple Brands / Variety Flavors or Form</v>
      </c>
    </row>
    <row r="1481" spans="1:12" x14ac:dyDescent="0.25">
      <c r="A1481" t="s">
        <v>203</v>
      </c>
      <c r="B1481" t="str">
        <f>_xlfn.XLOOKUP($A1481,Load!$B:$B,Load!C:C,0,)</f>
        <v>Mars Variety Pack</v>
      </c>
      <c r="C1481" t="str">
        <f>_xlfn.XLOOKUP($A1481,Load!$B:$B,Load!D:D,0,)</f>
        <v>Mix of Chocolate and Non-Chocolate Candy</v>
      </c>
      <c r="D1481" t="str">
        <f>_xlfn.XLOOKUP($A1481,Load!$B:$B,Load!E:E,0,)</f>
        <v>Variety / Mixed Flavors (Fruity, Sour, Seasonal Flavors)</v>
      </c>
      <c r="E1481" t="str">
        <f>_xlfn.XLOOKUP($A1481,Load!$B:$B,Load!F:F,0,)</f>
        <v>Mixed / Combo Packs (Gummy, Chewy, Taffy, etc.)</v>
      </c>
      <c r="F1481" t="str">
        <f>_xlfn.XLOOKUP($A1481,Load!$B:$B,Load!G:G,0,)</f>
        <v>Small Multipack (Less than 40 ct)</v>
      </c>
      <c r="G1481" t="str">
        <f>_xlfn.XLOOKUP($A1481,Load!$B:$B,Load!H:H,0,)</f>
        <v>Box (theatre box, gift box, carton)</v>
      </c>
      <c r="H1481" t="str">
        <f>_xlfn.XLOOKUP($A1481,Load!$B:$B,Load!I:I,0,)</f>
        <v>Everyday Candy Shapes (like Original, Gummy bear, Fruit, Jewels, etc.)</v>
      </c>
      <c r="I1481" t="str">
        <f>_xlfn.XLOOKUP($A1481,Load!$B:$B,Load!J:J,0,)</f>
        <v>Everyday Graphics</v>
      </c>
      <c r="J1481" t="str">
        <f>_xlfn.XLOOKUP($A1481,Load!$B:$B,Load!K:K,0,)</f>
        <v>Fun Size / Treat Size</v>
      </c>
      <c r="K1481" t="str">
        <f>_xlfn.XLOOKUP($A1481,Load!$B:$B,Load!L:L,0,)</f>
        <v>Regular/Original Wrapping</v>
      </c>
      <c r="L1481" t="str">
        <f>_xlfn.XLOOKUP($A1481,Load!$B:$B,Load!M:M,0,)</f>
        <v>Multiple Brands / Variety Flavors or Form</v>
      </c>
    </row>
    <row r="1482" spans="1:12" x14ac:dyDescent="0.25">
      <c r="B1482">
        <f>_xlfn.XLOOKUP($A1482,Load!$B:$B,Load!C:C,0,)</f>
        <v>0</v>
      </c>
      <c r="C1482">
        <f>_xlfn.XLOOKUP($A1482,Load!$B:$B,Load!D:D,0,)</f>
        <v>0</v>
      </c>
      <c r="D1482">
        <f>_xlfn.XLOOKUP($A1482,Load!$B:$B,Load!E:E,0,)</f>
        <v>0</v>
      </c>
      <c r="E1482">
        <f>_xlfn.XLOOKUP($A1482,Load!$B:$B,Load!F:F,0,)</f>
        <v>0</v>
      </c>
      <c r="F1482">
        <f>_xlfn.XLOOKUP($A1482,Load!$B:$B,Load!G:G,0,)</f>
        <v>0</v>
      </c>
      <c r="G1482">
        <f>_xlfn.XLOOKUP($A1482,Load!$B:$B,Load!H:H,0,)</f>
        <v>0</v>
      </c>
      <c r="H1482">
        <f>_xlfn.XLOOKUP($A1482,Load!$B:$B,Load!I:I,0,)</f>
        <v>0</v>
      </c>
      <c r="I1482">
        <f>_xlfn.XLOOKUP($A1482,Load!$B:$B,Load!J:J,0,)</f>
        <v>0</v>
      </c>
      <c r="J1482">
        <f>_xlfn.XLOOKUP($A1482,Load!$B:$B,Load!K:K,0,)</f>
        <v>0</v>
      </c>
      <c r="K1482">
        <f>_xlfn.XLOOKUP($A1482,Load!$B:$B,Load!L:L,0,)</f>
        <v>0</v>
      </c>
      <c r="L1482">
        <f>_xlfn.XLOOKUP($A1482,Load!$B:$B,Load!M:M,0,)</f>
        <v>0</v>
      </c>
    </row>
    <row r="1483" spans="1:12" x14ac:dyDescent="0.25">
      <c r="B1483">
        <f>_xlfn.XLOOKUP($A1483,Load!$B:$B,Load!C:C,0,)</f>
        <v>0</v>
      </c>
      <c r="C1483">
        <f>_xlfn.XLOOKUP($A1483,Load!$B:$B,Load!D:D,0,)</f>
        <v>0</v>
      </c>
      <c r="D1483">
        <f>_xlfn.XLOOKUP($A1483,Load!$B:$B,Load!E:E,0,)</f>
        <v>0</v>
      </c>
      <c r="E1483">
        <f>_xlfn.XLOOKUP($A1483,Load!$B:$B,Load!F:F,0,)</f>
        <v>0</v>
      </c>
      <c r="F1483">
        <f>_xlfn.XLOOKUP($A1483,Load!$B:$B,Load!G:G,0,)</f>
        <v>0</v>
      </c>
      <c r="G1483">
        <f>_xlfn.XLOOKUP($A1483,Load!$B:$B,Load!H:H,0,)</f>
        <v>0</v>
      </c>
      <c r="H1483">
        <f>_xlfn.XLOOKUP($A1483,Load!$B:$B,Load!I:I,0,)</f>
        <v>0</v>
      </c>
      <c r="I1483">
        <f>_xlfn.XLOOKUP($A1483,Load!$B:$B,Load!J:J,0,)</f>
        <v>0</v>
      </c>
      <c r="J1483">
        <f>_xlfn.XLOOKUP($A1483,Load!$B:$B,Load!K:K,0,)</f>
        <v>0</v>
      </c>
      <c r="K1483">
        <f>_xlfn.XLOOKUP($A1483,Load!$B:$B,Load!L:L,0,)</f>
        <v>0</v>
      </c>
      <c r="L1483">
        <f>_xlfn.XLOOKUP($A1483,Load!$B:$B,Load!M:M,0,)</f>
        <v>0</v>
      </c>
    </row>
    <row r="1484" spans="1:12" x14ac:dyDescent="0.25">
      <c r="A1484" t="s">
        <v>148</v>
      </c>
      <c r="B1484" t="str">
        <f>_xlfn.XLOOKUP($A1484,Load!$B:$B,Load!C:C,0,)</f>
        <v>Jelly Belly</v>
      </c>
      <c r="C1484" t="str">
        <f>_xlfn.XLOOKUP($A1484,Load!$B:$B,Load!D:D,0,)</f>
        <v>Non-Chocolate Candy Only</v>
      </c>
      <c r="D1484" t="str">
        <f>_xlfn.XLOOKUP($A1484,Load!$B:$B,Load!E:E,0,)</f>
        <v>Variety / Mixed Flavors (Fruity, Sour, Seasonal Flavors)</v>
      </c>
      <c r="E1484" t="str">
        <f>_xlfn.XLOOKUP($A1484,Load!$B:$B,Load!F:F,0,)</f>
        <v>Candy Pieces / Bites</v>
      </c>
      <c r="F1484" t="str">
        <f>_xlfn.XLOOKUP($A1484,Load!$B:$B,Load!G:G,0,)</f>
        <v>Single Pack</v>
      </c>
      <c r="G1484" t="str">
        <f>_xlfn.XLOOKUP($A1484,Load!$B:$B,Load!H:H,0,)</f>
        <v>Stand-Up Bag</v>
      </c>
      <c r="H1484" t="str">
        <f>_xlfn.XLOOKUP($A1484,Load!$B:$B,Load!I:I,0,)</f>
        <v>Everyday Candy Shapes (like Original, Gummy bear, Fruit, Jewels, etc.)</v>
      </c>
      <c r="I1484" t="str">
        <f>_xlfn.XLOOKUP($A1484,Load!$B:$B,Load!J:J,0,)</f>
        <v>Seasonal Graphics (Like Bat, Ghost, Pumpkin, Fall Leaves, Eyeballs, etc.)</v>
      </c>
      <c r="J1484" t="str">
        <f>_xlfn.XLOOKUP($A1484,Load!$B:$B,Load!K:K,0,)</f>
        <v>Small Pieces (Tiny bite size candies)</v>
      </c>
      <c r="K1484" t="str">
        <f>_xlfn.XLOOKUP($A1484,Load!$B:$B,Load!L:L,0,)</f>
        <v>Unwrapped</v>
      </c>
      <c r="L1484" t="str">
        <f>_xlfn.XLOOKUP($A1484,Load!$B:$B,Load!M:M,0,)</f>
        <v>Single Brand / Variety Flavors or Form</v>
      </c>
    </row>
    <row r="1485" spans="1:12" x14ac:dyDescent="0.25">
      <c r="B1485">
        <f>_xlfn.XLOOKUP($A1485,Load!$B:$B,Load!C:C,0,)</f>
        <v>0</v>
      </c>
      <c r="C1485">
        <f>_xlfn.XLOOKUP($A1485,Load!$B:$B,Load!D:D,0,)</f>
        <v>0</v>
      </c>
      <c r="D1485">
        <f>_xlfn.XLOOKUP($A1485,Load!$B:$B,Load!E:E,0,)</f>
        <v>0</v>
      </c>
      <c r="E1485">
        <f>_xlfn.XLOOKUP($A1485,Load!$B:$B,Load!F:F,0,)</f>
        <v>0</v>
      </c>
      <c r="F1485">
        <f>_xlfn.XLOOKUP($A1485,Load!$B:$B,Load!G:G,0,)</f>
        <v>0</v>
      </c>
      <c r="G1485">
        <f>_xlfn.XLOOKUP($A1485,Load!$B:$B,Load!H:H,0,)</f>
        <v>0</v>
      </c>
      <c r="H1485">
        <f>_xlfn.XLOOKUP($A1485,Load!$B:$B,Load!I:I,0,)</f>
        <v>0</v>
      </c>
      <c r="I1485">
        <f>_xlfn.XLOOKUP($A1485,Load!$B:$B,Load!J:J,0,)</f>
        <v>0</v>
      </c>
      <c r="J1485">
        <f>_xlfn.XLOOKUP($A1485,Load!$B:$B,Load!K:K,0,)</f>
        <v>0</v>
      </c>
      <c r="K1485">
        <f>_xlfn.XLOOKUP($A1485,Load!$B:$B,Load!L:L,0,)</f>
        <v>0</v>
      </c>
      <c r="L1485">
        <f>_xlfn.XLOOKUP($A1485,Load!$B:$B,Load!M:M,0,)</f>
        <v>0</v>
      </c>
    </row>
    <row r="1486" spans="1:12" x14ac:dyDescent="0.25">
      <c r="A1486" t="s">
        <v>156</v>
      </c>
      <c r="B1486" t="str">
        <f>_xlfn.XLOOKUP($A1486,Load!$B:$B,Load!C:C,0,)</f>
        <v>Jolly Rancher</v>
      </c>
      <c r="C1486" t="str">
        <f>_xlfn.XLOOKUP($A1486,Load!$B:$B,Load!D:D,0,)</f>
        <v>Non-Chocolate Candy Only</v>
      </c>
      <c r="D1486" t="str">
        <f>_xlfn.XLOOKUP($A1486,Load!$B:$B,Load!E:E,0,)</f>
        <v>Fruit Flavor (Cherry, Grape, Apple, Citrus, Tropical Fruit)</v>
      </c>
      <c r="E1486" t="str">
        <f>_xlfn.XLOOKUP($A1486,Load!$B:$B,Load!F:F,0,)</f>
        <v>Gummy</v>
      </c>
      <c r="F1486" t="str">
        <f>_xlfn.XLOOKUP($A1486,Load!$B:$B,Load!G:G,0,)</f>
        <v>Single Pack</v>
      </c>
      <c r="G1486" t="str">
        <f>_xlfn.XLOOKUP($A1486,Load!$B:$B,Load!H:H,0,)</f>
        <v>Laydown Bag</v>
      </c>
      <c r="H1486" t="str">
        <f>_xlfn.XLOOKUP($A1486,Load!$B:$B,Load!I:I,0,)</f>
        <v>Everyday Candy Shapes (like Original, Gummy bear, Fruit, Jewels, etc.)</v>
      </c>
      <c r="I1486" t="str">
        <f>_xlfn.XLOOKUP($A1486,Load!$B:$B,Load!J:J,0,)</f>
        <v>Everyday Graphics</v>
      </c>
      <c r="J1486" t="str">
        <f>_xlfn.XLOOKUP($A1486,Load!$B:$B,Load!K:K,0,)</f>
        <v>Small Pieces (Tiny bite size candies)</v>
      </c>
      <c r="K1486" t="str">
        <f>_xlfn.XLOOKUP($A1486,Load!$B:$B,Load!L:L,0,)</f>
        <v>Unwrapped</v>
      </c>
      <c r="L1486" t="str">
        <f>_xlfn.XLOOKUP($A1486,Load!$B:$B,Load!M:M,0,)</f>
        <v>Single Brand / Variety Flavors or Form</v>
      </c>
    </row>
    <row r="1487" spans="1:12" x14ac:dyDescent="0.25">
      <c r="A1487" t="s">
        <v>252</v>
      </c>
      <c r="B1487" t="str">
        <f>_xlfn.XLOOKUP($A1487,Load!$B:$B,Load!C:C,0,)</f>
        <v>Skittles</v>
      </c>
      <c r="C1487" t="str">
        <f>_xlfn.XLOOKUP($A1487,Load!$B:$B,Load!D:D,0,)</f>
        <v>Non-Chocolate Candy Only</v>
      </c>
      <c r="D1487" t="str">
        <f>_xlfn.XLOOKUP($A1487,Load!$B:$B,Load!E:E,0,)</f>
        <v>Sour</v>
      </c>
      <c r="E1487" t="str">
        <f>_xlfn.XLOOKUP($A1487,Load!$B:$B,Load!F:F,0,)</f>
        <v>Candy Pieces / Bites</v>
      </c>
      <c r="F1487" t="str">
        <f>_xlfn.XLOOKUP($A1487,Load!$B:$B,Load!G:G,0,)</f>
        <v>Single Pack</v>
      </c>
      <c r="G1487" t="str">
        <f>_xlfn.XLOOKUP($A1487,Load!$B:$B,Load!H:H,0,)</f>
        <v>Laydown Bag</v>
      </c>
      <c r="H1487" t="str">
        <f>_xlfn.XLOOKUP($A1487,Load!$B:$B,Load!I:I,0,)</f>
        <v>Everyday Candy Shapes (like Original, Gummy bear, Fruit, Jewels, etc.)</v>
      </c>
      <c r="I1487" t="str">
        <f>_xlfn.XLOOKUP($A1487,Load!$B:$B,Load!J:J,0,)</f>
        <v>Seasonal Graphics (Like Bat, Ghost, Pumpkin, Fall Leaves, Eyeballs, etc.)</v>
      </c>
      <c r="J1487" t="str">
        <f>_xlfn.XLOOKUP($A1487,Load!$B:$B,Load!K:K,0,)</f>
        <v>Small Pieces (Tiny bite size candies)</v>
      </c>
      <c r="K1487" t="str">
        <f>_xlfn.XLOOKUP($A1487,Load!$B:$B,Load!L:L,0,)</f>
        <v>Unwrapped</v>
      </c>
      <c r="L1487" t="str">
        <f>_xlfn.XLOOKUP($A1487,Load!$B:$B,Load!M:M,0,)</f>
        <v>Single Brand / Variety Flavors or Form</v>
      </c>
    </row>
    <row r="1488" spans="1:12" x14ac:dyDescent="0.25">
      <c r="B1488">
        <f>_xlfn.XLOOKUP($A1488,Load!$B:$B,Load!C:C,0,)</f>
        <v>0</v>
      </c>
      <c r="C1488">
        <f>_xlfn.XLOOKUP($A1488,Load!$B:$B,Load!D:D,0,)</f>
        <v>0</v>
      </c>
      <c r="D1488">
        <f>_xlfn.XLOOKUP($A1488,Load!$B:$B,Load!E:E,0,)</f>
        <v>0</v>
      </c>
      <c r="E1488">
        <f>_xlfn.XLOOKUP($A1488,Load!$B:$B,Load!F:F,0,)</f>
        <v>0</v>
      </c>
      <c r="F1488">
        <f>_xlfn.XLOOKUP($A1488,Load!$B:$B,Load!G:G,0,)</f>
        <v>0</v>
      </c>
      <c r="G1488">
        <f>_xlfn.XLOOKUP($A1488,Load!$B:$B,Load!H:H,0,)</f>
        <v>0</v>
      </c>
      <c r="H1488">
        <f>_xlfn.XLOOKUP($A1488,Load!$B:$B,Load!I:I,0,)</f>
        <v>0</v>
      </c>
      <c r="I1488">
        <f>_xlfn.XLOOKUP($A1488,Load!$B:$B,Load!J:J,0,)</f>
        <v>0</v>
      </c>
      <c r="J1488">
        <f>_xlfn.XLOOKUP($A1488,Load!$B:$B,Load!K:K,0,)</f>
        <v>0</v>
      </c>
      <c r="K1488">
        <f>_xlfn.XLOOKUP($A1488,Load!$B:$B,Load!L:L,0,)</f>
        <v>0</v>
      </c>
      <c r="L1488">
        <f>_xlfn.XLOOKUP($A1488,Load!$B:$B,Load!M:M,0,)</f>
        <v>0</v>
      </c>
    </row>
    <row r="1489" spans="1:12" x14ac:dyDescent="0.25">
      <c r="B1489">
        <f>_xlfn.XLOOKUP($A1489,Load!$B:$B,Load!C:C,0,)</f>
        <v>0</v>
      </c>
      <c r="C1489">
        <f>_xlfn.XLOOKUP($A1489,Load!$B:$B,Load!D:D,0,)</f>
        <v>0</v>
      </c>
      <c r="D1489">
        <f>_xlfn.XLOOKUP($A1489,Load!$B:$B,Load!E:E,0,)</f>
        <v>0</v>
      </c>
      <c r="E1489">
        <f>_xlfn.XLOOKUP($A1489,Load!$B:$B,Load!F:F,0,)</f>
        <v>0</v>
      </c>
      <c r="F1489">
        <f>_xlfn.XLOOKUP($A1489,Load!$B:$B,Load!G:G,0,)</f>
        <v>0</v>
      </c>
      <c r="G1489">
        <f>_xlfn.XLOOKUP($A1489,Load!$B:$B,Load!H:H,0,)</f>
        <v>0</v>
      </c>
      <c r="H1489">
        <f>_xlfn.XLOOKUP($A1489,Load!$B:$B,Load!I:I,0,)</f>
        <v>0</v>
      </c>
      <c r="I1489">
        <f>_xlfn.XLOOKUP($A1489,Load!$B:$B,Load!J:J,0,)</f>
        <v>0</v>
      </c>
      <c r="J1489">
        <f>_xlfn.XLOOKUP($A1489,Load!$B:$B,Load!K:K,0,)</f>
        <v>0</v>
      </c>
      <c r="K1489">
        <f>_xlfn.XLOOKUP($A1489,Load!$B:$B,Load!L:L,0,)</f>
        <v>0</v>
      </c>
      <c r="L1489">
        <f>_xlfn.XLOOKUP($A1489,Load!$B:$B,Load!M:M,0,)</f>
        <v>0</v>
      </c>
    </row>
    <row r="1490" spans="1:12" x14ac:dyDescent="0.25">
      <c r="A1490" t="s">
        <v>187</v>
      </c>
      <c r="B1490" t="str">
        <f>_xlfn.XLOOKUP($A1490,Load!$B:$B,Load!C:C,0,)</f>
        <v>Mars Variety Pack</v>
      </c>
      <c r="C1490" t="str">
        <f>_xlfn.XLOOKUP($A1490,Load!$B:$B,Load!D:D,0,)</f>
        <v>Mix of Chocolate and Non-Chocolate Candy</v>
      </c>
      <c r="D1490" t="str">
        <f>_xlfn.XLOOKUP($A1490,Load!$B:$B,Load!E:E,0,)</f>
        <v>Variety / Mixed Flavors (Fruity, Sour, Seasonal Flavors)</v>
      </c>
      <c r="E1490" t="str">
        <f>_xlfn.XLOOKUP($A1490,Load!$B:$B,Load!F:F,0,)</f>
        <v>Mixed / Combo Packs (Gummy, Chewy, Taffy, etc.)</v>
      </c>
      <c r="F1490" t="str">
        <f>_xlfn.XLOOKUP($A1490,Load!$B:$B,Load!G:G,0,)</f>
        <v>Medium Multipack (40–80 ct)</v>
      </c>
      <c r="G1490" t="str">
        <f>_xlfn.XLOOKUP($A1490,Load!$B:$B,Load!H:H,0,)</f>
        <v>Stand-Up Bag</v>
      </c>
      <c r="H1490" t="str">
        <f>_xlfn.XLOOKUP($A1490,Load!$B:$B,Load!I:I,0,)</f>
        <v>Everyday Candy Shapes (like Original, Gummy bear, Fruit, Jewels, etc.)</v>
      </c>
      <c r="I1490" t="str">
        <f>_xlfn.XLOOKUP($A1490,Load!$B:$B,Load!J:J,0,)</f>
        <v>Seasonal Graphics (Like Bat, Ghost, Pumpkin, Fall Leaves, Eyeballs, etc.)</v>
      </c>
      <c r="J1490" t="str">
        <f>_xlfn.XLOOKUP($A1490,Load!$B:$B,Load!K:K,0,)</f>
        <v>Fun Size / Treat Size</v>
      </c>
      <c r="K1490" t="str">
        <f>_xlfn.XLOOKUP($A1490,Load!$B:$B,Load!L:L,0,)</f>
        <v>Regular/Original Wrapping</v>
      </c>
      <c r="L1490" t="str">
        <f>_xlfn.XLOOKUP($A1490,Load!$B:$B,Load!M:M,0,)</f>
        <v>Multiple Brands / Variety Flavors or Form</v>
      </c>
    </row>
    <row r="1491" spans="1:12" x14ac:dyDescent="0.25">
      <c r="A1491" t="s">
        <v>85</v>
      </c>
      <c r="B1491" t="str">
        <f>_xlfn.XLOOKUP($A1491,Load!$B:$B,Load!C:C,0,)</f>
        <v>Ferrara Variety Pack</v>
      </c>
      <c r="C1491" t="str">
        <f>_xlfn.XLOOKUP($A1491,Load!$B:$B,Load!D:D,0,)</f>
        <v>Non-Chocolate Candy Only</v>
      </c>
      <c r="D1491" t="str">
        <f>_xlfn.XLOOKUP($A1491,Load!$B:$B,Load!E:E,0,)</f>
        <v>Variety / Mixed Flavors (Fruity, Sour, Seasonal Flavors)</v>
      </c>
      <c r="E1491" t="str">
        <f>_xlfn.XLOOKUP($A1491,Load!$B:$B,Load!F:F,0,)</f>
        <v>Mixed / Combo Packs (Gummy, Chewy, Taffy, etc.)</v>
      </c>
      <c r="F1491" t="str">
        <f>_xlfn.XLOOKUP($A1491,Load!$B:$B,Load!G:G,0,)</f>
        <v>Large Multipack (More than 80 ct)</v>
      </c>
      <c r="G1491" t="str">
        <f>_xlfn.XLOOKUP($A1491,Load!$B:$B,Load!H:H,0,)</f>
        <v>Stand-Up Bag</v>
      </c>
      <c r="H1491" t="str">
        <f>_xlfn.XLOOKUP($A1491,Load!$B:$B,Load!I:I,0,)</f>
        <v>Seasonal Shapes (like pumpkins, candy corn, ghost, bats, etc.)</v>
      </c>
      <c r="I1491" t="str">
        <f>_xlfn.XLOOKUP($A1491,Load!$B:$B,Load!J:J,0,)</f>
        <v>Seasonal Graphics (Like Bat, Ghost, Pumpkin, Fall Leaves, Eyeballs, etc.)</v>
      </c>
      <c r="J1491" t="str">
        <f>_xlfn.XLOOKUP($A1491,Load!$B:$B,Load!K:K,0,)</f>
        <v>Fun Size / Treat Size</v>
      </c>
      <c r="K1491" t="str">
        <f>_xlfn.XLOOKUP($A1491,Load!$B:$B,Load!L:L,0,)</f>
        <v>Regular/Original Wrapping</v>
      </c>
      <c r="L1491" t="str">
        <f>_xlfn.XLOOKUP($A1491,Load!$B:$B,Load!M:M,0,)</f>
        <v>Multiple Brands / Variety Flavors or Form</v>
      </c>
    </row>
    <row r="1492" spans="1:12" x14ac:dyDescent="0.25">
      <c r="B1492">
        <f>_xlfn.XLOOKUP($A1492,Load!$B:$B,Load!C:C,0,)</f>
        <v>0</v>
      </c>
      <c r="C1492">
        <f>_xlfn.XLOOKUP($A1492,Load!$B:$B,Load!D:D,0,)</f>
        <v>0</v>
      </c>
      <c r="D1492">
        <f>_xlfn.XLOOKUP($A1492,Load!$B:$B,Load!E:E,0,)</f>
        <v>0</v>
      </c>
      <c r="E1492">
        <f>_xlfn.XLOOKUP($A1492,Load!$B:$B,Load!F:F,0,)</f>
        <v>0</v>
      </c>
      <c r="F1492">
        <f>_xlfn.XLOOKUP($A1492,Load!$B:$B,Load!G:G,0,)</f>
        <v>0</v>
      </c>
      <c r="G1492">
        <f>_xlfn.XLOOKUP($A1492,Load!$B:$B,Load!H:H,0,)</f>
        <v>0</v>
      </c>
      <c r="H1492">
        <f>_xlfn.XLOOKUP($A1492,Load!$B:$B,Load!I:I,0,)</f>
        <v>0</v>
      </c>
      <c r="I1492">
        <f>_xlfn.XLOOKUP($A1492,Load!$B:$B,Load!J:J,0,)</f>
        <v>0</v>
      </c>
      <c r="J1492">
        <f>_xlfn.XLOOKUP($A1492,Load!$B:$B,Load!K:K,0,)</f>
        <v>0</v>
      </c>
      <c r="K1492">
        <f>_xlfn.XLOOKUP($A1492,Load!$B:$B,Load!L:L,0,)</f>
        <v>0</v>
      </c>
      <c r="L1492">
        <f>_xlfn.XLOOKUP($A1492,Load!$B:$B,Load!M:M,0,)</f>
        <v>0</v>
      </c>
    </row>
    <row r="1493" spans="1:12" x14ac:dyDescent="0.25">
      <c r="B1493">
        <f>_xlfn.XLOOKUP($A1493,Load!$B:$B,Load!C:C,0,)</f>
        <v>0</v>
      </c>
      <c r="C1493">
        <f>_xlfn.XLOOKUP($A1493,Load!$B:$B,Load!D:D,0,)</f>
        <v>0</v>
      </c>
      <c r="D1493">
        <f>_xlfn.XLOOKUP($A1493,Load!$B:$B,Load!E:E,0,)</f>
        <v>0</v>
      </c>
      <c r="E1493">
        <f>_xlfn.XLOOKUP($A1493,Load!$B:$B,Load!F:F,0,)</f>
        <v>0</v>
      </c>
      <c r="F1493">
        <f>_xlfn.XLOOKUP($A1493,Load!$B:$B,Load!G:G,0,)</f>
        <v>0</v>
      </c>
      <c r="G1493">
        <f>_xlfn.XLOOKUP($A1493,Load!$B:$B,Load!H:H,0,)</f>
        <v>0</v>
      </c>
      <c r="H1493">
        <f>_xlfn.XLOOKUP($A1493,Load!$B:$B,Load!I:I,0,)</f>
        <v>0</v>
      </c>
      <c r="I1493">
        <f>_xlfn.XLOOKUP($A1493,Load!$B:$B,Load!J:J,0,)</f>
        <v>0</v>
      </c>
      <c r="J1493">
        <f>_xlfn.XLOOKUP($A1493,Load!$B:$B,Load!K:K,0,)</f>
        <v>0</v>
      </c>
      <c r="K1493">
        <f>_xlfn.XLOOKUP($A1493,Load!$B:$B,Load!L:L,0,)</f>
        <v>0</v>
      </c>
      <c r="L1493">
        <f>_xlfn.XLOOKUP($A1493,Load!$B:$B,Load!M:M,0,)</f>
        <v>0</v>
      </c>
    </row>
    <row r="1494" spans="1:12" x14ac:dyDescent="0.25">
      <c r="A1494" t="s">
        <v>114</v>
      </c>
      <c r="B1494" t="str">
        <f>_xlfn.XLOOKUP($A1494,Load!$B:$B,Load!C:C,0,)</f>
        <v>Galerie</v>
      </c>
      <c r="C1494" t="str">
        <f>_xlfn.XLOOKUP($A1494,Load!$B:$B,Load!D:D,0,)</f>
        <v>Non-Chocolate Candy Only</v>
      </c>
      <c r="D1494" t="str">
        <f>_xlfn.XLOOKUP($A1494,Load!$B:$B,Load!E:E,0,)</f>
        <v>Fruit Flavor (Cherry, Grape, Apple, Citrus, Tropical Fruit)</v>
      </c>
      <c r="E1494" t="str">
        <f>_xlfn.XLOOKUP($A1494,Load!$B:$B,Load!F:F,0,)</f>
        <v>Lollipop (regular or lollipop rings)</v>
      </c>
      <c r="F1494" t="str">
        <f>_xlfn.XLOOKUP($A1494,Load!$B:$B,Load!G:G,0,)</f>
        <v>Single Pack</v>
      </c>
      <c r="G1494" t="str">
        <f>_xlfn.XLOOKUP($A1494,Load!$B:$B,Load!H:H,0,)</f>
        <v>Laydown Bag</v>
      </c>
      <c r="H1494" t="str">
        <f>_xlfn.XLOOKUP($A1494,Load!$B:$B,Load!I:I,0,)</f>
        <v>Seasonal Shapes (like pumpkins, candy corn, ghost, bats, etc.)</v>
      </c>
      <c r="I1494" t="str">
        <f>_xlfn.XLOOKUP($A1494,Load!$B:$B,Load!J:J,0,)</f>
        <v>Seasonal Graphics (Like Bat, Ghost, Pumpkin, Fall Leaves, Eyeballs, etc.)</v>
      </c>
      <c r="J1494" t="str">
        <f>_xlfn.XLOOKUP($A1494,Load!$B:$B,Load!K:K,0,)</f>
        <v>Regular Lollipop size (on sticks or rings)</v>
      </c>
      <c r="K1494" t="str">
        <f>_xlfn.XLOOKUP($A1494,Load!$B:$B,Load!L:L,0,)</f>
        <v>Regular/Original Wrapping</v>
      </c>
      <c r="L1494" t="str">
        <f>_xlfn.XLOOKUP($A1494,Load!$B:$B,Load!M:M,0,)</f>
        <v>Single Brand / Single Flavor or Form</v>
      </c>
    </row>
    <row r="1495" spans="1:12" x14ac:dyDescent="0.25">
      <c r="B1495">
        <f>_xlfn.XLOOKUP($A1495,Load!$B:$B,Load!C:C,0,)</f>
        <v>0</v>
      </c>
      <c r="C1495">
        <f>_xlfn.XLOOKUP($A1495,Load!$B:$B,Load!D:D,0,)</f>
        <v>0</v>
      </c>
      <c r="D1495">
        <f>_xlfn.XLOOKUP($A1495,Load!$B:$B,Load!E:E,0,)</f>
        <v>0</v>
      </c>
      <c r="E1495">
        <f>_xlfn.XLOOKUP($A1495,Load!$B:$B,Load!F:F,0,)</f>
        <v>0</v>
      </c>
      <c r="F1495">
        <f>_xlfn.XLOOKUP($A1495,Load!$B:$B,Load!G:G,0,)</f>
        <v>0</v>
      </c>
      <c r="G1495">
        <f>_xlfn.XLOOKUP($A1495,Load!$B:$B,Load!H:H,0,)</f>
        <v>0</v>
      </c>
      <c r="H1495">
        <f>_xlfn.XLOOKUP($A1495,Load!$B:$B,Load!I:I,0,)</f>
        <v>0</v>
      </c>
      <c r="I1495">
        <f>_xlfn.XLOOKUP($A1495,Load!$B:$B,Load!J:J,0,)</f>
        <v>0</v>
      </c>
      <c r="J1495">
        <f>_xlfn.XLOOKUP($A1495,Load!$B:$B,Load!K:K,0,)</f>
        <v>0</v>
      </c>
      <c r="K1495">
        <f>_xlfn.XLOOKUP($A1495,Load!$B:$B,Load!L:L,0,)</f>
        <v>0</v>
      </c>
      <c r="L1495">
        <f>_xlfn.XLOOKUP($A1495,Load!$B:$B,Load!M:M,0,)</f>
        <v>0</v>
      </c>
    </row>
    <row r="1496" spans="1:12" x14ac:dyDescent="0.25">
      <c r="B1496">
        <f>_xlfn.XLOOKUP($A1496,Load!$B:$B,Load!C:C,0,)</f>
        <v>0</v>
      </c>
      <c r="C1496">
        <f>_xlfn.XLOOKUP($A1496,Load!$B:$B,Load!D:D,0,)</f>
        <v>0</v>
      </c>
      <c r="D1496">
        <f>_xlfn.XLOOKUP($A1496,Load!$B:$B,Load!E:E,0,)</f>
        <v>0</v>
      </c>
      <c r="E1496">
        <f>_xlfn.XLOOKUP($A1496,Load!$B:$B,Load!F:F,0,)</f>
        <v>0</v>
      </c>
      <c r="F1496">
        <f>_xlfn.XLOOKUP($A1496,Load!$B:$B,Load!G:G,0,)</f>
        <v>0</v>
      </c>
      <c r="G1496">
        <f>_xlfn.XLOOKUP($A1496,Load!$B:$B,Load!H:H,0,)</f>
        <v>0</v>
      </c>
      <c r="H1496">
        <f>_xlfn.XLOOKUP($A1496,Load!$B:$B,Load!I:I,0,)</f>
        <v>0</v>
      </c>
      <c r="I1496">
        <f>_xlfn.XLOOKUP($A1496,Load!$B:$B,Load!J:J,0,)</f>
        <v>0</v>
      </c>
      <c r="J1496">
        <f>_xlfn.XLOOKUP($A1496,Load!$B:$B,Load!K:K,0,)</f>
        <v>0</v>
      </c>
      <c r="K1496">
        <f>_xlfn.XLOOKUP($A1496,Load!$B:$B,Load!L:L,0,)</f>
        <v>0</v>
      </c>
      <c r="L1496">
        <f>_xlfn.XLOOKUP($A1496,Load!$B:$B,Load!M:M,0,)</f>
        <v>0</v>
      </c>
    </row>
    <row r="1497" spans="1:12" x14ac:dyDescent="0.25">
      <c r="B1497">
        <f>_xlfn.XLOOKUP($A1497,Load!$B:$B,Load!C:C,0,)</f>
        <v>0</v>
      </c>
      <c r="C1497">
        <f>_xlfn.XLOOKUP($A1497,Load!$B:$B,Load!D:D,0,)</f>
        <v>0</v>
      </c>
      <c r="D1497">
        <f>_xlfn.XLOOKUP($A1497,Load!$B:$B,Load!E:E,0,)</f>
        <v>0</v>
      </c>
      <c r="E1497">
        <f>_xlfn.XLOOKUP($A1497,Load!$B:$B,Load!F:F,0,)</f>
        <v>0</v>
      </c>
      <c r="F1497">
        <f>_xlfn.XLOOKUP($A1497,Load!$B:$B,Load!G:G,0,)</f>
        <v>0</v>
      </c>
      <c r="G1497">
        <f>_xlfn.XLOOKUP($A1497,Load!$B:$B,Load!H:H,0,)</f>
        <v>0</v>
      </c>
      <c r="H1497">
        <f>_xlfn.XLOOKUP($A1497,Load!$B:$B,Load!I:I,0,)</f>
        <v>0</v>
      </c>
      <c r="I1497">
        <f>_xlfn.XLOOKUP($A1497,Load!$B:$B,Load!J:J,0,)</f>
        <v>0</v>
      </c>
      <c r="J1497">
        <f>_xlfn.XLOOKUP($A1497,Load!$B:$B,Load!K:K,0,)</f>
        <v>0</v>
      </c>
      <c r="K1497">
        <f>_xlfn.XLOOKUP($A1497,Load!$B:$B,Load!L:L,0,)</f>
        <v>0</v>
      </c>
      <c r="L1497">
        <f>_xlfn.XLOOKUP($A1497,Load!$B:$B,Load!M:M,0,)</f>
        <v>0</v>
      </c>
    </row>
    <row r="1498" spans="1:12" x14ac:dyDescent="0.25">
      <c r="B1498">
        <f>_xlfn.XLOOKUP($A1498,Load!$B:$B,Load!C:C,0,)</f>
        <v>0</v>
      </c>
      <c r="C1498">
        <f>_xlfn.XLOOKUP($A1498,Load!$B:$B,Load!D:D,0,)</f>
        <v>0</v>
      </c>
      <c r="D1498">
        <f>_xlfn.XLOOKUP($A1498,Load!$B:$B,Load!E:E,0,)</f>
        <v>0</v>
      </c>
      <c r="E1498">
        <f>_xlfn.XLOOKUP($A1498,Load!$B:$B,Load!F:F,0,)</f>
        <v>0</v>
      </c>
      <c r="F1498">
        <f>_xlfn.XLOOKUP($A1498,Load!$B:$B,Load!G:G,0,)</f>
        <v>0</v>
      </c>
      <c r="G1498">
        <f>_xlfn.XLOOKUP($A1498,Load!$B:$B,Load!H:H,0,)</f>
        <v>0</v>
      </c>
      <c r="H1498">
        <f>_xlfn.XLOOKUP($A1498,Load!$B:$B,Load!I:I,0,)</f>
        <v>0</v>
      </c>
      <c r="I1498">
        <f>_xlfn.XLOOKUP($A1498,Load!$B:$B,Load!J:J,0,)</f>
        <v>0</v>
      </c>
      <c r="J1498">
        <f>_xlfn.XLOOKUP($A1498,Load!$B:$B,Load!K:K,0,)</f>
        <v>0</v>
      </c>
      <c r="K1498">
        <f>_xlfn.XLOOKUP($A1498,Load!$B:$B,Load!L:L,0,)</f>
        <v>0</v>
      </c>
      <c r="L1498">
        <f>_xlfn.XLOOKUP($A1498,Load!$B:$B,Load!M:M,0,)</f>
        <v>0</v>
      </c>
    </row>
    <row r="1499" spans="1:12" x14ac:dyDescent="0.25">
      <c r="B1499">
        <f>_xlfn.XLOOKUP($A1499,Load!$B:$B,Load!C:C,0,)</f>
        <v>0</v>
      </c>
      <c r="C1499">
        <f>_xlfn.XLOOKUP($A1499,Load!$B:$B,Load!D:D,0,)</f>
        <v>0</v>
      </c>
      <c r="D1499">
        <f>_xlfn.XLOOKUP($A1499,Load!$B:$B,Load!E:E,0,)</f>
        <v>0</v>
      </c>
      <c r="E1499">
        <f>_xlfn.XLOOKUP($A1499,Load!$B:$B,Load!F:F,0,)</f>
        <v>0</v>
      </c>
      <c r="F1499">
        <f>_xlfn.XLOOKUP($A1499,Load!$B:$B,Load!G:G,0,)</f>
        <v>0</v>
      </c>
      <c r="G1499">
        <f>_xlfn.XLOOKUP($A1499,Load!$B:$B,Load!H:H,0,)</f>
        <v>0</v>
      </c>
      <c r="H1499">
        <f>_xlfn.XLOOKUP($A1499,Load!$B:$B,Load!I:I,0,)</f>
        <v>0</v>
      </c>
      <c r="I1499">
        <f>_xlfn.XLOOKUP($A1499,Load!$B:$B,Load!J:J,0,)</f>
        <v>0</v>
      </c>
      <c r="J1499">
        <f>_xlfn.XLOOKUP($A1499,Load!$B:$B,Load!K:K,0,)</f>
        <v>0</v>
      </c>
      <c r="K1499">
        <f>_xlfn.XLOOKUP($A1499,Load!$B:$B,Load!L:L,0,)</f>
        <v>0</v>
      </c>
      <c r="L1499">
        <f>_xlfn.XLOOKUP($A1499,Load!$B:$B,Load!M:M,0,)</f>
        <v>0</v>
      </c>
    </row>
    <row r="1500" spans="1:12" x14ac:dyDescent="0.25">
      <c r="A1500" t="s">
        <v>65</v>
      </c>
      <c r="B1500" t="str">
        <f>_xlfn.XLOOKUP($A1500,Load!$B:$B,Load!C:C,0,)</f>
        <v>Dots</v>
      </c>
      <c r="C1500" t="str">
        <f>_xlfn.XLOOKUP($A1500,Load!$B:$B,Load!D:D,0,)</f>
        <v>Non-Chocolate Candy Only</v>
      </c>
      <c r="D1500" t="str">
        <f>_xlfn.XLOOKUP($A1500,Load!$B:$B,Load!E:E,0,)</f>
        <v>Variety / Mixed Flavors (Fruity, Sour, Seasonal Flavors)</v>
      </c>
      <c r="E1500" t="str">
        <f>_xlfn.XLOOKUP($A1500,Load!$B:$B,Load!F:F,0,)</f>
        <v>Candy Pieces / Bites</v>
      </c>
      <c r="F1500" t="str">
        <f>_xlfn.XLOOKUP($A1500,Load!$B:$B,Load!G:G,0,)</f>
        <v>Medium Multipack (40–80 ct)</v>
      </c>
      <c r="G1500" t="str">
        <f>_xlfn.XLOOKUP($A1500,Load!$B:$B,Load!H:H,0,)</f>
        <v>Box (theatre box, gift box, carton)</v>
      </c>
      <c r="H1500" t="str">
        <f>_xlfn.XLOOKUP($A1500,Load!$B:$B,Load!I:I,0,)</f>
        <v>Seasonal Shapes (like pumpkins, candy corn, ghost, bats, etc.)</v>
      </c>
      <c r="I1500" t="str">
        <f>_xlfn.XLOOKUP($A1500,Load!$B:$B,Load!J:J,0,)</f>
        <v>Seasonal Graphics (Like Bat, Ghost, Pumpkin, Fall Leaves, Eyeballs, etc.)</v>
      </c>
      <c r="J1500" t="str">
        <f>_xlfn.XLOOKUP($A1500,Load!$B:$B,Load!K:K,0,)</f>
        <v>Fun Size / Treat Size</v>
      </c>
      <c r="K1500" t="str">
        <f>_xlfn.XLOOKUP($A1500,Load!$B:$B,Load!L:L,0,)</f>
        <v>Regular/Original Wrapping</v>
      </c>
      <c r="L1500" t="str">
        <f>_xlfn.XLOOKUP($A1500,Load!$B:$B,Load!M:M,0,)</f>
        <v>Single Brand / Variety Flavors or Form</v>
      </c>
    </row>
    <row r="1501" spans="1:12" x14ac:dyDescent="0.25">
      <c r="B1501">
        <f>_xlfn.XLOOKUP($A1501,Load!$B:$B,Load!C:C,0,)</f>
        <v>0</v>
      </c>
      <c r="C1501">
        <f>_xlfn.XLOOKUP($A1501,Load!$B:$B,Load!D:D,0,)</f>
        <v>0</v>
      </c>
      <c r="D1501">
        <f>_xlfn.XLOOKUP($A1501,Load!$B:$B,Load!E:E,0,)</f>
        <v>0</v>
      </c>
      <c r="E1501">
        <f>_xlfn.XLOOKUP($A1501,Load!$B:$B,Load!F:F,0,)</f>
        <v>0</v>
      </c>
      <c r="F1501">
        <f>_xlfn.XLOOKUP($A1501,Load!$B:$B,Load!G:G,0,)</f>
        <v>0</v>
      </c>
      <c r="G1501">
        <f>_xlfn.XLOOKUP($A1501,Load!$B:$B,Load!H:H,0,)</f>
        <v>0</v>
      </c>
      <c r="H1501">
        <f>_xlfn.XLOOKUP($A1501,Load!$B:$B,Load!I:I,0,)</f>
        <v>0</v>
      </c>
      <c r="I1501">
        <f>_xlfn.XLOOKUP($A1501,Load!$B:$B,Load!J:J,0,)</f>
        <v>0</v>
      </c>
      <c r="J1501">
        <f>_xlfn.XLOOKUP($A1501,Load!$B:$B,Load!K:K,0,)</f>
        <v>0</v>
      </c>
      <c r="K1501">
        <f>_xlfn.XLOOKUP($A1501,Load!$B:$B,Load!L:L,0,)</f>
        <v>0</v>
      </c>
      <c r="L1501">
        <f>_xlfn.XLOOKUP($A1501,Load!$B:$B,Load!M:M,0,)</f>
        <v>0</v>
      </c>
    </row>
    <row r="1502" spans="1:12" x14ac:dyDescent="0.25">
      <c r="A1502" t="s">
        <v>174</v>
      </c>
      <c r="B1502" t="str">
        <f>_xlfn.XLOOKUP($A1502,Load!$B:$B,Load!C:C,0,)</f>
        <v>Mars Variety Pack</v>
      </c>
      <c r="C1502" t="str">
        <f>_xlfn.XLOOKUP($A1502,Load!$B:$B,Load!D:D,0,)</f>
        <v>Non-Chocolate Candy Only</v>
      </c>
      <c r="D1502" t="str">
        <f>_xlfn.XLOOKUP($A1502,Load!$B:$B,Load!E:E,0,)</f>
        <v>Variety / Mixed Flavors (Fruity, Sour, Seasonal Flavors)</v>
      </c>
      <c r="E1502" t="str">
        <f>_xlfn.XLOOKUP($A1502,Load!$B:$B,Load!F:F,0,)</f>
        <v>Mixed / Combo Packs (Gummy, Chewy, Taffy, etc.)</v>
      </c>
      <c r="F1502" t="str">
        <f>_xlfn.XLOOKUP($A1502,Load!$B:$B,Load!G:G,0,)</f>
        <v>Medium Multipack (40–80 ct)</v>
      </c>
      <c r="G1502" t="str">
        <f>_xlfn.XLOOKUP($A1502,Load!$B:$B,Load!H:H,0,)</f>
        <v>Stand-Up Bag</v>
      </c>
      <c r="H1502" t="str">
        <f>_xlfn.XLOOKUP($A1502,Load!$B:$B,Load!I:I,0,)</f>
        <v>Everyday Candy Shapes (like Original, Gummy bear, Fruit, Jewels, etc.)</v>
      </c>
      <c r="I1502" t="str">
        <f>_xlfn.XLOOKUP($A1502,Load!$B:$B,Load!J:J,0,)</f>
        <v>Seasonal Graphics (Like Bat, Ghost, Pumpkin, Fall Leaves, Eyeballs, etc.)</v>
      </c>
      <c r="J1502" t="str">
        <f>_xlfn.XLOOKUP($A1502,Load!$B:$B,Load!K:K,0,)</f>
        <v>Fun Size / Treat Size</v>
      </c>
      <c r="K1502" t="str">
        <f>_xlfn.XLOOKUP($A1502,Load!$B:$B,Load!L:L,0,)</f>
        <v>Regular/Original Wrapping</v>
      </c>
      <c r="L1502" t="str">
        <f>_xlfn.XLOOKUP($A1502,Load!$B:$B,Load!M:M,0,)</f>
        <v>Multiple Brands / Variety Flavors or Form</v>
      </c>
    </row>
    <row r="1503" spans="1:12" x14ac:dyDescent="0.25">
      <c r="A1503" t="s">
        <v>204</v>
      </c>
      <c r="B1503" t="str">
        <f>_xlfn.XLOOKUP($A1503,Load!$B:$B,Load!C:C,0,)</f>
        <v>Mars Variety Pack</v>
      </c>
      <c r="C1503" t="str">
        <f>_xlfn.XLOOKUP($A1503,Load!$B:$B,Load!D:D,0,)</f>
        <v>Mix of Chocolate and Non-Chocolate Candy</v>
      </c>
      <c r="D1503" t="str">
        <f>_xlfn.XLOOKUP($A1503,Load!$B:$B,Load!E:E,0,)</f>
        <v>Variety / Mixed Flavors (Fruity, Sour, Seasonal Flavors)</v>
      </c>
      <c r="E1503" t="str">
        <f>_xlfn.XLOOKUP($A1503,Load!$B:$B,Load!F:F,0,)</f>
        <v>Mixed / Combo Packs (Gummy, Chewy, Taffy, etc.)</v>
      </c>
      <c r="F1503" t="str">
        <f>_xlfn.XLOOKUP($A1503,Load!$B:$B,Load!G:G,0,)</f>
        <v>Medium Multipack (40–80 ct)</v>
      </c>
      <c r="G1503" t="str">
        <f>_xlfn.XLOOKUP($A1503,Load!$B:$B,Load!H:H,0,)</f>
        <v>Stand-Up Bag</v>
      </c>
      <c r="H1503" t="str">
        <f>_xlfn.XLOOKUP($A1503,Load!$B:$B,Load!I:I,0,)</f>
        <v>Everyday Candy Shapes (like Original, Gummy bear, Fruit, Jewels, etc.)</v>
      </c>
      <c r="I1503" t="str">
        <f>_xlfn.XLOOKUP($A1503,Load!$B:$B,Load!J:J,0,)</f>
        <v>Everyday Graphics</v>
      </c>
      <c r="J1503" t="str">
        <f>_xlfn.XLOOKUP($A1503,Load!$B:$B,Load!K:K,0,)</f>
        <v>Fun Size / Treat Size</v>
      </c>
      <c r="K1503" t="str">
        <f>_xlfn.XLOOKUP($A1503,Load!$B:$B,Load!L:L,0,)</f>
        <v>Regular/Original Wrapping</v>
      </c>
      <c r="L1503" t="str">
        <f>_xlfn.XLOOKUP($A1503,Load!$B:$B,Load!M:M,0,)</f>
        <v>Multiple Brands / Variety Flavors or Form</v>
      </c>
    </row>
    <row r="1504" spans="1:12" x14ac:dyDescent="0.25">
      <c r="B1504">
        <f>_xlfn.XLOOKUP($A1504,Load!$B:$B,Load!C:C,0,)</f>
        <v>0</v>
      </c>
      <c r="C1504">
        <f>_xlfn.XLOOKUP($A1504,Load!$B:$B,Load!D:D,0,)</f>
        <v>0</v>
      </c>
      <c r="D1504">
        <f>_xlfn.XLOOKUP($A1504,Load!$B:$B,Load!E:E,0,)</f>
        <v>0</v>
      </c>
      <c r="E1504">
        <f>_xlfn.XLOOKUP($A1504,Load!$B:$B,Load!F:F,0,)</f>
        <v>0</v>
      </c>
      <c r="F1504">
        <f>_xlfn.XLOOKUP($A1504,Load!$B:$B,Load!G:G,0,)</f>
        <v>0</v>
      </c>
      <c r="G1504">
        <f>_xlfn.XLOOKUP($A1504,Load!$B:$B,Load!H:H,0,)</f>
        <v>0</v>
      </c>
      <c r="H1504">
        <f>_xlfn.XLOOKUP($A1504,Load!$B:$B,Load!I:I,0,)</f>
        <v>0</v>
      </c>
      <c r="I1504">
        <f>_xlfn.XLOOKUP($A1504,Load!$B:$B,Load!J:J,0,)</f>
        <v>0</v>
      </c>
      <c r="J1504">
        <f>_xlfn.XLOOKUP($A1504,Load!$B:$B,Load!K:K,0,)</f>
        <v>0</v>
      </c>
      <c r="K1504">
        <f>_xlfn.XLOOKUP($A1504,Load!$B:$B,Load!L:L,0,)</f>
        <v>0</v>
      </c>
      <c r="L1504">
        <f>_xlfn.XLOOKUP($A1504,Load!$B:$B,Load!M:M,0,)</f>
        <v>0</v>
      </c>
    </row>
    <row r="1505" spans="1:12" x14ac:dyDescent="0.25">
      <c r="B1505">
        <f>_xlfn.XLOOKUP($A1505,Load!$B:$B,Load!C:C,0,)</f>
        <v>0</v>
      </c>
      <c r="C1505">
        <f>_xlfn.XLOOKUP($A1505,Load!$B:$B,Load!D:D,0,)</f>
        <v>0</v>
      </c>
      <c r="D1505">
        <f>_xlfn.XLOOKUP($A1505,Load!$B:$B,Load!E:E,0,)</f>
        <v>0</v>
      </c>
      <c r="E1505">
        <f>_xlfn.XLOOKUP($A1505,Load!$B:$B,Load!F:F,0,)</f>
        <v>0</v>
      </c>
      <c r="F1505">
        <f>_xlfn.XLOOKUP($A1505,Load!$B:$B,Load!G:G,0,)</f>
        <v>0</v>
      </c>
      <c r="G1505">
        <f>_xlfn.XLOOKUP($A1505,Load!$B:$B,Load!H:H,0,)</f>
        <v>0</v>
      </c>
      <c r="H1505">
        <f>_xlfn.XLOOKUP($A1505,Load!$B:$B,Load!I:I,0,)</f>
        <v>0</v>
      </c>
      <c r="I1505">
        <f>_xlfn.XLOOKUP($A1505,Load!$B:$B,Load!J:J,0,)</f>
        <v>0</v>
      </c>
      <c r="J1505">
        <f>_xlfn.XLOOKUP($A1505,Load!$B:$B,Load!K:K,0,)</f>
        <v>0</v>
      </c>
      <c r="K1505">
        <f>_xlfn.XLOOKUP($A1505,Load!$B:$B,Load!L:L,0,)</f>
        <v>0</v>
      </c>
      <c r="L1505">
        <f>_xlfn.XLOOKUP($A1505,Load!$B:$B,Load!M:M,0,)</f>
        <v>0</v>
      </c>
    </row>
    <row r="1506" spans="1:12" x14ac:dyDescent="0.25">
      <c r="B1506">
        <f>_xlfn.XLOOKUP($A1506,Load!$B:$B,Load!C:C,0,)</f>
        <v>0</v>
      </c>
      <c r="C1506">
        <f>_xlfn.XLOOKUP($A1506,Load!$B:$B,Load!D:D,0,)</f>
        <v>0</v>
      </c>
      <c r="D1506">
        <f>_xlfn.XLOOKUP($A1506,Load!$B:$B,Load!E:E,0,)</f>
        <v>0</v>
      </c>
      <c r="E1506">
        <f>_xlfn.XLOOKUP($A1506,Load!$B:$B,Load!F:F,0,)</f>
        <v>0</v>
      </c>
      <c r="F1506">
        <f>_xlfn.XLOOKUP($A1506,Load!$B:$B,Load!G:G,0,)</f>
        <v>0</v>
      </c>
      <c r="G1506">
        <f>_xlfn.XLOOKUP($A1506,Load!$B:$B,Load!H:H,0,)</f>
        <v>0</v>
      </c>
      <c r="H1506">
        <f>_xlfn.XLOOKUP($A1506,Load!$B:$B,Load!I:I,0,)</f>
        <v>0</v>
      </c>
      <c r="I1506">
        <f>_xlfn.XLOOKUP($A1506,Load!$B:$B,Load!J:J,0,)</f>
        <v>0</v>
      </c>
      <c r="J1506">
        <f>_xlfn.XLOOKUP($A1506,Load!$B:$B,Load!K:K,0,)</f>
        <v>0</v>
      </c>
      <c r="K1506">
        <f>_xlfn.XLOOKUP($A1506,Load!$B:$B,Load!L:L,0,)</f>
        <v>0</v>
      </c>
      <c r="L1506">
        <f>_xlfn.XLOOKUP($A1506,Load!$B:$B,Load!M:M,0,)</f>
        <v>0</v>
      </c>
    </row>
    <row r="1507" spans="1:12" x14ac:dyDescent="0.25">
      <c r="B1507">
        <f>_xlfn.XLOOKUP($A1507,Load!$B:$B,Load!C:C,0,)</f>
        <v>0</v>
      </c>
      <c r="C1507">
        <f>_xlfn.XLOOKUP($A1507,Load!$B:$B,Load!D:D,0,)</f>
        <v>0</v>
      </c>
      <c r="D1507">
        <f>_xlfn.XLOOKUP($A1507,Load!$B:$B,Load!E:E,0,)</f>
        <v>0</v>
      </c>
      <c r="E1507">
        <f>_xlfn.XLOOKUP($A1507,Load!$B:$B,Load!F:F,0,)</f>
        <v>0</v>
      </c>
      <c r="F1507">
        <f>_xlfn.XLOOKUP($A1507,Load!$B:$B,Load!G:G,0,)</f>
        <v>0</v>
      </c>
      <c r="G1507">
        <f>_xlfn.XLOOKUP($A1507,Load!$B:$B,Load!H:H,0,)</f>
        <v>0</v>
      </c>
      <c r="H1507">
        <f>_xlfn.XLOOKUP($A1507,Load!$B:$B,Load!I:I,0,)</f>
        <v>0</v>
      </c>
      <c r="I1507">
        <f>_xlfn.XLOOKUP($A1507,Load!$B:$B,Load!J:J,0,)</f>
        <v>0</v>
      </c>
      <c r="J1507">
        <f>_xlfn.XLOOKUP($A1507,Load!$B:$B,Load!K:K,0,)</f>
        <v>0</v>
      </c>
      <c r="K1507">
        <f>_xlfn.XLOOKUP($A1507,Load!$B:$B,Load!L:L,0,)</f>
        <v>0</v>
      </c>
      <c r="L1507">
        <f>_xlfn.XLOOKUP($A1507,Load!$B:$B,Load!M:M,0,)</f>
        <v>0</v>
      </c>
    </row>
    <row r="1508" spans="1:12" x14ac:dyDescent="0.25">
      <c r="A1508" t="s">
        <v>196</v>
      </c>
      <c r="B1508" t="str">
        <f>_xlfn.XLOOKUP($A1508,Load!$B:$B,Load!C:C,0,)</f>
        <v>Mars Variety Pack</v>
      </c>
      <c r="C1508" t="str">
        <f>_xlfn.XLOOKUP($A1508,Load!$B:$B,Load!D:D,0,)</f>
        <v>Non-Chocolate Candy Only</v>
      </c>
      <c r="D1508" t="str">
        <f>_xlfn.XLOOKUP($A1508,Load!$B:$B,Load!E:E,0,)</f>
        <v>Variety / Mixed Flavors (Fruity, Sour, Seasonal Flavors)</v>
      </c>
      <c r="E1508" t="str">
        <f>_xlfn.XLOOKUP($A1508,Load!$B:$B,Load!F:F,0,)</f>
        <v>Mixed / Combo Packs (Gummy, Chewy, Taffy, etc.)</v>
      </c>
      <c r="F1508" t="str">
        <f>_xlfn.XLOOKUP($A1508,Load!$B:$B,Load!G:G,0,)</f>
        <v>Small Multipack (Less than 40 ct)</v>
      </c>
      <c r="G1508" t="str">
        <f>_xlfn.XLOOKUP($A1508,Load!$B:$B,Load!H:H,0,)</f>
        <v>Stand-Up Bag</v>
      </c>
      <c r="H1508" t="str">
        <f>_xlfn.XLOOKUP($A1508,Load!$B:$B,Load!I:I,0,)</f>
        <v>Everyday Candy Shapes (like Original, Gummy bear, Fruit, Jewels, etc.)</v>
      </c>
      <c r="I1508" t="str">
        <f>_xlfn.XLOOKUP($A1508,Load!$B:$B,Load!J:J,0,)</f>
        <v>Seasonal Graphics (Like Bat, Ghost, Pumpkin, Fall Leaves, Eyeballs, etc.)</v>
      </c>
      <c r="J1508" t="str">
        <f>_xlfn.XLOOKUP($A1508,Load!$B:$B,Load!K:K,0,)</f>
        <v>Fun Size / Treat Size</v>
      </c>
      <c r="K1508" t="str">
        <f>_xlfn.XLOOKUP($A1508,Load!$B:$B,Load!L:L,0,)</f>
        <v>Regular/Original Wrapping</v>
      </c>
      <c r="L1508" t="str">
        <f>_xlfn.XLOOKUP($A1508,Load!$B:$B,Load!M:M,0,)</f>
        <v>Multiple Brands / Variety Flavors or Form</v>
      </c>
    </row>
    <row r="1509" spans="1:12" x14ac:dyDescent="0.25">
      <c r="A1509" t="s">
        <v>201</v>
      </c>
      <c r="B1509" t="str">
        <f>_xlfn.XLOOKUP($A1509,Load!$B:$B,Load!C:C,0,)</f>
        <v>Mars Variety Pack</v>
      </c>
      <c r="C1509" t="str">
        <f>_xlfn.XLOOKUP($A1509,Load!$B:$B,Load!D:D,0,)</f>
        <v>Non-Chocolate Candy Only</v>
      </c>
      <c r="D1509" t="str">
        <f>_xlfn.XLOOKUP($A1509,Load!$B:$B,Load!E:E,0,)</f>
        <v>Variety / Mixed Flavors (Fruity, Sour, Seasonal Flavors)</v>
      </c>
      <c r="E1509" t="str">
        <f>_xlfn.XLOOKUP($A1509,Load!$B:$B,Load!F:F,0,)</f>
        <v>Mixed / Combo Packs (Gummy, Chewy, Taffy, etc.)</v>
      </c>
      <c r="F1509" t="str">
        <f>_xlfn.XLOOKUP($A1509,Load!$B:$B,Load!G:G,0,)</f>
        <v>Large Multipack (More than 80 ct)</v>
      </c>
      <c r="G1509" t="str">
        <f>_xlfn.XLOOKUP($A1509,Load!$B:$B,Load!H:H,0,)</f>
        <v>Stand-Up Bag</v>
      </c>
      <c r="H1509" t="str">
        <f>_xlfn.XLOOKUP($A1509,Load!$B:$B,Load!I:I,0,)</f>
        <v>Everyday Candy Shapes (like Original, Gummy bear, Fruit, Jewels, etc.)</v>
      </c>
      <c r="I1509" t="str">
        <f>_xlfn.XLOOKUP($A1509,Load!$B:$B,Load!J:J,0,)</f>
        <v>Everyday Graphics</v>
      </c>
      <c r="J1509" t="str">
        <f>_xlfn.XLOOKUP($A1509,Load!$B:$B,Load!K:K,0,)</f>
        <v>Fun Size / Treat Size</v>
      </c>
      <c r="K1509" t="str">
        <f>_xlfn.XLOOKUP($A1509,Load!$B:$B,Load!L:L,0,)</f>
        <v>Regular/Original Wrapping</v>
      </c>
      <c r="L1509" t="str">
        <f>_xlfn.XLOOKUP($A1509,Load!$B:$B,Load!M:M,0,)</f>
        <v>Multiple Brands / Variety Flavors or Form</v>
      </c>
    </row>
    <row r="1510" spans="1:12" x14ac:dyDescent="0.25">
      <c r="A1510" t="s">
        <v>113</v>
      </c>
      <c r="B1510" t="str">
        <f>_xlfn.XLOOKUP($A1510,Load!$B:$B,Load!C:C,0,)</f>
        <v>Fun Dip</v>
      </c>
      <c r="C1510" t="str">
        <f>_xlfn.XLOOKUP($A1510,Load!$B:$B,Load!D:D,0,)</f>
        <v>Non-Chocolate Candy Only</v>
      </c>
      <c r="D1510" t="str">
        <f>_xlfn.XLOOKUP($A1510,Load!$B:$B,Load!E:E,0,)</f>
        <v>Variety / Mixed Flavors (Fruity, Sour, Seasonal Flavors)</v>
      </c>
      <c r="E1510" t="str">
        <f>_xlfn.XLOOKUP($A1510,Load!$B:$B,Load!F:F,0,)</f>
        <v>Powder / Chalky</v>
      </c>
      <c r="F1510" t="str">
        <f>_xlfn.XLOOKUP($A1510,Load!$B:$B,Load!G:G,0,)</f>
        <v>Medium Multipack (40–80 ct)</v>
      </c>
      <c r="G1510" t="str">
        <f>_xlfn.XLOOKUP($A1510,Load!$B:$B,Load!H:H,0,)</f>
        <v>Box (theatre box, gift box, carton)</v>
      </c>
      <c r="H1510" t="str">
        <f>_xlfn.XLOOKUP($A1510,Load!$B:$B,Load!I:I,0,)</f>
        <v>Everyday Candy Shapes (like Original, Gummy bear, Fruit, Jewels, etc.)</v>
      </c>
      <c r="I1510" t="str">
        <f>_xlfn.XLOOKUP($A1510,Load!$B:$B,Load!J:J,0,)</f>
        <v>Seasonal Graphics (Like Bat, Ghost, Pumpkin, Fall Leaves, Eyeballs, etc.)</v>
      </c>
      <c r="J1510" t="str">
        <f>_xlfn.XLOOKUP($A1510,Load!$B:$B,Load!K:K,0,)</f>
        <v>Fun Size / Treat Size</v>
      </c>
      <c r="K1510" t="str">
        <f>_xlfn.XLOOKUP($A1510,Load!$B:$B,Load!L:L,0,)</f>
        <v>Regular/Original Wrapping</v>
      </c>
      <c r="L1510" t="str">
        <f>_xlfn.XLOOKUP($A1510,Load!$B:$B,Load!M:M,0,)</f>
        <v>Single Brand / Variety Flavors or Form</v>
      </c>
    </row>
    <row r="1511" spans="1:12" x14ac:dyDescent="0.25">
      <c r="B1511">
        <f>_xlfn.XLOOKUP($A1511,Load!$B:$B,Load!C:C,0,)</f>
        <v>0</v>
      </c>
      <c r="C1511">
        <f>_xlfn.XLOOKUP($A1511,Load!$B:$B,Load!D:D,0,)</f>
        <v>0</v>
      </c>
      <c r="D1511">
        <f>_xlfn.XLOOKUP($A1511,Load!$B:$B,Load!E:E,0,)</f>
        <v>0</v>
      </c>
      <c r="E1511">
        <f>_xlfn.XLOOKUP($A1511,Load!$B:$B,Load!F:F,0,)</f>
        <v>0</v>
      </c>
      <c r="F1511">
        <f>_xlfn.XLOOKUP($A1511,Load!$B:$B,Load!G:G,0,)</f>
        <v>0</v>
      </c>
      <c r="G1511">
        <f>_xlfn.XLOOKUP($A1511,Load!$B:$B,Load!H:H,0,)</f>
        <v>0</v>
      </c>
      <c r="H1511">
        <f>_xlfn.XLOOKUP($A1511,Load!$B:$B,Load!I:I,0,)</f>
        <v>0</v>
      </c>
      <c r="I1511">
        <f>_xlfn.XLOOKUP($A1511,Load!$B:$B,Load!J:J,0,)</f>
        <v>0</v>
      </c>
      <c r="J1511">
        <f>_xlfn.XLOOKUP($A1511,Load!$B:$B,Load!K:K,0,)</f>
        <v>0</v>
      </c>
      <c r="K1511">
        <f>_xlfn.XLOOKUP($A1511,Load!$B:$B,Load!L:L,0,)</f>
        <v>0</v>
      </c>
      <c r="L1511">
        <f>_xlfn.XLOOKUP($A1511,Load!$B:$B,Load!M:M,0,)</f>
        <v>0</v>
      </c>
    </row>
    <row r="1512" spans="1:12" x14ac:dyDescent="0.25">
      <c r="A1512" t="s">
        <v>180</v>
      </c>
      <c r="B1512" t="str">
        <f>_xlfn.XLOOKUP($A1512,Load!$B:$B,Load!C:C,0,)</f>
        <v>Mars Variety Pack</v>
      </c>
      <c r="C1512" t="str">
        <f>_xlfn.XLOOKUP($A1512,Load!$B:$B,Load!D:D,0,)</f>
        <v>Mix of Chocolate and Non-Chocolate Candy</v>
      </c>
      <c r="D1512" t="str">
        <f>_xlfn.XLOOKUP($A1512,Load!$B:$B,Load!E:E,0,)</f>
        <v>Variety / Mixed Flavors (Fruity, Sour, Seasonal Flavors)</v>
      </c>
      <c r="E1512" t="str">
        <f>_xlfn.XLOOKUP($A1512,Load!$B:$B,Load!F:F,0,)</f>
        <v>Mixed / Combo Packs (Gummy, Chewy, Taffy, etc.)</v>
      </c>
      <c r="F1512" t="str">
        <f>_xlfn.XLOOKUP($A1512,Load!$B:$B,Load!G:G,0,)</f>
        <v>Large Multipack (More than 80 ct)</v>
      </c>
      <c r="G1512" t="str">
        <f>_xlfn.XLOOKUP($A1512,Load!$B:$B,Load!H:H,0,)</f>
        <v>Stand-Up Bag</v>
      </c>
      <c r="H1512" t="str">
        <f>_xlfn.XLOOKUP($A1512,Load!$B:$B,Load!I:I,0,)</f>
        <v>Everyday Candy Shapes (like Original, Gummy bear, Fruit, Jewels, etc.)</v>
      </c>
      <c r="I1512" t="str">
        <f>_xlfn.XLOOKUP($A1512,Load!$B:$B,Load!J:J,0,)</f>
        <v>Seasonal Graphics (Like Bat, Ghost, Pumpkin, Fall Leaves, Eyeballs, etc.)</v>
      </c>
      <c r="J1512" t="str">
        <f>_xlfn.XLOOKUP($A1512,Load!$B:$B,Load!K:K,0,)</f>
        <v>Fun Size / Treat Size</v>
      </c>
      <c r="K1512" t="str">
        <f>_xlfn.XLOOKUP($A1512,Load!$B:$B,Load!L:L,0,)</f>
        <v>Regular/Original Wrapping</v>
      </c>
      <c r="L1512" t="str">
        <f>_xlfn.XLOOKUP($A1512,Load!$B:$B,Load!M:M,0,)</f>
        <v>Multiple Brands / Variety Flavors or Form</v>
      </c>
    </row>
    <row r="1513" spans="1:12" x14ac:dyDescent="0.25">
      <c r="A1513" t="s">
        <v>202</v>
      </c>
      <c r="B1513" t="str">
        <f>_xlfn.XLOOKUP($A1513,Load!$B:$B,Load!C:C,0,)</f>
        <v>Mars Variety Pack</v>
      </c>
      <c r="C1513" t="str">
        <f>_xlfn.XLOOKUP($A1513,Load!$B:$B,Load!D:D,0,)</f>
        <v>Mix of Chocolate and Non-Chocolate Candy</v>
      </c>
      <c r="D1513" t="str">
        <f>_xlfn.XLOOKUP($A1513,Load!$B:$B,Load!E:E,0,)</f>
        <v>Variety / Mixed Flavors (Fruity, Sour, Seasonal Flavors)</v>
      </c>
      <c r="E1513" t="str">
        <f>_xlfn.XLOOKUP($A1513,Load!$B:$B,Load!F:F,0,)</f>
        <v>Mixed / Combo Packs (Gummy, Chewy, Taffy, etc.)</v>
      </c>
      <c r="F1513" t="str">
        <f>_xlfn.XLOOKUP($A1513,Load!$B:$B,Load!G:G,0,)</f>
        <v>Large Multipack (More than 80 ct)</v>
      </c>
      <c r="G1513" t="str">
        <f>_xlfn.XLOOKUP($A1513,Load!$B:$B,Load!H:H,0,)</f>
        <v>Stand-Up Bag</v>
      </c>
      <c r="H1513" t="str">
        <f>_xlfn.XLOOKUP($A1513,Load!$B:$B,Load!I:I,0,)</f>
        <v>Everyday Candy Shapes (like Original, Gummy bear, Fruit, Jewels, etc.)</v>
      </c>
      <c r="I1513" t="str">
        <f>_xlfn.XLOOKUP($A1513,Load!$B:$B,Load!J:J,0,)</f>
        <v>Everyday Graphics</v>
      </c>
      <c r="J1513" t="str">
        <f>_xlfn.XLOOKUP($A1513,Load!$B:$B,Load!K:K,0,)</f>
        <v>Fun Size / Treat Size</v>
      </c>
      <c r="K1513" t="str">
        <f>_xlfn.XLOOKUP($A1513,Load!$B:$B,Load!L:L,0,)</f>
        <v>Regular/Original Wrapping</v>
      </c>
      <c r="L1513" t="str">
        <f>_xlfn.XLOOKUP($A1513,Load!$B:$B,Load!M:M,0,)</f>
        <v>Multiple Brands / Variety Flavors or Form</v>
      </c>
    </row>
    <row r="1514" spans="1:12" x14ac:dyDescent="0.25">
      <c r="B1514">
        <f>_xlfn.XLOOKUP($A1514,Load!$B:$B,Load!C:C,0,)</f>
        <v>0</v>
      </c>
      <c r="C1514">
        <f>_xlfn.XLOOKUP($A1514,Load!$B:$B,Load!D:D,0,)</f>
        <v>0</v>
      </c>
      <c r="D1514">
        <f>_xlfn.XLOOKUP($A1514,Load!$B:$B,Load!E:E,0,)</f>
        <v>0</v>
      </c>
      <c r="E1514">
        <f>_xlfn.XLOOKUP($A1514,Load!$B:$B,Load!F:F,0,)</f>
        <v>0</v>
      </c>
      <c r="F1514">
        <f>_xlfn.XLOOKUP($A1514,Load!$B:$B,Load!G:G,0,)</f>
        <v>0</v>
      </c>
      <c r="G1514">
        <f>_xlfn.XLOOKUP($A1514,Load!$B:$B,Load!H:H,0,)</f>
        <v>0</v>
      </c>
      <c r="H1514">
        <f>_xlfn.XLOOKUP($A1514,Load!$B:$B,Load!I:I,0,)</f>
        <v>0</v>
      </c>
      <c r="I1514">
        <f>_xlfn.XLOOKUP($A1514,Load!$B:$B,Load!J:J,0,)</f>
        <v>0</v>
      </c>
      <c r="J1514">
        <f>_xlfn.XLOOKUP($A1514,Load!$B:$B,Load!K:K,0,)</f>
        <v>0</v>
      </c>
      <c r="K1514">
        <f>_xlfn.XLOOKUP($A1514,Load!$B:$B,Load!L:L,0,)</f>
        <v>0</v>
      </c>
      <c r="L1514">
        <f>_xlfn.XLOOKUP($A1514,Load!$B:$B,Load!M:M,0,)</f>
        <v>0</v>
      </c>
    </row>
    <row r="1515" spans="1:12" x14ac:dyDescent="0.25">
      <c r="B1515">
        <f>_xlfn.XLOOKUP($A1515,Load!$B:$B,Load!C:C,0,)</f>
        <v>0</v>
      </c>
      <c r="C1515">
        <f>_xlfn.XLOOKUP($A1515,Load!$B:$B,Load!D:D,0,)</f>
        <v>0</v>
      </c>
      <c r="D1515">
        <f>_xlfn.XLOOKUP($A1515,Load!$B:$B,Load!E:E,0,)</f>
        <v>0</v>
      </c>
      <c r="E1515">
        <f>_xlfn.XLOOKUP($A1515,Load!$B:$B,Load!F:F,0,)</f>
        <v>0</v>
      </c>
      <c r="F1515">
        <f>_xlfn.XLOOKUP($A1515,Load!$B:$B,Load!G:G,0,)</f>
        <v>0</v>
      </c>
      <c r="G1515">
        <f>_xlfn.XLOOKUP($A1515,Load!$B:$B,Load!H:H,0,)</f>
        <v>0</v>
      </c>
      <c r="H1515">
        <f>_xlfn.XLOOKUP($A1515,Load!$B:$B,Load!I:I,0,)</f>
        <v>0</v>
      </c>
      <c r="I1515">
        <f>_xlfn.XLOOKUP($A1515,Load!$B:$B,Load!J:J,0,)</f>
        <v>0</v>
      </c>
      <c r="J1515">
        <f>_xlfn.XLOOKUP($A1515,Load!$B:$B,Load!K:K,0,)</f>
        <v>0</v>
      </c>
      <c r="K1515">
        <f>_xlfn.XLOOKUP($A1515,Load!$B:$B,Load!L:L,0,)</f>
        <v>0</v>
      </c>
      <c r="L1515">
        <f>_xlfn.XLOOKUP($A1515,Load!$B:$B,Load!M:M,0,)</f>
        <v>0</v>
      </c>
    </row>
    <row r="1516" spans="1:12" x14ac:dyDescent="0.25">
      <c r="A1516" t="s">
        <v>139</v>
      </c>
      <c r="B1516" t="str">
        <f>_xlfn.XLOOKUP($A1516,Load!$B:$B,Load!C:C,0,)</f>
        <v>Hershey's Variety Pack + Haribo</v>
      </c>
      <c r="C1516" t="str">
        <f>_xlfn.XLOOKUP($A1516,Load!$B:$B,Load!D:D,0,)</f>
        <v>Mix of Chocolate and Non-Chocolate Candy</v>
      </c>
      <c r="D1516" t="str">
        <f>_xlfn.XLOOKUP($A1516,Load!$B:$B,Load!E:E,0,)</f>
        <v>Variety / Mixed Flavors (Fruity, Sour, Seasonal Flavors)</v>
      </c>
      <c r="E1516" t="str">
        <f>_xlfn.XLOOKUP($A1516,Load!$B:$B,Load!F:F,0,)</f>
        <v>Mixed / Combo Packs (Gummy, Chewy, Taffy, etc.)</v>
      </c>
      <c r="F1516" t="str">
        <f>_xlfn.XLOOKUP($A1516,Load!$B:$B,Load!G:G,0,)</f>
        <v>Large Multipack (More than 80 ct)</v>
      </c>
      <c r="G1516" t="str">
        <f>_xlfn.XLOOKUP($A1516,Load!$B:$B,Load!H:H,0,)</f>
        <v>Stand-Up Bag</v>
      </c>
      <c r="H1516" t="str">
        <f>_xlfn.XLOOKUP($A1516,Load!$B:$B,Load!I:I,0,)</f>
        <v>Everyday Candy Shapes (like Original, Gummy bear, Fruit, Jewels, etc.)</v>
      </c>
      <c r="I1516" t="str">
        <f>_xlfn.XLOOKUP($A1516,Load!$B:$B,Load!J:J,0,)</f>
        <v>Seasonal Graphics (Like Bat, Ghost, Pumpkin, Fall Leaves, Eyeballs, etc.)</v>
      </c>
      <c r="J1516" t="str">
        <f>_xlfn.XLOOKUP($A1516,Load!$B:$B,Load!K:K,0,)</f>
        <v>Fun Size / Treat Size</v>
      </c>
      <c r="K1516" t="str">
        <f>_xlfn.XLOOKUP($A1516,Load!$B:$B,Load!L:L,0,)</f>
        <v>Regular/Original Wrapping</v>
      </c>
      <c r="L1516" t="str">
        <f>_xlfn.XLOOKUP($A1516,Load!$B:$B,Load!M:M,0,)</f>
        <v>Multiple Brands / Variety Flavors or Form</v>
      </c>
    </row>
    <row r="1517" spans="1:12" x14ac:dyDescent="0.25">
      <c r="A1517" t="s">
        <v>214</v>
      </c>
      <c r="B1517" t="str">
        <f>_xlfn.XLOOKUP($A1517,Load!$B:$B,Load!C:C,0,)</f>
        <v>Mars Variety Pack</v>
      </c>
      <c r="C1517" t="str">
        <f>_xlfn.XLOOKUP($A1517,Load!$B:$B,Load!D:D,0,)</f>
        <v>Mix of Chocolate and Non-Chocolate Candy</v>
      </c>
      <c r="D1517" t="str">
        <f>_xlfn.XLOOKUP($A1517,Load!$B:$B,Load!E:E,0,)</f>
        <v>Variety / Mixed Flavors (Fruity, Sour, Seasonal Flavors)</v>
      </c>
      <c r="E1517" t="str">
        <f>_xlfn.XLOOKUP($A1517,Load!$B:$B,Load!F:F,0,)</f>
        <v>Mixed / Combo Packs (Gummy, Chewy, Taffy, etc.)</v>
      </c>
      <c r="F1517" t="str">
        <f>_xlfn.XLOOKUP($A1517,Load!$B:$B,Load!G:G,0,)</f>
        <v>Large Multipack (More than 80 ct)</v>
      </c>
      <c r="G1517" t="str">
        <f>_xlfn.XLOOKUP($A1517,Load!$B:$B,Load!H:H,0,)</f>
        <v>Stand-Up Bag</v>
      </c>
      <c r="H1517" t="str">
        <f>_xlfn.XLOOKUP($A1517,Load!$B:$B,Load!I:I,0,)</f>
        <v>Everyday Candy Shapes (like Original, Gummy bear, Fruit, Jewels, etc.)</v>
      </c>
      <c r="I1517" t="str">
        <f>_xlfn.XLOOKUP($A1517,Load!$B:$B,Load!J:J,0,)</f>
        <v>Seasonal Graphics (Like Bat, Ghost, Pumpkin, Fall Leaves, Eyeballs, etc.)</v>
      </c>
      <c r="J1517" t="str">
        <f>_xlfn.XLOOKUP($A1517,Load!$B:$B,Load!K:K,0,)</f>
        <v>Fun Size / Treat Size</v>
      </c>
      <c r="K1517" t="str">
        <f>_xlfn.XLOOKUP($A1517,Load!$B:$B,Load!L:L,0,)</f>
        <v>Regular/Original Wrapping</v>
      </c>
      <c r="L1517" t="str">
        <f>_xlfn.XLOOKUP($A1517,Load!$B:$B,Load!M:M,0,)</f>
        <v>Multiple Brands / Variety Flavors or Form</v>
      </c>
    </row>
    <row r="1518" spans="1:12" x14ac:dyDescent="0.25">
      <c r="B1518">
        <f>_xlfn.XLOOKUP($A1518,Load!$B:$B,Load!C:C,0,)</f>
        <v>0</v>
      </c>
      <c r="C1518">
        <f>_xlfn.XLOOKUP($A1518,Load!$B:$B,Load!D:D,0,)</f>
        <v>0</v>
      </c>
      <c r="D1518">
        <f>_xlfn.XLOOKUP($A1518,Load!$B:$B,Load!E:E,0,)</f>
        <v>0</v>
      </c>
      <c r="E1518">
        <f>_xlfn.XLOOKUP($A1518,Load!$B:$B,Load!F:F,0,)</f>
        <v>0</v>
      </c>
      <c r="F1518">
        <f>_xlfn.XLOOKUP($A1518,Load!$B:$B,Load!G:G,0,)</f>
        <v>0</v>
      </c>
      <c r="G1518">
        <f>_xlfn.XLOOKUP($A1518,Load!$B:$B,Load!H:H,0,)</f>
        <v>0</v>
      </c>
      <c r="H1518">
        <f>_xlfn.XLOOKUP($A1518,Load!$B:$B,Load!I:I,0,)</f>
        <v>0</v>
      </c>
      <c r="I1518">
        <f>_xlfn.XLOOKUP($A1518,Load!$B:$B,Load!J:J,0,)</f>
        <v>0</v>
      </c>
      <c r="J1518">
        <f>_xlfn.XLOOKUP($A1518,Load!$B:$B,Load!K:K,0,)</f>
        <v>0</v>
      </c>
      <c r="K1518">
        <f>_xlfn.XLOOKUP($A1518,Load!$B:$B,Load!L:L,0,)</f>
        <v>0</v>
      </c>
      <c r="L1518">
        <f>_xlfn.XLOOKUP($A1518,Load!$B:$B,Load!M:M,0,)</f>
        <v>0</v>
      </c>
    </row>
    <row r="1519" spans="1:12" x14ac:dyDescent="0.25">
      <c r="B1519">
        <f>_xlfn.XLOOKUP($A1519,Load!$B:$B,Load!C:C,0,)</f>
        <v>0</v>
      </c>
      <c r="C1519">
        <f>_xlfn.XLOOKUP($A1519,Load!$B:$B,Load!D:D,0,)</f>
        <v>0</v>
      </c>
      <c r="D1519">
        <f>_xlfn.XLOOKUP($A1519,Load!$B:$B,Load!E:E,0,)</f>
        <v>0</v>
      </c>
      <c r="E1519">
        <f>_xlfn.XLOOKUP($A1519,Load!$B:$B,Load!F:F,0,)</f>
        <v>0</v>
      </c>
      <c r="F1519">
        <f>_xlfn.XLOOKUP($A1519,Load!$B:$B,Load!G:G,0,)</f>
        <v>0</v>
      </c>
      <c r="G1519">
        <f>_xlfn.XLOOKUP($A1519,Load!$B:$B,Load!H:H,0,)</f>
        <v>0</v>
      </c>
      <c r="H1519">
        <f>_xlfn.XLOOKUP($A1519,Load!$B:$B,Load!I:I,0,)</f>
        <v>0</v>
      </c>
      <c r="I1519">
        <f>_xlfn.XLOOKUP($A1519,Load!$B:$B,Load!J:J,0,)</f>
        <v>0</v>
      </c>
      <c r="J1519">
        <f>_xlfn.XLOOKUP($A1519,Load!$B:$B,Load!K:K,0,)</f>
        <v>0</v>
      </c>
      <c r="K1519">
        <f>_xlfn.XLOOKUP($A1519,Load!$B:$B,Load!L:L,0,)</f>
        <v>0</v>
      </c>
      <c r="L1519">
        <f>_xlfn.XLOOKUP($A1519,Load!$B:$B,Load!M:M,0,)</f>
        <v>0</v>
      </c>
    </row>
    <row r="1520" spans="1:12" x14ac:dyDescent="0.25">
      <c r="A1520" t="s">
        <v>71</v>
      </c>
      <c r="B1520" t="str">
        <f>_xlfn.XLOOKUP($A1520,Load!$B:$B,Load!C:C,0,)</f>
        <v>Dum Dums</v>
      </c>
      <c r="C1520" t="str">
        <f>_xlfn.XLOOKUP($A1520,Load!$B:$B,Load!D:D,0,)</f>
        <v>Non-Chocolate Candy Only</v>
      </c>
      <c r="D1520" t="str">
        <f>_xlfn.XLOOKUP($A1520,Load!$B:$B,Load!E:E,0,)</f>
        <v>Sweet</v>
      </c>
      <c r="E1520" t="str">
        <f>_xlfn.XLOOKUP($A1520,Load!$B:$B,Load!F:F,0,)</f>
        <v>Lollipop (regular or lollipop rings)</v>
      </c>
      <c r="F1520" t="str">
        <f>_xlfn.XLOOKUP($A1520,Load!$B:$B,Load!G:G,0,)</f>
        <v>Large Multipack (More than 80 ct)</v>
      </c>
      <c r="G1520" t="str">
        <f>_xlfn.XLOOKUP($A1520,Load!$B:$B,Load!H:H,0,)</f>
        <v>Stand-Up Bag</v>
      </c>
      <c r="H1520" t="str">
        <f>_xlfn.XLOOKUP($A1520,Load!$B:$B,Load!I:I,0,)</f>
        <v>Everyday Candy Shapes (like Original, Gummy bear, Fruit, Jewels, etc.)</v>
      </c>
      <c r="I1520" t="str">
        <f>_xlfn.XLOOKUP($A1520,Load!$B:$B,Load!J:J,0,)</f>
        <v>Seasonal Graphics (Like Bat, Ghost, Pumpkin, Fall Leaves, Eyeballs, etc.)</v>
      </c>
      <c r="J1520" t="str">
        <f>_xlfn.XLOOKUP($A1520,Load!$B:$B,Load!K:K,0,)</f>
        <v>Regular Lollipop size (on sticks or rings)</v>
      </c>
      <c r="K1520" t="str">
        <f>_xlfn.XLOOKUP($A1520,Load!$B:$B,Load!L:L,0,)</f>
        <v>Regular/Original Wrapping</v>
      </c>
      <c r="L1520" t="str">
        <f>_xlfn.XLOOKUP($A1520,Load!$B:$B,Load!M:M,0,)</f>
        <v>Multiple Brands / Variety Flavors or Form</v>
      </c>
    </row>
    <row r="1521" spans="1:12" x14ac:dyDescent="0.25">
      <c r="B1521">
        <f>_xlfn.XLOOKUP($A1521,Load!$B:$B,Load!C:C,0,)</f>
        <v>0</v>
      </c>
      <c r="C1521">
        <f>_xlfn.XLOOKUP($A1521,Load!$B:$B,Load!D:D,0,)</f>
        <v>0</v>
      </c>
      <c r="D1521">
        <f>_xlfn.XLOOKUP($A1521,Load!$B:$B,Load!E:E,0,)</f>
        <v>0</v>
      </c>
      <c r="E1521">
        <f>_xlfn.XLOOKUP($A1521,Load!$B:$B,Load!F:F,0,)</f>
        <v>0</v>
      </c>
      <c r="F1521">
        <f>_xlfn.XLOOKUP($A1521,Load!$B:$B,Load!G:G,0,)</f>
        <v>0</v>
      </c>
      <c r="G1521">
        <f>_xlfn.XLOOKUP($A1521,Load!$B:$B,Load!H:H,0,)</f>
        <v>0</v>
      </c>
      <c r="H1521">
        <f>_xlfn.XLOOKUP($A1521,Load!$B:$B,Load!I:I,0,)</f>
        <v>0</v>
      </c>
      <c r="I1521">
        <f>_xlfn.XLOOKUP($A1521,Load!$B:$B,Load!J:J,0,)</f>
        <v>0</v>
      </c>
      <c r="J1521">
        <f>_xlfn.XLOOKUP($A1521,Load!$B:$B,Load!K:K,0,)</f>
        <v>0</v>
      </c>
      <c r="K1521">
        <f>_xlfn.XLOOKUP($A1521,Load!$B:$B,Load!L:L,0,)</f>
        <v>0</v>
      </c>
      <c r="L1521">
        <f>_xlfn.XLOOKUP($A1521,Load!$B:$B,Load!M:M,0,)</f>
        <v>0</v>
      </c>
    </row>
    <row r="1522" spans="1:12" x14ac:dyDescent="0.25">
      <c r="B1522">
        <f>_xlfn.XLOOKUP($A1522,Load!$B:$B,Load!C:C,0,)</f>
        <v>0</v>
      </c>
      <c r="C1522">
        <f>_xlfn.XLOOKUP($A1522,Load!$B:$B,Load!D:D,0,)</f>
        <v>0</v>
      </c>
      <c r="D1522">
        <f>_xlfn.XLOOKUP($A1522,Load!$B:$B,Load!E:E,0,)</f>
        <v>0</v>
      </c>
      <c r="E1522">
        <f>_xlfn.XLOOKUP($A1522,Load!$B:$B,Load!F:F,0,)</f>
        <v>0</v>
      </c>
      <c r="F1522">
        <f>_xlfn.XLOOKUP($A1522,Load!$B:$B,Load!G:G,0,)</f>
        <v>0</v>
      </c>
      <c r="G1522">
        <f>_xlfn.XLOOKUP($A1522,Load!$B:$B,Load!H:H,0,)</f>
        <v>0</v>
      </c>
      <c r="H1522">
        <f>_xlfn.XLOOKUP($A1522,Load!$B:$B,Load!I:I,0,)</f>
        <v>0</v>
      </c>
      <c r="I1522">
        <f>_xlfn.XLOOKUP($A1522,Load!$B:$B,Load!J:J,0,)</f>
        <v>0</v>
      </c>
      <c r="J1522">
        <f>_xlfn.XLOOKUP($A1522,Load!$B:$B,Load!K:K,0,)</f>
        <v>0</v>
      </c>
      <c r="K1522">
        <f>_xlfn.XLOOKUP($A1522,Load!$B:$B,Load!L:L,0,)</f>
        <v>0</v>
      </c>
      <c r="L1522">
        <f>_xlfn.XLOOKUP($A1522,Load!$B:$B,Load!M:M,0,)</f>
        <v>0</v>
      </c>
    </row>
    <row r="1523" spans="1:12" x14ac:dyDescent="0.25">
      <c r="B1523">
        <f>_xlfn.XLOOKUP($A1523,Load!$B:$B,Load!C:C,0,)</f>
        <v>0</v>
      </c>
      <c r="C1523">
        <f>_xlfn.XLOOKUP($A1523,Load!$B:$B,Load!D:D,0,)</f>
        <v>0</v>
      </c>
      <c r="D1523">
        <f>_xlfn.XLOOKUP($A1523,Load!$B:$B,Load!E:E,0,)</f>
        <v>0</v>
      </c>
      <c r="E1523">
        <f>_xlfn.XLOOKUP($A1523,Load!$B:$B,Load!F:F,0,)</f>
        <v>0</v>
      </c>
      <c r="F1523">
        <f>_xlfn.XLOOKUP($A1523,Load!$B:$B,Load!G:G,0,)</f>
        <v>0</v>
      </c>
      <c r="G1523">
        <f>_xlfn.XLOOKUP($A1523,Load!$B:$B,Load!H:H,0,)</f>
        <v>0</v>
      </c>
      <c r="H1523">
        <f>_xlfn.XLOOKUP($A1523,Load!$B:$B,Load!I:I,0,)</f>
        <v>0</v>
      </c>
      <c r="I1523">
        <f>_xlfn.XLOOKUP($A1523,Load!$B:$B,Load!J:J,0,)</f>
        <v>0</v>
      </c>
      <c r="J1523">
        <f>_xlfn.XLOOKUP($A1523,Load!$B:$B,Load!K:K,0,)</f>
        <v>0</v>
      </c>
      <c r="K1523">
        <f>_xlfn.XLOOKUP($A1523,Load!$B:$B,Load!L:L,0,)</f>
        <v>0</v>
      </c>
      <c r="L1523">
        <f>_xlfn.XLOOKUP($A1523,Load!$B:$B,Load!M:M,0,)</f>
        <v>0</v>
      </c>
    </row>
    <row r="1524" spans="1:12" x14ac:dyDescent="0.25">
      <c r="B1524">
        <f>_xlfn.XLOOKUP($A1524,Load!$B:$B,Load!C:C,0,)</f>
        <v>0</v>
      </c>
      <c r="C1524">
        <f>_xlfn.XLOOKUP($A1524,Load!$B:$B,Load!D:D,0,)</f>
        <v>0</v>
      </c>
      <c r="D1524">
        <f>_xlfn.XLOOKUP($A1524,Load!$B:$B,Load!E:E,0,)</f>
        <v>0</v>
      </c>
      <c r="E1524">
        <f>_xlfn.XLOOKUP($A1524,Load!$B:$B,Load!F:F,0,)</f>
        <v>0</v>
      </c>
      <c r="F1524">
        <f>_xlfn.XLOOKUP($A1524,Load!$B:$B,Load!G:G,0,)</f>
        <v>0</v>
      </c>
      <c r="G1524">
        <f>_xlfn.XLOOKUP($A1524,Load!$B:$B,Load!H:H,0,)</f>
        <v>0</v>
      </c>
      <c r="H1524">
        <f>_xlfn.XLOOKUP($A1524,Load!$B:$B,Load!I:I,0,)</f>
        <v>0</v>
      </c>
      <c r="I1524">
        <f>_xlfn.XLOOKUP($A1524,Load!$B:$B,Load!J:J,0,)</f>
        <v>0</v>
      </c>
      <c r="J1524">
        <f>_xlfn.XLOOKUP($A1524,Load!$B:$B,Load!K:K,0,)</f>
        <v>0</v>
      </c>
      <c r="K1524">
        <f>_xlfn.XLOOKUP($A1524,Load!$B:$B,Load!L:L,0,)</f>
        <v>0</v>
      </c>
      <c r="L1524">
        <f>_xlfn.XLOOKUP($A1524,Load!$B:$B,Load!M:M,0,)</f>
        <v>0</v>
      </c>
    </row>
    <row r="1525" spans="1:12" x14ac:dyDescent="0.25">
      <c r="B1525">
        <f>_xlfn.XLOOKUP($A1525,Load!$B:$B,Load!C:C,0,)</f>
        <v>0</v>
      </c>
      <c r="C1525">
        <f>_xlfn.XLOOKUP($A1525,Load!$B:$B,Load!D:D,0,)</f>
        <v>0</v>
      </c>
      <c r="D1525">
        <f>_xlfn.XLOOKUP($A1525,Load!$B:$B,Load!E:E,0,)</f>
        <v>0</v>
      </c>
      <c r="E1525">
        <f>_xlfn.XLOOKUP($A1525,Load!$B:$B,Load!F:F,0,)</f>
        <v>0</v>
      </c>
      <c r="F1525">
        <f>_xlfn.XLOOKUP($A1525,Load!$B:$B,Load!G:G,0,)</f>
        <v>0</v>
      </c>
      <c r="G1525">
        <f>_xlfn.XLOOKUP($A1525,Load!$B:$B,Load!H:H,0,)</f>
        <v>0</v>
      </c>
      <c r="H1525">
        <f>_xlfn.XLOOKUP($A1525,Load!$B:$B,Load!I:I,0,)</f>
        <v>0</v>
      </c>
      <c r="I1525">
        <f>_xlfn.XLOOKUP($A1525,Load!$B:$B,Load!J:J,0,)</f>
        <v>0</v>
      </c>
      <c r="J1525">
        <f>_xlfn.XLOOKUP($A1525,Load!$B:$B,Load!K:K,0,)</f>
        <v>0</v>
      </c>
      <c r="K1525">
        <f>_xlfn.XLOOKUP($A1525,Load!$B:$B,Load!L:L,0,)</f>
        <v>0</v>
      </c>
      <c r="L1525">
        <f>_xlfn.XLOOKUP($A1525,Load!$B:$B,Load!M:M,0,)</f>
        <v>0</v>
      </c>
    </row>
    <row r="1526" spans="1:12" x14ac:dyDescent="0.25">
      <c r="A1526" t="s">
        <v>296</v>
      </c>
      <c r="B1526" t="str">
        <f>_xlfn.XLOOKUP($A1526,Load!$B:$B,Load!C:C,0,)</f>
        <v>Torie &amp; Howard</v>
      </c>
      <c r="C1526" t="str">
        <f>_xlfn.XLOOKUP($A1526,Load!$B:$B,Load!D:D,0,)</f>
        <v>Non-Chocolate Candy Only</v>
      </c>
      <c r="D1526" t="str">
        <f>_xlfn.XLOOKUP($A1526,Load!$B:$B,Load!E:E,0,)</f>
        <v>Fruit Flavor (Cherry, Grape, Apple, Citrus, Tropical Fruit)</v>
      </c>
      <c r="E1526" t="str">
        <f>_xlfn.XLOOKUP($A1526,Load!$B:$B,Load!F:F,0,)</f>
        <v>Lollipop (regular or lollipop rings)</v>
      </c>
      <c r="F1526" t="str">
        <f>_xlfn.XLOOKUP($A1526,Load!$B:$B,Load!G:G,0,)</f>
        <v>Medium Multipack (40–80 ct)</v>
      </c>
      <c r="G1526" t="str">
        <f>_xlfn.XLOOKUP($A1526,Load!$B:$B,Load!H:H,0,)</f>
        <v>Stand-Up Bag</v>
      </c>
      <c r="H1526" t="str">
        <f>_xlfn.XLOOKUP($A1526,Load!$B:$B,Load!I:I,0,)</f>
        <v>Everyday Candy Shapes (like Original, Gummy bear, Fruit, Jewels, etc.)</v>
      </c>
      <c r="I1526" t="str">
        <f>_xlfn.XLOOKUP($A1526,Load!$B:$B,Load!J:J,0,)</f>
        <v>Seasonal Graphics (Like Bat, Ghost, Pumpkin, Fall Leaves, Eyeballs, etc.)</v>
      </c>
      <c r="J1526" t="str">
        <f>_xlfn.XLOOKUP($A1526,Load!$B:$B,Load!K:K,0,)</f>
        <v>Regular Lollipop size (on sticks or rings)</v>
      </c>
      <c r="K1526" t="str">
        <f>_xlfn.XLOOKUP($A1526,Load!$B:$B,Load!L:L,0,)</f>
        <v>Regular/Original Wrapping</v>
      </c>
      <c r="L1526" t="str">
        <f>_xlfn.XLOOKUP($A1526,Load!$B:$B,Load!M:M,0,)</f>
        <v>Single Brand / Variety Flavors or Form</v>
      </c>
    </row>
    <row r="1527" spans="1:12" x14ac:dyDescent="0.25">
      <c r="B1527">
        <f>_xlfn.XLOOKUP($A1527,Load!$B:$B,Load!C:C,0,)</f>
        <v>0</v>
      </c>
      <c r="C1527">
        <f>_xlfn.XLOOKUP($A1527,Load!$B:$B,Load!D:D,0,)</f>
        <v>0</v>
      </c>
      <c r="D1527">
        <f>_xlfn.XLOOKUP($A1527,Load!$B:$B,Load!E:E,0,)</f>
        <v>0</v>
      </c>
      <c r="E1527">
        <f>_xlfn.XLOOKUP($A1527,Load!$B:$B,Load!F:F,0,)</f>
        <v>0</v>
      </c>
      <c r="F1527">
        <f>_xlfn.XLOOKUP($A1527,Load!$B:$B,Load!G:G,0,)</f>
        <v>0</v>
      </c>
      <c r="G1527">
        <f>_xlfn.XLOOKUP($A1527,Load!$B:$B,Load!H:H,0,)</f>
        <v>0</v>
      </c>
      <c r="H1527">
        <f>_xlfn.XLOOKUP($A1527,Load!$B:$B,Load!I:I,0,)</f>
        <v>0</v>
      </c>
      <c r="I1527">
        <f>_xlfn.XLOOKUP($A1527,Load!$B:$B,Load!J:J,0,)</f>
        <v>0</v>
      </c>
      <c r="J1527">
        <f>_xlfn.XLOOKUP($A1527,Load!$B:$B,Load!K:K,0,)</f>
        <v>0</v>
      </c>
      <c r="K1527">
        <f>_xlfn.XLOOKUP($A1527,Load!$B:$B,Load!L:L,0,)</f>
        <v>0</v>
      </c>
      <c r="L1527">
        <f>_xlfn.XLOOKUP($A1527,Load!$B:$B,Load!M:M,0,)</f>
        <v>0</v>
      </c>
    </row>
    <row r="1528" spans="1:12" x14ac:dyDescent="0.25">
      <c r="A1528" t="s">
        <v>109</v>
      </c>
      <c r="B1528" t="str">
        <f>_xlfn.XLOOKUP($A1528,Load!$B:$B,Load!C:C,0,)</f>
        <v>Frankford</v>
      </c>
      <c r="C1528" t="str">
        <f>_xlfn.XLOOKUP($A1528,Load!$B:$B,Load!D:D,0,)</f>
        <v>Non-Chocolate Candy Only</v>
      </c>
      <c r="D1528" t="str">
        <f>_xlfn.XLOOKUP($A1528,Load!$B:$B,Load!E:E,0,)</f>
        <v>Sour</v>
      </c>
      <c r="E1528" t="str">
        <f>_xlfn.XLOOKUP($A1528,Load!$B:$B,Load!F:F,0,)</f>
        <v>Mixed / Combo Packs (Gummy, Chewy, Taffy, etc.)</v>
      </c>
      <c r="F1528" t="str">
        <f>_xlfn.XLOOKUP($A1528,Load!$B:$B,Load!G:G,0,)</f>
        <v>Large Multipack (More than 80 ct)</v>
      </c>
      <c r="G1528" t="str">
        <f>_xlfn.XLOOKUP($A1528,Load!$B:$B,Load!H:H,0,)</f>
        <v>Laydown Bag</v>
      </c>
      <c r="H1528" t="str">
        <f>_xlfn.XLOOKUP($A1528,Load!$B:$B,Load!I:I,0,)</f>
        <v>Everyday Candy Shapes (like Original, Gummy bear, Fruit, Jewels, etc.)</v>
      </c>
      <c r="I1528" t="str">
        <f>_xlfn.XLOOKUP($A1528,Load!$B:$B,Load!J:J,0,)</f>
        <v>Seasonal Graphics (Like Bat, Ghost, Pumpkin, Fall Leaves, Eyeballs, etc.)</v>
      </c>
      <c r="J1528" t="str">
        <f>_xlfn.XLOOKUP($A1528,Load!$B:$B,Load!K:K,0,)</f>
        <v>Small Pieces (Tiny bite size candies)</v>
      </c>
      <c r="K1528" t="str">
        <f>_xlfn.XLOOKUP($A1528,Load!$B:$B,Load!L:L,0,)</f>
        <v>Regular/Original Wrapping</v>
      </c>
      <c r="L1528" t="str">
        <f>_xlfn.XLOOKUP($A1528,Load!$B:$B,Load!M:M,0,)</f>
        <v>Multiple Brands / Variety Flavors or Form</v>
      </c>
    </row>
    <row r="1529" spans="1:12" x14ac:dyDescent="0.25">
      <c r="A1529" t="s">
        <v>112</v>
      </c>
      <c r="B1529" t="str">
        <f>_xlfn.XLOOKUP($A1529,Load!$B:$B,Load!C:C,0,)</f>
        <v>Frankford</v>
      </c>
      <c r="C1529" t="str">
        <f>_xlfn.XLOOKUP($A1529,Load!$B:$B,Load!D:D,0,)</f>
        <v>Non-Chocolate Candy Only</v>
      </c>
      <c r="D1529" t="str">
        <f>_xlfn.XLOOKUP($A1529,Load!$B:$B,Load!E:E,0,)</f>
        <v>Sour</v>
      </c>
      <c r="E1529" t="str">
        <f>_xlfn.XLOOKUP($A1529,Load!$B:$B,Load!F:F,0,)</f>
        <v>Mixed / Combo Packs (Gummy, Chewy, Taffy, etc.)</v>
      </c>
      <c r="F1529" t="str">
        <f>_xlfn.XLOOKUP($A1529,Load!$B:$B,Load!G:G,0,)</f>
        <v>Large Multipack (More than 80 ct)</v>
      </c>
      <c r="G1529" t="str">
        <f>_xlfn.XLOOKUP($A1529,Load!$B:$B,Load!H:H,0,)</f>
        <v>Laydown Bag</v>
      </c>
      <c r="H1529" t="str">
        <f>_xlfn.XLOOKUP($A1529,Load!$B:$B,Load!I:I,0,)</f>
        <v>Everyday Candy Shapes (like Original, Gummy bear, Fruit, Jewels, etc.)</v>
      </c>
      <c r="I1529" t="str">
        <f>_xlfn.XLOOKUP($A1529,Load!$B:$B,Load!J:J,0,)</f>
        <v>Seasonal Graphics (Like Bat, Ghost, Pumpkin, Fall Leaves, Eyeballs, etc.)</v>
      </c>
      <c r="J1529" t="str">
        <f>_xlfn.XLOOKUP($A1529,Load!$B:$B,Load!K:K,0,)</f>
        <v>Small Pieces (Tiny bite size candies)</v>
      </c>
      <c r="K1529" t="str">
        <f>_xlfn.XLOOKUP($A1529,Load!$B:$B,Load!L:L,0,)</f>
        <v>Regular/Original Wrapping</v>
      </c>
      <c r="L1529" t="str">
        <f>_xlfn.XLOOKUP($A1529,Load!$B:$B,Load!M:M,0,)</f>
        <v>Multiple Brands / Variety Flavors or Form</v>
      </c>
    </row>
    <row r="1530" spans="1:12" x14ac:dyDescent="0.25">
      <c r="A1530" t="s">
        <v>280</v>
      </c>
      <c r="B1530" t="str">
        <f>_xlfn.XLOOKUP($A1530,Load!$B:$B,Load!C:C,0,)</f>
        <v>Sour Patch Kids</v>
      </c>
      <c r="C1530" t="str">
        <f>_xlfn.XLOOKUP($A1530,Load!$B:$B,Load!D:D,0,)</f>
        <v>Non-Chocolate Candy Only</v>
      </c>
      <c r="D1530" t="str">
        <f>_xlfn.XLOOKUP($A1530,Load!$B:$B,Load!E:E,0,)</f>
        <v>Sour</v>
      </c>
      <c r="E1530" t="str">
        <f>_xlfn.XLOOKUP($A1530,Load!$B:$B,Load!F:F,0,)</f>
        <v>Chewy</v>
      </c>
      <c r="F1530" t="str">
        <f>_xlfn.XLOOKUP($A1530,Load!$B:$B,Load!G:G,0,)</f>
        <v>Medium Multipack (40–80 ct)</v>
      </c>
      <c r="G1530" t="str">
        <f>_xlfn.XLOOKUP($A1530,Load!$B:$B,Load!H:H,0,)</f>
        <v>Laydown Bag</v>
      </c>
      <c r="H1530" t="str">
        <f>_xlfn.XLOOKUP($A1530,Load!$B:$B,Load!I:I,0,)</f>
        <v>Seasonal Shapes (like pumpkins, candy corn, ghost, bats, etc.)</v>
      </c>
      <c r="I1530" t="str">
        <f>_xlfn.XLOOKUP($A1530,Load!$B:$B,Load!J:J,0,)</f>
        <v>Seasonal Graphics (Like Bat, Ghost, Pumpkin, Fall Leaves, Eyeballs, etc.)</v>
      </c>
      <c r="J1530" t="str">
        <f>_xlfn.XLOOKUP($A1530,Load!$B:$B,Load!K:K,0,)</f>
        <v>Small Pieces (Tiny bite size candies)</v>
      </c>
      <c r="K1530" t="str">
        <f>_xlfn.XLOOKUP($A1530,Load!$B:$B,Load!L:L,0,)</f>
        <v>Regular/Original Wrapping</v>
      </c>
      <c r="L1530" t="str">
        <f>_xlfn.XLOOKUP($A1530,Load!$B:$B,Load!M:M,0,)</f>
        <v>Single Brand / Variety Flavors or Form</v>
      </c>
    </row>
    <row r="1531" spans="1:12" x14ac:dyDescent="0.25">
      <c r="B1531">
        <f>_xlfn.XLOOKUP($A1531,Load!$B:$B,Load!C:C,0,)</f>
        <v>0</v>
      </c>
      <c r="C1531">
        <f>_xlfn.XLOOKUP($A1531,Load!$B:$B,Load!D:D,0,)</f>
        <v>0</v>
      </c>
      <c r="D1531">
        <f>_xlfn.XLOOKUP($A1531,Load!$B:$B,Load!E:E,0,)</f>
        <v>0</v>
      </c>
      <c r="E1531">
        <f>_xlfn.XLOOKUP($A1531,Load!$B:$B,Load!F:F,0,)</f>
        <v>0</v>
      </c>
      <c r="F1531">
        <f>_xlfn.XLOOKUP($A1531,Load!$B:$B,Load!G:G,0,)</f>
        <v>0</v>
      </c>
      <c r="G1531">
        <f>_xlfn.XLOOKUP($A1531,Load!$B:$B,Load!H:H,0,)</f>
        <v>0</v>
      </c>
      <c r="H1531">
        <f>_xlfn.XLOOKUP($A1531,Load!$B:$B,Load!I:I,0,)</f>
        <v>0</v>
      </c>
      <c r="I1531">
        <f>_xlfn.XLOOKUP($A1531,Load!$B:$B,Load!J:J,0,)</f>
        <v>0</v>
      </c>
      <c r="J1531">
        <f>_xlfn.XLOOKUP($A1531,Load!$B:$B,Load!K:K,0,)</f>
        <v>0</v>
      </c>
      <c r="K1531">
        <f>_xlfn.XLOOKUP($A1531,Load!$B:$B,Load!L:L,0,)</f>
        <v>0</v>
      </c>
      <c r="L1531">
        <f>_xlfn.XLOOKUP($A1531,Load!$B:$B,Load!M:M,0,)</f>
        <v>0</v>
      </c>
    </row>
    <row r="1532" spans="1:12" x14ac:dyDescent="0.25">
      <c r="B1532">
        <f>_xlfn.XLOOKUP($A1532,Load!$B:$B,Load!C:C,0,)</f>
        <v>0</v>
      </c>
      <c r="C1532">
        <f>_xlfn.XLOOKUP($A1532,Load!$B:$B,Load!D:D,0,)</f>
        <v>0</v>
      </c>
      <c r="D1532">
        <f>_xlfn.XLOOKUP($A1532,Load!$B:$B,Load!E:E,0,)</f>
        <v>0</v>
      </c>
      <c r="E1532">
        <f>_xlfn.XLOOKUP($A1532,Load!$B:$B,Load!F:F,0,)</f>
        <v>0</v>
      </c>
      <c r="F1532">
        <f>_xlfn.XLOOKUP($A1532,Load!$B:$B,Load!G:G,0,)</f>
        <v>0</v>
      </c>
      <c r="G1532">
        <f>_xlfn.XLOOKUP($A1532,Load!$B:$B,Load!H:H,0,)</f>
        <v>0</v>
      </c>
      <c r="H1532">
        <f>_xlfn.XLOOKUP($A1532,Load!$B:$B,Load!I:I,0,)</f>
        <v>0</v>
      </c>
      <c r="I1532">
        <f>_xlfn.XLOOKUP($A1532,Load!$B:$B,Load!J:J,0,)</f>
        <v>0</v>
      </c>
      <c r="J1532">
        <f>_xlfn.XLOOKUP($A1532,Load!$B:$B,Load!K:K,0,)</f>
        <v>0</v>
      </c>
      <c r="K1532">
        <f>_xlfn.XLOOKUP($A1532,Load!$B:$B,Load!L:L,0,)</f>
        <v>0</v>
      </c>
      <c r="L1532">
        <f>_xlfn.XLOOKUP($A1532,Load!$B:$B,Load!M:M,0,)</f>
        <v>0</v>
      </c>
    </row>
    <row r="1533" spans="1:12" x14ac:dyDescent="0.25">
      <c r="B1533">
        <f>_xlfn.XLOOKUP($A1533,Load!$B:$B,Load!C:C,0,)</f>
        <v>0</v>
      </c>
      <c r="C1533">
        <f>_xlfn.XLOOKUP($A1533,Load!$B:$B,Load!D:D,0,)</f>
        <v>0</v>
      </c>
      <c r="D1533">
        <f>_xlfn.XLOOKUP($A1533,Load!$B:$B,Load!E:E,0,)</f>
        <v>0</v>
      </c>
      <c r="E1533">
        <f>_xlfn.XLOOKUP($A1533,Load!$B:$B,Load!F:F,0,)</f>
        <v>0</v>
      </c>
      <c r="F1533">
        <f>_xlfn.XLOOKUP($A1533,Load!$B:$B,Load!G:G,0,)</f>
        <v>0</v>
      </c>
      <c r="G1533">
        <f>_xlfn.XLOOKUP($A1533,Load!$B:$B,Load!H:H,0,)</f>
        <v>0</v>
      </c>
      <c r="H1533">
        <f>_xlfn.XLOOKUP($A1533,Load!$B:$B,Load!I:I,0,)</f>
        <v>0</v>
      </c>
      <c r="I1533">
        <f>_xlfn.XLOOKUP($A1533,Load!$B:$B,Load!J:J,0,)</f>
        <v>0</v>
      </c>
      <c r="J1533">
        <f>_xlfn.XLOOKUP($A1533,Load!$B:$B,Load!K:K,0,)</f>
        <v>0</v>
      </c>
      <c r="K1533">
        <f>_xlfn.XLOOKUP($A1533,Load!$B:$B,Load!L:L,0,)</f>
        <v>0</v>
      </c>
      <c r="L1533">
        <f>_xlfn.XLOOKUP($A1533,Load!$B:$B,Load!M:M,0,)</f>
        <v>0</v>
      </c>
    </row>
    <row r="1534" spans="1:12" x14ac:dyDescent="0.25">
      <c r="A1534" t="s">
        <v>214</v>
      </c>
      <c r="B1534" t="str">
        <f>_xlfn.XLOOKUP($A1534,Load!$B:$B,Load!C:C,0,)</f>
        <v>Mars Variety Pack</v>
      </c>
      <c r="C1534" t="str">
        <f>_xlfn.XLOOKUP($A1534,Load!$B:$B,Load!D:D,0,)</f>
        <v>Mix of Chocolate and Non-Chocolate Candy</v>
      </c>
      <c r="D1534" t="str">
        <f>_xlfn.XLOOKUP($A1534,Load!$B:$B,Load!E:E,0,)</f>
        <v>Variety / Mixed Flavors (Fruity, Sour, Seasonal Flavors)</v>
      </c>
      <c r="E1534" t="str">
        <f>_xlfn.XLOOKUP($A1534,Load!$B:$B,Load!F:F,0,)</f>
        <v>Mixed / Combo Packs (Gummy, Chewy, Taffy, etc.)</v>
      </c>
      <c r="F1534" t="str">
        <f>_xlfn.XLOOKUP($A1534,Load!$B:$B,Load!G:G,0,)</f>
        <v>Large Multipack (More than 80 ct)</v>
      </c>
      <c r="G1534" t="str">
        <f>_xlfn.XLOOKUP($A1534,Load!$B:$B,Load!H:H,0,)</f>
        <v>Stand-Up Bag</v>
      </c>
      <c r="H1534" t="str">
        <f>_xlfn.XLOOKUP($A1534,Load!$B:$B,Load!I:I,0,)</f>
        <v>Everyday Candy Shapes (like Original, Gummy bear, Fruit, Jewels, etc.)</v>
      </c>
      <c r="I1534" t="str">
        <f>_xlfn.XLOOKUP($A1534,Load!$B:$B,Load!J:J,0,)</f>
        <v>Seasonal Graphics (Like Bat, Ghost, Pumpkin, Fall Leaves, Eyeballs, etc.)</v>
      </c>
      <c r="J1534" t="str">
        <f>_xlfn.XLOOKUP($A1534,Load!$B:$B,Load!K:K,0,)</f>
        <v>Fun Size / Treat Size</v>
      </c>
      <c r="K1534" t="str">
        <f>_xlfn.XLOOKUP($A1534,Load!$B:$B,Load!L:L,0,)</f>
        <v>Regular/Original Wrapping</v>
      </c>
      <c r="L1534" t="str">
        <f>_xlfn.XLOOKUP($A1534,Load!$B:$B,Load!M:M,0,)</f>
        <v>Multiple Brands / Variety Flavors or Form</v>
      </c>
    </row>
    <row r="1535" spans="1:12" x14ac:dyDescent="0.25">
      <c r="B1535">
        <f>_xlfn.XLOOKUP($A1535,Load!$B:$B,Load!C:C,0,)</f>
        <v>0</v>
      </c>
      <c r="C1535">
        <f>_xlfn.XLOOKUP($A1535,Load!$B:$B,Load!D:D,0,)</f>
        <v>0</v>
      </c>
      <c r="D1535">
        <f>_xlfn.XLOOKUP($A1535,Load!$B:$B,Load!E:E,0,)</f>
        <v>0</v>
      </c>
      <c r="E1535">
        <f>_xlfn.XLOOKUP($A1535,Load!$B:$B,Load!F:F,0,)</f>
        <v>0</v>
      </c>
      <c r="F1535">
        <f>_xlfn.XLOOKUP($A1535,Load!$B:$B,Load!G:G,0,)</f>
        <v>0</v>
      </c>
      <c r="G1535">
        <f>_xlfn.XLOOKUP($A1535,Load!$B:$B,Load!H:H,0,)</f>
        <v>0</v>
      </c>
      <c r="H1535">
        <f>_xlfn.XLOOKUP($A1535,Load!$B:$B,Load!I:I,0,)</f>
        <v>0</v>
      </c>
      <c r="I1535">
        <f>_xlfn.XLOOKUP($A1535,Load!$B:$B,Load!J:J,0,)</f>
        <v>0</v>
      </c>
      <c r="J1535">
        <f>_xlfn.XLOOKUP($A1535,Load!$B:$B,Load!K:K,0,)</f>
        <v>0</v>
      </c>
      <c r="K1535">
        <f>_xlfn.XLOOKUP($A1535,Load!$B:$B,Load!L:L,0,)</f>
        <v>0</v>
      </c>
      <c r="L1535">
        <f>_xlfn.XLOOKUP($A1535,Load!$B:$B,Load!M:M,0,)</f>
        <v>0</v>
      </c>
    </row>
    <row r="1536" spans="1:12" x14ac:dyDescent="0.25">
      <c r="A1536" t="s">
        <v>184</v>
      </c>
      <c r="B1536" t="str">
        <f>_xlfn.XLOOKUP($A1536,Load!$B:$B,Load!C:C,0,)</f>
        <v>Mars Variety Pack</v>
      </c>
      <c r="C1536" t="str">
        <f>_xlfn.XLOOKUP($A1536,Load!$B:$B,Load!D:D,0,)</f>
        <v>Mix of Chocolate and Non-Chocolate Candy</v>
      </c>
      <c r="D1536" t="str">
        <f>_xlfn.XLOOKUP($A1536,Load!$B:$B,Load!E:E,0,)</f>
        <v>Variety / Mixed Flavors (Fruity, Sour, Seasonal Flavors)</v>
      </c>
      <c r="E1536" t="str">
        <f>_xlfn.XLOOKUP($A1536,Load!$B:$B,Load!F:F,0,)</f>
        <v>Mixed / Combo Packs (Gummy, Chewy, Taffy, etc.)</v>
      </c>
      <c r="F1536" t="str">
        <f>_xlfn.XLOOKUP($A1536,Load!$B:$B,Load!G:G,0,)</f>
        <v>Large Multipack (More than 80 ct)</v>
      </c>
      <c r="G1536" t="str">
        <f>_xlfn.XLOOKUP($A1536,Load!$B:$B,Load!H:H,0,)</f>
        <v>Stand-Up Bag</v>
      </c>
      <c r="H1536" t="str">
        <f>_xlfn.XLOOKUP($A1536,Load!$B:$B,Load!I:I,0,)</f>
        <v>Everyday Candy Shapes (like Original, Gummy bear, Fruit, Jewels, etc.)</v>
      </c>
      <c r="I1536" t="str">
        <f>_xlfn.XLOOKUP($A1536,Load!$B:$B,Load!J:J,0,)</f>
        <v>Seasonal Graphics (Like Bat, Ghost, Pumpkin, Fall Leaves, Eyeballs, etc.)</v>
      </c>
      <c r="J1536" t="str">
        <f>_xlfn.XLOOKUP($A1536,Load!$B:$B,Load!K:K,0,)</f>
        <v>Fun Size / Treat Size</v>
      </c>
      <c r="K1536" t="str">
        <f>_xlfn.XLOOKUP($A1536,Load!$B:$B,Load!L:L,0,)</f>
        <v>Regular/Original Wrapping</v>
      </c>
      <c r="L1536" t="str">
        <f>_xlfn.XLOOKUP($A1536,Load!$B:$B,Load!M:M,0,)</f>
        <v>Multiple Brands / Variety Flavors or Form</v>
      </c>
    </row>
    <row r="1537" spans="1:12" x14ac:dyDescent="0.25">
      <c r="B1537">
        <f>_xlfn.XLOOKUP($A1537,Load!$B:$B,Load!C:C,0,)</f>
        <v>0</v>
      </c>
      <c r="C1537">
        <f>_xlfn.XLOOKUP($A1537,Load!$B:$B,Load!D:D,0,)</f>
        <v>0</v>
      </c>
      <c r="D1537">
        <f>_xlfn.XLOOKUP($A1537,Load!$B:$B,Load!E:E,0,)</f>
        <v>0</v>
      </c>
      <c r="E1537">
        <f>_xlfn.XLOOKUP($A1537,Load!$B:$B,Load!F:F,0,)</f>
        <v>0</v>
      </c>
      <c r="F1537">
        <f>_xlfn.XLOOKUP($A1537,Load!$B:$B,Load!G:G,0,)</f>
        <v>0</v>
      </c>
      <c r="G1537">
        <f>_xlfn.XLOOKUP($A1537,Load!$B:$B,Load!H:H,0,)</f>
        <v>0</v>
      </c>
      <c r="H1537">
        <f>_xlfn.XLOOKUP($A1537,Load!$B:$B,Load!I:I,0,)</f>
        <v>0</v>
      </c>
      <c r="I1537">
        <f>_xlfn.XLOOKUP($A1537,Load!$B:$B,Load!J:J,0,)</f>
        <v>0</v>
      </c>
      <c r="J1537">
        <f>_xlfn.XLOOKUP($A1537,Load!$B:$B,Load!K:K,0,)</f>
        <v>0</v>
      </c>
      <c r="K1537">
        <f>_xlfn.XLOOKUP($A1537,Load!$B:$B,Load!L:L,0,)</f>
        <v>0</v>
      </c>
      <c r="L1537">
        <f>_xlfn.XLOOKUP($A1537,Load!$B:$B,Load!M:M,0,)</f>
        <v>0</v>
      </c>
    </row>
    <row r="1538" spans="1:12" x14ac:dyDescent="0.25">
      <c r="A1538" t="s">
        <v>220</v>
      </c>
      <c r="B1538" t="str">
        <f>_xlfn.XLOOKUP($A1538,Load!$B:$B,Load!C:C,0,)</f>
        <v>Mondelez Variety Pack</v>
      </c>
      <c r="C1538" t="str">
        <f>_xlfn.XLOOKUP($A1538,Load!$B:$B,Load!D:D,0,)</f>
        <v>Non-Chocolate Candy Only</v>
      </c>
      <c r="D1538" t="str">
        <f>_xlfn.XLOOKUP($A1538,Load!$B:$B,Load!E:E,0,)</f>
        <v>Variety / Mixed Flavors (Fruity, Sour, Seasonal Flavors)</v>
      </c>
      <c r="E1538" t="str">
        <f>_xlfn.XLOOKUP($A1538,Load!$B:$B,Load!F:F,0,)</f>
        <v>Chewy</v>
      </c>
      <c r="F1538" t="str">
        <f>_xlfn.XLOOKUP($A1538,Load!$B:$B,Load!G:G,0,)</f>
        <v>Large Multipack (More than 80 ct)</v>
      </c>
      <c r="G1538" t="str">
        <f>_xlfn.XLOOKUP($A1538,Load!$B:$B,Load!H:H,0,)</f>
        <v>Stand-Up Bag</v>
      </c>
      <c r="H1538" t="str">
        <f>_xlfn.XLOOKUP($A1538,Load!$B:$B,Load!I:I,0,)</f>
        <v>Seasonal Shapes (like pumpkins, candy corn, ghost, bats, etc.)</v>
      </c>
      <c r="I1538" t="str">
        <f>_xlfn.XLOOKUP($A1538,Load!$B:$B,Load!J:J,0,)</f>
        <v>Seasonal Graphics (Like Bat, Ghost, Pumpkin, Fall Leaves, Eyeballs, etc.)</v>
      </c>
      <c r="J1538" t="str">
        <f>_xlfn.XLOOKUP($A1538,Load!$B:$B,Load!K:K,0,)</f>
        <v>Small Pieces (Tiny bite size candies)</v>
      </c>
      <c r="K1538" t="str">
        <f>_xlfn.XLOOKUP($A1538,Load!$B:$B,Load!L:L,0,)</f>
        <v>Regular/Original Wrapping</v>
      </c>
      <c r="L1538" t="str">
        <f>_xlfn.XLOOKUP($A1538,Load!$B:$B,Load!M:M,0,)</f>
        <v>Single Brand / Variety Flavors or Form</v>
      </c>
    </row>
    <row r="1539" spans="1:12" x14ac:dyDescent="0.25">
      <c r="A1539" t="s">
        <v>121</v>
      </c>
      <c r="B1539" t="str">
        <f>_xlfn.XLOOKUP($A1539,Load!$B:$B,Load!C:C,0,)</f>
        <v>HARIBO</v>
      </c>
      <c r="C1539" t="str">
        <f>_xlfn.XLOOKUP($A1539,Load!$B:$B,Load!D:D,0,)</f>
        <v>Non-Chocolate Candy Only</v>
      </c>
      <c r="D1539" t="str">
        <f>_xlfn.XLOOKUP($A1539,Load!$B:$B,Load!E:E,0,)</f>
        <v>Variety / Mixed Flavors (Fruity, Sour, Seasonal Flavors)</v>
      </c>
      <c r="E1539" t="str">
        <f>_xlfn.XLOOKUP($A1539,Load!$B:$B,Load!F:F,0,)</f>
        <v>Gummy</v>
      </c>
      <c r="F1539" t="str">
        <f>_xlfn.XLOOKUP($A1539,Load!$B:$B,Load!G:G,0,)</f>
        <v>Large Multipack (More than 80 ct)</v>
      </c>
      <c r="G1539" t="str">
        <f>_xlfn.XLOOKUP($A1539,Load!$B:$B,Load!H:H,0,)</f>
        <v>Stand-Up Bag</v>
      </c>
      <c r="H1539" t="str">
        <f>_xlfn.XLOOKUP($A1539,Load!$B:$B,Load!I:I,0,)</f>
        <v>Seasonal Shapes (like pumpkins, candy corn, ghost, bats, etc.)</v>
      </c>
      <c r="I1539" t="str">
        <f>_xlfn.XLOOKUP($A1539,Load!$B:$B,Load!J:J,0,)</f>
        <v>Seasonal Graphics (Like Bat, Ghost, Pumpkin, Fall Leaves, Eyeballs, etc.)</v>
      </c>
      <c r="J1539" t="str">
        <f>_xlfn.XLOOKUP($A1539,Load!$B:$B,Load!K:K,0,)</f>
        <v>Fun Size / Treat Size</v>
      </c>
      <c r="K1539" t="str">
        <f>_xlfn.XLOOKUP($A1539,Load!$B:$B,Load!L:L,0,)</f>
        <v>Regular/Original Wrapping</v>
      </c>
      <c r="L1539" t="str">
        <f>_xlfn.XLOOKUP($A1539,Load!$B:$B,Load!M:M,0,)</f>
        <v>Multiple Brands / Variety Flavors or Form</v>
      </c>
    </row>
    <row r="1540" spans="1:12" x14ac:dyDescent="0.25">
      <c r="B1540">
        <f>_xlfn.XLOOKUP($A1540,Load!$B:$B,Load!C:C,0,)</f>
        <v>0</v>
      </c>
      <c r="C1540">
        <f>_xlfn.XLOOKUP($A1540,Load!$B:$B,Load!D:D,0,)</f>
        <v>0</v>
      </c>
      <c r="D1540">
        <f>_xlfn.XLOOKUP($A1540,Load!$B:$B,Load!E:E,0,)</f>
        <v>0</v>
      </c>
      <c r="E1540">
        <f>_xlfn.XLOOKUP($A1540,Load!$B:$B,Load!F:F,0,)</f>
        <v>0</v>
      </c>
      <c r="F1540">
        <f>_xlfn.XLOOKUP($A1540,Load!$B:$B,Load!G:G,0,)</f>
        <v>0</v>
      </c>
      <c r="G1540">
        <f>_xlfn.XLOOKUP($A1540,Load!$B:$B,Load!H:H,0,)</f>
        <v>0</v>
      </c>
      <c r="H1540">
        <f>_xlfn.XLOOKUP($A1540,Load!$B:$B,Load!I:I,0,)</f>
        <v>0</v>
      </c>
      <c r="I1540">
        <f>_xlfn.XLOOKUP($A1540,Load!$B:$B,Load!J:J,0,)</f>
        <v>0</v>
      </c>
      <c r="J1540">
        <f>_xlfn.XLOOKUP($A1540,Load!$B:$B,Load!K:K,0,)</f>
        <v>0</v>
      </c>
      <c r="K1540">
        <f>_xlfn.XLOOKUP($A1540,Load!$B:$B,Load!L:L,0,)</f>
        <v>0</v>
      </c>
      <c r="L1540">
        <f>_xlfn.XLOOKUP($A1540,Load!$B:$B,Load!M:M,0,)</f>
        <v>0</v>
      </c>
    </row>
    <row r="1541" spans="1:12" x14ac:dyDescent="0.25">
      <c r="B1541">
        <f>_xlfn.XLOOKUP($A1541,Load!$B:$B,Load!C:C,0,)</f>
        <v>0</v>
      </c>
      <c r="C1541">
        <f>_xlfn.XLOOKUP($A1541,Load!$B:$B,Load!D:D,0,)</f>
        <v>0</v>
      </c>
      <c r="D1541">
        <f>_xlfn.XLOOKUP($A1541,Load!$B:$B,Load!E:E,0,)</f>
        <v>0</v>
      </c>
      <c r="E1541">
        <f>_xlfn.XLOOKUP($A1541,Load!$B:$B,Load!F:F,0,)</f>
        <v>0</v>
      </c>
      <c r="F1541">
        <f>_xlfn.XLOOKUP($A1541,Load!$B:$B,Load!G:G,0,)</f>
        <v>0</v>
      </c>
      <c r="G1541">
        <f>_xlfn.XLOOKUP($A1541,Load!$B:$B,Load!H:H,0,)</f>
        <v>0</v>
      </c>
      <c r="H1541">
        <f>_xlfn.XLOOKUP($A1541,Load!$B:$B,Load!I:I,0,)</f>
        <v>0</v>
      </c>
      <c r="I1541">
        <f>_xlfn.XLOOKUP($A1541,Load!$B:$B,Load!J:J,0,)</f>
        <v>0</v>
      </c>
      <c r="J1541">
        <f>_xlfn.XLOOKUP($A1541,Load!$B:$B,Load!K:K,0,)</f>
        <v>0</v>
      </c>
      <c r="K1541">
        <f>_xlfn.XLOOKUP($A1541,Load!$B:$B,Load!L:L,0,)</f>
        <v>0</v>
      </c>
      <c r="L1541">
        <f>_xlfn.XLOOKUP($A1541,Load!$B:$B,Load!M:M,0,)</f>
        <v>0</v>
      </c>
    </row>
    <row r="1542" spans="1:12" x14ac:dyDescent="0.25">
      <c r="A1542" t="s">
        <v>108</v>
      </c>
      <c r="B1542" t="str">
        <f>_xlfn.XLOOKUP($A1542,Load!$B:$B,Load!C:C,0,)</f>
        <v>Frankford</v>
      </c>
      <c r="C1542" t="str">
        <f>_xlfn.XLOOKUP($A1542,Load!$B:$B,Load!D:D,0,)</f>
        <v>Non-Chocolate Candy Only</v>
      </c>
      <c r="D1542" t="str">
        <f>_xlfn.XLOOKUP($A1542,Load!$B:$B,Load!E:E,0,)</f>
        <v>Fruit Flavor (Cherry, Grape, Apple, Citrus, Tropical Fruit)</v>
      </c>
      <c r="E1542" t="str">
        <f>_xlfn.XLOOKUP($A1542,Load!$B:$B,Load!F:F,0,)</f>
        <v>Gummy</v>
      </c>
      <c r="F1542" t="str">
        <f>_xlfn.XLOOKUP($A1542,Load!$B:$B,Load!G:G,0,)</f>
        <v>Small Multipack (Less than 40 ct)</v>
      </c>
      <c r="G1542" t="str">
        <f>_xlfn.XLOOKUP($A1542,Load!$B:$B,Load!H:H,0,)</f>
        <v>Laydown Bag</v>
      </c>
      <c r="H1542" t="str">
        <f>_xlfn.XLOOKUP($A1542,Load!$B:$B,Load!I:I,0,)</f>
        <v>Everyday Candy Shapes (like Original, Gummy bear, Fruit, Jewels, etc.)</v>
      </c>
      <c r="I1542" t="str">
        <f>_xlfn.XLOOKUP($A1542,Load!$B:$B,Load!J:J,0,)</f>
        <v>Seasonal Graphics (Like Bat, Ghost, Pumpkin, Fall Leaves, Eyeballs, etc.)</v>
      </c>
      <c r="J1542" t="str">
        <f>_xlfn.XLOOKUP($A1542,Load!$B:$B,Load!K:K,0,)</f>
        <v>Fun Size / Treat Size</v>
      </c>
      <c r="K1542" t="str">
        <f>_xlfn.XLOOKUP($A1542,Load!$B:$B,Load!L:L,0,)</f>
        <v>Regular/Original Wrapping</v>
      </c>
      <c r="L1542" t="str">
        <f>_xlfn.XLOOKUP($A1542,Load!$B:$B,Load!M:M,0,)</f>
        <v>Single Brand / Single Flavor or Form</v>
      </c>
    </row>
    <row r="1543" spans="1:12" x14ac:dyDescent="0.25">
      <c r="B1543">
        <f>_xlfn.XLOOKUP($A1543,Load!$B:$B,Load!C:C,0,)</f>
        <v>0</v>
      </c>
      <c r="C1543">
        <f>_xlfn.XLOOKUP($A1543,Load!$B:$B,Load!D:D,0,)</f>
        <v>0</v>
      </c>
      <c r="D1543">
        <f>_xlfn.XLOOKUP($A1543,Load!$B:$B,Load!E:E,0,)</f>
        <v>0</v>
      </c>
      <c r="E1543">
        <f>_xlfn.XLOOKUP($A1543,Load!$B:$B,Load!F:F,0,)</f>
        <v>0</v>
      </c>
      <c r="F1543">
        <f>_xlfn.XLOOKUP($A1543,Load!$B:$B,Load!G:G,0,)</f>
        <v>0</v>
      </c>
      <c r="G1543">
        <f>_xlfn.XLOOKUP($A1543,Load!$B:$B,Load!H:H,0,)</f>
        <v>0</v>
      </c>
      <c r="H1543">
        <f>_xlfn.XLOOKUP($A1543,Load!$B:$B,Load!I:I,0,)</f>
        <v>0</v>
      </c>
      <c r="I1543">
        <f>_xlfn.XLOOKUP($A1543,Load!$B:$B,Load!J:J,0,)</f>
        <v>0</v>
      </c>
      <c r="J1543">
        <f>_xlfn.XLOOKUP($A1543,Load!$B:$B,Load!K:K,0,)</f>
        <v>0</v>
      </c>
      <c r="K1543">
        <f>_xlfn.XLOOKUP($A1543,Load!$B:$B,Load!L:L,0,)</f>
        <v>0</v>
      </c>
      <c r="L1543">
        <f>_xlfn.XLOOKUP($A1543,Load!$B:$B,Load!M:M,0,)</f>
        <v>0</v>
      </c>
    </row>
    <row r="1544" spans="1:12" x14ac:dyDescent="0.25">
      <c r="A1544" t="s">
        <v>207</v>
      </c>
      <c r="B1544" t="str">
        <f>_xlfn.XLOOKUP($A1544,Load!$B:$B,Load!C:C,0,)</f>
        <v>Mars Variety Pack</v>
      </c>
      <c r="C1544" t="str">
        <f>_xlfn.XLOOKUP($A1544,Load!$B:$B,Load!D:D,0,)</f>
        <v>Mix of Chocolate and Non-Chocolate Candy</v>
      </c>
      <c r="D1544" t="str">
        <f>_xlfn.XLOOKUP($A1544,Load!$B:$B,Load!E:E,0,)</f>
        <v>Variety / Mixed Flavors (Fruity, Sour, Seasonal Flavors)</v>
      </c>
      <c r="E1544" t="str">
        <f>_xlfn.XLOOKUP($A1544,Load!$B:$B,Load!F:F,0,)</f>
        <v>Mixed / Combo Packs (Gummy, Chewy, Taffy, etc.)</v>
      </c>
      <c r="F1544" t="str">
        <f>_xlfn.XLOOKUP($A1544,Load!$B:$B,Load!G:G,0,)</f>
        <v>Large Multipack (More than 80 ct)</v>
      </c>
      <c r="G1544" t="str">
        <f>_xlfn.XLOOKUP($A1544,Load!$B:$B,Load!H:H,0,)</f>
        <v>Stand-Up Bag</v>
      </c>
      <c r="H1544" t="str">
        <f>_xlfn.XLOOKUP($A1544,Load!$B:$B,Load!I:I,0,)</f>
        <v>Everyday Candy Shapes (like Original, Gummy bear, Fruit, Jewels, etc.)</v>
      </c>
      <c r="I1544" t="str">
        <f>_xlfn.XLOOKUP($A1544,Load!$B:$B,Load!J:J,0,)</f>
        <v>Everyday Graphics</v>
      </c>
      <c r="J1544" t="str">
        <f>_xlfn.XLOOKUP($A1544,Load!$B:$B,Load!K:K,0,)</f>
        <v>Fun Size / Treat Size</v>
      </c>
      <c r="K1544" t="str">
        <f>_xlfn.XLOOKUP($A1544,Load!$B:$B,Load!L:L,0,)</f>
        <v>Regular/Original Wrapping</v>
      </c>
      <c r="L1544" t="str">
        <f>_xlfn.XLOOKUP($A1544,Load!$B:$B,Load!M:M,0,)</f>
        <v>Multiple Brands / Variety Flavors or Form</v>
      </c>
    </row>
    <row r="1545" spans="1:12" x14ac:dyDescent="0.25">
      <c r="B1545">
        <f>_xlfn.XLOOKUP($A1545,Load!$B:$B,Load!C:C,0,)</f>
        <v>0</v>
      </c>
      <c r="C1545">
        <f>_xlfn.XLOOKUP($A1545,Load!$B:$B,Load!D:D,0,)</f>
        <v>0</v>
      </c>
      <c r="D1545">
        <f>_xlfn.XLOOKUP($A1545,Load!$B:$B,Load!E:E,0,)</f>
        <v>0</v>
      </c>
      <c r="E1545">
        <f>_xlfn.XLOOKUP($A1545,Load!$B:$B,Load!F:F,0,)</f>
        <v>0</v>
      </c>
      <c r="F1545">
        <f>_xlfn.XLOOKUP($A1545,Load!$B:$B,Load!G:G,0,)</f>
        <v>0</v>
      </c>
      <c r="G1545">
        <f>_xlfn.XLOOKUP($A1545,Load!$B:$B,Load!H:H,0,)</f>
        <v>0</v>
      </c>
      <c r="H1545">
        <f>_xlfn.XLOOKUP($A1545,Load!$B:$B,Load!I:I,0,)</f>
        <v>0</v>
      </c>
      <c r="I1545">
        <f>_xlfn.XLOOKUP($A1545,Load!$B:$B,Load!J:J,0,)</f>
        <v>0</v>
      </c>
      <c r="J1545">
        <f>_xlfn.XLOOKUP($A1545,Load!$B:$B,Load!K:K,0,)</f>
        <v>0</v>
      </c>
      <c r="K1545">
        <f>_xlfn.XLOOKUP($A1545,Load!$B:$B,Load!L:L,0,)</f>
        <v>0</v>
      </c>
      <c r="L1545">
        <f>_xlfn.XLOOKUP($A1545,Load!$B:$B,Load!M:M,0,)</f>
        <v>0</v>
      </c>
    </row>
    <row r="1546" spans="1:12" x14ac:dyDescent="0.25">
      <c r="A1546" t="s">
        <v>181</v>
      </c>
      <c r="B1546" t="str">
        <f>_xlfn.XLOOKUP($A1546,Load!$B:$B,Load!C:C,0,)</f>
        <v>Mars Variety Pack</v>
      </c>
      <c r="C1546" t="str">
        <f>_xlfn.XLOOKUP($A1546,Load!$B:$B,Load!D:D,0,)</f>
        <v>Mix of Chocolate and Non-Chocolate Candy</v>
      </c>
      <c r="D1546" t="str">
        <f>_xlfn.XLOOKUP($A1546,Load!$B:$B,Load!E:E,0,)</f>
        <v>Variety / Mixed Flavors (Fruity, Sour, Seasonal Flavors)</v>
      </c>
      <c r="E1546" t="str">
        <f>_xlfn.XLOOKUP($A1546,Load!$B:$B,Load!F:F,0,)</f>
        <v>Mixed / Combo Packs (Gummy, Chewy, Taffy, etc.)</v>
      </c>
      <c r="F1546" t="str">
        <f>_xlfn.XLOOKUP($A1546,Load!$B:$B,Load!G:G,0,)</f>
        <v>Large Multipack (More than 80 ct)</v>
      </c>
      <c r="G1546" t="str">
        <f>_xlfn.XLOOKUP($A1546,Load!$B:$B,Load!H:H,0,)</f>
        <v>Stand-Up Bag</v>
      </c>
      <c r="H1546" t="str">
        <f>_xlfn.XLOOKUP($A1546,Load!$B:$B,Load!I:I,0,)</f>
        <v>Everyday Candy Shapes (like Original, Gummy bear, Fruit, Jewels, etc.)</v>
      </c>
      <c r="I1546" t="str">
        <f>_xlfn.XLOOKUP($A1546,Load!$B:$B,Load!J:J,0,)</f>
        <v>Seasonal Graphics (Like Bat, Ghost, Pumpkin, Fall Leaves, Eyeballs, etc.)</v>
      </c>
      <c r="J1546" t="str">
        <f>_xlfn.XLOOKUP($A1546,Load!$B:$B,Load!K:K,0,)</f>
        <v>Fun Size / Treat Size</v>
      </c>
      <c r="K1546" t="str">
        <f>_xlfn.XLOOKUP($A1546,Load!$B:$B,Load!L:L,0,)</f>
        <v>Regular/Original Wrapping</v>
      </c>
      <c r="L1546" t="str">
        <f>_xlfn.XLOOKUP($A1546,Load!$B:$B,Load!M:M,0,)</f>
        <v>Multiple Brands / Variety Flavors or Form</v>
      </c>
    </row>
    <row r="1547" spans="1:12" x14ac:dyDescent="0.25">
      <c r="A1547" t="s">
        <v>175</v>
      </c>
      <c r="B1547" t="str">
        <f>_xlfn.XLOOKUP($A1547,Load!$B:$B,Load!C:C,0,)</f>
        <v>Mars Variety Pack</v>
      </c>
      <c r="C1547" t="str">
        <f>_xlfn.XLOOKUP($A1547,Load!$B:$B,Load!D:D,0,)</f>
        <v>Mix of Chocolate and Non-Chocolate Candy</v>
      </c>
      <c r="D1547" t="str">
        <f>_xlfn.XLOOKUP($A1547,Load!$B:$B,Load!E:E,0,)</f>
        <v>Variety / Mixed Flavors (Fruity, Sour, Seasonal Flavors)</v>
      </c>
      <c r="E1547" t="str">
        <f>_xlfn.XLOOKUP($A1547,Load!$B:$B,Load!F:F,0,)</f>
        <v>Mixed / Combo Packs (Gummy, Chewy, Taffy, etc.)</v>
      </c>
      <c r="F1547" t="str">
        <f>_xlfn.XLOOKUP($A1547,Load!$B:$B,Load!G:G,0,)</f>
        <v>Large Multipack (More than 80 ct)</v>
      </c>
      <c r="G1547" t="str">
        <f>_xlfn.XLOOKUP($A1547,Load!$B:$B,Load!H:H,0,)</f>
        <v>Stand-Up Bag</v>
      </c>
      <c r="H1547" t="str">
        <f>_xlfn.XLOOKUP($A1547,Load!$B:$B,Load!I:I,0,)</f>
        <v>Everyday Candy Shapes (like Original, Gummy bear, Fruit, Jewels, etc.)</v>
      </c>
      <c r="I1547" t="str">
        <f>_xlfn.XLOOKUP($A1547,Load!$B:$B,Load!J:J,0,)</f>
        <v>Seasonal Graphics (Like Bat, Ghost, Pumpkin, Fall Leaves, Eyeballs, etc.)</v>
      </c>
      <c r="J1547" t="str">
        <f>_xlfn.XLOOKUP($A1547,Load!$B:$B,Load!K:K,0,)</f>
        <v xml:space="preserve">Variety Candy Sizes </v>
      </c>
      <c r="K1547" t="str">
        <f>_xlfn.XLOOKUP($A1547,Load!$B:$B,Load!L:L,0,)</f>
        <v>Regular/Original Wrapping</v>
      </c>
      <c r="L1547" t="str">
        <f>_xlfn.XLOOKUP($A1547,Load!$B:$B,Load!M:M,0,)</f>
        <v>Multiple Brands / Variety Flavors or Form</v>
      </c>
    </row>
    <row r="1548" spans="1:12" x14ac:dyDescent="0.25">
      <c r="A1548" t="s">
        <v>222</v>
      </c>
      <c r="B1548" t="str">
        <f>_xlfn.XLOOKUP($A1548,Load!$B:$B,Load!C:C,0,)</f>
        <v>Nerds</v>
      </c>
      <c r="C1548" t="str">
        <f>_xlfn.XLOOKUP($A1548,Load!$B:$B,Load!D:D,0,)</f>
        <v>Non-Chocolate Candy Only</v>
      </c>
      <c r="D1548" t="str">
        <f>_xlfn.XLOOKUP($A1548,Load!$B:$B,Load!E:E,0,)</f>
        <v>Sweet</v>
      </c>
      <c r="E1548" t="str">
        <f>_xlfn.XLOOKUP($A1548,Load!$B:$B,Load!F:F,0,)</f>
        <v>Gummy</v>
      </c>
      <c r="F1548" t="str">
        <f>_xlfn.XLOOKUP($A1548,Load!$B:$B,Load!G:G,0,)</f>
        <v>Small Multipack (Less than 40 ct)</v>
      </c>
      <c r="G1548" t="str">
        <f>_xlfn.XLOOKUP($A1548,Load!$B:$B,Load!H:H,0,)</f>
        <v>Stand-Up Bag</v>
      </c>
      <c r="H1548" t="str">
        <f>_xlfn.XLOOKUP($A1548,Load!$B:$B,Load!I:I,0,)</f>
        <v>Everyday Candy Shapes (like Original, Gummy bear, Fruit, Jewels, etc.)</v>
      </c>
      <c r="I1548" t="str">
        <f>_xlfn.XLOOKUP($A1548,Load!$B:$B,Load!J:J,0,)</f>
        <v>Seasonal Graphics (Like Bat, Ghost, Pumpkin, Fall Leaves, Eyeballs, etc.)</v>
      </c>
      <c r="J1548" t="str">
        <f>_xlfn.XLOOKUP($A1548,Load!$B:$B,Load!K:K,0,)</f>
        <v>Fun Size / Treat Size</v>
      </c>
      <c r="K1548" t="str">
        <f>_xlfn.XLOOKUP($A1548,Load!$B:$B,Load!L:L,0,)</f>
        <v>Regular/Original Wrapping</v>
      </c>
      <c r="L1548" t="str">
        <f>_xlfn.XLOOKUP($A1548,Load!$B:$B,Load!M:M,0,)</f>
        <v>Single Brand / Variety Flavors or Form</v>
      </c>
    </row>
    <row r="1549" spans="1:12" x14ac:dyDescent="0.25">
      <c r="B1549">
        <f>_xlfn.XLOOKUP($A1549,Load!$B:$B,Load!C:C,0,)</f>
        <v>0</v>
      </c>
      <c r="C1549">
        <f>_xlfn.XLOOKUP($A1549,Load!$B:$B,Load!D:D,0,)</f>
        <v>0</v>
      </c>
      <c r="D1549">
        <f>_xlfn.XLOOKUP($A1549,Load!$B:$B,Load!E:E,0,)</f>
        <v>0</v>
      </c>
      <c r="E1549">
        <f>_xlfn.XLOOKUP($A1549,Load!$B:$B,Load!F:F,0,)</f>
        <v>0</v>
      </c>
      <c r="F1549">
        <f>_xlfn.XLOOKUP($A1549,Load!$B:$B,Load!G:G,0,)</f>
        <v>0</v>
      </c>
      <c r="G1549">
        <f>_xlfn.XLOOKUP($A1549,Load!$B:$B,Load!H:H,0,)</f>
        <v>0</v>
      </c>
      <c r="H1549">
        <f>_xlfn.XLOOKUP($A1549,Load!$B:$B,Load!I:I,0,)</f>
        <v>0</v>
      </c>
      <c r="I1549">
        <f>_xlfn.XLOOKUP($A1549,Load!$B:$B,Load!J:J,0,)</f>
        <v>0</v>
      </c>
      <c r="J1549">
        <f>_xlfn.XLOOKUP($A1549,Load!$B:$B,Load!K:K,0,)</f>
        <v>0</v>
      </c>
      <c r="K1549">
        <f>_xlfn.XLOOKUP($A1549,Load!$B:$B,Load!L:L,0,)</f>
        <v>0</v>
      </c>
      <c r="L1549">
        <f>_xlfn.XLOOKUP($A1549,Load!$B:$B,Load!M:M,0,)</f>
        <v>0</v>
      </c>
    </row>
    <row r="1550" spans="1:12" x14ac:dyDescent="0.25">
      <c r="B1550">
        <f>_xlfn.XLOOKUP($A1550,Load!$B:$B,Load!C:C,0,)</f>
        <v>0</v>
      </c>
      <c r="C1550">
        <f>_xlfn.XLOOKUP($A1550,Load!$B:$B,Load!D:D,0,)</f>
        <v>0</v>
      </c>
      <c r="D1550">
        <f>_xlfn.XLOOKUP($A1550,Load!$B:$B,Load!E:E,0,)</f>
        <v>0</v>
      </c>
      <c r="E1550">
        <f>_xlfn.XLOOKUP($A1550,Load!$B:$B,Load!F:F,0,)</f>
        <v>0</v>
      </c>
      <c r="F1550">
        <f>_xlfn.XLOOKUP($A1550,Load!$B:$B,Load!G:G,0,)</f>
        <v>0</v>
      </c>
      <c r="G1550">
        <f>_xlfn.XLOOKUP($A1550,Load!$B:$B,Load!H:H,0,)</f>
        <v>0</v>
      </c>
      <c r="H1550">
        <f>_xlfn.XLOOKUP($A1550,Load!$B:$B,Load!I:I,0,)</f>
        <v>0</v>
      </c>
      <c r="I1550">
        <f>_xlfn.XLOOKUP($A1550,Load!$B:$B,Load!J:J,0,)</f>
        <v>0</v>
      </c>
      <c r="J1550">
        <f>_xlfn.XLOOKUP($A1550,Load!$B:$B,Load!K:K,0,)</f>
        <v>0</v>
      </c>
      <c r="K1550">
        <f>_xlfn.XLOOKUP($A1550,Load!$B:$B,Load!L:L,0,)</f>
        <v>0</v>
      </c>
      <c r="L1550">
        <f>_xlfn.XLOOKUP($A1550,Load!$B:$B,Load!M:M,0,)</f>
        <v>0</v>
      </c>
    </row>
    <row r="1551" spans="1:12" x14ac:dyDescent="0.25">
      <c r="B1551">
        <f>_xlfn.XLOOKUP($A1551,Load!$B:$B,Load!C:C,0,)</f>
        <v>0</v>
      </c>
      <c r="C1551">
        <f>_xlfn.XLOOKUP($A1551,Load!$B:$B,Load!D:D,0,)</f>
        <v>0</v>
      </c>
      <c r="D1551">
        <f>_xlfn.XLOOKUP($A1551,Load!$B:$B,Load!E:E,0,)</f>
        <v>0</v>
      </c>
      <c r="E1551">
        <f>_xlfn.XLOOKUP($A1551,Load!$B:$B,Load!F:F,0,)</f>
        <v>0</v>
      </c>
      <c r="F1551">
        <f>_xlfn.XLOOKUP($A1551,Load!$B:$B,Load!G:G,0,)</f>
        <v>0</v>
      </c>
      <c r="G1551">
        <f>_xlfn.XLOOKUP($A1551,Load!$B:$B,Load!H:H,0,)</f>
        <v>0</v>
      </c>
      <c r="H1551">
        <f>_xlfn.XLOOKUP($A1551,Load!$B:$B,Load!I:I,0,)</f>
        <v>0</v>
      </c>
      <c r="I1551">
        <f>_xlfn.XLOOKUP($A1551,Load!$B:$B,Load!J:J,0,)</f>
        <v>0</v>
      </c>
      <c r="J1551">
        <f>_xlfn.XLOOKUP($A1551,Load!$B:$B,Load!K:K,0,)</f>
        <v>0</v>
      </c>
      <c r="K1551">
        <f>_xlfn.XLOOKUP($A1551,Load!$B:$B,Load!L:L,0,)</f>
        <v>0</v>
      </c>
      <c r="L1551">
        <f>_xlfn.XLOOKUP($A1551,Load!$B:$B,Load!M:M,0,)</f>
        <v>0</v>
      </c>
    </row>
    <row r="1552" spans="1:12" x14ac:dyDescent="0.25">
      <c r="A1552" t="s">
        <v>173</v>
      </c>
      <c r="B1552" t="str">
        <f>_xlfn.XLOOKUP($A1552,Load!$B:$B,Load!C:C,0,)</f>
        <v>Mars Variety Pack</v>
      </c>
      <c r="C1552" t="str">
        <f>_xlfn.XLOOKUP($A1552,Load!$B:$B,Load!D:D,0,)</f>
        <v>Mix of Chocolate and Non-Chocolate Candy</v>
      </c>
      <c r="D1552" t="str">
        <f>_xlfn.XLOOKUP($A1552,Load!$B:$B,Load!E:E,0,)</f>
        <v>Variety / Mixed Flavors (Fruity, Sour, Seasonal Flavors)</v>
      </c>
      <c r="E1552" t="str">
        <f>_xlfn.XLOOKUP($A1552,Load!$B:$B,Load!F:F,0,)</f>
        <v>Mixed / Combo Packs (Gummy, Chewy, Taffy, etc.)</v>
      </c>
      <c r="F1552" t="str">
        <f>_xlfn.XLOOKUP($A1552,Load!$B:$B,Load!G:G,0,)</f>
        <v>Large Multipack (More than 80 ct)</v>
      </c>
      <c r="G1552" t="str">
        <f>_xlfn.XLOOKUP($A1552,Load!$B:$B,Load!H:H,0,)</f>
        <v>Stand-Up Bag</v>
      </c>
      <c r="H1552" t="str">
        <f>_xlfn.XLOOKUP($A1552,Load!$B:$B,Load!I:I,0,)</f>
        <v>Everyday Candy Shapes (like Original, Gummy bear, Fruit, Jewels, etc.)</v>
      </c>
      <c r="I1552" t="str">
        <f>_xlfn.XLOOKUP($A1552,Load!$B:$B,Load!J:J,0,)</f>
        <v>Seasonal Graphics (Like Bat, Ghost, Pumpkin, Fall Leaves, Eyeballs, etc.)</v>
      </c>
      <c r="J1552" t="str">
        <f>_xlfn.XLOOKUP($A1552,Load!$B:$B,Load!K:K,0,)</f>
        <v>Fun Size / Treat Size</v>
      </c>
      <c r="K1552" t="str">
        <f>_xlfn.XLOOKUP($A1552,Load!$B:$B,Load!L:L,0,)</f>
        <v>Regular/Original Wrapping</v>
      </c>
      <c r="L1552" t="str">
        <f>_xlfn.XLOOKUP($A1552,Load!$B:$B,Load!M:M,0,)</f>
        <v>Multiple Brands / Variety Flavors or Form</v>
      </c>
    </row>
    <row r="1553" spans="1:12" x14ac:dyDescent="0.25">
      <c r="B1553">
        <f>_xlfn.XLOOKUP($A1553,Load!$B:$B,Load!C:C,0,)</f>
        <v>0</v>
      </c>
      <c r="C1553">
        <f>_xlfn.XLOOKUP($A1553,Load!$B:$B,Load!D:D,0,)</f>
        <v>0</v>
      </c>
      <c r="D1553">
        <f>_xlfn.XLOOKUP($A1553,Load!$B:$B,Load!E:E,0,)</f>
        <v>0</v>
      </c>
      <c r="E1553">
        <f>_xlfn.XLOOKUP($A1553,Load!$B:$B,Load!F:F,0,)</f>
        <v>0</v>
      </c>
      <c r="F1553">
        <f>_xlfn.XLOOKUP($A1553,Load!$B:$B,Load!G:G,0,)</f>
        <v>0</v>
      </c>
      <c r="G1553">
        <f>_xlfn.XLOOKUP($A1553,Load!$B:$B,Load!H:H,0,)</f>
        <v>0</v>
      </c>
      <c r="H1553">
        <f>_xlfn.XLOOKUP($A1553,Load!$B:$B,Load!I:I,0,)</f>
        <v>0</v>
      </c>
      <c r="I1553">
        <f>_xlfn.XLOOKUP($A1553,Load!$B:$B,Load!J:J,0,)</f>
        <v>0</v>
      </c>
      <c r="J1553">
        <f>_xlfn.XLOOKUP($A1553,Load!$B:$B,Load!K:K,0,)</f>
        <v>0</v>
      </c>
      <c r="K1553">
        <f>_xlfn.XLOOKUP($A1553,Load!$B:$B,Load!L:L,0,)</f>
        <v>0</v>
      </c>
      <c r="L1553">
        <f>_xlfn.XLOOKUP($A1553,Load!$B:$B,Load!M:M,0,)</f>
        <v>0</v>
      </c>
    </row>
    <row r="1554" spans="1:12" x14ac:dyDescent="0.25">
      <c r="A1554" t="s">
        <v>219</v>
      </c>
      <c r="B1554" t="str">
        <f>_xlfn.XLOOKUP($A1554,Load!$B:$B,Load!C:C,0,)</f>
        <v>Mondelez Variety Pack</v>
      </c>
      <c r="C1554" t="str">
        <f>_xlfn.XLOOKUP($A1554,Load!$B:$B,Load!D:D,0,)</f>
        <v>Non-Chocolate Candy Only</v>
      </c>
      <c r="D1554" t="str">
        <f>_xlfn.XLOOKUP($A1554,Load!$B:$B,Load!E:E,0,)</f>
        <v>Sour</v>
      </c>
      <c r="E1554" t="str">
        <f>_xlfn.XLOOKUP($A1554,Load!$B:$B,Load!F:F,0,)</f>
        <v>Chewy</v>
      </c>
      <c r="F1554" t="str">
        <f>_xlfn.XLOOKUP($A1554,Load!$B:$B,Load!G:G,0,)</f>
        <v>Medium Multipack (40–80 ct)</v>
      </c>
      <c r="G1554" t="str">
        <f>_xlfn.XLOOKUP($A1554,Load!$B:$B,Load!H:H,0,)</f>
        <v>Stand-Up Bag</v>
      </c>
      <c r="H1554" t="str">
        <f>_xlfn.XLOOKUP($A1554,Load!$B:$B,Load!I:I,0,)</f>
        <v>Everyday Candy Shapes (like Original, Gummy bear, Fruit, Jewels, etc.)</v>
      </c>
      <c r="I1554" t="str">
        <f>_xlfn.XLOOKUP($A1554,Load!$B:$B,Load!J:J,0,)</f>
        <v>Seasonal Graphics (Like Bat, Ghost, Pumpkin, Fall Leaves, Eyeballs, etc.)</v>
      </c>
      <c r="J1554" t="str">
        <f>_xlfn.XLOOKUP($A1554,Load!$B:$B,Load!K:K,0,)</f>
        <v>Small Pieces (Tiny bite size candies)</v>
      </c>
      <c r="K1554" t="str">
        <f>_xlfn.XLOOKUP($A1554,Load!$B:$B,Load!L:L,0,)</f>
        <v>Regular/Original Wrapping</v>
      </c>
      <c r="L1554" t="str">
        <f>_xlfn.XLOOKUP($A1554,Load!$B:$B,Load!M:M,0,)</f>
        <v>Multiple Brands / Variety Flavors or Form</v>
      </c>
    </row>
    <row r="1555" spans="1:12" x14ac:dyDescent="0.25">
      <c r="A1555" t="s">
        <v>89</v>
      </c>
      <c r="B1555" t="str">
        <f>_xlfn.XLOOKUP($A1555,Load!$B:$B,Load!C:C,0,)</f>
        <v>Ferrara Variety Pack</v>
      </c>
      <c r="C1555" t="str">
        <f>_xlfn.XLOOKUP($A1555,Load!$B:$B,Load!D:D,0,)</f>
        <v>Non-Chocolate Candy Only</v>
      </c>
      <c r="D1555" t="str">
        <f>_xlfn.XLOOKUP($A1555,Load!$B:$B,Load!E:E,0,)</f>
        <v>Variety / Mixed Flavors (Fruity, Sour, Seasonal Flavors)</v>
      </c>
      <c r="E1555" t="str">
        <f>_xlfn.XLOOKUP($A1555,Load!$B:$B,Load!F:F,0,)</f>
        <v>Mixed / Combo Packs (Gummy, Chewy, Taffy, etc.)</v>
      </c>
      <c r="F1555" t="str">
        <f>_xlfn.XLOOKUP($A1555,Load!$B:$B,Load!G:G,0,)</f>
        <v>Medium Multipack (40–80 ct)</v>
      </c>
      <c r="G1555" t="str">
        <f>_xlfn.XLOOKUP($A1555,Load!$B:$B,Load!H:H,0,)</f>
        <v>Stand-Up Bag</v>
      </c>
      <c r="H1555" t="str">
        <f>_xlfn.XLOOKUP($A1555,Load!$B:$B,Load!I:I,0,)</f>
        <v>Everyday Candy Shapes (like Original, Gummy bear, Fruit, Jewels, etc.)</v>
      </c>
      <c r="I1555" t="str">
        <f>_xlfn.XLOOKUP($A1555,Load!$B:$B,Load!J:J,0,)</f>
        <v>Seasonal Graphics (Like Bat, Ghost, Pumpkin, Fall Leaves, Eyeballs, etc.)</v>
      </c>
      <c r="J1555" t="str">
        <f>_xlfn.XLOOKUP($A1555,Load!$B:$B,Load!K:K,0,)</f>
        <v xml:space="preserve">Variety Candy Sizes </v>
      </c>
      <c r="K1555" t="str">
        <f>_xlfn.XLOOKUP($A1555,Load!$B:$B,Load!L:L,0,)</f>
        <v>Regular/Original Wrapping</v>
      </c>
      <c r="L1555" t="str">
        <f>_xlfn.XLOOKUP($A1555,Load!$B:$B,Load!M:M,0,)</f>
        <v>Multiple Brands / Variety Flavors or Form</v>
      </c>
    </row>
    <row r="1556" spans="1:12" x14ac:dyDescent="0.25">
      <c r="A1556" t="s">
        <v>178</v>
      </c>
      <c r="B1556" t="str">
        <f>_xlfn.XLOOKUP($A1556,Load!$B:$B,Load!C:C,0,)</f>
        <v>Mars Variety Pack</v>
      </c>
      <c r="C1556" t="str">
        <f>_xlfn.XLOOKUP($A1556,Load!$B:$B,Load!D:D,0,)</f>
        <v>Mix of Chocolate and Non-Chocolate Candy</v>
      </c>
      <c r="D1556" t="str">
        <f>_xlfn.XLOOKUP($A1556,Load!$B:$B,Load!E:E,0,)</f>
        <v>Variety / Mixed Flavors (Fruity, Sour, Seasonal Flavors)</v>
      </c>
      <c r="E1556" t="str">
        <f>_xlfn.XLOOKUP($A1556,Load!$B:$B,Load!F:F,0,)</f>
        <v>Mixed / Combo Packs (Gummy, Chewy, Taffy, etc.)</v>
      </c>
      <c r="F1556" t="str">
        <f>_xlfn.XLOOKUP($A1556,Load!$B:$B,Load!G:G,0,)</f>
        <v>Small Multipack (Less than 40 ct)</v>
      </c>
      <c r="G1556" t="str">
        <f>_xlfn.XLOOKUP($A1556,Load!$B:$B,Load!H:H,0,)</f>
        <v>Laydown Bag</v>
      </c>
      <c r="H1556" t="str">
        <f>_xlfn.XLOOKUP($A1556,Load!$B:$B,Load!I:I,0,)</f>
        <v>Everyday Candy Shapes (like Original, Gummy bear, Fruit, Jewels, etc.)</v>
      </c>
      <c r="I1556" t="str">
        <f>_xlfn.XLOOKUP($A1556,Load!$B:$B,Load!J:J,0,)</f>
        <v>Seasonal Graphics (Like Bat, Ghost, Pumpkin, Fall Leaves, Eyeballs, etc.)</v>
      </c>
      <c r="J1556" t="str">
        <f>_xlfn.XLOOKUP($A1556,Load!$B:$B,Load!K:K,0,)</f>
        <v xml:space="preserve">Variety Candy Sizes </v>
      </c>
      <c r="K1556" t="str">
        <f>_xlfn.XLOOKUP($A1556,Load!$B:$B,Load!L:L,0,)</f>
        <v>Regular/Original Wrapping</v>
      </c>
      <c r="L1556" t="str">
        <f>_xlfn.XLOOKUP($A1556,Load!$B:$B,Load!M:M,0,)</f>
        <v>Multiple Brands / Variety Flavors or Form</v>
      </c>
    </row>
    <row r="1557" spans="1:12" x14ac:dyDescent="0.25">
      <c r="B1557">
        <f>_xlfn.XLOOKUP($A1557,Load!$B:$B,Load!C:C,0,)</f>
        <v>0</v>
      </c>
      <c r="C1557">
        <f>_xlfn.XLOOKUP($A1557,Load!$B:$B,Load!D:D,0,)</f>
        <v>0</v>
      </c>
      <c r="D1557">
        <f>_xlfn.XLOOKUP($A1557,Load!$B:$B,Load!E:E,0,)</f>
        <v>0</v>
      </c>
      <c r="E1557">
        <f>_xlfn.XLOOKUP($A1557,Load!$B:$B,Load!F:F,0,)</f>
        <v>0</v>
      </c>
      <c r="F1557">
        <f>_xlfn.XLOOKUP($A1557,Load!$B:$B,Load!G:G,0,)</f>
        <v>0</v>
      </c>
      <c r="G1557">
        <f>_xlfn.XLOOKUP($A1557,Load!$B:$B,Load!H:H,0,)</f>
        <v>0</v>
      </c>
      <c r="H1557">
        <f>_xlfn.XLOOKUP($A1557,Load!$B:$B,Load!I:I,0,)</f>
        <v>0</v>
      </c>
      <c r="I1557">
        <f>_xlfn.XLOOKUP($A1557,Load!$B:$B,Load!J:J,0,)</f>
        <v>0</v>
      </c>
      <c r="J1557">
        <f>_xlfn.XLOOKUP($A1557,Load!$B:$B,Load!K:K,0,)</f>
        <v>0</v>
      </c>
      <c r="K1557">
        <f>_xlfn.XLOOKUP($A1557,Load!$B:$B,Load!L:L,0,)</f>
        <v>0</v>
      </c>
      <c r="L1557">
        <f>_xlfn.XLOOKUP($A1557,Load!$B:$B,Load!M:M,0,)</f>
        <v>0</v>
      </c>
    </row>
    <row r="1558" spans="1:12" x14ac:dyDescent="0.25">
      <c r="B1558">
        <f>_xlfn.XLOOKUP($A1558,Load!$B:$B,Load!C:C,0,)</f>
        <v>0</v>
      </c>
      <c r="C1558">
        <f>_xlfn.XLOOKUP($A1558,Load!$B:$B,Load!D:D,0,)</f>
        <v>0</v>
      </c>
      <c r="D1558">
        <f>_xlfn.XLOOKUP($A1558,Load!$B:$B,Load!E:E,0,)</f>
        <v>0</v>
      </c>
      <c r="E1558">
        <f>_xlfn.XLOOKUP($A1558,Load!$B:$B,Load!F:F,0,)</f>
        <v>0</v>
      </c>
      <c r="F1558">
        <f>_xlfn.XLOOKUP($A1558,Load!$B:$B,Load!G:G,0,)</f>
        <v>0</v>
      </c>
      <c r="G1558">
        <f>_xlfn.XLOOKUP($A1558,Load!$B:$B,Load!H:H,0,)</f>
        <v>0</v>
      </c>
      <c r="H1558">
        <f>_xlfn.XLOOKUP($A1558,Load!$B:$B,Load!I:I,0,)</f>
        <v>0</v>
      </c>
      <c r="I1558">
        <f>_xlfn.XLOOKUP($A1558,Load!$B:$B,Load!J:J,0,)</f>
        <v>0</v>
      </c>
      <c r="J1558">
        <f>_xlfn.XLOOKUP($A1558,Load!$B:$B,Load!K:K,0,)</f>
        <v>0</v>
      </c>
      <c r="K1558">
        <f>_xlfn.XLOOKUP($A1558,Load!$B:$B,Load!L:L,0,)</f>
        <v>0</v>
      </c>
      <c r="L1558">
        <f>_xlfn.XLOOKUP($A1558,Load!$B:$B,Load!M:M,0,)</f>
        <v>0</v>
      </c>
    </row>
    <row r="1559" spans="1:12" x14ac:dyDescent="0.25">
      <c r="B1559">
        <f>_xlfn.XLOOKUP($A1559,Load!$B:$B,Load!C:C,0,)</f>
        <v>0</v>
      </c>
      <c r="C1559">
        <f>_xlfn.XLOOKUP($A1559,Load!$B:$B,Load!D:D,0,)</f>
        <v>0</v>
      </c>
      <c r="D1559">
        <f>_xlfn.XLOOKUP($A1559,Load!$B:$B,Load!E:E,0,)</f>
        <v>0</v>
      </c>
      <c r="E1559">
        <f>_xlfn.XLOOKUP($A1559,Load!$B:$B,Load!F:F,0,)</f>
        <v>0</v>
      </c>
      <c r="F1559">
        <f>_xlfn.XLOOKUP($A1559,Load!$B:$B,Load!G:G,0,)</f>
        <v>0</v>
      </c>
      <c r="G1559">
        <f>_xlfn.XLOOKUP($A1559,Load!$B:$B,Load!H:H,0,)</f>
        <v>0</v>
      </c>
      <c r="H1559">
        <f>_xlfn.XLOOKUP($A1559,Load!$B:$B,Load!I:I,0,)</f>
        <v>0</v>
      </c>
      <c r="I1559">
        <f>_xlfn.XLOOKUP($A1559,Load!$B:$B,Load!J:J,0,)</f>
        <v>0</v>
      </c>
      <c r="J1559">
        <f>_xlfn.XLOOKUP($A1559,Load!$B:$B,Load!K:K,0,)</f>
        <v>0</v>
      </c>
      <c r="K1559">
        <f>_xlfn.XLOOKUP($A1559,Load!$B:$B,Load!L:L,0,)</f>
        <v>0</v>
      </c>
      <c r="L1559">
        <f>_xlfn.XLOOKUP($A1559,Load!$B:$B,Load!M:M,0,)</f>
        <v>0</v>
      </c>
    </row>
    <row r="1560" spans="1:12" x14ac:dyDescent="0.25">
      <c r="B1560">
        <f>_xlfn.XLOOKUP($A1560,Load!$B:$B,Load!C:C,0,)</f>
        <v>0</v>
      </c>
      <c r="C1560">
        <f>_xlfn.XLOOKUP($A1560,Load!$B:$B,Load!D:D,0,)</f>
        <v>0</v>
      </c>
      <c r="D1560">
        <f>_xlfn.XLOOKUP($A1560,Load!$B:$B,Load!E:E,0,)</f>
        <v>0</v>
      </c>
      <c r="E1560">
        <f>_xlfn.XLOOKUP($A1560,Load!$B:$B,Load!F:F,0,)</f>
        <v>0</v>
      </c>
      <c r="F1560">
        <f>_xlfn.XLOOKUP($A1560,Load!$B:$B,Load!G:G,0,)</f>
        <v>0</v>
      </c>
      <c r="G1560">
        <f>_xlfn.XLOOKUP($A1560,Load!$B:$B,Load!H:H,0,)</f>
        <v>0</v>
      </c>
      <c r="H1560">
        <f>_xlfn.XLOOKUP($A1560,Load!$B:$B,Load!I:I,0,)</f>
        <v>0</v>
      </c>
      <c r="I1560">
        <f>_xlfn.XLOOKUP($A1560,Load!$B:$B,Load!J:J,0,)</f>
        <v>0</v>
      </c>
      <c r="J1560">
        <f>_xlfn.XLOOKUP($A1560,Load!$B:$B,Load!K:K,0,)</f>
        <v>0</v>
      </c>
      <c r="K1560">
        <f>_xlfn.XLOOKUP($A1560,Load!$B:$B,Load!L:L,0,)</f>
        <v>0</v>
      </c>
      <c r="L1560">
        <f>_xlfn.XLOOKUP($A1560,Load!$B:$B,Load!M:M,0,)</f>
        <v>0</v>
      </c>
    </row>
    <row r="1561" spans="1:12" x14ac:dyDescent="0.25">
      <c r="B1561">
        <f>_xlfn.XLOOKUP($A1561,Load!$B:$B,Load!C:C,0,)</f>
        <v>0</v>
      </c>
      <c r="C1561">
        <f>_xlfn.XLOOKUP($A1561,Load!$B:$B,Load!D:D,0,)</f>
        <v>0</v>
      </c>
      <c r="D1561">
        <f>_xlfn.XLOOKUP($A1561,Load!$B:$B,Load!E:E,0,)</f>
        <v>0</v>
      </c>
      <c r="E1561">
        <f>_xlfn.XLOOKUP($A1561,Load!$B:$B,Load!F:F,0,)</f>
        <v>0</v>
      </c>
      <c r="F1561">
        <f>_xlfn.XLOOKUP($A1561,Load!$B:$B,Load!G:G,0,)</f>
        <v>0</v>
      </c>
      <c r="G1561">
        <f>_xlfn.XLOOKUP($A1561,Load!$B:$B,Load!H:H,0,)</f>
        <v>0</v>
      </c>
      <c r="H1561">
        <f>_xlfn.XLOOKUP($A1561,Load!$B:$B,Load!I:I,0,)</f>
        <v>0</v>
      </c>
      <c r="I1561">
        <f>_xlfn.XLOOKUP($A1561,Load!$B:$B,Load!J:J,0,)</f>
        <v>0</v>
      </c>
      <c r="J1561">
        <f>_xlfn.XLOOKUP($A1561,Load!$B:$B,Load!K:K,0,)</f>
        <v>0</v>
      </c>
      <c r="K1561">
        <f>_xlfn.XLOOKUP($A1561,Load!$B:$B,Load!L:L,0,)</f>
        <v>0</v>
      </c>
      <c r="L1561">
        <f>_xlfn.XLOOKUP($A1561,Load!$B:$B,Load!M:M,0,)</f>
        <v>0</v>
      </c>
    </row>
    <row r="1562" spans="1:12" x14ac:dyDescent="0.25">
      <c r="B1562">
        <f>_xlfn.XLOOKUP($A1562,Load!$B:$B,Load!C:C,0,)</f>
        <v>0</v>
      </c>
      <c r="C1562">
        <f>_xlfn.XLOOKUP($A1562,Load!$B:$B,Load!D:D,0,)</f>
        <v>0</v>
      </c>
      <c r="D1562">
        <f>_xlfn.XLOOKUP($A1562,Load!$B:$B,Load!E:E,0,)</f>
        <v>0</v>
      </c>
      <c r="E1562">
        <f>_xlfn.XLOOKUP($A1562,Load!$B:$B,Load!F:F,0,)</f>
        <v>0</v>
      </c>
      <c r="F1562">
        <f>_xlfn.XLOOKUP($A1562,Load!$B:$B,Load!G:G,0,)</f>
        <v>0</v>
      </c>
      <c r="G1562">
        <f>_xlfn.XLOOKUP($A1562,Load!$B:$B,Load!H:H,0,)</f>
        <v>0</v>
      </c>
      <c r="H1562">
        <f>_xlfn.XLOOKUP($A1562,Load!$B:$B,Load!I:I,0,)</f>
        <v>0</v>
      </c>
      <c r="I1562">
        <f>_xlfn.XLOOKUP($A1562,Load!$B:$B,Load!J:J,0,)</f>
        <v>0</v>
      </c>
      <c r="J1562">
        <f>_xlfn.XLOOKUP($A1562,Load!$B:$B,Load!K:K,0,)</f>
        <v>0</v>
      </c>
      <c r="K1562">
        <f>_xlfn.XLOOKUP($A1562,Load!$B:$B,Load!L:L,0,)</f>
        <v>0</v>
      </c>
      <c r="L1562">
        <f>_xlfn.XLOOKUP($A1562,Load!$B:$B,Load!M:M,0,)</f>
        <v>0</v>
      </c>
    </row>
    <row r="1563" spans="1:12" x14ac:dyDescent="0.25">
      <c r="B1563">
        <f>_xlfn.XLOOKUP($A1563,Load!$B:$B,Load!C:C,0,)</f>
        <v>0</v>
      </c>
      <c r="C1563">
        <f>_xlfn.XLOOKUP($A1563,Load!$B:$B,Load!D:D,0,)</f>
        <v>0</v>
      </c>
      <c r="D1563">
        <f>_xlfn.XLOOKUP($A1563,Load!$B:$B,Load!E:E,0,)</f>
        <v>0</v>
      </c>
      <c r="E1563">
        <f>_xlfn.XLOOKUP($A1563,Load!$B:$B,Load!F:F,0,)</f>
        <v>0</v>
      </c>
      <c r="F1563">
        <f>_xlfn.XLOOKUP($A1563,Load!$B:$B,Load!G:G,0,)</f>
        <v>0</v>
      </c>
      <c r="G1563">
        <f>_xlfn.XLOOKUP($A1563,Load!$B:$B,Load!H:H,0,)</f>
        <v>0</v>
      </c>
      <c r="H1563">
        <f>_xlfn.XLOOKUP($A1563,Load!$B:$B,Load!I:I,0,)</f>
        <v>0</v>
      </c>
      <c r="I1563">
        <f>_xlfn.XLOOKUP($A1563,Load!$B:$B,Load!J:J,0,)</f>
        <v>0</v>
      </c>
      <c r="J1563">
        <f>_xlfn.XLOOKUP($A1563,Load!$B:$B,Load!K:K,0,)</f>
        <v>0</v>
      </c>
      <c r="K1563">
        <f>_xlfn.XLOOKUP($A1563,Load!$B:$B,Load!L:L,0,)</f>
        <v>0</v>
      </c>
      <c r="L1563">
        <f>_xlfn.XLOOKUP($A1563,Load!$B:$B,Load!M:M,0,)</f>
        <v>0</v>
      </c>
    </row>
    <row r="1564" spans="1:12" x14ac:dyDescent="0.25">
      <c r="B1564">
        <f>_xlfn.XLOOKUP($A1564,Load!$B:$B,Load!C:C,0,)</f>
        <v>0</v>
      </c>
      <c r="C1564">
        <f>_xlfn.XLOOKUP($A1564,Load!$B:$B,Load!D:D,0,)</f>
        <v>0</v>
      </c>
      <c r="D1564">
        <f>_xlfn.XLOOKUP($A1564,Load!$B:$B,Load!E:E,0,)</f>
        <v>0</v>
      </c>
      <c r="E1564">
        <f>_xlfn.XLOOKUP($A1564,Load!$B:$B,Load!F:F,0,)</f>
        <v>0</v>
      </c>
      <c r="F1564">
        <f>_xlfn.XLOOKUP($A1564,Load!$B:$B,Load!G:G,0,)</f>
        <v>0</v>
      </c>
      <c r="G1564">
        <f>_xlfn.XLOOKUP($A1564,Load!$B:$B,Load!H:H,0,)</f>
        <v>0</v>
      </c>
      <c r="H1564">
        <f>_xlfn.XLOOKUP($A1564,Load!$B:$B,Load!I:I,0,)</f>
        <v>0</v>
      </c>
      <c r="I1564">
        <f>_xlfn.XLOOKUP($A1564,Load!$B:$B,Load!J:J,0,)</f>
        <v>0</v>
      </c>
      <c r="J1564">
        <f>_xlfn.XLOOKUP($A1564,Load!$B:$B,Load!K:K,0,)</f>
        <v>0</v>
      </c>
      <c r="K1564">
        <f>_xlfn.XLOOKUP($A1564,Load!$B:$B,Load!L:L,0,)</f>
        <v>0</v>
      </c>
      <c r="L1564">
        <f>_xlfn.XLOOKUP($A1564,Load!$B:$B,Load!M:M,0,)</f>
        <v>0</v>
      </c>
    </row>
    <row r="1565" spans="1:12" x14ac:dyDescent="0.25">
      <c r="B1565">
        <f>_xlfn.XLOOKUP($A1565,Load!$B:$B,Load!C:C,0,)</f>
        <v>0</v>
      </c>
      <c r="C1565">
        <f>_xlfn.XLOOKUP($A1565,Load!$B:$B,Load!D:D,0,)</f>
        <v>0</v>
      </c>
      <c r="D1565">
        <f>_xlfn.XLOOKUP($A1565,Load!$B:$B,Load!E:E,0,)</f>
        <v>0</v>
      </c>
      <c r="E1565">
        <f>_xlfn.XLOOKUP($A1565,Load!$B:$B,Load!F:F,0,)</f>
        <v>0</v>
      </c>
      <c r="F1565">
        <f>_xlfn.XLOOKUP($A1565,Load!$B:$B,Load!G:G,0,)</f>
        <v>0</v>
      </c>
      <c r="G1565">
        <f>_xlfn.XLOOKUP($A1565,Load!$B:$B,Load!H:H,0,)</f>
        <v>0</v>
      </c>
      <c r="H1565">
        <f>_xlfn.XLOOKUP($A1565,Load!$B:$B,Load!I:I,0,)</f>
        <v>0</v>
      </c>
      <c r="I1565">
        <f>_xlfn.XLOOKUP($A1565,Load!$B:$B,Load!J:J,0,)</f>
        <v>0</v>
      </c>
      <c r="J1565">
        <f>_xlfn.XLOOKUP($A1565,Load!$B:$B,Load!K:K,0,)</f>
        <v>0</v>
      </c>
      <c r="K1565">
        <f>_xlfn.XLOOKUP($A1565,Load!$B:$B,Load!L:L,0,)</f>
        <v>0</v>
      </c>
      <c r="L1565">
        <f>_xlfn.XLOOKUP($A1565,Load!$B:$B,Load!M:M,0,)</f>
        <v>0</v>
      </c>
    </row>
    <row r="1566" spans="1:12" x14ac:dyDescent="0.25">
      <c r="A1566" t="s">
        <v>223</v>
      </c>
      <c r="B1566" t="str">
        <f>_xlfn.XLOOKUP($A1566,Load!$B:$B,Load!C:C,0,)</f>
        <v>Nerds</v>
      </c>
      <c r="C1566" t="str">
        <f>_xlfn.XLOOKUP($A1566,Load!$B:$B,Load!D:D,0,)</f>
        <v>Non-Chocolate Candy Only</v>
      </c>
      <c r="D1566" t="str">
        <f>_xlfn.XLOOKUP($A1566,Load!$B:$B,Load!E:E,0,)</f>
        <v>Sweet</v>
      </c>
      <c r="E1566" t="str">
        <f>_xlfn.XLOOKUP($A1566,Load!$B:$B,Load!F:F,0,)</f>
        <v>Gummy</v>
      </c>
      <c r="F1566" t="str">
        <f>_xlfn.XLOOKUP($A1566,Load!$B:$B,Load!G:G,0,)</f>
        <v>Small Multipack (Less than 40 ct)</v>
      </c>
      <c r="G1566" t="str">
        <f>_xlfn.XLOOKUP($A1566,Load!$B:$B,Load!H:H,0,)</f>
        <v>Laydown Bag</v>
      </c>
      <c r="H1566" t="str">
        <f>_xlfn.XLOOKUP($A1566,Load!$B:$B,Load!I:I,0,)</f>
        <v>Everyday Candy Shapes (like Original, Gummy bear, Fruit, Jewels, etc.)</v>
      </c>
      <c r="I1566" t="str">
        <f>_xlfn.XLOOKUP($A1566,Load!$B:$B,Load!J:J,0,)</f>
        <v>Seasonal Graphics (Like Bat, Ghost, Pumpkin, Fall Leaves, Eyeballs, etc.)</v>
      </c>
      <c r="J1566" t="str">
        <f>_xlfn.XLOOKUP($A1566,Load!$B:$B,Load!K:K,0,)</f>
        <v>Small Pieces (Tiny bite size candies)</v>
      </c>
      <c r="K1566" t="str">
        <f>_xlfn.XLOOKUP($A1566,Load!$B:$B,Load!L:L,0,)</f>
        <v>Regular/Original Wrapping</v>
      </c>
      <c r="L1566" t="str">
        <f>_xlfn.XLOOKUP($A1566,Load!$B:$B,Load!M:M,0,)</f>
        <v>Single Brand / Variety Flavors or Form</v>
      </c>
    </row>
    <row r="1567" spans="1:12" x14ac:dyDescent="0.25">
      <c r="B1567">
        <f>_xlfn.XLOOKUP($A1567,Load!$B:$B,Load!C:C,0,)</f>
        <v>0</v>
      </c>
      <c r="C1567">
        <f>_xlfn.XLOOKUP($A1567,Load!$B:$B,Load!D:D,0,)</f>
        <v>0</v>
      </c>
      <c r="D1567">
        <f>_xlfn.XLOOKUP($A1567,Load!$B:$B,Load!E:E,0,)</f>
        <v>0</v>
      </c>
      <c r="E1567">
        <f>_xlfn.XLOOKUP($A1567,Load!$B:$B,Load!F:F,0,)</f>
        <v>0</v>
      </c>
      <c r="F1567">
        <f>_xlfn.XLOOKUP($A1567,Load!$B:$B,Load!G:G,0,)</f>
        <v>0</v>
      </c>
      <c r="G1567">
        <f>_xlfn.XLOOKUP($A1567,Load!$B:$B,Load!H:H,0,)</f>
        <v>0</v>
      </c>
      <c r="H1567">
        <f>_xlfn.XLOOKUP($A1567,Load!$B:$B,Load!I:I,0,)</f>
        <v>0</v>
      </c>
      <c r="I1567">
        <f>_xlfn.XLOOKUP($A1567,Load!$B:$B,Load!J:J,0,)</f>
        <v>0</v>
      </c>
      <c r="J1567">
        <f>_xlfn.XLOOKUP($A1567,Load!$B:$B,Load!K:K,0,)</f>
        <v>0</v>
      </c>
      <c r="K1567">
        <f>_xlfn.XLOOKUP($A1567,Load!$B:$B,Load!L:L,0,)</f>
        <v>0</v>
      </c>
      <c r="L1567">
        <f>_xlfn.XLOOKUP($A1567,Load!$B:$B,Load!M:M,0,)</f>
        <v>0</v>
      </c>
    </row>
    <row r="1568" spans="1:12" x14ac:dyDescent="0.25">
      <c r="A1568" t="s">
        <v>271</v>
      </c>
      <c r="B1568" t="str">
        <f>_xlfn.XLOOKUP($A1568,Load!$B:$B,Load!C:C,0,)</f>
        <v>Sour Patch Kids</v>
      </c>
      <c r="C1568" t="str">
        <f>_xlfn.XLOOKUP($A1568,Load!$B:$B,Load!D:D,0,)</f>
        <v>Non-Chocolate Candy Only</v>
      </c>
      <c r="D1568" t="str">
        <f>_xlfn.XLOOKUP($A1568,Load!$B:$B,Load!E:E,0,)</f>
        <v>Sour</v>
      </c>
      <c r="E1568" t="str">
        <f>_xlfn.XLOOKUP($A1568,Load!$B:$B,Load!F:F,0,)</f>
        <v>Chewy</v>
      </c>
      <c r="F1568" t="str">
        <f>_xlfn.XLOOKUP($A1568,Load!$B:$B,Load!G:G,0,)</f>
        <v>Medium Multipack (40–80 ct)</v>
      </c>
      <c r="G1568" t="str">
        <f>_xlfn.XLOOKUP($A1568,Load!$B:$B,Load!H:H,0,)</f>
        <v>Laydown Bag</v>
      </c>
      <c r="H1568" t="str">
        <f>_xlfn.XLOOKUP($A1568,Load!$B:$B,Load!I:I,0,)</f>
        <v>Everyday Candy Shapes (like Original, Gummy bear, Fruit, Jewels, etc.)</v>
      </c>
      <c r="I1568" t="str">
        <f>_xlfn.XLOOKUP($A1568,Load!$B:$B,Load!J:J,0,)</f>
        <v>Seasonal Graphics (Like Bat, Ghost, Pumpkin, Fall Leaves, Eyeballs, etc.)</v>
      </c>
      <c r="J1568" t="str">
        <f>_xlfn.XLOOKUP($A1568,Load!$B:$B,Load!K:K,0,)</f>
        <v>Small Pieces (Tiny bite size candies)</v>
      </c>
      <c r="K1568" t="str">
        <f>_xlfn.XLOOKUP($A1568,Load!$B:$B,Load!L:L,0,)</f>
        <v>Regular/Original Wrapping</v>
      </c>
      <c r="L1568" t="str">
        <f>_xlfn.XLOOKUP($A1568,Load!$B:$B,Load!M:M,0,)</f>
        <v>Single Brand / Variety Flavors or Form</v>
      </c>
    </row>
    <row r="1569" spans="1:12" x14ac:dyDescent="0.25">
      <c r="A1569" t="s">
        <v>254</v>
      </c>
      <c r="B1569" t="str">
        <f>_xlfn.XLOOKUP($A1569,Load!$B:$B,Load!C:C,0,)</f>
        <v>Skittles</v>
      </c>
      <c r="C1569" t="str">
        <f>_xlfn.XLOOKUP($A1569,Load!$B:$B,Load!D:D,0,)</f>
        <v>Non-Chocolate Candy Only</v>
      </c>
      <c r="D1569" t="str">
        <f>_xlfn.XLOOKUP($A1569,Load!$B:$B,Load!E:E,0,)</f>
        <v>Variety / Mixed Flavors (Fruity, Sour, Seasonal Flavors)</v>
      </c>
      <c r="E1569" t="str">
        <f>_xlfn.XLOOKUP($A1569,Load!$B:$B,Load!F:F,0,)</f>
        <v>Candy Pieces / Bites</v>
      </c>
      <c r="F1569" t="str">
        <f>_xlfn.XLOOKUP($A1569,Load!$B:$B,Load!G:G,0,)</f>
        <v>Medium Multipack (40–80 ct)</v>
      </c>
      <c r="G1569" t="str">
        <f>_xlfn.XLOOKUP($A1569,Load!$B:$B,Load!H:H,0,)</f>
        <v>Stand-Up Bag</v>
      </c>
      <c r="H1569" t="str">
        <f>_xlfn.XLOOKUP($A1569,Load!$B:$B,Load!I:I,0,)</f>
        <v>Everyday Candy Shapes (like Original, Gummy bear, Fruit, Jewels, etc.)</v>
      </c>
      <c r="I1569" t="str">
        <f>_xlfn.XLOOKUP($A1569,Load!$B:$B,Load!J:J,0,)</f>
        <v>Everyday Graphics</v>
      </c>
      <c r="J1569" t="str">
        <f>_xlfn.XLOOKUP($A1569,Load!$B:$B,Load!K:K,0,)</f>
        <v>Small Pieces (Tiny bite size candies)</v>
      </c>
      <c r="K1569" t="str">
        <f>_xlfn.XLOOKUP($A1569,Load!$B:$B,Load!L:L,0,)</f>
        <v>Regular/Original Wrapping</v>
      </c>
      <c r="L1569" t="str">
        <f>_xlfn.XLOOKUP($A1569,Load!$B:$B,Load!M:M,0,)</f>
        <v>Single Brand / Variety Flavors or Form</v>
      </c>
    </row>
    <row r="1570" spans="1:12" x14ac:dyDescent="0.25">
      <c r="B1570">
        <f>_xlfn.XLOOKUP($A1570,Load!$B:$B,Load!C:C,0,)</f>
        <v>0</v>
      </c>
      <c r="C1570">
        <f>_xlfn.XLOOKUP($A1570,Load!$B:$B,Load!D:D,0,)</f>
        <v>0</v>
      </c>
      <c r="D1570">
        <f>_xlfn.XLOOKUP($A1570,Load!$B:$B,Load!E:E,0,)</f>
        <v>0</v>
      </c>
      <c r="E1570">
        <f>_xlfn.XLOOKUP($A1570,Load!$B:$B,Load!F:F,0,)</f>
        <v>0</v>
      </c>
      <c r="F1570">
        <f>_xlfn.XLOOKUP($A1570,Load!$B:$B,Load!G:G,0,)</f>
        <v>0</v>
      </c>
      <c r="G1570">
        <f>_xlfn.XLOOKUP($A1570,Load!$B:$B,Load!H:H,0,)</f>
        <v>0</v>
      </c>
      <c r="H1570">
        <f>_xlfn.XLOOKUP($A1570,Load!$B:$B,Load!I:I,0,)</f>
        <v>0</v>
      </c>
      <c r="I1570">
        <f>_xlfn.XLOOKUP($A1570,Load!$B:$B,Load!J:J,0,)</f>
        <v>0</v>
      </c>
      <c r="J1570">
        <f>_xlfn.XLOOKUP($A1570,Load!$B:$B,Load!K:K,0,)</f>
        <v>0</v>
      </c>
      <c r="K1570">
        <f>_xlfn.XLOOKUP($A1570,Load!$B:$B,Load!L:L,0,)</f>
        <v>0</v>
      </c>
      <c r="L1570">
        <f>_xlfn.XLOOKUP($A1570,Load!$B:$B,Load!M:M,0,)</f>
        <v>0</v>
      </c>
    </row>
    <row r="1571" spans="1:12" x14ac:dyDescent="0.25">
      <c r="B1571">
        <f>_xlfn.XLOOKUP($A1571,Load!$B:$B,Load!C:C,0,)</f>
        <v>0</v>
      </c>
      <c r="C1571">
        <f>_xlfn.XLOOKUP($A1571,Load!$B:$B,Load!D:D,0,)</f>
        <v>0</v>
      </c>
      <c r="D1571">
        <f>_xlfn.XLOOKUP($A1571,Load!$B:$B,Load!E:E,0,)</f>
        <v>0</v>
      </c>
      <c r="E1571">
        <f>_xlfn.XLOOKUP($A1571,Load!$B:$B,Load!F:F,0,)</f>
        <v>0</v>
      </c>
      <c r="F1571">
        <f>_xlfn.XLOOKUP($A1571,Load!$B:$B,Load!G:G,0,)</f>
        <v>0</v>
      </c>
      <c r="G1571">
        <f>_xlfn.XLOOKUP($A1571,Load!$B:$B,Load!H:H,0,)</f>
        <v>0</v>
      </c>
      <c r="H1571">
        <f>_xlfn.XLOOKUP($A1571,Load!$B:$B,Load!I:I,0,)</f>
        <v>0</v>
      </c>
      <c r="I1571">
        <f>_xlfn.XLOOKUP($A1571,Load!$B:$B,Load!J:J,0,)</f>
        <v>0</v>
      </c>
      <c r="J1571">
        <f>_xlfn.XLOOKUP($A1571,Load!$B:$B,Load!K:K,0,)</f>
        <v>0</v>
      </c>
      <c r="K1571">
        <f>_xlfn.XLOOKUP($A1571,Load!$B:$B,Load!L:L,0,)</f>
        <v>0</v>
      </c>
      <c r="L1571">
        <f>_xlfn.XLOOKUP($A1571,Load!$B:$B,Load!M:M,0,)</f>
        <v>0</v>
      </c>
    </row>
    <row r="1572" spans="1:12" x14ac:dyDescent="0.25">
      <c r="A1572" t="s">
        <v>162</v>
      </c>
      <c r="B1572" t="str">
        <f>_xlfn.XLOOKUP($A1572,Load!$B:$B,Load!C:C,0,)</f>
        <v>Jolly Rancher</v>
      </c>
      <c r="C1572" t="str">
        <f>_xlfn.XLOOKUP($A1572,Load!$B:$B,Load!D:D,0,)</f>
        <v>Non-Chocolate Candy Only</v>
      </c>
      <c r="D1572" t="str">
        <f>_xlfn.XLOOKUP($A1572,Load!$B:$B,Load!E:E,0,)</f>
        <v>Variety / Mixed Flavors (Fruity, Sour, Seasonal Flavors)</v>
      </c>
      <c r="E1572" t="str">
        <f>_xlfn.XLOOKUP($A1572,Load!$B:$B,Load!F:F,0,)</f>
        <v>Gummy</v>
      </c>
      <c r="F1572" t="str">
        <f>_xlfn.XLOOKUP($A1572,Load!$B:$B,Load!G:G,0,)</f>
        <v>Single Pack</v>
      </c>
      <c r="G1572" t="str">
        <f>_xlfn.XLOOKUP($A1572,Load!$B:$B,Load!H:H,0,)</f>
        <v>Peg Bag</v>
      </c>
      <c r="H1572" t="str">
        <f>_xlfn.XLOOKUP($A1572,Load!$B:$B,Load!I:I,0,)</f>
        <v>Seasonal Shapes (like pumpkins, candy corn, ghost, bats, etc.)</v>
      </c>
      <c r="I1572" t="str">
        <f>_xlfn.XLOOKUP($A1572,Load!$B:$B,Load!J:J,0,)</f>
        <v>Seasonal Graphics (Like Bat, Ghost, Pumpkin, Fall Leaves, Eyeballs, etc.)</v>
      </c>
      <c r="J1572" t="str">
        <f>_xlfn.XLOOKUP($A1572,Load!$B:$B,Load!K:K,0,)</f>
        <v>Small Pieces (Tiny bite size candies)</v>
      </c>
      <c r="K1572" t="str">
        <f>_xlfn.XLOOKUP($A1572,Load!$B:$B,Load!L:L,0,)</f>
        <v>Unwrapped</v>
      </c>
      <c r="L1572" t="str">
        <f>_xlfn.XLOOKUP($A1572,Load!$B:$B,Load!M:M,0,)</f>
        <v>Single Brand / Variety Flavors or Form</v>
      </c>
    </row>
    <row r="1573" spans="1:12" x14ac:dyDescent="0.25">
      <c r="B1573">
        <f>_xlfn.XLOOKUP($A1573,Load!$B:$B,Load!C:C,0,)</f>
        <v>0</v>
      </c>
      <c r="C1573">
        <f>_xlfn.XLOOKUP($A1573,Load!$B:$B,Load!D:D,0,)</f>
        <v>0</v>
      </c>
      <c r="D1573">
        <f>_xlfn.XLOOKUP($A1573,Load!$B:$B,Load!E:E,0,)</f>
        <v>0</v>
      </c>
      <c r="E1573">
        <f>_xlfn.XLOOKUP($A1573,Load!$B:$B,Load!F:F,0,)</f>
        <v>0</v>
      </c>
      <c r="F1573">
        <f>_xlfn.XLOOKUP($A1573,Load!$B:$B,Load!G:G,0,)</f>
        <v>0</v>
      </c>
      <c r="G1573">
        <f>_xlfn.XLOOKUP($A1573,Load!$B:$B,Load!H:H,0,)</f>
        <v>0</v>
      </c>
      <c r="H1573">
        <f>_xlfn.XLOOKUP($A1573,Load!$B:$B,Load!I:I,0,)</f>
        <v>0</v>
      </c>
      <c r="I1573">
        <f>_xlfn.XLOOKUP($A1573,Load!$B:$B,Load!J:J,0,)</f>
        <v>0</v>
      </c>
      <c r="J1573">
        <f>_xlfn.XLOOKUP($A1573,Load!$B:$B,Load!K:K,0,)</f>
        <v>0</v>
      </c>
      <c r="K1573">
        <f>_xlfn.XLOOKUP($A1573,Load!$B:$B,Load!L:L,0,)</f>
        <v>0</v>
      </c>
      <c r="L1573">
        <f>_xlfn.XLOOKUP($A1573,Load!$B:$B,Load!M:M,0,)</f>
        <v>0</v>
      </c>
    </row>
    <row r="1574" spans="1:12" x14ac:dyDescent="0.25">
      <c r="A1574" t="s">
        <v>223</v>
      </c>
      <c r="B1574" t="str">
        <f>_xlfn.XLOOKUP($A1574,Load!$B:$B,Load!C:C,0,)</f>
        <v>Nerds</v>
      </c>
      <c r="C1574" t="str">
        <f>_xlfn.XLOOKUP($A1574,Load!$B:$B,Load!D:D,0,)</f>
        <v>Non-Chocolate Candy Only</v>
      </c>
      <c r="D1574" t="str">
        <f>_xlfn.XLOOKUP($A1574,Load!$B:$B,Load!E:E,0,)</f>
        <v>Sweet</v>
      </c>
      <c r="E1574" t="str">
        <f>_xlfn.XLOOKUP($A1574,Load!$B:$B,Load!F:F,0,)</f>
        <v>Gummy</v>
      </c>
      <c r="F1574" t="str">
        <f>_xlfn.XLOOKUP($A1574,Load!$B:$B,Load!G:G,0,)</f>
        <v>Small Multipack (Less than 40 ct)</v>
      </c>
      <c r="G1574" t="str">
        <f>_xlfn.XLOOKUP($A1574,Load!$B:$B,Load!H:H,0,)</f>
        <v>Laydown Bag</v>
      </c>
      <c r="H1574" t="str">
        <f>_xlfn.XLOOKUP($A1574,Load!$B:$B,Load!I:I,0,)</f>
        <v>Everyday Candy Shapes (like Original, Gummy bear, Fruit, Jewels, etc.)</v>
      </c>
      <c r="I1574" t="str">
        <f>_xlfn.XLOOKUP($A1574,Load!$B:$B,Load!J:J,0,)</f>
        <v>Seasonal Graphics (Like Bat, Ghost, Pumpkin, Fall Leaves, Eyeballs, etc.)</v>
      </c>
      <c r="J1574" t="str">
        <f>_xlfn.XLOOKUP($A1574,Load!$B:$B,Load!K:K,0,)</f>
        <v>Small Pieces (Tiny bite size candies)</v>
      </c>
      <c r="K1574" t="str">
        <f>_xlfn.XLOOKUP($A1574,Load!$B:$B,Load!L:L,0,)</f>
        <v>Regular/Original Wrapping</v>
      </c>
      <c r="L1574" t="str">
        <f>_xlfn.XLOOKUP($A1574,Load!$B:$B,Load!M:M,0,)</f>
        <v>Single Brand / Variety Flavors or Form</v>
      </c>
    </row>
    <row r="1575" spans="1:12" x14ac:dyDescent="0.25">
      <c r="A1575" t="s">
        <v>222</v>
      </c>
      <c r="B1575" t="str">
        <f>_xlfn.XLOOKUP($A1575,Load!$B:$B,Load!C:C,0,)</f>
        <v>Nerds</v>
      </c>
      <c r="C1575" t="str">
        <f>_xlfn.XLOOKUP($A1575,Load!$B:$B,Load!D:D,0,)</f>
        <v>Non-Chocolate Candy Only</v>
      </c>
      <c r="D1575" t="str">
        <f>_xlfn.XLOOKUP($A1575,Load!$B:$B,Load!E:E,0,)</f>
        <v>Sweet</v>
      </c>
      <c r="E1575" t="str">
        <f>_xlfn.XLOOKUP($A1575,Load!$B:$B,Load!F:F,0,)</f>
        <v>Gummy</v>
      </c>
      <c r="F1575" t="str">
        <f>_xlfn.XLOOKUP($A1575,Load!$B:$B,Load!G:G,0,)</f>
        <v>Small Multipack (Less than 40 ct)</v>
      </c>
      <c r="G1575" t="str">
        <f>_xlfn.XLOOKUP($A1575,Load!$B:$B,Load!H:H,0,)</f>
        <v>Stand-Up Bag</v>
      </c>
      <c r="H1575" t="str">
        <f>_xlfn.XLOOKUP($A1575,Load!$B:$B,Load!I:I,0,)</f>
        <v>Everyday Candy Shapes (like Original, Gummy bear, Fruit, Jewels, etc.)</v>
      </c>
      <c r="I1575" t="str">
        <f>_xlfn.XLOOKUP($A1575,Load!$B:$B,Load!J:J,0,)</f>
        <v>Seasonal Graphics (Like Bat, Ghost, Pumpkin, Fall Leaves, Eyeballs, etc.)</v>
      </c>
      <c r="J1575" t="str">
        <f>_xlfn.XLOOKUP($A1575,Load!$B:$B,Load!K:K,0,)</f>
        <v>Fun Size / Treat Size</v>
      </c>
      <c r="K1575" t="str">
        <f>_xlfn.XLOOKUP($A1575,Load!$B:$B,Load!L:L,0,)</f>
        <v>Regular/Original Wrapping</v>
      </c>
      <c r="L1575" t="str">
        <f>_xlfn.XLOOKUP($A1575,Load!$B:$B,Load!M:M,0,)</f>
        <v>Single Brand / Variety Flavors or Form</v>
      </c>
    </row>
    <row r="1576" spans="1:12" x14ac:dyDescent="0.25">
      <c r="A1576" t="s">
        <v>276</v>
      </c>
      <c r="B1576" t="str">
        <f>_xlfn.XLOOKUP($A1576,Load!$B:$B,Load!C:C,0,)</f>
        <v>Sour Patch Kids</v>
      </c>
      <c r="C1576" t="str">
        <f>_xlfn.XLOOKUP($A1576,Load!$B:$B,Load!D:D,0,)</f>
        <v>Non-Chocolate Candy Only</v>
      </c>
      <c r="D1576" t="str">
        <f>_xlfn.XLOOKUP($A1576,Load!$B:$B,Load!E:E,0,)</f>
        <v>Sour</v>
      </c>
      <c r="E1576" t="str">
        <f>_xlfn.XLOOKUP($A1576,Load!$B:$B,Load!F:F,0,)</f>
        <v>Chewy</v>
      </c>
      <c r="F1576" t="str">
        <f>_xlfn.XLOOKUP($A1576,Load!$B:$B,Load!G:G,0,)</f>
        <v>Small Multipack (Less than 40 ct)</v>
      </c>
      <c r="G1576" t="str">
        <f>_xlfn.XLOOKUP($A1576,Load!$B:$B,Load!H:H,0,)</f>
        <v>Stand-Up Bag</v>
      </c>
      <c r="H1576" t="str">
        <f>_xlfn.XLOOKUP($A1576,Load!$B:$B,Load!I:I,0,)</f>
        <v>Everyday Candy Shapes (like Original, Gummy bear, Fruit, Jewels, etc.)</v>
      </c>
      <c r="I1576" t="str">
        <f>_xlfn.XLOOKUP($A1576,Load!$B:$B,Load!J:J,0,)</f>
        <v>Seasonal Graphics (Like Bat, Ghost, Pumpkin, Fall Leaves, Eyeballs, etc.)</v>
      </c>
      <c r="J1576" t="str">
        <f>_xlfn.XLOOKUP($A1576,Load!$B:$B,Load!K:K,0,)</f>
        <v>Small Pieces (Tiny bite size candies)</v>
      </c>
      <c r="K1576" t="str">
        <f>_xlfn.XLOOKUP($A1576,Load!$B:$B,Load!L:L,0,)</f>
        <v>Unwrapped</v>
      </c>
      <c r="L1576" t="str">
        <f>_xlfn.XLOOKUP($A1576,Load!$B:$B,Load!M:M,0,)</f>
        <v>Single Brand / Single Flavor or Form</v>
      </c>
    </row>
    <row r="1577" spans="1:12" x14ac:dyDescent="0.25">
      <c r="B1577">
        <f>_xlfn.XLOOKUP($A1577,Load!$B:$B,Load!C:C,0,)</f>
        <v>0</v>
      </c>
      <c r="C1577">
        <f>_xlfn.XLOOKUP($A1577,Load!$B:$B,Load!D:D,0,)</f>
        <v>0</v>
      </c>
      <c r="D1577">
        <f>_xlfn.XLOOKUP($A1577,Load!$B:$B,Load!E:E,0,)</f>
        <v>0</v>
      </c>
      <c r="E1577">
        <f>_xlfn.XLOOKUP($A1577,Load!$B:$B,Load!F:F,0,)</f>
        <v>0</v>
      </c>
      <c r="F1577">
        <f>_xlfn.XLOOKUP($A1577,Load!$B:$B,Load!G:G,0,)</f>
        <v>0</v>
      </c>
      <c r="G1577">
        <f>_xlfn.XLOOKUP($A1577,Load!$B:$B,Load!H:H,0,)</f>
        <v>0</v>
      </c>
      <c r="H1577">
        <f>_xlfn.XLOOKUP($A1577,Load!$B:$B,Load!I:I,0,)</f>
        <v>0</v>
      </c>
      <c r="I1577">
        <f>_xlfn.XLOOKUP($A1577,Load!$B:$B,Load!J:J,0,)</f>
        <v>0</v>
      </c>
      <c r="J1577">
        <f>_xlfn.XLOOKUP($A1577,Load!$B:$B,Load!K:K,0,)</f>
        <v>0</v>
      </c>
      <c r="K1577">
        <f>_xlfn.XLOOKUP($A1577,Load!$B:$B,Load!L:L,0,)</f>
        <v>0</v>
      </c>
      <c r="L1577">
        <f>_xlfn.XLOOKUP($A1577,Load!$B:$B,Load!M:M,0,)</f>
        <v>0</v>
      </c>
    </row>
    <row r="1578" spans="1:12" x14ac:dyDescent="0.25">
      <c r="A1578" t="s">
        <v>463</v>
      </c>
      <c r="B1578" t="str">
        <f>_xlfn.XLOOKUP($A1578,Load!$B:$B,Load!C:C,0,)</f>
        <v>Mars Variety Pack</v>
      </c>
      <c r="C1578" t="str">
        <f>_xlfn.XLOOKUP($A1578,Load!$B:$B,Load!D:D,0,)</f>
        <v>Mix of Chocolate and Non-Chocolate Candy</v>
      </c>
      <c r="D1578" t="str">
        <f>_xlfn.XLOOKUP($A1578,Load!$B:$B,Load!E:E,0,)</f>
        <v>Variety / Mixed Flavors (Fruity, Sour, Seasonal Flavors)</v>
      </c>
      <c r="E1578" t="str">
        <f>_xlfn.XLOOKUP($A1578,Load!$B:$B,Load!F:F,0,)</f>
        <v>Mixed / Combo Packs (Gummy, Chewy, Taffy, etc.)</v>
      </c>
      <c r="F1578" t="str">
        <f>_xlfn.XLOOKUP($A1578,Load!$B:$B,Load!G:G,0,)</f>
        <v>Medium Multipack (40–80 ct)</v>
      </c>
      <c r="G1578" t="str">
        <f>_xlfn.XLOOKUP($A1578,Load!$B:$B,Load!H:H,0,)</f>
        <v>Stand-Up Bag</v>
      </c>
      <c r="H1578" t="str">
        <f>_xlfn.XLOOKUP($A1578,Load!$B:$B,Load!I:I,0,)</f>
        <v>Everyday Candy Shapes (like Original, Gummy bear, Fruit, Jewels, etc.)</v>
      </c>
      <c r="I1578" t="str">
        <f>_xlfn.XLOOKUP($A1578,Load!$B:$B,Load!J:J,0,)</f>
        <v>Seasonal Graphics (Like Bat, Ghost, Pumpkin, Fall Leaves, Eyeballs, etc.)</v>
      </c>
      <c r="J1578" t="str">
        <f>_xlfn.XLOOKUP($A1578,Load!$B:$B,Load!K:K,0,)</f>
        <v>Fun Size / Treat Size</v>
      </c>
      <c r="K1578" t="str">
        <f>_xlfn.XLOOKUP($A1578,Load!$B:$B,Load!L:L,0,)</f>
        <v>Regular/Original Wrapping</v>
      </c>
      <c r="L1578" t="str">
        <f>_xlfn.XLOOKUP($A1578,Load!$B:$B,Load!M:M,0,)</f>
        <v>Multiple Brands / Variety Flavors or Form</v>
      </c>
    </row>
    <row r="1579" spans="1:12" x14ac:dyDescent="0.25">
      <c r="B1579">
        <f>_xlfn.XLOOKUP($A1579,Load!$B:$B,Load!C:C,0,)</f>
        <v>0</v>
      </c>
      <c r="C1579">
        <f>_xlfn.XLOOKUP($A1579,Load!$B:$B,Load!D:D,0,)</f>
        <v>0</v>
      </c>
      <c r="D1579">
        <f>_xlfn.XLOOKUP($A1579,Load!$B:$B,Load!E:E,0,)</f>
        <v>0</v>
      </c>
      <c r="E1579">
        <f>_xlfn.XLOOKUP($A1579,Load!$B:$B,Load!F:F,0,)</f>
        <v>0</v>
      </c>
      <c r="F1579">
        <f>_xlfn.XLOOKUP($A1579,Load!$B:$B,Load!G:G,0,)</f>
        <v>0</v>
      </c>
      <c r="G1579">
        <f>_xlfn.XLOOKUP($A1579,Load!$B:$B,Load!H:H,0,)</f>
        <v>0</v>
      </c>
      <c r="H1579">
        <f>_xlfn.XLOOKUP($A1579,Load!$B:$B,Load!I:I,0,)</f>
        <v>0</v>
      </c>
      <c r="I1579">
        <f>_xlfn.XLOOKUP($A1579,Load!$B:$B,Load!J:J,0,)</f>
        <v>0</v>
      </c>
      <c r="J1579">
        <f>_xlfn.XLOOKUP($A1579,Load!$B:$B,Load!K:K,0,)</f>
        <v>0</v>
      </c>
      <c r="K1579">
        <f>_xlfn.XLOOKUP($A1579,Load!$B:$B,Load!L:L,0,)</f>
        <v>0</v>
      </c>
      <c r="L1579">
        <f>_xlfn.XLOOKUP($A1579,Load!$B:$B,Load!M:M,0,)</f>
        <v>0</v>
      </c>
    </row>
    <row r="1580" spans="1:12" x14ac:dyDescent="0.25">
      <c r="B1580">
        <f>_xlfn.XLOOKUP($A1580,Load!$B:$B,Load!C:C,0,)</f>
        <v>0</v>
      </c>
      <c r="C1580">
        <f>_xlfn.XLOOKUP($A1580,Load!$B:$B,Load!D:D,0,)</f>
        <v>0</v>
      </c>
      <c r="D1580">
        <f>_xlfn.XLOOKUP($A1580,Load!$B:$B,Load!E:E,0,)</f>
        <v>0</v>
      </c>
      <c r="E1580">
        <f>_xlfn.XLOOKUP($A1580,Load!$B:$B,Load!F:F,0,)</f>
        <v>0</v>
      </c>
      <c r="F1580">
        <f>_xlfn.XLOOKUP($A1580,Load!$B:$B,Load!G:G,0,)</f>
        <v>0</v>
      </c>
      <c r="G1580">
        <f>_xlfn.XLOOKUP($A1580,Load!$B:$B,Load!H:H,0,)</f>
        <v>0</v>
      </c>
      <c r="H1580">
        <f>_xlfn.XLOOKUP($A1580,Load!$B:$B,Load!I:I,0,)</f>
        <v>0</v>
      </c>
      <c r="I1580">
        <f>_xlfn.XLOOKUP($A1580,Load!$B:$B,Load!J:J,0,)</f>
        <v>0</v>
      </c>
      <c r="J1580">
        <f>_xlfn.XLOOKUP($A1580,Load!$B:$B,Load!K:K,0,)</f>
        <v>0</v>
      </c>
      <c r="K1580">
        <f>_xlfn.XLOOKUP($A1580,Load!$B:$B,Load!L:L,0,)</f>
        <v>0</v>
      </c>
      <c r="L1580">
        <f>_xlfn.XLOOKUP($A1580,Load!$B:$B,Load!M:M,0,)</f>
        <v>0</v>
      </c>
    </row>
    <row r="1581" spans="1:12" x14ac:dyDescent="0.25">
      <c r="B1581">
        <f>_xlfn.XLOOKUP($A1581,Load!$B:$B,Load!C:C,0,)</f>
        <v>0</v>
      </c>
      <c r="C1581">
        <f>_xlfn.XLOOKUP($A1581,Load!$B:$B,Load!D:D,0,)</f>
        <v>0</v>
      </c>
      <c r="D1581">
        <f>_xlfn.XLOOKUP($A1581,Load!$B:$B,Load!E:E,0,)</f>
        <v>0</v>
      </c>
      <c r="E1581">
        <f>_xlfn.XLOOKUP($A1581,Load!$B:$B,Load!F:F,0,)</f>
        <v>0</v>
      </c>
      <c r="F1581">
        <f>_xlfn.XLOOKUP($A1581,Load!$B:$B,Load!G:G,0,)</f>
        <v>0</v>
      </c>
      <c r="G1581">
        <f>_xlfn.XLOOKUP($A1581,Load!$B:$B,Load!H:H,0,)</f>
        <v>0</v>
      </c>
      <c r="H1581">
        <f>_xlfn.XLOOKUP($A1581,Load!$B:$B,Load!I:I,0,)</f>
        <v>0</v>
      </c>
      <c r="I1581">
        <f>_xlfn.XLOOKUP($A1581,Load!$B:$B,Load!J:J,0,)</f>
        <v>0</v>
      </c>
      <c r="J1581">
        <f>_xlfn.XLOOKUP($A1581,Load!$B:$B,Load!K:K,0,)</f>
        <v>0</v>
      </c>
      <c r="K1581">
        <f>_xlfn.XLOOKUP($A1581,Load!$B:$B,Load!L:L,0,)</f>
        <v>0</v>
      </c>
      <c r="L1581">
        <f>_xlfn.XLOOKUP($A1581,Load!$B:$B,Load!M:M,0,)</f>
        <v>0</v>
      </c>
    </row>
    <row r="1582" spans="1:12" x14ac:dyDescent="0.25">
      <c r="A1582" t="s">
        <v>207</v>
      </c>
      <c r="B1582" t="str">
        <f>_xlfn.XLOOKUP($A1582,Load!$B:$B,Load!C:C,0,)</f>
        <v>Mars Variety Pack</v>
      </c>
      <c r="C1582" t="str">
        <f>_xlfn.XLOOKUP($A1582,Load!$B:$B,Load!D:D,0,)</f>
        <v>Mix of Chocolate and Non-Chocolate Candy</v>
      </c>
      <c r="D1582" t="str">
        <f>_xlfn.XLOOKUP($A1582,Load!$B:$B,Load!E:E,0,)</f>
        <v>Variety / Mixed Flavors (Fruity, Sour, Seasonal Flavors)</v>
      </c>
      <c r="E1582" t="str">
        <f>_xlfn.XLOOKUP($A1582,Load!$B:$B,Load!F:F,0,)</f>
        <v>Mixed / Combo Packs (Gummy, Chewy, Taffy, etc.)</v>
      </c>
      <c r="F1582" t="str">
        <f>_xlfn.XLOOKUP($A1582,Load!$B:$B,Load!G:G,0,)</f>
        <v>Large Multipack (More than 80 ct)</v>
      </c>
      <c r="G1582" t="str">
        <f>_xlfn.XLOOKUP($A1582,Load!$B:$B,Load!H:H,0,)</f>
        <v>Stand-Up Bag</v>
      </c>
      <c r="H1582" t="str">
        <f>_xlfn.XLOOKUP($A1582,Load!$B:$B,Load!I:I,0,)</f>
        <v>Everyday Candy Shapes (like Original, Gummy bear, Fruit, Jewels, etc.)</v>
      </c>
      <c r="I1582" t="str">
        <f>_xlfn.XLOOKUP($A1582,Load!$B:$B,Load!J:J,0,)</f>
        <v>Everyday Graphics</v>
      </c>
      <c r="J1582" t="str">
        <f>_xlfn.XLOOKUP($A1582,Load!$B:$B,Load!K:K,0,)</f>
        <v>Fun Size / Treat Size</v>
      </c>
      <c r="K1582" t="str">
        <f>_xlfn.XLOOKUP($A1582,Load!$B:$B,Load!L:L,0,)</f>
        <v>Regular/Original Wrapping</v>
      </c>
      <c r="L1582" t="str">
        <f>_xlfn.XLOOKUP($A1582,Load!$B:$B,Load!M:M,0,)</f>
        <v>Multiple Brands / Variety Flavors or Form</v>
      </c>
    </row>
    <row r="1583" spans="1:12" x14ac:dyDescent="0.25">
      <c r="A1583" t="s">
        <v>140</v>
      </c>
      <c r="B1583" t="str">
        <f>_xlfn.XLOOKUP($A1583,Load!$B:$B,Load!C:C,0,)</f>
        <v>Hershey's Variety Pack + Haribo</v>
      </c>
      <c r="C1583" t="str">
        <f>_xlfn.XLOOKUP($A1583,Load!$B:$B,Load!D:D,0,)</f>
        <v>Mix of Chocolate and Non-Chocolate Candy</v>
      </c>
      <c r="D1583" t="str">
        <f>_xlfn.XLOOKUP($A1583,Load!$B:$B,Load!E:E,0,)</f>
        <v>Variety / Mixed Flavors (Fruity, Sour, Seasonal Flavors)</v>
      </c>
      <c r="E1583" t="str">
        <f>_xlfn.XLOOKUP($A1583,Load!$B:$B,Load!F:F,0,)</f>
        <v>Mixed / Combo Packs (Gummy, Chewy, Taffy, etc.)</v>
      </c>
      <c r="F1583" t="str">
        <f>_xlfn.XLOOKUP($A1583,Load!$B:$B,Load!G:G,0,)</f>
        <v>Large Multipack (More than 80 ct)</v>
      </c>
      <c r="G1583" t="str">
        <f>_xlfn.XLOOKUP($A1583,Load!$B:$B,Load!H:H,0,)</f>
        <v>Stand-Up Bag</v>
      </c>
      <c r="H1583" t="str">
        <f>_xlfn.XLOOKUP($A1583,Load!$B:$B,Load!I:I,0,)</f>
        <v>Everyday Candy Shapes (like Original, Gummy bear, Fruit, Jewels, etc.)</v>
      </c>
      <c r="I1583" t="str">
        <f>_xlfn.XLOOKUP($A1583,Load!$B:$B,Load!J:J,0,)</f>
        <v>Seasonal Graphics (Like Bat, Ghost, Pumpkin, Fall Leaves, Eyeballs, etc.)</v>
      </c>
      <c r="J1583" t="str">
        <f>_xlfn.XLOOKUP($A1583,Load!$B:$B,Load!K:K,0,)</f>
        <v xml:space="preserve">Variety Candy Sizes </v>
      </c>
      <c r="K1583" t="str">
        <f>_xlfn.XLOOKUP($A1583,Load!$B:$B,Load!L:L,0,)</f>
        <v>Regular/Original Wrapping</v>
      </c>
      <c r="L1583" t="str">
        <f>_xlfn.XLOOKUP($A1583,Load!$B:$B,Load!M:M,0,)</f>
        <v>Multiple Brands / Variety Flavors or Form</v>
      </c>
    </row>
    <row r="1584" spans="1:12" x14ac:dyDescent="0.25">
      <c r="A1584" t="s">
        <v>285</v>
      </c>
      <c r="B1584" t="str">
        <f>_xlfn.XLOOKUP($A1584,Load!$B:$B,Load!C:C,0,)</f>
        <v>Starburst</v>
      </c>
      <c r="C1584" t="str">
        <f>_xlfn.XLOOKUP($A1584,Load!$B:$B,Load!D:D,0,)</f>
        <v>Non-Chocolate Candy Only</v>
      </c>
      <c r="D1584" t="str">
        <f>_xlfn.XLOOKUP($A1584,Load!$B:$B,Load!E:E,0,)</f>
        <v>Fruit Flavor (Cherry, Grape, Apple, Citrus, Tropical Fruit)</v>
      </c>
      <c r="E1584" t="str">
        <f>_xlfn.XLOOKUP($A1584,Load!$B:$B,Load!F:F,0,)</f>
        <v>Chewy</v>
      </c>
      <c r="F1584" t="str">
        <f>_xlfn.XLOOKUP($A1584,Load!$B:$B,Load!G:G,0,)</f>
        <v>Small Multipack (Less than 40 ct)</v>
      </c>
      <c r="G1584" t="str">
        <f>_xlfn.XLOOKUP($A1584,Load!$B:$B,Load!H:H,0,)</f>
        <v>Laydown Bag</v>
      </c>
      <c r="H1584" t="str">
        <f>_xlfn.XLOOKUP($A1584,Load!$B:$B,Load!I:I,0,)</f>
        <v>Everyday Candy Shapes (like Original, Gummy bear, Fruit, Jewels, etc.)</v>
      </c>
      <c r="I1584" t="str">
        <f>_xlfn.XLOOKUP($A1584,Load!$B:$B,Load!J:J,0,)</f>
        <v>Everyday Graphics</v>
      </c>
      <c r="J1584" t="str">
        <f>_xlfn.XLOOKUP($A1584,Load!$B:$B,Load!K:K,0,)</f>
        <v>Small Pieces (Tiny bite size candies)</v>
      </c>
      <c r="K1584" t="str">
        <f>_xlfn.XLOOKUP($A1584,Load!$B:$B,Load!L:L,0,)</f>
        <v>Regular/Original Wrapping</v>
      </c>
      <c r="L1584" t="str">
        <f>_xlfn.XLOOKUP($A1584,Load!$B:$B,Load!M:M,0,)</f>
        <v>Single Brand / Variety Flavors or Form</v>
      </c>
    </row>
    <row r="1585" spans="1:12" x14ac:dyDescent="0.25">
      <c r="A1585" t="s">
        <v>260</v>
      </c>
      <c r="B1585" t="str">
        <f>_xlfn.XLOOKUP($A1585,Load!$B:$B,Load!C:C,0,)</f>
        <v>Skittles</v>
      </c>
      <c r="C1585" t="str">
        <f>_xlfn.XLOOKUP($A1585,Load!$B:$B,Load!D:D,0,)</f>
        <v>Non-Chocolate Candy Only</v>
      </c>
      <c r="D1585" t="str">
        <f>_xlfn.XLOOKUP($A1585,Load!$B:$B,Load!E:E,0,)</f>
        <v>Fruit Flavor (Cherry, Grape, Apple, Citrus, Tropical Fruit)</v>
      </c>
      <c r="E1585" t="str">
        <f>_xlfn.XLOOKUP($A1585,Load!$B:$B,Load!F:F,0,)</f>
        <v>Candy Pieces / Bites</v>
      </c>
      <c r="F1585" t="str">
        <f>_xlfn.XLOOKUP($A1585,Load!$B:$B,Load!G:G,0,)</f>
        <v>Single Pack</v>
      </c>
      <c r="G1585" t="str">
        <f>_xlfn.XLOOKUP($A1585,Load!$B:$B,Load!H:H,0,)</f>
        <v>Plastic Cup / Container</v>
      </c>
      <c r="H1585" t="str">
        <f>_xlfn.XLOOKUP($A1585,Load!$B:$B,Load!I:I,0,)</f>
        <v>Everyday Candy Shapes (like Original, Gummy bear, Fruit, Jewels, etc.)</v>
      </c>
      <c r="I1585" t="str">
        <f>_xlfn.XLOOKUP($A1585,Load!$B:$B,Load!J:J,0,)</f>
        <v>Seasonal Graphics (Like Bat, Ghost, Pumpkin, Fall Leaves, Eyeballs, etc.)</v>
      </c>
      <c r="J1585" t="str">
        <f>_xlfn.XLOOKUP($A1585,Load!$B:$B,Load!K:K,0,)</f>
        <v>Small Pieces (Tiny bite size candies)</v>
      </c>
      <c r="K1585" t="str">
        <f>_xlfn.XLOOKUP($A1585,Load!$B:$B,Load!L:L,0,)</f>
        <v>Unwrapped</v>
      </c>
      <c r="L1585" t="str">
        <f>_xlfn.XLOOKUP($A1585,Load!$B:$B,Load!M:M,0,)</f>
        <v>Single Brand / Single Flavor or Form</v>
      </c>
    </row>
    <row r="1586" spans="1:12" x14ac:dyDescent="0.25">
      <c r="B1586">
        <f>_xlfn.XLOOKUP($A1586,Load!$B:$B,Load!C:C,0,)</f>
        <v>0</v>
      </c>
      <c r="C1586">
        <f>_xlfn.XLOOKUP($A1586,Load!$B:$B,Load!D:D,0,)</f>
        <v>0</v>
      </c>
      <c r="D1586">
        <f>_xlfn.XLOOKUP($A1586,Load!$B:$B,Load!E:E,0,)</f>
        <v>0</v>
      </c>
      <c r="E1586">
        <f>_xlfn.XLOOKUP($A1586,Load!$B:$B,Load!F:F,0,)</f>
        <v>0</v>
      </c>
      <c r="F1586">
        <f>_xlfn.XLOOKUP($A1586,Load!$B:$B,Load!G:G,0,)</f>
        <v>0</v>
      </c>
      <c r="G1586">
        <f>_xlfn.XLOOKUP($A1586,Load!$B:$B,Load!H:H,0,)</f>
        <v>0</v>
      </c>
      <c r="H1586">
        <f>_xlfn.XLOOKUP($A1586,Load!$B:$B,Load!I:I,0,)</f>
        <v>0</v>
      </c>
      <c r="I1586">
        <f>_xlfn.XLOOKUP($A1586,Load!$B:$B,Load!J:J,0,)</f>
        <v>0</v>
      </c>
      <c r="J1586">
        <f>_xlfn.XLOOKUP($A1586,Load!$B:$B,Load!K:K,0,)</f>
        <v>0</v>
      </c>
      <c r="K1586">
        <f>_xlfn.XLOOKUP($A1586,Load!$B:$B,Load!L:L,0,)</f>
        <v>0</v>
      </c>
      <c r="L1586">
        <f>_xlfn.XLOOKUP($A1586,Load!$B:$B,Load!M:M,0,)</f>
        <v>0</v>
      </c>
    </row>
    <row r="1587" spans="1:12" x14ac:dyDescent="0.25">
      <c r="B1587">
        <f>_xlfn.XLOOKUP($A1587,Load!$B:$B,Load!C:C,0,)</f>
        <v>0</v>
      </c>
      <c r="C1587">
        <f>_xlfn.XLOOKUP($A1587,Load!$B:$B,Load!D:D,0,)</f>
        <v>0</v>
      </c>
      <c r="D1587">
        <f>_xlfn.XLOOKUP($A1587,Load!$B:$B,Load!E:E,0,)</f>
        <v>0</v>
      </c>
      <c r="E1587">
        <f>_xlfn.XLOOKUP($A1587,Load!$B:$B,Load!F:F,0,)</f>
        <v>0</v>
      </c>
      <c r="F1587">
        <f>_xlfn.XLOOKUP($A1587,Load!$B:$B,Load!G:G,0,)</f>
        <v>0</v>
      </c>
      <c r="G1587">
        <f>_xlfn.XLOOKUP($A1587,Load!$B:$B,Load!H:H,0,)</f>
        <v>0</v>
      </c>
      <c r="H1587">
        <f>_xlfn.XLOOKUP($A1587,Load!$B:$B,Load!I:I,0,)</f>
        <v>0</v>
      </c>
      <c r="I1587">
        <f>_xlfn.XLOOKUP($A1587,Load!$B:$B,Load!J:J,0,)</f>
        <v>0</v>
      </c>
      <c r="J1587">
        <f>_xlfn.XLOOKUP($A1587,Load!$B:$B,Load!K:K,0,)</f>
        <v>0</v>
      </c>
      <c r="K1587">
        <f>_xlfn.XLOOKUP($A1587,Load!$B:$B,Load!L:L,0,)</f>
        <v>0</v>
      </c>
      <c r="L1587">
        <f>_xlfn.XLOOKUP($A1587,Load!$B:$B,Load!M:M,0,)</f>
        <v>0</v>
      </c>
    </row>
    <row r="1588" spans="1:12" x14ac:dyDescent="0.25">
      <c r="B1588">
        <f>_xlfn.XLOOKUP($A1588,Load!$B:$B,Load!C:C,0,)</f>
        <v>0</v>
      </c>
      <c r="C1588">
        <f>_xlfn.XLOOKUP($A1588,Load!$B:$B,Load!D:D,0,)</f>
        <v>0</v>
      </c>
      <c r="D1588">
        <f>_xlfn.XLOOKUP($A1588,Load!$B:$B,Load!E:E,0,)</f>
        <v>0</v>
      </c>
      <c r="E1588">
        <f>_xlfn.XLOOKUP($A1588,Load!$B:$B,Load!F:F,0,)</f>
        <v>0</v>
      </c>
      <c r="F1588">
        <f>_xlfn.XLOOKUP($A1588,Load!$B:$B,Load!G:G,0,)</f>
        <v>0</v>
      </c>
      <c r="G1588">
        <f>_xlfn.XLOOKUP($A1588,Load!$B:$B,Load!H:H,0,)</f>
        <v>0</v>
      </c>
      <c r="H1588">
        <f>_xlfn.XLOOKUP($A1588,Load!$B:$B,Load!I:I,0,)</f>
        <v>0</v>
      </c>
      <c r="I1588">
        <f>_xlfn.XLOOKUP($A1588,Load!$B:$B,Load!J:J,0,)</f>
        <v>0</v>
      </c>
      <c r="J1588">
        <f>_xlfn.XLOOKUP($A1588,Load!$B:$B,Load!K:K,0,)</f>
        <v>0</v>
      </c>
      <c r="K1588">
        <f>_xlfn.XLOOKUP($A1588,Load!$B:$B,Load!L:L,0,)</f>
        <v>0</v>
      </c>
      <c r="L1588">
        <f>_xlfn.XLOOKUP($A1588,Load!$B:$B,Load!M:M,0,)</f>
        <v>0</v>
      </c>
    </row>
    <row r="1589" spans="1:12" x14ac:dyDescent="0.25">
      <c r="B1589">
        <f>_xlfn.XLOOKUP($A1589,Load!$B:$B,Load!C:C,0,)</f>
        <v>0</v>
      </c>
      <c r="C1589">
        <f>_xlfn.XLOOKUP($A1589,Load!$B:$B,Load!D:D,0,)</f>
        <v>0</v>
      </c>
      <c r="D1589">
        <f>_xlfn.XLOOKUP($A1589,Load!$B:$B,Load!E:E,0,)</f>
        <v>0</v>
      </c>
      <c r="E1589">
        <f>_xlfn.XLOOKUP($A1589,Load!$B:$B,Load!F:F,0,)</f>
        <v>0</v>
      </c>
      <c r="F1589">
        <f>_xlfn.XLOOKUP($A1589,Load!$B:$B,Load!G:G,0,)</f>
        <v>0</v>
      </c>
      <c r="G1589">
        <f>_xlfn.XLOOKUP($A1589,Load!$B:$B,Load!H:H,0,)</f>
        <v>0</v>
      </c>
      <c r="H1589">
        <f>_xlfn.XLOOKUP($A1589,Load!$B:$B,Load!I:I,0,)</f>
        <v>0</v>
      </c>
      <c r="I1589">
        <f>_xlfn.XLOOKUP($A1589,Load!$B:$B,Load!J:J,0,)</f>
        <v>0</v>
      </c>
      <c r="J1589">
        <f>_xlfn.XLOOKUP($A1589,Load!$B:$B,Load!K:K,0,)</f>
        <v>0</v>
      </c>
      <c r="K1589">
        <f>_xlfn.XLOOKUP($A1589,Load!$B:$B,Load!L:L,0,)</f>
        <v>0</v>
      </c>
      <c r="L1589">
        <f>_xlfn.XLOOKUP($A1589,Load!$B:$B,Load!M:M,0,)</f>
        <v>0</v>
      </c>
    </row>
    <row r="1590" spans="1:12" x14ac:dyDescent="0.25">
      <c r="A1590" t="s">
        <v>305</v>
      </c>
      <c r="B1590" t="str">
        <f>_xlfn.XLOOKUP($A1590,Load!$B:$B,Load!C:C,0,)</f>
        <v>Werther's Original</v>
      </c>
      <c r="C1590" t="str">
        <f>_xlfn.XLOOKUP($A1590,Load!$B:$B,Load!D:D,0,)</f>
        <v>Non-Chocolate Candy Only</v>
      </c>
      <c r="D1590" t="str">
        <f>_xlfn.XLOOKUP($A1590,Load!$B:$B,Load!E:E,0,)</f>
        <v>Fall / Seasonal Flavors (pumpkin spice, caramel apple, candy corn)</v>
      </c>
      <c r="E1590" t="str">
        <f>_xlfn.XLOOKUP($A1590,Load!$B:$B,Load!F:F,0,)</f>
        <v>Chewy</v>
      </c>
      <c r="F1590" t="str">
        <f>_xlfn.XLOOKUP($A1590,Load!$B:$B,Load!G:G,0,)</f>
        <v>Single Pack</v>
      </c>
      <c r="G1590" t="str">
        <f>_xlfn.XLOOKUP($A1590,Load!$B:$B,Load!H:H,0,)</f>
        <v>Stand-Up Bag</v>
      </c>
      <c r="H1590" t="str">
        <f>_xlfn.XLOOKUP($A1590,Load!$B:$B,Load!I:I,0,)</f>
        <v>Everyday Candy Shapes (like Original, Gummy bear, Fruit, Jewels, etc.)</v>
      </c>
      <c r="I1590" t="str">
        <f>_xlfn.XLOOKUP($A1590,Load!$B:$B,Load!J:J,0,)</f>
        <v>Seasonal Graphics (Like Bat, Ghost, Pumpkin, Fall Leaves, Eyeballs, etc.)</v>
      </c>
      <c r="J1590" t="str">
        <f>_xlfn.XLOOKUP($A1590,Load!$B:$B,Load!K:K,0,)</f>
        <v>Fun Size / Treat Size</v>
      </c>
      <c r="K1590" t="str">
        <f>_xlfn.XLOOKUP($A1590,Load!$B:$B,Load!L:L,0,)</f>
        <v>Regular/Original Wrapping</v>
      </c>
      <c r="L1590" t="str">
        <f>_xlfn.XLOOKUP($A1590,Load!$B:$B,Load!M:M,0,)</f>
        <v>Single Brand / Single Flavor or Form</v>
      </c>
    </row>
    <row r="1591" spans="1:12" x14ac:dyDescent="0.25">
      <c r="B1591">
        <f>_xlfn.XLOOKUP($A1591,Load!$B:$B,Load!C:C,0,)</f>
        <v>0</v>
      </c>
      <c r="C1591">
        <f>_xlfn.XLOOKUP($A1591,Load!$B:$B,Load!D:D,0,)</f>
        <v>0</v>
      </c>
      <c r="D1591">
        <f>_xlfn.XLOOKUP($A1591,Load!$B:$B,Load!E:E,0,)</f>
        <v>0</v>
      </c>
      <c r="E1591">
        <f>_xlfn.XLOOKUP($A1591,Load!$B:$B,Load!F:F,0,)</f>
        <v>0</v>
      </c>
      <c r="F1591">
        <f>_xlfn.XLOOKUP($A1591,Load!$B:$B,Load!G:G,0,)</f>
        <v>0</v>
      </c>
      <c r="G1591">
        <f>_xlfn.XLOOKUP($A1591,Load!$B:$B,Load!H:H,0,)</f>
        <v>0</v>
      </c>
      <c r="H1591">
        <f>_xlfn.XLOOKUP($A1591,Load!$B:$B,Load!I:I,0,)</f>
        <v>0</v>
      </c>
      <c r="I1591">
        <f>_xlfn.XLOOKUP($A1591,Load!$B:$B,Load!J:J,0,)</f>
        <v>0</v>
      </c>
      <c r="J1591">
        <f>_xlfn.XLOOKUP($A1591,Load!$B:$B,Load!K:K,0,)</f>
        <v>0</v>
      </c>
      <c r="K1591">
        <f>_xlfn.XLOOKUP($A1591,Load!$B:$B,Load!L:L,0,)</f>
        <v>0</v>
      </c>
      <c r="L1591">
        <f>_xlfn.XLOOKUP($A1591,Load!$B:$B,Load!M:M,0,)</f>
        <v>0</v>
      </c>
    </row>
    <row r="1592" spans="1:12" x14ac:dyDescent="0.25">
      <c r="B1592">
        <f>_xlfn.XLOOKUP($A1592,Load!$B:$B,Load!C:C,0,)</f>
        <v>0</v>
      </c>
      <c r="C1592">
        <f>_xlfn.XLOOKUP($A1592,Load!$B:$B,Load!D:D,0,)</f>
        <v>0</v>
      </c>
      <c r="D1592">
        <f>_xlfn.XLOOKUP($A1592,Load!$B:$B,Load!E:E,0,)</f>
        <v>0</v>
      </c>
      <c r="E1592">
        <f>_xlfn.XLOOKUP($A1592,Load!$B:$B,Load!F:F,0,)</f>
        <v>0</v>
      </c>
      <c r="F1592">
        <f>_xlfn.XLOOKUP($A1592,Load!$B:$B,Load!G:G,0,)</f>
        <v>0</v>
      </c>
      <c r="G1592">
        <f>_xlfn.XLOOKUP($A1592,Load!$B:$B,Load!H:H,0,)</f>
        <v>0</v>
      </c>
      <c r="H1592">
        <f>_xlfn.XLOOKUP($A1592,Load!$B:$B,Load!I:I,0,)</f>
        <v>0</v>
      </c>
      <c r="I1592">
        <f>_xlfn.XLOOKUP($A1592,Load!$B:$B,Load!J:J,0,)</f>
        <v>0</v>
      </c>
      <c r="J1592">
        <f>_xlfn.XLOOKUP($A1592,Load!$B:$B,Load!K:K,0,)</f>
        <v>0</v>
      </c>
      <c r="K1592">
        <f>_xlfn.XLOOKUP($A1592,Load!$B:$B,Load!L:L,0,)</f>
        <v>0</v>
      </c>
      <c r="L1592">
        <f>_xlfn.XLOOKUP($A1592,Load!$B:$B,Load!M:M,0,)</f>
        <v>0</v>
      </c>
    </row>
    <row r="1593" spans="1:12" x14ac:dyDescent="0.25">
      <c r="B1593">
        <f>_xlfn.XLOOKUP($A1593,Load!$B:$B,Load!C:C,0,)</f>
        <v>0</v>
      </c>
      <c r="C1593">
        <f>_xlfn.XLOOKUP($A1593,Load!$B:$B,Load!D:D,0,)</f>
        <v>0</v>
      </c>
      <c r="D1593">
        <f>_xlfn.XLOOKUP($A1593,Load!$B:$B,Load!E:E,0,)</f>
        <v>0</v>
      </c>
      <c r="E1593">
        <f>_xlfn.XLOOKUP($A1593,Load!$B:$B,Load!F:F,0,)</f>
        <v>0</v>
      </c>
      <c r="F1593">
        <f>_xlfn.XLOOKUP($A1593,Load!$B:$B,Load!G:G,0,)</f>
        <v>0</v>
      </c>
      <c r="G1593">
        <f>_xlfn.XLOOKUP($A1593,Load!$B:$B,Load!H:H,0,)</f>
        <v>0</v>
      </c>
      <c r="H1593">
        <f>_xlfn.XLOOKUP($A1593,Load!$B:$B,Load!I:I,0,)</f>
        <v>0</v>
      </c>
      <c r="I1593">
        <f>_xlfn.XLOOKUP($A1593,Load!$B:$B,Load!J:J,0,)</f>
        <v>0</v>
      </c>
      <c r="J1593">
        <f>_xlfn.XLOOKUP($A1593,Load!$B:$B,Load!K:K,0,)</f>
        <v>0</v>
      </c>
      <c r="K1593">
        <f>_xlfn.XLOOKUP($A1593,Load!$B:$B,Load!L:L,0,)</f>
        <v>0</v>
      </c>
      <c r="L1593">
        <f>_xlfn.XLOOKUP($A1593,Load!$B:$B,Load!M:M,0,)</f>
        <v>0</v>
      </c>
    </row>
    <row r="1594" spans="1:12" x14ac:dyDescent="0.25">
      <c r="A1594" t="s">
        <v>110</v>
      </c>
      <c r="B1594" t="str">
        <f>_xlfn.XLOOKUP($A1594,Load!$B:$B,Load!C:C,0,)</f>
        <v>Frankford</v>
      </c>
      <c r="C1594" t="str">
        <f>_xlfn.XLOOKUP($A1594,Load!$B:$B,Load!D:D,0,)</f>
        <v>Non-Chocolate Candy Only</v>
      </c>
      <c r="D1594" t="str">
        <f>_xlfn.XLOOKUP($A1594,Load!$B:$B,Load!E:E,0,)</f>
        <v>Fruit Flavor (Cherry, Grape, Apple, Citrus, Tropical Fruit)</v>
      </c>
      <c r="E1594" t="str">
        <f>_xlfn.XLOOKUP($A1594,Load!$B:$B,Load!F:F,0,)</f>
        <v>Gummy</v>
      </c>
      <c r="F1594" t="str">
        <f>_xlfn.XLOOKUP($A1594,Load!$B:$B,Load!G:G,0,)</f>
        <v>Single Pack</v>
      </c>
      <c r="G1594" t="str">
        <f>_xlfn.XLOOKUP($A1594,Load!$B:$B,Load!H:H,0,)</f>
        <v>Plastic Cup / Container</v>
      </c>
      <c r="H1594" t="str">
        <f>_xlfn.XLOOKUP($A1594,Load!$B:$B,Load!I:I,0,)</f>
        <v>Seasonal Shapes (like pumpkins, candy corn, ghost, bats, etc.)</v>
      </c>
      <c r="I1594" t="str">
        <f>_xlfn.XLOOKUP($A1594,Load!$B:$B,Load!J:J,0,)</f>
        <v>Seasonal Graphics (Like Bat, Ghost, Pumpkin, Fall Leaves, Eyeballs, etc.)</v>
      </c>
      <c r="J1594" t="str">
        <f>_xlfn.XLOOKUP($A1594,Load!$B:$B,Load!K:K,0,)</f>
        <v>Fun Size / Treat Size</v>
      </c>
      <c r="K1594" t="str">
        <f>_xlfn.XLOOKUP($A1594,Load!$B:$B,Load!L:L,0,)</f>
        <v>Unwrapped</v>
      </c>
      <c r="L1594" t="str">
        <f>_xlfn.XLOOKUP($A1594,Load!$B:$B,Load!M:M,0,)</f>
        <v>Single Brand / Variety Flavors or Form</v>
      </c>
    </row>
    <row r="1595" spans="1:12" x14ac:dyDescent="0.25">
      <c r="A1595" t="s">
        <v>247</v>
      </c>
      <c r="B1595" t="str">
        <f>_xlfn.XLOOKUP($A1595,Load!$B:$B,Load!C:C,0,)</f>
        <v>Rolling Pin</v>
      </c>
      <c r="C1595" t="str">
        <f>_xlfn.XLOOKUP($A1595,Load!$B:$B,Load!D:D,0,)</f>
        <v>Non-Chocolate Candy Only</v>
      </c>
      <c r="D1595" t="str">
        <f>_xlfn.XLOOKUP($A1595,Load!$B:$B,Load!E:E,0,)</f>
        <v>Fruit Flavor (Cherry, Grape, Apple, Citrus, Tropical Fruit)</v>
      </c>
      <c r="E1595" t="str">
        <f>_xlfn.XLOOKUP($A1595,Load!$B:$B,Load!F:F,0,)</f>
        <v>Gummy</v>
      </c>
      <c r="F1595" t="str">
        <f>_xlfn.XLOOKUP($A1595,Load!$B:$B,Load!G:G,0,)</f>
        <v>Single Pack</v>
      </c>
      <c r="G1595" t="str">
        <f>_xlfn.XLOOKUP($A1595,Load!$B:$B,Load!H:H,0,)</f>
        <v>Peg Bag</v>
      </c>
      <c r="H1595" t="str">
        <f>_xlfn.XLOOKUP($A1595,Load!$B:$B,Load!I:I,0,)</f>
        <v>Seasonal Shapes (like pumpkins, candy corn, ghost, bats, etc.)</v>
      </c>
      <c r="I1595" t="str">
        <f>_xlfn.XLOOKUP($A1595,Load!$B:$B,Load!J:J,0,)</f>
        <v>Seasonal Graphics (Like Bat, Ghost, Pumpkin, Fall Leaves, Eyeballs, etc.)</v>
      </c>
      <c r="J1595" t="str">
        <f>_xlfn.XLOOKUP($A1595,Load!$B:$B,Load!K:K,0,)</f>
        <v>Small Pieces (Tiny bite size candies)</v>
      </c>
      <c r="K1595" t="str">
        <f>_xlfn.XLOOKUP($A1595,Load!$B:$B,Load!L:L,0,)</f>
        <v>Unwrapped</v>
      </c>
      <c r="L1595" t="str">
        <f>_xlfn.XLOOKUP($A1595,Load!$B:$B,Load!M:M,0,)</f>
        <v>Single Brand / Single Flavor or Form</v>
      </c>
    </row>
    <row r="1596" spans="1:12" x14ac:dyDescent="0.25">
      <c r="A1596" t="s">
        <v>327</v>
      </c>
      <c r="B1596" t="str">
        <f>_xlfn.XLOOKUP($A1596,Load!$B:$B,Load!C:C,0,)</f>
        <v>Googly Eyes</v>
      </c>
      <c r="C1596" t="str">
        <f>_xlfn.XLOOKUP($A1596,Load!$B:$B,Load!D:D,0,)</f>
        <v>Non-Chocolate Candy Only</v>
      </c>
      <c r="D1596" t="str">
        <f>_xlfn.XLOOKUP($A1596,Load!$B:$B,Load!E:E,0,)</f>
        <v>Variety / Mixed Flavors (Fruity, Sour, Seasonal Flavors)</v>
      </c>
      <c r="E1596" t="str">
        <f>_xlfn.XLOOKUP($A1596,Load!$B:$B,Load!F:F,0,)</f>
        <v>Candy Pieces / Bites</v>
      </c>
      <c r="F1596" t="str">
        <f>_xlfn.XLOOKUP($A1596,Load!$B:$B,Load!G:G,0,)</f>
        <v>Small Multipack (Less than 40 ct)</v>
      </c>
      <c r="G1596" t="str">
        <f>_xlfn.XLOOKUP($A1596,Load!$B:$B,Load!H:H,0,)</f>
        <v>Plastic Cup / Container</v>
      </c>
      <c r="H1596" t="str">
        <f>_xlfn.XLOOKUP($A1596,Load!$B:$B,Load!I:I,0,)</f>
        <v>Seasonal Shapes (like pumpkins, candy corn, ghost, bats, etc.)</v>
      </c>
      <c r="I1596" t="str">
        <f>_xlfn.XLOOKUP($A1596,Load!$B:$B,Load!J:J,0,)</f>
        <v>Seasonal Graphics (Like Bat, Ghost, Pumpkin, Fall Leaves, Eyeballs, etc.)</v>
      </c>
      <c r="J1596" t="str">
        <f>_xlfn.XLOOKUP($A1596,Load!$B:$B,Load!K:K,0,)</f>
        <v>Fun Size / Treat Size</v>
      </c>
      <c r="K1596" t="str">
        <f>_xlfn.XLOOKUP($A1596,Load!$B:$B,Load!L:L,0,)</f>
        <v>Regular/Original Wrapping</v>
      </c>
      <c r="L1596" t="str">
        <f>_xlfn.XLOOKUP($A1596,Load!$B:$B,Load!M:M,0,)</f>
        <v>Single Brand / Variety Flavors or Form</v>
      </c>
    </row>
    <row r="1597" spans="1:12" x14ac:dyDescent="0.25">
      <c r="B1597">
        <f>_xlfn.XLOOKUP($A1597,Load!$B:$B,Load!C:C,0,)</f>
        <v>0</v>
      </c>
      <c r="C1597">
        <f>_xlfn.XLOOKUP($A1597,Load!$B:$B,Load!D:D,0,)</f>
        <v>0</v>
      </c>
      <c r="D1597">
        <f>_xlfn.XLOOKUP($A1597,Load!$B:$B,Load!E:E,0,)</f>
        <v>0</v>
      </c>
      <c r="E1597">
        <f>_xlfn.XLOOKUP($A1597,Load!$B:$B,Load!F:F,0,)</f>
        <v>0</v>
      </c>
      <c r="F1597">
        <f>_xlfn.XLOOKUP($A1597,Load!$B:$B,Load!G:G,0,)</f>
        <v>0</v>
      </c>
      <c r="G1597">
        <f>_xlfn.XLOOKUP($A1597,Load!$B:$B,Load!H:H,0,)</f>
        <v>0</v>
      </c>
      <c r="H1597">
        <f>_xlfn.XLOOKUP($A1597,Load!$B:$B,Load!I:I,0,)</f>
        <v>0</v>
      </c>
      <c r="I1597">
        <f>_xlfn.XLOOKUP($A1597,Load!$B:$B,Load!J:J,0,)</f>
        <v>0</v>
      </c>
      <c r="J1597">
        <f>_xlfn.XLOOKUP($A1597,Load!$B:$B,Load!K:K,0,)</f>
        <v>0</v>
      </c>
      <c r="K1597">
        <f>_xlfn.XLOOKUP($A1597,Load!$B:$B,Load!L:L,0,)</f>
        <v>0</v>
      </c>
      <c r="L1597">
        <f>_xlfn.XLOOKUP($A1597,Load!$B:$B,Load!M:M,0,)</f>
        <v>0</v>
      </c>
    </row>
    <row r="1598" spans="1:12" x14ac:dyDescent="0.25">
      <c r="A1598" t="s">
        <v>224</v>
      </c>
      <c r="B1598" t="str">
        <f>_xlfn.XLOOKUP($A1598,Load!$B:$B,Load!C:C,0,)</f>
        <v>Nerds</v>
      </c>
      <c r="C1598" t="str">
        <f>_xlfn.XLOOKUP($A1598,Load!$B:$B,Load!D:D,0,)</f>
        <v>Non-Chocolate Candy Only</v>
      </c>
      <c r="D1598" t="str">
        <f>_xlfn.XLOOKUP($A1598,Load!$B:$B,Load!E:E,0,)</f>
        <v>Sweet</v>
      </c>
      <c r="E1598" t="str">
        <f>_xlfn.XLOOKUP($A1598,Load!$B:$B,Load!F:F,0,)</f>
        <v>Mixed / Combo Packs (Gummy, Chewy, Taffy, etc.)</v>
      </c>
      <c r="F1598" t="str">
        <f>_xlfn.XLOOKUP($A1598,Load!$B:$B,Load!G:G,0,)</f>
        <v>Medium Multipack (40–80 ct)</v>
      </c>
      <c r="G1598" t="str">
        <f>_xlfn.XLOOKUP($A1598,Load!$B:$B,Load!H:H,0,)</f>
        <v>Stand-Up Bag</v>
      </c>
      <c r="H1598" t="str">
        <f>_xlfn.XLOOKUP($A1598,Load!$B:$B,Load!I:I,0,)</f>
        <v>Everyday Candy Shapes (like Original, Gummy bear, Fruit, Jewels, etc.)</v>
      </c>
      <c r="I1598" t="str">
        <f>_xlfn.XLOOKUP($A1598,Load!$B:$B,Load!J:J,0,)</f>
        <v>Seasonal Graphics (Like Bat, Ghost, Pumpkin, Fall Leaves, Eyeballs, etc.)</v>
      </c>
      <c r="J1598" t="str">
        <f>_xlfn.XLOOKUP($A1598,Load!$B:$B,Load!K:K,0,)</f>
        <v xml:space="preserve">Variety Candy Sizes </v>
      </c>
      <c r="K1598" t="str">
        <f>_xlfn.XLOOKUP($A1598,Load!$B:$B,Load!L:L,0,)</f>
        <v>Regular/Original Wrapping</v>
      </c>
      <c r="L1598" t="str">
        <f>_xlfn.XLOOKUP($A1598,Load!$B:$B,Load!M:M,0,)</f>
        <v>Single Brand / Variety Flavors or Form</v>
      </c>
    </row>
    <row r="1599" spans="1:12" x14ac:dyDescent="0.25">
      <c r="B1599">
        <f>_xlfn.XLOOKUP($A1599,Load!$B:$B,Load!C:C,0,)</f>
        <v>0</v>
      </c>
      <c r="C1599">
        <f>_xlfn.XLOOKUP($A1599,Load!$B:$B,Load!D:D,0,)</f>
        <v>0</v>
      </c>
      <c r="D1599">
        <f>_xlfn.XLOOKUP($A1599,Load!$B:$B,Load!E:E,0,)</f>
        <v>0</v>
      </c>
      <c r="E1599">
        <f>_xlfn.XLOOKUP($A1599,Load!$B:$B,Load!F:F,0,)</f>
        <v>0</v>
      </c>
      <c r="F1599">
        <f>_xlfn.XLOOKUP($A1599,Load!$B:$B,Load!G:G,0,)</f>
        <v>0</v>
      </c>
      <c r="G1599">
        <f>_xlfn.XLOOKUP($A1599,Load!$B:$B,Load!H:H,0,)</f>
        <v>0</v>
      </c>
      <c r="H1599">
        <f>_xlfn.XLOOKUP($A1599,Load!$B:$B,Load!I:I,0,)</f>
        <v>0</v>
      </c>
      <c r="I1599">
        <f>_xlfn.XLOOKUP($A1599,Load!$B:$B,Load!J:J,0,)</f>
        <v>0</v>
      </c>
      <c r="J1599">
        <f>_xlfn.XLOOKUP($A1599,Load!$B:$B,Load!K:K,0,)</f>
        <v>0</v>
      </c>
      <c r="K1599">
        <f>_xlfn.XLOOKUP($A1599,Load!$B:$B,Load!L:L,0,)</f>
        <v>0</v>
      </c>
      <c r="L1599">
        <f>_xlfn.XLOOKUP($A1599,Load!$B:$B,Load!M:M,0,)</f>
        <v>0</v>
      </c>
    </row>
    <row r="1600" spans="1:12" x14ac:dyDescent="0.25">
      <c r="B1600">
        <f>_xlfn.XLOOKUP($A1600,Load!$B:$B,Load!C:C,0,)</f>
        <v>0</v>
      </c>
      <c r="C1600">
        <f>_xlfn.XLOOKUP($A1600,Load!$B:$B,Load!D:D,0,)</f>
        <v>0</v>
      </c>
      <c r="D1600">
        <f>_xlfn.XLOOKUP($A1600,Load!$B:$B,Load!E:E,0,)</f>
        <v>0</v>
      </c>
      <c r="E1600">
        <f>_xlfn.XLOOKUP($A1600,Load!$B:$B,Load!F:F,0,)</f>
        <v>0</v>
      </c>
      <c r="F1600">
        <f>_xlfn.XLOOKUP($A1600,Load!$B:$B,Load!G:G,0,)</f>
        <v>0</v>
      </c>
      <c r="G1600">
        <f>_xlfn.XLOOKUP($A1600,Load!$B:$B,Load!H:H,0,)</f>
        <v>0</v>
      </c>
      <c r="H1600">
        <f>_xlfn.XLOOKUP($A1600,Load!$B:$B,Load!I:I,0,)</f>
        <v>0</v>
      </c>
      <c r="I1600">
        <f>_xlfn.XLOOKUP($A1600,Load!$B:$B,Load!J:J,0,)</f>
        <v>0</v>
      </c>
      <c r="J1600">
        <f>_xlfn.XLOOKUP($A1600,Load!$B:$B,Load!K:K,0,)</f>
        <v>0</v>
      </c>
      <c r="K1600">
        <f>_xlfn.XLOOKUP($A1600,Load!$B:$B,Load!L:L,0,)</f>
        <v>0</v>
      </c>
      <c r="L1600">
        <f>_xlfn.XLOOKUP($A1600,Load!$B:$B,Load!M:M,0,)</f>
        <v>0</v>
      </c>
    </row>
    <row r="1601" spans="1:12" x14ac:dyDescent="0.25">
      <c r="B1601">
        <f>_xlfn.XLOOKUP($A1601,Load!$B:$B,Load!C:C,0,)</f>
        <v>0</v>
      </c>
      <c r="C1601">
        <f>_xlfn.XLOOKUP($A1601,Load!$B:$B,Load!D:D,0,)</f>
        <v>0</v>
      </c>
      <c r="D1601">
        <f>_xlfn.XLOOKUP($A1601,Load!$B:$B,Load!E:E,0,)</f>
        <v>0</v>
      </c>
      <c r="E1601">
        <f>_xlfn.XLOOKUP($A1601,Load!$B:$B,Load!F:F,0,)</f>
        <v>0</v>
      </c>
      <c r="F1601">
        <f>_xlfn.XLOOKUP($A1601,Load!$B:$B,Load!G:G,0,)</f>
        <v>0</v>
      </c>
      <c r="G1601">
        <f>_xlfn.XLOOKUP($A1601,Load!$B:$B,Load!H:H,0,)</f>
        <v>0</v>
      </c>
      <c r="H1601">
        <f>_xlfn.XLOOKUP($A1601,Load!$B:$B,Load!I:I,0,)</f>
        <v>0</v>
      </c>
      <c r="I1601">
        <f>_xlfn.XLOOKUP($A1601,Load!$B:$B,Load!J:J,0,)</f>
        <v>0</v>
      </c>
      <c r="J1601">
        <f>_xlfn.XLOOKUP($A1601,Load!$B:$B,Load!K:K,0,)</f>
        <v>0</v>
      </c>
      <c r="K1601">
        <f>_xlfn.XLOOKUP($A1601,Load!$B:$B,Load!L:L,0,)</f>
        <v>0</v>
      </c>
      <c r="L1601">
        <f>_xlfn.XLOOKUP($A1601,Load!$B:$B,Load!M:M,0,)</f>
        <v>0</v>
      </c>
    </row>
    <row r="1602" spans="1:12" x14ac:dyDescent="0.25">
      <c r="A1602" t="s">
        <v>187</v>
      </c>
      <c r="B1602" t="str">
        <f>_xlfn.XLOOKUP($A1602,Load!$B:$B,Load!C:C,0,)</f>
        <v>Mars Variety Pack</v>
      </c>
      <c r="C1602" t="str">
        <f>_xlfn.XLOOKUP($A1602,Load!$B:$B,Load!D:D,0,)</f>
        <v>Mix of Chocolate and Non-Chocolate Candy</v>
      </c>
      <c r="D1602" t="str">
        <f>_xlfn.XLOOKUP($A1602,Load!$B:$B,Load!E:E,0,)</f>
        <v>Variety / Mixed Flavors (Fruity, Sour, Seasonal Flavors)</v>
      </c>
      <c r="E1602" t="str">
        <f>_xlfn.XLOOKUP($A1602,Load!$B:$B,Load!F:F,0,)</f>
        <v>Mixed / Combo Packs (Gummy, Chewy, Taffy, etc.)</v>
      </c>
      <c r="F1602" t="str">
        <f>_xlfn.XLOOKUP($A1602,Load!$B:$B,Load!G:G,0,)</f>
        <v>Medium Multipack (40–80 ct)</v>
      </c>
      <c r="G1602" t="str">
        <f>_xlfn.XLOOKUP($A1602,Load!$B:$B,Load!H:H,0,)</f>
        <v>Stand-Up Bag</v>
      </c>
      <c r="H1602" t="str">
        <f>_xlfn.XLOOKUP($A1602,Load!$B:$B,Load!I:I,0,)</f>
        <v>Everyday Candy Shapes (like Original, Gummy bear, Fruit, Jewels, etc.)</v>
      </c>
      <c r="I1602" t="str">
        <f>_xlfn.XLOOKUP($A1602,Load!$B:$B,Load!J:J,0,)</f>
        <v>Seasonal Graphics (Like Bat, Ghost, Pumpkin, Fall Leaves, Eyeballs, etc.)</v>
      </c>
      <c r="J1602" t="str">
        <f>_xlfn.XLOOKUP($A1602,Load!$B:$B,Load!K:K,0,)</f>
        <v>Fun Size / Treat Size</v>
      </c>
      <c r="K1602" t="str">
        <f>_xlfn.XLOOKUP($A1602,Load!$B:$B,Load!L:L,0,)</f>
        <v>Regular/Original Wrapping</v>
      </c>
      <c r="L1602" t="str">
        <f>_xlfn.XLOOKUP($A1602,Load!$B:$B,Load!M:M,0,)</f>
        <v>Multiple Brands / Variety Flavors or Form</v>
      </c>
    </row>
    <row r="1603" spans="1:12" x14ac:dyDescent="0.25">
      <c r="A1603" t="s">
        <v>202</v>
      </c>
      <c r="B1603" t="str">
        <f>_xlfn.XLOOKUP($A1603,Load!$B:$B,Load!C:C,0,)</f>
        <v>Mars Variety Pack</v>
      </c>
      <c r="C1603" t="str">
        <f>_xlfn.XLOOKUP($A1603,Load!$B:$B,Load!D:D,0,)</f>
        <v>Mix of Chocolate and Non-Chocolate Candy</v>
      </c>
      <c r="D1603" t="str">
        <f>_xlfn.XLOOKUP($A1603,Load!$B:$B,Load!E:E,0,)</f>
        <v>Variety / Mixed Flavors (Fruity, Sour, Seasonal Flavors)</v>
      </c>
      <c r="E1603" t="str">
        <f>_xlfn.XLOOKUP($A1603,Load!$B:$B,Load!F:F,0,)</f>
        <v>Mixed / Combo Packs (Gummy, Chewy, Taffy, etc.)</v>
      </c>
      <c r="F1603" t="str">
        <f>_xlfn.XLOOKUP($A1603,Load!$B:$B,Load!G:G,0,)</f>
        <v>Large Multipack (More than 80 ct)</v>
      </c>
      <c r="G1603" t="str">
        <f>_xlfn.XLOOKUP($A1603,Load!$B:$B,Load!H:H,0,)</f>
        <v>Stand-Up Bag</v>
      </c>
      <c r="H1603" t="str">
        <f>_xlfn.XLOOKUP($A1603,Load!$B:$B,Load!I:I,0,)</f>
        <v>Everyday Candy Shapes (like Original, Gummy bear, Fruit, Jewels, etc.)</v>
      </c>
      <c r="I1603" t="str">
        <f>_xlfn.XLOOKUP($A1603,Load!$B:$B,Load!J:J,0,)</f>
        <v>Everyday Graphics</v>
      </c>
      <c r="J1603" t="str">
        <f>_xlfn.XLOOKUP($A1603,Load!$B:$B,Load!K:K,0,)</f>
        <v>Fun Size / Treat Size</v>
      </c>
      <c r="K1603" t="str">
        <f>_xlfn.XLOOKUP($A1603,Load!$B:$B,Load!L:L,0,)</f>
        <v>Regular/Original Wrapping</v>
      </c>
      <c r="L1603" t="str">
        <f>_xlfn.XLOOKUP($A1603,Load!$B:$B,Load!M:M,0,)</f>
        <v>Multiple Brands / Variety Flavors or Form</v>
      </c>
    </row>
    <row r="1604" spans="1:12" x14ac:dyDescent="0.25">
      <c r="A1604" t="s">
        <v>297</v>
      </c>
      <c r="B1604" t="str">
        <f>_xlfn.XLOOKUP($A1604,Load!$B:$B,Load!C:C,0,)</f>
        <v>Trolli</v>
      </c>
      <c r="C1604" t="str">
        <f>_xlfn.XLOOKUP($A1604,Load!$B:$B,Load!D:D,0,)</f>
        <v>Non-Chocolate Candy Only</v>
      </c>
      <c r="D1604" t="str">
        <f>_xlfn.XLOOKUP($A1604,Load!$B:$B,Load!E:E,0,)</f>
        <v>Sour</v>
      </c>
      <c r="E1604" t="str">
        <f>_xlfn.XLOOKUP($A1604,Load!$B:$B,Load!F:F,0,)</f>
        <v>Gummy</v>
      </c>
      <c r="F1604" t="str">
        <f>_xlfn.XLOOKUP($A1604,Load!$B:$B,Load!G:G,0,)</f>
        <v>Small Multipack (Less than 40 ct)</v>
      </c>
      <c r="G1604" t="str">
        <f>_xlfn.XLOOKUP($A1604,Load!$B:$B,Load!H:H,0,)</f>
        <v>Peg Bag</v>
      </c>
      <c r="H1604" t="str">
        <f>_xlfn.XLOOKUP($A1604,Load!$B:$B,Load!I:I,0,)</f>
        <v>Everyday Candy Shapes (like Original, Gummy bear, Fruit, Jewels, etc.)</v>
      </c>
      <c r="I1604" t="str">
        <f>_xlfn.XLOOKUP($A1604,Load!$B:$B,Load!J:J,0,)</f>
        <v>Everyday Graphics</v>
      </c>
      <c r="J1604" t="str">
        <f>_xlfn.XLOOKUP($A1604,Load!$B:$B,Load!K:K,0,)</f>
        <v>Fun Size / Treat Size</v>
      </c>
      <c r="K1604" t="str">
        <f>_xlfn.XLOOKUP($A1604,Load!$B:$B,Load!L:L,0,)</f>
        <v>Unwrapped</v>
      </c>
      <c r="L1604" t="str">
        <f>_xlfn.XLOOKUP($A1604,Load!$B:$B,Load!M:M,0,)</f>
        <v>Single Brand / Variety Flavors or Form</v>
      </c>
    </row>
    <row r="1605" spans="1:12" x14ac:dyDescent="0.25">
      <c r="A1605" t="s">
        <v>126</v>
      </c>
      <c r="B1605" t="str">
        <f>_xlfn.XLOOKUP($A1605,Load!$B:$B,Load!C:C,0,)</f>
        <v>HARIBO</v>
      </c>
      <c r="C1605" t="str">
        <f>_xlfn.XLOOKUP($A1605,Load!$B:$B,Load!D:D,0,)</f>
        <v>Non-Chocolate Candy Only</v>
      </c>
      <c r="D1605" t="str">
        <f>_xlfn.XLOOKUP($A1605,Load!$B:$B,Load!E:E,0,)</f>
        <v>Sweet</v>
      </c>
      <c r="E1605" t="str">
        <f>_xlfn.XLOOKUP($A1605,Load!$B:$B,Load!F:F,0,)</f>
        <v>Gummy</v>
      </c>
      <c r="F1605" t="str">
        <f>_xlfn.XLOOKUP($A1605,Load!$B:$B,Load!G:G,0,)</f>
        <v>Single Pack</v>
      </c>
      <c r="G1605" t="str">
        <f>_xlfn.XLOOKUP($A1605,Load!$B:$B,Load!H:H,0,)</f>
        <v>Laydown Bag</v>
      </c>
      <c r="H1605" t="str">
        <f>_xlfn.XLOOKUP($A1605,Load!$B:$B,Load!I:I,0,)</f>
        <v>Seasonal Shapes (like pumpkins, candy corn, ghost, bats, etc.)</v>
      </c>
      <c r="I1605" t="str">
        <f>_xlfn.XLOOKUP($A1605,Load!$B:$B,Load!J:J,0,)</f>
        <v>Seasonal Graphics (Like Bat, Ghost, Pumpkin, Fall Leaves, Eyeballs, etc.)</v>
      </c>
      <c r="J1605" t="str">
        <f>_xlfn.XLOOKUP($A1605,Load!$B:$B,Load!K:K,0,)</f>
        <v>Small Pieces (Tiny bite size candies)</v>
      </c>
      <c r="K1605" t="str">
        <f>_xlfn.XLOOKUP($A1605,Load!$B:$B,Load!L:L,0,)</f>
        <v>Unwrapped</v>
      </c>
      <c r="L1605" t="str">
        <f>_xlfn.XLOOKUP($A1605,Load!$B:$B,Load!M:M,0,)</f>
        <v>Single Brand / Variety Flavors or Form</v>
      </c>
    </row>
    <row r="1606" spans="1:12" x14ac:dyDescent="0.25">
      <c r="B1606">
        <f>_xlfn.XLOOKUP($A1606,Load!$B:$B,Load!C:C,0,)</f>
        <v>0</v>
      </c>
      <c r="C1606">
        <f>_xlfn.XLOOKUP($A1606,Load!$B:$B,Load!D:D,0,)</f>
        <v>0</v>
      </c>
      <c r="D1606">
        <f>_xlfn.XLOOKUP($A1606,Load!$B:$B,Load!E:E,0,)</f>
        <v>0</v>
      </c>
      <c r="E1606">
        <f>_xlfn.XLOOKUP($A1606,Load!$B:$B,Load!F:F,0,)</f>
        <v>0</v>
      </c>
      <c r="F1606">
        <f>_xlfn.XLOOKUP($A1606,Load!$B:$B,Load!G:G,0,)</f>
        <v>0</v>
      </c>
      <c r="G1606">
        <f>_xlfn.XLOOKUP($A1606,Load!$B:$B,Load!H:H,0,)</f>
        <v>0</v>
      </c>
      <c r="H1606">
        <f>_xlfn.XLOOKUP($A1606,Load!$B:$B,Load!I:I,0,)</f>
        <v>0</v>
      </c>
      <c r="I1606">
        <f>_xlfn.XLOOKUP($A1606,Load!$B:$B,Load!J:J,0,)</f>
        <v>0</v>
      </c>
      <c r="J1606">
        <f>_xlfn.XLOOKUP($A1606,Load!$B:$B,Load!K:K,0,)</f>
        <v>0</v>
      </c>
      <c r="K1606">
        <f>_xlfn.XLOOKUP($A1606,Load!$B:$B,Load!L:L,0,)</f>
        <v>0</v>
      </c>
      <c r="L1606">
        <f>_xlfn.XLOOKUP($A1606,Load!$B:$B,Load!M:M,0,)</f>
        <v>0</v>
      </c>
    </row>
    <row r="1607" spans="1:12" x14ac:dyDescent="0.25">
      <c r="B1607">
        <f>_xlfn.XLOOKUP($A1607,Load!$B:$B,Load!C:C,0,)</f>
        <v>0</v>
      </c>
      <c r="C1607">
        <f>_xlfn.XLOOKUP($A1607,Load!$B:$B,Load!D:D,0,)</f>
        <v>0</v>
      </c>
      <c r="D1607">
        <f>_xlfn.XLOOKUP($A1607,Load!$B:$B,Load!E:E,0,)</f>
        <v>0</v>
      </c>
      <c r="E1607">
        <f>_xlfn.XLOOKUP($A1607,Load!$B:$B,Load!F:F,0,)</f>
        <v>0</v>
      </c>
      <c r="F1607">
        <f>_xlfn.XLOOKUP($A1607,Load!$B:$B,Load!G:G,0,)</f>
        <v>0</v>
      </c>
      <c r="G1607">
        <f>_xlfn.XLOOKUP($A1607,Load!$B:$B,Load!H:H,0,)</f>
        <v>0</v>
      </c>
      <c r="H1607">
        <f>_xlfn.XLOOKUP($A1607,Load!$B:$B,Load!I:I,0,)</f>
        <v>0</v>
      </c>
      <c r="I1607">
        <f>_xlfn.XLOOKUP($A1607,Load!$B:$B,Load!J:J,0,)</f>
        <v>0</v>
      </c>
      <c r="J1607">
        <f>_xlfn.XLOOKUP($A1607,Load!$B:$B,Load!K:K,0,)</f>
        <v>0</v>
      </c>
      <c r="K1607">
        <f>_xlfn.XLOOKUP($A1607,Load!$B:$B,Load!L:L,0,)</f>
        <v>0</v>
      </c>
      <c r="L1607">
        <f>_xlfn.XLOOKUP($A1607,Load!$B:$B,Load!M:M,0,)</f>
        <v>0</v>
      </c>
    </row>
    <row r="1608" spans="1:12" x14ac:dyDescent="0.25">
      <c r="B1608">
        <f>_xlfn.XLOOKUP($A1608,Load!$B:$B,Load!C:C,0,)</f>
        <v>0</v>
      </c>
      <c r="C1608">
        <f>_xlfn.XLOOKUP($A1608,Load!$B:$B,Load!D:D,0,)</f>
        <v>0</v>
      </c>
      <c r="D1608">
        <f>_xlfn.XLOOKUP($A1608,Load!$B:$B,Load!E:E,0,)</f>
        <v>0</v>
      </c>
      <c r="E1608">
        <f>_xlfn.XLOOKUP($A1608,Load!$B:$B,Load!F:F,0,)</f>
        <v>0</v>
      </c>
      <c r="F1608">
        <f>_xlfn.XLOOKUP($A1608,Load!$B:$B,Load!G:G,0,)</f>
        <v>0</v>
      </c>
      <c r="G1608">
        <f>_xlfn.XLOOKUP($A1608,Load!$B:$B,Load!H:H,0,)</f>
        <v>0</v>
      </c>
      <c r="H1608">
        <f>_xlfn.XLOOKUP($A1608,Load!$B:$B,Load!I:I,0,)</f>
        <v>0</v>
      </c>
      <c r="I1608">
        <f>_xlfn.XLOOKUP($A1608,Load!$B:$B,Load!J:J,0,)</f>
        <v>0</v>
      </c>
      <c r="J1608">
        <f>_xlfn.XLOOKUP($A1608,Load!$B:$B,Load!K:K,0,)</f>
        <v>0</v>
      </c>
      <c r="K1608">
        <f>_xlfn.XLOOKUP($A1608,Load!$B:$B,Load!L:L,0,)</f>
        <v>0</v>
      </c>
      <c r="L1608">
        <f>_xlfn.XLOOKUP($A1608,Load!$B:$B,Load!M:M,0,)</f>
        <v>0</v>
      </c>
    </row>
    <row r="1609" spans="1:12" x14ac:dyDescent="0.25">
      <c r="B1609">
        <f>_xlfn.XLOOKUP($A1609,Load!$B:$B,Load!C:C,0,)</f>
        <v>0</v>
      </c>
      <c r="C1609">
        <f>_xlfn.XLOOKUP($A1609,Load!$B:$B,Load!D:D,0,)</f>
        <v>0</v>
      </c>
      <c r="D1609">
        <f>_xlfn.XLOOKUP($A1609,Load!$B:$B,Load!E:E,0,)</f>
        <v>0</v>
      </c>
      <c r="E1609">
        <f>_xlfn.XLOOKUP($A1609,Load!$B:$B,Load!F:F,0,)</f>
        <v>0</v>
      </c>
      <c r="F1609">
        <f>_xlfn.XLOOKUP($A1609,Load!$B:$B,Load!G:G,0,)</f>
        <v>0</v>
      </c>
      <c r="G1609">
        <f>_xlfn.XLOOKUP($A1609,Load!$B:$B,Load!H:H,0,)</f>
        <v>0</v>
      </c>
      <c r="H1609">
        <f>_xlfn.XLOOKUP($A1609,Load!$B:$B,Load!I:I,0,)</f>
        <v>0</v>
      </c>
      <c r="I1609">
        <f>_xlfn.XLOOKUP($A1609,Load!$B:$B,Load!J:J,0,)</f>
        <v>0</v>
      </c>
      <c r="J1609">
        <f>_xlfn.XLOOKUP($A1609,Load!$B:$B,Load!K:K,0,)</f>
        <v>0</v>
      </c>
      <c r="K1609">
        <f>_xlfn.XLOOKUP($A1609,Load!$B:$B,Load!L:L,0,)</f>
        <v>0</v>
      </c>
      <c r="L1609">
        <f>_xlfn.XLOOKUP($A1609,Load!$B:$B,Load!M:M,0,)</f>
        <v>0</v>
      </c>
    </row>
    <row r="1610" spans="1:12" x14ac:dyDescent="0.25">
      <c r="B1610">
        <f>_xlfn.XLOOKUP($A1610,Load!$B:$B,Load!C:C,0,)</f>
        <v>0</v>
      </c>
      <c r="C1610">
        <f>_xlfn.XLOOKUP($A1610,Load!$B:$B,Load!D:D,0,)</f>
        <v>0</v>
      </c>
      <c r="D1610">
        <f>_xlfn.XLOOKUP($A1610,Load!$B:$B,Load!E:E,0,)</f>
        <v>0</v>
      </c>
      <c r="E1610">
        <f>_xlfn.XLOOKUP($A1610,Load!$B:$B,Load!F:F,0,)</f>
        <v>0</v>
      </c>
      <c r="F1610">
        <f>_xlfn.XLOOKUP($A1610,Load!$B:$B,Load!G:G,0,)</f>
        <v>0</v>
      </c>
      <c r="G1610">
        <f>_xlfn.XLOOKUP($A1610,Load!$B:$B,Load!H:H,0,)</f>
        <v>0</v>
      </c>
      <c r="H1610">
        <f>_xlfn.XLOOKUP($A1610,Load!$B:$B,Load!I:I,0,)</f>
        <v>0</v>
      </c>
      <c r="I1610">
        <f>_xlfn.XLOOKUP($A1610,Load!$B:$B,Load!J:J,0,)</f>
        <v>0</v>
      </c>
      <c r="J1610">
        <f>_xlfn.XLOOKUP($A1610,Load!$B:$B,Load!K:K,0,)</f>
        <v>0</v>
      </c>
      <c r="K1610">
        <f>_xlfn.XLOOKUP($A1610,Load!$B:$B,Load!L:L,0,)</f>
        <v>0</v>
      </c>
      <c r="L1610">
        <f>_xlfn.XLOOKUP($A1610,Load!$B:$B,Load!M:M,0,)</f>
        <v>0</v>
      </c>
    </row>
    <row r="1611" spans="1:12" x14ac:dyDescent="0.25">
      <c r="B1611">
        <f>_xlfn.XLOOKUP($A1611,Load!$B:$B,Load!C:C,0,)</f>
        <v>0</v>
      </c>
      <c r="C1611">
        <f>_xlfn.XLOOKUP($A1611,Load!$B:$B,Load!D:D,0,)</f>
        <v>0</v>
      </c>
      <c r="D1611">
        <f>_xlfn.XLOOKUP($A1611,Load!$B:$B,Load!E:E,0,)</f>
        <v>0</v>
      </c>
      <c r="E1611">
        <f>_xlfn.XLOOKUP($A1611,Load!$B:$B,Load!F:F,0,)</f>
        <v>0</v>
      </c>
      <c r="F1611">
        <f>_xlfn.XLOOKUP($A1611,Load!$B:$B,Load!G:G,0,)</f>
        <v>0</v>
      </c>
      <c r="G1611">
        <f>_xlfn.XLOOKUP($A1611,Load!$B:$B,Load!H:H,0,)</f>
        <v>0</v>
      </c>
      <c r="H1611">
        <f>_xlfn.XLOOKUP($A1611,Load!$B:$B,Load!I:I,0,)</f>
        <v>0</v>
      </c>
      <c r="I1611">
        <f>_xlfn.XLOOKUP($A1611,Load!$B:$B,Load!J:J,0,)</f>
        <v>0</v>
      </c>
      <c r="J1611">
        <f>_xlfn.XLOOKUP($A1611,Load!$B:$B,Load!K:K,0,)</f>
        <v>0</v>
      </c>
      <c r="K1611">
        <f>_xlfn.XLOOKUP($A1611,Load!$B:$B,Load!L:L,0,)</f>
        <v>0</v>
      </c>
      <c r="L1611">
        <f>_xlfn.XLOOKUP($A1611,Load!$B:$B,Load!M:M,0,)</f>
        <v>0</v>
      </c>
    </row>
    <row r="1612" spans="1:12" x14ac:dyDescent="0.25">
      <c r="B1612">
        <f>_xlfn.XLOOKUP($A1612,Load!$B:$B,Load!C:C,0,)</f>
        <v>0</v>
      </c>
      <c r="C1612">
        <f>_xlfn.XLOOKUP($A1612,Load!$B:$B,Load!D:D,0,)</f>
        <v>0</v>
      </c>
      <c r="D1612">
        <f>_xlfn.XLOOKUP($A1612,Load!$B:$B,Load!E:E,0,)</f>
        <v>0</v>
      </c>
      <c r="E1612">
        <f>_xlfn.XLOOKUP($A1612,Load!$B:$B,Load!F:F,0,)</f>
        <v>0</v>
      </c>
      <c r="F1612">
        <f>_xlfn.XLOOKUP($A1612,Load!$B:$B,Load!G:G,0,)</f>
        <v>0</v>
      </c>
      <c r="G1612">
        <f>_xlfn.XLOOKUP($A1612,Load!$B:$B,Load!H:H,0,)</f>
        <v>0</v>
      </c>
      <c r="H1612">
        <f>_xlfn.XLOOKUP($A1612,Load!$B:$B,Load!I:I,0,)</f>
        <v>0</v>
      </c>
      <c r="I1612">
        <f>_xlfn.XLOOKUP($A1612,Load!$B:$B,Load!J:J,0,)</f>
        <v>0</v>
      </c>
      <c r="J1612">
        <f>_xlfn.XLOOKUP($A1612,Load!$B:$B,Load!K:K,0,)</f>
        <v>0</v>
      </c>
      <c r="K1612">
        <f>_xlfn.XLOOKUP($A1612,Load!$B:$B,Load!L:L,0,)</f>
        <v>0</v>
      </c>
      <c r="L1612">
        <f>_xlfn.XLOOKUP($A1612,Load!$B:$B,Load!M:M,0,)</f>
        <v>0</v>
      </c>
    </row>
    <row r="1613" spans="1:12" x14ac:dyDescent="0.25">
      <c r="B1613">
        <f>_xlfn.XLOOKUP($A1613,Load!$B:$B,Load!C:C,0,)</f>
        <v>0</v>
      </c>
      <c r="C1613">
        <f>_xlfn.XLOOKUP($A1613,Load!$B:$B,Load!D:D,0,)</f>
        <v>0</v>
      </c>
      <c r="D1613">
        <f>_xlfn.XLOOKUP($A1613,Load!$B:$B,Load!E:E,0,)</f>
        <v>0</v>
      </c>
      <c r="E1613">
        <f>_xlfn.XLOOKUP($A1613,Load!$B:$B,Load!F:F,0,)</f>
        <v>0</v>
      </c>
      <c r="F1613">
        <f>_xlfn.XLOOKUP($A1613,Load!$B:$B,Load!G:G,0,)</f>
        <v>0</v>
      </c>
      <c r="G1613">
        <f>_xlfn.XLOOKUP($A1613,Load!$B:$B,Load!H:H,0,)</f>
        <v>0</v>
      </c>
      <c r="H1613">
        <f>_xlfn.XLOOKUP($A1613,Load!$B:$B,Load!I:I,0,)</f>
        <v>0</v>
      </c>
      <c r="I1613">
        <f>_xlfn.XLOOKUP($A1613,Load!$B:$B,Load!J:J,0,)</f>
        <v>0</v>
      </c>
      <c r="J1613">
        <f>_xlfn.XLOOKUP($A1613,Load!$B:$B,Load!K:K,0,)</f>
        <v>0</v>
      </c>
      <c r="K1613">
        <f>_xlfn.XLOOKUP($A1613,Load!$B:$B,Load!L:L,0,)</f>
        <v>0</v>
      </c>
      <c r="L1613">
        <f>_xlfn.XLOOKUP($A1613,Load!$B:$B,Load!M:M,0,)</f>
        <v>0</v>
      </c>
    </row>
    <row r="1614" spans="1:12" x14ac:dyDescent="0.25">
      <c r="A1614" t="s">
        <v>86</v>
      </c>
      <c r="B1614" t="str">
        <f>_xlfn.XLOOKUP($A1614,Load!$B:$B,Load!C:C,0,)</f>
        <v>Ferrara Variety Pack</v>
      </c>
      <c r="C1614" t="str">
        <f>_xlfn.XLOOKUP($A1614,Load!$B:$B,Load!D:D,0,)</f>
        <v>Non-Chocolate Candy Only</v>
      </c>
      <c r="D1614" t="str">
        <f>_xlfn.XLOOKUP($A1614,Load!$B:$B,Load!E:E,0,)</f>
        <v>Variety / Mixed Flavors (Fruity, Sour, Seasonal Flavors)</v>
      </c>
      <c r="E1614" t="str">
        <f>_xlfn.XLOOKUP($A1614,Load!$B:$B,Load!F:F,0,)</f>
        <v>Mixed / Combo Packs (Gummy, Chewy, Taffy, etc.)</v>
      </c>
      <c r="F1614" t="str">
        <f>_xlfn.XLOOKUP($A1614,Load!$B:$B,Load!G:G,0,)</f>
        <v>Small Multipack (Less than 40 ct)</v>
      </c>
      <c r="G1614" t="str">
        <f>_xlfn.XLOOKUP($A1614,Load!$B:$B,Load!H:H,0,)</f>
        <v>Laydown Bag</v>
      </c>
      <c r="H1614" t="str">
        <f>_xlfn.XLOOKUP($A1614,Load!$B:$B,Load!I:I,0,)</f>
        <v>Seasonal Shapes (like pumpkins, candy corn, ghost, bats, etc.)</v>
      </c>
      <c r="I1614" t="str">
        <f>_xlfn.XLOOKUP($A1614,Load!$B:$B,Load!J:J,0,)</f>
        <v>Seasonal Graphics (Like Bat, Ghost, Pumpkin, Fall Leaves, Eyeballs, etc.)</v>
      </c>
      <c r="J1614" t="str">
        <f>_xlfn.XLOOKUP($A1614,Load!$B:$B,Load!K:K,0,)</f>
        <v xml:space="preserve">Variety Candy Sizes </v>
      </c>
      <c r="K1614" t="str">
        <f>_xlfn.XLOOKUP($A1614,Load!$B:$B,Load!L:L,0,)</f>
        <v>Regular/Original Wrapping</v>
      </c>
      <c r="L1614" t="str">
        <f>_xlfn.XLOOKUP($A1614,Load!$B:$B,Load!M:M,0,)</f>
        <v>Multiple Brands / Variety Flavors or Form</v>
      </c>
    </row>
    <row r="1615" spans="1:12" x14ac:dyDescent="0.25">
      <c r="A1615" t="s">
        <v>142</v>
      </c>
      <c r="B1615" t="str">
        <f>_xlfn.XLOOKUP($A1615,Load!$B:$B,Load!C:C,0,)</f>
        <v>Hershey's Variety Pack + Haribo</v>
      </c>
      <c r="C1615" t="str">
        <f>_xlfn.XLOOKUP($A1615,Load!$B:$B,Load!D:D,0,)</f>
        <v>Mix of Chocolate and Non-Chocolate Candy</v>
      </c>
      <c r="D1615" t="str">
        <f>_xlfn.XLOOKUP($A1615,Load!$B:$B,Load!E:E,0,)</f>
        <v>Variety / Mixed Flavors (Fruity, Sour, Seasonal Flavors)</v>
      </c>
      <c r="E1615" t="str">
        <f>_xlfn.XLOOKUP($A1615,Load!$B:$B,Load!F:F,0,)</f>
        <v>Mixed / Combo Packs (Gummy, Chewy, Taffy, etc.)</v>
      </c>
      <c r="F1615" t="str">
        <f>_xlfn.XLOOKUP($A1615,Load!$B:$B,Load!G:G,0,)</f>
        <v>Small Multipack (Less than 40 ct)</v>
      </c>
      <c r="G1615" t="str">
        <f>_xlfn.XLOOKUP($A1615,Load!$B:$B,Load!H:H,0,)</f>
        <v>Laydown Bag</v>
      </c>
      <c r="H1615" t="str">
        <f>_xlfn.XLOOKUP($A1615,Load!$B:$B,Load!I:I,0,)</f>
        <v>Everyday Candy Shapes (like Original, Gummy bear, Fruit, Jewels, etc.)</v>
      </c>
      <c r="I1615" t="str">
        <f>_xlfn.XLOOKUP($A1615,Load!$B:$B,Load!J:J,0,)</f>
        <v>Seasonal Graphics (Like Bat, Ghost, Pumpkin, Fall Leaves, Eyeballs, etc.)</v>
      </c>
      <c r="J1615" t="str">
        <f>_xlfn.XLOOKUP($A1615,Load!$B:$B,Load!K:K,0,)</f>
        <v>Fun Size / Treat Size</v>
      </c>
      <c r="K1615" t="str">
        <f>_xlfn.XLOOKUP($A1615,Load!$B:$B,Load!L:L,0,)</f>
        <v>Regular/Original Wrapping</v>
      </c>
      <c r="L1615" t="str">
        <f>_xlfn.XLOOKUP($A1615,Load!$B:$B,Load!M:M,0,)</f>
        <v>Multiple Brands / Variety Flavors or Form</v>
      </c>
    </row>
    <row r="1616" spans="1:12" x14ac:dyDescent="0.25">
      <c r="A1616" t="s">
        <v>304</v>
      </c>
      <c r="B1616" t="str">
        <f>_xlfn.XLOOKUP($A1616,Load!$B:$B,Load!C:C,0,)</f>
        <v>Warheads</v>
      </c>
      <c r="C1616" t="str">
        <f>_xlfn.XLOOKUP($A1616,Load!$B:$B,Load!D:D,0,)</f>
        <v>Non-Chocolate Candy Only</v>
      </c>
      <c r="D1616" t="str">
        <f>_xlfn.XLOOKUP($A1616,Load!$B:$B,Load!E:E,0,)</f>
        <v>Sour</v>
      </c>
      <c r="E1616" t="str">
        <f>_xlfn.XLOOKUP($A1616,Load!$B:$B,Load!F:F,0,)</f>
        <v>Chewy</v>
      </c>
      <c r="F1616" t="str">
        <f>_xlfn.XLOOKUP($A1616,Load!$B:$B,Load!G:G,0,)</f>
        <v>Medium Multipack (40–80 ct)</v>
      </c>
      <c r="G1616" t="str">
        <f>_xlfn.XLOOKUP($A1616,Load!$B:$B,Load!H:H,0,)</f>
        <v>Laydown Bag</v>
      </c>
      <c r="H1616" t="str">
        <f>_xlfn.XLOOKUP($A1616,Load!$B:$B,Load!I:I,0,)</f>
        <v>Everyday Candy Shapes (like Original, Gummy bear, Fruit, Jewels, etc.)</v>
      </c>
      <c r="I1616" t="str">
        <f>_xlfn.XLOOKUP($A1616,Load!$B:$B,Load!J:J,0,)</f>
        <v>Seasonal Graphics (Like Bat, Ghost, Pumpkin, Fall Leaves, Eyeballs, etc.)</v>
      </c>
      <c r="J1616" t="str">
        <f>_xlfn.XLOOKUP($A1616,Load!$B:$B,Load!K:K,0,)</f>
        <v>Fun Size / Treat Size</v>
      </c>
      <c r="K1616" t="str">
        <f>_xlfn.XLOOKUP($A1616,Load!$B:$B,Load!L:L,0,)</f>
        <v>Regular/Original Wrapping</v>
      </c>
      <c r="L1616" t="str">
        <f>_xlfn.XLOOKUP($A1616,Load!$B:$B,Load!M:M,0,)</f>
        <v>Single Brand / Single Flavor or Form</v>
      </c>
    </row>
    <row r="1617" spans="1:12" x14ac:dyDescent="0.25">
      <c r="A1617" t="s">
        <v>191</v>
      </c>
      <c r="B1617" t="str">
        <f>_xlfn.XLOOKUP($A1617,Load!$B:$B,Load!C:C,0,)</f>
        <v>Mars Variety Pack</v>
      </c>
      <c r="C1617" t="str">
        <f>_xlfn.XLOOKUP($A1617,Load!$B:$B,Load!D:D,0,)</f>
        <v>Mix of Chocolate and Non-Chocolate Candy</v>
      </c>
      <c r="D1617" t="str">
        <f>_xlfn.XLOOKUP($A1617,Load!$B:$B,Load!E:E,0,)</f>
        <v>Variety / Mixed Flavors (Fruity, Sour, Seasonal Flavors)</v>
      </c>
      <c r="E1617" t="str">
        <f>_xlfn.XLOOKUP($A1617,Load!$B:$B,Load!F:F,0,)</f>
        <v>Mixed / Combo Packs (Gummy, Chewy, Taffy, etc.)</v>
      </c>
      <c r="F1617" t="str">
        <f>_xlfn.XLOOKUP($A1617,Load!$B:$B,Load!G:G,0,)</f>
        <v>Medium Multipack (40–80 ct)</v>
      </c>
      <c r="G1617" t="str">
        <f>_xlfn.XLOOKUP($A1617,Load!$B:$B,Load!H:H,0,)</f>
        <v>Stand-Up Bag</v>
      </c>
      <c r="H1617" t="str">
        <f>_xlfn.XLOOKUP($A1617,Load!$B:$B,Load!I:I,0,)</f>
        <v>Everyday Candy Shapes (like Original, Gummy bear, Fruit, Jewels, etc.)</v>
      </c>
      <c r="I1617" t="str">
        <f>_xlfn.XLOOKUP($A1617,Load!$B:$B,Load!J:J,0,)</f>
        <v>Seasonal Graphics (Like Bat, Ghost, Pumpkin, Fall Leaves, Eyeballs, etc.)</v>
      </c>
      <c r="J1617" t="str">
        <f>_xlfn.XLOOKUP($A1617,Load!$B:$B,Load!K:K,0,)</f>
        <v xml:space="preserve">Variety Candy Sizes </v>
      </c>
      <c r="K1617" t="str">
        <f>_xlfn.XLOOKUP($A1617,Load!$B:$B,Load!L:L,0,)</f>
        <v>Regular/Original Wrapping</v>
      </c>
      <c r="L1617" t="str">
        <f>_xlfn.XLOOKUP($A1617,Load!$B:$B,Load!M:M,0,)</f>
        <v>Multiple Brands / Variety Flavors or Form</v>
      </c>
    </row>
    <row r="1618" spans="1:12" x14ac:dyDescent="0.25">
      <c r="A1618" t="s">
        <v>187</v>
      </c>
      <c r="B1618" t="str">
        <f>_xlfn.XLOOKUP($A1618,Load!$B:$B,Load!C:C,0,)</f>
        <v>Mars Variety Pack</v>
      </c>
      <c r="C1618" t="str">
        <f>_xlfn.XLOOKUP($A1618,Load!$B:$B,Load!D:D,0,)</f>
        <v>Mix of Chocolate and Non-Chocolate Candy</v>
      </c>
      <c r="D1618" t="str">
        <f>_xlfn.XLOOKUP($A1618,Load!$B:$B,Load!E:E,0,)</f>
        <v>Variety / Mixed Flavors (Fruity, Sour, Seasonal Flavors)</v>
      </c>
      <c r="E1618" t="str">
        <f>_xlfn.XLOOKUP($A1618,Load!$B:$B,Load!F:F,0,)</f>
        <v>Mixed / Combo Packs (Gummy, Chewy, Taffy, etc.)</v>
      </c>
      <c r="F1618" t="str">
        <f>_xlfn.XLOOKUP($A1618,Load!$B:$B,Load!G:G,0,)</f>
        <v>Medium Multipack (40–80 ct)</v>
      </c>
      <c r="G1618" t="str">
        <f>_xlfn.XLOOKUP($A1618,Load!$B:$B,Load!H:H,0,)</f>
        <v>Stand-Up Bag</v>
      </c>
      <c r="H1618" t="str">
        <f>_xlfn.XLOOKUP($A1618,Load!$B:$B,Load!I:I,0,)</f>
        <v>Everyday Candy Shapes (like Original, Gummy bear, Fruit, Jewels, etc.)</v>
      </c>
      <c r="I1618" t="str">
        <f>_xlfn.XLOOKUP($A1618,Load!$B:$B,Load!J:J,0,)</f>
        <v>Seasonal Graphics (Like Bat, Ghost, Pumpkin, Fall Leaves, Eyeballs, etc.)</v>
      </c>
      <c r="J1618" t="str">
        <f>_xlfn.XLOOKUP($A1618,Load!$B:$B,Load!K:K,0,)</f>
        <v>Fun Size / Treat Size</v>
      </c>
      <c r="K1618" t="str">
        <f>_xlfn.XLOOKUP($A1618,Load!$B:$B,Load!L:L,0,)</f>
        <v>Regular/Original Wrapping</v>
      </c>
      <c r="L1618" t="str">
        <f>_xlfn.XLOOKUP($A1618,Load!$B:$B,Load!M:M,0,)</f>
        <v>Multiple Brands / Variety Flavors or Form</v>
      </c>
    </row>
    <row r="1619" spans="1:12" x14ac:dyDescent="0.25">
      <c r="B1619">
        <f>_xlfn.XLOOKUP($A1619,Load!$B:$B,Load!C:C,0,)</f>
        <v>0</v>
      </c>
      <c r="C1619">
        <f>_xlfn.XLOOKUP($A1619,Load!$B:$B,Load!D:D,0,)</f>
        <v>0</v>
      </c>
      <c r="D1619">
        <f>_xlfn.XLOOKUP($A1619,Load!$B:$B,Load!E:E,0,)</f>
        <v>0</v>
      </c>
      <c r="E1619">
        <f>_xlfn.XLOOKUP($A1619,Load!$B:$B,Load!F:F,0,)</f>
        <v>0</v>
      </c>
      <c r="F1619">
        <f>_xlfn.XLOOKUP($A1619,Load!$B:$B,Load!G:G,0,)</f>
        <v>0</v>
      </c>
      <c r="G1619">
        <f>_xlfn.XLOOKUP($A1619,Load!$B:$B,Load!H:H,0,)</f>
        <v>0</v>
      </c>
      <c r="H1619">
        <f>_xlfn.XLOOKUP($A1619,Load!$B:$B,Load!I:I,0,)</f>
        <v>0</v>
      </c>
      <c r="I1619">
        <f>_xlfn.XLOOKUP($A1619,Load!$B:$B,Load!J:J,0,)</f>
        <v>0</v>
      </c>
      <c r="J1619">
        <f>_xlfn.XLOOKUP($A1619,Load!$B:$B,Load!K:K,0,)</f>
        <v>0</v>
      </c>
      <c r="K1619">
        <f>_xlfn.XLOOKUP($A1619,Load!$B:$B,Load!L:L,0,)</f>
        <v>0</v>
      </c>
      <c r="L1619">
        <f>_xlfn.XLOOKUP($A1619,Load!$B:$B,Load!M:M,0,)</f>
        <v>0</v>
      </c>
    </row>
    <row r="1620" spans="1:12" x14ac:dyDescent="0.25">
      <c r="A1620" t="s">
        <v>293</v>
      </c>
      <c r="B1620" t="str">
        <f>_xlfn.XLOOKUP($A1620,Load!$B:$B,Load!C:C,0,)</f>
        <v>Tootsie</v>
      </c>
      <c r="C1620" t="str">
        <f>_xlfn.XLOOKUP($A1620,Load!$B:$B,Load!D:D,0,)</f>
        <v>Mix of Chocolate and Non-Chocolate Candy</v>
      </c>
      <c r="D1620" t="str">
        <f>_xlfn.XLOOKUP($A1620,Load!$B:$B,Load!E:E,0,)</f>
        <v>Sweet</v>
      </c>
      <c r="E1620" t="str">
        <f>_xlfn.XLOOKUP($A1620,Load!$B:$B,Load!F:F,0,)</f>
        <v>Lollipop (regular or lollipop rings)</v>
      </c>
      <c r="F1620" t="str">
        <f>_xlfn.XLOOKUP($A1620,Load!$B:$B,Load!G:G,0,)</f>
        <v>Large Multipack (More than 80 ct)</v>
      </c>
      <c r="G1620" t="str">
        <f>_xlfn.XLOOKUP($A1620,Load!$B:$B,Load!H:H,0,)</f>
        <v>Laydown Bag</v>
      </c>
      <c r="H1620" t="str">
        <f>_xlfn.XLOOKUP($A1620,Load!$B:$B,Load!I:I,0,)</f>
        <v>Everyday Candy Shapes (like Original, Gummy bear, Fruit, Jewels, etc.)</v>
      </c>
      <c r="I1620" t="str">
        <f>_xlfn.XLOOKUP($A1620,Load!$B:$B,Load!J:J,0,)</f>
        <v>Everyday Graphics</v>
      </c>
      <c r="J1620" t="str">
        <f>_xlfn.XLOOKUP($A1620,Load!$B:$B,Load!K:K,0,)</f>
        <v>Regular Lollipop size (on sticks or rings)</v>
      </c>
      <c r="K1620" t="str">
        <f>_xlfn.XLOOKUP($A1620,Load!$B:$B,Load!L:L,0,)</f>
        <v>Regular/Original Wrapping</v>
      </c>
      <c r="L1620" t="str">
        <f>_xlfn.XLOOKUP($A1620,Load!$B:$B,Load!M:M,0,)</f>
        <v>Single Brand / Single Flavor or Form</v>
      </c>
    </row>
    <row r="1621" spans="1:12" x14ac:dyDescent="0.25">
      <c r="A1621" t="s">
        <v>32</v>
      </c>
      <c r="B1621" t="str">
        <f>_xlfn.XLOOKUP($A1621,Load!$B:$B,Load!C:C,0,)</f>
        <v>Bazooka Brands</v>
      </c>
      <c r="C1621" t="str">
        <f>_xlfn.XLOOKUP($A1621,Load!$B:$B,Load!D:D,0,)</f>
        <v>Non-Chocolate Candy Only</v>
      </c>
      <c r="D1621" t="str">
        <f>_xlfn.XLOOKUP($A1621,Load!$B:$B,Load!E:E,0,)</f>
        <v>Sweet</v>
      </c>
      <c r="E1621" t="str">
        <f>_xlfn.XLOOKUP($A1621,Load!$B:$B,Load!F:F,0,)</f>
        <v>Gummy</v>
      </c>
      <c r="F1621" t="str">
        <f>_xlfn.XLOOKUP($A1621,Load!$B:$B,Load!G:G,0,)</f>
        <v>Small Multipack (Less than 40 ct)</v>
      </c>
      <c r="G1621" t="str">
        <f>_xlfn.XLOOKUP($A1621,Load!$B:$B,Load!H:H,0,)</f>
        <v>Stand-Up Bag</v>
      </c>
      <c r="H1621" t="str">
        <f>_xlfn.XLOOKUP($A1621,Load!$B:$B,Load!I:I,0,)</f>
        <v>Seasonal Shapes (like pumpkins, candy corn, ghost, bats, etc.)</v>
      </c>
      <c r="I1621" t="str">
        <f>_xlfn.XLOOKUP($A1621,Load!$B:$B,Load!J:J,0,)</f>
        <v>Seasonal Graphics (Like Bat, Ghost, Pumpkin, Fall Leaves, Eyeballs, etc.)</v>
      </c>
      <c r="J1621" t="str">
        <f>_xlfn.XLOOKUP($A1621,Load!$B:$B,Load!K:K,0,)</f>
        <v>Fun Size / Treat Size</v>
      </c>
      <c r="K1621" t="str">
        <f>_xlfn.XLOOKUP($A1621,Load!$B:$B,Load!L:L,0,)</f>
        <v>Regular/Original Wrapping</v>
      </c>
      <c r="L1621" t="str">
        <f>_xlfn.XLOOKUP($A1621,Load!$B:$B,Load!M:M,0,)</f>
        <v>Multiple Brands / Variety Flavors or Form</v>
      </c>
    </row>
    <row r="1622" spans="1:12" x14ac:dyDescent="0.25">
      <c r="A1622" t="s">
        <v>160</v>
      </c>
      <c r="B1622" t="str">
        <f>_xlfn.XLOOKUP($A1622,Load!$B:$B,Load!C:C,0,)</f>
        <v>Jolly Rancher</v>
      </c>
      <c r="C1622" t="str">
        <f>_xlfn.XLOOKUP($A1622,Load!$B:$B,Load!D:D,0,)</f>
        <v>Non-Chocolate Candy Only</v>
      </c>
      <c r="D1622" t="str">
        <f>_xlfn.XLOOKUP($A1622,Load!$B:$B,Load!E:E,0,)</f>
        <v>Sour</v>
      </c>
      <c r="E1622" t="str">
        <f>_xlfn.XLOOKUP($A1622,Load!$B:$B,Load!F:F,0,)</f>
        <v>Gummy</v>
      </c>
      <c r="F1622" t="str">
        <f>_xlfn.XLOOKUP($A1622,Load!$B:$B,Load!G:G,0,)</f>
        <v>Single Pack</v>
      </c>
      <c r="G1622" t="str">
        <f>_xlfn.XLOOKUP($A1622,Load!$B:$B,Load!H:H,0,)</f>
        <v>Laydown Bag</v>
      </c>
      <c r="H1622" t="str">
        <f>_xlfn.XLOOKUP($A1622,Load!$B:$B,Load!I:I,0,)</f>
        <v>Seasonal Shapes (like pumpkins, candy corn, ghost, bats, etc.)</v>
      </c>
      <c r="I1622" t="str">
        <f>_xlfn.XLOOKUP($A1622,Load!$B:$B,Load!J:J,0,)</f>
        <v>Seasonal Graphics (Like Bat, Ghost, Pumpkin, Fall Leaves, Eyeballs, etc.)</v>
      </c>
      <c r="J1622" t="str">
        <f>_xlfn.XLOOKUP($A1622,Load!$B:$B,Load!K:K,0,)</f>
        <v>Small Pieces (Tiny bite size candies)</v>
      </c>
      <c r="K1622" t="str">
        <f>_xlfn.XLOOKUP($A1622,Load!$B:$B,Load!L:L,0,)</f>
        <v>Unwrapped</v>
      </c>
      <c r="L1622" t="str">
        <f>_xlfn.XLOOKUP($A1622,Load!$B:$B,Load!M:M,0,)</f>
        <v>Single Brand / Variety Flavors or Form</v>
      </c>
    </row>
    <row r="1623" spans="1:12" x14ac:dyDescent="0.25">
      <c r="B1623">
        <f>_xlfn.XLOOKUP($A1623,Load!$B:$B,Load!C:C,0,)</f>
        <v>0</v>
      </c>
      <c r="C1623">
        <f>_xlfn.XLOOKUP($A1623,Load!$B:$B,Load!D:D,0,)</f>
        <v>0</v>
      </c>
      <c r="D1623">
        <f>_xlfn.XLOOKUP($A1623,Load!$B:$B,Load!E:E,0,)</f>
        <v>0</v>
      </c>
      <c r="E1623">
        <f>_xlfn.XLOOKUP($A1623,Load!$B:$B,Load!F:F,0,)</f>
        <v>0</v>
      </c>
      <c r="F1623">
        <f>_xlfn.XLOOKUP($A1623,Load!$B:$B,Load!G:G,0,)</f>
        <v>0</v>
      </c>
      <c r="G1623">
        <f>_xlfn.XLOOKUP($A1623,Load!$B:$B,Load!H:H,0,)</f>
        <v>0</v>
      </c>
      <c r="H1623">
        <f>_xlfn.XLOOKUP($A1623,Load!$B:$B,Load!I:I,0,)</f>
        <v>0</v>
      </c>
      <c r="I1623">
        <f>_xlfn.XLOOKUP($A1623,Load!$B:$B,Load!J:J,0,)</f>
        <v>0</v>
      </c>
      <c r="J1623">
        <f>_xlfn.XLOOKUP($A1623,Load!$B:$B,Load!K:K,0,)</f>
        <v>0</v>
      </c>
      <c r="K1623">
        <f>_xlfn.XLOOKUP($A1623,Load!$B:$B,Load!L:L,0,)</f>
        <v>0</v>
      </c>
      <c r="L1623">
        <f>_xlfn.XLOOKUP($A1623,Load!$B:$B,Load!M:M,0,)</f>
        <v>0</v>
      </c>
    </row>
    <row r="1624" spans="1:12" x14ac:dyDescent="0.25">
      <c r="A1624" t="s">
        <v>120</v>
      </c>
      <c r="B1624" t="str">
        <f>_xlfn.XLOOKUP($A1624,Load!$B:$B,Load!C:C,0,)</f>
        <v>HARIBO</v>
      </c>
      <c r="C1624" t="str">
        <f>_xlfn.XLOOKUP($A1624,Load!$B:$B,Load!D:D,0,)</f>
        <v>Non-Chocolate Candy Only</v>
      </c>
      <c r="D1624" t="str">
        <f>_xlfn.XLOOKUP($A1624,Load!$B:$B,Load!E:E,0,)</f>
        <v>Variety / Mixed Flavors (Fruity, Sour, Seasonal Flavors)</v>
      </c>
      <c r="E1624" t="str">
        <f>_xlfn.XLOOKUP($A1624,Load!$B:$B,Load!F:F,0,)</f>
        <v>Mixed / Combo Packs (Gummy, Chewy, Taffy, etc.)</v>
      </c>
      <c r="F1624" t="str">
        <f>_xlfn.XLOOKUP($A1624,Load!$B:$B,Load!G:G,0,)</f>
        <v>Medium Multipack (40–80 ct)</v>
      </c>
      <c r="G1624" t="str">
        <f>_xlfn.XLOOKUP($A1624,Load!$B:$B,Load!H:H,0,)</f>
        <v>Laydown Bag</v>
      </c>
      <c r="H1624" t="str">
        <f>_xlfn.XLOOKUP($A1624,Load!$B:$B,Load!I:I,0,)</f>
        <v>Seasonal Shapes (like pumpkins, candy corn, ghost, bats, etc.)</v>
      </c>
      <c r="I1624" t="str">
        <f>_xlfn.XLOOKUP($A1624,Load!$B:$B,Load!J:J,0,)</f>
        <v>Seasonal Graphics (Like Bat, Ghost, Pumpkin, Fall Leaves, Eyeballs, etc.)</v>
      </c>
      <c r="J1624" t="str">
        <f>_xlfn.XLOOKUP($A1624,Load!$B:$B,Load!K:K,0,)</f>
        <v>Small Pieces (Tiny bite size candies)</v>
      </c>
      <c r="K1624" t="str">
        <f>_xlfn.XLOOKUP($A1624,Load!$B:$B,Load!L:L,0,)</f>
        <v>Regular/Original Wrapping</v>
      </c>
      <c r="L1624" t="str">
        <f>_xlfn.XLOOKUP($A1624,Load!$B:$B,Load!M:M,0,)</f>
        <v>Single Brand / Variety Flavors or Form</v>
      </c>
    </row>
    <row r="1625" spans="1:12" x14ac:dyDescent="0.25">
      <c r="A1625" t="s">
        <v>2</v>
      </c>
      <c r="B1625" t="str">
        <f>_xlfn.XLOOKUP($A1625,Load!$B:$B,Load!C:C,0,)</f>
        <v>Airheads</v>
      </c>
      <c r="C1625" t="str">
        <f>_xlfn.XLOOKUP($A1625,Load!$B:$B,Load!D:D,0,)</f>
        <v>Non-Chocolate Candy Only</v>
      </c>
      <c r="D1625" t="str">
        <f>_xlfn.XLOOKUP($A1625,Load!$B:$B,Load!E:E,0,)</f>
        <v>Variety / Mixed Flavors (Fruity, Sour, Seasonal Flavors)</v>
      </c>
      <c r="E1625" t="str">
        <f>_xlfn.XLOOKUP($A1625,Load!$B:$B,Load!F:F,0,)</f>
        <v>Chewy</v>
      </c>
      <c r="F1625" t="str">
        <f>_xlfn.XLOOKUP($A1625,Load!$B:$B,Load!G:G,0,)</f>
        <v>Medium Multipack (40–80 ct)</v>
      </c>
      <c r="G1625" t="str">
        <f>_xlfn.XLOOKUP($A1625,Load!$B:$B,Load!H:H,0,)</f>
        <v>Box (theatre box, gift box, carton)</v>
      </c>
      <c r="H1625" t="str">
        <f>_xlfn.XLOOKUP($A1625,Load!$B:$B,Load!I:I,0,)</f>
        <v>Everyday Candy Shapes (like Original, Gummy bear, Fruit, Jewels, etc.)</v>
      </c>
      <c r="I1625" t="str">
        <f>_xlfn.XLOOKUP($A1625,Load!$B:$B,Load!J:J,0,)</f>
        <v>Seasonal Graphics (Like Bat, Ghost, Pumpkin, Fall Leaves, Eyeballs, etc.)</v>
      </c>
      <c r="J1625" t="str">
        <f>_xlfn.XLOOKUP($A1625,Load!$B:$B,Load!K:K,0,)</f>
        <v>Fun Size / Treat Size</v>
      </c>
      <c r="K1625" t="str">
        <f>_xlfn.XLOOKUP($A1625,Load!$B:$B,Load!L:L,0,)</f>
        <v>Regular/Original Wrapping</v>
      </c>
      <c r="L1625" t="str">
        <f>_xlfn.XLOOKUP($A1625,Load!$B:$B,Load!M:M,0,)</f>
        <v>Single Brand / Variety Flavors or Form</v>
      </c>
    </row>
    <row r="1626" spans="1:12" x14ac:dyDescent="0.25">
      <c r="A1626" t="s">
        <v>162</v>
      </c>
      <c r="B1626" t="str">
        <f>_xlfn.XLOOKUP($A1626,Load!$B:$B,Load!C:C,0,)</f>
        <v>Jolly Rancher</v>
      </c>
      <c r="C1626" t="str">
        <f>_xlfn.XLOOKUP($A1626,Load!$B:$B,Load!D:D,0,)</f>
        <v>Non-Chocolate Candy Only</v>
      </c>
      <c r="D1626" t="str">
        <f>_xlfn.XLOOKUP($A1626,Load!$B:$B,Load!E:E,0,)</f>
        <v>Variety / Mixed Flavors (Fruity, Sour, Seasonal Flavors)</v>
      </c>
      <c r="E1626" t="str">
        <f>_xlfn.XLOOKUP($A1626,Load!$B:$B,Load!F:F,0,)</f>
        <v>Gummy</v>
      </c>
      <c r="F1626" t="str">
        <f>_xlfn.XLOOKUP($A1626,Load!$B:$B,Load!G:G,0,)</f>
        <v>Single Pack</v>
      </c>
      <c r="G1626" t="str">
        <f>_xlfn.XLOOKUP($A1626,Load!$B:$B,Load!H:H,0,)</f>
        <v>Peg Bag</v>
      </c>
      <c r="H1626" t="str">
        <f>_xlfn.XLOOKUP($A1626,Load!$B:$B,Load!I:I,0,)</f>
        <v>Seasonal Shapes (like pumpkins, candy corn, ghost, bats, etc.)</v>
      </c>
      <c r="I1626" t="str">
        <f>_xlfn.XLOOKUP($A1626,Load!$B:$B,Load!J:J,0,)</f>
        <v>Seasonal Graphics (Like Bat, Ghost, Pumpkin, Fall Leaves, Eyeballs, etc.)</v>
      </c>
      <c r="J1626" t="str">
        <f>_xlfn.XLOOKUP($A1626,Load!$B:$B,Load!K:K,0,)</f>
        <v>Small Pieces (Tiny bite size candies)</v>
      </c>
      <c r="K1626" t="str">
        <f>_xlfn.XLOOKUP($A1626,Load!$B:$B,Load!L:L,0,)</f>
        <v>Unwrapped</v>
      </c>
      <c r="L1626" t="str">
        <f>_xlfn.XLOOKUP($A1626,Load!$B:$B,Load!M:M,0,)</f>
        <v>Single Brand / Variety Flavors or Form</v>
      </c>
    </row>
    <row r="1627" spans="1:12" x14ac:dyDescent="0.25">
      <c r="A1627" t="s">
        <v>159</v>
      </c>
      <c r="B1627" t="str">
        <f>_xlfn.XLOOKUP($A1627,Load!$B:$B,Load!C:C,0,)</f>
        <v>Jolly Rancher</v>
      </c>
      <c r="C1627" t="str">
        <f>_xlfn.XLOOKUP($A1627,Load!$B:$B,Load!D:D,0,)</f>
        <v>Non-Chocolate Candy Only</v>
      </c>
      <c r="D1627" t="str">
        <f>_xlfn.XLOOKUP($A1627,Load!$B:$B,Load!E:E,0,)</f>
        <v>Fruit Flavor (Cherry, Grape, Apple, Citrus, Tropical Fruit)</v>
      </c>
      <c r="E1627" t="str">
        <f>_xlfn.XLOOKUP($A1627,Load!$B:$B,Load!F:F,0,)</f>
        <v>Gummy</v>
      </c>
      <c r="F1627" t="str">
        <f>_xlfn.XLOOKUP($A1627,Load!$B:$B,Load!G:G,0,)</f>
        <v>Single Pack</v>
      </c>
      <c r="G1627" t="str">
        <f>_xlfn.XLOOKUP($A1627,Load!$B:$B,Load!H:H,0,)</f>
        <v>Laydown Bag</v>
      </c>
      <c r="H1627" t="str">
        <f>_xlfn.XLOOKUP($A1627,Load!$B:$B,Load!I:I,0,)</f>
        <v>Seasonal Shapes (like pumpkins, candy corn, ghost, bats, etc.)</v>
      </c>
      <c r="I1627" t="str">
        <f>_xlfn.XLOOKUP($A1627,Load!$B:$B,Load!J:J,0,)</f>
        <v>Everyday Graphics</v>
      </c>
      <c r="J1627" t="str">
        <f>_xlfn.XLOOKUP($A1627,Load!$B:$B,Load!K:K,0,)</f>
        <v>Small Pieces (Tiny bite size candies)</v>
      </c>
      <c r="K1627" t="str">
        <f>_xlfn.XLOOKUP($A1627,Load!$B:$B,Load!L:L,0,)</f>
        <v>Unwrapped</v>
      </c>
      <c r="L1627" t="str">
        <f>_xlfn.XLOOKUP($A1627,Load!$B:$B,Load!M:M,0,)</f>
        <v>Single Brand / Variety Flavors or Form</v>
      </c>
    </row>
    <row r="1628" spans="1:12" x14ac:dyDescent="0.25">
      <c r="B1628">
        <f>_xlfn.XLOOKUP($A1628,Load!$B:$B,Load!C:C,0,)</f>
        <v>0</v>
      </c>
      <c r="C1628">
        <f>_xlfn.XLOOKUP($A1628,Load!$B:$B,Load!D:D,0,)</f>
        <v>0</v>
      </c>
      <c r="D1628">
        <f>_xlfn.XLOOKUP($A1628,Load!$B:$B,Load!E:E,0,)</f>
        <v>0</v>
      </c>
      <c r="E1628">
        <f>_xlfn.XLOOKUP($A1628,Load!$B:$B,Load!F:F,0,)</f>
        <v>0</v>
      </c>
      <c r="F1628">
        <f>_xlfn.XLOOKUP($A1628,Load!$B:$B,Load!G:G,0,)</f>
        <v>0</v>
      </c>
      <c r="G1628">
        <f>_xlfn.XLOOKUP($A1628,Load!$B:$B,Load!H:H,0,)</f>
        <v>0</v>
      </c>
      <c r="H1628">
        <f>_xlfn.XLOOKUP($A1628,Load!$B:$B,Load!I:I,0,)</f>
        <v>0</v>
      </c>
      <c r="I1628">
        <f>_xlfn.XLOOKUP($A1628,Load!$B:$B,Load!J:J,0,)</f>
        <v>0</v>
      </c>
      <c r="J1628">
        <f>_xlfn.XLOOKUP($A1628,Load!$B:$B,Load!K:K,0,)</f>
        <v>0</v>
      </c>
      <c r="K1628">
        <f>_xlfn.XLOOKUP($A1628,Load!$B:$B,Load!L:L,0,)</f>
        <v>0</v>
      </c>
      <c r="L1628">
        <f>_xlfn.XLOOKUP($A1628,Load!$B:$B,Load!M:M,0,)</f>
        <v>0</v>
      </c>
    </row>
    <row r="1629" spans="1:12" x14ac:dyDescent="0.25">
      <c r="B1629">
        <f>_xlfn.XLOOKUP($A1629,Load!$B:$B,Load!C:C,0,)</f>
        <v>0</v>
      </c>
      <c r="C1629">
        <f>_xlfn.XLOOKUP($A1629,Load!$B:$B,Load!D:D,0,)</f>
        <v>0</v>
      </c>
      <c r="D1629">
        <f>_xlfn.XLOOKUP($A1629,Load!$B:$B,Load!E:E,0,)</f>
        <v>0</v>
      </c>
      <c r="E1629">
        <f>_xlfn.XLOOKUP($A1629,Load!$B:$B,Load!F:F,0,)</f>
        <v>0</v>
      </c>
      <c r="F1629">
        <f>_xlfn.XLOOKUP($A1629,Load!$B:$B,Load!G:G,0,)</f>
        <v>0</v>
      </c>
      <c r="G1629">
        <f>_xlfn.XLOOKUP($A1629,Load!$B:$B,Load!H:H,0,)</f>
        <v>0</v>
      </c>
      <c r="H1629">
        <f>_xlfn.XLOOKUP($A1629,Load!$B:$B,Load!I:I,0,)</f>
        <v>0</v>
      </c>
      <c r="I1629">
        <f>_xlfn.XLOOKUP($A1629,Load!$B:$B,Load!J:J,0,)</f>
        <v>0</v>
      </c>
      <c r="J1629">
        <f>_xlfn.XLOOKUP($A1629,Load!$B:$B,Load!K:K,0,)</f>
        <v>0</v>
      </c>
      <c r="K1629">
        <f>_xlfn.XLOOKUP($A1629,Load!$B:$B,Load!L:L,0,)</f>
        <v>0</v>
      </c>
      <c r="L1629">
        <f>_xlfn.XLOOKUP($A1629,Load!$B:$B,Load!M:M,0,)</f>
        <v>0</v>
      </c>
    </row>
    <row r="1630" spans="1:12" x14ac:dyDescent="0.25">
      <c r="A1630" t="s">
        <v>471</v>
      </c>
      <c r="B1630" t="str">
        <f>_xlfn.XLOOKUP($A1630,Load!$B:$B,Load!C:C,0,)</f>
        <v>Airheads</v>
      </c>
      <c r="C1630" t="str">
        <f>_xlfn.XLOOKUP($A1630,Load!$B:$B,Load!D:D,0,)</f>
        <v>Non-Chocolate Candy Only</v>
      </c>
      <c r="D1630" t="str">
        <f>_xlfn.XLOOKUP($A1630,Load!$B:$B,Load!E:E,0,)</f>
        <v>Fruit Flavor (Cherry, Grape, Apple, Citrus, Tropical Fruit)</v>
      </c>
      <c r="E1630" t="str">
        <f>_xlfn.XLOOKUP($A1630,Load!$B:$B,Load!F:F,0,)</f>
        <v>Candy Pieces / Bites</v>
      </c>
      <c r="F1630" t="str">
        <f>_xlfn.XLOOKUP($A1630,Load!$B:$B,Load!G:G,0,)</f>
        <v>Small Multipack (Less than 40 ct)</v>
      </c>
      <c r="G1630" t="str">
        <f>_xlfn.XLOOKUP($A1630,Load!$B:$B,Load!H:H,0,)</f>
        <v>Box (theatre box, gift box, carton)</v>
      </c>
      <c r="H1630" t="str">
        <f>_xlfn.XLOOKUP($A1630,Load!$B:$B,Load!I:I,0,)</f>
        <v>Everyday Candy Shapes (like Original, Gummy bear, Fruit, Jewels, etc.)</v>
      </c>
      <c r="I1630" t="str">
        <f>_xlfn.XLOOKUP($A1630,Load!$B:$B,Load!J:J,0,)</f>
        <v>Everyday Graphics</v>
      </c>
      <c r="J1630" t="str">
        <f>_xlfn.XLOOKUP($A1630,Load!$B:$B,Load!K:K,0,)</f>
        <v>Small Pieces (Tiny bite size candies)</v>
      </c>
      <c r="K1630" t="str">
        <f>_xlfn.XLOOKUP($A1630,Load!$B:$B,Load!L:L,0,)</f>
        <v>Regular/Original Wrapping</v>
      </c>
      <c r="L1630" t="str">
        <f>_xlfn.XLOOKUP($A1630,Load!$B:$B,Load!M:M,0,)</f>
        <v>Single Brand / Variety Flavors or Form</v>
      </c>
    </row>
    <row r="1631" spans="1:12" x14ac:dyDescent="0.25">
      <c r="A1631" t="s">
        <v>147</v>
      </c>
      <c r="B1631" t="str">
        <f>_xlfn.XLOOKUP($A1631,Load!$B:$B,Load!C:C,0,)</f>
        <v>Jelly Belly</v>
      </c>
      <c r="C1631" t="str">
        <f>_xlfn.XLOOKUP($A1631,Load!$B:$B,Load!D:D,0,)</f>
        <v>Non-Chocolate Candy Only</v>
      </c>
      <c r="D1631" t="str">
        <f>_xlfn.XLOOKUP($A1631,Load!$B:$B,Load!E:E,0,)</f>
        <v>Variety / Mixed Flavors (Fruity, Sour, Seasonal Flavors)</v>
      </c>
      <c r="E1631" t="str">
        <f>_xlfn.XLOOKUP($A1631,Load!$B:$B,Load!F:F,0,)</f>
        <v>Candy Pieces / Bites</v>
      </c>
      <c r="F1631" t="str">
        <f>_xlfn.XLOOKUP($A1631,Load!$B:$B,Load!G:G,0,)</f>
        <v>Medium Multipack (40–80 ct)</v>
      </c>
      <c r="G1631" t="str">
        <f>_xlfn.XLOOKUP($A1631,Load!$B:$B,Load!H:H,0,)</f>
        <v>Box (theatre box, gift box, carton)</v>
      </c>
      <c r="H1631" t="str">
        <f>_xlfn.XLOOKUP($A1631,Load!$B:$B,Load!I:I,0,)</f>
        <v>Everyday Candy Shapes (like Original, Gummy bear, Fruit, Jewels, etc.)</v>
      </c>
      <c r="I1631" t="str">
        <f>_xlfn.XLOOKUP($A1631,Load!$B:$B,Load!J:J,0,)</f>
        <v>Everyday Graphics</v>
      </c>
      <c r="J1631" t="str">
        <f>_xlfn.XLOOKUP($A1631,Load!$B:$B,Load!K:K,0,)</f>
        <v>Small Pieces (Tiny bite size candies)</v>
      </c>
      <c r="K1631" t="str">
        <f>_xlfn.XLOOKUP($A1631,Load!$B:$B,Load!L:L,0,)</f>
        <v>Regular/Original Wrapping</v>
      </c>
      <c r="L1631" t="str">
        <f>_xlfn.XLOOKUP($A1631,Load!$B:$B,Load!M:M,0,)</f>
        <v>Single Brand / Variety Flavors or Form</v>
      </c>
    </row>
    <row r="1632" spans="1:12" x14ac:dyDescent="0.25">
      <c r="A1632" t="s">
        <v>103</v>
      </c>
      <c r="B1632" t="str">
        <f>_xlfn.XLOOKUP($A1632,Load!$B:$B,Load!C:C,0,)</f>
        <v>Frankford</v>
      </c>
      <c r="C1632" t="str">
        <f>_xlfn.XLOOKUP($A1632,Load!$B:$B,Load!D:D,0,)</f>
        <v>Non-Chocolate Candy Only</v>
      </c>
      <c r="D1632" t="str">
        <f>_xlfn.XLOOKUP($A1632,Load!$B:$B,Load!E:E,0,)</f>
        <v>Sweet</v>
      </c>
      <c r="E1632" t="str">
        <f>_xlfn.XLOOKUP($A1632,Load!$B:$B,Load!F:F,0,)</f>
        <v>Gummy</v>
      </c>
      <c r="F1632" t="str">
        <f>_xlfn.XLOOKUP($A1632,Load!$B:$B,Load!G:G,0,)</f>
        <v>Medium Multipack (40–80 ct)</v>
      </c>
      <c r="G1632" t="str">
        <f>_xlfn.XLOOKUP($A1632,Load!$B:$B,Load!H:H,0,)</f>
        <v>Stand-Up Bag</v>
      </c>
      <c r="H1632" t="str">
        <f>_xlfn.XLOOKUP($A1632,Load!$B:$B,Load!I:I,0,)</f>
        <v>Seasonal Shapes (like pumpkins, candy corn, ghost, bats, etc.)</v>
      </c>
      <c r="I1632" t="str">
        <f>_xlfn.XLOOKUP($A1632,Load!$B:$B,Load!J:J,0,)</f>
        <v>Seasonal Graphics (Like Bat, Ghost, Pumpkin, Fall Leaves, Eyeballs, etc.)</v>
      </c>
      <c r="J1632" t="str">
        <f>_xlfn.XLOOKUP($A1632,Load!$B:$B,Load!K:K,0,)</f>
        <v>Fun Size / Treat Size</v>
      </c>
      <c r="K1632" t="str">
        <f>_xlfn.XLOOKUP($A1632,Load!$B:$B,Load!L:L,0,)</f>
        <v>Regular/Original Wrapping</v>
      </c>
      <c r="L1632" t="str">
        <f>_xlfn.XLOOKUP($A1632,Load!$B:$B,Load!M:M,0,)</f>
        <v>Single Brand / Variety Flavors or Form</v>
      </c>
    </row>
    <row r="1633" spans="1:12" x14ac:dyDescent="0.25">
      <c r="A1633" t="s">
        <v>225</v>
      </c>
      <c r="B1633" t="str">
        <f>_xlfn.XLOOKUP($A1633,Load!$B:$B,Load!C:C,0,)</f>
        <v>Nerds</v>
      </c>
      <c r="C1633" t="str">
        <f>_xlfn.XLOOKUP($A1633,Load!$B:$B,Load!D:D,0,)</f>
        <v>Non-Chocolate Candy Only</v>
      </c>
      <c r="D1633" t="str">
        <f>_xlfn.XLOOKUP($A1633,Load!$B:$B,Load!E:E,0,)</f>
        <v>Sweet</v>
      </c>
      <c r="E1633" t="str">
        <f>_xlfn.XLOOKUP($A1633,Load!$B:$B,Load!F:F,0,)</f>
        <v>Gummy</v>
      </c>
      <c r="F1633" t="str">
        <f>_xlfn.XLOOKUP($A1633,Load!$B:$B,Load!G:G,0,)</f>
        <v>Single Pack</v>
      </c>
      <c r="G1633" t="str">
        <f>_xlfn.XLOOKUP($A1633,Load!$B:$B,Load!H:H,0,)</f>
        <v>Peg Bag</v>
      </c>
      <c r="H1633" t="str">
        <f>_xlfn.XLOOKUP($A1633,Load!$B:$B,Load!I:I,0,)</f>
        <v>Seasonal Shapes (like pumpkins, candy corn, ghost, bats, etc.)</v>
      </c>
      <c r="I1633" t="str">
        <f>_xlfn.XLOOKUP($A1633,Load!$B:$B,Load!J:J,0,)</f>
        <v>Seasonal Graphics (Like Bat, Ghost, Pumpkin, Fall Leaves, Eyeballs, etc.)</v>
      </c>
      <c r="J1633" t="str">
        <f>_xlfn.XLOOKUP($A1633,Load!$B:$B,Load!K:K,0,)</f>
        <v>Fun Size / Treat Size</v>
      </c>
      <c r="K1633" t="str">
        <f>_xlfn.XLOOKUP($A1633,Load!$B:$B,Load!L:L,0,)</f>
        <v>Unwrapped</v>
      </c>
      <c r="L1633" t="str">
        <f>_xlfn.XLOOKUP($A1633,Load!$B:$B,Load!M:M,0,)</f>
        <v>Single Brand / Variety Flavors or Form</v>
      </c>
    </row>
    <row r="1634" spans="1:12" x14ac:dyDescent="0.25">
      <c r="A1634" t="s">
        <v>204</v>
      </c>
      <c r="B1634" t="str">
        <f>_xlfn.XLOOKUP($A1634,Load!$B:$B,Load!C:C,0,)</f>
        <v>Mars Variety Pack</v>
      </c>
      <c r="C1634" t="str">
        <f>_xlfn.XLOOKUP($A1634,Load!$B:$B,Load!D:D,0,)</f>
        <v>Mix of Chocolate and Non-Chocolate Candy</v>
      </c>
      <c r="D1634" t="str">
        <f>_xlfn.XLOOKUP($A1634,Load!$B:$B,Load!E:E,0,)</f>
        <v>Variety / Mixed Flavors (Fruity, Sour, Seasonal Flavors)</v>
      </c>
      <c r="E1634" t="str">
        <f>_xlfn.XLOOKUP($A1634,Load!$B:$B,Load!F:F,0,)</f>
        <v>Mixed / Combo Packs (Gummy, Chewy, Taffy, etc.)</v>
      </c>
      <c r="F1634" t="str">
        <f>_xlfn.XLOOKUP($A1634,Load!$B:$B,Load!G:G,0,)</f>
        <v>Medium Multipack (40–80 ct)</v>
      </c>
      <c r="G1634" t="str">
        <f>_xlfn.XLOOKUP($A1634,Load!$B:$B,Load!H:H,0,)</f>
        <v>Stand-Up Bag</v>
      </c>
      <c r="H1634" t="str">
        <f>_xlfn.XLOOKUP($A1634,Load!$B:$B,Load!I:I,0,)</f>
        <v>Everyday Candy Shapes (like Original, Gummy bear, Fruit, Jewels, etc.)</v>
      </c>
      <c r="I1634" t="str">
        <f>_xlfn.XLOOKUP($A1634,Load!$B:$B,Load!J:J,0,)</f>
        <v>Everyday Graphics</v>
      </c>
      <c r="J1634" t="str">
        <f>_xlfn.XLOOKUP($A1634,Load!$B:$B,Load!K:K,0,)</f>
        <v>Fun Size / Treat Size</v>
      </c>
      <c r="K1634" t="str">
        <f>_xlfn.XLOOKUP($A1634,Load!$B:$B,Load!L:L,0,)</f>
        <v>Regular/Original Wrapping</v>
      </c>
      <c r="L1634" t="str">
        <f>_xlfn.XLOOKUP($A1634,Load!$B:$B,Load!M:M,0,)</f>
        <v>Multiple Brands / Variety Flavors or Form</v>
      </c>
    </row>
    <row r="1635" spans="1:12" x14ac:dyDescent="0.25">
      <c r="B1635">
        <f>_xlfn.XLOOKUP($A1635,Load!$B:$B,Load!C:C,0,)</f>
        <v>0</v>
      </c>
      <c r="C1635">
        <f>_xlfn.XLOOKUP($A1635,Load!$B:$B,Load!D:D,0,)</f>
        <v>0</v>
      </c>
      <c r="D1635">
        <f>_xlfn.XLOOKUP($A1635,Load!$B:$B,Load!E:E,0,)</f>
        <v>0</v>
      </c>
      <c r="E1635">
        <f>_xlfn.XLOOKUP($A1635,Load!$B:$B,Load!F:F,0,)</f>
        <v>0</v>
      </c>
      <c r="F1635">
        <f>_xlfn.XLOOKUP($A1635,Load!$B:$B,Load!G:G,0,)</f>
        <v>0</v>
      </c>
      <c r="G1635">
        <f>_xlfn.XLOOKUP($A1635,Load!$B:$B,Load!H:H,0,)</f>
        <v>0</v>
      </c>
      <c r="H1635">
        <f>_xlfn.XLOOKUP($A1635,Load!$B:$B,Load!I:I,0,)</f>
        <v>0</v>
      </c>
      <c r="I1635">
        <f>_xlfn.XLOOKUP($A1635,Load!$B:$B,Load!J:J,0,)</f>
        <v>0</v>
      </c>
      <c r="J1635">
        <f>_xlfn.XLOOKUP($A1635,Load!$B:$B,Load!K:K,0,)</f>
        <v>0</v>
      </c>
      <c r="K1635">
        <f>_xlfn.XLOOKUP($A1635,Load!$B:$B,Load!L:L,0,)</f>
        <v>0</v>
      </c>
      <c r="L1635">
        <f>_xlfn.XLOOKUP($A1635,Load!$B:$B,Load!M:M,0,)</f>
        <v>0</v>
      </c>
    </row>
    <row r="1636" spans="1:12" x14ac:dyDescent="0.25">
      <c r="B1636">
        <f>_xlfn.XLOOKUP($A1636,Load!$B:$B,Load!C:C,0,)</f>
        <v>0</v>
      </c>
      <c r="C1636">
        <f>_xlfn.XLOOKUP($A1636,Load!$B:$B,Load!D:D,0,)</f>
        <v>0</v>
      </c>
      <c r="D1636">
        <f>_xlfn.XLOOKUP($A1636,Load!$B:$B,Load!E:E,0,)</f>
        <v>0</v>
      </c>
      <c r="E1636">
        <f>_xlfn.XLOOKUP($A1636,Load!$B:$B,Load!F:F,0,)</f>
        <v>0</v>
      </c>
      <c r="F1636">
        <f>_xlfn.XLOOKUP($A1636,Load!$B:$B,Load!G:G,0,)</f>
        <v>0</v>
      </c>
      <c r="G1636">
        <f>_xlfn.XLOOKUP($A1636,Load!$B:$B,Load!H:H,0,)</f>
        <v>0</v>
      </c>
      <c r="H1636">
        <f>_xlfn.XLOOKUP($A1636,Load!$B:$B,Load!I:I,0,)</f>
        <v>0</v>
      </c>
      <c r="I1636">
        <f>_xlfn.XLOOKUP($A1636,Load!$B:$B,Load!J:J,0,)</f>
        <v>0</v>
      </c>
      <c r="J1636">
        <f>_xlfn.XLOOKUP($A1636,Load!$B:$B,Load!K:K,0,)</f>
        <v>0</v>
      </c>
      <c r="K1636">
        <f>_xlfn.XLOOKUP($A1636,Load!$B:$B,Load!L:L,0,)</f>
        <v>0</v>
      </c>
      <c r="L1636">
        <f>_xlfn.XLOOKUP($A1636,Load!$B:$B,Load!M:M,0,)</f>
        <v>0</v>
      </c>
    </row>
    <row r="1637" spans="1:12" x14ac:dyDescent="0.25">
      <c r="B1637">
        <f>_xlfn.XLOOKUP($A1637,Load!$B:$B,Load!C:C,0,)</f>
        <v>0</v>
      </c>
      <c r="C1637">
        <f>_xlfn.XLOOKUP($A1637,Load!$B:$B,Load!D:D,0,)</f>
        <v>0</v>
      </c>
      <c r="D1637">
        <f>_xlfn.XLOOKUP($A1637,Load!$B:$B,Load!E:E,0,)</f>
        <v>0</v>
      </c>
      <c r="E1637">
        <f>_xlfn.XLOOKUP($A1637,Load!$B:$B,Load!F:F,0,)</f>
        <v>0</v>
      </c>
      <c r="F1637">
        <f>_xlfn.XLOOKUP($A1637,Load!$B:$B,Load!G:G,0,)</f>
        <v>0</v>
      </c>
      <c r="G1637">
        <f>_xlfn.XLOOKUP($A1637,Load!$B:$B,Load!H:H,0,)</f>
        <v>0</v>
      </c>
      <c r="H1637">
        <f>_xlfn.XLOOKUP($A1637,Load!$B:$B,Load!I:I,0,)</f>
        <v>0</v>
      </c>
      <c r="I1637">
        <f>_xlfn.XLOOKUP($A1637,Load!$B:$B,Load!J:J,0,)</f>
        <v>0</v>
      </c>
      <c r="J1637">
        <f>_xlfn.XLOOKUP($A1637,Load!$B:$B,Load!K:K,0,)</f>
        <v>0</v>
      </c>
      <c r="K1637">
        <f>_xlfn.XLOOKUP($A1637,Load!$B:$B,Load!L:L,0,)</f>
        <v>0</v>
      </c>
      <c r="L1637">
        <f>_xlfn.XLOOKUP($A1637,Load!$B:$B,Load!M:M,0,)</f>
        <v>0</v>
      </c>
    </row>
    <row r="1638" spans="1:12" x14ac:dyDescent="0.25">
      <c r="A1638" t="s">
        <v>61</v>
      </c>
      <c r="B1638" t="str">
        <f>_xlfn.XLOOKUP($A1638,Load!$B:$B,Load!C:C,0,)</f>
        <v>Charms</v>
      </c>
      <c r="C1638" t="str">
        <f>_xlfn.XLOOKUP($A1638,Load!$B:$B,Load!D:D,0,)</f>
        <v>Non-Chocolate Candy Only</v>
      </c>
      <c r="D1638" t="str">
        <f>_xlfn.XLOOKUP($A1638,Load!$B:$B,Load!E:E,0,)</f>
        <v>Fruit Flavor (Cherry, Grape, Apple, Citrus, Tropical Fruit)</v>
      </c>
      <c r="E1638" t="str">
        <f>_xlfn.XLOOKUP($A1638,Load!$B:$B,Load!F:F,0,)</f>
        <v>Lollipop (regular or lollipop rings)</v>
      </c>
      <c r="F1638" t="str">
        <f>_xlfn.XLOOKUP($A1638,Load!$B:$B,Load!G:G,0,)</f>
        <v>Single Pack</v>
      </c>
      <c r="G1638" t="str">
        <f>_xlfn.XLOOKUP($A1638,Load!$B:$B,Load!H:H,0,)</f>
        <v>Laydown Bag</v>
      </c>
      <c r="H1638" t="str">
        <f>_xlfn.XLOOKUP($A1638,Load!$B:$B,Load!I:I,0,)</f>
        <v>Everyday Candy Shapes (like Original, Gummy bear, Fruit, Jewels, etc.)</v>
      </c>
      <c r="I1638" t="str">
        <f>_xlfn.XLOOKUP($A1638,Load!$B:$B,Load!J:J,0,)</f>
        <v>Seasonal Graphics (Like Bat, Ghost, Pumpkin, Fall Leaves, Eyeballs, etc.)</v>
      </c>
      <c r="J1638" t="str">
        <f>_xlfn.XLOOKUP($A1638,Load!$B:$B,Load!K:K,0,)</f>
        <v>Regular Lollipop size (on sticks or rings)</v>
      </c>
      <c r="K1638" t="str">
        <f>_xlfn.XLOOKUP($A1638,Load!$B:$B,Load!L:L,0,)</f>
        <v>Regular/Original Wrapping</v>
      </c>
      <c r="L1638" t="str">
        <f>_xlfn.XLOOKUP($A1638,Load!$B:$B,Load!M:M,0,)</f>
        <v>Single Brand / Variety Flavors or Form</v>
      </c>
    </row>
    <row r="1639" spans="1:12" x14ac:dyDescent="0.25">
      <c r="A1639" t="s">
        <v>8</v>
      </c>
      <c r="B1639" t="str">
        <f>_xlfn.XLOOKUP($A1639,Load!$B:$B,Load!C:C,0,)</f>
        <v>Airheads</v>
      </c>
      <c r="C1639" t="str">
        <f>_xlfn.XLOOKUP($A1639,Load!$B:$B,Load!D:D,0,)</f>
        <v>Non-Chocolate Candy Only</v>
      </c>
      <c r="D1639" t="str">
        <f>_xlfn.XLOOKUP($A1639,Load!$B:$B,Load!E:E,0,)</f>
        <v>Fruit Flavor (Cherry, Grape, Apple, Citrus, Tropical Fruit)</v>
      </c>
      <c r="E1639" t="str">
        <f>_xlfn.XLOOKUP($A1639,Load!$B:$B,Load!F:F,0,)</f>
        <v>Chewy</v>
      </c>
      <c r="F1639" t="str">
        <f>_xlfn.XLOOKUP($A1639,Load!$B:$B,Load!G:G,0,)</f>
        <v>Small Multipack (Less than 40 ct)</v>
      </c>
      <c r="G1639" t="str">
        <f>_xlfn.XLOOKUP($A1639,Load!$B:$B,Load!H:H,0,)</f>
        <v>Laydown Bag</v>
      </c>
      <c r="H1639" t="str">
        <f>_xlfn.XLOOKUP($A1639,Load!$B:$B,Load!I:I,0,)</f>
        <v>Everyday Candy Shapes (like Original, Gummy bear, Fruit, Jewels, etc.)</v>
      </c>
      <c r="I1639" t="str">
        <f>_xlfn.XLOOKUP($A1639,Load!$B:$B,Load!J:J,0,)</f>
        <v>Everyday Graphics</v>
      </c>
      <c r="J1639" t="str">
        <f>_xlfn.XLOOKUP($A1639,Load!$B:$B,Load!K:K,0,)</f>
        <v>Fun Size / Treat Size</v>
      </c>
      <c r="K1639" t="str">
        <f>_xlfn.XLOOKUP($A1639,Load!$B:$B,Load!L:L,0,)</f>
        <v>Regular/Original Wrapping</v>
      </c>
      <c r="L1639" t="str">
        <f>_xlfn.XLOOKUP($A1639,Load!$B:$B,Load!M:M,0,)</f>
        <v>Single Brand / Variety Flavors or Form</v>
      </c>
    </row>
    <row r="1640" spans="1:12" x14ac:dyDescent="0.25">
      <c r="A1640" t="s">
        <v>113</v>
      </c>
      <c r="B1640" t="str">
        <f>_xlfn.XLOOKUP($A1640,Load!$B:$B,Load!C:C,0,)</f>
        <v>Fun Dip</v>
      </c>
      <c r="C1640" t="str">
        <f>_xlfn.XLOOKUP($A1640,Load!$B:$B,Load!D:D,0,)</f>
        <v>Non-Chocolate Candy Only</v>
      </c>
      <c r="D1640" t="str">
        <f>_xlfn.XLOOKUP($A1640,Load!$B:$B,Load!E:E,0,)</f>
        <v>Variety / Mixed Flavors (Fruity, Sour, Seasonal Flavors)</v>
      </c>
      <c r="E1640" t="str">
        <f>_xlfn.XLOOKUP($A1640,Load!$B:$B,Load!F:F,0,)</f>
        <v>Powder / Chalky</v>
      </c>
      <c r="F1640" t="str">
        <f>_xlfn.XLOOKUP($A1640,Load!$B:$B,Load!G:G,0,)</f>
        <v>Medium Multipack (40–80 ct)</v>
      </c>
      <c r="G1640" t="str">
        <f>_xlfn.XLOOKUP($A1640,Load!$B:$B,Load!H:H,0,)</f>
        <v>Box (theatre box, gift box, carton)</v>
      </c>
      <c r="H1640" t="str">
        <f>_xlfn.XLOOKUP($A1640,Load!$B:$B,Load!I:I,0,)</f>
        <v>Everyday Candy Shapes (like Original, Gummy bear, Fruit, Jewels, etc.)</v>
      </c>
      <c r="I1640" t="str">
        <f>_xlfn.XLOOKUP($A1640,Load!$B:$B,Load!J:J,0,)</f>
        <v>Seasonal Graphics (Like Bat, Ghost, Pumpkin, Fall Leaves, Eyeballs, etc.)</v>
      </c>
      <c r="J1640" t="str">
        <f>_xlfn.XLOOKUP($A1640,Load!$B:$B,Load!K:K,0,)</f>
        <v>Fun Size / Treat Size</v>
      </c>
      <c r="K1640" t="str">
        <f>_xlfn.XLOOKUP($A1640,Load!$B:$B,Load!L:L,0,)</f>
        <v>Regular/Original Wrapping</v>
      </c>
      <c r="L1640" t="str">
        <f>_xlfn.XLOOKUP($A1640,Load!$B:$B,Load!M:M,0,)</f>
        <v>Single Brand / Variety Flavors or Form</v>
      </c>
    </row>
    <row r="1641" spans="1:12" x14ac:dyDescent="0.25">
      <c r="A1641" t="s">
        <v>266</v>
      </c>
      <c r="B1641" t="str">
        <f>_xlfn.XLOOKUP($A1641,Load!$B:$B,Load!C:C,0,)</f>
        <v>Smarties</v>
      </c>
      <c r="C1641" t="str">
        <f>_xlfn.XLOOKUP($A1641,Load!$B:$B,Load!D:D,0,)</f>
        <v>Non-Chocolate Candy Only</v>
      </c>
      <c r="D1641" t="str">
        <f>_xlfn.XLOOKUP($A1641,Load!$B:$B,Load!E:E,0,)</f>
        <v>Fruit Flavor (Cherry, Grape, Apple, Citrus, Tropical Fruit)</v>
      </c>
      <c r="E1641" t="str">
        <f>_xlfn.XLOOKUP($A1641,Load!$B:$B,Load!F:F,0,)</f>
        <v>Powder / Chalky</v>
      </c>
      <c r="F1641" t="str">
        <f>_xlfn.XLOOKUP($A1641,Load!$B:$B,Load!G:G,0,)</f>
        <v>Small Multipack (Less than 40 ct)</v>
      </c>
      <c r="G1641" t="str">
        <f>_xlfn.XLOOKUP($A1641,Load!$B:$B,Load!H:H,0,)</f>
        <v>Laydown Bag</v>
      </c>
      <c r="H1641" t="str">
        <f>_xlfn.XLOOKUP($A1641,Load!$B:$B,Load!I:I,0,)</f>
        <v>Everyday Candy Shapes (like Original, Gummy bear, Fruit, Jewels, etc.)</v>
      </c>
      <c r="I1641" t="str">
        <f>_xlfn.XLOOKUP($A1641,Load!$B:$B,Load!J:J,0,)</f>
        <v>Seasonal Graphics (Like Bat, Ghost, Pumpkin, Fall Leaves, Eyeballs, etc.)</v>
      </c>
      <c r="J1641" t="str">
        <f>_xlfn.XLOOKUP($A1641,Load!$B:$B,Load!K:K,0,)</f>
        <v>Small Pieces (Tiny bite size candies)</v>
      </c>
      <c r="K1641" t="str">
        <f>_xlfn.XLOOKUP($A1641,Load!$B:$B,Load!L:L,0,)</f>
        <v>Regular/Original Wrapping</v>
      </c>
      <c r="L1641" t="str">
        <f>_xlfn.XLOOKUP($A1641,Load!$B:$B,Load!M:M,0,)</f>
        <v>Single Brand / Single Flavor or Form</v>
      </c>
    </row>
    <row r="1642" spans="1:12" x14ac:dyDescent="0.25">
      <c r="A1642" t="s">
        <v>317</v>
      </c>
      <c r="B1642" t="str">
        <f>_xlfn.XLOOKUP($A1642,Load!$B:$B,Load!C:C,0,)</f>
        <v>YumEarth</v>
      </c>
      <c r="C1642" t="str">
        <f>_xlfn.XLOOKUP($A1642,Load!$B:$B,Load!D:D,0,)</f>
        <v>Non-Chocolate Candy Only</v>
      </c>
      <c r="D1642" t="str">
        <f>_xlfn.XLOOKUP($A1642,Load!$B:$B,Load!E:E,0,)</f>
        <v>Fruit Flavor (Cherry, Grape, Apple, Citrus, Tropical Fruit)</v>
      </c>
      <c r="E1642" t="str">
        <f>_xlfn.XLOOKUP($A1642,Load!$B:$B,Load!F:F,0,)</f>
        <v>Chewy</v>
      </c>
      <c r="F1642" t="str">
        <f>_xlfn.XLOOKUP($A1642,Load!$B:$B,Load!G:G,0,)</f>
        <v>Small Multipack (Less than 40 ct)</v>
      </c>
      <c r="G1642" t="str">
        <f>_xlfn.XLOOKUP($A1642,Load!$B:$B,Load!H:H,0,)</f>
        <v>Box (theatre box, gift box, carton)</v>
      </c>
      <c r="H1642" t="str">
        <f>_xlfn.XLOOKUP($A1642,Load!$B:$B,Load!I:I,0,)</f>
        <v>Everyday Candy Shapes (like Original, Gummy bear, Fruit, Jewels, etc.)</v>
      </c>
      <c r="I1642" t="str">
        <f>_xlfn.XLOOKUP($A1642,Load!$B:$B,Load!J:J,0,)</f>
        <v>Everyday Graphics</v>
      </c>
      <c r="J1642" t="str">
        <f>_xlfn.XLOOKUP($A1642,Load!$B:$B,Load!K:K,0,)</f>
        <v>Small Pieces (Tiny bite size candies)</v>
      </c>
      <c r="K1642" t="str">
        <f>_xlfn.XLOOKUP($A1642,Load!$B:$B,Load!L:L,0,)</f>
        <v>Regular/Original Wrapping</v>
      </c>
      <c r="L1642" t="str">
        <f>_xlfn.XLOOKUP($A1642,Load!$B:$B,Load!M:M,0,)</f>
        <v>Single Brand / Variety Flavors or Form</v>
      </c>
    </row>
    <row r="1643" spans="1:12" x14ac:dyDescent="0.25">
      <c r="A1643" t="s">
        <v>154</v>
      </c>
      <c r="B1643" t="str">
        <f>_xlfn.XLOOKUP($A1643,Load!$B:$B,Load!C:C,0,)</f>
        <v>Jolly Rancher</v>
      </c>
      <c r="C1643" t="str">
        <f>_xlfn.XLOOKUP($A1643,Load!$B:$B,Load!D:D,0,)</f>
        <v>Non-Chocolate Candy Only</v>
      </c>
      <c r="D1643" t="str">
        <f>_xlfn.XLOOKUP($A1643,Load!$B:$B,Load!E:E,0,)</f>
        <v>Fruit Flavor (Cherry, Grape, Apple, Citrus, Tropical Fruit)</v>
      </c>
      <c r="E1643" t="str">
        <f>_xlfn.XLOOKUP($A1643,Load!$B:$B,Load!F:F,0,)</f>
        <v>Hard Candy</v>
      </c>
      <c r="F1643" t="str">
        <f>_xlfn.XLOOKUP($A1643,Load!$B:$B,Load!G:G,0,)</f>
        <v>Small Multipack (Less than 40 ct)</v>
      </c>
      <c r="G1643" t="str">
        <f>_xlfn.XLOOKUP($A1643,Load!$B:$B,Load!H:H,0,)</f>
        <v>Stand-Up Bag</v>
      </c>
      <c r="H1643" t="str">
        <f>_xlfn.XLOOKUP($A1643,Load!$B:$B,Load!I:I,0,)</f>
        <v>Everyday Candy Shapes (like Original, Gummy bear, Fruit, Jewels, etc.)</v>
      </c>
      <c r="I1643" t="str">
        <f>_xlfn.XLOOKUP($A1643,Load!$B:$B,Load!J:J,0,)</f>
        <v>Everyday Graphics</v>
      </c>
      <c r="J1643" t="str">
        <f>_xlfn.XLOOKUP($A1643,Load!$B:$B,Load!K:K,0,)</f>
        <v>Small Pieces (Tiny bite size candies)</v>
      </c>
      <c r="K1643" t="str">
        <f>_xlfn.XLOOKUP($A1643,Load!$B:$B,Load!L:L,0,)</f>
        <v>Regular/Original Wrapping</v>
      </c>
      <c r="L1643" t="str">
        <f>_xlfn.XLOOKUP($A1643,Load!$B:$B,Load!M:M,0,)</f>
        <v>Single Brand / Variety Flavors or Form</v>
      </c>
    </row>
    <row r="1644" spans="1:12" x14ac:dyDescent="0.25">
      <c r="A1644" t="s">
        <v>293</v>
      </c>
      <c r="B1644" t="str">
        <f>_xlfn.XLOOKUP($A1644,Load!$B:$B,Load!C:C,0,)</f>
        <v>Tootsie</v>
      </c>
      <c r="C1644" t="str">
        <f>_xlfn.XLOOKUP($A1644,Load!$B:$B,Load!D:D,0,)</f>
        <v>Mix of Chocolate and Non-Chocolate Candy</v>
      </c>
      <c r="D1644" t="str">
        <f>_xlfn.XLOOKUP($A1644,Load!$B:$B,Load!E:E,0,)</f>
        <v>Sweet</v>
      </c>
      <c r="E1644" t="str">
        <f>_xlfn.XLOOKUP($A1644,Load!$B:$B,Load!F:F,0,)</f>
        <v>Lollipop (regular or lollipop rings)</v>
      </c>
      <c r="F1644" t="str">
        <f>_xlfn.XLOOKUP($A1644,Load!$B:$B,Load!G:G,0,)</f>
        <v>Large Multipack (More than 80 ct)</v>
      </c>
      <c r="G1644" t="str">
        <f>_xlfn.XLOOKUP($A1644,Load!$B:$B,Load!H:H,0,)</f>
        <v>Laydown Bag</v>
      </c>
      <c r="H1644" t="str">
        <f>_xlfn.XLOOKUP($A1644,Load!$B:$B,Load!I:I,0,)</f>
        <v>Everyday Candy Shapes (like Original, Gummy bear, Fruit, Jewels, etc.)</v>
      </c>
      <c r="I1644" t="str">
        <f>_xlfn.XLOOKUP($A1644,Load!$B:$B,Load!J:J,0,)</f>
        <v>Everyday Graphics</v>
      </c>
      <c r="J1644" t="str">
        <f>_xlfn.XLOOKUP($A1644,Load!$B:$B,Load!K:K,0,)</f>
        <v>Regular Lollipop size (on sticks or rings)</v>
      </c>
      <c r="K1644" t="str">
        <f>_xlfn.XLOOKUP($A1644,Load!$B:$B,Load!L:L,0,)</f>
        <v>Regular/Original Wrapping</v>
      </c>
      <c r="L1644" t="str">
        <f>_xlfn.XLOOKUP($A1644,Load!$B:$B,Load!M:M,0,)</f>
        <v>Single Brand / Single Flavor or Form</v>
      </c>
    </row>
    <row r="1645" spans="1:12" x14ac:dyDescent="0.25">
      <c r="B1645">
        <f>_xlfn.XLOOKUP($A1645,Load!$B:$B,Load!C:C,0,)</f>
        <v>0</v>
      </c>
      <c r="C1645">
        <f>_xlfn.XLOOKUP($A1645,Load!$B:$B,Load!D:D,0,)</f>
        <v>0</v>
      </c>
      <c r="D1645">
        <f>_xlfn.XLOOKUP($A1645,Load!$B:$B,Load!E:E,0,)</f>
        <v>0</v>
      </c>
      <c r="E1645">
        <f>_xlfn.XLOOKUP($A1645,Load!$B:$B,Load!F:F,0,)</f>
        <v>0</v>
      </c>
      <c r="F1645">
        <f>_xlfn.XLOOKUP($A1645,Load!$B:$B,Load!G:G,0,)</f>
        <v>0</v>
      </c>
      <c r="G1645">
        <f>_xlfn.XLOOKUP($A1645,Load!$B:$B,Load!H:H,0,)</f>
        <v>0</v>
      </c>
      <c r="H1645">
        <f>_xlfn.XLOOKUP($A1645,Load!$B:$B,Load!I:I,0,)</f>
        <v>0</v>
      </c>
      <c r="I1645">
        <f>_xlfn.XLOOKUP($A1645,Load!$B:$B,Load!J:J,0,)</f>
        <v>0</v>
      </c>
      <c r="J1645">
        <f>_xlfn.XLOOKUP($A1645,Load!$B:$B,Load!K:K,0,)</f>
        <v>0</v>
      </c>
      <c r="K1645">
        <f>_xlfn.XLOOKUP($A1645,Load!$B:$B,Load!L:L,0,)</f>
        <v>0</v>
      </c>
      <c r="L1645">
        <f>_xlfn.XLOOKUP($A1645,Load!$B:$B,Load!M:M,0,)</f>
        <v>0</v>
      </c>
    </row>
    <row r="1646" spans="1:12" x14ac:dyDescent="0.25">
      <c r="A1646" t="s">
        <v>174</v>
      </c>
      <c r="B1646" t="str">
        <f>_xlfn.XLOOKUP($A1646,Load!$B:$B,Load!C:C,0,)</f>
        <v>Mars Variety Pack</v>
      </c>
      <c r="C1646" t="str">
        <f>_xlfn.XLOOKUP($A1646,Load!$B:$B,Load!D:D,0,)</f>
        <v>Non-Chocolate Candy Only</v>
      </c>
      <c r="D1646" t="str">
        <f>_xlfn.XLOOKUP($A1646,Load!$B:$B,Load!E:E,0,)</f>
        <v>Variety / Mixed Flavors (Fruity, Sour, Seasonal Flavors)</v>
      </c>
      <c r="E1646" t="str">
        <f>_xlfn.XLOOKUP($A1646,Load!$B:$B,Load!F:F,0,)</f>
        <v>Mixed / Combo Packs (Gummy, Chewy, Taffy, etc.)</v>
      </c>
      <c r="F1646" t="str">
        <f>_xlfn.XLOOKUP($A1646,Load!$B:$B,Load!G:G,0,)</f>
        <v>Medium Multipack (40–80 ct)</v>
      </c>
      <c r="G1646" t="str">
        <f>_xlfn.XLOOKUP($A1646,Load!$B:$B,Load!H:H,0,)</f>
        <v>Stand-Up Bag</v>
      </c>
      <c r="H1646" t="str">
        <f>_xlfn.XLOOKUP($A1646,Load!$B:$B,Load!I:I,0,)</f>
        <v>Everyday Candy Shapes (like Original, Gummy bear, Fruit, Jewels, etc.)</v>
      </c>
      <c r="I1646" t="str">
        <f>_xlfn.XLOOKUP($A1646,Load!$B:$B,Load!J:J,0,)</f>
        <v>Seasonal Graphics (Like Bat, Ghost, Pumpkin, Fall Leaves, Eyeballs, etc.)</v>
      </c>
      <c r="J1646" t="str">
        <f>_xlfn.XLOOKUP($A1646,Load!$B:$B,Load!K:K,0,)</f>
        <v>Fun Size / Treat Size</v>
      </c>
      <c r="K1646" t="str">
        <f>_xlfn.XLOOKUP($A1646,Load!$B:$B,Load!L:L,0,)</f>
        <v>Regular/Original Wrapping</v>
      </c>
      <c r="L1646" t="str">
        <f>_xlfn.XLOOKUP($A1646,Load!$B:$B,Load!M:M,0,)</f>
        <v>Multiple Brands / Variety Flavors or Form</v>
      </c>
    </row>
    <row r="1647" spans="1:12" x14ac:dyDescent="0.25">
      <c r="A1647" t="s">
        <v>179</v>
      </c>
      <c r="B1647" t="str">
        <f>_xlfn.XLOOKUP($A1647,Load!$B:$B,Load!C:C,0,)</f>
        <v>Mars Variety Pack</v>
      </c>
      <c r="C1647" t="str">
        <f>_xlfn.XLOOKUP($A1647,Load!$B:$B,Load!D:D,0,)</f>
        <v>Non-Chocolate Candy Only</v>
      </c>
      <c r="D1647" t="str">
        <f>_xlfn.XLOOKUP($A1647,Load!$B:$B,Load!E:E,0,)</f>
        <v>Variety / Mixed Flavors (Fruity, Sour, Seasonal Flavors)</v>
      </c>
      <c r="E1647" t="str">
        <f>_xlfn.XLOOKUP($A1647,Load!$B:$B,Load!F:F,0,)</f>
        <v>Mixed / Combo Packs (Gummy, Chewy, Taffy, etc.)</v>
      </c>
      <c r="F1647" t="str">
        <f>_xlfn.XLOOKUP($A1647,Load!$B:$B,Load!G:G,0,)</f>
        <v>Medium Multipack (40–80 ct)</v>
      </c>
      <c r="G1647" t="str">
        <f>_xlfn.XLOOKUP($A1647,Load!$B:$B,Load!H:H,0,)</f>
        <v>Stand-Up Bag</v>
      </c>
      <c r="H1647" t="str">
        <f>_xlfn.XLOOKUP($A1647,Load!$B:$B,Load!I:I,0,)</f>
        <v>Everyday Candy Shapes (like Original, Gummy bear, Fruit, Jewels, etc.)</v>
      </c>
      <c r="I1647" t="str">
        <f>_xlfn.XLOOKUP($A1647,Load!$B:$B,Load!J:J,0,)</f>
        <v>Seasonal Graphics (Like Bat, Ghost, Pumpkin, Fall Leaves, Eyeballs, etc.)</v>
      </c>
      <c r="J1647" t="str">
        <f>_xlfn.XLOOKUP($A1647,Load!$B:$B,Load!K:K,0,)</f>
        <v>Fun Size / Treat Size</v>
      </c>
      <c r="K1647" t="str">
        <f>_xlfn.XLOOKUP($A1647,Load!$B:$B,Load!L:L,0,)</f>
        <v>Regular/Original Wrapping</v>
      </c>
      <c r="L1647" t="str">
        <f>_xlfn.XLOOKUP($A1647,Load!$B:$B,Load!M:M,0,)</f>
        <v>Multiple Brands / Variety Flavors or Form</v>
      </c>
    </row>
    <row r="1648" spans="1:12" x14ac:dyDescent="0.25">
      <c r="B1648">
        <f>_xlfn.XLOOKUP($A1648,Load!$B:$B,Load!C:C,0,)</f>
        <v>0</v>
      </c>
      <c r="C1648">
        <f>_xlfn.XLOOKUP($A1648,Load!$B:$B,Load!D:D,0,)</f>
        <v>0</v>
      </c>
      <c r="D1648">
        <f>_xlfn.XLOOKUP($A1648,Load!$B:$B,Load!E:E,0,)</f>
        <v>0</v>
      </c>
      <c r="E1648">
        <f>_xlfn.XLOOKUP($A1648,Load!$B:$B,Load!F:F,0,)</f>
        <v>0</v>
      </c>
      <c r="F1648">
        <f>_xlfn.XLOOKUP($A1648,Load!$B:$B,Load!G:G,0,)</f>
        <v>0</v>
      </c>
      <c r="G1648">
        <f>_xlfn.XLOOKUP($A1648,Load!$B:$B,Load!H:H,0,)</f>
        <v>0</v>
      </c>
      <c r="H1648">
        <f>_xlfn.XLOOKUP($A1648,Load!$B:$B,Load!I:I,0,)</f>
        <v>0</v>
      </c>
      <c r="I1648">
        <f>_xlfn.XLOOKUP($A1648,Load!$B:$B,Load!J:J,0,)</f>
        <v>0</v>
      </c>
      <c r="J1648">
        <f>_xlfn.XLOOKUP($A1648,Load!$B:$B,Load!K:K,0,)</f>
        <v>0</v>
      </c>
      <c r="K1648">
        <f>_xlfn.XLOOKUP($A1648,Load!$B:$B,Load!L:L,0,)</f>
        <v>0</v>
      </c>
      <c r="L1648">
        <f>_xlfn.XLOOKUP($A1648,Load!$B:$B,Load!M:M,0,)</f>
        <v>0</v>
      </c>
    </row>
    <row r="1649" spans="1:12" x14ac:dyDescent="0.25">
      <c r="B1649">
        <f>_xlfn.XLOOKUP($A1649,Load!$B:$B,Load!C:C,0,)</f>
        <v>0</v>
      </c>
      <c r="C1649">
        <f>_xlfn.XLOOKUP($A1649,Load!$B:$B,Load!D:D,0,)</f>
        <v>0</v>
      </c>
      <c r="D1649">
        <f>_xlfn.XLOOKUP($A1649,Load!$B:$B,Load!E:E,0,)</f>
        <v>0</v>
      </c>
      <c r="E1649">
        <f>_xlfn.XLOOKUP($A1649,Load!$B:$B,Load!F:F,0,)</f>
        <v>0</v>
      </c>
      <c r="F1649">
        <f>_xlfn.XLOOKUP($A1649,Load!$B:$B,Load!G:G,0,)</f>
        <v>0</v>
      </c>
      <c r="G1649">
        <f>_xlfn.XLOOKUP($A1649,Load!$B:$B,Load!H:H,0,)</f>
        <v>0</v>
      </c>
      <c r="H1649">
        <f>_xlfn.XLOOKUP($A1649,Load!$B:$B,Load!I:I,0,)</f>
        <v>0</v>
      </c>
      <c r="I1649">
        <f>_xlfn.XLOOKUP($A1649,Load!$B:$B,Load!J:J,0,)</f>
        <v>0</v>
      </c>
      <c r="J1649">
        <f>_xlfn.XLOOKUP($A1649,Load!$B:$B,Load!K:K,0,)</f>
        <v>0</v>
      </c>
      <c r="K1649">
        <f>_xlfn.XLOOKUP($A1649,Load!$B:$B,Load!L:L,0,)</f>
        <v>0</v>
      </c>
      <c r="L1649">
        <f>_xlfn.XLOOKUP($A1649,Load!$B:$B,Load!M:M,0,)</f>
        <v>0</v>
      </c>
    </row>
    <row r="1650" spans="1:12" x14ac:dyDescent="0.25">
      <c r="A1650" t="s">
        <v>69</v>
      </c>
      <c r="B1650" t="str">
        <f>_xlfn.XLOOKUP($A1650,Load!$B:$B,Load!C:C,0,)</f>
        <v>Dum Dums</v>
      </c>
      <c r="C1650" t="str">
        <f>_xlfn.XLOOKUP($A1650,Load!$B:$B,Load!D:D,0,)</f>
        <v>Non-Chocolate Candy Only</v>
      </c>
      <c r="D1650" t="str">
        <f>_xlfn.XLOOKUP($A1650,Load!$B:$B,Load!E:E,0,)</f>
        <v>Sweet</v>
      </c>
      <c r="E1650" t="str">
        <f>_xlfn.XLOOKUP($A1650,Load!$B:$B,Load!F:F,0,)</f>
        <v>Lollipop (regular or lollipop rings)</v>
      </c>
      <c r="F1650" t="str">
        <f>_xlfn.XLOOKUP($A1650,Load!$B:$B,Load!G:G,0,)</f>
        <v>Single Pack</v>
      </c>
      <c r="G1650" t="str">
        <f>_xlfn.XLOOKUP($A1650,Load!$B:$B,Load!H:H,0,)</f>
        <v>Laydown Bag</v>
      </c>
      <c r="H1650" t="str">
        <f>_xlfn.XLOOKUP($A1650,Load!$B:$B,Load!I:I,0,)</f>
        <v>Seasonal Shapes (like pumpkins, candy corn, ghost, bats, etc.)</v>
      </c>
      <c r="I1650" t="str">
        <f>_xlfn.XLOOKUP($A1650,Load!$B:$B,Load!J:J,0,)</f>
        <v>Seasonal Graphics (Like Bat, Ghost, Pumpkin, Fall Leaves, Eyeballs, etc.)</v>
      </c>
      <c r="J1650" t="str">
        <f>_xlfn.XLOOKUP($A1650,Load!$B:$B,Load!K:K,0,)</f>
        <v>Regular Lollipop size (on sticks or rings)</v>
      </c>
      <c r="K1650" t="str">
        <f>_xlfn.XLOOKUP($A1650,Load!$B:$B,Load!L:L,0,)</f>
        <v>Regular/Original Wrapping</v>
      </c>
      <c r="L1650" t="str">
        <f>_xlfn.XLOOKUP($A1650,Load!$B:$B,Load!M:M,0,)</f>
        <v>Single Brand / Variety Flavors or Form</v>
      </c>
    </row>
    <row r="1651" spans="1:12" x14ac:dyDescent="0.25">
      <c r="A1651" t="s">
        <v>127</v>
      </c>
      <c r="B1651" t="str">
        <f>_xlfn.XLOOKUP($A1651,Load!$B:$B,Load!C:C,0,)</f>
        <v>HARIBO</v>
      </c>
      <c r="C1651" t="str">
        <f>_xlfn.XLOOKUP($A1651,Load!$B:$B,Load!D:D,0,)</f>
        <v>Non-Chocolate Candy Only</v>
      </c>
      <c r="D1651" t="str">
        <f>_xlfn.XLOOKUP($A1651,Load!$B:$B,Load!E:E,0,)</f>
        <v>Sweet</v>
      </c>
      <c r="E1651" t="str">
        <f>_xlfn.XLOOKUP($A1651,Load!$B:$B,Load!F:F,0,)</f>
        <v>Gummy</v>
      </c>
      <c r="F1651" t="str">
        <f>_xlfn.XLOOKUP($A1651,Load!$B:$B,Load!G:G,0,)</f>
        <v>Single Pack</v>
      </c>
      <c r="G1651" t="str">
        <f>_xlfn.XLOOKUP($A1651,Load!$B:$B,Load!H:H,0,)</f>
        <v>Laydown Bag</v>
      </c>
      <c r="H1651" t="str">
        <f>_xlfn.XLOOKUP($A1651,Load!$B:$B,Load!I:I,0,)</f>
        <v>Seasonal Shapes (like pumpkins, candy corn, ghost, bats, etc.)</v>
      </c>
      <c r="I1651" t="str">
        <f>_xlfn.XLOOKUP($A1651,Load!$B:$B,Load!J:J,0,)</f>
        <v>Seasonal Graphics (Like Bat, Ghost, Pumpkin, Fall Leaves, Eyeballs, etc.)</v>
      </c>
      <c r="J1651" t="str">
        <f>_xlfn.XLOOKUP($A1651,Load!$B:$B,Load!K:K,0,)</f>
        <v>Small Pieces (Tiny bite size candies)</v>
      </c>
      <c r="K1651" t="str">
        <f>_xlfn.XLOOKUP($A1651,Load!$B:$B,Load!L:L,0,)</f>
        <v>Unwrapped</v>
      </c>
      <c r="L1651" t="str">
        <f>_xlfn.XLOOKUP($A1651,Load!$B:$B,Load!M:M,0,)</f>
        <v>Single Brand / Variety Flavors or Form</v>
      </c>
    </row>
    <row r="1652" spans="1:12" x14ac:dyDescent="0.25">
      <c r="A1652" t="s">
        <v>85</v>
      </c>
      <c r="B1652" t="str">
        <f>_xlfn.XLOOKUP($A1652,Load!$B:$B,Load!C:C,0,)</f>
        <v>Ferrara Variety Pack</v>
      </c>
      <c r="C1652" t="str">
        <f>_xlfn.XLOOKUP($A1652,Load!$B:$B,Load!D:D,0,)</f>
        <v>Non-Chocolate Candy Only</v>
      </c>
      <c r="D1652" t="str">
        <f>_xlfn.XLOOKUP($A1652,Load!$B:$B,Load!E:E,0,)</f>
        <v>Variety / Mixed Flavors (Fruity, Sour, Seasonal Flavors)</v>
      </c>
      <c r="E1652" t="str">
        <f>_xlfn.XLOOKUP($A1652,Load!$B:$B,Load!F:F,0,)</f>
        <v>Mixed / Combo Packs (Gummy, Chewy, Taffy, etc.)</v>
      </c>
      <c r="F1652" t="str">
        <f>_xlfn.XLOOKUP($A1652,Load!$B:$B,Load!G:G,0,)</f>
        <v>Large Multipack (More than 80 ct)</v>
      </c>
      <c r="G1652" t="str">
        <f>_xlfn.XLOOKUP($A1652,Load!$B:$B,Load!H:H,0,)</f>
        <v>Stand-Up Bag</v>
      </c>
      <c r="H1652" t="str">
        <f>_xlfn.XLOOKUP($A1652,Load!$B:$B,Load!I:I,0,)</f>
        <v>Seasonal Shapes (like pumpkins, candy corn, ghost, bats, etc.)</v>
      </c>
      <c r="I1652" t="str">
        <f>_xlfn.XLOOKUP($A1652,Load!$B:$B,Load!J:J,0,)</f>
        <v>Seasonal Graphics (Like Bat, Ghost, Pumpkin, Fall Leaves, Eyeballs, etc.)</v>
      </c>
      <c r="J1652" t="str">
        <f>_xlfn.XLOOKUP($A1652,Load!$B:$B,Load!K:K,0,)</f>
        <v>Fun Size / Treat Size</v>
      </c>
      <c r="K1652" t="str">
        <f>_xlfn.XLOOKUP($A1652,Load!$B:$B,Load!L:L,0,)</f>
        <v>Regular/Original Wrapping</v>
      </c>
      <c r="L1652" t="str">
        <f>_xlfn.XLOOKUP($A1652,Load!$B:$B,Load!M:M,0,)</f>
        <v>Multiple Brands / Variety Flavors or Form</v>
      </c>
    </row>
    <row r="1653" spans="1:12" x14ac:dyDescent="0.25">
      <c r="A1653" t="s">
        <v>104</v>
      </c>
      <c r="B1653" t="str">
        <f>_xlfn.XLOOKUP($A1653,Load!$B:$B,Load!C:C,0,)</f>
        <v>Frankford</v>
      </c>
      <c r="C1653" t="str">
        <f>_xlfn.XLOOKUP($A1653,Load!$B:$B,Load!D:D,0,)</f>
        <v>Non-Chocolate Candy Only</v>
      </c>
      <c r="D1653" t="str">
        <f>_xlfn.XLOOKUP($A1653,Load!$B:$B,Load!E:E,0,)</f>
        <v>Variety / Mixed Flavors (Fruity, Sour, Seasonal Flavors)</v>
      </c>
      <c r="E1653" t="str">
        <f>_xlfn.XLOOKUP($A1653,Load!$B:$B,Load!F:F,0,)</f>
        <v>Mixed / Combo Packs (Gummy, Chewy, Taffy, etc.)</v>
      </c>
      <c r="F1653" t="str">
        <f>_xlfn.XLOOKUP($A1653,Load!$B:$B,Load!G:G,0,)</f>
        <v>Large Multipack (More than 80 ct)</v>
      </c>
      <c r="G1653" t="str">
        <f>_xlfn.XLOOKUP($A1653,Load!$B:$B,Load!H:H,0,)</f>
        <v>Stand-Up Bag</v>
      </c>
      <c r="H1653" t="str">
        <f>_xlfn.XLOOKUP($A1653,Load!$B:$B,Load!I:I,0,)</f>
        <v>Seasonal Shapes (like pumpkins, candy corn, ghost, bats, etc.)</v>
      </c>
      <c r="I1653" t="str">
        <f>_xlfn.XLOOKUP($A1653,Load!$B:$B,Load!J:J,0,)</f>
        <v>Seasonal Graphics (Like Bat, Ghost, Pumpkin, Fall Leaves, Eyeballs, etc.)</v>
      </c>
      <c r="J1653" t="str">
        <f>_xlfn.XLOOKUP($A1653,Load!$B:$B,Load!K:K,0,)</f>
        <v xml:space="preserve">Variety Candy Sizes </v>
      </c>
      <c r="K1653" t="str">
        <f>_xlfn.XLOOKUP($A1653,Load!$B:$B,Load!L:L,0,)</f>
        <v>Regular/Original Wrapping</v>
      </c>
      <c r="L1653" t="str">
        <f>_xlfn.XLOOKUP($A1653,Load!$B:$B,Load!M:M,0,)</f>
        <v>Multiple Brands / Variety Flavors or Form</v>
      </c>
    </row>
    <row r="1654" spans="1:12" x14ac:dyDescent="0.25">
      <c r="B1654">
        <f>_xlfn.XLOOKUP($A1654,Load!$B:$B,Load!C:C,0,)</f>
        <v>0</v>
      </c>
      <c r="C1654">
        <f>_xlfn.XLOOKUP($A1654,Load!$B:$B,Load!D:D,0,)</f>
        <v>0</v>
      </c>
      <c r="D1654">
        <f>_xlfn.XLOOKUP($A1654,Load!$B:$B,Load!E:E,0,)</f>
        <v>0</v>
      </c>
      <c r="E1654">
        <f>_xlfn.XLOOKUP($A1654,Load!$B:$B,Load!F:F,0,)</f>
        <v>0</v>
      </c>
      <c r="F1654">
        <f>_xlfn.XLOOKUP($A1654,Load!$B:$B,Load!G:G,0,)</f>
        <v>0</v>
      </c>
      <c r="G1654">
        <f>_xlfn.XLOOKUP($A1654,Load!$B:$B,Load!H:H,0,)</f>
        <v>0</v>
      </c>
      <c r="H1654">
        <f>_xlfn.XLOOKUP($A1654,Load!$B:$B,Load!I:I,0,)</f>
        <v>0</v>
      </c>
      <c r="I1654">
        <f>_xlfn.XLOOKUP($A1654,Load!$B:$B,Load!J:J,0,)</f>
        <v>0</v>
      </c>
      <c r="J1654">
        <f>_xlfn.XLOOKUP($A1654,Load!$B:$B,Load!K:K,0,)</f>
        <v>0</v>
      </c>
      <c r="K1654">
        <f>_xlfn.XLOOKUP($A1654,Load!$B:$B,Load!L:L,0,)</f>
        <v>0</v>
      </c>
      <c r="L1654">
        <f>_xlfn.XLOOKUP($A1654,Load!$B:$B,Load!M:M,0,)</f>
        <v>0</v>
      </c>
    </row>
    <row r="1655" spans="1:12" x14ac:dyDescent="0.25">
      <c r="B1655">
        <f>_xlfn.XLOOKUP($A1655,Load!$B:$B,Load!C:C,0,)</f>
        <v>0</v>
      </c>
      <c r="C1655">
        <f>_xlfn.XLOOKUP($A1655,Load!$B:$B,Load!D:D,0,)</f>
        <v>0</v>
      </c>
      <c r="D1655">
        <f>_xlfn.XLOOKUP($A1655,Load!$B:$B,Load!E:E,0,)</f>
        <v>0</v>
      </c>
      <c r="E1655">
        <f>_xlfn.XLOOKUP($A1655,Load!$B:$B,Load!F:F,0,)</f>
        <v>0</v>
      </c>
      <c r="F1655">
        <f>_xlfn.XLOOKUP($A1655,Load!$B:$B,Load!G:G,0,)</f>
        <v>0</v>
      </c>
      <c r="G1655">
        <f>_xlfn.XLOOKUP($A1655,Load!$B:$B,Load!H:H,0,)</f>
        <v>0</v>
      </c>
      <c r="H1655">
        <f>_xlfn.XLOOKUP($A1655,Load!$B:$B,Load!I:I,0,)</f>
        <v>0</v>
      </c>
      <c r="I1655">
        <f>_xlfn.XLOOKUP($A1655,Load!$B:$B,Load!J:J,0,)</f>
        <v>0</v>
      </c>
      <c r="J1655">
        <f>_xlfn.XLOOKUP($A1655,Load!$B:$B,Load!K:K,0,)</f>
        <v>0</v>
      </c>
      <c r="K1655">
        <f>_xlfn.XLOOKUP($A1655,Load!$B:$B,Load!L:L,0,)</f>
        <v>0</v>
      </c>
      <c r="L1655">
        <f>_xlfn.XLOOKUP($A1655,Load!$B:$B,Load!M:M,0,)</f>
        <v>0</v>
      </c>
    </row>
    <row r="1656" spans="1:12" x14ac:dyDescent="0.25">
      <c r="A1656" t="s">
        <v>289</v>
      </c>
      <c r="B1656" t="str">
        <f>_xlfn.XLOOKUP($A1656,Load!$B:$B,Load!C:C,0,)</f>
        <v>Tootsie</v>
      </c>
      <c r="C1656" t="str">
        <f>_xlfn.XLOOKUP($A1656,Load!$B:$B,Load!D:D,0,)</f>
        <v>Mix of Chocolate and Non-Chocolate Candy</v>
      </c>
      <c r="D1656" t="str">
        <f>_xlfn.XLOOKUP($A1656,Load!$B:$B,Load!E:E,0,)</f>
        <v>Variety / Mixed Flavors (Fruity, Sour, Seasonal Flavors)</v>
      </c>
      <c r="E1656" t="str">
        <f>_xlfn.XLOOKUP($A1656,Load!$B:$B,Load!F:F,0,)</f>
        <v>Mixed / Combo Packs (Gummy, Chewy, Taffy, etc.)</v>
      </c>
      <c r="F1656" t="str">
        <f>_xlfn.XLOOKUP($A1656,Load!$B:$B,Load!G:G,0,)</f>
        <v>Large Multipack (More than 80 ct)</v>
      </c>
      <c r="G1656" t="str">
        <f>_xlfn.XLOOKUP($A1656,Load!$B:$B,Load!H:H,0,)</f>
        <v>Laydown Bag</v>
      </c>
      <c r="H1656" t="str">
        <f>_xlfn.XLOOKUP($A1656,Load!$B:$B,Load!I:I,0,)</f>
        <v>Everyday Candy Shapes (like Original, Gummy bear, Fruit, Jewels, etc.)</v>
      </c>
      <c r="I1656" t="str">
        <f>_xlfn.XLOOKUP($A1656,Load!$B:$B,Load!J:J,0,)</f>
        <v>Everyday Graphics</v>
      </c>
      <c r="J1656" t="str">
        <f>_xlfn.XLOOKUP($A1656,Load!$B:$B,Load!K:K,0,)</f>
        <v xml:space="preserve">Variety Candy Sizes </v>
      </c>
      <c r="K1656" t="str">
        <f>_xlfn.XLOOKUP($A1656,Load!$B:$B,Load!L:L,0,)</f>
        <v>Regular/Original Wrapping</v>
      </c>
      <c r="L1656" t="str">
        <f>_xlfn.XLOOKUP($A1656,Load!$B:$B,Load!M:M,0,)</f>
        <v>Single Brand / Variety Flavors or Form</v>
      </c>
    </row>
    <row r="1657" spans="1:12" x14ac:dyDescent="0.25">
      <c r="A1657" t="s">
        <v>290</v>
      </c>
      <c r="B1657" t="str">
        <f>_xlfn.XLOOKUP($A1657,Load!$B:$B,Load!C:C,0,)</f>
        <v>Tootsie</v>
      </c>
      <c r="C1657" t="str">
        <f>_xlfn.XLOOKUP($A1657,Load!$B:$B,Load!D:D,0,)</f>
        <v>Mix of Chocolate and Non-Chocolate Candy</v>
      </c>
      <c r="D1657" t="str">
        <f>_xlfn.XLOOKUP($A1657,Load!$B:$B,Load!E:E,0,)</f>
        <v>Variety / Mixed Flavors (Fruity, Sour, Seasonal Flavors)</v>
      </c>
      <c r="E1657" t="str">
        <f>_xlfn.XLOOKUP($A1657,Load!$B:$B,Load!F:F,0,)</f>
        <v>Mixed / Combo Packs (Gummy, Chewy, Taffy, etc.)</v>
      </c>
      <c r="F1657" t="str">
        <f>_xlfn.XLOOKUP($A1657,Load!$B:$B,Load!G:G,0,)</f>
        <v>Large Multipack (More than 80 ct)</v>
      </c>
      <c r="G1657" t="str">
        <f>_xlfn.XLOOKUP($A1657,Load!$B:$B,Load!H:H,0,)</f>
        <v>Laydown Bag</v>
      </c>
      <c r="H1657" t="str">
        <f>_xlfn.XLOOKUP($A1657,Load!$B:$B,Load!I:I,0,)</f>
        <v>Everyday Candy Shapes (like Original, Gummy bear, Fruit, Jewels, etc.)</v>
      </c>
      <c r="I1657" t="str">
        <f>_xlfn.XLOOKUP($A1657,Load!$B:$B,Load!J:J,0,)</f>
        <v>Everyday Graphics</v>
      </c>
      <c r="J1657" t="str">
        <f>_xlfn.XLOOKUP($A1657,Load!$B:$B,Load!K:K,0,)</f>
        <v>Fun Size / Treat Size</v>
      </c>
      <c r="K1657" t="str">
        <f>_xlfn.XLOOKUP($A1657,Load!$B:$B,Load!L:L,0,)</f>
        <v>Regular/Original Wrapping</v>
      </c>
      <c r="L1657" t="str">
        <f>_xlfn.XLOOKUP($A1657,Load!$B:$B,Load!M:M,0,)</f>
        <v>Single Brand / Variety Flavors or Form</v>
      </c>
    </row>
    <row r="1658" spans="1:12" x14ac:dyDescent="0.25">
      <c r="B1658">
        <f>_xlfn.XLOOKUP($A1658,Load!$B:$B,Load!C:C,0,)</f>
        <v>0</v>
      </c>
      <c r="C1658">
        <f>_xlfn.XLOOKUP($A1658,Load!$B:$B,Load!D:D,0,)</f>
        <v>0</v>
      </c>
      <c r="D1658">
        <f>_xlfn.XLOOKUP($A1658,Load!$B:$B,Load!E:E,0,)</f>
        <v>0</v>
      </c>
      <c r="E1658">
        <f>_xlfn.XLOOKUP($A1658,Load!$B:$B,Load!F:F,0,)</f>
        <v>0</v>
      </c>
      <c r="F1658">
        <f>_xlfn.XLOOKUP($A1658,Load!$B:$B,Load!G:G,0,)</f>
        <v>0</v>
      </c>
      <c r="G1658">
        <f>_xlfn.XLOOKUP($A1658,Load!$B:$B,Load!H:H,0,)</f>
        <v>0</v>
      </c>
      <c r="H1658">
        <f>_xlfn.XLOOKUP($A1658,Load!$B:$B,Load!I:I,0,)</f>
        <v>0</v>
      </c>
      <c r="I1658">
        <f>_xlfn.XLOOKUP($A1658,Load!$B:$B,Load!J:J,0,)</f>
        <v>0</v>
      </c>
      <c r="J1658">
        <f>_xlfn.XLOOKUP($A1658,Load!$B:$B,Load!K:K,0,)</f>
        <v>0</v>
      </c>
      <c r="K1658">
        <f>_xlfn.XLOOKUP($A1658,Load!$B:$B,Load!L:L,0,)</f>
        <v>0</v>
      </c>
      <c r="L1658">
        <f>_xlfn.XLOOKUP($A1658,Load!$B:$B,Load!M:M,0,)</f>
        <v>0</v>
      </c>
    </row>
    <row r="1659" spans="1:12" x14ac:dyDescent="0.25">
      <c r="B1659">
        <f>_xlfn.XLOOKUP($A1659,Load!$B:$B,Load!C:C,0,)</f>
        <v>0</v>
      </c>
      <c r="C1659">
        <f>_xlfn.XLOOKUP($A1659,Load!$B:$B,Load!D:D,0,)</f>
        <v>0</v>
      </c>
      <c r="D1659">
        <f>_xlfn.XLOOKUP($A1659,Load!$B:$B,Load!E:E,0,)</f>
        <v>0</v>
      </c>
      <c r="E1659">
        <f>_xlfn.XLOOKUP($A1659,Load!$B:$B,Load!F:F,0,)</f>
        <v>0</v>
      </c>
      <c r="F1659">
        <f>_xlfn.XLOOKUP($A1659,Load!$B:$B,Load!G:G,0,)</f>
        <v>0</v>
      </c>
      <c r="G1659">
        <f>_xlfn.XLOOKUP($A1659,Load!$B:$B,Load!H:H,0,)</f>
        <v>0</v>
      </c>
      <c r="H1659">
        <f>_xlfn.XLOOKUP($A1659,Load!$B:$B,Load!I:I,0,)</f>
        <v>0</v>
      </c>
      <c r="I1659">
        <f>_xlfn.XLOOKUP($A1659,Load!$B:$B,Load!J:J,0,)</f>
        <v>0</v>
      </c>
      <c r="J1659">
        <f>_xlfn.XLOOKUP($A1659,Load!$B:$B,Load!K:K,0,)</f>
        <v>0</v>
      </c>
      <c r="K1659">
        <f>_xlfn.XLOOKUP($A1659,Load!$B:$B,Load!L:L,0,)</f>
        <v>0</v>
      </c>
      <c r="L1659">
        <f>_xlfn.XLOOKUP($A1659,Load!$B:$B,Load!M:M,0,)</f>
        <v>0</v>
      </c>
    </row>
    <row r="1660" spans="1:12" x14ac:dyDescent="0.25">
      <c r="A1660" t="s">
        <v>264</v>
      </c>
      <c r="B1660" t="str">
        <f>_xlfn.XLOOKUP($A1660,Load!$B:$B,Load!C:C,0,)</f>
        <v>Smarties</v>
      </c>
      <c r="C1660" t="str">
        <f>_xlfn.XLOOKUP($A1660,Load!$B:$B,Load!D:D,0,)</f>
        <v>Non-Chocolate Candy Only</v>
      </c>
      <c r="D1660" t="str">
        <f>_xlfn.XLOOKUP($A1660,Load!$B:$B,Load!E:E,0,)</f>
        <v>Fruit Flavor (Cherry, Grape, Apple, Citrus, Tropical Fruit)</v>
      </c>
      <c r="E1660" t="str">
        <f>_xlfn.XLOOKUP($A1660,Load!$B:$B,Load!F:F,0,)</f>
        <v>Powder / Chalky</v>
      </c>
      <c r="F1660" t="str">
        <f>_xlfn.XLOOKUP($A1660,Load!$B:$B,Load!G:G,0,)</f>
        <v>Single Pack</v>
      </c>
      <c r="G1660" t="str">
        <f>_xlfn.XLOOKUP($A1660,Load!$B:$B,Load!H:H,0,)</f>
        <v>Laydown Bag</v>
      </c>
      <c r="H1660" t="str">
        <f>_xlfn.XLOOKUP($A1660,Load!$B:$B,Load!I:I,0,)</f>
        <v>Everyday Candy Shapes (like Original, Gummy bear, Fruit, Jewels, etc.)</v>
      </c>
      <c r="I1660" t="str">
        <f>_xlfn.XLOOKUP($A1660,Load!$B:$B,Load!J:J,0,)</f>
        <v>Everyday Graphics</v>
      </c>
      <c r="J1660" t="str">
        <f>_xlfn.XLOOKUP($A1660,Load!$B:$B,Load!K:K,0,)</f>
        <v>Small Pieces (Tiny bite size candies)</v>
      </c>
      <c r="K1660" t="str">
        <f>_xlfn.XLOOKUP($A1660,Load!$B:$B,Load!L:L,0,)</f>
        <v>Regular/Original Wrapping</v>
      </c>
      <c r="L1660" t="str">
        <f>_xlfn.XLOOKUP($A1660,Load!$B:$B,Load!M:M,0,)</f>
        <v>Single Brand / Single Flavor or Form</v>
      </c>
    </row>
    <row r="1661" spans="1:12" x14ac:dyDescent="0.25">
      <c r="A1661" t="s">
        <v>157</v>
      </c>
      <c r="B1661" t="str">
        <f>_xlfn.XLOOKUP($A1661,Load!$B:$B,Load!C:C,0,)</f>
        <v>Jolly Rancher</v>
      </c>
      <c r="C1661" t="str">
        <f>_xlfn.XLOOKUP($A1661,Load!$B:$B,Load!D:D,0,)</f>
        <v>Non-Chocolate Candy Only</v>
      </c>
      <c r="D1661" t="str">
        <f>_xlfn.XLOOKUP($A1661,Load!$B:$B,Load!E:E,0,)</f>
        <v>Fruit Flavor (Cherry, Grape, Apple, Citrus, Tropical Fruit)</v>
      </c>
      <c r="E1661" t="str">
        <f>_xlfn.XLOOKUP($A1661,Load!$B:$B,Load!F:F,0,)</f>
        <v>Hard Candy</v>
      </c>
      <c r="F1661" t="str">
        <f>_xlfn.XLOOKUP($A1661,Load!$B:$B,Load!G:G,0,)</f>
        <v>Single Pack</v>
      </c>
      <c r="G1661" t="str">
        <f>_xlfn.XLOOKUP($A1661,Load!$B:$B,Load!H:H,0,)</f>
        <v>Laydown Bag</v>
      </c>
      <c r="H1661" t="str">
        <f>_xlfn.XLOOKUP($A1661,Load!$B:$B,Load!I:I,0,)</f>
        <v>Everyday Candy Shapes (like Original, Gummy bear, Fruit, Jewels, etc.)</v>
      </c>
      <c r="I1661" t="str">
        <f>_xlfn.XLOOKUP($A1661,Load!$B:$B,Load!J:J,0,)</f>
        <v>Everyday Graphics</v>
      </c>
      <c r="J1661" t="str">
        <f>_xlfn.XLOOKUP($A1661,Load!$B:$B,Load!K:K,0,)</f>
        <v>Small Pieces (Tiny bite size candies)</v>
      </c>
      <c r="K1661" t="str">
        <f>_xlfn.XLOOKUP($A1661,Load!$B:$B,Load!L:L,0,)</f>
        <v>Regular/Original Wrapping</v>
      </c>
      <c r="L1661" t="str">
        <f>_xlfn.XLOOKUP($A1661,Load!$B:$B,Load!M:M,0,)</f>
        <v>Single Brand / Variety Flavors or Form</v>
      </c>
    </row>
    <row r="1662" spans="1:12" x14ac:dyDescent="0.25">
      <c r="A1662" t="s">
        <v>329</v>
      </c>
      <c r="B1662" t="str">
        <f>_xlfn.XLOOKUP($A1662,Load!$B:$B,Load!C:C,0,)</f>
        <v>AMOS</v>
      </c>
      <c r="C1662" t="str">
        <f>_xlfn.XLOOKUP($A1662,Load!$B:$B,Load!D:D,0,)</f>
        <v>Non-Chocolate Candy Only</v>
      </c>
      <c r="D1662" t="str">
        <f>_xlfn.XLOOKUP($A1662,Load!$B:$B,Load!E:E,0,)</f>
        <v>Sour</v>
      </c>
      <c r="E1662" t="str">
        <f>_xlfn.XLOOKUP($A1662,Load!$B:$B,Load!F:F,0,)</f>
        <v>Chewy</v>
      </c>
      <c r="F1662" t="str">
        <f>_xlfn.XLOOKUP($A1662,Load!$B:$B,Load!G:G,0,)</f>
        <v>Single Pack</v>
      </c>
      <c r="G1662" t="str">
        <f>_xlfn.XLOOKUP($A1662,Load!$B:$B,Load!H:H,0,)</f>
        <v>Plastic Cup / Container</v>
      </c>
      <c r="H1662" t="str">
        <f>_xlfn.XLOOKUP($A1662,Load!$B:$B,Load!I:I,0,)</f>
        <v>Seasonal Shapes (like pumpkins, candy corn, ghost, bats, etc.)</v>
      </c>
      <c r="I1662" t="str">
        <f>_xlfn.XLOOKUP($A1662,Load!$B:$B,Load!J:J,0,)</f>
        <v>Seasonal Graphics (Like Bat, Ghost, Pumpkin, Fall Leaves, Eyeballs, etc.)</v>
      </c>
      <c r="J1662" t="str">
        <f>_xlfn.XLOOKUP($A1662,Load!$B:$B,Load!K:K,0,)</f>
        <v>Fun Size / Treat Size</v>
      </c>
      <c r="K1662" t="str">
        <f>_xlfn.XLOOKUP($A1662,Load!$B:$B,Load!L:L,0,)</f>
        <v>Regular/Original Wrapping</v>
      </c>
      <c r="L1662" t="str">
        <f>_xlfn.XLOOKUP($A1662,Load!$B:$B,Load!M:M,0,)</f>
        <v>Single Brand / Single Flavor or Form</v>
      </c>
    </row>
    <row r="1663" spans="1:12" x14ac:dyDescent="0.25">
      <c r="A1663" t="s">
        <v>118</v>
      </c>
      <c r="B1663" t="str">
        <f>_xlfn.XLOOKUP($A1663,Load!$B:$B,Load!C:C,0,)</f>
        <v>Great Value</v>
      </c>
      <c r="C1663" t="str">
        <f>_xlfn.XLOOKUP($A1663,Load!$B:$B,Load!D:D,0,)</f>
        <v>Non-Chocolate Candy Only</v>
      </c>
      <c r="D1663" t="str">
        <f>_xlfn.XLOOKUP($A1663,Load!$B:$B,Load!E:E,0,)</f>
        <v>Fall / Seasonal Flavors (pumpkin spice, caramel apple, candy corn)</v>
      </c>
      <c r="E1663" t="str">
        <f>_xlfn.XLOOKUP($A1663,Load!$B:$B,Load!F:F,0,)</f>
        <v>Candy Pieces / Bites</v>
      </c>
      <c r="F1663" t="str">
        <f>_xlfn.XLOOKUP($A1663,Load!$B:$B,Load!G:G,0,)</f>
        <v>Single Pack</v>
      </c>
      <c r="G1663" t="str">
        <f>_xlfn.XLOOKUP($A1663,Load!$B:$B,Load!H:H,0,)</f>
        <v>Laydown Bag</v>
      </c>
      <c r="H1663" t="str">
        <f>_xlfn.XLOOKUP($A1663,Load!$B:$B,Load!I:I,0,)</f>
        <v>Everyday Candy Shapes (like Original, Gummy bear, Fruit, Jewels, etc.)</v>
      </c>
      <c r="I1663" t="str">
        <f>_xlfn.XLOOKUP($A1663,Load!$B:$B,Load!J:J,0,)</f>
        <v>Seasonal Graphics (Like Bat, Ghost, Pumpkin, Fall Leaves, Eyeballs, etc.)</v>
      </c>
      <c r="J1663" t="str">
        <f>_xlfn.XLOOKUP($A1663,Load!$B:$B,Load!K:K,0,)</f>
        <v>Small Pieces (Tiny bite size candies)</v>
      </c>
      <c r="K1663" t="str">
        <f>_xlfn.XLOOKUP($A1663,Load!$B:$B,Load!L:L,0,)</f>
        <v>Unwrapped</v>
      </c>
      <c r="L1663" t="str">
        <f>_xlfn.XLOOKUP($A1663,Load!$B:$B,Load!M:M,0,)</f>
        <v>Single Brand / Single Flavor or Form</v>
      </c>
    </row>
    <row r="1664" spans="1:12" x14ac:dyDescent="0.25">
      <c r="A1664" t="s">
        <v>120</v>
      </c>
      <c r="B1664" t="str">
        <f>_xlfn.XLOOKUP($A1664,Load!$B:$B,Load!C:C,0,)</f>
        <v>HARIBO</v>
      </c>
      <c r="C1664" t="str">
        <f>_xlfn.XLOOKUP($A1664,Load!$B:$B,Load!D:D,0,)</f>
        <v>Non-Chocolate Candy Only</v>
      </c>
      <c r="D1664" t="str">
        <f>_xlfn.XLOOKUP($A1664,Load!$B:$B,Load!E:E,0,)</f>
        <v>Variety / Mixed Flavors (Fruity, Sour, Seasonal Flavors)</v>
      </c>
      <c r="E1664" t="str">
        <f>_xlfn.XLOOKUP($A1664,Load!$B:$B,Load!F:F,0,)</f>
        <v>Mixed / Combo Packs (Gummy, Chewy, Taffy, etc.)</v>
      </c>
      <c r="F1664" t="str">
        <f>_xlfn.XLOOKUP($A1664,Load!$B:$B,Load!G:G,0,)</f>
        <v>Medium Multipack (40–80 ct)</v>
      </c>
      <c r="G1664" t="str">
        <f>_xlfn.XLOOKUP($A1664,Load!$B:$B,Load!H:H,0,)</f>
        <v>Laydown Bag</v>
      </c>
      <c r="H1664" t="str">
        <f>_xlfn.XLOOKUP($A1664,Load!$B:$B,Load!I:I,0,)</f>
        <v>Seasonal Shapes (like pumpkins, candy corn, ghost, bats, etc.)</v>
      </c>
      <c r="I1664" t="str">
        <f>_xlfn.XLOOKUP($A1664,Load!$B:$B,Load!J:J,0,)</f>
        <v>Seasonal Graphics (Like Bat, Ghost, Pumpkin, Fall Leaves, Eyeballs, etc.)</v>
      </c>
      <c r="J1664" t="str">
        <f>_xlfn.XLOOKUP($A1664,Load!$B:$B,Load!K:K,0,)</f>
        <v>Small Pieces (Tiny bite size candies)</v>
      </c>
      <c r="K1664" t="str">
        <f>_xlfn.XLOOKUP($A1664,Load!$B:$B,Load!L:L,0,)</f>
        <v>Regular/Original Wrapping</v>
      </c>
      <c r="L1664" t="str">
        <f>_xlfn.XLOOKUP($A1664,Load!$B:$B,Load!M:M,0,)</f>
        <v>Single Brand / Variety Flavors or Form</v>
      </c>
    </row>
    <row r="1665" spans="1:12" x14ac:dyDescent="0.25">
      <c r="A1665" t="s">
        <v>289</v>
      </c>
      <c r="B1665" t="str">
        <f>_xlfn.XLOOKUP($A1665,Load!$B:$B,Load!C:C,0,)</f>
        <v>Tootsie</v>
      </c>
      <c r="C1665" t="str">
        <f>_xlfn.XLOOKUP($A1665,Load!$B:$B,Load!D:D,0,)</f>
        <v>Mix of Chocolate and Non-Chocolate Candy</v>
      </c>
      <c r="D1665" t="str">
        <f>_xlfn.XLOOKUP($A1665,Load!$B:$B,Load!E:E,0,)</f>
        <v>Variety / Mixed Flavors (Fruity, Sour, Seasonal Flavors)</v>
      </c>
      <c r="E1665" t="str">
        <f>_xlfn.XLOOKUP($A1665,Load!$B:$B,Load!F:F,0,)</f>
        <v>Mixed / Combo Packs (Gummy, Chewy, Taffy, etc.)</v>
      </c>
      <c r="F1665" t="str">
        <f>_xlfn.XLOOKUP($A1665,Load!$B:$B,Load!G:G,0,)</f>
        <v>Large Multipack (More than 80 ct)</v>
      </c>
      <c r="G1665" t="str">
        <f>_xlfn.XLOOKUP($A1665,Load!$B:$B,Load!H:H,0,)</f>
        <v>Laydown Bag</v>
      </c>
      <c r="H1665" t="str">
        <f>_xlfn.XLOOKUP($A1665,Load!$B:$B,Load!I:I,0,)</f>
        <v>Everyday Candy Shapes (like Original, Gummy bear, Fruit, Jewels, etc.)</v>
      </c>
      <c r="I1665" t="str">
        <f>_xlfn.XLOOKUP($A1665,Load!$B:$B,Load!J:J,0,)</f>
        <v>Everyday Graphics</v>
      </c>
      <c r="J1665" t="str">
        <f>_xlfn.XLOOKUP($A1665,Load!$B:$B,Load!K:K,0,)</f>
        <v xml:space="preserve">Variety Candy Sizes </v>
      </c>
      <c r="K1665" t="str">
        <f>_xlfn.XLOOKUP($A1665,Load!$B:$B,Load!L:L,0,)</f>
        <v>Regular/Original Wrapping</v>
      </c>
      <c r="L1665" t="str">
        <f>_xlfn.XLOOKUP($A1665,Load!$B:$B,Load!M:M,0,)</f>
        <v>Single Brand / Variety Flavors or Form</v>
      </c>
    </row>
    <row r="1666" spans="1:12" x14ac:dyDescent="0.25">
      <c r="A1666" t="s">
        <v>224</v>
      </c>
      <c r="B1666" t="str">
        <f>_xlfn.XLOOKUP($A1666,Load!$B:$B,Load!C:C,0,)</f>
        <v>Nerds</v>
      </c>
      <c r="C1666" t="str">
        <f>_xlfn.XLOOKUP($A1666,Load!$B:$B,Load!D:D,0,)</f>
        <v>Non-Chocolate Candy Only</v>
      </c>
      <c r="D1666" t="str">
        <f>_xlfn.XLOOKUP($A1666,Load!$B:$B,Load!E:E,0,)</f>
        <v>Sweet</v>
      </c>
      <c r="E1666" t="str">
        <f>_xlfn.XLOOKUP($A1666,Load!$B:$B,Load!F:F,0,)</f>
        <v>Mixed / Combo Packs (Gummy, Chewy, Taffy, etc.)</v>
      </c>
      <c r="F1666" t="str">
        <f>_xlfn.XLOOKUP($A1666,Load!$B:$B,Load!G:G,0,)</f>
        <v>Medium Multipack (40–80 ct)</v>
      </c>
      <c r="G1666" t="str">
        <f>_xlfn.XLOOKUP($A1666,Load!$B:$B,Load!H:H,0,)</f>
        <v>Stand-Up Bag</v>
      </c>
      <c r="H1666" t="str">
        <f>_xlfn.XLOOKUP($A1666,Load!$B:$B,Load!I:I,0,)</f>
        <v>Everyday Candy Shapes (like Original, Gummy bear, Fruit, Jewels, etc.)</v>
      </c>
      <c r="I1666" t="str">
        <f>_xlfn.XLOOKUP($A1666,Load!$B:$B,Load!J:J,0,)</f>
        <v>Seasonal Graphics (Like Bat, Ghost, Pumpkin, Fall Leaves, Eyeballs, etc.)</v>
      </c>
      <c r="J1666" t="str">
        <f>_xlfn.XLOOKUP($A1666,Load!$B:$B,Load!K:K,0,)</f>
        <v xml:space="preserve">Variety Candy Sizes </v>
      </c>
      <c r="K1666" t="str">
        <f>_xlfn.XLOOKUP($A1666,Load!$B:$B,Load!L:L,0,)</f>
        <v>Regular/Original Wrapping</v>
      </c>
      <c r="L1666" t="str">
        <f>_xlfn.XLOOKUP($A1666,Load!$B:$B,Load!M:M,0,)</f>
        <v>Single Brand / Variety Flavors or Form</v>
      </c>
    </row>
    <row r="1667" spans="1:12" x14ac:dyDescent="0.25">
      <c r="B1667">
        <f>_xlfn.XLOOKUP($A1667,Load!$B:$B,Load!C:C,0,)</f>
        <v>0</v>
      </c>
      <c r="C1667">
        <f>_xlfn.XLOOKUP($A1667,Load!$B:$B,Load!D:D,0,)</f>
        <v>0</v>
      </c>
      <c r="D1667">
        <f>_xlfn.XLOOKUP($A1667,Load!$B:$B,Load!E:E,0,)</f>
        <v>0</v>
      </c>
      <c r="E1667">
        <f>_xlfn.XLOOKUP($A1667,Load!$B:$B,Load!F:F,0,)</f>
        <v>0</v>
      </c>
      <c r="F1667">
        <f>_xlfn.XLOOKUP($A1667,Load!$B:$B,Load!G:G,0,)</f>
        <v>0</v>
      </c>
      <c r="G1667">
        <f>_xlfn.XLOOKUP($A1667,Load!$B:$B,Load!H:H,0,)</f>
        <v>0</v>
      </c>
      <c r="H1667">
        <f>_xlfn.XLOOKUP($A1667,Load!$B:$B,Load!I:I,0,)</f>
        <v>0</v>
      </c>
      <c r="I1667">
        <f>_xlfn.XLOOKUP($A1667,Load!$B:$B,Load!J:J,0,)</f>
        <v>0</v>
      </c>
      <c r="J1667">
        <f>_xlfn.XLOOKUP($A1667,Load!$B:$B,Load!K:K,0,)</f>
        <v>0</v>
      </c>
      <c r="K1667">
        <f>_xlfn.XLOOKUP($A1667,Load!$B:$B,Load!L:L,0,)</f>
        <v>0</v>
      </c>
      <c r="L1667">
        <f>_xlfn.XLOOKUP($A1667,Load!$B:$B,Load!M:M,0,)</f>
        <v>0</v>
      </c>
    </row>
    <row r="1668" spans="1:12" x14ac:dyDescent="0.25">
      <c r="A1668" t="s">
        <v>182</v>
      </c>
      <c r="B1668" t="str">
        <f>_xlfn.XLOOKUP($A1668,Load!$B:$B,Load!C:C,0,)</f>
        <v>Mars Variety Pack</v>
      </c>
      <c r="C1668" t="str">
        <f>_xlfn.XLOOKUP($A1668,Load!$B:$B,Load!D:D,0,)</f>
        <v>Non-Chocolate Candy Only</v>
      </c>
      <c r="D1668" t="str">
        <f>_xlfn.XLOOKUP($A1668,Load!$B:$B,Load!E:E,0,)</f>
        <v>Variety / Mixed Flavors (Fruity, Sour, Seasonal Flavors)</v>
      </c>
      <c r="E1668" t="str">
        <f>_xlfn.XLOOKUP($A1668,Load!$B:$B,Load!F:F,0,)</f>
        <v>Mixed / Combo Packs (Gummy, Chewy, Taffy, etc.)</v>
      </c>
      <c r="F1668" t="str">
        <f>_xlfn.XLOOKUP($A1668,Load!$B:$B,Load!G:G,0,)</f>
        <v>Large Multipack (More than 80 ct)</v>
      </c>
      <c r="G1668" t="str">
        <f>_xlfn.XLOOKUP($A1668,Load!$B:$B,Load!H:H,0,)</f>
        <v>Stand-Up Bag</v>
      </c>
      <c r="H1668" t="str">
        <f>_xlfn.XLOOKUP($A1668,Load!$B:$B,Load!I:I,0,)</f>
        <v>Everyday Candy Shapes (like Original, Gummy bear, Fruit, Jewels, etc.)</v>
      </c>
      <c r="I1668" t="str">
        <f>_xlfn.XLOOKUP($A1668,Load!$B:$B,Load!J:J,0,)</f>
        <v>Seasonal Graphics (Like Bat, Ghost, Pumpkin, Fall Leaves, Eyeballs, etc.)</v>
      </c>
      <c r="J1668" t="str">
        <f>_xlfn.XLOOKUP($A1668,Load!$B:$B,Load!K:K,0,)</f>
        <v xml:space="preserve">Variety Candy Sizes </v>
      </c>
      <c r="K1668" t="str">
        <f>_xlfn.XLOOKUP($A1668,Load!$B:$B,Load!L:L,0,)</f>
        <v>Regular/Original Wrapping</v>
      </c>
      <c r="L1668" t="str">
        <f>_xlfn.XLOOKUP($A1668,Load!$B:$B,Load!M:M,0,)</f>
        <v>Multiple Brands / Variety Flavors or Form</v>
      </c>
    </row>
    <row r="1669" spans="1:12" x14ac:dyDescent="0.25">
      <c r="A1669" t="s">
        <v>175</v>
      </c>
      <c r="B1669" t="str">
        <f>_xlfn.XLOOKUP($A1669,Load!$B:$B,Load!C:C,0,)</f>
        <v>Mars Variety Pack</v>
      </c>
      <c r="C1669" t="str">
        <f>_xlfn.XLOOKUP($A1669,Load!$B:$B,Load!D:D,0,)</f>
        <v>Mix of Chocolate and Non-Chocolate Candy</v>
      </c>
      <c r="D1669" t="str">
        <f>_xlfn.XLOOKUP($A1669,Load!$B:$B,Load!E:E,0,)</f>
        <v>Variety / Mixed Flavors (Fruity, Sour, Seasonal Flavors)</v>
      </c>
      <c r="E1669" t="str">
        <f>_xlfn.XLOOKUP($A1669,Load!$B:$B,Load!F:F,0,)</f>
        <v>Mixed / Combo Packs (Gummy, Chewy, Taffy, etc.)</v>
      </c>
      <c r="F1669" t="str">
        <f>_xlfn.XLOOKUP($A1669,Load!$B:$B,Load!G:G,0,)</f>
        <v>Large Multipack (More than 80 ct)</v>
      </c>
      <c r="G1669" t="str">
        <f>_xlfn.XLOOKUP($A1669,Load!$B:$B,Load!H:H,0,)</f>
        <v>Stand-Up Bag</v>
      </c>
      <c r="H1669" t="str">
        <f>_xlfn.XLOOKUP($A1669,Load!$B:$B,Load!I:I,0,)</f>
        <v>Everyday Candy Shapes (like Original, Gummy bear, Fruit, Jewels, etc.)</v>
      </c>
      <c r="I1669" t="str">
        <f>_xlfn.XLOOKUP($A1669,Load!$B:$B,Load!J:J,0,)</f>
        <v>Seasonal Graphics (Like Bat, Ghost, Pumpkin, Fall Leaves, Eyeballs, etc.)</v>
      </c>
      <c r="J1669" t="str">
        <f>_xlfn.XLOOKUP($A1669,Load!$B:$B,Load!K:K,0,)</f>
        <v xml:space="preserve">Variety Candy Sizes </v>
      </c>
      <c r="K1669" t="str">
        <f>_xlfn.XLOOKUP($A1669,Load!$B:$B,Load!L:L,0,)</f>
        <v>Regular/Original Wrapping</v>
      </c>
      <c r="L1669" t="str">
        <f>_xlfn.XLOOKUP($A1669,Load!$B:$B,Load!M:M,0,)</f>
        <v>Multiple Brands / Variety Flavors or Form</v>
      </c>
    </row>
    <row r="1670" spans="1:12" x14ac:dyDescent="0.25">
      <c r="B1670">
        <f>_xlfn.XLOOKUP($A1670,Load!$B:$B,Load!C:C,0,)</f>
        <v>0</v>
      </c>
      <c r="C1670">
        <f>_xlfn.XLOOKUP($A1670,Load!$B:$B,Load!D:D,0,)</f>
        <v>0</v>
      </c>
      <c r="D1670">
        <f>_xlfn.XLOOKUP($A1670,Load!$B:$B,Load!E:E,0,)</f>
        <v>0</v>
      </c>
      <c r="E1670">
        <f>_xlfn.XLOOKUP($A1670,Load!$B:$B,Load!F:F,0,)</f>
        <v>0</v>
      </c>
      <c r="F1670">
        <f>_xlfn.XLOOKUP($A1670,Load!$B:$B,Load!G:G,0,)</f>
        <v>0</v>
      </c>
      <c r="G1670">
        <f>_xlfn.XLOOKUP($A1670,Load!$B:$B,Load!H:H,0,)</f>
        <v>0</v>
      </c>
      <c r="H1670">
        <f>_xlfn.XLOOKUP($A1670,Load!$B:$B,Load!I:I,0,)</f>
        <v>0</v>
      </c>
      <c r="I1670">
        <f>_xlfn.XLOOKUP($A1670,Load!$B:$B,Load!J:J,0,)</f>
        <v>0</v>
      </c>
      <c r="J1670">
        <f>_xlfn.XLOOKUP($A1670,Load!$B:$B,Load!K:K,0,)</f>
        <v>0</v>
      </c>
      <c r="K1670">
        <f>_xlfn.XLOOKUP($A1670,Load!$B:$B,Load!L:L,0,)</f>
        <v>0</v>
      </c>
      <c r="L1670">
        <f>_xlfn.XLOOKUP($A1670,Load!$B:$B,Load!M:M,0,)</f>
        <v>0</v>
      </c>
    </row>
    <row r="1671" spans="1:12" x14ac:dyDescent="0.25">
      <c r="B1671">
        <f>_xlfn.XLOOKUP($A1671,Load!$B:$B,Load!C:C,0,)</f>
        <v>0</v>
      </c>
      <c r="C1671">
        <f>_xlfn.XLOOKUP($A1671,Load!$B:$B,Load!D:D,0,)</f>
        <v>0</v>
      </c>
      <c r="D1671">
        <f>_xlfn.XLOOKUP($A1671,Load!$B:$B,Load!E:E,0,)</f>
        <v>0</v>
      </c>
      <c r="E1671">
        <f>_xlfn.XLOOKUP($A1671,Load!$B:$B,Load!F:F,0,)</f>
        <v>0</v>
      </c>
      <c r="F1671">
        <f>_xlfn.XLOOKUP($A1671,Load!$B:$B,Load!G:G,0,)</f>
        <v>0</v>
      </c>
      <c r="G1671">
        <f>_xlfn.XLOOKUP($A1671,Load!$B:$B,Load!H:H,0,)</f>
        <v>0</v>
      </c>
      <c r="H1671">
        <f>_xlfn.XLOOKUP($A1671,Load!$B:$B,Load!I:I,0,)</f>
        <v>0</v>
      </c>
      <c r="I1671">
        <f>_xlfn.XLOOKUP($A1671,Load!$B:$B,Load!J:J,0,)</f>
        <v>0</v>
      </c>
      <c r="J1671">
        <f>_xlfn.XLOOKUP($A1671,Load!$B:$B,Load!K:K,0,)</f>
        <v>0</v>
      </c>
      <c r="K1671">
        <f>_xlfn.XLOOKUP($A1671,Load!$B:$B,Load!L:L,0,)</f>
        <v>0</v>
      </c>
      <c r="L1671">
        <f>_xlfn.XLOOKUP($A1671,Load!$B:$B,Load!M:M,0,)</f>
        <v>0</v>
      </c>
    </row>
    <row r="1672" spans="1:12" x14ac:dyDescent="0.25">
      <c r="A1672" t="s">
        <v>227</v>
      </c>
      <c r="B1672" t="str">
        <f>_xlfn.XLOOKUP($A1672,Load!$B:$B,Load!C:C,0,)</f>
        <v>Nerds</v>
      </c>
      <c r="C1672" t="str">
        <f>_xlfn.XLOOKUP($A1672,Load!$B:$B,Load!D:D,0,)</f>
        <v>Non-Chocolate Candy Only</v>
      </c>
      <c r="D1672" t="str">
        <f>_xlfn.XLOOKUP($A1672,Load!$B:$B,Load!E:E,0,)</f>
        <v>Sweet</v>
      </c>
      <c r="E1672" t="str">
        <f>_xlfn.XLOOKUP($A1672,Load!$B:$B,Load!F:F,0,)</f>
        <v>Chewy</v>
      </c>
      <c r="F1672" t="str">
        <f>_xlfn.XLOOKUP($A1672,Load!$B:$B,Load!G:G,0,)</f>
        <v>Single Pack</v>
      </c>
      <c r="G1672" t="str">
        <f>_xlfn.XLOOKUP($A1672,Load!$B:$B,Load!H:H,0,)</f>
        <v>Laydown Bag</v>
      </c>
      <c r="H1672" t="str">
        <f>_xlfn.XLOOKUP($A1672,Load!$B:$B,Load!I:I,0,)</f>
        <v>Seasonal Shapes (like pumpkins, candy corn, ghost, bats, etc.)</v>
      </c>
      <c r="I1672" t="str">
        <f>_xlfn.XLOOKUP($A1672,Load!$B:$B,Load!J:J,0,)</f>
        <v>Seasonal Graphics (Like Bat, Ghost, Pumpkin, Fall Leaves, Eyeballs, etc.)</v>
      </c>
      <c r="J1672" t="str">
        <f>_xlfn.XLOOKUP($A1672,Load!$B:$B,Load!K:K,0,)</f>
        <v>Small Pieces (Tiny bite size candies)</v>
      </c>
      <c r="K1672" t="str">
        <f>_xlfn.XLOOKUP($A1672,Load!$B:$B,Load!L:L,0,)</f>
        <v>Unwrapped</v>
      </c>
      <c r="L1672" t="str">
        <f>_xlfn.XLOOKUP($A1672,Load!$B:$B,Load!M:M,0,)</f>
        <v>Single Brand / Variety Flavors or Form</v>
      </c>
    </row>
    <row r="1673" spans="1:12" x14ac:dyDescent="0.25">
      <c r="A1673" t="s">
        <v>306</v>
      </c>
      <c r="B1673" t="str">
        <f>_xlfn.XLOOKUP($A1673,Load!$B:$B,Load!C:C,0,)</f>
        <v>Werther's Original</v>
      </c>
      <c r="C1673" t="str">
        <f>_xlfn.XLOOKUP($A1673,Load!$B:$B,Load!D:D,0,)</f>
        <v>Non-Chocolate Candy Only</v>
      </c>
      <c r="D1673" t="str">
        <f>_xlfn.XLOOKUP($A1673,Load!$B:$B,Load!E:E,0,)</f>
        <v>Fall / Seasonal Flavors (pumpkin spice, caramel apple, candy corn)</v>
      </c>
      <c r="E1673" t="str">
        <f>_xlfn.XLOOKUP($A1673,Load!$B:$B,Load!F:F,0,)</f>
        <v>Chewy</v>
      </c>
      <c r="F1673" t="str">
        <f>_xlfn.XLOOKUP($A1673,Load!$B:$B,Load!G:G,0,)</f>
        <v>Single Pack</v>
      </c>
      <c r="G1673" t="str">
        <f>_xlfn.XLOOKUP($A1673,Load!$B:$B,Load!H:H,0,)</f>
        <v>Stand-Up Bag</v>
      </c>
      <c r="H1673" t="str">
        <f>_xlfn.XLOOKUP($A1673,Load!$B:$B,Load!I:I,0,)</f>
        <v>Seasonal Shapes (like pumpkins, candy corn, ghost, bats, etc.)</v>
      </c>
      <c r="I1673" t="str">
        <f>_xlfn.XLOOKUP($A1673,Load!$B:$B,Load!J:J,0,)</f>
        <v>Seasonal Graphics (Like Bat, Ghost, Pumpkin, Fall Leaves, Eyeballs, etc.)</v>
      </c>
      <c r="J1673" t="str">
        <f>_xlfn.XLOOKUP($A1673,Load!$B:$B,Load!K:K,0,)</f>
        <v>Fun Size / Treat Size</v>
      </c>
      <c r="K1673" t="str">
        <f>_xlfn.XLOOKUP($A1673,Load!$B:$B,Load!L:L,0,)</f>
        <v>Regular/Original Wrapping</v>
      </c>
      <c r="L1673" t="str">
        <f>_xlfn.XLOOKUP($A1673,Load!$B:$B,Load!M:M,0,)</f>
        <v>Single Brand / Single Flavor or Form</v>
      </c>
    </row>
    <row r="1674" spans="1:12" x14ac:dyDescent="0.25">
      <c r="B1674">
        <f>_xlfn.XLOOKUP($A1674,Load!$B:$B,Load!C:C,0,)</f>
        <v>0</v>
      </c>
      <c r="C1674">
        <f>_xlfn.XLOOKUP($A1674,Load!$B:$B,Load!D:D,0,)</f>
        <v>0</v>
      </c>
      <c r="D1674">
        <f>_xlfn.XLOOKUP($A1674,Load!$B:$B,Load!E:E,0,)</f>
        <v>0</v>
      </c>
      <c r="E1674">
        <f>_xlfn.XLOOKUP($A1674,Load!$B:$B,Load!F:F,0,)</f>
        <v>0</v>
      </c>
      <c r="F1674">
        <f>_xlfn.XLOOKUP($A1674,Load!$B:$B,Load!G:G,0,)</f>
        <v>0</v>
      </c>
      <c r="G1674">
        <f>_xlfn.XLOOKUP($A1674,Load!$B:$B,Load!H:H,0,)</f>
        <v>0</v>
      </c>
      <c r="H1674">
        <f>_xlfn.XLOOKUP($A1674,Load!$B:$B,Load!I:I,0,)</f>
        <v>0</v>
      </c>
      <c r="I1674">
        <f>_xlfn.XLOOKUP($A1674,Load!$B:$B,Load!J:J,0,)</f>
        <v>0</v>
      </c>
      <c r="J1674">
        <f>_xlfn.XLOOKUP($A1674,Load!$B:$B,Load!K:K,0,)</f>
        <v>0</v>
      </c>
      <c r="K1674">
        <f>_xlfn.XLOOKUP($A1674,Load!$B:$B,Load!L:L,0,)</f>
        <v>0</v>
      </c>
      <c r="L1674">
        <f>_xlfn.XLOOKUP($A1674,Load!$B:$B,Load!M:M,0,)</f>
        <v>0</v>
      </c>
    </row>
    <row r="1675" spans="1:12" x14ac:dyDescent="0.25">
      <c r="B1675">
        <f>_xlfn.XLOOKUP($A1675,Load!$B:$B,Load!C:C,0,)</f>
        <v>0</v>
      </c>
      <c r="C1675">
        <f>_xlfn.XLOOKUP($A1675,Load!$B:$B,Load!D:D,0,)</f>
        <v>0</v>
      </c>
      <c r="D1675">
        <f>_xlfn.XLOOKUP($A1675,Load!$B:$B,Load!E:E,0,)</f>
        <v>0</v>
      </c>
      <c r="E1675">
        <f>_xlfn.XLOOKUP($A1675,Load!$B:$B,Load!F:F,0,)</f>
        <v>0</v>
      </c>
      <c r="F1675">
        <f>_xlfn.XLOOKUP($A1675,Load!$B:$B,Load!G:G,0,)</f>
        <v>0</v>
      </c>
      <c r="G1675">
        <f>_xlfn.XLOOKUP($A1675,Load!$B:$B,Load!H:H,0,)</f>
        <v>0</v>
      </c>
      <c r="H1675">
        <f>_xlfn.XLOOKUP($A1675,Load!$B:$B,Load!I:I,0,)</f>
        <v>0</v>
      </c>
      <c r="I1675">
        <f>_xlfn.XLOOKUP($A1675,Load!$B:$B,Load!J:J,0,)</f>
        <v>0</v>
      </c>
      <c r="J1675">
        <f>_xlfn.XLOOKUP($A1675,Load!$B:$B,Load!K:K,0,)</f>
        <v>0</v>
      </c>
      <c r="K1675">
        <f>_xlfn.XLOOKUP($A1675,Load!$B:$B,Load!L:L,0,)</f>
        <v>0</v>
      </c>
      <c r="L1675">
        <f>_xlfn.XLOOKUP($A1675,Load!$B:$B,Load!M:M,0,)</f>
        <v>0</v>
      </c>
    </row>
    <row r="1676" spans="1:12" x14ac:dyDescent="0.25">
      <c r="A1676" t="s">
        <v>472</v>
      </c>
      <c r="B1676" t="str">
        <f>_xlfn.XLOOKUP($A1676,Load!$B:$B,Load!C:C,0,)</f>
        <v>SweeTARTS</v>
      </c>
      <c r="C1676" t="str">
        <f>_xlfn.XLOOKUP($A1676,Load!$B:$B,Load!D:D,0,)</f>
        <v>Non-Chocolate Candy Only</v>
      </c>
      <c r="D1676" t="str">
        <f>_xlfn.XLOOKUP($A1676,Load!$B:$B,Load!E:E,0,)</f>
        <v>Fruit Flavor (Cherry, Grape, Apple, Citrus, Tropical Fruit)</v>
      </c>
      <c r="E1676" t="str">
        <f>_xlfn.XLOOKUP($A1676,Load!$B:$B,Load!F:F,0,)</f>
        <v>Chewy</v>
      </c>
      <c r="F1676" t="str">
        <f>_xlfn.XLOOKUP($A1676,Load!$B:$B,Load!G:G,0,)</f>
        <v>Small Multipack (Less than 40 ct)</v>
      </c>
      <c r="G1676" t="str">
        <f>_xlfn.XLOOKUP($A1676,Load!$B:$B,Load!H:H,0,)</f>
        <v>Laydown Bag</v>
      </c>
      <c r="H1676" t="str">
        <f>_xlfn.XLOOKUP($A1676,Load!$B:$B,Load!I:I,0,)</f>
        <v>Everyday Candy Shapes (like Original, Gummy bear, Fruit, Jewels, etc.)</v>
      </c>
      <c r="I1676" t="str">
        <f>_xlfn.XLOOKUP($A1676,Load!$B:$B,Load!J:J,0,)</f>
        <v>Everyday Graphics</v>
      </c>
      <c r="J1676" t="str">
        <f>_xlfn.XLOOKUP($A1676,Load!$B:$B,Load!K:K,0,)</f>
        <v>Small Pieces (Tiny bite size candies)</v>
      </c>
      <c r="K1676" t="str">
        <f>_xlfn.XLOOKUP($A1676,Load!$B:$B,Load!L:L,0,)</f>
        <v>unwrapped</v>
      </c>
      <c r="L1676" t="str">
        <f>_xlfn.XLOOKUP($A1676,Load!$B:$B,Load!M:M,0,)</f>
        <v>Single Brand / Single Flavor or Form</v>
      </c>
    </row>
    <row r="1677" spans="1:12" x14ac:dyDescent="0.25">
      <c r="B1677">
        <f>_xlfn.XLOOKUP($A1677,Load!$B:$B,Load!C:C,0,)</f>
        <v>0</v>
      </c>
      <c r="C1677">
        <f>_xlfn.XLOOKUP($A1677,Load!$B:$B,Load!D:D,0,)</f>
        <v>0</v>
      </c>
      <c r="D1677">
        <f>_xlfn.XLOOKUP($A1677,Load!$B:$B,Load!E:E,0,)</f>
        <v>0</v>
      </c>
      <c r="E1677">
        <f>_xlfn.XLOOKUP($A1677,Load!$B:$B,Load!F:F,0,)</f>
        <v>0</v>
      </c>
      <c r="F1677">
        <f>_xlfn.XLOOKUP($A1677,Load!$B:$B,Load!G:G,0,)</f>
        <v>0</v>
      </c>
      <c r="G1677">
        <f>_xlfn.XLOOKUP($A1677,Load!$B:$B,Load!H:H,0,)</f>
        <v>0</v>
      </c>
      <c r="H1677">
        <f>_xlfn.XLOOKUP($A1677,Load!$B:$B,Load!I:I,0,)</f>
        <v>0</v>
      </c>
      <c r="I1677">
        <f>_xlfn.XLOOKUP($A1677,Load!$B:$B,Load!J:J,0,)</f>
        <v>0</v>
      </c>
      <c r="J1677">
        <f>_xlfn.XLOOKUP($A1677,Load!$B:$B,Load!K:K,0,)</f>
        <v>0</v>
      </c>
      <c r="K1677">
        <f>_xlfn.XLOOKUP($A1677,Load!$B:$B,Load!L:L,0,)</f>
        <v>0</v>
      </c>
      <c r="L1677">
        <f>_xlfn.XLOOKUP($A1677,Load!$B:$B,Load!M:M,0,)</f>
        <v>0</v>
      </c>
    </row>
    <row r="1678" spans="1:12" x14ac:dyDescent="0.25">
      <c r="A1678" t="s">
        <v>85</v>
      </c>
      <c r="B1678" t="str">
        <f>_xlfn.XLOOKUP($A1678,Load!$B:$B,Load!C:C,0,)</f>
        <v>Ferrara Variety Pack</v>
      </c>
      <c r="C1678" t="str">
        <f>_xlfn.XLOOKUP($A1678,Load!$B:$B,Load!D:D,0,)</f>
        <v>Non-Chocolate Candy Only</v>
      </c>
      <c r="D1678" t="str">
        <f>_xlfn.XLOOKUP($A1678,Load!$B:$B,Load!E:E,0,)</f>
        <v>Variety / Mixed Flavors (Fruity, Sour, Seasonal Flavors)</v>
      </c>
      <c r="E1678" t="str">
        <f>_xlfn.XLOOKUP($A1678,Load!$B:$B,Load!F:F,0,)</f>
        <v>Mixed / Combo Packs (Gummy, Chewy, Taffy, etc.)</v>
      </c>
      <c r="F1678" t="str">
        <f>_xlfn.XLOOKUP($A1678,Load!$B:$B,Load!G:G,0,)</f>
        <v>Large Multipack (More than 80 ct)</v>
      </c>
      <c r="G1678" t="str">
        <f>_xlfn.XLOOKUP($A1678,Load!$B:$B,Load!H:H,0,)</f>
        <v>Stand-Up Bag</v>
      </c>
      <c r="H1678" t="str">
        <f>_xlfn.XLOOKUP($A1678,Load!$B:$B,Load!I:I,0,)</f>
        <v>Seasonal Shapes (like pumpkins, candy corn, ghost, bats, etc.)</v>
      </c>
      <c r="I1678" t="str">
        <f>_xlfn.XLOOKUP($A1678,Load!$B:$B,Load!J:J,0,)</f>
        <v>Seasonal Graphics (Like Bat, Ghost, Pumpkin, Fall Leaves, Eyeballs, etc.)</v>
      </c>
      <c r="J1678" t="str">
        <f>_xlfn.XLOOKUP($A1678,Load!$B:$B,Load!K:K,0,)</f>
        <v>Fun Size / Treat Size</v>
      </c>
      <c r="K1678" t="str">
        <f>_xlfn.XLOOKUP($A1678,Load!$B:$B,Load!L:L,0,)</f>
        <v>Regular/Original Wrapping</v>
      </c>
      <c r="L1678" t="str">
        <f>_xlfn.XLOOKUP($A1678,Load!$B:$B,Load!M:M,0,)</f>
        <v>Multiple Brands / Variety Flavors or Form</v>
      </c>
    </row>
    <row r="1679" spans="1:12" x14ac:dyDescent="0.25">
      <c r="A1679" t="s">
        <v>220</v>
      </c>
      <c r="B1679" t="str">
        <f>_xlfn.XLOOKUP($A1679,Load!$B:$B,Load!C:C,0,)</f>
        <v>Mondelez Variety Pack</v>
      </c>
      <c r="C1679" t="str">
        <f>_xlfn.XLOOKUP($A1679,Load!$B:$B,Load!D:D,0,)</f>
        <v>Non-Chocolate Candy Only</v>
      </c>
      <c r="D1679" t="str">
        <f>_xlfn.XLOOKUP($A1679,Load!$B:$B,Load!E:E,0,)</f>
        <v>Variety / Mixed Flavors (Fruity, Sour, Seasonal Flavors)</v>
      </c>
      <c r="E1679" t="str">
        <f>_xlfn.XLOOKUP($A1679,Load!$B:$B,Load!F:F,0,)</f>
        <v>Chewy</v>
      </c>
      <c r="F1679" t="str">
        <f>_xlfn.XLOOKUP($A1679,Load!$B:$B,Load!G:G,0,)</f>
        <v>Large Multipack (More than 80 ct)</v>
      </c>
      <c r="G1679" t="str">
        <f>_xlfn.XLOOKUP($A1679,Load!$B:$B,Load!H:H,0,)</f>
        <v>Stand-Up Bag</v>
      </c>
      <c r="H1679" t="str">
        <f>_xlfn.XLOOKUP($A1679,Load!$B:$B,Load!I:I,0,)</f>
        <v>Seasonal Shapes (like pumpkins, candy corn, ghost, bats, etc.)</v>
      </c>
      <c r="I1679" t="str">
        <f>_xlfn.XLOOKUP($A1679,Load!$B:$B,Load!J:J,0,)</f>
        <v>Seasonal Graphics (Like Bat, Ghost, Pumpkin, Fall Leaves, Eyeballs, etc.)</v>
      </c>
      <c r="J1679" t="str">
        <f>_xlfn.XLOOKUP($A1679,Load!$B:$B,Load!K:K,0,)</f>
        <v>Small Pieces (Tiny bite size candies)</v>
      </c>
      <c r="K1679" t="str">
        <f>_xlfn.XLOOKUP($A1679,Load!$B:$B,Load!L:L,0,)</f>
        <v>Regular/Original Wrapping</v>
      </c>
      <c r="L1679" t="str">
        <f>_xlfn.XLOOKUP($A1679,Load!$B:$B,Load!M:M,0,)</f>
        <v>Single Brand / Variety Flavors or Form</v>
      </c>
    </row>
    <row r="1680" spans="1:12" x14ac:dyDescent="0.25">
      <c r="B1680">
        <f>_xlfn.XLOOKUP($A1680,Load!$B:$B,Load!C:C,0,)</f>
        <v>0</v>
      </c>
      <c r="C1680">
        <f>_xlfn.XLOOKUP($A1680,Load!$B:$B,Load!D:D,0,)</f>
        <v>0</v>
      </c>
      <c r="D1680">
        <f>_xlfn.XLOOKUP($A1680,Load!$B:$B,Load!E:E,0,)</f>
        <v>0</v>
      </c>
      <c r="E1680">
        <f>_xlfn.XLOOKUP($A1680,Load!$B:$B,Load!F:F,0,)</f>
        <v>0</v>
      </c>
      <c r="F1680">
        <f>_xlfn.XLOOKUP($A1680,Load!$B:$B,Load!G:G,0,)</f>
        <v>0</v>
      </c>
      <c r="G1680">
        <f>_xlfn.XLOOKUP($A1680,Load!$B:$B,Load!H:H,0,)</f>
        <v>0</v>
      </c>
      <c r="H1680">
        <f>_xlfn.XLOOKUP($A1680,Load!$B:$B,Load!I:I,0,)</f>
        <v>0</v>
      </c>
      <c r="I1680">
        <f>_xlfn.XLOOKUP($A1680,Load!$B:$B,Load!J:J,0,)</f>
        <v>0</v>
      </c>
      <c r="J1680">
        <f>_xlfn.XLOOKUP($A1680,Load!$B:$B,Load!K:K,0,)</f>
        <v>0</v>
      </c>
      <c r="K1680">
        <f>_xlfn.XLOOKUP($A1680,Load!$B:$B,Load!L:L,0,)</f>
        <v>0</v>
      </c>
      <c r="L1680">
        <f>_xlfn.XLOOKUP($A1680,Load!$B:$B,Load!M:M,0,)</f>
        <v>0</v>
      </c>
    </row>
    <row r="1681" spans="1:12" x14ac:dyDescent="0.25">
      <c r="B1681">
        <f>_xlfn.XLOOKUP($A1681,Load!$B:$B,Load!C:C,0,)</f>
        <v>0</v>
      </c>
      <c r="C1681">
        <f>_xlfn.XLOOKUP($A1681,Load!$B:$B,Load!D:D,0,)</f>
        <v>0</v>
      </c>
      <c r="D1681">
        <f>_xlfn.XLOOKUP($A1681,Load!$B:$B,Load!E:E,0,)</f>
        <v>0</v>
      </c>
      <c r="E1681">
        <f>_xlfn.XLOOKUP($A1681,Load!$B:$B,Load!F:F,0,)</f>
        <v>0</v>
      </c>
      <c r="F1681">
        <f>_xlfn.XLOOKUP($A1681,Load!$B:$B,Load!G:G,0,)</f>
        <v>0</v>
      </c>
      <c r="G1681">
        <f>_xlfn.XLOOKUP($A1681,Load!$B:$B,Load!H:H,0,)</f>
        <v>0</v>
      </c>
      <c r="H1681">
        <f>_xlfn.XLOOKUP($A1681,Load!$B:$B,Load!I:I,0,)</f>
        <v>0</v>
      </c>
      <c r="I1681">
        <f>_xlfn.XLOOKUP($A1681,Load!$B:$B,Load!J:J,0,)</f>
        <v>0</v>
      </c>
      <c r="J1681">
        <f>_xlfn.XLOOKUP($A1681,Load!$B:$B,Load!K:K,0,)</f>
        <v>0</v>
      </c>
      <c r="K1681">
        <f>_xlfn.XLOOKUP($A1681,Load!$B:$B,Load!L:L,0,)</f>
        <v>0</v>
      </c>
      <c r="L1681">
        <f>_xlfn.XLOOKUP($A1681,Load!$B:$B,Load!M:M,0,)</f>
        <v>0</v>
      </c>
    </row>
    <row r="1682" spans="1:12" x14ac:dyDescent="0.25">
      <c r="A1682" t="s">
        <v>227</v>
      </c>
      <c r="B1682" t="str">
        <f>_xlfn.XLOOKUP($A1682,Load!$B:$B,Load!C:C,0,)</f>
        <v>Nerds</v>
      </c>
      <c r="C1682" t="str">
        <f>_xlfn.XLOOKUP($A1682,Load!$B:$B,Load!D:D,0,)</f>
        <v>Non-Chocolate Candy Only</v>
      </c>
      <c r="D1682" t="str">
        <f>_xlfn.XLOOKUP($A1682,Load!$B:$B,Load!E:E,0,)</f>
        <v>Sweet</v>
      </c>
      <c r="E1682" t="str">
        <f>_xlfn.XLOOKUP($A1682,Load!$B:$B,Load!F:F,0,)</f>
        <v>Chewy</v>
      </c>
      <c r="F1682" t="str">
        <f>_xlfn.XLOOKUP($A1682,Load!$B:$B,Load!G:G,0,)</f>
        <v>Single Pack</v>
      </c>
      <c r="G1682" t="str">
        <f>_xlfn.XLOOKUP($A1682,Load!$B:$B,Load!H:H,0,)</f>
        <v>Laydown Bag</v>
      </c>
      <c r="H1682" t="str">
        <f>_xlfn.XLOOKUP($A1682,Load!$B:$B,Load!I:I,0,)</f>
        <v>Seasonal Shapes (like pumpkins, candy corn, ghost, bats, etc.)</v>
      </c>
      <c r="I1682" t="str">
        <f>_xlfn.XLOOKUP($A1682,Load!$B:$B,Load!J:J,0,)</f>
        <v>Seasonal Graphics (Like Bat, Ghost, Pumpkin, Fall Leaves, Eyeballs, etc.)</v>
      </c>
      <c r="J1682" t="str">
        <f>_xlfn.XLOOKUP($A1682,Load!$B:$B,Load!K:K,0,)</f>
        <v>Small Pieces (Tiny bite size candies)</v>
      </c>
      <c r="K1682" t="str">
        <f>_xlfn.XLOOKUP($A1682,Load!$B:$B,Load!L:L,0,)</f>
        <v>Unwrapped</v>
      </c>
      <c r="L1682" t="str">
        <f>_xlfn.XLOOKUP($A1682,Load!$B:$B,Load!M:M,0,)</f>
        <v>Single Brand / Variety Flavors or Form</v>
      </c>
    </row>
    <row r="1683" spans="1:12" x14ac:dyDescent="0.25">
      <c r="A1683" t="s">
        <v>64</v>
      </c>
      <c r="B1683" t="str">
        <f>_xlfn.XLOOKUP($A1683,Load!$B:$B,Load!C:C,0,)</f>
        <v>Cow Tails</v>
      </c>
      <c r="C1683" t="str">
        <f>_xlfn.XLOOKUP($A1683,Load!$B:$B,Load!D:D,0,)</f>
        <v>Non-Chocolate Candy Only</v>
      </c>
      <c r="D1683" t="str">
        <f>_xlfn.XLOOKUP($A1683,Load!$B:$B,Load!E:E,0,)</f>
        <v>Fall / Seasonal Flavors (pumpkin spice, caramel apple, candy corn)</v>
      </c>
      <c r="E1683" t="str">
        <f>_xlfn.XLOOKUP($A1683,Load!$B:$B,Load!F:F,0,)</f>
        <v>Chewy</v>
      </c>
      <c r="F1683" t="str">
        <f>_xlfn.XLOOKUP($A1683,Load!$B:$B,Load!G:G,0,)</f>
        <v>Single Pack</v>
      </c>
      <c r="G1683" t="str">
        <f>_xlfn.XLOOKUP($A1683,Load!$B:$B,Load!H:H,0,)</f>
        <v>Laydown Bag</v>
      </c>
      <c r="H1683" t="str">
        <f>_xlfn.XLOOKUP($A1683,Load!$B:$B,Load!I:I,0,)</f>
        <v>Everyday Candy Shapes (like Original, Gummy bear, Fruit, Jewels, etc.)</v>
      </c>
      <c r="I1683" t="str">
        <f>_xlfn.XLOOKUP($A1683,Load!$B:$B,Load!J:J,0,)</f>
        <v>Everyday Graphics</v>
      </c>
      <c r="J1683" t="str">
        <f>_xlfn.XLOOKUP($A1683,Load!$B:$B,Load!K:K,0,)</f>
        <v>Fun Size / Treat Size</v>
      </c>
      <c r="K1683" t="str">
        <f>_xlfn.XLOOKUP($A1683,Load!$B:$B,Load!L:L,0,)</f>
        <v>Regular/Original Wrapping</v>
      </c>
      <c r="L1683" t="str">
        <f>_xlfn.XLOOKUP($A1683,Load!$B:$B,Load!M:M,0,)</f>
        <v>Single Brand / Single Flavor or Form</v>
      </c>
    </row>
    <row r="1684" spans="1:12" x14ac:dyDescent="0.25">
      <c r="A1684" t="s">
        <v>134</v>
      </c>
      <c r="B1684" t="str">
        <f>_xlfn.XLOOKUP($A1684,Load!$B:$B,Load!C:C,0,)</f>
        <v>Hershey's Variety Pack</v>
      </c>
      <c r="C1684" t="str">
        <f>_xlfn.XLOOKUP($A1684,Load!$B:$B,Load!D:D,0,)</f>
        <v>Non-Chocolate Candy Only</v>
      </c>
      <c r="D1684" t="str">
        <f>_xlfn.XLOOKUP($A1684,Load!$B:$B,Load!E:E,0,)</f>
        <v>Variety / Mixed Flavors (Fruity, Sour, Seasonal Flavors)</v>
      </c>
      <c r="E1684" t="str">
        <f>_xlfn.XLOOKUP($A1684,Load!$B:$B,Load!F:F,0,)</f>
        <v>Mixed / Combo Packs (Gummy, Chewy, Taffy, etc.)</v>
      </c>
      <c r="F1684" t="str">
        <f>_xlfn.XLOOKUP($A1684,Load!$B:$B,Load!G:G,0,)</f>
        <v>Large Multipack (More than 80 ct)</v>
      </c>
      <c r="G1684" t="str">
        <f>_xlfn.XLOOKUP($A1684,Load!$B:$B,Load!H:H,0,)</f>
        <v>Stand-Up Bag</v>
      </c>
      <c r="H1684" t="str">
        <f>_xlfn.XLOOKUP($A1684,Load!$B:$B,Load!I:I,0,)</f>
        <v>Everyday Candy Shapes (like Original, Gummy bear, Fruit, Jewels, etc.)</v>
      </c>
      <c r="I1684" t="str">
        <f>_xlfn.XLOOKUP($A1684,Load!$B:$B,Load!J:J,0,)</f>
        <v>Seasonal Graphics (Like Bat, Ghost, Pumpkin, Fall Leaves, Eyeballs, etc.)</v>
      </c>
      <c r="J1684" t="str">
        <f>_xlfn.XLOOKUP($A1684,Load!$B:$B,Load!K:K,0,)</f>
        <v xml:space="preserve">Variety Candy Sizes </v>
      </c>
      <c r="K1684" t="str">
        <f>_xlfn.XLOOKUP($A1684,Load!$B:$B,Load!L:L,0,)</f>
        <v>Regular/Original Wrapping</v>
      </c>
      <c r="L1684" t="str">
        <f>_xlfn.XLOOKUP($A1684,Load!$B:$B,Load!M:M,0,)</f>
        <v>Multiple Brands / Variety Flavors or Form</v>
      </c>
    </row>
    <row r="1685" spans="1:12" x14ac:dyDescent="0.25">
      <c r="B1685">
        <f>_xlfn.XLOOKUP($A1685,Load!$B:$B,Load!C:C,0,)</f>
        <v>0</v>
      </c>
      <c r="C1685">
        <f>_xlfn.XLOOKUP($A1685,Load!$B:$B,Load!D:D,0,)</f>
        <v>0</v>
      </c>
      <c r="D1685">
        <f>_xlfn.XLOOKUP($A1685,Load!$B:$B,Load!E:E,0,)</f>
        <v>0</v>
      </c>
      <c r="E1685">
        <f>_xlfn.XLOOKUP($A1685,Load!$B:$B,Load!F:F,0,)</f>
        <v>0</v>
      </c>
      <c r="F1685">
        <f>_xlfn.XLOOKUP($A1685,Load!$B:$B,Load!G:G,0,)</f>
        <v>0</v>
      </c>
      <c r="G1685">
        <f>_xlfn.XLOOKUP($A1685,Load!$B:$B,Load!H:H,0,)</f>
        <v>0</v>
      </c>
      <c r="H1685">
        <f>_xlfn.XLOOKUP($A1685,Load!$B:$B,Load!I:I,0,)</f>
        <v>0</v>
      </c>
      <c r="I1685">
        <f>_xlfn.XLOOKUP($A1685,Load!$B:$B,Load!J:J,0,)</f>
        <v>0</v>
      </c>
      <c r="J1685">
        <f>_xlfn.XLOOKUP($A1685,Load!$B:$B,Load!K:K,0,)</f>
        <v>0</v>
      </c>
      <c r="K1685">
        <f>_xlfn.XLOOKUP($A1685,Load!$B:$B,Load!L:L,0,)</f>
        <v>0</v>
      </c>
      <c r="L1685">
        <f>_xlfn.XLOOKUP($A1685,Load!$B:$B,Load!M:M,0,)</f>
        <v>0</v>
      </c>
    </row>
    <row r="1686" spans="1:12" x14ac:dyDescent="0.25">
      <c r="A1686" t="s">
        <v>236</v>
      </c>
      <c r="B1686" t="str">
        <f>_xlfn.XLOOKUP($A1686,Load!$B:$B,Load!C:C,0,)</f>
        <v>Nerds</v>
      </c>
      <c r="C1686" t="str">
        <f>_xlfn.XLOOKUP($A1686,Load!$B:$B,Load!D:D,0,)</f>
        <v>Non-Chocolate Candy Only</v>
      </c>
      <c r="D1686" t="str">
        <f>_xlfn.XLOOKUP($A1686,Load!$B:$B,Load!E:E,0,)</f>
        <v>Variety / Mixed Flavors (Fruity, Sour, Seasonal Flavors)</v>
      </c>
      <c r="E1686" t="str">
        <f>_xlfn.XLOOKUP($A1686,Load!$B:$B,Load!F:F,0,)</f>
        <v>Candy Pieces / Bites</v>
      </c>
      <c r="F1686" t="str">
        <f>_xlfn.XLOOKUP($A1686,Load!$B:$B,Load!G:G,0,)</f>
        <v>Medium Multipack (40–80 ct)</v>
      </c>
      <c r="G1686" t="str">
        <f>_xlfn.XLOOKUP($A1686,Load!$B:$B,Load!H:H,0,)</f>
        <v>Stand-Up Bag</v>
      </c>
      <c r="H1686" t="str">
        <f>_xlfn.XLOOKUP($A1686,Load!$B:$B,Load!I:I,0,)</f>
        <v>Everyday Candy Shapes (like Original, Gummy bear, Fruit, Jewels, etc.)</v>
      </c>
      <c r="I1686" t="str">
        <f>_xlfn.XLOOKUP($A1686,Load!$B:$B,Load!J:J,0,)</f>
        <v>Seasonal Graphics (Like Bat, Ghost, Pumpkin, Fall Leaves, Eyeballs, etc.)</v>
      </c>
      <c r="J1686" t="str">
        <f>_xlfn.XLOOKUP($A1686,Load!$B:$B,Load!K:K,0,)</f>
        <v>Small Pieces (Tiny bite size candies)</v>
      </c>
      <c r="K1686" t="str">
        <f>_xlfn.XLOOKUP($A1686,Load!$B:$B,Load!L:L,0,)</f>
        <v>Unwrapped</v>
      </c>
      <c r="L1686" t="str">
        <f>_xlfn.XLOOKUP($A1686,Load!$B:$B,Load!M:M,0,)</f>
        <v>Single Brand / Variety Flavors or Form</v>
      </c>
    </row>
    <row r="1687" spans="1:12" x14ac:dyDescent="0.25">
      <c r="A1687" t="s">
        <v>61</v>
      </c>
      <c r="B1687" t="str">
        <f>_xlfn.XLOOKUP($A1687,Load!$B:$B,Load!C:C,0,)</f>
        <v>Charms</v>
      </c>
      <c r="C1687" t="str">
        <f>_xlfn.XLOOKUP($A1687,Load!$B:$B,Load!D:D,0,)</f>
        <v>Non-Chocolate Candy Only</v>
      </c>
      <c r="D1687" t="str">
        <f>_xlfn.XLOOKUP($A1687,Load!$B:$B,Load!E:E,0,)</f>
        <v>Fruit Flavor (Cherry, Grape, Apple, Citrus, Tropical Fruit)</v>
      </c>
      <c r="E1687" t="str">
        <f>_xlfn.XLOOKUP($A1687,Load!$B:$B,Load!F:F,0,)</f>
        <v>Lollipop (regular or lollipop rings)</v>
      </c>
      <c r="F1687" t="str">
        <f>_xlfn.XLOOKUP($A1687,Load!$B:$B,Load!G:G,0,)</f>
        <v>Single Pack</v>
      </c>
      <c r="G1687" t="str">
        <f>_xlfn.XLOOKUP($A1687,Load!$B:$B,Load!H:H,0,)</f>
        <v>Laydown Bag</v>
      </c>
      <c r="H1687" t="str">
        <f>_xlfn.XLOOKUP($A1687,Load!$B:$B,Load!I:I,0,)</f>
        <v>Everyday Candy Shapes (like Original, Gummy bear, Fruit, Jewels, etc.)</v>
      </c>
      <c r="I1687" t="str">
        <f>_xlfn.XLOOKUP($A1687,Load!$B:$B,Load!J:J,0,)</f>
        <v>Seasonal Graphics (Like Bat, Ghost, Pumpkin, Fall Leaves, Eyeballs, etc.)</v>
      </c>
      <c r="J1687" t="str">
        <f>_xlfn.XLOOKUP($A1687,Load!$B:$B,Load!K:K,0,)</f>
        <v>Regular Lollipop size (on sticks or rings)</v>
      </c>
      <c r="K1687" t="str">
        <f>_xlfn.XLOOKUP($A1687,Load!$B:$B,Load!L:L,0,)</f>
        <v>Regular/Original Wrapping</v>
      </c>
      <c r="L1687" t="str">
        <f>_xlfn.XLOOKUP($A1687,Load!$B:$B,Load!M:M,0,)</f>
        <v>Single Brand / Variety Flavors or Form</v>
      </c>
    </row>
    <row r="1688" spans="1:12" x14ac:dyDescent="0.25">
      <c r="A1688" t="s">
        <v>202</v>
      </c>
      <c r="B1688" t="str">
        <f>_xlfn.XLOOKUP($A1688,Load!$B:$B,Load!C:C,0,)</f>
        <v>Mars Variety Pack</v>
      </c>
      <c r="C1688" t="str">
        <f>_xlfn.XLOOKUP($A1688,Load!$B:$B,Load!D:D,0,)</f>
        <v>Mix of Chocolate and Non-Chocolate Candy</v>
      </c>
      <c r="D1688" t="str">
        <f>_xlfn.XLOOKUP($A1688,Load!$B:$B,Load!E:E,0,)</f>
        <v>Variety / Mixed Flavors (Fruity, Sour, Seasonal Flavors)</v>
      </c>
      <c r="E1688" t="str">
        <f>_xlfn.XLOOKUP($A1688,Load!$B:$B,Load!F:F,0,)</f>
        <v>Mixed / Combo Packs (Gummy, Chewy, Taffy, etc.)</v>
      </c>
      <c r="F1688" t="str">
        <f>_xlfn.XLOOKUP($A1688,Load!$B:$B,Load!G:G,0,)</f>
        <v>Large Multipack (More than 80 ct)</v>
      </c>
      <c r="G1688" t="str">
        <f>_xlfn.XLOOKUP($A1688,Load!$B:$B,Load!H:H,0,)</f>
        <v>Stand-Up Bag</v>
      </c>
      <c r="H1688" t="str">
        <f>_xlfn.XLOOKUP($A1688,Load!$B:$B,Load!I:I,0,)</f>
        <v>Everyday Candy Shapes (like Original, Gummy bear, Fruit, Jewels, etc.)</v>
      </c>
      <c r="I1688" t="str">
        <f>_xlfn.XLOOKUP($A1688,Load!$B:$B,Load!J:J,0,)</f>
        <v>Everyday Graphics</v>
      </c>
      <c r="J1688" t="str">
        <f>_xlfn.XLOOKUP($A1688,Load!$B:$B,Load!K:K,0,)</f>
        <v>Fun Size / Treat Size</v>
      </c>
      <c r="K1688" t="str">
        <f>_xlfn.XLOOKUP($A1688,Load!$B:$B,Load!L:L,0,)</f>
        <v>Regular/Original Wrapping</v>
      </c>
      <c r="L1688" t="str">
        <f>_xlfn.XLOOKUP($A1688,Load!$B:$B,Load!M:M,0,)</f>
        <v>Multiple Brands / Variety Flavors or Form</v>
      </c>
    </row>
    <row r="1689" spans="1:12" x14ac:dyDescent="0.25">
      <c r="A1689" t="s">
        <v>290</v>
      </c>
      <c r="B1689" t="str">
        <f>_xlfn.XLOOKUP($A1689,Load!$B:$B,Load!C:C,0,)</f>
        <v>Tootsie</v>
      </c>
      <c r="C1689" t="str">
        <f>_xlfn.XLOOKUP($A1689,Load!$B:$B,Load!D:D,0,)</f>
        <v>Mix of Chocolate and Non-Chocolate Candy</v>
      </c>
      <c r="D1689" t="str">
        <f>_xlfn.XLOOKUP($A1689,Load!$B:$B,Load!E:E,0,)</f>
        <v>Variety / Mixed Flavors (Fruity, Sour, Seasonal Flavors)</v>
      </c>
      <c r="E1689" t="str">
        <f>_xlfn.XLOOKUP($A1689,Load!$B:$B,Load!F:F,0,)</f>
        <v>Mixed / Combo Packs (Gummy, Chewy, Taffy, etc.)</v>
      </c>
      <c r="F1689" t="str">
        <f>_xlfn.XLOOKUP($A1689,Load!$B:$B,Load!G:G,0,)</f>
        <v>Large Multipack (More than 80 ct)</v>
      </c>
      <c r="G1689" t="str">
        <f>_xlfn.XLOOKUP($A1689,Load!$B:$B,Load!H:H,0,)</f>
        <v>Laydown Bag</v>
      </c>
      <c r="H1689" t="str">
        <f>_xlfn.XLOOKUP($A1689,Load!$B:$B,Load!I:I,0,)</f>
        <v>Everyday Candy Shapes (like Original, Gummy bear, Fruit, Jewels, etc.)</v>
      </c>
      <c r="I1689" t="str">
        <f>_xlfn.XLOOKUP($A1689,Load!$B:$B,Load!J:J,0,)</f>
        <v>Everyday Graphics</v>
      </c>
      <c r="J1689" t="str">
        <f>_xlfn.XLOOKUP($A1689,Load!$B:$B,Load!K:K,0,)</f>
        <v>Fun Size / Treat Size</v>
      </c>
      <c r="K1689" t="str">
        <f>_xlfn.XLOOKUP($A1689,Load!$B:$B,Load!L:L,0,)</f>
        <v>Regular/Original Wrapping</v>
      </c>
      <c r="L1689" t="str">
        <f>_xlfn.XLOOKUP($A1689,Load!$B:$B,Load!M:M,0,)</f>
        <v>Single Brand / Variety Flavors or Form</v>
      </c>
    </row>
    <row r="1690" spans="1:12" x14ac:dyDescent="0.25">
      <c r="A1690" t="s">
        <v>133</v>
      </c>
      <c r="B1690" t="str">
        <f>_xlfn.XLOOKUP($A1690,Load!$B:$B,Load!C:C,0,)</f>
        <v>Hershey's</v>
      </c>
      <c r="C1690" t="str">
        <f>_xlfn.XLOOKUP($A1690,Load!$B:$B,Load!D:D,0,)</f>
        <v>Non-Chocolate Candy Only</v>
      </c>
      <c r="D1690" t="str">
        <f>_xlfn.XLOOKUP($A1690,Load!$B:$B,Load!E:E,0,)</f>
        <v>Variety / Mixed Flavors (Fruity, Sour, Seasonal Flavors)</v>
      </c>
      <c r="E1690" t="str">
        <f>_xlfn.XLOOKUP($A1690,Load!$B:$B,Load!F:F,0,)</f>
        <v>Mixed / Combo Packs (Gummy, Chewy, Taffy, etc.)</v>
      </c>
      <c r="F1690" t="str">
        <f>_xlfn.XLOOKUP($A1690,Load!$B:$B,Load!G:G,0,)</f>
        <v>Large Multipack (More than 80 ct)</v>
      </c>
      <c r="G1690" t="str">
        <f>_xlfn.XLOOKUP($A1690,Load!$B:$B,Load!H:H,0,)</f>
        <v>Stand-Up Bag</v>
      </c>
      <c r="H1690" t="str">
        <f>_xlfn.XLOOKUP($A1690,Load!$B:$B,Load!I:I,0,)</f>
        <v>Everyday Candy Shapes (like Original, Gummy bear, Fruit, Jewels, etc.)</v>
      </c>
      <c r="I1690" t="str">
        <f>_xlfn.XLOOKUP($A1690,Load!$B:$B,Load!J:J,0,)</f>
        <v>Seasonal Graphics (Like Bat, Ghost, Pumpkin, Fall Leaves, Eyeballs, etc.)</v>
      </c>
      <c r="J1690" t="str">
        <f>_xlfn.XLOOKUP($A1690,Load!$B:$B,Load!K:K,0,)</f>
        <v>Fun Size / Treat Size</v>
      </c>
      <c r="K1690" t="str">
        <f>_xlfn.XLOOKUP($A1690,Load!$B:$B,Load!L:L,0,)</f>
        <v>Regular/Original Wrapping</v>
      </c>
      <c r="L1690" t="str">
        <f>_xlfn.XLOOKUP($A1690,Load!$B:$B,Load!M:M,0,)</f>
        <v>Multiple Brands / Variety Flavors or Form</v>
      </c>
    </row>
    <row r="1691" spans="1:12" x14ac:dyDescent="0.25">
      <c r="B1691">
        <f>_xlfn.XLOOKUP($A1691,Load!$B:$B,Load!C:C,0,)</f>
        <v>0</v>
      </c>
      <c r="C1691">
        <f>_xlfn.XLOOKUP($A1691,Load!$B:$B,Load!D:D,0,)</f>
        <v>0</v>
      </c>
      <c r="D1691">
        <f>_xlfn.XLOOKUP($A1691,Load!$B:$B,Load!E:E,0,)</f>
        <v>0</v>
      </c>
      <c r="E1691">
        <f>_xlfn.XLOOKUP($A1691,Load!$B:$B,Load!F:F,0,)</f>
        <v>0</v>
      </c>
      <c r="F1691">
        <f>_xlfn.XLOOKUP($A1691,Load!$B:$B,Load!G:G,0,)</f>
        <v>0</v>
      </c>
      <c r="G1691">
        <f>_xlfn.XLOOKUP($A1691,Load!$B:$B,Load!H:H,0,)</f>
        <v>0</v>
      </c>
      <c r="H1691">
        <f>_xlfn.XLOOKUP($A1691,Load!$B:$B,Load!I:I,0,)</f>
        <v>0</v>
      </c>
      <c r="I1691">
        <f>_xlfn.XLOOKUP($A1691,Load!$B:$B,Load!J:J,0,)</f>
        <v>0</v>
      </c>
      <c r="J1691">
        <f>_xlfn.XLOOKUP($A1691,Load!$B:$B,Load!K:K,0,)</f>
        <v>0</v>
      </c>
      <c r="K1691">
        <f>_xlfn.XLOOKUP($A1691,Load!$B:$B,Load!L:L,0,)</f>
        <v>0</v>
      </c>
      <c r="L1691">
        <f>_xlfn.XLOOKUP($A1691,Load!$B:$B,Load!M:M,0,)</f>
        <v>0</v>
      </c>
    </row>
    <row r="1692" spans="1:12" x14ac:dyDescent="0.25">
      <c r="A1692" t="s">
        <v>131</v>
      </c>
      <c r="B1692" t="str">
        <f>_xlfn.XLOOKUP($A1692,Load!$B:$B,Load!C:C,0,)</f>
        <v>Hershey's</v>
      </c>
      <c r="C1692" t="str">
        <f>_xlfn.XLOOKUP($A1692,Load!$B:$B,Load!D:D,0,)</f>
        <v>Mix of Chocolate and Non-Chocolate Candy</v>
      </c>
      <c r="D1692" t="str">
        <f>_xlfn.XLOOKUP($A1692,Load!$B:$B,Load!E:E,0,)</f>
        <v>Variety / Mixed Flavors (Fruity, Sour, Seasonal Flavors)</v>
      </c>
      <c r="E1692" t="str">
        <f>_xlfn.XLOOKUP($A1692,Load!$B:$B,Load!F:F,0,)</f>
        <v>Mixed / Combo Packs (Gummy, Chewy, Taffy, etc.)</v>
      </c>
      <c r="F1692" t="str">
        <f>_xlfn.XLOOKUP($A1692,Load!$B:$B,Load!G:G,0,)</f>
        <v>Large Multipack (More than 80 ct)</v>
      </c>
      <c r="G1692" t="str">
        <f>_xlfn.XLOOKUP($A1692,Load!$B:$B,Load!H:H,0,)</f>
        <v>Stand-Up Bag</v>
      </c>
      <c r="H1692" t="str">
        <f>_xlfn.XLOOKUP($A1692,Load!$B:$B,Load!I:I,0,)</f>
        <v>Everyday Candy Shapes (like Original, Gummy bear, Fruit, Jewels, etc.)</v>
      </c>
      <c r="I1692" t="str">
        <f>_xlfn.XLOOKUP($A1692,Load!$B:$B,Load!J:J,0,)</f>
        <v>Seasonal Graphics (Like Bat, Ghost, Pumpkin, Fall Leaves, Eyeballs, etc.)</v>
      </c>
      <c r="J1692" t="str">
        <f>_xlfn.XLOOKUP($A1692,Load!$B:$B,Load!K:K,0,)</f>
        <v>Fun Size / Treat Size</v>
      </c>
      <c r="K1692" t="str">
        <f>_xlfn.XLOOKUP($A1692,Load!$B:$B,Load!L:L,0,)</f>
        <v>Regular/Original Wrapping</v>
      </c>
      <c r="L1692" t="str">
        <f>_xlfn.XLOOKUP($A1692,Load!$B:$B,Load!M:M,0,)</f>
        <v>Multiple Brands / Variety Flavors or Form</v>
      </c>
    </row>
    <row r="1693" spans="1:12" x14ac:dyDescent="0.25">
      <c r="B1693">
        <f>_xlfn.XLOOKUP($A1693,Load!$B:$B,Load!C:C,0,)</f>
        <v>0</v>
      </c>
      <c r="C1693">
        <f>_xlfn.XLOOKUP($A1693,Load!$B:$B,Load!D:D,0,)</f>
        <v>0</v>
      </c>
      <c r="D1693">
        <f>_xlfn.XLOOKUP($A1693,Load!$B:$B,Load!E:E,0,)</f>
        <v>0</v>
      </c>
      <c r="E1693">
        <f>_xlfn.XLOOKUP($A1693,Load!$B:$B,Load!F:F,0,)</f>
        <v>0</v>
      </c>
      <c r="F1693">
        <f>_xlfn.XLOOKUP($A1693,Load!$B:$B,Load!G:G,0,)</f>
        <v>0</v>
      </c>
      <c r="G1693">
        <f>_xlfn.XLOOKUP($A1693,Load!$B:$B,Load!H:H,0,)</f>
        <v>0</v>
      </c>
      <c r="H1693">
        <f>_xlfn.XLOOKUP($A1693,Load!$B:$B,Load!I:I,0,)</f>
        <v>0</v>
      </c>
      <c r="I1693">
        <f>_xlfn.XLOOKUP($A1693,Load!$B:$B,Load!J:J,0,)</f>
        <v>0</v>
      </c>
      <c r="J1693">
        <f>_xlfn.XLOOKUP($A1693,Load!$B:$B,Load!K:K,0,)</f>
        <v>0</v>
      </c>
      <c r="K1693">
        <f>_xlfn.XLOOKUP($A1693,Load!$B:$B,Load!L:L,0,)</f>
        <v>0</v>
      </c>
      <c r="L1693">
        <f>_xlfn.XLOOKUP($A1693,Load!$B:$B,Load!M:M,0,)</f>
        <v>0</v>
      </c>
    </row>
    <row r="1694" spans="1:12" x14ac:dyDescent="0.25">
      <c r="A1694" t="s">
        <v>261</v>
      </c>
      <c r="B1694" t="str">
        <f>_xlfn.XLOOKUP($A1694,Load!$B:$B,Load!C:C,0,)</f>
        <v>Skittles</v>
      </c>
      <c r="C1694" t="str">
        <f>_xlfn.XLOOKUP($A1694,Load!$B:$B,Load!D:D,0,)</f>
        <v>Non-Chocolate Candy Only</v>
      </c>
      <c r="D1694" t="str">
        <f>_xlfn.XLOOKUP($A1694,Load!$B:$B,Load!E:E,0,)</f>
        <v>Fruit Flavor (Cherry, Grape, Apple, Citrus, Tropical Fruit)</v>
      </c>
      <c r="E1694" t="str">
        <f>_xlfn.XLOOKUP($A1694,Load!$B:$B,Load!F:F,0,)</f>
        <v>Candy Pieces / Bites</v>
      </c>
      <c r="F1694" t="str">
        <f>_xlfn.XLOOKUP($A1694,Load!$B:$B,Load!G:G,0,)</f>
        <v>Single Pack</v>
      </c>
      <c r="G1694" t="str">
        <f>_xlfn.XLOOKUP($A1694,Load!$B:$B,Load!H:H,0,)</f>
        <v>Laydown Bag</v>
      </c>
      <c r="H1694" t="str">
        <f>_xlfn.XLOOKUP($A1694,Load!$B:$B,Load!I:I,0,)</f>
        <v>Everyday Candy Shapes (like Original, Gummy bear, Fruit, Jewels, etc.)</v>
      </c>
      <c r="I1694" t="str">
        <f>_xlfn.XLOOKUP($A1694,Load!$B:$B,Load!J:J,0,)</f>
        <v>Everyday Graphics</v>
      </c>
      <c r="J1694" t="str">
        <f>_xlfn.XLOOKUP($A1694,Load!$B:$B,Load!K:K,0,)</f>
        <v>Small Pieces (Tiny bite size candies)</v>
      </c>
      <c r="K1694" t="str">
        <f>_xlfn.XLOOKUP($A1694,Load!$B:$B,Load!L:L,0,)</f>
        <v>Unwrapped</v>
      </c>
      <c r="L1694" t="str">
        <f>_xlfn.XLOOKUP($A1694,Load!$B:$B,Load!M:M,0,)</f>
        <v>Single Brand / Single Flavor or Form</v>
      </c>
    </row>
    <row r="1695" spans="1:12" x14ac:dyDescent="0.25">
      <c r="A1695" t="s">
        <v>278</v>
      </c>
      <c r="B1695" t="str">
        <f>_xlfn.XLOOKUP($A1695,Load!$B:$B,Load!C:C,0,)</f>
        <v>Sour Patch Kids</v>
      </c>
      <c r="C1695" t="str">
        <f>_xlfn.XLOOKUP($A1695,Load!$B:$B,Load!D:D,0,)</f>
        <v>Non-Chocolate Candy Only</v>
      </c>
      <c r="D1695" t="str">
        <f>_xlfn.XLOOKUP($A1695,Load!$B:$B,Load!E:E,0,)</f>
        <v>Sour</v>
      </c>
      <c r="E1695" t="str">
        <f>_xlfn.XLOOKUP($A1695,Load!$B:$B,Load!F:F,0,)</f>
        <v>Chewy</v>
      </c>
      <c r="F1695" t="str">
        <f>_xlfn.XLOOKUP($A1695,Load!$B:$B,Load!G:G,0,)</f>
        <v>Single Pack</v>
      </c>
      <c r="G1695" t="str">
        <f>_xlfn.XLOOKUP($A1695,Load!$B:$B,Load!H:H,0,)</f>
        <v>Peg Bag</v>
      </c>
      <c r="H1695" t="str">
        <f>_xlfn.XLOOKUP($A1695,Load!$B:$B,Load!I:I,0,)</f>
        <v>Everyday Candy Shapes (like Original, Gummy bear, Fruit, Jewels, etc.)</v>
      </c>
      <c r="I1695" t="str">
        <f>_xlfn.XLOOKUP($A1695,Load!$B:$B,Load!J:J,0,)</f>
        <v>Seasonal Graphics (Like Bat, Ghost, Pumpkin, Fall Leaves, Eyeballs, etc.)</v>
      </c>
      <c r="J1695" t="str">
        <f>_xlfn.XLOOKUP($A1695,Load!$B:$B,Load!K:K,0,)</f>
        <v>Small Pieces (Tiny bite size candies)</v>
      </c>
      <c r="K1695" t="str">
        <f>_xlfn.XLOOKUP($A1695,Load!$B:$B,Load!L:L,0,)</f>
        <v>Regular/Original Wrapping</v>
      </c>
      <c r="L1695" t="str">
        <f>_xlfn.XLOOKUP($A1695,Load!$B:$B,Load!M:M,0,)</f>
        <v>Single Brand / Variety Flavors or Form</v>
      </c>
    </row>
    <row r="1696" spans="1:12" x14ac:dyDescent="0.25">
      <c r="B1696">
        <f>_xlfn.XLOOKUP($A1696,Load!$B:$B,Load!C:C,0,)</f>
        <v>0</v>
      </c>
      <c r="C1696">
        <f>_xlfn.XLOOKUP($A1696,Load!$B:$B,Load!D:D,0,)</f>
        <v>0</v>
      </c>
      <c r="D1696">
        <f>_xlfn.XLOOKUP($A1696,Load!$B:$B,Load!E:E,0,)</f>
        <v>0</v>
      </c>
      <c r="E1696">
        <f>_xlfn.XLOOKUP($A1696,Load!$B:$B,Load!F:F,0,)</f>
        <v>0</v>
      </c>
      <c r="F1696">
        <f>_xlfn.XLOOKUP($A1696,Load!$B:$B,Load!G:G,0,)</f>
        <v>0</v>
      </c>
      <c r="G1696">
        <f>_xlfn.XLOOKUP($A1696,Load!$B:$B,Load!H:H,0,)</f>
        <v>0</v>
      </c>
      <c r="H1696">
        <f>_xlfn.XLOOKUP($A1696,Load!$B:$B,Load!I:I,0,)</f>
        <v>0</v>
      </c>
      <c r="I1696">
        <f>_xlfn.XLOOKUP($A1696,Load!$B:$B,Load!J:J,0,)</f>
        <v>0</v>
      </c>
      <c r="J1696">
        <f>_xlfn.XLOOKUP($A1696,Load!$B:$B,Load!K:K,0,)</f>
        <v>0</v>
      </c>
      <c r="K1696">
        <f>_xlfn.XLOOKUP($A1696,Load!$B:$B,Load!L:L,0,)</f>
        <v>0</v>
      </c>
      <c r="L1696">
        <f>_xlfn.XLOOKUP($A1696,Load!$B:$B,Load!M:M,0,)</f>
        <v>0</v>
      </c>
    </row>
    <row r="1697" spans="1:12" x14ac:dyDescent="0.25">
      <c r="B1697">
        <f>_xlfn.XLOOKUP($A1697,Load!$B:$B,Load!C:C,0,)</f>
        <v>0</v>
      </c>
      <c r="C1697">
        <f>_xlfn.XLOOKUP($A1697,Load!$B:$B,Load!D:D,0,)</f>
        <v>0</v>
      </c>
      <c r="D1697">
        <f>_xlfn.XLOOKUP($A1697,Load!$B:$B,Load!E:E,0,)</f>
        <v>0</v>
      </c>
      <c r="E1697">
        <f>_xlfn.XLOOKUP($A1697,Load!$B:$B,Load!F:F,0,)</f>
        <v>0</v>
      </c>
      <c r="F1697">
        <f>_xlfn.XLOOKUP($A1697,Load!$B:$B,Load!G:G,0,)</f>
        <v>0</v>
      </c>
      <c r="G1697">
        <f>_xlfn.XLOOKUP($A1697,Load!$B:$B,Load!H:H,0,)</f>
        <v>0</v>
      </c>
      <c r="H1697">
        <f>_xlfn.XLOOKUP($A1697,Load!$B:$B,Load!I:I,0,)</f>
        <v>0</v>
      </c>
      <c r="I1697">
        <f>_xlfn.XLOOKUP($A1697,Load!$B:$B,Load!J:J,0,)</f>
        <v>0</v>
      </c>
      <c r="J1697">
        <f>_xlfn.XLOOKUP($A1697,Load!$B:$B,Load!K:K,0,)</f>
        <v>0</v>
      </c>
      <c r="K1697">
        <f>_xlfn.XLOOKUP($A1697,Load!$B:$B,Load!L:L,0,)</f>
        <v>0</v>
      </c>
      <c r="L1697">
        <f>_xlfn.XLOOKUP($A1697,Load!$B:$B,Load!M:M,0,)</f>
        <v>0</v>
      </c>
    </row>
    <row r="1698" spans="1:12" x14ac:dyDescent="0.25">
      <c r="A1698" t="s">
        <v>126</v>
      </c>
      <c r="B1698" t="str">
        <f>_xlfn.XLOOKUP($A1698,Load!$B:$B,Load!C:C,0,)</f>
        <v>HARIBO</v>
      </c>
      <c r="C1698" t="str">
        <f>_xlfn.XLOOKUP($A1698,Load!$B:$B,Load!D:D,0,)</f>
        <v>Non-Chocolate Candy Only</v>
      </c>
      <c r="D1698" t="str">
        <f>_xlfn.XLOOKUP($A1698,Load!$B:$B,Load!E:E,0,)</f>
        <v>Sweet</v>
      </c>
      <c r="E1698" t="str">
        <f>_xlfn.XLOOKUP($A1698,Load!$B:$B,Load!F:F,0,)</f>
        <v>Gummy</v>
      </c>
      <c r="F1698" t="str">
        <f>_xlfn.XLOOKUP($A1698,Load!$B:$B,Load!G:G,0,)</f>
        <v>Single Pack</v>
      </c>
      <c r="G1698" t="str">
        <f>_xlfn.XLOOKUP($A1698,Load!$B:$B,Load!H:H,0,)</f>
        <v>Laydown Bag</v>
      </c>
      <c r="H1698" t="str">
        <f>_xlfn.XLOOKUP($A1698,Load!$B:$B,Load!I:I,0,)</f>
        <v>Seasonal Shapes (like pumpkins, candy corn, ghost, bats, etc.)</v>
      </c>
      <c r="I1698" t="str">
        <f>_xlfn.XLOOKUP($A1698,Load!$B:$B,Load!J:J,0,)</f>
        <v>Seasonal Graphics (Like Bat, Ghost, Pumpkin, Fall Leaves, Eyeballs, etc.)</v>
      </c>
      <c r="J1698" t="str">
        <f>_xlfn.XLOOKUP($A1698,Load!$B:$B,Load!K:K,0,)</f>
        <v>Small Pieces (Tiny bite size candies)</v>
      </c>
      <c r="K1698" t="str">
        <f>_xlfn.XLOOKUP($A1698,Load!$B:$B,Load!L:L,0,)</f>
        <v>Unwrapped</v>
      </c>
      <c r="L1698" t="str">
        <f>_xlfn.XLOOKUP($A1698,Load!$B:$B,Load!M:M,0,)</f>
        <v>Single Brand / Variety Flavors or Form</v>
      </c>
    </row>
    <row r="1699" spans="1:12" x14ac:dyDescent="0.25">
      <c r="A1699" t="s">
        <v>127</v>
      </c>
      <c r="B1699" t="str">
        <f>_xlfn.XLOOKUP($A1699,Load!$B:$B,Load!C:C,0,)</f>
        <v>HARIBO</v>
      </c>
      <c r="C1699" t="str">
        <f>_xlfn.XLOOKUP($A1699,Load!$B:$B,Load!D:D,0,)</f>
        <v>Non-Chocolate Candy Only</v>
      </c>
      <c r="D1699" t="str">
        <f>_xlfn.XLOOKUP($A1699,Load!$B:$B,Load!E:E,0,)</f>
        <v>Sweet</v>
      </c>
      <c r="E1699" t="str">
        <f>_xlfn.XLOOKUP($A1699,Load!$B:$B,Load!F:F,0,)</f>
        <v>Gummy</v>
      </c>
      <c r="F1699" t="str">
        <f>_xlfn.XLOOKUP($A1699,Load!$B:$B,Load!G:G,0,)</f>
        <v>Single Pack</v>
      </c>
      <c r="G1699" t="str">
        <f>_xlfn.XLOOKUP($A1699,Load!$B:$B,Load!H:H,0,)</f>
        <v>Laydown Bag</v>
      </c>
      <c r="H1699" t="str">
        <f>_xlfn.XLOOKUP($A1699,Load!$B:$B,Load!I:I,0,)</f>
        <v>Seasonal Shapes (like pumpkins, candy corn, ghost, bats, etc.)</v>
      </c>
      <c r="I1699" t="str">
        <f>_xlfn.XLOOKUP($A1699,Load!$B:$B,Load!J:J,0,)</f>
        <v>Seasonal Graphics (Like Bat, Ghost, Pumpkin, Fall Leaves, Eyeballs, etc.)</v>
      </c>
      <c r="J1699" t="str">
        <f>_xlfn.XLOOKUP($A1699,Load!$B:$B,Load!K:K,0,)</f>
        <v>Small Pieces (Tiny bite size candies)</v>
      </c>
      <c r="K1699" t="str">
        <f>_xlfn.XLOOKUP($A1699,Load!$B:$B,Load!L:L,0,)</f>
        <v>Unwrapped</v>
      </c>
      <c r="L1699" t="str">
        <f>_xlfn.XLOOKUP($A1699,Load!$B:$B,Load!M:M,0,)</f>
        <v>Single Brand / Variety Flavors or Form</v>
      </c>
    </row>
    <row r="1700" spans="1:12" x14ac:dyDescent="0.25">
      <c r="A1700" t="s">
        <v>227</v>
      </c>
      <c r="B1700" t="str">
        <f>_xlfn.XLOOKUP($A1700,Load!$B:$B,Load!C:C,0,)</f>
        <v>Nerds</v>
      </c>
      <c r="C1700" t="str">
        <f>_xlfn.XLOOKUP($A1700,Load!$B:$B,Load!D:D,0,)</f>
        <v>Non-Chocolate Candy Only</v>
      </c>
      <c r="D1700" t="str">
        <f>_xlfn.XLOOKUP($A1700,Load!$B:$B,Load!E:E,0,)</f>
        <v>Sweet</v>
      </c>
      <c r="E1700" t="str">
        <f>_xlfn.XLOOKUP($A1700,Load!$B:$B,Load!F:F,0,)</f>
        <v>Chewy</v>
      </c>
      <c r="F1700" t="str">
        <f>_xlfn.XLOOKUP($A1700,Load!$B:$B,Load!G:G,0,)</f>
        <v>Single Pack</v>
      </c>
      <c r="G1700" t="str">
        <f>_xlfn.XLOOKUP($A1700,Load!$B:$B,Load!H:H,0,)</f>
        <v>Laydown Bag</v>
      </c>
      <c r="H1700" t="str">
        <f>_xlfn.XLOOKUP($A1700,Load!$B:$B,Load!I:I,0,)</f>
        <v>Seasonal Shapes (like pumpkins, candy corn, ghost, bats, etc.)</v>
      </c>
      <c r="I1700" t="str">
        <f>_xlfn.XLOOKUP($A1700,Load!$B:$B,Load!J:J,0,)</f>
        <v>Seasonal Graphics (Like Bat, Ghost, Pumpkin, Fall Leaves, Eyeballs, etc.)</v>
      </c>
      <c r="J1700" t="str">
        <f>_xlfn.XLOOKUP($A1700,Load!$B:$B,Load!K:K,0,)</f>
        <v>Small Pieces (Tiny bite size candies)</v>
      </c>
      <c r="K1700" t="str">
        <f>_xlfn.XLOOKUP($A1700,Load!$B:$B,Load!L:L,0,)</f>
        <v>Unwrapped</v>
      </c>
      <c r="L1700" t="str">
        <f>_xlfn.XLOOKUP($A1700,Load!$B:$B,Load!M:M,0,)</f>
        <v>Single Brand / Variety Flavors or Form</v>
      </c>
    </row>
    <row r="1701" spans="1:12" x14ac:dyDescent="0.25">
      <c r="A1701" t="s">
        <v>230</v>
      </c>
      <c r="B1701" t="str">
        <f>_xlfn.XLOOKUP($A1701,Load!$B:$B,Load!C:C,0,)</f>
        <v>Nerds</v>
      </c>
      <c r="C1701" t="str">
        <f>_xlfn.XLOOKUP($A1701,Load!$B:$B,Load!D:D,0,)</f>
        <v>Non-Chocolate Candy Only</v>
      </c>
      <c r="D1701" t="str">
        <f>_xlfn.XLOOKUP($A1701,Load!$B:$B,Load!E:E,0,)</f>
        <v>Sweet</v>
      </c>
      <c r="E1701" t="str">
        <f>_xlfn.XLOOKUP($A1701,Load!$B:$B,Load!F:F,0,)</f>
        <v>Chewy</v>
      </c>
      <c r="F1701" t="str">
        <f>_xlfn.XLOOKUP($A1701,Load!$B:$B,Load!G:G,0,)</f>
        <v>Single Pack</v>
      </c>
      <c r="G1701" t="str">
        <f>_xlfn.XLOOKUP($A1701,Load!$B:$B,Load!H:H,0,)</f>
        <v>Laydown Bag</v>
      </c>
      <c r="H1701" t="str">
        <f>_xlfn.XLOOKUP($A1701,Load!$B:$B,Load!I:I,0,)</f>
        <v>Everyday Candy Shapes (like Original, Gummy bear, Fruit, Jewels, etc.)</v>
      </c>
      <c r="I1701" t="str">
        <f>_xlfn.XLOOKUP($A1701,Load!$B:$B,Load!J:J,0,)</f>
        <v>Seasonal Graphics (Like Bat, Ghost, Pumpkin, Fall Leaves, Eyeballs, etc.)</v>
      </c>
      <c r="J1701" t="str">
        <f>_xlfn.XLOOKUP($A1701,Load!$B:$B,Load!K:K,0,)</f>
        <v>Fun Size / Treat Size</v>
      </c>
      <c r="K1701" t="str">
        <f>_xlfn.XLOOKUP($A1701,Load!$B:$B,Load!L:L,0,)</f>
        <v>Regular/Original Wrapping</v>
      </c>
      <c r="L1701" t="str">
        <f>_xlfn.XLOOKUP($A1701,Load!$B:$B,Load!M:M,0,)</f>
        <v>Single Brand / Single Flavor or Form</v>
      </c>
    </row>
    <row r="1702" spans="1:12" x14ac:dyDescent="0.25">
      <c r="A1702" t="s">
        <v>239</v>
      </c>
      <c r="B1702" t="str">
        <f>_xlfn.XLOOKUP($A1702,Load!$B:$B,Load!C:C,0,)</f>
        <v>Peeps</v>
      </c>
      <c r="C1702" t="str">
        <f>_xlfn.XLOOKUP($A1702,Load!$B:$B,Load!D:D,0,)</f>
        <v>Non-Chocolate Candy Only</v>
      </c>
      <c r="D1702" t="str">
        <f>_xlfn.XLOOKUP($A1702,Load!$B:$B,Load!E:E,0,)</f>
        <v>Sweet</v>
      </c>
      <c r="E1702" t="str">
        <f>_xlfn.XLOOKUP($A1702,Load!$B:$B,Load!F:F,0,)</f>
        <v>Foamy / Aerated / Freeze Dried</v>
      </c>
      <c r="F1702" t="str">
        <f>_xlfn.XLOOKUP($A1702,Load!$B:$B,Load!G:G,0,)</f>
        <v>Single Pack</v>
      </c>
      <c r="G1702" t="str">
        <f>_xlfn.XLOOKUP($A1702,Load!$B:$B,Load!H:H,0,)</f>
        <v>Box (theatre box, gift box, carton)</v>
      </c>
      <c r="H1702" t="str">
        <f>_xlfn.XLOOKUP($A1702,Load!$B:$B,Load!I:I,0,)</f>
        <v>Seasonal Shapes (like pumpkins, candy corn, ghost, bats, etc.)</v>
      </c>
      <c r="I1702" t="str">
        <f>_xlfn.XLOOKUP($A1702,Load!$B:$B,Load!J:J,0,)</f>
        <v>Seasonal Graphics (Like Bat, Ghost, Pumpkin, Fall Leaves, Eyeballs, etc.)</v>
      </c>
      <c r="J1702" t="str">
        <f>_xlfn.XLOOKUP($A1702,Load!$B:$B,Load!K:K,0,)</f>
        <v>Fun Size / Treat Size</v>
      </c>
      <c r="K1702" t="str">
        <f>_xlfn.XLOOKUP($A1702,Load!$B:$B,Load!L:L,0,)</f>
        <v>Unwrapped</v>
      </c>
      <c r="L1702" t="str">
        <f>_xlfn.XLOOKUP($A1702,Load!$B:$B,Load!M:M,0,)</f>
        <v>Single Brand / Single Flavor or Form</v>
      </c>
    </row>
    <row r="1703" spans="1:12" x14ac:dyDescent="0.25">
      <c r="A1703" t="s">
        <v>243</v>
      </c>
      <c r="B1703" t="str">
        <f>_xlfn.XLOOKUP($A1703,Load!$B:$B,Load!C:C,0,)</f>
        <v>Peeps</v>
      </c>
      <c r="C1703" t="str">
        <f>_xlfn.XLOOKUP($A1703,Load!$B:$B,Load!D:D,0,)</f>
        <v>Non-Chocolate Candy Only</v>
      </c>
      <c r="D1703" t="str">
        <f>_xlfn.XLOOKUP($A1703,Load!$B:$B,Load!E:E,0,)</f>
        <v>Fall / Seasonal Flavors (pumpkin spice, caramel apple, candy corn)</v>
      </c>
      <c r="E1703" t="str">
        <f>_xlfn.XLOOKUP($A1703,Load!$B:$B,Load!F:F,0,)</f>
        <v>Foamy / Aerated / Freeze Dried</v>
      </c>
      <c r="F1703" t="str">
        <f>_xlfn.XLOOKUP($A1703,Load!$B:$B,Load!G:G,0,)</f>
        <v>Single Pack</v>
      </c>
      <c r="G1703" t="str">
        <f>_xlfn.XLOOKUP($A1703,Load!$B:$B,Load!H:H,0,)</f>
        <v>Box (theatre box, gift box, carton)</v>
      </c>
      <c r="H1703" t="str">
        <f>_xlfn.XLOOKUP($A1703,Load!$B:$B,Load!I:I,0,)</f>
        <v>Seasonal Shapes (like pumpkins, candy corn, ghost, bats, etc.)</v>
      </c>
      <c r="I1703" t="str">
        <f>_xlfn.XLOOKUP($A1703,Load!$B:$B,Load!J:J,0,)</f>
        <v>Seasonal Graphics (Like Bat, Ghost, Pumpkin, Fall Leaves, Eyeballs, etc.)</v>
      </c>
      <c r="J1703" t="str">
        <f>_xlfn.XLOOKUP($A1703,Load!$B:$B,Load!K:K,0,)</f>
        <v>Fun Size / Treat Size</v>
      </c>
      <c r="K1703" t="str">
        <f>_xlfn.XLOOKUP($A1703,Load!$B:$B,Load!L:L,0,)</f>
        <v>Unwrapped</v>
      </c>
      <c r="L1703" t="str">
        <f>_xlfn.XLOOKUP($A1703,Load!$B:$B,Load!M:M,0,)</f>
        <v>Single Brand / Single Flavor or Form</v>
      </c>
    </row>
    <row r="1704" spans="1:12" x14ac:dyDescent="0.25">
      <c r="B1704">
        <f>_xlfn.XLOOKUP($A1704,Load!$B:$B,Load!C:C,0,)</f>
        <v>0</v>
      </c>
      <c r="C1704">
        <f>_xlfn.XLOOKUP($A1704,Load!$B:$B,Load!D:D,0,)</f>
        <v>0</v>
      </c>
      <c r="D1704">
        <f>_xlfn.XLOOKUP($A1704,Load!$B:$B,Load!E:E,0,)</f>
        <v>0</v>
      </c>
      <c r="E1704">
        <f>_xlfn.XLOOKUP($A1704,Load!$B:$B,Load!F:F,0,)</f>
        <v>0</v>
      </c>
      <c r="F1704">
        <f>_xlfn.XLOOKUP($A1704,Load!$B:$B,Load!G:G,0,)</f>
        <v>0</v>
      </c>
      <c r="G1704">
        <f>_xlfn.XLOOKUP($A1704,Load!$B:$B,Load!H:H,0,)</f>
        <v>0</v>
      </c>
      <c r="H1704">
        <f>_xlfn.XLOOKUP($A1704,Load!$B:$B,Load!I:I,0,)</f>
        <v>0</v>
      </c>
      <c r="I1704">
        <f>_xlfn.XLOOKUP($A1704,Load!$B:$B,Load!J:J,0,)</f>
        <v>0</v>
      </c>
      <c r="J1704">
        <f>_xlfn.XLOOKUP($A1704,Load!$B:$B,Load!K:K,0,)</f>
        <v>0</v>
      </c>
      <c r="K1704">
        <f>_xlfn.XLOOKUP($A1704,Load!$B:$B,Load!L:L,0,)</f>
        <v>0</v>
      </c>
      <c r="L1704">
        <f>_xlfn.XLOOKUP($A1704,Load!$B:$B,Load!M:M,0,)</f>
        <v>0</v>
      </c>
    </row>
    <row r="1705" spans="1:12" x14ac:dyDescent="0.25">
      <c r="B1705">
        <f>_xlfn.XLOOKUP($A1705,Load!$B:$B,Load!C:C,0,)</f>
        <v>0</v>
      </c>
      <c r="C1705">
        <f>_xlfn.XLOOKUP($A1705,Load!$B:$B,Load!D:D,0,)</f>
        <v>0</v>
      </c>
      <c r="D1705">
        <f>_xlfn.XLOOKUP($A1705,Load!$B:$B,Load!E:E,0,)</f>
        <v>0</v>
      </c>
      <c r="E1705">
        <f>_xlfn.XLOOKUP($A1705,Load!$B:$B,Load!F:F,0,)</f>
        <v>0</v>
      </c>
      <c r="F1705">
        <f>_xlfn.XLOOKUP($A1705,Load!$B:$B,Load!G:G,0,)</f>
        <v>0</v>
      </c>
      <c r="G1705">
        <f>_xlfn.XLOOKUP($A1705,Load!$B:$B,Load!H:H,0,)</f>
        <v>0</v>
      </c>
      <c r="H1705">
        <f>_xlfn.XLOOKUP($A1705,Load!$B:$B,Load!I:I,0,)</f>
        <v>0</v>
      </c>
      <c r="I1705">
        <f>_xlfn.XLOOKUP($A1705,Load!$B:$B,Load!J:J,0,)</f>
        <v>0</v>
      </c>
      <c r="J1705">
        <f>_xlfn.XLOOKUP($A1705,Load!$B:$B,Load!K:K,0,)</f>
        <v>0</v>
      </c>
      <c r="K1705">
        <f>_xlfn.XLOOKUP($A1705,Load!$B:$B,Load!L:L,0,)</f>
        <v>0</v>
      </c>
      <c r="L1705">
        <f>_xlfn.XLOOKUP($A1705,Load!$B:$B,Load!M:M,0,)</f>
        <v>0</v>
      </c>
    </row>
    <row r="1706" spans="1:12" x14ac:dyDescent="0.25">
      <c r="A1706" t="s">
        <v>179</v>
      </c>
      <c r="B1706" t="str">
        <f>_xlfn.XLOOKUP($A1706,Load!$B:$B,Load!C:C,0,)</f>
        <v>Mars Variety Pack</v>
      </c>
      <c r="C1706" t="str">
        <f>_xlfn.XLOOKUP($A1706,Load!$B:$B,Load!D:D,0,)</f>
        <v>Non-Chocolate Candy Only</v>
      </c>
      <c r="D1706" t="str">
        <f>_xlfn.XLOOKUP($A1706,Load!$B:$B,Load!E:E,0,)</f>
        <v>Variety / Mixed Flavors (Fruity, Sour, Seasonal Flavors)</v>
      </c>
      <c r="E1706" t="str">
        <f>_xlfn.XLOOKUP($A1706,Load!$B:$B,Load!F:F,0,)</f>
        <v>Mixed / Combo Packs (Gummy, Chewy, Taffy, etc.)</v>
      </c>
      <c r="F1706" t="str">
        <f>_xlfn.XLOOKUP($A1706,Load!$B:$B,Load!G:G,0,)</f>
        <v>Medium Multipack (40–80 ct)</v>
      </c>
      <c r="G1706" t="str">
        <f>_xlfn.XLOOKUP($A1706,Load!$B:$B,Load!H:H,0,)</f>
        <v>Stand-Up Bag</v>
      </c>
      <c r="H1706" t="str">
        <f>_xlfn.XLOOKUP($A1706,Load!$B:$B,Load!I:I,0,)</f>
        <v>Everyday Candy Shapes (like Original, Gummy bear, Fruit, Jewels, etc.)</v>
      </c>
      <c r="I1706" t="str">
        <f>_xlfn.XLOOKUP($A1706,Load!$B:$B,Load!J:J,0,)</f>
        <v>Seasonal Graphics (Like Bat, Ghost, Pumpkin, Fall Leaves, Eyeballs, etc.)</v>
      </c>
      <c r="J1706" t="str">
        <f>_xlfn.XLOOKUP($A1706,Load!$B:$B,Load!K:K,0,)</f>
        <v>Fun Size / Treat Size</v>
      </c>
      <c r="K1706" t="str">
        <f>_xlfn.XLOOKUP($A1706,Load!$B:$B,Load!L:L,0,)</f>
        <v>Regular/Original Wrapping</v>
      </c>
      <c r="L1706" t="str">
        <f>_xlfn.XLOOKUP($A1706,Load!$B:$B,Load!M:M,0,)</f>
        <v>Multiple Brands / Variety Flavors or Form</v>
      </c>
    </row>
    <row r="1707" spans="1:12" x14ac:dyDescent="0.25">
      <c r="B1707">
        <f>_xlfn.XLOOKUP($A1707,Load!$B:$B,Load!C:C,0,)</f>
        <v>0</v>
      </c>
      <c r="C1707">
        <f>_xlfn.XLOOKUP($A1707,Load!$B:$B,Load!D:D,0,)</f>
        <v>0</v>
      </c>
      <c r="D1707">
        <f>_xlfn.XLOOKUP($A1707,Load!$B:$B,Load!E:E,0,)</f>
        <v>0</v>
      </c>
      <c r="E1707">
        <f>_xlfn.XLOOKUP($A1707,Load!$B:$B,Load!F:F,0,)</f>
        <v>0</v>
      </c>
      <c r="F1707">
        <f>_xlfn.XLOOKUP($A1707,Load!$B:$B,Load!G:G,0,)</f>
        <v>0</v>
      </c>
      <c r="G1707">
        <f>_xlfn.XLOOKUP($A1707,Load!$B:$B,Load!H:H,0,)</f>
        <v>0</v>
      </c>
      <c r="H1707">
        <f>_xlfn.XLOOKUP($A1707,Load!$B:$B,Load!I:I,0,)</f>
        <v>0</v>
      </c>
      <c r="I1707">
        <f>_xlfn.XLOOKUP($A1707,Load!$B:$B,Load!J:J,0,)</f>
        <v>0</v>
      </c>
      <c r="J1707">
        <f>_xlfn.XLOOKUP($A1707,Load!$B:$B,Load!K:K,0,)</f>
        <v>0</v>
      </c>
      <c r="K1707">
        <f>_xlfn.XLOOKUP($A1707,Load!$B:$B,Load!L:L,0,)</f>
        <v>0</v>
      </c>
      <c r="L1707">
        <f>_xlfn.XLOOKUP($A1707,Load!$B:$B,Load!M:M,0,)</f>
        <v>0</v>
      </c>
    </row>
    <row r="1708" spans="1:12" x14ac:dyDescent="0.25">
      <c r="B1708">
        <f>_xlfn.XLOOKUP($A1708,Load!$B:$B,Load!C:C,0,)</f>
        <v>0</v>
      </c>
      <c r="C1708">
        <f>_xlfn.XLOOKUP($A1708,Load!$B:$B,Load!D:D,0,)</f>
        <v>0</v>
      </c>
      <c r="D1708">
        <f>_xlfn.XLOOKUP($A1708,Load!$B:$B,Load!E:E,0,)</f>
        <v>0</v>
      </c>
      <c r="E1708">
        <f>_xlfn.XLOOKUP($A1708,Load!$B:$B,Load!F:F,0,)</f>
        <v>0</v>
      </c>
      <c r="F1708">
        <f>_xlfn.XLOOKUP($A1708,Load!$B:$B,Load!G:G,0,)</f>
        <v>0</v>
      </c>
      <c r="G1708">
        <f>_xlfn.XLOOKUP($A1708,Load!$B:$B,Load!H:H,0,)</f>
        <v>0</v>
      </c>
      <c r="H1708">
        <f>_xlfn.XLOOKUP($A1708,Load!$B:$B,Load!I:I,0,)</f>
        <v>0</v>
      </c>
      <c r="I1708">
        <f>_xlfn.XLOOKUP($A1708,Load!$B:$B,Load!J:J,0,)</f>
        <v>0</v>
      </c>
      <c r="J1708">
        <f>_xlfn.XLOOKUP($A1708,Load!$B:$B,Load!K:K,0,)</f>
        <v>0</v>
      </c>
      <c r="K1708">
        <f>_xlfn.XLOOKUP($A1708,Load!$B:$B,Load!L:L,0,)</f>
        <v>0</v>
      </c>
      <c r="L1708">
        <f>_xlfn.XLOOKUP($A1708,Load!$B:$B,Load!M:M,0,)</f>
        <v>0</v>
      </c>
    </row>
    <row r="1709" spans="1:12" x14ac:dyDescent="0.25">
      <c r="B1709">
        <f>_xlfn.XLOOKUP($A1709,Load!$B:$B,Load!C:C,0,)</f>
        <v>0</v>
      </c>
      <c r="C1709">
        <f>_xlfn.XLOOKUP($A1709,Load!$B:$B,Load!D:D,0,)</f>
        <v>0</v>
      </c>
      <c r="D1709">
        <f>_xlfn.XLOOKUP($A1709,Load!$B:$B,Load!E:E,0,)</f>
        <v>0</v>
      </c>
      <c r="E1709">
        <f>_xlfn.XLOOKUP($A1709,Load!$B:$B,Load!F:F,0,)</f>
        <v>0</v>
      </c>
      <c r="F1709">
        <f>_xlfn.XLOOKUP($A1709,Load!$B:$B,Load!G:G,0,)</f>
        <v>0</v>
      </c>
      <c r="G1709">
        <f>_xlfn.XLOOKUP($A1709,Load!$B:$B,Load!H:H,0,)</f>
        <v>0</v>
      </c>
      <c r="H1709">
        <f>_xlfn.XLOOKUP($A1709,Load!$B:$B,Load!I:I,0,)</f>
        <v>0</v>
      </c>
      <c r="I1709">
        <f>_xlfn.XLOOKUP($A1709,Load!$B:$B,Load!J:J,0,)</f>
        <v>0</v>
      </c>
      <c r="J1709">
        <f>_xlfn.XLOOKUP($A1709,Load!$B:$B,Load!K:K,0,)</f>
        <v>0</v>
      </c>
      <c r="K1709">
        <f>_xlfn.XLOOKUP($A1709,Load!$B:$B,Load!L:L,0,)</f>
        <v>0</v>
      </c>
      <c r="L1709">
        <f>_xlfn.XLOOKUP($A1709,Load!$B:$B,Load!M:M,0,)</f>
        <v>0</v>
      </c>
    </row>
    <row r="1710" spans="1:12" x14ac:dyDescent="0.25">
      <c r="A1710" t="s">
        <v>210</v>
      </c>
      <c r="B1710" t="str">
        <f>_xlfn.XLOOKUP($A1710,Load!$B:$B,Load!C:C,0,)</f>
        <v>Mars Variety Pack</v>
      </c>
      <c r="C1710" t="str">
        <f>_xlfn.XLOOKUP($A1710,Load!$B:$B,Load!D:D,0,)</f>
        <v>Mix of Chocolate and Non-Chocolate Candy</v>
      </c>
      <c r="D1710" t="str">
        <f>_xlfn.XLOOKUP($A1710,Load!$B:$B,Load!E:E,0,)</f>
        <v>Variety / Mixed Flavors (Fruity, Sour, Seasonal Flavors)</v>
      </c>
      <c r="E1710" t="str">
        <f>_xlfn.XLOOKUP($A1710,Load!$B:$B,Load!F:F,0,)</f>
        <v>Mixed / Combo Packs (Gummy, Chewy, Taffy, etc.)</v>
      </c>
      <c r="F1710" t="str">
        <f>_xlfn.XLOOKUP($A1710,Load!$B:$B,Load!G:G,0,)</f>
        <v>Medium Multipack (40–80 ct)</v>
      </c>
      <c r="G1710" t="str">
        <f>_xlfn.XLOOKUP($A1710,Load!$B:$B,Load!H:H,0,)</f>
        <v>Stand-Up Bag</v>
      </c>
      <c r="H1710" t="str">
        <f>_xlfn.XLOOKUP($A1710,Load!$B:$B,Load!I:I,0,)</f>
        <v>Everyday Candy Shapes (like Original, Gummy bear, Fruit, Jewels, etc.)</v>
      </c>
      <c r="I1710" t="str">
        <f>_xlfn.XLOOKUP($A1710,Load!$B:$B,Load!J:J,0,)</f>
        <v>Seasonal Graphics (Like Bat, Ghost, Pumpkin, Fall Leaves, Eyeballs, etc.)</v>
      </c>
      <c r="J1710" t="str">
        <f>_xlfn.XLOOKUP($A1710,Load!$B:$B,Load!K:K,0,)</f>
        <v>Fun Size / Treat Size</v>
      </c>
      <c r="K1710" t="str">
        <f>_xlfn.XLOOKUP($A1710,Load!$B:$B,Load!L:L,0,)</f>
        <v>Regular/Original Wrapping</v>
      </c>
      <c r="L1710" t="str">
        <f>_xlfn.XLOOKUP($A1710,Load!$B:$B,Load!M:M,0,)</f>
        <v>Multiple Brands / Variety Flavors or Form</v>
      </c>
    </row>
    <row r="1711" spans="1:12" x14ac:dyDescent="0.25">
      <c r="A1711" t="s">
        <v>211</v>
      </c>
      <c r="B1711" t="str">
        <f>_xlfn.XLOOKUP($A1711,Load!$B:$B,Load!C:C,0,)</f>
        <v>Mars Variety Pack</v>
      </c>
      <c r="C1711" t="str">
        <f>_xlfn.XLOOKUP($A1711,Load!$B:$B,Load!D:D,0,)</f>
        <v>Mix of Chocolate and Non-Chocolate Candy</v>
      </c>
      <c r="D1711" t="str">
        <f>_xlfn.XLOOKUP($A1711,Load!$B:$B,Load!E:E,0,)</f>
        <v>Variety / Mixed Flavors (Fruity, Sour, Seasonal Flavors)</v>
      </c>
      <c r="E1711" t="str">
        <f>_xlfn.XLOOKUP($A1711,Load!$B:$B,Load!F:F,0,)</f>
        <v>Mixed / Combo Packs (Gummy, Chewy, Taffy, etc.)</v>
      </c>
      <c r="F1711" t="str">
        <f>_xlfn.XLOOKUP($A1711,Load!$B:$B,Load!G:G,0,)</f>
        <v>Medium Multipack (40–80 ct)</v>
      </c>
      <c r="G1711" t="str">
        <f>_xlfn.XLOOKUP($A1711,Load!$B:$B,Load!H:H,0,)</f>
        <v>Laydown Bag</v>
      </c>
      <c r="H1711" t="str">
        <f>_xlfn.XLOOKUP($A1711,Load!$B:$B,Load!I:I,0,)</f>
        <v>Everyday Candy Shapes (like Original, Gummy bear, Fruit, Jewels, etc.)</v>
      </c>
      <c r="I1711" t="str">
        <f>_xlfn.XLOOKUP($A1711,Load!$B:$B,Load!J:J,0,)</f>
        <v>Seasonal Graphics (Like Bat, Ghost, Pumpkin, Fall Leaves, Eyeballs, etc.)</v>
      </c>
      <c r="J1711" t="str">
        <f>_xlfn.XLOOKUP($A1711,Load!$B:$B,Load!K:K,0,)</f>
        <v>Fun Size / Treat Size</v>
      </c>
      <c r="K1711" t="str">
        <f>_xlfn.XLOOKUP($A1711,Load!$B:$B,Load!L:L,0,)</f>
        <v>Regular/Original Wrapping</v>
      </c>
      <c r="L1711" t="str">
        <f>_xlfn.XLOOKUP($A1711,Load!$B:$B,Load!M:M,0,)</f>
        <v>Multiple Brands / Variety Flavors or Form</v>
      </c>
    </row>
    <row r="1712" spans="1:12" x14ac:dyDescent="0.25">
      <c r="A1712" t="s">
        <v>134</v>
      </c>
      <c r="B1712" t="str">
        <f>_xlfn.XLOOKUP($A1712,Load!$B:$B,Load!C:C,0,)</f>
        <v>Hershey's Variety Pack</v>
      </c>
      <c r="C1712" t="str">
        <f>_xlfn.XLOOKUP($A1712,Load!$B:$B,Load!D:D,0,)</f>
        <v>Non-Chocolate Candy Only</v>
      </c>
      <c r="D1712" t="str">
        <f>_xlfn.XLOOKUP($A1712,Load!$B:$B,Load!E:E,0,)</f>
        <v>Variety / Mixed Flavors (Fruity, Sour, Seasonal Flavors)</v>
      </c>
      <c r="E1712" t="str">
        <f>_xlfn.XLOOKUP($A1712,Load!$B:$B,Load!F:F,0,)</f>
        <v>Mixed / Combo Packs (Gummy, Chewy, Taffy, etc.)</v>
      </c>
      <c r="F1712" t="str">
        <f>_xlfn.XLOOKUP($A1712,Load!$B:$B,Load!G:G,0,)</f>
        <v>Large Multipack (More than 80 ct)</v>
      </c>
      <c r="G1712" t="str">
        <f>_xlfn.XLOOKUP($A1712,Load!$B:$B,Load!H:H,0,)</f>
        <v>Stand-Up Bag</v>
      </c>
      <c r="H1712" t="str">
        <f>_xlfn.XLOOKUP($A1712,Load!$B:$B,Load!I:I,0,)</f>
        <v>Everyday Candy Shapes (like Original, Gummy bear, Fruit, Jewels, etc.)</v>
      </c>
      <c r="I1712" t="str">
        <f>_xlfn.XLOOKUP($A1712,Load!$B:$B,Load!J:J,0,)</f>
        <v>Seasonal Graphics (Like Bat, Ghost, Pumpkin, Fall Leaves, Eyeballs, etc.)</v>
      </c>
      <c r="J1712" t="str">
        <f>_xlfn.XLOOKUP($A1712,Load!$B:$B,Load!K:K,0,)</f>
        <v xml:space="preserve">Variety Candy Sizes </v>
      </c>
      <c r="K1712" t="str">
        <f>_xlfn.XLOOKUP($A1712,Load!$B:$B,Load!L:L,0,)</f>
        <v>Regular/Original Wrapping</v>
      </c>
      <c r="L1712" t="str">
        <f>_xlfn.XLOOKUP($A1712,Load!$B:$B,Load!M:M,0,)</f>
        <v>Multiple Brands / Variety Flavors or Form</v>
      </c>
    </row>
    <row r="1713" spans="1:12" x14ac:dyDescent="0.25">
      <c r="B1713">
        <f>_xlfn.XLOOKUP($A1713,Load!$B:$B,Load!C:C,0,)</f>
        <v>0</v>
      </c>
      <c r="C1713">
        <f>_xlfn.XLOOKUP($A1713,Load!$B:$B,Load!D:D,0,)</f>
        <v>0</v>
      </c>
      <c r="D1713">
        <f>_xlfn.XLOOKUP($A1713,Load!$B:$B,Load!E:E,0,)</f>
        <v>0</v>
      </c>
      <c r="E1713">
        <f>_xlfn.XLOOKUP($A1713,Load!$B:$B,Load!F:F,0,)</f>
        <v>0</v>
      </c>
      <c r="F1713">
        <f>_xlfn.XLOOKUP($A1713,Load!$B:$B,Load!G:G,0,)</f>
        <v>0</v>
      </c>
      <c r="G1713">
        <f>_xlfn.XLOOKUP($A1713,Load!$B:$B,Load!H:H,0,)</f>
        <v>0</v>
      </c>
      <c r="H1713">
        <f>_xlfn.XLOOKUP($A1713,Load!$B:$B,Load!I:I,0,)</f>
        <v>0</v>
      </c>
      <c r="I1713">
        <f>_xlfn.XLOOKUP($A1713,Load!$B:$B,Load!J:J,0,)</f>
        <v>0</v>
      </c>
      <c r="J1713">
        <f>_xlfn.XLOOKUP($A1713,Load!$B:$B,Load!K:K,0,)</f>
        <v>0</v>
      </c>
      <c r="K1713">
        <f>_xlfn.XLOOKUP($A1713,Load!$B:$B,Load!L:L,0,)</f>
        <v>0</v>
      </c>
      <c r="L1713">
        <f>_xlfn.XLOOKUP($A1713,Load!$B:$B,Load!M:M,0,)</f>
        <v>0</v>
      </c>
    </row>
    <row r="1714" spans="1:12" x14ac:dyDescent="0.25">
      <c r="A1714" t="s">
        <v>254</v>
      </c>
      <c r="B1714" t="str">
        <f>_xlfn.XLOOKUP($A1714,Load!$B:$B,Load!C:C,0,)</f>
        <v>Skittles</v>
      </c>
      <c r="C1714" t="str">
        <f>_xlfn.XLOOKUP($A1714,Load!$B:$B,Load!D:D,0,)</f>
        <v>Non-Chocolate Candy Only</v>
      </c>
      <c r="D1714" t="str">
        <f>_xlfn.XLOOKUP($A1714,Load!$B:$B,Load!E:E,0,)</f>
        <v>Variety / Mixed Flavors (Fruity, Sour, Seasonal Flavors)</v>
      </c>
      <c r="E1714" t="str">
        <f>_xlfn.XLOOKUP($A1714,Load!$B:$B,Load!F:F,0,)</f>
        <v>Candy Pieces / Bites</v>
      </c>
      <c r="F1714" t="str">
        <f>_xlfn.XLOOKUP($A1714,Load!$B:$B,Load!G:G,0,)</f>
        <v>Medium Multipack (40–80 ct)</v>
      </c>
      <c r="G1714" t="str">
        <f>_xlfn.XLOOKUP($A1714,Load!$B:$B,Load!H:H,0,)</f>
        <v>Stand-Up Bag</v>
      </c>
      <c r="H1714" t="str">
        <f>_xlfn.XLOOKUP($A1714,Load!$B:$B,Load!I:I,0,)</f>
        <v>Everyday Candy Shapes (like Original, Gummy bear, Fruit, Jewels, etc.)</v>
      </c>
      <c r="I1714" t="str">
        <f>_xlfn.XLOOKUP($A1714,Load!$B:$B,Load!J:J,0,)</f>
        <v>Everyday Graphics</v>
      </c>
      <c r="J1714" t="str">
        <f>_xlfn.XLOOKUP($A1714,Load!$B:$B,Load!K:K,0,)</f>
        <v>Small Pieces (Tiny bite size candies)</v>
      </c>
      <c r="K1714" t="str">
        <f>_xlfn.XLOOKUP($A1714,Load!$B:$B,Load!L:L,0,)</f>
        <v>Regular/Original Wrapping</v>
      </c>
      <c r="L1714" t="str">
        <f>_xlfn.XLOOKUP($A1714,Load!$B:$B,Load!M:M,0,)</f>
        <v>Single Brand / Variety Flavors or Form</v>
      </c>
    </row>
    <row r="1715" spans="1:12" x14ac:dyDescent="0.25">
      <c r="A1715" t="s">
        <v>285</v>
      </c>
      <c r="B1715" t="str">
        <f>_xlfn.XLOOKUP($A1715,Load!$B:$B,Load!C:C,0,)</f>
        <v>Starburst</v>
      </c>
      <c r="C1715" t="str">
        <f>_xlfn.XLOOKUP($A1715,Load!$B:$B,Load!D:D,0,)</f>
        <v>Non-Chocolate Candy Only</v>
      </c>
      <c r="D1715" t="str">
        <f>_xlfn.XLOOKUP($A1715,Load!$B:$B,Load!E:E,0,)</f>
        <v>Fruit Flavor (Cherry, Grape, Apple, Citrus, Tropical Fruit)</v>
      </c>
      <c r="E1715" t="str">
        <f>_xlfn.XLOOKUP($A1715,Load!$B:$B,Load!F:F,0,)</f>
        <v>Chewy</v>
      </c>
      <c r="F1715" t="str">
        <f>_xlfn.XLOOKUP($A1715,Load!$B:$B,Load!G:G,0,)</f>
        <v>Small Multipack (Less than 40 ct)</v>
      </c>
      <c r="G1715" t="str">
        <f>_xlfn.XLOOKUP($A1715,Load!$B:$B,Load!H:H,0,)</f>
        <v>Laydown Bag</v>
      </c>
      <c r="H1715" t="str">
        <f>_xlfn.XLOOKUP($A1715,Load!$B:$B,Load!I:I,0,)</f>
        <v>Everyday Candy Shapes (like Original, Gummy bear, Fruit, Jewels, etc.)</v>
      </c>
      <c r="I1715" t="str">
        <f>_xlfn.XLOOKUP($A1715,Load!$B:$B,Load!J:J,0,)</f>
        <v>Everyday Graphics</v>
      </c>
      <c r="J1715" t="str">
        <f>_xlfn.XLOOKUP($A1715,Load!$B:$B,Load!K:K,0,)</f>
        <v>Small Pieces (Tiny bite size candies)</v>
      </c>
      <c r="K1715" t="str">
        <f>_xlfn.XLOOKUP($A1715,Load!$B:$B,Load!L:L,0,)</f>
        <v>Regular/Original Wrapping</v>
      </c>
      <c r="L1715" t="str">
        <f>_xlfn.XLOOKUP($A1715,Load!$B:$B,Load!M:M,0,)</f>
        <v>Single Brand / Variety Flavors or Form</v>
      </c>
    </row>
    <row r="1716" spans="1:12" x14ac:dyDescent="0.25">
      <c r="A1716" t="s">
        <v>121</v>
      </c>
      <c r="B1716" t="str">
        <f>_xlfn.XLOOKUP($A1716,Load!$B:$B,Load!C:C,0,)</f>
        <v>HARIBO</v>
      </c>
      <c r="C1716" t="str">
        <f>_xlfn.XLOOKUP($A1716,Load!$B:$B,Load!D:D,0,)</f>
        <v>Non-Chocolate Candy Only</v>
      </c>
      <c r="D1716" t="str">
        <f>_xlfn.XLOOKUP($A1716,Load!$B:$B,Load!E:E,0,)</f>
        <v>Variety / Mixed Flavors (Fruity, Sour, Seasonal Flavors)</v>
      </c>
      <c r="E1716" t="str">
        <f>_xlfn.XLOOKUP($A1716,Load!$B:$B,Load!F:F,0,)</f>
        <v>Gummy</v>
      </c>
      <c r="F1716" t="str">
        <f>_xlfn.XLOOKUP($A1716,Load!$B:$B,Load!G:G,0,)</f>
        <v>Large Multipack (More than 80 ct)</v>
      </c>
      <c r="G1716" t="str">
        <f>_xlfn.XLOOKUP($A1716,Load!$B:$B,Load!H:H,0,)</f>
        <v>Stand-Up Bag</v>
      </c>
      <c r="H1716" t="str">
        <f>_xlfn.XLOOKUP($A1716,Load!$B:$B,Load!I:I,0,)</f>
        <v>Seasonal Shapes (like pumpkins, candy corn, ghost, bats, etc.)</v>
      </c>
      <c r="I1716" t="str">
        <f>_xlfn.XLOOKUP($A1716,Load!$B:$B,Load!J:J,0,)</f>
        <v>Seasonal Graphics (Like Bat, Ghost, Pumpkin, Fall Leaves, Eyeballs, etc.)</v>
      </c>
      <c r="J1716" t="str">
        <f>_xlfn.XLOOKUP($A1716,Load!$B:$B,Load!K:K,0,)</f>
        <v>Fun Size / Treat Size</v>
      </c>
      <c r="K1716" t="str">
        <f>_xlfn.XLOOKUP($A1716,Load!$B:$B,Load!L:L,0,)</f>
        <v>Regular/Original Wrapping</v>
      </c>
      <c r="L1716" t="str">
        <f>_xlfn.XLOOKUP($A1716,Load!$B:$B,Load!M:M,0,)</f>
        <v>Multiple Brands / Variety Flavors or Form</v>
      </c>
    </row>
    <row r="1717" spans="1:12" x14ac:dyDescent="0.25">
      <c r="B1717">
        <f>_xlfn.XLOOKUP($A1717,Load!$B:$B,Load!C:C,0,)</f>
        <v>0</v>
      </c>
      <c r="C1717">
        <f>_xlfn.XLOOKUP($A1717,Load!$B:$B,Load!D:D,0,)</f>
        <v>0</v>
      </c>
      <c r="D1717">
        <f>_xlfn.XLOOKUP($A1717,Load!$B:$B,Load!E:E,0,)</f>
        <v>0</v>
      </c>
      <c r="E1717">
        <f>_xlfn.XLOOKUP($A1717,Load!$B:$B,Load!F:F,0,)</f>
        <v>0</v>
      </c>
      <c r="F1717">
        <f>_xlfn.XLOOKUP($A1717,Load!$B:$B,Load!G:G,0,)</f>
        <v>0</v>
      </c>
      <c r="G1717">
        <f>_xlfn.XLOOKUP($A1717,Load!$B:$B,Load!H:H,0,)</f>
        <v>0</v>
      </c>
      <c r="H1717">
        <f>_xlfn.XLOOKUP($A1717,Load!$B:$B,Load!I:I,0,)</f>
        <v>0</v>
      </c>
      <c r="I1717">
        <f>_xlfn.XLOOKUP($A1717,Load!$B:$B,Load!J:J,0,)</f>
        <v>0</v>
      </c>
      <c r="J1717">
        <f>_xlfn.XLOOKUP($A1717,Load!$B:$B,Load!K:K,0,)</f>
        <v>0</v>
      </c>
      <c r="K1717">
        <f>_xlfn.XLOOKUP($A1717,Load!$B:$B,Load!L:L,0,)</f>
        <v>0</v>
      </c>
      <c r="L1717">
        <f>_xlfn.XLOOKUP($A1717,Load!$B:$B,Load!M:M,0,)</f>
        <v>0</v>
      </c>
    </row>
    <row r="1718" spans="1:12" x14ac:dyDescent="0.25">
      <c r="A1718" t="s">
        <v>186</v>
      </c>
      <c r="B1718" t="str">
        <f>_xlfn.XLOOKUP($A1718,Load!$B:$B,Load!C:C,0,)</f>
        <v>Mars Variety Pack</v>
      </c>
      <c r="C1718" t="str">
        <f>_xlfn.XLOOKUP($A1718,Load!$B:$B,Load!D:D,0,)</f>
        <v>Mix of Chocolate and Non-Chocolate Candy</v>
      </c>
      <c r="D1718" t="str">
        <f>_xlfn.XLOOKUP($A1718,Load!$B:$B,Load!E:E,0,)</f>
        <v>Variety / Mixed Flavors (Fruity, Sour, Seasonal Flavors)</v>
      </c>
      <c r="E1718" t="str">
        <f>_xlfn.XLOOKUP($A1718,Load!$B:$B,Load!F:F,0,)</f>
        <v>Mixed / Combo Packs (Gummy, Chewy, Taffy, etc.)</v>
      </c>
      <c r="F1718" t="str">
        <f>_xlfn.XLOOKUP($A1718,Load!$B:$B,Load!G:G,0,)</f>
        <v>Large Multipack (More than 80 ct)</v>
      </c>
      <c r="G1718" t="str">
        <f>_xlfn.XLOOKUP($A1718,Load!$B:$B,Load!H:H,0,)</f>
        <v>Stand-Up Bag</v>
      </c>
      <c r="H1718" t="str">
        <f>_xlfn.XLOOKUP($A1718,Load!$B:$B,Load!I:I,0,)</f>
        <v>Everyday Candy Shapes (like Original, Gummy bear, Fruit, Jewels, etc.)</v>
      </c>
      <c r="I1718" t="str">
        <f>_xlfn.XLOOKUP($A1718,Load!$B:$B,Load!J:J,0,)</f>
        <v>Seasonal Graphics (Like Bat, Ghost, Pumpkin, Fall Leaves, Eyeballs, etc.)</v>
      </c>
      <c r="J1718" t="str">
        <f>_xlfn.XLOOKUP($A1718,Load!$B:$B,Load!K:K,0,)</f>
        <v>Fun Size / Treat Size</v>
      </c>
      <c r="K1718" t="str">
        <f>_xlfn.XLOOKUP($A1718,Load!$B:$B,Load!L:L,0,)</f>
        <v>Regular/Original Wrapping</v>
      </c>
      <c r="L1718" t="str">
        <f>_xlfn.XLOOKUP($A1718,Load!$B:$B,Load!M:M,0,)</f>
        <v>Multiple Brands / Variety Flavors or Form</v>
      </c>
    </row>
    <row r="1719" spans="1:12" x14ac:dyDescent="0.25">
      <c r="A1719" t="s">
        <v>185</v>
      </c>
      <c r="B1719" t="str">
        <f>_xlfn.XLOOKUP($A1719,Load!$B:$B,Load!C:C,0,)</f>
        <v>Mars Variety Pack</v>
      </c>
      <c r="C1719" t="str">
        <f>_xlfn.XLOOKUP($A1719,Load!$B:$B,Load!D:D,0,)</f>
        <v>Mix of Chocolate and Non-Chocolate Candy</v>
      </c>
      <c r="D1719" t="str">
        <f>_xlfn.XLOOKUP($A1719,Load!$B:$B,Load!E:E,0,)</f>
        <v>Variety / Mixed Flavors (Fruity, Sour, Seasonal Flavors)</v>
      </c>
      <c r="E1719" t="str">
        <f>_xlfn.XLOOKUP($A1719,Load!$B:$B,Load!F:F,0,)</f>
        <v>Mixed / Combo Packs (Gummy, Chewy, Taffy, etc.)</v>
      </c>
      <c r="F1719" t="str">
        <f>_xlfn.XLOOKUP($A1719,Load!$B:$B,Load!G:G,0,)</f>
        <v>Large Multipack (More than 80 ct)</v>
      </c>
      <c r="G1719" t="str">
        <f>_xlfn.XLOOKUP($A1719,Load!$B:$B,Load!H:H,0,)</f>
        <v>Stand-Up Bag</v>
      </c>
      <c r="H1719" t="str">
        <f>_xlfn.XLOOKUP($A1719,Load!$B:$B,Load!I:I,0,)</f>
        <v>Everyday Candy Shapes (like Original, Gummy bear, Fruit, Jewels, etc.)</v>
      </c>
      <c r="I1719" t="str">
        <f>_xlfn.XLOOKUP($A1719,Load!$B:$B,Load!J:J,0,)</f>
        <v>Seasonal Graphics (Like Bat, Ghost, Pumpkin, Fall Leaves, Eyeballs, etc.)</v>
      </c>
      <c r="J1719" t="str">
        <f>_xlfn.XLOOKUP($A1719,Load!$B:$B,Load!K:K,0,)</f>
        <v>Fun Size / Treat Size</v>
      </c>
      <c r="K1719" t="str">
        <f>_xlfn.XLOOKUP($A1719,Load!$B:$B,Load!L:L,0,)</f>
        <v>Regular/Original Wrapping</v>
      </c>
      <c r="L1719" t="str">
        <f>_xlfn.XLOOKUP($A1719,Load!$B:$B,Load!M:M,0,)</f>
        <v>Multiple Brands / Variety Flavors or Form</v>
      </c>
    </row>
    <row r="1720" spans="1:12" x14ac:dyDescent="0.25">
      <c r="A1720" t="s">
        <v>122</v>
      </c>
      <c r="B1720" t="str">
        <f>_xlfn.XLOOKUP($A1720,Load!$B:$B,Load!C:C,0,)</f>
        <v>HARIBO</v>
      </c>
      <c r="C1720" t="str">
        <f>_xlfn.XLOOKUP($A1720,Load!$B:$B,Load!D:D,0,)</f>
        <v>Non-Chocolate Candy Only</v>
      </c>
      <c r="D1720" t="str">
        <f>_xlfn.XLOOKUP($A1720,Load!$B:$B,Load!E:E,0,)</f>
        <v>Variety / Mixed Flavors (Fruity, Sour, Seasonal Flavors)</v>
      </c>
      <c r="E1720" t="str">
        <f>_xlfn.XLOOKUP($A1720,Load!$B:$B,Load!F:F,0,)</f>
        <v>Gummy</v>
      </c>
      <c r="F1720" t="str">
        <f>_xlfn.XLOOKUP($A1720,Load!$B:$B,Load!G:G,0,)</f>
        <v>Medium Multipack (40–80 ct)</v>
      </c>
      <c r="G1720" t="str">
        <f>_xlfn.XLOOKUP($A1720,Load!$B:$B,Load!H:H,0,)</f>
        <v>Laydown Bag</v>
      </c>
      <c r="H1720" t="str">
        <f>_xlfn.XLOOKUP($A1720,Load!$B:$B,Load!I:I,0,)</f>
        <v>Seasonal Shapes (like pumpkins, candy corn, ghost, bats, etc.)</v>
      </c>
      <c r="I1720" t="str">
        <f>_xlfn.XLOOKUP($A1720,Load!$B:$B,Load!J:J,0,)</f>
        <v>Seasonal Graphics (Like Bat, Ghost, Pumpkin, Fall Leaves, Eyeballs, etc.)</v>
      </c>
      <c r="J1720" t="str">
        <f>_xlfn.XLOOKUP($A1720,Load!$B:$B,Load!K:K,0,)</f>
        <v>Small Pieces (Tiny bite size candies)</v>
      </c>
      <c r="K1720" t="str">
        <f>_xlfn.XLOOKUP($A1720,Load!$B:$B,Load!L:L,0,)</f>
        <v>Regular/Original Wrapping</v>
      </c>
      <c r="L1720" t="str">
        <f>_xlfn.XLOOKUP($A1720,Load!$B:$B,Load!M:M,0,)</f>
        <v>Multiple Brands / Variety Flavors or Form</v>
      </c>
    </row>
    <row r="1721" spans="1:12" x14ac:dyDescent="0.25">
      <c r="A1721" t="s">
        <v>65</v>
      </c>
      <c r="B1721" t="str">
        <f>_xlfn.XLOOKUP($A1721,Load!$B:$B,Load!C:C,0,)</f>
        <v>Dots</v>
      </c>
      <c r="C1721" t="str">
        <f>_xlfn.XLOOKUP($A1721,Load!$B:$B,Load!D:D,0,)</f>
        <v>Non-Chocolate Candy Only</v>
      </c>
      <c r="D1721" t="str">
        <f>_xlfn.XLOOKUP($A1721,Load!$B:$B,Load!E:E,0,)</f>
        <v>Variety / Mixed Flavors (Fruity, Sour, Seasonal Flavors)</v>
      </c>
      <c r="E1721" t="str">
        <f>_xlfn.XLOOKUP($A1721,Load!$B:$B,Load!F:F,0,)</f>
        <v>Candy Pieces / Bites</v>
      </c>
      <c r="F1721" t="str">
        <f>_xlfn.XLOOKUP($A1721,Load!$B:$B,Load!G:G,0,)</f>
        <v>Medium Multipack (40–80 ct)</v>
      </c>
      <c r="G1721" t="str">
        <f>_xlfn.XLOOKUP($A1721,Load!$B:$B,Load!H:H,0,)</f>
        <v>Box (theatre box, gift box, carton)</v>
      </c>
      <c r="H1721" t="str">
        <f>_xlfn.XLOOKUP($A1721,Load!$B:$B,Load!I:I,0,)</f>
        <v>Seasonal Shapes (like pumpkins, candy corn, ghost, bats, etc.)</v>
      </c>
      <c r="I1721" t="str">
        <f>_xlfn.XLOOKUP($A1721,Load!$B:$B,Load!J:J,0,)</f>
        <v>Seasonal Graphics (Like Bat, Ghost, Pumpkin, Fall Leaves, Eyeballs, etc.)</v>
      </c>
      <c r="J1721" t="str">
        <f>_xlfn.XLOOKUP($A1721,Load!$B:$B,Load!K:K,0,)</f>
        <v>Fun Size / Treat Size</v>
      </c>
      <c r="K1721" t="str">
        <f>_xlfn.XLOOKUP($A1721,Load!$B:$B,Load!L:L,0,)</f>
        <v>Regular/Original Wrapping</v>
      </c>
      <c r="L1721" t="str">
        <f>_xlfn.XLOOKUP($A1721,Load!$B:$B,Load!M:M,0,)</f>
        <v>Single Brand / Variety Flavors or Form</v>
      </c>
    </row>
    <row r="1722" spans="1:12" x14ac:dyDescent="0.25">
      <c r="A1722" t="s">
        <v>149</v>
      </c>
      <c r="B1722" t="str">
        <f>_xlfn.XLOOKUP($A1722,Load!$B:$B,Load!C:C,0,)</f>
        <v>Jolly Rancher</v>
      </c>
      <c r="C1722" t="str">
        <f>_xlfn.XLOOKUP($A1722,Load!$B:$B,Load!D:D,0,)</f>
        <v>Non-Chocolate Candy Only</v>
      </c>
      <c r="D1722" t="str">
        <f>_xlfn.XLOOKUP($A1722,Load!$B:$B,Load!E:E,0,)</f>
        <v>Fruit Flavor (Cherry, Grape, Apple, Citrus, Tropical Fruit)</v>
      </c>
      <c r="E1722" t="str">
        <f>_xlfn.XLOOKUP($A1722,Load!$B:$B,Load!F:F,0,)</f>
        <v>Gummy</v>
      </c>
      <c r="F1722" t="str">
        <f>_xlfn.XLOOKUP($A1722,Load!$B:$B,Load!G:G,0,)</f>
        <v>Small Multipack (Less than 40 ct)</v>
      </c>
      <c r="G1722" t="str">
        <f>_xlfn.XLOOKUP($A1722,Load!$B:$B,Load!H:H,0,)</f>
        <v>Laydown Bag</v>
      </c>
      <c r="H1722" t="str">
        <f>_xlfn.XLOOKUP($A1722,Load!$B:$B,Load!I:I,0,)</f>
        <v>Everyday Candy Shapes (like Original, Gummy bear, Fruit, Jewels, etc.)</v>
      </c>
      <c r="I1722" t="str">
        <f>_xlfn.XLOOKUP($A1722,Load!$B:$B,Load!J:J,0,)</f>
        <v>Everyday Graphics</v>
      </c>
      <c r="J1722" t="str">
        <f>_xlfn.XLOOKUP($A1722,Load!$B:$B,Load!K:K,0,)</f>
        <v>Fun Size / Treat Size</v>
      </c>
      <c r="K1722" t="str">
        <f>_xlfn.XLOOKUP($A1722,Load!$B:$B,Load!L:L,0,)</f>
        <v>Regular/Original Wrapping</v>
      </c>
      <c r="L1722" t="str">
        <f>_xlfn.XLOOKUP($A1722,Load!$B:$B,Load!M:M,0,)</f>
        <v>Single Brand / Variety Flavors or Form</v>
      </c>
    </row>
    <row r="1723" spans="1:12" x14ac:dyDescent="0.25">
      <c r="A1723" t="s">
        <v>8</v>
      </c>
      <c r="B1723" t="str">
        <f>_xlfn.XLOOKUP($A1723,Load!$B:$B,Load!C:C,0,)</f>
        <v>Airheads</v>
      </c>
      <c r="C1723" t="str">
        <f>_xlfn.XLOOKUP($A1723,Load!$B:$B,Load!D:D,0,)</f>
        <v>Non-Chocolate Candy Only</v>
      </c>
      <c r="D1723" t="str">
        <f>_xlfn.XLOOKUP($A1723,Load!$B:$B,Load!E:E,0,)</f>
        <v>Fruit Flavor (Cherry, Grape, Apple, Citrus, Tropical Fruit)</v>
      </c>
      <c r="E1723" t="str">
        <f>_xlfn.XLOOKUP($A1723,Load!$B:$B,Load!F:F,0,)</f>
        <v>Chewy</v>
      </c>
      <c r="F1723" t="str">
        <f>_xlfn.XLOOKUP($A1723,Load!$B:$B,Load!G:G,0,)</f>
        <v>Small Multipack (Less than 40 ct)</v>
      </c>
      <c r="G1723" t="str">
        <f>_xlfn.XLOOKUP($A1723,Load!$B:$B,Load!H:H,0,)</f>
        <v>Laydown Bag</v>
      </c>
      <c r="H1723" t="str">
        <f>_xlfn.XLOOKUP($A1723,Load!$B:$B,Load!I:I,0,)</f>
        <v>Everyday Candy Shapes (like Original, Gummy bear, Fruit, Jewels, etc.)</v>
      </c>
      <c r="I1723" t="str">
        <f>_xlfn.XLOOKUP($A1723,Load!$B:$B,Load!J:J,0,)</f>
        <v>Everyday Graphics</v>
      </c>
      <c r="J1723" t="str">
        <f>_xlfn.XLOOKUP($A1723,Load!$B:$B,Load!K:K,0,)</f>
        <v>Fun Size / Treat Size</v>
      </c>
      <c r="K1723" t="str">
        <f>_xlfn.XLOOKUP($A1723,Load!$B:$B,Load!L:L,0,)</f>
        <v>Regular/Original Wrapping</v>
      </c>
      <c r="L1723" t="str">
        <f>_xlfn.XLOOKUP($A1723,Load!$B:$B,Load!M:M,0,)</f>
        <v>Single Brand / Variety Flavors or Form</v>
      </c>
    </row>
    <row r="1724" spans="1:12" x14ac:dyDescent="0.25">
      <c r="A1724" t="s">
        <v>221</v>
      </c>
      <c r="B1724" t="str">
        <f>_xlfn.XLOOKUP($A1724,Load!$B:$B,Load!C:C,0,)</f>
        <v>Hershey's Variety Pack + Haribo</v>
      </c>
      <c r="C1724" t="str">
        <f>_xlfn.XLOOKUP($A1724,Load!$B:$B,Load!D:D,0,)</f>
        <v>Mix of Chocolate and Non-Chocolate Candy</v>
      </c>
      <c r="D1724" t="str">
        <f>_xlfn.XLOOKUP($A1724,Load!$B:$B,Load!E:E,0,)</f>
        <v>Variety / Mixed Flavors (Fruity, Sour, Seasonal Flavors)</v>
      </c>
      <c r="E1724" t="str">
        <f>_xlfn.XLOOKUP($A1724,Load!$B:$B,Load!F:F,0,)</f>
        <v>Mixed / Combo Packs (Gummy, Chewy, Taffy, etc.)</v>
      </c>
      <c r="F1724" t="str">
        <f>_xlfn.XLOOKUP($A1724,Load!$B:$B,Load!G:G,0,)</f>
        <v>Large Multipack (More than 80 ct)</v>
      </c>
      <c r="G1724" t="str">
        <f>_xlfn.XLOOKUP($A1724,Load!$B:$B,Load!H:H,0,)</f>
        <v>Stand-Up Bag</v>
      </c>
      <c r="H1724" t="str">
        <f>_xlfn.XLOOKUP($A1724,Load!$B:$B,Load!I:I,0,)</f>
        <v>Everyday Candy Shapes (like Original, Gummy bear, Fruit, Jewels, etc.)</v>
      </c>
      <c r="I1724" t="str">
        <f>_xlfn.XLOOKUP($A1724,Load!$B:$B,Load!J:J,0,)</f>
        <v>Seasonal Graphics (Like Bat, Ghost, Pumpkin, Fall Leaves, Eyeballs, etc.)</v>
      </c>
      <c r="J1724" t="str">
        <f>_xlfn.XLOOKUP($A1724,Load!$B:$B,Load!K:K,0,)</f>
        <v xml:space="preserve">Variety Candy Sizes </v>
      </c>
      <c r="K1724" t="str">
        <f>_xlfn.XLOOKUP($A1724,Load!$B:$B,Load!L:L,0,)</f>
        <v>Regular/Original Wrapping</v>
      </c>
      <c r="L1724" t="str">
        <f>_xlfn.XLOOKUP($A1724,Load!$B:$B,Load!M:M,0,)</f>
        <v>Multiple Brands / Variety Flavors or Form</v>
      </c>
    </row>
    <row r="1725" spans="1:12" x14ac:dyDescent="0.25">
      <c r="A1725" t="s">
        <v>326</v>
      </c>
      <c r="B1725" t="str">
        <f>_xlfn.XLOOKUP($A1725,Load!$B:$B,Load!C:C,0,)</f>
        <v>Mondelez Variety Pack</v>
      </c>
      <c r="C1725" t="str">
        <f>_xlfn.XLOOKUP($A1725,Load!$B:$B,Load!D:D,0,)</f>
        <v>Mix of Chocolate and Non-Chocolate Candy</v>
      </c>
      <c r="D1725" t="str">
        <f>_xlfn.XLOOKUP($A1725,Load!$B:$B,Load!E:E,0,)</f>
        <v>Variety / Mixed Flavors (Fruity, Sour, Seasonal Flavors)</v>
      </c>
      <c r="E1725" t="str">
        <f>_xlfn.XLOOKUP($A1725,Load!$B:$B,Load!F:F,0,)</f>
        <v>Mixed / Combo Packs (Gummy, Chewy, Taffy, etc.)</v>
      </c>
      <c r="F1725" t="str">
        <f>_xlfn.XLOOKUP($A1725,Load!$B:$B,Load!G:G,0,)</f>
        <v>Medium Multipack (40–80 ct)</v>
      </c>
      <c r="G1725" t="str">
        <f>_xlfn.XLOOKUP($A1725,Load!$B:$B,Load!H:H,0,)</f>
        <v>Stand-Up Bag</v>
      </c>
      <c r="H1725" t="str">
        <f>_xlfn.XLOOKUP($A1725,Load!$B:$B,Load!I:I,0,)</f>
        <v>Everyday Candy Shapes (like Original, Gummy bear, Fruit, Jewels, etc.)</v>
      </c>
      <c r="I1725" t="str">
        <f>_xlfn.XLOOKUP($A1725,Load!$B:$B,Load!J:J,0,)</f>
        <v>Seasonal Graphics (Like Bat, Ghost, Pumpkin, Fall Leaves, Eyeballs, etc.)</v>
      </c>
      <c r="J1725" t="str">
        <f>_xlfn.XLOOKUP($A1725,Load!$B:$B,Load!K:K,0,)</f>
        <v xml:space="preserve">Variety Candy Sizes </v>
      </c>
      <c r="K1725" t="str">
        <f>_xlfn.XLOOKUP($A1725,Load!$B:$B,Load!L:L,0,)</f>
        <v>Regular/Original Wrapping</v>
      </c>
      <c r="L1725" t="str">
        <f>_xlfn.XLOOKUP($A1725,Load!$B:$B,Load!M:M,0,)</f>
        <v>Multiple Brands / Variety Flavors or Form</v>
      </c>
    </row>
    <row r="1726" spans="1:12" x14ac:dyDescent="0.25">
      <c r="A1726" t="s">
        <v>232</v>
      </c>
      <c r="B1726" t="str">
        <f>_xlfn.XLOOKUP($A1726,Load!$B:$B,Load!C:C,0,)</f>
        <v>Nerds</v>
      </c>
      <c r="C1726" t="str">
        <f>_xlfn.XLOOKUP($A1726,Load!$B:$B,Load!D:D,0,)</f>
        <v>Non-Chocolate Candy Only</v>
      </c>
      <c r="D1726" t="str">
        <f>_xlfn.XLOOKUP($A1726,Load!$B:$B,Load!E:E,0,)</f>
        <v>Berry Based (Raspberry, Strawberry, Medley, etc.)</v>
      </c>
      <c r="E1726" t="str">
        <f>_xlfn.XLOOKUP($A1726,Load!$B:$B,Load!F:F,0,)</f>
        <v>Candy Pieces / Bites</v>
      </c>
      <c r="F1726" t="str">
        <f>_xlfn.XLOOKUP($A1726,Load!$B:$B,Load!G:G,0,)</f>
        <v>Single Pack</v>
      </c>
      <c r="G1726" t="str">
        <f>_xlfn.XLOOKUP($A1726,Load!$B:$B,Load!H:H,0,)</f>
        <v>Laydown Bag</v>
      </c>
      <c r="H1726" t="str">
        <f>_xlfn.XLOOKUP($A1726,Load!$B:$B,Load!I:I,0,)</f>
        <v>Everyday Candy Shapes (like Original, Gummy bear, Fruit, Jewels, etc.)</v>
      </c>
      <c r="I1726" t="str">
        <f>_xlfn.XLOOKUP($A1726,Load!$B:$B,Load!J:J,0,)</f>
        <v>Seasonal Graphics (Like Bat, Ghost, Pumpkin, Fall Leaves, Eyeballs, etc.)</v>
      </c>
      <c r="J1726" t="str">
        <f>_xlfn.XLOOKUP($A1726,Load!$B:$B,Load!K:K,0,)</f>
        <v>Small Pieces (Tiny bite size candies)</v>
      </c>
      <c r="K1726" t="str">
        <f>_xlfn.XLOOKUP($A1726,Load!$B:$B,Load!L:L,0,)</f>
        <v>Unwrapped</v>
      </c>
      <c r="L1726" t="str">
        <f>_xlfn.XLOOKUP($A1726,Load!$B:$B,Load!M:M,0,)</f>
        <v>Single Brand / Variety Flavors or Form</v>
      </c>
    </row>
    <row r="1727" spans="1:12" x14ac:dyDescent="0.25">
      <c r="B1727">
        <f>_xlfn.XLOOKUP($A1727,Load!$B:$B,Load!C:C,0,)</f>
        <v>0</v>
      </c>
      <c r="C1727">
        <f>_xlfn.XLOOKUP($A1727,Load!$B:$B,Load!D:D,0,)</f>
        <v>0</v>
      </c>
      <c r="D1727">
        <f>_xlfn.XLOOKUP($A1727,Load!$B:$B,Load!E:E,0,)</f>
        <v>0</v>
      </c>
      <c r="E1727">
        <f>_xlfn.XLOOKUP($A1727,Load!$B:$B,Load!F:F,0,)</f>
        <v>0</v>
      </c>
      <c r="F1727">
        <f>_xlfn.XLOOKUP($A1727,Load!$B:$B,Load!G:G,0,)</f>
        <v>0</v>
      </c>
      <c r="G1727">
        <f>_xlfn.XLOOKUP($A1727,Load!$B:$B,Load!H:H,0,)</f>
        <v>0</v>
      </c>
      <c r="H1727">
        <f>_xlfn.XLOOKUP($A1727,Load!$B:$B,Load!I:I,0,)</f>
        <v>0</v>
      </c>
      <c r="I1727">
        <f>_xlfn.XLOOKUP($A1727,Load!$B:$B,Load!J:J,0,)</f>
        <v>0</v>
      </c>
      <c r="J1727">
        <f>_xlfn.XLOOKUP($A1727,Load!$B:$B,Load!K:K,0,)</f>
        <v>0</v>
      </c>
      <c r="K1727">
        <f>_xlfn.XLOOKUP($A1727,Load!$B:$B,Load!L:L,0,)</f>
        <v>0</v>
      </c>
      <c r="L1727">
        <f>_xlfn.XLOOKUP($A1727,Load!$B:$B,Load!M:M,0,)</f>
        <v>0</v>
      </c>
    </row>
    <row r="1728" spans="1:12" x14ac:dyDescent="0.25">
      <c r="A1728" t="s">
        <v>301</v>
      </c>
      <c r="B1728" t="str">
        <f>_xlfn.XLOOKUP($A1728,Load!$B:$B,Load!C:C,0,)</f>
        <v>Twizzlers</v>
      </c>
      <c r="C1728" t="str">
        <f>_xlfn.XLOOKUP($A1728,Load!$B:$B,Load!D:D,0,)</f>
        <v>Non-Chocolate Candy Only</v>
      </c>
      <c r="D1728" t="str">
        <f>_xlfn.XLOOKUP($A1728,Load!$B:$B,Load!E:E,0,)</f>
        <v>Variety / Mixed Flavors (Fruity, Sour, Seasonal Flavors)</v>
      </c>
      <c r="E1728" t="str">
        <f>_xlfn.XLOOKUP($A1728,Load!$B:$B,Load!F:F,0,)</f>
        <v>Mixed / Combo Packs (Gummy, Chewy, Taffy, etc.)</v>
      </c>
      <c r="F1728" t="str">
        <f>_xlfn.XLOOKUP($A1728,Load!$B:$B,Load!G:G,0,)</f>
        <v>Medium Multipack (40–80 ct)</v>
      </c>
      <c r="G1728" t="str">
        <f>_xlfn.XLOOKUP($A1728,Load!$B:$B,Load!H:H,0,)</f>
        <v>Laydown Bag</v>
      </c>
      <c r="H1728" t="str">
        <f>_xlfn.XLOOKUP($A1728,Load!$B:$B,Load!I:I,0,)</f>
        <v>Everyday Candy Shapes (like Original, Gummy bear, Fruit, Jewels, etc.)</v>
      </c>
      <c r="I1728" t="str">
        <f>_xlfn.XLOOKUP($A1728,Load!$B:$B,Load!J:J,0,)</f>
        <v>Seasonal Graphics (Like Bat, Ghost, Pumpkin, Fall Leaves, Eyeballs, etc.)</v>
      </c>
      <c r="J1728" t="str">
        <f>_xlfn.XLOOKUP($A1728,Load!$B:$B,Load!K:K,0,)</f>
        <v>Fun Size / Treat Size</v>
      </c>
      <c r="K1728" t="str">
        <f>_xlfn.XLOOKUP($A1728,Load!$B:$B,Load!L:L,0,)</f>
        <v>Regular/Original Wrapping</v>
      </c>
      <c r="L1728" t="str">
        <f>_xlfn.XLOOKUP($A1728,Load!$B:$B,Load!M:M,0,)</f>
        <v>Single Brand / Variety Flavors or Form</v>
      </c>
    </row>
    <row r="1729" spans="1:12" x14ac:dyDescent="0.25">
      <c r="A1729" t="s">
        <v>172</v>
      </c>
      <c r="B1729" t="str">
        <f>_xlfn.XLOOKUP($A1729,Load!$B:$B,Load!C:C,0,)</f>
        <v>Mars Variety Pack</v>
      </c>
      <c r="C1729" t="str">
        <f>_xlfn.XLOOKUP($A1729,Load!$B:$B,Load!D:D,0,)</f>
        <v>Non-Chocolate Candy Only</v>
      </c>
      <c r="D1729" t="str">
        <f>_xlfn.XLOOKUP($A1729,Load!$B:$B,Load!E:E,0,)</f>
        <v>Variety / Mixed Flavors (Fruity, Sour, Seasonal Flavors)</v>
      </c>
      <c r="E1729" t="str">
        <f>_xlfn.XLOOKUP($A1729,Load!$B:$B,Load!F:F,0,)</f>
        <v>Mixed / Combo Packs (Gummy, Chewy, Taffy, etc.)</v>
      </c>
      <c r="F1729" t="str">
        <f>_xlfn.XLOOKUP($A1729,Load!$B:$B,Load!G:G,0,)</f>
        <v>Small Multipack (Less than 40 ct)</v>
      </c>
      <c r="G1729" t="str">
        <f>_xlfn.XLOOKUP($A1729,Load!$B:$B,Load!H:H,0,)</f>
        <v>Laydown Bag</v>
      </c>
      <c r="H1729" t="str">
        <f>_xlfn.XLOOKUP($A1729,Load!$B:$B,Load!I:I,0,)</f>
        <v>Everyday Candy Shapes (like Original, Gummy bear, Fruit, Jewels, etc.)</v>
      </c>
      <c r="I1729" t="str">
        <f>_xlfn.XLOOKUP($A1729,Load!$B:$B,Load!J:J,0,)</f>
        <v>Seasonal Graphics (Like Bat, Ghost, Pumpkin, Fall Leaves, Eyeballs, etc.)</v>
      </c>
      <c r="J1729" t="str">
        <f>_xlfn.XLOOKUP($A1729,Load!$B:$B,Load!K:K,0,)</f>
        <v>Fun Size / Treat Size</v>
      </c>
      <c r="K1729" t="str">
        <f>_xlfn.XLOOKUP($A1729,Load!$B:$B,Load!L:L,0,)</f>
        <v>Regular/Original Wrapping</v>
      </c>
      <c r="L1729" t="str">
        <f>_xlfn.XLOOKUP($A1729,Load!$B:$B,Load!M:M,0,)</f>
        <v>Multiple Brands / Variety Flavors or Form</v>
      </c>
    </row>
    <row r="1730" spans="1:12" x14ac:dyDescent="0.25">
      <c r="B1730">
        <f>_xlfn.XLOOKUP($A1730,Load!$B:$B,Load!C:C,0,)</f>
        <v>0</v>
      </c>
      <c r="C1730">
        <f>_xlfn.XLOOKUP($A1730,Load!$B:$B,Load!D:D,0,)</f>
        <v>0</v>
      </c>
      <c r="D1730">
        <f>_xlfn.XLOOKUP($A1730,Load!$B:$B,Load!E:E,0,)</f>
        <v>0</v>
      </c>
      <c r="E1730">
        <f>_xlfn.XLOOKUP($A1730,Load!$B:$B,Load!F:F,0,)</f>
        <v>0</v>
      </c>
      <c r="F1730">
        <f>_xlfn.XLOOKUP($A1730,Load!$B:$B,Load!G:G,0,)</f>
        <v>0</v>
      </c>
      <c r="G1730">
        <f>_xlfn.XLOOKUP($A1730,Load!$B:$B,Load!H:H,0,)</f>
        <v>0</v>
      </c>
      <c r="H1730">
        <f>_xlfn.XLOOKUP($A1730,Load!$B:$B,Load!I:I,0,)</f>
        <v>0</v>
      </c>
      <c r="I1730">
        <f>_xlfn.XLOOKUP($A1730,Load!$B:$B,Load!J:J,0,)</f>
        <v>0</v>
      </c>
      <c r="J1730">
        <f>_xlfn.XLOOKUP($A1730,Load!$B:$B,Load!K:K,0,)</f>
        <v>0</v>
      </c>
      <c r="K1730">
        <f>_xlfn.XLOOKUP($A1730,Load!$B:$B,Load!L:L,0,)</f>
        <v>0</v>
      </c>
      <c r="L1730">
        <f>_xlfn.XLOOKUP($A1730,Load!$B:$B,Load!M:M,0,)</f>
        <v>0</v>
      </c>
    </row>
    <row r="1731" spans="1:12" x14ac:dyDescent="0.25">
      <c r="B1731">
        <f>_xlfn.XLOOKUP($A1731,Load!$B:$B,Load!C:C,0,)</f>
        <v>0</v>
      </c>
      <c r="C1731">
        <f>_xlfn.XLOOKUP($A1731,Load!$B:$B,Load!D:D,0,)</f>
        <v>0</v>
      </c>
      <c r="D1731">
        <f>_xlfn.XLOOKUP($A1731,Load!$B:$B,Load!E:E,0,)</f>
        <v>0</v>
      </c>
      <c r="E1731">
        <f>_xlfn.XLOOKUP($A1731,Load!$B:$B,Load!F:F,0,)</f>
        <v>0</v>
      </c>
      <c r="F1731">
        <f>_xlfn.XLOOKUP($A1731,Load!$B:$B,Load!G:G,0,)</f>
        <v>0</v>
      </c>
      <c r="G1731">
        <f>_xlfn.XLOOKUP($A1731,Load!$B:$B,Load!H:H,0,)</f>
        <v>0</v>
      </c>
      <c r="H1731">
        <f>_xlfn.XLOOKUP($A1731,Load!$B:$B,Load!I:I,0,)</f>
        <v>0</v>
      </c>
      <c r="I1731">
        <f>_xlfn.XLOOKUP($A1731,Load!$B:$B,Load!J:J,0,)</f>
        <v>0</v>
      </c>
      <c r="J1731">
        <f>_xlfn.XLOOKUP($A1731,Load!$B:$B,Load!K:K,0,)</f>
        <v>0</v>
      </c>
      <c r="K1731">
        <f>_xlfn.XLOOKUP($A1731,Load!$B:$B,Load!L:L,0,)</f>
        <v>0</v>
      </c>
      <c r="L1731">
        <f>_xlfn.XLOOKUP($A1731,Load!$B:$B,Load!M:M,0,)</f>
        <v>0</v>
      </c>
    </row>
    <row r="1732" spans="1:12" x14ac:dyDescent="0.25">
      <c r="B1732">
        <f>_xlfn.XLOOKUP($A1732,Load!$B:$B,Load!C:C,0,)</f>
        <v>0</v>
      </c>
      <c r="C1732">
        <f>_xlfn.XLOOKUP($A1732,Load!$B:$B,Load!D:D,0,)</f>
        <v>0</v>
      </c>
      <c r="D1732">
        <f>_xlfn.XLOOKUP($A1732,Load!$B:$B,Load!E:E,0,)</f>
        <v>0</v>
      </c>
      <c r="E1732">
        <f>_xlfn.XLOOKUP($A1732,Load!$B:$B,Load!F:F,0,)</f>
        <v>0</v>
      </c>
      <c r="F1732">
        <f>_xlfn.XLOOKUP($A1732,Load!$B:$B,Load!G:G,0,)</f>
        <v>0</v>
      </c>
      <c r="G1732">
        <f>_xlfn.XLOOKUP($A1732,Load!$B:$B,Load!H:H,0,)</f>
        <v>0</v>
      </c>
      <c r="H1732">
        <f>_xlfn.XLOOKUP($A1732,Load!$B:$B,Load!I:I,0,)</f>
        <v>0</v>
      </c>
      <c r="I1732">
        <f>_xlfn.XLOOKUP($A1732,Load!$B:$B,Load!J:J,0,)</f>
        <v>0</v>
      </c>
      <c r="J1732">
        <f>_xlfn.XLOOKUP($A1732,Load!$B:$B,Load!K:K,0,)</f>
        <v>0</v>
      </c>
      <c r="K1732">
        <f>_xlfn.XLOOKUP($A1732,Load!$B:$B,Load!L:L,0,)</f>
        <v>0</v>
      </c>
      <c r="L1732">
        <f>_xlfn.XLOOKUP($A1732,Load!$B:$B,Load!M:M,0,)</f>
        <v>0</v>
      </c>
    </row>
    <row r="1733" spans="1:12" x14ac:dyDescent="0.25">
      <c r="B1733">
        <f>_xlfn.XLOOKUP($A1733,Load!$B:$B,Load!C:C,0,)</f>
        <v>0</v>
      </c>
      <c r="C1733">
        <f>_xlfn.XLOOKUP($A1733,Load!$B:$B,Load!D:D,0,)</f>
        <v>0</v>
      </c>
      <c r="D1733">
        <f>_xlfn.XLOOKUP($A1733,Load!$B:$B,Load!E:E,0,)</f>
        <v>0</v>
      </c>
      <c r="E1733">
        <f>_xlfn.XLOOKUP($A1733,Load!$B:$B,Load!F:F,0,)</f>
        <v>0</v>
      </c>
      <c r="F1733">
        <f>_xlfn.XLOOKUP($A1733,Load!$B:$B,Load!G:G,0,)</f>
        <v>0</v>
      </c>
      <c r="G1733">
        <f>_xlfn.XLOOKUP($A1733,Load!$B:$B,Load!H:H,0,)</f>
        <v>0</v>
      </c>
      <c r="H1733">
        <f>_xlfn.XLOOKUP($A1733,Load!$B:$B,Load!I:I,0,)</f>
        <v>0</v>
      </c>
      <c r="I1733">
        <f>_xlfn.XLOOKUP($A1733,Load!$B:$B,Load!J:J,0,)</f>
        <v>0</v>
      </c>
      <c r="J1733">
        <f>_xlfn.XLOOKUP($A1733,Load!$B:$B,Load!K:K,0,)</f>
        <v>0</v>
      </c>
      <c r="K1733">
        <f>_xlfn.XLOOKUP($A1733,Load!$B:$B,Load!L:L,0,)</f>
        <v>0</v>
      </c>
      <c r="L1733">
        <f>_xlfn.XLOOKUP($A1733,Load!$B:$B,Load!M:M,0,)</f>
        <v>0</v>
      </c>
    </row>
    <row r="1734" spans="1:12" x14ac:dyDescent="0.25">
      <c r="A1734" t="s">
        <v>29</v>
      </c>
      <c r="B1734" t="str">
        <f>_xlfn.XLOOKUP($A1734,Load!$B:$B,Load!C:C,0,)</f>
        <v>AMOS</v>
      </c>
      <c r="C1734" t="str">
        <f>_xlfn.XLOOKUP($A1734,Load!$B:$B,Load!D:D,0,)</f>
        <v>Non-Chocolate Candy Only</v>
      </c>
      <c r="D1734" t="str">
        <f>_xlfn.XLOOKUP($A1734,Load!$B:$B,Load!E:E,0,)</f>
        <v>Fruit Flavor (Cherry, Grape, Apple, Citrus, Tropical Fruit)</v>
      </c>
      <c r="E1734" t="str">
        <f>_xlfn.XLOOKUP($A1734,Load!$B:$B,Load!F:F,0,)</f>
        <v>Gummy</v>
      </c>
      <c r="F1734" t="str">
        <f>_xlfn.XLOOKUP($A1734,Load!$B:$B,Load!G:G,0,)</f>
        <v>Single Pack</v>
      </c>
      <c r="G1734" t="str">
        <f>_xlfn.XLOOKUP($A1734,Load!$B:$B,Load!H:H,0,)</f>
        <v>Peg Bag</v>
      </c>
      <c r="H1734" t="str">
        <f>_xlfn.XLOOKUP($A1734,Load!$B:$B,Load!I:I,0,)</f>
        <v>Seasonal Shapes (like pumpkins, candy corn, ghost, bats, etc.)</v>
      </c>
      <c r="I1734" t="str">
        <f>_xlfn.XLOOKUP($A1734,Load!$B:$B,Load!J:J,0,)</f>
        <v>Seasonal Graphics (Like Bat, Ghost, Pumpkin, Fall Leaves, Eyeballs, etc.)</v>
      </c>
      <c r="J1734" t="str">
        <f>_xlfn.XLOOKUP($A1734,Load!$B:$B,Load!K:K,0,)</f>
        <v>Small Pieces (Tiny bite size candies)</v>
      </c>
      <c r="K1734" t="str">
        <f>_xlfn.XLOOKUP($A1734,Load!$B:$B,Load!L:L,0,)</f>
        <v>Unwrapped</v>
      </c>
      <c r="L1734" t="str">
        <f>_xlfn.XLOOKUP($A1734,Load!$B:$B,Load!M:M,0,)</f>
        <v>Single Brand / Single Flavor or Form</v>
      </c>
    </row>
    <row r="1735" spans="1:12" x14ac:dyDescent="0.25">
      <c r="A1735" t="s">
        <v>34</v>
      </c>
      <c r="B1735" t="str">
        <f>_xlfn.XLOOKUP($A1735,Load!$B:$B,Load!C:C,0,)</f>
        <v>bettergoods</v>
      </c>
      <c r="C1735" t="str">
        <f>_xlfn.XLOOKUP($A1735,Load!$B:$B,Load!D:D,0,)</f>
        <v>Non-Chocolate Candy Only</v>
      </c>
      <c r="D1735" t="str">
        <f>_xlfn.XLOOKUP($A1735,Load!$B:$B,Load!E:E,0,)</f>
        <v>Fruit Flavor (Cherry, Grape, Apple, Citrus, Tropical Fruit)</v>
      </c>
      <c r="E1735" t="str">
        <f>_xlfn.XLOOKUP($A1735,Load!$B:$B,Load!F:F,0,)</f>
        <v>Gummy</v>
      </c>
      <c r="F1735" t="str">
        <f>_xlfn.XLOOKUP($A1735,Load!$B:$B,Load!G:G,0,)</f>
        <v>Single Pack</v>
      </c>
      <c r="G1735" t="str">
        <f>_xlfn.XLOOKUP($A1735,Load!$B:$B,Load!H:H,0,)</f>
        <v>Peg Bag</v>
      </c>
      <c r="H1735" t="str">
        <f>_xlfn.XLOOKUP($A1735,Load!$B:$B,Load!I:I,0,)</f>
        <v>Seasonal Shapes (like pumpkins, candy corn, ghost, bats, etc.)</v>
      </c>
      <c r="I1735" t="str">
        <f>_xlfn.XLOOKUP($A1735,Load!$B:$B,Load!J:J,0,)</f>
        <v>Seasonal Graphics (Like Bat, Ghost, Pumpkin, Fall Leaves, Eyeballs, etc.)</v>
      </c>
      <c r="J1735" t="str">
        <f>_xlfn.XLOOKUP($A1735,Load!$B:$B,Load!K:K,0,)</f>
        <v>Small Pieces (Tiny bite size candies)</v>
      </c>
      <c r="K1735" t="str">
        <f>_xlfn.XLOOKUP($A1735,Load!$B:$B,Load!L:L,0,)</f>
        <v>Unwrapped</v>
      </c>
      <c r="L1735" t="str">
        <f>_xlfn.XLOOKUP($A1735,Load!$B:$B,Load!M:M,0,)</f>
        <v>Single Brand / Variety Flavors or Form</v>
      </c>
    </row>
    <row r="1736" spans="1:12" x14ac:dyDescent="0.25">
      <c r="B1736">
        <f>_xlfn.XLOOKUP($A1736,Load!$B:$B,Load!C:C,0,)</f>
        <v>0</v>
      </c>
      <c r="C1736">
        <f>_xlfn.XLOOKUP($A1736,Load!$B:$B,Load!D:D,0,)</f>
        <v>0</v>
      </c>
      <c r="D1736">
        <f>_xlfn.XLOOKUP($A1736,Load!$B:$B,Load!E:E,0,)</f>
        <v>0</v>
      </c>
      <c r="E1736">
        <f>_xlfn.XLOOKUP($A1736,Load!$B:$B,Load!F:F,0,)</f>
        <v>0</v>
      </c>
      <c r="F1736">
        <f>_xlfn.XLOOKUP($A1736,Load!$B:$B,Load!G:G,0,)</f>
        <v>0</v>
      </c>
      <c r="G1736">
        <f>_xlfn.XLOOKUP($A1736,Load!$B:$B,Load!H:H,0,)</f>
        <v>0</v>
      </c>
      <c r="H1736">
        <f>_xlfn.XLOOKUP($A1736,Load!$B:$B,Load!I:I,0,)</f>
        <v>0</v>
      </c>
      <c r="I1736">
        <f>_xlfn.XLOOKUP($A1736,Load!$B:$B,Load!J:J,0,)</f>
        <v>0</v>
      </c>
      <c r="J1736">
        <f>_xlfn.XLOOKUP($A1736,Load!$B:$B,Load!K:K,0,)</f>
        <v>0</v>
      </c>
      <c r="K1736">
        <f>_xlfn.XLOOKUP($A1736,Load!$B:$B,Load!L:L,0,)</f>
        <v>0</v>
      </c>
      <c r="L1736">
        <f>_xlfn.XLOOKUP($A1736,Load!$B:$B,Load!M:M,0,)</f>
        <v>0</v>
      </c>
    </row>
    <row r="1737" spans="1:12" x14ac:dyDescent="0.25">
      <c r="B1737">
        <f>_xlfn.XLOOKUP($A1737,Load!$B:$B,Load!C:C,0,)</f>
        <v>0</v>
      </c>
      <c r="C1737">
        <f>_xlfn.XLOOKUP($A1737,Load!$B:$B,Load!D:D,0,)</f>
        <v>0</v>
      </c>
      <c r="D1737">
        <f>_xlfn.XLOOKUP($A1737,Load!$B:$B,Load!E:E,0,)</f>
        <v>0</v>
      </c>
      <c r="E1737">
        <f>_xlfn.XLOOKUP($A1737,Load!$B:$B,Load!F:F,0,)</f>
        <v>0</v>
      </c>
      <c r="F1737">
        <f>_xlfn.XLOOKUP($A1737,Load!$B:$B,Load!G:G,0,)</f>
        <v>0</v>
      </c>
      <c r="G1737">
        <f>_xlfn.XLOOKUP($A1737,Load!$B:$B,Load!H:H,0,)</f>
        <v>0</v>
      </c>
      <c r="H1737">
        <f>_xlfn.XLOOKUP($A1737,Load!$B:$B,Load!I:I,0,)</f>
        <v>0</v>
      </c>
      <c r="I1737">
        <f>_xlfn.XLOOKUP($A1737,Load!$B:$B,Load!J:J,0,)</f>
        <v>0</v>
      </c>
      <c r="J1737">
        <f>_xlfn.XLOOKUP($A1737,Load!$B:$B,Load!K:K,0,)</f>
        <v>0</v>
      </c>
      <c r="K1737">
        <f>_xlfn.XLOOKUP($A1737,Load!$B:$B,Load!L:L,0,)</f>
        <v>0</v>
      </c>
      <c r="L1737">
        <f>_xlfn.XLOOKUP($A1737,Load!$B:$B,Load!M:M,0,)</f>
        <v>0</v>
      </c>
    </row>
    <row r="1738" spans="1:12" x14ac:dyDescent="0.25">
      <c r="A1738" t="s">
        <v>187</v>
      </c>
      <c r="B1738" t="str">
        <f>_xlfn.XLOOKUP($A1738,Load!$B:$B,Load!C:C,0,)</f>
        <v>Mars Variety Pack</v>
      </c>
      <c r="C1738" t="str">
        <f>_xlfn.XLOOKUP($A1738,Load!$B:$B,Load!D:D,0,)</f>
        <v>Mix of Chocolate and Non-Chocolate Candy</v>
      </c>
      <c r="D1738" t="str">
        <f>_xlfn.XLOOKUP($A1738,Load!$B:$B,Load!E:E,0,)</f>
        <v>Variety / Mixed Flavors (Fruity, Sour, Seasonal Flavors)</v>
      </c>
      <c r="E1738" t="str">
        <f>_xlfn.XLOOKUP($A1738,Load!$B:$B,Load!F:F,0,)</f>
        <v>Mixed / Combo Packs (Gummy, Chewy, Taffy, etc.)</v>
      </c>
      <c r="F1738" t="str">
        <f>_xlfn.XLOOKUP($A1738,Load!$B:$B,Load!G:G,0,)</f>
        <v>Medium Multipack (40–80 ct)</v>
      </c>
      <c r="G1738" t="str">
        <f>_xlfn.XLOOKUP($A1738,Load!$B:$B,Load!H:H,0,)</f>
        <v>Stand-Up Bag</v>
      </c>
      <c r="H1738" t="str">
        <f>_xlfn.XLOOKUP($A1738,Load!$B:$B,Load!I:I,0,)</f>
        <v>Everyday Candy Shapes (like Original, Gummy bear, Fruit, Jewels, etc.)</v>
      </c>
      <c r="I1738" t="str">
        <f>_xlfn.XLOOKUP($A1738,Load!$B:$B,Load!J:J,0,)</f>
        <v>Seasonal Graphics (Like Bat, Ghost, Pumpkin, Fall Leaves, Eyeballs, etc.)</v>
      </c>
      <c r="J1738" t="str">
        <f>_xlfn.XLOOKUP($A1738,Load!$B:$B,Load!K:K,0,)</f>
        <v>Fun Size / Treat Size</v>
      </c>
      <c r="K1738" t="str">
        <f>_xlfn.XLOOKUP($A1738,Load!$B:$B,Load!L:L,0,)</f>
        <v>Regular/Original Wrapping</v>
      </c>
      <c r="L1738" t="str">
        <f>_xlfn.XLOOKUP($A1738,Load!$B:$B,Load!M:M,0,)</f>
        <v>Multiple Brands / Variety Flavors or Form</v>
      </c>
    </row>
    <row r="1739" spans="1:12" x14ac:dyDescent="0.25">
      <c r="B1739">
        <f>_xlfn.XLOOKUP($A1739,Load!$B:$B,Load!C:C,0,)</f>
        <v>0</v>
      </c>
      <c r="C1739">
        <f>_xlfn.XLOOKUP($A1739,Load!$B:$B,Load!D:D,0,)</f>
        <v>0</v>
      </c>
      <c r="D1739">
        <f>_xlfn.XLOOKUP($A1739,Load!$B:$B,Load!E:E,0,)</f>
        <v>0</v>
      </c>
      <c r="E1739">
        <f>_xlfn.XLOOKUP($A1739,Load!$B:$B,Load!F:F,0,)</f>
        <v>0</v>
      </c>
      <c r="F1739">
        <f>_xlfn.XLOOKUP($A1739,Load!$B:$B,Load!G:G,0,)</f>
        <v>0</v>
      </c>
      <c r="G1739">
        <f>_xlfn.XLOOKUP($A1739,Load!$B:$B,Load!H:H,0,)</f>
        <v>0</v>
      </c>
      <c r="H1739">
        <f>_xlfn.XLOOKUP($A1739,Load!$B:$B,Load!I:I,0,)</f>
        <v>0</v>
      </c>
      <c r="I1739">
        <f>_xlfn.XLOOKUP($A1739,Load!$B:$B,Load!J:J,0,)</f>
        <v>0</v>
      </c>
      <c r="J1739">
        <f>_xlfn.XLOOKUP($A1739,Load!$B:$B,Load!K:K,0,)</f>
        <v>0</v>
      </c>
      <c r="K1739">
        <f>_xlfn.XLOOKUP($A1739,Load!$B:$B,Load!L:L,0,)</f>
        <v>0</v>
      </c>
      <c r="L1739">
        <f>_xlfn.XLOOKUP($A1739,Load!$B:$B,Load!M:M,0,)</f>
        <v>0</v>
      </c>
    </row>
    <row r="1740" spans="1:12" x14ac:dyDescent="0.25">
      <c r="A1740" t="s">
        <v>463</v>
      </c>
      <c r="B1740" t="str">
        <f>_xlfn.XLOOKUP($A1740,Load!$B:$B,Load!C:C,0,)</f>
        <v>Mars Variety Pack</v>
      </c>
      <c r="C1740" t="str">
        <f>_xlfn.XLOOKUP($A1740,Load!$B:$B,Load!D:D,0,)</f>
        <v>Mix of Chocolate and Non-Chocolate Candy</v>
      </c>
      <c r="D1740" t="str">
        <f>_xlfn.XLOOKUP($A1740,Load!$B:$B,Load!E:E,0,)</f>
        <v>Variety / Mixed Flavors (Fruity, Sour, Seasonal Flavors)</v>
      </c>
      <c r="E1740" t="str">
        <f>_xlfn.XLOOKUP($A1740,Load!$B:$B,Load!F:F,0,)</f>
        <v>Mixed / Combo Packs (Gummy, Chewy, Taffy, etc.)</v>
      </c>
      <c r="F1740" t="str">
        <f>_xlfn.XLOOKUP($A1740,Load!$B:$B,Load!G:G,0,)</f>
        <v>Medium Multipack (40–80 ct)</v>
      </c>
      <c r="G1740" t="str">
        <f>_xlfn.XLOOKUP($A1740,Load!$B:$B,Load!H:H,0,)</f>
        <v>Stand-Up Bag</v>
      </c>
      <c r="H1740" t="str">
        <f>_xlfn.XLOOKUP($A1740,Load!$B:$B,Load!I:I,0,)</f>
        <v>Everyday Candy Shapes (like Original, Gummy bear, Fruit, Jewels, etc.)</v>
      </c>
      <c r="I1740" t="str">
        <f>_xlfn.XLOOKUP($A1740,Load!$B:$B,Load!J:J,0,)</f>
        <v>Seasonal Graphics (Like Bat, Ghost, Pumpkin, Fall Leaves, Eyeballs, etc.)</v>
      </c>
      <c r="J1740" t="str">
        <f>_xlfn.XLOOKUP($A1740,Load!$B:$B,Load!K:K,0,)</f>
        <v>Fun Size / Treat Size</v>
      </c>
      <c r="K1740" t="str">
        <f>_xlfn.XLOOKUP($A1740,Load!$B:$B,Load!L:L,0,)</f>
        <v>Regular/Original Wrapping</v>
      </c>
      <c r="L1740" t="str">
        <f>_xlfn.XLOOKUP($A1740,Load!$B:$B,Load!M:M,0,)</f>
        <v>Multiple Brands / Variety Flavors or Form</v>
      </c>
    </row>
    <row r="1741" spans="1:12" x14ac:dyDescent="0.25">
      <c r="B1741">
        <f>_xlfn.XLOOKUP($A1741,Load!$B:$B,Load!C:C,0,)</f>
        <v>0</v>
      </c>
      <c r="C1741">
        <f>_xlfn.XLOOKUP($A1741,Load!$B:$B,Load!D:D,0,)</f>
        <v>0</v>
      </c>
      <c r="D1741">
        <f>_xlfn.XLOOKUP($A1741,Load!$B:$B,Load!E:E,0,)</f>
        <v>0</v>
      </c>
      <c r="E1741">
        <f>_xlfn.XLOOKUP($A1741,Load!$B:$B,Load!F:F,0,)</f>
        <v>0</v>
      </c>
      <c r="F1741">
        <f>_xlfn.XLOOKUP($A1741,Load!$B:$B,Load!G:G,0,)</f>
        <v>0</v>
      </c>
      <c r="G1741">
        <f>_xlfn.XLOOKUP($A1741,Load!$B:$B,Load!H:H,0,)</f>
        <v>0</v>
      </c>
      <c r="H1741">
        <f>_xlfn.XLOOKUP($A1741,Load!$B:$B,Load!I:I,0,)</f>
        <v>0</v>
      </c>
      <c r="I1741">
        <f>_xlfn.XLOOKUP($A1741,Load!$B:$B,Load!J:J,0,)</f>
        <v>0</v>
      </c>
      <c r="J1741">
        <f>_xlfn.XLOOKUP($A1741,Load!$B:$B,Load!K:K,0,)</f>
        <v>0</v>
      </c>
      <c r="K1741">
        <f>_xlfn.XLOOKUP($A1741,Load!$B:$B,Load!L:L,0,)</f>
        <v>0</v>
      </c>
      <c r="L1741">
        <f>_xlfn.XLOOKUP($A1741,Load!$B:$B,Load!M:M,0,)</f>
        <v>0</v>
      </c>
    </row>
    <row r="1742" spans="1:12" x14ac:dyDescent="0.25">
      <c r="A1742" t="s">
        <v>121</v>
      </c>
      <c r="B1742" t="str">
        <f>_xlfn.XLOOKUP($A1742,Load!$B:$B,Load!C:C,0,)</f>
        <v>HARIBO</v>
      </c>
      <c r="C1742" t="str">
        <f>_xlfn.XLOOKUP($A1742,Load!$B:$B,Load!D:D,0,)</f>
        <v>Non-Chocolate Candy Only</v>
      </c>
      <c r="D1742" t="str">
        <f>_xlfn.XLOOKUP($A1742,Load!$B:$B,Load!E:E,0,)</f>
        <v>Variety / Mixed Flavors (Fruity, Sour, Seasonal Flavors)</v>
      </c>
      <c r="E1742" t="str">
        <f>_xlfn.XLOOKUP($A1742,Load!$B:$B,Load!F:F,0,)</f>
        <v>Gummy</v>
      </c>
      <c r="F1742" t="str">
        <f>_xlfn.XLOOKUP($A1742,Load!$B:$B,Load!G:G,0,)</f>
        <v>Large Multipack (More than 80 ct)</v>
      </c>
      <c r="G1742" t="str">
        <f>_xlfn.XLOOKUP($A1742,Load!$B:$B,Load!H:H,0,)</f>
        <v>Stand-Up Bag</v>
      </c>
      <c r="H1742" t="str">
        <f>_xlfn.XLOOKUP($A1742,Load!$B:$B,Load!I:I,0,)</f>
        <v>Seasonal Shapes (like pumpkins, candy corn, ghost, bats, etc.)</v>
      </c>
      <c r="I1742" t="str">
        <f>_xlfn.XLOOKUP($A1742,Load!$B:$B,Load!J:J,0,)</f>
        <v>Seasonal Graphics (Like Bat, Ghost, Pumpkin, Fall Leaves, Eyeballs, etc.)</v>
      </c>
      <c r="J1742" t="str">
        <f>_xlfn.XLOOKUP($A1742,Load!$B:$B,Load!K:K,0,)</f>
        <v>Fun Size / Treat Size</v>
      </c>
      <c r="K1742" t="str">
        <f>_xlfn.XLOOKUP($A1742,Load!$B:$B,Load!L:L,0,)</f>
        <v>Regular/Original Wrapping</v>
      </c>
      <c r="L1742" t="str">
        <f>_xlfn.XLOOKUP($A1742,Load!$B:$B,Load!M:M,0,)</f>
        <v>Multiple Brands / Variety Flavors or Form</v>
      </c>
    </row>
    <row r="1743" spans="1:12" x14ac:dyDescent="0.25">
      <c r="A1743" t="s">
        <v>222</v>
      </c>
      <c r="B1743" t="str">
        <f>_xlfn.XLOOKUP($A1743,Load!$B:$B,Load!C:C,0,)</f>
        <v>Nerds</v>
      </c>
      <c r="C1743" t="str">
        <f>_xlfn.XLOOKUP($A1743,Load!$B:$B,Load!D:D,0,)</f>
        <v>Non-Chocolate Candy Only</v>
      </c>
      <c r="D1743" t="str">
        <f>_xlfn.XLOOKUP($A1743,Load!$B:$B,Load!E:E,0,)</f>
        <v>Sweet</v>
      </c>
      <c r="E1743" t="str">
        <f>_xlfn.XLOOKUP($A1743,Load!$B:$B,Load!F:F,0,)</f>
        <v>Gummy</v>
      </c>
      <c r="F1743" t="str">
        <f>_xlfn.XLOOKUP($A1743,Load!$B:$B,Load!G:G,0,)</f>
        <v>Small Multipack (Less than 40 ct)</v>
      </c>
      <c r="G1743" t="str">
        <f>_xlfn.XLOOKUP($A1743,Load!$B:$B,Load!H:H,0,)</f>
        <v>Stand-Up Bag</v>
      </c>
      <c r="H1743" t="str">
        <f>_xlfn.XLOOKUP($A1743,Load!$B:$B,Load!I:I,0,)</f>
        <v>Everyday Candy Shapes (like Original, Gummy bear, Fruit, Jewels, etc.)</v>
      </c>
      <c r="I1743" t="str">
        <f>_xlfn.XLOOKUP($A1743,Load!$B:$B,Load!J:J,0,)</f>
        <v>Seasonal Graphics (Like Bat, Ghost, Pumpkin, Fall Leaves, Eyeballs, etc.)</v>
      </c>
      <c r="J1743" t="str">
        <f>_xlfn.XLOOKUP($A1743,Load!$B:$B,Load!K:K,0,)</f>
        <v>Fun Size / Treat Size</v>
      </c>
      <c r="K1743" t="str">
        <f>_xlfn.XLOOKUP($A1743,Load!$B:$B,Load!L:L,0,)</f>
        <v>Regular/Original Wrapping</v>
      </c>
      <c r="L1743" t="str">
        <f>_xlfn.XLOOKUP($A1743,Load!$B:$B,Load!M:M,0,)</f>
        <v>Single Brand / Variety Flavors or Form</v>
      </c>
    </row>
    <row r="1744" spans="1:12" x14ac:dyDescent="0.25">
      <c r="A1744" t="s">
        <v>288</v>
      </c>
      <c r="B1744" t="str">
        <f>_xlfn.XLOOKUP($A1744,Load!$B:$B,Load!C:C,0,)</f>
        <v>SweeTARTS</v>
      </c>
      <c r="C1744" t="str">
        <f>_xlfn.XLOOKUP($A1744,Load!$B:$B,Load!D:D,0,)</f>
        <v>Non-Chocolate Candy Only</v>
      </c>
      <c r="D1744" t="str">
        <f>_xlfn.XLOOKUP($A1744,Load!$B:$B,Load!E:E,0,)</f>
        <v>Variety / Mixed Flavors (Fruity, Sour, Seasonal Flavors)</v>
      </c>
      <c r="E1744" t="str">
        <f>_xlfn.XLOOKUP($A1744,Load!$B:$B,Load!F:F,0,)</f>
        <v>Mixed / Combo Packs (Gummy, Chewy, Taffy, etc.)</v>
      </c>
      <c r="F1744" t="str">
        <f>_xlfn.XLOOKUP($A1744,Load!$B:$B,Load!G:G,0,)</f>
        <v>Medium Multipack (40–80 ct)</v>
      </c>
      <c r="G1744" t="str">
        <f>_xlfn.XLOOKUP($A1744,Load!$B:$B,Load!H:H,0,)</f>
        <v>Stand-Up Bag</v>
      </c>
      <c r="H1744" t="str">
        <f>_xlfn.XLOOKUP($A1744,Load!$B:$B,Load!I:I,0,)</f>
        <v>Everyday Candy Shapes (like Original, Gummy bear, Fruit, Jewels, etc.)</v>
      </c>
      <c r="I1744" t="str">
        <f>_xlfn.XLOOKUP($A1744,Load!$B:$B,Load!J:J,0,)</f>
        <v>Seasonal Graphics (Like Bat, Ghost, Pumpkin, Fall Leaves, Eyeballs, etc.)</v>
      </c>
      <c r="J1744" t="str">
        <f>_xlfn.XLOOKUP($A1744,Load!$B:$B,Load!K:K,0,)</f>
        <v>Small Pieces (Tiny bite size candies)</v>
      </c>
      <c r="K1744" t="str">
        <f>_xlfn.XLOOKUP($A1744,Load!$B:$B,Load!L:L,0,)</f>
        <v>Regular/Original Wrapping</v>
      </c>
      <c r="L1744" t="str">
        <f>_xlfn.XLOOKUP($A1744,Load!$B:$B,Load!M:M,0,)</f>
        <v>Single Brand / Variety Flavors or Form</v>
      </c>
    </row>
    <row r="1745" spans="1:12" x14ac:dyDescent="0.25">
      <c r="A1745" t="s">
        <v>191</v>
      </c>
      <c r="B1745" t="str">
        <f>_xlfn.XLOOKUP($A1745,Load!$B:$B,Load!C:C,0,)</f>
        <v>Mars Variety Pack</v>
      </c>
      <c r="C1745" t="str">
        <f>_xlfn.XLOOKUP($A1745,Load!$B:$B,Load!D:D,0,)</f>
        <v>Mix of Chocolate and Non-Chocolate Candy</v>
      </c>
      <c r="D1745" t="str">
        <f>_xlfn.XLOOKUP($A1745,Load!$B:$B,Load!E:E,0,)</f>
        <v>Variety / Mixed Flavors (Fruity, Sour, Seasonal Flavors)</v>
      </c>
      <c r="E1745" t="str">
        <f>_xlfn.XLOOKUP($A1745,Load!$B:$B,Load!F:F,0,)</f>
        <v>Mixed / Combo Packs (Gummy, Chewy, Taffy, etc.)</v>
      </c>
      <c r="F1745" t="str">
        <f>_xlfn.XLOOKUP($A1745,Load!$B:$B,Load!G:G,0,)</f>
        <v>Medium Multipack (40–80 ct)</v>
      </c>
      <c r="G1745" t="str">
        <f>_xlfn.XLOOKUP($A1745,Load!$B:$B,Load!H:H,0,)</f>
        <v>Stand-Up Bag</v>
      </c>
      <c r="H1745" t="str">
        <f>_xlfn.XLOOKUP($A1745,Load!$B:$B,Load!I:I,0,)</f>
        <v>Everyday Candy Shapes (like Original, Gummy bear, Fruit, Jewels, etc.)</v>
      </c>
      <c r="I1745" t="str">
        <f>_xlfn.XLOOKUP($A1745,Load!$B:$B,Load!J:J,0,)</f>
        <v>Seasonal Graphics (Like Bat, Ghost, Pumpkin, Fall Leaves, Eyeballs, etc.)</v>
      </c>
      <c r="J1745" t="str">
        <f>_xlfn.XLOOKUP($A1745,Load!$B:$B,Load!K:K,0,)</f>
        <v xml:space="preserve">Variety Candy Sizes </v>
      </c>
      <c r="K1745" t="str">
        <f>_xlfn.XLOOKUP($A1745,Load!$B:$B,Load!L:L,0,)</f>
        <v>Regular/Original Wrapping</v>
      </c>
      <c r="L1745" t="str">
        <f>_xlfn.XLOOKUP($A1745,Load!$B:$B,Load!M:M,0,)</f>
        <v>Multiple Brands / Variety Flavors or Form</v>
      </c>
    </row>
    <row r="1746" spans="1:12" x14ac:dyDescent="0.25">
      <c r="B1746">
        <f>_xlfn.XLOOKUP($A1746,Load!$B:$B,Load!C:C,0,)</f>
        <v>0</v>
      </c>
      <c r="C1746">
        <f>_xlfn.XLOOKUP($A1746,Load!$B:$B,Load!D:D,0,)</f>
        <v>0</v>
      </c>
      <c r="D1746">
        <f>_xlfn.XLOOKUP($A1746,Load!$B:$B,Load!E:E,0,)</f>
        <v>0</v>
      </c>
      <c r="E1746">
        <f>_xlfn.XLOOKUP($A1746,Load!$B:$B,Load!F:F,0,)</f>
        <v>0</v>
      </c>
      <c r="F1746">
        <f>_xlfn.XLOOKUP($A1746,Load!$B:$B,Load!G:G,0,)</f>
        <v>0</v>
      </c>
      <c r="G1746">
        <f>_xlfn.XLOOKUP($A1746,Load!$B:$B,Load!H:H,0,)</f>
        <v>0</v>
      </c>
      <c r="H1746">
        <f>_xlfn.XLOOKUP($A1746,Load!$B:$B,Load!I:I,0,)</f>
        <v>0</v>
      </c>
      <c r="I1746">
        <f>_xlfn.XLOOKUP($A1746,Load!$B:$B,Load!J:J,0,)</f>
        <v>0</v>
      </c>
      <c r="J1746">
        <f>_xlfn.XLOOKUP($A1746,Load!$B:$B,Load!K:K,0,)</f>
        <v>0</v>
      </c>
      <c r="K1746">
        <f>_xlfn.XLOOKUP($A1746,Load!$B:$B,Load!L:L,0,)</f>
        <v>0</v>
      </c>
      <c r="L1746">
        <f>_xlfn.XLOOKUP($A1746,Load!$B:$B,Load!M:M,0,)</f>
        <v>0</v>
      </c>
    </row>
    <row r="1747" spans="1:12" x14ac:dyDescent="0.25">
      <c r="B1747">
        <f>_xlfn.XLOOKUP($A1747,Load!$B:$B,Load!C:C,0,)</f>
        <v>0</v>
      </c>
      <c r="C1747">
        <f>_xlfn.XLOOKUP($A1747,Load!$B:$B,Load!D:D,0,)</f>
        <v>0</v>
      </c>
      <c r="D1747">
        <f>_xlfn.XLOOKUP($A1747,Load!$B:$B,Load!E:E,0,)</f>
        <v>0</v>
      </c>
      <c r="E1747">
        <f>_xlfn.XLOOKUP($A1747,Load!$B:$B,Load!F:F,0,)</f>
        <v>0</v>
      </c>
      <c r="F1747">
        <f>_xlfn.XLOOKUP($A1747,Load!$B:$B,Load!G:G,0,)</f>
        <v>0</v>
      </c>
      <c r="G1747">
        <f>_xlfn.XLOOKUP($A1747,Load!$B:$B,Load!H:H,0,)</f>
        <v>0</v>
      </c>
      <c r="H1747">
        <f>_xlfn.XLOOKUP($A1747,Load!$B:$B,Load!I:I,0,)</f>
        <v>0</v>
      </c>
      <c r="I1747">
        <f>_xlfn.XLOOKUP($A1747,Load!$B:$B,Load!J:J,0,)</f>
        <v>0</v>
      </c>
      <c r="J1747">
        <f>_xlfn.XLOOKUP($A1747,Load!$B:$B,Load!K:K,0,)</f>
        <v>0</v>
      </c>
      <c r="K1747">
        <f>_xlfn.XLOOKUP($A1747,Load!$B:$B,Load!L:L,0,)</f>
        <v>0</v>
      </c>
      <c r="L1747">
        <f>_xlfn.XLOOKUP($A1747,Load!$B:$B,Load!M:M,0,)</f>
        <v>0</v>
      </c>
    </row>
    <row r="1748" spans="1:12" x14ac:dyDescent="0.25">
      <c r="A1748" t="s">
        <v>57</v>
      </c>
      <c r="B1748" t="str">
        <f>_xlfn.XLOOKUP($A1748,Load!$B:$B,Load!C:C,0,)</f>
        <v>Brach's</v>
      </c>
      <c r="C1748" t="str">
        <f>_xlfn.XLOOKUP($A1748,Load!$B:$B,Load!D:D,0,)</f>
        <v>Non-Chocolate Candy Only</v>
      </c>
      <c r="D1748" t="str">
        <f>_xlfn.XLOOKUP($A1748,Load!$B:$B,Load!E:E,0,)</f>
        <v>Fall / Seasonal Flavors (pumpkin spice, caramel apple, candy corn)</v>
      </c>
      <c r="E1748" t="str">
        <f>_xlfn.XLOOKUP($A1748,Load!$B:$B,Load!F:F,0,)</f>
        <v>Candy Pieces / Bites</v>
      </c>
      <c r="F1748" t="str">
        <f>_xlfn.XLOOKUP($A1748,Load!$B:$B,Load!G:G,0,)</f>
        <v>Medium Multipack (40–80 ct)</v>
      </c>
      <c r="G1748" t="str">
        <f>_xlfn.XLOOKUP($A1748,Load!$B:$B,Load!H:H,0,)</f>
        <v>Laydown Bag</v>
      </c>
      <c r="H1748" t="str">
        <f>_xlfn.XLOOKUP($A1748,Load!$B:$B,Load!I:I,0,)</f>
        <v>Seasonal Shapes (like pumpkins, candy corn, ghost, bats, etc.)</v>
      </c>
      <c r="I1748" t="str">
        <f>_xlfn.XLOOKUP($A1748,Load!$B:$B,Load!J:J,0,)</f>
        <v>Seasonal Graphics (Like Bat, Ghost, Pumpkin, Fall Leaves, Eyeballs, etc.)</v>
      </c>
      <c r="J1748" t="str">
        <f>_xlfn.XLOOKUP($A1748,Load!$B:$B,Load!K:K,0,)</f>
        <v>Small Pieces (Tiny bite size candies)</v>
      </c>
      <c r="K1748" t="str">
        <f>_xlfn.XLOOKUP($A1748,Load!$B:$B,Load!L:L,0,)</f>
        <v>Unwrapped</v>
      </c>
      <c r="L1748" t="str">
        <f>_xlfn.XLOOKUP($A1748,Load!$B:$B,Load!M:M,0,)</f>
        <v>Single Brand / Single Flavor or Form</v>
      </c>
    </row>
    <row r="1749" spans="1:12" x14ac:dyDescent="0.25">
      <c r="B1749">
        <f>_xlfn.XLOOKUP($A1749,Load!$B:$B,Load!C:C,0,)</f>
        <v>0</v>
      </c>
      <c r="C1749">
        <f>_xlfn.XLOOKUP($A1749,Load!$B:$B,Load!D:D,0,)</f>
        <v>0</v>
      </c>
      <c r="D1749">
        <f>_xlfn.XLOOKUP($A1749,Load!$B:$B,Load!E:E,0,)</f>
        <v>0</v>
      </c>
      <c r="E1749">
        <f>_xlfn.XLOOKUP($A1749,Load!$B:$B,Load!F:F,0,)</f>
        <v>0</v>
      </c>
      <c r="F1749">
        <f>_xlfn.XLOOKUP($A1749,Load!$B:$B,Load!G:G,0,)</f>
        <v>0</v>
      </c>
      <c r="G1749">
        <f>_xlfn.XLOOKUP($A1749,Load!$B:$B,Load!H:H,0,)</f>
        <v>0</v>
      </c>
      <c r="H1749">
        <f>_xlfn.XLOOKUP($A1749,Load!$B:$B,Load!I:I,0,)</f>
        <v>0</v>
      </c>
      <c r="I1749">
        <f>_xlfn.XLOOKUP($A1749,Load!$B:$B,Load!J:J,0,)</f>
        <v>0</v>
      </c>
      <c r="J1749">
        <f>_xlfn.XLOOKUP($A1749,Load!$B:$B,Load!K:K,0,)</f>
        <v>0</v>
      </c>
      <c r="K1749">
        <f>_xlfn.XLOOKUP($A1749,Load!$B:$B,Load!L:L,0,)</f>
        <v>0</v>
      </c>
      <c r="L1749">
        <f>_xlfn.XLOOKUP($A1749,Load!$B:$B,Load!M:M,0,)</f>
        <v>0</v>
      </c>
    </row>
    <row r="1750" spans="1:12" x14ac:dyDescent="0.25">
      <c r="A1750" t="s">
        <v>227</v>
      </c>
      <c r="B1750" t="str">
        <f>_xlfn.XLOOKUP($A1750,Load!$B:$B,Load!C:C,0,)</f>
        <v>Nerds</v>
      </c>
      <c r="C1750" t="str">
        <f>_xlfn.XLOOKUP($A1750,Load!$B:$B,Load!D:D,0,)</f>
        <v>Non-Chocolate Candy Only</v>
      </c>
      <c r="D1750" t="str">
        <f>_xlfn.XLOOKUP($A1750,Load!$B:$B,Load!E:E,0,)</f>
        <v>Sweet</v>
      </c>
      <c r="E1750" t="str">
        <f>_xlfn.XLOOKUP($A1750,Load!$B:$B,Load!F:F,0,)</f>
        <v>Chewy</v>
      </c>
      <c r="F1750" t="str">
        <f>_xlfn.XLOOKUP($A1750,Load!$B:$B,Load!G:G,0,)</f>
        <v>Single Pack</v>
      </c>
      <c r="G1750" t="str">
        <f>_xlfn.XLOOKUP($A1750,Load!$B:$B,Load!H:H,0,)</f>
        <v>Laydown Bag</v>
      </c>
      <c r="H1750" t="str">
        <f>_xlfn.XLOOKUP($A1750,Load!$B:$B,Load!I:I,0,)</f>
        <v>Seasonal Shapes (like pumpkins, candy corn, ghost, bats, etc.)</v>
      </c>
      <c r="I1750" t="str">
        <f>_xlfn.XLOOKUP($A1750,Load!$B:$B,Load!J:J,0,)</f>
        <v>Seasonal Graphics (Like Bat, Ghost, Pumpkin, Fall Leaves, Eyeballs, etc.)</v>
      </c>
      <c r="J1750" t="str">
        <f>_xlfn.XLOOKUP($A1750,Load!$B:$B,Load!K:K,0,)</f>
        <v>Small Pieces (Tiny bite size candies)</v>
      </c>
      <c r="K1750" t="str">
        <f>_xlfn.XLOOKUP($A1750,Load!$B:$B,Load!L:L,0,)</f>
        <v>Unwrapped</v>
      </c>
      <c r="L1750" t="str">
        <f>_xlfn.XLOOKUP($A1750,Load!$B:$B,Load!M:M,0,)</f>
        <v>Single Brand / Variety Flavors or Form</v>
      </c>
    </row>
    <row r="1751" spans="1:12" x14ac:dyDescent="0.25">
      <c r="B1751">
        <f>_xlfn.XLOOKUP($A1751,Load!$B:$B,Load!C:C,0,)</f>
        <v>0</v>
      </c>
      <c r="C1751">
        <f>_xlfn.XLOOKUP($A1751,Load!$B:$B,Load!D:D,0,)</f>
        <v>0</v>
      </c>
      <c r="D1751">
        <f>_xlfn.XLOOKUP($A1751,Load!$B:$B,Load!E:E,0,)</f>
        <v>0</v>
      </c>
      <c r="E1751">
        <f>_xlfn.XLOOKUP($A1751,Load!$B:$B,Load!F:F,0,)</f>
        <v>0</v>
      </c>
      <c r="F1751">
        <f>_xlfn.XLOOKUP($A1751,Load!$B:$B,Load!G:G,0,)</f>
        <v>0</v>
      </c>
      <c r="G1751">
        <f>_xlfn.XLOOKUP($A1751,Load!$B:$B,Load!H:H,0,)</f>
        <v>0</v>
      </c>
      <c r="H1751">
        <f>_xlfn.XLOOKUP($A1751,Load!$B:$B,Load!I:I,0,)</f>
        <v>0</v>
      </c>
      <c r="I1751">
        <f>_xlfn.XLOOKUP($A1751,Load!$B:$B,Load!J:J,0,)</f>
        <v>0</v>
      </c>
      <c r="J1751">
        <f>_xlfn.XLOOKUP($A1751,Load!$B:$B,Load!K:K,0,)</f>
        <v>0</v>
      </c>
      <c r="K1751">
        <f>_xlfn.XLOOKUP($A1751,Load!$B:$B,Load!L:L,0,)</f>
        <v>0</v>
      </c>
      <c r="L1751">
        <f>_xlfn.XLOOKUP($A1751,Load!$B:$B,Load!M:M,0,)</f>
        <v>0</v>
      </c>
    </row>
    <row r="1752" spans="1:12" x14ac:dyDescent="0.25">
      <c r="B1752">
        <f>_xlfn.XLOOKUP($A1752,Load!$B:$B,Load!C:C,0,)</f>
        <v>0</v>
      </c>
      <c r="C1752">
        <f>_xlfn.XLOOKUP($A1752,Load!$B:$B,Load!D:D,0,)</f>
        <v>0</v>
      </c>
      <c r="D1752">
        <f>_xlfn.XLOOKUP($A1752,Load!$B:$B,Load!E:E,0,)</f>
        <v>0</v>
      </c>
      <c r="E1752">
        <f>_xlfn.XLOOKUP($A1752,Load!$B:$B,Load!F:F,0,)</f>
        <v>0</v>
      </c>
      <c r="F1752">
        <f>_xlfn.XLOOKUP($A1752,Load!$B:$B,Load!G:G,0,)</f>
        <v>0</v>
      </c>
      <c r="G1752">
        <f>_xlfn.XLOOKUP($A1752,Load!$B:$B,Load!H:H,0,)</f>
        <v>0</v>
      </c>
      <c r="H1752">
        <f>_xlfn.XLOOKUP($A1752,Load!$B:$B,Load!I:I,0,)</f>
        <v>0</v>
      </c>
      <c r="I1752">
        <f>_xlfn.XLOOKUP($A1752,Load!$B:$B,Load!J:J,0,)</f>
        <v>0</v>
      </c>
      <c r="J1752">
        <f>_xlfn.XLOOKUP($A1752,Load!$B:$B,Load!K:K,0,)</f>
        <v>0</v>
      </c>
      <c r="K1752">
        <f>_xlfn.XLOOKUP($A1752,Load!$B:$B,Load!L:L,0,)</f>
        <v>0</v>
      </c>
      <c r="L1752">
        <f>_xlfn.XLOOKUP($A1752,Load!$B:$B,Load!M:M,0,)</f>
        <v>0</v>
      </c>
    </row>
    <row r="1753" spans="1:12" x14ac:dyDescent="0.25">
      <c r="B1753">
        <f>_xlfn.XLOOKUP($A1753,Load!$B:$B,Load!C:C,0,)</f>
        <v>0</v>
      </c>
      <c r="C1753">
        <f>_xlfn.XLOOKUP($A1753,Load!$B:$B,Load!D:D,0,)</f>
        <v>0</v>
      </c>
      <c r="D1753">
        <f>_xlfn.XLOOKUP($A1753,Load!$B:$B,Load!E:E,0,)</f>
        <v>0</v>
      </c>
      <c r="E1753">
        <f>_xlfn.XLOOKUP($A1753,Load!$B:$B,Load!F:F,0,)</f>
        <v>0</v>
      </c>
      <c r="F1753">
        <f>_xlfn.XLOOKUP($A1753,Load!$B:$B,Load!G:G,0,)</f>
        <v>0</v>
      </c>
      <c r="G1753">
        <f>_xlfn.XLOOKUP($A1753,Load!$B:$B,Load!H:H,0,)</f>
        <v>0</v>
      </c>
      <c r="H1753">
        <f>_xlfn.XLOOKUP($A1753,Load!$B:$B,Load!I:I,0,)</f>
        <v>0</v>
      </c>
      <c r="I1753">
        <f>_xlfn.XLOOKUP($A1753,Load!$B:$B,Load!J:J,0,)</f>
        <v>0</v>
      </c>
      <c r="J1753">
        <f>_xlfn.XLOOKUP($A1753,Load!$B:$B,Load!K:K,0,)</f>
        <v>0</v>
      </c>
      <c r="K1753">
        <f>_xlfn.XLOOKUP($A1753,Load!$B:$B,Load!L:L,0,)</f>
        <v>0</v>
      </c>
      <c r="L1753">
        <f>_xlfn.XLOOKUP($A1753,Load!$B:$B,Load!M:M,0,)</f>
        <v>0</v>
      </c>
    </row>
    <row r="1754" spans="1:12" x14ac:dyDescent="0.25">
      <c r="A1754" t="s">
        <v>249</v>
      </c>
      <c r="B1754" t="str">
        <f>_xlfn.XLOOKUP($A1754,Load!$B:$B,Load!C:C,0,)</f>
        <v>Rolling Pin</v>
      </c>
      <c r="C1754" t="str">
        <f>_xlfn.XLOOKUP($A1754,Load!$B:$B,Load!D:D,0,)</f>
        <v>Non-Chocolate Candy Only</v>
      </c>
      <c r="D1754" t="str">
        <f>_xlfn.XLOOKUP($A1754,Load!$B:$B,Load!E:E,0,)</f>
        <v>Fall / Seasonal Flavors (pumpkin spice, caramel apple, candy corn)</v>
      </c>
      <c r="E1754" t="str">
        <f>_xlfn.XLOOKUP($A1754,Load!$B:$B,Load!F:F,0,)</f>
        <v>Candy Pieces / Bites</v>
      </c>
      <c r="F1754" t="str">
        <f>_xlfn.XLOOKUP($A1754,Load!$B:$B,Load!G:G,0,)</f>
        <v>Small Multipack (Less than 40 ct)</v>
      </c>
      <c r="G1754" t="str">
        <f>_xlfn.XLOOKUP($A1754,Load!$B:$B,Load!H:H,0,)</f>
        <v>Stand-Up Bag</v>
      </c>
      <c r="H1754" t="str">
        <f>_xlfn.XLOOKUP($A1754,Load!$B:$B,Load!I:I,0,)</f>
        <v>Seasonal Shapes (like pumpkins, candy corn, ghost, bats, etc.)</v>
      </c>
      <c r="I1754" t="str">
        <f>_xlfn.XLOOKUP($A1754,Load!$B:$B,Load!J:J,0,)</f>
        <v>Seasonal Graphics (Like Bat, Ghost, Pumpkin, Fall Leaves, Eyeballs, etc.)</v>
      </c>
      <c r="J1754" t="str">
        <f>_xlfn.XLOOKUP($A1754,Load!$B:$B,Load!K:K,0,)</f>
        <v>Small Pieces (Tiny bite size candies)</v>
      </c>
      <c r="K1754" t="str">
        <f>_xlfn.XLOOKUP($A1754,Load!$B:$B,Load!L:L,0,)</f>
        <v>Unwrapped</v>
      </c>
      <c r="L1754" t="str">
        <f>_xlfn.XLOOKUP($A1754,Load!$B:$B,Load!M:M,0,)</f>
        <v>Single Brand / Single Flavor or Form</v>
      </c>
    </row>
    <row r="1755" spans="1:12" x14ac:dyDescent="0.25">
      <c r="B1755">
        <f>_xlfn.XLOOKUP($A1755,Load!$B:$B,Load!C:C,0,)</f>
        <v>0</v>
      </c>
      <c r="C1755">
        <f>_xlfn.XLOOKUP($A1755,Load!$B:$B,Load!D:D,0,)</f>
        <v>0</v>
      </c>
      <c r="D1755">
        <f>_xlfn.XLOOKUP($A1755,Load!$B:$B,Load!E:E,0,)</f>
        <v>0</v>
      </c>
      <c r="E1755">
        <f>_xlfn.XLOOKUP($A1755,Load!$B:$B,Load!F:F,0,)</f>
        <v>0</v>
      </c>
      <c r="F1755">
        <f>_xlfn.XLOOKUP($A1755,Load!$B:$B,Load!G:G,0,)</f>
        <v>0</v>
      </c>
      <c r="G1755">
        <f>_xlfn.XLOOKUP($A1755,Load!$B:$B,Load!H:H,0,)</f>
        <v>0</v>
      </c>
      <c r="H1755">
        <f>_xlfn.XLOOKUP($A1755,Load!$B:$B,Load!I:I,0,)</f>
        <v>0</v>
      </c>
      <c r="I1755">
        <f>_xlfn.XLOOKUP($A1755,Load!$B:$B,Load!J:J,0,)</f>
        <v>0</v>
      </c>
      <c r="J1755">
        <f>_xlfn.XLOOKUP($A1755,Load!$B:$B,Load!K:K,0,)</f>
        <v>0</v>
      </c>
      <c r="K1755">
        <f>_xlfn.XLOOKUP($A1755,Load!$B:$B,Load!L:L,0,)</f>
        <v>0</v>
      </c>
      <c r="L1755">
        <f>_xlfn.XLOOKUP($A1755,Load!$B:$B,Load!M:M,0,)</f>
        <v>0</v>
      </c>
    </row>
    <row r="1756" spans="1:12" x14ac:dyDescent="0.25">
      <c r="B1756">
        <f>_xlfn.XLOOKUP($A1756,Load!$B:$B,Load!C:C,0,)</f>
        <v>0</v>
      </c>
      <c r="C1756">
        <f>_xlfn.XLOOKUP($A1756,Load!$B:$B,Load!D:D,0,)</f>
        <v>0</v>
      </c>
      <c r="D1756">
        <f>_xlfn.XLOOKUP($A1756,Load!$B:$B,Load!E:E,0,)</f>
        <v>0</v>
      </c>
      <c r="E1756">
        <f>_xlfn.XLOOKUP($A1756,Load!$B:$B,Load!F:F,0,)</f>
        <v>0</v>
      </c>
      <c r="F1756">
        <f>_xlfn.XLOOKUP($A1756,Load!$B:$B,Load!G:G,0,)</f>
        <v>0</v>
      </c>
      <c r="G1756">
        <f>_xlfn.XLOOKUP($A1756,Load!$B:$B,Load!H:H,0,)</f>
        <v>0</v>
      </c>
      <c r="H1756">
        <f>_xlfn.XLOOKUP($A1756,Load!$B:$B,Load!I:I,0,)</f>
        <v>0</v>
      </c>
      <c r="I1756">
        <f>_xlfn.XLOOKUP($A1756,Load!$B:$B,Load!J:J,0,)</f>
        <v>0</v>
      </c>
      <c r="J1756">
        <f>_xlfn.XLOOKUP($A1756,Load!$B:$B,Load!K:K,0,)</f>
        <v>0</v>
      </c>
      <c r="K1756">
        <f>_xlfn.XLOOKUP($A1756,Load!$B:$B,Load!L:L,0,)</f>
        <v>0</v>
      </c>
      <c r="L1756">
        <f>_xlfn.XLOOKUP($A1756,Load!$B:$B,Load!M:M,0,)</f>
        <v>0</v>
      </c>
    </row>
    <row r="1757" spans="1:12" x14ac:dyDescent="0.25">
      <c r="B1757">
        <f>_xlfn.XLOOKUP($A1757,Load!$B:$B,Load!C:C,0,)</f>
        <v>0</v>
      </c>
      <c r="C1757">
        <f>_xlfn.XLOOKUP($A1757,Load!$B:$B,Load!D:D,0,)</f>
        <v>0</v>
      </c>
      <c r="D1757">
        <f>_xlfn.XLOOKUP($A1757,Load!$B:$B,Load!E:E,0,)</f>
        <v>0</v>
      </c>
      <c r="E1757">
        <f>_xlfn.XLOOKUP($A1757,Load!$B:$B,Load!F:F,0,)</f>
        <v>0</v>
      </c>
      <c r="F1757">
        <f>_xlfn.XLOOKUP($A1757,Load!$B:$B,Load!G:G,0,)</f>
        <v>0</v>
      </c>
      <c r="G1757">
        <f>_xlfn.XLOOKUP($A1757,Load!$B:$B,Load!H:H,0,)</f>
        <v>0</v>
      </c>
      <c r="H1757">
        <f>_xlfn.XLOOKUP($A1757,Load!$B:$B,Load!I:I,0,)</f>
        <v>0</v>
      </c>
      <c r="I1757">
        <f>_xlfn.XLOOKUP($A1757,Load!$B:$B,Load!J:J,0,)</f>
        <v>0</v>
      </c>
      <c r="J1757">
        <f>_xlfn.XLOOKUP($A1757,Load!$B:$B,Load!K:K,0,)</f>
        <v>0</v>
      </c>
      <c r="K1757">
        <f>_xlfn.XLOOKUP($A1757,Load!$B:$B,Load!L:L,0,)</f>
        <v>0</v>
      </c>
      <c r="L1757">
        <f>_xlfn.XLOOKUP($A1757,Load!$B:$B,Load!M:M,0,)</f>
        <v>0</v>
      </c>
    </row>
    <row r="1758" spans="1:12" x14ac:dyDescent="0.25">
      <c r="A1758" t="s">
        <v>135</v>
      </c>
      <c r="B1758" t="str">
        <f>_xlfn.XLOOKUP($A1758,Load!$B:$B,Load!C:C,0,)</f>
        <v>Hershey's Variety Pack</v>
      </c>
      <c r="C1758" t="str">
        <f>_xlfn.XLOOKUP($A1758,Load!$B:$B,Load!D:D,0,)</f>
        <v>Non-Chocolate Candy Only</v>
      </c>
      <c r="D1758" t="str">
        <f>_xlfn.XLOOKUP($A1758,Load!$B:$B,Load!E:E,0,)</f>
        <v>Variety / Mixed Flavors (Fruity, Sour, Seasonal Flavors)</v>
      </c>
      <c r="E1758" t="str">
        <f>_xlfn.XLOOKUP($A1758,Load!$B:$B,Load!F:F,0,)</f>
        <v>Mixed / Combo Packs (Gummy, Chewy, Taffy, etc.)</v>
      </c>
      <c r="F1758" t="str">
        <f>_xlfn.XLOOKUP($A1758,Load!$B:$B,Load!G:G,0,)</f>
        <v>Large Multipack (More than 80 ct)</v>
      </c>
      <c r="G1758" t="str">
        <f>_xlfn.XLOOKUP($A1758,Load!$B:$B,Load!H:H,0,)</f>
        <v>Stand-Up Bag</v>
      </c>
      <c r="H1758" t="str">
        <f>_xlfn.XLOOKUP($A1758,Load!$B:$B,Load!I:I,0,)</f>
        <v>Everyday Candy Shapes (like Original, Gummy bear, Fruit, Jewels, etc.)</v>
      </c>
      <c r="I1758" t="str">
        <f>_xlfn.XLOOKUP($A1758,Load!$B:$B,Load!J:J,0,)</f>
        <v>Everyday Graphics</v>
      </c>
      <c r="J1758" t="str">
        <f>_xlfn.XLOOKUP($A1758,Load!$B:$B,Load!K:K,0,)</f>
        <v xml:space="preserve">Variety Candy Sizes </v>
      </c>
      <c r="K1758" t="str">
        <f>_xlfn.XLOOKUP($A1758,Load!$B:$B,Load!L:L,0,)</f>
        <v>Regular/Original Wrapping</v>
      </c>
      <c r="L1758" t="str">
        <f>_xlfn.XLOOKUP($A1758,Load!$B:$B,Load!M:M,0,)</f>
        <v>Multiple Brands / Variety Flavors or Form</v>
      </c>
    </row>
    <row r="1759" spans="1:12" x14ac:dyDescent="0.25">
      <c r="A1759" t="s">
        <v>188</v>
      </c>
      <c r="B1759" t="str">
        <f>_xlfn.XLOOKUP($A1759,Load!$B:$B,Load!C:C,0,)</f>
        <v>Mars Variety Pack</v>
      </c>
      <c r="C1759" t="str">
        <f>_xlfn.XLOOKUP($A1759,Load!$B:$B,Load!D:D,0,)</f>
        <v>Non-Chocolate Candy Only</v>
      </c>
      <c r="D1759" t="str">
        <f>_xlfn.XLOOKUP($A1759,Load!$B:$B,Load!E:E,0,)</f>
        <v>Variety / Mixed Flavors (Fruity, Sour, Seasonal Flavors)</v>
      </c>
      <c r="E1759" t="str">
        <f>_xlfn.XLOOKUP($A1759,Load!$B:$B,Load!F:F,0,)</f>
        <v>Mixed / Combo Packs (Gummy, Chewy, Taffy, etc.)</v>
      </c>
      <c r="F1759" t="str">
        <f>_xlfn.XLOOKUP($A1759,Load!$B:$B,Load!G:G,0,)</f>
        <v>Large Multipack (More than 80 ct)</v>
      </c>
      <c r="G1759" t="str">
        <f>_xlfn.XLOOKUP($A1759,Load!$B:$B,Load!H:H,0,)</f>
        <v>Laydown Bag</v>
      </c>
      <c r="H1759" t="str">
        <f>_xlfn.XLOOKUP($A1759,Load!$B:$B,Load!I:I,0,)</f>
        <v>Everyday Candy Shapes (like Original, Gummy bear, Fruit, Jewels, etc.)</v>
      </c>
      <c r="I1759" t="str">
        <f>_xlfn.XLOOKUP($A1759,Load!$B:$B,Load!J:J,0,)</f>
        <v>Everyday Graphics</v>
      </c>
      <c r="J1759" t="str">
        <f>_xlfn.XLOOKUP($A1759,Load!$B:$B,Load!K:K,0,)</f>
        <v>Small Pieces (Tiny bite size candies)</v>
      </c>
      <c r="K1759" t="str">
        <f>_xlfn.XLOOKUP($A1759,Load!$B:$B,Load!L:L,0,)</f>
        <v>Regular/Original Wrapping</v>
      </c>
      <c r="L1759" t="str">
        <f>_xlfn.XLOOKUP($A1759,Load!$B:$B,Load!M:M,0,)</f>
        <v>Multiple Brands / Variety Flavors or Form</v>
      </c>
    </row>
    <row r="1760" spans="1:12" x14ac:dyDescent="0.25">
      <c r="A1760" t="s">
        <v>108</v>
      </c>
      <c r="B1760" t="str">
        <f>_xlfn.XLOOKUP($A1760,Load!$B:$B,Load!C:C,0,)</f>
        <v>Frankford</v>
      </c>
      <c r="C1760" t="str">
        <f>_xlfn.XLOOKUP($A1760,Load!$B:$B,Load!D:D,0,)</f>
        <v>Non-Chocolate Candy Only</v>
      </c>
      <c r="D1760" t="str">
        <f>_xlfn.XLOOKUP($A1760,Load!$B:$B,Load!E:E,0,)</f>
        <v>Fruit Flavor (Cherry, Grape, Apple, Citrus, Tropical Fruit)</v>
      </c>
      <c r="E1760" t="str">
        <f>_xlfn.XLOOKUP($A1760,Load!$B:$B,Load!F:F,0,)</f>
        <v>Gummy</v>
      </c>
      <c r="F1760" t="str">
        <f>_xlfn.XLOOKUP($A1760,Load!$B:$B,Load!G:G,0,)</f>
        <v>Small Multipack (Less than 40 ct)</v>
      </c>
      <c r="G1760" t="str">
        <f>_xlfn.XLOOKUP($A1760,Load!$B:$B,Load!H:H,0,)</f>
        <v>Laydown Bag</v>
      </c>
      <c r="H1760" t="str">
        <f>_xlfn.XLOOKUP($A1760,Load!$B:$B,Load!I:I,0,)</f>
        <v>Everyday Candy Shapes (like Original, Gummy bear, Fruit, Jewels, etc.)</v>
      </c>
      <c r="I1760" t="str">
        <f>_xlfn.XLOOKUP($A1760,Load!$B:$B,Load!J:J,0,)</f>
        <v>Seasonal Graphics (Like Bat, Ghost, Pumpkin, Fall Leaves, Eyeballs, etc.)</v>
      </c>
      <c r="J1760" t="str">
        <f>_xlfn.XLOOKUP($A1760,Load!$B:$B,Load!K:K,0,)</f>
        <v>Fun Size / Treat Size</v>
      </c>
      <c r="K1760" t="str">
        <f>_xlfn.XLOOKUP($A1760,Load!$B:$B,Load!L:L,0,)</f>
        <v>Regular/Original Wrapping</v>
      </c>
      <c r="L1760" t="str">
        <f>_xlfn.XLOOKUP($A1760,Load!$B:$B,Load!M:M,0,)</f>
        <v>Single Brand / Single Flavor or Form</v>
      </c>
    </row>
    <row r="1761" spans="1:12" x14ac:dyDescent="0.25">
      <c r="A1761" t="s">
        <v>136</v>
      </c>
      <c r="B1761" t="str">
        <f>_xlfn.XLOOKUP($A1761,Load!$B:$B,Load!C:C,0,)</f>
        <v>Hershey's Variety Pack + Haribo</v>
      </c>
      <c r="C1761" t="str">
        <f>_xlfn.XLOOKUP($A1761,Load!$B:$B,Load!D:D,0,)</f>
        <v>Non-Chocolate Candy Only</v>
      </c>
      <c r="D1761" t="str">
        <f>_xlfn.XLOOKUP($A1761,Load!$B:$B,Load!E:E,0,)</f>
        <v>Variety / Mixed Flavors (Fruity, Sour, Seasonal Flavors)</v>
      </c>
      <c r="E1761" t="str">
        <f>_xlfn.XLOOKUP($A1761,Load!$B:$B,Load!F:F,0,)</f>
        <v>Mixed / Combo Packs (Gummy, Chewy, Taffy, etc.)</v>
      </c>
      <c r="F1761" t="str">
        <f>_xlfn.XLOOKUP($A1761,Load!$B:$B,Load!G:G,0,)</f>
        <v>Medium Multipack (40–80 ct)</v>
      </c>
      <c r="G1761" t="str">
        <f>_xlfn.XLOOKUP($A1761,Load!$B:$B,Load!H:H,0,)</f>
        <v>Laydown Bag</v>
      </c>
      <c r="H1761" t="str">
        <f>_xlfn.XLOOKUP($A1761,Load!$B:$B,Load!I:I,0,)</f>
        <v>Everyday Candy Shapes (like Original, Gummy bear, Fruit, Jewels, etc.)</v>
      </c>
      <c r="I1761" t="str">
        <f>_xlfn.XLOOKUP($A1761,Load!$B:$B,Load!J:J,0,)</f>
        <v>Seasonal Graphics (Like Bat, Ghost, Pumpkin, Fall Leaves, Eyeballs, etc.)</v>
      </c>
      <c r="J1761" t="str">
        <f>_xlfn.XLOOKUP($A1761,Load!$B:$B,Load!K:K,0,)</f>
        <v xml:space="preserve">Variety Candy Sizes </v>
      </c>
      <c r="K1761" t="str">
        <f>_xlfn.XLOOKUP($A1761,Load!$B:$B,Load!L:L,0,)</f>
        <v>Regular/Original Wrapping</v>
      </c>
      <c r="L1761" t="str">
        <f>_xlfn.XLOOKUP($A1761,Load!$B:$B,Load!M:M,0,)</f>
        <v>Multiple Brands / Variety Flavors or Form</v>
      </c>
    </row>
    <row r="1762" spans="1:12" x14ac:dyDescent="0.25">
      <c r="A1762" t="s">
        <v>222</v>
      </c>
      <c r="B1762" t="str">
        <f>_xlfn.XLOOKUP($A1762,Load!$B:$B,Load!C:C,0,)</f>
        <v>Nerds</v>
      </c>
      <c r="C1762" t="str">
        <f>_xlfn.XLOOKUP($A1762,Load!$B:$B,Load!D:D,0,)</f>
        <v>Non-Chocolate Candy Only</v>
      </c>
      <c r="D1762" t="str">
        <f>_xlfn.XLOOKUP($A1762,Load!$B:$B,Load!E:E,0,)</f>
        <v>Sweet</v>
      </c>
      <c r="E1762" t="str">
        <f>_xlfn.XLOOKUP($A1762,Load!$B:$B,Load!F:F,0,)</f>
        <v>Gummy</v>
      </c>
      <c r="F1762" t="str">
        <f>_xlfn.XLOOKUP($A1762,Load!$B:$B,Load!G:G,0,)</f>
        <v>Small Multipack (Less than 40 ct)</v>
      </c>
      <c r="G1762" t="str">
        <f>_xlfn.XLOOKUP($A1762,Load!$B:$B,Load!H:H,0,)</f>
        <v>Stand-Up Bag</v>
      </c>
      <c r="H1762" t="str">
        <f>_xlfn.XLOOKUP($A1762,Load!$B:$B,Load!I:I,0,)</f>
        <v>Everyday Candy Shapes (like Original, Gummy bear, Fruit, Jewels, etc.)</v>
      </c>
      <c r="I1762" t="str">
        <f>_xlfn.XLOOKUP($A1762,Load!$B:$B,Load!J:J,0,)</f>
        <v>Seasonal Graphics (Like Bat, Ghost, Pumpkin, Fall Leaves, Eyeballs, etc.)</v>
      </c>
      <c r="J1762" t="str">
        <f>_xlfn.XLOOKUP($A1762,Load!$B:$B,Load!K:K,0,)</f>
        <v>Fun Size / Treat Size</v>
      </c>
      <c r="K1762" t="str">
        <f>_xlfn.XLOOKUP($A1762,Load!$B:$B,Load!L:L,0,)</f>
        <v>Regular/Original Wrapping</v>
      </c>
      <c r="L1762" t="str">
        <f>_xlfn.XLOOKUP($A1762,Load!$B:$B,Load!M:M,0,)</f>
        <v>Single Brand / Variety Flavors or Form</v>
      </c>
    </row>
    <row r="1763" spans="1:12" x14ac:dyDescent="0.25">
      <c r="A1763" t="s">
        <v>467</v>
      </c>
      <c r="B1763" t="str">
        <f>_xlfn.XLOOKUP($A1763,Load!$B:$B,Load!C:C,0,)</f>
        <v>Trolli</v>
      </c>
      <c r="C1763" t="str">
        <f>_xlfn.XLOOKUP($A1763,Load!$B:$B,Load!D:D,0,)</f>
        <v>Non-Chocolate Candy Only</v>
      </c>
      <c r="D1763" t="str">
        <f>_xlfn.XLOOKUP($A1763,Load!$B:$B,Load!E:E,0,)</f>
        <v>Sour</v>
      </c>
      <c r="E1763" t="str">
        <f>_xlfn.XLOOKUP($A1763,Load!$B:$B,Load!F:F,0,)</f>
        <v>Gummy</v>
      </c>
      <c r="F1763" t="str">
        <f>_xlfn.XLOOKUP($A1763,Load!$B:$B,Load!G:G,0,)</f>
        <v>Small Multipack (Less than 40 ct)</v>
      </c>
      <c r="G1763" t="str">
        <f>_xlfn.XLOOKUP($A1763,Load!$B:$B,Load!H:H,0,)</f>
        <v>Laydown Bag</v>
      </c>
      <c r="H1763" t="str">
        <f>_xlfn.XLOOKUP($A1763,Load!$B:$B,Load!I:I,0,)</f>
        <v>Seasonal Shapes (like pumpkins, candy corn, ghost, bats, etc.)</v>
      </c>
      <c r="I1763" t="str">
        <f>_xlfn.XLOOKUP($A1763,Load!$B:$B,Load!J:J,0,)</f>
        <v>Seasonal Graphics (Like Bat, Ghost, Pumpkin, Fall Leaves, Eyeballs, etc.)</v>
      </c>
      <c r="J1763" t="str">
        <f>_xlfn.XLOOKUP($A1763,Load!$B:$B,Load!K:K,0,)</f>
        <v>Fun Size / Treat Size</v>
      </c>
      <c r="K1763" t="str">
        <f>_xlfn.XLOOKUP($A1763,Load!$B:$B,Load!L:L,0,)</f>
        <v>Regular/Original Wrapping</v>
      </c>
      <c r="L1763" t="str">
        <f>_xlfn.XLOOKUP($A1763,Load!$B:$B,Load!M:M,0,)</f>
        <v>Single Brand / Variety Flavors or Form</v>
      </c>
    </row>
    <row r="1764" spans="1:12" x14ac:dyDescent="0.25">
      <c r="A1764" t="s">
        <v>203</v>
      </c>
      <c r="B1764" t="str">
        <f>_xlfn.XLOOKUP($A1764,Load!$B:$B,Load!C:C,0,)</f>
        <v>Mars Variety Pack</v>
      </c>
      <c r="C1764" t="str">
        <f>_xlfn.XLOOKUP($A1764,Load!$B:$B,Load!D:D,0,)</f>
        <v>Mix of Chocolate and Non-Chocolate Candy</v>
      </c>
      <c r="D1764" t="str">
        <f>_xlfn.XLOOKUP($A1764,Load!$B:$B,Load!E:E,0,)</f>
        <v>Variety / Mixed Flavors (Fruity, Sour, Seasonal Flavors)</v>
      </c>
      <c r="E1764" t="str">
        <f>_xlfn.XLOOKUP($A1764,Load!$B:$B,Load!F:F,0,)</f>
        <v>Mixed / Combo Packs (Gummy, Chewy, Taffy, etc.)</v>
      </c>
      <c r="F1764" t="str">
        <f>_xlfn.XLOOKUP($A1764,Load!$B:$B,Load!G:G,0,)</f>
        <v>Small Multipack (Less than 40 ct)</v>
      </c>
      <c r="G1764" t="str">
        <f>_xlfn.XLOOKUP($A1764,Load!$B:$B,Load!H:H,0,)</f>
        <v>Box (theatre box, gift box, carton)</v>
      </c>
      <c r="H1764" t="str">
        <f>_xlfn.XLOOKUP($A1764,Load!$B:$B,Load!I:I,0,)</f>
        <v>Everyday Candy Shapes (like Original, Gummy bear, Fruit, Jewels, etc.)</v>
      </c>
      <c r="I1764" t="str">
        <f>_xlfn.XLOOKUP($A1764,Load!$B:$B,Load!J:J,0,)</f>
        <v>Everyday Graphics</v>
      </c>
      <c r="J1764" t="str">
        <f>_xlfn.XLOOKUP($A1764,Load!$B:$B,Load!K:K,0,)</f>
        <v>Fun Size / Treat Size</v>
      </c>
      <c r="K1764" t="str">
        <f>_xlfn.XLOOKUP($A1764,Load!$B:$B,Load!L:L,0,)</f>
        <v>Regular/Original Wrapping</v>
      </c>
      <c r="L1764" t="str">
        <f>_xlfn.XLOOKUP($A1764,Load!$B:$B,Load!M:M,0,)</f>
        <v>Multiple Brands / Variety Flavors or Form</v>
      </c>
    </row>
    <row r="1765" spans="1:12" x14ac:dyDescent="0.25">
      <c r="A1765" t="s">
        <v>200</v>
      </c>
      <c r="B1765" t="str">
        <f>_xlfn.XLOOKUP($A1765,Load!$B:$B,Load!C:C,0,)</f>
        <v>Mars Variety Pack</v>
      </c>
      <c r="C1765" t="str">
        <f>_xlfn.XLOOKUP($A1765,Load!$B:$B,Load!D:D,0,)</f>
        <v>Non-Chocolate Candy Only</v>
      </c>
      <c r="D1765" t="str">
        <f>_xlfn.XLOOKUP($A1765,Load!$B:$B,Load!E:E,0,)</f>
        <v>Variety / Mixed Flavors (Fruity, Sour, Seasonal Flavors)</v>
      </c>
      <c r="E1765" t="str">
        <f>_xlfn.XLOOKUP($A1765,Load!$B:$B,Load!F:F,0,)</f>
        <v>Mixed / Combo Packs (Gummy, Chewy, Taffy, etc.)</v>
      </c>
      <c r="F1765" t="str">
        <f>_xlfn.XLOOKUP($A1765,Load!$B:$B,Load!G:G,0,)</f>
        <v>Small Multipack (Less than 40 ct)</v>
      </c>
      <c r="G1765" t="str">
        <f>_xlfn.XLOOKUP($A1765,Load!$B:$B,Load!H:H,0,)</f>
        <v>Box (theatre box, gift box, carton)</v>
      </c>
      <c r="H1765" t="str">
        <f>_xlfn.XLOOKUP($A1765,Load!$B:$B,Load!I:I,0,)</f>
        <v>Everyday Candy Shapes (like Original, Gummy bear, Fruit, Jewels, etc.)</v>
      </c>
      <c r="I1765" t="str">
        <f>_xlfn.XLOOKUP($A1765,Load!$B:$B,Load!J:J,0,)</f>
        <v>Seasonal Graphics (Like Bat, Ghost, Pumpkin, Fall Leaves, Eyeballs, etc.)</v>
      </c>
      <c r="J1765" t="str">
        <f>_xlfn.XLOOKUP($A1765,Load!$B:$B,Load!K:K,0,)</f>
        <v>Small Pieces (Tiny bite size candies)</v>
      </c>
      <c r="K1765" t="str">
        <f>_xlfn.XLOOKUP($A1765,Load!$B:$B,Load!L:L,0,)</f>
        <v>Regular/Original Wrapping</v>
      </c>
      <c r="L1765" t="str">
        <f>_xlfn.XLOOKUP($A1765,Load!$B:$B,Load!M:M,0,)</f>
        <v>Multiple Brands / Variety Flavors or Form</v>
      </c>
    </row>
    <row r="1766" spans="1:12" x14ac:dyDescent="0.25">
      <c r="A1766" t="s">
        <v>202</v>
      </c>
      <c r="B1766" t="str">
        <f>_xlfn.XLOOKUP($A1766,Load!$B:$B,Load!C:C,0,)</f>
        <v>Mars Variety Pack</v>
      </c>
      <c r="C1766" t="str">
        <f>_xlfn.XLOOKUP($A1766,Load!$B:$B,Load!D:D,0,)</f>
        <v>Mix of Chocolate and Non-Chocolate Candy</v>
      </c>
      <c r="D1766" t="str">
        <f>_xlfn.XLOOKUP($A1766,Load!$B:$B,Load!E:E,0,)</f>
        <v>Variety / Mixed Flavors (Fruity, Sour, Seasonal Flavors)</v>
      </c>
      <c r="E1766" t="str">
        <f>_xlfn.XLOOKUP($A1766,Load!$B:$B,Load!F:F,0,)</f>
        <v>Mixed / Combo Packs (Gummy, Chewy, Taffy, etc.)</v>
      </c>
      <c r="F1766" t="str">
        <f>_xlfn.XLOOKUP($A1766,Load!$B:$B,Load!G:G,0,)</f>
        <v>Large Multipack (More than 80 ct)</v>
      </c>
      <c r="G1766" t="str">
        <f>_xlfn.XLOOKUP($A1766,Load!$B:$B,Load!H:H,0,)</f>
        <v>Stand-Up Bag</v>
      </c>
      <c r="H1766" t="str">
        <f>_xlfn.XLOOKUP($A1766,Load!$B:$B,Load!I:I,0,)</f>
        <v>Everyday Candy Shapes (like Original, Gummy bear, Fruit, Jewels, etc.)</v>
      </c>
      <c r="I1766" t="str">
        <f>_xlfn.XLOOKUP($A1766,Load!$B:$B,Load!J:J,0,)</f>
        <v>Everyday Graphics</v>
      </c>
      <c r="J1766" t="str">
        <f>_xlfn.XLOOKUP($A1766,Load!$B:$B,Load!K:K,0,)</f>
        <v>Fun Size / Treat Size</v>
      </c>
      <c r="K1766" t="str">
        <f>_xlfn.XLOOKUP($A1766,Load!$B:$B,Load!L:L,0,)</f>
        <v>Regular/Original Wrapping</v>
      </c>
      <c r="L1766" t="str">
        <f>_xlfn.XLOOKUP($A1766,Load!$B:$B,Load!M:M,0,)</f>
        <v>Multiple Brands / Variety Flavors or Form</v>
      </c>
    </row>
    <row r="1767" spans="1:12" x14ac:dyDescent="0.25">
      <c r="B1767">
        <f>_xlfn.XLOOKUP($A1767,Load!$B:$B,Load!C:C,0,)</f>
        <v>0</v>
      </c>
      <c r="C1767">
        <f>_xlfn.XLOOKUP($A1767,Load!$B:$B,Load!D:D,0,)</f>
        <v>0</v>
      </c>
      <c r="D1767">
        <f>_xlfn.XLOOKUP($A1767,Load!$B:$B,Load!E:E,0,)</f>
        <v>0</v>
      </c>
      <c r="E1767">
        <f>_xlfn.XLOOKUP($A1767,Load!$B:$B,Load!F:F,0,)</f>
        <v>0</v>
      </c>
      <c r="F1767">
        <f>_xlfn.XLOOKUP($A1767,Load!$B:$B,Load!G:G,0,)</f>
        <v>0</v>
      </c>
      <c r="G1767">
        <f>_xlfn.XLOOKUP($A1767,Load!$B:$B,Load!H:H,0,)</f>
        <v>0</v>
      </c>
      <c r="H1767">
        <f>_xlfn.XLOOKUP($A1767,Load!$B:$B,Load!I:I,0,)</f>
        <v>0</v>
      </c>
      <c r="I1767">
        <f>_xlfn.XLOOKUP($A1767,Load!$B:$B,Load!J:J,0,)</f>
        <v>0</v>
      </c>
      <c r="J1767">
        <f>_xlfn.XLOOKUP($A1767,Load!$B:$B,Load!K:K,0,)</f>
        <v>0</v>
      </c>
      <c r="K1767">
        <f>_xlfn.XLOOKUP($A1767,Load!$B:$B,Load!L:L,0,)</f>
        <v>0</v>
      </c>
      <c r="L1767">
        <f>_xlfn.XLOOKUP($A1767,Load!$B:$B,Load!M:M,0,)</f>
        <v>0</v>
      </c>
    </row>
    <row r="1768" spans="1:12" x14ac:dyDescent="0.25">
      <c r="B1768">
        <f>_xlfn.XLOOKUP($A1768,Load!$B:$B,Load!C:C,0,)</f>
        <v>0</v>
      </c>
      <c r="C1768">
        <f>_xlfn.XLOOKUP($A1768,Load!$B:$B,Load!D:D,0,)</f>
        <v>0</v>
      </c>
      <c r="D1768">
        <f>_xlfn.XLOOKUP($A1768,Load!$B:$B,Load!E:E,0,)</f>
        <v>0</v>
      </c>
      <c r="E1768">
        <f>_xlfn.XLOOKUP($A1768,Load!$B:$B,Load!F:F,0,)</f>
        <v>0</v>
      </c>
      <c r="F1768">
        <f>_xlfn.XLOOKUP($A1768,Load!$B:$B,Load!G:G,0,)</f>
        <v>0</v>
      </c>
      <c r="G1768">
        <f>_xlfn.XLOOKUP($A1768,Load!$B:$B,Load!H:H,0,)</f>
        <v>0</v>
      </c>
      <c r="H1768">
        <f>_xlfn.XLOOKUP($A1768,Load!$B:$B,Load!I:I,0,)</f>
        <v>0</v>
      </c>
      <c r="I1768">
        <f>_xlfn.XLOOKUP($A1768,Load!$B:$B,Load!J:J,0,)</f>
        <v>0</v>
      </c>
      <c r="J1768">
        <f>_xlfn.XLOOKUP($A1768,Load!$B:$B,Load!K:K,0,)</f>
        <v>0</v>
      </c>
      <c r="K1768">
        <f>_xlfn.XLOOKUP($A1768,Load!$B:$B,Load!L:L,0,)</f>
        <v>0</v>
      </c>
      <c r="L1768">
        <f>_xlfn.XLOOKUP($A1768,Load!$B:$B,Load!M:M,0,)</f>
        <v>0</v>
      </c>
    </row>
    <row r="1769" spans="1:12" x14ac:dyDescent="0.25">
      <c r="B1769">
        <f>_xlfn.XLOOKUP($A1769,Load!$B:$B,Load!C:C,0,)</f>
        <v>0</v>
      </c>
      <c r="C1769">
        <f>_xlfn.XLOOKUP($A1769,Load!$B:$B,Load!D:D,0,)</f>
        <v>0</v>
      </c>
      <c r="D1769">
        <f>_xlfn.XLOOKUP($A1769,Load!$B:$B,Load!E:E,0,)</f>
        <v>0</v>
      </c>
      <c r="E1769">
        <f>_xlfn.XLOOKUP($A1769,Load!$B:$B,Load!F:F,0,)</f>
        <v>0</v>
      </c>
      <c r="F1769">
        <f>_xlfn.XLOOKUP($A1769,Load!$B:$B,Load!G:G,0,)</f>
        <v>0</v>
      </c>
      <c r="G1769">
        <f>_xlfn.XLOOKUP($A1769,Load!$B:$B,Load!H:H,0,)</f>
        <v>0</v>
      </c>
      <c r="H1769">
        <f>_xlfn.XLOOKUP($A1769,Load!$B:$B,Load!I:I,0,)</f>
        <v>0</v>
      </c>
      <c r="I1769">
        <f>_xlfn.XLOOKUP($A1769,Load!$B:$B,Load!J:J,0,)</f>
        <v>0</v>
      </c>
      <c r="J1769">
        <f>_xlfn.XLOOKUP($A1769,Load!$B:$B,Load!K:K,0,)</f>
        <v>0</v>
      </c>
      <c r="K1769">
        <f>_xlfn.XLOOKUP($A1769,Load!$B:$B,Load!L:L,0,)</f>
        <v>0</v>
      </c>
      <c r="L1769">
        <f>_xlfn.XLOOKUP($A1769,Load!$B:$B,Load!M:M,0,)</f>
        <v>0</v>
      </c>
    </row>
    <row r="1770" spans="1:12" x14ac:dyDescent="0.25">
      <c r="A1770" t="s">
        <v>134</v>
      </c>
      <c r="B1770" t="str">
        <f>_xlfn.XLOOKUP($A1770,Load!$B:$B,Load!C:C,0,)</f>
        <v>Hershey's Variety Pack</v>
      </c>
      <c r="C1770" t="str">
        <f>_xlfn.XLOOKUP($A1770,Load!$B:$B,Load!D:D,0,)</f>
        <v>Non-Chocolate Candy Only</v>
      </c>
      <c r="D1770" t="str">
        <f>_xlfn.XLOOKUP($A1770,Load!$B:$B,Load!E:E,0,)</f>
        <v>Variety / Mixed Flavors (Fruity, Sour, Seasonal Flavors)</v>
      </c>
      <c r="E1770" t="str">
        <f>_xlfn.XLOOKUP($A1770,Load!$B:$B,Load!F:F,0,)</f>
        <v>Mixed / Combo Packs (Gummy, Chewy, Taffy, etc.)</v>
      </c>
      <c r="F1770" t="str">
        <f>_xlfn.XLOOKUP($A1770,Load!$B:$B,Load!G:G,0,)</f>
        <v>Large Multipack (More than 80 ct)</v>
      </c>
      <c r="G1770" t="str">
        <f>_xlfn.XLOOKUP($A1770,Load!$B:$B,Load!H:H,0,)</f>
        <v>Stand-Up Bag</v>
      </c>
      <c r="H1770" t="str">
        <f>_xlfn.XLOOKUP($A1770,Load!$B:$B,Load!I:I,0,)</f>
        <v>Everyday Candy Shapes (like Original, Gummy bear, Fruit, Jewels, etc.)</v>
      </c>
      <c r="I1770" t="str">
        <f>_xlfn.XLOOKUP($A1770,Load!$B:$B,Load!J:J,0,)</f>
        <v>Seasonal Graphics (Like Bat, Ghost, Pumpkin, Fall Leaves, Eyeballs, etc.)</v>
      </c>
      <c r="J1770" t="str">
        <f>_xlfn.XLOOKUP($A1770,Load!$B:$B,Load!K:K,0,)</f>
        <v xml:space="preserve">Variety Candy Sizes </v>
      </c>
      <c r="K1770" t="str">
        <f>_xlfn.XLOOKUP($A1770,Load!$B:$B,Load!L:L,0,)</f>
        <v>Regular/Original Wrapping</v>
      </c>
      <c r="L1770" t="str">
        <f>_xlfn.XLOOKUP($A1770,Load!$B:$B,Load!M:M,0,)</f>
        <v>Multiple Brands / Variety Flavors or Form</v>
      </c>
    </row>
    <row r="1771" spans="1:12" x14ac:dyDescent="0.25">
      <c r="B1771">
        <f>_xlfn.XLOOKUP($A1771,Load!$B:$B,Load!C:C,0,)</f>
        <v>0</v>
      </c>
      <c r="C1771">
        <f>_xlfn.XLOOKUP($A1771,Load!$B:$B,Load!D:D,0,)</f>
        <v>0</v>
      </c>
      <c r="D1771">
        <f>_xlfn.XLOOKUP($A1771,Load!$B:$B,Load!E:E,0,)</f>
        <v>0</v>
      </c>
      <c r="E1771">
        <f>_xlfn.XLOOKUP($A1771,Load!$B:$B,Load!F:F,0,)</f>
        <v>0</v>
      </c>
      <c r="F1771">
        <f>_xlfn.XLOOKUP($A1771,Load!$B:$B,Load!G:G,0,)</f>
        <v>0</v>
      </c>
      <c r="G1771">
        <f>_xlfn.XLOOKUP($A1771,Load!$B:$B,Load!H:H,0,)</f>
        <v>0</v>
      </c>
      <c r="H1771">
        <f>_xlfn.XLOOKUP($A1771,Load!$B:$B,Load!I:I,0,)</f>
        <v>0</v>
      </c>
      <c r="I1771">
        <f>_xlfn.XLOOKUP($A1771,Load!$B:$B,Load!J:J,0,)</f>
        <v>0</v>
      </c>
      <c r="J1771">
        <f>_xlfn.XLOOKUP($A1771,Load!$B:$B,Load!K:K,0,)</f>
        <v>0</v>
      </c>
      <c r="K1771">
        <f>_xlfn.XLOOKUP($A1771,Load!$B:$B,Load!L:L,0,)</f>
        <v>0</v>
      </c>
      <c r="L1771">
        <f>_xlfn.XLOOKUP($A1771,Load!$B:$B,Load!M:M,0,)</f>
        <v>0</v>
      </c>
    </row>
    <row r="1772" spans="1:12" x14ac:dyDescent="0.25">
      <c r="B1772">
        <f>_xlfn.XLOOKUP($A1772,Load!$B:$B,Load!C:C,0,)</f>
        <v>0</v>
      </c>
      <c r="C1772">
        <f>_xlfn.XLOOKUP($A1772,Load!$B:$B,Load!D:D,0,)</f>
        <v>0</v>
      </c>
      <c r="D1772">
        <f>_xlfn.XLOOKUP($A1772,Load!$B:$B,Load!E:E,0,)</f>
        <v>0</v>
      </c>
      <c r="E1772">
        <f>_xlfn.XLOOKUP($A1772,Load!$B:$B,Load!F:F,0,)</f>
        <v>0</v>
      </c>
      <c r="F1772">
        <f>_xlfn.XLOOKUP($A1772,Load!$B:$B,Load!G:G,0,)</f>
        <v>0</v>
      </c>
      <c r="G1772">
        <f>_xlfn.XLOOKUP($A1772,Load!$B:$B,Load!H:H,0,)</f>
        <v>0</v>
      </c>
      <c r="H1772">
        <f>_xlfn.XLOOKUP($A1772,Load!$B:$B,Load!I:I,0,)</f>
        <v>0</v>
      </c>
      <c r="I1772">
        <f>_xlfn.XLOOKUP($A1772,Load!$B:$B,Load!J:J,0,)</f>
        <v>0</v>
      </c>
      <c r="J1772">
        <f>_xlfn.XLOOKUP($A1772,Load!$B:$B,Load!K:K,0,)</f>
        <v>0</v>
      </c>
      <c r="K1772">
        <f>_xlfn.XLOOKUP($A1772,Load!$B:$B,Load!L:L,0,)</f>
        <v>0</v>
      </c>
      <c r="L1772">
        <f>_xlfn.XLOOKUP($A1772,Load!$B:$B,Load!M:M,0,)</f>
        <v>0</v>
      </c>
    </row>
    <row r="1773" spans="1:12" x14ac:dyDescent="0.25">
      <c r="B1773">
        <f>_xlfn.XLOOKUP($A1773,Load!$B:$B,Load!C:C,0,)</f>
        <v>0</v>
      </c>
      <c r="C1773">
        <f>_xlfn.XLOOKUP($A1773,Load!$B:$B,Load!D:D,0,)</f>
        <v>0</v>
      </c>
      <c r="D1773">
        <f>_xlfn.XLOOKUP($A1773,Load!$B:$B,Load!E:E,0,)</f>
        <v>0</v>
      </c>
      <c r="E1773">
        <f>_xlfn.XLOOKUP($A1773,Load!$B:$B,Load!F:F,0,)</f>
        <v>0</v>
      </c>
      <c r="F1773">
        <f>_xlfn.XLOOKUP($A1773,Load!$B:$B,Load!G:G,0,)</f>
        <v>0</v>
      </c>
      <c r="G1773">
        <f>_xlfn.XLOOKUP($A1773,Load!$B:$B,Load!H:H,0,)</f>
        <v>0</v>
      </c>
      <c r="H1773">
        <f>_xlfn.XLOOKUP($A1773,Load!$B:$B,Load!I:I,0,)</f>
        <v>0</v>
      </c>
      <c r="I1773">
        <f>_xlfn.XLOOKUP($A1773,Load!$B:$B,Load!J:J,0,)</f>
        <v>0</v>
      </c>
      <c r="J1773">
        <f>_xlfn.XLOOKUP($A1773,Load!$B:$B,Load!K:K,0,)</f>
        <v>0</v>
      </c>
      <c r="K1773">
        <f>_xlfn.XLOOKUP($A1773,Load!$B:$B,Load!L:L,0,)</f>
        <v>0</v>
      </c>
      <c r="L1773">
        <f>_xlfn.XLOOKUP($A1773,Load!$B:$B,Load!M:M,0,)</f>
        <v>0</v>
      </c>
    </row>
    <row r="1774" spans="1:12" x14ac:dyDescent="0.25">
      <c r="B1774">
        <f>_xlfn.XLOOKUP($A1774,Load!$B:$B,Load!C:C,0,)</f>
        <v>0</v>
      </c>
      <c r="C1774">
        <f>_xlfn.XLOOKUP($A1774,Load!$B:$B,Load!D:D,0,)</f>
        <v>0</v>
      </c>
      <c r="D1774">
        <f>_xlfn.XLOOKUP($A1774,Load!$B:$B,Load!E:E,0,)</f>
        <v>0</v>
      </c>
      <c r="E1774">
        <f>_xlfn.XLOOKUP($A1774,Load!$B:$B,Load!F:F,0,)</f>
        <v>0</v>
      </c>
      <c r="F1774">
        <f>_xlfn.XLOOKUP($A1774,Load!$B:$B,Load!G:G,0,)</f>
        <v>0</v>
      </c>
      <c r="G1774">
        <f>_xlfn.XLOOKUP($A1774,Load!$B:$B,Load!H:H,0,)</f>
        <v>0</v>
      </c>
      <c r="H1774">
        <f>_xlfn.XLOOKUP($A1774,Load!$B:$B,Load!I:I,0,)</f>
        <v>0</v>
      </c>
      <c r="I1774">
        <f>_xlfn.XLOOKUP($A1774,Load!$B:$B,Load!J:J,0,)</f>
        <v>0</v>
      </c>
      <c r="J1774">
        <f>_xlfn.XLOOKUP($A1774,Load!$B:$B,Load!K:K,0,)</f>
        <v>0</v>
      </c>
      <c r="K1774">
        <f>_xlfn.XLOOKUP($A1774,Load!$B:$B,Load!L:L,0,)</f>
        <v>0</v>
      </c>
      <c r="L1774">
        <f>_xlfn.XLOOKUP($A1774,Load!$B:$B,Load!M:M,0,)</f>
        <v>0</v>
      </c>
    </row>
    <row r="1775" spans="1:12" x14ac:dyDescent="0.25">
      <c r="B1775">
        <f>_xlfn.XLOOKUP($A1775,Load!$B:$B,Load!C:C,0,)</f>
        <v>0</v>
      </c>
      <c r="C1775">
        <f>_xlfn.XLOOKUP($A1775,Load!$B:$B,Load!D:D,0,)</f>
        <v>0</v>
      </c>
      <c r="D1775">
        <f>_xlfn.XLOOKUP($A1775,Load!$B:$B,Load!E:E,0,)</f>
        <v>0</v>
      </c>
      <c r="E1775">
        <f>_xlfn.XLOOKUP($A1775,Load!$B:$B,Load!F:F,0,)</f>
        <v>0</v>
      </c>
      <c r="F1775">
        <f>_xlfn.XLOOKUP($A1775,Load!$B:$B,Load!G:G,0,)</f>
        <v>0</v>
      </c>
      <c r="G1775">
        <f>_xlfn.XLOOKUP($A1775,Load!$B:$B,Load!H:H,0,)</f>
        <v>0</v>
      </c>
      <c r="H1775">
        <f>_xlfn.XLOOKUP($A1775,Load!$B:$B,Load!I:I,0,)</f>
        <v>0</v>
      </c>
      <c r="I1775">
        <f>_xlfn.XLOOKUP($A1775,Load!$B:$B,Load!J:J,0,)</f>
        <v>0</v>
      </c>
      <c r="J1775">
        <f>_xlfn.XLOOKUP($A1775,Load!$B:$B,Load!K:K,0,)</f>
        <v>0</v>
      </c>
      <c r="K1775">
        <f>_xlfn.XLOOKUP($A1775,Load!$B:$B,Load!L:L,0,)</f>
        <v>0</v>
      </c>
      <c r="L1775">
        <f>_xlfn.XLOOKUP($A1775,Load!$B:$B,Load!M:M,0,)</f>
        <v>0</v>
      </c>
    </row>
    <row r="1776" spans="1:12" x14ac:dyDescent="0.25">
      <c r="A1776" t="s">
        <v>327</v>
      </c>
      <c r="B1776" t="str">
        <f>_xlfn.XLOOKUP($A1776,Load!$B:$B,Load!C:C,0,)</f>
        <v>Googly Eyes</v>
      </c>
      <c r="C1776" t="str">
        <f>_xlfn.XLOOKUP($A1776,Load!$B:$B,Load!D:D,0,)</f>
        <v>Non-Chocolate Candy Only</v>
      </c>
      <c r="D1776" t="str">
        <f>_xlfn.XLOOKUP($A1776,Load!$B:$B,Load!E:E,0,)</f>
        <v>Variety / Mixed Flavors (Fruity, Sour, Seasonal Flavors)</v>
      </c>
      <c r="E1776" t="str">
        <f>_xlfn.XLOOKUP($A1776,Load!$B:$B,Load!F:F,0,)</f>
        <v>Candy Pieces / Bites</v>
      </c>
      <c r="F1776" t="str">
        <f>_xlfn.XLOOKUP($A1776,Load!$B:$B,Load!G:G,0,)</f>
        <v>Small Multipack (Less than 40 ct)</v>
      </c>
      <c r="G1776" t="str">
        <f>_xlfn.XLOOKUP($A1776,Load!$B:$B,Load!H:H,0,)</f>
        <v>Plastic Cup / Container</v>
      </c>
      <c r="H1776" t="str">
        <f>_xlfn.XLOOKUP($A1776,Load!$B:$B,Load!I:I,0,)</f>
        <v>Seasonal Shapes (like pumpkins, candy corn, ghost, bats, etc.)</v>
      </c>
      <c r="I1776" t="str">
        <f>_xlfn.XLOOKUP($A1776,Load!$B:$B,Load!J:J,0,)</f>
        <v>Seasonal Graphics (Like Bat, Ghost, Pumpkin, Fall Leaves, Eyeballs, etc.)</v>
      </c>
      <c r="J1776" t="str">
        <f>_xlfn.XLOOKUP($A1776,Load!$B:$B,Load!K:K,0,)</f>
        <v>Fun Size / Treat Size</v>
      </c>
      <c r="K1776" t="str">
        <f>_xlfn.XLOOKUP($A1776,Load!$B:$B,Load!L:L,0,)</f>
        <v>Regular/Original Wrapping</v>
      </c>
      <c r="L1776" t="str">
        <f>_xlfn.XLOOKUP($A1776,Load!$B:$B,Load!M:M,0,)</f>
        <v>Single Brand / Variety Flavors or Form</v>
      </c>
    </row>
    <row r="1777" spans="1:12" x14ac:dyDescent="0.25">
      <c r="A1777" t="s">
        <v>66</v>
      </c>
      <c r="B1777" t="str">
        <f>_xlfn.XLOOKUP($A1777,Load!$B:$B,Load!C:C,0,)</f>
        <v>Dots</v>
      </c>
      <c r="C1777" t="str">
        <f>_xlfn.XLOOKUP($A1777,Load!$B:$B,Load!D:D,0,)</f>
        <v>Non-Chocolate Candy Only</v>
      </c>
      <c r="D1777" t="str">
        <f>_xlfn.XLOOKUP($A1777,Load!$B:$B,Load!E:E,0,)</f>
        <v>Variety / Mixed Flavors (Fruity, Sour, Seasonal Flavors)</v>
      </c>
      <c r="E1777" t="str">
        <f>_xlfn.XLOOKUP($A1777,Load!$B:$B,Load!F:F,0,)</f>
        <v>Candy Pieces / Bites</v>
      </c>
      <c r="F1777" t="str">
        <f>_xlfn.XLOOKUP($A1777,Load!$B:$B,Load!G:G,0,)</f>
        <v>Small Multipack (Less than 40 ct)</v>
      </c>
      <c r="G1777" t="str">
        <f>_xlfn.XLOOKUP($A1777,Load!$B:$B,Load!H:H,0,)</f>
        <v>Stand-Up Bag</v>
      </c>
      <c r="H1777" t="str">
        <f>_xlfn.XLOOKUP($A1777,Load!$B:$B,Load!I:I,0,)</f>
        <v>Seasonal Shapes (like pumpkins, candy corn, ghost, bats, etc.)</v>
      </c>
      <c r="I1777" t="str">
        <f>_xlfn.XLOOKUP($A1777,Load!$B:$B,Load!J:J,0,)</f>
        <v>Seasonal Graphics (Like Bat, Ghost, Pumpkin, Fall Leaves, Eyeballs, etc.)</v>
      </c>
      <c r="J1777" t="str">
        <f>_xlfn.XLOOKUP($A1777,Load!$B:$B,Load!K:K,0,)</f>
        <v>Fun Size / Treat Size</v>
      </c>
      <c r="K1777" t="str">
        <f>_xlfn.XLOOKUP($A1777,Load!$B:$B,Load!L:L,0,)</f>
        <v>Regular/Original Wrapping</v>
      </c>
      <c r="L1777" t="str">
        <f>_xlfn.XLOOKUP($A1777,Load!$B:$B,Load!M:M,0,)</f>
        <v>Single Brand / Variety Flavors or Form</v>
      </c>
    </row>
    <row r="1778" spans="1:12" x14ac:dyDescent="0.25">
      <c r="B1778">
        <f>_xlfn.XLOOKUP($A1778,Load!$B:$B,Load!C:C,0,)</f>
        <v>0</v>
      </c>
      <c r="C1778">
        <f>_xlfn.XLOOKUP($A1778,Load!$B:$B,Load!D:D,0,)</f>
        <v>0</v>
      </c>
      <c r="D1778">
        <f>_xlfn.XLOOKUP($A1778,Load!$B:$B,Load!E:E,0,)</f>
        <v>0</v>
      </c>
      <c r="E1778">
        <f>_xlfn.XLOOKUP($A1778,Load!$B:$B,Load!F:F,0,)</f>
        <v>0</v>
      </c>
      <c r="F1778">
        <f>_xlfn.XLOOKUP($A1778,Load!$B:$B,Load!G:G,0,)</f>
        <v>0</v>
      </c>
      <c r="G1778">
        <f>_xlfn.XLOOKUP($A1778,Load!$B:$B,Load!H:H,0,)</f>
        <v>0</v>
      </c>
      <c r="H1778">
        <f>_xlfn.XLOOKUP($A1778,Load!$B:$B,Load!I:I,0,)</f>
        <v>0</v>
      </c>
      <c r="I1778">
        <f>_xlfn.XLOOKUP($A1778,Load!$B:$B,Load!J:J,0,)</f>
        <v>0</v>
      </c>
      <c r="J1778">
        <f>_xlfn.XLOOKUP($A1778,Load!$B:$B,Load!K:K,0,)</f>
        <v>0</v>
      </c>
      <c r="K1778">
        <f>_xlfn.XLOOKUP($A1778,Load!$B:$B,Load!L:L,0,)</f>
        <v>0</v>
      </c>
      <c r="L1778">
        <f>_xlfn.XLOOKUP($A1778,Load!$B:$B,Load!M:M,0,)</f>
        <v>0</v>
      </c>
    </row>
    <row r="1779" spans="1:12" x14ac:dyDescent="0.25">
      <c r="B1779">
        <f>_xlfn.XLOOKUP($A1779,Load!$B:$B,Load!C:C,0,)</f>
        <v>0</v>
      </c>
      <c r="C1779">
        <f>_xlfn.XLOOKUP($A1779,Load!$B:$B,Load!D:D,0,)</f>
        <v>0</v>
      </c>
      <c r="D1779">
        <f>_xlfn.XLOOKUP($A1779,Load!$B:$B,Load!E:E,0,)</f>
        <v>0</v>
      </c>
      <c r="E1779">
        <f>_xlfn.XLOOKUP($A1779,Load!$B:$B,Load!F:F,0,)</f>
        <v>0</v>
      </c>
      <c r="F1779">
        <f>_xlfn.XLOOKUP($A1779,Load!$B:$B,Load!G:G,0,)</f>
        <v>0</v>
      </c>
      <c r="G1779">
        <f>_xlfn.XLOOKUP($A1779,Load!$B:$B,Load!H:H,0,)</f>
        <v>0</v>
      </c>
      <c r="H1779">
        <f>_xlfn.XLOOKUP($A1779,Load!$B:$B,Load!I:I,0,)</f>
        <v>0</v>
      </c>
      <c r="I1779">
        <f>_xlfn.XLOOKUP($A1779,Load!$B:$B,Load!J:J,0,)</f>
        <v>0</v>
      </c>
      <c r="J1779">
        <f>_xlfn.XLOOKUP($A1779,Load!$B:$B,Load!K:K,0,)</f>
        <v>0</v>
      </c>
      <c r="K1779">
        <f>_xlfn.XLOOKUP($A1779,Load!$B:$B,Load!L:L,0,)</f>
        <v>0</v>
      </c>
      <c r="L1779">
        <f>_xlfn.XLOOKUP($A1779,Load!$B:$B,Load!M:M,0,)</f>
        <v>0</v>
      </c>
    </row>
    <row r="1780" spans="1:12" x14ac:dyDescent="0.25">
      <c r="A1780" t="s">
        <v>223</v>
      </c>
      <c r="B1780" t="str">
        <f>_xlfn.XLOOKUP($A1780,Load!$B:$B,Load!C:C,0,)</f>
        <v>Nerds</v>
      </c>
      <c r="C1780" t="str">
        <f>_xlfn.XLOOKUP($A1780,Load!$B:$B,Load!D:D,0,)</f>
        <v>Non-Chocolate Candy Only</v>
      </c>
      <c r="D1780" t="str">
        <f>_xlfn.XLOOKUP($A1780,Load!$B:$B,Load!E:E,0,)</f>
        <v>Sweet</v>
      </c>
      <c r="E1780" t="str">
        <f>_xlfn.XLOOKUP($A1780,Load!$B:$B,Load!F:F,0,)</f>
        <v>Gummy</v>
      </c>
      <c r="F1780" t="str">
        <f>_xlfn.XLOOKUP($A1780,Load!$B:$B,Load!G:G,0,)</f>
        <v>Small Multipack (Less than 40 ct)</v>
      </c>
      <c r="G1780" t="str">
        <f>_xlfn.XLOOKUP($A1780,Load!$B:$B,Load!H:H,0,)</f>
        <v>Laydown Bag</v>
      </c>
      <c r="H1780" t="str">
        <f>_xlfn.XLOOKUP($A1780,Load!$B:$B,Load!I:I,0,)</f>
        <v>Everyday Candy Shapes (like Original, Gummy bear, Fruit, Jewels, etc.)</v>
      </c>
      <c r="I1780" t="str">
        <f>_xlfn.XLOOKUP($A1780,Load!$B:$B,Load!J:J,0,)</f>
        <v>Seasonal Graphics (Like Bat, Ghost, Pumpkin, Fall Leaves, Eyeballs, etc.)</v>
      </c>
      <c r="J1780" t="str">
        <f>_xlfn.XLOOKUP($A1780,Load!$B:$B,Load!K:K,0,)</f>
        <v>Small Pieces (Tiny bite size candies)</v>
      </c>
      <c r="K1780" t="str">
        <f>_xlfn.XLOOKUP($A1780,Load!$B:$B,Load!L:L,0,)</f>
        <v>Regular/Original Wrapping</v>
      </c>
      <c r="L1780" t="str">
        <f>_xlfn.XLOOKUP($A1780,Load!$B:$B,Load!M:M,0,)</f>
        <v>Single Brand / Variety Flavors or Form</v>
      </c>
    </row>
    <row r="1781" spans="1:12" x14ac:dyDescent="0.25">
      <c r="A1781" t="s">
        <v>169</v>
      </c>
      <c r="B1781" t="str">
        <f>_xlfn.XLOOKUP($A1781,Load!$B:$B,Load!C:C,0,)</f>
        <v>Laffy Taffy</v>
      </c>
      <c r="C1781" t="str">
        <f>_xlfn.XLOOKUP($A1781,Load!$B:$B,Load!D:D,0,)</f>
        <v>Non-Chocolate Candy Only</v>
      </c>
      <c r="D1781" t="str">
        <f>_xlfn.XLOOKUP($A1781,Load!$B:$B,Load!E:E,0,)</f>
        <v>Fruit Flavor (Cherry, Grape, Apple, Citrus, Tropical Fruit)</v>
      </c>
      <c r="E1781" t="str">
        <f>_xlfn.XLOOKUP($A1781,Load!$B:$B,Load!F:F,0,)</f>
        <v>Taffy</v>
      </c>
      <c r="F1781" t="str">
        <f>_xlfn.XLOOKUP($A1781,Load!$B:$B,Load!G:G,0,)</f>
        <v>Small Multipack (Less than 40 ct)</v>
      </c>
      <c r="G1781" t="str">
        <f>_xlfn.XLOOKUP($A1781,Load!$B:$B,Load!H:H,0,)</f>
        <v>Laydown Bag</v>
      </c>
      <c r="H1781" t="str">
        <f>_xlfn.XLOOKUP($A1781,Load!$B:$B,Load!I:I,0,)</f>
        <v>Everyday Candy Shapes (like Original, Gummy bear, Fruit, Jewels, etc.)</v>
      </c>
      <c r="I1781" t="str">
        <f>_xlfn.XLOOKUP($A1781,Load!$B:$B,Load!J:J,0,)</f>
        <v>Everyday Graphics</v>
      </c>
      <c r="J1781" t="str">
        <f>_xlfn.XLOOKUP($A1781,Load!$B:$B,Load!K:K,0,)</f>
        <v>Fun Size / Treat Size</v>
      </c>
      <c r="K1781" t="str">
        <f>_xlfn.XLOOKUP($A1781,Load!$B:$B,Load!L:L,0,)</f>
        <v>Regular/Original Wrapping</v>
      </c>
      <c r="L1781" t="str">
        <f>_xlfn.XLOOKUP($A1781,Load!$B:$B,Load!M:M,0,)</f>
        <v>Single Brand / Variety Flavors or Form</v>
      </c>
    </row>
    <row r="1782" spans="1:12" x14ac:dyDescent="0.25">
      <c r="A1782" t="s">
        <v>218</v>
      </c>
      <c r="B1782" t="str">
        <f>_xlfn.XLOOKUP($A1782,Load!$B:$B,Load!C:C,0,)</f>
        <v>Mondelez Variety Pack</v>
      </c>
      <c r="C1782" t="str">
        <f>_xlfn.XLOOKUP($A1782,Load!$B:$B,Load!D:D,0,)</f>
        <v>Non-Chocolate Candy Only</v>
      </c>
      <c r="D1782" t="str">
        <f>_xlfn.XLOOKUP($A1782,Load!$B:$B,Load!E:E,0,)</f>
        <v>Sour</v>
      </c>
      <c r="E1782" t="str">
        <f>_xlfn.XLOOKUP($A1782,Load!$B:$B,Load!F:F,0,)</f>
        <v>Mixed / Combo Packs (Gummy, Chewy, Taffy, etc.)</v>
      </c>
      <c r="F1782" t="str">
        <f>_xlfn.XLOOKUP($A1782,Load!$B:$B,Load!G:G,0,)</f>
        <v>Large Multipack (More than 80 ct)</v>
      </c>
      <c r="G1782" t="str">
        <f>_xlfn.XLOOKUP($A1782,Load!$B:$B,Load!H:H,0,)</f>
        <v>Stand-Up Bag</v>
      </c>
      <c r="H1782" t="str">
        <f>_xlfn.XLOOKUP($A1782,Load!$B:$B,Load!I:I,0,)</f>
        <v>Seasonal Shapes (like pumpkins, candy corn, ghost, bats, etc.)</v>
      </c>
      <c r="I1782" t="str">
        <f>_xlfn.XLOOKUP($A1782,Load!$B:$B,Load!J:J,0,)</f>
        <v>Seasonal Graphics (Like Bat, Ghost, Pumpkin, Fall Leaves, Eyeballs, etc.)</v>
      </c>
      <c r="J1782" t="str">
        <f>_xlfn.XLOOKUP($A1782,Load!$B:$B,Load!K:K,0,)</f>
        <v>Small Pieces (Tiny bite size candies)</v>
      </c>
      <c r="K1782" t="str">
        <f>_xlfn.XLOOKUP($A1782,Load!$B:$B,Load!L:L,0,)</f>
        <v>Regular/Original Wrapping</v>
      </c>
      <c r="L1782" t="str">
        <f>_xlfn.XLOOKUP($A1782,Load!$B:$B,Load!M:M,0,)</f>
        <v>Multiple Brands / Variety Flavors or Form</v>
      </c>
    </row>
    <row r="1783" spans="1:12" x14ac:dyDescent="0.25">
      <c r="B1783">
        <f>_xlfn.XLOOKUP($A1783,Load!$B:$B,Load!C:C,0,)</f>
        <v>0</v>
      </c>
      <c r="C1783">
        <f>_xlfn.XLOOKUP($A1783,Load!$B:$B,Load!D:D,0,)</f>
        <v>0</v>
      </c>
      <c r="D1783">
        <f>_xlfn.XLOOKUP($A1783,Load!$B:$B,Load!E:E,0,)</f>
        <v>0</v>
      </c>
      <c r="E1783">
        <f>_xlfn.XLOOKUP($A1783,Load!$B:$B,Load!F:F,0,)</f>
        <v>0</v>
      </c>
      <c r="F1783">
        <f>_xlfn.XLOOKUP($A1783,Load!$B:$B,Load!G:G,0,)</f>
        <v>0</v>
      </c>
      <c r="G1783">
        <f>_xlfn.XLOOKUP($A1783,Load!$B:$B,Load!H:H,0,)</f>
        <v>0</v>
      </c>
      <c r="H1783">
        <f>_xlfn.XLOOKUP($A1783,Load!$B:$B,Load!I:I,0,)</f>
        <v>0</v>
      </c>
      <c r="I1783">
        <f>_xlfn.XLOOKUP($A1783,Load!$B:$B,Load!J:J,0,)</f>
        <v>0</v>
      </c>
      <c r="J1783">
        <f>_xlfn.XLOOKUP($A1783,Load!$B:$B,Load!K:K,0,)</f>
        <v>0</v>
      </c>
      <c r="K1783">
        <f>_xlfn.XLOOKUP($A1783,Load!$B:$B,Load!L:L,0,)</f>
        <v>0</v>
      </c>
      <c r="L1783">
        <f>_xlfn.XLOOKUP($A1783,Load!$B:$B,Load!M:M,0,)</f>
        <v>0</v>
      </c>
    </row>
    <row r="1784" spans="1:12" x14ac:dyDescent="0.25">
      <c r="A1784" t="s">
        <v>251</v>
      </c>
      <c r="B1784" t="str">
        <f>_xlfn.XLOOKUP($A1784,Load!$B:$B,Load!C:C,0,)</f>
        <v>Shaq-A-Licious</v>
      </c>
      <c r="C1784" t="str">
        <f>_xlfn.XLOOKUP($A1784,Load!$B:$B,Load!D:D,0,)</f>
        <v>Non-Chocolate Candy Only</v>
      </c>
      <c r="D1784" t="str">
        <f>_xlfn.XLOOKUP($A1784,Load!$B:$B,Load!E:E,0,)</f>
        <v>Fruit Flavor (Cherry, Grape, Apple, Citrus, Tropical Fruit)</v>
      </c>
      <c r="E1784" t="str">
        <f>_xlfn.XLOOKUP($A1784,Load!$B:$B,Load!F:F,0,)</f>
        <v>Gummy</v>
      </c>
      <c r="F1784" t="str">
        <f>_xlfn.XLOOKUP($A1784,Load!$B:$B,Load!G:G,0,)</f>
        <v>Small Multipack (Less than 40 ct)</v>
      </c>
      <c r="G1784" t="str">
        <f>_xlfn.XLOOKUP($A1784,Load!$B:$B,Load!H:H,0,)</f>
        <v>Laydown Bag</v>
      </c>
      <c r="H1784" t="str">
        <f>_xlfn.XLOOKUP($A1784,Load!$B:$B,Load!I:I,0,)</f>
        <v>Seasonal Shapes (like pumpkins, candy corn, ghost, bats, etc.)</v>
      </c>
      <c r="I1784" t="str">
        <f>_xlfn.XLOOKUP($A1784,Load!$B:$B,Load!J:J,0,)</f>
        <v>Seasonal Graphics (Like Bat, Ghost, Pumpkin, Fall Leaves, Eyeballs, etc.)</v>
      </c>
      <c r="J1784" t="str">
        <f>_xlfn.XLOOKUP($A1784,Load!$B:$B,Load!K:K,0,)</f>
        <v>Fun Size / Treat Size</v>
      </c>
      <c r="K1784" t="str">
        <f>_xlfn.XLOOKUP($A1784,Load!$B:$B,Load!L:L,0,)</f>
        <v>Regular/Original Wrapping</v>
      </c>
      <c r="L1784" t="str">
        <f>_xlfn.XLOOKUP($A1784,Load!$B:$B,Load!M:M,0,)</f>
        <v>Single Brand / Variety Flavors or Form</v>
      </c>
    </row>
    <row r="1785" spans="1:12" x14ac:dyDescent="0.25">
      <c r="B1785">
        <f>_xlfn.XLOOKUP($A1785,Load!$B:$B,Load!C:C,0,)</f>
        <v>0</v>
      </c>
      <c r="C1785">
        <f>_xlfn.XLOOKUP($A1785,Load!$B:$B,Load!D:D,0,)</f>
        <v>0</v>
      </c>
      <c r="D1785">
        <f>_xlfn.XLOOKUP($A1785,Load!$B:$B,Load!E:E,0,)</f>
        <v>0</v>
      </c>
      <c r="E1785">
        <f>_xlfn.XLOOKUP($A1785,Load!$B:$B,Load!F:F,0,)</f>
        <v>0</v>
      </c>
      <c r="F1785">
        <f>_xlfn.XLOOKUP($A1785,Load!$B:$B,Load!G:G,0,)</f>
        <v>0</v>
      </c>
      <c r="G1785">
        <f>_xlfn.XLOOKUP($A1785,Load!$B:$B,Load!H:H,0,)</f>
        <v>0</v>
      </c>
      <c r="H1785">
        <f>_xlfn.XLOOKUP($A1785,Load!$B:$B,Load!I:I,0,)</f>
        <v>0</v>
      </c>
      <c r="I1785">
        <f>_xlfn.XLOOKUP($A1785,Load!$B:$B,Load!J:J,0,)</f>
        <v>0</v>
      </c>
      <c r="J1785">
        <f>_xlfn.XLOOKUP($A1785,Load!$B:$B,Load!K:K,0,)</f>
        <v>0</v>
      </c>
      <c r="K1785">
        <f>_xlfn.XLOOKUP($A1785,Load!$B:$B,Load!L:L,0,)</f>
        <v>0</v>
      </c>
      <c r="L1785">
        <f>_xlfn.XLOOKUP($A1785,Load!$B:$B,Load!M:M,0,)</f>
        <v>0</v>
      </c>
    </row>
    <row r="1786" spans="1:12" x14ac:dyDescent="0.25">
      <c r="A1786" t="s">
        <v>463</v>
      </c>
      <c r="B1786" t="str">
        <f>_xlfn.XLOOKUP($A1786,Load!$B:$B,Load!C:C,0,)</f>
        <v>Mars Variety Pack</v>
      </c>
      <c r="C1786" t="str">
        <f>_xlfn.XLOOKUP($A1786,Load!$B:$B,Load!D:D,0,)</f>
        <v>Mix of Chocolate and Non-Chocolate Candy</v>
      </c>
      <c r="D1786" t="str">
        <f>_xlfn.XLOOKUP($A1786,Load!$B:$B,Load!E:E,0,)</f>
        <v>Variety / Mixed Flavors (Fruity, Sour, Seasonal Flavors)</v>
      </c>
      <c r="E1786" t="str">
        <f>_xlfn.XLOOKUP($A1786,Load!$B:$B,Load!F:F,0,)</f>
        <v>Mixed / Combo Packs (Gummy, Chewy, Taffy, etc.)</v>
      </c>
      <c r="F1786" t="str">
        <f>_xlfn.XLOOKUP($A1786,Load!$B:$B,Load!G:G,0,)</f>
        <v>Medium Multipack (40–80 ct)</v>
      </c>
      <c r="G1786" t="str">
        <f>_xlfn.XLOOKUP($A1786,Load!$B:$B,Load!H:H,0,)</f>
        <v>Stand-Up Bag</v>
      </c>
      <c r="H1786" t="str">
        <f>_xlfn.XLOOKUP($A1786,Load!$B:$B,Load!I:I,0,)</f>
        <v>Everyday Candy Shapes (like Original, Gummy bear, Fruit, Jewels, etc.)</v>
      </c>
      <c r="I1786" t="str">
        <f>_xlfn.XLOOKUP($A1786,Load!$B:$B,Load!J:J,0,)</f>
        <v>Seasonal Graphics (Like Bat, Ghost, Pumpkin, Fall Leaves, Eyeballs, etc.)</v>
      </c>
      <c r="J1786" t="str">
        <f>_xlfn.XLOOKUP($A1786,Load!$B:$B,Load!K:K,0,)</f>
        <v>Fun Size / Treat Size</v>
      </c>
      <c r="K1786" t="str">
        <f>_xlfn.XLOOKUP($A1786,Load!$B:$B,Load!L:L,0,)</f>
        <v>Regular/Original Wrapping</v>
      </c>
      <c r="L1786" t="str">
        <f>_xlfn.XLOOKUP($A1786,Load!$B:$B,Load!M:M,0,)</f>
        <v>Multiple Brands / Variety Flavors or Form</v>
      </c>
    </row>
    <row r="1787" spans="1:12" x14ac:dyDescent="0.25">
      <c r="B1787">
        <f>_xlfn.XLOOKUP($A1787,Load!$B:$B,Load!C:C,0,)</f>
        <v>0</v>
      </c>
      <c r="C1787">
        <f>_xlfn.XLOOKUP($A1787,Load!$B:$B,Load!D:D,0,)</f>
        <v>0</v>
      </c>
      <c r="D1787">
        <f>_xlfn.XLOOKUP($A1787,Load!$B:$B,Load!E:E,0,)</f>
        <v>0</v>
      </c>
      <c r="E1787">
        <f>_xlfn.XLOOKUP($A1787,Load!$B:$B,Load!F:F,0,)</f>
        <v>0</v>
      </c>
      <c r="F1787">
        <f>_xlfn.XLOOKUP($A1787,Load!$B:$B,Load!G:G,0,)</f>
        <v>0</v>
      </c>
      <c r="G1787">
        <f>_xlfn.XLOOKUP($A1787,Load!$B:$B,Load!H:H,0,)</f>
        <v>0</v>
      </c>
      <c r="H1787">
        <f>_xlfn.XLOOKUP($A1787,Load!$B:$B,Load!I:I,0,)</f>
        <v>0</v>
      </c>
      <c r="I1787">
        <f>_xlfn.XLOOKUP($A1787,Load!$B:$B,Load!J:J,0,)</f>
        <v>0</v>
      </c>
      <c r="J1787">
        <f>_xlfn.XLOOKUP($A1787,Load!$B:$B,Load!K:K,0,)</f>
        <v>0</v>
      </c>
      <c r="K1787">
        <f>_xlfn.XLOOKUP($A1787,Load!$B:$B,Load!L:L,0,)</f>
        <v>0</v>
      </c>
      <c r="L1787">
        <f>_xlfn.XLOOKUP($A1787,Load!$B:$B,Load!M:M,0,)</f>
        <v>0</v>
      </c>
    </row>
    <row r="1788" spans="1:12" x14ac:dyDescent="0.25">
      <c r="B1788">
        <f>_xlfn.XLOOKUP($A1788,Load!$B:$B,Load!C:C,0,)</f>
        <v>0</v>
      </c>
      <c r="C1788">
        <f>_xlfn.XLOOKUP($A1788,Load!$B:$B,Load!D:D,0,)</f>
        <v>0</v>
      </c>
      <c r="D1788">
        <f>_xlfn.XLOOKUP($A1788,Load!$B:$B,Load!E:E,0,)</f>
        <v>0</v>
      </c>
      <c r="E1788">
        <f>_xlfn.XLOOKUP($A1788,Load!$B:$B,Load!F:F,0,)</f>
        <v>0</v>
      </c>
      <c r="F1788">
        <f>_xlfn.XLOOKUP($A1788,Load!$B:$B,Load!G:G,0,)</f>
        <v>0</v>
      </c>
      <c r="G1788">
        <f>_xlfn.XLOOKUP($A1788,Load!$B:$B,Load!H:H,0,)</f>
        <v>0</v>
      </c>
      <c r="H1788">
        <f>_xlfn.XLOOKUP($A1788,Load!$B:$B,Load!I:I,0,)</f>
        <v>0</v>
      </c>
      <c r="I1788">
        <f>_xlfn.XLOOKUP($A1788,Load!$B:$B,Load!J:J,0,)</f>
        <v>0</v>
      </c>
      <c r="J1788">
        <f>_xlfn.XLOOKUP($A1788,Load!$B:$B,Load!K:K,0,)</f>
        <v>0</v>
      </c>
      <c r="K1788">
        <f>_xlfn.XLOOKUP($A1788,Load!$B:$B,Load!L:L,0,)</f>
        <v>0</v>
      </c>
      <c r="L1788">
        <f>_xlfn.XLOOKUP($A1788,Load!$B:$B,Load!M:M,0,)</f>
        <v>0</v>
      </c>
    </row>
    <row r="1789" spans="1:12" x14ac:dyDescent="0.25">
      <c r="B1789">
        <f>_xlfn.XLOOKUP($A1789,Load!$B:$B,Load!C:C,0,)</f>
        <v>0</v>
      </c>
      <c r="C1789">
        <f>_xlfn.XLOOKUP($A1789,Load!$B:$B,Load!D:D,0,)</f>
        <v>0</v>
      </c>
      <c r="D1789">
        <f>_xlfn.XLOOKUP($A1789,Load!$B:$B,Load!E:E,0,)</f>
        <v>0</v>
      </c>
      <c r="E1789">
        <f>_xlfn.XLOOKUP($A1789,Load!$B:$B,Load!F:F,0,)</f>
        <v>0</v>
      </c>
      <c r="F1789">
        <f>_xlfn.XLOOKUP($A1789,Load!$B:$B,Load!G:G,0,)</f>
        <v>0</v>
      </c>
      <c r="G1789">
        <f>_xlfn.XLOOKUP($A1789,Load!$B:$B,Load!H:H,0,)</f>
        <v>0</v>
      </c>
      <c r="H1789">
        <f>_xlfn.XLOOKUP($A1789,Load!$B:$B,Load!I:I,0,)</f>
        <v>0</v>
      </c>
      <c r="I1789">
        <f>_xlfn.XLOOKUP($A1789,Load!$B:$B,Load!J:J,0,)</f>
        <v>0</v>
      </c>
      <c r="J1789">
        <f>_xlfn.XLOOKUP($A1789,Load!$B:$B,Load!K:K,0,)</f>
        <v>0</v>
      </c>
      <c r="K1789">
        <f>_xlfn.XLOOKUP($A1789,Load!$B:$B,Load!L:L,0,)</f>
        <v>0</v>
      </c>
      <c r="L1789">
        <f>_xlfn.XLOOKUP($A1789,Load!$B:$B,Load!M:M,0,)</f>
        <v>0</v>
      </c>
    </row>
    <row r="1790" spans="1:12" x14ac:dyDescent="0.25">
      <c r="B1790">
        <f>_xlfn.XLOOKUP($A1790,Load!$B:$B,Load!C:C,0,)</f>
        <v>0</v>
      </c>
      <c r="C1790">
        <f>_xlfn.XLOOKUP($A1790,Load!$B:$B,Load!D:D,0,)</f>
        <v>0</v>
      </c>
      <c r="D1790">
        <f>_xlfn.XLOOKUP($A1790,Load!$B:$B,Load!E:E,0,)</f>
        <v>0</v>
      </c>
      <c r="E1790">
        <f>_xlfn.XLOOKUP($A1790,Load!$B:$B,Load!F:F,0,)</f>
        <v>0</v>
      </c>
      <c r="F1790">
        <f>_xlfn.XLOOKUP($A1790,Load!$B:$B,Load!G:G,0,)</f>
        <v>0</v>
      </c>
      <c r="G1790">
        <f>_xlfn.XLOOKUP($A1790,Load!$B:$B,Load!H:H,0,)</f>
        <v>0</v>
      </c>
      <c r="H1790">
        <f>_xlfn.XLOOKUP($A1790,Load!$B:$B,Load!I:I,0,)</f>
        <v>0</v>
      </c>
      <c r="I1790">
        <f>_xlfn.XLOOKUP($A1790,Load!$B:$B,Load!J:J,0,)</f>
        <v>0</v>
      </c>
      <c r="J1790">
        <f>_xlfn.XLOOKUP($A1790,Load!$B:$B,Load!K:K,0,)</f>
        <v>0</v>
      </c>
      <c r="K1790">
        <f>_xlfn.XLOOKUP($A1790,Load!$B:$B,Load!L:L,0,)</f>
        <v>0</v>
      </c>
      <c r="L1790">
        <f>_xlfn.XLOOKUP($A1790,Load!$B:$B,Load!M:M,0,)</f>
        <v>0</v>
      </c>
    </row>
    <row r="1791" spans="1:12" x14ac:dyDescent="0.25">
      <c r="B1791">
        <f>_xlfn.XLOOKUP($A1791,Load!$B:$B,Load!C:C,0,)</f>
        <v>0</v>
      </c>
      <c r="C1791">
        <f>_xlfn.XLOOKUP($A1791,Load!$B:$B,Load!D:D,0,)</f>
        <v>0</v>
      </c>
      <c r="D1791">
        <f>_xlfn.XLOOKUP($A1791,Load!$B:$B,Load!E:E,0,)</f>
        <v>0</v>
      </c>
      <c r="E1791">
        <f>_xlfn.XLOOKUP($A1791,Load!$B:$B,Load!F:F,0,)</f>
        <v>0</v>
      </c>
      <c r="F1791">
        <f>_xlfn.XLOOKUP($A1791,Load!$B:$B,Load!G:G,0,)</f>
        <v>0</v>
      </c>
      <c r="G1791">
        <f>_xlfn.XLOOKUP($A1791,Load!$B:$B,Load!H:H,0,)</f>
        <v>0</v>
      </c>
      <c r="H1791">
        <f>_xlfn.XLOOKUP($A1791,Load!$B:$B,Load!I:I,0,)</f>
        <v>0</v>
      </c>
      <c r="I1791">
        <f>_xlfn.XLOOKUP($A1791,Load!$B:$B,Load!J:J,0,)</f>
        <v>0</v>
      </c>
      <c r="J1791">
        <f>_xlfn.XLOOKUP($A1791,Load!$B:$B,Load!K:K,0,)</f>
        <v>0</v>
      </c>
      <c r="K1791">
        <f>_xlfn.XLOOKUP($A1791,Load!$B:$B,Load!L:L,0,)</f>
        <v>0</v>
      </c>
      <c r="L1791">
        <f>_xlfn.XLOOKUP($A1791,Load!$B:$B,Load!M:M,0,)</f>
        <v>0</v>
      </c>
    </row>
    <row r="1792" spans="1:12" x14ac:dyDescent="0.25">
      <c r="A1792" t="s">
        <v>257</v>
      </c>
      <c r="B1792" t="str">
        <f>_xlfn.XLOOKUP($A1792,Load!$B:$B,Load!C:C,0,)</f>
        <v>Skittles</v>
      </c>
      <c r="C1792" t="str">
        <f>_xlfn.XLOOKUP($A1792,Load!$B:$B,Load!D:D,0,)</f>
        <v>Non-Chocolate Candy Only</v>
      </c>
      <c r="D1792" t="str">
        <f>_xlfn.XLOOKUP($A1792,Load!$B:$B,Load!E:E,0,)</f>
        <v>Sour</v>
      </c>
      <c r="E1792" t="str">
        <f>_xlfn.XLOOKUP($A1792,Load!$B:$B,Load!F:F,0,)</f>
        <v>Chewy</v>
      </c>
      <c r="F1792" t="str">
        <f>_xlfn.XLOOKUP($A1792,Load!$B:$B,Load!G:G,0,)</f>
        <v>Single Pack</v>
      </c>
      <c r="G1792" t="str">
        <f>_xlfn.XLOOKUP($A1792,Load!$B:$B,Load!H:H,0,)</f>
        <v>Laydown Bag</v>
      </c>
      <c r="H1792" t="str">
        <f>_xlfn.XLOOKUP($A1792,Load!$B:$B,Load!I:I,0,)</f>
        <v>Everyday Candy Shapes (like Original, Gummy bear, Fruit, Jewels, etc.)</v>
      </c>
      <c r="I1792" t="str">
        <f>_xlfn.XLOOKUP($A1792,Load!$B:$B,Load!J:J,0,)</f>
        <v>Seasonal Graphics (Like Bat, Ghost, Pumpkin, Fall Leaves, Eyeballs, etc.)</v>
      </c>
      <c r="J1792" t="str">
        <f>_xlfn.XLOOKUP($A1792,Load!$B:$B,Load!K:K,0,)</f>
        <v>Small Pieces (Tiny bite size candies)</v>
      </c>
      <c r="K1792" t="str">
        <f>_xlfn.XLOOKUP($A1792,Load!$B:$B,Load!L:L,0,)</f>
        <v>Regular/Original Wrapping</v>
      </c>
      <c r="L1792" t="str">
        <f>_xlfn.XLOOKUP($A1792,Load!$B:$B,Load!M:M,0,)</f>
        <v>Single Brand / Variety Flavors or Form</v>
      </c>
    </row>
    <row r="1793" spans="1:12" x14ac:dyDescent="0.25">
      <c r="B1793">
        <f>_xlfn.XLOOKUP($A1793,Load!$B:$B,Load!C:C,0,)</f>
        <v>0</v>
      </c>
      <c r="C1793">
        <f>_xlfn.XLOOKUP($A1793,Load!$B:$B,Load!D:D,0,)</f>
        <v>0</v>
      </c>
      <c r="D1793">
        <f>_xlfn.XLOOKUP($A1793,Load!$B:$B,Load!E:E,0,)</f>
        <v>0</v>
      </c>
      <c r="E1793">
        <f>_xlfn.XLOOKUP($A1793,Load!$B:$B,Load!F:F,0,)</f>
        <v>0</v>
      </c>
      <c r="F1793">
        <f>_xlfn.XLOOKUP($A1793,Load!$B:$B,Load!G:G,0,)</f>
        <v>0</v>
      </c>
      <c r="G1793">
        <f>_xlfn.XLOOKUP($A1793,Load!$B:$B,Load!H:H,0,)</f>
        <v>0</v>
      </c>
      <c r="H1793">
        <f>_xlfn.XLOOKUP($A1793,Load!$B:$B,Load!I:I,0,)</f>
        <v>0</v>
      </c>
      <c r="I1793">
        <f>_xlfn.XLOOKUP($A1793,Load!$B:$B,Load!J:J,0,)</f>
        <v>0</v>
      </c>
      <c r="J1793">
        <f>_xlfn.XLOOKUP($A1793,Load!$B:$B,Load!K:K,0,)</f>
        <v>0</v>
      </c>
      <c r="K1793">
        <f>_xlfn.XLOOKUP($A1793,Load!$B:$B,Load!L:L,0,)</f>
        <v>0</v>
      </c>
      <c r="L1793">
        <f>_xlfn.XLOOKUP($A1793,Load!$B:$B,Load!M:M,0,)</f>
        <v>0</v>
      </c>
    </row>
    <row r="1794" spans="1:12" x14ac:dyDescent="0.25">
      <c r="B1794">
        <f>_xlfn.XLOOKUP($A1794,Load!$B:$B,Load!C:C,0,)</f>
        <v>0</v>
      </c>
      <c r="C1794">
        <f>_xlfn.XLOOKUP($A1794,Load!$B:$B,Load!D:D,0,)</f>
        <v>0</v>
      </c>
      <c r="D1794">
        <f>_xlfn.XLOOKUP($A1794,Load!$B:$B,Load!E:E,0,)</f>
        <v>0</v>
      </c>
      <c r="E1794">
        <f>_xlfn.XLOOKUP($A1794,Load!$B:$B,Load!F:F,0,)</f>
        <v>0</v>
      </c>
      <c r="F1794">
        <f>_xlfn.XLOOKUP($A1794,Load!$B:$B,Load!G:G,0,)</f>
        <v>0</v>
      </c>
      <c r="G1794">
        <f>_xlfn.XLOOKUP($A1794,Load!$B:$B,Load!H:H,0,)</f>
        <v>0</v>
      </c>
      <c r="H1794">
        <f>_xlfn.XLOOKUP($A1794,Load!$B:$B,Load!I:I,0,)</f>
        <v>0</v>
      </c>
      <c r="I1794">
        <f>_xlfn.XLOOKUP($A1794,Load!$B:$B,Load!J:J,0,)</f>
        <v>0</v>
      </c>
      <c r="J1794">
        <f>_xlfn.XLOOKUP($A1794,Load!$B:$B,Load!K:K,0,)</f>
        <v>0</v>
      </c>
      <c r="K1794">
        <f>_xlfn.XLOOKUP($A1794,Load!$B:$B,Load!L:L,0,)</f>
        <v>0</v>
      </c>
      <c r="L1794">
        <f>_xlfn.XLOOKUP($A1794,Load!$B:$B,Load!M:M,0,)</f>
        <v>0</v>
      </c>
    </row>
    <row r="1795" spans="1:12" x14ac:dyDescent="0.25">
      <c r="B1795">
        <f>_xlfn.XLOOKUP($A1795,Load!$B:$B,Load!C:C,0,)</f>
        <v>0</v>
      </c>
      <c r="C1795">
        <f>_xlfn.XLOOKUP($A1795,Load!$B:$B,Load!D:D,0,)</f>
        <v>0</v>
      </c>
      <c r="D1795">
        <f>_xlfn.XLOOKUP($A1795,Load!$B:$B,Load!E:E,0,)</f>
        <v>0</v>
      </c>
      <c r="E1795">
        <f>_xlfn.XLOOKUP($A1795,Load!$B:$B,Load!F:F,0,)</f>
        <v>0</v>
      </c>
      <c r="F1795">
        <f>_xlfn.XLOOKUP($A1795,Load!$B:$B,Load!G:G,0,)</f>
        <v>0</v>
      </c>
      <c r="G1795">
        <f>_xlfn.XLOOKUP($A1795,Load!$B:$B,Load!H:H,0,)</f>
        <v>0</v>
      </c>
      <c r="H1795">
        <f>_xlfn.XLOOKUP($A1795,Load!$B:$B,Load!I:I,0,)</f>
        <v>0</v>
      </c>
      <c r="I1795">
        <f>_xlfn.XLOOKUP($A1795,Load!$B:$B,Load!J:J,0,)</f>
        <v>0</v>
      </c>
      <c r="J1795">
        <f>_xlfn.XLOOKUP($A1795,Load!$B:$B,Load!K:K,0,)</f>
        <v>0</v>
      </c>
      <c r="K1795">
        <f>_xlfn.XLOOKUP($A1795,Load!$B:$B,Load!L:L,0,)</f>
        <v>0</v>
      </c>
      <c r="L1795">
        <f>_xlfn.XLOOKUP($A1795,Load!$B:$B,Load!M:M,0,)</f>
        <v>0</v>
      </c>
    </row>
    <row r="1796" spans="1:12" x14ac:dyDescent="0.25">
      <c r="A1796" t="s">
        <v>180</v>
      </c>
      <c r="B1796" t="str">
        <f>_xlfn.XLOOKUP($A1796,Load!$B:$B,Load!C:C,0,)</f>
        <v>Mars Variety Pack</v>
      </c>
      <c r="C1796" t="str">
        <f>_xlfn.XLOOKUP($A1796,Load!$B:$B,Load!D:D,0,)</f>
        <v>Mix of Chocolate and Non-Chocolate Candy</v>
      </c>
      <c r="D1796" t="str">
        <f>_xlfn.XLOOKUP($A1796,Load!$B:$B,Load!E:E,0,)</f>
        <v>Variety / Mixed Flavors (Fruity, Sour, Seasonal Flavors)</v>
      </c>
      <c r="E1796" t="str">
        <f>_xlfn.XLOOKUP($A1796,Load!$B:$B,Load!F:F,0,)</f>
        <v>Mixed / Combo Packs (Gummy, Chewy, Taffy, etc.)</v>
      </c>
      <c r="F1796" t="str">
        <f>_xlfn.XLOOKUP($A1796,Load!$B:$B,Load!G:G,0,)</f>
        <v>Large Multipack (More than 80 ct)</v>
      </c>
      <c r="G1796" t="str">
        <f>_xlfn.XLOOKUP($A1796,Load!$B:$B,Load!H:H,0,)</f>
        <v>Stand-Up Bag</v>
      </c>
      <c r="H1796" t="str">
        <f>_xlfn.XLOOKUP($A1796,Load!$B:$B,Load!I:I,0,)</f>
        <v>Everyday Candy Shapes (like Original, Gummy bear, Fruit, Jewels, etc.)</v>
      </c>
      <c r="I1796" t="str">
        <f>_xlfn.XLOOKUP($A1796,Load!$B:$B,Load!J:J,0,)</f>
        <v>Seasonal Graphics (Like Bat, Ghost, Pumpkin, Fall Leaves, Eyeballs, etc.)</v>
      </c>
      <c r="J1796" t="str">
        <f>_xlfn.XLOOKUP($A1796,Load!$B:$B,Load!K:K,0,)</f>
        <v>Fun Size / Treat Size</v>
      </c>
      <c r="K1796" t="str">
        <f>_xlfn.XLOOKUP($A1796,Load!$B:$B,Load!L:L,0,)</f>
        <v>Regular/Original Wrapping</v>
      </c>
      <c r="L1796" t="str">
        <f>_xlfn.XLOOKUP($A1796,Load!$B:$B,Load!M:M,0,)</f>
        <v>Multiple Brands / Variety Flavors or Form</v>
      </c>
    </row>
    <row r="1797" spans="1:12" x14ac:dyDescent="0.25">
      <c r="A1797" t="s">
        <v>209</v>
      </c>
      <c r="B1797" t="str">
        <f>_xlfn.XLOOKUP($A1797,Load!$B:$B,Load!C:C,0,)</f>
        <v>Mars Variety Pack</v>
      </c>
      <c r="C1797" t="str">
        <f>_xlfn.XLOOKUP($A1797,Load!$B:$B,Load!D:D,0,)</f>
        <v>Non-Chocolate Candy Only</v>
      </c>
      <c r="D1797" t="str">
        <f>_xlfn.XLOOKUP($A1797,Load!$B:$B,Load!E:E,0,)</f>
        <v>Variety / Mixed Flavors (Fruity, Sour, Seasonal Flavors)</v>
      </c>
      <c r="E1797" t="str">
        <f>_xlfn.XLOOKUP($A1797,Load!$B:$B,Load!F:F,0,)</f>
        <v>Mixed / Combo Packs (Gummy, Chewy, Taffy, etc.)</v>
      </c>
      <c r="F1797" t="str">
        <f>_xlfn.XLOOKUP($A1797,Load!$B:$B,Load!G:G,0,)</f>
        <v>Large Multipack (More than 80 ct)</v>
      </c>
      <c r="G1797" t="str">
        <f>_xlfn.XLOOKUP($A1797,Load!$B:$B,Load!H:H,0,)</f>
        <v>Stand-Up Bag</v>
      </c>
      <c r="H1797" t="str">
        <f>_xlfn.XLOOKUP($A1797,Load!$B:$B,Load!I:I,0,)</f>
        <v>Everyday Candy Shapes (like Original, Gummy bear, Fruit, Jewels, etc.)</v>
      </c>
      <c r="I1797" t="str">
        <f>_xlfn.XLOOKUP($A1797,Load!$B:$B,Load!J:J,0,)</f>
        <v>Seasonal Graphics (Like Bat, Ghost, Pumpkin, Fall Leaves, Eyeballs, etc.)</v>
      </c>
      <c r="J1797" t="str">
        <f>_xlfn.XLOOKUP($A1797,Load!$B:$B,Load!K:K,0,)</f>
        <v>Fun Size / Treat Size</v>
      </c>
      <c r="K1797" t="str">
        <f>_xlfn.XLOOKUP($A1797,Load!$B:$B,Load!L:L,0,)</f>
        <v>Regular/Original Wrapping</v>
      </c>
      <c r="L1797" t="str">
        <f>_xlfn.XLOOKUP($A1797,Load!$B:$B,Load!M:M,0,)</f>
        <v>Multiple Brands / Variety Flavors or Form</v>
      </c>
    </row>
    <row r="1798" spans="1:12" x14ac:dyDescent="0.25">
      <c r="B1798">
        <f>_xlfn.XLOOKUP($A1798,Load!$B:$B,Load!C:C,0,)</f>
        <v>0</v>
      </c>
      <c r="C1798">
        <f>_xlfn.XLOOKUP($A1798,Load!$B:$B,Load!D:D,0,)</f>
        <v>0</v>
      </c>
      <c r="D1798">
        <f>_xlfn.XLOOKUP($A1798,Load!$B:$B,Load!E:E,0,)</f>
        <v>0</v>
      </c>
      <c r="E1798">
        <f>_xlfn.XLOOKUP($A1798,Load!$B:$B,Load!F:F,0,)</f>
        <v>0</v>
      </c>
      <c r="F1798">
        <f>_xlfn.XLOOKUP($A1798,Load!$B:$B,Load!G:G,0,)</f>
        <v>0</v>
      </c>
      <c r="G1798">
        <f>_xlfn.XLOOKUP($A1798,Load!$B:$B,Load!H:H,0,)</f>
        <v>0</v>
      </c>
      <c r="H1798">
        <f>_xlfn.XLOOKUP($A1798,Load!$B:$B,Load!I:I,0,)</f>
        <v>0</v>
      </c>
      <c r="I1798">
        <f>_xlfn.XLOOKUP($A1798,Load!$B:$B,Load!J:J,0,)</f>
        <v>0</v>
      </c>
      <c r="J1798">
        <f>_xlfn.XLOOKUP($A1798,Load!$B:$B,Load!K:K,0,)</f>
        <v>0</v>
      </c>
      <c r="K1798">
        <f>_xlfn.XLOOKUP($A1798,Load!$B:$B,Load!L:L,0,)</f>
        <v>0</v>
      </c>
      <c r="L1798">
        <f>_xlfn.XLOOKUP($A1798,Load!$B:$B,Load!M:M,0,)</f>
        <v>0</v>
      </c>
    </row>
    <row r="1799" spans="1:12" x14ac:dyDescent="0.25">
      <c r="B1799">
        <f>_xlfn.XLOOKUP($A1799,Load!$B:$B,Load!C:C,0,)</f>
        <v>0</v>
      </c>
      <c r="C1799">
        <f>_xlfn.XLOOKUP($A1799,Load!$B:$B,Load!D:D,0,)</f>
        <v>0</v>
      </c>
      <c r="D1799">
        <f>_xlfn.XLOOKUP($A1799,Load!$B:$B,Load!E:E,0,)</f>
        <v>0</v>
      </c>
      <c r="E1799">
        <f>_xlfn.XLOOKUP($A1799,Load!$B:$B,Load!F:F,0,)</f>
        <v>0</v>
      </c>
      <c r="F1799">
        <f>_xlfn.XLOOKUP($A1799,Load!$B:$B,Load!G:G,0,)</f>
        <v>0</v>
      </c>
      <c r="G1799">
        <f>_xlfn.XLOOKUP($A1799,Load!$B:$B,Load!H:H,0,)</f>
        <v>0</v>
      </c>
      <c r="H1799">
        <f>_xlfn.XLOOKUP($A1799,Load!$B:$B,Load!I:I,0,)</f>
        <v>0</v>
      </c>
      <c r="I1799">
        <f>_xlfn.XLOOKUP($A1799,Load!$B:$B,Load!J:J,0,)</f>
        <v>0</v>
      </c>
      <c r="J1799">
        <f>_xlfn.XLOOKUP($A1799,Load!$B:$B,Load!K:K,0,)</f>
        <v>0</v>
      </c>
      <c r="K1799">
        <f>_xlfn.XLOOKUP($A1799,Load!$B:$B,Load!L:L,0,)</f>
        <v>0</v>
      </c>
      <c r="L1799">
        <f>_xlfn.XLOOKUP($A1799,Load!$B:$B,Load!M:M,0,)</f>
        <v>0</v>
      </c>
    </row>
    <row r="1800" spans="1:12" x14ac:dyDescent="0.25">
      <c r="A1800" t="s">
        <v>55</v>
      </c>
      <c r="B1800" t="str">
        <f>_xlfn.XLOOKUP($A1800,Load!$B:$B,Load!C:C,0,)</f>
        <v>Brach's</v>
      </c>
      <c r="C1800" t="str">
        <f>_xlfn.XLOOKUP($A1800,Load!$B:$B,Load!D:D,0,)</f>
        <v>Non-Chocolate Candy Only</v>
      </c>
      <c r="D1800" t="str">
        <f>_xlfn.XLOOKUP($A1800,Load!$B:$B,Load!E:E,0,)</f>
        <v>Fall / Seasonal Flavors (pumpkin spice, caramel apple, candy corn)</v>
      </c>
      <c r="E1800" t="str">
        <f>_xlfn.XLOOKUP($A1800,Load!$B:$B,Load!F:F,0,)</f>
        <v>Candy Pieces / Bites</v>
      </c>
      <c r="F1800" t="str">
        <f>_xlfn.XLOOKUP($A1800,Load!$B:$B,Load!G:G,0,)</f>
        <v>Single Pack</v>
      </c>
      <c r="G1800" t="str">
        <f>_xlfn.XLOOKUP($A1800,Load!$B:$B,Load!H:H,0,)</f>
        <v>Peg Bag</v>
      </c>
      <c r="H1800" t="str">
        <f>_xlfn.XLOOKUP($A1800,Load!$B:$B,Load!I:I,0,)</f>
        <v>Seasonal Shapes (like pumpkins, candy corn, ghost, bats, etc.)</v>
      </c>
      <c r="I1800" t="str">
        <f>_xlfn.XLOOKUP($A1800,Load!$B:$B,Load!J:J,0,)</f>
        <v>Seasonal Graphics (Like Bat, Ghost, Pumpkin, Fall Leaves, Eyeballs, etc.)</v>
      </c>
      <c r="J1800" t="str">
        <f>_xlfn.XLOOKUP($A1800,Load!$B:$B,Load!K:K,0,)</f>
        <v>Small Pieces (Tiny bite size candies)</v>
      </c>
      <c r="K1800" t="str">
        <f>_xlfn.XLOOKUP($A1800,Load!$B:$B,Load!L:L,0,)</f>
        <v>Unwrapped</v>
      </c>
      <c r="L1800" t="str">
        <f>_xlfn.XLOOKUP($A1800,Load!$B:$B,Load!M:M,0,)</f>
        <v>Single Brand / Single Flavor or Form</v>
      </c>
    </row>
    <row r="1801" spans="1:12" x14ac:dyDescent="0.25">
      <c r="A1801" t="s">
        <v>41</v>
      </c>
      <c r="B1801" t="str">
        <f>_xlfn.XLOOKUP($A1801,Load!$B:$B,Load!C:C,0,)</f>
        <v>Brach's</v>
      </c>
      <c r="C1801" t="str">
        <f>_xlfn.XLOOKUP($A1801,Load!$B:$B,Load!D:D,0,)</f>
        <v>Non-Chocolate Candy Only</v>
      </c>
      <c r="D1801" t="str">
        <f>_xlfn.XLOOKUP($A1801,Load!$B:$B,Load!E:E,0,)</f>
        <v>Fall / Seasonal Flavors (pumpkin spice, caramel apple, candy corn)</v>
      </c>
      <c r="E1801" t="str">
        <f>_xlfn.XLOOKUP($A1801,Load!$B:$B,Load!F:F,0,)</f>
        <v>Candy Pieces / Bites</v>
      </c>
      <c r="F1801" t="str">
        <f>_xlfn.XLOOKUP($A1801,Load!$B:$B,Load!G:G,0,)</f>
        <v>Single Pack</v>
      </c>
      <c r="G1801" t="str">
        <f>_xlfn.XLOOKUP($A1801,Load!$B:$B,Load!H:H,0,)</f>
        <v>Stand-Up Bag</v>
      </c>
      <c r="H1801" t="str">
        <f>_xlfn.XLOOKUP($A1801,Load!$B:$B,Load!I:I,0,)</f>
        <v>Seasonal Shapes (like pumpkins, candy corn, ghost, bats, etc.)</v>
      </c>
      <c r="I1801" t="str">
        <f>_xlfn.XLOOKUP($A1801,Load!$B:$B,Load!J:J,0,)</f>
        <v>Seasonal Graphics (Like Bat, Ghost, Pumpkin, Fall Leaves, Eyeballs, etc.)</v>
      </c>
      <c r="J1801" t="str">
        <f>_xlfn.XLOOKUP($A1801,Load!$B:$B,Load!K:K,0,)</f>
        <v>Small Pieces (Tiny bite size candies)</v>
      </c>
      <c r="K1801" t="str">
        <f>_xlfn.XLOOKUP($A1801,Load!$B:$B,Load!L:L,0,)</f>
        <v>Unwrapped</v>
      </c>
      <c r="L1801" t="str">
        <f>_xlfn.XLOOKUP($A1801,Load!$B:$B,Load!M:M,0,)</f>
        <v>Single Brand / Variety Flavors or Form</v>
      </c>
    </row>
    <row r="1802" spans="1:12" x14ac:dyDescent="0.25">
      <c r="B1802">
        <f>_xlfn.XLOOKUP($A1802,Load!$B:$B,Load!C:C,0,)</f>
        <v>0</v>
      </c>
      <c r="C1802">
        <f>_xlfn.XLOOKUP($A1802,Load!$B:$B,Load!D:D,0,)</f>
        <v>0</v>
      </c>
      <c r="D1802">
        <f>_xlfn.XLOOKUP($A1802,Load!$B:$B,Load!E:E,0,)</f>
        <v>0</v>
      </c>
      <c r="E1802">
        <f>_xlfn.XLOOKUP($A1802,Load!$B:$B,Load!F:F,0,)</f>
        <v>0</v>
      </c>
      <c r="F1802">
        <f>_xlfn.XLOOKUP($A1802,Load!$B:$B,Load!G:G,0,)</f>
        <v>0</v>
      </c>
      <c r="G1802">
        <f>_xlfn.XLOOKUP($A1802,Load!$B:$B,Load!H:H,0,)</f>
        <v>0</v>
      </c>
      <c r="H1802">
        <f>_xlfn.XLOOKUP($A1802,Load!$B:$B,Load!I:I,0,)</f>
        <v>0</v>
      </c>
      <c r="I1802">
        <f>_xlfn.XLOOKUP($A1802,Load!$B:$B,Load!J:J,0,)</f>
        <v>0</v>
      </c>
      <c r="J1802">
        <f>_xlfn.XLOOKUP($A1802,Load!$B:$B,Load!K:K,0,)</f>
        <v>0</v>
      </c>
      <c r="K1802">
        <f>_xlfn.XLOOKUP($A1802,Load!$B:$B,Load!L:L,0,)</f>
        <v>0</v>
      </c>
      <c r="L1802">
        <f>_xlfn.XLOOKUP($A1802,Load!$B:$B,Load!M:M,0,)</f>
        <v>0</v>
      </c>
    </row>
    <row r="1803" spans="1:12" x14ac:dyDescent="0.25">
      <c r="B1803">
        <f>_xlfn.XLOOKUP($A1803,Load!$B:$B,Load!C:C,0,)</f>
        <v>0</v>
      </c>
      <c r="C1803">
        <f>_xlfn.XLOOKUP($A1803,Load!$B:$B,Load!D:D,0,)</f>
        <v>0</v>
      </c>
      <c r="D1803">
        <f>_xlfn.XLOOKUP($A1803,Load!$B:$B,Load!E:E,0,)</f>
        <v>0</v>
      </c>
      <c r="E1803">
        <f>_xlfn.XLOOKUP($A1803,Load!$B:$B,Load!F:F,0,)</f>
        <v>0</v>
      </c>
      <c r="F1803">
        <f>_xlfn.XLOOKUP($A1803,Load!$B:$B,Load!G:G,0,)</f>
        <v>0</v>
      </c>
      <c r="G1803">
        <f>_xlfn.XLOOKUP($A1803,Load!$B:$B,Load!H:H,0,)</f>
        <v>0</v>
      </c>
      <c r="H1803">
        <f>_xlfn.XLOOKUP($A1803,Load!$B:$B,Load!I:I,0,)</f>
        <v>0</v>
      </c>
      <c r="I1803">
        <f>_xlfn.XLOOKUP($A1803,Load!$B:$B,Load!J:J,0,)</f>
        <v>0</v>
      </c>
      <c r="J1803">
        <f>_xlfn.XLOOKUP($A1803,Load!$B:$B,Load!K:K,0,)</f>
        <v>0</v>
      </c>
      <c r="K1803">
        <f>_xlfn.XLOOKUP($A1803,Load!$B:$B,Load!L:L,0,)</f>
        <v>0</v>
      </c>
      <c r="L1803">
        <f>_xlfn.XLOOKUP($A1803,Load!$B:$B,Load!M:M,0,)</f>
        <v>0</v>
      </c>
    </row>
    <row r="1804" spans="1:12" x14ac:dyDescent="0.25">
      <c r="A1804" t="s">
        <v>213</v>
      </c>
      <c r="B1804" t="str">
        <f>_xlfn.XLOOKUP($A1804,Load!$B:$B,Load!C:C,0,)</f>
        <v>Mars Variety Pack</v>
      </c>
      <c r="C1804" t="str">
        <f>_xlfn.XLOOKUP($A1804,Load!$B:$B,Load!D:D,0,)</f>
        <v>Mix of Chocolate and Non-Chocolate Candy</v>
      </c>
      <c r="D1804" t="str">
        <f>_xlfn.XLOOKUP($A1804,Load!$B:$B,Load!E:E,0,)</f>
        <v>Variety / Mixed Flavors (Fruity, Sour, Seasonal Flavors)</v>
      </c>
      <c r="E1804" t="str">
        <f>_xlfn.XLOOKUP($A1804,Load!$B:$B,Load!F:F,0,)</f>
        <v>Mixed / Combo Packs (Gummy, Chewy, Taffy, etc.)</v>
      </c>
      <c r="F1804" t="str">
        <f>_xlfn.XLOOKUP($A1804,Load!$B:$B,Load!G:G,0,)</f>
        <v>Medium Multipack (40–80 ct)</v>
      </c>
      <c r="G1804" t="str">
        <f>_xlfn.XLOOKUP($A1804,Load!$B:$B,Load!H:H,0,)</f>
        <v>Stand-Up Bag</v>
      </c>
      <c r="H1804" t="str">
        <f>_xlfn.XLOOKUP($A1804,Load!$B:$B,Load!I:I,0,)</f>
        <v>Everyday Candy Shapes (like Original, Gummy bear, Fruit, Jewels, etc.)</v>
      </c>
      <c r="I1804" t="str">
        <f>_xlfn.XLOOKUP($A1804,Load!$B:$B,Load!J:J,0,)</f>
        <v>Seasonal Graphics (Like Bat, Ghost, Pumpkin, Fall Leaves, Eyeballs, etc.)</v>
      </c>
      <c r="J1804" t="str">
        <f>_xlfn.XLOOKUP($A1804,Load!$B:$B,Load!K:K,0,)</f>
        <v>Fun Size / Treat Size</v>
      </c>
      <c r="K1804" t="str">
        <f>_xlfn.XLOOKUP($A1804,Load!$B:$B,Load!L:L,0,)</f>
        <v>Regular/Original Wrapping</v>
      </c>
      <c r="L1804" t="str">
        <f>_xlfn.XLOOKUP($A1804,Load!$B:$B,Load!M:M,0,)</f>
        <v>Multiple Brands / Variety Flavors or Form</v>
      </c>
    </row>
    <row r="1805" spans="1:12" x14ac:dyDescent="0.25">
      <c r="B1805">
        <f>_xlfn.XLOOKUP($A1805,Load!$B:$B,Load!C:C,0,)</f>
        <v>0</v>
      </c>
      <c r="C1805">
        <f>_xlfn.XLOOKUP($A1805,Load!$B:$B,Load!D:D,0,)</f>
        <v>0</v>
      </c>
      <c r="D1805">
        <f>_xlfn.XLOOKUP($A1805,Load!$B:$B,Load!E:E,0,)</f>
        <v>0</v>
      </c>
      <c r="E1805">
        <f>_xlfn.XLOOKUP($A1805,Load!$B:$B,Load!F:F,0,)</f>
        <v>0</v>
      </c>
      <c r="F1805">
        <f>_xlfn.XLOOKUP($A1805,Load!$B:$B,Load!G:G,0,)</f>
        <v>0</v>
      </c>
      <c r="G1805">
        <f>_xlfn.XLOOKUP($A1805,Load!$B:$B,Load!H:H,0,)</f>
        <v>0</v>
      </c>
      <c r="H1805">
        <f>_xlfn.XLOOKUP($A1805,Load!$B:$B,Load!I:I,0,)</f>
        <v>0</v>
      </c>
      <c r="I1805">
        <f>_xlfn.XLOOKUP($A1805,Load!$B:$B,Load!J:J,0,)</f>
        <v>0</v>
      </c>
      <c r="J1805">
        <f>_xlfn.XLOOKUP($A1805,Load!$B:$B,Load!K:K,0,)</f>
        <v>0</v>
      </c>
      <c r="K1805">
        <f>_xlfn.XLOOKUP($A1805,Load!$B:$B,Load!L:L,0,)</f>
        <v>0</v>
      </c>
      <c r="L1805">
        <f>_xlfn.XLOOKUP($A1805,Load!$B:$B,Load!M:M,0,)</f>
        <v>0</v>
      </c>
    </row>
    <row r="1806" spans="1:12" x14ac:dyDescent="0.25">
      <c r="B1806">
        <f>_xlfn.XLOOKUP($A1806,Load!$B:$B,Load!C:C,0,)</f>
        <v>0</v>
      </c>
      <c r="C1806">
        <f>_xlfn.XLOOKUP($A1806,Load!$B:$B,Load!D:D,0,)</f>
        <v>0</v>
      </c>
      <c r="D1806">
        <f>_xlfn.XLOOKUP($A1806,Load!$B:$B,Load!E:E,0,)</f>
        <v>0</v>
      </c>
      <c r="E1806">
        <f>_xlfn.XLOOKUP($A1806,Load!$B:$B,Load!F:F,0,)</f>
        <v>0</v>
      </c>
      <c r="F1806">
        <f>_xlfn.XLOOKUP($A1806,Load!$B:$B,Load!G:G,0,)</f>
        <v>0</v>
      </c>
      <c r="G1806">
        <f>_xlfn.XLOOKUP($A1806,Load!$B:$B,Load!H:H,0,)</f>
        <v>0</v>
      </c>
      <c r="H1806">
        <f>_xlfn.XLOOKUP($A1806,Load!$B:$B,Load!I:I,0,)</f>
        <v>0</v>
      </c>
      <c r="I1806">
        <f>_xlfn.XLOOKUP($A1806,Load!$B:$B,Load!J:J,0,)</f>
        <v>0</v>
      </c>
      <c r="J1806">
        <f>_xlfn.XLOOKUP($A1806,Load!$B:$B,Load!K:K,0,)</f>
        <v>0</v>
      </c>
      <c r="K1806">
        <f>_xlfn.XLOOKUP($A1806,Load!$B:$B,Load!L:L,0,)</f>
        <v>0</v>
      </c>
      <c r="L1806">
        <f>_xlfn.XLOOKUP($A1806,Load!$B:$B,Load!M:M,0,)</f>
        <v>0</v>
      </c>
    </row>
    <row r="1807" spans="1:12" x14ac:dyDescent="0.25">
      <c r="B1807">
        <f>_xlfn.XLOOKUP($A1807,Load!$B:$B,Load!C:C,0,)</f>
        <v>0</v>
      </c>
      <c r="C1807">
        <f>_xlfn.XLOOKUP($A1807,Load!$B:$B,Load!D:D,0,)</f>
        <v>0</v>
      </c>
      <c r="D1807">
        <f>_xlfn.XLOOKUP($A1807,Load!$B:$B,Load!E:E,0,)</f>
        <v>0</v>
      </c>
      <c r="E1807">
        <f>_xlfn.XLOOKUP($A1807,Load!$B:$B,Load!F:F,0,)</f>
        <v>0</v>
      </c>
      <c r="F1807">
        <f>_xlfn.XLOOKUP($A1807,Load!$B:$B,Load!G:G,0,)</f>
        <v>0</v>
      </c>
      <c r="G1807">
        <f>_xlfn.XLOOKUP($A1807,Load!$B:$B,Load!H:H,0,)</f>
        <v>0</v>
      </c>
      <c r="H1807">
        <f>_xlfn.XLOOKUP($A1807,Load!$B:$B,Load!I:I,0,)</f>
        <v>0</v>
      </c>
      <c r="I1807">
        <f>_xlfn.XLOOKUP($A1807,Load!$B:$B,Load!J:J,0,)</f>
        <v>0</v>
      </c>
      <c r="J1807">
        <f>_xlfn.XLOOKUP($A1807,Load!$B:$B,Load!K:K,0,)</f>
        <v>0</v>
      </c>
      <c r="K1807">
        <f>_xlfn.XLOOKUP($A1807,Load!$B:$B,Load!L:L,0,)</f>
        <v>0</v>
      </c>
      <c r="L1807">
        <f>_xlfn.XLOOKUP($A1807,Load!$B:$B,Load!M:M,0,)</f>
        <v>0</v>
      </c>
    </row>
    <row r="1808" spans="1:12" x14ac:dyDescent="0.25">
      <c r="A1808" t="s">
        <v>207</v>
      </c>
      <c r="B1808" t="str">
        <f>_xlfn.XLOOKUP($A1808,Load!$B:$B,Load!C:C,0,)</f>
        <v>Mars Variety Pack</v>
      </c>
      <c r="C1808" t="str">
        <f>_xlfn.XLOOKUP($A1808,Load!$B:$B,Load!D:D,0,)</f>
        <v>Mix of Chocolate and Non-Chocolate Candy</v>
      </c>
      <c r="D1808" t="str">
        <f>_xlfn.XLOOKUP($A1808,Load!$B:$B,Load!E:E,0,)</f>
        <v>Variety / Mixed Flavors (Fruity, Sour, Seasonal Flavors)</v>
      </c>
      <c r="E1808" t="str">
        <f>_xlfn.XLOOKUP($A1808,Load!$B:$B,Load!F:F,0,)</f>
        <v>Mixed / Combo Packs (Gummy, Chewy, Taffy, etc.)</v>
      </c>
      <c r="F1808" t="str">
        <f>_xlfn.XLOOKUP($A1808,Load!$B:$B,Load!G:G,0,)</f>
        <v>Large Multipack (More than 80 ct)</v>
      </c>
      <c r="G1808" t="str">
        <f>_xlfn.XLOOKUP($A1808,Load!$B:$B,Load!H:H,0,)</f>
        <v>Stand-Up Bag</v>
      </c>
      <c r="H1808" t="str">
        <f>_xlfn.XLOOKUP($A1808,Load!$B:$B,Load!I:I,0,)</f>
        <v>Everyday Candy Shapes (like Original, Gummy bear, Fruit, Jewels, etc.)</v>
      </c>
      <c r="I1808" t="str">
        <f>_xlfn.XLOOKUP($A1808,Load!$B:$B,Load!J:J,0,)</f>
        <v>Everyday Graphics</v>
      </c>
      <c r="J1808" t="str">
        <f>_xlfn.XLOOKUP($A1808,Load!$B:$B,Load!K:K,0,)</f>
        <v>Fun Size / Treat Size</v>
      </c>
      <c r="K1808" t="str">
        <f>_xlfn.XLOOKUP($A1808,Load!$B:$B,Load!L:L,0,)</f>
        <v>Regular/Original Wrapping</v>
      </c>
      <c r="L1808" t="str">
        <f>_xlfn.XLOOKUP($A1808,Load!$B:$B,Load!M:M,0,)</f>
        <v>Multiple Brands / Variety Flavors or Form</v>
      </c>
    </row>
    <row r="1809" spans="1:12" x14ac:dyDescent="0.25">
      <c r="A1809" t="s">
        <v>272</v>
      </c>
      <c r="B1809" t="str">
        <f>_xlfn.XLOOKUP($A1809,Load!$B:$B,Load!C:C,0,)</f>
        <v>Sour Patch Kids</v>
      </c>
      <c r="C1809" t="str">
        <f>_xlfn.XLOOKUP($A1809,Load!$B:$B,Load!D:D,0,)</f>
        <v>Non-Chocolate Candy Only</v>
      </c>
      <c r="D1809" t="str">
        <f>_xlfn.XLOOKUP($A1809,Load!$B:$B,Load!E:E,0,)</f>
        <v>Sour</v>
      </c>
      <c r="E1809" t="str">
        <f>_xlfn.XLOOKUP($A1809,Load!$B:$B,Load!F:F,0,)</f>
        <v>Chewy</v>
      </c>
      <c r="F1809" t="str">
        <f>_xlfn.XLOOKUP($A1809,Load!$B:$B,Load!G:G,0,)</f>
        <v>Medium Multipack (40–80 ct)</v>
      </c>
      <c r="G1809" t="str">
        <f>_xlfn.XLOOKUP($A1809,Load!$B:$B,Load!H:H,0,)</f>
        <v>Peg Bag</v>
      </c>
      <c r="H1809" t="str">
        <f>_xlfn.XLOOKUP($A1809,Load!$B:$B,Load!I:I,0,)</f>
        <v>Everyday Candy Shapes (like Original, Gummy bear, Fruit, Jewels, etc.)</v>
      </c>
      <c r="I1809" t="str">
        <f>_xlfn.XLOOKUP($A1809,Load!$B:$B,Load!J:J,0,)</f>
        <v>Seasonal Graphics (Like Bat, Ghost, Pumpkin, Fall Leaves, Eyeballs, etc.)</v>
      </c>
      <c r="J1809" t="str">
        <f>_xlfn.XLOOKUP($A1809,Load!$B:$B,Load!K:K,0,)</f>
        <v>Small Pieces (Tiny bite size candies)</v>
      </c>
      <c r="K1809" t="str">
        <f>_xlfn.XLOOKUP($A1809,Load!$B:$B,Load!L:L,0,)</f>
        <v>Unwrapped</v>
      </c>
      <c r="L1809" t="str">
        <f>_xlfn.XLOOKUP($A1809,Load!$B:$B,Load!M:M,0,)</f>
        <v>Single Brand / Single Flavor or Form</v>
      </c>
    </row>
    <row r="1810" spans="1:12" x14ac:dyDescent="0.25">
      <c r="A1810" t="s">
        <v>183</v>
      </c>
      <c r="B1810" t="str">
        <f>_xlfn.XLOOKUP($A1810,Load!$B:$B,Load!C:C,0,)</f>
        <v>Mars Variety Pack</v>
      </c>
      <c r="C1810" t="str">
        <f>_xlfn.XLOOKUP($A1810,Load!$B:$B,Load!D:D,0,)</f>
        <v>Non-Chocolate Candy Only</v>
      </c>
      <c r="D1810" t="str">
        <f>_xlfn.XLOOKUP($A1810,Load!$B:$B,Load!E:E,0,)</f>
        <v>Variety / Mixed Flavors (Fruity, Sour, Seasonal Flavors)</v>
      </c>
      <c r="E1810" t="str">
        <f>_xlfn.XLOOKUP($A1810,Load!$B:$B,Load!F:F,0,)</f>
        <v>Mixed / Combo Packs (Gummy, Chewy, Taffy, etc.)</v>
      </c>
      <c r="F1810" t="str">
        <f>_xlfn.XLOOKUP($A1810,Load!$B:$B,Load!G:G,0,)</f>
        <v>Large Multipack (More than 80 ct)</v>
      </c>
      <c r="G1810" t="str">
        <f>_xlfn.XLOOKUP($A1810,Load!$B:$B,Load!H:H,0,)</f>
        <v>Stand-Up Bag</v>
      </c>
      <c r="H1810" t="str">
        <f>_xlfn.XLOOKUP($A1810,Load!$B:$B,Load!I:I,0,)</f>
        <v>Seasonal Shapes (like pumpkins, candy corn, ghost, bats, etc.)</v>
      </c>
      <c r="I1810" t="str">
        <f>_xlfn.XLOOKUP($A1810,Load!$B:$B,Load!J:J,0,)</f>
        <v>Seasonal Graphics (Like Bat, Ghost, Pumpkin, Fall Leaves, Eyeballs, etc.)</v>
      </c>
      <c r="J1810" t="str">
        <f>_xlfn.XLOOKUP($A1810,Load!$B:$B,Load!K:K,0,)</f>
        <v xml:space="preserve">Variety Candy Sizes </v>
      </c>
      <c r="K1810" t="str">
        <f>_xlfn.XLOOKUP($A1810,Load!$B:$B,Load!L:L,0,)</f>
        <v>Regular/Original Wrapping</v>
      </c>
      <c r="L1810" t="str">
        <f>_xlfn.XLOOKUP($A1810,Load!$B:$B,Load!M:M,0,)</f>
        <v>Multiple Brands / Variety Flavors or Form</v>
      </c>
    </row>
    <row r="1811" spans="1:12" x14ac:dyDescent="0.25">
      <c r="B1811">
        <f>_xlfn.XLOOKUP($A1811,Load!$B:$B,Load!C:C,0,)</f>
        <v>0</v>
      </c>
      <c r="C1811">
        <f>_xlfn.XLOOKUP($A1811,Load!$B:$B,Load!D:D,0,)</f>
        <v>0</v>
      </c>
      <c r="D1811">
        <f>_xlfn.XLOOKUP($A1811,Load!$B:$B,Load!E:E,0,)</f>
        <v>0</v>
      </c>
      <c r="E1811">
        <f>_xlfn.XLOOKUP($A1811,Load!$B:$B,Load!F:F,0,)</f>
        <v>0</v>
      </c>
      <c r="F1811">
        <f>_xlfn.XLOOKUP($A1811,Load!$B:$B,Load!G:G,0,)</f>
        <v>0</v>
      </c>
      <c r="G1811">
        <f>_xlfn.XLOOKUP($A1811,Load!$B:$B,Load!H:H,0,)</f>
        <v>0</v>
      </c>
      <c r="H1811">
        <f>_xlfn.XLOOKUP($A1811,Load!$B:$B,Load!I:I,0,)</f>
        <v>0</v>
      </c>
      <c r="I1811">
        <f>_xlfn.XLOOKUP($A1811,Load!$B:$B,Load!J:J,0,)</f>
        <v>0</v>
      </c>
      <c r="J1811">
        <f>_xlfn.XLOOKUP($A1811,Load!$B:$B,Load!K:K,0,)</f>
        <v>0</v>
      </c>
      <c r="K1811">
        <f>_xlfn.XLOOKUP($A1811,Load!$B:$B,Load!L:L,0,)</f>
        <v>0</v>
      </c>
      <c r="L1811">
        <f>_xlfn.XLOOKUP($A1811,Load!$B:$B,Load!M:M,0,)</f>
        <v>0</v>
      </c>
    </row>
    <row r="1812" spans="1:12" x14ac:dyDescent="0.25">
      <c r="B1812">
        <f>_xlfn.XLOOKUP($A1812,Load!$B:$B,Load!C:C,0,)</f>
        <v>0</v>
      </c>
      <c r="C1812">
        <f>_xlfn.XLOOKUP($A1812,Load!$B:$B,Load!D:D,0,)</f>
        <v>0</v>
      </c>
      <c r="D1812">
        <f>_xlfn.XLOOKUP($A1812,Load!$B:$B,Load!E:E,0,)</f>
        <v>0</v>
      </c>
      <c r="E1812">
        <f>_xlfn.XLOOKUP($A1812,Load!$B:$B,Load!F:F,0,)</f>
        <v>0</v>
      </c>
      <c r="F1812">
        <f>_xlfn.XLOOKUP($A1812,Load!$B:$B,Load!G:G,0,)</f>
        <v>0</v>
      </c>
      <c r="G1812">
        <f>_xlfn.XLOOKUP($A1812,Load!$B:$B,Load!H:H,0,)</f>
        <v>0</v>
      </c>
      <c r="H1812">
        <f>_xlfn.XLOOKUP($A1812,Load!$B:$B,Load!I:I,0,)</f>
        <v>0</v>
      </c>
      <c r="I1812">
        <f>_xlfn.XLOOKUP($A1812,Load!$B:$B,Load!J:J,0,)</f>
        <v>0</v>
      </c>
      <c r="J1812">
        <f>_xlfn.XLOOKUP($A1812,Load!$B:$B,Load!K:K,0,)</f>
        <v>0</v>
      </c>
      <c r="K1812">
        <f>_xlfn.XLOOKUP($A1812,Load!$B:$B,Load!L:L,0,)</f>
        <v>0</v>
      </c>
      <c r="L1812">
        <f>_xlfn.XLOOKUP($A1812,Load!$B:$B,Load!M:M,0,)</f>
        <v>0</v>
      </c>
    </row>
    <row r="1813" spans="1:12" x14ac:dyDescent="0.25">
      <c r="B1813">
        <f>_xlfn.XLOOKUP($A1813,Load!$B:$B,Load!C:C,0,)</f>
        <v>0</v>
      </c>
      <c r="C1813">
        <f>_xlfn.XLOOKUP($A1813,Load!$B:$B,Load!D:D,0,)</f>
        <v>0</v>
      </c>
      <c r="D1813">
        <f>_xlfn.XLOOKUP($A1813,Load!$B:$B,Load!E:E,0,)</f>
        <v>0</v>
      </c>
      <c r="E1813">
        <f>_xlfn.XLOOKUP($A1813,Load!$B:$B,Load!F:F,0,)</f>
        <v>0</v>
      </c>
      <c r="F1813">
        <f>_xlfn.XLOOKUP($A1813,Load!$B:$B,Load!G:G,0,)</f>
        <v>0</v>
      </c>
      <c r="G1813">
        <f>_xlfn.XLOOKUP($A1813,Load!$B:$B,Load!H:H,0,)</f>
        <v>0</v>
      </c>
      <c r="H1813">
        <f>_xlfn.XLOOKUP($A1813,Load!$B:$B,Load!I:I,0,)</f>
        <v>0</v>
      </c>
      <c r="I1813">
        <f>_xlfn.XLOOKUP($A1813,Load!$B:$B,Load!J:J,0,)</f>
        <v>0</v>
      </c>
      <c r="J1813">
        <f>_xlfn.XLOOKUP($A1813,Load!$B:$B,Load!K:K,0,)</f>
        <v>0</v>
      </c>
      <c r="K1813">
        <f>_xlfn.XLOOKUP($A1813,Load!$B:$B,Load!L:L,0,)</f>
        <v>0</v>
      </c>
      <c r="L1813">
        <f>_xlfn.XLOOKUP($A1813,Load!$B:$B,Load!M:M,0,)</f>
        <v>0</v>
      </c>
    </row>
    <row r="1814" spans="1:12" x14ac:dyDescent="0.25">
      <c r="A1814" t="s">
        <v>188</v>
      </c>
      <c r="B1814" t="str">
        <f>_xlfn.XLOOKUP($A1814,Load!$B:$B,Load!C:C,0,)</f>
        <v>Mars Variety Pack</v>
      </c>
      <c r="C1814" t="str">
        <f>_xlfn.XLOOKUP($A1814,Load!$B:$B,Load!D:D,0,)</f>
        <v>Non-Chocolate Candy Only</v>
      </c>
      <c r="D1814" t="str">
        <f>_xlfn.XLOOKUP($A1814,Load!$B:$B,Load!E:E,0,)</f>
        <v>Variety / Mixed Flavors (Fruity, Sour, Seasonal Flavors)</v>
      </c>
      <c r="E1814" t="str">
        <f>_xlfn.XLOOKUP($A1814,Load!$B:$B,Load!F:F,0,)</f>
        <v>Mixed / Combo Packs (Gummy, Chewy, Taffy, etc.)</v>
      </c>
      <c r="F1814" t="str">
        <f>_xlfn.XLOOKUP($A1814,Load!$B:$B,Load!G:G,0,)</f>
        <v>Large Multipack (More than 80 ct)</v>
      </c>
      <c r="G1814" t="str">
        <f>_xlfn.XLOOKUP($A1814,Load!$B:$B,Load!H:H,0,)</f>
        <v>Laydown Bag</v>
      </c>
      <c r="H1814" t="str">
        <f>_xlfn.XLOOKUP($A1814,Load!$B:$B,Load!I:I,0,)</f>
        <v>Everyday Candy Shapes (like Original, Gummy bear, Fruit, Jewels, etc.)</v>
      </c>
      <c r="I1814" t="str">
        <f>_xlfn.XLOOKUP($A1814,Load!$B:$B,Load!J:J,0,)</f>
        <v>Everyday Graphics</v>
      </c>
      <c r="J1814" t="str">
        <f>_xlfn.XLOOKUP($A1814,Load!$B:$B,Load!K:K,0,)</f>
        <v>Small Pieces (Tiny bite size candies)</v>
      </c>
      <c r="K1814" t="str">
        <f>_xlfn.XLOOKUP($A1814,Load!$B:$B,Load!L:L,0,)</f>
        <v>Regular/Original Wrapping</v>
      </c>
      <c r="L1814" t="str">
        <f>_xlfn.XLOOKUP($A1814,Load!$B:$B,Load!M:M,0,)</f>
        <v>Multiple Brands / Variety Flavors or Form</v>
      </c>
    </row>
    <row r="1815" spans="1:12" x14ac:dyDescent="0.25">
      <c r="B1815">
        <f>_xlfn.XLOOKUP($A1815,Load!$B:$B,Load!C:C,0,)</f>
        <v>0</v>
      </c>
      <c r="C1815">
        <f>_xlfn.XLOOKUP($A1815,Load!$B:$B,Load!D:D,0,)</f>
        <v>0</v>
      </c>
      <c r="D1815">
        <f>_xlfn.XLOOKUP($A1815,Load!$B:$B,Load!E:E,0,)</f>
        <v>0</v>
      </c>
      <c r="E1815">
        <f>_xlfn.XLOOKUP($A1815,Load!$B:$B,Load!F:F,0,)</f>
        <v>0</v>
      </c>
      <c r="F1815">
        <f>_xlfn.XLOOKUP($A1815,Load!$B:$B,Load!G:G,0,)</f>
        <v>0</v>
      </c>
      <c r="G1815">
        <f>_xlfn.XLOOKUP($A1815,Load!$B:$B,Load!H:H,0,)</f>
        <v>0</v>
      </c>
      <c r="H1815">
        <f>_xlfn.XLOOKUP($A1815,Load!$B:$B,Load!I:I,0,)</f>
        <v>0</v>
      </c>
      <c r="I1815">
        <f>_xlfn.XLOOKUP($A1815,Load!$B:$B,Load!J:J,0,)</f>
        <v>0</v>
      </c>
      <c r="J1815">
        <f>_xlfn.XLOOKUP($A1815,Load!$B:$B,Load!K:K,0,)</f>
        <v>0</v>
      </c>
      <c r="K1815">
        <f>_xlfn.XLOOKUP($A1815,Load!$B:$B,Load!L:L,0,)</f>
        <v>0</v>
      </c>
      <c r="L1815">
        <f>_xlfn.XLOOKUP($A1815,Load!$B:$B,Load!M:M,0,)</f>
        <v>0</v>
      </c>
    </row>
    <row r="1816" spans="1:12" x14ac:dyDescent="0.25">
      <c r="A1816" t="s">
        <v>121</v>
      </c>
      <c r="B1816" t="str">
        <f>_xlfn.XLOOKUP($A1816,Load!$B:$B,Load!C:C,0,)</f>
        <v>HARIBO</v>
      </c>
      <c r="C1816" t="str">
        <f>_xlfn.XLOOKUP($A1816,Load!$B:$B,Load!D:D,0,)</f>
        <v>Non-Chocolate Candy Only</v>
      </c>
      <c r="D1816" t="str">
        <f>_xlfn.XLOOKUP($A1816,Load!$B:$B,Load!E:E,0,)</f>
        <v>Variety / Mixed Flavors (Fruity, Sour, Seasonal Flavors)</v>
      </c>
      <c r="E1816" t="str">
        <f>_xlfn.XLOOKUP($A1816,Load!$B:$B,Load!F:F,0,)</f>
        <v>Gummy</v>
      </c>
      <c r="F1816" t="str">
        <f>_xlfn.XLOOKUP($A1816,Load!$B:$B,Load!G:G,0,)</f>
        <v>Large Multipack (More than 80 ct)</v>
      </c>
      <c r="G1816" t="str">
        <f>_xlfn.XLOOKUP($A1816,Load!$B:$B,Load!H:H,0,)</f>
        <v>Stand-Up Bag</v>
      </c>
      <c r="H1816" t="str">
        <f>_xlfn.XLOOKUP($A1816,Load!$B:$B,Load!I:I,0,)</f>
        <v>Seasonal Shapes (like pumpkins, candy corn, ghost, bats, etc.)</v>
      </c>
      <c r="I1816" t="str">
        <f>_xlfn.XLOOKUP($A1816,Load!$B:$B,Load!J:J,0,)</f>
        <v>Seasonal Graphics (Like Bat, Ghost, Pumpkin, Fall Leaves, Eyeballs, etc.)</v>
      </c>
      <c r="J1816" t="str">
        <f>_xlfn.XLOOKUP($A1816,Load!$B:$B,Load!K:K,0,)</f>
        <v>Fun Size / Treat Size</v>
      </c>
      <c r="K1816" t="str">
        <f>_xlfn.XLOOKUP($A1816,Load!$B:$B,Load!L:L,0,)</f>
        <v>Regular/Original Wrapping</v>
      </c>
      <c r="L1816" t="str">
        <f>_xlfn.XLOOKUP($A1816,Load!$B:$B,Load!M:M,0,)</f>
        <v>Multiple Brands / Variety Flavors or Form</v>
      </c>
    </row>
    <row r="1817" spans="1:12" x14ac:dyDescent="0.25">
      <c r="A1817" t="s">
        <v>180</v>
      </c>
      <c r="B1817" t="str">
        <f>_xlfn.XLOOKUP($A1817,Load!$B:$B,Load!C:C,0,)</f>
        <v>Mars Variety Pack</v>
      </c>
      <c r="C1817" t="str">
        <f>_xlfn.XLOOKUP($A1817,Load!$B:$B,Load!D:D,0,)</f>
        <v>Mix of Chocolate and Non-Chocolate Candy</v>
      </c>
      <c r="D1817" t="str">
        <f>_xlfn.XLOOKUP($A1817,Load!$B:$B,Load!E:E,0,)</f>
        <v>Variety / Mixed Flavors (Fruity, Sour, Seasonal Flavors)</v>
      </c>
      <c r="E1817" t="str">
        <f>_xlfn.XLOOKUP($A1817,Load!$B:$B,Load!F:F,0,)</f>
        <v>Mixed / Combo Packs (Gummy, Chewy, Taffy, etc.)</v>
      </c>
      <c r="F1817" t="str">
        <f>_xlfn.XLOOKUP($A1817,Load!$B:$B,Load!G:G,0,)</f>
        <v>Large Multipack (More than 80 ct)</v>
      </c>
      <c r="G1817" t="str">
        <f>_xlfn.XLOOKUP($A1817,Load!$B:$B,Load!H:H,0,)</f>
        <v>Stand-Up Bag</v>
      </c>
      <c r="H1817" t="str">
        <f>_xlfn.XLOOKUP($A1817,Load!$B:$B,Load!I:I,0,)</f>
        <v>Everyday Candy Shapes (like Original, Gummy bear, Fruit, Jewels, etc.)</v>
      </c>
      <c r="I1817" t="str">
        <f>_xlfn.XLOOKUP($A1817,Load!$B:$B,Load!J:J,0,)</f>
        <v>Seasonal Graphics (Like Bat, Ghost, Pumpkin, Fall Leaves, Eyeballs, etc.)</v>
      </c>
      <c r="J1817" t="str">
        <f>_xlfn.XLOOKUP($A1817,Load!$B:$B,Load!K:K,0,)</f>
        <v>Fun Size / Treat Size</v>
      </c>
      <c r="K1817" t="str">
        <f>_xlfn.XLOOKUP($A1817,Load!$B:$B,Load!L:L,0,)</f>
        <v>Regular/Original Wrapping</v>
      </c>
      <c r="L1817" t="str">
        <f>_xlfn.XLOOKUP($A1817,Load!$B:$B,Load!M:M,0,)</f>
        <v>Multiple Brands / Variety Flavors or Form</v>
      </c>
    </row>
    <row r="1818" spans="1:12" x14ac:dyDescent="0.25">
      <c r="A1818" t="s">
        <v>462</v>
      </c>
      <c r="B1818" t="str">
        <f>_xlfn.XLOOKUP($A1818,Load!$B:$B,Load!C:C,0,)</f>
        <v>Trolli</v>
      </c>
      <c r="C1818" t="str">
        <f>_xlfn.XLOOKUP($A1818,Load!$B:$B,Load!D:D,0,)</f>
        <v>Non-Chocolate Candy Only</v>
      </c>
      <c r="D1818" t="str">
        <f>_xlfn.XLOOKUP($A1818,Load!$B:$B,Load!E:E,0,)</f>
        <v>Sour</v>
      </c>
      <c r="E1818" t="str">
        <f>_xlfn.XLOOKUP($A1818,Load!$B:$B,Load!F:F,0,)</f>
        <v>Gummy</v>
      </c>
      <c r="F1818" t="str">
        <f>_xlfn.XLOOKUP($A1818,Load!$B:$B,Load!G:G,0,)</f>
        <v>Small Multipack (Less than 40 ct)</v>
      </c>
      <c r="G1818" t="str">
        <f>_xlfn.XLOOKUP($A1818,Load!$B:$B,Load!H:H,0,)</f>
        <v>Laydown Bag</v>
      </c>
      <c r="H1818" t="str">
        <f>_xlfn.XLOOKUP($A1818,Load!$B:$B,Load!I:I,0,)</f>
        <v>Seasonal Shapes (like pumpkins, candy corn, ghost, bats, etc.)</v>
      </c>
      <c r="I1818" t="str">
        <f>_xlfn.XLOOKUP($A1818,Load!$B:$B,Load!J:J,0,)</f>
        <v>Seasonal Graphics (Like Bat, Ghost, Pumpkin, Fall Leaves, Eyeballs, etc.)</v>
      </c>
      <c r="J1818" t="str">
        <f>_xlfn.XLOOKUP($A1818,Load!$B:$B,Load!K:K,0,)</f>
        <v>Fun Size / Treat Size</v>
      </c>
      <c r="K1818" t="str">
        <f>_xlfn.XLOOKUP($A1818,Load!$B:$B,Load!L:L,0,)</f>
        <v>Regular/Original Wrapping</v>
      </c>
      <c r="L1818" t="str">
        <f>_xlfn.XLOOKUP($A1818,Load!$B:$B,Load!M:M,0,)</f>
        <v>Single Brand / Variety Flavors or Form</v>
      </c>
    </row>
    <row r="1819" spans="1:12" x14ac:dyDescent="0.25">
      <c r="A1819" t="s">
        <v>125</v>
      </c>
      <c r="B1819" t="str">
        <f>_xlfn.XLOOKUP($A1819,Load!$B:$B,Load!C:C,0,)</f>
        <v>HARIBO</v>
      </c>
      <c r="C1819" t="str">
        <f>_xlfn.XLOOKUP($A1819,Load!$B:$B,Load!D:D,0,)</f>
        <v>Non-Chocolate Candy Only</v>
      </c>
      <c r="D1819" t="str">
        <f>_xlfn.XLOOKUP($A1819,Load!$B:$B,Load!E:E,0,)</f>
        <v>Berry Based (Raspberry, Strawberry, Medley, etc.)</v>
      </c>
      <c r="E1819" t="str">
        <f>_xlfn.XLOOKUP($A1819,Load!$B:$B,Load!F:F,0,)</f>
        <v>Gummy</v>
      </c>
      <c r="F1819" t="str">
        <f>_xlfn.XLOOKUP($A1819,Load!$B:$B,Load!G:G,0,)</f>
        <v>Small Multipack (Less than 40 ct)</v>
      </c>
      <c r="G1819" t="str">
        <f>_xlfn.XLOOKUP($A1819,Load!$B:$B,Load!H:H,0,)</f>
        <v>Laydown Bag</v>
      </c>
      <c r="H1819" t="str">
        <f>_xlfn.XLOOKUP($A1819,Load!$B:$B,Load!I:I,0,)</f>
        <v>Everyday Candy Shapes (like Original, Gummy bear, Fruit, Jewels, etc.)</v>
      </c>
      <c r="I1819" t="str">
        <f>_xlfn.XLOOKUP($A1819,Load!$B:$B,Load!J:J,0,)</f>
        <v>Everyday Graphics</v>
      </c>
      <c r="J1819" t="str">
        <f>_xlfn.XLOOKUP($A1819,Load!$B:$B,Load!K:K,0,)</f>
        <v>Small Pieces (Tiny bite size candies)</v>
      </c>
      <c r="K1819" t="str">
        <f>_xlfn.XLOOKUP($A1819,Load!$B:$B,Load!L:L,0,)</f>
        <v>Regular/Original Wrapping</v>
      </c>
      <c r="L1819" t="str">
        <f>_xlfn.XLOOKUP($A1819,Load!$B:$B,Load!M:M,0,)</f>
        <v>Single Brand / Variety Flavors or Form</v>
      </c>
    </row>
    <row r="1820" spans="1:12" x14ac:dyDescent="0.25">
      <c r="A1820" t="s">
        <v>175</v>
      </c>
      <c r="B1820" t="str">
        <f>_xlfn.XLOOKUP($A1820,Load!$B:$B,Load!C:C,0,)</f>
        <v>Mars Variety Pack</v>
      </c>
      <c r="C1820" t="str">
        <f>_xlfn.XLOOKUP($A1820,Load!$B:$B,Load!D:D,0,)</f>
        <v>Mix of Chocolate and Non-Chocolate Candy</v>
      </c>
      <c r="D1820" t="str">
        <f>_xlfn.XLOOKUP($A1820,Load!$B:$B,Load!E:E,0,)</f>
        <v>Variety / Mixed Flavors (Fruity, Sour, Seasonal Flavors)</v>
      </c>
      <c r="E1820" t="str">
        <f>_xlfn.XLOOKUP($A1820,Load!$B:$B,Load!F:F,0,)</f>
        <v>Mixed / Combo Packs (Gummy, Chewy, Taffy, etc.)</v>
      </c>
      <c r="F1820" t="str">
        <f>_xlfn.XLOOKUP($A1820,Load!$B:$B,Load!G:G,0,)</f>
        <v>Large Multipack (More than 80 ct)</v>
      </c>
      <c r="G1820" t="str">
        <f>_xlfn.XLOOKUP($A1820,Load!$B:$B,Load!H:H,0,)</f>
        <v>Stand-Up Bag</v>
      </c>
      <c r="H1820" t="str">
        <f>_xlfn.XLOOKUP($A1820,Load!$B:$B,Load!I:I,0,)</f>
        <v>Everyday Candy Shapes (like Original, Gummy bear, Fruit, Jewels, etc.)</v>
      </c>
      <c r="I1820" t="str">
        <f>_xlfn.XLOOKUP($A1820,Load!$B:$B,Load!J:J,0,)</f>
        <v>Seasonal Graphics (Like Bat, Ghost, Pumpkin, Fall Leaves, Eyeballs, etc.)</v>
      </c>
      <c r="J1820" t="str">
        <f>_xlfn.XLOOKUP($A1820,Load!$B:$B,Load!K:K,0,)</f>
        <v xml:space="preserve">Variety Candy Sizes </v>
      </c>
      <c r="K1820" t="str">
        <f>_xlfn.XLOOKUP($A1820,Load!$B:$B,Load!L:L,0,)</f>
        <v>Regular/Original Wrapping</v>
      </c>
      <c r="L1820" t="str">
        <f>_xlfn.XLOOKUP($A1820,Load!$B:$B,Load!M:M,0,)</f>
        <v>Multiple Brands / Variety Flavors or Form</v>
      </c>
    </row>
    <row r="1821" spans="1:12" x14ac:dyDescent="0.25">
      <c r="A1821" t="s">
        <v>198</v>
      </c>
      <c r="B1821" t="str">
        <f>_xlfn.XLOOKUP($A1821,Load!$B:$B,Load!C:C,0,)</f>
        <v>Mars Variety Pack</v>
      </c>
      <c r="C1821" t="str">
        <f>_xlfn.XLOOKUP($A1821,Load!$B:$B,Load!D:D,0,)</f>
        <v>Non-Chocolate Candy Only</v>
      </c>
      <c r="D1821" t="str">
        <f>_xlfn.XLOOKUP($A1821,Load!$B:$B,Load!E:E,0,)</f>
        <v>Variety / Mixed Flavors (Fruity, Sour, Seasonal Flavors)</v>
      </c>
      <c r="E1821" t="str">
        <f>_xlfn.XLOOKUP($A1821,Load!$B:$B,Load!F:F,0,)</f>
        <v>Mixed / Combo Packs (Gummy, Chewy, Taffy, etc.)</v>
      </c>
      <c r="F1821" t="str">
        <f>_xlfn.XLOOKUP($A1821,Load!$B:$B,Load!G:G,0,)</f>
        <v>Large Multipack (More than 80 ct)</v>
      </c>
      <c r="G1821" t="str">
        <f>_xlfn.XLOOKUP($A1821,Load!$B:$B,Load!H:H,0,)</f>
        <v>Stand-Up Bag</v>
      </c>
      <c r="H1821" t="str">
        <f>_xlfn.XLOOKUP($A1821,Load!$B:$B,Load!I:I,0,)</f>
        <v>Everyday Candy Shapes (like Original, Gummy bear, Fruit, Jewels, etc.)</v>
      </c>
      <c r="I1821" t="str">
        <f>_xlfn.XLOOKUP($A1821,Load!$B:$B,Load!J:J,0,)</f>
        <v>Seasonal Graphics (Like Bat, Ghost, Pumpkin, Fall Leaves, Eyeballs, etc.)</v>
      </c>
      <c r="J1821" t="str">
        <f>_xlfn.XLOOKUP($A1821,Load!$B:$B,Load!K:K,0,)</f>
        <v>Fun Size / Treat Size</v>
      </c>
      <c r="K1821" t="str">
        <f>_xlfn.XLOOKUP($A1821,Load!$B:$B,Load!L:L,0,)</f>
        <v>Regular/Original Wrapping</v>
      </c>
      <c r="L1821" t="str">
        <f>_xlfn.XLOOKUP($A1821,Load!$B:$B,Load!M:M,0,)</f>
        <v>Multiple Brands / Variety Flavors or Form</v>
      </c>
    </row>
    <row r="1822" spans="1:12" x14ac:dyDescent="0.25">
      <c r="A1822" t="s">
        <v>146</v>
      </c>
      <c r="B1822" t="str">
        <f>_xlfn.XLOOKUP($A1822,Load!$B:$B,Load!C:C,0,)</f>
        <v>Hi Chew</v>
      </c>
      <c r="C1822" t="str">
        <f>_xlfn.XLOOKUP($A1822,Load!$B:$B,Load!D:D,0,)</f>
        <v>Non-Chocolate Candy Only</v>
      </c>
      <c r="D1822" t="str">
        <f>_xlfn.XLOOKUP($A1822,Load!$B:$B,Load!E:E,0,)</f>
        <v>Fruit Flavor (Cherry, Grape, Apple, Citrus, Tropical Fruit)</v>
      </c>
      <c r="E1822" t="str">
        <f>_xlfn.XLOOKUP($A1822,Load!$B:$B,Load!F:F,0,)</f>
        <v>Gummy</v>
      </c>
      <c r="F1822" t="str">
        <f>_xlfn.XLOOKUP($A1822,Load!$B:$B,Load!G:G,0,)</f>
        <v>Medium Multipack (40–80 ct)</v>
      </c>
      <c r="G1822" t="str">
        <f>_xlfn.XLOOKUP($A1822,Load!$B:$B,Load!H:H,0,)</f>
        <v>Stand-Up Bag</v>
      </c>
      <c r="H1822" t="str">
        <f>_xlfn.XLOOKUP($A1822,Load!$B:$B,Load!I:I,0,)</f>
        <v>Everyday Candy Shapes (like Original, Gummy bear, Fruit, Jewels, etc.)</v>
      </c>
      <c r="I1822" t="str">
        <f>_xlfn.XLOOKUP($A1822,Load!$B:$B,Load!J:J,0,)</f>
        <v>Seasonal Graphics (Like Bat, Ghost, Pumpkin, Fall Leaves, Eyeballs, etc.)</v>
      </c>
      <c r="J1822" t="str">
        <f>_xlfn.XLOOKUP($A1822,Load!$B:$B,Load!K:K,0,)</f>
        <v>Fun Size / Treat Size</v>
      </c>
      <c r="K1822" t="str">
        <f>_xlfn.XLOOKUP($A1822,Load!$B:$B,Load!L:L,0,)</f>
        <v>Regular/Original Wrapping</v>
      </c>
      <c r="L1822" t="str">
        <f>_xlfn.XLOOKUP($A1822,Load!$B:$B,Load!M:M,0,)</f>
        <v>Multiple Brands / Variety Flavors or Form</v>
      </c>
    </row>
    <row r="1823" spans="1:12" x14ac:dyDescent="0.25">
      <c r="A1823" t="s">
        <v>294</v>
      </c>
      <c r="B1823" t="str">
        <f>_xlfn.XLOOKUP($A1823,Load!$B:$B,Load!C:C,0,)</f>
        <v>Tootsie</v>
      </c>
      <c r="C1823" t="str">
        <f>_xlfn.XLOOKUP($A1823,Load!$B:$B,Load!D:D,0,)</f>
        <v>Non-Chocolate Candy Only</v>
      </c>
      <c r="D1823" t="str">
        <f>_xlfn.XLOOKUP($A1823,Load!$B:$B,Load!E:E,0,)</f>
        <v>Sweet</v>
      </c>
      <c r="E1823" t="str">
        <f>_xlfn.XLOOKUP($A1823,Load!$B:$B,Load!F:F,0,)</f>
        <v>Lollipop (regular or lollipop rings)</v>
      </c>
      <c r="F1823" t="str">
        <f>_xlfn.XLOOKUP($A1823,Load!$B:$B,Load!G:G,0,)</f>
        <v>Large Multipack (More than 80 ct)</v>
      </c>
      <c r="G1823" t="str">
        <f>_xlfn.XLOOKUP($A1823,Load!$B:$B,Load!H:H,0,)</f>
        <v>Laydown Bag</v>
      </c>
      <c r="H1823" t="str">
        <f>_xlfn.XLOOKUP($A1823,Load!$B:$B,Load!I:I,0,)</f>
        <v>Everyday Candy Shapes (like Original, Gummy bear, Fruit, Jewels, etc.)</v>
      </c>
      <c r="I1823" t="str">
        <f>_xlfn.XLOOKUP($A1823,Load!$B:$B,Load!J:J,0,)</f>
        <v>Everyday Graphics</v>
      </c>
      <c r="J1823" t="str">
        <f>_xlfn.XLOOKUP($A1823,Load!$B:$B,Load!K:K,0,)</f>
        <v>Regular Lollipop size (on sticks or rings)</v>
      </c>
      <c r="K1823" t="str">
        <f>_xlfn.XLOOKUP($A1823,Load!$B:$B,Load!L:L,0,)</f>
        <v>Regular/Original Wrapping</v>
      </c>
      <c r="L1823" t="str">
        <f>_xlfn.XLOOKUP($A1823,Load!$B:$B,Load!M:M,0,)</f>
        <v>Single Brand / Single Flavor or Form</v>
      </c>
    </row>
    <row r="1824" spans="1:12" x14ac:dyDescent="0.25">
      <c r="B1824">
        <f>_xlfn.XLOOKUP($A1824,Load!$B:$B,Load!C:C,0,)</f>
        <v>0</v>
      </c>
      <c r="C1824">
        <f>_xlfn.XLOOKUP($A1824,Load!$B:$B,Load!D:D,0,)</f>
        <v>0</v>
      </c>
      <c r="D1824">
        <f>_xlfn.XLOOKUP($A1824,Load!$B:$B,Load!E:E,0,)</f>
        <v>0</v>
      </c>
      <c r="E1824">
        <f>_xlfn.XLOOKUP($A1824,Load!$B:$B,Load!F:F,0,)</f>
        <v>0</v>
      </c>
      <c r="F1824">
        <f>_xlfn.XLOOKUP($A1824,Load!$B:$B,Load!G:G,0,)</f>
        <v>0</v>
      </c>
      <c r="G1824">
        <f>_xlfn.XLOOKUP($A1824,Load!$B:$B,Load!H:H,0,)</f>
        <v>0</v>
      </c>
      <c r="H1824">
        <f>_xlfn.XLOOKUP($A1824,Load!$B:$B,Load!I:I,0,)</f>
        <v>0</v>
      </c>
      <c r="I1824">
        <f>_xlfn.XLOOKUP($A1824,Load!$B:$B,Load!J:J,0,)</f>
        <v>0</v>
      </c>
      <c r="J1824">
        <f>_xlfn.XLOOKUP($A1824,Load!$B:$B,Load!K:K,0,)</f>
        <v>0</v>
      </c>
      <c r="K1824">
        <f>_xlfn.XLOOKUP($A1824,Load!$B:$B,Load!L:L,0,)</f>
        <v>0</v>
      </c>
      <c r="L1824">
        <f>_xlfn.XLOOKUP($A1824,Load!$B:$B,Load!M:M,0,)</f>
        <v>0</v>
      </c>
    </row>
    <row r="1825" spans="1:12" x14ac:dyDescent="0.25">
      <c r="B1825">
        <f>_xlfn.XLOOKUP($A1825,Load!$B:$B,Load!C:C,0,)</f>
        <v>0</v>
      </c>
      <c r="C1825">
        <f>_xlfn.XLOOKUP($A1825,Load!$B:$B,Load!D:D,0,)</f>
        <v>0</v>
      </c>
      <c r="D1825">
        <f>_xlfn.XLOOKUP($A1825,Load!$B:$B,Load!E:E,0,)</f>
        <v>0</v>
      </c>
      <c r="E1825">
        <f>_xlfn.XLOOKUP($A1825,Load!$B:$B,Load!F:F,0,)</f>
        <v>0</v>
      </c>
      <c r="F1825">
        <f>_xlfn.XLOOKUP($A1825,Load!$B:$B,Load!G:G,0,)</f>
        <v>0</v>
      </c>
      <c r="G1825">
        <f>_xlfn.XLOOKUP($A1825,Load!$B:$B,Load!H:H,0,)</f>
        <v>0</v>
      </c>
      <c r="H1825">
        <f>_xlfn.XLOOKUP($A1825,Load!$B:$B,Load!I:I,0,)</f>
        <v>0</v>
      </c>
      <c r="I1825">
        <f>_xlfn.XLOOKUP($A1825,Load!$B:$B,Load!J:J,0,)</f>
        <v>0</v>
      </c>
      <c r="J1825">
        <f>_xlfn.XLOOKUP($A1825,Load!$B:$B,Load!K:K,0,)</f>
        <v>0</v>
      </c>
      <c r="K1825">
        <f>_xlfn.XLOOKUP($A1825,Load!$B:$B,Load!L:L,0,)</f>
        <v>0</v>
      </c>
      <c r="L1825">
        <f>_xlfn.XLOOKUP($A1825,Load!$B:$B,Load!M:M,0,)</f>
        <v>0</v>
      </c>
    </row>
    <row r="1826" spans="1:12" x14ac:dyDescent="0.25">
      <c r="B1826">
        <f>_xlfn.XLOOKUP($A1826,Load!$B:$B,Load!C:C,0,)</f>
        <v>0</v>
      </c>
      <c r="C1826">
        <f>_xlfn.XLOOKUP($A1826,Load!$B:$B,Load!D:D,0,)</f>
        <v>0</v>
      </c>
      <c r="D1826">
        <f>_xlfn.XLOOKUP($A1826,Load!$B:$B,Load!E:E,0,)</f>
        <v>0</v>
      </c>
      <c r="E1826">
        <f>_xlfn.XLOOKUP($A1826,Load!$B:$B,Load!F:F,0,)</f>
        <v>0</v>
      </c>
      <c r="F1826">
        <f>_xlfn.XLOOKUP($A1826,Load!$B:$B,Load!G:G,0,)</f>
        <v>0</v>
      </c>
      <c r="G1826">
        <f>_xlfn.XLOOKUP($A1826,Load!$B:$B,Load!H:H,0,)</f>
        <v>0</v>
      </c>
      <c r="H1826">
        <f>_xlfn.XLOOKUP($A1826,Load!$B:$B,Load!I:I,0,)</f>
        <v>0</v>
      </c>
      <c r="I1826">
        <f>_xlfn.XLOOKUP($A1826,Load!$B:$B,Load!J:J,0,)</f>
        <v>0</v>
      </c>
      <c r="J1826">
        <f>_xlfn.XLOOKUP($A1826,Load!$B:$B,Load!K:K,0,)</f>
        <v>0</v>
      </c>
      <c r="K1826">
        <f>_xlfn.XLOOKUP($A1826,Load!$B:$B,Load!L:L,0,)</f>
        <v>0</v>
      </c>
      <c r="L1826">
        <f>_xlfn.XLOOKUP($A1826,Load!$B:$B,Load!M:M,0,)</f>
        <v>0</v>
      </c>
    </row>
    <row r="1827" spans="1:12" x14ac:dyDescent="0.25">
      <c r="B1827">
        <f>_xlfn.XLOOKUP($A1827,Load!$B:$B,Load!C:C,0,)</f>
        <v>0</v>
      </c>
      <c r="C1827">
        <f>_xlfn.XLOOKUP($A1827,Load!$B:$B,Load!D:D,0,)</f>
        <v>0</v>
      </c>
      <c r="D1827">
        <f>_xlfn.XLOOKUP($A1827,Load!$B:$B,Load!E:E,0,)</f>
        <v>0</v>
      </c>
      <c r="E1827">
        <f>_xlfn.XLOOKUP($A1827,Load!$B:$B,Load!F:F,0,)</f>
        <v>0</v>
      </c>
      <c r="F1827">
        <f>_xlfn.XLOOKUP($A1827,Load!$B:$B,Load!G:G,0,)</f>
        <v>0</v>
      </c>
      <c r="G1827">
        <f>_xlfn.XLOOKUP($A1827,Load!$B:$B,Load!H:H,0,)</f>
        <v>0</v>
      </c>
      <c r="H1827">
        <f>_xlfn.XLOOKUP($A1827,Load!$B:$B,Load!I:I,0,)</f>
        <v>0</v>
      </c>
      <c r="I1827">
        <f>_xlfn.XLOOKUP($A1827,Load!$B:$B,Load!J:J,0,)</f>
        <v>0</v>
      </c>
      <c r="J1827">
        <f>_xlfn.XLOOKUP($A1827,Load!$B:$B,Load!K:K,0,)</f>
        <v>0</v>
      </c>
      <c r="K1827">
        <f>_xlfn.XLOOKUP($A1827,Load!$B:$B,Load!L:L,0,)</f>
        <v>0</v>
      </c>
      <c r="L1827">
        <f>_xlfn.XLOOKUP($A1827,Load!$B:$B,Load!M:M,0,)</f>
        <v>0</v>
      </c>
    </row>
    <row r="1828" spans="1:12" x14ac:dyDescent="0.25">
      <c r="A1828" t="s">
        <v>252</v>
      </c>
      <c r="B1828" t="str">
        <f>_xlfn.XLOOKUP($A1828,Load!$B:$B,Load!C:C,0,)</f>
        <v>Skittles</v>
      </c>
      <c r="C1828" t="str">
        <f>_xlfn.XLOOKUP($A1828,Load!$B:$B,Load!D:D,0,)</f>
        <v>Non-Chocolate Candy Only</v>
      </c>
      <c r="D1828" t="str">
        <f>_xlfn.XLOOKUP($A1828,Load!$B:$B,Load!E:E,0,)</f>
        <v>Sour</v>
      </c>
      <c r="E1828" t="str">
        <f>_xlfn.XLOOKUP($A1828,Load!$B:$B,Load!F:F,0,)</f>
        <v>Candy Pieces / Bites</v>
      </c>
      <c r="F1828" t="str">
        <f>_xlfn.XLOOKUP($A1828,Load!$B:$B,Load!G:G,0,)</f>
        <v>Single Pack</v>
      </c>
      <c r="G1828" t="str">
        <f>_xlfn.XLOOKUP($A1828,Load!$B:$B,Load!H:H,0,)</f>
        <v>Laydown Bag</v>
      </c>
      <c r="H1828" t="str">
        <f>_xlfn.XLOOKUP($A1828,Load!$B:$B,Load!I:I,0,)</f>
        <v>Everyday Candy Shapes (like Original, Gummy bear, Fruit, Jewels, etc.)</v>
      </c>
      <c r="I1828" t="str">
        <f>_xlfn.XLOOKUP($A1828,Load!$B:$B,Load!J:J,0,)</f>
        <v>Seasonal Graphics (Like Bat, Ghost, Pumpkin, Fall Leaves, Eyeballs, etc.)</v>
      </c>
      <c r="J1828" t="str">
        <f>_xlfn.XLOOKUP($A1828,Load!$B:$B,Load!K:K,0,)</f>
        <v>Small Pieces (Tiny bite size candies)</v>
      </c>
      <c r="K1828" t="str">
        <f>_xlfn.XLOOKUP($A1828,Load!$B:$B,Load!L:L,0,)</f>
        <v>Unwrapped</v>
      </c>
      <c r="L1828" t="str">
        <f>_xlfn.XLOOKUP($A1828,Load!$B:$B,Load!M:M,0,)</f>
        <v>Single Brand / Variety Flavors or Form</v>
      </c>
    </row>
    <row r="1829" spans="1:12" x14ac:dyDescent="0.25">
      <c r="B1829">
        <f>_xlfn.XLOOKUP($A1829,Load!$B:$B,Load!C:C,0,)</f>
        <v>0</v>
      </c>
      <c r="C1829">
        <f>_xlfn.XLOOKUP($A1829,Load!$B:$B,Load!D:D,0,)</f>
        <v>0</v>
      </c>
      <c r="D1829">
        <f>_xlfn.XLOOKUP($A1829,Load!$B:$B,Load!E:E,0,)</f>
        <v>0</v>
      </c>
      <c r="E1829">
        <f>_xlfn.XLOOKUP($A1829,Load!$B:$B,Load!F:F,0,)</f>
        <v>0</v>
      </c>
      <c r="F1829">
        <f>_xlfn.XLOOKUP($A1829,Load!$B:$B,Load!G:G,0,)</f>
        <v>0</v>
      </c>
      <c r="G1829">
        <f>_xlfn.XLOOKUP($A1829,Load!$B:$B,Load!H:H,0,)</f>
        <v>0</v>
      </c>
      <c r="H1829">
        <f>_xlfn.XLOOKUP($A1829,Load!$B:$B,Load!I:I,0,)</f>
        <v>0</v>
      </c>
      <c r="I1829">
        <f>_xlfn.XLOOKUP($A1829,Load!$B:$B,Load!J:J,0,)</f>
        <v>0</v>
      </c>
      <c r="J1829">
        <f>_xlfn.XLOOKUP($A1829,Load!$B:$B,Load!K:K,0,)</f>
        <v>0</v>
      </c>
      <c r="K1829">
        <f>_xlfn.XLOOKUP($A1829,Load!$B:$B,Load!L:L,0,)</f>
        <v>0</v>
      </c>
      <c r="L1829">
        <f>_xlfn.XLOOKUP($A1829,Load!$B:$B,Load!M:M,0,)</f>
        <v>0</v>
      </c>
    </row>
    <row r="1830" spans="1:12" x14ac:dyDescent="0.25">
      <c r="A1830" t="s">
        <v>121</v>
      </c>
      <c r="B1830" t="str">
        <f>_xlfn.XLOOKUP($A1830,Load!$B:$B,Load!C:C,0,)</f>
        <v>HARIBO</v>
      </c>
      <c r="C1830" t="str">
        <f>_xlfn.XLOOKUP($A1830,Load!$B:$B,Load!D:D,0,)</f>
        <v>Non-Chocolate Candy Only</v>
      </c>
      <c r="D1830" t="str">
        <f>_xlfn.XLOOKUP($A1830,Load!$B:$B,Load!E:E,0,)</f>
        <v>Variety / Mixed Flavors (Fruity, Sour, Seasonal Flavors)</v>
      </c>
      <c r="E1830" t="str">
        <f>_xlfn.XLOOKUP($A1830,Load!$B:$B,Load!F:F,0,)</f>
        <v>Gummy</v>
      </c>
      <c r="F1830" t="str">
        <f>_xlfn.XLOOKUP($A1830,Load!$B:$B,Load!G:G,0,)</f>
        <v>Large Multipack (More than 80 ct)</v>
      </c>
      <c r="G1830" t="str">
        <f>_xlfn.XLOOKUP($A1830,Load!$B:$B,Load!H:H,0,)</f>
        <v>Stand-Up Bag</v>
      </c>
      <c r="H1830" t="str">
        <f>_xlfn.XLOOKUP($A1830,Load!$B:$B,Load!I:I,0,)</f>
        <v>Seasonal Shapes (like pumpkins, candy corn, ghost, bats, etc.)</v>
      </c>
      <c r="I1830" t="str">
        <f>_xlfn.XLOOKUP($A1830,Load!$B:$B,Load!J:J,0,)</f>
        <v>Seasonal Graphics (Like Bat, Ghost, Pumpkin, Fall Leaves, Eyeballs, etc.)</v>
      </c>
      <c r="J1830" t="str">
        <f>_xlfn.XLOOKUP($A1830,Load!$B:$B,Load!K:K,0,)</f>
        <v>Fun Size / Treat Size</v>
      </c>
      <c r="K1830" t="str">
        <f>_xlfn.XLOOKUP($A1830,Load!$B:$B,Load!L:L,0,)</f>
        <v>Regular/Original Wrapping</v>
      </c>
      <c r="L1830" t="str">
        <f>_xlfn.XLOOKUP($A1830,Load!$B:$B,Load!M:M,0,)</f>
        <v>Multiple Brands / Variety Flavors or Form</v>
      </c>
    </row>
    <row r="1831" spans="1:12" x14ac:dyDescent="0.25">
      <c r="A1831" t="s">
        <v>283</v>
      </c>
      <c r="B1831" t="str">
        <f>_xlfn.XLOOKUP($A1831,Load!$B:$B,Load!C:C,0,)</f>
        <v>Sour Punch</v>
      </c>
      <c r="C1831" t="str">
        <f>_xlfn.XLOOKUP($A1831,Load!$B:$B,Load!D:D,0,)</f>
        <v>Non-Chocolate Candy Only</v>
      </c>
      <c r="D1831" t="str">
        <f>_xlfn.XLOOKUP($A1831,Load!$B:$B,Load!E:E,0,)</f>
        <v>Sour</v>
      </c>
      <c r="E1831" t="str">
        <f>_xlfn.XLOOKUP($A1831,Load!$B:$B,Load!F:F,0,)</f>
        <v>Chewy</v>
      </c>
      <c r="F1831" t="str">
        <f>_xlfn.XLOOKUP($A1831,Load!$B:$B,Load!G:G,0,)</f>
        <v>Large Multipack (More than 80 ct)</v>
      </c>
      <c r="G1831" t="str">
        <f>_xlfn.XLOOKUP($A1831,Load!$B:$B,Load!H:H,0,)</f>
        <v>Laydown Bag</v>
      </c>
      <c r="H1831" t="str">
        <f>_xlfn.XLOOKUP($A1831,Load!$B:$B,Load!I:I,0,)</f>
        <v>Seasonal Shapes (like pumpkins, candy corn, ghost, bats, etc.)</v>
      </c>
      <c r="I1831" t="str">
        <f>_xlfn.XLOOKUP($A1831,Load!$B:$B,Load!J:J,0,)</f>
        <v>Seasonal Graphics (Like Bat, Ghost, Pumpkin, Fall Leaves, Eyeballs, etc.)</v>
      </c>
      <c r="J1831" t="str">
        <f>_xlfn.XLOOKUP($A1831,Load!$B:$B,Load!K:K,0,)</f>
        <v>Small Pieces (Tiny bite size candies)</v>
      </c>
      <c r="K1831" t="str">
        <f>_xlfn.XLOOKUP($A1831,Load!$B:$B,Load!L:L,0,)</f>
        <v>Regular/Original Wrapping</v>
      </c>
      <c r="L1831" t="str">
        <f>_xlfn.XLOOKUP($A1831,Load!$B:$B,Load!M:M,0,)</f>
        <v>Single Brand / Variety Flavors or Form</v>
      </c>
    </row>
    <row r="1832" spans="1:12" x14ac:dyDescent="0.25">
      <c r="A1832" t="s">
        <v>203</v>
      </c>
      <c r="B1832" t="str">
        <f>_xlfn.XLOOKUP($A1832,Load!$B:$B,Load!C:C,0,)</f>
        <v>Mars Variety Pack</v>
      </c>
      <c r="C1832" t="str">
        <f>_xlfn.XLOOKUP($A1832,Load!$B:$B,Load!D:D,0,)</f>
        <v>Mix of Chocolate and Non-Chocolate Candy</v>
      </c>
      <c r="D1832" t="str">
        <f>_xlfn.XLOOKUP($A1832,Load!$B:$B,Load!E:E,0,)</f>
        <v>Variety / Mixed Flavors (Fruity, Sour, Seasonal Flavors)</v>
      </c>
      <c r="E1832" t="str">
        <f>_xlfn.XLOOKUP($A1832,Load!$B:$B,Load!F:F,0,)</f>
        <v>Mixed / Combo Packs (Gummy, Chewy, Taffy, etc.)</v>
      </c>
      <c r="F1832" t="str">
        <f>_xlfn.XLOOKUP($A1832,Load!$B:$B,Load!G:G,0,)</f>
        <v>Small Multipack (Less than 40 ct)</v>
      </c>
      <c r="G1832" t="str">
        <f>_xlfn.XLOOKUP($A1832,Load!$B:$B,Load!H:H,0,)</f>
        <v>Box (theatre box, gift box, carton)</v>
      </c>
      <c r="H1832" t="str">
        <f>_xlfn.XLOOKUP($A1832,Load!$B:$B,Load!I:I,0,)</f>
        <v>Everyday Candy Shapes (like Original, Gummy bear, Fruit, Jewels, etc.)</v>
      </c>
      <c r="I1832" t="str">
        <f>_xlfn.XLOOKUP($A1832,Load!$B:$B,Load!J:J,0,)</f>
        <v>Everyday Graphics</v>
      </c>
      <c r="J1832" t="str">
        <f>_xlfn.XLOOKUP($A1832,Load!$B:$B,Load!K:K,0,)</f>
        <v>Fun Size / Treat Size</v>
      </c>
      <c r="K1832" t="str">
        <f>_xlfn.XLOOKUP($A1832,Load!$B:$B,Load!L:L,0,)</f>
        <v>Regular/Original Wrapping</v>
      </c>
      <c r="L1832" t="str">
        <f>_xlfn.XLOOKUP($A1832,Load!$B:$B,Load!M:M,0,)</f>
        <v>Multiple Brands / Variety Flavors or Form</v>
      </c>
    </row>
    <row r="1833" spans="1:12" x14ac:dyDescent="0.25">
      <c r="B1833">
        <f>_xlfn.XLOOKUP($A1833,Load!$B:$B,Load!C:C,0,)</f>
        <v>0</v>
      </c>
      <c r="C1833">
        <f>_xlfn.XLOOKUP($A1833,Load!$B:$B,Load!D:D,0,)</f>
        <v>0</v>
      </c>
      <c r="D1833">
        <f>_xlfn.XLOOKUP($A1833,Load!$B:$B,Load!E:E,0,)</f>
        <v>0</v>
      </c>
      <c r="E1833">
        <f>_xlfn.XLOOKUP($A1833,Load!$B:$B,Load!F:F,0,)</f>
        <v>0</v>
      </c>
      <c r="F1833">
        <f>_xlfn.XLOOKUP($A1833,Load!$B:$B,Load!G:G,0,)</f>
        <v>0</v>
      </c>
      <c r="G1833">
        <f>_xlfn.XLOOKUP($A1833,Load!$B:$B,Load!H:H,0,)</f>
        <v>0</v>
      </c>
      <c r="H1833">
        <f>_xlfn.XLOOKUP($A1833,Load!$B:$B,Load!I:I,0,)</f>
        <v>0</v>
      </c>
      <c r="I1833">
        <f>_xlfn.XLOOKUP($A1833,Load!$B:$B,Load!J:J,0,)</f>
        <v>0</v>
      </c>
      <c r="J1833">
        <f>_xlfn.XLOOKUP($A1833,Load!$B:$B,Load!K:K,0,)</f>
        <v>0</v>
      </c>
      <c r="K1833">
        <f>_xlfn.XLOOKUP($A1833,Load!$B:$B,Load!L:L,0,)</f>
        <v>0</v>
      </c>
      <c r="L1833">
        <f>_xlfn.XLOOKUP($A1833,Load!$B:$B,Load!M:M,0,)</f>
        <v>0</v>
      </c>
    </row>
    <row r="1834" spans="1:12" x14ac:dyDescent="0.25">
      <c r="A1834" t="s">
        <v>121</v>
      </c>
      <c r="B1834" t="str">
        <f>_xlfn.XLOOKUP($A1834,Load!$B:$B,Load!C:C,0,)</f>
        <v>HARIBO</v>
      </c>
      <c r="C1834" t="str">
        <f>_xlfn.XLOOKUP($A1834,Load!$B:$B,Load!D:D,0,)</f>
        <v>Non-Chocolate Candy Only</v>
      </c>
      <c r="D1834" t="str">
        <f>_xlfn.XLOOKUP($A1834,Load!$B:$B,Load!E:E,0,)</f>
        <v>Variety / Mixed Flavors (Fruity, Sour, Seasonal Flavors)</v>
      </c>
      <c r="E1834" t="str">
        <f>_xlfn.XLOOKUP($A1834,Load!$B:$B,Load!F:F,0,)</f>
        <v>Gummy</v>
      </c>
      <c r="F1834" t="str">
        <f>_xlfn.XLOOKUP($A1834,Load!$B:$B,Load!G:G,0,)</f>
        <v>Large Multipack (More than 80 ct)</v>
      </c>
      <c r="G1834" t="str">
        <f>_xlfn.XLOOKUP($A1834,Load!$B:$B,Load!H:H,0,)</f>
        <v>Stand-Up Bag</v>
      </c>
      <c r="H1834" t="str">
        <f>_xlfn.XLOOKUP($A1834,Load!$B:$B,Load!I:I,0,)</f>
        <v>Seasonal Shapes (like pumpkins, candy corn, ghost, bats, etc.)</v>
      </c>
      <c r="I1834" t="str">
        <f>_xlfn.XLOOKUP($A1834,Load!$B:$B,Load!J:J,0,)</f>
        <v>Seasonal Graphics (Like Bat, Ghost, Pumpkin, Fall Leaves, Eyeballs, etc.)</v>
      </c>
      <c r="J1834" t="str">
        <f>_xlfn.XLOOKUP($A1834,Load!$B:$B,Load!K:K,0,)</f>
        <v>Fun Size / Treat Size</v>
      </c>
      <c r="K1834" t="str">
        <f>_xlfn.XLOOKUP($A1834,Load!$B:$B,Load!L:L,0,)</f>
        <v>Regular/Original Wrapping</v>
      </c>
      <c r="L1834" t="str">
        <f>_xlfn.XLOOKUP($A1834,Load!$B:$B,Load!M:M,0,)</f>
        <v>Multiple Brands / Variety Flavors or Form</v>
      </c>
    </row>
    <row r="1835" spans="1:12" x14ac:dyDescent="0.25">
      <c r="B1835">
        <f>_xlfn.XLOOKUP($A1835,Load!$B:$B,Load!C:C,0,)</f>
        <v>0</v>
      </c>
      <c r="C1835">
        <f>_xlfn.XLOOKUP($A1835,Load!$B:$B,Load!D:D,0,)</f>
        <v>0</v>
      </c>
      <c r="D1835">
        <f>_xlfn.XLOOKUP($A1835,Load!$B:$B,Load!E:E,0,)</f>
        <v>0</v>
      </c>
      <c r="E1835">
        <f>_xlfn.XLOOKUP($A1835,Load!$B:$B,Load!F:F,0,)</f>
        <v>0</v>
      </c>
      <c r="F1835">
        <f>_xlfn.XLOOKUP($A1835,Load!$B:$B,Load!G:G,0,)</f>
        <v>0</v>
      </c>
      <c r="G1835">
        <f>_xlfn.XLOOKUP($A1835,Load!$B:$B,Load!H:H,0,)</f>
        <v>0</v>
      </c>
      <c r="H1835">
        <f>_xlfn.XLOOKUP($A1835,Load!$B:$B,Load!I:I,0,)</f>
        <v>0</v>
      </c>
      <c r="I1835">
        <f>_xlfn.XLOOKUP($A1835,Load!$B:$B,Load!J:J,0,)</f>
        <v>0</v>
      </c>
      <c r="J1835">
        <f>_xlfn.XLOOKUP($A1835,Load!$B:$B,Load!K:K,0,)</f>
        <v>0</v>
      </c>
      <c r="K1835">
        <f>_xlfn.XLOOKUP($A1835,Load!$B:$B,Load!L:L,0,)</f>
        <v>0</v>
      </c>
      <c r="L1835">
        <f>_xlfn.XLOOKUP($A1835,Load!$B:$B,Load!M:M,0,)</f>
        <v>0</v>
      </c>
    </row>
    <row r="1836" spans="1:12" x14ac:dyDescent="0.25">
      <c r="B1836">
        <f>_xlfn.XLOOKUP($A1836,Load!$B:$B,Load!C:C,0,)</f>
        <v>0</v>
      </c>
      <c r="C1836">
        <f>_xlfn.XLOOKUP($A1836,Load!$B:$B,Load!D:D,0,)</f>
        <v>0</v>
      </c>
      <c r="D1836">
        <f>_xlfn.XLOOKUP($A1836,Load!$B:$B,Load!E:E,0,)</f>
        <v>0</v>
      </c>
      <c r="E1836">
        <f>_xlfn.XLOOKUP($A1836,Load!$B:$B,Load!F:F,0,)</f>
        <v>0</v>
      </c>
      <c r="F1836">
        <f>_xlfn.XLOOKUP($A1836,Load!$B:$B,Load!G:G,0,)</f>
        <v>0</v>
      </c>
      <c r="G1836">
        <f>_xlfn.XLOOKUP($A1836,Load!$B:$B,Load!H:H,0,)</f>
        <v>0</v>
      </c>
      <c r="H1836">
        <f>_xlfn.XLOOKUP($A1836,Load!$B:$B,Load!I:I,0,)</f>
        <v>0</v>
      </c>
      <c r="I1836">
        <f>_xlfn.XLOOKUP($A1836,Load!$B:$B,Load!J:J,0,)</f>
        <v>0</v>
      </c>
      <c r="J1836">
        <f>_xlfn.XLOOKUP($A1836,Load!$B:$B,Load!K:K,0,)</f>
        <v>0</v>
      </c>
      <c r="K1836">
        <f>_xlfn.XLOOKUP($A1836,Load!$B:$B,Load!L:L,0,)</f>
        <v>0</v>
      </c>
      <c r="L1836">
        <f>_xlfn.XLOOKUP($A1836,Load!$B:$B,Load!M:M,0,)</f>
        <v>0</v>
      </c>
    </row>
    <row r="1837" spans="1:12" x14ac:dyDescent="0.25">
      <c r="B1837">
        <f>_xlfn.XLOOKUP($A1837,Load!$B:$B,Load!C:C,0,)</f>
        <v>0</v>
      </c>
      <c r="C1837">
        <f>_xlfn.XLOOKUP($A1837,Load!$B:$B,Load!D:D,0,)</f>
        <v>0</v>
      </c>
      <c r="D1837">
        <f>_xlfn.XLOOKUP($A1837,Load!$B:$B,Load!E:E,0,)</f>
        <v>0</v>
      </c>
      <c r="E1837">
        <f>_xlfn.XLOOKUP($A1837,Load!$B:$B,Load!F:F,0,)</f>
        <v>0</v>
      </c>
      <c r="F1837">
        <f>_xlfn.XLOOKUP($A1837,Load!$B:$B,Load!G:G,0,)</f>
        <v>0</v>
      </c>
      <c r="G1837">
        <f>_xlfn.XLOOKUP($A1837,Load!$B:$B,Load!H:H,0,)</f>
        <v>0</v>
      </c>
      <c r="H1837">
        <f>_xlfn.XLOOKUP($A1837,Load!$B:$B,Load!I:I,0,)</f>
        <v>0</v>
      </c>
      <c r="I1837">
        <f>_xlfn.XLOOKUP($A1837,Load!$B:$B,Load!J:J,0,)</f>
        <v>0</v>
      </c>
      <c r="J1837">
        <f>_xlfn.XLOOKUP($A1837,Load!$B:$B,Load!K:K,0,)</f>
        <v>0</v>
      </c>
      <c r="K1837">
        <f>_xlfn.XLOOKUP($A1837,Load!$B:$B,Load!L:L,0,)</f>
        <v>0</v>
      </c>
      <c r="L1837">
        <f>_xlfn.XLOOKUP($A1837,Load!$B:$B,Load!M:M,0,)</f>
        <v>0</v>
      </c>
    </row>
    <row r="1838" spans="1:12" x14ac:dyDescent="0.25">
      <c r="B1838">
        <f>_xlfn.XLOOKUP($A1838,Load!$B:$B,Load!C:C,0,)</f>
        <v>0</v>
      </c>
      <c r="C1838">
        <f>_xlfn.XLOOKUP($A1838,Load!$B:$B,Load!D:D,0,)</f>
        <v>0</v>
      </c>
      <c r="D1838">
        <f>_xlfn.XLOOKUP($A1838,Load!$B:$B,Load!E:E,0,)</f>
        <v>0</v>
      </c>
      <c r="E1838">
        <f>_xlfn.XLOOKUP($A1838,Load!$B:$B,Load!F:F,0,)</f>
        <v>0</v>
      </c>
      <c r="F1838">
        <f>_xlfn.XLOOKUP($A1838,Load!$B:$B,Load!G:G,0,)</f>
        <v>0</v>
      </c>
      <c r="G1838">
        <f>_xlfn.XLOOKUP($A1838,Load!$B:$B,Load!H:H,0,)</f>
        <v>0</v>
      </c>
      <c r="H1838">
        <f>_xlfn.XLOOKUP($A1838,Load!$B:$B,Load!I:I,0,)</f>
        <v>0</v>
      </c>
      <c r="I1838">
        <f>_xlfn.XLOOKUP($A1838,Load!$B:$B,Load!J:J,0,)</f>
        <v>0</v>
      </c>
      <c r="J1838">
        <f>_xlfn.XLOOKUP($A1838,Load!$B:$B,Load!K:K,0,)</f>
        <v>0</v>
      </c>
      <c r="K1838">
        <f>_xlfn.XLOOKUP($A1838,Load!$B:$B,Load!L:L,0,)</f>
        <v>0</v>
      </c>
      <c r="L1838">
        <f>_xlfn.XLOOKUP($A1838,Load!$B:$B,Load!M:M,0,)</f>
        <v>0</v>
      </c>
    </row>
    <row r="1839" spans="1:12" x14ac:dyDescent="0.25">
      <c r="B1839">
        <f>_xlfn.XLOOKUP($A1839,Load!$B:$B,Load!C:C,0,)</f>
        <v>0</v>
      </c>
      <c r="C1839">
        <f>_xlfn.XLOOKUP($A1839,Load!$B:$B,Load!D:D,0,)</f>
        <v>0</v>
      </c>
      <c r="D1839">
        <f>_xlfn.XLOOKUP($A1839,Load!$B:$B,Load!E:E,0,)</f>
        <v>0</v>
      </c>
      <c r="E1839">
        <f>_xlfn.XLOOKUP($A1839,Load!$B:$B,Load!F:F,0,)</f>
        <v>0</v>
      </c>
      <c r="F1839">
        <f>_xlfn.XLOOKUP($A1839,Load!$B:$B,Load!G:G,0,)</f>
        <v>0</v>
      </c>
      <c r="G1839">
        <f>_xlfn.XLOOKUP($A1839,Load!$B:$B,Load!H:H,0,)</f>
        <v>0</v>
      </c>
      <c r="H1839">
        <f>_xlfn.XLOOKUP($A1839,Load!$B:$B,Load!I:I,0,)</f>
        <v>0</v>
      </c>
      <c r="I1839">
        <f>_xlfn.XLOOKUP($A1839,Load!$B:$B,Load!J:J,0,)</f>
        <v>0</v>
      </c>
      <c r="J1839">
        <f>_xlfn.XLOOKUP($A1839,Load!$B:$B,Load!K:K,0,)</f>
        <v>0</v>
      </c>
      <c r="K1839">
        <f>_xlfn.XLOOKUP($A1839,Load!$B:$B,Load!L:L,0,)</f>
        <v>0</v>
      </c>
      <c r="L1839">
        <f>_xlfn.XLOOKUP($A1839,Load!$B:$B,Load!M:M,0,)</f>
        <v>0</v>
      </c>
    </row>
    <row r="1840" spans="1:12" x14ac:dyDescent="0.25">
      <c r="A1840" t="s">
        <v>116</v>
      </c>
      <c r="B1840" t="str">
        <f>_xlfn.XLOOKUP($A1840,Load!$B:$B,Load!C:C,0,)</f>
        <v>George Howe</v>
      </c>
      <c r="C1840" t="str">
        <f>_xlfn.XLOOKUP($A1840,Load!$B:$B,Load!D:D,0,)</f>
        <v>Mix of Chocolate and Non-Chocolate Candy</v>
      </c>
      <c r="D1840" t="str">
        <f>_xlfn.XLOOKUP($A1840,Load!$B:$B,Load!E:E,0,)</f>
        <v>Fall / Seasonal Flavors (pumpkin spice, caramel apple, candy corn)</v>
      </c>
      <c r="E1840" t="str">
        <f>_xlfn.XLOOKUP($A1840,Load!$B:$B,Load!F:F,0,)</f>
        <v>Candy Pieces / Bites</v>
      </c>
      <c r="F1840" t="str">
        <f>_xlfn.XLOOKUP($A1840,Load!$B:$B,Load!G:G,0,)</f>
        <v>Single Pack</v>
      </c>
      <c r="G1840" t="str">
        <f>_xlfn.XLOOKUP($A1840,Load!$B:$B,Load!H:H,0,)</f>
        <v>Laydown Bag</v>
      </c>
      <c r="H1840" t="str">
        <f>_xlfn.XLOOKUP($A1840,Load!$B:$B,Load!I:I,0,)</f>
        <v>Seasonal Shapes (like pumpkins, candy corn, ghost, bats, etc.)</v>
      </c>
      <c r="I1840" t="str">
        <f>_xlfn.XLOOKUP($A1840,Load!$B:$B,Load!J:J,0,)</f>
        <v>Everyday Graphics</v>
      </c>
      <c r="J1840" t="str">
        <f>_xlfn.XLOOKUP($A1840,Load!$B:$B,Load!K:K,0,)</f>
        <v>Small Pieces (Tiny bite size candies)</v>
      </c>
      <c r="K1840" t="str">
        <f>_xlfn.XLOOKUP($A1840,Load!$B:$B,Load!L:L,0,)</f>
        <v>Unwrapped</v>
      </c>
      <c r="L1840" t="str">
        <f>_xlfn.XLOOKUP($A1840,Load!$B:$B,Load!M:M,0,)</f>
        <v>Single Brand / Variety Flavors or Form</v>
      </c>
    </row>
    <row r="1841" spans="1:12" x14ac:dyDescent="0.25">
      <c r="A1841" t="s">
        <v>326</v>
      </c>
      <c r="B1841" t="str">
        <f>_xlfn.XLOOKUP($A1841,Load!$B:$B,Load!C:C,0,)</f>
        <v>Mondelez Variety Pack</v>
      </c>
      <c r="C1841" t="str">
        <f>_xlfn.XLOOKUP($A1841,Load!$B:$B,Load!D:D,0,)</f>
        <v>Mix of Chocolate and Non-Chocolate Candy</v>
      </c>
      <c r="D1841" t="str">
        <f>_xlfn.XLOOKUP($A1841,Load!$B:$B,Load!E:E,0,)</f>
        <v>Variety / Mixed Flavors (Fruity, Sour, Seasonal Flavors)</v>
      </c>
      <c r="E1841" t="str">
        <f>_xlfn.XLOOKUP($A1841,Load!$B:$B,Load!F:F,0,)</f>
        <v>Mixed / Combo Packs (Gummy, Chewy, Taffy, etc.)</v>
      </c>
      <c r="F1841" t="str">
        <f>_xlfn.XLOOKUP($A1841,Load!$B:$B,Load!G:G,0,)</f>
        <v>Medium Multipack (40–80 ct)</v>
      </c>
      <c r="G1841" t="str">
        <f>_xlfn.XLOOKUP($A1841,Load!$B:$B,Load!H:H,0,)</f>
        <v>Stand-Up Bag</v>
      </c>
      <c r="H1841" t="str">
        <f>_xlfn.XLOOKUP($A1841,Load!$B:$B,Load!I:I,0,)</f>
        <v>Everyday Candy Shapes (like Original, Gummy bear, Fruit, Jewels, etc.)</v>
      </c>
      <c r="I1841" t="str">
        <f>_xlfn.XLOOKUP($A1841,Load!$B:$B,Load!J:J,0,)</f>
        <v>Seasonal Graphics (Like Bat, Ghost, Pumpkin, Fall Leaves, Eyeballs, etc.)</v>
      </c>
      <c r="J1841" t="str">
        <f>_xlfn.XLOOKUP($A1841,Load!$B:$B,Load!K:K,0,)</f>
        <v xml:space="preserve">Variety Candy Sizes </v>
      </c>
      <c r="K1841" t="str">
        <f>_xlfn.XLOOKUP($A1841,Load!$B:$B,Load!L:L,0,)</f>
        <v>Regular/Original Wrapping</v>
      </c>
      <c r="L1841" t="str">
        <f>_xlfn.XLOOKUP($A1841,Load!$B:$B,Load!M:M,0,)</f>
        <v>Multiple Brands / Variety Flavors or Form</v>
      </c>
    </row>
    <row r="1842" spans="1:12" x14ac:dyDescent="0.25">
      <c r="A1842" t="s">
        <v>293</v>
      </c>
      <c r="B1842" t="str">
        <f>_xlfn.XLOOKUP($A1842,Load!$B:$B,Load!C:C,0,)</f>
        <v>Tootsie</v>
      </c>
      <c r="C1842" t="str">
        <f>_xlfn.XLOOKUP($A1842,Load!$B:$B,Load!D:D,0,)</f>
        <v>Mix of Chocolate and Non-Chocolate Candy</v>
      </c>
      <c r="D1842" t="str">
        <f>_xlfn.XLOOKUP($A1842,Load!$B:$B,Load!E:E,0,)</f>
        <v>Sweet</v>
      </c>
      <c r="E1842" t="str">
        <f>_xlfn.XLOOKUP($A1842,Load!$B:$B,Load!F:F,0,)</f>
        <v>Lollipop (regular or lollipop rings)</v>
      </c>
      <c r="F1842" t="str">
        <f>_xlfn.XLOOKUP($A1842,Load!$B:$B,Load!G:G,0,)</f>
        <v>Large Multipack (More than 80 ct)</v>
      </c>
      <c r="G1842" t="str">
        <f>_xlfn.XLOOKUP($A1842,Load!$B:$B,Load!H:H,0,)</f>
        <v>Laydown Bag</v>
      </c>
      <c r="H1842" t="str">
        <f>_xlfn.XLOOKUP($A1842,Load!$B:$B,Load!I:I,0,)</f>
        <v>Everyday Candy Shapes (like Original, Gummy bear, Fruit, Jewels, etc.)</v>
      </c>
      <c r="I1842" t="str">
        <f>_xlfn.XLOOKUP($A1842,Load!$B:$B,Load!J:J,0,)</f>
        <v>Everyday Graphics</v>
      </c>
      <c r="J1842" t="str">
        <f>_xlfn.XLOOKUP($A1842,Load!$B:$B,Load!K:K,0,)</f>
        <v>Regular Lollipop size (on sticks or rings)</v>
      </c>
      <c r="K1842" t="str">
        <f>_xlfn.XLOOKUP($A1842,Load!$B:$B,Load!L:L,0,)</f>
        <v>Regular/Original Wrapping</v>
      </c>
      <c r="L1842" t="str">
        <f>_xlfn.XLOOKUP($A1842,Load!$B:$B,Load!M:M,0,)</f>
        <v>Single Brand / Single Flavor or Form</v>
      </c>
    </row>
    <row r="1843" spans="1:12" x14ac:dyDescent="0.25">
      <c r="B1843">
        <f>_xlfn.XLOOKUP($A1843,Load!$B:$B,Load!C:C,0,)</f>
        <v>0</v>
      </c>
      <c r="C1843">
        <f>_xlfn.XLOOKUP($A1843,Load!$B:$B,Load!D:D,0,)</f>
        <v>0</v>
      </c>
      <c r="D1843">
        <f>_xlfn.XLOOKUP($A1843,Load!$B:$B,Load!E:E,0,)</f>
        <v>0</v>
      </c>
      <c r="E1843">
        <f>_xlfn.XLOOKUP($A1843,Load!$B:$B,Load!F:F,0,)</f>
        <v>0</v>
      </c>
      <c r="F1843">
        <f>_xlfn.XLOOKUP($A1843,Load!$B:$B,Load!G:G,0,)</f>
        <v>0</v>
      </c>
      <c r="G1843">
        <f>_xlfn.XLOOKUP($A1843,Load!$B:$B,Load!H:H,0,)</f>
        <v>0</v>
      </c>
      <c r="H1843">
        <f>_xlfn.XLOOKUP($A1843,Load!$B:$B,Load!I:I,0,)</f>
        <v>0</v>
      </c>
      <c r="I1843">
        <f>_xlfn.XLOOKUP($A1843,Load!$B:$B,Load!J:J,0,)</f>
        <v>0</v>
      </c>
      <c r="J1843">
        <f>_xlfn.XLOOKUP($A1843,Load!$B:$B,Load!K:K,0,)</f>
        <v>0</v>
      </c>
      <c r="K1843">
        <f>_xlfn.XLOOKUP($A1843,Load!$B:$B,Load!L:L,0,)</f>
        <v>0</v>
      </c>
      <c r="L1843">
        <f>_xlfn.XLOOKUP($A1843,Load!$B:$B,Load!M:M,0,)</f>
        <v>0</v>
      </c>
    </row>
    <row r="1844" spans="1:12" x14ac:dyDescent="0.25">
      <c r="B1844">
        <f>_xlfn.XLOOKUP($A1844,Load!$B:$B,Load!C:C,0,)</f>
        <v>0</v>
      </c>
      <c r="C1844">
        <f>_xlfn.XLOOKUP($A1844,Load!$B:$B,Load!D:D,0,)</f>
        <v>0</v>
      </c>
      <c r="D1844">
        <f>_xlfn.XLOOKUP($A1844,Load!$B:$B,Load!E:E,0,)</f>
        <v>0</v>
      </c>
      <c r="E1844">
        <f>_xlfn.XLOOKUP($A1844,Load!$B:$B,Load!F:F,0,)</f>
        <v>0</v>
      </c>
      <c r="F1844">
        <f>_xlfn.XLOOKUP($A1844,Load!$B:$B,Load!G:G,0,)</f>
        <v>0</v>
      </c>
      <c r="G1844">
        <f>_xlfn.XLOOKUP($A1844,Load!$B:$B,Load!H:H,0,)</f>
        <v>0</v>
      </c>
      <c r="H1844">
        <f>_xlfn.XLOOKUP($A1844,Load!$B:$B,Load!I:I,0,)</f>
        <v>0</v>
      </c>
      <c r="I1844">
        <f>_xlfn.XLOOKUP($A1844,Load!$B:$B,Load!J:J,0,)</f>
        <v>0</v>
      </c>
      <c r="J1844">
        <f>_xlfn.XLOOKUP($A1844,Load!$B:$B,Load!K:K,0,)</f>
        <v>0</v>
      </c>
      <c r="K1844">
        <f>_xlfn.XLOOKUP($A1844,Load!$B:$B,Load!L:L,0,)</f>
        <v>0</v>
      </c>
      <c r="L1844">
        <f>_xlfn.XLOOKUP($A1844,Load!$B:$B,Load!M:M,0,)</f>
        <v>0</v>
      </c>
    </row>
    <row r="1845" spans="1:12" x14ac:dyDescent="0.25">
      <c r="B1845">
        <f>_xlfn.XLOOKUP($A1845,Load!$B:$B,Load!C:C,0,)</f>
        <v>0</v>
      </c>
      <c r="C1845">
        <f>_xlfn.XLOOKUP($A1845,Load!$B:$B,Load!D:D,0,)</f>
        <v>0</v>
      </c>
      <c r="D1845">
        <f>_xlfn.XLOOKUP($A1845,Load!$B:$B,Load!E:E,0,)</f>
        <v>0</v>
      </c>
      <c r="E1845">
        <f>_xlfn.XLOOKUP($A1845,Load!$B:$B,Load!F:F,0,)</f>
        <v>0</v>
      </c>
      <c r="F1845">
        <f>_xlfn.XLOOKUP($A1845,Load!$B:$B,Load!G:G,0,)</f>
        <v>0</v>
      </c>
      <c r="G1845">
        <f>_xlfn.XLOOKUP($A1845,Load!$B:$B,Load!H:H,0,)</f>
        <v>0</v>
      </c>
      <c r="H1845">
        <f>_xlfn.XLOOKUP($A1845,Load!$B:$B,Load!I:I,0,)</f>
        <v>0</v>
      </c>
      <c r="I1845">
        <f>_xlfn.XLOOKUP($A1845,Load!$B:$B,Load!J:J,0,)</f>
        <v>0</v>
      </c>
      <c r="J1845">
        <f>_xlfn.XLOOKUP($A1845,Load!$B:$B,Load!K:K,0,)</f>
        <v>0</v>
      </c>
      <c r="K1845">
        <f>_xlfn.XLOOKUP($A1845,Load!$B:$B,Load!L:L,0,)</f>
        <v>0</v>
      </c>
      <c r="L1845">
        <f>_xlfn.XLOOKUP($A1845,Load!$B:$B,Load!M:M,0,)</f>
        <v>0</v>
      </c>
    </row>
    <row r="1846" spans="1:12" x14ac:dyDescent="0.25">
      <c r="B1846">
        <f>_xlfn.XLOOKUP($A1846,Load!$B:$B,Load!C:C,0,)</f>
        <v>0</v>
      </c>
      <c r="C1846">
        <f>_xlfn.XLOOKUP($A1846,Load!$B:$B,Load!D:D,0,)</f>
        <v>0</v>
      </c>
      <c r="D1846">
        <f>_xlfn.XLOOKUP($A1846,Load!$B:$B,Load!E:E,0,)</f>
        <v>0</v>
      </c>
      <c r="E1846">
        <f>_xlfn.XLOOKUP($A1846,Load!$B:$B,Load!F:F,0,)</f>
        <v>0</v>
      </c>
      <c r="F1846">
        <f>_xlfn.XLOOKUP($A1846,Load!$B:$B,Load!G:G,0,)</f>
        <v>0</v>
      </c>
      <c r="G1846">
        <f>_xlfn.XLOOKUP($A1846,Load!$B:$B,Load!H:H,0,)</f>
        <v>0</v>
      </c>
      <c r="H1846">
        <f>_xlfn.XLOOKUP($A1846,Load!$B:$B,Load!I:I,0,)</f>
        <v>0</v>
      </c>
      <c r="I1846">
        <f>_xlfn.XLOOKUP($A1846,Load!$B:$B,Load!J:J,0,)</f>
        <v>0</v>
      </c>
      <c r="J1846">
        <f>_xlfn.XLOOKUP($A1846,Load!$B:$B,Load!K:K,0,)</f>
        <v>0</v>
      </c>
      <c r="K1846">
        <f>_xlfn.XLOOKUP($A1846,Load!$B:$B,Load!L:L,0,)</f>
        <v>0</v>
      </c>
      <c r="L1846">
        <f>_xlfn.XLOOKUP($A1846,Load!$B:$B,Load!M:M,0,)</f>
        <v>0</v>
      </c>
    </row>
    <row r="1847" spans="1:12" x14ac:dyDescent="0.25">
      <c r="B1847">
        <f>_xlfn.XLOOKUP($A1847,Load!$B:$B,Load!C:C,0,)</f>
        <v>0</v>
      </c>
      <c r="C1847">
        <f>_xlfn.XLOOKUP($A1847,Load!$B:$B,Load!D:D,0,)</f>
        <v>0</v>
      </c>
      <c r="D1847">
        <f>_xlfn.XLOOKUP($A1847,Load!$B:$B,Load!E:E,0,)</f>
        <v>0</v>
      </c>
      <c r="E1847">
        <f>_xlfn.XLOOKUP($A1847,Load!$B:$B,Load!F:F,0,)</f>
        <v>0</v>
      </c>
      <c r="F1847">
        <f>_xlfn.XLOOKUP($A1847,Load!$B:$B,Load!G:G,0,)</f>
        <v>0</v>
      </c>
      <c r="G1847">
        <f>_xlfn.XLOOKUP($A1847,Load!$B:$B,Load!H:H,0,)</f>
        <v>0</v>
      </c>
      <c r="H1847">
        <f>_xlfn.XLOOKUP($A1847,Load!$B:$B,Load!I:I,0,)</f>
        <v>0</v>
      </c>
      <c r="I1847">
        <f>_xlfn.XLOOKUP($A1847,Load!$B:$B,Load!J:J,0,)</f>
        <v>0</v>
      </c>
      <c r="J1847">
        <f>_xlfn.XLOOKUP($A1847,Load!$B:$B,Load!K:K,0,)</f>
        <v>0</v>
      </c>
      <c r="K1847">
        <f>_xlfn.XLOOKUP($A1847,Load!$B:$B,Load!L:L,0,)</f>
        <v>0</v>
      </c>
      <c r="L1847">
        <f>_xlfn.XLOOKUP($A1847,Load!$B:$B,Load!M:M,0,)</f>
        <v>0</v>
      </c>
    </row>
    <row r="1848" spans="1:12" x14ac:dyDescent="0.25">
      <c r="B1848">
        <f>_xlfn.XLOOKUP($A1848,Load!$B:$B,Load!C:C,0,)</f>
        <v>0</v>
      </c>
      <c r="C1848">
        <f>_xlfn.XLOOKUP($A1848,Load!$B:$B,Load!D:D,0,)</f>
        <v>0</v>
      </c>
      <c r="D1848">
        <f>_xlfn.XLOOKUP($A1848,Load!$B:$B,Load!E:E,0,)</f>
        <v>0</v>
      </c>
      <c r="E1848">
        <f>_xlfn.XLOOKUP($A1848,Load!$B:$B,Load!F:F,0,)</f>
        <v>0</v>
      </c>
      <c r="F1848">
        <f>_xlfn.XLOOKUP($A1848,Load!$B:$B,Load!G:G,0,)</f>
        <v>0</v>
      </c>
      <c r="G1848">
        <f>_xlfn.XLOOKUP($A1848,Load!$B:$B,Load!H:H,0,)</f>
        <v>0</v>
      </c>
      <c r="H1848">
        <f>_xlfn.XLOOKUP($A1848,Load!$B:$B,Load!I:I,0,)</f>
        <v>0</v>
      </c>
      <c r="I1848">
        <f>_xlfn.XLOOKUP($A1848,Load!$B:$B,Load!J:J,0,)</f>
        <v>0</v>
      </c>
      <c r="J1848">
        <f>_xlfn.XLOOKUP($A1848,Load!$B:$B,Load!K:K,0,)</f>
        <v>0</v>
      </c>
      <c r="K1848">
        <f>_xlfn.XLOOKUP($A1848,Load!$B:$B,Load!L:L,0,)</f>
        <v>0</v>
      </c>
      <c r="L1848">
        <f>_xlfn.XLOOKUP($A1848,Load!$B:$B,Load!M:M,0,)</f>
        <v>0</v>
      </c>
    </row>
    <row r="1849" spans="1:12" x14ac:dyDescent="0.25">
      <c r="B1849">
        <f>_xlfn.XLOOKUP($A1849,Load!$B:$B,Load!C:C,0,)</f>
        <v>0</v>
      </c>
      <c r="C1849">
        <f>_xlfn.XLOOKUP($A1849,Load!$B:$B,Load!D:D,0,)</f>
        <v>0</v>
      </c>
      <c r="D1849">
        <f>_xlfn.XLOOKUP($A1849,Load!$B:$B,Load!E:E,0,)</f>
        <v>0</v>
      </c>
      <c r="E1849">
        <f>_xlfn.XLOOKUP($A1849,Load!$B:$B,Load!F:F,0,)</f>
        <v>0</v>
      </c>
      <c r="F1849">
        <f>_xlfn.XLOOKUP($A1849,Load!$B:$B,Load!G:G,0,)</f>
        <v>0</v>
      </c>
      <c r="G1849">
        <f>_xlfn.XLOOKUP($A1849,Load!$B:$B,Load!H:H,0,)</f>
        <v>0</v>
      </c>
      <c r="H1849">
        <f>_xlfn.XLOOKUP($A1849,Load!$B:$B,Load!I:I,0,)</f>
        <v>0</v>
      </c>
      <c r="I1849">
        <f>_xlfn.XLOOKUP($A1849,Load!$B:$B,Load!J:J,0,)</f>
        <v>0</v>
      </c>
      <c r="J1849">
        <f>_xlfn.XLOOKUP($A1849,Load!$B:$B,Load!K:K,0,)</f>
        <v>0</v>
      </c>
      <c r="K1849">
        <f>_xlfn.XLOOKUP($A1849,Load!$B:$B,Load!L:L,0,)</f>
        <v>0</v>
      </c>
      <c r="L1849">
        <f>_xlfn.XLOOKUP($A1849,Load!$B:$B,Load!M:M,0,)</f>
        <v>0</v>
      </c>
    </row>
    <row r="1850" spans="1:12" x14ac:dyDescent="0.25">
      <c r="A1850" t="s">
        <v>140</v>
      </c>
      <c r="B1850" t="str">
        <f>_xlfn.XLOOKUP($A1850,Load!$B:$B,Load!C:C,0,)</f>
        <v>Hershey's Variety Pack + Haribo</v>
      </c>
      <c r="C1850" t="str">
        <f>_xlfn.XLOOKUP($A1850,Load!$B:$B,Load!D:D,0,)</f>
        <v>Mix of Chocolate and Non-Chocolate Candy</v>
      </c>
      <c r="D1850" t="str">
        <f>_xlfn.XLOOKUP($A1850,Load!$B:$B,Load!E:E,0,)</f>
        <v>Variety / Mixed Flavors (Fruity, Sour, Seasonal Flavors)</v>
      </c>
      <c r="E1850" t="str">
        <f>_xlfn.XLOOKUP($A1850,Load!$B:$B,Load!F:F,0,)</f>
        <v>Mixed / Combo Packs (Gummy, Chewy, Taffy, etc.)</v>
      </c>
      <c r="F1850" t="str">
        <f>_xlfn.XLOOKUP($A1850,Load!$B:$B,Load!G:G,0,)</f>
        <v>Large Multipack (More than 80 ct)</v>
      </c>
      <c r="G1850" t="str">
        <f>_xlfn.XLOOKUP($A1850,Load!$B:$B,Load!H:H,0,)</f>
        <v>Stand-Up Bag</v>
      </c>
      <c r="H1850" t="str">
        <f>_xlfn.XLOOKUP($A1850,Load!$B:$B,Load!I:I,0,)</f>
        <v>Everyday Candy Shapes (like Original, Gummy bear, Fruit, Jewels, etc.)</v>
      </c>
      <c r="I1850" t="str">
        <f>_xlfn.XLOOKUP($A1850,Load!$B:$B,Load!J:J,0,)</f>
        <v>Seasonal Graphics (Like Bat, Ghost, Pumpkin, Fall Leaves, Eyeballs, etc.)</v>
      </c>
      <c r="J1850" t="str">
        <f>_xlfn.XLOOKUP($A1850,Load!$B:$B,Load!K:K,0,)</f>
        <v xml:space="preserve">Variety Candy Sizes </v>
      </c>
      <c r="K1850" t="str">
        <f>_xlfn.XLOOKUP($A1850,Load!$B:$B,Load!L:L,0,)</f>
        <v>Regular/Original Wrapping</v>
      </c>
      <c r="L1850" t="str">
        <f>_xlfn.XLOOKUP($A1850,Load!$B:$B,Load!M:M,0,)</f>
        <v>Multiple Brands / Variety Flavors or Form</v>
      </c>
    </row>
    <row r="1851" spans="1:12" x14ac:dyDescent="0.25">
      <c r="A1851" t="s">
        <v>221</v>
      </c>
      <c r="B1851" t="str">
        <f>_xlfn.XLOOKUP($A1851,Load!$B:$B,Load!C:C,0,)</f>
        <v>Hershey's Variety Pack + Haribo</v>
      </c>
      <c r="C1851" t="str">
        <f>_xlfn.XLOOKUP($A1851,Load!$B:$B,Load!D:D,0,)</f>
        <v>Mix of Chocolate and Non-Chocolate Candy</v>
      </c>
      <c r="D1851" t="str">
        <f>_xlfn.XLOOKUP($A1851,Load!$B:$B,Load!E:E,0,)</f>
        <v>Variety / Mixed Flavors (Fruity, Sour, Seasonal Flavors)</v>
      </c>
      <c r="E1851" t="str">
        <f>_xlfn.XLOOKUP($A1851,Load!$B:$B,Load!F:F,0,)</f>
        <v>Mixed / Combo Packs (Gummy, Chewy, Taffy, etc.)</v>
      </c>
      <c r="F1851" t="str">
        <f>_xlfn.XLOOKUP($A1851,Load!$B:$B,Load!G:G,0,)</f>
        <v>Large Multipack (More than 80 ct)</v>
      </c>
      <c r="G1851" t="str">
        <f>_xlfn.XLOOKUP($A1851,Load!$B:$B,Load!H:H,0,)</f>
        <v>Stand-Up Bag</v>
      </c>
      <c r="H1851" t="str">
        <f>_xlfn.XLOOKUP($A1851,Load!$B:$B,Load!I:I,0,)</f>
        <v>Everyday Candy Shapes (like Original, Gummy bear, Fruit, Jewels, etc.)</v>
      </c>
      <c r="I1851" t="str">
        <f>_xlfn.XLOOKUP($A1851,Load!$B:$B,Load!J:J,0,)</f>
        <v>Seasonal Graphics (Like Bat, Ghost, Pumpkin, Fall Leaves, Eyeballs, etc.)</v>
      </c>
      <c r="J1851" t="str">
        <f>_xlfn.XLOOKUP($A1851,Load!$B:$B,Load!K:K,0,)</f>
        <v xml:space="preserve">Variety Candy Sizes </v>
      </c>
      <c r="K1851" t="str">
        <f>_xlfn.XLOOKUP($A1851,Load!$B:$B,Load!L:L,0,)</f>
        <v>Regular/Original Wrapping</v>
      </c>
      <c r="L1851" t="str">
        <f>_xlfn.XLOOKUP($A1851,Load!$B:$B,Load!M:M,0,)</f>
        <v>Multiple Brands / Variety Flavors or Form</v>
      </c>
    </row>
    <row r="1852" spans="1:12" x14ac:dyDescent="0.25">
      <c r="A1852" t="s">
        <v>95</v>
      </c>
      <c r="B1852" t="str">
        <f>_xlfn.XLOOKUP($A1852,Load!$B:$B,Load!C:C,0,)</f>
        <v>Ferrara Variety Pack</v>
      </c>
      <c r="C1852" t="str">
        <f>_xlfn.XLOOKUP($A1852,Load!$B:$B,Load!D:D,0,)</f>
        <v>Non-Chocolate Candy Only</v>
      </c>
      <c r="D1852" t="str">
        <f>_xlfn.XLOOKUP($A1852,Load!$B:$B,Load!E:E,0,)</f>
        <v>Variety / Mixed Flavors (Fruity, Sour, Seasonal Flavors)</v>
      </c>
      <c r="E1852" t="str">
        <f>_xlfn.XLOOKUP($A1852,Load!$B:$B,Load!F:F,0,)</f>
        <v>Mixed / Combo Packs (Gummy, Chewy, Taffy, etc.)</v>
      </c>
      <c r="F1852" t="str">
        <f>_xlfn.XLOOKUP($A1852,Load!$B:$B,Load!G:G,0,)</f>
        <v>Medium Multipack (40–80 ct)</v>
      </c>
      <c r="G1852" t="str">
        <f>_xlfn.XLOOKUP($A1852,Load!$B:$B,Load!H:H,0,)</f>
        <v>Stand-Up Bag</v>
      </c>
      <c r="H1852" t="str">
        <f>_xlfn.XLOOKUP($A1852,Load!$B:$B,Load!I:I,0,)</f>
        <v>Everyday Candy Shapes (like Original, Gummy bear, Fruit, Jewels, etc.)</v>
      </c>
      <c r="I1852" t="str">
        <f>_xlfn.XLOOKUP($A1852,Load!$B:$B,Load!J:J,0,)</f>
        <v>Seasonal Graphics (Like Bat, Ghost, Pumpkin, Fall Leaves, Eyeballs, etc.)</v>
      </c>
      <c r="J1852" t="str">
        <f>_xlfn.XLOOKUP($A1852,Load!$B:$B,Load!K:K,0,)</f>
        <v xml:space="preserve">Variety Candy Sizes </v>
      </c>
      <c r="K1852" t="str">
        <f>_xlfn.XLOOKUP($A1852,Load!$B:$B,Load!L:L,0,)</f>
        <v>Regular/Original Wrapping</v>
      </c>
      <c r="L1852" t="str">
        <f>_xlfn.XLOOKUP($A1852,Load!$B:$B,Load!M:M,0,)</f>
        <v>Multiple Brands / Variety Flavors or Form</v>
      </c>
    </row>
    <row r="1853" spans="1:12" x14ac:dyDescent="0.25">
      <c r="A1853" t="s">
        <v>136</v>
      </c>
      <c r="B1853" t="str">
        <f>_xlfn.XLOOKUP($A1853,Load!$B:$B,Load!C:C,0,)</f>
        <v>Hershey's Variety Pack + Haribo</v>
      </c>
      <c r="C1853" t="str">
        <f>_xlfn.XLOOKUP($A1853,Load!$B:$B,Load!D:D,0,)</f>
        <v>Non-Chocolate Candy Only</v>
      </c>
      <c r="D1853" t="str">
        <f>_xlfn.XLOOKUP($A1853,Load!$B:$B,Load!E:E,0,)</f>
        <v>Variety / Mixed Flavors (Fruity, Sour, Seasonal Flavors)</v>
      </c>
      <c r="E1853" t="str">
        <f>_xlfn.XLOOKUP($A1853,Load!$B:$B,Load!F:F,0,)</f>
        <v>Mixed / Combo Packs (Gummy, Chewy, Taffy, etc.)</v>
      </c>
      <c r="F1853" t="str">
        <f>_xlfn.XLOOKUP($A1853,Load!$B:$B,Load!G:G,0,)</f>
        <v>Medium Multipack (40–80 ct)</v>
      </c>
      <c r="G1853" t="str">
        <f>_xlfn.XLOOKUP($A1853,Load!$B:$B,Load!H:H,0,)</f>
        <v>Laydown Bag</v>
      </c>
      <c r="H1853" t="str">
        <f>_xlfn.XLOOKUP($A1853,Load!$B:$B,Load!I:I,0,)</f>
        <v>Everyday Candy Shapes (like Original, Gummy bear, Fruit, Jewels, etc.)</v>
      </c>
      <c r="I1853" t="str">
        <f>_xlfn.XLOOKUP($A1853,Load!$B:$B,Load!J:J,0,)</f>
        <v>Seasonal Graphics (Like Bat, Ghost, Pumpkin, Fall Leaves, Eyeballs, etc.)</v>
      </c>
      <c r="J1853" t="str">
        <f>_xlfn.XLOOKUP($A1853,Load!$B:$B,Load!K:K,0,)</f>
        <v xml:space="preserve">Variety Candy Sizes </v>
      </c>
      <c r="K1853" t="str">
        <f>_xlfn.XLOOKUP($A1853,Load!$B:$B,Load!L:L,0,)</f>
        <v>Regular/Original Wrapping</v>
      </c>
      <c r="L1853" t="str">
        <f>_xlfn.XLOOKUP($A1853,Load!$B:$B,Load!M:M,0,)</f>
        <v>Multiple Brands / Variety Flavors or Form</v>
      </c>
    </row>
    <row r="1854" spans="1:12" x14ac:dyDescent="0.25">
      <c r="A1854" t="s">
        <v>94</v>
      </c>
      <c r="B1854" t="str">
        <f>_xlfn.XLOOKUP($A1854,Load!$B:$B,Load!C:C,0,)</f>
        <v>Ferrara Variety Pack</v>
      </c>
      <c r="C1854" t="str">
        <f>_xlfn.XLOOKUP($A1854,Load!$B:$B,Load!D:D,0,)</f>
        <v>Non-Chocolate Candy Only</v>
      </c>
      <c r="D1854" t="str">
        <f>_xlfn.XLOOKUP($A1854,Load!$B:$B,Load!E:E,0,)</f>
        <v>Variety / Mixed Flavors (Fruity, Sour, Seasonal Flavors)</v>
      </c>
      <c r="E1854" t="str">
        <f>_xlfn.XLOOKUP($A1854,Load!$B:$B,Load!F:F,0,)</f>
        <v>Mixed / Combo Packs (Gummy, Chewy, Taffy, etc.)</v>
      </c>
      <c r="F1854" t="str">
        <f>_xlfn.XLOOKUP($A1854,Load!$B:$B,Load!G:G,0,)</f>
        <v>Large Multipack (More than 80 ct)</v>
      </c>
      <c r="G1854" t="str">
        <f>_xlfn.XLOOKUP($A1854,Load!$B:$B,Load!H:H,0,)</f>
        <v>Stand-Up Bag</v>
      </c>
      <c r="H1854" t="str">
        <f>_xlfn.XLOOKUP($A1854,Load!$B:$B,Load!I:I,0,)</f>
        <v>Everyday Candy Shapes (like Original, Gummy bear, Fruit, Jewels, etc.)</v>
      </c>
      <c r="I1854" t="str">
        <f>_xlfn.XLOOKUP($A1854,Load!$B:$B,Load!J:J,0,)</f>
        <v>Seasonal Graphics (Like Bat, Ghost, Pumpkin, Fall Leaves, Eyeballs, etc.)</v>
      </c>
      <c r="J1854" t="str">
        <f>_xlfn.XLOOKUP($A1854,Load!$B:$B,Load!K:K,0,)</f>
        <v xml:space="preserve">Variety Candy Sizes </v>
      </c>
      <c r="K1854" t="str">
        <f>_xlfn.XLOOKUP($A1854,Load!$B:$B,Load!L:L,0,)</f>
        <v>Regular/Original Wrapping</v>
      </c>
      <c r="L1854" t="str">
        <f>_xlfn.XLOOKUP($A1854,Load!$B:$B,Load!M:M,0,)</f>
        <v>Multiple Brands / Variety Flavors or Form</v>
      </c>
    </row>
    <row r="1855" spans="1:12" x14ac:dyDescent="0.25">
      <c r="B1855">
        <f>_xlfn.XLOOKUP($A1855,Load!$B:$B,Load!C:C,0,)</f>
        <v>0</v>
      </c>
      <c r="C1855">
        <f>_xlfn.XLOOKUP($A1855,Load!$B:$B,Load!D:D,0,)</f>
        <v>0</v>
      </c>
      <c r="D1855">
        <f>_xlfn.XLOOKUP($A1855,Load!$B:$B,Load!E:E,0,)</f>
        <v>0</v>
      </c>
      <c r="E1855">
        <f>_xlfn.XLOOKUP($A1855,Load!$B:$B,Load!F:F,0,)</f>
        <v>0</v>
      </c>
      <c r="F1855">
        <f>_xlfn.XLOOKUP($A1855,Load!$B:$B,Load!G:G,0,)</f>
        <v>0</v>
      </c>
      <c r="G1855">
        <f>_xlfn.XLOOKUP($A1855,Load!$B:$B,Load!H:H,0,)</f>
        <v>0</v>
      </c>
      <c r="H1855">
        <f>_xlfn.XLOOKUP($A1855,Load!$B:$B,Load!I:I,0,)</f>
        <v>0</v>
      </c>
      <c r="I1855">
        <f>_xlfn.XLOOKUP($A1855,Load!$B:$B,Load!J:J,0,)</f>
        <v>0</v>
      </c>
      <c r="J1855">
        <f>_xlfn.XLOOKUP($A1855,Load!$B:$B,Load!K:K,0,)</f>
        <v>0</v>
      </c>
      <c r="K1855">
        <f>_xlfn.XLOOKUP($A1855,Load!$B:$B,Load!L:L,0,)</f>
        <v>0</v>
      </c>
      <c r="L1855">
        <f>_xlfn.XLOOKUP($A1855,Load!$B:$B,Load!M:M,0,)</f>
        <v>0</v>
      </c>
    </row>
    <row r="1856" spans="1:12" x14ac:dyDescent="0.25">
      <c r="B1856">
        <f>_xlfn.XLOOKUP($A1856,Load!$B:$B,Load!C:C,0,)</f>
        <v>0</v>
      </c>
      <c r="C1856">
        <f>_xlfn.XLOOKUP($A1856,Load!$B:$B,Load!D:D,0,)</f>
        <v>0</v>
      </c>
      <c r="D1856">
        <f>_xlfn.XLOOKUP($A1856,Load!$B:$B,Load!E:E,0,)</f>
        <v>0</v>
      </c>
      <c r="E1856">
        <f>_xlfn.XLOOKUP($A1856,Load!$B:$B,Load!F:F,0,)</f>
        <v>0</v>
      </c>
      <c r="F1856">
        <f>_xlfn.XLOOKUP($A1856,Load!$B:$B,Load!G:G,0,)</f>
        <v>0</v>
      </c>
      <c r="G1856">
        <f>_xlfn.XLOOKUP($A1856,Load!$B:$B,Load!H:H,0,)</f>
        <v>0</v>
      </c>
      <c r="H1856">
        <f>_xlfn.XLOOKUP($A1856,Load!$B:$B,Load!I:I,0,)</f>
        <v>0</v>
      </c>
      <c r="I1856">
        <f>_xlfn.XLOOKUP($A1856,Load!$B:$B,Load!J:J,0,)</f>
        <v>0</v>
      </c>
      <c r="J1856">
        <f>_xlfn.XLOOKUP($A1856,Load!$B:$B,Load!K:K,0,)</f>
        <v>0</v>
      </c>
      <c r="K1856">
        <f>_xlfn.XLOOKUP($A1856,Load!$B:$B,Load!L:L,0,)</f>
        <v>0</v>
      </c>
      <c r="L1856">
        <f>_xlfn.XLOOKUP($A1856,Load!$B:$B,Load!M:M,0,)</f>
        <v>0</v>
      </c>
    </row>
    <row r="1857" spans="1:12" x14ac:dyDescent="0.25">
      <c r="B1857">
        <f>_xlfn.XLOOKUP($A1857,Load!$B:$B,Load!C:C,0,)</f>
        <v>0</v>
      </c>
      <c r="C1857">
        <f>_xlfn.XLOOKUP($A1857,Load!$B:$B,Load!D:D,0,)</f>
        <v>0</v>
      </c>
      <c r="D1857">
        <f>_xlfn.XLOOKUP($A1857,Load!$B:$B,Load!E:E,0,)</f>
        <v>0</v>
      </c>
      <c r="E1857">
        <f>_xlfn.XLOOKUP($A1857,Load!$B:$B,Load!F:F,0,)</f>
        <v>0</v>
      </c>
      <c r="F1857">
        <f>_xlfn.XLOOKUP($A1857,Load!$B:$B,Load!G:G,0,)</f>
        <v>0</v>
      </c>
      <c r="G1857">
        <f>_xlfn.XLOOKUP($A1857,Load!$B:$B,Load!H:H,0,)</f>
        <v>0</v>
      </c>
      <c r="H1857">
        <f>_xlfn.XLOOKUP($A1857,Load!$B:$B,Load!I:I,0,)</f>
        <v>0</v>
      </c>
      <c r="I1857">
        <f>_xlfn.XLOOKUP($A1857,Load!$B:$B,Load!J:J,0,)</f>
        <v>0</v>
      </c>
      <c r="J1857">
        <f>_xlfn.XLOOKUP($A1857,Load!$B:$B,Load!K:K,0,)</f>
        <v>0</v>
      </c>
      <c r="K1857">
        <f>_xlfn.XLOOKUP($A1857,Load!$B:$B,Load!L:L,0,)</f>
        <v>0</v>
      </c>
      <c r="L1857">
        <f>_xlfn.XLOOKUP($A1857,Load!$B:$B,Load!M:M,0,)</f>
        <v>0</v>
      </c>
    </row>
    <row r="1858" spans="1:12" x14ac:dyDescent="0.25">
      <c r="B1858">
        <f>_xlfn.XLOOKUP($A1858,Load!$B:$B,Load!C:C,0,)</f>
        <v>0</v>
      </c>
      <c r="C1858">
        <f>_xlfn.XLOOKUP($A1858,Load!$B:$B,Load!D:D,0,)</f>
        <v>0</v>
      </c>
      <c r="D1858">
        <f>_xlfn.XLOOKUP($A1858,Load!$B:$B,Load!E:E,0,)</f>
        <v>0</v>
      </c>
      <c r="E1858">
        <f>_xlfn.XLOOKUP($A1858,Load!$B:$B,Load!F:F,0,)</f>
        <v>0</v>
      </c>
      <c r="F1858">
        <f>_xlfn.XLOOKUP($A1858,Load!$B:$B,Load!G:G,0,)</f>
        <v>0</v>
      </c>
      <c r="G1858">
        <f>_xlfn.XLOOKUP($A1858,Load!$B:$B,Load!H:H,0,)</f>
        <v>0</v>
      </c>
      <c r="H1858">
        <f>_xlfn.XLOOKUP($A1858,Load!$B:$B,Load!I:I,0,)</f>
        <v>0</v>
      </c>
      <c r="I1858">
        <f>_xlfn.XLOOKUP($A1858,Load!$B:$B,Load!J:J,0,)</f>
        <v>0</v>
      </c>
      <c r="J1858">
        <f>_xlfn.XLOOKUP($A1858,Load!$B:$B,Load!K:K,0,)</f>
        <v>0</v>
      </c>
      <c r="K1858">
        <f>_xlfn.XLOOKUP($A1858,Load!$B:$B,Load!L:L,0,)</f>
        <v>0</v>
      </c>
      <c r="L1858">
        <f>_xlfn.XLOOKUP($A1858,Load!$B:$B,Load!M:M,0,)</f>
        <v>0</v>
      </c>
    </row>
    <row r="1859" spans="1:12" x14ac:dyDescent="0.25">
      <c r="B1859">
        <f>_xlfn.XLOOKUP($A1859,Load!$B:$B,Load!C:C,0,)</f>
        <v>0</v>
      </c>
      <c r="C1859">
        <f>_xlfn.XLOOKUP($A1859,Load!$B:$B,Load!D:D,0,)</f>
        <v>0</v>
      </c>
      <c r="D1859">
        <f>_xlfn.XLOOKUP($A1859,Load!$B:$B,Load!E:E,0,)</f>
        <v>0</v>
      </c>
      <c r="E1859">
        <f>_xlfn.XLOOKUP($A1859,Load!$B:$B,Load!F:F,0,)</f>
        <v>0</v>
      </c>
      <c r="F1859">
        <f>_xlfn.XLOOKUP($A1859,Load!$B:$B,Load!G:G,0,)</f>
        <v>0</v>
      </c>
      <c r="G1859">
        <f>_xlfn.XLOOKUP($A1859,Load!$B:$B,Load!H:H,0,)</f>
        <v>0</v>
      </c>
      <c r="H1859">
        <f>_xlfn.XLOOKUP($A1859,Load!$B:$B,Load!I:I,0,)</f>
        <v>0</v>
      </c>
      <c r="I1859">
        <f>_xlfn.XLOOKUP($A1859,Load!$B:$B,Load!J:J,0,)</f>
        <v>0</v>
      </c>
      <c r="J1859">
        <f>_xlfn.XLOOKUP($A1859,Load!$B:$B,Load!K:K,0,)</f>
        <v>0</v>
      </c>
      <c r="K1859">
        <f>_xlfn.XLOOKUP($A1859,Load!$B:$B,Load!L:L,0,)</f>
        <v>0</v>
      </c>
      <c r="L1859">
        <f>_xlfn.XLOOKUP($A1859,Load!$B:$B,Load!M:M,0,)</f>
        <v>0</v>
      </c>
    </row>
    <row r="1860" spans="1:12" x14ac:dyDescent="0.25">
      <c r="B1860">
        <f>_xlfn.XLOOKUP($A1860,Load!$B:$B,Load!C:C,0,)</f>
        <v>0</v>
      </c>
      <c r="C1860">
        <f>_xlfn.XLOOKUP($A1860,Load!$B:$B,Load!D:D,0,)</f>
        <v>0</v>
      </c>
      <c r="D1860">
        <f>_xlfn.XLOOKUP($A1860,Load!$B:$B,Load!E:E,0,)</f>
        <v>0</v>
      </c>
      <c r="E1860">
        <f>_xlfn.XLOOKUP($A1860,Load!$B:$B,Load!F:F,0,)</f>
        <v>0</v>
      </c>
      <c r="F1860">
        <f>_xlfn.XLOOKUP($A1860,Load!$B:$B,Load!G:G,0,)</f>
        <v>0</v>
      </c>
      <c r="G1860">
        <f>_xlfn.XLOOKUP($A1860,Load!$B:$B,Load!H:H,0,)</f>
        <v>0</v>
      </c>
      <c r="H1860">
        <f>_xlfn.XLOOKUP($A1860,Load!$B:$B,Load!I:I,0,)</f>
        <v>0</v>
      </c>
      <c r="I1860">
        <f>_xlfn.XLOOKUP($A1860,Load!$B:$B,Load!J:J,0,)</f>
        <v>0</v>
      </c>
      <c r="J1860">
        <f>_xlfn.XLOOKUP($A1860,Load!$B:$B,Load!K:K,0,)</f>
        <v>0</v>
      </c>
      <c r="K1860">
        <f>_xlfn.XLOOKUP($A1860,Load!$B:$B,Load!L:L,0,)</f>
        <v>0</v>
      </c>
      <c r="L1860">
        <f>_xlfn.XLOOKUP($A1860,Load!$B:$B,Load!M:M,0,)</f>
        <v>0</v>
      </c>
    </row>
    <row r="1861" spans="1:12" x14ac:dyDescent="0.25">
      <c r="B1861">
        <f>_xlfn.XLOOKUP($A1861,Load!$B:$B,Load!C:C,0,)</f>
        <v>0</v>
      </c>
      <c r="C1861">
        <f>_xlfn.XLOOKUP($A1861,Load!$B:$B,Load!D:D,0,)</f>
        <v>0</v>
      </c>
      <c r="D1861">
        <f>_xlfn.XLOOKUP($A1861,Load!$B:$B,Load!E:E,0,)</f>
        <v>0</v>
      </c>
      <c r="E1861">
        <f>_xlfn.XLOOKUP($A1861,Load!$B:$B,Load!F:F,0,)</f>
        <v>0</v>
      </c>
      <c r="F1861">
        <f>_xlfn.XLOOKUP($A1861,Load!$B:$B,Load!G:G,0,)</f>
        <v>0</v>
      </c>
      <c r="G1861">
        <f>_xlfn.XLOOKUP($A1861,Load!$B:$B,Load!H:H,0,)</f>
        <v>0</v>
      </c>
      <c r="H1861">
        <f>_xlfn.XLOOKUP($A1861,Load!$B:$B,Load!I:I,0,)</f>
        <v>0</v>
      </c>
      <c r="I1861">
        <f>_xlfn.XLOOKUP($A1861,Load!$B:$B,Load!J:J,0,)</f>
        <v>0</v>
      </c>
      <c r="J1861">
        <f>_xlfn.XLOOKUP($A1861,Load!$B:$B,Load!K:K,0,)</f>
        <v>0</v>
      </c>
      <c r="K1861">
        <f>_xlfn.XLOOKUP($A1861,Load!$B:$B,Load!L:L,0,)</f>
        <v>0</v>
      </c>
      <c r="L1861">
        <f>_xlfn.XLOOKUP($A1861,Load!$B:$B,Load!M:M,0,)</f>
        <v>0</v>
      </c>
    </row>
    <row r="1862" spans="1:12" x14ac:dyDescent="0.25">
      <c r="B1862">
        <f>_xlfn.XLOOKUP($A1862,Load!$B:$B,Load!C:C,0,)</f>
        <v>0</v>
      </c>
      <c r="C1862">
        <f>_xlfn.XLOOKUP($A1862,Load!$B:$B,Load!D:D,0,)</f>
        <v>0</v>
      </c>
      <c r="D1862">
        <f>_xlfn.XLOOKUP($A1862,Load!$B:$B,Load!E:E,0,)</f>
        <v>0</v>
      </c>
      <c r="E1862">
        <f>_xlfn.XLOOKUP($A1862,Load!$B:$B,Load!F:F,0,)</f>
        <v>0</v>
      </c>
      <c r="F1862">
        <f>_xlfn.XLOOKUP($A1862,Load!$B:$B,Load!G:G,0,)</f>
        <v>0</v>
      </c>
      <c r="G1862">
        <f>_xlfn.XLOOKUP($A1862,Load!$B:$B,Load!H:H,0,)</f>
        <v>0</v>
      </c>
      <c r="H1862">
        <f>_xlfn.XLOOKUP($A1862,Load!$B:$B,Load!I:I,0,)</f>
        <v>0</v>
      </c>
      <c r="I1862">
        <f>_xlfn.XLOOKUP($A1862,Load!$B:$B,Load!J:J,0,)</f>
        <v>0</v>
      </c>
      <c r="J1862">
        <f>_xlfn.XLOOKUP($A1862,Load!$B:$B,Load!K:K,0,)</f>
        <v>0</v>
      </c>
      <c r="K1862">
        <f>_xlfn.XLOOKUP($A1862,Load!$B:$B,Load!L:L,0,)</f>
        <v>0</v>
      </c>
      <c r="L1862">
        <f>_xlfn.XLOOKUP($A1862,Load!$B:$B,Load!M:M,0,)</f>
        <v>0</v>
      </c>
    </row>
    <row r="1863" spans="1:12" x14ac:dyDescent="0.25">
      <c r="B1863">
        <f>_xlfn.XLOOKUP($A1863,Load!$B:$B,Load!C:C,0,)</f>
        <v>0</v>
      </c>
      <c r="C1863">
        <f>_xlfn.XLOOKUP($A1863,Load!$B:$B,Load!D:D,0,)</f>
        <v>0</v>
      </c>
      <c r="D1863">
        <f>_xlfn.XLOOKUP($A1863,Load!$B:$B,Load!E:E,0,)</f>
        <v>0</v>
      </c>
      <c r="E1863">
        <f>_xlfn.XLOOKUP($A1863,Load!$B:$B,Load!F:F,0,)</f>
        <v>0</v>
      </c>
      <c r="F1863">
        <f>_xlfn.XLOOKUP($A1863,Load!$B:$B,Load!G:G,0,)</f>
        <v>0</v>
      </c>
      <c r="G1863">
        <f>_xlfn.XLOOKUP($A1863,Load!$B:$B,Load!H:H,0,)</f>
        <v>0</v>
      </c>
      <c r="H1863">
        <f>_xlfn.XLOOKUP($A1863,Load!$B:$B,Load!I:I,0,)</f>
        <v>0</v>
      </c>
      <c r="I1863">
        <f>_xlfn.XLOOKUP($A1863,Load!$B:$B,Load!J:J,0,)</f>
        <v>0</v>
      </c>
      <c r="J1863">
        <f>_xlfn.XLOOKUP($A1863,Load!$B:$B,Load!K:K,0,)</f>
        <v>0</v>
      </c>
      <c r="K1863">
        <f>_xlfn.XLOOKUP($A1863,Load!$B:$B,Load!L:L,0,)</f>
        <v>0</v>
      </c>
      <c r="L1863">
        <f>_xlfn.XLOOKUP($A1863,Load!$B:$B,Load!M:M,0,)</f>
        <v>0</v>
      </c>
    </row>
    <row r="1864" spans="1:12" x14ac:dyDescent="0.25">
      <c r="B1864">
        <f>_xlfn.XLOOKUP($A1864,Load!$B:$B,Load!C:C,0,)</f>
        <v>0</v>
      </c>
      <c r="C1864">
        <f>_xlfn.XLOOKUP($A1864,Load!$B:$B,Load!D:D,0,)</f>
        <v>0</v>
      </c>
      <c r="D1864">
        <f>_xlfn.XLOOKUP($A1864,Load!$B:$B,Load!E:E,0,)</f>
        <v>0</v>
      </c>
      <c r="E1864">
        <f>_xlfn.XLOOKUP($A1864,Load!$B:$B,Load!F:F,0,)</f>
        <v>0</v>
      </c>
      <c r="F1864">
        <f>_xlfn.XLOOKUP($A1864,Load!$B:$B,Load!G:G,0,)</f>
        <v>0</v>
      </c>
      <c r="G1864">
        <f>_xlfn.XLOOKUP($A1864,Load!$B:$B,Load!H:H,0,)</f>
        <v>0</v>
      </c>
      <c r="H1864">
        <f>_xlfn.XLOOKUP($A1864,Load!$B:$B,Load!I:I,0,)</f>
        <v>0</v>
      </c>
      <c r="I1864">
        <f>_xlfn.XLOOKUP($A1864,Load!$B:$B,Load!J:J,0,)</f>
        <v>0</v>
      </c>
      <c r="J1864">
        <f>_xlfn.XLOOKUP($A1864,Load!$B:$B,Load!K:K,0,)</f>
        <v>0</v>
      </c>
      <c r="K1864">
        <f>_xlfn.XLOOKUP($A1864,Load!$B:$B,Load!L:L,0,)</f>
        <v>0</v>
      </c>
      <c r="L1864">
        <f>_xlfn.XLOOKUP($A1864,Load!$B:$B,Load!M:M,0,)</f>
        <v>0</v>
      </c>
    </row>
    <row r="1865" spans="1:12" x14ac:dyDescent="0.25">
      <c r="B1865">
        <f>_xlfn.XLOOKUP($A1865,Load!$B:$B,Load!C:C,0,)</f>
        <v>0</v>
      </c>
      <c r="C1865">
        <f>_xlfn.XLOOKUP($A1865,Load!$B:$B,Load!D:D,0,)</f>
        <v>0</v>
      </c>
      <c r="D1865">
        <f>_xlfn.XLOOKUP($A1865,Load!$B:$B,Load!E:E,0,)</f>
        <v>0</v>
      </c>
      <c r="E1865">
        <f>_xlfn.XLOOKUP($A1865,Load!$B:$B,Load!F:F,0,)</f>
        <v>0</v>
      </c>
      <c r="F1865">
        <f>_xlfn.XLOOKUP($A1865,Load!$B:$B,Load!G:G,0,)</f>
        <v>0</v>
      </c>
      <c r="G1865">
        <f>_xlfn.XLOOKUP($A1865,Load!$B:$B,Load!H:H,0,)</f>
        <v>0</v>
      </c>
      <c r="H1865">
        <f>_xlfn.XLOOKUP($A1865,Load!$B:$B,Load!I:I,0,)</f>
        <v>0</v>
      </c>
      <c r="I1865">
        <f>_xlfn.XLOOKUP($A1865,Load!$B:$B,Load!J:J,0,)</f>
        <v>0</v>
      </c>
      <c r="J1865">
        <f>_xlfn.XLOOKUP($A1865,Load!$B:$B,Load!K:K,0,)</f>
        <v>0</v>
      </c>
      <c r="K1865">
        <f>_xlfn.XLOOKUP($A1865,Load!$B:$B,Load!L:L,0,)</f>
        <v>0</v>
      </c>
      <c r="L1865">
        <f>_xlfn.XLOOKUP($A1865,Load!$B:$B,Load!M:M,0,)</f>
        <v>0</v>
      </c>
    </row>
    <row r="1866" spans="1:12" x14ac:dyDescent="0.25">
      <c r="A1866" t="s">
        <v>121</v>
      </c>
      <c r="B1866" t="str">
        <f>_xlfn.XLOOKUP($A1866,Load!$B:$B,Load!C:C,0,)</f>
        <v>HARIBO</v>
      </c>
      <c r="C1866" t="str">
        <f>_xlfn.XLOOKUP($A1866,Load!$B:$B,Load!D:D,0,)</f>
        <v>Non-Chocolate Candy Only</v>
      </c>
      <c r="D1866" t="str">
        <f>_xlfn.XLOOKUP($A1866,Load!$B:$B,Load!E:E,0,)</f>
        <v>Variety / Mixed Flavors (Fruity, Sour, Seasonal Flavors)</v>
      </c>
      <c r="E1866" t="str">
        <f>_xlfn.XLOOKUP($A1866,Load!$B:$B,Load!F:F,0,)</f>
        <v>Gummy</v>
      </c>
      <c r="F1866" t="str">
        <f>_xlfn.XLOOKUP($A1866,Load!$B:$B,Load!G:G,0,)</f>
        <v>Large Multipack (More than 80 ct)</v>
      </c>
      <c r="G1866" t="str">
        <f>_xlfn.XLOOKUP($A1866,Load!$B:$B,Load!H:H,0,)</f>
        <v>Stand-Up Bag</v>
      </c>
      <c r="H1866" t="str">
        <f>_xlfn.XLOOKUP($A1866,Load!$B:$B,Load!I:I,0,)</f>
        <v>Seasonal Shapes (like pumpkins, candy corn, ghost, bats, etc.)</v>
      </c>
      <c r="I1866" t="str">
        <f>_xlfn.XLOOKUP($A1866,Load!$B:$B,Load!J:J,0,)</f>
        <v>Seasonal Graphics (Like Bat, Ghost, Pumpkin, Fall Leaves, Eyeballs, etc.)</v>
      </c>
      <c r="J1866" t="str">
        <f>_xlfn.XLOOKUP($A1866,Load!$B:$B,Load!K:K,0,)</f>
        <v>Fun Size / Treat Size</v>
      </c>
      <c r="K1866" t="str">
        <f>_xlfn.XLOOKUP($A1866,Load!$B:$B,Load!L:L,0,)</f>
        <v>Regular/Original Wrapping</v>
      </c>
      <c r="L1866" t="str">
        <f>_xlfn.XLOOKUP($A1866,Load!$B:$B,Load!M:M,0,)</f>
        <v>Multiple Brands / Variety Flavors or Form</v>
      </c>
    </row>
    <row r="1867" spans="1:12" x14ac:dyDescent="0.25">
      <c r="B1867">
        <f>_xlfn.XLOOKUP($A1867,Load!$B:$B,Load!C:C,0,)</f>
        <v>0</v>
      </c>
      <c r="C1867">
        <f>_xlfn.XLOOKUP($A1867,Load!$B:$B,Load!D:D,0,)</f>
        <v>0</v>
      </c>
      <c r="D1867">
        <f>_xlfn.XLOOKUP($A1867,Load!$B:$B,Load!E:E,0,)</f>
        <v>0</v>
      </c>
      <c r="E1867">
        <f>_xlfn.XLOOKUP($A1867,Load!$B:$B,Load!F:F,0,)</f>
        <v>0</v>
      </c>
      <c r="F1867">
        <f>_xlfn.XLOOKUP($A1867,Load!$B:$B,Load!G:G,0,)</f>
        <v>0</v>
      </c>
      <c r="G1867">
        <f>_xlfn.XLOOKUP($A1867,Load!$B:$B,Load!H:H,0,)</f>
        <v>0</v>
      </c>
      <c r="H1867">
        <f>_xlfn.XLOOKUP($A1867,Load!$B:$B,Load!I:I,0,)</f>
        <v>0</v>
      </c>
      <c r="I1867">
        <f>_xlfn.XLOOKUP($A1867,Load!$B:$B,Load!J:J,0,)</f>
        <v>0</v>
      </c>
      <c r="J1867">
        <f>_xlfn.XLOOKUP($A1867,Load!$B:$B,Load!K:K,0,)</f>
        <v>0</v>
      </c>
      <c r="K1867">
        <f>_xlfn.XLOOKUP($A1867,Load!$B:$B,Load!L:L,0,)</f>
        <v>0</v>
      </c>
      <c r="L1867">
        <f>_xlfn.XLOOKUP($A1867,Load!$B:$B,Load!M:M,0,)</f>
        <v>0</v>
      </c>
    </row>
    <row r="1868" spans="1:12" x14ac:dyDescent="0.25">
      <c r="B1868">
        <f>_xlfn.XLOOKUP($A1868,Load!$B:$B,Load!C:C,0,)</f>
        <v>0</v>
      </c>
      <c r="C1868">
        <f>_xlfn.XLOOKUP($A1868,Load!$B:$B,Load!D:D,0,)</f>
        <v>0</v>
      </c>
      <c r="D1868">
        <f>_xlfn.XLOOKUP($A1868,Load!$B:$B,Load!E:E,0,)</f>
        <v>0</v>
      </c>
      <c r="E1868">
        <f>_xlfn.XLOOKUP($A1868,Load!$B:$B,Load!F:F,0,)</f>
        <v>0</v>
      </c>
      <c r="F1868">
        <f>_xlfn.XLOOKUP($A1868,Load!$B:$B,Load!G:G,0,)</f>
        <v>0</v>
      </c>
      <c r="G1868">
        <f>_xlfn.XLOOKUP($A1868,Load!$B:$B,Load!H:H,0,)</f>
        <v>0</v>
      </c>
      <c r="H1868">
        <f>_xlfn.XLOOKUP($A1868,Load!$B:$B,Load!I:I,0,)</f>
        <v>0</v>
      </c>
      <c r="I1868">
        <f>_xlfn.XLOOKUP($A1868,Load!$B:$B,Load!J:J,0,)</f>
        <v>0</v>
      </c>
      <c r="J1868">
        <f>_xlfn.XLOOKUP($A1868,Load!$B:$B,Load!K:K,0,)</f>
        <v>0</v>
      </c>
      <c r="K1868">
        <f>_xlfn.XLOOKUP($A1868,Load!$B:$B,Load!L:L,0,)</f>
        <v>0</v>
      </c>
      <c r="L1868">
        <f>_xlfn.XLOOKUP($A1868,Load!$B:$B,Load!M:M,0,)</f>
        <v>0</v>
      </c>
    </row>
    <row r="1869" spans="1:12" x14ac:dyDescent="0.25">
      <c r="B1869">
        <f>_xlfn.XLOOKUP($A1869,Load!$B:$B,Load!C:C,0,)</f>
        <v>0</v>
      </c>
      <c r="C1869">
        <f>_xlfn.XLOOKUP($A1869,Load!$B:$B,Load!D:D,0,)</f>
        <v>0</v>
      </c>
      <c r="D1869">
        <f>_xlfn.XLOOKUP($A1869,Load!$B:$B,Load!E:E,0,)</f>
        <v>0</v>
      </c>
      <c r="E1869">
        <f>_xlfn.XLOOKUP($A1869,Load!$B:$B,Load!F:F,0,)</f>
        <v>0</v>
      </c>
      <c r="F1869">
        <f>_xlfn.XLOOKUP($A1869,Load!$B:$B,Load!G:G,0,)</f>
        <v>0</v>
      </c>
      <c r="G1869">
        <f>_xlfn.XLOOKUP($A1869,Load!$B:$B,Load!H:H,0,)</f>
        <v>0</v>
      </c>
      <c r="H1869">
        <f>_xlfn.XLOOKUP($A1869,Load!$B:$B,Load!I:I,0,)</f>
        <v>0</v>
      </c>
      <c r="I1869">
        <f>_xlfn.XLOOKUP($A1869,Load!$B:$B,Load!J:J,0,)</f>
        <v>0</v>
      </c>
      <c r="J1869">
        <f>_xlfn.XLOOKUP($A1869,Load!$B:$B,Load!K:K,0,)</f>
        <v>0</v>
      </c>
      <c r="K1869">
        <f>_xlfn.XLOOKUP($A1869,Load!$B:$B,Load!L:L,0,)</f>
        <v>0</v>
      </c>
      <c r="L1869">
        <f>_xlfn.XLOOKUP($A1869,Load!$B:$B,Load!M:M,0,)</f>
        <v>0</v>
      </c>
    </row>
    <row r="1870" spans="1:12" x14ac:dyDescent="0.25">
      <c r="A1870" t="s">
        <v>227</v>
      </c>
      <c r="B1870" t="str">
        <f>_xlfn.XLOOKUP($A1870,Load!$B:$B,Load!C:C,0,)</f>
        <v>Nerds</v>
      </c>
      <c r="C1870" t="str">
        <f>_xlfn.XLOOKUP($A1870,Load!$B:$B,Load!D:D,0,)</f>
        <v>Non-Chocolate Candy Only</v>
      </c>
      <c r="D1870" t="str">
        <f>_xlfn.XLOOKUP($A1870,Load!$B:$B,Load!E:E,0,)</f>
        <v>Sweet</v>
      </c>
      <c r="E1870" t="str">
        <f>_xlfn.XLOOKUP($A1870,Load!$B:$B,Load!F:F,0,)</f>
        <v>Chewy</v>
      </c>
      <c r="F1870" t="str">
        <f>_xlfn.XLOOKUP($A1870,Load!$B:$B,Load!G:G,0,)</f>
        <v>Single Pack</v>
      </c>
      <c r="G1870" t="str">
        <f>_xlfn.XLOOKUP($A1870,Load!$B:$B,Load!H:H,0,)</f>
        <v>Laydown Bag</v>
      </c>
      <c r="H1870" t="str">
        <f>_xlfn.XLOOKUP($A1870,Load!$B:$B,Load!I:I,0,)</f>
        <v>Seasonal Shapes (like pumpkins, candy corn, ghost, bats, etc.)</v>
      </c>
      <c r="I1870" t="str">
        <f>_xlfn.XLOOKUP($A1870,Load!$B:$B,Load!J:J,0,)</f>
        <v>Seasonal Graphics (Like Bat, Ghost, Pumpkin, Fall Leaves, Eyeballs, etc.)</v>
      </c>
      <c r="J1870" t="str">
        <f>_xlfn.XLOOKUP($A1870,Load!$B:$B,Load!K:K,0,)</f>
        <v>Small Pieces (Tiny bite size candies)</v>
      </c>
      <c r="K1870" t="str">
        <f>_xlfn.XLOOKUP($A1870,Load!$B:$B,Load!L:L,0,)</f>
        <v>Unwrapped</v>
      </c>
      <c r="L1870" t="str">
        <f>_xlfn.XLOOKUP($A1870,Load!$B:$B,Load!M:M,0,)</f>
        <v>Single Brand / Variety Flavors or Form</v>
      </c>
    </row>
    <row r="1871" spans="1:12" x14ac:dyDescent="0.25">
      <c r="B1871">
        <f>_xlfn.XLOOKUP($A1871,Load!$B:$B,Load!C:C,0,)</f>
        <v>0</v>
      </c>
      <c r="C1871">
        <f>_xlfn.XLOOKUP($A1871,Load!$B:$B,Load!D:D,0,)</f>
        <v>0</v>
      </c>
      <c r="D1871">
        <f>_xlfn.XLOOKUP($A1871,Load!$B:$B,Load!E:E,0,)</f>
        <v>0</v>
      </c>
      <c r="E1871">
        <f>_xlfn.XLOOKUP($A1871,Load!$B:$B,Load!F:F,0,)</f>
        <v>0</v>
      </c>
      <c r="F1871">
        <f>_xlfn.XLOOKUP($A1871,Load!$B:$B,Load!G:G,0,)</f>
        <v>0</v>
      </c>
      <c r="G1871">
        <f>_xlfn.XLOOKUP($A1871,Load!$B:$B,Load!H:H,0,)</f>
        <v>0</v>
      </c>
      <c r="H1871">
        <f>_xlfn.XLOOKUP($A1871,Load!$B:$B,Load!I:I,0,)</f>
        <v>0</v>
      </c>
      <c r="I1871">
        <f>_xlfn.XLOOKUP($A1871,Load!$B:$B,Load!J:J,0,)</f>
        <v>0</v>
      </c>
      <c r="J1871">
        <f>_xlfn.XLOOKUP($A1871,Load!$B:$B,Load!K:K,0,)</f>
        <v>0</v>
      </c>
      <c r="K1871">
        <f>_xlfn.XLOOKUP($A1871,Load!$B:$B,Load!L:L,0,)</f>
        <v>0</v>
      </c>
      <c r="L1871">
        <f>_xlfn.XLOOKUP($A1871,Load!$B:$B,Load!M:M,0,)</f>
        <v>0</v>
      </c>
    </row>
    <row r="1872" spans="1:12" x14ac:dyDescent="0.25">
      <c r="A1872" t="s">
        <v>200</v>
      </c>
      <c r="B1872" t="str">
        <f>_xlfn.XLOOKUP($A1872,Load!$B:$B,Load!C:C,0,)</f>
        <v>Mars Variety Pack</v>
      </c>
      <c r="C1872" t="str">
        <f>_xlfn.XLOOKUP($A1872,Load!$B:$B,Load!D:D,0,)</f>
        <v>Non-Chocolate Candy Only</v>
      </c>
      <c r="D1872" t="str">
        <f>_xlfn.XLOOKUP($A1872,Load!$B:$B,Load!E:E,0,)</f>
        <v>Variety / Mixed Flavors (Fruity, Sour, Seasonal Flavors)</v>
      </c>
      <c r="E1872" t="str">
        <f>_xlfn.XLOOKUP($A1872,Load!$B:$B,Load!F:F,0,)</f>
        <v>Mixed / Combo Packs (Gummy, Chewy, Taffy, etc.)</v>
      </c>
      <c r="F1872" t="str">
        <f>_xlfn.XLOOKUP($A1872,Load!$B:$B,Load!G:G,0,)</f>
        <v>Small Multipack (Less than 40 ct)</v>
      </c>
      <c r="G1872" t="str">
        <f>_xlfn.XLOOKUP($A1872,Load!$B:$B,Load!H:H,0,)</f>
        <v>Box (theatre box, gift box, carton)</v>
      </c>
      <c r="H1872" t="str">
        <f>_xlfn.XLOOKUP($A1872,Load!$B:$B,Load!I:I,0,)</f>
        <v>Everyday Candy Shapes (like Original, Gummy bear, Fruit, Jewels, etc.)</v>
      </c>
      <c r="I1872" t="str">
        <f>_xlfn.XLOOKUP($A1872,Load!$B:$B,Load!J:J,0,)</f>
        <v>Seasonal Graphics (Like Bat, Ghost, Pumpkin, Fall Leaves, Eyeballs, etc.)</v>
      </c>
      <c r="J1872" t="str">
        <f>_xlfn.XLOOKUP($A1872,Load!$B:$B,Load!K:K,0,)</f>
        <v>Small Pieces (Tiny bite size candies)</v>
      </c>
      <c r="K1872" t="str">
        <f>_xlfn.XLOOKUP($A1872,Load!$B:$B,Load!L:L,0,)</f>
        <v>Regular/Original Wrapping</v>
      </c>
      <c r="L1872" t="str">
        <f>_xlfn.XLOOKUP($A1872,Load!$B:$B,Load!M:M,0,)</f>
        <v>Multiple Brands / Variety Flavors or Form</v>
      </c>
    </row>
    <row r="1873" spans="1:12" x14ac:dyDescent="0.25">
      <c r="B1873">
        <f>_xlfn.XLOOKUP($A1873,Load!$B:$B,Load!C:C,0,)</f>
        <v>0</v>
      </c>
      <c r="C1873">
        <f>_xlfn.XLOOKUP($A1873,Load!$B:$B,Load!D:D,0,)</f>
        <v>0</v>
      </c>
      <c r="D1873">
        <f>_xlfn.XLOOKUP($A1873,Load!$B:$B,Load!E:E,0,)</f>
        <v>0</v>
      </c>
      <c r="E1873">
        <f>_xlfn.XLOOKUP($A1873,Load!$B:$B,Load!F:F,0,)</f>
        <v>0</v>
      </c>
      <c r="F1873">
        <f>_xlfn.XLOOKUP($A1873,Load!$B:$B,Load!G:G,0,)</f>
        <v>0</v>
      </c>
      <c r="G1873">
        <f>_xlfn.XLOOKUP($A1873,Load!$B:$B,Load!H:H,0,)</f>
        <v>0</v>
      </c>
      <c r="H1873">
        <f>_xlfn.XLOOKUP($A1873,Load!$B:$B,Load!I:I,0,)</f>
        <v>0</v>
      </c>
      <c r="I1873">
        <f>_xlfn.XLOOKUP($A1873,Load!$B:$B,Load!J:J,0,)</f>
        <v>0</v>
      </c>
      <c r="J1873">
        <f>_xlfn.XLOOKUP($A1873,Load!$B:$B,Load!K:K,0,)</f>
        <v>0</v>
      </c>
      <c r="K1873">
        <f>_xlfn.XLOOKUP($A1873,Load!$B:$B,Load!L:L,0,)</f>
        <v>0</v>
      </c>
      <c r="L1873">
        <f>_xlfn.XLOOKUP($A1873,Load!$B:$B,Load!M:M,0,)</f>
        <v>0</v>
      </c>
    </row>
    <row r="1874" spans="1:12" x14ac:dyDescent="0.25">
      <c r="B1874">
        <f>_xlfn.XLOOKUP($A1874,Load!$B:$B,Load!C:C,0,)</f>
        <v>0</v>
      </c>
      <c r="C1874">
        <f>_xlfn.XLOOKUP($A1874,Load!$B:$B,Load!D:D,0,)</f>
        <v>0</v>
      </c>
      <c r="D1874">
        <f>_xlfn.XLOOKUP($A1874,Load!$B:$B,Load!E:E,0,)</f>
        <v>0</v>
      </c>
      <c r="E1874">
        <f>_xlfn.XLOOKUP($A1874,Load!$B:$B,Load!F:F,0,)</f>
        <v>0</v>
      </c>
      <c r="F1874">
        <f>_xlfn.XLOOKUP($A1874,Load!$B:$B,Load!G:G,0,)</f>
        <v>0</v>
      </c>
      <c r="G1874">
        <f>_xlfn.XLOOKUP($A1874,Load!$B:$B,Load!H:H,0,)</f>
        <v>0</v>
      </c>
      <c r="H1874">
        <f>_xlfn.XLOOKUP($A1874,Load!$B:$B,Load!I:I,0,)</f>
        <v>0</v>
      </c>
      <c r="I1874">
        <f>_xlfn.XLOOKUP($A1874,Load!$B:$B,Load!J:J,0,)</f>
        <v>0</v>
      </c>
      <c r="J1874">
        <f>_xlfn.XLOOKUP($A1874,Load!$B:$B,Load!K:K,0,)</f>
        <v>0</v>
      </c>
      <c r="K1874">
        <f>_xlfn.XLOOKUP($A1874,Load!$B:$B,Load!L:L,0,)</f>
        <v>0</v>
      </c>
      <c r="L1874">
        <f>_xlfn.XLOOKUP($A1874,Load!$B:$B,Load!M:M,0,)</f>
        <v>0</v>
      </c>
    </row>
    <row r="1875" spans="1:12" x14ac:dyDescent="0.25">
      <c r="B1875">
        <f>_xlfn.XLOOKUP($A1875,Load!$B:$B,Load!C:C,0,)</f>
        <v>0</v>
      </c>
      <c r="C1875">
        <f>_xlfn.XLOOKUP($A1875,Load!$B:$B,Load!D:D,0,)</f>
        <v>0</v>
      </c>
      <c r="D1875">
        <f>_xlfn.XLOOKUP($A1875,Load!$B:$B,Load!E:E,0,)</f>
        <v>0</v>
      </c>
      <c r="E1875">
        <f>_xlfn.XLOOKUP($A1875,Load!$B:$B,Load!F:F,0,)</f>
        <v>0</v>
      </c>
      <c r="F1875">
        <f>_xlfn.XLOOKUP($A1875,Load!$B:$B,Load!G:G,0,)</f>
        <v>0</v>
      </c>
      <c r="G1875">
        <f>_xlfn.XLOOKUP($A1875,Load!$B:$B,Load!H:H,0,)</f>
        <v>0</v>
      </c>
      <c r="H1875">
        <f>_xlfn.XLOOKUP($A1875,Load!$B:$B,Load!I:I,0,)</f>
        <v>0</v>
      </c>
      <c r="I1875">
        <f>_xlfn.XLOOKUP($A1875,Load!$B:$B,Load!J:J,0,)</f>
        <v>0</v>
      </c>
      <c r="J1875">
        <f>_xlfn.XLOOKUP($A1875,Load!$B:$B,Load!K:K,0,)</f>
        <v>0</v>
      </c>
      <c r="K1875">
        <f>_xlfn.XLOOKUP($A1875,Load!$B:$B,Load!L:L,0,)</f>
        <v>0</v>
      </c>
      <c r="L1875">
        <f>_xlfn.XLOOKUP($A1875,Load!$B:$B,Load!M:M,0,)</f>
        <v>0</v>
      </c>
    </row>
    <row r="1876" spans="1:12" x14ac:dyDescent="0.25">
      <c r="B1876">
        <f>_xlfn.XLOOKUP($A1876,Load!$B:$B,Load!C:C,0,)</f>
        <v>0</v>
      </c>
      <c r="C1876">
        <f>_xlfn.XLOOKUP($A1876,Load!$B:$B,Load!D:D,0,)</f>
        <v>0</v>
      </c>
      <c r="D1876">
        <f>_xlfn.XLOOKUP($A1876,Load!$B:$B,Load!E:E,0,)</f>
        <v>0</v>
      </c>
      <c r="E1876">
        <f>_xlfn.XLOOKUP($A1876,Load!$B:$B,Load!F:F,0,)</f>
        <v>0</v>
      </c>
      <c r="F1876">
        <f>_xlfn.XLOOKUP($A1876,Load!$B:$B,Load!G:G,0,)</f>
        <v>0</v>
      </c>
      <c r="G1876">
        <f>_xlfn.XLOOKUP($A1876,Load!$B:$B,Load!H:H,0,)</f>
        <v>0</v>
      </c>
      <c r="H1876">
        <f>_xlfn.XLOOKUP($A1876,Load!$B:$B,Load!I:I,0,)</f>
        <v>0</v>
      </c>
      <c r="I1876">
        <f>_xlfn.XLOOKUP($A1876,Load!$B:$B,Load!J:J,0,)</f>
        <v>0</v>
      </c>
      <c r="J1876">
        <f>_xlfn.XLOOKUP($A1876,Load!$B:$B,Load!K:K,0,)</f>
        <v>0</v>
      </c>
      <c r="K1876">
        <f>_xlfn.XLOOKUP($A1876,Load!$B:$B,Load!L:L,0,)</f>
        <v>0</v>
      </c>
      <c r="L1876">
        <f>_xlfn.XLOOKUP($A1876,Load!$B:$B,Load!M:M,0,)</f>
        <v>0</v>
      </c>
    </row>
    <row r="1877" spans="1:12" x14ac:dyDescent="0.25">
      <c r="B1877">
        <f>_xlfn.XLOOKUP($A1877,Load!$B:$B,Load!C:C,0,)</f>
        <v>0</v>
      </c>
      <c r="C1877">
        <f>_xlfn.XLOOKUP($A1877,Load!$B:$B,Load!D:D,0,)</f>
        <v>0</v>
      </c>
      <c r="D1877">
        <f>_xlfn.XLOOKUP($A1877,Load!$B:$B,Load!E:E,0,)</f>
        <v>0</v>
      </c>
      <c r="E1877">
        <f>_xlfn.XLOOKUP($A1877,Load!$B:$B,Load!F:F,0,)</f>
        <v>0</v>
      </c>
      <c r="F1877">
        <f>_xlfn.XLOOKUP($A1877,Load!$B:$B,Load!G:G,0,)</f>
        <v>0</v>
      </c>
      <c r="G1877">
        <f>_xlfn.XLOOKUP($A1877,Load!$B:$B,Load!H:H,0,)</f>
        <v>0</v>
      </c>
      <c r="H1877">
        <f>_xlfn.XLOOKUP($A1877,Load!$B:$B,Load!I:I,0,)</f>
        <v>0</v>
      </c>
      <c r="I1877">
        <f>_xlfn.XLOOKUP($A1877,Load!$B:$B,Load!J:J,0,)</f>
        <v>0</v>
      </c>
      <c r="J1877">
        <f>_xlfn.XLOOKUP($A1877,Load!$B:$B,Load!K:K,0,)</f>
        <v>0</v>
      </c>
      <c r="K1877">
        <f>_xlfn.XLOOKUP($A1877,Load!$B:$B,Load!L:L,0,)</f>
        <v>0</v>
      </c>
      <c r="L1877">
        <f>_xlfn.XLOOKUP($A1877,Load!$B:$B,Load!M:M,0,)</f>
        <v>0</v>
      </c>
    </row>
    <row r="1878" spans="1:12" x14ac:dyDescent="0.25">
      <c r="B1878">
        <f>_xlfn.XLOOKUP($A1878,Load!$B:$B,Load!C:C,0,)</f>
        <v>0</v>
      </c>
      <c r="C1878">
        <f>_xlfn.XLOOKUP($A1878,Load!$B:$B,Load!D:D,0,)</f>
        <v>0</v>
      </c>
      <c r="D1878">
        <f>_xlfn.XLOOKUP($A1878,Load!$B:$B,Load!E:E,0,)</f>
        <v>0</v>
      </c>
      <c r="E1878">
        <f>_xlfn.XLOOKUP($A1878,Load!$B:$B,Load!F:F,0,)</f>
        <v>0</v>
      </c>
      <c r="F1878">
        <f>_xlfn.XLOOKUP($A1878,Load!$B:$B,Load!G:G,0,)</f>
        <v>0</v>
      </c>
      <c r="G1878">
        <f>_xlfn.XLOOKUP($A1878,Load!$B:$B,Load!H:H,0,)</f>
        <v>0</v>
      </c>
      <c r="H1878">
        <f>_xlfn.XLOOKUP($A1878,Load!$B:$B,Load!I:I,0,)</f>
        <v>0</v>
      </c>
      <c r="I1878">
        <f>_xlfn.XLOOKUP($A1878,Load!$B:$B,Load!J:J,0,)</f>
        <v>0</v>
      </c>
      <c r="J1878">
        <f>_xlfn.XLOOKUP($A1878,Load!$B:$B,Load!K:K,0,)</f>
        <v>0</v>
      </c>
      <c r="K1878">
        <f>_xlfn.XLOOKUP($A1878,Load!$B:$B,Load!L:L,0,)</f>
        <v>0</v>
      </c>
      <c r="L1878">
        <f>_xlfn.XLOOKUP($A1878,Load!$B:$B,Load!M:M,0,)</f>
        <v>0</v>
      </c>
    </row>
    <row r="1879" spans="1:12" x14ac:dyDescent="0.25">
      <c r="B1879">
        <f>_xlfn.XLOOKUP($A1879,Load!$B:$B,Load!C:C,0,)</f>
        <v>0</v>
      </c>
      <c r="C1879">
        <f>_xlfn.XLOOKUP($A1879,Load!$B:$B,Load!D:D,0,)</f>
        <v>0</v>
      </c>
      <c r="D1879">
        <f>_xlfn.XLOOKUP($A1879,Load!$B:$B,Load!E:E,0,)</f>
        <v>0</v>
      </c>
      <c r="E1879">
        <f>_xlfn.XLOOKUP($A1879,Load!$B:$B,Load!F:F,0,)</f>
        <v>0</v>
      </c>
      <c r="F1879">
        <f>_xlfn.XLOOKUP($A1879,Load!$B:$B,Load!G:G,0,)</f>
        <v>0</v>
      </c>
      <c r="G1879">
        <f>_xlfn.XLOOKUP($A1879,Load!$B:$B,Load!H:H,0,)</f>
        <v>0</v>
      </c>
      <c r="H1879">
        <f>_xlfn.XLOOKUP($A1879,Load!$B:$B,Load!I:I,0,)</f>
        <v>0</v>
      </c>
      <c r="I1879">
        <f>_xlfn.XLOOKUP($A1879,Load!$B:$B,Load!J:J,0,)</f>
        <v>0</v>
      </c>
      <c r="J1879">
        <f>_xlfn.XLOOKUP($A1879,Load!$B:$B,Load!K:K,0,)</f>
        <v>0</v>
      </c>
      <c r="K1879">
        <f>_xlfn.XLOOKUP($A1879,Load!$B:$B,Load!L:L,0,)</f>
        <v>0</v>
      </c>
      <c r="L1879">
        <f>_xlfn.XLOOKUP($A1879,Load!$B:$B,Load!M:M,0,)</f>
        <v>0</v>
      </c>
    </row>
    <row r="1880" spans="1:12" x14ac:dyDescent="0.25">
      <c r="A1880" t="s">
        <v>124</v>
      </c>
      <c r="B1880" t="str">
        <f>_xlfn.XLOOKUP($A1880,Load!$B:$B,Load!C:C,0,)</f>
        <v>HARIBO</v>
      </c>
      <c r="C1880" t="str">
        <f>_xlfn.XLOOKUP($A1880,Load!$B:$B,Load!D:D,0,)</f>
        <v>Non-Chocolate Candy Only</v>
      </c>
      <c r="D1880" t="str">
        <f>_xlfn.XLOOKUP($A1880,Load!$B:$B,Load!E:E,0,)</f>
        <v>Fruit Flavor (Cherry, Grape, Apple, Citrus, Tropical Fruit)</v>
      </c>
      <c r="E1880" t="str">
        <f>_xlfn.XLOOKUP($A1880,Load!$B:$B,Load!F:F,0,)</f>
        <v>Gummy</v>
      </c>
      <c r="F1880" t="str">
        <f>_xlfn.XLOOKUP($A1880,Load!$B:$B,Load!G:G,0,)</f>
        <v>Small Multipack (Less than 40 ct)</v>
      </c>
      <c r="G1880" t="str">
        <f>_xlfn.XLOOKUP($A1880,Load!$B:$B,Load!H:H,0,)</f>
        <v>Laydown Bag</v>
      </c>
      <c r="H1880" t="str">
        <f>_xlfn.XLOOKUP($A1880,Load!$B:$B,Load!I:I,0,)</f>
        <v>Everyday Candy Shapes (like Original, Gummy bear, Fruit, Jewels, etc.)</v>
      </c>
      <c r="I1880" t="str">
        <f>_xlfn.XLOOKUP($A1880,Load!$B:$B,Load!J:J,0,)</f>
        <v>Everyday Graphics</v>
      </c>
      <c r="J1880" t="str">
        <f>_xlfn.XLOOKUP($A1880,Load!$B:$B,Load!K:K,0,)</f>
        <v>Small Pieces (Tiny bite size candies)</v>
      </c>
      <c r="K1880" t="str">
        <f>_xlfn.XLOOKUP($A1880,Load!$B:$B,Load!L:L,0,)</f>
        <v>Regular/Original Wrapping</v>
      </c>
      <c r="L1880" t="str">
        <f>_xlfn.XLOOKUP($A1880,Load!$B:$B,Load!M:M,0,)</f>
        <v>Single Brand / Variety Flavors or Form</v>
      </c>
    </row>
    <row r="1881" spans="1:12" x14ac:dyDescent="0.25">
      <c r="A1881" t="s">
        <v>304</v>
      </c>
      <c r="B1881" t="str">
        <f>_xlfn.XLOOKUP($A1881,Load!$B:$B,Load!C:C,0,)</f>
        <v>Warheads</v>
      </c>
      <c r="C1881" t="str">
        <f>_xlfn.XLOOKUP($A1881,Load!$B:$B,Load!D:D,0,)</f>
        <v>Non-Chocolate Candy Only</v>
      </c>
      <c r="D1881" t="str">
        <f>_xlfn.XLOOKUP($A1881,Load!$B:$B,Load!E:E,0,)</f>
        <v>Sour</v>
      </c>
      <c r="E1881" t="str">
        <f>_xlfn.XLOOKUP($A1881,Load!$B:$B,Load!F:F,0,)</f>
        <v>Chewy</v>
      </c>
      <c r="F1881" t="str">
        <f>_xlfn.XLOOKUP($A1881,Load!$B:$B,Load!G:G,0,)</f>
        <v>Medium Multipack (40–80 ct)</v>
      </c>
      <c r="G1881" t="str">
        <f>_xlfn.XLOOKUP($A1881,Load!$B:$B,Load!H:H,0,)</f>
        <v>Laydown Bag</v>
      </c>
      <c r="H1881" t="str">
        <f>_xlfn.XLOOKUP($A1881,Load!$B:$B,Load!I:I,0,)</f>
        <v>Everyday Candy Shapes (like Original, Gummy bear, Fruit, Jewels, etc.)</v>
      </c>
      <c r="I1881" t="str">
        <f>_xlfn.XLOOKUP($A1881,Load!$B:$B,Load!J:J,0,)</f>
        <v>Seasonal Graphics (Like Bat, Ghost, Pumpkin, Fall Leaves, Eyeballs, etc.)</v>
      </c>
      <c r="J1881" t="str">
        <f>_xlfn.XLOOKUP($A1881,Load!$B:$B,Load!K:K,0,)</f>
        <v>Fun Size / Treat Size</v>
      </c>
      <c r="K1881" t="str">
        <f>_xlfn.XLOOKUP($A1881,Load!$B:$B,Load!L:L,0,)</f>
        <v>Regular/Original Wrapping</v>
      </c>
      <c r="L1881" t="str">
        <f>_xlfn.XLOOKUP($A1881,Load!$B:$B,Load!M:M,0,)</f>
        <v>Single Brand / Single Flavor or Form</v>
      </c>
    </row>
    <row r="1882" spans="1:12" x14ac:dyDescent="0.25">
      <c r="B1882">
        <f>_xlfn.XLOOKUP($A1882,Load!$B:$B,Load!C:C,0,)</f>
        <v>0</v>
      </c>
      <c r="C1882">
        <f>_xlfn.XLOOKUP($A1882,Load!$B:$B,Load!D:D,0,)</f>
        <v>0</v>
      </c>
      <c r="D1882">
        <f>_xlfn.XLOOKUP($A1882,Load!$B:$B,Load!E:E,0,)</f>
        <v>0</v>
      </c>
      <c r="E1882">
        <f>_xlfn.XLOOKUP($A1882,Load!$B:$B,Load!F:F,0,)</f>
        <v>0</v>
      </c>
      <c r="F1882">
        <f>_xlfn.XLOOKUP($A1882,Load!$B:$B,Load!G:G,0,)</f>
        <v>0</v>
      </c>
      <c r="G1882">
        <f>_xlfn.XLOOKUP($A1882,Load!$B:$B,Load!H:H,0,)</f>
        <v>0</v>
      </c>
      <c r="H1882">
        <f>_xlfn.XLOOKUP($A1882,Load!$B:$B,Load!I:I,0,)</f>
        <v>0</v>
      </c>
      <c r="I1882">
        <f>_xlfn.XLOOKUP($A1882,Load!$B:$B,Load!J:J,0,)</f>
        <v>0</v>
      </c>
      <c r="J1882">
        <f>_xlfn.XLOOKUP($A1882,Load!$B:$B,Load!K:K,0,)</f>
        <v>0</v>
      </c>
      <c r="K1882">
        <f>_xlfn.XLOOKUP($A1882,Load!$B:$B,Load!L:L,0,)</f>
        <v>0</v>
      </c>
      <c r="L1882">
        <f>_xlfn.XLOOKUP($A1882,Load!$B:$B,Load!M:M,0,)</f>
        <v>0</v>
      </c>
    </row>
    <row r="1883" spans="1:12" x14ac:dyDescent="0.25">
      <c r="B1883">
        <f>_xlfn.XLOOKUP($A1883,Load!$B:$B,Load!C:C,0,)</f>
        <v>0</v>
      </c>
      <c r="C1883">
        <f>_xlfn.XLOOKUP($A1883,Load!$B:$B,Load!D:D,0,)</f>
        <v>0</v>
      </c>
      <c r="D1883">
        <f>_xlfn.XLOOKUP($A1883,Load!$B:$B,Load!E:E,0,)</f>
        <v>0</v>
      </c>
      <c r="E1883">
        <f>_xlfn.XLOOKUP($A1883,Load!$B:$B,Load!F:F,0,)</f>
        <v>0</v>
      </c>
      <c r="F1883">
        <f>_xlfn.XLOOKUP($A1883,Load!$B:$B,Load!G:G,0,)</f>
        <v>0</v>
      </c>
      <c r="G1883">
        <f>_xlfn.XLOOKUP($A1883,Load!$B:$B,Load!H:H,0,)</f>
        <v>0</v>
      </c>
      <c r="H1883">
        <f>_xlfn.XLOOKUP($A1883,Load!$B:$B,Load!I:I,0,)</f>
        <v>0</v>
      </c>
      <c r="I1883">
        <f>_xlfn.XLOOKUP($A1883,Load!$B:$B,Load!J:J,0,)</f>
        <v>0</v>
      </c>
      <c r="J1883">
        <f>_xlfn.XLOOKUP($A1883,Load!$B:$B,Load!K:K,0,)</f>
        <v>0</v>
      </c>
      <c r="K1883">
        <f>_xlfn.XLOOKUP($A1883,Load!$B:$B,Load!L:L,0,)</f>
        <v>0</v>
      </c>
      <c r="L1883">
        <f>_xlfn.XLOOKUP($A1883,Load!$B:$B,Load!M:M,0,)</f>
        <v>0</v>
      </c>
    </row>
    <row r="1884" spans="1:12" x14ac:dyDescent="0.25">
      <c r="B1884">
        <f>_xlfn.XLOOKUP($A1884,Load!$B:$B,Load!C:C,0,)</f>
        <v>0</v>
      </c>
      <c r="C1884">
        <f>_xlfn.XLOOKUP($A1884,Load!$B:$B,Load!D:D,0,)</f>
        <v>0</v>
      </c>
      <c r="D1884">
        <f>_xlfn.XLOOKUP($A1884,Load!$B:$B,Load!E:E,0,)</f>
        <v>0</v>
      </c>
      <c r="E1884">
        <f>_xlfn.XLOOKUP($A1884,Load!$B:$B,Load!F:F,0,)</f>
        <v>0</v>
      </c>
      <c r="F1884">
        <f>_xlfn.XLOOKUP($A1884,Load!$B:$B,Load!G:G,0,)</f>
        <v>0</v>
      </c>
      <c r="G1884">
        <f>_xlfn.XLOOKUP($A1884,Load!$B:$B,Load!H:H,0,)</f>
        <v>0</v>
      </c>
      <c r="H1884">
        <f>_xlfn.XLOOKUP($A1884,Load!$B:$B,Load!I:I,0,)</f>
        <v>0</v>
      </c>
      <c r="I1884">
        <f>_xlfn.XLOOKUP($A1884,Load!$B:$B,Load!J:J,0,)</f>
        <v>0</v>
      </c>
      <c r="J1884">
        <f>_xlfn.XLOOKUP($A1884,Load!$B:$B,Load!K:K,0,)</f>
        <v>0</v>
      </c>
      <c r="K1884">
        <f>_xlfn.XLOOKUP($A1884,Load!$B:$B,Load!L:L,0,)</f>
        <v>0</v>
      </c>
      <c r="L1884">
        <f>_xlfn.XLOOKUP($A1884,Load!$B:$B,Load!M:M,0,)</f>
        <v>0</v>
      </c>
    </row>
    <row r="1885" spans="1:12" x14ac:dyDescent="0.25">
      <c r="B1885">
        <f>_xlfn.XLOOKUP($A1885,Load!$B:$B,Load!C:C,0,)</f>
        <v>0</v>
      </c>
      <c r="C1885">
        <f>_xlfn.XLOOKUP($A1885,Load!$B:$B,Load!D:D,0,)</f>
        <v>0</v>
      </c>
      <c r="D1885">
        <f>_xlfn.XLOOKUP($A1885,Load!$B:$B,Load!E:E,0,)</f>
        <v>0</v>
      </c>
      <c r="E1885">
        <f>_xlfn.XLOOKUP($A1885,Load!$B:$B,Load!F:F,0,)</f>
        <v>0</v>
      </c>
      <c r="F1885">
        <f>_xlfn.XLOOKUP($A1885,Load!$B:$B,Load!G:G,0,)</f>
        <v>0</v>
      </c>
      <c r="G1885">
        <f>_xlfn.XLOOKUP($A1885,Load!$B:$B,Load!H:H,0,)</f>
        <v>0</v>
      </c>
      <c r="H1885">
        <f>_xlfn.XLOOKUP($A1885,Load!$B:$B,Load!I:I,0,)</f>
        <v>0</v>
      </c>
      <c r="I1885">
        <f>_xlfn.XLOOKUP($A1885,Load!$B:$B,Load!J:J,0,)</f>
        <v>0</v>
      </c>
      <c r="J1885">
        <f>_xlfn.XLOOKUP($A1885,Load!$B:$B,Load!K:K,0,)</f>
        <v>0</v>
      </c>
      <c r="K1885">
        <f>_xlfn.XLOOKUP($A1885,Load!$B:$B,Load!L:L,0,)</f>
        <v>0</v>
      </c>
      <c r="L1885">
        <f>_xlfn.XLOOKUP($A1885,Load!$B:$B,Load!M:M,0,)</f>
        <v>0</v>
      </c>
    </row>
    <row r="1886" spans="1:12" x14ac:dyDescent="0.25">
      <c r="B1886">
        <f>_xlfn.XLOOKUP($A1886,Load!$B:$B,Load!C:C,0,)</f>
        <v>0</v>
      </c>
      <c r="C1886">
        <f>_xlfn.XLOOKUP($A1886,Load!$B:$B,Load!D:D,0,)</f>
        <v>0</v>
      </c>
      <c r="D1886">
        <f>_xlfn.XLOOKUP($A1886,Load!$B:$B,Load!E:E,0,)</f>
        <v>0</v>
      </c>
      <c r="E1886">
        <f>_xlfn.XLOOKUP($A1886,Load!$B:$B,Load!F:F,0,)</f>
        <v>0</v>
      </c>
      <c r="F1886">
        <f>_xlfn.XLOOKUP($A1886,Load!$B:$B,Load!G:G,0,)</f>
        <v>0</v>
      </c>
      <c r="G1886">
        <f>_xlfn.XLOOKUP($A1886,Load!$B:$B,Load!H:H,0,)</f>
        <v>0</v>
      </c>
      <c r="H1886">
        <f>_xlfn.XLOOKUP($A1886,Load!$B:$B,Load!I:I,0,)</f>
        <v>0</v>
      </c>
      <c r="I1886">
        <f>_xlfn.XLOOKUP($A1886,Load!$B:$B,Load!J:J,0,)</f>
        <v>0</v>
      </c>
      <c r="J1886">
        <f>_xlfn.XLOOKUP($A1886,Load!$B:$B,Load!K:K,0,)</f>
        <v>0</v>
      </c>
      <c r="K1886">
        <f>_xlfn.XLOOKUP($A1886,Load!$B:$B,Load!L:L,0,)</f>
        <v>0</v>
      </c>
      <c r="L1886">
        <f>_xlfn.XLOOKUP($A1886,Load!$B:$B,Load!M:M,0,)</f>
        <v>0</v>
      </c>
    </row>
    <row r="1887" spans="1:12" x14ac:dyDescent="0.25">
      <c r="B1887">
        <f>_xlfn.XLOOKUP($A1887,Load!$B:$B,Load!C:C,0,)</f>
        <v>0</v>
      </c>
      <c r="C1887">
        <f>_xlfn.XLOOKUP($A1887,Load!$B:$B,Load!D:D,0,)</f>
        <v>0</v>
      </c>
      <c r="D1887">
        <f>_xlfn.XLOOKUP($A1887,Load!$B:$B,Load!E:E,0,)</f>
        <v>0</v>
      </c>
      <c r="E1887">
        <f>_xlfn.XLOOKUP($A1887,Load!$B:$B,Load!F:F,0,)</f>
        <v>0</v>
      </c>
      <c r="F1887">
        <f>_xlfn.XLOOKUP($A1887,Load!$B:$B,Load!G:G,0,)</f>
        <v>0</v>
      </c>
      <c r="G1887">
        <f>_xlfn.XLOOKUP($A1887,Load!$B:$B,Load!H:H,0,)</f>
        <v>0</v>
      </c>
      <c r="H1887">
        <f>_xlfn.XLOOKUP($A1887,Load!$B:$B,Load!I:I,0,)</f>
        <v>0</v>
      </c>
      <c r="I1887">
        <f>_xlfn.XLOOKUP($A1887,Load!$B:$B,Load!J:J,0,)</f>
        <v>0</v>
      </c>
      <c r="J1887">
        <f>_xlfn.XLOOKUP($A1887,Load!$B:$B,Load!K:K,0,)</f>
        <v>0</v>
      </c>
      <c r="K1887">
        <f>_xlfn.XLOOKUP($A1887,Load!$B:$B,Load!L:L,0,)</f>
        <v>0</v>
      </c>
      <c r="L1887">
        <f>_xlfn.XLOOKUP($A1887,Load!$B:$B,Load!M:M,0,)</f>
        <v>0</v>
      </c>
    </row>
    <row r="1888" spans="1:12" x14ac:dyDescent="0.25">
      <c r="B1888">
        <f>_xlfn.XLOOKUP($A1888,Load!$B:$B,Load!C:C,0,)</f>
        <v>0</v>
      </c>
      <c r="C1888">
        <f>_xlfn.XLOOKUP($A1888,Load!$B:$B,Load!D:D,0,)</f>
        <v>0</v>
      </c>
      <c r="D1888">
        <f>_xlfn.XLOOKUP($A1888,Load!$B:$B,Load!E:E,0,)</f>
        <v>0</v>
      </c>
      <c r="E1888">
        <f>_xlfn.XLOOKUP($A1888,Load!$B:$B,Load!F:F,0,)</f>
        <v>0</v>
      </c>
      <c r="F1888">
        <f>_xlfn.XLOOKUP($A1888,Load!$B:$B,Load!G:G,0,)</f>
        <v>0</v>
      </c>
      <c r="G1888">
        <f>_xlfn.XLOOKUP($A1888,Load!$B:$B,Load!H:H,0,)</f>
        <v>0</v>
      </c>
      <c r="H1888">
        <f>_xlfn.XLOOKUP($A1888,Load!$B:$B,Load!I:I,0,)</f>
        <v>0</v>
      </c>
      <c r="I1888">
        <f>_xlfn.XLOOKUP($A1888,Load!$B:$B,Load!J:J,0,)</f>
        <v>0</v>
      </c>
      <c r="J1888">
        <f>_xlfn.XLOOKUP($A1888,Load!$B:$B,Load!K:K,0,)</f>
        <v>0</v>
      </c>
      <c r="K1888">
        <f>_xlfn.XLOOKUP($A1888,Load!$B:$B,Load!L:L,0,)</f>
        <v>0</v>
      </c>
      <c r="L1888">
        <f>_xlfn.XLOOKUP($A1888,Load!$B:$B,Load!M:M,0,)</f>
        <v>0</v>
      </c>
    </row>
    <row r="1889" spans="1:12" x14ac:dyDescent="0.25">
      <c r="B1889">
        <f>_xlfn.XLOOKUP($A1889,Load!$B:$B,Load!C:C,0,)</f>
        <v>0</v>
      </c>
      <c r="C1889">
        <f>_xlfn.XLOOKUP($A1889,Load!$B:$B,Load!D:D,0,)</f>
        <v>0</v>
      </c>
      <c r="D1889">
        <f>_xlfn.XLOOKUP($A1889,Load!$B:$B,Load!E:E,0,)</f>
        <v>0</v>
      </c>
      <c r="E1889">
        <f>_xlfn.XLOOKUP($A1889,Load!$B:$B,Load!F:F,0,)</f>
        <v>0</v>
      </c>
      <c r="F1889">
        <f>_xlfn.XLOOKUP($A1889,Load!$B:$B,Load!G:G,0,)</f>
        <v>0</v>
      </c>
      <c r="G1889">
        <f>_xlfn.XLOOKUP($A1889,Load!$B:$B,Load!H:H,0,)</f>
        <v>0</v>
      </c>
      <c r="H1889">
        <f>_xlfn.XLOOKUP($A1889,Load!$B:$B,Load!I:I,0,)</f>
        <v>0</v>
      </c>
      <c r="I1889">
        <f>_xlfn.XLOOKUP($A1889,Load!$B:$B,Load!J:J,0,)</f>
        <v>0</v>
      </c>
      <c r="J1889">
        <f>_xlfn.XLOOKUP($A1889,Load!$B:$B,Load!K:K,0,)</f>
        <v>0</v>
      </c>
      <c r="K1889">
        <f>_xlfn.XLOOKUP($A1889,Load!$B:$B,Load!L:L,0,)</f>
        <v>0</v>
      </c>
      <c r="L1889">
        <f>_xlfn.XLOOKUP($A1889,Load!$B:$B,Load!M:M,0,)</f>
        <v>0</v>
      </c>
    </row>
    <row r="1890" spans="1:12" x14ac:dyDescent="0.25">
      <c r="A1890" t="s">
        <v>59</v>
      </c>
      <c r="B1890" t="str">
        <f>_xlfn.XLOOKUP($A1890,Load!$B:$B,Load!C:C,0,)</f>
        <v>Charms</v>
      </c>
      <c r="C1890" t="str">
        <f>_xlfn.XLOOKUP($A1890,Load!$B:$B,Load!D:D,0,)</f>
        <v>Non-Chocolate Candy Only</v>
      </c>
      <c r="D1890" t="str">
        <f>_xlfn.XLOOKUP($A1890,Load!$B:$B,Load!E:E,0,)</f>
        <v>Variety / Mixed Flavors (Fruity, Sour, Seasonal Flavors)</v>
      </c>
      <c r="E1890" t="str">
        <f>_xlfn.XLOOKUP($A1890,Load!$B:$B,Load!F:F,0,)</f>
        <v>Mixed / Combo Packs (Gummy, Chewy, Taffy, etc.)</v>
      </c>
      <c r="F1890" t="str">
        <f>_xlfn.XLOOKUP($A1890,Load!$B:$B,Load!G:G,0,)</f>
        <v>Large Multipack (More than 80 ct)</v>
      </c>
      <c r="G1890" t="str">
        <f>_xlfn.XLOOKUP($A1890,Load!$B:$B,Load!H:H,0,)</f>
        <v>Laydown Bag</v>
      </c>
      <c r="H1890" t="str">
        <f>_xlfn.XLOOKUP($A1890,Load!$B:$B,Load!I:I,0,)</f>
        <v>Everyday Candy Shapes (like Original, Gummy bear, Fruit, Jewels, etc.)</v>
      </c>
      <c r="I1890" t="str">
        <f>_xlfn.XLOOKUP($A1890,Load!$B:$B,Load!J:J,0,)</f>
        <v>Seasonal Graphics (Like Bat, Ghost, Pumpkin, Fall Leaves, Eyeballs, etc.)</v>
      </c>
      <c r="J1890" t="str">
        <f>_xlfn.XLOOKUP($A1890,Load!$B:$B,Load!K:K,0,)</f>
        <v xml:space="preserve">Variety Candy Sizes </v>
      </c>
      <c r="K1890" t="str">
        <f>_xlfn.XLOOKUP($A1890,Load!$B:$B,Load!L:L,0,)</f>
        <v>Regular/Original Wrapping</v>
      </c>
      <c r="L1890" t="str">
        <f>_xlfn.XLOOKUP($A1890,Load!$B:$B,Load!M:M,0,)</f>
        <v>Single Brand / Variety Flavors or Form</v>
      </c>
    </row>
    <row r="1891" spans="1:12" x14ac:dyDescent="0.25">
      <c r="A1891" t="s">
        <v>267</v>
      </c>
      <c r="B1891" t="str">
        <f>_xlfn.XLOOKUP($A1891,Load!$B:$B,Load!C:C,0,)</f>
        <v>Sour Patch Kids</v>
      </c>
      <c r="C1891" t="str">
        <f>_xlfn.XLOOKUP($A1891,Load!$B:$B,Load!D:D,0,)</f>
        <v>Non-Chocolate Candy Only</v>
      </c>
      <c r="D1891" t="str">
        <f>_xlfn.XLOOKUP($A1891,Load!$B:$B,Load!E:E,0,)</f>
        <v>Sour</v>
      </c>
      <c r="E1891" t="str">
        <f>_xlfn.XLOOKUP($A1891,Load!$B:$B,Load!F:F,0,)</f>
        <v>Chewy</v>
      </c>
      <c r="F1891" t="str">
        <f>_xlfn.XLOOKUP($A1891,Load!$B:$B,Load!G:G,0,)</f>
        <v>Small Multipack (Less than 40 ct)</v>
      </c>
      <c r="G1891" t="str">
        <f>_xlfn.XLOOKUP($A1891,Load!$B:$B,Load!H:H,0,)</f>
        <v>Laydown Bag</v>
      </c>
      <c r="H1891" t="str">
        <f>_xlfn.XLOOKUP($A1891,Load!$B:$B,Load!I:I,0,)</f>
        <v>Everyday Candy Shapes (like Original, Gummy bear, Fruit, Jewels, etc.)</v>
      </c>
      <c r="I1891" t="str">
        <f>_xlfn.XLOOKUP($A1891,Load!$B:$B,Load!J:J,0,)</f>
        <v>Seasonal Graphics (Like Bat, Ghost, Pumpkin, Fall Leaves, Eyeballs, etc.)</v>
      </c>
      <c r="J1891" t="str">
        <f>_xlfn.XLOOKUP($A1891,Load!$B:$B,Load!K:K,0,)</f>
        <v>Small Pieces (Tiny bite size candies)</v>
      </c>
      <c r="K1891" t="str">
        <f>_xlfn.XLOOKUP($A1891,Load!$B:$B,Load!L:L,0,)</f>
        <v>Regular/Original Wrapping</v>
      </c>
      <c r="L1891" t="str">
        <f>_xlfn.XLOOKUP($A1891,Load!$B:$B,Load!M:M,0,)</f>
        <v>Single Brand / Variety Flavors or Form</v>
      </c>
    </row>
    <row r="1892" spans="1:12" x14ac:dyDescent="0.25">
      <c r="B1892">
        <f>_xlfn.XLOOKUP($A1892,Load!$B:$B,Load!C:C,0,)</f>
        <v>0</v>
      </c>
      <c r="C1892">
        <f>_xlfn.XLOOKUP($A1892,Load!$B:$B,Load!D:D,0,)</f>
        <v>0</v>
      </c>
      <c r="D1892">
        <f>_xlfn.XLOOKUP($A1892,Load!$B:$B,Load!E:E,0,)</f>
        <v>0</v>
      </c>
      <c r="E1892">
        <f>_xlfn.XLOOKUP($A1892,Load!$B:$B,Load!F:F,0,)</f>
        <v>0</v>
      </c>
      <c r="F1892">
        <f>_xlfn.XLOOKUP($A1892,Load!$B:$B,Load!G:G,0,)</f>
        <v>0</v>
      </c>
      <c r="G1892">
        <f>_xlfn.XLOOKUP($A1892,Load!$B:$B,Load!H:H,0,)</f>
        <v>0</v>
      </c>
      <c r="H1892">
        <f>_xlfn.XLOOKUP($A1892,Load!$B:$B,Load!I:I,0,)</f>
        <v>0</v>
      </c>
      <c r="I1892">
        <f>_xlfn.XLOOKUP($A1892,Load!$B:$B,Load!J:J,0,)</f>
        <v>0</v>
      </c>
      <c r="J1892">
        <f>_xlfn.XLOOKUP($A1892,Load!$B:$B,Load!K:K,0,)</f>
        <v>0</v>
      </c>
      <c r="K1892">
        <f>_xlfn.XLOOKUP($A1892,Load!$B:$B,Load!L:L,0,)</f>
        <v>0</v>
      </c>
      <c r="L1892">
        <f>_xlfn.XLOOKUP($A1892,Load!$B:$B,Load!M:M,0,)</f>
        <v>0</v>
      </c>
    </row>
    <row r="1893" spans="1:12" x14ac:dyDescent="0.25">
      <c r="B1893">
        <f>_xlfn.XLOOKUP($A1893,Load!$B:$B,Load!C:C,0,)</f>
        <v>0</v>
      </c>
      <c r="C1893">
        <f>_xlfn.XLOOKUP($A1893,Load!$B:$B,Load!D:D,0,)</f>
        <v>0</v>
      </c>
      <c r="D1893">
        <f>_xlfn.XLOOKUP($A1893,Load!$B:$B,Load!E:E,0,)</f>
        <v>0</v>
      </c>
      <c r="E1893">
        <f>_xlfn.XLOOKUP($A1893,Load!$B:$B,Load!F:F,0,)</f>
        <v>0</v>
      </c>
      <c r="F1893">
        <f>_xlfn.XLOOKUP($A1893,Load!$B:$B,Load!G:G,0,)</f>
        <v>0</v>
      </c>
      <c r="G1893">
        <f>_xlfn.XLOOKUP($A1893,Load!$B:$B,Load!H:H,0,)</f>
        <v>0</v>
      </c>
      <c r="H1893">
        <f>_xlfn.XLOOKUP($A1893,Load!$B:$B,Load!I:I,0,)</f>
        <v>0</v>
      </c>
      <c r="I1893">
        <f>_xlfn.XLOOKUP($A1893,Load!$B:$B,Load!J:J,0,)</f>
        <v>0</v>
      </c>
      <c r="J1893">
        <f>_xlfn.XLOOKUP($A1893,Load!$B:$B,Load!K:K,0,)</f>
        <v>0</v>
      </c>
      <c r="K1893">
        <f>_xlfn.XLOOKUP($A1893,Load!$B:$B,Load!L:L,0,)</f>
        <v>0</v>
      </c>
      <c r="L1893">
        <f>_xlfn.XLOOKUP($A1893,Load!$B:$B,Load!M:M,0,)</f>
        <v>0</v>
      </c>
    </row>
    <row r="1894" spans="1:12" x14ac:dyDescent="0.25">
      <c r="A1894" t="s">
        <v>134</v>
      </c>
      <c r="B1894" t="str">
        <f>_xlfn.XLOOKUP($A1894,Load!$B:$B,Load!C:C,0,)</f>
        <v>Hershey's Variety Pack</v>
      </c>
      <c r="C1894" t="str">
        <f>_xlfn.XLOOKUP($A1894,Load!$B:$B,Load!D:D,0,)</f>
        <v>Non-Chocolate Candy Only</v>
      </c>
      <c r="D1894" t="str">
        <f>_xlfn.XLOOKUP($A1894,Load!$B:$B,Load!E:E,0,)</f>
        <v>Variety / Mixed Flavors (Fruity, Sour, Seasonal Flavors)</v>
      </c>
      <c r="E1894" t="str">
        <f>_xlfn.XLOOKUP($A1894,Load!$B:$B,Load!F:F,0,)</f>
        <v>Mixed / Combo Packs (Gummy, Chewy, Taffy, etc.)</v>
      </c>
      <c r="F1894" t="str">
        <f>_xlfn.XLOOKUP($A1894,Load!$B:$B,Load!G:G,0,)</f>
        <v>Large Multipack (More than 80 ct)</v>
      </c>
      <c r="G1894" t="str">
        <f>_xlfn.XLOOKUP($A1894,Load!$B:$B,Load!H:H,0,)</f>
        <v>Stand-Up Bag</v>
      </c>
      <c r="H1894" t="str">
        <f>_xlfn.XLOOKUP($A1894,Load!$B:$B,Load!I:I,0,)</f>
        <v>Everyday Candy Shapes (like Original, Gummy bear, Fruit, Jewels, etc.)</v>
      </c>
      <c r="I1894" t="str">
        <f>_xlfn.XLOOKUP($A1894,Load!$B:$B,Load!J:J,0,)</f>
        <v>Seasonal Graphics (Like Bat, Ghost, Pumpkin, Fall Leaves, Eyeballs, etc.)</v>
      </c>
      <c r="J1894" t="str">
        <f>_xlfn.XLOOKUP($A1894,Load!$B:$B,Load!K:K,0,)</f>
        <v xml:space="preserve">Variety Candy Sizes </v>
      </c>
      <c r="K1894" t="str">
        <f>_xlfn.XLOOKUP($A1894,Load!$B:$B,Load!L:L,0,)</f>
        <v>Regular/Original Wrapping</v>
      </c>
      <c r="L1894" t="str">
        <f>_xlfn.XLOOKUP($A1894,Load!$B:$B,Load!M:M,0,)</f>
        <v>Multiple Brands / Variety Flavors or Form</v>
      </c>
    </row>
    <row r="1895" spans="1:12" x14ac:dyDescent="0.25">
      <c r="B1895">
        <f>_xlfn.XLOOKUP($A1895,Load!$B:$B,Load!C:C,0,)</f>
        <v>0</v>
      </c>
      <c r="C1895">
        <f>_xlfn.XLOOKUP($A1895,Load!$B:$B,Load!D:D,0,)</f>
        <v>0</v>
      </c>
      <c r="D1895">
        <f>_xlfn.XLOOKUP($A1895,Load!$B:$B,Load!E:E,0,)</f>
        <v>0</v>
      </c>
      <c r="E1895">
        <f>_xlfn.XLOOKUP($A1895,Load!$B:$B,Load!F:F,0,)</f>
        <v>0</v>
      </c>
      <c r="F1895">
        <f>_xlfn.XLOOKUP($A1895,Load!$B:$B,Load!G:G,0,)</f>
        <v>0</v>
      </c>
      <c r="G1895">
        <f>_xlfn.XLOOKUP($A1895,Load!$B:$B,Load!H:H,0,)</f>
        <v>0</v>
      </c>
      <c r="H1895">
        <f>_xlfn.XLOOKUP($A1895,Load!$B:$B,Load!I:I,0,)</f>
        <v>0</v>
      </c>
      <c r="I1895">
        <f>_xlfn.XLOOKUP($A1895,Load!$B:$B,Load!J:J,0,)</f>
        <v>0</v>
      </c>
      <c r="J1895">
        <f>_xlfn.XLOOKUP($A1895,Load!$B:$B,Load!K:K,0,)</f>
        <v>0</v>
      </c>
      <c r="K1895">
        <f>_xlfn.XLOOKUP($A1895,Load!$B:$B,Load!L:L,0,)</f>
        <v>0</v>
      </c>
      <c r="L1895">
        <f>_xlfn.XLOOKUP($A1895,Load!$B:$B,Load!M:M,0,)</f>
        <v>0</v>
      </c>
    </row>
    <row r="1896" spans="1:12" x14ac:dyDescent="0.25">
      <c r="B1896">
        <f>_xlfn.XLOOKUP($A1896,Load!$B:$B,Load!C:C,0,)</f>
        <v>0</v>
      </c>
      <c r="C1896">
        <f>_xlfn.XLOOKUP($A1896,Load!$B:$B,Load!D:D,0,)</f>
        <v>0</v>
      </c>
      <c r="D1896">
        <f>_xlfn.XLOOKUP($A1896,Load!$B:$B,Load!E:E,0,)</f>
        <v>0</v>
      </c>
      <c r="E1896">
        <f>_xlfn.XLOOKUP($A1896,Load!$B:$B,Load!F:F,0,)</f>
        <v>0</v>
      </c>
      <c r="F1896">
        <f>_xlfn.XLOOKUP($A1896,Load!$B:$B,Load!G:G,0,)</f>
        <v>0</v>
      </c>
      <c r="G1896">
        <f>_xlfn.XLOOKUP($A1896,Load!$B:$B,Load!H:H,0,)</f>
        <v>0</v>
      </c>
      <c r="H1896">
        <f>_xlfn.XLOOKUP($A1896,Load!$B:$B,Load!I:I,0,)</f>
        <v>0</v>
      </c>
      <c r="I1896">
        <f>_xlfn.XLOOKUP($A1896,Load!$B:$B,Load!J:J,0,)</f>
        <v>0</v>
      </c>
      <c r="J1896">
        <f>_xlfn.XLOOKUP($A1896,Load!$B:$B,Load!K:K,0,)</f>
        <v>0</v>
      </c>
      <c r="K1896">
        <f>_xlfn.XLOOKUP($A1896,Load!$B:$B,Load!L:L,0,)</f>
        <v>0</v>
      </c>
      <c r="L1896">
        <f>_xlfn.XLOOKUP($A1896,Load!$B:$B,Load!M:M,0,)</f>
        <v>0</v>
      </c>
    </row>
    <row r="1897" spans="1:12" x14ac:dyDescent="0.25">
      <c r="B1897">
        <f>_xlfn.XLOOKUP($A1897,Load!$B:$B,Load!C:C,0,)</f>
        <v>0</v>
      </c>
      <c r="C1897">
        <f>_xlfn.XLOOKUP($A1897,Load!$B:$B,Load!D:D,0,)</f>
        <v>0</v>
      </c>
      <c r="D1897">
        <f>_xlfn.XLOOKUP($A1897,Load!$B:$B,Load!E:E,0,)</f>
        <v>0</v>
      </c>
      <c r="E1897">
        <f>_xlfn.XLOOKUP($A1897,Load!$B:$B,Load!F:F,0,)</f>
        <v>0</v>
      </c>
      <c r="F1897">
        <f>_xlfn.XLOOKUP($A1897,Load!$B:$B,Load!G:G,0,)</f>
        <v>0</v>
      </c>
      <c r="G1897">
        <f>_xlfn.XLOOKUP($A1897,Load!$B:$B,Load!H:H,0,)</f>
        <v>0</v>
      </c>
      <c r="H1897">
        <f>_xlfn.XLOOKUP($A1897,Load!$B:$B,Load!I:I,0,)</f>
        <v>0</v>
      </c>
      <c r="I1897">
        <f>_xlfn.XLOOKUP($A1897,Load!$B:$B,Load!J:J,0,)</f>
        <v>0</v>
      </c>
      <c r="J1897">
        <f>_xlfn.XLOOKUP($A1897,Load!$B:$B,Load!K:K,0,)</f>
        <v>0</v>
      </c>
      <c r="K1897">
        <f>_xlfn.XLOOKUP($A1897,Load!$B:$B,Load!L:L,0,)</f>
        <v>0</v>
      </c>
      <c r="L1897">
        <f>_xlfn.XLOOKUP($A1897,Load!$B:$B,Load!M:M,0,)</f>
        <v>0</v>
      </c>
    </row>
    <row r="1898" spans="1:12" x14ac:dyDescent="0.25">
      <c r="A1898" t="s">
        <v>82</v>
      </c>
      <c r="B1898" t="str">
        <f>_xlfn.XLOOKUP($A1898,Load!$B:$B,Load!C:C,0,)</f>
        <v>Ferrara Variety Pack</v>
      </c>
      <c r="C1898" t="str">
        <f>_xlfn.XLOOKUP($A1898,Load!$B:$B,Load!D:D,0,)</f>
        <v>Non-Chocolate Candy Only</v>
      </c>
      <c r="D1898" t="str">
        <f>_xlfn.XLOOKUP($A1898,Load!$B:$B,Load!E:E,0,)</f>
        <v>Variety / Mixed Flavors (Fruity, Sour, Seasonal Flavors)</v>
      </c>
      <c r="E1898" t="str">
        <f>_xlfn.XLOOKUP($A1898,Load!$B:$B,Load!F:F,0,)</f>
        <v>Mixed / Combo Packs (Gummy, Chewy, Taffy, etc.)</v>
      </c>
      <c r="F1898" t="str">
        <f>_xlfn.XLOOKUP($A1898,Load!$B:$B,Load!G:G,0,)</f>
        <v>Large Multipack (More than 80 ct)</v>
      </c>
      <c r="G1898" t="str">
        <f>_xlfn.XLOOKUP($A1898,Load!$B:$B,Load!H:H,0,)</f>
        <v>Stand-Up Bag</v>
      </c>
      <c r="H1898" t="str">
        <f>_xlfn.XLOOKUP($A1898,Load!$B:$B,Load!I:I,0,)</f>
        <v>Everyday Candy Shapes (like Original, Gummy bear, Fruit, Jewels, etc.)</v>
      </c>
      <c r="I1898" t="str">
        <f>_xlfn.XLOOKUP($A1898,Load!$B:$B,Load!J:J,0,)</f>
        <v>Seasonal Graphics (Like Bat, Ghost, Pumpkin, Fall Leaves, Eyeballs, etc.)</v>
      </c>
      <c r="J1898" t="str">
        <f>_xlfn.XLOOKUP($A1898,Load!$B:$B,Load!K:K,0,)</f>
        <v xml:space="preserve">Variety Candy Sizes </v>
      </c>
      <c r="K1898" t="str">
        <f>_xlfn.XLOOKUP($A1898,Load!$B:$B,Load!L:L,0,)</f>
        <v>Regular/Original Wrapping</v>
      </c>
      <c r="L1898" t="str">
        <f>_xlfn.XLOOKUP($A1898,Load!$B:$B,Load!M:M,0,)</f>
        <v>Multiple Brands / Variety Flavors or Form</v>
      </c>
    </row>
    <row r="1899" spans="1:12" x14ac:dyDescent="0.25">
      <c r="A1899" t="s">
        <v>181</v>
      </c>
      <c r="B1899" t="str">
        <f>_xlfn.XLOOKUP($A1899,Load!$B:$B,Load!C:C,0,)</f>
        <v>Mars Variety Pack</v>
      </c>
      <c r="C1899" t="str">
        <f>_xlfn.XLOOKUP($A1899,Load!$B:$B,Load!D:D,0,)</f>
        <v>Mix of Chocolate and Non-Chocolate Candy</v>
      </c>
      <c r="D1899" t="str">
        <f>_xlfn.XLOOKUP($A1899,Load!$B:$B,Load!E:E,0,)</f>
        <v>Variety / Mixed Flavors (Fruity, Sour, Seasonal Flavors)</v>
      </c>
      <c r="E1899" t="str">
        <f>_xlfn.XLOOKUP($A1899,Load!$B:$B,Load!F:F,0,)</f>
        <v>Mixed / Combo Packs (Gummy, Chewy, Taffy, etc.)</v>
      </c>
      <c r="F1899" t="str">
        <f>_xlfn.XLOOKUP($A1899,Load!$B:$B,Load!G:G,0,)</f>
        <v>Large Multipack (More than 80 ct)</v>
      </c>
      <c r="G1899" t="str">
        <f>_xlfn.XLOOKUP($A1899,Load!$B:$B,Load!H:H,0,)</f>
        <v>Stand-Up Bag</v>
      </c>
      <c r="H1899" t="str">
        <f>_xlfn.XLOOKUP($A1899,Load!$B:$B,Load!I:I,0,)</f>
        <v>Everyday Candy Shapes (like Original, Gummy bear, Fruit, Jewels, etc.)</v>
      </c>
      <c r="I1899" t="str">
        <f>_xlfn.XLOOKUP($A1899,Load!$B:$B,Load!J:J,0,)</f>
        <v>Seasonal Graphics (Like Bat, Ghost, Pumpkin, Fall Leaves, Eyeballs, etc.)</v>
      </c>
      <c r="J1899" t="str">
        <f>_xlfn.XLOOKUP($A1899,Load!$B:$B,Load!K:K,0,)</f>
        <v>Fun Size / Treat Size</v>
      </c>
      <c r="K1899" t="str">
        <f>_xlfn.XLOOKUP($A1899,Load!$B:$B,Load!L:L,0,)</f>
        <v>Regular/Original Wrapping</v>
      </c>
      <c r="L1899" t="str">
        <f>_xlfn.XLOOKUP($A1899,Load!$B:$B,Load!M:M,0,)</f>
        <v>Multiple Brands / Variety Flavors or Form</v>
      </c>
    </row>
    <row r="1900" spans="1:12" x14ac:dyDescent="0.25">
      <c r="B1900">
        <f>_xlfn.XLOOKUP($A1900,Load!$B:$B,Load!C:C,0,)</f>
        <v>0</v>
      </c>
      <c r="C1900">
        <f>_xlfn.XLOOKUP($A1900,Load!$B:$B,Load!D:D,0,)</f>
        <v>0</v>
      </c>
      <c r="D1900">
        <f>_xlfn.XLOOKUP($A1900,Load!$B:$B,Load!E:E,0,)</f>
        <v>0</v>
      </c>
      <c r="E1900">
        <f>_xlfn.XLOOKUP($A1900,Load!$B:$B,Load!F:F,0,)</f>
        <v>0</v>
      </c>
      <c r="F1900">
        <f>_xlfn.XLOOKUP($A1900,Load!$B:$B,Load!G:G,0,)</f>
        <v>0</v>
      </c>
      <c r="G1900">
        <f>_xlfn.XLOOKUP($A1900,Load!$B:$B,Load!H:H,0,)</f>
        <v>0</v>
      </c>
      <c r="H1900">
        <f>_xlfn.XLOOKUP($A1900,Load!$B:$B,Load!I:I,0,)</f>
        <v>0</v>
      </c>
      <c r="I1900">
        <f>_xlfn.XLOOKUP($A1900,Load!$B:$B,Load!J:J,0,)</f>
        <v>0</v>
      </c>
      <c r="J1900">
        <f>_xlfn.XLOOKUP($A1900,Load!$B:$B,Load!K:K,0,)</f>
        <v>0</v>
      </c>
      <c r="K1900">
        <f>_xlfn.XLOOKUP($A1900,Load!$B:$B,Load!L:L,0,)</f>
        <v>0</v>
      </c>
      <c r="L1900">
        <f>_xlfn.XLOOKUP($A1900,Load!$B:$B,Load!M:M,0,)</f>
        <v>0</v>
      </c>
    </row>
    <row r="1901" spans="1:12" x14ac:dyDescent="0.25">
      <c r="B1901">
        <f>_xlfn.XLOOKUP($A1901,Load!$B:$B,Load!C:C,0,)</f>
        <v>0</v>
      </c>
      <c r="C1901">
        <f>_xlfn.XLOOKUP($A1901,Load!$B:$B,Load!D:D,0,)</f>
        <v>0</v>
      </c>
      <c r="D1901">
        <f>_xlfn.XLOOKUP($A1901,Load!$B:$B,Load!E:E,0,)</f>
        <v>0</v>
      </c>
      <c r="E1901">
        <f>_xlfn.XLOOKUP($A1901,Load!$B:$B,Load!F:F,0,)</f>
        <v>0</v>
      </c>
      <c r="F1901">
        <f>_xlfn.XLOOKUP($A1901,Load!$B:$B,Load!G:G,0,)</f>
        <v>0</v>
      </c>
      <c r="G1901">
        <f>_xlfn.XLOOKUP($A1901,Load!$B:$B,Load!H:H,0,)</f>
        <v>0</v>
      </c>
      <c r="H1901">
        <f>_xlfn.XLOOKUP($A1901,Load!$B:$B,Load!I:I,0,)</f>
        <v>0</v>
      </c>
      <c r="I1901">
        <f>_xlfn.XLOOKUP($A1901,Load!$B:$B,Load!J:J,0,)</f>
        <v>0</v>
      </c>
      <c r="J1901">
        <f>_xlfn.XLOOKUP($A1901,Load!$B:$B,Load!K:K,0,)</f>
        <v>0</v>
      </c>
      <c r="K1901">
        <f>_xlfn.XLOOKUP($A1901,Load!$B:$B,Load!L:L,0,)</f>
        <v>0</v>
      </c>
      <c r="L1901">
        <f>_xlfn.XLOOKUP($A1901,Load!$B:$B,Load!M:M,0,)</f>
        <v>0</v>
      </c>
    </row>
    <row r="1902" spans="1:12" x14ac:dyDescent="0.25">
      <c r="B1902">
        <f>_xlfn.XLOOKUP($A1902,Load!$B:$B,Load!C:C,0,)</f>
        <v>0</v>
      </c>
      <c r="C1902">
        <f>_xlfn.XLOOKUP($A1902,Load!$B:$B,Load!D:D,0,)</f>
        <v>0</v>
      </c>
      <c r="D1902">
        <f>_xlfn.XLOOKUP($A1902,Load!$B:$B,Load!E:E,0,)</f>
        <v>0</v>
      </c>
      <c r="E1902">
        <f>_xlfn.XLOOKUP($A1902,Load!$B:$B,Load!F:F,0,)</f>
        <v>0</v>
      </c>
      <c r="F1902">
        <f>_xlfn.XLOOKUP($A1902,Load!$B:$B,Load!G:G,0,)</f>
        <v>0</v>
      </c>
      <c r="G1902">
        <f>_xlfn.XLOOKUP($A1902,Load!$B:$B,Load!H:H,0,)</f>
        <v>0</v>
      </c>
      <c r="H1902">
        <f>_xlfn.XLOOKUP($A1902,Load!$B:$B,Load!I:I,0,)</f>
        <v>0</v>
      </c>
      <c r="I1902">
        <f>_xlfn.XLOOKUP($A1902,Load!$B:$B,Load!J:J,0,)</f>
        <v>0</v>
      </c>
      <c r="J1902">
        <f>_xlfn.XLOOKUP($A1902,Load!$B:$B,Load!K:K,0,)</f>
        <v>0</v>
      </c>
      <c r="K1902">
        <f>_xlfn.XLOOKUP($A1902,Load!$B:$B,Load!L:L,0,)</f>
        <v>0</v>
      </c>
      <c r="L1902">
        <f>_xlfn.XLOOKUP($A1902,Load!$B:$B,Load!M:M,0,)</f>
        <v>0</v>
      </c>
    </row>
    <row r="1903" spans="1:12" x14ac:dyDescent="0.25">
      <c r="B1903">
        <f>_xlfn.XLOOKUP($A1903,Load!$B:$B,Load!C:C,0,)</f>
        <v>0</v>
      </c>
      <c r="C1903">
        <f>_xlfn.XLOOKUP($A1903,Load!$B:$B,Load!D:D,0,)</f>
        <v>0</v>
      </c>
      <c r="D1903">
        <f>_xlfn.XLOOKUP($A1903,Load!$B:$B,Load!E:E,0,)</f>
        <v>0</v>
      </c>
      <c r="E1903">
        <f>_xlfn.XLOOKUP($A1903,Load!$B:$B,Load!F:F,0,)</f>
        <v>0</v>
      </c>
      <c r="F1903">
        <f>_xlfn.XLOOKUP($A1903,Load!$B:$B,Load!G:G,0,)</f>
        <v>0</v>
      </c>
      <c r="G1903">
        <f>_xlfn.XLOOKUP($A1903,Load!$B:$B,Load!H:H,0,)</f>
        <v>0</v>
      </c>
      <c r="H1903">
        <f>_xlfn.XLOOKUP($A1903,Load!$B:$B,Load!I:I,0,)</f>
        <v>0</v>
      </c>
      <c r="I1903">
        <f>_xlfn.XLOOKUP($A1903,Load!$B:$B,Load!J:J,0,)</f>
        <v>0</v>
      </c>
      <c r="J1903">
        <f>_xlfn.XLOOKUP($A1903,Load!$B:$B,Load!K:K,0,)</f>
        <v>0</v>
      </c>
      <c r="K1903">
        <f>_xlfn.XLOOKUP($A1903,Load!$B:$B,Load!L:L,0,)</f>
        <v>0</v>
      </c>
      <c r="L1903">
        <f>_xlfn.XLOOKUP($A1903,Load!$B:$B,Load!M:M,0,)</f>
        <v>0</v>
      </c>
    </row>
    <row r="1904" spans="1:12" x14ac:dyDescent="0.25">
      <c r="B1904">
        <f>_xlfn.XLOOKUP($A1904,Load!$B:$B,Load!C:C,0,)</f>
        <v>0</v>
      </c>
      <c r="C1904">
        <f>_xlfn.XLOOKUP($A1904,Load!$B:$B,Load!D:D,0,)</f>
        <v>0</v>
      </c>
      <c r="D1904">
        <f>_xlfn.XLOOKUP($A1904,Load!$B:$B,Load!E:E,0,)</f>
        <v>0</v>
      </c>
      <c r="E1904">
        <f>_xlfn.XLOOKUP($A1904,Load!$B:$B,Load!F:F,0,)</f>
        <v>0</v>
      </c>
      <c r="F1904">
        <f>_xlfn.XLOOKUP($A1904,Load!$B:$B,Load!G:G,0,)</f>
        <v>0</v>
      </c>
      <c r="G1904">
        <f>_xlfn.XLOOKUP($A1904,Load!$B:$B,Load!H:H,0,)</f>
        <v>0</v>
      </c>
      <c r="H1904">
        <f>_xlfn.XLOOKUP($A1904,Load!$B:$B,Load!I:I,0,)</f>
        <v>0</v>
      </c>
      <c r="I1904">
        <f>_xlfn.XLOOKUP($A1904,Load!$B:$B,Load!J:J,0,)</f>
        <v>0</v>
      </c>
      <c r="J1904">
        <f>_xlfn.XLOOKUP($A1904,Load!$B:$B,Load!K:K,0,)</f>
        <v>0</v>
      </c>
      <c r="K1904">
        <f>_xlfn.XLOOKUP($A1904,Load!$B:$B,Load!L:L,0,)</f>
        <v>0</v>
      </c>
      <c r="L1904">
        <f>_xlfn.XLOOKUP($A1904,Load!$B:$B,Load!M:M,0,)</f>
        <v>0</v>
      </c>
    </row>
    <row r="1905" spans="1:12" x14ac:dyDescent="0.25">
      <c r="B1905">
        <f>_xlfn.XLOOKUP($A1905,Load!$B:$B,Load!C:C,0,)</f>
        <v>0</v>
      </c>
      <c r="C1905">
        <f>_xlfn.XLOOKUP($A1905,Load!$B:$B,Load!D:D,0,)</f>
        <v>0</v>
      </c>
      <c r="D1905">
        <f>_xlfn.XLOOKUP($A1905,Load!$B:$B,Load!E:E,0,)</f>
        <v>0</v>
      </c>
      <c r="E1905">
        <f>_xlfn.XLOOKUP($A1905,Load!$B:$B,Load!F:F,0,)</f>
        <v>0</v>
      </c>
      <c r="F1905">
        <f>_xlfn.XLOOKUP($A1905,Load!$B:$B,Load!G:G,0,)</f>
        <v>0</v>
      </c>
      <c r="G1905">
        <f>_xlfn.XLOOKUP($A1905,Load!$B:$B,Load!H:H,0,)</f>
        <v>0</v>
      </c>
      <c r="H1905">
        <f>_xlfn.XLOOKUP($A1905,Load!$B:$B,Load!I:I,0,)</f>
        <v>0</v>
      </c>
      <c r="I1905">
        <f>_xlfn.XLOOKUP($A1905,Load!$B:$B,Load!J:J,0,)</f>
        <v>0</v>
      </c>
      <c r="J1905">
        <f>_xlfn.XLOOKUP($A1905,Load!$B:$B,Load!K:K,0,)</f>
        <v>0</v>
      </c>
      <c r="K1905">
        <f>_xlfn.XLOOKUP($A1905,Load!$B:$B,Load!L:L,0,)</f>
        <v>0</v>
      </c>
      <c r="L1905">
        <f>_xlfn.XLOOKUP($A1905,Load!$B:$B,Load!M:M,0,)</f>
        <v>0</v>
      </c>
    </row>
    <row r="1906" spans="1:12" x14ac:dyDescent="0.25">
      <c r="B1906">
        <f>_xlfn.XLOOKUP($A1906,Load!$B:$B,Load!C:C,0,)</f>
        <v>0</v>
      </c>
      <c r="C1906">
        <f>_xlfn.XLOOKUP($A1906,Load!$B:$B,Load!D:D,0,)</f>
        <v>0</v>
      </c>
      <c r="D1906">
        <f>_xlfn.XLOOKUP($A1906,Load!$B:$B,Load!E:E,0,)</f>
        <v>0</v>
      </c>
      <c r="E1906">
        <f>_xlfn.XLOOKUP($A1906,Load!$B:$B,Load!F:F,0,)</f>
        <v>0</v>
      </c>
      <c r="F1906">
        <f>_xlfn.XLOOKUP($A1906,Load!$B:$B,Load!G:G,0,)</f>
        <v>0</v>
      </c>
      <c r="G1906">
        <f>_xlfn.XLOOKUP($A1906,Load!$B:$B,Load!H:H,0,)</f>
        <v>0</v>
      </c>
      <c r="H1906">
        <f>_xlfn.XLOOKUP($A1906,Load!$B:$B,Load!I:I,0,)</f>
        <v>0</v>
      </c>
      <c r="I1906">
        <f>_xlfn.XLOOKUP($A1906,Load!$B:$B,Load!J:J,0,)</f>
        <v>0</v>
      </c>
      <c r="J1906">
        <f>_xlfn.XLOOKUP($A1906,Load!$B:$B,Load!K:K,0,)</f>
        <v>0</v>
      </c>
      <c r="K1906">
        <f>_xlfn.XLOOKUP($A1906,Load!$B:$B,Load!L:L,0,)</f>
        <v>0</v>
      </c>
      <c r="L1906">
        <f>_xlfn.XLOOKUP($A1906,Load!$B:$B,Load!M:M,0,)</f>
        <v>0</v>
      </c>
    </row>
    <row r="1907" spans="1:12" x14ac:dyDescent="0.25">
      <c r="B1907">
        <f>_xlfn.XLOOKUP($A1907,Load!$B:$B,Load!C:C,0,)</f>
        <v>0</v>
      </c>
      <c r="C1907">
        <f>_xlfn.XLOOKUP($A1907,Load!$B:$B,Load!D:D,0,)</f>
        <v>0</v>
      </c>
      <c r="D1907">
        <f>_xlfn.XLOOKUP($A1907,Load!$B:$B,Load!E:E,0,)</f>
        <v>0</v>
      </c>
      <c r="E1907">
        <f>_xlfn.XLOOKUP($A1907,Load!$B:$B,Load!F:F,0,)</f>
        <v>0</v>
      </c>
      <c r="F1907">
        <f>_xlfn.XLOOKUP($A1907,Load!$B:$B,Load!G:G,0,)</f>
        <v>0</v>
      </c>
      <c r="G1907">
        <f>_xlfn.XLOOKUP($A1907,Load!$B:$B,Load!H:H,0,)</f>
        <v>0</v>
      </c>
      <c r="H1907">
        <f>_xlfn.XLOOKUP($A1907,Load!$B:$B,Load!I:I,0,)</f>
        <v>0</v>
      </c>
      <c r="I1907">
        <f>_xlfn.XLOOKUP($A1907,Load!$B:$B,Load!J:J,0,)</f>
        <v>0</v>
      </c>
      <c r="J1907">
        <f>_xlfn.XLOOKUP($A1907,Load!$B:$B,Load!K:K,0,)</f>
        <v>0</v>
      </c>
      <c r="K1907">
        <f>_xlfn.XLOOKUP($A1907,Load!$B:$B,Load!L:L,0,)</f>
        <v>0</v>
      </c>
      <c r="L1907">
        <f>_xlfn.XLOOKUP($A1907,Load!$B:$B,Load!M:M,0,)</f>
        <v>0</v>
      </c>
    </row>
    <row r="1908" spans="1:12" x14ac:dyDescent="0.25">
      <c r="B1908">
        <f>_xlfn.XLOOKUP($A1908,Load!$B:$B,Load!C:C,0,)</f>
        <v>0</v>
      </c>
      <c r="C1908">
        <f>_xlfn.XLOOKUP($A1908,Load!$B:$B,Load!D:D,0,)</f>
        <v>0</v>
      </c>
      <c r="D1908">
        <f>_xlfn.XLOOKUP($A1908,Load!$B:$B,Load!E:E,0,)</f>
        <v>0</v>
      </c>
      <c r="E1908">
        <f>_xlfn.XLOOKUP($A1908,Load!$B:$B,Load!F:F,0,)</f>
        <v>0</v>
      </c>
      <c r="F1908">
        <f>_xlfn.XLOOKUP($A1908,Load!$B:$B,Load!G:G,0,)</f>
        <v>0</v>
      </c>
      <c r="G1908">
        <f>_xlfn.XLOOKUP($A1908,Load!$B:$B,Load!H:H,0,)</f>
        <v>0</v>
      </c>
      <c r="H1908">
        <f>_xlfn.XLOOKUP($A1908,Load!$B:$B,Load!I:I,0,)</f>
        <v>0</v>
      </c>
      <c r="I1908">
        <f>_xlfn.XLOOKUP($A1908,Load!$B:$B,Load!J:J,0,)</f>
        <v>0</v>
      </c>
      <c r="J1908">
        <f>_xlfn.XLOOKUP($A1908,Load!$B:$B,Load!K:K,0,)</f>
        <v>0</v>
      </c>
      <c r="K1908">
        <f>_xlfn.XLOOKUP($A1908,Load!$B:$B,Load!L:L,0,)</f>
        <v>0</v>
      </c>
      <c r="L1908">
        <f>_xlfn.XLOOKUP($A1908,Load!$B:$B,Load!M:M,0,)</f>
        <v>0</v>
      </c>
    </row>
    <row r="1909" spans="1:12" x14ac:dyDescent="0.25">
      <c r="B1909">
        <f>_xlfn.XLOOKUP($A1909,Load!$B:$B,Load!C:C,0,)</f>
        <v>0</v>
      </c>
      <c r="C1909">
        <f>_xlfn.XLOOKUP($A1909,Load!$B:$B,Load!D:D,0,)</f>
        <v>0</v>
      </c>
      <c r="D1909">
        <f>_xlfn.XLOOKUP($A1909,Load!$B:$B,Load!E:E,0,)</f>
        <v>0</v>
      </c>
      <c r="E1909">
        <f>_xlfn.XLOOKUP($A1909,Load!$B:$B,Load!F:F,0,)</f>
        <v>0</v>
      </c>
      <c r="F1909">
        <f>_xlfn.XLOOKUP($A1909,Load!$B:$B,Load!G:G,0,)</f>
        <v>0</v>
      </c>
      <c r="G1909">
        <f>_xlfn.XLOOKUP($A1909,Load!$B:$B,Load!H:H,0,)</f>
        <v>0</v>
      </c>
      <c r="H1909">
        <f>_xlfn.XLOOKUP($A1909,Load!$B:$B,Load!I:I,0,)</f>
        <v>0</v>
      </c>
      <c r="I1909">
        <f>_xlfn.XLOOKUP($A1909,Load!$B:$B,Load!J:J,0,)</f>
        <v>0</v>
      </c>
      <c r="J1909">
        <f>_xlfn.XLOOKUP($A1909,Load!$B:$B,Load!K:K,0,)</f>
        <v>0</v>
      </c>
      <c r="K1909">
        <f>_xlfn.XLOOKUP($A1909,Load!$B:$B,Load!L:L,0,)</f>
        <v>0</v>
      </c>
      <c r="L1909">
        <f>_xlfn.XLOOKUP($A1909,Load!$B:$B,Load!M:M,0,)</f>
        <v>0</v>
      </c>
    </row>
    <row r="1910" spans="1:12" x14ac:dyDescent="0.25">
      <c r="B1910">
        <f>_xlfn.XLOOKUP($A1910,Load!$B:$B,Load!C:C,0,)</f>
        <v>0</v>
      </c>
      <c r="C1910">
        <f>_xlfn.XLOOKUP($A1910,Load!$B:$B,Load!D:D,0,)</f>
        <v>0</v>
      </c>
      <c r="D1910">
        <f>_xlfn.XLOOKUP($A1910,Load!$B:$B,Load!E:E,0,)</f>
        <v>0</v>
      </c>
      <c r="E1910">
        <f>_xlfn.XLOOKUP($A1910,Load!$B:$B,Load!F:F,0,)</f>
        <v>0</v>
      </c>
      <c r="F1910">
        <f>_xlfn.XLOOKUP($A1910,Load!$B:$B,Load!G:G,0,)</f>
        <v>0</v>
      </c>
      <c r="G1910">
        <f>_xlfn.XLOOKUP($A1910,Load!$B:$B,Load!H:H,0,)</f>
        <v>0</v>
      </c>
      <c r="H1910">
        <f>_xlfn.XLOOKUP($A1910,Load!$B:$B,Load!I:I,0,)</f>
        <v>0</v>
      </c>
      <c r="I1910">
        <f>_xlfn.XLOOKUP($A1910,Load!$B:$B,Load!J:J,0,)</f>
        <v>0</v>
      </c>
      <c r="J1910">
        <f>_xlfn.XLOOKUP($A1910,Load!$B:$B,Load!K:K,0,)</f>
        <v>0</v>
      </c>
      <c r="K1910">
        <f>_xlfn.XLOOKUP($A1910,Load!$B:$B,Load!L:L,0,)</f>
        <v>0</v>
      </c>
      <c r="L1910">
        <f>_xlfn.XLOOKUP($A1910,Load!$B:$B,Load!M:M,0,)</f>
        <v>0</v>
      </c>
    </row>
    <row r="1911" spans="1:12" x14ac:dyDescent="0.25">
      <c r="B1911">
        <f>_xlfn.XLOOKUP($A1911,Load!$B:$B,Load!C:C,0,)</f>
        <v>0</v>
      </c>
      <c r="C1911">
        <f>_xlfn.XLOOKUP($A1911,Load!$B:$B,Load!D:D,0,)</f>
        <v>0</v>
      </c>
      <c r="D1911">
        <f>_xlfn.XLOOKUP($A1911,Load!$B:$B,Load!E:E,0,)</f>
        <v>0</v>
      </c>
      <c r="E1911">
        <f>_xlfn.XLOOKUP($A1911,Load!$B:$B,Load!F:F,0,)</f>
        <v>0</v>
      </c>
      <c r="F1911">
        <f>_xlfn.XLOOKUP($A1911,Load!$B:$B,Load!G:G,0,)</f>
        <v>0</v>
      </c>
      <c r="G1911">
        <f>_xlfn.XLOOKUP($A1911,Load!$B:$B,Load!H:H,0,)</f>
        <v>0</v>
      </c>
      <c r="H1911">
        <f>_xlfn.XLOOKUP($A1911,Load!$B:$B,Load!I:I,0,)</f>
        <v>0</v>
      </c>
      <c r="I1911">
        <f>_xlfn.XLOOKUP($A1911,Load!$B:$B,Load!J:J,0,)</f>
        <v>0</v>
      </c>
      <c r="J1911">
        <f>_xlfn.XLOOKUP($A1911,Load!$B:$B,Load!K:K,0,)</f>
        <v>0</v>
      </c>
      <c r="K1911">
        <f>_xlfn.XLOOKUP($A1911,Load!$B:$B,Load!L:L,0,)</f>
        <v>0</v>
      </c>
      <c r="L1911">
        <f>_xlfn.XLOOKUP($A1911,Load!$B:$B,Load!M:M,0,)</f>
        <v>0</v>
      </c>
    </row>
    <row r="1912" spans="1:12" x14ac:dyDescent="0.25">
      <c r="A1912" t="s">
        <v>161</v>
      </c>
      <c r="B1912" t="str">
        <f>_xlfn.XLOOKUP($A1912,Load!$B:$B,Load!C:C,0,)</f>
        <v>Jolly Rancher</v>
      </c>
      <c r="C1912" t="str">
        <f>_xlfn.XLOOKUP($A1912,Load!$B:$B,Load!D:D,0,)</f>
        <v>Non-Chocolate Candy Only</v>
      </c>
      <c r="D1912" t="str">
        <f>_xlfn.XLOOKUP($A1912,Load!$B:$B,Load!E:E,0,)</f>
        <v>Variety / Mixed Flavors (Fruity, Sour, Seasonal Flavors)</v>
      </c>
      <c r="E1912" t="str">
        <f>_xlfn.XLOOKUP($A1912,Load!$B:$B,Load!F:F,0,)</f>
        <v>Mixed / Combo Packs (Gummy, Chewy, Taffy, etc.)</v>
      </c>
      <c r="F1912" t="str">
        <f>_xlfn.XLOOKUP($A1912,Load!$B:$B,Load!G:G,0,)</f>
        <v>Large Multipack (More than 80 ct)</v>
      </c>
      <c r="G1912" t="str">
        <f>_xlfn.XLOOKUP($A1912,Load!$B:$B,Load!H:H,0,)</f>
        <v>Stand-Up Bag</v>
      </c>
      <c r="H1912" t="str">
        <f>_xlfn.XLOOKUP($A1912,Load!$B:$B,Load!I:I,0,)</f>
        <v>Everyday Candy Shapes (like Original, Gummy bear, Fruit, Jewels, etc.)</v>
      </c>
      <c r="I1912" t="str">
        <f>_xlfn.XLOOKUP($A1912,Load!$B:$B,Load!J:J,0,)</f>
        <v>Seasonal Graphics (Like Bat, Ghost, Pumpkin, Fall Leaves, Eyeballs, etc.)</v>
      </c>
      <c r="J1912" t="str">
        <f>_xlfn.XLOOKUP($A1912,Load!$B:$B,Load!K:K,0,)</f>
        <v xml:space="preserve">Variety Candy Sizes </v>
      </c>
      <c r="K1912" t="str">
        <f>_xlfn.XLOOKUP($A1912,Load!$B:$B,Load!L:L,0,)</f>
        <v>Regular/Original Wrapping</v>
      </c>
      <c r="L1912" t="str">
        <f>_xlfn.XLOOKUP($A1912,Load!$B:$B,Load!M:M,0,)</f>
        <v>Single Brand / Variety Flavors or Form</v>
      </c>
    </row>
    <row r="1913" spans="1:12" x14ac:dyDescent="0.25">
      <c r="A1913" t="s">
        <v>175</v>
      </c>
      <c r="B1913" t="str">
        <f>_xlfn.XLOOKUP($A1913,Load!$B:$B,Load!C:C,0,)</f>
        <v>Mars Variety Pack</v>
      </c>
      <c r="C1913" t="str">
        <f>_xlfn.XLOOKUP($A1913,Load!$B:$B,Load!D:D,0,)</f>
        <v>Mix of Chocolate and Non-Chocolate Candy</v>
      </c>
      <c r="D1913" t="str">
        <f>_xlfn.XLOOKUP($A1913,Load!$B:$B,Load!E:E,0,)</f>
        <v>Variety / Mixed Flavors (Fruity, Sour, Seasonal Flavors)</v>
      </c>
      <c r="E1913" t="str">
        <f>_xlfn.XLOOKUP($A1913,Load!$B:$B,Load!F:F,0,)</f>
        <v>Mixed / Combo Packs (Gummy, Chewy, Taffy, etc.)</v>
      </c>
      <c r="F1913" t="str">
        <f>_xlfn.XLOOKUP($A1913,Load!$B:$B,Load!G:G,0,)</f>
        <v>Large Multipack (More than 80 ct)</v>
      </c>
      <c r="G1913" t="str">
        <f>_xlfn.XLOOKUP($A1913,Load!$B:$B,Load!H:H,0,)</f>
        <v>Stand-Up Bag</v>
      </c>
      <c r="H1913" t="str">
        <f>_xlfn.XLOOKUP($A1913,Load!$B:$B,Load!I:I,0,)</f>
        <v>Everyday Candy Shapes (like Original, Gummy bear, Fruit, Jewels, etc.)</v>
      </c>
      <c r="I1913" t="str">
        <f>_xlfn.XLOOKUP($A1913,Load!$B:$B,Load!J:J,0,)</f>
        <v>Seasonal Graphics (Like Bat, Ghost, Pumpkin, Fall Leaves, Eyeballs, etc.)</v>
      </c>
      <c r="J1913" t="str">
        <f>_xlfn.XLOOKUP($A1913,Load!$B:$B,Load!K:K,0,)</f>
        <v xml:space="preserve">Variety Candy Sizes </v>
      </c>
      <c r="K1913" t="str">
        <f>_xlfn.XLOOKUP($A1913,Load!$B:$B,Load!L:L,0,)</f>
        <v>Regular/Original Wrapping</v>
      </c>
      <c r="L1913" t="str">
        <f>_xlfn.XLOOKUP($A1913,Load!$B:$B,Load!M:M,0,)</f>
        <v>Multiple Brands / Variety Flavors or Form</v>
      </c>
    </row>
    <row r="1914" spans="1:12" x14ac:dyDescent="0.25">
      <c r="B1914">
        <f>_xlfn.XLOOKUP($A1914,Load!$B:$B,Load!C:C,0,)</f>
        <v>0</v>
      </c>
      <c r="C1914">
        <f>_xlfn.XLOOKUP($A1914,Load!$B:$B,Load!D:D,0,)</f>
        <v>0</v>
      </c>
      <c r="D1914">
        <f>_xlfn.XLOOKUP($A1914,Load!$B:$B,Load!E:E,0,)</f>
        <v>0</v>
      </c>
      <c r="E1914">
        <f>_xlfn.XLOOKUP($A1914,Load!$B:$B,Load!F:F,0,)</f>
        <v>0</v>
      </c>
      <c r="F1914">
        <f>_xlfn.XLOOKUP($A1914,Load!$B:$B,Load!G:G,0,)</f>
        <v>0</v>
      </c>
      <c r="G1914">
        <f>_xlfn.XLOOKUP($A1914,Load!$B:$B,Load!H:H,0,)</f>
        <v>0</v>
      </c>
      <c r="H1914">
        <f>_xlfn.XLOOKUP($A1914,Load!$B:$B,Load!I:I,0,)</f>
        <v>0</v>
      </c>
      <c r="I1914">
        <f>_xlfn.XLOOKUP($A1914,Load!$B:$B,Load!J:J,0,)</f>
        <v>0</v>
      </c>
      <c r="J1914">
        <f>_xlfn.XLOOKUP($A1914,Load!$B:$B,Load!K:K,0,)</f>
        <v>0</v>
      </c>
      <c r="K1914">
        <f>_xlfn.XLOOKUP($A1914,Load!$B:$B,Load!L:L,0,)</f>
        <v>0</v>
      </c>
      <c r="L1914">
        <f>_xlfn.XLOOKUP($A1914,Load!$B:$B,Load!M:M,0,)</f>
        <v>0</v>
      </c>
    </row>
    <row r="1915" spans="1:12" x14ac:dyDescent="0.25">
      <c r="B1915">
        <f>_xlfn.XLOOKUP($A1915,Load!$B:$B,Load!C:C,0,)</f>
        <v>0</v>
      </c>
      <c r="C1915">
        <f>_xlfn.XLOOKUP($A1915,Load!$B:$B,Load!D:D,0,)</f>
        <v>0</v>
      </c>
      <c r="D1915">
        <f>_xlfn.XLOOKUP($A1915,Load!$B:$B,Load!E:E,0,)</f>
        <v>0</v>
      </c>
      <c r="E1915">
        <f>_xlfn.XLOOKUP($A1915,Load!$B:$B,Load!F:F,0,)</f>
        <v>0</v>
      </c>
      <c r="F1915">
        <f>_xlfn.XLOOKUP($A1915,Load!$B:$B,Load!G:G,0,)</f>
        <v>0</v>
      </c>
      <c r="G1915">
        <f>_xlfn.XLOOKUP($A1915,Load!$B:$B,Load!H:H,0,)</f>
        <v>0</v>
      </c>
      <c r="H1915">
        <f>_xlfn.XLOOKUP($A1915,Load!$B:$B,Load!I:I,0,)</f>
        <v>0</v>
      </c>
      <c r="I1915">
        <f>_xlfn.XLOOKUP($A1915,Load!$B:$B,Load!J:J,0,)</f>
        <v>0</v>
      </c>
      <c r="J1915">
        <f>_xlfn.XLOOKUP($A1915,Load!$B:$B,Load!K:K,0,)</f>
        <v>0</v>
      </c>
      <c r="K1915">
        <f>_xlfn.XLOOKUP($A1915,Load!$B:$B,Load!L:L,0,)</f>
        <v>0</v>
      </c>
      <c r="L1915">
        <f>_xlfn.XLOOKUP($A1915,Load!$B:$B,Load!M:M,0,)</f>
        <v>0</v>
      </c>
    </row>
    <row r="1916" spans="1:12" x14ac:dyDescent="0.25">
      <c r="A1916" t="s">
        <v>209</v>
      </c>
      <c r="B1916" t="str">
        <f>_xlfn.XLOOKUP($A1916,Load!$B:$B,Load!C:C,0,)</f>
        <v>Mars Variety Pack</v>
      </c>
      <c r="C1916" t="str">
        <f>_xlfn.XLOOKUP($A1916,Load!$B:$B,Load!D:D,0,)</f>
        <v>Non-Chocolate Candy Only</v>
      </c>
      <c r="D1916" t="str">
        <f>_xlfn.XLOOKUP($A1916,Load!$B:$B,Load!E:E,0,)</f>
        <v>Variety / Mixed Flavors (Fruity, Sour, Seasonal Flavors)</v>
      </c>
      <c r="E1916" t="str">
        <f>_xlfn.XLOOKUP($A1916,Load!$B:$B,Load!F:F,0,)</f>
        <v>Mixed / Combo Packs (Gummy, Chewy, Taffy, etc.)</v>
      </c>
      <c r="F1916" t="str">
        <f>_xlfn.XLOOKUP($A1916,Load!$B:$B,Load!G:G,0,)</f>
        <v>Large Multipack (More than 80 ct)</v>
      </c>
      <c r="G1916" t="str">
        <f>_xlfn.XLOOKUP($A1916,Load!$B:$B,Load!H:H,0,)</f>
        <v>Stand-Up Bag</v>
      </c>
      <c r="H1916" t="str">
        <f>_xlfn.XLOOKUP($A1916,Load!$B:$B,Load!I:I,0,)</f>
        <v>Everyday Candy Shapes (like Original, Gummy bear, Fruit, Jewels, etc.)</v>
      </c>
      <c r="I1916" t="str">
        <f>_xlfn.XLOOKUP($A1916,Load!$B:$B,Load!J:J,0,)</f>
        <v>Seasonal Graphics (Like Bat, Ghost, Pumpkin, Fall Leaves, Eyeballs, etc.)</v>
      </c>
      <c r="J1916" t="str">
        <f>_xlfn.XLOOKUP($A1916,Load!$B:$B,Load!K:K,0,)</f>
        <v>Fun Size / Treat Size</v>
      </c>
      <c r="K1916" t="str">
        <f>_xlfn.XLOOKUP($A1916,Load!$B:$B,Load!L:L,0,)</f>
        <v>Regular/Original Wrapping</v>
      </c>
      <c r="L1916" t="str">
        <f>_xlfn.XLOOKUP($A1916,Load!$B:$B,Load!M:M,0,)</f>
        <v>Multiple Brands / Variety Flavors or Form</v>
      </c>
    </row>
    <row r="1917" spans="1:12" x14ac:dyDescent="0.25">
      <c r="A1917" t="s">
        <v>186</v>
      </c>
      <c r="B1917" t="str">
        <f>_xlfn.XLOOKUP($A1917,Load!$B:$B,Load!C:C,0,)</f>
        <v>Mars Variety Pack</v>
      </c>
      <c r="C1917" t="str">
        <f>_xlfn.XLOOKUP($A1917,Load!$B:$B,Load!D:D,0,)</f>
        <v>Mix of Chocolate and Non-Chocolate Candy</v>
      </c>
      <c r="D1917" t="str">
        <f>_xlfn.XLOOKUP($A1917,Load!$B:$B,Load!E:E,0,)</f>
        <v>Variety / Mixed Flavors (Fruity, Sour, Seasonal Flavors)</v>
      </c>
      <c r="E1917" t="str">
        <f>_xlfn.XLOOKUP($A1917,Load!$B:$B,Load!F:F,0,)</f>
        <v>Mixed / Combo Packs (Gummy, Chewy, Taffy, etc.)</v>
      </c>
      <c r="F1917" t="str">
        <f>_xlfn.XLOOKUP($A1917,Load!$B:$B,Load!G:G,0,)</f>
        <v>Large Multipack (More than 80 ct)</v>
      </c>
      <c r="G1917" t="str">
        <f>_xlfn.XLOOKUP($A1917,Load!$B:$B,Load!H:H,0,)</f>
        <v>Stand-Up Bag</v>
      </c>
      <c r="H1917" t="str">
        <f>_xlfn.XLOOKUP($A1917,Load!$B:$B,Load!I:I,0,)</f>
        <v>Everyday Candy Shapes (like Original, Gummy bear, Fruit, Jewels, etc.)</v>
      </c>
      <c r="I1917" t="str">
        <f>_xlfn.XLOOKUP($A1917,Load!$B:$B,Load!J:J,0,)</f>
        <v>Seasonal Graphics (Like Bat, Ghost, Pumpkin, Fall Leaves, Eyeballs, etc.)</v>
      </c>
      <c r="J1917" t="str">
        <f>_xlfn.XLOOKUP($A1917,Load!$B:$B,Load!K:K,0,)</f>
        <v>Fun Size / Treat Size</v>
      </c>
      <c r="K1917" t="str">
        <f>_xlfn.XLOOKUP($A1917,Load!$B:$B,Load!L:L,0,)</f>
        <v>Regular/Original Wrapping</v>
      </c>
      <c r="L1917" t="str">
        <f>_xlfn.XLOOKUP($A1917,Load!$B:$B,Load!M:M,0,)</f>
        <v>Multiple Brands / Variety Flavors or Form</v>
      </c>
    </row>
    <row r="1918" spans="1:12" x14ac:dyDescent="0.25">
      <c r="B1918">
        <f>_xlfn.XLOOKUP($A1918,Load!$B:$B,Load!C:C,0,)</f>
        <v>0</v>
      </c>
      <c r="C1918">
        <f>_xlfn.XLOOKUP($A1918,Load!$B:$B,Load!D:D,0,)</f>
        <v>0</v>
      </c>
      <c r="D1918">
        <f>_xlfn.XLOOKUP($A1918,Load!$B:$B,Load!E:E,0,)</f>
        <v>0</v>
      </c>
      <c r="E1918">
        <f>_xlfn.XLOOKUP($A1918,Load!$B:$B,Load!F:F,0,)</f>
        <v>0</v>
      </c>
      <c r="F1918">
        <f>_xlfn.XLOOKUP($A1918,Load!$B:$B,Load!G:G,0,)</f>
        <v>0</v>
      </c>
      <c r="G1918">
        <f>_xlfn.XLOOKUP($A1918,Load!$B:$B,Load!H:H,0,)</f>
        <v>0</v>
      </c>
      <c r="H1918">
        <f>_xlfn.XLOOKUP($A1918,Load!$B:$B,Load!I:I,0,)</f>
        <v>0</v>
      </c>
      <c r="I1918">
        <f>_xlfn.XLOOKUP($A1918,Load!$B:$B,Load!J:J,0,)</f>
        <v>0</v>
      </c>
      <c r="J1918">
        <f>_xlfn.XLOOKUP($A1918,Load!$B:$B,Load!K:K,0,)</f>
        <v>0</v>
      </c>
      <c r="K1918">
        <f>_xlfn.XLOOKUP($A1918,Load!$B:$B,Load!L:L,0,)</f>
        <v>0</v>
      </c>
      <c r="L1918">
        <f>_xlfn.XLOOKUP($A1918,Load!$B:$B,Load!M:M,0,)</f>
        <v>0</v>
      </c>
    </row>
    <row r="1919" spans="1:12" x14ac:dyDescent="0.25">
      <c r="B1919">
        <f>_xlfn.XLOOKUP($A1919,Load!$B:$B,Load!C:C,0,)</f>
        <v>0</v>
      </c>
      <c r="C1919">
        <f>_xlfn.XLOOKUP($A1919,Load!$B:$B,Load!D:D,0,)</f>
        <v>0</v>
      </c>
      <c r="D1919">
        <f>_xlfn.XLOOKUP($A1919,Load!$B:$B,Load!E:E,0,)</f>
        <v>0</v>
      </c>
      <c r="E1919">
        <f>_xlfn.XLOOKUP($A1919,Load!$B:$B,Load!F:F,0,)</f>
        <v>0</v>
      </c>
      <c r="F1919">
        <f>_xlfn.XLOOKUP($A1919,Load!$B:$B,Load!G:G,0,)</f>
        <v>0</v>
      </c>
      <c r="G1919">
        <f>_xlfn.XLOOKUP($A1919,Load!$B:$B,Load!H:H,0,)</f>
        <v>0</v>
      </c>
      <c r="H1919">
        <f>_xlfn.XLOOKUP($A1919,Load!$B:$B,Load!I:I,0,)</f>
        <v>0</v>
      </c>
      <c r="I1919">
        <f>_xlfn.XLOOKUP($A1919,Load!$B:$B,Load!J:J,0,)</f>
        <v>0</v>
      </c>
      <c r="J1919">
        <f>_xlfn.XLOOKUP($A1919,Load!$B:$B,Load!K:K,0,)</f>
        <v>0</v>
      </c>
      <c r="K1919">
        <f>_xlfn.XLOOKUP($A1919,Load!$B:$B,Load!L:L,0,)</f>
        <v>0</v>
      </c>
      <c r="L1919">
        <f>_xlfn.XLOOKUP($A1919,Load!$B:$B,Load!M:M,0,)</f>
        <v>0</v>
      </c>
    </row>
    <row r="1920" spans="1:12" x14ac:dyDescent="0.25">
      <c r="A1920" t="s">
        <v>301</v>
      </c>
      <c r="B1920" t="str">
        <f>_xlfn.XLOOKUP($A1920,Load!$B:$B,Load!C:C,0,)</f>
        <v>Twizzlers</v>
      </c>
      <c r="C1920" t="str">
        <f>_xlfn.XLOOKUP($A1920,Load!$B:$B,Load!D:D,0,)</f>
        <v>Non-Chocolate Candy Only</v>
      </c>
      <c r="D1920" t="str">
        <f>_xlfn.XLOOKUP($A1920,Load!$B:$B,Load!E:E,0,)</f>
        <v>Variety / Mixed Flavors (Fruity, Sour, Seasonal Flavors)</v>
      </c>
      <c r="E1920" t="str">
        <f>_xlfn.XLOOKUP($A1920,Load!$B:$B,Load!F:F,0,)</f>
        <v>Mixed / Combo Packs (Gummy, Chewy, Taffy, etc.)</v>
      </c>
      <c r="F1920" t="str">
        <f>_xlfn.XLOOKUP($A1920,Load!$B:$B,Load!G:G,0,)</f>
        <v>Medium Multipack (40–80 ct)</v>
      </c>
      <c r="G1920" t="str">
        <f>_xlfn.XLOOKUP($A1920,Load!$B:$B,Load!H:H,0,)</f>
        <v>Laydown Bag</v>
      </c>
      <c r="H1920" t="str">
        <f>_xlfn.XLOOKUP($A1920,Load!$B:$B,Load!I:I,0,)</f>
        <v>Everyday Candy Shapes (like Original, Gummy bear, Fruit, Jewels, etc.)</v>
      </c>
      <c r="I1920" t="str">
        <f>_xlfn.XLOOKUP($A1920,Load!$B:$B,Load!J:J,0,)</f>
        <v>Seasonal Graphics (Like Bat, Ghost, Pumpkin, Fall Leaves, Eyeballs, etc.)</v>
      </c>
      <c r="J1920" t="str">
        <f>_xlfn.XLOOKUP($A1920,Load!$B:$B,Load!K:K,0,)</f>
        <v>Fun Size / Treat Size</v>
      </c>
      <c r="K1920" t="str">
        <f>_xlfn.XLOOKUP($A1920,Load!$B:$B,Load!L:L,0,)</f>
        <v>Regular/Original Wrapping</v>
      </c>
      <c r="L1920" t="str">
        <f>_xlfn.XLOOKUP($A1920,Load!$B:$B,Load!M:M,0,)</f>
        <v>Single Brand / Variety Flavors or Form</v>
      </c>
    </row>
    <row r="1921" spans="1:12" x14ac:dyDescent="0.25">
      <c r="A1921" t="s">
        <v>224</v>
      </c>
      <c r="B1921" t="str">
        <f>_xlfn.XLOOKUP($A1921,Load!$B:$B,Load!C:C,0,)</f>
        <v>Nerds</v>
      </c>
      <c r="C1921" t="str">
        <f>_xlfn.XLOOKUP($A1921,Load!$B:$B,Load!D:D,0,)</f>
        <v>Non-Chocolate Candy Only</v>
      </c>
      <c r="D1921" t="str">
        <f>_xlfn.XLOOKUP($A1921,Load!$B:$B,Load!E:E,0,)</f>
        <v>Sweet</v>
      </c>
      <c r="E1921" t="str">
        <f>_xlfn.XLOOKUP($A1921,Load!$B:$B,Load!F:F,0,)</f>
        <v>Mixed / Combo Packs (Gummy, Chewy, Taffy, etc.)</v>
      </c>
      <c r="F1921" t="str">
        <f>_xlfn.XLOOKUP($A1921,Load!$B:$B,Load!G:G,0,)</f>
        <v>Medium Multipack (40–80 ct)</v>
      </c>
      <c r="G1921" t="str">
        <f>_xlfn.XLOOKUP($A1921,Load!$B:$B,Load!H:H,0,)</f>
        <v>Stand-Up Bag</v>
      </c>
      <c r="H1921" t="str">
        <f>_xlfn.XLOOKUP($A1921,Load!$B:$B,Load!I:I,0,)</f>
        <v>Everyday Candy Shapes (like Original, Gummy bear, Fruit, Jewels, etc.)</v>
      </c>
      <c r="I1921" t="str">
        <f>_xlfn.XLOOKUP($A1921,Load!$B:$B,Load!J:J,0,)</f>
        <v>Seasonal Graphics (Like Bat, Ghost, Pumpkin, Fall Leaves, Eyeballs, etc.)</v>
      </c>
      <c r="J1921" t="str">
        <f>_xlfn.XLOOKUP($A1921,Load!$B:$B,Load!K:K,0,)</f>
        <v xml:space="preserve">Variety Candy Sizes </v>
      </c>
      <c r="K1921" t="str">
        <f>_xlfn.XLOOKUP($A1921,Load!$B:$B,Load!L:L,0,)</f>
        <v>Regular/Original Wrapping</v>
      </c>
      <c r="L1921" t="str">
        <f>_xlfn.XLOOKUP($A1921,Load!$B:$B,Load!M:M,0,)</f>
        <v>Single Brand / Variety Flavors or Form</v>
      </c>
    </row>
    <row r="1922" spans="1:12" x14ac:dyDescent="0.25">
      <c r="B1922">
        <f>_xlfn.XLOOKUP($A1922,Load!$B:$B,Load!C:C,0,)</f>
        <v>0</v>
      </c>
      <c r="C1922">
        <f>_xlfn.XLOOKUP($A1922,Load!$B:$B,Load!D:D,0,)</f>
        <v>0</v>
      </c>
      <c r="D1922">
        <f>_xlfn.XLOOKUP($A1922,Load!$B:$B,Load!E:E,0,)</f>
        <v>0</v>
      </c>
      <c r="E1922">
        <f>_xlfn.XLOOKUP($A1922,Load!$B:$B,Load!F:F,0,)</f>
        <v>0</v>
      </c>
      <c r="F1922">
        <f>_xlfn.XLOOKUP($A1922,Load!$B:$B,Load!G:G,0,)</f>
        <v>0</v>
      </c>
      <c r="G1922">
        <f>_xlfn.XLOOKUP($A1922,Load!$B:$B,Load!H:H,0,)</f>
        <v>0</v>
      </c>
      <c r="H1922">
        <f>_xlfn.XLOOKUP($A1922,Load!$B:$B,Load!I:I,0,)</f>
        <v>0</v>
      </c>
      <c r="I1922">
        <f>_xlfn.XLOOKUP($A1922,Load!$B:$B,Load!J:J,0,)</f>
        <v>0</v>
      </c>
      <c r="J1922">
        <f>_xlfn.XLOOKUP($A1922,Load!$B:$B,Load!K:K,0,)</f>
        <v>0</v>
      </c>
      <c r="K1922">
        <f>_xlfn.XLOOKUP($A1922,Load!$B:$B,Load!L:L,0,)</f>
        <v>0</v>
      </c>
      <c r="L1922">
        <f>_xlfn.XLOOKUP($A1922,Load!$B:$B,Load!M:M,0,)</f>
        <v>0</v>
      </c>
    </row>
    <row r="1923" spans="1:12" x14ac:dyDescent="0.25">
      <c r="B1923">
        <f>_xlfn.XLOOKUP($A1923,Load!$B:$B,Load!C:C,0,)</f>
        <v>0</v>
      </c>
      <c r="C1923">
        <f>_xlfn.XLOOKUP($A1923,Load!$B:$B,Load!D:D,0,)</f>
        <v>0</v>
      </c>
      <c r="D1923">
        <f>_xlfn.XLOOKUP($A1923,Load!$B:$B,Load!E:E,0,)</f>
        <v>0</v>
      </c>
      <c r="E1923">
        <f>_xlfn.XLOOKUP($A1923,Load!$B:$B,Load!F:F,0,)</f>
        <v>0</v>
      </c>
      <c r="F1923">
        <f>_xlfn.XLOOKUP($A1923,Load!$B:$B,Load!G:G,0,)</f>
        <v>0</v>
      </c>
      <c r="G1923">
        <f>_xlfn.XLOOKUP($A1923,Load!$B:$B,Load!H:H,0,)</f>
        <v>0</v>
      </c>
      <c r="H1923">
        <f>_xlfn.XLOOKUP($A1923,Load!$B:$B,Load!I:I,0,)</f>
        <v>0</v>
      </c>
      <c r="I1923">
        <f>_xlfn.XLOOKUP($A1923,Load!$B:$B,Load!J:J,0,)</f>
        <v>0</v>
      </c>
      <c r="J1923">
        <f>_xlfn.XLOOKUP($A1923,Load!$B:$B,Load!K:K,0,)</f>
        <v>0</v>
      </c>
      <c r="K1923">
        <f>_xlfn.XLOOKUP($A1923,Load!$B:$B,Load!L:L,0,)</f>
        <v>0</v>
      </c>
      <c r="L1923">
        <f>_xlfn.XLOOKUP($A1923,Load!$B:$B,Load!M:M,0,)</f>
        <v>0</v>
      </c>
    </row>
    <row r="1924" spans="1:12" x14ac:dyDescent="0.25">
      <c r="B1924">
        <f>_xlfn.XLOOKUP($A1924,Load!$B:$B,Load!C:C,0,)</f>
        <v>0</v>
      </c>
      <c r="C1924">
        <f>_xlfn.XLOOKUP($A1924,Load!$B:$B,Load!D:D,0,)</f>
        <v>0</v>
      </c>
      <c r="D1924">
        <f>_xlfn.XLOOKUP($A1924,Load!$B:$B,Load!E:E,0,)</f>
        <v>0</v>
      </c>
      <c r="E1924">
        <f>_xlfn.XLOOKUP($A1924,Load!$B:$B,Load!F:F,0,)</f>
        <v>0</v>
      </c>
      <c r="F1924">
        <f>_xlfn.XLOOKUP($A1924,Load!$B:$B,Load!G:G,0,)</f>
        <v>0</v>
      </c>
      <c r="G1924">
        <f>_xlfn.XLOOKUP($A1924,Load!$B:$B,Load!H:H,0,)</f>
        <v>0</v>
      </c>
      <c r="H1924">
        <f>_xlfn.XLOOKUP($A1924,Load!$B:$B,Load!I:I,0,)</f>
        <v>0</v>
      </c>
      <c r="I1924">
        <f>_xlfn.XLOOKUP($A1924,Load!$B:$B,Load!J:J,0,)</f>
        <v>0</v>
      </c>
      <c r="J1924">
        <f>_xlfn.XLOOKUP($A1924,Load!$B:$B,Load!K:K,0,)</f>
        <v>0</v>
      </c>
      <c r="K1924">
        <f>_xlfn.XLOOKUP($A1924,Load!$B:$B,Load!L:L,0,)</f>
        <v>0</v>
      </c>
      <c r="L1924">
        <f>_xlfn.XLOOKUP($A1924,Load!$B:$B,Load!M:M,0,)</f>
        <v>0</v>
      </c>
    </row>
    <row r="1925" spans="1:12" x14ac:dyDescent="0.25">
      <c r="B1925">
        <f>_xlfn.XLOOKUP($A1925,Load!$B:$B,Load!C:C,0,)</f>
        <v>0</v>
      </c>
      <c r="C1925">
        <f>_xlfn.XLOOKUP($A1925,Load!$B:$B,Load!D:D,0,)</f>
        <v>0</v>
      </c>
      <c r="D1925">
        <f>_xlfn.XLOOKUP($A1925,Load!$B:$B,Load!E:E,0,)</f>
        <v>0</v>
      </c>
      <c r="E1925">
        <f>_xlfn.XLOOKUP($A1925,Load!$B:$B,Load!F:F,0,)</f>
        <v>0</v>
      </c>
      <c r="F1925">
        <f>_xlfn.XLOOKUP($A1925,Load!$B:$B,Load!G:G,0,)</f>
        <v>0</v>
      </c>
      <c r="G1925">
        <f>_xlfn.XLOOKUP($A1925,Load!$B:$B,Load!H:H,0,)</f>
        <v>0</v>
      </c>
      <c r="H1925">
        <f>_xlfn.XLOOKUP($A1925,Load!$B:$B,Load!I:I,0,)</f>
        <v>0</v>
      </c>
      <c r="I1925">
        <f>_xlfn.XLOOKUP($A1925,Load!$B:$B,Load!J:J,0,)</f>
        <v>0</v>
      </c>
      <c r="J1925">
        <f>_xlfn.XLOOKUP($A1925,Load!$B:$B,Load!K:K,0,)</f>
        <v>0</v>
      </c>
      <c r="K1925">
        <f>_xlfn.XLOOKUP($A1925,Load!$B:$B,Load!L:L,0,)</f>
        <v>0</v>
      </c>
      <c r="L1925">
        <f>_xlfn.XLOOKUP($A1925,Load!$B:$B,Load!M:M,0,)</f>
        <v>0</v>
      </c>
    </row>
    <row r="1926" spans="1:12" x14ac:dyDescent="0.25">
      <c r="B1926">
        <f>_xlfn.XLOOKUP($A1926,Load!$B:$B,Load!C:C,0,)</f>
        <v>0</v>
      </c>
      <c r="C1926">
        <f>_xlfn.XLOOKUP($A1926,Load!$B:$B,Load!D:D,0,)</f>
        <v>0</v>
      </c>
      <c r="D1926">
        <f>_xlfn.XLOOKUP($A1926,Load!$B:$B,Load!E:E,0,)</f>
        <v>0</v>
      </c>
      <c r="E1926">
        <f>_xlfn.XLOOKUP($A1926,Load!$B:$B,Load!F:F,0,)</f>
        <v>0</v>
      </c>
      <c r="F1926">
        <f>_xlfn.XLOOKUP($A1926,Load!$B:$B,Load!G:G,0,)</f>
        <v>0</v>
      </c>
      <c r="G1926">
        <f>_xlfn.XLOOKUP($A1926,Load!$B:$B,Load!H:H,0,)</f>
        <v>0</v>
      </c>
      <c r="H1926">
        <f>_xlfn.XLOOKUP($A1926,Load!$B:$B,Load!I:I,0,)</f>
        <v>0</v>
      </c>
      <c r="I1926">
        <f>_xlfn.XLOOKUP($A1926,Load!$B:$B,Load!J:J,0,)</f>
        <v>0</v>
      </c>
      <c r="J1926">
        <f>_xlfn.XLOOKUP($A1926,Load!$B:$B,Load!K:K,0,)</f>
        <v>0</v>
      </c>
      <c r="K1926">
        <f>_xlfn.XLOOKUP($A1926,Load!$B:$B,Load!L:L,0,)</f>
        <v>0</v>
      </c>
      <c r="L1926">
        <f>_xlfn.XLOOKUP($A1926,Load!$B:$B,Load!M:M,0,)</f>
        <v>0</v>
      </c>
    </row>
    <row r="1927" spans="1:12" x14ac:dyDescent="0.25">
      <c r="B1927">
        <f>_xlfn.XLOOKUP($A1927,Load!$B:$B,Load!C:C,0,)</f>
        <v>0</v>
      </c>
      <c r="C1927">
        <f>_xlfn.XLOOKUP($A1927,Load!$B:$B,Load!D:D,0,)</f>
        <v>0</v>
      </c>
      <c r="D1927">
        <f>_xlfn.XLOOKUP($A1927,Load!$B:$B,Load!E:E,0,)</f>
        <v>0</v>
      </c>
      <c r="E1927">
        <f>_xlfn.XLOOKUP($A1927,Load!$B:$B,Load!F:F,0,)</f>
        <v>0</v>
      </c>
      <c r="F1927">
        <f>_xlfn.XLOOKUP($A1927,Load!$B:$B,Load!G:G,0,)</f>
        <v>0</v>
      </c>
      <c r="G1927">
        <f>_xlfn.XLOOKUP($A1927,Load!$B:$B,Load!H:H,0,)</f>
        <v>0</v>
      </c>
      <c r="H1927">
        <f>_xlfn.XLOOKUP($A1927,Load!$B:$B,Load!I:I,0,)</f>
        <v>0</v>
      </c>
      <c r="I1927">
        <f>_xlfn.XLOOKUP($A1927,Load!$B:$B,Load!J:J,0,)</f>
        <v>0</v>
      </c>
      <c r="J1927">
        <f>_xlfn.XLOOKUP($A1927,Load!$B:$B,Load!K:K,0,)</f>
        <v>0</v>
      </c>
      <c r="K1927">
        <f>_xlfn.XLOOKUP($A1927,Load!$B:$B,Load!L:L,0,)</f>
        <v>0</v>
      </c>
      <c r="L1927">
        <f>_xlfn.XLOOKUP($A1927,Load!$B:$B,Load!M:M,0,)</f>
        <v>0</v>
      </c>
    </row>
    <row r="1928" spans="1:12" x14ac:dyDescent="0.25">
      <c r="B1928">
        <f>_xlfn.XLOOKUP($A1928,Load!$B:$B,Load!C:C,0,)</f>
        <v>0</v>
      </c>
      <c r="C1928">
        <f>_xlfn.XLOOKUP($A1928,Load!$B:$B,Load!D:D,0,)</f>
        <v>0</v>
      </c>
      <c r="D1928">
        <f>_xlfn.XLOOKUP($A1928,Load!$B:$B,Load!E:E,0,)</f>
        <v>0</v>
      </c>
      <c r="E1928">
        <f>_xlfn.XLOOKUP($A1928,Load!$B:$B,Load!F:F,0,)</f>
        <v>0</v>
      </c>
      <c r="F1928">
        <f>_xlfn.XLOOKUP($A1928,Load!$B:$B,Load!G:G,0,)</f>
        <v>0</v>
      </c>
      <c r="G1928">
        <f>_xlfn.XLOOKUP($A1928,Load!$B:$B,Load!H:H,0,)</f>
        <v>0</v>
      </c>
      <c r="H1928">
        <f>_xlfn.XLOOKUP($A1928,Load!$B:$B,Load!I:I,0,)</f>
        <v>0</v>
      </c>
      <c r="I1928">
        <f>_xlfn.XLOOKUP($A1928,Load!$B:$B,Load!J:J,0,)</f>
        <v>0</v>
      </c>
      <c r="J1928">
        <f>_xlfn.XLOOKUP($A1928,Load!$B:$B,Load!K:K,0,)</f>
        <v>0</v>
      </c>
      <c r="K1928">
        <f>_xlfn.XLOOKUP($A1928,Load!$B:$B,Load!L:L,0,)</f>
        <v>0</v>
      </c>
      <c r="L1928">
        <f>_xlfn.XLOOKUP($A1928,Load!$B:$B,Load!M:M,0,)</f>
        <v>0</v>
      </c>
    </row>
    <row r="1929" spans="1:12" x14ac:dyDescent="0.25">
      <c r="B1929">
        <f>_xlfn.XLOOKUP($A1929,Load!$B:$B,Load!C:C,0,)</f>
        <v>0</v>
      </c>
      <c r="C1929">
        <f>_xlfn.XLOOKUP($A1929,Load!$B:$B,Load!D:D,0,)</f>
        <v>0</v>
      </c>
      <c r="D1929">
        <f>_xlfn.XLOOKUP($A1929,Load!$B:$B,Load!E:E,0,)</f>
        <v>0</v>
      </c>
      <c r="E1929">
        <f>_xlfn.XLOOKUP($A1929,Load!$B:$B,Load!F:F,0,)</f>
        <v>0</v>
      </c>
      <c r="F1929">
        <f>_xlfn.XLOOKUP($A1929,Load!$B:$B,Load!G:G,0,)</f>
        <v>0</v>
      </c>
      <c r="G1929">
        <f>_xlfn.XLOOKUP($A1929,Load!$B:$B,Load!H:H,0,)</f>
        <v>0</v>
      </c>
      <c r="H1929">
        <f>_xlfn.XLOOKUP($A1929,Load!$B:$B,Load!I:I,0,)</f>
        <v>0</v>
      </c>
      <c r="I1929">
        <f>_xlfn.XLOOKUP($A1929,Load!$B:$B,Load!J:J,0,)</f>
        <v>0</v>
      </c>
      <c r="J1929">
        <f>_xlfn.XLOOKUP($A1929,Load!$B:$B,Load!K:K,0,)</f>
        <v>0</v>
      </c>
      <c r="K1929">
        <f>_xlfn.XLOOKUP($A1929,Load!$B:$B,Load!L:L,0,)</f>
        <v>0</v>
      </c>
      <c r="L1929">
        <f>_xlfn.XLOOKUP($A1929,Load!$B:$B,Load!M:M,0,)</f>
        <v>0</v>
      </c>
    </row>
    <row r="1930" spans="1:12" x14ac:dyDescent="0.25">
      <c r="B1930">
        <f>_xlfn.XLOOKUP($A1930,Load!$B:$B,Load!C:C,0,)</f>
        <v>0</v>
      </c>
      <c r="C1930">
        <f>_xlfn.XLOOKUP($A1930,Load!$B:$B,Load!D:D,0,)</f>
        <v>0</v>
      </c>
      <c r="D1930">
        <f>_xlfn.XLOOKUP($A1930,Load!$B:$B,Load!E:E,0,)</f>
        <v>0</v>
      </c>
      <c r="E1930">
        <f>_xlfn.XLOOKUP($A1930,Load!$B:$B,Load!F:F,0,)</f>
        <v>0</v>
      </c>
      <c r="F1930">
        <f>_xlfn.XLOOKUP($A1930,Load!$B:$B,Load!G:G,0,)</f>
        <v>0</v>
      </c>
      <c r="G1930">
        <f>_xlfn.XLOOKUP($A1930,Load!$B:$B,Load!H:H,0,)</f>
        <v>0</v>
      </c>
      <c r="H1930">
        <f>_xlfn.XLOOKUP($A1930,Load!$B:$B,Load!I:I,0,)</f>
        <v>0</v>
      </c>
      <c r="I1930">
        <f>_xlfn.XLOOKUP($A1930,Load!$B:$B,Load!J:J,0,)</f>
        <v>0</v>
      </c>
      <c r="J1930">
        <f>_xlfn.XLOOKUP($A1930,Load!$B:$B,Load!K:K,0,)</f>
        <v>0</v>
      </c>
      <c r="K1930">
        <f>_xlfn.XLOOKUP($A1930,Load!$B:$B,Load!L:L,0,)</f>
        <v>0</v>
      </c>
      <c r="L1930">
        <f>_xlfn.XLOOKUP($A1930,Load!$B:$B,Load!M:M,0,)</f>
        <v>0</v>
      </c>
    </row>
    <row r="1931" spans="1:12" x14ac:dyDescent="0.25">
      <c r="B1931">
        <f>_xlfn.XLOOKUP($A1931,Load!$B:$B,Load!C:C,0,)</f>
        <v>0</v>
      </c>
      <c r="C1931">
        <f>_xlfn.XLOOKUP($A1931,Load!$B:$B,Load!D:D,0,)</f>
        <v>0</v>
      </c>
      <c r="D1931">
        <f>_xlfn.XLOOKUP($A1931,Load!$B:$B,Load!E:E,0,)</f>
        <v>0</v>
      </c>
      <c r="E1931">
        <f>_xlfn.XLOOKUP($A1931,Load!$B:$B,Load!F:F,0,)</f>
        <v>0</v>
      </c>
      <c r="F1931">
        <f>_xlfn.XLOOKUP($A1931,Load!$B:$B,Load!G:G,0,)</f>
        <v>0</v>
      </c>
      <c r="G1931">
        <f>_xlfn.XLOOKUP($A1931,Load!$B:$B,Load!H:H,0,)</f>
        <v>0</v>
      </c>
      <c r="H1931">
        <f>_xlfn.XLOOKUP($A1931,Load!$B:$B,Load!I:I,0,)</f>
        <v>0</v>
      </c>
      <c r="I1931">
        <f>_xlfn.XLOOKUP($A1931,Load!$B:$B,Load!J:J,0,)</f>
        <v>0</v>
      </c>
      <c r="J1931">
        <f>_xlfn.XLOOKUP($A1931,Load!$B:$B,Load!K:K,0,)</f>
        <v>0</v>
      </c>
      <c r="K1931">
        <f>_xlfn.XLOOKUP($A1931,Load!$B:$B,Load!L:L,0,)</f>
        <v>0</v>
      </c>
      <c r="L1931">
        <f>_xlfn.XLOOKUP($A1931,Load!$B:$B,Load!M:M,0,)</f>
        <v>0</v>
      </c>
    </row>
    <row r="1932" spans="1:12" x14ac:dyDescent="0.25">
      <c r="A1932" t="s">
        <v>140</v>
      </c>
      <c r="B1932" t="str">
        <f>_xlfn.XLOOKUP($A1932,Load!$B:$B,Load!C:C,0,)</f>
        <v>Hershey's Variety Pack + Haribo</v>
      </c>
      <c r="C1932" t="str">
        <f>_xlfn.XLOOKUP($A1932,Load!$B:$B,Load!D:D,0,)</f>
        <v>Mix of Chocolate and Non-Chocolate Candy</v>
      </c>
      <c r="D1932" t="str">
        <f>_xlfn.XLOOKUP($A1932,Load!$B:$B,Load!E:E,0,)</f>
        <v>Variety / Mixed Flavors (Fruity, Sour, Seasonal Flavors)</v>
      </c>
      <c r="E1932" t="str">
        <f>_xlfn.XLOOKUP($A1932,Load!$B:$B,Load!F:F,0,)</f>
        <v>Mixed / Combo Packs (Gummy, Chewy, Taffy, etc.)</v>
      </c>
      <c r="F1932" t="str">
        <f>_xlfn.XLOOKUP($A1932,Load!$B:$B,Load!G:G,0,)</f>
        <v>Large Multipack (More than 80 ct)</v>
      </c>
      <c r="G1932" t="str">
        <f>_xlfn.XLOOKUP($A1932,Load!$B:$B,Load!H:H,0,)</f>
        <v>Stand-Up Bag</v>
      </c>
      <c r="H1932" t="str">
        <f>_xlfn.XLOOKUP($A1932,Load!$B:$B,Load!I:I,0,)</f>
        <v>Everyday Candy Shapes (like Original, Gummy bear, Fruit, Jewels, etc.)</v>
      </c>
      <c r="I1932" t="str">
        <f>_xlfn.XLOOKUP($A1932,Load!$B:$B,Load!J:J,0,)</f>
        <v>Seasonal Graphics (Like Bat, Ghost, Pumpkin, Fall Leaves, Eyeballs, etc.)</v>
      </c>
      <c r="J1932" t="str">
        <f>_xlfn.XLOOKUP($A1932,Load!$B:$B,Load!K:K,0,)</f>
        <v xml:space="preserve">Variety Candy Sizes </v>
      </c>
      <c r="K1932" t="str">
        <f>_xlfn.XLOOKUP($A1932,Load!$B:$B,Load!L:L,0,)</f>
        <v>Regular/Original Wrapping</v>
      </c>
      <c r="L1932" t="str">
        <f>_xlfn.XLOOKUP($A1932,Load!$B:$B,Load!M:M,0,)</f>
        <v>Multiple Brands / Variety Flavors or Form</v>
      </c>
    </row>
    <row r="1933" spans="1:12" x14ac:dyDescent="0.25">
      <c r="B1933">
        <f>_xlfn.XLOOKUP($A1933,Load!$B:$B,Load!C:C,0,)</f>
        <v>0</v>
      </c>
      <c r="C1933">
        <f>_xlfn.XLOOKUP($A1933,Load!$B:$B,Load!D:D,0,)</f>
        <v>0</v>
      </c>
      <c r="D1933">
        <f>_xlfn.XLOOKUP($A1933,Load!$B:$B,Load!E:E,0,)</f>
        <v>0</v>
      </c>
      <c r="E1933">
        <f>_xlfn.XLOOKUP($A1933,Load!$B:$B,Load!F:F,0,)</f>
        <v>0</v>
      </c>
      <c r="F1933">
        <f>_xlfn.XLOOKUP($A1933,Load!$B:$B,Load!G:G,0,)</f>
        <v>0</v>
      </c>
      <c r="G1933">
        <f>_xlfn.XLOOKUP($A1933,Load!$B:$B,Load!H:H,0,)</f>
        <v>0</v>
      </c>
      <c r="H1933">
        <f>_xlfn.XLOOKUP($A1933,Load!$B:$B,Load!I:I,0,)</f>
        <v>0</v>
      </c>
      <c r="I1933">
        <f>_xlfn.XLOOKUP($A1933,Load!$B:$B,Load!J:J,0,)</f>
        <v>0</v>
      </c>
      <c r="J1933">
        <f>_xlfn.XLOOKUP($A1933,Load!$B:$B,Load!K:K,0,)</f>
        <v>0</v>
      </c>
      <c r="K1933">
        <f>_xlfn.XLOOKUP($A1933,Load!$B:$B,Load!L:L,0,)</f>
        <v>0</v>
      </c>
      <c r="L1933">
        <f>_xlfn.XLOOKUP($A1933,Load!$B:$B,Load!M:M,0,)</f>
        <v>0</v>
      </c>
    </row>
    <row r="1934" spans="1:12" x14ac:dyDescent="0.25">
      <c r="A1934" t="s">
        <v>204</v>
      </c>
      <c r="B1934" t="str">
        <f>_xlfn.XLOOKUP($A1934,Load!$B:$B,Load!C:C,0,)</f>
        <v>Mars Variety Pack</v>
      </c>
      <c r="C1934" t="str">
        <f>_xlfn.XLOOKUP($A1934,Load!$B:$B,Load!D:D,0,)</f>
        <v>Mix of Chocolate and Non-Chocolate Candy</v>
      </c>
      <c r="D1934" t="str">
        <f>_xlfn.XLOOKUP($A1934,Load!$B:$B,Load!E:E,0,)</f>
        <v>Variety / Mixed Flavors (Fruity, Sour, Seasonal Flavors)</v>
      </c>
      <c r="E1934" t="str">
        <f>_xlfn.XLOOKUP($A1934,Load!$B:$B,Load!F:F,0,)</f>
        <v>Mixed / Combo Packs (Gummy, Chewy, Taffy, etc.)</v>
      </c>
      <c r="F1934" t="str">
        <f>_xlfn.XLOOKUP($A1934,Load!$B:$B,Load!G:G,0,)</f>
        <v>Medium Multipack (40–80 ct)</v>
      </c>
      <c r="G1934" t="str">
        <f>_xlfn.XLOOKUP($A1934,Load!$B:$B,Load!H:H,0,)</f>
        <v>Stand-Up Bag</v>
      </c>
      <c r="H1934" t="str">
        <f>_xlfn.XLOOKUP($A1934,Load!$B:$B,Load!I:I,0,)</f>
        <v>Everyday Candy Shapes (like Original, Gummy bear, Fruit, Jewels, etc.)</v>
      </c>
      <c r="I1934" t="str">
        <f>_xlfn.XLOOKUP($A1934,Load!$B:$B,Load!J:J,0,)</f>
        <v>Everyday Graphics</v>
      </c>
      <c r="J1934" t="str">
        <f>_xlfn.XLOOKUP($A1934,Load!$B:$B,Load!K:K,0,)</f>
        <v>Fun Size / Treat Size</v>
      </c>
      <c r="K1934" t="str">
        <f>_xlfn.XLOOKUP($A1934,Load!$B:$B,Load!L:L,0,)</f>
        <v>Regular/Original Wrapping</v>
      </c>
      <c r="L1934" t="str">
        <f>_xlfn.XLOOKUP($A1934,Load!$B:$B,Load!M:M,0,)</f>
        <v>Multiple Brands / Variety Flavors or Form</v>
      </c>
    </row>
    <row r="1935" spans="1:12" x14ac:dyDescent="0.25">
      <c r="B1935">
        <f>_xlfn.XLOOKUP($A1935,Load!$B:$B,Load!C:C,0,)</f>
        <v>0</v>
      </c>
      <c r="C1935">
        <f>_xlfn.XLOOKUP($A1935,Load!$B:$B,Load!D:D,0,)</f>
        <v>0</v>
      </c>
      <c r="D1935">
        <f>_xlfn.XLOOKUP($A1935,Load!$B:$B,Load!E:E,0,)</f>
        <v>0</v>
      </c>
      <c r="E1935">
        <f>_xlfn.XLOOKUP($A1935,Load!$B:$B,Load!F:F,0,)</f>
        <v>0</v>
      </c>
      <c r="F1935">
        <f>_xlfn.XLOOKUP($A1935,Load!$B:$B,Load!G:G,0,)</f>
        <v>0</v>
      </c>
      <c r="G1935">
        <f>_xlfn.XLOOKUP($A1935,Load!$B:$B,Load!H:H,0,)</f>
        <v>0</v>
      </c>
      <c r="H1935">
        <f>_xlfn.XLOOKUP($A1935,Load!$B:$B,Load!I:I,0,)</f>
        <v>0</v>
      </c>
      <c r="I1935">
        <f>_xlfn.XLOOKUP($A1935,Load!$B:$B,Load!J:J,0,)</f>
        <v>0</v>
      </c>
      <c r="J1935">
        <f>_xlfn.XLOOKUP($A1935,Load!$B:$B,Load!K:K,0,)</f>
        <v>0</v>
      </c>
      <c r="K1935">
        <f>_xlfn.XLOOKUP($A1935,Load!$B:$B,Load!L:L,0,)</f>
        <v>0</v>
      </c>
      <c r="L1935">
        <f>_xlfn.XLOOKUP($A1935,Load!$B:$B,Load!M:M,0,)</f>
        <v>0</v>
      </c>
    </row>
    <row r="1936" spans="1:12" x14ac:dyDescent="0.25">
      <c r="A1936" t="s">
        <v>465</v>
      </c>
      <c r="B1936" t="str">
        <f>_xlfn.XLOOKUP($A1936,Load!$B:$B,Load!C:C,0,)</f>
        <v>Werther's Original</v>
      </c>
      <c r="C1936" t="str">
        <f>_xlfn.XLOOKUP($A1936,Load!$B:$B,Load!D:D,0,)</f>
        <v>Non-Chocolate Candy Only</v>
      </c>
      <c r="D1936" t="str">
        <f>_xlfn.XLOOKUP($A1936,Load!$B:$B,Load!E:E,0,)</f>
        <v>Sweet</v>
      </c>
      <c r="E1936" t="str">
        <f>_xlfn.XLOOKUP($A1936,Load!$B:$B,Load!F:F,0,)</f>
        <v>Chewy</v>
      </c>
      <c r="F1936" t="str">
        <f>_xlfn.XLOOKUP($A1936,Load!$B:$B,Load!G:G,0,)</f>
        <v>Single Pack</v>
      </c>
      <c r="G1936" t="str">
        <f>_xlfn.XLOOKUP($A1936,Load!$B:$B,Load!H:H,0,)</f>
        <v>Laydown Bag</v>
      </c>
      <c r="H1936" t="str">
        <f>_xlfn.XLOOKUP($A1936,Load!$B:$B,Load!I:I,0,)</f>
        <v>Everyday Candy Shapes (like Original, Gummy bear, Fruit, Jewels, etc.)</v>
      </c>
      <c r="I1936" t="str">
        <f>_xlfn.XLOOKUP($A1936,Load!$B:$B,Load!J:J,0,)</f>
        <v>Everyday Graphics</v>
      </c>
      <c r="J1936" t="str">
        <f>_xlfn.XLOOKUP($A1936,Load!$B:$B,Load!K:K,0,)</f>
        <v>Fun Size / Treat Size</v>
      </c>
      <c r="K1936" t="str">
        <f>_xlfn.XLOOKUP($A1936,Load!$B:$B,Load!L:L,0,)</f>
        <v>Regular/Original Wrapping</v>
      </c>
      <c r="L1936" t="str">
        <f>_xlfn.XLOOKUP($A1936,Load!$B:$B,Load!M:M,0,)</f>
        <v>Single Brand / Single Flavor or Form</v>
      </c>
    </row>
    <row r="1937" spans="1:12" x14ac:dyDescent="0.25">
      <c r="B1937">
        <f>_xlfn.XLOOKUP($A1937,Load!$B:$B,Load!C:C,0,)</f>
        <v>0</v>
      </c>
      <c r="C1937">
        <f>_xlfn.XLOOKUP($A1937,Load!$B:$B,Load!D:D,0,)</f>
        <v>0</v>
      </c>
      <c r="D1937">
        <f>_xlfn.XLOOKUP($A1937,Load!$B:$B,Load!E:E,0,)</f>
        <v>0</v>
      </c>
      <c r="E1937">
        <f>_xlfn.XLOOKUP($A1937,Load!$B:$B,Load!F:F,0,)</f>
        <v>0</v>
      </c>
      <c r="F1937">
        <f>_xlfn.XLOOKUP($A1937,Load!$B:$B,Load!G:G,0,)</f>
        <v>0</v>
      </c>
      <c r="G1937">
        <f>_xlfn.XLOOKUP($A1937,Load!$B:$B,Load!H:H,0,)</f>
        <v>0</v>
      </c>
      <c r="H1937">
        <f>_xlfn.XLOOKUP($A1937,Load!$B:$B,Load!I:I,0,)</f>
        <v>0</v>
      </c>
      <c r="I1937">
        <f>_xlfn.XLOOKUP($A1937,Load!$B:$B,Load!J:J,0,)</f>
        <v>0</v>
      </c>
      <c r="J1937">
        <f>_xlfn.XLOOKUP($A1937,Load!$B:$B,Load!K:K,0,)</f>
        <v>0</v>
      </c>
      <c r="K1937">
        <f>_xlfn.XLOOKUP($A1937,Load!$B:$B,Load!L:L,0,)</f>
        <v>0</v>
      </c>
      <c r="L1937">
        <f>_xlfn.XLOOKUP($A1937,Load!$B:$B,Load!M:M,0,)</f>
        <v>0</v>
      </c>
    </row>
    <row r="1938" spans="1:12" x14ac:dyDescent="0.25">
      <c r="B1938">
        <f>_xlfn.XLOOKUP($A1938,Load!$B:$B,Load!C:C,0,)</f>
        <v>0</v>
      </c>
      <c r="C1938">
        <f>_xlfn.XLOOKUP($A1938,Load!$B:$B,Load!D:D,0,)</f>
        <v>0</v>
      </c>
      <c r="D1938">
        <f>_xlfn.XLOOKUP($A1938,Load!$B:$B,Load!E:E,0,)</f>
        <v>0</v>
      </c>
      <c r="E1938">
        <f>_xlfn.XLOOKUP($A1938,Load!$B:$B,Load!F:F,0,)</f>
        <v>0</v>
      </c>
      <c r="F1938">
        <f>_xlfn.XLOOKUP($A1938,Load!$B:$B,Load!G:G,0,)</f>
        <v>0</v>
      </c>
      <c r="G1938">
        <f>_xlfn.XLOOKUP($A1938,Load!$B:$B,Load!H:H,0,)</f>
        <v>0</v>
      </c>
      <c r="H1938">
        <f>_xlfn.XLOOKUP($A1938,Load!$B:$B,Load!I:I,0,)</f>
        <v>0</v>
      </c>
      <c r="I1938">
        <f>_xlfn.XLOOKUP($A1938,Load!$B:$B,Load!J:J,0,)</f>
        <v>0</v>
      </c>
      <c r="J1938">
        <f>_xlfn.XLOOKUP($A1938,Load!$B:$B,Load!K:K,0,)</f>
        <v>0</v>
      </c>
      <c r="K1938">
        <f>_xlfn.XLOOKUP($A1938,Load!$B:$B,Load!L:L,0,)</f>
        <v>0</v>
      </c>
      <c r="L1938">
        <f>_xlfn.XLOOKUP($A1938,Load!$B:$B,Load!M:M,0,)</f>
        <v>0</v>
      </c>
    </row>
    <row r="1939" spans="1:12" x14ac:dyDescent="0.25">
      <c r="B1939">
        <f>_xlfn.XLOOKUP($A1939,Load!$B:$B,Load!C:C,0,)</f>
        <v>0</v>
      </c>
      <c r="C1939">
        <f>_xlfn.XLOOKUP($A1939,Load!$B:$B,Load!D:D,0,)</f>
        <v>0</v>
      </c>
      <c r="D1939">
        <f>_xlfn.XLOOKUP($A1939,Load!$B:$B,Load!E:E,0,)</f>
        <v>0</v>
      </c>
      <c r="E1939">
        <f>_xlfn.XLOOKUP($A1939,Load!$B:$B,Load!F:F,0,)</f>
        <v>0</v>
      </c>
      <c r="F1939">
        <f>_xlfn.XLOOKUP($A1939,Load!$B:$B,Load!G:G,0,)</f>
        <v>0</v>
      </c>
      <c r="G1939">
        <f>_xlfn.XLOOKUP($A1939,Load!$B:$B,Load!H:H,0,)</f>
        <v>0</v>
      </c>
      <c r="H1939">
        <f>_xlfn.XLOOKUP($A1939,Load!$B:$B,Load!I:I,0,)</f>
        <v>0</v>
      </c>
      <c r="I1939">
        <f>_xlfn.XLOOKUP($A1939,Load!$B:$B,Load!J:J,0,)</f>
        <v>0</v>
      </c>
      <c r="J1939">
        <f>_xlfn.XLOOKUP($A1939,Load!$B:$B,Load!K:K,0,)</f>
        <v>0</v>
      </c>
      <c r="K1939">
        <f>_xlfn.XLOOKUP($A1939,Load!$B:$B,Load!L:L,0,)</f>
        <v>0</v>
      </c>
      <c r="L1939">
        <f>_xlfn.XLOOKUP($A1939,Load!$B:$B,Load!M:M,0,)</f>
        <v>0</v>
      </c>
    </row>
    <row r="1940" spans="1:12" x14ac:dyDescent="0.25">
      <c r="B1940">
        <f>_xlfn.XLOOKUP($A1940,Load!$B:$B,Load!C:C,0,)</f>
        <v>0</v>
      </c>
      <c r="C1940">
        <f>_xlfn.XLOOKUP($A1940,Load!$B:$B,Load!D:D,0,)</f>
        <v>0</v>
      </c>
      <c r="D1940">
        <f>_xlfn.XLOOKUP($A1940,Load!$B:$B,Load!E:E,0,)</f>
        <v>0</v>
      </c>
      <c r="E1940">
        <f>_xlfn.XLOOKUP($A1940,Load!$B:$B,Load!F:F,0,)</f>
        <v>0</v>
      </c>
      <c r="F1940">
        <f>_xlfn.XLOOKUP($A1940,Load!$B:$B,Load!G:G,0,)</f>
        <v>0</v>
      </c>
      <c r="G1940">
        <f>_xlfn.XLOOKUP($A1940,Load!$B:$B,Load!H:H,0,)</f>
        <v>0</v>
      </c>
      <c r="H1940">
        <f>_xlfn.XLOOKUP($A1940,Load!$B:$B,Load!I:I,0,)</f>
        <v>0</v>
      </c>
      <c r="I1940">
        <f>_xlfn.XLOOKUP($A1940,Load!$B:$B,Load!J:J,0,)</f>
        <v>0</v>
      </c>
      <c r="J1940">
        <f>_xlfn.XLOOKUP($A1940,Load!$B:$B,Load!K:K,0,)</f>
        <v>0</v>
      </c>
      <c r="K1940">
        <f>_xlfn.XLOOKUP($A1940,Load!$B:$B,Load!L:L,0,)</f>
        <v>0</v>
      </c>
      <c r="L1940">
        <f>_xlfn.XLOOKUP($A1940,Load!$B:$B,Load!M:M,0,)</f>
        <v>0</v>
      </c>
    </row>
    <row r="1941" spans="1:12" x14ac:dyDescent="0.25">
      <c r="B1941">
        <f>_xlfn.XLOOKUP($A1941,Load!$B:$B,Load!C:C,0,)</f>
        <v>0</v>
      </c>
      <c r="C1941">
        <f>_xlfn.XLOOKUP($A1941,Load!$B:$B,Load!D:D,0,)</f>
        <v>0</v>
      </c>
      <c r="D1941">
        <f>_xlfn.XLOOKUP($A1941,Load!$B:$B,Load!E:E,0,)</f>
        <v>0</v>
      </c>
      <c r="E1941">
        <f>_xlfn.XLOOKUP($A1941,Load!$B:$B,Load!F:F,0,)</f>
        <v>0</v>
      </c>
      <c r="F1941">
        <f>_xlfn.XLOOKUP($A1941,Load!$B:$B,Load!G:G,0,)</f>
        <v>0</v>
      </c>
      <c r="G1941">
        <f>_xlfn.XLOOKUP($A1941,Load!$B:$B,Load!H:H,0,)</f>
        <v>0</v>
      </c>
      <c r="H1941">
        <f>_xlfn.XLOOKUP($A1941,Load!$B:$B,Load!I:I,0,)</f>
        <v>0</v>
      </c>
      <c r="I1941">
        <f>_xlfn.XLOOKUP($A1941,Load!$B:$B,Load!J:J,0,)</f>
        <v>0</v>
      </c>
      <c r="J1941">
        <f>_xlfn.XLOOKUP($A1941,Load!$B:$B,Load!K:K,0,)</f>
        <v>0</v>
      </c>
      <c r="K1941">
        <f>_xlfn.XLOOKUP($A1941,Load!$B:$B,Load!L:L,0,)</f>
        <v>0</v>
      </c>
      <c r="L1941">
        <f>_xlfn.XLOOKUP($A1941,Load!$B:$B,Load!M:M,0,)</f>
        <v>0</v>
      </c>
    </row>
    <row r="1942" spans="1:12" x14ac:dyDescent="0.25">
      <c r="B1942">
        <f>_xlfn.XLOOKUP($A1942,Load!$B:$B,Load!C:C,0,)</f>
        <v>0</v>
      </c>
      <c r="C1942">
        <f>_xlfn.XLOOKUP($A1942,Load!$B:$B,Load!D:D,0,)</f>
        <v>0</v>
      </c>
      <c r="D1942">
        <f>_xlfn.XLOOKUP($A1942,Load!$B:$B,Load!E:E,0,)</f>
        <v>0</v>
      </c>
      <c r="E1942">
        <f>_xlfn.XLOOKUP($A1942,Load!$B:$B,Load!F:F,0,)</f>
        <v>0</v>
      </c>
      <c r="F1942">
        <f>_xlfn.XLOOKUP($A1942,Load!$B:$B,Load!G:G,0,)</f>
        <v>0</v>
      </c>
      <c r="G1942">
        <f>_xlfn.XLOOKUP($A1942,Load!$B:$B,Load!H:H,0,)</f>
        <v>0</v>
      </c>
      <c r="H1942">
        <f>_xlfn.XLOOKUP($A1942,Load!$B:$B,Load!I:I,0,)</f>
        <v>0</v>
      </c>
      <c r="I1942">
        <f>_xlfn.XLOOKUP($A1942,Load!$B:$B,Load!J:J,0,)</f>
        <v>0</v>
      </c>
      <c r="J1942">
        <f>_xlfn.XLOOKUP($A1942,Load!$B:$B,Load!K:K,0,)</f>
        <v>0</v>
      </c>
      <c r="K1942">
        <f>_xlfn.XLOOKUP($A1942,Load!$B:$B,Load!L:L,0,)</f>
        <v>0</v>
      </c>
      <c r="L1942">
        <f>_xlfn.XLOOKUP($A1942,Load!$B:$B,Load!M:M,0,)</f>
        <v>0</v>
      </c>
    </row>
    <row r="1943" spans="1:12" x14ac:dyDescent="0.25">
      <c r="B1943">
        <f>_xlfn.XLOOKUP($A1943,Load!$B:$B,Load!C:C,0,)</f>
        <v>0</v>
      </c>
      <c r="C1943">
        <f>_xlfn.XLOOKUP($A1943,Load!$B:$B,Load!D:D,0,)</f>
        <v>0</v>
      </c>
      <c r="D1943">
        <f>_xlfn.XLOOKUP($A1943,Load!$B:$B,Load!E:E,0,)</f>
        <v>0</v>
      </c>
      <c r="E1943">
        <f>_xlfn.XLOOKUP($A1943,Load!$B:$B,Load!F:F,0,)</f>
        <v>0</v>
      </c>
      <c r="F1943">
        <f>_xlfn.XLOOKUP($A1943,Load!$B:$B,Load!G:G,0,)</f>
        <v>0</v>
      </c>
      <c r="G1943">
        <f>_xlfn.XLOOKUP($A1943,Load!$B:$B,Load!H:H,0,)</f>
        <v>0</v>
      </c>
      <c r="H1943">
        <f>_xlfn.XLOOKUP($A1943,Load!$B:$B,Load!I:I,0,)</f>
        <v>0</v>
      </c>
      <c r="I1943">
        <f>_xlfn.XLOOKUP($A1943,Load!$B:$B,Load!J:J,0,)</f>
        <v>0</v>
      </c>
      <c r="J1943">
        <f>_xlfn.XLOOKUP($A1943,Load!$B:$B,Load!K:K,0,)</f>
        <v>0</v>
      </c>
      <c r="K1943">
        <f>_xlfn.XLOOKUP($A1943,Load!$B:$B,Load!L:L,0,)</f>
        <v>0</v>
      </c>
      <c r="L1943">
        <f>_xlfn.XLOOKUP($A1943,Load!$B:$B,Load!M:M,0,)</f>
        <v>0</v>
      </c>
    </row>
    <row r="1944" spans="1:12" x14ac:dyDescent="0.25">
      <c r="B1944">
        <f>_xlfn.XLOOKUP($A1944,Load!$B:$B,Load!C:C,0,)</f>
        <v>0</v>
      </c>
      <c r="C1944">
        <f>_xlfn.XLOOKUP($A1944,Load!$B:$B,Load!D:D,0,)</f>
        <v>0</v>
      </c>
      <c r="D1944">
        <f>_xlfn.XLOOKUP($A1944,Load!$B:$B,Load!E:E,0,)</f>
        <v>0</v>
      </c>
      <c r="E1944">
        <f>_xlfn.XLOOKUP($A1944,Load!$B:$B,Load!F:F,0,)</f>
        <v>0</v>
      </c>
      <c r="F1944">
        <f>_xlfn.XLOOKUP($A1944,Load!$B:$B,Load!G:G,0,)</f>
        <v>0</v>
      </c>
      <c r="G1944">
        <f>_xlfn.XLOOKUP($A1944,Load!$B:$B,Load!H:H,0,)</f>
        <v>0</v>
      </c>
      <c r="H1944">
        <f>_xlfn.XLOOKUP($A1944,Load!$B:$B,Load!I:I,0,)</f>
        <v>0</v>
      </c>
      <c r="I1944">
        <f>_xlfn.XLOOKUP($A1944,Load!$B:$B,Load!J:J,0,)</f>
        <v>0</v>
      </c>
      <c r="J1944">
        <f>_xlfn.XLOOKUP($A1944,Load!$B:$B,Load!K:K,0,)</f>
        <v>0</v>
      </c>
      <c r="K1944">
        <f>_xlfn.XLOOKUP($A1944,Load!$B:$B,Load!L:L,0,)</f>
        <v>0</v>
      </c>
      <c r="L1944">
        <f>_xlfn.XLOOKUP($A1944,Load!$B:$B,Load!M:M,0,)</f>
        <v>0</v>
      </c>
    </row>
    <row r="1945" spans="1:12" x14ac:dyDescent="0.25">
      <c r="B1945">
        <f>_xlfn.XLOOKUP($A1945,Load!$B:$B,Load!C:C,0,)</f>
        <v>0</v>
      </c>
      <c r="C1945">
        <f>_xlfn.XLOOKUP($A1945,Load!$B:$B,Load!D:D,0,)</f>
        <v>0</v>
      </c>
      <c r="D1945">
        <f>_xlfn.XLOOKUP($A1945,Load!$B:$B,Load!E:E,0,)</f>
        <v>0</v>
      </c>
      <c r="E1945">
        <f>_xlfn.XLOOKUP($A1945,Load!$B:$B,Load!F:F,0,)</f>
        <v>0</v>
      </c>
      <c r="F1945">
        <f>_xlfn.XLOOKUP($A1945,Load!$B:$B,Load!G:G,0,)</f>
        <v>0</v>
      </c>
      <c r="G1945">
        <f>_xlfn.XLOOKUP($A1945,Load!$B:$B,Load!H:H,0,)</f>
        <v>0</v>
      </c>
      <c r="H1945">
        <f>_xlfn.XLOOKUP($A1945,Load!$B:$B,Load!I:I,0,)</f>
        <v>0</v>
      </c>
      <c r="I1945">
        <f>_xlfn.XLOOKUP($A1945,Load!$B:$B,Load!J:J,0,)</f>
        <v>0</v>
      </c>
      <c r="J1945">
        <f>_xlfn.XLOOKUP($A1945,Load!$B:$B,Load!K:K,0,)</f>
        <v>0</v>
      </c>
      <c r="K1945">
        <f>_xlfn.XLOOKUP($A1945,Load!$B:$B,Load!L:L,0,)</f>
        <v>0</v>
      </c>
      <c r="L1945">
        <f>_xlfn.XLOOKUP($A1945,Load!$B:$B,Load!M:M,0,)</f>
        <v>0</v>
      </c>
    </row>
    <row r="1946" spans="1:12" x14ac:dyDescent="0.25">
      <c r="B1946">
        <f>_xlfn.XLOOKUP($A1946,Load!$B:$B,Load!C:C,0,)</f>
        <v>0</v>
      </c>
      <c r="C1946">
        <f>_xlfn.XLOOKUP($A1946,Load!$B:$B,Load!D:D,0,)</f>
        <v>0</v>
      </c>
      <c r="D1946">
        <f>_xlfn.XLOOKUP($A1946,Load!$B:$B,Load!E:E,0,)</f>
        <v>0</v>
      </c>
      <c r="E1946">
        <f>_xlfn.XLOOKUP($A1946,Load!$B:$B,Load!F:F,0,)</f>
        <v>0</v>
      </c>
      <c r="F1946">
        <f>_xlfn.XLOOKUP($A1946,Load!$B:$B,Load!G:G,0,)</f>
        <v>0</v>
      </c>
      <c r="G1946">
        <f>_xlfn.XLOOKUP($A1946,Load!$B:$B,Load!H:H,0,)</f>
        <v>0</v>
      </c>
      <c r="H1946">
        <f>_xlfn.XLOOKUP($A1946,Load!$B:$B,Load!I:I,0,)</f>
        <v>0</v>
      </c>
      <c r="I1946">
        <f>_xlfn.XLOOKUP($A1946,Load!$B:$B,Load!J:J,0,)</f>
        <v>0</v>
      </c>
      <c r="J1946">
        <f>_xlfn.XLOOKUP($A1946,Load!$B:$B,Load!K:K,0,)</f>
        <v>0</v>
      </c>
      <c r="K1946">
        <f>_xlfn.XLOOKUP($A1946,Load!$B:$B,Load!L:L,0,)</f>
        <v>0</v>
      </c>
      <c r="L1946">
        <f>_xlfn.XLOOKUP($A1946,Load!$B:$B,Load!M:M,0,)</f>
        <v>0</v>
      </c>
    </row>
    <row r="1947" spans="1:12" x14ac:dyDescent="0.25">
      <c r="B1947">
        <f>_xlfn.XLOOKUP($A1947,Load!$B:$B,Load!C:C,0,)</f>
        <v>0</v>
      </c>
      <c r="C1947">
        <f>_xlfn.XLOOKUP($A1947,Load!$B:$B,Load!D:D,0,)</f>
        <v>0</v>
      </c>
      <c r="D1947">
        <f>_xlfn.XLOOKUP($A1947,Load!$B:$B,Load!E:E,0,)</f>
        <v>0</v>
      </c>
      <c r="E1947">
        <f>_xlfn.XLOOKUP($A1947,Load!$B:$B,Load!F:F,0,)</f>
        <v>0</v>
      </c>
      <c r="F1947">
        <f>_xlfn.XLOOKUP($A1947,Load!$B:$B,Load!G:G,0,)</f>
        <v>0</v>
      </c>
      <c r="G1947">
        <f>_xlfn.XLOOKUP($A1947,Load!$B:$B,Load!H:H,0,)</f>
        <v>0</v>
      </c>
      <c r="H1947">
        <f>_xlfn.XLOOKUP($A1947,Load!$B:$B,Load!I:I,0,)</f>
        <v>0</v>
      </c>
      <c r="I1947">
        <f>_xlfn.XLOOKUP($A1947,Load!$B:$B,Load!J:J,0,)</f>
        <v>0</v>
      </c>
      <c r="J1947">
        <f>_xlfn.XLOOKUP($A1947,Load!$B:$B,Load!K:K,0,)</f>
        <v>0</v>
      </c>
      <c r="K1947">
        <f>_xlfn.XLOOKUP($A1947,Load!$B:$B,Load!L:L,0,)</f>
        <v>0</v>
      </c>
      <c r="L1947">
        <f>_xlfn.XLOOKUP($A1947,Load!$B:$B,Load!M:M,0,)</f>
        <v>0</v>
      </c>
    </row>
    <row r="1948" spans="1:12" x14ac:dyDescent="0.25">
      <c r="A1948" t="s">
        <v>183</v>
      </c>
      <c r="B1948" t="str">
        <f>_xlfn.XLOOKUP($A1948,Load!$B:$B,Load!C:C,0,)</f>
        <v>Mars Variety Pack</v>
      </c>
      <c r="C1948" t="str">
        <f>_xlfn.XLOOKUP($A1948,Load!$B:$B,Load!D:D,0,)</f>
        <v>Non-Chocolate Candy Only</v>
      </c>
      <c r="D1948" t="str">
        <f>_xlfn.XLOOKUP($A1948,Load!$B:$B,Load!E:E,0,)</f>
        <v>Variety / Mixed Flavors (Fruity, Sour, Seasonal Flavors)</v>
      </c>
      <c r="E1948" t="str">
        <f>_xlfn.XLOOKUP($A1948,Load!$B:$B,Load!F:F,0,)</f>
        <v>Mixed / Combo Packs (Gummy, Chewy, Taffy, etc.)</v>
      </c>
      <c r="F1948" t="str">
        <f>_xlfn.XLOOKUP($A1948,Load!$B:$B,Load!G:G,0,)</f>
        <v>Large Multipack (More than 80 ct)</v>
      </c>
      <c r="G1948" t="str">
        <f>_xlfn.XLOOKUP($A1948,Load!$B:$B,Load!H:H,0,)</f>
        <v>Stand-Up Bag</v>
      </c>
      <c r="H1948" t="str">
        <f>_xlfn.XLOOKUP($A1948,Load!$B:$B,Load!I:I,0,)</f>
        <v>Seasonal Shapes (like pumpkins, candy corn, ghost, bats, etc.)</v>
      </c>
      <c r="I1948" t="str">
        <f>_xlfn.XLOOKUP($A1948,Load!$B:$B,Load!J:J,0,)</f>
        <v>Seasonal Graphics (Like Bat, Ghost, Pumpkin, Fall Leaves, Eyeballs, etc.)</v>
      </c>
      <c r="J1948" t="str">
        <f>_xlfn.XLOOKUP($A1948,Load!$B:$B,Load!K:K,0,)</f>
        <v xml:space="preserve">Variety Candy Sizes </v>
      </c>
      <c r="K1948" t="str">
        <f>_xlfn.XLOOKUP($A1948,Load!$B:$B,Load!L:L,0,)</f>
        <v>Regular/Original Wrapping</v>
      </c>
      <c r="L1948" t="str">
        <f>_xlfn.XLOOKUP($A1948,Load!$B:$B,Load!M:M,0,)</f>
        <v>Multiple Brands / Variety Flavors or Form</v>
      </c>
    </row>
    <row r="1949" spans="1:12" x14ac:dyDescent="0.25">
      <c r="A1949" t="s">
        <v>180</v>
      </c>
      <c r="B1949" t="str">
        <f>_xlfn.XLOOKUP($A1949,Load!$B:$B,Load!C:C,0,)</f>
        <v>Mars Variety Pack</v>
      </c>
      <c r="C1949" t="str">
        <f>_xlfn.XLOOKUP($A1949,Load!$B:$B,Load!D:D,0,)</f>
        <v>Mix of Chocolate and Non-Chocolate Candy</v>
      </c>
      <c r="D1949" t="str">
        <f>_xlfn.XLOOKUP($A1949,Load!$B:$B,Load!E:E,0,)</f>
        <v>Variety / Mixed Flavors (Fruity, Sour, Seasonal Flavors)</v>
      </c>
      <c r="E1949" t="str">
        <f>_xlfn.XLOOKUP($A1949,Load!$B:$B,Load!F:F,0,)</f>
        <v>Mixed / Combo Packs (Gummy, Chewy, Taffy, etc.)</v>
      </c>
      <c r="F1949" t="str">
        <f>_xlfn.XLOOKUP($A1949,Load!$B:$B,Load!G:G,0,)</f>
        <v>Large Multipack (More than 80 ct)</v>
      </c>
      <c r="G1949" t="str">
        <f>_xlfn.XLOOKUP($A1949,Load!$B:$B,Load!H:H,0,)</f>
        <v>Stand-Up Bag</v>
      </c>
      <c r="H1949" t="str">
        <f>_xlfn.XLOOKUP($A1949,Load!$B:$B,Load!I:I,0,)</f>
        <v>Everyday Candy Shapes (like Original, Gummy bear, Fruit, Jewels, etc.)</v>
      </c>
      <c r="I1949" t="str">
        <f>_xlfn.XLOOKUP($A1949,Load!$B:$B,Load!J:J,0,)</f>
        <v>Seasonal Graphics (Like Bat, Ghost, Pumpkin, Fall Leaves, Eyeballs, etc.)</v>
      </c>
      <c r="J1949" t="str">
        <f>_xlfn.XLOOKUP($A1949,Load!$B:$B,Load!K:K,0,)</f>
        <v>Fun Size / Treat Size</v>
      </c>
      <c r="K1949" t="str">
        <f>_xlfn.XLOOKUP($A1949,Load!$B:$B,Load!L:L,0,)</f>
        <v>Regular/Original Wrapping</v>
      </c>
      <c r="L1949" t="str">
        <f>_xlfn.XLOOKUP($A1949,Load!$B:$B,Load!M:M,0,)</f>
        <v>Multiple Brands / Variety Flavors or Form</v>
      </c>
    </row>
    <row r="1950" spans="1:12" x14ac:dyDescent="0.25">
      <c r="A1950" t="s">
        <v>202</v>
      </c>
      <c r="B1950" t="str">
        <f>_xlfn.XLOOKUP($A1950,Load!$B:$B,Load!C:C,0,)</f>
        <v>Mars Variety Pack</v>
      </c>
      <c r="C1950" t="str">
        <f>_xlfn.XLOOKUP($A1950,Load!$B:$B,Load!D:D,0,)</f>
        <v>Mix of Chocolate and Non-Chocolate Candy</v>
      </c>
      <c r="D1950" t="str">
        <f>_xlfn.XLOOKUP($A1950,Load!$B:$B,Load!E:E,0,)</f>
        <v>Variety / Mixed Flavors (Fruity, Sour, Seasonal Flavors)</v>
      </c>
      <c r="E1950" t="str">
        <f>_xlfn.XLOOKUP($A1950,Load!$B:$B,Load!F:F,0,)</f>
        <v>Mixed / Combo Packs (Gummy, Chewy, Taffy, etc.)</v>
      </c>
      <c r="F1950" t="str">
        <f>_xlfn.XLOOKUP($A1950,Load!$B:$B,Load!G:G,0,)</f>
        <v>Large Multipack (More than 80 ct)</v>
      </c>
      <c r="G1950" t="str">
        <f>_xlfn.XLOOKUP($A1950,Load!$B:$B,Load!H:H,0,)</f>
        <v>Stand-Up Bag</v>
      </c>
      <c r="H1950" t="str">
        <f>_xlfn.XLOOKUP($A1950,Load!$B:$B,Load!I:I,0,)</f>
        <v>Everyday Candy Shapes (like Original, Gummy bear, Fruit, Jewels, etc.)</v>
      </c>
      <c r="I1950" t="str">
        <f>_xlfn.XLOOKUP($A1950,Load!$B:$B,Load!J:J,0,)</f>
        <v>Everyday Graphics</v>
      </c>
      <c r="J1950" t="str">
        <f>_xlfn.XLOOKUP($A1950,Load!$B:$B,Load!K:K,0,)</f>
        <v>Fun Size / Treat Size</v>
      </c>
      <c r="K1950" t="str">
        <f>_xlfn.XLOOKUP($A1950,Load!$B:$B,Load!L:L,0,)</f>
        <v>Regular/Original Wrapping</v>
      </c>
      <c r="L1950" t="str">
        <f>_xlfn.XLOOKUP($A1950,Load!$B:$B,Load!M:M,0,)</f>
        <v>Multiple Brands / Variety Flavors or Form</v>
      </c>
    </row>
    <row r="1951" spans="1:12" x14ac:dyDescent="0.25">
      <c r="A1951" t="s">
        <v>170</v>
      </c>
      <c r="B1951" t="str">
        <f>_xlfn.XLOOKUP($A1951,Load!$B:$B,Load!C:C,0,)</f>
        <v>Laffy Taffy</v>
      </c>
      <c r="C1951" t="str">
        <f>_xlfn.XLOOKUP($A1951,Load!$B:$B,Load!D:D,0,)</f>
        <v>Non-Chocolate Candy Only</v>
      </c>
      <c r="D1951" t="str">
        <f>_xlfn.XLOOKUP($A1951,Load!$B:$B,Load!E:E,0,)</f>
        <v>Fruit Flavor (Cherry, Grape, Apple, Citrus, Tropical Fruit)</v>
      </c>
      <c r="E1951" t="str">
        <f>_xlfn.XLOOKUP($A1951,Load!$B:$B,Load!F:F,0,)</f>
        <v>Taffy</v>
      </c>
      <c r="F1951" t="str">
        <f>_xlfn.XLOOKUP($A1951,Load!$B:$B,Load!G:G,0,)</f>
        <v>Large Multipack (More than 80 ct)</v>
      </c>
      <c r="G1951" t="str">
        <f>_xlfn.XLOOKUP($A1951,Load!$B:$B,Load!H:H,0,)</f>
        <v>Stand-Up Bag</v>
      </c>
      <c r="H1951" t="str">
        <f>_xlfn.XLOOKUP($A1951,Load!$B:$B,Load!I:I,0,)</f>
        <v>Everyday Candy Shapes (like Original, Gummy bear, Fruit, Jewels, etc.)</v>
      </c>
      <c r="I1951" t="str">
        <f>_xlfn.XLOOKUP($A1951,Load!$B:$B,Load!J:J,0,)</f>
        <v>Everyday Graphics</v>
      </c>
      <c r="J1951" t="str">
        <f>_xlfn.XLOOKUP($A1951,Load!$B:$B,Load!K:K,0,)</f>
        <v>Fun Size / Treat Size</v>
      </c>
      <c r="K1951" t="str">
        <f>_xlfn.XLOOKUP($A1951,Load!$B:$B,Load!L:L,0,)</f>
        <v>Regular/Original Wrapping</v>
      </c>
      <c r="L1951" t="str">
        <f>_xlfn.XLOOKUP($A1951,Load!$B:$B,Load!M:M,0,)</f>
        <v>Single Brand / Variety Flavors or Form</v>
      </c>
    </row>
    <row r="1952" spans="1:12" x14ac:dyDescent="0.25">
      <c r="A1952" t="s">
        <v>294</v>
      </c>
      <c r="B1952" t="str">
        <f>_xlfn.XLOOKUP($A1952,Load!$B:$B,Load!C:C,0,)</f>
        <v>Tootsie</v>
      </c>
      <c r="C1952" t="str">
        <f>_xlfn.XLOOKUP($A1952,Load!$B:$B,Load!D:D,0,)</f>
        <v>Non-Chocolate Candy Only</v>
      </c>
      <c r="D1952" t="str">
        <f>_xlfn.XLOOKUP($A1952,Load!$B:$B,Load!E:E,0,)</f>
        <v>Sweet</v>
      </c>
      <c r="E1952" t="str">
        <f>_xlfn.XLOOKUP($A1952,Load!$B:$B,Load!F:F,0,)</f>
        <v>Lollipop (regular or lollipop rings)</v>
      </c>
      <c r="F1952" t="str">
        <f>_xlfn.XLOOKUP($A1952,Load!$B:$B,Load!G:G,0,)</f>
        <v>Large Multipack (More than 80 ct)</v>
      </c>
      <c r="G1952" t="str">
        <f>_xlfn.XLOOKUP($A1952,Load!$B:$B,Load!H:H,0,)</f>
        <v>Laydown Bag</v>
      </c>
      <c r="H1952" t="str">
        <f>_xlfn.XLOOKUP($A1952,Load!$B:$B,Load!I:I,0,)</f>
        <v>Everyday Candy Shapes (like Original, Gummy bear, Fruit, Jewels, etc.)</v>
      </c>
      <c r="I1952" t="str">
        <f>_xlfn.XLOOKUP($A1952,Load!$B:$B,Load!J:J,0,)</f>
        <v>Everyday Graphics</v>
      </c>
      <c r="J1952" t="str">
        <f>_xlfn.XLOOKUP($A1952,Load!$B:$B,Load!K:K,0,)</f>
        <v>Regular Lollipop size (on sticks or rings)</v>
      </c>
      <c r="K1952" t="str">
        <f>_xlfn.XLOOKUP($A1952,Load!$B:$B,Load!L:L,0,)</f>
        <v>Regular/Original Wrapping</v>
      </c>
      <c r="L1952" t="str">
        <f>_xlfn.XLOOKUP($A1952,Load!$B:$B,Load!M:M,0,)</f>
        <v>Single Brand / Single Flavor or Form</v>
      </c>
    </row>
    <row r="1953" spans="1:12" x14ac:dyDescent="0.25">
      <c r="A1953" t="s">
        <v>284</v>
      </c>
      <c r="B1953" t="str">
        <f>_xlfn.XLOOKUP($A1953,Load!$B:$B,Load!C:C,0,)</f>
        <v>Starburst</v>
      </c>
      <c r="C1953" t="str">
        <f>_xlfn.XLOOKUP($A1953,Load!$B:$B,Load!D:D,0,)</f>
        <v>Non-Chocolate Candy Only</v>
      </c>
      <c r="D1953" t="str">
        <f>_xlfn.XLOOKUP($A1953,Load!$B:$B,Load!E:E,0,)</f>
        <v>Fruit Flavor (Cherry, Grape, Apple, Citrus, Tropical Fruit)</v>
      </c>
      <c r="E1953" t="str">
        <f>_xlfn.XLOOKUP($A1953,Load!$B:$B,Load!F:F,0,)</f>
        <v>Lollipop (regular or lollipop rings)</v>
      </c>
      <c r="F1953" t="str">
        <f>_xlfn.XLOOKUP($A1953,Load!$B:$B,Load!G:G,0,)</f>
        <v>Single Pack</v>
      </c>
      <c r="G1953" t="str">
        <f>_xlfn.XLOOKUP($A1953,Load!$B:$B,Load!H:H,0,)</f>
        <v>Laydown Bag</v>
      </c>
      <c r="H1953" t="str">
        <f>_xlfn.XLOOKUP($A1953,Load!$B:$B,Load!I:I,0,)</f>
        <v>Everyday Candy Shapes (like Original, Gummy bear, Fruit, Jewels, etc.)</v>
      </c>
      <c r="I1953" t="str">
        <f>_xlfn.XLOOKUP($A1953,Load!$B:$B,Load!J:J,0,)</f>
        <v>Seasonal Graphics (Like Bat, Ghost, Pumpkin, Fall Leaves, Eyeballs, etc.)</v>
      </c>
      <c r="J1953" t="str">
        <f>_xlfn.XLOOKUP($A1953,Load!$B:$B,Load!K:K,0,)</f>
        <v>Regular Lollipop size (on sticks or rings)</v>
      </c>
      <c r="K1953" t="str">
        <f>_xlfn.XLOOKUP($A1953,Load!$B:$B,Load!L:L,0,)</f>
        <v>Regular/Original Wrapping</v>
      </c>
      <c r="L1953" t="str">
        <f>_xlfn.XLOOKUP($A1953,Load!$B:$B,Load!M:M,0,)</f>
        <v>Single Brand / Single Flavor or Form</v>
      </c>
    </row>
    <row r="1954" spans="1:12" x14ac:dyDescent="0.25">
      <c r="B1954">
        <f>_xlfn.XLOOKUP($A1954,Load!$B:$B,Load!C:C,0,)</f>
        <v>0</v>
      </c>
      <c r="C1954">
        <f>_xlfn.XLOOKUP($A1954,Load!$B:$B,Load!D:D,0,)</f>
        <v>0</v>
      </c>
      <c r="D1954">
        <f>_xlfn.XLOOKUP($A1954,Load!$B:$B,Load!E:E,0,)</f>
        <v>0</v>
      </c>
      <c r="E1954">
        <f>_xlfn.XLOOKUP($A1954,Load!$B:$B,Load!F:F,0,)</f>
        <v>0</v>
      </c>
      <c r="F1954">
        <f>_xlfn.XLOOKUP($A1954,Load!$B:$B,Load!G:G,0,)</f>
        <v>0</v>
      </c>
      <c r="G1954">
        <f>_xlfn.XLOOKUP($A1954,Load!$B:$B,Load!H:H,0,)</f>
        <v>0</v>
      </c>
      <c r="H1954">
        <f>_xlfn.XLOOKUP($A1954,Load!$B:$B,Load!I:I,0,)</f>
        <v>0</v>
      </c>
      <c r="I1954">
        <f>_xlfn.XLOOKUP($A1954,Load!$B:$B,Load!J:J,0,)</f>
        <v>0</v>
      </c>
      <c r="J1954">
        <f>_xlfn.XLOOKUP($A1954,Load!$B:$B,Load!K:K,0,)</f>
        <v>0</v>
      </c>
      <c r="K1954">
        <f>_xlfn.XLOOKUP($A1954,Load!$B:$B,Load!L:L,0,)</f>
        <v>0</v>
      </c>
      <c r="L1954">
        <f>_xlfn.XLOOKUP($A1954,Load!$B:$B,Load!M:M,0,)</f>
        <v>0</v>
      </c>
    </row>
    <row r="1955" spans="1:12" x14ac:dyDescent="0.25">
      <c r="B1955">
        <f>_xlfn.XLOOKUP($A1955,Load!$B:$B,Load!C:C,0,)</f>
        <v>0</v>
      </c>
      <c r="C1955">
        <f>_xlfn.XLOOKUP($A1955,Load!$B:$B,Load!D:D,0,)</f>
        <v>0</v>
      </c>
      <c r="D1955">
        <f>_xlfn.XLOOKUP($A1955,Load!$B:$B,Load!E:E,0,)</f>
        <v>0</v>
      </c>
      <c r="E1955">
        <f>_xlfn.XLOOKUP($A1955,Load!$B:$B,Load!F:F,0,)</f>
        <v>0</v>
      </c>
      <c r="F1955">
        <f>_xlfn.XLOOKUP($A1955,Load!$B:$B,Load!G:G,0,)</f>
        <v>0</v>
      </c>
      <c r="G1955">
        <f>_xlfn.XLOOKUP($A1955,Load!$B:$B,Load!H:H,0,)</f>
        <v>0</v>
      </c>
      <c r="H1955">
        <f>_xlfn.XLOOKUP($A1955,Load!$B:$B,Load!I:I,0,)</f>
        <v>0</v>
      </c>
      <c r="I1955">
        <f>_xlfn.XLOOKUP($A1955,Load!$B:$B,Load!J:J,0,)</f>
        <v>0</v>
      </c>
      <c r="J1955">
        <f>_xlfn.XLOOKUP($A1955,Load!$B:$B,Load!K:K,0,)</f>
        <v>0</v>
      </c>
      <c r="K1955">
        <f>_xlfn.XLOOKUP($A1955,Load!$B:$B,Load!L:L,0,)</f>
        <v>0</v>
      </c>
      <c r="L1955">
        <f>_xlfn.XLOOKUP($A1955,Load!$B:$B,Load!M:M,0,)</f>
        <v>0</v>
      </c>
    </row>
    <row r="1956" spans="1:12" x14ac:dyDescent="0.25">
      <c r="A1956" t="s">
        <v>184</v>
      </c>
      <c r="B1956" t="str">
        <f>_xlfn.XLOOKUP($A1956,Load!$B:$B,Load!C:C,0,)</f>
        <v>Mars Variety Pack</v>
      </c>
      <c r="C1956" t="str">
        <f>_xlfn.XLOOKUP($A1956,Load!$B:$B,Load!D:D,0,)</f>
        <v>Mix of Chocolate and Non-Chocolate Candy</v>
      </c>
      <c r="D1956" t="str">
        <f>_xlfn.XLOOKUP($A1956,Load!$B:$B,Load!E:E,0,)</f>
        <v>Variety / Mixed Flavors (Fruity, Sour, Seasonal Flavors)</v>
      </c>
      <c r="E1956" t="str">
        <f>_xlfn.XLOOKUP($A1956,Load!$B:$B,Load!F:F,0,)</f>
        <v>Mixed / Combo Packs (Gummy, Chewy, Taffy, etc.)</v>
      </c>
      <c r="F1956" t="str">
        <f>_xlfn.XLOOKUP($A1956,Load!$B:$B,Load!G:G,0,)</f>
        <v>Large Multipack (More than 80 ct)</v>
      </c>
      <c r="G1956" t="str">
        <f>_xlfn.XLOOKUP($A1956,Load!$B:$B,Load!H:H,0,)</f>
        <v>Stand-Up Bag</v>
      </c>
      <c r="H1956" t="str">
        <f>_xlfn.XLOOKUP($A1956,Load!$B:$B,Load!I:I,0,)</f>
        <v>Everyday Candy Shapes (like Original, Gummy bear, Fruit, Jewels, etc.)</v>
      </c>
      <c r="I1956" t="str">
        <f>_xlfn.XLOOKUP($A1956,Load!$B:$B,Load!J:J,0,)</f>
        <v>Seasonal Graphics (Like Bat, Ghost, Pumpkin, Fall Leaves, Eyeballs, etc.)</v>
      </c>
      <c r="J1956" t="str">
        <f>_xlfn.XLOOKUP($A1956,Load!$B:$B,Load!K:K,0,)</f>
        <v>Fun Size / Treat Size</v>
      </c>
      <c r="K1956" t="str">
        <f>_xlfn.XLOOKUP($A1956,Load!$B:$B,Load!L:L,0,)</f>
        <v>Regular/Original Wrapping</v>
      </c>
      <c r="L1956" t="str">
        <f>_xlfn.XLOOKUP($A1956,Load!$B:$B,Load!M:M,0,)</f>
        <v>Multiple Brands / Variety Flavors or Form</v>
      </c>
    </row>
    <row r="1957" spans="1:12" x14ac:dyDescent="0.25">
      <c r="A1957" t="s">
        <v>131</v>
      </c>
      <c r="B1957" t="str">
        <f>_xlfn.XLOOKUP($A1957,Load!$B:$B,Load!C:C,0,)</f>
        <v>Hershey's</v>
      </c>
      <c r="C1957" t="str">
        <f>_xlfn.XLOOKUP($A1957,Load!$B:$B,Load!D:D,0,)</f>
        <v>Mix of Chocolate and Non-Chocolate Candy</v>
      </c>
      <c r="D1957" t="str">
        <f>_xlfn.XLOOKUP($A1957,Load!$B:$B,Load!E:E,0,)</f>
        <v>Variety / Mixed Flavors (Fruity, Sour, Seasonal Flavors)</v>
      </c>
      <c r="E1957" t="str">
        <f>_xlfn.XLOOKUP($A1957,Load!$B:$B,Load!F:F,0,)</f>
        <v>Mixed / Combo Packs (Gummy, Chewy, Taffy, etc.)</v>
      </c>
      <c r="F1957" t="str">
        <f>_xlfn.XLOOKUP($A1957,Load!$B:$B,Load!G:G,0,)</f>
        <v>Large Multipack (More than 80 ct)</v>
      </c>
      <c r="G1957" t="str">
        <f>_xlfn.XLOOKUP($A1957,Load!$B:$B,Load!H:H,0,)</f>
        <v>Stand-Up Bag</v>
      </c>
      <c r="H1957" t="str">
        <f>_xlfn.XLOOKUP($A1957,Load!$B:$B,Load!I:I,0,)</f>
        <v>Everyday Candy Shapes (like Original, Gummy bear, Fruit, Jewels, etc.)</v>
      </c>
      <c r="I1957" t="str">
        <f>_xlfn.XLOOKUP($A1957,Load!$B:$B,Load!J:J,0,)</f>
        <v>Seasonal Graphics (Like Bat, Ghost, Pumpkin, Fall Leaves, Eyeballs, etc.)</v>
      </c>
      <c r="J1957" t="str">
        <f>_xlfn.XLOOKUP($A1957,Load!$B:$B,Load!K:K,0,)</f>
        <v>Fun Size / Treat Size</v>
      </c>
      <c r="K1957" t="str">
        <f>_xlfn.XLOOKUP($A1957,Load!$B:$B,Load!L:L,0,)</f>
        <v>Regular/Original Wrapping</v>
      </c>
      <c r="L1957" t="str">
        <f>_xlfn.XLOOKUP($A1957,Load!$B:$B,Load!M:M,0,)</f>
        <v>Multiple Brands / Variety Flavors or Form</v>
      </c>
    </row>
    <row r="1958" spans="1:12" x14ac:dyDescent="0.25">
      <c r="B1958">
        <f>_xlfn.XLOOKUP($A1958,Load!$B:$B,Load!C:C,0,)</f>
        <v>0</v>
      </c>
      <c r="C1958">
        <f>_xlfn.XLOOKUP($A1958,Load!$B:$B,Load!D:D,0,)</f>
        <v>0</v>
      </c>
      <c r="D1958">
        <f>_xlfn.XLOOKUP($A1958,Load!$B:$B,Load!E:E,0,)</f>
        <v>0</v>
      </c>
      <c r="E1958">
        <f>_xlfn.XLOOKUP($A1958,Load!$B:$B,Load!F:F,0,)</f>
        <v>0</v>
      </c>
      <c r="F1958">
        <f>_xlfn.XLOOKUP($A1958,Load!$B:$B,Load!G:G,0,)</f>
        <v>0</v>
      </c>
      <c r="G1958">
        <f>_xlfn.XLOOKUP($A1958,Load!$B:$B,Load!H:H,0,)</f>
        <v>0</v>
      </c>
      <c r="H1958">
        <f>_xlfn.XLOOKUP($A1958,Load!$B:$B,Load!I:I,0,)</f>
        <v>0</v>
      </c>
      <c r="I1958">
        <f>_xlfn.XLOOKUP($A1958,Load!$B:$B,Load!J:J,0,)</f>
        <v>0</v>
      </c>
      <c r="J1958">
        <f>_xlfn.XLOOKUP($A1958,Load!$B:$B,Load!K:K,0,)</f>
        <v>0</v>
      </c>
      <c r="K1958">
        <f>_xlfn.XLOOKUP($A1958,Load!$B:$B,Load!L:L,0,)</f>
        <v>0</v>
      </c>
      <c r="L1958">
        <f>_xlfn.XLOOKUP($A1958,Load!$B:$B,Load!M:M,0,)</f>
        <v>0</v>
      </c>
    </row>
    <row r="1959" spans="1:12" x14ac:dyDescent="0.25">
      <c r="B1959">
        <f>_xlfn.XLOOKUP($A1959,Load!$B:$B,Load!C:C,0,)</f>
        <v>0</v>
      </c>
      <c r="C1959">
        <f>_xlfn.XLOOKUP($A1959,Load!$B:$B,Load!D:D,0,)</f>
        <v>0</v>
      </c>
      <c r="D1959">
        <f>_xlfn.XLOOKUP($A1959,Load!$B:$B,Load!E:E,0,)</f>
        <v>0</v>
      </c>
      <c r="E1959">
        <f>_xlfn.XLOOKUP($A1959,Load!$B:$B,Load!F:F,0,)</f>
        <v>0</v>
      </c>
      <c r="F1959">
        <f>_xlfn.XLOOKUP($A1959,Load!$B:$B,Load!G:G,0,)</f>
        <v>0</v>
      </c>
      <c r="G1959">
        <f>_xlfn.XLOOKUP($A1959,Load!$B:$B,Load!H:H,0,)</f>
        <v>0</v>
      </c>
      <c r="H1959">
        <f>_xlfn.XLOOKUP($A1959,Load!$B:$B,Load!I:I,0,)</f>
        <v>0</v>
      </c>
      <c r="I1959">
        <f>_xlfn.XLOOKUP($A1959,Load!$B:$B,Load!J:J,0,)</f>
        <v>0</v>
      </c>
      <c r="J1959">
        <f>_xlfn.XLOOKUP($A1959,Load!$B:$B,Load!K:K,0,)</f>
        <v>0</v>
      </c>
      <c r="K1959">
        <f>_xlfn.XLOOKUP($A1959,Load!$B:$B,Load!L:L,0,)</f>
        <v>0</v>
      </c>
      <c r="L1959">
        <f>_xlfn.XLOOKUP($A1959,Load!$B:$B,Load!M:M,0,)</f>
        <v>0</v>
      </c>
    </row>
    <row r="1960" spans="1:12" x14ac:dyDescent="0.25">
      <c r="B1960">
        <f>_xlfn.XLOOKUP($A1960,Load!$B:$B,Load!C:C,0,)</f>
        <v>0</v>
      </c>
      <c r="C1960">
        <f>_xlfn.XLOOKUP($A1960,Load!$B:$B,Load!D:D,0,)</f>
        <v>0</v>
      </c>
      <c r="D1960">
        <f>_xlfn.XLOOKUP($A1960,Load!$B:$B,Load!E:E,0,)</f>
        <v>0</v>
      </c>
      <c r="E1960">
        <f>_xlfn.XLOOKUP($A1960,Load!$B:$B,Load!F:F,0,)</f>
        <v>0</v>
      </c>
      <c r="F1960">
        <f>_xlfn.XLOOKUP($A1960,Load!$B:$B,Load!G:G,0,)</f>
        <v>0</v>
      </c>
      <c r="G1960">
        <f>_xlfn.XLOOKUP($A1960,Load!$B:$B,Load!H:H,0,)</f>
        <v>0</v>
      </c>
      <c r="H1960">
        <f>_xlfn.XLOOKUP($A1960,Load!$B:$B,Load!I:I,0,)</f>
        <v>0</v>
      </c>
      <c r="I1960">
        <f>_xlfn.XLOOKUP($A1960,Load!$B:$B,Load!J:J,0,)</f>
        <v>0</v>
      </c>
      <c r="J1960">
        <f>_xlfn.XLOOKUP($A1960,Load!$B:$B,Load!K:K,0,)</f>
        <v>0</v>
      </c>
      <c r="K1960">
        <f>_xlfn.XLOOKUP($A1960,Load!$B:$B,Load!L:L,0,)</f>
        <v>0</v>
      </c>
      <c r="L1960">
        <f>_xlfn.XLOOKUP($A1960,Load!$B:$B,Load!M:M,0,)</f>
        <v>0</v>
      </c>
    </row>
    <row r="1961" spans="1:12" x14ac:dyDescent="0.25">
      <c r="B1961">
        <f>_xlfn.XLOOKUP($A1961,Load!$B:$B,Load!C:C,0,)</f>
        <v>0</v>
      </c>
      <c r="C1961">
        <f>_xlfn.XLOOKUP($A1961,Load!$B:$B,Load!D:D,0,)</f>
        <v>0</v>
      </c>
      <c r="D1961">
        <f>_xlfn.XLOOKUP($A1961,Load!$B:$B,Load!E:E,0,)</f>
        <v>0</v>
      </c>
      <c r="E1961">
        <f>_xlfn.XLOOKUP($A1961,Load!$B:$B,Load!F:F,0,)</f>
        <v>0</v>
      </c>
      <c r="F1961">
        <f>_xlfn.XLOOKUP($A1961,Load!$B:$B,Load!G:G,0,)</f>
        <v>0</v>
      </c>
      <c r="G1961">
        <f>_xlfn.XLOOKUP($A1961,Load!$B:$B,Load!H:H,0,)</f>
        <v>0</v>
      </c>
      <c r="H1961">
        <f>_xlfn.XLOOKUP($A1961,Load!$B:$B,Load!I:I,0,)</f>
        <v>0</v>
      </c>
      <c r="I1961">
        <f>_xlfn.XLOOKUP($A1961,Load!$B:$B,Load!J:J,0,)</f>
        <v>0</v>
      </c>
      <c r="J1961">
        <f>_xlfn.XLOOKUP($A1961,Load!$B:$B,Load!K:K,0,)</f>
        <v>0</v>
      </c>
      <c r="K1961">
        <f>_xlfn.XLOOKUP($A1961,Load!$B:$B,Load!L:L,0,)</f>
        <v>0</v>
      </c>
      <c r="L1961">
        <f>_xlfn.XLOOKUP($A1961,Load!$B:$B,Load!M:M,0,)</f>
        <v>0</v>
      </c>
    </row>
    <row r="1962" spans="1:12" x14ac:dyDescent="0.25">
      <c r="B1962">
        <f>_xlfn.XLOOKUP($A1962,Load!$B:$B,Load!C:C,0,)</f>
        <v>0</v>
      </c>
      <c r="C1962">
        <f>_xlfn.XLOOKUP($A1962,Load!$B:$B,Load!D:D,0,)</f>
        <v>0</v>
      </c>
      <c r="D1962">
        <f>_xlfn.XLOOKUP($A1962,Load!$B:$B,Load!E:E,0,)</f>
        <v>0</v>
      </c>
      <c r="E1962">
        <f>_xlfn.XLOOKUP($A1962,Load!$B:$B,Load!F:F,0,)</f>
        <v>0</v>
      </c>
      <c r="F1962">
        <f>_xlfn.XLOOKUP($A1962,Load!$B:$B,Load!G:G,0,)</f>
        <v>0</v>
      </c>
      <c r="G1962">
        <f>_xlfn.XLOOKUP($A1962,Load!$B:$B,Load!H:H,0,)</f>
        <v>0</v>
      </c>
      <c r="H1962">
        <f>_xlfn.XLOOKUP($A1962,Load!$B:$B,Load!I:I,0,)</f>
        <v>0</v>
      </c>
      <c r="I1962">
        <f>_xlfn.XLOOKUP($A1962,Load!$B:$B,Load!J:J,0,)</f>
        <v>0</v>
      </c>
      <c r="J1962">
        <f>_xlfn.XLOOKUP($A1962,Load!$B:$B,Load!K:K,0,)</f>
        <v>0</v>
      </c>
      <c r="K1962">
        <f>_xlfn.XLOOKUP($A1962,Load!$B:$B,Load!L:L,0,)</f>
        <v>0</v>
      </c>
      <c r="L1962">
        <f>_xlfn.XLOOKUP($A1962,Load!$B:$B,Load!M:M,0,)</f>
        <v>0</v>
      </c>
    </row>
    <row r="1963" spans="1:12" x14ac:dyDescent="0.25">
      <c r="B1963">
        <f>_xlfn.XLOOKUP($A1963,Load!$B:$B,Load!C:C,0,)</f>
        <v>0</v>
      </c>
      <c r="C1963">
        <f>_xlfn.XLOOKUP($A1963,Load!$B:$B,Load!D:D,0,)</f>
        <v>0</v>
      </c>
      <c r="D1963">
        <f>_xlfn.XLOOKUP($A1963,Load!$B:$B,Load!E:E,0,)</f>
        <v>0</v>
      </c>
      <c r="E1963">
        <f>_xlfn.XLOOKUP($A1963,Load!$B:$B,Load!F:F,0,)</f>
        <v>0</v>
      </c>
      <c r="F1963">
        <f>_xlfn.XLOOKUP($A1963,Load!$B:$B,Load!G:G,0,)</f>
        <v>0</v>
      </c>
      <c r="G1963">
        <f>_xlfn.XLOOKUP($A1963,Load!$B:$B,Load!H:H,0,)</f>
        <v>0</v>
      </c>
      <c r="H1963">
        <f>_xlfn.XLOOKUP($A1963,Load!$B:$B,Load!I:I,0,)</f>
        <v>0</v>
      </c>
      <c r="I1963">
        <f>_xlfn.XLOOKUP($A1963,Load!$B:$B,Load!J:J,0,)</f>
        <v>0</v>
      </c>
      <c r="J1963">
        <f>_xlfn.XLOOKUP($A1963,Load!$B:$B,Load!K:K,0,)</f>
        <v>0</v>
      </c>
      <c r="K1963">
        <f>_xlfn.XLOOKUP($A1963,Load!$B:$B,Load!L:L,0,)</f>
        <v>0</v>
      </c>
      <c r="L1963">
        <f>_xlfn.XLOOKUP($A1963,Load!$B:$B,Load!M:M,0,)</f>
        <v>0</v>
      </c>
    </row>
    <row r="1964" spans="1:12" x14ac:dyDescent="0.25">
      <c r="B1964">
        <f>_xlfn.XLOOKUP($A1964,Load!$B:$B,Load!C:C,0,)</f>
        <v>0</v>
      </c>
      <c r="C1964">
        <f>_xlfn.XLOOKUP($A1964,Load!$B:$B,Load!D:D,0,)</f>
        <v>0</v>
      </c>
      <c r="D1964">
        <f>_xlfn.XLOOKUP($A1964,Load!$B:$B,Load!E:E,0,)</f>
        <v>0</v>
      </c>
      <c r="E1964">
        <f>_xlfn.XLOOKUP($A1964,Load!$B:$B,Load!F:F,0,)</f>
        <v>0</v>
      </c>
      <c r="F1964">
        <f>_xlfn.XLOOKUP($A1964,Load!$B:$B,Load!G:G,0,)</f>
        <v>0</v>
      </c>
      <c r="G1964">
        <f>_xlfn.XLOOKUP($A1964,Load!$B:$B,Load!H:H,0,)</f>
        <v>0</v>
      </c>
      <c r="H1964">
        <f>_xlfn.XLOOKUP($A1964,Load!$B:$B,Load!I:I,0,)</f>
        <v>0</v>
      </c>
      <c r="I1964">
        <f>_xlfn.XLOOKUP($A1964,Load!$B:$B,Load!J:J,0,)</f>
        <v>0</v>
      </c>
      <c r="J1964">
        <f>_xlfn.XLOOKUP($A1964,Load!$B:$B,Load!K:K,0,)</f>
        <v>0</v>
      </c>
      <c r="K1964">
        <f>_xlfn.XLOOKUP($A1964,Load!$B:$B,Load!L:L,0,)</f>
        <v>0</v>
      </c>
      <c r="L1964">
        <f>_xlfn.XLOOKUP($A1964,Load!$B:$B,Load!M:M,0,)</f>
        <v>0</v>
      </c>
    </row>
    <row r="1965" spans="1:12" x14ac:dyDescent="0.25">
      <c r="B1965">
        <f>_xlfn.XLOOKUP($A1965,Load!$B:$B,Load!C:C,0,)</f>
        <v>0</v>
      </c>
      <c r="C1965">
        <f>_xlfn.XLOOKUP($A1965,Load!$B:$B,Load!D:D,0,)</f>
        <v>0</v>
      </c>
      <c r="D1965">
        <f>_xlfn.XLOOKUP($A1965,Load!$B:$B,Load!E:E,0,)</f>
        <v>0</v>
      </c>
      <c r="E1965">
        <f>_xlfn.XLOOKUP($A1965,Load!$B:$B,Load!F:F,0,)</f>
        <v>0</v>
      </c>
      <c r="F1965">
        <f>_xlfn.XLOOKUP($A1965,Load!$B:$B,Load!G:G,0,)</f>
        <v>0</v>
      </c>
      <c r="G1965">
        <f>_xlfn.XLOOKUP($A1965,Load!$B:$B,Load!H:H,0,)</f>
        <v>0</v>
      </c>
      <c r="H1965">
        <f>_xlfn.XLOOKUP($A1965,Load!$B:$B,Load!I:I,0,)</f>
        <v>0</v>
      </c>
      <c r="I1965">
        <f>_xlfn.XLOOKUP($A1965,Load!$B:$B,Load!J:J,0,)</f>
        <v>0</v>
      </c>
      <c r="J1965">
        <f>_xlfn.XLOOKUP($A1965,Load!$B:$B,Load!K:K,0,)</f>
        <v>0</v>
      </c>
      <c r="K1965">
        <f>_xlfn.XLOOKUP($A1965,Load!$B:$B,Load!L:L,0,)</f>
        <v>0</v>
      </c>
      <c r="L1965">
        <f>_xlfn.XLOOKUP($A1965,Load!$B:$B,Load!M:M,0,)</f>
        <v>0</v>
      </c>
    </row>
    <row r="1966" spans="1:12" x14ac:dyDescent="0.25">
      <c r="B1966">
        <f>_xlfn.XLOOKUP($A1966,Load!$B:$B,Load!C:C,0,)</f>
        <v>0</v>
      </c>
      <c r="C1966">
        <f>_xlfn.XLOOKUP($A1966,Load!$B:$B,Load!D:D,0,)</f>
        <v>0</v>
      </c>
      <c r="D1966">
        <f>_xlfn.XLOOKUP($A1966,Load!$B:$B,Load!E:E,0,)</f>
        <v>0</v>
      </c>
      <c r="E1966">
        <f>_xlfn.XLOOKUP($A1966,Load!$B:$B,Load!F:F,0,)</f>
        <v>0</v>
      </c>
      <c r="F1966">
        <f>_xlfn.XLOOKUP($A1966,Load!$B:$B,Load!G:G,0,)</f>
        <v>0</v>
      </c>
      <c r="G1966">
        <f>_xlfn.XLOOKUP($A1966,Load!$B:$B,Load!H:H,0,)</f>
        <v>0</v>
      </c>
      <c r="H1966">
        <f>_xlfn.XLOOKUP($A1966,Load!$B:$B,Load!I:I,0,)</f>
        <v>0</v>
      </c>
      <c r="I1966">
        <f>_xlfn.XLOOKUP($A1966,Load!$B:$B,Load!J:J,0,)</f>
        <v>0</v>
      </c>
      <c r="J1966">
        <f>_xlfn.XLOOKUP($A1966,Load!$B:$B,Load!K:K,0,)</f>
        <v>0</v>
      </c>
      <c r="K1966">
        <f>_xlfn.XLOOKUP($A1966,Load!$B:$B,Load!L:L,0,)</f>
        <v>0</v>
      </c>
      <c r="L1966">
        <f>_xlfn.XLOOKUP($A1966,Load!$B:$B,Load!M:M,0,)</f>
        <v>0</v>
      </c>
    </row>
    <row r="1967" spans="1:12" x14ac:dyDescent="0.25">
      <c r="B1967">
        <f>_xlfn.XLOOKUP($A1967,Load!$B:$B,Load!C:C,0,)</f>
        <v>0</v>
      </c>
      <c r="C1967">
        <f>_xlfn.XLOOKUP($A1967,Load!$B:$B,Load!D:D,0,)</f>
        <v>0</v>
      </c>
      <c r="D1967">
        <f>_xlfn.XLOOKUP($A1967,Load!$B:$B,Load!E:E,0,)</f>
        <v>0</v>
      </c>
      <c r="E1967">
        <f>_xlfn.XLOOKUP($A1967,Load!$B:$B,Load!F:F,0,)</f>
        <v>0</v>
      </c>
      <c r="F1967">
        <f>_xlfn.XLOOKUP($A1967,Load!$B:$B,Load!G:G,0,)</f>
        <v>0</v>
      </c>
      <c r="G1967">
        <f>_xlfn.XLOOKUP($A1967,Load!$B:$B,Load!H:H,0,)</f>
        <v>0</v>
      </c>
      <c r="H1967">
        <f>_xlfn.XLOOKUP($A1967,Load!$B:$B,Load!I:I,0,)</f>
        <v>0</v>
      </c>
      <c r="I1967">
        <f>_xlfn.XLOOKUP($A1967,Load!$B:$B,Load!J:J,0,)</f>
        <v>0</v>
      </c>
      <c r="J1967">
        <f>_xlfn.XLOOKUP($A1967,Load!$B:$B,Load!K:K,0,)</f>
        <v>0</v>
      </c>
      <c r="K1967">
        <f>_xlfn.XLOOKUP($A1967,Load!$B:$B,Load!L:L,0,)</f>
        <v>0</v>
      </c>
      <c r="L1967">
        <f>_xlfn.XLOOKUP($A1967,Load!$B:$B,Load!M:M,0,)</f>
        <v>0</v>
      </c>
    </row>
    <row r="1968" spans="1:12" x14ac:dyDescent="0.25">
      <c r="A1968" t="s">
        <v>304</v>
      </c>
      <c r="B1968" t="str">
        <f>_xlfn.XLOOKUP($A1968,Load!$B:$B,Load!C:C,0,)</f>
        <v>Warheads</v>
      </c>
      <c r="C1968" t="str">
        <f>_xlfn.XLOOKUP($A1968,Load!$B:$B,Load!D:D,0,)</f>
        <v>Non-Chocolate Candy Only</v>
      </c>
      <c r="D1968" t="str">
        <f>_xlfn.XLOOKUP($A1968,Load!$B:$B,Load!E:E,0,)</f>
        <v>Sour</v>
      </c>
      <c r="E1968" t="str">
        <f>_xlfn.XLOOKUP($A1968,Load!$B:$B,Load!F:F,0,)</f>
        <v>Chewy</v>
      </c>
      <c r="F1968" t="str">
        <f>_xlfn.XLOOKUP($A1968,Load!$B:$B,Load!G:G,0,)</f>
        <v>Medium Multipack (40–80 ct)</v>
      </c>
      <c r="G1968" t="str">
        <f>_xlfn.XLOOKUP($A1968,Load!$B:$B,Load!H:H,0,)</f>
        <v>Laydown Bag</v>
      </c>
      <c r="H1968" t="str">
        <f>_xlfn.XLOOKUP($A1968,Load!$B:$B,Load!I:I,0,)</f>
        <v>Everyday Candy Shapes (like Original, Gummy bear, Fruit, Jewels, etc.)</v>
      </c>
      <c r="I1968" t="str">
        <f>_xlfn.XLOOKUP($A1968,Load!$B:$B,Load!J:J,0,)</f>
        <v>Seasonal Graphics (Like Bat, Ghost, Pumpkin, Fall Leaves, Eyeballs, etc.)</v>
      </c>
      <c r="J1968" t="str">
        <f>_xlfn.XLOOKUP($A1968,Load!$B:$B,Load!K:K,0,)</f>
        <v>Fun Size / Treat Size</v>
      </c>
      <c r="K1968" t="str">
        <f>_xlfn.XLOOKUP($A1968,Load!$B:$B,Load!L:L,0,)</f>
        <v>Regular/Original Wrapping</v>
      </c>
      <c r="L1968" t="str">
        <f>_xlfn.XLOOKUP($A1968,Load!$B:$B,Load!M:M,0,)</f>
        <v>Single Brand / Single Flavor or Form</v>
      </c>
    </row>
    <row r="1969" spans="1:12" x14ac:dyDescent="0.25">
      <c r="B1969">
        <f>_xlfn.XLOOKUP($A1969,Load!$B:$B,Load!C:C,0,)</f>
        <v>0</v>
      </c>
      <c r="C1969">
        <f>_xlfn.XLOOKUP($A1969,Load!$B:$B,Load!D:D,0,)</f>
        <v>0</v>
      </c>
      <c r="D1969">
        <f>_xlfn.XLOOKUP($A1969,Load!$B:$B,Load!E:E,0,)</f>
        <v>0</v>
      </c>
      <c r="E1969">
        <f>_xlfn.XLOOKUP($A1969,Load!$B:$B,Load!F:F,0,)</f>
        <v>0</v>
      </c>
      <c r="F1969">
        <f>_xlfn.XLOOKUP($A1969,Load!$B:$B,Load!G:G,0,)</f>
        <v>0</v>
      </c>
      <c r="G1969">
        <f>_xlfn.XLOOKUP($A1969,Load!$B:$B,Load!H:H,0,)</f>
        <v>0</v>
      </c>
      <c r="H1969">
        <f>_xlfn.XLOOKUP($A1969,Load!$B:$B,Load!I:I,0,)</f>
        <v>0</v>
      </c>
      <c r="I1969">
        <f>_xlfn.XLOOKUP($A1969,Load!$B:$B,Load!J:J,0,)</f>
        <v>0</v>
      </c>
      <c r="J1969">
        <f>_xlfn.XLOOKUP($A1969,Load!$B:$B,Load!K:K,0,)</f>
        <v>0</v>
      </c>
      <c r="K1969">
        <f>_xlfn.XLOOKUP($A1969,Load!$B:$B,Load!L:L,0,)</f>
        <v>0</v>
      </c>
      <c r="L1969">
        <f>_xlfn.XLOOKUP($A1969,Load!$B:$B,Load!M:M,0,)</f>
        <v>0</v>
      </c>
    </row>
    <row r="1970" spans="1:12" x14ac:dyDescent="0.25">
      <c r="B1970">
        <f>_xlfn.XLOOKUP($A1970,Load!$B:$B,Load!C:C,0,)</f>
        <v>0</v>
      </c>
      <c r="C1970">
        <f>_xlfn.XLOOKUP($A1970,Load!$B:$B,Load!D:D,0,)</f>
        <v>0</v>
      </c>
      <c r="D1970">
        <f>_xlfn.XLOOKUP($A1970,Load!$B:$B,Load!E:E,0,)</f>
        <v>0</v>
      </c>
      <c r="E1970">
        <f>_xlfn.XLOOKUP($A1970,Load!$B:$B,Load!F:F,0,)</f>
        <v>0</v>
      </c>
      <c r="F1970">
        <f>_xlfn.XLOOKUP($A1970,Load!$B:$B,Load!G:G,0,)</f>
        <v>0</v>
      </c>
      <c r="G1970">
        <f>_xlfn.XLOOKUP($A1970,Load!$B:$B,Load!H:H,0,)</f>
        <v>0</v>
      </c>
      <c r="H1970">
        <f>_xlfn.XLOOKUP($A1970,Load!$B:$B,Load!I:I,0,)</f>
        <v>0</v>
      </c>
      <c r="I1970">
        <f>_xlfn.XLOOKUP($A1970,Load!$B:$B,Load!J:J,0,)</f>
        <v>0</v>
      </c>
      <c r="J1970">
        <f>_xlfn.XLOOKUP($A1970,Load!$B:$B,Load!K:K,0,)</f>
        <v>0</v>
      </c>
      <c r="K1970">
        <f>_xlfn.XLOOKUP($A1970,Load!$B:$B,Load!L:L,0,)</f>
        <v>0</v>
      </c>
      <c r="L1970">
        <f>_xlfn.XLOOKUP($A1970,Load!$B:$B,Load!M:M,0,)</f>
        <v>0</v>
      </c>
    </row>
    <row r="1971" spans="1:12" x14ac:dyDescent="0.25">
      <c r="B1971">
        <f>_xlfn.XLOOKUP($A1971,Load!$B:$B,Load!C:C,0,)</f>
        <v>0</v>
      </c>
      <c r="C1971">
        <f>_xlfn.XLOOKUP($A1971,Load!$B:$B,Load!D:D,0,)</f>
        <v>0</v>
      </c>
      <c r="D1971">
        <f>_xlfn.XLOOKUP($A1971,Load!$B:$B,Load!E:E,0,)</f>
        <v>0</v>
      </c>
      <c r="E1971">
        <f>_xlfn.XLOOKUP($A1971,Load!$B:$B,Load!F:F,0,)</f>
        <v>0</v>
      </c>
      <c r="F1971">
        <f>_xlfn.XLOOKUP($A1971,Load!$B:$B,Load!G:G,0,)</f>
        <v>0</v>
      </c>
      <c r="G1971">
        <f>_xlfn.XLOOKUP($A1971,Load!$B:$B,Load!H:H,0,)</f>
        <v>0</v>
      </c>
      <c r="H1971">
        <f>_xlfn.XLOOKUP($A1971,Load!$B:$B,Load!I:I,0,)</f>
        <v>0</v>
      </c>
      <c r="I1971">
        <f>_xlfn.XLOOKUP($A1971,Load!$B:$B,Load!J:J,0,)</f>
        <v>0</v>
      </c>
      <c r="J1971">
        <f>_xlfn.XLOOKUP($A1971,Load!$B:$B,Load!K:K,0,)</f>
        <v>0</v>
      </c>
      <c r="K1971">
        <f>_xlfn.XLOOKUP($A1971,Load!$B:$B,Load!L:L,0,)</f>
        <v>0</v>
      </c>
      <c r="L1971">
        <f>_xlfn.XLOOKUP($A1971,Load!$B:$B,Load!M:M,0,)</f>
        <v>0</v>
      </c>
    </row>
    <row r="1972" spans="1:12" x14ac:dyDescent="0.25">
      <c r="A1972" t="s">
        <v>236</v>
      </c>
      <c r="B1972" t="str">
        <f>_xlfn.XLOOKUP($A1972,Load!$B:$B,Load!C:C,0,)</f>
        <v>Nerds</v>
      </c>
      <c r="C1972" t="str">
        <f>_xlfn.XLOOKUP($A1972,Load!$B:$B,Load!D:D,0,)</f>
        <v>Non-Chocolate Candy Only</v>
      </c>
      <c r="D1972" t="str">
        <f>_xlfn.XLOOKUP($A1972,Load!$B:$B,Load!E:E,0,)</f>
        <v>Variety / Mixed Flavors (Fruity, Sour, Seasonal Flavors)</v>
      </c>
      <c r="E1972" t="str">
        <f>_xlfn.XLOOKUP($A1972,Load!$B:$B,Load!F:F,0,)</f>
        <v>Candy Pieces / Bites</v>
      </c>
      <c r="F1972" t="str">
        <f>_xlfn.XLOOKUP($A1972,Load!$B:$B,Load!G:G,0,)</f>
        <v>Medium Multipack (40–80 ct)</v>
      </c>
      <c r="G1972" t="str">
        <f>_xlfn.XLOOKUP($A1972,Load!$B:$B,Load!H:H,0,)</f>
        <v>Stand-Up Bag</v>
      </c>
      <c r="H1972" t="str">
        <f>_xlfn.XLOOKUP($A1972,Load!$B:$B,Load!I:I,0,)</f>
        <v>Everyday Candy Shapes (like Original, Gummy bear, Fruit, Jewels, etc.)</v>
      </c>
      <c r="I1972" t="str">
        <f>_xlfn.XLOOKUP($A1972,Load!$B:$B,Load!J:J,0,)</f>
        <v>Seasonal Graphics (Like Bat, Ghost, Pumpkin, Fall Leaves, Eyeballs, etc.)</v>
      </c>
      <c r="J1972" t="str">
        <f>_xlfn.XLOOKUP($A1972,Load!$B:$B,Load!K:K,0,)</f>
        <v>Small Pieces (Tiny bite size candies)</v>
      </c>
      <c r="K1972" t="str">
        <f>_xlfn.XLOOKUP($A1972,Load!$B:$B,Load!L:L,0,)</f>
        <v>Unwrapped</v>
      </c>
      <c r="L1972" t="str">
        <f>_xlfn.XLOOKUP($A1972,Load!$B:$B,Load!M:M,0,)</f>
        <v>Single Brand / Variety Flavors or Form</v>
      </c>
    </row>
    <row r="1973" spans="1:12" x14ac:dyDescent="0.25">
      <c r="A1973" t="s">
        <v>463</v>
      </c>
      <c r="B1973" t="str">
        <f>_xlfn.XLOOKUP($A1973,Load!$B:$B,Load!C:C,0,)</f>
        <v>Mars Variety Pack</v>
      </c>
      <c r="C1973" t="str">
        <f>_xlfn.XLOOKUP($A1973,Load!$B:$B,Load!D:D,0,)</f>
        <v>Mix of Chocolate and Non-Chocolate Candy</v>
      </c>
      <c r="D1973" t="str">
        <f>_xlfn.XLOOKUP($A1973,Load!$B:$B,Load!E:E,0,)</f>
        <v>Variety / Mixed Flavors (Fruity, Sour, Seasonal Flavors)</v>
      </c>
      <c r="E1973" t="str">
        <f>_xlfn.XLOOKUP($A1973,Load!$B:$B,Load!F:F,0,)</f>
        <v>Mixed / Combo Packs (Gummy, Chewy, Taffy, etc.)</v>
      </c>
      <c r="F1973" t="str">
        <f>_xlfn.XLOOKUP($A1973,Load!$B:$B,Load!G:G,0,)</f>
        <v>Medium Multipack (40–80 ct)</v>
      </c>
      <c r="G1973" t="str">
        <f>_xlfn.XLOOKUP($A1973,Load!$B:$B,Load!H:H,0,)</f>
        <v>Stand-Up Bag</v>
      </c>
      <c r="H1973" t="str">
        <f>_xlfn.XLOOKUP($A1973,Load!$B:$B,Load!I:I,0,)</f>
        <v>Everyday Candy Shapes (like Original, Gummy bear, Fruit, Jewels, etc.)</v>
      </c>
      <c r="I1973" t="str">
        <f>_xlfn.XLOOKUP($A1973,Load!$B:$B,Load!J:J,0,)</f>
        <v>Seasonal Graphics (Like Bat, Ghost, Pumpkin, Fall Leaves, Eyeballs, etc.)</v>
      </c>
      <c r="J1973" t="str">
        <f>_xlfn.XLOOKUP($A1973,Load!$B:$B,Load!K:K,0,)</f>
        <v>Fun Size / Treat Size</v>
      </c>
      <c r="K1973" t="str">
        <f>_xlfn.XLOOKUP($A1973,Load!$B:$B,Load!L:L,0,)</f>
        <v>Regular/Original Wrapping</v>
      </c>
      <c r="L1973" t="str">
        <f>_xlfn.XLOOKUP($A1973,Load!$B:$B,Load!M:M,0,)</f>
        <v>Multiple Brands / Variety Flavors or Form</v>
      </c>
    </row>
    <row r="1974" spans="1:12" x14ac:dyDescent="0.25">
      <c r="B1974">
        <f>_xlfn.XLOOKUP($A1974,Load!$B:$B,Load!C:C,0,)</f>
        <v>0</v>
      </c>
      <c r="C1974">
        <f>_xlfn.XLOOKUP($A1974,Load!$B:$B,Load!D:D,0,)</f>
        <v>0</v>
      </c>
      <c r="D1974">
        <f>_xlfn.XLOOKUP($A1974,Load!$B:$B,Load!E:E,0,)</f>
        <v>0</v>
      </c>
      <c r="E1974">
        <f>_xlfn.XLOOKUP($A1974,Load!$B:$B,Load!F:F,0,)</f>
        <v>0</v>
      </c>
      <c r="F1974">
        <f>_xlfn.XLOOKUP($A1974,Load!$B:$B,Load!G:G,0,)</f>
        <v>0</v>
      </c>
      <c r="G1974">
        <f>_xlfn.XLOOKUP($A1974,Load!$B:$B,Load!H:H,0,)</f>
        <v>0</v>
      </c>
      <c r="H1974">
        <f>_xlfn.XLOOKUP($A1974,Load!$B:$B,Load!I:I,0,)</f>
        <v>0</v>
      </c>
      <c r="I1974">
        <f>_xlfn.XLOOKUP($A1974,Load!$B:$B,Load!J:J,0,)</f>
        <v>0</v>
      </c>
      <c r="J1974">
        <f>_xlfn.XLOOKUP($A1974,Load!$B:$B,Load!K:K,0,)</f>
        <v>0</v>
      </c>
      <c r="K1974">
        <f>_xlfn.XLOOKUP($A1974,Load!$B:$B,Load!L:L,0,)</f>
        <v>0</v>
      </c>
      <c r="L1974">
        <f>_xlfn.XLOOKUP($A1974,Load!$B:$B,Load!M:M,0,)</f>
        <v>0</v>
      </c>
    </row>
    <row r="1975" spans="1:12" x14ac:dyDescent="0.25">
      <c r="B1975">
        <f>_xlfn.XLOOKUP($A1975,Load!$B:$B,Load!C:C,0,)</f>
        <v>0</v>
      </c>
      <c r="C1975">
        <f>_xlfn.XLOOKUP($A1975,Load!$B:$B,Load!D:D,0,)</f>
        <v>0</v>
      </c>
      <c r="D1975">
        <f>_xlfn.XLOOKUP($A1975,Load!$B:$B,Load!E:E,0,)</f>
        <v>0</v>
      </c>
      <c r="E1975">
        <f>_xlfn.XLOOKUP($A1975,Load!$B:$B,Load!F:F,0,)</f>
        <v>0</v>
      </c>
      <c r="F1975">
        <f>_xlfn.XLOOKUP($A1975,Load!$B:$B,Load!G:G,0,)</f>
        <v>0</v>
      </c>
      <c r="G1975">
        <f>_xlfn.XLOOKUP($A1975,Load!$B:$B,Load!H:H,0,)</f>
        <v>0</v>
      </c>
      <c r="H1975">
        <f>_xlfn.XLOOKUP($A1975,Load!$B:$B,Load!I:I,0,)</f>
        <v>0</v>
      </c>
      <c r="I1975">
        <f>_xlfn.XLOOKUP($A1975,Load!$B:$B,Load!J:J,0,)</f>
        <v>0</v>
      </c>
      <c r="J1975">
        <f>_xlfn.XLOOKUP($A1975,Load!$B:$B,Load!K:K,0,)</f>
        <v>0</v>
      </c>
      <c r="K1975">
        <f>_xlfn.XLOOKUP($A1975,Load!$B:$B,Load!L:L,0,)</f>
        <v>0</v>
      </c>
      <c r="L1975">
        <f>_xlfn.XLOOKUP($A1975,Load!$B:$B,Load!M:M,0,)</f>
        <v>0</v>
      </c>
    </row>
    <row r="1976" spans="1:12" x14ac:dyDescent="0.25">
      <c r="B1976">
        <f>_xlfn.XLOOKUP($A1976,Load!$B:$B,Load!C:C,0,)</f>
        <v>0</v>
      </c>
      <c r="C1976">
        <f>_xlfn.XLOOKUP($A1976,Load!$B:$B,Load!D:D,0,)</f>
        <v>0</v>
      </c>
      <c r="D1976">
        <f>_xlfn.XLOOKUP($A1976,Load!$B:$B,Load!E:E,0,)</f>
        <v>0</v>
      </c>
      <c r="E1976">
        <f>_xlfn.XLOOKUP($A1976,Load!$B:$B,Load!F:F,0,)</f>
        <v>0</v>
      </c>
      <c r="F1976">
        <f>_xlfn.XLOOKUP($A1976,Load!$B:$B,Load!G:G,0,)</f>
        <v>0</v>
      </c>
      <c r="G1976">
        <f>_xlfn.XLOOKUP($A1976,Load!$B:$B,Load!H:H,0,)</f>
        <v>0</v>
      </c>
      <c r="H1976">
        <f>_xlfn.XLOOKUP($A1976,Load!$B:$B,Load!I:I,0,)</f>
        <v>0</v>
      </c>
      <c r="I1976">
        <f>_xlfn.XLOOKUP($A1976,Load!$B:$B,Load!J:J,0,)</f>
        <v>0</v>
      </c>
      <c r="J1976">
        <f>_xlfn.XLOOKUP($A1976,Load!$B:$B,Load!K:K,0,)</f>
        <v>0</v>
      </c>
      <c r="K1976">
        <f>_xlfn.XLOOKUP($A1976,Load!$B:$B,Load!L:L,0,)</f>
        <v>0</v>
      </c>
      <c r="L1976">
        <f>_xlfn.XLOOKUP($A1976,Load!$B:$B,Load!M:M,0,)</f>
        <v>0</v>
      </c>
    </row>
    <row r="1977" spans="1:12" x14ac:dyDescent="0.25">
      <c r="B1977">
        <f>_xlfn.XLOOKUP($A1977,Load!$B:$B,Load!C:C,0,)</f>
        <v>0</v>
      </c>
      <c r="C1977">
        <f>_xlfn.XLOOKUP($A1977,Load!$B:$B,Load!D:D,0,)</f>
        <v>0</v>
      </c>
      <c r="D1977">
        <f>_xlfn.XLOOKUP($A1977,Load!$B:$B,Load!E:E,0,)</f>
        <v>0</v>
      </c>
      <c r="E1977">
        <f>_xlfn.XLOOKUP($A1977,Load!$B:$B,Load!F:F,0,)</f>
        <v>0</v>
      </c>
      <c r="F1977">
        <f>_xlfn.XLOOKUP($A1977,Load!$B:$B,Load!G:G,0,)</f>
        <v>0</v>
      </c>
      <c r="G1977">
        <f>_xlfn.XLOOKUP($A1977,Load!$B:$B,Load!H:H,0,)</f>
        <v>0</v>
      </c>
      <c r="H1977">
        <f>_xlfn.XLOOKUP($A1977,Load!$B:$B,Load!I:I,0,)</f>
        <v>0</v>
      </c>
      <c r="I1977">
        <f>_xlfn.XLOOKUP($A1977,Load!$B:$B,Load!J:J,0,)</f>
        <v>0</v>
      </c>
      <c r="J1977">
        <f>_xlfn.XLOOKUP($A1977,Load!$B:$B,Load!K:K,0,)</f>
        <v>0</v>
      </c>
      <c r="K1977">
        <f>_xlfn.XLOOKUP($A1977,Load!$B:$B,Load!L:L,0,)</f>
        <v>0</v>
      </c>
      <c r="L1977">
        <f>_xlfn.XLOOKUP($A1977,Load!$B:$B,Load!M:M,0,)</f>
        <v>0</v>
      </c>
    </row>
    <row r="1978" spans="1:12" x14ac:dyDescent="0.25">
      <c r="B1978">
        <f>_xlfn.XLOOKUP($A1978,Load!$B:$B,Load!C:C,0,)</f>
        <v>0</v>
      </c>
      <c r="C1978">
        <f>_xlfn.XLOOKUP($A1978,Load!$B:$B,Load!D:D,0,)</f>
        <v>0</v>
      </c>
      <c r="D1978">
        <f>_xlfn.XLOOKUP($A1978,Load!$B:$B,Load!E:E,0,)</f>
        <v>0</v>
      </c>
      <c r="E1978">
        <f>_xlfn.XLOOKUP($A1978,Load!$B:$B,Load!F:F,0,)</f>
        <v>0</v>
      </c>
      <c r="F1978">
        <f>_xlfn.XLOOKUP($A1978,Load!$B:$B,Load!G:G,0,)</f>
        <v>0</v>
      </c>
      <c r="G1978">
        <f>_xlfn.XLOOKUP($A1978,Load!$B:$B,Load!H:H,0,)</f>
        <v>0</v>
      </c>
      <c r="H1978">
        <f>_xlfn.XLOOKUP($A1978,Load!$B:$B,Load!I:I,0,)</f>
        <v>0</v>
      </c>
      <c r="I1978">
        <f>_xlfn.XLOOKUP($A1978,Load!$B:$B,Load!J:J,0,)</f>
        <v>0</v>
      </c>
      <c r="J1978">
        <f>_xlfn.XLOOKUP($A1978,Load!$B:$B,Load!K:K,0,)</f>
        <v>0</v>
      </c>
      <c r="K1978">
        <f>_xlfn.XLOOKUP($A1978,Load!$B:$B,Load!L:L,0,)</f>
        <v>0</v>
      </c>
      <c r="L1978">
        <f>_xlfn.XLOOKUP($A1978,Load!$B:$B,Load!M:M,0,)</f>
        <v>0</v>
      </c>
    </row>
    <row r="1979" spans="1:12" x14ac:dyDescent="0.25">
      <c r="B1979">
        <f>_xlfn.XLOOKUP($A1979,Load!$B:$B,Load!C:C,0,)</f>
        <v>0</v>
      </c>
      <c r="C1979">
        <f>_xlfn.XLOOKUP($A1979,Load!$B:$B,Load!D:D,0,)</f>
        <v>0</v>
      </c>
      <c r="D1979">
        <f>_xlfn.XLOOKUP($A1979,Load!$B:$B,Load!E:E,0,)</f>
        <v>0</v>
      </c>
      <c r="E1979">
        <f>_xlfn.XLOOKUP($A1979,Load!$B:$B,Load!F:F,0,)</f>
        <v>0</v>
      </c>
      <c r="F1979">
        <f>_xlfn.XLOOKUP($A1979,Load!$B:$B,Load!G:G,0,)</f>
        <v>0</v>
      </c>
      <c r="G1979">
        <f>_xlfn.XLOOKUP($A1979,Load!$B:$B,Load!H:H,0,)</f>
        <v>0</v>
      </c>
      <c r="H1979">
        <f>_xlfn.XLOOKUP($A1979,Load!$B:$B,Load!I:I,0,)</f>
        <v>0</v>
      </c>
      <c r="I1979">
        <f>_xlfn.XLOOKUP($A1979,Load!$B:$B,Load!J:J,0,)</f>
        <v>0</v>
      </c>
      <c r="J1979">
        <f>_xlfn.XLOOKUP($A1979,Load!$B:$B,Load!K:K,0,)</f>
        <v>0</v>
      </c>
      <c r="K1979">
        <f>_xlfn.XLOOKUP($A1979,Load!$B:$B,Load!L:L,0,)</f>
        <v>0</v>
      </c>
      <c r="L1979">
        <f>_xlfn.XLOOKUP($A1979,Load!$B:$B,Load!M:M,0,)</f>
        <v>0</v>
      </c>
    </row>
    <row r="1980" spans="1:12" x14ac:dyDescent="0.25">
      <c r="B1980">
        <f>_xlfn.XLOOKUP($A1980,Load!$B:$B,Load!C:C,0,)</f>
        <v>0</v>
      </c>
      <c r="C1980">
        <f>_xlfn.XLOOKUP($A1980,Load!$B:$B,Load!D:D,0,)</f>
        <v>0</v>
      </c>
      <c r="D1980">
        <f>_xlfn.XLOOKUP($A1980,Load!$B:$B,Load!E:E,0,)</f>
        <v>0</v>
      </c>
      <c r="E1980">
        <f>_xlfn.XLOOKUP($A1980,Load!$B:$B,Load!F:F,0,)</f>
        <v>0</v>
      </c>
      <c r="F1980">
        <f>_xlfn.XLOOKUP($A1980,Load!$B:$B,Load!G:G,0,)</f>
        <v>0</v>
      </c>
      <c r="G1980">
        <f>_xlfn.XLOOKUP($A1980,Load!$B:$B,Load!H:H,0,)</f>
        <v>0</v>
      </c>
      <c r="H1980">
        <f>_xlfn.XLOOKUP($A1980,Load!$B:$B,Load!I:I,0,)</f>
        <v>0</v>
      </c>
      <c r="I1980">
        <f>_xlfn.XLOOKUP($A1980,Load!$B:$B,Load!J:J,0,)</f>
        <v>0</v>
      </c>
      <c r="J1980">
        <f>_xlfn.XLOOKUP($A1980,Load!$B:$B,Load!K:K,0,)</f>
        <v>0</v>
      </c>
      <c r="K1980">
        <f>_xlfn.XLOOKUP($A1980,Load!$B:$B,Load!L:L,0,)</f>
        <v>0</v>
      </c>
      <c r="L1980">
        <f>_xlfn.XLOOKUP($A1980,Load!$B:$B,Load!M:M,0,)</f>
        <v>0</v>
      </c>
    </row>
    <row r="1981" spans="1:12" x14ac:dyDescent="0.25">
      <c r="B1981">
        <f>_xlfn.XLOOKUP($A1981,Load!$B:$B,Load!C:C,0,)</f>
        <v>0</v>
      </c>
      <c r="C1981">
        <f>_xlfn.XLOOKUP($A1981,Load!$B:$B,Load!D:D,0,)</f>
        <v>0</v>
      </c>
      <c r="D1981">
        <f>_xlfn.XLOOKUP($A1981,Load!$B:$B,Load!E:E,0,)</f>
        <v>0</v>
      </c>
      <c r="E1981">
        <f>_xlfn.XLOOKUP($A1981,Load!$B:$B,Load!F:F,0,)</f>
        <v>0</v>
      </c>
      <c r="F1981">
        <f>_xlfn.XLOOKUP($A1981,Load!$B:$B,Load!G:G,0,)</f>
        <v>0</v>
      </c>
      <c r="G1981">
        <f>_xlfn.XLOOKUP($A1981,Load!$B:$B,Load!H:H,0,)</f>
        <v>0</v>
      </c>
      <c r="H1981">
        <f>_xlfn.XLOOKUP($A1981,Load!$B:$B,Load!I:I,0,)</f>
        <v>0</v>
      </c>
      <c r="I1981">
        <f>_xlfn.XLOOKUP($A1981,Load!$B:$B,Load!J:J,0,)</f>
        <v>0</v>
      </c>
      <c r="J1981">
        <f>_xlfn.XLOOKUP($A1981,Load!$B:$B,Load!K:K,0,)</f>
        <v>0</v>
      </c>
      <c r="K1981">
        <f>_xlfn.XLOOKUP($A1981,Load!$B:$B,Load!L:L,0,)</f>
        <v>0</v>
      </c>
      <c r="L1981">
        <f>_xlfn.XLOOKUP($A1981,Load!$B:$B,Load!M:M,0,)</f>
        <v>0</v>
      </c>
    </row>
    <row r="1982" spans="1:12" x14ac:dyDescent="0.25">
      <c r="A1982" t="s">
        <v>311</v>
      </c>
      <c r="B1982" t="str">
        <f>_xlfn.XLOOKUP($A1982,Load!$B:$B,Load!C:C,0,)</f>
        <v>Werther's Original</v>
      </c>
      <c r="C1982" t="str">
        <f>_xlfn.XLOOKUP($A1982,Load!$B:$B,Load!D:D,0,)</f>
        <v>Non-Chocolate Candy Only</v>
      </c>
      <c r="D1982" t="str">
        <f>_xlfn.XLOOKUP($A1982,Load!$B:$B,Load!E:E,0,)</f>
        <v>Fall / Seasonal Flavors (pumpkin spice, caramel apple, candy corn)</v>
      </c>
      <c r="E1982" t="str">
        <f>_xlfn.XLOOKUP($A1982,Load!$B:$B,Load!F:F,0,)</f>
        <v>Chewy</v>
      </c>
      <c r="F1982" t="str">
        <f>_xlfn.XLOOKUP($A1982,Load!$B:$B,Load!G:G,0,)</f>
        <v>Single Pack</v>
      </c>
      <c r="G1982" t="str">
        <f>_xlfn.XLOOKUP($A1982,Load!$B:$B,Load!H:H,0,)</f>
        <v>Stand-Up Bag</v>
      </c>
      <c r="H1982" t="str">
        <f>_xlfn.XLOOKUP($A1982,Load!$B:$B,Load!I:I,0,)</f>
        <v>Everyday Candy Shapes (like Original, Gummy bear, Fruit, Jewels, etc.)</v>
      </c>
      <c r="I1982" t="str">
        <f>_xlfn.XLOOKUP($A1982,Load!$B:$B,Load!J:J,0,)</f>
        <v>Seasonal Graphics (Like Bat, Ghost, Pumpkin, Fall Leaves, Eyeballs, etc.)</v>
      </c>
      <c r="J1982" t="str">
        <f>_xlfn.XLOOKUP($A1982,Load!$B:$B,Load!K:K,0,)</f>
        <v>Fun Size / Treat Size</v>
      </c>
      <c r="K1982" t="str">
        <f>_xlfn.XLOOKUP($A1982,Load!$B:$B,Load!L:L,0,)</f>
        <v>Regular/Original Wrapping</v>
      </c>
      <c r="L1982" t="str">
        <f>_xlfn.XLOOKUP($A1982,Load!$B:$B,Load!M:M,0,)</f>
        <v>Single Brand / Variety Flavors or Form</v>
      </c>
    </row>
    <row r="1983" spans="1:12" x14ac:dyDescent="0.25">
      <c r="B1983">
        <f>_xlfn.XLOOKUP($A1983,Load!$B:$B,Load!C:C,0,)</f>
        <v>0</v>
      </c>
      <c r="C1983">
        <f>_xlfn.XLOOKUP($A1983,Load!$B:$B,Load!D:D,0,)</f>
        <v>0</v>
      </c>
      <c r="D1983">
        <f>_xlfn.XLOOKUP($A1983,Load!$B:$B,Load!E:E,0,)</f>
        <v>0</v>
      </c>
      <c r="E1983">
        <f>_xlfn.XLOOKUP($A1983,Load!$B:$B,Load!F:F,0,)</f>
        <v>0</v>
      </c>
      <c r="F1983">
        <f>_xlfn.XLOOKUP($A1983,Load!$B:$B,Load!G:G,0,)</f>
        <v>0</v>
      </c>
      <c r="G1983">
        <f>_xlfn.XLOOKUP($A1983,Load!$B:$B,Load!H:H,0,)</f>
        <v>0</v>
      </c>
      <c r="H1983">
        <f>_xlfn.XLOOKUP($A1983,Load!$B:$B,Load!I:I,0,)</f>
        <v>0</v>
      </c>
      <c r="I1983">
        <f>_xlfn.XLOOKUP($A1983,Load!$B:$B,Load!J:J,0,)</f>
        <v>0</v>
      </c>
      <c r="J1983">
        <f>_xlfn.XLOOKUP($A1983,Load!$B:$B,Load!K:K,0,)</f>
        <v>0</v>
      </c>
      <c r="K1983">
        <f>_xlfn.XLOOKUP($A1983,Load!$B:$B,Load!L:L,0,)</f>
        <v>0</v>
      </c>
      <c r="L1983">
        <f>_xlfn.XLOOKUP($A1983,Load!$B:$B,Load!M:M,0,)</f>
        <v>0</v>
      </c>
    </row>
    <row r="1984" spans="1:12" x14ac:dyDescent="0.25">
      <c r="B1984">
        <f>_xlfn.XLOOKUP($A1984,Load!$B:$B,Load!C:C,0,)</f>
        <v>0</v>
      </c>
      <c r="C1984">
        <f>_xlfn.XLOOKUP($A1984,Load!$B:$B,Load!D:D,0,)</f>
        <v>0</v>
      </c>
      <c r="D1984">
        <f>_xlfn.XLOOKUP($A1984,Load!$B:$B,Load!E:E,0,)</f>
        <v>0</v>
      </c>
      <c r="E1984">
        <f>_xlfn.XLOOKUP($A1984,Load!$B:$B,Load!F:F,0,)</f>
        <v>0</v>
      </c>
      <c r="F1984">
        <f>_xlfn.XLOOKUP($A1984,Load!$B:$B,Load!G:G,0,)</f>
        <v>0</v>
      </c>
      <c r="G1984">
        <f>_xlfn.XLOOKUP($A1984,Load!$B:$B,Load!H:H,0,)</f>
        <v>0</v>
      </c>
      <c r="H1984">
        <f>_xlfn.XLOOKUP($A1984,Load!$B:$B,Load!I:I,0,)</f>
        <v>0</v>
      </c>
      <c r="I1984">
        <f>_xlfn.XLOOKUP($A1984,Load!$B:$B,Load!J:J,0,)</f>
        <v>0</v>
      </c>
      <c r="J1984">
        <f>_xlfn.XLOOKUP($A1984,Load!$B:$B,Load!K:K,0,)</f>
        <v>0</v>
      </c>
      <c r="K1984">
        <f>_xlfn.XLOOKUP($A1984,Load!$B:$B,Load!L:L,0,)</f>
        <v>0</v>
      </c>
      <c r="L1984">
        <f>_xlfn.XLOOKUP($A1984,Load!$B:$B,Load!M:M,0,)</f>
        <v>0</v>
      </c>
    </row>
    <row r="1985" spans="1:12" x14ac:dyDescent="0.25">
      <c r="B1985">
        <f>_xlfn.XLOOKUP($A1985,Load!$B:$B,Load!C:C,0,)</f>
        <v>0</v>
      </c>
      <c r="C1985">
        <f>_xlfn.XLOOKUP($A1985,Load!$B:$B,Load!D:D,0,)</f>
        <v>0</v>
      </c>
      <c r="D1985">
        <f>_xlfn.XLOOKUP($A1985,Load!$B:$B,Load!E:E,0,)</f>
        <v>0</v>
      </c>
      <c r="E1985">
        <f>_xlfn.XLOOKUP($A1985,Load!$B:$B,Load!F:F,0,)</f>
        <v>0</v>
      </c>
      <c r="F1985">
        <f>_xlfn.XLOOKUP($A1985,Load!$B:$B,Load!G:G,0,)</f>
        <v>0</v>
      </c>
      <c r="G1985">
        <f>_xlfn.XLOOKUP($A1985,Load!$B:$B,Load!H:H,0,)</f>
        <v>0</v>
      </c>
      <c r="H1985">
        <f>_xlfn.XLOOKUP($A1985,Load!$B:$B,Load!I:I,0,)</f>
        <v>0</v>
      </c>
      <c r="I1985">
        <f>_xlfn.XLOOKUP($A1985,Load!$B:$B,Load!J:J,0,)</f>
        <v>0</v>
      </c>
      <c r="J1985">
        <f>_xlfn.XLOOKUP($A1985,Load!$B:$B,Load!K:K,0,)</f>
        <v>0</v>
      </c>
      <c r="K1985">
        <f>_xlfn.XLOOKUP($A1985,Load!$B:$B,Load!L:L,0,)</f>
        <v>0</v>
      </c>
      <c r="L1985">
        <f>_xlfn.XLOOKUP($A1985,Load!$B:$B,Load!M:M,0,)</f>
        <v>0</v>
      </c>
    </row>
    <row r="1986" spans="1:12" x14ac:dyDescent="0.25">
      <c r="A1986" t="s">
        <v>123</v>
      </c>
      <c r="B1986" t="str">
        <f>_xlfn.XLOOKUP($A1986,Load!$B:$B,Load!C:C,0,)</f>
        <v>HARIBO</v>
      </c>
      <c r="C1986" t="str">
        <f>_xlfn.XLOOKUP($A1986,Load!$B:$B,Load!D:D,0,)</f>
        <v>Non-Chocolate Candy Only</v>
      </c>
      <c r="D1986" t="str">
        <f>_xlfn.XLOOKUP($A1986,Load!$B:$B,Load!E:E,0,)</f>
        <v>Sour</v>
      </c>
      <c r="E1986" t="str">
        <f>_xlfn.XLOOKUP($A1986,Load!$B:$B,Load!F:F,0,)</f>
        <v>Gummy</v>
      </c>
      <c r="F1986" t="str">
        <f>_xlfn.XLOOKUP($A1986,Load!$B:$B,Load!G:G,0,)</f>
        <v>Single Pack</v>
      </c>
      <c r="G1986" t="str">
        <f>_xlfn.XLOOKUP($A1986,Load!$B:$B,Load!H:H,0,)</f>
        <v>Laydown Bag</v>
      </c>
      <c r="H1986" t="str">
        <f>_xlfn.XLOOKUP($A1986,Load!$B:$B,Load!I:I,0,)</f>
        <v>Seasonal Shapes (like pumpkins, candy corn, ghost, bats, etc.)</v>
      </c>
      <c r="I1986" t="str">
        <f>_xlfn.XLOOKUP($A1986,Load!$B:$B,Load!J:J,0,)</f>
        <v>Seasonal Graphics (Like Bat, Ghost, Pumpkin, Fall Leaves, Eyeballs, etc.)</v>
      </c>
      <c r="J1986" t="str">
        <f>_xlfn.XLOOKUP($A1986,Load!$B:$B,Load!K:K,0,)</f>
        <v>Small Pieces (Tiny bite size candies)</v>
      </c>
      <c r="K1986" t="str">
        <f>_xlfn.XLOOKUP($A1986,Load!$B:$B,Load!L:L,0,)</f>
        <v>Unwrapped</v>
      </c>
      <c r="L1986" t="str">
        <f>_xlfn.XLOOKUP($A1986,Load!$B:$B,Load!M:M,0,)</f>
        <v>Single Brand / Variety Flavors or Form</v>
      </c>
    </row>
    <row r="1987" spans="1:12" x14ac:dyDescent="0.25">
      <c r="A1987" t="s">
        <v>177</v>
      </c>
      <c r="B1987" t="str">
        <f>_xlfn.XLOOKUP($A1987,Load!$B:$B,Load!C:C,0,)</f>
        <v>Mars Variety Pack</v>
      </c>
      <c r="C1987" t="str">
        <f>_xlfn.XLOOKUP($A1987,Load!$B:$B,Load!D:D,0,)</f>
        <v>Non-Chocolate Candy Only</v>
      </c>
      <c r="D1987" t="str">
        <f>_xlfn.XLOOKUP($A1987,Load!$B:$B,Load!E:E,0,)</f>
        <v>Variety / Mixed Flavors (Fruity, Sour, Seasonal Flavors)</v>
      </c>
      <c r="E1987" t="str">
        <f>_xlfn.XLOOKUP($A1987,Load!$B:$B,Load!F:F,0,)</f>
        <v>Mixed / Combo Packs (Gummy, Chewy, Taffy, etc.)</v>
      </c>
      <c r="F1987" t="str">
        <f>_xlfn.XLOOKUP($A1987,Load!$B:$B,Load!G:G,0,)</f>
        <v>Small Multipack (Less than 40 ct)</v>
      </c>
      <c r="G1987" t="str">
        <f>_xlfn.XLOOKUP($A1987,Load!$B:$B,Load!H:H,0,)</f>
        <v>Box (theatre box, gift box, carton)</v>
      </c>
      <c r="H1987" t="str">
        <f>_xlfn.XLOOKUP($A1987,Load!$B:$B,Load!I:I,0,)</f>
        <v>Everyday Candy Shapes (like Original, Gummy bear, Fruit, Jewels, etc.)</v>
      </c>
      <c r="I1987" t="str">
        <f>_xlfn.XLOOKUP($A1987,Load!$B:$B,Load!J:J,0,)</f>
        <v>Seasonal Graphics (Like Bat, Ghost, Pumpkin, Fall Leaves, Eyeballs, etc.)</v>
      </c>
      <c r="J1987" t="str">
        <f>_xlfn.XLOOKUP($A1987,Load!$B:$B,Load!K:K,0,)</f>
        <v>Small Pieces (Tiny bite size candies)</v>
      </c>
      <c r="K1987" t="str">
        <f>_xlfn.XLOOKUP($A1987,Load!$B:$B,Load!L:L,0,)</f>
        <v>Regular/Original Wrapping</v>
      </c>
      <c r="L1987" t="str">
        <f>_xlfn.XLOOKUP($A1987,Load!$B:$B,Load!M:M,0,)</f>
        <v>Multiple Brands / Variety Flavors or Form</v>
      </c>
    </row>
    <row r="1988" spans="1:12" x14ac:dyDescent="0.25">
      <c r="A1988" t="s">
        <v>233</v>
      </c>
      <c r="B1988" t="str">
        <f>_xlfn.XLOOKUP($A1988,Load!$B:$B,Load!C:C,0,)</f>
        <v>Nerds</v>
      </c>
      <c r="C1988" t="str">
        <f>_xlfn.XLOOKUP($A1988,Load!$B:$B,Load!D:D,0,)</f>
        <v>Non-Chocolate Candy Only</v>
      </c>
      <c r="D1988" t="str">
        <f>_xlfn.XLOOKUP($A1988,Load!$B:$B,Load!E:E,0,)</f>
        <v>Variety / Mixed Flavors (Fruity, Sour, Seasonal Flavors)</v>
      </c>
      <c r="E1988" t="str">
        <f>_xlfn.XLOOKUP($A1988,Load!$B:$B,Load!F:F,0,)</f>
        <v>Mixed / Combo Packs (Gummy, Chewy, Taffy, etc.)</v>
      </c>
      <c r="F1988" t="str">
        <f>_xlfn.XLOOKUP($A1988,Load!$B:$B,Load!G:G,0,)</f>
        <v>Large Multipack (More than 80 ct)</v>
      </c>
      <c r="G1988" t="str">
        <f>_xlfn.XLOOKUP($A1988,Load!$B:$B,Load!H:H,0,)</f>
        <v>Stand-Up Bag</v>
      </c>
      <c r="H1988" t="str">
        <f>_xlfn.XLOOKUP($A1988,Load!$B:$B,Load!I:I,0,)</f>
        <v>Everyday Candy Shapes (like Original, Gummy bear, Fruit, Jewels, etc.)</v>
      </c>
      <c r="I1988" t="str">
        <f>_xlfn.XLOOKUP($A1988,Load!$B:$B,Load!J:J,0,)</f>
        <v>Everyday Graphics</v>
      </c>
      <c r="J1988" t="str">
        <f>_xlfn.XLOOKUP($A1988,Load!$B:$B,Load!K:K,0,)</f>
        <v>Small Pieces (Tiny bite size candies)</v>
      </c>
      <c r="K1988" t="str">
        <f>_xlfn.XLOOKUP($A1988,Load!$B:$B,Load!L:L,0,)</f>
        <v>Regular/Original Wrapping</v>
      </c>
      <c r="L1988" t="str">
        <f>_xlfn.XLOOKUP($A1988,Load!$B:$B,Load!M:M,0,)</f>
        <v>Single Brand / Variety Flavors or Form</v>
      </c>
    </row>
    <row r="1989" spans="1:12" x14ac:dyDescent="0.25">
      <c r="A1989" t="s">
        <v>224</v>
      </c>
      <c r="B1989" t="str">
        <f>_xlfn.XLOOKUP($A1989,Load!$B:$B,Load!C:C,0,)</f>
        <v>Nerds</v>
      </c>
      <c r="C1989" t="str">
        <f>_xlfn.XLOOKUP($A1989,Load!$B:$B,Load!D:D,0,)</f>
        <v>Non-Chocolate Candy Only</v>
      </c>
      <c r="D1989" t="str">
        <f>_xlfn.XLOOKUP($A1989,Load!$B:$B,Load!E:E,0,)</f>
        <v>Sweet</v>
      </c>
      <c r="E1989" t="str">
        <f>_xlfn.XLOOKUP($A1989,Load!$B:$B,Load!F:F,0,)</f>
        <v>Mixed / Combo Packs (Gummy, Chewy, Taffy, etc.)</v>
      </c>
      <c r="F1989" t="str">
        <f>_xlfn.XLOOKUP($A1989,Load!$B:$B,Load!G:G,0,)</f>
        <v>Medium Multipack (40–80 ct)</v>
      </c>
      <c r="G1989" t="str">
        <f>_xlfn.XLOOKUP($A1989,Load!$B:$B,Load!H:H,0,)</f>
        <v>Stand-Up Bag</v>
      </c>
      <c r="H1989" t="str">
        <f>_xlfn.XLOOKUP($A1989,Load!$B:$B,Load!I:I,0,)</f>
        <v>Everyday Candy Shapes (like Original, Gummy bear, Fruit, Jewels, etc.)</v>
      </c>
      <c r="I1989" t="str">
        <f>_xlfn.XLOOKUP($A1989,Load!$B:$B,Load!J:J,0,)</f>
        <v>Seasonal Graphics (Like Bat, Ghost, Pumpkin, Fall Leaves, Eyeballs, etc.)</v>
      </c>
      <c r="J1989" t="str">
        <f>_xlfn.XLOOKUP($A1989,Load!$B:$B,Load!K:K,0,)</f>
        <v xml:space="preserve">Variety Candy Sizes </v>
      </c>
      <c r="K1989" t="str">
        <f>_xlfn.XLOOKUP($A1989,Load!$B:$B,Load!L:L,0,)</f>
        <v>Regular/Original Wrapping</v>
      </c>
      <c r="L1989" t="str">
        <f>_xlfn.XLOOKUP($A1989,Load!$B:$B,Load!M:M,0,)</f>
        <v>Single Brand / Variety Flavors or Form</v>
      </c>
    </row>
    <row r="1990" spans="1:12" x14ac:dyDescent="0.25">
      <c r="B1990">
        <f>_xlfn.XLOOKUP($A1990,Load!$B:$B,Load!C:C,0,)</f>
        <v>0</v>
      </c>
      <c r="C1990">
        <f>_xlfn.XLOOKUP($A1990,Load!$B:$B,Load!D:D,0,)</f>
        <v>0</v>
      </c>
      <c r="D1990">
        <f>_xlfn.XLOOKUP($A1990,Load!$B:$B,Load!E:E,0,)</f>
        <v>0</v>
      </c>
      <c r="E1990">
        <f>_xlfn.XLOOKUP($A1990,Load!$B:$B,Load!F:F,0,)</f>
        <v>0</v>
      </c>
      <c r="F1990">
        <f>_xlfn.XLOOKUP($A1990,Load!$B:$B,Load!G:G,0,)</f>
        <v>0</v>
      </c>
      <c r="G1990">
        <f>_xlfn.XLOOKUP($A1990,Load!$B:$B,Load!H:H,0,)</f>
        <v>0</v>
      </c>
      <c r="H1990">
        <f>_xlfn.XLOOKUP($A1990,Load!$B:$B,Load!I:I,0,)</f>
        <v>0</v>
      </c>
      <c r="I1990">
        <f>_xlfn.XLOOKUP($A1990,Load!$B:$B,Load!J:J,0,)</f>
        <v>0</v>
      </c>
      <c r="J1990">
        <f>_xlfn.XLOOKUP($A1990,Load!$B:$B,Load!K:K,0,)</f>
        <v>0</v>
      </c>
      <c r="K1990">
        <f>_xlfn.XLOOKUP($A1990,Load!$B:$B,Load!L:L,0,)</f>
        <v>0</v>
      </c>
      <c r="L1990">
        <f>_xlfn.XLOOKUP($A1990,Load!$B:$B,Load!M:M,0,)</f>
        <v>0</v>
      </c>
    </row>
    <row r="1991" spans="1:12" x14ac:dyDescent="0.25">
      <c r="B1991">
        <f>_xlfn.XLOOKUP($A1991,Load!$B:$B,Load!C:C,0,)</f>
        <v>0</v>
      </c>
      <c r="C1991">
        <f>_xlfn.XLOOKUP($A1991,Load!$B:$B,Load!D:D,0,)</f>
        <v>0</v>
      </c>
      <c r="D1991">
        <f>_xlfn.XLOOKUP($A1991,Load!$B:$B,Load!E:E,0,)</f>
        <v>0</v>
      </c>
      <c r="E1991">
        <f>_xlfn.XLOOKUP($A1991,Load!$B:$B,Load!F:F,0,)</f>
        <v>0</v>
      </c>
      <c r="F1991">
        <f>_xlfn.XLOOKUP($A1991,Load!$B:$B,Load!G:G,0,)</f>
        <v>0</v>
      </c>
      <c r="G1991">
        <f>_xlfn.XLOOKUP($A1991,Load!$B:$B,Load!H:H,0,)</f>
        <v>0</v>
      </c>
      <c r="H1991">
        <f>_xlfn.XLOOKUP($A1991,Load!$B:$B,Load!I:I,0,)</f>
        <v>0</v>
      </c>
      <c r="I1991">
        <f>_xlfn.XLOOKUP($A1991,Load!$B:$B,Load!J:J,0,)</f>
        <v>0</v>
      </c>
      <c r="J1991">
        <f>_xlfn.XLOOKUP($A1991,Load!$B:$B,Load!K:K,0,)</f>
        <v>0</v>
      </c>
      <c r="K1991">
        <f>_xlfn.XLOOKUP($A1991,Load!$B:$B,Load!L:L,0,)</f>
        <v>0</v>
      </c>
      <c r="L1991">
        <f>_xlfn.XLOOKUP($A1991,Load!$B:$B,Load!M:M,0,)</f>
        <v>0</v>
      </c>
    </row>
    <row r="1992" spans="1:12" x14ac:dyDescent="0.25">
      <c r="B1992">
        <f>_xlfn.XLOOKUP($A1992,Load!$B:$B,Load!C:C,0,)</f>
        <v>0</v>
      </c>
      <c r="C1992">
        <f>_xlfn.XLOOKUP($A1992,Load!$B:$B,Load!D:D,0,)</f>
        <v>0</v>
      </c>
      <c r="D1992">
        <f>_xlfn.XLOOKUP($A1992,Load!$B:$B,Load!E:E,0,)</f>
        <v>0</v>
      </c>
      <c r="E1992">
        <f>_xlfn.XLOOKUP($A1992,Load!$B:$B,Load!F:F,0,)</f>
        <v>0</v>
      </c>
      <c r="F1992">
        <f>_xlfn.XLOOKUP($A1992,Load!$B:$B,Load!G:G,0,)</f>
        <v>0</v>
      </c>
      <c r="G1992">
        <f>_xlfn.XLOOKUP($A1992,Load!$B:$B,Load!H:H,0,)</f>
        <v>0</v>
      </c>
      <c r="H1992">
        <f>_xlfn.XLOOKUP($A1992,Load!$B:$B,Load!I:I,0,)</f>
        <v>0</v>
      </c>
      <c r="I1992">
        <f>_xlfn.XLOOKUP($A1992,Load!$B:$B,Load!J:J,0,)</f>
        <v>0</v>
      </c>
      <c r="J1992">
        <f>_xlfn.XLOOKUP($A1992,Load!$B:$B,Load!K:K,0,)</f>
        <v>0</v>
      </c>
      <c r="K1992">
        <f>_xlfn.XLOOKUP($A1992,Load!$B:$B,Load!L:L,0,)</f>
        <v>0</v>
      </c>
      <c r="L1992">
        <f>_xlfn.XLOOKUP($A1992,Load!$B:$B,Load!M:M,0,)</f>
        <v>0</v>
      </c>
    </row>
    <row r="1993" spans="1:12" x14ac:dyDescent="0.25">
      <c r="B1993">
        <f>_xlfn.XLOOKUP($A1993,Load!$B:$B,Load!C:C,0,)</f>
        <v>0</v>
      </c>
      <c r="C1993">
        <f>_xlfn.XLOOKUP($A1993,Load!$B:$B,Load!D:D,0,)</f>
        <v>0</v>
      </c>
      <c r="D1993">
        <f>_xlfn.XLOOKUP($A1993,Load!$B:$B,Load!E:E,0,)</f>
        <v>0</v>
      </c>
      <c r="E1993">
        <f>_xlfn.XLOOKUP($A1993,Load!$B:$B,Load!F:F,0,)</f>
        <v>0</v>
      </c>
      <c r="F1993">
        <f>_xlfn.XLOOKUP($A1993,Load!$B:$B,Load!G:G,0,)</f>
        <v>0</v>
      </c>
      <c r="G1993">
        <f>_xlfn.XLOOKUP($A1993,Load!$B:$B,Load!H:H,0,)</f>
        <v>0</v>
      </c>
      <c r="H1993">
        <f>_xlfn.XLOOKUP($A1993,Load!$B:$B,Load!I:I,0,)</f>
        <v>0</v>
      </c>
      <c r="I1993">
        <f>_xlfn.XLOOKUP($A1993,Load!$B:$B,Load!J:J,0,)</f>
        <v>0</v>
      </c>
      <c r="J1993">
        <f>_xlfn.XLOOKUP($A1993,Load!$B:$B,Load!K:K,0,)</f>
        <v>0</v>
      </c>
      <c r="K1993">
        <f>_xlfn.XLOOKUP($A1993,Load!$B:$B,Load!L:L,0,)</f>
        <v>0</v>
      </c>
      <c r="L1993">
        <f>_xlfn.XLOOKUP($A1993,Load!$B:$B,Load!M:M,0,)</f>
        <v>0</v>
      </c>
    </row>
    <row r="1994" spans="1:12" x14ac:dyDescent="0.25">
      <c r="B1994">
        <f>_xlfn.XLOOKUP($A1994,Load!$B:$B,Load!C:C,0,)</f>
        <v>0</v>
      </c>
      <c r="C1994">
        <f>_xlfn.XLOOKUP($A1994,Load!$B:$B,Load!D:D,0,)</f>
        <v>0</v>
      </c>
      <c r="D1994">
        <f>_xlfn.XLOOKUP($A1994,Load!$B:$B,Load!E:E,0,)</f>
        <v>0</v>
      </c>
      <c r="E1994">
        <f>_xlfn.XLOOKUP($A1994,Load!$B:$B,Load!F:F,0,)</f>
        <v>0</v>
      </c>
      <c r="F1994">
        <f>_xlfn.XLOOKUP($A1994,Load!$B:$B,Load!G:G,0,)</f>
        <v>0</v>
      </c>
      <c r="G1994">
        <f>_xlfn.XLOOKUP($A1994,Load!$B:$B,Load!H:H,0,)</f>
        <v>0</v>
      </c>
      <c r="H1994">
        <f>_xlfn.XLOOKUP($A1994,Load!$B:$B,Load!I:I,0,)</f>
        <v>0</v>
      </c>
      <c r="I1994">
        <f>_xlfn.XLOOKUP($A1994,Load!$B:$B,Load!J:J,0,)</f>
        <v>0</v>
      </c>
      <c r="J1994">
        <f>_xlfn.XLOOKUP($A1994,Load!$B:$B,Load!K:K,0,)</f>
        <v>0</v>
      </c>
      <c r="K1994">
        <f>_xlfn.XLOOKUP($A1994,Load!$B:$B,Load!L:L,0,)</f>
        <v>0</v>
      </c>
      <c r="L1994">
        <f>_xlfn.XLOOKUP($A1994,Load!$B:$B,Load!M:M,0,)</f>
        <v>0</v>
      </c>
    </row>
    <row r="1995" spans="1:12" x14ac:dyDescent="0.25">
      <c r="B1995">
        <f>_xlfn.XLOOKUP($A1995,Load!$B:$B,Load!C:C,0,)</f>
        <v>0</v>
      </c>
      <c r="C1995">
        <f>_xlfn.XLOOKUP($A1995,Load!$B:$B,Load!D:D,0,)</f>
        <v>0</v>
      </c>
      <c r="D1995">
        <f>_xlfn.XLOOKUP($A1995,Load!$B:$B,Load!E:E,0,)</f>
        <v>0</v>
      </c>
      <c r="E1995">
        <f>_xlfn.XLOOKUP($A1995,Load!$B:$B,Load!F:F,0,)</f>
        <v>0</v>
      </c>
      <c r="F1995">
        <f>_xlfn.XLOOKUP($A1995,Load!$B:$B,Load!G:G,0,)</f>
        <v>0</v>
      </c>
      <c r="G1995">
        <f>_xlfn.XLOOKUP($A1995,Load!$B:$B,Load!H:H,0,)</f>
        <v>0</v>
      </c>
      <c r="H1995">
        <f>_xlfn.XLOOKUP($A1995,Load!$B:$B,Load!I:I,0,)</f>
        <v>0</v>
      </c>
      <c r="I1995">
        <f>_xlfn.XLOOKUP($A1995,Load!$B:$B,Load!J:J,0,)</f>
        <v>0</v>
      </c>
      <c r="J1995">
        <f>_xlfn.XLOOKUP($A1995,Load!$B:$B,Load!K:K,0,)</f>
        <v>0</v>
      </c>
      <c r="K1995">
        <f>_xlfn.XLOOKUP($A1995,Load!$B:$B,Load!L:L,0,)</f>
        <v>0</v>
      </c>
      <c r="L1995">
        <f>_xlfn.XLOOKUP($A1995,Load!$B:$B,Load!M:M,0,)</f>
        <v>0</v>
      </c>
    </row>
    <row r="1996" spans="1:12" x14ac:dyDescent="0.25">
      <c r="B1996">
        <f>_xlfn.XLOOKUP($A1996,Load!$B:$B,Load!C:C,0,)</f>
        <v>0</v>
      </c>
      <c r="C1996">
        <f>_xlfn.XLOOKUP($A1996,Load!$B:$B,Load!D:D,0,)</f>
        <v>0</v>
      </c>
      <c r="D1996">
        <f>_xlfn.XLOOKUP($A1996,Load!$B:$B,Load!E:E,0,)</f>
        <v>0</v>
      </c>
      <c r="E1996">
        <f>_xlfn.XLOOKUP($A1996,Load!$B:$B,Load!F:F,0,)</f>
        <v>0</v>
      </c>
      <c r="F1996">
        <f>_xlfn.XLOOKUP($A1996,Load!$B:$B,Load!G:G,0,)</f>
        <v>0</v>
      </c>
      <c r="G1996">
        <f>_xlfn.XLOOKUP($A1996,Load!$B:$B,Load!H:H,0,)</f>
        <v>0</v>
      </c>
      <c r="H1996">
        <f>_xlfn.XLOOKUP($A1996,Load!$B:$B,Load!I:I,0,)</f>
        <v>0</v>
      </c>
      <c r="I1996">
        <f>_xlfn.XLOOKUP($A1996,Load!$B:$B,Load!J:J,0,)</f>
        <v>0</v>
      </c>
      <c r="J1996">
        <f>_xlfn.XLOOKUP($A1996,Load!$B:$B,Load!K:K,0,)</f>
        <v>0</v>
      </c>
      <c r="K1996">
        <f>_xlfn.XLOOKUP($A1996,Load!$B:$B,Load!L:L,0,)</f>
        <v>0</v>
      </c>
      <c r="L1996">
        <f>_xlfn.XLOOKUP($A1996,Load!$B:$B,Load!M:M,0,)</f>
        <v>0</v>
      </c>
    </row>
    <row r="1997" spans="1:12" x14ac:dyDescent="0.25">
      <c r="B1997">
        <f>_xlfn.XLOOKUP($A1997,Load!$B:$B,Load!C:C,0,)</f>
        <v>0</v>
      </c>
      <c r="C1997">
        <f>_xlfn.XLOOKUP($A1997,Load!$B:$B,Load!D:D,0,)</f>
        <v>0</v>
      </c>
      <c r="D1997">
        <f>_xlfn.XLOOKUP($A1997,Load!$B:$B,Load!E:E,0,)</f>
        <v>0</v>
      </c>
      <c r="E1997">
        <f>_xlfn.XLOOKUP($A1997,Load!$B:$B,Load!F:F,0,)</f>
        <v>0</v>
      </c>
      <c r="F1997">
        <f>_xlfn.XLOOKUP($A1997,Load!$B:$B,Load!G:G,0,)</f>
        <v>0</v>
      </c>
      <c r="G1997">
        <f>_xlfn.XLOOKUP($A1997,Load!$B:$B,Load!H:H,0,)</f>
        <v>0</v>
      </c>
      <c r="H1997">
        <f>_xlfn.XLOOKUP($A1997,Load!$B:$B,Load!I:I,0,)</f>
        <v>0</v>
      </c>
      <c r="I1997">
        <f>_xlfn.XLOOKUP($A1997,Load!$B:$B,Load!J:J,0,)</f>
        <v>0</v>
      </c>
      <c r="J1997">
        <f>_xlfn.XLOOKUP($A1997,Load!$B:$B,Load!K:K,0,)</f>
        <v>0</v>
      </c>
      <c r="K1997">
        <f>_xlfn.XLOOKUP($A1997,Load!$B:$B,Load!L:L,0,)</f>
        <v>0</v>
      </c>
      <c r="L1997">
        <f>_xlfn.XLOOKUP($A1997,Load!$B:$B,Load!M:M,0,)</f>
        <v>0</v>
      </c>
    </row>
    <row r="1998" spans="1:12" x14ac:dyDescent="0.25">
      <c r="B1998">
        <f>_xlfn.XLOOKUP($A1998,Load!$B:$B,Load!C:C,0,)</f>
        <v>0</v>
      </c>
      <c r="C1998">
        <f>_xlfn.XLOOKUP($A1998,Load!$B:$B,Load!D:D,0,)</f>
        <v>0</v>
      </c>
      <c r="D1998">
        <f>_xlfn.XLOOKUP($A1998,Load!$B:$B,Load!E:E,0,)</f>
        <v>0</v>
      </c>
      <c r="E1998">
        <f>_xlfn.XLOOKUP($A1998,Load!$B:$B,Load!F:F,0,)</f>
        <v>0</v>
      </c>
      <c r="F1998">
        <f>_xlfn.XLOOKUP($A1998,Load!$B:$B,Load!G:G,0,)</f>
        <v>0</v>
      </c>
      <c r="G1998">
        <f>_xlfn.XLOOKUP($A1998,Load!$B:$B,Load!H:H,0,)</f>
        <v>0</v>
      </c>
      <c r="H1998">
        <f>_xlfn.XLOOKUP($A1998,Load!$B:$B,Load!I:I,0,)</f>
        <v>0</v>
      </c>
      <c r="I1998">
        <f>_xlfn.XLOOKUP($A1998,Load!$B:$B,Load!J:J,0,)</f>
        <v>0</v>
      </c>
      <c r="J1998">
        <f>_xlfn.XLOOKUP($A1998,Load!$B:$B,Load!K:K,0,)</f>
        <v>0</v>
      </c>
      <c r="K1998">
        <f>_xlfn.XLOOKUP($A1998,Load!$B:$B,Load!L:L,0,)</f>
        <v>0</v>
      </c>
      <c r="L1998">
        <f>_xlfn.XLOOKUP($A1998,Load!$B:$B,Load!M:M,0,)</f>
        <v>0</v>
      </c>
    </row>
    <row r="1999" spans="1:12" x14ac:dyDescent="0.25">
      <c r="B1999">
        <f>_xlfn.XLOOKUP($A1999,Load!$B:$B,Load!C:C,0,)</f>
        <v>0</v>
      </c>
      <c r="C1999">
        <f>_xlfn.XLOOKUP($A1999,Load!$B:$B,Load!D:D,0,)</f>
        <v>0</v>
      </c>
      <c r="D1999">
        <f>_xlfn.XLOOKUP($A1999,Load!$B:$B,Load!E:E,0,)</f>
        <v>0</v>
      </c>
      <c r="E1999">
        <f>_xlfn.XLOOKUP($A1999,Load!$B:$B,Load!F:F,0,)</f>
        <v>0</v>
      </c>
      <c r="F1999">
        <f>_xlfn.XLOOKUP($A1999,Load!$B:$B,Load!G:G,0,)</f>
        <v>0</v>
      </c>
      <c r="G1999">
        <f>_xlfn.XLOOKUP($A1999,Load!$B:$B,Load!H:H,0,)</f>
        <v>0</v>
      </c>
      <c r="H1999">
        <f>_xlfn.XLOOKUP($A1999,Load!$B:$B,Load!I:I,0,)</f>
        <v>0</v>
      </c>
      <c r="I1999">
        <f>_xlfn.XLOOKUP($A1999,Load!$B:$B,Load!J:J,0,)</f>
        <v>0</v>
      </c>
      <c r="J1999">
        <f>_xlfn.XLOOKUP($A1999,Load!$B:$B,Load!K:K,0,)</f>
        <v>0</v>
      </c>
      <c r="K1999">
        <f>_xlfn.XLOOKUP($A1999,Load!$B:$B,Load!L:L,0,)</f>
        <v>0</v>
      </c>
      <c r="L1999">
        <f>_xlfn.XLOOKUP($A1999,Load!$B:$B,Load!M:M,0,)</f>
        <v>0</v>
      </c>
    </row>
    <row r="2000" spans="1:12" x14ac:dyDescent="0.25">
      <c r="A2000" t="s">
        <v>328</v>
      </c>
      <c r="B2000" t="str">
        <f>_xlfn.XLOOKUP($A2000,Load!$B:$B,Load!C:C,0,)</f>
        <v>Googly Eyes</v>
      </c>
      <c r="C2000" t="str">
        <f>_xlfn.XLOOKUP($A2000,Load!$B:$B,Load!D:D,0,)</f>
        <v>Non-Chocolate Candy Only</v>
      </c>
      <c r="D2000" t="str">
        <f>_xlfn.XLOOKUP($A2000,Load!$B:$B,Load!E:E,0,)</f>
        <v>Variety / Mixed Flavors (Fruity, Sour, Seasonal Flavors)</v>
      </c>
      <c r="E2000" t="str">
        <f>_xlfn.XLOOKUP($A2000,Load!$B:$B,Load!F:F,0,)</f>
        <v>Candy Pieces / Bites</v>
      </c>
      <c r="F2000" t="str">
        <f>_xlfn.XLOOKUP($A2000,Load!$B:$B,Load!G:G,0,)</f>
        <v>Single Pack</v>
      </c>
      <c r="G2000" t="str">
        <f>_xlfn.XLOOKUP($A2000,Load!$B:$B,Load!H:H,0,)</f>
        <v>Plastic Cup / Container</v>
      </c>
      <c r="H2000" t="str">
        <f>_xlfn.XLOOKUP($A2000,Load!$B:$B,Load!I:I,0,)</f>
        <v>Seasonal Shapes (like pumpkins, candy corn, ghost, bats, etc.)</v>
      </c>
      <c r="I2000" t="str">
        <f>_xlfn.XLOOKUP($A2000,Load!$B:$B,Load!J:J,0,)</f>
        <v>Seasonal Graphics (Like Bat, Ghost, Pumpkin, Fall Leaves, Eyeballs, etc.)</v>
      </c>
      <c r="J2000" t="str">
        <f>_xlfn.XLOOKUP($A2000,Load!$B:$B,Load!K:K,0,)</f>
        <v>Fun Size / Treat Size</v>
      </c>
      <c r="K2000" t="str">
        <f>_xlfn.XLOOKUP($A2000,Load!$B:$B,Load!L:L,0,)</f>
        <v>Regular/Original Wrapping</v>
      </c>
      <c r="L2000" t="str">
        <f>_xlfn.XLOOKUP($A2000,Load!$B:$B,Load!M:M,0,)</f>
        <v>Single Brand / Variety Flavors or Form</v>
      </c>
    </row>
    <row r="2001" spans="1:12" x14ac:dyDescent="0.25">
      <c r="B2001">
        <f>_xlfn.XLOOKUP($A2001,Load!$B:$B,Load!C:C,0,)</f>
        <v>0</v>
      </c>
      <c r="C2001">
        <f>_xlfn.XLOOKUP($A2001,Load!$B:$B,Load!D:D,0,)</f>
        <v>0</v>
      </c>
      <c r="D2001">
        <f>_xlfn.XLOOKUP($A2001,Load!$B:$B,Load!E:E,0,)</f>
        <v>0</v>
      </c>
      <c r="E2001">
        <f>_xlfn.XLOOKUP($A2001,Load!$B:$B,Load!F:F,0,)</f>
        <v>0</v>
      </c>
      <c r="F2001">
        <f>_xlfn.XLOOKUP($A2001,Load!$B:$B,Load!G:G,0,)</f>
        <v>0</v>
      </c>
      <c r="G2001">
        <f>_xlfn.XLOOKUP($A2001,Load!$B:$B,Load!H:H,0,)</f>
        <v>0</v>
      </c>
      <c r="H2001">
        <f>_xlfn.XLOOKUP($A2001,Load!$B:$B,Load!I:I,0,)</f>
        <v>0</v>
      </c>
      <c r="I2001">
        <f>_xlfn.XLOOKUP($A2001,Load!$B:$B,Load!J:J,0,)</f>
        <v>0</v>
      </c>
      <c r="J2001">
        <f>_xlfn.XLOOKUP($A2001,Load!$B:$B,Load!K:K,0,)</f>
        <v>0</v>
      </c>
      <c r="K2001">
        <f>_xlfn.XLOOKUP($A2001,Load!$B:$B,Load!L:L,0,)</f>
        <v>0</v>
      </c>
      <c r="L2001">
        <f>_xlfn.XLOOKUP($A2001,Load!$B:$B,Load!M:M,0,)</f>
        <v>0</v>
      </c>
    </row>
    <row r="2002" spans="1:12" x14ac:dyDescent="0.25">
      <c r="B2002">
        <f>_xlfn.XLOOKUP($A2002,Load!$B:$B,Load!C:C,0,)</f>
        <v>0</v>
      </c>
      <c r="C2002">
        <f>_xlfn.XLOOKUP($A2002,Load!$B:$B,Load!D:D,0,)</f>
        <v>0</v>
      </c>
      <c r="D2002">
        <f>_xlfn.XLOOKUP($A2002,Load!$B:$B,Load!E:E,0,)</f>
        <v>0</v>
      </c>
      <c r="E2002">
        <f>_xlfn.XLOOKUP($A2002,Load!$B:$B,Load!F:F,0,)</f>
        <v>0</v>
      </c>
      <c r="F2002">
        <f>_xlfn.XLOOKUP($A2002,Load!$B:$B,Load!G:G,0,)</f>
        <v>0</v>
      </c>
      <c r="G2002">
        <f>_xlfn.XLOOKUP($A2002,Load!$B:$B,Load!H:H,0,)</f>
        <v>0</v>
      </c>
      <c r="H2002">
        <f>_xlfn.XLOOKUP($A2002,Load!$B:$B,Load!I:I,0,)</f>
        <v>0</v>
      </c>
      <c r="I2002">
        <f>_xlfn.XLOOKUP($A2002,Load!$B:$B,Load!J:J,0,)</f>
        <v>0</v>
      </c>
      <c r="J2002">
        <f>_xlfn.XLOOKUP($A2002,Load!$B:$B,Load!K:K,0,)</f>
        <v>0</v>
      </c>
      <c r="K2002">
        <f>_xlfn.XLOOKUP($A2002,Load!$B:$B,Load!L:L,0,)</f>
        <v>0</v>
      </c>
      <c r="L2002">
        <f>_xlfn.XLOOKUP($A2002,Load!$B:$B,Load!M:M,0,)</f>
        <v>0</v>
      </c>
    </row>
    <row r="2003" spans="1:12" x14ac:dyDescent="0.25">
      <c r="B2003">
        <f>_xlfn.XLOOKUP($A2003,Load!$B:$B,Load!C:C,0,)</f>
        <v>0</v>
      </c>
      <c r="C2003">
        <f>_xlfn.XLOOKUP($A2003,Load!$B:$B,Load!D:D,0,)</f>
        <v>0</v>
      </c>
      <c r="D2003">
        <f>_xlfn.XLOOKUP($A2003,Load!$B:$B,Load!E:E,0,)</f>
        <v>0</v>
      </c>
      <c r="E2003">
        <f>_xlfn.XLOOKUP($A2003,Load!$B:$B,Load!F:F,0,)</f>
        <v>0</v>
      </c>
      <c r="F2003">
        <f>_xlfn.XLOOKUP($A2003,Load!$B:$B,Load!G:G,0,)</f>
        <v>0</v>
      </c>
      <c r="G2003">
        <f>_xlfn.XLOOKUP($A2003,Load!$B:$B,Load!H:H,0,)</f>
        <v>0</v>
      </c>
      <c r="H2003">
        <f>_xlfn.XLOOKUP($A2003,Load!$B:$B,Load!I:I,0,)</f>
        <v>0</v>
      </c>
      <c r="I2003">
        <f>_xlfn.XLOOKUP($A2003,Load!$B:$B,Load!J:J,0,)</f>
        <v>0</v>
      </c>
      <c r="J2003">
        <f>_xlfn.XLOOKUP($A2003,Load!$B:$B,Load!K:K,0,)</f>
        <v>0</v>
      </c>
      <c r="K2003">
        <f>_xlfn.XLOOKUP($A2003,Load!$B:$B,Load!L:L,0,)</f>
        <v>0</v>
      </c>
      <c r="L2003">
        <f>_xlfn.XLOOKUP($A2003,Load!$B:$B,Load!M:M,0,)</f>
        <v>0</v>
      </c>
    </row>
    <row r="2004" spans="1:12" x14ac:dyDescent="0.25">
      <c r="B2004">
        <f>_xlfn.XLOOKUP($A2004,Load!$B:$B,Load!C:C,0,)</f>
        <v>0</v>
      </c>
      <c r="C2004">
        <f>_xlfn.XLOOKUP($A2004,Load!$B:$B,Load!D:D,0,)</f>
        <v>0</v>
      </c>
      <c r="D2004">
        <f>_xlfn.XLOOKUP($A2004,Load!$B:$B,Load!E:E,0,)</f>
        <v>0</v>
      </c>
      <c r="E2004">
        <f>_xlfn.XLOOKUP($A2004,Load!$B:$B,Load!F:F,0,)</f>
        <v>0</v>
      </c>
      <c r="F2004">
        <f>_xlfn.XLOOKUP($A2004,Load!$B:$B,Load!G:G,0,)</f>
        <v>0</v>
      </c>
      <c r="G2004">
        <f>_xlfn.XLOOKUP($A2004,Load!$B:$B,Load!H:H,0,)</f>
        <v>0</v>
      </c>
      <c r="H2004">
        <f>_xlfn.XLOOKUP($A2004,Load!$B:$B,Load!I:I,0,)</f>
        <v>0</v>
      </c>
      <c r="I2004">
        <f>_xlfn.XLOOKUP($A2004,Load!$B:$B,Load!J:J,0,)</f>
        <v>0</v>
      </c>
      <c r="J2004">
        <f>_xlfn.XLOOKUP($A2004,Load!$B:$B,Load!K:K,0,)</f>
        <v>0</v>
      </c>
      <c r="K2004">
        <f>_xlfn.XLOOKUP($A2004,Load!$B:$B,Load!L:L,0,)</f>
        <v>0</v>
      </c>
      <c r="L2004">
        <f>_xlfn.XLOOKUP($A2004,Load!$B:$B,Load!M:M,0,)</f>
        <v>0</v>
      </c>
    </row>
    <row r="2005" spans="1:12" x14ac:dyDescent="0.25">
      <c r="B2005">
        <f>_xlfn.XLOOKUP($A2005,Load!$B:$B,Load!C:C,0,)</f>
        <v>0</v>
      </c>
      <c r="C2005">
        <f>_xlfn.XLOOKUP($A2005,Load!$B:$B,Load!D:D,0,)</f>
        <v>0</v>
      </c>
      <c r="D2005">
        <f>_xlfn.XLOOKUP($A2005,Load!$B:$B,Load!E:E,0,)</f>
        <v>0</v>
      </c>
      <c r="E2005">
        <f>_xlfn.XLOOKUP($A2005,Load!$B:$B,Load!F:F,0,)</f>
        <v>0</v>
      </c>
      <c r="F2005">
        <f>_xlfn.XLOOKUP($A2005,Load!$B:$B,Load!G:G,0,)</f>
        <v>0</v>
      </c>
      <c r="G2005">
        <f>_xlfn.XLOOKUP($A2005,Load!$B:$B,Load!H:H,0,)</f>
        <v>0</v>
      </c>
      <c r="H2005">
        <f>_xlfn.XLOOKUP($A2005,Load!$B:$B,Load!I:I,0,)</f>
        <v>0</v>
      </c>
      <c r="I2005">
        <f>_xlfn.XLOOKUP($A2005,Load!$B:$B,Load!J:J,0,)</f>
        <v>0</v>
      </c>
      <c r="J2005">
        <f>_xlfn.XLOOKUP($A2005,Load!$B:$B,Load!K:K,0,)</f>
        <v>0</v>
      </c>
      <c r="K2005">
        <f>_xlfn.XLOOKUP($A2005,Load!$B:$B,Load!L:L,0,)</f>
        <v>0</v>
      </c>
      <c r="L2005">
        <f>_xlfn.XLOOKUP($A2005,Load!$B:$B,Load!M:M,0,)</f>
        <v>0</v>
      </c>
    </row>
    <row r="2006" spans="1:12" x14ac:dyDescent="0.25">
      <c r="B2006">
        <f>_xlfn.XLOOKUP($A2006,Load!$B:$B,Load!C:C,0,)</f>
        <v>0</v>
      </c>
      <c r="C2006">
        <f>_xlfn.XLOOKUP($A2006,Load!$B:$B,Load!D:D,0,)</f>
        <v>0</v>
      </c>
      <c r="D2006">
        <f>_xlfn.XLOOKUP($A2006,Load!$B:$B,Load!E:E,0,)</f>
        <v>0</v>
      </c>
      <c r="E2006">
        <f>_xlfn.XLOOKUP($A2006,Load!$B:$B,Load!F:F,0,)</f>
        <v>0</v>
      </c>
      <c r="F2006">
        <f>_xlfn.XLOOKUP($A2006,Load!$B:$B,Load!G:G,0,)</f>
        <v>0</v>
      </c>
      <c r="G2006">
        <f>_xlfn.XLOOKUP($A2006,Load!$B:$B,Load!H:H,0,)</f>
        <v>0</v>
      </c>
      <c r="H2006">
        <f>_xlfn.XLOOKUP($A2006,Load!$B:$B,Load!I:I,0,)</f>
        <v>0</v>
      </c>
      <c r="I2006">
        <f>_xlfn.XLOOKUP($A2006,Load!$B:$B,Load!J:J,0,)</f>
        <v>0</v>
      </c>
      <c r="J2006">
        <f>_xlfn.XLOOKUP($A2006,Load!$B:$B,Load!K:K,0,)</f>
        <v>0</v>
      </c>
      <c r="K2006">
        <f>_xlfn.XLOOKUP($A2006,Load!$B:$B,Load!L:L,0,)</f>
        <v>0</v>
      </c>
      <c r="L2006">
        <f>_xlfn.XLOOKUP($A2006,Load!$B:$B,Load!M:M,0,)</f>
        <v>0</v>
      </c>
    </row>
    <row r="2007" spans="1:12" x14ac:dyDescent="0.25">
      <c r="B2007">
        <f>_xlfn.XLOOKUP($A2007,Load!$B:$B,Load!C:C,0,)</f>
        <v>0</v>
      </c>
      <c r="C2007">
        <f>_xlfn.XLOOKUP($A2007,Load!$B:$B,Load!D:D,0,)</f>
        <v>0</v>
      </c>
      <c r="D2007">
        <f>_xlfn.XLOOKUP($A2007,Load!$B:$B,Load!E:E,0,)</f>
        <v>0</v>
      </c>
      <c r="E2007">
        <f>_xlfn.XLOOKUP($A2007,Load!$B:$B,Load!F:F,0,)</f>
        <v>0</v>
      </c>
      <c r="F2007">
        <f>_xlfn.XLOOKUP($A2007,Load!$B:$B,Load!G:G,0,)</f>
        <v>0</v>
      </c>
      <c r="G2007">
        <f>_xlfn.XLOOKUP($A2007,Load!$B:$B,Load!H:H,0,)</f>
        <v>0</v>
      </c>
      <c r="H2007">
        <f>_xlfn.XLOOKUP($A2007,Load!$B:$B,Load!I:I,0,)</f>
        <v>0</v>
      </c>
      <c r="I2007">
        <f>_xlfn.XLOOKUP($A2007,Load!$B:$B,Load!J:J,0,)</f>
        <v>0</v>
      </c>
      <c r="J2007">
        <f>_xlfn.XLOOKUP($A2007,Load!$B:$B,Load!K:K,0,)</f>
        <v>0</v>
      </c>
      <c r="K2007">
        <f>_xlfn.XLOOKUP($A2007,Load!$B:$B,Load!L:L,0,)</f>
        <v>0</v>
      </c>
      <c r="L2007">
        <f>_xlfn.XLOOKUP($A2007,Load!$B:$B,Load!M:M,0,)</f>
        <v>0</v>
      </c>
    </row>
    <row r="2008" spans="1:12" x14ac:dyDescent="0.25">
      <c r="B2008">
        <f>_xlfn.XLOOKUP($A2008,Load!$B:$B,Load!C:C,0,)</f>
        <v>0</v>
      </c>
      <c r="C2008">
        <f>_xlfn.XLOOKUP($A2008,Load!$B:$B,Load!D:D,0,)</f>
        <v>0</v>
      </c>
      <c r="D2008">
        <f>_xlfn.XLOOKUP($A2008,Load!$B:$B,Load!E:E,0,)</f>
        <v>0</v>
      </c>
      <c r="E2008">
        <f>_xlfn.XLOOKUP($A2008,Load!$B:$B,Load!F:F,0,)</f>
        <v>0</v>
      </c>
      <c r="F2008">
        <f>_xlfn.XLOOKUP($A2008,Load!$B:$B,Load!G:G,0,)</f>
        <v>0</v>
      </c>
      <c r="G2008">
        <f>_xlfn.XLOOKUP($A2008,Load!$B:$B,Load!H:H,0,)</f>
        <v>0</v>
      </c>
      <c r="H2008">
        <f>_xlfn.XLOOKUP($A2008,Load!$B:$B,Load!I:I,0,)</f>
        <v>0</v>
      </c>
      <c r="I2008">
        <f>_xlfn.XLOOKUP($A2008,Load!$B:$B,Load!J:J,0,)</f>
        <v>0</v>
      </c>
      <c r="J2008">
        <f>_xlfn.XLOOKUP($A2008,Load!$B:$B,Load!K:K,0,)</f>
        <v>0</v>
      </c>
      <c r="K2008">
        <f>_xlfn.XLOOKUP($A2008,Load!$B:$B,Load!L:L,0,)</f>
        <v>0</v>
      </c>
      <c r="L2008">
        <f>_xlfn.XLOOKUP($A2008,Load!$B:$B,Load!M:M,0,)</f>
        <v>0</v>
      </c>
    </row>
    <row r="2009" spans="1:12" x14ac:dyDescent="0.25">
      <c r="B2009">
        <f>_xlfn.XLOOKUP($A2009,Load!$B:$B,Load!C:C,0,)</f>
        <v>0</v>
      </c>
      <c r="C2009">
        <f>_xlfn.XLOOKUP($A2009,Load!$B:$B,Load!D:D,0,)</f>
        <v>0</v>
      </c>
      <c r="D2009">
        <f>_xlfn.XLOOKUP($A2009,Load!$B:$B,Load!E:E,0,)</f>
        <v>0</v>
      </c>
      <c r="E2009">
        <f>_xlfn.XLOOKUP($A2009,Load!$B:$B,Load!F:F,0,)</f>
        <v>0</v>
      </c>
      <c r="F2009">
        <f>_xlfn.XLOOKUP($A2009,Load!$B:$B,Load!G:G,0,)</f>
        <v>0</v>
      </c>
      <c r="G2009">
        <f>_xlfn.XLOOKUP($A2009,Load!$B:$B,Load!H:H,0,)</f>
        <v>0</v>
      </c>
      <c r="H2009">
        <f>_xlfn.XLOOKUP($A2009,Load!$B:$B,Load!I:I,0,)</f>
        <v>0</v>
      </c>
      <c r="I2009">
        <f>_xlfn.XLOOKUP($A2009,Load!$B:$B,Load!J:J,0,)</f>
        <v>0</v>
      </c>
      <c r="J2009">
        <f>_xlfn.XLOOKUP($A2009,Load!$B:$B,Load!K:K,0,)</f>
        <v>0</v>
      </c>
      <c r="K2009">
        <f>_xlfn.XLOOKUP($A2009,Load!$B:$B,Load!L:L,0,)</f>
        <v>0</v>
      </c>
      <c r="L2009">
        <f>_xlfn.XLOOKUP($A2009,Load!$B:$B,Load!M:M,0,)</f>
        <v>0</v>
      </c>
    </row>
    <row r="2010" spans="1:12" x14ac:dyDescent="0.25">
      <c r="A2010" t="s">
        <v>70</v>
      </c>
      <c r="B2010" t="str">
        <f>_xlfn.XLOOKUP($A2010,Load!$B:$B,Load!C:C,0,)</f>
        <v>Dum Dums</v>
      </c>
      <c r="C2010" t="str">
        <f>_xlfn.XLOOKUP($A2010,Load!$B:$B,Load!D:D,0,)</f>
        <v>Non-Chocolate Candy Only</v>
      </c>
      <c r="D2010" t="str">
        <f>_xlfn.XLOOKUP($A2010,Load!$B:$B,Load!E:E,0,)</f>
        <v>Fall / Seasonal Flavors (pumpkin spice, caramel apple, candy corn)</v>
      </c>
      <c r="E2010" t="str">
        <f>_xlfn.XLOOKUP($A2010,Load!$B:$B,Load!F:F,0,)</f>
        <v>Lollipop (regular or lollipop rings)</v>
      </c>
      <c r="F2010" t="str">
        <f>_xlfn.XLOOKUP($A2010,Load!$B:$B,Load!G:G,0,)</f>
        <v>Single Pack</v>
      </c>
      <c r="G2010" t="str">
        <f>_xlfn.XLOOKUP($A2010,Load!$B:$B,Load!H:H,0,)</f>
        <v>Laydown Bag</v>
      </c>
      <c r="H2010" t="str">
        <f>_xlfn.XLOOKUP($A2010,Load!$B:$B,Load!I:I,0,)</f>
        <v>Everyday Candy Shapes (like Original, Gummy bear, Fruit, Jewels, etc.)</v>
      </c>
      <c r="I2010" t="str">
        <f>_xlfn.XLOOKUP($A2010,Load!$B:$B,Load!J:J,0,)</f>
        <v>Seasonal Graphics (Like Bat, Ghost, Pumpkin, Fall Leaves, Eyeballs, etc.)</v>
      </c>
      <c r="J2010" t="str">
        <f>_xlfn.XLOOKUP($A2010,Load!$B:$B,Load!K:K,0,)</f>
        <v>Regular Lollipop size (on sticks or rings)</v>
      </c>
      <c r="K2010" t="str">
        <f>_xlfn.XLOOKUP($A2010,Load!$B:$B,Load!L:L,0,)</f>
        <v>Regular/Original Wrapping</v>
      </c>
      <c r="L2010" t="str">
        <f>_xlfn.XLOOKUP($A2010,Load!$B:$B,Load!M:M,0,)</f>
        <v>Single Brand / Variety Flavors or Form</v>
      </c>
    </row>
    <row r="2011" spans="1:12" x14ac:dyDescent="0.25">
      <c r="A2011" t="s">
        <v>463</v>
      </c>
      <c r="B2011" t="str">
        <f>_xlfn.XLOOKUP($A2011,Load!$B:$B,Load!C:C,0,)</f>
        <v>Mars Variety Pack</v>
      </c>
      <c r="C2011" t="str">
        <f>_xlfn.XLOOKUP($A2011,Load!$B:$B,Load!D:D,0,)</f>
        <v>Mix of Chocolate and Non-Chocolate Candy</v>
      </c>
      <c r="D2011" t="str">
        <f>_xlfn.XLOOKUP($A2011,Load!$B:$B,Load!E:E,0,)</f>
        <v>Variety / Mixed Flavors (Fruity, Sour, Seasonal Flavors)</v>
      </c>
      <c r="E2011" t="str">
        <f>_xlfn.XLOOKUP($A2011,Load!$B:$B,Load!F:F,0,)</f>
        <v>Mixed / Combo Packs (Gummy, Chewy, Taffy, etc.)</v>
      </c>
      <c r="F2011" t="str">
        <f>_xlfn.XLOOKUP($A2011,Load!$B:$B,Load!G:G,0,)</f>
        <v>Medium Multipack (40–80 ct)</v>
      </c>
      <c r="G2011" t="str">
        <f>_xlfn.XLOOKUP($A2011,Load!$B:$B,Load!H:H,0,)</f>
        <v>Stand-Up Bag</v>
      </c>
      <c r="H2011" t="str">
        <f>_xlfn.XLOOKUP($A2011,Load!$B:$B,Load!I:I,0,)</f>
        <v>Everyday Candy Shapes (like Original, Gummy bear, Fruit, Jewels, etc.)</v>
      </c>
      <c r="I2011" t="str">
        <f>_xlfn.XLOOKUP($A2011,Load!$B:$B,Load!J:J,0,)</f>
        <v>Seasonal Graphics (Like Bat, Ghost, Pumpkin, Fall Leaves, Eyeballs, etc.)</v>
      </c>
      <c r="J2011" t="str">
        <f>_xlfn.XLOOKUP($A2011,Load!$B:$B,Load!K:K,0,)</f>
        <v>Fun Size / Treat Size</v>
      </c>
      <c r="K2011" t="str">
        <f>_xlfn.XLOOKUP($A2011,Load!$B:$B,Load!L:L,0,)</f>
        <v>Regular/Original Wrapping</v>
      </c>
      <c r="L2011" t="str">
        <f>_xlfn.XLOOKUP($A2011,Load!$B:$B,Load!M:M,0,)</f>
        <v>Multiple Brands / Variety Flavors or Form</v>
      </c>
    </row>
    <row r="2012" spans="1:12" x14ac:dyDescent="0.25">
      <c r="B2012">
        <f>_xlfn.XLOOKUP($A2012,Load!$B:$B,Load!C:C,0,)</f>
        <v>0</v>
      </c>
      <c r="C2012">
        <f>_xlfn.XLOOKUP($A2012,Load!$B:$B,Load!D:D,0,)</f>
        <v>0</v>
      </c>
      <c r="D2012">
        <f>_xlfn.XLOOKUP($A2012,Load!$B:$B,Load!E:E,0,)</f>
        <v>0</v>
      </c>
      <c r="E2012">
        <f>_xlfn.XLOOKUP($A2012,Load!$B:$B,Load!F:F,0,)</f>
        <v>0</v>
      </c>
      <c r="F2012">
        <f>_xlfn.XLOOKUP($A2012,Load!$B:$B,Load!G:G,0,)</f>
        <v>0</v>
      </c>
      <c r="G2012">
        <f>_xlfn.XLOOKUP($A2012,Load!$B:$B,Load!H:H,0,)</f>
        <v>0</v>
      </c>
      <c r="H2012">
        <f>_xlfn.XLOOKUP($A2012,Load!$B:$B,Load!I:I,0,)</f>
        <v>0</v>
      </c>
      <c r="I2012">
        <f>_xlfn.XLOOKUP($A2012,Load!$B:$B,Load!J:J,0,)</f>
        <v>0</v>
      </c>
      <c r="J2012">
        <f>_xlfn.XLOOKUP($A2012,Load!$B:$B,Load!K:K,0,)</f>
        <v>0</v>
      </c>
      <c r="K2012">
        <f>_xlfn.XLOOKUP($A2012,Load!$B:$B,Load!L:L,0,)</f>
        <v>0</v>
      </c>
      <c r="L2012">
        <f>_xlfn.XLOOKUP($A2012,Load!$B:$B,Load!M:M,0,)</f>
        <v>0</v>
      </c>
    </row>
    <row r="2013" spans="1:12" x14ac:dyDescent="0.25">
      <c r="B2013">
        <f>_xlfn.XLOOKUP($A2013,Load!$B:$B,Load!C:C,0,)</f>
        <v>0</v>
      </c>
      <c r="C2013">
        <f>_xlfn.XLOOKUP($A2013,Load!$B:$B,Load!D:D,0,)</f>
        <v>0</v>
      </c>
      <c r="D2013">
        <f>_xlfn.XLOOKUP($A2013,Load!$B:$B,Load!E:E,0,)</f>
        <v>0</v>
      </c>
      <c r="E2013">
        <f>_xlfn.XLOOKUP($A2013,Load!$B:$B,Load!F:F,0,)</f>
        <v>0</v>
      </c>
      <c r="F2013">
        <f>_xlfn.XLOOKUP($A2013,Load!$B:$B,Load!G:G,0,)</f>
        <v>0</v>
      </c>
      <c r="G2013">
        <f>_xlfn.XLOOKUP($A2013,Load!$B:$B,Load!H:H,0,)</f>
        <v>0</v>
      </c>
      <c r="H2013">
        <f>_xlfn.XLOOKUP($A2013,Load!$B:$B,Load!I:I,0,)</f>
        <v>0</v>
      </c>
      <c r="I2013">
        <f>_xlfn.XLOOKUP($A2013,Load!$B:$B,Load!J:J,0,)</f>
        <v>0</v>
      </c>
      <c r="J2013">
        <f>_xlfn.XLOOKUP($A2013,Load!$B:$B,Load!K:K,0,)</f>
        <v>0</v>
      </c>
      <c r="K2013">
        <f>_xlfn.XLOOKUP($A2013,Load!$B:$B,Load!L:L,0,)</f>
        <v>0</v>
      </c>
      <c r="L2013">
        <f>_xlfn.XLOOKUP($A2013,Load!$B:$B,Load!M:M,0,)</f>
        <v>0</v>
      </c>
    </row>
    <row r="2014" spans="1:12" x14ac:dyDescent="0.25">
      <c r="B2014">
        <f>_xlfn.XLOOKUP($A2014,Load!$B:$B,Load!C:C,0,)</f>
        <v>0</v>
      </c>
      <c r="C2014">
        <f>_xlfn.XLOOKUP($A2014,Load!$B:$B,Load!D:D,0,)</f>
        <v>0</v>
      </c>
      <c r="D2014">
        <f>_xlfn.XLOOKUP($A2014,Load!$B:$B,Load!E:E,0,)</f>
        <v>0</v>
      </c>
      <c r="E2014">
        <f>_xlfn.XLOOKUP($A2014,Load!$B:$B,Load!F:F,0,)</f>
        <v>0</v>
      </c>
      <c r="F2014">
        <f>_xlfn.XLOOKUP($A2014,Load!$B:$B,Load!G:G,0,)</f>
        <v>0</v>
      </c>
      <c r="G2014">
        <f>_xlfn.XLOOKUP($A2014,Load!$B:$B,Load!H:H,0,)</f>
        <v>0</v>
      </c>
      <c r="H2014">
        <f>_xlfn.XLOOKUP($A2014,Load!$B:$B,Load!I:I,0,)</f>
        <v>0</v>
      </c>
      <c r="I2014">
        <f>_xlfn.XLOOKUP($A2014,Load!$B:$B,Load!J:J,0,)</f>
        <v>0</v>
      </c>
      <c r="J2014">
        <f>_xlfn.XLOOKUP($A2014,Load!$B:$B,Load!K:K,0,)</f>
        <v>0</v>
      </c>
      <c r="K2014">
        <f>_xlfn.XLOOKUP($A2014,Load!$B:$B,Load!L:L,0,)</f>
        <v>0</v>
      </c>
      <c r="L2014">
        <f>_xlfn.XLOOKUP($A2014,Load!$B:$B,Load!M:M,0,)</f>
        <v>0</v>
      </c>
    </row>
    <row r="2015" spans="1:12" x14ac:dyDescent="0.25">
      <c r="B2015">
        <f>_xlfn.XLOOKUP($A2015,Load!$B:$B,Load!C:C,0,)</f>
        <v>0</v>
      </c>
      <c r="C2015">
        <f>_xlfn.XLOOKUP($A2015,Load!$B:$B,Load!D:D,0,)</f>
        <v>0</v>
      </c>
      <c r="D2015">
        <f>_xlfn.XLOOKUP($A2015,Load!$B:$B,Load!E:E,0,)</f>
        <v>0</v>
      </c>
      <c r="E2015">
        <f>_xlfn.XLOOKUP($A2015,Load!$B:$B,Load!F:F,0,)</f>
        <v>0</v>
      </c>
      <c r="F2015">
        <f>_xlfn.XLOOKUP($A2015,Load!$B:$B,Load!G:G,0,)</f>
        <v>0</v>
      </c>
      <c r="G2015">
        <f>_xlfn.XLOOKUP($A2015,Load!$B:$B,Load!H:H,0,)</f>
        <v>0</v>
      </c>
      <c r="H2015">
        <f>_xlfn.XLOOKUP($A2015,Load!$B:$B,Load!I:I,0,)</f>
        <v>0</v>
      </c>
      <c r="I2015">
        <f>_xlfn.XLOOKUP($A2015,Load!$B:$B,Load!J:J,0,)</f>
        <v>0</v>
      </c>
      <c r="J2015">
        <f>_xlfn.XLOOKUP($A2015,Load!$B:$B,Load!K:K,0,)</f>
        <v>0</v>
      </c>
      <c r="K2015">
        <f>_xlfn.XLOOKUP($A2015,Load!$B:$B,Load!L:L,0,)</f>
        <v>0</v>
      </c>
      <c r="L2015">
        <f>_xlfn.XLOOKUP($A2015,Load!$B:$B,Load!M:M,0,)</f>
        <v>0</v>
      </c>
    </row>
    <row r="2016" spans="1:12" x14ac:dyDescent="0.25">
      <c r="B2016">
        <f>_xlfn.XLOOKUP($A2016,Load!$B:$B,Load!C:C,0,)</f>
        <v>0</v>
      </c>
      <c r="C2016">
        <f>_xlfn.XLOOKUP($A2016,Load!$B:$B,Load!D:D,0,)</f>
        <v>0</v>
      </c>
      <c r="D2016">
        <f>_xlfn.XLOOKUP($A2016,Load!$B:$B,Load!E:E,0,)</f>
        <v>0</v>
      </c>
      <c r="E2016">
        <f>_xlfn.XLOOKUP($A2016,Load!$B:$B,Load!F:F,0,)</f>
        <v>0</v>
      </c>
      <c r="F2016">
        <f>_xlfn.XLOOKUP($A2016,Load!$B:$B,Load!G:G,0,)</f>
        <v>0</v>
      </c>
      <c r="G2016">
        <f>_xlfn.XLOOKUP($A2016,Load!$B:$B,Load!H:H,0,)</f>
        <v>0</v>
      </c>
      <c r="H2016">
        <f>_xlfn.XLOOKUP($A2016,Load!$B:$B,Load!I:I,0,)</f>
        <v>0</v>
      </c>
      <c r="I2016">
        <f>_xlfn.XLOOKUP($A2016,Load!$B:$B,Load!J:J,0,)</f>
        <v>0</v>
      </c>
      <c r="J2016">
        <f>_xlfn.XLOOKUP($A2016,Load!$B:$B,Load!K:K,0,)</f>
        <v>0</v>
      </c>
      <c r="K2016">
        <f>_xlfn.XLOOKUP($A2016,Load!$B:$B,Load!L:L,0,)</f>
        <v>0</v>
      </c>
      <c r="L2016">
        <f>_xlfn.XLOOKUP($A2016,Load!$B:$B,Load!M:M,0,)</f>
        <v>0</v>
      </c>
    </row>
    <row r="2017" spans="1:12" x14ac:dyDescent="0.25">
      <c r="B2017">
        <f>_xlfn.XLOOKUP($A2017,Load!$B:$B,Load!C:C,0,)</f>
        <v>0</v>
      </c>
      <c r="C2017">
        <f>_xlfn.XLOOKUP($A2017,Load!$B:$B,Load!D:D,0,)</f>
        <v>0</v>
      </c>
      <c r="D2017">
        <f>_xlfn.XLOOKUP($A2017,Load!$B:$B,Load!E:E,0,)</f>
        <v>0</v>
      </c>
      <c r="E2017">
        <f>_xlfn.XLOOKUP($A2017,Load!$B:$B,Load!F:F,0,)</f>
        <v>0</v>
      </c>
      <c r="F2017">
        <f>_xlfn.XLOOKUP($A2017,Load!$B:$B,Load!G:G,0,)</f>
        <v>0</v>
      </c>
      <c r="G2017">
        <f>_xlfn.XLOOKUP($A2017,Load!$B:$B,Load!H:H,0,)</f>
        <v>0</v>
      </c>
      <c r="H2017">
        <f>_xlfn.XLOOKUP($A2017,Load!$B:$B,Load!I:I,0,)</f>
        <v>0</v>
      </c>
      <c r="I2017">
        <f>_xlfn.XLOOKUP($A2017,Load!$B:$B,Load!J:J,0,)</f>
        <v>0</v>
      </c>
      <c r="J2017">
        <f>_xlfn.XLOOKUP($A2017,Load!$B:$B,Load!K:K,0,)</f>
        <v>0</v>
      </c>
      <c r="K2017">
        <f>_xlfn.XLOOKUP($A2017,Load!$B:$B,Load!L:L,0,)</f>
        <v>0</v>
      </c>
      <c r="L2017">
        <f>_xlfn.XLOOKUP($A2017,Load!$B:$B,Load!M:M,0,)</f>
        <v>0</v>
      </c>
    </row>
    <row r="2018" spans="1:12" x14ac:dyDescent="0.25">
      <c r="B2018">
        <f>_xlfn.XLOOKUP($A2018,Load!$B:$B,Load!C:C,0,)</f>
        <v>0</v>
      </c>
      <c r="C2018">
        <f>_xlfn.XLOOKUP($A2018,Load!$B:$B,Load!D:D,0,)</f>
        <v>0</v>
      </c>
      <c r="D2018">
        <f>_xlfn.XLOOKUP($A2018,Load!$B:$B,Load!E:E,0,)</f>
        <v>0</v>
      </c>
      <c r="E2018">
        <f>_xlfn.XLOOKUP($A2018,Load!$B:$B,Load!F:F,0,)</f>
        <v>0</v>
      </c>
      <c r="F2018">
        <f>_xlfn.XLOOKUP($A2018,Load!$B:$B,Load!G:G,0,)</f>
        <v>0</v>
      </c>
      <c r="G2018">
        <f>_xlfn.XLOOKUP($A2018,Load!$B:$B,Load!H:H,0,)</f>
        <v>0</v>
      </c>
      <c r="H2018">
        <f>_xlfn.XLOOKUP($A2018,Load!$B:$B,Load!I:I,0,)</f>
        <v>0</v>
      </c>
      <c r="I2018">
        <f>_xlfn.XLOOKUP($A2018,Load!$B:$B,Load!J:J,0,)</f>
        <v>0</v>
      </c>
      <c r="J2018">
        <f>_xlfn.XLOOKUP($A2018,Load!$B:$B,Load!K:K,0,)</f>
        <v>0</v>
      </c>
      <c r="K2018">
        <f>_xlfn.XLOOKUP($A2018,Load!$B:$B,Load!L:L,0,)</f>
        <v>0</v>
      </c>
      <c r="L2018">
        <f>_xlfn.XLOOKUP($A2018,Load!$B:$B,Load!M:M,0,)</f>
        <v>0</v>
      </c>
    </row>
    <row r="2019" spans="1:12" x14ac:dyDescent="0.25">
      <c r="B2019">
        <f>_xlfn.XLOOKUP($A2019,Load!$B:$B,Load!C:C,0,)</f>
        <v>0</v>
      </c>
      <c r="C2019">
        <f>_xlfn.XLOOKUP($A2019,Load!$B:$B,Load!D:D,0,)</f>
        <v>0</v>
      </c>
      <c r="D2019">
        <f>_xlfn.XLOOKUP($A2019,Load!$B:$B,Load!E:E,0,)</f>
        <v>0</v>
      </c>
      <c r="E2019">
        <f>_xlfn.XLOOKUP($A2019,Load!$B:$B,Load!F:F,0,)</f>
        <v>0</v>
      </c>
      <c r="F2019">
        <f>_xlfn.XLOOKUP($A2019,Load!$B:$B,Load!G:G,0,)</f>
        <v>0</v>
      </c>
      <c r="G2019">
        <f>_xlfn.XLOOKUP($A2019,Load!$B:$B,Load!H:H,0,)</f>
        <v>0</v>
      </c>
      <c r="H2019">
        <f>_xlfn.XLOOKUP($A2019,Load!$B:$B,Load!I:I,0,)</f>
        <v>0</v>
      </c>
      <c r="I2019">
        <f>_xlfn.XLOOKUP($A2019,Load!$B:$B,Load!J:J,0,)</f>
        <v>0</v>
      </c>
      <c r="J2019">
        <f>_xlfn.XLOOKUP($A2019,Load!$B:$B,Load!K:K,0,)</f>
        <v>0</v>
      </c>
      <c r="K2019">
        <f>_xlfn.XLOOKUP($A2019,Load!$B:$B,Load!L:L,0,)</f>
        <v>0</v>
      </c>
      <c r="L2019">
        <f>_xlfn.XLOOKUP($A2019,Load!$B:$B,Load!M:M,0,)</f>
        <v>0</v>
      </c>
    </row>
    <row r="2020" spans="1:12" x14ac:dyDescent="0.25">
      <c r="B2020">
        <f>_xlfn.XLOOKUP($A2020,Load!$B:$B,Load!C:C,0,)</f>
        <v>0</v>
      </c>
      <c r="C2020">
        <f>_xlfn.XLOOKUP($A2020,Load!$B:$B,Load!D:D,0,)</f>
        <v>0</v>
      </c>
      <c r="D2020">
        <f>_xlfn.XLOOKUP($A2020,Load!$B:$B,Load!E:E,0,)</f>
        <v>0</v>
      </c>
      <c r="E2020">
        <f>_xlfn.XLOOKUP($A2020,Load!$B:$B,Load!F:F,0,)</f>
        <v>0</v>
      </c>
      <c r="F2020">
        <f>_xlfn.XLOOKUP($A2020,Load!$B:$B,Load!G:G,0,)</f>
        <v>0</v>
      </c>
      <c r="G2020">
        <f>_xlfn.XLOOKUP($A2020,Load!$B:$B,Load!H:H,0,)</f>
        <v>0</v>
      </c>
      <c r="H2020">
        <f>_xlfn.XLOOKUP($A2020,Load!$B:$B,Load!I:I,0,)</f>
        <v>0</v>
      </c>
      <c r="I2020">
        <f>_xlfn.XLOOKUP($A2020,Load!$B:$B,Load!J:J,0,)</f>
        <v>0</v>
      </c>
      <c r="J2020">
        <f>_xlfn.XLOOKUP($A2020,Load!$B:$B,Load!K:K,0,)</f>
        <v>0</v>
      </c>
      <c r="K2020">
        <f>_xlfn.XLOOKUP($A2020,Load!$B:$B,Load!L:L,0,)</f>
        <v>0</v>
      </c>
      <c r="L2020">
        <f>_xlfn.XLOOKUP($A2020,Load!$B:$B,Load!M:M,0,)</f>
        <v>0</v>
      </c>
    </row>
    <row r="2021" spans="1:12" x14ac:dyDescent="0.25">
      <c r="B2021">
        <f>_xlfn.XLOOKUP($A2021,Load!$B:$B,Load!C:C,0,)</f>
        <v>0</v>
      </c>
      <c r="C2021">
        <f>_xlfn.XLOOKUP($A2021,Load!$B:$B,Load!D:D,0,)</f>
        <v>0</v>
      </c>
      <c r="D2021">
        <f>_xlfn.XLOOKUP($A2021,Load!$B:$B,Load!E:E,0,)</f>
        <v>0</v>
      </c>
      <c r="E2021">
        <f>_xlfn.XLOOKUP($A2021,Load!$B:$B,Load!F:F,0,)</f>
        <v>0</v>
      </c>
      <c r="F2021">
        <f>_xlfn.XLOOKUP($A2021,Load!$B:$B,Load!G:G,0,)</f>
        <v>0</v>
      </c>
      <c r="G2021">
        <f>_xlfn.XLOOKUP($A2021,Load!$B:$B,Load!H:H,0,)</f>
        <v>0</v>
      </c>
      <c r="H2021">
        <f>_xlfn.XLOOKUP($A2021,Load!$B:$B,Load!I:I,0,)</f>
        <v>0</v>
      </c>
      <c r="I2021">
        <f>_xlfn.XLOOKUP($A2021,Load!$B:$B,Load!J:J,0,)</f>
        <v>0</v>
      </c>
      <c r="J2021">
        <f>_xlfn.XLOOKUP($A2021,Load!$B:$B,Load!K:K,0,)</f>
        <v>0</v>
      </c>
      <c r="K2021">
        <f>_xlfn.XLOOKUP($A2021,Load!$B:$B,Load!L:L,0,)</f>
        <v>0</v>
      </c>
      <c r="L2021">
        <f>_xlfn.XLOOKUP($A2021,Load!$B:$B,Load!M:M,0,)</f>
        <v>0</v>
      </c>
    </row>
    <row r="2022" spans="1:12" x14ac:dyDescent="0.25">
      <c r="B2022">
        <f>_xlfn.XLOOKUP($A2022,Load!$B:$B,Load!C:C,0,)</f>
        <v>0</v>
      </c>
      <c r="C2022">
        <f>_xlfn.XLOOKUP($A2022,Load!$B:$B,Load!D:D,0,)</f>
        <v>0</v>
      </c>
      <c r="D2022">
        <f>_xlfn.XLOOKUP($A2022,Load!$B:$B,Load!E:E,0,)</f>
        <v>0</v>
      </c>
      <c r="E2022">
        <f>_xlfn.XLOOKUP($A2022,Load!$B:$B,Load!F:F,0,)</f>
        <v>0</v>
      </c>
      <c r="F2022">
        <f>_xlfn.XLOOKUP($A2022,Load!$B:$B,Load!G:G,0,)</f>
        <v>0</v>
      </c>
      <c r="G2022">
        <f>_xlfn.XLOOKUP($A2022,Load!$B:$B,Load!H:H,0,)</f>
        <v>0</v>
      </c>
      <c r="H2022">
        <f>_xlfn.XLOOKUP($A2022,Load!$B:$B,Load!I:I,0,)</f>
        <v>0</v>
      </c>
      <c r="I2022">
        <f>_xlfn.XLOOKUP($A2022,Load!$B:$B,Load!J:J,0,)</f>
        <v>0</v>
      </c>
      <c r="J2022">
        <f>_xlfn.XLOOKUP($A2022,Load!$B:$B,Load!K:K,0,)</f>
        <v>0</v>
      </c>
      <c r="K2022">
        <f>_xlfn.XLOOKUP($A2022,Load!$B:$B,Load!L:L,0,)</f>
        <v>0</v>
      </c>
      <c r="L2022">
        <f>_xlfn.XLOOKUP($A2022,Load!$B:$B,Load!M:M,0,)</f>
        <v>0</v>
      </c>
    </row>
    <row r="2023" spans="1:12" x14ac:dyDescent="0.25">
      <c r="B2023">
        <f>_xlfn.XLOOKUP($A2023,Load!$B:$B,Load!C:C,0,)</f>
        <v>0</v>
      </c>
      <c r="C2023">
        <f>_xlfn.XLOOKUP($A2023,Load!$B:$B,Load!D:D,0,)</f>
        <v>0</v>
      </c>
      <c r="D2023">
        <f>_xlfn.XLOOKUP($A2023,Load!$B:$B,Load!E:E,0,)</f>
        <v>0</v>
      </c>
      <c r="E2023">
        <f>_xlfn.XLOOKUP($A2023,Load!$B:$B,Load!F:F,0,)</f>
        <v>0</v>
      </c>
      <c r="F2023">
        <f>_xlfn.XLOOKUP($A2023,Load!$B:$B,Load!G:G,0,)</f>
        <v>0</v>
      </c>
      <c r="G2023">
        <f>_xlfn.XLOOKUP($A2023,Load!$B:$B,Load!H:H,0,)</f>
        <v>0</v>
      </c>
      <c r="H2023">
        <f>_xlfn.XLOOKUP($A2023,Load!$B:$B,Load!I:I,0,)</f>
        <v>0</v>
      </c>
      <c r="I2023">
        <f>_xlfn.XLOOKUP($A2023,Load!$B:$B,Load!J:J,0,)</f>
        <v>0</v>
      </c>
      <c r="J2023">
        <f>_xlfn.XLOOKUP($A2023,Load!$B:$B,Load!K:K,0,)</f>
        <v>0</v>
      </c>
      <c r="K2023">
        <f>_xlfn.XLOOKUP($A2023,Load!$B:$B,Load!L:L,0,)</f>
        <v>0</v>
      </c>
      <c r="L2023">
        <f>_xlfn.XLOOKUP($A2023,Load!$B:$B,Load!M:M,0,)</f>
        <v>0</v>
      </c>
    </row>
    <row r="2024" spans="1:12" x14ac:dyDescent="0.25">
      <c r="B2024">
        <f>_xlfn.XLOOKUP($A2024,Load!$B:$B,Load!C:C,0,)</f>
        <v>0</v>
      </c>
      <c r="C2024">
        <f>_xlfn.XLOOKUP($A2024,Load!$B:$B,Load!D:D,0,)</f>
        <v>0</v>
      </c>
      <c r="D2024">
        <f>_xlfn.XLOOKUP($A2024,Load!$B:$B,Load!E:E,0,)</f>
        <v>0</v>
      </c>
      <c r="E2024">
        <f>_xlfn.XLOOKUP($A2024,Load!$B:$B,Load!F:F,0,)</f>
        <v>0</v>
      </c>
      <c r="F2024">
        <f>_xlfn.XLOOKUP($A2024,Load!$B:$B,Load!G:G,0,)</f>
        <v>0</v>
      </c>
      <c r="G2024">
        <f>_xlfn.XLOOKUP($A2024,Load!$B:$B,Load!H:H,0,)</f>
        <v>0</v>
      </c>
      <c r="H2024">
        <f>_xlfn.XLOOKUP($A2024,Load!$B:$B,Load!I:I,0,)</f>
        <v>0</v>
      </c>
      <c r="I2024">
        <f>_xlfn.XLOOKUP($A2024,Load!$B:$B,Load!J:J,0,)</f>
        <v>0</v>
      </c>
      <c r="J2024">
        <f>_xlfn.XLOOKUP($A2024,Load!$B:$B,Load!K:K,0,)</f>
        <v>0</v>
      </c>
      <c r="K2024">
        <f>_xlfn.XLOOKUP($A2024,Load!$B:$B,Load!L:L,0,)</f>
        <v>0</v>
      </c>
      <c r="L2024">
        <f>_xlfn.XLOOKUP($A2024,Load!$B:$B,Load!M:M,0,)</f>
        <v>0</v>
      </c>
    </row>
    <row r="2025" spans="1:12" x14ac:dyDescent="0.25">
      <c r="B2025">
        <f>_xlfn.XLOOKUP($A2025,Load!$B:$B,Load!C:C,0,)</f>
        <v>0</v>
      </c>
      <c r="C2025">
        <f>_xlfn.XLOOKUP($A2025,Load!$B:$B,Load!D:D,0,)</f>
        <v>0</v>
      </c>
      <c r="D2025">
        <f>_xlfn.XLOOKUP($A2025,Load!$B:$B,Load!E:E,0,)</f>
        <v>0</v>
      </c>
      <c r="E2025">
        <f>_xlfn.XLOOKUP($A2025,Load!$B:$B,Load!F:F,0,)</f>
        <v>0</v>
      </c>
      <c r="F2025">
        <f>_xlfn.XLOOKUP($A2025,Load!$B:$B,Load!G:G,0,)</f>
        <v>0</v>
      </c>
      <c r="G2025">
        <f>_xlfn.XLOOKUP($A2025,Load!$B:$B,Load!H:H,0,)</f>
        <v>0</v>
      </c>
      <c r="H2025">
        <f>_xlfn.XLOOKUP($A2025,Load!$B:$B,Load!I:I,0,)</f>
        <v>0</v>
      </c>
      <c r="I2025">
        <f>_xlfn.XLOOKUP($A2025,Load!$B:$B,Load!J:J,0,)</f>
        <v>0</v>
      </c>
      <c r="J2025">
        <f>_xlfn.XLOOKUP($A2025,Load!$B:$B,Load!K:K,0,)</f>
        <v>0</v>
      </c>
      <c r="K2025">
        <f>_xlfn.XLOOKUP($A2025,Load!$B:$B,Load!L:L,0,)</f>
        <v>0</v>
      </c>
      <c r="L2025">
        <f>_xlfn.XLOOKUP($A2025,Load!$B:$B,Load!M:M,0,)</f>
        <v>0</v>
      </c>
    </row>
    <row r="2026" spans="1:12" x14ac:dyDescent="0.25">
      <c r="B2026">
        <f>_xlfn.XLOOKUP($A2026,Load!$B:$B,Load!C:C,0,)</f>
        <v>0</v>
      </c>
      <c r="C2026">
        <f>_xlfn.XLOOKUP($A2026,Load!$B:$B,Load!D:D,0,)</f>
        <v>0</v>
      </c>
      <c r="D2026">
        <f>_xlfn.XLOOKUP($A2026,Load!$B:$B,Load!E:E,0,)</f>
        <v>0</v>
      </c>
      <c r="E2026">
        <f>_xlfn.XLOOKUP($A2026,Load!$B:$B,Load!F:F,0,)</f>
        <v>0</v>
      </c>
      <c r="F2026">
        <f>_xlfn.XLOOKUP($A2026,Load!$B:$B,Load!G:G,0,)</f>
        <v>0</v>
      </c>
      <c r="G2026">
        <f>_xlfn.XLOOKUP($A2026,Load!$B:$B,Load!H:H,0,)</f>
        <v>0</v>
      </c>
      <c r="H2026">
        <f>_xlfn.XLOOKUP($A2026,Load!$B:$B,Load!I:I,0,)</f>
        <v>0</v>
      </c>
      <c r="I2026">
        <f>_xlfn.XLOOKUP($A2026,Load!$B:$B,Load!J:J,0,)</f>
        <v>0</v>
      </c>
      <c r="J2026">
        <f>_xlfn.XLOOKUP($A2026,Load!$B:$B,Load!K:K,0,)</f>
        <v>0</v>
      </c>
      <c r="K2026">
        <f>_xlfn.XLOOKUP($A2026,Load!$B:$B,Load!L:L,0,)</f>
        <v>0</v>
      </c>
      <c r="L2026">
        <f>_xlfn.XLOOKUP($A2026,Load!$B:$B,Load!M:M,0,)</f>
        <v>0</v>
      </c>
    </row>
    <row r="2027" spans="1:12" x14ac:dyDescent="0.25">
      <c r="B2027">
        <f>_xlfn.XLOOKUP($A2027,Load!$B:$B,Load!C:C,0,)</f>
        <v>0</v>
      </c>
      <c r="C2027">
        <f>_xlfn.XLOOKUP($A2027,Load!$B:$B,Load!D:D,0,)</f>
        <v>0</v>
      </c>
      <c r="D2027">
        <f>_xlfn.XLOOKUP($A2027,Load!$B:$B,Load!E:E,0,)</f>
        <v>0</v>
      </c>
      <c r="E2027">
        <f>_xlfn.XLOOKUP($A2027,Load!$B:$B,Load!F:F,0,)</f>
        <v>0</v>
      </c>
      <c r="F2027">
        <f>_xlfn.XLOOKUP($A2027,Load!$B:$B,Load!G:G,0,)</f>
        <v>0</v>
      </c>
      <c r="G2027">
        <f>_xlfn.XLOOKUP($A2027,Load!$B:$B,Load!H:H,0,)</f>
        <v>0</v>
      </c>
      <c r="H2027">
        <f>_xlfn.XLOOKUP($A2027,Load!$B:$B,Load!I:I,0,)</f>
        <v>0</v>
      </c>
      <c r="I2027">
        <f>_xlfn.XLOOKUP($A2027,Load!$B:$B,Load!J:J,0,)</f>
        <v>0</v>
      </c>
      <c r="J2027">
        <f>_xlfn.XLOOKUP($A2027,Load!$B:$B,Load!K:K,0,)</f>
        <v>0</v>
      </c>
      <c r="K2027">
        <f>_xlfn.XLOOKUP($A2027,Load!$B:$B,Load!L:L,0,)</f>
        <v>0</v>
      </c>
      <c r="L2027">
        <f>_xlfn.XLOOKUP($A2027,Load!$B:$B,Load!M:M,0,)</f>
        <v>0</v>
      </c>
    </row>
    <row r="2028" spans="1:12" x14ac:dyDescent="0.25">
      <c r="A2028" t="s">
        <v>463</v>
      </c>
      <c r="B2028" t="str">
        <f>_xlfn.XLOOKUP($A2028,Load!$B:$B,Load!C:C,0,)</f>
        <v>Mars Variety Pack</v>
      </c>
      <c r="C2028" t="str">
        <f>_xlfn.XLOOKUP($A2028,Load!$B:$B,Load!D:D,0,)</f>
        <v>Mix of Chocolate and Non-Chocolate Candy</v>
      </c>
      <c r="D2028" t="str">
        <f>_xlfn.XLOOKUP($A2028,Load!$B:$B,Load!E:E,0,)</f>
        <v>Variety / Mixed Flavors (Fruity, Sour, Seasonal Flavors)</v>
      </c>
      <c r="E2028" t="str">
        <f>_xlfn.XLOOKUP($A2028,Load!$B:$B,Load!F:F,0,)</f>
        <v>Mixed / Combo Packs (Gummy, Chewy, Taffy, etc.)</v>
      </c>
      <c r="F2028" t="str">
        <f>_xlfn.XLOOKUP($A2028,Load!$B:$B,Load!G:G,0,)</f>
        <v>Medium Multipack (40–80 ct)</v>
      </c>
      <c r="G2028" t="str">
        <f>_xlfn.XLOOKUP($A2028,Load!$B:$B,Load!H:H,0,)</f>
        <v>Stand-Up Bag</v>
      </c>
      <c r="H2028" t="str">
        <f>_xlfn.XLOOKUP($A2028,Load!$B:$B,Load!I:I,0,)</f>
        <v>Everyday Candy Shapes (like Original, Gummy bear, Fruit, Jewels, etc.)</v>
      </c>
      <c r="I2028" t="str">
        <f>_xlfn.XLOOKUP($A2028,Load!$B:$B,Load!J:J,0,)</f>
        <v>Seasonal Graphics (Like Bat, Ghost, Pumpkin, Fall Leaves, Eyeballs, etc.)</v>
      </c>
      <c r="J2028" t="str">
        <f>_xlfn.XLOOKUP($A2028,Load!$B:$B,Load!K:K,0,)</f>
        <v>Fun Size / Treat Size</v>
      </c>
      <c r="K2028" t="str">
        <f>_xlfn.XLOOKUP($A2028,Load!$B:$B,Load!L:L,0,)</f>
        <v>Regular/Original Wrapping</v>
      </c>
      <c r="L2028" t="str">
        <f>_xlfn.XLOOKUP($A2028,Load!$B:$B,Load!M:M,0,)</f>
        <v>Multiple Brands / Variety Flavors or Form</v>
      </c>
    </row>
    <row r="2029" spans="1:12" x14ac:dyDescent="0.25">
      <c r="B2029">
        <f>_xlfn.XLOOKUP($A2029,Load!$B:$B,Load!C:C,0,)</f>
        <v>0</v>
      </c>
      <c r="C2029">
        <f>_xlfn.XLOOKUP($A2029,Load!$B:$B,Load!D:D,0,)</f>
        <v>0</v>
      </c>
      <c r="D2029">
        <f>_xlfn.XLOOKUP($A2029,Load!$B:$B,Load!E:E,0,)</f>
        <v>0</v>
      </c>
      <c r="E2029">
        <f>_xlfn.XLOOKUP($A2029,Load!$B:$B,Load!F:F,0,)</f>
        <v>0</v>
      </c>
      <c r="F2029">
        <f>_xlfn.XLOOKUP($A2029,Load!$B:$B,Load!G:G,0,)</f>
        <v>0</v>
      </c>
      <c r="G2029">
        <f>_xlfn.XLOOKUP($A2029,Load!$B:$B,Load!H:H,0,)</f>
        <v>0</v>
      </c>
      <c r="H2029">
        <f>_xlfn.XLOOKUP($A2029,Load!$B:$B,Load!I:I,0,)</f>
        <v>0</v>
      </c>
      <c r="I2029">
        <f>_xlfn.XLOOKUP($A2029,Load!$B:$B,Load!J:J,0,)</f>
        <v>0</v>
      </c>
      <c r="J2029">
        <f>_xlfn.XLOOKUP($A2029,Load!$B:$B,Load!K:K,0,)</f>
        <v>0</v>
      </c>
      <c r="K2029">
        <f>_xlfn.XLOOKUP($A2029,Load!$B:$B,Load!L:L,0,)</f>
        <v>0</v>
      </c>
      <c r="L2029">
        <f>_xlfn.XLOOKUP($A2029,Load!$B:$B,Load!M:M,0,)</f>
        <v>0</v>
      </c>
    </row>
    <row r="2030" spans="1:12" x14ac:dyDescent="0.25">
      <c r="A2030" t="s">
        <v>65</v>
      </c>
      <c r="B2030" t="str">
        <f>_xlfn.XLOOKUP($A2030,Load!$B:$B,Load!C:C,0,)</f>
        <v>Dots</v>
      </c>
      <c r="C2030" t="str">
        <f>_xlfn.XLOOKUP($A2030,Load!$B:$B,Load!D:D,0,)</f>
        <v>Non-Chocolate Candy Only</v>
      </c>
      <c r="D2030" t="str">
        <f>_xlfn.XLOOKUP($A2030,Load!$B:$B,Load!E:E,0,)</f>
        <v>Variety / Mixed Flavors (Fruity, Sour, Seasonal Flavors)</v>
      </c>
      <c r="E2030" t="str">
        <f>_xlfn.XLOOKUP($A2030,Load!$B:$B,Load!F:F,0,)</f>
        <v>Candy Pieces / Bites</v>
      </c>
      <c r="F2030" t="str">
        <f>_xlfn.XLOOKUP($A2030,Load!$B:$B,Load!G:G,0,)</f>
        <v>Medium Multipack (40–80 ct)</v>
      </c>
      <c r="G2030" t="str">
        <f>_xlfn.XLOOKUP($A2030,Load!$B:$B,Load!H:H,0,)</f>
        <v>Box (theatre box, gift box, carton)</v>
      </c>
      <c r="H2030" t="str">
        <f>_xlfn.XLOOKUP($A2030,Load!$B:$B,Load!I:I,0,)</f>
        <v>Seasonal Shapes (like pumpkins, candy corn, ghost, bats, etc.)</v>
      </c>
      <c r="I2030" t="str">
        <f>_xlfn.XLOOKUP($A2030,Load!$B:$B,Load!J:J,0,)</f>
        <v>Seasonal Graphics (Like Bat, Ghost, Pumpkin, Fall Leaves, Eyeballs, etc.)</v>
      </c>
      <c r="J2030" t="str">
        <f>_xlfn.XLOOKUP($A2030,Load!$B:$B,Load!K:K,0,)</f>
        <v>Fun Size / Treat Size</v>
      </c>
      <c r="K2030" t="str">
        <f>_xlfn.XLOOKUP($A2030,Load!$B:$B,Load!L:L,0,)</f>
        <v>Regular/Original Wrapping</v>
      </c>
      <c r="L2030" t="str">
        <f>_xlfn.XLOOKUP($A2030,Load!$B:$B,Load!M:M,0,)</f>
        <v>Single Brand / Variety Flavors or Form</v>
      </c>
    </row>
    <row r="2031" spans="1:12" x14ac:dyDescent="0.25">
      <c r="B2031">
        <f>_xlfn.XLOOKUP($A2031,Load!$B:$B,Load!C:C,0,)</f>
        <v>0</v>
      </c>
      <c r="C2031">
        <f>_xlfn.XLOOKUP($A2031,Load!$B:$B,Load!D:D,0,)</f>
        <v>0</v>
      </c>
      <c r="D2031">
        <f>_xlfn.XLOOKUP($A2031,Load!$B:$B,Load!E:E,0,)</f>
        <v>0</v>
      </c>
      <c r="E2031">
        <f>_xlfn.XLOOKUP($A2031,Load!$B:$B,Load!F:F,0,)</f>
        <v>0</v>
      </c>
      <c r="F2031">
        <f>_xlfn.XLOOKUP($A2031,Load!$B:$B,Load!G:G,0,)</f>
        <v>0</v>
      </c>
      <c r="G2031">
        <f>_xlfn.XLOOKUP($A2031,Load!$B:$B,Load!H:H,0,)</f>
        <v>0</v>
      </c>
      <c r="H2031">
        <f>_xlfn.XLOOKUP($A2031,Load!$B:$B,Load!I:I,0,)</f>
        <v>0</v>
      </c>
      <c r="I2031">
        <f>_xlfn.XLOOKUP($A2031,Load!$B:$B,Load!J:J,0,)</f>
        <v>0</v>
      </c>
      <c r="J2031">
        <f>_xlfn.XLOOKUP($A2031,Load!$B:$B,Load!K:K,0,)</f>
        <v>0</v>
      </c>
      <c r="K2031">
        <f>_xlfn.XLOOKUP($A2031,Load!$B:$B,Load!L:L,0,)</f>
        <v>0</v>
      </c>
      <c r="L2031">
        <f>_xlfn.XLOOKUP($A2031,Load!$B:$B,Load!M:M,0,)</f>
        <v>0</v>
      </c>
    </row>
    <row r="2032" spans="1:12" x14ac:dyDescent="0.25">
      <c r="A2032" t="s">
        <v>4</v>
      </c>
      <c r="B2032" t="str">
        <f>_xlfn.XLOOKUP($A2032,Load!$B:$B,Load!C:C,0,)</f>
        <v>Airheads</v>
      </c>
      <c r="C2032" t="str">
        <f>_xlfn.XLOOKUP($A2032,Load!$B:$B,Load!D:D,0,)</f>
        <v>Non-Chocolate Candy Only</v>
      </c>
      <c r="D2032" t="str">
        <f>_xlfn.XLOOKUP($A2032,Load!$B:$B,Load!E:E,0,)</f>
        <v>Variety / Mixed Flavors (Fruity, Sour, Seasonal Flavors)</v>
      </c>
      <c r="E2032" t="str">
        <f>_xlfn.XLOOKUP($A2032,Load!$B:$B,Load!F:F,0,)</f>
        <v>Chewy</v>
      </c>
      <c r="F2032" t="str">
        <f>_xlfn.XLOOKUP($A2032,Load!$B:$B,Load!G:G,0,)</f>
        <v>Large Multipack (More than 80 ct)</v>
      </c>
      <c r="G2032" t="str">
        <f>_xlfn.XLOOKUP($A2032,Load!$B:$B,Load!H:H,0,)</f>
        <v>Box (theatre box, gift box, carton)</v>
      </c>
      <c r="H2032" t="str">
        <f>_xlfn.XLOOKUP($A2032,Load!$B:$B,Load!I:I,0,)</f>
        <v>Everyday Candy Shapes (like Original, Gummy bear, Fruit, Jewels, etc.)</v>
      </c>
      <c r="I2032" t="str">
        <f>_xlfn.XLOOKUP($A2032,Load!$B:$B,Load!J:J,0,)</f>
        <v>Seasonal Graphics (Like Bat, Ghost, Pumpkin, Fall Leaves, Eyeballs, etc.)</v>
      </c>
      <c r="J2032" t="str">
        <f>_xlfn.XLOOKUP($A2032,Load!$B:$B,Load!K:K,0,)</f>
        <v>Fun Size / Treat Size</v>
      </c>
      <c r="K2032" t="str">
        <f>_xlfn.XLOOKUP($A2032,Load!$B:$B,Load!L:L,0,)</f>
        <v>Regular/Original Wrapping</v>
      </c>
      <c r="L2032" t="str">
        <f>_xlfn.XLOOKUP($A2032,Load!$B:$B,Load!M:M,0,)</f>
        <v>Single Brand / Variety Flavors or Form</v>
      </c>
    </row>
    <row r="2033" spans="1:12" x14ac:dyDescent="0.25">
      <c r="B2033">
        <f>_xlfn.XLOOKUP($A2033,Load!$B:$B,Load!C:C,0,)</f>
        <v>0</v>
      </c>
      <c r="C2033">
        <f>_xlfn.XLOOKUP($A2033,Load!$B:$B,Load!D:D,0,)</f>
        <v>0</v>
      </c>
      <c r="D2033">
        <f>_xlfn.XLOOKUP($A2033,Load!$B:$B,Load!E:E,0,)</f>
        <v>0</v>
      </c>
      <c r="E2033">
        <f>_xlfn.XLOOKUP($A2033,Load!$B:$B,Load!F:F,0,)</f>
        <v>0</v>
      </c>
      <c r="F2033">
        <f>_xlfn.XLOOKUP($A2033,Load!$B:$B,Load!G:G,0,)</f>
        <v>0</v>
      </c>
      <c r="G2033">
        <f>_xlfn.XLOOKUP($A2033,Load!$B:$B,Load!H:H,0,)</f>
        <v>0</v>
      </c>
      <c r="H2033">
        <f>_xlfn.XLOOKUP($A2033,Load!$B:$B,Load!I:I,0,)</f>
        <v>0</v>
      </c>
      <c r="I2033">
        <f>_xlfn.XLOOKUP($A2033,Load!$B:$B,Load!J:J,0,)</f>
        <v>0</v>
      </c>
      <c r="J2033">
        <f>_xlfn.XLOOKUP($A2033,Load!$B:$B,Load!K:K,0,)</f>
        <v>0</v>
      </c>
      <c r="K2033">
        <f>_xlfn.XLOOKUP($A2033,Load!$B:$B,Load!L:L,0,)</f>
        <v>0</v>
      </c>
      <c r="L2033">
        <f>_xlfn.XLOOKUP($A2033,Load!$B:$B,Load!M:M,0,)</f>
        <v>0</v>
      </c>
    </row>
    <row r="2034" spans="1:12" x14ac:dyDescent="0.25">
      <c r="A2034" t="s">
        <v>33</v>
      </c>
      <c r="B2034" t="str">
        <f>_xlfn.XLOOKUP($A2034,Load!$B:$B,Load!C:C,0,)</f>
        <v>Bazooka Brands</v>
      </c>
      <c r="C2034" t="str">
        <f>_xlfn.XLOOKUP($A2034,Load!$B:$B,Load!D:D,0,)</f>
        <v>Non-Chocolate Candy Only</v>
      </c>
      <c r="D2034" t="str">
        <f>_xlfn.XLOOKUP($A2034,Load!$B:$B,Load!E:E,0,)</f>
        <v>Variety / Mixed Flavors (Fruity, Sour, Seasonal Flavors)</v>
      </c>
      <c r="E2034" t="str">
        <f>_xlfn.XLOOKUP($A2034,Load!$B:$B,Load!F:F,0,)</f>
        <v>Mixed / Combo Packs (Gummy, Chewy, Taffy, etc.)</v>
      </c>
      <c r="F2034" t="str">
        <f>_xlfn.XLOOKUP($A2034,Load!$B:$B,Load!G:G,0,)</f>
        <v>Small Multipack (Less than 40 ct)</v>
      </c>
      <c r="G2034" t="str">
        <f>_xlfn.XLOOKUP($A2034,Load!$B:$B,Load!H:H,0,)</f>
        <v>Box (theatre box, gift box, carton)</v>
      </c>
      <c r="H2034" t="str">
        <f>_xlfn.XLOOKUP($A2034,Load!$B:$B,Load!I:I,0,)</f>
        <v>Seasonal Shapes (like pumpkins, candy corn, ghost, bats, etc.)</v>
      </c>
      <c r="I2034" t="str">
        <f>_xlfn.XLOOKUP($A2034,Load!$B:$B,Load!J:J,0,)</f>
        <v>Seasonal Graphics (Like Bat, Ghost, Pumpkin, Fall Leaves, Eyeballs, etc.)</v>
      </c>
      <c r="J2034" t="str">
        <f>_xlfn.XLOOKUP($A2034,Load!$B:$B,Load!K:K,0,)</f>
        <v>Small Pieces (Tiny bite size candies)</v>
      </c>
      <c r="K2034" t="str">
        <f>_xlfn.XLOOKUP($A2034,Load!$B:$B,Load!L:L,0,)</f>
        <v>Regular/Original Wrapping</v>
      </c>
      <c r="L2034" t="str">
        <f>_xlfn.XLOOKUP($A2034,Load!$B:$B,Load!M:M,0,)</f>
        <v>Single Brand / Variety Flavors or Form</v>
      </c>
    </row>
    <row r="2035" spans="1:12" x14ac:dyDescent="0.25">
      <c r="B2035">
        <f>_xlfn.XLOOKUP($A2035,Load!$B:$B,Load!C:C,0,)</f>
        <v>0</v>
      </c>
      <c r="C2035">
        <f>_xlfn.XLOOKUP($A2035,Load!$B:$B,Load!D:D,0,)</f>
        <v>0</v>
      </c>
      <c r="D2035">
        <f>_xlfn.XLOOKUP($A2035,Load!$B:$B,Load!E:E,0,)</f>
        <v>0</v>
      </c>
      <c r="E2035">
        <f>_xlfn.XLOOKUP($A2035,Load!$B:$B,Load!F:F,0,)</f>
        <v>0</v>
      </c>
      <c r="F2035">
        <f>_xlfn.XLOOKUP($A2035,Load!$B:$B,Load!G:G,0,)</f>
        <v>0</v>
      </c>
      <c r="G2035">
        <f>_xlfn.XLOOKUP($A2035,Load!$B:$B,Load!H:H,0,)</f>
        <v>0</v>
      </c>
      <c r="H2035">
        <f>_xlfn.XLOOKUP($A2035,Load!$B:$B,Load!I:I,0,)</f>
        <v>0</v>
      </c>
      <c r="I2035">
        <f>_xlfn.XLOOKUP($A2035,Load!$B:$B,Load!J:J,0,)</f>
        <v>0</v>
      </c>
      <c r="J2035">
        <f>_xlfn.XLOOKUP($A2035,Load!$B:$B,Load!K:K,0,)</f>
        <v>0</v>
      </c>
      <c r="K2035">
        <f>_xlfn.XLOOKUP($A2035,Load!$B:$B,Load!L:L,0,)</f>
        <v>0</v>
      </c>
      <c r="L2035">
        <f>_xlfn.XLOOKUP($A2035,Load!$B:$B,Load!M:M,0,)</f>
        <v>0</v>
      </c>
    </row>
    <row r="2036" spans="1:12" x14ac:dyDescent="0.25">
      <c r="A2036" t="s">
        <v>180</v>
      </c>
      <c r="B2036" t="str">
        <f>_xlfn.XLOOKUP($A2036,Load!$B:$B,Load!C:C,0,)</f>
        <v>Mars Variety Pack</v>
      </c>
      <c r="C2036" t="str">
        <f>_xlfn.XLOOKUP($A2036,Load!$B:$B,Load!D:D,0,)</f>
        <v>Mix of Chocolate and Non-Chocolate Candy</v>
      </c>
      <c r="D2036" t="str">
        <f>_xlfn.XLOOKUP($A2036,Load!$B:$B,Load!E:E,0,)</f>
        <v>Variety / Mixed Flavors (Fruity, Sour, Seasonal Flavors)</v>
      </c>
      <c r="E2036" t="str">
        <f>_xlfn.XLOOKUP($A2036,Load!$B:$B,Load!F:F,0,)</f>
        <v>Mixed / Combo Packs (Gummy, Chewy, Taffy, etc.)</v>
      </c>
      <c r="F2036" t="str">
        <f>_xlfn.XLOOKUP($A2036,Load!$B:$B,Load!G:G,0,)</f>
        <v>Large Multipack (More than 80 ct)</v>
      </c>
      <c r="G2036" t="str">
        <f>_xlfn.XLOOKUP($A2036,Load!$B:$B,Load!H:H,0,)</f>
        <v>Stand-Up Bag</v>
      </c>
      <c r="H2036" t="str">
        <f>_xlfn.XLOOKUP($A2036,Load!$B:$B,Load!I:I,0,)</f>
        <v>Everyday Candy Shapes (like Original, Gummy bear, Fruit, Jewels, etc.)</v>
      </c>
      <c r="I2036" t="str">
        <f>_xlfn.XLOOKUP($A2036,Load!$B:$B,Load!J:J,0,)</f>
        <v>Seasonal Graphics (Like Bat, Ghost, Pumpkin, Fall Leaves, Eyeballs, etc.)</v>
      </c>
      <c r="J2036" t="str">
        <f>_xlfn.XLOOKUP($A2036,Load!$B:$B,Load!K:K,0,)</f>
        <v>Fun Size / Treat Size</v>
      </c>
      <c r="K2036" t="str">
        <f>_xlfn.XLOOKUP($A2036,Load!$B:$B,Load!L:L,0,)</f>
        <v>Regular/Original Wrapping</v>
      </c>
      <c r="L2036" t="str">
        <f>_xlfn.XLOOKUP($A2036,Load!$B:$B,Load!M:M,0,)</f>
        <v>Multiple Brands / Variety Flavors or Form</v>
      </c>
    </row>
    <row r="2037" spans="1:12" x14ac:dyDescent="0.25">
      <c r="A2037" t="s">
        <v>289</v>
      </c>
      <c r="B2037" t="str">
        <f>_xlfn.XLOOKUP($A2037,Load!$B:$B,Load!C:C,0,)</f>
        <v>Tootsie</v>
      </c>
      <c r="C2037" t="str">
        <f>_xlfn.XLOOKUP($A2037,Load!$B:$B,Load!D:D,0,)</f>
        <v>Mix of Chocolate and Non-Chocolate Candy</v>
      </c>
      <c r="D2037" t="str">
        <f>_xlfn.XLOOKUP($A2037,Load!$B:$B,Load!E:E,0,)</f>
        <v>Variety / Mixed Flavors (Fruity, Sour, Seasonal Flavors)</v>
      </c>
      <c r="E2037" t="str">
        <f>_xlfn.XLOOKUP($A2037,Load!$B:$B,Load!F:F,0,)</f>
        <v>Mixed / Combo Packs (Gummy, Chewy, Taffy, etc.)</v>
      </c>
      <c r="F2037" t="str">
        <f>_xlfn.XLOOKUP($A2037,Load!$B:$B,Load!G:G,0,)</f>
        <v>Large Multipack (More than 80 ct)</v>
      </c>
      <c r="G2037" t="str">
        <f>_xlfn.XLOOKUP($A2037,Load!$B:$B,Load!H:H,0,)</f>
        <v>Laydown Bag</v>
      </c>
      <c r="H2037" t="str">
        <f>_xlfn.XLOOKUP($A2037,Load!$B:$B,Load!I:I,0,)</f>
        <v>Everyday Candy Shapes (like Original, Gummy bear, Fruit, Jewels, etc.)</v>
      </c>
      <c r="I2037" t="str">
        <f>_xlfn.XLOOKUP($A2037,Load!$B:$B,Load!J:J,0,)</f>
        <v>Everyday Graphics</v>
      </c>
      <c r="J2037" t="str">
        <f>_xlfn.XLOOKUP($A2037,Load!$B:$B,Load!K:K,0,)</f>
        <v xml:space="preserve">Variety Candy Sizes </v>
      </c>
      <c r="K2037" t="str">
        <f>_xlfn.XLOOKUP($A2037,Load!$B:$B,Load!L:L,0,)</f>
        <v>Regular/Original Wrapping</v>
      </c>
      <c r="L2037" t="str">
        <f>_xlfn.XLOOKUP($A2037,Load!$B:$B,Load!M:M,0,)</f>
        <v>Single Brand / Variety Flavors or Form</v>
      </c>
    </row>
    <row r="2038" spans="1:12" x14ac:dyDescent="0.25">
      <c r="A2038" t="s">
        <v>122</v>
      </c>
      <c r="B2038" t="str">
        <f>_xlfn.XLOOKUP($A2038,Load!$B:$B,Load!C:C,0,)</f>
        <v>HARIBO</v>
      </c>
      <c r="C2038" t="str">
        <f>_xlfn.XLOOKUP($A2038,Load!$B:$B,Load!D:D,0,)</f>
        <v>Non-Chocolate Candy Only</v>
      </c>
      <c r="D2038" t="str">
        <f>_xlfn.XLOOKUP($A2038,Load!$B:$B,Load!E:E,0,)</f>
        <v>Variety / Mixed Flavors (Fruity, Sour, Seasonal Flavors)</v>
      </c>
      <c r="E2038" t="str">
        <f>_xlfn.XLOOKUP($A2038,Load!$B:$B,Load!F:F,0,)</f>
        <v>Gummy</v>
      </c>
      <c r="F2038" t="str">
        <f>_xlfn.XLOOKUP($A2038,Load!$B:$B,Load!G:G,0,)</f>
        <v>Medium Multipack (40–80 ct)</v>
      </c>
      <c r="G2038" t="str">
        <f>_xlfn.XLOOKUP($A2038,Load!$B:$B,Load!H:H,0,)</f>
        <v>Laydown Bag</v>
      </c>
      <c r="H2038" t="str">
        <f>_xlfn.XLOOKUP($A2038,Load!$B:$B,Load!I:I,0,)</f>
        <v>Seasonal Shapes (like pumpkins, candy corn, ghost, bats, etc.)</v>
      </c>
      <c r="I2038" t="str">
        <f>_xlfn.XLOOKUP($A2038,Load!$B:$B,Load!J:J,0,)</f>
        <v>Seasonal Graphics (Like Bat, Ghost, Pumpkin, Fall Leaves, Eyeballs, etc.)</v>
      </c>
      <c r="J2038" t="str">
        <f>_xlfn.XLOOKUP($A2038,Load!$B:$B,Load!K:K,0,)</f>
        <v>Small Pieces (Tiny bite size candies)</v>
      </c>
      <c r="K2038" t="str">
        <f>_xlfn.XLOOKUP($A2038,Load!$B:$B,Load!L:L,0,)</f>
        <v>Regular/Original Wrapping</v>
      </c>
      <c r="L2038" t="str">
        <f>_xlfn.XLOOKUP($A2038,Load!$B:$B,Load!M:M,0,)</f>
        <v>Multiple Brands / Variety Flavors or Form</v>
      </c>
    </row>
    <row r="2039" spans="1:12" x14ac:dyDescent="0.25">
      <c r="B2039">
        <f>_xlfn.XLOOKUP($A2039,Load!$B:$B,Load!C:C,0,)</f>
        <v>0</v>
      </c>
      <c r="C2039">
        <f>_xlfn.XLOOKUP($A2039,Load!$B:$B,Load!D:D,0,)</f>
        <v>0</v>
      </c>
      <c r="D2039">
        <f>_xlfn.XLOOKUP($A2039,Load!$B:$B,Load!E:E,0,)</f>
        <v>0</v>
      </c>
      <c r="E2039">
        <f>_xlfn.XLOOKUP($A2039,Load!$B:$B,Load!F:F,0,)</f>
        <v>0</v>
      </c>
      <c r="F2039">
        <f>_xlfn.XLOOKUP($A2039,Load!$B:$B,Load!G:G,0,)</f>
        <v>0</v>
      </c>
      <c r="G2039">
        <f>_xlfn.XLOOKUP($A2039,Load!$B:$B,Load!H:H,0,)</f>
        <v>0</v>
      </c>
      <c r="H2039">
        <f>_xlfn.XLOOKUP($A2039,Load!$B:$B,Load!I:I,0,)</f>
        <v>0</v>
      </c>
      <c r="I2039">
        <f>_xlfn.XLOOKUP($A2039,Load!$B:$B,Load!J:J,0,)</f>
        <v>0</v>
      </c>
      <c r="J2039">
        <f>_xlfn.XLOOKUP($A2039,Load!$B:$B,Load!K:K,0,)</f>
        <v>0</v>
      </c>
      <c r="K2039">
        <f>_xlfn.XLOOKUP($A2039,Load!$B:$B,Load!L:L,0,)</f>
        <v>0</v>
      </c>
      <c r="L2039">
        <f>_xlfn.XLOOKUP($A2039,Load!$B:$B,Load!M:M,0,)</f>
        <v>0</v>
      </c>
    </row>
    <row r="2040" spans="1:12" x14ac:dyDescent="0.25">
      <c r="A2040" t="s">
        <v>228</v>
      </c>
      <c r="B2040" t="str">
        <f>_xlfn.XLOOKUP($A2040,Load!$B:$B,Load!C:C,0,)</f>
        <v>Nerds</v>
      </c>
      <c r="C2040" t="str">
        <f>_xlfn.XLOOKUP($A2040,Load!$B:$B,Load!D:D,0,)</f>
        <v>Non-Chocolate Candy Only</v>
      </c>
      <c r="D2040" t="str">
        <f>_xlfn.XLOOKUP($A2040,Load!$B:$B,Load!E:E,0,)</f>
        <v>Berry Based (Raspberry, Strawberry, Medley, etc.)</v>
      </c>
      <c r="E2040" t="str">
        <f>_xlfn.XLOOKUP($A2040,Load!$B:$B,Load!F:F,0,)</f>
        <v>Hard Candy</v>
      </c>
      <c r="F2040" t="str">
        <f>_xlfn.XLOOKUP($A2040,Load!$B:$B,Load!G:G,0,)</f>
        <v>Single Pack</v>
      </c>
      <c r="G2040" t="str">
        <f>_xlfn.XLOOKUP($A2040,Load!$B:$B,Load!H:H,0,)</f>
        <v>Laydown Bag</v>
      </c>
      <c r="H2040" t="str">
        <f>_xlfn.XLOOKUP($A2040,Load!$B:$B,Load!I:I,0,)</f>
        <v>Everyday Candy Shapes (like Original, Gummy bear, Fruit, Jewels, etc.)</v>
      </c>
      <c r="I2040" t="str">
        <f>_xlfn.XLOOKUP($A2040,Load!$B:$B,Load!J:J,0,)</f>
        <v>Seasonal Graphics (Like Bat, Ghost, Pumpkin, Fall Leaves, Eyeballs, etc.)</v>
      </c>
      <c r="J2040" t="str">
        <f>_xlfn.XLOOKUP($A2040,Load!$B:$B,Load!K:K,0,)</f>
        <v>Small Pieces (Tiny bite size candies)</v>
      </c>
      <c r="K2040" t="str">
        <f>_xlfn.XLOOKUP($A2040,Load!$B:$B,Load!L:L,0,)</f>
        <v>Unwrapped</v>
      </c>
      <c r="L2040" t="str">
        <f>_xlfn.XLOOKUP($A2040,Load!$B:$B,Load!M:M,0,)</f>
        <v>Single Brand / Variety Flavors or Form</v>
      </c>
    </row>
    <row r="2041" spans="1:12" x14ac:dyDescent="0.25">
      <c r="A2041" t="s">
        <v>222</v>
      </c>
      <c r="B2041" t="str">
        <f>_xlfn.XLOOKUP($A2041,Load!$B:$B,Load!C:C,0,)</f>
        <v>Nerds</v>
      </c>
      <c r="C2041" t="str">
        <f>_xlfn.XLOOKUP($A2041,Load!$B:$B,Load!D:D,0,)</f>
        <v>Non-Chocolate Candy Only</v>
      </c>
      <c r="D2041" t="str">
        <f>_xlfn.XLOOKUP($A2041,Load!$B:$B,Load!E:E,0,)</f>
        <v>Sweet</v>
      </c>
      <c r="E2041" t="str">
        <f>_xlfn.XLOOKUP($A2041,Load!$B:$B,Load!F:F,0,)</f>
        <v>Gummy</v>
      </c>
      <c r="F2041" t="str">
        <f>_xlfn.XLOOKUP($A2041,Load!$B:$B,Load!G:G,0,)</f>
        <v>Small Multipack (Less than 40 ct)</v>
      </c>
      <c r="G2041" t="str">
        <f>_xlfn.XLOOKUP($A2041,Load!$B:$B,Load!H:H,0,)</f>
        <v>Stand-Up Bag</v>
      </c>
      <c r="H2041" t="str">
        <f>_xlfn.XLOOKUP($A2041,Load!$B:$B,Load!I:I,0,)</f>
        <v>Everyday Candy Shapes (like Original, Gummy bear, Fruit, Jewels, etc.)</v>
      </c>
      <c r="I2041" t="str">
        <f>_xlfn.XLOOKUP($A2041,Load!$B:$B,Load!J:J,0,)</f>
        <v>Seasonal Graphics (Like Bat, Ghost, Pumpkin, Fall Leaves, Eyeballs, etc.)</v>
      </c>
      <c r="J2041" t="str">
        <f>_xlfn.XLOOKUP($A2041,Load!$B:$B,Load!K:K,0,)</f>
        <v>Fun Size / Treat Size</v>
      </c>
      <c r="K2041" t="str">
        <f>_xlfn.XLOOKUP($A2041,Load!$B:$B,Load!L:L,0,)</f>
        <v>Regular/Original Wrapping</v>
      </c>
      <c r="L2041" t="str">
        <f>_xlfn.XLOOKUP($A2041,Load!$B:$B,Load!M:M,0,)</f>
        <v>Single Brand / Variety Flavors or Form</v>
      </c>
    </row>
    <row r="2042" spans="1:12" x14ac:dyDescent="0.25">
      <c r="A2042" t="s">
        <v>154</v>
      </c>
      <c r="B2042" t="str">
        <f>_xlfn.XLOOKUP($A2042,Load!$B:$B,Load!C:C,0,)</f>
        <v>Jolly Rancher</v>
      </c>
      <c r="C2042" t="str">
        <f>_xlfn.XLOOKUP($A2042,Load!$B:$B,Load!D:D,0,)</f>
        <v>Non-Chocolate Candy Only</v>
      </c>
      <c r="D2042" t="str">
        <f>_xlfn.XLOOKUP($A2042,Load!$B:$B,Load!E:E,0,)</f>
        <v>Fruit Flavor (Cherry, Grape, Apple, Citrus, Tropical Fruit)</v>
      </c>
      <c r="E2042" t="str">
        <f>_xlfn.XLOOKUP($A2042,Load!$B:$B,Load!F:F,0,)</f>
        <v>Hard Candy</v>
      </c>
      <c r="F2042" t="str">
        <f>_xlfn.XLOOKUP($A2042,Load!$B:$B,Load!G:G,0,)</f>
        <v>Small Multipack (Less than 40 ct)</v>
      </c>
      <c r="G2042" t="str">
        <f>_xlfn.XLOOKUP($A2042,Load!$B:$B,Load!H:H,0,)</f>
        <v>Stand-Up Bag</v>
      </c>
      <c r="H2042" t="str">
        <f>_xlfn.XLOOKUP($A2042,Load!$B:$B,Load!I:I,0,)</f>
        <v>Everyday Candy Shapes (like Original, Gummy bear, Fruit, Jewels, etc.)</v>
      </c>
      <c r="I2042" t="str">
        <f>_xlfn.XLOOKUP($A2042,Load!$B:$B,Load!J:J,0,)</f>
        <v>Everyday Graphics</v>
      </c>
      <c r="J2042" t="str">
        <f>_xlfn.XLOOKUP($A2042,Load!$B:$B,Load!K:K,0,)</f>
        <v>Small Pieces (Tiny bite size candies)</v>
      </c>
      <c r="K2042" t="str">
        <f>_xlfn.XLOOKUP($A2042,Load!$B:$B,Load!L:L,0,)</f>
        <v>Regular/Original Wrapping</v>
      </c>
      <c r="L2042" t="str">
        <f>_xlfn.XLOOKUP($A2042,Load!$B:$B,Load!M:M,0,)</f>
        <v>Single Brand / Variety Flavors or Form</v>
      </c>
    </row>
    <row r="2043" spans="1:12" x14ac:dyDescent="0.25">
      <c r="B2043">
        <f>_xlfn.XLOOKUP($A2043,Load!$B:$B,Load!C:C,0,)</f>
        <v>0</v>
      </c>
      <c r="C2043">
        <f>_xlfn.XLOOKUP($A2043,Load!$B:$B,Load!D:D,0,)</f>
        <v>0</v>
      </c>
      <c r="D2043">
        <f>_xlfn.XLOOKUP($A2043,Load!$B:$B,Load!E:E,0,)</f>
        <v>0</v>
      </c>
      <c r="E2043">
        <f>_xlfn.XLOOKUP($A2043,Load!$B:$B,Load!F:F,0,)</f>
        <v>0</v>
      </c>
      <c r="F2043">
        <f>_xlfn.XLOOKUP($A2043,Load!$B:$B,Load!G:G,0,)</f>
        <v>0</v>
      </c>
      <c r="G2043">
        <f>_xlfn.XLOOKUP($A2043,Load!$B:$B,Load!H:H,0,)</f>
        <v>0</v>
      </c>
      <c r="H2043">
        <f>_xlfn.XLOOKUP($A2043,Load!$B:$B,Load!I:I,0,)</f>
        <v>0</v>
      </c>
      <c r="I2043">
        <f>_xlfn.XLOOKUP($A2043,Load!$B:$B,Load!J:J,0,)</f>
        <v>0</v>
      </c>
      <c r="J2043">
        <f>_xlfn.XLOOKUP($A2043,Load!$B:$B,Load!K:K,0,)</f>
        <v>0</v>
      </c>
      <c r="K2043">
        <f>_xlfn.XLOOKUP($A2043,Load!$B:$B,Load!L:L,0,)</f>
        <v>0</v>
      </c>
      <c r="L2043">
        <f>_xlfn.XLOOKUP($A2043,Load!$B:$B,Load!M:M,0,)</f>
        <v>0</v>
      </c>
    </row>
    <row r="2044" spans="1:12" x14ac:dyDescent="0.25">
      <c r="B2044">
        <f>_xlfn.XLOOKUP($A2044,Load!$B:$B,Load!C:C,0,)</f>
        <v>0</v>
      </c>
      <c r="C2044">
        <f>_xlfn.XLOOKUP($A2044,Load!$B:$B,Load!D:D,0,)</f>
        <v>0</v>
      </c>
      <c r="D2044">
        <f>_xlfn.XLOOKUP($A2044,Load!$B:$B,Load!E:E,0,)</f>
        <v>0</v>
      </c>
      <c r="E2044">
        <f>_xlfn.XLOOKUP($A2044,Load!$B:$B,Load!F:F,0,)</f>
        <v>0</v>
      </c>
      <c r="F2044">
        <f>_xlfn.XLOOKUP($A2044,Load!$B:$B,Load!G:G,0,)</f>
        <v>0</v>
      </c>
      <c r="G2044">
        <f>_xlfn.XLOOKUP($A2044,Load!$B:$B,Load!H:H,0,)</f>
        <v>0</v>
      </c>
      <c r="H2044">
        <f>_xlfn.XLOOKUP($A2044,Load!$B:$B,Load!I:I,0,)</f>
        <v>0</v>
      </c>
      <c r="I2044">
        <f>_xlfn.XLOOKUP($A2044,Load!$B:$B,Load!J:J,0,)</f>
        <v>0</v>
      </c>
      <c r="J2044">
        <f>_xlfn.XLOOKUP($A2044,Load!$B:$B,Load!K:K,0,)</f>
        <v>0</v>
      </c>
      <c r="K2044">
        <f>_xlfn.XLOOKUP($A2044,Load!$B:$B,Load!L:L,0,)</f>
        <v>0</v>
      </c>
      <c r="L2044">
        <f>_xlfn.XLOOKUP($A2044,Load!$B:$B,Load!M:M,0,)</f>
        <v>0</v>
      </c>
    </row>
    <row r="2045" spans="1:12" x14ac:dyDescent="0.25">
      <c r="B2045">
        <f>_xlfn.XLOOKUP($A2045,Load!$B:$B,Load!C:C,0,)</f>
        <v>0</v>
      </c>
      <c r="C2045">
        <f>_xlfn.XLOOKUP($A2045,Load!$B:$B,Load!D:D,0,)</f>
        <v>0</v>
      </c>
      <c r="D2045">
        <f>_xlfn.XLOOKUP($A2045,Load!$B:$B,Load!E:E,0,)</f>
        <v>0</v>
      </c>
      <c r="E2045">
        <f>_xlfn.XLOOKUP($A2045,Load!$B:$B,Load!F:F,0,)</f>
        <v>0</v>
      </c>
      <c r="F2045">
        <f>_xlfn.XLOOKUP($A2045,Load!$B:$B,Load!G:G,0,)</f>
        <v>0</v>
      </c>
      <c r="G2045">
        <f>_xlfn.XLOOKUP($A2045,Load!$B:$B,Load!H:H,0,)</f>
        <v>0</v>
      </c>
      <c r="H2045">
        <f>_xlfn.XLOOKUP($A2045,Load!$B:$B,Load!I:I,0,)</f>
        <v>0</v>
      </c>
      <c r="I2045">
        <f>_xlfn.XLOOKUP($A2045,Load!$B:$B,Load!J:J,0,)</f>
        <v>0</v>
      </c>
      <c r="J2045">
        <f>_xlfn.XLOOKUP($A2045,Load!$B:$B,Load!K:K,0,)</f>
        <v>0</v>
      </c>
      <c r="K2045">
        <f>_xlfn.XLOOKUP($A2045,Load!$B:$B,Load!L:L,0,)</f>
        <v>0</v>
      </c>
      <c r="L2045">
        <f>_xlfn.XLOOKUP($A2045,Load!$B:$B,Load!M:M,0,)</f>
        <v>0</v>
      </c>
    </row>
    <row r="2046" spans="1:12" x14ac:dyDescent="0.25">
      <c r="B2046">
        <f>_xlfn.XLOOKUP($A2046,Load!$B:$B,Load!C:C,0,)</f>
        <v>0</v>
      </c>
      <c r="C2046">
        <f>_xlfn.XLOOKUP($A2046,Load!$B:$B,Load!D:D,0,)</f>
        <v>0</v>
      </c>
      <c r="D2046">
        <f>_xlfn.XLOOKUP($A2046,Load!$B:$B,Load!E:E,0,)</f>
        <v>0</v>
      </c>
      <c r="E2046">
        <f>_xlfn.XLOOKUP($A2046,Load!$B:$B,Load!F:F,0,)</f>
        <v>0</v>
      </c>
      <c r="F2046">
        <f>_xlfn.XLOOKUP($A2046,Load!$B:$B,Load!G:G,0,)</f>
        <v>0</v>
      </c>
      <c r="G2046">
        <f>_xlfn.XLOOKUP($A2046,Load!$B:$B,Load!H:H,0,)</f>
        <v>0</v>
      </c>
      <c r="H2046">
        <f>_xlfn.XLOOKUP($A2046,Load!$B:$B,Load!I:I,0,)</f>
        <v>0</v>
      </c>
      <c r="I2046">
        <f>_xlfn.XLOOKUP($A2046,Load!$B:$B,Load!J:J,0,)</f>
        <v>0</v>
      </c>
      <c r="J2046">
        <f>_xlfn.XLOOKUP($A2046,Load!$B:$B,Load!K:K,0,)</f>
        <v>0</v>
      </c>
      <c r="K2046">
        <f>_xlfn.XLOOKUP($A2046,Load!$B:$B,Load!L:L,0,)</f>
        <v>0</v>
      </c>
      <c r="L2046">
        <f>_xlfn.XLOOKUP($A2046,Load!$B:$B,Load!M:M,0,)</f>
        <v>0</v>
      </c>
    </row>
    <row r="2047" spans="1:12" x14ac:dyDescent="0.25">
      <c r="B2047">
        <f>_xlfn.XLOOKUP($A2047,Load!$B:$B,Load!C:C,0,)</f>
        <v>0</v>
      </c>
      <c r="C2047">
        <f>_xlfn.XLOOKUP($A2047,Load!$B:$B,Load!D:D,0,)</f>
        <v>0</v>
      </c>
      <c r="D2047">
        <f>_xlfn.XLOOKUP($A2047,Load!$B:$B,Load!E:E,0,)</f>
        <v>0</v>
      </c>
      <c r="E2047">
        <f>_xlfn.XLOOKUP($A2047,Load!$B:$B,Load!F:F,0,)</f>
        <v>0</v>
      </c>
      <c r="F2047">
        <f>_xlfn.XLOOKUP($A2047,Load!$B:$B,Load!G:G,0,)</f>
        <v>0</v>
      </c>
      <c r="G2047">
        <f>_xlfn.XLOOKUP($A2047,Load!$B:$B,Load!H:H,0,)</f>
        <v>0</v>
      </c>
      <c r="H2047">
        <f>_xlfn.XLOOKUP($A2047,Load!$B:$B,Load!I:I,0,)</f>
        <v>0</v>
      </c>
      <c r="I2047">
        <f>_xlfn.XLOOKUP($A2047,Load!$B:$B,Load!J:J,0,)</f>
        <v>0</v>
      </c>
      <c r="J2047">
        <f>_xlfn.XLOOKUP($A2047,Load!$B:$B,Load!K:K,0,)</f>
        <v>0</v>
      </c>
      <c r="K2047">
        <f>_xlfn.XLOOKUP($A2047,Load!$B:$B,Load!L:L,0,)</f>
        <v>0</v>
      </c>
      <c r="L2047">
        <f>_xlfn.XLOOKUP($A2047,Load!$B:$B,Load!M:M,0,)</f>
        <v>0</v>
      </c>
    </row>
    <row r="2048" spans="1:12" x14ac:dyDescent="0.25">
      <c r="A2048" t="s">
        <v>180</v>
      </c>
      <c r="B2048" t="str">
        <f>_xlfn.XLOOKUP($A2048,Load!$B:$B,Load!C:C,0,)</f>
        <v>Mars Variety Pack</v>
      </c>
      <c r="C2048" t="str">
        <f>_xlfn.XLOOKUP($A2048,Load!$B:$B,Load!D:D,0,)</f>
        <v>Mix of Chocolate and Non-Chocolate Candy</v>
      </c>
      <c r="D2048" t="str">
        <f>_xlfn.XLOOKUP($A2048,Load!$B:$B,Load!E:E,0,)</f>
        <v>Variety / Mixed Flavors (Fruity, Sour, Seasonal Flavors)</v>
      </c>
      <c r="E2048" t="str">
        <f>_xlfn.XLOOKUP($A2048,Load!$B:$B,Load!F:F,0,)</f>
        <v>Mixed / Combo Packs (Gummy, Chewy, Taffy, etc.)</v>
      </c>
      <c r="F2048" t="str">
        <f>_xlfn.XLOOKUP($A2048,Load!$B:$B,Load!G:G,0,)</f>
        <v>Large Multipack (More than 80 ct)</v>
      </c>
      <c r="G2048" t="str">
        <f>_xlfn.XLOOKUP($A2048,Load!$B:$B,Load!H:H,0,)</f>
        <v>Stand-Up Bag</v>
      </c>
      <c r="H2048" t="str">
        <f>_xlfn.XLOOKUP($A2048,Load!$B:$B,Load!I:I,0,)</f>
        <v>Everyday Candy Shapes (like Original, Gummy bear, Fruit, Jewels, etc.)</v>
      </c>
      <c r="I2048" t="str">
        <f>_xlfn.XLOOKUP($A2048,Load!$B:$B,Load!J:J,0,)</f>
        <v>Seasonal Graphics (Like Bat, Ghost, Pumpkin, Fall Leaves, Eyeballs, etc.)</v>
      </c>
      <c r="J2048" t="str">
        <f>_xlfn.XLOOKUP($A2048,Load!$B:$B,Load!K:K,0,)</f>
        <v>Fun Size / Treat Size</v>
      </c>
      <c r="K2048" t="str">
        <f>_xlfn.XLOOKUP($A2048,Load!$B:$B,Load!L:L,0,)</f>
        <v>Regular/Original Wrapping</v>
      </c>
      <c r="L2048" t="str">
        <f>_xlfn.XLOOKUP($A2048,Load!$B:$B,Load!M:M,0,)</f>
        <v>Multiple Brands / Variety Flavors or Form</v>
      </c>
    </row>
    <row r="2049" spans="1:12" x14ac:dyDescent="0.25">
      <c r="A2049" t="s">
        <v>85</v>
      </c>
      <c r="B2049" t="str">
        <f>_xlfn.XLOOKUP($A2049,Load!$B:$B,Load!C:C,0,)</f>
        <v>Ferrara Variety Pack</v>
      </c>
      <c r="C2049" t="str">
        <f>_xlfn.XLOOKUP($A2049,Load!$B:$B,Load!D:D,0,)</f>
        <v>Non-Chocolate Candy Only</v>
      </c>
      <c r="D2049" t="str">
        <f>_xlfn.XLOOKUP($A2049,Load!$B:$B,Load!E:E,0,)</f>
        <v>Variety / Mixed Flavors (Fruity, Sour, Seasonal Flavors)</v>
      </c>
      <c r="E2049" t="str">
        <f>_xlfn.XLOOKUP($A2049,Load!$B:$B,Load!F:F,0,)</f>
        <v>Mixed / Combo Packs (Gummy, Chewy, Taffy, etc.)</v>
      </c>
      <c r="F2049" t="str">
        <f>_xlfn.XLOOKUP($A2049,Load!$B:$B,Load!G:G,0,)</f>
        <v>Large Multipack (More than 80 ct)</v>
      </c>
      <c r="G2049" t="str">
        <f>_xlfn.XLOOKUP($A2049,Load!$B:$B,Load!H:H,0,)</f>
        <v>Stand-Up Bag</v>
      </c>
      <c r="H2049" t="str">
        <f>_xlfn.XLOOKUP($A2049,Load!$B:$B,Load!I:I,0,)</f>
        <v>Seasonal Shapes (like pumpkins, candy corn, ghost, bats, etc.)</v>
      </c>
      <c r="I2049" t="str">
        <f>_xlfn.XLOOKUP($A2049,Load!$B:$B,Load!J:J,0,)</f>
        <v>Seasonal Graphics (Like Bat, Ghost, Pumpkin, Fall Leaves, Eyeballs, etc.)</v>
      </c>
      <c r="J2049" t="str">
        <f>_xlfn.XLOOKUP($A2049,Load!$B:$B,Load!K:K,0,)</f>
        <v>Fun Size / Treat Size</v>
      </c>
      <c r="K2049" t="str">
        <f>_xlfn.XLOOKUP($A2049,Load!$B:$B,Load!L:L,0,)</f>
        <v>Regular/Original Wrapping</v>
      </c>
      <c r="L2049" t="str">
        <f>_xlfn.XLOOKUP($A2049,Load!$B:$B,Load!M:M,0,)</f>
        <v>Multiple Brands / Variety Flavors or Form</v>
      </c>
    </row>
    <row r="2050" spans="1:12" x14ac:dyDescent="0.25">
      <c r="B2050">
        <f>_xlfn.XLOOKUP($A2050,Load!$B:$B,Load!C:C,0,)</f>
        <v>0</v>
      </c>
      <c r="C2050">
        <f>_xlfn.XLOOKUP($A2050,Load!$B:$B,Load!D:D,0,)</f>
        <v>0</v>
      </c>
      <c r="D2050">
        <f>_xlfn.XLOOKUP($A2050,Load!$B:$B,Load!E:E,0,)</f>
        <v>0</v>
      </c>
      <c r="E2050">
        <f>_xlfn.XLOOKUP($A2050,Load!$B:$B,Load!F:F,0,)</f>
        <v>0</v>
      </c>
      <c r="F2050">
        <f>_xlfn.XLOOKUP($A2050,Load!$B:$B,Load!G:G,0,)</f>
        <v>0</v>
      </c>
      <c r="G2050">
        <f>_xlfn.XLOOKUP($A2050,Load!$B:$B,Load!H:H,0,)</f>
        <v>0</v>
      </c>
      <c r="H2050">
        <f>_xlfn.XLOOKUP($A2050,Load!$B:$B,Load!I:I,0,)</f>
        <v>0</v>
      </c>
      <c r="I2050">
        <f>_xlfn.XLOOKUP($A2050,Load!$B:$B,Load!J:J,0,)</f>
        <v>0</v>
      </c>
      <c r="J2050">
        <f>_xlfn.XLOOKUP($A2050,Load!$B:$B,Load!K:K,0,)</f>
        <v>0</v>
      </c>
      <c r="K2050">
        <f>_xlfn.XLOOKUP($A2050,Load!$B:$B,Load!L:L,0,)</f>
        <v>0</v>
      </c>
      <c r="L2050">
        <f>_xlfn.XLOOKUP($A2050,Load!$B:$B,Load!M:M,0,)</f>
        <v>0</v>
      </c>
    </row>
    <row r="2051" spans="1:12" x14ac:dyDescent="0.25">
      <c r="B2051">
        <f>_xlfn.XLOOKUP($A2051,Load!$B:$B,Load!C:C,0,)</f>
        <v>0</v>
      </c>
      <c r="C2051">
        <f>_xlfn.XLOOKUP($A2051,Load!$B:$B,Load!D:D,0,)</f>
        <v>0</v>
      </c>
      <c r="D2051">
        <f>_xlfn.XLOOKUP($A2051,Load!$B:$B,Load!E:E,0,)</f>
        <v>0</v>
      </c>
      <c r="E2051">
        <f>_xlfn.XLOOKUP($A2051,Load!$B:$B,Load!F:F,0,)</f>
        <v>0</v>
      </c>
      <c r="F2051">
        <f>_xlfn.XLOOKUP($A2051,Load!$B:$B,Load!G:G,0,)</f>
        <v>0</v>
      </c>
      <c r="G2051">
        <f>_xlfn.XLOOKUP($A2051,Load!$B:$B,Load!H:H,0,)</f>
        <v>0</v>
      </c>
      <c r="H2051">
        <f>_xlfn.XLOOKUP($A2051,Load!$B:$B,Load!I:I,0,)</f>
        <v>0</v>
      </c>
      <c r="I2051">
        <f>_xlfn.XLOOKUP($A2051,Load!$B:$B,Load!J:J,0,)</f>
        <v>0</v>
      </c>
      <c r="J2051">
        <f>_xlfn.XLOOKUP($A2051,Load!$B:$B,Load!K:K,0,)</f>
        <v>0</v>
      </c>
      <c r="K2051">
        <f>_xlfn.XLOOKUP($A2051,Load!$B:$B,Load!L:L,0,)</f>
        <v>0</v>
      </c>
      <c r="L2051">
        <f>_xlfn.XLOOKUP($A2051,Load!$B:$B,Load!M:M,0,)</f>
        <v>0</v>
      </c>
    </row>
    <row r="2052" spans="1:12" x14ac:dyDescent="0.25">
      <c r="B2052">
        <f>_xlfn.XLOOKUP($A2052,Load!$B:$B,Load!C:C,0,)</f>
        <v>0</v>
      </c>
      <c r="C2052">
        <f>_xlfn.XLOOKUP($A2052,Load!$B:$B,Load!D:D,0,)</f>
        <v>0</v>
      </c>
      <c r="D2052">
        <f>_xlfn.XLOOKUP($A2052,Load!$B:$B,Load!E:E,0,)</f>
        <v>0</v>
      </c>
      <c r="E2052">
        <f>_xlfn.XLOOKUP($A2052,Load!$B:$B,Load!F:F,0,)</f>
        <v>0</v>
      </c>
      <c r="F2052">
        <f>_xlfn.XLOOKUP($A2052,Load!$B:$B,Load!G:G,0,)</f>
        <v>0</v>
      </c>
      <c r="G2052">
        <f>_xlfn.XLOOKUP($A2052,Load!$B:$B,Load!H:H,0,)</f>
        <v>0</v>
      </c>
      <c r="H2052">
        <f>_xlfn.XLOOKUP($A2052,Load!$B:$B,Load!I:I,0,)</f>
        <v>0</v>
      </c>
      <c r="I2052">
        <f>_xlfn.XLOOKUP($A2052,Load!$B:$B,Load!J:J,0,)</f>
        <v>0</v>
      </c>
      <c r="J2052">
        <f>_xlfn.XLOOKUP($A2052,Load!$B:$B,Load!K:K,0,)</f>
        <v>0</v>
      </c>
      <c r="K2052">
        <f>_xlfn.XLOOKUP($A2052,Load!$B:$B,Load!L:L,0,)</f>
        <v>0</v>
      </c>
      <c r="L2052">
        <f>_xlfn.XLOOKUP($A2052,Load!$B:$B,Load!M:M,0,)</f>
        <v>0</v>
      </c>
    </row>
    <row r="2053" spans="1:12" x14ac:dyDescent="0.25">
      <c r="B2053">
        <f>_xlfn.XLOOKUP($A2053,Load!$B:$B,Load!C:C,0,)</f>
        <v>0</v>
      </c>
      <c r="C2053">
        <f>_xlfn.XLOOKUP($A2053,Load!$B:$B,Load!D:D,0,)</f>
        <v>0</v>
      </c>
      <c r="D2053">
        <f>_xlfn.XLOOKUP($A2053,Load!$B:$B,Load!E:E,0,)</f>
        <v>0</v>
      </c>
      <c r="E2053">
        <f>_xlfn.XLOOKUP($A2053,Load!$B:$B,Load!F:F,0,)</f>
        <v>0</v>
      </c>
      <c r="F2053">
        <f>_xlfn.XLOOKUP($A2053,Load!$B:$B,Load!G:G,0,)</f>
        <v>0</v>
      </c>
      <c r="G2053">
        <f>_xlfn.XLOOKUP($A2053,Load!$B:$B,Load!H:H,0,)</f>
        <v>0</v>
      </c>
      <c r="H2053">
        <f>_xlfn.XLOOKUP($A2053,Load!$B:$B,Load!I:I,0,)</f>
        <v>0</v>
      </c>
      <c r="I2053">
        <f>_xlfn.XLOOKUP($A2053,Load!$B:$B,Load!J:J,0,)</f>
        <v>0</v>
      </c>
      <c r="J2053">
        <f>_xlfn.XLOOKUP($A2053,Load!$B:$B,Load!K:K,0,)</f>
        <v>0</v>
      </c>
      <c r="K2053">
        <f>_xlfn.XLOOKUP($A2053,Load!$B:$B,Load!L:L,0,)</f>
        <v>0</v>
      </c>
      <c r="L2053">
        <f>_xlfn.XLOOKUP($A2053,Load!$B:$B,Load!M:M,0,)</f>
        <v>0</v>
      </c>
    </row>
    <row r="2054" spans="1:12" x14ac:dyDescent="0.25">
      <c r="A2054" t="s">
        <v>92</v>
      </c>
      <c r="B2054" t="str">
        <f>_xlfn.XLOOKUP($A2054,Load!$B:$B,Load!C:C,0,)</f>
        <v>Ferrara Variety Pack</v>
      </c>
      <c r="C2054" t="str">
        <f>_xlfn.XLOOKUP($A2054,Load!$B:$B,Load!D:D,0,)</f>
        <v>Non-Chocolate Candy Only</v>
      </c>
      <c r="D2054" t="str">
        <f>_xlfn.XLOOKUP($A2054,Load!$B:$B,Load!E:E,0,)</f>
        <v>Variety / Mixed Flavors (Fruity, Sour, Seasonal Flavors)</v>
      </c>
      <c r="E2054" t="str">
        <f>_xlfn.XLOOKUP($A2054,Load!$B:$B,Load!F:F,0,)</f>
        <v>Mixed / Combo Packs (Gummy, Chewy, Taffy, etc.)</v>
      </c>
      <c r="F2054" t="str">
        <f>_xlfn.XLOOKUP($A2054,Load!$B:$B,Load!G:G,0,)</f>
        <v>Large Multipack (More than 80 ct)</v>
      </c>
      <c r="G2054" t="str">
        <f>_xlfn.XLOOKUP($A2054,Load!$B:$B,Load!H:H,0,)</f>
        <v>Stand-Up Bag</v>
      </c>
      <c r="H2054" t="str">
        <f>_xlfn.XLOOKUP($A2054,Load!$B:$B,Load!I:I,0,)</f>
        <v>Everyday Candy Shapes (like Original, Gummy bear, Fruit, Jewels, etc.)</v>
      </c>
      <c r="I2054" t="str">
        <f>_xlfn.XLOOKUP($A2054,Load!$B:$B,Load!J:J,0,)</f>
        <v>Seasonal Graphics (Like Bat, Ghost, Pumpkin, Fall Leaves, Eyeballs, etc.)</v>
      </c>
      <c r="J2054" t="str">
        <f>_xlfn.XLOOKUP($A2054,Load!$B:$B,Load!K:K,0,)</f>
        <v xml:space="preserve">Variety Candy Sizes </v>
      </c>
      <c r="K2054" t="str">
        <f>_xlfn.XLOOKUP($A2054,Load!$B:$B,Load!L:L,0,)</f>
        <v>Regular/Original Wrapping</v>
      </c>
      <c r="L2054" t="str">
        <f>_xlfn.XLOOKUP($A2054,Load!$B:$B,Load!M:M,0,)</f>
        <v>Multiple Brands / Variety Flavors or Form</v>
      </c>
    </row>
    <row r="2055" spans="1:12" x14ac:dyDescent="0.25">
      <c r="A2055" t="s">
        <v>288</v>
      </c>
      <c r="B2055" t="str">
        <f>_xlfn.XLOOKUP($A2055,Load!$B:$B,Load!C:C,0,)</f>
        <v>SweeTARTS</v>
      </c>
      <c r="C2055" t="str">
        <f>_xlfn.XLOOKUP($A2055,Load!$B:$B,Load!D:D,0,)</f>
        <v>Non-Chocolate Candy Only</v>
      </c>
      <c r="D2055" t="str">
        <f>_xlfn.XLOOKUP($A2055,Load!$B:$B,Load!E:E,0,)</f>
        <v>Variety / Mixed Flavors (Fruity, Sour, Seasonal Flavors)</v>
      </c>
      <c r="E2055" t="str">
        <f>_xlfn.XLOOKUP($A2055,Load!$B:$B,Load!F:F,0,)</f>
        <v>Mixed / Combo Packs (Gummy, Chewy, Taffy, etc.)</v>
      </c>
      <c r="F2055" t="str">
        <f>_xlfn.XLOOKUP($A2055,Load!$B:$B,Load!G:G,0,)</f>
        <v>Medium Multipack (40–80 ct)</v>
      </c>
      <c r="G2055" t="str">
        <f>_xlfn.XLOOKUP($A2055,Load!$B:$B,Load!H:H,0,)</f>
        <v>Stand-Up Bag</v>
      </c>
      <c r="H2055" t="str">
        <f>_xlfn.XLOOKUP($A2055,Load!$B:$B,Load!I:I,0,)</f>
        <v>Everyday Candy Shapes (like Original, Gummy bear, Fruit, Jewels, etc.)</v>
      </c>
      <c r="I2055" t="str">
        <f>_xlfn.XLOOKUP($A2055,Load!$B:$B,Load!J:J,0,)</f>
        <v>Seasonal Graphics (Like Bat, Ghost, Pumpkin, Fall Leaves, Eyeballs, etc.)</v>
      </c>
      <c r="J2055" t="str">
        <f>_xlfn.XLOOKUP($A2055,Load!$B:$B,Load!K:K,0,)</f>
        <v>Small Pieces (Tiny bite size candies)</v>
      </c>
      <c r="K2055" t="str">
        <f>_xlfn.XLOOKUP($A2055,Load!$B:$B,Load!L:L,0,)</f>
        <v>Regular/Original Wrapping</v>
      </c>
      <c r="L2055" t="str">
        <f>_xlfn.XLOOKUP($A2055,Load!$B:$B,Load!M:M,0,)</f>
        <v>Single Brand / Variety Flavors or Form</v>
      </c>
    </row>
    <row r="2056" spans="1:12" x14ac:dyDescent="0.25">
      <c r="B2056">
        <f>_xlfn.XLOOKUP($A2056,Load!$B:$B,Load!C:C,0,)</f>
        <v>0</v>
      </c>
      <c r="C2056">
        <f>_xlfn.XLOOKUP($A2056,Load!$B:$B,Load!D:D,0,)</f>
        <v>0</v>
      </c>
      <c r="D2056">
        <f>_xlfn.XLOOKUP($A2056,Load!$B:$B,Load!E:E,0,)</f>
        <v>0</v>
      </c>
      <c r="E2056">
        <f>_xlfn.XLOOKUP($A2056,Load!$B:$B,Load!F:F,0,)</f>
        <v>0</v>
      </c>
      <c r="F2056">
        <f>_xlfn.XLOOKUP($A2056,Load!$B:$B,Load!G:G,0,)</f>
        <v>0</v>
      </c>
      <c r="G2056">
        <f>_xlfn.XLOOKUP($A2056,Load!$B:$B,Load!H:H,0,)</f>
        <v>0</v>
      </c>
      <c r="H2056">
        <f>_xlfn.XLOOKUP($A2056,Load!$B:$B,Load!I:I,0,)</f>
        <v>0</v>
      </c>
      <c r="I2056">
        <f>_xlfn.XLOOKUP($A2056,Load!$B:$B,Load!J:J,0,)</f>
        <v>0</v>
      </c>
      <c r="J2056">
        <f>_xlfn.XLOOKUP($A2056,Load!$B:$B,Load!K:K,0,)</f>
        <v>0</v>
      </c>
      <c r="K2056">
        <f>_xlfn.XLOOKUP($A2056,Load!$B:$B,Load!L:L,0,)</f>
        <v>0</v>
      </c>
      <c r="L2056">
        <f>_xlfn.XLOOKUP($A2056,Load!$B:$B,Load!M:M,0,)</f>
        <v>0</v>
      </c>
    </row>
    <row r="2057" spans="1:12" x14ac:dyDescent="0.25">
      <c r="B2057">
        <f>_xlfn.XLOOKUP($A2057,Load!$B:$B,Load!C:C,0,)</f>
        <v>0</v>
      </c>
      <c r="C2057">
        <f>_xlfn.XLOOKUP($A2057,Load!$B:$B,Load!D:D,0,)</f>
        <v>0</v>
      </c>
      <c r="D2057">
        <f>_xlfn.XLOOKUP($A2057,Load!$B:$B,Load!E:E,0,)</f>
        <v>0</v>
      </c>
      <c r="E2057">
        <f>_xlfn.XLOOKUP($A2057,Load!$B:$B,Load!F:F,0,)</f>
        <v>0</v>
      </c>
      <c r="F2057">
        <f>_xlfn.XLOOKUP($A2057,Load!$B:$B,Load!G:G,0,)</f>
        <v>0</v>
      </c>
      <c r="G2057">
        <f>_xlfn.XLOOKUP($A2057,Load!$B:$B,Load!H:H,0,)</f>
        <v>0</v>
      </c>
      <c r="H2057">
        <f>_xlfn.XLOOKUP($A2057,Load!$B:$B,Load!I:I,0,)</f>
        <v>0</v>
      </c>
      <c r="I2057">
        <f>_xlfn.XLOOKUP($A2057,Load!$B:$B,Load!J:J,0,)</f>
        <v>0</v>
      </c>
      <c r="J2057">
        <f>_xlfn.XLOOKUP($A2057,Load!$B:$B,Load!K:K,0,)</f>
        <v>0</v>
      </c>
      <c r="K2057">
        <f>_xlfn.XLOOKUP($A2057,Load!$B:$B,Load!L:L,0,)</f>
        <v>0</v>
      </c>
      <c r="L2057">
        <f>_xlfn.XLOOKUP($A2057,Load!$B:$B,Load!M:M,0,)</f>
        <v>0</v>
      </c>
    </row>
    <row r="2058" spans="1:12" x14ac:dyDescent="0.25">
      <c r="B2058">
        <f>_xlfn.XLOOKUP($A2058,Load!$B:$B,Load!C:C,0,)</f>
        <v>0</v>
      </c>
      <c r="C2058">
        <f>_xlfn.XLOOKUP($A2058,Load!$B:$B,Load!D:D,0,)</f>
        <v>0</v>
      </c>
      <c r="D2058">
        <f>_xlfn.XLOOKUP($A2058,Load!$B:$B,Load!E:E,0,)</f>
        <v>0</v>
      </c>
      <c r="E2058">
        <f>_xlfn.XLOOKUP($A2058,Load!$B:$B,Load!F:F,0,)</f>
        <v>0</v>
      </c>
      <c r="F2058">
        <f>_xlfn.XLOOKUP($A2058,Load!$B:$B,Load!G:G,0,)</f>
        <v>0</v>
      </c>
      <c r="G2058">
        <f>_xlfn.XLOOKUP($A2058,Load!$B:$B,Load!H:H,0,)</f>
        <v>0</v>
      </c>
      <c r="H2058">
        <f>_xlfn.XLOOKUP($A2058,Load!$B:$B,Load!I:I,0,)</f>
        <v>0</v>
      </c>
      <c r="I2058">
        <f>_xlfn.XLOOKUP($A2058,Load!$B:$B,Load!J:J,0,)</f>
        <v>0</v>
      </c>
      <c r="J2058">
        <f>_xlfn.XLOOKUP($A2058,Load!$B:$B,Load!K:K,0,)</f>
        <v>0</v>
      </c>
      <c r="K2058">
        <f>_xlfn.XLOOKUP($A2058,Load!$B:$B,Load!L:L,0,)</f>
        <v>0</v>
      </c>
      <c r="L2058">
        <f>_xlfn.XLOOKUP($A2058,Load!$B:$B,Load!M:M,0,)</f>
        <v>0</v>
      </c>
    </row>
    <row r="2059" spans="1:12" x14ac:dyDescent="0.25">
      <c r="B2059">
        <f>_xlfn.XLOOKUP($A2059,Load!$B:$B,Load!C:C,0,)</f>
        <v>0</v>
      </c>
      <c r="C2059">
        <f>_xlfn.XLOOKUP($A2059,Load!$B:$B,Load!D:D,0,)</f>
        <v>0</v>
      </c>
      <c r="D2059">
        <f>_xlfn.XLOOKUP($A2059,Load!$B:$B,Load!E:E,0,)</f>
        <v>0</v>
      </c>
      <c r="E2059">
        <f>_xlfn.XLOOKUP($A2059,Load!$B:$B,Load!F:F,0,)</f>
        <v>0</v>
      </c>
      <c r="F2059">
        <f>_xlfn.XLOOKUP($A2059,Load!$B:$B,Load!G:G,0,)</f>
        <v>0</v>
      </c>
      <c r="G2059">
        <f>_xlfn.XLOOKUP($A2059,Load!$B:$B,Load!H:H,0,)</f>
        <v>0</v>
      </c>
      <c r="H2059">
        <f>_xlfn.XLOOKUP($A2059,Load!$B:$B,Load!I:I,0,)</f>
        <v>0</v>
      </c>
      <c r="I2059">
        <f>_xlfn.XLOOKUP($A2059,Load!$B:$B,Load!J:J,0,)</f>
        <v>0</v>
      </c>
      <c r="J2059">
        <f>_xlfn.XLOOKUP($A2059,Load!$B:$B,Load!K:K,0,)</f>
        <v>0</v>
      </c>
      <c r="K2059">
        <f>_xlfn.XLOOKUP($A2059,Load!$B:$B,Load!L:L,0,)</f>
        <v>0</v>
      </c>
      <c r="L2059">
        <f>_xlfn.XLOOKUP($A2059,Load!$B:$B,Load!M:M,0,)</f>
        <v>0</v>
      </c>
    </row>
    <row r="2060" spans="1:12" x14ac:dyDescent="0.25">
      <c r="A2060" t="s">
        <v>302</v>
      </c>
      <c r="B2060" t="str">
        <f>_xlfn.XLOOKUP($A2060,Load!$B:$B,Load!C:C,0,)</f>
        <v>Twizzlers</v>
      </c>
      <c r="C2060" t="str">
        <f>_xlfn.XLOOKUP($A2060,Load!$B:$B,Load!D:D,0,)</f>
        <v>Non-Chocolate Candy Only</v>
      </c>
      <c r="D2060" t="str">
        <f>_xlfn.XLOOKUP($A2060,Load!$B:$B,Load!E:E,0,)</f>
        <v>Berry Based (Raspberry, Strawberry, Medley, etc.)</v>
      </c>
      <c r="E2060" t="str">
        <f>_xlfn.XLOOKUP($A2060,Load!$B:$B,Load!F:F,0,)</f>
        <v>Chewy</v>
      </c>
      <c r="F2060" t="str">
        <f>_xlfn.XLOOKUP($A2060,Load!$B:$B,Load!G:G,0,)</f>
        <v>Single Pack</v>
      </c>
      <c r="G2060" t="str">
        <f>_xlfn.XLOOKUP($A2060,Load!$B:$B,Load!H:H,0,)</f>
        <v>Laydown Bag</v>
      </c>
      <c r="H2060" t="str">
        <f>_xlfn.XLOOKUP($A2060,Load!$B:$B,Load!I:I,0,)</f>
        <v>Everyday Candy Shapes (like Original, Gummy bear, Fruit, Jewels, etc.)</v>
      </c>
      <c r="I2060" t="str">
        <f>_xlfn.XLOOKUP($A2060,Load!$B:$B,Load!J:J,0,)</f>
        <v>Seasonal Graphics (Like Bat, Ghost, Pumpkin, Fall Leaves, Eyeballs, etc.)</v>
      </c>
      <c r="J2060" t="str">
        <f>_xlfn.XLOOKUP($A2060,Load!$B:$B,Load!K:K,0,)</f>
        <v>Small Pieces (Tiny bite size candies)</v>
      </c>
      <c r="K2060" t="str">
        <f>_xlfn.XLOOKUP($A2060,Load!$B:$B,Load!L:L,0,)</f>
        <v>unwrapped</v>
      </c>
      <c r="L2060" t="str">
        <f>_xlfn.XLOOKUP($A2060,Load!$B:$B,Load!M:M,0,)</f>
        <v>Single Brand / Single Flavor or Form</v>
      </c>
    </row>
    <row r="2061" spans="1:12" x14ac:dyDescent="0.25">
      <c r="B2061">
        <f>_xlfn.XLOOKUP($A2061,Load!$B:$B,Load!C:C,0,)</f>
        <v>0</v>
      </c>
      <c r="C2061">
        <f>_xlfn.XLOOKUP($A2061,Load!$B:$B,Load!D:D,0,)</f>
        <v>0</v>
      </c>
      <c r="D2061">
        <f>_xlfn.XLOOKUP($A2061,Load!$B:$B,Load!E:E,0,)</f>
        <v>0</v>
      </c>
      <c r="E2061">
        <f>_xlfn.XLOOKUP($A2061,Load!$B:$B,Load!F:F,0,)</f>
        <v>0</v>
      </c>
      <c r="F2061">
        <f>_xlfn.XLOOKUP($A2061,Load!$B:$B,Load!G:G,0,)</f>
        <v>0</v>
      </c>
      <c r="G2061">
        <f>_xlfn.XLOOKUP($A2061,Load!$B:$B,Load!H:H,0,)</f>
        <v>0</v>
      </c>
      <c r="H2061">
        <f>_xlfn.XLOOKUP($A2061,Load!$B:$B,Load!I:I,0,)</f>
        <v>0</v>
      </c>
      <c r="I2061">
        <f>_xlfn.XLOOKUP($A2061,Load!$B:$B,Load!J:J,0,)</f>
        <v>0</v>
      </c>
      <c r="J2061">
        <f>_xlfn.XLOOKUP($A2061,Load!$B:$B,Load!K:K,0,)</f>
        <v>0</v>
      </c>
      <c r="K2061">
        <f>_xlfn.XLOOKUP($A2061,Load!$B:$B,Load!L:L,0,)</f>
        <v>0</v>
      </c>
      <c r="L2061">
        <f>_xlfn.XLOOKUP($A2061,Load!$B:$B,Load!M:M,0,)</f>
        <v>0</v>
      </c>
    </row>
    <row r="2062" spans="1:12" x14ac:dyDescent="0.25">
      <c r="A2062" t="s">
        <v>49</v>
      </c>
      <c r="B2062" t="str">
        <f>_xlfn.XLOOKUP($A2062,Load!$B:$B,Load!C:C,0,)</f>
        <v>Brach's</v>
      </c>
      <c r="C2062" t="str">
        <f>_xlfn.XLOOKUP($A2062,Load!$B:$B,Load!D:D,0,)</f>
        <v>Non-Chocolate Candy Only</v>
      </c>
      <c r="D2062" t="str">
        <f>_xlfn.XLOOKUP($A2062,Load!$B:$B,Load!E:E,0,)</f>
        <v>Fall / Seasonal Flavors (pumpkin spice, caramel apple, candy corn)</v>
      </c>
      <c r="E2062" t="str">
        <f>_xlfn.XLOOKUP($A2062,Load!$B:$B,Load!F:F,0,)</f>
        <v>Candy Pieces / Bites</v>
      </c>
      <c r="F2062" t="str">
        <f>_xlfn.XLOOKUP($A2062,Load!$B:$B,Load!G:G,0,)</f>
        <v>Large Multipack (More than 80 ct)</v>
      </c>
      <c r="G2062" t="str">
        <f>_xlfn.XLOOKUP($A2062,Load!$B:$B,Load!H:H,0,)</f>
        <v>Laydown Bag</v>
      </c>
      <c r="H2062" t="str">
        <f>_xlfn.XLOOKUP($A2062,Load!$B:$B,Load!I:I,0,)</f>
        <v>Seasonal Shapes (like pumpkins, candy corn, ghost, bats, etc.)</v>
      </c>
      <c r="I2062" t="str">
        <f>_xlfn.XLOOKUP($A2062,Load!$B:$B,Load!J:J,0,)</f>
        <v>Seasonal Graphics (Like Bat, Ghost, Pumpkin, Fall Leaves, Eyeballs, etc.)</v>
      </c>
      <c r="J2062" t="str">
        <f>_xlfn.XLOOKUP($A2062,Load!$B:$B,Load!K:K,0,)</f>
        <v>Small Pieces (Tiny bite size candies)</v>
      </c>
      <c r="K2062" t="str">
        <f>_xlfn.XLOOKUP($A2062,Load!$B:$B,Load!L:L,0,)</f>
        <v>Unwrapped</v>
      </c>
      <c r="L2062" t="str">
        <f>_xlfn.XLOOKUP($A2062,Load!$B:$B,Load!M:M,0,)</f>
        <v>Single Brand / Single Flavor or Form</v>
      </c>
    </row>
    <row r="2063" spans="1:12" x14ac:dyDescent="0.25">
      <c r="B2063">
        <f>_xlfn.XLOOKUP($A2063,Load!$B:$B,Load!C:C,0,)</f>
        <v>0</v>
      </c>
      <c r="C2063">
        <f>_xlfn.XLOOKUP($A2063,Load!$B:$B,Load!D:D,0,)</f>
        <v>0</v>
      </c>
      <c r="D2063">
        <f>_xlfn.XLOOKUP($A2063,Load!$B:$B,Load!E:E,0,)</f>
        <v>0</v>
      </c>
      <c r="E2063">
        <f>_xlfn.XLOOKUP($A2063,Load!$B:$B,Load!F:F,0,)</f>
        <v>0</v>
      </c>
      <c r="F2063">
        <f>_xlfn.XLOOKUP($A2063,Load!$B:$B,Load!G:G,0,)</f>
        <v>0</v>
      </c>
      <c r="G2063">
        <f>_xlfn.XLOOKUP($A2063,Load!$B:$B,Load!H:H,0,)</f>
        <v>0</v>
      </c>
      <c r="H2063">
        <f>_xlfn.XLOOKUP($A2063,Load!$B:$B,Load!I:I,0,)</f>
        <v>0</v>
      </c>
      <c r="I2063">
        <f>_xlfn.XLOOKUP($A2063,Load!$B:$B,Load!J:J,0,)</f>
        <v>0</v>
      </c>
      <c r="J2063">
        <f>_xlfn.XLOOKUP($A2063,Load!$B:$B,Load!K:K,0,)</f>
        <v>0</v>
      </c>
      <c r="K2063">
        <f>_xlfn.XLOOKUP($A2063,Load!$B:$B,Load!L:L,0,)</f>
        <v>0</v>
      </c>
      <c r="L2063">
        <f>_xlfn.XLOOKUP($A2063,Load!$B:$B,Load!M:M,0,)</f>
        <v>0</v>
      </c>
    </row>
    <row r="2064" spans="1:12" x14ac:dyDescent="0.25">
      <c r="A2064" t="s">
        <v>289</v>
      </c>
      <c r="B2064" t="str">
        <f>_xlfn.XLOOKUP($A2064,Load!$B:$B,Load!C:C,0,)</f>
        <v>Tootsie</v>
      </c>
      <c r="C2064" t="str">
        <f>_xlfn.XLOOKUP($A2064,Load!$B:$B,Load!D:D,0,)</f>
        <v>Mix of Chocolate and Non-Chocolate Candy</v>
      </c>
      <c r="D2064" t="str">
        <f>_xlfn.XLOOKUP($A2064,Load!$B:$B,Load!E:E,0,)</f>
        <v>Variety / Mixed Flavors (Fruity, Sour, Seasonal Flavors)</v>
      </c>
      <c r="E2064" t="str">
        <f>_xlfn.XLOOKUP($A2064,Load!$B:$B,Load!F:F,0,)</f>
        <v>Mixed / Combo Packs (Gummy, Chewy, Taffy, etc.)</v>
      </c>
      <c r="F2064" t="str">
        <f>_xlfn.XLOOKUP($A2064,Load!$B:$B,Load!G:G,0,)</f>
        <v>Large Multipack (More than 80 ct)</v>
      </c>
      <c r="G2064" t="str">
        <f>_xlfn.XLOOKUP($A2064,Load!$B:$B,Load!H:H,0,)</f>
        <v>Laydown Bag</v>
      </c>
      <c r="H2064" t="str">
        <f>_xlfn.XLOOKUP($A2064,Load!$B:$B,Load!I:I,0,)</f>
        <v>Everyday Candy Shapes (like Original, Gummy bear, Fruit, Jewels, etc.)</v>
      </c>
      <c r="I2064" t="str">
        <f>_xlfn.XLOOKUP($A2064,Load!$B:$B,Load!J:J,0,)</f>
        <v>Everyday Graphics</v>
      </c>
      <c r="J2064" t="str">
        <f>_xlfn.XLOOKUP($A2064,Load!$B:$B,Load!K:K,0,)</f>
        <v xml:space="preserve">Variety Candy Sizes </v>
      </c>
      <c r="K2064" t="str">
        <f>_xlfn.XLOOKUP($A2064,Load!$B:$B,Load!L:L,0,)</f>
        <v>Regular/Original Wrapping</v>
      </c>
      <c r="L2064" t="str">
        <f>_xlfn.XLOOKUP($A2064,Load!$B:$B,Load!M:M,0,)</f>
        <v>Single Brand / Variety Flavors or Form</v>
      </c>
    </row>
    <row r="2065" spans="1:12" x14ac:dyDescent="0.25">
      <c r="B2065">
        <f>_xlfn.XLOOKUP($A2065,Load!$B:$B,Load!C:C,0,)</f>
        <v>0</v>
      </c>
      <c r="C2065">
        <f>_xlfn.XLOOKUP($A2065,Load!$B:$B,Load!D:D,0,)</f>
        <v>0</v>
      </c>
      <c r="D2065">
        <f>_xlfn.XLOOKUP($A2065,Load!$B:$B,Load!E:E,0,)</f>
        <v>0</v>
      </c>
      <c r="E2065">
        <f>_xlfn.XLOOKUP($A2065,Load!$B:$B,Load!F:F,0,)</f>
        <v>0</v>
      </c>
      <c r="F2065">
        <f>_xlfn.XLOOKUP($A2065,Load!$B:$B,Load!G:G,0,)</f>
        <v>0</v>
      </c>
      <c r="G2065">
        <f>_xlfn.XLOOKUP($A2065,Load!$B:$B,Load!H:H,0,)</f>
        <v>0</v>
      </c>
      <c r="H2065">
        <f>_xlfn.XLOOKUP($A2065,Load!$B:$B,Load!I:I,0,)</f>
        <v>0</v>
      </c>
      <c r="I2065">
        <f>_xlfn.XLOOKUP($A2065,Load!$B:$B,Load!J:J,0,)</f>
        <v>0</v>
      </c>
      <c r="J2065">
        <f>_xlfn.XLOOKUP($A2065,Load!$B:$B,Load!K:K,0,)</f>
        <v>0</v>
      </c>
      <c r="K2065">
        <f>_xlfn.XLOOKUP($A2065,Load!$B:$B,Load!L:L,0,)</f>
        <v>0</v>
      </c>
      <c r="L2065">
        <f>_xlfn.XLOOKUP($A2065,Load!$B:$B,Load!M:M,0,)</f>
        <v>0</v>
      </c>
    </row>
    <row r="2066" spans="1:12" x14ac:dyDescent="0.25">
      <c r="B2066">
        <f>_xlfn.XLOOKUP($A2066,Load!$B:$B,Load!C:C,0,)</f>
        <v>0</v>
      </c>
      <c r="C2066">
        <f>_xlfn.XLOOKUP($A2066,Load!$B:$B,Load!D:D,0,)</f>
        <v>0</v>
      </c>
      <c r="D2066">
        <f>_xlfn.XLOOKUP($A2066,Load!$B:$B,Load!E:E,0,)</f>
        <v>0</v>
      </c>
      <c r="E2066">
        <f>_xlfn.XLOOKUP($A2066,Load!$B:$B,Load!F:F,0,)</f>
        <v>0</v>
      </c>
      <c r="F2066">
        <f>_xlfn.XLOOKUP($A2066,Load!$B:$B,Load!G:G,0,)</f>
        <v>0</v>
      </c>
      <c r="G2066">
        <f>_xlfn.XLOOKUP($A2066,Load!$B:$B,Load!H:H,0,)</f>
        <v>0</v>
      </c>
      <c r="H2066">
        <f>_xlfn.XLOOKUP($A2066,Load!$B:$B,Load!I:I,0,)</f>
        <v>0</v>
      </c>
      <c r="I2066">
        <f>_xlfn.XLOOKUP($A2066,Load!$B:$B,Load!J:J,0,)</f>
        <v>0</v>
      </c>
      <c r="J2066">
        <f>_xlfn.XLOOKUP($A2066,Load!$B:$B,Load!K:K,0,)</f>
        <v>0</v>
      </c>
      <c r="K2066">
        <f>_xlfn.XLOOKUP($A2066,Load!$B:$B,Load!L:L,0,)</f>
        <v>0</v>
      </c>
      <c r="L2066">
        <f>_xlfn.XLOOKUP($A2066,Load!$B:$B,Load!M:M,0,)</f>
        <v>0</v>
      </c>
    </row>
    <row r="2067" spans="1:12" x14ac:dyDescent="0.25">
      <c r="B2067">
        <f>_xlfn.XLOOKUP($A2067,Load!$B:$B,Load!C:C,0,)</f>
        <v>0</v>
      </c>
      <c r="C2067">
        <f>_xlfn.XLOOKUP($A2067,Load!$B:$B,Load!D:D,0,)</f>
        <v>0</v>
      </c>
      <c r="D2067">
        <f>_xlfn.XLOOKUP($A2067,Load!$B:$B,Load!E:E,0,)</f>
        <v>0</v>
      </c>
      <c r="E2067">
        <f>_xlfn.XLOOKUP($A2067,Load!$B:$B,Load!F:F,0,)</f>
        <v>0</v>
      </c>
      <c r="F2067">
        <f>_xlfn.XLOOKUP($A2067,Load!$B:$B,Load!G:G,0,)</f>
        <v>0</v>
      </c>
      <c r="G2067">
        <f>_xlfn.XLOOKUP($A2067,Load!$B:$B,Load!H:H,0,)</f>
        <v>0</v>
      </c>
      <c r="H2067">
        <f>_xlfn.XLOOKUP($A2067,Load!$B:$B,Load!I:I,0,)</f>
        <v>0</v>
      </c>
      <c r="I2067">
        <f>_xlfn.XLOOKUP($A2067,Load!$B:$B,Load!J:J,0,)</f>
        <v>0</v>
      </c>
      <c r="J2067">
        <f>_xlfn.XLOOKUP($A2067,Load!$B:$B,Load!K:K,0,)</f>
        <v>0</v>
      </c>
      <c r="K2067">
        <f>_xlfn.XLOOKUP($A2067,Load!$B:$B,Load!L:L,0,)</f>
        <v>0</v>
      </c>
      <c r="L2067">
        <f>_xlfn.XLOOKUP($A2067,Load!$B:$B,Load!M:M,0,)</f>
        <v>0</v>
      </c>
    </row>
    <row r="2068" spans="1:12" x14ac:dyDescent="0.25">
      <c r="A2068" t="s">
        <v>187</v>
      </c>
      <c r="B2068" t="str">
        <f>_xlfn.XLOOKUP($A2068,Load!$B:$B,Load!C:C,0,)</f>
        <v>Mars Variety Pack</v>
      </c>
      <c r="C2068" t="str">
        <f>_xlfn.XLOOKUP($A2068,Load!$B:$B,Load!D:D,0,)</f>
        <v>Mix of Chocolate and Non-Chocolate Candy</v>
      </c>
      <c r="D2068" t="str">
        <f>_xlfn.XLOOKUP($A2068,Load!$B:$B,Load!E:E,0,)</f>
        <v>Variety / Mixed Flavors (Fruity, Sour, Seasonal Flavors)</v>
      </c>
      <c r="E2068" t="str">
        <f>_xlfn.XLOOKUP($A2068,Load!$B:$B,Load!F:F,0,)</f>
        <v>Mixed / Combo Packs (Gummy, Chewy, Taffy, etc.)</v>
      </c>
      <c r="F2068" t="str">
        <f>_xlfn.XLOOKUP($A2068,Load!$B:$B,Load!G:G,0,)</f>
        <v>Medium Multipack (40–80 ct)</v>
      </c>
      <c r="G2068" t="str">
        <f>_xlfn.XLOOKUP($A2068,Load!$B:$B,Load!H:H,0,)</f>
        <v>Stand-Up Bag</v>
      </c>
      <c r="H2068" t="str">
        <f>_xlfn.XLOOKUP($A2068,Load!$B:$B,Load!I:I,0,)</f>
        <v>Everyday Candy Shapes (like Original, Gummy bear, Fruit, Jewels, etc.)</v>
      </c>
      <c r="I2068" t="str">
        <f>_xlfn.XLOOKUP($A2068,Load!$B:$B,Load!J:J,0,)</f>
        <v>Seasonal Graphics (Like Bat, Ghost, Pumpkin, Fall Leaves, Eyeballs, etc.)</v>
      </c>
      <c r="J2068" t="str">
        <f>_xlfn.XLOOKUP($A2068,Load!$B:$B,Load!K:K,0,)</f>
        <v>Fun Size / Treat Size</v>
      </c>
      <c r="K2068" t="str">
        <f>_xlfn.XLOOKUP($A2068,Load!$B:$B,Load!L:L,0,)</f>
        <v>Regular/Original Wrapping</v>
      </c>
      <c r="L2068" t="str">
        <f>_xlfn.XLOOKUP($A2068,Load!$B:$B,Load!M:M,0,)</f>
        <v>Multiple Brands / Variety Flavors or Form</v>
      </c>
    </row>
    <row r="2069" spans="1:12" x14ac:dyDescent="0.25">
      <c r="B2069">
        <f>_xlfn.XLOOKUP($A2069,Load!$B:$B,Load!C:C,0,)</f>
        <v>0</v>
      </c>
      <c r="C2069">
        <f>_xlfn.XLOOKUP($A2069,Load!$B:$B,Load!D:D,0,)</f>
        <v>0</v>
      </c>
      <c r="D2069">
        <f>_xlfn.XLOOKUP($A2069,Load!$B:$B,Load!E:E,0,)</f>
        <v>0</v>
      </c>
      <c r="E2069">
        <f>_xlfn.XLOOKUP($A2069,Load!$B:$B,Load!F:F,0,)</f>
        <v>0</v>
      </c>
      <c r="F2069">
        <f>_xlfn.XLOOKUP($A2069,Load!$B:$B,Load!G:G,0,)</f>
        <v>0</v>
      </c>
      <c r="G2069">
        <f>_xlfn.XLOOKUP($A2069,Load!$B:$B,Load!H:H,0,)</f>
        <v>0</v>
      </c>
      <c r="H2069">
        <f>_xlfn.XLOOKUP($A2069,Load!$B:$B,Load!I:I,0,)</f>
        <v>0</v>
      </c>
      <c r="I2069">
        <f>_xlfn.XLOOKUP($A2069,Load!$B:$B,Load!J:J,0,)</f>
        <v>0</v>
      </c>
      <c r="J2069">
        <f>_xlfn.XLOOKUP($A2069,Load!$B:$B,Load!K:K,0,)</f>
        <v>0</v>
      </c>
      <c r="K2069">
        <f>_xlfn.XLOOKUP($A2069,Load!$B:$B,Load!L:L,0,)</f>
        <v>0</v>
      </c>
      <c r="L2069">
        <f>_xlfn.XLOOKUP($A2069,Load!$B:$B,Load!M:M,0,)</f>
        <v>0</v>
      </c>
    </row>
    <row r="2070" spans="1:12" x14ac:dyDescent="0.25">
      <c r="B2070">
        <f>_xlfn.XLOOKUP($A2070,Load!$B:$B,Load!C:C,0,)</f>
        <v>0</v>
      </c>
      <c r="C2070">
        <f>_xlfn.XLOOKUP($A2070,Load!$B:$B,Load!D:D,0,)</f>
        <v>0</v>
      </c>
      <c r="D2070">
        <f>_xlfn.XLOOKUP($A2070,Load!$B:$B,Load!E:E,0,)</f>
        <v>0</v>
      </c>
      <c r="E2070">
        <f>_xlfn.XLOOKUP($A2070,Load!$B:$B,Load!F:F,0,)</f>
        <v>0</v>
      </c>
      <c r="F2070">
        <f>_xlfn.XLOOKUP($A2070,Load!$B:$B,Load!G:G,0,)</f>
        <v>0</v>
      </c>
      <c r="G2070">
        <f>_xlfn.XLOOKUP($A2070,Load!$B:$B,Load!H:H,0,)</f>
        <v>0</v>
      </c>
      <c r="H2070">
        <f>_xlfn.XLOOKUP($A2070,Load!$B:$B,Load!I:I,0,)</f>
        <v>0</v>
      </c>
      <c r="I2070">
        <f>_xlfn.XLOOKUP($A2070,Load!$B:$B,Load!J:J,0,)</f>
        <v>0</v>
      </c>
      <c r="J2070">
        <f>_xlfn.XLOOKUP($A2070,Load!$B:$B,Load!K:K,0,)</f>
        <v>0</v>
      </c>
      <c r="K2070">
        <f>_xlfn.XLOOKUP($A2070,Load!$B:$B,Load!L:L,0,)</f>
        <v>0</v>
      </c>
      <c r="L2070">
        <f>_xlfn.XLOOKUP($A2070,Load!$B:$B,Load!M:M,0,)</f>
        <v>0</v>
      </c>
    </row>
    <row r="2071" spans="1:12" x14ac:dyDescent="0.25">
      <c r="B2071">
        <f>_xlfn.XLOOKUP($A2071,Load!$B:$B,Load!C:C,0,)</f>
        <v>0</v>
      </c>
      <c r="C2071">
        <f>_xlfn.XLOOKUP($A2071,Load!$B:$B,Load!D:D,0,)</f>
        <v>0</v>
      </c>
      <c r="D2071">
        <f>_xlfn.XLOOKUP($A2071,Load!$B:$B,Load!E:E,0,)</f>
        <v>0</v>
      </c>
      <c r="E2071">
        <f>_xlfn.XLOOKUP($A2071,Load!$B:$B,Load!F:F,0,)</f>
        <v>0</v>
      </c>
      <c r="F2071">
        <f>_xlfn.XLOOKUP($A2071,Load!$B:$B,Load!G:G,0,)</f>
        <v>0</v>
      </c>
      <c r="G2071">
        <f>_xlfn.XLOOKUP($A2071,Load!$B:$B,Load!H:H,0,)</f>
        <v>0</v>
      </c>
      <c r="H2071">
        <f>_xlfn.XLOOKUP($A2071,Load!$B:$B,Load!I:I,0,)</f>
        <v>0</v>
      </c>
      <c r="I2071">
        <f>_xlfn.XLOOKUP($A2071,Load!$B:$B,Load!J:J,0,)</f>
        <v>0</v>
      </c>
      <c r="J2071">
        <f>_xlfn.XLOOKUP($A2071,Load!$B:$B,Load!K:K,0,)</f>
        <v>0</v>
      </c>
      <c r="K2071">
        <f>_xlfn.XLOOKUP($A2071,Load!$B:$B,Load!L:L,0,)</f>
        <v>0</v>
      </c>
      <c r="L2071">
        <f>_xlfn.XLOOKUP($A2071,Load!$B:$B,Load!M:M,0,)</f>
        <v>0</v>
      </c>
    </row>
    <row r="2072" spans="1:12" x14ac:dyDescent="0.25">
      <c r="B2072">
        <f>_xlfn.XLOOKUP($A2072,Load!$B:$B,Load!C:C,0,)</f>
        <v>0</v>
      </c>
      <c r="C2072">
        <f>_xlfn.XLOOKUP($A2072,Load!$B:$B,Load!D:D,0,)</f>
        <v>0</v>
      </c>
      <c r="D2072">
        <f>_xlfn.XLOOKUP($A2072,Load!$B:$B,Load!E:E,0,)</f>
        <v>0</v>
      </c>
      <c r="E2072">
        <f>_xlfn.XLOOKUP($A2072,Load!$B:$B,Load!F:F,0,)</f>
        <v>0</v>
      </c>
      <c r="F2072">
        <f>_xlfn.XLOOKUP($A2072,Load!$B:$B,Load!G:G,0,)</f>
        <v>0</v>
      </c>
      <c r="G2072">
        <f>_xlfn.XLOOKUP($A2072,Load!$B:$B,Load!H:H,0,)</f>
        <v>0</v>
      </c>
      <c r="H2072">
        <f>_xlfn.XLOOKUP($A2072,Load!$B:$B,Load!I:I,0,)</f>
        <v>0</v>
      </c>
      <c r="I2072">
        <f>_xlfn.XLOOKUP($A2072,Load!$B:$B,Load!J:J,0,)</f>
        <v>0</v>
      </c>
      <c r="J2072">
        <f>_xlfn.XLOOKUP($A2072,Load!$B:$B,Load!K:K,0,)</f>
        <v>0</v>
      </c>
      <c r="K2072">
        <f>_xlfn.XLOOKUP($A2072,Load!$B:$B,Load!L:L,0,)</f>
        <v>0</v>
      </c>
      <c r="L2072">
        <f>_xlfn.XLOOKUP($A2072,Load!$B:$B,Load!M:M,0,)</f>
        <v>0</v>
      </c>
    </row>
    <row r="2073" spans="1:12" x14ac:dyDescent="0.25">
      <c r="B2073">
        <f>_xlfn.XLOOKUP($A2073,Load!$B:$B,Load!C:C,0,)</f>
        <v>0</v>
      </c>
      <c r="C2073">
        <f>_xlfn.XLOOKUP($A2073,Load!$B:$B,Load!D:D,0,)</f>
        <v>0</v>
      </c>
      <c r="D2073">
        <f>_xlfn.XLOOKUP($A2073,Load!$B:$B,Load!E:E,0,)</f>
        <v>0</v>
      </c>
      <c r="E2073">
        <f>_xlfn.XLOOKUP($A2073,Load!$B:$B,Load!F:F,0,)</f>
        <v>0</v>
      </c>
      <c r="F2073">
        <f>_xlfn.XLOOKUP($A2073,Load!$B:$B,Load!G:G,0,)</f>
        <v>0</v>
      </c>
      <c r="G2073">
        <f>_xlfn.XLOOKUP($A2073,Load!$B:$B,Load!H:H,0,)</f>
        <v>0</v>
      </c>
      <c r="H2073">
        <f>_xlfn.XLOOKUP($A2073,Load!$B:$B,Load!I:I,0,)</f>
        <v>0</v>
      </c>
      <c r="I2073">
        <f>_xlfn.XLOOKUP($A2073,Load!$B:$B,Load!J:J,0,)</f>
        <v>0</v>
      </c>
      <c r="J2073">
        <f>_xlfn.XLOOKUP($A2073,Load!$B:$B,Load!K:K,0,)</f>
        <v>0</v>
      </c>
      <c r="K2073">
        <f>_xlfn.XLOOKUP($A2073,Load!$B:$B,Load!L:L,0,)</f>
        <v>0</v>
      </c>
      <c r="L2073">
        <f>_xlfn.XLOOKUP($A2073,Load!$B:$B,Load!M:M,0,)</f>
        <v>0</v>
      </c>
    </row>
    <row r="2074" spans="1:12" x14ac:dyDescent="0.25">
      <c r="B2074">
        <f>_xlfn.XLOOKUP($A2074,Load!$B:$B,Load!C:C,0,)</f>
        <v>0</v>
      </c>
      <c r="C2074">
        <f>_xlfn.XLOOKUP($A2074,Load!$B:$B,Load!D:D,0,)</f>
        <v>0</v>
      </c>
      <c r="D2074">
        <f>_xlfn.XLOOKUP($A2074,Load!$B:$B,Load!E:E,0,)</f>
        <v>0</v>
      </c>
      <c r="E2074">
        <f>_xlfn.XLOOKUP($A2074,Load!$B:$B,Load!F:F,0,)</f>
        <v>0</v>
      </c>
      <c r="F2074">
        <f>_xlfn.XLOOKUP($A2074,Load!$B:$B,Load!G:G,0,)</f>
        <v>0</v>
      </c>
      <c r="G2074">
        <f>_xlfn.XLOOKUP($A2074,Load!$B:$B,Load!H:H,0,)</f>
        <v>0</v>
      </c>
      <c r="H2074">
        <f>_xlfn.XLOOKUP($A2074,Load!$B:$B,Load!I:I,0,)</f>
        <v>0</v>
      </c>
      <c r="I2074">
        <f>_xlfn.XLOOKUP($A2074,Load!$B:$B,Load!J:J,0,)</f>
        <v>0</v>
      </c>
      <c r="J2074">
        <f>_xlfn.XLOOKUP($A2074,Load!$B:$B,Load!K:K,0,)</f>
        <v>0</v>
      </c>
      <c r="K2074">
        <f>_xlfn.XLOOKUP($A2074,Load!$B:$B,Load!L:L,0,)</f>
        <v>0</v>
      </c>
      <c r="L2074">
        <f>_xlfn.XLOOKUP($A2074,Load!$B:$B,Load!M:M,0,)</f>
        <v>0</v>
      </c>
    </row>
    <row r="2075" spans="1:12" x14ac:dyDescent="0.25">
      <c r="B2075">
        <f>_xlfn.XLOOKUP($A2075,Load!$B:$B,Load!C:C,0,)</f>
        <v>0</v>
      </c>
      <c r="C2075">
        <f>_xlfn.XLOOKUP($A2075,Load!$B:$B,Load!D:D,0,)</f>
        <v>0</v>
      </c>
      <c r="D2075">
        <f>_xlfn.XLOOKUP($A2075,Load!$B:$B,Load!E:E,0,)</f>
        <v>0</v>
      </c>
      <c r="E2075">
        <f>_xlfn.XLOOKUP($A2075,Load!$B:$B,Load!F:F,0,)</f>
        <v>0</v>
      </c>
      <c r="F2075">
        <f>_xlfn.XLOOKUP($A2075,Load!$B:$B,Load!G:G,0,)</f>
        <v>0</v>
      </c>
      <c r="G2075">
        <f>_xlfn.XLOOKUP($A2075,Load!$B:$B,Load!H:H,0,)</f>
        <v>0</v>
      </c>
      <c r="H2075">
        <f>_xlfn.XLOOKUP($A2075,Load!$B:$B,Load!I:I,0,)</f>
        <v>0</v>
      </c>
      <c r="I2075">
        <f>_xlfn.XLOOKUP($A2075,Load!$B:$B,Load!J:J,0,)</f>
        <v>0</v>
      </c>
      <c r="J2075">
        <f>_xlfn.XLOOKUP($A2075,Load!$B:$B,Load!K:K,0,)</f>
        <v>0</v>
      </c>
      <c r="K2075">
        <f>_xlfn.XLOOKUP($A2075,Load!$B:$B,Load!L:L,0,)</f>
        <v>0</v>
      </c>
      <c r="L2075">
        <f>_xlfn.XLOOKUP($A2075,Load!$B:$B,Load!M:M,0,)</f>
        <v>0</v>
      </c>
    </row>
    <row r="2076" spans="1:12" x14ac:dyDescent="0.25">
      <c r="B2076">
        <f>_xlfn.XLOOKUP($A2076,Load!$B:$B,Load!C:C,0,)</f>
        <v>0</v>
      </c>
      <c r="C2076">
        <f>_xlfn.XLOOKUP($A2076,Load!$B:$B,Load!D:D,0,)</f>
        <v>0</v>
      </c>
      <c r="D2076">
        <f>_xlfn.XLOOKUP($A2076,Load!$B:$B,Load!E:E,0,)</f>
        <v>0</v>
      </c>
      <c r="E2076">
        <f>_xlfn.XLOOKUP($A2076,Load!$B:$B,Load!F:F,0,)</f>
        <v>0</v>
      </c>
      <c r="F2076">
        <f>_xlfn.XLOOKUP($A2076,Load!$B:$B,Load!G:G,0,)</f>
        <v>0</v>
      </c>
      <c r="G2076">
        <f>_xlfn.XLOOKUP($A2076,Load!$B:$B,Load!H:H,0,)</f>
        <v>0</v>
      </c>
      <c r="H2076">
        <f>_xlfn.XLOOKUP($A2076,Load!$B:$B,Load!I:I,0,)</f>
        <v>0</v>
      </c>
      <c r="I2076">
        <f>_xlfn.XLOOKUP($A2076,Load!$B:$B,Load!J:J,0,)</f>
        <v>0</v>
      </c>
      <c r="J2076">
        <f>_xlfn.XLOOKUP($A2076,Load!$B:$B,Load!K:K,0,)</f>
        <v>0</v>
      </c>
      <c r="K2076">
        <f>_xlfn.XLOOKUP($A2076,Load!$B:$B,Load!L:L,0,)</f>
        <v>0</v>
      </c>
      <c r="L2076">
        <f>_xlfn.XLOOKUP($A2076,Load!$B:$B,Load!M:M,0,)</f>
        <v>0</v>
      </c>
    </row>
    <row r="2077" spans="1:12" x14ac:dyDescent="0.25">
      <c r="B2077">
        <f>_xlfn.XLOOKUP($A2077,Load!$B:$B,Load!C:C,0,)</f>
        <v>0</v>
      </c>
      <c r="C2077">
        <f>_xlfn.XLOOKUP($A2077,Load!$B:$B,Load!D:D,0,)</f>
        <v>0</v>
      </c>
      <c r="D2077">
        <f>_xlfn.XLOOKUP($A2077,Load!$B:$B,Load!E:E,0,)</f>
        <v>0</v>
      </c>
      <c r="E2077">
        <f>_xlfn.XLOOKUP($A2077,Load!$B:$B,Load!F:F,0,)</f>
        <v>0</v>
      </c>
      <c r="F2077">
        <f>_xlfn.XLOOKUP($A2077,Load!$B:$B,Load!G:G,0,)</f>
        <v>0</v>
      </c>
      <c r="G2077">
        <f>_xlfn.XLOOKUP($A2077,Load!$B:$B,Load!H:H,0,)</f>
        <v>0</v>
      </c>
      <c r="H2077">
        <f>_xlfn.XLOOKUP($A2077,Load!$B:$B,Load!I:I,0,)</f>
        <v>0</v>
      </c>
      <c r="I2077">
        <f>_xlfn.XLOOKUP($A2077,Load!$B:$B,Load!J:J,0,)</f>
        <v>0</v>
      </c>
      <c r="J2077">
        <f>_xlfn.XLOOKUP($A2077,Load!$B:$B,Load!K:K,0,)</f>
        <v>0</v>
      </c>
      <c r="K2077">
        <f>_xlfn.XLOOKUP($A2077,Load!$B:$B,Load!L:L,0,)</f>
        <v>0</v>
      </c>
      <c r="L2077">
        <f>_xlfn.XLOOKUP($A2077,Load!$B:$B,Load!M:M,0,)</f>
        <v>0</v>
      </c>
    </row>
    <row r="2078" spans="1:12" x14ac:dyDescent="0.25">
      <c r="B2078">
        <f>_xlfn.XLOOKUP($A2078,Load!$B:$B,Load!C:C,0,)</f>
        <v>0</v>
      </c>
      <c r="C2078">
        <f>_xlfn.XLOOKUP($A2078,Load!$B:$B,Load!D:D,0,)</f>
        <v>0</v>
      </c>
      <c r="D2078">
        <f>_xlfn.XLOOKUP($A2078,Load!$B:$B,Load!E:E,0,)</f>
        <v>0</v>
      </c>
      <c r="E2078">
        <f>_xlfn.XLOOKUP($A2078,Load!$B:$B,Load!F:F,0,)</f>
        <v>0</v>
      </c>
      <c r="F2078">
        <f>_xlfn.XLOOKUP($A2078,Load!$B:$B,Load!G:G,0,)</f>
        <v>0</v>
      </c>
      <c r="G2078">
        <f>_xlfn.XLOOKUP($A2078,Load!$B:$B,Load!H:H,0,)</f>
        <v>0</v>
      </c>
      <c r="H2078">
        <f>_xlfn.XLOOKUP($A2078,Load!$B:$B,Load!I:I,0,)</f>
        <v>0</v>
      </c>
      <c r="I2078">
        <f>_xlfn.XLOOKUP($A2078,Load!$B:$B,Load!J:J,0,)</f>
        <v>0</v>
      </c>
      <c r="J2078">
        <f>_xlfn.XLOOKUP($A2078,Load!$B:$B,Load!K:K,0,)</f>
        <v>0</v>
      </c>
      <c r="K2078">
        <f>_xlfn.XLOOKUP($A2078,Load!$B:$B,Load!L:L,0,)</f>
        <v>0</v>
      </c>
      <c r="L2078">
        <f>_xlfn.XLOOKUP($A2078,Load!$B:$B,Load!M:M,0,)</f>
        <v>0</v>
      </c>
    </row>
    <row r="2079" spans="1:12" x14ac:dyDescent="0.25">
      <c r="B2079">
        <f>_xlfn.XLOOKUP($A2079,Load!$B:$B,Load!C:C,0,)</f>
        <v>0</v>
      </c>
      <c r="C2079">
        <f>_xlfn.XLOOKUP($A2079,Load!$B:$B,Load!D:D,0,)</f>
        <v>0</v>
      </c>
      <c r="D2079">
        <f>_xlfn.XLOOKUP($A2079,Load!$B:$B,Load!E:E,0,)</f>
        <v>0</v>
      </c>
      <c r="E2079">
        <f>_xlfn.XLOOKUP($A2079,Load!$B:$B,Load!F:F,0,)</f>
        <v>0</v>
      </c>
      <c r="F2079">
        <f>_xlfn.XLOOKUP($A2079,Load!$B:$B,Load!G:G,0,)</f>
        <v>0</v>
      </c>
      <c r="G2079">
        <f>_xlfn.XLOOKUP($A2079,Load!$B:$B,Load!H:H,0,)</f>
        <v>0</v>
      </c>
      <c r="H2079">
        <f>_xlfn.XLOOKUP($A2079,Load!$B:$B,Load!I:I,0,)</f>
        <v>0</v>
      </c>
      <c r="I2079">
        <f>_xlfn.XLOOKUP($A2079,Load!$B:$B,Load!J:J,0,)</f>
        <v>0</v>
      </c>
      <c r="J2079">
        <f>_xlfn.XLOOKUP($A2079,Load!$B:$B,Load!K:K,0,)</f>
        <v>0</v>
      </c>
      <c r="K2079">
        <f>_xlfn.XLOOKUP($A2079,Load!$B:$B,Load!L:L,0,)</f>
        <v>0</v>
      </c>
      <c r="L2079">
        <f>_xlfn.XLOOKUP($A2079,Load!$B:$B,Load!M:M,0,)</f>
        <v>0</v>
      </c>
    </row>
    <row r="2080" spans="1:12" x14ac:dyDescent="0.25">
      <c r="A2080" t="s">
        <v>175</v>
      </c>
      <c r="B2080" t="str">
        <f>_xlfn.XLOOKUP($A2080,Load!$B:$B,Load!C:C,0,)</f>
        <v>Mars Variety Pack</v>
      </c>
      <c r="C2080" t="str">
        <f>_xlfn.XLOOKUP($A2080,Load!$B:$B,Load!D:D,0,)</f>
        <v>Mix of Chocolate and Non-Chocolate Candy</v>
      </c>
      <c r="D2080" t="str">
        <f>_xlfn.XLOOKUP($A2080,Load!$B:$B,Load!E:E,0,)</f>
        <v>Variety / Mixed Flavors (Fruity, Sour, Seasonal Flavors)</v>
      </c>
      <c r="E2080" t="str">
        <f>_xlfn.XLOOKUP($A2080,Load!$B:$B,Load!F:F,0,)</f>
        <v>Mixed / Combo Packs (Gummy, Chewy, Taffy, etc.)</v>
      </c>
      <c r="F2080" t="str">
        <f>_xlfn.XLOOKUP($A2080,Load!$B:$B,Load!G:G,0,)</f>
        <v>Large Multipack (More than 80 ct)</v>
      </c>
      <c r="G2080" t="str">
        <f>_xlfn.XLOOKUP($A2080,Load!$B:$B,Load!H:H,0,)</f>
        <v>Stand-Up Bag</v>
      </c>
      <c r="H2080" t="str">
        <f>_xlfn.XLOOKUP($A2080,Load!$B:$B,Load!I:I,0,)</f>
        <v>Everyday Candy Shapes (like Original, Gummy bear, Fruit, Jewels, etc.)</v>
      </c>
      <c r="I2080" t="str">
        <f>_xlfn.XLOOKUP($A2080,Load!$B:$B,Load!J:J,0,)</f>
        <v>Seasonal Graphics (Like Bat, Ghost, Pumpkin, Fall Leaves, Eyeballs, etc.)</v>
      </c>
      <c r="J2080" t="str">
        <f>_xlfn.XLOOKUP($A2080,Load!$B:$B,Load!K:K,0,)</f>
        <v xml:space="preserve">Variety Candy Sizes </v>
      </c>
      <c r="K2080" t="str">
        <f>_xlfn.XLOOKUP($A2080,Load!$B:$B,Load!L:L,0,)</f>
        <v>Regular/Original Wrapping</v>
      </c>
      <c r="L2080" t="str">
        <f>_xlfn.XLOOKUP($A2080,Load!$B:$B,Load!M:M,0,)</f>
        <v>Multiple Brands / Variety Flavors or Form</v>
      </c>
    </row>
    <row r="2081" spans="1:12" x14ac:dyDescent="0.25">
      <c r="A2081" t="s">
        <v>173</v>
      </c>
      <c r="B2081" t="str">
        <f>_xlfn.XLOOKUP($A2081,Load!$B:$B,Load!C:C,0,)</f>
        <v>Mars Variety Pack</v>
      </c>
      <c r="C2081" t="str">
        <f>_xlfn.XLOOKUP($A2081,Load!$B:$B,Load!D:D,0,)</f>
        <v>Mix of Chocolate and Non-Chocolate Candy</v>
      </c>
      <c r="D2081" t="str">
        <f>_xlfn.XLOOKUP($A2081,Load!$B:$B,Load!E:E,0,)</f>
        <v>Variety / Mixed Flavors (Fruity, Sour, Seasonal Flavors)</v>
      </c>
      <c r="E2081" t="str">
        <f>_xlfn.XLOOKUP($A2081,Load!$B:$B,Load!F:F,0,)</f>
        <v>Mixed / Combo Packs (Gummy, Chewy, Taffy, etc.)</v>
      </c>
      <c r="F2081" t="str">
        <f>_xlfn.XLOOKUP($A2081,Load!$B:$B,Load!G:G,0,)</f>
        <v>Large Multipack (More than 80 ct)</v>
      </c>
      <c r="G2081" t="str">
        <f>_xlfn.XLOOKUP($A2081,Load!$B:$B,Load!H:H,0,)</f>
        <v>Stand-Up Bag</v>
      </c>
      <c r="H2081" t="str">
        <f>_xlfn.XLOOKUP($A2081,Load!$B:$B,Load!I:I,0,)</f>
        <v>Everyday Candy Shapes (like Original, Gummy bear, Fruit, Jewels, etc.)</v>
      </c>
      <c r="I2081" t="str">
        <f>_xlfn.XLOOKUP($A2081,Load!$B:$B,Load!J:J,0,)</f>
        <v>Seasonal Graphics (Like Bat, Ghost, Pumpkin, Fall Leaves, Eyeballs, etc.)</v>
      </c>
      <c r="J2081" t="str">
        <f>_xlfn.XLOOKUP($A2081,Load!$B:$B,Load!K:K,0,)</f>
        <v>Fun Size / Treat Size</v>
      </c>
      <c r="K2081" t="str">
        <f>_xlfn.XLOOKUP($A2081,Load!$B:$B,Load!L:L,0,)</f>
        <v>Regular/Original Wrapping</v>
      </c>
      <c r="L2081" t="str">
        <f>_xlfn.XLOOKUP($A2081,Load!$B:$B,Load!M:M,0,)</f>
        <v>Multiple Brands / Variety Flavors or Form</v>
      </c>
    </row>
    <row r="2082" spans="1:12" x14ac:dyDescent="0.25">
      <c r="B2082">
        <f>_xlfn.XLOOKUP($A2082,Load!$B:$B,Load!C:C,0,)</f>
        <v>0</v>
      </c>
      <c r="C2082">
        <f>_xlfn.XLOOKUP($A2082,Load!$B:$B,Load!D:D,0,)</f>
        <v>0</v>
      </c>
      <c r="D2082">
        <f>_xlfn.XLOOKUP($A2082,Load!$B:$B,Load!E:E,0,)</f>
        <v>0</v>
      </c>
      <c r="E2082">
        <f>_xlfn.XLOOKUP($A2082,Load!$B:$B,Load!F:F,0,)</f>
        <v>0</v>
      </c>
      <c r="F2082">
        <f>_xlfn.XLOOKUP($A2082,Load!$B:$B,Load!G:G,0,)</f>
        <v>0</v>
      </c>
      <c r="G2082">
        <f>_xlfn.XLOOKUP($A2082,Load!$B:$B,Load!H:H,0,)</f>
        <v>0</v>
      </c>
      <c r="H2082">
        <f>_xlfn.XLOOKUP($A2082,Load!$B:$B,Load!I:I,0,)</f>
        <v>0</v>
      </c>
      <c r="I2082">
        <f>_xlfn.XLOOKUP($A2082,Load!$B:$B,Load!J:J,0,)</f>
        <v>0</v>
      </c>
      <c r="J2082">
        <f>_xlfn.XLOOKUP($A2082,Load!$B:$B,Load!K:K,0,)</f>
        <v>0</v>
      </c>
      <c r="K2082">
        <f>_xlfn.XLOOKUP($A2082,Load!$B:$B,Load!L:L,0,)</f>
        <v>0</v>
      </c>
      <c r="L2082">
        <f>_xlfn.XLOOKUP($A2082,Load!$B:$B,Load!M:M,0,)</f>
        <v>0</v>
      </c>
    </row>
    <row r="2083" spans="1:12" x14ac:dyDescent="0.25">
      <c r="B2083">
        <f>_xlfn.XLOOKUP($A2083,Load!$B:$B,Load!C:C,0,)</f>
        <v>0</v>
      </c>
      <c r="C2083">
        <f>_xlfn.XLOOKUP($A2083,Load!$B:$B,Load!D:D,0,)</f>
        <v>0</v>
      </c>
      <c r="D2083">
        <f>_xlfn.XLOOKUP($A2083,Load!$B:$B,Load!E:E,0,)</f>
        <v>0</v>
      </c>
      <c r="E2083">
        <f>_xlfn.XLOOKUP($A2083,Load!$B:$B,Load!F:F,0,)</f>
        <v>0</v>
      </c>
      <c r="F2083">
        <f>_xlfn.XLOOKUP($A2083,Load!$B:$B,Load!G:G,0,)</f>
        <v>0</v>
      </c>
      <c r="G2083">
        <f>_xlfn.XLOOKUP($A2083,Load!$B:$B,Load!H:H,0,)</f>
        <v>0</v>
      </c>
      <c r="H2083">
        <f>_xlfn.XLOOKUP($A2083,Load!$B:$B,Load!I:I,0,)</f>
        <v>0</v>
      </c>
      <c r="I2083">
        <f>_xlfn.XLOOKUP($A2083,Load!$B:$B,Load!J:J,0,)</f>
        <v>0</v>
      </c>
      <c r="J2083">
        <f>_xlfn.XLOOKUP($A2083,Load!$B:$B,Load!K:K,0,)</f>
        <v>0</v>
      </c>
      <c r="K2083">
        <f>_xlfn.XLOOKUP($A2083,Load!$B:$B,Load!L:L,0,)</f>
        <v>0</v>
      </c>
      <c r="L2083">
        <f>_xlfn.XLOOKUP($A2083,Load!$B:$B,Load!M:M,0,)</f>
        <v>0</v>
      </c>
    </row>
    <row r="2084" spans="1:12" x14ac:dyDescent="0.25">
      <c r="B2084">
        <f>_xlfn.XLOOKUP($A2084,Load!$B:$B,Load!C:C,0,)</f>
        <v>0</v>
      </c>
      <c r="C2084">
        <f>_xlfn.XLOOKUP($A2084,Load!$B:$B,Load!D:D,0,)</f>
        <v>0</v>
      </c>
      <c r="D2084">
        <f>_xlfn.XLOOKUP($A2084,Load!$B:$B,Load!E:E,0,)</f>
        <v>0</v>
      </c>
      <c r="E2084">
        <f>_xlfn.XLOOKUP($A2084,Load!$B:$B,Load!F:F,0,)</f>
        <v>0</v>
      </c>
      <c r="F2084">
        <f>_xlfn.XLOOKUP($A2084,Load!$B:$B,Load!G:G,0,)</f>
        <v>0</v>
      </c>
      <c r="G2084">
        <f>_xlfn.XLOOKUP($A2084,Load!$B:$B,Load!H:H,0,)</f>
        <v>0</v>
      </c>
      <c r="H2084">
        <f>_xlfn.XLOOKUP($A2084,Load!$B:$B,Load!I:I,0,)</f>
        <v>0</v>
      </c>
      <c r="I2084">
        <f>_xlfn.XLOOKUP($A2084,Load!$B:$B,Load!J:J,0,)</f>
        <v>0</v>
      </c>
      <c r="J2084">
        <f>_xlfn.XLOOKUP($A2084,Load!$B:$B,Load!K:K,0,)</f>
        <v>0</v>
      </c>
      <c r="K2084">
        <f>_xlfn.XLOOKUP($A2084,Load!$B:$B,Load!L:L,0,)</f>
        <v>0</v>
      </c>
      <c r="L2084">
        <f>_xlfn.XLOOKUP($A2084,Load!$B:$B,Load!M:M,0,)</f>
        <v>0</v>
      </c>
    </row>
    <row r="2085" spans="1:12" x14ac:dyDescent="0.25">
      <c r="B2085">
        <f>_xlfn.XLOOKUP($A2085,Load!$B:$B,Load!C:C,0,)</f>
        <v>0</v>
      </c>
      <c r="C2085">
        <f>_xlfn.XLOOKUP($A2085,Load!$B:$B,Load!D:D,0,)</f>
        <v>0</v>
      </c>
      <c r="D2085">
        <f>_xlfn.XLOOKUP($A2085,Load!$B:$B,Load!E:E,0,)</f>
        <v>0</v>
      </c>
      <c r="E2085">
        <f>_xlfn.XLOOKUP($A2085,Load!$B:$B,Load!F:F,0,)</f>
        <v>0</v>
      </c>
      <c r="F2085">
        <f>_xlfn.XLOOKUP($A2085,Load!$B:$B,Load!G:G,0,)</f>
        <v>0</v>
      </c>
      <c r="G2085">
        <f>_xlfn.XLOOKUP($A2085,Load!$B:$B,Load!H:H,0,)</f>
        <v>0</v>
      </c>
      <c r="H2085">
        <f>_xlfn.XLOOKUP($A2085,Load!$B:$B,Load!I:I,0,)</f>
        <v>0</v>
      </c>
      <c r="I2085">
        <f>_xlfn.XLOOKUP($A2085,Load!$B:$B,Load!J:J,0,)</f>
        <v>0</v>
      </c>
      <c r="J2085">
        <f>_xlfn.XLOOKUP($A2085,Load!$B:$B,Load!K:K,0,)</f>
        <v>0</v>
      </c>
      <c r="K2085">
        <f>_xlfn.XLOOKUP($A2085,Load!$B:$B,Load!L:L,0,)</f>
        <v>0</v>
      </c>
      <c r="L2085">
        <f>_xlfn.XLOOKUP($A2085,Load!$B:$B,Load!M:M,0,)</f>
        <v>0</v>
      </c>
    </row>
    <row r="2086" spans="1:12" x14ac:dyDescent="0.25">
      <c r="A2086" t="s">
        <v>57</v>
      </c>
      <c r="B2086" t="str">
        <f>_xlfn.XLOOKUP($A2086,Load!$B:$B,Load!C:C,0,)</f>
        <v>Brach's</v>
      </c>
      <c r="C2086" t="str">
        <f>_xlfn.XLOOKUP($A2086,Load!$B:$B,Load!D:D,0,)</f>
        <v>Non-Chocolate Candy Only</v>
      </c>
      <c r="D2086" t="str">
        <f>_xlfn.XLOOKUP($A2086,Load!$B:$B,Load!E:E,0,)</f>
        <v>Fall / Seasonal Flavors (pumpkin spice, caramel apple, candy corn)</v>
      </c>
      <c r="E2086" t="str">
        <f>_xlfn.XLOOKUP($A2086,Load!$B:$B,Load!F:F,0,)</f>
        <v>Candy Pieces / Bites</v>
      </c>
      <c r="F2086" t="str">
        <f>_xlfn.XLOOKUP($A2086,Load!$B:$B,Load!G:G,0,)</f>
        <v>Medium Multipack (40–80 ct)</v>
      </c>
      <c r="G2086" t="str">
        <f>_xlfn.XLOOKUP($A2086,Load!$B:$B,Load!H:H,0,)</f>
        <v>Laydown Bag</v>
      </c>
      <c r="H2086" t="str">
        <f>_xlfn.XLOOKUP($A2086,Load!$B:$B,Load!I:I,0,)</f>
        <v>Seasonal Shapes (like pumpkins, candy corn, ghost, bats, etc.)</v>
      </c>
      <c r="I2086" t="str">
        <f>_xlfn.XLOOKUP($A2086,Load!$B:$B,Load!J:J,0,)</f>
        <v>Seasonal Graphics (Like Bat, Ghost, Pumpkin, Fall Leaves, Eyeballs, etc.)</v>
      </c>
      <c r="J2086" t="str">
        <f>_xlfn.XLOOKUP($A2086,Load!$B:$B,Load!K:K,0,)</f>
        <v>Small Pieces (Tiny bite size candies)</v>
      </c>
      <c r="K2086" t="str">
        <f>_xlfn.XLOOKUP($A2086,Load!$B:$B,Load!L:L,0,)</f>
        <v>Unwrapped</v>
      </c>
      <c r="L2086" t="str">
        <f>_xlfn.XLOOKUP($A2086,Load!$B:$B,Load!M:M,0,)</f>
        <v>Single Brand / Single Flavor or Form</v>
      </c>
    </row>
    <row r="2087" spans="1:12" x14ac:dyDescent="0.25">
      <c r="B2087">
        <f>_xlfn.XLOOKUP($A2087,Load!$B:$B,Load!C:C,0,)</f>
        <v>0</v>
      </c>
      <c r="C2087">
        <f>_xlfn.XLOOKUP($A2087,Load!$B:$B,Load!D:D,0,)</f>
        <v>0</v>
      </c>
      <c r="D2087">
        <f>_xlfn.XLOOKUP($A2087,Load!$B:$B,Load!E:E,0,)</f>
        <v>0</v>
      </c>
      <c r="E2087">
        <f>_xlfn.XLOOKUP($A2087,Load!$B:$B,Load!F:F,0,)</f>
        <v>0</v>
      </c>
      <c r="F2087">
        <f>_xlfn.XLOOKUP($A2087,Load!$B:$B,Load!G:G,0,)</f>
        <v>0</v>
      </c>
      <c r="G2087">
        <f>_xlfn.XLOOKUP($A2087,Load!$B:$B,Load!H:H,0,)</f>
        <v>0</v>
      </c>
      <c r="H2087">
        <f>_xlfn.XLOOKUP($A2087,Load!$B:$B,Load!I:I,0,)</f>
        <v>0</v>
      </c>
      <c r="I2087">
        <f>_xlfn.XLOOKUP($A2087,Load!$B:$B,Load!J:J,0,)</f>
        <v>0</v>
      </c>
      <c r="J2087">
        <f>_xlfn.XLOOKUP($A2087,Load!$B:$B,Load!K:K,0,)</f>
        <v>0</v>
      </c>
      <c r="K2087">
        <f>_xlfn.XLOOKUP($A2087,Load!$B:$B,Load!L:L,0,)</f>
        <v>0</v>
      </c>
      <c r="L2087">
        <f>_xlfn.XLOOKUP($A2087,Load!$B:$B,Load!M:M,0,)</f>
        <v>0</v>
      </c>
    </row>
    <row r="2088" spans="1:12" x14ac:dyDescent="0.25">
      <c r="B2088">
        <f>_xlfn.XLOOKUP($A2088,Load!$B:$B,Load!C:C,0,)</f>
        <v>0</v>
      </c>
      <c r="C2088">
        <f>_xlfn.XLOOKUP($A2088,Load!$B:$B,Load!D:D,0,)</f>
        <v>0</v>
      </c>
      <c r="D2088">
        <f>_xlfn.XLOOKUP($A2088,Load!$B:$B,Load!E:E,0,)</f>
        <v>0</v>
      </c>
      <c r="E2088">
        <f>_xlfn.XLOOKUP($A2088,Load!$B:$B,Load!F:F,0,)</f>
        <v>0</v>
      </c>
      <c r="F2088">
        <f>_xlfn.XLOOKUP($A2088,Load!$B:$B,Load!G:G,0,)</f>
        <v>0</v>
      </c>
      <c r="G2088">
        <f>_xlfn.XLOOKUP($A2088,Load!$B:$B,Load!H:H,0,)</f>
        <v>0</v>
      </c>
      <c r="H2088">
        <f>_xlfn.XLOOKUP($A2088,Load!$B:$B,Load!I:I,0,)</f>
        <v>0</v>
      </c>
      <c r="I2088">
        <f>_xlfn.XLOOKUP($A2088,Load!$B:$B,Load!J:J,0,)</f>
        <v>0</v>
      </c>
      <c r="J2088">
        <f>_xlfn.XLOOKUP($A2088,Load!$B:$B,Load!K:K,0,)</f>
        <v>0</v>
      </c>
      <c r="K2088">
        <f>_xlfn.XLOOKUP($A2088,Load!$B:$B,Load!L:L,0,)</f>
        <v>0</v>
      </c>
      <c r="L2088">
        <f>_xlfn.XLOOKUP($A2088,Load!$B:$B,Load!M:M,0,)</f>
        <v>0</v>
      </c>
    </row>
    <row r="2089" spans="1:12" x14ac:dyDescent="0.25">
      <c r="B2089">
        <f>_xlfn.XLOOKUP($A2089,Load!$B:$B,Load!C:C,0,)</f>
        <v>0</v>
      </c>
      <c r="C2089">
        <f>_xlfn.XLOOKUP($A2089,Load!$B:$B,Load!D:D,0,)</f>
        <v>0</v>
      </c>
      <c r="D2089">
        <f>_xlfn.XLOOKUP($A2089,Load!$B:$B,Load!E:E,0,)</f>
        <v>0</v>
      </c>
      <c r="E2089">
        <f>_xlfn.XLOOKUP($A2089,Load!$B:$B,Load!F:F,0,)</f>
        <v>0</v>
      </c>
      <c r="F2089">
        <f>_xlfn.XLOOKUP($A2089,Load!$B:$B,Load!G:G,0,)</f>
        <v>0</v>
      </c>
      <c r="G2089">
        <f>_xlfn.XLOOKUP($A2089,Load!$B:$B,Load!H:H,0,)</f>
        <v>0</v>
      </c>
      <c r="H2089">
        <f>_xlfn.XLOOKUP($A2089,Load!$B:$B,Load!I:I,0,)</f>
        <v>0</v>
      </c>
      <c r="I2089">
        <f>_xlfn.XLOOKUP($A2089,Load!$B:$B,Load!J:J,0,)</f>
        <v>0</v>
      </c>
      <c r="J2089">
        <f>_xlfn.XLOOKUP($A2089,Load!$B:$B,Load!K:K,0,)</f>
        <v>0</v>
      </c>
      <c r="K2089">
        <f>_xlfn.XLOOKUP($A2089,Load!$B:$B,Load!L:L,0,)</f>
        <v>0</v>
      </c>
      <c r="L2089">
        <f>_xlfn.XLOOKUP($A2089,Load!$B:$B,Load!M:M,0,)</f>
        <v>0</v>
      </c>
    </row>
    <row r="2090" spans="1:12" x14ac:dyDescent="0.25">
      <c r="A2090" t="s">
        <v>70</v>
      </c>
      <c r="B2090" t="str">
        <f>_xlfn.XLOOKUP($A2090,Load!$B:$B,Load!C:C,0,)</f>
        <v>Dum Dums</v>
      </c>
      <c r="C2090" t="str">
        <f>_xlfn.XLOOKUP($A2090,Load!$B:$B,Load!D:D,0,)</f>
        <v>Non-Chocolate Candy Only</v>
      </c>
      <c r="D2090" t="str">
        <f>_xlfn.XLOOKUP($A2090,Load!$B:$B,Load!E:E,0,)</f>
        <v>Fall / Seasonal Flavors (pumpkin spice, caramel apple, candy corn)</v>
      </c>
      <c r="E2090" t="str">
        <f>_xlfn.XLOOKUP($A2090,Load!$B:$B,Load!F:F,0,)</f>
        <v>Lollipop (regular or lollipop rings)</v>
      </c>
      <c r="F2090" t="str">
        <f>_xlfn.XLOOKUP($A2090,Load!$B:$B,Load!G:G,0,)</f>
        <v>Single Pack</v>
      </c>
      <c r="G2090" t="str">
        <f>_xlfn.XLOOKUP($A2090,Load!$B:$B,Load!H:H,0,)</f>
        <v>Laydown Bag</v>
      </c>
      <c r="H2090" t="str">
        <f>_xlfn.XLOOKUP($A2090,Load!$B:$B,Load!I:I,0,)</f>
        <v>Everyday Candy Shapes (like Original, Gummy bear, Fruit, Jewels, etc.)</v>
      </c>
      <c r="I2090" t="str">
        <f>_xlfn.XLOOKUP($A2090,Load!$B:$B,Load!J:J,0,)</f>
        <v>Seasonal Graphics (Like Bat, Ghost, Pumpkin, Fall Leaves, Eyeballs, etc.)</v>
      </c>
      <c r="J2090" t="str">
        <f>_xlfn.XLOOKUP($A2090,Load!$B:$B,Load!K:K,0,)</f>
        <v>Regular Lollipop size (on sticks or rings)</v>
      </c>
      <c r="K2090" t="str">
        <f>_xlfn.XLOOKUP($A2090,Load!$B:$B,Load!L:L,0,)</f>
        <v>Regular/Original Wrapping</v>
      </c>
      <c r="L2090" t="str">
        <f>_xlfn.XLOOKUP($A2090,Load!$B:$B,Load!M:M,0,)</f>
        <v>Single Brand / Variety Flavors or Form</v>
      </c>
    </row>
    <row r="2091" spans="1:12" x14ac:dyDescent="0.25">
      <c r="A2091" t="s">
        <v>72</v>
      </c>
      <c r="B2091" t="str">
        <f>_xlfn.XLOOKUP($A2091,Load!$B:$B,Load!C:C,0,)</f>
        <v>Dum Dums</v>
      </c>
      <c r="C2091" t="str">
        <f>_xlfn.XLOOKUP($A2091,Load!$B:$B,Load!D:D,0,)</f>
        <v>Non-Chocolate Candy Only</v>
      </c>
      <c r="D2091" t="str">
        <f>_xlfn.XLOOKUP($A2091,Load!$B:$B,Load!E:E,0,)</f>
        <v>Variety / Mixed Flavors (Fruity, Sour, Seasonal Flavors)</v>
      </c>
      <c r="E2091" t="str">
        <f>_xlfn.XLOOKUP($A2091,Load!$B:$B,Load!F:F,0,)</f>
        <v>Lollipop (regular or lollipop rings)</v>
      </c>
      <c r="F2091" t="str">
        <f>_xlfn.XLOOKUP($A2091,Load!$B:$B,Load!G:G,0,)</f>
        <v>Single Pack</v>
      </c>
      <c r="G2091" t="str">
        <f>_xlfn.XLOOKUP($A2091,Load!$B:$B,Load!H:H,0,)</f>
        <v>Laydown Bag</v>
      </c>
      <c r="H2091" t="str">
        <f>_xlfn.XLOOKUP($A2091,Load!$B:$B,Load!I:I,0,)</f>
        <v>Everyday Candy Shapes (like Original, Gummy bear, Fruit, Jewels, etc.)</v>
      </c>
      <c r="I2091" t="str">
        <f>_xlfn.XLOOKUP($A2091,Load!$B:$B,Load!J:J,0,)</f>
        <v>Seasonal Graphics (Like Bat, Ghost, Pumpkin, Fall Leaves, Eyeballs, etc.)</v>
      </c>
      <c r="J2091" t="str">
        <f>_xlfn.XLOOKUP($A2091,Load!$B:$B,Load!K:K,0,)</f>
        <v>Regular Lollipop size (on sticks or rings)</v>
      </c>
      <c r="K2091" t="str">
        <f>_xlfn.XLOOKUP($A2091,Load!$B:$B,Load!L:L,0,)</f>
        <v>Regular/Original Wrapping</v>
      </c>
      <c r="L2091" t="str">
        <f>_xlfn.XLOOKUP($A2091,Load!$B:$B,Load!M:M,0,)</f>
        <v>Single Brand / Variety Flavors or Form</v>
      </c>
    </row>
    <row r="2092" spans="1:12" x14ac:dyDescent="0.25">
      <c r="B2092">
        <f>_xlfn.XLOOKUP($A2092,Load!$B:$B,Load!C:C,0,)</f>
        <v>0</v>
      </c>
      <c r="C2092">
        <f>_xlfn.XLOOKUP($A2092,Load!$B:$B,Load!D:D,0,)</f>
        <v>0</v>
      </c>
      <c r="D2092">
        <f>_xlfn.XLOOKUP($A2092,Load!$B:$B,Load!E:E,0,)</f>
        <v>0</v>
      </c>
      <c r="E2092">
        <f>_xlfn.XLOOKUP($A2092,Load!$B:$B,Load!F:F,0,)</f>
        <v>0</v>
      </c>
      <c r="F2092">
        <f>_xlfn.XLOOKUP($A2092,Load!$B:$B,Load!G:G,0,)</f>
        <v>0</v>
      </c>
      <c r="G2092">
        <f>_xlfn.XLOOKUP($A2092,Load!$B:$B,Load!H:H,0,)</f>
        <v>0</v>
      </c>
      <c r="H2092">
        <f>_xlfn.XLOOKUP($A2092,Load!$B:$B,Load!I:I,0,)</f>
        <v>0</v>
      </c>
      <c r="I2092">
        <f>_xlfn.XLOOKUP($A2092,Load!$B:$B,Load!J:J,0,)</f>
        <v>0</v>
      </c>
      <c r="J2092">
        <f>_xlfn.XLOOKUP($A2092,Load!$B:$B,Load!K:K,0,)</f>
        <v>0</v>
      </c>
      <c r="K2092">
        <f>_xlfn.XLOOKUP($A2092,Load!$B:$B,Load!L:L,0,)</f>
        <v>0</v>
      </c>
      <c r="L2092">
        <f>_xlfn.XLOOKUP($A2092,Load!$B:$B,Load!M:M,0,)</f>
        <v>0</v>
      </c>
    </row>
    <row r="2093" spans="1:12" x14ac:dyDescent="0.25">
      <c r="B2093">
        <f>_xlfn.XLOOKUP($A2093,Load!$B:$B,Load!C:C,0,)</f>
        <v>0</v>
      </c>
      <c r="C2093">
        <f>_xlfn.XLOOKUP($A2093,Load!$B:$B,Load!D:D,0,)</f>
        <v>0</v>
      </c>
      <c r="D2093">
        <f>_xlfn.XLOOKUP($A2093,Load!$B:$B,Load!E:E,0,)</f>
        <v>0</v>
      </c>
      <c r="E2093">
        <f>_xlfn.XLOOKUP($A2093,Load!$B:$B,Load!F:F,0,)</f>
        <v>0</v>
      </c>
      <c r="F2093">
        <f>_xlfn.XLOOKUP($A2093,Load!$B:$B,Load!G:G,0,)</f>
        <v>0</v>
      </c>
      <c r="G2093">
        <f>_xlfn.XLOOKUP($A2093,Load!$B:$B,Load!H:H,0,)</f>
        <v>0</v>
      </c>
      <c r="H2093">
        <f>_xlfn.XLOOKUP($A2093,Load!$B:$B,Load!I:I,0,)</f>
        <v>0</v>
      </c>
      <c r="I2093">
        <f>_xlfn.XLOOKUP($A2093,Load!$B:$B,Load!J:J,0,)</f>
        <v>0</v>
      </c>
      <c r="J2093">
        <f>_xlfn.XLOOKUP($A2093,Load!$B:$B,Load!K:K,0,)</f>
        <v>0</v>
      </c>
      <c r="K2093">
        <f>_xlfn.XLOOKUP($A2093,Load!$B:$B,Load!L:L,0,)</f>
        <v>0</v>
      </c>
      <c r="L2093">
        <f>_xlfn.XLOOKUP($A2093,Load!$B:$B,Load!M:M,0,)</f>
        <v>0</v>
      </c>
    </row>
    <row r="2094" spans="1:12" x14ac:dyDescent="0.25">
      <c r="A2094" t="s">
        <v>107</v>
      </c>
      <c r="B2094" t="str">
        <f>_xlfn.XLOOKUP($A2094,Load!$B:$B,Load!C:C,0,)</f>
        <v>Frankford</v>
      </c>
      <c r="C2094" t="str">
        <f>_xlfn.XLOOKUP($A2094,Load!$B:$B,Load!D:D,0,)</f>
        <v>Non-Chocolate Candy Only</v>
      </c>
      <c r="D2094" t="str">
        <f>_xlfn.XLOOKUP($A2094,Load!$B:$B,Load!E:E,0,)</f>
        <v>Variety / Mixed Flavors (Fruity, Sour, Seasonal Flavors)</v>
      </c>
      <c r="E2094" t="str">
        <f>_xlfn.XLOOKUP($A2094,Load!$B:$B,Load!F:F,0,)</f>
        <v>Mixed / Combo Packs (Gummy, Chewy, Taffy, etc.)</v>
      </c>
      <c r="F2094" t="str">
        <f>_xlfn.XLOOKUP($A2094,Load!$B:$B,Load!G:G,0,)</f>
        <v>Large Multipack (More than 80 ct)</v>
      </c>
      <c r="G2094" t="str">
        <f>_xlfn.XLOOKUP($A2094,Load!$B:$B,Load!H:H,0,)</f>
        <v>Laydown Bag</v>
      </c>
      <c r="H2094" t="str">
        <f>_xlfn.XLOOKUP($A2094,Load!$B:$B,Load!I:I,0,)</f>
        <v>Everyday Candy Shapes (like Original, Gummy bear, Fruit, Jewels, etc.)</v>
      </c>
      <c r="I2094" t="str">
        <f>_xlfn.XLOOKUP($A2094,Load!$B:$B,Load!J:J,0,)</f>
        <v>Seasonal Graphics (Like Bat, Ghost, Pumpkin, Fall Leaves, Eyeballs, etc.)</v>
      </c>
      <c r="J2094" t="str">
        <f>_xlfn.XLOOKUP($A2094,Load!$B:$B,Load!K:K,0,)</f>
        <v xml:space="preserve">Variety Candy Sizes </v>
      </c>
      <c r="K2094" t="str">
        <f>_xlfn.XLOOKUP($A2094,Load!$B:$B,Load!L:L,0,)</f>
        <v>Regular/Original Wrapping</v>
      </c>
      <c r="L2094" t="str">
        <f>_xlfn.XLOOKUP($A2094,Load!$B:$B,Load!M:M,0,)</f>
        <v>Multiple Brands / Variety Flavors or Form</v>
      </c>
    </row>
    <row r="2095" spans="1:12" x14ac:dyDescent="0.25">
      <c r="B2095">
        <f>_xlfn.XLOOKUP($A2095,Load!$B:$B,Load!C:C,0,)</f>
        <v>0</v>
      </c>
      <c r="C2095">
        <f>_xlfn.XLOOKUP($A2095,Load!$B:$B,Load!D:D,0,)</f>
        <v>0</v>
      </c>
      <c r="D2095">
        <f>_xlfn.XLOOKUP($A2095,Load!$B:$B,Load!E:E,0,)</f>
        <v>0</v>
      </c>
      <c r="E2095">
        <f>_xlfn.XLOOKUP($A2095,Load!$B:$B,Load!F:F,0,)</f>
        <v>0</v>
      </c>
      <c r="F2095">
        <f>_xlfn.XLOOKUP($A2095,Load!$B:$B,Load!G:G,0,)</f>
        <v>0</v>
      </c>
      <c r="G2095">
        <f>_xlfn.XLOOKUP($A2095,Load!$B:$B,Load!H:H,0,)</f>
        <v>0</v>
      </c>
      <c r="H2095">
        <f>_xlfn.XLOOKUP($A2095,Load!$B:$B,Load!I:I,0,)</f>
        <v>0</v>
      </c>
      <c r="I2095">
        <f>_xlfn.XLOOKUP($A2095,Load!$B:$B,Load!J:J,0,)</f>
        <v>0</v>
      </c>
      <c r="J2095">
        <f>_xlfn.XLOOKUP($A2095,Load!$B:$B,Load!K:K,0,)</f>
        <v>0</v>
      </c>
      <c r="K2095">
        <f>_xlfn.XLOOKUP($A2095,Load!$B:$B,Load!L:L,0,)</f>
        <v>0</v>
      </c>
      <c r="L2095">
        <f>_xlfn.XLOOKUP($A2095,Load!$B:$B,Load!M:M,0,)</f>
        <v>0</v>
      </c>
    </row>
    <row r="2096" spans="1:12" x14ac:dyDescent="0.25">
      <c r="B2096">
        <f>_xlfn.XLOOKUP($A2096,Load!$B:$B,Load!C:C,0,)</f>
        <v>0</v>
      </c>
      <c r="C2096">
        <f>_xlfn.XLOOKUP($A2096,Load!$B:$B,Load!D:D,0,)</f>
        <v>0</v>
      </c>
      <c r="D2096">
        <f>_xlfn.XLOOKUP($A2096,Load!$B:$B,Load!E:E,0,)</f>
        <v>0</v>
      </c>
      <c r="E2096">
        <f>_xlfn.XLOOKUP($A2096,Load!$B:$B,Load!F:F,0,)</f>
        <v>0</v>
      </c>
      <c r="F2096">
        <f>_xlfn.XLOOKUP($A2096,Load!$B:$B,Load!G:G,0,)</f>
        <v>0</v>
      </c>
      <c r="G2096">
        <f>_xlfn.XLOOKUP($A2096,Load!$B:$B,Load!H:H,0,)</f>
        <v>0</v>
      </c>
      <c r="H2096">
        <f>_xlfn.XLOOKUP($A2096,Load!$B:$B,Load!I:I,0,)</f>
        <v>0</v>
      </c>
      <c r="I2096">
        <f>_xlfn.XLOOKUP($A2096,Load!$B:$B,Load!J:J,0,)</f>
        <v>0</v>
      </c>
      <c r="J2096">
        <f>_xlfn.XLOOKUP($A2096,Load!$B:$B,Load!K:K,0,)</f>
        <v>0</v>
      </c>
      <c r="K2096">
        <f>_xlfn.XLOOKUP($A2096,Load!$B:$B,Load!L:L,0,)</f>
        <v>0</v>
      </c>
      <c r="L2096">
        <f>_xlfn.XLOOKUP($A2096,Load!$B:$B,Load!M:M,0,)</f>
        <v>0</v>
      </c>
    </row>
    <row r="2097" spans="1:12" x14ac:dyDescent="0.25">
      <c r="B2097">
        <f>_xlfn.XLOOKUP($A2097,Load!$B:$B,Load!C:C,0,)</f>
        <v>0</v>
      </c>
      <c r="C2097">
        <f>_xlfn.XLOOKUP($A2097,Load!$B:$B,Load!D:D,0,)</f>
        <v>0</v>
      </c>
      <c r="D2097">
        <f>_xlfn.XLOOKUP($A2097,Load!$B:$B,Load!E:E,0,)</f>
        <v>0</v>
      </c>
      <c r="E2097">
        <f>_xlfn.XLOOKUP($A2097,Load!$B:$B,Load!F:F,0,)</f>
        <v>0</v>
      </c>
      <c r="F2097">
        <f>_xlfn.XLOOKUP($A2097,Load!$B:$B,Load!G:G,0,)</f>
        <v>0</v>
      </c>
      <c r="G2097">
        <f>_xlfn.XLOOKUP($A2097,Load!$B:$B,Load!H:H,0,)</f>
        <v>0</v>
      </c>
      <c r="H2097">
        <f>_xlfn.XLOOKUP($A2097,Load!$B:$B,Load!I:I,0,)</f>
        <v>0</v>
      </c>
      <c r="I2097">
        <f>_xlfn.XLOOKUP($A2097,Load!$B:$B,Load!J:J,0,)</f>
        <v>0</v>
      </c>
      <c r="J2097">
        <f>_xlfn.XLOOKUP($A2097,Load!$B:$B,Load!K:K,0,)</f>
        <v>0</v>
      </c>
      <c r="K2097">
        <f>_xlfn.XLOOKUP($A2097,Load!$B:$B,Load!L:L,0,)</f>
        <v>0</v>
      </c>
      <c r="L2097">
        <f>_xlfn.XLOOKUP($A2097,Load!$B:$B,Load!M:M,0,)</f>
        <v>0</v>
      </c>
    </row>
    <row r="2098" spans="1:12" x14ac:dyDescent="0.25">
      <c r="A2098" t="s">
        <v>128</v>
      </c>
      <c r="B2098" t="str">
        <f>_xlfn.XLOOKUP($A2098,Load!$B:$B,Load!C:C,0,)</f>
        <v>HARIBO</v>
      </c>
      <c r="C2098" t="str">
        <f>_xlfn.XLOOKUP($A2098,Load!$B:$B,Load!D:D,0,)</f>
        <v>Non-Chocolate Candy Only</v>
      </c>
      <c r="D2098" t="str">
        <f>_xlfn.XLOOKUP($A2098,Load!$B:$B,Load!E:E,0,)</f>
        <v>Fruit Flavor (Cherry, Grape, Apple, Citrus, Tropical Fruit)</v>
      </c>
      <c r="E2098" t="str">
        <f>_xlfn.XLOOKUP($A2098,Load!$B:$B,Load!F:F,0,)</f>
        <v>Gummy</v>
      </c>
      <c r="F2098" t="str">
        <f>_xlfn.XLOOKUP($A2098,Load!$B:$B,Load!G:G,0,)</f>
        <v>Medium Multipack (40–80 ct)</v>
      </c>
      <c r="G2098" t="str">
        <f>_xlfn.XLOOKUP($A2098,Load!$B:$B,Load!H:H,0,)</f>
        <v>Plastic Cup / Container</v>
      </c>
      <c r="H2098" t="str">
        <f>_xlfn.XLOOKUP($A2098,Load!$B:$B,Load!I:I,0,)</f>
        <v>Everyday Candy Shapes (like Original, Gummy bear, Fruit, Jewels, etc.)</v>
      </c>
      <c r="I2098" t="str">
        <f>_xlfn.XLOOKUP($A2098,Load!$B:$B,Load!J:J,0,)</f>
        <v>Everyday Graphics</v>
      </c>
      <c r="J2098" t="str">
        <f>_xlfn.XLOOKUP($A2098,Load!$B:$B,Load!K:K,0,)</f>
        <v>Small Pieces (Tiny bite size candies)</v>
      </c>
      <c r="K2098" t="str">
        <f>_xlfn.XLOOKUP($A2098,Load!$B:$B,Load!L:L,0,)</f>
        <v>Regular/Original Wrapping</v>
      </c>
      <c r="L2098" t="str">
        <f>_xlfn.XLOOKUP($A2098,Load!$B:$B,Load!M:M,0,)</f>
        <v>Single Brand / Variety Flavors or Form</v>
      </c>
    </row>
    <row r="2099" spans="1:12" x14ac:dyDescent="0.25">
      <c r="A2099" t="s">
        <v>237</v>
      </c>
      <c r="B2099" t="str">
        <f>_xlfn.XLOOKUP($A2099,Load!$B:$B,Load!C:C,0,)</f>
        <v>Now &amp; Later</v>
      </c>
      <c r="C2099" t="str">
        <f>_xlfn.XLOOKUP($A2099,Load!$B:$B,Load!D:D,0,)</f>
        <v>Non-Chocolate Candy Only</v>
      </c>
      <c r="D2099" t="str">
        <f>_xlfn.XLOOKUP($A2099,Load!$B:$B,Load!E:E,0,)</f>
        <v>Fruit Flavor (Cherry, Grape, Apple, Citrus, Tropical Fruit)</v>
      </c>
      <c r="E2099" t="str">
        <f>_xlfn.XLOOKUP($A2099,Load!$B:$B,Load!F:F,0,)</f>
        <v>Chewy</v>
      </c>
      <c r="F2099" t="str">
        <f>_xlfn.XLOOKUP($A2099,Load!$B:$B,Load!G:G,0,)</f>
        <v>Medium Multipack (40–80 ct)</v>
      </c>
      <c r="G2099" t="str">
        <f>_xlfn.XLOOKUP($A2099,Load!$B:$B,Load!H:H,0,)</f>
        <v>Laydown Bag</v>
      </c>
      <c r="H2099" t="str">
        <f>_xlfn.XLOOKUP($A2099,Load!$B:$B,Load!I:I,0,)</f>
        <v>Everyday Candy Shapes (like Original, Gummy bear, Fruit, Jewels, etc.)</v>
      </c>
      <c r="I2099" t="str">
        <f>_xlfn.XLOOKUP($A2099,Load!$B:$B,Load!J:J,0,)</f>
        <v>Seasonal Graphics (Like Bat, Ghost, Pumpkin, Fall Leaves, Eyeballs, etc.)</v>
      </c>
      <c r="J2099" t="str">
        <f>_xlfn.XLOOKUP($A2099,Load!$B:$B,Load!K:K,0,)</f>
        <v>Small Pieces (Tiny bite size candies)</v>
      </c>
      <c r="K2099" t="str">
        <f>_xlfn.XLOOKUP($A2099,Load!$B:$B,Load!L:L,0,)</f>
        <v>Regular/Original Wrapping</v>
      </c>
      <c r="L2099" t="str">
        <f>_xlfn.XLOOKUP($A2099,Load!$B:$B,Load!M:M,0,)</f>
        <v>Single Brand / Variety Flavors or Form</v>
      </c>
    </row>
    <row r="2100" spans="1:12" x14ac:dyDescent="0.25">
      <c r="A2100" t="s">
        <v>138</v>
      </c>
      <c r="B2100" t="str">
        <f>_xlfn.XLOOKUP($A2100,Load!$B:$B,Load!C:C,0,)</f>
        <v>Hershey's Variety Pack + Haribo</v>
      </c>
      <c r="C2100" t="str">
        <f>_xlfn.XLOOKUP($A2100,Load!$B:$B,Load!D:D,0,)</f>
        <v>Non-Chocolate Candy Only</v>
      </c>
      <c r="D2100" t="str">
        <f>_xlfn.XLOOKUP($A2100,Load!$B:$B,Load!E:E,0,)</f>
        <v>Variety / Mixed Flavors (Fruity, Sour, Seasonal Flavors)</v>
      </c>
      <c r="E2100" t="str">
        <f>_xlfn.XLOOKUP($A2100,Load!$B:$B,Load!F:F,0,)</f>
        <v>Mixed / Combo Packs (Gummy, Chewy, Taffy, etc.)</v>
      </c>
      <c r="F2100" t="str">
        <f>_xlfn.XLOOKUP($A2100,Load!$B:$B,Load!G:G,0,)</f>
        <v>Medium Multipack (40–80 ct)</v>
      </c>
      <c r="G2100" t="str">
        <f>_xlfn.XLOOKUP($A2100,Load!$B:$B,Load!H:H,0,)</f>
        <v>Laydown Bag</v>
      </c>
      <c r="H2100" t="str">
        <f>_xlfn.XLOOKUP($A2100,Load!$B:$B,Load!I:I,0,)</f>
        <v>Everyday Candy Shapes (like Original, Gummy bear, Fruit, Jewels, etc.)</v>
      </c>
      <c r="I2100" t="str">
        <f>_xlfn.XLOOKUP($A2100,Load!$B:$B,Load!J:J,0,)</f>
        <v>Seasonal Graphics (Like Bat, Ghost, Pumpkin, Fall Leaves, Eyeballs, etc.)</v>
      </c>
      <c r="J2100" t="str">
        <f>_xlfn.XLOOKUP($A2100,Load!$B:$B,Load!K:K,0,)</f>
        <v>Fun Size / Treat Size</v>
      </c>
      <c r="K2100" t="str">
        <f>_xlfn.XLOOKUP($A2100,Load!$B:$B,Load!L:L,0,)</f>
        <v>Regular/Original Wrapping</v>
      </c>
      <c r="L2100" t="str">
        <f>_xlfn.XLOOKUP($A2100,Load!$B:$B,Load!M:M,0,)</f>
        <v>Multiple Brands / Variety Flavors or Form</v>
      </c>
    </row>
    <row r="2101" spans="1:12" x14ac:dyDescent="0.25">
      <c r="A2101" t="s">
        <v>463</v>
      </c>
      <c r="B2101" t="str">
        <f>_xlfn.XLOOKUP($A2101,Load!$B:$B,Load!C:C,0,)</f>
        <v>Mars Variety Pack</v>
      </c>
      <c r="C2101" t="str">
        <f>_xlfn.XLOOKUP($A2101,Load!$B:$B,Load!D:D,0,)</f>
        <v>Mix of Chocolate and Non-Chocolate Candy</v>
      </c>
      <c r="D2101" t="str">
        <f>_xlfn.XLOOKUP($A2101,Load!$B:$B,Load!E:E,0,)</f>
        <v>Variety / Mixed Flavors (Fruity, Sour, Seasonal Flavors)</v>
      </c>
      <c r="E2101" t="str">
        <f>_xlfn.XLOOKUP($A2101,Load!$B:$B,Load!F:F,0,)</f>
        <v>Mixed / Combo Packs (Gummy, Chewy, Taffy, etc.)</v>
      </c>
      <c r="F2101" t="str">
        <f>_xlfn.XLOOKUP($A2101,Load!$B:$B,Load!G:G,0,)</f>
        <v>Medium Multipack (40–80 ct)</v>
      </c>
      <c r="G2101" t="str">
        <f>_xlfn.XLOOKUP($A2101,Load!$B:$B,Load!H:H,0,)</f>
        <v>Stand-Up Bag</v>
      </c>
      <c r="H2101" t="str">
        <f>_xlfn.XLOOKUP($A2101,Load!$B:$B,Load!I:I,0,)</f>
        <v>Everyday Candy Shapes (like Original, Gummy bear, Fruit, Jewels, etc.)</v>
      </c>
      <c r="I2101" t="str">
        <f>_xlfn.XLOOKUP($A2101,Load!$B:$B,Load!J:J,0,)</f>
        <v>Seasonal Graphics (Like Bat, Ghost, Pumpkin, Fall Leaves, Eyeballs, etc.)</v>
      </c>
      <c r="J2101" t="str">
        <f>_xlfn.XLOOKUP($A2101,Load!$B:$B,Load!K:K,0,)</f>
        <v>Fun Size / Treat Size</v>
      </c>
      <c r="K2101" t="str">
        <f>_xlfn.XLOOKUP($A2101,Load!$B:$B,Load!L:L,0,)</f>
        <v>Regular/Original Wrapping</v>
      </c>
      <c r="L2101" t="str">
        <f>_xlfn.XLOOKUP($A2101,Load!$B:$B,Load!M:M,0,)</f>
        <v>Multiple Brands / Variety Flavors or Form</v>
      </c>
    </row>
    <row r="2102" spans="1:12" x14ac:dyDescent="0.25">
      <c r="A2102" t="s">
        <v>88</v>
      </c>
      <c r="B2102" t="str">
        <f>_xlfn.XLOOKUP($A2102,Load!$B:$B,Load!C:C,0,)</f>
        <v>Ferrara Variety Pack</v>
      </c>
      <c r="C2102" t="str">
        <f>_xlfn.XLOOKUP($A2102,Load!$B:$B,Load!D:D,0,)</f>
        <v>Non-Chocolate Candy Only</v>
      </c>
      <c r="D2102" t="str">
        <f>_xlfn.XLOOKUP($A2102,Load!$B:$B,Load!E:E,0,)</f>
        <v>Variety / Mixed Flavors (Fruity, Sour, Seasonal Flavors)</v>
      </c>
      <c r="E2102" t="str">
        <f>_xlfn.XLOOKUP($A2102,Load!$B:$B,Load!F:F,0,)</f>
        <v>Mixed / Combo Packs (Gummy, Chewy, Taffy, etc.)</v>
      </c>
      <c r="F2102" t="str">
        <f>_xlfn.XLOOKUP($A2102,Load!$B:$B,Load!G:G,0,)</f>
        <v>Small Multipack (Less than 40 ct)</v>
      </c>
      <c r="G2102" t="str">
        <f>_xlfn.XLOOKUP($A2102,Load!$B:$B,Load!H:H,0,)</f>
        <v>Laydown Bag</v>
      </c>
      <c r="H2102" t="str">
        <f>_xlfn.XLOOKUP($A2102,Load!$B:$B,Load!I:I,0,)</f>
        <v>Seasonal Shapes (like pumpkins, candy corn, ghost, bats, etc.)</v>
      </c>
      <c r="I2102" t="str">
        <f>_xlfn.XLOOKUP($A2102,Load!$B:$B,Load!J:J,0,)</f>
        <v>Seasonal Graphics (Like Bat, Ghost, Pumpkin, Fall Leaves, Eyeballs, etc.)</v>
      </c>
      <c r="J2102" t="str">
        <f>_xlfn.XLOOKUP($A2102,Load!$B:$B,Load!K:K,0,)</f>
        <v>Fun Size / Treat Size</v>
      </c>
      <c r="K2102" t="str">
        <f>_xlfn.XLOOKUP($A2102,Load!$B:$B,Load!L:L,0,)</f>
        <v>Regular/Original Wrapping</v>
      </c>
      <c r="L2102" t="str">
        <f>_xlfn.XLOOKUP($A2102,Load!$B:$B,Load!M:M,0,)</f>
        <v>Multiple Brands / Variety Flavors or Form</v>
      </c>
    </row>
    <row r="2103" spans="1:12" x14ac:dyDescent="0.25">
      <c r="A2103" t="s">
        <v>14</v>
      </c>
      <c r="B2103" t="str">
        <f>_xlfn.XLOOKUP($A2103,Load!$B:$B,Load!C:C,0,)</f>
        <v>Airheads</v>
      </c>
      <c r="C2103" t="str">
        <f>_xlfn.XLOOKUP($A2103,Load!$B:$B,Load!D:D,0,)</f>
        <v>Non-Chocolate Candy Only</v>
      </c>
      <c r="D2103" t="str">
        <f>_xlfn.XLOOKUP($A2103,Load!$B:$B,Load!E:E,0,)</f>
        <v>Variety / Mixed Flavors (Fruity, Sour, Seasonal Flavors)</v>
      </c>
      <c r="E2103" t="str">
        <f>_xlfn.XLOOKUP($A2103,Load!$B:$B,Load!F:F,0,)</f>
        <v>Chewy</v>
      </c>
      <c r="F2103" t="str">
        <f>_xlfn.XLOOKUP($A2103,Load!$B:$B,Load!G:G,0,)</f>
        <v>Small Multipack (Less than 40 ct)</v>
      </c>
      <c r="G2103" t="str">
        <f>_xlfn.XLOOKUP($A2103,Load!$B:$B,Load!H:H,0,)</f>
        <v>Stand-Up Bag</v>
      </c>
      <c r="H2103" t="str">
        <f>_xlfn.XLOOKUP($A2103,Load!$B:$B,Load!I:I,0,)</f>
        <v>Everyday Candy Shapes (like Original, Gummy bear, Fruit, Jewels, etc.)</v>
      </c>
      <c r="I2103" t="str">
        <f>_xlfn.XLOOKUP($A2103,Load!$B:$B,Load!J:J,0,)</f>
        <v>Everyday Graphics</v>
      </c>
      <c r="J2103" t="str">
        <f>_xlfn.XLOOKUP($A2103,Load!$B:$B,Load!K:K,0,)</f>
        <v>Fun Size / Treat Size</v>
      </c>
      <c r="K2103" t="str">
        <f>_xlfn.XLOOKUP($A2103,Load!$B:$B,Load!L:L,0,)</f>
        <v>Regular/Original Wrapping</v>
      </c>
      <c r="L2103" t="str">
        <f>_xlfn.XLOOKUP($A2103,Load!$B:$B,Load!M:M,0,)</f>
        <v>Single Brand / Variety Flavors or Form</v>
      </c>
    </row>
    <row r="2104" spans="1:12" x14ac:dyDescent="0.25">
      <c r="B2104">
        <f>_xlfn.XLOOKUP($A2104,Load!$B:$B,Load!C:C,0,)</f>
        <v>0</v>
      </c>
      <c r="C2104">
        <f>_xlfn.XLOOKUP($A2104,Load!$B:$B,Load!D:D,0,)</f>
        <v>0</v>
      </c>
      <c r="D2104">
        <f>_xlfn.XLOOKUP($A2104,Load!$B:$B,Load!E:E,0,)</f>
        <v>0</v>
      </c>
      <c r="E2104">
        <f>_xlfn.XLOOKUP($A2104,Load!$B:$B,Load!F:F,0,)</f>
        <v>0</v>
      </c>
      <c r="F2104">
        <f>_xlfn.XLOOKUP($A2104,Load!$B:$B,Load!G:G,0,)</f>
        <v>0</v>
      </c>
      <c r="G2104">
        <f>_xlfn.XLOOKUP($A2104,Load!$B:$B,Load!H:H,0,)</f>
        <v>0</v>
      </c>
      <c r="H2104">
        <f>_xlfn.XLOOKUP($A2104,Load!$B:$B,Load!I:I,0,)</f>
        <v>0</v>
      </c>
      <c r="I2104">
        <f>_xlfn.XLOOKUP($A2104,Load!$B:$B,Load!J:J,0,)</f>
        <v>0</v>
      </c>
      <c r="J2104">
        <f>_xlfn.XLOOKUP($A2104,Load!$B:$B,Load!K:K,0,)</f>
        <v>0</v>
      </c>
      <c r="K2104">
        <f>_xlfn.XLOOKUP($A2104,Load!$B:$B,Load!L:L,0,)</f>
        <v>0</v>
      </c>
      <c r="L2104">
        <f>_xlfn.XLOOKUP($A2104,Load!$B:$B,Load!M:M,0,)</f>
        <v>0</v>
      </c>
    </row>
    <row r="2105" spans="1:12" x14ac:dyDescent="0.25">
      <c r="B2105">
        <f>_xlfn.XLOOKUP($A2105,Load!$B:$B,Load!C:C,0,)</f>
        <v>0</v>
      </c>
      <c r="C2105">
        <f>_xlfn.XLOOKUP($A2105,Load!$B:$B,Load!D:D,0,)</f>
        <v>0</v>
      </c>
      <c r="D2105">
        <f>_xlfn.XLOOKUP($A2105,Load!$B:$B,Load!E:E,0,)</f>
        <v>0</v>
      </c>
      <c r="E2105">
        <f>_xlfn.XLOOKUP($A2105,Load!$B:$B,Load!F:F,0,)</f>
        <v>0</v>
      </c>
      <c r="F2105">
        <f>_xlfn.XLOOKUP($A2105,Load!$B:$B,Load!G:G,0,)</f>
        <v>0</v>
      </c>
      <c r="G2105">
        <f>_xlfn.XLOOKUP($A2105,Load!$B:$B,Load!H:H,0,)</f>
        <v>0</v>
      </c>
      <c r="H2105">
        <f>_xlfn.XLOOKUP($A2105,Load!$B:$B,Load!I:I,0,)</f>
        <v>0</v>
      </c>
      <c r="I2105">
        <f>_xlfn.XLOOKUP($A2105,Load!$B:$B,Load!J:J,0,)</f>
        <v>0</v>
      </c>
      <c r="J2105">
        <f>_xlfn.XLOOKUP($A2105,Load!$B:$B,Load!K:K,0,)</f>
        <v>0</v>
      </c>
      <c r="K2105">
        <f>_xlfn.XLOOKUP($A2105,Load!$B:$B,Load!L:L,0,)</f>
        <v>0</v>
      </c>
      <c r="L2105">
        <f>_xlfn.XLOOKUP($A2105,Load!$B:$B,Load!M:M,0,)</f>
        <v>0</v>
      </c>
    </row>
    <row r="2106" spans="1:12" x14ac:dyDescent="0.25">
      <c r="B2106">
        <f>_xlfn.XLOOKUP($A2106,Load!$B:$B,Load!C:C,0,)</f>
        <v>0</v>
      </c>
      <c r="C2106">
        <f>_xlfn.XLOOKUP($A2106,Load!$B:$B,Load!D:D,0,)</f>
        <v>0</v>
      </c>
      <c r="D2106">
        <f>_xlfn.XLOOKUP($A2106,Load!$B:$B,Load!E:E,0,)</f>
        <v>0</v>
      </c>
      <c r="E2106">
        <f>_xlfn.XLOOKUP($A2106,Load!$B:$B,Load!F:F,0,)</f>
        <v>0</v>
      </c>
      <c r="F2106">
        <f>_xlfn.XLOOKUP($A2106,Load!$B:$B,Load!G:G,0,)</f>
        <v>0</v>
      </c>
      <c r="G2106">
        <f>_xlfn.XLOOKUP($A2106,Load!$B:$B,Load!H:H,0,)</f>
        <v>0</v>
      </c>
      <c r="H2106">
        <f>_xlfn.XLOOKUP($A2106,Load!$B:$B,Load!I:I,0,)</f>
        <v>0</v>
      </c>
      <c r="I2106">
        <f>_xlfn.XLOOKUP($A2106,Load!$B:$B,Load!J:J,0,)</f>
        <v>0</v>
      </c>
      <c r="J2106">
        <f>_xlfn.XLOOKUP($A2106,Load!$B:$B,Load!K:K,0,)</f>
        <v>0</v>
      </c>
      <c r="K2106">
        <f>_xlfn.XLOOKUP($A2106,Load!$B:$B,Load!L:L,0,)</f>
        <v>0</v>
      </c>
      <c r="L2106">
        <f>_xlfn.XLOOKUP($A2106,Load!$B:$B,Load!M:M,0,)</f>
        <v>0</v>
      </c>
    </row>
    <row r="2107" spans="1:12" x14ac:dyDescent="0.25">
      <c r="B2107">
        <f>_xlfn.XLOOKUP($A2107,Load!$B:$B,Load!C:C,0,)</f>
        <v>0</v>
      </c>
      <c r="C2107">
        <f>_xlfn.XLOOKUP($A2107,Load!$B:$B,Load!D:D,0,)</f>
        <v>0</v>
      </c>
      <c r="D2107">
        <f>_xlfn.XLOOKUP($A2107,Load!$B:$B,Load!E:E,0,)</f>
        <v>0</v>
      </c>
      <c r="E2107">
        <f>_xlfn.XLOOKUP($A2107,Load!$B:$B,Load!F:F,0,)</f>
        <v>0</v>
      </c>
      <c r="F2107">
        <f>_xlfn.XLOOKUP($A2107,Load!$B:$B,Load!G:G,0,)</f>
        <v>0</v>
      </c>
      <c r="G2107">
        <f>_xlfn.XLOOKUP($A2107,Load!$B:$B,Load!H:H,0,)</f>
        <v>0</v>
      </c>
      <c r="H2107">
        <f>_xlfn.XLOOKUP($A2107,Load!$B:$B,Load!I:I,0,)</f>
        <v>0</v>
      </c>
      <c r="I2107">
        <f>_xlfn.XLOOKUP($A2107,Load!$B:$B,Load!J:J,0,)</f>
        <v>0</v>
      </c>
      <c r="J2107">
        <f>_xlfn.XLOOKUP($A2107,Load!$B:$B,Load!K:K,0,)</f>
        <v>0</v>
      </c>
      <c r="K2107">
        <f>_xlfn.XLOOKUP($A2107,Load!$B:$B,Load!L:L,0,)</f>
        <v>0</v>
      </c>
      <c r="L2107">
        <f>_xlfn.XLOOKUP($A2107,Load!$B:$B,Load!M:M,0,)</f>
        <v>0</v>
      </c>
    </row>
    <row r="2108" spans="1:12" x14ac:dyDescent="0.25">
      <c r="A2108" t="s">
        <v>255</v>
      </c>
      <c r="B2108" t="str">
        <f>_xlfn.XLOOKUP($A2108,Load!$B:$B,Load!C:C,0,)</f>
        <v>Skittles</v>
      </c>
      <c r="C2108" t="str">
        <f>_xlfn.XLOOKUP($A2108,Load!$B:$B,Load!D:D,0,)</f>
        <v>Non-Chocolate Candy Only</v>
      </c>
      <c r="D2108" t="str">
        <f>_xlfn.XLOOKUP($A2108,Load!$B:$B,Load!E:E,0,)</f>
        <v>Variety / Mixed Flavors (Fruity, Sour, Seasonal Flavors)</v>
      </c>
      <c r="E2108" t="str">
        <f>_xlfn.XLOOKUP($A2108,Load!$B:$B,Load!F:F,0,)</f>
        <v>Gummy</v>
      </c>
      <c r="F2108" t="str">
        <f>_xlfn.XLOOKUP($A2108,Load!$B:$B,Load!G:G,0,)</f>
        <v>Large Multipack (More than 80 ct)</v>
      </c>
      <c r="G2108" t="str">
        <f>_xlfn.XLOOKUP($A2108,Load!$B:$B,Load!H:H,0,)</f>
        <v>Stand-Up Bag</v>
      </c>
      <c r="H2108" t="str">
        <f>_xlfn.XLOOKUP($A2108,Load!$B:$B,Load!I:I,0,)</f>
        <v>Everyday Candy Shapes (like Original, Gummy bear, Fruit, Jewels, etc.)</v>
      </c>
      <c r="I2108" t="str">
        <f>_xlfn.XLOOKUP($A2108,Load!$B:$B,Load!J:J,0,)</f>
        <v>Everyday Graphics</v>
      </c>
      <c r="J2108" t="str">
        <f>_xlfn.XLOOKUP($A2108,Load!$B:$B,Load!K:K,0,)</f>
        <v>Fun Size / Treat Size</v>
      </c>
      <c r="K2108" t="str">
        <f>_xlfn.XLOOKUP($A2108,Load!$B:$B,Load!L:L,0,)</f>
        <v>Regular/Original Wrapping</v>
      </c>
      <c r="L2108" t="str">
        <f>_xlfn.XLOOKUP($A2108,Load!$B:$B,Load!M:M,0,)</f>
        <v>Single Brand / Variety Flavors or Form</v>
      </c>
    </row>
    <row r="2109" spans="1:12" x14ac:dyDescent="0.25">
      <c r="B2109">
        <f>_xlfn.XLOOKUP($A2109,Load!$B:$B,Load!C:C,0,)</f>
        <v>0</v>
      </c>
      <c r="C2109">
        <f>_xlfn.XLOOKUP($A2109,Load!$B:$B,Load!D:D,0,)</f>
        <v>0</v>
      </c>
      <c r="D2109">
        <f>_xlfn.XLOOKUP($A2109,Load!$B:$B,Load!E:E,0,)</f>
        <v>0</v>
      </c>
      <c r="E2109">
        <f>_xlfn.XLOOKUP($A2109,Load!$B:$B,Load!F:F,0,)</f>
        <v>0</v>
      </c>
      <c r="F2109">
        <f>_xlfn.XLOOKUP($A2109,Load!$B:$B,Load!G:G,0,)</f>
        <v>0</v>
      </c>
      <c r="G2109">
        <f>_xlfn.XLOOKUP($A2109,Load!$B:$B,Load!H:H,0,)</f>
        <v>0</v>
      </c>
      <c r="H2109">
        <f>_xlfn.XLOOKUP($A2109,Load!$B:$B,Load!I:I,0,)</f>
        <v>0</v>
      </c>
      <c r="I2109">
        <f>_xlfn.XLOOKUP($A2109,Load!$B:$B,Load!J:J,0,)</f>
        <v>0</v>
      </c>
      <c r="J2109">
        <f>_xlfn.XLOOKUP($A2109,Load!$B:$B,Load!K:K,0,)</f>
        <v>0</v>
      </c>
      <c r="K2109">
        <f>_xlfn.XLOOKUP($A2109,Load!$B:$B,Load!L:L,0,)</f>
        <v>0</v>
      </c>
      <c r="L2109">
        <f>_xlfn.XLOOKUP($A2109,Load!$B:$B,Load!M:M,0,)</f>
        <v>0</v>
      </c>
    </row>
    <row r="2110" spans="1:12" x14ac:dyDescent="0.25">
      <c r="A2110" t="s">
        <v>290</v>
      </c>
      <c r="B2110" t="str">
        <f>_xlfn.XLOOKUP($A2110,Load!$B:$B,Load!C:C,0,)</f>
        <v>Tootsie</v>
      </c>
      <c r="C2110" t="str">
        <f>_xlfn.XLOOKUP($A2110,Load!$B:$B,Load!D:D,0,)</f>
        <v>Mix of Chocolate and Non-Chocolate Candy</v>
      </c>
      <c r="D2110" t="str">
        <f>_xlfn.XLOOKUP($A2110,Load!$B:$B,Load!E:E,0,)</f>
        <v>Variety / Mixed Flavors (Fruity, Sour, Seasonal Flavors)</v>
      </c>
      <c r="E2110" t="str">
        <f>_xlfn.XLOOKUP($A2110,Load!$B:$B,Load!F:F,0,)</f>
        <v>Mixed / Combo Packs (Gummy, Chewy, Taffy, etc.)</v>
      </c>
      <c r="F2110" t="str">
        <f>_xlfn.XLOOKUP($A2110,Load!$B:$B,Load!G:G,0,)</f>
        <v>Large Multipack (More than 80 ct)</v>
      </c>
      <c r="G2110" t="str">
        <f>_xlfn.XLOOKUP($A2110,Load!$B:$B,Load!H:H,0,)</f>
        <v>Laydown Bag</v>
      </c>
      <c r="H2110" t="str">
        <f>_xlfn.XLOOKUP($A2110,Load!$B:$B,Load!I:I,0,)</f>
        <v>Everyday Candy Shapes (like Original, Gummy bear, Fruit, Jewels, etc.)</v>
      </c>
      <c r="I2110" t="str">
        <f>_xlfn.XLOOKUP($A2110,Load!$B:$B,Load!J:J,0,)</f>
        <v>Everyday Graphics</v>
      </c>
      <c r="J2110" t="str">
        <f>_xlfn.XLOOKUP($A2110,Load!$B:$B,Load!K:K,0,)</f>
        <v>Fun Size / Treat Size</v>
      </c>
      <c r="K2110" t="str">
        <f>_xlfn.XLOOKUP($A2110,Load!$B:$B,Load!L:L,0,)</f>
        <v>Regular/Original Wrapping</v>
      </c>
      <c r="L2110" t="str">
        <f>_xlfn.XLOOKUP($A2110,Load!$B:$B,Load!M:M,0,)</f>
        <v>Single Brand / Variety Flavors or Form</v>
      </c>
    </row>
    <row r="2111" spans="1:12" x14ac:dyDescent="0.25">
      <c r="B2111">
        <f>_xlfn.XLOOKUP($A2111,Load!$B:$B,Load!C:C,0,)</f>
        <v>0</v>
      </c>
      <c r="C2111">
        <f>_xlfn.XLOOKUP($A2111,Load!$B:$B,Load!D:D,0,)</f>
        <v>0</v>
      </c>
      <c r="D2111">
        <f>_xlfn.XLOOKUP($A2111,Load!$B:$B,Load!E:E,0,)</f>
        <v>0</v>
      </c>
      <c r="E2111">
        <f>_xlfn.XLOOKUP($A2111,Load!$B:$B,Load!F:F,0,)</f>
        <v>0</v>
      </c>
      <c r="F2111">
        <f>_xlfn.XLOOKUP($A2111,Load!$B:$B,Load!G:G,0,)</f>
        <v>0</v>
      </c>
      <c r="G2111">
        <f>_xlfn.XLOOKUP($A2111,Load!$B:$B,Load!H:H,0,)</f>
        <v>0</v>
      </c>
      <c r="H2111">
        <f>_xlfn.XLOOKUP($A2111,Load!$B:$B,Load!I:I,0,)</f>
        <v>0</v>
      </c>
      <c r="I2111">
        <f>_xlfn.XLOOKUP($A2111,Load!$B:$B,Load!J:J,0,)</f>
        <v>0</v>
      </c>
      <c r="J2111">
        <f>_xlfn.XLOOKUP($A2111,Load!$B:$B,Load!K:K,0,)</f>
        <v>0</v>
      </c>
      <c r="K2111">
        <f>_xlfn.XLOOKUP($A2111,Load!$B:$B,Load!L:L,0,)</f>
        <v>0</v>
      </c>
      <c r="L2111">
        <f>_xlfn.XLOOKUP($A2111,Load!$B:$B,Load!M:M,0,)</f>
        <v>0</v>
      </c>
    </row>
    <row r="2112" spans="1:12" x14ac:dyDescent="0.25">
      <c r="B2112">
        <f>_xlfn.XLOOKUP($A2112,Load!$B:$B,Load!C:C,0,)</f>
        <v>0</v>
      </c>
      <c r="C2112">
        <f>_xlfn.XLOOKUP($A2112,Load!$B:$B,Load!D:D,0,)</f>
        <v>0</v>
      </c>
      <c r="D2112">
        <f>_xlfn.XLOOKUP($A2112,Load!$B:$B,Load!E:E,0,)</f>
        <v>0</v>
      </c>
      <c r="E2112">
        <f>_xlfn.XLOOKUP($A2112,Load!$B:$B,Load!F:F,0,)</f>
        <v>0</v>
      </c>
      <c r="F2112">
        <f>_xlfn.XLOOKUP($A2112,Load!$B:$B,Load!G:G,0,)</f>
        <v>0</v>
      </c>
      <c r="G2112">
        <f>_xlfn.XLOOKUP($A2112,Load!$B:$B,Load!H:H,0,)</f>
        <v>0</v>
      </c>
      <c r="H2112">
        <f>_xlfn.XLOOKUP($A2112,Load!$B:$B,Load!I:I,0,)</f>
        <v>0</v>
      </c>
      <c r="I2112">
        <f>_xlfn.XLOOKUP($A2112,Load!$B:$B,Load!J:J,0,)</f>
        <v>0</v>
      </c>
      <c r="J2112">
        <f>_xlfn.XLOOKUP($A2112,Load!$B:$B,Load!K:K,0,)</f>
        <v>0</v>
      </c>
      <c r="K2112">
        <f>_xlfn.XLOOKUP($A2112,Load!$B:$B,Load!L:L,0,)</f>
        <v>0</v>
      </c>
      <c r="L2112">
        <f>_xlfn.XLOOKUP($A2112,Load!$B:$B,Load!M:M,0,)</f>
        <v>0</v>
      </c>
    </row>
    <row r="2113" spans="1:12" x14ac:dyDescent="0.25">
      <c r="B2113">
        <f>_xlfn.XLOOKUP($A2113,Load!$B:$B,Load!C:C,0,)</f>
        <v>0</v>
      </c>
      <c r="C2113">
        <f>_xlfn.XLOOKUP($A2113,Load!$B:$B,Load!D:D,0,)</f>
        <v>0</v>
      </c>
      <c r="D2113">
        <f>_xlfn.XLOOKUP($A2113,Load!$B:$B,Load!E:E,0,)</f>
        <v>0</v>
      </c>
      <c r="E2113">
        <f>_xlfn.XLOOKUP($A2113,Load!$B:$B,Load!F:F,0,)</f>
        <v>0</v>
      </c>
      <c r="F2113">
        <f>_xlfn.XLOOKUP($A2113,Load!$B:$B,Load!G:G,0,)</f>
        <v>0</v>
      </c>
      <c r="G2113">
        <f>_xlfn.XLOOKUP($A2113,Load!$B:$B,Load!H:H,0,)</f>
        <v>0</v>
      </c>
      <c r="H2113">
        <f>_xlfn.XLOOKUP($A2113,Load!$B:$B,Load!I:I,0,)</f>
        <v>0</v>
      </c>
      <c r="I2113">
        <f>_xlfn.XLOOKUP($A2113,Load!$B:$B,Load!J:J,0,)</f>
        <v>0</v>
      </c>
      <c r="J2113">
        <f>_xlfn.XLOOKUP($A2113,Load!$B:$B,Load!K:K,0,)</f>
        <v>0</v>
      </c>
      <c r="K2113">
        <f>_xlfn.XLOOKUP($A2113,Load!$B:$B,Load!L:L,0,)</f>
        <v>0</v>
      </c>
      <c r="L2113">
        <f>_xlfn.XLOOKUP($A2113,Load!$B:$B,Load!M:M,0,)</f>
        <v>0</v>
      </c>
    </row>
    <row r="2114" spans="1:12" x14ac:dyDescent="0.25">
      <c r="B2114">
        <f>_xlfn.XLOOKUP($A2114,Load!$B:$B,Load!C:C,0,)</f>
        <v>0</v>
      </c>
      <c r="C2114">
        <f>_xlfn.XLOOKUP($A2114,Load!$B:$B,Load!D:D,0,)</f>
        <v>0</v>
      </c>
      <c r="D2114">
        <f>_xlfn.XLOOKUP($A2114,Load!$B:$B,Load!E:E,0,)</f>
        <v>0</v>
      </c>
      <c r="E2114">
        <f>_xlfn.XLOOKUP($A2114,Load!$B:$B,Load!F:F,0,)</f>
        <v>0</v>
      </c>
      <c r="F2114">
        <f>_xlfn.XLOOKUP($A2114,Load!$B:$B,Load!G:G,0,)</f>
        <v>0</v>
      </c>
      <c r="G2114">
        <f>_xlfn.XLOOKUP($A2114,Load!$B:$B,Load!H:H,0,)</f>
        <v>0</v>
      </c>
      <c r="H2114">
        <f>_xlfn.XLOOKUP($A2114,Load!$B:$B,Load!I:I,0,)</f>
        <v>0</v>
      </c>
      <c r="I2114">
        <f>_xlfn.XLOOKUP($A2114,Load!$B:$B,Load!J:J,0,)</f>
        <v>0</v>
      </c>
      <c r="J2114">
        <f>_xlfn.XLOOKUP($A2114,Load!$B:$B,Load!K:K,0,)</f>
        <v>0</v>
      </c>
      <c r="K2114">
        <f>_xlfn.XLOOKUP($A2114,Load!$B:$B,Load!L:L,0,)</f>
        <v>0</v>
      </c>
      <c r="L2114">
        <f>_xlfn.XLOOKUP($A2114,Load!$B:$B,Load!M:M,0,)</f>
        <v>0</v>
      </c>
    </row>
    <row r="2115" spans="1:12" x14ac:dyDescent="0.25">
      <c r="B2115">
        <f>_xlfn.XLOOKUP($A2115,Load!$B:$B,Load!C:C,0,)</f>
        <v>0</v>
      </c>
      <c r="C2115">
        <f>_xlfn.XLOOKUP($A2115,Load!$B:$B,Load!D:D,0,)</f>
        <v>0</v>
      </c>
      <c r="D2115">
        <f>_xlfn.XLOOKUP($A2115,Load!$B:$B,Load!E:E,0,)</f>
        <v>0</v>
      </c>
      <c r="E2115">
        <f>_xlfn.XLOOKUP($A2115,Load!$B:$B,Load!F:F,0,)</f>
        <v>0</v>
      </c>
      <c r="F2115">
        <f>_xlfn.XLOOKUP($A2115,Load!$B:$B,Load!G:G,0,)</f>
        <v>0</v>
      </c>
      <c r="G2115">
        <f>_xlfn.XLOOKUP($A2115,Load!$B:$B,Load!H:H,0,)</f>
        <v>0</v>
      </c>
      <c r="H2115">
        <f>_xlfn.XLOOKUP($A2115,Load!$B:$B,Load!I:I,0,)</f>
        <v>0</v>
      </c>
      <c r="I2115">
        <f>_xlfn.XLOOKUP($A2115,Load!$B:$B,Load!J:J,0,)</f>
        <v>0</v>
      </c>
      <c r="J2115">
        <f>_xlfn.XLOOKUP($A2115,Load!$B:$B,Load!K:K,0,)</f>
        <v>0</v>
      </c>
      <c r="K2115">
        <f>_xlfn.XLOOKUP($A2115,Load!$B:$B,Load!L:L,0,)</f>
        <v>0</v>
      </c>
      <c r="L2115">
        <f>_xlfn.XLOOKUP($A2115,Load!$B:$B,Load!M:M,0,)</f>
        <v>0</v>
      </c>
    </row>
    <row r="2116" spans="1:12" x14ac:dyDescent="0.25">
      <c r="A2116" t="s">
        <v>91</v>
      </c>
      <c r="B2116" t="str">
        <f>_xlfn.XLOOKUP($A2116,Load!$B:$B,Load!C:C,0,)</f>
        <v>Ferrara Variety Pack</v>
      </c>
      <c r="C2116" t="str">
        <f>_xlfn.XLOOKUP($A2116,Load!$B:$B,Load!D:D,0,)</f>
        <v>Non-Chocolate Candy Only</v>
      </c>
      <c r="D2116" t="str">
        <f>_xlfn.XLOOKUP($A2116,Load!$B:$B,Load!E:E,0,)</f>
        <v>Variety / Mixed Flavors (Fruity, Sour, Seasonal Flavors)</v>
      </c>
      <c r="E2116" t="str">
        <f>_xlfn.XLOOKUP($A2116,Load!$B:$B,Load!F:F,0,)</f>
        <v>Mixed / Combo Packs (Gummy, Chewy, Taffy, etc.)</v>
      </c>
      <c r="F2116" t="str">
        <f>_xlfn.XLOOKUP($A2116,Load!$B:$B,Load!G:G,0,)</f>
        <v>Large Multipack (More than 80 ct)</v>
      </c>
      <c r="G2116" t="str">
        <f>_xlfn.XLOOKUP($A2116,Load!$B:$B,Load!H:H,0,)</f>
        <v>Stand-Up Bag</v>
      </c>
      <c r="H2116" t="str">
        <f>_xlfn.XLOOKUP($A2116,Load!$B:$B,Load!I:I,0,)</f>
        <v>Everyday Candy Shapes (like Original, Gummy bear, Fruit, Jewels, etc.)</v>
      </c>
      <c r="I2116" t="str">
        <f>_xlfn.XLOOKUP($A2116,Load!$B:$B,Load!J:J,0,)</f>
        <v>Seasonal Graphics (Like Bat, Ghost, Pumpkin, Fall Leaves, Eyeballs, etc.)</v>
      </c>
      <c r="J2116" t="str">
        <f>_xlfn.XLOOKUP($A2116,Load!$B:$B,Load!K:K,0,)</f>
        <v xml:space="preserve">Variety Candy Sizes </v>
      </c>
      <c r="K2116" t="str">
        <f>_xlfn.XLOOKUP($A2116,Load!$B:$B,Load!L:L,0,)</f>
        <v>Regular/Original Wrapping</v>
      </c>
      <c r="L2116" t="str">
        <f>_xlfn.XLOOKUP($A2116,Load!$B:$B,Load!M:M,0,)</f>
        <v>Multiple Brands / Variety Flavors or Form</v>
      </c>
    </row>
    <row r="2117" spans="1:12" x14ac:dyDescent="0.25">
      <c r="A2117" t="s">
        <v>180</v>
      </c>
      <c r="B2117" t="str">
        <f>_xlfn.XLOOKUP($A2117,Load!$B:$B,Load!C:C,0,)</f>
        <v>Mars Variety Pack</v>
      </c>
      <c r="C2117" t="str">
        <f>_xlfn.XLOOKUP($A2117,Load!$B:$B,Load!D:D,0,)</f>
        <v>Mix of Chocolate and Non-Chocolate Candy</v>
      </c>
      <c r="D2117" t="str">
        <f>_xlfn.XLOOKUP($A2117,Load!$B:$B,Load!E:E,0,)</f>
        <v>Variety / Mixed Flavors (Fruity, Sour, Seasonal Flavors)</v>
      </c>
      <c r="E2117" t="str">
        <f>_xlfn.XLOOKUP($A2117,Load!$B:$B,Load!F:F,0,)</f>
        <v>Mixed / Combo Packs (Gummy, Chewy, Taffy, etc.)</v>
      </c>
      <c r="F2117" t="str">
        <f>_xlfn.XLOOKUP($A2117,Load!$B:$B,Load!G:G,0,)</f>
        <v>Large Multipack (More than 80 ct)</v>
      </c>
      <c r="G2117" t="str">
        <f>_xlfn.XLOOKUP($A2117,Load!$B:$B,Load!H:H,0,)</f>
        <v>Stand-Up Bag</v>
      </c>
      <c r="H2117" t="str">
        <f>_xlfn.XLOOKUP($A2117,Load!$B:$B,Load!I:I,0,)</f>
        <v>Everyday Candy Shapes (like Original, Gummy bear, Fruit, Jewels, etc.)</v>
      </c>
      <c r="I2117" t="str">
        <f>_xlfn.XLOOKUP($A2117,Load!$B:$B,Load!J:J,0,)</f>
        <v>Seasonal Graphics (Like Bat, Ghost, Pumpkin, Fall Leaves, Eyeballs, etc.)</v>
      </c>
      <c r="J2117" t="str">
        <f>_xlfn.XLOOKUP($A2117,Load!$B:$B,Load!K:K,0,)</f>
        <v>Fun Size / Treat Size</v>
      </c>
      <c r="K2117" t="str">
        <f>_xlfn.XLOOKUP($A2117,Load!$B:$B,Load!L:L,0,)</f>
        <v>Regular/Original Wrapping</v>
      </c>
      <c r="L2117" t="str">
        <f>_xlfn.XLOOKUP($A2117,Load!$B:$B,Load!M:M,0,)</f>
        <v>Multiple Brands / Variety Flavors or Form</v>
      </c>
    </row>
    <row r="2118" spans="1:12" x14ac:dyDescent="0.25">
      <c r="A2118" t="s">
        <v>202</v>
      </c>
      <c r="B2118" t="str">
        <f>_xlfn.XLOOKUP($A2118,Load!$B:$B,Load!C:C,0,)</f>
        <v>Mars Variety Pack</v>
      </c>
      <c r="C2118" t="str">
        <f>_xlfn.XLOOKUP($A2118,Load!$B:$B,Load!D:D,0,)</f>
        <v>Mix of Chocolate and Non-Chocolate Candy</v>
      </c>
      <c r="D2118" t="str">
        <f>_xlfn.XLOOKUP($A2118,Load!$B:$B,Load!E:E,0,)</f>
        <v>Variety / Mixed Flavors (Fruity, Sour, Seasonal Flavors)</v>
      </c>
      <c r="E2118" t="str">
        <f>_xlfn.XLOOKUP($A2118,Load!$B:$B,Load!F:F,0,)</f>
        <v>Mixed / Combo Packs (Gummy, Chewy, Taffy, etc.)</v>
      </c>
      <c r="F2118" t="str">
        <f>_xlfn.XLOOKUP($A2118,Load!$B:$B,Load!G:G,0,)</f>
        <v>Large Multipack (More than 80 ct)</v>
      </c>
      <c r="G2118" t="str">
        <f>_xlfn.XLOOKUP($A2118,Load!$B:$B,Load!H:H,0,)</f>
        <v>Stand-Up Bag</v>
      </c>
      <c r="H2118" t="str">
        <f>_xlfn.XLOOKUP($A2118,Load!$B:$B,Load!I:I,0,)</f>
        <v>Everyday Candy Shapes (like Original, Gummy bear, Fruit, Jewels, etc.)</v>
      </c>
      <c r="I2118" t="str">
        <f>_xlfn.XLOOKUP($A2118,Load!$B:$B,Load!J:J,0,)</f>
        <v>Everyday Graphics</v>
      </c>
      <c r="J2118" t="str">
        <f>_xlfn.XLOOKUP($A2118,Load!$B:$B,Load!K:K,0,)</f>
        <v>Fun Size / Treat Size</v>
      </c>
      <c r="K2118" t="str">
        <f>_xlfn.XLOOKUP($A2118,Load!$B:$B,Load!L:L,0,)</f>
        <v>Regular/Original Wrapping</v>
      </c>
      <c r="L2118" t="str">
        <f>_xlfn.XLOOKUP($A2118,Load!$B:$B,Load!M:M,0,)</f>
        <v>Multiple Brands / Variety Flavors or Form</v>
      </c>
    </row>
    <row r="2119" spans="1:12" x14ac:dyDescent="0.25">
      <c r="A2119" t="s">
        <v>328</v>
      </c>
      <c r="B2119" t="str">
        <f>_xlfn.XLOOKUP($A2119,Load!$B:$B,Load!C:C,0,)</f>
        <v>Googly Eyes</v>
      </c>
      <c r="C2119" t="str">
        <f>_xlfn.XLOOKUP($A2119,Load!$B:$B,Load!D:D,0,)</f>
        <v>Non-Chocolate Candy Only</v>
      </c>
      <c r="D2119" t="str">
        <f>_xlfn.XLOOKUP($A2119,Load!$B:$B,Load!E:E,0,)</f>
        <v>Variety / Mixed Flavors (Fruity, Sour, Seasonal Flavors)</v>
      </c>
      <c r="E2119" t="str">
        <f>_xlfn.XLOOKUP($A2119,Load!$B:$B,Load!F:F,0,)</f>
        <v>Candy Pieces / Bites</v>
      </c>
      <c r="F2119" t="str">
        <f>_xlfn.XLOOKUP($A2119,Load!$B:$B,Load!G:G,0,)</f>
        <v>Single Pack</v>
      </c>
      <c r="G2119" t="str">
        <f>_xlfn.XLOOKUP($A2119,Load!$B:$B,Load!H:H,0,)</f>
        <v>Plastic Cup / Container</v>
      </c>
      <c r="H2119" t="str">
        <f>_xlfn.XLOOKUP($A2119,Load!$B:$B,Load!I:I,0,)</f>
        <v>Seasonal Shapes (like pumpkins, candy corn, ghost, bats, etc.)</v>
      </c>
      <c r="I2119" t="str">
        <f>_xlfn.XLOOKUP($A2119,Load!$B:$B,Load!J:J,0,)</f>
        <v>Seasonal Graphics (Like Bat, Ghost, Pumpkin, Fall Leaves, Eyeballs, etc.)</v>
      </c>
      <c r="J2119" t="str">
        <f>_xlfn.XLOOKUP($A2119,Load!$B:$B,Load!K:K,0,)</f>
        <v>Fun Size / Treat Size</v>
      </c>
      <c r="K2119" t="str">
        <f>_xlfn.XLOOKUP($A2119,Load!$B:$B,Load!L:L,0,)</f>
        <v>Regular/Original Wrapping</v>
      </c>
      <c r="L2119" t="str">
        <f>_xlfn.XLOOKUP($A2119,Load!$B:$B,Load!M:M,0,)</f>
        <v>Single Brand / Variety Flavors or Form</v>
      </c>
    </row>
    <row r="2120" spans="1:12" x14ac:dyDescent="0.25">
      <c r="B2120">
        <f>_xlfn.XLOOKUP($A2120,Load!$B:$B,Load!C:C,0,)</f>
        <v>0</v>
      </c>
      <c r="C2120">
        <f>_xlfn.XLOOKUP($A2120,Load!$B:$B,Load!D:D,0,)</f>
        <v>0</v>
      </c>
      <c r="D2120">
        <f>_xlfn.XLOOKUP($A2120,Load!$B:$B,Load!E:E,0,)</f>
        <v>0</v>
      </c>
      <c r="E2120">
        <f>_xlfn.XLOOKUP($A2120,Load!$B:$B,Load!F:F,0,)</f>
        <v>0</v>
      </c>
      <c r="F2120">
        <f>_xlfn.XLOOKUP($A2120,Load!$B:$B,Load!G:G,0,)</f>
        <v>0</v>
      </c>
      <c r="G2120">
        <f>_xlfn.XLOOKUP($A2120,Load!$B:$B,Load!H:H,0,)</f>
        <v>0</v>
      </c>
      <c r="H2120">
        <f>_xlfn.XLOOKUP($A2120,Load!$B:$B,Load!I:I,0,)</f>
        <v>0</v>
      </c>
      <c r="I2120">
        <f>_xlfn.XLOOKUP($A2120,Load!$B:$B,Load!J:J,0,)</f>
        <v>0</v>
      </c>
      <c r="J2120">
        <f>_xlfn.XLOOKUP($A2120,Load!$B:$B,Load!K:K,0,)</f>
        <v>0</v>
      </c>
      <c r="K2120">
        <f>_xlfn.XLOOKUP($A2120,Load!$B:$B,Load!L:L,0,)</f>
        <v>0</v>
      </c>
      <c r="L2120">
        <f>_xlfn.XLOOKUP($A2120,Load!$B:$B,Load!M:M,0,)</f>
        <v>0</v>
      </c>
    </row>
    <row r="2121" spans="1:12" x14ac:dyDescent="0.25">
      <c r="B2121">
        <f>_xlfn.XLOOKUP($A2121,Load!$B:$B,Load!C:C,0,)</f>
        <v>0</v>
      </c>
      <c r="C2121">
        <f>_xlfn.XLOOKUP($A2121,Load!$B:$B,Load!D:D,0,)</f>
        <v>0</v>
      </c>
      <c r="D2121">
        <f>_xlfn.XLOOKUP($A2121,Load!$B:$B,Load!E:E,0,)</f>
        <v>0</v>
      </c>
      <c r="E2121">
        <f>_xlfn.XLOOKUP($A2121,Load!$B:$B,Load!F:F,0,)</f>
        <v>0</v>
      </c>
      <c r="F2121">
        <f>_xlfn.XLOOKUP($A2121,Load!$B:$B,Load!G:G,0,)</f>
        <v>0</v>
      </c>
      <c r="G2121">
        <f>_xlfn.XLOOKUP($A2121,Load!$B:$B,Load!H:H,0,)</f>
        <v>0</v>
      </c>
      <c r="H2121">
        <f>_xlfn.XLOOKUP($A2121,Load!$B:$B,Load!I:I,0,)</f>
        <v>0</v>
      </c>
      <c r="I2121">
        <f>_xlfn.XLOOKUP($A2121,Load!$B:$B,Load!J:J,0,)</f>
        <v>0</v>
      </c>
      <c r="J2121">
        <f>_xlfn.XLOOKUP($A2121,Load!$B:$B,Load!K:K,0,)</f>
        <v>0</v>
      </c>
      <c r="K2121">
        <f>_xlfn.XLOOKUP($A2121,Load!$B:$B,Load!L:L,0,)</f>
        <v>0</v>
      </c>
      <c r="L2121">
        <f>_xlfn.XLOOKUP($A2121,Load!$B:$B,Load!M:M,0,)</f>
        <v>0</v>
      </c>
    </row>
    <row r="2122" spans="1:12" x14ac:dyDescent="0.25">
      <c r="A2122" t="s">
        <v>150</v>
      </c>
      <c r="B2122" t="str">
        <f>_xlfn.XLOOKUP($A2122,Load!$B:$B,Load!C:C,0,)</f>
        <v>Jolly Rancher</v>
      </c>
      <c r="C2122" t="str">
        <f>_xlfn.XLOOKUP($A2122,Load!$B:$B,Load!D:D,0,)</f>
        <v>Non-Chocolate Candy Only</v>
      </c>
      <c r="D2122" t="str">
        <f>_xlfn.XLOOKUP($A2122,Load!$B:$B,Load!E:E,0,)</f>
        <v>Variety / Mixed Flavors (Fruity, Sour, Seasonal Flavors)</v>
      </c>
      <c r="E2122" t="str">
        <f>_xlfn.XLOOKUP($A2122,Load!$B:$B,Load!F:F,0,)</f>
        <v>Gummy</v>
      </c>
      <c r="F2122" t="str">
        <f>_xlfn.XLOOKUP($A2122,Load!$B:$B,Load!G:G,0,)</f>
        <v>Small Multipack (Less than 40 ct)</v>
      </c>
      <c r="G2122" t="str">
        <f>_xlfn.XLOOKUP($A2122,Load!$B:$B,Load!H:H,0,)</f>
        <v>Laydown Bag</v>
      </c>
      <c r="H2122" t="str">
        <f>_xlfn.XLOOKUP($A2122,Load!$B:$B,Load!I:I,0,)</f>
        <v>Everyday Candy Shapes (like Original, Gummy bear, Fruit, Jewels, etc.)</v>
      </c>
      <c r="I2122" t="str">
        <f>_xlfn.XLOOKUP($A2122,Load!$B:$B,Load!J:J,0,)</f>
        <v>Everyday Graphics</v>
      </c>
      <c r="J2122" t="str">
        <f>_xlfn.XLOOKUP($A2122,Load!$B:$B,Load!K:K,0,)</f>
        <v>Small Pieces (Tiny bite size candies)</v>
      </c>
      <c r="K2122" t="str">
        <f>_xlfn.XLOOKUP($A2122,Load!$B:$B,Load!L:L,0,)</f>
        <v>Regular/Original Wrapping</v>
      </c>
      <c r="L2122" t="str">
        <f>_xlfn.XLOOKUP($A2122,Load!$B:$B,Load!M:M,0,)</f>
        <v>Single Brand / Variety Flavors or Form</v>
      </c>
    </row>
    <row r="2123" spans="1:12" x14ac:dyDescent="0.25">
      <c r="B2123">
        <f>_xlfn.XLOOKUP($A2123,Load!$B:$B,Load!C:C,0,)</f>
        <v>0</v>
      </c>
      <c r="C2123">
        <f>_xlfn.XLOOKUP($A2123,Load!$B:$B,Load!D:D,0,)</f>
        <v>0</v>
      </c>
      <c r="D2123">
        <f>_xlfn.XLOOKUP($A2123,Load!$B:$B,Load!E:E,0,)</f>
        <v>0</v>
      </c>
      <c r="E2123">
        <f>_xlfn.XLOOKUP($A2123,Load!$B:$B,Load!F:F,0,)</f>
        <v>0</v>
      </c>
      <c r="F2123">
        <f>_xlfn.XLOOKUP($A2123,Load!$B:$B,Load!G:G,0,)</f>
        <v>0</v>
      </c>
      <c r="G2123">
        <f>_xlfn.XLOOKUP($A2123,Load!$B:$B,Load!H:H,0,)</f>
        <v>0</v>
      </c>
      <c r="H2123">
        <f>_xlfn.XLOOKUP($A2123,Load!$B:$B,Load!I:I,0,)</f>
        <v>0</v>
      </c>
      <c r="I2123">
        <f>_xlfn.XLOOKUP($A2123,Load!$B:$B,Load!J:J,0,)</f>
        <v>0</v>
      </c>
      <c r="J2123">
        <f>_xlfn.XLOOKUP($A2123,Load!$B:$B,Load!K:K,0,)</f>
        <v>0</v>
      </c>
      <c r="K2123">
        <f>_xlfn.XLOOKUP($A2123,Load!$B:$B,Load!L:L,0,)</f>
        <v>0</v>
      </c>
      <c r="L2123">
        <f>_xlfn.XLOOKUP($A2123,Load!$B:$B,Load!M:M,0,)</f>
        <v>0</v>
      </c>
    </row>
    <row r="2124" spans="1:12" x14ac:dyDescent="0.25">
      <c r="A2124" t="s">
        <v>213</v>
      </c>
      <c r="B2124" t="str">
        <f>_xlfn.XLOOKUP($A2124,Load!$B:$B,Load!C:C,0,)</f>
        <v>Mars Variety Pack</v>
      </c>
      <c r="C2124" t="str">
        <f>_xlfn.XLOOKUP($A2124,Load!$B:$B,Load!D:D,0,)</f>
        <v>Mix of Chocolate and Non-Chocolate Candy</v>
      </c>
      <c r="D2124" t="str">
        <f>_xlfn.XLOOKUP($A2124,Load!$B:$B,Load!E:E,0,)</f>
        <v>Variety / Mixed Flavors (Fruity, Sour, Seasonal Flavors)</v>
      </c>
      <c r="E2124" t="str">
        <f>_xlfn.XLOOKUP($A2124,Load!$B:$B,Load!F:F,0,)</f>
        <v>Mixed / Combo Packs (Gummy, Chewy, Taffy, etc.)</v>
      </c>
      <c r="F2124" t="str">
        <f>_xlfn.XLOOKUP($A2124,Load!$B:$B,Load!G:G,0,)</f>
        <v>Medium Multipack (40–80 ct)</v>
      </c>
      <c r="G2124" t="str">
        <f>_xlfn.XLOOKUP($A2124,Load!$B:$B,Load!H:H,0,)</f>
        <v>Stand-Up Bag</v>
      </c>
      <c r="H2124" t="str">
        <f>_xlfn.XLOOKUP($A2124,Load!$B:$B,Load!I:I,0,)</f>
        <v>Everyday Candy Shapes (like Original, Gummy bear, Fruit, Jewels, etc.)</v>
      </c>
      <c r="I2124" t="str">
        <f>_xlfn.XLOOKUP($A2124,Load!$B:$B,Load!J:J,0,)</f>
        <v>Seasonal Graphics (Like Bat, Ghost, Pumpkin, Fall Leaves, Eyeballs, etc.)</v>
      </c>
      <c r="J2124" t="str">
        <f>_xlfn.XLOOKUP($A2124,Load!$B:$B,Load!K:K,0,)</f>
        <v>Fun Size / Treat Size</v>
      </c>
      <c r="K2124" t="str">
        <f>_xlfn.XLOOKUP($A2124,Load!$B:$B,Load!L:L,0,)</f>
        <v>Regular/Original Wrapping</v>
      </c>
      <c r="L2124" t="str">
        <f>_xlfn.XLOOKUP($A2124,Load!$B:$B,Load!M:M,0,)</f>
        <v>Multiple Brands / Variety Flavors or Form</v>
      </c>
    </row>
    <row r="2125" spans="1:12" x14ac:dyDescent="0.25">
      <c r="A2125" t="s">
        <v>463</v>
      </c>
      <c r="B2125" t="str">
        <f>_xlfn.XLOOKUP($A2125,Load!$B:$B,Load!C:C,0,)</f>
        <v>Mars Variety Pack</v>
      </c>
      <c r="C2125" t="str">
        <f>_xlfn.XLOOKUP($A2125,Load!$B:$B,Load!D:D,0,)</f>
        <v>Mix of Chocolate and Non-Chocolate Candy</v>
      </c>
      <c r="D2125" t="str">
        <f>_xlfn.XLOOKUP($A2125,Load!$B:$B,Load!E:E,0,)</f>
        <v>Variety / Mixed Flavors (Fruity, Sour, Seasonal Flavors)</v>
      </c>
      <c r="E2125" t="str">
        <f>_xlfn.XLOOKUP($A2125,Load!$B:$B,Load!F:F,0,)</f>
        <v>Mixed / Combo Packs (Gummy, Chewy, Taffy, etc.)</v>
      </c>
      <c r="F2125" t="str">
        <f>_xlfn.XLOOKUP($A2125,Load!$B:$B,Load!G:G,0,)</f>
        <v>Medium Multipack (40–80 ct)</v>
      </c>
      <c r="G2125" t="str">
        <f>_xlfn.XLOOKUP($A2125,Load!$B:$B,Load!H:H,0,)</f>
        <v>Stand-Up Bag</v>
      </c>
      <c r="H2125" t="str">
        <f>_xlfn.XLOOKUP($A2125,Load!$B:$B,Load!I:I,0,)</f>
        <v>Everyday Candy Shapes (like Original, Gummy bear, Fruit, Jewels, etc.)</v>
      </c>
      <c r="I2125" t="str">
        <f>_xlfn.XLOOKUP($A2125,Load!$B:$B,Load!J:J,0,)</f>
        <v>Seasonal Graphics (Like Bat, Ghost, Pumpkin, Fall Leaves, Eyeballs, etc.)</v>
      </c>
      <c r="J2125" t="str">
        <f>_xlfn.XLOOKUP($A2125,Load!$B:$B,Load!K:K,0,)</f>
        <v>Fun Size / Treat Size</v>
      </c>
      <c r="K2125" t="str">
        <f>_xlfn.XLOOKUP($A2125,Load!$B:$B,Load!L:L,0,)</f>
        <v>Regular/Original Wrapping</v>
      </c>
      <c r="L2125" t="str">
        <f>_xlfn.XLOOKUP($A2125,Load!$B:$B,Load!M:M,0,)</f>
        <v>Multiple Brands / Variety Flavors or Form</v>
      </c>
    </row>
    <row r="2126" spans="1:12" x14ac:dyDescent="0.25">
      <c r="A2126" t="s">
        <v>134</v>
      </c>
      <c r="B2126" t="str">
        <f>_xlfn.XLOOKUP($A2126,Load!$B:$B,Load!C:C,0,)</f>
        <v>Hershey's Variety Pack</v>
      </c>
      <c r="C2126" t="str">
        <f>_xlfn.XLOOKUP($A2126,Load!$B:$B,Load!D:D,0,)</f>
        <v>Non-Chocolate Candy Only</v>
      </c>
      <c r="D2126" t="str">
        <f>_xlfn.XLOOKUP($A2126,Load!$B:$B,Load!E:E,0,)</f>
        <v>Variety / Mixed Flavors (Fruity, Sour, Seasonal Flavors)</v>
      </c>
      <c r="E2126" t="str">
        <f>_xlfn.XLOOKUP($A2126,Load!$B:$B,Load!F:F,0,)</f>
        <v>Mixed / Combo Packs (Gummy, Chewy, Taffy, etc.)</v>
      </c>
      <c r="F2126" t="str">
        <f>_xlfn.XLOOKUP($A2126,Load!$B:$B,Load!G:G,0,)</f>
        <v>Large Multipack (More than 80 ct)</v>
      </c>
      <c r="G2126" t="str">
        <f>_xlfn.XLOOKUP($A2126,Load!$B:$B,Load!H:H,0,)</f>
        <v>Stand-Up Bag</v>
      </c>
      <c r="H2126" t="str">
        <f>_xlfn.XLOOKUP($A2126,Load!$B:$B,Load!I:I,0,)</f>
        <v>Everyday Candy Shapes (like Original, Gummy bear, Fruit, Jewels, etc.)</v>
      </c>
      <c r="I2126" t="str">
        <f>_xlfn.XLOOKUP($A2126,Load!$B:$B,Load!J:J,0,)</f>
        <v>Seasonal Graphics (Like Bat, Ghost, Pumpkin, Fall Leaves, Eyeballs, etc.)</v>
      </c>
      <c r="J2126" t="str">
        <f>_xlfn.XLOOKUP($A2126,Load!$B:$B,Load!K:K,0,)</f>
        <v xml:space="preserve">Variety Candy Sizes </v>
      </c>
      <c r="K2126" t="str">
        <f>_xlfn.XLOOKUP($A2126,Load!$B:$B,Load!L:L,0,)</f>
        <v>Regular/Original Wrapping</v>
      </c>
      <c r="L2126" t="str">
        <f>_xlfn.XLOOKUP($A2126,Load!$B:$B,Load!M:M,0,)</f>
        <v>Multiple Brands / Variety Flavors or Form</v>
      </c>
    </row>
    <row r="2127" spans="1:12" x14ac:dyDescent="0.25">
      <c r="B2127">
        <f>_xlfn.XLOOKUP($A2127,Load!$B:$B,Load!C:C,0,)</f>
        <v>0</v>
      </c>
      <c r="C2127">
        <f>_xlfn.XLOOKUP($A2127,Load!$B:$B,Load!D:D,0,)</f>
        <v>0</v>
      </c>
      <c r="D2127">
        <f>_xlfn.XLOOKUP($A2127,Load!$B:$B,Load!E:E,0,)</f>
        <v>0</v>
      </c>
      <c r="E2127">
        <f>_xlfn.XLOOKUP($A2127,Load!$B:$B,Load!F:F,0,)</f>
        <v>0</v>
      </c>
      <c r="F2127">
        <f>_xlfn.XLOOKUP($A2127,Load!$B:$B,Load!G:G,0,)</f>
        <v>0</v>
      </c>
      <c r="G2127">
        <f>_xlfn.XLOOKUP($A2127,Load!$B:$B,Load!H:H,0,)</f>
        <v>0</v>
      </c>
      <c r="H2127">
        <f>_xlfn.XLOOKUP($A2127,Load!$B:$B,Load!I:I,0,)</f>
        <v>0</v>
      </c>
      <c r="I2127">
        <f>_xlfn.XLOOKUP($A2127,Load!$B:$B,Load!J:J,0,)</f>
        <v>0</v>
      </c>
      <c r="J2127">
        <f>_xlfn.XLOOKUP($A2127,Load!$B:$B,Load!K:K,0,)</f>
        <v>0</v>
      </c>
      <c r="K2127">
        <f>_xlfn.XLOOKUP($A2127,Load!$B:$B,Load!L:L,0,)</f>
        <v>0</v>
      </c>
      <c r="L2127">
        <f>_xlfn.XLOOKUP($A2127,Load!$B:$B,Load!M:M,0,)</f>
        <v>0</v>
      </c>
    </row>
    <row r="2128" spans="1:12" x14ac:dyDescent="0.25">
      <c r="B2128">
        <f>_xlfn.XLOOKUP($A2128,Load!$B:$B,Load!C:C,0,)</f>
        <v>0</v>
      </c>
      <c r="C2128">
        <f>_xlfn.XLOOKUP($A2128,Load!$B:$B,Load!D:D,0,)</f>
        <v>0</v>
      </c>
      <c r="D2128">
        <f>_xlfn.XLOOKUP($A2128,Load!$B:$B,Load!E:E,0,)</f>
        <v>0</v>
      </c>
      <c r="E2128">
        <f>_xlfn.XLOOKUP($A2128,Load!$B:$B,Load!F:F,0,)</f>
        <v>0</v>
      </c>
      <c r="F2128">
        <f>_xlfn.XLOOKUP($A2128,Load!$B:$B,Load!G:G,0,)</f>
        <v>0</v>
      </c>
      <c r="G2128">
        <f>_xlfn.XLOOKUP($A2128,Load!$B:$B,Load!H:H,0,)</f>
        <v>0</v>
      </c>
      <c r="H2128">
        <f>_xlfn.XLOOKUP($A2128,Load!$B:$B,Load!I:I,0,)</f>
        <v>0</v>
      </c>
      <c r="I2128">
        <f>_xlfn.XLOOKUP($A2128,Load!$B:$B,Load!J:J,0,)</f>
        <v>0</v>
      </c>
      <c r="J2128">
        <f>_xlfn.XLOOKUP($A2128,Load!$B:$B,Load!K:K,0,)</f>
        <v>0</v>
      </c>
      <c r="K2128">
        <f>_xlfn.XLOOKUP($A2128,Load!$B:$B,Load!L:L,0,)</f>
        <v>0</v>
      </c>
      <c r="L2128">
        <f>_xlfn.XLOOKUP($A2128,Load!$B:$B,Load!M:M,0,)</f>
        <v>0</v>
      </c>
    </row>
    <row r="2129" spans="1:12" x14ac:dyDescent="0.25">
      <c r="B2129">
        <f>_xlfn.XLOOKUP($A2129,Load!$B:$B,Load!C:C,0,)</f>
        <v>0</v>
      </c>
      <c r="C2129">
        <f>_xlfn.XLOOKUP($A2129,Load!$B:$B,Load!D:D,0,)</f>
        <v>0</v>
      </c>
      <c r="D2129">
        <f>_xlfn.XLOOKUP($A2129,Load!$B:$B,Load!E:E,0,)</f>
        <v>0</v>
      </c>
      <c r="E2129">
        <f>_xlfn.XLOOKUP($A2129,Load!$B:$B,Load!F:F,0,)</f>
        <v>0</v>
      </c>
      <c r="F2129">
        <f>_xlfn.XLOOKUP($A2129,Load!$B:$B,Load!G:G,0,)</f>
        <v>0</v>
      </c>
      <c r="G2129">
        <f>_xlfn.XLOOKUP($A2129,Load!$B:$B,Load!H:H,0,)</f>
        <v>0</v>
      </c>
      <c r="H2129">
        <f>_xlfn.XLOOKUP($A2129,Load!$B:$B,Load!I:I,0,)</f>
        <v>0</v>
      </c>
      <c r="I2129">
        <f>_xlfn.XLOOKUP($A2129,Load!$B:$B,Load!J:J,0,)</f>
        <v>0</v>
      </c>
      <c r="J2129">
        <f>_xlfn.XLOOKUP($A2129,Load!$B:$B,Load!K:K,0,)</f>
        <v>0</v>
      </c>
      <c r="K2129">
        <f>_xlfn.XLOOKUP($A2129,Load!$B:$B,Load!L:L,0,)</f>
        <v>0</v>
      </c>
      <c r="L2129">
        <f>_xlfn.XLOOKUP($A2129,Load!$B:$B,Load!M:M,0,)</f>
        <v>0</v>
      </c>
    </row>
    <row r="2130" spans="1:12" x14ac:dyDescent="0.25">
      <c r="B2130">
        <f>_xlfn.XLOOKUP($A2130,Load!$B:$B,Load!C:C,0,)</f>
        <v>0</v>
      </c>
      <c r="C2130">
        <f>_xlfn.XLOOKUP($A2130,Load!$B:$B,Load!D:D,0,)</f>
        <v>0</v>
      </c>
      <c r="D2130">
        <f>_xlfn.XLOOKUP($A2130,Load!$B:$B,Load!E:E,0,)</f>
        <v>0</v>
      </c>
      <c r="E2130">
        <f>_xlfn.XLOOKUP($A2130,Load!$B:$B,Load!F:F,0,)</f>
        <v>0</v>
      </c>
      <c r="F2130">
        <f>_xlfn.XLOOKUP($A2130,Load!$B:$B,Load!G:G,0,)</f>
        <v>0</v>
      </c>
      <c r="G2130">
        <f>_xlfn.XLOOKUP($A2130,Load!$B:$B,Load!H:H,0,)</f>
        <v>0</v>
      </c>
      <c r="H2130">
        <f>_xlfn.XLOOKUP($A2130,Load!$B:$B,Load!I:I,0,)</f>
        <v>0</v>
      </c>
      <c r="I2130">
        <f>_xlfn.XLOOKUP($A2130,Load!$B:$B,Load!J:J,0,)</f>
        <v>0</v>
      </c>
      <c r="J2130">
        <f>_xlfn.XLOOKUP($A2130,Load!$B:$B,Load!K:K,0,)</f>
        <v>0</v>
      </c>
      <c r="K2130">
        <f>_xlfn.XLOOKUP($A2130,Load!$B:$B,Load!L:L,0,)</f>
        <v>0</v>
      </c>
      <c r="L2130">
        <f>_xlfn.XLOOKUP($A2130,Load!$B:$B,Load!M:M,0,)</f>
        <v>0</v>
      </c>
    </row>
    <row r="2131" spans="1:12" x14ac:dyDescent="0.25">
      <c r="B2131">
        <f>_xlfn.XLOOKUP($A2131,Load!$B:$B,Load!C:C,0,)</f>
        <v>0</v>
      </c>
      <c r="C2131">
        <f>_xlfn.XLOOKUP($A2131,Load!$B:$B,Load!D:D,0,)</f>
        <v>0</v>
      </c>
      <c r="D2131">
        <f>_xlfn.XLOOKUP($A2131,Load!$B:$B,Load!E:E,0,)</f>
        <v>0</v>
      </c>
      <c r="E2131">
        <f>_xlfn.XLOOKUP($A2131,Load!$B:$B,Load!F:F,0,)</f>
        <v>0</v>
      </c>
      <c r="F2131">
        <f>_xlfn.XLOOKUP($A2131,Load!$B:$B,Load!G:G,0,)</f>
        <v>0</v>
      </c>
      <c r="G2131">
        <f>_xlfn.XLOOKUP($A2131,Load!$B:$B,Load!H:H,0,)</f>
        <v>0</v>
      </c>
      <c r="H2131">
        <f>_xlfn.XLOOKUP($A2131,Load!$B:$B,Load!I:I,0,)</f>
        <v>0</v>
      </c>
      <c r="I2131">
        <f>_xlfn.XLOOKUP($A2131,Load!$B:$B,Load!J:J,0,)</f>
        <v>0</v>
      </c>
      <c r="J2131">
        <f>_xlfn.XLOOKUP($A2131,Load!$B:$B,Load!K:K,0,)</f>
        <v>0</v>
      </c>
      <c r="K2131">
        <f>_xlfn.XLOOKUP($A2131,Load!$B:$B,Load!L:L,0,)</f>
        <v>0</v>
      </c>
      <c r="L2131">
        <f>_xlfn.XLOOKUP($A2131,Load!$B:$B,Load!M:M,0,)</f>
        <v>0</v>
      </c>
    </row>
    <row r="2132" spans="1:12" x14ac:dyDescent="0.25">
      <c r="A2132" t="s">
        <v>213</v>
      </c>
      <c r="B2132" t="str">
        <f>_xlfn.XLOOKUP($A2132,Load!$B:$B,Load!C:C,0,)</f>
        <v>Mars Variety Pack</v>
      </c>
      <c r="C2132" t="str">
        <f>_xlfn.XLOOKUP($A2132,Load!$B:$B,Load!D:D,0,)</f>
        <v>Mix of Chocolate and Non-Chocolate Candy</v>
      </c>
      <c r="D2132" t="str">
        <f>_xlfn.XLOOKUP($A2132,Load!$B:$B,Load!E:E,0,)</f>
        <v>Variety / Mixed Flavors (Fruity, Sour, Seasonal Flavors)</v>
      </c>
      <c r="E2132" t="str">
        <f>_xlfn.XLOOKUP($A2132,Load!$B:$B,Load!F:F,0,)</f>
        <v>Mixed / Combo Packs (Gummy, Chewy, Taffy, etc.)</v>
      </c>
      <c r="F2132" t="str">
        <f>_xlfn.XLOOKUP($A2132,Load!$B:$B,Load!G:G,0,)</f>
        <v>Medium Multipack (40–80 ct)</v>
      </c>
      <c r="G2132" t="str">
        <f>_xlfn.XLOOKUP($A2132,Load!$B:$B,Load!H:H,0,)</f>
        <v>Stand-Up Bag</v>
      </c>
      <c r="H2132" t="str">
        <f>_xlfn.XLOOKUP($A2132,Load!$B:$B,Load!I:I,0,)</f>
        <v>Everyday Candy Shapes (like Original, Gummy bear, Fruit, Jewels, etc.)</v>
      </c>
      <c r="I2132" t="str">
        <f>_xlfn.XLOOKUP($A2132,Load!$B:$B,Load!J:J,0,)</f>
        <v>Seasonal Graphics (Like Bat, Ghost, Pumpkin, Fall Leaves, Eyeballs, etc.)</v>
      </c>
      <c r="J2132" t="str">
        <f>_xlfn.XLOOKUP($A2132,Load!$B:$B,Load!K:K,0,)</f>
        <v>Fun Size / Treat Size</v>
      </c>
      <c r="K2132" t="str">
        <f>_xlfn.XLOOKUP($A2132,Load!$B:$B,Load!L:L,0,)</f>
        <v>Regular/Original Wrapping</v>
      </c>
      <c r="L2132" t="str">
        <f>_xlfn.XLOOKUP($A2132,Load!$B:$B,Load!M:M,0,)</f>
        <v>Multiple Brands / Variety Flavors or Form</v>
      </c>
    </row>
    <row r="2133" spans="1:12" x14ac:dyDescent="0.25">
      <c r="A2133" t="s">
        <v>290</v>
      </c>
      <c r="B2133" t="str">
        <f>_xlfn.XLOOKUP($A2133,Load!$B:$B,Load!C:C,0,)</f>
        <v>Tootsie</v>
      </c>
      <c r="C2133" t="str">
        <f>_xlfn.XLOOKUP($A2133,Load!$B:$B,Load!D:D,0,)</f>
        <v>Mix of Chocolate and Non-Chocolate Candy</v>
      </c>
      <c r="D2133" t="str">
        <f>_xlfn.XLOOKUP($A2133,Load!$B:$B,Load!E:E,0,)</f>
        <v>Variety / Mixed Flavors (Fruity, Sour, Seasonal Flavors)</v>
      </c>
      <c r="E2133" t="str">
        <f>_xlfn.XLOOKUP($A2133,Load!$B:$B,Load!F:F,0,)</f>
        <v>Mixed / Combo Packs (Gummy, Chewy, Taffy, etc.)</v>
      </c>
      <c r="F2133" t="str">
        <f>_xlfn.XLOOKUP($A2133,Load!$B:$B,Load!G:G,0,)</f>
        <v>Large Multipack (More than 80 ct)</v>
      </c>
      <c r="G2133" t="str">
        <f>_xlfn.XLOOKUP($A2133,Load!$B:$B,Load!H:H,0,)</f>
        <v>Laydown Bag</v>
      </c>
      <c r="H2133" t="str">
        <f>_xlfn.XLOOKUP($A2133,Load!$B:$B,Load!I:I,0,)</f>
        <v>Everyday Candy Shapes (like Original, Gummy bear, Fruit, Jewels, etc.)</v>
      </c>
      <c r="I2133" t="str">
        <f>_xlfn.XLOOKUP($A2133,Load!$B:$B,Load!J:J,0,)</f>
        <v>Everyday Graphics</v>
      </c>
      <c r="J2133" t="str">
        <f>_xlfn.XLOOKUP($A2133,Load!$B:$B,Load!K:K,0,)</f>
        <v>Fun Size / Treat Size</v>
      </c>
      <c r="K2133" t="str">
        <f>_xlfn.XLOOKUP($A2133,Load!$B:$B,Load!L:L,0,)</f>
        <v>Regular/Original Wrapping</v>
      </c>
      <c r="L2133" t="str">
        <f>_xlfn.XLOOKUP($A2133,Load!$B:$B,Load!M:M,0,)</f>
        <v>Single Brand / Variety Flavors or Form</v>
      </c>
    </row>
    <row r="2134" spans="1:12" x14ac:dyDescent="0.25">
      <c r="B2134">
        <f>_xlfn.XLOOKUP($A2134,Load!$B:$B,Load!C:C,0,)</f>
        <v>0</v>
      </c>
      <c r="C2134">
        <f>_xlfn.XLOOKUP($A2134,Load!$B:$B,Load!D:D,0,)</f>
        <v>0</v>
      </c>
      <c r="D2134">
        <f>_xlfn.XLOOKUP($A2134,Load!$B:$B,Load!E:E,0,)</f>
        <v>0</v>
      </c>
      <c r="E2134">
        <f>_xlfn.XLOOKUP($A2134,Load!$B:$B,Load!F:F,0,)</f>
        <v>0</v>
      </c>
      <c r="F2134">
        <f>_xlfn.XLOOKUP($A2134,Load!$B:$B,Load!G:G,0,)</f>
        <v>0</v>
      </c>
      <c r="G2134">
        <f>_xlfn.XLOOKUP($A2134,Load!$B:$B,Load!H:H,0,)</f>
        <v>0</v>
      </c>
      <c r="H2134">
        <f>_xlfn.XLOOKUP($A2134,Load!$B:$B,Load!I:I,0,)</f>
        <v>0</v>
      </c>
      <c r="I2134">
        <f>_xlfn.XLOOKUP($A2134,Load!$B:$B,Load!J:J,0,)</f>
        <v>0</v>
      </c>
      <c r="J2134">
        <f>_xlfn.XLOOKUP($A2134,Load!$B:$B,Load!K:K,0,)</f>
        <v>0</v>
      </c>
      <c r="K2134">
        <f>_xlfn.XLOOKUP($A2134,Load!$B:$B,Load!L:L,0,)</f>
        <v>0</v>
      </c>
      <c r="L2134">
        <f>_xlfn.XLOOKUP($A2134,Load!$B:$B,Load!M:M,0,)</f>
        <v>0</v>
      </c>
    </row>
    <row r="2135" spans="1:12" x14ac:dyDescent="0.25">
      <c r="B2135">
        <f>_xlfn.XLOOKUP($A2135,Load!$B:$B,Load!C:C,0,)</f>
        <v>0</v>
      </c>
      <c r="C2135">
        <f>_xlfn.XLOOKUP($A2135,Load!$B:$B,Load!D:D,0,)</f>
        <v>0</v>
      </c>
      <c r="D2135">
        <f>_xlfn.XLOOKUP($A2135,Load!$B:$B,Load!E:E,0,)</f>
        <v>0</v>
      </c>
      <c r="E2135">
        <f>_xlfn.XLOOKUP($A2135,Load!$B:$B,Load!F:F,0,)</f>
        <v>0</v>
      </c>
      <c r="F2135">
        <f>_xlfn.XLOOKUP($A2135,Load!$B:$B,Load!G:G,0,)</f>
        <v>0</v>
      </c>
      <c r="G2135">
        <f>_xlfn.XLOOKUP($A2135,Load!$B:$B,Load!H:H,0,)</f>
        <v>0</v>
      </c>
      <c r="H2135">
        <f>_xlfn.XLOOKUP($A2135,Load!$B:$B,Load!I:I,0,)</f>
        <v>0</v>
      </c>
      <c r="I2135">
        <f>_xlfn.XLOOKUP($A2135,Load!$B:$B,Load!J:J,0,)</f>
        <v>0</v>
      </c>
      <c r="J2135">
        <f>_xlfn.XLOOKUP($A2135,Load!$B:$B,Load!K:K,0,)</f>
        <v>0</v>
      </c>
      <c r="K2135">
        <f>_xlfn.XLOOKUP($A2135,Load!$B:$B,Load!L:L,0,)</f>
        <v>0</v>
      </c>
      <c r="L2135">
        <f>_xlfn.XLOOKUP($A2135,Load!$B:$B,Load!M:M,0,)</f>
        <v>0</v>
      </c>
    </row>
    <row r="2136" spans="1:12" x14ac:dyDescent="0.25">
      <c r="A2136" t="s">
        <v>206</v>
      </c>
      <c r="B2136" t="str">
        <f>_xlfn.XLOOKUP($A2136,Load!$B:$B,Load!C:C,0,)</f>
        <v>Mars Variety Pack</v>
      </c>
      <c r="C2136" t="str">
        <f>_xlfn.XLOOKUP($A2136,Load!$B:$B,Load!D:D,0,)</f>
        <v>Non-Chocolate Candy Only</v>
      </c>
      <c r="D2136" t="str">
        <f>_xlfn.XLOOKUP($A2136,Load!$B:$B,Load!E:E,0,)</f>
        <v>Variety / Mixed Flavors (Fruity, Sour, Seasonal Flavors)</v>
      </c>
      <c r="E2136" t="str">
        <f>_xlfn.XLOOKUP($A2136,Load!$B:$B,Load!F:F,0,)</f>
        <v>Mixed / Combo Packs (Gummy, Chewy, Taffy, etc.)</v>
      </c>
      <c r="F2136" t="str">
        <f>_xlfn.XLOOKUP($A2136,Load!$B:$B,Load!G:G,0,)</f>
        <v>Large Multipack (More than 80 ct)</v>
      </c>
      <c r="G2136" t="str">
        <f>_xlfn.XLOOKUP($A2136,Load!$B:$B,Load!H:H,0,)</f>
        <v>Stand-Up Bag</v>
      </c>
      <c r="H2136" t="str">
        <f>_xlfn.XLOOKUP($A2136,Load!$B:$B,Load!I:I,0,)</f>
        <v>Everyday Candy Shapes (like Original, Gummy bear, Fruit, Jewels, etc.)</v>
      </c>
      <c r="I2136" t="str">
        <f>_xlfn.XLOOKUP($A2136,Load!$B:$B,Load!J:J,0,)</f>
        <v>Seasonal Graphics (Like Bat, Ghost, Pumpkin, Fall Leaves, Eyeballs, etc.)</v>
      </c>
      <c r="J2136" t="str">
        <f>_xlfn.XLOOKUP($A2136,Load!$B:$B,Load!K:K,0,)</f>
        <v>Fun Size / Treat Size</v>
      </c>
      <c r="K2136" t="str">
        <f>_xlfn.XLOOKUP($A2136,Load!$B:$B,Load!L:L,0,)</f>
        <v>Regular/Original Wrapping</v>
      </c>
      <c r="L2136" t="str">
        <f>_xlfn.XLOOKUP($A2136,Load!$B:$B,Load!M:M,0,)</f>
        <v>Multiple Brands / Variety Flavors or Form</v>
      </c>
    </row>
    <row r="2137" spans="1:12" x14ac:dyDescent="0.25">
      <c r="A2137" t="s">
        <v>80</v>
      </c>
      <c r="B2137" t="str">
        <f>_xlfn.XLOOKUP($A2137,Load!$B:$B,Load!C:C,0,)</f>
        <v>Ferrara Variety Pack</v>
      </c>
      <c r="C2137" t="str">
        <f>_xlfn.XLOOKUP($A2137,Load!$B:$B,Load!D:D,0,)</f>
        <v>Non-Chocolate Candy Only</v>
      </c>
      <c r="D2137" t="str">
        <f>_xlfn.XLOOKUP($A2137,Load!$B:$B,Load!E:E,0,)</f>
        <v>Variety / Mixed Flavors (Fruity, Sour, Seasonal Flavors)</v>
      </c>
      <c r="E2137" t="str">
        <f>_xlfn.XLOOKUP($A2137,Load!$B:$B,Load!F:F,0,)</f>
        <v>Mixed / Combo Packs (Gummy, Chewy, Taffy, etc.)</v>
      </c>
      <c r="F2137" t="str">
        <f>_xlfn.XLOOKUP($A2137,Load!$B:$B,Load!G:G,0,)</f>
        <v>Large Multipack (More than 80 ct)</v>
      </c>
      <c r="G2137" t="str">
        <f>_xlfn.XLOOKUP($A2137,Load!$B:$B,Load!H:H,0,)</f>
        <v>Stand-Up Bag</v>
      </c>
      <c r="H2137" t="str">
        <f>_xlfn.XLOOKUP($A2137,Load!$B:$B,Load!I:I,0,)</f>
        <v>Everyday Candy Shapes (like Original, Gummy bear, Fruit, Jewels, etc.)</v>
      </c>
      <c r="I2137" t="str">
        <f>_xlfn.XLOOKUP($A2137,Load!$B:$B,Load!J:J,0,)</f>
        <v>Seasonal Graphics (Like Bat, Ghost, Pumpkin, Fall Leaves, Eyeballs, etc.)</v>
      </c>
      <c r="J2137" t="str">
        <f>_xlfn.XLOOKUP($A2137,Load!$B:$B,Load!K:K,0,)</f>
        <v xml:space="preserve">Variety Candy Sizes </v>
      </c>
      <c r="K2137" t="str">
        <f>_xlfn.XLOOKUP($A2137,Load!$B:$B,Load!L:L,0,)</f>
        <v>Regular/Original Wrapping</v>
      </c>
      <c r="L2137" t="str">
        <f>_xlfn.XLOOKUP($A2137,Load!$B:$B,Load!M:M,0,)</f>
        <v>Multiple Brands / Variety Flavors or Form</v>
      </c>
    </row>
    <row r="2138" spans="1:12" x14ac:dyDescent="0.25">
      <c r="A2138" t="s">
        <v>283</v>
      </c>
      <c r="B2138" t="str">
        <f>_xlfn.XLOOKUP($A2138,Load!$B:$B,Load!C:C,0,)</f>
        <v>Sour Punch</v>
      </c>
      <c r="C2138" t="str">
        <f>_xlfn.XLOOKUP($A2138,Load!$B:$B,Load!D:D,0,)</f>
        <v>Non-Chocolate Candy Only</v>
      </c>
      <c r="D2138" t="str">
        <f>_xlfn.XLOOKUP($A2138,Load!$B:$B,Load!E:E,0,)</f>
        <v>Sour</v>
      </c>
      <c r="E2138" t="str">
        <f>_xlfn.XLOOKUP($A2138,Load!$B:$B,Load!F:F,0,)</f>
        <v>Chewy</v>
      </c>
      <c r="F2138" t="str">
        <f>_xlfn.XLOOKUP($A2138,Load!$B:$B,Load!G:G,0,)</f>
        <v>Large Multipack (More than 80 ct)</v>
      </c>
      <c r="G2138" t="str">
        <f>_xlfn.XLOOKUP($A2138,Load!$B:$B,Load!H:H,0,)</f>
        <v>Laydown Bag</v>
      </c>
      <c r="H2138" t="str">
        <f>_xlfn.XLOOKUP($A2138,Load!$B:$B,Load!I:I,0,)</f>
        <v>Seasonal Shapes (like pumpkins, candy corn, ghost, bats, etc.)</v>
      </c>
      <c r="I2138" t="str">
        <f>_xlfn.XLOOKUP($A2138,Load!$B:$B,Load!J:J,0,)</f>
        <v>Seasonal Graphics (Like Bat, Ghost, Pumpkin, Fall Leaves, Eyeballs, etc.)</v>
      </c>
      <c r="J2138" t="str">
        <f>_xlfn.XLOOKUP($A2138,Load!$B:$B,Load!K:K,0,)</f>
        <v>Small Pieces (Tiny bite size candies)</v>
      </c>
      <c r="K2138" t="str">
        <f>_xlfn.XLOOKUP($A2138,Load!$B:$B,Load!L:L,0,)</f>
        <v>Regular/Original Wrapping</v>
      </c>
      <c r="L2138" t="str">
        <f>_xlfn.XLOOKUP($A2138,Load!$B:$B,Load!M:M,0,)</f>
        <v>Single Brand / Variety Flavors or Form</v>
      </c>
    </row>
    <row r="2139" spans="1:12" x14ac:dyDescent="0.25">
      <c r="B2139">
        <f>_xlfn.XLOOKUP($A2139,Load!$B:$B,Load!C:C,0,)</f>
        <v>0</v>
      </c>
      <c r="C2139">
        <f>_xlfn.XLOOKUP($A2139,Load!$B:$B,Load!D:D,0,)</f>
        <v>0</v>
      </c>
      <c r="D2139">
        <f>_xlfn.XLOOKUP($A2139,Load!$B:$B,Load!E:E,0,)</f>
        <v>0</v>
      </c>
      <c r="E2139">
        <f>_xlfn.XLOOKUP($A2139,Load!$B:$B,Load!F:F,0,)</f>
        <v>0</v>
      </c>
      <c r="F2139">
        <f>_xlfn.XLOOKUP($A2139,Load!$B:$B,Load!G:G,0,)</f>
        <v>0</v>
      </c>
      <c r="G2139">
        <f>_xlfn.XLOOKUP($A2139,Load!$B:$B,Load!H:H,0,)</f>
        <v>0</v>
      </c>
      <c r="H2139">
        <f>_xlfn.XLOOKUP($A2139,Load!$B:$B,Load!I:I,0,)</f>
        <v>0</v>
      </c>
      <c r="I2139">
        <f>_xlfn.XLOOKUP($A2139,Load!$B:$B,Load!J:J,0,)</f>
        <v>0</v>
      </c>
      <c r="J2139">
        <f>_xlfn.XLOOKUP($A2139,Load!$B:$B,Load!K:K,0,)</f>
        <v>0</v>
      </c>
      <c r="K2139">
        <f>_xlfn.XLOOKUP($A2139,Load!$B:$B,Load!L:L,0,)</f>
        <v>0</v>
      </c>
      <c r="L2139">
        <f>_xlfn.XLOOKUP($A2139,Load!$B:$B,Load!M:M,0,)</f>
        <v>0</v>
      </c>
    </row>
    <row r="2140" spans="1:12" x14ac:dyDescent="0.25">
      <c r="B2140">
        <f>_xlfn.XLOOKUP($A2140,Load!$B:$B,Load!C:C,0,)</f>
        <v>0</v>
      </c>
      <c r="C2140">
        <f>_xlfn.XLOOKUP($A2140,Load!$B:$B,Load!D:D,0,)</f>
        <v>0</v>
      </c>
      <c r="D2140">
        <f>_xlfn.XLOOKUP($A2140,Load!$B:$B,Load!E:E,0,)</f>
        <v>0</v>
      </c>
      <c r="E2140">
        <f>_xlfn.XLOOKUP($A2140,Load!$B:$B,Load!F:F,0,)</f>
        <v>0</v>
      </c>
      <c r="F2140">
        <f>_xlfn.XLOOKUP($A2140,Load!$B:$B,Load!G:G,0,)</f>
        <v>0</v>
      </c>
      <c r="G2140">
        <f>_xlfn.XLOOKUP($A2140,Load!$B:$B,Load!H:H,0,)</f>
        <v>0</v>
      </c>
      <c r="H2140">
        <f>_xlfn.XLOOKUP($A2140,Load!$B:$B,Load!I:I,0,)</f>
        <v>0</v>
      </c>
      <c r="I2140">
        <f>_xlfn.XLOOKUP($A2140,Load!$B:$B,Load!J:J,0,)</f>
        <v>0</v>
      </c>
      <c r="J2140">
        <f>_xlfn.XLOOKUP($A2140,Load!$B:$B,Load!K:K,0,)</f>
        <v>0</v>
      </c>
      <c r="K2140">
        <f>_xlfn.XLOOKUP($A2140,Load!$B:$B,Load!L:L,0,)</f>
        <v>0</v>
      </c>
      <c r="L2140">
        <f>_xlfn.XLOOKUP($A2140,Load!$B:$B,Load!M:M,0,)</f>
        <v>0</v>
      </c>
    </row>
    <row r="2141" spans="1:12" x14ac:dyDescent="0.25">
      <c r="B2141">
        <f>_xlfn.XLOOKUP($A2141,Load!$B:$B,Load!C:C,0,)</f>
        <v>0</v>
      </c>
      <c r="C2141">
        <f>_xlfn.XLOOKUP($A2141,Load!$B:$B,Load!D:D,0,)</f>
        <v>0</v>
      </c>
      <c r="D2141">
        <f>_xlfn.XLOOKUP($A2141,Load!$B:$B,Load!E:E,0,)</f>
        <v>0</v>
      </c>
      <c r="E2141">
        <f>_xlfn.XLOOKUP($A2141,Load!$B:$B,Load!F:F,0,)</f>
        <v>0</v>
      </c>
      <c r="F2141">
        <f>_xlfn.XLOOKUP($A2141,Load!$B:$B,Load!G:G,0,)</f>
        <v>0</v>
      </c>
      <c r="G2141">
        <f>_xlfn.XLOOKUP($A2141,Load!$B:$B,Load!H:H,0,)</f>
        <v>0</v>
      </c>
      <c r="H2141">
        <f>_xlfn.XLOOKUP($A2141,Load!$B:$B,Load!I:I,0,)</f>
        <v>0</v>
      </c>
      <c r="I2141">
        <f>_xlfn.XLOOKUP($A2141,Load!$B:$B,Load!J:J,0,)</f>
        <v>0</v>
      </c>
      <c r="J2141">
        <f>_xlfn.XLOOKUP($A2141,Load!$B:$B,Load!K:K,0,)</f>
        <v>0</v>
      </c>
      <c r="K2141">
        <f>_xlfn.XLOOKUP($A2141,Load!$B:$B,Load!L:L,0,)</f>
        <v>0</v>
      </c>
      <c r="L2141">
        <f>_xlfn.XLOOKUP($A2141,Load!$B:$B,Load!M:M,0,)</f>
        <v>0</v>
      </c>
    </row>
    <row r="2142" spans="1:12" x14ac:dyDescent="0.25">
      <c r="B2142">
        <f>_xlfn.XLOOKUP($A2142,Load!$B:$B,Load!C:C,0,)</f>
        <v>0</v>
      </c>
      <c r="C2142">
        <f>_xlfn.XLOOKUP($A2142,Load!$B:$B,Load!D:D,0,)</f>
        <v>0</v>
      </c>
      <c r="D2142">
        <f>_xlfn.XLOOKUP($A2142,Load!$B:$B,Load!E:E,0,)</f>
        <v>0</v>
      </c>
      <c r="E2142">
        <f>_xlfn.XLOOKUP($A2142,Load!$B:$B,Load!F:F,0,)</f>
        <v>0</v>
      </c>
      <c r="F2142">
        <f>_xlfn.XLOOKUP($A2142,Load!$B:$B,Load!G:G,0,)</f>
        <v>0</v>
      </c>
      <c r="G2142">
        <f>_xlfn.XLOOKUP($A2142,Load!$B:$B,Load!H:H,0,)</f>
        <v>0</v>
      </c>
      <c r="H2142">
        <f>_xlfn.XLOOKUP($A2142,Load!$B:$B,Load!I:I,0,)</f>
        <v>0</v>
      </c>
      <c r="I2142">
        <f>_xlfn.XLOOKUP($A2142,Load!$B:$B,Load!J:J,0,)</f>
        <v>0</v>
      </c>
      <c r="J2142">
        <f>_xlfn.XLOOKUP($A2142,Load!$B:$B,Load!K:K,0,)</f>
        <v>0</v>
      </c>
      <c r="K2142">
        <f>_xlfn.XLOOKUP($A2142,Load!$B:$B,Load!L:L,0,)</f>
        <v>0</v>
      </c>
      <c r="L2142">
        <f>_xlfn.XLOOKUP($A2142,Load!$B:$B,Load!M:M,0,)</f>
        <v>0</v>
      </c>
    </row>
    <row r="2143" spans="1:12" x14ac:dyDescent="0.25">
      <c r="B2143">
        <f>_xlfn.XLOOKUP($A2143,Load!$B:$B,Load!C:C,0,)</f>
        <v>0</v>
      </c>
      <c r="C2143">
        <f>_xlfn.XLOOKUP($A2143,Load!$B:$B,Load!D:D,0,)</f>
        <v>0</v>
      </c>
      <c r="D2143">
        <f>_xlfn.XLOOKUP($A2143,Load!$B:$B,Load!E:E,0,)</f>
        <v>0</v>
      </c>
      <c r="E2143">
        <f>_xlfn.XLOOKUP($A2143,Load!$B:$B,Load!F:F,0,)</f>
        <v>0</v>
      </c>
      <c r="F2143">
        <f>_xlfn.XLOOKUP($A2143,Load!$B:$B,Load!G:G,0,)</f>
        <v>0</v>
      </c>
      <c r="G2143">
        <f>_xlfn.XLOOKUP($A2143,Load!$B:$B,Load!H:H,0,)</f>
        <v>0</v>
      </c>
      <c r="H2143">
        <f>_xlfn.XLOOKUP($A2143,Load!$B:$B,Load!I:I,0,)</f>
        <v>0</v>
      </c>
      <c r="I2143">
        <f>_xlfn.XLOOKUP($A2143,Load!$B:$B,Load!J:J,0,)</f>
        <v>0</v>
      </c>
      <c r="J2143">
        <f>_xlfn.XLOOKUP($A2143,Load!$B:$B,Load!K:K,0,)</f>
        <v>0</v>
      </c>
      <c r="K2143">
        <f>_xlfn.XLOOKUP($A2143,Load!$B:$B,Load!L:L,0,)</f>
        <v>0</v>
      </c>
      <c r="L2143">
        <f>_xlfn.XLOOKUP($A2143,Load!$B:$B,Load!M:M,0,)</f>
        <v>0</v>
      </c>
    </row>
    <row r="2144" spans="1:12" x14ac:dyDescent="0.25">
      <c r="B2144">
        <f>_xlfn.XLOOKUP($A2144,Load!$B:$B,Load!C:C,0,)</f>
        <v>0</v>
      </c>
      <c r="C2144">
        <f>_xlfn.XLOOKUP($A2144,Load!$B:$B,Load!D:D,0,)</f>
        <v>0</v>
      </c>
      <c r="D2144">
        <f>_xlfn.XLOOKUP($A2144,Load!$B:$B,Load!E:E,0,)</f>
        <v>0</v>
      </c>
      <c r="E2144">
        <f>_xlfn.XLOOKUP($A2144,Load!$B:$B,Load!F:F,0,)</f>
        <v>0</v>
      </c>
      <c r="F2144">
        <f>_xlfn.XLOOKUP($A2144,Load!$B:$B,Load!G:G,0,)</f>
        <v>0</v>
      </c>
      <c r="G2144">
        <f>_xlfn.XLOOKUP($A2144,Load!$B:$B,Load!H:H,0,)</f>
        <v>0</v>
      </c>
      <c r="H2144">
        <f>_xlfn.XLOOKUP($A2144,Load!$B:$B,Load!I:I,0,)</f>
        <v>0</v>
      </c>
      <c r="I2144">
        <f>_xlfn.XLOOKUP($A2144,Load!$B:$B,Load!J:J,0,)</f>
        <v>0</v>
      </c>
      <c r="J2144">
        <f>_xlfn.XLOOKUP($A2144,Load!$B:$B,Load!K:K,0,)</f>
        <v>0</v>
      </c>
      <c r="K2144">
        <f>_xlfn.XLOOKUP($A2144,Load!$B:$B,Load!L:L,0,)</f>
        <v>0</v>
      </c>
      <c r="L2144">
        <f>_xlfn.XLOOKUP($A2144,Load!$B:$B,Load!M:M,0,)</f>
        <v>0</v>
      </c>
    </row>
    <row r="2145" spans="1:12" x14ac:dyDescent="0.25">
      <c r="B2145">
        <f>_xlfn.XLOOKUP($A2145,Load!$B:$B,Load!C:C,0,)</f>
        <v>0</v>
      </c>
      <c r="C2145">
        <f>_xlfn.XLOOKUP($A2145,Load!$B:$B,Load!D:D,0,)</f>
        <v>0</v>
      </c>
      <c r="D2145">
        <f>_xlfn.XLOOKUP($A2145,Load!$B:$B,Load!E:E,0,)</f>
        <v>0</v>
      </c>
      <c r="E2145">
        <f>_xlfn.XLOOKUP($A2145,Load!$B:$B,Load!F:F,0,)</f>
        <v>0</v>
      </c>
      <c r="F2145">
        <f>_xlfn.XLOOKUP($A2145,Load!$B:$B,Load!G:G,0,)</f>
        <v>0</v>
      </c>
      <c r="G2145">
        <f>_xlfn.XLOOKUP($A2145,Load!$B:$B,Load!H:H,0,)</f>
        <v>0</v>
      </c>
      <c r="H2145">
        <f>_xlfn.XLOOKUP($A2145,Load!$B:$B,Load!I:I,0,)</f>
        <v>0</v>
      </c>
      <c r="I2145">
        <f>_xlfn.XLOOKUP($A2145,Load!$B:$B,Load!J:J,0,)</f>
        <v>0</v>
      </c>
      <c r="J2145">
        <f>_xlfn.XLOOKUP($A2145,Load!$B:$B,Load!K:K,0,)</f>
        <v>0</v>
      </c>
      <c r="K2145">
        <f>_xlfn.XLOOKUP($A2145,Load!$B:$B,Load!L:L,0,)</f>
        <v>0</v>
      </c>
      <c r="L2145">
        <f>_xlfn.XLOOKUP($A2145,Load!$B:$B,Load!M:M,0,)</f>
        <v>0</v>
      </c>
    </row>
    <row r="2146" spans="1:12" x14ac:dyDescent="0.25">
      <c r="B2146">
        <f>_xlfn.XLOOKUP($A2146,Load!$B:$B,Load!C:C,0,)</f>
        <v>0</v>
      </c>
      <c r="C2146">
        <f>_xlfn.XLOOKUP($A2146,Load!$B:$B,Load!D:D,0,)</f>
        <v>0</v>
      </c>
      <c r="D2146">
        <f>_xlfn.XLOOKUP($A2146,Load!$B:$B,Load!E:E,0,)</f>
        <v>0</v>
      </c>
      <c r="E2146">
        <f>_xlfn.XLOOKUP($A2146,Load!$B:$B,Load!F:F,0,)</f>
        <v>0</v>
      </c>
      <c r="F2146">
        <f>_xlfn.XLOOKUP($A2146,Load!$B:$B,Load!G:G,0,)</f>
        <v>0</v>
      </c>
      <c r="G2146">
        <f>_xlfn.XLOOKUP($A2146,Load!$B:$B,Load!H:H,0,)</f>
        <v>0</v>
      </c>
      <c r="H2146">
        <f>_xlfn.XLOOKUP($A2146,Load!$B:$B,Load!I:I,0,)</f>
        <v>0</v>
      </c>
      <c r="I2146">
        <f>_xlfn.XLOOKUP($A2146,Load!$B:$B,Load!J:J,0,)</f>
        <v>0</v>
      </c>
      <c r="J2146">
        <f>_xlfn.XLOOKUP($A2146,Load!$B:$B,Load!K:K,0,)</f>
        <v>0</v>
      </c>
      <c r="K2146">
        <f>_xlfn.XLOOKUP($A2146,Load!$B:$B,Load!L:L,0,)</f>
        <v>0</v>
      </c>
      <c r="L2146">
        <f>_xlfn.XLOOKUP($A2146,Load!$B:$B,Load!M:M,0,)</f>
        <v>0</v>
      </c>
    </row>
    <row r="2147" spans="1:12" x14ac:dyDescent="0.25">
      <c r="B2147">
        <f>_xlfn.XLOOKUP($A2147,Load!$B:$B,Load!C:C,0,)</f>
        <v>0</v>
      </c>
      <c r="C2147">
        <f>_xlfn.XLOOKUP($A2147,Load!$B:$B,Load!D:D,0,)</f>
        <v>0</v>
      </c>
      <c r="D2147">
        <f>_xlfn.XLOOKUP($A2147,Load!$B:$B,Load!E:E,0,)</f>
        <v>0</v>
      </c>
      <c r="E2147">
        <f>_xlfn.XLOOKUP($A2147,Load!$B:$B,Load!F:F,0,)</f>
        <v>0</v>
      </c>
      <c r="F2147">
        <f>_xlfn.XLOOKUP($A2147,Load!$B:$B,Load!G:G,0,)</f>
        <v>0</v>
      </c>
      <c r="G2147">
        <f>_xlfn.XLOOKUP($A2147,Load!$B:$B,Load!H:H,0,)</f>
        <v>0</v>
      </c>
      <c r="H2147">
        <f>_xlfn.XLOOKUP($A2147,Load!$B:$B,Load!I:I,0,)</f>
        <v>0</v>
      </c>
      <c r="I2147">
        <f>_xlfn.XLOOKUP($A2147,Load!$B:$B,Load!J:J,0,)</f>
        <v>0</v>
      </c>
      <c r="J2147">
        <f>_xlfn.XLOOKUP($A2147,Load!$B:$B,Load!K:K,0,)</f>
        <v>0</v>
      </c>
      <c r="K2147">
        <f>_xlfn.XLOOKUP($A2147,Load!$B:$B,Load!L:L,0,)</f>
        <v>0</v>
      </c>
      <c r="L2147">
        <f>_xlfn.XLOOKUP($A2147,Load!$B:$B,Load!M:M,0,)</f>
        <v>0</v>
      </c>
    </row>
    <row r="2148" spans="1:12" x14ac:dyDescent="0.25">
      <c r="A2148" t="s">
        <v>202</v>
      </c>
      <c r="B2148" t="str">
        <f>_xlfn.XLOOKUP($A2148,Load!$B:$B,Load!C:C,0,)</f>
        <v>Mars Variety Pack</v>
      </c>
      <c r="C2148" t="str">
        <f>_xlfn.XLOOKUP($A2148,Load!$B:$B,Load!D:D,0,)</f>
        <v>Mix of Chocolate and Non-Chocolate Candy</v>
      </c>
      <c r="D2148" t="str">
        <f>_xlfn.XLOOKUP($A2148,Load!$B:$B,Load!E:E,0,)</f>
        <v>Variety / Mixed Flavors (Fruity, Sour, Seasonal Flavors)</v>
      </c>
      <c r="E2148" t="str">
        <f>_xlfn.XLOOKUP($A2148,Load!$B:$B,Load!F:F,0,)</f>
        <v>Mixed / Combo Packs (Gummy, Chewy, Taffy, etc.)</v>
      </c>
      <c r="F2148" t="str">
        <f>_xlfn.XLOOKUP($A2148,Load!$B:$B,Load!G:G,0,)</f>
        <v>Large Multipack (More than 80 ct)</v>
      </c>
      <c r="G2148" t="str">
        <f>_xlfn.XLOOKUP($A2148,Load!$B:$B,Load!H:H,0,)</f>
        <v>Stand-Up Bag</v>
      </c>
      <c r="H2148" t="str">
        <f>_xlfn.XLOOKUP($A2148,Load!$B:$B,Load!I:I,0,)</f>
        <v>Everyday Candy Shapes (like Original, Gummy bear, Fruit, Jewels, etc.)</v>
      </c>
      <c r="I2148" t="str">
        <f>_xlfn.XLOOKUP($A2148,Load!$B:$B,Load!J:J,0,)</f>
        <v>Everyday Graphics</v>
      </c>
      <c r="J2148" t="str">
        <f>_xlfn.XLOOKUP($A2148,Load!$B:$B,Load!K:K,0,)</f>
        <v>Fun Size / Treat Size</v>
      </c>
      <c r="K2148" t="str">
        <f>_xlfn.XLOOKUP($A2148,Load!$B:$B,Load!L:L,0,)</f>
        <v>Regular/Original Wrapping</v>
      </c>
      <c r="L2148" t="str">
        <f>_xlfn.XLOOKUP($A2148,Load!$B:$B,Load!M:M,0,)</f>
        <v>Multiple Brands / Variety Flavors or Form</v>
      </c>
    </row>
    <row r="2149" spans="1:12" x14ac:dyDescent="0.25">
      <c r="A2149" t="s">
        <v>201</v>
      </c>
      <c r="B2149" t="str">
        <f>_xlfn.XLOOKUP($A2149,Load!$B:$B,Load!C:C,0,)</f>
        <v>Mars Variety Pack</v>
      </c>
      <c r="C2149" t="str">
        <f>_xlfn.XLOOKUP($A2149,Load!$B:$B,Load!D:D,0,)</f>
        <v>Non-Chocolate Candy Only</v>
      </c>
      <c r="D2149" t="str">
        <f>_xlfn.XLOOKUP($A2149,Load!$B:$B,Load!E:E,0,)</f>
        <v>Variety / Mixed Flavors (Fruity, Sour, Seasonal Flavors)</v>
      </c>
      <c r="E2149" t="str">
        <f>_xlfn.XLOOKUP($A2149,Load!$B:$B,Load!F:F,0,)</f>
        <v>Mixed / Combo Packs (Gummy, Chewy, Taffy, etc.)</v>
      </c>
      <c r="F2149" t="str">
        <f>_xlfn.XLOOKUP($A2149,Load!$B:$B,Load!G:G,0,)</f>
        <v>Large Multipack (More than 80 ct)</v>
      </c>
      <c r="G2149" t="str">
        <f>_xlfn.XLOOKUP($A2149,Load!$B:$B,Load!H:H,0,)</f>
        <v>Stand-Up Bag</v>
      </c>
      <c r="H2149" t="str">
        <f>_xlfn.XLOOKUP($A2149,Load!$B:$B,Load!I:I,0,)</f>
        <v>Everyday Candy Shapes (like Original, Gummy bear, Fruit, Jewels, etc.)</v>
      </c>
      <c r="I2149" t="str">
        <f>_xlfn.XLOOKUP($A2149,Load!$B:$B,Load!J:J,0,)</f>
        <v>Everyday Graphics</v>
      </c>
      <c r="J2149" t="str">
        <f>_xlfn.XLOOKUP($A2149,Load!$B:$B,Load!K:K,0,)</f>
        <v>Fun Size / Treat Size</v>
      </c>
      <c r="K2149" t="str">
        <f>_xlfn.XLOOKUP($A2149,Load!$B:$B,Load!L:L,0,)</f>
        <v>Regular/Original Wrapping</v>
      </c>
      <c r="L2149" t="str">
        <f>_xlfn.XLOOKUP($A2149,Load!$B:$B,Load!M:M,0,)</f>
        <v>Multiple Brands / Variety Flavors or Form</v>
      </c>
    </row>
    <row r="2150" spans="1:12" x14ac:dyDescent="0.25">
      <c r="B2150">
        <f>_xlfn.XLOOKUP($A2150,Load!$B:$B,Load!C:C,0,)</f>
        <v>0</v>
      </c>
      <c r="C2150">
        <f>_xlfn.XLOOKUP($A2150,Load!$B:$B,Load!D:D,0,)</f>
        <v>0</v>
      </c>
      <c r="D2150">
        <f>_xlfn.XLOOKUP($A2150,Load!$B:$B,Load!E:E,0,)</f>
        <v>0</v>
      </c>
      <c r="E2150">
        <f>_xlfn.XLOOKUP($A2150,Load!$B:$B,Load!F:F,0,)</f>
        <v>0</v>
      </c>
      <c r="F2150">
        <f>_xlfn.XLOOKUP($A2150,Load!$B:$B,Load!G:G,0,)</f>
        <v>0</v>
      </c>
      <c r="G2150">
        <f>_xlfn.XLOOKUP($A2150,Load!$B:$B,Load!H:H,0,)</f>
        <v>0</v>
      </c>
      <c r="H2150">
        <f>_xlfn.XLOOKUP($A2150,Load!$B:$B,Load!I:I,0,)</f>
        <v>0</v>
      </c>
      <c r="I2150">
        <f>_xlfn.XLOOKUP($A2150,Load!$B:$B,Load!J:J,0,)</f>
        <v>0</v>
      </c>
      <c r="J2150">
        <f>_xlfn.XLOOKUP($A2150,Load!$B:$B,Load!K:K,0,)</f>
        <v>0</v>
      </c>
      <c r="K2150">
        <f>_xlfn.XLOOKUP($A2150,Load!$B:$B,Load!L:L,0,)</f>
        <v>0</v>
      </c>
      <c r="L2150">
        <f>_xlfn.XLOOKUP($A2150,Load!$B:$B,Load!M:M,0,)</f>
        <v>0</v>
      </c>
    </row>
    <row r="2151" spans="1:12" x14ac:dyDescent="0.25">
      <c r="B2151">
        <f>_xlfn.XLOOKUP($A2151,Load!$B:$B,Load!C:C,0,)</f>
        <v>0</v>
      </c>
      <c r="C2151">
        <f>_xlfn.XLOOKUP($A2151,Load!$B:$B,Load!D:D,0,)</f>
        <v>0</v>
      </c>
      <c r="D2151">
        <f>_xlfn.XLOOKUP($A2151,Load!$B:$B,Load!E:E,0,)</f>
        <v>0</v>
      </c>
      <c r="E2151">
        <f>_xlfn.XLOOKUP($A2151,Load!$B:$B,Load!F:F,0,)</f>
        <v>0</v>
      </c>
      <c r="F2151">
        <f>_xlfn.XLOOKUP($A2151,Load!$B:$B,Load!G:G,0,)</f>
        <v>0</v>
      </c>
      <c r="G2151">
        <f>_xlfn.XLOOKUP($A2151,Load!$B:$B,Load!H:H,0,)</f>
        <v>0</v>
      </c>
      <c r="H2151">
        <f>_xlfn.XLOOKUP($A2151,Load!$B:$B,Load!I:I,0,)</f>
        <v>0</v>
      </c>
      <c r="I2151">
        <f>_xlfn.XLOOKUP($A2151,Load!$B:$B,Load!J:J,0,)</f>
        <v>0</v>
      </c>
      <c r="J2151">
        <f>_xlfn.XLOOKUP($A2151,Load!$B:$B,Load!K:K,0,)</f>
        <v>0</v>
      </c>
      <c r="K2151">
        <f>_xlfn.XLOOKUP($A2151,Load!$B:$B,Load!L:L,0,)</f>
        <v>0</v>
      </c>
      <c r="L2151">
        <f>_xlfn.XLOOKUP($A2151,Load!$B:$B,Load!M:M,0,)</f>
        <v>0</v>
      </c>
    </row>
    <row r="2152" spans="1:12" x14ac:dyDescent="0.25">
      <c r="B2152">
        <f>_xlfn.XLOOKUP($A2152,Load!$B:$B,Load!C:C,0,)</f>
        <v>0</v>
      </c>
      <c r="C2152">
        <f>_xlfn.XLOOKUP($A2152,Load!$B:$B,Load!D:D,0,)</f>
        <v>0</v>
      </c>
      <c r="D2152">
        <f>_xlfn.XLOOKUP($A2152,Load!$B:$B,Load!E:E,0,)</f>
        <v>0</v>
      </c>
      <c r="E2152">
        <f>_xlfn.XLOOKUP($A2152,Load!$B:$B,Load!F:F,0,)</f>
        <v>0</v>
      </c>
      <c r="F2152">
        <f>_xlfn.XLOOKUP($A2152,Load!$B:$B,Load!G:G,0,)</f>
        <v>0</v>
      </c>
      <c r="G2152">
        <f>_xlfn.XLOOKUP($A2152,Load!$B:$B,Load!H:H,0,)</f>
        <v>0</v>
      </c>
      <c r="H2152">
        <f>_xlfn.XLOOKUP($A2152,Load!$B:$B,Load!I:I,0,)</f>
        <v>0</v>
      </c>
      <c r="I2152">
        <f>_xlfn.XLOOKUP($A2152,Load!$B:$B,Load!J:J,0,)</f>
        <v>0</v>
      </c>
      <c r="J2152">
        <f>_xlfn.XLOOKUP($A2152,Load!$B:$B,Load!K:K,0,)</f>
        <v>0</v>
      </c>
      <c r="K2152">
        <f>_xlfn.XLOOKUP($A2152,Load!$B:$B,Load!L:L,0,)</f>
        <v>0</v>
      </c>
      <c r="L2152">
        <f>_xlfn.XLOOKUP($A2152,Load!$B:$B,Load!M:M,0,)</f>
        <v>0</v>
      </c>
    </row>
    <row r="2153" spans="1:12" x14ac:dyDescent="0.25">
      <c r="B2153">
        <f>_xlfn.XLOOKUP($A2153,Load!$B:$B,Load!C:C,0,)</f>
        <v>0</v>
      </c>
      <c r="C2153">
        <f>_xlfn.XLOOKUP($A2153,Load!$B:$B,Load!D:D,0,)</f>
        <v>0</v>
      </c>
      <c r="D2153">
        <f>_xlfn.XLOOKUP($A2153,Load!$B:$B,Load!E:E,0,)</f>
        <v>0</v>
      </c>
      <c r="E2153">
        <f>_xlfn.XLOOKUP($A2153,Load!$B:$B,Load!F:F,0,)</f>
        <v>0</v>
      </c>
      <c r="F2153">
        <f>_xlfn.XLOOKUP($A2153,Load!$B:$B,Load!G:G,0,)</f>
        <v>0</v>
      </c>
      <c r="G2153">
        <f>_xlfn.XLOOKUP($A2153,Load!$B:$B,Load!H:H,0,)</f>
        <v>0</v>
      </c>
      <c r="H2153">
        <f>_xlfn.XLOOKUP($A2153,Load!$B:$B,Load!I:I,0,)</f>
        <v>0</v>
      </c>
      <c r="I2153">
        <f>_xlfn.XLOOKUP($A2153,Load!$B:$B,Load!J:J,0,)</f>
        <v>0</v>
      </c>
      <c r="J2153">
        <f>_xlfn.XLOOKUP($A2153,Load!$B:$B,Load!K:K,0,)</f>
        <v>0</v>
      </c>
      <c r="K2153">
        <f>_xlfn.XLOOKUP($A2153,Load!$B:$B,Load!L:L,0,)</f>
        <v>0</v>
      </c>
      <c r="L2153">
        <f>_xlfn.XLOOKUP($A2153,Load!$B:$B,Load!M:M,0,)</f>
        <v>0</v>
      </c>
    </row>
    <row r="2154" spans="1:12" x14ac:dyDescent="0.25">
      <c r="A2154" t="s">
        <v>253</v>
      </c>
      <c r="B2154" t="str">
        <f>_xlfn.XLOOKUP($A2154,Load!$B:$B,Load!C:C,0,)</f>
        <v>Skittles</v>
      </c>
      <c r="C2154" t="str">
        <f>_xlfn.XLOOKUP($A2154,Load!$B:$B,Load!D:D,0,)</f>
        <v>Non-Chocolate Candy Only</v>
      </c>
      <c r="D2154" t="str">
        <f>_xlfn.XLOOKUP($A2154,Load!$B:$B,Load!E:E,0,)</f>
        <v>Variety / Mixed Flavors (Fruity, Sour, Seasonal Flavors)</v>
      </c>
      <c r="E2154" t="str">
        <f>_xlfn.XLOOKUP($A2154,Load!$B:$B,Load!F:F,0,)</f>
        <v>Mixed / Combo Packs (Gummy, Chewy, Taffy, etc.)</v>
      </c>
      <c r="F2154" t="str">
        <f>_xlfn.XLOOKUP($A2154,Load!$B:$B,Load!G:G,0,)</f>
        <v>Medium Multipack (40–80 ct)</v>
      </c>
      <c r="G2154" t="str">
        <f>_xlfn.XLOOKUP($A2154,Load!$B:$B,Load!H:H,0,)</f>
        <v>Stand-Up Bag</v>
      </c>
      <c r="H2154" t="str">
        <f>_xlfn.XLOOKUP($A2154,Load!$B:$B,Load!I:I,0,)</f>
        <v>Everyday Candy Shapes (like Original, Gummy bear, Fruit, Jewels, etc.)</v>
      </c>
      <c r="I2154" t="str">
        <f>_xlfn.XLOOKUP($A2154,Load!$B:$B,Load!J:J,0,)</f>
        <v>Seasonal Graphics (Like Bat, Ghost, Pumpkin, Fall Leaves, Eyeballs, etc.)</v>
      </c>
      <c r="J2154" t="str">
        <f>_xlfn.XLOOKUP($A2154,Load!$B:$B,Load!K:K,0,)</f>
        <v>Small Pieces (Tiny bite size candies)</v>
      </c>
      <c r="K2154" t="str">
        <f>_xlfn.XLOOKUP($A2154,Load!$B:$B,Load!L:L,0,)</f>
        <v>Regular/Original Wrapping</v>
      </c>
      <c r="L2154" t="str">
        <f>_xlfn.XLOOKUP($A2154,Load!$B:$B,Load!M:M,0,)</f>
        <v>Single Brand / Variety Flavors or Form</v>
      </c>
    </row>
    <row r="2155" spans="1:12" x14ac:dyDescent="0.25">
      <c r="B2155">
        <f>_xlfn.XLOOKUP($A2155,Load!$B:$B,Load!C:C,0,)</f>
        <v>0</v>
      </c>
      <c r="C2155">
        <f>_xlfn.XLOOKUP($A2155,Load!$B:$B,Load!D:D,0,)</f>
        <v>0</v>
      </c>
      <c r="D2155">
        <f>_xlfn.XLOOKUP($A2155,Load!$B:$B,Load!E:E,0,)</f>
        <v>0</v>
      </c>
      <c r="E2155">
        <f>_xlfn.XLOOKUP($A2155,Load!$B:$B,Load!F:F,0,)</f>
        <v>0</v>
      </c>
      <c r="F2155">
        <f>_xlfn.XLOOKUP($A2155,Load!$B:$B,Load!G:G,0,)</f>
        <v>0</v>
      </c>
      <c r="G2155">
        <f>_xlfn.XLOOKUP($A2155,Load!$B:$B,Load!H:H,0,)</f>
        <v>0</v>
      </c>
      <c r="H2155">
        <f>_xlfn.XLOOKUP($A2155,Load!$B:$B,Load!I:I,0,)</f>
        <v>0</v>
      </c>
      <c r="I2155">
        <f>_xlfn.XLOOKUP($A2155,Load!$B:$B,Load!J:J,0,)</f>
        <v>0</v>
      </c>
      <c r="J2155">
        <f>_xlfn.XLOOKUP($A2155,Load!$B:$B,Load!K:K,0,)</f>
        <v>0</v>
      </c>
      <c r="K2155">
        <f>_xlfn.XLOOKUP($A2155,Load!$B:$B,Load!L:L,0,)</f>
        <v>0</v>
      </c>
      <c r="L2155">
        <f>_xlfn.XLOOKUP($A2155,Load!$B:$B,Load!M:M,0,)</f>
        <v>0</v>
      </c>
    </row>
    <row r="2156" spans="1:12" x14ac:dyDescent="0.25">
      <c r="A2156" t="s">
        <v>328</v>
      </c>
      <c r="B2156" t="str">
        <f>_xlfn.XLOOKUP($A2156,Load!$B:$B,Load!C:C,0,)</f>
        <v>Googly Eyes</v>
      </c>
      <c r="C2156" t="str">
        <f>_xlfn.XLOOKUP($A2156,Load!$B:$B,Load!D:D,0,)</f>
        <v>Non-Chocolate Candy Only</v>
      </c>
      <c r="D2156" t="str">
        <f>_xlfn.XLOOKUP($A2156,Load!$B:$B,Load!E:E,0,)</f>
        <v>Variety / Mixed Flavors (Fruity, Sour, Seasonal Flavors)</v>
      </c>
      <c r="E2156" t="str">
        <f>_xlfn.XLOOKUP($A2156,Load!$B:$B,Load!F:F,0,)</f>
        <v>Candy Pieces / Bites</v>
      </c>
      <c r="F2156" t="str">
        <f>_xlfn.XLOOKUP($A2156,Load!$B:$B,Load!G:G,0,)</f>
        <v>Single Pack</v>
      </c>
      <c r="G2156" t="str">
        <f>_xlfn.XLOOKUP($A2156,Load!$B:$B,Load!H:H,0,)</f>
        <v>Plastic Cup / Container</v>
      </c>
      <c r="H2156" t="str">
        <f>_xlfn.XLOOKUP($A2156,Load!$B:$B,Load!I:I,0,)</f>
        <v>Seasonal Shapes (like pumpkins, candy corn, ghost, bats, etc.)</v>
      </c>
      <c r="I2156" t="str">
        <f>_xlfn.XLOOKUP($A2156,Load!$B:$B,Load!J:J,0,)</f>
        <v>Seasonal Graphics (Like Bat, Ghost, Pumpkin, Fall Leaves, Eyeballs, etc.)</v>
      </c>
      <c r="J2156" t="str">
        <f>_xlfn.XLOOKUP($A2156,Load!$B:$B,Load!K:K,0,)</f>
        <v>Fun Size / Treat Size</v>
      </c>
      <c r="K2156" t="str">
        <f>_xlfn.XLOOKUP($A2156,Load!$B:$B,Load!L:L,0,)</f>
        <v>Regular/Original Wrapping</v>
      </c>
      <c r="L2156" t="str">
        <f>_xlfn.XLOOKUP($A2156,Load!$B:$B,Load!M:M,0,)</f>
        <v>Single Brand / Variety Flavors or Form</v>
      </c>
    </row>
    <row r="2157" spans="1:12" x14ac:dyDescent="0.25">
      <c r="A2157" t="s">
        <v>327</v>
      </c>
      <c r="B2157" t="str">
        <f>_xlfn.XLOOKUP($A2157,Load!$B:$B,Load!C:C,0,)</f>
        <v>Googly Eyes</v>
      </c>
      <c r="C2157" t="str">
        <f>_xlfn.XLOOKUP($A2157,Load!$B:$B,Load!D:D,0,)</f>
        <v>Non-Chocolate Candy Only</v>
      </c>
      <c r="D2157" t="str">
        <f>_xlfn.XLOOKUP($A2157,Load!$B:$B,Load!E:E,0,)</f>
        <v>Variety / Mixed Flavors (Fruity, Sour, Seasonal Flavors)</v>
      </c>
      <c r="E2157" t="str">
        <f>_xlfn.XLOOKUP($A2157,Load!$B:$B,Load!F:F,0,)</f>
        <v>Candy Pieces / Bites</v>
      </c>
      <c r="F2157" t="str">
        <f>_xlfn.XLOOKUP($A2157,Load!$B:$B,Load!G:G,0,)</f>
        <v>Small Multipack (Less than 40 ct)</v>
      </c>
      <c r="G2157" t="str">
        <f>_xlfn.XLOOKUP($A2157,Load!$B:$B,Load!H:H,0,)</f>
        <v>Plastic Cup / Container</v>
      </c>
      <c r="H2157" t="str">
        <f>_xlfn.XLOOKUP($A2157,Load!$B:$B,Load!I:I,0,)</f>
        <v>Seasonal Shapes (like pumpkins, candy corn, ghost, bats, etc.)</v>
      </c>
      <c r="I2157" t="str">
        <f>_xlfn.XLOOKUP($A2157,Load!$B:$B,Load!J:J,0,)</f>
        <v>Seasonal Graphics (Like Bat, Ghost, Pumpkin, Fall Leaves, Eyeballs, etc.)</v>
      </c>
      <c r="J2157" t="str">
        <f>_xlfn.XLOOKUP($A2157,Load!$B:$B,Load!K:K,0,)</f>
        <v>Fun Size / Treat Size</v>
      </c>
      <c r="K2157" t="str">
        <f>_xlfn.XLOOKUP($A2157,Load!$B:$B,Load!L:L,0,)</f>
        <v>Regular/Original Wrapping</v>
      </c>
      <c r="L2157" t="str">
        <f>_xlfn.XLOOKUP($A2157,Load!$B:$B,Load!M:M,0,)</f>
        <v>Single Brand / Variety Flavors or Form</v>
      </c>
    </row>
    <row r="2158" spans="1:12" x14ac:dyDescent="0.25">
      <c r="A2158" t="s">
        <v>176</v>
      </c>
      <c r="B2158" t="str">
        <f>_xlfn.XLOOKUP($A2158,Load!$B:$B,Load!C:C,0,)</f>
        <v>Mars Variety Pack</v>
      </c>
      <c r="C2158" t="str">
        <f>_xlfn.XLOOKUP($A2158,Load!$B:$B,Load!D:D,0,)</f>
        <v>Non-Chocolate Candy Only</v>
      </c>
      <c r="D2158" t="str">
        <f>_xlfn.XLOOKUP($A2158,Load!$B:$B,Load!E:E,0,)</f>
        <v>Variety / Mixed Flavors (Fruity, Sour, Seasonal Flavors)</v>
      </c>
      <c r="E2158" t="str">
        <f>_xlfn.XLOOKUP($A2158,Load!$B:$B,Load!F:F,0,)</f>
        <v>Mixed / Combo Packs (Gummy, Chewy, Taffy, etc.)</v>
      </c>
      <c r="F2158" t="str">
        <f>_xlfn.XLOOKUP($A2158,Load!$B:$B,Load!G:G,0,)</f>
        <v>Large Multipack (More than 80 ct)</v>
      </c>
      <c r="G2158" t="str">
        <f>_xlfn.XLOOKUP($A2158,Load!$B:$B,Load!H:H,0,)</f>
        <v>Stand-Up Bag</v>
      </c>
      <c r="H2158" t="str">
        <f>_xlfn.XLOOKUP($A2158,Load!$B:$B,Load!I:I,0,)</f>
        <v>Everyday Candy Shapes (like Original, Gummy bear, Fruit, Jewels, etc.)</v>
      </c>
      <c r="I2158" t="str">
        <f>_xlfn.XLOOKUP($A2158,Load!$B:$B,Load!J:J,0,)</f>
        <v>Seasonal Graphics (Like Bat, Ghost, Pumpkin, Fall Leaves, Eyeballs, etc.)</v>
      </c>
      <c r="J2158" t="str">
        <f>_xlfn.XLOOKUP($A2158,Load!$B:$B,Load!K:K,0,)</f>
        <v>Fun Size / Treat Size</v>
      </c>
      <c r="K2158" t="str">
        <f>_xlfn.XLOOKUP($A2158,Load!$B:$B,Load!L:L,0,)</f>
        <v>Regular/Original Wrapping</v>
      </c>
      <c r="L2158" t="str">
        <f>_xlfn.XLOOKUP($A2158,Load!$B:$B,Load!M:M,0,)</f>
        <v>Multiple Brands / Variety Flavors or Form</v>
      </c>
    </row>
    <row r="2159" spans="1:12" x14ac:dyDescent="0.25">
      <c r="A2159" t="s">
        <v>207</v>
      </c>
      <c r="B2159" t="str">
        <f>_xlfn.XLOOKUP($A2159,Load!$B:$B,Load!C:C,0,)</f>
        <v>Mars Variety Pack</v>
      </c>
      <c r="C2159" t="str">
        <f>_xlfn.XLOOKUP($A2159,Load!$B:$B,Load!D:D,0,)</f>
        <v>Mix of Chocolate and Non-Chocolate Candy</v>
      </c>
      <c r="D2159" t="str">
        <f>_xlfn.XLOOKUP($A2159,Load!$B:$B,Load!E:E,0,)</f>
        <v>Variety / Mixed Flavors (Fruity, Sour, Seasonal Flavors)</v>
      </c>
      <c r="E2159" t="str">
        <f>_xlfn.XLOOKUP($A2159,Load!$B:$B,Load!F:F,0,)</f>
        <v>Mixed / Combo Packs (Gummy, Chewy, Taffy, etc.)</v>
      </c>
      <c r="F2159" t="str">
        <f>_xlfn.XLOOKUP($A2159,Load!$B:$B,Load!G:G,0,)</f>
        <v>Large Multipack (More than 80 ct)</v>
      </c>
      <c r="G2159" t="str">
        <f>_xlfn.XLOOKUP($A2159,Load!$B:$B,Load!H:H,0,)</f>
        <v>Stand-Up Bag</v>
      </c>
      <c r="H2159" t="str">
        <f>_xlfn.XLOOKUP($A2159,Load!$B:$B,Load!I:I,0,)</f>
        <v>Everyday Candy Shapes (like Original, Gummy bear, Fruit, Jewels, etc.)</v>
      </c>
      <c r="I2159" t="str">
        <f>_xlfn.XLOOKUP($A2159,Load!$B:$B,Load!J:J,0,)</f>
        <v>Everyday Graphics</v>
      </c>
      <c r="J2159" t="str">
        <f>_xlfn.XLOOKUP($A2159,Load!$B:$B,Load!K:K,0,)</f>
        <v>Fun Size / Treat Size</v>
      </c>
      <c r="K2159" t="str">
        <f>_xlfn.XLOOKUP($A2159,Load!$B:$B,Load!L:L,0,)</f>
        <v>Regular/Original Wrapping</v>
      </c>
      <c r="L2159" t="str">
        <f>_xlfn.XLOOKUP($A2159,Load!$B:$B,Load!M:M,0,)</f>
        <v>Multiple Brands / Variety Flavors or Form</v>
      </c>
    </row>
    <row r="2160" spans="1:12" x14ac:dyDescent="0.25">
      <c r="B2160">
        <f>_xlfn.XLOOKUP($A2160,Load!$B:$B,Load!C:C,0,)</f>
        <v>0</v>
      </c>
      <c r="C2160">
        <f>_xlfn.XLOOKUP($A2160,Load!$B:$B,Load!D:D,0,)</f>
        <v>0</v>
      </c>
      <c r="D2160">
        <f>_xlfn.XLOOKUP($A2160,Load!$B:$B,Load!E:E,0,)</f>
        <v>0</v>
      </c>
      <c r="E2160">
        <f>_xlfn.XLOOKUP($A2160,Load!$B:$B,Load!F:F,0,)</f>
        <v>0</v>
      </c>
      <c r="F2160">
        <f>_xlfn.XLOOKUP($A2160,Load!$B:$B,Load!G:G,0,)</f>
        <v>0</v>
      </c>
      <c r="G2160">
        <f>_xlfn.XLOOKUP($A2160,Load!$B:$B,Load!H:H,0,)</f>
        <v>0</v>
      </c>
      <c r="H2160">
        <f>_xlfn.XLOOKUP($A2160,Load!$B:$B,Load!I:I,0,)</f>
        <v>0</v>
      </c>
      <c r="I2160">
        <f>_xlfn.XLOOKUP($A2160,Load!$B:$B,Load!J:J,0,)</f>
        <v>0</v>
      </c>
      <c r="J2160">
        <f>_xlfn.XLOOKUP($A2160,Load!$B:$B,Load!K:K,0,)</f>
        <v>0</v>
      </c>
      <c r="K2160">
        <f>_xlfn.XLOOKUP($A2160,Load!$B:$B,Load!L:L,0,)</f>
        <v>0</v>
      </c>
      <c r="L2160">
        <f>_xlfn.XLOOKUP($A2160,Load!$B:$B,Load!M:M,0,)</f>
        <v>0</v>
      </c>
    </row>
    <row r="2161" spans="1:12" x14ac:dyDescent="0.25">
      <c r="B2161">
        <f>_xlfn.XLOOKUP($A2161,Load!$B:$B,Load!C:C,0,)</f>
        <v>0</v>
      </c>
      <c r="C2161">
        <f>_xlfn.XLOOKUP($A2161,Load!$B:$B,Load!D:D,0,)</f>
        <v>0</v>
      </c>
      <c r="D2161">
        <f>_xlfn.XLOOKUP($A2161,Load!$B:$B,Load!E:E,0,)</f>
        <v>0</v>
      </c>
      <c r="E2161">
        <f>_xlfn.XLOOKUP($A2161,Load!$B:$B,Load!F:F,0,)</f>
        <v>0</v>
      </c>
      <c r="F2161">
        <f>_xlfn.XLOOKUP($A2161,Load!$B:$B,Load!G:G,0,)</f>
        <v>0</v>
      </c>
      <c r="G2161">
        <f>_xlfn.XLOOKUP($A2161,Load!$B:$B,Load!H:H,0,)</f>
        <v>0</v>
      </c>
      <c r="H2161">
        <f>_xlfn.XLOOKUP($A2161,Load!$B:$B,Load!I:I,0,)</f>
        <v>0</v>
      </c>
      <c r="I2161">
        <f>_xlfn.XLOOKUP($A2161,Load!$B:$B,Load!J:J,0,)</f>
        <v>0</v>
      </c>
      <c r="J2161">
        <f>_xlfn.XLOOKUP($A2161,Load!$B:$B,Load!K:K,0,)</f>
        <v>0</v>
      </c>
      <c r="K2161">
        <f>_xlfn.XLOOKUP($A2161,Load!$B:$B,Load!L:L,0,)</f>
        <v>0</v>
      </c>
      <c r="L2161">
        <f>_xlfn.XLOOKUP($A2161,Load!$B:$B,Load!M:M,0,)</f>
        <v>0</v>
      </c>
    </row>
    <row r="2162" spans="1:12" x14ac:dyDescent="0.25">
      <c r="B2162">
        <f>_xlfn.XLOOKUP($A2162,Load!$B:$B,Load!C:C,0,)</f>
        <v>0</v>
      </c>
      <c r="C2162">
        <f>_xlfn.XLOOKUP($A2162,Load!$B:$B,Load!D:D,0,)</f>
        <v>0</v>
      </c>
      <c r="D2162">
        <f>_xlfn.XLOOKUP($A2162,Load!$B:$B,Load!E:E,0,)</f>
        <v>0</v>
      </c>
      <c r="E2162">
        <f>_xlfn.XLOOKUP($A2162,Load!$B:$B,Load!F:F,0,)</f>
        <v>0</v>
      </c>
      <c r="F2162">
        <f>_xlfn.XLOOKUP($A2162,Load!$B:$B,Load!G:G,0,)</f>
        <v>0</v>
      </c>
      <c r="G2162">
        <f>_xlfn.XLOOKUP($A2162,Load!$B:$B,Load!H:H,0,)</f>
        <v>0</v>
      </c>
      <c r="H2162">
        <f>_xlfn.XLOOKUP($A2162,Load!$B:$B,Load!I:I,0,)</f>
        <v>0</v>
      </c>
      <c r="I2162">
        <f>_xlfn.XLOOKUP($A2162,Load!$B:$B,Load!J:J,0,)</f>
        <v>0</v>
      </c>
      <c r="J2162">
        <f>_xlfn.XLOOKUP($A2162,Load!$B:$B,Load!K:K,0,)</f>
        <v>0</v>
      </c>
      <c r="K2162">
        <f>_xlfn.XLOOKUP($A2162,Load!$B:$B,Load!L:L,0,)</f>
        <v>0</v>
      </c>
      <c r="L2162">
        <f>_xlfn.XLOOKUP($A2162,Load!$B:$B,Load!M:M,0,)</f>
        <v>0</v>
      </c>
    </row>
    <row r="2163" spans="1:12" x14ac:dyDescent="0.25">
      <c r="B2163">
        <f>_xlfn.XLOOKUP($A2163,Load!$B:$B,Load!C:C,0,)</f>
        <v>0</v>
      </c>
      <c r="C2163">
        <f>_xlfn.XLOOKUP($A2163,Load!$B:$B,Load!D:D,0,)</f>
        <v>0</v>
      </c>
      <c r="D2163">
        <f>_xlfn.XLOOKUP($A2163,Load!$B:$B,Load!E:E,0,)</f>
        <v>0</v>
      </c>
      <c r="E2163">
        <f>_xlfn.XLOOKUP($A2163,Load!$B:$B,Load!F:F,0,)</f>
        <v>0</v>
      </c>
      <c r="F2163">
        <f>_xlfn.XLOOKUP($A2163,Load!$B:$B,Load!G:G,0,)</f>
        <v>0</v>
      </c>
      <c r="G2163">
        <f>_xlfn.XLOOKUP($A2163,Load!$B:$B,Load!H:H,0,)</f>
        <v>0</v>
      </c>
      <c r="H2163">
        <f>_xlfn.XLOOKUP($A2163,Load!$B:$B,Load!I:I,0,)</f>
        <v>0</v>
      </c>
      <c r="I2163">
        <f>_xlfn.XLOOKUP($A2163,Load!$B:$B,Load!J:J,0,)</f>
        <v>0</v>
      </c>
      <c r="J2163">
        <f>_xlfn.XLOOKUP($A2163,Load!$B:$B,Load!K:K,0,)</f>
        <v>0</v>
      </c>
      <c r="K2163">
        <f>_xlfn.XLOOKUP($A2163,Load!$B:$B,Load!L:L,0,)</f>
        <v>0</v>
      </c>
      <c r="L2163">
        <f>_xlfn.XLOOKUP($A2163,Load!$B:$B,Load!M:M,0,)</f>
        <v>0</v>
      </c>
    </row>
    <row r="2164" spans="1:12" x14ac:dyDescent="0.25">
      <c r="B2164">
        <f>_xlfn.XLOOKUP($A2164,Load!$B:$B,Load!C:C,0,)</f>
        <v>0</v>
      </c>
      <c r="C2164">
        <f>_xlfn.XLOOKUP($A2164,Load!$B:$B,Load!D:D,0,)</f>
        <v>0</v>
      </c>
      <c r="D2164">
        <f>_xlfn.XLOOKUP($A2164,Load!$B:$B,Load!E:E,0,)</f>
        <v>0</v>
      </c>
      <c r="E2164">
        <f>_xlfn.XLOOKUP($A2164,Load!$B:$B,Load!F:F,0,)</f>
        <v>0</v>
      </c>
      <c r="F2164">
        <f>_xlfn.XLOOKUP($A2164,Load!$B:$B,Load!G:G,0,)</f>
        <v>0</v>
      </c>
      <c r="G2164">
        <f>_xlfn.XLOOKUP($A2164,Load!$B:$B,Load!H:H,0,)</f>
        <v>0</v>
      </c>
      <c r="H2164">
        <f>_xlfn.XLOOKUP($A2164,Load!$B:$B,Load!I:I,0,)</f>
        <v>0</v>
      </c>
      <c r="I2164">
        <f>_xlfn.XLOOKUP($A2164,Load!$B:$B,Load!J:J,0,)</f>
        <v>0</v>
      </c>
      <c r="J2164">
        <f>_xlfn.XLOOKUP($A2164,Load!$B:$B,Load!K:K,0,)</f>
        <v>0</v>
      </c>
      <c r="K2164">
        <f>_xlfn.XLOOKUP($A2164,Load!$B:$B,Load!L:L,0,)</f>
        <v>0</v>
      </c>
      <c r="L2164">
        <f>_xlfn.XLOOKUP($A2164,Load!$B:$B,Load!M:M,0,)</f>
        <v>0</v>
      </c>
    </row>
    <row r="2165" spans="1:12" x14ac:dyDescent="0.25">
      <c r="B2165">
        <f>_xlfn.XLOOKUP($A2165,Load!$B:$B,Load!C:C,0,)</f>
        <v>0</v>
      </c>
      <c r="C2165">
        <f>_xlfn.XLOOKUP($A2165,Load!$B:$B,Load!D:D,0,)</f>
        <v>0</v>
      </c>
      <c r="D2165">
        <f>_xlfn.XLOOKUP($A2165,Load!$B:$B,Load!E:E,0,)</f>
        <v>0</v>
      </c>
      <c r="E2165">
        <f>_xlfn.XLOOKUP($A2165,Load!$B:$B,Load!F:F,0,)</f>
        <v>0</v>
      </c>
      <c r="F2165">
        <f>_xlfn.XLOOKUP($A2165,Load!$B:$B,Load!G:G,0,)</f>
        <v>0</v>
      </c>
      <c r="G2165">
        <f>_xlfn.XLOOKUP($A2165,Load!$B:$B,Load!H:H,0,)</f>
        <v>0</v>
      </c>
      <c r="H2165">
        <f>_xlfn.XLOOKUP($A2165,Load!$B:$B,Load!I:I,0,)</f>
        <v>0</v>
      </c>
      <c r="I2165">
        <f>_xlfn.XLOOKUP($A2165,Load!$B:$B,Load!J:J,0,)</f>
        <v>0</v>
      </c>
      <c r="J2165">
        <f>_xlfn.XLOOKUP($A2165,Load!$B:$B,Load!K:K,0,)</f>
        <v>0</v>
      </c>
      <c r="K2165">
        <f>_xlfn.XLOOKUP($A2165,Load!$B:$B,Load!L:L,0,)</f>
        <v>0</v>
      </c>
      <c r="L2165">
        <f>_xlfn.XLOOKUP($A2165,Load!$B:$B,Load!M:M,0,)</f>
        <v>0</v>
      </c>
    </row>
    <row r="2166" spans="1:12" x14ac:dyDescent="0.25">
      <c r="B2166">
        <f>_xlfn.XLOOKUP($A2166,Load!$B:$B,Load!C:C,0,)</f>
        <v>0</v>
      </c>
      <c r="C2166">
        <f>_xlfn.XLOOKUP($A2166,Load!$B:$B,Load!D:D,0,)</f>
        <v>0</v>
      </c>
      <c r="D2166">
        <f>_xlfn.XLOOKUP($A2166,Load!$B:$B,Load!E:E,0,)</f>
        <v>0</v>
      </c>
      <c r="E2166">
        <f>_xlfn.XLOOKUP($A2166,Load!$B:$B,Load!F:F,0,)</f>
        <v>0</v>
      </c>
      <c r="F2166">
        <f>_xlfn.XLOOKUP($A2166,Load!$B:$B,Load!G:G,0,)</f>
        <v>0</v>
      </c>
      <c r="G2166">
        <f>_xlfn.XLOOKUP($A2166,Load!$B:$B,Load!H:H,0,)</f>
        <v>0</v>
      </c>
      <c r="H2166">
        <f>_xlfn.XLOOKUP($A2166,Load!$B:$B,Load!I:I,0,)</f>
        <v>0</v>
      </c>
      <c r="I2166">
        <f>_xlfn.XLOOKUP($A2166,Load!$B:$B,Load!J:J,0,)</f>
        <v>0</v>
      </c>
      <c r="J2166">
        <f>_xlfn.XLOOKUP($A2166,Load!$B:$B,Load!K:K,0,)</f>
        <v>0</v>
      </c>
      <c r="K2166">
        <f>_xlfn.XLOOKUP($A2166,Load!$B:$B,Load!L:L,0,)</f>
        <v>0</v>
      </c>
      <c r="L2166">
        <f>_xlfn.XLOOKUP($A2166,Load!$B:$B,Load!M:M,0,)</f>
        <v>0</v>
      </c>
    </row>
    <row r="2167" spans="1:12" x14ac:dyDescent="0.25">
      <c r="B2167">
        <f>_xlfn.XLOOKUP($A2167,Load!$B:$B,Load!C:C,0,)</f>
        <v>0</v>
      </c>
      <c r="C2167">
        <f>_xlfn.XLOOKUP($A2167,Load!$B:$B,Load!D:D,0,)</f>
        <v>0</v>
      </c>
      <c r="D2167">
        <f>_xlfn.XLOOKUP($A2167,Load!$B:$B,Load!E:E,0,)</f>
        <v>0</v>
      </c>
      <c r="E2167">
        <f>_xlfn.XLOOKUP($A2167,Load!$B:$B,Load!F:F,0,)</f>
        <v>0</v>
      </c>
      <c r="F2167">
        <f>_xlfn.XLOOKUP($A2167,Load!$B:$B,Load!G:G,0,)</f>
        <v>0</v>
      </c>
      <c r="G2167">
        <f>_xlfn.XLOOKUP($A2167,Load!$B:$B,Load!H:H,0,)</f>
        <v>0</v>
      </c>
      <c r="H2167">
        <f>_xlfn.XLOOKUP($A2167,Load!$B:$B,Load!I:I,0,)</f>
        <v>0</v>
      </c>
      <c r="I2167">
        <f>_xlfn.XLOOKUP($A2167,Load!$B:$B,Load!J:J,0,)</f>
        <v>0</v>
      </c>
      <c r="J2167">
        <f>_xlfn.XLOOKUP($A2167,Load!$B:$B,Load!K:K,0,)</f>
        <v>0</v>
      </c>
      <c r="K2167">
        <f>_xlfn.XLOOKUP($A2167,Load!$B:$B,Load!L:L,0,)</f>
        <v>0</v>
      </c>
      <c r="L2167">
        <f>_xlfn.XLOOKUP($A2167,Load!$B:$B,Load!M:M,0,)</f>
        <v>0</v>
      </c>
    </row>
    <row r="2168" spans="1:12" x14ac:dyDescent="0.25">
      <c r="B2168">
        <f>_xlfn.XLOOKUP($A2168,Load!$B:$B,Load!C:C,0,)</f>
        <v>0</v>
      </c>
      <c r="C2168">
        <f>_xlfn.XLOOKUP($A2168,Load!$B:$B,Load!D:D,0,)</f>
        <v>0</v>
      </c>
      <c r="D2168">
        <f>_xlfn.XLOOKUP($A2168,Load!$B:$B,Load!E:E,0,)</f>
        <v>0</v>
      </c>
      <c r="E2168">
        <f>_xlfn.XLOOKUP($A2168,Load!$B:$B,Load!F:F,0,)</f>
        <v>0</v>
      </c>
      <c r="F2168">
        <f>_xlfn.XLOOKUP($A2168,Load!$B:$B,Load!G:G,0,)</f>
        <v>0</v>
      </c>
      <c r="G2168">
        <f>_xlfn.XLOOKUP($A2168,Load!$B:$B,Load!H:H,0,)</f>
        <v>0</v>
      </c>
      <c r="H2168">
        <f>_xlfn.XLOOKUP($A2168,Load!$B:$B,Load!I:I,0,)</f>
        <v>0</v>
      </c>
      <c r="I2168">
        <f>_xlfn.XLOOKUP($A2168,Load!$B:$B,Load!J:J,0,)</f>
        <v>0</v>
      </c>
      <c r="J2168">
        <f>_xlfn.XLOOKUP($A2168,Load!$B:$B,Load!K:K,0,)</f>
        <v>0</v>
      </c>
      <c r="K2168">
        <f>_xlfn.XLOOKUP($A2168,Load!$B:$B,Load!L:L,0,)</f>
        <v>0</v>
      </c>
      <c r="L2168">
        <f>_xlfn.XLOOKUP($A2168,Load!$B:$B,Load!M:M,0,)</f>
        <v>0</v>
      </c>
    </row>
    <row r="2169" spans="1:12" x14ac:dyDescent="0.25">
      <c r="B2169">
        <f>_xlfn.XLOOKUP($A2169,Load!$B:$B,Load!C:C,0,)</f>
        <v>0</v>
      </c>
      <c r="C2169">
        <f>_xlfn.XLOOKUP($A2169,Load!$B:$B,Load!D:D,0,)</f>
        <v>0</v>
      </c>
      <c r="D2169">
        <f>_xlfn.XLOOKUP($A2169,Load!$B:$B,Load!E:E,0,)</f>
        <v>0</v>
      </c>
      <c r="E2169">
        <f>_xlfn.XLOOKUP($A2169,Load!$B:$B,Load!F:F,0,)</f>
        <v>0</v>
      </c>
      <c r="F2169">
        <f>_xlfn.XLOOKUP($A2169,Load!$B:$B,Load!G:G,0,)</f>
        <v>0</v>
      </c>
      <c r="G2169">
        <f>_xlfn.XLOOKUP($A2169,Load!$B:$B,Load!H:H,0,)</f>
        <v>0</v>
      </c>
      <c r="H2169">
        <f>_xlfn.XLOOKUP($A2169,Load!$B:$B,Load!I:I,0,)</f>
        <v>0</v>
      </c>
      <c r="I2169">
        <f>_xlfn.XLOOKUP($A2169,Load!$B:$B,Load!J:J,0,)</f>
        <v>0</v>
      </c>
      <c r="J2169">
        <f>_xlfn.XLOOKUP($A2169,Load!$B:$B,Load!K:K,0,)</f>
        <v>0</v>
      </c>
      <c r="K2169">
        <f>_xlfn.XLOOKUP($A2169,Load!$B:$B,Load!L:L,0,)</f>
        <v>0</v>
      </c>
      <c r="L2169">
        <f>_xlfn.XLOOKUP($A2169,Load!$B:$B,Load!M:M,0,)</f>
        <v>0</v>
      </c>
    </row>
    <row r="2170" spans="1:12" x14ac:dyDescent="0.25">
      <c r="A2170" t="s">
        <v>134</v>
      </c>
      <c r="B2170" t="str">
        <f>_xlfn.XLOOKUP($A2170,Load!$B:$B,Load!C:C,0,)</f>
        <v>Hershey's Variety Pack</v>
      </c>
      <c r="C2170" t="str">
        <f>_xlfn.XLOOKUP($A2170,Load!$B:$B,Load!D:D,0,)</f>
        <v>Non-Chocolate Candy Only</v>
      </c>
      <c r="D2170" t="str">
        <f>_xlfn.XLOOKUP($A2170,Load!$B:$B,Load!E:E,0,)</f>
        <v>Variety / Mixed Flavors (Fruity, Sour, Seasonal Flavors)</v>
      </c>
      <c r="E2170" t="str">
        <f>_xlfn.XLOOKUP($A2170,Load!$B:$B,Load!F:F,0,)</f>
        <v>Mixed / Combo Packs (Gummy, Chewy, Taffy, etc.)</v>
      </c>
      <c r="F2170" t="str">
        <f>_xlfn.XLOOKUP($A2170,Load!$B:$B,Load!G:G,0,)</f>
        <v>Large Multipack (More than 80 ct)</v>
      </c>
      <c r="G2170" t="str">
        <f>_xlfn.XLOOKUP($A2170,Load!$B:$B,Load!H:H,0,)</f>
        <v>Stand-Up Bag</v>
      </c>
      <c r="H2170" t="str">
        <f>_xlfn.XLOOKUP($A2170,Load!$B:$B,Load!I:I,0,)</f>
        <v>Everyday Candy Shapes (like Original, Gummy bear, Fruit, Jewels, etc.)</v>
      </c>
      <c r="I2170" t="str">
        <f>_xlfn.XLOOKUP($A2170,Load!$B:$B,Load!J:J,0,)</f>
        <v>Seasonal Graphics (Like Bat, Ghost, Pumpkin, Fall Leaves, Eyeballs, etc.)</v>
      </c>
      <c r="J2170" t="str">
        <f>_xlfn.XLOOKUP($A2170,Load!$B:$B,Load!K:K,0,)</f>
        <v xml:space="preserve">Variety Candy Sizes </v>
      </c>
      <c r="K2170" t="str">
        <f>_xlfn.XLOOKUP($A2170,Load!$B:$B,Load!L:L,0,)</f>
        <v>Regular/Original Wrapping</v>
      </c>
      <c r="L2170" t="str">
        <f>_xlfn.XLOOKUP($A2170,Load!$B:$B,Load!M:M,0,)</f>
        <v>Multiple Brands / Variety Flavors or Form</v>
      </c>
    </row>
    <row r="2171" spans="1:12" x14ac:dyDescent="0.25">
      <c r="A2171" t="s">
        <v>79</v>
      </c>
      <c r="B2171" t="str">
        <f>_xlfn.XLOOKUP($A2171,Load!$B:$B,Load!C:C,0,)</f>
        <v>Ferrara Variety Pack</v>
      </c>
      <c r="C2171" t="str">
        <f>_xlfn.XLOOKUP($A2171,Load!$B:$B,Load!D:D,0,)</f>
        <v>Non-Chocolate Candy Only</v>
      </c>
      <c r="D2171" t="str">
        <f>_xlfn.XLOOKUP($A2171,Load!$B:$B,Load!E:E,0,)</f>
        <v>Variety / Mixed Flavors (Fruity, Sour, Seasonal Flavors)</v>
      </c>
      <c r="E2171" t="str">
        <f>_xlfn.XLOOKUP($A2171,Load!$B:$B,Load!F:F,0,)</f>
        <v>Mixed / Combo Packs (Gummy, Chewy, Taffy, etc.)</v>
      </c>
      <c r="F2171" t="str">
        <f>_xlfn.XLOOKUP($A2171,Load!$B:$B,Load!G:G,0,)</f>
        <v>Large Multipack (More than 80 ct)</v>
      </c>
      <c r="G2171" t="str">
        <f>_xlfn.XLOOKUP($A2171,Load!$B:$B,Load!H:H,0,)</f>
        <v>Stand-Up Bag</v>
      </c>
      <c r="H2171" t="str">
        <f>_xlfn.XLOOKUP($A2171,Load!$B:$B,Load!I:I,0,)</f>
        <v>Everyday Candy Shapes (like Original, Gummy bear, Fruit, Jewels, etc.)</v>
      </c>
      <c r="I2171" t="str">
        <f>_xlfn.XLOOKUP($A2171,Load!$B:$B,Load!J:J,0,)</f>
        <v>Seasonal Graphics (Like Bat, Ghost, Pumpkin, Fall Leaves, Eyeballs, etc.)</v>
      </c>
      <c r="J2171" t="str">
        <f>_xlfn.XLOOKUP($A2171,Load!$B:$B,Load!K:K,0,)</f>
        <v xml:space="preserve">Variety Candy Sizes </v>
      </c>
      <c r="K2171" t="str">
        <f>_xlfn.XLOOKUP($A2171,Load!$B:$B,Load!L:L,0,)</f>
        <v>Regular/Original Wrapping</v>
      </c>
      <c r="L2171" t="str">
        <f>_xlfn.XLOOKUP($A2171,Load!$B:$B,Load!M:M,0,)</f>
        <v>Multiple Brands / Variety Flavors or Form</v>
      </c>
    </row>
    <row r="2172" spans="1:12" x14ac:dyDescent="0.25">
      <c r="B2172">
        <f>_xlfn.XLOOKUP($A2172,Load!$B:$B,Load!C:C,0,)</f>
        <v>0</v>
      </c>
      <c r="C2172">
        <f>_xlfn.XLOOKUP($A2172,Load!$B:$B,Load!D:D,0,)</f>
        <v>0</v>
      </c>
      <c r="D2172">
        <f>_xlfn.XLOOKUP($A2172,Load!$B:$B,Load!E:E,0,)</f>
        <v>0</v>
      </c>
      <c r="E2172">
        <f>_xlfn.XLOOKUP($A2172,Load!$B:$B,Load!F:F,0,)</f>
        <v>0</v>
      </c>
      <c r="F2172">
        <f>_xlfn.XLOOKUP($A2172,Load!$B:$B,Load!G:G,0,)</f>
        <v>0</v>
      </c>
      <c r="G2172">
        <f>_xlfn.XLOOKUP($A2172,Load!$B:$B,Load!H:H,0,)</f>
        <v>0</v>
      </c>
      <c r="H2172">
        <f>_xlfn.XLOOKUP($A2172,Load!$B:$B,Load!I:I,0,)</f>
        <v>0</v>
      </c>
      <c r="I2172">
        <f>_xlfn.XLOOKUP($A2172,Load!$B:$B,Load!J:J,0,)</f>
        <v>0</v>
      </c>
      <c r="J2172">
        <f>_xlfn.XLOOKUP($A2172,Load!$B:$B,Load!K:K,0,)</f>
        <v>0</v>
      </c>
      <c r="K2172">
        <f>_xlfn.XLOOKUP($A2172,Load!$B:$B,Load!L:L,0,)</f>
        <v>0</v>
      </c>
      <c r="L2172">
        <f>_xlfn.XLOOKUP($A2172,Load!$B:$B,Load!M:M,0,)</f>
        <v>0</v>
      </c>
    </row>
    <row r="2173" spans="1:12" x14ac:dyDescent="0.25">
      <c r="B2173">
        <f>_xlfn.XLOOKUP($A2173,Load!$B:$B,Load!C:C,0,)</f>
        <v>0</v>
      </c>
      <c r="C2173">
        <f>_xlfn.XLOOKUP($A2173,Load!$B:$B,Load!D:D,0,)</f>
        <v>0</v>
      </c>
      <c r="D2173">
        <f>_xlfn.XLOOKUP($A2173,Load!$B:$B,Load!E:E,0,)</f>
        <v>0</v>
      </c>
      <c r="E2173">
        <f>_xlfn.XLOOKUP($A2173,Load!$B:$B,Load!F:F,0,)</f>
        <v>0</v>
      </c>
      <c r="F2173">
        <f>_xlfn.XLOOKUP($A2173,Load!$B:$B,Load!G:G,0,)</f>
        <v>0</v>
      </c>
      <c r="G2173">
        <f>_xlfn.XLOOKUP($A2173,Load!$B:$B,Load!H:H,0,)</f>
        <v>0</v>
      </c>
      <c r="H2173">
        <f>_xlfn.XLOOKUP($A2173,Load!$B:$B,Load!I:I,0,)</f>
        <v>0</v>
      </c>
      <c r="I2173">
        <f>_xlfn.XLOOKUP($A2173,Load!$B:$B,Load!J:J,0,)</f>
        <v>0</v>
      </c>
      <c r="J2173">
        <f>_xlfn.XLOOKUP($A2173,Load!$B:$B,Load!K:K,0,)</f>
        <v>0</v>
      </c>
      <c r="K2173">
        <f>_xlfn.XLOOKUP($A2173,Load!$B:$B,Load!L:L,0,)</f>
        <v>0</v>
      </c>
      <c r="L2173">
        <f>_xlfn.XLOOKUP($A2173,Load!$B:$B,Load!M:M,0,)</f>
        <v>0</v>
      </c>
    </row>
    <row r="2174" spans="1:12" x14ac:dyDescent="0.25">
      <c r="B2174">
        <f>_xlfn.XLOOKUP($A2174,Load!$B:$B,Load!C:C,0,)</f>
        <v>0</v>
      </c>
      <c r="C2174">
        <f>_xlfn.XLOOKUP($A2174,Load!$B:$B,Load!D:D,0,)</f>
        <v>0</v>
      </c>
      <c r="D2174">
        <f>_xlfn.XLOOKUP($A2174,Load!$B:$B,Load!E:E,0,)</f>
        <v>0</v>
      </c>
      <c r="E2174">
        <f>_xlfn.XLOOKUP($A2174,Load!$B:$B,Load!F:F,0,)</f>
        <v>0</v>
      </c>
      <c r="F2174">
        <f>_xlfn.XLOOKUP($A2174,Load!$B:$B,Load!G:G,0,)</f>
        <v>0</v>
      </c>
      <c r="G2174">
        <f>_xlfn.XLOOKUP($A2174,Load!$B:$B,Load!H:H,0,)</f>
        <v>0</v>
      </c>
      <c r="H2174">
        <f>_xlfn.XLOOKUP($A2174,Load!$B:$B,Load!I:I,0,)</f>
        <v>0</v>
      </c>
      <c r="I2174">
        <f>_xlfn.XLOOKUP($A2174,Load!$B:$B,Load!J:J,0,)</f>
        <v>0</v>
      </c>
      <c r="J2174">
        <f>_xlfn.XLOOKUP($A2174,Load!$B:$B,Load!K:K,0,)</f>
        <v>0</v>
      </c>
      <c r="K2174">
        <f>_xlfn.XLOOKUP($A2174,Load!$B:$B,Load!L:L,0,)</f>
        <v>0</v>
      </c>
      <c r="L2174">
        <f>_xlfn.XLOOKUP($A2174,Load!$B:$B,Load!M:M,0,)</f>
        <v>0</v>
      </c>
    </row>
    <row r="2175" spans="1:12" x14ac:dyDescent="0.25">
      <c r="B2175">
        <f>_xlfn.XLOOKUP($A2175,Load!$B:$B,Load!C:C,0,)</f>
        <v>0</v>
      </c>
      <c r="C2175">
        <f>_xlfn.XLOOKUP($A2175,Load!$B:$B,Load!D:D,0,)</f>
        <v>0</v>
      </c>
      <c r="D2175">
        <f>_xlfn.XLOOKUP($A2175,Load!$B:$B,Load!E:E,0,)</f>
        <v>0</v>
      </c>
      <c r="E2175">
        <f>_xlfn.XLOOKUP($A2175,Load!$B:$B,Load!F:F,0,)</f>
        <v>0</v>
      </c>
      <c r="F2175">
        <f>_xlfn.XLOOKUP($A2175,Load!$B:$B,Load!G:G,0,)</f>
        <v>0</v>
      </c>
      <c r="G2175">
        <f>_xlfn.XLOOKUP($A2175,Load!$B:$B,Load!H:H,0,)</f>
        <v>0</v>
      </c>
      <c r="H2175">
        <f>_xlfn.XLOOKUP($A2175,Load!$B:$B,Load!I:I,0,)</f>
        <v>0</v>
      </c>
      <c r="I2175">
        <f>_xlfn.XLOOKUP($A2175,Load!$B:$B,Load!J:J,0,)</f>
        <v>0</v>
      </c>
      <c r="J2175">
        <f>_xlfn.XLOOKUP($A2175,Load!$B:$B,Load!K:K,0,)</f>
        <v>0</v>
      </c>
      <c r="K2175">
        <f>_xlfn.XLOOKUP($A2175,Load!$B:$B,Load!L:L,0,)</f>
        <v>0</v>
      </c>
      <c r="L2175">
        <f>_xlfn.XLOOKUP($A2175,Load!$B:$B,Load!M:M,0,)</f>
        <v>0</v>
      </c>
    </row>
    <row r="2176" spans="1:12" x14ac:dyDescent="0.25">
      <c r="B2176">
        <f>_xlfn.XLOOKUP($A2176,Load!$B:$B,Load!C:C,0,)</f>
        <v>0</v>
      </c>
      <c r="C2176">
        <f>_xlfn.XLOOKUP($A2176,Load!$B:$B,Load!D:D,0,)</f>
        <v>0</v>
      </c>
      <c r="D2176">
        <f>_xlfn.XLOOKUP($A2176,Load!$B:$B,Load!E:E,0,)</f>
        <v>0</v>
      </c>
      <c r="E2176">
        <f>_xlfn.XLOOKUP($A2176,Load!$B:$B,Load!F:F,0,)</f>
        <v>0</v>
      </c>
      <c r="F2176">
        <f>_xlfn.XLOOKUP($A2176,Load!$B:$B,Load!G:G,0,)</f>
        <v>0</v>
      </c>
      <c r="G2176">
        <f>_xlfn.XLOOKUP($A2176,Load!$B:$B,Load!H:H,0,)</f>
        <v>0</v>
      </c>
      <c r="H2176">
        <f>_xlfn.XLOOKUP($A2176,Load!$B:$B,Load!I:I,0,)</f>
        <v>0</v>
      </c>
      <c r="I2176">
        <f>_xlfn.XLOOKUP($A2176,Load!$B:$B,Load!J:J,0,)</f>
        <v>0</v>
      </c>
      <c r="J2176">
        <f>_xlfn.XLOOKUP($A2176,Load!$B:$B,Load!K:K,0,)</f>
        <v>0</v>
      </c>
      <c r="K2176">
        <f>_xlfn.XLOOKUP($A2176,Load!$B:$B,Load!L:L,0,)</f>
        <v>0</v>
      </c>
      <c r="L2176">
        <f>_xlfn.XLOOKUP($A2176,Load!$B:$B,Load!M:M,0,)</f>
        <v>0</v>
      </c>
    </row>
    <row r="2177" spans="1:12" x14ac:dyDescent="0.25">
      <c r="B2177">
        <f>_xlfn.XLOOKUP($A2177,Load!$B:$B,Load!C:C,0,)</f>
        <v>0</v>
      </c>
      <c r="C2177">
        <f>_xlfn.XLOOKUP($A2177,Load!$B:$B,Load!D:D,0,)</f>
        <v>0</v>
      </c>
      <c r="D2177">
        <f>_xlfn.XLOOKUP($A2177,Load!$B:$B,Load!E:E,0,)</f>
        <v>0</v>
      </c>
      <c r="E2177">
        <f>_xlfn.XLOOKUP($A2177,Load!$B:$B,Load!F:F,0,)</f>
        <v>0</v>
      </c>
      <c r="F2177">
        <f>_xlfn.XLOOKUP($A2177,Load!$B:$B,Load!G:G,0,)</f>
        <v>0</v>
      </c>
      <c r="G2177">
        <f>_xlfn.XLOOKUP($A2177,Load!$B:$B,Load!H:H,0,)</f>
        <v>0</v>
      </c>
      <c r="H2177">
        <f>_xlfn.XLOOKUP($A2177,Load!$B:$B,Load!I:I,0,)</f>
        <v>0</v>
      </c>
      <c r="I2177">
        <f>_xlfn.XLOOKUP($A2177,Load!$B:$B,Load!J:J,0,)</f>
        <v>0</v>
      </c>
      <c r="J2177">
        <f>_xlfn.XLOOKUP($A2177,Load!$B:$B,Load!K:K,0,)</f>
        <v>0</v>
      </c>
      <c r="K2177">
        <f>_xlfn.XLOOKUP($A2177,Load!$B:$B,Load!L:L,0,)</f>
        <v>0</v>
      </c>
      <c r="L2177">
        <f>_xlfn.XLOOKUP($A2177,Load!$B:$B,Load!M:M,0,)</f>
        <v>0</v>
      </c>
    </row>
    <row r="2178" spans="1:12" x14ac:dyDescent="0.25">
      <c r="B2178">
        <f>_xlfn.XLOOKUP($A2178,Load!$B:$B,Load!C:C,0,)</f>
        <v>0</v>
      </c>
      <c r="C2178">
        <f>_xlfn.XLOOKUP($A2178,Load!$B:$B,Load!D:D,0,)</f>
        <v>0</v>
      </c>
      <c r="D2178">
        <f>_xlfn.XLOOKUP($A2178,Load!$B:$B,Load!E:E,0,)</f>
        <v>0</v>
      </c>
      <c r="E2178">
        <f>_xlfn.XLOOKUP($A2178,Load!$B:$B,Load!F:F,0,)</f>
        <v>0</v>
      </c>
      <c r="F2178">
        <f>_xlfn.XLOOKUP($A2178,Load!$B:$B,Load!G:G,0,)</f>
        <v>0</v>
      </c>
      <c r="G2178">
        <f>_xlfn.XLOOKUP($A2178,Load!$B:$B,Load!H:H,0,)</f>
        <v>0</v>
      </c>
      <c r="H2178">
        <f>_xlfn.XLOOKUP($A2178,Load!$B:$B,Load!I:I,0,)</f>
        <v>0</v>
      </c>
      <c r="I2178">
        <f>_xlfn.XLOOKUP($A2178,Load!$B:$B,Load!J:J,0,)</f>
        <v>0</v>
      </c>
      <c r="J2178">
        <f>_xlfn.XLOOKUP($A2178,Load!$B:$B,Load!K:K,0,)</f>
        <v>0</v>
      </c>
      <c r="K2178">
        <f>_xlfn.XLOOKUP($A2178,Load!$B:$B,Load!L:L,0,)</f>
        <v>0</v>
      </c>
      <c r="L2178">
        <f>_xlfn.XLOOKUP($A2178,Load!$B:$B,Load!M:M,0,)</f>
        <v>0</v>
      </c>
    </row>
    <row r="2179" spans="1:12" x14ac:dyDescent="0.25">
      <c r="B2179">
        <f>_xlfn.XLOOKUP($A2179,Load!$B:$B,Load!C:C,0,)</f>
        <v>0</v>
      </c>
      <c r="C2179">
        <f>_xlfn.XLOOKUP($A2179,Load!$B:$B,Load!D:D,0,)</f>
        <v>0</v>
      </c>
      <c r="D2179">
        <f>_xlfn.XLOOKUP($A2179,Load!$B:$B,Load!E:E,0,)</f>
        <v>0</v>
      </c>
      <c r="E2179">
        <f>_xlfn.XLOOKUP($A2179,Load!$B:$B,Load!F:F,0,)</f>
        <v>0</v>
      </c>
      <c r="F2179">
        <f>_xlfn.XLOOKUP($A2179,Load!$B:$B,Load!G:G,0,)</f>
        <v>0</v>
      </c>
      <c r="G2179">
        <f>_xlfn.XLOOKUP($A2179,Load!$B:$B,Load!H:H,0,)</f>
        <v>0</v>
      </c>
      <c r="H2179">
        <f>_xlfn.XLOOKUP($A2179,Load!$B:$B,Load!I:I,0,)</f>
        <v>0</v>
      </c>
      <c r="I2179">
        <f>_xlfn.XLOOKUP($A2179,Load!$B:$B,Load!J:J,0,)</f>
        <v>0</v>
      </c>
      <c r="J2179">
        <f>_xlfn.XLOOKUP($A2179,Load!$B:$B,Load!K:K,0,)</f>
        <v>0</v>
      </c>
      <c r="K2179">
        <f>_xlfn.XLOOKUP($A2179,Load!$B:$B,Load!L:L,0,)</f>
        <v>0</v>
      </c>
      <c r="L2179">
        <f>_xlfn.XLOOKUP($A2179,Load!$B:$B,Load!M:M,0,)</f>
        <v>0</v>
      </c>
    </row>
    <row r="2180" spans="1:12" x14ac:dyDescent="0.25">
      <c r="A2180" t="s">
        <v>124</v>
      </c>
      <c r="B2180" t="str">
        <f>_xlfn.XLOOKUP($A2180,Load!$B:$B,Load!C:C,0,)</f>
        <v>HARIBO</v>
      </c>
      <c r="C2180" t="str">
        <f>_xlfn.XLOOKUP($A2180,Load!$B:$B,Load!D:D,0,)</f>
        <v>Non-Chocolate Candy Only</v>
      </c>
      <c r="D2180" t="str">
        <f>_xlfn.XLOOKUP($A2180,Load!$B:$B,Load!E:E,0,)</f>
        <v>Fruit Flavor (Cherry, Grape, Apple, Citrus, Tropical Fruit)</v>
      </c>
      <c r="E2180" t="str">
        <f>_xlfn.XLOOKUP($A2180,Load!$B:$B,Load!F:F,0,)</f>
        <v>Gummy</v>
      </c>
      <c r="F2180" t="str">
        <f>_xlfn.XLOOKUP($A2180,Load!$B:$B,Load!G:G,0,)</f>
        <v>Small Multipack (Less than 40 ct)</v>
      </c>
      <c r="G2180" t="str">
        <f>_xlfn.XLOOKUP($A2180,Load!$B:$B,Load!H:H,0,)</f>
        <v>Laydown Bag</v>
      </c>
      <c r="H2180" t="str">
        <f>_xlfn.XLOOKUP($A2180,Load!$B:$B,Load!I:I,0,)</f>
        <v>Everyday Candy Shapes (like Original, Gummy bear, Fruit, Jewels, etc.)</v>
      </c>
      <c r="I2180" t="str">
        <f>_xlfn.XLOOKUP($A2180,Load!$B:$B,Load!J:J,0,)</f>
        <v>Everyday Graphics</v>
      </c>
      <c r="J2180" t="str">
        <f>_xlfn.XLOOKUP($A2180,Load!$B:$B,Load!K:K,0,)</f>
        <v>Small Pieces (Tiny bite size candies)</v>
      </c>
      <c r="K2180" t="str">
        <f>_xlfn.XLOOKUP($A2180,Load!$B:$B,Load!L:L,0,)</f>
        <v>Regular/Original Wrapping</v>
      </c>
      <c r="L2180" t="str">
        <f>_xlfn.XLOOKUP($A2180,Load!$B:$B,Load!M:M,0,)</f>
        <v>Single Brand / Variety Flavors or Form</v>
      </c>
    </row>
    <row r="2181" spans="1:12" x14ac:dyDescent="0.25">
      <c r="B2181">
        <f>_xlfn.XLOOKUP($A2181,Load!$B:$B,Load!C:C,0,)</f>
        <v>0</v>
      </c>
      <c r="C2181">
        <f>_xlfn.XLOOKUP($A2181,Load!$B:$B,Load!D:D,0,)</f>
        <v>0</v>
      </c>
      <c r="D2181">
        <f>_xlfn.XLOOKUP($A2181,Load!$B:$B,Load!E:E,0,)</f>
        <v>0</v>
      </c>
      <c r="E2181">
        <f>_xlfn.XLOOKUP($A2181,Load!$B:$B,Load!F:F,0,)</f>
        <v>0</v>
      </c>
      <c r="F2181">
        <f>_xlfn.XLOOKUP($A2181,Load!$B:$B,Load!G:G,0,)</f>
        <v>0</v>
      </c>
      <c r="G2181">
        <f>_xlfn.XLOOKUP($A2181,Load!$B:$B,Load!H:H,0,)</f>
        <v>0</v>
      </c>
      <c r="H2181">
        <f>_xlfn.XLOOKUP($A2181,Load!$B:$B,Load!I:I,0,)</f>
        <v>0</v>
      </c>
      <c r="I2181">
        <f>_xlfn.XLOOKUP($A2181,Load!$B:$B,Load!J:J,0,)</f>
        <v>0</v>
      </c>
      <c r="J2181">
        <f>_xlfn.XLOOKUP($A2181,Load!$B:$B,Load!K:K,0,)</f>
        <v>0</v>
      </c>
      <c r="K2181">
        <f>_xlfn.XLOOKUP($A2181,Load!$B:$B,Load!L:L,0,)</f>
        <v>0</v>
      </c>
      <c r="L2181">
        <f>_xlfn.XLOOKUP($A2181,Load!$B:$B,Load!M:M,0,)</f>
        <v>0</v>
      </c>
    </row>
    <row r="2182" spans="1:12" x14ac:dyDescent="0.25">
      <c r="A2182" t="s">
        <v>302</v>
      </c>
      <c r="B2182" t="str">
        <f>_xlfn.XLOOKUP($A2182,Load!$B:$B,Load!C:C,0,)</f>
        <v>Twizzlers</v>
      </c>
      <c r="C2182" t="str">
        <f>_xlfn.XLOOKUP($A2182,Load!$B:$B,Load!D:D,0,)</f>
        <v>Non-Chocolate Candy Only</v>
      </c>
      <c r="D2182" t="str">
        <f>_xlfn.XLOOKUP($A2182,Load!$B:$B,Load!E:E,0,)</f>
        <v>Berry Based (Raspberry, Strawberry, Medley, etc.)</v>
      </c>
      <c r="E2182" t="str">
        <f>_xlfn.XLOOKUP($A2182,Load!$B:$B,Load!F:F,0,)</f>
        <v>Chewy</v>
      </c>
      <c r="F2182" t="str">
        <f>_xlfn.XLOOKUP($A2182,Load!$B:$B,Load!G:G,0,)</f>
        <v>Single Pack</v>
      </c>
      <c r="G2182" t="str">
        <f>_xlfn.XLOOKUP($A2182,Load!$B:$B,Load!H:H,0,)</f>
        <v>Laydown Bag</v>
      </c>
      <c r="H2182" t="str">
        <f>_xlfn.XLOOKUP($A2182,Load!$B:$B,Load!I:I,0,)</f>
        <v>Everyday Candy Shapes (like Original, Gummy bear, Fruit, Jewels, etc.)</v>
      </c>
      <c r="I2182" t="str">
        <f>_xlfn.XLOOKUP($A2182,Load!$B:$B,Load!J:J,0,)</f>
        <v>Seasonal Graphics (Like Bat, Ghost, Pumpkin, Fall Leaves, Eyeballs, etc.)</v>
      </c>
      <c r="J2182" t="str">
        <f>_xlfn.XLOOKUP($A2182,Load!$B:$B,Load!K:K,0,)</f>
        <v>Small Pieces (Tiny bite size candies)</v>
      </c>
      <c r="K2182" t="str">
        <f>_xlfn.XLOOKUP($A2182,Load!$B:$B,Load!L:L,0,)</f>
        <v>unwrapped</v>
      </c>
      <c r="L2182" t="str">
        <f>_xlfn.XLOOKUP($A2182,Load!$B:$B,Load!M:M,0,)</f>
        <v>Single Brand / Single Flavor or Form</v>
      </c>
    </row>
    <row r="2183" spans="1:12" x14ac:dyDescent="0.25">
      <c r="B2183">
        <f>_xlfn.XLOOKUP($A2183,Load!$B:$B,Load!C:C,0,)</f>
        <v>0</v>
      </c>
      <c r="C2183">
        <f>_xlfn.XLOOKUP($A2183,Load!$B:$B,Load!D:D,0,)</f>
        <v>0</v>
      </c>
      <c r="D2183">
        <f>_xlfn.XLOOKUP($A2183,Load!$B:$B,Load!E:E,0,)</f>
        <v>0</v>
      </c>
      <c r="E2183">
        <f>_xlfn.XLOOKUP($A2183,Load!$B:$B,Load!F:F,0,)</f>
        <v>0</v>
      </c>
      <c r="F2183">
        <f>_xlfn.XLOOKUP($A2183,Load!$B:$B,Load!G:G,0,)</f>
        <v>0</v>
      </c>
      <c r="G2183">
        <f>_xlfn.XLOOKUP($A2183,Load!$B:$B,Load!H:H,0,)</f>
        <v>0</v>
      </c>
      <c r="H2183">
        <f>_xlfn.XLOOKUP($A2183,Load!$B:$B,Load!I:I,0,)</f>
        <v>0</v>
      </c>
      <c r="I2183">
        <f>_xlfn.XLOOKUP($A2183,Load!$B:$B,Load!J:J,0,)</f>
        <v>0</v>
      </c>
      <c r="J2183">
        <f>_xlfn.XLOOKUP($A2183,Load!$B:$B,Load!K:K,0,)</f>
        <v>0</v>
      </c>
      <c r="K2183">
        <f>_xlfn.XLOOKUP($A2183,Load!$B:$B,Load!L:L,0,)</f>
        <v>0</v>
      </c>
      <c r="L2183">
        <f>_xlfn.XLOOKUP($A2183,Load!$B:$B,Load!M:M,0,)</f>
        <v>0</v>
      </c>
    </row>
    <row r="2184" spans="1:12" x14ac:dyDescent="0.25">
      <c r="B2184">
        <f>_xlfn.XLOOKUP($A2184,Load!$B:$B,Load!C:C,0,)</f>
        <v>0</v>
      </c>
      <c r="C2184">
        <f>_xlfn.XLOOKUP($A2184,Load!$B:$B,Load!D:D,0,)</f>
        <v>0</v>
      </c>
      <c r="D2184">
        <f>_xlfn.XLOOKUP($A2184,Load!$B:$B,Load!E:E,0,)</f>
        <v>0</v>
      </c>
      <c r="E2184">
        <f>_xlfn.XLOOKUP($A2184,Load!$B:$B,Load!F:F,0,)</f>
        <v>0</v>
      </c>
      <c r="F2184">
        <f>_xlfn.XLOOKUP($A2184,Load!$B:$B,Load!G:G,0,)</f>
        <v>0</v>
      </c>
      <c r="G2184">
        <f>_xlfn.XLOOKUP($A2184,Load!$B:$B,Load!H:H,0,)</f>
        <v>0</v>
      </c>
      <c r="H2184">
        <f>_xlfn.XLOOKUP($A2184,Load!$B:$B,Load!I:I,0,)</f>
        <v>0</v>
      </c>
      <c r="I2184">
        <f>_xlfn.XLOOKUP($A2184,Load!$B:$B,Load!J:J,0,)</f>
        <v>0</v>
      </c>
      <c r="J2184">
        <f>_xlfn.XLOOKUP($A2184,Load!$B:$B,Load!K:K,0,)</f>
        <v>0</v>
      </c>
      <c r="K2184">
        <f>_xlfn.XLOOKUP($A2184,Load!$B:$B,Load!L:L,0,)</f>
        <v>0</v>
      </c>
      <c r="L2184">
        <f>_xlfn.XLOOKUP($A2184,Load!$B:$B,Load!M:M,0,)</f>
        <v>0</v>
      </c>
    </row>
    <row r="2185" spans="1:12" x14ac:dyDescent="0.25">
      <c r="B2185">
        <f>_xlfn.XLOOKUP($A2185,Load!$B:$B,Load!C:C,0,)</f>
        <v>0</v>
      </c>
      <c r="C2185">
        <f>_xlfn.XLOOKUP($A2185,Load!$B:$B,Load!D:D,0,)</f>
        <v>0</v>
      </c>
      <c r="D2185">
        <f>_xlfn.XLOOKUP($A2185,Load!$B:$B,Load!E:E,0,)</f>
        <v>0</v>
      </c>
      <c r="E2185">
        <f>_xlfn.XLOOKUP($A2185,Load!$B:$B,Load!F:F,0,)</f>
        <v>0</v>
      </c>
      <c r="F2185">
        <f>_xlfn.XLOOKUP($A2185,Load!$B:$B,Load!G:G,0,)</f>
        <v>0</v>
      </c>
      <c r="G2185">
        <f>_xlfn.XLOOKUP($A2185,Load!$B:$B,Load!H:H,0,)</f>
        <v>0</v>
      </c>
      <c r="H2185">
        <f>_xlfn.XLOOKUP($A2185,Load!$B:$B,Load!I:I,0,)</f>
        <v>0</v>
      </c>
      <c r="I2185">
        <f>_xlfn.XLOOKUP($A2185,Load!$B:$B,Load!J:J,0,)</f>
        <v>0</v>
      </c>
      <c r="J2185">
        <f>_xlfn.XLOOKUP($A2185,Load!$B:$B,Load!K:K,0,)</f>
        <v>0</v>
      </c>
      <c r="K2185">
        <f>_xlfn.XLOOKUP($A2185,Load!$B:$B,Load!L:L,0,)</f>
        <v>0</v>
      </c>
      <c r="L2185">
        <f>_xlfn.XLOOKUP($A2185,Load!$B:$B,Load!M:M,0,)</f>
        <v>0</v>
      </c>
    </row>
    <row r="2186" spans="1:12" x14ac:dyDescent="0.25">
      <c r="B2186">
        <f>_xlfn.XLOOKUP($A2186,Load!$B:$B,Load!C:C,0,)</f>
        <v>0</v>
      </c>
      <c r="C2186">
        <f>_xlfn.XLOOKUP($A2186,Load!$B:$B,Load!D:D,0,)</f>
        <v>0</v>
      </c>
      <c r="D2186">
        <f>_xlfn.XLOOKUP($A2186,Load!$B:$B,Load!E:E,0,)</f>
        <v>0</v>
      </c>
      <c r="E2186">
        <f>_xlfn.XLOOKUP($A2186,Load!$B:$B,Load!F:F,0,)</f>
        <v>0</v>
      </c>
      <c r="F2186">
        <f>_xlfn.XLOOKUP($A2186,Load!$B:$B,Load!G:G,0,)</f>
        <v>0</v>
      </c>
      <c r="G2186">
        <f>_xlfn.XLOOKUP($A2186,Load!$B:$B,Load!H:H,0,)</f>
        <v>0</v>
      </c>
      <c r="H2186">
        <f>_xlfn.XLOOKUP($A2186,Load!$B:$B,Load!I:I,0,)</f>
        <v>0</v>
      </c>
      <c r="I2186">
        <f>_xlfn.XLOOKUP($A2186,Load!$B:$B,Load!J:J,0,)</f>
        <v>0</v>
      </c>
      <c r="J2186">
        <f>_xlfn.XLOOKUP($A2186,Load!$B:$B,Load!K:K,0,)</f>
        <v>0</v>
      </c>
      <c r="K2186">
        <f>_xlfn.XLOOKUP($A2186,Load!$B:$B,Load!L:L,0,)</f>
        <v>0</v>
      </c>
      <c r="L2186">
        <f>_xlfn.XLOOKUP($A2186,Load!$B:$B,Load!M:M,0,)</f>
        <v>0</v>
      </c>
    </row>
    <row r="2187" spans="1:12" x14ac:dyDescent="0.25">
      <c r="B2187">
        <f>_xlfn.XLOOKUP($A2187,Load!$B:$B,Load!C:C,0,)</f>
        <v>0</v>
      </c>
      <c r="C2187">
        <f>_xlfn.XLOOKUP($A2187,Load!$B:$B,Load!D:D,0,)</f>
        <v>0</v>
      </c>
      <c r="D2187">
        <f>_xlfn.XLOOKUP($A2187,Load!$B:$B,Load!E:E,0,)</f>
        <v>0</v>
      </c>
      <c r="E2187">
        <f>_xlfn.XLOOKUP($A2187,Load!$B:$B,Load!F:F,0,)</f>
        <v>0</v>
      </c>
      <c r="F2187">
        <f>_xlfn.XLOOKUP($A2187,Load!$B:$B,Load!G:G,0,)</f>
        <v>0</v>
      </c>
      <c r="G2187">
        <f>_xlfn.XLOOKUP($A2187,Load!$B:$B,Load!H:H,0,)</f>
        <v>0</v>
      </c>
      <c r="H2187">
        <f>_xlfn.XLOOKUP($A2187,Load!$B:$B,Load!I:I,0,)</f>
        <v>0</v>
      </c>
      <c r="I2187">
        <f>_xlfn.XLOOKUP($A2187,Load!$B:$B,Load!J:J,0,)</f>
        <v>0</v>
      </c>
      <c r="J2187">
        <f>_xlfn.XLOOKUP($A2187,Load!$B:$B,Load!K:K,0,)</f>
        <v>0</v>
      </c>
      <c r="K2187">
        <f>_xlfn.XLOOKUP($A2187,Load!$B:$B,Load!L:L,0,)</f>
        <v>0</v>
      </c>
      <c r="L2187">
        <f>_xlfn.XLOOKUP($A2187,Load!$B:$B,Load!M:M,0,)</f>
        <v>0</v>
      </c>
    </row>
    <row r="2188" spans="1:12" x14ac:dyDescent="0.25">
      <c r="A2188" t="s">
        <v>4</v>
      </c>
      <c r="B2188" t="str">
        <f>_xlfn.XLOOKUP($A2188,Load!$B:$B,Load!C:C,0,)</f>
        <v>Airheads</v>
      </c>
      <c r="C2188" t="str">
        <f>_xlfn.XLOOKUP($A2188,Load!$B:$B,Load!D:D,0,)</f>
        <v>Non-Chocolate Candy Only</v>
      </c>
      <c r="D2188" t="str">
        <f>_xlfn.XLOOKUP($A2188,Load!$B:$B,Load!E:E,0,)</f>
        <v>Variety / Mixed Flavors (Fruity, Sour, Seasonal Flavors)</v>
      </c>
      <c r="E2188" t="str">
        <f>_xlfn.XLOOKUP($A2188,Load!$B:$B,Load!F:F,0,)</f>
        <v>Chewy</v>
      </c>
      <c r="F2188" t="str">
        <f>_xlfn.XLOOKUP($A2188,Load!$B:$B,Load!G:G,0,)</f>
        <v>Large Multipack (More than 80 ct)</v>
      </c>
      <c r="G2188" t="str">
        <f>_xlfn.XLOOKUP($A2188,Load!$B:$B,Load!H:H,0,)</f>
        <v>Box (theatre box, gift box, carton)</v>
      </c>
      <c r="H2188" t="str">
        <f>_xlfn.XLOOKUP($A2188,Load!$B:$B,Load!I:I,0,)</f>
        <v>Everyday Candy Shapes (like Original, Gummy bear, Fruit, Jewels, etc.)</v>
      </c>
      <c r="I2188" t="str">
        <f>_xlfn.XLOOKUP($A2188,Load!$B:$B,Load!J:J,0,)</f>
        <v>Seasonal Graphics (Like Bat, Ghost, Pumpkin, Fall Leaves, Eyeballs, etc.)</v>
      </c>
      <c r="J2188" t="str">
        <f>_xlfn.XLOOKUP($A2188,Load!$B:$B,Load!K:K,0,)</f>
        <v>Fun Size / Treat Size</v>
      </c>
      <c r="K2188" t="str">
        <f>_xlfn.XLOOKUP($A2188,Load!$B:$B,Load!L:L,0,)</f>
        <v>Regular/Original Wrapping</v>
      </c>
      <c r="L2188" t="str">
        <f>_xlfn.XLOOKUP($A2188,Load!$B:$B,Load!M:M,0,)</f>
        <v>Single Brand / Variety Flavors or Form</v>
      </c>
    </row>
    <row r="2189" spans="1:12" x14ac:dyDescent="0.25">
      <c r="A2189" t="s">
        <v>85</v>
      </c>
      <c r="B2189" t="str">
        <f>_xlfn.XLOOKUP($A2189,Load!$B:$B,Load!C:C,0,)</f>
        <v>Ferrara Variety Pack</v>
      </c>
      <c r="C2189" t="str">
        <f>_xlfn.XLOOKUP($A2189,Load!$B:$B,Load!D:D,0,)</f>
        <v>Non-Chocolate Candy Only</v>
      </c>
      <c r="D2189" t="str">
        <f>_xlfn.XLOOKUP($A2189,Load!$B:$B,Load!E:E,0,)</f>
        <v>Variety / Mixed Flavors (Fruity, Sour, Seasonal Flavors)</v>
      </c>
      <c r="E2189" t="str">
        <f>_xlfn.XLOOKUP($A2189,Load!$B:$B,Load!F:F,0,)</f>
        <v>Mixed / Combo Packs (Gummy, Chewy, Taffy, etc.)</v>
      </c>
      <c r="F2189" t="str">
        <f>_xlfn.XLOOKUP($A2189,Load!$B:$B,Load!G:G,0,)</f>
        <v>Large Multipack (More than 80 ct)</v>
      </c>
      <c r="G2189" t="str">
        <f>_xlfn.XLOOKUP($A2189,Load!$B:$B,Load!H:H,0,)</f>
        <v>Stand-Up Bag</v>
      </c>
      <c r="H2189" t="str">
        <f>_xlfn.XLOOKUP($A2189,Load!$B:$B,Load!I:I,0,)</f>
        <v>Seasonal Shapes (like pumpkins, candy corn, ghost, bats, etc.)</v>
      </c>
      <c r="I2189" t="str">
        <f>_xlfn.XLOOKUP($A2189,Load!$B:$B,Load!J:J,0,)</f>
        <v>Seasonal Graphics (Like Bat, Ghost, Pumpkin, Fall Leaves, Eyeballs, etc.)</v>
      </c>
      <c r="J2189" t="str">
        <f>_xlfn.XLOOKUP($A2189,Load!$B:$B,Load!K:K,0,)</f>
        <v>Fun Size / Treat Size</v>
      </c>
      <c r="K2189" t="str">
        <f>_xlfn.XLOOKUP($A2189,Load!$B:$B,Load!L:L,0,)</f>
        <v>Regular/Original Wrapping</v>
      </c>
      <c r="L2189" t="str">
        <f>_xlfn.XLOOKUP($A2189,Load!$B:$B,Load!M:M,0,)</f>
        <v>Multiple Brands / Variety Flavors or Form</v>
      </c>
    </row>
    <row r="2190" spans="1:12" x14ac:dyDescent="0.25">
      <c r="A2190" t="s">
        <v>278</v>
      </c>
      <c r="B2190" t="str">
        <f>_xlfn.XLOOKUP($A2190,Load!$B:$B,Load!C:C,0,)</f>
        <v>Sour Patch Kids</v>
      </c>
      <c r="C2190" t="str">
        <f>_xlfn.XLOOKUP($A2190,Load!$B:$B,Load!D:D,0,)</f>
        <v>Non-Chocolate Candy Only</v>
      </c>
      <c r="D2190" t="str">
        <f>_xlfn.XLOOKUP($A2190,Load!$B:$B,Load!E:E,0,)</f>
        <v>Sour</v>
      </c>
      <c r="E2190" t="str">
        <f>_xlfn.XLOOKUP($A2190,Load!$B:$B,Load!F:F,0,)</f>
        <v>Chewy</v>
      </c>
      <c r="F2190" t="str">
        <f>_xlfn.XLOOKUP($A2190,Load!$B:$B,Load!G:G,0,)</f>
        <v>Single Pack</v>
      </c>
      <c r="G2190" t="str">
        <f>_xlfn.XLOOKUP($A2190,Load!$B:$B,Load!H:H,0,)</f>
        <v>Peg Bag</v>
      </c>
      <c r="H2190" t="str">
        <f>_xlfn.XLOOKUP($A2190,Load!$B:$B,Load!I:I,0,)</f>
        <v>Everyday Candy Shapes (like Original, Gummy bear, Fruit, Jewels, etc.)</v>
      </c>
      <c r="I2190" t="str">
        <f>_xlfn.XLOOKUP($A2190,Load!$B:$B,Load!J:J,0,)</f>
        <v>Seasonal Graphics (Like Bat, Ghost, Pumpkin, Fall Leaves, Eyeballs, etc.)</v>
      </c>
      <c r="J2190" t="str">
        <f>_xlfn.XLOOKUP($A2190,Load!$B:$B,Load!K:K,0,)</f>
        <v>Small Pieces (Tiny bite size candies)</v>
      </c>
      <c r="K2190" t="str">
        <f>_xlfn.XLOOKUP($A2190,Load!$B:$B,Load!L:L,0,)</f>
        <v>Regular/Original Wrapping</v>
      </c>
      <c r="L2190" t="str">
        <f>_xlfn.XLOOKUP($A2190,Load!$B:$B,Load!M:M,0,)</f>
        <v>Single Brand / Variety Flavors or Form</v>
      </c>
    </row>
    <row r="2191" spans="1:12" x14ac:dyDescent="0.25">
      <c r="B2191">
        <f>_xlfn.XLOOKUP($A2191,Load!$B:$B,Load!C:C,0,)</f>
        <v>0</v>
      </c>
      <c r="C2191">
        <f>_xlfn.XLOOKUP($A2191,Load!$B:$B,Load!D:D,0,)</f>
        <v>0</v>
      </c>
      <c r="D2191">
        <f>_xlfn.XLOOKUP($A2191,Load!$B:$B,Load!E:E,0,)</f>
        <v>0</v>
      </c>
      <c r="E2191">
        <f>_xlfn.XLOOKUP($A2191,Load!$B:$B,Load!F:F,0,)</f>
        <v>0</v>
      </c>
      <c r="F2191">
        <f>_xlfn.XLOOKUP($A2191,Load!$B:$B,Load!G:G,0,)</f>
        <v>0</v>
      </c>
      <c r="G2191">
        <f>_xlfn.XLOOKUP($A2191,Load!$B:$B,Load!H:H,0,)</f>
        <v>0</v>
      </c>
      <c r="H2191">
        <f>_xlfn.XLOOKUP($A2191,Load!$B:$B,Load!I:I,0,)</f>
        <v>0</v>
      </c>
      <c r="I2191">
        <f>_xlfn.XLOOKUP($A2191,Load!$B:$B,Load!J:J,0,)</f>
        <v>0</v>
      </c>
      <c r="J2191">
        <f>_xlfn.XLOOKUP($A2191,Load!$B:$B,Load!K:K,0,)</f>
        <v>0</v>
      </c>
      <c r="K2191">
        <f>_xlfn.XLOOKUP($A2191,Load!$B:$B,Load!L:L,0,)</f>
        <v>0</v>
      </c>
      <c r="L2191">
        <f>_xlfn.XLOOKUP($A2191,Load!$B:$B,Load!M:M,0,)</f>
        <v>0</v>
      </c>
    </row>
    <row r="2192" spans="1:12" x14ac:dyDescent="0.25">
      <c r="B2192">
        <f>_xlfn.XLOOKUP($A2192,Load!$B:$B,Load!C:C,0,)</f>
        <v>0</v>
      </c>
      <c r="C2192">
        <f>_xlfn.XLOOKUP($A2192,Load!$B:$B,Load!D:D,0,)</f>
        <v>0</v>
      </c>
      <c r="D2192">
        <f>_xlfn.XLOOKUP($A2192,Load!$B:$B,Load!E:E,0,)</f>
        <v>0</v>
      </c>
      <c r="E2192">
        <f>_xlfn.XLOOKUP($A2192,Load!$B:$B,Load!F:F,0,)</f>
        <v>0</v>
      </c>
      <c r="F2192">
        <f>_xlfn.XLOOKUP($A2192,Load!$B:$B,Load!G:G,0,)</f>
        <v>0</v>
      </c>
      <c r="G2192">
        <f>_xlfn.XLOOKUP($A2192,Load!$B:$B,Load!H:H,0,)</f>
        <v>0</v>
      </c>
      <c r="H2192">
        <f>_xlfn.XLOOKUP($A2192,Load!$B:$B,Load!I:I,0,)</f>
        <v>0</v>
      </c>
      <c r="I2192">
        <f>_xlfn.XLOOKUP($A2192,Load!$B:$B,Load!J:J,0,)</f>
        <v>0</v>
      </c>
      <c r="J2192">
        <f>_xlfn.XLOOKUP($A2192,Load!$B:$B,Load!K:K,0,)</f>
        <v>0</v>
      </c>
      <c r="K2192">
        <f>_xlfn.XLOOKUP($A2192,Load!$B:$B,Load!L:L,0,)</f>
        <v>0</v>
      </c>
      <c r="L2192">
        <f>_xlfn.XLOOKUP($A2192,Load!$B:$B,Load!M:M,0,)</f>
        <v>0</v>
      </c>
    </row>
    <row r="2193" spans="1:12" x14ac:dyDescent="0.25">
      <c r="B2193">
        <f>_xlfn.XLOOKUP($A2193,Load!$B:$B,Load!C:C,0,)</f>
        <v>0</v>
      </c>
      <c r="C2193">
        <f>_xlfn.XLOOKUP($A2193,Load!$B:$B,Load!D:D,0,)</f>
        <v>0</v>
      </c>
      <c r="D2193">
        <f>_xlfn.XLOOKUP($A2193,Load!$B:$B,Load!E:E,0,)</f>
        <v>0</v>
      </c>
      <c r="E2193">
        <f>_xlfn.XLOOKUP($A2193,Load!$B:$B,Load!F:F,0,)</f>
        <v>0</v>
      </c>
      <c r="F2193">
        <f>_xlfn.XLOOKUP($A2193,Load!$B:$B,Load!G:G,0,)</f>
        <v>0</v>
      </c>
      <c r="G2193">
        <f>_xlfn.XLOOKUP($A2193,Load!$B:$B,Load!H:H,0,)</f>
        <v>0</v>
      </c>
      <c r="H2193">
        <f>_xlfn.XLOOKUP($A2193,Load!$B:$B,Load!I:I,0,)</f>
        <v>0</v>
      </c>
      <c r="I2193">
        <f>_xlfn.XLOOKUP($A2193,Load!$B:$B,Load!J:J,0,)</f>
        <v>0</v>
      </c>
      <c r="J2193">
        <f>_xlfn.XLOOKUP($A2193,Load!$B:$B,Load!K:K,0,)</f>
        <v>0</v>
      </c>
      <c r="K2193">
        <f>_xlfn.XLOOKUP($A2193,Load!$B:$B,Load!L:L,0,)</f>
        <v>0</v>
      </c>
      <c r="L2193">
        <f>_xlfn.XLOOKUP($A2193,Load!$B:$B,Load!M:M,0,)</f>
        <v>0</v>
      </c>
    </row>
    <row r="2194" spans="1:12" x14ac:dyDescent="0.25">
      <c r="B2194">
        <f>_xlfn.XLOOKUP($A2194,Load!$B:$B,Load!C:C,0,)</f>
        <v>0</v>
      </c>
      <c r="C2194">
        <f>_xlfn.XLOOKUP($A2194,Load!$B:$B,Load!D:D,0,)</f>
        <v>0</v>
      </c>
      <c r="D2194">
        <f>_xlfn.XLOOKUP($A2194,Load!$B:$B,Load!E:E,0,)</f>
        <v>0</v>
      </c>
      <c r="E2194">
        <f>_xlfn.XLOOKUP($A2194,Load!$B:$B,Load!F:F,0,)</f>
        <v>0</v>
      </c>
      <c r="F2194">
        <f>_xlfn.XLOOKUP($A2194,Load!$B:$B,Load!G:G,0,)</f>
        <v>0</v>
      </c>
      <c r="G2194">
        <f>_xlfn.XLOOKUP($A2194,Load!$B:$B,Load!H:H,0,)</f>
        <v>0</v>
      </c>
      <c r="H2194">
        <f>_xlfn.XLOOKUP($A2194,Load!$B:$B,Load!I:I,0,)</f>
        <v>0</v>
      </c>
      <c r="I2194">
        <f>_xlfn.XLOOKUP($A2194,Load!$B:$B,Load!J:J,0,)</f>
        <v>0</v>
      </c>
      <c r="J2194">
        <f>_xlfn.XLOOKUP($A2194,Load!$B:$B,Load!K:K,0,)</f>
        <v>0</v>
      </c>
      <c r="K2194">
        <f>_xlfn.XLOOKUP($A2194,Load!$B:$B,Load!L:L,0,)</f>
        <v>0</v>
      </c>
      <c r="L2194">
        <f>_xlfn.XLOOKUP($A2194,Load!$B:$B,Load!M:M,0,)</f>
        <v>0</v>
      </c>
    </row>
    <row r="2195" spans="1:12" x14ac:dyDescent="0.25">
      <c r="B2195">
        <f>_xlfn.XLOOKUP($A2195,Load!$B:$B,Load!C:C,0,)</f>
        <v>0</v>
      </c>
      <c r="C2195">
        <f>_xlfn.XLOOKUP($A2195,Load!$B:$B,Load!D:D,0,)</f>
        <v>0</v>
      </c>
      <c r="D2195">
        <f>_xlfn.XLOOKUP($A2195,Load!$B:$B,Load!E:E,0,)</f>
        <v>0</v>
      </c>
      <c r="E2195">
        <f>_xlfn.XLOOKUP($A2195,Load!$B:$B,Load!F:F,0,)</f>
        <v>0</v>
      </c>
      <c r="F2195">
        <f>_xlfn.XLOOKUP($A2195,Load!$B:$B,Load!G:G,0,)</f>
        <v>0</v>
      </c>
      <c r="G2195">
        <f>_xlfn.XLOOKUP($A2195,Load!$B:$B,Load!H:H,0,)</f>
        <v>0</v>
      </c>
      <c r="H2195">
        <f>_xlfn.XLOOKUP($A2195,Load!$B:$B,Load!I:I,0,)</f>
        <v>0</v>
      </c>
      <c r="I2195">
        <f>_xlfn.XLOOKUP($A2195,Load!$B:$B,Load!J:J,0,)</f>
        <v>0</v>
      </c>
      <c r="J2195">
        <f>_xlfn.XLOOKUP($A2195,Load!$B:$B,Load!K:K,0,)</f>
        <v>0</v>
      </c>
      <c r="K2195">
        <f>_xlfn.XLOOKUP($A2195,Load!$B:$B,Load!L:L,0,)</f>
        <v>0</v>
      </c>
      <c r="L2195">
        <f>_xlfn.XLOOKUP($A2195,Load!$B:$B,Load!M:M,0,)</f>
        <v>0</v>
      </c>
    </row>
    <row r="2196" spans="1:12" x14ac:dyDescent="0.25">
      <c r="A2196" t="s">
        <v>326</v>
      </c>
      <c r="B2196" t="str">
        <f>_xlfn.XLOOKUP($A2196,Load!$B:$B,Load!C:C,0,)</f>
        <v>Mondelez Variety Pack</v>
      </c>
      <c r="C2196" t="str">
        <f>_xlfn.XLOOKUP($A2196,Load!$B:$B,Load!D:D,0,)</f>
        <v>Mix of Chocolate and Non-Chocolate Candy</v>
      </c>
      <c r="D2196" t="str">
        <f>_xlfn.XLOOKUP($A2196,Load!$B:$B,Load!E:E,0,)</f>
        <v>Variety / Mixed Flavors (Fruity, Sour, Seasonal Flavors)</v>
      </c>
      <c r="E2196" t="str">
        <f>_xlfn.XLOOKUP($A2196,Load!$B:$B,Load!F:F,0,)</f>
        <v>Mixed / Combo Packs (Gummy, Chewy, Taffy, etc.)</v>
      </c>
      <c r="F2196" t="str">
        <f>_xlfn.XLOOKUP($A2196,Load!$B:$B,Load!G:G,0,)</f>
        <v>Medium Multipack (40–80 ct)</v>
      </c>
      <c r="G2196" t="str">
        <f>_xlfn.XLOOKUP($A2196,Load!$B:$B,Load!H:H,0,)</f>
        <v>Stand-Up Bag</v>
      </c>
      <c r="H2196" t="str">
        <f>_xlfn.XLOOKUP($A2196,Load!$B:$B,Load!I:I,0,)</f>
        <v>Everyday Candy Shapes (like Original, Gummy bear, Fruit, Jewels, etc.)</v>
      </c>
      <c r="I2196" t="str">
        <f>_xlfn.XLOOKUP($A2196,Load!$B:$B,Load!J:J,0,)</f>
        <v>Seasonal Graphics (Like Bat, Ghost, Pumpkin, Fall Leaves, Eyeballs, etc.)</v>
      </c>
      <c r="J2196" t="str">
        <f>_xlfn.XLOOKUP($A2196,Load!$B:$B,Load!K:K,0,)</f>
        <v xml:space="preserve">Variety Candy Sizes </v>
      </c>
      <c r="K2196" t="str">
        <f>_xlfn.XLOOKUP($A2196,Load!$B:$B,Load!L:L,0,)</f>
        <v>Regular/Original Wrapping</v>
      </c>
      <c r="L2196" t="str">
        <f>_xlfn.XLOOKUP($A2196,Load!$B:$B,Load!M:M,0,)</f>
        <v>Multiple Brands / Variety Flavors or Form</v>
      </c>
    </row>
    <row r="2197" spans="1:12" x14ac:dyDescent="0.25">
      <c r="B2197">
        <f>_xlfn.XLOOKUP($A2197,Load!$B:$B,Load!C:C,0,)</f>
        <v>0</v>
      </c>
      <c r="C2197">
        <f>_xlfn.XLOOKUP($A2197,Load!$B:$B,Load!D:D,0,)</f>
        <v>0</v>
      </c>
      <c r="D2197">
        <f>_xlfn.XLOOKUP($A2197,Load!$B:$B,Load!E:E,0,)</f>
        <v>0</v>
      </c>
      <c r="E2197">
        <f>_xlfn.XLOOKUP($A2197,Load!$B:$B,Load!F:F,0,)</f>
        <v>0</v>
      </c>
      <c r="F2197">
        <f>_xlfn.XLOOKUP($A2197,Load!$B:$B,Load!G:G,0,)</f>
        <v>0</v>
      </c>
      <c r="G2197">
        <f>_xlfn.XLOOKUP($A2197,Load!$B:$B,Load!H:H,0,)</f>
        <v>0</v>
      </c>
      <c r="H2197">
        <f>_xlfn.XLOOKUP($A2197,Load!$B:$B,Load!I:I,0,)</f>
        <v>0</v>
      </c>
      <c r="I2197">
        <f>_xlfn.XLOOKUP($A2197,Load!$B:$B,Load!J:J,0,)</f>
        <v>0</v>
      </c>
      <c r="J2197">
        <f>_xlfn.XLOOKUP($A2197,Load!$B:$B,Load!K:K,0,)</f>
        <v>0</v>
      </c>
      <c r="K2197">
        <f>_xlfn.XLOOKUP($A2197,Load!$B:$B,Load!L:L,0,)</f>
        <v>0</v>
      </c>
      <c r="L2197">
        <f>_xlfn.XLOOKUP($A2197,Load!$B:$B,Load!M:M,0,)</f>
        <v>0</v>
      </c>
    </row>
    <row r="2198" spans="1:12" x14ac:dyDescent="0.25">
      <c r="B2198">
        <f>_xlfn.XLOOKUP($A2198,Load!$B:$B,Load!C:C,0,)</f>
        <v>0</v>
      </c>
      <c r="C2198">
        <f>_xlfn.XLOOKUP($A2198,Load!$B:$B,Load!D:D,0,)</f>
        <v>0</v>
      </c>
      <c r="D2198">
        <f>_xlfn.XLOOKUP($A2198,Load!$B:$B,Load!E:E,0,)</f>
        <v>0</v>
      </c>
      <c r="E2198">
        <f>_xlfn.XLOOKUP($A2198,Load!$B:$B,Load!F:F,0,)</f>
        <v>0</v>
      </c>
      <c r="F2198">
        <f>_xlfn.XLOOKUP($A2198,Load!$B:$B,Load!G:G,0,)</f>
        <v>0</v>
      </c>
      <c r="G2198">
        <f>_xlfn.XLOOKUP($A2198,Load!$B:$B,Load!H:H,0,)</f>
        <v>0</v>
      </c>
      <c r="H2198">
        <f>_xlfn.XLOOKUP($A2198,Load!$B:$B,Load!I:I,0,)</f>
        <v>0</v>
      </c>
      <c r="I2198">
        <f>_xlfn.XLOOKUP($A2198,Load!$B:$B,Load!J:J,0,)</f>
        <v>0</v>
      </c>
      <c r="J2198">
        <f>_xlfn.XLOOKUP($A2198,Load!$B:$B,Load!K:K,0,)</f>
        <v>0</v>
      </c>
      <c r="K2198">
        <f>_xlfn.XLOOKUP($A2198,Load!$B:$B,Load!L:L,0,)</f>
        <v>0</v>
      </c>
      <c r="L2198">
        <f>_xlfn.XLOOKUP($A2198,Load!$B:$B,Load!M:M,0,)</f>
        <v>0</v>
      </c>
    </row>
    <row r="2199" spans="1:12" x14ac:dyDescent="0.25">
      <c r="B2199">
        <f>_xlfn.XLOOKUP($A2199,Load!$B:$B,Load!C:C,0,)</f>
        <v>0</v>
      </c>
      <c r="C2199">
        <f>_xlfn.XLOOKUP($A2199,Load!$B:$B,Load!D:D,0,)</f>
        <v>0</v>
      </c>
      <c r="D2199">
        <f>_xlfn.XLOOKUP($A2199,Load!$B:$B,Load!E:E,0,)</f>
        <v>0</v>
      </c>
      <c r="E2199">
        <f>_xlfn.XLOOKUP($A2199,Load!$B:$B,Load!F:F,0,)</f>
        <v>0</v>
      </c>
      <c r="F2199">
        <f>_xlfn.XLOOKUP($A2199,Load!$B:$B,Load!G:G,0,)</f>
        <v>0</v>
      </c>
      <c r="G2199">
        <f>_xlfn.XLOOKUP($A2199,Load!$B:$B,Load!H:H,0,)</f>
        <v>0</v>
      </c>
      <c r="H2199">
        <f>_xlfn.XLOOKUP($A2199,Load!$B:$B,Load!I:I,0,)</f>
        <v>0</v>
      </c>
      <c r="I2199">
        <f>_xlfn.XLOOKUP($A2199,Load!$B:$B,Load!J:J,0,)</f>
        <v>0</v>
      </c>
      <c r="J2199">
        <f>_xlfn.XLOOKUP($A2199,Load!$B:$B,Load!K:K,0,)</f>
        <v>0</v>
      </c>
      <c r="K2199">
        <f>_xlfn.XLOOKUP($A2199,Load!$B:$B,Load!L:L,0,)</f>
        <v>0</v>
      </c>
      <c r="L2199">
        <f>_xlfn.XLOOKUP($A2199,Load!$B:$B,Load!M:M,0,)</f>
        <v>0</v>
      </c>
    </row>
    <row r="2200" spans="1:12" x14ac:dyDescent="0.25">
      <c r="A2200" t="s">
        <v>255</v>
      </c>
      <c r="B2200" t="str">
        <f>_xlfn.XLOOKUP($A2200,Load!$B:$B,Load!C:C,0,)</f>
        <v>Skittles</v>
      </c>
      <c r="C2200" t="str">
        <f>_xlfn.XLOOKUP($A2200,Load!$B:$B,Load!D:D,0,)</f>
        <v>Non-Chocolate Candy Only</v>
      </c>
      <c r="D2200" t="str">
        <f>_xlfn.XLOOKUP($A2200,Load!$B:$B,Load!E:E,0,)</f>
        <v>Variety / Mixed Flavors (Fruity, Sour, Seasonal Flavors)</v>
      </c>
      <c r="E2200" t="str">
        <f>_xlfn.XLOOKUP($A2200,Load!$B:$B,Load!F:F,0,)</f>
        <v>Gummy</v>
      </c>
      <c r="F2200" t="str">
        <f>_xlfn.XLOOKUP($A2200,Load!$B:$B,Load!G:G,0,)</f>
        <v>Large Multipack (More than 80 ct)</v>
      </c>
      <c r="G2200" t="str">
        <f>_xlfn.XLOOKUP($A2200,Load!$B:$B,Load!H:H,0,)</f>
        <v>Stand-Up Bag</v>
      </c>
      <c r="H2200" t="str">
        <f>_xlfn.XLOOKUP($A2200,Load!$B:$B,Load!I:I,0,)</f>
        <v>Everyday Candy Shapes (like Original, Gummy bear, Fruit, Jewels, etc.)</v>
      </c>
      <c r="I2200" t="str">
        <f>_xlfn.XLOOKUP($A2200,Load!$B:$B,Load!J:J,0,)</f>
        <v>Everyday Graphics</v>
      </c>
      <c r="J2200" t="str">
        <f>_xlfn.XLOOKUP($A2200,Load!$B:$B,Load!K:K,0,)</f>
        <v>Fun Size / Treat Size</v>
      </c>
      <c r="K2200" t="str">
        <f>_xlfn.XLOOKUP($A2200,Load!$B:$B,Load!L:L,0,)</f>
        <v>Regular/Original Wrapping</v>
      </c>
      <c r="L2200" t="str">
        <f>_xlfn.XLOOKUP($A2200,Load!$B:$B,Load!M:M,0,)</f>
        <v>Single Brand / Variety Flavors or Form</v>
      </c>
    </row>
    <row r="2201" spans="1:12" x14ac:dyDescent="0.25">
      <c r="B2201">
        <f>_xlfn.XLOOKUP($A2201,Load!$B:$B,Load!C:C,0,)</f>
        <v>0</v>
      </c>
      <c r="C2201">
        <f>_xlfn.XLOOKUP($A2201,Load!$B:$B,Load!D:D,0,)</f>
        <v>0</v>
      </c>
      <c r="D2201">
        <f>_xlfn.XLOOKUP($A2201,Load!$B:$B,Load!E:E,0,)</f>
        <v>0</v>
      </c>
      <c r="E2201">
        <f>_xlfn.XLOOKUP($A2201,Load!$B:$B,Load!F:F,0,)</f>
        <v>0</v>
      </c>
      <c r="F2201">
        <f>_xlfn.XLOOKUP($A2201,Load!$B:$B,Load!G:G,0,)</f>
        <v>0</v>
      </c>
      <c r="G2201">
        <f>_xlfn.XLOOKUP($A2201,Load!$B:$B,Load!H:H,0,)</f>
        <v>0</v>
      </c>
      <c r="H2201">
        <f>_xlfn.XLOOKUP($A2201,Load!$B:$B,Load!I:I,0,)</f>
        <v>0</v>
      </c>
      <c r="I2201">
        <f>_xlfn.XLOOKUP($A2201,Load!$B:$B,Load!J:J,0,)</f>
        <v>0</v>
      </c>
      <c r="J2201">
        <f>_xlfn.XLOOKUP($A2201,Load!$B:$B,Load!K:K,0,)</f>
        <v>0</v>
      </c>
      <c r="K2201">
        <f>_xlfn.XLOOKUP($A2201,Load!$B:$B,Load!L:L,0,)</f>
        <v>0</v>
      </c>
      <c r="L2201">
        <f>_xlfn.XLOOKUP($A2201,Load!$B:$B,Load!M:M,0,)</f>
        <v>0</v>
      </c>
    </row>
    <row r="2202" spans="1:12" x14ac:dyDescent="0.25">
      <c r="A2202" t="s">
        <v>89</v>
      </c>
      <c r="B2202" t="str">
        <f>_xlfn.XLOOKUP($A2202,Load!$B:$B,Load!C:C,0,)</f>
        <v>Ferrara Variety Pack</v>
      </c>
      <c r="C2202" t="str">
        <f>_xlfn.XLOOKUP($A2202,Load!$B:$B,Load!D:D,0,)</f>
        <v>Non-Chocolate Candy Only</v>
      </c>
      <c r="D2202" t="str">
        <f>_xlfn.XLOOKUP($A2202,Load!$B:$B,Load!E:E,0,)</f>
        <v>Variety / Mixed Flavors (Fruity, Sour, Seasonal Flavors)</v>
      </c>
      <c r="E2202" t="str">
        <f>_xlfn.XLOOKUP($A2202,Load!$B:$B,Load!F:F,0,)</f>
        <v>Mixed / Combo Packs (Gummy, Chewy, Taffy, etc.)</v>
      </c>
      <c r="F2202" t="str">
        <f>_xlfn.XLOOKUP($A2202,Load!$B:$B,Load!G:G,0,)</f>
        <v>Medium Multipack (40–80 ct)</v>
      </c>
      <c r="G2202" t="str">
        <f>_xlfn.XLOOKUP($A2202,Load!$B:$B,Load!H:H,0,)</f>
        <v>Stand-Up Bag</v>
      </c>
      <c r="H2202" t="str">
        <f>_xlfn.XLOOKUP($A2202,Load!$B:$B,Load!I:I,0,)</f>
        <v>Everyday Candy Shapes (like Original, Gummy bear, Fruit, Jewels, etc.)</v>
      </c>
      <c r="I2202" t="str">
        <f>_xlfn.XLOOKUP($A2202,Load!$B:$B,Load!J:J,0,)</f>
        <v>Seasonal Graphics (Like Bat, Ghost, Pumpkin, Fall Leaves, Eyeballs, etc.)</v>
      </c>
      <c r="J2202" t="str">
        <f>_xlfn.XLOOKUP($A2202,Load!$B:$B,Load!K:K,0,)</f>
        <v xml:space="preserve">Variety Candy Sizes </v>
      </c>
      <c r="K2202" t="str">
        <f>_xlfn.XLOOKUP($A2202,Load!$B:$B,Load!L:L,0,)</f>
        <v>Regular/Original Wrapping</v>
      </c>
      <c r="L2202" t="str">
        <f>_xlfn.XLOOKUP($A2202,Load!$B:$B,Load!M:M,0,)</f>
        <v>Multiple Brands / Variety Flavors or Form</v>
      </c>
    </row>
    <row r="2203" spans="1:12" x14ac:dyDescent="0.25">
      <c r="A2203" t="s">
        <v>139</v>
      </c>
      <c r="B2203" t="str">
        <f>_xlfn.XLOOKUP($A2203,Load!$B:$B,Load!C:C,0,)</f>
        <v>Hershey's Variety Pack + Haribo</v>
      </c>
      <c r="C2203" t="str">
        <f>_xlfn.XLOOKUP($A2203,Load!$B:$B,Load!D:D,0,)</f>
        <v>Mix of Chocolate and Non-Chocolate Candy</v>
      </c>
      <c r="D2203" t="str">
        <f>_xlfn.XLOOKUP($A2203,Load!$B:$B,Load!E:E,0,)</f>
        <v>Variety / Mixed Flavors (Fruity, Sour, Seasonal Flavors)</v>
      </c>
      <c r="E2203" t="str">
        <f>_xlfn.XLOOKUP($A2203,Load!$B:$B,Load!F:F,0,)</f>
        <v>Mixed / Combo Packs (Gummy, Chewy, Taffy, etc.)</v>
      </c>
      <c r="F2203" t="str">
        <f>_xlfn.XLOOKUP($A2203,Load!$B:$B,Load!G:G,0,)</f>
        <v>Large Multipack (More than 80 ct)</v>
      </c>
      <c r="G2203" t="str">
        <f>_xlfn.XLOOKUP($A2203,Load!$B:$B,Load!H:H,0,)</f>
        <v>Stand-Up Bag</v>
      </c>
      <c r="H2203" t="str">
        <f>_xlfn.XLOOKUP($A2203,Load!$B:$B,Load!I:I,0,)</f>
        <v>Everyday Candy Shapes (like Original, Gummy bear, Fruit, Jewels, etc.)</v>
      </c>
      <c r="I2203" t="str">
        <f>_xlfn.XLOOKUP($A2203,Load!$B:$B,Load!J:J,0,)</f>
        <v>Seasonal Graphics (Like Bat, Ghost, Pumpkin, Fall Leaves, Eyeballs, etc.)</v>
      </c>
      <c r="J2203" t="str">
        <f>_xlfn.XLOOKUP($A2203,Load!$B:$B,Load!K:K,0,)</f>
        <v>Fun Size / Treat Size</v>
      </c>
      <c r="K2203" t="str">
        <f>_xlfn.XLOOKUP($A2203,Load!$B:$B,Load!L:L,0,)</f>
        <v>Regular/Original Wrapping</v>
      </c>
      <c r="L2203" t="str">
        <f>_xlfn.XLOOKUP($A2203,Load!$B:$B,Load!M:M,0,)</f>
        <v>Multiple Brands / Variety Flavors or Form</v>
      </c>
    </row>
    <row r="2204" spans="1:12" x14ac:dyDescent="0.25">
      <c r="A2204" t="s">
        <v>232</v>
      </c>
      <c r="B2204" t="str">
        <f>_xlfn.XLOOKUP($A2204,Load!$B:$B,Load!C:C,0,)</f>
        <v>Nerds</v>
      </c>
      <c r="C2204" t="str">
        <f>_xlfn.XLOOKUP($A2204,Load!$B:$B,Load!D:D,0,)</f>
        <v>Non-Chocolate Candy Only</v>
      </c>
      <c r="D2204" t="str">
        <f>_xlfn.XLOOKUP($A2204,Load!$B:$B,Load!E:E,0,)</f>
        <v>Berry Based (Raspberry, Strawberry, Medley, etc.)</v>
      </c>
      <c r="E2204" t="str">
        <f>_xlfn.XLOOKUP($A2204,Load!$B:$B,Load!F:F,0,)</f>
        <v>Candy Pieces / Bites</v>
      </c>
      <c r="F2204" t="str">
        <f>_xlfn.XLOOKUP($A2204,Load!$B:$B,Load!G:G,0,)</f>
        <v>Single Pack</v>
      </c>
      <c r="G2204" t="str">
        <f>_xlfn.XLOOKUP($A2204,Load!$B:$B,Load!H:H,0,)</f>
        <v>Laydown Bag</v>
      </c>
      <c r="H2204" t="str">
        <f>_xlfn.XLOOKUP($A2204,Load!$B:$B,Load!I:I,0,)</f>
        <v>Everyday Candy Shapes (like Original, Gummy bear, Fruit, Jewels, etc.)</v>
      </c>
      <c r="I2204" t="str">
        <f>_xlfn.XLOOKUP($A2204,Load!$B:$B,Load!J:J,0,)</f>
        <v>Seasonal Graphics (Like Bat, Ghost, Pumpkin, Fall Leaves, Eyeballs, etc.)</v>
      </c>
      <c r="J2204" t="str">
        <f>_xlfn.XLOOKUP($A2204,Load!$B:$B,Load!K:K,0,)</f>
        <v>Small Pieces (Tiny bite size candies)</v>
      </c>
      <c r="K2204" t="str">
        <f>_xlfn.XLOOKUP($A2204,Load!$B:$B,Load!L:L,0,)</f>
        <v>Unwrapped</v>
      </c>
      <c r="L2204" t="str">
        <f>_xlfn.XLOOKUP($A2204,Load!$B:$B,Load!M:M,0,)</f>
        <v>Single Brand / Variety Flavors or Form</v>
      </c>
    </row>
    <row r="2205" spans="1:12" x14ac:dyDescent="0.25">
      <c r="A2205" t="s">
        <v>257</v>
      </c>
      <c r="B2205" t="str">
        <f>_xlfn.XLOOKUP($A2205,Load!$B:$B,Load!C:C,0,)</f>
        <v>Skittles</v>
      </c>
      <c r="C2205" t="str">
        <f>_xlfn.XLOOKUP($A2205,Load!$B:$B,Load!D:D,0,)</f>
        <v>Non-Chocolate Candy Only</v>
      </c>
      <c r="D2205" t="str">
        <f>_xlfn.XLOOKUP($A2205,Load!$B:$B,Load!E:E,0,)</f>
        <v>Sour</v>
      </c>
      <c r="E2205" t="str">
        <f>_xlfn.XLOOKUP($A2205,Load!$B:$B,Load!F:F,0,)</f>
        <v>Chewy</v>
      </c>
      <c r="F2205" t="str">
        <f>_xlfn.XLOOKUP($A2205,Load!$B:$B,Load!G:G,0,)</f>
        <v>Single Pack</v>
      </c>
      <c r="G2205" t="str">
        <f>_xlfn.XLOOKUP($A2205,Load!$B:$B,Load!H:H,0,)</f>
        <v>Laydown Bag</v>
      </c>
      <c r="H2205" t="str">
        <f>_xlfn.XLOOKUP($A2205,Load!$B:$B,Load!I:I,0,)</f>
        <v>Everyday Candy Shapes (like Original, Gummy bear, Fruit, Jewels, etc.)</v>
      </c>
      <c r="I2205" t="str">
        <f>_xlfn.XLOOKUP($A2205,Load!$B:$B,Load!J:J,0,)</f>
        <v>Seasonal Graphics (Like Bat, Ghost, Pumpkin, Fall Leaves, Eyeballs, etc.)</v>
      </c>
      <c r="J2205" t="str">
        <f>_xlfn.XLOOKUP($A2205,Load!$B:$B,Load!K:K,0,)</f>
        <v>Small Pieces (Tiny bite size candies)</v>
      </c>
      <c r="K2205" t="str">
        <f>_xlfn.XLOOKUP($A2205,Load!$B:$B,Load!L:L,0,)</f>
        <v>Regular/Original Wrapping</v>
      </c>
      <c r="L2205" t="str">
        <f>_xlfn.XLOOKUP($A2205,Load!$B:$B,Load!M:M,0,)</f>
        <v>Single Brand / Variety Flavors or Form</v>
      </c>
    </row>
    <row r="2206" spans="1:12" x14ac:dyDescent="0.25">
      <c r="B2206">
        <f>_xlfn.XLOOKUP($A2206,Load!$B:$B,Load!C:C,0,)</f>
        <v>0</v>
      </c>
      <c r="C2206">
        <f>_xlfn.XLOOKUP($A2206,Load!$B:$B,Load!D:D,0,)</f>
        <v>0</v>
      </c>
      <c r="D2206">
        <f>_xlfn.XLOOKUP($A2206,Load!$B:$B,Load!E:E,0,)</f>
        <v>0</v>
      </c>
      <c r="E2206">
        <f>_xlfn.XLOOKUP($A2206,Load!$B:$B,Load!F:F,0,)</f>
        <v>0</v>
      </c>
      <c r="F2206">
        <f>_xlfn.XLOOKUP($A2206,Load!$B:$B,Load!G:G,0,)</f>
        <v>0</v>
      </c>
      <c r="G2206">
        <f>_xlfn.XLOOKUP($A2206,Load!$B:$B,Load!H:H,0,)</f>
        <v>0</v>
      </c>
      <c r="H2206">
        <f>_xlfn.XLOOKUP($A2206,Load!$B:$B,Load!I:I,0,)</f>
        <v>0</v>
      </c>
      <c r="I2206">
        <f>_xlfn.XLOOKUP($A2206,Load!$B:$B,Load!J:J,0,)</f>
        <v>0</v>
      </c>
      <c r="J2206">
        <f>_xlfn.XLOOKUP($A2206,Load!$B:$B,Load!K:K,0,)</f>
        <v>0</v>
      </c>
      <c r="K2206">
        <f>_xlfn.XLOOKUP($A2206,Load!$B:$B,Load!L:L,0,)</f>
        <v>0</v>
      </c>
      <c r="L2206">
        <f>_xlfn.XLOOKUP($A2206,Load!$B:$B,Load!M:M,0,)</f>
        <v>0</v>
      </c>
    </row>
    <row r="2207" spans="1:12" x14ac:dyDescent="0.25">
      <c r="B2207">
        <f>_xlfn.XLOOKUP($A2207,Load!$B:$B,Load!C:C,0,)</f>
        <v>0</v>
      </c>
      <c r="C2207">
        <f>_xlfn.XLOOKUP($A2207,Load!$B:$B,Load!D:D,0,)</f>
        <v>0</v>
      </c>
      <c r="D2207">
        <f>_xlfn.XLOOKUP($A2207,Load!$B:$B,Load!E:E,0,)</f>
        <v>0</v>
      </c>
      <c r="E2207">
        <f>_xlfn.XLOOKUP($A2207,Load!$B:$B,Load!F:F,0,)</f>
        <v>0</v>
      </c>
      <c r="F2207">
        <f>_xlfn.XLOOKUP($A2207,Load!$B:$B,Load!G:G,0,)</f>
        <v>0</v>
      </c>
      <c r="G2207">
        <f>_xlfn.XLOOKUP($A2207,Load!$B:$B,Load!H:H,0,)</f>
        <v>0</v>
      </c>
      <c r="H2207">
        <f>_xlfn.XLOOKUP($A2207,Load!$B:$B,Load!I:I,0,)</f>
        <v>0</v>
      </c>
      <c r="I2207">
        <f>_xlfn.XLOOKUP($A2207,Load!$B:$B,Load!J:J,0,)</f>
        <v>0</v>
      </c>
      <c r="J2207">
        <f>_xlfn.XLOOKUP($A2207,Load!$B:$B,Load!K:K,0,)</f>
        <v>0</v>
      </c>
      <c r="K2207">
        <f>_xlfn.XLOOKUP($A2207,Load!$B:$B,Load!L:L,0,)</f>
        <v>0</v>
      </c>
      <c r="L2207">
        <f>_xlfn.XLOOKUP($A2207,Load!$B:$B,Load!M:M,0,)</f>
        <v>0</v>
      </c>
    </row>
    <row r="2208" spans="1:12" x14ac:dyDescent="0.25">
      <c r="A2208" t="s">
        <v>214</v>
      </c>
      <c r="B2208" t="str">
        <f>_xlfn.XLOOKUP($A2208,Load!$B:$B,Load!C:C,0,)</f>
        <v>Mars Variety Pack</v>
      </c>
      <c r="C2208" t="str">
        <f>_xlfn.XLOOKUP($A2208,Load!$B:$B,Load!D:D,0,)</f>
        <v>Mix of Chocolate and Non-Chocolate Candy</v>
      </c>
      <c r="D2208" t="str">
        <f>_xlfn.XLOOKUP($A2208,Load!$B:$B,Load!E:E,0,)</f>
        <v>Variety / Mixed Flavors (Fruity, Sour, Seasonal Flavors)</v>
      </c>
      <c r="E2208" t="str">
        <f>_xlfn.XLOOKUP($A2208,Load!$B:$B,Load!F:F,0,)</f>
        <v>Mixed / Combo Packs (Gummy, Chewy, Taffy, etc.)</v>
      </c>
      <c r="F2208" t="str">
        <f>_xlfn.XLOOKUP($A2208,Load!$B:$B,Load!G:G,0,)</f>
        <v>Large Multipack (More than 80 ct)</v>
      </c>
      <c r="G2208" t="str">
        <f>_xlfn.XLOOKUP($A2208,Load!$B:$B,Load!H:H,0,)</f>
        <v>Stand-Up Bag</v>
      </c>
      <c r="H2208" t="str">
        <f>_xlfn.XLOOKUP($A2208,Load!$B:$B,Load!I:I,0,)</f>
        <v>Everyday Candy Shapes (like Original, Gummy bear, Fruit, Jewels, etc.)</v>
      </c>
      <c r="I2208" t="str">
        <f>_xlfn.XLOOKUP($A2208,Load!$B:$B,Load!J:J,0,)</f>
        <v>Seasonal Graphics (Like Bat, Ghost, Pumpkin, Fall Leaves, Eyeballs, etc.)</v>
      </c>
      <c r="J2208" t="str">
        <f>_xlfn.XLOOKUP($A2208,Load!$B:$B,Load!K:K,0,)</f>
        <v>Fun Size / Treat Size</v>
      </c>
      <c r="K2208" t="str">
        <f>_xlfn.XLOOKUP($A2208,Load!$B:$B,Load!L:L,0,)</f>
        <v>Regular/Original Wrapping</v>
      </c>
      <c r="L2208" t="str">
        <f>_xlfn.XLOOKUP($A2208,Load!$B:$B,Load!M:M,0,)</f>
        <v>Multiple Brands / Variety Flavors or Form</v>
      </c>
    </row>
    <row r="2209" spans="1:12" x14ac:dyDescent="0.25">
      <c r="A2209" t="s">
        <v>184</v>
      </c>
      <c r="B2209" t="str">
        <f>_xlfn.XLOOKUP($A2209,Load!$B:$B,Load!C:C,0,)</f>
        <v>Mars Variety Pack</v>
      </c>
      <c r="C2209" t="str">
        <f>_xlfn.XLOOKUP($A2209,Load!$B:$B,Load!D:D,0,)</f>
        <v>Mix of Chocolate and Non-Chocolate Candy</v>
      </c>
      <c r="D2209" t="str">
        <f>_xlfn.XLOOKUP($A2209,Load!$B:$B,Load!E:E,0,)</f>
        <v>Variety / Mixed Flavors (Fruity, Sour, Seasonal Flavors)</v>
      </c>
      <c r="E2209" t="str">
        <f>_xlfn.XLOOKUP($A2209,Load!$B:$B,Load!F:F,0,)</f>
        <v>Mixed / Combo Packs (Gummy, Chewy, Taffy, etc.)</v>
      </c>
      <c r="F2209" t="str">
        <f>_xlfn.XLOOKUP($A2209,Load!$B:$B,Load!G:G,0,)</f>
        <v>Large Multipack (More than 80 ct)</v>
      </c>
      <c r="G2209" t="str">
        <f>_xlfn.XLOOKUP($A2209,Load!$B:$B,Load!H:H,0,)</f>
        <v>Stand-Up Bag</v>
      </c>
      <c r="H2209" t="str">
        <f>_xlfn.XLOOKUP($A2209,Load!$B:$B,Load!I:I,0,)</f>
        <v>Everyday Candy Shapes (like Original, Gummy bear, Fruit, Jewels, etc.)</v>
      </c>
      <c r="I2209" t="str">
        <f>_xlfn.XLOOKUP($A2209,Load!$B:$B,Load!J:J,0,)</f>
        <v>Seasonal Graphics (Like Bat, Ghost, Pumpkin, Fall Leaves, Eyeballs, etc.)</v>
      </c>
      <c r="J2209" t="str">
        <f>_xlfn.XLOOKUP($A2209,Load!$B:$B,Load!K:K,0,)</f>
        <v>Fun Size / Treat Size</v>
      </c>
      <c r="K2209" t="str">
        <f>_xlfn.XLOOKUP($A2209,Load!$B:$B,Load!L:L,0,)</f>
        <v>Regular/Original Wrapping</v>
      </c>
      <c r="L2209" t="str">
        <f>_xlfn.XLOOKUP($A2209,Load!$B:$B,Load!M:M,0,)</f>
        <v>Multiple Brands / Variety Flavors or Form</v>
      </c>
    </row>
    <row r="2210" spans="1:12" x14ac:dyDescent="0.25">
      <c r="B2210">
        <f>_xlfn.XLOOKUP($A2210,Load!$B:$B,Load!C:C,0,)</f>
        <v>0</v>
      </c>
      <c r="C2210">
        <f>_xlfn.XLOOKUP($A2210,Load!$B:$B,Load!D:D,0,)</f>
        <v>0</v>
      </c>
      <c r="D2210">
        <f>_xlfn.XLOOKUP($A2210,Load!$B:$B,Load!E:E,0,)</f>
        <v>0</v>
      </c>
      <c r="E2210">
        <f>_xlfn.XLOOKUP($A2210,Load!$B:$B,Load!F:F,0,)</f>
        <v>0</v>
      </c>
      <c r="F2210">
        <f>_xlfn.XLOOKUP($A2210,Load!$B:$B,Load!G:G,0,)</f>
        <v>0</v>
      </c>
      <c r="G2210">
        <f>_xlfn.XLOOKUP($A2210,Load!$B:$B,Load!H:H,0,)</f>
        <v>0</v>
      </c>
      <c r="H2210">
        <f>_xlfn.XLOOKUP($A2210,Load!$B:$B,Load!I:I,0,)</f>
        <v>0</v>
      </c>
      <c r="I2210">
        <f>_xlfn.XLOOKUP($A2210,Load!$B:$B,Load!J:J,0,)</f>
        <v>0</v>
      </c>
      <c r="J2210">
        <f>_xlfn.XLOOKUP($A2210,Load!$B:$B,Load!K:K,0,)</f>
        <v>0</v>
      </c>
      <c r="K2210">
        <f>_xlfn.XLOOKUP($A2210,Load!$B:$B,Load!L:L,0,)</f>
        <v>0</v>
      </c>
      <c r="L2210">
        <f>_xlfn.XLOOKUP($A2210,Load!$B:$B,Load!M:M,0,)</f>
        <v>0</v>
      </c>
    </row>
    <row r="2211" spans="1:12" x14ac:dyDescent="0.25">
      <c r="B2211">
        <f>_xlfn.XLOOKUP($A2211,Load!$B:$B,Load!C:C,0,)</f>
        <v>0</v>
      </c>
      <c r="C2211">
        <f>_xlfn.XLOOKUP($A2211,Load!$B:$B,Load!D:D,0,)</f>
        <v>0</v>
      </c>
      <c r="D2211">
        <f>_xlfn.XLOOKUP($A2211,Load!$B:$B,Load!E:E,0,)</f>
        <v>0</v>
      </c>
      <c r="E2211">
        <f>_xlfn.XLOOKUP($A2211,Load!$B:$B,Load!F:F,0,)</f>
        <v>0</v>
      </c>
      <c r="F2211">
        <f>_xlfn.XLOOKUP($A2211,Load!$B:$B,Load!G:G,0,)</f>
        <v>0</v>
      </c>
      <c r="G2211">
        <f>_xlfn.XLOOKUP($A2211,Load!$B:$B,Load!H:H,0,)</f>
        <v>0</v>
      </c>
      <c r="H2211">
        <f>_xlfn.XLOOKUP($A2211,Load!$B:$B,Load!I:I,0,)</f>
        <v>0</v>
      </c>
      <c r="I2211">
        <f>_xlfn.XLOOKUP($A2211,Load!$B:$B,Load!J:J,0,)</f>
        <v>0</v>
      </c>
      <c r="J2211">
        <f>_xlfn.XLOOKUP($A2211,Load!$B:$B,Load!K:K,0,)</f>
        <v>0</v>
      </c>
      <c r="K2211">
        <f>_xlfn.XLOOKUP($A2211,Load!$B:$B,Load!L:L,0,)</f>
        <v>0</v>
      </c>
      <c r="L2211">
        <f>_xlfn.XLOOKUP($A2211,Load!$B:$B,Load!M:M,0,)</f>
        <v>0</v>
      </c>
    </row>
    <row r="2212" spans="1:12" x14ac:dyDescent="0.25">
      <c r="B2212">
        <f>_xlfn.XLOOKUP($A2212,Load!$B:$B,Load!C:C,0,)</f>
        <v>0</v>
      </c>
      <c r="C2212">
        <f>_xlfn.XLOOKUP($A2212,Load!$B:$B,Load!D:D,0,)</f>
        <v>0</v>
      </c>
      <c r="D2212">
        <f>_xlfn.XLOOKUP($A2212,Load!$B:$B,Load!E:E,0,)</f>
        <v>0</v>
      </c>
      <c r="E2212">
        <f>_xlfn.XLOOKUP($A2212,Load!$B:$B,Load!F:F,0,)</f>
        <v>0</v>
      </c>
      <c r="F2212">
        <f>_xlfn.XLOOKUP($A2212,Load!$B:$B,Load!G:G,0,)</f>
        <v>0</v>
      </c>
      <c r="G2212">
        <f>_xlfn.XLOOKUP($A2212,Load!$B:$B,Load!H:H,0,)</f>
        <v>0</v>
      </c>
      <c r="H2212">
        <f>_xlfn.XLOOKUP($A2212,Load!$B:$B,Load!I:I,0,)</f>
        <v>0</v>
      </c>
      <c r="I2212">
        <f>_xlfn.XLOOKUP($A2212,Load!$B:$B,Load!J:J,0,)</f>
        <v>0</v>
      </c>
      <c r="J2212">
        <f>_xlfn.XLOOKUP($A2212,Load!$B:$B,Load!K:K,0,)</f>
        <v>0</v>
      </c>
      <c r="K2212">
        <f>_xlfn.XLOOKUP($A2212,Load!$B:$B,Load!L:L,0,)</f>
        <v>0</v>
      </c>
      <c r="L2212">
        <f>_xlfn.XLOOKUP($A2212,Load!$B:$B,Load!M:M,0,)</f>
        <v>0</v>
      </c>
    </row>
    <row r="2213" spans="1:12" x14ac:dyDescent="0.25">
      <c r="B2213">
        <f>_xlfn.XLOOKUP($A2213,Load!$B:$B,Load!C:C,0,)</f>
        <v>0</v>
      </c>
      <c r="C2213">
        <f>_xlfn.XLOOKUP($A2213,Load!$B:$B,Load!D:D,0,)</f>
        <v>0</v>
      </c>
      <c r="D2213">
        <f>_xlfn.XLOOKUP($A2213,Load!$B:$B,Load!E:E,0,)</f>
        <v>0</v>
      </c>
      <c r="E2213">
        <f>_xlfn.XLOOKUP($A2213,Load!$B:$B,Load!F:F,0,)</f>
        <v>0</v>
      </c>
      <c r="F2213">
        <f>_xlfn.XLOOKUP($A2213,Load!$B:$B,Load!G:G,0,)</f>
        <v>0</v>
      </c>
      <c r="G2213">
        <f>_xlfn.XLOOKUP($A2213,Load!$B:$B,Load!H:H,0,)</f>
        <v>0</v>
      </c>
      <c r="H2213">
        <f>_xlfn.XLOOKUP($A2213,Load!$B:$B,Load!I:I,0,)</f>
        <v>0</v>
      </c>
      <c r="I2213">
        <f>_xlfn.XLOOKUP($A2213,Load!$B:$B,Load!J:J,0,)</f>
        <v>0</v>
      </c>
      <c r="J2213">
        <f>_xlfn.XLOOKUP($A2213,Load!$B:$B,Load!K:K,0,)</f>
        <v>0</v>
      </c>
      <c r="K2213">
        <f>_xlfn.XLOOKUP($A2213,Load!$B:$B,Load!L:L,0,)</f>
        <v>0</v>
      </c>
      <c r="L2213">
        <f>_xlfn.XLOOKUP($A2213,Load!$B:$B,Load!M:M,0,)</f>
        <v>0</v>
      </c>
    </row>
    <row r="2214" spans="1:12" x14ac:dyDescent="0.25">
      <c r="B2214">
        <f>_xlfn.XLOOKUP($A2214,Load!$B:$B,Load!C:C,0,)</f>
        <v>0</v>
      </c>
      <c r="C2214">
        <f>_xlfn.XLOOKUP($A2214,Load!$B:$B,Load!D:D,0,)</f>
        <v>0</v>
      </c>
      <c r="D2214">
        <f>_xlfn.XLOOKUP($A2214,Load!$B:$B,Load!E:E,0,)</f>
        <v>0</v>
      </c>
      <c r="E2214">
        <f>_xlfn.XLOOKUP($A2214,Load!$B:$B,Load!F:F,0,)</f>
        <v>0</v>
      </c>
      <c r="F2214">
        <f>_xlfn.XLOOKUP($A2214,Load!$B:$B,Load!G:G,0,)</f>
        <v>0</v>
      </c>
      <c r="G2214">
        <f>_xlfn.XLOOKUP($A2214,Load!$B:$B,Load!H:H,0,)</f>
        <v>0</v>
      </c>
      <c r="H2214">
        <f>_xlfn.XLOOKUP($A2214,Load!$B:$B,Load!I:I,0,)</f>
        <v>0</v>
      </c>
      <c r="I2214">
        <f>_xlfn.XLOOKUP($A2214,Load!$B:$B,Load!J:J,0,)</f>
        <v>0</v>
      </c>
      <c r="J2214">
        <f>_xlfn.XLOOKUP($A2214,Load!$B:$B,Load!K:K,0,)</f>
        <v>0</v>
      </c>
      <c r="K2214">
        <f>_xlfn.XLOOKUP($A2214,Load!$B:$B,Load!L:L,0,)</f>
        <v>0</v>
      </c>
      <c r="L2214">
        <f>_xlfn.XLOOKUP($A2214,Load!$B:$B,Load!M:M,0,)</f>
        <v>0</v>
      </c>
    </row>
    <row r="2215" spans="1:12" x14ac:dyDescent="0.25">
      <c r="B2215">
        <f>_xlfn.XLOOKUP($A2215,Load!$B:$B,Load!C:C,0,)</f>
        <v>0</v>
      </c>
      <c r="C2215">
        <f>_xlfn.XLOOKUP($A2215,Load!$B:$B,Load!D:D,0,)</f>
        <v>0</v>
      </c>
      <c r="D2215">
        <f>_xlfn.XLOOKUP($A2215,Load!$B:$B,Load!E:E,0,)</f>
        <v>0</v>
      </c>
      <c r="E2215">
        <f>_xlfn.XLOOKUP($A2215,Load!$B:$B,Load!F:F,0,)</f>
        <v>0</v>
      </c>
      <c r="F2215">
        <f>_xlfn.XLOOKUP($A2215,Load!$B:$B,Load!G:G,0,)</f>
        <v>0</v>
      </c>
      <c r="G2215">
        <f>_xlfn.XLOOKUP($A2215,Load!$B:$B,Load!H:H,0,)</f>
        <v>0</v>
      </c>
      <c r="H2215">
        <f>_xlfn.XLOOKUP($A2215,Load!$B:$B,Load!I:I,0,)</f>
        <v>0</v>
      </c>
      <c r="I2215">
        <f>_xlfn.XLOOKUP($A2215,Load!$B:$B,Load!J:J,0,)</f>
        <v>0</v>
      </c>
      <c r="J2215">
        <f>_xlfn.XLOOKUP($A2215,Load!$B:$B,Load!K:K,0,)</f>
        <v>0</v>
      </c>
      <c r="K2215">
        <f>_xlfn.XLOOKUP($A2215,Load!$B:$B,Load!L:L,0,)</f>
        <v>0</v>
      </c>
      <c r="L2215">
        <f>_xlfn.XLOOKUP($A2215,Load!$B:$B,Load!M:M,0,)</f>
        <v>0</v>
      </c>
    </row>
    <row r="2216" spans="1:12" x14ac:dyDescent="0.25">
      <c r="B2216">
        <f>_xlfn.XLOOKUP($A2216,Load!$B:$B,Load!C:C,0,)</f>
        <v>0</v>
      </c>
      <c r="C2216">
        <f>_xlfn.XLOOKUP($A2216,Load!$B:$B,Load!D:D,0,)</f>
        <v>0</v>
      </c>
      <c r="D2216">
        <f>_xlfn.XLOOKUP($A2216,Load!$B:$B,Load!E:E,0,)</f>
        <v>0</v>
      </c>
      <c r="E2216">
        <f>_xlfn.XLOOKUP($A2216,Load!$B:$B,Load!F:F,0,)</f>
        <v>0</v>
      </c>
      <c r="F2216">
        <f>_xlfn.XLOOKUP($A2216,Load!$B:$B,Load!G:G,0,)</f>
        <v>0</v>
      </c>
      <c r="G2216">
        <f>_xlfn.XLOOKUP($A2216,Load!$B:$B,Load!H:H,0,)</f>
        <v>0</v>
      </c>
      <c r="H2216">
        <f>_xlfn.XLOOKUP($A2216,Load!$B:$B,Load!I:I,0,)</f>
        <v>0</v>
      </c>
      <c r="I2216">
        <f>_xlfn.XLOOKUP($A2216,Load!$B:$B,Load!J:J,0,)</f>
        <v>0</v>
      </c>
      <c r="J2216">
        <f>_xlfn.XLOOKUP($A2216,Load!$B:$B,Load!K:K,0,)</f>
        <v>0</v>
      </c>
      <c r="K2216">
        <f>_xlfn.XLOOKUP($A2216,Load!$B:$B,Load!L:L,0,)</f>
        <v>0</v>
      </c>
      <c r="L2216">
        <f>_xlfn.XLOOKUP($A2216,Load!$B:$B,Load!M:M,0,)</f>
        <v>0</v>
      </c>
    </row>
    <row r="2217" spans="1:12" x14ac:dyDescent="0.25">
      <c r="B2217">
        <f>_xlfn.XLOOKUP($A2217,Load!$B:$B,Load!C:C,0,)</f>
        <v>0</v>
      </c>
      <c r="C2217">
        <f>_xlfn.XLOOKUP($A2217,Load!$B:$B,Load!D:D,0,)</f>
        <v>0</v>
      </c>
      <c r="D2217">
        <f>_xlfn.XLOOKUP($A2217,Load!$B:$B,Load!E:E,0,)</f>
        <v>0</v>
      </c>
      <c r="E2217">
        <f>_xlfn.XLOOKUP($A2217,Load!$B:$B,Load!F:F,0,)</f>
        <v>0</v>
      </c>
      <c r="F2217">
        <f>_xlfn.XLOOKUP($A2217,Load!$B:$B,Load!G:G,0,)</f>
        <v>0</v>
      </c>
      <c r="G2217">
        <f>_xlfn.XLOOKUP($A2217,Load!$B:$B,Load!H:H,0,)</f>
        <v>0</v>
      </c>
      <c r="H2217">
        <f>_xlfn.XLOOKUP($A2217,Load!$B:$B,Load!I:I,0,)</f>
        <v>0</v>
      </c>
      <c r="I2217">
        <f>_xlfn.XLOOKUP($A2217,Load!$B:$B,Load!J:J,0,)</f>
        <v>0</v>
      </c>
      <c r="J2217">
        <f>_xlfn.XLOOKUP($A2217,Load!$B:$B,Load!K:K,0,)</f>
        <v>0</v>
      </c>
      <c r="K2217">
        <f>_xlfn.XLOOKUP($A2217,Load!$B:$B,Load!L:L,0,)</f>
        <v>0</v>
      </c>
      <c r="L2217">
        <f>_xlfn.XLOOKUP($A2217,Load!$B:$B,Load!M:M,0,)</f>
        <v>0</v>
      </c>
    </row>
    <row r="2218" spans="1:12" x14ac:dyDescent="0.25">
      <c r="A2218" t="s">
        <v>205</v>
      </c>
      <c r="B2218" t="str">
        <f>_xlfn.XLOOKUP($A2218,Load!$B:$B,Load!C:C,0,)</f>
        <v>Mars Variety Pack</v>
      </c>
      <c r="C2218" t="str">
        <f>_xlfn.XLOOKUP($A2218,Load!$B:$B,Load!D:D,0,)</f>
        <v>Non-Chocolate Candy Only</v>
      </c>
      <c r="D2218" t="str">
        <f>_xlfn.XLOOKUP($A2218,Load!$B:$B,Load!E:E,0,)</f>
        <v>Variety / Mixed Flavors (Fruity, Sour, Seasonal Flavors)</v>
      </c>
      <c r="E2218" t="str">
        <f>_xlfn.XLOOKUP($A2218,Load!$B:$B,Load!F:F,0,)</f>
        <v>Mixed / Combo Packs (Gummy, Chewy, Taffy, etc.)</v>
      </c>
      <c r="F2218" t="str">
        <f>_xlfn.XLOOKUP($A2218,Load!$B:$B,Load!G:G,0,)</f>
        <v>Small Multipack (Less than 40 ct)</v>
      </c>
      <c r="G2218" t="str">
        <f>_xlfn.XLOOKUP($A2218,Load!$B:$B,Load!H:H,0,)</f>
        <v>Box (theatre box, gift box, carton)</v>
      </c>
      <c r="H2218" t="str">
        <f>_xlfn.XLOOKUP($A2218,Load!$B:$B,Load!I:I,0,)</f>
        <v>Everyday Candy Shapes (like Original, Gummy bear, Fruit, Jewels, etc.)</v>
      </c>
      <c r="I2218" t="str">
        <f>_xlfn.XLOOKUP($A2218,Load!$B:$B,Load!J:J,0,)</f>
        <v>Everyday Graphics</v>
      </c>
      <c r="J2218" t="str">
        <f>_xlfn.XLOOKUP($A2218,Load!$B:$B,Load!K:K,0,)</f>
        <v>Small Pieces (Tiny bite size candies)</v>
      </c>
      <c r="K2218" t="str">
        <f>_xlfn.XLOOKUP($A2218,Load!$B:$B,Load!L:L,0,)</f>
        <v>Regular/Original Wrapping</v>
      </c>
      <c r="L2218" t="str">
        <f>_xlfn.XLOOKUP($A2218,Load!$B:$B,Load!M:M,0,)</f>
        <v>Multiple Brands / Variety Flavors or Form</v>
      </c>
    </row>
    <row r="2219" spans="1:12" x14ac:dyDescent="0.25">
      <c r="B2219">
        <f>_xlfn.XLOOKUP($A2219,Load!$B:$B,Load!C:C,0,)</f>
        <v>0</v>
      </c>
      <c r="C2219">
        <f>_xlfn.XLOOKUP($A2219,Load!$B:$B,Load!D:D,0,)</f>
        <v>0</v>
      </c>
      <c r="D2219">
        <f>_xlfn.XLOOKUP($A2219,Load!$B:$B,Load!E:E,0,)</f>
        <v>0</v>
      </c>
      <c r="E2219">
        <f>_xlfn.XLOOKUP($A2219,Load!$B:$B,Load!F:F,0,)</f>
        <v>0</v>
      </c>
      <c r="F2219">
        <f>_xlfn.XLOOKUP($A2219,Load!$B:$B,Load!G:G,0,)</f>
        <v>0</v>
      </c>
      <c r="G2219">
        <f>_xlfn.XLOOKUP($A2219,Load!$B:$B,Load!H:H,0,)</f>
        <v>0</v>
      </c>
      <c r="H2219">
        <f>_xlfn.XLOOKUP($A2219,Load!$B:$B,Load!I:I,0,)</f>
        <v>0</v>
      </c>
      <c r="I2219">
        <f>_xlfn.XLOOKUP($A2219,Load!$B:$B,Load!J:J,0,)</f>
        <v>0</v>
      </c>
      <c r="J2219">
        <f>_xlfn.XLOOKUP($A2219,Load!$B:$B,Load!K:K,0,)</f>
        <v>0</v>
      </c>
      <c r="K2219">
        <f>_xlfn.XLOOKUP($A2219,Load!$B:$B,Load!L:L,0,)</f>
        <v>0</v>
      </c>
      <c r="L2219">
        <f>_xlfn.XLOOKUP($A2219,Load!$B:$B,Load!M:M,0,)</f>
        <v>0</v>
      </c>
    </row>
    <row r="2220" spans="1:12" x14ac:dyDescent="0.25">
      <c r="A2220" t="s">
        <v>284</v>
      </c>
      <c r="B2220" t="str">
        <f>_xlfn.XLOOKUP($A2220,Load!$B:$B,Load!C:C,0,)</f>
        <v>Starburst</v>
      </c>
      <c r="C2220" t="str">
        <f>_xlfn.XLOOKUP($A2220,Load!$B:$B,Load!D:D,0,)</f>
        <v>Non-Chocolate Candy Only</v>
      </c>
      <c r="D2220" t="str">
        <f>_xlfn.XLOOKUP($A2220,Load!$B:$B,Load!E:E,0,)</f>
        <v>Fruit Flavor (Cherry, Grape, Apple, Citrus, Tropical Fruit)</v>
      </c>
      <c r="E2220" t="str">
        <f>_xlfn.XLOOKUP($A2220,Load!$B:$B,Load!F:F,0,)</f>
        <v>Lollipop (regular or lollipop rings)</v>
      </c>
      <c r="F2220" t="str">
        <f>_xlfn.XLOOKUP($A2220,Load!$B:$B,Load!G:G,0,)</f>
        <v>Single Pack</v>
      </c>
      <c r="G2220" t="str">
        <f>_xlfn.XLOOKUP($A2220,Load!$B:$B,Load!H:H,0,)</f>
        <v>Laydown Bag</v>
      </c>
      <c r="H2220" t="str">
        <f>_xlfn.XLOOKUP($A2220,Load!$B:$B,Load!I:I,0,)</f>
        <v>Everyday Candy Shapes (like Original, Gummy bear, Fruit, Jewels, etc.)</v>
      </c>
      <c r="I2220" t="str">
        <f>_xlfn.XLOOKUP($A2220,Load!$B:$B,Load!J:J,0,)</f>
        <v>Seasonal Graphics (Like Bat, Ghost, Pumpkin, Fall Leaves, Eyeballs, etc.)</v>
      </c>
      <c r="J2220" t="str">
        <f>_xlfn.XLOOKUP($A2220,Load!$B:$B,Load!K:K,0,)</f>
        <v>Regular Lollipop size (on sticks or rings)</v>
      </c>
      <c r="K2220" t="str">
        <f>_xlfn.XLOOKUP($A2220,Load!$B:$B,Load!L:L,0,)</f>
        <v>Regular/Original Wrapping</v>
      </c>
      <c r="L2220" t="str">
        <f>_xlfn.XLOOKUP($A2220,Load!$B:$B,Load!M:M,0,)</f>
        <v>Single Brand / Single Flavor or Form</v>
      </c>
    </row>
    <row r="2221" spans="1:12" x14ac:dyDescent="0.25">
      <c r="A2221" t="s">
        <v>260</v>
      </c>
      <c r="B2221" t="str">
        <f>_xlfn.XLOOKUP($A2221,Load!$B:$B,Load!C:C,0,)</f>
        <v>Skittles</v>
      </c>
      <c r="C2221" t="str">
        <f>_xlfn.XLOOKUP($A2221,Load!$B:$B,Load!D:D,0,)</f>
        <v>Non-Chocolate Candy Only</v>
      </c>
      <c r="D2221" t="str">
        <f>_xlfn.XLOOKUP($A2221,Load!$B:$B,Load!E:E,0,)</f>
        <v>Fruit Flavor (Cherry, Grape, Apple, Citrus, Tropical Fruit)</v>
      </c>
      <c r="E2221" t="str">
        <f>_xlfn.XLOOKUP($A2221,Load!$B:$B,Load!F:F,0,)</f>
        <v>Candy Pieces / Bites</v>
      </c>
      <c r="F2221" t="str">
        <f>_xlfn.XLOOKUP($A2221,Load!$B:$B,Load!G:G,0,)</f>
        <v>Single Pack</v>
      </c>
      <c r="G2221" t="str">
        <f>_xlfn.XLOOKUP($A2221,Load!$B:$B,Load!H:H,0,)</f>
        <v>Plastic Cup / Container</v>
      </c>
      <c r="H2221" t="str">
        <f>_xlfn.XLOOKUP($A2221,Load!$B:$B,Load!I:I,0,)</f>
        <v>Everyday Candy Shapes (like Original, Gummy bear, Fruit, Jewels, etc.)</v>
      </c>
      <c r="I2221" t="str">
        <f>_xlfn.XLOOKUP($A2221,Load!$B:$B,Load!J:J,0,)</f>
        <v>Seasonal Graphics (Like Bat, Ghost, Pumpkin, Fall Leaves, Eyeballs, etc.)</v>
      </c>
      <c r="J2221" t="str">
        <f>_xlfn.XLOOKUP($A2221,Load!$B:$B,Load!K:K,0,)</f>
        <v>Small Pieces (Tiny bite size candies)</v>
      </c>
      <c r="K2221" t="str">
        <f>_xlfn.XLOOKUP($A2221,Load!$B:$B,Load!L:L,0,)</f>
        <v>Unwrapped</v>
      </c>
      <c r="L2221" t="str">
        <f>_xlfn.XLOOKUP($A2221,Load!$B:$B,Load!M:M,0,)</f>
        <v>Single Brand / Single Flavor or Form</v>
      </c>
    </row>
    <row r="2222" spans="1:12" x14ac:dyDescent="0.25">
      <c r="A2222" t="s">
        <v>204</v>
      </c>
      <c r="B2222" t="str">
        <f>_xlfn.XLOOKUP($A2222,Load!$B:$B,Load!C:C,0,)</f>
        <v>Mars Variety Pack</v>
      </c>
      <c r="C2222" t="str">
        <f>_xlfn.XLOOKUP($A2222,Load!$B:$B,Load!D:D,0,)</f>
        <v>Mix of Chocolate and Non-Chocolate Candy</v>
      </c>
      <c r="D2222" t="str">
        <f>_xlfn.XLOOKUP($A2222,Load!$B:$B,Load!E:E,0,)</f>
        <v>Variety / Mixed Flavors (Fruity, Sour, Seasonal Flavors)</v>
      </c>
      <c r="E2222" t="str">
        <f>_xlfn.XLOOKUP($A2222,Load!$B:$B,Load!F:F,0,)</f>
        <v>Mixed / Combo Packs (Gummy, Chewy, Taffy, etc.)</v>
      </c>
      <c r="F2222" t="str">
        <f>_xlfn.XLOOKUP($A2222,Load!$B:$B,Load!G:G,0,)</f>
        <v>Medium Multipack (40–80 ct)</v>
      </c>
      <c r="G2222" t="str">
        <f>_xlfn.XLOOKUP($A2222,Load!$B:$B,Load!H:H,0,)</f>
        <v>Stand-Up Bag</v>
      </c>
      <c r="H2222" t="str">
        <f>_xlfn.XLOOKUP($A2222,Load!$B:$B,Load!I:I,0,)</f>
        <v>Everyday Candy Shapes (like Original, Gummy bear, Fruit, Jewels, etc.)</v>
      </c>
      <c r="I2222" t="str">
        <f>_xlfn.XLOOKUP($A2222,Load!$B:$B,Load!J:J,0,)</f>
        <v>Everyday Graphics</v>
      </c>
      <c r="J2222" t="str">
        <f>_xlfn.XLOOKUP($A2222,Load!$B:$B,Load!K:K,0,)</f>
        <v>Fun Size / Treat Size</v>
      </c>
      <c r="K2222" t="str">
        <f>_xlfn.XLOOKUP($A2222,Load!$B:$B,Load!L:L,0,)</f>
        <v>Regular/Original Wrapping</v>
      </c>
      <c r="L2222" t="str">
        <f>_xlfn.XLOOKUP($A2222,Load!$B:$B,Load!M:M,0,)</f>
        <v>Multiple Brands / Variety Flavors or Form</v>
      </c>
    </row>
    <row r="2223" spans="1:12" x14ac:dyDescent="0.25">
      <c r="A2223" t="s">
        <v>89</v>
      </c>
      <c r="B2223" t="str">
        <f>_xlfn.XLOOKUP($A2223,Load!$B:$B,Load!C:C,0,)</f>
        <v>Ferrara Variety Pack</v>
      </c>
      <c r="C2223" t="str">
        <f>_xlfn.XLOOKUP($A2223,Load!$B:$B,Load!D:D,0,)</f>
        <v>Non-Chocolate Candy Only</v>
      </c>
      <c r="D2223" t="str">
        <f>_xlfn.XLOOKUP($A2223,Load!$B:$B,Load!E:E,0,)</f>
        <v>Variety / Mixed Flavors (Fruity, Sour, Seasonal Flavors)</v>
      </c>
      <c r="E2223" t="str">
        <f>_xlfn.XLOOKUP($A2223,Load!$B:$B,Load!F:F,0,)</f>
        <v>Mixed / Combo Packs (Gummy, Chewy, Taffy, etc.)</v>
      </c>
      <c r="F2223" t="str">
        <f>_xlfn.XLOOKUP($A2223,Load!$B:$B,Load!G:G,0,)</f>
        <v>Medium Multipack (40–80 ct)</v>
      </c>
      <c r="G2223" t="str">
        <f>_xlfn.XLOOKUP($A2223,Load!$B:$B,Load!H:H,0,)</f>
        <v>Stand-Up Bag</v>
      </c>
      <c r="H2223" t="str">
        <f>_xlfn.XLOOKUP($A2223,Load!$B:$B,Load!I:I,0,)</f>
        <v>Everyday Candy Shapes (like Original, Gummy bear, Fruit, Jewels, etc.)</v>
      </c>
      <c r="I2223" t="str">
        <f>_xlfn.XLOOKUP($A2223,Load!$B:$B,Load!J:J,0,)</f>
        <v>Seasonal Graphics (Like Bat, Ghost, Pumpkin, Fall Leaves, Eyeballs, etc.)</v>
      </c>
      <c r="J2223" t="str">
        <f>_xlfn.XLOOKUP($A2223,Load!$B:$B,Load!K:K,0,)</f>
        <v xml:space="preserve">Variety Candy Sizes </v>
      </c>
      <c r="K2223" t="str">
        <f>_xlfn.XLOOKUP($A2223,Load!$B:$B,Load!L:L,0,)</f>
        <v>Regular/Original Wrapping</v>
      </c>
      <c r="L2223" t="str">
        <f>_xlfn.XLOOKUP($A2223,Load!$B:$B,Load!M:M,0,)</f>
        <v>Multiple Brands / Variety Flavors or Form</v>
      </c>
    </row>
    <row r="2224" spans="1:12" x14ac:dyDescent="0.25">
      <c r="A2224" t="s">
        <v>128</v>
      </c>
      <c r="B2224" t="str">
        <f>_xlfn.XLOOKUP($A2224,Load!$B:$B,Load!C:C,0,)</f>
        <v>HARIBO</v>
      </c>
      <c r="C2224" t="str">
        <f>_xlfn.XLOOKUP($A2224,Load!$B:$B,Load!D:D,0,)</f>
        <v>Non-Chocolate Candy Only</v>
      </c>
      <c r="D2224" t="str">
        <f>_xlfn.XLOOKUP($A2224,Load!$B:$B,Load!E:E,0,)</f>
        <v>Fruit Flavor (Cherry, Grape, Apple, Citrus, Tropical Fruit)</v>
      </c>
      <c r="E2224" t="str">
        <f>_xlfn.XLOOKUP($A2224,Load!$B:$B,Load!F:F,0,)</f>
        <v>Gummy</v>
      </c>
      <c r="F2224" t="str">
        <f>_xlfn.XLOOKUP($A2224,Load!$B:$B,Load!G:G,0,)</f>
        <v>Medium Multipack (40–80 ct)</v>
      </c>
      <c r="G2224" t="str">
        <f>_xlfn.XLOOKUP($A2224,Load!$B:$B,Load!H:H,0,)</f>
        <v>Plastic Cup / Container</v>
      </c>
      <c r="H2224" t="str">
        <f>_xlfn.XLOOKUP($A2224,Load!$B:$B,Load!I:I,0,)</f>
        <v>Everyday Candy Shapes (like Original, Gummy bear, Fruit, Jewels, etc.)</v>
      </c>
      <c r="I2224" t="str">
        <f>_xlfn.XLOOKUP($A2224,Load!$B:$B,Load!J:J,0,)</f>
        <v>Everyday Graphics</v>
      </c>
      <c r="J2224" t="str">
        <f>_xlfn.XLOOKUP($A2224,Load!$B:$B,Load!K:K,0,)</f>
        <v>Small Pieces (Tiny bite size candies)</v>
      </c>
      <c r="K2224" t="str">
        <f>_xlfn.XLOOKUP($A2224,Load!$B:$B,Load!L:L,0,)</f>
        <v>Regular/Original Wrapping</v>
      </c>
      <c r="L2224" t="str">
        <f>_xlfn.XLOOKUP($A2224,Load!$B:$B,Load!M:M,0,)</f>
        <v>Single Brand / Variety Flavors or Form</v>
      </c>
    </row>
    <row r="2225" spans="1:12" x14ac:dyDescent="0.25">
      <c r="B2225">
        <f>_xlfn.XLOOKUP($A2225,Load!$B:$B,Load!C:C,0,)</f>
        <v>0</v>
      </c>
      <c r="C2225">
        <f>_xlfn.XLOOKUP($A2225,Load!$B:$B,Load!D:D,0,)</f>
        <v>0</v>
      </c>
      <c r="D2225">
        <f>_xlfn.XLOOKUP($A2225,Load!$B:$B,Load!E:E,0,)</f>
        <v>0</v>
      </c>
      <c r="E2225">
        <f>_xlfn.XLOOKUP($A2225,Load!$B:$B,Load!F:F,0,)</f>
        <v>0</v>
      </c>
      <c r="F2225">
        <f>_xlfn.XLOOKUP($A2225,Load!$B:$B,Load!G:G,0,)</f>
        <v>0</v>
      </c>
      <c r="G2225">
        <f>_xlfn.XLOOKUP($A2225,Load!$B:$B,Load!H:H,0,)</f>
        <v>0</v>
      </c>
      <c r="H2225">
        <f>_xlfn.XLOOKUP($A2225,Load!$B:$B,Load!I:I,0,)</f>
        <v>0</v>
      </c>
      <c r="I2225">
        <f>_xlfn.XLOOKUP($A2225,Load!$B:$B,Load!J:J,0,)</f>
        <v>0</v>
      </c>
      <c r="J2225">
        <f>_xlfn.XLOOKUP($A2225,Load!$B:$B,Load!K:K,0,)</f>
        <v>0</v>
      </c>
      <c r="K2225">
        <f>_xlfn.XLOOKUP($A2225,Load!$B:$B,Load!L:L,0,)</f>
        <v>0</v>
      </c>
      <c r="L2225">
        <f>_xlfn.XLOOKUP($A2225,Load!$B:$B,Load!M:M,0,)</f>
        <v>0</v>
      </c>
    </row>
    <row r="2226" spans="1:12" x14ac:dyDescent="0.25">
      <c r="A2226" t="s">
        <v>467</v>
      </c>
      <c r="B2226" t="str">
        <f>_xlfn.XLOOKUP($A2226,Load!$B:$B,Load!C:C,0,)</f>
        <v>Trolli</v>
      </c>
      <c r="C2226" t="str">
        <f>_xlfn.XLOOKUP($A2226,Load!$B:$B,Load!D:D,0,)</f>
        <v>Non-Chocolate Candy Only</v>
      </c>
      <c r="D2226" t="str">
        <f>_xlfn.XLOOKUP($A2226,Load!$B:$B,Load!E:E,0,)</f>
        <v>Sour</v>
      </c>
      <c r="E2226" t="str">
        <f>_xlfn.XLOOKUP($A2226,Load!$B:$B,Load!F:F,0,)</f>
        <v>Gummy</v>
      </c>
      <c r="F2226" t="str">
        <f>_xlfn.XLOOKUP($A2226,Load!$B:$B,Load!G:G,0,)</f>
        <v>Small Multipack (Less than 40 ct)</v>
      </c>
      <c r="G2226" t="str">
        <f>_xlfn.XLOOKUP($A2226,Load!$B:$B,Load!H:H,0,)</f>
        <v>Laydown Bag</v>
      </c>
      <c r="H2226" t="str">
        <f>_xlfn.XLOOKUP($A2226,Load!$B:$B,Load!I:I,0,)</f>
        <v>Seasonal Shapes (like pumpkins, candy corn, ghost, bats, etc.)</v>
      </c>
      <c r="I2226" t="str">
        <f>_xlfn.XLOOKUP($A2226,Load!$B:$B,Load!J:J,0,)</f>
        <v>Seasonal Graphics (Like Bat, Ghost, Pumpkin, Fall Leaves, Eyeballs, etc.)</v>
      </c>
      <c r="J2226" t="str">
        <f>_xlfn.XLOOKUP($A2226,Load!$B:$B,Load!K:K,0,)</f>
        <v>Fun Size / Treat Size</v>
      </c>
      <c r="K2226" t="str">
        <f>_xlfn.XLOOKUP($A2226,Load!$B:$B,Load!L:L,0,)</f>
        <v>Regular/Original Wrapping</v>
      </c>
      <c r="L2226" t="str">
        <f>_xlfn.XLOOKUP($A2226,Load!$B:$B,Load!M:M,0,)</f>
        <v>Single Brand / Variety Flavors or Form</v>
      </c>
    </row>
    <row r="2227" spans="1:12" x14ac:dyDescent="0.25">
      <c r="B2227">
        <f>_xlfn.XLOOKUP($A2227,Load!$B:$B,Load!C:C,0,)</f>
        <v>0</v>
      </c>
      <c r="C2227">
        <f>_xlfn.XLOOKUP($A2227,Load!$B:$B,Load!D:D,0,)</f>
        <v>0</v>
      </c>
      <c r="D2227">
        <f>_xlfn.XLOOKUP($A2227,Load!$B:$B,Load!E:E,0,)</f>
        <v>0</v>
      </c>
      <c r="E2227">
        <f>_xlfn.XLOOKUP($A2227,Load!$B:$B,Load!F:F,0,)</f>
        <v>0</v>
      </c>
      <c r="F2227">
        <f>_xlfn.XLOOKUP($A2227,Load!$B:$B,Load!G:G,0,)</f>
        <v>0</v>
      </c>
      <c r="G2227">
        <f>_xlfn.XLOOKUP($A2227,Load!$B:$B,Load!H:H,0,)</f>
        <v>0</v>
      </c>
      <c r="H2227">
        <f>_xlfn.XLOOKUP($A2227,Load!$B:$B,Load!I:I,0,)</f>
        <v>0</v>
      </c>
      <c r="I2227">
        <f>_xlfn.XLOOKUP($A2227,Load!$B:$B,Load!J:J,0,)</f>
        <v>0</v>
      </c>
      <c r="J2227">
        <f>_xlfn.XLOOKUP($A2227,Load!$B:$B,Load!K:K,0,)</f>
        <v>0</v>
      </c>
      <c r="K2227">
        <f>_xlfn.XLOOKUP($A2227,Load!$B:$B,Load!L:L,0,)</f>
        <v>0</v>
      </c>
      <c r="L2227">
        <f>_xlfn.XLOOKUP($A2227,Load!$B:$B,Load!M:M,0,)</f>
        <v>0</v>
      </c>
    </row>
    <row r="2228" spans="1:12" x14ac:dyDescent="0.25">
      <c r="A2228" t="s">
        <v>155</v>
      </c>
      <c r="B2228" t="str">
        <f>_xlfn.XLOOKUP($A2228,Load!$B:$B,Load!C:C,0,)</f>
        <v>Jolly Rancher</v>
      </c>
      <c r="C2228" t="str">
        <f>_xlfn.XLOOKUP($A2228,Load!$B:$B,Load!D:D,0,)</f>
        <v>Non-Chocolate Candy Only</v>
      </c>
      <c r="D2228" t="str">
        <f>_xlfn.XLOOKUP($A2228,Load!$B:$B,Load!E:E,0,)</f>
        <v>Fruit Flavor (Cherry, Grape, Apple, Citrus, Tropical Fruit)</v>
      </c>
      <c r="E2228" t="str">
        <f>_xlfn.XLOOKUP($A2228,Load!$B:$B,Load!F:F,0,)</f>
        <v>Hard Candy</v>
      </c>
      <c r="F2228" t="str">
        <f>_xlfn.XLOOKUP($A2228,Load!$B:$B,Load!G:G,0,)</f>
        <v>Small Multipack (Less than 40 ct)</v>
      </c>
      <c r="G2228" t="str">
        <f>_xlfn.XLOOKUP($A2228,Load!$B:$B,Load!H:H,0,)</f>
        <v>Stand-Up Bag</v>
      </c>
      <c r="H2228" t="str">
        <f>_xlfn.XLOOKUP($A2228,Load!$B:$B,Load!I:I,0,)</f>
        <v>Everyday Candy Shapes (like Original, Gummy bear, Fruit, Jewels, etc.)</v>
      </c>
      <c r="I2228" t="str">
        <f>_xlfn.XLOOKUP($A2228,Load!$B:$B,Load!J:J,0,)</f>
        <v>Everyday Graphics</v>
      </c>
      <c r="J2228" t="str">
        <f>_xlfn.XLOOKUP($A2228,Load!$B:$B,Load!K:K,0,)</f>
        <v>Small Pieces (Tiny bite size candies)</v>
      </c>
      <c r="K2228" t="str">
        <f>_xlfn.XLOOKUP($A2228,Load!$B:$B,Load!L:L,0,)</f>
        <v>Regular/Original Wrapping</v>
      </c>
      <c r="L2228" t="str">
        <f>_xlfn.XLOOKUP($A2228,Load!$B:$B,Load!M:M,0,)</f>
        <v>Single Brand / Variety Flavors or Form</v>
      </c>
    </row>
    <row r="2229" spans="1:12" x14ac:dyDescent="0.25">
      <c r="A2229" t="s">
        <v>154</v>
      </c>
      <c r="B2229" t="str">
        <f>_xlfn.XLOOKUP($A2229,Load!$B:$B,Load!C:C,0,)</f>
        <v>Jolly Rancher</v>
      </c>
      <c r="C2229" t="str">
        <f>_xlfn.XLOOKUP($A2229,Load!$B:$B,Load!D:D,0,)</f>
        <v>Non-Chocolate Candy Only</v>
      </c>
      <c r="D2229" t="str">
        <f>_xlfn.XLOOKUP($A2229,Load!$B:$B,Load!E:E,0,)</f>
        <v>Fruit Flavor (Cherry, Grape, Apple, Citrus, Tropical Fruit)</v>
      </c>
      <c r="E2229" t="str">
        <f>_xlfn.XLOOKUP($A2229,Load!$B:$B,Load!F:F,0,)</f>
        <v>Hard Candy</v>
      </c>
      <c r="F2229" t="str">
        <f>_xlfn.XLOOKUP($A2229,Load!$B:$B,Load!G:G,0,)</f>
        <v>Small Multipack (Less than 40 ct)</v>
      </c>
      <c r="G2229" t="str">
        <f>_xlfn.XLOOKUP($A2229,Load!$B:$B,Load!H:H,0,)</f>
        <v>Stand-Up Bag</v>
      </c>
      <c r="H2229" t="str">
        <f>_xlfn.XLOOKUP($A2229,Load!$B:$B,Load!I:I,0,)</f>
        <v>Everyday Candy Shapes (like Original, Gummy bear, Fruit, Jewels, etc.)</v>
      </c>
      <c r="I2229" t="str">
        <f>_xlfn.XLOOKUP($A2229,Load!$B:$B,Load!J:J,0,)</f>
        <v>Everyday Graphics</v>
      </c>
      <c r="J2229" t="str">
        <f>_xlfn.XLOOKUP($A2229,Load!$B:$B,Load!K:K,0,)</f>
        <v>Small Pieces (Tiny bite size candies)</v>
      </c>
      <c r="K2229" t="str">
        <f>_xlfn.XLOOKUP($A2229,Load!$B:$B,Load!L:L,0,)</f>
        <v>Regular/Original Wrapping</v>
      </c>
      <c r="L2229" t="str">
        <f>_xlfn.XLOOKUP($A2229,Load!$B:$B,Load!M:M,0,)</f>
        <v>Single Brand / Variety Flavors or Form</v>
      </c>
    </row>
    <row r="2230" spans="1:12" x14ac:dyDescent="0.25">
      <c r="A2230" t="s">
        <v>59</v>
      </c>
      <c r="B2230" t="str">
        <f>_xlfn.XLOOKUP($A2230,Load!$B:$B,Load!C:C,0,)</f>
        <v>Charms</v>
      </c>
      <c r="C2230" t="str">
        <f>_xlfn.XLOOKUP($A2230,Load!$B:$B,Load!D:D,0,)</f>
        <v>Non-Chocolate Candy Only</v>
      </c>
      <c r="D2230" t="str">
        <f>_xlfn.XLOOKUP($A2230,Load!$B:$B,Load!E:E,0,)</f>
        <v>Variety / Mixed Flavors (Fruity, Sour, Seasonal Flavors)</v>
      </c>
      <c r="E2230" t="str">
        <f>_xlfn.XLOOKUP($A2230,Load!$B:$B,Load!F:F,0,)</f>
        <v>Mixed / Combo Packs (Gummy, Chewy, Taffy, etc.)</v>
      </c>
      <c r="F2230" t="str">
        <f>_xlfn.XLOOKUP($A2230,Load!$B:$B,Load!G:G,0,)</f>
        <v>Large Multipack (More than 80 ct)</v>
      </c>
      <c r="G2230" t="str">
        <f>_xlfn.XLOOKUP($A2230,Load!$B:$B,Load!H:H,0,)</f>
        <v>Laydown Bag</v>
      </c>
      <c r="H2230" t="str">
        <f>_xlfn.XLOOKUP($A2230,Load!$B:$B,Load!I:I,0,)</f>
        <v>Everyday Candy Shapes (like Original, Gummy bear, Fruit, Jewels, etc.)</v>
      </c>
      <c r="I2230" t="str">
        <f>_xlfn.XLOOKUP($A2230,Load!$B:$B,Load!J:J,0,)</f>
        <v>Seasonal Graphics (Like Bat, Ghost, Pumpkin, Fall Leaves, Eyeballs, etc.)</v>
      </c>
      <c r="J2230" t="str">
        <f>_xlfn.XLOOKUP($A2230,Load!$B:$B,Load!K:K,0,)</f>
        <v xml:space="preserve">Variety Candy Sizes </v>
      </c>
      <c r="K2230" t="str">
        <f>_xlfn.XLOOKUP($A2230,Load!$B:$B,Load!L:L,0,)</f>
        <v>Regular/Original Wrapping</v>
      </c>
      <c r="L2230" t="str">
        <f>_xlfn.XLOOKUP($A2230,Load!$B:$B,Load!M:M,0,)</f>
        <v>Single Brand / Variety Flavors or Form</v>
      </c>
    </row>
    <row r="2231" spans="1:12" x14ac:dyDescent="0.25">
      <c r="A2231" t="s">
        <v>289</v>
      </c>
      <c r="B2231" t="str">
        <f>_xlfn.XLOOKUP($A2231,Load!$B:$B,Load!C:C,0,)</f>
        <v>Tootsie</v>
      </c>
      <c r="C2231" t="str">
        <f>_xlfn.XLOOKUP($A2231,Load!$B:$B,Load!D:D,0,)</f>
        <v>Mix of Chocolate and Non-Chocolate Candy</v>
      </c>
      <c r="D2231" t="str">
        <f>_xlfn.XLOOKUP($A2231,Load!$B:$B,Load!E:E,0,)</f>
        <v>Variety / Mixed Flavors (Fruity, Sour, Seasonal Flavors)</v>
      </c>
      <c r="E2231" t="str">
        <f>_xlfn.XLOOKUP($A2231,Load!$B:$B,Load!F:F,0,)</f>
        <v>Mixed / Combo Packs (Gummy, Chewy, Taffy, etc.)</v>
      </c>
      <c r="F2231" t="str">
        <f>_xlfn.XLOOKUP($A2231,Load!$B:$B,Load!G:G,0,)</f>
        <v>Large Multipack (More than 80 ct)</v>
      </c>
      <c r="G2231" t="str">
        <f>_xlfn.XLOOKUP($A2231,Load!$B:$B,Load!H:H,0,)</f>
        <v>Laydown Bag</v>
      </c>
      <c r="H2231" t="str">
        <f>_xlfn.XLOOKUP($A2231,Load!$B:$B,Load!I:I,0,)</f>
        <v>Everyday Candy Shapes (like Original, Gummy bear, Fruit, Jewels, etc.)</v>
      </c>
      <c r="I2231" t="str">
        <f>_xlfn.XLOOKUP($A2231,Load!$B:$B,Load!J:J,0,)</f>
        <v>Everyday Graphics</v>
      </c>
      <c r="J2231" t="str">
        <f>_xlfn.XLOOKUP($A2231,Load!$B:$B,Load!K:K,0,)</f>
        <v xml:space="preserve">Variety Candy Sizes </v>
      </c>
      <c r="K2231" t="str">
        <f>_xlfn.XLOOKUP($A2231,Load!$B:$B,Load!L:L,0,)</f>
        <v>Regular/Original Wrapping</v>
      </c>
      <c r="L2231" t="str">
        <f>_xlfn.XLOOKUP($A2231,Load!$B:$B,Load!M:M,0,)</f>
        <v>Single Brand / Variety Flavors or Form</v>
      </c>
    </row>
    <row r="2232" spans="1:12" x14ac:dyDescent="0.25">
      <c r="A2232" t="s">
        <v>256</v>
      </c>
      <c r="B2232" t="str">
        <f>_xlfn.XLOOKUP($A2232,Load!$B:$B,Load!C:C,0,)</f>
        <v>Skittles</v>
      </c>
      <c r="C2232" t="str">
        <f>_xlfn.XLOOKUP($A2232,Load!$B:$B,Load!D:D,0,)</f>
        <v>Non-Chocolate Candy Only</v>
      </c>
      <c r="D2232" t="str">
        <f>_xlfn.XLOOKUP($A2232,Load!$B:$B,Load!E:E,0,)</f>
        <v>Sour</v>
      </c>
      <c r="E2232" t="str">
        <f>_xlfn.XLOOKUP($A2232,Load!$B:$B,Load!F:F,0,)</f>
        <v>Chewy</v>
      </c>
      <c r="F2232" t="str">
        <f>_xlfn.XLOOKUP($A2232,Load!$B:$B,Load!G:G,0,)</f>
        <v>Single Pack</v>
      </c>
      <c r="G2232" t="str">
        <f>_xlfn.XLOOKUP($A2232,Load!$B:$B,Load!H:H,0,)</f>
        <v>Laydown Bag</v>
      </c>
      <c r="H2232" t="str">
        <f>_xlfn.XLOOKUP($A2232,Load!$B:$B,Load!I:I,0,)</f>
        <v>Seasonal Shapes (like pumpkins, candy corn, ghost, bats, etc.)</v>
      </c>
      <c r="I2232" t="str">
        <f>_xlfn.XLOOKUP($A2232,Load!$B:$B,Load!J:J,0,)</f>
        <v>Seasonal Graphics (Like Bat, Ghost, Pumpkin, Fall Leaves, Eyeballs, etc.)</v>
      </c>
      <c r="J2232" t="str">
        <f>_xlfn.XLOOKUP($A2232,Load!$B:$B,Load!K:K,0,)</f>
        <v>Small Pieces (Tiny bite size candies)</v>
      </c>
      <c r="K2232" t="str">
        <f>_xlfn.XLOOKUP($A2232,Load!$B:$B,Load!L:L,0,)</f>
        <v>Regular/Original Wrapping</v>
      </c>
      <c r="L2232" t="str">
        <f>_xlfn.XLOOKUP($A2232,Load!$B:$B,Load!M:M,0,)</f>
        <v>Single Brand / Variety Flavors or Form</v>
      </c>
    </row>
    <row r="2233" spans="1:12" x14ac:dyDescent="0.25">
      <c r="A2233" t="s">
        <v>285</v>
      </c>
      <c r="B2233" t="str">
        <f>_xlfn.XLOOKUP($A2233,Load!$B:$B,Load!C:C,0,)</f>
        <v>Starburst</v>
      </c>
      <c r="C2233" t="str">
        <f>_xlfn.XLOOKUP($A2233,Load!$B:$B,Load!D:D,0,)</f>
        <v>Non-Chocolate Candy Only</v>
      </c>
      <c r="D2233" t="str">
        <f>_xlfn.XLOOKUP($A2233,Load!$B:$B,Load!E:E,0,)</f>
        <v>Fruit Flavor (Cherry, Grape, Apple, Citrus, Tropical Fruit)</v>
      </c>
      <c r="E2233" t="str">
        <f>_xlfn.XLOOKUP($A2233,Load!$B:$B,Load!F:F,0,)</f>
        <v>Chewy</v>
      </c>
      <c r="F2233" t="str">
        <f>_xlfn.XLOOKUP($A2233,Load!$B:$B,Load!G:G,0,)</f>
        <v>Small Multipack (Less than 40 ct)</v>
      </c>
      <c r="G2233" t="str">
        <f>_xlfn.XLOOKUP($A2233,Load!$B:$B,Load!H:H,0,)</f>
        <v>Laydown Bag</v>
      </c>
      <c r="H2233" t="str">
        <f>_xlfn.XLOOKUP($A2233,Load!$B:$B,Load!I:I,0,)</f>
        <v>Everyday Candy Shapes (like Original, Gummy bear, Fruit, Jewels, etc.)</v>
      </c>
      <c r="I2233" t="str">
        <f>_xlfn.XLOOKUP($A2233,Load!$B:$B,Load!J:J,0,)</f>
        <v>Everyday Graphics</v>
      </c>
      <c r="J2233" t="str">
        <f>_xlfn.XLOOKUP($A2233,Load!$B:$B,Load!K:K,0,)</f>
        <v>Small Pieces (Tiny bite size candies)</v>
      </c>
      <c r="K2233" t="str">
        <f>_xlfn.XLOOKUP($A2233,Load!$B:$B,Load!L:L,0,)</f>
        <v>Regular/Original Wrapping</v>
      </c>
      <c r="L2233" t="str">
        <f>_xlfn.XLOOKUP($A2233,Load!$B:$B,Load!M:M,0,)</f>
        <v>Single Brand / Variety Flavors or Form</v>
      </c>
    </row>
    <row r="2234" spans="1:12" x14ac:dyDescent="0.25">
      <c r="A2234" t="s">
        <v>183</v>
      </c>
      <c r="B2234" t="str">
        <f>_xlfn.XLOOKUP($A2234,Load!$B:$B,Load!C:C,0,)</f>
        <v>Mars Variety Pack</v>
      </c>
      <c r="C2234" t="str">
        <f>_xlfn.XLOOKUP($A2234,Load!$B:$B,Load!D:D,0,)</f>
        <v>Non-Chocolate Candy Only</v>
      </c>
      <c r="D2234" t="str">
        <f>_xlfn.XLOOKUP($A2234,Load!$B:$B,Load!E:E,0,)</f>
        <v>Variety / Mixed Flavors (Fruity, Sour, Seasonal Flavors)</v>
      </c>
      <c r="E2234" t="str">
        <f>_xlfn.XLOOKUP($A2234,Load!$B:$B,Load!F:F,0,)</f>
        <v>Mixed / Combo Packs (Gummy, Chewy, Taffy, etc.)</v>
      </c>
      <c r="F2234" t="str">
        <f>_xlfn.XLOOKUP($A2234,Load!$B:$B,Load!G:G,0,)</f>
        <v>Large Multipack (More than 80 ct)</v>
      </c>
      <c r="G2234" t="str">
        <f>_xlfn.XLOOKUP($A2234,Load!$B:$B,Load!H:H,0,)</f>
        <v>Stand-Up Bag</v>
      </c>
      <c r="H2234" t="str">
        <f>_xlfn.XLOOKUP($A2234,Load!$B:$B,Load!I:I,0,)</f>
        <v>Seasonal Shapes (like pumpkins, candy corn, ghost, bats, etc.)</v>
      </c>
      <c r="I2234" t="str">
        <f>_xlfn.XLOOKUP($A2234,Load!$B:$B,Load!J:J,0,)</f>
        <v>Seasonal Graphics (Like Bat, Ghost, Pumpkin, Fall Leaves, Eyeballs, etc.)</v>
      </c>
      <c r="J2234" t="str">
        <f>_xlfn.XLOOKUP($A2234,Load!$B:$B,Load!K:K,0,)</f>
        <v xml:space="preserve">Variety Candy Sizes </v>
      </c>
      <c r="K2234" t="str">
        <f>_xlfn.XLOOKUP($A2234,Load!$B:$B,Load!L:L,0,)</f>
        <v>Regular/Original Wrapping</v>
      </c>
      <c r="L2234" t="str">
        <f>_xlfn.XLOOKUP($A2234,Load!$B:$B,Load!M:M,0,)</f>
        <v>Multiple Brands / Variety Flavors or Form</v>
      </c>
    </row>
    <row r="2235" spans="1:12" x14ac:dyDescent="0.25">
      <c r="A2235" t="s">
        <v>112</v>
      </c>
      <c r="B2235" t="str">
        <f>_xlfn.XLOOKUP($A2235,Load!$B:$B,Load!C:C,0,)</f>
        <v>Frankford</v>
      </c>
      <c r="C2235" t="str">
        <f>_xlfn.XLOOKUP($A2235,Load!$B:$B,Load!D:D,0,)</f>
        <v>Non-Chocolate Candy Only</v>
      </c>
      <c r="D2235" t="str">
        <f>_xlfn.XLOOKUP($A2235,Load!$B:$B,Load!E:E,0,)</f>
        <v>Sour</v>
      </c>
      <c r="E2235" t="str">
        <f>_xlfn.XLOOKUP($A2235,Load!$B:$B,Load!F:F,0,)</f>
        <v>Mixed / Combo Packs (Gummy, Chewy, Taffy, etc.)</v>
      </c>
      <c r="F2235" t="str">
        <f>_xlfn.XLOOKUP($A2235,Load!$B:$B,Load!G:G,0,)</f>
        <v>Large Multipack (More than 80 ct)</v>
      </c>
      <c r="G2235" t="str">
        <f>_xlfn.XLOOKUP($A2235,Load!$B:$B,Load!H:H,0,)</f>
        <v>Laydown Bag</v>
      </c>
      <c r="H2235" t="str">
        <f>_xlfn.XLOOKUP($A2235,Load!$B:$B,Load!I:I,0,)</f>
        <v>Everyday Candy Shapes (like Original, Gummy bear, Fruit, Jewels, etc.)</v>
      </c>
      <c r="I2235" t="str">
        <f>_xlfn.XLOOKUP($A2235,Load!$B:$B,Load!J:J,0,)</f>
        <v>Seasonal Graphics (Like Bat, Ghost, Pumpkin, Fall Leaves, Eyeballs, etc.)</v>
      </c>
      <c r="J2235" t="str">
        <f>_xlfn.XLOOKUP($A2235,Load!$B:$B,Load!K:K,0,)</f>
        <v>Small Pieces (Tiny bite size candies)</v>
      </c>
      <c r="K2235" t="str">
        <f>_xlfn.XLOOKUP($A2235,Load!$B:$B,Load!L:L,0,)</f>
        <v>Regular/Original Wrapping</v>
      </c>
      <c r="L2235" t="str">
        <f>_xlfn.XLOOKUP($A2235,Load!$B:$B,Load!M:M,0,)</f>
        <v>Multiple Brands / Variety Flavors or Form</v>
      </c>
    </row>
    <row r="2236" spans="1:12" x14ac:dyDescent="0.25">
      <c r="B2236">
        <f>_xlfn.XLOOKUP($A2236,Load!$B:$B,Load!C:C,0,)</f>
        <v>0</v>
      </c>
      <c r="C2236">
        <f>_xlfn.XLOOKUP($A2236,Load!$B:$B,Load!D:D,0,)</f>
        <v>0</v>
      </c>
      <c r="D2236">
        <f>_xlfn.XLOOKUP($A2236,Load!$B:$B,Load!E:E,0,)</f>
        <v>0</v>
      </c>
      <c r="E2236">
        <f>_xlfn.XLOOKUP($A2236,Load!$B:$B,Load!F:F,0,)</f>
        <v>0</v>
      </c>
      <c r="F2236">
        <f>_xlfn.XLOOKUP($A2236,Load!$B:$B,Load!G:G,0,)</f>
        <v>0</v>
      </c>
      <c r="G2236">
        <f>_xlfn.XLOOKUP($A2236,Load!$B:$B,Load!H:H,0,)</f>
        <v>0</v>
      </c>
      <c r="H2236">
        <f>_xlfn.XLOOKUP($A2236,Load!$B:$B,Load!I:I,0,)</f>
        <v>0</v>
      </c>
      <c r="I2236">
        <f>_xlfn.XLOOKUP($A2236,Load!$B:$B,Load!J:J,0,)</f>
        <v>0</v>
      </c>
      <c r="J2236">
        <f>_xlfn.XLOOKUP($A2236,Load!$B:$B,Load!K:K,0,)</f>
        <v>0</v>
      </c>
      <c r="K2236">
        <f>_xlfn.XLOOKUP($A2236,Load!$B:$B,Load!L:L,0,)</f>
        <v>0</v>
      </c>
      <c r="L2236">
        <f>_xlfn.XLOOKUP($A2236,Load!$B:$B,Load!M:M,0,)</f>
        <v>0</v>
      </c>
    </row>
    <row r="2237" spans="1:12" x14ac:dyDescent="0.25">
      <c r="B2237">
        <f>_xlfn.XLOOKUP($A2237,Load!$B:$B,Load!C:C,0,)</f>
        <v>0</v>
      </c>
      <c r="C2237">
        <f>_xlfn.XLOOKUP($A2237,Load!$B:$B,Load!D:D,0,)</f>
        <v>0</v>
      </c>
      <c r="D2237">
        <f>_xlfn.XLOOKUP($A2237,Load!$B:$B,Load!E:E,0,)</f>
        <v>0</v>
      </c>
      <c r="E2237">
        <f>_xlfn.XLOOKUP($A2237,Load!$B:$B,Load!F:F,0,)</f>
        <v>0</v>
      </c>
      <c r="F2237">
        <f>_xlfn.XLOOKUP($A2237,Load!$B:$B,Load!G:G,0,)</f>
        <v>0</v>
      </c>
      <c r="G2237">
        <f>_xlfn.XLOOKUP($A2237,Load!$B:$B,Load!H:H,0,)</f>
        <v>0</v>
      </c>
      <c r="H2237">
        <f>_xlfn.XLOOKUP($A2237,Load!$B:$B,Load!I:I,0,)</f>
        <v>0</v>
      </c>
      <c r="I2237">
        <f>_xlfn.XLOOKUP($A2237,Load!$B:$B,Load!J:J,0,)</f>
        <v>0</v>
      </c>
      <c r="J2237">
        <f>_xlfn.XLOOKUP($A2237,Load!$B:$B,Load!K:K,0,)</f>
        <v>0</v>
      </c>
      <c r="K2237">
        <f>_xlfn.XLOOKUP($A2237,Load!$B:$B,Load!L:L,0,)</f>
        <v>0</v>
      </c>
      <c r="L2237">
        <f>_xlfn.XLOOKUP($A2237,Load!$B:$B,Load!M:M,0,)</f>
        <v>0</v>
      </c>
    </row>
    <row r="2238" spans="1:12" x14ac:dyDescent="0.25">
      <c r="A2238" t="s">
        <v>76</v>
      </c>
      <c r="B2238" t="str">
        <f>_xlfn.XLOOKUP($A2238,Load!$B:$B,Load!C:C,0,)</f>
        <v>Dum Dums</v>
      </c>
      <c r="C2238" t="str">
        <f>_xlfn.XLOOKUP($A2238,Load!$B:$B,Load!D:D,0,)</f>
        <v>Non-Chocolate Candy Only</v>
      </c>
      <c r="D2238" t="str">
        <f>_xlfn.XLOOKUP($A2238,Load!$B:$B,Load!E:E,0,)</f>
        <v>Variety / Mixed Flavors (Fruity, Sour, Seasonal Flavors)</v>
      </c>
      <c r="E2238" t="str">
        <f>_xlfn.XLOOKUP($A2238,Load!$B:$B,Load!F:F,0,)</f>
        <v>Lollipop (regular or lollipop rings)</v>
      </c>
      <c r="F2238" t="str">
        <f>_xlfn.XLOOKUP($A2238,Load!$B:$B,Load!G:G,0,)</f>
        <v>Large Multipack (More than 80 ct)</v>
      </c>
      <c r="G2238" t="str">
        <f>_xlfn.XLOOKUP($A2238,Load!$B:$B,Load!H:H,0,)</f>
        <v>Stand-Up Bag</v>
      </c>
      <c r="H2238" t="str">
        <f>_xlfn.XLOOKUP($A2238,Load!$B:$B,Load!I:I,0,)</f>
        <v>Everyday Candy Shapes (like Original, Gummy bear, Fruit, Jewels, etc.)</v>
      </c>
      <c r="I2238" t="str">
        <f>_xlfn.XLOOKUP($A2238,Load!$B:$B,Load!J:J,0,)</f>
        <v>Everyday Graphics</v>
      </c>
      <c r="J2238" t="str">
        <f>_xlfn.XLOOKUP($A2238,Load!$B:$B,Load!K:K,0,)</f>
        <v>Regular Lollipop size (on sticks or rings)</v>
      </c>
      <c r="K2238" t="str">
        <f>_xlfn.XLOOKUP($A2238,Load!$B:$B,Load!L:L,0,)</f>
        <v>Regular/Original Wrapping</v>
      </c>
      <c r="L2238" t="str">
        <f>_xlfn.XLOOKUP($A2238,Load!$B:$B,Load!M:M,0,)</f>
        <v>Single Brand / Variety Flavors or Form</v>
      </c>
    </row>
    <row r="2239" spans="1:12" x14ac:dyDescent="0.25">
      <c r="A2239" t="s">
        <v>170</v>
      </c>
      <c r="B2239" t="str">
        <f>_xlfn.XLOOKUP($A2239,Load!$B:$B,Load!C:C,0,)</f>
        <v>Laffy Taffy</v>
      </c>
      <c r="C2239" t="str">
        <f>_xlfn.XLOOKUP($A2239,Load!$B:$B,Load!D:D,0,)</f>
        <v>Non-Chocolate Candy Only</v>
      </c>
      <c r="D2239" t="str">
        <f>_xlfn.XLOOKUP($A2239,Load!$B:$B,Load!E:E,0,)</f>
        <v>Fruit Flavor (Cherry, Grape, Apple, Citrus, Tropical Fruit)</v>
      </c>
      <c r="E2239" t="str">
        <f>_xlfn.XLOOKUP($A2239,Load!$B:$B,Load!F:F,0,)</f>
        <v>Taffy</v>
      </c>
      <c r="F2239" t="str">
        <f>_xlfn.XLOOKUP($A2239,Load!$B:$B,Load!G:G,0,)</f>
        <v>Large Multipack (More than 80 ct)</v>
      </c>
      <c r="G2239" t="str">
        <f>_xlfn.XLOOKUP($A2239,Load!$B:$B,Load!H:H,0,)</f>
        <v>Stand-Up Bag</v>
      </c>
      <c r="H2239" t="str">
        <f>_xlfn.XLOOKUP($A2239,Load!$B:$B,Load!I:I,0,)</f>
        <v>Everyday Candy Shapes (like Original, Gummy bear, Fruit, Jewels, etc.)</v>
      </c>
      <c r="I2239" t="str">
        <f>_xlfn.XLOOKUP($A2239,Load!$B:$B,Load!J:J,0,)</f>
        <v>Everyday Graphics</v>
      </c>
      <c r="J2239" t="str">
        <f>_xlfn.XLOOKUP($A2239,Load!$B:$B,Load!K:K,0,)</f>
        <v>Fun Size / Treat Size</v>
      </c>
      <c r="K2239" t="str">
        <f>_xlfn.XLOOKUP($A2239,Load!$B:$B,Load!L:L,0,)</f>
        <v>Regular/Original Wrapping</v>
      </c>
      <c r="L2239" t="str">
        <f>_xlfn.XLOOKUP($A2239,Load!$B:$B,Load!M:M,0,)</f>
        <v>Single Brand / Variety Flavors or Form</v>
      </c>
    </row>
    <row r="2240" spans="1:12" x14ac:dyDescent="0.25">
      <c r="B2240">
        <f>_xlfn.XLOOKUP($A2240,Load!$B:$B,Load!C:C,0,)</f>
        <v>0</v>
      </c>
      <c r="C2240">
        <f>_xlfn.XLOOKUP($A2240,Load!$B:$B,Load!D:D,0,)</f>
        <v>0</v>
      </c>
      <c r="D2240">
        <f>_xlfn.XLOOKUP($A2240,Load!$B:$B,Load!E:E,0,)</f>
        <v>0</v>
      </c>
      <c r="E2240">
        <f>_xlfn.XLOOKUP($A2240,Load!$B:$B,Load!F:F,0,)</f>
        <v>0</v>
      </c>
      <c r="F2240">
        <f>_xlfn.XLOOKUP($A2240,Load!$B:$B,Load!G:G,0,)</f>
        <v>0</v>
      </c>
      <c r="G2240">
        <f>_xlfn.XLOOKUP($A2240,Load!$B:$B,Load!H:H,0,)</f>
        <v>0</v>
      </c>
      <c r="H2240">
        <f>_xlfn.XLOOKUP($A2240,Load!$B:$B,Load!I:I,0,)</f>
        <v>0</v>
      </c>
      <c r="I2240">
        <f>_xlfn.XLOOKUP($A2240,Load!$B:$B,Load!J:J,0,)</f>
        <v>0</v>
      </c>
      <c r="J2240">
        <f>_xlfn.XLOOKUP($A2240,Load!$B:$B,Load!K:K,0,)</f>
        <v>0</v>
      </c>
      <c r="K2240">
        <f>_xlfn.XLOOKUP($A2240,Load!$B:$B,Load!L:L,0,)</f>
        <v>0</v>
      </c>
      <c r="L2240">
        <f>_xlfn.XLOOKUP($A2240,Load!$B:$B,Load!M:M,0,)</f>
        <v>0</v>
      </c>
    </row>
    <row r="2241" spans="1:12" x14ac:dyDescent="0.25">
      <c r="B2241">
        <f>_xlfn.XLOOKUP($A2241,Load!$B:$B,Load!C:C,0,)</f>
        <v>0</v>
      </c>
      <c r="C2241">
        <f>_xlfn.XLOOKUP($A2241,Load!$B:$B,Load!D:D,0,)</f>
        <v>0</v>
      </c>
      <c r="D2241">
        <f>_xlfn.XLOOKUP($A2241,Load!$B:$B,Load!E:E,0,)</f>
        <v>0</v>
      </c>
      <c r="E2241">
        <f>_xlfn.XLOOKUP($A2241,Load!$B:$B,Load!F:F,0,)</f>
        <v>0</v>
      </c>
      <c r="F2241">
        <f>_xlfn.XLOOKUP($A2241,Load!$B:$B,Load!G:G,0,)</f>
        <v>0</v>
      </c>
      <c r="G2241">
        <f>_xlfn.XLOOKUP($A2241,Load!$B:$B,Load!H:H,0,)</f>
        <v>0</v>
      </c>
      <c r="H2241">
        <f>_xlfn.XLOOKUP($A2241,Load!$B:$B,Load!I:I,0,)</f>
        <v>0</v>
      </c>
      <c r="I2241">
        <f>_xlfn.XLOOKUP($A2241,Load!$B:$B,Load!J:J,0,)</f>
        <v>0</v>
      </c>
      <c r="J2241">
        <f>_xlfn.XLOOKUP($A2241,Load!$B:$B,Load!K:K,0,)</f>
        <v>0</v>
      </c>
      <c r="K2241">
        <f>_xlfn.XLOOKUP($A2241,Load!$B:$B,Load!L:L,0,)</f>
        <v>0</v>
      </c>
      <c r="L2241">
        <f>_xlfn.XLOOKUP($A2241,Load!$B:$B,Load!M:M,0,)</f>
        <v>0</v>
      </c>
    </row>
    <row r="2242" spans="1:12" x14ac:dyDescent="0.25">
      <c r="A2242" t="s">
        <v>188</v>
      </c>
      <c r="B2242" t="str">
        <f>_xlfn.XLOOKUP($A2242,Load!$B:$B,Load!C:C,0,)</f>
        <v>Mars Variety Pack</v>
      </c>
      <c r="C2242" t="str">
        <f>_xlfn.XLOOKUP($A2242,Load!$B:$B,Load!D:D,0,)</f>
        <v>Non-Chocolate Candy Only</v>
      </c>
      <c r="D2242" t="str">
        <f>_xlfn.XLOOKUP($A2242,Load!$B:$B,Load!E:E,0,)</f>
        <v>Variety / Mixed Flavors (Fruity, Sour, Seasonal Flavors)</v>
      </c>
      <c r="E2242" t="str">
        <f>_xlfn.XLOOKUP($A2242,Load!$B:$B,Load!F:F,0,)</f>
        <v>Mixed / Combo Packs (Gummy, Chewy, Taffy, etc.)</v>
      </c>
      <c r="F2242" t="str">
        <f>_xlfn.XLOOKUP($A2242,Load!$B:$B,Load!G:G,0,)</f>
        <v>Large Multipack (More than 80 ct)</v>
      </c>
      <c r="G2242" t="str">
        <f>_xlfn.XLOOKUP($A2242,Load!$B:$B,Load!H:H,0,)</f>
        <v>Laydown Bag</v>
      </c>
      <c r="H2242" t="str">
        <f>_xlfn.XLOOKUP($A2242,Load!$B:$B,Load!I:I,0,)</f>
        <v>Everyday Candy Shapes (like Original, Gummy bear, Fruit, Jewels, etc.)</v>
      </c>
      <c r="I2242" t="str">
        <f>_xlfn.XLOOKUP($A2242,Load!$B:$B,Load!J:J,0,)</f>
        <v>Everyday Graphics</v>
      </c>
      <c r="J2242" t="str">
        <f>_xlfn.XLOOKUP($A2242,Load!$B:$B,Load!K:K,0,)</f>
        <v>Small Pieces (Tiny bite size candies)</v>
      </c>
      <c r="K2242" t="str">
        <f>_xlfn.XLOOKUP($A2242,Load!$B:$B,Load!L:L,0,)</f>
        <v>Regular/Original Wrapping</v>
      </c>
      <c r="L2242" t="str">
        <f>_xlfn.XLOOKUP($A2242,Load!$B:$B,Load!M:M,0,)</f>
        <v>Multiple Brands / Variety Flavors or Form</v>
      </c>
    </row>
    <row r="2243" spans="1:12" x14ac:dyDescent="0.25">
      <c r="A2243" t="s">
        <v>6</v>
      </c>
      <c r="B2243" t="str">
        <f>_xlfn.XLOOKUP($A2243,Load!$B:$B,Load!C:C,0,)</f>
        <v>Airheads</v>
      </c>
      <c r="C2243" t="str">
        <f>_xlfn.XLOOKUP($A2243,Load!$B:$B,Load!D:D,0,)</f>
        <v>Non-Chocolate Candy Only</v>
      </c>
      <c r="D2243" t="str">
        <f>_xlfn.XLOOKUP($A2243,Load!$B:$B,Load!E:E,0,)</f>
        <v>Sour</v>
      </c>
      <c r="E2243" t="str">
        <f>_xlfn.XLOOKUP($A2243,Load!$B:$B,Load!F:F,0,)</f>
        <v>Taffy</v>
      </c>
      <c r="F2243" t="str">
        <f>_xlfn.XLOOKUP($A2243,Load!$B:$B,Load!G:G,0,)</f>
        <v>Large Multipack (More than 80 ct)</v>
      </c>
      <c r="G2243" t="str">
        <f>_xlfn.XLOOKUP($A2243,Load!$B:$B,Load!H:H,0,)</f>
        <v>Laydown Bag</v>
      </c>
      <c r="H2243" t="str">
        <f>_xlfn.XLOOKUP($A2243,Load!$B:$B,Load!I:I,0,)</f>
        <v>Everyday Candy Shapes (like Original, Gummy bear, Fruit, Jewels, etc.)</v>
      </c>
      <c r="I2243" t="str">
        <f>_xlfn.XLOOKUP($A2243,Load!$B:$B,Load!J:J,0,)</f>
        <v>Everyday Graphics</v>
      </c>
      <c r="J2243" t="str">
        <f>_xlfn.XLOOKUP($A2243,Load!$B:$B,Load!K:K,0,)</f>
        <v>Fun Size / Treat Size</v>
      </c>
      <c r="K2243" t="str">
        <f>_xlfn.XLOOKUP($A2243,Load!$B:$B,Load!L:L,0,)</f>
        <v>Regular/Original Wrapping</v>
      </c>
      <c r="L2243" t="str">
        <f>_xlfn.XLOOKUP($A2243,Load!$B:$B,Load!M:M,0,)</f>
        <v>Single Brand / Variety Flavors or Form</v>
      </c>
    </row>
    <row r="2244" spans="1:12" x14ac:dyDescent="0.25">
      <c r="A2244" t="s">
        <v>293</v>
      </c>
      <c r="B2244" t="str">
        <f>_xlfn.XLOOKUP($A2244,Load!$B:$B,Load!C:C,0,)</f>
        <v>Tootsie</v>
      </c>
      <c r="C2244" t="str">
        <f>_xlfn.XLOOKUP($A2244,Load!$B:$B,Load!D:D,0,)</f>
        <v>Mix of Chocolate and Non-Chocolate Candy</v>
      </c>
      <c r="D2244" t="str">
        <f>_xlfn.XLOOKUP($A2244,Load!$B:$B,Load!E:E,0,)</f>
        <v>Sweet</v>
      </c>
      <c r="E2244" t="str">
        <f>_xlfn.XLOOKUP($A2244,Load!$B:$B,Load!F:F,0,)</f>
        <v>Lollipop (regular or lollipop rings)</v>
      </c>
      <c r="F2244" t="str">
        <f>_xlfn.XLOOKUP($A2244,Load!$B:$B,Load!G:G,0,)</f>
        <v>Large Multipack (More than 80 ct)</v>
      </c>
      <c r="G2244" t="str">
        <f>_xlfn.XLOOKUP($A2244,Load!$B:$B,Load!H:H,0,)</f>
        <v>Laydown Bag</v>
      </c>
      <c r="H2244" t="str">
        <f>_xlfn.XLOOKUP($A2244,Load!$B:$B,Load!I:I,0,)</f>
        <v>Everyday Candy Shapes (like Original, Gummy bear, Fruit, Jewels, etc.)</v>
      </c>
      <c r="I2244" t="str">
        <f>_xlfn.XLOOKUP($A2244,Load!$B:$B,Load!J:J,0,)</f>
        <v>Everyday Graphics</v>
      </c>
      <c r="J2244" t="str">
        <f>_xlfn.XLOOKUP($A2244,Load!$B:$B,Load!K:K,0,)</f>
        <v>Regular Lollipop size (on sticks or rings)</v>
      </c>
      <c r="K2244" t="str">
        <f>_xlfn.XLOOKUP($A2244,Load!$B:$B,Load!L:L,0,)</f>
        <v>Regular/Original Wrapping</v>
      </c>
      <c r="L2244" t="str">
        <f>_xlfn.XLOOKUP($A2244,Load!$B:$B,Load!M:M,0,)</f>
        <v>Single Brand / Single Flavor or Form</v>
      </c>
    </row>
    <row r="2245" spans="1:12" x14ac:dyDescent="0.25">
      <c r="A2245" t="s">
        <v>294</v>
      </c>
      <c r="B2245" t="str">
        <f>_xlfn.XLOOKUP($A2245,Load!$B:$B,Load!C:C,0,)</f>
        <v>Tootsie</v>
      </c>
      <c r="C2245" t="str">
        <f>_xlfn.XLOOKUP($A2245,Load!$B:$B,Load!D:D,0,)</f>
        <v>Non-Chocolate Candy Only</v>
      </c>
      <c r="D2245" t="str">
        <f>_xlfn.XLOOKUP($A2245,Load!$B:$B,Load!E:E,0,)</f>
        <v>Sweet</v>
      </c>
      <c r="E2245" t="str">
        <f>_xlfn.XLOOKUP($A2245,Load!$B:$B,Load!F:F,0,)</f>
        <v>Lollipop (regular or lollipop rings)</v>
      </c>
      <c r="F2245" t="str">
        <f>_xlfn.XLOOKUP($A2245,Load!$B:$B,Load!G:G,0,)</f>
        <v>Large Multipack (More than 80 ct)</v>
      </c>
      <c r="G2245" t="str">
        <f>_xlfn.XLOOKUP($A2245,Load!$B:$B,Load!H:H,0,)</f>
        <v>Laydown Bag</v>
      </c>
      <c r="H2245" t="str">
        <f>_xlfn.XLOOKUP($A2245,Load!$B:$B,Load!I:I,0,)</f>
        <v>Everyday Candy Shapes (like Original, Gummy bear, Fruit, Jewels, etc.)</v>
      </c>
      <c r="I2245" t="str">
        <f>_xlfn.XLOOKUP($A2245,Load!$B:$B,Load!J:J,0,)</f>
        <v>Everyday Graphics</v>
      </c>
      <c r="J2245" t="str">
        <f>_xlfn.XLOOKUP($A2245,Load!$B:$B,Load!K:K,0,)</f>
        <v>Regular Lollipop size (on sticks or rings)</v>
      </c>
      <c r="K2245" t="str">
        <f>_xlfn.XLOOKUP($A2245,Load!$B:$B,Load!L:L,0,)</f>
        <v>Regular/Original Wrapping</v>
      </c>
      <c r="L2245" t="str">
        <f>_xlfn.XLOOKUP($A2245,Load!$B:$B,Load!M:M,0,)</f>
        <v>Single Brand / Single Flavor or Form</v>
      </c>
    </row>
    <row r="2246" spans="1:12" x14ac:dyDescent="0.25">
      <c r="A2246" t="s">
        <v>463</v>
      </c>
      <c r="B2246" t="str">
        <f>_xlfn.XLOOKUP($A2246,Load!$B:$B,Load!C:C,0,)</f>
        <v>Mars Variety Pack</v>
      </c>
      <c r="C2246" t="str">
        <f>_xlfn.XLOOKUP($A2246,Load!$B:$B,Load!D:D,0,)</f>
        <v>Mix of Chocolate and Non-Chocolate Candy</v>
      </c>
      <c r="D2246" t="str">
        <f>_xlfn.XLOOKUP($A2246,Load!$B:$B,Load!E:E,0,)</f>
        <v>Variety / Mixed Flavors (Fruity, Sour, Seasonal Flavors)</v>
      </c>
      <c r="E2246" t="str">
        <f>_xlfn.XLOOKUP($A2246,Load!$B:$B,Load!F:F,0,)</f>
        <v>Mixed / Combo Packs (Gummy, Chewy, Taffy, etc.)</v>
      </c>
      <c r="F2246" t="str">
        <f>_xlfn.XLOOKUP($A2246,Load!$B:$B,Load!G:G,0,)</f>
        <v>Medium Multipack (40–80 ct)</v>
      </c>
      <c r="G2246" t="str">
        <f>_xlfn.XLOOKUP($A2246,Load!$B:$B,Load!H:H,0,)</f>
        <v>Stand-Up Bag</v>
      </c>
      <c r="H2246" t="str">
        <f>_xlfn.XLOOKUP($A2246,Load!$B:$B,Load!I:I,0,)</f>
        <v>Everyday Candy Shapes (like Original, Gummy bear, Fruit, Jewels, etc.)</v>
      </c>
      <c r="I2246" t="str">
        <f>_xlfn.XLOOKUP($A2246,Load!$B:$B,Load!J:J,0,)</f>
        <v>Seasonal Graphics (Like Bat, Ghost, Pumpkin, Fall Leaves, Eyeballs, etc.)</v>
      </c>
      <c r="J2246" t="str">
        <f>_xlfn.XLOOKUP($A2246,Load!$B:$B,Load!K:K,0,)</f>
        <v>Fun Size / Treat Size</v>
      </c>
      <c r="K2246" t="str">
        <f>_xlfn.XLOOKUP($A2246,Load!$B:$B,Load!L:L,0,)</f>
        <v>Regular/Original Wrapping</v>
      </c>
      <c r="L2246" t="str">
        <f>_xlfn.XLOOKUP($A2246,Load!$B:$B,Load!M:M,0,)</f>
        <v>Multiple Brands / Variety Flavors or Form</v>
      </c>
    </row>
    <row r="2247" spans="1:12" x14ac:dyDescent="0.25">
      <c r="B2247">
        <f>_xlfn.XLOOKUP($A2247,Load!$B:$B,Load!C:C,0,)</f>
        <v>0</v>
      </c>
      <c r="C2247">
        <f>_xlfn.XLOOKUP($A2247,Load!$B:$B,Load!D:D,0,)</f>
        <v>0</v>
      </c>
      <c r="D2247">
        <f>_xlfn.XLOOKUP($A2247,Load!$B:$B,Load!E:E,0,)</f>
        <v>0</v>
      </c>
      <c r="E2247">
        <f>_xlfn.XLOOKUP($A2247,Load!$B:$B,Load!F:F,0,)</f>
        <v>0</v>
      </c>
      <c r="F2247">
        <f>_xlfn.XLOOKUP($A2247,Load!$B:$B,Load!G:G,0,)</f>
        <v>0</v>
      </c>
      <c r="G2247">
        <f>_xlfn.XLOOKUP($A2247,Load!$B:$B,Load!H:H,0,)</f>
        <v>0</v>
      </c>
      <c r="H2247">
        <f>_xlfn.XLOOKUP($A2247,Load!$B:$B,Load!I:I,0,)</f>
        <v>0</v>
      </c>
      <c r="I2247">
        <f>_xlfn.XLOOKUP($A2247,Load!$B:$B,Load!J:J,0,)</f>
        <v>0</v>
      </c>
      <c r="J2247">
        <f>_xlfn.XLOOKUP($A2247,Load!$B:$B,Load!K:K,0,)</f>
        <v>0</v>
      </c>
      <c r="K2247">
        <f>_xlfn.XLOOKUP($A2247,Load!$B:$B,Load!L:L,0,)</f>
        <v>0</v>
      </c>
      <c r="L2247">
        <f>_xlfn.XLOOKUP($A2247,Load!$B:$B,Load!M:M,0,)</f>
        <v>0</v>
      </c>
    </row>
    <row r="2248" spans="1:12" x14ac:dyDescent="0.25">
      <c r="B2248">
        <f>_xlfn.XLOOKUP($A2248,Load!$B:$B,Load!C:C,0,)</f>
        <v>0</v>
      </c>
      <c r="C2248">
        <f>_xlfn.XLOOKUP($A2248,Load!$B:$B,Load!D:D,0,)</f>
        <v>0</v>
      </c>
      <c r="D2248">
        <f>_xlfn.XLOOKUP($A2248,Load!$B:$B,Load!E:E,0,)</f>
        <v>0</v>
      </c>
      <c r="E2248">
        <f>_xlfn.XLOOKUP($A2248,Load!$B:$B,Load!F:F,0,)</f>
        <v>0</v>
      </c>
      <c r="F2248">
        <f>_xlfn.XLOOKUP($A2248,Load!$B:$B,Load!G:G,0,)</f>
        <v>0</v>
      </c>
      <c r="G2248">
        <f>_xlfn.XLOOKUP($A2248,Load!$B:$B,Load!H:H,0,)</f>
        <v>0</v>
      </c>
      <c r="H2248">
        <f>_xlfn.XLOOKUP($A2248,Load!$B:$B,Load!I:I,0,)</f>
        <v>0</v>
      </c>
      <c r="I2248">
        <f>_xlfn.XLOOKUP($A2248,Load!$B:$B,Load!J:J,0,)</f>
        <v>0</v>
      </c>
      <c r="J2248">
        <f>_xlfn.XLOOKUP($A2248,Load!$B:$B,Load!K:K,0,)</f>
        <v>0</v>
      </c>
      <c r="K2248">
        <f>_xlfn.XLOOKUP($A2248,Load!$B:$B,Load!L:L,0,)</f>
        <v>0</v>
      </c>
      <c r="L2248">
        <f>_xlfn.XLOOKUP($A2248,Load!$B:$B,Load!M:M,0,)</f>
        <v>0</v>
      </c>
    </row>
    <row r="2249" spans="1:12" x14ac:dyDescent="0.25">
      <c r="B2249">
        <f>_xlfn.XLOOKUP($A2249,Load!$B:$B,Load!C:C,0,)</f>
        <v>0</v>
      </c>
      <c r="C2249">
        <f>_xlfn.XLOOKUP($A2249,Load!$B:$B,Load!D:D,0,)</f>
        <v>0</v>
      </c>
      <c r="D2249">
        <f>_xlfn.XLOOKUP($A2249,Load!$B:$B,Load!E:E,0,)</f>
        <v>0</v>
      </c>
      <c r="E2249">
        <f>_xlfn.XLOOKUP($A2249,Load!$B:$B,Load!F:F,0,)</f>
        <v>0</v>
      </c>
      <c r="F2249">
        <f>_xlfn.XLOOKUP($A2249,Load!$B:$B,Load!G:G,0,)</f>
        <v>0</v>
      </c>
      <c r="G2249">
        <f>_xlfn.XLOOKUP($A2249,Load!$B:$B,Load!H:H,0,)</f>
        <v>0</v>
      </c>
      <c r="H2249">
        <f>_xlfn.XLOOKUP($A2249,Load!$B:$B,Load!I:I,0,)</f>
        <v>0</v>
      </c>
      <c r="I2249">
        <f>_xlfn.XLOOKUP($A2249,Load!$B:$B,Load!J:J,0,)</f>
        <v>0</v>
      </c>
      <c r="J2249">
        <f>_xlfn.XLOOKUP($A2249,Load!$B:$B,Load!K:K,0,)</f>
        <v>0</v>
      </c>
      <c r="K2249">
        <f>_xlfn.XLOOKUP($A2249,Load!$B:$B,Load!L:L,0,)</f>
        <v>0</v>
      </c>
      <c r="L2249">
        <f>_xlfn.XLOOKUP($A2249,Load!$B:$B,Load!M:M,0,)</f>
        <v>0</v>
      </c>
    </row>
    <row r="2250" spans="1:12" x14ac:dyDescent="0.25">
      <c r="B2250">
        <f>_xlfn.XLOOKUP($A2250,Load!$B:$B,Load!C:C,0,)</f>
        <v>0</v>
      </c>
      <c r="C2250">
        <f>_xlfn.XLOOKUP($A2250,Load!$B:$B,Load!D:D,0,)</f>
        <v>0</v>
      </c>
      <c r="D2250">
        <f>_xlfn.XLOOKUP($A2250,Load!$B:$B,Load!E:E,0,)</f>
        <v>0</v>
      </c>
      <c r="E2250">
        <f>_xlfn.XLOOKUP($A2250,Load!$B:$B,Load!F:F,0,)</f>
        <v>0</v>
      </c>
      <c r="F2250">
        <f>_xlfn.XLOOKUP($A2250,Load!$B:$B,Load!G:G,0,)</f>
        <v>0</v>
      </c>
      <c r="G2250">
        <f>_xlfn.XLOOKUP($A2250,Load!$B:$B,Load!H:H,0,)</f>
        <v>0</v>
      </c>
      <c r="H2250">
        <f>_xlfn.XLOOKUP($A2250,Load!$B:$B,Load!I:I,0,)</f>
        <v>0</v>
      </c>
      <c r="I2250">
        <f>_xlfn.XLOOKUP($A2250,Load!$B:$B,Load!J:J,0,)</f>
        <v>0</v>
      </c>
      <c r="J2250">
        <f>_xlfn.XLOOKUP($A2250,Load!$B:$B,Load!K:K,0,)</f>
        <v>0</v>
      </c>
      <c r="K2250">
        <f>_xlfn.XLOOKUP($A2250,Load!$B:$B,Load!L:L,0,)</f>
        <v>0</v>
      </c>
      <c r="L2250">
        <f>_xlfn.XLOOKUP($A2250,Load!$B:$B,Load!M:M,0,)</f>
        <v>0</v>
      </c>
    </row>
    <row r="2251" spans="1:12" x14ac:dyDescent="0.25">
      <c r="B2251">
        <f>_xlfn.XLOOKUP($A2251,Load!$B:$B,Load!C:C,0,)</f>
        <v>0</v>
      </c>
      <c r="C2251">
        <f>_xlfn.XLOOKUP($A2251,Load!$B:$B,Load!D:D,0,)</f>
        <v>0</v>
      </c>
      <c r="D2251">
        <f>_xlfn.XLOOKUP($A2251,Load!$B:$B,Load!E:E,0,)</f>
        <v>0</v>
      </c>
      <c r="E2251">
        <f>_xlfn.XLOOKUP($A2251,Load!$B:$B,Load!F:F,0,)</f>
        <v>0</v>
      </c>
      <c r="F2251">
        <f>_xlfn.XLOOKUP($A2251,Load!$B:$B,Load!G:G,0,)</f>
        <v>0</v>
      </c>
      <c r="G2251">
        <f>_xlfn.XLOOKUP($A2251,Load!$B:$B,Load!H:H,0,)</f>
        <v>0</v>
      </c>
      <c r="H2251">
        <f>_xlfn.XLOOKUP($A2251,Load!$B:$B,Load!I:I,0,)</f>
        <v>0</v>
      </c>
      <c r="I2251">
        <f>_xlfn.XLOOKUP($A2251,Load!$B:$B,Load!J:J,0,)</f>
        <v>0</v>
      </c>
      <c r="J2251">
        <f>_xlfn.XLOOKUP($A2251,Load!$B:$B,Load!K:K,0,)</f>
        <v>0</v>
      </c>
      <c r="K2251">
        <f>_xlfn.XLOOKUP($A2251,Load!$B:$B,Load!L:L,0,)</f>
        <v>0</v>
      </c>
      <c r="L2251">
        <f>_xlfn.XLOOKUP($A2251,Load!$B:$B,Load!M:M,0,)</f>
        <v>0</v>
      </c>
    </row>
    <row r="2252" spans="1:12" x14ac:dyDescent="0.25">
      <c r="B2252">
        <f>_xlfn.XLOOKUP($A2252,Load!$B:$B,Load!C:C,0,)</f>
        <v>0</v>
      </c>
      <c r="C2252">
        <f>_xlfn.XLOOKUP($A2252,Load!$B:$B,Load!D:D,0,)</f>
        <v>0</v>
      </c>
      <c r="D2252">
        <f>_xlfn.XLOOKUP($A2252,Load!$B:$B,Load!E:E,0,)</f>
        <v>0</v>
      </c>
      <c r="E2252">
        <f>_xlfn.XLOOKUP($A2252,Load!$B:$B,Load!F:F,0,)</f>
        <v>0</v>
      </c>
      <c r="F2252">
        <f>_xlfn.XLOOKUP($A2252,Load!$B:$B,Load!G:G,0,)</f>
        <v>0</v>
      </c>
      <c r="G2252">
        <f>_xlfn.XLOOKUP($A2252,Load!$B:$B,Load!H:H,0,)</f>
        <v>0</v>
      </c>
      <c r="H2252">
        <f>_xlfn.XLOOKUP($A2252,Load!$B:$B,Load!I:I,0,)</f>
        <v>0</v>
      </c>
      <c r="I2252">
        <f>_xlfn.XLOOKUP($A2252,Load!$B:$B,Load!J:J,0,)</f>
        <v>0</v>
      </c>
      <c r="J2252">
        <f>_xlfn.XLOOKUP($A2252,Load!$B:$B,Load!K:K,0,)</f>
        <v>0</v>
      </c>
      <c r="K2252">
        <f>_xlfn.XLOOKUP($A2252,Load!$B:$B,Load!L:L,0,)</f>
        <v>0</v>
      </c>
      <c r="L2252">
        <f>_xlfn.XLOOKUP($A2252,Load!$B:$B,Load!M:M,0,)</f>
        <v>0</v>
      </c>
    </row>
    <row r="2253" spans="1:12" x14ac:dyDescent="0.25">
      <c r="B2253">
        <f>_xlfn.XLOOKUP($A2253,Load!$B:$B,Load!C:C,0,)</f>
        <v>0</v>
      </c>
      <c r="C2253">
        <f>_xlfn.XLOOKUP($A2253,Load!$B:$B,Load!D:D,0,)</f>
        <v>0</v>
      </c>
      <c r="D2253">
        <f>_xlfn.XLOOKUP($A2253,Load!$B:$B,Load!E:E,0,)</f>
        <v>0</v>
      </c>
      <c r="E2253">
        <f>_xlfn.XLOOKUP($A2253,Load!$B:$B,Load!F:F,0,)</f>
        <v>0</v>
      </c>
      <c r="F2253">
        <f>_xlfn.XLOOKUP($A2253,Load!$B:$B,Load!G:G,0,)</f>
        <v>0</v>
      </c>
      <c r="G2253">
        <f>_xlfn.XLOOKUP($A2253,Load!$B:$B,Load!H:H,0,)</f>
        <v>0</v>
      </c>
      <c r="H2253">
        <f>_xlfn.XLOOKUP($A2253,Load!$B:$B,Load!I:I,0,)</f>
        <v>0</v>
      </c>
      <c r="I2253">
        <f>_xlfn.XLOOKUP($A2253,Load!$B:$B,Load!J:J,0,)</f>
        <v>0</v>
      </c>
      <c r="J2253">
        <f>_xlfn.XLOOKUP($A2253,Load!$B:$B,Load!K:K,0,)</f>
        <v>0</v>
      </c>
      <c r="K2253">
        <f>_xlfn.XLOOKUP($A2253,Load!$B:$B,Load!L:L,0,)</f>
        <v>0</v>
      </c>
      <c r="L2253">
        <f>_xlfn.XLOOKUP($A2253,Load!$B:$B,Load!M:M,0,)</f>
        <v>0</v>
      </c>
    </row>
    <row r="2254" spans="1:12" x14ac:dyDescent="0.25">
      <c r="A2254" t="s">
        <v>237</v>
      </c>
      <c r="B2254" t="str">
        <f>_xlfn.XLOOKUP($A2254,Load!$B:$B,Load!C:C,0,)</f>
        <v>Now &amp; Later</v>
      </c>
      <c r="C2254" t="str">
        <f>_xlfn.XLOOKUP($A2254,Load!$B:$B,Load!D:D,0,)</f>
        <v>Non-Chocolate Candy Only</v>
      </c>
      <c r="D2254" t="str">
        <f>_xlfn.XLOOKUP($A2254,Load!$B:$B,Load!E:E,0,)</f>
        <v>Fruit Flavor (Cherry, Grape, Apple, Citrus, Tropical Fruit)</v>
      </c>
      <c r="E2254" t="str">
        <f>_xlfn.XLOOKUP($A2254,Load!$B:$B,Load!F:F,0,)</f>
        <v>Chewy</v>
      </c>
      <c r="F2254" t="str">
        <f>_xlfn.XLOOKUP($A2254,Load!$B:$B,Load!G:G,0,)</f>
        <v>Medium Multipack (40–80 ct)</v>
      </c>
      <c r="G2254" t="str">
        <f>_xlfn.XLOOKUP($A2254,Load!$B:$B,Load!H:H,0,)</f>
        <v>Laydown Bag</v>
      </c>
      <c r="H2254" t="str">
        <f>_xlfn.XLOOKUP($A2254,Load!$B:$B,Load!I:I,0,)</f>
        <v>Everyday Candy Shapes (like Original, Gummy bear, Fruit, Jewels, etc.)</v>
      </c>
      <c r="I2254" t="str">
        <f>_xlfn.XLOOKUP($A2254,Load!$B:$B,Load!J:J,0,)</f>
        <v>Seasonal Graphics (Like Bat, Ghost, Pumpkin, Fall Leaves, Eyeballs, etc.)</v>
      </c>
      <c r="J2254" t="str">
        <f>_xlfn.XLOOKUP($A2254,Load!$B:$B,Load!K:K,0,)</f>
        <v>Small Pieces (Tiny bite size candies)</v>
      </c>
      <c r="K2254" t="str">
        <f>_xlfn.XLOOKUP($A2254,Load!$B:$B,Load!L:L,0,)</f>
        <v>Regular/Original Wrapping</v>
      </c>
      <c r="L2254" t="str">
        <f>_xlfn.XLOOKUP($A2254,Load!$B:$B,Load!M:M,0,)</f>
        <v>Single Brand / Variety Flavors or Form</v>
      </c>
    </row>
    <row r="2255" spans="1:12" x14ac:dyDescent="0.25">
      <c r="B2255">
        <f>_xlfn.XLOOKUP($A2255,Load!$B:$B,Load!C:C,0,)</f>
        <v>0</v>
      </c>
      <c r="C2255">
        <f>_xlfn.XLOOKUP($A2255,Load!$B:$B,Load!D:D,0,)</f>
        <v>0</v>
      </c>
      <c r="D2255">
        <f>_xlfn.XLOOKUP($A2255,Load!$B:$B,Load!E:E,0,)</f>
        <v>0</v>
      </c>
      <c r="E2255">
        <f>_xlfn.XLOOKUP($A2255,Load!$B:$B,Load!F:F,0,)</f>
        <v>0</v>
      </c>
      <c r="F2255">
        <f>_xlfn.XLOOKUP($A2255,Load!$B:$B,Load!G:G,0,)</f>
        <v>0</v>
      </c>
      <c r="G2255">
        <f>_xlfn.XLOOKUP($A2255,Load!$B:$B,Load!H:H,0,)</f>
        <v>0</v>
      </c>
      <c r="H2255">
        <f>_xlfn.XLOOKUP($A2255,Load!$B:$B,Load!I:I,0,)</f>
        <v>0</v>
      </c>
      <c r="I2255">
        <f>_xlfn.XLOOKUP($A2255,Load!$B:$B,Load!J:J,0,)</f>
        <v>0</v>
      </c>
      <c r="J2255">
        <f>_xlfn.XLOOKUP($A2255,Load!$B:$B,Load!K:K,0,)</f>
        <v>0</v>
      </c>
      <c r="K2255">
        <f>_xlfn.XLOOKUP($A2255,Load!$B:$B,Load!L:L,0,)</f>
        <v>0</v>
      </c>
      <c r="L2255">
        <f>_xlfn.XLOOKUP($A2255,Load!$B:$B,Load!M:M,0,)</f>
        <v>0</v>
      </c>
    </row>
    <row r="2256" spans="1:12" x14ac:dyDescent="0.25">
      <c r="B2256">
        <f>_xlfn.XLOOKUP($A2256,Load!$B:$B,Load!C:C,0,)</f>
        <v>0</v>
      </c>
      <c r="C2256">
        <f>_xlfn.XLOOKUP($A2256,Load!$B:$B,Load!D:D,0,)</f>
        <v>0</v>
      </c>
      <c r="D2256">
        <f>_xlfn.XLOOKUP($A2256,Load!$B:$B,Load!E:E,0,)</f>
        <v>0</v>
      </c>
      <c r="E2256">
        <f>_xlfn.XLOOKUP($A2256,Load!$B:$B,Load!F:F,0,)</f>
        <v>0</v>
      </c>
      <c r="F2256">
        <f>_xlfn.XLOOKUP($A2256,Load!$B:$B,Load!G:G,0,)</f>
        <v>0</v>
      </c>
      <c r="G2256">
        <f>_xlfn.XLOOKUP($A2256,Load!$B:$B,Load!H:H,0,)</f>
        <v>0</v>
      </c>
      <c r="H2256">
        <f>_xlfn.XLOOKUP($A2256,Load!$B:$B,Load!I:I,0,)</f>
        <v>0</v>
      </c>
      <c r="I2256">
        <f>_xlfn.XLOOKUP($A2256,Load!$B:$B,Load!J:J,0,)</f>
        <v>0</v>
      </c>
      <c r="J2256">
        <f>_xlfn.XLOOKUP($A2256,Load!$B:$B,Load!K:K,0,)</f>
        <v>0</v>
      </c>
      <c r="K2256">
        <f>_xlfn.XLOOKUP($A2256,Load!$B:$B,Load!L:L,0,)</f>
        <v>0</v>
      </c>
      <c r="L2256">
        <f>_xlfn.XLOOKUP($A2256,Load!$B:$B,Load!M:M,0,)</f>
        <v>0</v>
      </c>
    </row>
    <row r="2257" spans="1:12" x14ac:dyDescent="0.25">
      <c r="B2257">
        <f>_xlfn.XLOOKUP($A2257,Load!$B:$B,Load!C:C,0,)</f>
        <v>0</v>
      </c>
      <c r="C2257">
        <f>_xlfn.XLOOKUP($A2257,Load!$B:$B,Load!D:D,0,)</f>
        <v>0</v>
      </c>
      <c r="D2257">
        <f>_xlfn.XLOOKUP($A2257,Load!$B:$B,Load!E:E,0,)</f>
        <v>0</v>
      </c>
      <c r="E2257">
        <f>_xlfn.XLOOKUP($A2257,Load!$B:$B,Load!F:F,0,)</f>
        <v>0</v>
      </c>
      <c r="F2257">
        <f>_xlfn.XLOOKUP($A2257,Load!$B:$B,Load!G:G,0,)</f>
        <v>0</v>
      </c>
      <c r="G2257">
        <f>_xlfn.XLOOKUP($A2257,Load!$B:$B,Load!H:H,0,)</f>
        <v>0</v>
      </c>
      <c r="H2257">
        <f>_xlfn.XLOOKUP($A2257,Load!$B:$B,Load!I:I,0,)</f>
        <v>0</v>
      </c>
      <c r="I2257">
        <f>_xlfn.XLOOKUP($A2257,Load!$B:$B,Load!J:J,0,)</f>
        <v>0</v>
      </c>
      <c r="J2257">
        <f>_xlfn.XLOOKUP($A2257,Load!$B:$B,Load!K:K,0,)</f>
        <v>0</v>
      </c>
      <c r="K2257">
        <f>_xlfn.XLOOKUP($A2257,Load!$B:$B,Load!L:L,0,)</f>
        <v>0</v>
      </c>
      <c r="L2257">
        <f>_xlfn.XLOOKUP($A2257,Load!$B:$B,Load!M:M,0,)</f>
        <v>0</v>
      </c>
    </row>
    <row r="2258" spans="1:12" x14ac:dyDescent="0.25">
      <c r="A2258" t="s">
        <v>55</v>
      </c>
      <c r="B2258" t="str">
        <f>_xlfn.XLOOKUP($A2258,Load!$B:$B,Load!C:C,0,)</f>
        <v>Brach's</v>
      </c>
      <c r="C2258" t="str">
        <f>_xlfn.XLOOKUP($A2258,Load!$B:$B,Load!D:D,0,)</f>
        <v>Non-Chocolate Candy Only</v>
      </c>
      <c r="D2258" t="str">
        <f>_xlfn.XLOOKUP($A2258,Load!$B:$B,Load!E:E,0,)</f>
        <v>Fall / Seasonal Flavors (pumpkin spice, caramel apple, candy corn)</v>
      </c>
      <c r="E2258" t="str">
        <f>_xlfn.XLOOKUP($A2258,Load!$B:$B,Load!F:F,0,)</f>
        <v>Candy Pieces / Bites</v>
      </c>
      <c r="F2258" t="str">
        <f>_xlfn.XLOOKUP($A2258,Load!$B:$B,Load!G:G,0,)</f>
        <v>Single Pack</v>
      </c>
      <c r="G2258" t="str">
        <f>_xlfn.XLOOKUP($A2258,Load!$B:$B,Load!H:H,0,)</f>
        <v>Peg Bag</v>
      </c>
      <c r="H2258" t="str">
        <f>_xlfn.XLOOKUP($A2258,Load!$B:$B,Load!I:I,0,)</f>
        <v>Seasonal Shapes (like pumpkins, candy corn, ghost, bats, etc.)</v>
      </c>
      <c r="I2258" t="str">
        <f>_xlfn.XLOOKUP($A2258,Load!$B:$B,Load!J:J,0,)</f>
        <v>Seasonal Graphics (Like Bat, Ghost, Pumpkin, Fall Leaves, Eyeballs, etc.)</v>
      </c>
      <c r="J2258" t="str">
        <f>_xlfn.XLOOKUP($A2258,Load!$B:$B,Load!K:K,0,)</f>
        <v>Small Pieces (Tiny bite size candies)</v>
      </c>
      <c r="K2258" t="str">
        <f>_xlfn.XLOOKUP($A2258,Load!$B:$B,Load!L:L,0,)</f>
        <v>Unwrapped</v>
      </c>
      <c r="L2258" t="str">
        <f>_xlfn.XLOOKUP($A2258,Load!$B:$B,Load!M:M,0,)</f>
        <v>Single Brand / Single Flavor or Form</v>
      </c>
    </row>
    <row r="2259" spans="1:12" x14ac:dyDescent="0.25">
      <c r="B2259">
        <f>_xlfn.XLOOKUP($A2259,Load!$B:$B,Load!C:C,0,)</f>
        <v>0</v>
      </c>
      <c r="C2259">
        <f>_xlfn.XLOOKUP($A2259,Load!$B:$B,Load!D:D,0,)</f>
        <v>0</v>
      </c>
      <c r="D2259">
        <f>_xlfn.XLOOKUP($A2259,Load!$B:$B,Load!E:E,0,)</f>
        <v>0</v>
      </c>
      <c r="E2259">
        <f>_xlfn.XLOOKUP($A2259,Load!$B:$B,Load!F:F,0,)</f>
        <v>0</v>
      </c>
      <c r="F2259">
        <f>_xlfn.XLOOKUP($A2259,Load!$B:$B,Load!G:G,0,)</f>
        <v>0</v>
      </c>
      <c r="G2259">
        <f>_xlfn.XLOOKUP($A2259,Load!$B:$B,Load!H:H,0,)</f>
        <v>0</v>
      </c>
      <c r="H2259">
        <f>_xlfn.XLOOKUP($A2259,Load!$B:$B,Load!I:I,0,)</f>
        <v>0</v>
      </c>
      <c r="I2259">
        <f>_xlfn.XLOOKUP($A2259,Load!$B:$B,Load!J:J,0,)</f>
        <v>0</v>
      </c>
      <c r="J2259">
        <f>_xlfn.XLOOKUP($A2259,Load!$B:$B,Load!K:K,0,)</f>
        <v>0</v>
      </c>
      <c r="K2259">
        <f>_xlfn.XLOOKUP($A2259,Load!$B:$B,Load!L:L,0,)</f>
        <v>0</v>
      </c>
      <c r="L2259">
        <f>_xlfn.XLOOKUP($A2259,Load!$B:$B,Load!M:M,0,)</f>
        <v>0</v>
      </c>
    </row>
    <row r="2260" spans="1:12" x14ac:dyDescent="0.25">
      <c r="B2260">
        <f>_xlfn.XLOOKUP($A2260,Load!$B:$B,Load!C:C,0,)</f>
        <v>0</v>
      </c>
      <c r="C2260">
        <f>_xlfn.XLOOKUP($A2260,Load!$B:$B,Load!D:D,0,)</f>
        <v>0</v>
      </c>
      <c r="D2260">
        <f>_xlfn.XLOOKUP($A2260,Load!$B:$B,Load!E:E,0,)</f>
        <v>0</v>
      </c>
      <c r="E2260">
        <f>_xlfn.XLOOKUP($A2260,Load!$B:$B,Load!F:F,0,)</f>
        <v>0</v>
      </c>
      <c r="F2260">
        <f>_xlfn.XLOOKUP($A2260,Load!$B:$B,Load!G:G,0,)</f>
        <v>0</v>
      </c>
      <c r="G2260">
        <f>_xlfn.XLOOKUP($A2260,Load!$B:$B,Load!H:H,0,)</f>
        <v>0</v>
      </c>
      <c r="H2260">
        <f>_xlfn.XLOOKUP($A2260,Load!$B:$B,Load!I:I,0,)</f>
        <v>0</v>
      </c>
      <c r="I2260">
        <f>_xlfn.XLOOKUP($A2260,Load!$B:$B,Load!J:J,0,)</f>
        <v>0</v>
      </c>
      <c r="J2260">
        <f>_xlfn.XLOOKUP($A2260,Load!$B:$B,Load!K:K,0,)</f>
        <v>0</v>
      </c>
      <c r="K2260">
        <f>_xlfn.XLOOKUP($A2260,Load!$B:$B,Load!L:L,0,)</f>
        <v>0</v>
      </c>
      <c r="L2260">
        <f>_xlfn.XLOOKUP($A2260,Load!$B:$B,Load!M:M,0,)</f>
        <v>0</v>
      </c>
    </row>
    <row r="2261" spans="1:12" x14ac:dyDescent="0.25">
      <c r="B2261">
        <f>_xlfn.XLOOKUP($A2261,Load!$B:$B,Load!C:C,0,)</f>
        <v>0</v>
      </c>
      <c r="C2261">
        <f>_xlfn.XLOOKUP($A2261,Load!$B:$B,Load!D:D,0,)</f>
        <v>0</v>
      </c>
      <c r="D2261">
        <f>_xlfn.XLOOKUP($A2261,Load!$B:$B,Load!E:E,0,)</f>
        <v>0</v>
      </c>
      <c r="E2261">
        <f>_xlfn.XLOOKUP($A2261,Load!$B:$B,Load!F:F,0,)</f>
        <v>0</v>
      </c>
      <c r="F2261">
        <f>_xlfn.XLOOKUP($A2261,Load!$B:$B,Load!G:G,0,)</f>
        <v>0</v>
      </c>
      <c r="G2261">
        <f>_xlfn.XLOOKUP($A2261,Load!$B:$B,Load!H:H,0,)</f>
        <v>0</v>
      </c>
      <c r="H2261">
        <f>_xlfn.XLOOKUP($A2261,Load!$B:$B,Load!I:I,0,)</f>
        <v>0</v>
      </c>
      <c r="I2261">
        <f>_xlfn.XLOOKUP($A2261,Load!$B:$B,Load!J:J,0,)</f>
        <v>0</v>
      </c>
      <c r="J2261">
        <f>_xlfn.XLOOKUP($A2261,Load!$B:$B,Load!K:K,0,)</f>
        <v>0</v>
      </c>
      <c r="K2261">
        <f>_xlfn.XLOOKUP($A2261,Load!$B:$B,Load!L:L,0,)</f>
        <v>0</v>
      </c>
      <c r="L2261">
        <f>_xlfn.XLOOKUP($A2261,Load!$B:$B,Load!M:M,0,)</f>
        <v>0</v>
      </c>
    </row>
    <row r="2262" spans="1:12" x14ac:dyDescent="0.25">
      <c r="B2262">
        <f>_xlfn.XLOOKUP($A2262,Load!$B:$B,Load!C:C,0,)</f>
        <v>0</v>
      </c>
      <c r="C2262">
        <f>_xlfn.XLOOKUP($A2262,Load!$B:$B,Load!D:D,0,)</f>
        <v>0</v>
      </c>
      <c r="D2262">
        <f>_xlfn.XLOOKUP($A2262,Load!$B:$B,Load!E:E,0,)</f>
        <v>0</v>
      </c>
      <c r="E2262">
        <f>_xlfn.XLOOKUP($A2262,Load!$B:$B,Load!F:F,0,)</f>
        <v>0</v>
      </c>
      <c r="F2262">
        <f>_xlfn.XLOOKUP($A2262,Load!$B:$B,Load!G:G,0,)</f>
        <v>0</v>
      </c>
      <c r="G2262">
        <f>_xlfn.XLOOKUP($A2262,Load!$B:$B,Load!H:H,0,)</f>
        <v>0</v>
      </c>
      <c r="H2262">
        <f>_xlfn.XLOOKUP($A2262,Load!$B:$B,Load!I:I,0,)</f>
        <v>0</v>
      </c>
      <c r="I2262">
        <f>_xlfn.XLOOKUP($A2262,Load!$B:$B,Load!J:J,0,)</f>
        <v>0</v>
      </c>
      <c r="J2262">
        <f>_xlfn.XLOOKUP($A2262,Load!$B:$B,Load!K:K,0,)</f>
        <v>0</v>
      </c>
      <c r="K2262">
        <f>_xlfn.XLOOKUP($A2262,Load!$B:$B,Load!L:L,0,)</f>
        <v>0</v>
      </c>
      <c r="L2262">
        <f>_xlfn.XLOOKUP($A2262,Load!$B:$B,Load!M:M,0,)</f>
        <v>0</v>
      </c>
    </row>
    <row r="2263" spans="1:12" x14ac:dyDescent="0.25">
      <c r="B2263">
        <f>_xlfn.XLOOKUP($A2263,Load!$B:$B,Load!C:C,0,)</f>
        <v>0</v>
      </c>
      <c r="C2263">
        <f>_xlfn.XLOOKUP($A2263,Load!$B:$B,Load!D:D,0,)</f>
        <v>0</v>
      </c>
      <c r="D2263">
        <f>_xlfn.XLOOKUP($A2263,Load!$B:$B,Load!E:E,0,)</f>
        <v>0</v>
      </c>
      <c r="E2263">
        <f>_xlfn.XLOOKUP($A2263,Load!$B:$B,Load!F:F,0,)</f>
        <v>0</v>
      </c>
      <c r="F2263">
        <f>_xlfn.XLOOKUP($A2263,Load!$B:$B,Load!G:G,0,)</f>
        <v>0</v>
      </c>
      <c r="G2263">
        <f>_xlfn.XLOOKUP($A2263,Load!$B:$B,Load!H:H,0,)</f>
        <v>0</v>
      </c>
      <c r="H2263">
        <f>_xlfn.XLOOKUP($A2263,Load!$B:$B,Load!I:I,0,)</f>
        <v>0</v>
      </c>
      <c r="I2263">
        <f>_xlfn.XLOOKUP($A2263,Load!$B:$B,Load!J:J,0,)</f>
        <v>0</v>
      </c>
      <c r="J2263">
        <f>_xlfn.XLOOKUP($A2263,Load!$B:$B,Load!K:K,0,)</f>
        <v>0</v>
      </c>
      <c r="K2263">
        <f>_xlfn.XLOOKUP($A2263,Load!$B:$B,Load!L:L,0,)</f>
        <v>0</v>
      </c>
      <c r="L2263">
        <f>_xlfn.XLOOKUP($A2263,Load!$B:$B,Load!M:M,0,)</f>
        <v>0</v>
      </c>
    </row>
    <row r="2264" spans="1:12" x14ac:dyDescent="0.25">
      <c r="B2264">
        <f>_xlfn.XLOOKUP($A2264,Load!$B:$B,Load!C:C,0,)</f>
        <v>0</v>
      </c>
      <c r="C2264">
        <f>_xlfn.XLOOKUP($A2264,Load!$B:$B,Load!D:D,0,)</f>
        <v>0</v>
      </c>
      <c r="D2264">
        <f>_xlfn.XLOOKUP($A2264,Load!$B:$B,Load!E:E,0,)</f>
        <v>0</v>
      </c>
      <c r="E2264">
        <f>_xlfn.XLOOKUP($A2264,Load!$B:$B,Load!F:F,0,)</f>
        <v>0</v>
      </c>
      <c r="F2264">
        <f>_xlfn.XLOOKUP($A2264,Load!$B:$B,Load!G:G,0,)</f>
        <v>0</v>
      </c>
      <c r="G2264">
        <f>_xlfn.XLOOKUP($A2264,Load!$B:$B,Load!H:H,0,)</f>
        <v>0</v>
      </c>
      <c r="H2264">
        <f>_xlfn.XLOOKUP($A2264,Load!$B:$B,Load!I:I,0,)</f>
        <v>0</v>
      </c>
      <c r="I2264">
        <f>_xlfn.XLOOKUP($A2264,Load!$B:$B,Load!J:J,0,)</f>
        <v>0</v>
      </c>
      <c r="J2264">
        <f>_xlfn.XLOOKUP($A2264,Load!$B:$B,Load!K:K,0,)</f>
        <v>0</v>
      </c>
      <c r="K2264">
        <f>_xlfn.XLOOKUP($A2264,Load!$B:$B,Load!L:L,0,)</f>
        <v>0</v>
      </c>
      <c r="L2264">
        <f>_xlfn.XLOOKUP($A2264,Load!$B:$B,Load!M:M,0,)</f>
        <v>0</v>
      </c>
    </row>
    <row r="2265" spans="1:12" x14ac:dyDescent="0.25">
      <c r="B2265">
        <f>_xlfn.XLOOKUP($A2265,Load!$B:$B,Load!C:C,0,)</f>
        <v>0</v>
      </c>
      <c r="C2265">
        <f>_xlfn.XLOOKUP($A2265,Load!$B:$B,Load!D:D,0,)</f>
        <v>0</v>
      </c>
      <c r="D2265">
        <f>_xlfn.XLOOKUP($A2265,Load!$B:$B,Load!E:E,0,)</f>
        <v>0</v>
      </c>
      <c r="E2265">
        <f>_xlfn.XLOOKUP($A2265,Load!$B:$B,Load!F:F,0,)</f>
        <v>0</v>
      </c>
      <c r="F2265">
        <f>_xlfn.XLOOKUP($A2265,Load!$B:$B,Load!G:G,0,)</f>
        <v>0</v>
      </c>
      <c r="G2265">
        <f>_xlfn.XLOOKUP($A2265,Load!$B:$B,Load!H:H,0,)</f>
        <v>0</v>
      </c>
      <c r="H2265">
        <f>_xlfn.XLOOKUP($A2265,Load!$B:$B,Load!I:I,0,)</f>
        <v>0</v>
      </c>
      <c r="I2265">
        <f>_xlfn.XLOOKUP($A2265,Load!$B:$B,Load!J:J,0,)</f>
        <v>0</v>
      </c>
      <c r="J2265">
        <f>_xlfn.XLOOKUP($A2265,Load!$B:$B,Load!K:K,0,)</f>
        <v>0</v>
      </c>
      <c r="K2265">
        <f>_xlfn.XLOOKUP($A2265,Load!$B:$B,Load!L:L,0,)</f>
        <v>0</v>
      </c>
      <c r="L2265">
        <f>_xlfn.XLOOKUP($A2265,Load!$B:$B,Load!M:M,0,)</f>
        <v>0</v>
      </c>
    </row>
    <row r="2266" spans="1:12" x14ac:dyDescent="0.25">
      <c r="A2266" t="s">
        <v>102</v>
      </c>
      <c r="B2266" t="str">
        <f>_xlfn.XLOOKUP($A2266,Load!$B:$B,Load!C:C,0,)</f>
        <v>Flix</v>
      </c>
      <c r="C2266" t="str">
        <f>_xlfn.XLOOKUP($A2266,Load!$B:$B,Load!D:D,0,)</f>
        <v>Non-Chocolate Candy Only</v>
      </c>
      <c r="D2266" t="str">
        <f>_xlfn.XLOOKUP($A2266,Load!$B:$B,Load!E:E,0,)</f>
        <v>Berry Based (Raspberry, Strawberry, Medley, etc.)</v>
      </c>
      <c r="E2266" t="str">
        <f>_xlfn.XLOOKUP($A2266,Load!$B:$B,Load!F:F,0,)</f>
        <v>Lollipop (regular or lollipop rings)</v>
      </c>
      <c r="F2266" t="str">
        <f>_xlfn.XLOOKUP($A2266,Load!$B:$B,Load!G:G,0,)</f>
        <v>Small Multipack (Less than 40 ct)</v>
      </c>
      <c r="G2266" t="str">
        <f>_xlfn.XLOOKUP($A2266,Load!$B:$B,Load!H:H,0,)</f>
        <v>Box (theatre box, gift box, carton)</v>
      </c>
      <c r="H2266" t="str">
        <f>_xlfn.XLOOKUP($A2266,Load!$B:$B,Load!I:I,0,)</f>
        <v>Seasonal Shapes (like pumpkins, candy corn, ghost, bats, etc.)</v>
      </c>
      <c r="I2266" t="str">
        <f>_xlfn.XLOOKUP($A2266,Load!$B:$B,Load!J:J,0,)</f>
        <v>Seasonal Graphics (Like Bat, Ghost, Pumpkin, Fall Leaves, Eyeballs, etc.)</v>
      </c>
      <c r="J2266" t="str">
        <f>_xlfn.XLOOKUP($A2266,Load!$B:$B,Load!K:K,0,)</f>
        <v>Regular Lollipop size (on sticks or rings)</v>
      </c>
      <c r="K2266" t="str">
        <f>_xlfn.XLOOKUP($A2266,Load!$B:$B,Load!L:L,0,)</f>
        <v>Regular/Original Wrapping</v>
      </c>
      <c r="L2266" t="str">
        <f>_xlfn.XLOOKUP($A2266,Load!$B:$B,Load!M:M,0,)</f>
        <v>Single Brand / Variety Flavors or Form</v>
      </c>
    </row>
    <row r="2267" spans="1:12" x14ac:dyDescent="0.25">
      <c r="A2267" t="s">
        <v>58</v>
      </c>
      <c r="B2267" t="str">
        <f>_xlfn.XLOOKUP($A2267,Load!$B:$B,Load!C:C,0,)</f>
        <v>Charms</v>
      </c>
      <c r="C2267" t="str">
        <f>_xlfn.XLOOKUP($A2267,Load!$B:$B,Load!D:D,0,)</f>
        <v>Non-Chocolate Candy Only</v>
      </c>
      <c r="D2267" t="str">
        <f>_xlfn.XLOOKUP($A2267,Load!$B:$B,Load!E:E,0,)</f>
        <v>Variety / Mixed Flavors (Fruity, Sour, Seasonal Flavors)</v>
      </c>
      <c r="E2267" t="str">
        <f>_xlfn.XLOOKUP($A2267,Load!$B:$B,Load!F:F,0,)</f>
        <v>Lollipop (regular or lollipop rings)</v>
      </c>
      <c r="F2267" t="str">
        <f>_xlfn.XLOOKUP($A2267,Load!$B:$B,Load!G:G,0,)</f>
        <v>Small Multipack (Less than 40 ct)</v>
      </c>
      <c r="G2267" t="str">
        <f>_xlfn.XLOOKUP($A2267,Load!$B:$B,Load!H:H,0,)</f>
        <v>Laydown Bag</v>
      </c>
      <c r="H2267" t="str">
        <f>_xlfn.XLOOKUP($A2267,Load!$B:$B,Load!I:I,0,)</f>
        <v>Everyday Candy Shapes (like Original, Gummy bear, Fruit, Jewels, etc.)</v>
      </c>
      <c r="I2267" t="str">
        <f>_xlfn.XLOOKUP($A2267,Load!$B:$B,Load!J:J,0,)</f>
        <v>Seasonal Graphics (Like Bat, Ghost, Pumpkin, Fall Leaves, Eyeballs, etc.)</v>
      </c>
      <c r="J2267" t="str">
        <f>_xlfn.XLOOKUP($A2267,Load!$B:$B,Load!K:K,0,)</f>
        <v>Regular Lollipop size (on sticks or rings)</v>
      </c>
      <c r="K2267" t="str">
        <f>_xlfn.XLOOKUP($A2267,Load!$B:$B,Load!L:L,0,)</f>
        <v>Regular/Original Wrapping</v>
      </c>
      <c r="L2267" t="str">
        <f>_xlfn.XLOOKUP($A2267,Load!$B:$B,Load!M:M,0,)</f>
        <v>Single Brand / Variety Flavors or Form</v>
      </c>
    </row>
    <row r="2268" spans="1:12" x14ac:dyDescent="0.25">
      <c r="A2268" t="s">
        <v>305</v>
      </c>
      <c r="B2268" t="str">
        <f>_xlfn.XLOOKUP($A2268,Load!$B:$B,Load!C:C,0,)</f>
        <v>Werther's Original</v>
      </c>
      <c r="C2268" t="str">
        <f>_xlfn.XLOOKUP($A2268,Load!$B:$B,Load!D:D,0,)</f>
        <v>Non-Chocolate Candy Only</v>
      </c>
      <c r="D2268" t="str">
        <f>_xlfn.XLOOKUP($A2268,Load!$B:$B,Load!E:E,0,)</f>
        <v>Fall / Seasonal Flavors (pumpkin spice, caramel apple, candy corn)</v>
      </c>
      <c r="E2268" t="str">
        <f>_xlfn.XLOOKUP($A2268,Load!$B:$B,Load!F:F,0,)</f>
        <v>Chewy</v>
      </c>
      <c r="F2268" t="str">
        <f>_xlfn.XLOOKUP($A2268,Load!$B:$B,Load!G:G,0,)</f>
        <v>Single Pack</v>
      </c>
      <c r="G2268" t="str">
        <f>_xlfn.XLOOKUP($A2268,Load!$B:$B,Load!H:H,0,)</f>
        <v>Stand-Up Bag</v>
      </c>
      <c r="H2268" t="str">
        <f>_xlfn.XLOOKUP($A2268,Load!$B:$B,Load!I:I,0,)</f>
        <v>Everyday Candy Shapes (like Original, Gummy bear, Fruit, Jewels, etc.)</v>
      </c>
      <c r="I2268" t="str">
        <f>_xlfn.XLOOKUP($A2268,Load!$B:$B,Load!J:J,0,)</f>
        <v>Seasonal Graphics (Like Bat, Ghost, Pumpkin, Fall Leaves, Eyeballs, etc.)</v>
      </c>
      <c r="J2268" t="str">
        <f>_xlfn.XLOOKUP($A2268,Load!$B:$B,Load!K:K,0,)</f>
        <v>Fun Size / Treat Size</v>
      </c>
      <c r="K2268" t="str">
        <f>_xlfn.XLOOKUP($A2268,Load!$B:$B,Load!L:L,0,)</f>
        <v>Regular/Original Wrapping</v>
      </c>
      <c r="L2268" t="str">
        <f>_xlfn.XLOOKUP($A2268,Load!$B:$B,Load!M:M,0,)</f>
        <v>Single Brand / Single Flavor or Form</v>
      </c>
    </row>
    <row r="2269" spans="1:12" x14ac:dyDescent="0.25">
      <c r="B2269">
        <f>_xlfn.XLOOKUP($A2269,Load!$B:$B,Load!C:C,0,)</f>
        <v>0</v>
      </c>
      <c r="C2269">
        <f>_xlfn.XLOOKUP($A2269,Load!$B:$B,Load!D:D,0,)</f>
        <v>0</v>
      </c>
      <c r="D2269">
        <f>_xlfn.XLOOKUP($A2269,Load!$B:$B,Load!E:E,0,)</f>
        <v>0</v>
      </c>
      <c r="E2269">
        <f>_xlfn.XLOOKUP($A2269,Load!$B:$B,Load!F:F,0,)</f>
        <v>0</v>
      </c>
      <c r="F2269">
        <f>_xlfn.XLOOKUP($A2269,Load!$B:$B,Load!G:G,0,)</f>
        <v>0</v>
      </c>
      <c r="G2269">
        <f>_xlfn.XLOOKUP($A2269,Load!$B:$B,Load!H:H,0,)</f>
        <v>0</v>
      </c>
      <c r="H2269">
        <f>_xlfn.XLOOKUP($A2269,Load!$B:$B,Load!I:I,0,)</f>
        <v>0</v>
      </c>
      <c r="I2269">
        <f>_xlfn.XLOOKUP($A2269,Load!$B:$B,Load!J:J,0,)</f>
        <v>0</v>
      </c>
      <c r="J2269">
        <f>_xlfn.XLOOKUP($A2269,Load!$B:$B,Load!K:K,0,)</f>
        <v>0</v>
      </c>
      <c r="K2269">
        <f>_xlfn.XLOOKUP($A2269,Load!$B:$B,Load!L:L,0,)</f>
        <v>0</v>
      </c>
      <c r="L2269">
        <f>_xlfn.XLOOKUP($A2269,Load!$B:$B,Load!M:M,0,)</f>
        <v>0</v>
      </c>
    </row>
    <row r="2270" spans="1:12" x14ac:dyDescent="0.25">
      <c r="B2270">
        <f>_xlfn.XLOOKUP($A2270,Load!$B:$B,Load!C:C,0,)</f>
        <v>0</v>
      </c>
      <c r="C2270">
        <f>_xlfn.XLOOKUP($A2270,Load!$B:$B,Load!D:D,0,)</f>
        <v>0</v>
      </c>
      <c r="D2270">
        <f>_xlfn.XLOOKUP($A2270,Load!$B:$B,Load!E:E,0,)</f>
        <v>0</v>
      </c>
      <c r="E2270">
        <f>_xlfn.XLOOKUP($A2270,Load!$B:$B,Load!F:F,0,)</f>
        <v>0</v>
      </c>
      <c r="F2270">
        <f>_xlfn.XLOOKUP($A2270,Load!$B:$B,Load!G:G,0,)</f>
        <v>0</v>
      </c>
      <c r="G2270">
        <f>_xlfn.XLOOKUP($A2270,Load!$B:$B,Load!H:H,0,)</f>
        <v>0</v>
      </c>
      <c r="H2270">
        <f>_xlfn.XLOOKUP($A2270,Load!$B:$B,Load!I:I,0,)</f>
        <v>0</v>
      </c>
      <c r="I2270">
        <f>_xlfn.XLOOKUP($A2270,Load!$B:$B,Load!J:J,0,)</f>
        <v>0</v>
      </c>
      <c r="J2270">
        <f>_xlfn.XLOOKUP($A2270,Load!$B:$B,Load!K:K,0,)</f>
        <v>0</v>
      </c>
      <c r="K2270">
        <f>_xlfn.XLOOKUP($A2270,Load!$B:$B,Load!L:L,0,)</f>
        <v>0</v>
      </c>
      <c r="L2270">
        <f>_xlfn.XLOOKUP($A2270,Load!$B:$B,Load!M:M,0,)</f>
        <v>0</v>
      </c>
    </row>
    <row r="2271" spans="1:12" x14ac:dyDescent="0.25">
      <c r="B2271">
        <f>_xlfn.XLOOKUP($A2271,Load!$B:$B,Load!C:C,0,)</f>
        <v>0</v>
      </c>
      <c r="C2271">
        <f>_xlfn.XLOOKUP($A2271,Load!$B:$B,Load!D:D,0,)</f>
        <v>0</v>
      </c>
      <c r="D2271">
        <f>_xlfn.XLOOKUP($A2271,Load!$B:$B,Load!E:E,0,)</f>
        <v>0</v>
      </c>
      <c r="E2271">
        <f>_xlfn.XLOOKUP($A2271,Load!$B:$B,Load!F:F,0,)</f>
        <v>0</v>
      </c>
      <c r="F2271">
        <f>_xlfn.XLOOKUP($A2271,Load!$B:$B,Load!G:G,0,)</f>
        <v>0</v>
      </c>
      <c r="G2271">
        <f>_xlfn.XLOOKUP($A2271,Load!$B:$B,Load!H:H,0,)</f>
        <v>0</v>
      </c>
      <c r="H2271">
        <f>_xlfn.XLOOKUP($A2271,Load!$B:$B,Load!I:I,0,)</f>
        <v>0</v>
      </c>
      <c r="I2271">
        <f>_xlfn.XLOOKUP($A2271,Load!$B:$B,Load!J:J,0,)</f>
        <v>0</v>
      </c>
      <c r="J2271">
        <f>_xlfn.XLOOKUP($A2271,Load!$B:$B,Load!K:K,0,)</f>
        <v>0</v>
      </c>
      <c r="K2271">
        <f>_xlfn.XLOOKUP($A2271,Load!$B:$B,Load!L:L,0,)</f>
        <v>0</v>
      </c>
      <c r="L2271">
        <f>_xlfn.XLOOKUP($A2271,Load!$B:$B,Load!M:M,0,)</f>
        <v>0</v>
      </c>
    </row>
    <row r="2272" spans="1:12" x14ac:dyDescent="0.25">
      <c r="A2272" t="s">
        <v>80</v>
      </c>
      <c r="B2272" t="str">
        <f>_xlfn.XLOOKUP($A2272,Load!$B:$B,Load!C:C,0,)</f>
        <v>Ferrara Variety Pack</v>
      </c>
      <c r="C2272" t="str">
        <f>_xlfn.XLOOKUP($A2272,Load!$B:$B,Load!D:D,0,)</f>
        <v>Non-Chocolate Candy Only</v>
      </c>
      <c r="D2272" t="str">
        <f>_xlfn.XLOOKUP($A2272,Load!$B:$B,Load!E:E,0,)</f>
        <v>Variety / Mixed Flavors (Fruity, Sour, Seasonal Flavors)</v>
      </c>
      <c r="E2272" t="str">
        <f>_xlfn.XLOOKUP($A2272,Load!$B:$B,Load!F:F,0,)</f>
        <v>Mixed / Combo Packs (Gummy, Chewy, Taffy, etc.)</v>
      </c>
      <c r="F2272" t="str">
        <f>_xlfn.XLOOKUP($A2272,Load!$B:$B,Load!G:G,0,)</f>
        <v>Large Multipack (More than 80 ct)</v>
      </c>
      <c r="G2272" t="str">
        <f>_xlfn.XLOOKUP($A2272,Load!$B:$B,Load!H:H,0,)</f>
        <v>Stand-Up Bag</v>
      </c>
      <c r="H2272" t="str">
        <f>_xlfn.XLOOKUP($A2272,Load!$B:$B,Load!I:I,0,)</f>
        <v>Everyday Candy Shapes (like Original, Gummy bear, Fruit, Jewels, etc.)</v>
      </c>
      <c r="I2272" t="str">
        <f>_xlfn.XLOOKUP($A2272,Load!$B:$B,Load!J:J,0,)</f>
        <v>Seasonal Graphics (Like Bat, Ghost, Pumpkin, Fall Leaves, Eyeballs, etc.)</v>
      </c>
      <c r="J2272" t="str">
        <f>_xlfn.XLOOKUP($A2272,Load!$B:$B,Load!K:K,0,)</f>
        <v xml:space="preserve">Variety Candy Sizes </v>
      </c>
      <c r="K2272" t="str">
        <f>_xlfn.XLOOKUP($A2272,Load!$B:$B,Load!L:L,0,)</f>
        <v>Regular/Original Wrapping</v>
      </c>
      <c r="L2272" t="str">
        <f>_xlfn.XLOOKUP($A2272,Load!$B:$B,Load!M:M,0,)</f>
        <v>Multiple Brands / Variety Flavors or Form</v>
      </c>
    </row>
    <row r="2273" spans="1:12" x14ac:dyDescent="0.25">
      <c r="B2273">
        <f>_xlfn.XLOOKUP($A2273,Load!$B:$B,Load!C:C,0,)</f>
        <v>0</v>
      </c>
      <c r="C2273">
        <f>_xlfn.XLOOKUP($A2273,Load!$B:$B,Load!D:D,0,)</f>
        <v>0</v>
      </c>
      <c r="D2273">
        <f>_xlfn.XLOOKUP($A2273,Load!$B:$B,Load!E:E,0,)</f>
        <v>0</v>
      </c>
      <c r="E2273">
        <f>_xlfn.XLOOKUP($A2273,Load!$B:$B,Load!F:F,0,)</f>
        <v>0</v>
      </c>
      <c r="F2273">
        <f>_xlfn.XLOOKUP($A2273,Load!$B:$B,Load!G:G,0,)</f>
        <v>0</v>
      </c>
      <c r="G2273">
        <f>_xlfn.XLOOKUP($A2273,Load!$B:$B,Load!H:H,0,)</f>
        <v>0</v>
      </c>
      <c r="H2273">
        <f>_xlfn.XLOOKUP($A2273,Load!$B:$B,Load!I:I,0,)</f>
        <v>0</v>
      </c>
      <c r="I2273">
        <f>_xlfn.XLOOKUP($A2273,Load!$B:$B,Load!J:J,0,)</f>
        <v>0</v>
      </c>
      <c r="J2273">
        <f>_xlfn.XLOOKUP($A2273,Load!$B:$B,Load!K:K,0,)</f>
        <v>0</v>
      </c>
      <c r="K2273">
        <f>_xlfn.XLOOKUP($A2273,Load!$B:$B,Load!L:L,0,)</f>
        <v>0</v>
      </c>
      <c r="L2273">
        <f>_xlfn.XLOOKUP($A2273,Load!$B:$B,Load!M:M,0,)</f>
        <v>0</v>
      </c>
    </row>
    <row r="2274" spans="1:12" x14ac:dyDescent="0.25">
      <c r="A2274" t="s">
        <v>116</v>
      </c>
      <c r="B2274" t="str">
        <f>_xlfn.XLOOKUP($A2274,Load!$B:$B,Load!C:C,0,)</f>
        <v>George Howe</v>
      </c>
      <c r="C2274" t="str">
        <f>_xlfn.XLOOKUP($A2274,Load!$B:$B,Load!D:D,0,)</f>
        <v>Mix of Chocolate and Non-Chocolate Candy</v>
      </c>
      <c r="D2274" t="str">
        <f>_xlfn.XLOOKUP($A2274,Load!$B:$B,Load!E:E,0,)</f>
        <v>Fall / Seasonal Flavors (pumpkin spice, caramel apple, candy corn)</v>
      </c>
      <c r="E2274" t="str">
        <f>_xlfn.XLOOKUP($A2274,Load!$B:$B,Load!F:F,0,)</f>
        <v>Candy Pieces / Bites</v>
      </c>
      <c r="F2274" t="str">
        <f>_xlfn.XLOOKUP($A2274,Load!$B:$B,Load!G:G,0,)</f>
        <v>Single Pack</v>
      </c>
      <c r="G2274" t="str">
        <f>_xlfn.XLOOKUP($A2274,Load!$B:$B,Load!H:H,0,)</f>
        <v>Laydown Bag</v>
      </c>
      <c r="H2274" t="str">
        <f>_xlfn.XLOOKUP($A2274,Load!$B:$B,Load!I:I,0,)</f>
        <v>Seasonal Shapes (like pumpkins, candy corn, ghost, bats, etc.)</v>
      </c>
      <c r="I2274" t="str">
        <f>_xlfn.XLOOKUP($A2274,Load!$B:$B,Load!J:J,0,)</f>
        <v>Everyday Graphics</v>
      </c>
      <c r="J2274" t="str">
        <f>_xlfn.XLOOKUP($A2274,Load!$B:$B,Load!K:K,0,)</f>
        <v>Small Pieces (Tiny bite size candies)</v>
      </c>
      <c r="K2274" t="str">
        <f>_xlfn.XLOOKUP($A2274,Load!$B:$B,Load!L:L,0,)</f>
        <v>Unwrapped</v>
      </c>
      <c r="L2274" t="str">
        <f>_xlfn.XLOOKUP($A2274,Load!$B:$B,Load!M:M,0,)</f>
        <v>Single Brand / Variety Flavors or Form</v>
      </c>
    </row>
    <row r="2275" spans="1:12" x14ac:dyDescent="0.25">
      <c r="B2275">
        <f>_xlfn.XLOOKUP($A2275,Load!$B:$B,Load!C:C,0,)</f>
        <v>0</v>
      </c>
      <c r="C2275">
        <f>_xlfn.XLOOKUP($A2275,Load!$B:$B,Load!D:D,0,)</f>
        <v>0</v>
      </c>
      <c r="D2275">
        <f>_xlfn.XLOOKUP($A2275,Load!$B:$B,Load!E:E,0,)</f>
        <v>0</v>
      </c>
      <c r="E2275">
        <f>_xlfn.XLOOKUP($A2275,Load!$B:$B,Load!F:F,0,)</f>
        <v>0</v>
      </c>
      <c r="F2275">
        <f>_xlfn.XLOOKUP($A2275,Load!$B:$B,Load!G:G,0,)</f>
        <v>0</v>
      </c>
      <c r="G2275">
        <f>_xlfn.XLOOKUP($A2275,Load!$B:$B,Load!H:H,0,)</f>
        <v>0</v>
      </c>
      <c r="H2275">
        <f>_xlfn.XLOOKUP($A2275,Load!$B:$B,Load!I:I,0,)</f>
        <v>0</v>
      </c>
      <c r="I2275">
        <f>_xlfn.XLOOKUP($A2275,Load!$B:$B,Load!J:J,0,)</f>
        <v>0</v>
      </c>
      <c r="J2275">
        <f>_xlfn.XLOOKUP($A2275,Load!$B:$B,Load!K:K,0,)</f>
        <v>0</v>
      </c>
      <c r="K2275">
        <f>_xlfn.XLOOKUP($A2275,Load!$B:$B,Load!L:L,0,)</f>
        <v>0</v>
      </c>
      <c r="L2275">
        <f>_xlfn.XLOOKUP($A2275,Load!$B:$B,Load!M:M,0,)</f>
        <v>0</v>
      </c>
    </row>
    <row r="2276" spans="1:12" x14ac:dyDescent="0.25">
      <c r="A2276" t="s">
        <v>96</v>
      </c>
      <c r="B2276" t="str">
        <f>_xlfn.XLOOKUP($A2276,Load!$B:$B,Load!C:C,0,)</f>
        <v>Ferrero Variety Pack</v>
      </c>
      <c r="C2276" t="str">
        <f>_xlfn.XLOOKUP($A2276,Load!$B:$B,Load!D:D,0,)</f>
        <v>Mix of Chocolate and Non-Chocolate Candy</v>
      </c>
      <c r="D2276" t="str">
        <f>_xlfn.XLOOKUP($A2276,Load!$B:$B,Load!E:E,0,)</f>
        <v>Variety / Mixed Flavors (Fruity, Sour, Seasonal Flavors)</v>
      </c>
      <c r="E2276" t="str">
        <f>_xlfn.XLOOKUP($A2276,Load!$B:$B,Load!F:F,0,)</f>
        <v>Mixed / Combo Packs (Gummy, Chewy, Taffy, etc.)</v>
      </c>
      <c r="F2276" t="str">
        <f>_xlfn.XLOOKUP($A2276,Load!$B:$B,Load!G:G,0,)</f>
        <v>Large Multipack (More than 80 ct)</v>
      </c>
      <c r="G2276" t="str">
        <f>_xlfn.XLOOKUP($A2276,Load!$B:$B,Load!H:H,0,)</f>
        <v>Stand-Up Bag</v>
      </c>
      <c r="H2276" t="str">
        <f>_xlfn.XLOOKUP($A2276,Load!$B:$B,Load!I:I,0,)</f>
        <v>Everyday Candy Shapes (like Original, Gummy bear, Fruit, Jewels, etc.)</v>
      </c>
      <c r="I2276" t="str">
        <f>_xlfn.XLOOKUP($A2276,Load!$B:$B,Load!J:J,0,)</f>
        <v>Seasonal Graphics (Like Bat, Ghost, Pumpkin, Fall Leaves, Eyeballs, etc.)</v>
      </c>
      <c r="J2276" t="str">
        <f>_xlfn.XLOOKUP($A2276,Load!$B:$B,Load!K:K,0,)</f>
        <v>Fun Size / Treat Size</v>
      </c>
      <c r="K2276" t="str">
        <f>_xlfn.XLOOKUP($A2276,Load!$B:$B,Load!L:L,0,)</f>
        <v>Regular/Original Wrapping</v>
      </c>
      <c r="L2276" t="str">
        <f>_xlfn.XLOOKUP($A2276,Load!$B:$B,Load!M:M,0,)</f>
        <v>Multiple Brands / Variety Flavors or Form</v>
      </c>
    </row>
    <row r="2277" spans="1:12" x14ac:dyDescent="0.25">
      <c r="B2277">
        <f>_xlfn.XLOOKUP($A2277,Load!$B:$B,Load!C:C,0,)</f>
        <v>0</v>
      </c>
      <c r="C2277">
        <f>_xlfn.XLOOKUP($A2277,Load!$B:$B,Load!D:D,0,)</f>
        <v>0</v>
      </c>
      <c r="D2277">
        <f>_xlfn.XLOOKUP($A2277,Load!$B:$B,Load!E:E,0,)</f>
        <v>0</v>
      </c>
      <c r="E2277">
        <f>_xlfn.XLOOKUP($A2277,Load!$B:$B,Load!F:F,0,)</f>
        <v>0</v>
      </c>
      <c r="F2277">
        <f>_xlfn.XLOOKUP($A2277,Load!$B:$B,Load!G:G,0,)</f>
        <v>0</v>
      </c>
      <c r="G2277">
        <f>_xlfn.XLOOKUP($A2277,Load!$B:$B,Load!H:H,0,)</f>
        <v>0</v>
      </c>
      <c r="H2277">
        <f>_xlfn.XLOOKUP($A2277,Load!$B:$B,Load!I:I,0,)</f>
        <v>0</v>
      </c>
      <c r="I2277">
        <f>_xlfn.XLOOKUP($A2277,Load!$B:$B,Load!J:J,0,)</f>
        <v>0</v>
      </c>
      <c r="J2277">
        <f>_xlfn.XLOOKUP($A2277,Load!$B:$B,Load!K:K,0,)</f>
        <v>0</v>
      </c>
      <c r="K2277">
        <f>_xlfn.XLOOKUP($A2277,Load!$B:$B,Load!L:L,0,)</f>
        <v>0</v>
      </c>
      <c r="L2277">
        <f>_xlfn.XLOOKUP($A2277,Load!$B:$B,Load!M:M,0,)</f>
        <v>0</v>
      </c>
    </row>
    <row r="2278" spans="1:12" x14ac:dyDescent="0.25">
      <c r="A2278" t="s">
        <v>288</v>
      </c>
      <c r="B2278" t="str">
        <f>_xlfn.XLOOKUP($A2278,Load!$B:$B,Load!C:C,0,)</f>
        <v>SweeTARTS</v>
      </c>
      <c r="C2278" t="str">
        <f>_xlfn.XLOOKUP($A2278,Load!$B:$B,Load!D:D,0,)</f>
        <v>Non-Chocolate Candy Only</v>
      </c>
      <c r="D2278" t="str">
        <f>_xlfn.XLOOKUP($A2278,Load!$B:$B,Load!E:E,0,)</f>
        <v>Variety / Mixed Flavors (Fruity, Sour, Seasonal Flavors)</v>
      </c>
      <c r="E2278" t="str">
        <f>_xlfn.XLOOKUP($A2278,Load!$B:$B,Load!F:F,0,)</f>
        <v>Mixed / Combo Packs (Gummy, Chewy, Taffy, etc.)</v>
      </c>
      <c r="F2278" t="str">
        <f>_xlfn.XLOOKUP($A2278,Load!$B:$B,Load!G:G,0,)</f>
        <v>Medium Multipack (40–80 ct)</v>
      </c>
      <c r="G2278" t="str">
        <f>_xlfn.XLOOKUP($A2278,Load!$B:$B,Load!H:H,0,)</f>
        <v>Stand-Up Bag</v>
      </c>
      <c r="H2278" t="str">
        <f>_xlfn.XLOOKUP($A2278,Load!$B:$B,Load!I:I,0,)</f>
        <v>Everyday Candy Shapes (like Original, Gummy bear, Fruit, Jewels, etc.)</v>
      </c>
      <c r="I2278" t="str">
        <f>_xlfn.XLOOKUP($A2278,Load!$B:$B,Load!J:J,0,)</f>
        <v>Seasonal Graphics (Like Bat, Ghost, Pumpkin, Fall Leaves, Eyeballs, etc.)</v>
      </c>
      <c r="J2278" t="str">
        <f>_xlfn.XLOOKUP($A2278,Load!$B:$B,Load!K:K,0,)</f>
        <v>Small Pieces (Tiny bite size candies)</v>
      </c>
      <c r="K2278" t="str">
        <f>_xlfn.XLOOKUP($A2278,Load!$B:$B,Load!L:L,0,)</f>
        <v>Regular/Original Wrapping</v>
      </c>
      <c r="L2278" t="str">
        <f>_xlfn.XLOOKUP($A2278,Load!$B:$B,Load!M:M,0,)</f>
        <v>Single Brand / Variety Flavors or Form</v>
      </c>
    </row>
    <row r="2279" spans="1:12" x14ac:dyDescent="0.25">
      <c r="B2279">
        <f>_xlfn.XLOOKUP($A2279,Load!$B:$B,Load!C:C,0,)</f>
        <v>0</v>
      </c>
      <c r="C2279">
        <f>_xlfn.XLOOKUP($A2279,Load!$B:$B,Load!D:D,0,)</f>
        <v>0</v>
      </c>
      <c r="D2279">
        <f>_xlfn.XLOOKUP($A2279,Load!$B:$B,Load!E:E,0,)</f>
        <v>0</v>
      </c>
      <c r="E2279">
        <f>_xlfn.XLOOKUP($A2279,Load!$B:$B,Load!F:F,0,)</f>
        <v>0</v>
      </c>
      <c r="F2279">
        <f>_xlfn.XLOOKUP($A2279,Load!$B:$B,Load!G:G,0,)</f>
        <v>0</v>
      </c>
      <c r="G2279">
        <f>_xlfn.XLOOKUP($A2279,Load!$B:$B,Load!H:H,0,)</f>
        <v>0</v>
      </c>
      <c r="H2279">
        <f>_xlfn.XLOOKUP($A2279,Load!$B:$B,Load!I:I,0,)</f>
        <v>0</v>
      </c>
      <c r="I2279">
        <f>_xlfn.XLOOKUP($A2279,Load!$B:$B,Load!J:J,0,)</f>
        <v>0</v>
      </c>
      <c r="J2279">
        <f>_xlfn.XLOOKUP($A2279,Load!$B:$B,Load!K:K,0,)</f>
        <v>0</v>
      </c>
      <c r="K2279">
        <f>_xlfn.XLOOKUP($A2279,Load!$B:$B,Load!L:L,0,)</f>
        <v>0</v>
      </c>
      <c r="L2279">
        <f>_xlfn.XLOOKUP($A2279,Load!$B:$B,Load!M:M,0,)</f>
        <v>0</v>
      </c>
    </row>
    <row r="2280" spans="1:12" x14ac:dyDescent="0.25">
      <c r="A2280" t="s">
        <v>4</v>
      </c>
      <c r="B2280" t="str">
        <f>_xlfn.XLOOKUP($A2280,Load!$B:$B,Load!C:C,0,)</f>
        <v>Airheads</v>
      </c>
      <c r="C2280" t="str">
        <f>_xlfn.XLOOKUP($A2280,Load!$B:$B,Load!D:D,0,)</f>
        <v>Non-Chocolate Candy Only</v>
      </c>
      <c r="D2280" t="str">
        <f>_xlfn.XLOOKUP($A2280,Load!$B:$B,Load!E:E,0,)</f>
        <v>Variety / Mixed Flavors (Fruity, Sour, Seasonal Flavors)</v>
      </c>
      <c r="E2280" t="str">
        <f>_xlfn.XLOOKUP($A2280,Load!$B:$B,Load!F:F,0,)</f>
        <v>Chewy</v>
      </c>
      <c r="F2280" t="str">
        <f>_xlfn.XLOOKUP($A2280,Load!$B:$B,Load!G:G,0,)</f>
        <v>Large Multipack (More than 80 ct)</v>
      </c>
      <c r="G2280" t="str">
        <f>_xlfn.XLOOKUP($A2280,Load!$B:$B,Load!H:H,0,)</f>
        <v>Box (theatre box, gift box, carton)</v>
      </c>
      <c r="H2280" t="str">
        <f>_xlfn.XLOOKUP($A2280,Load!$B:$B,Load!I:I,0,)</f>
        <v>Everyday Candy Shapes (like Original, Gummy bear, Fruit, Jewels, etc.)</v>
      </c>
      <c r="I2280" t="str">
        <f>_xlfn.XLOOKUP($A2280,Load!$B:$B,Load!J:J,0,)</f>
        <v>Seasonal Graphics (Like Bat, Ghost, Pumpkin, Fall Leaves, Eyeballs, etc.)</v>
      </c>
      <c r="J2280" t="str">
        <f>_xlfn.XLOOKUP($A2280,Load!$B:$B,Load!K:K,0,)</f>
        <v>Fun Size / Treat Size</v>
      </c>
      <c r="K2280" t="str">
        <f>_xlfn.XLOOKUP($A2280,Load!$B:$B,Load!L:L,0,)</f>
        <v>Regular/Original Wrapping</v>
      </c>
      <c r="L2280" t="str">
        <f>_xlfn.XLOOKUP($A2280,Load!$B:$B,Load!M:M,0,)</f>
        <v>Single Brand / Variety Flavors or Form</v>
      </c>
    </row>
    <row r="2281" spans="1:12" x14ac:dyDescent="0.25">
      <c r="B2281">
        <f>_xlfn.XLOOKUP($A2281,Load!$B:$B,Load!C:C,0,)</f>
        <v>0</v>
      </c>
      <c r="C2281">
        <f>_xlfn.XLOOKUP($A2281,Load!$B:$B,Load!D:D,0,)</f>
        <v>0</v>
      </c>
      <c r="D2281">
        <f>_xlfn.XLOOKUP($A2281,Load!$B:$B,Load!E:E,0,)</f>
        <v>0</v>
      </c>
      <c r="E2281">
        <f>_xlfn.XLOOKUP($A2281,Load!$B:$B,Load!F:F,0,)</f>
        <v>0</v>
      </c>
      <c r="F2281">
        <f>_xlfn.XLOOKUP($A2281,Load!$B:$B,Load!G:G,0,)</f>
        <v>0</v>
      </c>
      <c r="G2281">
        <f>_xlfn.XLOOKUP($A2281,Load!$B:$B,Load!H:H,0,)</f>
        <v>0</v>
      </c>
      <c r="H2281">
        <f>_xlfn.XLOOKUP($A2281,Load!$B:$B,Load!I:I,0,)</f>
        <v>0</v>
      </c>
      <c r="I2281">
        <f>_xlfn.XLOOKUP($A2281,Load!$B:$B,Load!J:J,0,)</f>
        <v>0</v>
      </c>
      <c r="J2281">
        <f>_xlfn.XLOOKUP($A2281,Load!$B:$B,Load!K:K,0,)</f>
        <v>0</v>
      </c>
      <c r="K2281">
        <f>_xlfn.XLOOKUP($A2281,Load!$B:$B,Load!L:L,0,)</f>
        <v>0</v>
      </c>
      <c r="L2281">
        <f>_xlfn.XLOOKUP($A2281,Load!$B:$B,Load!M:M,0,)</f>
        <v>0</v>
      </c>
    </row>
    <row r="2282" spans="1:12" x14ac:dyDescent="0.25">
      <c r="A2282" t="s">
        <v>183</v>
      </c>
      <c r="B2282" t="str">
        <f>_xlfn.XLOOKUP($A2282,Load!$B:$B,Load!C:C,0,)</f>
        <v>Mars Variety Pack</v>
      </c>
      <c r="C2282" t="str">
        <f>_xlfn.XLOOKUP($A2282,Load!$B:$B,Load!D:D,0,)</f>
        <v>Non-Chocolate Candy Only</v>
      </c>
      <c r="D2282" t="str">
        <f>_xlfn.XLOOKUP($A2282,Load!$B:$B,Load!E:E,0,)</f>
        <v>Variety / Mixed Flavors (Fruity, Sour, Seasonal Flavors)</v>
      </c>
      <c r="E2282" t="str">
        <f>_xlfn.XLOOKUP($A2282,Load!$B:$B,Load!F:F,0,)</f>
        <v>Mixed / Combo Packs (Gummy, Chewy, Taffy, etc.)</v>
      </c>
      <c r="F2282" t="str">
        <f>_xlfn.XLOOKUP($A2282,Load!$B:$B,Load!G:G,0,)</f>
        <v>Large Multipack (More than 80 ct)</v>
      </c>
      <c r="G2282" t="str">
        <f>_xlfn.XLOOKUP($A2282,Load!$B:$B,Load!H:H,0,)</f>
        <v>Stand-Up Bag</v>
      </c>
      <c r="H2282" t="str">
        <f>_xlfn.XLOOKUP($A2282,Load!$B:$B,Load!I:I,0,)</f>
        <v>Seasonal Shapes (like pumpkins, candy corn, ghost, bats, etc.)</v>
      </c>
      <c r="I2282" t="str">
        <f>_xlfn.XLOOKUP($A2282,Load!$B:$B,Load!J:J,0,)</f>
        <v>Seasonal Graphics (Like Bat, Ghost, Pumpkin, Fall Leaves, Eyeballs, etc.)</v>
      </c>
      <c r="J2282" t="str">
        <f>_xlfn.XLOOKUP($A2282,Load!$B:$B,Load!K:K,0,)</f>
        <v xml:space="preserve">Variety Candy Sizes </v>
      </c>
      <c r="K2282" t="str">
        <f>_xlfn.XLOOKUP($A2282,Load!$B:$B,Load!L:L,0,)</f>
        <v>Regular/Original Wrapping</v>
      </c>
      <c r="L2282" t="str">
        <f>_xlfn.XLOOKUP($A2282,Load!$B:$B,Load!M:M,0,)</f>
        <v>Multiple Brands / Variety Flavors or Form</v>
      </c>
    </row>
    <row r="2283" spans="1:12" x14ac:dyDescent="0.25">
      <c r="B2283">
        <f>_xlfn.XLOOKUP($A2283,Load!$B:$B,Load!C:C,0,)</f>
        <v>0</v>
      </c>
      <c r="C2283">
        <f>_xlfn.XLOOKUP($A2283,Load!$B:$B,Load!D:D,0,)</f>
        <v>0</v>
      </c>
      <c r="D2283">
        <f>_xlfn.XLOOKUP($A2283,Load!$B:$B,Load!E:E,0,)</f>
        <v>0</v>
      </c>
      <c r="E2283">
        <f>_xlfn.XLOOKUP($A2283,Load!$B:$B,Load!F:F,0,)</f>
        <v>0</v>
      </c>
      <c r="F2283">
        <f>_xlfn.XLOOKUP($A2283,Load!$B:$B,Load!G:G,0,)</f>
        <v>0</v>
      </c>
      <c r="G2283">
        <f>_xlfn.XLOOKUP($A2283,Load!$B:$B,Load!H:H,0,)</f>
        <v>0</v>
      </c>
      <c r="H2283">
        <f>_xlfn.XLOOKUP($A2283,Load!$B:$B,Load!I:I,0,)</f>
        <v>0</v>
      </c>
      <c r="I2283">
        <f>_xlfn.XLOOKUP($A2283,Load!$B:$B,Load!J:J,0,)</f>
        <v>0</v>
      </c>
      <c r="J2283">
        <f>_xlfn.XLOOKUP($A2283,Load!$B:$B,Load!K:K,0,)</f>
        <v>0</v>
      </c>
      <c r="K2283">
        <f>_xlfn.XLOOKUP($A2283,Load!$B:$B,Load!L:L,0,)</f>
        <v>0</v>
      </c>
      <c r="L2283">
        <f>_xlfn.XLOOKUP($A2283,Load!$B:$B,Load!M:M,0,)</f>
        <v>0</v>
      </c>
    </row>
    <row r="2284" spans="1:12" x14ac:dyDescent="0.25">
      <c r="A2284" t="s">
        <v>463</v>
      </c>
      <c r="B2284" t="str">
        <f>_xlfn.XLOOKUP($A2284,Load!$B:$B,Load!C:C,0,)</f>
        <v>Mars Variety Pack</v>
      </c>
      <c r="C2284" t="str">
        <f>_xlfn.XLOOKUP($A2284,Load!$B:$B,Load!D:D,0,)</f>
        <v>Mix of Chocolate and Non-Chocolate Candy</v>
      </c>
      <c r="D2284" t="str">
        <f>_xlfn.XLOOKUP($A2284,Load!$B:$B,Load!E:E,0,)</f>
        <v>Variety / Mixed Flavors (Fruity, Sour, Seasonal Flavors)</v>
      </c>
      <c r="E2284" t="str">
        <f>_xlfn.XLOOKUP($A2284,Load!$B:$B,Load!F:F,0,)</f>
        <v>Mixed / Combo Packs (Gummy, Chewy, Taffy, etc.)</v>
      </c>
      <c r="F2284" t="str">
        <f>_xlfn.XLOOKUP($A2284,Load!$B:$B,Load!G:G,0,)</f>
        <v>Medium Multipack (40–80 ct)</v>
      </c>
      <c r="G2284" t="str">
        <f>_xlfn.XLOOKUP($A2284,Load!$B:$B,Load!H:H,0,)</f>
        <v>Stand-Up Bag</v>
      </c>
      <c r="H2284" t="str">
        <f>_xlfn.XLOOKUP($A2284,Load!$B:$B,Load!I:I,0,)</f>
        <v>Everyday Candy Shapes (like Original, Gummy bear, Fruit, Jewels, etc.)</v>
      </c>
      <c r="I2284" t="str">
        <f>_xlfn.XLOOKUP($A2284,Load!$B:$B,Load!J:J,0,)</f>
        <v>Seasonal Graphics (Like Bat, Ghost, Pumpkin, Fall Leaves, Eyeballs, etc.)</v>
      </c>
      <c r="J2284" t="str">
        <f>_xlfn.XLOOKUP($A2284,Load!$B:$B,Load!K:K,0,)</f>
        <v>Fun Size / Treat Size</v>
      </c>
      <c r="K2284" t="str">
        <f>_xlfn.XLOOKUP($A2284,Load!$B:$B,Load!L:L,0,)</f>
        <v>Regular/Original Wrapping</v>
      </c>
      <c r="L2284" t="str">
        <f>_xlfn.XLOOKUP($A2284,Load!$B:$B,Load!M:M,0,)</f>
        <v>Multiple Brands / Variety Flavors or Form</v>
      </c>
    </row>
    <row r="2285" spans="1:12" x14ac:dyDescent="0.25">
      <c r="A2285" t="s">
        <v>213</v>
      </c>
      <c r="B2285" t="str">
        <f>_xlfn.XLOOKUP($A2285,Load!$B:$B,Load!C:C,0,)</f>
        <v>Mars Variety Pack</v>
      </c>
      <c r="C2285" t="str">
        <f>_xlfn.XLOOKUP($A2285,Load!$B:$B,Load!D:D,0,)</f>
        <v>Mix of Chocolate and Non-Chocolate Candy</v>
      </c>
      <c r="D2285" t="str">
        <f>_xlfn.XLOOKUP($A2285,Load!$B:$B,Load!E:E,0,)</f>
        <v>Variety / Mixed Flavors (Fruity, Sour, Seasonal Flavors)</v>
      </c>
      <c r="E2285" t="str">
        <f>_xlfn.XLOOKUP($A2285,Load!$B:$B,Load!F:F,0,)</f>
        <v>Mixed / Combo Packs (Gummy, Chewy, Taffy, etc.)</v>
      </c>
      <c r="F2285" t="str">
        <f>_xlfn.XLOOKUP($A2285,Load!$B:$B,Load!G:G,0,)</f>
        <v>Medium Multipack (40–80 ct)</v>
      </c>
      <c r="G2285" t="str">
        <f>_xlfn.XLOOKUP($A2285,Load!$B:$B,Load!H:H,0,)</f>
        <v>Stand-Up Bag</v>
      </c>
      <c r="H2285" t="str">
        <f>_xlfn.XLOOKUP($A2285,Load!$B:$B,Load!I:I,0,)</f>
        <v>Everyday Candy Shapes (like Original, Gummy bear, Fruit, Jewels, etc.)</v>
      </c>
      <c r="I2285" t="str">
        <f>_xlfn.XLOOKUP($A2285,Load!$B:$B,Load!J:J,0,)</f>
        <v>Seasonal Graphics (Like Bat, Ghost, Pumpkin, Fall Leaves, Eyeballs, etc.)</v>
      </c>
      <c r="J2285" t="str">
        <f>_xlfn.XLOOKUP($A2285,Load!$B:$B,Load!K:K,0,)</f>
        <v>Fun Size / Treat Size</v>
      </c>
      <c r="K2285" t="str">
        <f>_xlfn.XLOOKUP($A2285,Load!$B:$B,Load!L:L,0,)</f>
        <v>Regular/Original Wrapping</v>
      </c>
      <c r="L2285" t="str">
        <f>_xlfn.XLOOKUP($A2285,Load!$B:$B,Load!M:M,0,)</f>
        <v>Multiple Brands / Variety Flavors or Form</v>
      </c>
    </row>
    <row r="2286" spans="1:12" x14ac:dyDescent="0.25">
      <c r="B2286">
        <f>_xlfn.XLOOKUP($A2286,Load!$B:$B,Load!C:C,0,)</f>
        <v>0</v>
      </c>
      <c r="C2286">
        <f>_xlfn.XLOOKUP($A2286,Load!$B:$B,Load!D:D,0,)</f>
        <v>0</v>
      </c>
      <c r="D2286">
        <f>_xlfn.XLOOKUP($A2286,Load!$B:$B,Load!E:E,0,)</f>
        <v>0</v>
      </c>
      <c r="E2286">
        <f>_xlfn.XLOOKUP($A2286,Load!$B:$B,Load!F:F,0,)</f>
        <v>0</v>
      </c>
      <c r="F2286">
        <f>_xlfn.XLOOKUP($A2286,Load!$B:$B,Load!G:G,0,)</f>
        <v>0</v>
      </c>
      <c r="G2286">
        <f>_xlfn.XLOOKUP($A2286,Load!$B:$B,Load!H:H,0,)</f>
        <v>0</v>
      </c>
      <c r="H2286">
        <f>_xlfn.XLOOKUP($A2286,Load!$B:$B,Load!I:I,0,)</f>
        <v>0</v>
      </c>
      <c r="I2286">
        <f>_xlfn.XLOOKUP($A2286,Load!$B:$B,Load!J:J,0,)</f>
        <v>0</v>
      </c>
      <c r="J2286">
        <f>_xlfn.XLOOKUP($A2286,Load!$B:$B,Load!K:K,0,)</f>
        <v>0</v>
      </c>
      <c r="K2286">
        <f>_xlfn.XLOOKUP($A2286,Load!$B:$B,Load!L:L,0,)</f>
        <v>0</v>
      </c>
      <c r="L2286">
        <f>_xlfn.XLOOKUP($A2286,Load!$B:$B,Load!M:M,0,)</f>
        <v>0</v>
      </c>
    </row>
    <row r="2287" spans="1:12" x14ac:dyDescent="0.25">
      <c r="B2287">
        <f>_xlfn.XLOOKUP($A2287,Load!$B:$B,Load!C:C,0,)</f>
        <v>0</v>
      </c>
      <c r="C2287">
        <f>_xlfn.XLOOKUP($A2287,Load!$B:$B,Load!D:D,0,)</f>
        <v>0</v>
      </c>
      <c r="D2287">
        <f>_xlfn.XLOOKUP($A2287,Load!$B:$B,Load!E:E,0,)</f>
        <v>0</v>
      </c>
      <c r="E2287">
        <f>_xlfn.XLOOKUP($A2287,Load!$B:$B,Load!F:F,0,)</f>
        <v>0</v>
      </c>
      <c r="F2287">
        <f>_xlfn.XLOOKUP($A2287,Load!$B:$B,Load!G:G,0,)</f>
        <v>0</v>
      </c>
      <c r="G2287">
        <f>_xlfn.XLOOKUP($A2287,Load!$B:$B,Load!H:H,0,)</f>
        <v>0</v>
      </c>
      <c r="H2287">
        <f>_xlfn.XLOOKUP($A2287,Load!$B:$B,Load!I:I,0,)</f>
        <v>0</v>
      </c>
      <c r="I2287">
        <f>_xlfn.XLOOKUP($A2287,Load!$B:$B,Load!J:J,0,)</f>
        <v>0</v>
      </c>
      <c r="J2287">
        <f>_xlfn.XLOOKUP($A2287,Load!$B:$B,Load!K:K,0,)</f>
        <v>0</v>
      </c>
      <c r="K2287">
        <f>_xlfn.XLOOKUP($A2287,Load!$B:$B,Load!L:L,0,)</f>
        <v>0</v>
      </c>
      <c r="L2287">
        <f>_xlfn.XLOOKUP($A2287,Load!$B:$B,Load!M:M,0,)</f>
        <v>0</v>
      </c>
    </row>
    <row r="2288" spans="1:12" x14ac:dyDescent="0.25">
      <c r="B2288">
        <f>_xlfn.XLOOKUP($A2288,Load!$B:$B,Load!C:C,0,)</f>
        <v>0</v>
      </c>
      <c r="C2288">
        <f>_xlfn.XLOOKUP($A2288,Load!$B:$B,Load!D:D,0,)</f>
        <v>0</v>
      </c>
      <c r="D2288">
        <f>_xlfn.XLOOKUP($A2288,Load!$B:$B,Load!E:E,0,)</f>
        <v>0</v>
      </c>
      <c r="E2288">
        <f>_xlfn.XLOOKUP($A2288,Load!$B:$B,Load!F:F,0,)</f>
        <v>0</v>
      </c>
      <c r="F2288">
        <f>_xlfn.XLOOKUP($A2288,Load!$B:$B,Load!G:G,0,)</f>
        <v>0</v>
      </c>
      <c r="G2288">
        <f>_xlfn.XLOOKUP($A2288,Load!$B:$B,Load!H:H,0,)</f>
        <v>0</v>
      </c>
      <c r="H2288">
        <f>_xlfn.XLOOKUP($A2288,Load!$B:$B,Load!I:I,0,)</f>
        <v>0</v>
      </c>
      <c r="I2288">
        <f>_xlfn.XLOOKUP($A2288,Load!$B:$B,Load!J:J,0,)</f>
        <v>0</v>
      </c>
      <c r="J2288">
        <f>_xlfn.XLOOKUP($A2288,Load!$B:$B,Load!K:K,0,)</f>
        <v>0</v>
      </c>
      <c r="K2288">
        <f>_xlfn.XLOOKUP($A2288,Load!$B:$B,Load!L:L,0,)</f>
        <v>0</v>
      </c>
      <c r="L2288">
        <f>_xlfn.XLOOKUP($A2288,Load!$B:$B,Load!M:M,0,)</f>
        <v>0</v>
      </c>
    </row>
    <row r="2289" spans="1:12" x14ac:dyDescent="0.25">
      <c r="B2289">
        <f>_xlfn.XLOOKUP($A2289,Load!$B:$B,Load!C:C,0,)</f>
        <v>0</v>
      </c>
      <c r="C2289">
        <f>_xlfn.XLOOKUP($A2289,Load!$B:$B,Load!D:D,0,)</f>
        <v>0</v>
      </c>
      <c r="D2289">
        <f>_xlfn.XLOOKUP($A2289,Load!$B:$B,Load!E:E,0,)</f>
        <v>0</v>
      </c>
      <c r="E2289">
        <f>_xlfn.XLOOKUP($A2289,Load!$B:$B,Load!F:F,0,)</f>
        <v>0</v>
      </c>
      <c r="F2289">
        <f>_xlfn.XLOOKUP($A2289,Load!$B:$B,Load!G:G,0,)</f>
        <v>0</v>
      </c>
      <c r="G2289">
        <f>_xlfn.XLOOKUP($A2289,Load!$B:$B,Load!H:H,0,)</f>
        <v>0</v>
      </c>
      <c r="H2289">
        <f>_xlfn.XLOOKUP($A2289,Load!$B:$B,Load!I:I,0,)</f>
        <v>0</v>
      </c>
      <c r="I2289">
        <f>_xlfn.XLOOKUP($A2289,Load!$B:$B,Load!J:J,0,)</f>
        <v>0</v>
      </c>
      <c r="J2289">
        <f>_xlfn.XLOOKUP($A2289,Load!$B:$B,Load!K:K,0,)</f>
        <v>0</v>
      </c>
      <c r="K2289">
        <f>_xlfn.XLOOKUP($A2289,Load!$B:$B,Load!L:L,0,)</f>
        <v>0</v>
      </c>
      <c r="L2289">
        <f>_xlfn.XLOOKUP($A2289,Load!$B:$B,Load!M:M,0,)</f>
        <v>0</v>
      </c>
    </row>
    <row r="2290" spans="1:12" x14ac:dyDescent="0.25">
      <c r="A2290" t="s">
        <v>311</v>
      </c>
      <c r="B2290" t="str">
        <f>_xlfn.XLOOKUP($A2290,Load!$B:$B,Load!C:C,0,)</f>
        <v>Werther's Original</v>
      </c>
      <c r="C2290" t="str">
        <f>_xlfn.XLOOKUP($A2290,Load!$B:$B,Load!D:D,0,)</f>
        <v>Non-Chocolate Candy Only</v>
      </c>
      <c r="D2290" t="str">
        <f>_xlfn.XLOOKUP($A2290,Load!$B:$B,Load!E:E,0,)</f>
        <v>Fall / Seasonal Flavors (pumpkin spice, caramel apple, candy corn)</v>
      </c>
      <c r="E2290" t="str">
        <f>_xlfn.XLOOKUP($A2290,Load!$B:$B,Load!F:F,0,)</f>
        <v>Chewy</v>
      </c>
      <c r="F2290" t="str">
        <f>_xlfn.XLOOKUP($A2290,Load!$B:$B,Load!G:G,0,)</f>
        <v>Single Pack</v>
      </c>
      <c r="G2290" t="str">
        <f>_xlfn.XLOOKUP($A2290,Load!$B:$B,Load!H:H,0,)</f>
        <v>Stand-Up Bag</v>
      </c>
      <c r="H2290" t="str">
        <f>_xlfn.XLOOKUP($A2290,Load!$B:$B,Load!I:I,0,)</f>
        <v>Everyday Candy Shapes (like Original, Gummy bear, Fruit, Jewels, etc.)</v>
      </c>
      <c r="I2290" t="str">
        <f>_xlfn.XLOOKUP($A2290,Load!$B:$B,Load!J:J,0,)</f>
        <v>Seasonal Graphics (Like Bat, Ghost, Pumpkin, Fall Leaves, Eyeballs, etc.)</v>
      </c>
      <c r="J2290" t="str">
        <f>_xlfn.XLOOKUP($A2290,Load!$B:$B,Load!K:K,0,)</f>
        <v>Fun Size / Treat Size</v>
      </c>
      <c r="K2290" t="str">
        <f>_xlfn.XLOOKUP($A2290,Load!$B:$B,Load!L:L,0,)</f>
        <v>Regular/Original Wrapping</v>
      </c>
      <c r="L2290" t="str">
        <f>_xlfn.XLOOKUP($A2290,Load!$B:$B,Load!M:M,0,)</f>
        <v>Single Brand / Variety Flavors or Form</v>
      </c>
    </row>
    <row r="2291" spans="1:12" x14ac:dyDescent="0.25">
      <c r="A2291" t="s">
        <v>52</v>
      </c>
      <c r="B2291" t="str">
        <f>_xlfn.XLOOKUP($A2291,Load!$B:$B,Load!C:C,0,)</f>
        <v>Brach's</v>
      </c>
      <c r="C2291" t="str">
        <f>_xlfn.XLOOKUP($A2291,Load!$B:$B,Load!D:D,0,)</f>
        <v>Non-Chocolate Candy Only</v>
      </c>
      <c r="D2291" t="str">
        <f>_xlfn.XLOOKUP($A2291,Load!$B:$B,Load!E:E,0,)</f>
        <v>Fall / Seasonal Flavors (pumpkin spice, caramel apple, candy corn)</v>
      </c>
      <c r="E2291" t="str">
        <f>_xlfn.XLOOKUP($A2291,Load!$B:$B,Load!F:F,0,)</f>
        <v>Candy Pieces / Bites</v>
      </c>
      <c r="F2291" t="str">
        <f>_xlfn.XLOOKUP($A2291,Load!$B:$B,Load!G:G,0,)</f>
        <v>Single Pack</v>
      </c>
      <c r="G2291" t="str">
        <f>_xlfn.XLOOKUP($A2291,Load!$B:$B,Load!H:H,0,)</f>
        <v>Laydown Bag</v>
      </c>
      <c r="H2291" t="str">
        <f>_xlfn.XLOOKUP($A2291,Load!$B:$B,Load!I:I,0,)</f>
        <v>Seasonal Shapes (like pumpkins, candy corn, ghost, bats, etc.)</v>
      </c>
      <c r="I2291" t="str">
        <f>_xlfn.XLOOKUP($A2291,Load!$B:$B,Load!J:J,0,)</f>
        <v>Seasonal Graphics (Like Bat, Ghost, Pumpkin, Fall Leaves, Eyeballs, etc.)</v>
      </c>
      <c r="J2291" t="str">
        <f>_xlfn.XLOOKUP($A2291,Load!$B:$B,Load!K:K,0,)</f>
        <v>Small Pieces (Tiny bite size candies)</v>
      </c>
      <c r="K2291" t="str">
        <f>_xlfn.XLOOKUP($A2291,Load!$B:$B,Load!L:L,0,)</f>
        <v>Unwrapped</v>
      </c>
      <c r="L2291" t="str">
        <f>_xlfn.XLOOKUP($A2291,Load!$B:$B,Load!M:M,0,)</f>
        <v>Single Brand / Single Flavor or Form</v>
      </c>
    </row>
    <row r="2292" spans="1:12" x14ac:dyDescent="0.25">
      <c r="B2292">
        <f>_xlfn.XLOOKUP($A2292,Load!$B:$B,Load!C:C,0,)</f>
        <v>0</v>
      </c>
      <c r="C2292">
        <f>_xlfn.XLOOKUP($A2292,Load!$B:$B,Load!D:D,0,)</f>
        <v>0</v>
      </c>
      <c r="D2292">
        <f>_xlfn.XLOOKUP($A2292,Load!$B:$B,Load!E:E,0,)</f>
        <v>0</v>
      </c>
      <c r="E2292">
        <f>_xlfn.XLOOKUP($A2292,Load!$B:$B,Load!F:F,0,)</f>
        <v>0</v>
      </c>
      <c r="F2292">
        <f>_xlfn.XLOOKUP($A2292,Load!$B:$B,Load!G:G,0,)</f>
        <v>0</v>
      </c>
      <c r="G2292">
        <f>_xlfn.XLOOKUP($A2292,Load!$B:$B,Load!H:H,0,)</f>
        <v>0</v>
      </c>
      <c r="H2292">
        <f>_xlfn.XLOOKUP($A2292,Load!$B:$B,Load!I:I,0,)</f>
        <v>0</v>
      </c>
      <c r="I2292">
        <f>_xlfn.XLOOKUP($A2292,Load!$B:$B,Load!J:J,0,)</f>
        <v>0</v>
      </c>
      <c r="J2292">
        <f>_xlfn.XLOOKUP($A2292,Load!$B:$B,Load!K:K,0,)</f>
        <v>0</v>
      </c>
      <c r="K2292">
        <f>_xlfn.XLOOKUP($A2292,Load!$B:$B,Load!L:L,0,)</f>
        <v>0</v>
      </c>
      <c r="L2292">
        <f>_xlfn.XLOOKUP($A2292,Load!$B:$B,Load!M:M,0,)</f>
        <v>0</v>
      </c>
    </row>
    <row r="2293" spans="1:12" x14ac:dyDescent="0.25">
      <c r="B2293">
        <f>_xlfn.XLOOKUP($A2293,Load!$B:$B,Load!C:C,0,)</f>
        <v>0</v>
      </c>
      <c r="C2293">
        <f>_xlfn.XLOOKUP($A2293,Load!$B:$B,Load!D:D,0,)</f>
        <v>0</v>
      </c>
      <c r="D2293">
        <f>_xlfn.XLOOKUP($A2293,Load!$B:$B,Load!E:E,0,)</f>
        <v>0</v>
      </c>
      <c r="E2293">
        <f>_xlfn.XLOOKUP($A2293,Load!$B:$B,Load!F:F,0,)</f>
        <v>0</v>
      </c>
      <c r="F2293">
        <f>_xlfn.XLOOKUP($A2293,Load!$B:$B,Load!G:G,0,)</f>
        <v>0</v>
      </c>
      <c r="G2293">
        <f>_xlfn.XLOOKUP($A2293,Load!$B:$B,Load!H:H,0,)</f>
        <v>0</v>
      </c>
      <c r="H2293">
        <f>_xlfn.XLOOKUP($A2293,Load!$B:$B,Load!I:I,0,)</f>
        <v>0</v>
      </c>
      <c r="I2293">
        <f>_xlfn.XLOOKUP($A2293,Load!$B:$B,Load!J:J,0,)</f>
        <v>0</v>
      </c>
      <c r="J2293">
        <f>_xlfn.XLOOKUP($A2293,Load!$B:$B,Load!K:K,0,)</f>
        <v>0</v>
      </c>
      <c r="K2293">
        <f>_xlfn.XLOOKUP($A2293,Load!$B:$B,Load!L:L,0,)</f>
        <v>0</v>
      </c>
      <c r="L2293">
        <f>_xlfn.XLOOKUP($A2293,Load!$B:$B,Load!M:M,0,)</f>
        <v>0</v>
      </c>
    </row>
    <row r="2294" spans="1:12" x14ac:dyDescent="0.25">
      <c r="A2294" t="s">
        <v>29</v>
      </c>
      <c r="B2294" t="str">
        <f>_xlfn.XLOOKUP($A2294,Load!$B:$B,Load!C:C,0,)</f>
        <v>AMOS</v>
      </c>
      <c r="C2294" t="str">
        <f>_xlfn.XLOOKUP($A2294,Load!$B:$B,Load!D:D,0,)</f>
        <v>Non-Chocolate Candy Only</v>
      </c>
      <c r="D2294" t="str">
        <f>_xlfn.XLOOKUP($A2294,Load!$B:$B,Load!E:E,0,)</f>
        <v>Fruit Flavor (Cherry, Grape, Apple, Citrus, Tropical Fruit)</v>
      </c>
      <c r="E2294" t="str">
        <f>_xlfn.XLOOKUP($A2294,Load!$B:$B,Load!F:F,0,)</f>
        <v>Gummy</v>
      </c>
      <c r="F2294" t="str">
        <f>_xlfn.XLOOKUP($A2294,Load!$B:$B,Load!G:G,0,)</f>
        <v>Single Pack</v>
      </c>
      <c r="G2294" t="str">
        <f>_xlfn.XLOOKUP($A2294,Load!$B:$B,Load!H:H,0,)</f>
        <v>Peg Bag</v>
      </c>
      <c r="H2294" t="str">
        <f>_xlfn.XLOOKUP($A2294,Load!$B:$B,Load!I:I,0,)</f>
        <v>Seasonal Shapes (like pumpkins, candy corn, ghost, bats, etc.)</v>
      </c>
      <c r="I2294" t="str">
        <f>_xlfn.XLOOKUP($A2294,Load!$B:$B,Load!J:J,0,)</f>
        <v>Seasonal Graphics (Like Bat, Ghost, Pumpkin, Fall Leaves, Eyeballs, etc.)</v>
      </c>
      <c r="J2294" t="str">
        <f>_xlfn.XLOOKUP($A2294,Load!$B:$B,Load!K:K,0,)</f>
        <v>Small Pieces (Tiny bite size candies)</v>
      </c>
      <c r="K2294" t="str">
        <f>_xlfn.XLOOKUP($A2294,Load!$B:$B,Load!L:L,0,)</f>
        <v>Unwrapped</v>
      </c>
      <c r="L2294" t="str">
        <f>_xlfn.XLOOKUP($A2294,Load!$B:$B,Load!M:M,0,)</f>
        <v>Single Brand / Single Flavor or Form</v>
      </c>
    </row>
    <row r="2295" spans="1:12" x14ac:dyDescent="0.25">
      <c r="A2295" t="s">
        <v>10</v>
      </c>
      <c r="B2295" t="str">
        <f>_xlfn.XLOOKUP($A2295,Load!$B:$B,Load!C:C,0,)</f>
        <v>Airheads</v>
      </c>
      <c r="C2295" t="str">
        <f>_xlfn.XLOOKUP($A2295,Load!$B:$B,Load!D:D,0,)</f>
        <v>Non-Chocolate Candy Only</v>
      </c>
      <c r="D2295" t="str">
        <f>_xlfn.XLOOKUP($A2295,Load!$B:$B,Load!E:E,0,)</f>
        <v>Fruit Flavor (Cherry, Grape, Apple, Citrus, Tropical Fruit)</v>
      </c>
      <c r="E2295" t="str">
        <f>_xlfn.XLOOKUP($A2295,Load!$B:$B,Load!F:F,0,)</f>
        <v>Chewy</v>
      </c>
      <c r="F2295" t="str">
        <f>_xlfn.XLOOKUP($A2295,Load!$B:$B,Load!G:G,0,)</f>
        <v>Small Multipack (Less than 40 ct)</v>
      </c>
      <c r="G2295" t="str">
        <f>_xlfn.XLOOKUP($A2295,Load!$B:$B,Load!H:H,0,)</f>
        <v>Laydown Bag</v>
      </c>
      <c r="H2295" t="str">
        <f>_xlfn.XLOOKUP($A2295,Load!$B:$B,Load!I:I,0,)</f>
        <v>Everyday Candy Shapes (like Original, Gummy bear, Fruit, Jewels, etc.)</v>
      </c>
      <c r="I2295" t="str">
        <f>_xlfn.XLOOKUP($A2295,Load!$B:$B,Load!J:J,0,)</f>
        <v>Everyday Graphics</v>
      </c>
      <c r="J2295" t="str">
        <f>_xlfn.XLOOKUP($A2295,Load!$B:$B,Load!K:K,0,)</f>
        <v>Fun Size / Treat Size</v>
      </c>
      <c r="K2295" t="str">
        <f>_xlfn.XLOOKUP($A2295,Load!$B:$B,Load!L:L,0,)</f>
        <v>Regular/Original Wrapping</v>
      </c>
      <c r="L2295" t="str">
        <f>_xlfn.XLOOKUP($A2295,Load!$B:$B,Load!M:M,0,)</f>
        <v>Single Brand / Variety Flavors or Form</v>
      </c>
    </row>
    <row r="2296" spans="1:12" x14ac:dyDescent="0.25">
      <c r="B2296">
        <f>_xlfn.XLOOKUP($A2296,Load!$B:$B,Load!C:C,0,)</f>
        <v>0</v>
      </c>
      <c r="C2296">
        <f>_xlfn.XLOOKUP($A2296,Load!$B:$B,Load!D:D,0,)</f>
        <v>0</v>
      </c>
      <c r="D2296">
        <f>_xlfn.XLOOKUP($A2296,Load!$B:$B,Load!E:E,0,)</f>
        <v>0</v>
      </c>
      <c r="E2296">
        <f>_xlfn.XLOOKUP($A2296,Load!$B:$B,Load!F:F,0,)</f>
        <v>0</v>
      </c>
      <c r="F2296">
        <f>_xlfn.XLOOKUP($A2296,Load!$B:$B,Load!G:G,0,)</f>
        <v>0</v>
      </c>
      <c r="G2296">
        <f>_xlfn.XLOOKUP($A2296,Load!$B:$B,Load!H:H,0,)</f>
        <v>0</v>
      </c>
      <c r="H2296">
        <f>_xlfn.XLOOKUP($A2296,Load!$B:$B,Load!I:I,0,)</f>
        <v>0</v>
      </c>
      <c r="I2296">
        <f>_xlfn.XLOOKUP($A2296,Load!$B:$B,Load!J:J,0,)</f>
        <v>0</v>
      </c>
      <c r="J2296">
        <f>_xlfn.XLOOKUP($A2296,Load!$B:$B,Load!K:K,0,)</f>
        <v>0</v>
      </c>
      <c r="K2296">
        <f>_xlfn.XLOOKUP($A2296,Load!$B:$B,Load!L:L,0,)</f>
        <v>0</v>
      </c>
      <c r="L2296">
        <f>_xlfn.XLOOKUP($A2296,Load!$B:$B,Load!M:M,0,)</f>
        <v>0</v>
      </c>
    </row>
    <row r="2297" spans="1:12" x14ac:dyDescent="0.25">
      <c r="B2297">
        <f>_xlfn.XLOOKUP($A2297,Load!$B:$B,Load!C:C,0,)</f>
        <v>0</v>
      </c>
      <c r="C2297">
        <f>_xlfn.XLOOKUP($A2297,Load!$B:$B,Load!D:D,0,)</f>
        <v>0</v>
      </c>
      <c r="D2297">
        <f>_xlfn.XLOOKUP($A2297,Load!$B:$B,Load!E:E,0,)</f>
        <v>0</v>
      </c>
      <c r="E2297">
        <f>_xlfn.XLOOKUP($A2297,Load!$B:$B,Load!F:F,0,)</f>
        <v>0</v>
      </c>
      <c r="F2297">
        <f>_xlfn.XLOOKUP($A2297,Load!$B:$B,Load!G:G,0,)</f>
        <v>0</v>
      </c>
      <c r="G2297">
        <f>_xlfn.XLOOKUP($A2297,Load!$B:$B,Load!H:H,0,)</f>
        <v>0</v>
      </c>
      <c r="H2297">
        <f>_xlfn.XLOOKUP($A2297,Load!$B:$B,Load!I:I,0,)</f>
        <v>0</v>
      </c>
      <c r="I2297">
        <f>_xlfn.XLOOKUP($A2297,Load!$B:$B,Load!J:J,0,)</f>
        <v>0</v>
      </c>
      <c r="J2297">
        <f>_xlfn.XLOOKUP($A2297,Load!$B:$B,Load!K:K,0,)</f>
        <v>0</v>
      </c>
      <c r="K2297">
        <f>_xlfn.XLOOKUP($A2297,Load!$B:$B,Load!L:L,0,)</f>
        <v>0</v>
      </c>
      <c r="L2297">
        <f>_xlfn.XLOOKUP($A2297,Load!$B:$B,Load!M:M,0,)</f>
        <v>0</v>
      </c>
    </row>
    <row r="2298" spans="1:12" x14ac:dyDescent="0.25">
      <c r="B2298">
        <f>_xlfn.XLOOKUP($A2298,Load!$B:$B,Load!C:C,0,)</f>
        <v>0</v>
      </c>
      <c r="C2298">
        <f>_xlfn.XLOOKUP($A2298,Load!$B:$B,Load!D:D,0,)</f>
        <v>0</v>
      </c>
      <c r="D2298">
        <f>_xlfn.XLOOKUP($A2298,Load!$B:$B,Load!E:E,0,)</f>
        <v>0</v>
      </c>
      <c r="E2298">
        <f>_xlfn.XLOOKUP($A2298,Load!$B:$B,Load!F:F,0,)</f>
        <v>0</v>
      </c>
      <c r="F2298">
        <f>_xlfn.XLOOKUP($A2298,Load!$B:$B,Load!G:G,0,)</f>
        <v>0</v>
      </c>
      <c r="G2298">
        <f>_xlfn.XLOOKUP($A2298,Load!$B:$B,Load!H:H,0,)</f>
        <v>0</v>
      </c>
      <c r="H2298">
        <f>_xlfn.XLOOKUP($A2298,Load!$B:$B,Load!I:I,0,)</f>
        <v>0</v>
      </c>
      <c r="I2298">
        <f>_xlfn.XLOOKUP($A2298,Load!$B:$B,Load!J:J,0,)</f>
        <v>0</v>
      </c>
      <c r="J2298">
        <f>_xlfn.XLOOKUP($A2298,Load!$B:$B,Load!K:K,0,)</f>
        <v>0</v>
      </c>
      <c r="K2298">
        <f>_xlfn.XLOOKUP($A2298,Load!$B:$B,Load!L:L,0,)</f>
        <v>0</v>
      </c>
      <c r="L2298">
        <f>_xlfn.XLOOKUP($A2298,Load!$B:$B,Load!M:M,0,)</f>
        <v>0</v>
      </c>
    </row>
    <row r="2299" spans="1:12" x14ac:dyDescent="0.25">
      <c r="B2299">
        <f>_xlfn.XLOOKUP($A2299,Load!$B:$B,Load!C:C,0,)</f>
        <v>0</v>
      </c>
      <c r="C2299">
        <f>_xlfn.XLOOKUP($A2299,Load!$B:$B,Load!D:D,0,)</f>
        <v>0</v>
      </c>
      <c r="D2299">
        <f>_xlfn.XLOOKUP($A2299,Load!$B:$B,Load!E:E,0,)</f>
        <v>0</v>
      </c>
      <c r="E2299">
        <f>_xlfn.XLOOKUP($A2299,Load!$B:$B,Load!F:F,0,)</f>
        <v>0</v>
      </c>
      <c r="F2299">
        <f>_xlfn.XLOOKUP($A2299,Load!$B:$B,Load!G:G,0,)</f>
        <v>0</v>
      </c>
      <c r="G2299">
        <f>_xlfn.XLOOKUP($A2299,Load!$B:$B,Load!H:H,0,)</f>
        <v>0</v>
      </c>
      <c r="H2299">
        <f>_xlfn.XLOOKUP($A2299,Load!$B:$B,Load!I:I,0,)</f>
        <v>0</v>
      </c>
      <c r="I2299">
        <f>_xlfn.XLOOKUP($A2299,Load!$B:$B,Load!J:J,0,)</f>
        <v>0</v>
      </c>
      <c r="J2299">
        <f>_xlfn.XLOOKUP($A2299,Load!$B:$B,Load!K:K,0,)</f>
        <v>0</v>
      </c>
      <c r="K2299">
        <f>_xlfn.XLOOKUP($A2299,Load!$B:$B,Load!L:L,0,)</f>
        <v>0</v>
      </c>
      <c r="L2299">
        <f>_xlfn.XLOOKUP($A2299,Load!$B:$B,Load!M:M,0,)</f>
        <v>0</v>
      </c>
    </row>
    <row r="2300" spans="1:12" x14ac:dyDescent="0.25">
      <c r="A2300" t="s">
        <v>2</v>
      </c>
      <c r="B2300" t="str">
        <f>_xlfn.XLOOKUP($A2300,Load!$B:$B,Load!C:C,0,)</f>
        <v>Airheads</v>
      </c>
      <c r="C2300" t="str">
        <f>_xlfn.XLOOKUP($A2300,Load!$B:$B,Load!D:D,0,)</f>
        <v>Non-Chocolate Candy Only</v>
      </c>
      <c r="D2300" t="str">
        <f>_xlfn.XLOOKUP($A2300,Load!$B:$B,Load!E:E,0,)</f>
        <v>Variety / Mixed Flavors (Fruity, Sour, Seasonal Flavors)</v>
      </c>
      <c r="E2300" t="str">
        <f>_xlfn.XLOOKUP($A2300,Load!$B:$B,Load!F:F,0,)</f>
        <v>Chewy</v>
      </c>
      <c r="F2300" t="str">
        <f>_xlfn.XLOOKUP($A2300,Load!$B:$B,Load!G:G,0,)</f>
        <v>Medium Multipack (40–80 ct)</v>
      </c>
      <c r="G2300" t="str">
        <f>_xlfn.XLOOKUP($A2300,Load!$B:$B,Load!H:H,0,)</f>
        <v>Box (theatre box, gift box, carton)</v>
      </c>
      <c r="H2300" t="str">
        <f>_xlfn.XLOOKUP($A2300,Load!$B:$B,Load!I:I,0,)</f>
        <v>Everyday Candy Shapes (like Original, Gummy bear, Fruit, Jewels, etc.)</v>
      </c>
      <c r="I2300" t="str">
        <f>_xlfn.XLOOKUP($A2300,Load!$B:$B,Load!J:J,0,)</f>
        <v>Seasonal Graphics (Like Bat, Ghost, Pumpkin, Fall Leaves, Eyeballs, etc.)</v>
      </c>
      <c r="J2300" t="str">
        <f>_xlfn.XLOOKUP($A2300,Load!$B:$B,Load!K:K,0,)</f>
        <v>Fun Size / Treat Size</v>
      </c>
      <c r="K2300" t="str">
        <f>_xlfn.XLOOKUP($A2300,Load!$B:$B,Load!L:L,0,)</f>
        <v>Regular/Original Wrapping</v>
      </c>
      <c r="L2300" t="str">
        <f>_xlfn.XLOOKUP($A2300,Load!$B:$B,Load!M:M,0,)</f>
        <v>Single Brand / Variety Flavors or Form</v>
      </c>
    </row>
    <row r="2301" spans="1:12" x14ac:dyDescent="0.25">
      <c r="B2301">
        <f>_xlfn.XLOOKUP($A2301,Load!$B:$B,Load!C:C,0,)</f>
        <v>0</v>
      </c>
      <c r="C2301">
        <f>_xlfn.XLOOKUP($A2301,Load!$B:$B,Load!D:D,0,)</f>
        <v>0</v>
      </c>
      <c r="D2301">
        <f>_xlfn.XLOOKUP($A2301,Load!$B:$B,Load!E:E,0,)</f>
        <v>0</v>
      </c>
      <c r="E2301">
        <f>_xlfn.XLOOKUP($A2301,Load!$B:$B,Load!F:F,0,)</f>
        <v>0</v>
      </c>
      <c r="F2301">
        <f>_xlfn.XLOOKUP($A2301,Load!$B:$B,Load!G:G,0,)</f>
        <v>0</v>
      </c>
      <c r="G2301">
        <f>_xlfn.XLOOKUP($A2301,Load!$B:$B,Load!H:H,0,)</f>
        <v>0</v>
      </c>
      <c r="H2301">
        <f>_xlfn.XLOOKUP($A2301,Load!$B:$B,Load!I:I,0,)</f>
        <v>0</v>
      </c>
      <c r="I2301">
        <f>_xlfn.XLOOKUP($A2301,Load!$B:$B,Load!J:J,0,)</f>
        <v>0</v>
      </c>
      <c r="J2301">
        <f>_xlfn.XLOOKUP($A2301,Load!$B:$B,Load!K:K,0,)</f>
        <v>0</v>
      </c>
      <c r="K2301">
        <f>_xlfn.XLOOKUP($A2301,Load!$B:$B,Load!L:L,0,)</f>
        <v>0</v>
      </c>
      <c r="L2301">
        <f>_xlfn.XLOOKUP($A2301,Load!$B:$B,Load!M:M,0,)</f>
        <v>0</v>
      </c>
    </row>
    <row r="2302" spans="1:12" x14ac:dyDescent="0.25">
      <c r="B2302">
        <f>_xlfn.XLOOKUP($A2302,Load!$B:$B,Load!C:C,0,)</f>
        <v>0</v>
      </c>
      <c r="C2302">
        <f>_xlfn.XLOOKUP($A2302,Load!$B:$B,Load!D:D,0,)</f>
        <v>0</v>
      </c>
      <c r="D2302">
        <f>_xlfn.XLOOKUP($A2302,Load!$B:$B,Load!E:E,0,)</f>
        <v>0</v>
      </c>
      <c r="E2302">
        <f>_xlfn.XLOOKUP($A2302,Load!$B:$B,Load!F:F,0,)</f>
        <v>0</v>
      </c>
      <c r="F2302">
        <f>_xlfn.XLOOKUP($A2302,Load!$B:$B,Load!G:G,0,)</f>
        <v>0</v>
      </c>
      <c r="G2302">
        <f>_xlfn.XLOOKUP($A2302,Load!$B:$B,Load!H:H,0,)</f>
        <v>0</v>
      </c>
      <c r="H2302">
        <f>_xlfn.XLOOKUP($A2302,Load!$B:$B,Load!I:I,0,)</f>
        <v>0</v>
      </c>
      <c r="I2302">
        <f>_xlfn.XLOOKUP($A2302,Load!$B:$B,Load!J:J,0,)</f>
        <v>0</v>
      </c>
      <c r="J2302">
        <f>_xlfn.XLOOKUP($A2302,Load!$B:$B,Load!K:K,0,)</f>
        <v>0</v>
      </c>
      <c r="K2302">
        <f>_xlfn.XLOOKUP($A2302,Load!$B:$B,Load!L:L,0,)</f>
        <v>0</v>
      </c>
      <c r="L2302">
        <f>_xlfn.XLOOKUP($A2302,Load!$B:$B,Load!M:M,0,)</f>
        <v>0</v>
      </c>
    </row>
    <row r="2303" spans="1:12" x14ac:dyDescent="0.25">
      <c r="B2303">
        <f>_xlfn.XLOOKUP($A2303,Load!$B:$B,Load!C:C,0,)</f>
        <v>0</v>
      </c>
      <c r="C2303">
        <f>_xlfn.XLOOKUP($A2303,Load!$B:$B,Load!D:D,0,)</f>
        <v>0</v>
      </c>
      <c r="D2303">
        <f>_xlfn.XLOOKUP($A2303,Load!$B:$B,Load!E:E,0,)</f>
        <v>0</v>
      </c>
      <c r="E2303">
        <f>_xlfn.XLOOKUP($A2303,Load!$B:$B,Load!F:F,0,)</f>
        <v>0</v>
      </c>
      <c r="F2303">
        <f>_xlfn.XLOOKUP($A2303,Load!$B:$B,Load!G:G,0,)</f>
        <v>0</v>
      </c>
      <c r="G2303">
        <f>_xlfn.XLOOKUP($A2303,Load!$B:$B,Load!H:H,0,)</f>
        <v>0</v>
      </c>
      <c r="H2303">
        <f>_xlfn.XLOOKUP($A2303,Load!$B:$B,Load!I:I,0,)</f>
        <v>0</v>
      </c>
      <c r="I2303">
        <f>_xlfn.XLOOKUP($A2303,Load!$B:$B,Load!J:J,0,)</f>
        <v>0</v>
      </c>
      <c r="J2303">
        <f>_xlfn.XLOOKUP($A2303,Load!$B:$B,Load!K:K,0,)</f>
        <v>0</v>
      </c>
      <c r="K2303">
        <f>_xlfn.XLOOKUP($A2303,Load!$B:$B,Load!L:L,0,)</f>
        <v>0</v>
      </c>
      <c r="L2303">
        <f>_xlfn.XLOOKUP($A2303,Load!$B:$B,Load!M:M,0,)</f>
        <v>0</v>
      </c>
    </row>
    <row r="2304" spans="1:12" x14ac:dyDescent="0.25">
      <c r="B2304">
        <f>_xlfn.XLOOKUP($A2304,Load!$B:$B,Load!C:C,0,)</f>
        <v>0</v>
      </c>
      <c r="C2304">
        <f>_xlfn.XLOOKUP($A2304,Load!$B:$B,Load!D:D,0,)</f>
        <v>0</v>
      </c>
      <c r="D2304">
        <f>_xlfn.XLOOKUP($A2304,Load!$B:$B,Load!E:E,0,)</f>
        <v>0</v>
      </c>
      <c r="E2304">
        <f>_xlfn.XLOOKUP($A2304,Load!$B:$B,Load!F:F,0,)</f>
        <v>0</v>
      </c>
      <c r="F2304">
        <f>_xlfn.XLOOKUP($A2304,Load!$B:$B,Load!G:G,0,)</f>
        <v>0</v>
      </c>
      <c r="G2304">
        <f>_xlfn.XLOOKUP($A2304,Load!$B:$B,Load!H:H,0,)</f>
        <v>0</v>
      </c>
      <c r="H2304">
        <f>_xlfn.XLOOKUP($A2304,Load!$B:$B,Load!I:I,0,)</f>
        <v>0</v>
      </c>
      <c r="I2304">
        <f>_xlfn.XLOOKUP($A2304,Load!$B:$B,Load!J:J,0,)</f>
        <v>0</v>
      </c>
      <c r="J2304">
        <f>_xlfn.XLOOKUP($A2304,Load!$B:$B,Load!K:K,0,)</f>
        <v>0</v>
      </c>
      <c r="K2304">
        <f>_xlfn.XLOOKUP($A2304,Load!$B:$B,Load!L:L,0,)</f>
        <v>0</v>
      </c>
      <c r="L2304">
        <f>_xlfn.XLOOKUP($A2304,Load!$B:$B,Load!M:M,0,)</f>
        <v>0</v>
      </c>
    </row>
    <row r="2305" spans="1:12" x14ac:dyDescent="0.25">
      <c r="B2305">
        <f>_xlfn.XLOOKUP($A2305,Load!$B:$B,Load!C:C,0,)</f>
        <v>0</v>
      </c>
      <c r="C2305">
        <f>_xlfn.XLOOKUP($A2305,Load!$B:$B,Load!D:D,0,)</f>
        <v>0</v>
      </c>
      <c r="D2305">
        <f>_xlfn.XLOOKUP($A2305,Load!$B:$B,Load!E:E,0,)</f>
        <v>0</v>
      </c>
      <c r="E2305">
        <f>_xlfn.XLOOKUP($A2305,Load!$B:$B,Load!F:F,0,)</f>
        <v>0</v>
      </c>
      <c r="F2305">
        <f>_xlfn.XLOOKUP($A2305,Load!$B:$B,Load!G:G,0,)</f>
        <v>0</v>
      </c>
      <c r="G2305">
        <f>_xlfn.XLOOKUP($A2305,Load!$B:$B,Load!H:H,0,)</f>
        <v>0</v>
      </c>
      <c r="H2305">
        <f>_xlfn.XLOOKUP($A2305,Load!$B:$B,Load!I:I,0,)</f>
        <v>0</v>
      </c>
      <c r="I2305">
        <f>_xlfn.XLOOKUP($A2305,Load!$B:$B,Load!J:J,0,)</f>
        <v>0</v>
      </c>
      <c r="J2305">
        <f>_xlfn.XLOOKUP($A2305,Load!$B:$B,Load!K:K,0,)</f>
        <v>0</v>
      </c>
      <c r="K2305">
        <f>_xlfn.XLOOKUP($A2305,Load!$B:$B,Load!L:L,0,)</f>
        <v>0</v>
      </c>
      <c r="L2305">
        <f>_xlfn.XLOOKUP($A2305,Load!$B:$B,Load!M:M,0,)</f>
        <v>0</v>
      </c>
    </row>
    <row r="2306" spans="1:12" x14ac:dyDescent="0.25">
      <c r="B2306">
        <f>_xlfn.XLOOKUP($A2306,Load!$B:$B,Load!C:C,0,)</f>
        <v>0</v>
      </c>
      <c r="C2306">
        <f>_xlfn.XLOOKUP($A2306,Load!$B:$B,Load!D:D,0,)</f>
        <v>0</v>
      </c>
      <c r="D2306">
        <f>_xlfn.XLOOKUP($A2306,Load!$B:$B,Load!E:E,0,)</f>
        <v>0</v>
      </c>
      <c r="E2306">
        <f>_xlfn.XLOOKUP($A2306,Load!$B:$B,Load!F:F,0,)</f>
        <v>0</v>
      </c>
      <c r="F2306">
        <f>_xlfn.XLOOKUP($A2306,Load!$B:$B,Load!G:G,0,)</f>
        <v>0</v>
      </c>
      <c r="G2306">
        <f>_xlfn.XLOOKUP($A2306,Load!$B:$B,Load!H:H,0,)</f>
        <v>0</v>
      </c>
      <c r="H2306">
        <f>_xlfn.XLOOKUP($A2306,Load!$B:$B,Load!I:I,0,)</f>
        <v>0</v>
      </c>
      <c r="I2306">
        <f>_xlfn.XLOOKUP($A2306,Load!$B:$B,Load!J:J,0,)</f>
        <v>0</v>
      </c>
      <c r="J2306">
        <f>_xlfn.XLOOKUP($A2306,Load!$B:$B,Load!K:K,0,)</f>
        <v>0</v>
      </c>
      <c r="K2306">
        <f>_xlfn.XLOOKUP($A2306,Load!$B:$B,Load!L:L,0,)</f>
        <v>0</v>
      </c>
      <c r="L2306">
        <f>_xlfn.XLOOKUP($A2306,Load!$B:$B,Load!M:M,0,)</f>
        <v>0</v>
      </c>
    </row>
    <row r="2307" spans="1:12" x14ac:dyDescent="0.25">
      <c r="B2307">
        <f>_xlfn.XLOOKUP($A2307,Load!$B:$B,Load!C:C,0,)</f>
        <v>0</v>
      </c>
      <c r="C2307">
        <f>_xlfn.XLOOKUP($A2307,Load!$B:$B,Load!D:D,0,)</f>
        <v>0</v>
      </c>
      <c r="D2307">
        <f>_xlfn.XLOOKUP($A2307,Load!$B:$B,Load!E:E,0,)</f>
        <v>0</v>
      </c>
      <c r="E2307">
        <f>_xlfn.XLOOKUP($A2307,Load!$B:$B,Load!F:F,0,)</f>
        <v>0</v>
      </c>
      <c r="F2307">
        <f>_xlfn.XLOOKUP($A2307,Load!$B:$B,Load!G:G,0,)</f>
        <v>0</v>
      </c>
      <c r="G2307">
        <f>_xlfn.XLOOKUP($A2307,Load!$B:$B,Load!H:H,0,)</f>
        <v>0</v>
      </c>
      <c r="H2307">
        <f>_xlfn.XLOOKUP($A2307,Load!$B:$B,Load!I:I,0,)</f>
        <v>0</v>
      </c>
      <c r="I2307">
        <f>_xlfn.XLOOKUP($A2307,Load!$B:$B,Load!J:J,0,)</f>
        <v>0</v>
      </c>
      <c r="J2307">
        <f>_xlfn.XLOOKUP($A2307,Load!$B:$B,Load!K:K,0,)</f>
        <v>0</v>
      </c>
      <c r="K2307">
        <f>_xlfn.XLOOKUP($A2307,Load!$B:$B,Load!L:L,0,)</f>
        <v>0</v>
      </c>
      <c r="L2307">
        <f>_xlfn.XLOOKUP($A2307,Load!$B:$B,Load!M:M,0,)</f>
        <v>0</v>
      </c>
    </row>
    <row r="2308" spans="1:12" x14ac:dyDescent="0.25">
      <c r="A2308" t="s">
        <v>180</v>
      </c>
      <c r="B2308" t="str">
        <f>_xlfn.XLOOKUP($A2308,Load!$B:$B,Load!C:C,0,)</f>
        <v>Mars Variety Pack</v>
      </c>
      <c r="C2308" t="str">
        <f>_xlfn.XLOOKUP($A2308,Load!$B:$B,Load!D:D,0,)</f>
        <v>Mix of Chocolate and Non-Chocolate Candy</v>
      </c>
      <c r="D2308" t="str">
        <f>_xlfn.XLOOKUP($A2308,Load!$B:$B,Load!E:E,0,)</f>
        <v>Variety / Mixed Flavors (Fruity, Sour, Seasonal Flavors)</v>
      </c>
      <c r="E2308" t="str">
        <f>_xlfn.XLOOKUP($A2308,Load!$B:$B,Load!F:F,0,)</f>
        <v>Mixed / Combo Packs (Gummy, Chewy, Taffy, etc.)</v>
      </c>
      <c r="F2308" t="str">
        <f>_xlfn.XLOOKUP($A2308,Load!$B:$B,Load!G:G,0,)</f>
        <v>Large Multipack (More than 80 ct)</v>
      </c>
      <c r="G2308" t="str">
        <f>_xlfn.XLOOKUP($A2308,Load!$B:$B,Load!H:H,0,)</f>
        <v>Stand-Up Bag</v>
      </c>
      <c r="H2308" t="str">
        <f>_xlfn.XLOOKUP($A2308,Load!$B:$B,Load!I:I,0,)</f>
        <v>Everyday Candy Shapes (like Original, Gummy bear, Fruit, Jewels, etc.)</v>
      </c>
      <c r="I2308" t="str">
        <f>_xlfn.XLOOKUP($A2308,Load!$B:$B,Load!J:J,0,)</f>
        <v>Seasonal Graphics (Like Bat, Ghost, Pumpkin, Fall Leaves, Eyeballs, etc.)</v>
      </c>
      <c r="J2308" t="str">
        <f>_xlfn.XLOOKUP($A2308,Load!$B:$B,Load!K:K,0,)</f>
        <v>Fun Size / Treat Size</v>
      </c>
      <c r="K2308" t="str">
        <f>_xlfn.XLOOKUP($A2308,Load!$B:$B,Load!L:L,0,)</f>
        <v>Regular/Original Wrapping</v>
      </c>
      <c r="L2308" t="str">
        <f>_xlfn.XLOOKUP($A2308,Load!$B:$B,Load!M:M,0,)</f>
        <v>Multiple Brands / Variety Flavors or Form</v>
      </c>
    </row>
    <row r="2309" spans="1:12" x14ac:dyDescent="0.25">
      <c r="A2309" t="s">
        <v>188</v>
      </c>
      <c r="B2309" t="str">
        <f>_xlfn.XLOOKUP($A2309,Load!$B:$B,Load!C:C,0,)</f>
        <v>Mars Variety Pack</v>
      </c>
      <c r="C2309" t="str">
        <f>_xlfn.XLOOKUP($A2309,Load!$B:$B,Load!D:D,0,)</f>
        <v>Non-Chocolate Candy Only</v>
      </c>
      <c r="D2309" t="str">
        <f>_xlfn.XLOOKUP($A2309,Load!$B:$B,Load!E:E,0,)</f>
        <v>Variety / Mixed Flavors (Fruity, Sour, Seasonal Flavors)</v>
      </c>
      <c r="E2309" t="str">
        <f>_xlfn.XLOOKUP($A2309,Load!$B:$B,Load!F:F,0,)</f>
        <v>Mixed / Combo Packs (Gummy, Chewy, Taffy, etc.)</v>
      </c>
      <c r="F2309" t="str">
        <f>_xlfn.XLOOKUP($A2309,Load!$B:$B,Load!G:G,0,)</f>
        <v>Large Multipack (More than 80 ct)</v>
      </c>
      <c r="G2309" t="str">
        <f>_xlfn.XLOOKUP($A2309,Load!$B:$B,Load!H:H,0,)</f>
        <v>Laydown Bag</v>
      </c>
      <c r="H2309" t="str">
        <f>_xlfn.XLOOKUP($A2309,Load!$B:$B,Load!I:I,0,)</f>
        <v>Everyday Candy Shapes (like Original, Gummy bear, Fruit, Jewels, etc.)</v>
      </c>
      <c r="I2309" t="str">
        <f>_xlfn.XLOOKUP($A2309,Load!$B:$B,Load!J:J,0,)</f>
        <v>Everyday Graphics</v>
      </c>
      <c r="J2309" t="str">
        <f>_xlfn.XLOOKUP($A2309,Load!$B:$B,Load!K:K,0,)</f>
        <v>Small Pieces (Tiny bite size candies)</v>
      </c>
      <c r="K2309" t="str">
        <f>_xlfn.XLOOKUP($A2309,Load!$B:$B,Load!L:L,0,)</f>
        <v>Regular/Original Wrapping</v>
      </c>
      <c r="L2309" t="str">
        <f>_xlfn.XLOOKUP($A2309,Load!$B:$B,Load!M:M,0,)</f>
        <v>Multiple Brands / Variety Flavors or Form</v>
      </c>
    </row>
    <row r="2310" spans="1:12" x14ac:dyDescent="0.25">
      <c r="B2310">
        <f>_xlfn.XLOOKUP($A2310,Load!$B:$B,Load!C:C,0,)</f>
        <v>0</v>
      </c>
      <c r="C2310">
        <f>_xlfn.XLOOKUP($A2310,Load!$B:$B,Load!D:D,0,)</f>
        <v>0</v>
      </c>
      <c r="D2310">
        <f>_xlfn.XLOOKUP($A2310,Load!$B:$B,Load!E:E,0,)</f>
        <v>0</v>
      </c>
      <c r="E2310">
        <f>_xlfn.XLOOKUP($A2310,Load!$B:$B,Load!F:F,0,)</f>
        <v>0</v>
      </c>
      <c r="F2310">
        <f>_xlfn.XLOOKUP($A2310,Load!$B:$B,Load!G:G,0,)</f>
        <v>0</v>
      </c>
      <c r="G2310">
        <f>_xlfn.XLOOKUP($A2310,Load!$B:$B,Load!H:H,0,)</f>
        <v>0</v>
      </c>
      <c r="H2310">
        <f>_xlfn.XLOOKUP($A2310,Load!$B:$B,Load!I:I,0,)</f>
        <v>0</v>
      </c>
      <c r="I2310">
        <f>_xlfn.XLOOKUP($A2310,Load!$B:$B,Load!J:J,0,)</f>
        <v>0</v>
      </c>
      <c r="J2310">
        <f>_xlfn.XLOOKUP($A2310,Load!$B:$B,Load!K:K,0,)</f>
        <v>0</v>
      </c>
      <c r="K2310">
        <f>_xlfn.XLOOKUP($A2310,Load!$B:$B,Load!L:L,0,)</f>
        <v>0</v>
      </c>
      <c r="L2310">
        <f>_xlfn.XLOOKUP($A2310,Load!$B:$B,Load!M:M,0,)</f>
        <v>0</v>
      </c>
    </row>
    <row r="2311" spans="1:12" x14ac:dyDescent="0.25">
      <c r="B2311">
        <f>_xlfn.XLOOKUP($A2311,Load!$B:$B,Load!C:C,0,)</f>
        <v>0</v>
      </c>
      <c r="C2311">
        <f>_xlfn.XLOOKUP($A2311,Load!$B:$B,Load!D:D,0,)</f>
        <v>0</v>
      </c>
      <c r="D2311">
        <f>_xlfn.XLOOKUP($A2311,Load!$B:$B,Load!E:E,0,)</f>
        <v>0</v>
      </c>
      <c r="E2311">
        <f>_xlfn.XLOOKUP($A2311,Load!$B:$B,Load!F:F,0,)</f>
        <v>0</v>
      </c>
      <c r="F2311">
        <f>_xlfn.XLOOKUP($A2311,Load!$B:$B,Load!G:G,0,)</f>
        <v>0</v>
      </c>
      <c r="G2311">
        <f>_xlfn.XLOOKUP($A2311,Load!$B:$B,Load!H:H,0,)</f>
        <v>0</v>
      </c>
      <c r="H2311">
        <f>_xlfn.XLOOKUP($A2311,Load!$B:$B,Load!I:I,0,)</f>
        <v>0</v>
      </c>
      <c r="I2311">
        <f>_xlfn.XLOOKUP($A2311,Load!$B:$B,Load!J:J,0,)</f>
        <v>0</v>
      </c>
      <c r="J2311">
        <f>_xlfn.XLOOKUP($A2311,Load!$B:$B,Load!K:K,0,)</f>
        <v>0</v>
      </c>
      <c r="K2311">
        <f>_xlfn.XLOOKUP($A2311,Load!$B:$B,Load!L:L,0,)</f>
        <v>0</v>
      </c>
      <c r="L2311">
        <f>_xlfn.XLOOKUP($A2311,Load!$B:$B,Load!M:M,0,)</f>
        <v>0</v>
      </c>
    </row>
    <row r="2312" spans="1:12" x14ac:dyDescent="0.25">
      <c r="A2312" t="s">
        <v>179</v>
      </c>
      <c r="B2312" t="str">
        <f>_xlfn.XLOOKUP($A2312,Load!$B:$B,Load!C:C,0,)</f>
        <v>Mars Variety Pack</v>
      </c>
      <c r="C2312" t="str">
        <f>_xlfn.XLOOKUP($A2312,Load!$B:$B,Load!D:D,0,)</f>
        <v>Non-Chocolate Candy Only</v>
      </c>
      <c r="D2312" t="str">
        <f>_xlfn.XLOOKUP($A2312,Load!$B:$B,Load!E:E,0,)</f>
        <v>Variety / Mixed Flavors (Fruity, Sour, Seasonal Flavors)</v>
      </c>
      <c r="E2312" t="str">
        <f>_xlfn.XLOOKUP($A2312,Load!$B:$B,Load!F:F,0,)</f>
        <v>Mixed / Combo Packs (Gummy, Chewy, Taffy, etc.)</v>
      </c>
      <c r="F2312" t="str">
        <f>_xlfn.XLOOKUP($A2312,Load!$B:$B,Load!G:G,0,)</f>
        <v>Medium Multipack (40–80 ct)</v>
      </c>
      <c r="G2312" t="str">
        <f>_xlfn.XLOOKUP($A2312,Load!$B:$B,Load!H:H,0,)</f>
        <v>Stand-Up Bag</v>
      </c>
      <c r="H2312" t="str">
        <f>_xlfn.XLOOKUP($A2312,Load!$B:$B,Load!I:I,0,)</f>
        <v>Everyday Candy Shapes (like Original, Gummy bear, Fruit, Jewels, etc.)</v>
      </c>
      <c r="I2312" t="str">
        <f>_xlfn.XLOOKUP($A2312,Load!$B:$B,Load!J:J,0,)</f>
        <v>Seasonal Graphics (Like Bat, Ghost, Pumpkin, Fall Leaves, Eyeballs, etc.)</v>
      </c>
      <c r="J2312" t="str">
        <f>_xlfn.XLOOKUP($A2312,Load!$B:$B,Load!K:K,0,)</f>
        <v>Fun Size / Treat Size</v>
      </c>
      <c r="K2312" t="str">
        <f>_xlfn.XLOOKUP($A2312,Load!$B:$B,Load!L:L,0,)</f>
        <v>Regular/Original Wrapping</v>
      </c>
      <c r="L2312" t="str">
        <f>_xlfn.XLOOKUP($A2312,Load!$B:$B,Load!M:M,0,)</f>
        <v>Multiple Brands / Variety Flavors or Form</v>
      </c>
    </row>
    <row r="2313" spans="1:12" x14ac:dyDescent="0.25">
      <c r="A2313" t="s">
        <v>213</v>
      </c>
      <c r="B2313" t="str">
        <f>_xlfn.XLOOKUP($A2313,Load!$B:$B,Load!C:C,0,)</f>
        <v>Mars Variety Pack</v>
      </c>
      <c r="C2313" t="str">
        <f>_xlfn.XLOOKUP($A2313,Load!$B:$B,Load!D:D,0,)</f>
        <v>Mix of Chocolate and Non-Chocolate Candy</v>
      </c>
      <c r="D2313" t="str">
        <f>_xlfn.XLOOKUP($A2313,Load!$B:$B,Load!E:E,0,)</f>
        <v>Variety / Mixed Flavors (Fruity, Sour, Seasonal Flavors)</v>
      </c>
      <c r="E2313" t="str">
        <f>_xlfn.XLOOKUP($A2313,Load!$B:$B,Load!F:F,0,)</f>
        <v>Mixed / Combo Packs (Gummy, Chewy, Taffy, etc.)</v>
      </c>
      <c r="F2313" t="str">
        <f>_xlfn.XLOOKUP($A2313,Load!$B:$B,Load!G:G,0,)</f>
        <v>Medium Multipack (40–80 ct)</v>
      </c>
      <c r="G2313" t="str">
        <f>_xlfn.XLOOKUP($A2313,Load!$B:$B,Load!H:H,0,)</f>
        <v>Stand-Up Bag</v>
      </c>
      <c r="H2313" t="str">
        <f>_xlfn.XLOOKUP($A2313,Load!$B:$B,Load!I:I,0,)</f>
        <v>Everyday Candy Shapes (like Original, Gummy bear, Fruit, Jewels, etc.)</v>
      </c>
      <c r="I2313" t="str">
        <f>_xlfn.XLOOKUP($A2313,Load!$B:$B,Load!J:J,0,)</f>
        <v>Seasonal Graphics (Like Bat, Ghost, Pumpkin, Fall Leaves, Eyeballs, etc.)</v>
      </c>
      <c r="J2313" t="str">
        <f>_xlfn.XLOOKUP($A2313,Load!$B:$B,Load!K:K,0,)</f>
        <v>Fun Size / Treat Size</v>
      </c>
      <c r="K2313" t="str">
        <f>_xlfn.XLOOKUP($A2313,Load!$B:$B,Load!L:L,0,)</f>
        <v>Regular/Original Wrapping</v>
      </c>
      <c r="L2313" t="str">
        <f>_xlfn.XLOOKUP($A2313,Load!$B:$B,Load!M:M,0,)</f>
        <v>Multiple Brands / Variety Flavors or Form</v>
      </c>
    </row>
    <row r="2314" spans="1:12" x14ac:dyDescent="0.25">
      <c r="A2314" t="s">
        <v>285</v>
      </c>
      <c r="B2314" t="str">
        <f>_xlfn.XLOOKUP($A2314,Load!$B:$B,Load!C:C,0,)</f>
        <v>Starburst</v>
      </c>
      <c r="C2314" t="str">
        <f>_xlfn.XLOOKUP($A2314,Load!$B:$B,Load!D:D,0,)</f>
        <v>Non-Chocolate Candy Only</v>
      </c>
      <c r="D2314" t="str">
        <f>_xlfn.XLOOKUP($A2314,Load!$B:$B,Load!E:E,0,)</f>
        <v>Fruit Flavor (Cherry, Grape, Apple, Citrus, Tropical Fruit)</v>
      </c>
      <c r="E2314" t="str">
        <f>_xlfn.XLOOKUP($A2314,Load!$B:$B,Load!F:F,0,)</f>
        <v>Chewy</v>
      </c>
      <c r="F2314" t="str">
        <f>_xlfn.XLOOKUP($A2314,Load!$B:$B,Load!G:G,0,)</f>
        <v>Small Multipack (Less than 40 ct)</v>
      </c>
      <c r="G2314" t="str">
        <f>_xlfn.XLOOKUP($A2314,Load!$B:$B,Load!H:H,0,)</f>
        <v>Laydown Bag</v>
      </c>
      <c r="H2314" t="str">
        <f>_xlfn.XLOOKUP($A2314,Load!$B:$B,Load!I:I,0,)</f>
        <v>Everyday Candy Shapes (like Original, Gummy bear, Fruit, Jewels, etc.)</v>
      </c>
      <c r="I2314" t="str">
        <f>_xlfn.XLOOKUP($A2314,Load!$B:$B,Load!J:J,0,)</f>
        <v>Everyday Graphics</v>
      </c>
      <c r="J2314" t="str">
        <f>_xlfn.XLOOKUP($A2314,Load!$B:$B,Load!K:K,0,)</f>
        <v>Small Pieces (Tiny bite size candies)</v>
      </c>
      <c r="K2314" t="str">
        <f>_xlfn.XLOOKUP($A2314,Load!$B:$B,Load!L:L,0,)</f>
        <v>Regular/Original Wrapping</v>
      </c>
      <c r="L2314" t="str">
        <f>_xlfn.XLOOKUP($A2314,Load!$B:$B,Load!M:M,0,)</f>
        <v>Single Brand / Variety Flavors or Form</v>
      </c>
    </row>
    <row r="2315" spans="1:12" x14ac:dyDescent="0.25">
      <c r="B2315">
        <f>_xlfn.XLOOKUP($A2315,Load!$B:$B,Load!C:C,0,)</f>
        <v>0</v>
      </c>
      <c r="C2315">
        <f>_xlfn.XLOOKUP($A2315,Load!$B:$B,Load!D:D,0,)</f>
        <v>0</v>
      </c>
      <c r="D2315">
        <f>_xlfn.XLOOKUP($A2315,Load!$B:$B,Load!E:E,0,)</f>
        <v>0</v>
      </c>
      <c r="E2315">
        <f>_xlfn.XLOOKUP($A2315,Load!$B:$B,Load!F:F,0,)</f>
        <v>0</v>
      </c>
      <c r="F2315">
        <f>_xlfn.XLOOKUP($A2315,Load!$B:$B,Load!G:G,0,)</f>
        <v>0</v>
      </c>
      <c r="G2315">
        <f>_xlfn.XLOOKUP($A2315,Load!$B:$B,Load!H:H,0,)</f>
        <v>0</v>
      </c>
      <c r="H2315">
        <f>_xlfn.XLOOKUP($A2315,Load!$B:$B,Load!I:I,0,)</f>
        <v>0</v>
      </c>
      <c r="I2315">
        <f>_xlfn.XLOOKUP($A2315,Load!$B:$B,Load!J:J,0,)</f>
        <v>0</v>
      </c>
      <c r="J2315">
        <f>_xlfn.XLOOKUP($A2315,Load!$B:$B,Load!K:K,0,)</f>
        <v>0</v>
      </c>
      <c r="K2315">
        <f>_xlfn.XLOOKUP($A2315,Load!$B:$B,Load!L:L,0,)</f>
        <v>0</v>
      </c>
      <c r="L2315">
        <f>_xlfn.XLOOKUP($A2315,Load!$B:$B,Load!M:M,0,)</f>
        <v>0</v>
      </c>
    </row>
    <row r="2316" spans="1:12" x14ac:dyDescent="0.25">
      <c r="B2316">
        <f>_xlfn.XLOOKUP($A2316,Load!$B:$B,Load!C:C,0,)</f>
        <v>0</v>
      </c>
      <c r="C2316">
        <f>_xlfn.XLOOKUP($A2316,Load!$B:$B,Load!D:D,0,)</f>
        <v>0</v>
      </c>
      <c r="D2316">
        <f>_xlfn.XLOOKUP($A2316,Load!$B:$B,Load!E:E,0,)</f>
        <v>0</v>
      </c>
      <c r="E2316">
        <f>_xlfn.XLOOKUP($A2316,Load!$B:$B,Load!F:F,0,)</f>
        <v>0</v>
      </c>
      <c r="F2316">
        <f>_xlfn.XLOOKUP($A2316,Load!$B:$B,Load!G:G,0,)</f>
        <v>0</v>
      </c>
      <c r="G2316">
        <f>_xlfn.XLOOKUP($A2316,Load!$B:$B,Load!H:H,0,)</f>
        <v>0</v>
      </c>
      <c r="H2316">
        <f>_xlfn.XLOOKUP($A2316,Load!$B:$B,Load!I:I,0,)</f>
        <v>0</v>
      </c>
      <c r="I2316">
        <f>_xlfn.XLOOKUP($A2316,Load!$B:$B,Load!J:J,0,)</f>
        <v>0</v>
      </c>
      <c r="J2316">
        <f>_xlfn.XLOOKUP($A2316,Load!$B:$B,Load!K:K,0,)</f>
        <v>0</v>
      </c>
      <c r="K2316">
        <f>_xlfn.XLOOKUP($A2316,Load!$B:$B,Load!L:L,0,)</f>
        <v>0</v>
      </c>
      <c r="L2316">
        <f>_xlfn.XLOOKUP($A2316,Load!$B:$B,Load!M:M,0,)</f>
        <v>0</v>
      </c>
    </row>
    <row r="2317" spans="1:12" x14ac:dyDescent="0.25">
      <c r="B2317">
        <f>_xlfn.XLOOKUP($A2317,Load!$B:$B,Load!C:C,0,)</f>
        <v>0</v>
      </c>
      <c r="C2317">
        <f>_xlfn.XLOOKUP($A2317,Load!$B:$B,Load!D:D,0,)</f>
        <v>0</v>
      </c>
      <c r="D2317">
        <f>_xlfn.XLOOKUP($A2317,Load!$B:$B,Load!E:E,0,)</f>
        <v>0</v>
      </c>
      <c r="E2317">
        <f>_xlfn.XLOOKUP($A2317,Load!$B:$B,Load!F:F,0,)</f>
        <v>0</v>
      </c>
      <c r="F2317">
        <f>_xlfn.XLOOKUP($A2317,Load!$B:$B,Load!G:G,0,)</f>
        <v>0</v>
      </c>
      <c r="G2317">
        <f>_xlfn.XLOOKUP($A2317,Load!$B:$B,Load!H:H,0,)</f>
        <v>0</v>
      </c>
      <c r="H2317">
        <f>_xlfn.XLOOKUP($A2317,Load!$B:$B,Load!I:I,0,)</f>
        <v>0</v>
      </c>
      <c r="I2317">
        <f>_xlfn.XLOOKUP($A2317,Load!$B:$B,Load!J:J,0,)</f>
        <v>0</v>
      </c>
      <c r="J2317">
        <f>_xlfn.XLOOKUP($A2317,Load!$B:$B,Load!K:K,0,)</f>
        <v>0</v>
      </c>
      <c r="K2317">
        <f>_xlfn.XLOOKUP($A2317,Load!$B:$B,Load!L:L,0,)</f>
        <v>0</v>
      </c>
      <c r="L2317">
        <f>_xlfn.XLOOKUP($A2317,Load!$B:$B,Load!M:M,0,)</f>
        <v>0</v>
      </c>
    </row>
    <row r="2318" spans="1:12" x14ac:dyDescent="0.25">
      <c r="B2318">
        <f>_xlfn.XLOOKUP($A2318,Load!$B:$B,Load!C:C,0,)</f>
        <v>0</v>
      </c>
      <c r="C2318">
        <f>_xlfn.XLOOKUP($A2318,Load!$B:$B,Load!D:D,0,)</f>
        <v>0</v>
      </c>
      <c r="D2318">
        <f>_xlfn.XLOOKUP($A2318,Load!$B:$B,Load!E:E,0,)</f>
        <v>0</v>
      </c>
      <c r="E2318">
        <f>_xlfn.XLOOKUP($A2318,Load!$B:$B,Load!F:F,0,)</f>
        <v>0</v>
      </c>
      <c r="F2318">
        <f>_xlfn.XLOOKUP($A2318,Load!$B:$B,Load!G:G,0,)</f>
        <v>0</v>
      </c>
      <c r="G2318">
        <f>_xlfn.XLOOKUP($A2318,Load!$B:$B,Load!H:H,0,)</f>
        <v>0</v>
      </c>
      <c r="H2318">
        <f>_xlfn.XLOOKUP($A2318,Load!$B:$B,Load!I:I,0,)</f>
        <v>0</v>
      </c>
      <c r="I2318">
        <f>_xlfn.XLOOKUP($A2318,Load!$B:$B,Load!J:J,0,)</f>
        <v>0</v>
      </c>
      <c r="J2318">
        <f>_xlfn.XLOOKUP($A2318,Load!$B:$B,Load!K:K,0,)</f>
        <v>0</v>
      </c>
      <c r="K2318">
        <f>_xlfn.XLOOKUP($A2318,Load!$B:$B,Load!L:L,0,)</f>
        <v>0</v>
      </c>
      <c r="L2318">
        <f>_xlfn.XLOOKUP($A2318,Load!$B:$B,Load!M:M,0,)</f>
        <v>0</v>
      </c>
    </row>
    <row r="2319" spans="1:12" x14ac:dyDescent="0.25">
      <c r="B2319">
        <f>_xlfn.XLOOKUP($A2319,Load!$B:$B,Load!C:C,0,)</f>
        <v>0</v>
      </c>
      <c r="C2319">
        <f>_xlfn.XLOOKUP($A2319,Load!$B:$B,Load!D:D,0,)</f>
        <v>0</v>
      </c>
      <c r="D2319">
        <f>_xlfn.XLOOKUP($A2319,Load!$B:$B,Load!E:E,0,)</f>
        <v>0</v>
      </c>
      <c r="E2319">
        <f>_xlfn.XLOOKUP($A2319,Load!$B:$B,Load!F:F,0,)</f>
        <v>0</v>
      </c>
      <c r="F2319">
        <f>_xlfn.XLOOKUP($A2319,Load!$B:$B,Load!G:G,0,)</f>
        <v>0</v>
      </c>
      <c r="G2319">
        <f>_xlfn.XLOOKUP($A2319,Load!$B:$B,Load!H:H,0,)</f>
        <v>0</v>
      </c>
      <c r="H2319">
        <f>_xlfn.XLOOKUP($A2319,Load!$B:$B,Load!I:I,0,)</f>
        <v>0</v>
      </c>
      <c r="I2319">
        <f>_xlfn.XLOOKUP($A2319,Load!$B:$B,Load!J:J,0,)</f>
        <v>0</v>
      </c>
      <c r="J2319">
        <f>_xlfn.XLOOKUP($A2319,Load!$B:$B,Load!K:K,0,)</f>
        <v>0</v>
      </c>
      <c r="K2319">
        <f>_xlfn.XLOOKUP($A2319,Load!$B:$B,Load!L:L,0,)</f>
        <v>0</v>
      </c>
      <c r="L2319">
        <f>_xlfn.XLOOKUP($A2319,Load!$B:$B,Load!M:M,0,)</f>
        <v>0</v>
      </c>
    </row>
    <row r="2320" spans="1:12" x14ac:dyDescent="0.25">
      <c r="B2320">
        <f>_xlfn.XLOOKUP($A2320,Load!$B:$B,Load!C:C,0,)</f>
        <v>0</v>
      </c>
      <c r="C2320">
        <f>_xlfn.XLOOKUP($A2320,Load!$B:$B,Load!D:D,0,)</f>
        <v>0</v>
      </c>
      <c r="D2320">
        <f>_xlfn.XLOOKUP($A2320,Load!$B:$B,Load!E:E,0,)</f>
        <v>0</v>
      </c>
      <c r="E2320">
        <f>_xlfn.XLOOKUP($A2320,Load!$B:$B,Load!F:F,0,)</f>
        <v>0</v>
      </c>
      <c r="F2320">
        <f>_xlfn.XLOOKUP($A2320,Load!$B:$B,Load!G:G,0,)</f>
        <v>0</v>
      </c>
      <c r="G2320">
        <f>_xlfn.XLOOKUP($A2320,Load!$B:$B,Load!H:H,0,)</f>
        <v>0</v>
      </c>
      <c r="H2320">
        <f>_xlfn.XLOOKUP($A2320,Load!$B:$B,Load!I:I,0,)</f>
        <v>0</v>
      </c>
      <c r="I2320">
        <f>_xlfn.XLOOKUP($A2320,Load!$B:$B,Load!J:J,0,)</f>
        <v>0</v>
      </c>
      <c r="J2320">
        <f>_xlfn.XLOOKUP($A2320,Load!$B:$B,Load!K:K,0,)</f>
        <v>0</v>
      </c>
      <c r="K2320">
        <f>_xlfn.XLOOKUP($A2320,Load!$B:$B,Load!L:L,0,)</f>
        <v>0</v>
      </c>
      <c r="L2320">
        <f>_xlfn.XLOOKUP($A2320,Load!$B:$B,Load!M:M,0,)</f>
        <v>0</v>
      </c>
    </row>
    <row r="2321" spans="1:12" x14ac:dyDescent="0.25">
      <c r="B2321">
        <f>_xlfn.XLOOKUP($A2321,Load!$B:$B,Load!C:C,0,)</f>
        <v>0</v>
      </c>
      <c r="C2321">
        <f>_xlfn.XLOOKUP($A2321,Load!$B:$B,Load!D:D,0,)</f>
        <v>0</v>
      </c>
      <c r="D2321">
        <f>_xlfn.XLOOKUP($A2321,Load!$B:$B,Load!E:E,0,)</f>
        <v>0</v>
      </c>
      <c r="E2321">
        <f>_xlfn.XLOOKUP($A2321,Load!$B:$B,Load!F:F,0,)</f>
        <v>0</v>
      </c>
      <c r="F2321">
        <f>_xlfn.XLOOKUP($A2321,Load!$B:$B,Load!G:G,0,)</f>
        <v>0</v>
      </c>
      <c r="G2321">
        <f>_xlfn.XLOOKUP($A2321,Load!$B:$B,Load!H:H,0,)</f>
        <v>0</v>
      </c>
      <c r="H2321">
        <f>_xlfn.XLOOKUP($A2321,Load!$B:$B,Load!I:I,0,)</f>
        <v>0</v>
      </c>
      <c r="I2321">
        <f>_xlfn.XLOOKUP($A2321,Load!$B:$B,Load!J:J,0,)</f>
        <v>0</v>
      </c>
      <c r="J2321">
        <f>_xlfn.XLOOKUP($A2321,Load!$B:$B,Load!K:K,0,)</f>
        <v>0</v>
      </c>
      <c r="K2321">
        <f>_xlfn.XLOOKUP($A2321,Load!$B:$B,Load!L:L,0,)</f>
        <v>0</v>
      </c>
      <c r="L2321">
        <f>_xlfn.XLOOKUP($A2321,Load!$B:$B,Load!M:M,0,)</f>
        <v>0</v>
      </c>
    </row>
    <row r="2322" spans="1:12" x14ac:dyDescent="0.25">
      <c r="B2322">
        <f>_xlfn.XLOOKUP($A2322,Load!$B:$B,Load!C:C,0,)</f>
        <v>0</v>
      </c>
      <c r="C2322">
        <f>_xlfn.XLOOKUP($A2322,Load!$B:$B,Load!D:D,0,)</f>
        <v>0</v>
      </c>
      <c r="D2322">
        <f>_xlfn.XLOOKUP($A2322,Load!$B:$B,Load!E:E,0,)</f>
        <v>0</v>
      </c>
      <c r="E2322">
        <f>_xlfn.XLOOKUP($A2322,Load!$B:$B,Load!F:F,0,)</f>
        <v>0</v>
      </c>
      <c r="F2322">
        <f>_xlfn.XLOOKUP($A2322,Load!$B:$B,Load!G:G,0,)</f>
        <v>0</v>
      </c>
      <c r="G2322">
        <f>_xlfn.XLOOKUP($A2322,Load!$B:$B,Load!H:H,0,)</f>
        <v>0</v>
      </c>
      <c r="H2322">
        <f>_xlfn.XLOOKUP($A2322,Load!$B:$B,Load!I:I,0,)</f>
        <v>0</v>
      </c>
      <c r="I2322">
        <f>_xlfn.XLOOKUP($A2322,Load!$B:$B,Load!J:J,0,)</f>
        <v>0</v>
      </c>
      <c r="J2322">
        <f>_xlfn.XLOOKUP($A2322,Load!$B:$B,Load!K:K,0,)</f>
        <v>0</v>
      </c>
      <c r="K2322">
        <f>_xlfn.XLOOKUP($A2322,Load!$B:$B,Load!L:L,0,)</f>
        <v>0</v>
      </c>
      <c r="L2322">
        <f>_xlfn.XLOOKUP($A2322,Load!$B:$B,Load!M:M,0,)</f>
        <v>0</v>
      </c>
    </row>
    <row r="2323" spans="1:12" x14ac:dyDescent="0.25">
      <c r="B2323">
        <f>_xlfn.XLOOKUP($A2323,Load!$B:$B,Load!C:C,0,)</f>
        <v>0</v>
      </c>
      <c r="C2323">
        <f>_xlfn.XLOOKUP($A2323,Load!$B:$B,Load!D:D,0,)</f>
        <v>0</v>
      </c>
      <c r="D2323">
        <f>_xlfn.XLOOKUP($A2323,Load!$B:$B,Load!E:E,0,)</f>
        <v>0</v>
      </c>
      <c r="E2323">
        <f>_xlfn.XLOOKUP($A2323,Load!$B:$B,Load!F:F,0,)</f>
        <v>0</v>
      </c>
      <c r="F2323">
        <f>_xlfn.XLOOKUP($A2323,Load!$B:$B,Load!G:G,0,)</f>
        <v>0</v>
      </c>
      <c r="G2323">
        <f>_xlfn.XLOOKUP($A2323,Load!$B:$B,Load!H:H,0,)</f>
        <v>0</v>
      </c>
      <c r="H2323">
        <f>_xlfn.XLOOKUP($A2323,Load!$B:$B,Load!I:I,0,)</f>
        <v>0</v>
      </c>
      <c r="I2323">
        <f>_xlfn.XLOOKUP($A2323,Load!$B:$B,Load!J:J,0,)</f>
        <v>0</v>
      </c>
      <c r="J2323">
        <f>_xlfn.XLOOKUP($A2323,Load!$B:$B,Load!K:K,0,)</f>
        <v>0</v>
      </c>
      <c r="K2323">
        <f>_xlfn.XLOOKUP($A2323,Load!$B:$B,Load!L:L,0,)</f>
        <v>0</v>
      </c>
      <c r="L2323">
        <f>_xlfn.XLOOKUP($A2323,Load!$B:$B,Load!M:M,0,)</f>
        <v>0</v>
      </c>
    </row>
    <row r="2324" spans="1:12" x14ac:dyDescent="0.25">
      <c r="B2324">
        <f>_xlfn.XLOOKUP($A2324,Load!$B:$B,Load!C:C,0,)</f>
        <v>0</v>
      </c>
      <c r="C2324">
        <f>_xlfn.XLOOKUP($A2324,Load!$B:$B,Load!D:D,0,)</f>
        <v>0</v>
      </c>
      <c r="D2324">
        <f>_xlfn.XLOOKUP($A2324,Load!$B:$B,Load!E:E,0,)</f>
        <v>0</v>
      </c>
      <c r="E2324">
        <f>_xlfn.XLOOKUP($A2324,Load!$B:$B,Load!F:F,0,)</f>
        <v>0</v>
      </c>
      <c r="F2324">
        <f>_xlfn.XLOOKUP($A2324,Load!$B:$B,Load!G:G,0,)</f>
        <v>0</v>
      </c>
      <c r="G2324">
        <f>_xlfn.XLOOKUP($A2324,Load!$B:$B,Load!H:H,0,)</f>
        <v>0</v>
      </c>
      <c r="H2324">
        <f>_xlfn.XLOOKUP($A2324,Load!$B:$B,Load!I:I,0,)</f>
        <v>0</v>
      </c>
      <c r="I2324">
        <f>_xlfn.XLOOKUP($A2324,Load!$B:$B,Load!J:J,0,)</f>
        <v>0</v>
      </c>
      <c r="J2324">
        <f>_xlfn.XLOOKUP($A2324,Load!$B:$B,Load!K:K,0,)</f>
        <v>0</v>
      </c>
      <c r="K2324">
        <f>_xlfn.XLOOKUP($A2324,Load!$B:$B,Load!L:L,0,)</f>
        <v>0</v>
      </c>
      <c r="L2324">
        <f>_xlfn.XLOOKUP($A2324,Load!$B:$B,Load!M:M,0,)</f>
        <v>0</v>
      </c>
    </row>
    <row r="2325" spans="1:12" x14ac:dyDescent="0.25">
      <c r="B2325">
        <f>_xlfn.XLOOKUP($A2325,Load!$B:$B,Load!C:C,0,)</f>
        <v>0</v>
      </c>
      <c r="C2325">
        <f>_xlfn.XLOOKUP($A2325,Load!$B:$B,Load!D:D,0,)</f>
        <v>0</v>
      </c>
      <c r="D2325">
        <f>_xlfn.XLOOKUP($A2325,Load!$B:$B,Load!E:E,0,)</f>
        <v>0</v>
      </c>
      <c r="E2325">
        <f>_xlfn.XLOOKUP($A2325,Load!$B:$B,Load!F:F,0,)</f>
        <v>0</v>
      </c>
      <c r="F2325">
        <f>_xlfn.XLOOKUP($A2325,Load!$B:$B,Load!G:G,0,)</f>
        <v>0</v>
      </c>
      <c r="G2325">
        <f>_xlfn.XLOOKUP($A2325,Load!$B:$B,Load!H:H,0,)</f>
        <v>0</v>
      </c>
      <c r="H2325">
        <f>_xlfn.XLOOKUP($A2325,Load!$B:$B,Load!I:I,0,)</f>
        <v>0</v>
      </c>
      <c r="I2325">
        <f>_xlfn.XLOOKUP($A2325,Load!$B:$B,Load!J:J,0,)</f>
        <v>0</v>
      </c>
      <c r="J2325">
        <f>_xlfn.XLOOKUP($A2325,Load!$B:$B,Load!K:K,0,)</f>
        <v>0</v>
      </c>
      <c r="K2325">
        <f>_xlfn.XLOOKUP($A2325,Load!$B:$B,Load!L:L,0,)</f>
        <v>0</v>
      </c>
      <c r="L2325">
        <f>_xlfn.XLOOKUP($A2325,Load!$B:$B,Load!M:M,0,)</f>
        <v>0</v>
      </c>
    </row>
    <row r="2326" spans="1:12" x14ac:dyDescent="0.25">
      <c r="A2326" t="s">
        <v>65</v>
      </c>
      <c r="B2326" t="str">
        <f>_xlfn.XLOOKUP($A2326,Load!$B:$B,Load!C:C,0,)</f>
        <v>Dots</v>
      </c>
      <c r="C2326" t="str">
        <f>_xlfn.XLOOKUP($A2326,Load!$B:$B,Load!D:D,0,)</f>
        <v>Non-Chocolate Candy Only</v>
      </c>
      <c r="D2326" t="str">
        <f>_xlfn.XLOOKUP($A2326,Load!$B:$B,Load!E:E,0,)</f>
        <v>Variety / Mixed Flavors (Fruity, Sour, Seasonal Flavors)</v>
      </c>
      <c r="E2326" t="str">
        <f>_xlfn.XLOOKUP($A2326,Load!$B:$B,Load!F:F,0,)</f>
        <v>Candy Pieces / Bites</v>
      </c>
      <c r="F2326" t="str">
        <f>_xlfn.XLOOKUP($A2326,Load!$B:$B,Load!G:G,0,)</f>
        <v>Medium Multipack (40–80 ct)</v>
      </c>
      <c r="G2326" t="str">
        <f>_xlfn.XLOOKUP($A2326,Load!$B:$B,Load!H:H,0,)</f>
        <v>Box (theatre box, gift box, carton)</v>
      </c>
      <c r="H2326" t="str">
        <f>_xlfn.XLOOKUP($A2326,Load!$B:$B,Load!I:I,0,)</f>
        <v>Seasonal Shapes (like pumpkins, candy corn, ghost, bats, etc.)</v>
      </c>
      <c r="I2326" t="str">
        <f>_xlfn.XLOOKUP($A2326,Load!$B:$B,Load!J:J,0,)</f>
        <v>Seasonal Graphics (Like Bat, Ghost, Pumpkin, Fall Leaves, Eyeballs, etc.)</v>
      </c>
      <c r="J2326" t="str">
        <f>_xlfn.XLOOKUP($A2326,Load!$B:$B,Load!K:K,0,)</f>
        <v>Fun Size / Treat Size</v>
      </c>
      <c r="K2326" t="str">
        <f>_xlfn.XLOOKUP($A2326,Load!$B:$B,Load!L:L,0,)</f>
        <v>Regular/Original Wrapping</v>
      </c>
      <c r="L2326" t="str">
        <f>_xlfn.XLOOKUP($A2326,Load!$B:$B,Load!M:M,0,)</f>
        <v>Single Brand / Variety Flavors or Form</v>
      </c>
    </row>
    <row r="2327" spans="1:12" x14ac:dyDescent="0.25">
      <c r="B2327">
        <f>_xlfn.XLOOKUP($A2327,Load!$B:$B,Load!C:C,0,)</f>
        <v>0</v>
      </c>
      <c r="C2327">
        <f>_xlfn.XLOOKUP($A2327,Load!$B:$B,Load!D:D,0,)</f>
        <v>0</v>
      </c>
      <c r="D2327">
        <f>_xlfn.XLOOKUP($A2327,Load!$B:$B,Load!E:E,0,)</f>
        <v>0</v>
      </c>
      <c r="E2327">
        <f>_xlfn.XLOOKUP($A2327,Load!$B:$B,Load!F:F,0,)</f>
        <v>0</v>
      </c>
      <c r="F2327">
        <f>_xlfn.XLOOKUP($A2327,Load!$B:$B,Load!G:G,0,)</f>
        <v>0</v>
      </c>
      <c r="G2327">
        <f>_xlfn.XLOOKUP($A2327,Load!$B:$B,Load!H:H,0,)</f>
        <v>0</v>
      </c>
      <c r="H2327">
        <f>_xlfn.XLOOKUP($A2327,Load!$B:$B,Load!I:I,0,)</f>
        <v>0</v>
      </c>
      <c r="I2327">
        <f>_xlfn.XLOOKUP($A2327,Load!$B:$B,Load!J:J,0,)</f>
        <v>0</v>
      </c>
      <c r="J2327">
        <f>_xlfn.XLOOKUP($A2327,Load!$B:$B,Load!K:K,0,)</f>
        <v>0</v>
      </c>
      <c r="K2327">
        <f>_xlfn.XLOOKUP($A2327,Load!$B:$B,Load!L:L,0,)</f>
        <v>0</v>
      </c>
      <c r="L2327">
        <f>_xlfn.XLOOKUP($A2327,Load!$B:$B,Load!M:M,0,)</f>
        <v>0</v>
      </c>
    </row>
    <row r="2328" spans="1:12" x14ac:dyDescent="0.25">
      <c r="A2328" t="s">
        <v>258</v>
      </c>
      <c r="B2328" t="str">
        <f>_xlfn.XLOOKUP($A2328,Load!$B:$B,Load!C:C,0,)</f>
        <v>Skittles</v>
      </c>
      <c r="C2328" t="str">
        <f>_xlfn.XLOOKUP($A2328,Load!$B:$B,Load!D:D,0,)</f>
        <v>Non-Chocolate Candy Only</v>
      </c>
      <c r="D2328" t="str">
        <f>_xlfn.XLOOKUP($A2328,Load!$B:$B,Load!E:E,0,)</f>
        <v>Variety / Mixed Flavors (Fruity, Sour, Seasonal Flavors)</v>
      </c>
      <c r="E2328" t="str">
        <f>_xlfn.XLOOKUP($A2328,Load!$B:$B,Load!F:F,0,)</f>
        <v>Mixed / Combo Packs (Gummy, Chewy, Taffy, etc.)</v>
      </c>
      <c r="F2328" t="str">
        <f>_xlfn.XLOOKUP($A2328,Load!$B:$B,Load!G:G,0,)</f>
        <v>Medium Multipack (40–80 ct)</v>
      </c>
      <c r="G2328" t="str">
        <f>_xlfn.XLOOKUP($A2328,Load!$B:$B,Load!H:H,0,)</f>
        <v>Stand-Up Bag</v>
      </c>
      <c r="H2328" t="str">
        <f>_xlfn.XLOOKUP($A2328,Load!$B:$B,Load!I:I,0,)</f>
        <v>Everyday Candy Shapes (like Original, Gummy bear, Fruit, Jewels, etc.)</v>
      </c>
      <c r="I2328" t="str">
        <f>_xlfn.XLOOKUP($A2328,Load!$B:$B,Load!J:J,0,)</f>
        <v>Everyday Graphics</v>
      </c>
      <c r="J2328" t="str">
        <f>_xlfn.XLOOKUP($A2328,Load!$B:$B,Load!K:K,0,)</f>
        <v>Small Pieces (Tiny bite size candies)</v>
      </c>
      <c r="K2328" t="str">
        <f>_xlfn.XLOOKUP($A2328,Load!$B:$B,Load!L:L,0,)</f>
        <v>Regular/Original Wrapping</v>
      </c>
      <c r="L2328" t="str">
        <f>_xlfn.XLOOKUP($A2328,Load!$B:$B,Load!M:M,0,)</f>
        <v>Single Brand / Variety Flavors or Form</v>
      </c>
    </row>
    <row r="2329" spans="1:12" x14ac:dyDescent="0.25">
      <c r="B2329">
        <f>_xlfn.XLOOKUP($A2329,Load!$B:$B,Load!C:C,0,)</f>
        <v>0</v>
      </c>
      <c r="C2329">
        <f>_xlfn.XLOOKUP($A2329,Load!$B:$B,Load!D:D,0,)</f>
        <v>0</v>
      </c>
      <c r="D2329">
        <f>_xlfn.XLOOKUP($A2329,Load!$B:$B,Load!E:E,0,)</f>
        <v>0</v>
      </c>
      <c r="E2329">
        <f>_xlfn.XLOOKUP($A2329,Load!$B:$B,Load!F:F,0,)</f>
        <v>0</v>
      </c>
      <c r="F2329">
        <f>_xlfn.XLOOKUP($A2329,Load!$B:$B,Load!G:G,0,)</f>
        <v>0</v>
      </c>
      <c r="G2329">
        <f>_xlfn.XLOOKUP($A2329,Load!$B:$B,Load!H:H,0,)</f>
        <v>0</v>
      </c>
      <c r="H2329">
        <f>_xlfn.XLOOKUP($A2329,Load!$B:$B,Load!I:I,0,)</f>
        <v>0</v>
      </c>
      <c r="I2329">
        <f>_xlfn.XLOOKUP($A2329,Load!$B:$B,Load!J:J,0,)</f>
        <v>0</v>
      </c>
      <c r="J2329">
        <f>_xlfn.XLOOKUP($A2329,Load!$B:$B,Load!K:K,0,)</f>
        <v>0</v>
      </c>
      <c r="K2329">
        <f>_xlfn.XLOOKUP($A2329,Load!$B:$B,Load!L:L,0,)</f>
        <v>0</v>
      </c>
      <c r="L2329">
        <f>_xlfn.XLOOKUP($A2329,Load!$B:$B,Load!M:M,0,)</f>
        <v>0</v>
      </c>
    </row>
    <row r="2330" spans="1:12" x14ac:dyDescent="0.25">
      <c r="A2330" t="s">
        <v>170</v>
      </c>
      <c r="B2330" t="str">
        <f>_xlfn.XLOOKUP($A2330,Load!$B:$B,Load!C:C,0,)</f>
        <v>Laffy Taffy</v>
      </c>
      <c r="C2330" t="str">
        <f>_xlfn.XLOOKUP($A2330,Load!$B:$B,Load!D:D,0,)</f>
        <v>Non-Chocolate Candy Only</v>
      </c>
      <c r="D2330" t="str">
        <f>_xlfn.XLOOKUP($A2330,Load!$B:$B,Load!E:E,0,)</f>
        <v>Fruit Flavor (Cherry, Grape, Apple, Citrus, Tropical Fruit)</v>
      </c>
      <c r="E2330" t="str">
        <f>_xlfn.XLOOKUP($A2330,Load!$B:$B,Load!F:F,0,)</f>
        <v>Taffy</v>
      </c>
      <c r="F2330" t="str">
        <f>_xlfn.XLOOKUP($A2330,Load!$B:$B,Load!G:G,0,)</f>
        <v>Large Multipack (More than 80 ct)</v>
      </c>
      <c r="G2330" t="str">
        <f>_xlfn.XLOOKUP($A2330,Load!$B:$B,Load!H:H,0,)</f>
        <v>Stand-Up Bag</v>
      </c>
      <c r="H2330" t="str">
        <f>_xlfn.XLOOKUP($A2330,Load!$B:$B,Load!I:I,0,)</f>
        <v>Everyday Candy Shapes (like Original, Gummy bear, Fruit, Jewels, etc.)</v>
      </c>
      <c r="I2330" t="str">
        <f>_xlfn.XLOOKUP($A2330,Load!$B:$B,Load!J:J,0,)</f>
        <v>Everyday Graphics</v>
      </c>
      <c r="J2330" t="str">
        <f>_xlfn.XLOOKUP($A2330,Load!$B:$B,Load!K:K,0,)</f>
        <v>Fun Size / Treat Size</v>
      </c>
      <c r="K2330" t="str">
        <f>_xlfn.XLOOKUP($A2330,Load!$B:$B,Load!L:L,0,)</f>
        <v>Regular/Original Wrapping</v>
      </c>
      <c r="L2330" t="str">
        <f>_xlfn.XLOOKUP($A2330,Load!$B:$B,Load!M:M,0,)</f>
        <v>Single Brand / Variety Flavors or Form</v>
      </c>
    </row>
    <row r="2331" spans="1:12" x14ac:dyDescent="0.25">
      <c r="A2331" t="s">
        <v>306</v>
      </c>
      <c r="B2331" t="str">
        <f>_xlfn.XLOOKUP($A2331,Load!$B:$B,Load!C:C,0,)</f>
        <v>Werther's Original</v>
      </c>
      <c r="C2331" t="str">
        <f>_xlfn.XLOOKUP($A2331,Load!$B:$B,Load!D:D,0,)</f>
        <v>Non-Chocolate Candy Only</v>
      </c>
      <c r="D2331" t="str">
        <f>_xlfn.XLOOKUP($A2331,Load!$B:$B,Load!E:E,0,)</f>
        <v>Fall / Seasonal Flavors (pumpkin spice, caramel apple, candy corn)</v>
      </c>
      <c r="E2331" t="str">
        <f>_xlfn.XLOOKUP($A2331,Load!$B:$B,Load!F:F,0,)</f>
        <v>Chewy</v>
      </c>
      <c r="F2331" t="str">
        <f>_xlfn.XLOOKUP($A2331,Load!$B:$B,Load!G:G,0,)</f>
        <v>Single Pack</v>
      </c>
      <c r="G2331" t="str">
        <f>_xlfn.XLOOKUP($A2331,Load!$B:$B,Load!H:H,0,)</f>
        <v>Stand-Up Bag</v>
      </c>
      <c r="H2331" t="str">
        <f>_xlfn.XLOOKUP($A2331,Load!$B:$B,Load!I:I,0,)</f>
        <v>Seasonal Shapes (like pumpkins, candy corn, ghost, bats, etc.)</v>
      </c>
      <c r="I2331" t="str">
        <f>_xlfn.XLOOKUP($A2331,Load!$B:$B,Load!J:J,0,)</f>
        <v>Seasonal Graphics (Like Bat, Ghost, Pumpkin, Fall Leaves, Eyeballs, etc.)</v>
      </c>
      <c r="J2331" t="str">
        <f>_xlfn.XLOOKUP($A2331,Load!$B:$B,Load!K:K,0,)</f>
        <v>Fun Size / Treat Size</v>
      </c>
      <c r="K2331" t="str">
        <f>_xlfn.XLOOKUP($A2331,Load!$B:$B,Load!L:L,0,)</f>
        <v>Regular/Original Wrapping</v>
      </c>
      <c r="L2331" t="str">
        <f>_xlfn.XLOOKUP($A2331,Load!$B:$B,Load!M:M,0,)</f>
        <v>Single Brand / Single Flavor or Form</v>
      </c>
    </row>
    <row r="2332" spans="1:12" x14ac:dyDescent="0.25">
      <c r="B2332">
        <f>_xlfn.XLOOKUP($A2332,Load!$B:$B,Load!C:C,0,)</f>
        <v>0</v>
      </c>
      <c r="C2332">
        <f>_xlfn.XLOOKUP($A2332,Load!$B:$B,Load!D:D,0,)</f>
        <v>0</v>
      </c>
      <c r="D2332">
        <f>_xlfn.XLOOKUP($A2332,Load!$B:$B,Load!E:E,0,)</f>
        <v>0</v>
      </c>
      <c r="E2332">
        <f>_xlfn.XLOOKUP($A2332,Load!$B:$B,Load!F:F,0,)</f>
        <v>0</v>
      </c>
      <c r="F2332">
        <f>_xlfn.XLOOKUP($A2332,Load!$B:$B,Load!G:G,0,)</f>
        <v>0</v>
      </c>
      <c r="G2332">
        <f>_xlfn.XLOOKUP($A2332,Load!$B:$B,Load!H:H,0,)</f>
        <v>0</v>
      </c>
      <c r="H2332">
        <f>_xlfn.XLOOKUP($A2332,Load!$B:$B,Load!I:I,0,)</f>
        <v>0</v>
      </c>
      <c r="I2332">
        <f>_xlfn.XLOOKUP($A2332,Load!$B:$B,Load!J:J,0,)</f>
        <v>0</v>
      </c>
      <c r="J2332">
        <f>_xlfn.XLOOKUP($A2332,Load!$B:$B,Load!K:K,0,)</f>
        <v>0</v>
      </c>
      <c r="K2332">
        <f>_xlfn.XLOOKUP($A2332,Load!$B:$B,Load!L:L,0,)</f>
        <v>0</v>
      </c>
      <c r="L2332">
        <f>_xlfn.XLOOKUP($A2332,Load!$B:$B,Load!M:M,0,)</f>
        <v>0</v>
      </c>
    </row>
    <row r="2333" spans="1:12" x14ac:dyDescent="0.25">
      <c r="B2333">
        <f>_xlfn.XLOOKUP($A2333,Load!$B:$B,Load!C:C,0,)</f>
        <v>0</v>
      </c>
      <c r="C2333">
        <f>_xlfn.XLOOKUP($A2333,Load!$B:$B,Load!D:D,0,)</f>
        <v>0</v>
      </c>
      <c r="D2333">
        <f>_xlfn.XLOOKUP($A2333,Load!$B:$B,Load!E:E,0,)</f>
        <v>0</v>
      </c>
      <c r="E2333">
        <f>_xlfn.XLOOKUP($A2333,Load!$B:$B,Load!F:F,0,)</f>
        <v>0</v>
      </c>
      <c r="F2333">
        <f>_xlfn.XLOOKUP($A2333,Load!$B:$B,Load!G:G,0,)</f>
        <v>0</v>
      </c>
      <c r="G2333">
        <f>_xlfn.XLOOKUP($A2333,Load!$B:$B,Load!H:H,0,)</f>
        <v>0</v>
      </c>
      <c r="H2333">
        <f>_xlfn.XLOOKUP($A2333,Load!$B:$B,Load!I:I,0,)</f>
        <v>0</v>
      </c>
      <c r="I2333">
        <f>_xlfn.XLOOKUP($A2333,Load!$B:$B,Load!J:J,0,)</f>
        <v>0</v>
      </c>
      <c r="J2333">
        <f>_xlfn.XLOOKUP($A2333,Load!$B:$B,Load!K:K,0,)</f>
        <v>0</v>
      </c>
      <c r="K2333">
        <f>_xlfn.XLOOKUP($A2333,Load!$B:$B,Load!L:L,0,)</f>
        <v>0</v>
      </c>
      <c r="L2333">
        <f>_xlfn.XLOOKUP($A2333,Load!$B:$B,Load!M:M,0,)</f>
        <v>0</v>
      </c>
    </row>
    <row r="2334" spans="1:12" x14ac:dyDescent="0.25">
      <c r="A2334" t="s">
        <v>253</v>
      </c>
      <c r="B2334" t="str">
        <f>_xlfn.XLOOKUP($A2334,Load!$B:$B,Load!C:C,0,)</f>
        <v>Skittles</v>
      </c>
      <c r="C2334" t="str">
        <f>_xlfn.XLOOKUP($A2334,Load!$B:$B,Load!D:D,0,)</f>
        <v>Non-Chocolate Candy Only</v>
      </c>
      <c r="D2334" t="str">
        <f>_xlfn.XLOOKUP($A2334,Load!$B:$B,Load!E:E,0,)</f>
        <v>Variety / Mixed Flavors (Fruity, Sour, Seasonal Flavors)</v>
      </c>
      <c r="E2334" t="str">
        <f>_xlfn.XLOOKUP($A2334,Load!$B:$B,Load!F:F,0,)</f>
        <v>Mixed / Combo Packs (Gummy, Chewy, Taffy, etc.)</v>
      </c>
      <c r="F2334" t="str">
        <f>_xlfn.XLOOKUP($A2334,Load!$B:$B,Load!G:G,0,)</f>
        <v>Medium Multipack (40–80 ct)</v>
      </c>
      <c r="G2334" t="str">
        <f>_xlfn.XLOOKUP($A2334,Load!$B:$B,Load!H:H,0,)</f>
        <v>Stand-Up Bag</v>
      </c>
      <c r="H2334" t="str">
        <f>_xlfn.XLOOKUP($A2334,Load!$B:$B,Load!I:I,0,)</f>
        <v>Everyday Candy Shapes (like Original, Gummy bear, Fruit, Jewels, etc.)</v>
      </c>
      <c r="I2334" t="str">
        <f>_xlfn.XLOOKUP($A2334,Load!$B:$B,Load!J:J,0,)</f>
        <v>Seasonal Graphics (Like Bat, Ghost, Pumpkin, Fall Leaves, Eyeballs, etc.)</v>
      </c>
      <c r="J2334" t="str">
        <f>_xlfn.XLOOKUP($A2334,Load!$B:$B,Load!K:K,0,)</f>
        <v>Small Pieces (Tiny bite size candies)</v>
      </c>
      <c r="K2334" t="str">
        <f>_xlfn.XLOOKUP($A2334,Load!$B:$B,Load!L:L,0,)</f>
        <v>Regular/Original Wrapping</v>
      </c>
      <c r="L2334" t="str">
        <f>_xlfn.XLOOKUP($A2334,Load!$B:$B,Load!M:M,0,)</f>
        <v>Single Brand / Variety Flavors or Form</v>
      </c>
    </row>
    <row r="2335" spans="1:12" x14ac:dyDescent="0.25">
      <c r="A2335" t="s">
        <v>301</v>
      </c>
      <c r="B2335" t="str">
        <f>_xlfn.XLOOKUP($A2335,Load!$B:$B,Load!C:C,0,)</f>
        <v>Twizzlers</v>
      </c>
      <c r="C2335" t="str">
        <f>_xlfn.XLOOKUP($A2335,Load!$B:$B,Load!D:D,0,)</f>
        <v>Non-Chocolate Candy Only</v>
      </c>
      <c r="D2335" t="str">
        <f>_xlfn.XLOOKUP($A2335,Load!$B:$B,Load!E:E,0,)</f>
        <v>Variety / Mixed Flavors (Fruity, Sour, Seasonal Flavors)</v>
      </c>
      <c r="E2335" t="str">
        <f>_xlfn.XLOOKUP($A2335,Load!$B:$B,Load!F:F,0,)</f>
        <v>Mixed / Combo Packs (Gummy, Chewy, Taffy, etc.)</v>
      </c>
      <c r="F2335" t="str">
        <f>_xlfn.XLOOKUP($A2335,Load!$B:$B,Load!G:G,0,)</f>
        <v>Medium Multipack (40–80 ct)</v>
      </c>
      <c r="G2335" t="str">
        <f>_xlfn.XLOOKUP($A2335,Load!$B:$B,Load!H:H,0,)</f>
        <v>Laydown Bag</v>
      </c>
      <c r="H2335" t="str">
        <f>_xlfn.XLOOKUP($A2335,Load!$B:$B,Load!I:I,0,)</f>
        <v>Everyday Candy Shapes (like Original, Gummy bear, Fruit, Jewels, etc.)</v>
      </c>
      <c r="I2335" t="str">
        <f>_xlfn.XLOOKUP($A2335,Load!$B:$B,Load!J:J,0,)</f>
        <v>Seasonal Graphics (Like Bat, Ghost, Pumpkin, Fall Leaves, Eyeballs, etc.)</v>
      </c>
      <c r="J2335" t="str">
        <f>_xlfn.XLOOKUP($A2335,Load!$B:$B,Load!K:K,0,)</f>
        <v>Fun Size / Treat Size</v>
      </c>
      <c r="K2335" t="str">
        <f>_xlfn.XLOOKUP($A2335,Load!$B:$B,Load!L:L,0,)</f>
        <v>Regular/Original Wrapping</v>
      </c>
      <c r="L2335" t="str">
        <f>_xlfn.XLOOKUP($A2335,Load!$B:$B,Load!M:M,0,)</f>
        <v>Single Brand / Variety Flavors or Form</v>
      </c>
    </row>
    <row r="2336" spans="1:12" x14ac:dyDescent="0.25">
      <c r="A2336" t="s">
        <v>71</v>
      </c>
      <c r="B2336" t="str">
        <f>_xlfn.XLOOKUP($A2336,Load!$B:$B,Load!C:C,0,)</f>
        <v>Dum Dums</v>
      </c>
      <c r="C2336" t="str">
        <f>_xlfn.XLOOKUP($A2336,Load!$B:$B,Load!D:D,0,)</f>
        <v>Non-Chocolate Candy Only</v>
      </c>
      <c r="D2336" t="str">
        <f>_xlfn.XLOOKUP($A2336,Load!$B:$B,Load!E:E,0,)</f>
        <v>Sweet</v>
      </c>
      <c r="E2336" t="str">
        <f>_xlfn.XLOOKUP($A2336,Load!$B:$B,Load!F:F,0,)</f>
        <v>Lollipop (regular or lollipop rings)</v>
      </c>
      <c r="F2336" t="str">
        <f>_xlfn.XLOOKUP($A2336,Load!$B:$B,Load!G:G,0,)</f>
        <v>Large Multipack (More than 80 ct)</v>
      </c>
      <c r="G2336" t="str">
        <f>_xlfn.XLOOKUP($A2336,Load!$B:$B,Load!H:H,0,)</f>
        <v>Stand-Up Bag</v>
      </c>
      <c r="H2336" t="str">
        <f>_xlfn.XLOOKUP($A2336,Load!$B:$B,Load!I:I,0,)</f>
        <v>Everyday Candy Shapes (like Original, Gummy bear, Fruit, Jewels, etc.)</v>
      </c>
      <c r="I2336" t="str">
        <f>_xlfn.XLOOKUP($A2336,Load!$B:$B,Load!J:J,0,)</f>
        <v>Seasonal Graphics (Like Bat, Ghost, Pumpkin, Fall Leaves, Eyeballs, etc.)</v>
      </c>
      <c r="J2336" t="str">
        <f>_xlfn.XLOOKUP($A2336,Load!$B:$B,Load!K:K,0,)</f>
        <v>Regular Lollipop size (on sticks or rings)</v>
      </c>
      <c r="K2336" t="str">
        <f>_xlfn.XLOOKUP($A2336,Load!$B:$B,Load!L:L,0,)</f>
        <v>Regular/Original Wrapping</v>
      </c>
      <c r="L2336" t="str">
        <f>_xlfn.XLOOKUP($A2336,Load!$B:$B,Load!M:M,0,)</f>
        <v>Multiple Brands / Variety Flavors or Form</v>
      </c>
    </row>
    <row r="2337" spans="1:12" x14ac:dyDescent="0.25">
      <c r="B2337">
        <f>_xlfn.XLOOKUP($A2337,Load!$B:$B,Load!C:C,0,)</f>
        <v>0</v>
      </c>
      <c r="C2337">
        <f>_xlfn.XLOOKUP($A2337,Load!$B:$B,Load!D:D,0,)</f>
        <v>0</v>
      </c>
      <c r="D2337">
        <f>_xlfn.XLOOKUP($A2337,Load!$B:$B,Load!E:E,0,)</f>
        <v>0</v>
      </c>
      <c r="E2337">
        <f>_xlfn.XLOOKUP($A2337,Load!$B:$B,Load!F:F,0,)</f>
        <v>0</v>
      </c>
      <c r="F2337">
        <f>_xlfn.XLOOKUP($A2337,Load!$B:$B,Load!G:G,0,)</f>
        <v>0</v>
      </c>
      <c r="G2337">
        <f>_xlfn.XLOOKUP($A2337,Load!$B:$B,Load!H:H,0,)</f>
        <v>0</v>
      </c>
      <c r="H2337">
        <f>_xlfn.XLOOKUP($A2337,Load!$B:$B,Load!I:I,0,)</f>
        <v>0</v>
      </c>
      <c r="I2337">
        <f>_xlfn.XLOOKUP($A2337,Load!$B:$B,Load!J:J,0,)</f>
        <v>0</v>
      </c>
      <c r="J2337">
        <f>_xlfn.XLOOKUP($A2337,Load!$B:$B,Load!K:K,0,)</f>
        <v>0</v>
      </c>
      <c r="K2337">
        <f>_xlfn.XLOOKUP($A2337,Load!$B:$B,Load!L:L,0,)</f>
        <v>0</v>
      </c>
      <c r="L2337">
        <f>_xlfn.XLOOKUP($A2337,Load!$B:$B,Load!M:M,0,)</f>
        <v>0</v>
      </c>
    </row>
    <row r="2338" spans="1:12" x14ac:dyDescent="0.25">
      <c r="B2338">
        <f>_xlfn.XLOOKUP($A2338,Load!$B:$B,Load!C:C,0,)</f>
        <v>0</v>
      </c>
      <c r="C2338">
        <f>_xlfn.XLOOKUP($A2338,Load!$B:$B,Load!D:D,0,)</f>
        <v>0</v>
      </c>
      <c r="D2338">
        <f>_xlfn.XLOOKUP($A2338,Load!$B:$B,Load!E:E,0,)</f>
        <v>0</v>
      </c>
      <c r="E2338">
        <f>_xlfn.XLOOKUP($A2338,Load!$B:$B,Load!F:F,0,)</f>
        <v>0</v>
      </c>
      <c r="F2338">
        <f>_xlfn.XLOOKUP($A2338,Load!$B:$B,Load!G:G,0,)</f>
        <v>0</v>
      </c>
      <c r="G2338">
        <f>_xlfn.XLOOKUP($A2338,Load!$B:$B,Load!H:H,0,)</f>
        <v>0</v>
      </c>
      <c r="H2338">
        <f>_xlfn.XLOOKUP($A2338,Load!$B:$B,Load!I:I,0,)</f>
        <v>0</v>
      </c>
      <c r="I2338">
        <f>_xlfn.XLOOKUP($A2338,Load!$B:$B,Load!J:J,0,)</f>
        <v>0</v>
      </c>
      <c r="J2338">
        <f>_xlfn.XLOOKUP($A2338,Load!$B:$B,Load!K:K,0,)</f>
        <v>0</v>
      </c>
      <c r="K2338">
        <f>_xlfn.XLOOKUP($A2338,Load!$B:$B,Load!L:L,0,)</f>
        <v>0</v>
      </c>
      <c r="L2338">
        <f>_xlfn.XLOOKUP($A2338,Load!$B:$B,Load!M:M,0,)</f>
        <v>0</v>
      </c>
    </row>
    <row r="2339" spans="1:12" x14ac:dyDescent="0.25">
      <c r="B2339">
        <f>_xlfn.XLOOKUP($A2339,Load!$B:$B,Load!C:C,0,)</f>
        <v>0</v>
      </c>
      <c r="C2339">
        <f>_xlfn.XLOOKUP($A2339,Load!$B:$B,Load!D:D,0,)</f>
        <v>0</v>
      </c>
      <c r="D2339">
        <f>_xlfn.XLOOKUP($A2339,Load!$B:$B,Load!E:E,0,)</f>
        <v>0</v>
      </c>
      <c r="E2339">
        <f>_xlfn.XLOOKUP($A2339,Load!$B:$B,Load!F:F,0,)</f>
        <v>0</v>
      </c>
      <c r="F2339">
        <f>_xlfn.XLOOKUP($A2339,Load!$B:$B,Load!G:G,0,)</f>
        <v>0</v>
      </c>
      <c r="G2339">
        <f>_xlfn.XLOOKUP($A2339,Load!$B:$B,Load!H:H,0,)</f>
        <v>0</v>
      </c>
      <c r="H2339">
        <f>_xlfn.XLOOKUP($A2339,Load!$B:$B,Load!I:I,0,)</f>
        <v>0</v>
      </c>
      <c r="I2339">
        <f>_xlfn.XLOOKUP($A2339,Load!$B:$B,Load!J:J,0,)</f>
        <v>0</v>
      </c>
      <c r="J2339">
        <f>_xlfn.XLOOKUP($A2339,Load!$B:$B,Load!K:K,0,)</f>
        <v>0</v>
      </c>
      <c r="K2339">
        <f>_xlfn.XLOOKUP($A2339,Load!$B:$B,Load!L:L,0,)</f>
        <v>0</v>
      </c>
      <c r="L2339">
        <f>_xlfn.XLOOKUP($A2339,Load!$B:$B,Load!M:M,0,)</f>
        <v>0</v>
      </c>
    </row>
    <row r="2340" spans="1:12" x14ac:dyDescent="0.25">
      <c r="B2340">
        <f>_xlfn.XLOOKUP($A2340,Load!$B:$B,Load!C:C,0,)</f>
        <v>0</v>
      </c>
      <c r="C2340">
        <f>_xlfn.XLOOKUP($A2340,Load!$B:$B,Load!D:D,0,)</f>
        <v>0</v>
      </c>
      <c r="D2340">
        <f>_xlfn.XLOOKUP($A2340,Load!$B:$B,Load!E:E,0,)</f>
        <v>0</v>
      </c>
      <c r="E2340">
        <f>_xlfn.XLOOKUP($A2340,Load!$B:$B,Load!F:F,0,)</f>
        <v>0</v>
      </c>
      <c r="F2340">
        <f>_xlfn.XLOOKUP($A2340,Load!$B:$B,Load!G:G,0,)</f>
        <v>0</v>
      </c>
      <c r="G2340">
        <f>_xlfn.XLOOKUP($A2340,Load!$B:$B,Load!H:H,0,)</f>
        <v>0</v>
      </c>
      <c r="H2340">
        <f>_xlfn.XLOOKUP($A2340,Load!$B:$B,Load!I:I,0,)</f>
        <v>0</v>
      </c>
      <c r="I2340">
        <f>_xlfn.XLOOKUP($A2340,Load!$B:$B,Load!J:J,0,)</f>
        <v>0</v>
      </c>
      <c r="J2340">
        <f>_xlfn.XLOOKUP($A2340,Load!$B:$B,Load!K:K,0,)</f>
        <v>0</v>
      </c>
      <c r="K2340">
        <f>_xlfn.XLOOKUP($A2340,Load!$B:$B,Load!L:L,0,)</f>
        <v>0</v>
      </c>
      <c r="L2340">
        <f>_xlfn.XLOOKUP($A2340,Load!$B:$B,Load!M:M,0,)</f>
        <v>0</v>
      </c>
    </row>
    <row r="2341" spans="1:12" x14ac:dyDescent="0.25">
      <c r="B2341">
        <f>_xlfn.XLOOKUP($A2341,Load!$B:$B,Load!C:C,0,)</f>
        <v>0</v>
      </c>
      <c r="C2341">
        <f>_xlfn.XLOOKUP($A2341,Load!$B:$B,Load!D:D,0,)</f>
        <v>0</v>
      </c>
      <c r="D2341">
        <f>_xlfn.XLOOKUP($A2341,Load!$B:$B,Load!E:E,0,)</f>
        <v>0</v>
      </c>
      <c r="E2341">
        <f>_xlfn.XLOOKUP($A2341,Load!$B:$B,Load!F:F,0,)</f>
        <v>0</v>
      </c>
      <c r="F2341">
        <f>_xlfn.XLOOKUP($A2341,Load!$B:$B,Load!G:G,0,)</f>
        <v>0</v>
      </c>
      <c r="G2341">
        <f>_xlfn.XLOOKUP($A2341,Load!$B:$B,Load!H:H,0,)</f>
        <v>0</v>
      </c>
      <c r="H2341">
        <f>_xlfn.XLOOKUP($A2341,Load!$B:$B,Load!I:I,0,)</f>
        <v>0</v>
      </c>
      <c r="I2341">
        <f>_xlfn.XLOOKUP($A2341,Load!$B:$B,Load!J:J,0,)</f>
        <v>0</v>
      </c>
      <c r="J2341">
        <f>_xlfn.XLOOKUP($A2341,Load!$B:$B,Load!K:K,0,)</f>
        <v>0</v>
      </c>
      <c r="K2341">
        <f>_xlfn.XLOOKUP($A2341,Load!$B:$B,Load!L:L,0,)</f>
        <v>0</v>
      </c>
      <c r="L2341">
        <f>_xlfn.XLOOKUP($A2341,Load!$B:$B,Load!M:M,0,)</f>
        <v>0</v>
      </c>
    </row>
    <row r="2342" spans="1:12" x14ac:dyDescent="0.25">
      <c r="A2342" t="s">
        <v>285</v>
      </c>
      <c r="B2342" t="str">
        <f>_xlfn.XLOOKUP($A2342,Load!$B:$B,Load!C:C,0,)</f>
        <v>Starburst</v>
      </c>
      <c r="C2342" t="str">
        <f>_xlfn.XLOOKUP($A2342,Load!$B:$B,Load!D:D,0,)</f>
        <v>Non-Chocolate Candy Only</v>
      </c>
      <c r="D2342" t="str">
        <f>_xlfn.XLOOKUP($A2342,Load!$B:$B,Load!E:E,0,)</f>
        <v>Fruit Flavor (Cherry, Grape, Apple, Citrus, Tropical Fruit)</v>
      </c>
      <c r="E2342" t="str">
        <f>_xlfn.XLOOKUP($A2342,Load!$B:$B,Load!F:F,0,)</f>
        <v>Chewy</v>
      </c>
      <c r="F2342" t="str">
        <f>_xlfn.XLOOKUP($A2342,Load!$B:$B,Load!G:G,0,)</f>
        <v>Small Multipack (Less than 40 ct)</v>
      </c>
      <c r="G2342" t="str">
        <f>_xlfn.XLOOKUP($A2342,Load!$B:$B,Load!H:H,0,)</f>
        <v>Laydown Bag</v>
      </c>
      <c r="H2342" t="str">
        <f>_xlfn.XLOOKUP($A2342,Load!$B:$B,Load!I:I,0,)</f>
        <v>Everyday Candy Shapes (like Original, Gummy bear, Fruit, Jewels, etc.)</v>
      </c>
      <c r="I2342" t="str">
        <f>_xlfn.XLOOKUP($A2342,Load!$B:$B,Load!J:J,0,)</f>
        <v>Everyday Graphics</v>
      </c>
      <c r="J2342" t="str">
        <f>_xlfn.XLOOKUP($A2342,Load!$B:$B,Load!K:K,0,)</f>
        <v>Small Pieces (Tiny bite size candies)</v>
      </c>
      <c r="K2342" t="str">
        <f>_xlfn.XLOOKUP($A2342,Load!$B:$B,Load!L:L,0,)</f>
        <v>Regular/Original Wrapping</v>
      </c>
      <c r="L2342" t="str">
        <f>_xlfn.XLOOKUP($A2342,Load!$B:$B,Load!M:M,0,)</f>
        <v>Single Brand / Variety Flavors or Form</v>
      </c>
    </row>
    <row r="2343" spans="1:12" x14ac:dyDescent="0.25">
      <c r="A2343" t="s">
        <v>253</v>
      </c>
      <c r="B2343" t="str">
        <f>_xlfn.XLOOKUP($A2343,Load!$B:$B,Load!C:C,0,)</f>
        <v>Skittles</v>
      </c>
      <c r="C2343" t="str">
        <f>_xlfn.XLOOKUP($A2343,Load!$B:$B,Load!D:D,0,)</f>
        <v>Non-Chocolate Candy Only</v>
      </c>
      <c r="D2343" t="str">
        <f>_xlfn.XLOOKUP($A2343,Load!$B:$B,Load!E:E,0,)</f>
        <v>Variety / Mixed Flavors (Fruity, Sour, Seasonal Flavors)</v>
      </c>
      <c r="E2343" t="str">
        <f>_xlfn.XLOOKUP($A2343,Load!$B:$B,Load!F:F,0,)</f>
        <v>Mixed / Combo Packs (Gummy, Chewy, Taffy, etc.)</v>
      </c>
      <c r="F2343" t="str">
        <f>_xlfn.XLOOKUP($A2343,Load!$B:$B,Load!G:G,0,)</f>
        <v>Medium Multipack (40–80 ct)</v>
      </c>
      <c r="G2343" t="str">
        <f>_xlfn.XLOOKUP($A2343,Load!$B:$B,Load!H:H,0,)</f>
        <v>Stand-Up Bag</v>
      </c>
      <c r="H2343" t="str">
        <f>_xlfn.XLOOKUP($A2343,Load!$B:$B,Load!I:I,0,)</f>
        <v>Everyday Candy Shapes (like Original, Gummy bear, Fruit, Jewels, etc.)</v>
      </c>
      <c r="I2343" t="str">
        <f>_xlfn.XLOOKUP($A2343,Load!$B:$B,Load!J:J,0,)</f>
        <v>Seasonal Graphics (Like Bat, Ghost, Pumpkin, Fall Leaves, Eyeballs, etc.)</v>
      </c>
      <c r="J2343" t="str">
        <f>_xlfn.XLOOKUP($A2343,Load!$B:$B,Load!K:K,0,)</f>
        <v>Small Pieces (Tiny bite size candies)</v>
      </c>
      <c r="K2343" t="str">
        <f>_xlfn.XLOOKUP($A2343,Load!$B:$B,Load!L:L,0,)</f>
        <v>Regular/Original Wrapping</v>
      </c>
      <c r="L2343" t="str">
        <f>_xlfn.XLOOKUP($A2343,Load!$B:$B,Load!M:M,0,)</f>
        <v>Single Brand / Variety Flavors or Form</v>
      </c>
    </row>
    <row r="2344" spans="1:12" x14ac:dyDescent="0.25">
      <c r="A2344" t="s">
        <v>219</v>
      </c>
      <c r="B2344" t="str">
        <f>_xlfn.XLOOKUP($A2344,Load!$B:$B,Load!C:C,0,)</f>
        <v>Mondelez Variety Pack</v>
      </c>
      <c r="C2344" t="str">
        <f>_xlfn.XLOOKUP($A2344,Load!$B:$B,Load!D:D,0,)</f>
        <v>Non-Chocolate Candy Only</v>
      </c>
      <c r="D2344" t="str">
        <f>_xlfn.XLOOKUP($A2344,Load!$B:$B,Load!E:E,0,)</f>
        <v>Sour</v>
      </c>
      <c r="E2344" t="str">
        <f>_xlfn.XLOOKUP($A2344,Load!$B:$B,Load!F:F,0,)</f>
        <v>Chewy</v>
      </c>
      <c r="F2344" t="str">
        <f>_xlfn.XLOOKUP($A2344,Load!$B:$B,Load!G:G,0,)</f>
        <v>Medium Multipack (40–80 ct)</v>
      </c>
      <c r="G2344" t="str">
        <f>_xlfn.XLOOKUP($A2344,Load!$B:$B,Load!H:H,0,)</f>
        <v>Stand-Up Bag</v>
      </c>
      <c r="H2344" t="str">
        <f>_xlfn.XLOOKUP($A2344,Load!$B:$B,Load!I:I,0,)</f>
        <v>Everyday Candy Shapes (like Original, Gummy bear, Fruit, Jewels, etc.)</v>
      </c>
      <c r="I2344" t="str">
        <f>_xlfn.XLOOKUP($A2344,Load!$B:$B,Load!J:J,0,)</f>
        <v>Seasonal Graphics (Like Bat, Ghost, Pumpkin, Fall Leaves, Eyeballs, etc.)</v>
      </c>
      <c r="J2344" t="str">
        <f>_xlfn.XLOOKUP($A2344,Load!$B:$B,Load!K:K,0,)</f>
        <v>Small Pieces (Tiny bite size candies)</v>
      </c>
      <c r="K2344" t="str">
        <f>_xlfn.XLOOKUP($A2344,Load!$B:$B,Load!L:L,0,)</f>
        <v>Regular/Original Wrapping</v>
      </c>
      <c r="L2344" t="str">
        <f>_xlfn.XLOOKUP($A2344,Load!$B:$B,Load!M:M,0,)</f>
        <v>Multiple Brands / Variety Flavors or Form</v>
      </c>
    </row>
    <row r="2345" spans="1:12" x14ac:dyDescent="0.25">
      <c r="B2345">
        <f>_xlfn.XLOOKUP($A2345,Load!$B:$B,Load!C:C,0,)</f>
        <v>0</v>
      </c>
      <c r="C2345">
        <f>_xlfn.XLOOKUP($A2345,Load!$B:$B,Load!D:D,0,)</f>
        <v>0</v>
      </c>
      <c r="D2345">
        <f>_xlfn.XLOOKUP($A2345,Load!$B:$B,Load!E:E,0,)</f>
        <v>0</v>
      </c>
      <c r="E2345">
        <f>_xlfn.XLOOKUP($A2345,Load!$B:$B,Load!F:F,0,)</f>
        <v>0</v>
      </c>
      <c r="F2345">
        <f>_xlfn.XLOOKUP($A2345,Load!$B:$B,Load!G:G,0,)</f>
        <v>0</v>
      </c>
      <c r="G2345">
        <f>_xlfn.XLOOKUP($A2345,Load!$B:$B,Load!H:H,0,)</f>
        <v>0</v>
      </c>
      <c r="H2345">
        <f>_xlfn.XLOOKUP($A2345,Load!$B:$B,Load!I:I,0,)</f>
        <v>0</v>
      </c>
      <c r="I2345">
        <f>_xlfn.XLOOKUP($A2345,Load!$B:$B,Load!J:J,0,)</f>
        <v>0</v>
      </c>
      <c r="J2345">
        <f>_xlfn.XLOOKUP($A2345,Load!$B:$B,Load!K:K,0,)</f>
        <v>0</v>
      </c>
      <c r="K2345">
        <f>_xlfn.XLOOKUP($A2345,Load!$B:$B,Load!L:L,0,)</f>
        <v>0</v>
      </c>
      <c r="L2345">
        <f>_xlfn.XLOOKUP($A2345,Load!$B:$B,Load!M:M,0,)</f>
        <v>0</v>
      </c>
    </row>
    <row r="2346" spans="1:12" x14ac:dyDescent="0.25">
      <c r="A2346" t="s">
        <v>116</v>
      </c>
      <c r="B2346" t="str">
        <f>_xlfn.XLOOKUP($A2346,Load!$B:$B,Load!C:C,0,)</f>
        <v>George Howe</v>
      </c>
      <c r="C2346" t="str">
        <f>_xlfn.XLOOKUP($A2346,Load!$B:$B,Load!D:D,0,)</f>
        <v>Mix of Chocolate and Non-Chocolate Candy</v>
      </c>
      <c r="D2346" t="str">
        <f>_xlfn.XLOOKUP($A2346,Load!$B:$B,Load!E:E,0,)</f>
        <v>Fall / Seasonal Flavors (pumpkin spice, caramel apple, candy corn)</v>
      </c>
      <c r="E2346" t="str">
        <f>_xlfn.XLOOKUP($A2346,Load!$B:$B,Load!F:F,0,)</f>
        <v>Candy Pieces / Bites</v>
      </c>
      <c r="F2346" t="str">
        <f>_xlfn.XLOOKUP($A2346,Load!$B:$B,Load!G:G,0,)</f>
        <v>Single Pack</v>
      </c>
      <c r="G2346" t="str">
        <f>_xlfn.XLOOKUP($A2346,Load!$B:$B,Load!H:H,0,)</f>
        <v>Laydown Bag</v>
      </c>
      <c r="H2346" t="str">
        <f>_xlfn.XLOOKUP($A2346,Load!$B:$B,Load!I:I,0,)</f>
        <v>Seasonal Shapes (like pumpkins, candy corn, ghost, bats, etc.)</v>
      </c>
      <c r="I2346" t="str">
        <f>_xlfn.XLOOKUP($A2346,Load!$B:$B,Load!J:J,0,)</f>
        <v>Everyday Graphics</v>
      </c>
      <c r="J2346" t="str">
        <f>_xlfn.XLOOKUP($A2346,Load!$B:$B,Load!K:K,0,)</f>
        <v>Small Pieces (Tiny bite size candies)</v>
      </c>
      <c r="K2346" t="str">
        <f>_xlfn.XLOOKUP($A2346,Load!$B:$B,Load!L:L,0,)</f>
        <v>Unwrapped</v>
      </c>
      <c r="L2346" t="str">
        <f>_xlfn.XLOOKUP($A2346,Load!$B:$B,Load!M:M,0,)</f>
        <v>Single Brand / Variety Flavors or Form</v>
      </c>
    </row>
    <row r="2347" spans="1:12" x14ac:dyDescent="0.25">
      <c r="B2347">
        <f>_xlfn.XLOOKUP($A2347,Load!$B:$B,Load!C:C,0,)</f>
        <v>0</v>
      </c>
      <c r="C2347">
        <f>_xlfn.XLOOKUP($A2347,Load!$B:$B,Load!D:D,0,)</f>
        <v>0</v>
      </c>
      <c r="D2347">
        <f>_xlfn.XLOOKUP($A2347,Load!$B:$B,Load!E:E,0,)</f>
        <v>0</v>
      </c>
      <c r="E2347">
        <f>_xlfn.XLOOKUP($A2347,Load!$B:$B,Load!F:F,0,)</f>
        <v>0</v>
      </c>
      <c r="F2347">
        <f>_xlfn.XLOOKUP($A2347,Load!$B:$B,Load!G:G,0,)</f>
        <v>0</v>
      </c>
      <c r="G2347">
        <f>_xlfn.XLOOKUP($A2347,Load!$B:$B,Load!H:H,0,)</f>
        <v>0</v>
      </c>
      <c r="H2347">
        <f>_xlfn.XLOOKUP($A2347,Load!$B:$B,Load!I:I,0,)</f>
        <v>0</v>
      </c>
      <c r="I2347">
        <f>_xlfn.XLOOKUP($A2347,Load!$B:$B,Load!J:J,0,)</f>
        <v>0</v>
      </c>
      <c r="J2347">
        <f>_xlfn.XLOOKUP($A2347,Load!$B:$B,Load!K:K,0,)</f>
        <v>0</v>
      </c>
      <c r="K2347">
        <f>_xlfn.XLOOKUP($A2347,Load!$B:$B,Load!L:L,0,)</f>
        <v>0</v>
      </c>
      <c r="L2347">
        <f>_xlfn.XLOOKUP($A2347,Load!$B:$B,Load!M:M,0,)</f>
        <v>0</v>
      </c>
    </row>
    <row r="2348" spans="1:12" x14ac:dyDescent="0.25">
      <c r="A2348" t="s">
        <v>232</v>
      </c>
      <c r="B2348" t="str">
        <f>_xlfn.XLOOKUP($A2348,Load!$B:$B,Load!C:C,0,)</f>
        <v>Nerds</v>
      </c>
      <c r="C2348" t="str">
        <f>_xlfn.XLOOKUP($A2348,Load!$B:$B,Load!D:D,0,)</f>
        <v>Non-Chocolate Candy Only</v>
      </c>
      <c r="D2348" t="str">
        <f>_xlfn.XLOOKUP($A2348,Load!$B:$B,Load!E:E,0,)</f>
        <v>Berry Based (Raspberry, Strawberry, Medley, etc.)</v>
      </c>
      <c r="E2348" t="str">
        <f>_xlfn.XLOOKUP($A2348,Load!$B:$B,Load!F:F,0,)</f>
        <v>Candy Pieces / Bites</v>
      </c>
      <c r="F2348" t="str">
        <f>_xlfn.XLOOKUP($A2348,Load!$B:$B,Load!G:G,0,)</f>
        <v>Single Pack</v>
      </c>
      <c r="G2348" t="str">
        <f>_xlfn.XLOOKUP($A2348,Load!$B:$B,Load!H:H,0,)</f>
        <v>Laydown Bag</v>
      </c>
      <c r="H2348" t="str">
        <f>_xlfn.XLOOKUP($A2348,Load!$B:$B,Load!I:I,0,)</f>
        <v>Everyday Candy Shapes (like Original, Gummy bear, Fruit, Jewels, etc.)</v>
      </c>
      <c r="I2348" t="str">
        <f>_xlfn.XLOOKUP($A2348,Load!$B:$B,Load!J:J,0,)</f>
        <v>Seasonal Graphics (Like Bat, Ghost, Pumpkin, Fall Leaves, Eyeballs, etc.)</v>
      </c>
      <c r="J2348" t="str">
        <f>_xlfn.XLOOKUP($A2348,Load!$B:$B,Load!K:K,0,)</f>
        <v>Small Pieces (Tiny bite size candies)</v>
      </c>
      <c r="K2348" t="str">
        <f>_xlfn.XLOOKUP($A2348,Load!$B:$B,Load!L:L,0,)</f>
        <v>Unwrapped</v>
      </c>
      <c r="L2348" t="str">
        <f>_xlfn.XLOOKUP($A2348,Load!$B:$B,Load!M:M,0,)</f>
        <v>Single Brand / Variety Flavors or Form</v>
      </c>
    </row>
    <row r="2349" spans="1:12" x14ac:dyDescent="0.25">
      <c r="A2349" t="s">
        <v>43</v>
      </c>
      <c r="B2349" t="str">
        <f>_xlfn.XLOOKUP($A2349,Load!$B:$B,Load!C:C,0,)</f>
        <v>Brach's</v>
      </c>
      <c r="C2349" t="str">
        <f>_xlfn.XLOOKUP($A2349,Load!$B:$B,Load!D:D,0,)</f>
        <v>Non-Chocolate Candy Only</v>
      </c>
      <c r="D2349" t="str">
        <f>_xlfn.XLOOKUP($A2349,Load!$B:$B,Load!E:E,0,)</f>
        <v>Fall / Seasonal Flavors (pumpkin spice, caramel apple, candy corn)</v>
      </c>
      <c r="E2349" t="str">
        <f>_xlfn.XLOOKUP($A2349,Load!$B:$B,Load!F:F,0,)</f>
        <v>Candy Pieces / Bites</v>
      </c>
      <c r="F2349" t="str">
        <f>_xlfn.XLOOKUP($A2349,Load!$B:$B,Load!G:G,0,)</f>
        <v>Single Pack</v>
      </c>
      <c r="G2349" t="str">
        <f>_xlfn.XLOOKUP($A2349,Load!$B:$B,Load!H:H,0,)</f>
        <v>Laydown Bag</v>
      </c>
      <c r="H2349" t="str">
        <f>_xlfn.XLOOKUP($A2349,Load!$B:$B,Load!I:I,0,)</f>
        <v>Seasonal Shapes (like pumpkins, candy corn, ghost, bats, etc.)</v>
      </c>
      <c r="I2349" t="str">
        <f>_xlfn.XLOOKUP($A2349,Load!$B:$B,Load!J:J,0,)</f>
        <v>Seasonal Graphics (Like Bat, Ghost, Pumpkin, Fall Leaves, Eyeballs, etc.)</v>
      </c>
      <c r="J2349" t="str">
        <f>_xlfn.XLOOKUP($A2349,Load!$B:$B,Load!K:K,0,)</f>
        <v>Small Pieces (Tiny bite size candies)</v>
      </c>
      <c r="K2349" t="str">
        <f>_xlfn.XLOOKUP($A2349,Load!$B:$B,Load!L:L,0,)</f>
        <v>Unwrapped</v>
      </c>
      <c r="L2349" t="str">
        <f>_xlfn.XLOOKUP($A2349,Load!$B:$B,Load!M:M,0,)</f>
        <v>Single Brand / Single Flavor or Form</v>
      </c>
    </row>
    <row r="2350" spans="1:12" x14ac:dyDescent="0.25">
      <c r="B2350">
        <f>_xlfn.XLOOKUP($A2350,Load!$B:$B,Load!C:C,0,)</f>
        <v>0</v>
      </c>
      <c r="C2350">
        <f>_xlfn.XLOOKUP($A2350,Load!$B:$B,Load!D:D,0,)</f>
        <v>0</v>
      </c>
      <c r="D2350">
        <f>_xlfn.XLOOKUP($A2350,Load!$B:$B,Load!E:E,0,)</f>
        <v>0</v>
      </c>
      <c r="E2350">
        <f>_xlfn.XLOOKUP($A2350,Load!$B:$B,Load!F:F,0,)</f>
        <v>0</v>
      </c>
      <c r="F2350">
        <f>_xlfn.XLOOKUP($A2350,Load!$B:$B,Load!G:G,0,)</f>
        <v>0</v>
      </c>
      <c r="G2350">
        <f>_xlfn.XLOOKUP($A2350,Load!$B:$B,Load!H:H,0,)</f>
        <v>0</v>
      </c>
      <c r="H2350">
        <f>_xlfn.XLOOKUP($A2350,Load!$B:$B,Load!I:I,0,)</f>
        <v>0</v>
      </c>
      <c r="I2350">
        <f>_xlfn.XLOOKUP($A2350,Load!$B:$B,Load!J:J,0,)</f>
        <v>0</v>
      </c>
      <c r="J2350">
        <f>_xlfn.XLOOKUP($A2350,Load!$B:$B,Load!K:K,0,)</f>
        <v>0</v>
      </c>
      <c r="K2350">
        <f>_xlfn.XLOOKUP($A2350,Load!$B:$B,Load!L:L,0,)</f>
        <v>0</v>
      </c>
      <c r="L2350">
        <f>_xlfn.XLOOKUP($A2350,Load!$B:$B,Load!M:M,0,)</f>
        <v>0</v>
      </c>
    </row>
    <row r="2351" spans="1:12" x14ac:dyDescent="0.25">
      <c r="B2351">
        <f>_xlfn.XLOOKUP($A2351,Load!$B:$B,Load!C:C,0,)</f>
        <v>0</v>
      </c>
      <c r="C2351">
        <f>_xlfn.XLOOKUP($A2351,Load!$B:$B,Load!D:D,0,)</f>
        <v>0</v>
      </c>
      <c r="D2351">
        <f>_xlfn.XLOOKUP($A2351,Load!$B:$B,Load!E:E,0,)</f>
        <v>0</v>
      </c>
      <c r="E2351">
        <f>_xlfn.XLOOKUP($A2351,Load!$B:$B,Load!F:F,0,)</f>
        <v>0</v>
      </c>
      <c r="F2351">
        <f>_xlfn.XLOOKUP($A2351,Load!$B:$B,Load!G:G,0,)</f>
        <v>0</v>
      </c>
      <c r="G2351">
        <f>_xlfn.XLOOKUP($A2351,Load!$B:$B,Load!H:H,0,)</f>
        <v>0</v>
      </c>
      <c r="H2351">
        <f>_xlfn.XLOOKUP($A2351,Load!$B:$B,Load!I:I,0,)</f>
        <v>0</v>
      </c>
      <c r="I2351">
        <f>_xlfn.XLOOKUP($A2351,Load!$B:$B,Load!J:J,0,)</f>
        <v>0</v>
      </c>
      <c r="J2351">
        <f>_xlfn.XLOOKUP($A2351,Load!$B:$B,Load!K:K,0,)</f>
        <v>0</v>
      </c>
      <c r="K2351">
        <f>_xlfn.XLOOKUP($A2351,Load!$B:$B,Load!L:L,0,)</f>
        <v>0</v>
      </c>
      <c r="L2351">
        <f>_xlfn.XLOOKUP($A2351,Load!$B:$B,Load!M:M,0,)</f>
        <v>0</v>
      </c>
    </row>
    <row r="2352" spans="1:12" x14ac:dyDescent="0.25">
      <c r="B2352">
        <f>_xlfn.XLOOKUP($A2352,Load!$B:$B,Load!C:C,0,)</f>
        <v>0</v>
      </c>
      <c r="C2352">
        <f>_xlfn.XLOOKUP($A2352,Load!$B:$B,Load!D:D,0,)</f>
        <v>0</v>
      </c>
      <c r="D2352">
        <f>_xlfn.XLOOKUP($A2352,Load!$B:$B,Load!E:E,0,)</f>
        <v>0</v>
      </c>
      <c r="E2352">
        <f>_xlfn.XLOOKUP($A2352,Load!$B:$B,Load!F:F,0,)</f>
        <v>0</v>
      </c>
      <c r="F2352">
        <f>_xlfn.XLOOKUP($A2352,Load!$B:$B,Load!G:G,0,)</f>
        <v>0</v>
      </c>
      <c r="G2352">
        <f>_xlfn.XLOOKUP($A2352,Load!$B:$B,Load!H:H,0,)</f>
        <v>0</v>
      </c>
      <c r="H2352">
        <f>_xlfn.XLOOKUP($A2352,Load!$B:$B,Load!I:I,0,)</f>
        <v>0</v>
      </c>
      <c r="I2352">
        <f>_xlfn.XLOOKUP($A2352,Load!$B:$B,Load!J:J,0,)</f>
        <v>0</v>
      </c>
      <c r="J2352">
        <f>_xlfn.XLOOKUP($A2352,Load!$B:$B,Load!K:K,0,)</f>
        <v>0</v>
      </c>
      <c r="K2352">
        <f>_xlfn.XLOOKUP($A2352,Load!$B:$B,Load!L:L,0,)</f>
        <v>0</v>
      </c>
      <c r="L2352">
        <f>_xlfn.XLOOKUP($A2352,Load!$B:$B,Load!M:M,0,)</f>
        <v>0</v>
      </c>
    </row>
    <row r="2353" spans="1:12" x14ac:dyDescent="0.25">
      <c r="B2353">
        <f>_xlfn.XLOOKUP($A2353,Load!$B:$B,Load!C:C,0,)</f>
        <v>0</v>
      </c>
      <c r="C2353">
        <f>_xlfn.XLOOKUP($A2353,Load!$B:$B,Load!D:D,0,)</f>
        <v>0</v>
      </c>
      <c r="D2353">
        <f>_xlfn.XLOOKUP($A2353,Load!$B:$B,Load!E:E,0,)</f>
        <v>0</v>
      </c>
      <c r="E2353">
        <f>_xlfn.XLOOKUP($A2353,Load!$B:$B,Load!F:F,0,)</f>
        <v>0</v>
      </c>
      <c r="F2353">
        <f>_xlfn.XLOOKUP($A2353,Load!$B:$B,Load!G:G,0,)</f>
        <v>0</v>
      </c>
      <c r="G2353">
        <f>_xlfn.XLOOKUP($A2353,Load!$B:$B,Load!H:H,0,)</f>
        <v>0</v>
      </c>
      <c r="H2353">
        <f>_xlfn.XLOOKUP($A2353,Load!$B:$B,Load!I:I,0,)</f>
        <v>0</v>
      </c>
      <c r="I2353">
        <f>_xlfn.XLOOKUP($A2353,Load!$B:$B,Load!J:J,0,)</f>
        <v>0</v>
      </c>
      <c r="J2353">
        <f>_xlfn.XLOOKUP($A2353,Load!$B:$B,Load!K:K,0,)</f>
        <v>0</v>
      </c>
      <c r="K2353">
        <f>_xlfn.XLOOKUP($A2353,Load!$B:$B,Load!L:L,0,)</f>
        <v>0</v>
      </c>
      <c r="L2353">
        <f>_xlfn.XLOOKUP($A2353,Load!$B:$B,Load!M:M,0,)</f>
        <v>0</v>
      </c>
    </row>
    <row r="2354" spans="1:12" x14ac:dyDescent="0.25">
      <c r="B2354">
        <f>_xlfn.XLOOKUP($A2354,Load!$B:$B,Load!C:C,0,)</f>
        <v>0</v>
      </c>
      <c r="C2354">
        <f>_xlfn.XLOOKUP($A2354,Load!$B:$B,Load!D:D,0,)</f>
        <v>0</v>
      </c>
      <c r="D2354">
        <f>_xlfn.XLOOKUP($A2354,Load!$B:$B,Load!E:E,0,)</f>
        <v>0</v>
      </c>
      <c r="E2354">
        <f>_xlfn.XLOOKUP($A2354,Load!$B:$B,Load!F:F,0,)</f>
        <v>0</v>
      </c>
      <c r="F2354">
        <f>_xlfn.XLOOKUP($A2354,Load!$B:$B,Load!G:G,0,)</f>
        <v>0</v>
      </c>
      <c r="G2354">
        <f>_xlfn.XLOOKUP($A2354,Load!$B:$B,Load!H:H,0,)</f>
        <v>0</v>
      </c>
      <c r="H2354">
        <f>_xlfn.XLOOKUP($A2354,Load!$B:$B,Load!I:I,0,)</f>
        <v>0</v>
      </c>
      <c r="I2354">
        <f>_xlfn.XLOOKUP($A2354,Load!$B:$B,Load!J:J,0,)</f>
        <v>0</v>
      </c>
      <c r="J2354">
        <f>_xlfn.XLOOKUP($A2354,Load!$B:$B,Load!K:K,0,)</f>
        <v>0</v>
      </c>
      <c r="K2354">
        <f>_xlfn.XLOOKUP($A2354,Load!$B:$B,Load!L:L,0,)</f>
        <v>0</v>
      </c>
      <c r="L2354">
        <f>_xlfn.XLOOKUP($A2354,Load!$B:$B,Load!M:M,0,)</f>
        <v>0</v>
      </c>
    </row>
    <row r="2355" spans="1:12" x14ac:dyDescent="0.25">
      <c r="B2355">
        <f>_xlfn.XLOOKUP($A2355,Load!$B:$B,Load!C:C,0,)</f>
        <v>0</v>
      </c>
      <c r="C2355">
        <f>_xlfn.XLOOKUP($A2355,Load!$B:$B,Load!D:D,0,)</f>
        <v>0</v>
      </c>
      <c r="D2355">
        <f>_xlfn.XLOOKUP($A2355,Load!$B:$B,Load!E:E,0,)</f>
        <v>0</v>
      </c>
      <c r="E2355">
        <f>_xlfn.XLOOKUP($A2355,Load!$B:$B,Load!F:F,0,)</f>
        <v>0</v>
      </c>
      <c r="F2355">
        <f>_xlfn.XLOOKUP($A2355,Load!$B:$B,Load!G:G,0,)</f>
        <v>0</v>
      </c>
      <c r="G2355">
        <f>_xlfn.XLOOKUP($A2355,Load!$B:$B,Load!H:H,0,)</f>
        <v>0</v>
      </c>
      <c r="H2355">
        <f>_xlfn.XLOOKUP($A2355,Load!$B:$B,Load!I:I,0,)</f>
        <v>0</v>
      </c>
      <c r="I2355">
        <f>_xlfn.XLOOKUP($A2355,Load!$B:$B,Load!J:J,0,)</f>
        <v>0</v>
      </c>
      <c r="J2355">
        <f>_xlfn.XLOOKUP($A2355,Load!$B:$B,Load!K:K,0,)</f>
        <v>0</v>
      </c>
      <c r="K2355">
        <f>_xlfn.XLOOKUP($A2355,Load!$B:$B,Load!L:L,0,)</f>
        <v>0</v>
      </c>
      <c r="L2355">
        <f>_xlfn.XLOOKUP($A2355,Load!$B:$B,Load!M:M,0,)</f>
        <v>0</v>
      </c>
    </row>
    <row r="2356" spans="1:12" x14ac:dyDescent="0.25">
      <c r="B2356">
        <f>_xlfn.XLOOKUP($A2356,Load!$B:$B,Load!C:C,0,)</f>
        <v>0</v>
      </c>
      <c r="C2356">
        <f>_xlfn.XLOOKUP($A2356,Load!$B:$B,Load!D:D,0,)</f>
        <v>0</v>
      </c>
      <c r="D2356">
        <f>_xlfn.XLOOKUP($A2356,Load!$B:$B,Load!E:E,0,)</f>
        <v>0</v>
      </c>
      <c r="E2356">
        <f>_xlfn.XLOOKUP($A2356,Load!$B:$B,Load!F:F,0,)</f>
        <v>0</v>
      </c>
      <c r="F2356">
        <f>_xlfn.XLOOKUP($A2356,Load!$B:$B,Load!G:G,0,)</f>
        <v>0</v>
      </c>
      <c r="G2356">
        <f>_xlfn.XLOOKUP($A2356,Load!$B:$B,Load!H:H,0,)</f>
        <v>0</v>
      </c>
      <c r="H2356">
        <f>_xlfn.XLOOKUP($A2356,Load!$B:$B,Load!I:I,0,)</f>
        <v>0</v>
      </c>
      <c r="I2356">
        <f>_xlfn.XLOOKUP($A2356,Load!$B:$B,Load!J:J,0,)</f>
        <v>0</v>
      </c>
      <c r="J2356">
        <f>_xlfn.XLOOKUP($A2356,Load!$B:$B,Load!K:K,0,)</f>
        <v>0</v>
      </c>
      <c r="K2356">
        <f>_xlfn.XLOOKUP($A2356,Load!$B:$B,Load!L:L,0,)</f>
        <v>0</v>
      </c>
      <c r="L2356">
        <f>_xlfn.XLOOKUP($A2356,Load!$B:$B,Load!M:M,0,)</f>
        <v>0</v>
      </c>
    </row>
    <row r="2357" spans="1:12" x14ac:dyDescent="0.25">
      <c r="B2357">
        <f>_xlfn.XLOOKUP($A2357,Load!$B:$B,Load!C:C,0,)</f>
        <v>0</v>
      </c>
      <c r="C2357">
        <f>_xlfn.XLOOKUP($A2357,Load!$B:$B,Load!D:D,0,)</f>
        <v>0</v>
      </c>
      <c r="D2357">
        <f>_xlfn.XLOOKUP($A2357,Load!$B:$B,Load!E:E,0,)</f>
        <v>0</v>
      </c>
      <c r="E2357">
        <f>_xlfn.XLOOKUP($A2357,Load!$B:$B,Load!F:F,0,)</f>
        <v>0</v>
      </c>
      <c r="F2357">
        <f>_xlfn.XLOOKUP($A2357,Load!$B:$B,Load!G:G,0,)</f>
        <v>0</v>
      </c>
      <c r="G2357">
        <f>_xlfn.XLOOKUP($A2357,Load!$B:$B,Load!H:H,0,)</f>
        <v>0</v>
      </c>
      <c r="H2357">
        <f>_xlfn.XLOOKUP($A2357,Load!$B:$B,Load!I:I,0,)</f>
        <v>0</v>
      </c>
      <c r="I2357">
        <f>_xlfn.XLOOKUP($A2357,Load!$B:$B,Load!J:J,0,)</f>
        <v>0</v>
      </c>
      <c r="J2357">
        <f>_xlfn.XLOOKUP($A2357,Load!$B:$B,Load!K:K,0,)</f>
        <v>0</v>
      </c>
      <c r="K2357">
        <f>_xlfn.XLOOKUP($A2357,Load!$B:$B,Load!L:L,0,)</f>
        <v>0</v>
      </c>
      <c r="L2357">
        <f>_xlfn.XLOOKUP($A2357,Load!$B:$B,Load!M:M,0,)</f>
        <v>0</v>
      </c>
    </row>
    <row r="2358" spans="1:12" x14ac:dyDescent="0.25">
      <c r="A2358" t="s">
        <v>80</v>
      </c>
      <c r="B2358" t="str">
        <f>_xlfn.XLOOKUP($A2358,Load!$B:$B,Load!C:C,0,)</f>
        <v>Ferrara Variety Pack</v>
      </c>
      <c r="C2358" t="str">
        <f>_xlfn.XLOOKUP($A2358,Load!$B:$B,Load!D:D,0,)</f>
        <v>Non-Chocolate Candy Only</v>
      </c>
      <c r="D2358" t="str">
        <f>_xlfn.XLOOKUP($A2358,Load!$B:$B,Load!E:E,0,)</f>
        <v>Variety / Mixed Flavors (Fruity, Sour, Seasonal Flavors)</v>
      </c>
      <c r="E2358" t="str">
        <f>_xlfn.XLOOKUP($A2358,Load!$B:$B,Load!F:F,0,)</f>
        <v>Mixed / Combo Packs (Gummy, Chewy, Taffy, etc.)</v>
      </c>
      <c r="F2358" t="str">
        <f>_xlfn.XLOOKUP($A2358,Load!$B:$B,Load!G:G,0,)</f>
        <v>Large Multipack (More than 80 ct)</v>
      </c>
      <c r="G2358" t="str">
        <f>_xlfn.XLOOKUP($A2358,Load!$B:$B,Load!H:H,0,)</f>
        <v>Stand-Up Bag</v>
      </c>
      <c r="H2358" t="str">
        <f>_xlfn.XLOOKUP($A2358,Load!$B:$B,Load!I:I,0,)</f>
        <v>Everyday Candy Shapes (like Original, Gummy bear, Fruit, Jewels, etc.)</v>
      </c>
      <c r="I2358" t="str">
        <f>_xlfn.XLOOKUP($A2358,Load!$B:$B,Load!J:J,0,)</f>
        <v>Seasonal Graphics (Like Bat, Ghost, Pumpkin, Fall Leaves, Eyeballs, etc.)</v>
      </c>
      <c r="J2358" t="str">
        <f>_xlfn.XLOOKUP($A2358,Load!$B:$B,Load!K:K,0,)</f>
        <v xml:space="preserve">Variety Candy Sizes </v>
      </c>
      <c r="K2358" t="str">
        <f>_xlfn.XLOOKUP($A2358,Load!$B:$B,Load!L:L,0,)</f>
        <v>Regular/Original Wrapping</v>
      </c>
      <c r="L2358" t="str">
        <f>_xlfn.XLOOKUP($A2358,Load!$B:$B,Load!M:M,0,)</f>
        <v>Multiple Brands / Variety Flavors or Form</v>
      </c>
    </row>
    <row r="2359" spans="1:12" x14ac:dyDescent="0.25">
      <c r="A2359" t="s">
        <v>176</v>
      </c>
      <c r="B2359" t="str">
        <f>_xlfn.XLOOKUP($A2359,Load!$B:$B,Load!C:C,0,)</f>
        <v>Mars Variety Pack</v>
      </c>
      <c r="C2359" t="str">
        <f>_xlfn.XLOOKUP($A2359,Load!$B:$B,Load!D:D,0,)</f>
        <v>Non-Chocolate Candy Only</v>
      </c>
      <c r="D2359" t="str">
        <f>_xlfn.XLOOKUP($A2359,Load!$B:$B,Load!E:E,0,)</f>
        <v>Variety / Mixed Flavors (Fruity, Sour, Seasonal Flavors)</v>
      </c>
      <c r="E2359" t="str">
        <f>_xlfn.XLOOKUP($A2359,Load!$B:$B,Load!F:F,0,)</f>
        <v>Mixed / Combo Packs (Gummy, Chewy, Taffy, etc.)</v>
      </c>
      <c r="F2359" t="str">
        <f>_xlfn.XLOOKUP($A2359,Load!$B:$B,Load!G:G,0,)</f>
        <v>Large Multipack (More than 80 ct)</v>
      </c>
      <c r="G2359" t="str">
        <f>_xlfn.XLOOKUP($A2359,Load!$B:$B,Load!H:H,0,)</f>
        <v>Stand-Up Bag</v>
      </c>
      <c r="H2359" t="str">
        <f>_xlfn.XLOOKUP($A2359,Load!$B:$B,Load!I:I,0,)</f>
        <v>Everyday Candy Shapes (like Original, Gummy bear, Fruit, Jewels, etc.)</v>
      </c>
      <c r="I2359" t="str">
        <f>_xlfn.XLOOKUP($A2359,Load!$B:$B,Load!J:J,0,)</f>
        <v>Seasonal Graphics (Like Bat, Ghost, Pumpkin, Fall Leaves, Eyeballs, etc.)</v>
      </c>
      <c r="J2359" t="str">
        <f>_xlfn.XLOOKUP($A2359,Load!$B:$B,Load!K:K,0,)</f>
        <v>Fun Size / Treat Size</v>
      </c>
      <c r="K2359" t="str">
        <f>_xlfn.XLOOKUP($A2359,Load!$B:$B,Load!L:L,0,)</f>
        <v>Regular/Original Wrapping</v>
      </c>
      <c r="L2359" t="str">
        <f>_xlfn.XLOOKUP($A2359,Load!$B:$B,Load!M:M,0,)</f>
        <v>Multiple Brands / Variety Flavors or Form</v>
      </c>
    </row>
    <row r="2360" spans="1:12" x14ac:dyDescent="0.25">
      <c r="B2360">
        <f>_xlfn.XLOOKUP($A2360,Load!$B:$B,Load!C:C,0,)</f>
        <v>0</v>
      </c>
      <c r="C2360">
        <f>_xlfn.XLOOKUP($A2360,Load!$B:$B,Load!D:D,0,)</f>
        <v>0</v>
      </c>
      <c r="D2360">
        <f>_xlfn.XLOOKUP($A2360,Load!$B:$B,Load!E:E,0,)</f>
        <v>0</v>
      </c>
      <c r="E2360">
        <f>_xlfn.XLOOKUP($A2360,Load!$B:$B,Load!F:F,0,)</f>
        <v>0</v>
      </c>
      <c r="F2360">
        <f>_xlfn.XLOOKUP($A2360,Load!$B:$B,Load!G:G,0,)</f>
        <v>0</v>
      </c>
      <c r="G2360">
        <f>_xlfn.XLOOKUP($A2360,Load!$B:$B,Load!H:H,0,)</f>
        <v>0</v>
      </c>
      <c r="H2360">
        <f>_xlfn.XLOOKUP($A2360,Load!$B:$B,Load!I:I,0,)</f>
        <v>0</v>
      </c>
      <c r="I2360">
        <f>_xlfn.XLOOKUP($A2360,Load!$B:$B,Load!J:J,0,)</f>
        <v>0</v>
      </c>
      <c r="J2360">
        <f>_xlfn.XLOOKUP($A2360,Load!$B:$B,Load!K:K,0,)</f>
        <v>0</v>
      </c>
      <c r="K2360">
        <f>_xlfn.XLOOKUP($A2360,Load!$B:$B,Load!L:L,0,)</f>
        <v>0</v>
      </c>
      <c r="L2360">
        <f>_xlfn.XLOOKUP($A2360,Load!$B:$B,Load!M:M,0,)</f>
        <v>0</v>
      </c>
    </row>
    <row r="2361" spans="1:12" x14ac:dyDescent="0.25">
      <c r="B2361">
        <f>_xlfn.XLOOKUP($A2361,Load!$B:$B,Load!C:C,0,)</f>
        <v>0</v>
      </c>
      <c r="C2361">
        <f>_xlfn.XLOOKUP($A2361,Load!$B:$B,Load!D:D,0,)</f>
        <v>0</v>
      </c>
      <c r="D2361">
        <f>_xlfn.XLOOKUP($A2361,Load!$B:$B,Load!E:E,0,)</f>
        <v>0</v>
      </c>
      <c r="E2361">
        <f>_xlfn.XLOOKUP($A2361,Load!$B:$B,Load!F:F,0,)</f>
        <v>0</v>
      </c>
      <c r="F2361">
        <f>_xlfn.XLOOKUP($A2361,Load!$B:$B,Load!G:G,0,)</f>
        <v>0</v>
      </c>
      <c r="G2361">
        <f>_xlfn.XLOOKUP($A2361,Load!$B:$B,Load!H:H,0,)</f>
        <v>0</v>
      </c>
      <c r="H2361">
        <f>_xlfn.XLOOKUP($A2361,Load!$B:$B,Load!I:I,0,)</f>
        <v>0</v>
      </c>
      <c r="I2361">
        <f>_xlfn.XLOOKUP($A2361,Load!$B:$B,Load!J:J,0,)</f>
        <v>0</v>
      </c>
      <c r="J2361">
        <f>_xlfn.XLOOKUP($A2361,Load!$B:$B,Load!K:K,0,)</f>
        <v>0</v>
      </c>
      <c r="K2361">
        <f>_xlfn.XLOOKUP($A2361,Load!$B:$B,Load!L:L,0,)</f>
        <v>0</v>
      </c>
      <c r="L2361">
        <f>_xlfn.XLOOKUP($A2361,Load!$B:$B,Load!M:M,0,)</f>
        <v>0</v>
      </c>
    </row>
    <row r="2362" spans="1:12" x14ac:dyDescent="0.25">
      <c r="A2362" t="s">
        <v>166</v>
      </c>
      <c r="B2362" t="str">
        <f>_xlfn.XLOOKUP($A2362,Load!$B:$B,Load!C:C,0,)</f>
        <v>Kraft</v>
      </c>
      <c r="C2362" t="str">
        <f>_xlfn.XLOOKUP($A2362,Load!$B:$B,Load!D:D,0,)</f>
        <v>Non-Chocolate Candy Only</v>
      </c>
      <c r="D2362" t="str">
        <f>_xlfn.XLOOKUP($A2362,Load!$B:$B,Load!E:E,0,)</f>
        <v>Fall / Seasonal Flavors (pumpkin spice, caramel apple, candy corn)</v>
      </c>
      <c r="E2362" t="str">
        <f>_xlfn.XLOOKUP($A2362,Load!$B:$B,Load!F:F,0,)</f>
        <v>Lollipop (regular or lollipop rings)</v>
      </c>
      <c r="F2362" t="str">
        <f>_xlfn.XLOOKUP($A2362,Load!$B:$B,Load!G:G,0,)</f>
        <v>Single Pack</v>
      </c>
      <c r="G2362" t="str">
        <f>_xlfn.XLOOKUP($A2362,Load!$B:$B,Load!H:H,0,)</f>
        <v>Laydown Bag</v>
      </c>
      <c r="H2362" t="str">
        <f>_xlfn.XLOOKUP($A2362,Load!$B:$B,Load!I:I,0,)</f>
        <v>Everyday Candy Shapes (like Original, Gummy bear, Fruit, Jewels, etc.)</v>
      </c>
      <c r="I2362" t="str">
        <f>_xlfn.XLOOKUP($A2362,Load!$B:$B,Load!J:J,0,)</f>
        <v>Everyday Graphics</v>
      </c>
      <c r="J2362" t="str">
        <f>_xlfn.XLOOKUP($A2362,Load!$B:$B,Load!K:K,0,)</f>
        <v>Small Pieces (Tiny bite size candies)</v>
      </c>
      <c r="K2362" t="str">
        <f>_xlfn.XLOOKUP($A2362,Load!$B:$B,Load!L:L,0,)</f>
        <v>Regular/Original Wrapping</v>
      </c>
      <c r="L2362" t="str">
        <f>_xlfn.XLOOKUP($A2362,Load!$B:$B,Load!M:M,0,)</f>
        <v>Single Brand / Single Flavor or Form</v>
      </c>
    </row>
    <row r="2363" spans="1:12" x14ac:dyDescent="0.25">
      <c r="B2363">
        <f>_xlfn.XLOOKUP($A2363,Load!$B:$B,Load!C:C,0,)</f>
        <v>0</v>
      </c>
      <c r="C2363">
        <f>_xlfn.XLOOKUP($A2363,Load!$B:$B,Load!D:D,0,)</f>
        <v>0</v>
      </c>
      <c r="D2363">
        <f>_xlfn.XLOOKUP($A2363,Load!$B:$B,Load!E:E,0,)</f>
        <v>0</v>
      </c>
      <c r="E2363">
        <f>_xlfn.XLOOKUP($A2363,Load!$B:$B,Load!F:F,0,)</f>
        <v>0</v>
      </c>
      <c r="F2363">
        <f>_xlfn.XLOOKUP($A2363,Load!$B:$B,Load!G:G,0,)</f>
        <v>0</v>
      </c>
      <c r="G2363">
        <f>_xlfn.XLOOKUP($A2363,Load!$B:$B,Load!H:H,0,)</f>
        <v>0</v>
      </c>
      <c r="H2363">
        <f>_xlfn.XLOOKUP($A2363,Load!$B:$B,Load!I:I,0,)</f>
        <v>0</v>
      </c>
      <c r="I2363">
        <f>_xlfn.XLOOKUP($A2363,Load!$B:$B,Load!J:J,0,)</f>
        <v>0</v>
      </c>
      <c r="J2363">
        <f>_xlfn.XLOOKUP($A2363,Load!$B:$B,Load!K:K,0,)</f>
        <v>0</v>
      </c>
      <c r="K2363">
        <f>_xlfn.XLOOKUP($A2363,Load!$B:$B,Load!L:L,0,)</f>
        <v>0</v>
      </c>
      <c r="L2363">
        <f>_xlfn.XLOOKUP($A2363,Load!$B:$B,Load!M:M,0,)</f>
        <v>0</v>
      </c>
    </row>
    <row r="2364" spans="1:12" x14ac:dyDescent="0.25">
      <c r="B2364">
        <f>_xlfn.XLOOKUP($A2364,Load!$B:$B,Load!C:C,0,)</f>
        <v>0</v>
      </c>
      <c r="C2364">
        <f>_xlfn.XLOOKUP($A2364,Load!$B:$B,Load!D:D,0,)</f>
        <v>0</v>
      </c>
      <c r="D2364">
        <f>_xlfn.XLOOKUP($A2364,Load!$B:$B,Load!E:E,0,)</f>
        <v>0</v>
      </c>
      <c r="E2364">
        <f>_xlfn.XLOOKUP($A2364,Load!$B:$B,Load!F:F,0,)</f>
        <v>0</v>
      </c>
      <c r="F2364">
        <f>_xlfn.XLOOKUP($A2364,Load!$B:$B,Load!G:G,0,)</f>
        <v>0</v>
      </c>
      <c r="G2364">
        <f>_xlfn.XLOOKUP($A2364,Load!$B:$B,Load!H:H,0,)</f>
        <v>0</v>
      </c>
      <c r="H2364">
        <f>_xlfn.XLOOKUP($A2364,Load!$B:$B,Load!I:I,0,)</f>
        <v>0</v>
      </c>
      <c r="I2364">
        <f>_xlfn.XLOOKUP($A2364,Load!$B:$B,Load!J:J,0,)</f>
        <v>0</v>
      </c>
      <c r="J2364">
        <f>_xlfn.XLOOKUP($A2364,Load!$B:$B,Load!K:K,0,)</f>
        <v>0</v>
      </c>
      <c r="K2364">
        <f>_xlfn.XLOOKUP($A2364,Load!$B:$B,Load!L:L,0,)</f>
        <v>0</v>
      </c>
      <c r="L2364">
        <f>_xlfn.XLOOKUP($A2364,Load!$B:$B,Load!M:M,0,)</f>
        <v>0</v>
      </c>
    </row>
    <row r="2365" spans="1:12" x14ac:dyDescent="0.25">
      <c r="B2365">
        <f>_xlfn.XLOOKUP($A2365,Load!$B:$B,Load!C:C,0,)</f>
        <v>0</v>
      </c>
      <c r="C2365">
        <f>_xlfn.XLOOKUP($A2365,Load!$B:$B,Load!D:D,0,)</f>
        <v>0</v>
      </c>
      <c r="D2365">
        <f>_xlfn.XLOOKUP($A2365,Load!$B:$B,Load!E:E,0,)</f>
        <v>0</v>
      </c>
      <c r="E2365">
        <f>_xlfn.XLOOKUP($A2365,Load!$B:$B,Load!F:F,0,)</f>
        <v>0</v>
      </c>
      <c r="F2365">
        <f>_xlfn.XLOOKUP($A2365,Load!$B:$B,Load!G:G,0,)</f>
        <v>0</v>
      </c>
      <c r="G2365">
        <f>_xlfn.XLOOKUP($A2365,Load!$B:$B,Load!H:H,0,)</f>
        <v>0</v>
      </c>
      <c r="H2365">
        <f>_xlfn.XLOOKUP($A2365,Load!$B:$B,Load!I:I,0,)</f>
        <v>0</v>
      </c>
      <c r="I2365">
        <f>_xlfn.XLOOKUP($A2365,Load!$B:$B,Load!J:J,0,)</f>
        <v>0</v>
      </c>
      <c r="J2365">
        <f>_xlfn.XLOOKUP($A2365,Load!$B:$B,Load!K:K,0,)</f>
        <v>0</v>
      </c>
      <c r="K2365">
        <f>_xlfn.XLOOKUP($A2365,Load!$B:$B,Load!L:L,0,)</f>
        <v>0</v>
      </c>
      <c r="L2365">
        <f>_xlfn.XLOOKUP($A2365,Load!$B:$B,Load!M:M,0,)</f>
        <v>0</v>
      </c>
    </row>
    <row r="2366" spans="1:12" x14ac:dyDescent="0.25">
      <c r="A2366" t="s">
        <v>111</v>
      </c>
      <c r="B2366" t="str">
        <f>_xlfn.XLOOKUP($A2366,Load!$B:$B,Load!C:C,0,)</f>
        <v>Frankford</v>
      </c>
      <c r="C2366" t="str">
        <f>_xlfn.XLOOKUP($A2366,Load!$B:$B,Load!D:D,0,)</f>
        <v>Non-Chocolate Candy Only</v>
      </c>
      <c r="D2366" t="str">
        <f>_xlfn.XLOOKUP($A2366,Load!$B:$B,Load!E:E,0,)</f>
        <v>Variety / Mixed Flavors (Fruity, Sour, Seasonal Flavors)</v>
      </c>
      <c r="E2366" t="str">
        <f>_xlfn.XLOOKUP($A2366,Load!$B:$B,Load!F:F,0,)</f>
        <v>Gummy</v>
      </c>
      <c r="F2366" t="str">
        <f>_xlfn.XLOOKUP($A2366,Load!$B:$B,Load!G:G,0,)</f>
        <v>Medium Multipack (40–80 ct)</v>
      </c>
      <c r="G2366" t="str">
        <f>_xlfn.XLOOKUP($A2366,Load!$B:$B,Load!H:H,0,)</f>
        <v>Stand-Up Bag</v>
      </c>
      <c r="H2366" t="str">
        <f>_xlfn.XLOOKUP($A2366,Load!$B:$B,Load!I:I,0,)</f>
        <v>Seasonal Shapes (like pumpkins, candy corn, ghost, bats, etc.)</v>
      </c>
      <c r="I2366" t="str">
        <f>_xlfn.XLOOKUP($A2366,Load!$B:$B,Load!J:J,0,)</f>
        <v>Seasonal Graphics (Like Bat, Ghost, Pumpkin, Fall Leaves, Eyeballs, etc.)</v>
      </c>
      <c r="J2366" t="str">
        <f>_xlfn.XLOOKUP($A2366,Load!$B:$B,Load!K:K,0,)</f>
        <v>Fun Size / Treat Size</v>
      </c>
      <c r="K2366" t="str">
        <f>_xlfn.XLOOKUP($A2366,Load!$B:$B,Load!L:L,0,)</f>
        <v>Regular/Original Wrapping</v>
      </c>
      <c r="L2366" t="str">
        <f>_xlfn.XLOOKUP($A2366,Load!$B:$B,Load!M:M,0,)</f>
        <v>Single Brand / Variety Flavors or Form</v>
      </c>
    </row>
    <row r="2367" spans="1:12" x14ac:dyDescent="0.25">
      <c r="B2367">
        <f>_xlfn.XLOOKUP($A2367,Load!$B:$B,Load!C:C,0,)</f>
        <v>0</v>
      </c>
      <c r="C2367">
        <f>_xlfn.XLOOKUP($A2367,Load!$B:$B,Load!D:D,0,)</f>
        <v>0</v>
      </c>
      <c r="D2367">
        <f>_xlfn.XLOOKUP($A2367,Load!$B:$B,Load!E:E,0,)</f>
        <v>0</v>
      </c>
      <c r="E2367">
        <f>_xlfn.XLOOKUP($A2367,Load!$B:$B,Load!F:F,0,)</f>
        <v>0</v>
      </c>
      <c r="F2367">
        <f>_xlfn.XLOOKUP($A2367,Load!$B:$B,Load!G:G,0,)</f>
        <v>0</v>
      </c>
      <c r="G2367">
        <f>_xlfn.XLOOKUP($A2367,Load!$B:$B,Load!H:H,0,)</f>
        <v>0</v>
      </c>
      <c r="H2367">
        <f>_xlfn.XLOOKUP($A2367,Load!$B:$B,Load!I:I,0,)</f>
        <v>0</v>
      </c>
      <c r="I2367">
        <f>_xlfn.XLOOKUP($A2367,Load!$B:$B,Load!J:J,0,)</f>
        <v>0</v>
      </c>
      <c r="J2367">
        <f>_xlfn.XLOOKUP($A2367,Load!$B:$B,Load!K:K,0,)</f>
        <v>0</v>
      </c>
      <c r="K2367">
        <f>_xlfn.XLOOKUP($A2367,Load!$B:$B,Load!L:L,0,)</f>
        <v>0</v>
      </c>
      <c r="L2367">
        <f>_xlfn.XLOOKUP($A2367,Load!$B:$B,Load!M:M,0,)</f>
        <v>0</v>
      </c>
    </row>
    <row r="2368" spans="1:12" x14ac:dyDescent="0.25">
      <c r="B2368">
        <f>_xlfn.XLOOKUP($A2368,Load!$B:$B,Load!C:C,0,)</f>
        <v>0</v>
      </c>
      <c r="C2368">
        <f>_xlfn.XLOOKUP($A2368,Load!$B:$B,Load!D:D,0,)</f>
        <v>0</v>
      </c>
      <c r="D2368">
        <f>_xlfn.XLOOKUP($A2368,Load!$B:$B,Load!E:E,0,)</f>
        <v>0</v>
      </c>
      <c r="E2368">
        <f>_xlfn.XLOOKUP($A2368,Load!$B:$B,Load!F:F,0,)</f>
        <v>0</v>
      </c>
      <c r="F2368">
        <f>_xlfn.XLOOKUP($A2368,Load!$B:$B,Load!G:G,0,)</f>
        <v>0</v>
      </c>
      <c r="G2368">
        <f>_xlfn.XLOOKUP($A2368,Load!$B:$B,Load!H:H,0,)</f>
        <v>0</v>
      </c>
      <c r="H2368">
        <f>_xlfn.XLOOKUP($A2368,Load!$B:$B,Load!I:I,0,)</f>
        <v>0</v>
      </c>
      <c r="I2368">
        <f>_xlfn.XLOOKUP($A2368,Load!$B:$B,Load!J:J,0,)</f>
        <v>0</v>
      </c>
      <c r="J2368">
        <f>_xlfn.XLOOKUP($A2368,Load!$B:$B,Load!K:K,0,)</f>
        <v>0</v>
      </c>
      <c r="K2368">
        <f>_xlfn.XLOOKUP($A2368,Load!$B:$B,Load!L:L,0,)</f>
        <v>0</v>
      </c>
      <c r="L2368">
        <f>_xlfn.XLOOKUP($A2368,Load!$B:$B,Load!M:M,0,)</f>
        <v>0</v>
      </c>
    </row>
    <row r="2369" spans="1:12" x14ac:dyDescent="0.25">
      <c r="B2369">
        <f>_xlfn.XLOOKUP($A2369,Load!$B:$B,Load!C:C,0,)</f>
        <v>0</v>
      </c>
      <c r="C2369">
        <f>_xlfn.XLOOKUP($A2369,Load!$B:$B,Load!D:D,0,)</f>
        <v>0</v>
      </c>
      <c r="D2369">
        <f>_xlfn.XLOOKUP($A2369,Load!$B:$B,Load!E:E,0,)</f>
        <v>0</v>
      </c>
      <c r="E2369">
        <f>_xlfn.XLOOKUP($A2369,Load!$B:$B,Load!F:F,0,)</f>
        <v>0</v>
      </c>
      <c r="F2369">
        <f>_xlfn.XLOOKUP($A2369,Load!$B:$B,Load!G:G,0,)</f>
        <v>0</v>
      </c>
      <c r="G2369">
        <f>_xlfn.XLOOKUP($A2369,Load!$B:$B,Load!H:H,0,)</f>
        <v>0</v>
      </c>
      <c r="H2369">
        <f>_xlfn.XLOOKUP($A2369,Load!$B:$B,Load!I:I,0,)</f>
        <v>0</v>
      </c>
      <c r="I2369">
        <f>_xlfn.XLOOKUP($A2369,Load!$B:$B,Load!J:J,0,)</f>
        <v>0</v>
      </c>
      <c r="J2369">
        <f>_xlfn.XLOOKUP($A2369,Load!$B:$B,Load!K:K,0,)</f>
        <v>0</v>
      </c>
      <c r="K2369">
        <f>_xlfn.XLOOKUP($A2369,Load!$B:$B,Load!L:L,0,)</f>
        <v>0</v>
      </c>
      <c r="L2369">
        <f>_xlfn.XLOOKUP($A2369,Load!$B:$B,Load!M:M,0,)</f>
        <v>0</v>
      </c>
    </row>
    <row r="2370" spans="1:12" x14ac:dyDescent="0.25">
      <c r="A2370" t="s">
        <v>170</v>
      </c>
      <c r="B2370" t="str">
        <f>_xlfn.XLOOKUP($A2370,Load!$B:$B,Load!C:C,0,)</f>
        <v>Laffy Taffy</v>
      </c>
      <c r="C2370" t="str">
        <f>_xlfn.XLOOKUP($A2370,Load!$B:$B,Load!D:D,0,)</f>
        <v>Non-Chocolate Candy Only</v>
      </c>
      <c r="D2370" t="str">
        <f>_xlfn.XLOOKUP($A2370,Load!$B:$B,Load!E:E,0,)</f>
        <v>Fruit Flavor (Cherry, Grape, Apple, Citrus, Tropical Fruit)</v>
      </c>
      <c r="E2370" t="str">
        <f>_xlfn.XLOOKUP($A2370,Load!$B:$B,Load!F:F,0,)</f>
        <v>Taffy</v>
      </c>
      <c r="F2370" t="str">
        <f>_xlfn.XLOOKUP($A2370,Load!$B:$B,Load!G:G,0,)</f>
        <v>Large Multipack (More than 80 ct)</v>
      </c>
      <c r="G2370" t="str">
        <f>_xlfn.XLOOKUP($A2370,Load!$B:$B,Load!H:H,0,)</f>
        <v>Stand-Up Bag</v>
      </c>
      <c r="H2370" t="str">
        <f>_xlfn.XLOOKUP($A2370,Load!$B:$B,Load!I:I,0,)</f>
        <v>Everyday Candy Shapes (like Original, Gummy bear, Fruit, Jewels, etc.)</v>
      </c>
      <c r="I2370" t="str">
        <f>_xlfn.XLOOKUP($A2370,Load!$B:$B,Load!J:J,0,)</f>
        <v>Everyday Graphics</v>
      </c>
      <c r="J2370" t="str">
        <f>_xlfn.XLOOKUP($A2370,Load!$B:$B,Load!K:K,0,)</f>
        <v>Fun Size / Treat Size</v>
      </c>
      <c r="K2370" t="str">
        <f>_xlfn.XLOOKUP($A2370,Load!$B:$B,Load!L:L,0,)</f>
        <v>Regular/Original Wrapping</v>
      </c>
      <c r="L2370" t="str">
        <f>_xlfn.XLOOKUP($A2370,Load!$B:$B,Load!M:M,0,)</f>
        <v>Single Brand / Variety Flavors or Form</v>
      </c>
    </row>
    <row r="2371" spans="1:12" x14ac:dyDescent="0.25">
      <c r="B2371">
        <f>_xlfn.XLOOKUP($A2371,Load!$B:$B,Load!C:C,0,)</f>
        <v>0</v>
      </c>
      <c r="C2371">
        <f>_xlfn.XLOOKUP($A2371,Load!$B:$B,Load!D:D,0,)</f>
        <v>0</v>
      </c>
      <c r="D2371">
        <f>_xlfn.XLOOKUP($A2371,Load!$B:$B,Load!E:E,0,)</f>
        <v>0</v>
      </c>
      <c r="E2371">
        <f>_xlfn.XLOOKUP($A2371,Load!$B:$B,Load!F:F,0,)</f>
        <v>0</v>
      </c>
      <c r="F2371">
        <f>_xlfn.XLOOKUP($A2371,Load!$B:$B,Load!G:G,0,)</f>
        <v>0</v>
      </c>
      <c r="G2371">
        <f>_xlfn.XLOOKUP($A2371,Load!$B:$B,Load!H:H,0,)</f>
        <v>0</v>
      </c>
      <c r="H2371">
        <f>_xlfn.XLOOKUP($A2371,Load!$B:$B,Load!I:I,0,)</f>
        <v>0</v>
      </c>
      <c r="I2371">
        <f>_xlfn.XLOOKUP($A2371,Load!$B:$B,Load!J:J,0,)</f>
        <v>0</v>
      </c>
      <c r="J2371">
        <f>_xlfn.XLOOKUP($A2371,Load!$B:$B,Load!K:K,0,)</f>
        <v>0</v>
      </c>
      <c r="K2371">
        <f>_xlfn.XLOOKUP($A2371,Load!$B:$B,Load!L:L,0,)</f>
        <v>0</v>
      </c>
      <c r="L2371">
        <f>_xlfn.XLOOKUP($A2371,Load!$B:$B,Load!M:M,0,)</f>
        <v>0</v>
      </c>
    </row>
    <row r="2372" spans="1:12" x14ac:dyDescent="0.25">
      <c r="B2372">
        <f>_xlfn.XLOOKUP($A2372,Load!$B:$B,Load!C:C,0,)</f>
        <v>0</v>
      </c>
      <c r="C2372">
        <f>_xlfn.XLOOKUP($A2372,Load!$B:$B,Load!D:D,0,)</f>
        <v>0</v>
      </c>
      <c r="D2372">
        <f>_xlfn.XLOOKUP($A2372,Load!$B:$B,Load!E:E,0,)</f>
        <v>0</v>
      </c>
      <c r="E2372">
        <f>_xlfn.XLOOKUP($A2372,Load!$B:$B,Load!F:F,0,)</f>
        <v>0</v>
      </c>
      <c r="F2372">
        <f>_xlfn.XLOOKUP($A2372,Load!$B:$B,Load!G:G,0,)</f>
        <v>0</v>
      </c>
      <c r="G2372">
        <f>_xlfn.XLOOKUP($A2372,Load!$B:$B,Load!H:H,0,)</f>
        <v>0</v>
      </c>
      <c r="H2372">
        <f>_xlfn.XLOOKUP($A2372,Load!$B:$B,Load!I:I,0,)</f>
        <v>0</v>
      </c>
      <c r="I2372">
        <f>_xlfn.XLOOKUP($A2372,Load!$B:$B,Load!J:J,0,)</f>
        <v>0</v>
      </c>
      <c r="J2372">
        <f>_xlfn.XLOOKUP($A2372,Load!$B:$B,Load!K:K,0,)</f>
        <v>0</v>
      </c>
      <c r="K2372">
        <f>_xlfn.XLOOKUP($A2372,Load!$B:$B,Load!L:L,0,)</f>
        <v>0</v>
      </c>
      <c r="L2372">
        <f>_xlfn.XLOOKUP($A2372,Load!$B:$B,Load!M:M,0,)</f>
        <v>0</v>
      </c>
    </row>
    <row r="2373" spans="1:12" x14ac:dyDescent="0.25">
      <c r="B2373">
        <f>_xlfn.XLOOKUP($A2373,Load!$B:$B,Load!C:C,0,)</f>
        <v>0</v>
      </c>
      <c r="C2373">
        <f>_xlfn.XLOOKUP($A2373,Load!$B:$B,Load!D:D,0,)</f>
        <v>0</v>
      </c>
      <c r="D2373">
        <f>_xlfn.XLOOKUP($A2373,Load!$B:$B,Load!E:E,0,)</f>
        <v>0</v>
      </c>
      <c r="E2373">
        <f>_xlfn.XLOOKUP($A2373,Load!$B:$B,Load!F:F,0,)</f>
        <v>0</v>
      </c>
      <c r="F2373">
        <f>_xlfn.XLOOKUP($A2373,Load!$B:$B,Load!G:G,0,)</f>
        <v>0</v>
      </c>
      <c r="G2373">
        <f>_xlfn.XLOOKUP($A2373,Load!$B:$B,Load!H:H,0,)</f>
        <v>0</v>
      </c>
      <c r="H2373">
        <f>_xlfn.XLOOKUP($A2373,Load!$B:$B,Load!I:I,0,)</f>
        <v>0</v>
      </c>
      <c r="I2373">
        <f>_xlfn.XLOOKUP($A2373,Load!$B:$B,Load!J:J,0,)</f>
        <v>0</v>
      </c>
      <c r="J2373">
        <f>_xlfn.XLOOKUP($A2373,Load!$B:$B,Load!K:K,0,)</f>
        <v>0</v>
      </c>
      <c r="K2373">
        <f>_xlfn.XLOOKUP($A2373,Load!$B:$B,Load!L:L,0,)</f>
        <v>0</v>
      </c>
      <c r="L2373">
        <f>_xlfn.XLOOKUP($A2373,Load!$B:$B,Load!M:M,0,)</f>
        <v>0</v>
      </c>
    </row>
    <row r="2374" spans="1:12" x14ac:dyDescent="0.25">
      <c r="A2374" t="s">
        <v>140</v>
      </c>
      <c r="B2374" t="str">
        <f>_xlfn.XLOOKUP($A2374,Load!$B:$B,Load!C:C,0,)</f>
        <v>Hershey's Variety Pack + Haribo</v>
      </c>
      <c r="C2374" t="str">
        <f>_xlfn.XLOOKUP($A2374,Load!$B:$B,Load!D:D,0,)</f>
        <v>Mix of Chocolate and Non-Chocolate Candy</v>
      </c>
      <c r="D2374" t="str">
        <f>_xlfn.XLOOKUP($A2374,Load!$B:$B,Load!E:E,0,)</f>
        <v>Variety / Mixed Flavors (Fruity, Sour, Seasonal Flavors)</v>
      </c>
      <c r="E2374" t="str">
        <f>_xlfn.XLOOKUP($A2374,Load!$B:$B,Load!F:F,0,)</f>
        <v>Mixed / Combo Packs (Gummy, Chewy, Taffy, etc.)</v>
      </c>
      <c r="F2374" t="str">
        <f>_xlfn.XLOOKUP($A2374,Load!$B:$B,Load!G:G,0,)</f>
        <v>Large Multipack (More than 80 ct)</v>
      </c>
      <c r="G2374" t="str">
        <f>_xlfn.XLOOKUP($A2374,Load!$B:$B,Load!H:H,0,)</f>
        <v>Stand-Up Bag</v>
      </c>
      <c r="H2374" t="str">
        <f>_xlfn.XLOOKUP($A2374,Load!$B:$B,Load!I:I,0,)</f>
        <v>Everyday Candy Shapes (like Original, Gummy bear, Fruit, Jewels, etc.)</v>
      </c>
      <c r="I2374" t="str">
        <f>_xlfn.XLOOKUP($A2374,Load!$B:$B,Load!J:J,0,)</f>
        <v>Seasonal Graphics (Like Bat, Ghost, Pumpkin, Fall Leaves, Eyeballs, etc.)</v>
      </c>
      <c r="J2374" t="str">
        <f>_xlfn.XLOOKUP($A2374,Load!$B:$B,Load!K:K,0,)</f>
        <v xml:space="preserve">Variety Candy Sizes </v>
      </c>
      <c r="K2374" t="str">
        <f>_xlfn.XLOOKUP($A2374,Load!$B:$B,Load!L:L,0,)</f>
        <v>Regular/Original Wrapping</v>
      </c>
      <c r="L2374" t="str">
        <f>_xlfn.XLOOKUP($A2374,Load!$B:$B,Load!M:M,0,)</f>
        <v>Multiple Brands / Variety Flavors or Form</v>
      </c>
    </row>
    <row r="2375" spans="1:12" x14ac:dyDescent="0.25">
      <c r="A2375" t="s">
        <v>80</v>
      </c>
      <c r="B2375" t="str">
        <f>_xlfn.XLOOKUP($A2375,Load!$B:$B,Load!C:C,0,)</f>
        <v>Ferrara Variety Pack</v>
      </c>
      <c r="C2375" t="str">
        <f>_xlfn.XLOOKUP($A2375,Load!$B:$B,Load!D:D,0,)</f>
        <v>Non-Chocolate Candy Only</v>
      </c>
      <c r="D2375" t="str">
        <f>_xlfn.XLOOKUP($A2375,Load!$B:$B,Load!E:E,0,)</f>
        <v>Variety / Mixed Flavors (Fruity, Sour, Seasonal Flavors)</v>
      </c>
      <c r="E2375" t="str">
        <f>_xlfn.XLOOKUP($A2375,Load!$B:$B,Load!F:F,0,)</f>
        <v>Mixed / Combo Packs (Gummy, Chewy, Taffy, etc.)</v>
      </c>
      <c r="F2375" t="str">
        <f>_xlfn.XLOOKUP($A2375,Load!$B:$B,Load!G:G,0,)</f>
        <v>Large Multipack (More than 80 ct)</v>
      </c>
      <c r="G2375" t="str">
        <f>_xlfn.XLOOKUP($A2375,Load!$B:$B,Load!H:H,0,)</f>
        <v>Stand-Up Bag</v>
      </c>
      <c r="H2375" t="str">
        <f>_xlfn.XLOOKUP($A2375,Load!$B:$B,Load!I:I,0,)</f>
        <v>Everyday Candy Shapes (like Original, Gummy bear, Fruit, Jewels, etc.)</v>
      </c>
      <c r="I2375" t="str">
        <f>_xlfn.XLOOKUP($A2375,Load!$B:$B,Load!J:J,0,)</f>
        <v>Seasonal Graphics (Like Bat, Ghost, Pumpkin, Fall Leaves, Eyeballs, etc.)</v>
      </c>
      <c r="J2375" t="str">
        <f>_xlfn.XLOOKUP($A2375,Load!$B:$B,Load!K:K,0,)</f>
        <v xml:space="preserve">Variety Candy Sizes </v>
      </c>
      <c r="K2375" t="str">
        <f>_xlfn.XLOOKUP($A2375,Load!$B:$B,Load!L:L,0,)</f>
        <v>Regular/Original Wrapping</v>
      </c>
      <c r="L2375" t="str">
        <f>_xlfn.XLOOKUP($A2375,Load!$B:$B,Load!M:M,0,)</f>
        <v>Multiple Brands / Variety Flavors or Form</v>
      </c>
    </row>
    <row r="2376" spans="1:12" x14ac:dyDescent="0.25">
      <c r="B2376">
        <f>_xlfn.XLOOKUP($A2376,Load!$B:$B,Load!C:C,0,)</f>
        <v>0</v>
      </c>
      <c r="C2376">
        <f>_xlfn.XLOOKUP($A2376,Load!$B:$B,Load!D:D,0,)</f>
        <v>0</v>
      </c>
      <c r="D2376">
        <f>_xlfn.XLOOKUP($A2376,Load!$B:$B,Load!E:E,0,)</f>
        <v>0</v>
      </c>
      <c r="E2376">
        <f>_xlfn.XLOOKUP($A2376,Load!$B:$B,Load!F:F,0,)</f>
        <v>0</v>
      </c>
      <c r="F2376">
        <f>_xlfn.XLOOKUP($A2376,Load!$B:$B,Load!G:G,0,)</f>
        <v>0</v>
      </c>
      <c r="G2376">
        <f>_xlfn.XLOOKUP($A2376,Load!$B:$B,Load!H:H,0,)</f>
        <v>0</v>
      </c>
      <c r="H2376">
        <f>_xlfn.XLOOKUP($A2376,Load!$B:$B,Load!I:I,0,)</f>
        <v>0</v>
      </c>
      <c r="I2376">
        <f>_xlfn.XLOOKUP($A2376,Load!$B:$B,Load!J:J,0,)</f>
        <v>0</v>
      </c>
      <c r="J2376">
        <f>_xlfn.XLOOKUP($A2376,Load!$B:$B,Load!K:K,0,)</f>
        <v>0</v>
      </c>
      <c r="K2376">
        <f>_xlfn.XLOOKUP($A2376,Load!$B:$B,Load!L:L,0,)</f>
        <v>0</v>
      </c>
      <c r="L2376">
        <f>_xlfn.XLOOKUP($A2376,Load!$B:$B,Load!M:M,0,)</f>
        <v>0</v>
      </c>
    </row>
    <row r="2377" spans="1:12" x14ac:dyDescent="0.25">
      <c r="B2377">
        <f>_xlfn.XLOOKUP($A2377,Load!$B:$B,Load!C:C,0,)</f>
        <v>0</v>
      </c>
      <c r="C2377">
        <f>_xlfn.XLOOKUP($A2377,Load!$B:$B,Load!D:D,0,)</f>
        <v>0</v>
      </c>
      <c r="D2377">
        <f>_xlfn.XLOOKUP($A2377,Load!$B:$B,Load!E:E,0,)</f>
        <v>0</v>
      </c>
      <c r="E2377">
        <f>_xlfn.XLOOKUP($A2377,Load!$B:$B,Load!F:F,0,)</f>
        <v>0</v>
      </c>
      <c r="F2377">
        <f>_xlfn.XLOOKUP($A2377,Load!$B:$B,Load!G:G,0,)</f>
        <v>0</v>
      </c>
      <c r="G2377">
        <f>_xlfn.XLOOKUP($A2377,Load!$B:$B,Load!H:H,0,)</f>
        <v>0</v>
      </c>
      <c r="H2377">
        <f>_xlfn.XLOOKUP($A2377,Load!$B:$B,Load!I:I,0,)</f>
        <v>0</v>
      </c>
      <c r="I2377">
        <f>_xlfn.XLOOKUP($A2377,Load!$B:$B,Load!J:J,0,)</f>
        <v>0</v>
      </c>
      <c r="J2377">
        <f>_xlfn.XLOOKUP($A2377,Load!$B:$B,Load!K:K,0,)</f>
        <v>0</v>
      </c>
      <c r="K2377">
        <f>_xlfn.XLOOKUP($A2377,Load!$B:$B,Load!L:L,0,)</f>
        <v>0</v>
      </c>
      <c r="L2377">
        <f>_xlfn.XLOOKUP($A2377,Load!$B:$B,Load!M:M,0,)</f>
        <v>0</v>
      </c>
    </row>
    <row r="2378" spans="1:12" x14ac:dyDescent="0.25">
      <c r="A2378" t="s">
        <v>462</v>
      </c>
      <c r="B2378" t="str">
        <f>_xlfn.XLOOKUP($A2378,Load!$B:$B,Load!C:C,0,)</f>
        <v>Trolli</v>
      </c>
      <c r="C2378" t="str">
        <f>_xlfn.XLOOKUP($A2378,Load!$B:$B,Load!D:D,0,)</f>
        <v>Non-Chocolate Candy Only</v>
      </c>
      <c r="D2378" t="str">
        <f>_xlfn.XLOOKUP($A2378,Load!$B:$B,Load!E:E,0,)</f>
        <v>Sour</v>
      </c>
      <c r="E2378" t="str">
        <f>_xlfn.XLOOKUP($A2378,Load!$B:$B,Load!F:F,0,)</f>
        <v>Gummy</v>
      </c>
      <c r="F2378" t="str">
        <f>_xlfn.XLOOKUP($A2378,Load!$B:$B,Load!G:G,0,)</f>
        <v>Small Multipack (Less than 40 ct)</v>
      </c>
      <c r="G2378" t="str">
        <f>_xlfn.XLOOKUP($A2378,Load!$B:$B,Load!H:H,0,)</f>
        <v>Laydown Bag</v>
      </c>
      <c r="H2378" t="str">
        <f>_xlfn.XLOOKUP($A2378,Load!$B:$B,Load!I:I,0,)</f>
        <v>Seasonal Shapes (like pumpkins, candy corn, ghost, bats, etc.)</v>
      </c>
      <c r="I2378" t="str">
        <f>_xlfn.XLOOKUP($A2378,Load!$B:$B,Load!J:J,0,)</f>
        <v>Seasonal Graphics (Like Bat, Ghost, Pumpkin, Fall Leaves, Eyeballs, etc.)</v>
      </c>
      <c r="J2378" t="str">
        <f>_xlfn.XLOOKUP($A2378,Load!$B:$B,Load!K:K,0,)</f>
        <v>Fun Size / Treat Size</v>
      </c>
      <c r="K2378" t="str">
        <f>_xlfn.XLOOKUP($A2378,Load!$B:$B,Load!L:L,0,)</f>
        <v>Regular/Original Wrapping</v>
      </c>
      <c r="L2378" t="str">
        <f>_xlfn.XLOOKUP($A2378,Load!$B:$B,Load!M:M,0,)</f>
        <v>Single Brand / Variety Flavors or Form</v>
      </c>
    </row>
    <row r="2379" spans="1:12" x14ac:dyDescent="0.25">
      <c r="A2379" t="s">
        <v>121</v>
      </c>
      <c r="B2379" t="str">
        <f>_xlfn.XLOOKUP($A2379,Load!$B:$B,Load!C:C,0,)</f>
        <v>HARIBO</v>
      </c>
      <c r="C2379" t="str">
        <f>_xlfn.XLOOKUP($A2379,Load!$B:$B,Load!D:D,0,)</f>
        <v>Non-Chocolate Candy Only</v>
      </c>
      <c r="D2379" t="str">
        <f>_xlfn.XLOOKUP($A2379,Load!$B:$B,Load!E:E,0,)</f>
        <v>Variety / Mixed Flavors (Fruity, Sour, Seasonal Flavors)</v>
      </c>
      <c r="E2379" t="str">
        <f>_xlfn.XLOOKUP($A2379,Load!$B:$B,Load!F:F,0,)</f>
        <v>Gummy</v>
      </c>
      <c r="F2379" t="str">
        <f>_xlfn.XLOOKUP($A2379,Load!$B:$B,Load!G:G,0,)</f>
        <v>Large Multipack (More than 80 ct)</v>
      </c>
      <c r="G2379" t="str">
        <f>_xlfn.XLOOKUP($A2379,Load!$B:$B,Load!H:H,0,)</f>
        <v>Stand-Up Bag</v>
      </c>
      <c r="H2379" t="str">
        <f>_xlfn.XLOOKUP($A2379,Load!$B:$B,Load!I:I,0,)</f>
        <v>Seasonal Shapes (like pumpkins, candy corn, ghost, bats, etc.)</v>
      </c>
      <c r="I2379" t="str">
        <f>_xlfn.XLOOKUP($A2379,Load!$B:$B,Load!J:J,0,)</f>
        <v>Seasonal Graphics (Like Bat, Ghost, Pumpkin, Fall Leaves, Eyeballs, etc.)</v>
      </c>
      <c r="J2379" t="str">
        <f>_xlfn.XLOOKUP($A2379,Load!$B:$B,Load!K:K,0,)</f>
        <v>Fun Size / Treat Size</v>
      </c>
      <c r="K2379" t="str">
        <f>_xlfn.XLOOKUP($A2379,Load!$B:$B,Load!L:L,0,)</f>
        <v>Regular/Original Wrapping</v>
      </c>
      <c r="L2379" t="str">
        <f>_xlfn.XLOOKUP($A2379,Load!$B:$B,Load!M:M,0,)</f>
        <v>Multiple Brands / Variety Flavors or Form</v>
      </c>
    </row>
    <row r="2380" spans="1:12" x14ac:dyDescent="0.25">
      <c r="B2380">
        <f>_xlfn.XLOOKUP($A2380,Load!$B:$B,Load!C:C,0,)</f>
        <v>0</v>
      </c>
      <c r="C2380">
        <f>_xlfn.XLOOKUP($A2380,Load!$B:$B,Load!D:D,0,)</f>
        <v>0</v>
      </c>
      <c r="D2380">
        <f>_xlfn.XLOOKUP($A2380,Load!$B:$B,Load!E:E,0,)</f>
        <v>0</v>
      </c>
      <c r="E2380">
        <f>_xlfn.XLOOKUP($A2380,Load!$B:$B,Load!F:F,0,)</f>
        <v>0</v>
      </c>
      <c r="F2380">
        <f>_xlfn.XLOOKUP($A2380,Load!$B:$B,Load!G:G,0,)</f>
        <v>0</v>
      </c>
      <c r="G2380">
        <f>_xlfn.XLOOKUP($A2380,Load!$B:$B,Load!H:H,0,)</f>
        <v>0</v>
      </c>
      <c r="H2380">
        <f>_xlfn.XLOOKUP($A2380,Load!$B:$B,Load!I:I,0,)</f>
        <v>0</v>
      </c>
      <c r="I2380">
        <f>_xlfn.XLOOKUP($A2380,Load!$B:$B,Load!J:J,0,)</f>
        <v>0</v>
      </c>
      <c r="J2380">
        <f>_xlfn.XLOOKUP($A2380,Load!$B:$B,Load!K:K,0,)</f>
        <v>0</v>
      </c>
      <c r="K2380">
        <f>_xlfn.XLOOKUP($A2380,Load!$B:$B,Load!L:L,0,)</f>
        <v>0</v>
      </c>
      <c r="L2380">
        <f>_xlfn.XLOOKUP($A2380,Load!$B:$B,Load!M:M,0,)</f>
        <v>0</v>
      </c>
    </row>
    <row r="2381" spans="1:12" x14ac:dyDescent="0.25">
      <c r="B2381">
        <f>_xlfn.XLOOKUP($A2381,Load!$B:$B,Load!C:C,0,)</f>
        <v>0</v>
      </c>
      <c r="C2381">
        <f>_xlfn.XLOOKUP($A2381,Load!$B:$B,Load!D:D,0,)</f>
        <v>0</v>
      </c>
      <c r="D2381">
        <f>_xlfn.XLOOKUP($A2381,Load!$B:$B,Load!E:E,0,)</f>
        <v>0</v>
      </c>
      <c r="E2381">
        <f>_xlfn.XLOOKUP($A2381,Load!$B:$B,Load!F:F,0,)</f>
        <v>0</v>
      </c>
      <c r="F2381">
        <f>_xlfn.XLOOKUP($A2381,Load!$B:$B,Load!G:G,0,)</f>
        <v>0</v>
      </c>
      <c r="G2381">
        <f>_xlfn.XLOOKUP($A2381,Load!$B:$B,Load!H:H,0,)</f>
        <v>0</v>
      </c>
      <c r="H2381">
        <f>_xlfn.XLOOKUP($A2381,Load!$B:$B,Load!I:I,0,)</f>
        <v>0</v>
      </c>
      <c r="I2381">
        <f>_xlfn.XLOOKUP($A2381,Load!$B:$B,Load!J:J,0,)</f>
        <v>0</v>
      </c>
      <c r="J2381">
        <f>_xlfn.XLOOKUP($A2381,Load!$B:$B,Load!K:K,0,)</f>
        <v>0</v>
      </c>
      <c r="K2381">
        <f>_xlfn.XLOOKUP($A2381,Load!$B:$B,Load!L:L,0,)</f>
        <v>0</v>
      </c>
      <c r="L2381">
        <f>_xlfn.XLOOKUP($A2381,Load!$B:$B,Load!M:M,0,)</f>
        <v>0</v>
      </c>
    </row>
    <row r="2382" spans="1:12" x14ac:dyDescent="0.25">
      <c r="A2382" t="s">
        <v>139</v>
      </c>
      <c r="B2382" t="str">
        <f>_xlfn.XLOOKUP($A2382,Load!$B:$B,Load!C:C,0,)</f>
        <v>Hershey's Variety Pack + Haribo</v>
      </c>
      <c r="C2382" t="str">
        <f>_xlfn.XLOOKUP($A2382,Load!$B:$B,Load!D:D,0,)</f>
        <v>Mix of Chocolate and Non-Chocolate Candy</v>
      </c>
      <c r="D2382" t="str">
        <f>_xlfn.XLOOKUP($A2382,Load!$B:$B,Load!E:E,0,)</f>
        <v>Variety / Mixed Flavors (Fruity, Sour, Seasonal Flavors)</v>
      </c>
      <c r="E2382" t="str">
        <f>_xlfn.XLOOKUP($A2382,Load!$B:$B,Load!F:F,0,)</f>
        <v>Mixed / Combo Packs (Gummy, Chewy, Taffy, etc.)</v>
      </c>
      <c r="F2382" t="str">
        <f>_xlfn.XLOOKUP($A2382,Load!$B:$B,Load!G:G,0,)</f>
        <v>Large Multipack (More than 80 ct)</v>
      </c>
      <c r="G2382" t="str">
        <f>_xlfn.XLOOKUP($A2382,Load!$B:$B,Load!H:H,0,)</f>
        <v>Stand-Up Bag</v>
      </c>
      <c r="H2382" t="str">
        <f>_xlfn.XLOOKUP($A2382,Load!$B:$B,Load!I:I,0,)</f>
        <v>Everyday Candy Shapes (like Original, Gummy bear, Fruit, Jewels, etc.)</v>
      </c>
      <c r="I2382" t="str">
        <f>_xlfn.XLOOKUP($A2382,Load!$B:$B,Load!J:J,0,)</f>
        <v>Seasonal Graphics (Like Bat, Ghost, Pumpkin, Fall Leaves, Eyeballs, etc.)</v>
      </c>
      <c r="J2382" t="str">
        <f>_xlfn.XLOOKUP($A2382,Load!$B:$B,Load!K:K,0,)</f>
        <v>Fun Size / Treat Size</v>
      </c>
      <c r="K2382" t="str">
        <f>_xlfn.XLOOKUP($A2382,Load!$B:$B,Load!L:L,0,)</f>
        <v>Regular/Original Wrapping</v>
      </c>
      <c r="L2382" t="str">
        <f>_xlfn.XLOOKUP($A2382,Load!$B:$B,Load!M:M,0,)</f>
        <v>Multiple Brands / Variety Flavors or Form</v>
      </c>
    </row>
    <row r="2383" spans="1:12" x14ac:dyDescent="0.25">
      <c r="A2383" t="s">
        <v>140</v>
      </c>
      <c r="B2383" t="str">
        <f>_xlfn.XLOOKUP($A2383,Load!$B:$B,Load!C:C,0,)</f>
        <v>Hershey's Variety Pack + Haribo</v>
      </c>
      <c r="C2383" t="str">
        <f>_xlfn.XLOOKUP($A2383,Load!$B:$B,Load!D:D,0,)</f>
        <v>Mix of Chocolate and Non-Chocolate Candy</v>
      </c>
      <c r="D2383" t="str">
        <f>_xlfn.XLOOKUP($A2383,Load!$B:$B,Load!E:E,0,)</f>
        <v>Variety / Mixed Flavors (Fruity, Sour, Seasonal Flavors)</v>
      </c>
      <c r="E2383" t="str">
        <f>_xlfn.XLOOKUP($A2383,Load!$B:$B,Load!F:F,0,)</f>
        <v>Mixed / Combo Packs (Gummy, Chewy, Taffy, etc.)</v>
      </c>
      <c r="F2383" t="str">
        <f>_xlfn.XLOOKUP($A2383,Load!$B:$B,Load!G:G,0,)</f>
        <v>Large Multipack (More than 80 ct)</v>
      </c>
      <c r="G2383" t="str">
        <f>_xlfn.XLOOKUP($A2383,Load!$B:$B,Load!H:H,0,)</f>
        <v>Stand-Up Bag</v>
      </c>
      <c r="H2383" t="str">
        <f>_xlfn.XLOOKUP($A2383,Load!$B:$B,Load!I:I,0,)</f>
        <v>Everyday Candy Shapes (like Original, Gummy bear, Fruit, Jewels, etc.)</v>
      </c>
      <c r="I2383" t="str">
        <f>_xlfn.XLOOKUP($A2383,Load!$B:$B,Load!J:J,0,)</f>
        <v>Seasonal Graphics (Like Bat, Ghost, Pumpkin, Fall Leaves, Eyeballs, etc.)</v>
      </c>
      <c r="J2383" t="str">
        <f>_xlfn.XLOOKUP($A2383,Load!$B:$B,Load!K:K,0,)</f>
        <v xml:space="preserve">Variety Candy Sizes </v>
      </c>
      <c r="K2383" t="str">
        <f>_xlfn.XLOOKUP($A2383,Load!$B:$B,Load!L:L,0,)</f>
        <v>Regular/Original Wrapping</v>
      </c>
      <c r="L2383" t="str">
        <f>_xlfn.XLOOKUP($A2383,Load!$B:$B,Load!M:M,0,)</f>
        <v>Multiple Brands / Variety Flavors or Form</v>
      </c>
    </row>
    <row r="2384" spans="1:12" x14ac:dyDescent="0.25">
      <c r="B2384">
        <f>_xlfn.XLOOKUP($A2384,Load!$B:$B,Load!C:C,0,)</f>
        <v>0</v>
      </c>
      <c r="C2384">
        <f>_xlfn.XLOOKUP($A2384,Load!$B:$B,Load!D:D,0,)</f>
        <v>0</v>
      </c>
      <c r="D2384">
        <f>_xlfn.XLOOKUP($A2384,Load!$B:$B,Load!E:E,0,)</f>
        <v>0</v>
      </c>
      <c r="E2384">
        <f>_xlfn.XLOOKUP($A2384,Load!$B:$B,Load!F:F,0,)</f>
        <v>0</v>
      </c>
      <c r="F2384">
        <f>_xlfn.XLOOKUP($A2384,Load!$B:$B,Load!G:G,0,)</f>
        <v>0</v>
      </c>
      <c r="G2384">
        <f>_xlfn.XLOOKUP($A2384,Load!$B:$B,Load!H:H,0,)</f>
        <v>0</v>
      </c>
      <c r="H2384">
        <f>_xlfn.XLOOKUP($A2384,Load!$B:$B,Load!I:I,0,)</f>
        <v>0</v>
      </c>
      <c r="I2384">
        <f>_xlfn.XLOOKUP($A2384,Load!$B:$B,Load!J:J,0,)</f>
        <v>0</v>
      </c>
      <c r="J2384">
        <f>_xlfn.XLOOKUP($A2384,Load!$B:$B,Load!K:K,0,)</f>
        <v>0</v>
      </c>
      <c r="K2384">
        <f>_xlfn.XLOOKUP($A2384,Load!$B:$B,Load!L:L,0,)</f>
        <v>0</v>
      </c>
      <c r="L2384">
        <f>_xlfn.XLOOKUP($A2384,Load!$B:$B,Load!M:M,0,)</f>
        <v>0</v>
      </c>
    </row>
    <row r="2385" spans="1:12" x14ac:dyDescent="0.25">
      <c r="B2385">
        <f>_xlfn.XLOOKUP($A2385,Load!$B:$B,Load!C:C,0,)</f>
        <v>0</v>
      </c>
      <c r="C2385">
        <f>_xlfn.XLOOKUP($A2385,Load!$B:$B,Load!D:D,0,)</f>
        <v>0</v>
      </c>
      <c r="D2385">
        <f>_xlfn.XLOOKUP($A2385,Load!$B:$B,Load!E:E,0,)</f>
        <v>0</v>
      </c>
      <c r="E2385">
        <f>_xlfn.XLOOKUP($A2385,Load!$B:$B,Load!F:F,0,)</f>
        <v>0</v>
      </c>
      <c r="F2385">
        <f>_xlfn.XLOOKUP($A2385,Load!$B:$B,Load!G:G,0,)</f>
        <v>0</v>
      </c>
      <c r="G2385">
        <f>_xlfn.XLOOKUP($A2385,Load!$B:$B,Load!H:H,0,)</f>
        <v>0</v>
      </c>
      <c r="H2385">
        <f>_xlfn.XLOOKUP($A2385,Load!$B:$B,Load!I:I,0,)</f>
        <v>0</v>
      </c>
      <c r="I2385">
        <f>_xlfn.XLOOKUP($A2385,Load!$B:$B,Load!J:J,0,)</f>
        <v>0</v>
      </c>
      <c r="J2385">
        <f>_xlfn.XLOOKUP($A2385,Load!$B:$B,Load!K:K,0,)</f>
        <v>0</v>
      </c>
      <c r="K2385">
        <f>_xlfn.XLOOKUP($A2385,Load!$B:$B,Load!L:L,0,)</f>
        <v>0</v>
      </c>
      <c r="L2385">
        <f>_xlfn.XLOOKUP($A2385,Load!$B:$B,Load!M:M,0,)</f>
        <v>0</v>
      </c>
    </row>
    <row r="2386" spans="1:12" x14ac:dyDescent="0.25">
      <c r="B2386">
        <f>_xlfn.XLOOKUP($A2386,Load!$B:$B,Load!C:C,0,)</f>
        <v>0</v>
      </c>
      <c r="C2386">
        <f>_xlfn.XLOOKUP($A2386,Load!$B:$B,Load!D:D,0,)</f>
        <v>0</v>
      </c>
      <c r="D2386">
        <f>_xlfn.XLOOKUP($A2386,Load!$B:$B,Load!E:E,0,)</f>
        <v>0</v>
      </c>
      <c r="E2386">
        <f>_xlfn.XLOOKUP($A2386,Load!$B:$B,Load!F:F,0,)</f>
        <v>0</v>
      </c>
      <c r="F2386">
        <f>_xlfn.XLOOKUP($A2386,Load!$B:$B,Load!G:G,0,)</f>
        <v>0</v>
      </c>
      <c r="G2386">
        <f>_xlfn.XLOOKUP($A2386,Load!$B:$B,Load!H:H,0,)</f>
        <v>0</v>
      </c>
      <c r="H2386">
        <f>_xlfn.XLOOKUP($A2386,Load!$B:$B,Load!I:I,0,)</f>
        <v>0</v>
      </c>
      <c r="I2386">
        <f>_xlfn.XLOOKUP($A2386,Load!$B:$B,Load!J:J,0,)</f>
        <v>0</v>
      </c>
      <c r="J2386">
        <f>_xlfn.XLOOKUP($A2386,Load!$B:$B,Load!K:K,0,)</f>
        <v>0</v>
      </c>
      <c r="K2386">
        <f>_xlfn.XLOOKUP($A2386,Load!$B:$B,Load!L:L,0,)</f>
        <v>0</v>
      </c>
      <c r="L2386">
        <f>_xlfn.XLOOKUP($A2386,Load!$B:$B,Load!M:M,0,)</f>
        <v>0</v>
      </c>
    </row>
    <row r="2387" spans="1:12" x14ac:dyDescent="0.25">
      <c r="B2387">
        <f>_xlfn.XLOOKUP($A2387,Load!$B:$B,Load!C:C,0,)</f>
        <v>0</v>
      </c>
      <c r="C2387">
        <f>_xlfn.XLOOKUP($A2387,Load!$B:$B,Load!D:D,0,)</f>
        <v>0</v>
      </c>
      <c r="D2387">
        <f>_xlfn.XLOOKUP($A2387,Load!$B:$B,Load!E:E,0,)</f>
        <v>0</v>
      </c>
      <c r="E2387">
        <f>_xlfn.XLOOKUP($A2387,Load!$B:$B,Load!F:F,0,)</f>
        <v>0</v>
      </c>
      <c r="F2387">
        <f>_xlfn.XLOOKUP($A2387,Load!$B:$B,Load!G:G,0,)</f>
        <v>0</v>
      </c>
      <c r="G2387">
        <f>_xlfn.XLOOKUP($A2387,Load!$B:$B,Load!H:H,0,)</f>
        <v>0</v>
      </c>
      <c r="H2387">
        <f>_xlfn.XLOOKUP($A2387,Load!$B:$B,Load!I:I,0,)</f>
        <v>0</v>
      </c>
      <c r="I2387">
        <f>_xlfn.XLOOKUP($A2387,Load!$B:$B,Load!J:J,0,)</f>
        <v>0</v>
      </c>
      <c r="J2387">
        <f>_xlfn.XLOOKUP($A2387,Load!$B:$B,Load!K:K,0,)</f>
        <v>0</v>
      </c>
      <c r="K2387">
        <f>_xlfn.XLOOKUP($A2387,Load!$B:$B,Load!L:L,0,)</f>
        <v>0</v>
      </c>
      <c r="L2387">
        <f>_xlfn.XLOOKUP($A2387,Load!$B:$B,Load!M:M,0,)</f>
        <v>0</v>
      </c>
    </row>
    <row r="2388" spans="1:12" x14ac:dyDescent="0.25">
      <c r="B2388">
        <f>_xlfn.XLOOKUP($A2388,Load!$B:$B,Load!C:C,0,)</f>
        <v>0</v>
      </c>
      <c r="C2388">
        <f>_xlfn.XLOOKUP($A2388,Load!$B:$B,Load!D:D,0,)</f>
        <v>0</v>
      </c>
      <c r="D2388">
        <f>_xlfn.XLOOKUP($A2388,Load!$B:$B,Load!E:E,0,)</f>
        <v>0</v>
      </c>
      <c r="E2388">
        <f>_xlfn.XLOOKUP($A2388,Load!$B:$B,Load!F:F,0,)</f>
        <v>0</v>
      </c>
      <c r="F2388">
        <f>_xlfn.XLOOKUP($A2388,Load!$B:$B,Load!G:G,0,)</f>
        <v>0</v>
      </c>
      <c r="G2388">
        <f>_xlfn.XLOOKUP($A2388,Load!$B:$B,Load!H:H,0,)</f>
        <v>0</v>
      </c>
      <c r="H2388">
        <f>_xlfn.XLOOKUP($A2388,Load!$B:$B,Load!I:I,0,)</f>
        <v>0</v>
      </c>
      <c r="I2388">
        <f>_xlfn.XLOOKUP($A2388,Load!$B:$B,Load!J:J,0,)</f>
        <v>0</v>
      </c>
      <c r="J2388">
        <f>_xlfn.XLOOKUP($A2388,Load!$B:$B,Load!K:K,0,)</f>
        <v>0</v>
      </c>
      <c r="K2388">
        <f>_xlfn.XLOOKUP($A2388,Load!$B:$B,Load!L:L,0,)</f>
        <v>0</v>
      </c>
      <c r="L2388">
        <f>_xlfn.XLOOKUP($A2388,Load!$B:$B,Load!M:M,0,)</f>
        <v>0</v>
      </c>
    </row>
    <row r="2389" spans="1:12" x14ac:dyDescent="0.25">
      <c r="B2389">
        <f>_xlfn.XLOOKUP($A2389,Load!$B:$B,Load!C:C,0,)</f>
        <v>0</v>
      </c>
      <c r="C2389">
        <f>_xlfn.XLOOKUP($A2389,Load!$B:$B,Load!D:D,0,)</f>
        <v>0</v>
      </c>
      <c r="D2389">
        <f>_xlfn.XLOOKUP($A2389,Load!$B:$B,Load!E:E,0,)</f>
        <v>0</v>
      </c>
      <c r="E2389">
        <f>_xlfn.XLOOKUP($A2389,Load!$B:$B,Load!F:F,0,)</f>
        <v>0</v>
      </c>
      <c r="F2389">
        <f>_xlfn.XLOOKUP($A2389,Load!$B:$B,Load!G:G,0,)</f>
        <v>0</v>
      </c>
      <c r="G2389">
        <f>_xlfn.XLOOKUP($A2389,Load!$B:$B,Load!H:H,0,)</f>
        <v>0</v>
      </c>
      <c r="H2389">
        <f>_xlfn.XLOOKUP($A2389,Load!$B:$B,Load!I:I,0,)</f>
        <v>0</v>
      </c>
      <c r="I2389">
        <f>_xlfn.XLOOKUP($A2389,Load!$B:$B,Load!J:J,0,)</f>
        <v>0</v>
      </c>
      <c r="J2389">
        <f>_xlfn.XLOOKUP($A2389,Load!$B:$B,Load!K:K,0,)</f>
        <v>0</v>
      </c>
      <c r="K2389">
        <f>_xlfn.XLOOKUP($A2389,Load!$B:$B,Load!L:L,0,)</f>
        <v>0</v>
      </c>
      <c r="L2389">
        <f>_xlfn.XLOOKUP($A2389,Load!$B:$B,Load!M:M,0,)</f>
        <v>0</v>
      </c>
    </row>
    <row r="2390" spans="1:12" x14ac:dyDescent="0.25">
      <c r="B2390">
        <f>_xlfn.XLOOKUP($A2390,Load!$B:$B,Load!C:C,0,)</f>
        <v>0</v>
      </c>
      <c r="C2390">
        <f>_xlfn.XLOOKUP($A2390,Load!$B:$B,Load!D:D,0,)</f>
        <v>0</v>
      </c>
      <c r="D2390">
        <f>_xlfn.XLOOKUP($A2390,Load!$B:$B,Load!E:E,0,)</f>
        <v>0</v>
      </c>
      <c r="E2390">
        <f>_xlfn.XLOOKUP($A2390,Load!$B:$B,Load!F:F,0,)</f>
        <v>0</v>
      </c>
      <c r="F2390">
        <f>_xlfn.XLOOKUP($A2390,Load!$B:$B,Load!G:G,0,)</f>
        <v>0</v>
      </c>
      <c r="G2390">
        <f>_xlfn.XLOOKUP($A2390,Load!$B:$B,Load!H:H,0,)</f>
        <v>0</v>
      </c>
      <c r="H2390">
        <f>_xlfn.XLOOKUP($A2390,Load!$B:$B,Load!I:I,0,)</f>
        <v>0</v>
      </c>
      <c r="I2390">
        <f>_xlfn.XLOOKUP($A2390,Load!$B:$B,Load!J:J,0,)</f>
        <v>0</v>
      </c>
      <c r="J2390">
        <f>_xlfn.XLOOKUP($A2390,Load!$B:$B,Load!K:K,0,)</f>
        <v>0</v>
      </c>
      <c r="K2390">
        <f>_xlfn.XLOOKUP($A2390,Load!$B:$B,Load!L:L,0,)</f>
        <v>0</v>
      </c>
      <c r="L2390">
        <f>_xlfn.XLOOKUP($A2390,Load!$B:$B,Load!M:M,0,)</f>
        <v>0</v>
      </c>
    </row>
    <row r="2391" spans="1:12" x14ac:dyDescent="0.25">
      <c r="B2391">
        <f>_xlfn.XLOOKUP($A2391,Load!$B:$B,Load!C:C,0,)</f>
        <v>0</v>
      </c>
      <c r="C2391">
        <f>_xlfn.XLOOKUP($A2391,Load!$B:$B,Load!D:D,0,)</f>
        <v>0</v>
      </c>
      <c r="D2391">
        <f>_xlfn.XLOOKUP($A2391,Load!$B:$B,Load!E:E,0,)</f>
        <v>0</v>
      </c>
      <c r="E2391">
        <f>_xlfn.XLOOKUP($A2391,Load!$B:$B,Load!F:F,0,)</f>
        <v>0</v>
      </c>
      <c r="F2391">
        <f>_xlfn.XLOOKUP($A2391,Load!$B:$B,Load!G:G,0,)</f>
        <v>0</v>
      </c>
      <c r="G2391">
        <f>_xlfn.XLOOKUP($A2391,Load!$B:$B,Load!H:H,0,)</f>
        <v>0</v>
      </c>
      <c r="H2391">
        <f>_xlfn.XLOOKUP($A2391,Load!$B:$B,Load!I:I,0,)</f>
        <v>0</v>
      </c>
      <c r="I2391">
        <f>_xlfn.XLOOKUP($A2391,Load!$B:$B,Load!J:J,0,)</f>
        <v>0</v>
      </c>
      <c r="J2391">
        <f>_xlfn.XLOOKUP($A2391,Load!$B:$B,Load!K:K,0,)</f>
        <v>0</v>
      </c>
      <c r="K2391">
        <f>_xlfn.XLOOKUP($A2391,Load!$B:$B,Load!L:L,0,)</f>
        <v>0</v>
      </c>
      <c r="L2391">
        <f>_xlfn.XLOOKUP($A2391,Load!$B:$B,Load!M:M,0,)</f>
        <v>0</v>
      </c>
    </row>
    <row r="2392" spans="1:12" x14ac:dyDescent="0.25">
      <c r="B2392">
        <f>_xlfn.XLOOKUP($A2392,Load!$B:$B,Load!C:C,0,)</f>
        <v>0</v>
      </c>
      <c r="C2392">
        <f>_xlfn.XLOOKUP($A2392,Load!$B:$B,Load!D:D,0,)</f>
        <v>0</v>
      </c>
      <c r="D2392">
        <f>_xlfn.XLOOKUP($A2392,Load!$B:$B,Load!E:E,0,)</f>
        <v>0</v>
      </c>
      <c r="E2392">
        <f>_xlfn.XLOOKUP($A2392,Load!$B:$B,Load!F:F,0,)</f>
        <v>0</v>
      </c>
      <c r="F2392">
        <f>_xlfn.XLOOKUP($A2392,Load!$B:$B,Load!G:G,0,)</f>
        <v>0</v>
      </c>
      <c r="G2392">
        <f>_xlfn.XLOOKUP($A2392,Load!$B:$B,Load!H:H,0,)</f>
        <v>0</v>
      </c>
      <c r="H2392">
        <f>_xlfn.XLOOKUP($A2392,Load!$B:$B,Load!I:I,0,)</f>
        <v>0</v>
      </c>
      <c r="I2392">
        <f>_xlfn.XLOOKUP($A2392,Load!$B:$B,Load!J:J,0,)</f>
        <v>0</v>
      </c>
      <c r="J2392">
        <f>_xlfn.XLOOKUP($A2392,Load!$B:$B,Load!K:K,0,)</f>
        <v>0</v>
      </c>
      <c r="K2392">
        <f>_xlfn.XLOOKUP($A2392,Load!$B:$B,Load!L:L,0,)</f>
        <v>0</v>
      </c>
      <c r="L2392">
        <f>_xlfn.XLOOKUP($A2392,Load!$B:$B,Load!M:M,0,)</f>
        <v>0</v>
      </c>
    </row>
    <row r="2393" spans="1:12" x14ac:dyDescent="0.25">
      <c r="B2393">
        <f>_xlfn.XLOOKUP($A2393,Load!$B:$B,Load!C:C,0,)</f>
        <v>0</v>
      </c>
      <c r="C2393">
        <f>_xlfn.XLOOKUP($A2393,Load!$B:$B,Load!D:D,0,)</f>
        <v>0</v>
      </c>
      <c r="D2393">
        <f>_xlfn.XLOOKUP($A2393,Load!$B:$B,Load!E:E,0,)</f>
        <v>0</v>
      </c>
      <c r="E2393">
        <f>_xlfn.XLOOKUP($A2393,Load!$B:$B,Load!F:F,0,)</f>
        <v>0</v>
      </c>
      <c r="F2393">
        <f>_xlfn.XLOOKUP($A2393,Load!$B:$B,Load!G:G,0,)</f>
        <v>0</v>
      </c>
      <c r="G2393">
        <f>_xlfn.XLOOKUP($A2393,Load!$B:$B,Load!H:H,0,)</f>
        <v>0</v>
      </c>
      <c r="H2393">
        <f>_xlfn.XLOOKUP($A2393,Load!$B:$B,Load!I:I,0,)</f>
        <v>0</v>
      </c>
      <c r="I2393">
        <f>_xlfn.XLOOKUP($A2393,Load!$B:$B,Load!J:J,0,)</f>
        <v>0</v>
      </c>
      <c r="J2393">
        <f>_xlfn.XLOOKUP($A2393,Load!$B:$B,Load!K:K,0,)</f>
        <v>0</v>
      </c>
      <c r="K2393">
        <f>_xlfn.XLOOKUP($A2393,Load!$B:$B,Load!L:L,0,)</f>
        <v>0</v>
      </c>
      <c r="L2393">
        <f>_xlfn.XLOOKUP($A2393,Load!$B:$B,Load!M:M,0,)</f>
        <v>0</v>
      </c>
    </row>
    <row r="2394" spans="1:12" x14ac:dyDescent="0.25">
      <c r="A2394" t="s">
        <v>170</v>
      </c>
      <c r="B2394" t="str">
        <f>_xlfn.XLOOKUP($A2394,Load!$B:$B,Load!C:C,0,)</f>
        <v>Laffy Taffy</v>
      </c>
      <c r="C2394" t="str">
        <f>_xlfn.XLOOKUP($A2394,Load!$B:$B,Load!D:D,0,)</f>
        <v>Non-Chocolate Candy Only</v>
      </c>
      <c r="D2394" t="str">
        <f>_xlfn.XLOOKUP($A2394,Load!$B:$B,Load!E:E,0,)</f>
        <v>Fruit Flavor (Cherry, Grape, Apple, Citrus, Tropical Fruit)</v>
      </c>
      <c r="E2394" t="str">
        <f>_xlfn.XLOOKUP($A2394,Load!$B:$B,Load!F:F,0,)</f>
        <v>Taffy</v>
      </c>
      <c r="F2394" t="str">
        <f>_xlfn.XLOOKUP($A2394,Load!$B:$B,Load!G:G,0,)</f>
        <v>Large Multipack (More than 80 ct)</v>
      </c>
      <c r="G2394" t="str">
        <f>_xlfn.XLOOKUP($A2394,Load!$B:$B,Load!H:H,0,)</f>
        <v>Stand-Up Bag</v>
      </c>
      <c r="H2394" t="str">
        <f>_xlfn.XLOOKUP($A2394,Load!$B:$B,Load!I:I,0,)</f>
        <v>Everyday Candy Shapes (like Original, Gummy bear, Fruit, Jewels, etc.)</v>
      </c>
      <c r="I2394" t="str">
        <f>_xlfn.XLOOKUP($A2394,Load!$B:$B,Load!J:J,0,)</f>
        <v>Everyday Graphics</v>
      </c>
      <c r="J2394" t="str">
        <f>_xlfn.XLOOKUP($A2394,Load!$B:$B,Load!K:K,0,)</f>
        <v>Fun Size / Treat Size</v>
      </c>
      <c r="K2394" t="str">
        <f>_xlfn.XLOOKUP($A2394,Load!$B:$B,Load!L:L,0,)</f>
        <v>Regular/Original Wrapping</v>
      </c>
      <c r="L2394" t="str">
        <f>_xlfn.XLOOKUP($A2394,Load!$B:$B,Load!M:M,0,)</f>
        <v>Single Brand / Variety Flavors or Form</v>
      </c>
    </row>
    <row r="2395" spans="1:12" x14ac:dyDescent="0.25">
      <c r="A2395" t="s">
        <v>146</v>
      </c>
      <c r="B2395" t="str">
        <f>_xlfn.XLOOKUP($A2395,Load!$B:$B,Load!C:C,0,)</f>
        <v>Hi Chew</v>
      </c>
      <c r="C2395" t="str">
        <f>_xlfn.XLOOKUP($A2395,Load!$B:$B,Load!D:D,0,)</f>
        <v>Non-Chocolate Candy Only</v>
      </c>
      <c r="D2395" t="str">
        <f>_xlfn.XLOOKUP($A2395,Load!$B:$B,Load!E:E,0,)</f>
        <v>Fruit Flavor (Cherry, Grape, Apple, Citrus, Tropical Fruit)</v>
      </c>
      <c r="E2395" t="str">
        <f>_xlfn.XLOOKUP($A2395,Load!$B:$B,Load!F:F,0,)</f>
        <v>Gummy</v>
      </c>
      <c r="F2395" t="str">
        <f>_xlfn.XLOOKUP($A2395,Load!$B:$B,Load!G:G,0,)</f>
        <v>Medium Multipack (40–80 ct)</v>
      </c>
      <c r="G2395" t="str">
        <f>_xlfn.XLOOKUP($A2395,Load!$B:$B,Load!H:H,0,)</f>
        <v>Stand-Up Bag</v>
      </c>
      <c r="H2395" t="str">
        <f>_xlfn.XLOOKUP($A2395,Load!$B:$B,Load!I:I,0,)</f>
        <v>Everyday Candy Shapes (like Original, Gummy bear, Fruit, Jewels, etc.)</v>
      </c>
      <c r="I2395" t="str">
        <f>_xlfn.XLOOKUP($A2395,Load!$B:$B,Load!J:J,0,)</f>
        <v>Seasonal Graphics (Like Bat, Ghost, Pumpkin, Fall Leaves, Eyeballs, etc.)</v>
      </c>
      <c r="J2395" t="str">
        <f>_xlfn.XLOOKUP($A2395,Load!$B:$B,Load!K:K,0,)</f>
        <v>Fun Size / Treat Size</v>
      </c>
      <c r="K2395" t="str">
        <f>_xlfn.XLOOKUP($A2395,Load!$B:$B,Load!L:L,0,)</f>
        <v>Regular/Original Wrapping</v>
      </c>
      <c r="L2395" t="str">
        <f>_xlfn.XLOOKUP($A2395,Load!$B:$B,Load!M:M,0,)</f>
        <v>Multiple Brands / Variety Flavors or Form</v>
      </c>
    </row>
    <row r="2396" spans="1:12" x14ac:dyDescent="0.25">
      <c r="A2396" t="s">
        <v>46</v>
      </c>
      <c r="B2396" t="str">
        <f>_xlfn.XLOOKUP($A2396,Load!$B:$B,Load!C:C,0,)</f>
        <v>Brach's</v>
      </c>
      <c r="C2396" t="str">
        <f>_xlfn.XLOOKUP($A2396,Load!$B:$B,Load!D:D,0,)</f>
        <v>Non-Chocolate Candy Only</v>
      </c>
      <c r="D2396" t="str">
        <f>_xlfn.XLOOKUP($A2396,Load!$B:$B,Load!E:E,0,)</f>
        <v>Fall / Seasonal Flavors (pumpkin spice, caramel apple, candy corn)</v>
      </c>
      <c r="E2396" t="str">
        <f>_xlfn.XLOOKUP($A2396,Load!$B:$B,Load!F:F,0,)</f>
        <v>Candy Pieces / Bites</v>
      </c>
      <c r="F2396" t="str">
        <f>_xlfn.XLOOKUP($A2396,Load!$B:$B,Load!G:G,0,)</f>
        <v>Single Pack</v>
      </c>
      <c r="G2396" t="str">
        <f>_xlfn.XLOOKUP($A2396,Load!$B:$B,Load!H:H,0,)</f>
        <v>Laydown Bag</v>
      </c>
      <c r="H2396" t="str">
        <f>_xlfn.XLOOKUP($A2396,Load!$B:$B,Load!I:I,0,)</f>
        <v>Seasonal Shapes (like pumpkins, candy corn, ghost, bats, etc.)</v>
      </c>
      <c r="I2396" t="str">
        <f>_xlfn.XLOOKUP($A2396,Load!$B:$B,Load!J:J,0,)</f>
        <v>Seasonal Graphics (Like Bat, Ghost, Pumpkin, Fall Leaves, Eyeballs, etc.)</v>
      </c>
      <c r="J2396" t="str">
        <f>_xlfn.XLOOKUP($A2396,Load!$B:$B,Load!K:K,0,)</f>
        <v>Small Pieces (Tiny bite size candies)</v>
      </c>
      <c r="K2396" t="str">
        <f>_xlfn.XLOOKUP($A2396,Load!$B:$B,Load!L:L,0,)</f>
        <v>Unwrapped</v>
      </c>
      <c r="L2396" t="str">
        <f>_xlfn.XLOOKUP($A2396,Load!$B:$B,Load!M:M,0,)</f>
        <v>Single Brand / Variety Flavors or Form</v>
      </c>
    </row>
    <row r="2397" spans="1:12" x14ac:dyDescent="0.25">
      <c r="B2397">
        <f>_xlfn.XLOOKUP($A2397,Load!$B:$B,Load!C:C,0,)</f>
        <v>0</v>
      </c>
      <c r="C2397">
        <f>_xlfn.XLOOKUP($A2397,Load!$B:$B,Load!D:D,0,)</f>
        <v>0</v>
      </c>
      <c r="D2397">
        <f>_xlfn.XLOOKUP($A2397,Load!$B:$B,Load!E:E,0,)</f>
        <v>0</v>
      </c>
      <c r="E2397">
        <f>_xlfn.XLOOKUP($A2397,Load!$B:$B,Load!F:F,0,)</f>
        <v>0</v>
      </c>
      <c r="F2397">
        <f>_xlfn.XLOOKUP($A2397,Load!$B:$B,Load!G:G,0,)</f>
        <v>0</v>
      </c>
      <c r="G2397">
        <f>_xlfn.XLOOKUP($A2397,Load!$B:$B,Load!H:H,0,)</f>
        <v>0</v>
      </c>
      <c r="H2397">
        <f>_xlfn.XLOOKUP($A2397,Load!$B:$B,Load!I:I,0,)</f>
        <v>0</v>
      </c>
      <c r="I2397">
        <f>_xlfn.XLOOKUP($A2397,Load!$B:$B,Load!J:J,0,)</f>
        <v>0</v>
      </c>
      <c r="J2397">
        <f>_xlfn.XLOOKUP($A2397,Load!$B:$B,Load!K:K,0,)</f>
        <v>0</v>
      </c>
      <c r="K2397">
        <f>_xlfn.XLOOKUP($A2397,Load!$B:$B,Load!L:L,0,)</f>
        <v>0</v>
      </c>
      <c r="L2397">
        <f>_xlfn.XLOOKUP($A2397,Load!$B:$B,Load!M:M,0,)</f>
        <v>0</v>
      </c>
    </row>
    <row r="2398" spans="1:12" x14ac:dyDescent="0.25">
      <c r="A2398" t="s">
        <v>205</v>
      </c>
      <c r="B2398" t="str">
        <f>_xlfn.XLOOKUP($A2398,Load!$B:$B,Load!C:C,0,)</f>
        <v>Mars Variety Pack</v>
      </c>
      <c r="C2398" t="str">
        <f>_xlfn.XLOOKUP($A2398,Load!$B:$B,Load!D:D,0,)</f>
        <v>Non-Chocolate Candy Only</v>
      </c>
      <c r="D2398" t="str">
        <f>_xlfn.XLOOKUP($A2398,Load!$B:$B,Load!E:E,0,)</f>
        <v>Variety / Mixed Flavors (Fruity, Sour, Seasonal Flavors)</v>
      </c>
      <c r="E2398" t="str">
        <f>_xlfn.XLOOKUP($A2398,Load!$B:$B,Load!F:F,0,)</f>
        <v>Mixed / Combo Packs (Gummy, Chewy, Taffy, etc.)</v>
      </c>
      <c r="F2398" t="str">
        <f>_xlfn.XLOOKUP($A2398,Load!$B:$B,Load!G:G,0,)</f>
        <v>Small Multipack (Less than 40 ct)</v>
      </c>
      <c r="G2398" t="str">
        <f>_xlfn.XLOOKUP($A2398,Load!$B:$B,Load!H:H,0,)</f>
        <v>Box (theatre box, gift box, carton)</v>
      </c>
      <c r="H2398" t="str">
        <f>_xlfn.XLOOKUP($A2398,Load!$B:$B,Load!I:I,0,)</f>
        <v>Everyday Candy Shapes (like Original, Gummy bear, Fruit, Jewels, etc.)</v>
      </c>
      <c r="I2398" t="str">
        <f>_xlfn.XLOOKUP($A2398,Load!$B:$B,Load!J:J,0,)</f>
        <v>Everyday Graphics</v>
      </c>
      <c r="J2398" t="str">
        <f>_xlfn.XLOOKUP($A2398,Load!$B:$B,Load!K:K,0,)</f>
        <v>Small Pieces (Tiny bite size candies)</v>
      </c>
      <c r="K2398" t="str">
        <f>_xlfn.XLOOKUP($A2398,Load!$B:$B,Load!L:L,0,)</f>
        <v>Regular/Original Wrapping</v>
      </c>
      <c r="L2398" t="str">
        <f>_xlfn.XLOOKUP($A2398,Load!$B:$B,Load!M:M,0,)</f>
        <v>Multiple Brands / Variety Flavors or Form</v>
      </c>
    </row>
    <row r="2399" spans="1:12" x14ac:dyDescent="0.25">
      <c r="B2399">
        <f>_xlfn.XLOOKUP($A2399,Load!$B:$B,Load!C:C,0,)</f>
        <v>0</v>
      </c>
      <c r="C2399">
        <f>_xlfn.XLOOKUP($A2399,Load!$B:$B,Load!D:D,0,)</f>
        <v>0</v>
      </c>
      <c r="D2399">
        <f>_xlfn.XLOOKUP($A2399,Load!$B:$B,Load!E:E,0,)</f>
        <v>0</v>
      </c>
      <c r="E2399">
        <f>_xlfn.XLOOKUP($A2399,Load!$B:$B,Load!F:F,0,)</f>
        <v>0</v>
      </c>
      <c r="F2399">
        <f>_xlfn.XLOOKUP($A2399,Load!$B:$B,Load!G:G,0,)</f>
        <v>0</v>
      </c>
      <c r="G2399">
        <f>_xlfn.XLOOKUP($A2399,Load!$B:$B,Load!H:H,0,)</f>
        <v>0</v>
      </c>
      <c r="H2399">
        <f>_xlfn.XLOOKUP($A2399,Load!$B:$B,Load!I:I,0,)</f>
        <v>0</v>
      </c>
      <c r="I2399">
        <f>_xlfn.XLOOKUP($A2399,Load!$B:$B,Load!J:J,0,)</f>
        <v>0</v>
      </c>
      <c r="J2399">
        <f>_xlfn.XLOOKUP($A2399,Load!$B:$B,Load!K:K,0,)</f>
        <v>0</v>
      </c>
      <c r="K2399">
        <f>_xlfn.XLOOKUP($A2399,Load!$B:$B,Load!L:L,0,)</f>
        <v>0</v>
      </c>
      <c r="L2399">
        <f>_xlfn.XLOOKUP($A2399,Load!$B:$B,Load!M:M,0,)</f>
        <v>0</v>
      </c>
    </row>
    <row r="2400" spans="1:12" x14ac:dyDescent="0.25">
      <c r="A2400" t="s">
        <v>237</v>
      </c>
      <c r="B2400" t="str">
        <f>_xlfn.XLOOKUP($A2400,Load!$B:$B,Load!C:C,0,)</f>
        <v>Now &amp; Later</v>
      </c>
      <c r="C2400" t="str">
        <f>_xlfn.XLOOKUP($A2400,Load!$B:$B,Load!D:D,0,)</f>
        <v>Non-Chocolate Candy Only</v>
      </c>
      <c r="D2400" t="str">
        <f>_xlfn.XLOOKUP($A2400,Load!$B:$B,Load!E:E,0,)</f>
        <v>Fruit Flavor (Cherry, Grape, Apple, Citrus, Tropical Fruit)</v>
      </c>
      <c r="E2400" t="str">
        <f>_xlfn.XLOOKUP($A2400,Load!$B:$B,Load!F:F,0,)</f>
        <v>Chewy</v>
      </c>
      <c r="F2400" t="str">
        <f>_xlfn.XLOOKUP($A2400,Load!$B:$B,Load!G:G,0,)</f>
        <v>Medium Multipack (40–80 ct)</v>
      </c>
      <c r="G2400" t="str">
        <f>_xlfn.XLOOKUP($A2400,Load!$B:$B,Load!H:H,0,)</f>
        <v>Laydown Bag</v>
      </c>
      <c r="H2400" t="str">
        <f>_xlfn.XLOOKUP($A2400,Load!$B:$B,Load!I:I,0,)</f>
        <v>Everyday Candy Shapes (like Original, Gummy bear, Fruit, Jewels, etc.)</v>
      </c>
      <c r="I2400" t="str">
        <f>_xlfn.XLOOKUP($A2400,Load!$B:$B,Load!J:J,0,)</f>
        <v>Seasonal Graphics (Like Bat, Ghost, Pumpkin, Fall Leaves, Eyeballs, etc.)</v>
      </c>
      <c r="J2400" t="str">
        <f>_xlfn.XLOOKUP($A2400,Load!$B:$B,Load!K:K,0,)</f>
        <v>Small Pieces (Tiny bite size candies)</v>
      </c>
      <c r="K2400" t="str">
        <f>_xlfn.XLOOKUP($A2400,Load!$B:$B,Load!L:L,0,)</f>
        <v>Regular/Original Wrapping</v>
      </c>
      <c r="L2400" t="str">
        <f>_xlfn.XLOOKUP($A2400,Load!$B:$B,Load!M:M,0,)</f>
        <v>Single Brand / Variety Flavors or Form</v>
      </c>
    </row>
    <row r="2401" spans="1:12" x14ac:dyDescent="0.25">
      <c r="A2401" t="s">
        <v>285</v>
      </c>
      <c r="B2401" t="str">
        <f>_xlfn.XLOOKUP($A2401,Load!$B:$B,Load!C:C,0,)</f>
        <v>Starburst</v>
      </c>
      <c r="C2401" t="str">
        <f>_xlfn.XLOOKUP($A2401,Load!$B:$B,Load!D:D,0,)</f>
        <v>Non-Chocolate Candy Only</v>
      </c>
      <c r="D2401" t="str">
        <f>_xlfn.XLOOKUP($A2401,Load!$B:$B,Load!E:E,0,)</f>
        <v>Fruit Flavor (Cherry, Grape, Apple, Citrus, Tropical Fruit)</v>
      </c>
      <c r="E2401" t="str">
        <f>_xlfn.XLOOKUP($A2401,Load!$B:$B,Load!F:F,0,)</f>
        <v>Chewy</v>
      </c>
      <c r="F2401" t="str">
        <f>_xlfn.XLOOKUP($A2401,Load!$B:$B,Load!G:G,0,)</f>
        <v>Small Multipack (Less than 40 ct)</v>
      </c>
      <c r="G2401" t="str">
        <f>_xlfn.XLOOKUP($A2401,Load!$B:$B,Load!H:H,0,)</f>
        <v>Laydown Bag</v>
      </c>
      <c r="H2401" t="str">
        <f>_xlfn.XLOOKUP($A2401,Load!$B:$B,Load!I:I,0,)</f>
        <v>Everyday Candy Shapes (like Original, Gummy bear, Fruit, Jewels, etc.)</v>
      </c>
      <c r="I2401" t="str">
        <f>_xlfn.XLOOKUP($A2401,Load!$B:$B,Load!J:J,0,)</f>
        <v>Everyday Graphics</v>
      </c>
      <c r="J2401" t="str">
        <f>_xlfn.XLOOKUP($A2401,Load!$B:$B,Load!K:K,0,)</f>
        <v>Small Pieces (Tiny bite size candies)</v>
      </c>
      <c r="K2401" t="str">
        <f>_xlfn.XLOOKUP($A2401,Load!$B:$B,Load!L:L,0,)</f>
        <v>Regular/Original Wrapping</v>
      </c>
      <c r="L2401" t="str">
        <f>_xlfn.XLOOKUP($A2401,Load!$B:$B,Load!M:M,0,)</f>
        <v>Single Brand / Variety Flavors or Form</v>
      </c>
    </row>
    <row r="2402" spans="1:12" x14ac:dyDescent="0.25">
      <c r="A2402" t="s">
        <v>463</v>
      </c>
      <c r="B2402" t="str">
        <f>_xlfn.XLOOKUP($A2402,Load!$B:$B,Load!C:C,0,)</f>
        <v>Mars Variety Pack</v>
      </c>
      <c r="C2402" t="str">
        <f>_xlfn.XLOOKUP($A2402,Load!$B:$B,Load!D:D,0,)</f>
        <v>Mix of Chocolate and Non-Chocolate Candy</v>
      </c>
      <c r="D2402" t="str">
        <f>_xlfn.XLOOKUP($A2402,Load!$B:$B,Load!E:E,0,)</f>
        <v>Variety / Mixed Flavors (Fruity, Sour, Seasonal Flavors)</v>
      </c>
      <c r="E2402" t="str">
        <f>_xlfn.XLOOKUP($A2402,Load!$B:$B,Load!F:F,0,)</f>
        <v>Mixed / Combo Packs (Gummy, Chewy, Taffy, etc.)</v>
      </c>
      <c r="F2402" t="str">
        <f>_xlfn.XLOOKUP($A2402,Load!$B:$B,Load!G:G,0,)</f>
        <v>Medium Multipack (40–80 ct)</v>
      </c>
      <c r="G2402" t="str">
        <f>_xlfn.XLOOKUP($A2402,Load!$B:$B,Load!H:H,0,)</f>
        <v>Stand-Up Bag</v>
      </c>
      <c r="H2402" t="str">
        <f>_xlfn.XLOOKUP($A2402,Load!$B:$B,Load!I:I,0,)</f>
        <v>Everyday Candy Shapes (like Original, Gummy bear, Fruit, Jewels, etc.)</v>
      </c>
      <c r="I2402" t="str">
        <f>_xlfn.XLOOKUP($A2402,Load!$B:$B,Load!J:J,0,)</f>
        <v>Seasonal Graphics (Like Bat, Ghost, Pumpkin, Fall Leaves, Eyeballs, etc.)</v>
      </c>
      <c r="J2402" t="str">
        <f>_xlfn.XLOOKUP($A2402,Load!$B:$B,Load!K:K,0,)</f>
        <v>Fun Size / Treat Size</v>
      </c>
      <c r="K2402" t="str">
        <f>_xlfn.XLOOKUP($A2402,Load!$B:$B,Load!L:L,0,)</f>
        <v>Regular/Original Wrapping</v>
      </c>
      <c r="L2402" t="str">
        <f>_xlfn.XLOOKUP($A2402,Load!$B:$B,Load!M:M,0,)</f>
        <v>Multiple Brands / Variety Flavors or Form</v>
      </c>
    </row>
    <row r="2403" spans="1:12" x14ac:dyDescent="0.25">
      <c r="B2403">
        <f>_xlfn.XLOOKUP($A2403,Load!$B:$B,Load!C:C,0,)</f>
        <v>0</v>
      </c>
      <c r="C2403">
        <f>_xlfn.XLOOKUP($A2403,Load!$B:$B,Load!D:D,0,)</f>
        <v>0</v>
      </c>
      <c r="D2403">
        <f>_xlfn.XLOOKUP($A2403,Load!$B:$B,Load!E:E,0,)</f>
        <v>0</v>
      </c>
      <c r="E2403">
        <f>_xlfn.XLOOKUP($A2403,Load!$B:$B,Load!F:F,0,)</f>
        <v>0</v>
      </c>
      <c r="F2403">
        <f>_xlfn.XLOOKUP($A2403,Load!$B:$B,Load!G:G,0,)</f>
        <v>0</v>
      </c>
      <c r="G2403">
        <f>_xlfn.XLOOKUP($A2403,Load!$B:$B,Load!H:H,0,)</f>
        <v>0</v>
      </c>
      <c r="H2403">
        <f>_xlfn.XLOOKUP($A2403,Load!$B:$B,Load!I:I,0,)</f>
        <v>0</v>
      </c>
      <c r="I2403">
        <f>_xlfn.XLOOKUP($A2403,Load!$B:$B,Load!J:J,0,)</f>
        <v>0</v>
      </c>
      <c r="J2403">
        <f>_xlfn.XLOOKUP($A2403,Load!$B:$B,Load!K:K,0,)</f>
        <v>0</v>
      </c>
      <c r="K2403">
        <f>_xlfn.XLOOKUP($A2403,Load!$B:$B,Load!L:L,0,)</f>
        <v>0</v>
      </c>
      <c r="L2403">
        <f>_xlfn.XLOOKUP($A2403,Load!$B:$B,Load!M:M,0,)</f>
        <v>0</v>
      </c>
    </row>
    <row r="2404" spans="1:12" x14ac:dyDescent="0.25">
      <c r="A2404" t="s">
        <v>326</v>
      </c>
      <c r="B2404" t="str">
        <f>_xlfn.XLOOKUP($A2404,Load!$B:$B,Load!C:C,0,)</f>
        <v>Mondelez Variety Pack</v>
      </c>
      <c r="C2404" t="str">
        <f>_xlfn.XLOOKUP($A2404,Load!$B:$B,Load!D:D,0,)</f>
        <v>Mix of Chocolate and Non-Chocolate Candy</v>
      </c>
      <c r="D2404" t="str">
        <f>_xlfn.XLOOKUP($A2404,Load!$B:$B,Load!E:E,0,)</f>
        <v>Variety / Mixed Flavors (Fruity, Sour, Seasonal Flavors)</v>
      </c>
      <c r="E2404" t="str">
        <f>_xlfn.XLOOKUP($A2404,Load!$B:$B,Load!F:F,0,)</f>
        <v>Mixed / Combo Packs (Gummy, Chewy, Taffy, etc.)</v>
      </c>
      <c r="F2404" t="str">
        <f>_xlfn.XLOOKUP($A2404,Load!$B:$B,Load!G:G,0,)</f>
        <v>Medium Multipack (40–80 ct)</v>
      </c>
      <c r="G2404" t="str">
        <f>_xlfn.XLOOKUP($A2404,Load!$B:$B,Load!H:H,0,)</f>
        <v>Stand-Up Bag</v>
      </c>
      <c r="H2404" t="str">
        <f>_xlfn.XLOOKUP($A2404,Load!$B:$B,Load!I:I,0,)</f>
        <v>Everyday Candy Shapes (like Original, Gummy bear, Fruit, Jewels, etc.)</v>
      </c>
      <c r="I2404" t="str">
        <f>_xlfn.XLOOKUP($A2404,Load!$B:$B,Load!J:J,0,)</f>
        <v>Seasonal Graphics (Like Bat, Ghost, Pumpkin, Fall Leaves, Eyeballs, etc.)</v>
      </c>
      <c r="J2404" t="str">
        <f>_xlfn.XLOOKUP($A2404,Load!$B:$B,Load!K:K,0,)</f>
        <v xml:space="preserve">Variety Candy Sizes </v>
      </c>
      <c r="K2404" t="str">
        <f>_xlfn.XLOOKUP($A2404,Load!$B:$B,Load!L:L,0,)</f>
        <v>Regular/Original Wrapping</v>
      </c>
      <c r="L2404" t="str">
        <f>_xlfn.XLOOKUP($A2404,Load!$B:$B,Load!M:M,0,)</f>
        <v>Multiple Brands / Variety Flavors or Form</v>
      </c>
    </row>
    <row r="2405" spans="1:12" x14ac:dyDescent="0.25">
      <c r="B2405">
        <f>_xlfn.XLOOKUP($A2405,Load!$B:$B,Load!C:C,0,)</f>
        <v>0</v>
      </c>
      <c r="C2405">
        <f>_xlfn.XLOOKUP($A2405,Load!$B:$B,Load!D:D,0,)</f>
        <v>0</v>
      </c>
      <c r="D2405">
        <f>_xlfn.XLOOKUP($A2405,Load!$B:$B,Load!E:E,0,)</f>
        <v>0</v>
      </c>
      <c r="E2405">
        <f>_xlfn.XLOOKUP($A2405,Load!$B:$B,Load!F:F,0,)</f>
        <v>0</v>
      </c>
      <c r="F2405">
        <f>_xlfn.XLOOKUP($A2405,Load!$B:$B,Load!G:G,0,)</f>
        <v>0</v>
      </c>
      <c r="G2405">
        <f>_xlfn.XLOOKUP($A2405,Load!$B:$B,Load!H:H,0,)</f>
        <v>0</v>
      </c>
      <c r="H2405">
        <f>_xlfn.XLOOKUP($A2405,Load!$B:$B,Load!I:I,0,)</f>
        <v>0</v>
      </c>
      <c r="I2405">
        <f>_xlfn.XLOOKUP($A2405,Load!$B:$B,Load!J:J,0,)</f>
        <v>0</v>
      </c>
      <c r="J2405">
        <f>_xlfn.XLOOKUP($A2405,Load!$B:$B,Load!K:K,0,)</f>
        <v>0</v>
      </c>
      <c r="K2405">
        <f>_xlfn.XLOOKUP($A2405,Load!$B:$B,Load!L:L,0,)</f>
        <v>0</v>
      </c>
      <c r="L2405">
        <f>_xlfn.XLOOKUP($A2405,Load!$B:$B,Load!M:M,0,)</f>
        <v>0</v>
      </c>
    </row>
    <row r="2406" spans="1:12" x14ac:dyDescent="0.25">
      <c r="B2406">
        <f>_xlfn.XLOOKUP($A2406,Load!$B:$B,Load!C:C,0,)</f>
        <v>0</v>
      </c>
      <c r="C2406">
        <f>_xlfn.XLOOKUP($A2406,Load!$B:$B,Load!D:D,0,)</f>
        <v>0</v>
      </c>
      <c r="D2406">
        <f>_xlfn.XLOOKUP($A2406,Load!$B:$B,Load!E:E,0,)</f>
        <v>0</v>
      </c>
      <c r="E2406">
        <f>_xlfn.XLOOKUP($A2406,Load!$B:$B,Load!F:F,0,)</f>
        <v>0</v>
      </c>
      <c r="F2406">
        <f>_xlfn.XLOOKUP($A2406,Load!$B:$B,Load!G:G,0,)</f>
        <v>0</v>
      </c>
      <c r="G2406">
        <f>_xlfn.XLOOKUP($A2406,Load!$B:$B,Load!H:H,0,)</f>
        <v>0</v>
      </c>
      <c r="H2406">
        <f>_xlfn.XLOOKUP($A2406,Load!$B:$B,Load!I:I,0,)</f>
        <v>0</v>
      </c>
      <c r="I2406">
        <f>_xlfn.XLOOKUP($A2406,Load!$B:$B,Load!J:J,0,)</f>
        <v>0</v>
      </c>
      <c r="J2406">
        <f>_xlfn.XLOOKUP($A2406,Load!$B:$B,Load!K:K,0,)</f>
        <v>0</v>
      </c>
      <c r="K2406">
        <f>_xlfn.XLOOKUP($A2406,Load!$B:$B,Load!L:L,0,)</f>
        <v>0</v>
      </c>
      <c r="L2406">
        <f>_xlfn.XLOOKUP($A2406,Load!$B:$B,Load!M:M,0,)</f>
        <v>0</v>
      </c>
    </row>
    <row r="2407" spans="1:12" x14ac:dyDescent="0.25">
      <c r="B2407">
        <f>_xlfn.XLOOKUP($A2407,Load!$B:$B,Load!C:C,0,)</f>
        <v>0</v>
      </c>
      <c r="C2407">
        <f>_xlfn.XLOOKUP($A2407,Load!$B:$B,Load!D:D,0,)</f>
        <v>0</v>
      </c>
      <c r="D2407">
        <f>_xlfn.XLOOKUP($A2407,Load!$B:$B,Load!E:E,0,)</f>
        <v>0</v>
      </c>
      <c r="E2407">
        <f>_xlfn.XLOOKUP($A2407,Load!$B:$B,Load!F:F,0,)</f>
        <v>0</v>
      </c>
      <c r="F2407">
        <f>_xlfn.XLOOKUP($A2407,Load!$B:$B,Load!G:G,0,)</f>
        <v>0</v>
      </c>
      <c r="G2407">
        <f>_xlfn.XLOOKUP($A2407,Load!$B:$B,Load!H:H,0,)</f>
        <v>0</v>
      </c>
      <c r="H2407">
        <f>_xlfn.XLOOKUP($A2407,Load!$B:$B,Load!I:I,0,)</f>
        <v>0</v>
      </c>
      <c r="I2407">
        <f>_xlfn.XLOOKUP($A2407,Load!$B:$B,Load!J:J,0,)</f>
        <v>0</v>
      </c>
      <c r="J2407">
        <f>_xlfn.XLOOKUP($A2407,Load!$B:$B,Load!K:K,0,)</f>
        <v>0</v>
      </c>
      <c r="K2407">
        <f>_xlfn.XLOOKUP($A2407,Load!$B:$B,Load!L:L,0,)</f>
        <v>0</v>
      </c>
      <c r="L2407">
        <f>_xlfn.XLOOKUP($A2407,Load!$B:$B,Load!M:M,0,)</f>
        <v>0</v>
      </c>
    </row>
    <row r="2408" spans="1:12" x14ac:dyDescent="0.25">
      <c r="B2408">
        <f>_xlfn.XLOOKUP($A2408,Load!$B:$B,Load!C:C,0,)</f>
        <v>0</v>
      </c>
      <c r="C2408">
        <f>_xlfn.XLOOKUP($A2408,Load!$B:$B,Load!D:D,0,)</f>
        <v>0</v>
      </c>
      <c r="D2408">
        <f>_xlfn.XLOOKUP($A2408,Load!$B:$B,Load!E:E,0,)</f>
        <v>0</v>
      </c>
      <c r="E2408">
        <f>_xlfn.XLOOKUP($A2408,Load!$B:$B,Load!F:F,0,)</f>
        <v>0</v>
      </c>
      <c r="F2408">
        <f>_xlfn.XLOOKUP($A2408,Load!$B:$B,Load!G:G,0,)</f>
        <v>0</v>
      </c>
      <c r="G2408">
        <f>_xlfn.XLOOKUP($A2408,Load!$B:$B,Load!H:H,0,)</f>
        <v>0</v>
      </c>
      <c r="H2408">
        <f>_xlfn.XLOOKUP($A2408,Load!$B:$B,Load!I:I,0,)</f>
        <v>0</v>
      </c>
      <c r="I2408">
        <f>_xlfn.XLOOKUP($A2408,Load!$B:$B,Load!J:J,0,)</f>
        <v>0</v>
      </c>
      <c r="J2408">
        <f>_xlfn.XLOOKUP($A2408,Load!$B:$B,Load!K:K,0,)</f>
        <v>0</v>
      </c>
      <c r="K2408">
        <f>_xlfn.XLOOKUP($A2408,Load!$B:$B,Load!L:L,0,)</f>
        <v>0</v>
      </c>
      <c r="L2408">
        <f>_xlfn.XLOOKUP($A2408,Load!$B:$B,Load!M:M,0,)</f>
        <v>0</v>
      </c>
    </row>
    <row r="2409" spans="1:12" x14ac:dyDescent="0.25">
      <c r="B2409">
        <f>_xlfn.XLOOKUP($A2409,Load!$B:$B,Load!C:C,0,)</f>
        <v>0</v>
      </c>
      <c r="C2409">
        <f>_xlfn.XLOOKUP($A2409,Load!$B:$B,Load!D:D,0,)</f>
        <v>0</v>
      </c>
      <c r="D2409">
        <f>_xlfn.XLOOKUP($A2409,Load!$B:$B,Load!E:E,0,)</f>
        <v>0</v>
      </c>
      <c r="E2409">
        <f>_xlfn.XLOOKUP($A2409,Load!$B:$B,Load!F:F,0,)</f>
        <v>0</v>
      </c>
      <c r="F2409">
        <f>_xlfn.XLOOKUP($A2409,Load!$B:$B,Load!G:G,0,)</f>
        <v>0</v>
      </c>
      <c r="G2409">
        <f>_xlfn.XLOOKUP($A2409,Load!$B:$B,Load!H:H,0,)</f>
        <v>0</v>
      </c>
      <c r="H2409">
        <f>_xlfn.XLOOKUP($A2409,Load!$B:$B,Load!I:I,0,)</f>
        <v>0</v>
      </c>
      <c r="I2409">
        <f>_xlfn.XLOOKUP($A2409,Load!$B:$B,Load!J:J,0,)</f>
        <v>0</v>
      </c>
      <c r="J2409">
        <f>_xlfn.XLOOKUP($A2409,Load!$B:$B,Load!K:K,0,)</f>
        <v>0</v>
      </c>
      <c r="K2409">
        <f>_xlfn.XLOOKUP($A2409,Load!$B:$B,Load!L:L,0,)</f>
        <v>0</v>
      </c>
      <c r="L2409">
        <f>_xlfn.XLOOKUP($A2409,Load!$B:$B,Load!M:M,0,)</f>
        <v>0</v>
      </c>
    </row>
    <row r="2410" spans="1:12" x14ac:dyDescent="0.25">
      <c r="A2410" t="s">
        <v>237</v>
      </c>
      <c r="B2410" t="str">
        <f>_xlfn.XLOOKUP($A2410,Load!$B:$B,Load!C:C,0,)</f>
        <v>Now &amp; Later</v>
      </c>
      <c r="C2410" t="str">
        <f>_xlfn.XLOOKUP($A2410,Load!$B:$B,Load!D:D,0,)</f>
        <v>Non-Chocolate Candy Only</v>
      </c>
      <c r="D2410" t="str">
        <f>_xlfn.XLOOKUP($A2410,Load!$B:$B,Load!E:E,0,)</f>
        <v>Fruit Flavor (Cherry, Grape, Apple, Citrus, Tropical Fruit)</v>
      </c>
      <c r="E2410" t="str">
        <f>_xlfn.XLOOKUP($A2410,Load!$B:$B,Load!F:F,0,)</f>
        <v>Chewy</v>
      </c>
      <c r="F2410" t="str">
        <f>_xlfn.XLOOKUP($A2410,Load!$B:$B,Load!G:G,0,)</f>
        <v>Medium Multipack (40–80 ct)</v>
      </c>
      <c r="G2410" t="str">
        <f>_xlfn.XLOOKUP($A2410,Load!$B:$B,Load!H:H,0,)</f>
        <v>Laydown Bag</v>
      </c>
      <c r="H2410" t="str">
        <f>_xlfn.XLOOKUP($A2410,Load!$B:$B,Load!I:I,0,)</f>
        <v>Everyday Candy Shapes (like Original, Gummy bear, Fruit, Jewels, etc.)</v>
      </c>
      <c r="I2410" t="str">
        <f>_xlfn.XLOOKUP($A2410,Load!$B:$B,Load!J:J,0,)</f>
        <v>Seasonal Graphics (Like Bat, Ghost, Pumpkin, Fall Leaves, Eyeballs, etc.)</v>
      </c>
      <c r="J2410" t="str">
        <f>_xlfn.XLOOKUP($A2410,Load!$B:$B,Load!K:K,0,)</f>
        <v>Small Pieces (Tiny bite size candies)</v>
      </c>
      <c r="K2410" t="str">
        <f>_xlfn.XLOOKUP($A2410,Load!$B:$B,Load!L:L,0,)</f>
        <v>Regular/Original Wrapping</v>
      </c>
      <c r="L2410" t="str">
        <f>_xlfn.XLOOKUP($A2410,Load!$B:$B,Load!M:M,0,)</f>
        <v>Single Brand / Variety Flavors or Form</v>
      </c>
    </row>
    <row r="2411" spans="1:12" x14ac:dyDescent="0.25">
      <c r="B2411">
        <f>_xlfn.XLOOKUP($A2411,Load!$B:$B,Load!C:C,0,)</f>
        <v>0</v>
      </c>
      <c r="C2411">
        <f>_xlfn.XLOOKUP($A2411,Load!$B:$B,Load!D:D,0,)</f>
        <v>0</v>
      </c>
      <c r="D2411">
        <f>_xlfn.XLOOKUP($A2411,Load!$B:$B,Load!E:E,0,)</f>
        <v>0</v>
      </c>
      <c r="E2411">
        <f>_xlfn.XLOOKUP($A2411,Load!$B:$B,Load!F:F,0,)</f>
        <v>0</v>
      </c>
      <c r="F2411">
        <f>_xlfn.XLOOKUP($A2411,Load!$B:$B,Load!G:G,0,)</f>
        <v>0</v>
      </c>
      <c r="G2411">
        <f>_xlfn.XLOOKUP($A2411,Load!$B:$B,Load!H:H,0,)</f>
        <v>0</v>
      </c>
      <c r="H2411">
        <f>_xlfn.XLOOKUP($A2411,Load!$B:$B,Load!I:I,0,)</f>
        <v>0</v>
      </c>
      <c r="I2411">
        <f>_xlfn.XLOOKUP($A2411,Load!$B:$B,Load!J:J,0,)</f>
        <v>0</v>
      </c>
      <c r="J2411">
        <f>_xlfn.XLOOKUP($A2411,Load!$B:$B,Load!K:K,0,)</f>
        <v>0</v>
      </c>
      <c r="K2411">
        <f>_xlfn.XLOOKUP($A2411,Load!$B:$B,Load!L:L,0,)</f>
        <v>0</v>
      </c>
      <c r="L2411">
        <f>_xlfn.XLOOKUP($A2411,Load!$B:$B,Load!M:M,0,)</f>
        <v>0</v>
      </c>
    </row>
    <row r="2412" spans="1:12" x14ac:dyDescent="0.25">
      <c r="A2412" t="s">
        <v>4</v>
      </c>
      <c r="B2412" t="str">
        <f>_xlfn.XLOOKUP($A2412,Load!$B:$B,Load!C:C,0,)</f>
        <v>Airheads</v>
      </c>
      <c r="C2412" t="str">
        <f>_xlfn.XLOOKUP($A2412,Load!$B:$B,Load!D:D,0,)</f>
        <v>Non-Chocolate Candy Only</v>
      </c>
      <c r="D2412" t="str">
        <f>_xlfn.XLOOKUP($A2412,Load!$B:$B,Load!E:E,0,)</f>
        <v>Variety / Mixed Flavors (Fruity, Sour, Seasonal Flavors)</v>
      </c>
      <c r="E2412" t="str">
        <f>_xlfn.XLOOKUP($A2412,Load!$B:$B,Load!F:F,0,)</f>
        <v>Chewy</v>
      </c>
      <c r="F2412" t="str">
        <f>_xlfn.XLOOKUP($A2412,Load!$B:$B,Load!G:G,0,)</f>
        <v>Large Multipack (More than 80 ct)</v>
      </c>
      <c r="G2412" t="str">
        <f>_xlfn.XLOOKUP($A2412,Load!$B:$B,Load!H:H,0,)</f>
        <v>Box (theatre box, gift box, carton)</v>
      </c>
      <c r="H2412" t="str">
        <f>_xlfn.XLOOKUP($A2412,Load!$B:$B,Load!I:I,0,)</f>
        <v>Everyday Candy Shapes (like Original, Gummy bear, Fruit, Jewels, etc.)</v>
      </c>
      <c r="I2412" t="str">
        <f>_xlfn.XLOOKUP($A2412,Load!$B:$B,Load!J:J,0,)</f>
        <v>Seasonal Graphics (Like Bat, Ghost, Pumpkin, Fall Leaves, Eyeballs, etc.)</v>
      </c>
      <c r="J2412" t="str">
        <f>_xlfn.XLOOKUP($A2412,Load!$B:$B,Load!K:K,0,)</f>
        <v>Fun Size / Treat Size</v>
      </c>
      <c r="K2412" t="str">
        <f>_xlfn.XLOOKUP($A2412,Load!$B:$B,Load!L:L,0,)</f>
        <v>Regular/Original Wrapping</v>
      </c>
      <c r="L2412" t="str">
        <f>_xlfn.XLOOKUP($A2412,Load!$B:$B,Load!M:M,0,)</f>
        <v>Single Brand / Variety Flavors or Form</v>
      </c>
    </row>
    <row r="2413" spans="1:12" x14ac:dyDescent="0.25">
      <c r="B2413">
        <f>_xlfn.XLOOKUP($A2413,Load!$B:$B,Load!C:C,0,)</f>
        <v>0</v>
      </c>
      <c r="C2413">
        <f>_xlfn.XLOOKUP($A2413,Load!$B:$B,Load!D:D,0,)</f>
        <v>0</v>
      </c>
      <c r="D2413">
        <f>_xlfn.XLOOKUP($A2413,Load!$B:$B,Load!E:E,0,)</f>
        <v>0</v>
      </c>
      <c r="E2413">
        <f>_xlfn.XLOOKUP($A2413,Load!$B:$B,Load!F:F,0,)</f>
        <v>0</v>
      </c>
      <c r="F2413">
        <f>_xlfn.XLOOKUP($A2413,Load!$B:$B,Load!G:G,0,)</f>
        <v>0</v>
      </c>
      <c r="G2413">
        <f>_xlfn.XLOOKUP($A2413,Load!$B:$B,Load!H:H,0,)</f>
        <v>0</v>
      </c>
      <c r="H2413">
        <f>_xlfn.XLOOKUP($A2413,Load!$B:$B,Load!I:I,0,)</f>
        <v>0</v>
      </c>
      <c r="I2413">
        <f>_xlfn.XLOOKUP($A2413,Load!$B:$B,Load!J:J,0,)</f>
        <v>0</v>
      </c>
      <c r="J2413">
        <f>_xlfn.XLOOKUP($A2413,Load!$B:$B,Load!K:K,0,)</f>
        <v>0</v>
      </c>
      <c r="K2413">
        <f>_xlfn.XLOOKUP($A2413,Load!$B:$B,Load!L:L,0,)</f>
        <v>0</v>
      </c>
      <c r="L2413">
        <f>_xlfn.XLOOKUP($A2413,Load!$B:$B,Load!M:M,0,)</f>
        <v>0</v>
      </c>
    </row>
    <row r="2414" spans="1:12" x14ac:dyDescent="0.25">
      <c r="A2414" t="s">
        <v>144</v>
      </c>
      <c r="B2414" t="str">
        <f>_xlfn.XLOOKUP($A2414,Load!$B:$B,Load!C:C,0,)</f>
        <v>Hershey's Variety Pack + Haribo</v>
      </c>
      <c r="C2414" t="str">
        <f>_xlfn.XLOOKUP($A2414,Load!$B:$B,Load!D:D,0,)</f>
        <v>Mix of Chocolate and Non-Chocolate Candy</v>
      </c>
      <c r="D2414" t="str">
        <f>_xlfn.XLOOKUP($A2414,Load!$B:$B,Load!E:E,0,)</f>
        <v>Variety / Mixed Flavors (Fruity, Sour, Seasonal Flavors)</v>
      </c>
      <c r="E2414" t="str">
        <f>_xlfn.XLOOKUP($A2414,Load!$B:$B,Load!F:F,0,)</f>
        <v>Mixed / Combo Packs (Gummy, Chewy, Taffy, etc.)</v>
      </c>
      <c r="F2414" t="str">
        <f>_xlfn.XLOOKUP($A2414,Load!$B:$B,Load!G:G,0,)</f>
        <v>Large Multipack (More than 80 ct)</v>
      </c>
      <c r="G2414" t="str">
        <f>_xlfn.XLOOKUP($A2414,Load!$B:$B,Load!H:H,0,)</f>
        <v>Stand-Up Bag</v>
      </c>
      <c r="H2414" t="str">
        <f>_xlfn.XLOOKUP($A2414,Load!$B:$B,Load!I:I,0,)</f>
        <v>Everyday Candy Shapes (like Original, Gummy bear, Fruit, Jewels, etc.)</v>
      </c>
      <c r="I2414" t="str">
        <f>_xlfn.XLOOKUP($A2414,Load!$B:$B,Load!J:J,0,)</f>
        <v>Seasonal Graphics (Like Bat, Ghost, Pumpkin, Fall Leaves, Eyeballs, etc.)</v>
      </c>
      <c r="J2414" t="str">
        <f>_xlfn.XLOOKUP($A2414,Load!$B:$B,Load!K:K,0,)</f>
        <v>Fun Size / Treat Size</v>
      </c>
      <c r="K2414" t="str">
        <f>_xlfn.XLOOKUP($A2414,Load!$B:$B,Load!L:L,0,)</f>
        <v>Regular/Original Wrapping</v>
      </c>
      <c r="L2414" t="str">
        <f>_xlfn.XLOOKUP($A2414,Load!$B:$B,Load!M:M,0,)</f>
        <v>Multiple Brands / Variety Flavors or Form</v>
      </c>
    </row>
    <row r="2415" spans="1:12" x14ac:dyDescent="0.25">
      <c r="A2415" t="s">
        <v>326</v>
      </c>
      <c r="B2415" t="str">
        <f>_xlfn.XLOOKUP($A2415,Load!$B:$B,Load!C:C,0,)</f>
        <v>Mondelez Variety Pack</v>
      </c>
      <c r="C2415" t="str">
        <f>_xlfn.XLOOKUP($A2415,Load!$B:$B,Load!D:D,0,)</f>
        <v>Mix of Chocolate and Non-Chocolate Candy</v>
      </c>
      <c r="D2415" t="str">
        <f>_xlfn.XLOOKUP($A2415,Load!$B:$B,Load!E:E,0,)</f>
        <v>Variety / Mixed Flavors (Fruity, Sour, Seasonal Flavors)</v>
      </c>
      <c r="E2415" t="str">
        <f>_xlfn.XLOOKUP($A2415,Load!$B:$B,Load!F:F,0,)</f>
        <v>Mixed / Combo Packs (Gummy, Chewy, Taffy, etc.)</v>
      </c>
      <c r="F2415" t="str">
        <f>_xlfn.XLOOKUP($A2415,Load!$B:$B,Load!G:G,0,)</f>
        <v>Medium Multipack (40–80 ct)</v>
      </c>
      <c r="G2415" t="str">
        <f>_xlfn.XLOOKUP($A2415,Load!$B:$B,Load!H:H,0,)</f>
        <v>Stand-Up Bag</v>
      </c>
      <c r="H2415" t="str">
        <f>_xlfn.XLOOKUP($A2415,Load!$B:$B,Load!I:I,0,)</f>
        <v>Everyday Candy Shapes (like Original, Gummy bear, Fruit, Jewels, etc.)</v>
      </c>
      <c r="I2415" t="str">
        <f>_xlfn.XLOOKUP($A2415,Load!$B:$B,Load!J:J,0,)</f>
        <v>Seasonal Graphics (Like Bat, Ghost, Pumpkin, Fall Leaves, Eyeballs, etc.)</v>
      </c>
      <c r="J2415" t="str">
        <f>_xlfn.XLOOKUP($A2415,Load!$B:$B,Load!K:K,0,)</f>
        <v xml:space="preserve">Variety Candy Sizes </v>
      </c>
      <c r="K2415" t="str">
        <f>_xlfn.XLOOKUP($A2415,Load!$B:$B,Load!L:L,0,)</f>
        <v>Regular/Original Wrapping</v>
      </c>
      <c r="L2415" t="str">
        <f>_xlfn.XLOOKUP($A2415,Load!$B:$B,Load!M:M,0,)</f>
        <v>Multiple Brands / Variety Flavors or Form</v>
      </c>
    </row>
    <row r="2416" spans="1:12" x14ac:dyDescent="0.25">
      <c r="B2416">
        <f>_xlfn.XLOOKUP($A2416,Load!$B:$B,Load!C:C,0,)</f>
        <v>0</v>
      </c>
      <c r="C2416">
        <f>_xlfn.XLOOKUP($A2416,Load!$B:$B,Load!D:D,0,)</f>
        <v>0</v>
      </c>
      <c r="D2416">
        <f>_xlfn.XLOOKUP($A2416,Load!$B:$B,Load!E:E,0,)</f>
        <v>0</v>
      </c>
      <c r="E2416">
        <f>_xlfn.XLOOKUP($A2416,Load!$B:$B,Load!F:F,0,)</f>
        <v>0</v>
      </c>
      <c r="F2416">
        <f>_xlfn.XLOOKUP($A2416,Load!$B:$B,Load!G:G,0,)</f>
        <v>0</v>
      </c>
      <c r="G2416">
        <f>_xlfn.XLOOKUP($A2416,Load!$B:$B,Load!H:H,0,)</f>
        <v>0</v>
      </c>
      <c r="H2416">
        <f>_xlfn.XLOOKUP($A2416,Load!$B:$B,Load!I:I,0,)</f>
        <v>0</v>
      </c>
      <c r="I2416">
        <f>_xlfn.XLOOKUP($A2416,Load!$B:$B,Load!J:J,0,)</f>
        <v>0</v>
      </c>
      <c r="J2416">
        <f>_xlfn.XLOOKUP($A2416,Load!$B:$B,Load!K:K,0,)</f>
        <v>0</v>
      </c>
      <c r="K2416">
        <f>_xlfn.XLOOKUP($A2416,Load!$B:$B,Load!L:L,0,)</f>
        <v>0</v>
      </c>
      <c r="L2416">
        <f>_xlfn.XLOOKUP($A2416,Load!$B:$B,Load!M:M,0,)</f>
        <v>0</v>
      </c>
    </row>
    <row r="2417" spans="1:12" x14ac:dyDescent="0.25">
      <c r="B2417">
        <f>_xlfn.XLOOKUP($A2417,Load!$B:$B,Load!C:C,0,)</f>
        <v>0</v>
      </c>
      <c r="C2417">
        <f>_xlfn.XLOOKUP($A2417,Load!$B:$B,Load!D:D,0,)</f>
        <v>0</v>
      </c>
      <c r="D2417">
        <f>_xlfn.XLOOKUP($A2417,Load!$B:$B,Load!E:E,0,)</f>
        <v>0</v>
      </c>
      <c r="E2417">
        <f>_xlfn.XLOOKUP($A2417,Load!$B:$B,Load!F:F,0,)</f>
        <v>0</v>
      </c>
      <c r="F2417">
        <f>_xlfn.XLOOKUP($A2417,Load!$B:$B,Load!G:G,0,)</f>
        <v>0</v>
      </c>
      <c r="G2417">
        <f>_xlfn.XLOOKUP($A2417,Load!$B:$B,Load!H:H,0,)</f>
        <v>0</v>
      </c>
      <c r="H2417">
        <f>_xlfn.XLOOKUP($A2417,Load!$B:$B,Load!I:I,0,)</f>
        <v>0</v>
      </c>
      <c r="I2417">
        <f>_xlfn.XLOOKUP($A2417,Load!$B:$B,Load!J:J,0,)</f>
        <v>0</v>
      </c>
      <c r="J2417">
        <f>_xlfn.XLOOKUP($A2417,Load!$B:$B,Load!K:K,0,)</f>
        <v>0</v>
      </c>
      <c r="K2417">
        <f>_xlfn.XLOOKUP($A2417,Load!$B:$B,Load!L:L,0,)</f>
        <v>0</v>
      </c>
      <c r="L2417">
        <f>_xlfn.XLOOKUP($A2417,Load!$B:$B,Load!M:M,0,)</f>
        <v>0</v>
      </c>
    </row>
    <row r="2418" spans="1:12" x14ac:dyDescent="0.25">
      <c r="B2418">
        <f>_xlfn.XLOOKUP($A2418,Load!$B:$B,Load!C:C,0,)</f>
        <v>0</v>
      </c>
      <c r="C2418">
        <f>_xlfn.XLOOKUP($A2418,Load!$B:$B,Load!D:D,0,)</f>
        <v>0</v>
      </c>
      <c r="D2418">
        <f>_xlfn.XLOOKUP($A2418,Load!$B:$B,Load!E:E,0,)</f>
        <v>0</v>
      </c>
      <c r="E2418">
        <f>_xlfn.XLOOKUP($A2418,Load!$B:$B,Load!F:F,0,)</f>
        <v>0</v>
      </c>
      <c r="F2418">
        <f>_xlfn.XLOOKUP($A2418,Load!$B:$B,Load!G:G,0,)</f>
        <v>0</v>
      </c>
      <c r="G2418">
        <f>_xlfn.XLOOKUP($A2418,Load!$B:$B,Load!H:H,0,)</f>
        <v>0</v>
      </c>
      <c r="H2418">
        <f>_xlfn.XLOOKUP($A2418,Load!$B:$B,Load!I:I,0,)</f>
        <v>0</v>
      </c>
      <c r="I2418">
        <f>_xlfn.XLOOKUP($A2418,Load!$B:$B,Load!J:J,0,)</f>
        <v>0</v>
      </c>
      <c r="J2418">
        <f>_xlfn.XLOOKUP($A2418,Load!$B:$B,Load!K:K,0,)</f>
        <v>0</v>
      </c>
      <c r="K2418">
        <f>_xlfn.XLOOKUP($A2418,Load!$B:$B,Load!L:L,0,)</f>
        <v>0</v>
      </c>
      <c r="L2418">
        <f>_xlfn.XLOOKUP($A2418,Load!$B:$B,Load!M:M,0,)</f>
        <v>0</v>
      </c>
    </row>
    <row r="2419" spans="1:12" x14ac:dyDescent="0.25">
      <c r="B2419">
        <f>_xlfn.XLOOKUP($A2419,Load!$B:$B,Load!C:C,0,)</f>
        <v>0</v>
      </c>
      <c r="C2419">
        <f>_xlfn.XLOOKUP($A2419,Load!$B:$B,Load!D:D,0,)</f>
        <v>0</v>
      </c>
      <c r="D2419">
        <f>_xlfn.XLOOKUP($A2419,Load!$B:$B,Load!E:E,0,)</f>
        <v>0</v>
      </c>
      <c r="E2419">
        <f>_xlfn.XLOOKUP($A2419,Load!$B:$B,Load!F:F,0,)</f>
        <v>0</v>
      </c>
      <c r="F2419">
        <f>_xlfn.XLOOKUP($A2419,Load!$B:$B,Load!G:G,0,)</f>
        <v>0</v>
      </c>
      <c r="G2419">
        <f>_xlfn.XLOOKUP($A2419,Load!$B:$B,Load!H:H,0,)</f>
        <v>0</v>
      </c>
      <c r="H2419">
        <f>_xlfn.XLOOKUP($A2419,Load!$B:$B,Load!I:I,0,)</f>
        <v>0</v>
      </c>
      <c r="I2419">
        <f>_xlfn.XLOOKUP($A2419,Load!$B:$B,Load!J:J,0,)</f>
        <v>0</v>
      </c>
      <c r="J2419">
        <f>_xlfn.XLOOKUP($A2419,Load!$B:$B,Load!K:K,0,)</f>
        <v>0</v>
      </c>
      <c r="K2419">
        <f>_xlfn.XLOOKUP($A2419,Load!$B:$B,Load!L:L,0,)</f>
        <v>0</v>
      </c>
      <c r="L2419">
        <f>_xlfn.XLOOKUP($A2419,Load!$B:$B,Load!M:M,0,)</f>
        <v>0</v>
      </c>
    </row>
    <row r="2420" spans="1:12" x14ac:dyDescent="0.25">
      <c r="A2420" t="s">
        <v>2</v>
      </c>
      <c r="B2420" t="str">
        <f>_xlfn.XLOOKUP($A2420,Load!$B:$B,Load!C:C,0,)</f>
        <v>Airheads</v>
      </c>
      <c r="C2420" t="str">
        <f>_xlfn.XLOOKUP($A2420,Load!$B:$B,Load!D:D,0,)</f>
        <v>Non-Chocolate Candy Only</v>
      </c>
      <c r="D2420" t="str">
        <f>_xlfn.XLOOKUP($A2420,Load!$B:$B,Load!E:E,0,)</f>
        <v>Variety / Mixed Flavors (Fruity, Sour, Seasonal Flavors)</v>
      </c>
      <c r="E2420" t="str">
        <f>_xlfn.XLOOKUP($A2420,Load!$B:$B,Load!F:F,0,)</f>
        <v>Chewy</v>
      </c>
      <c r="F2420" t="str">
        <f>_xlfn.XLOOKUP($A2420,Load!$B:$B,Load!G:G,0,)</f>
        <v>Medium Multipack (40–80 ct)</v>
      </c>
      <c r="G2420" t="str">
        <f>_xlfn.XLOOKUP($A2420,Load!$B:$B,Load!H:H,0,)</f>
        <v>Box (theatre box, gift box, carton)</v>
      </c>
      <c r="H2420" t="str">
        <f>_xlfn.XLOOKUP($A2420,Load!$B:$B,Load!I:I,0,)</f>
        <v>Everyday Candy Shapes (like Original, Gummy bear, Fruit, Jewels, etc.)</v>
      </c>
      <c r="I2420" t="str">
        <f>_xlfn.XLOOKUP($A2420,Load!$B:$B,Load!J:J,0,)</f>
        <v>Seasonal Graphics (Like Bat, Ghost, Pumpkin, Fall Leaves, Eyeballs, etc.)</v>
      </c>
      <c r="J2420" t="str">
        <f>_xlfn.XLOOKUP($A2420,Load!$B:$B,Load!K:K,0,)</f>
        <v>Fun Size / Treat Size</v>
      </c>
      <c r="K2420" t="str">
        <f>_xlfn.XLOOKUP($A2420,Load!$B:$B,Load!L:L,0,)</f>
        <v>Regular/Original Wrapping</v>
      </c>
      <c r="L2420" t="str">
        <f>_xlfn.XLOOKUP($A2420,Load!$B:$B,Load!M:M,0,)</f>
        <v>Single Brand / Variety Flavors or Form</v>
      </c>
    </row>
    <row r="2421" spans="1:12" x14ac:dyDescent="0.25">
      <c r="B2421">
        <f>_xlfn.XLOOKUP($A2421,Load!$B:$B,Load!C:C,0,)</f>
        <v>0</v>
      </c>
      <c r="C2421">
        <f>_xlfn.XLOOKUP($A2421,Load!$B:$B,Load!D:D,0,)</f>
        <v>0</v>
      </c>
      <c r="D2421">
        <f>_xlfn.XLOOKUP($A2421,Load!$B:$B,Load!E:E,0,)</f>
        <v>0</v>
      </c>
      <c r="E2421">
        <f>_xlfn.XLOOKUP($A2421,Load!$B:$B,Load!F:F,0,)</f>
        <v>0</v>
      </c>
      <c r="F2421">
        <f>_xlfn.XLOOKUP($A2421,Load!$B:$B,Load!G:G,0,)</f>
        <v>0</v>
      </c>
      <c r="G2421">
        <f>_xlfn.XLOOKUP($A2421,Load!$B:$B,Load!H:H,0,)</f>
        <v>0</v>
      </c>
      <c r="H2421">
        <f>_xlfn.XLOOKUP($A2421,Load!$B:$B,Load!I:I,0,)</f>
        <v>0</v>
      </c>
      <c r="I2421">
        <f>_xlfn.XLOOKUP($A2421,Load!$B:$B,Load!J:J,0,)</f>
        <v>0</v>
      </c>
      <c r="J2421">
        <f>_xlfn.XLOOKUP($A2421,Load!$B:$B,Load!K:K,0,)</f>
        <v>0</v>
      </c>
      <c r="K2421">
        <f>_xlfn.XLOOKUP($A2421,Load!$B:$B,Load!L:L,0,)</f>
        <v>0</v>
      </c>
      <c r="L2421">
        <f>_xlfn.XLOOKUP($A2421,Load!$B:$B,Load!M:M,0,)</f>
        <v>0</v>
      </c>
    </row>
    <row r="2422" spans="1:12" x14ac:dyDescent="0.25">
      <c r="B2422">
        <f>_xlfn.XLOOKUP($A2422,Load!$B:$B,Load!C:C,0,)</f>
        <v>0</v>
      </c>
      <c r="C2422">
        <f>_xlfn.XLOOKUP($A2422,Load!$B:$B,Load!D:D,0,)</f>
        <v>0</v>
      </c>
      <c r="D2422">
        <f>_xlfn.XLOOKUP($A2422,Load!$B:$B,Load!E:E,0,)</f>
        <v>0</v>
      </c>
      <c r="E2422">
        <f>_xlfn.XLOOKUP($A2422,Load!$B:$B,Load!F:F,0,)</f>
        <v>0</v>
      </c>
      <c r="F2422">
        <f>_xlfn.XLOOKUP($A2422,Load!$B:$B,Load!G:G,0,)</f>
        <v>0</v>
      </c>
      <c r="G2422">
        <f>_xlfn.XLOOKUP($A2422,Load!$B:$B,Load!H:H,0,)</f>
        <v>0</v>
      </c>
      <c r="H2422">
        <f>_xlfn.XLOOKUP($A2422,Load!$B:$B,Load!I:I,0,)</f>
        <v>0</v>
      </c>
      <c r="I2422">
        <f>_xlfn.XLOOKUP($A2422,Load!$B:$B,Load!J:J,0,)</f>
        <v>0</v>
      </c>
      <c r="J2422">
        <f>_xlfn.XLOOKUP($A2422,Load!$B:$B,Load!K:K,0,)</f>
        <v>0</v>
      </c>
      <c r="K2422">
        <f>_xlfn.XLOOKUP($A2422,Load!$B:$B,Load!L:L,0,)</f>
        <v>0</v>
      </c>
      <c r="L2422">
        <f>_xlfn.XLOOKUP($A2422,Load!$B:$B,Load!M:M,0,)</f>
        <v>0</v>
      </c>
    </row>
    <row r="2423" spans="1:12" x14ac:dyDescent="0.25">
      <c r="B2423">
        <f>_xlfn.XLOOKUP($A2423,Load!$B:$B,Load!C:C,0,)</f>
        <v>0</v>
      </c>
      <c r="C2423">
        <f>_xlfn.XLOOKUP($A2423,Load!$B:$B,Load!D:D,0,)</f>
        <v>0</v>
      </c>
      <c r="D2423">
        <f>_xlfn.XLOOKUP($A2423,Load!$B:$B,Load!E:E,0,)</f>
        <v>0</v>
      </c>
      <c r="E2423">
        <f>_xlfn.XLOOKUP($A2423,Load!$B:$B,Load!F:F,0,)</f>
        <v>0</v>
      </c>
      <c r="F2423">
        <f>_xlfn.XLOOKUP($A2423,Load!$B:$B,Load!G:G,0,)</f>
        <v>0</v>
      </c>
      <c r="G2423">
        <f>_xlfn.XLOOKUP($A2423,Load!$B:$B,Load!H:H,0,)</f>
        <v>0</v>
      </c>
      <c r="H2423">
        <f>_xlfn.XLOOKUP($A2423,Load!$B:$B,Load!I:I,0,)</f>
        <v>0</v>
      </c>
      <c r="I2423">
        <f>_xlfn.XLOOKUP($A2423,Load!$B:$B,Load!J:J,0,)</f>
        <v>0</v>
      </c>
      <c r="J2423">
        <f>_xlfn.XLOOKUP($A2423,Load!$B:$B,Load!K:K,0,)</f>
        <v>0</v>
      </c>
      <c r="K2423">
        <f>_xlfn.XLOOKUP($A2423,Load!$B:$B,Load!L:L,0,)</f>
        <v>0</v>
      </c>
      <c r="L2423">
        <f>_xlfn.XLOOKUP($A2423,Load!$B:$B,Load!M:M,0,)</f>
        <v>0</v>
      </c>
    </row>
    <row r="2424" spans="1:12" x14ac:dyDescent="0.25">
      <c r="A2424" t="s">
        <v>289</v>
      </c>
      <c r="B2424" t="str">
        <f>_xlfn.XLOOKUP($A2424,Load!$B:$B,Load!C:C,0,)</f>
        <v>Tootsie</v>
      </c>
      <c r="C2424" t="str">
        <f>_xlfn.XLOOKUP($A2424,Load!$B:$B,Load!D:D,0,)</f>
        <v>Mix of Chocolate and Non-Chocolate Candy</v>
      </c>
      <c r="D2424" t="str">
        <f>_xlfn.XLOOKUP($A2424,Load!$B:$B,Load!E:E,0,)</f>
        <v>Variety / Mixed Flavors (Fruity, Sour, Seasonal Flavors)</v>
      </c>
      <c r="E2424" t="str">
        <f>_xlfn.XLOOKUP($A2424,Load!$B:$B,Load!F:F,0,)</f>
        <v>Mixed / Combo Packs (Gummy, Chewy, Taffy, etc.)</v>
      </c>
      <c r="F2424" t="str">
        <f>_xlfn.XLOOKUP($A2424,Load!$B:$B,Load!G:G,0,)</f>
        <v>Large Multipack (More than 80 ct)</v>
      </c>
      <c r="G2424" t="str">
        <f>_xlfn.XLOOKUP($A2424,Load!$B:$B,Load!H:H,0,)</f>
        <v>Laydown Bag</v>
      </c>
      <c r="H2424" t="str">
        <f>_xlfn.XLOOKUP($A2424,Load!$B:$B,Load!I:I,0,)</f>
        <v>Everyday Candy Shapes (like Original, Gummy bear, Fruit, Jewels, etc.)</v>
      </c>
      <c r="I2424" t="str">
        <f>_xlfn.XLOOKUP($A2424,Load!$B:$B,Load!J:J,0,)</f>
        <v>Everyday Graphics</v>
      </c>
      <c r="J2424" t="str">
        <f>_xlfn.XLOOKUP($A2424,Load!$B:$B,Load!K:K,0,)</f>
        <v xml:space="preserve">Variety Candy Sizes </v>
      </c>
      <c r="K2424" t="str">
        <f>_xlfn.XLOOKUP($A2424,Load!$B:$B,Load!L:L,0,)</f>
        <v>Regular/Original Wrapping</v>
      </c>
      <c r="L2424" t="str">
        <f>_xlfn.XLOOKUP($A2424,Load!$B:$B,Load!M:M,0,)</f>
        <v>Single Brand / Variety Flavors or Form</v>
      </c>
    </row>
    <row r="2425" spans="1:12" x14ac:dyDescent="0.25">
      <c r="A2425" t="s">
        <v>213</v>
      </c>
      <c r="B2425" t="str">
        <f>_xlfn.XLOOKUP($A2425,Load!$B:$B,Load!C:C,0,)</f>
        <v>Mars Variety Pack</v>
      </c>
      <c r="C2425" t="str">
        <f>_xlfn.XLOOKUP($A2425,Load!$B:$B,Load!D:D,0,)</f>
        <v>Mix of Chocolate and Non-Chocolate Candy</v>
      </c>
      <c r="D2425" t="str">
        <f>_xlfn.XLOOKUP($A2425,Load!$B:$B,Load!E:E,0,)</f>
        <v>Variety / Mixed Flavors (Fruity, Sour, Seasonal Flavors)</v>
      </c>
      <c r="E2425" t="str">
        <f>_xlfn.XLOOKUP($A2425,Load!$B:$B,Load!F:F,0,)</f>
        <v>Mixed / Combo Packs (Gummy, Chewy, Taffy, etc.)</v>
      </c>
      <c r="F2425" t="str">
        <f>_xlfn.XLOOKUP($A2425,Load!$B:$B,Load!G:G,0,)</f>
        <v>Medium Multipack (40–80 ct)</v>
      </c>
      <c r="G2425" t="str">
        <f>_xlfn.XLOOKUP($A2425,Load!$B:$B,Load!H:H,0,)</f>
        <v>Stand-Up Bag</v>
      </c>
      <c r="H2425" t="str">
        <f>_xlfn.XLOOKUP($A2425,Load!$B:$B,Load!I:I,0,)</f>
        <v>Everyday Candy Shapes (like Original, Gummy bear, Fruit, Jewels, etc.)</v>
      </c>
      <c r="I2425" t="str">
        <f>_xlfn.XLOOKUP($A2425,Load!$B:$B,Load!J:J,0,)</f>
        <v>Seasonal Graphics (Like Bat, Ghost, Pumpkin, Fall Leaves, Eyeballs, etc.)</v>
      </c>
      <c r="J2425" t="str">
        <f>_xlfn.XLOOKUP($A2425,Load!$B:$B,Load!K:K,0,)</f>
        <v>Fun Size / Treat Size</v>
      </c>
      <c r="K2425" t="str">
        <f>_xlfn.XLOOKUP($A2425,Load!$B:$B,Load!L:L,0,)</f>
        <v>Regular/Original Wrapping</v>
      </c>
      <c r="L2425" t="str">
        <f>_xlfn.XLOOKUP($A2425,Load!$B:$B,Load!M:M,0,)</f>
        <v>Multiple Brands / Variety Flavors or Form</v>
      </c>
    </row>
    <row r="2426" spans="1:12" x14ac:dyDescent="0.25">
      <c r="A2426" t="s">
        <v>463</v>
      </c>
      <c r="B2426" t="str">
        <f>_xlfn.XLOOKUP($A2426,Load!$B:$B,Load!C:C,0,)</f>
        <v>Mars Variety Pack</v>
      </c>
      <c r="C2426" t="str">
        <f>_xlfn.XLOOKUP($A2426,Load!$B:$B,Load!D:D,0,)</f>
        <v>Mix of Chocolate and Non-Chocolate Candy</v>
      </c>
      <c r="D2426" t="str">
        <f>_xlfn.XLOOKUP($A2426,Load!$B:$B,Load!E:E,0,)</f>
        <v>Variety / Mixed Flavors (Fruity, Sour, Seasonal Flavors)</v>
      </c>
      <c r="E2426" t="str">
        <f>_xlfn.XLOOKUP($A2426,Load!$B:$B,Load!F:F,0,)</f>
        <v>Mixed / Combo Packs (Gummy, Chewy, Taffy, etc.)</v>
      </c>
      <c r="F2426" t="str">
        <f>_xlfn.XLOOKUP($A2426,Load!$B:$B,Load!G:G,0,)</f>
        <v>Medium Multipack (40–80 ct)</v>
      </c>
      <c r="G2426" t="str">
        <f>_xlfn.XLOOKUP($A2426,Load!$B:$B,Load!H:H,0,)</f>
        <v>Stand-Up Bag</v>
      </c>
      <c r="H2426" t="str">
        <f>_xlfn.XLOOKUP($A2426,Load!$B:$B,Load!I:I,0,)</f>
        <v>Everyday Candy Shapes (like Original, Gummy bear, Fruit, Jewels, etc.)</v>
      </c>
      <c r="I2426" t="str">
        <f>_xlfn.XLOOKUP($A2426,Load!$B:$B,Load!J:J,0,)</f>
        <v>Seasonal Graphics (Like Bat, Ghost, Pumpkin, Fall Leaves, Eyeballs, etc.)</v>
      </c>
      <c r="J2426" t="str">
        <f>_xlfn.XLOOKUP($A2426,Load!$B:$B,Load!K:K,0,)</f>
        <v>Fun Size / Treat Size</v>
      </c>
      <c r="K2426" t="str">
        <f>_xlfn.XLOOKUP($A2426,Load!$B:$B,Load!L:L,0,)</f>
        <v>Regular/Original Wrapping</v>
      </c>
      <c r="L2426" t="str">
        <f>_xlfn.XLOOKUP($A2426,Load!$B:$B,Load!M:M,0,)</f>
        <v>Multiple Brands / Variety Flavors or Form</v>
      </c>
    </row>
    <row r="2427" spans="1:12" x14ac:dyDescent="0.25">
      <c r="A2427" t="s">
        <v>138</v>
      </c>
      <c r="B2427" t="str">
        <f>_xlfn.XLOOKUP($A2427,Load!$B:$B,Load!C:C,0,)</f>
        <v>Hershey's Variety Pack + Haribo</v>
      </c>
      <c r="C2427" t="str">
        <f>_xlfn.XLOOKUP($A2427,Load!$B:$B,Load!D:D,0,)</f>
        <v>Non-Chocolate Candy Only</v>
      </c>
      <c r="D2427" t="str">
        <f>_xlfn.XLOOKUP($A2427,Load!$B:$B,Load!E:E,0,)</f>
        <v>Variety / Mixed Flavors (Fruity, Sour, Seasonal Flavors)</v>
      </c>
      <c r="E2427" t="str">
        <f>_xlfn.XLOOKUP($A2427,Load!$B:$B,Load!F:F,0,)</f>
        <v>Mixed / Combo Packs (Gummy, Chewy, Taffy, etc.)</v>
      </c>
      <c r="F2427" t="str">
        <f>_xlfn.XLOOKUP($A2427,Load!$B:$B,Load!G:G,0,)</f>
        <v>Medium Multipack (40–80 ct)</v>
      </c>
      <c r="G2427" t="str">
        <f>_xlfn.XLOOKUP($A2427,Load!$B:$B,Load!H:H,0,)</f>
        <v>Laydown Bag</v>
      </c>
      <c r="H2427" t="str">
        <f>_xlfn.XLOOKUP($A2427,Load!$B:$B,Load!I:I,0,)</f>
        <v>Everyday Candy Shapes (like Original, Gummy bear, Fruit, Jewels, etc.)</v>
      </c>
      <c r="I2427" t="str">
        <f>_xlfn.XLOOKUP($A2427,Load!$B:$B,Load!J:J,0,)</f>
        <v>Seasonal Graphics (Like Bat, Ghost, Pumpkin, Fall Leaves, Eyeballs, etc.)</v>
      </c>
      <c r="J2427" t="str">
        <f>_xlfn.XLOOKUP($A2427,Load!$B:$B,Load!K:K,0,)</f>
        <v>Fun Size / Treat Size</v>
      </c>
      <c r="K2427" t="str">
        <f>_xlfn.XLOOKUP($A2427,Load!$B:$B,Load!L:L,0,)</f>
        <v>Regular/Original Wrapping</v>
      </c>
      <c r="L2427" t="str">
        <f>_xlfn.XLOOKUP($A2427,Load!$B:$B,Load!M:M,0,)</f>
        <v>Multiple Brands / Variety Flavors or Form</v>
      </c>
    </row>
    <row r="2428" spans="1:12" x14ac:dyDescent="0.25">
      <c r="A2428" t="s">
        <v>326</v>
      </c>
      <c r="B2428" t="str">
        <f>_xlfn.XLOOKUP($A2428,Load!$B:$B,Load!C:C,0,)</f>
        <v>Mondelez Variety Pack</v>
      </c>
      <c r="C2428" t="str">
        <f>_xlfn.XLOOKUP($A2428,Load!$B:$B,Load!D:D,0,)</f>
        <v>Mix of Chocolate and Non-Chocolate Candy</v>
      </c>
      <c r="D2428" t="str">
        <f>_xlfn.XLOOKUP($A2428,Load!$B:$B,Load!E:E,0,)</f>
        <v>Variety / Mixed Flavors (Fruity, Sour, Seasonal Flavors)</v>
      </c>
      <c r="E2428" t="str">
        <f>_xlfn.XLOOKUP($A2428,Load!$B:$B,Load!F:F,0,)</f>
        <v>Mixed / Combo Packs (Gummy, Chewy, Taffy, etc.)</v>
      </c>
      <c r="F2428" t="str">
        <f>_xlfn.XLOOKUP($A2428,Load!$B:$B,Load!G:G,0,)</f>
        <v>Medium Multipack (40–80 ct)</v>
      </c>
      <c r="G2428" t="str">
        <f>_xlfn.XLOOKUP($A2428,Load!$B:$B,Load!H:H,0,)</f>
        <v>Stand-Up Bag</v>
      </c>
      <c r="H2428" t="str">
        <f>_xlfn.XLOOKUP($A2428,Load!$B:$B,Load!I:I,0,)</f>
        <v>Everyday Candy Shapes (like Original, Gummy bear, Fruit, Jewels, etc.)</v>
      </c>
      <c r="I2428" t="str">
        <f>_xlfn.XLOOKUP($A2428,Load!$B:$B,Load!J:J,0,)</f>
        <v>Seasonal Graphics (Like Bat, Ghost, Pumpkin, Fall Leaves, Eyeballs, etc.)</v>
      </c>
      <c r="J2428" t="str">
        <f>_xlfn.XLOOKUP($A2428,Load!$B:$B,Load!K:K,0,)</f>
        <v xml:space="preserve">Variety Candy Sizes </v>
      </c>
      <c r="K2428" t="str">
        <f>_xlfn.XLOOKUP($A2428,Load!$B:$B,Load!L:L,0,)</f>
        <v>Regular/Original Wrapping</v>
      </c>
      <c r="L2428" t="str">
        <f>_xlfn.XLOOKUP($A2428,Load!$B:$B,Load!M:M,0,)</f>
        <v>Multiple Brands / Variety Flavors or Form</v>
      </c>
    </row>
    <row r="2429" spans="1:12" x14ac:dyDescent="0.25">
      <c r="B2429">
        <f>_xlfn.XLOOKUP($A2429,Load!$B:$B,Load!C:C,0,)</f>
        <v>0</v>
      </c>
      <c r="C2429">
        <f>_xlfn.XLOOKUP($A2429,Load!$B:$B,Load!D:D,0,)</f>
        <v>0</v>
      </c>
      <c r="D2429">
        <f>_xlfn.XLOOKUP($A2429,Load!$B:$B,Load!E:E,0,)</f>
        <v>0</v>
      </c>
      <c r="E2429">
        <f>_xlfn.XLOOKUP($A2429,Load!$B:$B,Load!F:F,0,)</f>
        <v>0</v>
      </c>
      <c r="F2429">
        <f>_xlfn.XLOOKUP($A2429,Load!$B:$B,Load!G:G,0,)</f>
        <v>0</v>
      </c>
      <c r="G2429">
        <f>_xlfn.XLOOKUP($A2429,Load!$B:$B,Load!H:H,0,)</f>
        <v>0</v>
      </c>
      <c r="H2429">
        <f>_xlfn.XLOOKUP($A2429,Load!$B:$B,Load!I:I,0,)</f>
        <v>0</v>
      </c>
      <c r="I2429">
        <f>_xlfn.XLOOKUP($A2429,Load!$B:$B,Load!J:J,0,)</f>
        <v>0</v>
      </c>
      <c r="J2429">
        <f>_xlfn.XLOOKUP($A2429,Load!$B:$B,Load!K:K,0,)</f>
        <v>0</v>
      </c>
      <c r="K2429">
        <f>_xlfn.XLOOKUP($A2429,Load!$B:$B,Load!L:L,0,)</f>
        <v>0</v>
      </c>
      <c r="L2429">
        <f>_xlfn.XLOOKUP($A2429,Load!$B:$B,Load!M:M,0,)</f>
        <v>0</v>
      </c>
    </row>
    <row r="2430" spans="1:12" x14ac:dyDescent="0.25">
      <c r="B2430">
        <f>_xlfn.XLOOKUP($A2430,Load!$B:$B,Load!C:C,0,)</f>
        <v>0</v>
      </c>
      <c r="C2430">
        <f>_xlfn.XLOOKUP($A2430,Load!$B:$B,Load!D:D,0,)</f>
        <v>0</v>
      </c>
      <c r="D2430">
        <f>_xlfn.XLOOKUP($A2430,Load!$B:$B,Load!E:E,0,)</f>
        <v>0</v>
      </c>
      <c r="E2430">
        <f>_xlfn.XLOOKUP($A2430,Load!$B:$B,Load!F:F,0,)</f>
        <v>0</v>
      </c>
      <c r="F2430">
        <f>_xlfn.XLOOKUP($A2430,Load!$B:$B,Load!G:G,0,)</f>
        <v>0</v>
      </c>
      <c r="G2430">
        <f>_xlfn.XLOOKUP($A2430,Load!$B:$B,Load!H:H,0,)</f>
        <v>0</v>
      </c>
      <c r="H2430">
        <f>_xlfn.XLOOKUP($A2430,Load!$B:$B,Load!I:I,0,)</f>
        <v>0</v>
      </c>
      <c r="I2430">
        <f>_xlfn.XLOOKUP($A2430,Load!$B:$B,Load!J:J,0,)</f>
        <v>0</v>
      </c>
      <c r="J2430">
        <f>_xlfn.XLOOKUP($A2430,Load!$B:$B,Load!K:K,0,)</f>
        <v>0</v>
      </c>
      <c r="K2430">
        <f>_xlfn.XLOOKUP($A2430,Load!$B:$B,Load!L:L,0,)</f>
        <v>0</v>
      </c>
      <c r="L2430">
        <f>_xlfn.XLOOKUP($A2430,Load!$B:$B,Load!M:M,0,)</f>
        <v>0</v>
      </c>
    </row>
    <row r="2431" spans="1:12" x14ac:dyDescent="0.25">
      <c r="B2431">
        <f>_xlfn.XLOOKUP($A2431,Load!$B:$B,Load!C:C,0,)</f>
        <v>0</v>
      </c>
      <c r="C2431">
        <f>_xlfn.XLOOKUP($A2431,Load!$B:$B,Load!D:D,0,)</f>
        <v>0</v>
      </c>
      <c r="D2431">
        <f>_xlfn.XLOOKUP($A2431,Load!$B:$B,Load!E:E,0,)</f>
        <v>0</v>
      </c>
      <c r="E2431">
        <f>_xlfn.XLOOKUP($A2431,Load!$B:$B,Load!F:F,0,)</f>
        <v>0</v>
      </c>
      <c r="F2431">
        <f>_xlfn.XLOOKUP($A2431,Load!$B:$B,Load!G:G,0,)</f>
        <v>0</v>
      </c>
      <c r="G2431">
        <f>_xlfn.XLOOKUP($A2431,Load!$B:$B,Load!H:H,0,)</f>
        <v>0</v>
      </c>
      <c r="H2431">
        <f>_xlfn.XLOOKUP($A2431,Load!$B:$B,Load!I:I,0,)</f>
        <v>0</v>
      </c>
      <c r="I2431">
        <f>_xlfn.XLOOKUP($A2431,Load!$B:$B,Load!J:J,0,)</f>
        <v>0</v>
      </c>
      <c r="J2431">
        <f>_xlfn.XLOOKUP($A2431,Load!$B:$B,Load!K:K,0,)</f>
        <v>0</v>
      </c>
      <c r="K2431">
        <f>_xlfn.XLOOKUP($A2431,Load!$B:$B,Load!L:L,0,)</f>
        <v>0</v>
      </c>
      <c r="L2431">
        <f>_xlfn.XLOOKUP($A2431,Load!$B:$B,Load!M:M,0,)</f>
        <v>0</v>
      </c>
    </row>
    <row r="2432" spans="1:12" x14ac:dyDescent="0.25">
      <c r="B2432">
        <f>_xlfn.XLOOKUP($A2432,Load!$B:$B,Load!C:C,0,)</f>
        <v>0</v>
      </c>
      <c r="C2432">
        <f>_xlfn.XLOOKUP($A2432,Load!$B:$B,Load!D:D,0,)</f>
        <v>0</v>
      </c>
      <c r="D2432">
        <f>_xlfn.XLOOKUP($A2432,Load!$B:$B,Load!E:E,0,)</f>
        <v>0</v>
      </c>
      <c r="E2432">
        <f>_xlfn.XLOOKUP($A2432,Load!$B:$B,Load!F:F,0,)</f>
        <v>0</v>
      </c>
      <c r="F2432">
        <f>_xlfn.XLOOKUP($A2432,Load!$B:$B,Load!G:G,0,)</f>
        <v>0</v>
      </c>
      <c r="G2432">
        <f>_xlfn.XLOOKUP($A2432,Load!$B:$B,Load!H:H,0,)</f>
        <v>0</v>
      </c>
      <c r="H2432">
        <f>_xlfn.XLOOKUP($A2432,Load!$B:$B,Load!I:I,0,)</f>
        <v>0</v>
      </c>
      <c r="I2432">
        <f>_xlfn.XLOOKUP($A2432,Load!$B:$B,Load!J:J,0,)</f>
        <v>0</v>
      </c>
      <c r="J2432">
        <f>_xlfn.XLOOKUP($A2432,Load!$B:$B,Load!K:K,0,)</f>
        <v>0</v>
      </c>
      <c r="K2432">
        <f>_xlfn.XLOOKUP($A2432,Load!$B:$B,Load!L:L,0,)</f>
        <v>0</v>
      </c>
      <c r="L2432">
        <f>_xlfn.XLOOKUP($A2432,Load!$B:$B,Load!M:M,0,)</f>
        <v>0</v>
      </c>
    </row>
    <row r="2433" spans="1:12" x14ac:dyDescent="0.25">
      <c r="B2433">
        <f>_xlfn.XLOOKUP($A2433,Load!$B:$B,Load!C:C,0,)</f>
        <v>0</v>
      </c>
      <c r="C2433">
        <f>_xlfn.XLOOKUP($A2433,Load!$B:$B,Load!D:D,0,)</f>
        <v>0</v>
      </c>
      <c r="D2433">
        <f>_xlfn.XLOOKUP($A2433,Load!$B:$B,Load!E:E,0,)</f>
        <v>0</v>
      </c>
      <c r="E2433">
        <f>_xlfn.XLOOKUP($A2433,Load!$B:$B,Load!F:F,0,)</f>
        <v>0</v>
      </c>
      <c r="F2433">
        <f>_xlfn.XLOOKUP($A2433,Load!$B:$B,Load!G:G,0,)</f>
        <v>0</v>
      </c>
      <c r="G2433">
        <f>_xlfn.XLOOKUP($A2433,Load!$B:$B,Load!H:H,0,)</f>
        <v>0</v>
      </c>
      <c r="H2433">
        <f>_xlfn.XLOOKUP($A2433,Load!$B:$B,Load!I:I,0,)</f>
        <v>0</v>
      </c>
      <c r="I2433">
        <f>_xlfn.XLOOKUP($A2433,Load!$B:$B,Load!J:J,0,)</f>
        <v>0</v>
      </c>
      <c r="J2433">
        <f>_xlfn.XLOOKUP($A2433,Load!$B:$B,Load!K:K,0,)</f>
        <v>0</v>
      </c>
      <c r="K2433">
        <f>_xlfn.XLOOKUP($A2433,Load!$B:$B,Load!L:L,0,)</f>
        <v>0</v>
      </c>
      <c r="L2433">
        <f>_xlfn.XLOOKUP($A2433,Load!$B:$B,Load!M:M,0,)</f>
        <v>0</v>
      </c>
    </row>
    <row r="2434" spans="1:12" x14ac:dyDescent="0.25">
      <c r="B2434">
        <f>_xlfn.XLOOKUP($A2434,Load!$B:$B,Load!C:C,0,)</f>
        <v>0</v>
      </c>
      <c r="C2434">
        <f>_xlfn.XLOOKUP($A2434,Load!$B:$B,Load!D:D,0,)</f>
        <v>0</v>
      </c>
      <c r="D2434">
        <f>_xlfn.XLOOKUP($A2434,Load!$B:$B,Load!E:E,0,)</f>
        <v>0</v>
      </c>
      <c r="E2434">
        <f>_xlfn.XLOOKUP($A2434,Load!$B:$B,Load!F:F,0,)</f>
        <v>0</v>
      </c>
      <c r="F2434">
        <f>_xlfn.XLOOKUP($A2434,Load!$B:$B,Load!G:G,0,)</f>
        <v>0</v>
      </c>
      <c r="G2434">
        <f>_xlfn.XLOOKUP($A2434,Load!$B:$B,Load!H:H,0,)</f>
        <v>0</v>
      </c>
      <c r="H2434">
        <f>_xlfn.XLOOKUP($A2434,Load!$B:$B,Load!I:I,0,)</f>
        <v>0</v>
      </c>
      <c r="I2434">
        <f>_xlfn.XLOOKUP($A2434,Load!$B:$B,Load!J:J,0,)</f>
        <v>0</v>
      </c>
      <c r="J2434">
        <f>_xlfn.XLOOKUP($A2434,Load!$B:$B,Load!K:K,0,)</f>
        <v>0</v>
      </c>
      <c r="K2434">
        <f>_xlfn.XLOOKUP($A2434,Load!$B:$B,Load!L:L,0,)</f>
        <v>0</v>
      </c>
      <c r="L2434">
        <f>_xlfn.XLOOKUP($A2434,Load!$B:$B,Load!M:M,0,)</f>
        <v>0</v>
      </c>
    </row>
    <row r="2435" spans="1:12" x14ac:dyDescent="0.25">
      <c r="B2435">
        <f>_xlfn.XLOOKUP($A2435,Load!$B:$B,Load!C:C,0,)</f>
        <v>0</v>
      </c>
      <c r="C2435">
        <f>_xlfn.XLOOKUP($A2435,Load!$B:$B,Load!D:D,0,)</f>
        <v>0</v>
      </c>
      <c r="D2435">
        <f>_xlfn.XLOOKUP($A2435,Load!$B:$B,Load!E:E,0,)</f>
        <v>0</v>
      </c>
      <c r="E2435">
        <f>_xlfn.XLOOKUP($A2435,Load!$B:$B,Load!F:F,0,)</f>
        <v>0</v>
      </c>
      <c r="F2435">
        <f>_xlfn.XLOOKUP($A2435,Load!$B:$B,Load!G:G,0,)</f>
        <v>0</v>
      </c>
      <c r="G2435">
        <f>_xlfn.XLOOKUP($A2435,Load!$B:$B,Load!H:H,0,)</f>
        <v>0</v>
      </c>
      <c r="H2435">
        <f>_xlfn.XLOOKUP($A2435,Load!$B:$B,Load!I:I,0,)</f>
        <v>0</v>
      </c>
      <c r="I2435">
        <f>_xlfn.XLOOKUP($A2435,Load!$B:$B,Load!J:J,0,)</f>
        <v>0</v>
      </c>
      <c r="J2435">
        <f>_xlfn.XLOOKUP($A2435,Load!$B:$B,Load!K:K,0,)</f>
        <v>0</v>
      </c>
      <c r="K2435">
        <f>_xlfn.XLOOKUP($A2435,Load!$B:$B,Load!L:L,0,)</f>
        <v>0</v>
      </c>
      <c r="L2435">
        <f>_xlfn.XLOOKUP($A2435,Load!$B:$B,Load!M:M,0,)</f>
        <v>0</v>
      </c>
    </row>
    <row r="2436" spans="1:12" x14ac:dyDescent="0.25">
      <c r="B2436">
        <f>_xlfn.XLOOKUP($A2436,Load!$B:$B,Load!C:C,0,)</f>
        <v>0</v>
      </c>
      <c r="C2436">
        <f>_xlfn.XLOOKUP($A2436,Load!$B:$B,Load!D:D,0,)</f>
        <v>0</v>
      </c>
      <c r="D2436">
        <f>_xlfn.XLOOKUP($A2436,Load!$B:$B,Load!E:E,0,)</f>
        <v>0</v>
      </c>
      <c r="E2436">
        <f>_xlfn.XLOOKUP($A2436,Load!$B:$B,Load!F:F,0,)</f>
        <v>0</v>
      </c>
      <c r="F2436">
        <f>_xlfn.XLOOKUP($A2436,Load!$B:$B,Load!G:G,0,)</f>
        <v>0</v>
      </c>
      <c r="G2436">
        <f>_xlfn.XLOOKUP($A2436,Load!$B:$B,Load!H:H,0,)</f>
        <v>0</v>
      </c>
      <c r="H2436">
        <f>_xlfn.XLOOKUP($A2436,Load!$B:$B,Load!I:I,0,)</f>
        <v>0</v>
      </c>
      <c r="I2436">
        <f>_xlfn.XLOOKUP($A2436,Load!$B:$B,Load!J:J,0,)</f>
        <v>0</v>
      </c>
      <c r="J2436">
        <f>_xlfn.XLOOKUP($A2436,Load!$B:$B,Load!K:K,0,)</f>
        <v>0</v>
      </c>
      <c r="K2436">
        <f>_xlfn.XLOOKUP($A2436,Load!$B:$B,Load!L:L,0,)</f>
        <v>0</v>
      </c>
      <c r="L2436">
        <f>_xlfn.XLOOKUP($A2436,Load!$B:$B,Load!M:M,0,)</f>
        <v>0</v>
      </c>
    </row>
    <row r="2437" spans="1:12" x14ac:dyDescent="0.25">
      <c r="B2437">
        <f>_xlfn.XLOOKUP($A2437,Load!$B:$B,Load!C:C,0,)</f>
        <v>0</v>
      </c>
      <c r="C2437">
        <f>_xlfn.XLOOKUP($A2437,Load!$B:$B,Load!D:D,0,)</f>
        <v>0</v>
      </c>
      <c r="D2437">
        <f>_xlfn.XLOOKUP($A2437,Load!$B:$B,Load!E:E,0,)</f>
        <v>0</v>
      </c>
      <c r="E2437">
        <f>_xlfn.XLOOKUP($A2437,Load!$B:$B,Load!F:F,0,)</f>
        <v>0</v>
      </c>
      <c r="F2437">
        <f>_xlfn.XLOOKUP($A2437,Load!$B:$B,Load!G:G,0,)</f>
        <v>0</v>
      </c>
      <c r="G2437">
        <f>_xlfn.XLOOKUP($A2437,Load!$B:$B,Load!H:H,0,)</f>
        <v>0</v>
      </c>
      <c r="H2437">
        <f>_xlfn.XLOOKUP($A2437,Load!$B:$B,Load!I:I,0,)</f>
        <v>0</v>
      </c>
      <c r="I2437">
        <f>_xlfn.XLOOKUP($A2437,Load!$B:$B,Load!J:J,0,)</f>
        <v>0</v>
      </c>
      <c r="J2437">
        <f>_xlfn.XLOOKUP($A2437,Load!$B:$B,Load!K:K,0,)</f>
        <v>0</v>
      </c>
      <c r="K2437">
        <f>_xlfn.XLOOKUP($A2437,Load!$B:$B,Load!L:L,0,)</f>
        <v>0</v>
      </c>
      <c r="L2437">
        <f>_xlfn.XLOOKUP($A2437,Load!$B:$B,Load!M:M,0,)</f>
        <v>0</v>
      </c>
    </row>
    <row r="2438" spans="1:12" x14ac:dyDescent="0.25">
      <c r="A2438" t="s">
        <v>180</v>
      </c>
      <c r="B2438" t="str">
        <f>_xlfn.XLOOKUP($A2438,Load!$B:$B,Load!C:C,0,)</f>
        <v>Mars Variety Pack</v>
      </c>
      <c r="C2438" t="str">
        <f>_xlfn.XLOOKUP($A2438,Load!$B:$B,Load!D:D,0,)</f>
        <v>Mix of Chocolate and Non-Chocolate Candy</v>
      </c>
      <c r="D2438" t="str">
        <f>_xlfn.XLOOKUP($A2438,Load!$B:$B,Load!E:E,0,)</f>
        <v>Variety / Mixed Flavors (Fruity, Sour, Seasonal Flavors)</v>
      </c>
      <c r="E2438" t="str">
        <f>_xlfn.XLOOKUP($A2438,Load!$B:$B,Load!F:F,0,)</f>
        <v>Mixed / Combo Packs (Gummy, Chewy, Taffy, etc.)</v>
      </c>
      <c r="F2438" t="str">
        <f>_xlfn.XLOOKUP($A2438,Load!$B:$B,Load!G:G,0,)</f>
        <v>Large Multipack (More than 80 ct)</v>
      </c>
      <c r="G2438" t="str">
        <f>_xlfn.XLOOKUP($A2438,Load!$B:$B,Load!H:H,0,)</f>
        <v>Stand-Up Bag</v>
      </c>
      <c r="H2438" t="str">
        <f>_xlfn.XLOOKUP($A2438,Load!$B:$B,Load!I:I,0,)</f>
        <v>Everyday Candy Shapes (like Original, Gummy bear, Fruit, Jewels, etc.)</v>
      </c>
      <c r="I2438" t="str">
        <f>_xlfn.XLOOKUP($A2438,Load!$B:$B,Load!J:J,0,)</f>
        <v>Seasonal Graphics (Like Bat, Ghost, Pumpkin, Fall Leaves, Eyeballs, etc.)</v>
      </c>
      <c r="J2438" t="str">
        <f>_xlfn.XLOOKUP($A2438,Load!$B:$B,Load!K:K,0,)</f>
        <v>Fun Size / Treat Size</v>
      </c>
      <c r="K2438" t="str">
        <f>_xlfn.XLOOKUP($A2438,Load!$B:$B,Load!L:L,0,)</f>
        <v>Regular/Original Wrapping</v>
      </c>
      <c r="L2438" t="str">
        <f>_xlfn.XLOOKUP($A2438,Load!$B:$B,Load!M:M,0,)</f>
        <v>Multiple Brands / Variety Flavors or Form</v>
      </c>
    </row>
    <row r="2439" spans="1:12" x14ac:dyDescent="0.25">
      <c r="A2439" t="s">
        <v>202</v>
      </c>
      <c r="B2439" t="str">
        <f>_xlfn.XLOOKUP($A2439,Load!$B:$B,Load!C:C,0,)</f>
        <v>Mars Variety Pack</v>
      </c>
      <c r="C2439" t="str">
        <f>_xlfn.XLOOKUP($A2439,Load!$B:$B,Load!D:D,0,)</f>
        <v>Mix of Chocolate and Non-Chocolate Candy</v>
      </c>
      <c r="D2439" t="str">
        <f>_xlfn.XLOOKUP($A2439,Load!$B:$B,Load!E:E,0,)</f>
        <v>Variety / Mixed Flavors (Fruity, Sour, Seasonal Flavors)</v>
      </c>
      <c r="E2439" t="str">
        <f>_xlfn.XLOOKUP($A2439,Load!$B:$B,Load!F:F,0,)</f>
        <v>Mixed / Combo Packs (Gummy, Chewy, Taffy, etc.)</v>
      </c>
      <c r="F2439" t="str">
        <f>_xlfn.XLOOKUP($A2439,Load!$B:$B,Load!G:G,0,)</f>
        <v>Large Multipack (More than 80 ct)</v>
      </c>
      <c r="G2439" t="str">
        <f>_xlfn.XLOOKUP($A2439,Load!$B:$B,Load!H:H,0,)</f>
        <v>Stand-Up Bag</v>
      </c>
      <c r="H2439" t="str">
        <f>_xlfn.XLOOKUP($A2439,Load!$B:$B,Load!I:I,0,)</f>
        <v>Everyday Candy Shapes (like Original, Gummy bear, Fruit, Jewels, etc.)</v>
      </c>
      <c r="I2439" t="str">
        <f>_xlfn.XLOOKUP($A2439,Load!$B:$B,Load!J:J,0,)</f>
        <v>Everyday Graphics</v>
      </c>
      <c r="J2439" t="str">
        <f>_xlfn.XLOOKUP($A2439,Load!$B:$B,Load!K:K,0,)</f>
        <v>Fun Size / Treat Size</v>
      </c>
      <c r="K2439" t="str">
        <f>_xlfn.XLOOKUP($A2439,Load!$B:$B,Load!L:L,0,)</f>
        <v>Regular/Original Wrapping</v>
      </c>
      <c r="L2439" t="str">
        <f>_xlfn.XLOOKUP($A2439,Load!$B:$B,Load!M:M,0,)</f>
        <v>Multiple Brands / Variety Flavors or Form</v>
      </c>
    </row>
    <row r="2440" spans="1:12" x14ac:dyDescent="0.25">
      <c r="A2440" t="s">
        <v>214</v>
      </c>
      <c r="B2440" t="str">
        <f>_xlfn.XLOOKUP($A2440,Load!$B:$B,Load!C:C,0,)</f>
        <v>Mars Variety Pack</v>
      </c>
      <c r="C2440" t="str">
        <f>_xlfn.XLOOKUP($A2440,Load!$B:$B,Load!D:D,0,)</f>
        <v>Mix of Chocolate and Non-Chocolate Candy</v>
      </c>
      <c r="D2440" t="str">
        <f>_xlfn.XLOOKUP($A2440,Load!$B:$B,Load!E:E,0,)</f>
        <v>Variety / Mixed Flavors (Fruity, Sour, Seasonal Flavors)</v>
      </c>
      <c r="E2440" t="str">
        <f>_xlfn.XLOOKUP($A2440,Load!$B:$B,Load!F:F,0,)</f>
        <v>Mixed / Combo Packs (Gummy, Chewy, Taffy, etc.)</v>
      </c>
      <c r="F2440" t="str">
        <f>_xlfn.XLOOKUP($A2440,Load!$B:$B,Load!G:G,0,)</f>
        <v>Large Multipack (More than 80 ct)</v>
      </c>
      <c r="G2440" t="str">
        <f>_xlfn.XLOOKUP($A2440,Load!$B:$B,Load!H:H,0,)</f>
        <v>Stand-Up Bag</v>
      </c>
      <c r="H2440" t="str">
        <f>_xlfn.XLOOKUP($A2440,Load!$B:$B,Load!I:I,0,)</f>
        <v>Everyday Candy Shapes (like Original, Gummy bear, Fruit, Jewels, etc.)</v>
      </c>
      <c r="I2440" t="str">
        <f>_xlfn.XLOOKUP($A2440,Load!$B:$B,Load!J:J,0,)</f>
        <v>Seasonal Graphics (Like Bat, Ghost, Pumpkin, Fall Leaves, Eyeballs, etc.)</v>
      </c>
      <c r="J2440" t="str">
        <f>_xlfn.XLOOKUP($A2440,Load!$B:$B,Load!K:K,0,)</f>
        <v>Fun Size / Treat Size</v>
      </c>
      <c r="K2440" t="str">
        <f>_xlfn.XLOOKUP($A2440,Load!$B:$B,Load!L:L,0,)</f>
        <v>Regular/Original Wrapping</v>
      </c>
      <c r="L2440" t="str">
        <f>_xlfn.XLOOKUP($A2440,Load!$B:$B,Load!M:M,0,)</f>
        <v>Multiple Brands / Variety Flavors or Form</v>
      </c>
    </row>
    <row r="2441" spans="1:12" x14ac:dyDescent="0.25">
      <c r="A2441" t="s">
        <v>97</v>
      </c>
      <c r="B2441" t="str">
        <f>_xlfn.XLOOKUP($A2441,Load!$B:$B,Load!C:C,0,)</f>
        <v>Ferrero Variety Pack</v>
      </c>
      <c r="C2441" t="str">
        <f>_xlfn.XLOOKUP($A2441,Load!$B:$B,Load!D:D,0,)</f>
        <v>Mix of Chocolate and Non-Chocolate Candy</v>
      </c>
      <c r="D2441" t="str">
        <f>_xlfn.XLOOKUP($A2441,Load!$B:$B,Load!E:E,0,)</f>
        <v>Variety / Mixed Flavors (Fruity, Sour, Seasonal Flavors)</v>
      </c>
      <c r="E2441" t="str">
        <f>_xlfn.XLOOKUP($A2441,Load!$B:$B,Load!F:F,0,)</f>
        <v>Mixed / Combo Packs (Gummy, Chewy, Taffy, etc.)</v>
      </c>
      <c r="F2441" t="str">
        <f>_xlfn.XLOOKUP($A2441,Load!$B:$B,Load!G:G,0,)</f>
        <v>Large Multipack (More than 80 ct)</v>
      </c>
      <c r="G2441" t="str">
        <f>_xlfn.XLOOKUP($A2441,Load!$B:$B,Load!H:H,0,)</f>
        <v>Stand-Up Bag</v>
      </c>
      <c r="H2441" t="str">
        <f>_xlfn.XLOOKUP($A2441,Load!$B:$B,Load!I:I,0,)</f>
        <v>Everyday Candy Shapes (like Original, Gummy bear, Fruit, Jewels, etc.)</v>
      </c>
      <c r="I2441" t="str">
        <f>_xlfn.XLOOKUP($A2441,Load!$B:$B,Load!J:J,0,)</f>
        <v>Seasonal Graphics (Like Bat, Ghost, Pumpkin, Fall Leaves, Eyeballs, etc.)</v>
      </c>
      <c r="J2441" t="str">
        <f>_xlfn.XLOOKUP($A2441,Load!$B:$B,Load!K:K,0,)</f>
        <v>Fun Size / Treat Size</v>
      </c>
      <c r="K2441" t="str">
        <f>_xlfn.XLOOKUP($A2441,Load!$B:$B,Load!L:L,0,)</f>
        <v>Regular/Original Wrapping</v>
      </c>
      <c r="L2441" t="str">
        <f>_xlfn.XLOOKUP($A2441,Load!$B:$B,Load!M:M,0,)</f>
        <v>Multiple Brands / Variety Flavors or Form</v>
      </c>
    </row>
    <row r="2442" spans="1:12" x14ac:dyDescent="0.25">
      <c r="A2442" t="s">
        <v>182</v>
      </c>
      <c r="B2442" t="str">
        <f>_xlfn.XLOOKUP($A2442,Load!$B:$B,Load!C:C,0,)</f>
        <v>Mars Variety Pack</v>
      </c>
      <c r="C2442" t="str">
        <f>_xlfn.XLOOKUP($A2442,Load!$B:$B,Load!D:D,0,)</f>
        <v>Non-Chocolate Candy Only</v>
      </c>
      <c r="D2442" t="str">
        <f>_xlfn.XLOOKUP($A2442,Load!$B:$B,Load!E:E,0,)</f>
        <v>Variety / Mixed Flavors (Fruity, Sour, Seasonal Flavors)</v>
      </c>
      <c r="E2442" t="str">
        <f>_xlfn.XLOOKUP($A2442,Load!$B:$B,Load!F:F,0,)</f>
        <v>Mixed / Combo Packs (Gummy, Chewy, Taffy, etc.)</v>
      </c>
      <c r="F2442" t="str">
        <f>_xlfn.XLOOKUP($A2442,Load!$B:$B,Load!G:G,0,)</f>
        <v>Large Multipack (More than 80 ct)</v>
      </c>
      <c r="G2442" t="str">
        <f>_xlfn.XLOOKUP($A2442,Load!$B:$B,Load!H:H,0,)</f>
        <v>Stand-Up Bag</v>
      </c>
      <c r="H2442" t="str">
        <f>_xlfn.XLOOKUP($A2442,Load!$B:$B,Load!I:I,0,)</f>
        <v>Everyday Candy Shapes (like Original, Gummy bear, Fruit, Jewels, etc.)</v>
      </c>
      <c r="I2442" t="str">
        <f>_xlfn.XLOOKUP($A2442,Load!$B:$B,Load!J:J,0,)</f>
        <v>Seasonal Graphics (Like Bat, Ghost, Pumpkin, Fall Leaves, Eyeballs, etc.)</v>
      </c>
      <c r="J2442" t="str">
        <f>_xlfn.XLOOKUP($A2442,Load!$B:$B,Load!K:K,0,)</f>
        <v xml:space="preserve">Variety Candy Sizes </v>
      </c>
      <c r="K2442" t="str">
        <f>_xlfn.XLOOKUP($A2442,Load!$B:$B,Load!L:L,0,)</f>
        <v>Regular/Original Wrapping</v>
      </c>
      <c r="L2442" t="str">
        <f>_xlfn.XLOOKUP($A2442,Load!$B:$B,Load!M:M,0,)</f>
        <v>Multiple Brands / Variety Flavors or Form</v>
      </c>
    </row>
    <row r="2443" spans="1:12" x14ac:dyDescent="0.25">
      <c r="A2443" t="s">
        <v>91</v>
      </c>
      <c r="B2443" t="str">
        <f>_xlfn.XLOOKUP($A2443,Load!$B:$B,Load!C:C,0,)</f>
        <v>Ferrara Variety Pack</v>
      </c>
      <c r="C2443" t="str">
        <f>_xlfn.XLOOKUP($A2443,Load!$B:$B,Load!D:D,0,)</f>
        <v>Non-Chocolate Candy Only</v>
      </c>
      <c r="D2443" t="str">
        <f>_xlfn.XLOOKUP($A2443,Load!$B:$B,Load!E:E,0,)</f>
        <v>Variety / Mixed Flavors (Fruity, Sour, Seasonal Flavors)</v>
      </c>
      <c r="E2443" t="str">
        <f>_xlfn.XLOOKUP($A2443,Load!$B:$B,Load!F:F,0,)</f>
        <v>Mixed / Combo Packs (Gummy, Chewy, Taffy, etc.)</v>
      </c>
      <c r="F2443" t="str">
        <f>_xlfn.XLOOKUP($A2443,Load!$B:$B,Load!G:G,0,)</f>
        <v>Large Multipack (More than 80 ct)</v>
      </c>
      <c r="G2443" t="str">
        <f>_xlfn.XLOOKUP($A2443,Load!$B:$B,Load!H:H,0,)</f>
        <v>Stand-Up Bag</v>
      </c>
      <c r="H2443" t="str">
        <f>_xlfn.XLOOKUP($A2443,Load!$B:$B,Load!I:I,0,)</f>
        <v>Everyday Candy Shapes (like Original, Gummy bear, Fruit, Jewels, etc.)</v>
      </c>
      <c r="I2443" t="str">
        <f>_xlfn.XLOOKUP($A2443,Load!$B:$B,Load!J:J,0,)</f>
        <v>Seasonal Graphics (Like Bat, Ghost, Pumpkin, Fall Leaves, Eyeballs, etc.)</v>
      </c>
      <c r="J2443" t="str">
        <f>_xlfn.XLOOKUP($A2443,Load!$B:$B,Load!K:K,0,)</f>
        <v xml:space="preserve">Variety Candy Sizes </v>
      </c>
      <c r="K2443" t="str">
        <f>_xlfn.XLOOKUP($A2443,Load!$B:$B,Load!L:L,0,)</f>
        <v>Regular/Original Wrapping</v>
      </c>
      <c r="L2443" t="str">
        <f>_xlfn.XLOOKUP($A2443,Load!$B:$B,Load!M:M,0,)</f>
        <v>Multiple Brands / Variety Flavors or Form</v>
      </c>
    </row>
    <row r="2444" spans="1:12" x14ac:dyDescent="0.25">
      <c r="B2444">
        <f>_xlfn.XLOOKUP($A2444,Load!$B:$B,Load!C:C,0,)</f>
        <v>0</v>
      </c>
      <c r="C2444">
        <f>_xlfn.XLOOKUP($A2444,Load!$B:$B,Load!D:D,0,)</f>
        <v>0</v>
      </c>
      <c r="D2444">
        <f>_xlfn.XLOOKUP($A2444,Load!$B:$B,Load!E:E,0,)</f>
        <v>0</v>
      </c>
      <c r="E2444">
        <f>_xlfn.XLOOKUP($A2444,Load!$B:$B,Load!F:F,0,)</f>
        <v>0</v>
      </c>
      <c r="F2444">
        <f>_xlfn.XLOOKUP($A2444,Load!$B:$B,Load!G:G,0,)</f>
        <v>0</v>
      </c>
      <c r="G2444">
        <f>_xlfn.XLOOKUP($A2444,Load!$B:$B,Load!H:H,0,)</f>
        <v>0</v>
      </c>
      <c r="H2444">
        <f>_xlfn.XLOOKUP($A2444,Load!$B:$B,Load!I:I,0,)</f>
        <v>0</v>
      </c>
      <c r="I2444">
        <f>_xlfn.XLOOKUP($A2444,Load!$B:$B,Load!J:J,0,)</f>
        <v>0</v>
      </c>
      <c r="J2444">
        <f>_xlfn.XLOOKUP($A2444,Load!$B:$B,Load!K:K,0,)</f>
        <v>0</v>
      </c>
      <c r="K2444">
        <f>_xlfn.XLOOKUP($A2444,Load!$B:$B,Load!L:L,0,)</f>
        <v>0</v>
      </c>
      <c r="L2444">
        <f>_xlfn.XLOOKUP($A2444,Load!$B:$B,Load!M:M,0,)</f>
        <v>0</v>
      </c>
    </row>
    <row r="2445" spans="1:12" x14ac:dyDescent="0.25">
      <c r="B2445">
        <f>_xlfn.XLOOKUP($A2445,Load!$B:$B,Load!C:C,0,)</f>
        <v>0</v>
      </c>
      <c r="C2445">
        <f>_xlfn.XLOOKUP($A2445,Load!$B:$B,Load!D:D,0,)</f>
        <v>0</v>
      </c>
      <c r="D2445">
        <f>_xlfn.XLOOKUP($A2445,Load!$B:$B,Load!E:E,0,)</f>
        <v>0</v>
      </c>
      <c r="E2445">
        <f>_xlfn.XLOOKUP($A2445,Load!$B:$B,Load!F:F,0,)</f>
        <v>0</v>
      </c>
      <c r="F2445">
        <f>_xlfn.XLOOKUP($A2445,Load!$B:$B,Load!G:G,0,)</f>
        <v>0</v>
      </c>
      <c r="G2445">
        <f>_xlfn.XLOOKUP($A2445,Load!$B:$B,Load!H:H,0,)</f>
        <v>0</v>
      </c>
      <c r="H2445">
        <f>_xlfn.XLOOKUP($A2445,Load!$B:$B,Load!I:I,0,)</f>
        <v>0</v>
      </c>
      <c r="I2445">
        <f>_xlfn.XLOOKUP($A2445,Load!$B:$B,Load!J:J,0,)</f>
        <v>0</v>
      </c>
      <c r="J2445">
        <f>_xlfn.XLOOKUP($A2445,Load!$B:$B,Load!K:K,0,)</f>
        <v>0</v>
      </c>
      <c r="K2445">
        <f>_xlfn.XLOOKUP($A2445,Load!$B:$B,Load!L:L,0,)</f>
        <v>0</v>
      </c>
      <c r="L2445">
        <f>_xlfn.XLOOKUP($A2445,Load!$B:$B,Load!M:M,0,)</f>
        <v>0</v>
      </c>
    </row>
    <row r="2446" spans="1:12" x14ac:dyDescent="0.25">
      <c r="B2446">
        <f>_xlfn.XLOOKUP($A2446,Load!$B:$B,Load!C:C,0,)</f>
        <v>0</v>
      </c>
      <c r="C2446">
        <f>_xlfn.XLOOKUP($A2446,Load!$B:$B,Load!D:D,0,)</f>
        <v>0</v>
      </c>
      <c r="D2446">
        <f>_xlfn.XLOOKUP($A2446,Load!$B:$B,Load!E:E,0,)</f>
        <v>0</v>
      </c>
      <c r="E2446">
        <f>_xlfn.XLOOKUP($A2446,Load!$B:$B,Load!F:F,0,)</f>
        <v>0</v>
      </c>
      <c r="F2446">
        <f>_xlfn.XLOOKUP($A2446,Load!$B:$B,Load!G:G,0,)</f>
        <v>0</v>
      </c>
      <c r="G2446">
        <f>_xlfn.XLOOKUP($A2446,Load!$B:$B,Load!H:H,0,)</f>
        <v>0</v>
      </c>
      <c r="H2446">
        <f>_xlfn.XLOOKUP($A2446,Load!$B:$B,Load!I:I,0,)</f>
        <v>0</v>
      </c>
      <c r="I2446">
        <f>_xlfn.XLOOKUP($A2446,Load!$B:$B,Load!J:J,0,)</f>
        <v>0</v>
      </c>
      <c r="J2446">
        <f>_xlfn.XLOOKUP($A2446,Load!$B:$B,Load!K:K,0,)</f>
        <v>0</v>
      </c>
      <c r="K2446">
        <f>_xlfn.XLOOKUP($A2446,Load!$B:$B,Load!L:L,0,)</f>
        <v>0</v>
      </c>
      <c r="L2446">
        <f>_xlfn.XLOOKUP($A2446,Load!$B:$B,Load!M:M,0,)</f>
        <v>0</v>
      </c>
    </row>
    <row r="2447" spans="1:12" x14ac:dyDescent="0.25">
      <c r="B2447">
        <f>_xlfn.XLOOKUP($A2447,Load!$B:$B,Load!C:C,0,)</f>
        <v>0</v>
      </c>
      <c r="C2447">
        <f>_xlfn.XLOOKUP($A2447,Load!$B:$B,Load!D:D,0,)</f>
        <v>0</v>
      </c>
      <c r="D2447">
        <f>_xlfn.XLOOKUP($A2447,Load!$B:$B,Load!E:E,0,)</f>
        <v>0</v>
      </c>
      <c r="E2447">
        <f>_xlfn.XLOOKUP($A2447,Load!$B:$B,Load!F:F,0,)</f>
        <v>0</v>
      </c>
      <c r="F2447">
        <f>_xlfn.XLOOKUP($A2447,Load!$B:$B,Load!G:G,0,)</f>
        <v>0</v>
      </c>
      <c r="G2447">
        <f>_xlfn.XLOOKUP($A2447,Load!$B:$B,Load!H:H,0,)</f>
        <v>0</v>
      </c>
      <c r="H2447">
        <f>_xlfn.XLOOKUP($A2447,Load!$B:$B,Load!I:I,0,)</f>
        <v>0</v>
      </c>
      <c r="I2447">
        <f>_xlfn.XLOOKUP($A2447,Load!$B:$B,Load!J:J,0,)</f>
        <v>0</v>
      </c>
      <c r="J2447">
        <f>_xlfn.XLOOKUP($A2447,Load!$B:$B,Load!K:K,0,)</f>
        <v>0</v>
      </c>
      <c r="K2447">
        <f>_xlfn.XLOOKUP($A2447,Load!$B:$B,Load!L:L,0,)</f>
        <v>0</v>
      </c>
      <c r="L2447">
        <f>_xlfn.XLOOKUP($A2447,Load!$B:$B,Load!M:M,0,)</f>
        <v>0</v>
      </c>
    </row>
    <row r="2448" spans="1:12" x14ac:dyDescent="0.25">
      <c r="A2448" t="s">
        <v>184</v>
      </c>
      <c r="B2448" t="str">
        <f>_xlfn.XLOOKUP($A2448,Load!$B:$B,Load!C:C,0,)</f>
        <v>Mars Variety Pack</v>
      </c>
      <c r="C2448" t="str">
        <f>_xlfn.XLOOKUP($A2448,Load!$B:$B,Load!D:D,0,)</f>
        <v>Mix of Chocolate and Non-Chocolate Candy</v>
      </c>
      <c r="D2448" t="str">
        <f>_xlfn.XLOOKUP($A2448,Load!$B:$B,Load!E:E,0,)</f>
        <v>Variety / Mixed Flavors (Fruity, Sour, Seasonal Flavors)</v>
      </c>
      <c r="E2448" t="str">
        <f>_xlfn.XLOOKUP($A2448,Load!$B:$B,Load!F:F,0,)</f>
        <v>Mixed / Combo Packs (Gummy, Chewy, Taffy, etc.)</v>
      </c>
      <c r="F2448" t="str">
        <f>_xlfn.XLOOKUP($A2448,Load!$B:$B,Load!G:G,0,)</f>
        <v>Large Multipack (More than 80 ct)</v>
      </c>
      <c r="G2448" t="str">
        <f>_xlfn.XLOOKUP($A2448,Load!$B:$B,Load!H:H,0,)</f>
        <v>Stand-Up Bag</v>
      </c>
      <c r="H2448" t="str">
        <f>_xlfn.XLOOKUP($A2448,Load!$B:$B,Load!I:I,0,)</f>
        <v>Everyday Candy Shapes (like Original, Gummy bear, Fruit, Jewels, etc.)</v>
      </c>
      <c r="I2448" t="str">
        <f>_xlfn.XLOOKUP($A2448,Load!$B:$B,Load!J:J,0,)</f>
        <v>Seasonal Graphics (Like Bat, Ghost, Pumpkin, Fall Leaves, Eyeballs, etc.)</v>
      </c>
      <c r="J2448" t="str">
        <f>_xlfn.XLOOKUP($A2448,Load!$B:$B,Load!K:K,0,)</f>
        <v>Fun Size / Treat Size</v>
      </c>
      <c r="K2448" t="str">
        <f>_xlfn.XLOOKUP($A2448,Load!$B:$B,Load!L:L,0,)</f>
        <v>Regular/Original Wrapping</v>
      </c>
      <c r="L2448" t="str">
        <f>_xlfn.XLOOKUP($A2448,Load!$B:$B,Load!M:M,0,)</f>
        <v>Multiple Brands / Variety Flavors or Form</v>
      </c>
    </row>
    <row r="2449" spans="1:12" x14ac:dyDescent="0.25">
      <c r="B2449">
        <f>_xlfn.XLOOKUP($A2449,Load!$B:$B,Load!C:C,0,)</f>
        <v>0</v>
      </c>
      <c r="C2449">
        <f>_xlfn.XLOOKUP($A2449,Load!$B:$B,Load!D:D,0,)</f>
        <v>0</v>
      </c>
      <c r="D2449">
        <f>_xlfn.XLOOKUP($A2449,Load!$B:$B,Load!E:E,0,)</f>
        <v>0</v>
      </c>
      <c r="E2449">
        <f>_xlfn.XLOOKUP($A2449,Load!$B:$B,Load!F:F,0,)</f>
        <v>0</v>
      </c>
      <c r="F2449">
        <f>_xlfn.XLOOKUP($A2449,Load!$B:$B,Load!G:G,0,)</f>
        <v>0</v>
      </c>
      <c r="G2449">
        <f>_xlfn.XLOOKUP($A2449,Load!$B:$B,Load!H:H,0,)</f>
        <v>0</v>
      </c>
      <c r="H2449">
        <f>_xlfn.XLOOKUP($A2449,Load!$B:$B,Load!I:I,0,)</f>
        <v>0</v>
      </c>
      <c r="I2449">
        <f>_xlfn.XLOOKUP($A2449,Load!$B:$B,Load!J:J,0,)</f>
        <v>0</v>
      </c>
      <c r="J2449">
        <f>_xlfn.XLOOKUP($A2449,Load!$B:$B,Load!K:K,0,)</f>
        <v>0</v>
      </c>
      <c r="K2449">
        <f>_xlfn.XLOOKUP($A2449,Load!$B:$B,Load!L:L,0,)</f>
        <v>0</v>
      </c>
      <c r="L2449">
        <f>_xlfn.XLOOKUP($A2449,Load!$B:$B,Load!M:M,0,)</f>
        <v>0</v>
      </c>
    </row>
    <row r="2450" spans="1:12" x14ac:dyDescent="0.25">
      <c r="A2450" t="s">
        <v>225</v>
      </c>
      <c r="B2450" t="str">
        <f>_xlfn.XLOOKUP($A2450,Load!$B:$B,Load!C:C,0,)</f>
        <v>Nerds</v>
      </c>
      <c r="C2450" t="str">
        <f>_xlfn.XLOOKUP($A2450,Load!$B:$B,Load!D:D,0,)</f>
        <v>Non-Chocolate Candy Only</v>
      </c>
      <c r="D2450" t="str">
        <f>_xlfn.XLOOKUP($A2450,Load!$B:$B,Load!E:E,0,)</f>
        <v>Sweet</v>
      </c>
      <c r="E2450" t="str">
        <f>_xlfn.XLOOKUP($A2450,Load!$B:$B,Load!F:F,0,)</f>
        <v>Gummy</v>
      </c>
      <c r="F2450" t="str">
        <f>_xlfn.XLOOKUP($A2450,Load!$B:$B,Load!G:G,0,)</f>
        <v>Single Pack</v>
      </c>
      <c r="G2450" t="str">
        <f>_xlfn.XLOOKUP($A2450,Load!$B:$B,Load!H:H,0,)</f>
        <v>Peg Bag</v>
      </c>
      <c r="H2450" t="str">
        <f>_xlfn.XLOOKUP($A2450,Load!$B:$B,Load!I:I,0,)</f>
        <v>Seasonal Shapes (like pumpkins, candy corn, ghost, bats, etc.)</v>
      </c>
      <c r="I2450" t="str">
        <f>_xlfn.XLOOKUP($A2450,Load!$B:$B,Load!J:J,0,)</f>
        <v>Seasonal Graphics (Like Bat, Ghost, Pumpkin, Fall Leaves, Eyeballs, etc.)</v>
      </c>
      <c r="J2450" t="str">
        <f>_xlfn.XLOOKUP($A2450,Load!$B:$B,Load!K:K,0,)</f>
        <v>Fun Size / Treat Size</v>
      </c>
      <c r="K2450" t="str">
        <f>_xlfn.XLOOKUP($A2450,Load!$B:$B,Load!L:L,0,)</f>
        <v>Unwrapped</v>
      </c>
      <c r="L2450" t="str">
        <f>_xlfn.XLOOKUP($A2450,Load!$B:$B,Load!M:M,0,)</f>
        <v>Single Brand / Variety Flavors or Form</v>
      </c>
    </row>
    <row r="2451" spans="1:12" x14ac:dyDescent="0.25">
      <c r="B2451">
        <f>_xlfn.XLOOKUP($A2451,Load!$B:$B,Load!C:C,0,)</f>
        <v>0</v>
      </c>
      <c r="C2451">
        <f>_xlfn.XLOOKUP($A2451,Load!$B:$B,Load!D:D,0,)</f>
        <v>0</v>
      </c>
      <c r="D2451">
        <f>_xlfn.XLOOKUP($A2451,Load!$B:$B,Load!E:E,0,)</f>
        <v>0</v>
      </c>
      <c r="E2451">
        <f>_xlfn.XLOOKUP($A2451,Load!$B:$B,Load!F:F,0,)</f>
        <v>0</v>
      </c>
      <c r="F2451">
        <f>_xlfn.XLOOKUP($A2451,Load!$B:$B,Load!G:G,0,)</f>
        <v>0</v>
      </c>
      <c r="G2451">
        <f>_xlfn.XLOOKUP($A2451,Load!$B:$B,Load!H:H,0,)</f>
        <v>0</v>
      </c>
      <c r="H2451">
        <f>_xlfn.XLOOKUP($A2451,Load!$B:$B,Load!I:I,0,)</f>
        <v>0</v>
      </c>
      <c r="I2451">
        <f>_xlfn.XLOOKUP($A2451,Load!$B:$B,Load!J:J,0,)</f>
        <v>0</v>
      </c>
      <c r="J2451">
        <f>_xlfn.XLOOKUP($A2451,Load!$B:$B,Load!K:K,0,)</f>
        <v>0</v>
      </c>
      <c r="K2451">
        <f>_xlfn.XLOOKUP($A2451,Load!$B:$B,Load!L:L,0,)</f>
        <v>0</v>
      </c>
      <c r="L2451">
        <f>_xlfn.XLOOKUP($A2451,Load!$B:$B,Load!M:M,0,)</f>
        <v>0</v>
      </c>
    </row>
    <row r="2452" spans="1:12" x14ac:dyDescent="0.25">
      <c r="A2452" t="s">
        <v>178</v>
      </c>
      <c r="B2452" t="str">
        <f>_xlfn.XLOOKUP($A2452,Load!$B:$B,Load!C:C,0,)</f>
        <v>Mars Variety Pack</v>
      </c>
      <c r="C2452" t="str">
        <f>_xlfn.XLOOKUP($A2452,Load!$B:$B,Load!D:D,0,)</f>
        <v>Mix of Chocolate and Non-Chocolate Candy</v>
      </c>
      <c r="D2452" t="str">
        <f>_xlfn.XLOOKUP($A2452,Load!$B:$B,Load!E:E,0,)</f>
        <v>Variety / Mixed Flavors (Fruity, Sour, Seasonal Flavors)</v>
      </c>
      <c r="E2452" t="str">
        <f>_xlfn.XLOOKUP($A2452,Load!$B:$B,Load!F:F,0,)</f>
        <v>Mixed / Combo Packs (Gummy, Chewy, Taffy, etc.)</v>
      </c>
      <c r="F2452" t="str">
        <f>_xlfn.XLOOKUP($A2452,Load!$B:$B,Load!G:G,0,)</f>
        <v>Small Multipack (Less than 40 ct)</v>
      </c>
      <c r="G2452" t="str">
        <f>_xlfn.XLOOKUP($A2452,Load!$B:$B,Load!H:H,0,)</f>
        <v>Laydown Bag</v>
      </c>
      <c r="H2452" t="str">
        <f>_xlfn.XLOOKUP($A2452,Load!$B:$B,Load!I:I,0,)</f>
        <v>Everyday Candy Shapes (like Original, Gummy bear, Fruit, Jewels, etc.)</v>
      </c>
      <c r="I2452" t="str">
        <f>_xlfn.XLOOKUP($A2452,Load!$B:$B,Load!J:J,0,)</f>
        <v>Seasonal Graphics (Like Bat, Ghost, Pumpkin, Fall Leaves, Eyeballs, etc.)</v>
      </c>
      <c r="J2452" t="str">
        <f>_xlfn.XLOOKUP($A2452,Load!$B:$B,Load!K:K,0,)</f>
        <v xml:space="preserve">Variety Candy Sizes </v>
      </c>
      <c r="K2452" t="str">
        <f>_xlfn.XLOOKUP($A2452,Load!$B:$B,Load!L:L,0,)</f>
        <v>Regular/Original Wrapping</v>
      </c>
      <c r="L2452" t="str">
        <f>_xlfn.XLOOKUP($A2452,Load!$B:$B,Load!M:M,0,)</f>
        <v>Multiple Brands / Variety Flavors or Form</v>
      </c>
    </row>
    <row r="2453" spans="1:12" x14ac:dyDescent="0.25">
      <c r="A2453" t="s">
        <v>207</v>
      </c>
      <c r="B2453" t="str">
        <f>_xlfn.XLOOKUP($A2453,Load!$B:$B,Load!C:C,0,)</f>
        <v>Mars Variety Pack</v>
      </c>
      <c r="C2453" t="str">
        <f>_xlfn.XLOOKUP($A2453,Load!$B:$B,Load!D:D,0,)</f>
        <v>Mix of Chocolate and Non-Chocolate Candy</v>
      </c>
      <c r="D2453" t="str">
        <f>_xlfn.XLOOKUP($A2453,Load!$B:$B,Load!E:E,0,)</f>
        <v>Variety / Mixed Flavors (Fruity, Sour, Seasonal Flavors)</v>
      </c>
      <c r="E2453" t="str">
        <f>_xlfn.XLOOKUP($A2453,Load!$B:$B,Load!F:F,0,)</f>
        <v>Mixed / Combo Packs (Gummy, Chewy, Taffy, etc.)</v>
      </c>
      <c r="F2453" t="str">
        <f>_xlfn.XLOOKUP($A2453,Load!$B:$B,Load!G:G,0,)</f>
        <v>Large Multipack (More than 80 ct)</v>
      </c>
      <c r="G2453" t="str">
        <f>_xlfn.XLOOKUP($A2453,Load!$B:$B,Load!H:H,0,)</f>
        <v>Stand-Up Bag</v>
      </c>
      <c r="H2453" t="str">
        <f>_xlfn.XLOOKUP($A2453,Load!$B:$B,Load!I:I,0,)</f>
        <v>Everyday Candy Shapes (like Original, Gummy bear, Fruit, Jewels, etc.)</v>
      </c>
      <c r="I2453" t="str">
        <f>_xlfn.XLOOKUP($A2453,Load!$B:$B,Load!J:J,0,)</f>
        <v>Everyday Graphics</v>
      </c>
      <c r="J2453" t="str">
        <f>_xlfn.XLOOKUP($A2453,Load!$B:$B,Load!K:K,0,)</f>
        <v>Fun Size / Treat Size</v>
      </c>
      <c r="K2453" t="str">
        <f>_xlfn.XLOOKUP($A2453,Load!$B:$B,Load!L:L,0,)</f>
        <v>Regular/Original Wrapping</v>
      </c>
      <c r="L2453" t="str">
        <f>_xlfn.XLOOKUP($A2453,Load!$B:$B,Load!M:M,0,)</f>
        <v>Multiple Brands / Variety Flavors or Form</v>
      </c>
    </row>
    <row r="2454" spans="1:12" x14ac:dyDescent="0.25">
      <c r="B2454">
        <f>_xlfn.XLOOKUP($A2454,Load!$B:$B,Load!C:C,0,)</f>
        <v>0</v>
      </c>
      <c r="C2454">
        <f>_xlfn.XLOOKUP($A2454,Load!$B:$B,Load!D:D,0,)</f>
        <v>0</v>
      </c>
      <c r="D2454">
        <f>_xlfn.XLOOKUP($A2454,Load!$B:$B,Load!E:E,0,)</f>
        <v>0</v>
      </c>
      <c r="E2454">
        <f>_xlfn.XLOOKUP($A2454,Load!$B:$B,Load!F:F,0,)</f>
        <v>0</v>
      </c>
      <c r="F2454">
        <f>_xlfn.XLOOKUP($A2454,Load!$B:$B,Load!G:G,0,)</f>
        <v>0</v>
      </c>
      <c r="G2454">
        <f>_xlfn.XLOOKUP($A2454,Load!$B:$B,Load!H:H,0,)</f>
        <v>0</v>
      </c>
      <c r="H2454">
        <f>_xlfn.XLOOKUP($A2454,Load!$B:$B,Load!I:I,0,)</f>
        <v>0</v>
      </c>
      <c r="I2454">
        <f>_xlfn.XLOOKUP($A2454,Load!$B:$B,Load!J:J,0,)</f>
        <v>0</v>
      </c>
      <c r="J2454">
        <f>_xlfn.XLOOKUP($A2454,Load!$B:$B,Load!K:K,0,)</f>
        <v>0</v>
      </c>
      <c r="K2454">
        <f>_xlfn.XLOOKUP($A2454,Load!$B:$B,Load!L:L,0,)</f>
        <v>0</v>
      </c>
      <c r="L2454">
        <f>_xlfn.XLOOKUP($A2454,Load!$B:$B,Load!M:M,0,)</f>
        <v>0</v>
      </c>
    </row>
    <row r="2455" spans="1:12" x14ac:dyDescent="0.25">
      <c r="B2455">
        <f>_xlfn.XLOOKUP($A2455,Load!$B:$B,Load!C:C,0,)</f>
        <v>0</v>
      </c>
      <c r="C2455">
        <f>_xlfn.XLOOKUP($A2455,Load!$B:$B,Load!D:D,0,)</f>
        <v>0</v>
      </c>
      <c r="D2455">
        <f>_xlfn.XLOOKUP($A2455,Load!$B:$B,Load!E:E,0,)</f>
        <v>0</v>
      </c>
      <c r="E2455">
        <f>_xlfn.XLOOKUP($A2455,Load!$B:$B,Load!F:F,0,)</f>
        <v>0</v>
      </c>
      <c r="F2455">
        <f>_xlfn.XLOOKUP($A2455,Load!$B:$B,Load!G:G,0,)</f>
        <v>0</v>
      </c>
      <c r="G2455">
        <f>_xlfn.XLOOKUP($A2455,Load!$B:$B,Load!H:H,0,)</f>
        <v>0</v>
      </c>
      <c r="H2455">
        <f>_xlfn.XLOOKUP($A2455,Load!$B:$B,Load!I:I,0,)</f>
        <v>0</v>
      </c>
      <c r="I2455">
        <f>_xlfn.XLOOKUP($A2455,Load!$B:$B,Load!J:J,0,)</f>
        <v>0</v>
      </c>
      <c r="J2455">
        <f>_xlfn.XLOOKUP($A2455,Load!$B:$B,Load!K:K,0,)</f>
        <v>0</v>
      </c>
      <c r="K2455">
        <f>_xlfn.XLOOKUP($A2455,Load!$B:$B,Load!L:L,0,)</f>
        <v>0</v>
      </c>
      <c r="L2455">
        <f>_xlfn.XLOOKUP($A2455,Load!$B:$B,Load!M:M,0,)</f>
        <v>0</v>
      </c>
    </row>
    <row r="2456" spans="1:12" x14ac:dyDescent="0.25">
      <c r="A2456" t="s">
        <v>101</v>
      </c>
      <c r="B2456" t="str">
        <f>_xlfn.XLOOKUP($A2456,Load!$B:$B,Load!C:C,0,)</f>
        <v>Flix</v>
      </c>
      <c r="C2456" t="str">
        <f>_xlfn.XLOOKUP($A2456,Load!$B:$B,Load!D:D,0,)</f>
        <v>Non-Chocolate Candy Only</v>
      </c>
      <c r="D2456" t="str">
        <f>_xlfn.XLOOKUP($A2456,Load!$B:$B,Load!E:E,0,)</f>
        <v>Fruit Flavor (Cherry, Grape, Apple, Citrus, Tropical Fruit)</v>
      </c>
      <c r="E2456" t="str">
        <f>_xlfn.XLOOKUP($A2456,Load!$B:$B,Load!F:F,0,)</f>
        <v>Gummy</v>
      </c>
      <c r="F2456" t="str">
        <f>_xlfn.XLOOKUP($A2456,Load!$B:$B,Load!G:G,0,)</f>
        <v>Small Multipack (Less than 40 ct)</v>
      </c>
      <c r="G2456" t="str">
        <f>_xlfn.XLOOKUP($A2456,Load!$B:$B,Load!H:H,0,)</f>
        <v>Laydown Bag</v>
      </c>
      <c r="H2456" t="str">
        <f>_xlfn.XLOOKUP($A2456,Load!$B:$B,Load!I:I,0,)</f>
        <v>Seasonal Shapes (like pumpkins, candy corn, ghost, bats, etc.)</v>
      </c>
      <c r="I2456" t="str">
        <f>_xlfn.XLOOKUP($A2456,Load!$B:$B,Load!J:J,0,)</f>
        <v>Seasonal Graphics (Like Bat, Ghost, Pumpkin, Fall Leaves, Eyeballs, etc.)</v>
      </c>
      <c r="J2456" t="str">
        <f>_xlfn.XLOOKUP($A2456,Load!$B:$B,Load!K:K,0,)</f>
        <v>Small Pieces (Tiny bite size candies)</v>
      </c>
      <c r="K2456" t="str">
        <f>_xlfn.XLOOKUP($A2456,Load!$B:$B,Load!L:L,0,)</f>
        <v>Regular/Original Wrapping</v>
      </c>
      <c r="L2456" t="str">
        <f>_xlfn.XLOOKUP($A2456,Load!$B:$B,Load!M:M,0,)</f>
        <v>Single Brand / Variety Flavors or Form</v>
      </c>
    </row>
    <row r="2457" spans="1:12" x14ac:dyDescent="0.25">
      <c r="B2457">
        <f>_xlfn.XLOOKUP($A2457,Load!$B:$B,Load!C:C,0,)</f>
        <v>0</v>
      </c>
      <c r="C2457">
        <f>_xlfn.XLOOKUP($A2457,Load!$B:$B,Load!D:D,0,)</f>
        <v>0</v>
      </c>
      <c r="D2457">
        <f>_xlfn.XLOOKUP($A2457,Load!$B:$B,Load!E:E,0,)</f>
        <v>0</v>
      </c>
      <c r="E2457">
        <f>_xlfn.XLOOKUP($A2457,Load!$B:$B,Load!F:F,0,)</f>
        <v>0</v>
      </c>
      <c r="F2457">
        <f>_xlfn.XLOOKUP($A2457,Load!$B:$B,Load!G:G,0,)</f>
        <v>0</v>
      </c>
      <c r="G2457">
        <f>_xlfn.XLOOKUP($A2457,Load!$B:$B,Load!H:H,0,)</f>
        <v>0</v>
      </c>
      <c r="H2457">
        <f>_xlfn.XLOOKUP($A2457,Load!$B:$B,Load!I:I,0,)</f>
        <v>0</v>
      </c>
      <c r="I2457">
        <f>_xlfn.XLOOKUP($A2457,Load!$B:$B,Load!J:J,0,)</f>
        <v>0</v>
      </c>
      <c r="J2457">
        <f>_xlfn.XLOOKUP($A2457,Load!$B:$B,Load!K:K,0,)</f>
        <v>0</v>
      </c>
      <c r="K2457">
        <f>_xlfn.XLOOKUP($A2457,Load!$B:$B,Load!L:L,0,)</f>
        <v>0</v>
      </c>
      <c r="L2457">
        <f>_xlfn.XLOOKUP($A2457,Load!$B:$B,Load!M:M,0,)</f>
        <v>0</v>
      </c>
    </row>
    <row r="2458" spans="1:12" x14ac:dyDescent="0.25">
      <c r="A2458" t="s">
        <v>138</v>
      </c>
      <c r="B2458" t="str">
        <f>_xlfn.XLOOKUP($A2458,Load!$B:$B,Load!C:C,0,)</f>
        <v>Hershey's Variety Pack + Haribo</v>
      </c>
      <c r="C2458" t="str">
        <f>_xlfn.XLOOKUP($A2458,Load!$B:$B,Load!D:D,0,)</f>
        <v>Non-Chocolate Candy Only</v>
      </c>
      <c r="D2458" t="str">
        <f>_xlfn.XLOOKUP($A2458,Load!$B:$B,Load!E:E,0,)</f>
        <v>Variety / Mixed Flavors (Fruity, Sour, Seasonal Flavors)</v>
      </c>
      <c r="E2458" t="str">
        <f>_xlfn.XLOOKUP($A2458,Load!$B:$B,Load!F:F,0,)</f>
        <v>Mixed / Combo Packs (Gummy, Chewy, Taffy, etc.)</v>
      </c>
      <c r="F2458" t="str">
        <f>_xlfn.XLOOKUP($A2458,Load!$B:$B,Load!G:G,0,)</f>
        <v>Medium Multipack (40–80 ct)</v>
      </c>
      <c r="G2458" t="str">
        <f>_xlfn.XLOOKUP($A2458,Load!$B:$B,Load!H:H,0,)</f>
        <v>Laydown Bag</v>
      </c>
      <c r="H2458" t="str">
        <f>_xlfn.XLOOKUP($A2458,Load!$B:$B,Load!I:I,0,)</f>
        <v>Everyday Candy Shapes (like Original, Gummy bear, Fruit, Jewels, etc.)</v>
      </c>
      <c r="I2458" t="str">
        <f>_xlfn.XLOOKUP($A2458,Load!$B:$B,Load!J:J,0,)</f>
        <v>Seasonal Graphics (Like Bat, Ghost, Pumpkin, Fall Leaves, Eyeballs, etc.)</v>
      </c>
      <c r="J2458" t="str">
        <f>_xlfn.XLOOKUP($A2458,Load!$B:$B,Load!K:K,0,)</f>
        <v>Fun Size / Treat Size</v>
      </c>
      <c r="K2458" t="str">
        <f>_xlfn.XLOOKUP($A2458,Load!$B:$B,Load!L:L,0,)</f>
        <v>Regular/Original Wrapping</v>
      </c>
      <c r="L2458" t="str">
        <f>_xlfn.XLOOKUP($A2458,Load!$B:$B,Load!M:M,0,)</f>
        <v>Multiple Brands / Variety Flavors or Form</v>
      </c>
    </row>
    <row r="2459" spans="1:12" x14ac:dyDescent="0.25">
      <c r="B2459">
        <f>_xlfn.XLOOKUP($A2459,Load!$B:$B,Load!C:C,0,)</f>
        <v>0</v>
      </c>
      <c r="C2459">
        <f>_xlfn.XLOOKUP($A2459,Load!$B:$B,Load!D:D,0,)</f>
        <v>0</v>
      </c>
      <c r="D2459">
        <f>_xlfn.XLOOKUP($A2459,Load!$B:$B,Load!E:E,0,)</f>
        <v>0</v>
      </c>
      <c r="E2459">
        <f>_xlfn.XLOOKUP($A2459,Load!$B:$B,Load!F:F,0,)</f>
        <v>0</v>
      </c>
      <c r="F2459">
        <f>_xlfn.XLOOKUP($A2459,Load!$B:$B,Load!G:G,0,)</f>
        <v>0</v>
      </c>
      <c r="G2459">
        <f>_xlfn.XLOOKUP($A2459,Load!$B:$B,Load!H:H,0,)</f>
        <v>0</v>
      </c>
      <c r="H2459">
        <f>_xlfn.XLOOKUP($A2459,Load!$B:$B,Load!I:I,0,)</f>
        <v>0</v>
      </c>
      <c r="I2459">
        <f>_xlfn.XLOOKUP($A2459,Load!$B:$B,Load!J:J,0,)</f>
        <v>0</v>
      </c>
      <c r="J2459">
        <f>_xlfn.XLOOKUP($A2459,Load!$B:$B,Load!K:K,0,)</f>
        <v>0</v>
      </c>
      <c r="K2459">
        <f>_xlfn.XLOOKUP($A2459,Load!$B:$B,Load!L:L,0,)</f>
        <v>0</v>
      </c>
      <c r="L2459">
        <f>_xlfn.XLOOKUP($A2459,Load!$B:$B,Load!M:M,0,)</f>
        <v>0</v>
      </c>
    </row>
    <row r="2460" spans="1:12" x14ac:dyDescent="0.25">
      <c r="B2460">
        <f>_xlfn.XLOOKUP($A2460,Load!$B:$B,Load!C:C,0,)</f>
        <v>0</v>
      </c>
      <c r="C2460">
        <f>_xlfn.XLOOKUP($A2460,Load!$B:$B,Load!D:D,0,)</f>
        <v>0</v>
      </c>
      <c r="D2460">
        <f>_xlfn.XLOOKUP($A2460,Load!$B:$B,Load!E:E,0,)</f>
        <v>0</v>
      </c>
      <c r="E2460">
        <f>_xlfn.XLOOKUP($A2460,Load!$B:$B,Load!F:F,0,)</f>
        <v>0</v>
      </c>
      <c r="F2460">
        <f>_xlfn.XLOOKUP($A2460,Load!$B:$B,Load!G:G,0,)</f>
        <v>0</v>
      </c>
      <c r="G2460">
        <f>_xlfn.XLOOKUP($A2460,Load!$B:$B,Load!H:H,0,)</f>
        <v>0</v>
      </c>
      <c r="H2460">
        <f>_xlfn.XLOOKUP($A2460,Load!$B:$B,Load!I:I,0,)</f>
        <v>0</v>
      </c>
      <c r="I2460">
        <f>_xlfn.XLOOKUP($A2460,Load!$B:$B,Load!J:J,0,)</f>
        <v>0</v>
      </c>
      <c r="J2460">
        <f>_xlfn.XLOOKUP($A2460,Load!$B:$B,Load!K:K,0,)</f>
        <v>0</v>
      </c>
      <c r="K2460">
        <f>_xlfn.XLOOKUP($A2460,Load!$B:$B,Load!L:L,0,)</f>
        <v>0</v>
      </c>
      <c r="L2460">
        <f>_xlfn.XLOOKUP($A2460,Load!$B:$B,Load!M:M,0,)</f>
        <v>0</v>
      </c>
    </row>
    <row r="2461" spans="1:12" x14ac:dyDescent="0.25">
      <c r="B2461">
        <f>_xlfn.XLOOKUP($A2461,Load!$B:$B,Load!C:C,0,)</f>
        <v>0</v>
      </c>
      <c r="C2461">
        <f>_xlfn.XLOOKUP($A2461,Load!$B:$B,Load!D:D,0,)</f>
        <v>0</v>
      </c>
      <c r="D2461">
        <f>_xlfn.XLOOKUP($A2461,Load!$B:$B,Load!E:E,0,)</f>
        <v>0</v>
      </c>
      <c r="E2461">
        <f>_xlfn.XLOOKUP($A2461,Load!$B:$B,Load!F:F,0,)</f>
        <v>0</v>
      </c>
      <c r="F2461">
        <f>_xlfn.XLOOKUP($A2461,Load!$B:$B,Load!G:G,0,)</f>
        <v>0</v>
      </c>
      <c r="G2461">
        <f>_xlfn.XLOOKUP($A2461,Load!$B:$B,Load!H:H,0,)</f>
        <v>0</v>
      </c>
      <c r="H2461">
        <f>_xlfn.XLOOKUP($A2461,Load!$B:$B,Load!I:I,0,)</f>
        <v>0</v>
      </c>
      <c r="I2461">
        <f>_xlfn.XLOOKUP($A2461,Load!$B:$B,Load!J:J,0,)</f>
        <v>0</v>
      </c>
      <c r="J2461">
        <f>_xlfn.XLOOKUP($A2461,Load!$B:$B,Load!K:K,0,)</f>
        <v>0</v>
      </c>
      <c r="K2461">
        <f>_xlfn.XLOOKUP($A2461,Load!$B:$B,Load!L:L,0,)</f>
        <v>0</v>
      </c>
      <c r="L2461">
        <f>_xlfn.XLOOKUP($A2461,Load!$B:$B,Load!M:M,0,)</f>
        <v>0</v>
      </c>
    </row>
    <row r="2462" spans="1:12" x14ac:dyDescent="0.25">
      <c r="B2462">
        <f>_xlfn.XLOOKUP($A2462,Load!$B:$B,Load!C:C,0,)</f>
        <v>0</v>
      </c>
      <c r="C2462">
        <f>_xlfn.XLOOKUP($A2462,Load!$B:$B,Load!D:D,0,)</f>
        <v>0</v>
      </c>
      <c r="D2462">
        <f>_xlfn.XLOOKUP($A2462,Load!$B:$B,Load!E:E,0,)</f>
        <v>0</v>
      </c>
      <c r="E2462">
        <f>_xlfn.XLOOKUP($A2462,Load!$B:$B,Load!F:F,0,)</f>
        <v>0</v>
      </c>
      <c r="F2462">
        <f>_xlfn.XLOOKUP($A2462,Load!$B:$B,Load!G:G,0,)</f>
        <v>0</v>
      </c>
      <c r="G2462">
        <f>_xlfn.XLOOKUP($A2462,Load!$B:$B,Load!H:H,0,)</f>
        <v>0</v>
      </c>
      <c r="H2462">
        <f>_xlfn.XLOOKUP($A2462,Load!$B:$B,Load!I:I,0,)</f>
        <v>0</v>
      </c>
      <c r="I2462">
        <f>_xlfn.XLOOKUP($A2462,Load!$B:$B,Load!J:J,0,)</f>
        <v>0</v>
      </c>
      <c r="J2462">
        <f>_xlfn.XLOOKUP($A2462,Load!$B:$B,Load!K:K,0,)</f>
        <v>0</v>
      </c>
      <c r="K2462">
        <f>_xlfn.XLOOKUP($A2462,Load!$B:$B,Load!L:L,0,)</f>
        <v>0</v>
      </c>
      <c r="L2462">
        <f>_xlfn.XLOOKUP($A2462,Load!$B:$B,Load!M:M,0,)</f>
        <v>0</v>
      </c>
    </row>
    <row r="2463" spans="1:12" x14ac:dyDescent="0.25">
      <c r="B2463">
        <f>_xlfn.XLOOKUP($A2463,Load!$B:$B,Load!C:C,0,)</f>
        <v>0</v>
      </c>
      <c r="C2463">
        <f>_xlfn.XLOOKUP($A2463,Load!$B:$B,Load!D:D,0,)</f>
        <v>0</v>
      </c>
      <c r="D2463">
        <f>_xlfn.XLOOKUP($A2463,Load!$B:$B,Load!E:E,0,)</f>
        <v>0</v>
      </c>
      <c r="E2463">
        <f>_xlfn.XLOOKUP($A2463,Load!$B:$B,Load!F:F,0,)</f>
        <v>0</v>
      </c>
      <c r="F2463">
        <f>_xlfn.XLOOKUP($A2463,Load!$B:$B,Load!G:G,0,)</f>
        <v>0</v>
      </c>
      <c r="G2463">
        <f>_xlfn.XLOOKUP($A2463,Load!$B:$B,Load!H:H,0,)</f>
        <v>0</v>
      </c>
      <c r="H2463">
        <f>_xlfn.XLOOKUP($A2463,Load!$B:$B,Load!I:I,0,)</f>
        <v>0</v>
      </c>
      <c r="I2463">
        <f>_xlfn.XLOOKUP($A2463,Load!$B:$B,Load!J:J,0,)</f>
        <v>0</v>
      </c>
      <c r="J2463">
        <f>_xlfn.XLOOKUP($A2463,Load!$B:$B,Load!K:K,0,)</f>
        <v>0</v>
      </c>
      <c r="K2463">
        <f>_xlfn.XLOOKUP($A2463,Load!$B:$B,Load!L:L,0,)</f>
        <v>0</v>
      </c>
      <c r="L2463">
        <f>_xlfn.XLOOKUP($A2463,Load!$B:$B,Load!M:M,0,)</f>
        <v>0</v>
      </c>
    </row>
    <row r="2464" spans="1:12" x14ac:dyDescent="0.25">
      <c r="A2464" t="s">
        <v>235</v>
      </c>
      <c r="B2464" t="str">
        <f>_xlfn.XLOOKUP($A2464,Load!$B:$B,Load!C:C,0,)</f>
        <v>Nerds</v>
      </c>
      <c r="C2464" t="str">
        <f>_xlfn.XLOOKUP($A2464,Load!$B:$B,Load!D:D,0,)</f>
        <v>Non-Chocolate Candy Only</v>
      </c>
      <c r="D2464" t="str">
        <f>_xlfn.XLOOKUP($A2464,Load!$B:$B,Load!E:E,0,)</f>
        <v>Variety / Mixed Flavors (Fruity, Sour, Seasonal Flavors)</v>
      </c>
      <c r="E2464" t="str">
        <f>_xlfn.XLOOKUP($A2464,Load!$B:$B,Load!F:F,0,)</f>
        <v>Candy Pieces / Bites</v>
      </c>
      <c r="F2464" t="str">
        <f>_xlfn.XLOOKUP($A2464,Load!$B:$B,Load!G:G,0,)</f>
        <v>Small Multipack (Less than 40 ct)</v>
      </c>
      <c r="G2464" t="str">
        <f>_xlfn.XLOOKUP($A2464,Load!$B:$B,Load!H:H,0,)</f>
        <v>Peg Bag</v>
      </c>
      <c r="H2464" t="str">
        <f>_xlfn.XLOOKUP($A2464,Load!$B:$B,Load!I:I,0,)</f>
        <v>Everyday Candy Shapes (like Original, Gummy bear, Fruit, Jewels, etc.)</v>
      </c>
      <c r="I2464" t="str">
        <f>_xlfn.XLOOKUP($A2464,Load!$B:$B,Load!J:J,0,)</f>
        <v>Everyday Graphics</v>
      </c>
      <c r="J2464" t="str">
        <f>_xlfn.XLOOKUP($A2464,Load!$B:$B,Load!K:K,0,)</f>
        <v>Small Pieces (Tiny bite size candies)</v>
      </c>
      <c r="K2464" t="str">
        <f>_xlfn.XLOOKUP($A2464,Load!$B:$B,Load!L:L,0,)</f>
        <v>Unwrapped</v>
      </c>
      <c r="L2464" t="str">
        <f>_xlfn.XLOOKUP($A2464,Load!$B:$B,Load!M:M,0,)</f>
        <v>Single Brand / Variety Flavors or Form</v>
      </c>
    </row>
    <row r="2465" spans="1:12" x14ac:dyDescent="0.25">
      <c r="B2465">
        <f>_xlfn.XLOOKUP($A2465,Load!$B:$B,Load!C:C,0,)</f>
        <v>0</v>
      </c>
      <c r="C2465">
        <f>_xlfn.XLOOKUP($A2465,Load!$B:$B,Load!D:D,0,)</f>
        <v>0</v>
      </c>
      <c r="D2465">
        <f>_xlfn.XLOOKUP($A2465,Load!$B:$B,Load!E:E,0,)</f>
        <v>0</v>
      </c>
      <c r="E2465">
        <f>_xlfn.XLOOKUP($A2465,Load!$B:$B,Load!F:F,0,)</f>
        <v>0</v>
      </c>
      <c r="F2465">
        <f>_xlfn.XLOOKUP($A2465,Load!$B:$B,Load!G:G,0,)</f>
        <v>0</v>
      </c>
      <c r="G2465">
        <f>_xlfn.XLOOKUP($A2465,Load!$B:$B,Load!H:H,0,)</f>
        <v>0</v>
      </c>
      <c r="H2465">
        <f>_xlfn.XLOOKUP($A2465,Load!$B:$B,Load!I:I,0,)</f>
        <v>0</v>
      </c>
      <c r="I2465">
        <f>_xlfn.XLOOKUP($A2465,Load!$B:$B,Load!J:J,0,)</f>
        <v>0</v>
      </c>
      <c r="J2465">
        <f>_xlfn.XLOOKUP($A2465,Load!$B:$B,Load!K:K,0,)</f>
        <v>0</v>
      </c>
      <c r="K2465">
        <f>_xlfn.XLOOKUP($A2465,Load!$B:$B,Load!L:L,0,)</f>
        <v>0</v>
      </c>
      <c r="L2465">
        <f>_xlfn.XLOOKUP($A2465,Load!$B:$B,Load!M:M,0,)</f>
        <v>0</v>
      </c>
    </row>
    <row r="2466" spans="1:12" x14ac:dyDescent="0.25">
      <c r="B2466">
        <f>_xlfn.XLOOKUP($A2466,Load!$B:$B,Load!C:C,0,)</f>
        <v>0</v>
      </c>
      <c r="C2466">
        <f>_xlfn.XLOOKUP($A2466,Load!$B:$B,Load!D:D,0,)</f>
        <v>0</v>
      </c>
      <c r="D2466">
        <f>_xlfn.XLOOKUP($A2466,Load!$B:$B,Load!E:E,0,)</f>
        <v>0</v>
      </c>
      <c r="E2466">
        <f>_xlfn.XLOOKUP($A2466,Load!$B:$B,Load!F:F,0,)</f>
        <v>0</v>
      </c>
      <c r="F2466">
        <f>_xlfn.XLOOKUP($A2466,Load!$B:$B,Load!G:G,0,)</f>
        <v>0</v>
      </c>
      <c r="G2466">
        <f>_xlfn.XLOOKUP($A2466,Load!$B:$B,Load!H:H,0,)</f>
        <v>0</v>
      </c>
      <c r="H2466">
        <f>_xlfn.XLOOKUP($A2466,Load!$B:$B,Load!I:I,0,)</f>
        <v>0</v>
      </c>
      <c r="I2466">
        <f>_xlfn.XLOOKUP($A2466,Load!$B:$B,Load!J:J,0,)</f>
        <v>0</v>
      </c>
      <c r="J2466">
        <f>_xlfn.XLOOKUP($A2466,Load!$B:$B,Load!K:K,0,)</f>
        <v>0</v>
      </c>
      <c r="K2466">
        <f>_xlfn.XLOOKUP($A2466,Load!$B:$B,Load!L:L,0,)</f>
        <v>0</v>
      </c>
      <c r="L2466">
        <f>_xlfn.XLOOKUP($A2466,Load!$B:$B,Load!M:M,0,)</f>
        <v>0</v>
      </c>
    </row>
    <row r="2467" spans="1:12" x14ac:dyDescent="0.25">
      <c r="B2467">
        <f>_xlfn.XLOOKUP($A2467,Load!$B:$B,Load!C:C,0,)</f>
        <v>0</v>
      </c>
      <c r="C2467">
        <f>_xlfn.XLOOKUP($A2467,Load!$B:$B,Load!D:D,0,)</f>
        <v>0</v>
      </c>
      <c r="D2467">
        <f>_xlfn.XLOOKUP($A2467,Load!$B:$B,Load!E:E,0,)</f>
        <v>0</v>
      </c>
      <c r="E2467">
        <f>_xlfn.XLOOKUP($A2467,Load!$B:$B,Load!F:F,0,)</f>
        <v>0</v>
      </c>
      <c r="F2467">
        <f>_xlfn.XLOOKUP($A2467,Load!$B:$B,Load!G:G,0,)</f>
        <v>0</v>
      </c>
      <c r="G2467">
        <f>_xlfn.XLOOKUP($A2467,Load!$B:$B,Load!H:H,0,)</f>
        <v>0</v>
      </c>
      <c r="H2467">
        <f>_xlfn.XLOOKUP($A2467,Load!$B:$B,Load!I:I,0,)</f>
        <v>0</v>
      </c>
      <c r="I2467">
        <f>_xlfn.XLOOKUP($A2467,Load!$B:$B,Load!J:J,0,)</f>
        <v>0</v>
      </c>
      <c r="J2467">
        <f>_xlfn.XLOOKUP($A2467,Load!$B:$B,Load!K:K,0,)</f>
        <v>0</v>
      </c>
      <c r="K2467">
        <f>_xlfn.XLOOKUP($A2467,Load!$B:$B,Load!L:L,0,)</f>
        <v>0</v>
      </c>
      <c r="L2467">
        <f>_xlfn.XLOOKUP($A2467,Load!$B:$B,Load!M:M,0,)</f>
        <v>0</v>
      </c>
    </row>
    <row r="2468" spans="1:12" x14ac:dyDescent="0.25">
      <c r="A2468" t="s">
        <v>253</v>
      </c>
      <c r="B2468" t="str">
        <f>_xlfn.XLOOKUP($A2468,Load!$B:$B,Load!C:C,0,)</f>
        <v>Skittles</v>
      </c>
      <c r="C2468" t="str">
        <f>_xlfn.XLOOKUP($A2468,Load!$B:$B,Load!D:D,0,)</f>
        <v>Non-Chocolate Candy Only</v>
      </c>
      <c r="D2468" t="str">
        <f>_xlfn.XLOOKUP($A2468,Load!$B:$B,Load!E:E,0,)</f>
        <v>Variety / Mixed Flavors (Fruity, Sour, Seasonal Flavors)</v>
      </c>
      <c r="E2468" t="str">
        <f>_xlfn.XLOOKUP($A2468,Load!$B:$B,Load!F:F,0,)</f>
        <v>Mixed / Combo Packs (Gummy, Chewy, Taffy, etc.)</v>
      </c>
      <c r="F2468" t="str">
        <f>_xlfn.XLOOKUP($A2468,Load!$B:$B,Load!G:G,0,)</f>
        <v>Medium Multipack (40–80 ct)</v>
      </c>
      <c r="G2468" t="str">
        <f>_xlfn.XLOOKUP($A2468,Load!$B:$B,Load!H:H,0,)</f>
        <v>Stand-Up Bag</v>
      </c>
      <c r="H2468" t="str">
        <f>_xlfn.XLOOKUP($A2468,Load!$B:$B,Load!I:I,0,)</f>
        <v>Everyday Candy Shapes (like Original, Gummy bear, Fruit, Jewels, etc.)</v>
      </c>
      <c r="I2468" t="str">
        <f>_xlfn.XLOOKUP($A2468,Load!$B:$B,Load!J:J,0,)</f>
        <v>Seasonal Graphics (Like Bat, Ghost, Pumpkin, Fall Leaves, Eyeballs, etc.)</v>
      </c>
      <c r="J2468" t="str">
        <f>_xlfn.XLOOKUP($A2468,Load!$B:$B,Load!K:K,0,)</f>
        <v>Small Pieces (Tiny bite size candies)</v>
      </c>
      <c r="K2468" t="str">
        <f>_xlfn.XLOOKUP($A2468,Load!$B:$B,Load!L:L,0,)</f>
        <v>Regular/Original Wrapping</v>
      </c>
      <c r="L2468" t="str">
        <f>_xlfn.XLOOKUP($A2468,Load!$B:$B,Load!M:M,0,)</f>
        <v>Single Brand / Variety Flavors or Form</v>
      </c>
    </row>
    <row r="2469" spans="1:12" x14ac:dyDescent="0.25">
      <c r="B2469">
        <f>_xlfn.XLOOKUP($A2469,Load!$B:$B,Load!C:C,0,)</f>
        <v>0</v>
      </c>
      <c r="C2469">
        <f>_xlfn.XLOOKUP($A2469,Load!$B:$B,Load!D:D,0,)</f>
        <v>0</v>
      </c>
      <c r="D2469">
        <f>_xlfn.XLOOKUP($A2469,Load!$B:$B,Load!E:E,0,)</f>
        <v>0</v>
      </c>
      <c r="E2469">
        <f>_xlfn.XLOOKUP($A2469,Load!$B:$B,Load!F:F,0,)</f>
        <v>0</v>
      </c>
      <c r="F2469">
        <f>_xlfn.XLOOKUP($A2469,Load!$B:$B,Load!G:G,0,)</f>
        <v>0</v>
      </c>
      <c r="G2469">
        <f>_xlfn.XLOOKUP($A2469,Load!$B:$B,Load!H:H,0,)</f>
        <v>0</v>
      </c>
      <c r="H2469">
        <f>_xlfn.XLOOKUP($A2469,Load!$B:$B,Load!I:I,0,)</f>
        <v>0</v>
      </c>
      <c r="I2469">
        <f>_xlfn.XLOOKUP($A2469,Load!$B:$B,Load!J:J,0,)</f>
        <v>0</v>
      </c>
      <c r="J2469">
        <f>_xlfn.XLOOKUP($A2469,Load!$B:$B,Load!K:K,0,)</f>
        <v>0</v>
      </c>
      <c r="K2469">
        <f>_xlfn.XLOOKUP($A2469,Load!$B:$B,Load!L:L,0,)</f>
        <v>0</v>
      </c>
      <c r="L2469">
        <f>_xlfn.XLOOKUP($A2469,Load!$B:$B,Load!M:M,0,)</f>
        <v>0</v>
      </c>
    </row>
    <row r="2470" spans="1:12" x14ac:dyDescent="0.25">
      <c r="A2470" t="s">
        <v>162</v>
      </c>
      <c r="B2470" t="str">
        <f>_xlfn.XLOOKUP($A2470,Load!$B:$B,Load!C:C,0,)</f>
        <v>Jolly Rancher</v>
      </c>
      <c r="C2470" t="str">
        <f>_xlfn.XLOOKUP($A2470,Load!$B:$B,Load!D:D,0,)</f>
        <v>Non-Chocolate Candy Only</v>
      </c>
      <c r="D2470" t="str">
        <f>_xlfn.XLOOKUP($A2470,Load!$B:$B,Load!E:E,0,)</f>
        <v>Variety / Mixed Flavors (Fruity, Sour, Seasonal Flavors)</v>
      </c>
      <c r="E2470" t="str">
        <f>_xlfn.XLOOKUP($A2470,Load!$B:$B,Load!F:F,0,)</f>
        <v>Gummy</v>
      </c>
      <c r="F2470" t="str">
        <f>_xlfn.XLOOKUP($A2470,Load!$B:$B,Load!G:G,0,)</f>
        <v>Single Pack</v>
      </c>
      <c r="G2470" t="str">
        <f>_xlfn.XLOOKUP($A2470,Load!$B:$B,Load!H:H,0,)</f>
        <v>Peg Bag</v>
      </c>
      <c r="H2470" t="str">
        <f>_xlfn.XLOOKUP($A2470,Load!$B:$B,Load!I:I,0,)</f>
        <v>Seasonal Shapes (like pumpkins, candy corn, ghost, bats, etc.)</v>
      </c>
      <c r="I2470" t="str">
        <f>_xlfn.XLOOKUP($A2470,Load!$B:$B,Load!J:J,0,)</f>
        <v>Seasonal Graphics (Like Bat, Ghost, Pumpkin, Fall Leaves, Eyeballs, etc.)</v>
      </c>
      <c r="J2470" t="str">
        <f>_xlfn.XLOOKUP($A2470,Load!$B:$B,Load!K:K,0,)</f>
        <v>Small Pieces (Tiny bite size candies)</v>
      </c>
      <c r="K2470" t="str">
        <f>_xlfn.XLOOKUP($A2470,Load!$B:$B,Load!L:L,0,)</f>
        <v>Unwrapped</v>
      </c>
      <c r="L2470" t="str">
        <f>_xlfn.XLOOKUP($A2470,Load!$B:$B,Load!M:M,0,)</f>
        <v>Single Brand / Variety Flavors or Form</v>
      </c>
    </row>
    <row r="2471" spans="1:12" x14ac:dyDescent="0.25">
      <c r="A2471" t="s">
        <v>156</v>
      </c>
      <c r="B2471" t="str">
        <f>_xlfn.XLOOKUP($A2471,Load!$B:$B,Load!C:C,0,)</f>
        <v>Jolly Rancher</v>
      </c>
      <c r="C2471" t="str">
        <f>_xlfn.XLOOKUP($A2471,Load!$B:$B,Load!D:D,0,)</f>
        <v>Non-Chocolate Candy Only</v>
      </c>
      <c r="D2471" t="str">
        <f>_xlfn.XLOOKUP($A2471,Load!$B:$B,Load!E:E,0,)</f>
        <v>Fruit Flavor (Cherry, Grape, Apple, Citrus, Tropical Fruit)</v>
      </c>
      <c r="E2471" t="str">
        <f>_xlfn.XLOOKUP($A2471,Load!$B:$B,Load!F:F,0,)</f>
        <v>Gummy</v>
      </c>
      <c r="F2471" t="str">
        <f>_xlfn.XLOOKUP($A2471,Load!$B:$B,Load!G:G,0,)</f>
        <v>Single Pack</v>
      </c>
      <c r="G2471" t="str">
        <f>_xlfn.XLOOKUP($A2471,Load!$B:$B,Load!H:H,0,)</f>
        <v>Laydown Bag</v>
      </c>
      <c r="H2471" t="str">
        <f>_xlfn.XLOOKUP($A2471,Load!$B:$B,Load!I:I,0,)</f>
        <v>Everyday Candy Shapes (like Original, Gummy bear, Fruit, Jewels, etc.)</v>
      </c>
      <c r="I2471" t="str">
        <f>_xlfn.XLOOKUP($A2471,Load!$B:$B,Load!J:J,0,)</f>
        <v>Everyday Graphics</v>
      </c>
      <c r="J2471" t="str">
        <f>_xlfn.XLOOKUP($A2471,Load!$B:$B,Load!K:K,0,)</f>
        <v>Small Pieces (Tiny bite size candies)</v>
      </c>
      <c r="K2471" t="str">
        <f>_xlfn.XLOOKUP($A2471,Load!$B:$B,Load!L:L,0,)</f>
        <v>Unwrapped</v>
      </c>
      <c r="L2471" t="str">
        <f>_xlfn.XLOOKUP($A2471,Load!$B:$B,Load!M:M,0,)</f>
        <v>Single Brand / Variety Flavors or Form</v>
      </c>
    </row>
    <row r="2472" spans="1:12" x14ac:dyDescent="0.25">
      <c r="A2472" t="s">
        <v>271</v>
      </c>
      <c r="B2472" t="str">
        <f>_xlfn.XLOOKUP($A2472,Load!$B:$B,Load!C:C,0,)</f>
        <v>Sour Patch Kids</v>
      </c>
      <c r="C2472" t="str">
        <f>_xlfn.XLOOKUP($A2472,Load!$B:$B,Load!D:D,0,)</f>
        <v>Non-Chocolate Candy Only</v>
      </c>
      <c r="D2472" t="str">
        <f>_xlfn.XLOOKUP($A2472,Load!$B:$B,Load!E:E,0,)</f>
        <v>Sour</v>
      </c>
      <c r="E2472" t="str">
        <f>_xlfn.XLOOKUP($A2472,Load!$B:$B,Load!F:F,0,)</f>
        <v>Chewy</v>
      </c>
      <c r="F2472" t="str">
        <f>_xlfn.XLOOKUP($A2472,Load!$B:$B,Load!G:G,0,)</f>
        <v>Medium Multipack (40–80 ct)</v>
      </c>
      <c r="G2472" t="str">
        <f>_xlfn.XLOOKUP($A2472,Load!$B:$B,Load!H:H,0,)</f>
        <v>Laydown Bag</v>
      </c>
      <c r="H2472" t="str">
        <f>_xlfn.XLOOKUP($A2472,Load!$B:$B,Load!I:I,0,)</f>
        <v>Everyday Candy Shapes (like Original, Gummy bear, Fruit, Jewels, etc.)</v>
      </c>
      <c r="I2472" t="str">
        <f>_xlfn.XLOOKUP($A2472,Load!$B:$B,Load!J:J,0,)</f>
        <v>Seasonal Graphics (Like Bat, Ghost, Pumpkin, Fall Leaves, Eyeballs, etc.)</v>
      </c>
      <c r="J2472" t="str">
        <f>_xlfn.XLOOKUP($A2472,Load!$B:$B,Load!K:K,0,)</f>
        <v>Small Pieces (Tiny bite size candies)</v>
      </c>
      <c r="K2472" t="str">
        <f>_xlfn.XLOOKUP($A2472,Load!$B:$B,Load!L:L,0,)</f>
        <v>Regular/Original Wrapping</v>
      </c>
      <c r="L2472" t="str">
        <f>_xlfn.XLOOKUP($A2472,Load!$B:$B,Load!M:M,0,)</f>
        <v>Single Brand / Variety Flavors or Form</v>
      </c>
    </row>
    <row r="2473" spans="1:12" x14ac:dyDescent="0.25">
      <c r="B2473">
        <f>_xlfn.XLOOKUP($A2473,Load!$B:$B,Load!C:C,0,)</f>
        <v>0</v>
      </c>
      <c r="C2473">
        <f>_xlfn.XLOOKUP($A2473,Load!$B:$B,Load!D:D,0,)</f>
        <v>0</v>
      </c>
      <c r="D2473">
        <f>_xlfn.XLOOKUP($A2473,Load!$B:$B,Load!E:E,0,)</f>
        <v>0</v>
      </c>
      <c r="E2473">
        <f>_xlfn.XLOOKUP($A2473,Load!$B:$B,Load!F:F,0,)</f>
        <v>0</v>
      </c>
      <c r="F2473">
        <f>_xlfn.XLOOKUP($A2473,Load!$B:$B,Load!G:G,0,)</f>
        <v>0</v>
      </c>
      <c r="G2473">
        <f>_xlfn.XLOOKUP($A2473,Load!$B:$B,Load!H:H,0,)</f>
        <v>0</v>
      </c>
      <c r="H2473">
        <f>_xlfn.XLOOKUP($A2473,Load!$B:$B,Load!I:I,0,)</f>
        <v>0</v>
      </c>
      <c r="I2473">
        <f>_xlfn.XLOOKUP($A2473,Load!$B:$B,Load!J:J,0,)</f>
        <v>0</v>
      </c>
      <c r="J2473">
        <f>_xlfn.XLOOKUP($A2473,Load!$B:$B,Load!K:K,0,)</f>
        <v>0</v>
      </c>
      <c r="K2473">
        <f>_xlfn.XLOOKUP($A2473,Load!$B:$B,Load!L:L,0,)</f>
        <v>0</v>
      </c>
      <c r="L2473">
        <f>_xlfn.XLOOKUP($A2473,Load!$B:$B,Load!M:M,0,)</f>
        <v>0</v>
      </c>
    </row>
    <row r="2474" spans="1:12" x14ac:dyDescent="0.25">
      <c r="A2474" t="s">
        <v>175</v>
      </c>
      <c r="B2474" t="str">
        <f>_xlfn.XLOOKUP($A2474,Load!$B:$B,Load!C:C,0,)</f>
        <v>Mars Variety Pack</v>
      </c>
      <c r="C2474" t="str">
        <f>_xlfn.XLOOKUP($A2474,Load!$B:$B,Load!D:D,0,)</f>
        <v>Mix of Chocolate and Non-Chocolate Candy</v>
      </c>
      <c r="D2474" t="str">
        <f>_xlfn.XLOOKUP($A2474,Load!$B:$B,Load!E:E,0,)</f>
        <v>Variety / Mixed Flavors (Fruity, Sour, Seasonal Flavors)</v>
      </c>
      <c r="E2474" t="str">
        <f>_xlfn.XLOOKUP($A2474,Load!$B:$B,Load!F:F,0,)</f>
        <v>Mixed / Combo Packs (Gummy, Chewy, Taffy, etc.)</v>
      </c>
      <c r="F2474" t="str">
        <f>_xlfn.XLOOKUP($A2474,Load!$B:$B,Load!G:G,0,)</f>
        <v>Large Multipack (More than 80 ct)</v>
      </c>
      <c r="G2474" t="str">
        <f>_xlfn.XLOOKUP($A2474,Load!$B:$B,Load!H:H,0,)</f>
        <v>Stand-Up Bag</v>
      </c>
      <c r="H2474" t="str">
        <f>_xlfn.XLOOKUP($A2474,Load!$B:$B,Load!I:I,0,)</f>
        <v>Everyday Candy Shapes (like Original, Gummy bear, Fruit, Jewels, etc.)</v>
      </c>
      <c r="I2474" t="str">
        <f>_xlfn.XLOOKUP($A2474,Load!$B:$B,Load!J:J,0,)</f>
        <v>Seasonal Graphics (Like Bat, Ghost, Pumpkin, Fall Leaves, Eyeballs, etc.)</v>
      </c>
      <c r="J2474" t="str">
        <f>_xlfn.XLOOKUP($A2474,Load!$B:$B,Load!K:K,0,)</f>
        <v xml:space="preserve">Variety Candy Sizes </v>
      </c>
      <c r="K2474" t="str">
        <f>_xlfn.XLOOKUP($A2474,Load!$B:$B,Load!L:L,0,)</f>
        <v>Regular/Original Wrapping</v>
      </c>
      <c r="L2474" t="str">
        <f>_xlfn.XLOOKUP($A2474,Load!$B:$B,Load!M:M,0,)</f>
        <v>Multiple Brands / Variety Flavors or Form</v>
      </c>
    </row>
    <row r="2475" spans="1:12" x14ac:dyDescent="0.25">
      <c r="A2475" t="s">
        <v>180</v>
      </c>
      <c r="B2475" t="str">
        <f>_xlfn.XLOOKUP($A2475,Load!$B:$B,Load!C:C,0,)</f>
        <v>Mars Variety Pack</v>
      </c>
      <c r="C2475" t="str">
        <f>_xlfn.XLOOKUP($A2475,Load!$B:$B,Load!D:D,0,)</f>
        <v>Mix of Chocolate and Non-Chocolate Candy</v>
      </c>
      <c r="D2475" t="str">
        <f>_xlfn.XLOOKUP($A2475,Load!$B:$B,Load!E:E,0,)</f>
        <v>Variety / Mixed Flavors (Fruity, Sour, Seasonal Flavors)</v>
      </c>
      <c r="E2475" t="str">
        <f>_xlfn.XLOOKUP($A2475,Load!$B:$B,Load!F:F,0,)</f>
        <v>Mixed / Combo Packs (Gummy, Chewy, Taffy, etc.)</v>
      </c>
      <c r="F2475" t="str">
        <f>_xlfn.XLOOKUP($A2475,Load!$B:$B,Load!G:G,0,)</f>
        <v>Large Multipack (More than 80 ct)</v>
      </c>
      <c r="G2475" t="str">
        <f>_xlfn.XLOOKUP($A2475,Load!$B:$B,Load!H:H,0,)</f>
        <v>Stand-Up Bag</v>
      </c>
      <c r="H2475" t="str">
        <f>_xlfn.XLOOKUP($A2475,Load!$B:$B,Load!I:I,0,)</f>
        <v>Everyday Candy Shapes (like Original, Gummy bear, Fruit, Jewels, etc.)</v>
      </c>
      <c r="I2475" t="str">
        <f>_xlfn.XLOOKUP($A2475,Load!$B:$B,Load!J:J,0,)</f>
        <v>Seasonal Graphics (Like Bat, Ghost, Pumpkin, Fall Leaves, Eyeballs, etc.)</v>
      </c>
      <c r="J2475" t="str">
        <f>_xlfn.XLOOKUP($A2475,Load!$B:$B,Load!K:K,0,)</f>
        <v>Fun Size / Treat Size</v>
      </c>
      <c r="K2475" t="str">
        <f>_xlfn.XLOOKUP($A2475,Load!$B:$B,Load!L:L,0,)</f>
        <v>Regular/Original Wrapping</v>
      </c>
      <c r="L2475" t="str">
        <f>_xlfn.XLOOKUP($A2475,Load!$B:$B,Load!M:M,0,)</f>
        <v>Multiple Brands / Variety Flavors or Form</v>
      </c>
    </row>
    <row r="2476" spans="1:12" x14ac:dyDescent="0.25">
      <c r="A2476" t="s">
        <v>310</v>
      </c>
      <c r="B2476" t="str">
        <f>_xlfn.XLOOKUP($A2476,Load!$B:$B,Load!C:C,0,)</f>
        <v>Werther's Original</v>
      </c>
      <c r="C2476" t="str">
        <f>_xlfn.XLOOKUP($A2476,Load!$B:$B,Load!D:D,0,)</f>
        <v>Non-Chocolate Candy Only</v>
      </c>
      <c r="D2476" t="str">
        <f>_xlfn.XLOOKUP($A2476,Load!$B:$B,Load!E:E,0,)</f>
        <v>Fall / Seasonal Flavors (pumpkin spice, caramel apple, candy corn)</v>
      </c>
      <c r="E2476" t="str">
        <f>_xlfn.XLOOKUP($A2476,Load!$B:$B,Load!F:F,0,)</f>
        <v>Hard Candy</v>
      </c>
      <c r="F2476" t="str">
        <f>_xlfn.XLOOKUP($A2476,Load!$B:$B,Load!G:G,0,)</f>
        <v>Single Pack</v>
      </c>
      <c r="G2476" t="str">
        <f>_xlfn.XLOOKUP($A2476,Load!$B:$B,Load!H:H,0,)</f>
        <v>Laydown Bag</v>
      </c>
      <c r="H2476" t="str">
        <f>_xlfn.XLOOKUP($A2476,Load!$B:$B,Load!I:I,0,)</f>
        <v>Everyday Candy Shapes (like Original, Gummy bear, Fruit, Jewels, etc.)</v>
      </c>
      <c r="I2476" t="str">
        <f>_xlfn.XLOOKUP($A2476,Load!$B:$B,Load!J:J,0,)</f>
        <v>Seasonal Graphics (Like Bat, Ghost, Pumpkin, Fall Leaves, Eyeballs, etc.)</v>
      </c>
      <c r="J2476" t="str">
        <f>_xlfn.XLOOKUP($A2476,Load!$B:$B,Load!K:K,0,)</f>
        <v>Fun Size / Treat Size</v>
      </c>
      <c r="K2476" t="str">
        <f>_xlfn.XLOOKUP($A2476,Load!$B:$B,Load!L:L,0,)</f>
        <v>Regular/Original Wrapping</v>
      </c>
      <c r="L2476" t="str">
        <f>_xlfn.XLOOKUP($A2476,Load!$B:$B,Load!M:M,0,)</f>
        <v>Single Brand / Single Flavor or Form</v>
      </c>
    </row>
    <row r="2477" spans="1:12" x14ac:dyDescent="0.25">
      <c r="A2477" t="s">
        <v>266</v>
      </c>
      <c r="B2477" t="str">
        <f>_xlfn.XLOOKUP($A2477,Load!$B:$B,Load!C:C,0,)</f>
        <v>Smarties</v>
      </c>
      <c r="C2477" t="str">
        <f>_xlfn.XLOOKUP($A2477,Load!$B:$B,Load!D:D,0,)</f>
        <v>Non-Chocolate Candy Only</v>
      </c>
      <c r="D2477" t="str">
        <f>_xlfn.XLOOKUP($A2477,Load!$B:$B,Load!E:E,0,)</f>
        <v>Fruit Flavor (Cherry, Grape, Apple, Citrus, Tropical Fruit)</v>
      </c>
      <c r="E2477" t="str">
        <f>_xlfn.XLOOKUP($A2477,Load!$B:$B,Load!F:F,0,)</f>
        <v>Powder / Chalky</v>
      </c>
      <c r="F2477" t="str">
        <f>_xlfn.XLOOKUP($A2477,Load!$B:$B,Load!G:G,0,)</f>
        <v>Small Multipack (Less than 40 ct)</v>
      </c>
      <c r="G2477" t="str">
        <f>_xlfn.XLOOKUP($A2477,Load!$B:$B,Load!H:H,0,)</f>
        <v>Laydown Bag</v>
      </c>
      <c r="H2477" t="str">
        <f>_xlfn.XLOOKUP($A2477,Load!$B:$B,Load!I:I,0,)</f>
        <v>Everyday Candy Shapes (like Original, Gummy bear, Fruit, Jewels, etc.)</v>
      </c>
      <c r="I2477" t="str">
        <f>_xlfn.XLOOKUP($A2477,Load!$B:$B,Load!J:J,0,)</f>
        <v>Seasonal Graphics (Like Bat, Ghost, Pumpkin, Fall Leaves, Eyeballs, etc.)</v>
      </c>
      <c r="J2477" t="str">
        <f>_xlfn.XLOOKUP($A2477,Load!$B:$B,Load!K:K,0,)</f>
        <v>Small Pieces (Tiny bite size candies)</v>
      </c>
      <c r="K2477" t="str">
        <f>_xlfn.XLOOKUP($A2477,Load!$B:$B,Load!L:L,0,)</f>
        <v>Regular/Original Wrapping</v>
      </c>
      <c r="L2477" t="str">
        <f>_xlfn.XLOOKUP($A2477,Load!$B:$B,Load!M:M,0,)</f>
        <v>Single Brand / Single Flavor or Form</v>
      </c>
    </row>
    <row r="2478" spans="1:12" x14ac:dyDescent="0.25">
      <c r="A2478" t="s">
        <v>111</v>
      </c>
      <c r="B2478" t="str">
        <f>_xlfn.XLOOKUP($A2478,Load!$B:$B,Load!C:C,0,)</f>
        <v>Frankford</v>
      </c>
      <c r="C2478" t="str">
        <f>_xlfn.XLOOKUP($A2478,Load!$B:$B,Load!D:D,0,)</f>
        <v>Non-Chocolate Candy Only</v>
      </c>
      <c r="D2478" t="str">
        <f>_xlfn.XLOOKUP($A2478,Load!$B:$B,Load!E:E,0,)</f>
        <v>Variety / Mixed Flavors (Fruity, Sour, Seasonal Flavors)</v>
      </c>
      <c r="E2478" t="str">
        <f>_xlfn.XLOOKUP($A2478,Load!$B:$B,Load!F:F,0,)</f>
        <v>Gummy</v>
      </c>
      <c r="F2478" t="str">
        <f>_xlfn.XLOOKUP($A2478,Load!$B:$B,Load!G:G,0,)</f>
        <v>Medium Multipack (40–80 ct)</v>
      </c>
      <c r="G2478" t="str">
        <f>_xlfn.XLOOKUP($A2478,Load!$B:$B,Load!H:H,0,)</f>
        <v>Stand-Up Bag</v>
      </c>
      <c r="H2478" t="str">
        <f>_xlfn.XLOOKUP($A2478,Load!$B:$B,Load!I:I,0,)</f>
        <v>Seasonal Shapes (like pumpkins, candy corn, ghost, bats, etc.)</v>
      </c>
      <c r="I2478" t="str">
        <f>_xlfn.XLOOKUP($A2478,Load!$B:$B,Load!J:J,0,)</f>
        <v>Seasonal Graphics (Like Bat, Ghost, Pumpkin, Fall Leaves, Eyeballs, etc.)</v>
      </c>
      <c r="J2478" t="str">
        <f>_xlfn.XLOOKUP($A2478,Load!$B:$B,Load!K:K,0,)</f>
        <v>Fun Size / Treat Size</v>
      </c>
      <c r="K2478" t="str">
        <f>_xlfn.XLOOKUP($A2478,Load!$B:$B,Load!L:L,0,)</f>
        <v>Regular/Original Wrapping</v>
      </c>
      <c r="L2478" t="str">
        <f>_xlfn.XLOOKUP($A2478,Load!$B:$B,Load!M:M,0,)</f>
        <v>Single Brand / Variety Flavors or Form</v>
      </c>
    </row>
    <row r="2479" spans="1:12" x14ac:dyDescent="0.25">
      <c r="B2479">
        <f>_xlfn.XLOOKUP($A2479,Load!$B:$B,Load!C:C,0,)</f>
        <v>0</v>
      </c>
      <c r="C2479">
        <f>_xlfn.XLOOKUP($A2479,Load!$B:$B,Load!D:D,0,)</f>
        <v>0</v>
      </c>
      <c r="D2479">
        <f>_xlfn.XLOOKUP($A2479,Load!$B:$B,Load!E:E,0,)</f>
        <v>0</v>
      </c>
      <c r="E2479">
        <f>_xlfn.XLOOKUP($A2479,Load!$B:$B,Load!F:F,0,)</f>
        <v>0</v>
      </c>
      <c r="F2479">
        <f>_xlfn.XLOOKUP($A2479,Load!$B:$B,Load!G:G,0,)</f>
        <v>0</v>
      </c>
      <c r="G2479">
        <f>_xlfn.XLOOKUP($A2479,Load!$B:$B,Load!H:H,0,)</f>
        <v>0</v>
      </c>
      <c r="H2479">
        <f>_xlfn.XLOOKUP($A2479,Load!$B:$B,Load!I:I,0,)</f>
        <v>0</v>
      </c>
      <c r="I2479">
        <f>_xlfn.XLOOKUP($A2479,Load!$B:$B,Load!J:J,0,)</f>
        <v>0</v>
      </c>
      <c r="J2479">
        <f>_xlfn.XLOOKUP($A2479,Load!$B:$B,Load!K:K,0,)</f>
        <v>0</v>
      </c>
      <c r="K2479">
        <f>_xlfn.XLOOKUP($A2479,Load!$B:$B,Load!L:L,0,)</f>
        <v>0</v>
      </c>
      <c r="L2479">
        <f>_xlfn.XLOOKUP($A2479,Load!$B:$B,Load!M:M,0,)</f>
        <v>0</v>
      </c>
    </row>
    <row r="2480" spans="1:12" x14ac:dyDescent="0.25">
      <c r="B2480">
        <f>_xlfn.XLOOKUP($A2480,Load!$B:$B,Load!C:C,0,)</f>
        <v>0</v>
      </c>
      <c r="C2480">
        <f>_xlfn.XLOOKUP($A2480,Load!$B:$B,Load!D:D,0,)</f>
        <v>0</v>
      </c>
      <c r="D2480">
        <f>_xlfn.XLOOKUP($A2480,Load!$B:$B,Load!E:E,0,)</f>
        <v>0</v>
      </c>
      <c r="E2480">
        <f>_xlfn.XLOOKUP($A2480,Load!$B:$B,Load!F:F,0,)</f>
        <v>0</v>
      </c>
      <c r="F2480">
        <f>_xlfn.XLOOKUP($A2480,Load!$B:$B,Load!G:G,0,)</f>
        <v>0</v>
      </c>
      <c r="G2480">
        <f>_xlfn.XLOOKUP($A2480,Load!$B:$B,Load!H:H,0,)</f>
        <v>0</v>
      </c>
      <c r="H2480">
        <f>_xlfn.XLOOKUP($A2480,Load!$B:$B,Load!I:I,0,)</f>
        <v>0</v>
      </c>
      <c r="I2480">
        <f>_xlfn.XLOOKUP($A2480,Load!$B:$B,Load!J:J,0,)</f>
        <v>0</v>
      </c>
      <c r="J2480">
        <f>_xlfn.XLOOKUP($A2480,Load!$B:$B,Load!K:K,0,)</f>
        <v>0</v>
      </c>
      <c r="K2480">
        <f>_xlfn.XLOOKUP($A2480,Load!$B:$B,Load!L:L,0,)</f>
        <v>0</v>
      </c>
      <c r="L2480">
        <f>_xlfn.XLOOKUP($A2480,Load!$B:$B,Load!M:M,0,)</f>
        <v>0</v>
      </c>
    </row>
    <row r="2481" spans="1:12" x14ac:dyDescent="0.25">
      <c r="B2481">
        <f>_xlfn.XLOOKUP($A2481,Load!$B:$B,Load!C:C,0,)</f>
        <v>0</v>
      </c>
      <c r="C2481">
        <f>_xlfn.XLOOKUP($A2481,Load!$B:$B,Load!D:D,0,)</f>
        <v>0</v>
      </c>
      <c r="D2481">
        <f>_xlfn.XLOOKUP($A2481,Load!$B:$B,Load!E:E,0,)</f>
        <v>0</v>
      </c>
      <c r="E2481">
        <f>_xlfn.XLOOKUP($A2481,Load!$B:$B,Load!F:F,0,)</f>
        <v>0</v>
      </c>
      <c r="F2481">
        <f>_xlfn.XLOOKUP($A2481,Load!$B:$B,Load!G:G,0,)</f>
        <v>0</v>
      </c>
      <c r="G2481">
        <f>_xlfn.XLOOKUP($A2481,Load!$B:$B,Load!H:H,0,)</f>
        <v>0</v>
      </c>
      <c r="H2481">
        <f>_xlfn.XLOOKUP($A2481,Load!$B:$B,Load!I:I,0,)</f>
        <v>0</v>
      </c>
      <c r="I2481">
        <f>_xlfn.XLOOKUP($A2481,Load!$B:$B,Load!J:J,0,)</f>
        <v>0</v>
      </c>
      <c r="J2481">
        <f>_xlfn.XLOOKUP($A2481,Load!$B:$B,Load!K:K,0,)</f>
        <v>0</v>
      </c>
      <c r="K2481">
        <f>_xlfn.XLOOKUP($A2481,Load!$B:$B,Load!L:L,0,)</f>
        <v>0</v>
      </c>
      <c r="L2481">
        <f>_xlfn.XLOOKUP($A2481,Load!$B:$B,Load!M:M,0,)</f>
        <v>0</v>
      </c>
    </row>
    <row r="2482" spans="1:12" x14ac:dyDescent="0.25">
      <c r="A2482" t="s">
        <v>49</v>
      </c>
      <c r="B2482" t="str">
        <f>_xlfn.XLOOKUP($A2482,Load!$B:$B,Load!C:C,0,)</f>
        <v>Brach's</v>
      </c>
      <c r="C2482" t="str">
        <f>_xlfn.XLOOKUP($A2482,Load!$B:$B,Load!D:D,0,)</f>
        <v>Non-Chocolate Candy Only</v>
      </c>
      <c r="D2482" t="str">
        <f>_xlfn.XLOOKUP($A2482,Load!$B:$B,Load!E:E,0,)</f>
        <v>Fall / Seasonal Flavors (pumpkin spice, caramel apple, candy corn)</v>
      </c>
      <c r="E2482" t="str">
        <f>_xlfn.XLOOKUP($A2482,Load!$B:$B,Load!F:F,0,)</f>
        <v>Candy Pieces / Bites</v>
      </c>
      <c r="F2482" t="str">
        <f>_xlfn.XLOOKUP($A2482,Load!$B:$B,Load!G:G,0,)</f>
        <v>Large Multipack (More than 80 ct)</v>
      </c>
      <c r="G2482" t="str">
        <f>_xlfn.XLOOKUP($A2482,Load!$B:$B,Load!H:H,0,)</f>
        <v>Laydown Bag</v>
      </c>
      <c r="H2482" t="str">
        <f>_xlfn.XLOOKUP($A2482,Load!$B:$B,Load!I:I,0,)</f>
        <v>Seasonal Shapes (like pumpkins, candy corn, ghost, bats, etc.)</v>
      </c>
      <c r="I2482" t="str">
        <f>_xlfn.XLOOKUP($A2482,Load!$B:$B,Load!J:J,0,)</f>
        <v>Seasonal Graphics (Like Bat, Ghost, Pumpkin, Fall Leaves, Eyeballs, etc.)</v>
      </c>
      <c r="J2482" t="str">
        <f>_xlfn.XLOOKUP($A2482,Load!$B:$B,Load!K:K,0,)</f>
        <v>Small Pieces (Tiny bite size candies)</v>
      </c>
      <c r="K2482" t="str">
        <f>_xlfn.XLOOKUP($A2482,Load!$B:$B,Load!L:L,0,)</f>
        <v>Unwrapped</v>
      </c>
      <c r="L2482" t="str">
        <f>_xlfn.XLOOKUP($A2482,Load!$B:$B,Load!M:M,0,)</f>
        <v>Single Brand / Single Flavor or Form</v>
      </c>
    </row>
    <row r="2483" spans="1:12" x14ac:dyDescent="0.25">
      <c r="A2483" t="s">
        <v>174</v>
      </c>
      <c r="B2483" t="str">
        <f>_xlfn.XLOOKUP($A2483,Load!$B:$B,Load!C:C,0,)</f>
        <v>Mars Variety Pack</v>
      </c>
      <c r="C2483" t="str">
        <f>_xlfn.XLOOKUP($A2483,Load!$B:$B,Load!D:D,0,)</f>
        <v>Non-Chocolate Candy Only</v>
      </c>
      <c r="D2483" t="str">
        <f>_xlfn.XLOOKUP($A2483,Load!$B:$B,Load!E:E,0,)</f>
        <v>Variety / Mixed Flavors (Fruity, Sour, Seasonal Flavors)</v>
      </c>
      <c r="E2483" t="str">
        <f>_xlfn.XLOOKUP($A2483,Load!$B:$B,Load!F:F,0,)</f>
        <v>Mixed / Combo Packs (Gummy, Chewy, Taffy, etc.)</v>
      </c>
      <c r="F2483" t="str">
        <f>_xlfn.XLOOKUP($A2483,Load!$B:$B,Load!G:G,0,)</f>
        <v>Medium Multipack (40–80 ct)</v>
      </c>
      <c r="G2483" t="str">
        <f>_xlfn.XLOOKUP($A2483,Load!$B:$B,Load!H:H,0,)</f>
        <v>Stand-Up Bag</v>
      </c>
      <c r="H2483" t="str">
        <f>_xlfn.XLOOKUP($A2483,Load!$B:$B,Load!I:I,0,)</f>
        <v>Everyday Candy Shapes (like Original, Gummy bear, Fruit, Jewels, etc.)</v>
      </c>
      <c r="I2483" t="str">
        <f>_xlfn.XLOOKUP($A2483,Load!$B:$B,Load!J:J,0,)</f>
        <v>Seasonal Graphics (Like Bat, Ghost, Pumpkin, Fall Leaves, Eyeballs, etc.)</v>
      </c>
      <c r="J2483" t="str">
        <f>_xlfn.XLOOKUP($A2483,Load!$B:$B,Load!K:K,0,)</f>
        <v>Fun Size / Treat Size</v>
      </c>
      <c r="K2483" t="str">
        <f>_xlfn.XLOOKUP($A2483,Load!$B:$B,Load!L:L,0,)</f>
        <v>Regular/Original Wrapping</v>
      </c>
      <c r="L2483" t="str">
        <f>_xlfn.XLOOKUP($A2483,Load!$B:$B,Load!M:M,0,)</f>
        <v>Multiple Brands / Variety Flavors or Form</v>
      </c>
    </row>
    <row r="2484" spans="1:12" x14ac:dyDescent="0.25">
      <c r="A2484" t="s">
        <v>222</v>
      </c>
      <c r="B2484" t="str">
        <f>_xlfn.XLOOKUP($A2484,Load!$B:$B,Load!C:C,0,)</f>
        <v>Nerds</v>
      </c>
      <c r="C2484" t="str">
        <f>_xlfn.XLOOKUP($A2484,Load!$B:$B,Load!D:D,0,)</f>
        <v>Non-Chocolate Candy Only</v>
      </c>
      <c r="D2484" t="str">
        <f>_xlfn.XLOOKUP($A2484,Load!$B:$B,Load!E:E,0,)</f>
        <v>Sweet</v>
      </c>
      <c r="E2484" t="str">
        <f>_xlfn.XLOOKUP($A2484,Load!$B:$B,Load!F:F,0,)</f>
        <v>Gummy</v>
      </c>
      <c r="F2484" t="str">
        <f>_xlfn.XLOOKUP($A2484,Load!$B:$B,Load!G:G,0,)</f>
        <v>Small Multipack (Less than 40 ct)</v>
      </c>
      <c r="G2484" t="str">
        <f>_xlfn.XLOOKUP($A2484,Load!$B:$B,Load!H:H,0,)</f>
        <v>Stand-Up Bag</v>
      </c>
      <c r="H2484" t="str">
        <f>_xlfn.XLOOKUP($A2484,Load!$B:$B,Load!I:I,0,)</f>
        <v>Everyday Candy Shapes (like Original, Gummy bear, Fruit, Jewels, etc.)</v>
      </c>
      <c r="I2484" t="str">
        <f>_xlfn.XLOOKUP($A2484,Load!$B:$B,Load!J:J,0,)</f>
        <v>Seasonal Graphics (Like Bat, Ghost, Pumpkin, Fall Leaves, Eyeballs, etc.)</v>
      </c>
      <c r="J2484" t="str">
        <f>_xlfn.XLOOKUP($A2484,Load!$B:$B,Load!K:K,0,)</f>
        <v>Fun Size / Treat Size</v>
      </c>
      <c r="K2484" t="str">
        <f>_xlfn.XLOOKUP($A2484,Load!$B:$B,Load!L:L,0,)</f>
        <v>Regular/Original Wrapping</v>
      </c>
      <c r="L2484" t="str">
        <f>_xlfn.XLOOKUP($A2484,Load!$B:$B,Load!M:M,0,)</f>
        <v>Single Brand / Variety Flavors or Form</v>
      </c>
    </row>
    <row r="2485" spans="1:12" x14ac:dyDescent="0.25">
      <c r="A2485" t="s">
        <v>149</v>
      </c>
      <c r="B2485" t="str">
        <f>_xlfn.XLOOKUP($A2485,Load!$B:$B,Load!C:C,0,)</f>
        <v>Jolly Rancher</v>
      </c>
      <c r="C2485" t="str">
        <f>_xlfn.XLOOKUP($A2485,Load!$B:$B,Load!D:D,0,)</f>
        <v>Non-Chocolate Candy Only</v>
      </c>
      <c r="D2485" t="str">
        <f>_xlfn.XLOOKUP($A2485,Load!$B:$B,Load!E:E,0,)</f>
        <v>Fruit Flavor (Cherry, Grape, Apple, Citrus, Tropical Fruit)</v>
      </c>
      <c r="E2485" t="str">
        <f>_xlfn.XLOOKUP($A2485,Load!$B:$B,Load!F:F,0,)</f>
        <v>Gummy</v>
      </c>
      <c r="F2485" t="str">
        <f>_xlfn.XLOOKUP($A2485,Load!$B:$B,Load!G:G,0,)</f>
        <v>Small Multipack (Less than 40 ct)</v>
      </c>
      <c r="G2485" t="str">
        <f>_xlfn.XLOOKUP($A2485,Load!$B:$B,Load!H:H,0,)</f>
        <v>Laydown Bag</v>
      </c>
      <c r="H2485" t="str">
        <f>_xlfn.XLOOKUP($A2485,Load!$B:$B,Load!I:I,0,)</f>
        <v>Everyday Candy Shapes (like Original, Gummy bear, Fruit, Jewels, etc.)</v>
      </c>
      <c r="I2485" t="str">
        <f>_xlfn.XLOOKUP($A2485,Load!$B:$B,Load!J:J,0,)</f>
        <v>Everyday Graphics</v>
      </c>
      <c r="J2485" t="str">
        <f>_xlfn.XLOOKUP($A2485,Load!$B:$B,Load!K:K,0,)</f>
        <v>Fun Size / Treat Size</v>
      </c>
      <c r="K2485" t="str">
        <f>_xlfn.XLOOKUP($A2485,Load!$B:$B,Load!L:L,0,)</f>
        <v>Regular/Original Wrapping</v>
      </c>
      <c r="L2485" t="str">
        <f>_xlfn.XLOOKUP($A2485,Load!$B:$B,Load!M:M,0,)</f>
        <v>Single Brand / Variety Flavors or Form</v>
      </c>
    </row>
    <row r="2486" spans="1:12" x14ac:dyDescent="0.25">
      <c r="B2486">
        <f>_xlfn.XLOOKUP($A2486,Load!$B:$B,Load!C:C,0,)</f>
        <v>0</v>
      </c>
      <c r="C2486">
        <f>_xlfn.XLOOKUP($A2486,Load!$B:$B,Load!D:D,0,)</f>
        <v>0</v>
      </c>
      <c r="D2486">
        <f>_xlfn.XLOOKUP($A2486,Load!$B:$B,Load!E:E,0,)</f>
        <v>0</v>
      </c>
      <c r="E2486">
        <f>_xlfn.XLOOKUP($A2486,Load!$B:$B,Load!F:F,0,)</f>
        <v>0</v>
      </c>
      <c r="F2486">
        <f>_xlfn.XLOOKUP($A2486,Load!$B:$B,Load!G:G,0,)</f>
        <v>0</v>
      </c>
      <c r="G2486">
        <f>_xlfn.XLOOKUP($A2486,Load!$B:$B,Load!H:H,0,)</f>
        <v>0</v>
      </c>
      <c r="H2486">
        <f>_xlfn.XLOOKUP($A2486,Load!$B:$B,Load!I:I,0,)</f>
        <v>0</v>
      </c>
      <c r="I2486">
        <f>_xlfn.XLOOKUP($A2486,Load!$B:$B,Load!J:J,0,)</f>
        <v>0</v>
      </c>
      <c r="J2486">
        <f>_xlfn.XLOOKUP($A2486,Load!$B:$B,Load!K:K,0,)</f>
        <v>0</v>
      </c>
      <c r="K2486">
        <f>_xlfn.XLOOKUP($A2486,Load!$B:$B,Load!L:L,0,)</f>
        <v>0</v>
      </c>
      <c r="L2486">
        <f>_xlfn.XLOOKUP($A2486,Load!$B:$B,Load!M:M,0,)</f>
        <v>0</v>
      </c>
    </row>
    <row r="2487" spans="1:12" x14ac:dyDescent="0.25">
      <c r="B2487">
        <f>_xlfn.XLOOKUP($A2487,Load!$B:$B,Load!C:C,0,)</f>
        <v>0</v>
      </c>
      <c r="C2487">
        <f>_xlfn.XLOOKUP($A2487,Load!$B:$B,Load!D:D,0,)</f>
        <v>0</v>
      </c>
      <c r="D2487">
        <f>_xlfn.XLOOKUP($A2487,Load!$B:$B,Load!E:E,0,)</f>
        <v>0</v>
      </c>
      <c r="E2487">
        <f>_xlfn.XLOOKUP($A2487,Load!$B:$B,Load!F:F,0,)</f>
        <v>0</v>
      </c>
      <c r="F2487">
        <f>_xlfn.XLOOKUP($A2487,Load!$B:$B,Load!G:G,0,)</f>
        <v>0</v>
      </c>
      <c r="G2487">
        <f>_xlfn.XLOOKUP($A2487,Load!$B:$B,Load!H:H,0,)</f>
        <v>0</v>
      </c>
      <c r="H2487">
        <f>_xlfn.XLOOKUP($A2487,Load!$B:$B,Load!I:I,0,)</f>
        <v>0</v>
      </c>
      <c r="I2487">
        <f>_xlfn.XLOOKUP($A2487,Load!$B:$B,Load!J:J,0,)</f>
        <v>0</v>
      </c>
      <c r="J2487">
        <f>_xlfn.XLOOKUP($A2487,Load!$B:$B,Load!K:K,0,)</f>
        <v>0</v>
      </c>
      <c r="K2487">
        <f>_xlfn.XLOOKUP($A2487,Load!$B:$B,Load!L:L,0,)</f>
        <v>0</v>
      </c>
      <c r="L2487">
        <f>_xlfn.XLOOKUP($A2487,Load!$B:$B,Load!M:M,0,)</f>
        <v>0</v>
      </c>
    </row>
    <row r="2488" spans="1:12" x14ac:dyDescent="0.25">
      <c r="A2488" t="s">
        <v>302</v>
      </c>
      <c r="B2488" t="str">
        <f>_xlfn.XLOOKUP($A2488,Load!$B:$B,Load!C:C,0,)</f>
        <v>Twizzlers</v>
      </c>
      <c r="C2488" t="str">
        <f>_xlfn.XLOOKUP($A2488,Load!$B:$B,Load!D:D,0,)</f>
        <v>Non-Chocolate Candy Only</v>
      </c>
      <c r="D2488" t="str">
        <f>_xlfn.XLOOKUP($A2488,Load!$B:$B,Load!E:E,0,)</f>
        <v>Berry Based (Raspberry, Strawberry, Medley, etc.)</v>
      </c>
      <c r="E2488" t="str">
        <f>_xlfn.XLOOKUP($A2488,Load!$B:$B,Load!F:F,0,)</f>
        <v>Chewy</v>
      </c>
      <c r="F2488" t="str">
        <f>_xlfn.XLOOKUP($A2488,Load!$B:$B,Load!G:G,0,)</f>
        <v>Single Pack</v>
      </c>
      <c r="G2488" t="str">
        <f>_xlfn.XLOOKUP($A2488,Load!$B:$B,Load!H:H,0,)</f>
        <v>Laydown Bag</v>
      </c>
      <c r="H2488" t="str">
        <f>_xlfn.XLOOKUP($A2488,Load!$B:$B,Load!I:I,0,)</f>
        <v>Everyday Candy Shapes (like Original, Gummy bear, Fruit, Jewels, etc.)</v>
      </c>
      <c r="I2488" t="str">
        <f>_xlfn.XLOOKUP($A2488,Load!$B:$B,Load!J:J,0,)</f>
        <v>Seasonal Graphics (Like Bat, Ghost, Pumpkin, Fall Leaves, Eyeballs, etc.)</v>
      </c>
      <c r="J2488" t="str">
        <f>_xlfn.XLOOKUP($A2488,Load!$B:$B,Load!K:K,0,)</f>
        <v>Small Pieces (Tiny bite size candies)</v>
      </c>
      <c r="K2488" t="str">
        <f>_xlfn.XLOOKUP($A2488,Load!$B:$B,Load!L:L,0,)</f>
        <v>unwrapped</v>
      </c>
      <c r="L2488" t="str">
        <f>_xlfn.XLOOKUP($A2488,Load!$B:$B,Load!M:M,0,)</f>
        <v>Single Brand / Single Flavor or Form</v>
      </c>
    </row>
    <row r="2489" spans="1:12" x14ac:dyDescent="0.25">
      <c r="B2489">
        <f>_xlfn.XLOOKUP($A2489,Load!$B:$B,Load!C:C,0,)</f>
        <v>0</v>
      </c>
      <c r="C2489">
        <f>_xlfn.XLOOKUP($A2489,Load!$B:$B,Load!D:D,0,)</f>
        <v>0</v>
      </c>
      <c r="D2489">
        <f>_xlfn.XLOOKUP($A2489,Load!$B:$B,Load!E:E,0,)</f>
        <v>0</v>
      </c>
      <c r="E2489">
        <f>_xlfn.XLOOKUP($A2489,Load!$B:$B,Load!F:F,0,)</f>
        <v>0</v>
      </c>
      <c r="F2489">
        <f>_xlfn.XLOOKUP($A2489,Load!$B:$B,Load!G:G,0,)</f>
        <v>0</v>
      </c>
      <c r="G2489">
        <f>_xlfn.XLOOKUP($A2489,Load!$B:$B,Load!H:H,0,)</f>
        <v>0</v>
      </c>
      <c r="H2489">
        <f>_xlfn.XLOOKUP($A2489,Load!$B:$B,Load!I:I,0,)</f>
        <v>0</v>
      </c>
      <c r="I2489">
        <f>_xlfn.XLOOKUP($A2489,Load!$B:$B,Load!J:J,0,)</f>
        <v>0</v>
      </c>
      <c r="J2489">
        <f>_xlfn.XLOOKUP($A2489,Load!$B:$B,Load!K:K,0,)</f>
        <v>0</v>
      </c>
      <c r="K2489">
        <f>_xlfn.XLOOKUP($A2489,Load!$B:$B,Load!L:L,0,)</f>
        <v>0</v>
      </c>
      <c r="L2489">
        <f>_xlfn.XLOOKUP($A2489,Load!$B:$B,Load!M:M,0,)</f>
        <v>0</v>
      </c>
    </row>
    <row r="2490" spans="1:12" x14ac:dyDescent="0.25">
      <c r="B2490">
        <f>_xlfn.XLOOKUP($A2490,Load!$B:$B,Load!C:C,0,)</f>
        <v>0</v>
      </c>
      <c r="C2490">
        <f>_xlfn.XLOOKUP($A2490,Load!$B:$B,Load!D:D,0,)</f>
        <v>0</v>
      </c>
      <c r="D2490">
        <f>_xlfn.XLOOKUP($A2490,Load!$B:$B,Load!E:E,0,)</f>
        <v>0</v>
      </c>
      <c r="E2490">
        <f>_xlfn.XLOOKUP($A2490,Load!$B:$B,Load!F:F,0,)</f>
        <v>0</v>
      </c>
      <c r="F2490">
        <f>_xlfn.XLOOKUP($A2490,Load!$B:$B,Load!G:G,0,)</f>
        <v>0</v>
      </c>
      <c r="G2490">
        <f>_xlfn.XLOOKUP($A2490,Load!$B:$B,Load!H:H,0,)</f>
        <v>0</v>
      </c>
      <c r="H2490">
        <f>_xlfn.XLOOKUP($A2490,Load!$B:$B,Load!I:I,0,)</f>
        <v>0</v>
      </c>
      <c r="I2490">
        <f>_xlfn.XLOOKUP($A2490,Load!$B:$B,Load!J:J,0,)</f>
        <v>0</v>
      </c>
      <c r="J2490">
        <f>_xlfn.XLOOKUP($A2490,Load!$B:$B,Load!K:K,0,)</f>
        <v>0</v>
      </c>
      <c r="K2490">
        <f>_xlfn.XLOOKUP($A2490,Load!$B:$B,Load!L:L,0,)</f>
        <v>0</v>
      </c>
      <c r="L2490">
        <f>_xlfn.XLOOKUP($A2490,Load!$B:$B,Load!M:M,0,)</f>
        <v>0</v>
      </c>
    </row>
    <row r="2491" spans="1:12" x14ac:dyDescent="0.25">
      <c r="B2491">
        <f>_xlfn.XLOOKUP($A2491,Load!$B:$B,Load!C:C,0,)</f>
        <v>0</v>
      </c>
      <c r="C2491">
        <f>_xlfn.XLOOKUP($A2491,Load!$B:$B,Load!D:D,0,)</f>
        <v>0</v>
      </c>
      <c r="D2491">
        <f>_xlfn.XLOOKUP($A2491,Load!$B:$B,Load!E:E,0,)</f>
        <v>0</v>
      </c>
      <c r="E2491">
        <f>_xlfn.XLOOKUP($A2491,Load!$B:$B,Load!F:F,0,)</f>
        <v>0</v>
      </c>
      <c r="F2491">
        <f>_xlfn.XLOOKUP($A2491,Load!$B:$B,Load!G:G,0,)</f>
        <v>0</v>
      </c>
      <c r="G2491">
        <f>_xlfn.XLOOKUP($A2491,Load!$B:$B,Load!H:H,0,)</f>
        <v>0</v>
      </c>
      <c r="H2491">
        <f>_xlfn.XLOOKUP($A2491,Load!$B:$B,Load!I:I,0,)</f>
        <v>0</v>
      </c>
      <c r="I2491">
        <f>_xlfn.XLOOKUP($A2491,Load!$B:$B,Load!J:J,0,)</f>
        <v>0</v>
      </c>
      <c r="J2491">
        <f>_xlfn.XLOOKUP($A2491,Load!$B:$B,Load!K:K,0,)</f>
        <v>0</v>
      </c>
      <c r="K2491">
        <f>_xlfn.XLOOKUP($A2491,Load!$B:$B,Load!L:L,0,)</f>
        <v>0</v>
      </c>
      <c r="L2491">
        <f>_xlfn.XLOOKUP($A2491,Load!$B:$B,Load!M:M,0,)</f>
        <v>0</v>
      </c>
    </row>
    <row r="2492" spans="1:12" x14ac:dyDescent="0.25">
      <c r="A2492" t="s">
        <v>83</v>
      </c>
      <c r="B2492" t="str">
        <f>_xlfn.XLOOKUP($A2492,Load!$B:$B,Load!C:C,0,)</f>
        <v>Ferrara Variety Pack</v>
      </c>
      <c r="C2492" t="str">
        <f>_xlfn.XLOOKUP($A2492,Load!$B:$B,Load!D:D,0,)</f>
        <v>Non-Chocolate Candy Only</v>
      </c>
      <c r="D2492" t="str">
        <f>_xlfn.XLOOKUP($A2492,Load!$B:$B,Load!E:E,0,)</f>
        <v>Variety / Mixed Flavors (Fruity, Sour, Seasonal Flavors)</v>
      </c>
      <c r="E2492" t="str">
        <f>_xlfn.XLOOKUP($A2492,Load!$B:$B,Load!F:F,0,)</f>
        <v>Mixed / Combo Packs (Gummy, Chewy, Taffy, etc.)</v>
      </c>
      <c r="F2492" t="str">
        <f>_xlfn.XLOOKUP($A2492,Load!$B:$B,Load!G:G,0,)</f>
        <v>Medium Multipack (40–80 ct)</v>
      </c>
      <c r="G2492" t="str">
        <f>_xlfn.XLOOKUP($A2492,Load!$B:$B,Load!H:H,0,)</f>
        <v>Stand-Up Bag</v>
      </c>
      <c r="H2492" t="str">
        <f>_xlfn.XLOOKUP($A2492,Load!$B:$B,Load!I:I,0,)</f>
        <v>Everyday Candy Shapes (like Original, Gummy bear, Fruit, Jewels, etc.)</v>
      </c>
      <c r="I2492" t="str">
        <f>_xlfn.XLOOKUP($A2492,Load!$B:$B,Load!J:J,0,)</f>
        <v>Seasonal Graphics (Like Bat, Ghost, Pumpkin, Fall Leaves, Eyeballs, etc.)</v>
      </c>
      <c r="J2492" t="str">
        <f>_xlfn.XLOOKUP($A2492,Load!$B:$B,Load!K:K,0,)</f>
        <v xml:space="preserve">Variety Candy Sizes </v>
      </c>
      <c r="K2492" t="str">
        <f>_xlfn.XLOOKUP($A2492,Load!$B:$B,Load!L:L,0,)</f>
        <v>Regular/Original Wrapping</v>
      </c>
      <c r="L2492" t="str">
        <f>_xlfn.XLOOKUP($A2492,Load!$B:$B,Load!M:M,0,)</f>
        <v>Multiple Brands / Variety Flavors or Form</v>
      </c>
    </row>
    <row r="2493" spans="1:12" x14ac:dyDescent="0.25">
      <c r="A2493" t="s">
        <v>105</v>
      </c>
      <c r="B2493" t="str">
        <f>_xlfn.XLOOKUP($A2493,Load!$B:$B,Load!C:C,0,)</f>
        <v>Frankford</v>
      </c>
      <c r="C2493" t="str">
        <f>_xlfn.XLOOKUP($A2493,Load!$B:$B,Load!D:D,0,)</f>
        <v>Non-Chocolate Candy Only</v>
      </c>
      <c r="D2493" t="str">
        <f>_xlfn.XLOOKUP($A2493,Load!$B:$B,Load!E:E,0,)</f>
        <v>Variety / Mixed Flavors (Fruity, Sour, Seasonal Flavors)</v>
      </c>
      <c r="E2493" t="str">
        <f>_xlfn.XLOOKUP($A2493,Load!$B:$B,Load!F:F,0,)</f>
        <v>Gummy</v>
      </c>
      <c r="F2493" t="str">
        <f>_xlfn.XLOOKUP($A2493,Load!$B:$B,Load!G:G,0,)</f>
        <v>Medium Multipack (40–80 ct)</v>
      </c>
      <c r="G2493" t="str">
        <f>_xlfn.XLOOKUP($A2493,Load!$B:$B,Load!H:H,0,)</f>
        <v>Stand-Up Bag</v>
      </c>
      <c r="H2493" t="str">
        <f>_xlfn.XLOOKUP($A2493,Load!$B:$B,Load!I:I,0,)</f>
        <v>Seasonal Shapes (like pumpkins, candy corn, ghost, bats, etc.)</v>
      </c>
      <c r="I2493" t="str">
        <f>_xlfn.XLOOKUP($A2493,Load!$B:$B,Load!J:J,0,)</f>
        <v>Seasonal Graphics (Like Bat, Ghost, Pumpkin, Fall Leaves, Eyeballs, etc.)</v>
      </c>
      <c r="J2493" t="str">
        <f>_xlfn.XLOOKUP($A2493,Load!$B:$B,Load!K:K,0,)</f>
        <v>Fun Size / Treat Size</v>
      </c>
      <c r="K2493" t="str">
        <f>_xlfn.XLOOKUP($A2493,Load!$B:$B,Load!L:L,0,)</f>
        <v>Regular/Original Wrapping</v>
      </c>
      <c r="L2493" t="str">
        <f>_xlfn.XLOOKUP($A2493,Load!$B:$B,Load!M:M,0,)</f>
        <v>Single Brand / Variety Flavors or Form</v>
      </c>
    </row>
    <row r="2494" spans="1:12" x14ac:dyDescent="0.25">
      <c r="A2494" t="s">
        <v>326</v>
      </c>
      <c r="B2494" t="str">
        <f>_xlfn.XLOOKUP($A2494,Load!$B:$B,Load!C:C,0,)</f>
        <v>Mondelez Variety Pack</v>
      </c>
      <c r="C2494" t="str">
        <f>_xlfn.XLOOKUP($A2494,Load!$B:$B,Load!D:D,0,)</f>
        <v>Mix of Chocolate and Non-Chocolate Candy</v>
      </c>
      <c r="D2494" t="str">
        <f>_xlfn.XLOOKUP($A2494,Load!$B:$B,Load!E:E,0,)</f>
        <v>Variety / Mixed Flavors (Fruity, Sour, Seasonal Flavors)</v>
      </c>
      <c r="E2494" t="str">
        <f>_xlfn.XLOOKUP($A2494,Load!$B:$B,Load!F:F,0,)</f>
        <v>Mixed / Combo Packs (Gummy, Chewy, Taffy, etc.)</v>
      </c>
      <c r="F2494" t="str">
        <f>_xlfn.XLOOKUP($A2494,Load!$B:$B,Load!G:G,0,)</f>
        <v>Medium Multipack (40–80 ct)</v>
      </c>
      <c r="G2494" t="str">
        <f>_xlfn.XLOOKUP($A2494,Load!$B:$B,Load!H:H,0,)</f>
        <v>Stand-Up Bag</v>
      </c>
      <c r="H2494" t="str">
        <f>_xlfn.XLOOKUP($A2494,Load!$B:$B,Load!I:I,0,)</f>
        <v>Everyday Candy Shapes (like Original, Gummy bear, Fruit, Jewels, etc.)</v>
      </c>
      <c r="I2494" t="str">
        <f>_xlfn.XLOOKUP($A2494,Load!$B:$B,Load!J:J,0,)</f>
        <v>Seasonal Graphics (Like Bat, Ghost, Pumpkin, Fall Leaves, Eyeballs, etc.)</v>
      </c>
      <c r="J2494" t="str">
        <f>_xlfn.XLOOKUP($A2494,Load!$B:$B,Load!K:K,0,)</f>
        <v xml:space="preserve">Variety Candy Sizes </v>
      </c>
      <c r="K2494" t="str">
        <f>_xlfn.XLOOKUP($A2494,Load!$B:$B,Load!L:L,0,)</f>
        <v>Regular/Original Wrapping</v>
      </c>
      <c r="L2494" t="str">
        <f>_xlfn.XLOOKUP($A2494,Load!$B:$B,Load!M:M,0,)</f>
        <v>Multiple Brands / Variety Flavors or Form</v>
      </c>
    </row>
    <row r="2495" spans="1:12" x14ac:dyDescent="0.25">
      <c r="B2495">
        <f>_xlfn.XLOOKUP($A2495,Load!$B:$B,Load!C:C,0,)</f>
        <v>0</v>
      </c>
      <c r="C2495">
        <f>_xlfn.XLOOKUP($A2495,Load!$B:$B,Load!D:D,0,)</f>
        <v>0</v>
      </c>
      <c r="D2495">
        <f>_xlfn.XLOOKUP($A2495,Load!$B:$B,Load!E:E,0,)</f>
        <v>0</v>
      </c>
      <c r="E2495">
        <f>_xlfn.XLOOKUP($A2495,Load!$B:$B,Load!F:F,0,)</f>
        <v>0</v>
      </c>
      <c r="F2495">
        <f>_xlfn.XLOOKUP($A2495,Load!$B:$B,Load!G:G,0,)</f>
        <v>0</v>
      </c>
      <c r="G2495">
        <f>_xlfn.XLOOKUP($A2495,Load!$B:$B,Load!H:H,0,)</f>
        <v>0</v>
      </c>
      <c r="H2495">
        <f>_xlfn.XLOOKUP($A2495,Load!$B:$B,Load!I:I,0,)</f>
        <v>0</v>
      </c>
      <c r="I2495">
        <f>_xlfn.XLOOKUP($A2495,Load!$B:$B,Load!J:J,0,)</f>
        <v>0</v>
      </c>
      <c r="J2495">
        <f>_xlfn.XLOOKUP($A2495,Load!$B:$B,Load!K:K,0,)</f>
        <v>0</v>
      </c>
      <c r="K2495">
        <f>_xlfn.XLOOKUP($A2495,Load!$B:$B,Load!L:L,0,)</f>
        <v>0</v>
      </c>
      <c r="L2495">
        <f>_xlfn.XLOOKUP($A2495,Load!$B:$B,Load!M:M,0,)</f>
        <v>0</v>
      </c>
    </row>
    <row r="2496" spans="1:12" x14ac:dyDescent="0.25">
      <c r="B2496">
        <f>_xlfn.XLOOKUP($A2496,Load!$B:$B,Load!C:C,0,)</f>
        <v>0</v>
      </c>
      <c r="C2496">
        <f>_xlfn.XLOOKUP($A2496,Load!$B:$B,Load!D:D,0,)</f>
        <v>0</v>
      </c>
      <c r="D2496">
        <f>_xlfn.XLOOKUP($A2496,Load!$B:$B,Load!E:E,0,)</f>
        <v>0</v>
      </c>
      <c r="E2496">
        <f>_xlfn.XLOOKUP($A2496,Load!$B:$B,Load!F:F,0,)</f>
        <v>0</v>
      </c>
      <c r="F2496">
        <f>_xlfn.XLOOKUP($A2496,Load!$B:$B,Load!G:G,0,)</f>
        <v>0</v>
      </c>
      <c r="G2496">
        <f>_xlfn.XLOOKUP($A2496,Load!$B:$B,Load!H:H,0,)</f>
        <v>0</v>
      </c>
      <c r="H2496">
        <f>_xlfn.XLOOKUP($A2496,Load!$B:$B,Load!I:I,0,)</f>
        <v>0</v>
      </c>
      <c r="I2496">
        <f>_xlfn.XLOOKUP($A2496,Load!$B:$B,Load!J:J,0,)</f>
        <v>0</v>
      </c>
      <c r="J2496">
        <f>_xlfn.XLOOKUP($A2496,Load!$B:$B,Load!K:K,0,)</f>
        <v>0</v>
      </c>
      <c r="K2496">
        <f>_xlfn.XLOOKUP($A2496,Load!$B:$B,Load!L:L,0,)</f>
        <v>0</v>
      </c>
      <c r="L2496">
        <f>_xlfn.XLOOKUP($A2496,Load!$B:$B,Load!M:M,0,)</f>
        <v>0</v>
      </c>
    </row>
    <row r="2497" spans="1:12" x14ac:dyDescent="0.25">
      <c r="B2497">
        <f>_xlfn.XLOOKUP($A2497,Load!$B:$B,Load!C:C,0,)</f>
        <v>0</v>
      </c>
      <c r="C2497">
        <f>_xlfn.XLOOKUP($A2497,Load!$B:$B,Load!D:D,0,)</f>
        <v>0</v>
      </c>
      <c r="D2497">
        <f>_xlfn.XLOOKUP($A2497,Load!$B:$B,Load!E:E,0,)</f>
        <v>0</v>
      </c>
      <c r="E2497">
        <f>_xlfn.XLOOKUP($A2497,Load!$B:$B,Load!F:F,0,)</f>
        <v>0</v>
      </c>
      <c r="F2497">
        <f>_xlfn.XLOOKUP($A2497,Load!$B:$B,Load!G:G,0,)</f>
        <v>0</v>
      </c>
      <c r="G2497">
        <f>_xlfn.XLOOKUP($A2497,Load!$B:$B,Load!H:H,0,)</f>
        <v>0</v>
      </c>
      <c r="H2497">
        <f>_xlfn.XLOOKUP($A2497,Load!$B:$B,Load!I:I,0,)</f>
        <v>0</v>
      </c>
      <c r="I2497">
        <f>_xlfn.XLOOKUP($A2497,Load!$B:$B,Load!J:J,0,)</f>
        <v>0</v>
      </c>
      <c r="J2497">
        <f>_xlfn.XLOOKUP($A2497,Load!$B:$B,Load!K:K,0,)</f>
        <v>0</v>
      </c>
      <c r="K2497">
        <f>_xlfn.XLOOKUP($A2497,Load!$B:$B,Load!L:L,0,)</f>
        <v>0</v>
      </c>
      <c r="L2497">
        <f>_xlfn.XLOOKUP($A2497,Load!$B:$B,Load!M:M,0,)</f>
        <v>0</v>
      </c>
    </row>
    <row r="2498" spans="1:12" x14ac:dyDescent="0.25">
      <c r="A2498" t="s">
        <v>150</v>
      </c>
      <c r="B2498" t="str">
        <f>_xlfn.XLOOKUP($A2498,Load!$B:$B,Load!C:C,0,)</f>
        <v>Jolly Rancher</v>
      </c>
      <c r="C2498" t="str">
        <f>_xlfn.XLOOKUP($A2498,Load!$B:$B,Load!D:D,0,)</f>
        <v>Non-Chocolate Candy Only</v>
      </c>
      <c r="D2498" t="str">
        <f>_xlfn.XLOOKUP($A2498,Load!$B:$B,Load!E:E,0,)</f>
        <v>Variety / Mixed Flavors (Fruity, Sour, Seasonal Flavors)</v>
      </c>
      <c r="E2498" t="str">
        <f>_xlfn.XLOOKUP($A2498,Load!$B:$B,Load!F:F,0,)</f>
        <v>Gummy</v>
      </c>
      <c r="F2498" t="str">
        <f>_xlfn.XLOOKUP($A2498,Load!$B:$B,Load!G:G,0,)</f>
        <v>Small Multipack (Less than 40 ct)</v>
      </c>
      <c r="G2498" t="str">
        <f>_xlfn.XLOOKUP($A2498,Load!$B:$B,Load!H:H,0,)</f>
        <v>Laydown Bag</v>
      </c>
      <c r="H2498" t="str">
        <f>_xlfn.XLOOKUP($A2498,Load!$B:$B,Load!I:I,0,)</f>
        <v>Everyday Candy Shapes (like Original, Gummy bear, Fruit, Jewels, etc.)</v>
      </c>
      <c r="I2498" t="str">
        <f>_xlfn.XLOOKUP($A2498,Load!$B:$B,Load!J:J,0,)</f>
        <v>Everyday Graphics</v>
      </c>
      <c r="J2498" t="str">
        <f>_xlfn.XLOOKUP($A2498,Load!$B:$B,Load!K:K,0,)</f>
        <v>Small Pieces (Tiny bite size candies)</v>
      </c>
      <c r="K2498" t="str">
        <f>_xlfn.XLOOKUP($A2498,Load!$B:$B,Load!L:L,0,)</f>
        <v>Regular/Original Wrapping</v>
      </c>
      <c r="L2498" t="str">
        <f>_xlfn.XLOOKUP($A2498,Load!$B:$B,Load!M:M,0,)</f>
        <v>Single Brand / Variety Flavors or Form</v>
      </c>
    </row>
    <row r="2499" spans="1:12" x14ac:dyDescent="0.25">
      <c r="B2499">
        <f>_xlfn.XLOOKUP($A2499,Load!$B:$B,Load!C:C,0,)</f>
        <v>0</v>
      </c>
      <c r="C2499">
        <f>_xlfn.XLOOKUP($A2499,Load!$B:$B,Load!D:D,0,)</f>
        <v>0</v>
      </c>
      <c r="D2499">
        <f>_xlfn.XLOOKUP($A2499,Load!$B:$B,Load!E:E,0,)</f>
        <v>0</v>
      </c>
      <c r="E2499">
        <f>_xlfn.XLOOKUP($A2499,Load!$B:$B,Load!F:F,0,)</f>
        <v>0</v>
      </c>
      <c r="F2499">
        <f>_xlfn.XLOOKUP($A2499,Load!$B:$B,Load!G:G,0,)</f>
        <v>0</v>
      </c>
      <c r="G2499">
        <f>_xlfn.XLOOKUP($A2499,Load!$B:$B,Load!H:H,0,)</f>
        <v>0</v>
      </c>
      <c r="H2499">
        <f>_xlfn.XLOOKUP($A2499,Load!$B:$B,Load!I:I,0,)</f>
        <v>0</v>
      </c>
      <c r="I2499">
        <f>_xlfn.XLOOKUP($A2499,Load!$B:$B,Load!J:J,0,)</f>
        <v>0</v>
      </c>
      <c r="J2499">
        <f>_xlfn.XLOOKUP($A2499,Load!$B:$B,Load!K:K,0,)</f>
        <v>0</v>
      </c>
      <c r="K2499">
        <f>_xlfn.XLOOKUP($A2499,Load!$B:$B,Load!L:L,0,)</f>
        <v>0</v>
      </c>
      <c r="L2499">
        <f>_xlfn.XLOOKUP($A2499,Load!$B:$B,Load!M:M,0,)</f>
        <v>0</v>
      </c>
    </row>
    <row r="2500" spans="1:12" x14ac:dyDescent="0.25">
      <c r="B2500">
        <f>_xlfn.XLOOKUP($A2500,Load!$B:$B,Load!C:C,0,)</f>
        <v>0</v>
      </c>
      <c r="C2500">
        <f>_xlfn.XLOOKUP($A2500,Load!$B:$B,Load!D:D,0,)</f>
        <v>0</v>
      </c>
      <c r="D2500">
        <f>_xlfn.XLOOKUP($A2500,Load!$B:$B,Load!E:E,0,)</f>
        <v>0</v>
      </c>
      <c r="E2500">
        <f>_xlfn.XLOOKUP($A2500,Load!$B:$B,Load!F:F,0,)</f>
        <v>0</v>
      </c>
      <c r="F2500">
        <f>_xlfn.XLOOKUP($A2500,Load!$B:$B,Load!G:G,0,)</f>
        <v>0</v>
      </c>
      <c r="G2500">
        <f>_xlfn.XLOOKUP($A2500,Load!$B:$B,Load!H:H,0,)</f>
        <v>0</v>
      </c>
      <c r="H2500">
        <f>_xlfn.XLOOKUP($A2500,Load!$B:$B,Load!I:I,0,)</f>
        <v>0</v>
      </c>
      <c r="I2500">
        <f>_xlfn.XLOOKUP($A2500,Load!$B:$B,Load!J:J,0,)</f>
        <v>0</v>
      </c>
      <c r="J2500">
        <f>_xlfn.XLOOKUP($A2500,Load!$B:$B,Load!K:K,0,)</f>
        <v>0</v>
      </c>
      <c r="K2500">
        <f>_xlfn.XLOOKUP($A2500,Load!$B:$B,Load!L:L,0,)</f>
        <v>0</v>
      </c>
      <c r="L2500">
        <f>_xlfn.XLOOKUP($A2500,Load!$B:$B,Load!M:M,0,)</f>
        <v>0</v>
      </c>
    </row>
    <row r="2501" spans="1:12" x14ac:dyDescent="0.25">
      <c r="B2501">
        <f>_xlfn.XLOOKUP($A2501,Load!$B:$B,Load!C:C,0,)</f>
        <v>0</v>
      </c>
      <c r="C2501">
        <f>_xlfn.XLOOKUP($A2501,Load!$B:$B,Load!D:D,0,)</f>
        <v>0</v>
      </c>
      <c r="D2501">
        <f>_xlfn.XLOOKUP($A2501,Load!$B:$B,Load!E:E,0,)</f>
        <v>0</v>
      </c>
      <c r="E2501">
        <f>_xlfn.XLOOKUP($A2501,Load!$B:$B,Load!F:F,0,)</f>
        <v>0</v>
      </c>
      <c r="F2501">
        <f>_xlfn.XLOOKUP($A2501,Load!$B:$B,Load!G:G,0,)</f>
        <v>0</v>
      </c>
      <c r="G2501">
        <f>_xlfn.XLOOKUP($A2501,Load!$B:$B,Load!H:H,0,)</f>
        <v>0</v>
      </c>
      <c r="H2501">
        <f>_xlfn.XLOOKUP($A2501,Load!$B:$B,Load!I:I,0,)</f>
        <v>0</v>
      </c>
      <c r="I2501">
        <f>_xlfn.XLOOKUP($A2501,Load!$B:$B,Load!J:J,0,)</f>
        <v>0</v>
      </c>
      <c r="J2501">
        <f>_xlfn.XLOOKUP($A2501,Load!$B:$B,Load!K:K,0,)</f>
        <v>0</v>
      </c>
      <c r="K2501">
        <f>_xlfn.XLOOKUP($A2501,Load!$B:$B,Load!L:L,0,)</f>
        <v>0</v>
      </c>
      <c r="L2501">
        <f>_xlfn.XLOOKUP($A2501,Load!$B:$B,Load!M:M,0,)</f>
        <v>0</v>
      </c>
    </row>
    <row r="2502" spans="1:12" x14ac:dyDescent="0.25">
      <c r="B2502">
        <f>_xlfn.XLOOKUP($A2502,Load!$B:$B,Load!C:C,0,)</f>
        <v>0</v>
      </c>
      <c r="C2502">
        <f>_xlfn.XLOOKUP($A2502,Load!$B:$B,Load!D:D,0,)</f>
        <v>0</v>
      </c>
      <c r="D2502">
        <f>_xlfn.XLOOKUP($A2502,Load!$B:$B,Load!E:E,0,)</f>
        <v>0</v>
      </c>
      <c r="E2502">
        <f>_xlfn.XLOOKUP($A2502,Load!$B:$B,Load!F:F,0,)</f>
        <v>0</v>
      </c>
      <c r="F2502">
        <f>_xlfn.XLOOKUP($A2502,Load!$B:$B,Load!G:G,0,)</f>
        <v>0</v>
      </c>
      <c r="G2502">
        <f>_xlfn.XLOOKUP($A2502,Load!$B:$B,Load!H:H,0,)</f>
        <v>0</v>
      </c>
      <c r="H2502">
        <f>_xlfn.XLOOKUP($A2502,Load!$B:$B,Load!I:I,0,)</f>
        <v>0</v>
      </c>
      <c r="I2502">
        <f>_xlfn.XLOOKUP($A2502,Load!$B:$B,Load!J:J,0,)</f>
        <v>0</v>
      </c>
      <c r="J2502">
        <f>_xlfn.XLOOKUP($A2502,Load!$B:$B,Load!K:K,0,)</f>
        <v>0</v>
      </c>
      <c r="K2502">
        <f>_xlfn.XLOOKUP($A2502,Load!$B:$B,Load!L:L,0,)</f>
        <v>0</v>
      </c>
      <c r="L2502">
        <f>_xlfn.XLOOKUP($A2502,Load!$B:$B,Load!M:M,0,)</f>
        <v>0</v>
      </c>
    </row>
    <row r="2503" spans="1:12" x14ac:dyDescent="0.25">
      <c r="B2503">
        <f>_xlfn.XLOOKUP($A2503,Load!$B:$B,Load!C:C,0,)</f>
        <v>0</v>
      </c>
      <c r="C2503">
        <f>_xlfn.XLOOKUP($A2503,Load!$B:$B,Load!D:D,0,)</f>
        <v>0</v>
      </c>
      <c r="D2503">
        <f>_xlfn.XLOOKUP($A2503,Load!$B:$B,Load!E:E,0,)</f>
        <v>0</v>
      </c>
      <c r="E2503">
        <f>_xlfn.XLOOKUP($A2503,Load!$B:$B,Load!F:F,0,)</f>
        <v>0</v>
      </c>
      <c r="F2503">
        <f>_xlfn.XLOOKUP($A2503,Load!$B:$B,Load!G:G,0,)</f>
        <v>0</v>
      </c>
      <c r="G2503">
        <f>_xlfn.XLOOKUP($A2503,Load!$B:$B,Load!H:H,0,)</f>
        <v>0</v>
      </c>
      <c r="H2503">
        <f>_xlfn.XLOOKUP($A2503,Load!$B:$B,Load!I:I,0,)</f>
        <v>0</v>
      </c>
      <c r="I2503">
        <f>_xlfn.XLOOKUP($A2503,Load!$B:$B,Load!J:J,0,)</f>
        <v>0</v>
      </c>
      <c r="J2503">
        <f>_xlfn.XLOOKUP($A2503,Load!$B:$B,Load!K:K,0,)</f>
        <v>0</v>
      </c>
      <c r="K2503">
        <f>_xlfn.XLOOKUP($A2503,Load!$B:$B,Load!L:L,0,)</f>
        <v>0</v>
      </c>
      <c r="L2503">
        <f>_xlfn.XLOOKUP($A2503,Load!$B:$B,Load!M:M,0,)</f>
        <v>0</v>
      </c>
    </row>
    <row r="2504" spans="1:12" x14ac:dyDescent="0.25">
      <c r="B2504">
        <f>_xlfn.XLOOKUP($A2504,Load!$B:$B,Load!C:C,0,)</f>
        <v>0</v>
      </c>
      <c r="C2504">
        <f>_xlfn.XLOOKUP($A2504,Load!$B:$B,Load!D:D,0,)</f>
        <v>0</v>
      </c>
      <c r="D2504">
        <f>_xlfn.XLOOKUP($A2504,Load!$B:$B,Load!E:E,0,)</f>
        <v>0</v>
      </c>
      <c r="E2504">
        <f>_xlfn.XLOOKUP($A2504,Load!$B:$B,Load!F:F,0,)</f>
        <v>0</v>
      </c>
      <c r="F2504">
        <f>_xlfn.XLOOKUP($A2504,Load!$B:$B,Load!G:G,0,)</f>
        <v>0</v>
      </c>
      <c r="G2504">
        <f>_xlfn.XLOOKUP($A2504,Load!$B:$B,Load!H:H,0,)</f>
        <v>0</v>
      </c>
      <c r="H2504">
        <f>_xlfn.XLOOKUP($A2504,Load!$B:$B,Load!I:I,0,)</f>
        <v>0</v>
      </c>
      <c r="I2504">
        <f>_xlfn.XLOOKUP($A2504,Load!$B:$B,Load!J:J,0,)</f>
        <v>0</v>
      </c>
      <c r="J2504">
        <f>_xlfn.XLOOKUP($A2504,Load!$B:$B,Load!K:K,0,)</f>
        <v>0</v>
      </c>
      <c r="K2504">
        <f>_xlfn.XLOOKUP($A2504,Load!$B:$B,Load!L:L,0,)</f>
        <v>0</v>
      </c>
      <c r="L2504">
        <f>_xlfn.XLOOKUP($A2504,Load!$B:$B,Load!M:M,0,)</f>
        <v>0</v>
      </c>
    </row>
    <row r="2505" spans="1:12" x14ac:dyDescent="0.25">
      <c r="B2505">
        <f>_xlfn.XLOOKUP($A2505,Load!$B:$B,Load!C:C,0,)</f>
        <v>0</v>
      </c>
      <c r="C2505">
        <f>_xlfn.XLOOKUP($A2505,Load!$B:$B,Load!D:D,0,)</f>
        <v>0</v>
      </c>
      <c r="D2505">
        <f>_xlfn.XLOOKUP($A2505,Load!$B:$B,Load!E:E,0,)</f>
        <v>0</v>
      </c>
      <c r="E2505">
        <f>_xlfn.XLOOKUP($A2505,Load!$B:$B,Load!F:F,0,)</f>
        <v>0</v>
      </c>
      <c r="F2505">
        <f>_xlfn.XLOOKUP($A2505,Load!$B:$B,Load!G:G,0,)</f>
        <v>0</v>
      </c>
      <c r="G2505">
        <f>_xlfn.XLOOKUP($A2505,Load!$B:$B,Load!H:H,0,)</f>
        <v>0</v>
      </c>
      <c r="H2505">
        <f>_xlfn.XLOOKUP($A2505,Load!$B:$B,Load!I:I,0,)</f>
        <v>0</v>
      </c>
      <c r="I2505">
        <f>_xlfn.XLOOKUP($A2505,Load!$B:$B,Load!J:J,0,)</f>
        <v>0</v>
      </c>
      <c r="J2505">
        <f>_xlfn.XLOOKUP($A2505,Load!$B:$B,Load!K:K,0,)</f>
        <v>0</v>
      </c>
      <c r="K2505">
        <f>_xlfn.XLOOKUP($A2505,Load!$B:$B,Load!L:L,0,)</f>
        <v>0</v>
      </c>
      <c r="L2505">
        <f>_xlfn.XLOOKUP($A2505,Load!$B:$B,Load!M:M,0,)</f>
        <v>0</v>
      </c>
    </row>
    <row r="2506" spans="1:12" x14ac:dyDescent="0.25">
      <c r="B2506">
        <f>_xlfn.XLOOKUP($A2506,Load!$B:$B,Load!C:C,0,)</f>
        <v>0</v>
      </c>
      <c r="C2506">
        <f>_xlfn.XLOOKUP($A2506,Load!$B:$B,Load!D:D,0,)</f>
        <v>0</v>
      </c>
      <c r="D2506">
        <f>_xlfn.XLOOKUP($A2506,Load!$B:$B,Load!E:E,0,)</f>
        <v>0</v>
      </c>
      <c r="E2506">
        <f>_xlfn.XLOOKUP($A2506,Load!$B:$B,Load!F:F,0,)</f>
        <v>0</v>
      </c>
      <c r="F2506">
        <f>_xlfn.XLOOKUP($A2506,Load!$B:$B,Load!G:G,0,)</f>
        <v>0</v>
      </c>
      <c r="G2506">
        <f>_xlfn.XLOOKUP($A2506,Load!$B:$B,Load!H:H,0,)</f>
        <v>0</v>
      </c>
      <c r="H2506">
        <f>_xlfn.XLOOKUP($A2506,Load!$B:$B,Load!I:I,0,)</f>
        <v>0</v>
      </c>
      <c r="I2506">
        <f>_xlfn.XLOOKUP($A2506,Load!$B:$B,Load!J:J,0,)</f>
        <v>0</v>
      </c>
      <c r="J2506">
        <f>_xlfn.XLOOKUP($A2506,Load!$B:$B,Load!K:K,0,)</f>
        <v>0</v>
      </c>
      <c r="K2506">
        <f>_xlfn.XLOOKUP($A2506,Load!$B:$B,Load!L:L,0,)</f>
        <v>0</v>
      </c>
      <c r="L2506">
        <f>_xlfn.XLOOKUP($A2506,Load!$B:$B,Load!M:M,0,)</f>
        <v>0</v>
      </c>
    </row>
    <row r="2507" spans="1:12" x14ac:dyDescent="0.25">
      <c r="B2507">
        <f>_xlfn.XLOOKUP($A2507,Load!$B:$B,Load!C:C,0,)</f>
        <v>0</v>
      </c>
      <c r="C2507">
        <f>_xlfn.XLOOKUP($A2507,Load!$B:$B,Load!D:D,0,)</f>
        <v>0</v>
      </c>
      <c r="D2507">
        <f>_xlfn.XLOOKUP($A2507,Load!$B:$B,Load!E:E,0,)</f>
        <v>0</v>
      </c>
      <c r="E2507">
        <f>_xlfn.XLOOKUP($A2507,Load!$B:$B,Load!F:F,0,)</f>
        <v>0</v>
      </c>
      <c r="F2507">
        <f>_xlfn.XLOOKUP($A2507,Load!$B:$B,Load!G:G,0,)</f>
        <v>0</v>
      </c>
      <c r="G2507">
        <f>_xlfn.XLOOKUP($A2507,Load!$B:$B,Load!H:H,0,)</f>
        <v>0</v>
      </c>
      <c r="H2507">
        <f>_xlfn.XLOOKUP($A2507,Load!$B:$B,Load!I:I,0,)</f>
        <v>0</v>
      </c>
      <c r="I2507">
        <f>_xlfn.XLOOKUP($A2507,Load!$B:$B,Load!J:J,0,)</f>
        <v>0</v>
      </c>
      <c r="J2507">
        <f>_xlfn.XLOOKUP($A2507,Load!$B:$B,Load!K:K,0,)</f>
        <v>0</v>
      </c>
      <c r="K2507">
        <f>_xlfn.XLOOKUP($A2507,Load!$B:$B,Load!L:L,0,)</f>
        <v>0</v>
      </c>
      <c r="L2507">
        <f>_xlfn.XLOOKUP($A2507,Load!$B:$B,Load!M:M,0,)</f>
        <v>0</v>
      </c>
    </row>
    <row r="2508" spans="1:12" x14ac:dyDescent="0.25">
      <c r="A2508" t="s">
        <v>121</v>
      </c>
      <c r="B2508" t="str">
        <f>_xlfn.XLOOKUP($A2508,Load!$B:$B,Load!C:C,0,)</f>
        <v>HARIBO</v>
      </c>
      <c r="C2508" t="str">
        <f>_xlfn.XLOOKUP($A2508,Load!$B:$B,Load!D:D,0,)</f>
        <v>Non-Chocolate Candy Only</v>
      </c>
      <c r="D2508" t="str">
        <f>_xlfn.XLOOKUP($A2508,Load!$B:$B,Load!E:E,0,)</f>
        <v>Variety / Mixed Flavors (Fruity, Sour, Seasonal Flavors)</v>
      </c>
      <c r="E2508" t="str">
        <f>_xlfn.XLOOKUP($A2508,Load!$B:$B,Load!F:F,0,)</f>
        <v>Gummy</v>
      </c>
      <c r="F2508" t="str">
        <f>_xlfn.XLOOKUP($A2508,Load!$B:$B,Load!G:G,0,)</f>
        <v>Large Multipack (More than 80 ct)</v>
      </c>
      <c r="G2508" t="str">
        <f>_xlfn.XLOOKUP($A2508,Load!$B:$B,Load!H:H,0,)</f>
        <v>Stand-Up Bag</v>
      </c>
      <c r="H2508" t="str">
        <f>_xlfn.XLOOKUP($A2508,Load!$B:$B,Load!I:I,0,)</f>
        <v>Seasonal Shapes (like pumpkins, candy corn, ghost, bats, etc.)</v>
      </c>
      <c r="I2508" t="str">
        <f>_xlfn.XLOOKUP($A2508,Load!$B:$B,Load!J:J,0,)</f>
        <v>Seasonal Graphics (Like Bat, Ghost, Pumpkin, Fall Leaves, Eyeballs, etc.)</v>
      </c>
      <c r="J2508" t="str">
        <f>_xlfn.XLOOKUP($A2508,Load!$B:$B,Load!K:K,0,)</f>
        <v>Fun Size / Treat Size</v>
      </c>
      <c r="K2508" t="str">
        <f>_xlfn.XLOOKUP($A2508,Load!$B:$B,Load!L:L,0,)</f>
        <v>Regular/Original Wrapping</v>
      </c>
      <c r="L2508" t="str">
        <f>_xlfn.XLOOKUP($A2508,Load!$B:$B,Load!M:M,0,)</f>
        <v>Multiple Brands / Variety Flavors or Form</v>
      </c>
    </row>
    <row r="2509" spans="1:12" x14ac:dyDescent="0.25">
      <c r="B2509">
        <f>_xlfn.XLOOKUP($A2509,Load!$B:$B,Load!C:C,0,)</f>
        <v>0</v>
      </c>
      <c r="C2509">
        <f>_xlfn.XLOOKUP($A2509,Load!$B:$B,Load!D:D,0,)</f>
        <v>0</v>
      </c>
      <c r="D2509">
        <f>_xlfn.XLOOKUP($A2509,Load!$B:$B,Load!E:E,0,)</f>
        <v>0</v>
      </c>
      <c r="E2509">
        <f>_xlfn.XLOOKUP($A2509,Load!$B:$B,Load!F:F,0,)</f>
        <v>0</v>
      </c>
      <c r="F2509">
        <f>_xlfn.XLOOKUP($A2509,Load!$B:$B,Load!G:G,0,)</f>
        <v>0</v>
      </c>
      <c r="G2509">
        <f>_xlfn.XLOOKUP($A2509,Load!$B:$B,Load!H:H,0,)</f>
        <v>0</v>
      </c>
      <c r="H2509">
        <f>_xlfn.XLOOKUP($A2509,Load!$B:$B,Load!I:I,0,)</f>
        <v>0</v>
      </c>
      <c r="I2509">
        <f>_xlfn.XLOOKUP($A2509,Load!$B:$B,Load!J:J,0,)</f>
        <v>0</v>
      </c>
      <c r="J2509">
        <f>_xlfn.XLOOKUP($A2509,Load!$B:$B,Load!K:K,0,)</f>
        <v>0</v>
      </c>
      <c r="K2509">
        <f>_xlfn.XLOOKUP($A2509,Load!$B:$B,Load!L:L,0,)</f>
        <v>0</v>
      </c>
      <c r="L2509">
        <f>_xlfn.XLOOKUP($A2509,Load!$B:$B,Load!M:M,0,)</f>
        <v>0</v>
      </c>
    </row>
    <row r="2510" spans="1:12" x14ac:dyDescent="0.25">
      <c r="B2510">
        <f>_xlfn.XLOOKUP($A2510,Load!$B:$B,Load!C:C,0,)</f>
        <v>0</v>
      </c>
      <c r="C2510">
        <f>_xlfn.XLOOKUP($A2510,Load!$B:$B,Load!D:D,0,)</f>
        <v>0</v>
      </c>
      <c r="D2510">
        <f>_xlfn.XLOOKUP($A2510,Load!$B:$B,Load!E:E,0,)</f>
        <v>0</v>
      </c>
      <c r="E2510">
        <f>_xlfn.XLOOKUP($A2510,Load!$B:$B,Load!F:F,0,)</f>
        <v>0</v>
      </c>
      <c r="F2510">
        <f>_xlfn.XLOOKUP($A2510,Load!$B:$B,Load!G:G,0,)</f>
        <v>0</v>
      </c>
      <c r="G2510">
        <f>_xlfn.XLOOKUP($A2510,Load!$B:$B,Load!H:H,0,)</f>
        <v>0</v>
      </c>
      <c r="H2510">
        <f>_xlfn.XLOOKUP($A2510,Load!$B:$B,Load!I:I,0,)</f>
        <v>0</v>
      </c>
      <c r="I2510">
        <f>_xlfn.XLOOKUP($A2510,Load!$B:$B,Load!J:J,0,)</f>
        <v>0</v>
      </c>
      <c r="J2510">
        <f>_xlfn.XLOOKUP($A2510,Load!$B:$B,Load!K:K,0,)</f>
        <v>0</v>
      </c>
      <c r="K2510">
        <f>_xlfn.XLOOKUP($A2510,Load!$B:$B,Load!L:L,0,)</f>
        <v>0</v>
      </c>
      <c r="L2510">
        <f>_xlfn.XLOOKUP($A2510,Load!$B:$B,Load!M:M,0,)</f>
        <v>0</v>
      </c>
    </row>
    <row r="2511" spans="1:12" x14ac:dyDescent="0.25">
      <c r="B2511">
        <f>_xlfn.XLOOKUP($A2511,Load!$B:$B,Load!C:C,0,)</f>
        <v>0</v>
      </c>
      <c r="C2511">
        <f>_xlfn.XLOOKUP($A2511,Load!$B:$B,Load!D:D,0,)</f>
        <v>0</v>
      </c>
      <c r="D2511">
        <f>_xlfn.XLOOKUP($A2511,Load!$B:$B,Load!E:E,0,)</f>
        <v>0</v>
      </c>
      <c r="E2511">
        <f>_xlfn.XLOOKUP($A2511,Load!$B:$B,Load!F:F,0,)</f>
        <v>0</v>
      </c>
      <c r="F2511">
        <f>_xlfn.XLOOKUP($A2511,Load!$B:$B,Load!G:G,0,)</f>
        <v>0</v>
      </c>
      <c r="G2511">
        <f>_xlfn.XLOOKUP($A2511,Load!$B:$B,Load!H:H,0,)</f>
        <v>0</v>
      </c>
      <c r="H2511">
        <f>_xlfn.XLOOKUP($A2511,Load!$B:$B,Load!I:I,0,)</f>
        <v>0</v>
      </c>
      <c r="I2511">
        <f>_xlfn.XLOOKUP($A2511,Load!$B:$B,Load!J:J,0,)</f>
        <v>0</v>
      </c>
      <c r="J2511">
        <f>_xlfn.XLOOKUP($A2511,Load!$B:$B,Load!K:K,0,)</f>
        <v>0</v>
      </c>
      <c r="K2511">
        <f>_xlfn.XLOOKUP($A2511,Load!$B:$B,Load!L:L,0,)</f>
        <v>0</v>
      </c>
      <c r="L2511">
        <f>_xlfn.XLOOKUP($A2511,Load!$B:$B,Load!M:M,0,)</f>
        <v>0</v>
      </c>
    </row>
    <row r="2512" spans="1:12" x14ac:dyDescent="0.25">
      <c r="A2512" t="s">
        <v>304</v>
      </c>
      <c r="B2512" t="str">
        <f>_xlfn.XLOOKUP($A2512,Load!$B:$B,Load!C:C,0,)</f>
        <v>Warheads</v>
      </c>
      <c r="C2512" t="str">
        <f>_xlfn.XLOOKUP($A2512,Load!$B:$B,Load!D:D,0,)</f>
        <v>Non-Chocolate Candy Only</v>
      </c>
      <c r="D2512" t="str">
        <f>_xlfn.XLOOKUP($A2512,Load!$B:$B,Load!E:E,0,)</f>
        <v>Sour</v>
      </c>
      <c r="E2512" t="str">
        <f>_xlfn.XLOOKUP($A2512,Load!$B:$B,Load!F:F,0,)</f>
        <v>Chewy</v>
      </c>
      <c r="F2512" t="str">
        <f>_xlfn.XLOOKUP($A2512,Load!$B:$B,Load!G:G,0,)</f>
        <v>Medium Multipack (40–80 ct)</v>
      </c>
      <c r="G2512" t="str">
        <f>_xlfn.XLOOKUP($A2512,Load!$B:$B,Load!H:H,0,)</f>
        <v>Laydown Bag</v>
      </c>
      <c r="H2512" t="str">
        <f>_xlfn.XLOOKUP($A2512,Load!$B:$B,Load!I:I,0,)</f>
        <v>Everyday Candy Shapes (like Original, Gummy bear, Fruit, Jewels, etc.)</v>
      </c>
      <c r="I2512" t="str">
        <f>_xlfn.XLOOKUP($A2512,Load!$B:$B,Load!J:J,0,)</f>
        <v>Seasonal Graphics (Like Bat, Ghost, Pumpkin, Fall Leaves, Eyeballs, etc.)</v>
      </c>
      <c r="J2512" t="str">
        <f>_xlfn.XLOOKUP($A2512,Load!$B:$B,Load!K:K,0,)</f>
        <v>Fun Size / Treat Size</v>
      </c>
      <c r="K2512" t="str">
        <f>_xlfn.XLOOKUP($A2512,Load!$B:$B,Load!L:L,0,)</f>
        <v>Regular/Original Wrapping</v>
      </c>
      <c r="L2512" t="str">
        <f>_xlfn.XLOOKUP($A2512,Load!$B:$B,Load!M:M,0,)</f>
        <v>Single Brand / Single Flavor or Form</v>
      </c>
    </row>
    <row r="2513" spans="1:12" x14ac:dyDescent="0.25">
      <c r="B2513">
        <f>_xlfn.XLOOKUP($A2513,Load!$B:$B,Load!C:C,0,)</f>
        <v>0</v>
      </c>
      <c r="C2513">
        <f>_xlfn.XLOOKUP($A2513,Load!$B:$B,Load!D:D,0,)</f>
        <v>0</v>
      </c>
      <c r="D2513">
        <f>_xlfn.XLOOKUP($A2513,Load!$B:$B,Load!E:E,0,)</f>
        <v>0</v>
      </c>
      <c r="E2513">
        <f>_xlfn.XLOOKUP($A2513,Load!$B:$B,Load!F:F,0,)</f>
        <v>0</v>
      </c>
      <c r="F2513">
        <f>_xlfn.XLOOKUP($A2513,Load!$B:$B,Load!G:G,0,)</f>
        <v>0</v>
      </c>
      <c r="G2513">
        <f>_xlfn.XLOOKUP($A2513,Load!$B:$B,Load!H:H,0,)</f>
        <v>0</v>
      </c>
      <c r="H2513">
        <f>_xlfn.XLOOKUP($A2513,Load!$B:$B,Load!I:I,0,)</f>
        <v>0</v>
      </c>
      <c r="I2513">
        <f>_xlfn.XLOOKUP($A2513,Load!$B:$B,Load!J:J,0,)</f>
        <v>0</v>
      </c>
      <c r="J2513">
        <f>_xlfn.XLOOKUP($A2513,Load!$B:$B,Load!K:K,0,)</f>
        <v>0</v>
      </c>
      <c r="K2513">
        <f>_xlfn.XLOOKUP($A2513,Load!$B:$B,Load!L:L,0,)</f>
        <v>0</v>
      </c>
      <c r="L2513">
        <f>_xlfn.XLOOKUP($A2513,Load!$B:$B,Load!M:M,0,)</f>
        <v>0</v>
      </c>
    </row>
    <row r="2514" spans="1:12" x14ac:dyDescent="0.25">
      <c r="B2514">
        <f>_xlfn.XLOOKUP($A2514,Load!$B:$B,Load!C:C,0,)</f>
        <v>0</v>
      </c>
      <c r="C2514">
        <f>_xlfn.XLOOKUP($A2514,Load!$B:$B,Load!D:D,0,)</f>
        <v>0</v>
      </c>
      <c r="D2514">
        <f>_xlfn.XLOOKUP($A2514,Load!$B:$B,Load!E:E,0,)</f>
        <v>0</v>
      </c>
      <c r="E2514">
        <f>_xlfn.XLOOKUP($A2514,Load!$B:$B,Load!F:F,0,)</f>
        <v>0</v>
      </c>
      <c r="F2514">
        <f>_xlfn.XLOOKUP($A2514,Load!$B:$B,Load!G:G,0,)</f>
        <v>0</v>
      </c>
      <c r="G2514">
        <f>_xlfn.XLOOKUP($A2514,Load!$B:$B,Load!H:H,0,)</f>
        <v>0</v>
      </c>
      <c r="H2514">
        <f>_xlfn.XLOOKUP($A2514,Load!$B:$B,Load!I:I,0,)</f>
        <v>0</v>
      </c>
      <c r="I2514">
        <f>_xlfn.XLOOKUP($A2514,Load!$B:$B,Load!J:J,0,)</f>
        <v>0</v>
      </c>
      <c r="J2514">
        <f>_xlfn.XLOOKUP($A2514,Load!$B:$B,Load!K:K,0,)</f>
        <v>0</v>
      </c>
      <c r="K2514">
        <f>_xlfn.XLOOKUP($A2514,Load!$B:$B,Load!L:L,0,)</f>
        <v>0</v>
      </c>
      <c r="L2514">
        <f>_xlfn.XLOOKUP($A2514,Load!$B:$B,Load!M:M,0,)</f>
        <v>0</v>
      </c>
    </row>
    <row r="2515" spans="1:12" x14ac:dyDescent="0.25">
      <c r="B2515">
        <f>_xlfn.XLOOKUP($A2515,Load!$B:$B,Load!C:C,0,)</f>
        <v>0</v>
      </c>
      <c r="C2515">
        <f>_xlfn.XLOOKUP($A2515,Load!$B:$B,Load!D:D,0,)</f>
        <v>0</v>
      </c>
      <c r="D2515">
        <f>_xlfn.XLOOKUP($A2515,Load!$B:$B,Load!E:E,0,)</f>
        <v>0</v>
      </c>
      <c r="E2515">
        <f>_xlfn.XLOOKUP($A2515,Load!$B:$B,Load!F:F,0,)</f>
        <v>0</v>
      </c>
      <c r="F2515">
        <f>_xlfn.XLOOKUP($A2515,Load!$B:$B,Load!G:G,0,)</f>
        <v>0</v>
      </c>
      <c r="G2515">
        <f>_xlfn.XLOOKUP($A2515,Load!$B:$B,Load!H:H,0,)</f>
        <v>0</v>
      </c>
      <c r="H2515">
        <f>_xlfn.XLOOKUP($A2515,Load!$B:$B,Load!I:I,0,)</f>
        <v>0</v>
      </c>
      <c r="I2515">
        <f>_xlfn.XLOOKUP($A2515,Load!$B:$B,Load!J:J,0,)</f>
        <v>0</v>
      </c>
      <c r="J2515">
        <f>_xlfn.XLOOKUP($A2515,Load!$B:$B,Load!K:K,0,)</f>
        <v>0</v>
      </c>
      <c r="K2515">
        <f>_xlfn.XLOOKUP($A2515,Load!$B:$B,Load!L:L,0,)</f>
        <v>0</v>
      </c>
      <c r="L2515">
        <f>_xlfn.XLOOKUP($A2515,Load!$B:$B,Load!M:M,0,)</f>
        <v>0</v>
      </c>
    </row>
    <row r="2516" spans="1:12" x14ac:dyDescent="0.25">
      <c r="A2516" t="s">
        <v>202</v>
      </c>
      <c r="B2516" t="str">
        <f>_xlfn.XLOOKUP($A2516,Load!$B:$B,Load!C:C,0,)</f>
        <v>Mars Variety Pack</v>
      </c>
      <c r="C2516" t="str">
        <f>_xlfn.XLOOKUP($A2516,Load!$B:$B,Load!D:D,0,)</f>
        <v>Mix of Chocolate and Non-Chocolate Candy</v>
      </c>
      <c r="D2516" t="str">
        <f>_xlfn.XLOOKUP($A2516,Load!$B:$B,Load!E:E,0,)</f>
        <v>Variety / Mixed Flavors (Fruity, Sour, Seasonal Flavors)</v>
      </c>
      <c r="E2516" t="str">
        <f>_xlfn.XLOOKUP($A2516,Load!$B:$B,Load!F:F,0,)</f>
        <v>Mixed / Combo Packs (Gummy, Chewy, Taffy, etc.)</v>
      </c>
      <c r="F2516" t="str">
        <f>_xlfn.XLOOKUP($A2516,Load!$B:$B,Load!G:G,0,)</f>
        <v>Large Multipack (More than 80 ct)</v>
      </c>
      <c r="G2516" t="str">
        <f>_xlfn.XLOOKUP($A2516,Load!$B:$B,Load!H:H,0,)</f>
        <v>Stand-Up Bag</v>
      </c>
      <c r="H2516" t="str">
        <f>_xlfn.XLOOKUP($A2516,Load!$B:$B,Load!I:I,0,)</f>
        <v>Everyday Candy Shapes (like Original, Gummy bear, Fruit, Jewels, etc.)</v>
      </c>
      <c r="I2516" t="str">
        <f>_xlfn.XLOOKUP($A2516,Load!$B:$B,Load!J:J,0,)</f>
        <v>Everyday Graphics</v>
      </c>
      <c r="J2516" t="str">
        <f>_xlfn.XLOOKUP($A2516,Load!$B:$B,Load!K:K,0,)</f>
        <v>Fun Size / Treat Size</v>
      </c>
      <c r="K2516" t="str">
        <f>_xlfn.XLOOKUP($A2516,Load!$B:$B,Load!L:L,0,)</f>
        <v>Regular/Original Wrapping</v>
      </c>
      <c r="L2516" t="str">
        <f>_xlfn.XLOOKUP($A2516,Load!$B:$B,Load!M:M,0,)</f>
        <v>Multiple Brands / Variety Flavors or Form</v>
      </c>
    </row>
    <row r="2517" spans="1:12" x14ac:dyDescent="0.25">
      <c r="A2517" t="s">
        <v>186</v>
      </c>
      <c r="B2517" t="str">
        <f>_xlfn.XLOOKUP($A2517,Load!$B:$B,Load!C:C,0,)</f>
        <v>Mars Variety Pack</v>
      </c>
      <c r="C2517" t="str">
        <f>_xlfn.XLOOKUP($A2517,Load!$B:$B,Load!D:D,0,)</f>
        <v>Mix of Chocolate and Non-Chocolate Candy</v>
      </c>
      <c r="D2517" t="str">
        <f>_xlfn.XLOOKUP($A2517,Load!$B:$B,Load!E:E,0,)</f>
        <v>Variety / Mixed Flavors (Fruity, Sour, Seasonal Flavors)</v>
      </c>
      <c r="E2517" t="str">
        <f>_xlfn.XLOOKUP($A2517,Load!$B:$B,Load!F:F,0,)</f>
        <v>Mixed / Combo Packs (Gummy, Chewy, Taffy, etc.)</v>
      </c>
      <c r="F2517" t="str">
        <f>_xlfn.XLOOKUP($A2517,Load!$B:$B,Load!G:G,0,)</f>
        <v>Large Multipack (More than 80 ct)</v>
      </c>
      <c r="G2517" t="str">
        <f>_xlfn.XLOOKUP($A2517,Load!$B:$B,Load!H:H,0,)</f>
        <v>Stand-Up Bag</v>
      </c>
      <c r="H2517" t="str">
        <f>_xlfn.XLOOKUP($A2517,Load!$B:$B,Load!I:I,0,)</f>
        <v>Everyday Candy Shapes (like Original, Gummy bear, Fruit, Jewels, etc.)</v>
      </c>
      <c r="I2517" t="str">
        <f>_xlfn.XLOOKUP($A2517,Load!$B:$B,Load!J:J,0,)</f>
        <v>Seasonal Graphics (Like Bat, Ghost, Pumpkin, Fall Leaves, Eyeballs, etc.)</v>
      </c>
      <c r="J2517" t="str">
        <f>_xlfn.XLOOKUP($A2517,Load!$B:$B,Load!K:K,0,)</f>
        <v>Fun Size / Treat Size</v>
      </c>
      <c r="K2517" t="str">
        <f>_xlfn.XLOOKUP($A2517,Load!$B:$B,Load!L:L,0,)</f>
        <v>Regular/Original Wrapping</v>
      </c>
      <c r="L2517" t="str">
        <f>_xlfn.XLOOKUP($A2517,Load!$B:$B,Load!M:M,0,)</f>
        <v>Multiple Brands / Variety Flavors or Form</v>
      </c>
    </row>
    <row r="2518" spans="1:12" x14ac:dyDescent="0.25">
      <c r="A2518" t="s">
        <v>133</v>
      </c>
      <c r="B2518" t="str">
        <f>_xlfn.XLOOKUP($A2518,Load!$B:$B,Load!C:C,0,)</f>
        <v>Hershey's</v>
      </c>
      <c r="C2518" t="str">
        <f>_xlfn.XLOOKUP($A2518,Load!$B:$B,Load!D:D,0,)</f>
        <v>Non-Chocolate Candy Only</v>
      </c>
      <c r="D2518" t="str">
        <f>_xlfn.XLOOKUP($A2518,Load!$B:$B,Load!E:E,0,)</f>
        <v>Variety / Mixed Flavors (Fruity, Sour, Seasonal Flavors)</v>
      </c>
      <c r="E2518" t="str">
        <f>_xlfn.XLOOKUP($A2518,Load!$B:$B,Load!F:F,0,)</f>
        <v>Mixed / Combo Packs (Gummy, Chewy, Taffy, etc.)</v>
      </c>
      <c r="F2518" t="str">
        <f>_xlfn.XLOOKUP($A2518,Load!$B:$B,Load!G:G,0,)</f>
        <v>Large Multipack (More than 80 ct)</v>
      </c>
      <c r="G2518" t="str">
        <f>_xlfn.XLOOKUP($A2518,Load!$B:$B,Load!H:H,0,)</f>
        <v>Stand-Up Bag</v>
      </c>
      <c r="H2518" t="str">
        <f>_xlfn.XLOOKUP($A2518,Load!$B:$B,Load!I:I,0,)</f>
        <v>Everyday Candy Shapes (like Original, Gummy bear, Fruit, Jewels, etc.)</v>
      </c>
      <c r="I2518" t="str">
        <f>_xlfn.XLOOKUP($A2518,Load!$B:$B,Load!J:J,0,)</f>
        <v>Seasonal Graphics (Like Bat, Ghost, Pumpkin, Fall Leaves, Eyeballs, etc.)</v>
      </c>
      <c r="J2518" t="str">
        <f>_xlfn.XLOOKUP($A2518,Load!$B:$B,Load!K:K,0,)</f>
        <v>Fun Size / Treat Size</v>
      </c>
      <c r="K2518" t="str">
        <f>_xlfn.XLOOKUP($A2518,Load!$B:$B,Load!L:L,0,)</f>
        <v>Regular/Original Wrapping</v>
      </c>
      <c r="L2518" t="str">
        <f>_xlfn.XLOOKUP($A2518,Load!$B:$B,Load!M:M,0,)</f>
        <v>Multiple Brands / Variety Flavors or Form</v>
      </c>
    </row>
    <row r="2519" spans="1:12" x14ac:dyDescent="0.25">
      <c r="B2519">
        <f>_xlfn.XLOOKUP($A2519,Load!$B:$B,Load!C:C,0,)</f>
        <v>0</v>
      </c>
      <c r="C2519">
        <f>_xlfn.XLOOKUP($A2519,Load!$B:$B,Load!D:D,0,)</f>
        <v>0</v>
      </c>
      <c r="D2519">
        <f>_xlfn.XLOOKUP($A2519,Load!$B:$B,Load!E:E,0,)</f>
        <v>0</v>
      </c>
      <c r="E2519">
        <f>_xlfn.XLOOKUP($A2519,Load!$B:$B,Load!F:F,0,)</f>
        <v>0</v>
      </c>
      <c r="F2519">
        <f>_xlfn.XLOOKUP($A2519,Load!$B:$B,Load!G:G,0,)</f>
        <v>0</v>
      </c>
      <c r="G2519">
        <f>_xlfn.XLOOKUP($A2519,Load!$B:$B,Load!H:H,0,)</f>
        <v>0</v>
      </c>
      <c r="H2519">
        <f>_xlfn.XLOOKUP($A2519,Load!$B:$B,Load!I:I,0,)</f>
        <v>0</v>
      </c>
      <c r="I2519">
        <f>_xlfn.XLOOKUP($A2519,Load!$B:$B,Load!J:J,0,)</f>
        <v>0</v>
      </c>
      <c r="J2519">
        <f>_xlfn.XLOOKUP($A2519,Load!$B:$B,Load!K:K,0,)</f>
        <v>0</v>
      </c>
      <c r="K2519">
        <f>_xlfn.XLOOKUP($A2519,Load!$B:$B,Load!L:L,0,)</f>
        <v>0</v>
      </c>
      <c r="L2519">
        <f>_xlfn.XLOOKUP($A2519,Load!$B:$B,Load!M:M,0,)</f>
        <v>0</v>
      </c>
    </row>
    <row r="2520" spans="1:12" x14ac:dyDescent="0.25">
      <c r="B2520">
        <f>_xlfn.XLOOKUP($A2520,Load!$B:$B,Load!C:C,0,)</f>
        <v>0</v>
      </c>
      <c r="C2520">
        <f>_xlfn.XLOOKUP($A2520,Load!$B:$B,Load!D:D,0,)</f>
        <v>0</v>
      </c>
      <c r="D2520">
        <f>_xlfn.XLOOKUP($A2520,Load!$B:$B,Load!E:E,0,)</f>
        <v>0</v>
      </c>
      <c r="E2520">
        <f>_xlfn.XLOOKUP($A2520,Load!$B:$B,Load!F:F,0,)</f>
        <v>0</v>
      </c>
      <c r="F2520">
        <f>_xlfn.XLOOKUP($A2520,Load!$B:$B,Load!G:G,0,)</f>
        <v>0</v>
      </c>
      <c r="G2520">
        <f>_xlfn.XLOOKUP($A2520,Load!$B:$B,Load!H:H,0,)</f>
        <v>0</v>
      </c>
      <c r="H2520">
        <f>_xlfn.XLOOKUP($A2520,Load!$B:$B,Load!I:I,0,)</f>
        <v>0</v>
      </c>
      <c r="I2520">
        <f>_xlfn.XLOOKUP($A2520,Load!$B:$B,Load!J:J,0,)</f>
        <v>0</v>
      </c>
      <c r="J2520">
        <f>_xlfn.XLOOKUP($A2520,Load!$B:$B,Load!K:K,0,)</f>
        <v>0</v>
      </c>
      <c r="K2520">
        <f>_xlfn.XLOOKUP($A2520,Load!$B:$B,Load!L:L,0,)</f>
        <v>0</v>
      </c>
      <c r="L2520">
        <f>_xlfn.XLOOKUP($A2520,Load!$B:$B,Load!M:M,0,)</f>
        <v>0</v>
      </c>
    </row>
    <row r="2521" spans="1:12" x14ac:dyDescent="0.25">
      <c r="B2521">
        <f>_xlfn.XLOOKUP($A2521,Load!$B:$B,Load!C:C,0,)</f>
        <v>0</v>
      </c>
      <c r="C2521">
        <f>_xlfn.XLOOKUP($A2521,Load!$B:$B,Load!D:D,0,)</f>
        <v>0</v>
      </c>
      <c r="D2521">
        <f>_xlfn.XLOOKUP($A2521,Load!$B:$B,Load!E:E,0,)</f>
        <v>0</v>
      </c>
      <c r="E2521">
        <f>_xlfn.XLOOKUP($A2521,Load!$B:$B,Load!F:F,0,)</f>
        <v>0</v>
      </c>
      <c r="F2521">
        <f>_xlfn.XLOOKUP($A2521,Load!$B:$B,Load!G:G,0,)</f>
        <v>0</v>
      </c>
      <c r="G2521">
        <f>_xlfn.XLOOKUP($A2521,Load!$B:$B,Load!H:H,0,)</f>
        <v>0</v>
      </c>
      <c r="H2521">
        <f>_xlfn.XLOOKUP($A2521,Load!$B:$B,Load!I:I,0,)</f>
        <v>0</v>
      </c>
      <c r="I2521">
        <f>_xlfn.XLOOKUP($A2521,Load!$B:$B,Load!J:J,0,)</f>
        <v>0</v>
      </c>
      <c r="J2521">
        <f>_xlfn.XLOOKUP($A2521,Load!$B:$B,Load!K:K,0,)</f>
        <v>0</v>
      </c>
      <c r="K2521">
        <f>_xlfn.XLOOKUP($A2521,Load!$B:$B,Load!L:L,0,)</f>
        <v>0</v>
      </c>
      <c r="L2521">
        <f>_xlfn.XLOOKUP($A2521,Load!$B:$B,Load!M:M,0,)</f>
        <v>0</v>
      </c>
    </row>
    <row r="2522" spans="1:12" x14ac:dyDescent="0.25">
      <c r="A2522" t="s">
        <v>128</v>
      </c>
      <c r="B2522" t="str">
        <f>_xlfn.XLOOKUP($A2522,Load!$B:$B,Load!C:C,0,)</f>
        <v>HARIBO</v>
      </c>
      <c r="C2522" t="str">
        <f>_xlfn.XLOOKUP($A2522,Load!$B:$B,Load!D:D,0,)</f>
        <v>Non-Chocolate Candy Only</v>
      </c>
      <c r="D2522" t="str">
        <f>_xlfn.XLOOKUP($A2522,Load!$B:$B,Load!E:E,0,)</f>
        <v>Fruit Flavor (Cherry, Grape, Apple, Citrus, Tropical Fruit)</v>
      </c>
      <c r="E2522" t="str">
        <f>_xlfn.XLOOKUP($A2522,Load!$B:$B,Load!F:F,0,)</f>
        <v>Gummy</v>
      </c>
      <c r="F2522" t="str">
        <f>_xlfn.XLOOKUP($A2522,Load!$B:$B,Load!G:G,0,)</f>
        <v>Medium Multipack (40–80 ct)</v>
      </c>
      <c r="G2522" t="str">
        <f>_xlfn.XLOOKUP($A2522,Load!$B:$B,Load!H:H,0,)</f>
        <v>Plastic Cup / Container</v>
      </c>
      <c r="H2522" t="str">
        <f>_xlfn.XLOOKUP($A2522,Load!$B:$B,Load!I:I,0,)</f>
        <v>Everyday Candy Shapes (like Original, Gummy bear, Fruit, Jewels, etc.)</v>
      </c>
      <c r="I2522" t="str">
        <f>_xlfn.XLOOKUP($A2522,Load!$B:$B,Load!J:J,0,)</f>
        <v>Everyday Graphics</v>
      </c>
      <c r="J2522" t="str">
        <f>_xlfn.XLOOKUP($A2522,Load!$B:$B,Load!K:K,0,)</f>
        <v>Small Pieces (Tiny bite size candies)</v>
      </c>
      <c r="K2522" t="str">
        <f>_xlfn.XLOOKUP($A2522,Load!$B:$B,Load!L:L,0,)</f>
        <v>Regular/Original Wrapping</v>
      </c>
      <c r="L2522" t="str">
        <f>_xlfn.XLOOKUP($A2522,Load!$B:$B,Load!M:M,0,)</f>
        <v>Single Brand / Variety Flavors or Form</v>
      </c>
    </row>
    <row r="2523" spans="1:12" x14ac:dyDescent="0.25">
      <c r="B2523">
        <f>_xlfn.XLOOKUP($A2523,Load!$B:$B,Load!C:C,0,)</f>
        <v>0</v>
      </c>
      <c r="C2523">
        <f>_xlfn.XLOOKUP($A2523,Load!$B:$B,Load!D:D,0,)</f>
        <v>0</v>
      </c>
      <c r="D2523">
        <f>_xlfn.XLOOKUP($A2523,Load!$B:$B,Load!E:E,0,)</f>
        <v>0</v>
      </c>
      <c r="E2523">
        <f>_xlfn.XLOOKUP($A2523,Load!$B:$B,Load!F:F,0,)</f>
        <v>0</v>
      </c>
      <c r="F2523">
        <f>_xlfn.XLOOKUP($A2523,Load!$B:$B,Load!G:G,0,)</f>
        <v>0</v>
      </c>
      <c r="G2523">
        <f>_xlfn.XLOOKUP($A2523,Load!$B:$B,Load!H:H,0,)</f>
        <v>0</v>
      </c>
      <c r="H2523">
        <f>_xlfn.XLOOKUP($A2523,Load!$B:$B,Load!I:I,0,)</f>
        <v>0</v>
      </c>
      <c r="I2523">
        <f>_xlfn.XLOOKUP($A2523,Load!$B:$B,Load!J:J,0,)</f>
        <v>0</v>
      </c>
      <c r="J2523">
        <f>_xlfn.XLOOKUP($A2523,Load!$B:$B,Load!K:K,0,)</f>
        <v>0</v>
      </c>
      <c r="K2523">
        <f>_xlfn.XLOOKUP($A2523,Load!$B:$B,Load!L:L,0,)</f>
        <v>0</v>
      </c>
      <c r="L2523">
        <f>_xlfn.XLOOKUP($A2523,Load!$B:$B,Load!M:M,0,)</f>
        <v>0</v>
      </c>
    </row>
    <row r="2524" spans="1:12" x14ac:dyDescent="0.25">
      <c r="B2524">
        <f>_xlfn.XLOOKUP($A2524,Load!$B:$B,Load!C:C,0,)</f>
        <v>0</v>
      </c>
      <c r="C2524">
        <f>_xlfn.XLOOKUP($A2524,Load!$B:$B,Load!D:D,0,)</f>
        <v>0</v>
      </c>
      <c r="D2524">
        <f>_xlfn.XLOOKUP($A2524,Load!$B:$B,Load!E:E,0,)</f>
        <v>0</v>
      </c>
      <c r="E2524">
        <f>_xlfn.XLOOKUP($A2524,Load!$B:$B,Load!F:F,0,)</f>
        <v>0</v>
      </c>
      <c r="F2524">
        <f>_xlfn.XLOOKUP($A2524,Load!$B:$B,Load!G:G,0,)</f>
        <v>0</v>
      </c>
      <c r="G2524">
        <f>_xlfn.XLOOKUP($A2524,Load!$B:$B,Load!H:H,0,)</f>
        <v>0</v>
      </c>
      <c r="H2524">
        <f>_xlfn.XLOOKUP($A2524,Load!$B:$B,Load!I:I,0,)</f>
        <v>0</v>
      </c>
      <c r="I2524">
        <f>_xlfn.XLOOKUP($A2524,Load!$B:$B,Load!J:J,0,)</f>
        <v>0</v>
      </c>
      <c r="J2524">
        <f>_xlfn.XLOOKUP($A2524,Load!$B:$B,Load!K:K,0,)</f>
        <v>0</v>
      </c>
      <c r="K2524">
        <f>_xlfn.XLOOKUP($A2524,Load!$B:$B,Load!L:L,0,)</f>
        <v>0</v>
      </c>
      <c r="L2524">
        <f>_xlfn.XLOOKUP($A2524,Load!$B:$B,Load!M:M,0,)</f>
        <v>0</v>
      </c>
    </row>
    <row r="2525" spans="1:12" x14ac:dyDescent="0.25">
      <c r="B2525">
        <f>_xlfn.XLOOKUP($A2525,Load!$B:$B,Load!C:C,0,)</f>
        <v>0</v>
      </c>
      <c r="C2525">
        <f>_xlfn.XLOOKUP($A2525,Load!$B:$B,Load!D:D,0,)</f>
        <v>0</v>
      </c>
      <c r="D2525">
        <f>_xlfn.XLOOKUP($A2525,Load!$B:$B,Load!E:E,0,)</f>
        <v>0</v>
      </c>
      <c r="E2525">
        <f>_xlfn.XLOOKUP($A2525,Load!$B:$B,Load!F:F,0,)</f>
        <v>0</v>
      </c>
      <c r="F2525">
        <f>_xlfn.XLOOKUP($A2525,Load!$B:$B,Load!G:G,0,)</f>
        <v>0</v>
      </c>
      <c r="G2525">
        <f>_xlfn.XLOOKUP($A2525,Load!$B:$B,Load!H:H,0,)</f>
        <v>0</v>
      </c>
      <c r="H2525">
        <f>_xlfn.XLOOKUP($A2525,Load!$B:$B,Load!I:I,0,)</f>
        <v>0</v>
      </c>
      <c r="I2525">
        <f>_xlfn.XLOOKUP($A2525,Load!$B:$B,Load!J:J,0,)</f>
        <v>0</v>
      </c>
      <c r="J2525">
        <f>_xlfn.XLOOKUP($A2525,Load!$B:$B,Load!K:K,0,)</f>
        <v>0</v>
      </c>
      <c r="K2525">
        <f>_xlfn.XLOOKUP($A2525,Load!$B:$B,Load!L:L,0,)</f>
        <v>0</v>
      </c>
      <c r="L2525">
        <f>_xlfn.XLOOKUP($A2525,Load!$B:$B,Load!M:M,0,)</f>
        <v>0</v>
      </c>
    </row>
    <row r="2526" spans="1:12" x14ac:dyDescent="0.25">
      <c r="A2526" t="s">
        <v>297</v>
      </c>
      <c r="B2526" t="str">
        <f>_xlfn.XLOOKUP($A2526,Load!$B:$B,Load!C:C,0,)</f>
        <v>Trolli</v>
      </c>
      <c r="C2526" t="str">
        <f>_xlfn.XLOOKUP($A2526,Load!$B:$B,Load!D:D,0,)</f>
        <v>Non-Chocolate Candy Only</v>
      </c>
      <c r="D2526" t="str">
        <f>_xlfn.XLOOKUP($A2526,Load!$B:$B,Load!E:E,0,)</f>
        <v>Sour</v>
      </c>
      <c r="E2526" t="str">
        <f>_xlfn.XLOOKUP($A2526,Load!$B:$B,Load!F:F,0,)</f>
        <v>Gummy</v>
      </c>
      <c r="F2526" t="str">
        <f>_xlfn.XLOOKUP($A2526,Load!$B:$B,Load!G:G,0,)</f>
        <v>Small Multipack (Less than 40 ct)</v>
      </c>
      <c r="G2526" t="str">
        <f>_xlfn.XLOOKUP($A2526,Load!$B:$B,Load!H:H,0,)</f>
        <v>Peg Bag</v>
      </c>
      <c r="H2526" t="str">
        <f>_xlfn.XLOOKUP($A2526,Load!$B:$B,Load!I:I,0,)</f>
        <v>Everyday Candy Shapes (like Original, Gummy bear, Fruit, Jewels, etc.)</v>
      </c>
      <c r="I2526" t="str">
        <f>_xlfn.XLOOKUP($A2526,Load!$B:$B,Load!J:J,0,)</f>
        <v>Everyday Graphics</v>
      </c>
      <c r="J2526" t="str">
        <f>_xlfn.XLOOKUP($A2526,Load!$B:$B,Load!K:K,0,)</f>
        <v>Fun Size / Treat Size</v>
      </c>
      <c r="K2526" t="str">
        <f>_xlfn.XLOOKUP($A2526,Load!$B:$B,Load!L:L,0,)</f>
        <v>Unwrapped</v>
      </c>
      <c r="L2526" t="str">
        <f>_xlfn.XLOOKUP($A2526,Load!$B:$B,Load!M:M,0,)</f>
        <v>Single Brand / Variety Flavors or Form</v>
      </c>
    </row>
    <row r="2527" spans="1:12" x14ac:dyDescent="0.25">
      <c r="A2527" t="s">
        <v>162</v>
      </c>
      <c r="B2527" t="str">
        <f>_xlfn.XLOOKUP($A2527,Load!$B:$B,Load!C:C,0,)</f>
        <v>Jolly Rancher</v>
      </c>
      <c r="C2527" t="str">
        <f>_xlfn.XLOOKUP($A2527,Load!$B:$B,Load!D:D,0,)</f>
        <v>Non-Chocolate Candy Only</v>
      </c>
      <c r="D2527" t="str">
        <f>_xlfn.XLOOKUP($A2527,Load!$B:$B,Load!E:E,0,)</f>
        <v>Variety / Mixed Flavors (Fruity, Sour, Seasonal Flavors)</v>
      </c>
      <c r="E2527" t="str">
        <f>_xlfn.XLOOKUP($A2527,Load!$B:$B,Load!F:F,0,)</f>
        <v>Gummy</v>
      </c>
      <c r="F2527" t="str">
        <f>_xlfn.XLOOKUP($A2527,Load!$B:$B,Load!G:G,0,)</f>
        <v>Single Pack</v>
      </c>
      <c r="G2527" t="str">
        <f>_xlfn.XLOOKUP($A2527,Load!$B:$B,Load!H:H,0,)</f>
        <v>Peg Bag</v>
      </c>
      <c r="H2527" t="str">
        <f>_xlfn.XLOOKUP($A2527,Load!$B:$B,Load!I:I,0,)</f>
        <v>Seasonal Shapes (like pumpkins, candy corn, ghost, bats, etc.)</v>
      </c>
      <c r="I2527" t="str">
        <f>_xlfn.XLOOKUP($A2527,Load!$B:$B,Load!J:J,0,)</f>
        <v>Seasonal Graphics (Like Bat, Ghost, Pumpkin, Fall Leaves, Eyeballs, etc.)</v>
      </c>
      <c r="J2527" t="str">
        <f>_xlfn.XLOOKUP($A2527,Load!$B:$B,Load!K:K,0,)</f>
        <v>Small Pieces (Tiny bite size candies)</v>
      </c>
      <c r="K2527" t="str">
        <f>_xlfn.XLOOKUP($A2527,Load!$B:$B,Load!L:L,0,)</f>
        <v>Unwrapped</v>
      </c>
      <c r="L2527" t="str">
        <f>_xlfn.XLOOKUP($A2527,Load!$B:$B,Load!M:M,0,)</f>
        <v>Single Brand / Variety Flavors or Form</v>
      </c>
    </row>
    <row r="2528" spans="1:12" x14ac:dyDescent="0.25">
      <c r="A2528" t="s">
        <v>96</v>
      </c>
      <c r="B2528" t="str">
        <f>_xlfn.XLOOKUP($A2528,Load!$B:$B,Load!C:C,0,)</f>
        <v>Ferrero Variety Pack</v>
      </c>
      <c r="C2528" t="str">
        <f>_xlfn.XLOOKUP($A2528,Load!$B:$B,Load!D:D,0,)</f>
        <v>Mix of Chocolate and Non-Chocolate Candy</v>
      </c>
      <c r="D2528" t="str">
        <f>_xlfn.XLOOKUP($A2528,Load!$B:$B,Load!E:E,0,)</f>
        <v>Variety / Mixed Flavors (Fruity, Sour, Seasonal Flavors)</v>
      </c>
      <c r="E2528" t="str">
        <f>_xlfn.XLOOKUP($A2528,Load!$B:$B,Load!F:F,0,)</f>
        <v>Mixed / Combo Packs (Gummy, Chewy, Taffy, etc.)</v>
      </c>
      <c r="F2528" t="str">
        <f>_xlfn.XLOOKUP($A2528,Load!$B:$B,Load!G:G,0,)</f>
        <v>Large Multipack (More than 80 ct)</v>
      </c>
      <c r="G2528" t="str">
        <f>_xlfn.XLOOKUP($A2528,Load!$B:$B,Load!H:H,0,)</f>
        <v>Stand-Up Bag</v>
      </c>
      <c r="H2528" t="str">
        <f>_xlfn.XLOOKUP($A2528,Load!$B:$B,Load!I:I,0,)</f>
        <v>Everyday Candy Shapes (like Original, Gummy bear, Fruit, Jewels, etc.)</v>
      </c>
      <c r="I2528" t="str">
        <f>_xlfn.XLOOKUP($A2528,Load!$B:$B,Load!J:J,0,)</f>
        <v>Seasonal Graphics (Like Bat, Ghost, Pumpkin, Fall Leaves, Eyeballs, etc.)</v>
      </c>
      <c r="J2528" t="str">
        <f>_xlfn.XLOOKUP($A2528,Load!$B:$B,Load!K:K,0,)</f>
        <v>Fun Size / Treat Size</v>
      </c>
      <c r="K2528" t="str">
        <f>_xlfn.XLOOKUP($A2528,Load!$B:$B,Load!L:L,0,)</f>
        <v>Regular/Original Wrapping</v>
      </c>
      <c r="L2528" t="str">
        <f>_xlfn.XLOOKUP($A2528,Load!$B:$B,Load!M:M,0,)</f>
        <v>Multiple Brands / Variety Flavors or Form</v>
      </c>
    </row>
    <row r="2529" spans="1:12" x14ac:dyDescent="0.25">
      <c r="A2529" t="s">
        <v>113</v>
      </c>
      <c r="B2529" t="str">
        <f>_xlfn.XLOOKUP($A2529,Load!$B:$B,Load!C:C,0,)</f>
        <v>Fun Dip</v>
      </c>
      <c r="C2529" t="str">
        <f>_xlfn.XLOOKUP($A2529,Load!$B:$B,Load!D:D,0,)</f>
        <v>Non-Chocolate Candy Only</v>
      </c>
      <c r="D2529" t="str">
        <f>_xlfn.XLOOKUP($A2529,Load!$B:$B,Load!E:E,0,)</f>
        <v>Variety / Mixed Flavors (Fruity, Sour, Seasonal Flavors)</v>
      </c>
      <c r="E2529" t="str">
        <f>_xlfn.XLOOKUP($A2529,Load!$B:$B,Load!F:F,0,)</f>
        <v>Powder / Chalky</v>
      </c>
      <c r="F2529" t="str">
        <f>_xlfn.XLOOKUP($A2529,Load!$B:$B,Load!G:G,0,)</f>
        <v>Medium Multipack (40–80 ct)</v>
      </c>
      <c r="G2529" t="str">
        <f>_xlfn.XLOOKUP($A2529,Load!$B:$B,Load!H:H,0,)</f>
        <v>Box (theatre box, gift box, carton)</v>
      </c>
      <c r="H2529" t="str">
        <f>_xlfn.XLOOKUP($A2529,Load!$B:$B,Load!I:I,0,)</f>
        <v>Everyday Candy Shapes (like Original, Gummy bear, Fruit, Jewels, etc.)</v>
      </c>
      <c r="I2529" t="str">
        <f>_xlfn.XLOOKUP($A2529,Load!$B:$B,Load!J:J,0,)</f>
        <v>Seasonal Graphics (Like Bat, Ghost, Pumpkin, Fall Leaves, Eyeballs, etc.)</v>
      </c>
      <c r="J2529" t="str">
        <f>_xlfn.XLOOKUP($A2529,Load!$B:$B,Load!K:K,0,)</f>
        <v>Fun Size / Treat Size</v>
      </c>
      <c r="K2529" t="str">
        <f>_xlfn.XLOOKUP($A2529,Load!$B:$B,Load!L:L,0,)</f>
        <v>Regular/Original Wrapping</v>
      </c>
      <c r="L2529" t="str">
        <f>_xlfn.XLOOKUP($A2529,Load!$B:$B,Load!M:M,0,)</f>
        <v>Single Brand / Variety Flavors or Form</v>
      </c>
    </row>
    <row r="2530" spans="1:12" x14ac:dyDescent="0.25">
      <c r="B2530">
        <f>_xlfn.XLOOKUP($A2530,Load!$B:$B,Load!C:C,0,)</f>
        <v>0</v>
      </c>
      <c r="C2530">
        <f>_xlfn.XLOOKUP($A2530,Load!$B:$B,Load!D:D,0,)</f>
        <v>0</v>
      </c>
      <c r="D2530">
        <f>_xlfn.XLOOKUP($A2530,Load!$B:$B,Load!E:E,0,)</f>
        <v>0</v>
      </c>
      <c r="E2530">
        <f>_xlfn.XLOOKUP($A2530,Load!$B:$B,Load!F:F,0,)</f>
        <v>0</v>
      </c>
      <c r="F2530">
        <f>_xlfn.XLOOKUP($A2530,Load!$B:$B,Load!G:G,0,)</f>
        <v>0</v>
      </c>
      <c r="G2530">
        <f>_xlfn.XLOOKUP($A2530,Load!$B:$B,Load!H:H,0,)</f>
        <v>0</v>
      </c>
      <c r="H2530">
        <f>_xlfn.XLOOKUP($A2530,Load!$B:$B,Load!I:I,0,)</f>
        <v>0</v>
      </c>
      <c r="I2530">
        <f>_xlfn.XLOOKUP($A2530,Load!$B:$B,Load!J:J,0,)</f>
        <v>0</v>
      </c>
      <c r="J2530">
        <f>_xlfn.XLOOKUP($A2530,Load!$B:$B,Load!K:K,0,)</f>
        <v>0</v>
      </c>
      <c r="K2530">
        <f>_xlfn.XLOOKUP($A2530,Load!$B:$B,Load!L:L,0,)</f>
        <v>0</v>
      </c>
      <c r="L2530">
        <f>_xlfn.XLOOKUP($A2530,Load!$B:$B,Load!M:M,0,)</f>
        <v>0</v>
      </c>
    </row>
    <row r="2531" spans="1:12" x14ac:dyDescent="0.25">
      <c r="B2531">
        <f>_xlfn.XLOOKUP($A2531,Load!$B:$B,Load!C:C,0,)</f>
        <v>0</v>
      </c>
      <c r="C2531">
        <f>_xlfn.XLOOKUP($A2531,Load!$B:$B,Load!D:D,0,)</f>
        <v>0</v>
      </c>
      <c r="D2531">
        <f>_xlfn.XLOOKUP($A2531,Load!$B:$B,Load!E:E,0,)</f>
        <v>0</v>
      </c>
      <c r="E2531">
        <f>_xlfn.XLOOKUP($A2531,Load!$B:$B,Load!F:F,0,)</f>
        <v>0</v>
      </c>
      <c r="F2531">
        <f>_xlfn.XLOOKUP($A2531,Load!$B:$B,Load!G:G,0,)</f>
        <v>0</v>
      </c>
      <c r="G2531">
        <f>_xlfn.XLOOKUP($A2531,Load!$B:$B,Load!H:H,0,)</f>
        <v>0</v>
      </c>
      <c r="H2531">
        <f>_xlfn.XLOOKUP($A2531,Load!$B:$B,Load!I:I,0,)</f>
        <v>0</v>
      </c>
      <c r="I2531">
        <f>_xlfn.XLOOKUP($A2531,Load!$B:$B,Load!J:J,0,)</f>
        <v>0</v>
      </c>
      <c r="J2531">
        <f>_xlfn.XLOOKUP($A2531,Load!$B:$B,Load!K:K,0,)</f>
        <v>0</v>
      </c>
      <c r="K2531">
        <f>_xlfn.XLOOKUP($A2531,Load!$B:$B,Load!L:L,0,)</f>
        <v>0</v>
      </c>
      <c r="L2531">
        <f>_xlfn.XLOOKUP($A2531,Load!$B:$B,Load!M:M,0,)</f>
        <v>0</v>
      </c>
    </row>
    <row r="2532" spans="1:12" x14ac:dyDescent="0.25">
      <c r="B2532">
        <f>_xlfn.XLOOKUP($A2532,Load!$B:$B,Load!C:C,0,)</f>
        <v>0</v>
      </c>
      <c r="C2532">
        <f>_xlfn.XLOOKUP($A2532,Load!$B:$B,Load!D:D,0,)</f>
        <v>0</v>
      </c>
      <c r="D2532">
        <f>_xlfn.XLOOKUP($A2532,Load!$B:$B,Load!E:E,0,)</f>
        <v>0</v>
      </c>
      <c r="E2532">
        <f>_xlfn.XLOOKUP($A2532,Load!$B:$B,Load!F:F,0,)</f>
        <v>0</v>
      </c>
      <c r="F2532">
        <f>_xlfn.XLOOKUP($A2532,Load!$B:$B,Load!G:G,0,)</f>
        <v>0</v>
      </c>
      <c r="G2532">
        <f>_xlfn.XLOOKUP($A2532,Load!$B:$B,Load!H:H,0,)</f>
        <v>0</v>
      </c>
      <c r="H2532">
        <f>_xlfn.XLOOKUP($A2532,Load!$B:$B,Load!I:I,0,)</f>
        <v>0</v>
      </c>
      <c r="I2532">
        <f>_xlfn.XLOOKUP($A2532,Load!$B:$B,Load!J:J,0,)</f>
        <v>0</v>
      </c>
      <c r="J2532">
        <f>_xlfn.XLOOKUP($A2532,Load!$B:$B,Load!K:K,0,)</f>
        <v>0</v>
      </c>
      <c r="K2532">
        <f>_xlfn.XLOOKUP($A2532,Load!$B:$B,Load!L:L,0,)</f>
        <v>0</v>
      </c>
      <c r="L2532">
        <f>_xlfn.XLOOKUP($A2532,Load!$B:$B,Load!M:M,0,)</f>
        <v>0</v>
      </c>
    </row>
    <row r="2533" spans="1:12" x14ac:dyDescent="0.25">
      <c r="B2533">
        <f>_xlfn.XLOOKUP($A2533,Load!$B:$B,Load!C:C,0,)</f>
        <v>0</v>
      </c>
      <c r="C2533">
        <f>_xlfn.XLOOKUP($A2533,Load!$B:$B,Load!D:D,0,)</f>
        <v>0</v>
      </c>
      <c r="D2533">
        <f>_xlfn.XLOOKUP($A2533,Load!$B:$B,Load!E:E,0,)</f>
        <v>0</v>
      </c>
      <c r="E2533">
        <f>_xlfn.XLOOKUP($A2533,Load!$B:$B,Load!F:F,0,)</f>
        <v>0</v>
      </c>
      <c r="F2533">
        <f>_xlfn.XLOOKUP($A2533,Load!$B:$B,Load!G:G,0,)</f>
        <v>0</v>
      </c>
      <c r="G2533">
        <f>_xlfn.XLOOKUP($A2533,Load!$B:$B,Load!H:H,0,)</f>
        <v>0</v>
      </c>
      <c r="H2533">
        <f>_xlfn.XLOOKUP($A2533,Load!$B:$B,Load!I:I,0,)</f>
        <v>0</v>
      </c>
      <c r="I2533">
        <f>_xlfn.XLOOKUP($A2533,Load!$B:$B,Load!J:J,0,)</f>
        <v>0</v>
      </c>
      <c r="J2533">
        <f>_xlfn.XLOOKUP($A2533,Load!$B:$B,Load!K:K,0,)</f>
        <v>0</v>
      </c>
      <c r="K2533">
        <f>_xlfn.XLOOKUP($A2533,Load!$B:$B,Load!L:L,0,)</f>
        <v>0</v>
      </c>
      <c r="L2533">
        <f>_xlfn.XLOOKUP($A2533,Load!$B:$B,Load!M:M,0,)</f>
        <v>0</v>
      </c>
    </row>
    <row r="2534" spans="1:12" x14ac:dyDescent="0.25">
      <c r="A2534" t="s">
        <v>224</v>
      </c>
      <c r="B2534" t="str">
        <f>_xlfn.XLOOKUP($A2534,Load!$B:$B,Load!C:C,0,)</f>
        <v>Nerds</v>
      </c>
      <c r="C2534" t="str">
        <f>_xlfn.XLOOKUP($A2534,Load!$B:$B,Load!D:D,0,)</f>
        <v>Non-Chocolate Candy Only</v>
      </c>
      <c r="D2534" t="str">
        <f>_xlfn.XLOOKUP($A2534,Load!$B:$B,Load!E:E,0,)</f>
        <v>Sweet</v>
      </c>
      <c r="E2534" t="str">
        <f>_xlfn.XLOOKUP($A2534,Load!$B:$B,Load!F:F,0,)</f>
        <v>Mixed / Combo Packs (Gummy, Chewy, Taffy, etc.)</v>
      </c>
      <c r="F2534" t="str">
        <f>_xlfn.XLOOKUP($A2534,Load!$B:$B,Load!G:G,0,)</f>
        <v>Medium Multipack (40–80 ct)</v>
      </c>
      <c r="G2534" t="str">
        <f>_xlfn.XLOOKUP($A2534,Load!$B:$B,Load!H:H,0,)</f>
        <v>Stand-Up Bag</v>
      </c>
      <c r="H2534" t="str">
        <f>_xlfn.XLOOKUP($A2534,Load!$B:$B,Load!I:I,0,)</f>
        <v>Everyday Candy Shapes (like Original, Gummy bear, Fruit, Jewels, etc.)</v>
      </c>
      <c r="I2534" t="str">
        <f>_xlfn.XLOOKUP($A2534,Load!$B:$B,Load!J:J,0,)</f>
        <v>Seasonal Graphics (Like Bat, Ghost, Pumpkin, Fall Leaves, Eyeballs, etc.)</v>
      </c>
      <c r="J2534" t="str">
        <f>_xlfn.XLOOKUP($A2534,Load!$B:$B,Load!K:K,0,)</f>
        <v xml:space="preserve">Variety Candy Sizes </v>
      </c>
      <c r="K2534" t="str">
        <f>_xlfn.XLOOKUP($A2534,Load!$B:$B,Load!L:L,0,)</f>
        <v>Regular/Original Wrapping</v>
      </c>
      <c r="L2534" t="str">
        <f>_xlfn.XLOOKUP($A2534,Load!$B:$B,Load!M:M,0,)</f>
        <v>Single Brand / Variety Flavors or Form</v>
      </c>
    </row>
    <row r="2535" spans="1:12" x14ac:dyDescent="0.25">
      <c r="A2535" t="s">
        <v>288</v>
      </c>
      <c r="B2535" t="str">
        <f>_xlfn.XLOOKUP($A2535,Load!$B:$B,Load!C:C,0,)</f>
        <v>SweeTARTS</v>
      </c>
      <c r="C2535" t="str">
        <f>_xlfn.XLOOKUP($A2535,Load!$B:$B,Load!D:D,0,)</f>
        <v>Non-Chocolate Candy Only</v>
      </c>
      <c r="D2535" t="str">
        <f>_xlfn.XLOOKUP($A2535,Load!$B:$B,Load!E:E,0,)</f>
        <v>Variety / Mixed Flavors (Fruity, Sour, Seasonal Flavors)</v>
      </c>
      <c r="E2535" t="str">
        <f>_xlfn.XLOOKUP($A2535,Load!$B:$B,Load!F:F,0,)</f>
        <v>Mixed / Combo Packs (Gummy, Chewy, Taffy, etc.)</v>
      </c>
      <c r="F2535" t="str">
        <f>_xlfn.XLOOKUP($A2535,Load!$B:$B,Load!G:G,0,)</f>
        <v>Medium Multipack (40–80 ct)</v>
      </c>
      <c r="G2535" t="str">
        <f>_xlfn.XLOOKUP($A2535,Load!$B:$B,Load!H:H,0,)</f>
        <v>Stand-Up Bag</v>
      </c>
      <c r="H2535" t="str">
        <f>_xlfn.XLOOKUP($A2535,Load!$B:$B,Load!I:I,0,)</f>
        <v>Everyday Candy Shapes (like Original, Gummy bear, Fruit, Jewels, etc.)</v>
      </c>
      <c r="I2535" t="str">
        <f>_xlfn.XLOOKUP($A2535,Load!$B:$B,Load!J:J,0,)</f>
        <v>Seasonal Graphics (Like Bat, Ghost, Pumpkin, Fall Leaves, Eyeballs, etc.)</v>
      </c>
      <c r="J2535" t="str">
        <f>_xlfn.XLOOKUP($A2535,Load!$B:$B,Load!K:K,0,)</f>
        <v>Small Pieces (Tiny bite size candies)</v>
      </c>
      <c r="K2535" t="str">
        <f>_xlfn.XLOOKUP($A2535,Load!$B:$B,Load!L:L,0,)</f>
        <v>Regular/Original Wrapping</v>
      </c>
      <c r="L2535" t="str">
        <f>_xlfn.XLOOKUP($A2535,Load!$B:$B,Load!M:M,0,)</f>
        <v>Single Brand / Variety Flavors or Form</v>
      </c>
    </row>
    <row r="2536" spans="1:12" x14ac:dyDescent="0.25">
      <c r="A2536" t="s">
        <v>272</v>
      </c>
      <c r="B2536" t="str">
        <f>_xlfn.XLOOKUP($A2536,Load!$B:$B,Load!C:C,0,)</f>
        <v>Sour Patch Kids</v>
      </c>
      <c r="C2536" t="str">
        <f>_xlfn.XLOOKUP($A2536,Load!$B:$B,Load!D:D,0,)</f>
        <v>Non-Chocolate Candy Only</v>
      </c>
      <c r="D2536" t="str">
        <f>_xlfn.XLOOKUP($A2536,Load!$B:$B,Load!E:E,0,)</f>
        <v>Sour</v>
      </c>
      <c r="E2536" t="str">
        <f>_xlfn.XLOOKUP($A2536,Load!$B:$B,Load!F:F,0,)</f>
        <v>Chewy</v>
      </c>
      <c r="F2536" t="str">
        <f>_xlfn.XLOOKUP($A2536,Load!$B:$B,Load!G:G,0,)</f>
        <v>Medium Multipack (40–80 ct)</v>
      </c>
      <c r="G2536" t="str">
        <f>_xlfn.XLOOKUP($A2536,Load!$B:$B,Load!H:H,0,)</f>
        <v>Peg Bag</v>
      </c>
      <c r="H2536" t="str">
        <f>_xlfn.XLOOKUP($A2536,Load!$B:$B,Load!I:I,0,)</f>
        <v>Everyday Candy Shapes (like Original, Gummy bear, Fruit, Jewels, etc.)</v>
      </c>
      <c r="I2536" t="str">
        <f>_xlfn.XLOOKUP($A2536,Load!$B:$B,Load!J:J,0,)</f>
        <v>Seasonal Graphics (Like Bat, Ghost, Pumpkin, Fall Leaves, Eyeballs, etc.)</v>
      </c>
      <c r="J2536" t="str">
        <f>_xlfn.XLOOKUP($A2536,Load!$B:$B,Load!K:K,0,)</f>
        <v>Small Pieces (Tiny bite size candies)</v>
      </c>
      <c r="K2536" t="str">
        <f>_xlfn.XLOOKUP($A2536,Load!$B:$B,Load!L:L,0,)</f>
        <v>Unwrapped</v>
      </c>
      <c r="L2536" t="str">
        <f>_xlfn.XLOOKUP($A2536,Load!$B:$B,Load!M:M,0,)</f>
        <v>Single Brand / Single Flavor or Form</v>
      </c>
    </row>
    <row r="2537" spans="1:12" x14ac:dyDescent="0.25">
      <c r="A2537" t="s">
        <v>304</v>
      </c>
      <c r="B2537" t="str">
        <f>_xlfn.XLOOKUP($A2537,Load!$B:$B,Load!C:C,0,)</f>
        <v>Warheads</v>
      </c>
      <c r="C2537" t="str">
        <f>_xlfn.XLOOKUP($A2537,Load!$B:$B,Load!D:D,0,)</f>
        <v>Non-Chocolate Candy Only</v>
      </c>
      <c r="D2537" t="str">
        <f>_xlfn.XLOOKUP($A2537,Load!$B:$B,Load!E:E,0,)</f>
        <v>Sour</v>
      </c>
      <c r="E2537" t="str">
        <f>_xlfn.XLOOKUP($A2537,Load!$B:$B,Load!F:F,0,)</f>
        <v>Chewy</v>
      </c>
      <c r="F2537" t="str">
        <f>_xlfn.XLOOKUP($A2537,Load!$B:$B,Load!G:G,0,)</f>
        <v>Medium Multipack (40–80 ct)</v>
      </c>
      <c r="G2537" t="str">
        <f>_xlfn.XLOOKUP($A2537,Load!$B:$B,Load!H:H,0,)</f>
        <v>Laydown Bag</v>
      </c>
      <c r="H2537" t="str">
        <f>_xlfn.XLOOKUP($A2537,Load!$B:$B,Load!I:I,0,)</f>
        <v>Everyday Candy Shapes (like Original, Gummy bear, Fruit, Jewels, etc.)</v>
      </c>
      <c r="I2537" t="str">
        <f>_xlfn.XLOOKUP($A2537,Load!$B:$B,Load!J:J,0,)</f>
        <v>Seasonal Graphics (Like Bat, Ghost, Pumpkin, Fall Leaves, Eyeballs, etc.)</v>
      </c>
      <c r="J2537" t="str">
        <f>_xlfn.XLOOKUP($A2537,Load!$B:$B,Load!K:K,0,)</f>
        <v>Fun Size / Treat Size</v>
      </c>
      <c r="K2537" t="str">
        <f>_xlfn.XLOOKUP($A2537,Load!$B:$B,Load!L:L,0,)</f>
        <v>Regular/Original Wrapping</v>
      </c>
      <c r="L2537" t="str">
        <f>_xlfn.XLOOKUP($A2537,Load!$B:$B,Load!M:M,0,)</f>
        <v>Single Brand / Single Flavor or Form</v>
      </c>
    </row>
    <row r="2538" spans="1:12" x14ac:dyDescent="0.25">
      <c r="A2538" t="s">
        <v>280</v>
      </c>
      <c r="B2538" t="str">
        <f>_xlfn.XLOOKUP($A2538,Load!$B:$B,Load!C:C,0,)</f>
        <v>Sour Patch Kids</v>
      </c>
      <c r="C2538" t="str">
        <f>_xlfn.XLOOKUP($A2538,Load!$B:$B,Load!D:D,0,)</f>
        <v>Non-Chocolate Candy Only</v>
      </c>
      <c r="D2538" t="str">
        <f>_xlfn.XLOOKUP($A2538,Load!$B:$B,Load!E:E,0,)</f>
        <v>Sour</v>
      </c>
      <c r="E2538" t="str">
        <f>_xlfn.XLOOKUP($A2538,Load!$B:$B,Load!F:F,0,)</f>
        <v>Chewy</v>
      </c>
      <c r="F2538" t="str">
        <f>_xlfn.XLOOKUP($A2538,Load!$B:$B,Load!G:G,0,)</f>
        <v>Medium Multipack (40–80 ct)</v>
      </c>
      <c r="G2538" t="str">
        <f>_xlfn.XLOOKUP($A2538,Load!$B:$B,Load!H:H,0,)</f>
        <v>Laydown Bag</v>
      </c>
      <c r="H2538" t="str">
        <f>_xlfn.XLOOKUP($A2538,Load!$B:$B,Load!I:I,0,)</f>
        <v>Seasonal Shapes (like pumpkins, candy corn, ghost, bats, etc.)</v>
      </c>
      <c r="I2538" t="str">
        <f>_xlfn.XLOOKUP($A2538,Load!$B:$B,Load!J:J,0,)</f>
        <v>Seasonal Graphics (Like Bat, Ghost, Pumpkin, Fall Leaves, Eyeballs, etc.)</v>
      </c>
      <c r="J2538" t="str">
        <f>_xlfn.XLOOKUP($A2538,Load!$B:$B,Load!K:K,0,)</f>
        <v>Small Pieces (Tiny bite size candies)</v>
      </c>
      <c r="K2538" t="str">
        <f>_xlfn.XLOOKUP($A2538,Load!$B:$B,Load!L:L,0,)</f>
        <v>Regular/Original Wrapping</v>
      </c>
      <c r="L2538" t="str">
        <f>_xlfn.XLOOKUP($A2538,Load!$B:$B,Load!M:M,0,)</f>
        <v>Single Brand / Variety Flavors or Form</v>
      </c>
    </row>
    <row r="2539" spans="1:12" x14ac:dyDescent="0.25">
      <c r="A2539" t="s">
        <v>257</v>
      </c>
      <c r="B2539" t="str">
        <f>_xlfn.XLOOKUP($A2539,Load!$B:$B,Load!C:C,0,)</f>
        <v>Skittles</v>
      </c>
      <c r="C2539" t="str">
        <f>_xlfn.XLOOKUP($A2539,Load!$B:$B,Load!D:D,0,)</f>
        <v>Non-Chocolate Candy Only</v>
      </c>
      <c r="D2539" t="str">
        <f>_xlfn.XLOOKUP($A2539,Load!$B:$B,Load!E:E,0,)</f>
        <v>Sour</v>
      </c>
      <c r="E2539" t="str">
        <f>_xlfn.XLOOKUP($A2539,Load!$B:$B,Load!F:F,0,)</f>
        <v>Chewy</v>
      </c>
      <c r="F2539" t="str">
        <f>_xlfn.XLOOKUP($A2539,Load!$B:$B,Load!G:G,0,)</f>
        <v>Single Pack</v>
      </c>
      <c r="G2539" t="str">
        <f>_xlfn.XLOOKUP($A2539,Load!$B:$B,Load!H:H,0,)</f>
        <v>Laydown Bag</v>
      </c>
      <c r="H2539" t="str">
        <f>_xlfn.XLOOKUP($A2539,Load!$B:$B,Load!I:I,0,)</f>
        <v>Everyday Candy Shapes (like Original, Gummy bear, Fruit, Jewels, etc.)</v>
      </c>
      <c r="I2539" t="str">
        <f>_xlfn.XLOOKUP($A2539,Load!$B:$B,Load!J:J,0,)</f>
        <v>Seasonal Graphics (Like Bat, Ghost, Pumpkin, Fall Leaves, Eyeballs, etc.)</v>
      </c>
      <c r="J2539" t="str">
        <f>_xlfn.XLOOKUP($A2539,Load!$B:$B,Load!K:K,0,)</f>
        <v>Small Pieces (Tiny bite size candies)</v>
      </c>
      <c r="K2539" t="str">
        <f>_xlfn.XLOOKUP($A2539,Load!$B:$B,Load!L:L,0,)</f>
        <v>Regular/Original Wrapping</v>
      </c>
      <c r="L2539" t="str">
        <f>_xlfn.XLOOKUP($A2539,Load!$B:$B,Load!M:M,0,)</f>
        <v>Single Brand / Variety Flavors or Form</v>
      </c>
    </row>
    <row r="2540" spans="1:12" x14ac:dyDescent="0.25">
      <c r="B2540">
        <f>_xlfn.XLOOKUP($A2540,Load!$B:$B,Load!C:C,0,)</f>
        <v>0</v>
      </c>
      <c r="C2540">
        <f>_xlfn.XLOOKUP($A2540,Load!$B:$B,Load!D:D,0,)</f>
        <v>0</v>
      </c>
      <c r="D2540">
        <f>_xlfn.XLOOKUP($A2540,Load!$B:$B,Load!E:E,0,)</f>
        <v>0</v>
      </c>
      <c r="E2540">
        <f>_xlfn.XLOOKUP($A2540,Load!$B:$B,Load!F:F,0,)</f>
        <v>0</v>
      </c>
      <c r="F2540">
        <f>_xlfn.XLOOKUP($A2540,Load!$B:$B,Load!G:G,0,)</f>
        <v>0</v>
      </c>
      <c r="G2540">
        <f>_xlfn.XLOOKUP($A2540,Load!$B:$B,Load!H:H,0,)</f>
        <v>0</v>
      </c>
      <c r="H2540">
        <f>_xlfn.XLOOKUP($A2540,Load!$B:$B,Load!I:I,0,)</f>
        <v>0</v>
      </c>
      <c r="I2540">
        <f>_xlfn.XLOOKUP($A2540,Load!$B:$B,Load!J:J,0,)</f>
        <v>0</v>
      </c>
      <c r="J2540">
        <f>_xlfn.XLOOKUP($A2540,Load!$B:$B,Load!K:K,0,)</f>
        <v>0</v>
      </c>
      <c r="K2540">
        <f>_xlfn.XLOOKUP($A2540,Load!$B:$B,Load!L:L,0,)</f>
        <v>0</v>
      </c>
      <c r="L2540">
        <f>_xlfn.XLOOKUP($A2540,Load!$B:$B,Load!M:M,0,)</f>
        <v>0</v>
      </c>
    </row>
    <row r="2541" spans="1:12" x14ac:dyDescent="0.25">
      <c r="B2541">
        <f>_xlfn.XLOOKUP($A2541,Load!$B:$B,Load!C:C,0,)</f>
        <v>0</v>
      </c>
      <c r="C2541">
        <f>_xlfn.XLOOKUP($A2541,Load!$B:$B,Load!D:D,0,)</f>
        <v>0</v>
      </c>
      <c r="D2541">
        <f>_xlfn.XLOOKUP($A2541,Load!$B:$B,Load!E:E,0,)</f>
        <v>0</v>
      </c>
      <c r="E2541">
        <f>_xlfn.XLOOKUP($A2541,Load!$B:$B,Load!F:F,0,)</f>
        <v>0</v>
      </c>
      <c r="F2541">
        <f>_xlfn.XLOOKUP($A2541,Load!$B:$B,Load!G:G,0,)</f>
        <v>0</v>
      </c>
      <c r="G2541">
        <f>_xlfn.XLOOKUP($A2541,Load!$B:$B,Load!H:H,0,)</f>
        <v>0</v>
      </c>
      <c r="H2541">
        <f>_xlfn.XLOOKUP($A2541,Load!$B:$B,Load!I:I,0,)</f>
        <v>0</v>
      </c>
      <c r="I2541">
        <f>_xlfn.XLOOKUP($A2541,Load!$B:$B,Load!J:J,0,)</f>
        <v>0</v>
      </c>
      <c r="J2541">
        <f>_xlfn.XLOOKUP($A2541,Load!$B:$B,Load!K:K,0,)</f>
        <v>0</v>
      </c>
      <c r="K2541">
        <f>_xlfn.XLOOKUP($A2541,Load!$B:$B,Load!L:L,0,)</f>
        <v>0</v>
      </c>
      <c r="L2541">
        <f>_xlfn.XLOOKUP($A2541,Load!$B:$B,Load!M:M,0,)</f>
        <v>0</v>
      </c>
    </row>
    <row r="2542" spans="1:12" x14ac:dyDescent="0.25">
      <c r="B2542">
        <f>_xlfn.XLOOKUP($A2542,Load!$B:$B,Load!C:C,0,)</f>
        <v>0</v>
      </c>
      <c r="C2542">
        <f>_xlfn.XLOOKUP($A2542,Load!$B:$B,Load!D:D,0,)</f>
        <v>0</v>
      </c>
      <c r="D2542">
        <f>_xlfn.XLOOKUP($A2542,Load!$B:$B,Load!E:E,0,)</f>
        <v>0</v>
      </c>
      <c r="E2542">
        <f>_xlfn.XLOOKUP($A2542,Load!$B:$B,Load!F:F,0,)</f>
        <v>0</v>
      </c>
      <c r="F2542">
        <f>_xlfn.XLOOKUP($A2542,Load!$B:$B,Load!G:G,0,)</f>
        <v>0</v>
      </c>
      <c r="G2542">
        <f>_xlfn.XLOOKUP($A2542,Load!$B:$B,Load!H:H,0,)</f>
        <v>0</v>
      </c>
      <c r="H2542">
        <f>_xlfn.XLOOKUP($A2542,Load!$B:$B,Load!I:I,0,)</f>
        <v>0</v>
      </c>
      <c r="I2542">
        <f>_xlfn.XLOOKUP($A2542,Load!$B:$B,Load!J:J,0,)</f>
        <v>0</v>
      </c>
      <c r="J2542">
        <f>_xlfn.XLOOKUP($A2542,Load!$B:$B,Load!K:K,0,)</f>
        <v>0</v>
      </c>
      <c r="K2542">
        <f>_xlfn.XLOOKUP($A2542,Load!$B:$B,Load!L:L,0,)</f>
        <v>0</v>
      </c>
      <c r="L2542">
        <f>_xlfn.XLOOKUP($A2542,Load!$B:$B,Load!M:M,0,)</f>
        <v>0</v>
      </c>
    </row>
    <row r="2543" spans="1:12" x14ac:dyDescent="0.25">
      <c r="B2543">
        <f>_xlfn.XLOOKUP($A2543,Load!$B:$B,Load!C:C,0,)</f>
        <v>0</v>
      </c>
      <c r="C2543">
        <f>_xlfn.XLOOKUP($A2543,Load!$B:$B,Load!D:D,0,)</f>
        <v>0</v>
      </c>
      <c r="D2543">
        <f>_xlfn.XLOOKUP($A2543,Load!$B:$B,Load!E:E,0,)</f>
        <v>0</v>
      </c>
      <c r="E2543">
        <f>_xlfn.XLOOKUP($A2543,Load!$B:$B,Load!F:F,0,)</f>
        <v>0</v>
      </c>
      <c r="F2543">
        <f>_xlfn.XLOOKUP($A2543,Load!$B:$B,Load!G:G,0,)</f>
        <v>0</v>
      </c>
      <c r="G2543">
        <f>_xlfn.XLOOKUP($A2543,Load!$B:$B,Load!H:H,0,)</f>
        <v>0</v>
      </c>
      <c r="H2543">
        <f>_xlfn.XLOOKUP($A2543,Load!$B:$B,Load!I:I,0,)</f>
        <v>0</v>
      </c>
      <c r="I2543">
        <f>_xlfn.XLOOKUP($A2543,Load!$B:$B,Load!J:J,0,)</f>
        <v>0</v>
      </c>
      <c r="J2543">
        <f>_xlfn.XLOOKUP($A2543,Load!$B:$B,Load!K:K,0,)</f>
        <v>0</v>
      </c>
      <c r="K2543">
        <f>_xlfn.XLOOKUP($A2543,Load!$B:$B,Load!L:L,0,)</f>
        <v>0</v>
      </c>
      <c r="L2543">
        <f>_xlfn.XLOOKUP($A2543,Load!$B:$B,Load!M:M,0,)</f>
        <v>0</v>
      </c>
    </row>
    <row r="2544" spans="1:12" x14ac:dyDescent="0.25">
      <c r="B2544">
        <f>_xlfn.XLOOKUP($A2544,Load!$B:$B,Load!C:C,0,)</f>
        <v>0</v>
      </c>
      <c r="C2544">
        <f>_xlfn.XLOOKUP($A2544,Load!$B:$B,Load!D:D,0,)</f>
        <v>0</v>
      </c>
      <c r="D2544">
        <f>_xlfn.XLOOKUP($A2544,Load!$B:$B,Load!E:E,0,)</f>
        <v>0</v>
      </c>
      <c r="E2544">
        <f>_xlfn.XLOOKUP($A2544,Load!$B:$B,Load!F:F,0,)</f>
        <v>0</v>
      </c>
      <c r="F2544">
        <f>_xlfn.XLOOKUP($A2544,Load!$B:$B,Load!G:G,0,)</f>
        <v>0</v>
      </c>
      <c r="G2544">
        <f>_xlfn.XLOOKUP($A2544,Load!$B:$B,Load!H:H,0,)</f>
        <v>0</v>
      </c>
      <c r="H2544">
        <f>_xlfn.XLOOKUP($A2544,Load!$B:$B,Load!I:I,0,)</f>
        <v>0</v>
      </c>
      <c r="I2544">
        <f>_xlfn.XLOOKUP($A2544,Load!$B:$B,Load!J:J,0,)</f>
        <v>0</v>
      </c>
      <c r="J2544">
        <f>_xlfn.XLOOKUP($A2544,Load!$B:$B,Load!K:K,0,)</f>
        <v>0</v>
      </c>
      <c r="K2544">
        <f>_xlfn.XLOOKUP($A2544,Load!$B:$B,Load!L:L,0,)</f>
        <v>0</v>
      </c>
      <c r="L2544">
        <f>_xlfn.XLOOKUP($A2544,Load!$B:$B,Load!M:M,0,)</f>
        <v>0</v>
      </c>
    </row>
    <row r="2545" spans="1:12" x14ac:dyDescent="0.25">
      <c r="B2545">
        <f>_xlfn.XLOOKUP($A2545,Load!$B:$B,Load!C:C,0,)</f>
        <v>0</v>
      </c>
      <c r="C2545">
        <f>_xlfn.XLOOKUP($A2545,Load!$B:$B,Load!D:D,0,)</f>
        <v>0</v>
      </c>
      <c r="D2545">
        <f>_xlfn.XLOOKUP($A2545,Load!$B:$B,Load!E:E,0,)</f>
        <v>0</v>
      </c>
      <c r="E2545">
        <f>_xlfn.XLOOKUP($A2545,Load!$B:$B,Load!F:F,0,)</f>
        <v>0</v>
      </c>
      <c r="F2545">
        <f>_xlfn.XLOOKUP($A2545,Load!$B:$B,Load!G:G,0,)</f>
        <v>0</v>
      </c>
      <c r="G2545">
        <f>_xlfn.XLOOKUP($A2545,Load!$B:$B,Load!H:H,0,)</f>
        <v>0</v>
      </c>
      <c r="H2545">
        <f>_xlfn.XLOOKUP($A2545,Load!$B:$B,Load!I:I,0,)</f>
        <v>0</v>
      </c>
      <c r="I2545">
        <f>_xlfn.XLOOKUP($A2545,Load!$B:$B,Load!J:J,0,)</f>
        <v>0</v>
      </c>
      <c r="J2545">
        <f>_xlfn.XLOOKUP($A2545,Load!$B:$B,Load!K:K,0,)</f>
        <v>0</v>
      </c>
      <c r="K2545">
        <f>_xlfn.XLOOKUP($A2545,Load!$B:$B,Load!L:L,0,)</f>
        <v>0</v>
      </c>
      <c r="L2545">
        <f>_xlfn.XLOOKUP($A2545,Load!$B:$B,Load!M:M,0,)</f>
        <v>0</v>
      </c>
    </row>
    <row r="2546" spans="1:12" x14ac:dyDescent="0.25">
      <c r="B2546">
        <f>_xlfn.XLOOKUP($A2546,Load!$B:$B,Load!C:C,0,)</f>
        <v>0</v>
      </c>
      <c r="C2546">
        <f>_xlfn.XLOOKUP($A2546,Load!$B:$B,Load!D:D,0,)</f>
        <v>0</v>
      </c>
      <c r="D2546">
        <f>_xlfn.XLOOKUP($A2546,Load!$B:$B,Load!E:E,0,)</f>
        <v>0</v>
      </c>
      <c r="E2546">
        <f>_xlfn.XLOOKUP($A2546,Load!$B:$B,Load!F:F,0,)</f>
        <v>0</v>
      </c>
      <c r="F2546">
        <f>_xlfn.XLOOKUP($A2546,Load!$B:$B,Load!G:G,0,)</f>
        <v>0</v>
      </c>
      <c r="G2546">
        <f>_xlfn.XLOOKUP($A2546,Load!$B:$B,Load!H:H,0,)</f>
        <v>0</v>
      </c>
      <c r="H2546">
        <f>_xlfn.XLOOKUP($A2546,Load!$B:$B,Load!I:I,0,)</f>
        <v>0</v>
      </c>
      <c r="I2546">
        <f>_xlfn.XLOOKUP($A2546,Load!$B:$B,Load!J:J,0,)</f>
        <v>0</v>
      </c>
      <c r="J2546">
        <f>_xlfn.XLOOKUP($A2546,Load!$B:$B,Load!K:K,0,)</f>
        <v>0</v>
      </c>
      <c r="K2546">
        <f>_xlfn.XLOOKUP($A2546,Load!$B:$B,Load!L:L,0,)</f>
        <v>0</v>
      </c>
      <c r="L2546">
        <f>_xlfn.XLOOKUP($A2546,Load!$B:$B,Load!M:M,0,)</f>
        <v>0</v>
      </c>
    </row>
    <row r="2547" spans="1:12" x14ac:dyDescent="0.25">
      <c r="B2547">
        <f>_xlfn.XLOOKUP($A2547,Load!$B:$B,Load!C:C,0,)</f>
        <v>0</v>
      </c>
      <c r="C2547">
        <f>_xlfn.XLOOKUP($A2547,Load!$B:$B,Load!D:D,0,)</f>
        <v>0</v>
      </c>
      <c r="D2547">
        <f>_xlfn.XLOOKUP($A2547,Load!$B:$B,Load!E:E,0,)</f>
        <v>0</v>
      </c>
      <c r="E2547">
        <f>_xlfn.XLOOKUP($A2547,Load!$B:$B,Load!F:F,0,)</f>
        <v>0</v>
      </c>
      <c r="F2547">
        <f>_xlfn.XLOOKUP($A2547,Load!$B:$B,Load!G:G,0,)</f>
        <v>0</v>
      </c>
      <c r="G2547">
        <f>_xlfn.XLOOKUP($A2547,Load!$B:$B,Load!H:H,0,)</f>
        <v>0</v>
      </c>
      <c r="H2547">
        <f>_xlfn.XLOOKUP($A2547,Load!$B:$B,Load!I:I,0,)</f>
        <v>0</v>
      </c>
      <c r="I2547">
        <f>_xlfn.XLOOKUP($A2547,Load!$B:$B,Load!J:J,0,)</f>
        <v>0</v>
      </c>
      <c r="J2547">
        <f>_xlfn.XLOOKUP($A2547,Load!$B:$B,Load!K:K,0,)</f>
        <v>0</v>
      </c>
      <c r="K2547">
        <f>_xlfn.XLOOKUP($A2547,Load!$B:$B,Load!L:L,0,)</f>
        <v>0</v>
      </c>
      <c r="L2547">
        <f>_xlfn.XLOOKUP($A2547,Load!$B:$B,Load!M:M,0,)</f>
        <v>0</v>
      </c>
    </row>
    <row r="2548" spans="1:12" x14ac:dyDescent="0.25">
      <c r="A2548" t="s">
        <v>149</v>
      </c>
      <c r="B2548" t="str">
        <f>_xlfn.XLOOKUP($A2548,Load!$B:$B,Load!C:C,0,)</f>
        <v>Jolly Rancher</v>
      </c>
      <c r="C2548" t="str">
        <f>_xlfn.XLOOKUP($A2548,Load!$B:$B,Load!D:D,0,)</f>
        <v>Non-Chocolate Candy Only</v>
      </c>
      <c r="D2548" t="str">
        <f>_xlfn.XLOOKUP($A2548,Load!$B:$B,Load!E:E,0,)</f>
        <v>Fruit Flavor (Cherry, Grape, Apple, Citrus, Tropical Fruit)</v>
      </c>
      <c r="E2548" t="str">
        <f>_xlfn.XLOOKUP($A2548,Load!$B:$B,Load!F:F,0,)</f>
        <v>Gummy</v>
      </c>
      <c r="F2548" t="str">
        <f>_xlfn.XLOOKUP($A2548,Load!$B:$B,Load!G:G,0,)</f>
        <v>Small Multipack (Less than 40 ct)</v>
      </c>
      <c r="G2548" t="str">
        <f>_xlfn.XLOOKUP($A2548,Load!$B:$B,Load!H:H,0,)</f>
        <v>Laydown Bag</v>
      </c>
      <c r="H2548" t="str">
        <f>_xlfn.XLOOKUP($A2548,Load!$B:$B,Load!I:I,0,)</f>
        <v>Everyday Candy Shapes (like Original, Gummy bear, Fruit, Jewels, etc.)</v>
      </c>
      <c r="I2548" t="str">
        <f>_xlfn.XLOOKUP($A2548,Load!$B:$B,Load!J:J,0,)</f>
        <v>Everyday Graphics</v>
      </c>
      <c r="J2548" t="str">
        <f>_xlfn.XLOOKUP($A2548,Load!$B:$B,Load!K:K,0,)</f>
        <v>Fun Size / Treat Size</v>
      </c>
      <c r="K2548" t="str">
        <f>_xlfn.XLOOKUP($A2548,Load!$B:$B,Load!L:L,0,)</f>
        <v>Regular/Original Wrapping</v>
      </c>
      <c r="L2548" t="str">
        <f>_xlfn.XLOOKUP($A2548,Load!$B:$B,Load!M:M,0,)</f>
        <v>Single Brand / Variety Flavors or Form</v>
      </c>
    </row>
    <row r="2549" spans="1:12" x14ac:dyDescent="0.25">
      <c r="A2549" t="s">
        <v>8</v>
      </c>
      <c r="B2549" t="str">
        <f>_xlfn.XLOOKUP($A2549,Load!$B:$B,Load!C:C,0,)</f>
        <v>Airheads</v>
      </c>
      <c r="C2549" t="str">
        <f>_xlfn.XLOOKUP($A2549,Load!$B:$B,Load!D:D,0,)</f>
        <v>Non-Chocolate Candy Only</v>
      </c>
      <c r="D2549" t="str">
        <f>_xlfn.XLOOKUP($A2549,Load!$B:$B,Load!E:E,0,)</f>
        <v>Fruit Flavor (Cherry, Grape, Apple, Citrus, Tropical Fruit)</v>
      </c>
      <c r="E2549" t="str">
        <f>_xlfn.XLOOKUP($A2549,Load!$B:$B,Load!F:F,0,)</f>
        <v>Chewy</v>
      </c>
      <c r="F2549" t="str">
        <f>_xlfn.XLOOKUP($A2549,Load!$B:$B,Load!G:G,0,)</f>
        <v>Small Multipack (Less than 40 ct)</v>
      </c>
      <c r="G2549" t="str">
        <f>_xlfn.XLOOKUP($A2549,Load!$B:$B,Load!H:H,0,)</f>
        <v>Laydown Bag</v>
      </c>
      <c r="H2549" t="str">
        <f>_xlfn.XLOOKUP($A2549,Load!$B:$B,Load!I:I,0,)</f>
        <v>Everyday Candy Shapes (like Original, Gummy bear, Fruit, Jewels, etc.)</v>
      </c>
      <c r="I2549" t="str">
        <f>_xlfn.XLOOKUP($A2549,Load!$B:$B,Load!J:J,0,)</f>
        <v>Everyday Graphics</v>
      </c>
      <c r="J2549" t="str">
        <f>_xlfn.XLOOKUP($A2549,Load!$B:$B,Load!K:K,0,)</f>
        <v>Fun Size / Treat Size</v>
      </c>
      <c r="K2549" t="str">
        <f>_xlfn.XLOOKUP($A2549,Load!$B:$B,Load!L:L,0,)</f>
        <v>Regular/Original Wrapping</v>
      </c>
      <c r="L2549" t="str">
        <f>_xlfn.XLOOKUP($A2549,Load!$B:$B,Load!M:M,0,)</f>
        <v>Single Brand / Variety Flavors or Form</v>
      </c>
    </row>
    <row r="2550" spans="1:12" x14ac:dyDescent="0.25">
      <c r="A2550" t="s">
        <v>329</v>
      </c>
      <c r="B2550" t="str">
        <f>_xlfn.XLOOKUP($A2550,Load!$B:$B,Load!C:C,0,)</f>
        <v>AMOS</v>
      </c>
      <c r="C2550" t="str">
        <f>_xlfn.XLOOKUP($A2550,Load!$B:$B,Load!D:D,0,)</f>
        <v>Non-Chocolate Candy Only</v>
      </c>
      <c r="D2550" t="str">
        <f>_xlfn.XLOOKUP($A2550,Load!$B:$B,Load!E:E,0,)</f>
        <v>Sour</v>
      </c>
      <c r="E2550" t="str">
        <f>_xlfn.XLOOKUP($A2550,Load!$B:$B,Load!F:F,0,)</f>
        <v>Chewy</v>
      </c>
      <c r="F2550" t="str">
        <f>_xlfn.XLOOKUP($A2550,Load!$B:$B,Load!G:G,0,)</f>
        <v>Single Pack</v>
      </c>
      <c r="G2550" t="str">
        <f>_xlfn.XLOOKUP($A2550,Load!$B:$B,Load!H:H,0,)</f>
        <v>Plastic Cup / Container</v>
      </c>
      <c r="H2550" t="str">
        <f>_xlfn.XLOOKUP($A2550,Load!$B:$B,Load!I:I,0,)</f>
        <v>Seasonal Shapes (like pumpkins, candy corn, ghost, bats, etc.)</v>
      </c>
      <c r="I2550" t="str">
        <f>_xlfn.XLOOKUP($A2550,Load!$B:$B,Load!J:J,0,)</f>
        <v>Seasonal Graphics (Like Bat, Ghost, Pumpkin, Fall Leaves, Eyeballs, etc.)</v>
      </c>
      <c r="J2550" t="str">
        <f>_xlfn.XLOOKUP($A2550,Load!$B:$B,Load!K:K,0,)</f>
        <v>Fun Size / Treat Size</v>
      </c>
      <c r="K2550" t="str">
        <f>_xlfn.XLOOKUP($A2550,Load!$B:$B,Load!L:L,0,)</f>
        <v>Regular/Original Wrapping</v>
      </c>
      <c r="L2550" t="str">
        <f>_xlfn.XLOOKUP($A2550,Load!$B:$B,Load!M:M,0,)</f>
        <v>Single Brand / Single Flavor or Form</v>
      </c>
    </row>
    <row r="2551" spans="1:12" x14ac:dyDescent="0.25">
      <c r="B2551">
        <f>_xlfn.XLOOKUP($A2551,Load!$B:$B,Load!C:C,0,)</f>
        <v>0</v>
      </c>
      <c r="C2551">
        <f>_xlfn.XLOOKUP($A2551,Load!$B:$B,Load!D:D,0,)</f>
        <v>0</v>
      </c>
      <c r="D2551">
        <f>_xlfn.XLOOKUP($A2551,Load!$B:$B,Load!E:E,0,)</f>
        <v>0</v>
      </c>
      <c r="E2551">
        <f>_xlfn.XLOOKUP($A2551,Load!$B:$B,Load!F:F,0,)</f>
        <v>0</v>
      </c>
      <c r="F2551">
        <f>_xlfn.XLOOKUP($A2551,Load!$B:$B,Load!G:G,0,)</f>
        <v>0</v>
      </c>
      <c r="G2551">
        <f>_xlfn.XLOOKUP($A2551,Load!$B:$B,Load!H:H,0,)</f>
        <v>0</v>
      </c>
      <c r="H2551">
        <f>_xlfn.XLOOKUP($A2551,Load!$B:$B,Load!I:I,0,)</f>
        <v>0</v>
      </c>
      <c r="I2551">
        <f>_xlfn.XLOOKUP($A2551,Load!$B:$B,Load!J:J,0,)</f>
        <v>0</v>
      </c>
      <c r="J2551">
        <f>_xlfn.XLOOKUP($A2551,Load!$B:$B,Load!K:K,0,)</f>
        <v>0</v>
      </c>
      <c r="K2551">
        <f>_xlfn.XLOOKUP($A2551,Load!$B:$B,Load!L:L,0,)</f>
        <v>0</v>
      </c>
      <c r="L2551">
        <f>_xlfn.XLOOKUP($A2551,Load!$B:$B,Load!M:M,0,)</f>
        <v>0</v>
      </c>
    </row>
    <row r="2552" spans="1:12" x14ac:dyDescent="0.25">
      <c r="B2552">
        <f>_xlfn.XLOOKUP($A2552,Load!$B:$B,Load!C:C,0,)</f>
        <v>0</v>
      </c>
      <c r="C2552">
        <f>_xlfn.XLOOKUP($A2552,Load!$B:$B,Load!D:D,0,)</f>
        <v>0</v>
      </c>
      <c r="D2552">
        <f>_xlfn.XLOOKUP($A2552,Load!$B:$B,Load!E:E,0,)</f>
        <v>0</v>
      </c>
      <c r="E2552">
        <f>_xlfn.XLOOKUP($A2552,Load!$B:$B,Load!F:F,0,)</f>
        <v>0</v>
      </c>
      <c r="F2552">
        <f>_xlfn.XLOOKUP($A2552,Load!$B:$B,Load!G:G,0,)</f>
        <v>0</v>
      </c>
      <c r="G2552">
        <f>_xlfn.XLOOKUP($A2552,Load!$B:$B,Load!H:H,0,)</f>
        <v>0</v>
      </c>
      <c r="H2552">
        <f>_xlfn.XLOOKUP($A2552,Load!$B:$B,Load!I:I,0,)</f>
        <v>0</v>
      </c>
      <c r="I2552">
        <f>_xlfn.XLOOKUP($A2552,Load!$B:$B,Load!J:J,0,)</f>
        <v>0</v>
      </c>
      <c r="J2552">
        <f>_xlfn.XLOOKUP($A2552,Load!$B:$B,Load!K:K,0,)</f>
        <v>0</v>
      </c>
      <c r="K2552">
        <f>_xlfn.XLOOKUP($A2552,Load!$B:$B,Load!L:L,0,)</f>
        <v>0</v>
      </c>
      <c r="L2552">
        <f>_xlfn.XLOOKUP($A2552,Load!$B:$B,Load!M:M,0,)</f>
        <v>0</v>
      </c>
    </row>
    <row r="2553" spans="1:12" x14ac:dyDescent="0.25">
      <c r="B2553">
        <f>_xlfn.XLOOKUP($A2553,Load!$B:$B,Load!C:C,0,)</f>
        <v>0</v>
      </c>
      <c r="C2553">
        <f>_xlfn.XLOOKUP($A2553,Load!$B:$B,Load!D:D,0,)</f>
        <v>0</v>
      </c>
      <c r="D2553">
        <f>_xlfn.XLOOKUP($A2553,Load!$B:$B,Load!E:E,0,)</f>
        <v>0</v>
      </c>
      <c r="E2553">
        <f>_xlfn.XLOOKUP($A2553,Load!$B:$B,Load!F:F,0,)</f>
        <v>0</v>
      </c>
      <c r="F2553">
        <f>_xlfn.XLOOKUP($A2553,Load!$B:$B,Load!G:G,0,)</f>
        <v>0</v>
      </c>
      <c r="G2553">
        <f>_xlfn.XLOOKUP($A2553,Load!$B:$B,Load!H:H,0,)</f>
        <v>0</v>
      </c>
      <c r="H2553">
        <f>_xlfn.XLOOKUP($A2553,Load!$B:$B,Load!I:I,0,)</f>
        <v>0</v>
      </c>
      <c r="I2553">
        <f>_xlfn.XLOOKUP($A2553,Load!$B:$B,Load!J:J,0,)</f>
        <v>0</v>
      </c>
      <c r="J2553">
        <f>_xlfn.XLOOKUP($A2553,Load!$B:$B,Load!K:K,0,)</f>
        <v>0</v>
      </c>
      <c r="K2553">
        <f>_xlfn.XLOOKUP($A2553,Load!$B:$B,Load!L:L,0,)</f>
        <v>0</v>
      </c>
      <c r="L2553">
        <f>_xlfn.XLOOKUP($A2553,Load!$B:$B,Load!M:M,0,)</f>
        <v>0</v>
      </c>
    </row>
    <row r="2554" spans="1:12" x14ac:dyDescent="0.25">
      <c r="A2554" t="s">
        <v>173</v>
      </c>
      <c r="B2554" t="str">
        <f>_xlfn.XLOOKUP($A2554,Load!$B:$B,Load!C:C,0,)</f>
        <v>Mars Variety Pack</v>
      </c>
      <c r="C2554" t="str">
        <f>_xlfn.XLOOKUP($A2554,Load!$B:$B,Load!D:D,0,)</f>
        <v>Mix of Chocolate and Non-Chocolate Candy</v>
      </c>
      <c r="D2554" t="str">
        <f>_xlfn.XLOOKUP($A2554,Load!$B:$B,Load!E:E,0,)</f>
        <v>Variety / Mixed Flavors (Fruity, Sour, Seasonal Flavors)</v>
      </c>
      <c r="E2554" t="str">
        <f>_xlfn.XLOOKUP($A2554,Load!$B:$B,Load!F:F,0,)</f>
        <v>Mixed / Combo Packs (Gummy, Chewy, Taffy, etc.)</v>
      </c>
      <c r="F2554" t="str">
        <f>_xlfn.XLOOKUP($A2554,Load!$B:$B,Load!G:G,0,)</f>
        <v>Large Multipack (More than 80 ct)</v>
      </c>
      <c r="G2554" t="str">
        <f>_xlfn.XLOOKUP($A2554,Load!$B:$B,Load!H:H,0,)</f>
        <v>Stand-Up Bag</v>
      </c>
      <c r="H2554" t="str">
        <f>_xlfn.XLOOKUP($A2554,Load!$B:$B,Load!I:I,0,)</f>
        <v>Everyday Candy Shapes (like Original, Gummy bear, Fruit, Jewels, etc.)</v>
      </c>
      <c r="I2554" t="str">
        <f>_xlfn.XLOOKUP($A2554,Load!$B:$B,Load!J:J,0,)</f>
        <v>Seasonal Graphics (Like Bat, Ghost, Pumpkin, Fall Leaves, Eyeballs, etc.)</v>
      </c>
      <c r="J2554" t="str">
        <f>_xlfn.XLOOKUP($A2554,Load!$B:$B,Load!K:K,0,)</f>
        <v>Fun Size / Treat Size</v>
      </c>
      <c r="K2554" t="str">
        <f>_xlfn.XLOOKUP($A2554,Load!$B:$B,Load!L:L,0,)</f>
        <v>Regular/Original Wrapping</v>
      </c>
      <c r="L2554" t="str">
        <f>_xlfn.XLOOKUP($A2554,Load!$B:$B,Load!M:M,0,)</f>
        <v>Multiple Brands / Variety Flavors or Form</v>
      </c>
    </row>
    <row r="2555" spans="1:12" x14ac:dyDescent="0.25">
      <c r="A2555" t="s">
        <v>209</v>
      </c>
      <c r="B2555" t="str">
        <f>_xlfn.XLOOKUP($A2555,Load!$B:$B,Load!C:C,0,)</f>
        <v>Mars Variety Pack</v>
      </c>
      <c r="C2555" t="str">
        <f>_xlfn.XLOOKUP($A2555,Load!$B:$B,Load!D:D,0,)</f>
        <v>Non-Chocolate Candy Only</v>
      </c>
      <c r="D2555" t="str">
        <f>_xlfn.XLOOKUP($A2555,Load!$B:$B,Load!E:E,0,)</f>
        <v>Variety / Mixed Flavors (Fruity, Sour, Seasonal Flavors)</v>
      </c>
      <c r="E2555" t="str">
        <f>_xlfn.XLOOKUP($A2555,Load!$B:$B,Load!F:F,0,)</f>
        <v>Mixed / Combo Packs (Gummy, Chewy, Taffy, etc.)</v>
      </c>
      <c r="F2555" t="str">
        <f>_xlfn.XLOOKUP($A2555,Load!$B:$B,Load!G:G,0,)</f>
        <v>Large Multipack (More than 80 ct)</v>
      </c>
      <c r="G2555" t="str">
        <f>_xlfn.XLOOKUP($A2555,Load!$B:$B,Load!H:H,0,)</f>
        <v>Stand-Up Bag</v>
      </c>
      <c r="H2555" t="str">
        <f>_xlfn.XLOOKUP($A2555,Load!$B:$B,Load!I:I,0,)</f>
        <v>Everyday Candy Shapes (like Original, Gummy bear, Fruit, Jewels, etc.)</v>
      </c>
      <c r="I2555" t="str">
        <f>_xlfn.XLOOKUP($A2555,Load!$B:$B,Load!J:J,0,)</f>
        <v>Seasonal Graphics (Like Bat, Ghost, Pumpkin, Fall Leaves, Eyeballs, etc.)</v>
      </c>
      <c r="J2555" t="str">
        <f>_xlfn.XLOOKUP($A2555,Load!$B:$B,Load!K:K,0,)</f>
        <v>Fun Size / Treat Size</v>
      </c>
      <c r="K2555" t="str">
        <f>_xlfn.XLOOKUP($A2555,Load!$B:$B,Load!L:L,0,)</f>
        <v>Regular/Original Wrapping</v>
      </c>
      <c r="L2555" t="str">
        <f>_xlfn.XLOOKUP($A2555,Load!$B:$B,Load!M:M,0,)</f>
        <v>Multiple Brands / Variety Flavors or Form</v>
      </c>
    </row>
    <row r="2556" spans="1:12" x14ac:dyDescent="0.25">
      <c r="A2556" t="s">
        <v>473</v>
      </c>
      <c r="B2556" t="str">
        <f>_xlfn.XLOOKUP($A2556,Load!$B:$B,Load!C:C,0,)</f>
        <v>Jelly Belly</v>
      </c>
      <c r="C2556" t="str">
        <f>_xlfn.XLOOKUP($A2556,Load!$B:$B,Load!D:D,0,)</f>
        <v>Non-Chocolate Candy Only</v>
      </c>
      <c r="D2556" t="str">
        <f>_xlfn.XLOOKUP($A2556,Load!$B:$B,Load!E:E,0,)</f>
        <v>Variety / Mixed Flavors (Fruity, Sour, Seasonal Flavors)</v>
      </c>
      <c r="E2556" t="str">
        <f>_xlfn.XLOOKUP($A2556,Load!$B:$B,Load!F:F,0,)</f>
        <v>Candy Pieces / Bites</v>
      </c>
      <c r="F2556" t="str">
        <f>_xlfn.XLOOKUP($A2556,Load!$B:$B,Load!G:G,0,)</f>
        <v>Small Multipack (Less than 40 ct)</v>
      </c>
      <c r="G2556" t="str">
        <f>_xlfn.XLOOKUP($A2556,Load!$B:$B,Load!H:H,0,)</f>
        <v>Laydown Bag</v>
      </c>
      <c r="H2556" t="str">
        <f>_xlfn.XLOOKUP($A2556,Load!$B:$B,Load!I:I,0,)</f>
        <v>Everyday Candy Shapes (like Original, Gummy bear, Fruit, Jewels, etc.)</v>
      </c>
      <c r="I2556" t="str">
        <f>_xlfn.XLOOKUP($A2556,Load!$B:$B,Load!J:J,0,)</f>
        <v>Seasonal Graphics (Like Bat, Ghost, Pumpkin, Fall Leaves, Eyeballs, etc.)</v>
      </c>
      <c r="J2556" t="str">
        <f>_xlfn.XLOOKUP($A2556,Load!$B:$B,Load!K:K,0,)</f>
        <v>Small Pieces (Tiny bite size candies)</v>
      </c>
      <c r="K2556" t="str">
        <f>_xlfn.XLOOKUP($A2556,Load!$B:$B,Load!L:L,0,)</f>
        <v>Unwrapped</v>
      </c>
      <c r="L2556" t="str">
        <f>_xlfn.XLOOKUP($A2556,Load!$B:$B,Load!M:M,0,)</f>
        <v>Single Brand / Variety Flavors or Form</v>
      </c>
    </row>
    <row r="2557" spans="1:12" x14ac:dyDescent="0.25">
      <c r="A2557" t="s">
        <v>16</v>
      </c>
      <c r="B2557" t="str">
        <f>_xlfn.XLOOKUP($A2557,Load!$B:$B,Load!C:C,0,)</f>
        <v>Airheads</v>
      </c>
      <c r="C2557" t="str">
        <f>_xlfn.XLOOKUP($A2557,Load!$B:$B,Load!D:D,0,)</f>
        <v>Non-Chocolate Candy Only</v>
      </c>
      <c r="D2557" t="str">
        <f>_xlfn.XLOOKUP($A2557,Load!$B:$B,Load!E:E,0,)</f>
        <v>Fruit Flavor (Cherry, Grape, Apple, Citrus, Tropical Fruit)</v>
      </c>
      <c r="E2557" t="str">
        <f>_xlfn.XLOOKUP($A2557,Load!$B:$B,Load!F:F,0,)</f>
        <v>Candy Pieces / Bites</v>
      </c>
      <c r="F2557" t="str">
        <f>_xlfn.XLOOKUP($A2557,Load!$B:$B,Load!G:G,0,)</f>
        <v>Small Multipack (Less than 40 ct)</v>
      </c>
      <c r="G2557" t="str">
        <f>_xlfn.XLOOKUP($A2557,Load!$B:$B,Load!H:H,0,)</f>
        <v>Laydown Bag</v>
      </c>
      <c r="H2557" t="str">
        <f>_xlfn.XLOOKUP($A2557,Load!$B:$B,Load!I:I,0,)</f>
        <v>Everyday Candy Shapes (like Original, Gummy bear, Fruit, Jewels, etc.)</v>
      </c>
      <c r="I2557" t="str">
        <f>_xlfn.XLOOKUP($A2557,Load!$B:$B,Load!J:J,0,)</f>
        <v>Everyday Graphics</v>
      </c>
      <c r="J2557" t="str">
        <f>_xlfn.XLOOKUP($A2557,Load!$B:$B,Load!K:K,0,)</f>
        <v>Small Pieces (Tiny bite size candies)</v>
      </c>
      <c r="K2557" t="str">
        <f>_xlfn.XLOOKUP($A2557,Load!$B:$B,Load!L:L,0,)</f>
        <v>Unwrapped</v>
      </c>
      <c r="L2557" t="str">
        <f>_xlfn.XLOOKUP($A2557,Load!$B:$B,Load!M:M,0,)</f>
        <v>Single Brand / Variety Flavors or Form</v>
      </c>
    </row>
    <row r="2558" spans="1:12" x14ac:dyDescent="0.25">
      <c r="B2558">
        <f>_xlfn.XLOOKUP($A2558,Load!$B:$B,Load!C:C,0,)</f>
        <v>0</v>
      </c>
      <c r="C2558">
        <f>_xlfn.XLOOKUP($A2558,Load!$B:$B,Load!D:D,0,)</f>
        <v>0</v>
      </c>
      <c r="D2558">
        <f>_xlfn.XLOOKUP($A2558,Load!$B:$B,Load!E:E,0,)</f>
        <v>0</v>
      </c>
      <c r="E2558">
        <f>_xlfn.XLOOKUP($A2558,Load!$B:$B,Load!F:F,0,)</f>
        <v>0</v>
      </c>
      <c r="F2558">
        <f>_xlfn.XLOOKUP($A2558,Load!$B:$B,Load!G:G,0,)</f>
        <v>0</v>
      </c>
      <c r="G2558">
        <f>_xlfn.XLOOKUP($A2558,Load!$B:$B,Load!H:H,0,)</f>
        <v>0</v>
      </c>
      <c r="H2558">
        <f>_xlfn.XLOOKUP($A2558,Load!$B:$B,Load!I:I,0,)</f>
        <v>0</v>
      </c>
      <c r="I2558">
        <f>_xlfn.XLOOKUP($A2558,Load!$B:$B,Load!J:J,0,)</f>
        <v>0</v>
      </c>
      <c r="J2558">
        <f>_xlfn.XLOOKUP($A2558,Load!$B:$B,Load!K:K,0,)</f>
        <v>0</v>
      </c>
      <c r="K2558">
        <f>_xlfn.XLOOKUP($A2558,Load!$B:$B,Load!L:L,0,)</f>
        <v>0</v>
      </c>
      <c r="L2558">
        <f>_xlfn.XLOOKUP($A2558,Load!$B:$B,Load!M:M,0,)</f>
        <v>0</v>
      </c>
    </row>
    <row r="2559" spans="1:12" x14ac:dyDescent="0.25">
      <c r="B2559">
        <f>_xlfn.XLOOKUP($A2559,Load!$B:$B,Load!C:C,0,)</f>
        <v>0</v>
      </c>
      <c r="C2559">
        <f>_xlfn.XLOOKUP($A2559,Load!$B:$B,Load!D:D,0,)</f>
        <v>0</v>
      </c>
      <c r="D2559">
        <f>_xlfn.XLOOKUP($A2559,Load!$B:$B,Load!E:E,0,)</f>
        <v>0</v>
      </c>
      <c r="E2559">
        <f>_xlfn.XLOOKUP($A2559,Load!$B:$B,Load!F:F,0,)</f>
        <v>0</v>
      </c>
      <c r="F2559">
        <f>_xlfn.XLOOKUP($A2559,Load!$B:$B,Load!G:G,0,)</f>
        <v>0</v>
      </c>
      <c r="G2559">
        <f>_xlfn.XLOOKUP($A2559,Load!$B:$B,Load!H:H,0,)</f>
        <v>0</v>
      </c>
      <c r="H2559">
        <f>_xlfn.XLOOKUP($A2559,Load!$B:$B,Load!I:I,0,)</f>
        <v>0</v>
      </c>
      <c r="I2559">
        <f>_xlfn.XLOOKUP($A2559,Load!$B:$B,Load!J:J,0,)</f>
        <v>0</v>
      </c>
      <c r="J2559">
        <f>_xlfn.XLOOKUP($A2559,Load!$B:$B,Load!K:K,0,)</f>
        <v>0</v>
      </c>
      <c r="K2559">
        <f>_xlfn.XLOOKUP($A2559,Load!$B:$B,Load!L:L,0,)</f>
        <v>0</v>
      </c>
      <c r="L2559">
        <f>_xlfn.XLOOKUP($A2559,Load!$B:$B,Load!M:M,0,)</f>
        <v>0</v>
      </c>
    </row>
    <row r="2560" spans="1:12" x14ac:dyDescent="0.25">
      <c r="B2560">
        <f>_xlfn.XLOOKUP($A2560,Load!$B:$B,Load!C:C,0,)</f>
        <v>0</v>
      </c>
      <c r="C2560">
        <f>_xlfn.XLOOKUP($A2560,Load!$B:$B,Load!D:D,0,)</f>
        <v>0</v>
      </c>
      <c r="D2560">
        <f>_xlfn.XLOOKUP($A2560,Load!$B:$B,Load!E:E,0,)</f>
        <v>0</v>
      </c>
      <c r="E2560">
        <f>_xlfn.XLOOKUP($A2560,Load!$B:$B,Load!F:F,0,)</f>
        <v>0</v>
      </c>
      <c r="F2560">
        <f>_xlfn.XLOOKUP($A2560,Load!$B:$B,Load!G:G,0,)</f>
        <v>0</v>
      </c>
      <c r="G2560">
        <f>_xlfn.XLOOKUP($A2560,Load!$B:$B,Load!H:H,0,)</f>
        <v>0</v>
      </c>
      <c r="H2560">
        <f>_xlfn.XLOOKUP($A2560,Load!$B:$B,Load!I:I,0,)</f>
        <v>0</v>
      </c>
      <c r="I2560">
        <f>_xlfn.XLOOKUP($A2560,Load!$B:$B,Load!J:J,0,)</f>
        <v>0</v>
      </c>
      <c r="J2560">
        <f>_xlfn.XLOOKUP($A2560,Load!$B:$B,Load!K:K,0,)</f>
        <v>0</v>
      </c>
      <c r="K2560">
        <f>_xlfn.XLOOKUP($A2560,Load!$B:$B,Load!L:L,0,)</f>
        <v>0</v>
      </c>
      <c r="L2560">
        <f>_xlfn.XLOOKUP($A2560,Load!$B:$B,Load!M:M,0,)</f>
        <v>0</v>
      </c>
    </row>
    <row r="2561" spans="1:12" x14ac:dyDescent="0.25">
      <c r="B2561">
        <f>_xlfn.XLOOKUP($A2561,Load!$B:$B,Load!C:C,0,)</f>
        <v>0</v>
      </c>
      <c r="C2561">
        <f>_xlfn.XLOOKUP($A2561,Load!$B:$B,Load!D:D,0,)</f>
        <v>0</v>
      </c>
      <c r="D2561">
        <f>_xlfn.XLOOKUP($A2561,Load!$B:$B,Load!E:E,0,)</f>
        <v>0</v>
      </c>
      <c r="E2561">
        <f>_xlfn.XLOOKUP($A2561,Load!$B:$B,Load!F:F,0,)</f>
        <v>0</v>
      </c>
      <c r="F2561">
        <f>_xlfn.XLOOKUP($A2561,Load!$B:$B,Load!G:G,0,)</f>
        <v>0</v>
      </c>
      <c r="G2561">
        <f>_xlfn.XLOOKUP($A2561,Load!$B:$B,Load!H:H,0,)</f>
        <v>0</v>
      </c>
      <c r="H2561">
        <f>_xlfn.XLOOKUP($A2561,Load!$B:$B,Load!I:I,0,)</f>
        <v>0</v>
      </c>
      <c r="I2561">
        <f>_xlfn.XLOOKUP($A2561,Load!$B:$B,Load!J:J,0,)</f>
        <v>0</v>
      </c>
      <c r="J2561">
        <f>_xlfn.XLOOKUP($A2561,Load!$B:$B,Load!K:K,0,)</f>
        <v>0</v>
      </c>
      <c r="K2561">
        <f>_xlfn.XLOOKUP($A2561,Load!$B:$B,Load!L:L,0,)</f>
        <v>0</v>
      </c>
      <c r="L2561">
        <f>_xlfn.XLOOKUP($A2561,Load!$B:$B,Load!M:M,0,)</f>
        <v>0</v>
      </c>
    </row>
    <row r="2562" spans="1:12" x14ac:dyDescent="0.25">
      <c r="A2562" t="s">
        <v>462</v>
      </c>
      <c r="B2562" t="str">
        <f>_xlfn.XLOOKUP($A2562,Load!$B:$B,Load!C:C,0,)</f>
        <v>Trolli</v>
      </c>
      <c r="C2562" t="str">
        <f>_xlfn.XLOOKUP($A2562,Load!$B:$B,Load!D:D,0,)</f>
        <v>Non-Chocolate Candy Only</v>
      </c>
      <c r="D2562" t="str">
        <f>_xlfn.XLOOKUP($A2562,Load!$B:$B,Load!E:E,0,)</f>
        <v>Sour</v>
      </c>
      <c r="E2562" t="str">
        <f>_xlfn.XLOOKUP($A2562,Load!$B:$B,Load!F:F,0,)</f>
        <v>Gummy</v>
      </c>
      <c r="F2562" t="str">
        <f>_xlfn.XLOOKUP($A2562,Load!$B:$B,Load!G:G,0,)</f>
        <v>Small Multipack (Less than 40 ct)</v>
      </c>
      <c r="G2562" t="str">
        <f>_xlfn.XLOOKUP($A2562,Load!$B:$B,Load!H:H,0,)</f>
        <v>Laydown Bag</v>
      </c>
      <c r="H2562" t="str">
        <f>_xlfn.XLOOKUP($A2562,Load!$B:$B,Load!I:I,0,)</f>
        <v>Seasonal Shapes (like pumpkins, candy corn, ghost, bats, etc.)</v>
      </c>
      <c r="I2562" t="str">
        <f>_xlfn.XLOOKUP($A2562,Load!$B:$B,Load!J:J,0,)</f>
        <v>Seasonal Graphics (Like Bat, Ghost, Pumpkin, Fall Leaves, Eyeballs, etc.)</v>
      </c>
      <c r="J2562" t="str">
        <f>_xlfn.XLOOKUP($A2562,Load!$B:$B,Load!K:K,0,)</f>
        <v>Fun Size / Treat Size</v>
      </c>
      <c r="K2562" t="str">
        <f>_xlfn.XLOOKUP($A2562,Load!$B:$B,Load!L:L,0,)</f>
        <v>Regular/Original Wrapping</v>
      </c>
      <c r="L2562" t="str">
        <f>_xlfn.XLOOKUP($A2562,Load!$B:$B,Load!M:M,0,)</f>
        <v>Single Brand / Variety Flavors or Form</v>
      </c>
    </row>
    <row r="2563" spans="1:12" x14ac:dyDescent="0.25">
      <c r="A2563" t="s">
        <v>150</v>
      </c>
      <c r="B2563" t="str">
        <f>_xlfn.XLOOKUP($A2563,Load!$B:$B,Load!C:C,0,)</f>
        <v>Jolly Rancher</v>
      </c>
      <c r="C2563" t="str">
        <f>_xlfn.XLOOKUP($A2563,Load!$B:$B,Load!D:D,0,)</f>
        <v>Non-Chocolate Candy Only</v>
      </c>
      <c r="D2563" t="str">
        <f>_xlfn.XLOOKUP($A2563,Load!$B:$B,Load!E:E,0,)</f>
        <v>Variety / Mixed Flavors (Fruity, Sour, Seasonal Flavors)</v>
      </c>
      <c r="E2563" t="str">
        <f>_xlfn.XLOOKUP($A2563,Load!$B:$B,Load!F:F,0,)</f>
        <v>Gummy</v>
      </c>
      <c r="F2563" t="str">
        <f>_xlfn.XLOOKUP($A2563,Load!$B:$B,Load!G:G,0,)</f>
        <v>Small Multipack (Less than 40 ct)</v>
      </c>
      <c r="G2563" t="str">
        <f>_xlfn.XLOOKUP($A2563,Load!$B:$B,Load!H:H,0,)</f>
        <v>Laydown Bag</v>
      </c>
      <c r="H2563" t="str">
        <f>_xlfn.XLOOKUP($A2563,Load!$B:$B,Load!I:I,0,)</f>
        <v>Everyday Candy Shapes (like Original, Gummy bear, Fruit, Jewels, etc.)</v>
      </c>
      <c r="I2563" t="str">
        <f>_xlfn.XLOOKUP($A2563,Load!$B:$B,Load!J:J,0,)</f>
        <v>Everyday Graphics</v>
      </c>
      <c r="J2563" t="str">
        <f>_xlfn.XLOOKUP($A2563,Load!$B:$B,Load!K:K,0,)</f>
        <v>Small Pieces (Tiny bite size candies)</v>
      </c>
      <c r="K2563" t="str">
        <f>_xlfn.XLOOKUP($A2563,Load!$B:$B,Load!L:L,0,)</f>
        <v>Regular/Original Wrapping</v>
      </c>
      <c r="L2563" t="str">
        <f>_xlfn.XLOOKUP($A2563,Load!$B:$B,Load!M:M,0,)</f>
        <v>Single Brand / Variety Flavors or Form</v>
      </c>
    </row>
    <row r="2564" spans="1:12" x14ac:dyDescent="0.25">
      <c r="A2564" t="s">
        <v>103</v>
      </c>
      <c r="B2564" t="str">
        <f>_xlfn.XLOOKUP($A2564,Load!$B:$B,Load!C:C,0,)</f>
        <v>Frankford</v>
      </c>
      <c r="C2564" t="str">
        <f>_xlfn.XLOOKUP($A2564,Load!$B:$B,Load!D:D,0,)</f>
        <v>Non-Chocolate Candy Only</v>
      </c>
      <c r="D2564" t="str">
        <f>_xlfn.XLOOKUP($A2564,Load!$B:$B,Load!E:E,0,)</f>
        <v>Sweet</v>
      </c>
      <c r="E2564" t="str">
        <f>_xlfn.XLOOKUP($A2564,Load!$B:$B,Load!F:F,0,)</f>
        <v>Gummy</v>
      </c>
      <c r="F2564" t="str">
        <f>_xlfn.XLOOKUP($A2564,Load!$B:$B,Load!G:G,0,)</f>
        <v>Medium Multipack (40–80 ct)</v>
      </c>
      <c r="G2564" t="str">
        <f>_xlfn.XLOOKUP($A2564,Load!$B:$B,Load!H:H,0,)</f>
        <v>Stand-Up Bag</v>
      </c>
      <c r="H2564" t="str">
        <f>_xlfn.XLOOKUP($A2564,Load!$B:$B,Load!I:I,0,)</f>
        <v>Seasonal Shapes (like pumpkins, candy corn, ghost, bats, etc.)</v>
      </c>
      <c r="I2564" t="str">
        <f>_xlfn.XLOOKUP($A2564,Load!$B:$B,Load!J:J,0,)</f>
        <v>Seasonal Graphics (Like Bat, Ghost, Pumpkin, Fall Leaves, Eyeballs, etc.)</v>
      </c>
      <c r="J2564" t="str">
        <f>_xlfn.XLOOKUP($A2564,Load!$B:$B,Load!K:K,0,)</f>
        <v>Fun Size / Treat Size</v>
      </c>
      <c r="K2564" t="str">
        <f>_xlfn.XLOOKUP($A2564,Load!$B:$B,Load!L:L,0,)</f>
        <v>Regular/Original Wrapping</v>
      </c>
      <c r="L2564" t="str">
        <f>_xlfn.XLOOKUP($A2564,Load!$B:$B,Load!M:M,0,)</f>
        <v>Single Brand / Variety Flavors or Form</v>
      </c>
    </row>
    <row r="2565" spans="1:12" x14ac:dyDescent="0.25">
      <c r="B2565">
        <f>_xlfn.XLOOKUP($A2565,Load!$B:$B,Load!C:C,0,)</f>
        <v>0</v>
      </c>
      <c r="C2565">
        <f>_xlfn.XLOOKUP($A2565,Load!$B:$B,Load!D:D,0,)</f>
        <v>0</v>
      </c>
      <c r="D2565">
        <f>_xlfn.XLOOKUP($A2565,Load!$B:$B,Load!E:E,0,)</f>
        <v>0</v>
      </c>
      <c r="E2565">
        <f>_xlfn.XLOOKUP($A2565,Load!$B:$B,Load!F:F,0,)</f>
        <v>0</v>
      </c>
      <c r="F2565">
        <f>_xlfn.XLOOKUP($A2565,Load!$B:$B,Load!G:G,0,)</f>
        <v>0</v>
      </c>
      <c r="G2565">
        <f>_xlfn.XLOOKUP($A2565,Load!$B:$B,Load!H:H,0,)</f>
        <v>0</v>
      </c>
      <c r="H2565">
        <f>_xlfn.XLOOKUP($A2565,Load!$B:$B,Load!I:I,0,)</f>
        <v>0</v>
      </c>
      <c r="I2565">
        <f>_xlfn.XLOOKUP($A2565,Load!$B:$B,Load!J:J,0,)</f>
        <v>0</v>
      </c>
      <c r="J2565">
        <f>_xlfn.XLOOKUP($A2565,Load!$B:$B,Load!K:K,0,)</f>
        <v>0</v>
      </c>
      <c r="K2565">
        <f>_xlfn.XLOOKUP($A2565,Load!$B:$B,Load!L:L,0,)</f>
        <v>0</v>
      </c>
      <c r="L2565">
        <f>_xlfn.XLOOKUP($A2565,Load!$B:$B,Load!M:M,0,)</f>
        <v>0</v>
      </c>
    </row>
    <row r="2566" spans="1:12" x14ac:dyDescent="0.25">
      <c r="A2566" t="s">
        <v>326</v>
      </c>
      <c r="B2566" t="str">
        <f>_xlfn.XLOOKUP($A2566,Load!$B:$B,Load!C:C,0,)</f>
        <v>Mondelez Variety Pack</v>
      </c>
      <c r="C2566" t="str">
        <f>_xlfn.XLOOKUP($A2566,Load!$B:$B,Load!D:D,0,)</f>
        <v>Mix of Chocolate and Non-Chocolate Candy</v>
      </c>
      <c r="D2566" t="str">
        <f>_xlfn.XLOOKUP($A2566,Load!$B:$B,Load!E:E,0,)</f>
        <v>Variety / Mixed Flavors (Fruity, Sour, Seasonal Flavors)</v>
      </c>
      <c r="E2566" t="str">
        <f>_xlfn.XLOOKUP($A2566,Load!$B:$B,Load!F:F,0,)</f>
        <v>Mixed / Combo Packs (Gummy, Chewy, Taffy, etc.)</v>
      </c>
      <c r="F2566" t="str">
        <f>_xlfn.XLOOKUP($A2566,Load!$B:$B,Load!G:G,0,)</f>
        <v>Medium Multipack (40–80 ct)</v>
      </c>
      <c r="G2566" t="str">
        <f>_xlfn.XLOOKUP($A2566,Load!$B:$B,Load!H:H,0,)</f>
        <v>Stand-Up Bag</v>
      </c>
      <c r="H2566" t="str">
        <f>_xlfn.XLOOKUP($A2566,Load!$B:$B,Load!I:I,0,)</f>
        <v>Everyday Candy Shapes (like Original, Gummy bear, Fruit, Jewels, etc.)</v>
      </c>
      <c r="I2566" t="str">
        <f>_xlfn.XLOOKUP($A2566,Load!$B:$B,Load!J:J,0,)</f>
        <v>Seasonal Graphics (Like Bat, Ghost, Pumpkin, Fall Leaves, Eyeballs, etc.)</v>
      </c>
      <c r="J2566" t="str">
        <f>_xlfn.XLOOKUP($A2566,Load!$B:$B,Load!K:K,0,)</f>
        <v xml:space="preserve">Variety Candy Sizes </v>
      </c>
      <c r="K2566" t="str">
        <f>_xlfn.XLOOKUP($A2566,Load!$B:$B,Load!L:L,0,)</f>
        <v>Regular/Original Wrapping</v>
      </c>
      <c r="L2566" t="str">
        <f>_xlfn.XLOOKUP($A2566,Load!$B:$B,Load!M:M,0,)</f>
        <v>Multiple Brands / Variety Flavors or Form</v>
      </c>
    </row>
    <row r="2567" spans="1:12" x14ac:dyDescent="0.25">
      <c r="A2567" t="s">
        <v>214</v>
      </c>
      <c r="B2567" t="str">
        <f>_xlfn.XLOOKUP($A2567,Load!$B:$B,Load!C:C,0,)</f>
        <v>Mars Variety Pack</v>
      </c>
      <c r="C2567" t="str">
        <f>_xlfn.XLOOKUP($A2567,Load!$B:$B,Load!D:D,0,)</f>
        <v>Mix of Chocolate and Non-Chocolate Candy</v>
      </c>
      <c r="D2567" t="str">
        <f>_xlfn.XLOOKUP($A2567,Load!$B:$B,Load!E:E,0,)</f>
        <v>Variety / Mixed Flavors (Fruity, Sour, Seasonal Flavors)</v>
      </c>
      <c r="E2567" t="str">
        <f>_xlfn.XLOOKUP($A2567,Load!$B:$B,Load!F:F,0,)</f>
        <v>Mixed / Combo Packs (Gummy, Chewy, Taffy, etc.)</v>
      </c>
      <c r="F2567" t="str">
        <f>_xlfn.XLOOKUP($A2567,Load!$B:$B,Load!G:G,0,)</f>
        <v>Large Multipack (More than 80 ct)</v>
      </c>
      <c r="G2567" t="str">
        <f>_xlfn.XLOOKUP($A2567,Load!$B:$B,Load!H:H,0,)</f>
        <v>Stand-Up Bag</v>
      </c>
      <c r="H2567" t="str">
        <f>_xlfn.XLOOKUP($A2567,Load!$B:$B,Load!I:I,0,)</f>
        <v>Everyday Candy Shapes (like Original, Gummy bear, Fruit, Jewels, etc.)</v>
      </c>
      <c r="I2567" t="str">
        <f>_xlfn.XLOOKUP($A2567,Load!$B:$B,Load!J:J,0,)</f>
        <v>Seasonal Graphics (Like Bat, Ghost, Pumpkin, Fall Leaves, Eyeballs, etc.)</v>
      </c>
      <c r="J2567" t="str">
        <f>_xlfn.XLOOKUP($A2567,Load!$B:$B,Load!K:K,0,)</f>
        <v>Fun Size / Treat Size</v>
      </c>
      <c r="K2567" t="str">
        <f>_xlfn.XLOOKUP($A2567,Load!$B:$B,Load!L:L,0,)</f>
        <v>Regular/Original Wrapping</v>
      </c>
      <c r="L2567" t="str">
        <f>_xlfn.XLOOKUP($A2567,Load!$B:$B,Load!M:M,0,)</f>
        <v>Multiple Brands / Variety Flavors or Form</v>
      </c>
    </row>
    <row r="2568" spans="1:12" x14ac:dyDescent="0.25">
      <c r="B2568">
        <f>_xlfn.XLOOKUP($A2568,Load!$B:$B,Load!C:C,0,)</f>
        <v>0</v>
      </c>
      <c r="C2568">
        <f>_xlfn.XLOOKUP($A2568,Load!$B:$B,Load!D:D,0,)</f>
        <v>0</v>
      </c>
      <c r="D2568">
        <f>_xlfn.XLOOKUP($A2568,Load!$B:$B,Load!E:E,0,)</f>
        <v>0</v>
      </c>
      <c r="E2568">
        <f>_xlfn.XLOOKUP($A2568,Load!$B:$B,Load!F:F,0,)</f>
        <v>0</v>
      </c>
      <c r="F2568">
        <f>_xlfn.XLOOKUP($A2568,Load!$B:$B,Load!G:G,0,)</f>
        <v>0</v>
      </c>
      <c r="G2568">
        <f>_xlfn.XLOOKUP($A2568,Load!$B:$B,Load!H:H,0,)</f>
        <v>0</v>
      </c>
      <c r="H2568">
        <f>_xlfn.XLOOKUP($A2568,Load!$B:$B,Load!I:I,0,)</f>
        <v>0</v>
      </c>
      <c r="I2568">
        <f>_xlfn.XLOOKUP($A2568,Load!$B:$B,Load!J:J,0,)</f>
        <v>0</v>
      </c>
      <c r="J2568">
        <f>_xlfn.XLOOKUP($A2568,Load!$B:$B,Load!K:K,0,)</f>
        <v>0</v>
      </c>
      <c r="K2568">
        <f>_xlfn.XLOOKUP($A2568,Load!$B:$B,Load!L:L,0,)</f>
        <v>0</v>
      </c>
      <c r="L2568">
        <f>_xlfn.XLOOKUP($A2568,Load!$B:$B,Load!M:M,0,)</f>
        <v>0</v>
      </c>
    </row>
    <row r="2569" spans="1:12" x14ac:dyDescent="0.25">
      <c r="B2569">
        <f>_xlfn.XLOOKUP($A2569,Load!$B:$B,Load!C:C,0,)</f>
        <v>0</v>
      </c>
      <c r="C2569">
        <f>_xlfn.XLOOKUP($A2569,Load!$B:$B,Load!D:D,0,)</f>
        <v>0</v>
      </c>
      <c r="D2569">
        <f>_xlfn.XLOOKUP($A2569,Load!$B:$B,Load!E:E,0,)</f>
        <v>0</v>
      </c>
      <c r="E2569">
        <f>_xlfn.XLOOKUP($A2569,Load!$B:$B,Load!F:F,0,)</f>
        <v>0</v>
      </c>
      <c r="F2569">
        <f>_xlfn.XLOOKUP($A2569,Load!$B:$B,Load!G:G,0,)</f>
        <v>0</v>
      </c>
      <c r="G2569">
        <f>_xlfn.XLOOKUP($A2569,Load!$B:$B,Load!H:H,0,)</f>
        <v>0</v>
      </c>
      <c r="H2569">
        <f>_xlfn.XLOOKUP($A2569,Load!$B:$B,Load!I:I,0,)</f>
        <v>0</v>
      </c>
      <c r="I2569">
        <f>_xlfn.XLOOKUP($A2569,Load!$B:$B,Load!J:J,0,)</f>
        <v>0</v>
      </c>
      <c r="J2569">
        <f>_xlfn.XLOOKUP($A2569,Load!$B:$B,Load!K:K,0,)</f>
        <v>0</v>
      </c>
      <c r="K2569">
        <f>_xlfn.XLOOKUP($A2569,Load!$B:$B,Load!L:L,0,)</f>
        <v>0</v>
      </c>
      <c r="L2569">
        <f>_xlfn.XLOOKUP($A2569,Load!$B:$B,Load!M:M,0,)</f>
        <v>0</v>
      </c>
    </row>
    <row r="2570" spans="1:12" x14ac:dyDescent="0.25">
      <c r="A2570" t="s">
        <v>157</v>
      </c>
      <c r="B2570" t="str">
        <f>_xlfn.XLOOKUP($A2570,Load!$B:$B,Load!C:C,0,)</f>
        <v>Jolly Rancher</v>
      </c>
      <c r="C2570" t="str">
        <f>_xlfn.XLOOKUP($A2570,Load!$B:$B,Load!D:D,0,)</f>
        <v>Non-Chocolate Candy Only</v>
      </c>
      <c r="D2570" t="str">
        <f>_xlfn.XLOOKUP($A2570,Load!$B:$B,Load!E:E,0,)</f>
        <v>Fruit Flavor (Cherry, Grape, Apple, Citrus, Tropical Fruit)</v>
      </c>
      <c r="E2570" t="str">
        <f>_xlfn.XLOOKUP($A2570,Load!$B:$B,Load!F:F,0,)</f>
        <v>Hard Candy</v>
      </c>
      <c r="F2570" t="str">
        <f>_xlfn.XLOOKUP($A2570,Load!$B:$B,Load!G:G,0,)</f>
        <v>Single Pack</v>
      </c>
      <c r="G2570" t="str">
        <f>_xlfn.XLOOKUP($A2570,Load!$B:$B,Load!H:H,0,)</f>
        <v>Laydown Bag</v>
      </c>
      <c r="H2570" t="str">
        <f>_xlfn.XLOOKUP($A2570,Load!$B:$B,Load!I:I,0,)</f>
        <v>Everyday Candy Shapes (like Original, Gummy bear, Fruit, Jewels, etc.)</v>
      </c>
      <c r="I2570" t="str">
        <f>_xlfn.XLOOKUP($A2570,Load!$B:$B,Load!J:J,0,)</f>
        <v>Everyday Graphics</v>
      </c>
      <c r="J2570" t="str">
        <f>_xlfn.XLOOKUP($A2570,Load!$B:$B,Load!K:K,0,)</f>
        <v>Small Pieces (Tiny bite size candies)</v>
      </c>
      <c r="K2570" t="str">
        <f>_xlfn.XLOOKUP($A2570,Load!$B:$B,Load!L:L,0,)</f>
        <v>Regular/Original Wrapping</v>
      </c>
      <c r="L2570" t="str">
        <f>_xlfn.XLOOKUP($A2570,Load!$B:$B,Load!M:M,0,)</f>
        <v>Single Brand / Variety Flavors or Form</v>
      </c>
    </row>
    <row r="2571" spans="1:12" x14ac:dyDescent="0.25">
      <c r="B2571">
        <f>_xlfn.XLOOKUP($A2571,Load!$B:$B,Load!C:C,0,)</f>
        <v>0</v>
      </c>
      <c r="C2571">
        <f>_xlfn.XLOOKUP($A2571,Load!$B:$B,Load!D:D,0,)</f>
        <v>0</v>
      </c>
      <c r="D2571">
        <f>_xlfn.XLOOKUP($A2571,Load!$B:$B,Load!E:E,0,)</f>
        <v>0</v>
      </c>
      <c r="E2571">
        <f>_xlfn.XLOOKUP($A2571,Load!$B:$B,Load!F:F,0,)</f>
        <v>0</v>
      </c>
      <c r="F2571">
        <f>_xlfn.XLOOKUP($A2571,Load!$B:$B,Load!G:G,0,)</f>
        <v>0</v>
      </c>
      <c r="G2571">
        <f>_xlfn.XLOOKUP($A2571,Load!$B:$B,Load!H:H,0,)</f>
        <v>0</v>
      </c>
      <c r="H2571">
        <f>_xlfn.XLOOKUP($A2571,Load!$B:$B,Load!I:I,0,)</f>
        <v>0</v>
      </c>
      <c r="I2571">
        <f>_xlfn.XLOOKUP($A2571,Load!$B:$B,Load!J:J,0,)</f>
        <v>0</v>
      </c>
      <c r="J2571">
        <f>_xlfn.XLOOKUP($A2571,Load!$B:$B,Load!K:K,0,)</f>
        <v>0</v>
      </c>
      <c r="K2571">
        <f>_xlfn.XLOOKUP($A2571,Load!$B:$B,Load!L:L,0,)</f>
        <v>0</v>
      </c>
      <c r="L2571">
        <f>_xlfn.XLOOKUP($A2571,Load!$B:$B,Load!M:M,0,)</f>
        <v>0</v>
      </c>
    </row>
    <row r="2572" spans="1:12" x14ac:dyDescent="0.25">
      <c r="A2572" t="s">
        <v>96</v>
      </c>
      <c r="B2572" t="str">
        <f>_xlfn.XLOOKUP($A2572,Load!$B:$B,Load!C:C,0,)</f>
        <v>Ferrero Variety Pack</v>
      </c>
      <c r="C2572" t="str">
        <f>_xlfn.XLOOKUP($A2572,Load!$B:$B,Load!D:D,0,)</f>
        <v>Mix of Chocolate and Non-Chocolate Candy</v>
      </c>
      <c r="D2572" t="str">
        <f>_xlfn.XLOOKUP($A2572,Load!$B:$B,Load!E:E,0,)</f>
        <v>Variety / Mixed Flavors (Fruity, Sour, Seasonal Flavors)</v>
      </c>
      <c r="E2572" t="str">
        <f>_xlfn.XLOOKUP($A2572,Load!$B:$B,Load!F:F,0,)</f>
        <v>Mixed / Combo Packs (Gummy, Chewy, Taffy, etc.)</v>
      </c>
      <c r="F2572" t="str">
        <f>_xlfn.XLOOKUP($A2572,Load!$B:$B,Load!G:G,0,)</f>
        <v>Large Multipack (More than 80 ct)</v>
      </c>
      <c r="G2572" t="str">
        <f>_xlfn.XLOOKUP($A2572,Load!$B:$B,Load!H:H,0,)</f>
        <v>Stand-Up Bag</v>
      </c>
      <c r="H2572" t="str">
        <f>_xlfn.XLOOKUP($A2572,Load!$B:$B,Load!I:I,0,)</f>
        <v>Everyday Candy Shapes (like Original, Gummy bear, Fruit, Jewels, etc.)</v>
      </c>
      <c r="I2572" t="str">
        <f>_xlfn.XLOOKUP($A2572,Load!$B:$B,Load!J:J,0,)</f>
        <v>Seasonal Graphics (Like Bat, Ghost, Pumpkin, Fall Leaves, Eyeballs, etc.)</v>
      </c>
      <c r="J2572" t="str">
        <f>_xlfn.XLOOKUP($A2572,Load!$B:$B,Load!K:K,0,)</f>
        <v>Fun Size / Treat Size</v>
      </c>
      <c r="K2572" t="str">
        <f>_xlfn.XLOOKUP($A2572,Load!$B:$B,Load!L:L,0,)</f>
        <v>Regular/Original Wrapping</v>
      </c>
      <c r="L2572" t="str">
        <f>_xlfn.XLOOKUP($A2572,Load!$B:$B,Load!M:M,0,)</f>
        <v>Multiple Brands / Variety Flavors or Form</v>
      </c>
    </row>
    <row r="2573" spans="1:12" x14ac:dyDescent="0.25">
      <c r="A2573" t="s">
        <v>97</v>
      </c>
      <c r="B2573" t="str">
        <f>_xlfn.XLOOKUP($A2573,Load!$B:$B,Load!C:C,0,)</f>
        <v>Ferrero Variety Pack</v>
      </c>
      <c r="C2573" t="str">
        <f>_xlfn.XLOOKUP($A2573,Load!$B:$B,Load!D:D,0,)</f>
        <v>Mix of Chocolate and Non-Chocolate Candy</v>
      </c>
      <c r="D2573" t="str">
        <f>_xlfn.XLOOKUP($A2573,Load!$B:$B,Load!E:E,0,)</f>
        <v>Variety / Mixed Flavors (Fruity, Sour, Seasonal Flavors)</v>
      </c>
      <c r="E2573" t="str">
        <f>_xlfn.XLOOKUP($A2573,Load!$B:$B,Load!F:F,0,)</f>
        <v>Mixed / Combo Packs (Gummy, Chewy, Taffy, etc.)</v>
      </c>
      <c r="F2573" t="str">
        <f>_xlfn.XLOOKUP($A2573,Load!$B:$B,Load!G:G,0,)</f>
        <v>Large Multipack (More than 80 ct)</v>
      </c>
      <c r="G2573" t="str">
        <f>_xlfn.XLOOKUP($A2573,Load!$B:$B,Load!H:H,0,)</f>
        <v>Stand-Up Bag</v>
      </c>
      <c r="H2573" t="str">
        <f>_xlfn.XLOOKUP($A2573,Load!$B:$B,Load!I:I,0,)</f>
        <v>Everyday Candy Shapes (like Original, Gummy bear, Fruit, Jewels, etc.)</v>
      </c>
      <c r="I2573" t="str">
        <f>_xlfn.XLOOKUP($A2573,Load!$B:$B,Load!J:J,0,)</f>
        <v>Seasonal Graphics (Like Bat, Ghost, Pumpkin, Fall Leaves, Eyeballs, etc.)</v>
      </c>
      <c r="J2573" t="str">
        <f>_xlfn.XLOOKUP($A2573,Load!$B:$B,Load!K:K,0,)</f>
        <v>Fun Size / Treat Size</v>
      </c>
      <c r="K2573" t="str">
        <f>_xlfn.XLOOKUP($A2573,Load!$B:$B,Load!L:L,0,)</f>
        <v>Regular/Original Wrapping</v>
      </c>
      <c r="L2573" t="str">
        <f>_xlfn.XLOOKUP($A2573,Load!$B:$B,Load!M:M,0,)</f>
        <v>Multiple Brands / Variety Flavors or Form</v>
      </c>
    </row>
    <row r="2574" spans="1:12" x14ac:dyDescent="0.25">
      <c r="A2574" t="s">
        <v>255</v>
      </c>
      <c r="B2574" t="str">
        <f>_xlfn.XLOOKUP($A2574,Load!$B:$B,Load!C:C,0,)</f>
        <v>Skittles</v>
      </c>
      <c r="C2574" t="str">
        <f>_xlfn.XLOOKUP($A2574,Load!$B:$B,Load!D:D,0,)</f>
        <v>Non-Chocolate Candy Only</v>
      </c>
      <c r="D2574" t="str">
        <f>_xlfn.XLOOKUP($A2574,Load!$B:$B,Load!E:E,0,)</f>
        <v>Variety / Mixed Flavors (Fruity, Sour, Seasonal Flavors)</v>
      </c>
      <c r="E2574" t="str">
        <f>_xlfn.XLOOKUP($A2574,Load!$B:$B,Load!F:F,0,)</f>
        <v>Gummy</v>
      </c>
      <c r="F2574" t="str">
        <f>_xlfn.XLOOKUP($A2574,Load!$B:$B,Load!G:G,0,)</f>
        <v>Large Multipack (More than 80 ct)</v>
      </c>
      <c r="G2574" t="str">
        <f>_xlfn.XLOOKUP($A2574,Load!$B:$B,Load!H:H,0,)</f>
        <v>Stand-Up Bag</v>
      </c>
      <c r="H2574" t="str">
        <f>_xlfn.XLOOKUP($A2574,Load!$B:$B,Load!I:I,0,)</f>
        <v>Everyday Candy Shapes (like Original, Gummy bear, Fruit, Jewels, etc.)</v>
      </c>
      <c r="I2574" t="str">
        <f>_xlfn.XLOOKUP($A2574,Load!$B:$B,Load!J:J,0,)</f>
        <v>Everyday Graphics</v>
      </c>
      <c r="J2574" t="str">
        <f>_xlfn.XLOOKUP($A2574,Load!$B:$B,Load!K:K,0,)</f>
        <v>Fun Size / Treat Size</v>
      </c>
      <c r="K2574" t="str">
        <f>_xlfn.XLOOKUP($A2574,Load!$B:$B,Load!L:L,0,)</f>
        <v>Regular/Original Wrapping</v>
      </c>
      <c r="L2574" t="str">
        <f>_xlfn.XLOOKUP($A2574,Load!$B:$B,Load!M:M,0,)</f>
        <v>Single Brand / Variety Flavors or Form</v>
      </c>
    </row>
    <row r="2575" spans="1:12" x14ac:dyDescent="0.25">
      <c r="B2575">
        <f>_xlfn.XLOOKUP($A2575,Load!$B:$B,Load!C:C,0,)</f>
        <v>0</v>
      </c>
      <c r="C2575">
        <f>_xlfn.XLOOKUP($A2575,Load!$B:$B,Load!D:D,0,)</f>
        <v>0</v>
      </c>
      <c r="D2575">
        <f>_xlfn.XLOOKUP($A2575,Load!$B:$B,Load!E:E,0,)</f>
        <v>0</v>
      </c>
      <c r="E2575">
        <f>_xlfn.XLOOKUP($A2575,Load!$B:$B,Load!F:F,0,)</f>
        <v>0</v>
      </c>
      <c r="F2575">
        <f>_xlfn.XLOOKUP($A2575,Load!$B:$B,Load!G:G,0,)</f>
        <v>0</v>
      </c>
      <c r="G2575">
        <f>_xlfn.XLOOKUP($A2575,Load!$B:$B,Load!H:H,0,)</f>
        <v>0</v>
      </c>
      <c r="H2575">
        <f>_xlfn.XLOOKUP($A2575,Load!$B:$B,Load!I:I,0,)</f>
        <v>0</v>
      </c>
      <c r="I2575">
        <f>_xlfn.XLOOKUP($A2575,Load!$B:$B,Load!J:J,0,)</f>
        <v>0</v>
      </c>
      <c r="J2575">
        <f>_xlfn.XLOOKUP($A2575,Load!$B:$B,Load!K:K,0,)</f>
        <v>0</v>
      </c>
      <c r="K2575">
        <f>_xlfn.XLOOKUP($A2575,Load!$B:$B,Load!L:L,0,)</f>
        <v>0</v>
      </c>
      <c r="L2575">
        <f>_xlfn.XLOOKUP($A2575,Load!$B:$B,Load!M:M,0,)</f>
        <v>0</v>
      </c>
    </row>
    <row r="2576" spans="1:12" x14ac:dyDescent="0.25">
      <c r="B2576">
        <f>_xlfn.XLOOKUP($A2576,Load!$B:$B,Load!C:C,0,)</f>
        <v>0</v>
      </c>
      <c r="C2576">
        <f>_xlfn.XLOOKUP($A2576,Load!$B:$B,Load!D:D,0,)</f>
        <v>0</v>
      </c>
      <c r="D2576">
        <f>_xlfn.XLOOKUP($A2576,Load!$B:$B,Load!E:E,0,)</f>
        <v>0</v>
      </c>
      <c r="E2576">
        <f>_xlfn.XLOOKUP($A2576,Load!$B:$B,Load!F:F,0,)</f>
        <v>0</v>
      </c>
      <c r="F2576">
        <f>_xlfn.XLOOKUP($A2576,Load!$B:$B,Load!G:G,0,)</f>
        <v>0</v>
      </c>
      <c r="G2576">
        <f>_xlfn.XLOOKUP($A2576,Load!$B:$B,Load!H:H,0,)</f>
        <v>0</v>
      </c>
      <c r="H2576">
        <f>_xlfn.XLOOKUP($A2576,Load!$B:$B,Load!I:I,0,)</f>
        <v>0</v>
      </c>
      <c r="I2576">
        <f>_xlfn.XLOOKUP($A2576,Load!$B:$B,Load!J:J,0,)</f>
        <v>0</v>
      </c>
      <c r="J2576">
        <f>_xlfn.XLOOKUP($A2576,Load!$B:$B,Load!K:K,0,)</f>
        <v>0</v>
      </c>
      <c r="K2576">
        <f>_xlfn.XLOOKUP($A2576,Load!$B:$B,Load!L:L,0,)</f>
        <v>0</v>
      </c>
      <c r="L2576">
        <f>_xlfn.XLOOKUP($A2576,Load!$B:$B,Load!M:M,0,)</f>
        <v>0</v>
      </c>
    </row>
    <row r="2577" spans="1:12" x14ac:dyDescent="0.25">
      <c r="B2577">
        <f>_xlfn.XLOOKUP($A2577,Load!$B:$B,Load!C:C,0,)</f>
        <v>0</v>
      </c>
      <c r="C2577">
        <f>_xlfn.XLOOKUP($A2577,Load!$B:$B,Load!D:D,0,)</f>
        <v>0</v>
      </c>
      <c r="D2577">
        <f>_xlfn.XLOOKUP($A2577,Load!$B:$B,Load!E:E,0,)</f>
        <v>0</v>
      </c>
      <c r="E2577">
        <f>_xlfn.XLOOKUP($A2577,Load!$B:$B,Load!F:F,0,)</f>
        <v>0</v>
      </c>
      <c r="F2577">
        <f>_xlfn.XLOOKUP($A2577,Load!$B:$B,Load!G:G,0,)</f>
        <v>0</v>
      </c>
      <c r="G2577">
        <f>_xlfn.XLOOKUP($A2577,Load!$B:$B,Load!H:H,0,)</f>
        <v>0</v>
      </c>
      <c r="H2577">
        <f>_xlfn.XLOOKUP($A2577,Load!$B:$B,Load!I:I,0,)</f>
        <v>0</v>
      </c>
      <c r="I2577">
        <f>_xlfn.XLOOKUP($A2577,Load!$B:$B,Load!J:J,0,)</f>
        <v>0</v>
      </c>
      <c r="J2577">
        <f>_xlfn.XLOOKUP($A2577,Load!$B:$B,Load!K:K,0,)</f>
        <v>0</v>
      </c>
      <c r="K2577">
        <f>_xlfn.XLOOKUP($A2577,Load!$B:$B,Load!L:L,0,)</f>
        <v>0</v>
      </c>
      <c r="L2577">
        <f>_xlfn.XLOOKUP($A2577,Load!$B:$B,Load!M:M,0,)</f>
        <v>0</v>
      </c>
    </row>
    <row r="2578" spans="1:12" x14ac:dyDescent="0.25">
      <c r="B2578">
        <f>_xlfn.XLOOKUP($A2578,Load!$B:$B,Load!C:C,0,)</f>
        <v>0</v>
      </c>
      <c r="C2578">
        <f>_xlfn.XLOOKUP($A2578,Load!$B:$B,Load!D:D,0,)</f>
        <v>0</v>
      </c>
      <c r="D2578">
        <f>_xlfn.XLOOKUP($A2578,Load!$B:$B,Load!E:E,0,)</f>
        <v>0</v>
      </c>
      <c r="E2578">
        <f>_xlfn.XLOOKUP($A2578,Load!$B:$B,Load!F:F,0,)</f>
        <v>0</v>
      </c>
      <c r="F2578">
        <f>_xlfn.XLOOKUP($A2578,Load!$B:$B,Load!G:G,0,)</f>
        <v>0</v>
      </c>
      <c r="G2578">
        <f>_xlfn.XLOOKUP($A2578,Load!$B:$B,Load!H:H,0,)</f>
        <v>0</v>
      </c>
      <c r="H2578">
        <f>_xlfn.XLOOKUP($A2578,Load!$B:$B,Load!I:I,0,)</f>
        <v>0</v>
      </c>
      <c r="I2578">
        <f>_xlfn.XLOOKUP($A2578,Load!$B:$B,Load!J:J,0,)</f>
        <v>0</v>
      </c>
      <c r="J2578">
        <f>_xlfn.XLOOKUP($A2578,Load!$B:$B,Load!K:K,0,)</f>
        <v>0</v>
      </c>
      <c r="K2578">
        <f>_xlfn.XLOOKUP($A2578,Load!$B:$B,Load!L:L,0,)</f>
        <v>0</v>
      </c>
      <c r="L2578">
        <f>_xlfn.XLOOKUP($A2578,Load!$B:$B,Load!M:M,0,)</f>
        <v>0</v>
      </c>
    </row>
    <row r="2579" spans="1:12" x14ac:dyDescent="0.25">
      <c r="B2579">
        <f>_xlfn.XLOOKUP($A2579,Load!$B:$B,Load!C:C,0,)</f>
        <v>0</v>
      </c>
      <c r="C2579">
        <f>_xlfn.XLOOKUP($A2579,Load!$B:$B,Load!D:D,0,)</f>
        <v>0</v>
      </c>
      <c r="D2579">
        <f>_xlfn.XLOOKUP($A2579,Load!$B:$B,Load!E:E,0,)</f>
        <v>0</v>
      </c>
      <c r="E2579">
        <f>_xlfn.XLOOKUP($A2579,Load!$B:$B,Load!F:F,0,)</f>
        <v>0</v>
      </c>
      <c r="F2579">
        <f>_xlfn.XLOOKUP($A2579,Load!$B:$B,Load!G:G,0,)</f>
        <v>0</v>
      </c>
      <c r="G2579">
        <f>_xlfn.XLOOKUP($A2579,Load!$B:$B,Load!H:H,0,)</f>
        <v>0</v>
      </c>
      <c r="H2579">
        <f>_xlfn.XLOOKUP($A2579,Load!$B:$B,Load!I:I,0,)</f>
        <v>0</v>
      </c>
      <c r="I2579">
        <f>_xlfn.XLOOKUP($A2579,Load!$B:$B,Load!J:J,0,)</f>
        <v>0</v>
      </c>
      <c r="J2579">
        <f>_xlfn.XLOOKUP($A2579,Load!$B:$B,Load!K:K,0,)</f>
        <v>0</v>
      </c>
      <c r="K2579">
        <f>_xlfn.XLOOKUP($A2579,Load!$B:$B,Load!L:L,0,)</f>
        <v>0</v>
      </c>
      <c r="L2579">
        <f>_xlfn.XLOOKUP($A2579,Load!$B:$B,Load!M:M,0,)</f>
        <v>0</v>
      </c>
    </row>
    <row r="2580" spans="1:12" x14ac:dyDescent="0.25">
      <c r="A2580" t="s">
        <v>167</v>
      </c>
      <c r="B2580" t="str">
        <f>_xlfn.XLOOKUP($A2580,Load!$B:$B,Load!C:C,0,)</f>
        <v>Kraft</v>
      </c>
      <c r="C2580" t="str">
        <f>_xlfn.XLOOKUP($A2580,Load!$B:$B,Load!D:D,0,)</f>
        <v>Non-Chocolate Candy Only</v>
      </c>
      <c r="D2580" t="str">
        <f>_xlfn.XLOOKUP($A2580,Load!$B:$B,Load!E:E,0,)</f>
        <v>Fall / Seasonal Flavors (pumpkin spice, caramel apple, candy corn)</v>
      </c>
      <c r="E2580" t="str">
        <f>_xlfn.XLOOKUP($A2580,Load!$B:$B,Load!F:F,0,)</f>
        <v>Lollipop (regular or lollipop rings)</v>
      </c>
      <c r="F2580" t="str">
        <f>_xlfn.XLOOKUP($A2580,Load!$B:$B,Load!G:G,0,)</f>
        <v>Single Pack</v>
      </c>
      <c r="G2580" t="str">
        <f>_xlfn.XLOOKUP($A2580,Load!$B:$B,Load!H:H,0,)</f>
        <v>Laydown Bag</v>
      </c>
      <c r="H2580" t="str">
        <f>_xlfn.XLOOKUP($A2580,Load!$B:$B,Load!I:I,0,)</f>
        <v>Everyday Candy Shapes (like Original, Gummy bear, Fruit, Jewels, etc.)</v>
      </c>
      <c r="I2580" t="str">
        <f>_xlfn.XLOOKUP($A2580,Load!$B:$B,Load!J:J,0,)</f>
        <v>Everyday Graphics</v>
      </c>
      <c r="J2580" t="str">
        <f>_xlfn.XLOOKUP($A2580,Load!$B:$B,Load!K:K,0,)</f>
        <v>Small Pieces (Tiny bite size candies)</v>
      </c>
      <c r="K2580" t="str">
        <f>_xlfn.XLOOKUP($A2580,Load!$B:$B,Load!L:L,0,)</f>
        <v>Regular/Original Wrapping</v>
      </c>
      <c r="L2580" t="str">
        <f>_xlfn.XLOOKUP($A2580,Load!$B:$B,Load!M:M,0,)</f>
        <v>Single Brand / Single Flavor or Form</v>
      </c>
    </row>
    <row r="2581" spans="1:12" x14ac:dyDescent="0.25">
      <c r="A2581" t="s">
        <v>311</v>
      </c>
      <c r="B2581" t="str">
        <f>_xlfn.XLOOKUP($A2581,Load!$B:$B,Load!C:C,0,)</f>
        <v>Werther's Original</v>
      </c>
      <c r="C2581" t="str">
        <f>_xlfn.XLOOKUP($A2581,Load!$B:$B,Load!D:D,0,)</f>
        <v>Non-Chocolate Candy Only</v>
      </c>
      <c r="D2581" t="str">
        <f>_xlfn.XLOOKUP($A2581,Load!$B:$B,Load!E:E,0,)</f>
        <v>Fall / Seasonal Flavors (pumpkin spice, caramel apple, candy corn)</v>
      </c>
      <c r="E2581" t="str">
        <f>_xlfn.XLOOKUP($A2581,Load!$B:$B,Load!F:F,0,)</f>
        <v>Chewy</v>
      </c>
      <c r="F2581" t="str">
        <f>_xlfn.XLOOKUP($A2581,Load!$B:$B,Load!G:G,0,)</f>
        <v>Single Pack</v>
      </c>
      <c r="G2581" t="str">
        <f>_xlfn.XLOOKUP($A2581,Load!$B:$B,Load!H:H,0,)</f>
        <v>Stand-Up Bag</v>
      </c>
      <c r="H2581" t="str">
        <f>_xlfn.XLOOKUP($A2581,Load!$B:$B,Load!I:I,0,)</f>
        <v>Everyday Candy Shapes (like Original, Gummy bear, Fruit, Jewels, etc.)</v>
      </c>
      <c r="I2581" t="str">
        <f>_xlfn.XLOOKUP($A2581,Load!$B:$B,Load!J:J,0,)</f>
        <v>Seasonal Graphics (Like Bat, Ghost, Pumpkin, Fall Leaves, Eyeballs, etc.)</v>
      </c>
      <c r="J2581" t="str">
        <f>_xlfn.XLOOKUP($A2581,Load!$B:$B,Load!K:K,0,)</f>
        <v>Fun Size / Treat Size</v>
      </c>
      <c r="K2581" t="str">
        <f>_xlfn.XLOOKUP($A2581,Load!$B:$B,Load!L:L,0,)</f>
        <v>Regular/Original Wrapping</v>
      </c>
      <c r="L2581" t="str">
        <f>_xlfn.XLOOKUP($A2581,Load!$B:$B,Load!M:M,0,)</f>
        <v>Single Brand / Variety Flavors or Form</v>
      </c>
    </row>
    <row r="2582" spans="1:12" x14ac:dyDescent="0.25">
      <c r="A2582" t="s">
        <v>213</v>
      </c>
      <c r="B2582" t="str">
        <f>_xlfn.XLOOKUP($A2582,Load!$B:$B,Load!C:C,0,)</f>
        <v>Mars Variety Pack</v>
      </c>
      <c r="C2582" t="str">
        <f>_xlfn.XLOOKUP($A2582,Load!$B:$B,Load!D:D,0,)</f>
        <v>Mix of Chocolate and Non-Chocolate Candy</v>
      </c>
      <c r="D2582" t="str">
        <f>_xlfn.XLOOKUP($A2582,Load!$B:$B,Load!E:E,0,)</f>
        <v>Variety / Mixed Flavors (Fruity, Sour, Seasonal Flavors)</v>
      </c>
      <c r="E2582" t="str">
        <f>_xlfn.XLOOKUP($A2582,Load!$B:$B,Load!F:F,0,)</f>
        <v>Mixed / Combo Packs (Gummy, Chewy, Taffy, etc.)</v>
      </c>
      <c r="F2582" t="str">
        <f>_xlfn.XLOOKUP($A2582,Load!$B:$B,Load!G:G,0,)</f>
        <v>Medium Multipack (40–80 ct)</v>
      </c>
      <c r="G2582" t="str">
        <f>_xlfn.XLOOKUP($A2582,Load!$B:$B,Load!H:H,0,)</f>
        <v>Stand-Up Bag</v>
      </c>
      <c r="H2582" t="str">
        <f>_xlfn.XLOOKUP($A2582,Load!$B:$B,Load!I:I,0,)</f>
        <v>Everyday Candy Shapes (like Original, Gummy bear, Fruit, Jewels, etc.)</v>
      </c>
      <c r="I2582" t="str">
        <f>_xlfn.XLOOKUP($A2582,Load!$B:$B,Load!J:J,0,)</f>
        <v>Seasonal Graphics (Like Bat, Ghost, Pumpkin, Fall Leaves, Eyeballs, etc.)</v>
      </c>
      <c r="J2582" t="str">
        <f>_xlfn.XLOOKUP($A2582,Load!$B:$B,Load!K:K,0,)</f>
        <v>Fun Size / Treat Size</v>
      </c>
      <c r="K2582" t="str">
        <f>_xlfn.XLOOKUP($A2582,Load!$B:$B,Load!L:L,0,)</f>
        <v>Regular/Original Wrapping</v>
      </c>
      <c r="L2582" t="str">
        <f>_xlfn.XLOOKUP($A2582,Load!$B:$B,Load!M:M,0,)</f>
        <v>Multiple Brands / Variety Flavors or Form</v>
      </c>
    </row>
    <row r="2583" spans="1:12" x14ac:dyDescent="0.25">
      <c r="A2583" t="s">
        <v>204</v>
      </c>
      <c r="B2583" t="str">
        <f>_xlfn.XLOOKUP($A2583,Load!$B:$B,Load!C:C,0,)</f>
        <v>Mars Variety Pack</v>
      </c>
      <c r="C2583" t="str">
        <f>_xlfn.XLOOKUP($A2583,Load!$B:$B,Load!D:D,0,)</f>
        <v>Mix of Chocolate and Non-Chocolate Candy</v>
      </c>
      <c r="D2583" t="str">
        <f>_xlfn.XLOOKUP($A2583,Load!$B:$B,Load!E:E,0,)</f>
        <v>Variety / Mixed Flavors (Fruity, Sour, Seasonal Flavors)</v>
      </c>
      <c r="E2583" t="str">
        <f>_xlfn.XLOOKUP($A2583,Load!$B:$B,Load!F:F,0,)</f>
        <v>Mixed / Combo Packs (Gummy, Chewy, Taffy, etc.)</v>
      </c>
      <c r="F2583" t="str">
        <f>_xlfn.XLOOKUP($A2583,Load!$B:$B,Load!G:G,0,)</f>
        <v>Medium Multipack (40–80 ct)</v>
      </c>
      <c r="G2583" t="str">
        <f>_xlfn.XLOOKUP($A2583,Load!$B:$B,Load!H:H,0,)</f>
        <v>Stand-Up Bag</v>
      </c>
      <c r="H2583" t="str">
        <f>_xlfn.XLOOKUP($A2583,Load!$B:$B,Load!I:I,0,)</f>
        <v>Everyday Candy Shapes (like Original, Gummy bear, Fruit, Jewels, etc.)</v>
      </c>
      <c r="I2583" t="str">
        <f>_xlfn.XLOOKUP($A2583,Load!$B:$B,Load!J:J,0,)</f>
        <v>Everyday Graphics</v>
      </c>
      <c r="J2583" t="str">
        <f>_xlfn.XLOOKUP($A2583,Load!$B:$B,Load!K:K,0,)</f>
        <v>Fun Size / Treat Size</v>
      </c>
      <c r="K2583" t="str">
        <f>_xlfn.XLOOKUP($A2583,Load!$B:$B,Load!L:L,0,)</f>
        <v>Regular/Original Wrapping</v>
      </c>
      <c r="L2583" t="str">
        <f>_xlfn.XLOOKUP($A2583,Load!$B:$B,Load!M:M,0,)</f>
        <v>Multiple Brands / Variety Flavors or Form</v>
      </c>
    </row>
    <row r="2584" spans="1:12" x14ac:dyDescent="0.25">
      <c r="A2584" t="s">
        <v>235</v>
      </c>
      <c r="B2584" t="str">
        <f>_xlfn.XLOOKUP($A2584,Load!$B:$B,Load!C:C,0,)</f>
        <v>Nerds</v>
      </c>
      <c r="C2584" t="str">
        <f>_xlfn.XLOOKUP($A2584,Load!$B:$B,Load!D:D,0,)</f>
        <v>Non-Chocolate Candy Only</v>
      </c>
      <c r="D2584" t="str">
        <f>_xlfn.XLOOKUP($A2584,Load!$B:$B,Load!E:E,0,)</f>
        <v>Variety / Mixed Flavors (Fruity, Sour, Seasonal Flavors)</v>
      </c>
      <c r="E2584" t="str">
        <f>_xlfn.XLOOKUP($A2584,Load!$B:$B,Load!F:F,0,)</f>
        <v>Candy Pieces / Bites</v>
      </c>
      <c r="F2584" t="str">
        <f>_xlfn.XLOOKUP($A2584,Load!$B:$B,Load!G:G,0,)</f>
        <v>Small Multipack (Less than 40 ct)</v>
      </c>
      <c r="G2584" t="str">
        <f>_xlfn.XLOOKUP($A2584,Load!$B:$B,Load!H:H,0,)</f>
        <v>Peg Bag</v>
      </c>
      <c r="H2584" t="str">
        <f>_xlfn.XLOOKUP($A2584,Load!$B:$B,Load!I:I,0,)</f>
        <v>Everyday Candy Shapes (like Original, Gummy bear, Fruit, Jewels, etc.)</v>
      </c>
      <c r="I2584" t="str">
        <f>_xlfn.XLOOKUP($A2584,Load!$B:$B,Load!J:J,0,)</f>
        <v>Everyday Graphics</v>
      </c>
      <c r="J2584" t="str">
        <f>_xlfn.XLOOKUP($A2584,Load!$B:$B,Load!K:K,0,)</f>
        <v>Small Pieces (Tiny bite size candies)</v>
      </c>
      <c r="K2584" t="str">
        <f>_xlfn.XLOOKUP($A2584,Load!$B:$B,Load!L:L,0,)</f>
        <v>Unwrapped</v>
      </c>
      <c r="L2584" t="str">
        <f>_xlfn.XLOOKUP($A2584,Load!$B:$B,Load!M:M,0,)</f>
        <v>Single Brand / Variety Flavors or Form</v>
      </c>
    </row>
    <row r="2585" spans="1:12" x14ac:dyDescent="0.25">
      <c r="B2585">
        <f>_xlfn.XLOOKUP($A2585,Load!$B:$B,Load!C:C,0,)</f>
        <v>0</v>
      </c>
      <c r="C2585">
        <f>_xlfn.XLOOKUP($A2585,Load!$B:$B,Load!D:D,0,)</f>
        <v>0</v>
      </c>
      <c r="D2585">
        <f>_xlfn.XLOOKUP($A2585,Load!$B:$B,Load!E:E,0,)</f>
        <v>0</v>
      </c>
      <c r="E2585">
        <f>_xlfn.XLOOKUP($A2585,Load!$B:$B,Load!F:F,0,)</f>
        <v>0</v>
      </c>
      <c r="F2585">
        <f>_xlfn.XLOOKUP($A2585,Load!$B:$B,Load!G:G,0,)</f>
        <v>0</v>
      </c>
      <c r="G2585">
        <f>_xlfn.XLOOKUP($A2585,Load!$B:$B,Load!H:H,0,)</f>
        <v>0</v>
      </c>
      <c r="H2585">
        <f>_xlfn.XLOOKUP($A2585,Load!$B:$B,Load!I:I,0,)</f>
        <v>0</v>
      </c>
      <c r="I2585">
        <f>_xlfn.XLOOKUP($A2585,Load!$B:$B,Load!J:J,0,)</f>
        <v>0</v>
      </c>
      <c r="J2585">
        <f>_xlfn.XLOOKUP($A2585,Load!$B:$B,Load!K:K,0,)</f>
        <v>0</v>
      </c>
      <c r="K2585">
        <f>_xlfn.XLOOKUP($A2585,Load!$B:$B,Load!L:L,0,)</f>
        <v>0</v>
      </c>
      <c r="L2585">
        <f>_xlfn.XLOOKUP($A2585,Load!$B:$B,Load!M:M,0,)</f>
        <v>0</v>
      </c>
    </row>
    <row r="2586" spans="1:12" x14ac:dyDescent="0.25">
      <c r="B2586">
        <f>_xlfn.XLOOKUP($A2586,Load!$B:$B,Load!C:C,0,)</f>
        <v>0</v>
      </c>
      <c r="C2586">
        <f>_xlfn.XLOOKUP($A2586,Load!$B:$B,Load!D:D,0,)</f>
        <v>0</v>
      </c>
      <c r="D2586">
        <f>_xlfn.XLOOKUP($A2586,Load!$B:$B,Load!E:E,0,)</f>
        <v>0</v>
      </c>
      <c r="E2586">
        <f>_xlfn.XLOOKUP($A2586,Load!$B:$B,Load!F:F,0,)</f>
        <v>0</v>
      </c>
      <c r="F2586">
        <f>_xlfn.XLOOKUP($A2586,Load!$B:$B,Load!G:G,0,)</f>
        <v>0</v>
      </c>
      <c r="G2586">
        <f>_xlfn.XLOOKUP($A2586,Load!$B:$B,Load!H:H,0,)</f>
        <v>0</v>
      </c>
      <c r="H2586">
        <f>_xlfn.XLOOKUP($A2586,Load!$B:$B,Load!I:I,0,)</f>
        <v>0</v>
      </c>
      <c r="I2586">
        <f>_xlfn.XLOOKUP($A2586,Load!$B:$B,Load!J:J,0,)</f>
        <v>0</v>
      </c>
      <c r="J2586">
        <f>_xlfn.XLOOKUP($A2586,Load!$B:$B,Load!K:K,0,)</f>
        <v>0</v>
      </c>
      <c r="K2586">
        <f>_xlfn.XLOOKUP($A2586,Load!$B:$B,Load!L:L,0,)</f>
        <v>0</v>
      </c>
      <c r="L2586">
        <f>_xlfn.XLOOKUP($A2586,Load!$B:$B,Load!M:M,0,)</f>
        <v>0</v>
      </c>
    </row>
    <row r="2587" spans="1:12" x14ac:dyDescent="0.25">
      <c r="B2587">
        <f>_xlfn.XLOOKUP($A2587,Load!$B:$B,Load!C:C,0,)</f>
        <v>0</v>
      </c>
      <c r="C2587">
        <f>_xlfn.XLOOKUP($A2587,Load!$B:$B,Load!D:D,0,)</f>
        <v>0</v>
      </c>
      <c r="D2587">
        <f>_xlfn.XLOOKUP($A2587,Load!$B:$B,Load!E:E,0,)</f>
        <v>0</v>
      </c>
      <c r="E2587">
        <f>_xlfn.XLOOKUP($A2587,Load!$B:$B,Load!F:F,0,)</f>
        <v>0</v>
      </c>
      <c r="F2587">
        <f>_xlfn.XLOOKUP($A2587,Load!$B:$B,Load!G:G,0,)</f>
        <v>0</v>
      </c>
      <c r="G2587">
        <f>_xlfn.XLOOKUP($A2587,Load!$B:$B,Load!H:H,0,)</f>
        <v>0</v>
      </c>
      <c r="H2587">
        <f>_xlfn.XLOOKUP($A2587,Load!$B:$B,Load!I:I,0,)</f>
        <v>0</v>
      </c>
      <c r="I2587">
        <f>_xlfn.XLOOKUP($A2587,Load!$B:$B,Load!J:J,0,)</f>
        <v>0</v>
      </c>
      <c r="J2587">
        <f>_xlfn.XLOOKUP($A2587,Load!$B:$B,Load!K:K,0,)</f>
        <v>0</v>
      </c>
      <c r="K2587">
        <f>_xlfn.XLOOKUP($A2587,Load!$B:$B,Load!L:L,0,)</f>
        <v>0</v>
      </c>
      <c r="L2587">
        <f>_xlfn.XLOOKUP($A2587,Load!$B:$B,Load!M:M,0,)</f>
        <v>0</v>
      </c>
    </row>
    <row r="2588" spans="1:12" x14ac:dyDescent="0.25">
      <c r="A2588" t="s">
        <v>278</v>
      </c>
      <c r="B2588" t="str">
        <f>_xlfn.XLOOKUP($A2588,Load!$B:$B,Load!C:C,0,)</f>
        <v>Sour Patch Kids</v>
      </c>
      <c r="C2588" t="str">
        <f>_xlfn.XLOOKUP($A2588,Load!$B:$B,Load!D:D,0,)</f>
        <v>Non-Chocolate Candy Only</v>
      </c>
      <c r="D2588" t="str">
        <f>_xlfn.XLOOKUP($A2588,Load!$B:$B,Load!E:E,0,)</f>
        <v>Sour</v>
      </c>
      <c r="E2588" t="str">
        <f>_xlfn.XLOOKUP($A2588,Load!$B:$B,Load!F:F,0,)</f>
        <v>Chewy</v>
      </c>
      <c r="F2588" t="str">
        <f>_xlfn.XLOOKUP($A2588,Load!$B:$B,Load!G:G,0,)</f>
        <v>Single Pack</v>
      </c>
      <c r="G2588" t="str">
        <f>_xlfn.XLOOKUP($A2588,Load!$B:$B,Load!H:H,0,)</f>
        <v>Peg Bag</v>
      </c>
      <c r="H2588" t="str">
        <f>_xlfn.XLOOKUP($A2588,Load!$B:$B,Load!I:I,0,)</f>
        <v>Everyday Candy Shapes (like Original, Gummy bear, Fruit, Jewels, etc.)</v>
      </c>
      <c r="I2588" t="str">
        <f>_xlfn.XLOOKUP($A2588,Load!$B:$B,Load!J:J,0,)</f>
        <v>Seasonal Graphics (Like Bat, Ghost, Pumpkin, Fall Leaves, Eyeballs, etc.)</v>
      </c>
      <c r="J2588" t="str">
        <f>_xlfn.XLOOKUP($A2588,Load!$B:$B,Load!K:K,0,)</f>
        <v>Small Pieces (Tiny bite size candies)</v>
      </c>
      <c r="K2588" t="str">
        <f>_xlfn.XLOOKUP($A2588,Load!$B:$B,Load!L:L,0,)</f>
        <v>Regular/Original Wrapping</v>
      </c>
      <c r="L2588" t="str">
        <f>_xlfn.XLOOKUP($A2588,Load!$B:$B,Load!M:M,0,)</f>
        <v>Single Brand / Variety Flavors or Form</v>
      </c>
    </row>
    <row r="2589" spans="1:12" x14ac:dyDescent="0.25">
      <c r="B2589">
        <f>_xlfn.XLOOKUP($A2589,Load!$B:$B,Load!C:C,0,)</f>
        <v>0</v>
      </c>
      <c r="C2589">
        <f>_xlfn.XLOOKUP($A2589,Load!$B:$B,Load!D:D,0,)</f>
        <v>0</v>
      </c>
      <c r="D2589">
        <f>_xlfn.XLOOKUP($A2589,Load!$B:$B,Load!E:E,0,)</f>
        <v>0</v>
      </c>
      <c r="E2589">
        <f>_xlfn.XLOOKUP($A2589,Load!$B:$B,Load!F:F,0,)</f>
        <v>0</v>
      </c>
      <c r="F2589">
        <f>_xlfn.XLOOKUP($A2589,Load!$B:$B,Load!G:G,0,)</f>
        <v>0</v>
      </c>
      <c r="G2589">
        <f>_xlfn.XLOOKUP($A2589,Load!$B:$B,Load!H:H,0,)</f>
        <v>0</v>
      </c>
      <c r="H2589">
        <f>_xlfn.XLOOKUP($A2589,Load!$B:$B,Load!I:I,0,)</f>
        <v>0</v>
      </c>
      <c r="I2589">
        <f>_xlfn.XLOOKUP($A2589,Load!$B:$B,Load!J:J,0,)</f>
        <v>0</v>
      </c>
      <c r="J2589">
        <f>_xlfn.XLOOKUP($A2589,Load!$B:$B,Load!K:K,0,)</f>
        <v>0</v>
      </c>
      <c r="K2589">
        <f>_xlfn.XLOOKUP($A2589,Load!$B:$B,Load!L:L,0,)</f>
        <v>0</v>
      </c>
      <c r="L2589">
        <f>_xlfn.XLOOKUP($A2589,Load!$B:$B,Load!M:M,0,)</f>
        <v>0</v>
      </c>
    </row>
    <row r="2590" spans="1:12" x14ac:dyDescent="0.25">
      <c r="B2590">
        <f>_xlfn.XLOOKUP($A2590,Load!$B:$B,Load!C:C,0,)</f>
        <v>0</v>
      </c>
      <c r="C2590">
        <f>_xlfn.XLOOKUP($A2590,Load!$B:$B,Load!D:D,0,)</f>
        <v>0</v>
      </c>
      <c r="D2590">
        <f>_xlfn.XLOOKUP($A2590,Load!$B:$B,Load!E:E,0,)</f>
        <v>0</v>
      </c>
      <c r="E2590">
        <f>_xlfn.XLOOKUP($A2590,Load!$B:$B,Load!F:F,0,)</f>
        <v>0</v>
      </c>
      <c r="F2590">
        <f>_xlfn.XLOOKUP($A2590,Load!$B:$B,Load!G:G,0,)</f>
        <v>0</v>
      </c>
      <c r="G2590">
        <f>_xlfn.XLOOKUP($A2590,Load!$B:$B,Load!H:H,0,)</f>
        <v>0</v>
      </c>
      <c r="H2590">
        <f>_xlfn.XLOOKUP($A2590,Load!$B:$B,Load!I:I,0,)</f>
        <v>0</v>
      </c>
      <c r="I2590">
        <f>_xlfn.XLOOKUP($A2590,Load!$B:$B,Load!J:J,0,)</f>
        <v>0</v>
      </c>
      <c r="J2590">
        <f>_xlfn.XLOOKUP($A2590,Load!$B:$B,Load!K:K,0,)</f>
        <v>0</v>
      </c>
      <c r="K2590">
        <f>_xlfn.XLOOKUP($A2590,Load!$B:$B,Load!L:L,0,)</f>
        <v>0</v>
      </c>
      <c r="L2590">
        <f>_xlfn.XLOOKUP($A2590,Load!$B:$B,Load!M:M,0,)</f>
        <v>0</v>
      </c>
    </row>
    <row r="2591" spans="1:12" x14ac:dyDescent="0.25">
      <c r="B2591">
        <f>_xlfn.XLOOKUP($A2591,Load!$B:$B,Load!C:C,0,)</f>
        <v>0</v>
      </c>
      <c r="C2591">
        <f>_xlfn.XLOOKUP($A2591,Load!$B:$B,Load!D:D,0,)</f>
        <v>0</v>
      </c>
      <c r="D2591">
        <f>_xlfn.XLOOKUP($A2591,Load!$B:$B,Load!E:E,0,)</f>
        <v>0</v>
      </c>
      <c r="E2591">
        <f>_xlfn.XLOOKUP($A2591,Load!$B:$B,Load!F:F,0,)</f>
        <v>0</v>
      </c>
      <c r="F2591">
        <f>_xlfn.XLOOKUP($A2591,Load!$B:$B,Load!G:G,0,)</f>
        <v>0</v>
      </c>
      <c r="G2591">
        <f>_xlfn.XLOOKUP($A2591,Load!$B:$B,Load!H:H,0,)</f>
        <v>0</v>
      </c>
      <c r="H2591">
        <f>_xlfn.XLOOKUP($A2591,Load!$B:$B,Load!I:I,0,)</f>
        <v>0</v>
      </c>
      <c r="I2591">
        <f>_xlfn.XLOOKUP($A2591,Load!$B:$B,Load!J:J,0,)</f>
        <v>0</v>
      </c>
      <c r="J2591">
        <f>_xlfn.XLOOKUP($A2591,Load!$B:$B,Load!K:K,0,)</f>
        <v>0</v>
      </c>
      <c r="K2591">
        <f>_xlfn.XLOOKUP($A2591,Load!$B:$B,Load!L:L,0,)</f>
        <v>0</v>
      </c>
      <c r="L2591">
        <f>_xlfn.XLOOKUP($A2591,Load!$B:$B,Load!M:M,0,)</f>
        <v>0</v>
      </c>
    </row>
    <row r="2592" spans="1:12" x14ac:dyDescent="0.25">
      <c r="A2592" t="s">
        <v>293</v>
      </c>
      <c r="B2592" t="str">
        <f>_xlfn.XLOOKUP($A2592,Load!$B:$B,Load!C:C,0,)</f>
        <v>Tootsie</v>
      </c>
      <c r="C2592" t="str">
        <f>_xlfn.XLOOKUP($A2592,Load!$B:$B,Load!D:D,0,)</f>
        <v>Mix of Chocolate and Non-Chocolate Candy</v>
      </c>
      <c r="D2592" t="str">
        <f>_xlfn.XLOOKUP($A2592,Load!$B:$B,Load!E:E,0,)</f>
        <v>Sweet</v>
      </c>
      <c r="E2592" t="str">
        <f>_xlfn.XLOOKUP($A2592,Load!$B:$B,Load!F:F,0,)</f>
        <v>Lollipop (regular or lollipop rings)</v>
      </c>
      <c r="F2592" t="str">
        <f>_xlfn.XLOOKUP($A2592,Load!$B:$B,Load!G:G,0,)</f>
        <v>Large Multipack (More than 80 ct)</v>
      </c>
      <c r="G2592" t="str">
        <f>_xlfn.XLOOKUP($A2592,Load!$B:$B,Load!H:H,0,)</f>
        <v>Laydown Bag</v>
      </c>
      <c r="H2592" t="str">
        <f>_xlfn.XLOOKUP($A2592,Load!$B:$B,Load!I:I,0,)</f>
        <v>Everyday Candy Shapes (like Original, Gummy bear, Fruit, Jewels, etc.)</v>
      </c>
      <c r="I2592" t="str">
        <f>_xlfn.XLOOKUP($A2592,Load!$B:$B,Load!J:J,0,)</f>
        <v>Everyday Graphics</v>
      </c>
      <c r="J2592" t="str">
        <f>_xlfn.XLOOKUP($A2592,Load!$B:$B,Load!K:K,0,)</f>
        <v>Regular Lollipop size (on sticks or rings)</v>
      </c>
      <c r="K2592" t="str">
        <f>_xlfn.XLOOKUP($A2592,Load!$B:$B,Load!L:L,0,)</f>
        <v>Regular/Original Wrapping</v>
      </c>
      <c r="L2592" t="str">
        <f>_xlfn.XLOOKUP($A2592,Load!$B:$B,Load!M:M,0,)</f>
        <v>Single Brand / Single Flavor or Form</v>
      </c>
    </row>
    <row r="2593" spans="1:12" x14ac:dyDescent="0.25">
      <c r="B2593">
        <f>_xlfn.XLOOKUP($A2593,Load!$B:$B,Load!C:C,0,)</f>
        <v>0</v>
      </c>
      <c r="C2593">
        <f>_xlfn.XLOOKUP($A2593,Load!$B:$B,Load!D:D,0,)</f>
        <v>0</v>
      </c>
      <c r="D2593">
        <f>_xlfn.XLOOKUP($A2593,Load!$B:$B,Load!E:E,0,)</f>
        <v>0</v>
      </c>
      <c r="E2593">
        <f>_xlfn.XLOOKUP($A2593,Load!$B:$B,Load!F:F,0,)</f>
        <v>0</v>
      </c>
      <c r="F2593">
        <f>_xlfn.XLOOKUP($A2593,Load!$B:$B,Load!G:G,0,)</f>
        <v>0</v>
      </c>
      <c r="G2593">
        <f>_xlfn.XLOOKUP($A2593,Load!$B:$B,Load!H:H,0,)</f>
        <v>0</v>
      </c>
      <c r="H2593">
        <f>_xlfn.XLOOKUP($A2593,Load!$B:$B,Load!I:I,0,)</f>
        <v>0</v>
      </c>
      <c r="I2593">
        <f>_xlfn.XLOOKUP($A2593,Load!$B:$B,Load!J:J,0,)</f>
        <v>0</v>
      </c>
      <c r="J2593">
        <f>_xlfn.XLOOKUP($A2593,Load!$B:$B,Load!K:K,0,)</f>
        <v>0</v>
      </c>
      <c r="K2593">
        <f>_xlfn.XLOOKUP($A2593,Load!$B:$B,Load!L:L,0,)</f>
        <v>0</v>
      </c>
      <c r="L2593">
        <f>_xlfn.XLOOKUP($A2593,Load!$B:$B,Load!M:M,0,)</f>
        <v>0</v>
      </c>
    </row>
    <row r="2594" spans="1:12" x14ac:dyDescent="0.25">
      <c r="A2594" t="s">
        <v>463</v>
      </c>
      <c r="B2594" t="str">
        <f>_xlfn.XLOOKUP($A2594,Load!$B:$B,Load!C:C,0,)</f>
        <v>Mars Variety Pack</v>
      </c>
      <c r="C2594" t="str">
        <f>_xlfn.XLOOKUP($A2594,Load!$B:$B,Load!D:D,0,)</f>
        <v>Mix of Chocolate and Non-Chocolate Candy</v>
      </c>
      <c r="D2594" t="str">
        <f>_xlfn.XLOOKUP($A2594,Load!$B:$B,Load!E:E,0,)</f>
        <v>Variety / Mixed Flavors (Fruity, Sour, Seasonal Flavors)</v>
      </c>
      <c r="E2594" t="str">
        <f>_xlfn.XLOOKUP($A2594,Load!$B:$B,Load!F:F,0,)</f>
        <v>Mixed / Combo Packs (Gummy, Chewy, Taffy, etc.)</v>
      </c>
      <c r="F2594" t="str">
        <f>_xlfn.XLOOKUP($A2594,Load!$B:$B,Load!G:G,0,)</f>
        <v>Medium Multipack (40–80 ct)</v>
      </c>
      <c r="G2594" t="str">
        <f>_xlfn.XLOOKUP($A2594,Load!$B:$B,Load!H:H,0,)</f>
        <v>Stand-Up Bag</v>
      </c>
      <c r="H2594" t="str">
        <f>_xlfn.XLOOKUP($A2594,Load!$B:$B,Load!I:I,0,)</f>
        <v>Everyday Candy Shapes (like Original, Gummy bear, Fruit, Jewels, etc.)</v>
      </c>
      <c r="I2594" t="str">
        <f>_xlfn.XLOOKUP($A2594,Load!$B:$B,Load!J:J,0,)</f>
        <v>Seasonal Graphics (Like Bat, Ghost, Pumpkin, Fall Leaves, Eyeballs, etc.)</v>
      </c>
      <c r="J2594" t="str">
        <f>_xlfn.XLOOKUP($A2594,Load!$B:$B,Load!K:K,0,)</f>
        <v>Fun Size / Treat Size</v>
      </c>
      <c r="K2594" t="str">
        <f>_xlfn.XLOOKUP($A2594,Load!$B:$B,Load!L:L,0,)</f>
        <v>Regular/Original Wrapping</v>
      </c>
      <c r="L2594" t="str">
        <f>_xlfn.XLOOKUP($A2594,Load!$B:$B,Load!M:M,0,)</f>
        <v>Multiple Brands / Variety Flavors or Form</v>
      </c>
    </row>
    <row r="2595" spans="1:12" x14ac:dyDescent="0.25">
      <c r="A2595" t="s">
        <v>95</v>
      </c>
      <c r="B2595" t="str">
        <f>_xlfn.XLOOKUP($A2595,Load!$B:$B,Load!C:C,0,)</f>
        <v>Ferrara Variety Pack</v>
      </c>
      <c r="C2595" t="str">
        <f>_xlfn.XLOOKUP($A2595,Load!$B:$B,Load!D:D,0,)</f>
        <v>Non-Chocolate Candy Only</v>
      </c>
      <c r="D2595" t="str">
        <f>_xlfn.XLOOKUP($A2595,Load!$B:$B,Load!E:E,0,)</f>
        <v>Variety / Mixed Flavors (Fruity, Sour, Seasonal Flavors)</v>
      </c>
      <c r="E2595" t="str">
        <f>_xlfn.XLOOKUP($A2595,Load!$B:$B,Load!F:F,0,)</f>
        <v>Mixed / Combo Packs (Gummy, Chewy, Taffy, etc.)</v>
      </c>
      <c r="F2595" t="str">
        <f>_xlfn.XLOOKUP($A2595,Load!$B:$B,Load!G:G,0,)</f>
        <v>Medium Multipack (40–80 ct)</v>
      </c>
      <c r="G2595" t="str">
        <f>_xlfn.XLOOKUP($A2595,Load!$B:$B,Load!H:H,0,)</f>
        <v>Stand-Up Bag</v>
      </c>
      <c r="H2595" t="str">
        <f>_xlfn.XLOOKUP($A2595,Load!$B:$B,Load!I:I,0,)</f>
        <v>Everyday Candy Shapes (like Original, Gummy bear, Fruit, Jewels, etc.)</v>
      </c>
      <c r="I2595" t="str">
        <f>_xlfn.XLOOKUP($A2595,Load!$B:$B,Load!J:J,0,)</f>
        <v>Seasonal Graphics (Like Bat, Ghost, Pumpkin, Fall Leaves, Eyeballs, etc.)</v>
      </c>
      <c r="J2595" t="str">
        <f>_xlfn.XLOOKUP($A2595,Load!$B:$B,Load!K:K,0,)</f>
        <v xml:space="preserve">Variety Candy Sizes </v>
      </c>
      <c r="K2595" t="str">
        <f>_xlfn.XLOOKUP($A2595,Load!$B:$B,Load!L:L,0,)</f>
        <v>Regular/Original Wrapping</v>
      </c>
      <c r="L2595" t="str">
        <f>_xlfn.XLOOKUP($A2595,Load!$B:$B,Load!M:M,0,)</f>
        <v>Multiple Brands / Variety Flavors or Form</v>
      </c>
    </row>
    <row r="2596" spans="1:12" x14ac:dyDescent="0.25">
      <c r="A2596" t="s">
        <v>221</v>
      </c>
      <c r="B2596" t="str">
        <f>_xlfn.XLOOKUP($A2596,Load!$B:$B,Load!C:C,0,)</f>
        <v>Hershey's Variety Pack + Haribo</v>
      </c>
      <c r="C2596" t="str">
        <f>_xlfn.XLOOKUP($A2596,Load!$B:$B,Load!D:D,0,)</f>
        <v>Mix of Chocolate and Non-Chocolate Candy</v>
      </c>
      <c r="D2596" t="str">
        <f>_xlfn.XLOOKUP($A2596,Load!$B:$B,Load!E:E,0,)</f>
        <v>Variety / Mixed Flavors (Fruity, Sour, Seasonal Flavors)</v>
      </c>
      <c r="E2596" t="str">
        <f>_xlfn.XLOOKUP($A2596,Load!$B:$B,Load!F:F,0,)</f>
        <v>Mixed / Combo Packs (Gummy, Chewy, Taffy, etc.)</v>
      </c>
      <c r="F2596" t="str">
        <f>_xlfn.XLOOKUP($A2596,Load!$B:$B,Load!G:G,0,)</f>
        <v>Large Multipack (More than 80 ct)</v>
      </c>
      <c r="G2596" t="str">
        <f>_xlfn.XLOOKUP($A2596,Load!$B:$B,Load!H:H,0,)</f>
        <v>Stand-Up Bag</v>
      </c>
      <c r="H2596" t="str">
        <f>_xlfn.XLOOKUP($A2596,Load!$B:$B,Load!I:I,0,)</f>
        <v>Everyday Candy Shapes (like Original, Gummy bear, Fruit, Jewels, etc.)</v>
      </c>
      <c r="I2596" t="str">
        <f>_xlfn.XLOOKUP($A2596,Load!$B:$B,Load!J:J,0,)</f>
        <v>Seasonal Graphics (Like Bat, Ghost, Pumpkin, Fall Leaves, Eyeballs, etc.)</v>
      </c>
      <c r="J2596" t="str">
        <f>_xlfn.XLOOKUP($A2596,Load!$B:$B,Load!K:K,0,)</f>
        <v xml:space="preserve">Variety Candy Sizes </v>
      </c>
      <c r="K2596" t="str">
        <f>_xlfn.XLOOKUP($A2596,Load!$B:$B,Load!L:L,0,)</f>
        <v>Regular/Original Wrapping</v>
      </c>
      <c r="L2596" t="str">
        <f>_xlfn.XLOOKUP($A2596,Load!$B:$B,Load!M:M,0,)</f>
        <v>Multiple Brands / Variety Flavors or Form</v>
      </c>
    </row>
    <row r="2597" spans="1:12" x14ac:dyDescent="0.25">
      <c r="A2597" t="s">
        <v>78</v>
      </c>
      <c r="B2597" t="str">
        <f>_xlfn.XLOOKUP($A2597,Load!$B:$B,Load!C:C,0,)</f>
        <v>Ferrara Variety Pack</v>
      </c>
      <c r="C2597" t="str">
        <f>_xlfn.XLOOKUP($A2597,Load!$B:$B,Load!D:D,0,)</f>
        <v>Non-Chocolate Candy Only</v>
      </c>
      <c r="D2597" t="str">
        <f>_xlfn.XLOOKUP($A2597,Load!$B:$B,Load!E:E,0,)</f>
        <v>Variety / Mixed Flavors (Fruity, Sour, Seasonal Flavors)</v>
      </c>
      <c r="E2597" t="str">
        <f>_xlfn.XLOOKUP($A2597,Load!$B:$B,Load!F:F,0,)</f>
        <v>Mixed / Combo Packs (Gummy, Chewy, Taffy, etc.)</v>
      </c>
      <c r="F2597" t="str">
        <f>_xlfn.XLOOKUP($A2597,Load!$B:$B,Load!G:G,0,)</f>
        <v>Large Multipack (More than 80 ct)</v>
      </c>
      <c r="G2597" t="str">
        <f>_xlfn.XLOOKUP($A2597,Load!$B:$B,Load!H:H,0,)</f>
        <v>Stand-Up Bag</v>
      </c>
      <c r="H2597" t="str">
        <f>_xlfn.XLOOKUP($A2597,Load!$B:$B,Load!I:I,0,)</f>
        <v>Everyday Candy Shapes (like Original, Gummy bear, Fruit, Jewels, etc.)</v>
      </c>
      <c r="I2597" t="str">
        <f>_xlfn.XLOOKUP($A2597,Load!$B:$B,Load!J:J,0,)</f>
        <v>Seasonal Graphics (Like Bat, Ghost, Pumpkin, Fall Leaves, Eyeballs, etc.)</v>
      </c>
      <c r="J2597" t="str">
        <f>_xlfn.XLOOKUP($A2597,Load!$B:$B,Load!K:K,0,)</f>
        <v xml:space="preserve">Variety Candy Sizes </v>
      </c>
      <c r="K2597" t="str">
        <f>_xlfn.XLOOKUP($A2597,Load!$B:$B,Load!L:L,0,)</f>
        <v>Regular/Original Wrapping</v>
      </c>
      <c r="L2597" t="str">
        <f>_xlfn.XLOOKUP($A2597,Load!$B:$B,Load!M:M,0,)</f>
        <v>Multiple Brands / Variety Flavors or Form</v>
      </c>
    </row>
    <row r="2598" spans="1:12" x14ac:dyDescent="0.25">
      <c r="B2598">
        <f>_xlfn.XLOOKUP($A2598,Load!$B:$B,Load!C:C,0,)</f>
        <v>0</v>
      </c>
      <c r="C2598">
        <f>_xlfn.XLOOKUP($A2598,Load!$B:$B,Load!D:D,0,)</f>
        <v>0</v>
      </c>
      <c r="D2598">
        <f>_xlfn.XLOOKUP($A2598,Load!$B:$B,Load!E:E,0,)</f>
        <v>0</v>
      </c>
      <c r="E2598">
        <f>_xlfn.XLOOKUP($A2598,Load!$B:$B,Load!F:F,0,)</f>
        <v>0</v>
      </c>
      <c r="F2598">
        <f>_xlfn.XLOOKUP($A2598,Load!$B:$B,Load!G:G,0,)</f>
        <v>0</v>
      </c>
      <c r="G2598">
        <f>_xlfn.XLOOKUP($A2598,Load!$B:$B,Load!H:H,0,)</f>
        <v>0</v>
      </c>
      <c r="H2598">
        <f>_xlfn.XLOOKUP($A2598,Load!$B:$B,Load!I:I,0,)</f>
        <v>0</v>
      </c>
      <c r="I2598">
        <f>_xlfn.XLOOKUP($A2598,Load!$B:$B,Load!J:J,0,)</f>
        <v>0</v>
      </c>
      <c r="J2598">
        <f>_xlfn.XLOOKUP($A2598,Load!$B:$B,Load!K:K,0,)</f>
        <v>0</v>
      </c>
      <c r="K2598">
        <f>_xlfn.XLOOKUP($A2598,Load!$B:$B,Load!L:L,0,)</f>
        <v>0</v>
      </c>
      <c r="L2598">
        <f>_xlfn.XLOOKUP($A2598,Load!$B:$B,Load!M:M,0,)</f>
        <v>0</v>
      </c>
    </row>
    <row r="2599" spans="1:12" x14ac:dyDescent="0.25">
      <c r="B2599">
        <f>_xlfn.XLOOKUP($A2599,Load!$B:$B,Load!C:C,0,)</f>
        <v>0</v>
      </c>
      <c r="C2599">
        <f>_xlfn.XLOOKUP($A2599,Load!$B:$B,Load!D:D,0,)</f>
        <v>0</v>
      </c>
      <c r="D2599">
        <f>_xlfn.XLOOKUP($A2599,Load!$B:$B,Load!E:E,0,)</f>
        <v>0</v>
      </c>
      <c r="E2599">
        <f>_xlfn.XLOOKUP($A2599,Load!$B:$B,Load!F:F,0,)</f>
        <v>0</v>
      </c>
      <c r="F2599">
        <f>_xlfn.XLOOKUP($A2599,Load!$B:$B,Load!G:G,0,)</f>
        <v>0</v>
      </c>
      <c r="G2599">
        <f>_xlfn.XLOOKUP($A2599,Load!$B:$B,Load!H:H,0,)</f>
        <v>0</v>
      </c>
      <c r="H2599">
        <f>_xlfn.XLOOKUP($A2599,Load!$B:$B,Load!I:I,0,)</f>
        <v>0</v>
      </c>
      <c r="I2599">
        <f>_xlfn.XLOOKUP($A2599,Load!$B:$B,Load!J:J,0,)</f>
        <v>0</v>
      </c>
      <c r="J2599">
        <f>_xlfn.XLOOKUP($A2599,Load!$B:$B,Load!K:K,0,)</f>
        <v>0</v>
      </c>
      <c r="K2599">
        <f>_xlfn.XLOOKUP($A2599,Load!$B:$B,Load!L:L,0,)</f>
        <v>0</v>
      </c>
      <c r="L2599">
        <f>_xlfn.XLOOKUP($A2599,Load!$B:$B,Load!M:M,0,)</f>
        <v>0</v>
      </c>
    </row>
    <row r="2600" spans="1:12" x14ac:dyDescent="0.25">
      <c r="A2600" t="s">
        <v>188</v>
      </c>
      <c r="B2600" t="str">
        <f>_xlfn.XLOOKUP($A2600,Load!$B:$B,Load!C:C,0,)</f>
        <v>Mars Variety Pack</v>
      </c>
      <c r="C2600" t="str">
        <f>_xlfn.XLOOKUP($A2600,Load!$B:$B,Load!D:D,0,)</f>
        <v>Non-Chocolate Candy Only</v>
      </c>
      <c r="D2600" t="str">
        <f>_xlfn.XLOOKUP($A2600,Load!$B:$B,Load!E:E,0,)</f>
        <v>Variety / Mixed Flavors (Fruity, Sour, Seasonal Flavors)</v>
      </c>
      <c r="E2600" t="str">
        <f>_xlfn.XLOOKUP($A2600,Load!$B:$B,Load!F:F,0,)</f>
        <v>Mixed / Combo Packs (Gummy, Chewy, Taffy, etc.)</v>
      </c>
      <c r="F2600" t="str">
        <f>_xlfn.XLOOKUP($A2600,Load!$B:$B,Load!G:G,0,)</f>
        <v>Large Multipack (More than 80 ct)</v>
      </c>
      <c r="G2600" t="str">
        <f>_xlfn.XLOOKUP($A2600,Load!$B:$B,Load!H:H,0,)</f>
        <v>Laydown Bag</v>
      </c>
      <c r="H2600" t="str">
        <f>_xlfn.XLOOKUP($A2600,Load!$B:$B,Load!I:I,0,)</f>
        <v>Everyday Candy Shapes (like Original, Gummy bear, Fruit, Jewels, etc.)</v>
      </c>
      <c r="I2600" t="str">
        <f>_xlfn.XLOOKUP($A2600,Load!$B:$B,Load!J:J,0,)</f>
        <v>Everyday Graphics</v>
      </c>
      <c r="J2600" t="str">
        <f>_xlfn.XLOOKUP($A2600,Load!$B:$B,Load!K:K,0,)</f>
        <v>Small Pieces (Tiny bite size candies)</v>
      </c>
      <c r="K2600" t="str">
        <f>_xlfn.XLOOKUP($A2600,Load!$B:$B,Load!L:L,0,)</f>
        <v>Regular/Original Wrapping</v>
      </c>
      <c r="L2600" t="str">
        <f>_xlfn.XLOOKUP($A2600,Load!$B:$B,Load!M:M,0,)</f>
        <v>Multiple Brands / Variety Flavors or Form</v>
      </c>
    </row>
    <row r="2601" spans="1:12" x14ac:dyDescent="0.25">
      <c r="A2601" t="s">
        <v>131</v>
      </c>
      <c r="B2601" t="str">
        <f>_xlfn.XLOOKUP($A2601,Load!$B:$B,Load!C:C,0,)</f>
        <v>Hershey's</v>
      </c>
      <c r="C2601" t="str">
        <f>_xlfn.XLOOKUP($A2601,Load!$B:$B,Load!D:D,0,)</f>
        <v>Mix of Chocolate and Non-Chocolate Candy</v>
      </c>
      <c r="D2601" t="str">
        <f>_xlfn.XLOOKUP($A2601,Load!$B:$B,Load!E:E,0,)</f>
        <v>Variety / Mixed Flavors (Fruity, Sour, Seasonal Flavors)</v>
      </c>
      <c r="E2601" t="str">
        <f>_xlfn.XLOOKUP($A2601,Load!$B:$B,Load!F:F,0,)</f>
        <v>Mixed / Combo Packs (Gummy, Chewy, Taffy, etc.)</v>
      </c>
      <c r="F2601" t="str">
        <f>_xlfn.XLOOKUP($A2601,Load!$B:$B,Load!G:G,0,)</f>
        <v>Large Multipack (More than 80 ct)</v>
      </c>
      <c r="G2601" t="str">
        <f>_xlfn.XLOOKUP($A2601,Load!$B:$B,Load!H:H,0,)</f>
        <v>Stand-Up Bag</v>
      </c>
      <c r="H2601" t="str">
        <f>_xlfn.XLOOKUP($A2601,Load!$B:$B,Load!I:I,0,)</f>
        <v>Everyday Candy Shapes (like Original, Gummy bear, Fruit, Jewels, etc.)</v>
      </c>
      <c r="I2601" t="str">
        <f>_xlfn.XLOOKUP($A2601,Load!$B:$B,Load!J:J,0,)</f>
        <v>Seasonal Graphics (Like Bat, Ghost, Pumpkin, Fall Leaves, Eyeballs, etc.)</v>
      </c>
      <c r="J2601" t="str">
        <f>_xlfn.XLOOKUP($A2601,Load!$B:$B,Load!K:K,0,)</f>
        <v>Fun Size / Treat Size</v>
      </c>
      <c r="K2601" t="str">
        <f>_xlfn.XLOOKUP($A2601,Load!$B:$B,Load!L:L,0,)</f>
        <v>Regular/Original Wrapping</v>
      </c>
      <c r="L2601" t="str">
        <f>_xlfn.XLOOKUP($A2601,Load!$B:$B,Load!M:M,0,)</f>
        <v>Multiple Brands / Variety Flavors or Form</v>
      </c>
    </row>
    <row r="2602" spans="1:12" x14ac:dyDescent="0.25">
      <c r="B2602">
        <f>_xlfn.XLOOKUP($A2602,Load!$B:$B,Load!C:C,0,)</f>
        <v>0</v>
      </c>
      <c r="C2602">
        <f>_xlfn.XLOOKUP($A2602,Load!$B:$B,Load!D:D,0,)</f>
        <v>0</v>
      </c>
      <c r="D2602">
        <f>_xlfn.XLOOKUP($A2602,Load!$B:$B,Load!E:E,0,)</f>
        <v>0</v>
      </c>
      <c r="E2602">
        <f>_xlfn.XLOOKUP($A2602,Load!$B:$B,Load!F:F,0,)</f>
        <v>0</v>
      </c>
      <c r="F2602">
        <f>_xlfn.XLOOKUP($A2602,Load!$B:$B,Load!G:G,0,)</f>
        <v>0</v>
      </c>
      <c r="G2602">
        <f>_xlfn.XLOOKUP($A2602,Load!$B:$B,Load!H:H,0,)</f>
        <v>0</v>
      </c>
      <c r="H2602">
        <f>_xlfn.XLOOKUP($A2602,Load!$B:$B,Load!I:I,0,)</f>
        <v>0</v>
      </c>
      <c r="I2602">
        <f>_xlfn.XLOOKUP($A2602,Load!$B:$B,Load!J:J,0,)</f>
        <v>0</v>
      </c>
      <c r="J2602">
        <f>_xlfn.XLOOKUP($A2602,Load!$B:$B,Load!K:K,0,)</f>
        <v>0</v>
      </c>
      <c r="K2602">
        <f>_xlfn.XLOOKUP($A2602,Load!$B:$B,Load!L:L,0,)</f>
        <v>0</v>
      </c>
      <c r="L2602">
        <f>_xlfn.XLOOKUP($A2602,Load!$B:$B,Load!M:M,0,)</f>
        <v>0</v>
      </c>
    </row>
    <row r="2603" spans="1:12" x14ac:dyDescent="0.25">
      <c r="B2603">
        <f>_xlfn.XLOOKUP($A2603,Load!$B:$B,Load!C:C,0,)</f>
        <v>0</v>
      </c>
      <c r="C2603">
        <f>_xlfn.XLOOKUP($A2603,Load!$B:$B,Load!D:D,0,)</f>
        <v>0</v>
      </c>
      <c r="D2603">
        <f>_xlfn.XLOOKUP($A2603,Load!$B:$B,Load!E:E,0,)</f>
        <v>0</v>
      </c>
      <c r="E2603">
        <f>_xlfn.XLOOKUP($A2603,Load!$B:$B,Load!F:F,0,)</f>
        <v>0</v>
      </c>
      <c r="F2603">
        <f>_xlfn.XLOOKUP($A2603,Load!$B:$B,Load!G:G,0,)</f>
        <v>0</v>
      </c>
      <c r="G2603">
        <f>_xlfn.XLOOKUP($A2603,Load!$B:$B,Load!H:H,0,)</f>
        <v>0</v>
      </c>
      <c r="H2603">
        <f>_xlfn.XLOOKUP($A2603,Load!$B:$B,Load!I:I,0,)</f>
        <v>0</v>
      </c>
      <c r="I2603">
        <f>_xlfn.XLOOKUP($A2603,Load!$B:$B,Load!J:J,0,)</f>
        <v>0</v>
      </c>
      <c r="J2603">
        <f>_xlfn.XLOOKUP($A2603,Load!$B:$B,Load!K:K,0,)</f>
        <v>0</v>
      </c>
      <c r="K2603">
        <f>_xlfn.XLOOKUP($A2603,Load!$B:$B,Load!L:L,0,)</f>
        <v>0</v>
      </c>
      <c r="L2603">
        <f>_xlfn.XLOOKUP($A2603,Load!$B:$B,Load!M:M,0,)</f>
        <v>0</v>
      </c>
    </row>
    <row r="2604" spans="1:12" x14ac:dyDescent="0.25">
      <c r="A2604" t="s">
        <v>201</v>
      </c>
      <c r="B2604" t="str">
        <f>_xlfn.XLOOKUP($A2604,Load!$B:$B,Load!C:C,0,)</f>
        <v>Mars Variety Pack</v>
      </c>
      <c r="C2604" t="str">
        <f>_xlfn.XLOOKUP($A2604,Load!$B:$B,Load!D:D,0,)</f>
        <v>Non-Chocolate Candy Only</v>
      </c>
      <c r="D2604" t="str">
        <f>_xlfn.XLOOKUP($A2604,Load!$B:$B,Load!E:E,0,)</f>
        <v>Variety / Mixed Flavors (Fruity, Sour, Seasonal Flavors)</v>
      </c>
      <c r="E2604" t="str">
        <f>_xlfn.XLOOKUP($A2604,Load!$B:$B,Load!F:F,0,)</f>
        <v>Mixed / Combo Packs (Gummy, Chewy, Taffy, etc.)</v>
      </c>
      <c r="F2604" t="str">
        <f>_xlfn.XLOOKUP($A2604,Load!$B:$B,Load!G:G,0,)</f>
        <v>Large Multipack (More than 80 ct)</v>
      </c>
      <c r="G2604" t="str">
        <f>_xlfn.XLOOKUP($A2604,Load!$B:$B,Load!H:H,0,)</f>
        <v>Stand-Up Bag</v>
      </c>
      <c r="H2604" t="str">
        <f>_xlfn.XLOOKUP($A2604,Load!$B:$B,Load!I:I,0,)</f>
        <v>Everyday Candy Shapes (like Original, Gummy bear, Fruit, Jewels, etc.)</v>
      </c>
      <c r="I2604" t="str">
        <f>_xlfn.XLOOKUP($A2604,Load!$B:$B,Load!J:J,0,)</f>
        <v>Everyday Graphics</v>
      </c>
      <c r="J2604" t="str">
        <f>_xlfn.XLOOKUP($A2604,Load!$B:$B,Load!K:K,0,)</f>
        <v>Fun Size / Treat Size</v>
      </c>
      <c r="K2604" t="str">
        <f>_xlfn.XLOOKUP($A2604,Load!$B:$B,Load!L:L,0,)</f>
        <v>Regular/Original Wrapping</v>
      </c>
      <c r="L2604" t="str">
        <f>_xlfn.XLOOKUP($A2604,Load!$B:$B,Load!M:M,0,)</f>
        <v>Multiple Brands / Variety Flavors or Form</v>
      </c>
    </row>
    <row r="2605" spans="1:12" x14ac:dyDescent="0.25">
      <c r="B2605">
        <f>_xlfn.XLOOKUP($A2605,Load!$B:$B,Load!C:C,0,)</f>
        <v>0</v>
      </c>
      <c r="C2605">
        <f>_xlfn.XLOOKUP($A2605,Load!$B:$B,Load!D:D,0,)</f>
        <v>0</v>
      </c>
      <c r="D2605">
        <f>_xlfn.XLOOKUP($A2605,Load!$B:$B,Load!E:E,0,)</f>
        <v>0</v>
      </c>
      <c r="E2605">
        <f>_xlfn.XLOOKUP($A2605,Load!$B:$B,Load!F:F,0,)</f>
        <v>0</v>
      </c>
      <c r="F2605">
        <f>_xlfn.XLOOKUP($A2605,Load!$B:$B,Load!G:G,0,)</f>
        <v>0</v>
      </c>
      <c r="G2605">
        <f>_xlfn.XLOOKUP($A2605,Load!$B:$B,Load!H:H,0,)</f>
        <v>0</v>
      </c>
      <c r="H2605">
        <f>_xlfn.XLOOKUP($A2605,Load!$B:$B,Load!I:I,0,)</f>
        <v>0</v>
      </c>
      <c r="I2605">
        <f>_xlfn.XLOOKUP($A2605,Load!$B:$B,Load!J:J,0,)</f>
        <v>0</v>
      </c>
      <c r="J2605">
        <f>_xlfn.XLOOKUP($A2605,Load!$B:$B,Load!K:K,0,)</f>
        <v>0</v>
      </c>
      <c r="K2605">
        <f>_xlfn.XLOOKUP($A2605,Load!$B:$B,Load!L:L,0,)</f>
        <v>0</v>
      </c>
      <c r="L2605">
        <f>_xlfn.XLOOKUP($A2605,Load!$B:$B,Load!M:M,0,)</f>
        <v>0</v>
      </c>
    </row>
    <row r="2606" spans="1:12" x14ac:dyDescent="0.25">
      <c r="A2606" t="s">
        <v>252</v>
      </c>
      <c r="B2606" t="str">
        <f>_xlfn.XLOOKUP($A2606,Load!$B:$B,Load!C:C,0,)</f>
        <v>Skittles</v>
      </c>
      <c r="C2606" t="str">
        <f>_xlfn.XLOOKUP($A2606,Load!$B:$B,Load!D:D,0,)</f>
        <v>Non-Chocolate Candy Only</v>
      </c>
      <c r="D2606" t="str">
        <f>_xlfn.XLOOKUP($A2606,Load!$B:$B,Load!E:E,0,)</f>
        <v>Sour</v>
      </c>
      <c r="E2606" t="str">
        <f>_xlfn.XLOOKUP($A2606,Load!$B:$B,Load!F:F,0,)</f>
        <v>Candy Pieces / Bites</v>
      </c>
      <c r="F2606" t="str">
        <f>_xlfn.XLOOKUP($A2606,Load!$B:$B,Load!G:G,0,)</f>
        <v>Single Pack</v>
      </c>
      <c r="G2606" t="str">
        <f>_xlfn.XLOOKUP($A2606,Load!$B:$B,Load!H:H,0,)</f>
        <v>Laydown Bag</v>
      </c>
      <c r="H2606" t="str">
        <f>_xlfn.XLOOKUP($A2606,Load!$B:$B,Load!I:I,0,)</f>
        <v>Everyday Candy Shapes (like Original, Gummy bear, Fruit, Jewels, etc.)</v>
      </c>
      <c r="I2606" t="str">
        <f>_xlfn.XLOOKUP($A2606,Load!$B:$B,Load!J:J,0,)</f>
        <v>Seasonal Graphics (Like Bat, Ghost, Pumpkin, Fall Leaves, Eyeballs, etc.)</v>
      </c>
      <c r="J2606" t="str">
        <f>_xlfn.XLOOKUP($A2606,Load!$B:$B,Load!K:K,0,)</f>
        <v>Small Pieces (Tiny bite size candies)</v>
      </c>
      <c r="K2606" t="str">
        <f>_xlfn.XLOOKUP($A2606,Load!$B:$B,Load!L:L,0,)</f>
        <v>Unwrapped</v>
      </c>
      <c r="L2606" t="str">
        <f>_xlfn.XLOOKUP($A2606,Load!$B:$B,Load!M:M,0,)</f>
        <v>Single Brand / Variety Flavors or Form</v>
      </c>
    </row>
    <row r="2607" spans="1:12" x14ac:dyDescent="0.25">
      <c r="B2607">
        <f>_xlfn.XLOOKUP($A2607,Load!$B:$B,Load!C:C,0,)</f>
        <v>0</v>
      </c>
      <c r="C2607">
        <f>_xlfn.XLOOKUP($A2607,Load!$B:$B,Load!D:D,0,)</f>
        <v>0</v>
      </c>
      <c r="D2607">
        <f>_xlfn.XLOOKUP($A2607,Load!$B:$B,Load!E:E,0,)</f>
        <v>0</v>
      </c>
      <c r="E2607">
        <f>_xlfn.XLOOKUP($A2607,Load!$B:$B,Load!F:F,0,)</f>
        <v>0</v>
      </c>
      <c r="F2607">
        <f>_xlfn.XLOOKUP($A2607,Load!$B:$B,Load!G:G,0,)</f>
        <v>0</v>
      </c>
      <c r="G2607">
        <f>_xlfn.XLOOKUP($A2607,Load!$B:$B,Load!H:H,0,)</f>
        <v>0</v>
      </c>
      <c r="H2607">
        <f>_xlfn.XLOOKUP($A2607,Load!$B:$B,Load!I:I,0,)</f>
        <v>0</v>
      </c>
      <c r="I2607">
        <f>_xlfn.XLOOKUP($A2607,Load!$B:$B,Load!J:J,0,)</f>
        <v>0</v>
      </c>
      <c r="J2607">
        <f>_xlfn.XLOOKUP($A2607,Load!$B:$B,Load!K:K,0,)</f>
        <v>0</v>
      </c>
      <c r="K2607">
        <f>_xlfn.XLOOKUP($A2607,Load!$B:$B,Load!L:L,0,)</f>
        <v>0</v>
      </c>
      <c r="L2607">
        <f>_xlfn.XLOOKUP($A2607,Load!$B:$B,Load!M:M,0,)</f>
        <v>0</v>
      </c>
    </row>
    <row r="2608" spans="1:12" x14ac:dyDescent="0.25">
      <c r="A2608" t="s">
        <v>175</v>
      </c>
      <c r="B2608" t="str">
        <f>_xlfn.XLOOKUP($A2608,Load!$B:$B,Load!C:C,0,)</f>
        <v>Mars Variety Pack</v>
      </c>
      <c r="C2608" t="str">
        <f>_xlfn.XLOOKUP($A2608,Load!$B:$B,Load!D:D,0,)</f>
        <v>Mix of Chocolate and Non-Chocolate Candy</v>
      </c>
      <c r="D2608" t="str">
        <f>_xlfn.XLOOKUP($A2608,Load!$B:$B,Load!E:E,0,)</f>
        <v>Variety / Mixed Flavors (Fruity, Sour, Seasonal Flavors)</v>
      </c>
      <c r="E2608" t="str">
        <f>_xlfn.XLOOKUP($A2608,Load!$B:$B,Load!F:F,0,)</f>
        <v>Mixed / Combo Packs (Gummy, Chewy, Taffy, etc.)</v>
      </c>
      <c r="F2608" t="str">
        <f>_xlfn.XLOOKUP($A2608,Load!$B:$B,Load!G:G,0,)</f>
        <v>Large Multipack (More than 80 ct)</v>
      </c>
      <c r="G2608" t="str">
        <f>_xlfn.XLOOKUP($A2608,Load!$B:$B,Load!H:H,0,)</f>
        <v>Stand-Up Bag</v>
      </c>
      <c r="H2608" t="str">
        <f>_xlfn.XLOOKUP($A2608,Load!$B:$B,Load!I:I,0,)</f>
        <v>Everyday Candy Shapes (like Original, Gummy bear, Fruit, Jewels, etc.)</v>
      </c>
      <c r="I2608" t="str">
        <f>_xlfn.XLOOKUP($A2608,Load!$B:$B,Load!J:J,0,)</f>
        <v>Seasonal Graphics (Like Bat, Ghost, Pumpkin, Fall Leaves, Eyeballs, etc.)</v>
      </c>
      <c r="J2608" t="str">
        <f>_xlfn.XLOOKUP($A2608,Load!$B:$B,Load!K:K,0,)</f>
        <v xml:space="preserve">Variety Candy Sizes </v>
      </c>
      <c r="K2608" t="str">
        <f>_xlfn.XLOOKUP($A2608,Load!$B:$B,Load!L:L,0,)</f>
        <v>Regular/Original Wrapping</v>
      </c>
      <c r="L2608" t="str">
        <f>_xlfn.XLOOKUP($A2608,Load!$B:$B,Load!M:M,0,)</f>
        <v>Multiple Brands / Variety Flavors or Form</v>
      </c>
    </row>
    <row r="2609" spans="1:12" x14ac:dyDescent="0.25">
      <c r="A2609" t="s">
        <v>187</v>
      </c>
      <c r="B2609" t="str">
        <f>_xlfn.XLOOKUP($A2609,Load!$B:$B,Load!C:C,0,)</f>
        <v>Mars Variety Pack</v>
      </c>
      <c r="C2609" t="str">
        <f>_xlfn.XLOOKUP($A2609,Load!$B:$B,Load!D:D,0,)</f>
        <v>Mix of Chocolate and Non-Chocolate Candy</v>
      </c>
      <c r="D2609" t="str">
        <f>_xlfn.XLOOKUP($A2609,Load!$B:$B,Load!E:E,0,)</f>
        <v>Variety / Mixed Flavors (Fruity, Sour, Seasonal Flavors)</v>
      </c>
      <c r="E2609" t="str">
        <f>_xlfn.XLOOKUP($A2609,Load!$B:$B,Load!F:F,0,)</f>
        <v>Mixed / Combo Packs (Gummy, Chewy, Taffy, etc.)</v>
      </c>
      <c r="F2609" t="str">
        <f>_xlfn.XLOOKUP($A2609,Load!$B:$B,Load!G:G,0,)</f>
        <v>Medium Multipack (40–80 ct)</v>
      </c>
      <c r="G2609" t="str">
        <f>_xlfn.XLOOKUP($A2609,Load!$B:$B,Load!H:H,0,)</f>
        <v>Stand-Up Bag</v>
      </c>
      <c r="H2609" t="str">
        <f>_xlfn.XLOOKUP($A2609,Load!$B:$B,Load!I:I,0,)</f>
        <v>Everyday Candy Shapes (like Original, Gummy bear, Fruit, Jewels, etc.)</v>
      </c>
      <c r="I2609" t="str">
        <f>_xlfn.XLOOKUP($A2609,Load!$B:$B,Load!J:J,0,)</f>
        <v>Seasonal Graphics (Like Bat, Ghost, Pumpkin, Fall Leaves, Eyeballs, etc.)</v>
      </c>
      <c r="J2609" t="str">
        <f>_xlfn.XLOOKUP($A2609,Load!$B:$B,Load!K:K,0,)</f>
        <v>Fun Size / Treat Size</v>
      </c>
      <c r="K2609" t="str">
        <f>_xlfn.XLOOKUP($A2609,Load!$B:$B,Load!L:L,0,)</f>
        <v>Regular/Original Wrapping</v>
      </c>
      <c r="L2609" t="str">
        <f>_xlfn.XLOOKUP($A2609,Load!$B:$B,Load!M:M,0,)</f>
        <v>Multiple Brands / Variety Flavors or Form</v>
      </c>
    </row>
    <row r="2610" spans="1:12" x14ac:dyDescent="0.25">
      <c r="B2610">
        <f>_xlfn.XLOOKUP($A2610,Load!$B:$B,Load!C:C,0,)</f>
        <v>0</v>
      </c>
      <c r="C2610">
        <f>_xlfn.XLOOKUP($A2610,Load!$B:$B,Load!D:D,0,)</f>
        <v>0</v>
      </c>
      <c r="D2610">
        <f>_xlfn.XLOOKUP($A2610,Load!$B:$B,Load!E:E,0,)</f>
        <v>0</v>
      </c>
      <c r="E2610">
        <f>_xlfn.XLOOKUP($A2610,Load!$B:$B,Load!F:F,0,)</f>
        <v>0</v>
      </c>
      <c r="F2610">
        <f>_xlfn.XLOOKUP($A2610,Load!$B:$B,Load!G:G,0,)</f>
        <v>0</v>
      </c>
      <c r="G2610">
        <f>_xlfn.XLOOKUP($A2610,Load!$B:$B,Load!H:H,0,)</f>
        <v>0</v>
      </c>
      <c r="H2610">
        <f>_xlfn.XLOOKUP($A2610,Load!$B:$B,Load!I:I,0,)</f>
        <v>0</v>
      </c>
      <c r="I2610">
        <f>_xlfn.XLOOKUP($A2610,Load!$B:$B,Load!J:J,0,)</f>
        <v>0</v>
      </c>
      <c r="J2610">
        <f>_xlfn.XLOOKUP($A2610,Load!$B:$B,Load!K:K,0,)</f>
        <v>0</v>
      </c>
      <c r="K2610">
        <f>_xlfn.XLOOKUP($A2610,Load!$B:$B,Load!L:L,0,)</f>
        <v>0</v>
      </c>
      <c r="L2610">
        <f>_xlfn.XLOOKUP($A2610,Load!$B:$B,Load!M:M,0,)</f>
        <v>0</v>
      </c>
    </row>
    <row r="2611" spans="1:12" x14ac:dyDescent="0.25">
      <c r="B2611">
        <f>_xlfn.XLOOKUP($A2611,Load!$B:$B,Load!C:C,0,)</f>
        <v>0</v>
      </c>
      <c r="C2611">
        <f>_xlfn.XLOOKUP($A2611,Load!$B:$B,Load!D:D,0,)</f>
        <v>0</v>
      </c>
      <c r="D2611">
        <f>_xlfn.XLOOKUP($A2611,Load!$B:$B,Load!E:E,0,)</f>
        <v>0</v>
      </c>
      <c r="E2611">
        <f>_xlfn.XLOOKUP($A2611,Load!$B:$B,Load!F:F,0,)</f>
        <v>0</v>
      </c>
      <c r="F2611">
        <f>_xlfn.XLOOKUP($A2611,Load!$B:$B,Load!G:G,0,)</f>
        <v>0</v>
      </c>
      <c r="G2611">
        <f>_xlfn.XLOOKUP($A2611,Load!$B:$B,Load!H:H,0,)</f>
        <v>0</v>
      </c>
      <c r="H2611">
        <f>_xlfn.XLOOKUP($A2611,Load!$B:$B,Load!I:I,0,)</f>
        <v>0</v>
      </c>
      <c r="I2611">
        <f>_xlfn.XLOOKUP($A2611,Load!$B:$B,Load!J:J,0,)</f>
        <v>0</v>
      </c>
      <c r="J2611">
        <f>_xlfn.XLOOKUP($A2611,Load!$B:$B,Load!K:K,0,)</f>
        <v>0</v>
      </c>
      <c r="K2611">
        <f>_xlfn.XLOOKUP($A2611,Load!$B:$B,Load!L:L,0,)</f>
        <v>0</v>
      </c>
      <c r="L2611">
        <f>_xlfn.XLOOKUP($A2611,Load!$B:$B,Load!M:M,0,)</f>
        <v>0</v>
      </c>
    </row>
    <row r="2612" spans="1:12" x14ac:dyDescent="0.25">
      <c r="B2612">
        <f>_xlfn.XLOOKUP($A2612,Load!$B:$B,Load!C:C,0,)</f>
        <v>0</v>
      </c>
      <c r="C2612">
        <f>_xlfn.XLOOKUP($A2612,Load!$B:$B,Load!D:D,0,)</f>
        <v>0</v>
      </c>
      <c r="D2612">
        <f>_xlfn.XLOOKUP($A2612,Load!$B:$B,Load!E:E,0,)</f>
        <v>0</v>
      </c>
      <c r="E2612">
        <f>_xlfn.XLOOKUP($A2612,Load!$B:$B,Load!F:F,0,)</f>
        <v>0</v>
      </c>
      <c r="F2612">
        <f>_xlfn.XLOOKUP($A2612,Load!$B:$B,Load!G:G,0,)</f>
        <v>0</v>
      </c>
      <c r="G2612">
        <f>_xlfn.XLOOKUP($A2612,Load!$B:$B,Load!H:H,0,)</f>
        <v>0</v>
      </c>
      <c r="H2612">
        <f>_xlfn.XLOOKUP($A2612,Load!$B:$B,Load!I:I,0,)</f>
        <v>0</v>
      </c>
      <c r="I2612">
        <f>_xlfn.XLOOKUP($A2612,Load!$B:$B,Load!J:J,0,)</f>
        <v>0</v>
      </c>
      <c r="J2612">
        <f>_xlfn.XLOOKUP($A2612,Load!$B:$B,Load!K:K,0,)</f>
        <v>0</v>
      </c>
      <c r="K2612">
        <f>_xlfn.XLOOKUP($A2612,Load!$B:$B,Load!L:L,0,)</f>
        <v>0</v>
      </c>
      <c r="L2612">
        <f>_xlfn.XLOOKUP($A2612,Load!$B:$B,Load!M:M,0,)</f>
        <v>0</v>
      </c>
    </row>
    <row r="2613" spans="1:12" x14ac:dyDescent="0.25">
      <c r="B2613">
        <f>_xlfn.XLOOKUP($A2613,Load!$B:$B,Load!C:C,0,)</f>
        <v>0</v>
      </c>
      <c r="C2613">
        <f>_xlfn.XLOOKUP($A2613,Load!$B:$B,Load!D:D,0,)</f>
        <v>0</v>
      </c>
      <c r="D2613">
        <f>_xlfn.XLOOKUP($A2613,Load!$B:$B,Load!E:E,0,)</f>
        <v>0</v>
      </c>
      <c r="E2613">
        <f>_xlfn.XLOOKUP($A2613,Load!$B:$B,Load!F:F,0,)</f>
        <v>0</v>
      </c>
      <c r="F2613">
        <f>_xlfn.XLOOKUP($A2613,Load!$B:$B,Load!G:G,0,)</f>
        <v>0</v>
      </c>
      <c r="G2613">
        <f>_xlfn.XLOOKUP($A2613,Load!$B:$B,Load!H:H,0,)</f>
        <v>0</v>
      </c>
      <c r="H2613">
        <f>_xlfn.XLOOKUP($A2613,Load!$B:$B,Load!I:I,0,)</f>
        <v>0</v>
      </c>
      <c r="I2613">
        <f>_xlfn.XLOOKUP($A2613,Load!$B:$B,Load!J:J,0,)</f>
        <v>0</v>
      </c>
      <c r="J2613">
        <f>_xlfn.XLOOKUP($A2613,Load!$B:$B,Load!K:K,0,)</f>
        <v>0</v>
      </c>
      <c r="K2613">
        <f>_xlfn.XLOOKUP($A2613,Load!$B:$B,Load!L:L,0,)</f>
        <v>0</v>
      </c>
      <c r="L2613">
        <f>_xlfn.XLOOKUP($A2613,Load!$B:$B,Load!M:M,0,)</f>
        <v>0</v>
      </c>
    </row>
    <row r="2614" spans="1:12" x14ac:dyDescent="0.25">
      <c r="A2614" t="s">
        <v>189</v>
      </c>
      <c r="B2614" t="str">
        <f>_xlfn.XLOOKUP($A2614,Load!$B:$B,Load!C:C,0,)</f>
        <v>Mars Variety Pack</v>
      </c>
      <c r="C2614" t="str">
        <f>_xlfn.XLOOKUP($A2614,Load!$B:$B,Load!D:D,0,)</f>
        <v>Non-Chocolate Candy Only</v>
      </c>
      <c r="D2614" t="str">
        <f>_xlfn.XLOOKUP($A2614,Load!$B:$B,Load!E:E,0,)</f>
        <v>Variety / Mixed Flavors (Fruity, Sour, Seasonal Flavors)</v>
      </c>
      <c r="E2614" t="str">
        <f>_xlfn.XLOOKUP($A2614,Load!$B:$B,Load!F:F,0,)</f>
        <v>Mixed / Combo Packs (Gummy, Chewy, Taffy, etc.)</v>
      </c>
      <c r="F2614" t="str">
        <f>_xlfn.XLOOKUP($A2614,Load!$B:$B,Load!G:G,0,)</f>
        <v>Small Multipack (Less than 40 ct)</v>
      </c>
      <c r="G2614" t="str">
        <f>_xlfn.XLOOKUP($A2614,Load!$B:$B,Load!H:H,0,)</f>
        <v>Box (theatre box, gift box, carton)</v>
      </c>
      <c r="H2614" t="str">
        <f>_xlfn.XLOOKUP($A2614,Load!$B:$B,Load!I:I,0,)</f>
        <v>Everyday Candy Shapes (like Original, Gummy bear, Fruit, Jewels, etc.)</v>
      </c>
      <c r="I2614" t="str">
        <f>_xlfn.XLOOKUP($A2614,Load!$B:$B,Load!J:J,0,)</f>
        <v>Everyday Graphics</v>
      </c>
      <c r="J2614" t="str">
        <f>_xlfn.XLOOKUP($A2614,Load!$B:$B,Load!K:K,0,)</f>
        <v>Small Pieces (Tiny bite size candies)</v>
      </c>
      <c r="K2614" t="str">
        <f>_xlfn.XLOOKUP($A2614,Load!$B:$B,Load!L:L,0,)</f>
        <v>Regular/Original Wrapping</v>
      </c>
      <c r="L2614" t="str">
        <f>_xlfn.XLOOKUP($A2614,Load!$B:$B,Load!M:M,0,)</f>
        <v>Multiple Brands / Variety Flavors or Form</v>
      </c>
    </row>
    <row r="2615" spans="1:12" x14ac:dyDescent="0.25">
      <c r="B2615">
        <f>_xlfn.XLOOKUP($A2615,Load!$B:$B,Load!C:C,0,)</f>
        <v>0</v>
      </c>
      <c r="C2615">
        <f>_xlfn.XLOOKUP($A2615,Load!$B:$B,Load!D:D,0,)</f>
        <v>0</v>
      </c>
      <c r="D2615">
        <f>_xlfn.XLOOKUP($A2615,Load!$B:$B,Load!E:E,0,)</f>
        <v>0</v>
      </c>
      <c r="E2615">
        <f>_xlfn.XLOOKUP($A2615,Load!$B:$B,Load!F:F,0,)</f>
        <v>0</v>
      </c>
      <c r="F2615">
        <f>_xlfn.XLOOKUP($A2615,Load!$B:$B,Load!G:G,0,)</f>
        <v>0</v>
      </c>
      <c r="G2615">
        <f>_xlfn.XLOOKUP($A2615,Load!$B:$B,Load!H:H,0,)</f>
        <v>0</v>
      </c>
      <c r="H2615">
        <f>_xlfn.XLOOKUP($A2615,Load!$B:$B,Load!I:I,0,)</f>
        <v>0</v>
      </c>
      <c r="I2615">
        <f>_xlfn.XLOOKUP($A2615,Load!$B:$B,Load!J:J,0,)</f>
        <v>0</v>
      </c>
      <c r="J2615">
        <f>_xlfn.XLOOKUP($A2615,Load!$B:$B,Load!K:K,0,)</f>
        <v>0</v>
      </c>
      <c r="K2615">
        <f>_xlfn.XLOOKUP($A2615,Load!$B:$B,Load!L:L,0,)</f>
        <v>0</v>
      </c>
      <c r="L2615">
        <f>_xlfn.XLOOKUP($A2615,Load!$B:$B,Load!M:M,0,)</f>
        <v>0</v>
      </c>
    </row>
    <row r="2616" spans="1:12" x14ac:dyDescent="0.25">
      <c r="A2616" t="s">
        <v>463</v>
      </c>
      <c r="B2616" t="str">
        <f>_xlfn.XLOOKUP($A2616,Load!$B:$B,Load!C:C,0,)</f>
        <v>Mars Variety Pack</v>
      </c>
      <c r="C2616" t="str">
        <f>_xlfn.XLOOKUP($A2616,Load!$B:$B,Load!D:D,0,)</f>
        <v>Mix of Chocolate and Non-Chocolate Candy</v>
      </c>
      <c r="D2616" t="str">
        <f>_xlfn.XLOOKUP($A2616,Load!$B:$B,Load!E:E,0,)</f>
        <v>Variety / Mixed Flavors (Fruity, Sour, Seasonal Flavors)</v>
      </c>
      <c r="E2616" t="str">
        <f>_xlfn.XLOOKUP($A2616,Load!$B:$B,Load!F:F,0,)</f>
        <v>Mixed / Combo Packs (Gummy, Chewy, Taffy, etc.)</v>
      </c>
      <c r="F2616" t="str">
        <f>_xlfn.XLOOKUP($A2616,Load!$B:$B,Load!G:G,0,)</f>
        <v>Medium Multipack (40–80 ct)</v>
      </c>
      <c r="G2616" t="str">
        <f>_xlfn.XLOOKUP($A2616,Load!$B:$B,Load!H:H,0,)</f>
        <v>Stand-Up Bag</v>
      </c>
      <c r="H2616" t="str">
        <f>_xlfn.XLOOKUP($A2616,Load!$B:$B,Load!I:I,0,)</f>
        <v>Everyday Candy Shapes (like Original, Gummy bear, Fruit, Jewels, etc.)</v>
      </c>
      <c r="I2616" t="str">
        <f>_xlfn.XLOOKUP($A2616,Load!$B:$B,Load!J:J,0,)</f>
        <v>Seasonal Graphics (Like Bat, Ghost, Pumpkin, Fall Leaves, Eyeballs, etc.)</v>
      </c>
      <c r="J2616" t="str">
        <f>_xlfn.XLOOKUP($A2616,Load!$B:$B,Load!K:K,0,)</f>
        <v>Fun Size / Treat Size</v>
      </c>
      <c r="K2616" t="str">
        <f>_xlfn.XLOOKUP($A2616,Load!$B:$B,Load!L:L,0,)</f>
        <v>Regular/Original Wrapping</v>
      </c>
      <c r="L2616" t="str">
        <f>_xlfn.XLOOKUP($A2616,Load!$B:$B,Load!M:M,0,)</f>
        <v>Multiple Brands / Variety Flavors or Form</v>
      </c>
    </row>
    <row r="2617" spans="1:12" x14ac:dyDescent="0.25">
      <c r="A2617" t="s">
        <v>271</v>
      </c>
      <c r="B2617" t="str">
        <f>_xlfn.XLOOKUP($A2617,Load!$B:$B,Load!C:C,0,)</f>
        <v>Sour Patch Kids</v>
      </c>
      <c r="C2617" t="str">
        <f>_xlfn.XLOOKUP($A2617,Load!$B:$B,Load!D:D,0,)</f>
        <v>Non-Chocolate Candy Only</v>
      </c>
      <c r="D2617" t="str">
        <f>_xlfn.XLOOKUP($A2617,Load!$B:$B,Load!E:E,0,)</f>
        <v>Sour</v>
      </c>
      <c r="E2617" t="str">
        <f>_xlfn.XLOOKUP($A2617,Load!$B:$B,Load!F:F,0,)</f>
        <v>Chewy</v>
      </c>
      <c r="F2617" t="str">
        <f>_xlfn.XLOOKUP($A2617,Load!$B:$B,Load!G:G,0,)</f>
        <v>Medium Multipack (40–80 ct)</v>
      </c>
      <c r="G2617" t="str">
        <f>_xlfn.XLOOKUP($A2617,Load!$B:$B,Load!H:H,0,)</f>
        <v>Laydown Bag</v>
      </c>
      <c r="H2617" t="str">
        <f>_xlfn.XLOOKUP($A2617,Load!$B:$B,Load!I:I,0,)</f>
        <v>Everyday Candy Shapes (like Original, Gummy bear, Fruit, Jewels, etc.)</v>
      </c>
      <c r="I2617" t="str">
        <f>_xlfn.XLOOKUP($A2617,Load!$B:$B,Load!J:J,0,)</f>
        <v>Seasonal Graphics (Like Bat, Ghost, Pumpkin, Fall Leaves, Eyeballs, etc.)</v>
      </c>
      <c r="J2617" t="str">
        <f>_xlfn.XLOOKUP($A2617,Load!$B:$B,Load!K:K,0,)</f>
        <v>Small Pieces (Tiny bite size candies)</v>
      </c>
      <c r="K2617" t="str">
        <f>_xlfn.XLOOKUP($A2617,Load!$B:$B,Load!L:L,0,)</f>
        <v>Regular/Original Wrapping</v>
      </c>
      <c r="L2617" t="str">
        <f>_xlfn.XLOOKUP($A2617,Load!$B:$B,Load!M:M,0,)</f>
        <v>Single Brand / Variety Flavors or Form</v>
      </c>
    </row>
    <row r="2618" spans="1:12" x14ac:dyDescent="0.25">
      <c r="B2618">
        <f>_xlfn.XLOOKUP($A2618,Load!$B:$B,Load!C:C,0,)</f>
        <v>0</v>
      </c>
      <c r="C2618">
        <f>_xlfn.XLOOKUP($A2618,Load!$B:$B,Load!D:D,0,)</f>
        <v>0</v>
      </c>
      <c r="D2618">
        <f>_xlfn.XLOOKUP($A2618,Load!$B:$B,Load!E:E,0,)</f>
        <v>0</v>
      </c>
      <c r="E2618">
        <f>_xlfn.XLOOKUP($A2618,Load!$B:$B,Load!F:F,0,)</f>
        <v>0</v>
      </c>
      <c r="F2618">
        <f>_xlfn.XLOOKUP($A2618,Load!$B:$B,Load!G:G,0,)</f>
        <v>0</v>
      </c>
      <c r="G2618">
        <f>_xlfn.XLOOKUP($A2618,Load!$B:$B,Load!H:H,0,)</f>
        <v>0</v>
      </c>
      <c r="H2618">
        <f>_xlfn.XLOOKUP($A2618,Load!$B:$B,Load!I:I,0,)</f>
        <v>0</v>
      </c>
      <c r="I2618">
        <f>_xlfn.XLOOKUP($A2618,Load!$B:$B,Load!J:J,0,)</f>
        <v>0</v>
      </c>
      <c r="J2618">
        <f>_xlfn.XLOOKUP($A2618,Load!$B:$B,Load!K:K,0,)</f>
        <v>0</v>
      </c>
      <c r="K2618">
        <f>_xlfn.XLOOKUP($A2618,Load!$B:$B,Load!L:L,0,)</f>
        <v>0</v>
      </c>
      <c r="L2618">
        <f>_xlfn.XLOOKUP($A2618,Load!$B:$B,Load!M:M,0,)</f>
        <v>0</v>
      </c>
    </row>
    <row r="2619" spans="1:12" x14ac:dyDescent="0.25">
      <c r="B2619">
        <f>_xlfn.XLOOKUP($A2619,Load!$B:$B,Load!C:C,0,)</f>
        <v>0</v>
      </c>
      <c r="C2619">
        <f>_xlfn.XLOOKUP($A2619,Load!$B:$B,Load!D:D,0,)</f>
        <v>0</v>
      </c>
      <c r="D2619">
        <f>_xlfn.XLOOKUP($A2619,Load!$B:$B,Load!E:E,0,)</f>
        <v>0</v>
      </c>
      <c r="E2619">
        <f>_xlfn.XLOOKUP($A2619,Load!$B:$B,Load!F:F,0,)</f>
        <v>0</v>
      </c>
      <c r="F2619">
        <f>_xlfn.XLOOKUP($A2619,Load!$B:$B,Load!G:G,0,)</f>
        <v>0</v>
      </c>
      <c r="G2619">
        <f>_xlfn.XLOOKUP($A2619,Load!$B:$B,Load!H:H,0,)</f>
        <v>0</v>
      </c>
      <c r="H2619">
        <f>_xlfn.XLOOKUP($A2619,Load!$B:$B,Load!I:I,0,)</f>
        <v>0</v>
      </c>
      <c r="I2619">
        <f>_xlfn.XLOOKUP($A2619,Load!$B:$B,Load!J:J,0,)</f>
        <v>0</v>
      </c>
      <c r="J2619">
        <f>_xlfn.XLOOKUP($A2619,Load!$B:$B,Load!K:K,0,)</f>
        <v>0</v>
      </c>
      <c r="K2619">
        <f>_xlfn.XLOOKUP($A2619,Load!$B:$B,Load!L:L,0,)</f>
        <v>0</v>
      </c>
      <c r="L2619">
        <f>_xlfn.XLOOKUP($A2619,Load!$B:$B,Load!M:M,0,)</f>
        <v>0</v>
      </c>
    </row>
    <row r="2620" spans="1:12" x14ac:dyDescent="0.25">
      <c r="B2620">
        <f>_xlfn.XLOOKUP($A2620,Load!$B:$B,Load!C:C,0,)</f>
        <v>0</v>
      </c>
      <c r="C2620">
        <f>_xlfn.XLOOKUP($A2620,Load!$B:$B,Load!D:D,0,)</f>
        <v>0</v>
      </c>
      <c r="D2620">
        <f>_xlfn.XLOOKUP($A2620,Load!$B:$B,Load!E:E,0,)</f>
        <v>0</v>
      </c>
      <c r="E2620">
        <f>_xlfn.XLOOKUP($A2620,Load!$B:$B,Load!F:F,0,)</f>
        <v>0</v>
      </c>
      <c r="F2620">
        <f>_xlfn.XLOOKUP($A2620,Load!$B:$B,Load!G:G,0,)</f>
        <v>0</v>
      </c>
      <c r="G2620">
        <f>_xlfn.XLOOKUP($A2620,Load!$B:$B,Load!H:H,0,)</f>
        <v>0</v>
      </c>
      <c r="H2620">
        <f>_xlfn.XLOOKUP($A2620,Load!$B:$B,Load!I:I,0,)</f>
        <v>0</v>
      </c>
      <c r="I2620">
        <f>_xlfn.XLOOKUP($A2620,Load!$B:$B,Load!J:J,0,)</f>
        <v>0</v>
      </c>
      <c r="J2620">
        <f>_xlfn.XLOOKUP($A2620,Load!$B:$B,Load!K:K,0,)</f>
        <v>0</v>
      </c>
      <c r="K2620">
        <f>_xlfn.XLOOKUP($A2620,Load!$B:$B,Load!L:L,0,)</f>
        <v>0</v>
      </c>
      <c r="L2620">
        <f>_xlfn.XLOOKUP($A2620,Load!$B:$B,Load!M:M,0,)</f>
        <v>0</v>
      </c>
    </row>
    <row r="2621" spans="1:12" x14ac:dyDescent="0.25">
      <c r="B2621">
        <f>_xlfn.XLOOKUP($A2621,Load!$B:$B,Load!C:C,0,)</f>
        <v>0</v>
      </c>
      <c r="C2621">
        <f>_xlfn.XLOOKUP($A2621,Load!$B:$B,Load!D:D,0,)</f>
        <v>0</v>
      </c>
      <c r="D2621">
        <f>_xlfn.XLOOKUP($A2621,Load!$B:$B,Load!E:E,0,)</f>
        <v>0</v>
      </c>
      <c r="E2621">
        <f>_xlfn.XLOOKUP($A2621,Load!$B:$B,Load!F:F,0,)</f>
        <v>0</v>
      </c>
      <c r="F2621">
        <f>_xlfn.XLOOKUP($A2621,Load!$B:$B,Load!G:G,0,)</f>
        <v>0</v>
      </c>
      <c r="G2621">
        <f>_xlfn.XLOOKUP($A2621,Load!$B:$B,Load!H:H,0,)</f>
        <v>0</v>
      </c>
      <c r="H2621">
        <f>_xlfn.XLOOKUP($A2621,Load!$B:$B,Load!I:I,0,)</f>
        <v>0</v>
      </c>
      <c r="I2621">
        <f>_xlfn.XLOOKUP($A2621,Load!$B:$B,Load!J:J,0,)</f>
        <v>0</v>
      </c>
      <c r="J2621">
        <f>_xlfn.XLOOKUP($A2621,Load!$B:$B,Load!K:K,0,)</f>
        <v>0</v>
      </c>
      <c r="K2621">
        <f>_xlfn.XLOOKUP($A2621,Load!$B:$B,Load!L:L,0,)</f>
        <v>0</v>
      </c>
      <c r="L2621">
        <f>_xlfn.XLOOKUP($A2621,Load!$B:$B,Load!M:M,0,)</f>
        <v>0</v>
      </c>
    </row>
    <row r="2622" spans="1:12" x14ac:dyDescent="0.25">
      <c r="B2622">
        <f>_xlfn.XLOOKUP($A2622,Load!$B:$B,Load!C:C,0,)</f>
        <v>0</v>
      </c>
      <c r="C2622">
        <f>_xlfn.XLOOKUP($A2622,Load!$B:$B,Load!D:D,0,)</f>
        <v>0</v>
      </c>
      <c r="D2622">
        <f>_xlfn.XLOOKUP($A2622,Load!$B:$B,Load!E:E,0,)</f>
        <v>0</v>
      </c>
      <c r="E2622">
        <f>_xlfn.XLOOKUP($A2622,Load!$B:$B,Load!F:F,0,)</f>
        <v>0</v>
      </c>
      <c r="F2622">
        <f>_xlfn.XLOOKUP($A2622,Load!$B:$B,Load!G:G,0,)</f>
        <v>0</v>
      </c>
      <c r="G2622">
        <f>_xlfn.XLOOKUP($A2622,Load!$B:$B,Load!H:H,0,)</f>
        <v>0</v>
      </c>
      <c r="H2622">
        <f>_xlfn.XLOOKUP($A2622,Load!$B:$B,Load!I:I,0,)</f>
        <v>0</v>
      </c>
      <c r="I2622">
        <f>_xlfn.XLOOKUP($A2622,Load!$B:$B,Load!J:J,0,)</f>
        <v>0</v>
      </c>
      <c r="J2622">
        <f>_xlfn.XLOOKUP($A2622,Load!$B:$B,Load!K:K,0,)</f>
        <v>0</v>
      </c>
      <c r="K2622">
        <f>_xlfn.XLOOKUP($A2622,Load!$B:$B,Load!L:L,0,)</f>
        <v>0</v>
      </c>
      <c r="L2622">
        <f>_xlfn.XLOOKUP($A2622,Load!$B:$B,Load!M:M,0,)</f>
        <v>0</v>
      </c>
    </row>
    <row r="2623" spans="1:12" x14ac:dyDescent="0.25">
      <c r="B2623">
        <f>_xlfn.XLOOKUP($A2623,Load!$B:$B,Load!C:C,0,)</f>
        <v>0</v>
      </c>
      <c r="C2623">
        <f>_xlfn.XLOOKUP($A2623,Load!$B:$B,Load!D:D,0,)</f>
        <v>0</v>
      </c>
      <c r="D2623">
        <f>_xlfn.XLOOKUP($A2623,Load!$B:$B,Load!E:E,0,)</f>
        <v>0</v>
      </c>
      <c r="E2623">
        <f>_xlfn.XLOOKUP($A2623,Load!$B:$B,Load!F:F,0,)</f>
        <v>0</v>
      </c>
      <c r="F2623">
        <f>_xlfn.XLOOKUP($A2623,Load!$B:$B,Load!G:G,0,)</f>
        <v>0</v>
      </c>
      <c r="G2623">
        <f>_xlfn.XLOOKUP($A2623,Load!$B:$B,Load!H:H,0,)</f>
        <v>0</v>
      </c>
      <c r="H2623">
        <f>_xlfn.XLOOKUP($A2623,Load!$B:$B,Load!I:I,0,)</f>
        <v>0</v>
      </c>
      <c r="I2623">
        <f>_xlfn.XLOOKUP($A2623,Load!$B:$B,Load!J:J,0,)</f>
        <v>0</v>
      </c>
      <c r="J2623">
        <f>_xlfn.XLOOKUP($A2623,Load!$B:$B,Load!K:K,0,)</f>
        <v>0</v>
      </c>
      <c r="K2623">
        <f>_xlfn.XLOOKUP($A2623,Load!$B:$B,Load!L:L,0,)</f>
        <v>0</v>
      </c>
      <c r="L2623">
        <f>_xlfn.XLOOKUP($A2623,Load!$B:$B,Load!M:M,0,)</f>
        <v>0</v>
      </c>
    </row>
    <row r="2624" spans="1:12" x14ac:dyDescent="0.25">
      <c r="B2624">
        <f>_xlfn.XLOOKUP($A2624,Load!$B:$B,Load!C:C,0,)</f>
        <v>0</v>
      </c>
      <c r="C2624">
        <f>_xlfn.XLOOKUP($A2624,Load!$B:$B,Load!D:D,0,)</f>
        <v>0</v>
      </c>
      <c r="D2624">
        <f>_xlfn.XLOOKUP($A2624,Load!$B:$B,Load!E:E,0,)</f>
        <v>0</v>
      </c>
      <c r="E2624">
        <f>_xlfn.XLOOKUP($A2624,Load!$B:$B,Load!F:F,0,)</f>
        <v>0</v>
      </c>
      <c r="F2624">
        <f>_xlfn.XLOOKUP($A2624,Load!$B:$B,Load!G:G,0,)</f>
        <v>0</v>
      </c>
      <c r="G2624">
        <f>_xlfn.XLOOKUP($A2624,Load!$B:$B,Load!H:H,0,)</f>
        <v>0</v>
      </c>
      <c r="H2624">
        <f>_xlfn.XLOOKUP($A2624,Load!$B:$B,Load!I:I,0,)</f>
        <v>0</v>
      </c>
      <c r="I2624">
        <f>_xlfn.XLOOKUP($A2624,Load!$B:$B,Load!J:J,0,)</f>
        <v>0</v>
      </c>
      <c r="J2624">
        <f>_xlfn.XLOOKUP($A2624,Load!$B:$B,Load!K:K,0,)</f>
        <v>0</v>
      </c>
      <c r="K2624">
        <f>_xlfn.XLOOKUP($A2624,Load!$B:$B,Load!L:L,0,)</f>
        <v>0</v>
      </c>
      <c r="L2624">
        <f>_xlfn.XLOOKUP($A2624,Load!$B:$B,Load!M:M,0,)</f>
        <v>0</v>
      </c>
    </row>
    <row r="2625" spans="1:12" x14ac:dyDescent="0.25">
      <c r="B2625">
        <f>_xlfn.XLOOKUP($A2625,Load!$B:$B,Load!C:C,0,)</f>
        <v>0</v>
      </c>
      <c r="C2625">
        <f>_xlfn.XLOOKUP($A2625,Load!$B:$B,Load!D:D,0,)</f>
        <v>0</v>
      </c>
      <c r="D2625">
        <f>_xlfn.XLOOKUP($A2625,Load!$B:$B,Load!E:E,0,)</f>
        <v>0</v>
      </c>
      <c r="E2625">
        <f>_xlfn.XLOOKUP($A2625,Load!$B:$B,Load!F:F,0,)</f>
        <v>0</v>
      </c>
      <c r="F2625">
        <f>_xlfn.XLOOKUP($A2625,Load!$B:$B,Load!G:G,0,)</f>
        <v>0</v>
      </c>
      <c r="G2625">
        <f>_xlfn.XLOOKUP($A2625,Load!$B:$B,Load!H:H,0,)</f>
        <v>0</v>
      </c>
      <c r="H2625">
        <f>_xlfn.XLOOKUP($A2625,Load!$B:$B,Load!I:I,0,)</f>
        <v>0</v>
      </c>
      <c r="I2625">
        <f>_xlfn.XLOOKUP($A2625,Load!$B:$B,Load!J:J,0,)</f>
        <v>0</v>
      </c>
      <c r="J2625">
        <f>_xlfn.XLOOKUP($A2625,Load!$B:$B,Load!K:K,0,)</f>
        <v>0</v>
      </c>
      <c r="K2625">
        <f>_xlfn.XLOOKUP($A2625,Load!$B:$B,Load!L:L,0,)</f>
        <v>0</v>
      </c>
      <c r="L2625">
        <f>_xlfn.XLOOKUP($A2625,Load!$B:$B,Load!M:M,0,)</f>
        <v>0</v>
      </c>
    </row>
    <row r="2626" spans="1:12" x14ac:dyDescent="0.25">
      <c r="A2626" t="s">
        <v>71</v>
      </c>
      <c r="B2626" t="str">
        <f>_xlfn.XLOOKUP($A2626,Load!$B:$B,Load!C:C,0,)</f>
        <v>Dum Dums</v>
      </c>
      <c r="C2626" t="str">
        <f>_xlfn.XLOOKUP($A2626,Load!$B:$B,Load!D:D,0,)</f>
        <v>Non-Chocolate Candy Only</v>
      </c>
      <c r="D2626" t="str">
        <f>_xlfn.XLOOKUP($A2626,Load!$B:$B,Load!E:E,0,)</f>
        <v>Sweet</v>
      </c>
      <c r="E2626" t="str">
        <f>_xlfn.XLOOKUP($A2626,Load!$B:$B,Load!F:F,0,)</f>
        <v>Lollipop (regular or lollipop rings)</v>
      </c>
      <c r="F2626" t="str">
        <f>_xlfn.XLOOKUP($A2626,Load!$B:$B,Load!G:G,0,)</f>
        <v>Large Multipack (More than 80 ct)</v>
      </c>
      <c r="G2626" t="str">
        <f>_xlfn.XLOOKUP($A2626,Load!$B:$B,Load!H:H,0,)</f>
        <v>Stand-Up Bag</v>
      </c>
      <c r="H2626" t="str">
        <f>_xlfn.XLOOKUP($A2626,Load!$B:$B,Load!I:I,0,)</f>
        <v>Everyday Candy Shapes (like Original, Gummy bear, Fruit, Jewels, etc.)</v>
      </c>
      <c r="I2626" t="str">
        <f>_xlfn.XLOOKUP($A2626,Load!$B:$B,Load!J:J,0,)</f>
        <v>Seasonal Graphics (Like Bat, Ghost, Pumpkin, Fall Leaves, Eyeballs, etc.)</v>
      </c>
      <c r="J2626" t="str">
        <f>_xlfn.XLOOKUP($A2626,Load!$B:$B,Load!K:K,0,)</f>
        <v>Regular Lollipop size (on sticks or rings)</v>
      </c>
      <c r="K2626" t="str">
        <f>_xlfn.XLOOKUP($A2626,Load!$B:$B,Load!L:L,0,)</f>
        <v>Regular/Original Wrapping</v>
      </c>
      <c r="L2626" t="str">
        <f>_xlfn.XLOOKUP($A2626,Load!$B:$B,Load!M:M,0,)</f>
        <v>Multiple Brands / Variety Flavors or Form</v>
      </c>
    </row>
    <row r="2627" spans="1:12" x14ac:dyDescent="0.25">
      <c r="B2627">
        <f>_xlfn.XLOOKUP($A2627,Load!$B:$B,Load!C:C,0,)</f>
        <v>0</v>
      </c>
      <c r="C2627">
        <f>_xlfn.XLOOKUP($A2627,Load!$B:$B,Load!D:D,0,)</f>
        <v>0</v>
      </c>
      <c r="D2627">
        <f>_xlfn.XLOOKUP($A2627,Load!$B:$B,Load!E:E,0,)</f>
        <v>0</v>
      </c>
      <c r="E2627">
        <f>_xlfn.XLOOKUP($A2627,Load!$B:$B,Load!F:F,0,)</f>
        <v>0</v>
      </c>
      <c r="F2627">
        <f>_xlfn.XLOOKUP($A2627,Load!$B:$B,Load!G:G,0,)</f>
        <v>0</v>
      </c>
      <c r="G2627">
        <f>_xlfn.XLOOKUP($A2627,Load!$B:$B,Load!H:H,0,)</f>
        <v>0</v>
      </c>
      <c r="H2627">
        <f>_xlfn.XLOOKUP($A2627,Load!$B:$B,Load!I:I,0,)</f>
        <v>0</v>
      </c>
      <c r="I2627">
        <f>_xlfn.XLOOKUP($A2627,Load!$B:$B,Load!J:J,0,)</f>
        <v>0</v>
      </c>
      <c r="J2627">
        <f>_xlfn.XLOOKUP($A2627,Load!$B:$B,Load!K:K,0,)</f>
        <v>0</v>
      </c>
      <c r="K2627">
        <f>_xlfn.XLOOKUP($A2627,Load!$B:$B,Load!L:L,0,)</f>
        <v>0</v>
      </c>
      <c r="L2627">
        <f>_xlfn.XLOOKUP($A2627,Load!$B:$B,Load!M:M,0,)</f>
        <v>0</v>
      </c>
    </row>
    <row r="2628" spans="1:12" x14ac:dyDescent="0.25">
      <c r="B2628">
        <f>_xlfn.XLOOKUP($A2628,Load!$B:$B,Load!C:C,0,)</f>
        <v>0</v>
      </c>
      <c r="C2628">
        <f>_xlfn.XLOOKUP($A2628,Load!$B:$B,Load!D:D,0,)</f>
        <v>0</v>
      </c>
      <c r="D2628">
        <f>_xlfn.XLOOKUP($A2628,Load!$B:$B,Load!E:E,0,)</f>
        <v>0</v>
      </c>
      <c r="E2628">
        <f>_xlfn.XLOOKUP($A2628,Load!$B:$B,Load!F:F,0,)</f>
        <v>0</v>
      </c>
      <c r="F2628">
        <f>_xlfn.XLOOKUP($A2628,Load!$B:$B,Load!G:G,0,)</f>
        <v>0</v>
      </c>
      <c r="G2628">
        <f>_xlfn.XLOOKUP($A2628,Load!$B:$B,Load!H:H,0,)</f>
        <v>0</v>
      </c>
      <c r="H2628">
        <f>_xlfn.XLOOKUP($A2628,Load!$B:$B,Load!I:I,0,)</f>
        <v>0</v>
      </c>
      <c r="I2628">
        <f>_xlfn.XLOOKUP($A2628,Load!$B:$B,Load!J:J,0,)</f>
        <v>0</v>
      </c>
      <c r="J2628">
        <f>_xlfn.XLOOKUP($A2628,Load!$B:$B,Load!K:K,0,)</f>
        <v>0</v>
      </c>
      <c r="K2628">
        <f>_xlfn.XLOOKUP($A2628,Load!$B:$B,Load!L:L,0,)</f>
        <v>0</v>
      </c>
      <c r="L2628">
        <f>_xlfn.XLOOKUP($A2628,Load!$B:$B,Load!M:M,0,)</f>
        <v>0</v>
      </c>
    </row>
    <row r="2629" spans="1:12" x14ac:dyDescent="0.25">
      <c r="B2629">
        <f>_xlfn.XLOOKUP($A2629,Load!$B:$B,Load!C:C,0,)</f>
        <v>0</v>
      </c>
      <c r="C2629">
        <f>_xlfn.XLOOKUP($A2629,Load!$B:$B,Load!D:D,0,)</f>
        <v>0</v>
      </c>
      <c r="D2629">
        <f>_xlfn.XLOOKUP($A2629,Load!$B:$B,Load!E:E,0,)</f>
        <v>0</v>
      </c>
      <c r="E2629">
        <f>_xlfn.XLOOKUP($A2629,Load!$B:$B,Load!F:F,0,)</f>
        <v>0</v>
      </c>
      <c r="F2629">
        <f>_xlfn.XLOOKUP($A2629,Load!$B:$B,Load!G:G,0,)</f>
        <v>0</v>
      </c>
      <c r="G2629">
        <f>_xlfn.XLOOKUP($A2629,Load!$B:$B,Load!H:H,0,)</f>
        <v>0</v>
      </c>
      <c r="H2629">
        <f>_xlfn.XLOOKUP($A2629,Load!$B:$B,Load!I:I,0,)</f>
        <v>0</v>
      </c>
      <c r="I2629">
        <f>_xlfn.XLOOKUP($A2629,Load!$B:$B,Load!J:J,0,)</f>
        <v>0</v>
      </c>
      <c r="J2629">
        <f>_xlfn.XLOOKUP($A2629,Load!$B:$B,Load!K:K,0,)</f>
        <v>0</v>
      </c>
      <c r="K2629">
        <f>_xlfn.XLOOKUP($A2629,Load!$B:$B,Load!L:L,0,)</f>
        <v>0</v>
      </c>
      <c r="L2629">
        <f>_xlfn.XLOOKUP($A2629,Load!$B:$B,Load!M:M,0,)</f>
        <v>0</v>
      </c>
    </row>
    <row r="2630" spans="1:12" x14ac:dyDescent="0.25">
      <c r="A2630" t="s">
        <v>232</v>
      </c>
      <c r="B2630" t="str">
        <f>_xlfn.XLOOKUP($A2630,Load!$B:$B,Load!C:C,0,)</f>
        <v>Nerds</v>
      </c>
      <c r="C2630" t="str">
        <f>_xlfn.XLOOKUP($A2630,Load!$B:$B,Load!D:D,0,)</f>
        <v>Non-Chocolate Candy Only</v>
      </c>
      <c r="D2630" t="str">
        <f>_xlfn.XLOOKUP($A2630,Load!$B:$B,Load!E:E,0,)</f>
        <v>Berry Based (Raspberry, Strawberry, Medley, etc.)</v>
      </c>
      <c r="E2630" t="str">
        <f>_xlfn.XLOOKUP($A2630,Load!$B:$B,Load!F:F,0,)</f>
        <v>Candy Pieces / Bites</v>
      </c>
      <c r="F2630" t="str">
        <f>_xlfn.XLOOKUP($A2630,Load!$B:$B,Load!G:G,0,)</f>
        <v>Single Pack</v>
      </c>
      <c r="G2630" t="str">
        <f>_xlfn.XLOOKUP($A2630,Load!$B:$B,Load!H:H,0,)</f>
        <v>Laydown Bag</v>
      </c>
      <c r="H2630" t="str">
        <f>_xlfn.XLOOKUP($A2630,Load!$B:$B,Load!I:I,0,)</f>
        <v>Everyday Candy Shapes (like Original, Gummy bear, Fruit, Jewels, etc.)</v>
      </c>
      <c r="I2630" t="str">
        <f>_xlfn.XLOOKUP($A2630,Load!$B:$B,Load!J:J,0,)</f>
        <v>Seasonal Graphics (Like Bat, Ghost, Pumpkin, Fall Leaves, Eyeballs, etc.)</v>
      </c>
      <c r="J2630" t="str">
        <f>_xlfn.XLOOKUP($A2630,Load!$B:$B,Load!K:K,0,)</f>
        <v>Small Pieces (Tiny bite size candies)</v>
      </c>
      <c r="K2630" t="str">
        <f>_xlfn.XLOOKUP($A2630,Load!$B:$B,Load!L:L,0,)</f>
        <v>Unwrapped</v>
      </c>
      <c r="L2630" t="str">
        <f>_xlfn.XLOOKUP($A2630,Load!$B:$B,Load!M:M,0,)</f>
        <v>Single Brand / Variety Flavors or Form</v>
      </c>
    </row>
    <row r="2631" spans="1:12" x14ac:dyDescent="0.25">
      <c r="B2631">
        <f>_xlfn.XLOOKUP($A2631,Load!$B:$B,Load!C:C,0,)</f>
        <v>0</v>
      </c>
      <c r="C2631">
        <f>_xlfn.XLOOKUP($A2631,Load!$B:$B,Load!D:D,0,)</f>
        <v>0</v>
      </c>
      <c r="D2631">
        <f>_xlfn.XLOOKUP($A2631,Load!$B:$B,Load!E:E,0,)</f>
        <v>0</v>
      </c>
      <c r="E2631">
        <f>_xlfn.XLOOKUP($A2631,Load!$B:$B,Load!F:F,0,)</f>
        <v>0</v>
      </c>
      <c r="F2631">
        <f>_xlfn.XLOOKUP($A2631,Load!$B:$B,Load!G:G,0,)</f>
        <v>0</v>
      </c>
      <c r="G2631">
        <f>_xlfn.XLOOKUP($A2631,Load!$B:$B,Load!H:H,0,)</f>
        <v>0</v>
      </c>
      <c r="H2631">
        <f>_xlfn.XLOOKUP($A2631,Load!$B:$B,Load!I:I,0,)</f>
        <v>0</v>
      </c>
      <c r="I2631">
        <f>_xlfn.XLOOKUP($A2631,Load!$B:$B,Load!J:J,0,)</f>
        <v>0</v>
      </c>
      <c r="J2631">
        <f>_xlfn.XLOOKUP($A2631,Load!$B:$B,Load!K:K,0,)</f>
        <v>0</v>
      </c>
      <c r="K2631">
        <f>_xlfn.XLOOKUP($A2631,Load!$B:$B,Load!L:L,0,)</f>
        <v>0</v>
      </c>
      <c r="L2631">
        <f>_xlfn.XLOOKUP($A2631,Load!$B:$B,Load!M:M,0,)</f>
        <v>0</v>
      </c>
    </row>
    <row r="2632" spans="1:12" x14ac:dyDescent="0.25">
      <c r="B2632">
        <f>_xlfn.XLOOKUP($A2632,Load!$B:$B,Load!C:C,0,)</f>
        <v>0</v>
      </c>
      <c r="C2632">
        <f>_xlfn.XLOOKUP($A2632,Load!$B:$B,Load!D:D,0,)</f>
        <v>0</v>
      </c>
      <c r="D2632">
        <f>_xlfn.XLOOKUP($A2632,Load!$B:$B,Load!E:E,0,)</f>
        <v>0</v>
      </c>
      <c r="E2632">
        <f>_xlfn.XLOOKUP($A2632,Load!$B:$B,Load!F:F,0,)</f>
        <v>0</v>
      </c>
      <c r="F2632">
        <f>_xlfn.XLOOKUP($A2632,Load!$B:$B,Load!G:G,0,)</f>
        <v>0</v>
      </c>
      <c r="G2632">
        <f>_xlfn.XLOOKUP($A2632,Load!$B:$B,Load!H:H,0,)</f>
        <v>0</v>
      </c>
      <c r="H2632">
        <f>_xlfn.XLOOKUP($A2632,Load!$B:$B,Load!I:I,0,)</f>
        <v>0</v>
      </c>
      <c r="I2632">
        <f>_xlfn.XLOOKUP($A2632,Load!$B:$B,Load!J:J,0,)</f>
        <v>0</v>
      </c>
      <c r="J2632">
        <f>_xlfn.XLOOKUP($A2632,Load!$B:$B,Load!K:K,0,)</f>
        <v>0</v>
      </c>
      <c r="K2632">
        <f>_xlfn.XLOOKUP($A2632,Load!$B:$B,Load!L:L,0,)</f>
        <v>0</v>
      </c>
      <c r="L2632">
        <f>_xlfn.XLOOKUP($A2632,Load!$B:$B,Load!M:M,0,)</f>
        <v>0</v>
      </c>
    </row>
    <row r="2633" spans="1:12" x14ac:dyDescent="0.25">
      <c r="B2633">
        <f>_xlfn.XLOOKUP($A2633,Load!$B:$B,Load!C:C,0,)</f>
        <v>0</v>
      </c>
      <c r="C2633">
        <f>_xlfn.XLOOKUP($A2633,Load!$B:$B,Load!D:D,0,)</f>
        <v>0</v>
      </c>
      <c r="D2633">
        <f>_xlfn.XLOOKUP($A2633,Load!$B:$B,Load!E:E,0,)</f>
        <v>0</v>
      </c>
      <c r="E2633">
        <f>_xlfn.XLOOKUP($A2633,Load!$B:$B,Load!F:F,0,)</f>
        <v>0</v>
      </c>
      <c r="F2633">
        <f>_xlfn.XLOOKUP($A2633,Load!$B:$B,Load!G:G,0,)</f>
        <v>0</v>
      </c>
      <c r="G2633">
        <f>_xlfn.XLOOKUP($A2633,Load!$B:$B,Load!H:H,0,)</f>
        <v>0</v>
      </c>
      <c r="H2633">
        <f>_xlfn.XLOOKUP($A2633,Load!$B:$B,Load!I:I,0,)</f>
        <v>0</v>
      </c>
      <c r="I2633">
        <f>_xlfn.XLOOKUP($A2633,Load!$B:$B,Load!J:J,0,)</f>
        <v>0</v>
      </c>
      <c r="J2633">
        <f>_xlfn.XLOOKUP($A2633,Load!$B:$B,Load!K:K,0,)</f>
        <v>0</v>
      </c>
      <c r="K2633">
        <f>_xlfn.XLOOKUP($A2633,Load!$B:$B,Load!L:L,0,)</f>
        <v>0</v>
      </c>
      <c r="L2633">
        <f>_xlfn.XLOOKUP($A2633,Load!$B:$B,Load!M:M,0,)</f>
        <v>0</v>
      </c>
    </row>
    <row r="2634" spans="1:12" x14ac:dyDescent="0.25">
      <c r="B2634">
        <f>_xlfn.XLOOKUP($A2634,Load!$B:$B,Load!C:C,0,)</f>
        <v>0</v>
      </c>
      <c r="C2634">
        <f>_xlfn.XLOOKUP($A2634,Load!$B:$B,Load!D:D,0,)</f>
        <v>0</v>
      </c>
      <c r="D2634">
        <f>_xlfn.XLOOKUP($A2634,Load!$B:$B,Load!E:E,0,)</f>
        <v>0</v>
      </c>
      <c r="E2634">
        <f>_xlfn.XLOOKUP($A2634,Load!$B:$B,Load!F:F,0,)</f>
        <v>0</v>
      </c>
      <c r="F2634">
        <f>_xlfn.XLOOKUP($A2634,Load!$B:$B,Load!G:G,0,)</f>
        <v>0</v>
      </c>
      <c r="G2634">
        <f>_xlfn.XLOOKUP($A2634,Load!$B:$B,Load!H:H,0,)</f>
        <v>0</v>
      </c>
      <c r="H2634">
        <f>_xlfn.XLOOKUP($A2634,Load!$B:$B,Load!I:I,0,)</f>
        <v>0</v>
      </c>
      <c r="I2634">
        <f>_xlfn.XLOOKUP($A2634,Load!$B:$B,Load!J:J,0,)</f>
        <v>0</v>
      </c>
      <c r="J2634">
        <f>_xlfn.XLOOKUP($A2634,Load!$B:$B,Load!K:K,0,)</f>
        <v>0</v>
      </c>
      <c r="K2634">
        <f>_xlfn.XLOOKUP($A2634,Load!$B:$B,Load!L:L,0,)</f>
        <v>0</v>
      </c>
      <c r="L2634">
        <f>_xlfn.XLOOKUP($A2634,Load!$B:$B,Load!M:M,0,)</f>
        <v>0</v>
      </c>
    </row>
    <row r="2635" spans="1:12" x14ac:dyDescent="0.25">
      <c r="B2635">
        <f>_xlfn.XLOOKUP($A2635,Load!$B:$B,Load!C:C,0,)</f>
        <v>0</v>
      </c>
      <c r="C2635">
        <f>_xlfn.XLOOKUP($A2635,Load!$B:$B,Load!D:D,0,)</f>
        <v>0</v>
      </c>
      <c r="D2635">
        <f>_xlfn.XLOOKUP($A2635,Load!$B:$B,Load!E:E,0,)</f>
        <v>0</v>
      </c>
      <c r="E2635">
        <f>_xlfn.XLOOKUP($A2635,Load!$B:$B,Load!F:F,0,)</f>
        <v>0</v>
      </c>
      <c r="F2635">
        <f>_xlfn.XLOOKUP($A2635,Load!$B:$B,Load!G:G,0,)</f>
        <v>0</v>
      </c>
      <c r="G2635">
        <f>_xlfn.XLOOKUP($A2635,Load!$B:$B,Load!H:H,0,)</f>
        <v>0</v>
      </c>
      <c r="H2635">
        <f>_xlfn.XLOOKUP($A2635,Load!$B:$B,Load!I:I,0,)</f>
        <v>0</v>
      </c>
      <c r="I2635">
        <f>_xlfn.XLOOKUP($A2635,Load!$B:$B,Load!J:J,0,)</f>
        <v>0</v>
      </c>
      <c r="J2635">
        <f>_xlfn.XLOOKUP($A2635,Load!$B:$B,Load!K:K,0,)</f>
        <v>0</v>
      </c>
      <c r="K2635">
        <f>_xlfn.XLOOKUP($A2635,Load!$B:$B,Load!L:L,0,)</f>
        <v>0</v>
      </c>
      <c r="L2635">
        <f>_xlfn.XLOOKUP($A2635,Load!$B:$B,Load!M:M,0,)</f>
        <v>0</v>
      </c>
    </row>
    <row r="2636" spans="1:12" x14ac:dyDescent="0.25">
      <c r="B2636">
        <f>_xlfn.XLOOKUP($A2636,Load!$B:$B,Load!C:C,0,)</f>
        <v>0</v>
      </c>
      <c r="C2636">
        <f>_xlfn.XLOOKUP($A2636,Load!$B:$B,Load!D:D,0,)</f>
        <v>0</v>
      </c>
      <c r="D2636">
        <f>_xlfn.XLOOKUP($A2636,Load!$B:$B,Load!E:E,0,)</f>
        <v>0</v>
      </c>
      <c r="E2636">
        <f>_xlfn.XLOOKUP($A2636,Load!$B:$B,Load!F:F,0,)</f>
        <v>0</v>
      </c>
      <c r="F2636">
        <f>_xlfn.XLOOKUP($A2636,Load!$B:$B,Load!G:G,0,)</f>
        <v>0</v>
      </c>
      <c r="G2636">
        <f>_xlfn.XLOOKUP($A2636,Load!$B:$B,Load!H:H,0,)</f>
        <v>0</v>
      </c>
      <c r="H2636">
        <f>_xlfn.XLOOKUP($A2636,Load!$B:$B,Load!I:I,0,)</f>
        <v>0</v>
      </c>
      <c r="I2636">
        <f>_xlfn.XLOOKUP($A2636,Load!$B:$B,Load!J:J,0,)</f>
        <v>0</v>
      </c>
      <c r="J2636">
        <f>_xlfn.XLOOKUP($A2636,Load!$B:$B,Load!K:K,0,)</f>
        <v>0</v>
      </c>
      <c r="K2636">
        <f>_xlfn.XLOOKUP($A2636,Load!$B:$B,Load!L:L,0,)</f>
        <v>0</v>
      </c>
      <c r="L2636">
        <f>_xlfn.XLOOKUP($A2636,Load!$B:$B,Load!M:M,0,)</f>
        <v>0</v>
      </c>
    </row>
    <row r="2637" spans="1:12" x14ac:dyDescent="0.25">
      <c r="B2637">
        <f>_xlfn.XLOOKUP($A2637,Load!$B:$B,Load!C:C,0,)</f>
        <v>0</v>
      </c>
      <c r="C2637">
        <f>_xlfn.XLOOKUP($A2637,Load!$B:$B,Load!D:D,0,)</f>
        <v>0</v>
      </c>
      <c r="D2637">
        <f>_xlfn.XLOOKUP($A2637,Load!$B:$B,Load!E:E,0,)</f>
        <v>0</v>
      </c>
      <c r="E2637">
        <f>_xlfn.XLOOKUP($A2637,Load!$B:$B,Load!F:F,0,)</f>
        <v>0</v>
      </c>
      <c r="F2637">
        <f>_xlfn.XLOOKUP($A2637,Load!$B:$B,Load!G:G,0,)</f>
        <v>0</v>
      </c>
      <c r="G2637">
        <f>_xlfn.XLOOKUP($A2637,Load!$B:$B,Load!H:H,0,)</f>
        <v>0</v>
      </c>
      <c r="H2637">
        <f>_xlfn.XLOOKUP($A2637,Load!$B:$B,Load!I:I,0,)</f>
        <v>0</v>
      </c>
      <c r="I2637">
        <f>_xlfn.XLOOKUP($A2637,Load!$B:$B,Load!J:J,0,)</f>
        <v>0</v>
      </c>
      <c r="J2637">
        <f>_xlfn.XLOOKUP($A2637,Load!$B:$B,Load!K:K,0,)</f>
        <v>0</v>
      </c>
      <c r="K2637">
        <f>_xlfn.XLOOKUP($A2637,Load!$B:$B,Load!L:L,0,)</f>
        <v>0</v>
      </c>
      <c r="L2637">
        <f>_xlfn.XLOOKUP($A2637,Load!$B:$B,Load!M:M,0,)</f>
        <v>0</v>
      </c>
    </row>
    <row r="2638" spans="1:12" x14ac:dyDescent="0.25">
      <c r="A2638" t="s">
        <v>144</v>
      </c>
      <c r="B2638" t="str">
        <f>_xlfn.XLOOKUP($A2638,Load!$B:$B,Load!C:C,0,)</f>
        <v>Hershey's Variety Pack + Haribo</v>
      </c>
      <c r="C2638" t="str">
        <f>_xlfn.XLOOKUP($A2638,Load!$B:$B,Load!D:D,0,)</f>
        <v>Mix of Chocolate and Non-Chocolate Candy</v>
      </c>
      <c r="D2638" t="str">
        <f>_xlfn.XLOOKUP($A2638,Load!$B:$B,Load!E:E,0,)</f>
        <v>Variety / Mixed Flavors (Fruity, Sour, Seasonal Flavors)</v>
      </c>
      <c r="E2638" t="str">
        <f>_xlfn.XLOOKUP($A2638,Load!$B:$B,Load!F:F,0,)</f>
        <v>Mixed / Combo Packs (Gummy, Chewy, Taffy, etc.)</v>
      </c>
      <c r="F2638" t="str">
        <f>_xlfn.XLOOKUP($A2638,Load!$B:$B,Load!G:G,0,)</f>
        <v>Large Multipack (More than 80 ct)</v>
      </c>
      <c r="G2638" t="str">
        <f>_xlfn.XLOOKUP($A2638,Load!$B:$B,Load!H:H,0,)</f>
        <v>Stand-Up Bag</v>
      </c>
      <c r="H2638" t="str">
        <f>_xlfn.XLOOKUP($A2638,Load!$B:$B,Load!I:I,0,)</f>
        <v>Everyday Candy Shapes (like Original, Gummy bear, Fruit, Jewels, etc.)</v>
      </c>
      <c r="I2638" t="str">
        <f>_xlfn.XLOOKUP($A2638,Load!$B:$B,Load!J:J,0,)</f>
        <v>Seasonal Graphics (Like Bat, Ghost, Pumpkin, Fall Leaves, Eyeballs, etc.)</v>
      </c>
      <c r="J2638" t="str">
        <f>_xlfn.XLOOKUP($A2638,Load!$B:$B,Load!K:K,0,)</f>
        <v>Fun Size / Treat Size</v>
      </c>
      <c r="K2638" t="str">
        <f>_xlfn.XLOOKUP($A2638,Load!$B:$B,Load!L:L,0,)</f>
        <v>Regular/Original Wrapping</v>
      </c>
      <c r="L2638" t="str">
        <f>_xlfn.XLOOKUP($A2638,Load!$B:$B,Load!M:M,0,)</f>
        <v>Multiple Brands / Variety Flavors or Form</v>
      </c>
    </row>
    <row r="2639" spans="1:12" x14ac:dyDescent="0.25">
      <c r="A2639" t="s">
        <v>25</v>
      </c>
      <c r="B2639" t="str">
        <f>_xlfn.XLOOKUP($A2639,Load!$B:$B,Load!C:C,0,)</f>
        <v>Albert's Candy Company</v>
      </c>
      <c r="C2639" t="str">
        <f>_xlfn.XLOOKUP($A2639,Load!$B:$B,Load!D:D,0,)</f>
        <v>Non-Chocolate Candy Only</v>
      </c>
      <c r="D2639" t="str">
        <f>_xlfn.XLOOKUP($A2639,Load!$B:$B,Load!E:E,0,)</f>
        <v>Fruit Flavor (Cherry, Grape, Apple, Citrus, Tropical Fruit)</v>
      </c>
      <c r="E2639" t="str">
        <f>_xlfn.XLOOKUP($A2639,Load!$B:$B,Load!F:F,0,)</f>
        <v>Chewy</v>
      </c>
      <c r="F2639" t="str">
        <f>_xlfn.XLOOKUP($A2639,Load!$B:$B,Load!G:G,0,)</f>
        <v>Large Multipack (More than 80 ct)</v>
      </c>
      <c r="G2639" t="str">
        <f>_xlfn.XLOOKUP($A2639,Load!$B:$B,Load!H:H,0,)</f>
        <v>Laydown Bag</v>
      </c>
      <c r="H2639" t="str">
        <f>_xlfn.XLOOKUP($A2639,Load!$B:$B,Load!I:I,0,)</f>
        <v>Everyday Candy Shapes (like Original, Gummy bear, Fruit, Jewels, etc.)</v>
      </c>
      <c r="I2639" t="str">
        <f>_xlfn.XLOOKUP($A2639,Load!$B:$B,Load!J:J,0,)</f>
        <v>Seasonal Graphics (Like Bat, Ghost, Pumpkin, Fall Leaves, Eyeballs, etc.)</v>
      </c>
      <c r="J2639" t="str">
        <f>_xlfn.XLOOKUP($A2639,Load!$B:$B,Load!K:K,0,)</f>
        <v>Small Pieces (Tiny bite size candies)</v>
      </c>
      <c r="K2639" t="str">
        <f>_xlfn.XLOOKUP($A2639,Load!$B:$B,Load!L:L,0,)</f>
        <v>Regular/Original Wrapping</v>
      </c>
      <c r="L2639" t="str">
        <f>_xlfn.XLOOKUP($A2639,Load!$B:$B,Load!M:M,0,)</f>
        <v>Single Brand / Variety Flavors or Form</v>
      </c>
    </row>
    <row r="2640" spans="1:12" x14ac:dyDescent="0.25">
      <c r="A2640" t="s">
        <v>171</v>
      </c>
      <c r="B2640" t="str">
        <f>_xlfn.XLOOKUP($A2640,Load!$B:$B,Load!C:C,0,)</f>
        <v>Mamba</v>
      </c>
      <c r="C2640" t="str">
        <f>_xlfn.XLOOKUP($A2640,Load!$B:$B,Load!D:D,0,)</f>
        <v>Non-Chocolate Candy Only</v>
      </c>
      <c r="D2640" t="str">
        <f>_xlfn.XLOOKUP($A2640,Load!$B:$B,Load!E:E,0,)</f>
        <v>Fruit Flavor (Cherry, Grape, Apple, Citrus, Tropical Fruit)</v>
      </c>
      <c r="E2640" t="str">
        <f>_xlfn.XLOOKUP($A2640,Load!$B:$B,Load!F:F,0,)</f>
        <v>Chewy</v>
      </c>
      <c r="F2640" t="str">
        <f>_xlfn.XLOOKUP($A2640,Load!$B:$B,Load!G:G,0,)</f>
        <v>Large Multipack (More than 80 ct)</v>
      </c>
      <c r="G2640" t="str">
        <f>_xlfn.XLOOKUP($A2640,Load!$B:$B,Load!H:H,0,)</f>
        <v>Stand-Up Bag</v>
      </c>
      <c r="H2640" t="str">
        <f>_xlfn.XLOOKUP($A2640,Load!$B:$B,Load!I:I,0,)</f>
        <v>Seasonal Shapes (like pumpkins, candy corn, ghost, bats, etc.)</v>
      </c>
      <c r="I2640" t="str">
        <f>_xlfn.XLOOKUP($A2640,Load!$B:$B,Load!J:J,0,)</f>
        <v>Seasonal Graphics (Like Bat, Ghost, Pumpkin, Fall Leaves, Eyeballs, etc.)</v>
      </c>
      <c r="J2640" t="str">
        <f>_xlfn.XLOOKUP($A2640,Load!$B:$B,Load!K:K,0,)</f>
        <v>Fun Size / Treat Size</v>
      </c>
      <c r="K2640" t="str">
        <f>_xlfn.XLOOKUP($A2640,Load!$B:$B,Load!L:L,0,)</f>
        <v>Regular/Original Wrapping</v>
      </c>
      <c r="L2640" t="str">
        <f>_xlfn.XLOOKUP($A2640,Load!$B:$B,Load!M:M,0,)</f>
        <v>Single Brand / Variety Flavors or Form</v>
      </c>
    </row>
    <row r="2641" spans="1:12" x14ac:dyDescent="0.25">
      <c r="A2641" t="s">
        <v>176</v>
      </c>
      <c r="B2641" t="str">
        <f>_xlfn.XLOOKUP($A2641,Load!$B:$B,Load!C:C,0,)</f>
        <v>Mars Variety Pack</v>
      </c>
      <c r="C2641" t="str">
        <f>_xlfn.XLOOKUP($A2641,Load!$B:$B,Load!D:D,0,)</f>
        <v>Non-Chocolate Candy Only</v>
      </c>
      <c r="D2641" t="str">
        <f>_xlfn.XLOOKUP($A2641,Load!$B:$B,Load!E:E,0,)</f>
        <v>Variety / Mixed Flavors (Fruity, Sour, Seasonal Flavors)</v>
      </c>
      <c r="E2641" t="str">
        <f>_xlfn.XLOOKUP($A2641,Load!$B:$B,Load!F:F,0,)</f>
        <v>Mixed / Combo Packs (Gummy, Chewy, Taffy, etc.)</v>
      </c>
      <c r="F2641" t="str">
        <f>_xlfn.XLOOKUP($A2641,Load!$B:$B,Load!G:G,0,)</f>
        <v>Large Multipack (More than 80 ct)</v>
      </c>
      <c r="G2641" t="str">
        <f>_xlfn.XLOOKUP($A2641,Load!$B:$B,Load!H:H,0,)</f>
        <v>Stand-Up Bag</v>
      </c>
      <c r="H2641" t="str">
        <f>_xlfn.XLOOKUP($A2641,Load!$B:$B,Load!I:I,0,)</f>
        <v>Everyday Candy Shapes (like Original, Gummy bear, Fruit, Jewels, etc.)</v>
      </c>
      <c r="I2641" t="str">
        <f>_xlfn.XLOOKUP($A2641,Load!$B:$B,Load!J:J,0,)</f>
        <v>Seasonal Graphics (Like Bat, Ghost, Pumpkin, Fall Leaves, Eyeballs, etc.)</v>
      </c>
      <c r="J2641" t="str">
        <f>_xlfn.XLOOKUP($A2641,Load!$B:$B,Load!K:K,0,)</f>
        <v>Fun Size / Treat Size</v>
      </c>
      <c r="K2641" t="str">
        <f>_xlfn.XLOOKUP($A2641,Load!$B:$B,Load!L:L,0,)</f>
        <v>Regular/Original Wrapping</v>
      </c>
      <c r="L2641" t="str">
        <f>_xlfn.XLOOKUP($A2641,Load!$B:$B,Load!M:M,0,)</f>
        <v>Multiple Brands / Variety Flavors or Form</v>
      </c>
    </row>
    <row r="2642" spans="1:12" x14ac:dyDescent="0.25">
      <c r="B2642">
        <f>_xlfn.XLOOKUP($A2642,Load!$B:$B,Load!C:C,0,)</f>
        <v>0</v>
      </c>
      <c r="C2642">
        <f>_xlfn.XLOOKUP($A2642,Load!$B:$B,Load!D:D,0,)</f>
        <v>0</v>
      </c>
      <c r="D2642">
        <f>_xlfn.XLOOKUP($A2642,Load!$B:$B,Load!E:E,0,)</f>
        <v>0</v>
      </c>
      <c r="E2642">
        <f>_xlfn.XLOOKUP($A2642,Load!$B:$B,Load!F:F,0,)</f>
        <v>0</v>
      </c>
      <c r="F2642">
        <f>_xlfn.XLOOKUP($A2642,Load!$B:$B,Load!G:G,0,)</f>
        <v>0</v>
      </c>
      <c r="G2642">
        <f>_xlfn.XLOOKUP($A2642,Load!$B:$B,Load!H:H,0,)</f>
        <v>0</v>
      </c>
      <c r="H2642">
        <f>_xlfn.XLOOKUP($A2642,Load!$B:$B,Load!I:I,0,)</f>
        <v>0</v>
      </c>
      <c r="I2642">
        <f>_xlfn.XLOOKUP($A2642,Load!$B:$B,Load!J:J,0,)</f>
        <v>0</v>
      </c>
      <c r="J2642">
        <f>_xlfn.XLOOKUP($A2642,Load!$B:$B,Load!K:K,0,)</f>
        <v>0</v>
      </c>
      <c r="K2642">
        <f>_xlfn.XLOOKUP($A2642,Load!$B:$B,Load!L:L,0,)</f>
        <v>0</v>
      </c>
      <c r="L2642">
        <f>_xlfn.XLOOKUP($A2642,Load!$B:$B,Load!M:M,0,)</f>
        <v>0</v>
      </c>
    </row>
    <row r="2643" spans="1:12" x14ac:dyDescent="0.25">
      <c r="B2643">
        <f>_xlfn.XLOOKUP($A2643,Load!$B:$B,Load!C:C,0,)</f>
        <v>0</v>
      </c>
      <c r="C2643">
        <f>_xlfn.XLOOKUP($A2643,Load!$B:$B,Load!D:D,0,)</f>
        <v>0</v>
      </c>
      <c r="D2643">
        <f>_xlfn.XLOOKUP($A2643,Load!$B:$B,Load!E:E,0,)</f>
        <v>0</v>
      </c>
      <c r="E2643">
        <f>_xlfn.XLOOKUP($A2643,Load!$B:$B,Load!F:F,0,)</f>
        <v>0</v>
      </c>
      <c r="F2643">
        <f>_xlfn.XLOOKUP($A2643,Load!$B:$B,Load!G:G,0,)</f>
        <v>0</v>
      </c>
      <c r="G2643">
        <f>_xlfn.XLOOKUP($A2643,Load!$B:$B,Load!H:H,0,)</f>
        <v>0</v>
      </c>
      <c r="H2643">
        <f>_xlfn.XLOOKUP($A2643,Load!$B:$B,Load!I:I,0,)</f>
        <v>0</v>
      </c>
      <c r="I2643">
        <f>_xlfn.XLOOKUP($A2643,Load!$B:$B,Load!J:J,0,)</f>
        <v>0</v>
      </c>
      <c r="J2643">
        <f>_xlfn.XLOOKUP($A2643,Load!$B:$B,Load!K:K,0,)</f>
        <v>0</v>
      </c>
      <c r="K2643">
        <f>_xlfn.XLOOKUP($A2643,Load!$B:$B,Load!L:L,0,)</f>
        <v>0</v>
      </c>
      <c r="L2643">
        <f>_xlfn.XLOOKUP($A2643,Load!$B:$B,Load!M:M,0,)</f>
        <v>0</v>
      </c>
    </row>
    <row r="2644" spans="1:12" x14ac:dyDescent="0.25">
      <c r="A2644" t="s">
        <v>181</v>
      </c>
      <c r="B2644" t="str">
        <f>_xlfn.XLOOKUP($A2644,Load!$B:$B,Load!C:C,0,)</f>
        <v>Mars Variety Pack</v>
      </c>
      <c r="C2644" t="str">
        <f>_xlfn.XLOOKUP($A2644,Load!$B:$B,Load!D:D,0,)</f>
        <v>Mix of Chocolate and Non-Chocolate Candy</v>
      </c>
      <c r="D2644" t="str">
        <f>_xlfn.XLOOKUP($A2644,Load!$B:$B,Load!E:E,0,)</f>
        <v>Variety / Mixed Flavors (Fruity, Sour, Seasonal Flavors)</v>
      </c>
      <c r="E2644" t="str">
        <f>_xlfn.XLOOKUP($A2644,Load!$B:$B,Load!F:F,0,)</f>
        <v>Mixed / Combo Packs (Gummy, Chewy, Taffy, etc.)</v>
      </c>
      <c r="F2644" t="str">
        <f>_xlfn.XLOOKUP($A2644,Load!$B:$B,Load!G:G,0,)</f>
        <v>Large Multipack (More than 80 ct)</v>
      </c>
      <c r="G2644" t="str">
        <f>_xlfn.XLOOKUP($A2644,Load!$B:$B,Load!H:H,0,)</f>
        <v>Stand-Up Bag</v>
      </c>
      <c r="H2644" t="str">
        <f>_xlfn.XLOOKUP($A2644,Load!$B:$B,Load!I:I,0,)</f>
        <v>Everyday Candy Shapes (like Original, Gummy bear, Fruit, Jewels, etc.)</v>
      </c>
      <c r="I2644" t="str">
        <f>_xlfn.XLOOKUP($A2644,Load!$B:$B,Load!J:J,0,)</f>
        <v>Seasonal Graphics (Like Bat, Ghost, Pumpkin, Fall Leaves, Eyeballs, etc.)</v>
      </c>
      <c r="J2644" t="str">
        <f>_xlfn.XLOOKUP($A2644,Load!$B:$B,Load!K:K,0,)</f>
        <v>Fun Size / Treat Size</v>
      </c>
      <c r="K2644" t="str">
        <f>_xlfn.XLOOKUP($A2644,Load!$B:$B,Load!L:L,0,)</f>
        <v>Regular/Original Wrapping</v>
      </c>
      <c r="L2644" t="str">
        <f>_xlfn.XLOOKUP($A2644,Load!$B:$B,Load!M:M,0,)</f>
        <v>Multiple Brands / Variety Flavors or Form</v>
      </c>
    </row>
    <row r="2645" spans="1:12" x14ac:dyDescent="0.25">
      <c r="A2645" t="s">
        <v>173</v>
      </c>
      <c r="B2645" t="str">
        <f>_xlfn.XLOOKUP($A2645,Load!$B:$B,Load!C:C,0,)</f>
        <v>Mars Variety Pack</v>
      </c>
      <c r="C2645" t="str">
        <f>_xlfn.XLOOKUP($A2645,Load!$B:$B,Load!D:D,0,)</f>
        <v>Mix of Chocolate and Non-Chocolate Candy</v>
      </c>
      <c r="D2645" t="str">
        <f>_xlfn.XLOOKUP($A2645,Load!$B:$B,Load!E:E,0,)</f>
        <v>Variety / Mixed Flavors (Fruity, Sour, Seasonal Flavors)</v>
      </c>
      <c r="E2645" t="str">
        <f>_xlfn.XLOOKUP($A2645,Load!$B:$B,Load!F:F,0,)</f>
        <v>Mixed / Combo Packs (Gummy, Chewy, Taffy, etc.)</v>
      </c>
      <c r="F2645" t="str">
        <f>_xlfn.XLOOKUP($A2645,Load!$B:$B,Load!G:G,0,)</f>
        <v>Large Multipack (More than 80 ct)</v>
      </c>
      <c r="G2645" t="str">
        <f>_xlfn.XLOOKUP($A2645,Load!$B:$B,Load!H:H,0,)</f>
        <v>Stand-Up Bag</v>
      </c>
      <c r="H2645" t="str">
        <f>_xlfn.XLOOKUP($A2645,Load!$B:$B,Load!I:I,0,)</f>
        <v>Everyday Candy Shapes (like Original, Gummy bear, Fruit, Jewels, etc.)</v>
      </c>
      <c r="I2645" t="str">
        <f>_xlfn.XLOOKUP($A2645,Load!$B:$B,Load!J:J,0,)</f>
        <v>Seasonal Graphics (Like Bat, Ghost, Pumpkin, Fall Leaves, Eyeballs, etc.)</v>
      </c>
      <c r="J2645" t="str">
        <f>_xlfn.XLOOKUP($A2645,Load!$B:$B,Load!K:K,0,)</f>
        <v>Fun Size / Treat Size</v>
      </c>
      <c r="K2645" t="str">
        <f>_xlfn.XLOOKUP($A2645,Load!$B:$B,Load!L:L,0,)</f>
        <v>Regular/Original Wrapping</v>
      </c>
      <c r="L2645" t="str">
        <f>_xlfn.XLOOKUP($A2645,Load!$B:$B,Load!M:M,0,)</f>
        <v>Multiple Brands / Variety Flavors or Form</v>
      </c>
    </row>
    <row r="2646" spans="1:12" x14ac:dyDescent="0.25">
      <c r="A2646" t="s">
        <v>130</v>
      </c>
      <c r="B2646" t="str">
        <f>_xlfn.XLOOKUP($A2646,Load!$B:$B,Load!C:C,0,)</f>
        <v>Hershey's</v>
      </c>
      <c r="C2646" t="str">
        <f>_xlfn.XLOOKUP($A2646,Load!$B:$B,Load!D:D,0,)</f>
        <v>Non-Chocolate Candy Only</v>
      </c>
      <c r="D2646" t="str">
        <f>_xlfn.XLOOKUP($A2646,Load!$B:$B,Load!E:E,0,)</f>
        <v>Variety / Mixed Flavors (Fruity, Sour, Seasonal Flavors)</v>
      </c>
      <c r="E2646" t="str">
        <f>_xlfn.XLOOKUP($A2646,Load!$B:$B,Load!F:F,0,)</f>
        <v>Mixed / Combo Packs (Gummy, Chewy, Taffy, etc.)</v>
      </c>
      <c r="F2646" t="str">
        <f>_xlfn.XLOOKUP($A2646,Load!$B:$B,Load!G:G,0,)</f>
        <v>Medium Multipack (40–80 ct)</v>
      </c>
      <c r="G2646" t="str">
        <f>_xlfn.XLOOKUP($A2646,Load!$B:$B,Load!H:H,0,)</f>
        <v>Laydown Bag</v>
      </c>
      <c r="H2646" t="str">
        <f>_xlfn.XLOOKUP($A2646,Load!$B:$B,Load!I:I,0,)</f>
        <v>Everyday Candy Shapes (like Original, Gummy bear, Fruit, Jewels, etc.)</v>
      </c>
      <c r="I2646" t="str">
        <f>_xlfn.XLOOKUP($A2646,Load!$B:$B,Load!J:J,0,)</f>
        <v>Seasonal Graphics (Like Bat, Ghost, Pumpkin, Fall Leaves, Eyeballs, etc.)</v>
      </c>
      <c r="J2646" t="str">
        <f>_xlfn.XLOOKUP($A2646,Load!$B:$B,Load!K:K,0,)</f>
        <v xml:space="preserve">Variety Candy Sizes </v>
      </c>
      <c r="K2646" t="str">
        <f>_xlfn.XLOOKUP($A2646,Load!$B:$B,Load!L:L,0,)</f>
        <v>Regular/Original Wrapping</v>
      </c>
      <c r="L2646" t="str">
        <f>_xlfn.XLOOKUP($A2646,Load!$B:$B,Load!M:M,0,)</f>
        <v>Multiple Brands / Variety Flavors or Form</v>
      </c>
    </row>
    <row r="2647" spans="1:12" x14ac:dyDescent="0.25">
      <c r="A2647" t="s">
        <v>284</v>
      </c>
      <c r="B2647" t="str">
        <f>_xlfn.XLOOKUP($A2647,Load!$B:$B,Load!C:C,0,)</f>
        <v>Starburst</v>
      </c>
      <c r="C2647" t="str">
        <f>_xlfn.XLOOKUP($A2647,Load!$B:$B,Load!D:D,0,)</f>
        <v>Non-Chocolate Candy Only</v>
      </c>
      <c r="D2647" t="str">
        <f>_xlfn.XLOOKUP($A2647,Load!$B:$B,Load!E:E,0,)</f>
        <v>Fruit Flavor (Cherry, Grape, Apple, Citrus, Tropical Fruit)</v>
      </c>
      <c r="E2647" t="str">
        <f>_xlfn.XLOOKUP($A2647,Load!$B:$B,Load!F:F,0,)</f>
        <v>Lollipop (regular or lollipop rings)</v>
      </c>
      <c r="F2647" t="str">
        <f>_xlfn.XLOOKUP($A2647,Load!$B:$B,Load!G:G,0,)</f>
        <v>Single Pack</v>
      </c>
      <c r="G2647" t="str">
        <f>_xlfn.XLOOKUP($A2647,Load!$B:$B,Load!H:H,0,)</f>
        <v>Laydown Bag</v>
      </c>
      <c r="H2647" t="str">
        <f>_xlfn.XLOOKUP($A2647,Load!$B:$B,Load!I:I,0,)</f>
        <v>Everyday Candy Shapes (like Original, Gummy bear, Fruit, Jewels, etc.)</v>
      </c>
      <c r="I2647" t="str">
        <f>_xlfn.XLOOKUP($A2647,Load!$B:$B,Load!J:J,0,)</f>
        <v>Seasonal Graphics (Like Bat, Ghost, Pumpkin, Fall Leaves, Eyeballs, etc.)</v>
      </c>
      <c r="J2647" t="str">
        <f>_xlfn.XLOOKUP($A2647,Load!$B:$B,Load!K:K,0,)</f>
        <v>Regular Lollipop size (on sticks or rings)</v>
      </c>
      <c r="K2647" t="str">
        <f>_xlfn.XLOOKUP($A2647,Load!$B:$B,Load!L:L,0,)</f>
        <v>Regular/Original Wrapping</v>
      </c>
      <c r="L2647" t="str">
        <f>_xlfn.XLOOKUP($A2647,Load!$B:$B,Load!M:M,0,)</f>
        <v>Single Brand / Single Flavor or Form</v>
      </c>
    </row>
    <row r="2648" spans="1:12" x14ac:dyDescent="0.25">
      <c r="B2648">
        <f>_xlfn.XLOOKUP($A2648,Load!$B:$B,Load!C:C,0,)</f>
        <v>0</v>
      </c>
      <c r="C2648">
        <f>_xlfn.XLOOKUP($A2648,Load!$B:$B,Load!D:D,0,)</f>
        <v>0</v>
      </c>
      <c r="D2648">
        <f>_xlfn.XLOOKUP($A2648,Load!$B:$B,Load!E:E,0,)</f>
        <v>0</v>
      </c>
      <c r="E2648">
        <f>_xlfn.XLOOKUP($A2648,Load!$B:$B,Load!F:F,0,)</f>
        <v>0</v>
      </c>
      <c r="F2648">
        <f>_xlfn.XLOOKUP($A2648,Load!$B:$B,Load!G:G,0,)</f>
        <v>0</v>
      </c>
      <c r="G2648">
        <f>_xlfn.XLOOKUP($A2648,Load!$B:$B,Load!H:H,0,)</f>
        <v>0</v>
      </c>
      <c r="H2648">
        <f>_xlfn.XLOOKUP($A2648,Load!$B:$B,Load!I:I,0,)</f>
        <v>0</v>
      </c>
      <c r="I2648">
        <f>_xlfn.XLOOKUP($A2648,Load!$B:$B,Load!J:J,0,)</f>
        <v>0</v>
      </c>
      <c r="J2648">
        <f>_xlfn.XLOOKUP($A2648,Load!$B:$B,Load!K:K,0,)</f>
        <v>0</v>
      </c>
      <c r="K2648">
        <f>_xlfn.XLOOKUP($A2648,Load!$B:$B,Load!L:L,0,)</f>
        <v>0</v>
      </c>
      <c r="L2648">
        <f>_xlfn.XLOOKUP($A2648,Load!$B:$B,Load!M:M,0,)</f>
        <v>0</v>
      </c>
    </row>
    <row r="2649" spans="1:12" x14ac:dyDescent="0.25">
      <c r="B2649">
        <f>_xlfn.XLOOKUP($A2649,Load!$B:$B,Load!C:C,0,)</f>
        <v>0</v>
      </c>
      <c r="C2649">
        <f>_xlfn.XLOOKUP($A2649,Load!$B:$B,Load!D:D,0,)</f>
        <v>0</v>
      </c>
      <c r="D2649">
        <f>_xlfn.XLOOKUP($A2649,Load!$B:$B,Load!E:E,0,)</f>
        <v>0</v>
      </c>
      <c r="E2649">
        <f>_xlfn.XLOOKUP($A2649,Load!$B:$B,Load!F:F,0,)</f>
        <v>0</v>
      </c>
      <c r="F2649">
        <f>_xlfn.XLOOKUP($A2649,Load!$B:$B,Load!G:G,0,)</f>
        <v>0</v>
      </c>
      <c r="G2649">
        <f>_xlfn.XLOOKUP($A2649,Load!$B:$B,Load!H:H,0,)</f>
        <v>0</v>
      </c>
      <c r="H2649">
        <f>_xlfn.XLOOKUP($A2649,Load!$B:$B,Load!I:I,0,)</f>
        <v>0</v>
      </c>
      <c r="I2649">
        <f>_xlfn.XLOOKUP($A2649,Load!$B:$B,Load!J:J,0,)</f>
        <v>0</v>
      </c>
      <c r="J2649">
        <f>_xlfn.XLOOKUP($A2649,Load!$B:$B,Load!K:K,0,)</f>
        <v>0</v>
      </c>
      <c r="K2649">
        <f>_xlfn.XLOOKUP($A2649,Load!$B:$B,Load!L:L,0,)</f>
        <v>0</v>
      </c>
      <c r="L2649">
        <f>_xlfn.XLOOKUP($A2649,Load!$B:$B,Load!M:M,0,)</f>
        <v>0</v>
      </c>
    </row>
    <row r="2650" spans="1:12" x14ac:dyDescent="0.25">
      <c r="B2650">
        <f>_xlfn.XLOOKUP($A2650,Load!$B:$B,Load!C:C,0,)</f>
        <v>0</v>
      </c>
      <c r="C2650">
        <f>_xlfn.XLOOKUP($A2650,Load!$B:$B,Load!D:D,0,)</f>
        <v>0</v>
      </c>
      <c r="D2650">
        <f>_xlfn.XLOOKUP($A2650,Load!$B:$B,Load!E:E,0,)</f>
        <v>0</v>
      </c>
      <c r="E2650">
        <f>_xlfn.XLOOKUP($A2650,Load!$B:$B,Load!F:F,0,)</f>
        <v>0</v>
      </c>
      <c r="F2650">
        <f>_xlfn.XLOOKUP($A2650,Load!$B:$B,Load!G:G,0,)</f>
        <v>0</v>
      </c>
      <c r="G2650">
        <f>_xlfn.XLOOKUP($A2650,Load!$B:$B,Load!H:H,0,)</f>
        <v>0</v>
      </c>
      <c r="H2650">
        <f>_xlfn.XLOOKUP($A2650,Load!$B:$B,Load!I:I,0,)</f>
        <v>0</v>
      </c>
      <c r="I2650">
        <f>_xlfn.XLOOKUP($A2650,Load!$B:$B,Load!J:J,0,)</f>
        <v>0</v>
      </c>
      <c r="J2650">
        <f>_xlfn.XLOOKUP($A2650,Load!$B:$B,Load!K:K,0,)</f>
        <v>0</v>
      </c>
      <c r="K2650">
        <f>_xlfn.XLOOKUP($A2650,Load!$B:$B,Load!L:L,0,)</f>
        <v>0</v>
      </c>
      <c r="L2650">
        <f>_xlfn.XLOOKUP($A2650,Load!$B:$B,Load!M:M,0,)</f>
        <v>0</v>
      </c>
    </row>
    <row r="2651" spans="1:12" x14ac:dyDescent="0.25">
      <c r="B2651">
        <f>_xlfn.XLOOKUP($A2651,Load!$B:$B,Load!C:C,0,)</f>
        <v>0</v>
      </c>
      <c r="C2651">
        <f>_xlfn.XLOOKUP($A2651,Load!$B:$B,Load!D:D,0,)</f>
        <v>0</v>
      </c>
      <c r="D2651">
        <f>_xlfn.XLOOKUP($A2651,Load!$B:$B,Load!E:E,0,)</f>
        <v>0</v>
      </c>
      <c r="E2651">
        <f>_xlfn.XLOOKUP($A2651,Load!$B:$B,Load!F:F,0,)</f>
        <v>0</v>
      </c>
      <c r="F2651">
        <f>_xlfn.XLOOKUP($A2651,Load!$B:$B,Load!G:G,0,)</f>
        <v>0</v>
      </c>
      <c r="G2651">
        <f>_xlfn.XLOOKUP($A2651,Load!$B:$B,Load!H:H,0,)</f>
        <v>0</v>
      </c>
      <c r="H2651">
        <f>_xlfn.XLOOKUP($A2651,Load!$B:$B,Load!I:I,0,)</f>
        <v>0</v>
      </c>
      <c r="I2651">
        <f>_xlfn.XLOOKUP($A2651,Load!$B:$B,Load!J:J,0,)</f>
        <v>0</v>
      </c>
      <c r="J2651">
        <f>_xlfn.XLOOKUP($A2651,Load!$B:$B,Load!K:K,0,)</f>
        <v>0</v>
      </c>
      <c r="K2651">
        <f>_xlfn.XLOOKUP($A2651,Load!$B:$B,Load!L:L,0,)</f>
        <v>0</v>
      </c>
      <c r="L2651">
        <f>_xlfn.XLOOKUP($A2651,Load!$B:$B,Load!M:M,0,)</f>
        <v>0</v>
      </c>
    </row>
    <row r="2652" spans="1:12" x14ac:dyDescent="0.25">
      <c r="B2652">
        <f>_xlfn.XLOOKUP($A2652,Load!$B:$B,Load!C:C,0,)</f>
        <v>0</v>
      </c>
      <c r="C2652">
        <f>_xlfn.XLOOKUP($A2652,Load!$B:$B,Load!D:D,0,)</f>
        <v>0</v>
      </c>
      <c r="D2652">
        <f>_xlfn.XLOOKUP($A2652,Load!$B:$B,Load!E:E,0,)</f>
        <v>0</v>
      </c>
      <c r="E2652">
        <f>_xlfn.XLOOKUP($A2652,Load!$B:$B,Load!F:F,0,)</f>
        <v>0</v>
      </c>
      <c r="F2652">
        <f>_xlfn.XLOOKUP($A2652,Load!$B:$B,Load!G:G,0,)</f>
        <v>0</v>
      </c>
      <c r="G2652">
        <f>_xlfn.XLOOKUP($A2652,Load!$B:$B,Load!H:H,0,)</f>
        <v>0</v>
      </c>
      <c r="H2652">
        <f>_xlfn.XLOOKUP($A2652,Load!$B:$B,Load!I:I,0,)</f>
        <v>0</v>
      </c>
      <c r="I2652">
        <f>_xlfn.XLOOKUP($A2652,Load!$B:$B,Load!J:J,0,)</f>
        <v>0</v>
      </c>
      <c r="J2652">
        <f>_xlfn.XLOOKUP($A2652,Load!$B:$B,Load!K:K,0,)</f>
        <v>0</v>
      </c>
      <c r="K2652">
        <f>_xlfn.XLOOKUP($A2652,Load!$B:$B,Load!L:L,0,)</f>
        <v>0</v>
      </c>
      <c r="L2652">
        <f>_xlfn.XLOOKUP($A2652,Load!$B:$B,Load!M:M,0,)</f>
        <v>0</v>
      </c>
    </row>
    <row r="2653" spans="1:12" x14ac:dyDescent="0.25">
      <c r="B2653">
        <f>_xlfn.XLOOKUP($A2653,Load!$B:$B,Load!C:C,0,)</f>
        <v>0</v>
      </c>
      <c r="C2653">
        <f>_xlfn.XLOOKUP($A2653,Load!$B:$B,Load!D:D,0,)</f>
        <v>0</v>
      </c>
      <c r="D2653">
        <f>_xlfn.XLOOKUP($A2653,Load!$B:$B,Load!E:E,0,)</f>
        <v>0</v>
      </c>
      <c r="E2653">
        <f>_xlfn.XLOOKUP($A2653,Load!$B:$B,Load!F:F,0,)</f>
        <v>0</v>
      </c>
      <c r="F2653">
        <f>_xlfn.XLOOKUP($A2653,Load!$B:$B,Load!G:G,0,)</f>
        <v>0</v>
      </c>
      <c r="G2653">
        <f>_xlfn.XLOOKUP($A2653,Load!$B:$B,Load!H:H,0,)</f>
        <v>0</v>
      </c>
      <c r="H2653">
        <f>_xlfn.XLOOKUP($A2653,Load!$B:$B,Load!I:I,0,)</f>
        <v>0</v>
      </c>
      <c r="I2653">
        <f>_xlfn.XLOOKUP($A2653,Load!$B:$B,Load!J:J,0,)</f>
        <v>0</v>
      </c>
      <c r="J2653">
        <f>_xlfn.XLOOKUP($A2653,Load!$B:$B,Load!K:K,0,)</f>
        <v>0</v>
      </c>
      <c r="K2653">
        <f>_xlfn.XLOOKUP($A2653,Load!$B:$B,Load!L:L,0,)</f>
        <v>0</v>
      </c>
      <c r="L2653">
        <f>_xlfn.XLOOKUP($A2653,Load!$B:$B,Load!M:M,0,)</f>
        <v>0</v>
      </c>
    </row>
    <row r="2654" spans="1:12" x14ac:dyDescent="0.25">
      <c r="B2654">
        <f>_xlfn.XLOOKUP($A2654,Load!$B:$B,Load!C:C,0,)</f>
        <v>0</v>
      </c>
      <c r="C2654">
        <f>_xlfn.XLOOKUP($A2654,Load!$B:$B,Load!D:D,0,)</f>
        <v>0</v>
      </c>
      <c r="D2654">
        <f>_xlfn.XLOOKUP($A2654,Load!$B:$B,Load!E:E,0,)</f>
        <v>0</v>
      </c>
      <c r="E2654">
        <f>_xlfn.XLOOKUP($A2654,Load!$B:$B,Load!F:F,0,)</f>
        <v>0</v>
      </c>
      <c r="F2654">
        <f>_xlfn.XLOOKUP($A2654,Load!$B:$B,Load!G:G,0,)</f>
        <v>0</v>
      </c>
      <c r="G2654">
        <f>_xlfn.XLOOKUP($A2654,Load!$B:$B,Load!H:H,0,)</f>
        <v>0</v>
      </c>
      <c r="H2654">
        <f>_xlfn.XLOOKUP($A2654,Load!$B:$B,Load!I:I,0,)</f>
        <v>0</v>
      </c>
      <c r="I2654">
        <f>_xlfn.XLOOKUP($A2654,Load!$B:$B,Load!J:J,0,)</f>
        <v>0</v>
      </c>
      <c r="J2654">
        <f>_xlfn.XLOOKUP($A2654,Load!$B:$B,Load!K:K,0,)</f>
        <v>0</v>
      </c>
      <c r="K2654">
        <f>_xlfn.XLOOKUP($A2654,Load!$B:$B,Load!L:L,0,)</f>
        <v>0</v>
      </c>
      <c r="L2654">
        <f>_xlfn.XLOOKUP($A2654,Load!$B:$B,Load!M:M,0,)</f>
        <v>0</v>
      </c>
    </row>
    <row r="2655" spans="1:12" x14ac:dyDescent="0.25">
      <c r="B2655">
        <f>_xlfn.XLOOKUP($A2655,Load!$B:$B,Load!C:C,0,)</f>
        <v>0</v>
      </c>
      <c r="C2655">
        <f>_xlfn.XLOOKUP($A2655,Load!$B:$B,Load!D:D,0,)</f>
        <v>0</v>
      </c>
      <c r="D2655">
        <f>_xlfn.XLOOKUP($A2655,Load!$B:$B,Load!E:E,0,)</f>
        <v>0</v>
      </c>
      <c r="E2655">
        <f>_xlfn.XLOOKUP($A2655,Load!$B:$B,Load!F:F,0,)</f>
        <v>0</v>
      </c>
      <c r="F2655">
        <f>_xlfn.XLOOKUP($A2655,Load!$B:$B,Load!G:G,0,)</f>
        <v>0</v>
      </c>
      <c r="G2655">
        <f>_xlfn.XLOOKUP($A2655,Load!$B:$B,Load!H:H,0,)</f>
        <v>0</v>
      </c>
      <c r="H2655">
        <f>_xlfn.XLOOKUP($A2655,Load!$B:$B,Load!I:I,0,)</f>
        <v>0</v>
      </c>
      <c r="I2655">
        <f>_xlfn.XLOOKUP($A2655,Load!$B:$B,Load!J:J,0,)</f>
        <v>0</v>
      </c>
      <c r="J2655">
        <f>_xlfn.XLOOKUP($A2655,Load!$B:$B,Load!K:K,0,)</f>
        <v>0</v>
      </c>
      <c r="K2655">
        <f>_xlfn.XLOOKUP($A2655,Load!$B:$B,Load!L:L,0,)</f>
        <v>0</v>
      </c>
      <c r="L2655">
        <f>_xlfn.XLOOKUP($A2655,Load!$B:$B,Load!M:M,0,)</f>
        <v>0</v>
      </c>
    </row>
    <row r="2656" spans="1:12" x14ac:dyDescent="0.25">
      <c r="A2656" t="s">
        <v>193</v>
      </c>
      <c r="B2656" t="str">
        <f>_xlfn.XLOOKUP($A2656,Load!$B:$B,Load!C:C,0,)</f>
        <v>Mars Variety Pack</v>
      </c>
      <c r="C2656" t="str">
        <f>_xlfn.XLOOKUP($A2656,Load!$B:$B,Load!D:D,0,)</f>
        <v>Mix of Chocolate and Non-Chocolate Candy</v>
      </c>
      <c r="D2656" t="str">
        <f>_xlfn.XLOOKUP($A2656,Load!$B:$B,Load!E:E,0,)</f>
        <v>Variety / Mixed Flavors (Fruity, Sour, Seasonal Flavors)</v>
      </c>
      <c r="E2656" t="str">
        <f>_xlfn.XLOOKUP($A2656,Load!$B:$B,Load!F:F,0,)</f>
        <v>Mixed / Combo Packs (Gummy, Chewy, Taffy, etc.)</v>
      </c>
      <c r="F2656" t="str">
        <f>_xlfn.XLOOKUP($A2656,Load!$B:$B,Load!G:G,0,)</f>
        <v>Medium Multipack (40–80 ct)</v>
      </c>
      <c r="G2656" t="str">
        <f>_xlfn.XLOOKUP($A2656,Load!$B:$B,Load!H:H,0,)</f>
        <v>Laydown Bag</v>
      </c>
      <c r="H2656" t="str">
        <f>_xlfn.XLOOKUP($A2656,Load!$B:$B,Load!I:I,0,)</f>
        <v>Everyday Candy Shapes (like Original, Gummy bear, Fruit, Jewels, etc.)</v>
      </c>
      <c r="I2656" t="str">
        <f>_xlfn.XLOOKUP($A2656,Load!$B:$B,Load!J:J,0,)</f>
        <v>Seasonal Graphics (Like Bat, Ghost, Pumpkin, Fall Leaves, Eyeballs, etc.)</v>
      </c>
      <c r="J2656" t="str">
        <f>_xlfn.XLOOKUP($A2656,Load!$B:$B,Load!K:K,0,)</f>
        <v>Fun Size / Treat Size</v>
      </c>
      <c r="K2656" t="str">
        <f>_xlfn.XLOOKUP($A2656,Load!$B:$B,Load!L:L,0,)</f>
        <v>Regular/Original Wrapping</v>
      </c>
      <c r="L2656" t="str">
        <f>_xlfn.XLOOKUP($A2656,Load!$B:$B,Load!M:M,0,)</f>
        <v>Multiple Brands / Variety Flavors or Form</v>
      </c>
    </row>
    <row r="2657" spans="1:12" x14ac:dyDescent="0.25">
      <c r="A2657" t="s">
        <v>326</v>
      </c>
      <c r="B2657" t="str">
        <f>_xlfn.XLOOKUP($A2657,Load!$B:$B,Load!C:C,0,)</f>
        <v>Mondelez Variety Pack</v>
      </c>
      <c r="C2657" t="str">
        <f>_xlfn.XLOOKUP($A2657,Load!$B:$B,Load!D:D,0,)</f>
        <v>Mix of Chocolate and Non-Chocolate Candy</v>
      </c>
      <c r="D2657" t="str">
        <f>_xlfn.XLOOKUP($A2657,Load!$B:$B,Load!E:E,0,)</f>
        <v>Variety / Mixed Flavors (Fruity, Sour, Seasonal Flavors)</v>
      </c>
      <c r="E2657" t="str">
        <f>_xlfn.XLOOKUP($A2657,Load!$B:$B,Load!F:F,0,)</f>
        <v>Mixed / Combo Packs (Gummy, Chewy, Taffy, etc.)</v>
      </c>
      <c r="F2657" t="str">
        <f>_xlfn.XLOOKUP($A2657,Load!$B:$B,Load!G:G,0,)</f>
        <v>Medium Multipack (40–80 ct)</v>
      </c>
      <c r="G2657" t="str">
        <f>_xlfn.XLOOKUP($A2657,Load!$B:$B,Load!H:H,0,)</f>
        <v>Stand-Up Bag</v>
      </c>
      <c r="H2657" t="str">
        <f>_xlfn.XLOOKUP($A2657,Load!$B:$B,Load!I:I,0,)</f>
        <v>Everyday Candy Shapes (like Original, Gummy bear, Fruit, Jewels, etc.)</v>
      </c>
      <c r="I2657" t="str">
        <f>_xlfn.XLOOKUP($A2657,Load!$B:$B,Load!J:J,0,)</f>
        <v>Seasonal Graphics (Like Bat, Ghost, Pumpkin, Fall Leaves, Eyeballs, etc.)</v>
      </c>
      <c r="J2657" t="str">
        <f>_xlfn.XLOOKUP($A2657,Load!$B:$B,Load!K:K,0,)</f>
        <v xml:space="preserve">Variety Candy Sizes </v>
      </c>
      <c r="K2657" t="str">
        <f>_xlfn.XLOOKUP($A2657,Load!$B:$B,Load!L:L,0,)</f>
        <v>Regular/Original Wrapping</v>
      </c>
      <c r="L2657" t="str">
        <f>_xlfn.XLOOKUP($A2657,Load!$B:$B,Load!M:M,0,)</f>
        <v>Multiple Brands / Variety Flavors or Form</v>
      </c>
    </row>
    <row r="2658" spans="1:12" x14ac:dyDescent="0.25">
      <c r="A2658" t="s">
        <v>158</v>
      </c>
      <c r="B2658" t="str">
        <f>_xlfn.XLOOKUP($A2658,Load!$B:$B,Load!C:C,0,)</f>
        <v>Jolly Rancher</v>
      </c>
      <c r="C2658" t="str">
        <f>_xlfn.XLOOKUP($A2658,Load!$B:$B,Load!D:D,0,)</f>
        <v>Non-Chocolate Candy Only</v>
      </c>
      <c r="D2658" t="str">
        <f>_xlfn.XLOOKUP($A2658,Load!$B:$B,Load!E:E,0,)</f>
        <v>Sweet</v>
      </c>
      <c r="E2658" t="str">
        <f>_xlfn.XLOOKUP($A2658,Load!$B:$B,Load!F:F,0,)</f>
        <v>Hard Candy</v>
      </c>
      <c r="F2658" t="str">
        <f>_xlfn.XLOOKUP($A2658,Load!$B:$B,Load!G:G,0,)</f>
        <v>Single Pack</v>
      </c>
      <c r="G2658" t="str">
        <f>_xlfn.XLOOKUP($A2658,Load!$B:$B,Load!H:H,0,)</f>
        <v>Peg Bag</v>
      </c>
      <c r="H2658" t="str">
        <f>_xlfn.XLOOKUP($A2658,Load!$B:$B,Load!I:I,0,)</f>
        <v>Everyday Candy Shapes (like Original, Gummy bear, Fruit, Jewels, etc.)</v>
      </c>
      <c r="I2658" t="str">
        <f>_xlfn.XLOOKUP($A2658,Load!$B:$B,Load!J:J,0,)</f>
        <v>Everyday Graphics</v>
      </c>
      <c r="J2658" t="str">
        <f>_xlfn.XLOOKUP($A2658,Load!$B:$B,Load!K:K,0,)</f>
        <v>Small Pieces (Tiny bite size candies)</v>
      </c>
      <c r="K2658" t="str">
        <f>_xlfn.XLOOKUP($A2658,Load!$B:$B,Load!L:L,0,)</f>
        <v>Regular/Original Wrapping</v>
      </c>
      <c r="L2658" t="str">
        <f>_xlfn.XLOOKUP($A2658,Load!$B:$B,Load!M:M,0,)</f>
        <v>Single Brand / Variety Flavors or Form</v>
      </c>
    </row>
    <row r="2659" spans="1:12" x14ac:dyDescent="0.25">
      <c r="B2659">
        <f>_xlfn.XLOOKUP($A2659,Load!$B:$B,Load!C:C,0,)</f>
        <v>0</v>
      </c>
      <c r="C2659">
        <f>_xlfn.XLOOKUP($A2659,Load!$B:$B,Load!D:D,0,)</f>
        <v>0</v>
      </c>
      <c r="D2659">
        <f>_xlfn.XLOOKUP($A2659,Load!$B:$B,Load!E:E,0,)</f>
        <v>0</v>
      </c>
      <c r="E2659">
        <f>_xlfn.XLOOKUP($A2659,Load!$B:$B,Load!F:F,0,)</f>
        <v>0</v>
      </c>
      <c r="F2659">
        <f>_xlfn.XLOOKUP($A2659,Load!$B:$B,Load!G:G,0,)</f>
        <v>0</v>
      </c>
      <c r="G2659">
        <f>_xlfn.XLOOKUP($A2659,Load!$B:$B,Load!H:H,0,)</f>
        <v>0</v>
      </c>
      <c r="H2659">
        <f>_xlfn.XLOOKUP($A2659,Load!$B:$B,Load!I:I,0,)</f>
        <v>0</v>
      </c>
      <c r="I2659">
        <f>_xlfn.XLOOKUP($A2659,Load!$B:$B,Load!J:J,0,)</f>
        <v>0</v>
      </c>
      <c r="J2659">
        <f>_xlfn.XLOOKUP($A2659,Load!$B:$B,Load!K:K,0,)</f>
        <v>0</v>
      </c>
      <c r="K2659">
        <f>_xlfn.XLOOKUP($A2659,Load!$B:$B,Load!L:L,0,)</f>
        <v>0</v>
      </c>
      <c r="L2659">
        <f>_xlfn.XLOOKUP($A2659,Load!$B:$B,Load!M:M,0,)</f>
        <v>0</v>
      </c>
    </row>
    <row r="2660" spans="1:12" x14ac:dyDescent="0.25">
      <c r="A2660" t="s">
        <v>85</v>
      </c>
      <c r="B2660" t="str">
        <f>_xlfn.XLOOKUP($A2660,Load!$B:$B,Load!C:C,0,)</f>
        <v>Ferrara Variety Pack</v>
      </c>
      <c r="C2660" t="str">
        <f>_xlfn.XLOOKUP($A2660,Load!$B:$B,Load!D:D,0,)</f>
        <v>Non-Chocolate Candy Only</v>
      </c>
      <c r="D2660" t="str">
        <f>_xlfn.XLOOKUP($A2660,Load!$B:$B,Load!E:E,0,)</f>
        <v>Variety / Mixed Flavors (Fruity, Sour, Seasonal Flavors)</v>
      </c>
      <c r="E2660" t="str">
        <f>_xlfn.XLOOKUP($A2660,Load!$B:$B,Load!F:F,0,)</f>
        <v>Mixed / Combo Packs (Gummy, Chewy, Taffy, etc.)</v>
      </c>
      <c r="F2660" t="str">
        <f>_xlfn.XLOOKUP($A2660,Load!$B:$B,Load!G:G,0,)</f>
        <v>Large Multipack (More than 80 ct)</v>
      </c>
      <c r="G2660" t="str">
        <f>_xlfn.XLOOKUP($A2660,Load!$B:$B,Load!H:H,0,)</f>
        <v>Stand-Up Bag</v>
      </c>
      <c r="H2660" t="str">
        <f>_xlfn.XLOOKUP($A2660,Load!$B:$B,Load!I:I,0,)</f>
        <v>Seasonal Shapes (like pumpkins, candy corn, ghost, bats, etc.)</v>
      </c>
      <c r="I2660" t="str">
        <f>_xlfn.XLOOKUP($A2660,Load!$B:$B,Load!J:J,0,)</f>
        <v>Seasonal Graphics (Like Bat, Ghost, Pumpkin, Fall Leaves, Eyeballs, etc.)</v>
      </c>
      <c r="J2660" t="str">
        <f>_xlfn.XLOOKUP($A2660,Load!$B:$B,Load!K:K,0,)</f>
        <v>Fun Size / Treat Size</v>
      </c>
      <c r="K2660" t="str">
        <f>_xlfn.XLOOKUP($A2660,Load!$B:$B,Load!L:L,0,)</f>
        <v>Regular/Original Wrapping</v>
      </c>
      <c r="L2660" t="str">
        <f>_xlfn.XLOOKUP($A2660,Load!$B:$B,Load!M:M,0,)</f>
        <v>Multiple Brands / Variety Flavors or Form</v>
      </c>
    </row>
    <row r="2661" spans="1:12" x14ac:dyDescent="0.25">
      <c r="B2661">
        <f>_xlfn.XLOOKUP($A2661,Load!$B:$B,Load!C:C,0,)</f>
        <v>0</v>
      </c>
      <c r="C2661">
        <f>_xlfn.XLOOKUP($A2661,Load!$B:$B,Load!D:D,0,)</f>
        <v>0</v>
      </c>
      <c r="D2661">
        <f>_xlfn.XLOOKUP($A2661,Load!$B:$B,Load!E:E,0,)</f>
        <v>0</v>
      </c>
      <c r="E2661">
        <f>_xlfn.XLOOKUP($A2661,Load!$B:$B,Load!F:F,0,)</f>
        <v>0</v>
      </c>
      <c r="F2661">
        <f>_xlfn.XLOOKUP($A2661,Load!$B:$B,Load!G:G,0,)</f>
        <v>0</v>
      </c>
      <c r="G2661">
        <f>_xlfn.XLOOKUP($A2661,Load!$B:$B,Load!H:H,0,)</f>
        <v>0</v>
      </c>
      <c r="H2661">
        <f>_xlfn.XLOOKUP($A2661,Load!$B:$B,Load!I:I,0,)</f>
        <v>0</v>
      </c>
      <c r="I2661">
        <f>_xlfn.XLOOKUP($A2661,Load!$B:$B,Load!J:J,0,)</f>
        <v>0</v>
      </c>
      <c r="J2661">
        <f>_xlfn.XLOOKUP($A2661,Load!$B:$B,Load!K:K,0,)</f>
        <v>0</v>
      </c>
      <c r="K2661">
        <f>_xlfn.XLOOKUP($A2661,Load!$B:$B,Load!L:L,0,)</f>
        <v>0</v>
      </c>
      <c r="L2661">
        <f>_xlfn.XLOOKUP($A2661,Load!$B:$B,Load!M:M,0,)</f>
        <v>0</v>
      </c>
    </row>
    <row r="2662" spans="1:12" x14ac:dyDescent="0.25">
      <c r="A2662" t="s">
        <v>125</v>
      </c>
      <c r="B2662" t="str">
        <f>_xlfn.XLOOKUP($A2662,Load!$B:$B,Load!C:C,0,)</f>
        <v>HARIBO</v>
      </c>
      <c r="C2662" t="str">
        <f>_xlfn.XLOOKUP($A2662,Load!$B:$B,Load!D:D,0,)</f>
        <v>Non-Chocolate Candy Only</v>
      </c>
      <c r="D2662" t="str">
        <f>_xlfn.XLOOKUP($A2662,Load!$B:$B,Load!E:E,0,)</f>
        <v>Berry Based (Raspberry, Strawberry, Medley, etc.)</v>
      </c>
      <c r="E2662" t="str">
        <f>_xlfn.XLOOKUP($A2662,Load!$B:$B,Load!F:F,0,)</f>
        <v>Gummy</v>
      </c>
      <c r="F2662" t="str">
        <f>_xlfn.XLOOKUP($A2662,Load!$B:$B,Load!G:G,0,)</f>
        <v>Small Multipack (Less than 40 ct)</v>
      </c>
      <c r="G2662" t="str">
        <f>_xlfn.XLOOKUP($A2662,Load!$B:$B,Load!H:H,0,)</f>
        <v>Laydown Bag</v>
      </c>
      <c r="H2662" t="str">
        <f>_xlfn.XLOOKUP($A2662,Load!$B:$B,Load!I:I,0,)</f>
        <v>Everyday Candy Shapes (like Original, Gummy bear, Fruit, Jewels, etc.)</v>
      </c>
      <c r="I2662" t="str">
        <f>_xlfn.XLOOKUP($A2662,Load!$B:$B,Load!J:J,0,)</f>
        <v>Everyday Graphics</v>
      </c>
      <c r="J2662" t="str">
        <f>_xlfn.XLOOKUP($A2662,Load!$B:$B,Load!K:K,0,)</f>
        <v>Small Pieces (Tiny bite size candies)</v>
      </c>
      <c r="K2662" t="str">
        <f>_xlfn.XLOOKUP($A2662,Load!$B:$B,Load!L:L,0,)</f>
        <v>Regular/Original Wrapping</v>
      </c>
      <c r="L2662" t="str">
        <f>_xlfn.XLOOKUP($A2662,Load!$B:$B,Load!M:M,0,)</f>
        <v>Single Brand / Variety Flavors or Form</v>
      </c>
    </row>
    <row r="2663" spans="1:12" x14ac:dyDescent="0.25">
      <c r="B2663">
        <f>_xlfn.XLOOKUP($A2663,Load!$B:$B,Load!C:C,0,)</f>
        <v>0</v>
      </c>
      <c r="C2663">
        <f>_xlfn.XLOOKUP($A2663,Load!$B:$B,Load!D:D,0,)</f>
        <v>0</v>
      </c>
      <c r="D2663">
        <f>_xlfn.XLOOKUP($A2663,Load!$B:$B,Load!E:E,0,)</f>
        <v>0</v>
      </c>
      <c r="E2663">
        <f>_xlfn.XLOOKUP($A2663,Load!$B:$B,Load!F:F,0,)</f>
        <v>0</v>
      </c>
      <c r="F2663">
        <f>_xlfn.XLOOKUP($A2663,Load!$B:$B,Load!G:G,0,)</f>
        <v>0</v>
      </c>
      <c r="G2663">
        <f>_xlfn.XLOOKUP($A2663,Load!$B:$B,Load!H:H,0,)</f>
        <v>0</v>
      </c>
      <c r="H2663">
        <f>_xlfn.XLOOKUP($A2663,Load!$B:$B,Load!I:I,0,)</f>
        <v>0</v>
      </c>
      <c r="I2663">
        <f>_xlfn.XLOOKUP($A2663,Load!$B:$B,Load!J:J,0,)</f>
        <v>0</v>
      </c>
      <c r="J2663">
        <f>_xlfn.XLOOKUP($A2663,Load!$B:$B,Load!K:K,0,)</f>
        <v>0</v>
      </c>
      <c r="K2663">
        <f>_xlfn.XLOOKUP($A2663,Load!$B:$B,Load!L:L,0,)</f>
        <v>0</v>
      </c>
      <c r="L2663">
        <f>_xlfn.XLOOKUP($A2663,Load!$B:$B,Load!M:M,0,)</f>
        <v>0</v>
      </c>
    </row>
    <row r="2664" spans="1:12" x14ac:dyDescent="0.25">
      <c r="B2664">
        <f>_xlfn.XLOOKUP($A2664,Load!$B:$B,Load!C:C,0,)</f>
        <v>0</v>
      </c>
      <c r="C2664">
        <f>_xlfn.XLOOKUP($A2664,Load!$B:$B,Load!D:D,0,)</f>
        <v>0</v>
      </c>
      <c r="D2664">
        <f>_xlfn.XLOOKUP($A2664,Load!$B:$B,Load!E:E,0,)</f>
        <v>0</v>
      </c>
      <c r="E2664">
        <f>_xlfn.XLOOKUP($A2664,Load!$B:$B,Load!F:F,0,)</f>
        <v>0</v>
      </c>
      <c r="F2664">
        <f>_xlfn.XLOOKUP($A2664,Load!$B:$B,Load!G:G,0,)</f>
        <v>0</v>
      </c>
      <c r="G2664">
        <f>_xlfn.XLOOKUP($A2664,Load!$B:$B,Load!H:H,0,)</f>
        <v>0</v>
      </c>
      <c r="H2664">
        <f>_xlfn.XLOOKUP($A2664,Load!$B:$B,Load!I:I,0,)</f>
        <v>0</v>
      </c>
      <c r="I2664">
        <f>_xlfn.XLOOKUP($A2664,Load!$B:$B,Load!J:J,0,)</f>
        <v>0</v>
      </c>
      <c r="J2664">
        <f>_xlfn.XLOOKUP($A2664,Load!$B:$B,Load!K:K,0,)</f>
        <v>0</v>
      </c>
      <c r="K2664">
        <f>_xlfn.XLOOKUP($A2664,Load!$B:$B,Load!L:L,0,)</f>
        <v>0</v>
      </c>
      <c r="L2664">
        <f>_xlfn.XLOOKUP($A2664,Load!$B:$B,Load!M:M,0,)</f>
        <v>0</v>
      </c>
    </row>
    <row r="2665" spans="1:12" x14ac:dyDescent="0.25">
      <c r="B2665">
        <f>_xlfn.XLOOKUP($A2665,Load!$B:$B,Load!C:C,0,)</f>
        <v>0</v>
      </c>
      <c r="C2665">
        <f>_xlfn.XLOOKUP($A2665,Load!$B:$B,Load!D:D,0,)</f>
        <v>0</v>
      </c>
      <c r="D2665">
        <f>_xlfn.XLOOKUP($A2665,Load!$B:$B,Load!E:E,0,)</f>
        <v>0</v>
      </c>
      <c r="E2665">
        <f>_xlfn.XLOOKUP($A2665,Load!$B:$B,Load!F:F,0,)</f>
        <v>0</v>
      </c>
      <c r="F2665">
        <f>_xlfn.XLOOKUP($A2665,Load!$B:$B,Load!G:G,0,)</f>
        <v>0</v>
      </c>
      <c r="G2665">
        <f>_xlfn.XLOOKUP($A2665,Load!$B:$B,Load!H:H,0,)</f>
        <v>0</v>
      </c>
      <c r="H2665">
        <f>_xlfn.XLOOKUP($A2665,Load!$B:$B,Load!I:I,0,)</f>
        <v>0</v>
      </c>
      <c r="I2665">
        <f>_xlfn.XLOOKUP($A2665,Load!$B:$B,Load!J:J,0,)</f>
        <v>0</v>
      </c>
      <c r="J2665">
        <f>_xlfn.XLOOKUP($A2665,Load!$B:$B,Load!K:K,0,)</f>
        <v>0</v>
      </c>
      <c r="K2665">
        <f>_xlfn.XLOOKUP($A2665,Load!$B:$B,Load!L:L,0,)</f>
        <v>0</v>
      </c>
      <c r="L2665">
        <f>_xlfn.XLOOKUP($A2665,Load!$B:$B,Load!M:M,0,)</f>
        <v>0</v>
      </c>
    </row>
    <row r="2666" spans="1:12" x14ac:dyDescent="0.25">
      <c r="B2666">
        <f>_xlfn.XLOOKUP($A2666,Load!$B:$B,Load!C:C,0,)</f>
        <v>0</v>
      </c>
      <c r="C2666">
        <f>_xlfn.XLOOKUP($A2666,Load!$B:$B,Load!D:D,0,)</f>
        <v>0</v>
      </c>
      <c r="D2666">
        <f>_xlfn.XLOOKUP($A2666,Load!$B:$B,Load!E:E,0,)</f>
        <v>0</v>
      </c>
      <c r="E2666">
        <f>_xlfn.XLOOKUP($A2666,Load!$B:$B,Load!F:F,0,)</f>
        <v>0</v>
      </c>
      <c r="F2666">
        <f>_xlfn.XLOOKUP($A2666,Load!$B:$B,Load!G:G,0,)</f>
        <v>0</v>
      </c>
      <c r="G2666">
        <f>_xlfn.XLOOKUP($A2666,Load!$B:$B,Load!H:H,0,)</f>
        <v>0</v>
      </c>
      <c r="H2666">
        <f>_xlfn.XLOOKUP($A2666,Load!$B:$B,Load!I:I,0,)</f>
        <v>0</v>
      </c>
      <c r="I2666">
        <f>_xlfn.XLOOKUP($A2666,Load!$B:$B,Load!J:J,0,)</f>
        <v>0</v>
      </c>
      <c r="J2666">
        <f>_xlfn.XLOOKUP($A2666,Load!$B:$B,Load!K:K,0,)</f>
        <v>0</v>
      </c>
      <c r="K2666">
        <f>_xlfn.XLOOKUP($A2666,Load!$B:$B,Load!L:L,0,)</f>
        <v>0</v>
      </c>
      <c r="L2666">
        <f>_xlfn.XLOOKUP($A2666,Load!$B:$B,Load!M:M,0,)</f>
        <v>0</v>
      </c>
    </row>
    <row r="2667" spans="1:12" x14ac:dyDescent="0.25">
      <c r="B2667">
        <f>_xlfn.XLOOKUP($A2667,Load!$B:$B,Load!C:C,0,)</f>
        <v>0</v>
      </c>
      <c r="C2667">
        <f>_xlfn.XLOOKUP($A2667,Load!$B:$B,Load!D:D,0,)</f>
        <v>0</v>
      </c>
      <c r="D2667">
        <f>_xlfn.XLOOKUP($A2667,Load!$B:$B,Load!E:E,0,)</f>
        <v>0</v>
      </c>
      <c r="E2667">
        <f>_xlfn.XLOOKUP($A2667,Load!$B:$B,Load!F:F,0,)</f>
        <v>0</v>
      </c>
      <c r="F2667">
        <f>_xlfn.XLOOKUP($A2667,Load!$B:$B,Load!G:G,0,)</f>
        <v>0</v>
      </c>
      <c r="G2667">
        <f>_xlfn.XLOOKUP($A2667,Load!$B:$B,Load!H:H,0,)</f>
        <v>0</v>
      </c>
      <c r="H2667">
        <f>_xlfn.XLOOKUP($A2667,Load!$B:$B,Load!I:I,0,)</f>
        <v>0</v>
      </c>
      <c r="I2667">
        <f>_xlfn.XLOOKUP($A2667,Load!$B:$B,Load!J:J,0,)</f>
        <v>0</v>
      </c>
      <c r="J2667">
        <f>_xlfn.XLOOKUP($A2667,Load!$B:$B,Load!K:K,0,)</f>
        <v>0</v>
      </c>
      <c r="K2667">
        <f>_xlfn.XLOOKUP($A2667,Load!$B:$B,Load!L:L,0,)</f>
        <v>0</v>
      </c>
      <c r="L2667">
        <f>_xlfn.XLOOKUP($A2667,Load!$B:$B,Load!M:M,0,)</f>
        <v>0</v>
      </c>
    </row>
    <row r="2668" spans="1:12" x14ac:dyDescent="0.25">
      <c r="B2668">
        <f>_xlfn.XLOOKUP($A2668,Load!$B:$B,Load!C:C,0,)</f>
        <v>0</v>
      </c>
      <c r="C2668">
        <f>_xlfn.XLOOKUP($A2668,Load!$B:$B,Load!D:D,0,)</f>
        <v>0</v>
      </c>
      <c r="D2668">
        <f>_xlfn.XLOOKUP($A2668,Load!$B:$B,Load!E:E,0,)</f>
        <v>0</v>
      </c>
      <c r="E2668">
        <f>_xlfn.XLOOKUP($A2668,Load!$B:$B,Load!F:F,0,)</f>
        <v>0</v>
      </c>
      <c r="F2668">
        <f>_xlfn.XLOOKUP($A2668,Load!$B:$B,Load!G:G,0,)</f>
        <v>0</v>
      </c>
      <c r="G2668">
        <f>_xlfn.XLOOKUP($A2668,Load!$B:$B,Load!H:H,0,)</f>
        <v>0</v>
      </c>
      <c r="H2668">
        <f>_xlfn.XLOOKUP($A2668,Load!$B:$B,Load!I:I,0,)</f>
        <v>0</v>
      </c>
      <c r="I2668">
        <f>_xlfn.XLOOKUP($A2668,Load!$B:$B,Load!J:J,0,)</f>
        <v>0</v>
      </c>
      <c r="J2668">
        <f>_xlfn.XLOOKUP($A2668,Load!$B:$B,Load!K:K,0,)</f>
        <v>0</v>
      </c>
      <c r="K2668">
        <f>_xlfn.XLOOKUP($A2668,Load!$B:$B,Load!L:L,0,)</f>
        <v>0</v>
      </c>
      <c r="L2668">
        <f>_xlfn.XLOOKUP($A2668,Load!$B:$B,Load!M:M,0,)</f>
        <v>0</v>
      </c>
    </row>
    <row r="2669" spans="1:12" x14ac:dyDescent="0.25">
      <c r="B2669">
        <f>_xlfn.XLOOKUP($A2669,Load!$B:$B,Load!C:C,0,)</f>
        <v>0</v>
      </c>
      <c r="C2669">
        <f>_xlfn.XLOOKUP($A2669,Load!$B:$B,Load!D:D,0,)</f>
        <v>0</v>
      </c>
      <c r="D2669">
        <f>_xlfn.XLOOKUP($A2669,Load!$B:$B,Load!E:E,0,)</f>
        <v>0</v>
      </c>
      <c r="E2669">
        <f>_xlfn.XLOOKUP($A2669,Load!$B:$B,Load!F:F,0,)</f>
        <v>0</v>
      </c>
      <c r="F2669">
        <f>_xlfn.XLOOKUP($A2669,Load!$B:$B,Load!G:G,0,)</f>
        <v>0</v>
      </c>
      <c r="G2669">
        <f>_xlfn.XLOOKUP($A2669,Load!$B:$B,Load!H:H,0,)</f>
        <v>0</v>
      </c>
      <c r="H2669">
        <f>_xlfn.XLOOKUP($A2669,Load!$B:$B,Load!I:I,0,)</f>
        <v>0</v>
      </c>
      <c r="I2669">
        <f>_xlfn.XLOOKUP($A2669,Load!$B:$B,Load!J:J,0,)</f>
        <v>0</v>
      </c>
      <c r="J2669">
        <f>_xlfn.XLOOKUP($A2669,Load!$B:$B,Load!K:K,0,)</f>
        <v>0</v>
      </c>
      <c r="K2669">
        <f>_xlfn.XLOOKUP($A2669,Load!$B:$B,Load!L:L,0,)</f>
        <v>0</v>
      </c>
      <c r="L2669">
        <f>_xlfn.XLOOKUP($A2669,Load!$B:$B,Load!M:M,0,)</f>
        <v>0</v>
      </c>
    </row>
    <row r="2670" spans="1:12" x14ac:dyDescent="0.25">
      <c r="A2670" t="s">
        <v>465</v>
      </c>
      <c r="B2670" t="str">
        <f>_xlfn.XLOOKUP($A2670,Load!$B:$B,Load!C:C,0,)</f>
        <v>Werther's Original</v>
      </c>
      <c r="C2670" t="str">
        <f>_xlfn.XLOOKUP($A2670,Load!$B:$B,Load!D:D,0,)</f>
        <v>Non-Chocolate Candy Only</v>
      </c>
      <c r="D2670" t="str">
        <f>_xlfn.XLOOKUP($A2670,Load!$B:$B,Load!E:E,0,)</f>
        <v>Sweet</v>
      </c>
      <c r="E2670" t="str">
        <f>_xlfn.XLOOKUP($A2670,Load!$B:$B,Load!F:F,0,)</f>
        <v>Chewy</v>
      </c>
      <c r="F2670" t="str">
        <f>_xlfn.XLOOKUP($A2670,Load!$B:$B,Load!G:G,0,)</f>
        <v>Single Pack</v>
      </c>
      <c r="G2670" t="str">
        <f>_xlfn.XLOOKUP($A2670,Load!$B:$B,Load!H:H,0,)</f>
        <v>Laydown Bag</v>
      </c>
      <c r="H2670" t="str">
        <f>_xlfn.XLOOKUP($A2670,Load!$B:$B,Load!I:I,0,)</f>
        <v>Everyday Candy Shapes (like Original, Gummy bear, Fruit, Jewels, etc.)</v>
      </c>
      <c r="I2670" t="str">
        <f>_xlfn.XLOOKUP($A2670,Load!$B:$B,Load!J:J,0,)</f>
        <v>Everyday Graphics</v>
      </c>
      <c r="J2670" t="str">
        <f>_xlfn.XLOOKUP($A2670,Load!$B:$B,Load!K:K,0,)</f>
        <v>Fun Size / Treat Size</v>
      </c>
      <c r="K2670" t="str">
        <f>_xlfn.XLOOKUP($A2670,Load!$B:$B,Load!L:L,0,)</f>
        <v>Regular/Original Wrapping</v>
      </c>
      <c r="L2670" t="str">
        <f>_xlfn.XLOOKUP($A2670,Load!$B:$B,Load!M:M,0,)</f>
        <v>Single Brand / Single Flavor or Form</v>
      </c>
    </row>
    <row r="2671" spans="1:12" x14ac:dyDescent="0.25">
      <c r="B2671">
        <f>_xlfn.XLOOKUP($A2671,Load!$B:$B,Load!C:C,0,)</f>
        <v>0</v>
      </c>
      <c r="C2671">
        <f>_xlfn.XLOOKUP($A2671,Load!$B:$B,Load!D:D,0,)</f>
        <v>0</v>
      </c>
      <c r="D2671">
        <f>_xlfn.XLOOKUP($A2671,Load!$B:$B,Load!E:E,0,)</f>
        <v>0</v>
      </c>
      <c r="E2671">
        <f>_xlfn.XLOOKUP($A2671,Load!$B:$B,Load!F:F,0,)</f>
        <v>0</v>
      </c>
      <c r="F2671">
        <f>_xlfn.XLOOKUP($A2671,Load!$B:$B,Load!G:G,0,)</f>
        <v>0</v>
      </c>
      <c r="G2671">
        <f>_xlfn.XLOOKUP($A2671,Load!$B:$B,Load!H:H,0,)</f>
        <v>0</v>
      </c>
      <c r="H2671">
        <f>_xlfn.XLOOKUP($A2671,Load!$B:$B,Load!I:I,0,)</f>
        <v>0</v>
      </c>
      <c r="I2671">
        <f>_xlfn.XLOOKUP($A2671,Load!$B:$B,Load!J:J,0,)</f>
        <v>0</v>
      </c>
      <c r="J2671">
        <f>_xlfn.XLOOKUP($A2671,Load!$B:$B,Load!K:K,0,)</f>
        <v>0</v>
      </c>
      <c r="K2671">
        <f>_xlfn.XLOOKUP($A2671,Load!$B:$B,Load!L:L,0,)</f>
        <v>0</v>
      </c>
      <c r="L2671">
        <f>_xlfn.XLOOKUP($A2671,Load!$B:$B,Load!M:M,0,)</f>
        <v>0</v>
      </c>
    </row>
    <row r="2672" spans="1:12" x14ac:dyDescent="0.25">
      <c r="A2672" t="s">
        <v>326</v>
      </c>
      <c r="B2672" t="str">
        <f>_xlfn.XLOOKUP($A2672,Load!$B:$B,Load!C:C,0,)</f>
        <v>Mondelez Variety Pack</v>
      </c>
      <c r="C2672" t="str">
        <f>_xlfn.XLOOKUP($A2672,Load!$B:$B,Load!D:D,0,)</f>
        <v>Mix of Chocolate and Non-Chocolate Candy</v>
      </c>
      <c r="D2672" t="str">
        <f>_xlfn.XLOOKUP($A2672,Load!$B:$B,Load!E:E,0,)</f>
        <v>Variety / Mixed Flavors (Fruity, Sour, Seasonal Flavors)</v>
      </c>
      <c r="E2672" t="str">
        <f>_xlfn.XLOOKUP($A2672,Load!$B:$B,Load!F:F,0,)</f>
        <v>Mixed / Combo Packs (Gummy, Chewy, Taffy, etc.)</v>
      </c>
      <c r="F2672" t="str">
        <f>_xlfn.XLOOKUP($A2672,Load!$B:$B,Load!G:G,0,)</f>
        <v>Medium Multipack (40–80 ct)</v>
      </c>
      <c r="G2672" t="str">
        <f>_xlfn.XLOOKUP($A2672,Load!$B:$B,Load!H:H,0,)</f>
        <v>Stand-Up Bag</v>
      </c>
      <c r="H2672" t="str">
        <f>_xlfn.XLOOKUP($A2672,Load!$B:$B,Load!I:I,0,)</f>
        <v>Everyday Candy Shapes (like Original, Gummy bear, Fruit, Jewels, etc.)</v>
      </c>
      <c r="I2672" t="str">
        <f>_xlfn.XLOOKUP($A2672,Load!$B:$B,Load!J:J,0,)</f>
        <v>Seasonal Graphics (Like Bat, Ghost, Pumpkin, Fall Leaves, Eyeballs, etc.)</v>
      </c>
      <c r="J2672" t="str">
        <f>_xlfn.XLOOKUP($A2672,Load!$B:$B,Load!K:K,0,)</f>
        <v xml:space="preserve">Variety Candy Sizes </v>
      </c>
      <c r="K2672" t="str">
        <f>_xlfn.XLOOKUP($A2672,Load!$B:$B,Load!L:L,0,)</f>
        <v>Regular/Original Wrapping</v>
      </c>
      <c r="L2672" t="str">
        <f>_xlfn.XLOOKUP($A2672,Load!$B:$B,Load!M:M,0,)</f>
        <v>Multiple Brands / Variety Flavors or Form</v>
      </c>
    </row>
    <row r="2673" spans="1:12" x14ac:dyDescent="0.25">
      <c r="A2673" t="s">
        <v>221</v>
      </c>
      <c r="B2673" t="str">
        <f>_xlfn.XLOOKUP($A2673,Load!$B:$B,Load!C:C,0,)</f>
        <v>Hershey's Variety Pack + Haribo</v>
      </c>
      <c r="C2673" t="str">
        <f>_xlfn.XLOOKUP($A2673,Load!$B:$B,Load!D:D,0,)</f>
        <v>Mix of Chocolate and Non-Chocolate Candy</v>
      </c>
      <c r="D2673" t="str">
        <f>_xlfn.XLOOKUP($A2673,Load!$B:$B,Load!E:E,0,)</f>
        <v>Variety / Mixed Flavors (Fruity, Sour, Seasonal Flavors)</v>
      </c>
      <c r="E2673" t="str">
        <f>_xlfn.XLOOKUP($A2673,Load!$B:$B,Load!F:F,0,)</f>
        <v>Mixed / Combo Packs (Gummy, Chewy, Taffy, etc.)</v>
      </c>
      <c r="F2673" t="str">
        <f>_xlfn.XLOOKUP($A2673,Load!$B:$B,Load!G:G,0,)</f>
        <v>Large Multipack (More than 80 ct)</v>
      </c>
      <c r="G2673" t="str">
        <f>_xlfn.XLOOKUP($A2673,Load!$B:$B,Load!H:H,0,)</f>
        <v>Stand-Up Bag</v>
      </c>
      <c r="H2673" t="str">
        <f>_xlfn.XLOOKUP($A2673,Load!$B:$B,Load!I:I,0,)</f>
        <v>Everyday Candy Shapes (like Original, Gummy bear, Fruit, Jewels, etc.)</v>
      </c>
      <c r="I2673" t="str">
        <f>_xlfn.XLOOKUP($A2673,Load!$B:$B,Load!J:J,0,)</f>
        <v>Seasonal Graphics (Like Bat, Ghost, Pumpkin, Fall Leaves, Eyeballs, etc.)</v>
      </c>
      <c r="J2673" t="str">
        <f>_xlfn.XLOOKUP($A2673,Load!$B:$B,Load!K:K,0,)</f>
        <v xml:space="preserve">Variety Candy Sizes </v>
      </c>
      <c r="K2673" t="str">
        <f>_xlfn.XLOOKUP($A2673,Load!$B:$B,Load!L:L,0,)</f>
        <v>Regular/Original Wrapping</v>
      </c>
      <c r="L2673" t="str">
        <f>_xlfn.XLOOKUP($A2673,Load!$B:$B,Load!M:M,0,)</f>
        <v>Multiple Brands / Variety Flavors or Form</v>
      </c>
    </row>
    <row r="2674" spans="1:12" x14ac:dyDescent="0.25">
      <c r="A2674" t="s">
        <v>290</v>
      </c>
      <c r="B2674" t="str">
        <f>_xlfn.XLOOKUP($A2674,Load!$B:$B,Load!C:C,0,)</f>
        <v>Tootsie</v>
      </c>
      <c r="C2674" t="str">
        <f>_xlfn.XLOOKUP($A2674,Load!$B:$B,Load!D:D,0,)</f>
        <v>Mix of Chocolate and Non-Chocolate Candy</v>
      </c>
      <c r="D2674" t="str">
        <f>_xlfn.XLOOKUP($A2674,Load!$B:$B,Load!E:E,0,)</f>
        <v>Variety / Mixed Flavors (Fruity, Sour, Seasonal Flavors)</v>
      </c>
      <c r="E2674" t="str">
        <f>_xlfn.XLOOKUP($A2674,Load!$B:$B,Load!F:F,0,)</f>
        <v>Mixed / Combo Packs (Gummy, Chewy, Taffy, etc.)</v>
      </c>
      <c r="F2674" t="str">
        <f>_xlfn.XLOOKUP($A2674,Load!$B:$B,Load!G:G,0,)</f>
        <v>Large Multipack (More than 80 ct)</v>
      </c>
      <c r="G2674" t="str">
        <f>_xlfn.XLOOKUP($A2674,Load!$B:$B,Load!H:H,0,)</f>
        <v>Laydown Bag</v>
      </c>
      <c r="H2674" t="str">
        <f>_xlfn.XLOOKUP($A2674,Load!$B:$B,Load!I:I,0,)</f>
        <v>Everyday Candy Shapes (like Original, Gummy bear, Fruit, Jewels, etc.)</v>
      </c>
      <c r="I2674" t="str">
        <f>_xlfn.XLOOKUP($A2674,Load!$B:$B,Load!J:J,0,)</f>
        <v>Everyday Graphics</v>
      </c>
      <c r="J2674" t="str">
        <f>_xlfn.XLOOKUP($A2674,Load!$B:$B,Load!K:K,0,)</f>
        <v>Fun Size / Treat Size</v>
      </c>
      <c r="K2674" t="str">
        <f>_xlfn.XLOOKUP($A2674,Load!$B:$B,Load!L:L,0,)</f>
        <v>Regular/Original Wrapping</v>
      </c>
      <c r="L2674" t="str">
        <f>_xlfn.XLOOKUP($A2674,Load!$B:$B,Load!M:M,0,)</f>
        <v>Single Brand / Variety Flavors or Form</v>
      </c>
    </row>
    <row r="2675" spans="1:12" x14ac:dyDescent="0.25">
      <c r="B2675">
        <f>_xlfn.XLOOKUP($A2675,Load!$B:$B,Load!C:C,0,)</f>
        <v>0</v>
      </c>
      <c r="C2675">
        <f>_xlfn.XLOOKUP($A2675,Load!$B:$B,Load!D:D,0,)</f>
        <v>0</v>
      </c>
      <c r="D2675">
        <f>_xlfn.XLOOKUP($A2675,Load!$B:$B,Load!E:E,0,)</f>
        <v>0</v>
      </c>
      <c r="E2675">
        <f>_xlfn.XLOOKUP($A2675,Load!$B:$B,Load!F:F,0,)</f>
        <v>0</v>
      </c>
      <c r="F2675">
        <f>_xlfn.XLOOKUP($A2675,Load!$B:$B,Load!G:G,0,)</f>
        <v>0</v>
      </c>
      <c r="G2675">
        <f>_xlfn.XLOOKUP($A2675,Load!$B:$B,Load!H:H,0,)</f>
        <v>0</v>
      </c>
      <c r="H2675">
        <f>_xlfn.XLOOKUP($A2675,Load!$B:$B,Load!I:I,0,)</f>
        <v>0</v>
      </c>
      <c r="I2675">
        <f>_xlfn.XLOOKUP($A2675,Load!$B:$B,Load!J:J,0,)</f>
        <v>0</v>
      </c>
      <c r="J2675">
        <f>_xlfn.XLOOKUP($A2675,Load!$B:$B,Load!K:K,0,)</f>
        <v>0</v>
      </c>
      <c r="K2675">
        <f>_xlfn.XLOOKUP($A2675,Load!$B:$B,Load!L:L,0,)</f>
        <v>0</v>
      </c>
      <c r="L2675">
        <f>_xlfn.XLOOKUP($A2675,Load!$B:$B,Load!M:M,0,)</f>
        <v>0</v>
      </c>
    </row>
    <row r="2676" spans="1:12" x14ac:dyDescent="0.25">
      <c r="B2676">
        <f>_xlfn.XLOOKUP($A2676,Load!$B:$B,Load!C:C,0,)</f>
        <v>0</v>
      </c>
      <c r="C2676">
        <f>_xlfn.XLOOKUP($A2676,Load!$B:$B,Load!D:D,0,)</f>
        <v>0</v>
      </c>
      <c r="D2676">
        <f>_xlfn.XLOOKUP($A2676,Load!$B:$B,Load!E:E,0,)</f>
        <v>0</v>
      </c>
      <c r="E2676">
        <f>_xlfn.XLOOKUP($A2676,Load!$B:$B,Load!F:F,0,)</f>
        <v>0</v>
      </c>
      <c r="F2676">
        <f>_xlfn.XLOOKUP($A2676,Load!$B:$B,Load!G:G,0,)</f>
        <v>0</v>
      </c>
      <c r="G2676">
        <f>_xlfn.XLOOKUP($A2676,Load!$B:$B,Load!H:H,0,)</f>
        <v>0</v>
      </c>
      <c r="H2676">
        <f>_xlfn.XLOOKUP($A2676,Load!$B:$B,Load!I:I,0,)</f>
        <v>0</v>
      </c>
      <c r="I2676">
        <f>_xlfn.XLOOKUP($A2676,Load!$B:$B,Load!J:J,0,)</f>
        <v>0</v>
      </c>
      <c r="J2676">
        <f>_xlfn.XLOOKUP($A2676,Load!$B:$B,Load!K:K,0,)</f>
        <v>0</v>
      </c>
      <c r="K2676">
        <f>_xlfn.XLOOKUP($A2676,Load!$B:$B,Load!L:L,0,)</f>
        <v>0</v>
      </c>
      <c r="L2676">
        <f>_xlfn.XLOOKUP($A2676,Load!$B:$B,Load!M:M,0,)</f>
        <v>0</v>
      </c>
    </row>
    <row r="2677" spans="1:12" x14ac:dyDescent="0.25">
      <c r="B2677">
        <f>_xlfn.XLOOKUP($A2677,Load!$B:$B,Load!C:C,0,)</f>
        <v>0</v>
      </c>
      <c r="C2677">
        <f>_xlfn.XLOOKUP($A2677,Load!$B:$B,Load!D:D,0,)</f>
        <v>0</v>
      </c>
      <c r="D2677">
        <f>_xlfn.XLOOKUP($A2677,Load!$B:$B,Load!E:E,0,)</f>
        <v>0</v>
      </c>
      <c r="E2677">
        <f>_xlfn.XLOOKUP($A2677,Load!$B:$B,Load!F:F,0,)</f>
        <v>0</v>
      </c>
      <c r="F2677">
        <f>_xlfn.XLOOKUP($A2677,Load!$B:$B,Load!G:G,0,)</f>
        <v>0</v>
      </c>
      <c r="G2677">
        <f>_xlfn.XLOOKUP($A2677,Load!$B:$B,Load!H:H,0,)</f>
        <v>0</v>
      </c>
      <c r="H2677">
        <f>_xlfn.XLOOKUP($A2677,Load!$B:$B,Load!I:I,0,)</f>
        <v>0</v>
      </c>
      <c r="I2677">
        <f>_xlfn.XLOOKUP($A2677,Load!$B:$B,Load!J:J,0,)</f>
        <v>0</v>
      </c>
      <c r="J2677">
        <f>_xlfn.XLOOKUP($A2677,Load!$B:$B,Load!K:K,0,)</f>
        <v>0</v>
      </c>
      <c r="K2677">
        <f>_xlfn.XLOOKUP($A2677,Load!$B:$B,Load!L:L,0,)</f>
        <v>0</v>
      </c>
      <c r="L2677">
        <f>_xlfn.XLOOKUP($A2677,Load!$B:$B,Load!M:M,0,)</f>
        <v>0</v>
      </c>
    </row>
    <row r="2678" spans="1:12" x14ac:dyDescent="0.25">
      <c r="B2678">
        <f>_xlfn.XLOOKUP($A2678,Load!$B:$B,Load!C:C,0,)</f>
        <v>0</v>
      </c>
      <c r="C2678">
        <f>_xlfn.XLOOKUP($A2678,Load!$B:$B,Load!D:D,0,)</f>
        <v>0</v>
      </c>
      <c r="D2678">
        <f>_xlfn.XLOOKUP($A2678,Load!$B:$B,Load!E:E,0,)</f>
        <v>0</v>
      </c>
      <c r="E2678">
        <f>_xlfn.XLOOKUP($A2678,Load!$B:$B,Load!F:F,0,)</f>
        <v>0</v>
      </c>
      <c r="F2678">
        <f>_xlfn.XLOOKUP($A2678,Load!$B:$B,Load!G:G,0,)</f>
        <v>0</v>
      </c>
      <c r="G2678">
        <f>_xlfn.XLOOKUP($A2678,Load!$B:$B,Load!H:H,0,)</f>
        <v>0</v>
      </c>
      <c r="H2678">
        <f>_xlfn.XLOOKUP($A2678,Load!$B:$B,Load!I:I,0,)</f>
        <v>0</v>
      </c>
      <c r="I2678">
        <f>_xlfn.XLOOKUP($A2678,Load!$B:$B,Load!J:J,0,)</f>
        <v>0</v>
      </c>
      <c r="J2678">
        <f>_xlfn.XLOOKUP($A2678,Load!$B:$B,Load!K:K,0,)</f>
        <v>0</v>
      </c>
      <c r="K2678">
        <f>_xlfn.XLOOKUP($A2678,Load!$B:$B,Load!L:L,0,)</f>
        <v>0</v>
      </c>
      <c r="L2678">
        <f>_xlfn.XLOOKUP($A2678,Load!$B:$B,Load!M:M,0,)</f>
        <v>0</v>
      </c>
    </row>
    <row r="2679" spans="1:12" x14ac:dyDescent="0.25">
      <c r="B2679">
        <f>_xlfn.XLOOKUP($A2679,Load!$B:$B,Load!C:C,0,)</f>
        <v>0</v>
      </c>
      <c r="C2679">
        <f>_xlfn.XLOOKUP($A2679,Load!$B:$B,Load!D:D,0,)</f>
        <v>0</v>
      </c>
      <c r="D2679">
        <f>_xlfn.XLOOKUP($A2679,Load!$B:$B,Load!E:E,0,)</f>
        <v>0</v>
      </c>
      <c r="E2679">
        <f>_xlfn.XLOOKUP($A2679,Load!$B:$B,Load!F:F,0,)</f>
        <v>0</v>
      </c>
      <c r="F2679">
        <f>_xlfn.XLOOKUP($A2679,Load!$B:$B,Load!G:G,0,)</f>
        <v>0</v>
      </c>
      <c r="G2679">
        <f>_xlfn.XLOOKUP($A2679,Load!$B:$B,Load!H:H,0,)</f>
        <v>0</v>
      </c>
      <c r="H2679">
        <f>_xlfn.XLOOKUP($A2679,Load!$B:$B,Load!I:I,0,)</f>
        <v>0</v>
      </c>
      <c r="I2679">
        <f>_xlfn.XLOOKUP($A2679,Load!$B:$B,Load!J:J,0,)</f>
        <v>0</v>
      </c>
      <c r="J2679">
        <f>_xlfn.XLOOKUP($A2679,Load!$B:$B,Load!K:K,0,)</f>
        <v>0</v>
      </c>
      <c r="K2679">
        <f>_xlfn.XLOOKUP($A2679,Load!$B:$B,Load!L:L,0,)</f>
        <v>0</v>
      </c>
      <c r="L2679">
        <f>_xlfn.XLOOKUP($A2679,Load!$B:$B,Load!M:M,0,)</f>
        <v>0</v>
      </c>
    </row>
    <row r="2680" spans="1:12" x14ac:dyDescent="0.25">
      <c r="B2680">
        <f>_xlfn.XLOOKUP($A2680,Load!$B:$B,Load!C:C,0,)</f>
        <v>0</v>
      </c>
      <c r="C2680">
        <f>_xlfn.XLOOKUP($A2680,Load!$B:$B,Load!D:D,0,)</f>
        <v>0</v>
      </c>
      <c r="D2680">
        <f>_xlfn.XLOOKUP($A2680,Load!$B:$B,Load!E:E,0,)</f>
        <v>0</v>
      </c>
      <c r="E2680">
        <f>_xlfn.XLOOKUP($A2680,Load!$B:$B,Load!F:F,0,)</f>
        <v>0</v>
      </c>
      <c r="F2680">
        <f>_xlfn.XLOOKUP($A2680,Load!$B:$B,Load!G:G,0,)</f>
        <v>0</v>
      </c>
      <c r="G2680">
        <f>_xlfn.XLOOKUP($A2680,Load!$B:$B,Load!H:H,0,)</f>
        <v>0</v>
      </c>
      <c r="H2680">
        <f>_xlfn.XLOOKUP($A2680,Load!$B:$B,Load!I:I,0,)</f>
        <v>0</v>
      </c>
      <c r="I2680">
        <f>_xlfn.XLOOKUP($A2680,Load!$B:$B,Load!J:J,0,)</f>
        <v>0</v>
      </c>
      <c r="J2680">
        <f>_xlfn.XLOOKUP($A2680,Load!$B:$B,Load!K:K,0,)</f>
        <v>0</v>
      </c>
      <c r="K2680">
        <f>_xlfn.XLOOKUP($A2680,Load!$B:$B,Load!L:L,0,)</f>
        <v>0</v>
      </c>
      <c r="L2680">
        <f>_xlfn.XLOOKUP($A2680,Load!$B:$B,Load!M:M,0,)</f>
        <v>0</v>
      </c>
    </row>
    <row r="2681" spans="1:12" x14ac:dyDescent="0.25">
      <c r="B2681">
        <f>_xlfn.XLOOKUP($A2681,Load!$B:$B,Load!C:C,0,)</f>
        <v>0</v>
      </c>
      <c r="C2681">
        <f>_xlfn.XLOOKUP($A2681,Load!$B:$B,Load!D:D,0,)</f>
        <v>0</v>
      </c>
      <c r="D2681">
        <f>_xlfn.XLOOKUP($A2681,Load!$B:$B,Load!E:E,0,)</f>
        <v>0</v>
      </c>
      <c r="E2681">
        <f>_xlfn.XLOOKUP($A2681,Load!$B:$B,Load!F:F,0,)</f>
        <v>0</v>
      </c>
      <c r="F2681">
        <f>_xlfn.XLOOKUP($A2681,Load!$B:$B,Load!G:G,0,)</f>
        <v>0</v>
      </c>
      <c r="G2681">
        <f>_xlfn.XLOOKUP($A2681,Load!$B:$B,Load!H:H,0,)</f>
        <v>0</v>
      </c>
      <c r="H2681">
        <f>_xlfn.XLOOKUP($A2681,Load!$B:$B,Load!I:I,0,)</f>
        <v>0</v>
      </c>
      <c r="I2681">
        <f>_xlfn.XLOOKUP($A2681,Load!$B:$B,Load!J:J,0,)</f>
        <v>0</v>
      </c>
      <c r="J2681">
        <f>_xlfn.XLOOKUP($A2681,Load!$B:$B,Load!K:K,0,)</f>
        <v>0</v>
      </c>
      <c r="K2681">
        <f>_xlfn.XLOOKUP($A2681,Load!$B:$B,Load!L:L,0,)</f>
        <v>0</v>
      </c>
      <c r="L2681">
        <f>_xlfn.XLOOKUP($A2681,Load!$B:$B,Load!M:M,0,)</f>
        <v>0</v>
      </c>
    </row>
    <row r="2682" spans="1:12" x14ac:dyDescent="0.25">
      <c r="A2682" t="s">
        <v>207</v>
      </c>
      <c r="B2682" t="str">
        <f>_xlfn.XLOOKUP($A2682,Load!$B:$B,Load!C:C,0,)</f>
        <v>Mars Variety Pack</v>
      </c>
      <c r="C2682" t="str">
        <f>_xlfn.XLOOKUP($A2682,Load!$B:$B,Load!D:D,0,)</f>
        <v>Mix of Chocolate and Non-Chocolate Candy</v>
      </c>
      <c r="D2682" t="str">
        <f>_xlfn.XLOOKUP($A2682,Load!$B:$B,Load!E:E,0,)</f>
        <v>Variety / Mixed Flavors (Fruity, Sour, Seasonal Flavors)</v>
      </c>
      <c r="E2682" t="str">
        <f>_xlfn.XLOOKUP($A2682,Load!$B:$B,Load!F:F,0,)</f>
        <v>Mixed / Combo Packs (Gummy, Chewy, Taffy, etc.)</v>
      </c>
      <c r="F2682" t="str">
        <f>_xlfn.XLOOKUP($A2682,Load!$B:$B,Load!G:G,0,)</f>
        <v>Large Multipack (More than 80 ct)</v>
      </c>
      <c r="G2682" t="str">
        <f>_xlfn.XLOOKUP($A2682,Load!$B:$B,Load!H:H,0,)</f>
        <v>Stand-Up Bag</v>
      </c>
      <c r="H2682" t="str">
        <f>_xlfn.XLOOKUP($A2682,Load!$B:$B,Load!I:I,0,)</f>
        <v>Everyday Candy Shapes (like Original, Gummy bear, Fruit, Jewels, etc.)</v>
      </c>
      <c r="I2682" t="str">
        <f>_xlfn.XLOOKUP($A2682,Load!$B:$B,Load!J:J,0,)</f>
        <v>Everyday Graphics</v>
      </c>
      <c r="J2682" t="str">
        <f>_xlfn.XLOOKUP($A2682,Load!$B:$B,Load!K:K,0,)</f>
        <v>Fun Size / Treat Size</v>
      </c>
      <c r="K2682" t="str">
        <f>_xlfn.XLOOKUP($A2682,Load!$B:$B,Load!L:L,0,)</f>
        <v>Regular/Original Wrapping</v>
      </c>
      <c r="L2682" t="str">
        <f>_xlfn.XLOOKUP($A2682,Load!$B:$B,Load!M:M,0,)</f>
        <v>Multiple Brands / Variety Flavors or Form</v>
      </c>
    </row>
    <row r="2683" spans="1:12" x14ac:dyDescent="0.25">
      <c r="A2683" t="s">
        <v>179</v>
      </c>
      <c r="B2683" t="str">
        <f>_xlfn.XLOOKUP($A2683,Load!$B:$B,Load!C:C,0,)</f>
        <v>Mars Variety Pack</v>
      </c>
      <c r="C2683" t="str">
        <f>_xlfn.XLOOKUP($A2683,Load!$B:$B,Load!D:D,0,)</f>
        <v>Non-Chocolate Candy Only</v>
      </c>
      <c r="D2683" t="str">
        <f>_xlfn.XLOOKUP($A2683,Load!$B:$B,Load!E:E,0,)</f>
        <v>Variety / Mixed Flavors (Fruity, Sour, Seasonal Flavors)</v>
      </c>
      <c r="E2683" t="str">
        <f>_xlfn.XLOOKUP($A2683,Load!$B:$B,Load!F:F,0,)</f>
        <v>Mixed / Combo Packs (Gummy, Chewy, Taffy, etc.)</v>
      </c>
      <c r="F2683" t="str">
        <f>_xlfn.XLOOKUP($A2683,Load!$B:$B,Load!G:G,0,)</f>
        <v>Medium Multipack (40–80 ct)</v>
      </c>
      <c r="G2683" t="str">
        <f>_xlfn.XLOOKUP($A2683,Load!$B:$B,Load!H:H,0,)</f>
        <v>Stand-Up Bag</v>
      </c>
      <c r="H2683" t="str">
        <f>_xlfn.XLOOKUP($A2683,Load!$B:$B,Load!I:I,0,)</f>
        <v>Everyday Candy Shapes (like Original, Gummy bear, Fruit, Jewels, etc.)</v>
      </c>
      <c r="I2683" t="str">
        <f>_xlfn.XLOOKUP($A2683,Load!$B:$B,Load!J:J,0,)</f>
        <v>Seasonal Graphics (Like Bat, Ghost, Pumpkin, Fall Leaves, Eyeballs, etc.)</v>
      </c>
      <c r="J2683" t="str">
        <f>_xlfn.XLOOKUP($A2683,Load!$B:$B,Load!K:K,0,)</f>
        <v>Fun Size / Treat Size</v>
      </c>
      <c r="K2683" t="str">
        <f>_xlfn.XLOOKUP($A2683,Load!$B:$B,Load!L:L,0,)</f>
        <v>Regular/Original Wrapping</v>
      </c>
      <c r="L2683" t="str">
        <f>_xlfn.XLOOKUP($A2683,Load!$B:$B,Load!M:M,0,)</f>
        <v>Multiple Brands / Variety Flavors or Form</v>
      </c>
    </row>
    <row r="2684" spans="1:12" x14ac:dyDescent="0.25">
      <c r="B2684">
        <f>_xlfn.XLOOKUP($A2684,Load!$B:$B,Load!C:C,0,)</f>
        <v>0</v>
      </c>
      <c r="C2684">
        <f>_xlfn.XLOOKUP($A2684,Load!$B:$B,Load!D:D,0,)</f>
        <v>0</v>
      </c>
      <c r="D2684">
        <f>_xlfn.XLOOKUP($A2684,Load!$B:$B,Load!E:E,0,)</f>
        <v>0</v>
      </c>
      <c r="E2684">
        <f>_xlfn.XLOOKUP($A2684,Load!$B:$B,Load!F:F,0,)</f>
        <v>0</v>
      </c>
      <c r="F2684">
        <f>_xlfn.XLOOKUP($A2684,Load!$B:$B,Load!G:G,0,)</f>
        <v>0</v>
      </c>
      <c r="G2684">
        <f>_xlfn.XLOOKUP($A2684,Load!$B:$B,Load!H:H,0,)</f>
        <v>0</v>
      </c>
      <c r="H2684">
        <f>_xlfn.XLOOKUP($A2684,Load!$B:$B,Load!I:I,0,)</f>
        <v>0</v>
      </c>
      <c r="I2684">
        <f>_xlfn.XLOOKUP($A2684,Load!$B:$B,Load!J:J,0,)</f>
        <v>0</v>
      </c>
      <c r="J2684">
        <f>_xlfn.XLOOKUP($A2684,Load!$B:$B,Load!K:K,0,)</f>
        <v>0</v>
      </c>
      <c r="K2684">
        <f>_xlfn.XLOOKUP($A2684,Load!$B:$B,Load!L:L,0,)</f>
        <v>0</v>
      </c>
      <c r="L2684">
        <f>_xlfn.XLOOKUP($A2684,Load!$B:$B,Load!M:M,0,)</f>
        <v>0</v>
      </c>
    </row>
    <row r="2685" spans="1:12" x14ac:dyDescent="0.25">
      <c r="B2685">
        <f>_xlfn.XLOOKUP($A2685,Load!$B:$B,Load!C:C,0,)</f>
        <v>0</v>
      </c>
      <c r="C2685">
        <f>_xlfn.XLOOKUP($A2685,Load!$B:$B,Load!D:D,0,)</f>
        <v>0</v>
      </c>
      <c r="D2685">
        <f>_xlfn.XLOOKUP($A2685,Load!$B:$B,Load!E:E,0,)</f>
        <v>0</v>
      </c>
      <c r="E2685">
        <f>_xlfn.XLOOKUP($A2685,Load!$B:$B,Load!F:F,0,)</f>
        <v>0</v>
      </c>
      <c r="F2685">
        <f>_xlfn.XLOOKUP($A2685,Load!$B:$B,Load!G:G,0,)</f>
        <v>0</v>
      </c>
      <c r="G2685">
        <f>_xlfn.XLOOKUP($A2685,Load!$B:$B,Load!H:H,0,)</f>
        <v>0</v>
      </c>
      <c r="H2685">
        <f>_xlfn.XLOOKUP($A2685,Load!$B:$B,Load!I:I,0,)</f>
        <v>0</v>
      </c>
      <c r="I2685">
        <f>_xlfn.XLOOKUP($A2685,Load!$B:$B,Load!J:J,0,)</f>
        <v>0</v>
      </c>
      <c r="J2685">
        <f>_xlfn.XLOOKUP($A2685,Load!$B:$B,Load!K:K,0,)</f>
        <v>0</v>
      </c>
      <c r="K2685">
        <f>_xlfn.XLOOKUP($A2685,Load!$B:$B,Load!L:L,0,)</f>
        <v>0</v>
      </c>
      <c r="L2685">
        <f>_xlfn.XLOOKUP($A2685,Load!$B:$B,Load!M:M,0,)</f>
        <v>0</v>
      </c>
    </row>
    <row r="2686" spans="1:12" x14ac:dyDescent="0.25">
      <c r="A2686" t="s">
        <v>187</v>
      </c>
      <c r="B2686" t="str">
        <f>_xlfn.XLOOKUP($A2686,Load!$B:$B,Load!C:C,0,)</f>
        <v>Mars Variety Pack</v>
      </c>
      <c r="C2686" t="str">
        <f>_xlfn.XLOOKUP($A2686,Load!$B:$B,Load!D:D,0,)</f>
        <v>Mix of Chocolate and Non-Chocolate Candy</v>
      </c>
      <c r="D2686" t="str">
        <f>_xlfn.XLOOKUP($A2686,Load!$B:$B,Load!E:E,0,)</f>
        <v>Variety / Mixed Flavors (Fruity, Sour, Seasonal Flavors)</v>
      </c>
      <c r="E2686" t="str">
        <f>_xlfn.XLOOKUP($A2686,Load!$B:$B,Load!F:F,0,)</f>
        <v>Mixed / Combo Packs (Gummy, Chewy, Taffy, etc.)</v>
      </c>
      <c r="F2686" t="str">
        <f>_xlfn.XLOOKUP($A2686,Load!$B:$B,Load!G:G,0,)</f>
        <v>Medium Multipack (40–80 ct)</v>
      </c>
      <c r="G2686" t="str">
        <f>_xlfn.XLOOKUP($A2686,Load!$B:$B,Load!H:H,0,)</f>
        <v>Stand-Up Bag</v>
      </c>
      <c r="H2686" t="str">
        <f>_xlfn.XLOOKUP($A2686,Load!$B:$B,Load!I:I,0,)</f>
        <v>Everyday Candy Shapes (like Original, Gummy bear, Fruit, Jewels, etc.)</v>
      </c>
      <c r="I2686" t="str">
        <f>_xlfn.XLOOKUP($A2686,Load!$B:$B,Load!J:J,0,)</f>
        <v>Seasonal Graphics (Like Bat, Ghost, Pumpkin, Fall Leaves, Eyeballs, etc.)</v>
      </c>
      <c r="J2686" t="str">
        <f>_xlfn.XLOOKUP($A2686,Load!$B:$B,Load!K:K,0,)</f>
        <v>Fun Size / Treat Size</v>
      </c>
      <c r="K2686" t="str">
        <f>_xlfn.XLOOKUP($A2686,Load!$B:$B,Load!L:L,0,)</f>
        <v>Regular/Original Wrapping</v>
      </c>
      <c r="L2686" t="str">
        <f>_xlfn.XLOOKUP($A2686,Load!$B:$B,Load!M:M,0,)</f>
        <v>Multiple Brands / Variety Flavors or Form</v>
      </c>
    </row>
    <row r="2687" spans="1:12" x14ac:dyDescent="0.25">
      <c r="A2687" t="s">
        <v>229</v>
      </c>
      <c r="B2687" t="str">
        <f>_xlfn.XLOOKUP($A2687,Load!$B:$B,Load!C:C,0,)</f>
        <v>Nerds</v>
      </c>
      <c r="C2687" t="str">
        <f>_xlfn.XLOOKUP($A2687,Load!$B:$B,Load!D:D,0,)</f>
        <v>Non-Chocolate Candy Only</v>
      </c>
      <c r="D2687" t="str">
        <f>_xlfn.XLOOKUP($A2687,Load!$B:$B,Load!E:E,0,)</f>
        <v>Variety / Mixed Flavors (Fruity, Sour, Seasonal Flavors)</v>
      </c>
      <c r="E2687" t="str">
        <f>_xlfn.XLOOKUP($A2687,Load!$B:$B,Load!F:F,0,)</f>
        <v>Gummy</v>
      </c>
      <c r="F2687" t="str">
        <f>_xlfn.XLOOKUP($A2687,Load!$B:$B,Load!G:G,0,)</f>
        <v>Medium Multipack (40–80 ct)</v>
      </c>
      <c r="G2687" t="str">
        <f>_xlfn.XLOOKUP($A2687,Load!$B:$B,Load!H:H,0,)</f>
        <v>Stand-Up Bag</v>
      </c>
      <c r="H2687" t="str">
        <f>_xlfn.XLOOKUP($A2687,Load!$B:$B,Load!I:I,0,)</f>
        <v>Seasonal Shapes (like pumpkins, candy corn, ghost, bats, etc.)</v>
      </c>
      <c r="I2687" t="str">
        <f>_xlfn.XLOOKUP($A2687,Load!$B:$B,Load!J:J,0,)</f>
        <v>Seasonal Graphics (Like Bat, Ghost, Pumpkin, Fall Leaves, Eyeballs, etc.)</v>
      </c>
      <c r="J2687" t="str">
        <f>_xlfn.XLOOKUP($A2687,Load!$B:$B,Load!K:K,0,)</f>
        <v>Fun Size / Treat Size</v>
      </c>
      <c r="K2687" t="str">
        <f>_xlfn.XLOOKUP($A2687,Load!$B:$B,Load!L:L,0,)</f>
        <v>Regular/Original Wrapping</v>
      </c>
      <c r="L2687" t="str">
        <f>_xlfn.XLOOKUP($A2687,Load!$B:$B,Load!M:M,0,)</f>
        <v>Single Brand / Variety Flavors or Form</v>
      </c>
    </row>
    <row r="2688" spans="1:12" x14ac:dyDescent="0.25">
      <c r="A2688" t="s">
        <v>271</v>
      </c>
      <c r="B2688" t="str">
        <f>_xlfn.XLOOKUP($A2688,Load!$B:$B,Load!C:C,0,)</f>
        <v>Sour Patch Kids</v>
      </c>
      <c r="C2688" t="str">
        <f>_xlfn.XLOOKUP($A2688,Load!$B:$B,Load!D:D,0,)</f>
        <v>Non-Chocolate Candy Only</v>
      </c>
      <c r="D2688" t="str">
        <f>_xlfn.XLOOKUP($A2688,Load!$B:$B,Load!E:E,0,)</f>
        <v>Sour</v>
      </c>
      <c r="E2688" t="str">
        <f>_xlfn.XLOOKUP($A2688,Load!$B:$B,Load!F:F,0,)</f>
        <v>Chewy</v>
      </c>
      <c r="F2688" t="str">
        <f>_xlfn.XLOOKUP($A2688,Load!$B:$B,Load!G:G,0,)</f>
        <v>Medium Multipack (40–80 ct)</v>
      </c>
      <c r="G2688" t="str">
        <f>_xlfn.XLOOKUP($A2688,Load!$B:$B,Load!H:H,0,)</f>
        <v>Laydown Bag</v>
      </c>
      <c r="H2688" t="str">
        <f>_xlfn.XLOOKUP($A2688,Load!$B:$B,Load!I:I,0,)</f>
        <v>Everyday Candy Shapes (like Original, Gummy bear, Fruit, Jewels, etc.)</v>
      </c>
      <c r="I2688" t="str">
        <f>_xlfn.XLOOKUP($A2688,Load!$B:$B,Load!J:J,0,)</f>
        <v>Seasonal Graphics (Like Bat, Ghost, Pumpkin, Fall Leaves, Eyeballs, etc.)</v>
      </c>
      <c r="J2688" t="str">
        <f>_xlfn.XLOOKUP($A2688,Load!$B:$B,Load!K:K,0,)</f>
        <v>Small Pieces (Tiny bite size candies)</v>
      </c>
      <c r="K2688" t="str">
        <f>_xlfn.XLOOKUP($A2688,Load!$B:$B,Load!L:L,0,)</f>
        <v>Regular/Original Wrapping</v>
      </c>
      <c r="L2688" t="str">
        <f>_xlfn.XLOOKUP($A2688,Load!$B:$B,Load!M:M,0,)</f>
        <v>Single Brand / Variety Flavors or Form</v>
      </c>
    </row>
    <row r="2689" spans="1:12" x14ac:dyDescent="0.25">
      <c r="B2689">
        <f>_xlfn.XLOOKUP($A2689,Load!$B:$B,Load!C:C,0,)</f>
        <v>0</v>
      </c>
      <c r="C2689">
        <f>_xlfn.XLOOKUP($A2689,Load!$B:$B,Load!D:D,0,)</f>
        <v>0</v>
      </c>
      <c r="D2689">
        <f>_xlfn.XLOOKUP($A2689,Load!$B:$B,Load!E:E,0,)</f>
        <v>0</v>
      </c>
      <c r="E2689">
        <f>_xlfn.XLOOKUP($A2689,Load!$B:$B,Load!F:F,0,)</f>
        <v>0</v>
      </c>
      <c r="F2689">
        <f>_xlfn.XLOOKUP($A2689,Load!$B:$B,Load!G:G,0,)</f>
        <v>0</v>
      </c>
      <c r="G2689">
        <f>_xlfn.XLOOKUP($A2689,Load!$B:$B,Load!H:H,0,)</f>
        <v>0</v>
      </c>
      <c r="H2689">
        <f>_xlfn.XLOOKUP($A2689,Load!$B:$B,Load!I:I,0,)</f>
        <v>0</v>
      </c>
      <c r="I2689">
        <f>_xlfn.XLOOKUP($A2689,Load!$B:$B,Load!J:J,0,)</f>
        <v>0</v>
      </c>
      <c r="J2689">
        <f>_xlfn.XLOOKUP($A2689,Load!$B:$B,Load!K:K,0,)</f>
        <v>0</v>
      </c>
      <c r="K2689">
        <f>_xlfn.XLOOKUP($A2689,Load!$B:$B,Load!L:L,0,)</f>
        <v>0</v>
      </c>
      <c r="L2689">
        <f>_xlfn.XLOOKUP($A2689,Load!$B:$B,Load!M:M,0,)</f>
        <v>0</v>
      </c>
    </row>
    <row r="2690" spans="1:12" x14ac:dyDescent="0.25">
      <c r="A2690" t="s">
        <v>303</v>
      </c>
      <c r="B2690" t="str">
        <f>_xlfn.XLOOKUP($A2690,Load!$B:$B,Load!C:C,0,)</f>
        <v>Warheads</v>
      </c>
      <c r="C2690" t="str">
        <f>_xlfn.XLOOKUP($A2690,Load!$B:$B,Load!D:D,0,)</f>
        <v>Non-Chocolate Candy Only</v>
      </c>
      <c r="D2690" t="str">
        <f>_xlfn.XLOOKUP($A2690,Load!$B:$B,Load!E:E,0,)</f>
        <v>Variety / Mixed Flavors (Fruity, Sour, Seasonal Flavors)</v>
      </c>
      <c r="E2690" t="str">
        <f>_xlfn.XLOOKUP($A2690,Load!$B:$B,Load!F:F,0,)</f>
        <v>Chewy</v>
      </c>
      <c r="F2690" t="str">
        <f>_xlfn.XLOOKUP($A2690,Load!$B:$B,Load!G:G,0,)</f>
        <v>Single Pack</v>
      </c>
      <c r="G2690" t="str">
        <f>_xlfn.XLOOKUP($A2690,Load!$B:$B,Load!H:H,0,)</f>
        <v>Peg Bag</v>
      </c>
      <c r="H2690" t="str">
        <f>_xlfn.XLOOKUP($A2690,Load!$B:$B,Load!I:I,0,)</f>
        <v>Everyday Candy Shapes (like Original, Gummy bear, Fruit, Jewels, etc.)</v>
      </c>
      <c r="I2690" t="str">
        <f>_xlfn.XLOOKUP($A2690,Load!$B:$B,Load!J:J,0,)</f>
        <v>Seasonal Graphics (Like Bat, Ghost, Pumpkin, Fall Leaves, Eyeballs, etc.)</v>
      </c>
      <c r="J2690" t="str">
        <f>_xlfn.XLOOKUP($A2690,Load!$B:$B,Load!K:K,0,)</f>
        <v>Fun Size / Treat Size</v>
      </c>
      <c r="K2690" t="str">
        <f>_xlfn.XLOOKUP($A2690,Load!$B:$B,Load!L:L,0,)</f>
        <v>Unwrapped</v>
      </c>
      <c r="L2690" t="str">
        <f>_xlfn.XLOOKUP($A2690,Load!$B:$B,Load!M:M,0,)</f>
        <v>Single Brand / Single Flavor or Form</v>
      </c>
    </row>
    <row r="2691" spans="1:12" x14ac:dyDescent="0.25">
      <c r="A2691" t="s">
        <v>304</v>
      </c>
      <c r="B2691" t="str">
        <f>_xlfn.XLOOKUP($A2691,Load!$B:$B,Load!C:C,0,)</f>
        <v>Warheads</v>
      </c>
      <c r="C2691" t="str">
        <f>_xlfn.XLOOKUP($A2691,Load!$B:$B,Load!D:D,0,)</f>
        <v>Non-Chocolate Candy Only</v>
      </c>
      <c r="D2691" t="str">
        <f>_xlfn.XLOOKUP($A2691,Load!$B:$B,Load!E:E,0,)</f>
        <v>Sour</v>
      </c>
      <c r="E2691" t="str">
        <f>_xlfn.XLOOKUP($A2691,Load!$B:$B,Load!F:F,0,)</f>
        <v>Chewy</v>
      </c>
      <c r="F2691" t="str">
        <f>_xlfn.XLOOKUP($A2691,Load!$B:$B,Load!G:G,0,)</f>
        <v>Medium Multipack (40–80 ct)</v>
      </c>
      <c r="G2691" t="str">
        <f>_xlfn.XLOOKUP($A2691,Load!$B:$B,Load!H:H,0,)</f>
        <v>Laydown Bag</v>
      </c>
      <c r="H2691" t="str">
        <f>_xlfn.XLOOKUP($A2691,Load!$B:$B,Load!I:I,0,)</f>
        <v>Everyday Candy Shapes (like Original, Gummy bear, Fruit, Jewels, etc.)</v>
      </c>
      <c r="I2691" t="str">
        <f>_xlfn.XLOOKUP($A2691,Load!$B:$B,Load!J:J,0,)</f>
        <v>Seasonal Graphics (Like Bat, Ghost, Pumpkin, Fall Leaves, Eyeballs, etc.)</v>
      </c>
      <c r="J2691" t="str">
        <f>_xlfn.XLOOKUP($A2691,Load!$B:$B,Load!K:K,0,)</f>
        <v>Fun Size / Treat Size</v>
      </c>
      <c r="K2691" t="str">
        <f>_xlfn.XLOOKUP($A2691,Load!$B:$B,Load!L:L,0,)</f>
        <v>Regular/Original Wrapping</v>
      </c>
      <c r="L2691" t="str">
        <f>_xlfn.XLOOKUP($A2691,Load!$B:$B,Load!M:M,0,)</f>
        <v>Single Brand / Single Flavor or Form</v>
      </c>
    </row>
    <row r="2692" spans="1:12" x14ac:dyDescent="0.25">
      <c r="A2692" t="s">
        <v>124</v>
      </c>
      <c r="B2692" t="str">
        <f>_xlfn.XLOOKUP($A2692,Load!$B:$B,Load!C:C,0,)</f>
        <v>HARIBO</v>
      </c>
      <c r="C2692" t="str">
        <f>_xlfn.XLOOKUP($A2692,Load!$B:$B,Load!D:D,0,)</f>
        <v>Non-Chocolate Candy Only</v>
      </c>
      <c r="D2692" t="str">
        <f>_xlfn.XLOOKUP($A2692,Load!$B:$B,Load!E:E,0,)</f>
        <v>Fruit Flavor (Cherry, Grape, Apple, Citrus, Tropical Fruit)</v>
      </c>
      <c r="E2692" t="str">
        <f>_xlfn.XLOOKUP($A2692,Load!$B:$B,Load!F:F,0,)</f>
        <v>Gummy</v>
      </c>
      <c r="F2692" t="str">
        <f>_xlfn.XLOOKUP($A2692,Load!$B:$B,Load!G:G,0,)</f>
        <v>Small Multipack (Less than 40 ct)</v>
      </c>
      <c r="G2692" t="str">
        <f>_xlfn.XLOOKUP($A2692,Load!$B:$B,Load!H:H,0,)</f>
        <v>Laydown Bag</v>
      </c>
      <c r="H2692" t="str">
        <f>_xlfn.XLOOKUP($A2692,Load!$B:$B,Load!I:I,0,)</f>
        <v>Everyday Candy Shapes (like Original, Gummy bear, Fruit, Jewels, etc.)</v>
      </c>
      <c r="I2692" t="str">
        <f>_xlfn.XLOOKUP($A2692,Load!$B:$B,Load!J:J,0,)</f>
        <v>Everyday Graphics</v>
      </c>
      <c r="J2692" t="str">
        <f>_xlfn.XLOOKUP($A2692,Load!$B:$B,Load!K:K,0,)</f>
        <v>Small Pieces (Tiny bite size candies)</v>
      </c>
      <c r="K2692" t="str">
        <f>_xlfn.XLOOKUP($A2692,Load!$B:$B,Load!L:L,0,)</f>
        <v>Regular/Original Wrapping</v>
      </c>
      <c r="L2692" t="str">
        <f>_xlfn.XLOOKUP($A2692,Load!$B:$B,Load!M:M,0,)</f>
        <v>Single Brand / Variety Flavors or Form</v>
      </c>
    </row>
    <row r="2693" spans="1:12" x14ac:dyDescent="0.25">
      <c r="B2693">
        <f>_xlfn.XLOOKUP($A2693,Load!$B:$B,Load!C:C,0,)</f>
        <v>0</v>
      </c>
      <c r="C2693">
        <f>_xlfn.XLOOKUP($A2693,Load!$B:$B,Load!D:D,0,)</f>
        <v>0</v>
      </c>
      <c r="D2693">
        <f>_xlfn.XLOOKUP($A2693,Load!$B:$B,Load!E:E,0,)</f>
        <v>0</v>
      </c>
      <c r="E2693">
        <f>_xlfn.XLOOKUP($A2693,Load!$B:$B,Load!F:F,0,)</f>
        <v>0</v>
      </c>
      <c r="F2693">
        <f>_xlfn.XLOOKUP($A2693,Load!$B:$B,Load!G:G,0,)</f>
        <v>0</v>
      </c>
      <c r="G2693">
        <f>_xlfn.XLOOKUP($A2693,Load!$B:$B,Load!H:H,0,)</f>
        <v>0</v>
      </c>
      <c r="H2693">
        <f>_xlfn.XLOOKUP($A2693,Load!$B:$B,Load!I:I,0,)</f>
        <v>0</v>
      </c>
      <c r="I2693">
        <f>_xlfn.XLOOKUP($A2693,Load!$B:$B,Load!J:J,0,)</f>
        <v>0</v>
      </c>
      <c r="J2693">
        <f>_xlfn.XLOOKUP($A2693,Load!$B:$B,Load!K:K,0,)</f>
        <v>0</v>
      </c>
      <c r="K2693">
        <f>_xlfn.XLOOKUP($A2693,Load!$B:$B,Load!L:L,0,)</f>
        <v>0</v>
      </c>
      <c r="L2693">
        <f>_xlfn.XLOOKUP($A2693,Load!$B:$B,Load!M:M,0,)</f>
        <v>0</v>
      </c>
    </row>
    <row r="2694" spans="1:12" x14ac:dyDescent="0.25">
      <c r="B2694">
        <f>_xlfn.XLOOKUP($A2694,Load!$B:$B,Load!C:C,0,)</f>
        <v>0</v>
      </c>
      <c r="C2694">
        <f>_xlfn.XLOOKUP($A2694,Load!$B:$B,Load!D:D,0,)</f>
        <v>0</v>
      </c>
      <c r="D2694">
        <f>_xlfn.XLOOKUP($A2694,Load!$B:$B,Load!E:E,0,)</f>
        <v>0</v>
      </c>
      <c r="E2694">
        <f>_xlfn.XLOOKUP($A2694,Load!$B:$B,Load!F:F,0,)</f>
        <v>0</v>
      </c>
      <c r="F2694">
        <f>_xlfn.XLOOKUP($A2694,Load!$B:$B,Load!G:G,0,)</f>
        <v>0</v>
      </c>
      <c r="G2694">
        <f>_xlfn.XLOOKUP($A2694,Load!$B:$B,Load!H:H,0,)</f>
        <v>0</v>
      </c>
      <c r="H2694">
        <f>_xlfn.XLOOKUP($A2694,Load!$B:$B,Load!I:I,0,)</f>
        <v>0</v>
      </c>
      <c r="I2694">
        <f>_xlfn.XLOOKUP($A2694,Load!$B:$B,Load!J:J,0,)</f>
        <v>0</v>
      </c>
      <c r="J2694">
        <f>_xlfn.XLOOKUP($A2694,Load!$B:$B,Load!K:K,0,)</f>
        <v>0</v>
      </c>
      <c r="K2694">
        <f>_xlfn.XLOOKUP($A2694,Load!$B:$B,Load!L:L,0,)</f>
        <v>0</v>
      </c>
      <c r="L2694">
        <f>_xlfn.XLOOKUP($A2694,Load!$B:$B,Load!M:M,0,)</f>
        <v>0</v>
      </c>
    </row>
    <row r="2695" spans="1:12" x14ac:dyDescent="0.25">
      <c r="B2695">
        <f>_xlfn.XLOOKUP($A2695,Load!$B:$B,Load!C:C,0,)</f>
        <v>0</v>
      </c>
      <c r="C2695">
        <f>_xlfn.XLOOKUP($A2695,Load!$B:$B,Load!D:D,0,)</f>
        <v>0</v>
      </c>
      <c r="D2695">
        <f>_xlfn.XLOOKUP($A2695,Load!$B:$B,Load!E:E,0,)</f>
        <v>0</v>
      </c>
      <c r="E2695">
        <f>_xlfn.XLOOKUP($A2695,Load!$B:$B,Load!F:F,0,)</f>
        <v>0</v>
      </c>
      <c r="F2695">
        <f>_xlfn.XLOOKUP($A2695,Load!$B:$B,Load!G:G,0,)</f>
        <v>0</v>
      </c>
      <c r="G2695">
        <f>_xlfn.XLOOKUP($A2695,Load!$B:$B,Load!H:H,0,)</f>
        <v>0</v>
      </c>
      <c r="H2695">
        <f>_xlfn.XLOOKUP($A2695,Load!$B:$B,Load!I:I,0,)</f>
        <v>0</v>
      </c>
      <c r="I2695">
        <f>_xlfn.XLOOKUP($A2695,Load!$B:$B,Load!J:J,0,)</f>
        <v>0</v>
      </c>
      <c r="J2695">
        <f>_xlfn.XLOOKUP($A2695,Load!$B:$B,Load!K:K,0,)</f>
        <v>0</v>
      </c>
      <c r="K2695">
        <f>_xlfn.XLOOKUP($A2695,Load!$B:$B,Load!L:L,0,)</f>
        <v>0</v>
      </c>
      <c r="L2695">
        <f>_xlfn.XLOOKUP($A2695,Load!$B:$B,Load!M:M,0,)</f>
        <v>0</v>
      </c>
    </row>
    <row r="2696" spans="1:12" x14ac:dyDescent="0.25">
      <c r="A2696" t="s">
        <v>299</v>
      </c>
      <c r="B2696" t="str">
        <f>_xlfn.XLOOKUP($A2696,Load!$B:$B,Load!C:C,0,)</f>
        <v>Twizzlers</v>
      </c>
      <c r="C2696" t="str">
        <f>_xlfn.XLOOKUP($A2696,Load!$B:$B,Load!D:D,0,)</f>
        <v>Non-Chocolate Candy Only</v>
      </c>
      <c r="D2696" t="str">
        <f>_xlfn.XLOOKUP($A2696,Load!$B:$B,Load!E:E,0,)</f>
        <v>Fruit Flavor (Cherry, Grape, Apple, Citrus, Tropical Fruit)</v>
      </c>
      <c r="E2696" t="str">
        <f>_xlfn.XLOOKUP($A2696,Load!$B:$B,Load!F:F,0,)</f>
        <v>Chewy</v>
      </c>
      <c r="F2696" t="str">
        <f>_xlfn.XLOOKUP($A2696,Load!$B:$B,Load!G:G,0,)</f>
        <v>Single Pack</v>
      </c>
      <c r="G2696" t="str">
        <f>_xlfn.XLOOKUP($A2696,Load!$B:$B,Load!H:H,0,)</f>
        <v>Stand-Up Bag</v>
      </c>
      <c r="H2696" t="str">
        <f>_xlfn.XLOOKUP($A2696,Load!$B:$B,Load!I:I,0,)</f>
        <v>Seasonal Shapes (like pumpkins, candy corn, ghost, bats, etc.)</v>
      </c>
      <c r="I2696" t="str">
        <f>_xlfn.XLOOKUP($A2696,Load!$B:$B,Load!J:J,0,)</f>
        <v>Seasonal Graphics (Like Bat, Ghost, Pumpkin, Fall Leaves, Eyeballs, etc.)</v>
      </c>
      <c r="J2696" t="str">
        <f>_xlfn.XLOOKUP($A2696,Load!$B:$B,Load!K:K,0,)</f>
        <v>Fun Size / Treat Size</v>
      </c>
      <c r="K2696" t="str">
        <f>_xlfn.XLOOKUP($A2696,Load!$B:$B,Load!L:L,0,)</f>
        <v>Unwrapped</v>
      </c>
      <c r="L2696" t="str">
        <f>_xlfn.XLOOKUP($A2696,Load!$B:$B,Load!M:M,0,)</f>
        <v>Single Brand / Single Flavor or Form</v>
      </c>
    </row>
    <row r="2697" spans="1:12" x14ac:dyDescent="0.25">
      <c r="B2697">
        <f>_xlfn.XLOOKUP($A2697,Load!$B:$B,Load!C:C,0,)</f>
        <v>0</v>
      </c>
      <c r="C2697">
        <f>_xlfn.XLOOKUP($A2697,Load!$B:$B,Load!D:D,0,)</f>
        <v>0</v>
      </c>
      <c r="D2697">
        <f>_xlfn.XLOOKUP($A2697,Load!$B:$B,Load!E:E,0,)</f>
        <v>0</v>
      </c>
      <c r="E2697">
        <f>_xlfn.XLOOKUP($A2697,Load!$B:$B,Load!F:F,0,)</f>
        <v>0</v>
      </c>
      <c r="F2697">
        <f>_xlfn.XLOOKUP($A2697,Load!$B:$B,Load!G:G,0,)</f>
        <v>0</v>
      </c>
      <c r="G2697">
        <f>_xlfn.XLOOKUP($A2697,Load!$B:$B,Load!H:H,0,)</f>
        <v>0</v>
      </c>
      <c r="H2697">
        <f>_xlfn.XLOOKUP($A2697,Load!$B:$B,Load!I:I,0,)</f>
        <v>0</v>
      </c>
      <c r="I2697">
        <f>_xlfn.XLOOKUP($A2697,Load!$B:$B,Load!J:J,0,)</f>
        <v>0</v>
      </c>
      <c r="J2697">
        <f>_xlfn.XLOOKUP($A2697,Load!$B:$B,Load!K:K,0,)</f>
        <v>0</v>
      </c>
      <c r="K2697">
        <f>_xlfn.XLOOKUP($A2697,Load!$B:$B,Load!L:L,0,)</f>
        <v>0</v>
      </c>
      <c r="L2697">
        <f>_xlfn.XLOOKUP($A2697,Load!$B:$B,Load!M:M,0,)</f>
        <v>0</v>
      </c>
    </row>
    <row r="2698" spans="1:12" x14ac:dyDescent="0.25">
      <c r="B2698">
        <f>_xlfn.XLOOKUP($A2698,Load!$B:$B,Load!C:C,0,)</f>
        <v>0</v>
      </c>
      <c r="C2698">
        <f>_xlfn.XLOOKUP($A2698,Load!$B:$B,Load!D:D,0,)</f>
        <v>0</v>
      </c>
      <c r="D2698">
        <f>_xlfn.XLOOKUP($A2698,Load!$B:$B,Load!E:E,0,)</f>
        <v>0</v>
      </c>
      <c r="E2698">
        <f>_xlfn.XLOOKUP($A2698,Load!$B:$B,Load!F:F,0,)</f>
        <v>0</v>
      </c>
      <c r="F2698">
        <f>_xlfn.XLOOKUP($A2698,Load!$B:$B,Load!G:G,0,)</f>
        <v>0</v>
      </c>
      <c r="G2698">
        <f>_xlfn.XLOOKUP($A2698,Load!$B:$B,Load!H:H,0,)</f>
        <v>0</v>
      </c>
      <c r="H2698">
        <f>_xlfn.XLOOKUP($A2698,Load!$B:$B,Load!I:I,0,)</f>
        <v>0</v>
      </c>
      <c r="I2698">
        <f>_xlfn.XLOOKUP($A2698,Load!$B:$B,Load!J:J,0,)</f>
        <v>0</v>
      </c>
      <c r="J2698">
        <f>_xlfn.XLOOKUP($A2698,Load!$B:$B,Load!K:K,0,)</f>
        <v>0</v>
      </c>
      <c r="K2698">
        <f>_xlfn.XLOOKUP($A2698,Load!$B:$B,Load!L:L,0,)</f>
        <v>0</v>
      </c>
      <c r="L2698">
        <f>_xlfn.XLOOKUP($A2698,Load!$B:$B,Load!M:M,0,)</f>
        <v>0</v>
      </c>
    </row>
    <row r="2699" spans="1:12" x14ac:dyDescent="0.25">
      <c r="B2699">
        <f>_xlfn.XLOOKUP($A2699,Load!$B:$B,Load!C:C,0,)</f>
        <v>0</v>
      </c>
      <c r="C2699">
        <f>_xlfn.XLOOKUP($A2699,Load!$B:$B,Load!D:D,0,)</f>
        <v>0</v>
      </c>
      <c r="D2699">
        <f>_xlfn.XLOOKUP($A2699,Load!$B:$B,Load!E:E,0,)</f>
        <v>0</v>
      </c>
      <c r="E2699">
        <f>_xlfn.XLOOKUP($A2699,Load!$B:$B,Load!F:F,0,)</f>
        <v>0</v>
      </c>
      <c r="F2699">
        <f>_xlfn.XLOOKUP($A2699,Load!$B:$B,Load!G:G,0,)</f>
        <v>0</v>
      </c>
      <c r="G2699">
        <f>_xlfn.XLOOKUP($A2699,Load!$B:$B,Load!H:H,0,)</f>
        <v>0</v>
      </c>
      <c r="H2699">
        <f>_xlfn.XLOOKUP($A2699,Load!$B:$B,Load!I:I,0,)</f>
        <v>0</v>
      </c>
      <c r="I2699">
        <f>_xlfn.XLOOKUP($A2699,Load!$B:$B,Load!J:J,0,)</f>
        <v>0</v>
      </c>
      <c r="J2699">
        <f>_xlfn.XLOOKUP($A2699,Load!$B:$B,Load!K:K,0,)</f>
        <v>0</v>
      </c>
      <c r="K2699">
        <f>_xlfn.XLOOKUP($A2699,Load!$B:$B,Load!L:L,0,)</f>
        <v>0</v>
      </c>
      <c r="L2699">
        <f>_xlfn.XLOOKUP($A2699,Load!$B:$B,Load!M:M,0,)</f>
        <v>0</v>
      </c>
    </row>
    <row r="2700" spans="1:12" x14ac:dyDescent="0.25">
      <c r="B2700">
        <f>_xlfn.XLOOKUP($A2700,Load!$B:$B,Load!C:C,0,)</f>
        <v>0</v>
      </c>
      <c r="C2700">
        <f>_xlfn.XLOOKUP($A2700,Load!$B:$B,Load!D:D,0,)</f>
        <v>0</v>
      </c>
      <c r="D2700">
        <f>_xlfn.XLOOKUP($A2700,Load!$B:$B,Load!E:E,0,)</f>
        <v>0</v>
      </c>
      <c r="E2700">
        <f>_xlfn.XLOOKUP($A2700,Load!$B:$B,Load!F:F,0,)</f>
        <v>0</v>
      </c>
      <c r="F2700">
        <f>_xlfn.XLOOKUP($A2700,Load!$B:$B,Load!G:G,0,)</f>
        <v>0</v>
      </c>
      <c r="G2700">
        <f>_xlfn.XLOOKUP($A2700,Load!$B:$B,Load!H:H,0,)</f>
        <v>0</v>
      </c>
      <c r="H2700">
        <f>_xlfn.XLOOKUP($A2700,Load!$B:$B,Load!I:I,0,)</f>
        <v>0</v>
      </c>
      <c r="I2700">
        <f>_xlfn.XLOOKUP($A2700,Load!$B:$B,Load!J:J,0,)</f>
        <v>0</v>
      </c>
      <c r="J2700">
        <f>_xlfn.XLOOKUP($A2700,Load!$B:$B,Load!K:K,0,)</f>
        <v>0</v>
      </c>
      <c r="K2700">
        <f>_xlfn.XLOOKUP($A2700,Load!$B:$B,Load!L:L,0,)</f>
        <v>0</v>
      </c>
      <c r="L2700">
        <f>_xlfn.XLOOKUP($A2700,Load!$B:$B,Load!M:M,0,)</f>
        <v>0</v>
      </c>
    </row>
    <row r="2701" spans="1:12" x14ac:dyDescent="0.25">
      <c r="B2701">
        <f>_xlfn.XLOOKUP($A2701,Load!$B:$B,Load!C:C,0,)</f>
        <v>0</v>
      </c>
      <c r="C2701">
        <f>_xlfn.XLOOKUP($A2701,Load!$B:$B,Load!D:D,0,)</f>
        <v>0</v>
      </c>
      <c r="D2701">
        <f>_xlfn.XLOOKUP($A2701,Load!$B:$B,Load!E:E,0,)</f>
        <v>0</v>
      </c>
      <c r="E2701">
        <f>_xlfn.XLOOKUP($A2701,Load!$B:$B,Load!F:F,0,)</f>
        <v>0</v>
      </c>
      <c r="F2701">
        <f>_xlfn.XLOOKUP($A2701,Load!$B:$B,Load!G:G,0,)</f>
        <v>0</v>
      </c>
      <c r="G2701">
        <f>_xlfn.XLOOKUP($A2701,Load!$B:$B,Load!H:H,0,)</f>
        <v>0</v>
      </c>
      <c r="H2701">
        <f>_xlfn.XLOOKUP($A2701,Load!$B:$B,Load!I:I,0,)</f>
        <v>0</v>
      </c>
      <c r="I2701">
        <f>_xlfn.XLOOKUP($A2701,Load!$B:$B,Load!J:J,0,)</f>
        <v>0</v>
      </c>
      <c r="J2701">
        <f>_xlfn.XLOOKUP($A2701,Load!$B:$B,Load!K:K,0,)</f>
        <v>0</v>
      </c>
      <c r="K2701">
        <f>_xlfn.XLOOKUP($A2701,Load!$B:$B,Load!L:L,0,)</f>
        <v>0</v>
      </c>
      <c r="L2701">
        <f>_xlfn.XLOOKUP($A2701,Load!$B:$B,Load!M:M,0,)</f>
        <v>0</v>
      </c>
    </row>
    <row r="2702" spans="1:12" x14ac:dyDescent="0.25">
      <c r="B2702">
        <f>_xlfn.XLOOKUP($A2702,Load!$B:$B,Load!C:C,0,)</f>
        <v>0</v>
      </c>
      <c r="C2702">
        <f>_xlfn.XLOOKUP($A2702,Load!$B:$B,Load!D:D,0,)</f>
        <v>0</v>
      </c>
      <c r="D2702">
        <f>_xlfn.XLOOKUP($A2702,Load!$B:$B,Load!E:E,0,)</f>
        <v>0</v>
      </c>
      <c r="E2702">
        <f>_xlfn.XLOOKUP($A2702,Load!$B:$B,Load!F:F,0,)</f>
        <v>0</v>
      </c>
      <c r="F2702">
        <f>_xlfn.XLOOKUP($A2702,Load!$B:$B,Load!G:G,0,)</f>
        <v>0</v>
      </c>
      <c r="G2702">
        <f>_xlfn.XLOOKUP($A2702,Load!$B:$B,Load!H:H,0,)</f>
        <v>0</v>
      </c>
      <c r="H2702">
        <f>_xlfn.XLOOKUP($A2702,Load!$B:$B,Load!I:I,0,)</f>
        <v>0</v>
      </c>
      <c r="I2702">
        <f>_xlfn.XLOOKUP($A2702,Load!$B:$B,Load!J:J,0,)</f>
        <v>0</v>
      </c>
      <c r="J2702">
        <f>_xlfn.XLOOKUP($A2702,Load!$B:$B,Load!K:K,0,)</f>
        <v>0</v>
      </c>
      <c r="K2702">
        <f>_xlfn.XLOOKUP($A2702,Load!$B:$B,Load!L:L,0,)</f>
        <v>0</v>
      </c>
      <c r="L2702">
        <f>_xlfn.XLOOKUP($A2702,Load!$B:$B,Load!M:M,0,)</f>
        <v>0</v>
      </c>
    </row>
    <row r="2703" spans="1:12" x14ac:dyDescent="0.25">
      <c r="B2703">
        <f>_xlfn.XLOOKUP($A2703,Load!$B:$B,Load!C:C,0,)</f>
        <v>0</v>
      </c>
      <c r="C2703">
        <f>_xlfn.XLOOKUP($A2703,Load!$B:$B,Load!D:D,0,)</f>
        <v>0</v>
      </c>
      <c r="D2703">
        <f>_xlfn.XLOOKUP($A2703,Load!$B:$B,Load!E:E,0,)</f>
        <v>0</v>
      </c>
      <c r="E2703">
        <f>_xlfn.XLOOKUP($A2703,Load!$B:$B,Load!F:F,0,)</f>
        <v>0</v>
      </c>
      <c r="F2703">
        <f>_xlfn.XLOOKUP($A2703,Load!$B:$B,Load!G:G,0,)</f>
        <v>0</v>
      </c>
      <c r="G2703">
        <f>_xlfn.XLOOKUP($A2703,Load!$B:$B,Load!H:H,0,)</f>
        <v>0</v>
      </c>
      <c r="H2703">
        <f>_xlfn.XLOOKUP($A2703,Load!$B:$B,Load!I:I,0,)</f>
        <v>0</v>
      </c>
      <c r="I2703">
        <f>_xlfn.XLOOKUP($A2703,Load!$B:$B,Load!J:J,0,)</f>
        <v>0</v>
      </c>
      <c r="J2703">
        <f>_xlfn.XLOOKUP($A2703,Load!$B:$B,Load!K:K,0,)</f>
        <v>0</v>
      </c>
      <c r="K2703">
        <f>_xlfn.XLOOKUP($A2703,Load!$B:$B,Load!L:L,0,)</f>
        <v>0</v>
      </c>
      <c r="L2703">
        <f>_xlfn.XLOOKUP($A2703,Load!$B:$B,Load!M:M,0,)</f>
        <v>0</v>
      </c>
    </row>
    <row r="2704" spans="1:12" x14ac:dyDescent="0.25">
      <c r="B2704">
        <f>_xlfn.XLOOKUP($A2704,Load!$B:$B,Load!C:C,0,)</f>
        <v>0</v>
      </c>
      <c r="C2704">
        <f>_xlfn.XLOOKUP($A2704,Load!$B:$B,Load!D:D,0,)</f>
        <v>0</v>
      </c>
      <c r="D2704">
        <f>_xlfn.XLOOKUP($A2704,Load!$B:$B,Load!E:E,0,)</f>
        <v>0</v>
      </c>
      <c r="E2704">
        <f>_xlfn.XLOOKUP($A2704,Load!$B:$B,Load!F:F,0,)</f>
        <v>0</v>
      </c>
      <c r="F2704">
        <f>_xlfn.XLOOKUP($A2704,Load!$B:$B,Load!G:G,0,)</f>
        <v>0</v>
      </c>
      <c r="G2704">
        <f>_xlfn.XLOOKUP($A2704,Load!$B:$B,Load!H:H,0,)</f>
        <v>0</v>
      </c>
      <c r="H2704">
        <f>_xlfn.XLOOKUP($A2704,Load!$B:$B,Load!I:I,0,)</f>
        <v>0</v>
      </c>
      <c r="I2704">
        <f>_xlfn.XLOOKUP($A2704,Load!$B:$B,Load!J:J,0,)</f>
        <v>0</v>
      </c>
      <c r="J2704">
        <f>_xlfn.XLOOKUP($A2704,Load!$B:$B,Load!K:K,0,)</f>
        <v>0</v>
      </c>
      <c r="K2704">
        <f>_xlfn.XLOOKUP($A2704,Load!$B:$B,Load!L:L,0,)</f>
        <v>0</v>
      </c>
      <c r="L2704">
        <f>_xlfn.XLOOKUP($A2704,Load!$B:$B,Load!M:M,0,)</f>
        <v>0</v>
      </c>
    </row>
    <row r="2705" spans="1:12" x14ac:dyDescent="0.25">
      <c r="B2705">
        <f>_xlfn.XLOOKUP($A2705,Load!$B:$B,Load!C:C,0,)</f>
        <v>0</v>
      </c>
      <c r="C2705">
        <f>_xlfn.XLOOKUP($A2705,Load!$B:$B,Load!D:D,0,)</f>
        <v>0</v>
      </c>
      <c r="D2705">
        <f>_xlfn.XLOOKUP($A2705,Load!$B:$B,Load!E:E,0,)</f>
        <v>0</v>
      </c>
      <c r="E2705">
        <f>_xlfn.XLOOKUP($A2705,Load!$B:$B,Load!F:F,0,)</f>
        <v>0</v>
      </c>
      <c r="F2705">
        <f>_xlfn.XLOOKUP($A2705,Load!$B:$B,Load!G:G,0,)</f>
        <v>0</v>
      </c>
      <c r="G2705">
        <f>_xlfn.XLOOKUP($A2705,Load!$B:$B,Load!H:H,0,)</f>
        <v>0</v>
      </c>
      <c r="H2705">
        <f>_xlfn.XLOOKUP($A2705,Load!$B:$B,Load!I:I,0,)</f>
        <v>0</v>
      </c>
      <c r="I2705">
        <f>_xlfn.XLOOKUP($A2705,Load!$B:$B,Load!J:J,0,)</f>
        <v>0</v>
      </c>
      <c r="J2705">
        <f>_xlfn.XLOOKUP($A2705,Load!$B:$B,Load!K:K,0,)</f>
        <v>0</v>
      </c>
      <c r="K2705">
        <f>_xlfn.XLOOKUP($A2705,Load!$B:$B,Load!L:L,0,)</f>
        <v>0</v>
      </c>
      <c r="L2705">
        <f>_xlfn.XLOOKUP($A2705,Load!$B:$B,Load!M:M,0,)</f>
        <v>0</v>
      </c>
    </row>
    <row r="2706" spans="1:12" x14ac:dyDescent="0.25">
      <c r="B2706">
        <f>_xlfn.XLOOKUP($A2706,Load!$B:$B,Load!C:C,0,)</f>
        <v>0</v>
      </c>
      <c r="C2706">
        <f>_xlfn.XLOOKUP($A2706,Load!$B:$B,Load!D:D,0,)</f>
        <v>0</v>
      </c>
      <c r="D2706">
        <f>_xlfn.XLOOKUP($A2706,Load!$B:$B,Load!E:E,0,)</f>
        <v>0</v>
      </c>
      <c r="E2706">
        <f>_xlfn.XLOOKUP($A2706,Load!$B:$B,Load!F:F,0,)</f>
        <v>0</v>
      </c>
      <c r="F2706">
        <f>_xlfn.XLOOKUP($A2706,Load!$B:$B,Load!G:G,0,)</f>
        <v>0</v>
      </c>
      <c r="G2706">
        <f>_xlfn.XLOOKUP($A2706,Load!$B:$B,Load!H:H,0,)</f>
        <v>0</v>
      </c>
      <c r="H2706">
        <f>_xlfn.XLOOKUP($A2706,Load!$B:$B,Load!I:I,0,)</f>
        <v>0</v>
      </c>
      <c r="I2706">
        <f>_xlfn.XLOOKUP($A2706,Load!$B:$B,Load!J:J,0,)</f>
        <v>0</v>
      </c>
      <c r="J2706">
        <f>_xlfn.XLOOKUP($A2706,Load!$B:$B,Load!K:K,0,)</f>
        <v>0</v>
      </c>
      <c r="K2706">
        <f>_xlfn.XLOOKUP($A2706,Load!$B:$B,Load!L:L,0,)</f>
        <v>0</v>
      </c>
      <c r="L2706">
        <f>_xlfn.XLOOKUP($A2706,Load!$B:$B,Load!M:M,0,)</f>
        <v>0</v>
      </c>
    </row>
    <row r="2707" spans="1:12" x14ac:dyDescent="0.25">
      <c r="B2707">
        <f>_xlfn.XLOOKUP($A2707,Load!$B:$B,Load!C:C,0,)</f>
        <v>0</v>
      </c>
      <c r="C2707">
        <f>_xlfn.XLOOKUP($A2707,Load!$B:$B,Load!D:D,0,)</f>
        <v>0</v>
      </c>
      <c r="D2707">
        <f>_xlfn.XLOOKUP($A2707,Load!$B:$B,Load!E:E,0,)</f>
        <v>0</v>
      </c>
      <c r="E2707">
        <f>_xlfn.XLOOKUP($A2707,Load!$B:$B,Load!F:F,0,)</f>
        <v>0</v>
      </c>
      <c r="F2707">
        <f>_xlfn.XLOOKUP($A2707,Load!$B:$B,Load!G:G,0,)</f>
        <v>0</v>
      </c>
      <c r="G2707">
        <f>_xlfn.XLOOKUP($A2707,Load!$B:$B,Load!H:H,0,)</f>
        <v>0</v>
      </c>
      <c r="H2707">
        <f>_xlfn.XLOOKUP($A2707,Load!$B:$B,Load!I:I,0,)</f>
        <v>0</v>
      </c>
      <c r="I2707">
        <f>_xlfn.XLOOKUP($A2707,Load!$B:$B,Load!J:J,0,)</f>
        <v>0</v>
      </c>
      <c r="J2707">
        <f>_xlfn.XLOOKUP($A2707,Load!$B:$B,Load!K:K,0,)</f>
        <v>0</v>
      </c>
      <c r="K2707">
        <f>_xlfn.XLOOKUP($A2707,Load!$B:$B,Load!L:L,0,)</f>
        <v>0</v>
      </c>
      <c r="L2707">
        <f>_xlfn.XLOOKUP($A2707,Load!$B:$B,Load!M:M,0,)</f>
        <v>0</v>
      </c>
    </row>
    <row r="2708" spans="1:12" x14ac:dyDescent="0.25">
      <c r="B2708">
        <f>_xlfn.XLOOKUP($A2708,Load!$B:$B,Load!C:C,0,)</f>
        <v>0</v>
      </c>
      <c r="C2708">
        <f>_xlfn.XLOOKUP($A2708,Load!$B:$B,Load!D:D,0,)</f>
        <v>0</v>
      </c>
      <c r="D2708">
        <f>_xlfn.XLOOKUP($A2708,Load!$B:$B,Load!E:E,0,)</f>
        <v>0</v>
      </c>
      <c r="E2708">
        <f>_xlfn.XLOOKUP($A2708,Load!$B:$B,Load!F:F,0,)</f>
        <v>0</v>
      </c>
      <c r="F2708">
        <f>_xlfn.XLOOKUP($A2708,Load!$B:$B,Load!G:G,0,)</f>
        <v>0</v>
      </c>
      <c r="G2708">
        <f>_xlfn.XLOOKUP($A2708,Load!$B:$B,Load!H:H,0,)</f>
        <v>0</v>
      </c>
      <c r="H2708">
        <f>_xlfn.XLOOKUP($A2708,Load!$B:$B,Load!I:I,0,)</f>
        <v>0</v>
      </c>
      <c r="I2708">
        <f>_xlfn.XLOOKUP($A2708,Load!$B:$B,Load!J:J,0,)</f>
        <v>0</v>
      </c>
      <c r="J2708">
        <f>_xlfn.XLOOKUP($A2708,Load!$B:$B,Load!K:K,0,)</f>
        <v>0</v>
      </c>
      <c r="K2708">
        <f>_xlfn.XLOOKUP($A2708,Load!$B:$B,Load!L:L,0,)</f>
        <v>0</v>
      </c>
      <c r="L2708">
        <f>_xlfn.XLOOKUP($A2708,Load!$B:$B,Load!M:M,0,)</f>
        <v>0</v>
      </c>
    </row>
    <row r="2709" spans="1:12" x14ac:dyDescent="0.25">
      <c r="B2709">
        <f>_xlfn.XLOOKUP($A2709,Load!$B:$B,Load!C:C,0,)</f>
        <v>0</v>
      </c>
      <c r="C2709">
        <f>_xlfn.XLOOKUP($A2709,Load!$B:$B,Load!D:D,0,)</f>
        <v>0</v>
      </c>
      <c r="D2709">
        <f>_xlfn.XLOOKUP($A2709,Load!$B:$B,Load!E:E,0,)</f>
        <v>0</v>
      </c>
      <c r="E2709">
        <f>_xlfn.XLOOKUP($A2709,Load!$B:$B,Load!F:F,0,)</f>
        <v>0</v>
      </c>
      <c r="F2709">
        <f>_xlfn.XLOOKUP($A2709,Load!$B:$B,Load!G:G,0,)</f>
        <v>0</v>
      </c>
      <c r="G2709">
        <f>_xlfn.XLOOKUP($A2709,Load!$B:$B,Load!H:H,0,)</f>
        <v>0</v>
      </c>
      <c r="H2709">
        <f>_xlfn.XLOOKUP($A2709,Load!$B:$B,Load!I:I,0,)</f>
        <v>0</v>
      </c>
      <c r="I2709">
        <f>_xlfn.XLOOKUP($A2709,Load!$B:$B,Load!J:J,0,)</f>
        <v>0</v>
      </c>
      <c r="J2709">
        <f>_xlfn.XLOOKUP($A2709,Load!$B:$B,Load!K:K,0,)</f>
        <v>0</v>
      </c>
      <c r="K2709">
        <f>_xlfn.XLOOKUP($A2709,Load!$B:$B,Load!L:L,0,)</f>
        <v>0</v>
      </c>
      <c r="L2709">
        <f>_xlfn.XLOOKUP($A2709,Load!$B:$B,Load!M:M,0,)</f>
        <v>0</v>
      </c>
    </row>
    <row r="2710" spans="1:12" x14ac:dyDescent="0.25">
      <c r="A2710" t="s">
        <v>271</v>
      </c>
      <c r="B2710" t="str">
        <f>_xlfn.XLOOKUP($A2710,Load!$B:$B,Load!C:C,0,)</f>
        <v>Sour Patch Kids</v>
      </c>
      <c r="C2710" t="str">
        <f>_xlfn.XLOOKUP($A2710,Load!$B:$B,Load!D:D,0,)</f>
        <v>Non-Chocolate Candy Only</v>
      </c>
      <c r="D2710" t="str">
        <f>_xlfn.XLOOKUP($A2710,Load!$B:$B,Load!E:E,0,)</f>
        <v>Sour</v>
      </c>
      <c r="E2710" t="str">
        <f>_xlfn.XLOOKUP($A2710,Load!$B:$B,Load!F:F,0,)</f>
        <v>Chewy</v>
      </c>
      <c r="F2710" t="str">
        <f>_xlfn.XLOOKUP($A2710,Load!$B:$B,Load!G:G,0,)</f>
        <v>Medium Multipack (40–80 ct)</v>
      </c>
      <c r="G2710" t="str">
        <f>_xlfn.XLOOKUP($A2710,Load!$B:$B,Load!H:H,0,)</f>
        <v>Laydown Bag</v>
      </c>
      <c r="H2710" t="str">
        <f>_xlfn.XLOOKUP($A2710,Load!$B:$B,Load!I:I,0,)</f>
        <v>Everyday Candy Shapes (like Original, Gummy bear, Fruit, Jewels, etc.)</v>
      </c>
      <c r="I2710" t="str">
        <f>_xlfn.XLOOKUP($A2710,Load!$B:$B,Load!J:J,0,)</f>
        <v>Seasonal Graphics (Like Bat, Ghost, Pumpkin, Fall Leaves, Eyeballs, etc.)</v>
      </c>
      <c r="J2710" t="str">
        <f>_xlfn.XLOOKUP($A2710,Load!$B:$B,Load!K:K,0,)</f>
        <v>Small Pieces (Tiny bite size candies)</v>
      </c>
      <c r="K2710" t="str">
        <f>_xlfn.XLOOKUP($A2710,Load!$B:$B,Load!L:L,0,)</f>
        <v>Regular/Original Wrapping</v>
      </c>
      <c r="L2710" t="str">
        <f>_xlfn.XLOOKUP($A2710,Load!$B:$B,Load!M:M,0,)</f>
        <v>Single Brand / Variety Flavors or Form</v>
      </c>
    </row>
    <row r="2711" spans="1:12" x14ac:dyDescent="0.25">
      <c r="A2711" t="s">
        <v>301</v>
      </c>
      <c r="B2711" t="str">
        <f>_xlfn.XLOOKUP($A2711,Load!$B:$B,Load!C:C,0,)</f>
        <v>Twizzlers</v>
      </c>
      <c r="C2711" t="str">
        <f>_xlfn.XLOOKUP($A2711,Load!$B:$B,Load!D:D,0,)</f>
        <v>Non-Chocolate Candy Only</v>
      </c>
      <c r="D2711" t="str">
        <f>_xlfn.XLOOKUP($A2711,Load!$B:$B,Load!E:E,0,)</f>
        <v>Variety / Mixed Flavors (Fruity, Sour, Seasonal Flavors)</v>
      </c>
      <c r="E2711" t="str">
        <f>_xlfn.XLOOKUP($A2711,Load!$B:$B,Load!F:F,0,)</f>
        <v>Mixed / Combo Packs (Gummy, Chewy, Taffy, etc.)</v>
      </c>
      <c r="F2711" t="str">
        <f>_xlfn.XLOOKUP($A2711,Load!$B:$B,Load!G:G,0,)</f>
        <v>Medium Multipack (40–80 ct)</v>
      </c>
      <c r="G2711" t="str">
        <f>_xlfn.XLOOKUP($A2711,Load!$B:$B,Load!H:H,0,)</f>
        <v>Laydown Bag</v>
      </c>
      <c r="H2711" t="str">
        <f>_xlfn.XLOOKUP($A2711,Load!$B:$B,Load!I:I,0,)</f>
        <v>Everyday Candy Shapes (like Original, Gummy bear, Fruit, Jewels, etc.)</v>
      </c>
      <c r="I2711" t="str">
        <f>_xlfn.XLOOKUP($A2711,Load!$B:$B,Load!J:J,0,)</f>
        <v>Seasonal Graphics (Like Bat, Ghost, Pumpkin, Fall Leaves, Eyeballs, etc.)</v>
      </c>
      <c r="J2711" t="str">
        <f>_xlfn.XLOOKUP($A2711,Load!$B:$B,Load!K:K,0,)</f>
        <v>Fun Size / Treat Size</v>
      </c>
      <c r="K2711" t="str">
        <f>_xlfn.XLOOKUP($A2711,Load!$B:$B,Load!L:L,0,)</f>
        <v>Regular/Original Wrapping</v>
      </c>
      <c r="L2711" t="str">
        <f>_xlfn.XLOOKUP($A2711,Load!$B:$B,Load!M:M,0,)</f>
        <v>Single Brand / Variety Flavors or Form</v>
      </c>
    </row>
    <row r="2712" spans="1:12" x14ac:dyDescent="0.25">
      <c r="B2712">
        <f>_xlfn.XLOOKUP($A2712,Load!$B:$B,Load!C:C,0,)</f>
        <v>0</v>
      </c>
      <c r="C2712">
        <f>_xlfn.XLOOKUP($A2712,Load!$B:$B,Load!D:D,0,)</f>
        <v>0</v>
      </c>
      <c r="D2712">
        <f>_xlfn.XLOOKUP($A2712,Load!$B:$B,Load!E:E,0,)</f>
        <v>0</v>
      </c>
      <c r="E2712">
        <f>_xlfn.XLOOKUP($A2712,Load!$B:$B,Load!F:F,0,)</f>
        <v>0</v>
      </c>
      <c r="F2712">
        <f>_xlfn.XLOOKUP($A2712,Load!$B:$B,Load!G:G,0,)</f>
        <v>0</v>
      </c>
      <c r="G2712">
        <f>_xlfn.XLOOKUP($A2712,Load!$B:$B,Load!H:H,0,)</f>
        <v>0</v>
      </c>
      <c r="H2712">
        <f>_xlfn.XLOOKUP($A2712,Load!$B:$B,Load!I:I,0,)</f>
        <v>0</v>
      </c>
      <c r="I2712">
        <f>_xlfn.XLOOKUP($A2712,Load!$B:$B,Load!J:J,0,)</f>
        <v>0</v>
      </c>
      <c r="J2712">
        <f>_xlfn.XLOOKUP($A2712,Load!$B:$B,Load!K:K,0,)</f>
        <v>0</v>
      </c>
      <c r="K2712">
        <f>_xlfn.XLOOKUP($A2712,Load!$B:$B,Load!L:L,0,)</f>
        <v>0</v>
      </c>
      <c r="L2712">
        <f>_xlfn.XLOOKUP($A2712,Load!$B:$B,Load!M:M,0,)</f>
        <v>0</v>
      </c>
    </row>
    <row r="2713" spans="1:12" x14ac:dyDescent="0.25">
      <c r="B2713">
        <f>_xlfn.XLOOKUP($A2713,Load!$B:$B,Load!C:C,0,)</f>
        <v>0</v>
      </c>
      <c r="C2713">
        <f>_xlfn.XLOOKUP($A2713,Load!$B:$B,Load!D:D,0,)</f>
        <v>0</v>
      </c>
      <c r="D2713">
        <f>_xlfn.XLOOKUP($A2713,Load!$B:$B,Load!E:E,0,)</f>
        <v>0</v>
      </c>
      <c r="E2713">
        <f>_xlfn.XLOOKUP($A2713,Load!$B:$B,Load!F:F,0,)</f>
        <v>0</v>
      </c>
      <c r="F2713">
        <f>_xlfn.XLOOKUP($A2713,Load!$B:$B,Load!G:G,0,)</f>
        <v>0</v>
      </c>
      <c r="G2713">
        <f>_xlfn.XLOOKUP($A2713,Load!$B:$B,Load!H:H,0,)</f>
        <v>0</v>
      </c>
      <c r="H2713">
        <f>_xlfn.XLOOKUP($A2713,Load!$B:$B,Load!I:I,0,)</f>
        <v>0</v>
      </c>
      <c r="I2713">
        <f>_xlfn.XLOOKUP($A2713,Load!$B:$B,Load!J:J,0,)</f>
        <v>0</v>
      </c>
      <c r="J2713">
        <f>_xlfn.XLOOKUP($A2713,Load!$B:$B,Load!K:K,0,)</f>
        <v>0</v>
      </c>
      <c r="K2713">
        <f>_xlfn.XLOOKUP($A2713,Load!$B:$B,Load!L:L,0,)</f>
        <v>0</v>
      </c>
      <c r="L2713">
        <f>_xlfn.XLOOKUP($A2713,Load!$B:$B,Load!M:M,0,)</f>
        <v>0</v>
      </c>
    </row>
    <row r="2714" spans="1:12" x14ac:dyDescent="0.25">
      <c r="B2714">
        <f>_xlfn.XLOOKUP($A2714,Load!$B:$B,Load!C:C,0,)</f>
        <v>0</v>
      </c>
      <c r="C2714">
        <f>_xlfn.XLOOKUP($A2714,Load!$B:$B,Load!D:D,0,)</f>
        <v>0</v>
      </c>
      <c r="D2714">
        <f>_xlfn.XLOOKUP($A2714,Load!$B:$B,Load!E:E,0,)</f>
        <v>0</v>
      </c>
      <c r="E2714">
        <f>_xlfn.XLOOKUP($A2714,Load!$B:$B,Load!F:F,0,)</f>
        <v>0</v>
      </c>
      <c r="F2714">
        <f>_xlfn.XLOOKUP($A2714,Load!$B:$B,Load!G:G,0,)</f>
        <v>0</v>
      </c>
      <c r="G2714">
        <f>_xlfn.XLOOKUP($A2714,Load!$B:$B,Load!H:H,0,)</f>
        <v>0</v>
      </c>
      <c r="H2714">
        <f>_xlfn.XLOOKUP($A2714,Load!$B:$B,Load!I:I,0,)</f>
        <v>0</v>
      </c>
      <c r="I2714">
        <f>_xlfn.XLOOKUP($A2714,Load!$B:$B,Load!J:J,0,)</f>
        <v>0</v>
      </c>
      <c r="J2714">
        <f>_xlfn.XLOOKUP($A2714,Load!$B:$B,Load!K:K,0,)</f>
        <v>0</v>
      </c>
      <c r="K2714">
        <f>_xlfn.XLOOKUP($A2714,Load!$B:$B,Load!L:L,0,)</f>
        <v>0</v>
      </c>
      <c r="L2714">
        <f>_xlfn.XLOOKUP($A2714,Load!$B:$B,Load!M:M,0,)</f>
        <v>0</v>
      </c>
    </row>
    <row r="2715" spans="1:12" x14ac:dyDescent="0.25">
      <c r="B2715">
        <f>_xlfn.XLOOKUP($A2715,Load!$B:$B,Load!C:C,0,)</f>
        <v>0</v>
      </c>
      <c r="C2715">
        <f>_xlfn.XLOOKUP($A2715,Load!$B:$B,Load!D:D,0,)</f>
        <v>0</v>
      </c>
      <c r="D2715">
        <f>_xlfn.XLOOKUP($A2715,Load!$B:$B,Load!E:E,0,)</f>
        <v>0</v>
      </c>
      <c r="E2715">
        <f>_xlfn.XLOOKUP($A2715,Load!$B:$B,Load!F:F,0,)</f>
        <v>0</v>
      </c>
      <c r="F2715">
        <f>_xlfn.XLOOKUP($A2715,Load!$B:$B,Load!G:G,0,)</f>
        <v>0</v>
      </c>
      <c r="G2715">
        <f>_xlfn.XLOOKUP($A2715,Load!$B:$B,Load!H:H,0,)</f>
        <v>0</v>
      </c>
      <c r="H2715">
        <f>_xlfn.XLOOKUP($A2715,Load!$B:$B,Load!I:I,0,)</f>
        <v>0</v>
      </c>
      <c r="I2715">
        <f>_xlfn.XLOOKUP($A2715,Load!$B:$B,Load!J:J,0,)</f>
        <v>0</v>
      </c>
      <c r="J2715">
        <f>_xlfn.XLOOKUP($A2715,Load!$B:$B,Load!K:K,0,)</f>
        <v>0</v>
      </c>
      <c r="K2715">
        <f>_xlfn.XLOOKUP($A2715,Load!$B:$B,Load!L:L,0,)</f>
        <v>0</v>
      </c>
      <c r="L2715">
        <f>_xlfn.XLOOKUP($A2715,Load!$B:$B,Load!M:M,0,)</f>
        <v>0</v>
      </c>
    </row>
    <row r="2716" spans="1:12" x14ac:dyDescent="0.25">
      <c r="A2716" t="s">
        <v>280</v>
      </c>
      <c r="B2716" t="str">
        <f>_xlfn.XLOOKUP($A2716,Load!$B:$B,Load!C:C,0,)</f>
        <v>Sour Patch Kids</v>
      </c>
      <c r="C2716" t="str">
        <f>_xlfn.XLOOKUP($A2716,Load!$B:$B,Load!D:D,0,)</f>
        <v>Non-Chocolate Candy Only</v>
      </c>
      <c r="D2716" t="str">
        <f>_xlfn.XLOOKUP($A2716,Load!$B:$B,Load!E:E,0,)</f>
        <v>Sour</v>
      </c>
      <c r="E2716" t="str">
        <f>_xlfn.XLOOKUP($A2716,Load!$B:$B,Load!F:F,0,)</f>
        <v>Chewy</v>
      </c>
      <c r="F2716" t="str">
        <f>_xlfn.XLOOKUP($A2716,Load!$B:$B,Load!G:G,0,)</f>
        <v>Medium Multipack (40–80 ct)</v>
      </c>
      <c r="G2716" t="str">
        <f>_xlfn.XLOOKUP($A2716,Load!$B:$B,Load!H:H,0,)</f>
        <v>Laydown Bag</v>
      </c>
      <c r="H2716" t="str">
        <f>_xlfn.XLOOKUP($A2716,Load!$B:$B,Load!I:I,0,)</f>
        <v>Seasonal Shapes (like pumpkins, candy corn, ghost, bats, etc.)</v>
      </c>
      <c r="I2716" t="str">
        <f>_xlfn.XLOOKUP($A2716,Load!$B:$B,Load!J:J,0,)</f>
        <v>Seasonal Graphics (Like Bat, Ghost, Pumpkin, Fall Leaves, Eyeballs, etc.)</v>
      </c>
      <c r="J2716" t="str">
        <f>_xlfn.XLOOKUP($A2716,Load!$B:$B,Load!K:K,0,)</f>
        <v>Small Pieces (Tiny bite size candies)</v>
      </c>
      <c r="K2716" t="str">
        <f>_xlfn.XLOOKUP($A2716,Load!$B:$B,Load!L:L,0,)</f>
        <v>Regular/Original Wrapping</v>
      </c>
      <c r="L2716" t="str">
        <f>_xlfn.XLOOKUP($A2716,Load!$B:$B,Load!M:M,0,)</f>
        <v>Single Brand / Variety Flavors or Form</v>
      </c>
    </row>
    <row r="2717" spans="1:12" x14ac:dyDescent="0.25">
      <c r="B2717">
        <f>_xlfn.XLOOKUP($A2717,Load!$B:$B,Load!C:C,0,)</f>
        <v>0</v>
      </c>
      <c r="C2717">
        <f>_xlfn.XLOOKUP($A2717,Load!$B:$B,Load!D:D,0,)</f>
        <v>0</v>
      </c>
      <c r="D2717">
        <f>_xlfn.XLOOKUP($A2717,Load!$B:$B,Load!E:E,0,)</f>
        <v>0</v>
      </c>
      <c r="E2717">
        <f>_xlfn.XLOOKUP($A2717,Load!$B:$B,Load!F:F,0,)</f>
        <v>0</v>
      </c>
      <c r="F2717">
        <f>_xlfn.XLOOKUP($A2717,Load!$B:$B,Load!G:G,0,)</f>
        <v>0</v>
      </c>
      <c r="G2717">
        <f>_xlfn.XLOOKUP($A2717,Load!$B:$B,Load!H:H,0,)</f>
        <v>0</v>
      </c>
      <c r="H2717">
        <f>_xlfn.XLOOKUP($A2717,Load!$B:$B,Load!I:I,0,)</f>
        <v>0</v>
      </c>
      <c r="I2717">
        <f>_xlfn.XLOOKUP($A2717,Load!$B:$B,Load!J:J,0,)</f>
        <v>0</v>
      </c>
      <c r="J2717">
        <f>_xlfn.XLOOKUP($A2717,Load!$B:$B,Load!K:K,0,)</f>
        <v>0</v>
      </c>
      <c r="K2717">
        <f>_xlfn.XLOOKUP($A2717,Load!$B:$B,Load!L:L,0,)</f>
        <v>0</v>
      </c>
      <c r="L2717">
        <f>_xlfn.XLOOKUP($A2717,Load!$B:$B,Load!M:M,0,)</f>
        <v>0</v>
      </c>
    </row>
    <row r="2718" spans="1:12" x14ac:dyDescent="0.25">
      <c r="A2718" t="s">
        <v>278</v>
      </c>
      <c r="B2718" t="str">
        <f>_xlfn.XLOOKUP($A2718,Load!$B:$B,Load!C:C,0,)</f>
        <v>Sour Patch Kids</v>
      </c>
      <c r="C2718" t="str">
        <f>_xlfn.XLOOKUP($A2718,Load!$B:$B,Load!D:D,0,)</f>
        <v>Non-Chocolate Candy Only</v>
      </c>
      <c r="D2718" t="str">
        <f>_xlfn.XLOOKUP($A2718,Load!$B:$B,Load!E:E,0,)</f>
        <v>Sour</v>
      </c>
      <c r="E2718" t="str">
        <f>_xlfn.XLOOKUP($A2718,Load!$B:$B,Load!F:F,0,)</f>
        <v>Chewy</v>
      </c>
      <c r="F2718" t="str">
        <f>_xlfn.XLOOKUP($A2718,Load!$B:$B,Load!G:G,0,)</f>
        <v>Single Pack</v>
      </c>
      <c r="G2718" t="str">
        <f>_xlfn.XLOOKUP($A2718,Load!$B:$B,Load!H:H,0,)</f>
        <v>Peg Bag</v>
      </c>
      <c r="H2718" t="str">
        <f>_xlfn.XLOOKUP($A2718,Load!$B:$B,Load!I:I,0,)</f>
        <v>Everyday Candy Shapes (like Original, Gummy bear, Fruit, Jewels, etc.)</v>
      </c>
      <c r="I2718" t="str">
        <f>_xlfn.XLOOKUP($A2718,Load!$B:$B,Load!J:J,0,)</f>
        <v>Seasonal Graphics (Like Bat, Ghost, Pumpkin, Fall Leaves, Eyeballs, etc.)</v>
      </c>
      <c r="J2718" t="str">
        <f>_xlfn.XLOOKUP($A2718,Load!$B:$B,Load!K:K,0,)</f>
        <v>Small Pieces (Tiny bite size candies)</v>
      </c>
      <c r="K2718" t="str">
        <f>_xlfn.XLOOKUP($A2718,Load!$B:$B,Load!L:L,0,)</f>
        <v>Regular/Original Wrapping</v>
      </c>
      <c r="L2718" t="str">
        <f>_xlfn.XLOOKUP($A2718,Load!$B:$B,Load!M:M,0,)</f>
        <v>Single Brand / Variety Flavors or Form</v>
      </c>
    </row>
    <row r="2719" spans="1:12" x14ac:dyDescent="0.25">
      <c r="A2719" t="s">
        <v>328</v>
      </c>
      <c r="B2719" t="str">
        <f>_xlfn.XLOOKUP($A2719,Load!$B:$B,Load!C:C,0,)</f>
        <v>Googly Eyes</v>
      </c>
      <c r="C2719" t="str">
        <f>_xlfn.XLOOKUP($A2719,Load!$B:$B,Load!D:D,0,)</f>
        <v>Non-Chocolate Candy Only</v>
      </c>
      <c r="D2719" t="str">
        <f>_xlfn.XLOOKUP($A2719,Load!$B:$B,Load!E:E,0,)</f>
        <v>Variety / Mixed Flavors (Fruity, Sour, Seasonal Flavors)</v>
      </c>
      <c r="E2719" t="str">
        <f>_xlfn.XLOOKUP($A2719,Load!$B:$B,Load!F:F,0,)</f>
        <v>Candy Pieces / Bites</v>
      </c>
      <c r="F2719" t="str">
        <f>_xlfn.XLOOKUP($A2719,Load!$B:$B,Load!G:G,0,)</f>
        <v>Single Pack</v>
      </c>
      <c r="G2719" t="str">
        <f>_xlfn.XLOOKUP($A2719,Load!$B:$B,Load!H:H,0,)</f>
        <v>Plastic Cup / Container</v>
      </c>
      <c r="H2719" t="str">
        <f>_xlfn.XLOOKUP($A2719,Load!$B:$B,Load!I:I,0,)</f>
        <v>Seasonal Shapes (like pumpkins, candy corn, ghost, bats, etc.)</v>
      </c>
      <c r="I2719" t="str">
        <f>_xlfn.XLOOKUP($A2719,Load!$B:$B,Load!J:J,0,)</f>
        <v>Seasonal Graphics (Like Bat, Ghost, Pumpkin, Fall Leaves, Eyeballs, etc.)</v>
      </c>
      <c r="J2719" t="str">
        <f>_xlfn.XLOOKUP($A2719,Load!$B:$B,Load!K:K,0,)</f>
        <v>Fun Size / Treat Size</v>
      </c>
      <c r="K2719" t="str">
        <f>_xlfn.XLOOKUP($A2719,Load!$B:$B,Load!L:L,0,)</f>
        <v>Regular/Original Wrapping</v>
      </c>
      <c r="L2719" t="str">
        <f>_xlfn.XLOOKUP($A2719,Load!$B:$B,Load!M:M,0,)</f>
        <v>Single Brand / Variety Flavors or Form</v>
      </c>
    </row>
    <row r="2720" spans="1:12" x14ac:dyDescent="0.25">
      <c r="B2720">
        <f>_xlfn.XLOOKUP($A2720,Load!$B:$B,Load!C:C,0,)</f>
        <v>0</v>
      </c>
      <c r="C2720">
        <f>_xlfn.XLOOKUP($A2720,Load!$B:$B,Load!D:D,0,)</f>
        <v>0</v>
      </c>
      <c r="D2720">
        <f>_xlfn.XLOOKUP($A2720,Load!$B:$B,Load!E:E,0,)</f>
        <v>0</v>
      </c>
      <c r="E2720">
        <f>_xlfn.XLOOKUP($A2720,Load!$B:$B,Load!F:F,0,)</f>
        <v>0</v>
      </c>
      <c r="F2720">
        <f>_xlfn.XLOOKUP($A2720,Load!$B:$B,Load!G:G,0,)</f>
        <v>0</v>
      </c>
      <c r="G2720">
        <f>_xlfn.XLOOKUP($A2720,Load!$B:$B,Load!H:H,0,)</f>
        <v>0</v>
      </c>
      <c r="H2720">
        <f>_xlfn.XLOOKUP($A2720,Load!$B:$B,Load!I:I,0,)</f>
        <v>0</v>
      </c>
      <c r="I2720">
        <f>_xlfn.XLOOKUP($A2720,Load!$B:$B,Load!J:J,0,)</f>
        <v>0</v>
      </c>
      <c r="J2720">
        <f>_xlfn.XLOOKUP($A2720,Load!$B:$B,Load!K:K,0,)</f>
        <v>0</v>
      </c>
      <c r="K2720">
        <f>_xlfn.XLOOKUP($A2720,Load!$B:$B,Load!L:L,0,)</f>
        <v>0</v>
      </c>
      <c r="L2720">
        <f>_xlfn.XLOOKUP($A2720,Load!$B:$B,Load!M:M,0,)</f>
        <v>0</v>
      </c>
    </row>
    <row r="2721" spans="1:12" x14ac:dyDescent="0.25">
      <c r="B2721">
        <f>_xlfn.XLOOKUP($A2721,Load!$B:$B,Load!C:C,0,)</f>
        <v>0</v>
      </c>
      <c r="C2721">
        <f>_xlfn.XLOOKUP($A2721,Load!$B:$B,Load!D:D,0,)</f>
        <v>0</v>
      </c>
      <c r="D2721">
        <f>_xlfn.XLOOKUP($A2721,Load!$B:$B,Load!E:E,0,)</f>
        <v>0</v>
      </c>
      <c r="E2721">
        <f>_xlfn.XLOOKUP($A2721,Load!$B:$B,Load!F:F,0,)</f>
        <v>0</v>
      </c>
      <c r="F2721">
        <f>_xlfn.XLOOKUP($A2721,Load!$B:$B,Load!G:G,0,)</f>
        <v>0</v>
      </c>
      <c r="G2721">
        <f>_xlfn.XLOOKUP($A2721,Load!$B:$B,Load!H:H,0,)</f>
        <v>0</v>
      </c>
      <c r="H2721">
        <f>_xlfn.XLOOKUP($A2721,Load!$B:$B,Load!I:I,0,)</f>
        <v>0</v>
      </c>
      <c r="I2721">
        <f>_xlfn.XLOOKUP($A2721,Load!$B:$B,Load!J:J,0,)</f>
        <v>0</v>
      </c>
      <c r="J2721">
        <f>_xlfn.XLOOKUP($A2721,Load!$B:$B,Load!K:K,0,)</f>
        <v>0</v>
      </c>
      <c r="K2721">
        <f>_xlfn.XLOOKUP($A2721,Load!$B:$B,Load!L:L,0,)</f>
        <v>0</v>
      </c>
      <c r="L2721">
        <f>_xlfn.XLOOKUP($A2721,Load!$B:$B,Load!M:M,0,)</f>
        <v>0</v>
      </c>
    </row>
    <row r="2722" spans="1:12" x14ac:dyDescent="0.25">
      <c r="B2722">
        <f>_xlfn.XLOOKUP($A2722,Load!$B:$B,Load!C:C,0,)</f>
        <v>0</v>
      </c>
      <c r="C2722">
        <f>_xlfn.XLOOKUP($A2722,Load!$B:$B,Load!D:D,0,)</f>
        <v>0</v>
      </c>
      <c r="D2722">
        <f>_xlfn.XLOOKUP($A2722,Load!$B:$B,Load!E:E,0,)</f>
        <v>0</v>
      </c>
      <c r="E2722">
        <f>_xlfn.XLOOKUP($A2722,Load!$B:$B,Load!F:F,0,)</f>
        <v>0</v>
      </c>
      <c r="F2722">
        <f>_xlfn.XLOOKUP($A2722,Load!$B:$B,Load!G:G,0,)</f>
        <v>0</v>
      </c>
      <c r="G2722">
        <f>_xlfn.XLOOKUP($A2722,Load!$B:$B,Load!H:H,0,)</f>
        <v>0</v>
      </c>
      <c r="H2722">
        <f>_xlfn.XLOOKUP($A2722,Load!$B:$B,Load!I:I,0,)</f>
        <v>0</v>
      </c>
      <c r="I2722">
        <f>_xlfn.XLOOKUP($A2722,Load!$B:$B,Load!J:J,0,)</f>
        <v>0</v>
      </c>
      <c r="J2722">
        <f>_xlfn.XLOOKUP($A2722,Load!$B:$B,Load!K:K,0,)</f>
        <v>0</v>
      </c>
      <c r="K2722">
        <f>_xlfn.XLOOKUP($A2722,Load!$B:$B,Load!L:L,0,)</f>
        <v>0</v>
      </c>
      <c r="L2722">
        <f>_xlfn.XLOOKUP($A2722,Load!$B:$B,Load!M:M,0,)</f>
        <v>0</v>
      </c>
    </row>
    <row r="2723" spans="1:12" x14ac:dyDescent="0.25">
      <c r="B2723">
        <f>_xlfn.XLOOKUP($A2723,Load!$B:$B,Load!C:C,0,)</f>
        <v>0</v>
      </c>
      <c r="C2723">
        <f>_xlfn.XLOOKUP($A2723,Load!$B:$B,Load!D:D,0,)</f>
        <v>0</v>
      </c>
      <c r="D2723">
        <f>_xlfn.XLOOKUP($A2723,Load!$B:$B,Load!E:E,0,)</f>
        <v>0</v>
      </c>
      <c r="E2723">
        <f>_xlfn.XLOOKUP($A2723,Load!$B:$B,Load!F:F,0,)</f>
        <v>0</v>
      </c>
      <c r="F2723">
        <f>_xlfn.XLOOKUP($A2723,Load!$B:$B,Load!G:G,0,)</f>
        <v>0</v>
      </c>
      <c r="G2723">
        <f>_xlfn.XLOOKUP($A2723,Load!$B:$B,Load!H:H,0,)</f>
        <v>0</v>
      </c>
      <c r="H2723">
        <f>_xlfn.XLOOKUP($A2723,Load!$B:$B,Load!I:I,0,)</f>
        <v>0</v>
      </c>
      <c r="I2723">
        <f>_xlfn.XLOOKUP($A2723,Load!$B:$B,Load!J:J,0,)</f>
        <v>0</v>
      </c>
      <c r="J2723">
        <f>_xlfn.XLOOKUP($A2723,Load!$B:$B,Load!K:K,0,)</f>
        <v>0</v>
      </c>
      <c r="K2723">
        <f>_xlfn.XLOOKUP($A2723,Load!$B:$B,Load!L:L,0,)</f>
        <v>0</v>
      </c>
      <c r="L2723">
        <f>_xlfn.XLOOKUP($A2723,Load!$B:$B,Load!M:M,0,)</f>
        <v>0</v>
      </c>
    </row>
    <row r="2724" spans="1:12" x14ac:dyDescent="0.25">
      <c r="A2724" t="s">
        <v>271</v>
      </c>
      <c r="B2724" t="str">
        <f>_xlfn.XLOOKUP($A2724,Load!$B:$B,Load!C:C,0,)</f>
        <v>Sour Patch Kids</v>
      </c>
      <c r="C2724" t="str">
        <f>_xlfn.XLOOKUP($A2724,Load!$B:$B,Load!D:D,0,)</f>
        <v>Non-Chocolate Candy Only</v>
      </c>
      <c r="D2724" t="str">
        <f>_xlfn.XLOOKUP($A2724,Load!$B:$B,Load!E:E,0,)</f>
        <v>Sour</v>
      </c>
      <c r="E2724" t="str">
        <f>_xlfn.XLOOKUP($A2724,Load!$B:$B,Load!F:F,0,)</f>
        <v>Chewy</v>
      </c>
      <c r="F2724" t="str">
        <f>_xlfn.XLOOKUP($A2724,Load!$B:$B,Load!G:G,0,)</f>
        <v>Medium Multipack (40–80 ct)</v>
      </c>
      <c r="G2724" t="str">
        <f>_xlfn.XLOOKUP($A2724,Load!$B:$B,Load!H:H,0,)</f>
        <v>Laydown Bag</v>
      </c>
      <c r="H2724" t="str">
        <f>_xlfn.XLOOKUP($A2724,Load!$B:$B,Load!I:I,0,)</f>
        <v>Everyday Candy Shapes (like Original, Gummy bear, Fruit, Jewels, etc.)</v>
      </c>
      <c r="I2724" t="str">
        <f>_xlfn.XLOOKUP($A2724,Load!$B:$B,Load!J:J,0,)</f>
        <v>Seasonal Graphics (Like Bat, Ghost, Pumpkin, Fall Leaves, Eyeballs, etc.)</v>
      </c>
      <c r="J2724" t="str">
        <f>_xlfn.XLOOKUP($A2724,Load!$B:$B,Load!K:K,0,)</f>
        <v>Small Pieces (Tiny bite size candies)</v>
      </c>
      <c r="K2724" t="str">
        <f>_xlfn.XLOOKUP($A2724,Load!$B:$B,Load!L:L,0,)</f>
        <v>Regular/Original Wrapping</v>
      </c>
      <c r="L2724" t="str">
        <f>_xlfn.XLOOKUP($A2724,Load!$B:$B,Load!M:M,0,)</f>
        <v>Single Brand / Variety Flavors or Form</v>
      </c>
    </row>
    <row r="2725" spans="1:12" x14ac:dyDescent="0.25">
      <c r="B2725">
        <f>_xlfn.XLOOKUP($A2725,Load!$B:$B,Load!C:C,0,)</f>
        <v>0</v>
      </c>
      <c r="C2725">
        <f>_xlfn.XLOOKUP($A2725,Load!$B:$B,Load!D:D,0,)</f>
        <v>0</v>
      </c>
      <c r="D2725">
        <f>_xlfn.XLOOKUP($A2725,Load!$B:$B,Load!E:E,0,)</f>
        <v>0</v>
      </c>
      <c r="E2725">
        <f>_xlfn.XLOOKUP($A2725,Load!$B:$B,Load!F:F,0,)</f>
        <v>0</v>
      </c>
      <c r="F2725">
        <f>_xlfn.XLOOKUP($A2725,Load!$B:$B,Load!G:G,0,)</f>
        <v>0</v>
      </c>
      <c r="G2725">
        <f>_xlfn.XLOOKUP($A2725,Load!$B:$B,Load!H:H,0,)</f>
        <v>0</v>
      </c>
      <c r="H2725">
        <f>_xlfn.XLOOKUP($A2725,Load!$B:$B,Load!I:I,0,)</f>
        <v>0</v>
      </c>
      <c r="I2725">
        <f>_xlfn.XLOOKUP($A2725,Load!$B:$B,Load!J:J,0,)</f>
        <v>0</v>
      </c>
      <c r="J2725">
        <f>_xlfn.XLOOKUP($A2725,Load!$B:$B,Load!K:K,0,)</f>
        <v>0</v>
      </c>
      <c r="K2725">
        <f>_xlfn.XLOOKUP($A2725,Load!$B:$B,Load!L:L,0,)</f>
        <v>0</v>
      </c>
      <c r="L2725">
        <f>_xlfn.XLOOKUP($A2725,Load!$B:$B,Load!M:M,0,)</f>
        <v>0</v>
      </c>
    </row>
    <row r="2726" spans="1:12" x14ac:dyDescent="0.25">
      <c r="B2726">
        <f>_xlfn.XLOOKUP($A2726,Load!$B:$B,Load!C:C,0,)</f>
        <v>0</v>
      </c>
      <c r="C2726">
        <f>_xlfn.XLOOKUP($A2726,Load!$B:$B,Load!D:D,0,)</f>
        <v>0</v>
      </c>
      <c r="D2726">
        <f>_xlfn.XLOOKUP($A2726,Load!$B:$B,Load!E:E,0,)</f>
        <v>0</v>
      </c>
      <c r="E2726">
        <f>_xlfn.XLOOKUP($A2726,Load!$B:$B,Load!F:F,0,)</f>
        <v>0</v>
      </c>
      <c r="F2726">
        <f>_xlfn.XLOOKUP($A2726,Load!$B:$B,Load!G:G,0,)</f>
        <v>0</v>
      </c>
      <c r="G2726">
        <f>_xlfn.XLOOKUP($A2726,Load!$B:$B,Load!H:H,0,)</f>
        <v>0</v>
      </c>
      <c r="H2726">
        <f>_xlfn.XLOOKUP($A2726,Load!$B:$B,Load!I:I,0,)</f>
        <v>0</v>
      </c>
      <c r="I2726">
        <f>_xlfn.XLOOKUP($A2726,Load!$B:$B,Load!J:J,0,)</f>
        <v>0</v>
      </c>
      <c r="J2726">
        <f>_xlfn.XLOOKUP($A2726,Load!$B:$B,Load!K:K,0,)</f>
        <v>0</v>
      </c>
      <c r="K2726">
        <f>_xlfn.XLOOKUP($A2726,Load!$B:$B,Load!L:L,0,)</f>
        <v>0</v>
      </c>
      <c r="L2726">
        <f>_xlfn.XLOOKUP($A2726,Load!$B:$B,Load!M:M,0,)</f>
        <v>0</v>
      </c>
    </row>
    <row r="2727" spans="1:12" x14ac:dyDescent="0.25">
      <c r="B2727">
        <f>_xlfn.XLOOKUP($A2727,Load!$B:$B,Load!C:C,0,)</f>
        <v>0</v>
      </c>
      <c r="C2727">
        <f>_xlfn.XLOOKUP($A2727,Load!$B:$B,Load!D:D,0,)</f>
        <v>0</v>
      </c>
      <c r="D2727">
        <f>_xlfn.XLOOKUP($A2727,Load!$B:$B,Load!E:E,0,)</f>
        <v>0</v>
      </c>
      <c r="E2727">
        <f>_xlfn.XLOOKUP($A2727,Load!$B:$B,Load!F:F,0,)</f>
        <v>0</v>
      </c>
      <c r="F2727">
        <f>_xlfn.XLOOKUP($A2727,Load!$B:$B,Load!G:G,0,)</f>
        <v>0</v>
      </c>
      <c r="G2727">
        <f>_xlfn.XLOOKUP($A2727,Load!$B:$B,Load!H:H,0,)</f>
        <v>0</v>
      </c>
      <c r="H2727">
        <f>_xlfn.XLOOKUP($A2727,Load!$B:$B,Load!I:I,0,)</f>
        <v>0</v>
      </c>
      <c r="I2727">
        <f>_xlfn.XLOOKUP($A2727,Load!$B:$B,Load!J:J,0,)</f>
        <v>0</v>
      </c>
      <c r="J2727">
        <f>_xlfn.XLOOKUP($A2727,Load!$B:$B,Load!K:K,0,)</f>
        <v>0</v>
      </c>
      <c r="K2727">
        <f>_xlfn.XLOOKUP($A2727,Load!$B:$B,Load!L:L,0,)</f>
        <v>0</v>
      </c>
      <c r="L2727">
        <f>_xlfn.XLOOKUP($A2727,Load!$B:$B,Load!M:M,0,)</f>
        <v>0</v>
      </c>
    </row>
    <row r="2728" spans="1:12" x14ac:dyDescent="0.25">
      <c r="B2728">
        <f>_xlfn.XLOOKUP($A2728,Load!$B:$B,Load!C:C,0,)</f>
        <v>0</v>
      </c>
      <c r="C2728">
        <f>_xlfn.XLOOKUP($A2728,Load!$B:$B,Load!D:D,0,)</f>
        <v>0</v>
      </c>
      <c r="D2728">
        <f>_xlfn.XLOOKUP($A2728,Load!$B:$B,Load!E:E,0,)</f>
        <v>0</v>
      </c>
      <c r="E2728">
        <f>_xlfn.XLOOKUP($A2728,Load!$B:$B,Load!F:F,0,)</f>
        <v>0</v>
      </c>
      <c r="F2728">
        <f>_xlfn.XLOOKUP($A2728,Load!$B:$B,Load!G:G,0,)</f>
        <v>0</v>
      </c>
      <c r="G2728">
        <f>_xlfn.XLOOKUP($A2728,Load!$B:$B,Load!H:H,0,)</f>
        <v>0</v>
      </c>
      <c r="H2728">
        <f>_xlfn.XLOOKUP($A2728,Load!$B:$B,Load!I:I,0,)</f>
        <v>0</v>
      </c>
      <c r="I2728">
        <f>_xlfn.XLOOKUP($A2728,Load!$B:$B,Load!J:J,0,)</f>
        <v>0</v>
      </c>
      <c r="J2728">
        <f>_xlfn.XLOOKUP($A2728,Load!$B:$B,Load!K:K,0,)</f>
        <v>0</v>
      </c>
      <c r="K2728">
        <f>_xlfn.XLOOKUP($A2728,Load!$B:$B,Load!L:L,0,)</f>
        <v>0</v>
      </c>
      <c r="L2728">
        <f>_xlfn.XLOOKUP($A2728,Load!$B:$B,Load!M:M,0,)</f>
        <v>0</v>
      </c>
    </row>
    <row r="2729" spans="1:12" x14ac:dyDescent="0.25">
      <c r="B2729">
        <f>_xlfn.XLOOKUP($A2729,Load!$B:$B,Load!C:C,0,)</f>
        <v>0</v>
      </c>
      <c r="C2729">
        <f>_xlfn.XLOOKUP($A2729,Load!$B:$B,Load!D:D,0,)</f>
        <v>0</v>
      </c>
      <c r="D2729">
        <f>_xlfn.XLOOKUP($A2729,Load!$B:$B,Load!E:E,0,)</f>
        <v>0</v>
      </c>
      <c r="E2729">
        <f>_xlfn.XLOOKUP($A2729,Load!$B:$B,Load!F:F,0,)</f>
        <v>0</v>
      </c>
      <c r="F2729">
        <f>_xlfn.XLOOKUP($A2729,Load!$B:$B,Load!G:G,0,)</f>
        <v>0</v>
      </c>
      <c r="G2729">
        <f>_xlfn.XLOOKUP($A2729,Load!$B:$B,Load!H:H,0,)</f>
        <v>0</v>
      </c>
      <c r="H2729">
        <f>_xlfn.XLOOKUP($A2729,Load!$B:$B,Load!I:I,0,)</f>
        <v>0</v>
      </c>
      <c r="I2729">
        <f>_xlfn.XLOOKUP($A2729,Load!$B:$B,Load!J:J,0,)</f>
        <v>0</v>
      </c>
      <c r="J2729">
        <f>_xlfn.XLOOKUP($A2729,Load!$B:$B,Load!K:K,0,)</f>
        <v>0</v>
      </c>
      <c r="K2729">
        <f>_xlfn.XLOOKUP($A2729,Load!$B:$B,Load!L:L,0,)</f>
        <v>0</v>
      </c>
      <c r="L2729">
        <f>_xlfn.XLOOKUP($A2729,Load!$B:$B,Load!M:M,0,)</f>
        <v>0</v>
      </c>
    </row>
    <row r="2730" spans="1:12" x14ac:dyDescent="0.25">
      <c r="A2730" t="s">
        <v>147</v>
      </c>
      <c r="B2730" t="str">
        <f>_xlfn.XLOOKUP($A2730,Load!$B:$B,Load!C:C,0,)</f>
        <v>Jelly Belly</v>
      </c>
      <c r="C2730" t="str">
        <f>_xlfn.XLOOKUP($A2730,Load!$B:$B,Load!D:D,0,)</f>
        <v>Non-Chocolate Candy Only</v>
      </c>
      <c r="D2730" t="str">
        <f>_xlfn.XLOOKUP($A2730,Load!$B:$B,Load!E:E,0,)</f>
        <v>Variety / Mixed Flavors (Fruity, Sour, Seasonal Flavors)</v>
      </c>
      <c r="E2730" t="str">
        <f>_xlfn.XLOOKUP($A2730,Load!$B:$B,Load!F:F,0,)</f>
        <v>Candy Pieces / Bites</v>
      </c>
      <c r="F2730" t="str">
        <f>_xlfn.XLOOKUP($A2730,Load!$B:$B,Load!G:G,0,)</f>
        <v>Medium Multipack (40–80 ct)</v>
      </c>
      <c r="G2730" t="str">
        <f>_xlfn.XLOOKUP($A2730,Load!$B:$B,Load!H:H,0,)</f>
        <v>Box (theatre box, gift box, carton)</v>
      </c>
      <c r="H2730" t="str">
        <f>_xlfn.XLOOKUP($A2730,Load!$B:$B,Load!I:I,0,)</f>
        <v>Everyday Candy Shapes (like Original, Gummy bear, Fruit, Jewels, etc.)</v>
      </c>
      <c r="I2730" t="str">
        <f>_xlfn.XLOOKUP($A2730,Load!$B:$B,Load!J:J,0,)</f>
        <v>Everyday Graphics</v>
      </c>
      <c r="J2730" t="str">
        <f>_xlfn.XLOOKUP($A2730,Load!$B:$B,Load!K:K,0,)</f>
        <v>Small Pieces (Tiny bite size candies)</v>
      </c>
      <c r="K2730" t="str">
        <f>_xlfn.XLOOKUP($A2730,Load!$B:$B,Load!L:L,0,)</f>
        <v>Regular/Original Wrapping</v>
      </c>
      <c r="L2730" t="str">
        <f>_xlfn.XLOOKUP($A2730,Load!$B:$B,Load!M:M,0,)</f>
        <v>Single Brand / Variety Flavors or Form</v>
      </c>
    </row>
    <row r="2731" spans="1:12" x14ac:dyDescent="0.25">
      <c r="B2731">
        <f>_xlfn.XLOOKUP($A2731,Load!$B:$B,Load!C:C,0,)</f>
        <v>0</v>
      </c>
      <c r="C2731">
        <f>_xlfn.XLOOKUP($A2731,Load!$B:$B,Load!D:D,0,)</f>
        <v>0</v>
      </c>
      <c r="D2731">
        <f>_xlfn.XLOOKUP($A2731,Load!$B:$B,Load!E:E,0,)</f>
        <v>0</v>
      </c>
      <c r="E2731">
        <f>_xlfn.XLOOKUP($A2731,Load!$B:$B,Load!F:F,0,)</f>
        <v>0</v>
      </c>
      <c r="F2731">
        <f>_xlfn.XLOOKUP($A2731,Load!$B:$B,Load!G:G,0,)</f>
        <v>0</v>
      </c>
      <c r="G2731">
        <f>_xlfn.XLOOKUP($A2731,Load!$B:$B,Load!H:H,0,)</f>
        <v>0</v>
      </c>
      <c r="H2731">
        <f>_xlfn.XLOOKUP($A2731,Load!$B:$B,Load!I:I,0,)</f>
        <v>0</v>
      </c>
      <c r="I2731">
        <f>_xlfn.XLOOKUP($A2731,Load!$B:$B,Load!J:J,0,)</f>
        <v>0</v>
      </c>
      <c r="J2731">
        <f>_xlfn.XLOOKUP($A2731,Load!$B:$B,Load!K:K,0,)</f>
        <v>0</v>
      </c>
      <c r="K2731">
        <f>_xlfn.XLOOKUP($A2731,Load!$B:$B,Load!L:L,0,)</f>
        <v>0</v>
      </c>
      <c r="L2731">
        <f>_xlfn.XLOOKUP($A2731,Load!$B:$B,Load!M:M,0,)</f>
        <v>0</v>
      </c>
    </row>
    <row r="2732" spans="1:12" x14ac:dyDescent="0.25">
      <c r="A2732" t="s">
        <v>229</v>
      </c>
      <c r="B2732" t="str">
        <f>_xlfn.XLOOKUP($A2732,Load!$B:$B,Load!C:C,0,)</f>
        <v>Nerds</v>
      </c>
      <c r="C2732" t="str">
        <f>_xlfn.XLOOKUP($A2732,Load!$B:$B,Load!D:D,0,)</f>
        <v>Non-Chocolate Candy Only</v>
      </c>
      <c r="D2732" t="str">
        <f>_xlfn.XLOOKUP($A2732,Load!$B:$B,Load!E:E,0,)</f>
        <v>Variety / Mixed Flavors (Fruity, Sour, Seasonal Flavors)</v>
      </c>
      <c r="E2732" t="str">
        <f>_xlfn.XLOOKUP($A2732,Load!$B:$B,Load!F:F,0,)</f>
        <v>Gummy</v>
      </c>
      <c r="F2732" t="str">
        <f>_xlfn.XLOOKUP($A2732,Load!$B:$B,Load!G:G,0,)</f>
        <v>Medium Multipack (40–80 ct)</v>
      </c>
      <c r="G2732" t="str">
        <f>_xlfn.XLOOKUP($A2732,Load!$B:$B,Load!H:H,0,)</f>
        <v>Stand-Up Bag</v>
      </c>
      <c r="H2732" t="str">
        <f>_xlfn.XLOOKUP($A2732,Load!$B:$B,Load!I:I,0,)</f>
        <v>Seasonal Shapes (like pumpkins, candy corn, ghost, bats, etc.)</v>
      </c>
      <c r="I2732" t="str">
        <f>_xlfn.XLOOKUP($A2732,Load!$B:$B,Load!J:J,0,)</f>
        <v>Seasonal Graphics (Like Bat, Ghost, Pumpkin, Fall Leaves, Eyeballs, etc.)</v>
      </c>
      <c r="J2732" t="str">
        <f>_xlfn.XLOOKUP($A2732,Load!$B:$B,Load!K:K,0,)</f>
        <v>Fun Size / Treat Size</v>
      </c>
      <c r="K2732" t="str">
        <f>_xlfn.XLOOKUP($A2732,Load!$B:$B,Load!L:L,0,)</f>
        <v>Regular/Original Wrapping</v>
      </c>
      <c r="L2732" t="str">
        <f>_xlfn.XLOOKUP($A2732,Load!$B:$B,Load!M:M,0,)</f>
        <v>Single Brand / Variety Flavors or Form</v>
      </c>
    </row>
    <row r="2733" spans="1:12" x14ac:dyDescent="0.25">
      <c r="B2733">
        <f>_xlfn.XLOOKUP($A2733,Load!$B:$B,Load!C:C,0,)</f>
        <v>0</v>
      </c>
      <c r="C2733">
        <f>_xlfn.XLOOKUP($A2733,Load!$B:$B,Load!D:D,0,)</f>
        <v>0</v>
      </c>
      <c r="D2733">
        <f>_xlfn.XLOOKUP($A2733,Load!$B:$B,Load!E:E,0,)</f>
        <v>0</v>
      </c>
      <c r="E2733">
        <f>_xlfn.XLOOKUP($A2733,Load!$B:$B,Load!F:F,0,)</f>
        <v>0</v>
      </c>
      <c r="F2733">
        <f>_xlfn.XLOOKUP($A2733,Load!$B:$B,Load!G:G,0,)</f>
        <v>0</v>
      </c>
      <c r="G2733">
        <f>_xlfn.XLOOKUP($A2733,Load!$B:$B,Load!H:H,0,)</f>
        <v>0</v>
      </c>
      <c r="H2733">
        <f>_xlfn.XLOOKUP($A2733,Load!$B:$B,Load!I:I,0,)</f>
        <v>0</v>
      </c>
      <c r="I2733">
        <f>_xlfn.XLOOKUP($A2733,Load!$B:$B,Load!J:J,0,)</f>
        <v>0</v>
      </c>
      <c r="J2733">
        <f>_xlfn.XLOOKUP($A2733,Load!$B:$B,Load!K:K,0,)</f>
        <v>0</v>
      </c>
      <c r="K2733">
        <f>_xlfn.XLOOKUP($A2733,Load!$B:$B,Load!L:L,0,)</f>
        <v>0</v>
      </c>
      <c r="L2733">
        <f>_xlfn.XLOOKUP($A2733,Load!$B:$B,Load!M:M,0,)</f>
        <v>0</v>
      </c>
    </row>
    <row r="2734" spans="1:12" x14ac:dyDescent="0.25">
      <c r="A2734" t="s">
        <v>26</v>
      </c>
      <c r="B2734" t="str">
        <f>_xlfn.XLOOKUP($A2734,Load!$B:$B,Load!C:C,0,)</f>
        <v>Albert's Candy Company</v>
      </c>
      <c r="C2734" t="str">
        <f>_xlfn.XLOOKUP($A2734,Load!$B:$B,Load!D:D,0,)</f>
        <v>Non-Chocolate Candy Only</v>
      </c>
      <c r="D2734" t="str">
        <f>_xlfn.XLOOKUP($A2734,Load!$B:$B,Load!E:E,0,)</f>
        <v>Fruit Flavor (Cherry, Grape, Apple, Citrus, Tropical Fruit)</v>
      </c>
      <c r="E2734" t="str">
        <f>_xlfn.XLOOKUP($A2734,Load!$B:$B,Load!F:F,0,)</f>
        <v>Chewy</v>
      </c>
      <c r="F2734" t="str">
        <f>_xlfn.XLOOKUP($A2734,Load!$B:$B,Load!G:G,0,)</f>
        <v>Large Multipack (More than 80 ct)</v>
      </c>
      <c r="G2734" t="str">
        <f>_xlfn.XLOOKUP($A2734,Load!$B:$B,Load!H:H,0,)</f>
        <v>Laydown Bag</v>
      </c>
      <c r="H2734" t="str">
        <f>_xlfn.XLOOKUP($A2734,Load!$B:$B,Load!I:I,0,)</f>
        <v>Everyday Candy Shapes (like Original, Gummy bear, Fruit, Jewels, etc.)</v>
      </c>
      <c r="I2734" t="str">
        <f>_xlfn.XLOOKUP($A2734,Load!$B:$B,Load!J:J,0,)</f>
        <v>Seasonal Graphics (Like Bat, Ghost, Pumpkin, Fall Leaves, Eyeballs, etc.)</v>
      </c>
      <c r="J2734" t="str">
        <f>_xlfn.XLOOKUP($A2734,Load!$B:$B,Load!K:K,0,)</f>
        <v>Small Pieces (Tiny bite size candies)</v>
      </c>
      <c r="K2734" t="str">
        <f>_xlfn.XLOOKUP($A2734,Load!$B:$B,Load!L:L,0,)</f>
        <v>Regular/Original Wrapping</v>
      </c>
      <c r="L2734" t="str">
        <f>_xlfn.XLOOKUP($A2734,Load!$B:$B,Load!M:M,0,)</f>
        <v>Single Brand / Variety Flavors or Form</v>
      </c>
    </row>
    <row r="2735" spans="1:12" x14ac:dyDescent="0.25">
      <c r="A2735" t="s">
        <v>25</v>
      </c>
      <c r="B2735" t="str">
        <f>_xlfn.XLOOKUP($A2735,Load!$B:$B,Load!C:C,0,)</f>
        <v>Albert's Candy Company</v>
      </c>
      <c r="C2735" t="str">
        <f>_xlfn.XLOOKUP($A2735,Load!$B:$B,Load!D:D,0,)</f>
        <v>Non-Chocolate Candy Only</v>
      </c>
      <c r="D2735" t="str">
        <f>_xlfn.XLOOKUP($A2735,Load!$B:$B,Load!E:E,0,)</f>
        <v>Fruit Flavor (Cherry, Grape, Apple, Citrus, Tropical Fruit)</v>
      </c>
      <c r="E2735" t="str">
        <f>_xlfn.XLOOKUP($A2735,Load!$B:$B,Load!F:F,0,)</f>
        <v>Chewy</v>
      </c>
      <c r="F2735" t="str">
        <f>_xlfn.XLOOKUP($A2735,Load!$B:$B,Load!G:G,0,)</f>
        <v>Large Multipack (More than 80 ct)</v>
      </c>
      <c r="G2735" t="str">
        <f>_xlfn.XLOOKUP($A2735,Load!$B:$B,Load!H:H,0,)</f>
        <v>Laydown Bag</v>
      </c>
      <c r="H2735" t="str">
        <f>_xlfn.XLOOKUP($A2735,Load!$B:$B,Load!I:I,0,)</f>
        <v>Everyday Candy Shapes (like Original, Gummy bear, Fruit, Jewels, etc.)</v>
      </c>
      <c r="I2735" t="str">
        <f>_xlfn.XLOOKUP($A2735,Load!$B:$B,Load!J:J,0,)</f>
        <v>Seasonal Graphics (Like Bat, Ghost, Pumpkin, Fall Leaves, Eyeballs, etc.)</v>
      </c>
      <c r="J2735" t="str">
        <f>_xlfn.XLOOKUP($A2735,Load!$B:$B,Load!K:K,0,)</f>
        <v>Small Pieces (Tiny bite size candies)</v>
      </c>
      <c r="K2735" t="str">
        <f>_xlfn.XLOOKUP($A2735,Load!$B:$B,Load!L:L,0,)</f>
        <v>Regular/Original Wrapping</v>
      </c>
      <c r="L2735" t="str">
        <f>_xlfn.XLOOKUP($A2735,Load!$B:$B,Load!M:M,0,)</f>
        <v>Single Brand / Variety Flavors or Form</v>
      </c>
    </row>
    <row r="2736" spans="1:12" x14ac:dyDescent="0.25">
      <c r="A2736" t="s">
        <v>88</v>
      </c>
      <c r="B2736" t="str">
        <f>_xlfn.XLOOKUP($A2736,Load!$B:$B,Load!C:C,0,)</f>
        <v>Ferrara Variety Pack</v>
      </c>
      <c r="C2736" t="str">
        <f>_xlfn.XLOOKUP($A2736,Load!$B:$B,Load!D:D,0,)</f>
        <v>Non-Chocolate Candy Only</v>
      </c>
      <c r="D2736" t="str">
        <f>_xlfn.XLOOKUP($A2736,Load!$B:$B,Load!E:E,0,)</f>
        <v>Variety / Mixed Flavors (Fruity, Sour, Seasonal Flavors)</v>
      </c>
      <c r="E2736" t="str">
        <f>_xlfn.XLOOKUP($A2736,Load!$B:$B,Load!F:F,0,)</f>
        <v>Mixed / Combo Packs (Gummy, Chewy, Taffy, etc.)</v>
      </c>
      <c r="F2736" t="str">
        <f>_xlfn.XLOOKUP($A2736,Load!$B:$B,Load!G:G,0,)</f>
        <v>Small Multipack (Less than 40 ct)</v>
      </c>
      <c r="G2736" t="str">
        <f>_xlfn.XLOOKUP($A2736,Load!$B:$B,Load!H:H,0,)</f>
        <v>Laydown Bag</v>
      </c>
      <c r="H2736" t="str">
        <f>_xlfn.XLOOKUP($A2736,Load!$B:$B,Load!I:I,0,)</f>
        <v>Seasonal Shapes (like pumpkins, candy corn, ghost, bats, etc.)</v>
      </c>
      <c r="I2736" t="str">
        <f>_xlfn.XLOOKUP($A2736,Load!$B:$B,Load!J:J,0,)</f>
        <v>Seasonal Graphics (Like Bat, Ghost, Pumpkin, Fall Leaves, Eyeballs, etc.)</v>
      </c>
      <c r="J2736" t="str">
        <f>_xlfn.XLOOKUP($A2736,Load!$B:$B,Load!K:K,0,)</f>
        <v>Fun Size / Treat Size</v>
      </c>
      <c r="K2736" t="str">
        <f>_xlfn.XLOOKUP($A2736,Load!$B:$B,Load!L:L,0,)</f>
        <v>Regular/Original Wrapping</v>
      </c>
      <c r="L2736" t="str">
        <f>_xlfn.XLOOKUP($A2736,Load!$B:$B,Load!M:M,0,)</f>
        <v>Multiple Brands / Variety Flavors or Form</v>
      </c>
    </row>
    <row r="2737" spans="1:12" x14ac:dyDescent="0.25">
      <c r="A2737" t="s">
        <v>226</v>
      </c>
      <c r="B2737" t="str">
        <f>_xlfn.XLOOKUP($A2737,Load!$B:$B,Load!C:C,0,)</f>
        <v>Nerds</v>
      </c>
      <c r="C2737" t="str">
        <f>_xlfn.XLOOKUP($A2737,Load!$B:$B,Load!D:D,0,)</f>
        <v>Non-Chocolate Candy Only</v>
      </c>
      <c r="D2737" t="str">
        <f>_xlfn.XLOOKUP($A2737,Load!$B:$B,Load!E:E,0,)</f>
        <v>Sweet</v>
      </c>
      <c r="E2737" t="str">
        <f>_xlfn.XLOOKUP($A2737,Load!$B:$B,Load!F:F,0,)</f>
        <v>Gummy</v>
      </c>
      <c r="F2737" t="str">
        <f>_xlfn.XLOOKUP($A2737,Load!$B:$B,Load!G:G,0,)</f>
        <v>Single Pack</v>
      </c>
      <c r="G2737" t="str">
        <f>_xlfn.XLOOKUP($A2737,Load!$B:$B,Load!H:H,0,)</f>
        <v>Laydown Bag</v>
      </c>
      <c r="H2737" t="str">
        <f>_xlfn.XLOOKUP($A2737,Load!$B:$B,Load!I:I,0,)</f>
        <v>Seasonal Shapes (like pumpkins, candy corn, ghost, bats, etc.)</v>
      </c>
      <c r="I2737" t="str">
        <f>_xlfn.XLOOKUP($A2737,Load!$B:$B,Load!J:J,0,)</f>
        <v>Seasonal Graphics (Like Bat, Ghost, Pumpkin, Fall Leaves, Eyeballs, etc.)</v>
      </c>
      <c r="J2737" t="str">
        <f>_xlfn.XLOOKUP($A2737,Load!$B:$B,Load!K:K,0,)</f>
        <v>Fun Size / Treat Size</v>
      </c>
      <c r="K2737" t="str">
        <f>_xlfn.XLOOKUP($A2737,Load!$B:$B,Load!L:L,0,)</f>
        <v>Unwrapped</v>
      </c>
      <c r="L2737" t="str">
        <f>_xlfn.XLOOKUP($A2737,Load!$B:$B,Load!M:M,0,)</f>
        <v>Single Brand / Single Flavor or Form</v>
      </c>
    </row>
    <row r="2738" spans="1:12" x14ac:dyDescent="0.25">
      <c r="B2738">
        <f>_xlfn.XLOOKUP($A2738,Load!$B:$B,Load!C:C,0,)</f>
        <v>0</v>
      </c>
      <c r="C2738">
        <f>_xlfn.XLOOKUP($A2738,Load!$B:$B,Load!D:D,0,)</f>
        <v>0</v>
      </c>
      <c r="D2738">
        <f>_xlfn.XLOOKUP($A2738,Load!$B:$B,Load!E:E,0,)</f>
        <v>0</v>
      </c>
      <c r="E2738">
        <f>_xlfn.XLOOKUP($A2738,Load!$B:$B,Load!F:F,0,)</f>
        <v>0</v>
      </c>
      <c r="F2738">
        <f>_xlfn.XLOOKUP($A2738,Load!$B:$B,Load!G:G,0,)</f>
        <v>0</v>
      </c>
      <c r="G2738">
        <f>_xlfn.XLOOKUP($A2738,Load!$B:$B,Load!H:H,0,)</f>
        <v>0</v>
      </c>
      <c r="H2738">
        <f>_xlfn.XLOOKUP($A2738,Load!$B:$B,Load!I:I,0,)</f>
        <v>0</v>
      </c>
      <c r="I2738">
        <f>_xlfn.XLOOKUP($A2738,Load!$B:$B,Load!J:J,0,)</f>
        <v>0</v>
      </c>
      <c r="J2738">
        <f>_xlfn.XLOOKUP($A2738,Load!$B:$B,Load!K:K,0,)</f>
        <v>0</v>
      </c>
      <c r="K2738">
        <f>_xlfn.XLOOKUP($A2738,Load!$B:$B,Load!L:L,0,)</f>
        <v>0</v>
      </c>
      <c r="L2738">
        <f>_xlfn.XLOOKUP($A2738,Load!$B:$B,Load!M:M,0,)</f>
        <v>0</v>
      </c>
    </row>
    <row r="2739" spans="1:12" x14ac:dyDescent="0.25">
      <c r="B2739">
        <f>_xlfn.XLOOKUP($A2739,Load!$B:$B,Load!C:C,0,)</f>
        <v>0</v>
      </c>
      <c r="C2739">
        <f>_xlfn.XLOOKUP($A2739,Load!$B:$B,Load!D:D,0,)</f>
        <v>0</v>
      </c>
      <c r="D2739">
        <f>_xlfn.XLOOKUP($A2739,Load!$B:$B,Load!E:E,0,)</f>
        <v>0</v>
      </c>
      <c r="E2739">
        <f>_xlfn.XLOOKUP($A2739,Load!$B:$B,Load!F:F,0,)</f>
        <v>0</v>
      </c>
      <c r="F2739">
        <f>_xlfn.XLOOKUP($A2739,Load!$B:$B,Load!G:G,0,)</f>
        <v>0</v>
      </c>
      <c r="G2739">
        <f>_xlfn.XLOOKUP($A2739,Load!$B:$B,Load!H:H,0,)</f>
        <v>0</v>
      </c>
      <c r="H2739">
        <f>_xlfn.XLOOKUP($A2739,Load!$B:$B,Load!I:I,0,)</f>
        <v>0</v>
      </c>
      <c r="I2739">
        <f>_xlfn.XLOOKUP($A2739,Load!$B:$B,Load!J:J,0,)</f>
        <v>0</v>
      </c>
      <c r="J2739">
        <f>_xlfn.XLOOKUP($A2739,Load!$B:$B,Load!K:K,0,)</f>
        <v>0</v>
      </c>
      <c r="K2739">
        <f>_xlfn.XLOOKUP($A2739,Load!$B:$B,Load!L:L,0,)</f>
        <v>0</v>
      </c>
      <c r="L2739">
        <f>_xlfn.XLOOKUP($A2739,Load!$B:$B,Load!M:M,0,)</f>
        <v>0</v>
      </c>
    </row>
    <row r="2740" spans="1:12" x14ac:dyDescent="0.25">
      <c r="B2740">
        <f>_xlfn.XLOOKUP($A2740,Load!$B:$B,Load!C:C,0,)</f>
        <v>0</v>
      </c>
      <c r="C2740">
        <f>_xlfn.XLOOKUP($A2740,Load!$B:$B,Load!D:D,0,)</f>
        <v>0</v>
      </c>
      <c r="D2740">
        <f>_xlfn.XLOOKUP($A2740,Load!$B:$B,Load!E:E,0,)</f>
        <v>0</v>
      </c>
      <c r="E2740">
        <f>_xlfn.XLOOKUP($A2740,Load!$B:$B,Load!F:F,0,)</f>
        <v>0</v>
      </c>
      <c r="F2740">
        <f>_xlfn.XLOOKUP($A2740,Load!$B:$B,Load!G:G,0,)</f>
        <v>0</v>
      </c>
      <c r="G2740">
        <f>_xlfn.XLOOKUP($A2740,Load!$B:$B,Load!H:H,0,)</f>
        <v>0</v>
      </c>
      <c r="H2740">
        <f>_xlfn.XLOOKUP($A2740,Load!$B:$B,Load!I:I,0,)</f>
        <v>0</v>
      </c>
      <c r="I2740">
        <f>_xlfn.XLOOKUP($A2740,Load!$B:$B,Load!J:J,0,)</f>
        <v>0</v>
      </c>
      <c r="J2740">
        <f>_xlfn.XLOOKUP($A2740,Load!$B:$B,Load!K:K,0,)</f>
        <v>0</v>
      </c>
      <c r="K2740">
        <f>_xlfn.XLOOKUP($A2740,Load!$B:$B,Load!L:L,0,)</f>
        <v>0</v>
      </c>
      <c r="L2740">
        <f>_xlfn.XLOOKUP($A2740,Load!$B:$B,Load!M:M,0,)</f>
        <v>0</v>
      </c>
    </row>
    <row r="2741" spans="1:12" x14ac:dyDescent="0.25">
      <c r="B2741">
        <f>_xlfn.XLOOKUP($A2741,Load!$B:$B,Load!C:C,0,)</f>
        <v>0</v>
      </c>
      <c r="C2741">
        <f>_xlfn.XLOOKUP($A2741,Load!$B:$B,Load!D:D,0,)</f>
        <v>0</v>
      </c>
      <c r="D2741">
        <f>_xlfn.XLOOKUP($A2741,Load!$B:$B,Load!E:E,0,)</f>
        <v>0</v>
      </c>
      <c r="E2741">
        <f>_xlfn.XLOOKUP($A2741,Load!$B:$B,Load!F:F,0,)</f>
        <v>0</v>
      </c>
      <c r="F2741">
        <f>_xlfn.XLOOKUP($A2741,Load!$B:$B,Load!G:G,0,)</f>
        <v>0</v>
      </c>
      <c r="G2741">
        <f>_xlfn.XLOOKUP($A2741,Load!$B:$B,Load!H:H,0,)</f>
        <v>0</v>
      </c>
      <c r="H2741">
        <f>_xlfn.XLOOKUP($A2741,Load!$B:$B,Load!I:I,0,)</f>
        <v>0</v>
      </c>
      <c r="I2741">
        <f>_xlfn.XLOOKUP($A2741,Load!$B:$B,Load!J:J,0,)</f>
        <v>0</v>
      </c>
      <c r="J2741">
        <f>_xlfn.XLOOKUP($A2741,Load!$B:$B,Load!K:K,0,)</f>
        <v>0</v>
      </c>
      <c r="K2741">
        <f>_xlfn.XLOOKUP($A2741,Load!$B:$B,Load!L:L,0,)</f>
        <v>0</v>
      </c>
      <c r="L2741">
        <f>_xlfn.XLOOKUP($A2741,Load!$B:$B,Load!M:M,0,)</f>
        <v>0</v>
      </c>
    </row>
    <row r="2742" spans="1:12" x14ac:dyDescent="0.25">
      <c r="B2742">
        <f>_xlfn.XLOOKUP($A2742,Load!$B:$B,Load!C:C,0,)</f>
        <v>0</v>
      </c>
      <c r="C2742">
        <f>_xlfn.XLOOKUP($A2742,Load!$B:$B,Load!D:D,0,)</f>
        <v>0</v>
      </c>
      <c r="D2742">
        <f>_xlfn.XLOOKUP($A2742,Load!$B:$B,Load!E:E,0,)</f>
        <v>0</v>
      </c>
      <c r="E2742">
        <f>_xlfn.XLOOKUP($A2742,Load!$B:$B,Load!F:F,0,)</f>
        <v>0</v>
      </c>
      <c r="F2742">
        <f>_xlfn.XLOOKUP($A2742,Load!$B:$B,Load!G:G,0,)</f>
        <v>0</v>
      </c>
      <c r="G2742">
        <f>_xlfn.XLOOKUP($A2742,Load!$B:$B,Load!H:H,0,)</f>
        <v>0</v>
      </c>
      <c r="H2742">
        <f>_xlfn.XLOOKUP($A2742,Load!$B:$B,Load!I:I,0,)</f>
        <v>0</v>
      </c>
      <c r="I2742">
        <f>_xlfn.XLOOKUP($A2742,Load!$B:$B,Load!J:J,0,)</f>
        <v>0</v>
      </c>
      <c r="J2742">
        <f>_xlfn.XLOOKUP($A2742,Load!$B:$B,Load!K:K,0,)</f>
        <v>0</v>
      </c>
      <c r="K2742">
        <f>_xlfn.XLOOKUP($A2742,Load!$B:$B,Load!L:L,0,)</f>
        <v>0</v>
      </c>
      <c r="L2742">
        <f>_xlfn.XLOOKUP($A2742,Load!$B:$B,Load!M:M,0,)</f>
        <v>0</v>
      </c>
    </row>
    <row r="2743" spans="1:12" x14ac:dyDescent="0.25">
      <c r="B2743">
        <f>_xlfn.XLOOKUP($A2743,Load!$B:$B,Load!C:C,0,)</f>
        <v>0</v>
      </c>
      <c r="C2743">
        <f>_xlfn.XLOOKUP($A2743,Load!$B:$B,Load!D:D,0,)</f>
        <v>0</v>
      </c>
      <c r="D2743">
        <f>_xlfn.XLOOKUP($A2743,Load!$B:$B,Load!E:E,0,)</f>
        <v>0</v>
      </c>
      <c r="E2743">
        <f>_xlfn.XLOOKUP($A2743,Load!$B:$B,Load!F:F,0,)</f>
        <v>0</v>
      </c>
      <c r="F2743">
        <f>_xlfn.XLOOKUP($A2743,Load!$B:$B,Load!G:G,0,)</f>
        <v>0</v>
      </c>
      <c r="G2743">
        <f>_xlfn.XLOOKUP($A2743,Load!$B:$B,Load!H:H,0,)</f>
        <v>0</v>
      </c>
      <c r="H2743">
        <f>_xlfn.XLOOKUP($A2743,Load!$B:$B,Load!I:I,0,)</f>
        <v>0</v>
      </c>
      <c r="I2743">
        <f>_xlfn.XLOOKUP($A2743,Load!$B:$B,Load!J:J,0,)</f>
        <v>0</v>
      </c>
      <c r="J2743">
        <f>_xlfn.XLOOKUP($A2743,Load!$B:$B,Load!K:K,0,)</f>
        <v>0</v>
      </c>
      <c r="K2743">
        <f>_xlfn.XLOOKUP($A2743,Load!$B:$B,Load!L:L,0,)</f>
        <v>0</v>
      </c>
      <c r="L2743">
        <f>_xlfn.XLOOKUP($A2743,Load!$B:$B,Load!M:M,0,)</f>
        <v>0</v>
      </c>
    </row>
    <row r="2744" spans="1:12" x14ac:dyDescent="0.25">
      <c r="B2744">
        <f>_xlfn.XLOOKUP($A2744,Load!$B:$B,Load!C:C,0,)</f>
        <v>0</v>
      </c>
      <c r="C2744">
        <f>_xlfn.XLOOKUP($A2744,Load!$B:$B,Load!D:D,0,)</f>
        <v>0</v>
      </c>
      <c r="D2744">
        <f>_xlfn.XLOOKUP($A2744,Load!$B:$B,Load!E:E,0,)</f>
        <v>0</v>
      </c>
      <c r="E2744">
        <f>_xlfn.XLOOKUP($A2744,Load!$B:$B,Load!F:F,0,)</f>
        <v>0</v>
      </c>
      <c r="F2744">
        <f>_xlfn.XLOOKUP($A2744,Load!$B:$B,Load!G:G,0,)</f>
        <v>0</v>
      </c>
      <c r="G2744">
        <f>_xlfn.XLOOKUP($A2744,Load!$B:$B,Load!H:H,0,)</f>
        <v>0</v>
      </c>
      <c r="H2744">
        <f>_xlfn.XLOOKUP($A2744,Load!$B:$B,Load!I:I,0,)</f>
        <v>0</v>
      </c>
      <c r="I2744">
        <f>_xlfn.XLOOKUP($A2744,Load!$B:$B,Load!J:J,0,)</f>
        <v>0</v>
      </c>
      <c r="J2744">
        <f>_xlfn.XLOOKUP($A2744,Load!$B:$B,Load!K:K,0,)</f>
        <v>0</v>
      </c>
      <c r="K2744">
        <f>_xlfn.XLOOKUP($A2744,Load!$B:$B,Load!L:L,0,)</f>
        <v>0</v>
      </c>
      <c r="L2744">
        <f>_xlfn.XLOOKUP($A2744,Load!$B:$B,Load!M:M,0,)</f>
        <v>0</v>
      </c>
    </row>
    <row r="2745" spans="1:12" x14ac:dyDescent="0.25">
      <c r="B2745">
        <f>_xlfn.XLOOKUP($A2745,Load!$B:$B,Load!C:C,0,)</f>
        <v>0</v>
      </c>
      <c r="C2745">
        <f>_xlfn.XLOOKUP($A2745,Load!$B:$B,Load!D:D,0,)</f>
        <v>0</v>
      </c>
      <c r="D2745">
        <f>_xlfn.XLOOKUP($A2745,Load!$B:$B,Load!E:E,0,)</f>
        <v>0</v>
      </c>
      <c r="E2745">
        <f>_xlfn.XLOOKUP($A2745,Load!$B:$B,Load!F:F,0,)</f>
        <v>0</v>
      </c>
      <c r="F2745">
        <f>_xlfn.XLOOKUP($A2745,Load!$B:$B,Load!G:G,0,)</f>
        <v>0</v>
      </c>
      <c r="G2745">
        <f>_xlfn.XLOOKUP($A2745,Load!$B:$B,Load!H:H,0,)</f>
        <v>0</v>
      </c>
      <c r="H2745">
        <f>_xlfn.XLOOKUP($A2745,Load!$B:$B,Load!I:I,0,)</f>
        <v>0</v>
      </c>
      <c r="I2745">
        <f>_xlfn.XLOOKUP($A2745,Load!$B:$B,Load!J:J,0,)</f>
        <v>0</v>
      </c>
      <c r="J2745">
        <f>_xlfn.XLOOKUP($A2745,Load!$B:$B,Load!K:K,0,)</f>
        <v>0</v>
      </c>
      <c r="K2745">
        <f>_xlfn.XLOOKUP($A2745,Load!$B:$B,Load!L:L,0,)</f>
        <v>0</v>
      </c>
      <c r="L2745">
        <f>_xlfn.XLOOKUP($A2745,Load!$B:$B,Load!M:M,0,)</f>
        <v>0</v>
      </c>
    </row>
    <row r="2746" spans="1:12" x14ac:dyDescent="0.25">
      <c r="A2746" t="s">
        <v>467</v>
      </c>
      <c r="B2746" t="str">
        <f>_xlfn.XLOOKUP($A2746,Load!$B:$B,Load!C:C,0,)</f>
        <v>Trolli</v>
      </c>
      <c r="C2746" t="str">
        <f>_xlfn.XLOOKUP($A2746,Load!$B:$B,Load!D:D,0,)</f>
        <v>Non-Chocolate Candy Only</v>
      </c>
      <c r="D2746" t="str">
        <f>_xlfn.XLOOKUP($A2746,Load!$B:$B,Load!E:E,0,)</f>
        <v>Sour</v>
      </c>
      <c r="E2746" t="str">
        <f>_xlfn.XLOOKUP($A2746,Load!$B:$B,Load!F:F,0,)</f>
        <v>Gummy</v>
      </c>
      <c r="F2746" t="str">
        <f>_xlfn.XLOOKUP($A2746,Load!$B:$B,Load!G:G,0,)</f>
        <v>Small Multipack (Less than 40 ct)</v>
      </c>
      <c r="G2746" t="str">
        <f>_xlfn.XLOOKUP($A2746,Load!$B:$B,Load!H:H,0,)</f>
        <v>Laydown Bag</v>
      </c>
      <c r="H2746" t="str">
        <f>_xlfn.XLOOKUP($A2746,Load!$B:$B,Load!I:I,0,)</f>
        <v>Seasonal Shapes (like pumpkins, candy corn, ghost, bats, etc.)</v>
      </c>
      <c r="I2746" t="str">
        <f>_xlfn.XLOOKUP($A2746,Load!$B:$B,Load!J:J,0,)</f>
        <v>Seasonal Graphics (Like Bat, Ghost, Pumpkin, Fall Leaves, Eyeballs, etc.)</v>
      </c>
      <c r="J2746" t="str">
        <f>_xlfn.XLOOKUP($A2746,Load!$B:$B,Load!K:K,0,)</f>
        <v>Fun Size / Treat Size</v>
      </c>
      <c r="K2746" t="str">
        <f>_xlfn.XLOOKUP($A2746,Load!$B:$B,Load!L:L,0,)</f>
        <v>Regular/Original Wrapping</v>
      </c>
      <c r="L2746" t="str">
        <f>_xlfn.XLOOKUP($A2746,Load!$B:$B,Load!M:M,0,)</f>
        <v>Single Brand / Variety Flavors or Form</v>
      </c>
    </row>
    <row r="2747" spans="1:12" x14ac:dyDescent="0.25">
      <c r="A2747" t="s">
        <v>88</v>
      </c>
      <c r="B2747" t="str">
        <f>_xlfn.XLOOKUP($A2747,Load!$B:$B,Load!C:C,0,)</f>
        <v>Ferrara Variety Pack</v>
      </c>
      <c r="C2747" t="str">
        <f>_xlfn.XLOOKUP($A2747,Load!$B:$B,Load!D:D,0,)</f>
        <v>Non-Chocolate Candy Only</v>
      </c>
      <c r="D2747" t="str">
        <f>_xlfn.XLOOKUP($A2747,Load!$B:$B,Load!E:E,0,)</f>
        <v>Variety / Mixed Flavors (Fruity, Sour, Seasonal Flavors)</v>
      </c>
      <c r="E2747" t="str">
        <f>_xlfn.XLOOKUP($A2747,Load!$B:$B,Load!F:F,0,)</f>
        <v>Mixed / Combo Packs (Gummy, Chewy, Taffy, etc.)</v>
      </c>
      <c r="F2747" t="str">
        <f>_xlfn.XLOOKUP($A2747,Load!$B:$B,Load!G:G,0,)</f>
        <v>Small Multipack (Less than 40 ct)</v>
      </c>
      <c r="G2747" t="str">
        <f>_xlfn.XLOOKUP($A2747,Load!$B:$B,Load!H:H,0,)</f>
        <v>Laydown Bag</v>
      </c>
      <c r="H2747" t="str">
        <f>_xlfn.XLOOKUP($A2747,Load!$B:$B,Load!I:I,0,)</f>
        <v>Seasonal Shapes (like pumpkins, candy corn, ghost, bats, etc.)</v>
      </c>
      <c r="I2747" t="str">
        <f>_xlfn.XLOOKUP($A2747,Load!$B:$B,Load!J:J,0,)</f>
        <v>Seasonal Graphics (Like Bat, Ghost, Pumpkin, Fall Leaves, Eyeballs, etc.)</v>
      </c>
      <c r="J2747" t="str">
        <f>_xlfn.XLOOKUP($A2747,Load!$B:$B,Load!K:K,0,)</f>
        <v>Fun Size / Treat Size</v>
      </c>
      <c r="K2747" t="str">
        <f>_xlfn.XLOOKUP($A2747,Load!$B:$B,Load!L:L,0,)</f>
        <v>Regular/Original Wrapping</v>
      </c>
      <c r="L2747" t="str">
        <f>_xlfn.XLOOKUP($A2747,Load!$B:$B,Load!M:M,0,)</f>
        <v>Multiple Brands / Variety Flavors or Form</v>
      </c>
    </row>
    <row r="2748" spans="1:12" x14ac:dyDescent="0.25">
      <c r="B2748">
        <f>_xlfn.XLOOKUP($A2748,Load!$B:$B,Load!C:C,0,)</f>
        <v>0</v>
      </c>
      <c r="C2748">
        <f>_xlfn.XLOOKUP($A2748,Load!$B:$B,Load!D:D,0,)</f>
        <v>0</v>
      </c>
      <c r="D2748">
        <f>_xlfn.XLOOKUP($A2748,Load!$B:$B,Load!E:E,0,)</f>
        <v>0</v>
      </c>
      <c r="E2748">
        <f>_xlfn.XLOOKUP($A2748,Load!$B:$B,Load!F:F,0,)</f>
        <v>0</v>
      </c>
      <c r="F2748">
        <f>_xlfn.XLOOKUP($A2748,Load!$B:$B,Load!G:G,0,)</f>
        <v>0</v>
      </c>
      <c r="G2748">
        <f>_xlfn.XLOOKUP($A2748,Load!$B:$B,Load!H:H,0,)</f>
        <v>0</v>
      </c>
      <c r="H2748">
        <f>_xlfn.XLOOKUP($A2748,Load!$B:$B,Load!I:I,0,)</f>
        <v>0</v>
      </c>
      <c r="I2748">
        <f>_xlfn.XLOOKUP($A2748,Load!$B:$B,Load!J:J,0,)</f>
        <v>0</v>
      </c>
      <c r="J2748">
        <f>_xlfn.XLOOKUP($A2748,Load!$B:$B,Load!K:K,0,)</f>
        <v>0</v>
      </c>
      <c r="K2748">
        <f>_xlfn.XLOOKUP($A2748,Load!$B:$B,Load!L:L,0,)</f>
        <v>0</v>
      </c>
      <c r="L2748">
        <f>_xlfn.XLOOKUP($A2748,Load!$B:$B,Load!M:M,0,)</f>
        <v>0</v>
      </c>
    </row>
    <row r="2749" spans="1:12" x14ac:dyDescent="0.25">
      <c r="B2749">
        <f>_xlfn.XLOOKUP($A2749,Load!$B:$B,Load!C:C,0,)</f>
        <v>0</v>
      </c>
      <c r="C2749">
        <f>_xlfn.XLOOKUP($A2749,Load!$B:$B,Load!D:D,0,)</f>
        <v>0</v>
      </c>
      <c r="D2749">
        <f>_xlfn.XLOOKUP($A2749,Load!$B:$B,Load!E:E,0,)</f>
        <v>0</v>
      </c>
      <c r="E2749">
        <f>_xlfn.XLOOKUP($A2749,Load!$B:$B,Load!F:F,0,)</f>
        <v>0</v>
      </c>
      <c r="F2749">
        <f>_xlfn.XLOOKUP($A2749,Load!$B:$B,Load!G:G,0,)</f>
        <v>0</v>
      </c>
      <c r="G2749">
        <f>_xlfn.XLOOKUP($A2749,Load!$B:$B,Load!H:H,0,)</f>
        <v>0</v>
      </c>
      <c r="H2749">
        <f>_xlfn.XLOOKUP($A2749,Load!$B:$B,Load!I:I,0,)</f>
        <v>0</v>
      </c>
      <c r="I2749">
        <f>_xlfn.XLOOKUP($A2749,Load!$B:$B,Load!J:J,0,)</f>
        <v>0</v>
      </c>
      <c r="J2749">
        <f>_xlfn.XLOOKUP($A2749,Load!$B:$B,Load!K:K,0,)</f>
        <v>0</v>
      </c>
      <c r="K2749">
        <f>_xlfn.XLOOKUP($A2749,Load!$B:$B,Load!L:L,0,)</f>
        <v>0</v>
      </c>
      <c r="L2749">
        <f>_xlfn.XLOOKUP($A2749,Load!$B:$B,Load!M:M,0,)</f>
        <v>0</v>
      </c>
    </row>
    <row r="2750" spans="1:12" x14ac:dyDescent="0.25">
      <c r="A2750" t="s">
        <v>463</v>
      </c>
      <c r="B2750" t="str">
        <f>_xlfn.XLOOKUP($A2750,Load!$B:$B,Load!C:C,0,)</f>
        <v>Mars Variety Pack</v>
      </c>
      <c r="C2750" t="str">
        <f>_xlfn.XLOOKUP($A2750,Load!$B:$B,Load!D:D,0,)</f>
        <v>Mix of Chocolate and Non-Chocolate Candy</v>
      </c>
      <c r="D2750" t="str">
        <f>_xlfn.XLOOKUP($A2750,Load!$B:$B,Load!E:E,0,)</f>
        <v>Variety / Mixed Flavors (Fruity, Sour, Seasonal Flavors)</v>
      </c>
      <c r="E2750" t="str">
        <f>_xlfn.XLOOKUP($A2750,Load!$B:$B,Load!F:F,0,)</f>
        <v>Mixed / Combo Packs (Gummy, Chewy, Taffy, etc.)</v>
      </c>
      <c r="F2750" t="str">
        <f>_xlfn.XLOOKUP($A2750,Load!$B:$B,Load!G:G,0,)</f>
        <v>Medium Multipack (40–80 ct)</v>
      </c>
      <c r="G2750" t="str">
        <f>_xlfn.XLOOKUP($A2750,Load!$B:$B,Load!H:H,0,)</f>
        <v>Stand-Up Bag</v>
      </c>
      <c r="H2750" t="str">
        <f>_xlfn.XLOOKUP($A2750,Load!$B:$B,Load!I:I,0,)</f>
        <v>Everyday Candy Shapes (like Original, Gummy bear, Fruit, Jewels, etc.)</v>
      </c>
      <c r="I2750" t="str">
        <f>_xlfn.XLOOKUP($A2750,Load!$B:$B,Load!J:J,0,)</f>
        <v>Seasonal Graphics (Like Bat, Ghost, Pumpkin, Fall Leaves, Eyeballs, etc.)</v>
      </c>
      <c r="J2750" t="str">
        <f>_xlfn.XLOOKUP($A2750,Load!$B:$B,Load!K:K,0,)</f>
        <v>Fun Size / Treat Size</v>
      </c>
      <c r="K2750" t="str">
        <f>_xlfn.XLOOKUP($A2750,Load!$B:$B,Load!L:L,0,)</f>
        <v>Regular/Original Wrapping</v>
      </c>
      <c r="L2750" t="str">
        <f>_xlfn.XLOOKUP($A2750,Load!$B:$B,Load!M:M,0,)</f>
        <v>Multiple Brands / Variety Flavors or Form</v>
      </c>
    </row>
    <row r="2751" spans="1:12" x14ac:dyDescent="0.25">
      <c r="A2751" t="s">
        <v>207</v>
      </c>
      <c r="B2751" t="str">
        <f>_xlfn.XLOOKUP($A2751,Load!$B:$B,Load!C:C,0,)</f>
        <v>Mars Variety Pack</v>
      </c>
      <c r="C2751" t="str">
        <f>_xlfn.XLOOKUP($A2751,Load!$B:$B,Load!D:D,0,)</f>
        <v>Mix of Chocolate and Non-Chocolate Candy</v>
      </c>
      <c r="D2751" t="str">
        <f>_xlfn.XLOOKUP($A2751,Load!$B:$B,Load!E:E,0,)</f>
        <v>Variety / Mixed Flavors (Fruity, Sour, Seasonal Flavors)</v>
      </c>
      <c r="E2751" t="str">
        <f>_xlfn.XLOOKUP($A2751,Load!$B:$B,Load!F:F,0,)</f>
        <v>Mixed / Combo Packs (Gummy, Chewy, Taffy, etc.)</v>
      </c>
      <c r="F2751" t="str">
        <f>_xlfn.XLOOKUP($A2751,Load!$B:$B,Load!G:G,0,)</f>
        <v>Large Multipack (More than 80 ct)</v>
      </c>
      <c r="G2751" t="str">
        <f>_xlfn.XLOOKUP($A2751,Load!$B:$B,Load!H:H,0,)</f>
        <v>Stand-Up Bag</v>
      </c>
      <c r="H2751" t="str">
        <f>_xlfn.XLOOKUP($A2751,Load!$B:$B,Load!I:I,0,)</f>
        <v>Everyday Candy Shapes (like Original, Gummy bear, Fruit, Jewels, etc.)</v>
      </c>
      <c r="I2751" t="str">
        <f>_xlfn.XLOOKUP($A2751,Load!$B:$B,Load!J:J,0,)</f>
        <v>Everyday Graphics</v>
      </c>
      <c r="J2751" t="str">
        <f>_xlfn.XLOOKUP($A2751,Load!$B:$B,Load!K:K,0,)</f>
        <v>Fun Size / Treat Size</v>
      </c>
      <c r="K2751" t="str">
        <f>_xlfn.XLOOKUP($A2751,Load!$B:$B,Load!L:L,0,)</f>
        <v>Regular/Original Wrapping</v>
      </c>
      <c r="L2751" t="str">
        <f>_xlfn.XLOOKUP($A2751,Load!$B:$B,Load!M:M,0,)</f>
        <v>Multiple Brands / Variety Flavors or Form</v>
      </c>
    </row>
    <row r="2752" spans="1:12" x14ac:dyDescent="0.25">
      <c r="A2752" t="s">
        <v>464</v>
      </c>
      <c r="B2752" t="str">
        <f>_xlfn.XLOOKUP($A2752,Load!$B:$B,Load!C:C,0,)</f>
        <v>Zachary</v>
      </c>
      <c r="C2752" t="str">
        <f>_xlfn.XLOOKUP($A2752,Load!$B:$B,Load!D:D,0,)</f>
        <v>Non-Chocolate Candy Only</v>
      </c>
      <c r="D2752" t="str">
        <f>_xlfn.XLOOKUP($A2752,Load!$B:$B,Load!E:E,0,)</f>
        <v>Fruit Flavor (Cherry, Grape, Apple, Citrus, Tropical Fruit)</v>
      </c>
      <c r="E2752" t="str">
        <f>_xlfn.XLOOKUP($A2752,Load!$B:$B,Load!F:F,0,)</f>
        <v>Candy Pieces / Bites</v>
      </c>
      <c r="F2752" t="str">
        <f>_xlfn.XLOOKUP($A2752,Load!$B:$B,Load!G:G,0,)</f>
        <v>Single Pack</v>
      </c>
      <c r="G2752" t="str">
        <f>_xlfn.XLOOKUP($A2752,Load!$B:$B,Load!H:H,0,)</f>
        <v>Plastic Cup / Container</v>
      </c>
      <c r="H2752" t="str">
        <f>_xlfn.XLOOKUP($A2752,Load!$B:$B,Load!I:I,0,)</f>
        <v>Seasonal Shapes (like pumpkins, candy corn, ghost, bats, etc.)</v>
      </c>
      <c r="I2752" t="str">
        <f>_xlfn.XLOOKUP($A2752,Load!$B:$B,Load!J:J,0,)</f>
        <v>Seasonal Graphics (Like Bat, Ghost, Pumpkin, Fall Leaves, Eyeballs, etc.)</v>
      </c>
      <c r="J2752" t="str">
        <f>_xlfn.XLOOKUP($A2752,Load!$B:$B,Load!K:K,0,)</f>
        <v>Small Pieces (Tiny bite size candies)</v>
      </c>
      <c r="K2752" t="str">
        <f>_xlfn.XLOOKUP($A2752,Load!$B:$B,Load!L:L,0,)</f>
        <v>Unwrapped</v>
      </c>
      <c r="L2752" t="str">
        <f>_xlfn.XLOOKUP($A2752,Load!$B:$B,Load!M:M,0,)</f>
        <v>Single Brand / Single Flavor or Form</v>
      </c>
    </row>
    <row r="2753" spans="1:12" x14ac:dyDescent="0.25">
      <c r="A2753" t="s">
        <v>138</v>
      </c>
      <c r="B2753" t="str">
        <f>_xlfn.XLOOKUP($A2753,Load!$B:$B,Load!C:C,0,)</f>
        <v>Hershey's Variety Pack + Haribo</v>
      </c>
      <c r="C2753" t="str">
        <f>_xlfn.XLOOKUP($A2753,Load!$B:$B,Load!D:D,0,)</f>
        <v>Non-Chocolate Candy Only</v>
      </c>
      <c r="D2753" t="str">
        <f>_xlfn.XLOOKUP($A2753,Load!$B:$B,Load!E:E,0,)</f>
        <v>Variety / Mixed Flavors (Fruity, Sour, Seasonal Flavors)</v>
      </c>
      <c r="E2753" t="str">
        <f>_xlfn.XLOOKUP($A2753,Load!$B:$B,Load!F:F,0,)</f>
        <v>Mixed / Combo Packs (Gummy, Chewy, Taffy, etc.)</v>
      </c>
      <c r="F2753" t="str">
        <f>_xlfn.XLOOKUP($A2753,Load!$B:$B,Load!G:G,0,)</f>
        <v>Medium Multipack (40–80 ct)</v>
      </c>
      <c r="G2753" t="str">
        <f>_xlfn.XLOOKUP($A2753,Load!$B:$B,Load!H:H,0,)</f>
        <v>Laydown Bag</v>
      </c>
      <c r="H2753" t="str">
        <f>_xlfn.XLOOKUP($A2753,Load!$B:$B,Load!I:I,0,)</f>
        <v>Everyday Candy Shapes (like Original, Gummy bear, Fruit, Jewels, etc.)</v>
      </c>
      <c r="I2753" t="str">
        <f>_xlfn.XLOOKUP($A2753,Load!$B:$B,Load!J:J,0,)</f>
        <v>Seasonal Graphics (Like Bat, Ghost, Pumpkin, Fall Leaves, Eyeballs, etc.)</v>
      </c>
      <c r="J2753" t="str">
        <f>_xlfn.XLOOKUP($A2753,Load!$B:$B,Load!K:K,0,)</f>
        <v>Fun Size / Treat Size</v>
      </c>
      <c r="K2753" t="str">
        <f>_xlfn.XLOOKUP($A2753,Load!$B:$B,Load!L:L,0,)</f>
        <v>Regular/Original Wrapping</v>
      </c>
      <c r="L2753" t="str">
        <f>_xlfn.XLOOKUP($A2753,Load!$B:$B,Load!M:M,0,)</f>
        <v>Multiple Brands / Variety Flavors or Form</v>
      </c>
    </row>
    <row r="2754" spans="1:12" x14ac:dyDescent="0.25">
      <c r="A2754" t="s">
        <v>473</v>
      </c>
      <c r="B2754" t="str">
        <f>_xlfn.XLOOKUP($A2754,Load!$B:$B,Load!C:C,0,)</f>
        <v>Jelly Belly</v>
      </c>
      <c r="C2754" t="str">
        <f>_xlfn.XLOOKUP($A2754,Load!$B:$B,Load!D:D,0,)</f>
        <v>Non-Chocolate Candy Only</v>
      </c>
      <c r="D2754" t="str">
        <f>_xlfn.XLOOKUP($A2754,Load!$B:$B,Load!E:E,0,)</f>
        <v>Variety / Mixed Flavors (Fruity, Sour, Seasonal Flavors)</v>
      </c>
      <c r="E2754" t="str">
        <f>_xlfn.XLOOKUP($A2754,Load!$B:$B,Load!F:F,0,)</f>
        <v>Candy Pieces / Bites</v>
      </c>
      <c r="F2754" t="str">
        <f>_xlfn.XLOOKUP($A2754,Load!$B:$B,Load!G:G,0,)</f>
        <v>Small Multipack (Less than 40 ct)</v>
      </c>
      <c r="G2754" t="str">
        <f>_xlfn.XLOOKUP($A2754,Load!$B:$B,Load!H:H,0,)</f>
        <v>Laydown Bag</v>
      </c>
      <c r="H2754" t="str">
        <f>_xlfn.XLOOKUP($A2754,Load!$B:$B,Load!I:I,0,)</f>
        <v>Everyday Candy Shapes (like Original, Gummy bear, Fruit, Jewels, etc.)</v>
      </c>
      <c r="I2754" t="str">
        <f>_xlfn.XLOOKUP($A2754,Load!$B:$B,Load!J:J,0,)</f>
        <v>Seasonal Graphics (Like Bat, Ghost, Pumpkin, Fall Leaves, Eyeballs, etc.)</v>
      </c>
      <c r="J2754" t="str">
        <f>_xlfn.XLOOKUP($A2754,Load!$B:$B,Load!K:K,0,)</f>
        <v>Small Pieces (Tiny bite size candies)</v>
      </c>
      <c r="K2754" t="str">
        <f>_xlfn.XLOOKUP($A2754,Load!$B:$B,Load!L:L,0,)</f>
        <v>Unwrapped</v>
      </c>
      <c r="L2754" t="str">
        <f>_xlfn.XLOOKUP($A2754,Load!$B:$B,Load!M:M,0,)</f>
        <v>Single Brand / Variety Flavors or Form</v>
      </c>
    </row>
    <row r="2755" spans="1:12" x14ac:dyDescent="0.25">
      <c r="B2755">
        <f>_xlfn.XLOOKUP($A2755,Load!$B:$B,Load!C:C,0,)</f>
        <v>0</v>
      </c>
      <c r="C2755">
        <f>_xlfn.XLOOKUP($A2755,Load!$B:$B,Load!D:D,0,)</f>
        <v>0</v>
      </c>
      <c r="D2755">
        <f>_xlfn.XLOOKUP($A2755,Load!$B:$B,Load!E:E,0,)</f>
        <v>0</v>
      </c>
      <c r="E2755">
        <f>_xlfn.XLOOKUP($A2755,Load!$B:$B,Load!F:F,0,)</f>
        <v>0</v>
      </c>
      <c r="F2755">
        <f>_xlfn.XLOOKUP($A2755,Load!$B:$B,Load!G:G,0,)</f>
        <v>0</v>
      </c>
      <c r="G2755">
        <f>_xlfn.XLOOKUP($A2755,Load!$B:$B,Load!H:H,0,)</f>
        <v>0</v>
      </c>
      <c r="H2755">
        <f>_xlfn.XLOOKUP($A2755,Load!$B:$B,Load!I:I,0,)</f>
        <v>0</v>
      </c>
      <c r="I2755">
        <f>_xlfn.XLOOKUP($A2755,Load!$B:$B,Load!J:J,0,)</f>
        <v>0</v>
      </c>
      <c r="J2755">
        <f>_xlfn.XLOOKUP($A2755,Load!$B:$B,Load!K:K,0,)</f>
        <v>0</v>
      </c>
      <c r="K2755">
        <f>_xlfn.XLOOKUP($A2755,Load!$B:$B,Load!L:L,0,)</f>
        <v>0</v>
      </c>
      <c r="L2755">
        <f>_xlfn.XLOOKUP($A2755,Load!$B:$B,Load!M:M,0,)</f>
        <v>0</v>
      </c>
    </row>
    <row r="2756" spans="1:12" x14ac:dyDescent="0.25">
      <c r="A2756" t="s">
        <v>73</v>
      </c>
      <c r="B2756" t="str">
        <f>_xlfn.XLOOKUP($A2756,Load!$B:$B,Load!C:C,0,)</f>
        <v>Dum Dums</v>
      </c>
      <c r="C2756" t="str">
        <f>_xlfn.XLOOKUP($A2756,Load!$B:$B,Load!D:D,0,)</f>
        <v>Non-Chocolate Candy Only</v>
      </c>
      <c r="D2756" t="str">
        <f>_xlfn.XLOOKUP($A2756,Load!$B:$B,Load!E:E,0,)</f>
        <v>Variety / Mixed Flavors (Fruity, Sour, Seasonal Flavors)</v>
      </c>
      <c r="E2756" t="str">
        <f>_xlfn.XLOOKUP($A2756,Load!$B:$B,Load!F:F,0,)</f>
        <v>Lollipop (regular or lollipop rings)</v>
      </c>
      <c r="F2756" t="str">
        <f>_xlfn.XLOOKUP($A2756,Load!$B:$B,Load!G:G,0,)</f>
        <v>Single Pack</v>
      </c>
      <c r="G2756" t="str">
        <f>_xlfn.XLOOKUP($A2756,Load!$B:$B,Load!H:H,0,)</f>
        <v>Laydown Bag</v>
      </c>
      <c r="H2756" t="str">
        <f>_xlfn.XLOOKUP($A2756,Load!$B:$B,Load!I:I,0,)</f>
        <v>Everyday Candy Shapes (like Original, Gummy bear, Fruit, Jewels, etc.)</v>
      </c>
      <c r="I2756" t="str">
        <f>_xlfn.XLOOKUP($A2756,Load!$B:$B,Load!J:J,0,)</f>
        <v>Seasonal Graphics (Like Bat, Ghost, Pumpkin, Fall Leaves, Eyeballs, etc.)</v>
      </c>
      <c r="J2756" t="str">
        <f>_xlfn.XLOOKUP($A2756,Load!$B:$B,Load!K:K,0,)</f>
        <v>Regular Lollipop size (on sticks or rings)</v>
      </c>
      <c r="K2756" t="str">
        <f>_xlfn.XLOOKUP($A2756,Load!$B:$B,Load!L:L,0,)</f>
        <v>Regular/Original Wrapping</v>
      </c>
      <c r="L2756" t="str">
        <f>_xlfn.XLOOKUP($A2756,Load!$B:$B,Load!M:M,0,)</f>
        <v>Single Brand / Variety Flavors or Form</v>
      </c>
    </row>
    <row r="2757" spans="1:12" x14ac:dyDescent="0.25">
      <c r="A2757" t="s">
        <v>157</v>
      </c>
      <c r="B2757" t="str">
        <f>_xlfn.XLOOKUP($A2757,Load!$B:$B,Load!C:C,0,)</f>
        <v>Jolly Rancher</v>
      </c>
      <c r="C2757" t="str">
        <f>_xlfn.XLOOKUP($A2757,Load!$B:$B,Load!D:D,0,)</f>
        <v>Non-Chocolate Candy Only</v>
      </c>
      <c r="D2757" t="str">
        <f>_xlfn.XLOOKUP($A2757,Load!$B:$B,Load!E:E,0,)</f>
        <v>Fruit Flavor (Cherry, Grape, Apple, Citrus, Tropical Fruit)</v>
      </c>
      <c r="E2757" t="str">
        <f>_xlfn.XLOOKUP($A2757,Load!$B:$B,Load!F:F,0,)</f>
        <v>Hard Candy</v>
      </c>
      <c r="F2757" t="str">
        <f>_xlfn.XLOOKUP($A2757,Load!$B:$B,Load!G:G,0,)</f>
        <v>Single Pack</v>
      </c>
      <c r="G2757" t="str">
        <f>_xlfn.XLOOKUP($A2757,Load!$B:$B,Load!H:H,0,)</f>
        <v>Laydown Bag</v>
      </c>
      <c r="H2757" t="str">
        <f>_xlfn.XLOOKUP($A2757,Load!$B:$B,Load!I:I,0,)</f>
        <v>Everyday Candy Shapes (like Original, Gummy bear, Fruit, Jewels, etc.)</v>
      </c>
      <c r="I2757" t="str">
        <f>_xlfn.XLOOKUP($A2757,Load!$B:$B,Load!J:J,0,)</f>
        <v>Everyday Graphics</v>
      </c>
      <c r="J2757" t="str">
        <f>_xlfn.XLOOKUP($A2757,Load!$B:$B,Load!K:K,0,)</f>
        <v>Small Pieces (Tiny bite size candies)</v>
      </c>
      <c r="K2757" t="str">
        <f>_xlfn.XLOOKUP($A2757,Load!$B:$B,Load!L:L,0,)</f>
        <v>Regular/Original Wrapping</v>
      </c>
      <c r="L2757" t="str">
        <f>_xlfn.XLOOKUP($A2757,Load!$B:$B,Load!M:M,0,)</f>
        <v>Single Brand / Variety Flavors or Form</v>
      </c>
    </row>
    <row r="2758" spans="1:12" x14ac:dyDescent="0.25">
      <c r="A2758" t="s">
        <v>85</v>
      </c>
      <c r="B2758" t="str">
        <f>_xlfn.XLOOKUP($A2758,Load!$B:$B,Load!C:C,0,)</f>
        <v>Ferrara Variety Pack</v>
      </c>
      <c r="C2758" t="str">
        <f>_xlfn.XLOOKUP($A2758,Load!$B:$B,Load!D:D,0,)</f>
        <v>Non-Chocolate Candy Only</v>
      </c>
      <c r="D2758" t="str">
        <f>_xlfn.XLOOKUP($A2758,Load!$B:$B,Load!E:E,0,)</f>
        <v>Variety / Mixed Flavors (Fruity, Sour, Seasonal Flavors)</v>
      </c>
      <c r="E2758" t="str">
        <f>_xlfn.XLOOKUP($A2758,Load!$B:$B,Load!F:F,0,)</f>
        <v>Mixed / Combo Packs (Gummy, Chewy, Taffy, etc.)</v>
      </c>
      <c r="F2758" t="str">
        <f>_xlfn.XLOOKUP($A2758,Load!$B:$B,Load!G:G,0,)</f>
        <v>Large Multipack (More than 80 ct)</v>
      </c>
      <c r="G2758" t="str">
        <f>_xlfn.XLOOKUP($A2758,Load!$B:$B,Load!H:H,0,)</f>
        <v>Stand-Up Bag</v>
      </c>
      <c r="H2758" t="str">
        <f>_xlfn.XLOOKUP($A2758,Load!$B:$B,Load!I:I,0,)</f>
        <v>Seasonal Shapes (like pumpkins, candy corn, ghost, bats, etc.)</v>
      </c>
      <c r="I2758" t="str">
        <f>_xlfn.XLOOKUP($A2758,Load!$B:$B,Load!J:J,0,)</f>
        <v>Seasonal Graphics (Like Bat, Ghost, Pumpkin, Fall Leaves, Eyeballs, etc.)</v>
      </c>
      <c r="J2758" t="str">
        <f>_xlfn.XLOOKUP($A2758,Load!$B:$B,Load!K:K,0,)</f>
        <v>Fun Size / Treat Size</v>
      </c>
      <c r="K2758" t="str">
        <f>_xlfn.XLOOKUP($A2758,Load!$B:$B,Load!L:L,0,)</f>
        <v>Regular/Original Wrapping</v>
      </c>
      <c r="L2758" t="str">
        <f>_xlfn.XLOOKUP($A2758,Load!$B:$B,Load!M:M,0,)</f>
        <v>Multiple Brands / Variety Flavors or Form</v>
      </c>
    </row>
    <row r="2759" spans="1:12" x14ac:dyDescent="0.25">
      <c r="A2759" t="s">
        <v>255</v>
      </c>
      <c r="B2759" t="str">
        <f>_xlfn.XLOOKUP($A2759,Load!$B:$B,Load!C:C,0,)</f>
        <v>Skittles</v>
      </c>
      <c r="C2759" t="str">
        <f>_xlfn.XLOOKUP($A2759,Load!$B:$B,Load!D:D,0,)</f>
        <v>Non-Chocolate Candy Only</v>
      </c>
      <c r="D2759" t="str">
        <f>_xlfn.XLOOKUP($A2759,Load!$B:$B,Load!E:E,0,)</f>
        <v>Variety / Mixed Flavors (Fruity, Sour, Seasonal Flavors)</v>
      </c>
      <c r="E2759" t="str">
        <f>_xlfn.XLOOKUP($A2759,Load!$B:$B,Load!F:F,0,)</f>
        <v>Gummy</v>
      </c>
      <c r="F2759" t="str">
        <f>_xlfn.XLOOKUP($A2759,Load!$B:$B,Load!G:G,0,)</f>
        <v>Large Multipack (More than 80 ct)</v>
      </c>
      <c r="G2759" t="str">
        <f>_xlfn.XLOOKUP($A2759,Load!$B:$B,Load!H:H,0,)</f>
        <v>Stand-Up Bag</v>
      </c>
      <c r="H2759" t="str">
        <f>_xlfn.XLOOKUP($A2759,Load!$B:$B,Load!I:I,0,)</f>
        <v>Everyday Candy Shapes (like Original, Gummy bear, Fruit, Jewels, etc.)</v>
      </c>
      <c r="I2759" t="str">
        <f>_xlfn.XLOOKUP($A2759,Load!$B:$B,Load!J:J,0,)</f>
        <v>Everyday Graphics</v>
      </c>
      <c r="J2759" t="str">
        <f>_xlfn.XLOOKUP($A2759,Load!$B:$B,Load!K:K,0,)</f>
        <v>Fun Size / Treat Size</v>
      </c>
      <c r="K2759" t="str">
        <f>_xlfn.XLOOKUP($A2759,Load!$B:$B,Load!L:L,0,)</f>
        <v>Regular/Original Wrapping</v>
      </c>
      <c r="L2759" t="str">
        <f>_xlfn.XLOOKUP($A2759,Load!$B:$B,Load!M:M,0,)</f>
        <v>Single Brand / Variety Flavors or Form</v>
      </c>
    </row>
    <row r="2760" spans="1:12" x14ac:dyDescent="0.25">
      <c r="A2760" t="s">
        <v>218</v>
      </c>
      <c r="B2760" t="str">
        <f>_xlfn.XLOOKUP($A2760,Load!$B:$B,Load!C:C,0,)</f>
        <v>Mondelez Variety Pack</v>
      </c>
      <c r="C2760" t="str">
        <f>_xlfn.XLOOKUP($A2760,Load!$B:$B,Load!D:D,0,)</f>
        <v>Non-Chocolate Candy Only</v>
      </c>
      <c r="D2760" t="str">
        <f>_xlfn.XLOOKUP($A2760,Load!$B:$B,Load!E:E,0,)</f>
        <v>Sour</v>
      </c>
      <c r="E2760" t="str">
        <f>_xlfn.XLOOKUP($A2760,Load!$B:$B,Load!F:F,0,)</f>
        <v>Mixed / Combo Packs (Gummy, Chewy, Taffy, etc.)</v>
      </c>
      <c r="F2760" t="str">
        <f>_xlfn.XLOOKUP($A2760,Load!$B:$B,Load!G:G,0,)</f>
        <v>Large Multipack (More than 80 ct)</v>
      </c>
      <c r="G2760" t="str">
        <f>_xlfn.XLOOKUP($A2760,Load!$B:$B,Load!H:H,0,)</f>
        <v>Stand-Up Bag</v>
      </c>
      <c r="H2760" t="str">
        <f>_xlfn.XLOOKUP($A2760,Load!$B:$B,Load!I:I,0,)</f>
        <v>Seasonal Shapes (like pumpkins, candy corn, ghost, bats, etc.)</v>
      </c>
      <c r="I2760" t="str">
        <f>_xlfn.XLOOKUP($A2760,Load!$B:$B,Load!J:J,0,)</f>
        <v>Seasonal Graphics (Like Bat, Ghost, Pumpkin, Fall Leaves, Eyeballs, etc.)</v>
      </c>
      <c r="J2760" t="str">
        <f>_xlfn.XLOOKUP($A2760,Load!$B:$B,Load!K:K,0,)</f>
        <v>Small Pieces (Tiny bite size candies)</v>
      </c>
      <c r="K2760" t="str">
        <f>_xlfn.XLOOKUP($A2760,Load!$B:$B,Load!L:L,0,)</f>
        <v>Regular/Original Wrapping</v>
      </c>
      <c r="L2760" t="str">
        <f>_xlfn.XLOOKUP($A2760,Load!$B:$B,Load!M:M,0,)</f>
        <v>Multiple Brands / Variety Flavors or Form</v>
      </c>
    </row>
    <row r="2761" spans="1:12" x14ac:dyDescent="0.25">
      <c r="B2761">
        <f>_xlfn.XLOOKUP($A2761,Load!$B:$B,Load!C:C,0,)</f>
        <v>0</v>
      </c>
      <c r="C2761">
        <f>_xlfn.XLOOKUP($A2761,Load!$B:$B,Load!D:D,0,)</f>
        <v>0</v>
      </c>
      <c r="D2761">
        <f>_xlfn.XLOOKUP($A2761,Load!$B:$B,Load!E:E,0,)</f>
        <v>0</v>
      </c>
      <c r="E2761">
        <f>_xlfn.XLOOKUP($A2761,Load!$B:$B,Load!F:F,0,)</f>
        <v>0</v>
      </c>
      <c r="F2761">
        <f>_xlfn.XLOOKUP($A2761,Load!$B:$B,Load!G:G,0,)</f>
        <v>0</v>
      </c>
      <c r="G2761">
        <f>_xlfn.XLOOKUP($A2761,Load!$B:$B,Load!H:H,0,)</f>
        <v>0</v>
      </c>
      <c r="H2761">
        <f>_xlfn.XLOOKUP($A2761,Load!$B:$B,Load!I:I,0,)</f>
        <v>0</v>
      </c>
      <c r="I2761">
        <f>_xlfn.XLOOKUP($A2761,Load!$B:$B,Load!J:J,0,)</f>
        <v>0</v>
      </c>
      <c r="J2761">
        <f>_xlfn.XLOOKUP($A2761,Load!$B:$B,Load!K:K,0,)</f>
        <v>0</v>
      </c>
      <c r="K2761">
        <f>_xlfn.XLOOKUP($A2761,Load!$B:$B,Load!L:L,0,)</f>
        <v>0</v>
      </c>
      <c r="L2761">
        <f>_xlfn.XLOOKUP($A2761,Load!$B:$B,Load!M:M,0,)</f>
        <v>0</v>
      </c>
    </row>
    <row r="2762" spans="1:12" x14ac:dyDescent="0.25">
      <c r="B2762">
        <f>_xlfn.XLOOKUP($A2762,Load!$B:$B,Load!C:C,0,)</f>
        <v>0</v>
      </c>
      <c r="C2762">
        <f>_xlfn.XLOOKUP($A2762,Load!$B:$B,Load!D:D,0,)</f>
        <v>0</v>
      </c>
      <c r="D2762">
        <f>_xlfn.XLOOKUP($A2762,Load!$B:$B,Load!E:E,0,)</f>
        <v>0</v>
      </c>
      <c r="E2762">
        <f>_xlfn.XLOOKUP($A2762,Load!$B:$B,Load!F:F,0,)</f>
        <v>0</v>
      </c>
      <c r="F2762">
        <f>_xlfn.XLOOKUP($A2762,Load!$B:$B,Load!G:G,0,)</f>
        <v>0</v>
      </c>
      <c r="G2762">
        <f>_xlfn.XLOOKUP($A2762,Load!$B:$B,Load!H:H,0,)</f>
        <v>0</v>
      </c>
      <c r="H2762">
        <f>_xlfn.XLOOKUP($A2762,Load!$B:$B,Load!I:I,0,)</f>
        <v>0</v>
      </c>
      <c r="I2762">
        <f>_xlfn.XLOOKUP($A2762,Load!$B:$B,Load!J:J,0,)</f>
        <v>0</v>
      </c>
      <c r="J2762">
        <f>_xlfn.XLOOKUP($A2762,Load!$B:$B,Load!K:K,0,)</f>
        <v>0</v>
      </c>
      <c r="K2762">
        <f>_xlfn.XLOOKUP($A2762,Load!$B:$B,Load!L:L,0,)</f>
        <v>0</v>
      </c>
      <c r="L2762">
        <f>_xlfn.XLOOKUP($A2762,Load!$B:$B,Load!M:M,0,)</f>
        <v>0</v>
      </c>
    </row>
    <row r="2763" spans="1:12" x14ac:dyDescent="0.25">
      <c r="B2763">
        <f>_xlfn.XLOOKUP($A2763,Load!$B:$B,Load!C:C,0,)</f>
        <v>0</v>
      </c>
      <c r="C2763">
        <f>_xlfn.XLOOKUP($A2763,Load!$B:$B,Load!D:D,0,)</f>
        <v>0</v>
      </c>
      <c r="D2763">
        <f>_xlfn.XLOOKUP($A2763,Load!$B:$B,Load!E:E,0,)</f>
        <v>0</v>
      </c>
      <c r="E2763">
        <f>_xlfn.XLOOKUP($A2763,Load!$B:$B,Load!F:F,0,)</f>
        <v>0</v>
      </c>
      <c r="F2763">
        <f>_xlfn.XLOOKUP($A2763,Load!$B:$B,Load!G:G,0,)</f>
        <v>0</v>
      </c>
      <c r="G2763">
        <f>_xlfn.XLOOKUP($A2763,Load!$B:$B,Load!H:H,0,)</f>
        <v>0</v>
      </c>
      <c r="H2763">
        <f>_xlfn.XLOOKUP($A2763,Load!$B:$B,Load!I:I,0,)</f>
        <v>0</v>
      </c>
      <c r="I2763">
        <f>_xlfn.XLOOKUP($A2763,Load!$B:$B,Load!J:J,0,)</f>
        <v>0</v>
      </c>
      <c r="J2763">
        <f>_xlfn.XLOOKUP($A2763,Load!$B:$B,Load!K:K,0,)</f>
        <v>0</v>
      </c>
      <c r="K2763">
        <f>_xlfn.XLOOKUP($A2763,Load!$B:$B,Load!L:L,0,)</f>
        <v>0</v>
      </c>
      <c r="L2763">
        <f>_xlfn.XLOOKUP($A2763,Load!$B:$B,Load!M:M,0,)</f>
        <v>0</v>
      </c>
    </row>
    <row r="2764" spans="1:12" x14ac:dyDescent="0.25">
      <c r="B2764">
        <f>_xlfn.XLOOKUP($A2764,Load!$B:$B,Load!C:C,0,)</f>
        <v>0</v>
      </c>
      <c r="C2764">
        <f>_xlfn.XLOOKUP($A2764,Load!$B:$B,Load!D:D,0,)</f>
        <v>0</v>
      </c>
      <c r="D2764">
        <f>_xlfn.XLOOKUP($A2764,Load!$B:$B,Load!E:E,0,)</f>
        <v>0</v>
      </c>
      <c r="E2764">
        <f>_xlfn.XLOOKUP($A2764,Load!$B:$B,Load!F:F,0,)</f>
        <v>0</v>
      </c>
      <c r="F2764">
        <f>_xlfn.XLOOKUP($A2764,Load!$B:$B,Load!G:G,0,)</f>
        <v>0</v>
      </c>
      <c r="G2764">
        <f>_xlfn.XLOOKUP($A2764,Load!$B:$B,Load!H:H,0,)</f>
        <v>0</v>
      </c>
      <c r="H2764">
        <f>_xlfn.XLOOKUP($A2764,Load!$B:$B,Load!I:I,0,)</f>
        <v>0</v>
      </c>
      <c r="I2764">
        <f>_xlfn.XLOOKUP($A2764,Load!$B:$B,Load!J:J,0,)</f>
        <v>0</v>
      </c>
      <c r="J2764">
        <f>_xlfn.XLOOKUP($A2764,Load!$B:$B,Load!K:K,0,)</f>
        <v>0</v>
      </c>
      <c r="K2764">
        <f>_xlfn.XLOOKUP($A2764,Load!$B:$B,Load!L:L,0,)</f>
        <v>0</v>
      </c>
      <c r="L2764">
        <f>_xlfn.XLOOKUP($A2764,Load!$B:$B,Load!M:M,0,)</f>
        <v>0</v>
      </c>
    </row>
    <row r="2765" spans="1:12" x14ac:dyDescent="0.25">
      <c r="B2765">
        <f>_xlfn.XLOOKUP($A2765,Load!$B:$B,Load!C:C,0,)</f>
        <v>0</v>
      </c>
      <c r="C2765">
        <f>_xlfn.XLOOKUP($A2765,Load!$B:$B,Load!D:D,0,)</f>
        <v>0</v>
      </c>
      <c r="D2765">
        <f>_xlfn.XLOOKUP($A2765,Load!$B:$B,Load!E:E,0,)</f>
        <v>0</v>
      </c>
      <c r="E2765">
        <f>_xlfn.XLOOKUP($A2765,Load!$B:$B,Load!F:F,0,)</f>
        <v>0</v>
      </c>
      <c r="F2765">
        <f>_xlfn.XLOOKUP($A2765,Load!$B:$B,Load!G:G,0,)</f>
        <v>0</v>
      </c>
      <c r="G2765">
        <f>_xlfn.XLOOKUP($A2765,Load!$B:$B,Load!H:H,0,)</f>
        <v>0</v>
      </c>
      <c r="H2765">
        <f>_xlfn.XLOOKUP($A2765,Load!$B:$B,Load!I:I,0,)</f>
        <v>0</v>
      </c>
      <c r="I2765">
        <f>_xlfn.XLOOKUP($A2765,Load!$B:$B,Load!J:J,0,)</f>
        <v>0</v>
      </c>
      <c r="J2765">
        <f>_xlfn.XLOOKUP($A2765,Load!$B:$B,Load!K:K,0,)</f>
        <v>0</v>
      </c>
      <c r="K2765">
        <f>_xlfn.XLOOKUP($A2765,Load!$B:$B,Load!L:L,0,)</f>
        <v>0</v>
      </c>
      <c r="L2765">
        <f>_xlfn.XLOOKUP($A2765,Load!$B:$B,Load!M:M,0,)</f>
        <v>0</v>
      </c>
    </row>
    <row r="2766" spans="1:12" x14ac:dyDescent="0.25">
      <c r="A2766" t="s">
        <v>463</v>
      </c>
      <c r="B2766" t="str">
        <f>_xlfn.XLOOKUP($A2766,Load!$B:$B,Load!C:C,0,)</f>
        <v>Mars Variety Pack</v>
      </c>
      <c r="C2766" t="str">
        <f>_xlfn.XLOOKUP($A2766,Load!$B:$B,Load!D:D,0,)</f>
        <v>Mix of Chocolate and Non-Chocolate Candy</v>
      </c>
      <c r="D2766" t="str">
        <f>_xlfn.XLOOKUP($A2766,Load!$B:$B,Load!E:E,0,)</f>
        <v>Variety / Mixed Flavors (Fruity, Sour, Seasonal Flavors)</v>
      </c>
      <c r="E2766" t="str">
        <f>_xlfn.XLOOKUP($A2766,Load!$B:$B,Load!F:F,0,)</f>
        <v>Mixed / Combo Packs (Gummy, Chewy, Taffy, etc.)</v>
      </c>
      <c r="F2766" t="str">
        <f>_xlfn.XLOOKUP($A2766,Load!$B:$B,Load!G:G,0,)</f>
        <v>Medium Multipack (40–80 ct)</v>
      </c>
      <c r="G2766" t="str">
        <f>_xlfn.XLOOKUP($A2766,Load!$B:$B,Load!H:H,0,)</f>
        <v>Stand-Up Bag</v>
      </c>
      <c r="H2766" t="str">
        <f>_xlfn.XLOOKUP($A2766,Load!$B:$B,Load!I:I,0,)</f>
        <v>Everyday Candy Shapes (like Original, Gummy bear, Fruit, Jewels, etc.)</v>
      </c>
      <c r="I2766" t="str">
        <f>_xlfn.XLOOKUP($A2766,Load!$B:$B,Load!J:J,0,)</f>
        <v>Seasonal Graphics (Like Bat, Ghost, Pumpkin, Fall Leaves, Eyeballs, etc.)</v>
      </c>
      <c r="J2766" t="str">
        <f>_xlfn.XLOOKUP($A2766,Load!$B:$B,Load!K:K,0,)</f>
        <v>Fun Size / Treat Size</v>
      </c>
      <c r="K2766" t="str">
        <f>_xlfn.XLOOKUP($A2766,Load!$B:$B,Load!L:L,0,)</f>
        <v>Regular/Original Wrapping</v>
      </c>
      <c r="L2766" t="str">
        <f>_xlfn.XLOOKUP($A2766,Load!$B:$B,Load!M:M,0,)</f>
        <v>Multiple Brands / Variety Flavors or Form</v>
      </c>
    </row>
    <row r="2767" spans="1:12" x14ac:dyDescent="0.25">
      <c r="A2767" t="s">
        <v>213</v>
      </c>
      <c r="B2767" t="str">
        <f>_xlfn.XLOOKUP($A2767,Load!$B:$B,Load!C:C,0,)</f>
        <v>Mars Variety Pack</v>
      </c>
      <c r="C2767" t="str">
        <f>_xlfn.XLOOKUP($A2767,Load!$B:$B,Load!D:D,0,)</f>
        <v>Mix of Chocolate and Non-Chocolate Candy</v>
      </c>
      <c r="D2767" t="str">
        <f>_xlfn.XLOOKUP($A2767,Load!$B:$B,Load!E:E,0,)</f>
        <v>Variety / Mixed Flavors (Fruity, Sour, Seasonal Flavors)</v>
      </c>
      <c r="E2767" t="str">
        <f>_xlfn.XLOOKUP($A2767,Load!$B:$B,Load!F:F,0,)</f>
        <v>Mixed / Combo Packs (Gummy, Chewy, Taffy, etc.)</v>
      </c>
      <c r="F2767" t="str">
        <f>_xlfn.XLOOKUP($A2767,Load!$B:$B,Load!G:G,0,)</f>
        <v>Medium Multipack (40–80 ct)</v>
      </c>
      <c r="G2767" t="str">
        <f>_xlfn.XLOOKUP($A2767,Load!$B:$B,Load!H:H,0,)</f>
        <v>Stand-Up Bag</v>
      </c>
      <c r="H2767" t="str">
        <f>_xlfn.XLOOKUP($A2767,Load!$B:$B,Load!I:I,0,)</f>
        <v>Everyday Candy Shapes (like Original, Gummy bear, Fruit, Jewels, etc.)</v>
      </c>
      <c r="I2767" t="str">
        <f>_xlfn.XLOOKUP($A2767,Load!$B:$B,Load!J:J,0,)</f>
        <v>Seasonal Graphics (Like Bat, Ghost, Pumpkin, Fall Leaves, Eyeballs, etc.)</v>
      </c>
      <c r="J2767" t="str">
        <f>_xlfn.XLOOKUP($A2767,Load!$B:$B,Load!K:K,0,)</f>
        <v>Fun Size / Treat Size</v>
      </c>
      <c r="K2767" t="str">
        <f>_xlfn.XLOOKUP($A2767,Load!$B:$B,Load!L:L,0,)</f>
        <v>Regular/Original Wrapping</v>
      </c>
      <c r="L2767" t="str">
        <f>_xlfn.XLOOKUP($A2767,Load!$B:$B,Load!M:M,0,)</f>
        <v>Multiple Brands / Variety Flavors or Form</v>
      </c>
    </row>
    <row r="2768" spans="1:12" x14ac:dyDescent="0.25">
      <c r="A2768" t="s">
        <v>188</v>
      </c>
      <c r="B2768" t="str">
        <f>_xlfn.XLOOKUP($A2768,Load!$B:$B,Load!C:C,0,)</f>
        <v>Mars Variety Pack</v>
      </c>
      <c r="C2768" t="str">
        <f>_xlfn.XLOOKUP($A2768,Load!$B:$B,Load!D:D,0,)</f>
        <v>Non-Chocolate Candy Only</v>
      </c>
      <c r="D2768" t="str">
        <f>_xlfn.XLOOKUP($A2768,Load!$B:$B,Load!E:E,0,)</f>
        <v>Variety / Mixed Flavors (Fruity, Sour, Seasonal Flavors)</v>
      </c>
      <c r="E2768" t="str">
        <f>_xlfn.XLOOKUP($A2768,Load!$B:$B,Load!F:F,0,)</f>
        <v>Mixed / Combo Packs (Gummy, Chewy, Taffy, etc.)</v>
      </c>
      <c r="F2768" t="str">
        <f>_xlfn.XLOOKUP($A2768,Load!$B:$B,Load!G:G,0,)</f>
        <v>Large Multipack (More than 80 ct)</v>
      </c>
      <c r="G2768" t="str">
        <f>_xlfn.XLOOKUP($A2768,Load!$B:$B,Load!H:H,0,)</f>
        <v>Laydown Bag</v>
      </c>
      <c r="H2768" t="str">
        <f>_xlfn.XLOOKUP($A2768,Load!$B:$B,Load!I:I,0,)</f>
        <v>Everyday Candy Shapes (like Original, Gummy bear, Fruit, Jewels, etc.)</v>
      </c>
      <c r="I2768" t="str">
        <f>_xlfn.XLOOKUP($A2768,Load!$B:$B,Load!J:J,0,)</f>
        <v>Everyday Graphics</v>
      </c>
      <c r="J2768" t="str">
        <f>_xlfn.XLOOKUP($A2768,Load!$B:$B,Load!K:K,0,)</f>
        <v>Small Pieces (Tiny bite size candies)</v>
      </c>
      <c r="K2768" t="str">
        <f>_xlfn.XLOOKUP($A2768,Load!$B:$B,Load!L:L,0,)</f>
        <v>Regular/Original Wrapping</v>
      </c>
      <c r="L2768" t="str">
        <f>_xlfn.XLOOKUP($A2768,Load!$B:$B,Load!M:M,0,)</f>
        <v>Multiple Brands / Variety Flavors or Form</v>
      </c>
    </row>
    <row r="2769" spans="1:12" x14ac:dyDescent="0.25">
      <c r="A2769" t="s">
        <v>202</v>
      </c>
      <c r="B2769" t="str">
        <f>_xlfn.XLOOKUP($A2769,Load!$B:$B,Load!C:C,0,)</f>
        <v>Mars Variety Pack</v>
      </c>
      <c r="C2769" t="str">
        <f>_xlfn.XLOOKUP($A2769,Load!$B:$B,Load!D:D,0,)</f>
        <v>Mix of Chocolate and Non-Chocolate Candy</v>
      </c>
      <c r="D2769" t="str">
        <f>_xlfn.XLOOKUP($A2769,Load!$B:$B,Load!E:E,0,)</f>
        <v>Variety / Mixed Flavors (Fruity, Sour, Seasonal Flavors)</v>
      </c>
      <c r="E2769" t="str">
        <f>_xlfn.XLOOKUP($A2769,Load!$B:$B,Load!F:F,0,)</f>
        <v>Mixed / Combo Packs (Gummy, Chewy, Taffy, etc.)</v>
      </c>
      <c r="F2769" t="str">
        <f>_xlfn.XLOOKUP($A2769,Load!$B:$B,Load!G:G,0,)</f>
        <v>Large Multipack (More than 80 ct)</v>
      </c>
      <c r="G2769" t="str">
        <f>_xlfn.XLOOKUP($A2769,Load!$B:$B,Load!H:H,0,)</f>
        <v>Stand-Up Bag</v>
      </c>
      <c r="H2769" t="str">
        <f>_xlfn.XLOOKUP($A2769,Load!$B:$B,Load!I:I,0,)</f>
        <v>Everyday Candy Shapes (like Original, Gummy bear, Fruit, Jewels, etc.)</v>
      </c>
      <c r="I2769" t="str">
        <f>_xlfn.XLOOKUP($A2769,Load!$B:$B,Load!J:J,0,)</f>
        <v>Everyday Graphics</v>
      </c>
      <c r="J2769" t="str">
        <f>_xlfn.XLOOKUP($A2769,Load!$B:$B,Load!K:K,0,)</f>
        <v>Fun Size / Treat Size</v>
      </c>
      <c r="K2769" t="str">
        <f>_xlfn.XLOOKUP($A2769,Load!$B:$B,Load!L:L,0,)</f>
        <v>Regular/Original Wrapping</v>
      </c>
      <c r="L2769" t="str">
        <f>_xlfn.XLOOKUP($A2769,Load!$B:$B,Load!M:M,0,)</f>
        <v>Multiple Brands / Variety Flavors or Form</v>
      </c>
    </row>
    <row r="2770" spans="1:12" x14ac:dyDescent="0.25">
      <c r="B2770">
        <f>_xlfn.XLOOKUP($A2770,Load!$B:$B,Load!C:C,0,)</f>
        <v>0</v>
      </c>
      <c r="C2770">
        <f>_xlfn.XLOOKUP($A2770,Load!$B:$B,Load!D:D,0,)</f>
        <v>0</v>
      </c>
      <c r="D2770">
        <f>_xlfn.XLOOKUP($A2770,Load!$B:$B,Load!E:E,0,)</f>
        <v>0</v>
      </c>
      <c r="E2770">
        <f>_xlfn.XLOOKUP($A2770,Load!$B:$B,Load!F:F,0,)</f>
        <v>0</v>
      </c>
      <c r="F2770">
        <f>_xlfn.XLOOKUP($A2770,Load!$B:$B,Load!G:G,0,)</f>
        <v>0</v>
      </c>
      <c r="G2770">
        <f>_xlfn.XLOOKUP($A2770,Load!$B:$B,Load!H:H,0,)</f>
        <v>0</v>
      </c>
      <c r="H2770">
        <f>_xlfn.XLOOKUP($A2770,Load!$B:$B,Load!I:I,0,)</f>
        <v>0</v>
      </c>
      <c r="I2770">
        <f>_xlfn.XLOOKUP($A2770,Load!$B:$B,Load!J:J,0,)</f>
        <v>0</v>
      </c>
      <c r="J2770">
        <f>_xlfn.XLOOKUP($A2770,Load!$B:$B,Load!K:K,0,)</f>
        <v>0</v>
      </c>
      <c r="K2770">
        <f>_xlfn.XLOOKUP($A2770,Load!$B:$B,Load!L:L,0,)</f>
        <v>0</v>
      </c>
      <c r="L2770">
        <f>_xlfn.XLOOKUP($A2770,Load!$B:$B,Load!M:M,0,)</f>
        <v>0</v>
      </c>
    </row>
    <row r="2771" spans="1:12" x14ac:dyDescent="0.25">
      <c r="B2771">
        <f>_xlfn.XLOOKUP($A2771,Load!$B:$B,Load!C:C,0,)</f>
        <v>0</v>
      </c>
      <c r="C2771">
        <f>_xlfn.XLOOKUP($A2771,Load!$B:$B,Load!D:D,0,)</f>
        <v>0</v>
      </c>
      <c r="D2771">
        <f>_xlfn.XLOOKUP($A2771,Load!$B:$B,Load!E:E,0,)</f>
        <v>0</v>
      </c>
      <c r="E2771">
        <f>_xlfn.XLOOKUP($A2771,Load!$B:$B,Load!F:F,0,)</f>
        <v>0</v>
      </c>
      <c r="F2771">
        <f>_xlfn.XLOOKUP($A2771,Load!$B:$B,Load!G:G,0,)</f>
        <v>0</v>
      </c>
      <c r="G2771">
        <f>_xlfn.XLOOKUP($A2771,Load!$B:$B,Load!H:H,0,)</f>
        <v>0</v>
      </c>
      <c r="H2771">
        <f>_xlfn.XLOOKUP($A2771,Load!$B:$B,Load!I:I,0,)</f>
        <v>0</v>
      </c>
      <c r="I2771">
        <f>_xlfn.XLOOKUP($A2771,Load!$B:$B,Load!J:J,0,)</f>
        <v>0</v>
      </c>
      <c r="J2771">
        <f>_xlfn.XLOOKUP($A2771,Load!$B:$B,Load!K:K,0,)</f>
        <v>0</v>
      </c>
      <c r="K2771">
        <f>_xlfn.XLOOKUP($A2771,Load!$B:$B,Load!L:L,0,)</f>
        <v>0</v>
      </c>
      <c r="L2771">
        <f>_xlfn.XLOOKUP($A2771,Load!$B:$B,Load!M:M,0,)</f>
        <v>0</v>
      </c>
    </row>
    <row r="2772" spans="1:12" x14ac:dyDescent="0.25">
      <c r="A2772" t="s">
        <v>463</v>
      </c>
      <c r="B2772" t="str">
        <f>_xlfn.XLOOKUP($A2772,Load!$B:$B,Load!C:C,0,)</f>
        <v>Mars Variety Pack</v>
      </c>
      <c r="C2772" t="str">
        <f>_xlfn.XLOOKUP($A2772,Load!$B:$B,Load!D:D,0,)</f>
        <v>Mix of Chocolate and Non-Chocolate Candy</v>
      </c>
      <c r="D2772" t="str">
        <f>_xlfn.XLOOKUP($A2772,Load!$B:$B,Load!E:E,0,)</f>
        <v>Variety / Mixed Flavors (Fruity, Sour, Seasonal Flavors)</v>
      </c>
      <c r="E2772" t="str">
        <f>_xlfn.XLOOKUP($A2772,Load!$B:$B,Load!F:F,0,)</f>
        <v>Mixed / Combo Packs (Gummy, Chewy, Taffy, etc.)</v>
      </c>
      <c r="F2772" t="str">
        <f>_xlfn.XLOOKUP($A2772,Load!$B:$B,Load!G:G,0,)</f>
        <v>Medium Multipack (40–80 ct)</v>
      </c>
      <c r="G2772" t="str">
        <f>_xlfn.XLOOKUP($A2772,Load!$B:$B,Load!H:H,0,)</f>
        <v>Stand-Up Bag</v>
      </c>
      <c r="H2772" t="str">
        <f>_xlfn.XLOOKUP($A2772,Load!$B:$B,Load!I:I,0,)</f>
        <v>Everyday Candy Shapes (like Original, Gummy bear, Fruit, Jewels, etc.)</v>
      </c>
      <c r="I2772" t="str">
        <f>_xlfn.XLOOKUP($A2772,Load!$B:$B,Load!J:J,0,)</f>
        <v>Seasonal Graphics (Like Bat, Ghost, Pumpkin, Fall Leaves, Eyeballs, etc.)</v>
      </c>
      <c r="J2772" t="str">
        <f>_xlfn.XLOOKUP($A2772,Load!$B:$B,Load!K:K,0,)</f>
        <v>Fun Size / Treat Size</v>
      </c>
      <c r="K2772" t="str">
        <f>_xlfn.XLOOKUP($A2772,Load!$B:$B,Load!L:L,0,)</f>
        <v>Regular/Original Wrapping</v>
      </c>
      <c r="L2772" t="str">
        <f>_xlfn.XLOOKUP($A2772,Load!$B:$B,Load!M:M,0,)</f>
        <v>Multiple Brands / Variety Flavors or Form</v>
      </c>
    </row>
    <row r="2773" spans="1:12" x14ac:dyDescent="0.25">
      <c r="B2773">
        <f>_xlfn.XLOOKUP($A2773,Load!$B:$B,Load!C:C,0,)</f>
        <v>0</v>
      </c>
      <c r="C2773">
        <f>_xlfn.XLOOKUP($A2773,Load!$B:$B,Load!D:D,0,)</f>
        <v>0</v>
      </c>
      <c r="D2773">
        <f>_xlfn.XLOOKUP($A2773,Load!$B:$B,Load!E:E,0,)</f>
        <v>0</v>
      </c>
      <c r="E2773">
        <f>_xlfn.XLOOKUP($A2773,Load!$B:$B,Load!F:F,0,)</f>
        <v>0</v>
      </c>
      <c r="F2773">
        <f>_xlfn.XLOOKUP($A2773,Load!$B:$B,Load!G:G,0,)</f>
        <v>0</v>
      </c>
      <c r="G2773">
        <f>_xlfn.XLOOKUP($A2773,Load!$B:$B,Load!H:H,0,)</f>
        <v>0</v>
      </c>
      <c r="H2773">
        <f>_xlfn.XLOOKUP($A2773,Load!$B:$B,Load!I:I,0,)</f>
        <v>0</v>
      </c>
      <c r="I2773">
        <f>_xlfn.XLOOKUP($A2773,Load!$B:$B,Load!J:J,0,)</f>
        <v>0</v>
      </c>
      <c r="J2773">
        <f>_xlfn.XLOOKUP($A2773,Load!$B:$B,Load!K:K,0,)</f>
        <v>0</v>
      </c>
      <c r="K2773">
        <f>_xlfn.XLOOKUP($A2773,Load!$B:$B,Load!L:L,0,)</f>
        <v>0</v>
      </c>
      <c r="L2773">
        <f>_xlfn.XLOOKUP($A2773,Load!$B:$B,Load!M:M,0,)</f>
        <v>0</v>
      </c>
    </row>
    <row r="2774" spans="1:12" x14ac:dyDescent="0.25">
      <c r="B2774">
        <f>_xlfn.XLOOKUP($A2774,Load!$B:$B,Load!C:C,0,)</f>
        <v>0</v>
      </c>
      <c r="C2774">
        <f>_xlfn.XLOOKUP($A2774,Load!$B:$B,Load!D:D,0,)</f>
        <v>0</v>
      </c>
      <c r="D2774">
        <f>_xlfn.XLOOKUP($A2774,Load!$B:$B,Load!E:E,0,)</f>
        <v>0</v>
      </c>
      <c r="E2774">
        <f>_xlfn.XLOOKUP($A2774,Load!$B:$B,Load!F:F,0,)</f>
        <v>0</v>
      </c>
      <c r="F2774">
        <f>_xlfn.XLOOKUP($A2774,Load!$B:$B,Load!G:G,0,)</f>
        <v>0</v>
      </c>
      <c r="G2774">
        <f>_xlfn.XLOOKUP($A2774,Load!$B:$B,Load!H:H,0,)</f>
        <v>0</v>
      </c>
      <c r="H2774">
        <f>_xlfn.XLOOKUP($A2774,Load!$B:$B,Load!I:I,0,)</f>
        <v>0</v>
      </c>
      <c r="I2774">
        <f>_xlfn.XLOOKUP($A2774,Load!$B:$B,Load!J:J,0,)</f>
        <v>0</v>
      </c>
      <c r="J2774">
        <f>_xlfn.XLOOKUP($A2774,Load!$B:$B,Load!K:K,0,)</f>
        <v>0</v>
      </c>
      <c r="K2774">
        <f>_xlfn.XLOOKUP($A2774,Load!$B:$B,Load!L:L,0,)</f>
        <v>0</v>
      </c>
      <c r="L2774">
        <f>_xlfn.XLOOKUP($A2774,Load!$B:$B,Load!M:M,0,)</f>
        <v>0</v>
      </c>
    </row>
    <row r="2775" spans="1:12" x14ac:dyDescent="0.25">
      <c r="B2775">
        <f>_xlfn.XLOOKUP($A2775,Load!$B:$B,Load!C:C,0,)</f>
        <v>0</v>
      </c>
      <c r="C2775">
        <f>_xlfn.XLOOKUP($A2775,Load!$B:$B,Load!D:D,0,)</f>
        <v>0</v>
      </c>
      <c r="D2775">
        <f>_xlfn.XLOOKUP($A2775,Load!$B:$B,Load!E:E,0,)</f>
        <v>0</v>
      </c>
      <c r="E2775">
        <f>_xlfn.XLOOKUP($A2775,Load!$B:$B,Load!F:F,0,)</f>
        <v>0</v>
      </c>
      <c r="F2775">
        <f>_xlfn.XLOOKUP($A2775,Load!$B:$B,Load!G:G,0,)</f>
        <v>0</v>
      </c>
      <c r="G2775">
        <f>_xlfn.XLOOKUP($A2775,Load!$B:$B,Load!H:H,0,)</f>
        <v>0</v>
      </c>
      <c r="H2775">
        <f>_xlfn.XLOOKUP($A2775,Load!$B:$B,Load!I:I,0,)</f>
        <v>0</v>
      </c>
      <c r="I2775">
        <f>_xlfn.XLOOKUP($A2775,Load!$B:$B,Load!J:J,0,)</f>
        <v>0</v>
      </c>
      <c r="J2775">
        <f>_xlfn.XLOOKUP($A2775,Load!$B:$B,Load!K:K,0,)</f>
        <v>0</v>
      </c>
      <c r="K2775">
        <f>_xlfn.XLOOKUP($A2775,Load!$B:$B,Load!L:L,0,)</f>
        <v>0</v>
      </c>
      <c r="L2775">
        <f>_xlfn.XLOOKUP($A2775,Load!$B:$B,Load!M:M,0,)</f>
        <v>0</v>
      </c>
    </row>
    <row r="2776" spans="1:12" x14ac:dyDescent="0.25">
      <c r="A2776" t="s">
        <v>232</v>
      </c>
      <c r="B2776" t="str">
        <f>_xlfn.XLOOKUP($A2776,Load!$B:$B,Load!C:C,0,)</f>
        <v>Nerds</v>
      </c>
      <c r="C2776" t="str">
        <f>_xlfn.XLOOKUP($A2776,Load!$B:$B,Load!D:D,0,)</f>
        <v>Non-Chocolate Candy Only</v>
      </c>
      <c r="D2776" t="str">
        <f>_xlfn.XLOOKUP($A2776,Load!$B:$B,Load!E:E,0,)</f>
        <v>Berry Based (Raspberry, Strawberry, Medley, etc.)</v>
      </c>
      <c r="E2776" t="str">
        <f>_xlfn.XLOOKUP($A2776,Load!$B:$B,Load!F:F,0,)</f>
        <v>Candy Pieces / Bites</v>
      </c>
      <c r="F2776" t="str">
        <f>_xlfn.XLOOKUP($A2776,Load!$B:$B,Load!G:G,0,)</f>
        <v>Single Pack</v>
      </c>
      <c r="G2776" t="str">
        <f>_xlfn.XLOOKUP($A2776,Load!$B:$B,Load!H:H,0,)</f>
        <v>Laydown Bag</v>
      </c>
      <c r="H2776" t="str">
        <f>_xlfn.XLOOKUP($A2776,Load!$B:$B,Load!I:I,0,)</f>
        <v>Everyday Candy Shapes (like Original, Gummy bear, Fruit, Jewels, etc.)</v>
      </c>
      <c r="I2776" t="str">
        <f>_xlfn.XLOOKUP($A2776,Load!$B:$B,Load!J:J,0,)</f>
        <v>Seasonal Graphics (Like Bat, Ghost, Pumpkin, Fall Leaves, Eyeballs, etc.)</v>
      </c>
      <c r="J2776" t="str">
        <f>_xlfn.XLOOKUP($A2776,Load!$B:$B,Load!K:K,0,)</f>
        <v>Small Pieces (Tiny bite size candies)</v>
      </c>
      <c r="K2776" t="str">
        <f>_xlfn.XLOOKUP($A2776,Load!$B:$B,Load!L:L,0,)</f>
        <v>Unwrapped</v>
      </c>
      <c r="L2776" t="str">
        <f>_xlfn.XLOOKUP($A2776,Load!$B:$B,Load!M:M,0,)</f>
        <v>Single Brand / Variety Flavors or Form</v>
      </c>
    </row>
    <row r="2777" spans="1:12" x14ac:dyDescent="0.25">
      <c r="A2777" t="s">
        <v>236</v>
      </c>
      <c r="B2777" t="str">
        <f>_xlfn.XLOOKUP($A2777,Load!$B:$B,Load!C:C,0,)</f>
        <v>Nerds</v>
      </c>
      <c r="C2777" t="str">
        <f>_xlfn.XLOOKUP($A2777,Load!$B:$B,Load!D:D,0,)</f>
        <v>Non-Chocolate Candy Only</v>
      </c>
      <c r="D2777" t="str">
        <f>_xlfn.XLOOKUP($A2777,Load!$B:$B,Load!E:E,0,)</f>
        <v>Variety / Mixed Flavors (Fruity, Sour, Seasonal Flavors)</v>
      </c>
      <c r="E2777" t="str">
        <f>_xlfn.XLOOKUP($A2777,Load!$B:$B,Load!F:F,0,)</f>
        <v>Candy Pieces / Bites</v>
      </c>
      <c r="F2777" t="str">
        <f>_xlfn.XLOOKUP($A2777,Load!$B:$B,Load!G:G,0,)</f>
        <v>Medium Multipack (40–80 ct)</v>
      </c>
      <c r="G2777" t="str">
        <f>_xlfn.XLOOKUP($A2777,Load!$B:$B,Load!H:H,0,)</f>
        <v>Stand-Up Bag</v>
      </c>
      <c r="H2777" t="str">
        <f>_xlfn.XLOOKUP($A2777,Load!$B:$B,Load!I:I,0,)</f>
        <v>Everyday Candy Shapes (like Original, Gummy bear, Fruit, Jewels, etc.)</v>
      </c>
      <c r="I2777" t="str">
        <f>_xlfn.XLOOKUP($A2777,Load!$B:$B,Load!J:J,0,)</f>
        <v>Seasonal Graphics (Like Bat, Ghost, Pumpkin, Fall Leaves, Eyeballs, etc.)</v>
      </c>
      <c r="J2777" t="str">
        <f>_xlfn.XLOOKUP($A2777,Load!$B:$B,Load!K:K,0,)</f>
        <v>Small Pieces (Tiny bite size candies)</v>
      </c>
      <c r="K2777" t="str">
        <f>_xlfn.XLOOKUP($A2777,Load!$B:$B,Load!L:L,0,)</f>
        <v>Unwrapped</v>
      </c>
      <c r="L2777" t="str">
        <f>_xlfn.XLOOKUP($A2777,Load!$B:$B,Load!M:M,0,)</f>
        <v>Single Brand / Variety Flavors or Form</v>
      </c>
    </row>
    <row r="2778" spans="1:12" x14ac:dyDescent="0.25">
      <c r="A2778" t="s">
        <v>134</v>
      </c>
      <c r="B2778" t="str">
        <f>_xlfn.XLOOKUP($A2778,Load!$B:$B,Load!C:C,0,)</f>
        <v>Hershey's Variety Pack</v>
      </c>
      <c r="C2778" t="str">
        <f>_xlfn.XLOOKUP($A2778,Load!$B:$B,Load!D:D,0,)</f>
        <v>Non-Chocolate Candy Only</v>
      </c>
      <c r="D2778" t="str">
        <f>_xlfn.XLOOKUP($A2778,Load!$B:$B,Load!E:E,0,)</f>
        <v>Variety / Mixed Flavors (Fruity, Sour, Seasonal Flavors)</v>
      </c>
      <c r="E2778" t="str">
        <f>_xlfn.XLOOKUP($A2778,Load!$B:$B,Load!F:F,0,)</f>
        <v>Mixed / Combo Packs (Gummy, Chewy, Taffy, etc.)</v>
      </c>
      <c r="F2778" t="str">
        <f>_xlfn.XLOOKUP($A2778,Load!$B:$B,Load!G:G,0,)</f>
        <v>Large Multipack (More than 80 ct)</v>
      </c>
      <c r="G2778" t="str">
        <f>_xlfn.XLOOKUP($A2778,Load!$B:$B,Load!H:H,0,)</f>
        <v>Stand-Up Bag</v>
      </c>
      <c r="H2778" t="str">
        <f>_xlfn.XLOOKUP($A2778,Load!$B:$B,Load!I:I,0,)</f>
        <v>Everyday Candy Shapes (like Original, Gummy bear, Fruit, Jewels, etc.)</v>
      </c>
      <c r="I2778" t="str">
        <f>_xlfn.XLOOKUP($A2778,Load!$B:$B,Load!J:J,0,)</f>
        <v>Seasonal Graphics (Like Bat, Ghost, Pumpkin, Fall Leaves, Eyeballs, etc.)</v>
      </c>
      <c r="J2778" t="str">
        <f>_xlfn.XLOOKUP($A2778,Load!$B:$B,Load!K:K,0,)</f>
        <v xml:space="preserve">Variety Candy Sizes </v>
      </c>
      <c r="K2778" t="str">
        <f>_xlfn.XLOOKUP($A2778,Load!$B:$B,Load!L:L,0,)</f>
        <v>Regular/Original Wrapping</v>
      </c>
      <c r="L2778" t="str">
        <f>_xlfn.XLOOKUP($A2778,Load!$B:$B,Load!M:M,0,)</f>
        <v>Multiple Brands / Variety Flavors or Form</v>
      </c>
    </row>
    <row r="2779" spans="1:12" x14ac:dyDescent="0.25">
      <c r="B2779">
        <f>_xlfn.XLOOKUP($A2779,Load!$B:$B,Load!C:C,0,)</f>
        <v>0</v>
      </c>
      <c r="C2779">
        <f>_xlfn.XLOOKUP($A2779,Load!$B:$B,Load!D:D,0,)</f>
        <v>0</v>
      </c>
      <c r="D2779">
        <f>_xlfn.XLOOKUP($A2779,Load!$B:$B,Load!E:E,0,)</f>
        <v>0</v>
      </c>
      <c r="E2779">
        <f>_xlfn.XLOOKUP($A2779,Load!$B:$B,Load!F:F,0,)</f>
        <v>0</v>
      </c>
      <c r="F2779">
        <f>_xlfn.XLOOKUP($A2779,Load!$B:$B,Load!G:G,0,)</f>
        <v>0</v>
      </c>
      <c r="G2779">
        <f>_xlfn.XLOOKUP($A2779,Load!$B:$B,Load!H:H,0,)</f>
        <v>0</v>
      </c>
      <c r="H2779">
        <f>_xlfn.XLOOKUP($A2779,Load!$B:$B,Load!I:I,0,)</f>
        <v>0</v>
      </c>
      <c r="I2779">
        <f>_xlfn.XLOOKUP($A2779,Load!$B:$B,Load!J:J,0,)</f>
        <v>0</v>
      </c>
      <c r="J2779">
        <f>_xlfn.XLOOKUP($A2779,Load!$B:$B,Load!K:K,0,)</f>
        <v>0</v>
      </c>
      <c r="K2779">
        <f>_xlfn.XLOOKUP($A2779,Load!$B:$B,Load!L:L,0,)</f>
        <v>0</v>
      </c>
      <c r="L2779">
        <f>_xlfn.XLOOKUP($A2779,Load!$B:$B,Load!M:M,0,)</f>
        <v>0</v>
      </c>
    </row>
    <row r="2780" spans="1:12" x14ac:dyDescent="0.25">
      <c r="B2780">
        <f>_xlfn.XLOOKUP($A2780,Load!$B:$B,Load!C:C,0,)</f>
        <v>0</v>
      </c>
      <c r="C2780">
        <f>_xlfn.XLOOKUP($A2780,Load!$B:$B,Load!D:D,0,)</f>
        <v>0</v>
      </c>
      <c r="D2780">
        <f>_xlfn.XLOOKUP($A2780,Load!$B:$B,Load!E:E,0,)</f>
        <v>0</v>
      </c>
      <c r="E2780">
        <f>_xlfn.XLOOKUP($A2780,Load!$B:$B,Load!F:F,0,)</f>
        <v>0</v>
      </c>
      <c r="F2780">
        <f>_xlfn.XLOOKUP($A2780,Load!$B:$B,Load!G:G,0,)</f>
        <v>0</v>
      </c>
      <c r="G2780">
        <f>_xlfn.XLOOKUP($A2780,Load!$B:$B,Load!H:H,0,)</f>
        <v>0</v>
      </c>
      <c r="H2780">
        <f>_xlfn.XLOOKUP($A2780,Load!$B:$B,Load!I:I,0,)</f>
        <v>0</v>
      </c>
      <c r="I2780">
        <f>_xlfn.XLOOKUP($A2780,Load!$B:$B,Load!J:J,0,)</f>
        <v>0</v>
      </c>
      <c r="J2780">
        <f>_xlfn.XLOOKUP($A2780,Load!$B:$B,Load!K:K,0,)</f>
        <v>0</v>
      </c>
      <c r="K2780">
        <f>_xlfn.XLOOKUP($A2780,Load!$B:$B,Load!L:L,0,)</f>
        <v>0</v>
      </c>
      <c r="L2780">
        <f>_xlfn.XLOOKUP($A2780,Load!$B:$B,Load!M:M,0,)</f>
        <v>0</v>
      </c>
    </row>
    <row r="2781" spans="1:12" x14ac:dyDescent="0.25">
      <c r="B2781">
        <f>_xlfn.XLOOKUP($A2781,Load!$B:$B,Load!C:C,0,)</f>
        <v>0</v>
      </c>
      <c r="C2781">
        <f>_xlfn.XLOOKUP($A2781,Load!$B:$B,Load!D:D,0,)</f>
        <v>0</v>
      </c>
      <c r="D2781">
        <f>_xlfn.XLOOKUP($A2781,Load!$B:$B,Load!E:E,0,)</f>
        <v>0</v>
      </c>
      <c r="E2781">
        <f>_xlfn.XLOOKUP($A2781,Load!$B:$B,Load!F:F,0,)</f>
        <v>0</v>
      </c>
      <c r="F2781">
        <f>_xlfn.XLOOKUP($A2781,Load!$B:$B,Load!G:G,0,)</f>
        <v>0</v>
      </c>
      <c r="G2781">
        <f>_xlfn.XLOOKUP($A2781,Load!$B:$B,Load!H:H,0,)</f>
        <v>0</v>
      </c>
      <c r="H2781">
        <f>_xlfn.XLOOKUP($A2781,Load!$B:$B,Load!I:I,0,)</f>
        <v>0</v>
      </c>
      <c r="I2781">
        <f>_xlfn.XLOOKUP($A2781,Load!$B:$B,Load!J:J,0,)</f>
        <v>0</v>
      </c>
      <c r="J2781">
        <f>_xlfn.XLOOKUP($A2781,Load!$B:$B,Load!K:K,0,)</f>
        <v>0</v>
      </c>
      <c r="K2781">
        <f>_xlfn.XLOOKUP($A2781,Load!$B:$B,Load!L:L,0,)</f>
        <v>0</v>
      </c>
      <c r="L2781">
        <f>_xlfn.XLOOKUP($A2781,Load!$B:$B,Load!M:M,0,)</f>
        <v>0</v>
      </c>
    </row>
    <row r="2782" spans="1:12" x14ac:dyDescent="0.25">
      <c r="B2782">
        <f>_xlfn.XLOOKUP($A2782,Load!$B:$B,Load!C:C,0,)</f>
        <v>0</v>
      </c>
      <c r="C2782">
        <f>_xlfn.XLOOKUP($A2782,Load!$B:$B,Load!D:D,0,)</f>
        <v>0</v>
      </c>
      <c r="D2782">
        <f>_xlfn.XLOOKUP($A2782,Load!$B:$B,Load!E:E,0,)</f>
        <v>0</v>
      </c>
      <c r="E2782">
        <f>_xlfn.XLOOKUP($A2782,Load!$B:$B,Load!F:F,0,)</f>
        <v>0</v>
      </c>
      <c r="F2782">
        <f>_xlfn.XLOOKUP($A2782,Load!$B:$B,Load!G:G,0,)</f>
        <v>0</v>
      </c>
      <c r="G2782">
        <f>_xlfn.XLOOKUP($A2782,Load!$B:$B,Load!H:H,0,)</f>
        <v>0</v>
      </c>
      <c r="H2782">
        <f>_xlfn.XLOOKUP($A2782,Load!$B:$B,Load!I:I,0,)</f>
        <v>0</v>
      </c>
      <c r="I2782">
        <f>_xlfn.XLOOKUP($A2782,Load!$B:$B,Load!J:J,0,)</f>
        <v>0</v>
      </c>
      <c r="J2782">
        <f>_xlfn.XLOOKUP($A2782,Load!$B:$B,Load!K:K,0,)</f>
        <v>0</v>
      </c>
      <c r="K2782">
        <f>_xlfn.XLOOKUP($A2782,Load!$B:$B,Load!L:L,0,)</f>
        <v>0</v>
      </c>
      <c r="L2782">
        <f>_xlfn.XLOOKUP($A2782,Load!$B:$B,Load!M:M,0,)</f>
        <v>0</v>
      </c>
    </row>
    <row r="2783" spans="1:12" x14ac:dyDescent="0.25">
      <c r="B2783">
        <f>_xlfn.XLOOKUP($A2783,Load!$B:$B,Load!C:C,0,)</f>
        <v>0</v>
      </c>
      <c r="C2783">
        <f>_xlfn.XLOOKUP($A2783,Load!$B:$B,Load!D:D,0,)</f>
        <v>0</v>
      </c>
      <c r="D2783">
        <f>_xlfn.XLOOKUP($A2783,Load!$B:$B,Load!E:E,0,)</f>
        <v>0</v>
      </c>
      <c r="E2783">
        <f>_xlfn.XLOOKUP($A2783,Load!$B:$B,Load!F:F,0,)</f>
        <v>0</v>
      </c>
      <c r="F2783">
        <f>_xlfn.XLOOKUP($A2783,Load!$B:$B,Load!G:G,0,)</f>
        <v>0</v>
      </c>
      <c r="G2783">
        <f>_xlfn.XLOOKUP($A2783,Load!$B:$B,Load!H:H,0,)</f>
        <v>0</v>
      </c>
      <c r="H2783">
        <f>_xlfn.XLOOKUP($A2783,Load!$B:$B,Load!I:I,0,)</f>
        <v>0</v>
      </c>
      <c r="I2783">
        <f>_xlfn.XLOOKUP($A2783,Load!$B:$B,Load!J:J,0,)</f>
        <v>0</v>
      </c>
      <c r="J2783">
        <f>_xlfn.XLOOKUP($A2783,Load!$B:$B,Load!K:K,0,)</f>
        <v>0</v>
      </c>
      <c r="K2783">
        <f>_xlfn.XLOOKUP($A2783,Load!$B:$B,Load!L:L,0,)</f>
        <v>0</v>
      </c>
      <c r="L2783">
        <f>_xlfn.XLOOKUP($A2783,Load!$B:$B,Load!M:M,0,)</f>
        <v>0</v>
      </c>
    </row>
    <row r="2784" spans="1:12" x14ac:dyDescent="0.25">
      <c r="B2784">
        <f>_xlfn.XLOOKUP($A2784,Load!$B:$B,Load!C:C,0,)</f>
        <v>0</v>
      </c>
      <c r="C2784">
        <f>_xlfn.XLOOKUP($A2784,Load!$B:$B,Load!D:D,0,)</f>
        <v>0</v>
      </c>
      <c r="D2784">
        <f>_xlfn.XLOOKUP($A2784,Load!$B:$B,Load!E:E,0,)</f>
        <v>0</v>
      </c>
      <c r="E2784">
        <f>_xlfn.XLOOKUP($A2784,Load!$B:$B,Load!F:F,0,)</f>
        <v>0</v>
      </c>
      <c r="F2784">
        <f>_xlfn.XLOOKUP($A2784,Load!$B:$B,Load!G:G,0,)</f>
        <v>0</v>
      </c>
      <c r="G2784">
        <f>_xlfn.XLOOKUP($A2784,Load!$B:$B,Load!H:H,0,)</f>
        <v>0</v>
      </c>
      <c r="H2784">
        <f>_xlfn.XLOOKUP($A2784,Load!$B:$B,Load!I:I,0,)</f>
        <v>0</v>
      </c>
      <c r="I2784">
        <f>_xlfn.XLOOKUP($A2784,Load!$B:$B,Load!J:J,0,)</f>
        <v>0</v>
      </c>
      <c r="J2784">
        <f>_xlfn.XLOOKUP($A2784,Load!$B:$B,Load!K:K,0,)</f>
        <v>0</v>
      </c>
      <c r="K2784">
        <f>_xlfn.XLOOKUP($A2784,Load!$B:$B,Load!L:L,0,)</f>
        <v>0</v>
      </c>
      <c r="L2784">
        <f>_xlfn.XLOOKUP($A2784,Load!$B:$B,Load!M:M,0,)</f>
        <v>0</v>
      </c>
    </row>
    <row r="2785" spans="1:12" x14ac:dyDescent="0.25">
      <c r="B2785">
        <f>_xlfn.XLOOKUP($A2785,Load!$B:$B,Load!C:C,0,)</f>
        <v>0</v>
      </c>
      <c r="C2785">
        <f>_xlfn.XLOOKUP($A2785,Load!$B:$B,Load!D:D,0,)</f>
        <v>0</v>
      </c>
      <c r="D2785">
        <f>_xlfn.XLOOKUP($A2785,Load!$B:$B,Load!E:E,0,)</f>
        <v>0</v>
      </c>
      <c r="E2785">
        <f>_xlfn.XLOOKUP($A2785,Load!$B:$B,Load!F:F,0,)</f>
        <v>0</v>
      </c>
      <c r="F2785">
        <f>_xlfn.XLOOKUP($A2785,Load!$B:$B,Load!G:G,0,)</f>
        <v>0</v>
      </c>
      <c r="G2785">
        <f>_xlfn.XLOOKUP($A2785,Load!$B:$B,Load!H:H,0,)</f>
        <v>0</v>
      </c>
      <c r="H2785">
        <f>_xlfn.XLOOKUP($A2785,Load!$B:$B,Load!I:I,0,)</f>
        <v>0</v>
      </c>
      <c r="I2785">
        <f>_xlfn.XLOOKUP($A2785,Load!$B:$B,Load!J:J,0,)</f>
        <v>0</v>
      </c>
      <c r="J2785">
        <f>_xlfn.XLOOKUP($A2785,Load!$B:$B,Load!K:K,0,)</f>
        <v>0</v>
      </c>
      <c r="K2785">
        <f>_xlfn.XLOOKUP($A2785,Load!$B:$B,Load!L:L,0,)</f>
        <v>0</v>
      </c>
      <c r="L2785">
        <f>_xlfn.XLOOKUP($A2785,Load!$B:$B,Load!M:M,0,)</f>
        <v>0</v>
      </c>
    </row>
    <row r="2786" spans="1:12" x14ac:dyDescent="0.25">
      <c r="A2786" t="s">
        <v>263</v>
      </c>
      <c r="B2786" t="str">
        <f>_xlfn.XLOOKUP($A2786,Load!$B:$B,Load!C:C,0,)</f>
        <v>Smarties</v>
      </c>
      <c r="C2786" t="str">
        <f>_xlfn.XLOOKUP($A2786,Load!$B:$B,Load!D:D,0,)</f>
        <v>Non-Chocolate Candy Only</v>
      </c>
      <c r="D2786" t="str">
        <f>_xlfn.XLOOKUP($A2786,Load!$B:$B,Load!E:E,0,)</f>
        <v>Fruit Flavor (Cherry, Grape, Apple, Citrus, Tropical Fruit)</v>
      </c>
      <c r="E2786" t="str">
        <f>_xlfn.XLOOKUP($A2786,Load!$B:$B,Load!F:F,0,)</f>
        <v>Powder / Chalky</v>
      </c>
      <c r="F2786" t="str">
        <f>_xlfn.XLOOKUP($A2786,Load!$B:$B,Load!G:G,0,)</f>
        <v>Single Pack</v>
      </c>
      <c r="G2786" t="str">
        <f>_xlfn.XLOOKUP($A2786,Load!$B:$B,Load!H:H,0,)</f>
        <v>Laydown Bag</v>
      </c>
      <c r="H2786" t="str">
        <f>_xlfn.XLOOKUP($A2786,Load!$B:$B,Load!I:I,0,)</f>
        <v>Everyday Candy Shapes (like Original, Gummy bear, Fruit, Jewels, etc.)</v>
      </c>
      <c r="I2786" t="str">
        <f>_xlfn.XLOOKUP($A2786,Load!$B:$B,Load!J:J,0,)</f>
        <v>Everyday Graphics</v>
      </c>
      <c r="J2786" t="str">
        <f>_xlfn.XLOOKUP($A2786,Load!$B:$B,Load!K:K,0,)</f>
        <v>Small Pieces (Tiny bite size candies)</v>
      </c>
      <c r="K2786" t="str">
        <f>_xlfn.XLOOKUP($A2786,Load!$B:$B,Load!L:L,0,)</f>
        <v>Regular/Original Wrapping</v>
      </c>
      <c r="L2786" t="str">
        <f>_xlfn.XLOOKUP($A2786,Load!$B:$B,Load!M:M,0,)</f>
        <v>Single Brand / Single Flavor or Form</v>
      </c>
    </row>
    <row r="2787" spans="1:12" x14ac:dyDescent="0.25">
      <c r="B2787">
        <f>_xlfn.XLOOKUP($A2787,Load!$B:$B,Load!C:C,0,)</f>
        <v>0</v>
      </c>
      <c r="C2787">
        <f>_xlfn.XLOOKUP($A2787,Load!$B:$B,Load!D:D,0,)</f>
        <v>0</v>
      </c>
      <c r="D2787">
        <f>_xlfn.XLOOKUP($A2787,Load!$B:$B,Load!E:E,0,)</f>
        <v>0</v>
      </c>
      <c r="E2787">
        <f>_xlfn.XLOOKUP($A2787,Load!$B:$B,Load!F:F,0,)</f>
        <v>0</v>
      </c>
      <c r="F2787">
        <f>_xlfn.XLOOKUP($A2787,Load!$B:$B,Load!G:G,0,)</f>
        <v>0</v>
      </c>
      <c r="G2787">
        <f>_xlfn.XLOOKUP($A2787,Load!$B:$B,Load!H:H,0,)</f>
        <v>0</v>
      </c>
      <c r="H2787">
        <f>_xlfn.XLOOKUP($A2787,Load!$B:$B,Load!I:I,0,)</f>
        <v>0</v>
      </c>
      <c r="I2787">
        <f>_xlfn.XLOOKUP($A2787,Load!$B:$B,Load!J:J,0,)</f>
        <v>0</v>
      </c>
      <c r="J2787">
        <f>_xlfn.XLOOKUP($A2787,Load!$B:$B,Load!K:K,0,)</f>
        <v>0</v>
      </c>
      <c r="K2787">
        <f>_xlfn.XLOOKUP($A2787,Load!$B:$B,Load!L:L,0,)</f>
        <v>0</v>
      </c>
      <c r="L2787">
        <f>_xlfn.XLOOKUP($A2787,Load!$B:$B,Load!M:M,0,)</f>
        <v>0</v>
      </c>
    </row>
    <row r="2788" spans="1:12" x14ac:dyDescent="0.25">
      <c r="B2788">
        <f>_xlfn.XLOOKUP($A2788,Load!$B:$B,Load!C:C,0,)</f>
        <v>0</v>
      </c>
      <c r="C2788">
        <f>_xlfn.XLOOKUP($A2788,Load!$B:$B,Load!D:D,0,)</f>
        <v>0</v>
      </c>
      <c r="D2788">
        <f>_xlfn.XLOOKUP($A2788,Load!$B:$B,Load!E:E,0,)</f>
        <v>0</v>
      </c>
      <c r="E2788">
        <f>_xlfn.XLOOKUP($A2788,Load!$B:$B,Load!F:F,0,)</f>
        <v>0</v>
      </c>
      <c r="F2788">
        <f>_xlfn.XLOOKUP($A2788,Load!$B:$B,Load!G:G,0,)</f>
        <v>0</v>
      </c>
      <c r="G2788">
        <f>_xlfn.XLOOKUP($A2788,Load!$B:$B,Load!H:H,0,)</f>
        <v>0</v>
      </c>
      <c r="H2788">
        <f>_xlfn.XLOOKUP($A2788,Load!$B:$B,Load!I:I,0,)</f>
        <v>0</v>
      </c>
      <c r="I2788">
        <f>_xlfn.XLOOKUP($A2788,Load!$B:$B,Load!J:J,0,)</f>
        <v>0</v>
      </c>
      <c r="J2788">
        <f>_xlfn.XLOOKUP($A2788,Load!$B:$B,Load!K:K,0,)</f>
        <v>0</v>
      </c>
      <c r="K2788">
        <f>_xlfn.XLOOKUP($A2788,Load!$B:$B,Load!L:L,0,)</f>
        <v>0</v>
      </c>
      <c r="L2788">
        <f>_xlfn.XLOOKUP($A2788,Load!$B:$B,Load!M:M,0,)</f>
        <v>0</v>
      </c>
    </row>
    <row r="2789" spans="1:12" x14ac:dyDescent="0.25">
      <c r="B2789">
        <f>_xlfn.XLOOKUP($A2789,Load!$B:$B,Load!C:C,0,)</f>
        <v>0</v>
      </c>
      <c r="C2789">
        <f>_xlfn.XLOOKUP($A2789,Load!$B:$B,Load!D:D,0,)</f>
        <v>0</v>
      </c>
      <c r="D2789">
        <f>_xlfn.XLOOKUP($A2789,Load!$B:$B,Load!E:E,0,)</f>
        <v>0</v>
      </c>
      <c r="E2789">
        <f>_xlfn.XLOOKUP($A2789,Load!$B:$B,Load!F:F,0,)</f>
        <v>0</v>
      </c>
      <c r="F2789">
        <f>_xlfn.XLOOKUP($A2789,Load!$B:$B,Load!G:G,0,)</f>
        <v>0</v>
      </c>
      <c r="G2789">
        <f>_xlfn.XLOOKUP($A2789,Load!$B:$B,Load!H:H,0,)</f>
        <v>0</v>
      </c>
      <c r="H2789">
        <f>_xlfn.XLOOKUP($A2789,Load!$B:$B,Load!I:I,0,)</f>
        <v>0</v>
      </c>
      <c r="I2789">
        <f>_xlfn.XLOOKUP($A2789,Load!$B:$B,Load!J:J,0,)</f>
        <v>0</v>
      </c>
      <c r="J2789">
        <f>_xlfn.XLOOKUP($A2789,Load!$B:$B,Load!K:K,0,)</f>
        <v>0</v>
      </c>
      <c r="K2789">
        <f>_xlfn.XLOOKUP($A2789,Load!$B:$B,Load!L:L,0,)</f>
        <v>0</v>
      </c>
      <c r="L2789">
        <f>_xlfn.XLOOKUP($A2789,Load!$B:$B,Load!M:M,0,)</f>
        <v>0</v>
      </c>
    </row>
    <row r="2790" spans="1:12" x14ac:dyDescent="0.25">
      <c r="B2790">
        <f>_xlfn.XLOOKUP($A2790,Load!$B:$B,Load!C:C,0,)</f>
        <v>0</v>
      </c>
      <c r="C2790">
        <f>_xlfn.XLOOKUP($A2790,Load!$B:$B,Load!D:D,0,)</f>
        <v>0</v>
      </c>
      <c r="D2790">
        <f>_xlfn.XLOOKUP($A2790,Load!$B:$B,Load!E:E,0,)</f>
        <v>0</v>
      </c>
      <c r="E2790">
        <f>_xlfn.XLOOKUP($A2790,Load!$B:$B,Load!F:F,0,)</f>
        <v>0</v>
      </c>
      <c r="F2790">
        <f>_xlfn.XLOOKUP($A2790,Load!$B:$B,Load!G:G,0,)</f>
        <v>0</v>
      </c>
      <c r="G2790">
        <f>_xlfn.XLOOKUP($A2790,Load!$B:$B,Load!H:H,0,)</f>
        <v>0</v>
      </c>
      <c r="H2790">
        <f>_xlfn.XLOOKUP($A2790,Load!$B:$B,Load!I:I,0,)</f>
        <v>0</v>
      </c>
      <c r="I2790">
        <f>_xlfn.XLOOKUP($A2790,Load!$B:$B,Load!J:J,0,)</f>
        <v>0</v>
      </c>
      <c r="J2790">
        <f>_xlfn.XLOOKUP($A2790,Load!$B:$B,Load!K:K,0,)</f>
        <v>0</v>
      </c>
      <c r="K2790">
        <f>_xlfn.XLOOKUP($A2790,Load!$B:$B,Load!L:L,0,)</f>
        <v>0</v>
      </c>
      <c r="L2790">
        <f>_xlfn.XLOOKUP($A2790,Load!$B:$B,Load!M:M,0,)</f>
        <v>0</v>
      </c>
    </row>
    <row r="2791" spans="1:12" x14ac:dyDescent="0.25">
      <c r="B2791">
        <f>_xlfn.XLOOKUP($A2791,Load!$B:$B,Load!C:C,0,)</f>
        <v>0</v>
      </c>
      <c r="C2791">
        <f>_xlfn.XLOOKUP($A2791,Load!$B:$B,Load!D:D,0,)</f>
        <v>0</v>
      </c>
      <c r="D2791">
        <f>_xlfn.XLOOKUP($A2791,Load!$B:$B,Load!E:E,0,)</f>
        <v>0</v>
      </c>
      <c r="E2791">
        <f>_xlfn.XLOOKUP($A2791,Load!$B:$B,Load!F:F,0,)</f>
        <v>0</v>
      </c>
      <c r="F2791">
        <f>_xlfn.XLOOKUP($A2791,Load!$B:$B,Load!G:G,0,)</f>
        <v>0</v>
      </c>
      <c r="G2791">
        <f>_xlfn.XLOOKUP($A2791,Load!$B:$B,Load!H:H,0,)</f>
        <v>0</v>
      </c>
      <c r="H2791">
        <f>_xlfn.XLOOKUP($A2791,Load!$B:$B,Load!I:I,0,)</f>
        <v>0</v>
      </c>
      <c r="I2791">
        <f>_xlfn.XLOOKUP($A2791,Load!$B:$B,Load!J:J,0,)</f>
        <v>0</v>
      </c>
      <c r="J2791">
        <f>_xlfn.XLOOKUP($A2791,Load!$B:$B,Load!K:K,0,)</f>
        <v>0</v>
      </c>
      <c r="K2791">
        <f>_xlfn.XLOOKUP($A2791,Load!$B:$B,Load!L:L,0,)</f>
        <v>0</v>
      </c>
      <c r="L2791">
        <f>_xlfn.XLOOKUP($A2791,Load!$B:$B,Load!M:M,0,)</f>
        <v>0</v>
      </c>
    </row>
    <row r="2792" spans="1:12" x14ac:dyDescent="0.25">
      <c r="A2792" t="s">
        <v>278</v>
      </c>
      <c r="B2792" t="str">
        <f>_xlfn.XLOOKUP($A2792,Load!$B:$B,Load!C:C,0,)</f>
        <v>Sour Patch Kids</v>
      </c>
      <c r="C2792" t="str">
        <f>_xlfn.XLOOKUP($A2792,Load!$B:$B,Load!D:D,0,)</f>
        <v>Non-Chocolate Candy Only</v>
      </c>
      <c r="D2792" t="str">
        <f>_xlfn.XLOOKUP($A2792,Load!$B:$B,Load!E:E,0,)</f>
        <v>Sour</v>
      </c>
      <c r="E2792" t="str">
        <f>_xlfn.XLOOKUP($A2792,Load!$B:$B,Load!F:F,0,)</f>
        <v>Chewy</v>
      </c>
      <c r="F2792" t="str">
        <f>_xlfn.XLOOKUP($A2792,Load!$B:$B,Load!G:G,0,)</f>
        <v>Single Pack</v>
      </c>
      <c r="G2792" t="str">
        <f>_xlfn.XLOOKUP($A2792,Load!$B:$B,Load!H:H,0,)</f>
        <v>Peg Bag</v>
      </c>
      <c r="H2792" t="str">
        <f>_xlfn.XLOOKUP($A2792,Load!$B:$B,Load!I:I,0,)</f>
        <v>Everyday Candy Shapes (like Original, Gummy bear, Fruit, Jewels, etc.)</v>
      </c>
      <c r="I2792" t="str">
        <f>_xlfn.XLOOKUP($A2792,Load!$B:$B,Load!J:J,0,)</f>
        <v>Seasonal Graphics (Like Bat, Ghost, Pumpkin, Fall Leaves, Eyeballs, etc.)</v>
      </c>
      <c r="J2792" t="str">
        <f>_xlfn.XLOOKUP($A2792,Load!$B:$B,Load!K:K,0,)</f>
        <v>Small Pieces (Tiny bite size candies)</v>
      </c>
      <c r="K2792" t="str">
        <f>_xlfn.XLOOKUP($A2792,Load!$B:$B,Load!L:L,0,)</f>
        <v>Regular/Original Wrapping</v>
      </c>
      <c r="L2792" t="str">
        <f>_xlfn.XLOOKUP($A2792,Load!$B:$B,Load!M:M,0,)</f>
        <v>Single Brand / Variety Flavors or Form</v>
      </c>
    </row>
    <row r="2793" spans="1:12" x14ac:dyDescent="0.25">
      <c r="A2793" t="s">
        <v>164</v>
      </c>
      <c r="B2793" t="str">
        <f>_xlfn.XLOOKUP($A2793,Load!$B:$B,Load!C:C,0,)</f>
        <v>JOYRIDE</v>
      </c>
      <c r="C2793" t="str">
        <f>_xlfn.XLOOKUP($A2793,Load!$B:$B,Load!D:D,0,)</f>
        <v>Non-Chocolate Candy Only</v>
      </c>
      <c r="D2793" t="str">
        <f>_xlfn.XLOOKUP($A2793,Load!$B:$B,Load!E:E,0,)</f>
        <v>Sour</v>
      </c>
      <c r="E2793" t="str">
        <f>_xlfn.XLOOKUP($A2793,Load!$B:$B,Load!F:F,0,)</f>
        <v>Chewy</v>
      </c>
      <c r="F2793" t="str">
        <f>_xlfn.XLOOKUP($A2793,Load!$B:$B,Load!G:G,0,)</f>
        <v>Single Pack</v>
      </c>
      <c r="G2793" t="str">
        <f>_xlfn.XLOOKUP($A2793,Load!$B:$B,Load!H:H,0,)</f>
        <v>Peg Bag</v>
      </c>
      <c r="H2793" t="str">
        <f>_xlfn.XLOOKUP($A2793,Load!$B:$B,Load!I:I,0,)</f>
        <v>Everyday Candy Shapes (like Original, Gummy bear, Fruit, Jewels, etc.)</v>
      </c>
      <c r="I2793" t="str">
        <f>_xlfn.XLOOKUP($A2793,Load!$B:$B,Load!J:J,0,)</f>
        <v>Seasonal Graphics (Like Bat, Ghost, Pumpkin, Fall Leaves, Eyeballs, etc.)</v>
      </c>
      <c r="J2793" t="str">
        <f>_xlfn.XLOOKUP($A2793,Load!$B:$B,Load!K:K,0,)</f>
        <v>Small Pieces (Tiny bite size candies)</v>
      </c>
      <c r="K2793" t="str">
        <f>_xlfn.XLOOKUP($A2793,Load!$B:$B,Load!L:L,0,)</f>
        <v>Regular/Original Wrapping</v>
      </c>
      <c r="L2793" t="str">
        <f>_xlfn.XLOOKUP($A2793,Load!$B:$B,Load!M:M,0,)</f>
        <v>Single Brand / Single Flavor or Form</v>
      </c>
    </row>
    <row r="2794" spans="1:12" x14ac:dyDescent="0.25">
      <c r="B2794">
        <f>_xlfn.XLOOKUP($A2794,Load!$B:$B,Load!C:C,0,)</f>
        <v>0</v>
      </c>
      <c r="C2794">
        <f>_xlfn.XLOOKUP($A2794,Load!$B:$B,Load!D:D,0,)</f>
        <v>0</v>
      </c>
      <c r="D2794">
        <f>_xlfn.XLOOKUP($A2794,Load!$B:$B,Load!E:E,0,)</f>
        <v>0</v>
      </c>
      <c r="E2794">
        <f>_xlfn.XLOOKUP($A2794,Load!$B:$B,Load!F:F,0,)</f>
        <v>0</v>
      </c>
      <c r="F2794">
        <f>_xlfn.XLOOKUP($A2794,Load!$B:$B,Load!G:G,0,)</f>
        <v>0</v>
      </c>
      <c r="G2794">
        <f>_xlfn.XLOOKUP($A2794,Load!$B:$B,Load!H:H,0,)</f>
        <v>0</v>
      </c>
      <c r="H2794">
        <f>_xlfn.XLOOKUP($A2794,Load!$B:$B,Load!I:I,0,)</f>
        <v>0</v>
      </c>
      <c r="I2794">
        <f>_xlfn.XLOOKUP($A2794,Load!$B:$B,Load!J:J,0,)</f>
        <v>0</v>
      </c>
      <c r="J2794">
        <f>_xlfn.XLOOKUP($A2794,Load!$B:$B,Load!K:K,0,)</f>
        <v>0</v>
      </c>
      <c r="K2794">
        <f>_xlfn.XLOOKUP($A2794,Load!$B:$B,Load!L:L,0,)</f>
        <v>0</v>
      </c>
      <c r="L2794">
        <f>_xlfn.XLOOKUP($A2794,Load!$B:$B,Load!M:M,0,)</f>
        <v>0</v>
      </c>
    </row>
    <row r="2795" spans="1:12" x14ac:dyDescent="0.25">
      <c r="B2795">
        <f>_xlfn.XLOOKUP($A2795,Load!$B:$B,Load!C:C,0,)</f>
        <v>0</v>
      </c>
      <c r="C2795">
        <f>_xlfn.XLOOKUP($A2795,Load!$B:$B,Load!D:D,0,)</f>
        <v>0</v>
      </c>
      <c r="D2795">
        <f>_xlfn.XLOOKUP($A2795,Load!$B:$B,Load!E:E,0,)</f>
        <v>0</v>
      </c>
      <c r="E2795">
        <f>_xlfn.XLOOKUP($A2795,Load!$B:$B,Load!F:F,0,)</f>
        <v>0</v>
      </c>
      <c r="F2795">
        <f>_xlfn.XLOOKUP($A2795,Load!$B:$B,Load!G:G,0,)</f>
        <v>0</v>
      </c>
      <c r="G2795">
        <f>_xlfn.XLOOKUP($A2795,Load!$B:$B,Load!H:H,0,)</f>
        <v>0</v>
      </c>
      <c r="H2795">
        <f>_xlfn.XLOOKUP($A2795,Load!$B:$B,Load!I:I,0,)</f>
        <v>0</v>
      </c>
      <c r="I2795">
        <f>_xlfn.XLOOKUP($A2795,Load!$B:$B,Load!J:J,0,)</f>
        <v>0</v>
      </c>
      <c r="J2795">
        <f>_xlfn.XLOOKUP($A2795,Load!$B:$B,Load!K:K,0,)</f>
        <v>0</v>
      </c>
      <c r="K2795">
        <f>_xlfn.XLOOKUP($A2795,Load!$B:$B,Load!L:L,0,)</f>
        <v>0</v>
      </c>
      <c r="L2795">
        <f>_xlfn.XLOOKUP($A2795,Load!$B:$B,Load!M:M,0,)</f>
        <v>0</v>
      </c>
    </row>
    <row r="2796" spans="1:12" x14ac:dyDescent="0.25">
      <c r="B2796">
        <f>_xlfn.XLOOKUP($A2796,Load!$B:$B,Load!C:C,0,)</f>
        <v>0</v>
      </c>
      <c r="C2796">
        <f>_xlfn.XLOOKUP($A2796,Load!$B:$B,Load!D:D,0,)</f>
        <v>0</v>
      </c>
      <c r="D2796">
        <f>_xlfn.XLOOKUP($A2796,Load!$B:$B,Load!E:E,0,)</f>
        <v>0</v>
      </c>
      <c r="E2796">
        <f>_xlfn.XLOOKUP($A2796,Load!$B:$B,Load!F:F,0,)</f>
        <v>0</v>
      </c>
      <c r="F2796">
        <f>_xlfn.XLOOKUP($A2796,Load!$B:$B,Load!G:G,0,)</f>
        <v>0</v>
      </c>
      <c r="G2796">
        <f>_xlfn.XLOOKUP($A2796,Load!$B:$B,Load!H:H,0,)</f>
        <v>0</v>
      </c>
      <c r="H2796">
        <f>_xlfn.XLOOKUP($A2796,Load!$B:$B,Load!I:I,0,)</f>
        <v>0</v>
      </c>
      <c r="I2796">
        <f>_xlfn.XLOOKUP($A2796,Load!$B:$B,Load!J:J,0,)</f>
        <v>0</v>
      </c>
      <c r="J2796">
        <f>_xlfn.XLOOKUP($A2796,Load!$B:$B,Load!K:K,0,)</f>
        <v>0</v>
      </c>
      <c r="K2796">
        <f>_xlfn.XLOOKUP($A2796,Load!$B:$B,Load!L:L,0,)</f>
        <v>0</v>
      </c>
      <c r="L2796">
        <f>_xlfn.XLOOKUP($A2796,Load!$B:$B,Load!M:M,0,)</f>
        <v>0</v>
      </c>
    </row>
    <row r="2797" spans="1:12" x14ac:dyDescent="0.25">
      <c r="B2797">
        <f>_xlfn.XLOOKUP($A2797,Load!$B:$B,Load!C:C,0,)</f>
        <v>0</v>
      </c>
      <c r="C2797">
        <f>_xlfn.XLOOKUP($A2797,Load!$B:$B,Load!D:D,0,)</f>
        <v>0</v>
      </c>
      <c r="D2797">
        <f>_xlfn.XLOOKUP($A2797,Load!$B:$B,Load!E:E,0,)</f>
        <v>0</v>
      </c>
      <c r="E2797">
        <f>_xlfn.XLOOKUP($A2797,Load!$B:$B,Load!F:F,0,)</f>
        <v>0</v>
      </c>
      <c r="F2797">
        <f>_xlfn.XLOOKUP($A2797,Load!$B:$B,Load!G:G,0,)</f>
        <v>0</v>
      </c>
      <c r="G2797">
        <f>_xlfn.XLOOKUP($A2797,Load!$B:$B,Load!H:H,0,)</f>
        <v>0</v>
      </c>
      <c r="H2797">
        <f>_xlfn.XLOOKUP($A2797,Load!$B:$B,Load!I:I,0,)</f>
        <v>0</v>
      </c>
      <c r="I2797">
        <f>_xlfn.XLOOKUP($A2797,Load!$B:$B,Load!J:J,0,)</f>
        <v>0</v>
      </c>
      <c r="J2797">
        <f>_xlfn.XLOOKUP($A2797,Load!$B:$B,Load!K:K,0,)</f>
        <v>0</v>
      </c>
      <c r="K2797">
        <f>_xlfn.XLOOKUP($A2797,Load!$B:$B,Load!L:L,0,)</f>
        <v>0</v>
      </c>
      <c r="L2797">
        <f>_xlfn.XLOOKUP($A2797,Load!$B:$B,Load!M:M,0,)</f>
        <v>0</v>
      </c>
    </row>
    <row r="2798" spans="1:12" x14ac:dyDescent="0.25">
      <c r="A2798" t="s">
        <v>178</v>
      </c>
      <c r="B2798" t="str">
        <f>_xlfn.XLOOKUP($A2798,Load!$B:$B,Load!C:C,0,)</f>
        <v>Mars Variety Pack</v>
      </c>
      <c r="C2798" t="str">
        <f>_xlfn.XLOOKUP($A2798,Load!$B:$B,Load!D:D,0,)</f>
        <v>Mix of Chocolate and Non-Chocolate Candy</v>
      </c>
      <c r="D2798" t="str">
        <f>_xlfn.XLOOKUP($A2798,Load!$B:$B,Load!E:E,0,)</f>
        <v>Variety / Mixed Flavors (Fruity, Sour, Seasonal Flavors)</v>
      </c>
      <c r="E2798" t="str">
        <f>_xlfn.XLOOKUP($A2798,Load!$B:$B,Load!F:F,0,)</f>
        <v>Mixed / Combo Packs (Gummy, Chewy, Taffy, etc.)</v>
      </c>
      <c r="F2798" t="str">
        <f>_xlfn.XLOOKUP($A2798,Load!$B:$B,Load!G:G,0,)</f>
        <v>Small Multipack (Less than 40 ct)</v>
      </c>
      <c r="G2798" t="str">
        <f>_xlfn.XLOOKUP($A2798,Load!$B:$B,Load!H:H,0,)</f>
        <v>Laydown Bag</v>
      </c>
      <c r="H2798" t="str">
        <f>_xlfn.XLOOKUP($A2798,Load!$B:$B,Load!I:I,0,)</f>
        <v>Everyday Candy Shapes (like Original, Gummy bear, Fruit, Jewels, etc.)</v>
      </c>
      <c r="I2798" t="str">
        <f>_xlfn.XLOOKUP($A2798,Load!$B:$B,Load!J:J,0,)</f>
        <v>Seasonal Graphics (Like Bat, Ghost, Pumpkin, Fall Leaves, Eyeballs, etc.)</v>
      </c>
      <c r="J2798" t="str">
        <f>_xlfn.XLOOKUP($A2798,Load!$B:$B,Load!K:K,0,)</f>
        <v xml:space="preserve">Variety Candy Sizes </v>
      </c>
      <c r="K2798" t="str">
        <f>_xlfn.XLOOKUP($A2798,Load!$B:$B,Load!L:L,0,)</f>
        <v>Regular/Original Wrapping</v>
      </c>
      <c r="L2798" t="str">
        <f>_xlfn.XLOOKUP($A2798,Load!$B:$B,Load!M:M,0,)</f>
        <v>Multiple Brands / Variety Flavors or Form</v>
      </c>
    </row>
    <row r="2799" spans="1:12" x14ac:dyDescent="0.25">
      <c r="A2799" t="s">
        <v>278</v>
      </c>
      <c r="B2799" t="str">
        <f>_xlfn.XLOOKUP($A2799,Load!$B:$B,Load!C:C,0,)</f>
        <v>Sour Patch Kids</v>
      </c>
      <c r="C2799" t="str">
        <f>_xlfn.XLOOKUP($A2799,Load!$B:$B,Load!D:D,0,)</f>
        <v>Non-Chocolate Candy Only</v>
      </c>
      <c r="D2799" t="str">
        <f>_xlfn.XLOOKUP($A2799,Load!$B:$B,Load!E:E,0,)</f>
        <v>Sour</v>
      </c>
      <c r="E2799" t="str">
        <f>_xlfn.XLOOKUP($A2799,Load!$B:$B,Load!F:F,0,)</f>
        <v>Chewy</v>
      </c>
      <c r="F2799" t="str">
        <f>_xlfn.XLOOKUP($A2799,Load!$B:$B,Load!G:G,0,)</f>
        <v>Single Pack</v>
      </c>
      <c r="G2799" t="str">
        <f>_xlfn.XLOOKUP($A2799,Load!$B:$B,Load!H:H,0,)</f>
        <v>Peg Bag</v>
      </c>
      <c r="H2799" t="str">
        <f>_xlfn.XLOOKUP($A2799,Load!$B:$B,Load!I:I,0,)</f>
        <v>Everyday Candy Shapes (like Original, Gummy bear, Fruit, Jewels, etc.)</v>
      </c>
      <c r="I2799" t="str">
        <f>_xlfn.XLOOKUP($A2799,Load!$B:$B,Load!J:J,0,)</f>
        <v>Seasonal Graphics (Like Bat, Ghost, Pumpkin, Fall Leaves, Eyeballs, etc.)</v>
      </c>
      <c r="J2799" t="str">
        <f>_xlfn.XLOOKUP($A2799,Load!$B:$B,Load!K:K,0,)</f>
        <v>Small Pieces (Tiny bite size candies)</v>
      </c>
      <c r="K2799" t="str">
        <f>_xlfn.XLOOKUP($A2799,Load!$B:$B,Load!L:L,0,)</f>
        <v>Regular/Original Wrapping</v>
      </c>
      <c r="L2799" t="str">
        <f>_xlfn.XLOOKUP($A2799,Load!$B:$B,Load!M:M,0,)</f>
        <v>Single Brand / Variety Flavors or Form</v>
      </c>
    </row>
    <row r="2800" spans="1:12" x14ac:dyDescent="0.25">
      <c r="B2800">
        <f>_xlfn.XLOOKUP($A2800,Load!$B:$B,Load!C:C,0,)</f>
        <v>0</v>
      </c>
      <c r="C2800">
        <f>_xlfn.XLOOKUP($A2800,Load!$B:$B,Load!D:D,0,)</f>
        <v>0</v>
      </c>
      <c r="D2800">
        <f>_xlfn.XLOOKUP($A2800,Load!$B:$B,Load!E:E,0,)</f>
        <v>0</v>
      </c>
      <c r="E2800">
        <f>_xlfn.XLOOKUP($A2800,Load!$B:$B,Load!F:F,0,)</f>
        <v>0</v>
      </c>
      <c r="F2800">
        <f>_xlfn.XLOOKUP($A2800,Load!$B:$B,Load!G:G,0,)</f>
        <v>0</v>
      </c>
      <c r="G2800">
        <f>_xlfn.XLOOKUP($A2800,Load!$B:$B,Load!H:H,0,)</f>
        <v>0</v>
      </c>
      <c r="H2800">
        <f>_xlfn.XLOOKUP($A2800,Load!$B:$B,Load!I:I,0,)</f>
        <v>0</v>
      </c>
      <c r="I2800">
        <f>_xlfn.XLOOKUP($A2800,Load!$B:$B,Load!J:J,0,)</f>
        <v>0</v>
      </c>
      <c r="J2800">
        <f>_xlfn.XLOOKUP($A2800,Load!$B:$B,Load!K:K,0,)</f>
        <v>0</v>
      </c>
      <c r="K2800">
        <f>_xlfn.XLOOKUP($A2800,Load!$B:$B,Load!L:L,0,)</f>
        <v>0</v>
      </c>
      <c r="L2800">
        <f>_xlfn.XLOOKUP($A2800,Load!$B:$B,Load!M:M,0,)</f>
        <v>0</v>
      </c>
    </row>
    <row r="2801" spans="1:12" x14ac:dyDescent="0.25">
      <c r="B2801">
        <f>_xlfn.XLOOKUP($A2801,Load!$B:$B,Load!C:C,0,)</f>
        <v>0</v>
      </c>
      <c r="C2801">
        <f>_xlfn.XLOOKUP($A2801,Load!$B:$B,Load!D:D,0,)</f>
        <v>0</v>
      </c>
      <c r="D2801">
        <f>_xlfn.XLOOKUP($A2801,Load!$B:$B,Load!E:E,0,)</f>
        <v>0</v>
      </c>
      <c r="E2801">
        <f>_xlfn.XLOOKUP($A2801,Load!$B:$B,Load!F:F,0,)</f>
        <v>0</v>
      </c>
      <c r="F2801">
        <f>_xlfn.XLOOKUP($A2801,Load!$B:$B,Load!G:G,0,)</f>
        <v>0</v>
      </c>
      <c r="G2801">
        <f>_xlfn.XLOOKUP($A2801,Load!$B:$B,Load!H:H,0,)</f>
        <v>0</v>
      </c>
      <c r="H2801">
        <f>_xlfn.XLOOKUP($A2801,Load!$B:$B,Load!I:I,0,)</f>
        <v>0</v>
      </c>
      <c r="I2801">
        <f>_xlfn.XLOOKUP($A2801,Load!$B:$B,Load!J:J,0,)</f>
        <v>0</v>
      </c>
      <c r="J2801">
        <f>_xlfn.XLOOKUP($A2801,Load!$B:$B,Load!K:K,0,)</f>
        <v>0</v>
      </c>
      <c r="K2801">
        <f>_xlfn.XLOOKUP($A2801,Load!$B:$B,Load!L:L,0,)</f>
        <v>0</v>
      </c>
      <c r="L2801">
        <f>_xlfn.XLOOKUP($A2801,Load!$B:$B,Load!M:M,0,)</f>
        <v>0</v>
      </c>
    </row>
    <row r="2802" spans="1:12" x14ac:dyDescent="0.25">
      <c r="A2802" t="s">
        <v>117</v>
      </c>
      <c r="B2802" t="str">
        <f>_xlfn.XLOOKUP($A2802,Load!$B:$B,Load!C:C,0,)</f>
        <v>Great Value</v>
      </c>
      <c r="C2802" t="str">
        <f>_xlfn.XLOOKUP($A2802,Load!$B:$B,Load!D:D,0,)</f>
        <v>Non-Chocolate Candy Only</v>
      </c>
      <c r="D2802" t="str">
        <f>_xlfn.XLOOKUP($A2802,Load!$B:$B,Load!E:E,0,)</f>
        <v>Fall / Seasonal Flavors (pumpkin spice, caramel apple, candy corn)</v>
      </c>
      <c r="E2802" t="str">
        <f>_xlfn.XLOOKUP($A2802,Load!$B:$B,Load!F:F,0,)</f>
        <v>Candy Pieces / Bites</v>
      </c>
      <c r="F2802" t="str">
        <f>_xlfn.XLOOKUP($A2802,Load!$B:$B,Load!G:G,0,)</f>
        <v>Single Pack</v>
      </c>
      <c r="G2802" t="str">
        <f>_xlfn.XLOOKUP($A2802,Load!$B:$B,Load!H:H,0,)</f>
        <v>Laydown Bag</v>
      </c>
      <c r="H2802" t="str">
        <f>_xlfn.XLOOKUP($A2802,Load!$B:$B,Load!I:I,0,)</f>
        <v>Seasonal Shapes (like pumpkins, candy corn, ghost, bats, etc.)</v>
      </c>
      <c r="I2802" t="str">
        <f>_xlfn.XLOOKUP($A2802,Load!$B:$B,Load!J:J,0,)</f>
        <v>Seasonal Graphics (Like Bat, Ghost, Pumpkin, Fall Leaves, Eyeballs, etc.)</v>
      </c>
      <c r="J2802" t="str">
        <f>_xlfn.XLOOKUP($A2802,Load!$B:$B,Load!K:K,0,)</f>
        <v>Small Pieces (Tiny bite size candies)</v>
      </c>
      <c r="K2802" t="str">
        <f>_xlfn.XLOOKUP($A2802,Load!$B:$B,Load!L:L,0,)</f>
        <v>Unwrapped</v>
      </c>
      <c r="L2802" t="str">
        <f>_xlfn.XLOOKUP($A2802,Load!$B:$B,Load!M:M,0,)</f>
        <v>Single Brand / Single Flavor or Form</v>
      </c>
    </row>
    <row r="2803" spans="1:12" x14ac:dyDescent="0.25">
      <c r="B2803">
        <f>_xlfn.XLOOKUP($A2803,Load!$B:$B,Load!C:C,0,)</f>
        <v>0</v>
      </c>
      <c r="C2803">
        <f>_xlfn.XLOOKUP($A2803,Load!$B:$B,Load!D:D,0,)</f>
        <v>0</v>
      </c>
      <c r="D2803">
        <f>_xlfn.XLOOKUP($A2803,Load!$B:$B,Load!E:E,0,)</f>
        <v>0</v>
      </c>
      <c r="E2803">
        <f>_xlfn.XLOOKUP($A2803,Load!$B:$B,Load!F:F,0,)</f>
        <v>0</v>
      </c>
      <c r="F2803">
        <f>_xlfn.XLOOKUP($A2803,Load!$B:$B,Load!G:G,0,)</f>
        <v>0</v>
      </c>
      <c r="G2803">
        <f>_xlfn.XLOOKUP($A2803,Load!$B:$B,Load!H:H,0,)</f>
        <v>0</v>
      </c>
      <c r="H2803">
        <f>_xlfn.XLOOKUP($A2803,Load!$B:$B,Load!I:I,0,)</f>
        <v>0</v>
      </c>
      <c r="I2803">
        <f>_xlfn.XLOOKUP($A2803,Load!$B:$B,Load!J:J,0,)</f>
        <v>0</v>
      </c>
      <c r="J2803">
        <f>_xlfn.XLOOKUP($A2803,Load!$B:$B,Load!K:K,0,)</f>
        <v>0</v>
      </c>
      <c r="K2803">
        <f>_xlfn.XLOOKUP($A2803,Load!$B:$B,Load!L:L,0,)</f>
        <v>0</v>
      </c>
      <c r="L2803">
        <f>_xlfn.XLOOKUP($A2803,Load!$B:$B,Load!M:M,0,)</f>
        <v>0</v>
      </c>
    </row>
    <row r="2804" spans="1:12" x14ac:dyDescent="0.25">
      <c r="A2804" t="s">
        <v>104</v>
      </c>
      <c r="B2804" t="str">
        <f>_xlfn.XLOOKUP($A2804,Load!$B:$B,Load!C:C,0,)</f>
        <v>Frankford</v>
      </c>
      <c r="C2804" t="str">
        <f>_xlfn.XLOOKUP($A2804,Load!$B:$B,Load!D:D,0,)</f>
        <v>Non-Chocolate Candy Only</v>
      </c>
      <c r="D2804" t="str">
        <f>_xlfn.XLOOKUP($A2804,Load!$B:$B,Load!E:E,0,)</f>
        <v>Variety / Mixed Flavors (Fruity, Sour, Seasonal Flavors)</v>
      </c>
      <c r="E2804" t="str">
        <f>_xlfn.XLOOKUP($A2804,Load!$B:$B,Load!F:F,0,)</f>
        <v>Mixed / Combo Packs (Gummy, Chewy, Taffy, etc.)</v>
      </c>
      <c r="F2804" t="str">
        <f>_xlfn.XLOOKUP($A2804,Load!$B:$B,Load!G:G,0,)</f>
        <v>Large Multipack (More than 80 ct)</v>
      </c>
      <c r="G2804" t="str">
        <f>_xlfn.XLOOKUP($A2804,Load!$B:$B,Load!H:H,0,)</f>
        <v>Stand-Up Bag</v>
      </c>
      <c r="H2804" t="str">
        <f>_xlfn.XLOOKUP($A2804,Load!$B:$B,Load!I:I,0,)</f>
        <v>Seasonal Shapes (like pumpkins, candy corn, ghost, bats, etc.)</v>
      </c>
      <c r="I2804" t="str">
        <f>_xlfn.XLOOKUP($A2804,Load!$B:$B,Load!J:J,0,)</f>
        <v>Seasonal Graphics (Like Bat, Ghost, Pumpkin, Fall Leaves, Eyeballs, etc.)</v>
      </c>
      <c r="J2804" t="str">
        <f>_xlfn.XLOOKUP($A2804,Load!$B:$B,Load!K:K,0,)</f>
        <v xml:space="preserve">Variety Candy Sizes </v>
      </c>
      <c r="K2804" t="str">
        <f>_xlfn.XLOOKUP($A2804,Load!$B:$B,Load!L:L,0,)</f>
        <v>Regular/Original Wrapping</v>
      </c>
      <c r="L2804" t="str">
        <f>_xlfn.XLOOKUP($A2804,Load!$B:$B,Load!M:M,0,)</f>
        <v>Multiple Brands / Variety Flavors or Form</v>
      </c>
    </row>
    <row r="2805" spans="1:12" x14ac:dyDescent="0.25">
      <c r="A2805" t="s">
        <v>161</v>
      </c>
      <c r="B2805" t="str">
        <f>_xlfn.XLOOKUP($A2805,Load!$B:$B,Load!C:C,0,)</f>
        <v>Jolly Rancher</v>
      </c>
      <c r="C2805" t="str">
        <f>_xlfn.XLOOKUP($A2805,Load!$B:$B,Load!D:D,0,)</f>
        <v>Non-Chocolate Candy Only</v>
      </c>
      <c r="D2805" t="str">
        <f>_xlfn.XLOOKUP($A2805,Load!$B:$B,Load!E:E,0,)</f>
        <v>Variety / Mixed Flavors (Fruity, Sour, Seasonal Flavors)</v>
      </c>
      <c r="E2805" t="str">
        <f>_xlfn.XLOOKUP($A2805,Load!$B:$B,Load!F:F,0,)</f>
        <v>Mixed / Combo Packs (Gummy, Chewy, Taffy, etc.)</v>
      </c>
      <c r="F2805" t="str">
        <f>_xlfn.XLOOKUP($A2805,Load!$B:$B,Load!G:G,0,)</f>
        <v>Large Multipack (More than 80 ct)</v>
      </c>
      <c r="G2805" t="str">
        <f>_xlfn.XLOOKUP($A2805,Load!$B:$B,Load!H:H,0,)</f>
        <v>Stand-Up Bag</v>
      </c>
      <c r="H2805" t="str">
        <f>_xlfn.XLOOKUP($A2805,Load!$B:$B,Load!I:I,0,)</f>
        <v>Everyday Candy Shapes (like Original, Gummy bear, Fruit, Jewels, etc.)</v>
      </c>
      <c r="I2805" t="str">
        <f>_xlfn.XLOOKUP($A2805,Load!$B:$B,Load!J:J,0,)</f>
        <v>Seasonal Graphics (Like Bat, Ghost, Pumpkin, Fall Leaves, Eyeballs, etc.)</v>
      </c>
      <c r="J2805" t="str">
        <f>_xlfn.XLOOKUP($A2805,Load!$B:$B,Load!K:K,0,)</f>
        <v xml:space="preserve">Variety Candy Sizes </v>
      </c>
      <c r="K2805" t="str">
        <f>_xlfn.XLOOKUP($A2805,Load!$B:$B,Load!L:L,0,)</f>
        <v>Regular/Original Wrapping</v>
      </c>
      <c r="L2805" t="str">
        <f>_xlfn.XLOOKUP($A2805,Load!$B:$B,Load!M:M,0,)</f>
        <v>Single Brand / Variety Flavors or Form</v>
      </c>
    </row>
    <row r="2806" spans="1:12" x14ac:dyDescent="0.25">
      <c r="B2806">
        <f>_xlfn.XLOOKUP($A2806,Load!$B:$B,Load!C:C,0,)</f>
        <v>0</v>
      </c>
      <c r="C2806">
        <f>_xlfn.XLOOKUP($A2806,Load!$B:$B,Load!D:D,0,)</f>
        <v>0</v>
      </c>
      <c r="D2806">
        <f>_xlfn.XLOOKUP($A2806,Load!$B:$B,Load!E:E,0,)</f>
        <v>0</v>
      </c>
      <c r="E2806">
        <f>_xlfn.XLOOKUP($A2806,Load!$B:$B,Load!F:F,0,)</f>
        <v>0</v>
      </c>
      <c r="F2806">
        <f>_xlfn.XLOOKUP($A2806,Load!$B:$B,Load!G:G,0,)</f>
        <v>0</v>
      </c>
      <c r="G2806">
        <f>_xlfn.XLOOKUP($A2806,Load!$B:$B,Load!H:H,0,)</f>
        <v>0</v>
      </c>
      <c r="H2806">
        <f>_xlfn.XLOOKUP($A2806,Load!$B:$B,Load!I:I,0,)</f>
        <v>0</v>
      </c>
      <c r="I2806">
        <f>_xlfn.XLOOKUP($A2806,Load!$B:$B,Load!J:J,0,)</f>
        <v>0</v>
      </c>
      <c r="J2806">
        <f>_xlfn.XLOOKUP($A2806,Load!$B:$B,Load!K:K,0,)</f>
        <v>0</v>
      </c>
      <c r="K2806">
        <f>_xlfn.XLOOKUP($A2806,Load!$B:$B,Load!L:L,0,)</f>
        <v>0</v>
      </c>
      <c r="L2806">
        <f>_xlfn.XLOOKUP($A2806,Load!$B:$B,Load!M:M,0,)</f>
        <v>0</v>
      </c>
    </row>
    <row r="2807" spans="1:12" x14ac:dyDescent="0.25">
      <c r="B2807">
        <f>_xlfn.XLOOKUP($A2807,Load!$B:$B,Load!C:C,0,)</f>
        <v>0</v>
      </c>
      <c r="C2807">
        <f>_xlfn.XLOOKUP($A2807,Load!$B:$B,Load!D:D,0,)</f>
        <v>0</v>
      </c>
      <c r="D2807">
        <f>_xlfn.XLOOKUP($A2807,Load!$B:$B,Load!E:E,0,)</f>
        <v>0</v>
      </c>
      <c r="E2807">
        <f>_xlfn.XLOOKUP($A2807,Load!$B:$B,Load!F:F,0,)</f>
        <v>0</v>
      </c>
      <c r="F2807">
        <f>_xlfn.XLOOKUP($A2807,Load!$B:$B,Load!G:G,0,)</f>
        <v>0</v>
      </c>
      <c r="G2807">
        <f>_xlfn.XLOOKUP($A2807,Load!$B:$B,Load!H:H,0,)</f>
        <v>0</v>
      </c>
      <c r="H2807">
        <f>_xlfn.XLOOKUP($A2807,Load!$B:$B,Load!I:I,0,)</f>
        <v>0</v>
      </c>
      <c r="I2807">
        <f>_xlfn.XLOOKUP($A2807,Load!$B:$B,Load!J:J,0,)</f>
        <v>0</v>
      </c>
      <c r="J2807">
        <f>_xlfn.XLOOKUP($A2807,Load!$B:$B,Load!K:K,0,)</f>
        <v>0</v>
      </c>
      <c r="K2807">
        <f>_xlfn.XLOOKUP($A2807,Load!$B:$B,Load!L:L,0,)</f>
        <v>0</v>
      </c>
      <c r="L2807">
        <f>_xlfn.XLOOKUP($A2807,Load!$B:$B,Load!M:M,0,)</f>
        <v>0</v>
      </c>
    </row>
    <row r="2808" spans="1:12" x14ac:dyDescent="0.25">
      <c r="A2808" t="s">
        <v>200</v>
      </c>
      <c r="B2808" t="str">
        <f>_xlfn.XLOOKUP($A2808,Load!$B:$B,Load!C:C,0,)</f>
        <v>Mars Variety Pack</v>
      </c>
      <c r="C2808" t="str">
        <f>_xlfn.XLOOKUP($A2808,Load!$B:$B,Load!D:D,0,)</f>
        <v>Non-Chocolate Candy Only</v>
      </c>
      <c r="D2808" t="str">
        <f>_xlfn.XLOOKUP($A2808,Load!$B:$B,Load!E:E,0,)</f>
        <v>Variety / Mixed Flavors (Fruity, Sour, Seasonal Flavors)</v>
      </c>
      <c r="E2808" t="str">
        <f>_xlfn.XLOOKUP($A2808,Load!$B:$B,Load!F:F,0,)</f>
        <v>Mixed / Combo Packs (Gummy, Chewy, Taffy, etc.)</v>
      </c>
      <c r="F2808" t="str">
        <f>_xlfn.XLOOKUP($A2808,Load!$B:$B,Load!G:G,0,)</f>
        <v>Small Multipack (Less than 40 ct)</v>
      </c>
      <c r="G2808" t="str">
        <f>_xlfn.XLOOKUP($A2808,Load!$B:$B,Load!H:H,0,)</f>
        <v>Box (theatre box, gift box, carton)</v>
      </c>
      <c r="H2808" t="str">
        <f>_xlfn.XLOOKUP($A2808,Load!$B:$B,Load!I:I,0,)</f>
        <v>Everyday Candy Shapes (like Original, Gummy bear, Fruit, Jewels, etc.)</v>
      </c>
      <c r="I2808" t="str">
        <f>_xlfn.XLOOKUP($A2808,Load!$B:$B,Load!J:J,0,)</f>
        <v>Seasonal Graphics (Like Bat, Ghost, Pumpkin, Fall Leaves, Eyeballs, etc.)</v>
      </c>
      <c r="J2808" t="str">
        <f>_xlfn.XLOOKUP($A2808,Load!$B:$B,Load!K:K,0,)</f>
        <v>Small Pieces (Tiny bite size candies)</v>
      </c>
      <c r="K2808" t="str">
        <f>_xlfn.XLOOKUP($A2808,Load!$B:$B,Load!L:L,0,)</f>
        <v>Regular/Original Wrapping</v>
      </c>
      <c r="L2808" t="str">
        <f>_xlfn.XLOOKUP($A2808,Load!$B:$B,Load!M:M,0,)</f>
        <v>Multiple Brands / Variety Flavors or Form</v>
      </c>
    </row>
    <row r="2809" spans="1:12" x14ac:dyDescent="0.25">
      <c r="A2809" t="s">
        <v>173</v>
      </c>
      <c r="B2809" t="str">
        <f>_xlfn.XLOOKUP($A2809,Load!$B:$B,Load!C:C,0,)</f>
        <v>Mars Variety Pack</v>
      </c>
      <c r="C2809" t="str">
        <f>_xlfn.XLOOKUP($A2809,Load!$B:$B,Load!D:D,0,)</f>
        <v>Mix of Chocolate and Non-Chocolate Candy</v>
      </c>
      <c r="D2809" t="str">
        <f>_xlfn.XLOOKUP($A2809,Load!$B:$B,Load!E:E,0,)</f>
        <v>Variety / Mixed Flavors (Fruity, Sour, Seasonal Flavors)</v>
      </c>
      <c r="E2809" t="str">
        <f>_xlfn.XLOOKUP($A2809,Load!$B:$B,Load!F:F,0,)</f>
        <v>Mixed / Combo Packs (Gummy, Chewy, Taffy, etc.)</v>
      </c>
      <c r="F2809" t="str">
        <f>_xlfn.XLOOKUP($A2809,Load!$B:$B,Load!G:G,0,)</f>
        <v>Large Multipack (More than 80 ct)</v>
      </c>
      <c r="G2809" t="str">
        <f>_xlfn.XLOOKUP($A2809,Load!$B:$B,Load!H:H,0,)</f>
        <v>Stand-Up Bag</v>
      </c>
      <c r="H2809" t="str">
        <f>_xlfn.XLOOKUP($A2809,Load!$B:$B,Load!I:I,0,)</f>
        <v>Everyday Candy Shapes (like Original, Gummy bear, Fruit, Jewels, etc.)</v>
      </c>
      <c r="I2809" t="str">
        <f>_xlfn.XLOOKUP($A2809,Load!$B:$B,Load!J:J,0,)</f>
        <v>Seasonal Graphics (Like Bat, Ghost, Pumpkin, Fall Leaves, Eyeballs, etc.)</v>
      </c>
      <c r="J2809" t="str">
        <f>_xlfn.XLOOKUP($A2809,Load!$B:$B,Load!K:K,0,)</f>
        <v>Fun Size / Treat Size</v>
      </c>
      <c r="K2809" t="str">
        <f>_xlfn.XLOOKUP($A2809,Load!$B:$B,Load!L:L,0,)</f>
        <v>Regular/Original Wrapping</v>
      </c>
      <c r="L2809" t="str">
        <f>_xlfn.XLOOKUP($A2809,Load!$B:$B,Load!M:M,0,)</f>
        <v>Multiple Brands / Variety Flavors or Form</v>
      </c>
    </row>
    <row r="2810" spans="1:12" x14ac:dyDescent="0.25">
      <c r="B2810">
        <f>_xlfn.XLOOKUP($A2810,Load!$B:$B,Load!C:C,0,)</f>
        <v>0</v>
      </c>
      <c r="C2810">
        <f>_xlfn.XLOOKUP($A2810,Load!$B:$B,Load!D:D,0,)</f>
        <v>0</v>
      </c>
      <c r="D2810">
        <f>_xlfn.XLOOKUP($A2810,Load!$B:$B,Load!E:E,0,)</f>
        <v>0</v>
      </c>
      <c r="E2810">
        <f>_xlfn.XLOOKUP($A2810,Load!$B:$B,Load!F:F,0,)</f>
        <v>0</v>
      </c>
      <c r="F2810">
        <f>_xlfn.XLOOKUP($A2810,Load!$B:$B,Load!G:G,0,)</f>
        <v>0</v>
      </c>
      <c r="G2810">
        <f>_xlfn.XLOOKUP($A2810,Load!$B:$B,Load!H:H,0,)</f>
        <v>0</v>
      </c>
      <c r="H2810">
        <f>_xlfn.XLOOKUP($A2810,Load!$B:$B,Load!I:I,0,)</f>
        <v>0</v>
      </c>
      <c r="I2810">
        <f>_xlfn.XLOOKUP($A2810,Load!$B:$B,Load!J:J,0,)</f>
        <v>0</v>
      </c>
      <c r="J2810">
        <f>_xlfn.XLOOKUP($A2810,Load!$B:$B,Load!K:K,0,)</f>
        <v>0</v>
      </c>
      <c r="K2810">
        <f>_xlfn.XLOOKUP($A2810,Load!$B:$B,Load!L:L,0,)</f>
        <v>0</v>
      </c>
      <c r="L2810">
        <f>_xlfn.XLOOKUP($A2810,Load!$B:$B,Load!M:M,0,)</f>
        <v>0</v>
      </c>
    </row>
    <row r="2811" spans="1:12" x14ac:dyDescent="0.25">
      <c r="B2811">
        <f>_xlfn.XLOOKUP($A2811,Load!$B:$B,Load!C:C,0,)</f>
        <v>0</v>
      </c>
      <c r="C2811">
        <f>_xlfn.XLOOKUP($A2811,Load!$B:$B,Load!D:D,0,)</f>
        <v>0</v>
      </c>
      <c r="D2811">
        <f>_xlfn.XLOOKUP($A2811,Load!$B:$B,Load!E:E,0,)</f>
        <v>0</v>
      </c>
      <c r="E2811">
        <f>_xlfn.XLOOKUP($A2811,Load!$B:$B,Load!F:F,0,)</f>
        <v>0</v>
      </c>
      <c r="F2811">
        <f>_xlfn.XLOOKUP($A2811,Load!$B:$B,Load!G:G,0,)</f>
        <v>0</v>
      </c>
      <c r="G2811">
        <f>_xlfn.XLOOKUP($A2811,Load!$B:$B,Load!H:H,0,)</f>
        <v>0</v>
      </c>
      <c r="H2811">
        <f>_xlfn.XLOOKUP($A2811,Load!$B:$B,Load!I:I,0,)</f>
        <v>0</v>
      </c>
      <c r="I2811">
        <f>_xlfn.XLOOKUP($A2811,Load!$B:$B,Load!J:J,0,)</f>
        <v>0</v>
      </c>
      <c r="J2811">
        <f>_xlfn.XLOOKUP($A2811,Load!$B:$B,Load!K:K,0,)</f>
        <v>0</v>
      </c>
      <c r="K2811">
        <f>_xlfn.XLOOKUP($A2811,Load!$B:$B,Load!L:L,0,)</f>
        <v>0</v>
      </c>
      <c r="L2811">
        <f>_xlfn.XLOOKUP($A2811,Load!$B:$B,Load!M:M,0,)</f>
        <v>0</v>
      </c>
    </row>
    <row r="2812" spans="1:12" x14ac:dyDescent="0.25">
      <c r="A2812" t="s">
        <v>58</v>
      </c>
      <c r="B2812" t="str">
        <f>_xlfn.XLOOKUP($A2812,Load!$B:$B,Load!C:C,0,)</f>
        <v>Charms</v>
      </c>
      <c r="C2812" t="str">
        <f>_xlfn.XLOOKUP($A2812,Load!$B:$B,Load!D:D,0,)</f>
        <v>Non-Chocolate Candy Only</v>
      </c>
      <c r="D2812" t="str">
        <f>_xlfn.XLOOKUP($A2812,Load!$B:$B,Load!E:E,0,)</f>
        <v>Variety / Mixed Flavors (Fruity, Sour, Seasonal Flavors)</v>
      </c>
      <c r="E2812" t="str">
        <f>_xlfn.XLOOKUP($A2812,Load!$B:$B,Load!F:F,0,)</f>
        <v>Lollipop (regular or lollipop rings)</v>
      </c>
      <c r="F2812" t="str">
        <f>_xlfn.XLOOKUP($A2812,Load!$B:$B,Load!G:G,0,)</f>
        <v>Small Multipack (Less than 40 ct)</v>
      </c>
      <c r="G2812" t="str">
        <f>_xlfn.XLOOKUP($A2812,Load!$B:$B,Load!H:H,0,)</f>
        <v>Laydown Bag</v>
      </c>
      <c r="H2812" t="str">
        <f>_xlfn.XLOOKUP($A2812,Load!$B:$B,Load!I:I,0,)</f>
        <v>Everyday Candy Shapes (like Original, Gummy bear, Fruit, Jewels, etc.)</v>
      </c>
      <c r="I2812" t="str">
        <f>_xlfn.XLOOKUP($A2812,Load!$B:$B,Load!J:J,0,)</f>
        <v>Seasonal Graphics (Like Bat, Ghost, Pumpkin, Fall Leaves, Eyeballs, etc.)</v>
      </c>
      <c r="J2812" t="str">
        <f>_xlfn.XLOOKUP($A2812,Load!$B:$B,Load!K:K,0,)</f>
        <v>Regular Lollipop size (on sticks or rings)</v>
      </c>
      <c r="K2812" t="str">
        <f>_xlfn.XLOOKUP($A2812,Load!$B:$B,Load!L:L,0,)</f>
        <v>Regular/Original Wrapping</v>
      </c>
      <c r="L2812" t="str">
        <f>_xlfn.XLOOKUP($A2812,Load!$B:$B,Load!M:M,0,)</f>
        <v>Single Brand / Variety Flavors or Form</v>
      </c>
    </row>
    <row r="2813" spans="1:12" x14ac:dyDescent="0.25">
      <c r="A2813" t="s">
        <v>76</v>
      </c>
      <c r="B2813" t="str">
        <f>_xlfn.XLOOKUP($A2813,Load!$B:$B,Load!C:C,0,)</f>
        <v>Dum Dums</v>
      </c>
      <c r="C2813" t="str">
        <f>_xlfn.XLOOKUP($A2813,Load!$B:$B,Load!D:D,0,)</f>
        <v>Non-Chocolate Candy Only</v>
      </c>
      <c r="D2813" t="str">
        <f>_xlfn.XLOOKUP($A2813,Load!$B:$B,Load!E:E,0,)</f>
        <v>Variety / Mixed Flavors (Fruity, Sour, Seasonal Flavors)</v>
      </c>
      <c r="E2813" t="str">
        <f>_xlfn.XLOOKUP($A2813,Load!$B:$B,Load!F:F,0,)</f>
        <v>Lollipop (regular or lollipop rings)</v>
      </c>
      <c r="F2813" t="str">
        <f>_xlfn.XLOOKUP($A2813,Load!$B:$B,Load!G:G,0,)</f>
        <v>Large Multipack (More than 80 ct)</v>
      </c>
      <c r="G2813" t="str">
        <f>_xlfn.XLOOKUP($A2813,Load!$B:$B,Load!H:H,0,)</f>
        <v>Stand-Up Bag</v>
      </c>
      <c r="H2813" t="str">
        <f>_xlfn.XLOOKUP($A2813,Load!$B:$B,Load!I:I,0,)</f>
        <v>Everyday Candy Shapes (like Original, Gummy bear, Fruit, Jewels, etc.)</v>
      </c>
      <c r="I2813" t="str">
        <f>_xlfn.XLOOKUP($A2813,Load!$B:$B,Load!J:J,0,)</f>
        <v>Everyday Graphics</v>
      </c>
      <c r="J2813" t="str">
        <f>_xlfn.XLOOKUP($A2813,Load!$B:$B,Load!K:K,0,)</f>
        <v>Regular Lollipop size (on sticks or rings)</v>
      </c>
      <c r="K2813" t="str">
        <f>_xlfn.XLOOKUP($A2813,Load!$B:$B,Load!L:L,0,)</f>
        <v>Regular/Original Wrapping</v>
      </c>
      <c r="L2813" t="str">
        <f>_xlfn.XLOOKUP($A2813,Load!$B:$B,Load!M:M,0,)</f>
        <v>Single Brand / Variety Flavors or Form</v>
      </c>
    </row>
    <row r="2814" spans="1:12" x14ac:dyDescent="0.25">
      <c r="B2814">
        <f>_xlfn.XLOOKUP($A2814,Load!$B:$B,Load!C:C,0,)</f>
        <v>0</v>
      </c>
      <c r="C2814">
        <f>_xlfn.XLOOKUP($A2814,Load!$B:$B,Load!D:D,0,)</f>
        <v>0</v>
      </c>
      <c r="D2814">
        <f>_xlfn.XLOOKUP($A2814,Load!$B:$B,Load!E:E,0,)</f>
        <v>0</v>
      </c>
      <c r="E2814">
        <f>_xlfn.XLOOKUP($A2814,Load!$B:$B,Load!F:F,0,)</f>
        <v>0</v>
      </c>
      <c r="F2814">
        <f>_xlfn.XLOOKUP($A2814,Load!$B:$B,Load!G:G,0,)</f>
        <v>0</v>
      </c>
      <c r="G2814">
        <f>_xlfn.XLOOKUP($A2814,Load!$B:$B,Load!H:H,0,)</f>
        <v>0</v>
      </c>
      <c r="H2814">
        <f>_xlfn.XLOOKUP($A2814,Load!$B:$B,Load!I:I,0,)</f>
        <v>0</v>
      </c>
      <c r="I2814">
        <f>_xlfn.XLOOKUP($A2814,Load!$B:$B,Load!J:J,0,)</f>
        <v>0</v>
      </c>
      <c r="J2814">
        <f>_xlfn.XLOOKUP($A2814,Load!$B:$B,Load!K:K,0,)</f>
        <v>0</v>
      </c>
      <c r="K2814">
        <f>_xlfn.XLOOKUP($A2814,Load!$B:$B,Load!L:L,0,)</f>
        <v>0</v>
      </c>
      <c r="L2814">
        <f>_xlfn.XLOOKUP($A2814,Load!$B:$B,Load!M:M,0,)</f>
        <v>0</v>
      </c>
    </row>
    <row r="2815" spans="1:12" x14ac:dyDescent="0.25">
      <c r="B2815">
        <f>_xlfn.XLOOKUP($A2815,Load!$B:$B,Load!C:C,0,)</f>
        <v>0</v>
      </c>
      <c r="C2815">
        <f>_xlfn.XLOOKUP($A2815,Load!$B:$B,Load!D:D,0,)</f>
        <v>0</v>
      </c>
      <c r="D2815">
        <f>_xlfn.XLOOKUP($A2815,Load!$B:$B,Load!E:E,0,)</f>
        <v>0</v>
      </c>
      <c r="E2815">
        <f>_xlfn.XLOOKUP($A2815,Load!$B:$B,Load!F:F,0,)</f>
        <v>0</v>
      </c>
      <c r="F2815">
        <f>_xlfn.XLOOKUP($A2815,Load!$B:$B,Load!G:G,0,)</f>
        <v>0</v>
      </c>
      <c r="G2815">
        <f>_xlfn.XLOOKUP($A2815,Load!$B:$B,Load!H:H,0,)</f>
        <v>0</v>
      </c>
      <c r="H2815">
        <f>_xlfn.XLOOKUP($A2815,Load!$B:$B,Load!I:I,0,)</f>
        <v>0</v>
      </c>
      <c r="I2815">
        <f>_xlfn.XLOOKUP($A2815,Load!$B:$B,Load!J:J,0,)</f>
        <v>0</v>
      </c>
      <c r="J2815">
        <f>_xlfn.XLOOKUP($A2815,Load!$B:$B,Load!K:K,0,)</f>
        <v>0</v>
      </c>
      <c r="K2815">
        <f>_xlfn.XLOOKUP($A2815,Load!$B:$B,Load!L:L,0,)</f>
        <v>0</v>
      </c>
      <c r="L2815">
        <f>_xlfn.XLOOKUP($A2815,Load!$B:$B,Load!M:M,0,)</f>
        <v>0</v>
      </c>
    </row>
    <row r="2816" spans="1:12" x14ac:dyDescent="0.25">
      <c r="B2816">
        <f>_xlfn.XLOOKUP($A2816,Load!$B:$B,Load!C:C,0,)</f>
        <v>0</v>
      </c>
      <c r="C2816">
        <f>_xlfn.XLOOKUP($A2816,Load!$B:$B,Load!D:D,0,)</f>
        <v>0</v>
      </c>
      <c r="D2816">
        <f>_xlfn.XLOOKUP($A2816,Load!$B:$B,Load!E:E,0,)</f>
        <v>0</v>
      </c>
      <c r="E2816">
        <f>_xlfn.XLOOKUP($A2816,Load!$B:$B,Load!F:F,0,)</f>
        <v>0</v>
      </c>
      <c r="F2816">
        <f>_xlfn.XLOOKUP($A2816,Load!$B:$B,Load!G:G,0,)</f>
        <v>0</v>
      </c>
      <c r="G2816">
        <f>_xlfn.XLOOKUP($A2816,Load!$B:$B,Load!H:H,0,)</f>
        <v>0</v>
      </c>
      <c r="H2816">
        <f>_xlfn.XLOOKUP($A2816,Load!$B:$B,Load!I:I,0,)</f>
        <v>0</v>
      </c>
      <c r="I2816">
        <f>_xlfn.XLOOKUP($A2816,Load!$B:$B,Load!J:J,0,)</f>
        <v>0</v>
      </c>
      <c r="J2816">
        <f>_xlfn.XLOOKUP($A2816,Load!$B:$B,Load!K:K,0,)</f>
        <v>0</v>
      </c>
      <c r="K2816">
        <f>_xlfn.XLOOKUP($A2816,Load!$B:$B,Load!L:L,0,)</f>
        <v>0</v>
      </c>
      <c r="L2816">
        <f>_xlfn.XLOOKUP($A2816,Load!$B:$B,Load!M:M,0,)</f>
        <v>0</v>
      </c>
    </row>
    <row r="2817" spans="1:12" x14ac:dyDescent="0.25">
      <c r="B2817">
        <f>_xlfn.XLOOKUP($A2817,Load!$B:$B,Load!C:C,0,)</f>
        <v>0</v>
      </c>
      <c r="C2817">
        <f>_xlfn.XLOOKUP($A2817,Load!$B:$B,Load!D:D,0,)</f>
        <v>0</v>
      </c>
      <c r="D2817">
        <f>_xlfn.XLOOKUP($A2817,Load!$B:$B,Load!E:E,0,)</f>
        <v>0</v>
      </c>
      <c r="E2817">
        <f>_xlfn.XLOOKUP($A2817,Load!$B:$B,Load!F:F,0,)</f>
        <v>0</v>
      </c>
      <c r="F2817">
        <f>_xlfn.XLOOKUP($A2817,Load!$B:$B,Load!G:G,0,)</f>
        <v>0</v>
      </c>
      <c r="G2817">
        <f>_xlfn.XLOOKUP($A2817,Load!$B:$B,Load!H:H,0,)</f>
        <v>0</v>
      </c>
      <c r="H2817">
        <f>_xlfn.XLOOKUP($A2817,Load!$B:$B,Load!I:I,0,)</f>
        <v>0</v>
      </c>
      <c r="I2817">
        <f>_xlfn.XLOOKUP($A2817,Load!$B:$B,Load!J:J,0,)</f>
        <v>0</v>
      </c>
      <c r="J2817">
        <f>_xlfn.XLOOKUP($A2817,Load!$B:$B,Load!K:K,0,)</f>
        <v>0</v>
      </c>
      <c r="K2817">
        <f>_xlfn.XLOOKUP($A2817,Load!$B:$B,Load!L:L,0,)</f>
        <v>0</v>
      </c>
      <c r="L2817">
        <f>_xlfn.XLOOKUP($A2817,Load!$B:$B,Load!M:M,0,)</f>
        <v>0</v>
      </c>
    </row>
    <row r="2818" spans="1:12" x14ac:dyDescent="0.25">
      <c r="A2818" t="s">
        <v>236</v>
      </c>
      <c r="B2818" t="str">
        <f>_xlfn.XLOOKUP($A2818,Load!$B:$B,Load!C:C,0,)</f>
        <v>Nerds</v>
      </c>
      <c r="C2818" t="str">
        <f>_xlfn.XLOOKUP($A2818,Load!$B:$B,Load!D:D,0,)</f>
        <v>Non-Chocolate Candy Only</v>
      </c>
      <c r="D2818" t="str">
        <f>_xlfn.XLOOKUP($A2818,Load!$B:$B,Load!E:E,0,)</f>
        <v>Variety / Mixed Flavors (Fruity, Sour, Seasonal Flavors)</v>
      </c>
      <c r="E2818" t="str">
        <f>_xlfn.XLOOKUP($A2818,Load!$B:$B,Load!F:F,0,)</f>
        <v>Candy Pieces / Bites</v>
      </c>
      <c r="F2818" t="str">
        <f>_xlfn.XLOOKUP($A2818,Load!$B:$B,Load!G:G,0,)</f>
        <v>Medium Multipack (40–80 ct)</v>
      </c>
      <c r="G2818" t="str">
        <f>_xlfn.XLOOKUP($A2818,Load!$B:$B,Load!H:H,0,)</f>
        <v>Stand-Up Bag</v>
      </c>
      <c r="H2818" t="str">
        <f>_xlfn.XLOOKUP($A2818,Load!$B:$B,Load!I:I,0,)</f>
        <v>Everyday Candy Shapes (like Original, Gummy bear, Fruit, Jewels, etc.)</v>
      </c>
      <c r="I2818" t="str">
        <f>_xlfn.XLOOKUP($A2818,Load!$B:$B,Load!J:J,0,)</f>
        <v>Seasonal Graphics (Like Bat, Ghost, Pumpkin, Fall Leaves, Eyeballs, etc.)</v>
      </c>
      <c r="J2818" t="str">
        <f>_xlfn.XLOOKUP($A2818,Load!$B:$B,Load!K:K,0,)</f>
        <v>Small Pieces (Tiny bite size candies)</v>
      </c>
      <c r="K2818" t="str">
        <f>_xlfn.XLOOKUP($A2818,Load!$B:$B,Load!L:L,0,)</f>
        <v>Unwrapped</v>
      </c>
      <c r="L2818" t="str">
        <f>_xlfn.XLOOKUP($A2818,Load!$B:$B,Load!M:M,0,)</f>
        <v>Single Brand / Variety Flavors or Form</v>
      </c>
    </row>
    <row r="2819" spans="1:12" x14ac:dyDescent="0.25">
      <c r="A2819" t="s">
        <v>254</v>
      </c>
      <c r="B2819" t="str">
        <f>_xlfn.XLOOKUP($A2819,Load!$B:$B,Load!C:C,0,)</f>
        <v>Skittles</v>
      </c>
      <c r="C2819" t="str">
        <f>_xlfn.XLOOKUP($A2819,Load!$B:$B,Load!D:D,0,)</f>
        <v>Non-Chocolate Candy Only</v>
      </c>
      <c r="D2819" t="str">
        <f>_xlfn.XLOOKUP($A2819,Load!$B:$B,Load!E:E,0,)</f>
        <v>Variety / Mixed Flavors (Fruity, Sour, Seasonal Flavors)</v>
      </c>
      <c r="E2819" t="str">
        <f>_xlfn.XLOOKUP($A2819,Load!$B:$B,Load!F:F,0,)</f>
        <v>Candy Pieces / Bites</v>
      </c>
      <c r="F2819" t="str">
        <f>_xlfn.XLOOKUP($A2819,Load!$B:$B,Load!G:G,0,)</f>
        <v>Medium Multipack (40–80 ct)</v>
      </c>
      <c r="G2819" t="str">
        <f>_xlfn.XLOOKUP($A2819,Load!$B:$B,Load!H:H,0,)</f>
        <v>Stand-Up Bag</v>
      </c>
      <c r="H2819" t="str">
        <f>_xlfn.XLOOKUP($A2819,Load!$B:$B,Load!I:I,0,)</f>
        <v>Everyday Candy Shapes (like Original, Gummy bear, Fruit, Jewels, etc.)</v>
      </c>
      <c r="I2819" t="str">
        <f>_xlfn.XLOOKUP($A2819,Load!$B:$B,Load!J:J,0,)</f>
        <v>Everyday Graphics</v>
      </c>
      <c r="J2819" t="str">
        <f>_xlfn.XLOOKUP($A2819,Load!$B:$B,Load!K:K,0,)</f>
        <v>Small Pieces (Tiny bite size candies)</v>
      </c>
      <c r="K2819" t="str">
        <f>_xlfn.XLOOKUP($A2819,Load!$B:$B,Load!L:L,0,)</f>
        <v>Regular/Original Wrapping</v>
      </c>
      <c r="L2819" t="str">
        <f>_xlfn.XLOOKUP($A2819,Load!$B:$B,Load!M:M,0,)</f>
        <v>Single Brand / Variety Flavors or Form</v>
      </c>
    </row>
    <row r="2820" spans="1:12" x14ac:dyDescent="0.25">
      <c r="A2820" t="s">
        <v>474</v>
      </c>
      <c r="B2820" t="str">
        <f>_xlfn.XLOOKUP($A2820,Load!$B:$B,Load!C:C,0,)</f>
        <v>Smarties</v>
      </c>
      <c r="C2820" t="str">
        <f>_xlfn.XLOOKUP($A2820,Load!$B:$B,Load!D:D,0,)</f>
        <v>Non-Chocolate Candy Only</v>
      </c>
      <c r="D2820" t="str">
        <f>_xlfn.XLOOKUP($A2820,Load!$B:$B,Load!E:E,0,)</f>
        <v>Variety / Mixed Flavors (Fruity, Sour, Seasonal Flavors)</v>
      </c>
      <c r="E2820" t="str">
        <f>_xlfn.XLOOKUP($A2820,Load!$B:$B,Load!F:F,0,)</f>
        <v>Powder / Chalky</v>
      </c>
      <c r="F2820" t="str">
        <f>_xlfn.XLOOKUP($A2820,Load!$B:$B,Load!G:G,0,)</f>
        <v>Single Pack</v>
      </c>
      <c r="G2820" t="str">
        <f>_xlfn.XLOOKUP($A2820,Load!$B:$B,Load!H:H,0,)</f>
        <v>Laydown Bag</v>
      </c>
      <c r="H2820" t="str">
        <f>_xlfn.XLOOKUP($A2820,Load!$B:$B,Load!I:I,0,)</f>
        <v>Everyday Candy Shapes (like Original, Gummy bear, Fruit, Jewels, etc.)</v>
      </c>
      <c r="I2820" t="str">
        <f>_xlfn.XLOOKUP($A2820,Load!$B:$B,Load!J:J,0,)</f>
        <v>Everyday Graphics</v>
      </c>
      <c r="J2820" t="str">
        <f>_xlfn.XLOOKUP($A2820,Load!$B:$B,Load!K:K,0,)</f>
        <v>Fun Size / Treat Size</v>
      </c>
      <c r="K2820" t="str">
        <f>_xlfn.XLOOKUP($A2820,Load!$B:$B,Load!L:L,0,)</f>
        <v>Regular/Original Wrapping</v>
      </c>
      <c r="L2820" t="str">
        <f>_xlfn.XLOOKUP($A2820,Load!$B:$B,Load!M:M,0,)</f>
        <v>Single Brand / Variety Flavors or Form</v>
      </c>
    </row>
    <row r="2821" spans="1:12" x14ac:dyDescent="0.25">
      <c r="B2821">
        <f>_xlfn.XLOOKUP($A2821,Load!$B:$B,Load!C:C,0,)</f>
        <v>0</v>
      </c>
      <c r="C2821">
        <f>_xlfn.XLOOKUP($A2821,Load!$B:$B,Load!D:D,0,)</f>
        <v>0</v>
      </c>
      <c r="D2821">
        <f>_xlfn.XLOOKUP($A2821,Load!$B:$B,Load!E:E,0,)</f>
        <v>0</v>
      </c>
      <c r="E2821">
        <f>_xlfn.XLOOKUP($A2821,Load!$B:$B,Load!F:F,0,)</f>
        <v>0</v>
      </c>
      <c r="F2821">
        <f>_xlfn.XLOOKUP($A2821,Load!$B:$B,Load!G:G,0,)</f>
        <v>0</v>
      </c>
      <c r="G2821">
        <f>_xlfn.XLOOKUP($A2821,Load!$B:$B,Load!H:H,0,)</f>
        <v>0</v>
      </c>
      <c r="H2821">
        <f>_xlfn.XLOOKUP($A2821,Load!$B:$B,Load!I:I,0,)</f>
        <v>0</v>
      </c>
      <c r="I2821">
        <f>_xlfn.XLOOKUP($A2821,Load!$B:$B,Load!J:J,0,)</f>
        <v>0</v>
      </c>
      <c r="J2821">
        <f>_xlfn.XLOOKUP($A2821,Load!$B:$B,Load!K:K,0,)</f>
        <v>0</v>
      </c>
      <c r="K2821">
        <f>_xlfn.XLOOKUP($A2821,Load!$B:$B,Load!L:L,0,)</f>
        <v>0</v>
      </c>
      <c r="L2821">
        <f>_xlfn.XLOOKUP($A2821,Load!$B:$B,Load!M:M,0,)</f>
        <v>0</v>
      </c>
    </row>
    <row r="2822" spans="1:12" x14ac:dyDescent="0.25">
      <c r="A2822" t="s">
        <v>297</v>
      </c>
      <c r="B2822" t="str">
        <f>_xlfn.XLOOKUP($A2822,Load!$B:$B,Load!C:C,0,)</f>
        <v>Trolli</v>
      </c>
      <c r="C2822" t="str">
        <f>_xlfn.XLOOKUP($A2822,Load!$B:$B,Load!D:D,0,)</f>
        <v>Non-Chocolate Candy Only</v>
      </c>
      <c r="D2822" t="str">
        <f>_xlfn.XLOOKUP($A2822,Load!$B:$B,Load!E:E,0,)</f>
        <v>Sour</v>
      </c>
      <c r="E2822" t="str">
        <f>_xlfn.XLOOKUP($A2822,Load!$B:$B,Load!F:F,0,)</f>
        <v>Gummy</v>
      </c>
      <c r="F2822" t="str">
        <f>_xlfn.XLOOKUP($A2822,Load!$B:$B,Load!G:G,0,)</f>
        <v>Small Multipack (Less than 40 ct)</v>
      </c>
      <c r="G2822" t="str">
        <f>_xlfn.XLOOKUP($A2822,Load!$B:$B,Load!H:H,0,)</f>
        <v>Peg Bag</v>
      </c>
      <c r="H2822" t="str">
        <f>_xlfn.XLOOKUP($A2822,Load!$B:$B,Load!I:I,0,)</f>
        <v>Everyday Candy Shapes (like Original, Gummy bear, Fruit, Jewels, etc.)</v>
      </c>
      <c r="I2822" t="str">
        <f>_xlfn.XLOOKUP($A2822,Load!$B:$B,Load!J:J,0,)</f>
        <v>Everyday Graphics</v>
      </c>
      <c r="J2822" t="str">
        <f>_xlfn.XLOOKUP($A2822,Load!$B:$B,Load!K:K,0,)</f>
        <v>Fun Size / Treat Size</v>
      </c>
      <c r="K2822" t="str">
        <f>_xlfn.XLOOKUP($A2822,Load!$B:$B,Load!L:L,0,)</f>
        <v>Unwrapped</v>
      </c>
      <c r="L2822" t="str">
        <f>_xlfn.XLOOKUP($A2822,Load!$B:$B,Load!M:M,0,)</f>
        <v>Single Brand / Variety Flavors or Form</v>
      </c>
    </row>
    <row r="2823" spans="1:12" x14ac:dyDescent="0.25">
      <c r="B2823">
        <f>_xlfn.XLOOKUP($A2823,Load!$B:$B,Load!C:C,0,)</f>
        <v>0</v>
      </c>
      <c r="C2823">
        <f>_xlfn.XLOOKUP($A2823,Load!$B:$B,Load!D:D,0,)</f>
        <v>0</v>
      </c>
      <c r="D2823">
        <f>_xlfn.XLOOKUP($A2823,Load!$B:$B,Load!E:E,0,)</f>
        <v>0</v>
      </c>
      <c r="E2823">
        <f>_xlfn.XLOOKUP($A2823,Load!$B:$B,Load!F:F,0,)</f>
        <v>0</v>
      </c>
      <c r="F2823">
        <f>_xlfn.XLOOKUP($A2823,Load!$B:$B,Load!G:G,0,)</f>
        <v>0</v>
      </c>
      <c r="G2823">
        <f>_xlfn.XLOOKUP($A2823,Load!$B:$B,Load!H:H,0,)</f>
        <v>0</v>
      </c>
      <c r="H2823">
        <f>_xlfn.XLOOKUP($A2823,Load!$B:$B,Load!I:I,0,)</f>
        <v>0</v>
      </c>
      <c r="I2823">
        <f>_xlfn.XLOOKUP($A2823,Load!$B:$B,Load!J:J,0,)</f>
        <v>0</v>
      </c>
      <c r="J2823">
        <f>_xlfn.XLOOKUP($A2823,Load!$B:$B,Load!K:K,0,)</f>
        <v>0</v>
      </c>
      <c r="K2823">
        <f>_xlfn.XLOOKUP($A2823,Load!$B:$B,Load!L:L,0,)</f>
        <v>0</v>
      </c>
      <c r="L2823">
        <f>_xlfn.XLOOKUP($A2823,Load!$B:$B,Load!M:M,0,)</f>
        <v>0</v>
      </c>
    </row>
    <row r="2824" spans="1:12" x14ac:dyDescent="0.25">
      <c r="B2824">
        <f>_xlfn.XLOOKUP($A2824,Load!$B:$B,Load!C:C,0,)</f>
        <v>0</v>
      </c>
      <c r="C2824">
        <f>_xlfn.XLOOKUP($A2824,Load!$B:$B,Load!D:D,0,)</f>
        <v>0</v>
      </c>
      <c r="D2824">
        <f>_xlfn.XLOOKUP($A2824,Load!$B:$B,Load!E:E,0,)</f>
        <v>0</v>
      </c>
      <c r="E2824">
        <f>_xlfn.XLOOKUP($A2824,Load!$B:$B,Load!F:F,0,)</f>
        <v>0</v>
      </c>
      <c r="F2824">
        <f>_xlfn.XLOOKUP($A2824,Load!$B:$B,Load!G:G,0,)</f>
        <v>0</v>
      </c>
      <c r="G2824">
        <f>_xlfn.XLOOKUP($A2824,Load!$B:$B,Load!H:H,0,)</f>
        <v>0</v>
      </c>
      <c r="H2824">
        <f>_xlfn.XLOOKUP($A2824,Load!$B:$B,Load!I:I,0,)</f>
        <v>0</v>
      </c>
      <c r="I2824">
        <f>_xlfn.XLOOKUP($A2824,Load!$B:$B,Load!J:J,0,)</f>
        <v>0</v>
      </c>
      <c r="J2824">
        <f>_xlfn.XLOOKUP($A2824,Load!$B:$B,Load!K:K,0,)</f>
        <v>0</v>
      </c>
      <c r="K2824">
        <f>_xlfn.XLOOKUP($A2824,Load!$B:$B,Load!L:L,0,)</f>
        <v>0</v>
      </c>
      <c r="L2824">
        <f>_xlfn.XLOOKUP($A2824,Load!$B:$B,Load!M:M,0,)</f>
        <v>0</v>
      </c>
    </row>
    <row r="2825" spans="1:12" x14ac:dyDescent="0.25">
      <c r="B2825">
        <f>_xlfn.XLOOKUP($A2825,Load!$B:$B,Load!C:C,0,)</f>
        <v>0</v>
      </c>
      <c r="C2825">
        <f>_xlfn.XLOOKUP($A2825,Load!$B:$B,Load!D:D,0,)</f>
        <v>0</v>
      </c>
      <c r="D2825">
        <f>_xlfn.XLOOKUP($A2825,Load!$B:$B,Load!E:E,0,)</f>
        <v>0</v>
      </c>
      <c r="E2825">
        <f>_xlfn.XLOOKUP($A2825,Load!$B:$B,Load!F:F,0,)</f>
        <v>0</v>
      </c>
      <c r="F2825">
        <f>_xlfn.XLOOKUP($A2825,Load!$B:$B,Load!G:G,0,)</f>
        <v>0</v>
      </c>
      <c r="G2825">
        <f>_xlfn.XLOOKUP($A2825,Load!$B:$B,Load!H:H,0,)</f>
        <v>0</v>
      </c>
      <c r="H2825">
        <f>_xlfn.XLOOKUP($A2825,Load!$B:$B,Load!I:I,0,)</f>
        <v>0</v>
      </c>
      <c r="I2825">
        <f>_xlfn.XLOOKUP($A2825,Load!$B:$B,Load!J:J,0,)</f>
        <v>0</v>
      </c>
      <c r="J2825">
        <f>_xlfn.XLOOKUP($A2825,Load!$B:$B,Load!K:K,0,)</f>
        <v>0</v>
      </c>
      <c r="K2825">
        <f>_xlfn.XLOOKUP($A2825,Load!$B:$B,Load!L:L,0,)</f>
        <v>0</v>
      </c>
      <c r="L2825">
        <f>_xlfn.XLOOKUP($A2825,Load!$B:$B,Load!M:M,0,)</f>
        <v>0</v>
      </c>
    </row>
    <row r="2826" spans="1:12" x14ac:dyDescent="0.25">
      <c r="A2826" t="s">
        <v>43</v>
      </c>
      <c r="B2826" t="str">
        <f>_xlfn.XLOOKUP($A2826,Load!$B:$B,Load!C:C,0,)</f>
        <v>Brach's</v>
      </c>
      <c r="C2826" t="str">
        <f>_xlfn.XLOOKUP($A2826,Load!$B:$B,Load!D:D,0,)</f>
        <v>Non-Chocolate Candy Only</v>
      </c>
      <c r="D2826" t="str">
        <f>_xlfn.XLOOKUP($A2826,Load!$B:$B,Load!E:E,0,)</f>
        <v>Fall / Seasonal Flavors (pumpkin spice, caramel apple, candy corn)</v>
      </c>
      <c r="E2826" t="str">
        <f>_xlfn.XLOOKUP($A2826,Load!$B:$B,Load!F:F,0,)</f>
        <v>Candy Pieces / Bites</v>
      </c>
      <c r="F2826" t="str">
        <f>_xlfn.XLOOKUP($A2826,Load!$B:$B,Load!G:G,0,)</f>
        <v>Single Pack</v>
      </c>
      <c r="G2826" t="str">
        <f>_xlfn.XLOOKUP($A2826,Load!$B:$B,Load!H:H,0,)</f>
        <v>Laydown Bag</v>
      </c>
      <c r="H2826" t="str">
        <f>_xlfn.XLOOKUP($A2826,Load!$B:$B,Load!I:I,0,)</f>
        <v>Seasonal Shapes (like pumpkins, candy corn, ghost, bats, etc.)</v>
      </c>
      <c r="I2826" t="str">
        <f>_xlfn.XLOOKUP($A2826,Load!$B:$B,Load!J:J,0,)</f>
        <v>Seasonal Graphics (Like Bat, Ghost, Pumpkin, Fall Leaves, Eyeballs, etc.)</v>
      </c>
      <c r="J2826" t="str">
        <f>_xlfn.XLOOKUP($A2826,Load!$B:$B,Load!K:K,0,)</f>
        <v>Small Pieces (Tiny bite size candies)</v>
      </c>
      <c r="K2826" t="str">
        <f>_xlfn.XLOOKUP($A2826,Load!$B:$B,Load!L:L,0,)</f>
        <v>Unwrapped</v>
      </c>
      <c r="L2826" t="str">
        <f>_xlfn.XLOOKUP($A2826,Load!$B:$B,Load!M:M,0,)</f>
        <v>Single Brand / Single Flavor or Form</v>
      </c>
    </row>
    <row r="2827" spans="1:12" x14ac:dyDescent="0.25">
      <c r="A2827" t="s">
        <v>46</v>
      </c>
      <c r="B2827" t="str">
        <f>_xlfn.XLOOKUP($A2827,Load!$B:$B,Load!C:C,0,)</f>
        <v>Brach's</v>
      </c>
      <c r="C2827" t="str">
        <f>_xlfn.XLOOKUP($A2827,Load!$B:$B,Load!D:D,0,)</f>
        <v>Non-Chocolate Candy Only</v>
      </c>
      <c r="D2827" t="str">
        <f>_xlfn.XLOOKUP($A2827,Load!$B:$B,Load!E:E,0,)</f>
        <v>Fall / Seasonal Flavors (pumpkin spice, caramel apple, candy corn)</v>
      </c>
      <c r="E2827" t="str">
        <f>_xlfn.XLOOKUP($A2827,Load!$B:$B,Load!F:F,0,)</f>
        <v>Candy Pieces / Bites</v>
      </c>
      <c r="F2827" t="str">
        <f>_xlfn.XLOOKUP($A2827,Load!$B:$B,Load!G:G,0,)</f>
        <v>Single Pack</v>
      </c>
      <c r="G2827" t="str">
        <f>_xlfn.XLOOKUP($A2827,Load!$B:$B,Load!H:H,0,)</f>
        <v>Laydown Bag</v>
      </c>
      <c r="H2827" t="str">
        <f>_xlfn.XLOOKUP($A2827,Load!$B:$B,Load!I:I,0,)</f>
        <v>Seasonal Shapes (like pumpkins, candy corn, ghost, bats, etc.)</v>
      </c>
      <c r="I2827" t="str">
        <f>_xlfn.XLOOKUP($A2827,Load!$B:$B,Load!J:J,0,)</f>
        <v>Seasonal Graphics (Like Bat, Ghost, Pumpkin, Fall Leaves, Eyeballs, etc.)</v>
      </c>
      <c r="J2827" t="str">
        <f>_xlfn.XLOOKUP($A2827,Load!$B:$B,Load!K:K,0,)</f>
        <v>Small Pieces (Tiny bite size candies)</v>
      </c>
      <c r="K2827" t="str">
        <f>_xlfn.XLOOKUP($A2827,Load!$B:$B,Load!L:L,0,)</f>
        <v>Unwrapped</v>
      </c>
      <c r="L2827" t="str">
        <f>_xlfn.XLOOKUP($A2827,Load!$B:$B,Load!M:M,0,)</f>
        <v>Single Brand / Variety Flavors or Form</v>
      </c>
    </row>
    <row r="2828" spans="1:12" x14ac:dyDescent="0.25">
      <c r="A2828" t="s">
        <v>24</v>
      </c>
      <c r="B2828" t="str">
        <f>_xlfn.XLOOKUP($A2828,Load!$B:$B,Load!C:C,0,)</f>
        <v>Albanese</v>
      </c>
      <c r="C2828" t="str">
        <f>_xlfn.XLOOKUP($A2828,Load!$B:$B,Load!D:D,0,)</f>
        <v>Non-Chocolate Candy Only</v>
      </c>
      <c r="D2828" t="str">
        <f>_xlfn.XLOOKUP($A2828,Load!$B:$B,Load!E:E,0,)</f>
        <v>Fruit Flavor (Cherry, Grape, Apple, Citrus, Tropical Fruit)</v>
      </c>
      <c r="E2828" t="str">
        <f>_xlfn.XLOOKUP($A2828,Load!$B:$B,Load!F:F,0,)</f>
        <v>Gummy</v>
      </c>
      <c r="F2828" t="str">
        <f>_xlfn.XLOOKUP($A2828,Load!$B:$B,Load!G:G,0,)</f>
        <v>Small Multipack (Less than 40 ct)</v>
      </c>
      <c r="G2828" t="str">
        <f>_xlfn.XLOOKUP($A2828,Load!$B:$B,Load!H:H,0,)</f>
        <v>Stand-Up Bag</v>
      </c>
      <c r="H2828" t="str">
        <f>_xlfn.XLOOKUP($A2828,Load!$B:$B,Load!I:I,0,)</f>
        <v>Seasonal Shapes (like pumpkins, candy corn, ghost, bats, etc.)</v>
      </c>
      <c r="I2828" t="str">
        <f>_xlfn.XLOOKUP($A2828,Load!$B:$B,Load!J:J,0,)</f>
        <v>Seasonal Graphics (Like Bat, Ghost, Pumpkin, Fall Leaves, Eyeballs, etc.)</v>
      </c>
      <c r="J2828" t="str">
        <f>_xlfn.XLOOKUP($A2828,Load!$B:$B,Load!K:K,0,)</f>
        <v>Small Pieces (Tiny bite size candies)</v>
      </c>
      <c r="K2828" t="str">
        <f>_xlfn.XLOOKUP($A2828,Load!$B:$B,Load!L:L,0,)</f>
        <v>unwrapped</v>
      </c>
      <c r="L2828" t="str">
        <f>_xlfn.XLOOKUP($A2828,Load!$B:$B,Load!M:M,0,)</f>
        <v>Single Brand / Variety Flavors or Form</v>
      </c>
    </row>
    <row r="2829" spans="1:12" x14ac:dyDescent="0.25">
      <c r="B2829">
        <f>_xlfn.XLOOKUP($A2829,Load!$B:$B,Load!C:C,0,)</f>
        <v>0</v>
      </c>
      <c r="C2829">
        <f>_xlfn.XLOOKUP($A2829,Load!$B:$B,Load!D:D,0,)</f>
        <v>0</v>
      </c>
      <c r="D2829">
        <f>_xlfn.XLOOKUP($A2829,Load!$B:$B,Load!E:E,0,)</f>
        <v>0</v>
      </c>
      <c r="E2829">
        <f>_xlfn.XLOOKUP($A2829,Load!$B:$B,Load!F:F,0,)</f>
        <v>0</v>
      </c>
      <c r="F2829">
        <f>_xlfn.XLOOKUP($A2829,Load!$B:$B,Load!G:G,0,)</f>
        <v>0</v>
      </c>
      <c r="G2829">
        <f>_xlfn.XLOOKUP($A2829,Load!$B:$B,Load!H:H,0,)</f>
        <v>0</v>
      </c>
      <c r="H2829">
        <f>_xlfn.XLOOKUP($A2829,Load!$B:$B,Load!I:I,0,)</f>
        <v>0</v>
      </c>
      <c r="I2829">
        <f>_xlfn.XLOOKUP($A2829,Load!$B:$B,Load!J:J,0,)</f>
        <v>0</v>
      </c>
      <c r="J2829">
        <f>_xlfn.XLOOKUP($A2829,Load!$B:$B,Load!K:K,0,)</f>
        <v>0</v>
      </c>
      <c r="K2829">
        <f>_xlfn.XLOOKUP($A2829,Load!$B:$B,Load!L:L,0,)</f>
        <v>0</v>
      </c>
      <c r="L2829">
        <f>_xlfn.XLOOKUP($A2829,Load!$B:$B,Load!M:M,0,)</f>
        <v>0</v>
      </c>
    </row>
    <row r="2830" spans="1:12" x14ac:dyDescent="0.25">
      <c r="B2830">
        <f>_xlfn.XLOOKUP($A2830,Load!$B:$B,Load!C:C,0,)</f>
        <v>0</v>
      </c>
      <c r="C2830">
        <f>_xlfn.XLOOKUP($A2830,Load!$B:$B,Load!D:D,0,)</f>
        <v>0</v>
      </c>
      <c r="D2830">
        <f>_xlfn.XLOOKUP($A2830,Load!$B:$B,Load!E:E,0,)</f>
        <v>0</v>
      </c>
      <c r="E2830">
        <f>_xlfn.XLOOKUP($A2830,Load!$B:$B,Load!F:F,0,)</f>
        <v>0</v>
      </c>
      <c r="F2830">
        <f>_xlfn.XLOOKUP($A2830,Load!$B:$B,Load!G:G,0,)</f>
        <v>0</v>
      </c>
      <c r="G2830">
        <f>_xlfn.XLOOKUP($A2830,Load!$B:$B,Load!H:H,0,)</f>
        <v>0</v>
      </c>
      <c r="H2830">
        <f>_xlfn.XLOOKUP($A2830,Load!$B:$B,Load!I:I,0,)</f>
        <v>0</v>
      </c>
      <c r="I2830">
        <f>_xlfn.XLOOKUP($A2830,Load!$B:$B,Load!J:J,0,)</f>
        <v>0</v>
      </c>
      <c r="J2830">
        <f>_xlfn.XLOOKUP($A2830,Load!$B:$B,Load!K:K,0,)</f>
        <v>0</v>
      </c>
      <c r="K2830">
        <f>_xlfn.XLOOKUP($A2830,Load!$B:$B,Load!L:L,0,)</f>
        <v>0</v>
      </c>
      <c r="L2830">
        <f>_xlfn.XLOOKUP($A2830,Load!$B:$B,Load!M:M,0,)</f>
        <v>0</v>
      </c>
    </row>
    <row r="2831" spans="1:12" x14ac:dyDescent="0.25">
      <c r="B2831">
        <f>_xlfn.XLOOKUP($A2831,Load!$B:$B,Load!C:C,0,)</f>
        <v>0</v>
      </c>
      <c r="C2831">
        <f>_xlfn.XLOOKUP($A2831,Load!$B:$B,Load!D:D,0,)</f>
        <v>0</v>
      </c>
      <c r="D2831">
        <f>_xlfn.XLOOKUP($A2831,Load!$B:$B,Load!E:E,0,)</f>
        <v>0</v>
      </c>
      <c r="E2831">
        <f>_xlfn.XLOOKUP($A2831,Load!$B:$B,Load!F:F,0,)</f>
        <v>0</v>
      </c>
      <c r="F2831">
        <f>_xlfn.XLOOKUP($A2831,Load!$B:$B,Load!G:G,0,)</f>
        <v>0</v>
      </c>
      <c r="G2831">
        <f>_xlfn.XLOOKUP($A2831,Load!$B:$B,Load!H:H,0,)</f>
        <v>0</v>
      </c>
      <c r="H2831">
        <f>_xlfn.XLOOKUP($A2831,Load!$B:$B,Load!I:I,0,)</f>
        <v>0</v>
      </c>
      <c r="I2831">
        <f>_xlfn.XLOOKUP($A2831,Load!$B:$B,Load!J:J,0,)</f>
        <v>0</v>
      </c>
      <c r="J2831">
        <f>_xlfn.XLOOKUP($A2831,Load!$B:$B,Load!K:K,0,)</f>
        <v>0</v>
      </c>
      <c r="K2831">
        <f>_xlfn.XLOOKUP($A2831,Load!$B:$B,Load!L:L,0,)</f>
        <v>0</v>
      </c>
      <c r="L2831">
        <f>_xlfn.XLOOKUP($A2831,Load!$B:$B,Load!M:M,0,)</f>
        <v>0</v>
      </c>
    </row>
    <row r="2832" spans="1:12" x14ac:dyDescent="0.25">
      <c r="B2832">
        <f>_xlfn.XLOOKUP($A2832,Load!$B:$B,Load!C:C,0,)</f>
        <v>0</v>
      </c>
      <c r="C2832">
        <f>_xlfn.XLOOKUP($A2832,Load!$B:$B,Load!D:D,0,)</f>
        <v>0</v>
      </c>
      <c r="D2832">
        <f>_xlfn.XLOOKUP($A2832,Load!$B:$B,Load!E:E,0,)</f>
        <v>0</v>
      </c>
      <c r="E2832">
        <f>_xlfn.XLOOKUP($A2832,Load!$B:$B,Load!F:F,0,)</f>
        <v>0</v>
      </c>
      <c r="F2832">
        <f>_xlfn.XLOOKUP($A2832,Load!$B:$B,Load!G:G,0,)</f>
        <v>0</v>
      </c>
      <c r="G2832">
        <f>_xlfn.XLOOKUP($A2832,Load!$B:$B,Load!H:H,0,)</f>
        <v>0</v>
      </c>
      <c r="H2832">
        <f>_xlfn.XLOOKUP($A2832,Load!$B:$B,Load!I:I,0,)</f>
        <v>0</v>
      </c>
      <c r="I2832">
        <f>_xlfn.XLOOKUP($A2832,Load!$B:$B,Load!J:J,0,)</f>
        <v>0</v>
      </c>
      <c r="J2832">
        <f>_xlfn.XLOOKUP($A2832,Load!$B:$B,Load!K:K,0,)</f>
        <v>0</v>
      </c>
      <c r="K2832">
        <f>_xlfn.XLOOKUP($A2832,Load!$B:$B,Load!L:L,0,)</f>
        <v>0</v>
      </c>
      <c r="L2832">
        <f>_xlfn.XLOOKUP($A2832,Load!$B:$B,Load!M:M,0,)</f>
        <v>0</v>
      </c>
    </row>
    <row r="2833" spans="1:12" x14ac:dyDescent="0.25">
      <c r="B2833">
        <f>_xlfn.XLOOKUP($A2833,Load!$B:$B,Load!C:C,0,)</f>
        <v>0</v>
      </c>
      <c r="C2833">
        <f>_xlfn.XLOOKUP($A2833,Load!$B:$B,Load!D:D,0,)</f>
        <v>0</v>
      </c>
      <c r="D2833">
        <f>_xlfn.XLOOKUP($A2833,Load!$B:$B,Load!E:E,0,)</f>
        <v>0</v>
      </c>
      <c r="E2833">
        <f>_xlfn.XLOOKUP($A2833,Load!$B:$B,Load!F:F,0,)</f>
        <v>0</v>
      </c>
      <c r="F2833">
        <f>_xlfn.XLOOKUP($A2833,Load!$B:$B,Load!G:G,0,)</f>
        <v>0</v>
      </c>
      <c r="G2833">
        <f>_xlfn.XLOOKUP($A2833,Load!$B:$B,Load!H:H,0,)</f>
        <v>0</v>
      </c>
      <c r="H2833">
        <f>_xlfn.XLOOKUP($A2833,Load!$B:$B,Load!I:I,0,)</f>
        <v>0</v>
      </c>
      <c r="I2833">
        <f>_xlfn.XLOOKUP($A2833,Load!$B:$B,Load!J:J,0,)</f>
        <v>0</v>
      </c>
      <c r="J2833">
        <f>_xlfn.XLOOKUP($A2833,Load!$B:$B,Load!K:K,0,)</f>
        <v>0</v>
      </c>
      <c r="K2833">
        <f>_xlfn.XLOOKUP($A2833,Load!$B:$B,Load!L:L,0,)</f>
        <v>0</v>
      </c>
      <c r="L2833">
        <f>_xlfn.XLOOKUP($A2833,Load!$B:$B,Load!M:M,0,)</f>
        <v>0</v>
      </c>
    </row>
    <row r="2834" spans="1:12" x14ac:dyDescent="0.25">
      <c r="A2834" t="s">
        <v>144</v>
      </c>
      <c r="B2834" t="str">
        <f>_xlfn.XLOOKUP($A2834,Load!$B:$B,Load!C:C,0,)</f>
        <v>Hershey's Variety Pack + Haribo</v>
      </c>
      <c r="C2834" t="str">
        <f>_xlfn.XLOOKUP($A2834,Load!$B:$B,Load!D:D,0,)</f>
        <v>Mix of Chocolate and Non-Chocolate Candy</v>
      </c>
      <c r="D2834" t="str">
        <f>_xlfn.XLOOKUP($A2834,Load!$B:$B,Load!E:E,0,)</f>
        <v>Variety / Mixed Flavors (Fruity, Sour, Seasonal Flavors)</v>
      </c>
      <c r="E2834" t="str">
        <f>_xlfn.XLOOKUP($A2834,Load!$B:$B,Load!F:F,0,)</f>
        <v>Mixed / Combo Packs (Gummy, Chewy, Taffy, etc.)</v>
      </c>
      <c r="F2834" t="str">
        <f>_xlfn.XLOOKUP($A2834,Load!$B:$B,Load!G:G,0,)</f>
        <v>Large Multipack (More than 80 ct)</v>
      </c>
      <c r="G2834" t="str">
        <f>_xlfn.XLOOKUP($A2834,Load!$B:$B,Load!H:H,0,)</f>
        <v>Stand-Up Bag</v>
      </c>
      <c r="H2834" t="str">
        <f>_xlfn.XLOOKUP($A2834,Load!$B:$B,Load!I:I,0,)</f>
        <v>Everyday Candy Shapes (like Original, Gummy bear, Fruit, Jewels, etc.)</v>
      </c>
      <c r="I2834" t="str">
        <f>_xlfn.XLOOKUP($A2834,Load!$B:$B,Load!J:J,0,)</f>
        <v>Seasonal Graphics (Like Bat, Ghost, Pumpkin, Fall Leaves, Eyeballs, etc.)</v>
      </c>
      <c r="J2834" t="str">
        <f>_xlfn.XLOOKUP($A2834,Load!$B:$B,Load!K:K,0,)</f>
        <v>Fun Size / Treat Size</v>
      </c>
      <c r="K2834" t="str">
        <f>_xlfn.XLOOKUP($A2834,Load!$B:$B,Load!L:L,0,)</f>
        <v>Regular/Original Wrapping</v>
      </c>
      <c r="L2834" t="str">
        <f>_xlfn.XLOOKUP($A2834,Load!$B:$B,Load!M:M,0,)</f>
        <v>Multiple Brands / Variety Flavors or Form</v>
      </c>
    </row>
    <row r="2835" spans="1:12" x14ac:dyDescent="0.25">
      <c r="A2835" t="s">
        <v>193</v>
      </c>
      <c r="B2835" t="str">
        <f>_xlfn.XLOOKUP($A2835,Load!$B:$B,Load!C:C,0,)</f>
        <v>Mars Variety Pack</v>
      </c>
      <c r="C2835" t="str">
        <f>_xlfn.XLOOKUP($A2835,Load!$B:$B,Load!D:D,0,)</f>
        <v>Mix of Chocolate and Non-Chocolate Candy</v>
      </c>
      <c r="D2835" t="str">
        <f>_xlfn.XLOOKUP($A2835,Load!$B:$B,Load!E:E,0,)</f>
        <v>Variety / Mixed Flavors (Fruity, Sour, Seasonal Flavors)</v>
      </c>
      <c r="E2835" t="str">
        <f>_xlfn.XLOOKUP($A2835,Load!$B:$B,Load!F:F,0,)</f>
        <v>Mixed / Combo Packs (Gummy, Chewy, Taffy, etc.)</v>
      </c>
      <c r="F2835" t="str">
        <f>_xlfn.XLOOKUP($A2835,Load!$B:$B,Load!G:G,0,)</f>
        <v>Medium Multipack (40–80 ct)</v>
      </c>
      <c r="G2835" t="str">
        <f>_xlfn.XLOOKUP($A2835,Load!$B:$B,Load!H:H,0,)</f>
        <v>Laydown Bag</v>
      </c>
      <c r="H2835" t="str">
        <f>_xlfn.XLOOKUP($A2835,Load!$B:$B,Load!I:I,0,)</f>
        <v>Everyday Candy Shapes (like Original, Gummy bear, Fruit, Jewels, etc.)</v>
      </c>
      <c r="I2835" t="str">
        <f>_xlfn.XLOOKUP($A2835,Load!$B:$B,Load!J:J,0,)</f>
        <v>Seasonal Graphics (Like Bat, Ghost, Pumpkin, Fall Leaves, Eyeballs, etc.)</v>
      </c>
      <c r="J2835" t="str">
        <f>_xlfn.XLOOKUP($A2835,Load!$B:$B,Load!K:K,0,)</f>
        <v>Fun Size / Treat Size</v>
      </c>
      <c r="K2835" t="str">
        <f>_xlfn.XLOOKUP($A2835,Load!$B:$B,Load!L:L,0,)</f>
        <v>Regular/Original Wrapping</v>
      </c>
      <c r="L2835" t="str">
        <f>_xlfn.XLOOKUP($A2835,Load!$B:$B,Load!M:M,0,)</f>
        <v>Multiple Brands / Variety Flavors or Form</v>
      </c>
    </row>
    <row r="2836" spans="1:12" x14ac:dyDescent="0.25">
      <c r="B2836">
        <f>_xlfn.XLOOKUP($A2836,Load!$B:$B,Load!C:C,0,)</f>
        <v>0</v>
      </c>
      <c r="C2836">
        <f>_xlfn.XLOOKUP($A2836,Load!$B:$B,Load!D:D,0,)</f>
        <v>0</v>
      </c>
      <c r="D2836">
        <f>_xlfn.XLOOKUP($A2836,Load!$B:$B,Load!E:E,0,)</f>
        <v>0</v>
      </c>
      <c r="E2836">
        <f>_xlfn.XLOOKUP($A2836,Load!$B:$B,Load!F:F,0,)</f>
        <v>0</v>
      </c>
      <c r="F2836">
        <f>_xlfn.XLOOKUP($A2836,Load!$B:$B,Load!G:G,0,)</f>
        <v>0</v>
      </c>
      <c r="G2836">
        <f>_xlfn.XLOOKUP($A2836,Load!$B:$B,Load!H:H,0,)</f>
        <v>0</v>
      </c>
      <c r="H2836">
        <f>_xlfn.XLOOKUP($A2836,Load!$B:$B,Load!I:I,0,)</f>
        <v>0</v>
      </c>
      <c r="I2836">
        <f>_xlfn.XLOOKUP($A2836,Load!$B:$B,Load!J:J,0,)</f>
        <v>0</v>
      </c>
      <c r="J2836">
        <f>_xlfn.XLOOKUP($A2836,Load!$B:$B,Load!K:K,0,)</f>
        <v>0</v>
      </c>
      <c r="K2836">
        <f>_xlfn.XLOOKUP($A2836,Load!$B:$B,Load!L:L,0,)</f>
        <v>0</v>
      </c>
      <c r="L2836">
        <f>_xlfn.XLOOKUP($A2836,Load!$B:$B,Load!M:M,0,)</f>
        <v>0</v>
      </c>
    </row>
    <row r="2837" spans="1:12" x14ac:dyDescent="0.25">
      <c r="B2837">
        <f>_xlfn.XLOOKUP($A2837,Load!$B:$B,Load!C:C,0,)</f>
        <v>0</v>
      </c>
      <c r="C2837">
        <f>_xlfn.XLOOKUP($A2837,Load!$B:$B,Load!D:D,0,)</f>
        <v>0</v>
      </c>
      <c r="D2837">
        <f>_xlfn.XLOOKUP($A2837,Load!$B:$B,Load!E:E,0,)</f>
        <v>0</v>
      </c>
      <c r="E2837">
        <f>_xlfn.XLOOKUP($A2837,Load!$B:$B,Load!F:F,0,)</f>
        <v>0</v>
      </c>
      <c r="F2837">
        <f>_xlfn.XLOOKUP($A2837,Load!$B:$B,Load!G:G,0,)</f>
        <v>0</v>
      </c>
      <c r="G2837">
        <f>_xlfn.XLOOKUP($A2837,Load!$B:$B,Load!H:H,0,)</f>
        <v>0</v>
      </c>
      <c r="H2837">
        <f>_xlfn.XLOOKUP($A2837,Load!$B:$B,Load!I:I,0,)</f>
        <v>0</v>
      </c>
      <c r="I2837">
        <f>_xlfn.XLOOKUP($A2837,Load!$B:$B,Load!J:J,0,)</f>
        <v>0</v>
      </c>
      <c r="J2837">
        <f>_xlfn.XLOOKUP($A2837,Load!$B:$B,Load!K:K,0,)</f>
        <v>0</v>
      </c>
      <c r="K2837">
        <f>_xlfn.XLOOKUP($A2837,Load!$B:$B,Load!L:L,0,)</f>
        <v>0</v>
      </c>
      <c r="L2837">
        <f>_xlfn.XLOOKUP($A2837,Load!$B:$B,Load!M:M,0,)</f>
        <v>0</v>
      </c>
    </row>
    <row r="2838" spans="1:12" x14ac:dyDescent="0.25">
      <c r="A2838" t="s">
        <v>76</v>
      </c>
      <c r="B2838" t="str">
        <f>_xlfn.XLOOKUP($A2838,Load!$B:$B,Load!C:C,0,)</f>
        <v>Dum Dums</v>
      </c>
      <c r="C2838" t="str">
        <f>_xlfn.XLOOKUP($A2838,Load!$B:$B,Load!D:D,0,)</f>
        <v>Non-Chocolate Candy Only</v>
      </c>
      <c r="D2838" t="str">
        <f>_xlfn.XLOOKUP($A2838,Load!$B:$B,Load!E:E,0,)</f>
        <v>Variety / Mixed Flavors (Fruity, Sour, Seasonal Flavors)</v>
      </c>
      <c r="E2838" t="str">
        <f>_xlfn.XLOOKUP($A2838,Load!$B:$B,Load!F:F,0,)</f>
        <v>Lollipop (regular or lollipop rings)</v>
      </c>
      <c r="F2838" t="str">
        <f>_xlfn.XLOOKUP($A2838,Load!$B:$B,Load!G:G,0,)</f>
        <v>Large Multipack (More than 80 ct)</v>
      </c>
      <c r="G2838" t="str">
        <f>_xlfn.XLOOKUP($A2838,Load!$B:$B,Load!H:H,0,)</f>
        <v>Stand-Up Bag</v>
      </c>
      <c r="H2838" t="str">
        <f>_xlfn.XLOOKUP($A2838,Load!$B:$B,Load!I:I,0,)</f>
        <v>Everyday Candy Shapes (like Original, Gummy bear, Fruit, Jewels, etc.)</v>
      </c>
      <c r="I2838" t="str">
        <f>_xlfn.XLOOKUP($A2838,Load!$B:$B,Load!J:J,0,)</f>
        <v>Everyday Graphics</v>
      </c>
      <c r="J2838" t="str">
        <f>_xlfn.XLOOKUP($A2838,Load!$B:$B,Load!K:K,0,)</f>
        <v>Regular Lollipop size (on sticks or rings)</v>
      </c>
      <c r="K2838" t="str">
        <f>_xlfn.XLOOKUP($A2838,Load!$B:$B,Load!L:L,0,)</f>
        <v>Regular/Original Wrapping</v>
      </c>
      <c r="L2838" t="str">
        <f>_xlfn.XLOOKUP($A2838,Load!$B:$B,Load!M:M,0,)</f>
        <v>Single Brand / Variety Flavors or Form</v>
      </c>
    </row>
    <row r="2839" spans="1:12" x14ac:dyDescent="0.25">
      <c r="B2839">
        <f>_xlfn.XLOOKUP($A2839,Load!$B:$B,Load!C:C,0,)</f>
        <v>0</v>
      </c>
      <c r="C2839">
        <f>_xlfn.XLOOKUP($A2839,Load!$B:$B,Load!D:D,0,)</f>
        <v>0</v>
      </c>
      <c r="D2839">
        <f>_xlfn.XLOOKUP($A2839,Load!$B:$B,Load!E:E,0,)</f>
        <v>0</v>
      </c>
      <c r="E2839">
        <f>_xlfn.XLOOKUP($A2839,Load!$B:$B,Load!F:F,0,)</f>
        <v>0</v>
      </c>
      <c r="F2839">
        <f>_xlfn.XLOOKUP($A2839,Load!$B:$B,Load!G:G,0,)</f>
        <v>0</v>
      </c>
      <c r="G2839">
        <f>_xlfn.XLOOKUP($A2839,Load!$B:$B,Load!H:H,0,)</f>
        <v>0</v>
      </c>
      <c r="H2839">
        <f>_xlfn.XLOOKUP($A2839,Load!$B:$B,Load!I:I,0,)</f>
        <v>0</v>
      </c>
      <c r="I2839">
        <f>_xlfn.XLOOKUP($A2839,Load!$B:$B,Load!J:J,0,)</f>
        <v>0</v>
      </c>
      <c r="J2839">
        <f>_xlfn.XLOOKUP($A2839,Load!$B:$B,Load!K:K,0,)</f>
        <v>0</v>
      </c>
      <c r="K2839">
        <f>_xlfn.XLOOKUP($A2839,Load!$B:$B,Load!L:L,0,)</f>
        <v>0</v>
      </c>
      <c r="L2839">
        <f>_xlfn.XLOOKUP($A2839,Load!$B:$B,Load!M:M,0,)</f>
        <v>0</v>
      </c>
    </row>
    <row r="2840" spans="1:12" x14ac:dyDescent="0.25">
      <c r="B2840">
        <f>_xlfn.XLOOKUP($A2840,Load!$B:$B,Load!C:C,0,)</f>
        <v>0</v>
      </c>
      <c r="C2840">
        <f>_xlfn.XLOOKUP($A2840,Load!$B:$B,Load!D:D,0,)</f>
        <v>0</v>
      </c>
      <c r="D2840">
        <f>_xlfn.XLOOKUP($A2840,Load!$B:$B,Load!E:E,0,)</f>
        <v>0</v>
      </c>
      <c r="E2840">
        <f>_xlfn.XLOOKUP($A2840,Load!$B:$B,Load!F:F,0,)</f>
        <v>0</v>
      </c>
      <c r="F2840">
        <f>_xlfn.XLOOKUP($A2840,Load!$B:$B,Load!G:G,0,)</f>
        <v>0</v>
      </c>
      <c r="G2840">
        <f>_xlfn.XLOOKUP($A2840,Load!$B:$B,Load!H:H,0,)</f>
        <v>0</v>
      </c>
      <c r="H2840">
        <f>_xlfn.XLOOKUP($A2840,Load!$B:$B,Load!I:I,0,)</f>
        <v>0</v>
      </c>
      <c r="I2840">
        <f>_xlfn.XLOOKUP($A2840,Load!$B:$B,Load!J:J,0,)</f>
        <v>0</v>
      </c>
      <c r="J2840">
        <f>_xlfn.XLOOKUP($A2840,Load!$B:$B,Load!K:K,0,)</f>
        <v>0</v>
      </c>
      <c r="K2840">
        <f>_xlfn.XLOOKUP($A2840,Load!$B:$B,Load!L:L,0,)</f>
        <v>0</v>
      </c>
      <c r="L2840">
        <f>_xlfn.XLOOKUP($A2840,Load!$B:$B,Load!M:M,0,)</f>
        <v>0</v>
      </c>
    </row>
    <row r="2841" spans="1:12" x14ac:dyDescent="0.25">
      <c r="B2841">
        <f>_xlfn.XLOOKUP($A2841,Load!$B:$B,Load!C:C,0,)</f>
        <v>0</v>
      </c>
      <c r="C2841">
        <f>_xlfn.XLOOKUP($A2841,Load!$B:$B,Load!D:D,0,)</f>
        <v>0</v>
      </c>
      <c r="D2841">
        <f>_xlfn.XLOOKUP($A2841,Load!$B:$B,Load!E:E,0,)</f>
        <v>0</v>
      </c>
      <c r="E2841">
        <f>_xlfn.XLOOKUP($A2841,Load!$B:$B,Load!F:F,0,)</f>
        <v>0</v>
      </c>
      <c r="F2841">
        <f>_xlfn.XLOOKUP($A2841,Load!$B:$B,Load!G:G,0,)</f>
        <v>0</v>
      </c>
      <c r="G2841">
        <f>_xlfn.XLOOKUP($A2841,Load!$B:$B,Load!H:H,0,)</f>
        <v>0</v>
      </c>
      <c r="H2841">
        <f>_xlfn.XLOOKUP($A2841,Load!$B:$B,Load!I:I,0,)</f>
        <v>0</v>
      </c>
      <c r="I2841">
        <f>_xlfn.XLOOKUP($A2841,Load!$B:$B,Load!J:J,0,)</f>
        <v>0</v>
      </c>
      <c r="J2841">
        <f>_xlfn.XLOOKUP($A2841,Load!$B:$B,Load!K:K,0,)</f>
        <v>0</v>
      </c>
      <c r="K2841">
        <f>_xlfn.XLOOKUP($A2841,Load!$B:$B,Load!L:L,0,)</f>
        <v>0</v>
      </c>
      <c r="L2841">
        <f>_xlfn.XLOOKUP($A2841,Load!$B:$B,Load!M:M,0,)</f>
        <v>0</v>
      </c>
    </row>
    <row r="2842" spans="1:12" x14ac:dyDescent="0.25">
      <c r="A2842" t="s">
        <v>125</v>
      </c>
      <c r="B2842" t="str">
        <f>_xlfn.XLOOKUP($A2842,Load!$B:$B,Load!C:C,0,)</f>
        <v>HARIBO</v>
      </c>
      <c r="C2842" t="str">
        <f>_xlfn.XLOOKUP($A2842,Load!$B:$B,Load!D:D,0,)</f>
        <v>Non-Chocolate Candy Only</v>
      </c>
      <c r="D2842" t="str">
        <f>_xlfn.XLOOKUP($A2842,Load!$B:$B,Load!E:E,0,)</f>
        <v>Berry Based (Raspberry, Strawberry, Medley, etc.)</v>
      </c>
      <c r="E2842" t="str">
        <f>_xlfn.XLOOKUP($A2842,Load!$B:$B,Load!F:F,0,)</f>
        <v>Gummy</v>
      </c>
      <c r="F2842" t="str">
        <f>_xlfn.XLOOKUP($A2842,Load!$B:$B,Load!G:G,0,)</f>
        <v>Small Multipack (Less than 40 ct)</v>
      </c>
      <c r="G2842" t="str">
        <f>_xlfn.XLOOKUP($A2842,Load!$B:$B,Load!H:H,0,)</f>
        <v>Laydown Bag</v>
      </c>
      <c r="H2842" t="str">
        <f>_xlfn.XLOOKUP($A2842,Load!$B:$B,Load!I:I,0,)</f>
        <v>Everyday Candy Shapes (like Original, Gummy bear, Fruit, Jewels, etc.)</v>
      </c>
      <c r="I2842" t="str">
        <f>_xlfn.XLOOKUP($A2842,Load!$B:$B,Load!J:J,0,)</f>
        <v>Everyday Graphics</v>
      </c>
      <c r="J2842" t="str">
        <f>_xlfn.XLOOKUP($A2842,Load!$B:$B,Load!K:K,0,)</f>
        <v>Small Pieces (Tiny bite size candies)</v>
      </c>
      <c r="K2842" t="str">
        <f>_xlfn.XLOOKUP($A2842,Load!$B:$B,Load!L:L,0,)</f>
        <v>Regular/Original Wrapping</v>
      </c>
      <c r="L2842" t="str">
        <f>_xlfn.XLOOKUP($A2842,Load!$B:$B,Load!M:M,0,)</f>
        <v>Single Brand / Variety Flavors or Form</v>
      </c>
    </row>
    <row r="2843" spans="1:12" x14ac:dyDescent="0.25">
      <c r="B2843">
        <f>_xlfn.XLOOKUP($A2843,Load!$B:$B,Load!C:C,0,)</f>
        <v>0</v>
      </c>
      <c r="C2843">
        <f>_xlfn.XLOOKUP($A2843,Load!$B:$B,Load!D:D,0,)</f>
        <v>0</v>
      </c>
      <c r="D2843">
        <f>_xlfn.XLOOKUP($A2843,Load!$B:$B,Load!E:E,0,)</f>
        <v>0</v>
      </c>
      <c r="E2843">
        <f>_xlfn.XLOOKUP($A2843,Load!$B:$B,Load!F:F,0,)</f>
        <v>0</v>
      </c>
      <c r="F2843">
        <f>_xlfn.XLOOKUP($A2843,Load!$B:$B,Load!G:G,0,)</f>
        <v>0</v>
      </c>
      <c r="G2843">
        <f>_xlfn.XLOOKUP($A2843,Load!$B:$B,Load!H:H,0,)</f>
        <v>0</v>
      </c>
      <c r="H2843">
        <f>_xlfn.XLOOKUP($A2843,Load!$B:$B,Load!I:I,0,)</f>
        <v>0</v>
      </c>
      <c r="I2843">
        <f>_xlfn.XLOOKUP($A2843,Load!$B:$B,Load!J:J,0,)</f>
        <v>0</v>
      </c>
      <c r="J2843">
        <f>_xlfn.XLOOKUP($A2843,Load!$B:$B,Load!K:K,0,)</f>
        <v>0</v>
      </c>
      <c r="K2843">
        <f>_xlfn.XLOOKUP($A2843,Load!$B:$B,Load!L:L,0,)</f>
        <v>0</v>
      </c>
      <c r="L2843">
        <f>_xlfn.XLOOKUP($A2843,Load!$B:$B,Load!M:M,0,)</f>
        <v>0</v>
      </c>
    </row>
    <row r="2844" spans="1:12" x14ac:dyDescent="0.25">
      <c r="A2844" t="s">
        <v>219</v>
      </c>
      <c r="B2844" t="str">
        <f>_xlfn.XLOOKUP($A2844,Load!$B:$B,Load!C:C,0,)</f>
        <v>Mondelez Variety Pack</v>
      </c>
      <c r="C2844" t="str">
        <f>_xlfn.XLOOKUP($A2844,Load!$B:$B,Load!D:D,0,)</f>
        <v>Non-Chocolate Candy Only</v>
      </c>
      <c r="D2844" t="str">
        <f>_xlfn.XLOOKUP($A2844,Load!$B:$B,Load!E:E,0,)</f>
        <v>Sour</v>
      </c>
      <c r="E2844" t="str">
        <f>_xlfn.XLOOKUP($A2844,Load!$B:$B,Load!F:F,0,)</f>
        <v>Chewy</v>
      </c>
      <c r="F2844" t="str">
        <f>_xlfn.XLOOKUP($A2844,Load!$B:$B,Load!G:G,0,)</f>
        <v>Medium Multipack (40–80 ct)</v>
      </c>
      <c r="G2844" t="str">
        <f>_xlfn.XLOOKUP($A2844,Load!$B:$B,Load!H:H,0,)</f>
        <v>Stand-Up Bag</v>
      </c>
      <c r="H2844" t="str">
        <f>_xlfn.XLOOKUP($A2844,Load!$B:$B,Load!I:I,0,)</f>
        <v>Everyday Candy Shapes (like Original, Gummy bear, Fruit, Jewels, etc.)</v>
      </c>
      <c r="I2844" t="str">
        <f>_xlfn.XLOOKUP($A2844,Load!$B:$B,Load!J:J,0,)</f>
        <v>Seasonal Graphics (Like Bat, Ghost, Pumpkin, Fall Leaves, Eyeballs, etc.)</v>
      </c>
      <c r="J2844" t="str">
        <f>_xlfn.XLOOKUP($A2844,Load!$B:$B,Load!K:K,0,)</f>
        <v>Small Pieces (Tiny bite size candies)</v>
      </c>
      <c r="K2844" t="str">
        <f>_xlfn.XLOOKUP($A2844,Load!$B:$B,Load!L:L,0,)</f>
        <v>Regular/Original Wrapping</v>
      </c>
      <c r="L2844" t="str">
        <f>_xlfn.XLOOKUP($A2844,Load!$B:$B,Load!M:M,0,)</f>
        <v>Multiple Brands / Variety Flavors or Form</v>
      </c>
    </row>
    <row r="2845" spans="1:12" x14ac:dyDescent="0.25">
      <c r="A2845" t="s">
        <v>10</v>
      </c>
      <c r="B2845" t="str">
        <f>_xlfn.XLOOKUP($A2845,Load!$B:$B,Load!C:C,0,)</f>
        <v>Airheads</v>
      </c>
      <c r="C2845" t="str">
        <f>_xlfn.XLOOKUP($A2845,Load!$B:$B,Load!D:D,0,)</f>
        <v>Non-Chocolate Candy Only</v>
      </c>
      <c r="D2845" t="str">
        <f>_xlfn.XLOOKUP($A2845,Load!$B:$B,Load!E:E,0,)</f>
        <v>Fruit Flavor (Cherry, Grape, Apple, Citrus, Tropical Fruit)</v>
      </c>
      <c r="E2845" t="str">
        <f>_xlfn.XLOOKUP($A2845,Load!$B:$B,Load!F:F,0,)</f>
        <v>Chewy</v>
      </c>
      <c r="F2845" t="str">
        <f>_xlfn.XLOOKUP($A2845,Load!$B:$B,Load!G:G,0,)</f>
        <v>Small Multipack (Less than 40 ct)</v>
      </c>
      <c r="G2845" t="str">
        <f>_xlfn.XLOOKUP($A2845,Load!$B:$B,Load!H:H,0,)</f>
        <v>Laydown Bag</v>
      </c>
      <c r="H2845" t="str">
        <f>_xlfn.XLOOKUP($A2845,Load!$B:$B,Load!I:I,0,)</f>
        <v>Everyday Candy Shapes (like Original, Gummy bear, Fruit, Jewels, etc.)</v>
      </c>
      <c r="I2845" t="str">
        <f>_xlfn.XLOOKUP($A2845,Load!$B:$B,Load!J:J,0,)</f>
        <v>Everyday Graphics</v>
      </c>
      <c r="J2845" t="str">
        <f>_xlfn.XLOOKUP($A2845,Load!$B:$B,Load!K:K,0,)</f>
        <v>Fun Size / Treat Size</v>
      </c>
      <c r="K2845" t="str">
        <f>_xlfn.XLOOKUP($A2845,Load!$B:$B,Load!L:L,0,)</f>
        <v>Regular/Original Wrapping</v>
      </c>
      <c r="L2845" t="str">
        <f>_xlfn.XLOOKUP($A2845,Load!$B:$B,Load!M:M,0,)</f>
        <v>Single Brand / Variety Flavors or Form</v>
      </c>
    </row>
    <row r="2846" spans="1:12" x14ac:dyDescent="0.25">
      <c r="B2846">
        <f>_xlfn.XLOOKUP($A2846,Load!$B:$B,Load!C:C,0,)</f>
        <v>0</v>
      </c>
      <c r="C2846">
        <f>_xlfn.XLOOKUP($A2846,Load!$B:$B,Load!D:D,0,)</f>
        <v>0</v>
      </c>
      <c r="D2846">
        <f>_xlfn.XLOOKUP($A2846,Load!$B:$B,Load!E:E,0,)</f>
        <v>0</v>
      </c>
      <c r="E2846">
        <f>_xlfn.XLOOKUP($A2846,Load!$B:$B,Load!F:F,0,)</f>
        <v>0</v>
      </c>
      <c r="F2846">
        <f>_xlfn.XLOOKUP($A2846,Load!$B:$B,Load!G:G,0,)</f>
        <v>0</v>
      </c>
      <c r="G2846">
        <f>_xlfn.XLOOKUP($A2846,Load!$B:$B,Load!H:H,0,)</f>
        <v>0</v>
      </c>
      <c r="H2846">
        <f>_xlfn.XLOOKUP($A2846,Load!$B:$B,Load!I:I,0,)</f>
        <v>0</v>
      </c>
      <c r="I2846">
        <f>_xlfn.XLOOKUP($A2846,Load!$B:$B,Load!J:J,0,)</f>
        <v>0</v>
      </c>
      <c r="J2846">
        <f>_xlfn.XLOOKUP($A2846,Load!$B:$B,Load!K:K,0,)</f>
        <v>0</v>
      </c>
      <c r="K2846">
        <f>_xlfn.XLOOKUP($A2846,Load!$B:$B,Load!L:L,0,)</f>
        <v>0</v>
      </c>
      <c r="L2846">
        <f>_xlfn.XLOOKUP($A2846,Load!$B:$B,Load!M:M,0,)</f>
        <v>0</v>
      </c>
    </row>
    <row r="2847" spans="1:12" x14ac:dyDescent="0.25">
      <c r="B2847">
        <f>_xlfn.XLOOKUP($A2847,Load!$B:$B,Load!C:C,0,)</f>
        <v>0</v>
      </c>
      <c r="C2847">
        <f>_xlfn.XLOOKUP($A2847,Load!$B:$B,Load!D:D,0,)</f>
        <v>0</v>
      </c>
      <c r="D2847">
        <f>_xlfn.XLOOKUP($A2847,Load!$B:$B,Load!E:E,0,)</f>
        <v>0</v>
      </c>
      <c r="E2847">
        <f>_xlfn.XLOOKUP($A2847,Load!$B:$B,Load!F:F,0,)</f>
        <v>0</v>
      </c>
      <c r="F2847">
        <f>_xlfn.XLOOKUP($A2847,Load!$B:$B,Load!G:G,0,)</f>
        <v>0</v>
      </c>
      <c r="G2847">
        <f>_xlfn.XLOOKUP($A2847,Load!$B:$B,Load!H:H,0,)</f>
        <v>0</v>
      </c>
      <c r="H2847">
        <f>_xlfn.XLOOKUP($A2847,Load!$B:$B,Load!I:I,0,)</f>
        <v>0</v>
      </c>
      <c r="I2847">
        <f>_xlfn.XLOOKUP($A2847,Load!$B:$B,Load!J:J,0,)</f>
        <v>0</v>
      </c>
      <c r="J2847">
        <f>_xlfn.XLOOKUP($A2847,Load!$B:$B,Load!K:K,0,)</f>
        <v>0</v>
      </c>
      <c r="K2847">
        <f>_xlfn.XLOOKUP($A2847,Load!$B:$B,Load!L:L,0,)</f>
        <v>0</v>
      </c>
      <c r="L2847">
        <f>_xlfn.XLOOKUP($A2847,Load!$B:$B,Load!M:M,0,)</f>
        <v>0</v>
      </c>
    </row>
    <row r="2848" spans="1:12" x14ac:dyDescent="0.25">
      <c r="B2848">
        <f>_xlfn.XLOOKUP($A2848,Load!$B:$B,Load!C:C,0,)</f>
        <v>0</v>
      </c>
      <c r="C2848">
        <f>_xlfn.XLOOKUP($A2848,Load!$B:$B,Load!D:D,0,)</f>
        <v>0</v>
      </c>
      <c r="D2848">
        <f>_xlfn.XLOOKUP($A2848,Load!$B:$B,Load!E:E,0,)</f>
        <v>0</v>
      </c>
      <c r="E2848">
        <f>_xlfn.XLOOKUP($A2848,Load!$B:$B,Load!F:F,0,)</f>
        <v>0</v>
      </c>
      <c r="F2848">
        <f>_xlfn.XLOOKUP($A2848,Load!$B:$B,Load!G:G,0,)</f>
        <v>0</v>
      </c>
      <c r="G2848">
        <f>_xlfn.XLOOKUP($A2848,Load!$B:$B,Load!H:H,0,)</f>
        <v>0</v>
      </c>
      <c r="H2848">
        <f>_xlfn.XLOOKUP($A2848,Load!$B:$B,Load!I:I,0,)</f>
        <v>0</v>
      </c>
      <c r="I2848">
        <f>_xlfn.XLOOKUP($A2848,Load!$B:$B,Load!J:J,0,)</f>
        <v>0</v>
      </c>
      <c r="J2848">
        <f>_xlfn.XLOOKUP($A2848,Load!$B:$B,Load!K:K,0,)</f>
        <v>0</v>
      </c>
      <c r="K2848">
        <f>_xlfn.XLOOKUP($A2848,Load!$B:$B,Load!L:L,0,)</f>
        <v>0</v>
      </c>
      <c r="L2848">
        <f>_xlfn.XLOOKUP($A2848,Load!$B:$B,Load!M:M,0,)</f>
        <v>0</v>
      </c>
    </row>
    <row r="2849" spans="1:12" x14ac:dyDescent="0.25">
      <c r="B2849">
        <f>_xlfn.XLOOKUP($A2849,Load!$B:$B,Load!C:C,0,)</f>
        <v>0</v>
      </c>
      <c r="C2849">
        <f>_xlfn.XLOOKUP($A2849,Load!$B:$B,Load!D:D,0,)</f>
        <v>0</v>
      </c>
      <c r="D2849">
        <f>_xlfn.XLOOKUP($A2849,Load!$B:$B,Load!E:E,0,)</f>
        <v>0</v>
      </c>
      <c r="E2849">
        <f>_xlfn.XLOOKUP($A2849,Load!$B:$B,Load!F:F,0,)</f>
        <v>0</v>
      </c>
      <c r="F2849">
        <f>_xlfn.XLOOKUP($A2849,Load!$B:$B,Load!G:G,0,)</f>
        <v>0</v>
      </c>
      <c r="G2849">
        <f>_xlfn.XLOOKUP($A2849,Load!$B:$B,Load!H:H,0,)</f>
        <v>0</v>
      </c>
      <c r="H2849">
        <f>_xlfn.XLOOKUP($A2849,Load!$B:$B,Load!I:I,0,)</f>
        <v>0</v>
      </c>
      <c r="I2849">
        <f>_xlfn.XLOOKUP($A2849,Load!$B:$B,Load!J:J,0,)</f>
        <v>0</v>
      </c>
      <c r="J2849">
        <f>_xlfn.XLOOKUP($A2849,Load!$B:$B,Load!K:K,0,)</f>
        <v>0</v>
      </c>
      <c r="K2849">
        <f>_xlfn.XLOOKUP($A2849,Load!$B:$B,Load!L:L,0,)</f>
        <v>0</v>
      </c>
      <c r="L2849">
        <f>_xlfn.XLOOKUP($A2849,Load!$B:$B,Load!M:M,0,)</f>
        <v>0</v>
      </c>
    </row>
    <row r="2850" spans="1:12" x14ac:dyDescent="0.25">
      <c r="A2850" t="s">
        <v>326</v>
      </c>
      <c r="B2850" t="str">
        <f>_xlfn.XLOOKUP($A2850,Load!$B:$B,Load!C:C,0,)</f>
        <v>Mondelez Variety Pack</v>
      </c>
      <c r="C2850" t="str">
        <f>_xlfn.XLOOKUP($A2850,Load!$B:$B,Load!D:D,0,)</f>
        <v>Mix of Chocolate and Non-Chocolate Candy</v>
      </c>
      <c r="D2850" t="str">
        <f>_xlfn.XLOOKUP($A2850,Load!$B:$B,Load!E:E,0,)</f>
        <v>Variety / Mixed Flavors (Fruity, Sour, Seasonal Flavors)</v>
      </c>
      <c r="E2850" t="str">
        <f>_xlfn.XLOOKUP($A2850,Load!$B:$B,Load!F:F,0,)</f>
        <v>Mixed / Combo Packs (Gummy, Chewy, Taffy, etc.)</v>
      </c>
      <c r="F2850" t="str">
        <f>_xlfn.XLOOKUP($A2850,Load!$B:$B,Load!G:G,0,)</f>
        <v>Medium Multipack (40–80 ct)</v>
      </c>
      <c r="G2850" t="str">
        <f>_xlfn.XLOOKUP($A2850,Load!$B:$B,Load!H:H,0,)</f>
        <v>Stand-Up Bag</v>
      </c>
      <c r="H2850" t="str">
        <f>_xlfn.XLOOKUP($A2850,Load!$B:$B,Load!I:I,0,)</f>
        <v>Everyday Candy Shapes (like Original, Gummy bear, Fruit, Jewels, etc.)</v>
      </c>
      <c r="I2850" t="str">
        <f>_xlfn.XLOOKUP($A2850,Load!$B:$B,Load!J:J,0,)</f>
        <v>Seasonal Graphics (Like Bat, Ghost, Pumpkin, Fall Leaves, Eyeballs, etc.)</v>
      </c>
      <c r="J2850" t="str">
        <f>_xlfn.XLOOKUP($A2850,Load!$B:$B,Load!K:K,0,)</f>
        <v xml:space="preserve">Variety Candy Sizes </v>
      </c>
      <c r="K2850" t="str">
        <f>_xlfn.XLOOKUP($A2850,Load!$B:$B,Load!L:L,0,)</f>
        <v>Regular/Original Wrapping</v>
      </c>
      <c r="L2850" t="str">
        <f>_xlfn.XLOOKUP($A2850,Load!$B:$B,Load!M:M,0,)</f>
        <v>Multiple Brands / Variety Flavors or Form</v>
      </c>
    </row>
    <row r="2851" spans="1:12" x14ac:dyDescent="0.25">
      <c r="B2851">
        <f>_xlfn.XLOOKUP($A2851,Load!$B:$B,Load!C:C,0,)</f>
        <v>0</v>
      </c>
      <c r="C2851">
        <f>_xlfn.XLOOKUP($A2851,Load!$B:$B,Load!D:D,0,)</f>
        <v>0</v>
      </c>
      <c r="D2851">
        <f>_xlfn.XLOOKUP($A2851,Load!$B:$B,Load!E:E,0,)</f>
        <v>0</v>
      </c>
      <c r="E2851">
        <f>_xlfn.XLOOKUP($A2851,Load!$B:$B,Load!F:F,0,)</f>
        <v>0</v>
      </c>
      <c r="F2851">
        <f>_xlfn.XLOOKUP($A2851,Load!$B:$B,Load!G:G,0,)</f>
        <v>0</v>
      </c>
      <c r="G2851">
        <f>_xlfn.XLOOKUP($A2851,Load!$B:$B,Load!H:H,0,)</f>
        <v>0</v>
      </c>
      <c r="H2851">
        <f>_xlfn.XLOOKUP($A2851,Load!$B:$B,Load!I:I,0,)</f>
        <v>0</v>
      </c>
      <c r="I2851">
        <f>_xlfn.XLOOKUP($A2851,Load!$B:$B,Load!J:J,0,)</f>
        <v>0</v>
      </c>
      <c r="J2851">
        <f>_xlfn.XLOOKUP($A2851,Load!$B:$B,Load!K:K,0,)</f>
        <v>0</v>
      </c>
      <c r="K2851">
        <f>_xlfn.XLOOKUP($A2851,Load!$B:$B,Load!L:L,0,)</f>
        <v>0</v>
      </c>
      <c r="L2851">
        <f>_xlfn.XLOOKUP($A2851,Load!$B:$B,Load!M:M,0,)</f>
        <v>0</v>
      </c>
    </row>
    <row r="2852" spans="1:12" x14ac:dyDescent="0.25">
      <c r="A2852" t="s">
        <v>210</v>
      </c>
      <c r="B2852" t="str">
        <f>_xlfn.XLOOKUP($A2852,Load!$B:$B,Load!C:C,0,)</f>
        <v>Mars Variety Pack</v>
      </c>
      <c r="C2852" t="str">
        <f>_xlfn.XLOOKUP($A2852,Load!$B:$B,Load!D:D,0,)</f>
        <v>Mix of Chocolate and Non-Chocolate Candy</v>
      </c>
      <c r="D2852" t="str">
        <f>_xlfn.XLOOKUP($A2852,Load!$B:$B,Load!E:E,0,)</f>
        <v>Variety / Mixed Flavors (Fruity, Sour, Seasonal Flavors)</v>
      </c>
      <c r="E2852" t="str">
        <f>_xlfn.XLOOKUP($A2852,Load!$B:$B,Load!F:F,0,)</f>
        <v>Mixed / Combo Packs (Gummy, Chewy, Taffy, etc.)</v>
      </c>
      <c r="F2852" t="str">
        <f>_xlfn.XLOOKUP($A2852,Load!$B:$B,Load!G:G,0,)</f>
        <v>Medium Multipack (40–80 ct)</v>
      </c>
      <c r="G2852" t="str">
        <f>_xlfn.XLOOKUP($A2852,Load!$B:$B,Load!H:H,0,)</f>
        <v>Stand-Up Bag</v>
      </c>
      <c r="H2852" t="str">
        <f>_xlfn.XLOOKUP($A2852,Load!$B:$B,Load!I:I,0,)</f>
        <v>Everyday Candy Shapes (like Original, Gummy bear, Fruit, Jewels, etc.)</v>
      </c>
      <c r="I2852" t="str">
        <f>_xlfn.XLOOKUP($A2852,Load!$B:$B,Load!J:J,0,)</f>
        <v>Seasonal Graphics (Like Bat, Ghost, Pumpkin, Fall Leaves, Eyeballs, etc.)</v>
      </c>
      <c r="J2852" t="str">
        <f>_xlfn.XLOOKUP($A2852,Load!$B:$B,Load!K:K,0,)</f>
        <v>Fun Size / Treat Size</v>
      </c>
      <c r="K2852" t="str">
        <f>_xlfn.XLOOKUP($A2852,Load!$B:$B,Load!L:L,0,)</f>
        <v>Regular/Original Wrapping</v>
      </c>
      <c r="L2852" t="str">
        <f>_xlfn.XLOOKUP($A2852,Load!$B:$B,Load!M:M,0,)</f>
        <v>Multiple Brands / Variety Flavors or Form</v>
      </c>
    </row>
    <row r="2853" spans="1:12" x14ac:dyDescent="0.25">
      <c r="A2853" t="s">
        <v>204</v>
      </c>
      <c r="B2853" t="str">
        <f>_xlfn.XLOOKUP($A2853,Load!$B:$B,Load!C:C,0,)</f>
        <v>Mars Variety Pack</v>
      </c>
      <c r="C2853" t="str">
        <f>_xlfn.XLOOKUP($A2853,Load!$B:$B,Load!D:D,0,)</f>
        <v>Mix of Chocolate and Non-Chocolate Candy</v>
      </c>
      <c r="D2853" t="str">
        <f>_xlfn.XLOOKUP($A2853,Load!$B:$B,Load!E:E,0,)</f>
        <v>Variety / Mixed Flavors (Fruity, Sour, Seasonal Flavors)</v>
      </c>
      <c r="E2853" t="str">
        <f>_xlfn.XLOOKUP($A2853,Load!$B:$B,Load!F:F,0,)</f>
        <v>Mixed / Combo Packs (Gummy, Chewy, Taffy, etc.)</v>
      </c>
      <c r="F2853" t="str">
        <f>_xlfn.XLOOKUP($A2853,Load!$B:$B,Load!G:G,0,)</f>
        <v>Medium Multipack (40–80 ct)</v>
      </c>
      <c r="G2853" t="str">
        <f>_xlfn.XLOOKUP($A2853,Load!$B:$B,Load!H:H,0,)</f>
        <v>Stand-Up Bag</v>
      </c>
      <c r="H2853" t="str">
        <f>_xlfn.XLOOKUP($A2853,Load!$B:$B,Load!I:I,0,)</f>
        <v>Everyday Candy Shapes (like Original, Gummy bear, Fruit, Jewels, etc.)</v>
      </c>
      <c r="I2853" t="str">
        <f>_xlfn.XLOOKUP($A2853,Load!$B:$B,Load!J:J,0,)</f>
        <v>Everyday Graphics</v>
      </c>
      <c r="J2853" t="str">
        <f>_xlfn.XLOOKUP($A2853,Load!$B:$B,Load!K:K,0,)</f>
        <v>Fun Size / Treat Size</v>
      </c>
      <c r="K2853" t="str">
        <f>_xlfn.XLOOKUP($A2853,Load!$B:$B,Load!L:L,0,)</f>
        <v>Regular/Original Wrapping</v>
      </c>
      <c r="L2853" t="str">
        <f>_xlfn.XLOOKUP($A2853,Load!$B:$B,Load!M:M,0,)</f>
        <v>Multiple Brands / Variety Flavors or Form</v>
      </c>
    </row>
    <row r="2854" spans="1:12" x14ac:dyDescent="0.25">
      <c r="B2854">
        <f>_xlfn.XLOOKUP($A2854,Load!$B:$B,Load!C:C,0,)</f>
        <v>0</v>
      </c>
      <c r="C2854">
        <f>_xlfn.XLOOKUP($A2854,Load!$B:$B,Load!D:D,0,)</f>
        <v>0</v>
      </c>
      <c r="D2854">
        <f>_xlfn.XLOOKUP($A2854,Load!$B:$B,Load!E:E,0,)</f>
        <v>0</v>
      </c>
      <c r="E2854">
        <f>_xlfn.XLOOKUP($A2854,Load!$B:$B,Load!F:F,0,)</f>
        <v>0</v>
      </c>
      <c r="F2854">
        <f>_xlfn.XLOOKUP($A2854,Load!$B:$B,Load!G:G,0,)</f>
        <v>0</v>
      </c>
      <c r="G2854">
        <f>_xlfn.XLOOKUP($A2854,Load!$B:$B,Load!H:H,0,)</f>
        <v>0</v>
      </c>
      <c r="H2854">
        <f>_xlfn.XLOOKUP($A2854,Load!$B:$B,Load!I:I,0,)</f>
        <v>0</v>
      </c>
      <c r="I2854">
        <f>_xlfn.XLOOKUP($A2854,Load!$B:$B,Load!J:J,0,)</f>
        <v>0</v>
      </c>
      <c r="J2854">
        <f>_xlfn.XLOOKUP($A2854,Load!$B:$B,Load!K:K,0,)</f>
        <v>0</v>
      </c>
      <c r="K2854">
        <f>_xlfn.XLOOKUP($A2854,Load!$B:$B,Load!L:L,0,)</f>
        <v>0</v>
      </c>
      <c r="L2854">
        <f>_xlfn.XLOOKUP($A2854,Load!$B:$B,Load!M:M,0,)</f>
        <v>0</v>
      </c>
    </row>
    <row r="2855" spans="1:12" x14ac:dyDescent="0.25">
      <c r="B2855">
        <f>_xlfn.XLOOKUP($A2855,Load!$B:$B,Load!C:C,0,)</f>
        <v>0</v>
      </c>
      <c r="C2855">
        <f>_xlfn.XLOOKUP($A2855,Load!$B:$B,Load!D:D,0,)</f>
        <v>0</v>
      </c>
      <c r="D2855">
        <f>_xlfn.XLOOKUP($A2855,Load!$B:$B,Load!E:E,0,)</f>
        <v>0</v>
      </c>
      <c r="E2855">
        <f>_xlfn.XLOOKUP($A2855,Load!$B:$B,Load!F:F,0,)</f>
        <v>0</v>
      </c>
      <c r="F2855">
        <f>_xlfn.XLOOKUP($A2855,Load!$B:$B,Load!G:G,0,)</f>
        <v>0</v>
      </c>
      <c r="G2855">
        <f>_xlfn.XLOOKUP($A2855,Load!$B:$B,Load!H:H,0,)</f>
        <v>0</v>
      </c>
      <c r="H2855">
        <f>_xlfn.XLOOKUP($A2855,Load!$B:$B,Load!I:I,0,)</f>
        <v>0</v>
      </c>
      <c r="I2855">
        <f>_xlfn.XLOOKUP($A2855,Load!$B:$B,Load!J:J,0,)</f>
        <v>0</v>
      </c>
      <c r="J2855">
        <f>_xlfn.XLOOKUP($A2855,Load!$B:$B,Load!K:K,0,)</f>
        <v>0</v>
      </c>
      <c r="K2855">
        <f>_xlfn.XLOOKUP($A2855,Load!$B:$B,Load!L:L,0,)</f>
        <v>0</v>
      </c>
      <c r="L2855">
        <f>_xlfn.XLOOKUP($A2855,Load!$B:$B,Load!M:M,0,)</f>
        <v>0</v>
      </c>
    </row>
    <row r="2856" spans="1:12" x14ac:dyDescent="0.25">
      <c r="B2856">
        <f>_xlfn.XLOOKUP($A2856,Load!$B:$B,Load!C:C,0,)</f>
        <v>0</v>
      </c>
      <c r="C2856">
        <f>_xlfn.XLOOKUP($A2856,Load!$B:$B,Load!D:D,0,)</f>
        <v>0</v>
      </c>
      <c r="D2856">
        <f>_xlfn.XLOOKUP($A2856,Load!$B:$B,Load!E:E,0,)</f>
        <v>0</v>
      </c>
      <c r="E2856">
        <f>_xlfn.XLOOKUP($A2856,Load!$B:$B,Load!F:F,0,)</f>
        <v>0</v>
      </c>
      <c r="F2856">
        <f>_xlfn.XLOOKUP($A2856,Load!$B:$B,Load!G:G,0,)</f>
        <v>0</v>
      </c>
      <c r="G2856">
        <f>_xlfn.XLOOKUP($A2856,Load!$B:$B,Load!H:H,0,)</f>
        <v>0</v>
      </c>
      <c r="H2856">
        <f>_xlfn.XLOOKUP($A2856,Load!$B:$B,Load!I:I,0,)</f>
        <v>0</v>
      </c>
      <c r="I2856">
        <f>_xlfn.XLOOKUP($A2856,Load!$B:$B,Load!J:J,0,)</f>
        <v>0</v>
      </c>
      <c r="J2856">
        <f>_xlfn.XLOOKUP($A2856,Load!$B:$B,Load!K:K,0,)</f>
        <v>0</v>
      </c>
      <c r="K2856">
        <f>_xlfn.XLOOKUP($A2856,Load!$B:$B,Load!L:L,0,)</f>
        <v>0</v>
      </c>
      <c r="L2856">
        <f>_xlfn.XLOOKUP($A2856,Load!$B:$B,Load!M:M,0,)</f>
        <v>0</v>
      </c>
    </row>
    <row r="2857" spans="1:12" x14ac:dyDescent="0.25">
      <c r="B2857">
        <f>_xlfn.XLOOKUP($A2857,Load!$B:$B,Load!C:C,0,)</f>
        <v>0</v>
      </c>
      <c r="C2857">
        <f>_xlfn.XLOOKUP($A2857,Load!$B:$B,Load!D:D,0,)</f>
        <v>0</v>
      </c>
      <c r="D2857">
        <f>_xlfn.XLOOKUP($A2857,Load!$B:$B,Load!E:E,0,)</f>
        <v>0</v>
      </c>
      <c r="E2857">
        <f>_xlfn.XLOOKUP($A2857,Load!$B:$B,Load!F:F,0,)</f>
        <v>0</v>
      </c>
      <c r="F2857">
        <f>_xlfn.XLOOKUP($A2857,Load!$B:$B,Load!G:G,0,)</f>
        <v>0</v>
      </c>
      <c r="G2857">
        <f>_xlfn.XLOOKUP($A2857,Load!$B:$B,Load!H:H,0,)</f>
        <v>0</v>
      </c>
      <c r="H2857">
        <f>_xlfn.XLOOKUP($A2857,Load!$B:$B,Load!I:I,0,)</f>
        <v>0</v>
      </c>
      <c r="I2857">
        <f>_xlfn.XLOOKUP($A2857,Load!$B:$B,Load!J:J,0,)</f>
        <v>0</v>
      </c>
      <c r="J2857">
        <f>_xlfn.XLOOKUP($A2857,Load!$B:$B,Load!K:K,0,)</f>
        <v>0</v>
      </c>
      <c r="K2857">
        <f>_xlfn.XLOOKUP($A2857,Load!$B:$B,Load!L:L,0,)</f>
        <v>0</v>
      </c>
      <c r="L2857">
        <f>_xlfn.XLOOKUP($A2857,Load!$B:$B,Load!M:M,0,)</f>
        <v>0</v>
      </c>
    </row>
    <row r="2858" spans="1:12" x14ac:dyDescent="0.25">
      <c r="A2858" t="s">
        <v>71</v>
      </c>
      <c r="B2858" t="str">
        <f>_xlfn.XLOOKUP($A2858,Load!$B:$B,Load!C:C,0,)</f>
        <v>Dum Dums</v>
      </c>
      <c r="C2858" t="str">
        <f>_xlfn.XLOOKUP($A2858,Load!$B:$B,Load!D:D,0,)</f>
        <v>Non-Chocolate Candy Only</v>
      </c>
      <c r="D2858" t="str">
        <f>_xlfn.XLOOKUP($A2858,Load!$B:$B,Load!E:E,0,)</f>
        <v>Sweet</v>
      </c>
      <c r="E2858" t="str">
        <f>_xlfn.XLOOKUP($A2858,Load!$B:$B,Load!F:F,0,)</f>
        <v>Lollipop (regular or lollipop rings)</v>
      </c>
      <c r="F2858" t="str">
        <f>_xlfn.XLOOKUP($A2858,Load!$B:$B,Load!G:G,0,)</f>
        <v>Large Multipack (More than 80 ct)</v>
      </c>
      <c r="G2858" t="str">
        <f>_xlfn.XLOOKUP($A2858,Load!$B:$B,Load!H:H,0,)</f>
        <v>Stand-Up Bag</v>
      </c>
      <c r="H2858" t="str">
        <f>_xlfn.XLOOKUP($A2858,Load!$B:$B,Load!I:I,0,)</f>
        <v>Everyday Candy Shapes (like Original, Gummy bear, Fruit, Jewels, etc.)</v>
      </c>
      <c r="I2858" t="str">
        <f>_xlfn.XLOOKUP($A2858,Load!$B:$B,Load!J:J,0,)</f>
        <v>Seasonal Graphics (Like Bat, Ghost, Pumpkin, Fall Leaves, Eyeballs, etc.)</v>
      </c>
      <c r="J2858" t="str">
        <f>_xlfn.XLOOKUP($A2858,Load!$B:$B,Load!K:K,0,)</f>
        <v>Regular Lollipop size (on sticks or rings)</v>
      </c>
      <c r="K2858" t="str">
        <f>_xlfn.XLOOKUP($A2858,Load!$B:$B,Load!L:L,0,)</f>
        <v>Regular/Original Wrapping</v>
      </c>
      <c r="L2858" t="str">
        <f>_xlfn.XLOOKUP($A2858,Load!$B:$B,Load!M:M,0,)</f>
        <v>Multiple Brands / Variety Flavors or Form</v>
      </c>
    </row>
    <row r="2859" spans="1:12" x14ac:dyDescent="0.25">
      <c r="B2859">
        <f>_xlfn.XLOOKUP($A2859,Load!$B:$B,Load!C:C,0,)</f>
        <v>0</v>
      </c>
      <c r="C2859">
        <f>_xlfn.XLOOKUP($A2859,Load!$B:$B,Load!D:D,0,)</f>
        <v>0</v>
      </c>
      <c r="D2859">
        <f>_xlfn.XLOOKUP($A2859,Load!$B:$B,Load!E:E,0,)</f>
        <v>0</v>
      </c>
      <c r="E2859">
        <f>_xlfn.XLOOKUP($A2859,Load!$B:$B,Load!F:F,0,)</f>
        <v>0</v>
      </c>
      <c r="F2859">
        <f>_xlfn.XLOOKUP($A2859,Load!$B:$B,Load!G:G,0,)</f>
        <v>0</v>
      </c>
      <c r="G2859">
        <f>_xlfn.XLOOKUP($A2859,Load!$B:$B,Load!H:H,0,)</f>
        <v>0</v>
      </c>
      <c r="H2859">
        <f>_xlfn.XLOOKUP($A2859,Load!$B:$B,Load!I:I,0,)</f>
        <v>0</v>
      </c>
      <c r="I2859">
        <f>_xlfn.XLOOKUP($A2859,Load!$B:$B,Load!J:J,0,)</f>
        <v>0</v>
      </c>
      <c r="J2859">
        <f>_xlfn.XLOOKUP($A2859,Load!$B:$B,Load!K:K,0,)</f>
        <v>0</v>
      </c>
      <c r="K2859">
        <f>_xlfn.XLOOKUP($A2859,Load!$B:$B,Load!L:L,0,)</f>
        <v>0</v>
      </c>
      <c r="L2859">
        <f>_xlfn.XLOOKUP($A2859,Load!$B:$B,Load!M:M,0,)</f>
        <v>0</v>
      </c>
    </row>
    <row r="2860" spans="1:12" x14ac:dyDescent="0.25">
      <c r="A2860" t="s">
        <v>173</v>
      </c>
      <c r="B2860" t="str">
        <f>_xlfn.XLOOKUP($A2860,Load!$B:$B,Load!C:C,0,)</f>
        <v>Mars Variety Pack</v>
      </c>
      <c r="C2860" t="str">
        <f>_xlfn.XLOOKUP($A2860,Load!$B:$B,Load!D:D,0,)</f>
        <v>Mix of Chocolate and Non-Chocolate Candy</v>
      </c>
      <c r="D2860" t="str">
        <f>_xlfn.XLOOKUP($A2860,Load!$B:$B,Load!E:E,0,)</f>
        <v>Variety / Mixed Flavors (Fruity, Sour, Seasonal Flavors)</v>
      </c>
      <c r="E2860" t="str">
        <f>_xlfn.XLOOKUP($A2860,Load!$B:$B,Load!F:F,0,)</f>
        <v>Mixed / Combo Packs (Gummy, Chewy, Taffy, etc.)</v>
      </c>
      <c r="F2860" t="str">
        <f>_xlfn.XLOOKUP($A2860,Load!$B:$B,Load!G:G,0,)</f>
        <v>Large Multipack (More than 80 ct)</v>
      </c>
      <c r="G2860" t="str">
        <f>_xlfn.XLOOKUP($A2860,Load!$B:$B,Load!H:H,0,)</f>
        <v>Stand-Up Bag</v>
      </c>
      <c r="H2860" t="str">
        <f>_xlfn.XLOOKUP($A2860,Load!$B:$B,Load!I:I,0,)</f>
        <v>Everyday Candy Shapes (like Original, Gummy bear, Fruit, Jewels, etc.)</v>
      </c>
      <c r="I2860" t="str">
        <f>_xlfn.XLOOKUP($A2860,Load!$B:$B,Load!J:J,0,)</f>
        <v>Seasonal Graphics (Like Bat, Ghost, Pumpkin, Fall Leaves, Eyeballs, etc.)</v>
      </c>
      <c r="J2860" t="str">
        <f>_xlfn.XLOOKUP($A2860,Load!$B:$B,Load!K:K,0,)</f>
        <v>Fun Size / Treat Size</v>
      </c>
      <c r="K2860" t="str">
        <f>_xlfn.XLOOKUP($A2860,Load!$B:$B,Load!L:L,0,)</f>
        <v>Regular/Original Wrapping</v>
      </c>
      <c r="L2860" t="str">
        <f>_xlfn.XLOOKUP($A2860,Load!$B:$B,Load!M:M,0,)</f>
        <v>Multiple Brands / Variety Flavors or Form</v>
      </c>
    </row>
    <row r="2861" spans="1:12" x14ac:dyDescent="0.25">
      <c r="B2861">
        <f>_xlfn.XLOOKUP($A2861,Load!$B:$B,Load!C:C,0,)</f>
        <v>0</v>
      </c>
      <c r="C2861">
        <f>_xlfn.XLOOKUP($A2861,Load!$B:$B,Load!D:D,0,)</f>
        <v>0</v>
      </c>
      <c r="D2861">
        <f>_xlfn.XLOOKUP($A2861,Load!$B:$B,Load!E:E,0,)</f>
        <v>0</v>
      </c>
      <c r="E2861">
        <f>_xlfn.XLOOKUP($A2861,Load!$B:$B,Load!F:F,0,)</f>
        <v>0</v>
      </c>
      <c r="F2861">
        <f>_xlfn.XLOOKUP($A2861,Load!$B:$B,Load!G:G,0,)</f>
        <v>0</v>
      </c>
      <c r="G2861">
        <f>_xlfn.XLOOKUP($A2861,Load!$B:$B,Load!H:H,0,)</f>
        <v>0</v>
      </c>
      <c r="H2861">
        <f>_xlfn.XLOOKUP($A2861,Load!$B:$B,Load!I:I,0,)</f>
        <v>0</v>
      </c>
      <c r="I2861">
        <f>_xlfn.XLOOKUP($A2861,Load!$B:$B,Load!J:J,0,)</f>
        <v>0</v>
      </c>
      <c r="J2861">
        <f>_xlfn.XLOOKUP($A2861,Load!$B:$B,Load!K:K,0,)</f>
        <v>0</v>
      </c>
      <c r="K2861">
        <f>_xlfn.XLOOKUP($A2861,Load!$B:$B,Load!L:L,0,)</f>
        <v>0</v>
      </c>
      <c r="L2861">
        <f>_xlfn.XLOOKUP($A2861,Load!$B:$B,Load!M:M,0,)</f>
        <v>0</v>
      </c>
    </row>
    <row r="2862" spans="1:12" x14ac:dyDescent="0.25">
      <c r="A2862" t="s">
        <v>285</v>
      </c>
      <c r="B2862" t="str">
        <f>_xlfn.XLOOKUP($A2862,Load!$B:$B,Load!C:C,0,)</f>
        <v>Starburst</v>
      </c>
      <c r="C2862" t="str">
        <f>_xlfn.XLOOKUP($A2862,Load!$B:$B,Load!D:D,0,)</f>
        <v>Non-Chocolate Candy Only</v>
      </c>
      <c r="D2862" t="str">
        <f>_xlfn.XLOOKUP($A2862,Load!$B:$B,Load!E:E,0,)</f>
        <v>Fruit Flavor (Cherry, Grape, Apple, Citrus, Tropical Fruit)</v>
      </c>
      <c r="E2862" t="str">
        <f>_xlfn.XLOOKUP($A2862,Load!$B:$B,Load!F:F,0,)</f>
        <v>Chewy</v>
      </c>
      <c r="F2862" t="str">
        <f>_xlfn.XLOOKUP($A2862,Load!$B:$B,Load!G:G,0,)</f>
        <v>Small Multipack (Less than 40 ct)</v>
      </c>
      <c r="G2862" t="str">
        <f>_xlfn.XLOOKUP($A2862,Load!$B:$B,Load!H:H,0,)</f>
        <v>Laydown Bag</v>
      </c>
      <c r="H2862" t="str">
        <f>_xlfn.XLOOKUP($A2862,Load!$B:$B,Load!I:I,0,)</f>
        <v>Everyday Candy Shapes (like Original, Gummy bear, Fruit, Jewels, etc.)</v>
      </c>
      <c r="I2862" t="str">
        <f>_xlfn.XLOOKUP($A2862,Load!$B:$B,Load!J:J,0,)</f>
        <v>Everyday Graphics</v>
      </c>
      <c r="J2862" t="str">
        <f>_xlfn.XLOOKUP($A2862,Load!$B:$B,Load!K:K,0,)</f>
        <v>Small Pieces (Tiny bite size candies)</v>
      </c>
      <c r="K2862" t="str">
        <f>_xlfn.XLOOKUP($A2862,Load!$B:$B,Load!L:L,0,)</f>
        <v>Regular/Original Wrapping</v>
      </c>
      <c r="L2862" t="str">
        <f>_xlfn.XLOOKUP($A2862,Load!$B:$B,Load!M:M,0,)</f>
        <v>Single Brand / Variety Flavors or Form</v>
      </c>
    </row>
    <row r="2863" spans="1:12" x14ac:dyDescent="0.25">
      <c r="A2863" t="s">
        <v>237</v>
      </c>
      <c r="B2863" t="str">
        <f>_xlfn.XLOOKUP($A2863,Load!$B:$B,Load!C:C,0,)</f>
        <v>Now &amp; Later</v>
      </c>
      <c r="C2863" t="str">
        <f>_xlfn.XLOOKUP($A2863,Load!$B:$B,Load!D:D,0,)</f>
        <v>Non-Chocolate Candy Only</v>
      </c>
      <c r="D2863" t="str">
        <f>_xlfn.XLOOKUP($A2863,Load!$B:$B,Load!E:E,0,)</f>
        <v>Fruit Flavor (Cherry, Grape, Apple, Citrus, Tropical Fruit)</v>
      </c>
      <c r="E2863" t="str">
        <f>_xlfn.XLOOKUP($A2863,Load!$B:$B,Load!F:F,0,)</f>
        <v>Chewy</v>
      </c>
      <c r="F2863" t="str">
        <f>_xlfn.XLOOKUP($A2863,Load!$B:$B,Load!G:G,0,)</f>
        <v>Medium Multipack (40–80 ct)</v>
      </c>
      <c r="G2863" t="str">
        <f>_xlfn.XLOOKUP($A2863,Load!$B:$B,Load!H:H,0,)</f>
        <v>Laydown Bag</v>
      </c>
      <c r="H2863" t="str">
        <f>_xlfn.XLOOKUP($A2863,Load!$B:$B,Load!I:I,0,)</f>
        <v>Everyday Candy Shapes (like Original, Gummy bear, Fruit, Jewels, etc.)</v>
      </c>
      <c r="I2863" t="str">
        <f>_xlfn.XLOOKUP($A2863,Load!$B:$B,Load!J:J,0,)</f>
        <v>Seasonal Graphics (Like Bat, Ghost, Pumpkin, Fall Leaves, Eyeballs, etc.)</v>
      </c>
      <c r="J2863" t="str">
        <f>_xlfn.XLOOKUP($A2863,Load!$B:$B,Load!K:K,0,)</f>
        <v>Small Pieces (Tiny bite size candies)</v>
      </c>
      <c r="K2863" t="str">
        <f>_xlfn.XLOOKUP($A2863,Load!$B:$B,Load!L:L,0,)</f>
        <v>Regular/Original Wrapping</v>
      </c>
      <c r="L2863" t="str">
        <f>_xlfn.XLOOKUP($A2863,Load!$B:$B,Load!M:M,0,)</f>
        <v>Single Brand / Variety Flavors or Form</v>
      </c>
    </row>
    <row r="2864" spans="1:12" x14ac:dyDescent="0.25">
      <c r="B2864">
        <f>_xlfn.XLOOKUP($A2864,Load!$B:$B,Load!C:C,0,)</f>
        <v>0</v>
      </c>
      <c r="C2864">
        <f>_xlfn.XLOOKUP($A2864,Load!$B:$B,Load!D:D,0,)</f>
        <v>0</v>
      </c>
      <c r="D2864">
        <f>_xlfn.XLOOKUP($A2864,Load!$B:$B,Load!E:E,0,)</f>
        <v>0</v>
      </c>
      <c r="E2864">
        <f>_xlfn.XLOOKUP($A2864,Load!$B:$B,Load!F:F,0,)</f>
        <v>0</v>
      </c>
      <c r="F2864">
        <f>_xlfn.XLOOKUP($A2864,Load!$B:$B,Load!G:G,0,)</f>
        <v>0</v>
      </c>
      <c r="G2864">
        <f>_xlfn.XLOOKUP($A2864,Load!$B:$B,Load!H:H,0,)</f>
        <v>0</v>
      </c>
      <c r="H2864">
        <f>_xlfn.XLOOKUP($A2864,Load!$B:$B,Load!I:I,0,)</f>
        <v>0</v>
      </c>
      <c r="I2864">
        <f>_xlfn.XLOOKUP($A2864,Load!$B:$B,Load!J:J,0,)</f>
        <v>0</v>
      </c>
      <c r="J2864">
        <f>_xlfn.XLOOKUP($A2864,Load!$B:$B,Load!K:K,0,)</f>
        <v>0</v>
      </c>
      <c r="K2864">
        <f>_xlfn.XLOOKUP($A2864,Load!$B:$B,Load!L:L,0,)</f>
        <v>0</v>
      </c>
      <c r="L2864">
        <f>_xlfn.XLOOKUP($A2864,Load!$B:$B,Load!M:M,0,)</f>
        <v>0</v>
      </c>
    </row>
    <row r="2865" spans="1:12" x14ac:dyDescent="0.25">
      <c r="B2865">
        <f>_xlfn.XLOOKUP($A2865,Load!$B:$B,Load!C:C,0,)</f>
        <v>0</v>
      </c>
      <c r="C2865">
        <f>_xlfn.XLOOKUP($A2865,Load!$B:$B,Load!D:D,0,)</f>
        <v>0</v>
      </c>
      <c r="D2865">
        <f>_xlfn.XLOOKUP($A2865,Load!$B:$B,Load!E:E,0,)</f>
        <v>0</v>
      </c>
      <c r="E2865">
        <f>_xlfn.XLOOKUP($A2865,Load!$B:$B,Load!F:F,0,)</f>
        <v>0</v>
      </c>
      <c r="F2865">
        <f>_xlfn.XLOOKUP($A2865,Load!$B:$B,Load!G:G,0,)</f>
        <v>0</v>
      </c>
      <c r="G2865">
        <f>_xlfn.XLOOKUP($A2865,Load!$B:$B,Load!H:H,0,)</f>
        <v>0</v>
      </c>
      <c r="H2865">
        <f>_xlfn.XLOOKUP($A2865,Load!$B:$B,Load!I:I,0,)</f>
        <v>0</v>
      </c>
      <c r="I2865">
        <f>_xlfn.XLOOKUP($A2865,Load!$B:$B,Load!J:J,0,)</f>
        <v>0</v>
      </c>
      <c r="J2865">
        <f>_xlfn.XLOOKUP($A2865,Load!$B:$B,Load!K:K,0,)</f>
        <v>0</v>
      </c>
      <c r="K2865">
        <f>_xlfn.XLOOKUP($A2865,Load!$B:$B,Load!L:L,0,)</f>
        <v>0</v>
      </c>
      <c r="L2865">
        <f>_xlfn.XLOOKUP($A2865,Load!$B:$B,Load!M:M,0,)</f>
        <v>0</v>
      </c>
    </row>
    <row r="2866" spans="1:12" x14ac:dyDescent="0.25">
      <c r="B2866">
        <f>_xlfn.XLOOKUP($A2866,Load!$B:$B,Load!C:C,0,)</f>
        <v>0</v>
      </c>
      <c r="C2866">
        <f>_xlfn.XLOOKUP($A2866,Load!$B:$B,Load!D:D,0,)</f>
        <v>0</v>
      </c>
      <c r="D2866">
        <f>_xlfn.XLOOKUP($A2866,Load!$B:$B,Load!E:E,0,)</f>
        <v>0</v>
      </c>
      <c r="E2866">
        <f>_xlfn.XLOOKUP($A2866,Load!$B:$B,Load!F:F,0,)</f>
        <v>0</v>
      </c>
      <c r="F2866">
        <f>_xlfn.XLOOKUP($A2866,Load!$B:$B,Load!G:G,0,)</f>
        <v>0</v>
      </c>
      <c r="G2866">
        <f>_xlfn.XLOOKUP($A2866,Load!$B:$B,Load!H:H,0,)</f>
        <v>0</v>
      </c>
      <c r="H2866">
        <f>_xlfn.XLOOKUP($A2866,Load!$B:$B,Load!I:I,0,)</f>
        <v>0</v>
      </c>
      <c r="I2866">
        <f>_xlfn.XLOOKUP($A2866,Load!$B:$B,Load!J:J,0,)</f>
        <v>0</v>
      </c>
      <c r="J2866">
        <f>_xlfn.XLOOKUP($A2866,Load!$B:$B,Load!K:K,0,)</f>
        <v>0</v>
      </c>
      <c r="K2866">
        <f>_xlfn.XLOOKUP($A2866,Load!$B:$B,Load!L:L,0,)</f>
        <v>0</v>
      </c>
      <c r="L2866">
        <f>_xlfn.XLOOKUP($A2866,Load!$B:$B,Load!M:M,0,)</f>
        <v>0</v>
      </c>
    </row>
    <row r="2867" spans="1:12" x14ac:dyDescent="0.25">
      <c r="B2867">
        <f>_xlfn.XLOOKUP($A2867,Load!$B:$B,Load!C:C,0,)</f>
        <v>0</v>
      </c>
      <c r="C2867">
        <f>_xlfn.XLOOKUP($A2867,Load!$B:$B,Load!D:D,0,)</f>
        <v>0</v>
      </c>
      <c r="D2867">
        <f>_xlfn.XLOOKUP($A2867,Load!$B:$B,Load!E:E,0,)</f>
        <v>0</v>
      </c>
      <c r="E2867">
        <f>_xlfn.XLOOKUP($A2867,Load!$B:$B,Load!F:F,0,)</f>
        <v>0</v>
      </c>
      <c r="F2867">
        <f>_xlfn.XLOOKUP($A2867,Load!$B:$B,Load!G:G,0,)</f>
        <v>0</v>
      </c>
      <c r="G2867">
        <f>_xlfn.XLOOKUP($A2867,Load!$B:$B,Load!H:H,0,)</f>
        <v>0</v>
      </c>
      <c r="H2867">
        <f>_xlfn.XLOOKUP($A2867,Load!$B:$B,Load!I:I,0,)</f>
        <v>0</v>
      </c>
      <c r="I2867">
        <f>_xlfn.XLOOKUP($A2867,Load!$B:$B,Load!J:J,0,)</f>
        <v>0</v>
      </c>
      <c r="J2867">
        <f>_xlfn.XLOOKUP($A2867,Load!$B:$B,Load!K:K,0,)</f>
        <v>0</v>
      </c>
      <c r="K2867">
        <f>_xlfn.XLOOKUP($A2867,Load!$B:$B,Load!L:L,0,)</f>
        <v>0</v>
      </c>
      <c r="L2867">
        <f>_xlfn.XLOOKUP($A2867,Load!$B:$B,Load!M:M,0,)</f>
        <v>0</v>
      </c>
    </row>
    <row r="2868" spans="1:12" x14ac:dyDescent="0.25">
      <c r="A2868" t="s">
        <v>133</v>
      </c>
      <c r="B2868" t="str">
        <f>_xlfn.XLOOKUP($A2868,Load!$B:$B,Load!C:C,0,)</f>
        <v>Hershey's</v>
      </c>
      <c r="C2868" t="str">
        <f>_xlfn.XLOOKUP($A2868,Load!$B:$B,Load!D:D,0,)</f>
        <v>Non-Chocolate Candy Only</v>
      </c>
      <c r="D2868" t="str">
        <f>_xlfn.XLOOKUP($A2868,Load!$B:$B,Load!E:E,0,)</f>
        <v>Variety / Mixed Flavors (Fruity, Sour, Seasonal Flavors)</v>
      </c>
      <c r="E2868" t="str">
        <f>_xlfn.XLOOKUP($A2868,Load!$B:$B,Load!F:F,0,)</f>
        <v>Mixed / Combo Packs (Gummy, Chewy, Taffy, etc.)</v>
      </c>
      <c r="F2868" t="str">
        <f>_xlfn.XLOOKUP($A2868,Load!$B:$B,Load!G:G,0,)</f>
        <v>Large Multipack (More than 80 ct)</v>
      </c>
      <c r="G2868" t="str">
        <f>_xlfn.XLOOKUP($A2868,Load!$B:$B,Load!H:H,0,)</f>
        <v>Stand-Up Bag</v>
      </c>
      <c r="H2868" t="str">
        <f>_xlfn.XLOOKUP($A2868,Load!$B:$B,Load!I:I,0,)</f>
        <v>Everyday Candy Shapes (like Original, Gummy bear, Fruit, Jewels, etc.)</v>
      </c>
      <c r="I2868" t="str">
        <f>_xlfn.XLOOKUP($A2868,Load!$B:$B,Load!J:J,0,)</f>
        <v>Seasonal Graphics (Like Bat, Ghost, Pumpkin, Fall Leaves, Eyeballs, etc.)</v>
      </c>
      <c r="J2868" t="str">
        <f>_xlfn.XLOOKUP($A2868,Load!$B:$B,Load!K:K,0,)</f>
        <v>Fun Size / Treat Size</v>
      </c>
      <c r="K2868" t="str">
        <f>_xlfn.XLOOKUP($A2868,Load!$B:$B,Load!L:L,0,)</f>
        <v>Regular/Original Wrapping</v>
      </c>
      <c r="L2868" t="str">
        <f>_xlfn.XLOOKUP($A2868,Load!$B:$B,Load!M:M,0,)</f>
        <v>Multiple Brands / Variety Flavors or Form</v>
      </c>
    </row>
    <row r="2869" spans="1:12" x14ac:dyDescent="0.25">
      <c r="B2869">
        <f>_xlfn.XLOOKUP($A2869,Load!$B:$B,Load!C:C,0,)</f>
        <v>0</v>
      </c>
      <c r="C2869">
        <f>_xlfn.XLOOKUP($A2869,Load!$B:$B,Load!D:D,0,)</f>
        <v>0</v>
      </c>
      <c r="D2869">
        <f>_xlfn.XLOOKUP($A2869,Load!$B:$B,Load!E:E,0,)</f>
        <v>0</v>
      </c>
      <c r="E2869">
        <f>_xlfn.XLOOKUP($A2869,Load!$B:$B,Load!F:F,0,)</f>
        <v>0</v>
      </c>
      <c r="F2869">
        <f>_xlfn.XLOOKUP($A2869,Load!$B:$B,Load!G:G,0,)</f>
        <v>0</v>
      </c>
      <c r="G2869">
        <f>_xlfn.XLOOKUP($A2869,Load!$B:$B,Load!H:H,0,)</f>
        <v>0</v>
      </c>
      <c r="H2869">
        <f>_xlfn.XLOOKUP($A2869,Load!$B:$B,Load!I:I,0,)</f>
        <v>0</v>
      </c>
      <c r="I2869">
        <f>_xlfn.XLOOKUP($A2869,Load!$B:$B,Load!J:J,0,)</f>
        <v>0</v>
      </c>
      <c r="J2869">
        <f>_xlfn.XLOOKUP($A2869,Load!$B:$B,Load!K:K,0,)</f>
        <v>0</v>
      </c>
      <c r="K2869">
        <f>_xlfn.XLOOKUP($A2869,Load!$B:$B,Load!L:L,0,)</f>
        <v>0</v>
      </c>
      <c r="L2869">
        <f>_xlfn.XLOOKUP($A2869,Load!$B:$B,Load!M:M,0,)</f>
        <v>0</v>
      </c>
    </row>
    <row r="2870" spans="1:12" x14ac:dyDescent="0.25">
      <c r="A2870" t="s">
        <v>134</v>
      </c>
      <c r="B2870" t="str">
        <f>_xlfn.XLOOKUP($A2870,Load!$B:$B,Load!C:C,0,)</f>
        <v>Hershey's Variety Pack</v>
      </c>
      <c r="C2870" t="str">
        <f>_xlfn.XLOOKUP($A2870,Load!$B:$B,Load!D:D,0,)</f>
        <v>Non-Chocolate Candy Only</v>
      </c>
      <c r="D2870" t="str">
        <f>_xlfn.XLOOKUP($A2870,Load!$B:$B,Load!E:E,0,)</f>
        <v>Variety / Mixed Flavors (Fruity, Sour, Seasonal Flavors)</v>
      </c>
      <c r="E2870" t="str">
        <f>_xlfn.XLOOKUP($A2870,Load!$B:$B,Load!F:F,0,)</f>
        <v>Mixed / Combo Packs (Gummy, Chewy, Taffy, etc.)</v>
      </c>
      <c r="F2870" t="str">
        <f>_xlfn.XLOOKUP($A2870,Load!$B:$B,Load!G:G,0,)</f>
        <v>Large Multipack (More than 80 ct)</v>
      </c>
      <c r="G2870" t="str">
        <f>_xlfn.XLOOKUP($A2870,Load!$B:$B,Load!H:H,0,)</f>
        <v>Stand-Up Bag</v>
      </c>
      <c r="H2870" t="str">
        <f>_xlfn.XLOOKUP($A2870,Load!$B:$B,Load!I:I,0,)</f>
        <v>Everyday Candy Shapes (like Original, Gummy bear, Fruit, Jewels, etc.)</v>
      </c>
      <c r="I2870" t="str">
        <f>_xlfn.XLOOKUP($A2870,Load!$B:$B,Load!J:J,0,)</f>
        <v>Seasonal Graphics (Like Bat, Ghost, Pumpkin, Fall Leaves, Eyeballs, etc.)</v>
      </c>
      <c r="J2870" t="str">
        <f>_xlfn.XLOOKUP($A2870,Load!$B:$B,Load!K:K,0,)</f>
        <v xml:space="preserve">Variety Candy Sizes </v>
      </c>
      <c r="K2870" t="str">
        <f>_xlfn.XLOOKUP($A2870,Load!$B:$B,Load!L:L,0,)</f>
        <v>Regular/Original Wrapping</v>
      </c>
      <c r="L2870" t="str">
        <f>_xlfn.XLOOKUP($A2870,Load!$B:$B,Load!M:M,0,)</f>
        <v>Multiple Brands / Variety Flavors or Form</v>
      </c>
    </row>
    <row r="2871" spans="1:12" x14ac:dyDescent="0.25">
      <c r="B2871">
        <f>_xlfn.XLOOKUP($A2871,Load!$B:$B,Load!C:C,0,)</f>
        <v>0</v>
      </c>
      <c r="C2871">
        <f>_xlfn.XLOOKUP($A2871,Load!$B:$B,Load!D:D,0,)</f>
        <v>0</v>
      </c>
      <c r="D2871">
        <f>_xlfn.XLOOKUP($A2871,Load!$B:$B,Load!E:E,0,)</f>
        <v>0</v>
      </c>
      <c r="E2871">
        <f>_xlfn.XLOOKUP($A2871,Load!$B:$B,Load!F:F,0,)</f>
        <v>0</v>
      </c>
      <c r="F2871">
        <f>_xlfn.XLOOKUP($A2871,Load!$B:$B,Load!G:G,0,)</f>
        <v>0</v>
      </c>
      <c r="G2871">
        <f>_xlfn.XLOOKUP($A2871,Load!$B:$B,Load!H:H,0,)</f>
        <v>0</v>
      </c>
      <c r="H2871">
        <f>_xlfn.XLOOKUP($A2871,Load!$B:$B,Load!I:I,0,)</f>
        <v>0</v>
      </c>
      <c r="I2871">
        <f>_xlfn.XLOOKUP($A2871,Load!$B:$B,Load!J:J,0,)</f>
        <v>0</v>
      </c>
      <c r="J2871">
        <f>_xlfn.XLOOKUP($A2871,Load!$B:$B,Load!K:K,0,)</f>
        <v>0</v>
      </c>
      <c r="K2871">
        <f>_xlfn.XLOOKUP($A2871,Load!$B:$B,Load!L:L,0,)</f>
        <v>0</v>
      </c>
      <c r="L2871">
        <f>_xlfn.XLOOKUP($A2871,Load!$B:$B,Load!M:M,0,)</f>
        <v>0</v>
      </c>
    </row>
    <row r="2872" spans="1:12" x14ac:dyDescent="0.25">
      <c r="A2872" t="s">
        <v>290</v>
      </c>
      <c r="B2872" t="str">
        <f>_xlfn.XLOOKUP($A2872,Load!$B:$B,Load!C:C,0,)</f>
        <v>Tootsie</v>
      </c>
      <c r="C2872" t="str">
        <f>_xlfn.XLOOKUP($A2872,Load!$B:$B,Load!D:D,0,)</f>
        <v>Mix of Chocolate and Non-Chocolate Candy</v>
      </c>
      <c r="D2872" t="str">
        <f>_xlfn.XLOOKUP($A2872,Load!$B:$B,Load!E:E,0,)</f>
        <v>Variety / Mixed Flavors (Fruity, Sour, Seasonal Flavors)</v>
      </c>
      <c r="E2872" t="str">
        <f>_xlfn.XLOOKUP($A2872,Load!$B:$B,Load!F:F,0,)</f>
        <v>Mixed / Combo Packs (Gummy, Chewy, Taffy, etc.)</v>
      </c>
      <c r="F2872" t="str">
        <f>_xlfn.XLOOKUP($A2872,Load!$B:$B,Load!G:G,0,)</f>
        <v>Large Multipack (More than 80 ct)</v>
      </c>
      <c r="G2872" t="str">
        <f>_xlfn.XLOOKUP($A2872,Load!$B:$B,Load!H:H,0,)</f>
        <v>Laydown Bag</v>
      </c>
      <c r="H2872" t="str">
        <f>_xlfn.XLOOKUP($A2872,Load!$B:$B,Load!I:I,0,)</f>
        <v>Everyday Candy Shapes (like Original, Gummy bear, Fruit, Jewels, etc.)</v>
      </c>
      <c r="I2872" t="str">
        <f>_xlfn.XLOOKUP($A2872,Load!$B:$B,Load!J:J,0,)</f>
        <v>Everyday Graphics</v>
      </c>
      <c r="J2872" t="str">
        <f>_xlfn.XLOOKUP($A2872,Load!$B:$B,Load!K:K,0,)</f>
        <v>Fun Size / Treat Size</v>
      </c>
      <c r="K2872" t="str">
        <f>_xlfn.XLOOKUP($A2872,Load!$B:$B,Load!L:L,0,)</f>
        <v>Regular/Original Wrapping</v>
      </c>
      <c r="L2872" t="str">
        <f>_xlfn.XLOOKUP($A2872,Load!$B:$B,Load!M:M,0,)</f>
        <v>Single Brand / Variety Flavors or Form</v>
      </c>
    </row>
    <row r="2873" spans="1:12" x14ac:dyDescent="0.25">
      <c r="B2873">
        <f>_xlfn.XLOOKUP($A2873,Load!$B:$B,Load!C:C,0,)</f>
        <v>0</v>
      </c>
      <c r="C2873">
        <f>_xlfn.XLOOKUP($A2873,Load!$B:$B,Load!D:D,0,)</f>
        <v>0</v>
      </c>
      <c r="D2873">
        <f>_xlfn.XLOOKUP($A2873,Load!$B:$B,Load!E:E,0,)</f>
        <v>0</v>
      </c>
      <c r="E2873">
        <f>_xlfn.XLOOKUP($A2873,Load!$B:$B,Load!F:F,0,)</f>
        <v>0</v>
      </c>
      <c r="F2873">
        <f>_xlfn.XLOOKUP($A2873,Load!$B:$B,Load!G:G,0,)</f>
        <v>0</v>
      </c>
      <c r="G2873">
        <f>_xlfn.XLOOKUP($A2873,Load!$B:$B,Load!H:H,0,)</f>
        <v>0</v>
      </c>
      <c r="H2873">
        <f>_xlfn.XLOOKUP($A2873,Load!$B:$B,Load!I:I,0,)</f>
        <v>0</v>
      </c>
      <c r="I2873">
        <f>_xlfn.XLOOKUP($A2873,Load!$B:$B,Load!J:J,0,)</f>
        <v>0</v>
      </c>
      <c r="J2873">
        <f>_xlfn.XLOOKUP($A2873,Load!$B:$B,Load!K:K,0,)</f>
        <v>0</v>
      </c>
      <c r="K2873">
        <f>_xlfn.XLOOKUP($A2873,Load!$B:$B,Load!L:L,0,)</f>
        <v>0</v>
      </c>
      <c r="L2873">
        <f>_xlfn.XLOOKUP($A2873,Load!$B:$B,Load!M:M,0,)</f>
        <v>0</v>
      </c>
    </row>
    <row r="2874" spans="1:12" x14ac:dyDescent="0.25">
      <c r="B2874">
        <f>_xlfn.XLOOKUP($A2874,Load!$B:$B,Load!C:C,0,)</f>
        <v>0</v>
      </c>
      <c r="C2874">
        <f>_xlfn.XLOOKUP($A2874,Load!$B:$B,Load!D:D,0,)</f>
        <v>0</v>
      </c>
      <c r="D2874">
        <f>_xlfn.XLOOKUP($A2874,Load!$B:$B,Load!E:E,0,)</f>
        <v>0</v>
      </c>
      <c r="E2874">
        <f>_xlfn.XLOOKUP($A2874,Load!$B:$B,Load!F:F,0,)</f>
        <v>0</v>
      </c>
      <c r="F2874">
        <f>_xlfn.XLOOKUP($A2874,Load!$B:$B,Load!G:G,0,)</f>
        <v>0</v>
      </c>
      <c r="G2874">
        <f>_xlfn.XLOOKUP($A2874,Load!$B:$B,Load!H:H,0,)</f>
        <v>0</v>
      </c>
      <c r="H2874">
        <f>_xlfn.XLOOKUP($A2874,Load!$B:$B,Load!I:I,0,)</f>
        <v>0</v>
      </c>
      <c r="I2874">
        <f>_xlfn.XLOOKUP($A2874,Load!$B:$B,Load!J:J,0,)</f>
        <v>0</v>
      </c>
      <c r="J2874">
        <f>_xlfn.XLOOKUP($A2874,Load!$B:$B,Load!K:K,0,)</f>
        <v>0</v>
      </c>
      <c r="K2874">
        <f>_xlfn.XLOOKUP($A2874,Load!$B:$B,Load!L:L,0,)</f>
        <v>0</v>
      </c>
      <c r="L2874">
        <f>_xlfn.XLOOKUP($A2874,Load!$B:$B,Load!M:M,0,)</f>
        <v>0</v>
      </c>
    </row>
    <row r="2875" spans="1:12" x14ac:dyDescent="0.25">
      <c r="B2875">
        <f>_xlfn.XLOOKUP($A2875,Load!$B:$B,Load!C:C,0,)</f>
        <v>0</v>
      </c>
      <c r="C2875">
        <f>_xlfn.XLOOKUP($A2875,Load!$B:$B,Load!D:D,0,)</f>
        <v>0</v>
      </c>
      <c r="D2875">
        <f>_xlfn.XLOOKUP($A2875,Load!$B:$B,Load!E:E,0,)</f>
        <v>0</v>
      </c>
      <c r="E2875">
        <f>_xlfn.XLOOKUP($A2875,Load!$B:$B,Load!F:F,0,)</f>
        <v>0</v>
      </c>
      <c r="F2875">
        <f>_xlfn.XLOOKUP($A2875,Load!$B:$B,Load!G:G,0,)</f>
        <v>0</v>
      </c>
      <c r="G2875">
        <f>_xlfn.XLOOKUP($A2875,Load!$B:$B,Load!H:H,0,)</f>
        <v>0</v>
      </c>
      <c r="H2875">
        <f>_xlfn.XLOOKUP($A2875,Load!$B:$B,Load!I:I,0,)</f>
        <v>0</v>
      </c>
      <c r="I2875">
        <f>_xlfn.XLOOKUP($A2875,Load!$B:$B,Load!J:J,0,)</f>
        <v>0</v>
      </c>
      <c r="J2875">
        <f>_xlfn.XLOOKUP($A2875,Load!$B:$B,Load!K:K,0,)</f>
        <v>0</v>
      </c>
      <c r="K2875">
        <f>_xlfn.XLOOKUP($A2875,Load!$B:$B,Load!L:L,0,)</f>
        <v>0</v>
      </c>
      <c r="L2875">
        <f>_xlfn.XLOOKUP($A2875,Load!$B:$B,Load!M:M,0,)</f>
        <v>0</v>
      </c>
    </row>
    <row r="2876" spans="1:12" x14ac:dyDescent="0.25">
      <c r="A2876" t="s">
        <v>116</v>
      </c>
      <c r="B2876" t="str">
        <f>_xlfn.XLOOKUP($A2876,Load!$B:$B,Load!C:C,0,)</f>
        <v>George Howe</v>
      </c>
      <c r="C2876" t="str">
        <f>_xlfn.XLOOKUP($A2876,Load!$B:$B,Load!D:D,0,)</f>
        <v>Mix of Chocolate and Non-Chocolate Candy</v>
      </c>
      <c r="D2876" t="str">
        <f>_xlfn.XLOOKUP($A2876,Load!$B:$B,Load!E:E,0,)</f>
        <v>Fall / Seasonal Flavors (pumpkin spice, caramel apple, candy corn)</v>
      </c>
      <c r="E2876" t="str">
        <f>_xlfn.XLOOKUP($A2876,Load!$B:$B,Load!F:F,0,)</f>
        <v>Candy Pieces / Bites</v>
      </c>
      <c r="F2876" t="str">
        <f>_xlfn.XLOOKUP($A2876,Load!$B:$B,Load!G:G,0,)</f>
        <v>Single Pack</v>
      </c>
      <c r="G2876" t="str">
        <f>_xlfn.XLOOKUP($A2876,Load!$B:$B,Load!H:H,0,)</f>
        <v>Laydown Bag</v>
      </c>
      <c r="H2876" t="str">
        <f>_xlfn.XLOOKUP($A2876,Load!$B:$B,Load!I:I,0,)</f>
        <v>Seasonal Shapes (like pumpkins, candy corn, ghost, bats, etc.)</v>
      </c>
      <c r="I2876" t="str">
        <f>_xlfn.XLOOKUP($A2876,Load!$B:$B,Load!J:J,0,)</f>
        <v>Everyday Graphics</v>
      </c>
      <c r="J2876" t="str">
        <f>_xlfn.XLOOKUP($A2876,Load!$B:$B,Load!K:K,0,)</f>
        <v>Small Pieces (Tiny bite size candies)</v>
      </c>
      <c r="K2876" t="str">
        <f>_xlfn.XLOOKUP($A2876,Load!$B:$B,Load!L:L,0,)</f>
        <v>Unwrapped</v>
      </c>
      <c r="L2876" t="str">
        <f>_xlfn.XLOOKUP($A2876,Load!$B:$B,Load!M:M,0,)</f>
        <v>Single Brand / Variety Flavors or Form</v>
      </c>
    </row>
    <row r="2877" spans="1:12" x14ac:dyDescent="0.25">
      <c r="B2877">
        <f>_xlfn.XLOOKUP($A2877,Load!$B:$B,Load!C:C,0,)</f>
        <v>0</v>
      </c>
      <c r="C2877">
        <f>_xlfn.XLOOKUP($A2877,Load!$B:$B,Load!D:D,0,)</f>
        <v>0</v>
      </c>
      <c r="D2877">
        <f>_xlfn.XLOOKUP($A2877,Load!$B:$B,Load!E:E,0,)</f>
        <v>0</v>
      </c>
      <c r="E2877">
        <f>_xlfn.XLOOKUP($A2877,Load!$B:$B,Load!F:F,0,)</f>
        <v>0</v>
      </c>
      <c r="F2877">
        <f>_xlfn.XLOOKUP($A2877,Load!$B:$B,Load!G:G,0,)</f>
        <v>0</v>
      </c>
      <c r="G2877">
        <f>_xlfn.XLOOKUP($A2877,Load!$B:$B,Load!H:H,0,)</f>
        <v>0</v>
      </c>
      <c r="H2877">
        <f>_xlfn.XLOOKUP($A2877,Load!$B:$B,Load!I:I,0,)</f>
        <v>0</v>
      </c>
      <c r="I2877">
        <f>_xlfn.XLOOKUP($A2877,Load!$B:$B,Load!J:J,0,)</f>
        <v>0</v>
      </c>
      <c r="J2877">
        <f>_xlfn.XLOOKUP($A2877,Load!$B:$B,Load!K:K,0,)</f>
        <v>0</v>
      </c>
      <c r="K2877">
        <f>_xlfn.XLOOKUP($A2877,Load!$B:$B,Load!L:L,0,)</f>
        <v>0</v>
      </c>
      <c r="L2877">
        <f>_xlfn.XLOOKUP($A2877,Load!$B:$B,Load!M:M,0,)</f>
        <v>0</v>
      </c>
    </row>
    <row r="2878" spans="1:12" x14ac:dyDescent="0.25">
      <c r="A2878" t="s">
        <v>161</v>
      </c>
      <c r="B2878" t="str">
        <f>_xlfn.XLOOKUP($A2878,Load!$B:$B,Load!C:C,0,)</f>
        <v>Jolly Rancher</v>
      </c>
      <c r="C2878" t="str">
        <f>_xlfn.XLOOKUP($A2878,Load!$B:$B,Load!D:D,0,)</f>
        <v>Non-Chocolate Candy Only</v>
      </c>
      <c r="D2878" t="str">
        <f>_xlfn.XLOOKUP($A2878,Load!$B:$B,Load!E:E,0,)</f>
        <v>Variety / Mixed Flavors (Fruity, Sour, Seasonal Flavors)</v>
      </c>
      <c r="E2878" t="str">
        <f>_xlfn.XLOOKUP($A2878,Load!$B:$B,Load!F:F,0,)</f>
        <v>Mixed / Combo Packs (Gummy, Chewy, Taffy, etc.)</v>
      </c>
      <c r="F2878" t="str">
        <f>_xlfn.XLOOKUP($A2878,Load!$B:$B,Load!G:G,0,)</f>
        <v>Large Multipack (More than 80 ct)</v>
      </c>
      <c r="G2878" t="str">
        <f>_xlfn.XLOOKUP($A2878,Load!$B:$B,Load!H:H,0,)</f>
        <v>Stand-Up Bag</v>
      </c>
      <c r="H2878" t="str">
        <f>_xlfn.XLOOKUP($A2878,Load!$B:$B,Load!I:I,0,)</f>
        <v>Everyday Candy Shapes (like Original, Gummy bear, Fruit, Jewels, etc.)</v>
      </c>
      <c r="I2878" t="str">
        <f>_xlfn.XLOOKUP($A2878,Load!$B:$B,Load!J:J,0,)</f>
        <v>Seasonal Graphics (Like Bat, Ghost, Pumpkin, Fall Leaves, Eyeballs, etc.)</v>
      </c>
      <c r="J2878" t="str">
        <f>_xlfn.XLOOKUP($A2878,Load!$B:$B,Load!K:K,0,)</f>
        <v xml:space="preserve">Variety Candy Sizes </v>
      </c>
      <c r="K2878" t="str">
        <f>_xlfn.XLOOKUP($A2878,Load!$B:$B,Load!L:L,0,)</f>
        <v>Regular/Original Wrapping</v>
      </c>
      <c r="L2878" t="str">
        <f>_xlfn.XLOOKUP($A2878,Load!$B:$B,Load!M:M,0,)</f>
        <v>Single Brand / Variety Flavors or Form</v>
      </c>
    </row>
    <row r="2879" spans="1:12" x14ac:dyDescent="0.25">
      <c r="A2879" t="s">
        <v>139</v>
      </c>
      <c r="B2879" t="str">
        <f>_xlfn.XLOOKUP($A2879,Load!$B:$B,Load!C:C,0,)</f>
        <v>Hershey's Variety Pack + Haribo</v>
      </c>
      <c r="C2879" t="str">
        <f>_xlfn.XLOOKUP($A2879,Load!$B:$B,Load!D:D,0,)</f>
        <v>Mix of Chocolate and Non-Chocolate Candy</v>
      </c>
      <c r="D2879" t="str">
        <f>_xlfn.XLOOKUP($A2879,Load!$B:$B,Load!E:E,0,)</f>
        <v>Variety / Mixed Flavors (Fruity, Sour, Seasonal Flavors)</v>
      </c>
      <c r="E2879" t="str">
        <f>_xlfn.XLOOKUP($A2879,Load!$B:$B,Load!F:F,0,)</f>
        <v>Mixed / Combo Packs (Gummy, Chewy, Taffy, etc.)</v>
      </c>
      <c r="F2879" t="str">
        <f>_xlfn.XLOOKUP($A2879,Load!$B:$B,Load!G:G,0,)</f>
        <v>Large Multipack (More than 80 ct)</v>
      </c>
      <c r="G2879" t="str">
        <f>_xlfn.XLOOKUP($A2879,Load!$B:$B,Load!H:H,0,)</f>
        <v>Stand-Up Bag</v>
      </c>
      <c r="H2879" t="str">
        <f>_xlfn.XLOOKUP($A2879,Load!$B:$B,Load!I:I,0,)</f>
        <v>Everyday Candy Shapes (like Original, Gummy bear, Fruit, Jewels, etc.)</v>
      </c>
      <c r="I2879" t="str">
        <f>_xlfn.XLOOKUP($A2879,Load!$B:$B,Load!J:J,0,)</f>
        <v>Seasonal Graphics (Like Bat, Ghost, Pumpkin, Fall Leaves, Eyeballs, etc.)</v>
      </c>
      <c r="J2879" t="str">
        <f>_xlfn.XLOOKUP($A2879,Load!$B:$B,Load!K:K,0,)</f>
        <v>Fun Size / Treat Size</v>
      </c>
      <c r="K2879" t="str">
        <f>_xlfn.XLOOKUP($A2879,Load!$B:$B,Load!L:L,0,)</f>
        <v>Regular/Original Wrapping</v>
      </c>
      <c r="L2879" t="str">
        <f>_xlfn.XLOOKUP($A2879,Load!$B:$B,Load!M:M,0,)</f>
        <v>Multiple Brands / Variety Flavors or Form</v>
      </c>
    </row>
    <row r="2880" spans="1:12" x14ac:dyDescent="0.25">
      <c r="A2880" t="s">
        <v>222</v>
      </c>
      <c r="B2880" t="str">
        <f>_xlfn.XLOOKUP($A2880,Load!$B:$B,Load!C:C,0,)</f>
        <v>Nerds</v>
      </c>
      <c r="C2880" t="str">
        <f>_xlfn.XLOOKUP($A2880,Load!$B:$B,Load!D:D,0,)</f>
        <v>Non-Chocolate Candy Only</v>
      </c>
      <c r="D2880" t="str">
        <f>_xlfn.XLOOKUP($A2880,Load!$B:$B,Load!E:E,0,)</f>
        <v>Sweet</v>
      </c>
      <c r="E2880" t="str">
        <f>_xlfn.XLOOKUP($A2880,Load!$B:$B,Load!F:F,0,)</f>
        <v>Gummy</v>
      </c>
      <c r="F2880" t="str">
        <f>_xlfn.XLOOKUP($A2880,Load!$B:$B,Load!G:G,0,)</f>
        <v>Small Multipack (Less than 40 ct)</v>
      </c>
      <c r="G2880" t="str">
        <f>_xlfn.XLOOKUP($A2880,Load!$B:$B,Load!H:H,0,)</f>
        <v>Stand-Up Bag</v>
      </c>
      <c r="H2880" t="str">
        <f>_xlfn.XLOOKUP($A2880,Load!$B:$B,Load!I:I,0,)</f>
        <v>Everyday Candy Shapes (like Original, Gummy bear, Fruit, Jewels, etc.)</v>
      </c>
      <c r="I2880" t="str">
        <f>_xlfn.XLOOKUP($A2880,Load!$B:$B,Load!J:J,0,)</f>
        <v>Seasonal Graphics (Like Bat, Ghost, Pumpkin, Fall Leaves, Eyeballs, etc.)</v>
      </c>
      <c r="J2880" t="str">
        <f>_xlfn.XLOOKUP($A2880,Load!$B:$B,Load!K:K,0,)</f>
        <v>Fun Size / Treat Size</v>
      </c>
      <c r="K2880" t="str">
        <f>_xlfn.XLOOKUP($A2880,Load!$B:$B,Load!L:L,0,)</f>
        <v>Regular/Original Wrapping</v>
      </c>
      <c r="L2880" t="str">
        <f>_xlfn.XLOOKUP($A2880,Load!$B:$B,Load!M:M,0,)</f>
        <v>Single Brand / Variety Flavors or Form</v>
      </c>
    </row>
    <row r="2881" spans="1:12" x14ac:dyDescent="0.25">
      <c r="A2881" t="s">
        <v>20</v>
      </c>
      <c r="B2881" t="str">
        <f>_xlfn.XLOOKUP($A2881,Load!$B:$B,Load!C:C,0,)</f>
        <v>Albanese</v>
      </c>
      <c r="C2881" t="str">
        <f>_xlfn.XLOOKUP($A2881,Load!$B:$B,Load!D:D,0,)</f>
        <v>Non-Chocolate Candy Only</v>
      </c>
      <c r="D2881" t="str">
        <f>_xlfn.XLOOKUP($A2881,Load!$B:$B,Load!E:E,0,)</f>
        <v>Sweet</v>
      </c>
      <c r="E2881" t="str">
        <f>_xlfn.XLOOKUP($A2881,Load!$B:$B,Load!F:F,0,)</f>
        <v>Gummy</v>
      </c>
      <c r="F2881" t="str">
        <f>_xlfn.XLOOKUP($A2881,Load!$B:$B,Load!G:G,0,)</f>
        <v>Single Pack</v>
      </c>
      <c r="G2881" t="str">
        <f>_xlfn.XLOOKUP($A2881,Load!$B:$B,Load!H:H,0,)</f>
        <v>Laydown Bag</v>
      </c>
      <c r="H2881" t="str">
        <f>_xlfn.XLOOKUP($A2881,Load!$B:$B,Load!I:I,0,)</f>
        <v>Everyday Candy Shapes (like Original, Gummy bear, Fruit, Jewels, etc.)</v>
      </c>
      <c r="I2881" t="str">
        <f>_xlfn.XLOOKUP($A2881,Load!$B:$B,Load!J:J,0,)</f>
        <v>Seasonal Graphics (Like Bat, Ghost, Pumpkin, Fall Leaves, Eyeballs, etc.)</v>
      </c>
      <c r="J2881" t="str">
        <f>_xlfn.XLOOKUP($A2881,Load!$B:$B,Load!K:K,0,)</f>
        <v>Small Pieces (Tiny bite size candies)</v>
      </c>
      <c r="K2881" t="str">
        <f>_xlfn.XLOOKUP($A2881,Load!$B:$B,Load!L:L,0,)</f>
        <v>Regular/Original Wrapping</v>
      </c>
      <c r="L2881" t="str">
        <f>_xlfn.XLOOKUP($A2881,Load!$B:$B,Load!M:M,0,)</f>
        <v>Single Brand / Variety Flavors or Form</v>
      </c>
    </row>
    <row r="2882" spans="1:12" x14ac:dyDescent="0.25">
      <c r="A2882" t="s">
        <v>112</v>
      </c>
      <c r="B2882" t="str">
        <f>_xlfn.XLOOKUP($A2882,Load!$B:$B,Load!C:C,0,)</f>
        <v>Frankford</v>
      </c>
      <c r="C2882" t="str">
        <f>_xlfn.XLOOKUP($A2882,Load!$B:$B,Load!D:D,0,)</f>
        <v>Non-Chocolate Candy Only</v>
      </c>
      <c r="D2882" t="str">
        <f>_xlfn.XLOOKUP($A2882,Load!$B:$B,Load!E:E,0,)</f>
        <v>Sour</v>
      </c>
      <c r="E2882" t="str">
        <f>_xlfn.XLOOKUP($A2882,Load!$B:$B,Load!F:F,0,)</f>
        <v>Mixed / Combo Packs (Gummy, Chewy, Taffy, etc.)</v>
      </c>
      <c r="F2882" t="str">
        <f>_xlfn.XLOOKUP($A2882,Load!$B:$B,Load!G:G,0,)</f>
        <v>Large Multipack (More than 80 ct)</v>
      </c>
      <c r="G2882" t="str">
        <f>_xlfn.XLOOKUP($A2882,Load!$B:$B,Load!H:H,0,)</f>
        <v>Laydown Bag</v>
      </c>
      <c r="H2882" t="str">
        <f>_xlfn.XLOOKUP($A2882,Load!$B:$B,Load!I:I,0,)</f>
        <v>Everyday Candy Shapes (like Original, Gummy bear, Fruit, Jewels, etc.)</v>
      </c>
      <c r="I2882" t="str">
        <f>_xlfn.XLOOKUP($A2882,Load!$B:$B,Load!J:J,0,)</f>
        <v>Seasonal Graphics (Like Bat, Ghost, Pumpkin, Fall Leaves, Eyeballs, etc.)</v>
      </c>
      <c r="J2882" t="str">
        <f>_xlfn.XLOOKUP($A2882,Load!$B:$B,Load!K:K,0,)</f>
        <v>Small Pieces (Tiny bite size candies)</v>
      </c>
      <c r="K2882" t="str">
        <f>_xlfn.XLOOKUP($A2882,Load!$B:$B,Load!L:L,0,)</f>
        <v>Regular/Original Wrapping</v>
      </c>
      <c r="L2882" t="str">
        <f>_xlfn.XLOOKUP($A2882,Load!$B:$B,Load!M:M,0,)</f>
        <v>Multiple Brands / Variety Flavors or Form</v>
      </c>
    </row>
    <row r="2883" spans="1:12" x14ac:dyDescent="0.25">
      <c r="B2883">
        <f>_xlfn.XLOOKUP($A2883,Load!$B:$B,Load!C:C,0,)</f>
        <v>0</v>
      </c>
      <c r="C2883">
        <f>_xlfn.XLOOKUP($A2883,Load!$B:$B,Load!D:D,0,)</f>
        <v>0</v>
      </c>
      <c r="D2883">
        <f>_xlfn.XLOOKUP($A2883,Load!$B:$B,Load!E:E,0,)</f>
        <v>0</v>
      </c>
      <c r="E2883">
        <f>_xlfn.XLOOKUP($A2883,Load!$B:$B,Load!F:F,0,)</f>
        <v>0</v>
      </c>
      <c r="F2883">
        <f>_xlfn.XLOOKUP($A2883,Load!$B:$B,Load!G:G,0,)</f>
        <v>0</v>
      </c>
      <c r="G2883">
        <f>_xlfn.XLOOKUP($A2883,Load!$B:$B,Load!H:H,0,)</f>
        <v>0</v>
      </c>
      <c r="H2883">
        <f>_xlfn.XLOOKUP($A2883,Load!$B:$B,Load!I:I,0,)</f>
        <v>0</v>
      </c>
      <c r="I2883">
        <f>_xlfn.XLOOKUP($A2883,Load!$B:$B,Load!J:J,0,)</f>
        <v>0</v>
      </c>
      <c r="J2883">
        <f>_xlfn.XLOOKUP($A2883,Load!$B:$B,Load!K:K,0,)</f>
        <v>0</v>
      </c>
      <c r="K2883">
        <f>_xlfn.XLOOKUP($A2883,Load!$B:$B,Load!L:L,0,)</f>
        <v>0</v>
      </c>
      <c r="L2883">
        <f>_xlfn.XLOOKUP($A2883,Load!$B:$B,Load!M:M,0,)</f>
        <v>0</v>
      </c>
    </row>
    <row r="2884" spans="1:12" x14ac:dyDescent="0.25">
      <c r="B2884">
        <f>_xlfn.XLOOKUP($A2884,Load!$B:$B,Load!C:C,0,)</f>
        <v>0</v>
      </c>
      <c r="C2884">
        <f>_xlfn.XLOOKUP($A2884,Load!$B:$B,Load!D:D,0,)</f>
        <v>0</v>
      </c>
      <c r="D2884">
        <f>_xlfn.XLOOKUP($A2884,Load!$B:$B,Load!E:E,0,)</f>
        <v>0</v>
      </c>
      <c r="E2884">
        <f>_xlfn.XLOOKUP($A2884,Load!$B:$B,Load!F:F,0,)</f>
        <v>0</v>
      </c>
      <c r="F2884">
        <f>_xlfn.XLOOKUP($A2884,Load!$B:$B,Load!G:G,0,)</f>
        <v>0</v>
      </c>
      <c r="G2884">
        <f>_xlfn.XLOOKUP($A2884,Load!$B:$B,Load!H:H,0,)</f>
        <v>0</v>
      </c>
      <c r="H2884">
        <f>_xlfn.XLOOKUP($A2884,Load!$B:$B,Load!I:I,0,)</f>
        <v>0</v>
      </c>
      <c r="I2884">
        <f>_xlfn.XLOOKUP($A2884,Load!$B:$B,Load!J:J,0,)</f>
        <v>0</v>
      </c>
      <c r="J2884">
        <f>_xlfn.XLOOKUP($A2884,Load!$B:$B,Load!K:K,0,)</f>
        <v>0</v>
      </c>
      <c r="K2884">
        <f>_xlfn.XLOOKUP($A2884,Load!$B:$B,Load!L:L,0,)</f>
        <v>0</v>
      </c>
      <c r="L2884">
        <f>_xlfn.XLOOKUP($A2884,Load!$B:$B,Load!M:M,0,)</f>
        <v>0</v>
      </c>
    </row>
    <row r="2885" spans="1:12" x14ac:dyDescent="0.25">
      <c r="B2885">
        <f>_xlfn.XLOOKUP($A2885,Load!$B:$B,Load!C:C,0,)</f>
        <v>0</v>
      </c>
      <c r="C2885">
        <f>_xlfn.XLOOKUP($A2885,Load!$B:$B,Load!D:D,0,)</f>
        <v>0</v>
      </c>
      <c r="D2885">
        <f>_xlfn.XLOOKUP($A2885,Load!$B:$B,Load!E:E,0,)</f>
        <v>0</v>
      </c>
      <c r="E2885">
        <f>_xlfn.XLOOKUP($A2885,Load!$B:$B,Load!F:F,0,)</f>
        <v>0</v>
      </c>
      <c r="F2885">
        <f>_xlfn.XLOOKUP($A2885,Load!$B:$B,Load!G:G,0,)</f>
        <v>0</v>
      </c>
      <c r="G2885">
        <f>_xlfn.XLOOKUP($A2885,Load!$B:$B,Load!H:H,0,)</f>
        <v>0</v>
      </c>
      <c r="H2885">
        <f>_xlfn.XLOOKUP($A2885,Load!$B:$B,Load!I:I,0,)</f>
        <v>0</v>
      </c>
      <c r="I2885">
        <f>_xlfn.XLOOKUP($A2885,Load!$B:$B,Load!J:J,0,)</f>
        <v>0</v>
      </c>
      <c r="J2885">
        <f>_xlfn.XLOOKUP($A2885,Load!$B:$B,Load!K:K,0,)</f>
        <v>0</v>
      </c>
      <c r="K2885">
        <f>_xlfn.XLOOKUP($A2885,Load!$B:$B,Load!L:L,0,)</f>
        <v>0</v>
      </c>
      <c r="L2885">
        <f>_xlfn.XLOOKUP($A2885,Load!$B:$B,Load!M:M,0,)</f>
        <v>0</v>
      </c>
    </row>
    <row r="2886" spans="1:12" x14ac:dyDescent="0.25">
      <c r="A2886" t="s">
        <v>145</v>
      </c>
      <c r="B2886" t="str">
        <f>_xlfn.XLOOKUP($A2886,Load!$B:$B,Load!C:C,0,)</f>
        <v>Hershey's Variety Pack + Haribo</v>
      </c>
      <c r="C2886" t="str">
        <f>_xlfn.XLOOKUP($A2886,Load!$B:$B,Load!D:D,0,)</f>
        <v>Non-Chocolate Candy Only</v>
      </c>
      <c r="D2886" t="str">
        <f>_xlfn.XLOOKUP($A2886,Load!$B:$B,Load!E:E,0,)</f>
        <v>Variety / Mixed Flavors (Fruity, Sour, Seasonal Flavors)</v>
      </c>
      <c r="E2886" t="str">
        <f>_xlfn.XLOOKUP($A2886,Load!$B:$B,Load!F:F,0,)</f>
        <v>Mixed / Combo Packs (Gummy, Chewy, Taffy, etc.)</v>
      </c>
      <c r="F2886" t="str">
        <f>_xlfn.XLOOKUP($A2886,Load!$B:$B,Load!G:G,0,)</f>
        <v>Large Multipack (More than 80 ct)</v>
      </c>
      <c r="G2886" t="str">
        <f>_xlfn.XLOOKUP($A2886,Load!$B:$B,Load!H:H,0,)</f>
        <v>Stand-Up Bag</v>
      </c>
      <c r="H2886" t="str">
        <f>_xlfn.XLOOKUP($A2886,Load!$B:$B,Load!I:I,0,)</f>
        <v>Everyday Candy Shapes (like Original, Gummy bear, Fruit, Jewels, etc.)</v>
      </c>
      <c r="I2886" t="str">
        <f>_xlfn.XLOOKUP($A2886,Load!$B:$B,Load!J:J,0,)</f>
        <v>Seasonal Graphics (Like Bat, Ghost, Pumpkin, Fall Leaves, Eyeballs, etc.)</v>
      </c>
      <c r="J2886" t="str">
        <f>_xlfn.XLOOKUP($A2886,Load!$B:$B,Load!K:K,0,)</f>
        <v xml:space="preserve">Variety Candy Sizes </v>
      </c>
      <c r="K2886" t="str">
        <f>_xlfn.XLOOKUP($A2886,Load!$B:$B,Load!L:L,0,)</f>
        <v>Regular/Original Wrapping</v>
      </c>
      <c r="L2886" t="str">
        <f>_xlfn.XLOOKUP($A2886,Load!$B:$B,Load!M:M,0,)</f>
        <v>Multiple Brands / Variety Flavors or Form</v>
      </c>
    </row>
    <row r="2887" spans="1:12" x14ac:dyDescent="0.25">
      <c r="B2887">
        <f>_xlfn.XLOOKUP($A2887,Load!$B:$B,Load!C:C,0,)</f>
        <v>0</v>
      </c>
      <c r="C2887">
        <f>_xlfn.XLOOKUP($A2887,Load!$B:$B,Load!D:D,0,)</f>
        <v>0</v>
      </c>
      <c r="D2887">
        <f>_xlfn.XLOOKUP($A2887,Load!$B:$B,Load!E:E,0,)</f>
        <v>0</v>
      </c>
      <c r="E2887">
        <f>_xlfn.XLOOKUP($A2887,Load!$B:$B,Load!F:F,0,)</f>
        <v>0</v>
      </c>
      <c r="F2887">
        <f>_xlfn.XLOOKUP($A2887,Load!$B:$B,Load!G:G,0,)</f>
        <v>0</v>
      </c>
      <c r="G2887">
        <f>_xlfn.XLOOKUP($A2887,Load!$B:$B,Load!H:H,0,)</f>
        <v>0</v>
      </c>
      <c r="H2887">
        <f>_xlfn.XLOOKUP($A2887,Load!$B:$B,Load!I:I,0,)</f>
        <v>0</v>
      </c>
      <c r="I2887">
        <f>_xlfn.XLOOKUP($A2887,Load!$B:$B,Load!J:J,0,)</f>
        <v>0</v>
      </c>
      <c r="J2887">
        <f>_xlfn.XLOOKUP($A2887,Load!$B:$B,Load!K:K,0,)</f>
        <v>0</v>
      </c>
      <c r="K2887">
        <f>_xlfn.XLOOKUP($A2887,Load!$B:$B,Load!L:L,0,)</f>
        <v>0</v>
      </c>
      <c r="L2887">
        <f>_xlfn.XLOOKUP($A2887,Load!$B:$B,Load!M:M,0,)</f>
        <v>0</v>
      </c>
    </row>
    <row r="2888" spans="1:12" x14ac:dyDescent="0.25">
      <c r="B2888">
        <f>_xlfn.XLOOKUP($A2888,Load!$B:$B,Load!C:C,0,)</f>
        <v>0</v>
      </c>
      <c r="C2888">
        <f>_xlfn.XLOOKUP($A2888,Load!$B:$B,Load!D:D,0,)</f>
        <v>0</v>
      </c>
      <c r="D2888">
        <f>_xlfn.XLOOKUP($A2888,Load!$B:$B,Load!E:E,0,)</f>
        <v>0</v>
      </c>
      <c r="E2888">
        <f>_xlfn.XLOOKUP($A2888,Load!$B:$B,Load!F:F,0,)</f>
        <v>0</v>
      </c>
      <c r="F2888">
        <f>_xlfn.XLOOKUP($A2888,Load!$B:$B,Load!G:G,0,)</f>
        <v>0</v>
      </c>
      <c r="G2888">
        <f>_xlfn.XLOOKUP($A2888,Load!$B:$B,Load!H:H,0,)</f>
        <v>0</v>
      </c>
      <c r="H2888">
        <f>_xlfn.XLOOKUP($A2888,Load!$B:$B,Load!I:I,0,)</f>
        <v>0</v>
      </c>
      <c r="I2888">
        <f>_xlfn.XLOOKUP($A2888,Load!$B:$B,Load!J:J,0,)</f>
        <v>0</v>
      </c>
      <c r="J2888">
        <f>_xlfn.XLOOKUP($A2888,Load!$B:$B,Load!K:K,0,)</f>
        <v>0</v>
      </c>
      <c r="K2888">
        <f>_xlfn.XLOOKUP($A2888,Load!$B:$B,Load!L:L,0,)</f>
        <v>0</v>
      </c>
      <c r="L2888">
        <f>_xlfn.XLOOKUP($A2888,Load!$B:$B,Load!M:M,0,)</f>
        <v>0</v>
      </c>
    </row>
    <row r="2889" spans="1:12" x14ac:dyDescent="0.25">
      <c r="B2889">
        <f>_xlfn.XLOOKUP($A2889,Load!$B:$B,Load!C:C,0,)</f>
        <v>0</v>
      </c>
      <c r="C2889">
        <f>_xlfn.XLOOKUP($A2889,Load!$B:$B,Load!D:D,0,)</f>
        <v>0</v>
      </c>
      <c r="D2889">
        <f>_xlfn.XLOOKUP($A2889,Load!$B:$B,Load!E:E,0,)</f>
        <v>0</v>
      </c>
      <c r="E2889">
        <f>_xlfn.XLOOKUP($A2889,Load!$B:$B,Load!F:F,0,)</f>
        <v>0</v>
      </c>
      <c r="F2889">
        <f>_xlfn.XLOOKUP($A2889,Load!$B:$B,Load!G:G,0,)</f>
        <v>0</v>
      </c>
      <c r="G2889">
        <f>_xlfn.XLOOKUP($A2889,Load!$B:$B,Load!H:H,0,)</f>
        <v>0</v>
      </c>
      <c r="H2889">
        <f>_xlfn.XLOOKUP($A2889,Load!$B:$B,Load!I:I,0,)</f>
        <v>0</v>
      </c>
      <c r="I2889">
        <f>_xlfn.XLOOKUP($A2889,Load!$B:$B,Load!J:J,0,)</f>
        <v>0</v>
      </c>
      <c r="J2889">
        <f>_xlfn.XLOOKUP($A2889,Load!$B:$B,Load!K:K,0,)</f>
        <v>0</v>
      </c>
      <c r="K2889">
        <f>_xlfn.XLOOKUP($A2889,Load!$B:$B,Load!L:L,0,)</f>
        <v>0</v>
      </c>
      <c r="L2889">
        <f>_xlfn.XLOOKUP($A2889,Load!$B:$B,Load!M:M,0,)</f>
        <v>0</v>
      </c>
    </row>
    <row r="2890" spans="1:12" x14ac:dyDescent="0.25">
      <c r="B2890">
        <f>_xlfn.XLOOKUP($A2890,Load!$B:$B,Load!C:C,0,)</f>
        <v>0</v>
      </c>
      <c r="C2890">
        <f>_xlfn.XLOOKUP($A2890,Load!$B:$B,Load!D:D,0,)</f>
        <v>0</v>
      </c>
      <c r="D2890">
        <f>_xlfn.XLOOKUP($A2890,Load!$B:$B,Load!E:E,0,)</f>
        <v>0</v>
      </c>
      <c r="E2890">
        <f>_xlfn.XLOOKUP($A2890,Load!$B:$B,Load!F:F,0,)</f>
        <v>0</v>
      </c>
      <c r="F2890">
        <f>_xlfn.XLOOKUP($A2890,Load!$B:$B,Load!G:G,0,)</f>
        <v>0</v>
      </c>
      <c r="G2890">
        <f>_xlfn.XLOOKUP($A2890,Load!$B:$B,Load!H:H,0,)</f>
        <v>0</v>
      </c>
      <c r="H2890">
        <f>_xlfn.XLOOKUP($A2890,Load!$B:$B,Load!I:I,0,)</f>
        <v>0</v>
      </c>
      <c r="I2890">
        <f>_xlfn.XLOOKUP($A2890,Load!$B:$B,Load!J:J,0,)</f>
        <v>0</v>
      </c>
      <c r="J2890">
        <f>_xlfn.XLOOKUP($A2890,Load!$B:$B,Load!K:K,0,)</f>
        <v>0</v>
      </c>
      <c r="K2890">
        <f>_xlfn.XLOOKUP($A2890,Load!$B:$B,Load!L:L,0,)</f>
        <v>0</v>
      </c>
      <c r="L2890">
        <f>_xlfn.XLOOKUP($A2890,Load!$B:$B,Load!M:M,0,)</f>
        <v>0</v>
      </c>
    </row>
    <row r="2891" spans="1:12" x14ac:dyDescent="0.25">
      <c r="B2891">
        <f>_xlfn.XLOOKUP($A2891,Load!$B:$B,Load!C:C,0,)</f>
        <v>0</v>
      </c>
      <c r="C2891">
        <f>_xlfn.XLOOKUP($A2891,Load!$B:$B,Load!D:D,0,)</f>
        <v>0</v>
      </c>
      <c r="D2891">
        <f>_xlfn.XLOOKUP($A2891,Load!$B:$B,Load!E:E,0,)</f>
        <v>0</v>
      </c>
      <c r="E2891">
        <f>_xlfn.XLOOKUP($A2891,Load!$B:$B,Load!F:F,0,)</f>
        <v>0</v>
      </c>
      <c r="F2891">
        <f>_xlfn.XLOOKUP($A2891,Load!$B:$B,Load!G:G,0,)</f>
        <v>0</v>
      </c>
      <c r="G2891">
        <f>_xlfn.XLOOKUP($A2891,Load!$B:$B,Load!H:H,0,)</f>
        <v>0</v>
      </c>
      <c r="H2891">
        <f>_xlfn.XLOOKUP($A2891,Load!$B:$B,Load!I:I,0,)</f>
        <v>0</v>
      </c>
      <c r="I2891">
        <f>_xlfn.XLOOKUP($A2891,Load!$B:$B,Load!J:J,0,)</f>
        <v>0</v>
      </c>
      <c r="J2891">
        <f>_xlfn.XLOOKUP($A2891,Load!$B:$B,Load!K:K,0,)</f>
        <v>0</v>
      </c>
      <c r="K2891">
        <f>_xlfn.XLOOKUP($A2891,Load!$B:$B,Load!L:L,0,)</f>
        <v>0</v>
      </c>
      <c r="L2891">
        <f>_xlfn.XLOOKUP($A2891,Load!$B:$B,Load!M:M,0,)</f>
        <v>0</v>
      </c>
    </row>
    <row r="2892" spans="1:12" x14ac:dyDescent="0.25">
      <c r="A2892" t="s">
        <v>111</v>
      </c>
      <c r="B2892" t="str">
        <f>_xlfn.XLOOKUP($A2892,Load!$B:$B,Load!C:C,0,)</f>
        <v>Frankford</v>
      </c>
      <c r="C2892" t="str">
        <f>_xlfn.XLOOKUP($A2892,Load!$B:$B,Load!D:D,0,)</f>
        <v>Non-Chocolate Candy Only</v>
      </c>
      <c r="D2892" t="str">
        <f>_xlfn.XLOOKUP($A2892,Load!$B:$B,Load!E:E,0,)</f>
        <v>Variety / Mixed Flavors (Fruity, Sour, Seasonal Flavors)</v>
      </c>
      <c r="E2892" t="str">
        <f>_xlfn.XLOOKUP($A2892,Load!$B:$B,Load!F:F,0,)</f>
        <v>Gummy</v>
      </c>
      <c r="F2892" t="str">
        <f>_xlfn.XLOOKUP($A2892,Load!$B:$B,Load!G:G,0,)</f>
        <v>Medium Multipack (40–80 ct)</v>
      </c>
      <c r="G2892" t="str">
        <f>_xlfn.XLOOKUP($A2892,Load!$B:$B,Load!H:H,0,)</f>
        <v>Stand-Up Bag</v>
      </c>
      <c r="H2892" t="str">
        <f>_xlfn.XLOOKUP($A2892,Load!$B:$B,Load!I:I,0,)</f>
        <v>Seasonal Shapes (like pumpkins, candy corn, ghost, bats, etc.)</v>
      </c>
      <c r="I2892" t="str">
        <f>_xlfn.XLOOKUP($A2892,Load!$B:$B,Load!J:J,0,)</f>
        <v>Seasonal Graphics (Like Bat, Ghost, Pumpkin, Fall Leaves, Eyeballs, etc.)</v>
      </c>
      <c r="J2892" t="str">
        <f>_xlfn.XLOOKUP($A2892,Load!$B:$B,Load!K:K,0,)</f>
        <v>Fun Size / Treat Size</v>
      </c>
      <c r="K2892" t="str">
        <f>_xlfn.XLOOKUP($A2892,Load!$B:$B,Load!L:L,0,)</f>
        <v>Regular/Original Wrapping</v>
      </c>
      <c r="L2892" t="str">
        <f>_xlfn.XLOOKUP($A2892,Load!$B:$B,Load!M:M,0,)</f>
        <v>Single Brand / Variety Flavors or Form</v>
      </c>
    </row>
    <row r="2893" spans="1:12" x14ac:dyDescent="0.25">
      <c r="A2893" t="s">
        <v>31</v>
      </c>
      <c r="B2893" t="str">
        <f>_xlfn.XLOOKUP($A2893,Load!$B:$B,Load!C:C,0,)</f>
        <v>AMOS</v>
      </c>
      <c r="C2893" t="str">
        <f>_xlfn.XLOOKUP($A2893,Load!$B:$B,Load!D:D,0,)</f>
        <v>Non-Chocolate Candy Only</v>
      </c>
      <c r="D2893" t="str">
        <f>_xlfn.XLOOKUP($A2893,Load!$B:$B,Load!E:E,0,)</f>
        <v>Berry Based (Raspberry, Strawberry, Medley, etc.)</v>
      </c>
      <c r="E2893" t="str">
        <f>_xlfn.XLOOKUP($A2893,Load!$B:$B,Load!F:F,0,)</f>
        <v>Gummy</v>
      </c>
      <c r="F2893" t="str">
        <f>_xlfn.XLOOKUP($A2893,Load!$B:$B,Load!G:G,0,)</f>
        <v>Medium Multipack (40–80 ct)</v>
      </c>
      <c r="G2893" t="str">
        <f>_xlfn.XLOOKUP($A2893,Load!$B:$B,Load!H:H,0,)</f>
        <v>Laydown Bag</v>
      </c>
      <c r="H2893" t="str">
        <f>_xlfn.XLOOKUP($A2893,Load!$B:$B,Load!I:I,0,)</f>
        <v>Seasonal Shapes (like pumpkins, candy corn, ghost, bats, etc.)</v>
      </c>
      <c r="I2893" t="str">
        <f>_xlfn.XLOOKUP($A2893,Load!$B:$B,Load!J:J,0,)</f>
        <v>Seasonal Graphics (Like Bat, Ghost, Pumpkin, Fall Leaves, Eyeballs, etc.)</v>
      </c>
      <c r="J2893" t="str">
        <f>_xlfn.XLOOKUP($A2893,Load!$B:$B,Load!K:K,0,)</f>
        <v>Small Pieces (Tiny bite size candies)</v>
      </c>
      <c r="K2893" t="str">
        <f>_xlfn.XLOOKUP($A2893,Load!$B:$B,Load!L:L,0,)</f>
        <v>Unwrapped</v>
      </c>
      <c r="L2893" t="str">
        <f>_xlfn.XLOOKUP($A2893,Load!$B:$B,Load!M:M,0,)</f>
        <v>Single Brand / Variety Flavors or Form</v>
      </c>
    </row>
    <row r="2894" spans="1:12" x14ac:dyDescent="0.25">
      <c r="A2894" t="s">
        <v>75</v>
      </c>
      <c r="B2894" t="str">
        <f>_xlfn.XLOOKUP($A2894,Load!$B:$B,Load!C:C,0,)</f>
        <v>Dum Dums</v>
      </c>
      <c r="C2894" t="str">
        <f>_xlfn.XLOOKUP($A2894,Load!$B:$B,Load!D:D,0,)</f>
        <v>Non-Chocolate Candy Only</v>
      </c>
      <c r="D2894" t="str">
        <f>_xlfn.XLOOKUP($A2894,Load!$B:$B,Load!E:E,0,)</f>
        <v>Variety / Mixed Flavors (Fruity, Sour, Seasonal Flavors)</v>
      </c>
      <c r="E2894" t="str">
        <f>_xlfn.XLOOKUP($A2894,Load!$B:$B,Load!F:F,0,)</f>
        <v>Lollipop (regular or lollipop rings)</v>
      </c>
      <c r="F2894" t="str">
        <f>_xlfn.XLOOKUP($A2894,Load!$B:$B,Load!G:G,0,)</f>
        <v>Single Pack</v>
      </c>
      <c r="G2894" t="str">
        <f>_xlfn.XLOOKUP($A2894,Load!$B:$B,Load!H:H,0,)</f>
        <v>Laydown Bag</v>
      </c>
      <c r="H2894" t="str">
        <f>_xlfn.XLOOKUP($A2894,Load!$B:$B,Load!I:I,0,)</f>
        <v>Everyday Candy Shapes (like Original, Gummy bear, Fruit, Jewels, etc.)</v>
      </c>
      <c r="I2894" t="str">
        <f>_xlfn.XLOOKUP($A2894,Load!$B:$B,Load!J:J,0,)</f>
        <v>Everyday Graphics</v>
      </c>
      <c r="J2894" t="str">
        <f>_xlfn.XLOOKUP($A2894,Load!$B:$B,Load!K:K,0,)</f>
        <v>Regular Lollipop size (on sticks or rings)</v>
      </c>
      <c r="K2894" t="str">
        <f>_xlfn.XLOOKUP($A2894,Load!$B:$B,Load!L:L,0,)</f>
        <v>Regular/Original Wrapping</v>
      </c>
      <c r="L2894" t="str">
        <f>_xlfn.XLOOKUP($A2894,Load!$B:$B,Load!M:M,0,)</f>
        <v>Single Brand / Variety Flavors or Form</v>
      </c>
    </row>
    <row r="2895" spans="1:12" x14ac:dyDescent="0.25">
      <c r="A2895" t="s">
        <v>86</v>
      </c>
      <c r="B2895" t="str">
        <f>_xlfn.XLOOKUP($A2895,Load!$B:$B,Load!C:C,0,)</f>
        <v>Ferrara Variety Pack</v>
      </c>
      <c r="C2895" t="str">
        <f>_xlfn.XLOOKUP($A2895,Load!$B:$B,Load!D:D,0,)</f>
        <v>Non-Chocolate Candy Only</v>
      </c>
      <c r="D2895" t="str">
        <f>_xlfn.XLOOKUP($A2895,Load!$B:$B,Load!E:E,0,)</f>
        <v>Variety / Mixed Flavors (Fruity, Sour, Seasonal Flavors)</v>
      </c>
      <c r="E2895" t="str">
        <f>_xlfn.XLOOKUP($A2895,Load!$B:$B,Load!F:F,0,)</f>
        <v>Mixed / Combo Packs (Gummy, Chewy, Taffy, etc.)</v>
      </c>
      <c r="F2895" t="str">
        <f>_xlfn.XLOOKUP($A2895,Load!$B:$B,Load!G:G,0,)</f>
        <v>Small Multipack (Less than 40 ct)</v>
      </c>
      <c r="G2895" t="str">
        <f>_xlfn.XLOOKUP($A2895,Load!$B:$B,Load!H:H,0,)</f>
        <v>Laydown Bag</v>
      </c>
      <c r="H2895" t="str">
        <f>_xlfn.XLOOKUP($A2895,Load!$B:$B,Load!I:I,0,)</f>
        <v>Seasonal Shapes (like pumpkins, candy corn, ghost, bats, etc.)</v>
      </c>
      <c r="I2895" t="str">
        <f>_xlfn.XLOOKUP($A2895,Load!$B:$B,Load!J:J,0,)</f>
        <v>Seasonal Graphics (Like Bat, Ghost, Pumpkin, Fall Leaves, Eyeballs, etc.)</v>
      </c>
      <c r="J2895" t="str">
        <f>_xlfn.XLOOKUP($A2895,Load!$B:$B,Load!K:K,0,)</f>
        <v xml:space="preserve">Variety Candy Sizes </v>
      </c>
      <c r="K2895" t="str">
        <f>_xlfn.XLOOKUP($A2895,Load!$B:$B,Load!L:L,0,)</f>
        <v>Regular/Original Wrapping</v>
      </c>
      <c r="L2895" t="str">
        <f>_xlfn.XLOOKUP($A2895,Load!$B:$B,Load!M:M,0,)</f>
        <v>Multiple Brands / Variety Flavors or Form</v>
      </c>
    </row>
    <row r="2896" spans="1:12" x14ac:dyDescent="0.25">
      <c r="A2896" t="s">
        <v>185</v>
      </c>
      <c r="B2896" t="str">
        <f>_xlfn.XLOOKUP($A2896,Load!$B:$B,Load!C:C,0,)</f>
        <v>Mars Variety Pack</v>
      </c>
      <c r="C2896" t="str">
        <f>_xlfn.XLOOKUP($A2896,Load!$B:$B,Load!D:D,0,)</f>
        <v>Mix of Chocolate and Non-Chocolate Candy</v>
      </c>
      <c r="D2896" t="str">
        <f>_xlfn.XLOOKUP($A2896,Load!$B:$B,Load!E:E,0,)</f>
        <v>Variety / Mixed Flavors (Fruity, Sour, Seasonal Flavors)</v>
      </c>
      <c r="E2896" t="str">
        <f>_xlfn.XLOOKUP($A2896,Load!$B:$B,Load!F:F,0,)</f>
        <v>Mixed / Combo Packs (Gummy, Chewy, Taffy, etc.)</v>
      </c>
      <c r="F2896" t="str">
        <f>_xlfn.XLOOKUP($A2896,Load!$B:$B,Load!G:G,0,)</f>
        <v>Large Multipack (More than 80 ct)</v>
      </c>
      <c r="G2896" t="str">
        <f>_xlfn.XLOOKUP($A2896,Load!$B:$B,Load!H:H,0,)</f>
        <v>Stand-Up Bag</v>
      </c>
      <c r="H2896" t="str">
        <f>_xlfn.XLOOKUP($A2896,Load!$B:$B,Load!I:I,0,)</f>
        <v>Everyday Candy Shapes (like Original, Gummy bear, Fruit, Jewels, etc.)</v>
      </c>
      <c r="I2896" t="str">
        <f>_xlfn.XLOOKUP($A2896,Load!$B:$B,Load!J:J,0,)</f>
        <v>Seasonal Graphics (Like Bat, Ghost, Pumpkin, Fall Leaves, Eyeballs, etc.)</v>
      </c>
      <c r="J2896" t="str">
        <f>_xlfn.XLOOKUP($A2896,Load!$B:$B,Load!K:K,0,)</f>
        <v>Fun Size / Treat Size</v>
      </c>
      <c r="K2896" t="str">
        <f>_xlfn.XLOOKUP($A2896,Load!$B:$B,Load!L:L,0,)</f>
        <v>Regular/Original Wrapping</v>
      </c>
      <c r="L2896" t="str">
        <f>_xlfn.XLOOKUP($A2896,Load!$B:$B,Load!M:M,0,)</f>
        <v>Multiple Brands / Variety Flavors or Form</v>
      </c>
    </row>
    <row r="2897" spans="1:12" x14ac:dyDescent="0.25">
      <c r="A2897" t="s">
        <v>184</v>
      </c>
      <c r="B2897" t="str">
        <f>_xlfn.XLOOKUP($A2897,Load!$B:$B,Load!C:C,0,)</f>
        <v>Mars Variety Pack</v>
      </c>
      <c r="C2897" t="str">
        <f>_xlfn.XLOOKUP($A2897,Load!$B:$B,Load!D:D,0,)</f>
        <v>Mix of Chocolate and Non-Chocolate Candy</v>
      </c>
      <c r="D2897" t="str">
        <f>_xlfn.XLOOKUP($A2897,Load!$B:$B,Load!E:E,0,)</f>
        <v>Variety / Mixed Flavors (Fruity, Sour, Seasonal Flavors)</v>
      </c>
      <c r="E2897" t="str">
        <f>_xlfn.XLOOKUP($A2897,Load!$B:$B,Load!F:F,0,)</f>
        <v>Mixed / Combo Packs (Gummy, Chewy, Taffy, etc.)</v>
      </c>
      <c r="F2897" t="str">
        <f>_xlfn.XLOOKUP($A2897,Load!$B:$B,Load!G:G,0,)</f>
        <v>Large Multipack (More than 80 ct)</v>
      </c>
      <c r="G2897" t="str">
        <f>_xlfn.XLOOKUP($A2897,Load!$B:$B,Load!H:H,0,)</f>
        <v>Stand-Up Bag</v>
      </c>
      <c r="H2897" t="str">
        <f>_xlfn.XLOOKUP($A2897,Load!$B:$B,Load!I:I,0,)</f>
        <v>Everyday Candy Shapes (like Original, Gummy bear, Fruit, Jewels, etc.)</v>
      </c>
      <c r="I2897" t="str">
        <f>_xlfn.XLOOKUP($A2897,Load!$B:$B,Load!J:J,0,)</f>
        <v>Seasonal Graphics (Like Bat, Ghost, Pumpkin, Fall Leaves, Eyeballs, etc.)</v>
      </c>
      <c r="J2897" t="str">
        <f>_xlfn.XLOOKUP($A2897,Load!$B:$B,Load!K:K,0,)</f>
        <v>Fun Size / Treat Size</v>
      </c>
      <c r="K2897" t="str">
        <f>_xlfn.XLOOKUP($A2897,Load!$B:$B,Load!L:L,0,)</f>
        <v>Regular/Original Wrapping</v>
      </c>
      <c r="L2897" t="str">
        <f>_xlfn.XLOOKUP($A2897,Load!$B:$B,Load!M:M,0,)</f>
        <v>Multiple Brands / Variety Flavors or Form</v>
      </c>
    </row>
    <row r="2898" spans="1:12" x14ac:dyDescent="0.25">
      <c r="A2898" t="s">
        <v>202</v>
      </c>
      <c r="B2898" t="str">
        <f>_xlfn.XLOOKUP($A2898,Load!$B:$B,Load!C:C,0,)</f>
        <v>Mars Variety Pack</v>
      </c>
      <c r="C2898" t="str">
        <f>_xlfn.XLOOKUP($A2898,Load!$B:$B,Load!D:D,0,)</f>
        <v>Mix of Chocolate and Non-Chocolate Candy</v>
      </c>
      <c r="D2898" t="str">
        <f>_xlfn.XLOOKUP($A2898,Load!$B:$B,Load!E:E,0,)</f>
        <v>Variety / Mixed Flavors (Fruity, Sour, Seasonal Flavors)</v>
      </c>
      <c r="E2898" t="str">
        <f>_xlfn.XLOOKUP($A2898,Load!$B:$B,Load!F:F,0,)</f>
        <v>Mixed / Combo Packs (Gummy, Chewy, Taffy, etc.)</v>
      </c>
      <c r="F2898" t="str">
        <f>_xlfn.XLOOKUP($A2898,Load!$B:$B,Load!G:G,0,)</f>
        <v>Large Multipack (More than 80 ct)</v>
      </c>
      <c r="G2898" t="str">
        <f>_xlfn.XLOOKUP($A2898,Load!$B:$B,Load!H:H,0,)</f>
        <v>Stand-Up Bag</v>
      </c>
      <c r="H2898" t="str">
        <f>_xlfn.XLOOKUP($A2898,Load!$B:$B,Load!I:I,0,)</f>
        <v>Everyday Candy Shapes (like Original, Gummy bear, Fruit, Jewels, etc.)</v>
      </c>
      <c r="I2898" t="str">
        <f>_xlfn.XLOOKUP($A2898,Load!$B:$B,Load!J:J,0,)</f>
        <v>Everyday Graphics</v>
      </c>
      <c r="J2898" t="str">
        <f>_xlfn.XLOOKUP($A2898,Load!$B:$B,Load!K:K,0,)</f>
        <v>Fun Size / Treat Size</v>
      </c>
      <c r="K2898" t="str">
        <f>_xlfn.XLOOKUP($A2898,Load!$B:$B,Load!L:L,0,)</f>
        <v>Regular/Original Wrapping</v>
      </c>
      <c r="L2898" t="str">
        <f>_xlfn.XLOOKUP($A2898,Load!$B:$B,Load!M:M,0,)</f>
        <v>Multiple Brands / Variety Flavors or Form</v>
      </c>
    </row>
    <row r="2899" spans="1:12" x14ac:dyDescent="0.25">
      <c r="A2899" t="s">
        <v>186</v>
      </c>
      <c r="B2899" t="str">
        <f>_xlfn.XLOOKUP($A2899,Load!$B:$B,Load!C:C,0,)</f>
        <v>Mars Variety Pack</v>
      </c>
      <c r="C2899" t="str">
        <f>_xlfn.XLOOKUP($A2899,Load!$B:$B,Load!D:D,0,)</f>
        <v>Mix of Chocolate and Non-Chocolate Candy</v>
      </c>
      <c r="D2899" t="str">
        <f>_xlfn.XLOOKUP($A2899,Load!$B:$B,Load!E:E,0,)</f>
        <v>Variety / Mixed Flavors (Fruity, Sour, Seasonal Flavors)</v>
      </c>
      <c r="E2899" t="str">
        <f>_xlfn.XLOOKUP($A2899,Load!$B:$B,Load!F:F,0,)</f>
        <v>Mixed / Combo Packs (Gummy, Chewy, Taffy, etc.)</v>
      </c>
      <c r="F2899" t="str">
        <f>_xlfn.XLOOKUP($A2899,Load!$B:$B,Load!G:G,0,)</f>
        <v>Large Multipack (More than 80 ct)</v>
      </c>
      <c r="G2899" t="str">
        <f>_xlfn.XLOOKUP($A2899,Load!$B:$B,Load!H:H,0,)</f>
        <v>Stand-Up Bag</v>
      </c>
      <c r="H2899" t="str">
        <f>_xlfn.XLOOKUP($A2899,Load!$B:$B,Load!I:I,0,)</f>
        <v>Everyday Candy Shapes (like Original, Gummy bear, Fruit, Jewels, etc.)</v>
      </c>
      <c r="I2899" t="str">
        <f>_xlfn.XLOOKUP($A2899,Load!$B:$B,Load!J:J,0,)</f>
        <v>Seasonal Graphics (Like Bat, Ghost, Pumpkin, Fall Leaves, Eyeballs, etc.)</v>
      </c>
      <c r="J2899" t="str">
        <f>_xlfn.XLOOKUP($A2899,Load!$B:$B,Load!K:K,0,)</f>
        <v>Fun Size / Treat Size</v>
      </c>
      <c r="K2899" t="str">
        <f>_xlfn.XLOOKUP($A2899,Load!$B:$B,Load!L:L,0,)</f>
        <v>Regular/Original Wrapping</v>
      </c>
      <c r="L2899" t="str">
        <f>_xlfn.XLOOKUP($A2899,Load!$B:$B,Load!M:M,0,)</f>
        <v>Multiple Brands / Variety Flavors or Form</v>
      </c>
    </row>
    <row r="2900" spans="1:12" x14ac:dyDescent="0.25">
      <c r="A2900" t="s">
        <v>305</v>
      </c>
      <c r="B2900" t="str">
        <f>_xlfn.XLOOKUP($A2900,Load!$B:$B,Load!C:C,0,)</f>
        <v>Werther's Original</v>
      </c>
      <c r="C2900" t="str">
        <f>_xlfn.XLOOKUP($A2900,Load!$B:$B,Load!D:D,0,)</f>
        <v>Non-Chocolate Candy Only</v>
      </c>
      <c r="D2900" t="str">
        <f>_xlfn.XLOOKUP($A2900,Load!$B:$B,Load!E:E,0,)</f>
        <v>Fall / Seasonal Flavors (pumpkin spice, caramel apple, candy corn)</v>
      </c>
      <c r="E2900" t="str">
        <f>_xlfn.XLOOKUP($A2900,Load!$B:$B,Load!F:F,0,)</f>
        <v>Chewy</v>
      </c>
      <c r="F2900" t="str">
        <f>_xlfn.XLOOKUP($A2900,Load!$B:$B,Load!G:G,0,)</f>
        <v>Single Pack</v>
      </c>
      <c r="G2900" t="str">
        <f>_xlfn.XLOOKUP($A2900,Load!$B:$B,Load!H:H,0,)</f>
        <v>Stand-Up Bag</v>
      </c>
      <c r="H2900" t="str">
        <f>_xlfn.XLOOKUP($A2900,Load!$B:$B,Load!I:I,0,)</f>
        <v>Everyday Candy Shapes (like Original, Gummy bear, Fruit, Jewels, etc.)</v>
      </c>
      <c r="I2900" t="str">
        <f>_xlfn.XLOOKUP($A2900,Load!$B:$B,Load!J:J,0,)</f>
        <v>Seasonal Graphics (Like Bat, Ghost, Pumpkin, Fall Leaves, Eyeballs, etc.)</v>
      </c>
      <c r="J2900" t="str">
        <f>_xlfn.XLOOKUP($A2900,Load!$B:$B,Load!K:K,0,)</f>
        <v>Fun Size / Treat Size</v>
      </c>
      <c r="K2900" t="str">
        <f>_xlfn.XLOOKUP($A2900,Load!$B:$B,Load!L:L,0,)</f>
        <v>Regular/Original Wrapping</v>
      </c>
      <c r="L2900" t="str">
        <f>_xlfn.XLOOKUP($A2900,Load!$B:$B,Load!M:M,0,)</f>
        <v>Single Brand / Single Flavor or Form</v>
      </c>
    </row>
    <row r="2901" spans="1:12" x14ac:dyDescent="0.25">
      <c r="A2901" t="s">
        <v>310</v>
      </c>
      <c r="B2901" t="str">
        <f>_xlfn.XLOOKUP($A2901,Load!$B:$B,Load!C:C,0,)</f>
        <v>Werther's Original</v>
      </c>
      <c r="C2901" t="str">
        <f>_xlfn.XLOOKUP($A2901,Load!$B:$B,Load!D:D,0,)</f>
        <v>Non-Chocolate Candy Only</v>
      </c>
      <c r="D2901" t="str">
        <f>_xlfn.XLOOKUP($A2901,Load!$B:$B,Load!E:E,0,)</f>
        <v>Fall / Seasonal Flavors (pumpkin spice, caramel apple, candy corn)</v>
      </c>
      <c r="E2901" t="str">
        <f>_xlfn.XLOOKUP($A2901,Load!$B:$B,Load!F:F,0,)</f>
        <v>Hard Candy</v>
      </c>
      <c r="F2901" t="str">
        <f>_xlfn.XLOOKUP($A2901,Load!$B:$B,Load!G:G,0,)</f>
        <v>Single Pack</v>
      </c>
      <c r="G2901" t="str">
        <f>_xlfn.XLOOKUP($A2901,Load!$B:$B,Load!H:H,0,)</f>
        <v>Laydown Bag</v>
      </c>
      <c r="H2901" t="str">
        <f>_xlfn.XLOOKUP($A2901,Load!$B:$B,Load!I:I,0,)</f>
        <v>Everyday Candy Shapes (like Original, Gummy bear, Fruit, Jewels, etc.)</v>
      </c>
      <c r="I2901" t="str">
        <f>_xlfn.XLOOKUP($A2901,Load!$B:$B,Load!J:J,0,)</f>
        <v>Seasonal Graphics (Like Bat, Ghost, Pumpkin, Fall Leaves, Eyeballs, etc.)</v>
      </c>
      <c r="J2901" t="str">
        <f>_xlfn.XLOOKUP($A2901,Load!$B:$B,Load!K:K,0,)</f>
        <v>Fun Size / Treat Size</v>
      </c>
      <c r="K2901" t="str">
        <f>_xlfn.XLOOKUP($A2901,Load!$B:$B,Load!L:L,0,)</f>
        <v>Regular/Original Wrapping</v>
      </c>
      <c r="L2901" t="str">
        <f>_xlfn.XLOOKUP($A2901,Load!$B:$B,Load!M:M,0,)</f>
        <v>Single Brand / Single Flavor or Form</v>
      </c>
    </row>
    <row r="2902" spans="1:12" x14ac:dyDescent="0.25">
      <c r="A2902" t="s">
        <v>203</v>
      </c>
      <c r="B2902" t="str">
        <f>_xlfn.XLOOKUP($A2902,Load!$B:$B,Load!C:C,0,)</f>
        <v>Mars Variety Pack</v>
      </c>
      <c r="C2902" t="str">
        <f>_xlfn.XLOOKUP($A2902,Load!$B:$B,Load!D:D,0,)</f>
        <v>Mix of Chocolate and Non-Chocolate Candy</v>
      </c>
      <c r="D2902" t="str">
        <f>_xlfn.XLOOKUP($A2902,Load!$B:$B,Load!E:E,0,)</f>
        <v>Variety / Mixed Flavors (Fruity, Sour, Seasonal Flavors)</v>
      </c>
      <c r="E2902" t="str">
        <f>_xlfn.XLOOKUP($A2902,Load!$B:$B,Load!F:F,0,)</f>
        <v>Mixed / Combo Packs (Gummy, Chewy, Taffy, etc.)</v>
      </c>
      <c r="F2902" t="str">
        <f>_xlfn.XLOOKUP($A2902,Load!$B:$B,Load!G:G,0,)</f>
        <v>Small Multipack (Less than 40 ct)</v>
      </c>
      <c r="G2902" t="str">
        <f>_xlfn.XLOOKUP($A2902,Load!$B:$B,Load!H:H,0,)</f>
        <v>Box (theatre box, gift box, carton)</v>
      </c>
      <c r="H2902" t="str">
        <f>_xlfn.XLOOKUP($A2902,Load!$B:$B,Load!I:I,0,)</f>
        <v>Everyday Candy Shapes (like Original, Gummy bear, Fruit, Jewels, etc.)</v>
      </c>
      <c r="I2902" t="str">
        <f>_xlfn.XLOOKUP($A2902,Load!$B:$B,Load!J:J,0,)</f>
        <v>Everyday Graphics</v>
      </c>
      <c r="J2902" t="str">
        <f>_xlfn.XLOOKUP($A2902,Load!$B:$B,Load!K:K,0,)</f>
        <v>Fun Size / Treat Size</v>
      </c>
      <c r="K2902" t="str">
        <f>_xlfn.XLOOKUP($A2902,Load!$B:$B,Load!L:L,0,)</f>
        <v>Regular/Original Wrapping</v>
      </c>
      <c r="L2902" t="str">
        <f>_xlfn.XLOOKUP($A2902,Load!$B:$B,Load!M:M,0,)</f>
        <v>Multiple Brands / Variety Flavors or Form</v>
      </c>
    </row>
    <row r="2903" spans="1:12" x14ac:dyDescent="0.25">
      <c r="A2903" t="s">
        <v>199</v>
      </c>
      <c r="B2903" t="str">
        <f>_xlfn.XLOOKUP($A2903,Load!$B:$B,Load!C:C,0,)</f>
        <v>Mars Variety Pack</v>
      </c>
      <c r="C2903" t="str">
        <f>_xlfn.XLOOKUP($A2903,Load!$B:$B,Load!D:D,0,)</f>
        <v>Non-Chocolate Candy Only</v>
      </c>
      <c r="D2903" t="str">
        <f>_xlfn.XLOOKUP($A2903,Load!$B:$B,Load!E:E,0,)</f>
        <v>Variety / Mixed Flavors (Fruity, Sour, Seasonal Flavors)</v>
      </c>
      <c r="E2903" t="str">
        <f>_xlfn.XLOOKUP($A2903,Load!$B:$B,Load!F:F,0,)</f>
        <v>Mixed / Combo Packs (Gummy, Chewy, Taffy, etc.)</v>
      </c>
      <c r="F2903" t="str">
        <f>_xlfn.XLOOKUP($A2903,Load!$B:$B,Load!G:G,0,)</f>
        <v>Small Multipack (Less than 40 ct)</v>
      </c>
      <c r="G2903" t="str">
        <f>_xlfn.XLOOKUP($A2903,Load!$B:$B,Load!H:H,0,)</f>
        <v>Laydown Bag</v>
      </c>
      <c r="H2903" t="str">
        <f>_xlfn.XLOOKUP($A2903,Load!$B:$B,Load!I:I,0,)</f>
        <v>Everyday Candy Shapes (like Original, Gummy bear, Fruit, Jewels, etc.)</v>
      </c>
      <c r="I2903" t="str">
        <f>_xlfn.XLOOKUP($A2903,Load!$B:$B,Load!J:J,0,)</f>
        <v>Seasonal Graphics (Like Bat, Ghost, Pumpkin, Fall Leaves, Eyeballs, etc.)</v>
      </c>
      <c r="J2903" t="str">
        <f>_xlfn.XLOOKUP($A2903,Load!$B:$B,Load!K:K,0,)</f>
        <v>Fun Size / Treat Size</v>
      </c>
      <c r="K2903" t="str">
        <f>_xlfn.XLOOKUP($A2903,Load!$B:$B,Load!L:L,0,)</f>
        <v>Regular/Original Wrapping</v>
      </c>
      <c r="L2903" t="str">
        <f>_xlfn.XLOOKUP($A2903,Load!$B:$B,Load!M:M,0,)</f>
        <v>Multiple Brands / Variety Flavors or Form</v>
      </c>
    </row>
    <row r="2904" spans="1:12" x14ac:dyDescent="0.25">
      <c r="A2904" t="s">
        <v>218</v>
      </c>
      <c r="B2904" t="str">
        <f>_xlfn.XLOOKUP($A2904,Load!$B:$B,Load!C:C,0,)</f>
        <v>Mondelez Variety Pack</v>
      </c>
      <c r="C2904" t="str">
        <f>_xlfn.XLOOKUP($A2904,Load!$B:$B,Load!D:D,0,)</f>
        <v>Non-Chocolate Candy Only</v>
      </c>
      <c r="D2904" t="str">
        <f>_xlfn.XLOOKUP($A2904,Load!$B:$B,Load!E:E,0,)</f>
        <v>Sour</v>
      </c>
      <c r="E2904" t="str">
        <f>_xlfn.XLOOKUP($A2904,Load!$B:$B,Load!F:F,0,)</f>
        <v>Mixed / Combo Packs (Gummy, Chewy, Taffy, etc.)</v>
      </c>
      <c r="F2904" t="str">
        <f>_xlfn.XLOOKUP($A2904,Load!$B:$B,Load!G:G,0,)</f>
        <v>Large Multipack (More than 80 ct)</v>
      </c>
      <c r="G2904" t="str">
        <f>_xlfn.XLOOKUP($A2904,Load!$B:$B,Load!H:H,0,)</f>
        <v>Stand-Up Bag</v>
      </c>
      <c r="H2904" t="str">
        <f>_xlfn.XLOOKUP($A2904,Load!$B:$B,Load!I:I,0,)</f>
        <v>Seasonal Shapes (like pumpkins, candy corn, ghost, bats, etc.)</v>
      </c>
      <c r="I2904" t="str">
        <f>_xlfn.XLOOKUP($A2904,Load!$B:$B,Load!J:J,0,)</f>
        <v>Seasonal Graphics (Like Bat, Ghost, Pumpkin, Fall Leaves, Eyeballs, etc.)</v>
      </c>
      <c r="J2904" t="str">
        <f>_xlfn.XLOOKUP($A2904,Load!$B:$B,Load!K:K,0,)</f>
        <v>Small Pieces (Tiny bite size candies)</v>
      </c>
      <c r="K2904" t="str">
        <f>_xlfn.XLOOKUP($A2904,Load!$B:$B,Load!L:L,0,)</f>
        <v>Regular/Original Wrapping</v>
      </c>
      <c r="L2904" t="str">
        <f>_xlfn.XLOOKUP($A2904,Load!$B:$B,Load!M:M,0,)</f>
        <v>Multiple Brands / Variety Flavors or Form</v>
      </c>
    </row>
    <row r="2905" spans="1:12" x14ac:dyDescent="0.25">
      <c r="A2905" t="s">
        <v>140</v>
      </c>
      <c r="B2905" t="str">
        <f>_xlfn.XLOOKUP($A2905,Load!$B:$B,Load!C:C,0,)</f>
        <v>Hershey's Variety Pack + Haribo</v>
      </c>
      <c r="C2905" t="str">
        <f>_xlfn.XLOOKUP($A2905,Load!$B:$B,Load!D:D,0,)</f>
        <v>Mix of Chocolate and Non-Chocolate Candy</v>
      </c>
      <c r="D2905" t="str">
        <f>_xlfn.XLOOKUP($A2905,Load!$B:$B,Load!E:E,0,)</f>
        <v>Variety / Mixed Flavors (Fruity, Sour, Seasonal Flavors)</v>
      </c>
      <c r="E2905" t="str">
        <f>_xlfn.XLOOKUP($A2905,Load!$B:$B,Load!F:F,0,)</f>
        <v>Mixed / Combo Packs (Gummy, Chewy, Taffy, etc.)</v>
      </c>
      <c r="F2905" t="str">
        <f>_xlfn.XLOOKUP($A2905,Load!$B:$B,Load!G:G,0,)</f>
        <v>Large Multipack (More than 80 ct)</v>
      </c>
      <c r="G2905" t="str">
        <f>_xlfn.XLOOKUP($A2905,Load!$B:$B,Load!H:H,0,)</f>
        <v>Stand-Up Bag</v>
      </c>
      <c r="H2905" t="str">
        <f>_xlfn.XLOOKUP($A2905,Load!$B:$B,Load!I:I,0,)</f>
        <v>Everyday Candy Shapes (like Original, Gummy bear, Fruit, Jewels, etc.)</v>
      </c>
      <c r="I2905" t="str">
        <f>_xlfn.XLOOKUP($A2905,Load!$B:$B,Load!J:J,0,)</f>
        <v>Seasonal Graphics (Like Bat, Ghost, Pumpkin, Fall Leaves, Eyeballs, etc.)</v>
      </c>
      <c r="J2905" t="str">
        <f>_xlfn.XLOOKUP($A2905,Load!$B:$B,Load!K:K,0,)</f>
        <v xml:space="preserve">Variety Candy Sizes </v>
      </c>
      <c r="K2905" t="str">
        <f>_xlfn.XLOOKUP($A2905,Load!$B:$B,Load!L:L,0,)</f>
        <v>Regular/Original Wrapping</v>
      </c>
      <c r="L2905" t="str">
        <f>_xlfn.XLOOKUP($A2905,Load!$B:$B,Load!M:M,0,)</f>
        <v>Multiple Brands / Variety Flavors or Form</v>
      </c>
    </row>
    <row r="2906" spans="1:12" x14ac:dyDescent="0.25">
      <c r="B2906">
        <f>_xlfn.XLOOKUP($A2906,Load!$B:$B,Load!C:C,0,)</f>
        <v>0</v>
      </c>
      <c r="C2906">
        <f>_xlfn.XLOOKUP($A2906,Load!$B:$B,Load!D:D,0,)</f>
        <v>0</v>
      </c>
      <c r="D2906">
        <f>_xlfn.XLOOKUP($A2906,Load!$B:$B,Load!E:E,0,)</f>
        <v>0</v>
      </c>
      <c r="E2906">
        <f>_xlfn.XLOOKUP($A2906,Load!$B:$B,Load!F:F,0,)</f>
        <v>0</v>
      </c>
      <c r="F2906">
        <f>_xlfn.XLOOKUP($A2906,Load!$B:$B,Load!G:G,0,)</f>
        <v>0</v>
      </c>
      <c r="G2906">
        <f>_xlfn.XLOOKUP($A2906,Load!$B:$B,Load!H:H,0,)</f>
        <v>0</v>
      </c>
      <c r="H2906">
        <f>_xlfn.XLOOKUP($A2906,Load!$B:$B,Load!I:I,0,)</f>
        <v>0</v>
      </c>
      <c r="I2906">
        <f>_xlfn.XLOOKUP($A2906,Load!$B:$B,Load!J:J,0,)</f>
        <v>0</v>
      </c>
      <c r="J2906">
        <f>_xlfn.XLOOKUP($A2906,Load!$B:$B,Load!K:K,0,)</f>
        <v>0</v>
      </c>
      <c r="K2906">
        <f>_xlfn.XLOOKUP($A2906,Load!$B:$B,Load!L:L,0,)</f>
        <v>0</v>
      </c>
      <c r="L2906">
        <f>_xlfn.XLOOKUP($A2906,Load!$B:$B,Load!M:M,0,)</f>
        <v>0</v>
      </c>
    </row>
    <row r="2907" spans="1:12" x14ac:dyDescent="0.25">
      <c r="B2907">
        <f>_xlfn.XLOOKUP($A2907,Load!$B:$B,Load!C:C,0,)</f>
        <v>0</v>
      </c>
      <c r="C2907">
        <f>_xlfn.XLOOKUP($A2907,Load!$B:$B,Load!D:D,0,)</f>
        <v>0</v>
      </c>
      <c r="D2907">
        <f>_xlfn.XLOOKUP($A2907,Load!$B:$B,Load!E:E,0,)</f>
        <v>0</v>
      </c>
      <c r="E2907">
        <f>_xlfn.XLOOKUP($A2907,Load!$B:$B,Load!F:F,0,)</f>
        <v>0</v>
      </c>
      <c r="F2907">
        <f>_xlfn.XLOOKUP($A2907,Load!$B:$B,Load!G:G,0,)</f>
        <v>0</v>
      </c>
      <c r="G2907">
        <f>_xlfn.XLOOKUP($A2907,Load!$B:$B,Load!H:H,0,)</f>
        <v>0</v>
      </c>
      <c r="H2907">
        <f>_xlfn.XLOOKUP($A2907,Load!$B:$B,Load!I:I,0,)</f>
        <v>0</v>
      </c>
      <c r="I2907">
        <f>_xlfn.XLOOKUP($A2907,Load!$B:$B,Load!J:J,0,)</f>
        <v>0</v>
      </c>
      <c r="J2907">
        <f>_xlfn.XLOOKUP($A2907,Load!$B:$B,Load!K:K,0,)</f>
        <v>0</v>
      </c>
      <c r="K2907">
        <f>_xlfn.XLOOKUP($A2907,Load!$B:$B,Load!L:L,0,)</f>
        <v>0</v>
      </c>
      <c r="L2907">
        <f>_xlfn.XLOOKUP($A2907,Load!$B:$B,Load!M:M,0,)</f>
        <v>0</v>
      </c>
    </row>
    <row r="2908" spans="1:12" x14ac:dyDescent="0.25">
      <c r="A2908" t="s">
        <v>171</v>
      </c>
      <c r="B2908" t="str">
        <f>_xlfn.XLOOKUP($A2908,Load!$B:$B,Load!C:C,0,)</f>
        <v>Mamba</v>
      </c>
      <c r="C2908" t="str">
        <f>_xlfn.XLOOKUP($A2908,Load!$B:$B,Load!D:D,0,)</f>
        <v>Non-Chocolate Candy Only</v>
      </c>
      <c r="D2908" t="str">
        <f>_xlfn.XLOOKUP($A2908,Load!$B:$B,Load!E:E,0,)</f>
        <v>Fruit Flavor (Cherry, Grape, Apple, Citrus, Tropical Fruit)</v>
      </c>
      <c r="E2908" t="str">
        <f>_xlfn.XLOOKUP($A2908,Load!$B:$B,Load!F:F,0,)</f>
        <v>Chewy</v>
      </c>
      <c r="F2908" t="str">
        <f>_xlfn.XLOOKUP($A2908,Load!$B:$B,Load!G:G,0,)</f>
        <v>Large Multipack (More than 80 ct)</v>
      </c>
      <c r="G2908" t="str">
        <f>_xlfn.XLOOKUP($A2908,Load!$B:$B,Load!H:H,0,)</f>
        <v>Stand-Up Bag</v>
      </c>
      <c r="H2908" t="str">
        <f>_xlfn.XLOOKUP($A2908,Load!$B:$B,Load!I:I,0,)</f>
        <v>Seasonal Shapes (like pumpkins, candy corn, ghost, bats, etc.)</v>
      </c>
      <c r="I2908" t="str">
        <f>_xlfn.XLOOKUP($A2908,Load!$B:$B,Load!J:J,0,)</f>
        <v>Seasonal Graphics (Like Bat, Ghost, Pumpkin, Fall Leaves, Eyeballs, etc.)</v>
      </c>
      <c r="J2908" t="str">
        <f>_xlfn.XLOOKUP($A2908,Load!$B:$B,Load!K:K,0,)</f>
        <v>Fun Size / Treat Size</v>
      </c>
      <c r="K2908" t="str">
        <f>_xlfn.XLOOKUP($A2908,Load!$B:$B,Load!L:L,0,)</f>
        <v>Regular/Original Wrapping</v>
      </c>
      <c r="L2908" t="str">
        <f>_xlfn.XLOOKUP($A2908,Load!$B:$B,Load!M:M,0,)</f>
        <v>Single Brand / Variety Flavors or Form</v>
      </c>
    </row>
    <row r="2909" spans="1:12" x14ac:dyDescent="0.25">
      <c r="A2909" t="s">
        <v>220</v>
      </c>
      <c r="B2909" t="str">
        <f>_xlfn.XLOOKUP($A2909,Load!$B:$B,Load!C:C,0,)</f>
        <v>Mondelez Variety Pack</v>
      </c>
      <c r="C2909" t="str">
        <f>_xlfn.XLOOKUP($A2909,Load!$B:$B,Load!D:D,0,)</f>
        <v>Non-Chocolate Candy Only</v>
      </c>
      <c r="D2909" t="str">
        <f>_xlfn.XLOOKUP($A2909,Load!$B:$B,Load!E:E,0,)</f>
        <v>Variety / Mixed Flavors (Fruity, Sour, Seasonal Flavors)</v>
      </c>
      <c r="E2909" t="str">
        <f>_xlfn.XLOOKUP($A2909,Load!$B:$B,Load!F:F,0,)</f>
        <v>Chewy</v>
      </c>
      <c r="F2909" t="str">
        <f>_xlfn.XLOOKUP($A2909,Load!$B:$B,Load!G:G,0,)</f>
        <v>Large Multipack (More than 80 ct)</v>
      </c>
      <c r="G2909" t="str">
        <f>_xlfn.XLOOKUP($A2909,Load!$B:$B,Load!H:H,0,)</f>
        <v>Stand-Up Bag</v>
      </c>
      <c r="H2909" t="str">
        <f>_xlfn.XLOOKUP($A2909,Load!$B:$B,Load!I:I,0,)</f>
        <v>Seasonal Shapes (like pumpkins, candy corn, ghost, bats, etc.)</v>
      </c>
      <c r="I2909" t="str">
        <f>_xlfn.XLOOKUP($A2909,Load!$B:$B,Load!J:J,0,)</f>
        <v>Seasonal Graphics (Like Bat, Ghost, Pumpkin, Fall Leaves, Eyeballs, etc.)</v>
      </c>
      <c r="J2909" t="str">
        <f>_xlfn.XLOOKUP($A2909,Load!$B:$B,Load!K:K,0,)</f>
        <v>Small Pieces (Tiny bite size candies)</v>
      </c>
      <c r="K2909" t="str">
        <f>_xlfn.XLOOKUP($A2909,Load!$B:$B,Load!L:L,0,)</f>
        <v>Regular/Original Wrapping</v>
      </c>
      <c r="L2909" t="str">
        <f>_xlfn.XLOOKUP($A2909,Load!$B:$B,Load!M:M,0,)</f>
        <v>Single Brand / Variety Flavors or Form</v>
      </c>
    </row>
    <row r="2910" spans="1:12" x14ac:dyDescent="0.25">
      <c r="A2910" t="s">
        <v>242</v>
      </c>
      <c r="B2910" t="str">
        <f>_xlfn.XLOOKUP($A2910,Load!$B:$B,Load!C:C,0,)</f>
        <v>Peeps</v>
      </c>
      <c r="C2910" t="str">
        <f>_xlfn.XLOOKUP($A2910,Load!$B:$B,Load!D:D,0,)</f>
        <v>Non-Chocolate Candy Only</v>
      </c>
      <c r="D2910" t="str">
        <f>_xlfn.XLOOKUP($A2910,Load!$B:$B,Load!E:E,0,)</f>
        <v>Sweet</v>
      </c>
      <c r="E2910" t="str">
        <f>_xlfn.XLOOKUP($A2910,Load!$B:$B,Load!F:F,0,)</f>
        <v>Foamy / Aerated / Freeze Dried</v>
      </c>
      <c r="F2910" t="str">
        <f>_xlfn.XLOOKUP($A2910,Load!$B:$B,Load!G:G,0,)</f>
        <v>Single Pack</v>
      </c>
      <c r="G2910" t="str">
        <f>_xlfn.XLOOKUP($A2910,Load!$B:$B,Load!H:H,0,)</f>
        <v>Box (theatre box, gift box, carton)</v>
      </c>
      <c r="H2910" t="str">
        <f>_xlfn.XLOOKUP($A2910,Load!$B:$B,Load!I:I,0,)</f>
        <v>Seasonal Shapes (like pumpkins, candy corn, ghost, bats, etc.)</v>
      </c>
      <c r="I2910" t="str">
        <f>_xlfn.XLOOKUP($A2910,Load!$B:$B,Load!J:J,0,)</f>
        <v>Seasonal Graphics (Like Bat, Ghost, Pumpkin, Fall Leaves, Eyeballs, etc.)</v>
      </c>
      <c r="J2910" t="str">
        <f>_xlfn.XLOOKUP($A2910,Load!$B:$B,Load!K:K,0,)</f>
        <v>Fun Size / Treat Size</v>
      </c>
      <c r="K2910" t="str">
        <f>_xlfn.XLOOKUP($A2910,Load!$B:$B,Load!L:L,0,)</f>
        <v>Unwrapped</v>
      </c>
      <c r="L2910" t="str">
        <f>_xlfn.XLOOKUP($A2910,Load!$B:$B,Load!M:M,0,)</f>
        <v>Single Brand / Single Flavor or Form</v>
      </c>
    </row>
    <row r="2911" spans="1:12" x14ac:dyDescent="0.25">
      <c r="A2911" t="s">
        <v>468</v>
      </c>
      <c r="B2911" t="str">
        <f>_xlfn.XLOOKUP($A2911,Load!$B:$B,Load!C:C,0,)</f>
        <v>Brach's</v>
      </c>
      <c r="C2911" t="str">
        <f>_xlfn.XLOOKUP($A2911,Load!$B:$B,Load!D:D,0,)</f>
        <v>Non-Chocolate Candy Only</v>
      </c>
      <c r="D2911" t="str">
        <f>_xlfn.XLOOKUP($A2911,Load!$B:$B,Load!E:E,0,)</f>
        <v>Fall / Seasonal Flavors (pumpkin spice, caramel apple, candy corn)</v>
      </c>
      <c r="E2911" t="str">
        <f>_xlfn.XLOOKUP($A2911,Load!$B:$B,Load!F:F,0,)</f>
        <v>Candy Pieces / Bites</v>
      </c>
      <c r="F2911" t="str">
        <f>_xlfn.XLOOKUP($A2911,Load!$B:$B,Load!G:G,0,)</f>
        <v>Single Pack</v>
      </c>
      <c r="G2911" t="str">
        <f>_xlfn.XLOOKUP($A2911,Load!$B:$B,Load!H:H,0,)</f>
        <v>Laydown Bag</v>
      </c>
      <c r="H2911" t="str">
        <f>_xlfn.XLOOKUP($A2911,Load!$B:$B,Load!I:I,0,)</f>
        <v>Seasonal Shapes (like pumpkins, candy corn, ghost, bats, etc.)</v>
      </c>
      <c r="I2911" t="str">
        <f>_xlfn.XLOOKUP($A2911,Load!$B:$B,Load!J:J,0,)</f>
        <v>Seasonal Graphics (Like Bat, Ghost, Pumpkin, Fall Leaves, Eyeballs, etc.)</v>
      </c>
      <c r="J2911" t="str">
        <f>_xlfn.XLOOKUP($A2911,Load!$B:$B,Load!K:K,0,)</f>
        <v>Small Pieces (Tiny bite size candies)</v>
      </c>
      <c r="K2911" t="str">
        <f>_xlfn.XLOOKUP($A2911,Load!$B:$B,Load!L:L,0,)</f>
        <v>Unwrapped</v>
      </c>
      <c r="L2911" t="str">
        <f>_xlfn.XLOOKUP($A2911,Load!$B:$B,Load!M:M,0,)</f>
        <v>Single Brand / Single Flavor or Form</v>
      </c>
    </row>
    <row r="2912" spans="1:12" x14ac:dyDescent="0.25">
      <c r="A2912" t="s">
        <v>471</v>
      </c>
      <c r="B2912" t="str">
        <f>_xlfn.XLOOKUP($A2912,Load!$B:$B,Load!C:C,0,)</f>
        <v>Airheads</v>
      </c>
      <c r="C2912" t="str">
        <f>_xlfn.XLOOKUP($A2912,Load!$B:$B,Load!D:D,0,)</f>
        <v>Non-Chocolate Candy Only</v>
      </c>
      <c r="D2912" t="str">
        <f>_xlfn.XLOOKUP($A2912,Load!$B:$B,Load!E:E,0,)</f>
        <v>Fruit Flavor (Cherry, Grape, Apple, Citrus, Tropical Fruit)</v>
      </c>
      <c r="E2912" t="str">
        <f>_xlfn.XLOOKUP($A2912,Load!$B:$B,Load!F:F,0,)</f>
        <v>Candy Pieces / Bites</v>
      </c>
      <c r="F2912" t="str">
        <f>_xlfn.XLOOKUP($A2912,Load!$B:$B,Load!G:G,0,)</f>
        <v>Small Multipack (Less than 40 ct)</v>
      </c>
      <c r="G2912" t="str">
        <f>_xlfn.XLOOKUP($A2912,Load!$B:$B,Load!H:H,0,)</f>
        <v>Box (theatre box, gift box, carton)</v>
      </c>
      <c r="H2912" t="str">
        <f>_xlfn.XLOOKUP($A2912,Load!$B:$B,Load!I:I,0,)</f>
        <v>Everyday Candy Shapes (like Original, Gummy bear, Fruit, Jewels, etc.)</v>
      </c>
      <c r="I2912" t="str">
        <f>_xlfn.XLOOKUP($A2912,Load!$B:$B,Load!J:J,0,)</f>
        <v>Everyday Graphics</v>
      </c>
      <c r="J2912" t="str">
        <f>_xlfn.XLOOKUP($A2912,Load!$B:$B,Load!K:K,0,)</f>
        <v>Small Pieces (Tiny bite size candies)</v>
      </c>
      <c r="K2912" t="str">
        <f>_xlfn.XLOOKUP($A2912,Load!$B:$B,Load!L:L,0,)</f>
        <v>Regular/Original Wrapping</v>
      </c>
      <c r="L2912" t="str">
        <f>_xlfn.XLOOKUP($A2912,Load!$B:$B,Load!M:M,0,)</f>
        <v>Single Brand / Variety Flavors or Form</v>
      </c>
    </row>
    <row r="2913" spans="1:12" x14ac:dyDescent="0.25">
      <c r="B2913">
        <f>_xlfn.XLOOKUP($A2913,Load!$B:$B,Load!C:C,0,)</f>
        <v>0</v>
      </c>
      <c r="C2913">
        <f>_xlfn.XLOOKUP($A2913,Load!$B:$B,Load!D:D,0,)</f>
        <v>0</v>
      </c>
      <c r="D2913">
        <f>_xlfn.XLOOKUP($A2913,Load!$B:$B,Load!E:E,0,)</f>
        <v>0</v>
      </c>
      <c r="E2913">
        <f>_xlfn.XLOOKUP($A2913,Load!$B:$B,Load!F:F,0,)</f>
        <v>0</v>
      </c>
      <c r="F2913">
        <f>_xlfn.XLOOKUP($A2913,Load!$B:$B,Load!G:G,0,)</f>
        <v>0</v>
      </c>
      <c r="G2913">
        <f>_xlfn.XLOOKUP($A2913,Load!$B:$B,Load!H:H,0,)</f>
        <v>0</v>
      </c>
      <c r="H2913">
        <f>_xlfn.XLOOKUP($A2913,Load!$B:$B,Load!I:I,0,)</f>
        <v>0</v>
      </c>
      <c r="I2913">
        <f>_xlfn.XLOOKUP($A2913,Load!$B:$B,Load!J:J,0,)</f>
        <v>0</v>
      </c>
      <c r="J2913">
        <f>_xlfn.XLOOKUP($A2913,Load!$B:$B,Load!K:K,0,)</f>
        <v>0</v>
      </c>
      <c r="K2913">
        <f>_xlfn.XLOOKUP($A2913,Load!$B:$B,Load!L:L,0,)</f>
        <v>0</v>
      </c>
      <c r="L2913">
        <f>_xlfn.XLOOKUP($A2913,Load!$B:$B,Load!M:M,0,)</f>
        <v>0</v>
      </c>
    </row>
    <row r="2914" spans="1:12" x14ac:dyDescent="0.25">
      <c r="A2914" t="s">
        <v>124</v>
      </c>
      <c r="B2914" t="str">
        <f>_xlfn.XLOOKUP($A2914,Load!$B:$B,Load!C:C,0,)</f>
        <v>HARIBO</v>
      </c>
      <c r="C2914" t="str">
        <f>_xlfn.XLOOKUP($A2914,Load!$B:$B,Load!D:D,0,)</f>
        <v>Non-Chocolate Candy Only</v>
      </c>
      <c r="D2914" t="str">
        <f>_xlfn.XLOOKUP($A2914,Load!$B:$B,Load!E:E,0,)</f>
        <v>Fruit Flavor (Cherry, Grape, Apple, Citrus, Tropical Fruit)</v>
      </c>
      <c r="E2914" t="str">
        <f>_xlfn.XLOOKUP($A2914,Load!$B:$B,Load!F:F,0,)</f>
        <v>Gummy</v>
      </c>
      <c r="F2914" t="str">
        <f>_xlfn.XLOOKUP($A2914,Load!$B:$B,Load!G:G,0,)</f>
        <v>Small Multipack (Less than 40 ct)</v>
      </c>
      <c r="G2914" t="str">
        <f>_xlfn.XLOOKUP($A2914,Load!$B:$B,Load!H:H,0,)</f>
        <v>Laydown Bag</v>
      </c>
      <c r="H2914" t="str">
        <f>_xlfn.XLOOKUP($A2914,Load!$B:$B,Load!I:I,0,)</f>
        <v>Everyday Candy Shapes (like Original, Gummy bear, Fruit, Jewels, etc.)</v>
      </c>
      <c r="I2914" t="str">
        <f>_xlfn.XLOOKUP($A2914,Load!$B:$B,Load!J:J,0,)</f>
        <v>Everyday Graphics</v>
      </c>
      <c r="J2914" t="str">
        <f>_xlfn.XLOOKUP($A2914,Load!$B:$B,Load!K:K,0,)</f>
        <v>Small Pieces (Tiny bite size candies)</v>
      </c>
      <c r="K2914" t="str">
        <f>_xlfn.XLOOKUP($A2914,Load!$B:$B,Load!L:L,0,)</f>
        <v>Regular/Original Wrapping</v>
      </c>
      <c r="L2914" t="str">
        <f>_xlfn.XLOOKUP($A2914,Load!$B:$B,Load!M:M,0,)</f>
        <v>Single Brand / Variety Flavors or Form</v>
      </c>
    </row>
    <row r="2915" spans="1:12" x14ac:dyDescent="0.25">
      <c r="A2915" t="s">
        <v>151</v>
      </c>
      <c r="B2915" t="str">
        <f>_xlfn.XLOOKUP($A2915,Load!$B:$B,Load!C:C,0,)</f>
        <v>Jolly Rancher</v>
      </c>
      <c r="C2915" t="str">
        <f>_xlfn.XLOOKUP($A2915,Load!$B:$B,Load!D:D,0,)</f>
        <v>Non-Chocolate Candy Only</v>
      </c>
      <c r="D2915" t="str">
        <f>_xlfn.XLOOKUP($A2915,Load!$B:$B,Load!E:E,0,)</f>
        <v>Variety / Mixed Flavors (Fruity, Sour, Seasonal Flavors)</v>
      </c>
      <c r="E2915" t="str">
        <f>_xlfn.XLOOKUP($A2915,Load!$B:$B,Load!F:F,0,)</f>
        <v>Gummy</v>
      </c>
      <c r="F2915" t="str">
        <f>_xlfn.XLOOKUP($A2915,Load!$B:$B,Load!G:G,0,)</f>
        <v>Small Multipack (Less than 40 ct)</v>
      </c>
      <c r="G2915" t="str">
        <f>_xlfn.XLOOKUP($A2915,Load!$B:$B,Load!H:H,0,)</f>
        <v>Laydown Bag</v>
      </c>
      <c r="H2915" t="str">
        <f>_xlfn.XLOOKUP($A2915,Load!$B:$B,Load!I:I,0,)</f>
        <v>Everyday Candy Shapes (like Original, Gummy bear, Fruit, Jewels, etc.)</v>
      </c>
      <c r="I2915" t="str">
        <f>_xlfn.XLOOKUP($A2915,Load!$B:$B,Load!J:J,0,)</f>
        <v>Everyday Graphics</v>
      </c>
      <c r="J2915" t="str">
        <f>_xlfn.XLOOKUP($A2915,Load!$B:$B,Load!K:K,0,)</f>
        <v>Small Pieces (Tiny bite size candies)</v>
      </c>
      <c r="K2915" t="str">
        <f>_xlfn.XLOOKUP($A2915,Load!$B:$B,Load!L:L,0,)</f>
        <v>Regular/Original Wrapping</v>
      </c>
      <c r="L2915" t="str">
        <f>_xlfn.XLOOKUP($A2915,Load!$B:$B,Load!M:M,0,)</f>
        <v>Single Brand / Variety Flavors or Form</v>
      </c>
    </row>
    <row r="2916" spans="1:12" x14ac:dyDescent="0.25">
      <c r="B2916">
        <f>_xlfn.XLOOKUP($A2916,Load!$B:$B,Load!C:C,0,)</f>
        <v>0</v>
      </c>
      <c r="C2916">
        <f>_xlfn.XLOOKUP($A2916,Load!$B:$B,Load!D:D,0,)</f>
        <v>0</v>
      </c>
      <c r="D2916">
        <f>_xlfn.XLOOKUP($A2916,Load!$B:$B,Load!E:E,0,)</f>
        <v>0</v>
      </c>
      <c r="E2916">
        <f>_xlfn.XLOOKUP($A2916,Load!$B:$B,Load!F:F,0,)</f>
        <v>0</v>
      </c>
      <c r="F2916">
        <f>_xlfn.XLOOKUP($A2916,Load!$B:$B,Load!G:G,0,)</f>
        <v>0</v>
      </c>
      <c r="G2916">
        <f>_xlfn.XLOOKUP($A2916,Load!$B:$B,Load!H:H,0,)</f>
        <v>0</v>
      </c>
      <c r="H2916">
        <f>_xlfn.XLOOKUP($A2916,Load!$B:$B,Load!I:I,0,)</f>
        <v>0</v>
      </c>
      <c r="I2916">
        <f>_xlfn.XLOOKUP($A2916,Load!$B:$B,Load!J:J,0,)</f>
        <v>0</v>
      </c>
      <c r="J2916">
        <f>_xlfn.XLOOKUP($A2916,Load!$B:$B,Load!K:K,0,)</f>
        <v>0</v>
      </c>
      <c r="K2916">
        <f>_xlfn.XLOOKUP($A2916,Load!$B:$B,Load!L:L,0,)</f>
        <v>0</v>
      </c>
      <c r="L2916">
        <f>_xlfn.XLOOKUP($A2916,Load!$B:$B,Load!M:M,0,)</f>
        <v>0</v>
      </c>
    </row>
    <row r="2917" spans="1:12" x14ac:dyDescent="0.25">
      <c r="B2917">
        <f>_xlfn.XLOOKUP($A2917,Load!$B:$B,Load!C:C,0,)</f>
        <v>0</v>
      </c>
      <c r="C2917">
        <f>_xlfn.XLOOKUP($A2917,Load!$B:$B,Load!D:D,0,)</f>
        <v>0</v>
      </c>
      <c r="D2917">
        <f>_xlfn.XLOOKUP($A2917,Load!$B:$B,Load!E:E,0,)</f>
        <v>0</v>
      </c>
      <c r="E2917">
        <f>_xlfn.XLOOKUP($A2917,Load!$B:$B,Load!F:F,0,)</f>
        <v>0</v>
      </c>
      <c r="F2917">
        <f>_xlfn.XLOOKUP($A2917,Load!$B:$B,Load!G:G,0,)</f>
        <v>0</v>
      </c>
      <c r="G2917">
        <f>_xlfn.XLOOKUP($A2917,Load!$B:$B,Load!H:H,0,)</f>
        <v>0</v>
      </c>
      <c r="H2917">
        <f>_xlfn.XLOOKUP($A2917,Load!$B:$B,Load!I:I,0,)</f>
        <v>0</v>
      </c>
      <c r="I2917">
        <f>_xlfn.XLOOKUP($A2917,Load!$B:$B,Load!J:J,0,)</f>
        <v>0</v>
      </c>
      <c r="J2917">
        <f>_xlfn.XLOOKUP($A2917,Load!$B:$B,Load!K:K,0,)</f>
        <v>0</v>
      </c>
      <c r="K2917">
        <f>_xlfn.XLOOKUP($A2917,Load!$B:$B,Load!L:L,0,)</f>
        <v>0</v>
      </c>
      <c r="L2917">
        <f>_xlfn.XLOOKUP($A2917,Load!$B:$B,Load!M:M,0,)</f>
        <v>0</v>
      </c>
    </row>
    <row r="2918" spans="1:12" x14ac:dyDescent="0.25">
      <c r="B2918">
        <f>_xlfn.XLOOKUP($A2918,Load!$B:$B,Load!C:C,0,)</f>
        <v>0</v>
      </c>
      <c r="C2918">
        <f>_xlfn.XLOOKUP($A2918,Load!$B:$B,Load!D:D,0,)</f>
        <v>0</v>
      </c>
      <c r="D2918">
        <f>_xlfn.XLOOKUP($A2918,Load!$B:$B,Load!E:E,0,)</f>
        <v>0</v>
      </c>
      <c r="E2918">
        <f>_xlfn.XLOOKUP($A2918,Load!$B:$B,Load!F:F,0,)</f>
        <v>0</v>
      </c>
      <c r="F2918">
        <f>_xlfn.XLOOKUP($A2918,Load!$B:$B,Load!G:G,0,)</f>
        <v>0</v>
      </c>
      <c r="G2918">
        <f>_xlfn.XLOOKUP($A2918,Load!$B:$B,Load!H:H,0,)</f>
        <v>0</v>
      </c>
      <c r="H2918">
        <f>_xlfn.XLOOKUP($A2918,Load!$B:$B,Load!I:I,0,)</f>
        <v>0</v>
      </c>
      <c r="I2918">
        <f>_xlfn.XLOOKUP($A2918,Load!$B:$B,Load!J:J,0,)</f>
        <v>0</v>
      </c>
      <c r="J2918">
        <f>_xlfn.XLOOKUP($A2918,Load!$B:$B,Load!K:K,0,)</f>
        <v>0</v>
      </c>
      <c r="K2918">
        <f>_xlfn.XLOOKUP($A2918,Load!$B:$B,Load!L:L,0,)</f>
        <v>0</v>
      </c>
      <c r="L2918">
        <f>_xlfn.XLOOKUP($A2918,Load!$B:$B,Load!M:M,0,)</f>
        <v>0</v>
      </c>
    </row>
    <row r="2919" spans="1:12" x14ac:dyDescent="0.25">
      <c r="B2919">
        <f>_xlfn.XLOOKUP($A2919,Load!$B:$B,Load!C:C,0,)</f>
        <v>0</v>
      </c>
      <c r="C2919">
        <f>_xlfn.XLOOKUP($A2919,Load!$B:$B,Load!D:D,0,)</f>
        <v>0</v>
      </c>
      <c r="D2919">
        <f>_xlfn.XLOOKUP($A2919,Load!$B:$B,Load!E:E,0,)</f>
        <v>0</v>
      </c>
      <c r="E2919">
        <f>_xlfn.XLOOKUP($A2919,Load!$B:$B,Load!F:F,0,)</f>
        <v>0</v>
      </c>
      <c r="F2919">
        <f>_xlfn.XLOOKUP($A2919,Load!$B:$B,Load!G:G,0,)</f>
        <v>0</v>
      </c>
      <c r="G2919">
        <f>_xlfn.XLOOKUP($A2919,Load!$B:$B,Load!H:H,0,)</f>
        <v>0</v>
      </c>
      <c r="H2919">
        <f>_xlfn.XLOOKUP($A2919,Load!$B:$B,Load!I:I,0,)</f>
        <v>0</v>
      </c>
      <c r="I2919">
        <f>_xlfn.XLOOKUP($A2919,Load!$B:$B,Load!J:J,0,)</f>
        <v>0</v>
      </c>
      <c r="J2919">
        <f>_xlfn.XLOOKUP($A2919,Load!$B:$B,Load!K:K,0,)</f>
        <v>0</v>
      </c>
      <c r="K2919">
        <f>_xlfn.XLOOKUP($A2919,Load!$B:$B,Load!L:L,0,)</f>
        <v>0</v>
      </c>
      <c r="L2919">
        <f>_xlfn.XLOOKUP($A2919,Load!$B:$B,Load!M:M,0,)</f>
        <v>0</v>
      </c>
    </row>
    <row r="2920" spans="1:12" x14ac:dyDescent="0.25">
      <c r="B2920">
        <f>_xlfn.XLOOKUP($A2920,Load!$B:$B,Load!C:C,0,)</f>
        <v>0</v>
      </c>
      <c r="C2920">
        <f>_xlfn.XLOOKUP($A2920,Load!$B:$B,Load!D:D,0,)</f>
        <v>0</v>
      </c>
      <c r="D2920">
        <f>_xlfn.XLOOKUP($A2920,Load!$B:$B,Load!E:E,0,)</f>
        <v>0</v>
      </c>
      <c r="E2920">
        <f>_xlfn.XLOOKUP($A2920,Load!$B:$B,Load!F:F,0,)</f>
        <v>0</v>
      </c>
      <c r="F2920">
        <f>_xlfn.XLOOKUP($A2920,Load!$B:$B,Load!G:G,0,)</f>
        <v>0</v>
      </c>
      <c r="G2920">
        <f>_xlfn.XLOOKUP($A2920,Load!$B:$B,Load!H:H,0,)</f>
        <v>0</v>
      </c>
      <c r="H2920">
        <f>_xlfn.XLOOKUP($A2920,Load!$B:$B,Load!I:I,0,)</f>
        <v>0</v>
      </c>
      <c r="I2920">
        <f>_xlfn.XLOOKUP($A2920,Load!$B:$B,Load!J:J,0,)</f>
        <v>0</v>
      </c>
      <c r="J2920">
        <f>_xlfn.XLOOKUP($A2920,Load!$B:$B,Load!K:K,0,)</f>
        <v>0</v>
      </c>
      <c r="K2920">
        <f>_xlfn.XLOOKUP($A2920,Load!$B:$B,Load!L:L,0,)</f>
        <v>0</v>
      </c>
      <c r="L2920">
        <f>_xlfn.XLOOKUP($A2920,Load!$B:$B,Load!M:M,0,)</f>
        <v>0</v>
      </c>
    </row>
    <row r="2921" spans="1:12" x14ac:dyDescent="0.25">
      <c r="B2921">
        <f>_xlfn.XLOOKUP($A2921,Load!$B:$B,Load!C:C,0,)</f>
        <v>0</v>
      </c>
      <c r="C2921">
        <f>_xlfn.XLOOKUP($A2921,Load!$B:$B,Load!D:D,0,)</f>
        <v>0</v>
      </c>
      <c r="D2921">
        <f>_xlfn.XLOOKUP($A2921,Load!$B:$B,Load!E:E,0,)</f>
        <v>0</v>
      </c>
      <c r="E2921">
        <f>_xlfn.XLOOKUP($A2921,Load!$B:$B,Load!F:F,0,)</f>
        <v>0</v>
      </c>
      <c r="F2921">
        <f>_xlfn.XLOOKUP($A2921,Load!$B:$B,Load!G:G,0,)</f>
        <v>0</v>
      </c>
      <c r="G2921">
        <f>_xlfn.XLOOKUP($A2921,Load!$B:$B,Load!H:H,0,)</f>
        <v>0</v>
      </c>
      <c r="H2921">
        <f>_xlfn.XLOOKUP($A2921,Load!$B:$B,Load!I:I,0,)</f>
        <v>0</v>
      </c>
      <c r="I2921">
        <f>_xlfn.XLOOKUP($A2921,Load!$B:$B,Load!J:J,0,)</f>
        <v>0</v>
      </c>
      <c r="J2921">
        <f>_xlfn.XLOOKUP($A2921,Load!$B:$B,Load!K:K,0,)</f>
        <v>0</v>
      </c>
      <c r="K2921">
        <f>_xlfn.XLOOKUP($A2921,Load!$B:$B,Load!L:L,0,)</f>
        <v>0</v>
      </c>
      <c r="L2921">
        <f>_xlfn.XLOOKUP($A2921,Load!$B:$B,Load!M:M,0,)</f>
        <v>0</v>
      </c>
    </row>
    <row r="2922" spans="1:12" x14ac:dyDescent="0.25">
      <c r="B2922">
        <f>_xlfn.XLOOKUP($A2922,Load!$B:$B,Load!C:C,0,)</f>
        <v>0</v>
      </c>
      <c r="C2922">
        <f>_xlfn.XLOOKUP($A2922,Load!$B:$B,Load!D:D,0,)</f>
        <v>0</v>
      </c>
      <c r="D2922">
        <f>_xlfn.XLOOKUP($A2922,Load!$B:$B,Load!E:E,0,)</f>
        <v>0</v>
      </c>
      <c r="E2922">
        <f>_xlfn.XLOOKUP($A2922,Load!$B:$B,Load!F:F,0,)</f>
        <v>0</v>
      </c>
      <c r="F2922">
        <f>_xlfn.XLOOKUP($A2922,Load!$B:$B,Load!G:G,0,)</f>
        <v>0</v>
      </c>
      <c r="G2922">
        <f>_xlfn.XLOOKUP($A2922,Load!$B:$B,Load!H:H,0,)</f>
        <v>0</v>
      </c>
      <c r="H2922">
        <f>_xlfn.XLOOKUP($A2922,Load!$B:$B,Load!I:I,0,)</f>
        <v>0</v>
      </c>
      <c r="I2922">
        <f>_xlfn.XLOOKUP($A2922,Load!$B:$B,Load!J:J,0,)</f>
        <v>0</v>
      </c>
      <c r="J2922">
        <f>_xlfn.XLOOKUP($A2922,Load!$B:$B,Load!K:K,0,)</f>
        <v>0</v>
      </c>
      <c r="K2922">
        <f>_xlfn.XLOOKUP($A2922,Load!$B:$B,Load!L:L,0,)</f>
        <v>0</v>
      </c>
      <c r="L2922">
        <f>_xlfn.XLOOKUP($A2922,Load!$B:$B,Load!M:M,0,)</f>
        <v>0</v>
      </c>
    </row>
    <row r="2923" spans="1:12" x14ac:dyDescent="0.25">
      <c r="B2923">
        <f>_xlfn.XLOOKUP($A2923,Load!$B:$B,Load!C:C,0,)</f>
        <v>0</v>
      </c>
      <c r="C2923">
        <f>_xlfn.XLOOKUP($A2923,Load!$B:$B,Load!D:D,0,)</f>
        <v>0</v>
      </c>
      <c r="D2923">
        <f>_xlfn.XLOOKUP($A2923,Load!$B:$B,Load!E:E,0,)</f>
        <v>0</v>
      </c>
      <c r="E2923">
        <f>_xlfn.XLOOKUP($A2923,Load!$B:$B,Load!F:F,0,)</f>
        <v>0</v>
      </c>
      <c r="F2923">
        <f>_xlfn.XLOOKUP($A2923,Load!$B:$B,Load!G:G,0,)</f>
        <v>0</v>
      </c>
      <c r="G2923">
        <f>_xlfn.XLOOKUP($A2923,Load!$B:$B,Load!H:H,0,)</f>
        <v>0</v>
      </c>
      <c r="H2923">
        <f>_xlfn.XLOOKUP($A2923,Load!$B:$B,Load!I:I,0,)</f>
        <v>0</v>
      </c>
      <c r="I2923">
        <f>_xlfn.XLOOKUP($A2923,Load!$B:$B,Load!J:J,0,)</f>
        <v>0</v>
      </c>
      <c r="J2923">
        <f>_xlfn.XLOOKUP($A2923,Load!$B:$B,Load!K:K,0,)</f>
        <v>0</v>
      </c>
      <c r="K2923">
        <f>_xlfn.XLOOKUP($A2923,Load!$B:$B,Load!L:L,0,)</f>
        <v>0</v>
      </c>
      <c r="L2923">
        <f>_xlfn.XLOOKUP($A2923,Load!$B:$B,Load!M:M,0,)</f>
        <v>0</v>
      </c>
    </row>
    <row r="2924" spans="1:12" x14ac:dyDescent="0.25">
      <c r="A2924" t="s">
        <v>116</v>
      </c>
      <c r="B2924" t="str">
        <f>_xlfn.XLOOKUP($A2924,Load!$B:$B,Load!C:C,0,)</f>
        <v>George Howe</v>
      </c>
      <c r="C2924" t="str">
        <f>_xlfn.XLOOKUP($A2924,Load!$B:$B,Load!D:D,0,)</f>
        <v>Mix of Chocolate and Non-Chocolate Candy</v>
      </c>
      <c r="D2924" t="str">
        <f>_xlfn.XLOOKUP($A2924,Load!$B:$B,Load!E:E,0,)</f>
        <v>Fall / Seasonal Flavors (pumpkin spice, caramel apple, candy corn)</v>
      </c>
      <c r="E2924" t="str">
        <f>_xlfn.XLOOKUP($A2924,Load!$B:$B,Load!F:F,0,)</f>
        <v>Candy Pieces / Bites</v>
      </c>
      <c r="F2924" t="str">
        <f>_xlfn.XLOOKUP($A2924,Load!$B:$B,Load!G:G,0,)</f>
        <v>Single Pack</v>
      </c>
      <c r="G2924" t="str">
        <f>_xlfn.XLOOKUP($A2924,Load!$B:$B,Load!H:H,0,)</f>
        <v>Laydown Bag</v>
      </c>
      <c r="H2924" t="str">
        <f>_xlfn.XLOOKUP($A2924,Load!$B:$B,Load!I:I,0,)</f>
        <v>Seasonal Shapes (like pumpkins, candy corn, ghost, bats, etc.)</v>
      </c>
      <c r="I2924" t="str">
        <f>_xlfn.XLOOKUP($A2924,Load!$B:$B,Load!J:J,0,)</f>
        <v>Everyday Graphics</v>
      </c>
      <c r="J2924" t="str">
        <f>_xlfn.XLOOKUP($A2924,Load!$B:$B,Load!K:K,0,)</f>
        <v>Small Pieces (Tiny bite size candies)</v>
      </c>
      <c r="K2924" t="str">
        <f>_xlfn.XLOOKUP($A2924,Load!$B:$B,Load!L:L,0,)</f>
        <v>Unwrapped</v>
      </c>
      <c r="L2924" t="str">
        <f>_xlfn.XLOOKUP($A2924,Load!$B:$B,Load!M:M,0,)</f>
        <v>Single Brand / Variety Flavors or Form</v>
      </c>
    </row>
    <row r="2925" spans="1:12" x14ac:dyDescent="0.25">
      <c r="B2925">
        <f>_xlfn.XLOOKUP($A2925,Load!$B:$B,Load!C:C,0,)</f>
        <v>0</v>
      </c>
      <c r="C2925">
        <f>_xlfn.XLOOKUP($A2925,Load!$B:$B,Load!D:D,0,)</f>
        <v>0</v>
      </c>
      <c r="D2925">
        <f>_xlfn.XLOOKUP($A2925,Load!$B:$B,Load!E:E,0,)</f>
        <v>0</v>
      </c>
      <c r="E2925">
        <f>_xlfn.XLOOKUP($A2925,Load!$B:$B,Load!F:F,0,)</f>
        <v>0</v>
      </c>
      <c r="F2925">
        <f>_xlfn.XLOOKUP($A2925,Load!$B:$B,Load!G:G,0,)</f>
        <v>0</v>
      </c>
      <c r="G2925">
        <f>_xlfn.XLOOKUP($A2925,Load!$B:$B,Load!H:H,0,)</f>
        <v>0</v>
      </c>
      <c r="H2925">
        <f>_xlfn.XLOOKUP($A2925,Load!$B:$B,Load!I:I,0,)</f>
        <v>0</v>
      </c>
      <c r="I2925">
        <f>_xlfn.XLOOKUP($A2925,Load!$B:$B,Load!J:J,0,)</f>
        <v>0</v>
      </c>
      <c r="J2925">
        <f>_xlfn.XLOOKUP($A2925,Load!$B:$B,Load!K:K,0,)</f>
        <v>0</v>
      </c>
      <c r="K2925">
        <f>_xlfn.XLOOKUP($A2925,Load!$B:$B,Load!L:L,0,)</f>
        <v>0</v>
      </c>
      <c r="L2925">
        <f>_xlfn.XLOOKUP($A2925,Load!$B:$B,Load!M:M,0,)</f>
        <v>0</v>
      </c>
    </row>
    <row r="2926" spans="1:12" x14ac:dyDescent="0.25">
      <c r="B2926">
        <f>_xlfn.XLOOKUP($A2926,Load!$B:$B,Load!C:C,0,)</f>
        <v>0</v>
      </c>
      <c r="C2926">
        <f>_xlfn.XLOOKUP($A2926,Load!$B:$B,Load!D:D,0,)</f>
        <v>0</v>
      </c>
      <c r="D2926">
        <f>_xlfn.XLOOKUP($A2926,Load!$B:$B,Load!E:E,0,)</f>
        <v>0</v>
      </c>
      <c r="E2926">
        <f>_xlfn.XLOOKUP($A2926,Load!$B:$B,Load!F:F,0,)</f>
        <v>0</v>
      </c>
      <c r="F2926">
        <f>_xlfn.XLOOKUP($A2926,Load!$B:$B,Load!G:G,0,)</f>
        <v>0</v>
      </c>
      <c r="G2926">
        <f>_xlfn.XLOOKUP($A2926,Load!$B:$B,Load!H:H,0,)</f>
        <v>0</v>
      </c>
      <c r="H2926">
        <f>_xlfn.XLOOKUP($A2926,Load!$B:$B,Load!I:I,0,)</f>
        <v>0</v>
      </c>
      <c r="I2926">
        <f>_xlfn.XLOOKUP($A2926,Load!$B:$B,Load!J:J,0,)</f>
        <v>0</v>
      </c>
      <c r="J2926">
        <f>_xlfn.XLOOKUP($A2926,Load!$B:$B,Load!K:K,0,)</f>
        <v>0</v>
      </c>
      <c r="K2926">
        <f>_xlfn.XLOOKUP($A2926,Load!$B:$B,Load!L:L,0,)</f>
        <v>0</v>
      </c>
      <c r="L2926">
        <f>_xlfn.XLOOKUP($A2926,Load!$B:$B,Load!M:M,0,)</f>
        <v>0</v>
      </c>
    </row>
    <row r="2927" spans="1:12" x14ac:dyDescent="0.25">
      <c r="B2927">
        <f>_xlfn.XLOOKUP($A2927,Load!$B:$B,Load!C:C,0,)</f>
        <v>0</v>
      </c>
      <c r="C2927">
        <f>_xlfn.XLOOKUP($A2927,Load!$B:$B,Load!D:D,0,)</f>
        <v>0</v>
      </c>
      <c r="D2927">
        <f>_xlfn.XLOOKUP($A2927,Load!$B:$B,Load!E:E,0,)</f>
        <v>0</v>
      </c>
      <c r="E2927">
        <f>_xlfn.XLOOKUP($A2927,Load!$B:$B,Load!F:F,0,)</f>
        <v>0</v>
      </c>
      <c r="F2927">
        <f>_xlfn.XLOOKUP($A2927,Load!$B:$B,Load!G:G,0,)</f>
        <v>0</v>
      </c>
      <c r="G2927">
        <f>_xlfn.XLOOKUP($A2927,Load!$B:$B,Load!H:H,0,)</f>
        <v>0</v>
      </c>
      <c r="H2927">
        <f>_xlfn.XLOOKUP($A2927,Load!$B:$B,Load!I:I,0,)</f>
        <v>0</v>
      </c>
      <c r="I2927">
        <f>_xlfn.XLOOKUP($A2927,Load!$B:$B,Load!J:J,0,)</f>
        <v>0</v>
      </c>
      <c r="J2927">
        <f>_xlfn.XLOOKUP($A2927,Load!$B:$B,Load!K:K,0,)</f>
        <v>0</v>
      </c>
      <c r="K2927">
        <f>_xlfn.XLOOKUP($A2927,Load!$B:$B,Load!L:L,0,)</f>
        <v>0</v>
      </c>
      <c r="L2927">
        <f>_xlfn.XLOOKUP($A2927,Load!$B:$B,Load!M:M,0,)</f>
        <v>0</v>
      </c>
    </row>
    <row r="2928" spans="1:12" x14ac:dyDescent="0.25">
      <c r="A2928" t="s">
        <v>124</v>
      </c>
      <c r="B2928" t="str">
        <f>_xlfn.XLOOKUP($A2928,Load!$B:$B,Load!C:C,0,)</f>
        <v>HARIBO</v>
      </c>
      <c r="C2928" t="str">
        <f>_xlfn.XLOOKUP($A2928,Load!$B:$B,Load!D:D,0,)</f>
        <v>Non-Chocolate Candy Only</v>
      </c>
      <c r="D2928" t="str">
        <f>_xlfn.XLOOKUP($A2928,Load!$B:$B,Load!E:E,0,)</f>
        <v>Fruit Flavor (Cherry, Grape, Apple, Citrus, Tropical Fruit)</v>
      </c>
      <c r="E2928" t="str">
        <f>_xlfn.XLOOKUP($A2928,Load!$B:$B,Load!F:F,0,)</f>
        <v>Gummy</v>
      </c>
      <c r="F2928" t="str">
        <f>_xlfn.XLOOKUP($A2928,Load!$B:$B,Load!G:G,0,)</f>
        <v>Small Multipack (Less than 40 ct)</v>
      </c>
      <c r="G2928" t="str">
        <f>_xlfn.XLOOKUP($A2928,Load!$B:$B,Load!H:H,0,)</f>
        <v>Laydown Bag</v>
      </c>
      <c r="H2928" t="str">
        <f>_xlfn.XLOOKUP($A2928,Load!$B:$B,Load!I:I,0,)</f>
        <v>Everyday Candy Shapes (like Original, Gummy bear, Fruit, Jewels, etc.)</v>
      </c>
      <c r="I2928" t="str">
        <f>_xlfn.XLOOKUP($A2928,Load!$B:$B,Load!J:J,0,)</f>
        <v>Everyday Graphics</v>
      </c>
      <c r="J2928" t="str">
        <f>_xlfn.XLOOKUP($A2928,Load!$B:$B,Load!K:K,0,)</f>
        <v>Small Pieces (Tiny bite size candies)</v>
      </c>
      <c r="K2928" t="str">
        <f>_xlfn.XLOOKUP($A2928,Load!$B:$B,Load!L:L,0,)</f>
        <v>Regular/Original Wrapping</v>
      </c>
      <c r="L2928" t="str">
        <f>_xlfn.XLOOKUP($A2928,Load!$B:$B,Load!M:M,0,)</f>
        <v>Single Brand / Variety Flavors or Form</v>
      </c>
    </row>
    <row r="2929" spans="1:12" x14ac:dyDescent="0.25">
      <c r="B2929">
        <f>_xlfn.XLOOKUP($A2929,Load!$B:$B,Load!C:C,0,)</f>
        <v>0</v>
      </c>
      <c r="C2929">
        <f>_xlfn.XLOOKUP($A2929,Load!$B:$B,Load!D:D,0,)</f>
        <v>0</v>
      </c>
      <c r="D2929">
        <f>_xlfn.XLOOKUP($A2929,Load!$B:$B,Load!E:E,0,)</f>
        <v>0</v>
      </c>
      <c r="E2929">
        <f>_xlfn.XLOOKUP($A2929,Load!$B:$B,Load!F:F,0,)</f>
        <v>0</v>
      </c>
      <c r="F2929">
        <f>_xlfn.XLOOKUP($A2929,Load!$B:$B,Load!G:G,0,)</f>
        <v>0</v>
      </c>
      <c r="G2929">
        <f>_xlfn.XLOOKUP($A2929,Load!$B:$B,Load!H:H,0,)</f>
        <v>0</v>
      </c>
      <c r="H2929">
        <f>_xlfn.XLOOKUP($A2929,Load!$B:$B,Load!I:I,0,)</f>
        <v>0</v>
      </c>
      <c r="I2929">
        <f>_xlfn.XLOOKUP($A2929,Load!$B:$B,Load!J:J,0,)</f>
        <v>0</v>
      </c>
      <c r="J2929">
        <f>_xlfn.XLOOKUP($A2929,Load!$B:$B,Load!K:K,0,)</f>
        <v>0</v>
      </c>
      <c r="K2929">
        <f>_xlfn.XLOOKUP($A2929,Load!$B:$B,Load!L:L,0,)</f>
        <v>0</v>
      </c>
      <c r="L2929">
        <f>_xlfn.XLOOKUP($A2929,Load!$B:$B,Load!M:M,0,)</f>
        <v>0</v>
      </c>
    </row>
    <row r="2930" spans="1:12" x14ac:dyDescent="0.25">
      <c r="A2930" t="s">
        <v>270</v>
      </c>
      <c r="B2930" t="str">
        <f>_xlfn.XLOOKUP($A2930,Load!$B:$B,Load!C:C,0,)</f>
        <v>Sour Patch Kids</v>
      </c>
      <c r="C2930" t="str">
        <f>_xlfn.XLOOKUP($A2930,Load!$B:$B,Load!D:D,0,)</f>
        <v>Non-Chocolate Candy Only</v>
      </c>
      <c r="D2930" t="str">
        <f>_xlfn.XLOOKUP($A2930,Load!$B:$B,Load!E:E,0,)</f>
        <v>Fruit Flavor (Cherry, Grape, Apple, Citrus, Tropical Fruit)</v>
      </c>
      <c r="E2930" t="str">
        <f>_xlfn.XLOOKUP($A2930,Load!$B:$B,Load!F:F,0,)</f>
        <v>Chewy</v>
      </c>
      <c r="F2930" t="str">
        <f>_xlfn.XLOOKUP($A2930,Load!$B:$B,Load!G:G,0,)</f>
        <v>Small Multipack (Less than 40 ct)</v>
      </c>
      <c r="G2930" t="str">
        <f>_xlfn.XLOOKUP($A2930,Load!$B:$B,Load!H:H,0,)</f>
        <v>Box (theatre box, gift box, carton)</v>
      </c>
      <c r="H2930" t="str">
        <f>_xlfn.XLOOKUP($A2930,Load!$B:$B,Load!I:I,0,)</f>
        <v>Everyday Candy Shapes (like Original, Gummy bear, Fruit, Jewels, etc.)</v>
      </c>
      <c r="I2930" t="str">
        <f>_xlfn.XLOOKUP($A2930,Load!$B:$B,Load!J:J,0,)</f>
        <v>Seasonal Graphics (Like Bat, Ghost, Pumpkin, Fall Leaves, Eyeballs, etc.)</v>
      </c>
      <c r="J2930" t="str">
        <f>_xlfn.XLOOKUP($A2930,Load!$B:$B,Load!K:K,0,)</f>
        <v>Small Pieces (Tiny bite size candies)</v>
      </c>
      <c r="K2930" t="str">
        <f>_xlfn.XLOOKUP($A2930,Load!$B:$B,Load!L:L,0,)</f>
        <v>Unwrapped</v>
      </c>
      <c r="L2930" t="str">
        <f>_xlfn.XLOOKUP($A2930,Load!$B:$B,Load!M:M,0,)</f>
        <v>Single Brand / Variety Flavors or Form</v>
      </c>
    </row>
    <row r="2931" spans="1:12" x14ac:dyDescent="0.25">
      <c r="A2931" t="s">
        <v>221</v>
      </c>
      <c r="B2931" t="str">
        <f>_xlfn.XLOOKUP($A2931,Load!$B:$B,Load!C:C,0,)</f>
        <v>Hershey's Variety Pack + Haribo</v>
      </c>
      <c r="C2931" t="str">
        <f>_xlfn.XLOOKUP($A2931,Load!$B:$B,Load!D:D,0,)</f>
        <v>Mix of Chocolate and Non-Chocolate Candy</v>
      </c>
      <c r="D2931" t="str">
        <f>_xlfn.XLOOKUP($A2931,Load!$B:$B,Load!E:E,0,)</f>
        <v>Variety / Mixed Flavors (Fruity, Sour, Seasonal Flavors)</v>
      </c>
      <c r="E2931" t="str">
        <f>_xlfn.XLOOKUP($A2931,Load!$B:$B,Load!F:F,0,)</f>
        <v>Mixed / Combo Packs (Gummy, Chewy, Taffy, etc.)</v>
      </c>
      <c r="F2931" t="str">
        <f>_xlfn.XLOOKUP($A2931,Load!$B:$B,Load!G:G,0,)</f>
        <v>Large Multipack (More than 80 ct)</v>
      </c>
      <c r="G2931" t="str">
        <f>_xlfn.XLOOKUP($A2931,Load!$B:$B,Load!H:H,0,)</f>
        <v>Stand-Up Bag</v>
      </c>
      <c r="H2931" t="str">
        <f>_xlfn.XLOOKUP($A2931,Load!$B:$B,Load!I:I,0,)</f>
        <v>Everyday Candy Shapes (like Original, Gummy bear, Fruit, Jewels, etc.)</v>
      </c>
      <c r="I2931" t="str">
        <f>_xlfn.XLOOKUP($A2931,Load!$B:$B,Load!J:J,0,)</f>
        <v>Seasonal Graphics (Like Bat, Ghost, Pumpkin, Fall Leaves, Eyeballs, etc.)</v>
      </c>
      <c r="J2931" t="str">
        <f>_xlfn.XLOOKUP($A2931,Load!$B:$B,Load!K:K,0,)</f>
        <v xml:space="preserve">Variety Candy Sizes </v>
      </c>
      <c r="K2931" t="str">
        <f>_xlfn.XLOOKUP($A2931,Load!$B:$B,Load!L:L,0,)</f>
        <v>Regular/Original Wrapping</v>
      </c>
      <c r="L2931" t="str">
        <f>_xlfn.XLOOKUP($A2931,Load!$B:$B,Load!M:M,0,)</f>
        <v>Multiple Brands / Variety Flavors or Form</v>
      </c>
    </row>
    <row r="2932" spans="1:12" x14ac:dyDescent="0.25">
      <c r="A2932" t="s">
        <v>220</v>
      </c>
      <c r="B2932" t="str">
        <f>_xlfn.XLOOKUP($A2932,Load!$B:$B,Load!C:C,0,)</f>
        <v>Mondelez Variety Pack</v>
      </c>
      <c r="C2932" t="str">
        <f>_xlfn.XLOOKUP($A2932,Load!$B:$B,Load!D:D,0,)</f>
        <v>Non-Chocolate Candy Only</v>
      </c>
      <c r="D2932" t="str">
        <f>_xlfn.XLOOKUP($A2932,Load!$B:$B,Load!E:E,0,)</f>
        <v>Variety / Mixed Flavors (Fruity, Sour, Seasonal Flavors)</v>
      </c>
      <c r="E2932" t="str">
        <f>_xlfn.XLOOKUP($A2932,Load!$B:$B,Load!F:F,0,)</f>
        <v>Chewy</v>
      </c>
      <c r="F2932" t="str">
        <f>_xlfn.XLOOKUP($A2932,Load!$B:$B,Load!G:G,0,)</f>
        <v>Large Multipack (More than 80 ct)</v>
      </c>
      <c r="G2932" t="str">
        <f>_xlfn.XLOOKUP($A2932,Load!$B:$B,Load!H:H,0,)</f>
        <v>Stand-Up Bag</v>
      </c>
      <c r="H2932" t="str">
        <f>_xlfn.XLOOKUP($A2932,Load!$B:$B,Load!I:I,0,)</f>
        <v>Seasonal Shapes (like pumpkins, candy corn, ghost, bats, etc.)</v>
      </c>
      <c r="I2932" t="str">
        <f>_xlfn.XLOOKUP($A2932,Load!$B:$B,Load!J:J,0,)</f>
        <v>Seasonal Graphics (Like Bat, Ghost, Pumpkin, Fall Leaves, Eyeballs, etc.)</v>
      </c>
      <c r="J2932" t="str">
        <f>_xlfn.XLOOKUP($A2932,Load!$B:$B,Load!K:K,0,)</f>
        <v>Small Pieces (Tiny bite size candies)</v>
      </c>
      <c r="K2932" t="str">
        <f>_xlfn.XLOOKUP($A2932,Load!$B:$B,Load!L:L,0,)</f>
        <v>Regular/Original Wrapping</v>
      </c>
      <c r="L2932" t="str">
        <f>_xlfn.XLOOKUP($A2932,Load!$B:$B,Load!M:M,0,)</f>
        <v>Single Brand / Variety Flavors or Form</v>
      </c>
    </row>
    <row r="2933" spans="1:12" x14ac:dyDescent="0.25">
      <c r="B2933">
        <f>_xlfn.XLOOKUP($A2933,Load!$B:$B,Load!C:C,0,)</f>
        <v>0</v>
      </c>
      <c r="C2933">
        <f>_xlfn.XLOOKUP($A2933,Load!$B:$B,Load!D:D,0,)</f>
        <v>0</v>
      </c>
      <c r="D2933">
        <f>_xlfn.XLOOKUP($A2933,Load!$B:$B,Load!E:E,0,)</f>
        <v>0</v>
      </c>
      <c r="E2933">
        <f>_xlfn.XLOOKUP($A2933,Load!$B:$B,Load!F:F,0,)</f>
        <v>0</v>
      </c>
      <c r="F2933">
        <f>_xlfn.XLOOKUP($A2933,Load!$B:$B,Load!G:G,0,)</f>
        <v>0</v>
      </c>
      <c r="G2933">
        <f>_xlfn.XLOOKUP($A2933,Load!$B:$B,Load!H:H,0,)</f>
        <v>0</v>
      </c>
      <c r="H2933">
        <f>_xlfn.XLOOKUP($A2933,Load!$B:$B,Load!I:I,0,)</f>
        <v>0</v>
      </c>
      <c r="I2933">
        <f>_xlfn.XLOOKUP($A2933,Load!$B:$B,Load!J:J,0,)</f>
        <v>0</v>
      </c>
      <c r="J2933">
        <f>_xlfn.XLOOKUP($A2933,Load!$B:$B,Load!K:K,0,)</f>
        <v>0</v>
      </c>
      <c r="K2933">
        <f>_xlfn.XLOOKUP($A2933,Load!$B:$B,Load!L:L,0,)</f>
        <v>0</v>
      </c>
      <c r="L2933">
        <f>_xlfn.XLOOKUP($A2933,Load!$B:$B,Load!M:M,0,)</f>
        <v>0</v>
      </c>
    </row>
    <row r="2934" spans="1:12" x14ac:dyDescent="0.25">
      <c r="A2934" t="s">
        <v>299</v>
      </c>
      <c r="B2934" t="str">
        <f>_xlfn.XLOOKUP($A2934,Load!$B:$B,Load!C:C,0,)</f>
        <v>Twizzlers</v>
      </c>
      <c r="C2934" t="str">
        <f>_xlfn.XLOOKUP($A2934,Load!$B:$B,Load!D:D,0,)</f>
        <v>Non-Chocolate Candy Only</v>
      </c>
      <c r="D2934" t="str">
        <f>_xlfn.XLOOKUP($A2934,Load!$B:$B,Load!E:E,0,)</f>
        <v>Fruit Flavor (Cherry, Grape, Apple, Citrus, Tropical Fruit)</v>
      </c>
      <c r="E2934" t="str">
        <f>_xlfn.XLOOKUP($A2934,Load!$B:$B,Load!F:F,0,)</f>
        <v>Chewy</v>
      </c>
      <c r="F2934" t="str">
        <f>_xlfn.XLOOKUP($A2934,Load!$B:$B,Load!G:G,0,)</f>
        <v>Single Pack</v>
      </c>
      <c r="G2934" t="str">
        <f>_xlfn.XLOOKUP($A2934,Load!$B:$B,Load!H:H,0,)</f>
        <v>Stand-Up Bag</v>
      </c>
      <c r="H2934" t="str">
        <f>_xlfn.XLOOKUP($A2934,Load!$B:$B,Load!I:I,0,)</f>
        <v>Seasonal Shapes (like pumpkins, candy corn, ghost, bats, etc.)</v>
      </c>
      <c r="I2934" t="str">
        <f>_xlfn.XLOOKUP($A2934,Load!$B:$B,Load!J:J,0,)</f>
        <v>Seasonal Graphics (Like Bat, Ghost, Pumpkin, Fall Leaves, Eyeballs, etc.)</v>
      </c>
      <c r="J2934" t="str">
        <f>_xlfn.XLOOKUP($A2934,Load!$B:$B,Load!K:K,0,)</f>
        <v>Fun Size / Treat Size</v>
      </c>
      <c r="K2934" t="str">
        <f>_xlfn.XLOOKUP($A2934,Load!$B:$B,Load!L:L,0,)</f>
        <v>Unwrapped</v>
      </c>
      <c r="L2934" t="str">
        <f>_xlfn.XLOOKUP($A2934,Load!$B:$B,Load!M:M,0,)</f>
        <v>Single Brand / Single Flavor or Form</v>
      </c>
    </row>
    <row r="2935" spans="1:12" x14ac:dyDescent="0.25">
      <c r="B2935">
        <f>_xlfn.XLOOKUP($A2935,Load!$B:$B,Load!C:C,0,)</f>
        <v>0</v>
      </c>
      <c r="C2935">
        <f>_xlfn.XLOOKUP($A2935,Load!$B:$B,Load!D:D,0,)</f>
        <v>0</v>
      </c>
      <c r="D2935">
        <f>_xlfn.XLOOKUP($A2935,Load!$B:$B,Load!E:E,0,)</f>
        <v>0</v>
      </c>
      <c r="E2935">
        <f>_xlfn.XLOOKUP($A2935,Load!$B:$B,Load!F:F,0,)</f>
        <v>0</v>
      </c>
      <c r="F2935">
        <f>_xlfn.XLOOKUP($A2935,Load!$B:$B,Load!G:G,0,)</f>
        <v>0</v>
      </c>
      <c r="G2935">
        <f>_xlfn.XLOOKUP($A2935,Load!$B:$B,Load!H:H,0,)</f>
        <v>0</v>
      </c>
      <c r="H2935">
        <f>_xlfn.XLOOKUP($A2935,Load!$B:$B,Load!I:I,0,)</f>
        <v>0</v>
      </c>
      <c r="I2935">
        <f>_xlfn.XLOOKUP($A2935,Load!$B:$B,Load!J:J,0,)</f>
        <v>0</v>
      </c>
      <c r="J2935">
        <f>_xlfn.XLOOKUP($A2935,Load!$B:$B,Load!K:K,0,)</f>
        <v>0</v>
      </c>
      <c r="K2935">
        <f>_xlfn.XLOOKUP($A2935,Load!$B:$B,Load!L:L,0,)</f>
        <v>0</v>
      </c>
      <c r="L2935">
        <f>_xlfn.XLOOKUP($A2935,Load!$B:$B,Load!M:M,0,)</f>
        <v>0</v>
      </c>
    </row>
    <row r="2936" spans="1:12" x14ac:dyDescent="0.25">
      <c r="B2936">
        <f>_xlfn.XLOOKUP($A2936,Load!$B:$B,Load!C:C,0,)</f>
        <v>0</v>
      </c>
      <c r="C2936">
        <f>_xlfn.XLOOKUP($A2936,Load!$B:$B,Load!D:D,0,)</f>
        <v>0</v>
      </c>
      <c r="D2936">
        <f>_xlfn.XLOOKUP($A2936,Load!$B:$B,Load!E:E,0,)</f>
        <v>0</v>
      </c>
      <c r="E2936">
        <f>_xlfn.XLOOKUP($A2936,Load!$B:$B,Load!F:F,0,)</f>
        <v>0</v>
      </c>
      <c r="F2936">
        <f>_xlfn.XLOOKUP($A2936,Load!$B:$B,Load!G:G,0,)</f>
        <v>0</v>
      </c>
      <c r="G2936">
        <f>_xlfn.XLOOKUP($A2936,Load!$B:$B,Load!H:H,0,)</f>
        <v>0</v>
      </c>
      <c r="H2936">
        <f>_xlfn.XLOOKUP($A2936,Load!$B:$B,Load!I:I,0,)</f>
        <v>0</v>
      </c>
      <c r="I2936">
        <f>_xlfn.XLOOKUP($A2936,Load!$B:$B,Load!J:J,0,)</f>
        <v>0</v>
      </c>
      <c r="J2936">
        <f>_xlfn.XLOOKUP($A2936,Load!$B:$B,Load!K:K,0,)</f>
        <v>0</v>
      </c>
      <c r="K2936">
        <f>_xlfn.XLOOKUP($A2936,Load!$B:$B,Load!L:L,0,)</f>
        <v>0</v>
      </c>
      <c r="L2936">
        <f>_xlfn.XLOOKUP($A2936,Load!$B:$B,Load!M:M,0,)</f>
        <v>0</v>
      </c>
    </row>
    <row r="2937" spans="1:12" x14ac:dyDescent="0.25">
      <c r="B2937">
        <f>_xlfn.XLOOKUP($A2937,Load!$B:$B,Load!C:C,0,)</f>
        <v>0</v>
      </c>
      <c r="C2937">
        <f>_xlfn.XLOOKUP($A2937,Load!$B:$B,Load!D:D,0,)</f>
        <v>0</v>
      </c>
      <c r="D2937">
        <f>_xlfn.XLOOKUP($A2937,Load!$B:$B,Load!E:E,0,)</f>
        <v>0</v>
      </c>
      <c r="E2937">
        <f>_xlfn.XLOOKUP($A2937,Load!$B:$B,Load!F:F,0,)</f>
        <v>0</v>
      </c>
      <c r="F2937">
        <f>_xlfn.XLOOKUP($A2937,Load!$B:$B,Load!G:G,0,)</f>
        <v>0</v>
      </c>
      <c r="G2937">
        <f>_xlfn.XLOOKUP($A2937,Load!$B:$B,Load!H:H,0,)</f>
        <v>0</v>
      </c>
      <c r="H2937">
        <f>_xlfn.XLOOKUP($A2937,Load!$B:$B,Load!I:I,0,)</f>
        <v>0</v>
      </c>
      <c r="I2937">
        <f>_xlfn.XLOOKUP($A2937,Load!$B:$B,Load!J:J,0,)</f>
        <v>0</v>
      </c>
      <c r="J2937">
        <f>_xlfn.XLOOKUP($A2937,Load!$B:$B,Load!K:K,0,)</f>
        <v>0</v>
      </c>
      <c r="K2937">
        <f>_xlfn.XLOOKUP($A2937,Load!$B:$B,Load!L:L,0,)</f>
        <v>0</v>
      </c>
      <c r="L2937">
        <f>_xlfn.XLOOKUP($A2937,Load!$B:$B,Load!M:M,0,)</f>
        <v>0</v>
      </c>
    </row>
    <row r="2938" spans="1:12" x14ac:dyDescent="0.25">
      <c r="A2938" t="s">
        <v>173</v>
      </c>
      <c r="B2938" t="str">
        <f>_xlfn.XLOOKUP($A2938,Load!$B:$B,Load!C:C,0,)</f>
        <v>Mars Variety Pack</v>
      </c>
      <c r="C2938" t="str">
        <f>_xlfn.XLOOKUP($A2938,Load!$B:$B,Load!D:D,0,)</f>
        <v>Mix of Chocolate and Non-Chocolate Candy</v>
      </c>
      <c r="D2938" t="str">
        <f>_xlfn.XLOOKUP($A2938,Load!$B:$B,Load!E:E,0,)</f>
        <v>Variety / Mixed Flavors (Fruity, Sour, Seasonal Flavors)</v>
      </c>
      <c r="E2938" t="str">
        <f>_xlfn.XLOOKUP($A2938,Load!$B:$B,Load!F:F,0,)</f>
        <v>Mixed / Combo Packs (Gummy, Chewy, Taffy, etc.)</v>
      </c>
      <c r="F2938" t="str">
        <f>_xlfn.XLOOKUP($A2938,Load!$B:$B,Load!G:G,0,)</f>
        <v>Large Multipack (More than 80 ct)</v>
      </c>
      <c r="G2938" t="str">
        <f>_xlfn.XLOOKUP($A2938,Load!$B:$B,Load!H:H,0,)</f>
        <v>Stand-Up Bag</v>
      </c>
      <c r="H2938" t="str">
        <f>_xlfn.XLOOKUP($A2938,Load!$B:$B,Load!I:I,0,)</f>
        <v>Everyday Candy Shapes (like Original, Gummy bear, Fruit, Jewels, etc.)</v>
      </c>
      <c r="I2938" t="str">
        <f>_xlfn.XLOOKUP($A2938,Load!$B:$B,Load!J:J,0,)</f>
        <v>Seasonal Graphics (Like Bat, Ghost, Pumpkin, Fall Leaves, Eyeballs, etc.)</v>
      </c>
      <c r="J2938" t="str">
        <f>_xlfn.XLOOKUP($A2938,Load!$B:$B,Load!K:K,0,)</f>
        <v>Fun Size / Treat Size</v>
      </c>
      <c r="K2938" t="str">
        <f>_xlfn.XLOOKUP($A2938,Load!$B:$B,Load!L:L,0,)</f>
        <v>Regular/Original Wrapping</v>
      </c>
      <c r="L2938" t="str">
        <f>_xlfn.XLOOKUP($A2938,Load!$B:$B,Load!M:M,0,)</f>
        <v>Multiple Brands / Variety Flavors or Form</v>
      </c>
    </row>
    <row r="2939" spans="1:12" x14ac:dyDescent="0.25">
      <c r="A2939" t="s">
        <v>208</v>
      </c>
      <c r="B2939" t="str">
        <f>_xlfn.XLOOKUP($A2939,Load!$B:$B,Load!C:C,0,)</f>
        <v>Mars Variety Pack</v>
      </c>
      <c r="C2939" t="str">
        <f>_xlfn.XLOOKUP($A2939,Load!$B:$B,Load!D:D,0,)</f>
        <v>Non-Chocolate Candy Only</v>
      </c>
      <c r="D2939" t="str">
        <f>_xlfn.XLOOKUP($A2939,Load!$B:$B,Load!E:E,0,)</f>
        <v>Variety / Mixed Flavors (Fruity, Sour, Seasonal Flavors)</v>
      </c>
      <c r="E2939" t="str">
        <f>_xlfn.XLOOKUP($A2939,Load!$B:$B,Load!F:F,0,)</f>
        <v>Mixed / Combo Packs (Gummy, Chewy, Taffy, etc.)</v>
      </c>
      <c r="F2939" t="str">
        <f>_xlfn.XLOOKUP($A2939,Load!$B:$B,Load!G:G,0,)</f>
        <v>Large Multipack (More than 80 ct)</v>
      </c>
      <c r="G2939" t="str">
        <f>_xlfn.XLOOKUP($A2939,Load!$B:$B,Load!H:H,0,)</f>
        <v>Stand-Up Bag</v>
      </c>
      <c r="H2939" t="str">
        <f>_xlfn.XLOOKUP($A2939,Load!$B:$B,Load!I:I,0,)</f>
        <v>Everyday Candy Shapes (like Original, Gummy bear, Fruit, Jewels, etc.)</v>
      </c>
      <c r="I2939" t="str">
        <f>_xlfn.XLOOKUP($A2939,Load!$B:$B,Load!J:J,0,)</f>
        <v>Seasonal Graphics (Like Bat, Ghost, Pumpkin, Fall Leaves, Eyeballs, etc.)</v>
      </c>
      <c r="J2939" t="str">
        <f>_xlfn.XLOOKUP($A2939,Load!$B:$B,Load!K:K,0,)</f>
        <v>Fun Size / Treat Size</v>
      </c>
      <c r="K2939" t="str">
        <f>_xlfn.XLOOKUP($A2939,Load!$B:$B,Load!L:L,0,)</f>
        <v>Regular/Original Wrapping</v>
      </c>
      <c r="L2939" t="str">
        <f>_xlfn.XLOOKUP($A2939,Load!$B:$B,Load!M:M,0,)</f>
        <v>Multiple Brands / Variety Flavors or Form</v>
      </c>
    </row>
    <row r="2940" spans="1:12" x14ac:dyDescent="0.25">
      <c r="A2940" t="s">
        <v>223</v>
      </c>
      <c r="B2940" t="str">
        <f>_xlfn.XLOOKUP($A2940,Load!$B:$B,Load!C:C,0,)</f>
        <v>Nerds</v>
      </c>
      <c r="C2940" t="str">
        <f>_xlfn.XLOOKUP($A2940,Load!$B:$B,Load!D:D,0,)</f>
        <v>Non-Chocolate Candy Only</v>
      </c>
      <c r="D2940" t="str">
        <f>_xlfn.XLOOKUP($A2940,Load!$B:$B,Load!E:E,0,)</f>
        <v>Sweet</v>
      </c>
      <c r="E2940" t="str">
        <f>_xlfn.XLOOKUP($A2940,Load!$B:$B,Load!F:F,0,)</f>
        <v>Gummy</v>
      </c>
      <c r="F2940" t="str">
        <f>_xlfn.XLOOKUP($A2940,Load!$B:$B,Load!G:G,0,)</f>
        <v>Small Multipack (Less than 40 ct)</v>
      </c>
      <c r="G2940" t="str">
        <f>_xlfn.XLOOKUP($A2940,Load!$B:$B,Load!H:H,0,)</f>
        <v>Laydown Bag</v>
      </c>
      <c r="H2940" t="str">
        <f>_xlfn.XLOOKUP($A2940,Load!$B:$B,Load!I:I,0,)</f>
        <v>Everyday Candy Shapes (like Original, Gummy bear, Fruit, Jewels, etc.)</v>
      </c>
      <c r="I2940" t="str">
        <f>_xlfn.XLOOKUP($A2940,Load!$B:$B,Load!J:J,0,)</f>
        <v>Seasonal Graphics (Like Bat, Ghost, Pumpkin, Fall Leaves, Eyeballs, etc.)</v>
      </c>
      <c r="J2940" t="str">
        <f>_xlfn.XLOOKUP($A2940,Load!$B:$B,Load!K:K,0,)</f>
        <v>Small Pieces (Tiny bite size candies)</v>
      </c>
      <c r="K2940" t="str">
        <f>_xlfn.XLOOKUP($A2940,Load!$B:$B,Load!L:L,0,)</f>
        <v>Regular/Original Wrapping</v>
      </c>
      <c r="L2940" t="str">
        <f>_xlfn.XLOOKUP($A2940,Load!$B:$B,Load!M:M,0,)</f>
        <v>Single Brand / Variety Flavors or Form</v>
      </c>
    </row>
    <row r="2941" spans="1:12" x14ac:dyDescent="0.25">
      <c r="A2941" t="s">
        <v>222</v>
      </c>
      <c r="B2941" t="str">
        <f>_xlfn.XLOOKUP($A2941,Load!$B:$B,Load!C:C,0,)</f>
        <v>Nerds</v>
      </c>
      <c r="C2941" t="str">
        <f>_xlfn.XLOOKUP($A2941,Load!$B:$B,Load!D:D,0,)</f>
        <v>Non-Chocolate Candy Only</v>
      </c>
      <c r="D2941" t="str">
        <f>_xlfn.XLOOKUP($A2941,Load!$B:$B,Load!E:E,0,)</f>
        <v>Sweet</v>
      </c>
      <c r="E2941" t="str">
        <f>_xlfn.XLOOKUP($A2941,Load!$B:$B,Load!F:F,0,)</f>
        <v>Gummy</v>
      </c>
      <c r="F2941" t="str">
        <f>_xlfn.XLOOKUP($A2941,Load!$B:$B,Load!G:G,0,)</f>
        <v>Small Multipack (Less than 40 ct)</v>
      </c>
      <c r="G2941" t="str">
        <f>_xlfn.XLOOKUP($A2941,Load!$B:$B,Load!H:H,0,)</f>
        <v>Stand-Up Bag</v>
      </c>
      <c r="H2941" t="str">
        <f>_xlfn.XLOOKUP($A2941,Load!$B:$B,Load!I:I,0,)</f>
        <v>Everyday Candy Shapes (like Original, Gummy bear, Fruit, Jewels, etc.)</v>
      </c>
      <c r="I2941" t="str">
        <f>_xlfn.XLOOKUP($A2941,Load!$B:$B,Load!J:J,0,)</f>
        <v>Seasonal Graphics (Like Bat, Ghost, Pumpkin, Fall Leaves, Eyeballs, etc.)</v>
      </c>
      <c r="J2941" t="str">
        <f>_xlfn.XLOOKUP($A2941,Load!$B:$B,Load!K:K,0,)</f>
        <v>Fun Size / Treat Size</v>
      </c>
      <c r="K2941" t="str">
        <f>_xlfn.XLOOKUP($A2941,Load!$B:$B,Load!L:L,0,)</f>
        <v>Regular/Original Wrapping</v>
      </c>
      <c r="L2941" t="str">
        <f>_xlfn.XLOOKUP($A2941,Load!$B:$B,Load!M:M,0,)</f>
        <v>Single Brand / Variety Flavors or Form</v>
      </c>
    </row>
    <row r="2942" spans="1:12" x14ac:dyDescent="0.25">
      <c r="A2942" t="s">
        <v>111</v>
      </c>
      <c r="B2942" t="str">
        <f>_xlfn.XLOOKUP($A2942,Load!$B:$B,Load!C:C,0,)</f>
        <v>Frankford</v>
      </c>
      <c r="C2942" t="str">
        <f>_xlfn.XLOOKUP($A2942,Load!$B:$B,Load!D:D,0,)</f>
        <v>Non-Chocolate Candy Only</v>
      </c>
      <c r="D2942" t="str">
        <f>_xlfn.XLOOKUP($A2942,Load!$B:$B,Load!E:E,0,)</f>
        <v>Variety / Mixed Flavors (Fruity, Sour, Seasonal Flavors)</v>
      </c>
      <c r="E2942" t="str">
        <f>_xlfn.XLOOKUP($A2942,Load!$B:$B,Load!F:F,0,)</f>
        <v>Gummy</v>
      </c>
      <c r="F2942" t="str">
        <f>_xlfn.XLOOKUP($A2942,Load!$B:$B,Load!G:G,0,)</f>
        <v>Medium Multipack (40–80 ct)</v>
      </c>
      <c r="G2942" t="str">
        <f>_xlfn.XLOOKUP($A2942,Load!$B:$B,Load!H:H,0,)</f>
        <v>Stand-Up Bag</v>
      </c>
      <c r="H2942" t="str">
        <f>_xlfn.XLOOKUP($A2942,Load!$B:$B,Load!I:I,0,)</f>
        <v>Seasonal Shapes (like pumpkins, candy corn, ghost, bats, etc.)</v>
      </c>
      <c r="I2942" t="str">
        <f>_xlfn.XLOOKUP($A2942,Load!$B:$B,Load!J:J,0,)</f>
        <v>Seasonal Graphics (Like Bat, Ghost, Pumpkin, Fall Leaves, Eyeballs, etc.)</v>
      </c>
      <c r="J2942" t="str">
        <f>_xlfn.XLOOKUP($A2942,Load!$B:$B,Load!K:K,0,)</f>
        <v>Fun Size / Treat Size</v>
      </c>
      <c r="K2942" t="str">
        <f>_xlfn.XLOOKUP($A2942,Load!$B:$B,Load!L:L,0,)</f>
        <v>Regular/Original Wrapping</v>
      </c>
      <c r="L2942" t="str">
        <f>_xlfn.XLOOKUP($A2942,Load!$B:$B,Load!M:M,0,)</f>
        <v>Single Brand / Variety Flavors or Form</v>
      </c>
    </row>
    <row r="2943" spans="1:12" x14ac:dyDescent="0.25">
      <c r="A2943" t="s">
        <v>105</v>
      </c>
      <c r="B2943" t="str">
        <f>_xlfn.XLOOKUP($A2943,Load!$B:$B,Load!C:C,0,)</f>
        <v>Frankford</v>
      </c>
      <c r="C2943" t="str">
        <f>_xlfn.XLOOKUP($A2943,Load!$B:$B,Load!D:D,0,)</f>
        <v>Non-Chocolate Candy Only</v>
      </c>
      <c r="D2943" t="str">
        <f>_xlfn.XLOOKUP($A2943,Load!$B:$B,Load!E:E,0,)</f>
        <v>Variety / Mixed Flavors (Fruity, Sour, Seasonal Flavors)</v>
      </c>
      <c r="E2943" t="str">
        <f>_xlfn.XLOOKUP($A2943,Load!$B:$B,Load!F:F,0,)</f>
        <v>Gummy</v>
      </c>
      <c r="F2943" t="str">
        <f>_xlfn.XLOOKUP($A2943,Load!$B:$B,Load!G:G,0,)</f>
        <v>Medium Multipack (40–80 ct)</v>
      </c>
      <c r="G2943" t="str">
        <f>_xlfn.XLOOKUP($A2943,Load!$B:$B,Load!H:H,0,)</f>
        <v>Stand-Up Bag</v>
      </c>
      <c r="H2943" t="str">
        <f>_xlfn.XLOOKUP($A2943,Load!$B:$B,Load!I:I,0,)</f>
        <v>Seasonal Shapes (like pumpkins, candy corn, ghost, bats, etc.)</v>
      </c>
      <c r="I2943" t="str">
        <f>_xlfn.XLOOKUP($A2943,Load!$B:$B,Load!J:J,0,)</f>
        <v>Seasonal Graphics (Like Bat, Ghost, Pumpkin, Fall Leaves, Eyeballs, etc.)</v>
      </c>
      <c r="J2943" t="str">
        <f>_xlfn.XLOOKUP($A2943,Load!$B:$B,Load!K:K,0,)</f>
        <v>Fun Size / Treat Size</v>
      </c>
      <c r="K2943" t="str">
        <f>_xlfn.XLOOKUP($A2943,Load!$B:$B,Load!L:L,0,)</f>
        <v>Regular/Original Wrapping</v>
      </c>
      <c r="L2943" t="str">
        <f>_xlfn.XLOOKUP($A2943,Load!$B:$B,Load!M:M,0,)</f>
        <v>Single Brand / Variety Flavors or Form</v>
      </c>
    </row>
    <row r="2944" spans="1:12" x14ac:dyDescent="0.25">
      <c r="B2944">
        <f>_xlfn.XLOOKUP($A2944,Load!$B:$B,Load!C:C,0,)</f>
        <v>0</v>
      </c>
      <c r="C2944">
        <f>_xlfn.XLOOKUP($A2944,Load!$B:$B,Load!D:D,0,)</f>
        <v>0</v>
      </c>
      <c r="D2944">
        <f>_xlfn.XLOOKUP($A2944,Load!$B:$B,Load!E:E,0,)</f>
        <v>0</v>
      </c>
      <c r="E2944">
        <f>_xlfn.XLOOKUP($A2944,Load!$B:$B,Load!F:F,0,)</f>
        <v>0</v>
      </c>
      <c r="F2944">
        <f>_xlfn.XLOOKUP($A2944,Load!$B:$B,Load!G:G,0,)</f>
        <v>0</v>
      </c>
      <c r="G2944">
        <f>_xlfn.XLOOKUP($A2944,Load!$B:$B,Load!H:H,0,)</f>
        <v>0</v>
      </c>
      <c r="H2944">
        <f>_xlfn.XLOOKUP($A2944,Load!$B:$B,Load!I:I,0,)</f>
        <v>0</v>
      </c>
      <c r="I2944">
        <f>_xlfn.XLOOKUP($A2944,Load!$B:$B,Load!J:J,0,)</f>
        <v>0</v>
      </c>
      <c r="J2944">
        <f>_xlfn.XLOOKUP($A2944,Load!$B:$B,Load!K:K,0,)</f>
        <v>0</v>
      </c>
      <c r="K2944">
        <f>_xlfn.XLOOKUP($A2944,Load!$B:$B,Load!L:L,0,)</f>
        <v>0</v>
      </c>
      <c r="L2944">
        <f>_xlfn.XLOOKUP($A2944,Load!$B:$B,Load!M:M,0,)</f>
        <v>0</v>
      </c>
    </row>
    <row r="2945" spans="1:12" x14ac:dyDescent="0.25">
      <c r="B2945">
        <f>_xlfn.XLOOKUP($A2945,Load!$B:$B,Load!C:C,0,)</f>
        <v>0</v>
      </c>
      <c r="C2945">
        <f>_xlfn.XLOOKUP($A2945,Load!$B:$B,Load!D:D,0,)</f>
        <v>0</v>
      </c>
      <c r="D2945">
        <f>_xlfn.XLOOKUP($A2945,Load!$B:$B,Load!E:E,0,)</f>
        <v>0</v>
      </c>
      <c r="E2945">
        <f>_xlfn.XLOOKUP($A2945,Load!$B:$B,Load!F:F,0,)</f>
        <v>0</v>
      </c>
      <c r="F2945">
        <f>_xlfn.XLOOKUP($A2945,Load!$B:$B,Load!G:G,0,)</f>
        <v>0</v>
      </c>
      <c r="G2945">
        <f>_xlfn.XLOOKUP($A2945,Load!$B:$B,Load!H:H,0,)</f>
        <v>0</v>
      </c>
      <c r="H2945">
        <f>_xlfn.XLOOKUP($A2945,Load!$B:$B,Load!I:I,0,)</f>
        <v>0</v>
      </c>
      <c r="I2945">
        <f>_xlfn.XLOOKUP($A2945,Load!$B:$B,Load!J:J,0,)</f>
        <v>0</v>
      </c>
      <c r="J2945">
        <f>_xlfn.XLOOKUP($A2945,Load!$B:$B,Load!K:K,0,)</f>
        <v>0</v>
      </c>
      <c r="K2945">
        <f>_xlfn.XLOOKUP($A2945,Load!$B:$B,Load!L:L,0,)</f>
        <v>0</v>
      </c>
      <c r="L2945">
        <f>_xlfn.XLOOKUP($A2945,Load!$B:$B,Load!M:M,0,)</f>
        <v>0</v>
      </c>
    </row>
    <row r="2946" spans="1:12" x14ac:dyDescent="0.25">
      <c r="A2946" t="s">
        <v>131</v>
      </c>
      <c r="B2946" t="str">
        <f>_xlfn.XLOOKUP($A2946,Load!$B:$B,Load!C:C,0,)</f>
        <v>Hershey's</v>
      </c>
      <c r="C2946" t="str">
        <f>_xlfn.XLOOKUP($A2946,Load!$B:$B,Load!D:D,0,)</f>
        <v>Mix of Chocolate and Non-Chocolate Candy</v>
      </c>
      <c r="D2946" t="str">
        <f>_xlfn.XLOOKUP($A2946,Load!$B:$B,Load!E:E,0,)</f>
        <v>Variety / Mixed Flavors (Fruity, Sour, Seasonal Flavors)</v>
      </c>
      <c r="E2946" t="str">
        <f>_xlfn.XLOOKUP($A2946,Load!$B:$B,Load!F:F,0,)</f>
        <v>Mixed / Combo Packs (Gummy, Chewy, Taffy, etc.)</v>
      </c>
      <c r="F2946" t="str">
        <f>_xlfn.XLOOKUP($A2946,Load!$B:$B,Load!G:G,0,)</f>
        <v>Large Multipack (More than 80 ct)</v>
      </c>
      <c r="G2946" t="str">
        <f>_xlfn.XLOOKUP($A2946,Load!$B:$B,Load!H:H,0,)</f>
        <v>Stand-Up Bag</v>
      </c>
      <c r="H2946" t="str">
        <f>_xlfn.XLOOKUP($A2946,Load!$B:$B,Load!I:I,0,)</f>
        <v>Everyday Candy Shapes (like Original, Gummy bear, Fruit, Jewels, etc.)</v>
      </c>
      <c r="I2946" t="str">
        <f>_xlfn.XLOOKUP($A2946,Load!$B:$B,Load!J:J,0,)</f>
        <v>Seasonal Graphics (Like Bat, Ghost, Pumpkin, Fall Leaves, Eyeballs, etc.)</v>
      </c>
      <c r="J2946" t="str">
        <f>_xlfn.XLOOKUP($A2946,Load!$B:$B,Load!K:K,0,)</f>
        <v>Fun Size / Treat Size</v>
      </c>
      <c r="K2946" t="str">
        <f>_xlfn.XLOOKUP($A2946,Load!$B:$B,Load!L:L,0,)</f>
        <v>Regular/Original Wrapping</v>
      </c>
      <c r="L2946" t="str">
        <f>_xlfn.XLOOKUP($A2946,Load!$B:$B,Load!M:M,0,)</f>
        <v>Multiple Brands / Variety Flavors or Form</v>
      </c>
    </row>
    <row r="2947" spans="1:12" x14ac:dyDescent="0.25">
      <c r="A2947" t="s">
        <v>229</v>
      </c>
      <c r="B2947" t="str">
        <f>_xlfn.XLOOKUP($A2947,Load!$B:$B,Load!C:C,0,)</f>
        <v>Nerds</v>
      </c>
      <c r="C2947" t="str">
        <f>_xlfn.XLOOKUP($A2947,Load!$B:$B,Load!D:D,0,)</f>
        <v>Non-Chocolate Candy Only</v>
      </c>
      <c r="D2947" t="str">
        <f>_xlfn.XLOOKUP($A2947,Load!$B:$B,Load!E:E,0,)</f>
        <v>Variety / Mixed Flavors (Fruity, Sour, Seasonal Flavors)</v>
      </c>
      <c r="E2947" t="str">
        <f>_xlfn.XLOOKUP($A2947,Load!$B:$B,Load!F:F,0,)</f>
        <v>Gummy</v>
      </c>
      <c r="F2947" t="str">
        <f>_xlfn.XLOOKUP($A2947,Load!$B:$B,Load!G:G,0,)</f>
        <v>Medium Multipack (40–80 ct)</v>
      </c>
      <c r="G2947" t="str">
        <f>_xlfn.XLOOKUP($A2947,Load!$B:$B,Load!H:H,0,)</f>
        <v>Stand-Up Bag</v>
      </c>
      <c r="H2947" t="str">
        <f>_xlfn.XLOOKUP($A2947,Load!$B:$B,Load!I:I,0,)</f>
        <v>Seasonal Shapes (like pumpkins, candy corn, ghost, bats, etc.)</v>
      </c>
      <c r="I2947" t="str">
        <f>_xlfn.XLOOKUP($A2947,Load!$B:$B,Load!J:J,0,)</f>
        <v>Seasonal Graphics (Like Bat, Ghost, Pumpkin, Fall Leaves, Eyeballs, etc.)</v>
      </c>
      <c r="J2947" t="str">
        <f>_xlfn.XLOOKUP($A2947,Load!$B:$B,Load!K:K,0,)</f>
        <v>Fun Size / Treat Size</v>
      </c>
      <c r="K2947" t="str">
        <f>_xlfn.XLOOKUP($A2947,Load!$B:$B,Load!L:L,0,)</f>
        <v>Regular/Original Wrapping</v>
      </c>
      <c r="L2947" t="str">
        <f>_xlfn.XLOOKUP($A2947,Load!$B:$B,Load!M:M,0,)</f>
        <v>Single Brand / Variety Flavors or Form</v>
      </c>
    </row>
    <row r="2948" spans="1:12" x14ac:dyDescent="0.25">
      <c r="A2948" t="s">
        <v>28</v>
      </c>
      <c r="B2948" t="str">
        <f>_xlfn.XLOOKUP($A2948,Load!$B:$B,Load!C:C,0,)</f>
        <v>AMOS</v>
      </c>
      <c r="C2948" t="str">
        <f>_xlfn.XLOOKUP($A2948,Load!$B:$B,Load!D:D,0,)</f>
        <v>Non-Chocolate Candy Only</v>
      </c>
      <c r="D2948" t="str">
        <f>_xlfn.XLOOKUP($A2948,Load!$B:$B,Load!E:E,0,)</f>
        <v>Sour</v>
      </c>
      <c r="E2948" t="str">
        <f>_xlfn.XLOOKUP($A2948,Load!$B:$B,Load!F:F,0,)</f>
        <v>Gummy</v>
      </c>
      <c r="F2948" t="str">
        <f>_xlfn.XLOOKUP($A2948,Load!$B:$B,Load!G:G,0,)</f>
        <v>Small Multipack (Less than 40 ct)</v>
      </c>
      <c r="G2948" t="str">
        <f>_xlfn.XLOOKUP($A2948,Load!$B:$B,Load!H:H,0,)</f>
        <v>Box (theatre box, gift box, carton)</v>
      </c>
      <c r="H2948" t="str">
        <f>_xlfn.XLOOKUP($A2948,Load!$B:$B,Load!I:I,0,)</f>
        <v>Seasonal Shapes (like pumpkins, candy corn, ghost, bats, etc.)</v>
      </c>
      <c r="I2948" t="str">
        <f>_xlfn.XLOOKUP($A2948,Load!$B:$B,Load!J:J,0,)</f>
        <v>Seasonal Graphics (Like Bat, Ghost, Pumpkin, Fall Leaves, Eyeballs, etc.)</v>
      </c>
      <c r="J2948" t="str">
        <f>_xlfn.XLOOKUP($A2948,Load!$B:$B,Load!K:K,0,)</f>
        <v>Small Pieces (Tiny bite size candies)</v>
      </c>
      <c r="K2948" t="str">
        <f>_xlfn.XLOOKUP($A2948,Load!$B:$B,Load!L:L,0,)</f>
        <v>Unwrapped</v>
      </c>
      <c r="L2948" t="str">
        <f>_xlfn.XLOOKUP($A2948,Load!$B:$B,Load!M:M,0,)</f>
        <v>Single Brand / Variety Flavors or Form</v>
      </c>
    </row>
    <row r="2949" spans="1:12" x14ac:dyDescent="0.25">
      <c r="A2949" t="s">
        <v>301</v>
      </c>
      <c r="B2949" t="str">
        <f>_xlfn.XLOOKUP($A2949,Load!$B:$B,Load!C:C,0,)</f>
        <v>Twizzlers</v>
      </c>
      <c r="C2949" t="str">
        <f>_xlfn.XLOOKUP($A2949,Load!$B:$B,Load!D:D,0,)</f>
        <v>Non-Chocolate Candy Only</v>
      </c>
      <c r="D2949" t="str">
        <f>_xlfn.XLOOKUP($A2949,Load!$B:$B,Load!E:E,0,)</f>
        <v>Variety / Mixed Flavors (Fruity, Sour, Seasonal Flavors)</v>
      </c>
      <c r="E2949" t="str">
        <f>_xlfn.XLOOKUP($A2949,Load!$B:$B,Load!F:F,0,)</f>
        <v>Mixed / Combo Packs (Gummy, Chewy, Taffy, etc.)</v>
      </c>
      <c r="F2949" t="str">
        <f>_xlfn.XLOOKUP($A2949,Load!$B:$B,Load!G:G,0,)</f>
        <v>Medium Multipack (40–80 ct)</v>
      </c>
      <c r="G2949" t="str">
        <f>_xlfn.XLOOKUP($A2949,Load!$B:$B,Load!H:H,0,)</f>
        <v>Laydown Bag</v>
      </c>
      <c r="H2949" t="str">
        <f>_xlfn.XLOOKUP($A2949,Load!$B:$B,Load!I:I,0,)</f>
        <v>Everyday Candy Shapes (like Original, Gummy bear, Fruit, Jewels, etc.)</v>
      </c>
      <c r="I2949" t="str">
        <f>_xlfn.XLOOKUP($A2949,Load!$B:$B,Load!J:J,0,)</f>
        <v>Seasonal Graphics (Like Bat, Ghost, Pumpkin, Fall Leaves, Eyeballs, etc.)</v>
      </c>
      <c r="J2949" t="str">
        <f>_xlfn.XLOOKUP($A2949,Load!$B:$B,Load!K:K,0,)</f>
        <v>Fun Size / Treat Size</v>
      </c>
      <c r="K2949" t="str">
        <f>_xlfn.XLOOKUP($A2949,Load!$B:$B,Load!L:L,0,)</f>
        <v>Regular/Original Wrapping</v>
      </c>
      <c r="L2949" t="str">
        <f>_xlfn.XLOOKUP($A2949,Load!$B:$B,Load!M:M,0,)</f>
        <v>Single Brand / Variety Flavors or Form</v>
      </c>
    </row>
    <row r="2950" spans="1:12" x14ac:dyDescent="0.25">
      <c r="B2950">
        <f>_xlfn.XLOOKUP($A2950,Load!$B:$B,Load!C:C,0,)</f>
        <v>0</v>
      </c>
      <c r="C2950">
        <f>_xlfn.XLOOKUP($A2950,Load!$B:$B,Load!D:D,0,)</f>
        <v>0</v>
      </c>
      <c r="D2950">
        <f>_xlfn.XLOOKUP($A2950,Load!$B:$B,Load!E:E,0,)</f>
        <v>0</v>
      </c>
      <c r="E2950">
        <f>_xlfn.XLOOKUP($A2950,Load!$B:$B,Load!F:F,0,)</f>
        <v>0</v>
      </c>
      <c r="F2950">
        <f>_xlfn.XLOOKUP($A2950,Load!$B:$B,Load!G:G,0,)</f>
        <v>0</v>
      </c>
      <c r="G2950">
        <f>_xlfn.XLOOKUP($A2950,Load!$B:$B,Load!H:H,0,)</f>
        <v>0</v>
      </c>
      <c r="H2950">
        <f>_xlfn.XLOOKUP($A2950,Load!$B:$B,Load!I:I,0,)</f>
        <v>0</v>
      </c>
      <c r="I2950">
        <f>_xlfn.XLOOKUP($A2950,Load!$B:$B,Load!J:J,0,)</f>
        <v>0</v>
      </c>
      <c r="J2950">
        <f>_xlfn.XLOOKUP($A2950,Load!$B:$B,Load!K:K,0,)</f>
        <v>0</v>
      </c>
      <c r="K2950">
        <f>_xlfn.XLOOKUP($A2950,Load!$B:$B,Load!L:L,0,)</f>
        <v>0</v>
      </c>
      <c r="L2950">
        <f>_xlfn.XLOOKUP($A2950,Load!$B:$B,Load!M:M,0,)</f>
        <v>0</v>
      </c>
    </row>
    <row r="2951" spans="1:12" x14ac:dyDescent="0.25">
      <c r="B2951">
        <f>_xlfn.XLOOKUP($A2951,Load!$B:$B,Load!C:C,0,)</f>
        <v>0</v>
      </c>
      <c r="C2951">
        <f>_xlfn.XLOOKUP($A2951,Load!$B:$B,Load!D:D,0,)</f>
        <v>0</v>
      </c>
      <c r="D2951">
        <f>_xlfn.XLOOKUP($A2951,Load!$B:$B,Load!E:E,0,)</f>
        <v>0</v>
      </c>
      <c r="E2951">
        <f>_xlfn.XLOOKUP($A2951,Load!$B:$B,Load!F:F,0,)</f>
        <v>0</v>
      </c>
      <c r="F2951">
        <f>_xlfn.XLOOKUP($A2951,Load!$B:$B,Load!G:G,0,)</f>
        <v>0</v>
      </c>
      <c r="G2951">
        <f>_xlfn.XLOOKUP($A2951,Load!$B:$B,Load!H:H,0,)</f>
        <v>0</v>
      </c>
      <c r="H2951">
        <f>_xlfn.XLOOKUP($A2951,Load!$B:$B,Load!I:I,0,)</f>
        <v>0</v>
      </c>
      <c r="I2951">
        <f>_xlfn.XLOOKUP($A2951,Load!$B:$B,Load!J:J,0,)</f>
        <v>0</v>
      </c>
      <c r="J2951">
        <f>_xlfn.XLOOKUP($A2951,Load!$B:$B,Load!K:K,0,)</f>
        <v>0</v>
      </c>
      <c r="K2951">
        <f>_xlfn.XLOOKUP($A2951,Load!$B:$B,Load!L:L,0,)</f>
        <v>0</v>
      </c>
      <c r="L2951">
        <f>_xlfn.XLOOKUP($A2951,Load!$B:$B,Load!M:M,0,)</f>
        <v>0</v>
      </c>
    </row>
    <row r="2952" spans="1:12" x14ac:dyDescent="0.25">
      <c r="A2952" t="s">
        <v>133</v>
      </c>
      <c r="B2952" t="str">
        <f>_xlfn.XLOOKUP($A2952,Load!$B:$B,Load!C:C,0,)</f>
        <v>Hershey's</v>
      </c>
      <c r="C2952" t="str">
        <f>_xlfn.XLOOKUP($A2952,Load!$B:$B,Load!D:D,0,)</f>
        <v>Non-Chocolate Candy Only</v>
      </c>
      <c r="D2952" t="str">
        <f>_xlfn.XLOOKUP($A2952,Load!$B:$B,Load!E:E,0,)</f>
        <v>Variety / Mixed Flavors (Fruity, Sour, Seasonal Flavors)</v>
      </c>
      <c r="E2952" t="str">
        <f>_xlfn.XLOOKUP($A2952,Load!$B:$B,Load!F:F,0,)</f>
        <v>Mixed / Combo Packs (Gummy, Chewy, Taffy, etc.)</v>
      </c>
      <c r="F2952" t="str">
        <f>_xlfn.XLOOKUP($A2952,Load!$B:$B,Load!G:G,0,)</f>
        <v>Large Multipack (More than 80 ct)</v>
      </c>
      <c r="G2952" t="str">
        <f>_xlfn.XLOOKUP($A2952,Load!$B:$B,Load!H:H,0,)</f>
        <v>Stand-Up Bag</v>
      </c>
      <c r="H2952" t="str">
        <f>_xlfn.XLOOKUP($A2952,Load!$B:$B,Load!I:I,0,)</f>
        <v>Everyday Candy Shapes (like Original, Gummy bear, Fruit, Jewels, etc.)</v>
      </c>
      <c r="I2952" t="str">
        <f>_xlfn.XLOOKUP($A2952,Load!$B:$B,Load!J:J,0,)</f>
        <v>Seasonal Graphics (Like Bat, Ghost, Pumpkin, Fall Leaves, Eyeballs, etc.)</v>
      </c>
      <c r="J2952" t="str">
        <f>_xlfn.XLOOKUP($A2952,Load!$B:$B,Load!K:K,0,)</f>
        <v>Fun Size / Treat Size</v>
      </c>
      <c r="K2952" t="str">
        <f>_xlfn.XLOOKUP($A2952,Load!$B:$B,Load!L:L,0,)</f>
        <v>Regular/Original Wrapping</v>
      </c>
      <c r="L2952" t="str">
        <f>_xlfn.XLOOKUP($A2952,Load!$B:$B,Load!M:M,0,)</f>
        <v>Multiple Brands / Variety Flavors or Form</v>
      </c>
    </row>
    <row r="2953" spans="1:12" x14ac:dyDescent="0.25">
      <c r="A2953" t="s">
        <v>288</v>
      </c>
      <c r="B2953" t="str">
        <f>_xlfn.XLOOKUP($A2953,Load!$B:$B,Load!C:C,0,)</f>
        <v>SweeTARTS</v>
      </c>
      <c r="C2953" t="str">
        <f>_xlfn.XLOOKUP($A2953,Load!$B:$B,Load!D:D,0,)</f>
        <v>Non-Chocolate Candy Only</v>
      </c>
      <c r="D2953" t="str">
        <f>_xlfn.XLOOKUP($A2953,Load!$B:$B,Load!E:E,0,)</f>
        <v>Variety / Mixed Flavors (Fruity, Sour, Seasonal Flavors)</v>
      </c>
      <c r="E2953" t="str">
        <f>_xlfn.XLOOKUP($A2953,Load!$B:$B,Load!F:F,0,)</f>
        <v>Mixed / Combo Packs (Gummy, Chewy, Taffy, etc.)</v>
      </c>
      <c r="F2953" t="str">
        <f>_xlfn.XLOOKUP($A2953,Load!$B:$B,Load!G:G,0,)</f>
        <v>Medium Multipack (40–80 ct)</v>
      </c>
      <c r="G2953" t="str">
        <f>_xlfn.XLOOKUP($A2953,Load!$B:$B,Load!H:H,0,)</f>
        <v>Stand-Up Bag</v>
      </c>
      <c r="H2953" t="str">
        <f>_xlfn.XLOOKUP($A2953,Load!$B:$B,Load!I:I,0,)</f>
        <v>Everyday Candy Shapes (like Original, Gummy bear, Fruit, Jewels, etc.)</v>
      </c>
      <c r="I2953" t="str">
        <f>_xlfn.XLOOKUP($A2953,Load!$B:$B,Load!J:J,0,)</f>
        <v>Seasonal Graphics (Like Bat, Ghost, Pumpkin, Fall Leaves, Eyeballs, etc.)</v>
      </c>
      <c r="J2953" t="str">
        <f>_xlfn.XLOOKUP($A2953,Load!$B:$B,Load!K:K,0,)</f>
        <v>Small Pieces (Tiny bite size candies)</v>
      </c>
      <c r="K2953" t="str">
        <f>_xlfn.XLOOKUP($A2953,Load!$B:$B,Load!L:L,0,)</f>
        <v>Regular/Original Wrapping</v>
      </c>
      <c r="L2953" t="str">
        <f>_xlfn.XLOOKUP($A2953,Load!$B:$B,Load!M:M,0,)</f>
        <v>Single Brand / Variety Flavors or Form</v>
      </c>
    </row>
    <row r="2954" spans="1:12" x14ac:dyDescent="0.25">
      <c r="A2954" t="s">
        <v>256</v>
      </c>
      <c r="B2954" t="str">
        <f>_xlfn.XLOOKUP($A2954,Load!$B:$B,Load!C:C,0,)</f>
        <v>Skittles</v>
      </c>
      <c r="C2954" t="str">
        <f>_xlfn.XLOOKUP($A2954,Load!$B:$B,Load!D:D,0,)</f>
        <v>Non-Chocolate Candy Only</v>
      </c>
      <c r="D2954" t="str">
        <f>_xlfn.XLOOKUP($A2954,Load!$B:$B,Load!E:E,0,)</f>
        <v>Sour</v>
      </c>
      <c r="E2954" t="str">
        <f>_xlfn.XLOOKUP($A2954,Load!$B:$B,Load!F:F,0,)</f>
        <v>Chewy</v>
      </c>
      <c r="F2954" t="str">
        <f>_xlfn.XLOOKUP($A2954,Load!$B:$B,Load!G:G,0,)</f>
        <v>Single Pack</v>
      </c>
      <c r="G2954" t="str">
        <f>_xlfn.XLOOKUP($A2954,Load!$B:$B,Load!H:H,0,)</f>
        <v>Laydown Bag</v>
      </c>
      <c r="H2954" t="str">
        <f>_xlfn.XLOOKUP($A2954,Load!$B:$B,Load!I:I,0,)</f>
        <v>Seasonal Shapes (like pumpkins, candy corn, ghost, bats, etc.)</v>
      </c>
      <c r="I2954" t="str">
        <f>_xlfn.XLOOKUP($A2954,Load!$B:$B,Load!J:J,0,)</f>
        <v>Seasonal Graphics (Like Bat, Ghost, Pumpkin, Fall Leaves, Eyeballs, etc.)</v>
      </c>
      <c r="J2954" t="str">
        <f>_xlfn.XLOOKUP($A2954,Load!$B:$B,Load!K:K,0,)</f>
        <v>Small Pieces (Tiny bite size candies)</v>
      </c>
      <c r="K2954" t="str">
        <f>_xlfn.XLOOKUP($A2954,Load!$B:$B,Load!L:L,0,)</f>
        <v>Regular/Original Wrapping</v>
      </c>
      <c r="L2954" t="str">
        <f>_xlfn.XLOOKUP($A2954,Load!$B:$B,Load!M:M,0,)</f>
        <v>Single Brand / Variety Flavors or Form</v>
      </c>
    </row>
    <row r="2955" spans="1:12" x14ac:dyDescent="0.25">
      <c r="A2955" t="s">
        <v>259</v>
      </c>
      <c r="B2955" t="str">
        <f>_xlfn.XLOOKUP($A2955,Load!$B:$B,Load!C:C,0,)</f>
        <v>Skittles</v>
      </c>
      <c r="C2955" t="str">
        <f>_xlfn.XLOOKUP($A2955,Load!$B:$B,Load!D:D,0,)</f>
        <v>Non-Chocolate Candy Only</v>
      </c>
      <c r="D2955" t="str">
        <f>_xlfn.XLOOKUP($A2955,Load!$B:$B,Load!E:E,0,)</f>
        <v>Sour</v>
      </c>
      <c r="E2955" t="str">
        <f>_xlfn.XLOOKUP($A2955,Load!$B:$B,Load!F:F,0,)</f>
        <v>Chewy</v>
      </c>
      <c r="F2955" t="str">
        <f>_xlfn.XLOOKUP($A2955,Load!$B:$B,Load!G:G,0,)</f>
        <v>Small Multipack (Less than 40 ct)</v>
      </c>
      <c r="G2955" t="str">
        <f>_xlfn.XLOOKUP($A2955,Load!$B:$B,Load!H:H,0,)</f>
        <v>Laydown Bag</v>
      </c>
      <c r="H2955" t="str">
        <f>_xlfn.XLOOKUP($A2955,Load!$B:$B,Load!I:I,0,)</f>
        <v>Everyday Candy Shapes (like Original, Gummy bear, Fruit, Jewels, etc.)</v>
      </c>
      <c r="I2955" t="str">
        <f>_xlfn.XLOOKUP($A2955,Load!$B:$B,Load!J:J,0,)</f>
        <v>Seasonal Graphics (Like Bat, Ghost, Pumpkin, Fall Leaves, Eyeballs, etc.)</v>
      </c>
      <c r="J2955" t="str">
        <f>_xlfn.XLOOKUP($A2955,Load!$B:$B,Load!K:K,0,)</f>
        <v>Small Pieces (Tiny bite size candies)</v>
      </c>
      <c r="K2955" t="str">
        <f>_xlfn.XLOOKUP($A2955,Load!$B:$B,Load!L:L,0,)</f>
        <v>Regular/Original Wrapping</v>
      </c>
      <c r="L2955" t="str">
        <f>_xlfn.XLOOKUP($A2955,Load!$B:$B,Load!M:M,0,)</f>
        <v>Single Brand / Variety Flavors or Form</v>
      </c>
    </row>
    <row r="2956" spans="1:12" x14ac:dyDescent="0.25">
      <c r="A2956" t="s">
        <v>176</v>
      </c>
      <c r="B2956" t="str">
        <f>_xlfn.XLOOKUP($A2956,Load!$B:$B,Load!C:C,0,)</f>
        <v>Mars Variety Pack</v>
      </c>
      <c r="C2956" t="str">
        <f>_xlfn.XLOOKUP($A2956,Load!$B:$B,Load!D:D,0,)</f>
        <v>Non-Chocolate Candy Only</v>
      </c>
      <c r="D2956" t="str">
        <f>_xlfn.XLOOKUP($A2956,Load!$B:$B,Load!E:E,0,)</f>
        <v>Variety / Mixed Flavors (Fruity, Sour, Seasonal Flavors)</v>
      </c>
      <c r="E2956" t="str">
        <f>_xlfn.XLOOKUP($A2956,Load!$B:$B,Load!F:F,0,)</f>
        <v>Mixed / Combo Packs (Gummy, Chewy, Taffy, etc.)</v>
      </c>
      <c r="F2956" t="str">
        <f>_xlfn.XLOOKUP($A2956,Load!$B:$B,Load!G:G,0,)</f>
        <v>Large Multipack (More than 80 ct)</v>
      </c>
      <c r="G2956" t="str">
        <f>_xlfn.XLOOKUP($A2956,Load!$B:$B,Load!H:H,0,)</f>
        <v>Stand-Up Bag</v>
      </c>
      <c r="H2956" t="str">
        <f>_xlfn.XLOOKUP($A2956,Load!$B:$B,Load!I:I,0,)</f>
        <v>Everyday Candy Shapes (like Original, Gummy bear, Fruit, Jewels, etc.)</v>
      </c>
      <c r="I2956" t="str">
        <f>_xlfn.XLOOKUP($A2956,Load!$B:$B,Load!J:J,0,)</f>
        <v>Seasonal Graphics (Like Bat, Ghost, Pumpkin, Fall Leaves, Eyeballs, etc.)</v>
      </c>
      <c r="J2956" t="str">
        <f>_xlfn.XLOOKUP($A2956,Load!$B:$B,Load!K:K,0,)</f>
        <v>Fun Size / Treat Size</v>
      </c>
      <c r="K2956" t="str">
        <f>_xlfn.XLOOKUP($A2956,Load!$B:$B,Load!L:L,0,)</f>
        <v>Regular/Original Wrapping</v>
      </c>
      <c r="L2956" t="str">
        <f>_xlfn.XLOOKUP($A2956,Load!$B:$B,Load!M:M,0,)</f>
        <v>Multiple Brands / Variety Flavors or Form</v>
      </c>
    </row>
    <row r="2957" spans="1:12" x14ac:dyDescent="0.25">
      <c r="A2957" t="s">
        <v>121</v>
      </c>
      <c r="B2957" t="str">
        <f>_xlfn.XLOOKUP($A2957,Load!$B:$B,Load!C:C,0,)</f>
        <v>HARIBO</v>
      </c>
      <c r="C2957" t="str">
        <f>_xlfn.XLOOKUP($A2957,Load!$B:$B,Load!D:D,0,)</f>
        <v>Non-Chocolate Candy Only</v>
      </c>
      <c r="D2957" t="str">
        <f>_xlfn.XLOOKUP($A2957,Load!$B:$B,Load!E:E,0,)</f>
        <v>Variety / Mixed Flavors (Fruity, Sour, Seasonal Flavors)</v>
      </c>
      <c r="E2957" t="str">
        <f>_xlfn.XLOOKUP($A2957,Load!$B:$B,Load!F:F,0,)</f>
        <v>Gummy</v>
      </c>
      <c r="F2957" t="str">
        <f>_xlfn.XLOOKUP($A2957,Load!$B:$B,Load!G:G,0,)</f>
        <v>Large Multipack (More than 80 ct)</v>
      </c>
      <c r="G2957" t="str">
        <f>_xlfn.XLOOKUP($A2957,Load!$B:$B,Load!H:H,0,)</f>
        <v>Stand-Up Bag</v>
      </c>
      <c r="H2957" t="str">
        <f>_xlfn.XLOOKUP($A2957,Load!$B:$B,Load!I:I,0,)</f>
        <v>Seasonal Shapes (like pumpkins, candy corn, ghost, bats, etc.)</v>
      </c>
      <c r="I2957" t="str">
        <f>_xlfn.XLOOKUP($A2957,Load!$B:$B,Load!J:J,0,)</f>
        <v>Seasonal Graphics (Like Bat, Ghost, Pumpkin, Fall Leaves, Eyeballs, etc.)</v>
      </c>
      <c r="J2957" t="str">
        <f>_xlfn.XLOOKUP($A2957,Load!$B:$B,Load!K:K,0,)</f>
        <v>Fun Size / Treat Size</v>
      </c>
      <c r="K2957" t="str">
        <f>_xlfn.XLOOKUP($A2957,Load!$B:$B,Load!L:L,0,)</f>
        <v>Regular/Original Wrapping</v>
      </c>
      <c r="L2957" t="str">
        <f>_xlfn.XLOOKUP($A2957,Load!$B:$B,Load!M:M,0,)</f>
        <v>Multiple Brands / Variety Flavors or Form</v>
      </c>
    </row>
    <row r="2958" spans="1:12" x14ac:dyDescent="0.25">
      <c r="A2958" t="s">
        <v>71</v>
      </c>
      <c r="B2958" t="str">
        <f>_xlfn.XLOOKUP($A2958,Load!$B:$B,Load!C:C,0,)</f>
        <v>Dum Dums</v>
      </c>
      <c r="C2958" t="str">
        <f>_xlfn.XLOOKUP($A2958,Load!$B:$B,Load!D:D,0,)</f>
        <v>Non-Chocolate Candy Only</v>
      </c>
      <c r="D2958" t="str">
        <f>_xlfn.XLOOKUP($A2958,Load!$B:$B,Load!E:E,0,)</f>
        <v>Sweet</v>
      </c>
      <c r="E2958" t="str">
        <f>_xlfn.XLOOKUP($A2958,Load!$B:$B,Load!F:F,0,)</f>
        <v>Lollipop (regular or lollipop rings)</v>
      </c>
      <c r="F2958" t="str">
        <f>_xlfn.XLOOKUP($A2958,Load!$B:$B,Load!G:G,0,)</f>
        <v>Large Multipack (More than 80 ct)</v>
      </c>
      <c r="G2958" t="str">
        <f>_xlfn.XLOOKUP($A2958,Load!$B:$B,Load!H:H,0,)</f>
        <v>Stand-Up Bag</v>
      </c>
      <c r="H2958" t="str">
        <f>_xlfn.XLOOKUP($A2958,Load!$B:$B,Load!I:I,0,)</f>
        <v>Everyday Candy Shapes (like Original, Gummy bear, Fruit, Jewels, etc.)</v>
      </c>
      <c r="I2958" t="str">
        <f>_xlfn.XLOOKUP($A2958,Load!$B:$B,Load!J:J,0,)</f>
        <v>Seasonal Graphics (Like Bat, Ghost, Pumpkin, Fall Leaves, Eyeballs, etc.)</v>
      </c>
      <c r="J2958" t="str">
        <f>_xlfn.XLOOKUP($A2958,Load!$B:$B,Load!K:K,0,)</f>
        <v>Regular Lollipop size (on sticks or rings)</v>
      </c>
      <c r="K2958" t="str">
        <f>_xlfn.XLOOKUP($A2958,Load!$B:$B,Load!L:L,0,)</f>
        <v>Regular/Original Wrapping</v>
      </c>
      <c r="L2958" t="str">
        <f>_xlfn.XLOOKUP($A2958,Load!$B:$B,Load!M:M,0,)</f>
        <v>Multiple Brands / Variety Flavors or Form</v>
      </c>
    </row>
    <row r="2959" spans="1:12" x14ac:dyDescent="0.25">
      <c r="B2959">
        <f>_xlfn.XLOOKUP($A2959,Load!$B:$B,Load!C:C,0,)</f>
        <v>0</v>
      </c>
      <c r="C2959">
        <f>_xlfn.XLOOKUP($A2959,Load!$B:$B,Load!D:D,0,)</f>
        <v>0</v>
      </c>
      <c r="D2959">
        <f>_xlfn.XLOOKUP($A2959,Load!$B:$B,Load!E:E,0,)</f>
        <v>0</v>
      </c>
      <c r="E2959">
        <f>_xlfn.XLOOKUP($A2959,Load!$B:$B,Load!F:F,0,)</f>
        <v>0</v>
      </c>
      <c r="F2959">
        <f>_xlfn.XLOOKUP($A2959,Load!$B:$B,Load!G:G,0,)</f>
        <v>0</v>
      </c>
      <c r="G2959">
        <f>_xlfn.XLOOKUP($A2959,Load!$B:$B,Load!H:H,0,)</f>
        <v>0</v>
      </c>
      <c r="H2959">
        <f>_xlfn.XLOOKUP($A2959,Load!$B:$B,Load!I:I,0,)</f>
        <v>0</v>
      </c>
      <c r="I2959">
        <f>_xlfn.XLOOKUP($A2959,Load!$B:$B,Load!J:J,0,)</f>
        <v>0</v>
      </c>
      <c r="J2959">
        <f>_xlfn.XLOOKUP($A2959,Load!$B:$B,Load!K:K,0,)</f>
        <v>0</v>
      </c>
      <c r="K2959">
        <f>_xlfn.XLOOKUP($A2959,Load!$B:$B,Load!L:L,0,)</f>
        <v>0</v>
      </c>
      <c r="L2959">
        <f>_xlfn.XLOOKUP($A2959,Load!$B:$B,Load!M:M,0,)</f>
        <v>0</v>
      </c>
    </row>
    <row r="2960" spans="1:12" x14ac:dyDescent="0.25">
      <c r="A2960" t="s">
        <v>274</v>
      </c>
      <c r="B2960" t="str">
        <f>_xlfn.XLOOKUP($A2960,Load!$B:$B,Load!C:C,0,)</f>
        <v>Sour Patch Kids</v>
      </c>
      <c r="C2960" t="str">
        <f>_xlfn.XLOOKUP($A2960,Load!$B:$B,Load!D:D,0,)</f>
        <v>Non-Chocolate Candy Only</v>
      </c>
      <c r="D2960" t="str">
        <f>_xlfn.XLOOKUP($A2960,Load!$B:$B,Load!E:E,0,)</f>
        <v>Sour</v>
      </c>
      <c r="E2960" t="str">
        <f>_xlfn.XLOOKUP($A2960,Load!$B:$B,Load!F:F,0,)</f>
        <v>Chewy</v>
      </c>
      <c r="F2960" t="str">
        <f>_xlfn.XLOOKUP($A2960,Load!$B:$B,Load!G:G,0,)</f>
        <v>Small Multipack (Less than 40 ct)</v>
      </c>
      <c r="G2960" t="str">
        <f>_xlfn.XLOOKUP($A2960,Load!$B:$B,Load!H:H,0,)</f>
        <v>Stand-Up Bag</v>
      </c>
      <c r="H2960" t="str">
        <f>_xlfn.XLOOKUP($A2960,Load!$B:$B,Load!I:I,0,)</f>
        <v>Everyday Candy Shapes (like Original, Gummy bear, Fruit, Jewels, etc.)</v>
      </c>
      <c r="I2960" t="str">
        <f>_xlfn.XLOOKUP($A2960,Load!$B:$B,Load!J:J,0,)</f>
        <v>Everyday Graphics</v>
      </c>
      <c r="J2960" t="str">
        <f>_xlfn.XLOOKUP($A2960,Load!$B:$B,Load!K:K,0,)</f>
        <v>Small Pieces (Tiny bite size candies)</v>
      </c>
      <c r="K2960" t="str">
        <f>_xlfn.XLOOKUP($A2960,Load!$B:$B,Load!L:L,0,)</f>
        <v>Unwrapped</v>
      </c>
      <c r="L2960" t="str">
        <f>_xlfn.XLOOKUP($A2960,Load!$B:$B,Load!M:M,0,)</f>
        <v>Single Brand / Variety Flavors or Form</v>
      </c>
    </row>
    <row r="2961" spans="1:12" x14ac:dyDescent="0.25">
      <c r="B2961">
        <f>_xlfn.XLOOKUP($A2961,Load!$B:$B,Load!C:C,0,)</f>
        <v>0</v>
      </c>
      <c r="C2961">
        <f>_xlfn.XLOOKUP($A2961,Load!$B:$B,Load!D:D,0,)</f>
        <v>0</v>
      </c>
      <c r="D2961">
        <f>_xlfn.XLOOKUP($A2961,Load!$B:$B,Load!E:E,0,)</f>
        <v>0</v>
      </c>
      <c r="E2961">
        <f>_xlfn.XLOOKUP($A2961,Load!$B:$B,Load!F:F,0,)</f>
        <v>0</v>
      </c>
      <c r="F2961">
        <f>_xlfn.XLOOKUP($A2961,Load!$B:$B,Load!G:G,0,)</f>
        <v>0</v>
      </c>
      <c r="G2961">
        <f>_xlfn.XLOOKUP($A2961,Load!$B:$B,Load!H:H,0,)</f>
        <v>0</v>
      </c>
      <c r="H2961">
        <f>_xlfn.XLOOKUP($A2961,Load!$B:$B,Load!I:I,0,)</f>
        <v>0</v>
      </c>
      <c r="I2961">
        <f>_xlfn.XLOOKUP($A2961,Load!$B:$B,Load!J:J,0,)</f>
        <v>0</v>
      </c>
      <c r="J2961">
        <f>_xlfn.XLOOKUP($A2961,Load!$B:$B,Load!K:K,0,)</f>
        <v>0</v>
      </c>
      <c r="K2961">
        <f>_xlfn.XLOOKUP($A2961,Load!$B:$B,Load!L:L,0,)</f>
        <v>0</v>
      </c>
      <c r="L2961">
        <f>_xlfn.XLOOKUP($A2961,Load!$B:$B,Load!M:M,0,)</f>
        <v>0</v>
      </c>
    </row>
    <row r="2962" spans="1:12" x14ac:dyDescent="0.25">
      <c r="B2962">
        <f>_xlfn.XLOOKUP($A2962,Load!$B:$B,Load!C:C,0,)</f>
        <v>0</v>
      </c>
      <c r="C2962">
        <f>_xlfn.XLOOKUP($A2962,Load!$B:$B,Load!D:D,0,)</f>
        <v>0</v>
      </c>
      <c r="D2962">
        <f>_xlfn.XLOOKUP($A2962,Load!$B:$B,Load!E:E,0,)</f>
        <v>0</v>
      </c>
      <c r="E2962">
        <f>_xlfn.XLOOKUP($A2962,Load!$B:$B,Load!F:F,0,)</f>
        <v>0</v>
      </c>
      <c r="F2962">
        <f>_xlfn.XLOOKUP($A2962,Load!$B:$B,Load!G:G,0,)</f>
        <v>0</v>
      </c>
      <c r="G2962">
        <f>_xlfn.XLOOKUP($A2962,Load!$B:$B,Load!H:H,0,)</f>
        <v>0</v>
      </c>
      <c r="H2962">
        <f>_xlfn.XLOOKUP($A2962,Load!$B:$B,Load!I:I,0,)</f>
        <v>0</v>
      </c>
      <c r="I2962">
        <f>_xlfn.XLOOKUP($A2962,Load!$B:$B,Load!J:J,0,)</f>
        <v>0</v>
      </c>
      <c r="J2962">
        <f>_xlfn.XLOOKUP($A2962,Load!$B:$B,Load!K:K,0,)</f>
        <v>0</v>
      </c>
      <c r="K2962">
        <f>_xlfn.XLOOKUP($A2962,Load!$B:$B,Load!L:L,0,)</f>
        <v>0</v>
      </c>
      <c r="L2962">
        <f>_xlfn.XLOOKUP($A2962,Load!$B:$B,Load!M:M,0,)</f>
        <v>0</v>
      </c>
    </row>
    <row r="2963" spans="1:12" x14ac:dyDescent="0.25">
      <c r="B2963">
        <f>_xlfn.XLOOKUP($A2963,Load!$B:$B,Load!C:C,0,)</f>
        <v>0</v>
      </c>
      <c r="C2963">
        <f>_xlfn.XLOOKUP($A2963,Load!$B:$B,Load!D:D,0,)</f>
        <v>0</v>
      </c>
      <c r="D2963">
        <f>_xlfn.XLOOKUP($A2963,Load!$B:$B,Load!E:E,0,)</f>
        <v>0</v>
      </c>
      <c r="E2963">
        <f>_xlfn.XLOOKUP($A2963,Load!$B:$B,Load!F:F,0,)</f>
        <v>0</v>
      </c>
      <c r="F2963">
        <f>_xlfn.XLOOKUP($A2963,Load!$B:$B,Load!G:G,0,)</f>
        <v>0</v>
      </c>
      <c r="G2963">
        <f>_xlfn.XLOOKUP($A2963,Load!$B:$B,Load!H:H,0,)</f>
        <v>0</v>
      </c>
      <c r="H2963">
        <f>_xlfn.XLOOKUP($A2963,Load!$B:$B,Load!I:I,0,)</f>
        <v>0</v>
      </c>
      <c r="I2963">
        <f>_xlfn.XLOOKUP($A2963,Load!$B:$B,Load!J:J,0,)</f>
        <v>0</v>
      </c>
      <c r="J2963">
        <f>_xlfn.XLOOKUP($A2963,Load!$B:$B,Load!K:K,0,)</f>
        <v>0</v>
      </c>
      <c r="K2963">
        <f>_xlfn.XLOOKUP($A2963,Load!$B:$B,Load!L:L,0,)</f>
        <v>0</v>
      </c>
      <c r="L2963">
        <f>_xlfn.XLOOKUP($A2963,Load!$B:$B,Load!M:M,0,)</f>
        <v>0</v>
      </c>
    </row>
    <row r="2964" spans="1:12" x14ac:dyDescent="0.25">
      <c r="A2964" t="s">
        <v>156</v>
      </c>
      <c r="B2964" t="str">
        <f>_xlfn.XLOOKUP($A2964,Load!$B:$B,Load!C:C,0,)</f>
        <v>Jolly Rancher</v>
      </c>
      <c r="C2964" t="str">
        <f>_xlfn.XLOOKUP($A2964,Load!$B:$B,Load!D:D,0,)</f>
        <v>Non-Chocolate Candy Only</v>
      </c>
      <c r="D2964" t="str">
        <f>_xlfn.XLOOKUP($A2964,Load!$B:$B,Load!E:E,0,)</f>
        <v>Fruit Flavor (Cherry, Grape, Apple, Citrus, Tropical Fruit)</v>
      </c>
      <c r="E2964" t="str">
        <f>_xlfn.XLOOKUP($A2964,Load!$B:$B,Load!F:F,0,)</f>
        <v>Gummy</v>
      </c>
      <c r="F2964" t="str">
        <f>_xlfn.XLOOKUP($A2964,Load!$B:$B,Load!G:G,0,)</f>
        <v>Single Pack</v>
      </c>
      <c r="G2964" t="str">
        <f>_xlfn.XLOOKUP($A2964,Load!$B:$B,Load!H:H,0,)</f>
        <v>Laydown Bag</v>
      </c>
      <c r="H2964" t="str">
        <f>_xlfn.XLOOKUP($A2964,Load!$B:$B,Load!I:I,0,)</f>
        <v>Everyday Candy Shapes (like Original, Gummy bear, Fruit, Jewels, etc.)</v>
      </c>
      <c r="I2964" t="str">
        <f>_xlfn.XLOOKUP($A2964,Load!$B:$B,Load!J:J,0,)</f>
        <v>Everyday Graphics</v>
      </c>
      <c r="J2964" t="str">
        <f>_xlfn.XLOOKUP($A2964,Load!$B:$B,Load!K:K,0,)</f>
        <v>Small Pieces (Tiny bite size candies)</v>
      </c>
      <c r="K2964" t="str">
        <f>_xlfn.XLOOKUP($A2964,Load!$B:$B,Load!L:L,0,)</f>
        <v>Unwrapped</v>
      </c>
      <c r="L2964" t="str">
        <f>_xlfn.XLOOKUP($A2964,Load!$B:$B,Load!M:M,0,)</f>
        <v>Single Brand / Variety Flavors or Form</v>
      </c>
    </row>
    <row r="2965" spans="1:12" x14ac:dyDescent="0.25">
      <c r="A2965" t="s">
        <v>126</v>
      </c>
      <c r="B2965" t="str">
        <f>_xlfn.XLOOKUP($A2965,Load!$B:$B,Load!C:C,0,)</f>
        <v>HARIBO</v>
      </c>
      <c r="C2965" t="str">
        <f>_xlfn.XLOOKUP($A2965,Load!$B:$B,Load!D:D,0,)</f>
        <v>Non-Chocolate Candy Only</v>
      </c>
      <c r="D2965" t="str">
        <f>_xlfn.XLOOKUP($A2965,Load!$B:$B,Load!E:E,0,)</f>
        <v>Sweet</v>
      </c>
      <c r="E2965" t="str">
        <f>_xlfn.XLOOKUP($A2965,Load!$B:$B,Load!F:F,0,)</f>
        <v>Gummy</v>
      </c>
      <c r="F2965" t="str">
        <f>_xlfn.XLOOKUP($A2965,Load!$B:$B,Load!G:G,0,)</f>
        <v>Single Pack</v>
      </c>
      <c r="G2965" t="str">
        <f>_xlfn.XLOOKUP($A2965,Load!$B:$B,Load!H:H,0,)</f>
        <v>Laydown Bag</v>
      </c>
      <c r="H2965" t="str">
        <f>_xlfn.XLOOKUP($A2965,Load!$B:$B,Load!I:I,0,)</f>
        <v>Seasonal Shapes (like pumpkins, candy corn, ghost, bats, etc.)</v>
      </c>
      <c r="I2965" t="str">
        <f>_xlfn.XLOOKUP($A2965,Load!$B:$B,Load!J:J,0,)</f>
        <v>Seasonal Graphics (Like Bat, Ghost, Pumpkin, Fall Leaves, Eyeballs, etc.)</v>
      </c>
      <c r="J2965" t="str">
        <f>_xlfn.XLOOKUP($A2965,Load!$B:$B,Load!K:K,0,)</f>
        <v>Small Pieces (Tiny bite size candies)</v>
      </c>
      <c r="K2965" t="str">
        <f>_xlfn.XLOOKUP($A2965,Load!$B:$B,Load!L:L,0,)</f>
        <v>Unwrapped</v>
      </c>
      <c r="L2965" t="str">
        <f>_xlfn.XLOOKUP($A2965,Load!$B:$B,Load!M:M,0,)</f>
        <v>Single Brand / Variety Flavors or Form</v>
      </c>
    </row>
    <row r="2966" spans="1:12" x14ac:dyDescent="0.25">
      <c r="A2966" t="s">
        <v>222</v>
      </c>
      <c r="B2966" t="str">
        <f>_xlfn.XLOOKUP($A2966,Load!$B:$B,Load!C:C,0,)</f>
        <v>Nerds</v>
      </c>
      <c r="C2966" t="str">
        <f>_xlfn.XLOOKUP($A2966,Load!$B:$B,Load!D:D,0,)</f>
        <v>Non-Chocolate Candy Only</v>
      </c>
      <c r="D2966" t="str">
        <f>_xlfn.XLOOKUP($A2966,Load!$B:$B,Load!E:E,0,)</f>
        <v>Sweet</v>
      </c>
      <c r="E2966" t="str">
        <f>_xlfn.XLOOKUP($A2966,Load!$B:$B,Load!F:F,0,)</f>
        <v>Gummy</v>
      </c>
      <c r="F2966" t="str">
        <f>_xlfn.XLOOKUP($A2966,Load!$B:$B,Load!G:G,0,)</f>
        <v>Small Multipack (Less than 40 ct)</v>
      </c>
      <c r="G2966" t="str">
        <f>_xlfn.XLOOKUP($A2966,Load!$B:$B,Load!H:H,0,)</f>
        <v>Stand-Up Bag</v>
      </c>
      <c r="H2966" t="str">
        <f>_xlfn.XLOOKUP($A2966,Load!$B:$B,Load!I:I,0,)</f>
        <v>Everyday Candy Shapes (like Original, Gummy bear, Fruit, Jewels, etc.)</v>
      </c>
      <c r="I2966" t="str">
        <f>_xlfn.XLOOKUP($A2966,Load!$B:$B,Load!J:J,0,)</f>
        <v>Seasonal Graphics (Like Bat, Ghost, Pumpkin, Fall Leaves, Eyeballs, etc.)</v>
      </c>
      <c r="J2966" t="str">
        <f>_xlfn.XLOOKUP($A2966,Load!$B:$B,Load!K:K,0,)</f>
        <v>Fun Size / Treat Size</v>
      </c>
      <c r="K2966" t="str">
        <f>_xlfn.XLOOKUP($A2966,Load!$B:$B,Load!L:L,0,)</f>
        <v>Regular/Original Wrapping</v>
      </c>
      <c r="L2966" t="str">
        <f>_xlfn.XLOOKUP($A2966,Load!$B:$B,Load!M:M,0,)</f>
        <v>Single Brand / Variety Flavors or Form</v>
      </c>
    </row>
    <row r="2967" spans="1:12" x14ac:dyDescent="0.25">
      <c r="A2967" t="s">
        <v>102</v>
      </c>
      <c r="B2967" t="str">
        <f>_xlfn.XLOOKUP($A2967,Load!$B:$B,Load!C:C,0,)</f>
        <v>Flix</v>
      </c>
      <c r="C2967" t="str">
        <f>_xlfn.XLOOKUP($A2967,Load!$B:$B,Load!D:D,0,)</f>
        <v>Non-Chocolate Candy Only</v>
      </c>
      <c r="D2967" t="str">
        <f>_xlfn.XLOOKUP($A2967,Load!$B:$B,Load!E:E,0,)</f>
        <v>Berry Based (Raspberry, Strawberry, Medley, etc.)</v>
      </c>
      <c r="E2967" t="str">
        <f>_xlfn.XLOOKUP($A2967,Load!$B:$B,Load!F:F,0,)</f>
        <v>Lollipop (regular or lollipop rings)</v>
      </c>
      <c r="F2967" t="str">
        <f>_xlfn.XLOOKUP($A2967,Load!$B:$B,Load!G:G,0,)</f>
        <v>Small Multipack (Less than 40 ct)</v>
      </c>
      <c r="G2967" t="str">
        <f>_xlfn.XLOOKUP($A2967,Load!$B:$B,Load!H:H,0,)</f>
        <v>Box (theatre box, gift box, carton)</v>
      </c>
      <c r="H2967" t="str">
        <f>_xlfn.XLOOKUP($A2967,Load!$B:$B,Load!I:I,0,)</f>
        <v>Seasonal Shapes (like pumpkins, candy corn, ghost, bats, etc.)</v>
      </c>
      <c r="I2967" t="str">
        <f>_xlfn.XLOOKUP($A2967,Load!$B:$B,Load!J:J,0,)</f>
        <v>Seasonal Graphics (Like Bat, Ghost, Pumpkin, Fall Leaves, Eyeballs, etc.)</v>
      </c>
      <c r="J2967" t="str">
        <f>_xlfn.XLOOKUP($A2967,Load!$B:$B,Load!K:K,0,)</f>
        <v>Regular Lollipop size (on sticks or rings)</v>
      </c>
      <c r="K2967" t="str">
        <f>_xlfn.XLOOKUP($A2967,Load!$B:$B,Load!L:L,0,)</f>
        <v>Regular/Original Wrapping</v>
      </c>
      <c r="L2967" t="str">
        <f>_xlfn.XLOOKUP($A2967,Load!$B:$B,Load!M:M,0,)</f>
        <v>Single Brand / Variety Flavors or Form</v>
      </c>
    </row>
    <row r="2968" spans="1:12" x14ac:dyDescent="0.25">
      <c r="A2968" t="s">
        <v>294</v>
      </c>
      <c r="B2968" t="str">
        <f>_xlfn.XLOOKUP($A2968,Load!$B:$B,Load!C:C,0,)</f>
        <v>Tootsie</v>
      </c>
      <c r="C2968" t="str">
        <f>_xlfn.XLOOKUP($A2968,Load!$B:$B,Load!D:D,0,)</f>
        <v>Non-Chocolate Candy Only</v>
      </c>
      <c r="D2968" t="str">
        <f>_xlfn.XLOOKUP($A2968,Load!$B:$B,Load!E:E,0,)</f>
        <v>Sweet</v>
      </c>
      <c r="E2968" t="str">
        <f>_xlfn.XLOOKUP($A2968,Load!$B:$B,Load!F:F,0,)</f>
        <v>Lollipop (regular or lollipop rings)</v>
      </c>
      <c r="F2968" t="str">
        <f>_xlfn.XLOOKUP($A2968,Load!$B:$B,Load!G:G,0,)</f>
        <v>Large Multipack (More than 80 ct)</v>
      </c>
      <c r="G2968" t="str">
        <f>_xlfn.XLOOKUP($A2968,Load!$B:$B,Load!H:H,0,)</f>
        <v>Laydown Bag</v>
      </c>
      <c r="H2968" t="str">
        <f>_xlfn.XLOOKUP($A2968,Load!$B:$B,Load!I:I,0,)</f>
        <v>Everyday Candy Shapes (like Original, Gummy bear, Fruit, Jewels, etc.)</v>
      </c>
      <c r="I2968" t="str">
        <f>_xlfn.XLOOKUP($A2968,Load!$B:$B,Load!J:J,0,)</f>
        <v>Everyday Graphics</v>
      </c>
      <c r="J2968" t="str">
        <f>_xlfn.XLOOKUP($A2968,Load!$B:$B,Load!K:K,0,)</f>
        <v>Regular Lollipop size (on sticks or rings)</v>
      </c>
      <c r="K2968" t="str">
        <f>_xlfn.XLOOKUP($A2968,Load!$B:$B,Load!L:L,0,)</f>
        <v>Regular/Original Wrapping</v>
      </c>
      <c r="L2968" t="str">
        <f>_xlfn.XLOOKUP($A2968,Load!$B:$B,Load!M:M,0,)</f>
        <v>Single Brand / Single Flavor or Form</v>
      </c>
    </row>
    <row r="2969" spans="1:12" x14ac:dyDescent="0.25">
      <c r="B2969">
        <f>_xlfn.XLOOKUP($A2969,Load!$B:$B,Load!C:C,0,)</f>
        <v>0</v>
      </c>
      <c r="C2969">
        <f>_xlfn.XLOOKUP($A2969,Load!$B:$B,Load!D:D,0,)</f>
        <v>0</v>
      </c>
      <c r="D2969">
        <f>_xlfn.XLOOKUP($A2969,Load!$B:$B,Load!E:E,0,)</f>
        <v>0</v>
      </c>
      <c r="E2969">
        <f>_xlfn.XLOOKUP($A2969,Load!$B:$B,Load!F:F,0,)</f>
        <v>0</v>
      </c>
      <c r="F2969">
        <f>_xlfn.XLOOKUP($A2969,Load!$B:$B,Load!G:G,0,)</f>
        <v>0</v>
      </c>
      <c r="G2969">
        <f>_xlfn.XLOOKUP($A2969,Load!$B:$B,Load!H:H,0,)</f>
        <v>0</v>
      </c>
      <c r="H2969">
        <f>_xlfn.XLOOKUP($A2969,Load!$B:$B,Load!I:I,0,)</f>
        <v>0</v>
      </c>
      <c r="I2969">
        <f>_xlfn.XLOOKUP($A2969,Load!$B:$B,Load!J:J,0,)</f>
        <v>0</v>
      </c>
      <c r="J2969">
        <f>_xlfn.XLOOKUP($A2969,Load!$B:$B,Load!K:K,0,)</f>
        <v>0</v>
      </c>
      <c r="K2969">
        <f>_xlfn.XLOOKUP($A2969,Load!$B:$B,Load!L:L,0,)</f>
        <v>0</v>
      </c>
      <c r="L2969">
        <f>_xlfn.XLOOKUP($A2969,Load!$B:$B,Load!M:M,0,)</f>
        <v>0</v>
      </c>
    </row>
    <row r="2970" spans="1:12" x14ac:dyDescent="0.25">
      <c r="A2970" t="s">
        <v>237</v>
      </c>
      <c r="B2970" t="str">
        <f>_xlfn.XLOOKUP($A2970,Load!$B:$B,Load!C:C,0,)</f>
        <v>Now &amp; Later</v>
      </c>
      <c r="C2970" t="str">
        <f>_xlfn.XLOOKUP($A2970,Load!$B:$B,Load!D:D,0,)</f>
        <v>Non-Chocolate Candy Only</v>
      </c>
      <c r="D2970" t="str">
        <f>_xlfn.XLOOKUP($A2970,Load!$B:$B,Load!E:E,0,)</f>
        <v>Fruit Flavor (Cherry, Grape, Apple, Citrus, Tropical Fruit)</v>
      </c>
      <c r="E2970" t="str">
        <f>_xlfn.XLOOKUP($A2970,Load!$B:$B,Load!F:F,0,)</f>
        <v>Chewy</v>
      </c>
      <c r="F2970" t="str">
        <f>_xlfn.XLOOKUP($A2970,Load!$B:$B,Load!G:G,0,)</f>
        <v>Medium Multipack (40–80 ct)</v>
      </c>
      <c r="G2970" t="str">
        <f>_xlfn.XLOOKUP($A2970,Load!$B:$B,Load!H:H,0,)</f>
        <v>Laydown Bag</v>
      </c>
      <c r="H2970" t="str">
        <f>_xlfn.XLOOKUP($A2970,Load!$B:$B,Load!I:I,0,)</f>
        <v>Everyday Candy Shapes (like Original, Gummy bear, Fruit, Jewels, etc.)</v>
      </c>
      <c r="I2970" t="str">
        <f>_xlfn.XLOOKUP($A2970,Load!$B:$B,Load!J:J,0,)</f>
        <v>Seasonal Graphics (Like Bat, Ghost, Pumpkin, Fall Leaves, Eyeballs, etc.)</v>
      </c>
      <c r="J2970" t="str">
        <f>_xlfn.XLOOKUP($A2970,Load!$B:$B,Load!K:K,0,)</f>
        <v>Small Pieces (Tiny bite size candies)</v>
      </c>
      <c r="K2970" t="str">
        <f>_xlfn.XLOOKUP($A2970,Load!$B:$B,Load!L:L,0,)</f>
        <v>Regular/Original Wrapping</v>
      </c>
      <c r="L2970" t="str">
        <f>_xlfn.XLOOKUP($A2970,Load!$B:$B,Load!M:M,0,)</f>
        <v>Single Brand / Variety Flavors or Form</v>
      </c>
    </row>
    <row r="2971" spans="1:12" x14ac:dyDescent="0.25">
      <c r="B2971">
        <f>_xlfn.XLOOKUP($A2971,Load!$B:$B,Load!C:C,0,)</f>
        <v>0</v>
      </c>
      <c r="C2971">
        <f>_xlfn.XLOOKUP($A2971,Load!$B:$B,Load!D:D,0,)</f>
        <v>0</v>
      </c>
      <c r="D2971">
        <f>_xlfn.XLOOKUP($A2971,Load!$B:$B,Load!E:E,0,)</f>
        <v>0</v>
      </c>
      <c r="E2971">
        <f>_xlfn.XLOOKUP($A2971,Load!$B:$B,Load!F:F,0,)</f>
        <v>0</v>
      </c>
      <c r="F2971">
        <f>_xlfn.XLOOKUP($A2971,Load!$B:$B,Load!G:G,0,)</f>
        <v>0</v>
      </c>
      <c r="G2971">
        <f>_xlfn.XLOOKUP($A2971,Load!$B:$B,Load!H:H,0,)</f>
        <v>0</v>
      </c>
      <c r="H2971">
        <f>_xlfn.XLOOKUP($A2971,Load!$B:$B,Load!I:I,0,)</f>
        <v>0</v>
      </c>
      <c r="I2971">
        <f>_xlfn.XLOOKUP($A2971,Load!$B:$B,Load!J:J,0,)</f>
        <v>0</v>
      </c>
      <c r="J2971">
        <f>_xlfn.XLOOKUP($A2971,Load!$B:$B,Load!K:K,0,)</f>
        <v>0</v>
      </c>
      <c r="K2971">
        <f>_xlfn.XLOOKUP($A2971,Load!$B:$B,Load!L:L,0,)</f>
        <v>0</v>
      </c>
      <c r="L2971">
        <f>_xlfn.XLOOKUP($A2971,Load!$B:$B,Load!M:M,0,)</f>
        <v>0</v>
      </c>
    </row>
    <row r="2972" spans="1:12" x14ac:dyDescent="0.25">
      <c r="A2972" t="s">
        <v>255</v>
      </c>
      <c r="B2972" t="str">
        <f>_xlfn.XLOOKUP($A2972,Load!$B:$B,Load!C:C,0,)</f>
        <v>Skittles</v>
      </c>
      <c r="C2972" t="str">
        <f>_xlfn.XLOOKUP($A2972,Load!$B:$B,Load!D:D,0,)</f>
        <v>Non-Chocolate Candy Only</v>
      </c>
      <c r="D2972" t="str">
        <f>_xlfn.XLOOKUP($A2972,Load!$B:$B,Load!E:E,0,)</f>
        <v>Variety / Mixed Flavors (Fruity, Sour, Seasonal Flavors)</v>
      </c>
      <c r="E2972" t="str">
        <f>_xlfn.XLOOKUP($A2972,Load!$B:$B,Load!F:F,0,)</f>
        <v>Gummy</v>
      </c>
      <c r="F2972" t="str">
        <f>_xlfn.XLOOKUP($A2972,Load!$B:$B,Load!G:G,0,)</f>
        <v>Large Multipack (More than 80 ct)</v>
      </c>
      <c r="G2972" t="str">
        <f>_xlfn.XLOOKUP($A2972,Load!$B:$B,Load!H:H,0,)</f>
        <v>Stand-Up Bag</v>
      </c>
      <c r="H2972" t="str">
        <f>_xlfn.XLOOKUP($A2972,Load!$B:$B,Load!I:I,0,)</f>
        <v>Everyday Candy Shapes (like Original, Gummy bear, Fruit, Jewels, etc.)</v>
      </c>
      <c r="I2972" t="str">
        <f>_xlfn.XLOOKUP($A2972,Load!$B:$B,Load!J:J,0,)</f>
        <v>Everyday Graphics</v>
      </c>
      <c r="J2972" t="str">
        <f>_xlfn.XLOOKUP($A2972,Load!$B:$B,Load!K:K,0,)</f>
        <v>Fun Size / Treat Size</v>
      </c>
      <c r="K2972" t="str">
        <f>_xlfn.XLOOKUP($A2972,Load!$B:$B,Load!L:L,0,)</f>
        <v>Regular/Original Wrapping</v>
      </c>
      <c r="L2972" t="str">
        <f>_xlfn.XLOOKUP($A2972,Load!$B:$B,Load!M:M,0,)</f>
        <v>Single Brand / Variety Flavors or Form</v>
      </c>
    </row>
    <row r="2973" spans="1:12" x14ac:dyDescent="0.25">
      <c r="A2973" t="s">
        <v>229</v>
      </c>
      <c r="B2973" t="str">
        <f>_xlfn.XLOOKUP($A2973,Load!$B:$B,Load!C:C,0,)</f>
        <v>Nerds</v>
      </c>
      <c r="C2973" t="str">
        <f>_xlfn.XLOOKUP($A2973,Load!$B:$B,Load!D:D,0,)</f>
        <v>Non-Chocolate Candy Only</v>
      </c>
      <c r="D2973" t="str">
        <f>_xlfn.XLOOKUP($A2973,Load!$B:$B,Load!E:E,0,)</f>
        <v>Variety / Mixed Flavors (Fruity, Sour, Seasonal Flavors)</v>
      </c>
      <c r="E2973" t="str">
        <f>_xlfn.XLOOKUP($A2973,Load!$B:$B,Load!F:F,0,)</f>
        <v>Gummy</v>
      </c>
      <c r="F2973" t="str">
        <f>_xlfn.XLOOKUP($A2973,Load!$B:$B,Load!G:G,0,)</f>
        <v>Medium Multipack (40–80 ct)</v>
      </c>
      <c r="G2973" t="str">
        <f>_xlfn.XLOOKUP($A2973,Load!$B:$B,Load!H:H,0,)</f>
        <v>Stand-Up Bag</v>
      </c>
      <c r="H2973" t="str">
        <f>_xlfn.XLOOKUP($A2973,Load!$B:$B,Load!I:I,0,)</f>
        <v>Seasonal Shapes (like pumpkins, candy corn, ghost, bats, etc.)</v>
      </c>
      <c r="I2973" t="str">
        <f>_xlfn.XLOOKUP($A2973,Load!$B:$B,Load!J:J,0,)</f>
        <v>Seasonal Graphics (Like Bat, Ghost, Pumpkin, Fall Leaves, Eyeballs, etc.)</v>
      </c>
      <c r="J2973" t="str">
        <f>_xlfn.XLOOKUP($A2973,Load!$B:$B,Load!K:K,0,)</f>
        <v>Fun Size / Treat Size</v>
      </c>
      <c r="K2973" t="str">
        <f>_xlfn.XLOOKUP($A2973,Load!$B:$B,Load!L:L,0,)</f>
        <v>Regular/Original Wrapping</v>
      </c>
      <c r="L2973" t="str">
        <f>_xlfn.XLOOKUP($A2973,Load!$B:$B,Load!M:M,0,)</f>
        <v>Single Brand / Variety Flavors or Form</v>
      </c>
    </row>
    <row r="2974" spans="1:12" x14ac:dyDescent="0.25">
      <c r="A2974" t="s">
        <v>12</v>
      </c>
      <c r="B2974" t="str">
        <f>_xlfn.XLOOKUP($A2974,Load!$B:$B,Load!C:C,0,)</f>
        <v>Airheads</v>
      </c>
      <c r="C2974" t="str">
        <f>_xlfn.XLOOKUP($A2974,Load!$B:$B,Load!D:D,0,)</f>
        <v>Non-Chocolate Candy Only</v>
      </c>
      <c r="D2974" t="str">
        <f>_xlfn.XLOOKUP($A2974,Load!$B:$B,Load!E:E,0,)</f>
        <v>Berry Based (Raspberry, Strawberry, Medley, etc.)</v>
      </c>
      <c r="E2974" t="str">
        <f>_xlfn.XLOOKUP($A2974,Load!$B:$B,Load!F:F,0,)</f>
        <v>Chewy</v>
      </c>
      <c r="F2974" t="str">
        <f>_xlfn.XLOOKUP($A2974,Load!$B:$B,Load!G:G,0,)</f>
        <v>Single Pack</v>
      </c>
      <c r="G2974" t="str">
        <f>_xlfn.XLOOKUP($A2974,Load!$B:$B,Load!H:H,0,)</f>
        <v>Laydown Bag</v>
      </c>
      <c r="H2974" t="str">
        <f>_xlfn.XLOOKUP($A2974,Load!$B:$B,Load!I:I,0,)</f>
        <v>Everyday Candy Shapes (like Original, Gummy bear, Fruit, Jewels, etc.)</v>
      </c>
      <c r="I2974" t="str">
        <f>_xlfn.XLOOKUP($A2974,Load!$B:$B,Load!J:J,0,)</f>
        <v>Everyday Graphics</v>
      </c>
      <c r="J2974" t="str">
        <f>_xlfn.XLOOKUP($A2974,Load!$B:$B,Load!K:K,0,)</f>
        <v>Fun Size / Treat Size</v>
      </c>
      <c r="K2974" t="str">
        <f>_xlfn.XLOOKUP($A2974,Load!$B:$B,Load!L:L,0,)</f>
        <v>Unwrapped</v>
      </c>
      <c r="L2974" t="str">
        <f>_xlfn.XLOOKUP($A2974,Load!$B:$B,Load!M:M,0,)</f>
        <v>Single Brand / Single Flavor or Form</v>
      </c>
    </row>
    <row r="2975" spans="1:12" x14ac:dyDescent="0.25">
      <c r="B2975">
        <f>_xlfn.XLOOKUP($A2975,Load!$B:$B,Load!C:C,0,)</f>
        <v>0</v>
      </c>
      <c r="C2975">
        <f>_xlfn.XLOOKUP($A2975,Load!$B:$B,Load!D:D,0,)</f>
        <v>0</v>
      </c>
      <c r="D2975">
        <f>_xlfn.XLOOKUP($A2975,Load!$B:$B,Load!E:E,0,)</f>
        <v>0</v>
      </c>
      <c r="E2975">
        <f>_xlfn.XLOOKUP($A2975,Load!$B:$B,Load!F:F,0,)</f>
        <v>0</v>
      </c>
      <c r="F2975">
        <f>_xlfn.XLOOKUP($A2975,Load!$B:$B,Load!G:G,0,)</f>
        <v>0</v>
      </c>
      <c r="G2975">
        <f>_xlfn.XLOOKUP($A2975,Load!$B:$B,Load!H:H,0,)</f>
        <v>0</v>
      </c>
      <c r="H2975">
        <f>_xlfn.XLOOKUP($A2975,Load!$B:$B,Load!I:I,0,)</f>
        <v>0</v>
      </c>
      <c r="I2975">
        <f>_xlfn.XLOOKUP($A2975,Load!$B:$B,Load!J:J,0,)</f>
        <v>0</v>
      </c>
      <c r="J2975">
        <f>_xlfn.XLOOKUP($A2975,Load!$B:$B,Load!K:K,0,)</f>
        <v>0</v>
      </c>
      <c r="K2975">
        <f>_xlfn.XLOOKUP($A2975,Load!$B:$B,Load!L:L,0,)</f>
        <v>0</v>
      </c>
      <c r="L2975">
        <f>_xlfn.XLOOKUP($A2975,Load!$B:$B,Load!M:M,0,)</f>
        <v>0</v>
      </c>
    </row>
    <row r="2976" spans="1:12" x14ac:dyDescent="0.25">
      <c r="A2976" t="s">
        <v>324</v>
      </c>
      <c r="B2976" t="str">
        <f>_xlfn.XLOOKUP($A2976,Load!$B:$B,Load!C:C,0,)</f>
        <v>Zachary</v>
      </c>
      <c r="C2976" t="str">
        <f>_xlfn.XLOOKUP($A2976,Load!$B:$B,Load!D:D,0,)</f>
        <v>Non-Chocolate Candy Only</v>
      </c>
      <c r="D2976" t="str">
        <f>_xlfn.XLOOKUP($A2976,Load!$B:$B,Load!E:E,0,)</f>
        <v>Fall / Seasonal Flavors (pumpkin spice, caramel apple, candy corn)</v>
      </c>
      <c r="E2976" t="str">
        <f>_xlfn.XLOOKUP($A2976,Load!$B:$B,Load!F:F,0,)</f>
        <v>Candy Pieces / Bites</v>
      </c>
      <c r="F2976" t="str">
        <f>_xlfn.XLOOKUP($A2976,Load!$B:$B,Load!G:G,0,)</f>
        <v>Single Pack</v>
      </c>
      <c r="G2976" t="str">
        <f>_xlfn.XLOOKUP($A2976,Load!$B:$B,Load!H:H,0,)</f>
        <v>Laydown Bag</v>
      </c>
      <c r="H2976" t="str">
        <f>_xlfn.XLOOKUP($A2976,Load!$B:$B,Load!I:I,0,)</f>
        <v>Seasonal Shapes (like pumpkins, candy corn, ghost, bats, etc.)</v>
      </c>
      <c r="I2976" t="str">
        <f>_xlfn.XLOOKUP($A2976,Load!$B:$B,Load!J:J,0,)</f>
        <v>Seasonal Graphics (Like Bat, Ghost, Pumpkin, Fall Leaves, Eyeballs, etc.)</v>
      </c>
      <c r="J2976" t="str">
        <f>_xlfn.XLOOKUP($A2976,Load!$B:$B,Load!K:K,0,)</f>
        <v>Small Pieces (Tiny bite size candies)</v>
      </c>
      <c r="K2976" t="str">
        <f>_xlfn.XLOOKUP($A2976,Load!$B:$B,Load!L:L,0,)</f>
        <v>Unwrapped</v>
      </c>
      <c r="L2976" t="str">
        <f>_xlfn.XLOOKUP($A2976,Load!$B:$B,Load!M:M,0,)</f>
        <v>Single Brand / Single Flavor or Form</v>
      </c>
    </row>
    <row r="2977" spans="1:12" x14ac:dyDescent="0.25">
      <c r="B2977">
        <f>_xlfn.XLOOKUP($A2977,Load!$B:$B,Load!C:C,0,)</f>
        <v>0</v>
      </c>
      <c r="C2977">
        <f>_xlfn.XLOOKUP($A2977,Load!$B:$B,Load!D:D,0,)</f>
        <v>0</v>
      </c>
      <c r="D2977">
        <f>_xlfn.XLOOKUP($A2977,Load!$B:$B,Load!E:E,0,)</f>
        <v>0</v>
      </c>
      <c r="E2977">
        <f>_xlfn.XLOOKUP($A2977,Load!$B:$B,Load!F:F,0,)</f>
        <v>0</v>
      </c>
      <c r="F2977">
        <f>_xlfn.XLOOKUP($A2977,Load!$B:$B,Load!G:G,0,)</f>
        <v>0</v>
      </c>
      <c r="G2977">
        <f>_xlfn.XLOOKUP($A2977,Load!$B:$B,Load!H:H,0,)</f>
        <v>0</v>
      </c>
      <c r="H2977">
        <f>_xlfn.XLOOKUP($A2977,Load!$B:$B,Load!I:I,0,)</f>
        <v>0</v>
      </c>
      <c r="I2977">
        <f>_xlfn.XLOOKUP($A2977,Load!$B:$B,Load!J:J,0,)</f>
        <v>0</v>
      </c>
      <c r="J2977">
        <f>_xlfn.XLOOKUP($A2977,Load!$B:$B,Load!K:K,0,)</f>
        <v>0</v>
      </c>
      <c r="K2977">
        <f>_xlfn.XLOOKUP($A2977,Load!$B:$B,Load!L:L,0,)</f>
        <v>0</v>
      </c>
      <c r="L2977">
        <f>_xlfn.XLOOKUP($A2977,Load!$B:$B,Load!M:M,0,)</f>
        <v>0</v>
      </c>
    </row>
    <row r="2978" spans="1:12" x14ac:dyDescent="0.25">
      <c r="B2978">
        <f>_xlfn.XLOOKUP($A2978,Load!$B:$B,Load!C:C,0,)</f>
        <v>0</v>
      </c>
      <c r="C2978">
        <f>_xlfn.XLOOKUP($A2978,Load!$B:$B,Load!D:D,0,)</f>
        <v>0</v>
      </c>
      <c r="D2978">
        <f>_xlfn.XLOOKUP($A2978,Load!$B:$B,Load!E:E,0,)</f>
        <v>0</v>
      </c>
      <c r="E2978">
        <f>_xlfn.XLOOKUP($A2978,Load!$B:$B,Load!F:F,0,)</f>
        <v>0</v>
      </c>
      <c r="F2978">
        <f>_xlfn.XLOOKUP($A2978,Load!$B:$B,Load!G:G,0,)</f>
        <v>0</v>
      </c>
      <c r="G2978">
        <f>_xlfn.XLOOKUP($A2978,Load!$B:$B,Load!H:H,0,)</f>
        <v>0</v>
      </c>
      <c r="H2978">
        <f>_xlfn.XLOOKUP($A2978,Load!$B:$B,Load!I:I,0,)</f>
        <v>0</v>
      </c>
      <c r="I2978">
        <f>_xlfn.XLOOKUP($A2978,Load!$B:$B,Load!J:J,0,)</f>
        <v>0</v>
      </c>
      <c r="J2978">
        <f>_xlfn.XLOOKUP($A2978,Load!$B:$B,Load!K:K,0,)</f>
        <v>0</v>
      </c>
      <c r="K2978">
        <f>_xlfn.XLOOKUP($A2978,Load!$B:$B,Load!L:L,0,)</f>
        <v>0</v>
      </c>
      <c r="L2978">
        <f>_xlfn.XLOOKUP($A2978,Load!$B:$B,Load!M:M,0,)</f>
        <v>0</v>
      </c>
    </row>
    <row r="2979" spans="1:12" x14ac:dyDescent="0.25">
      <c r="B2979">
        <f>_xlfn.XLOOKUP($A2979,Load!$B:$B,Load!C:C,0,)</f>
        <v>0</v>
      </c>
      <c r="C2979">
        <f>_xlfn.XLOOKUP($A2979,Load!$B:$B,Load!D:D,0,)</f>
        <v>0</v>
      </c>
      <c r="D2979">
        <f>_xlfn.XLOOKUP($A2979,Load!$B:$B,Load!E:E,0,)</f>
        <v>0</v>
      </c>
      <c r="E2979">
        <f>_xlfn.XLOOKUP($A2979,Load!$B:$B,Load!F:F,0,)</f>
        <v>0</v>
      </c>
      <c r="F2979">
        <f>_xlfn.XLOOKUP($A2979,Load!$B:$B,Load!G:G,0,)</f>
        <v>0</v>
      </c>
      <c r="G2979">
        <f>_xlfn.XLOOKUP($A2979,Load!$B:$B,Load!H:H,0,)</f>
        <v>0</v>
      </c>
      <c r="H2979">
        <f>_xlfn.XLOOKUP($A2979,Load!$B:$B,Load!I:I,0,)</f>
        <v>0</v>
      </c>
      <c r="I2979">
        <f>_xlfn.XLOOKUP($A2979,Load!$B:$B,Load!J:J,0,)</f>
        <v>0</v>
      </c>
      <c r="J2979">
        <f>_xlfn.XLOOKUP($A2979,Load!$B:$B,Load!K:K,0,)</f>
        <v>0</v>
      </c>
      <c r="K2979">
        <f>_xlfn.XLOOKUP($A2979,Load!$B:$B,Load!L:L,0,)</f>
        <v>0</v>
      </c>
      <c r="L2979">
        <f>_xlfn.XLOOKUP($A2979,Load!$B:$B,Load!M:M,0,)</f>
        <v>0</v>
      </c>
    </row>
    <row r="2980" spans="1:12" x14ac:dyDescent="0.25">
      <c r="A2980" t="s">
        <v>222</v>
      </c>
      <c r="B2980" t="str">
        <f>_xlfn.XLOOKUP($A2980,Load!$B:$B,Load!C:C,0,)</f>
        <v>Nerds</v>
      </c>
      <c r="C2980" t="str">
        <f>_xlfn.XLOOKUP($A2980,Load!$B:$B,Load!D:D,0,)</f>
        <v>Non-Chocolate Candy Only</v>
      </c>
      <c r="D2980" t="str">
        <f>_xlfn.XLOOKUP($A2980,Load!$B:$B,Load!E:E,0,)</f>
        <v>Sweet</v>
      </c>
      <c r="E2980" t="str">
        <f>_xlfn.XLOOKUP($A2980,Load!$B:$B,Load!F:F,0,)</f>
        <v>Gummy</v>
      </c>
      <c r="F2980" t="str">
        <f>_xlfn.XLOOKUP($A2980,Load!$B:$B,Load!G:G,0,)</f>
        <v>Small Multipack (Less than 40 ct)</v>
      </c>
      <c r="G2980" t="str">
        <f>_xlfn.XLOOKUP($A2980,Load!$B:$B,Load!H:H,0,)</f>
        <v>Stand-Up Bag</v>
      </c>
      <c r="H2980" t="str">
        <f>_xlfn.XLOOKUP($A2980,Load!$B:$B,Load!I:I,0,)</f>
        <v>Everyday Candy Shapes (like Original, Gummy bear, Fruit, Jewels, etc.)</v>
      </c>
      <c r="I2980" t="str">
        <f>_xlfn.XLOOKUP($A2980,Load!$B:$B,Load!J:J,0,)</f>
        <v>Seasonal Graphics (Like Bat, Ghost, Pumpkin, Fall Leaves, Eyeballs, etc.)</v>
      </c>
      <c r="J2980" t="str">
        <f>_xlfn.XLOOKUP($A2980,Load!$B:$B,Load!K:K,0,)</f>
        <v>Fun Size / Treat Size</v>
      </c>
      <c r="K2980" t="str">
        <f>_xlfn.XLOOKUP($A2980,Load!$B:$B,Load!L:L,0,)</f>
        <v>Regular/Original Wrapping</v>
      </c>
      <c r="L2980" t="str">
        <f>_xlfn.XLOOKUP($A2980,Load!$B:$B,Load!M:M,0,)</f>
        <v>Single Brand / Variety Flavors or Form</v>
      </c>
    </row>
    <row r="2981" spans="1:12" x14ac:dyDescent="0.25">
      <c r="A2981" t="s">
        <v>103</v>
      </c>
      <c r="B2981" t="str">
        <f>_xlfn.XLOOKUP($A2981,Load!$B:$B,Load!C:C,0,)</f>
        <v>Frankford</v>
      </c>
      <c r="C2981" t="str">
        <f>_xlfn.XLOOKUP($A2981,Load!$B:$B,Load!D:D,0,)</f>
        <v>Non-Chocolate Candy Only</v>
      </c>
      <c r="D2981" t="str">
        <f>_xlfn.XLOOKUP($A2981,Load!$B:$B,Load!E:E,0,)</f>
        <v>Sweet</v>
      </c>
      <c r="E2981" t="str">
        <f>_xlfn.XLOOKUP($A2981,Load!$B:$B,Load!F:F,0,)</f>
        <v>Gummy</v>
      </c>
      <c r="F2981" t="str">
        <f>_xlfn.XLOOKUP($A2981,Load!$B:$B,Load!G:G,0,)</f>
        <v>Medium Multipack (40–80 ct)</v>
      </c>
      <c r="G2981" t="str">
        <f>_xlfn.XLOOKUP($A2981,Load!$B:$B,Load!H:H,0,)</f>
        <v>Stand-Up Bag</v>
      </c>
      <c r="H2981" t="str">
        <f>_xlfn.XLOOKUP($A2981,Load!$B:$B,Load!I:I,0,)</f>
        <v>Seasonal Shapes (like pumpkins, candy corn, ghost, bats, etc.)</v>
      </c>
      <c r="I2981" t="str">
        <f>_xlfn.XLOOKUP($A2981,Load!$B:$B,Load!J:J,0,)</f>
        <v>Seasonal Graphics (Like Bat, Ghost, Pumpkin, Fall Leaves, Eyeballs, etc.)</v>
      </c>
      <c r="J2981" t="str">
        <f>_xlfn.XLOOKUP($A2981,Load!$B:$B,Load!K:K,0,)</f>
        <v>Fun Size / Treat Size</v>
      </c>
      <c r="K2981" t="str">
        <f>_xlfn.XLOOKUP($A2981,Load!$B:$B,Load!L:L,0,)</f>
        <v>Regular/Original Wrapping</v>
      </c>
      <c r="L2981" t="str">
        <f>_xlfn.XLOOKUP($A2981,Load!$B:$B,Load!M:M,0,)</f>
        <v>Single Brand / Variety Flavors or Form</v>
      </c>
    </row>
    <row r="2982" spans="1:12" x14ac:dyDescent="0.25">
      <c r="A2982" t="s">
        <v>175</v>
      </c>
      <c r="B2982" t="str">
        <f>_xlfn.XLOOKUP($A2982,Load!$B:$B,Load!C:C,0,)</f>
        <v>Mars Variety Pack</v>
      </c>
      <c r="C2982" t="str">
        <f>_xlfn.XLOOKUP($A2982,Load!$B:$B,Load!D:D,0,)</f>
        <v>Mix of Chocolate and Non-Chocolate Candy</v>
      </c>
      <c r="D2982" t="str">
        <f>_xlfn.XLOOKUP($A2982,Load!$B:$B,Load!E:E,0,)</f>
        <v>Variety / Mixed Flavors (Fruity, Sour, Seasonal Flavors)</v>
      </c>
      <c r="E2982" t="str">
        <f>_xlfn.XLOOKUP($A2982,Load!$B:$B,Load!F:F,0,)</f>
        <v>Mixed / Combo Packs (Gummy, Chewy, Taffy, etc.)</v>
      </c>
      <c r="F2982" t="str">
        <f>_xlfn.XLOOKUP($A2982,Load!$B:$B,Load!G:G,0,)</f>
        <v>Large Multipack (More than 80 ct)</v>
      </c>
      <c r="G2982" t="str">
        <f>_xlfn.XLOOKUP($A2982,Load!$B:$B,Load!H:H,0,)</f>
        <v>Stand-Up Bag</v>
      </c>
      <c r="H2982" t="str">
        <f>_xlfn.XLOOKUP($A2982,Load!$B:$B,Load!I:I,0,)</f>
        <v>Everyday Candy Shapes (like Original, Gummy bear, Fruit, Jewels, etc.)</v>
      </c>
      <c r="I2982" t="str">
        <f>_xlfn.XLOOKUP($A2982,Load!$B:$B,Load!J:J,0,)</f>
        <v>Seasonal Graphics (Like Bat, Ghost, Pumpkin, Fall Leaves, Eyeballs, etc.)</v>
      </c>
      <c r="J2982" t="str">
        <f>_xlfn.XLOOKUP($A2982,Load!$B:$B,Load!K:K,0,)</f>
        <v xml:space="preserve">Variety Candy Sizes </v>
      </c>
      <c r="K2982" t="str">
        <f>_xlfn.XLOOKUP($A2982,Load!$B:$B,Load!L:L,0,)</f>
        <v>Regular/Original Wrapping</v>
      </c>
      <c r="L2982" t="str">
        <f>_xlfn.XLOOKUP($A2982,Load!$B:$B,Load!M:M,0,)</f>
        <v>Multiple Brands / Variety Flavors or Form</v>
      </c>
    </row>
    <row r="2983" spans="1:12" x14ac:dyDescent="0.25">
      <c r="A2983" t="s">
        <v>59</v>
      </c>
      <c r="B2983" t="str">
        <f>_xlfn.XLOOKUP($A2983,Load!$B:$B,Load!C:C,0,)</f>
        <v>Charms</v>
      </c>
      <c r="C2983" t="str">
        <f>_xlfn.XLOOKUP($A2983,Load!$B:$B,Load!D:D,0,)</f>
        <v>Non-Chocolate Candy Only</v>
      </c>
      <c r="D2983" t="str">
        <f>_xlfn.XLOOKUP($A2983,Load!$B:$B,Load!E:E,0,)</f>
        <v>Variety / Mixed Flavors (Fruity, Sour, Seasonal Flavors)</v>
      </c>
      <c r="E2983" t="str">
        <f>_xlfn.XLOOKUP($A2983,Load!$B:$B,Load!F:F,0,)</f>
        <v>Mixed / Combo Packs (Gummy, Chewy, Taffy, etc.)</v>
      </c>
      <c r="F2983" t="str">
        <f>_xlfn.XLOOKUP($A2983,Load!$B:$B,Load!G:G,0,)</f>
        <v>Large Multipack (More than 80 ct)</v>
      </c>
      <c r="G2983" t="str">
        <f>_xlfn.XLOOKUP($A2983,Load!$B:$B,Load!H:H,0,)</f>
        <v>Laydown Bag</v>
      </c>
      <c r="H2983" t="str">
        <f>_xlfn.XLOOKUP($A2983,Load!$B:$B,Load!I:I,0,)</f>
        <v>Everyday Candy Shapes (like Original, Gummy bear, Fruit, Jewels, etc.)</v>
      </c>
      <c r="I2983" t="str">
        <f>_xlfn.XLOOKUP($A2983,Load!$B:$B,Load!J:J,0,)</f>
        <v>Seasonal Graphics (Like Bat, Ghost, Pumpkin, Fall Leaves, Eyeballs, etc.)</v>
      </c>
      <c r="J2983" t="str">
        <f>_xlfn.XLOOKUP($A2983,Load!$B:$B,Load!K:K,0,)</f>
        <v xml:space="preserve">Variety Candy Sizes </v>
      </c>
      <c r="K2983" t="str">
        <f>_xlfn.XLOOKUP($A2983,Load!$B:$B,Load!L:L,0,)</f>
        <v>Regular/Original Wrapping</v>
      </c>
      <c r="L2983" t="str">
        <f>_xlfn.XLOOKUP($A2983,Load!$B:$B,Load!M:M,0,)</f>
        <v>Single Brand / Variety Flavors or Form</v>
      </c>
    </row>
    <row r="2984" spans="1:12" x14ac:dyDescent="0.25">
      <c r="B2984">
        <f>_xlfn.XLOOKUP($A2984,Load!$B:$B,Load!C:C,0,)</f>
        <v>0</v>
      </c>
      <c r="C2984">
        <f>_xlfn.XLOOKUP($A2984,Load!$B:$B,Load!D:D,0,)</f>
        <v>0</v>
      </c>
      <c r="D2984">
        <f>_xlfn.XLOOKUP($A2984,Load!$B:$B,Load!E:E,0,)</f>
        <v>0</v>
      </c>
      <c r="E2984">
        <f>_xlfn.XLOOKUP($A2984,Load!$B:$B,Load!F:F,0,)</f>
        <v>0</v>
      </c>
      <c r="F2984">
        <f>_xlfn.XLOOKUP($A2984,Load!$B:$B,Load!G:G,0,)</f>
        <v>0</v>
      </c>
      <c r="G2984">
        <f>_xlfn.XLOOKUP($A2984,Load!$B:$B,Load!H:H,0,)</f>
        <v>0</v>
      </c>
      <c r="H2984">
        <f>_xlfn.XLOOKUP($A2984,Load!$B:$B,Load!I:I,0,)</f>
        <v>0</v>
      </c>
      <c r="I2984">
        <f>_xlfn.XLOOKUP($A2984,Load!$B:$B,Load!J:J,0,)</f>
        <v>0</v>
      </c>
      <c r="J2984">
        <f>_xlfn.XLOOKUP($A2984,Load!$B:$B,Load!K:K,0,)</f>
        <v>0</v>
      </c>
      <c r="K2984">
        <f>_xlfn.XLOOKUP($A2984,Load!$B:$B,Load!L:L,0,)</f>
        <v>0</v>
      </c>
      <c r="L2984">
        <f>_xlfn.XLOOKUP($A2984,Load!$B:$B,Load!M:M,0,)</f>
        <v>0</v>
      </c>
    </row>
    <row r="2985" spans="1:12" x14ac:dyDescent="0.25">
      <c r="B2985">
        <f>_xlfn.XLOOKUP($A2985,Load!$B:$B,Load!C:C,0,)</f>
        <v>0</v>
      </c>
      <c r="C2985">
        <f>_xlfn.XLOOKUP($A2985,Load!$B:$B,Load!D:D,0,)</f>
        <v>0</v>
      </c>
      <c r="D2985">
        <f>_xlfn.XLOOKUP($A2985,Load!$B:$B,Load!E:E,0,)</f>
        <v>0</v>
      </c>
      <c r="E2985">
        <f>_xlfn.XLOOKUP($A2985,Load!$B:$B,Load!F:F,0,)</f>
        <v>0</v>
      </c>
      <c r="F2985">
        <f>_xlfn.XLOOKUP($A2985,Load!$B:$B,Load!G:G,0,)</f>
        <v>0</v>
      </c>
      <c r="G2985">
        <f>_xlfn.XLOOKUP($A2985,Load!$B:$B,Load!H:H,0,)</f>
        <v>0</v>
      </c>
      <c r="H2985">
        <f>_xlfn.XLOOKUP($A2985,Load!$B:$B,Load!I:I,0,)</f>
        <v>0</v>
      </c>
      <c r="I2985">
        <f>_xlfn.XLOOKUP($A2985,Load!$B:$B,Load!J:J,0,)</f>
        <v>0</v>
      </c>
      <c r="J2985">
        <f>_xlfn.XLOOKUP($A2985,Load!$B:$B,Load!K:K,0,)</f>
        <v>0</v>
      </c>
      <c r="K2985">
        <f>_xlfn.XLOOKUP($A2985,Load!$B:$B,Load!L:L,0,)</f>
        <v>0</v>
      </c>
      <c r="L2985">
        <f>_xlfn.XLOOKUP($A2985,Load!$B:$B,Load!M:M,0,)</f>
        <v>0</v>
      </c>
    </row>
    <row r="2986" spans="1:12" x14ac:dyDescent="0.25">
      <c r="B2986">
        <f>_xlfn.XLOOKUP($A2986,Load!$B:$B,Load!C:C,0,)</f>
        <v>0</v>
      </c>
      <c r="C2986">
        <f>_xlfn.XLOOKUP($A2986,Load!$B:$B,Load!D:D,0,)</f>
        <v>0</v>
      </c>
      <c r="D2986">
        <f>_xlfn.XLOOKUP($A2986,Load!$B:$B,Load!E:E,0,)</f>
        <v>0</v>
      </c>
      <c r="E2986">
        <f>_xlfn.XLOOKUP($A2986,Load!$B:$B,Load!F:F,0,)</f>
        <v>0</v>
      </c>
      <c r="F2986">
        <f>_xlfn.XLOOKUP($A2986,Load!$B:$B,Load!G:G,0,)</f>
        <v>0</v>
      </c>
      <c r="G2986">
        <f>_xlfn.XLOOKUP($A2986,Load!$B:$B,Load!H:H,0,)</f>
        <v>0</v>
      </c>
      <c r="H2986">
        <f>_xlfn.XLOOKUP($A2986,Load!$B:$B,Load!I:I,0,)</f>
        <v>0</v>
      </c>
      <c r="I2986">
        <f>_xlfn.XLOOKUP($A2986,Load!$B:$B,Load!J:J,0,)</f>
        <v>0</v>
      </c>
      <c r="J2986">
        <f>_xlfn.XLOOKUP($A2986,Load!$B:$B,Load!K:K,0,)</f>
        <v>0</v>
      </c>
      <c r="K2986">
        <f>_xlfn.XLOOKUP($A2986,Load!$B:$B,Load!L:L,0,)</f>
        <v>0</v>
      </c>
      <c r="L2986">
        <f>_xlfn.XLOOKUP($A2986,Load!$B:$B,Load!M:M,0,)</f>
        <v>0</v>
      </c>
    </row>
    <row r="2987" spans="1:12" x14ac:dyDescent="0.25">
      <c r="B2987">
        <f>_xlfn.XLOOKUP($A2987,Load!$B:$B,Load!C:C,0,)</f>
        <v>0</v>
      </c>
      <c r="C2987">
        <f>_xlfn.XLOOKUP($A2987,Load!$B:$B,Load!D:D,0,)</f>
        <v>0</v>
      </c>
      <c r="D2987">
        <f>_xlfn.XLOOKUP($A2987,Load!$B:$B,Load!E:E,0,)</f>
        <v>0</v>
      </c>
      <c r="E2987">
        <f>_xlfn.XLOOKUP($A2987,Load!$B:$B,Load!F:F,0,)</f>
        <v>0</v>
      </c>
      <c r="F2987">
        <f>_xlfn.XLOOKUP($A2987,Load!$B:$B,Load!G:G,0,)</f>
        <v>0</v>
      </c>
      <c r="G2987">
        <f>_xlfn.XLOOKUP($A2987,Load!$B:$B,Load!H:H,0,)</f>
        <v>0</v>
      </c>
      <c r="H2987">
        <f>_xlfn.XLOOKUP($A2987,Load!$B:$B,Load!I:I,0,)</f>
        <v>0</v>
      </c>
      <c r="I2987">
        <f>_xlfn.XLOOKUP($A2987,Load!$B:$B,Load!J:J,0,)</f>
        <v>0</v>
      </c>
      <c r="J2987">
        <f>_xlfn.XLOOKUP($A2987,Load!$B:$B,Load!K:K,0,)</f>
        <v>0</v>
      </c>
      <c r="K2987">
        <f>_xlfn.XLOOKUP($A2987,Load!$B:$B,Load!L:L,0,)</f>
        <v>0</v>
      </c>
      <c r="L2987">
        <f>_xlfn.XLOOKUP($A2987,Load!$B:$B,Load!M:M,0,)</f>
        <v>0</v>
      </c>
    </row>
    <row r="2988" spans="1:12" x14ac:dyDescent="0.25">
      <c r="B2988">
        <f>_xlfn.XLOOKUP($A2988,Load!$B:$B,Load!C:C,0,)</f>
        <v>0</v>
      </c>
      <c r="C2988">
        <f>_xlfn.XLOOKUP($A2988,Load!$B:$B,Load!D:D,0,)</f>
        <v>0</v>
      </c>
      <c r="D2988">
        <f>_xlfn.XLOOKUP($A2988,Load!$B:$B,Load!E:E,0,)</f>
        <v>0</v>
      </c>
      <c r="E2988">
        <f>_xlfn.XLOOKUP($A2988,Load!$B:$B,Load!F:F,0,)</f>
        <v>0</v>
      </c>
      <c r="F2988">
        <f>_xlfn.XLOOKUP($A2988,Load!$B:$B,Load!G:G,0,)</f>
        <v>0</v>
      </c>
      <c r="G2988">
        <f>_xlfn.XLOOKUP($A2988,Load!$B:$B,Load!H:H,0,)</f>
        <v>0</v>
      </c>
      <c r="H2988">
        <f>_xlfn.XLOOKUP($A2988,Load!$B:$B,Load!I:I,0,)</f>
        <v>0</v>
      </c>
      <c r="I2988">
        <f>_xlfn.XLOOKUP($A2988,Load!$B:$B,Load!J:J,0,)</f>
        <v>0</v>
      </c>
      <c r="J2988">
        <f>_xlfn.XLOOKUP($A2988,Load!$B:$B,Load!K:K,0,)</f>
        <v>0</v>
      </c>
      <c r="K2988">
        <f>_xlfn.XLOOKUP($A2988,Load!$B:$B,Load!L:L,0,)</f>
        <v>0</v>
      </c>
      <c r="L2988">
        <f>_xlfn.XLOOKUP($A2988,Load!$B:$B,Load!M:M,0,)</f>
        <v>0</v>
      </c>
    </row>
    <row r="2989" spans="1:12" x14ac:dyDescent="0.25">
      <c r="B2989">
        <f>_xlfn.XLOOKUP($A2989,Load!$B:$B,Load!C:C,0,)</f>
        <v>0</v>
      </c>
      <c r="C2989">
        <f>_xlfn.XLOOKUP($A2989,Load!$B:$B,Load!D:D,0,)</f>
        <v>0</v>
      </c>
      <c r="D2989">
        <f>_xlfn.XLOOKUP($A2989,Load!$B:$B,Load!E:E,0,)</f>
        <v>0</v>
      </c>
      <c r="E2989">
        <f>_xlfn.XLOOKUP($A2989,Load!$B:$B,Load!F:F,0,)</f>
        <v>0</v>
      </c>
      <c r="F2989">
        <f>_xlfn.XLOOKUP($A2989,Load!$B:$B,Load!G:G,0,)</f>
        <v>0</v>
      </c>
      <c r="G2989">
        <f>_xlfn.XLOOKUP($A2989,Load!$B:$B,Load!H:H,0,)</f>
        <v>0</v>
      </c>
      <c r="H2989">
        <f>_xlfn.XLOOKUP($A2989,Load!$B:$B,Load!I:I,0,)</f>
        <v>0</v>
      </c>
      <c r="I2989">
        <f>_xlfn.XLOOKUP($A2989,Load!$B:$B,Load!J:J,0,)</f>
        <v>0</v>
      </c>
      <c r="J2989">
        <f>_xlfn.XLOOKUP($A2989,Load!$B:$B,Load!K:K,0,)</f>
        <v>0</v>
      </c>
      <c r="K2989">
        <f>_xlfn.XLOOKUP($A2989,Load!$B:$B,Load!L:L,0,)</f>
        <v>0</v>
      </c>
      <c r="L2989">
        <f>_xlfn.XLOOKUP($A2989,Load!$B:$B,Load!M:M,0,)</f>
        <v>0</v>
      </c>
    </row>
    <row r="2990" spans="1:12" x14ac:dyDescent="0.25">
      <c r="B2990">
        <f>_xlfn.XLOOKUP($A2990,Load!$B:$B,Load!C:C,0,)</f>
        <v>0</v>
      </c>
      <c r="C2990">
        <f>_xlfn.XLOOKUP($A2990,Load!$B:$B,Load!D:D,0,)</f>
        <v>0</v>
      </c>
      <c r="D2990">
        <f>_xlfn.XLOOKUP($A2990,Load!$B:$B,Load!E:E,0,)</f>
        <v>0</v>
      </c>
      <c r="E2990">
        <f>_xlfn.XLOOKUP($A2990,Load!$B:$B,Load!F:F,0,)</f>
        <v>0</v>
      </c>
      <c r="F2990">
        <f>_xlfn.XLOOKUP($A2990,Load!$B:$B,Load!G:G,0,)</f>
        <v>0</v>
      </c>
      <c r="G2990">
        <f>_xlfn.XLOOKUP($A2990,Load!$B:$B,Load!H:H,0,)</f>
        <v>0</v>
      </c>
      <c r="H2990">
        <f>_xlfn.XLOOKUP($A2990,Load!$B:$B,Load!I:I,0,)</f>
        <v>0</v>
      </c>
      <c r="I2990">
        <f>_xlfn.XLOOKUP($A2990,Load!$B:$B,Load!J:J,0,)</f>
        <v>0</v>
      </c>
      <c r="J2990">
        <f>_xlfn.XLOOKUP($A2990,Load!$B:$B,Load!K:K,0,)</f>
        <v>0</v>
      </c>
      <c r="K2990">
        <f>_xlfn.XLOOKUP($A2990,Load!$B:$B,Load!L:L,0,)</f>
        <v>0</v>
      </c>
      <c r="L2990">
        <f>_xlfn.XLOOKUP($A2990,Load!$B:$B,Load!M:M,0,)</f>
        <v>0</v>
      </c>
    </row>
    <row r="2991" spans="1:12" x14ac:dyDescent="0.25">
      <c r="B2991">
        <f>_xlfn.XLOOKUP($A2991,Load!$B:$B,Load!C:C,0,)</f>
        <v>0</v>
      </c>
      <c r="C2991">
        <f>_xlfn.XLOOKUP($A2991,Load!$B:$B,Load!D:D,0,)</f>
        <v>0</v>
      </c>
      <c r="D2991">
        <f>_xlfn.XLOOKUP($A2991,Load!$B:$B,Load!E:E,0,)</f>
        <v>0</v>
      </c>
      <c r="E2991">
        <f>_xlfn.XLOOKUP($A2991,Load!$B:$B,Load!F:F,0,)</f>
        <v>0</v>
      </c>
      <c r="F2991">
        <f>_xlfn.XLOOKUP($A2991,Load!$B:$B,Load!G:G,0,)</f>
        <v>0</v>
      </c>
      <c r="G2991">
        <f>_xlfn.XLOOKUP($A2991,Load!$B:$B,Load!H:H,0,)</f>
        <v>0</v>
      </c>
      <c r="H2991">
        <f>_xlfn.XLOOKUP($A2991,Load!$B:$B,Load!I:I,0,)</f>
        <v>0</v>
      </c>
      <c r="I2991">
        <f>_xlfn.XLOOKUP($A2991,Load!$B:$B,Load!J:J,0,)</f>
        <v>0</v>
      </c>
      <c r="J2991">
        <f>_xlfn.XLOOKUP($A2991,Load!$B:$B,Load!K:K,0,)</f>
        <v>0</v>
      </c>
      <c r="K2991">
        <f>_xlfn.XLOOKUP($A2991,Load!$B:$B,Load!L:L,0,)</f>
        <v>0</v>
      </c>
      <c r="L2991">
        <f>_xlfn.XLOOKUP($A2991,Load!$B:$B,Load!M:M,0,)</f>
        <v>0</v>
      </c>
    </row>
    <row r="2992" spans="1:12" x14ac:dyDescent="0.25">
      <c r="A2992" t="s">
        <v>204</v>
      </c>
      <c r="B2992" t="str">
        <f>_xlfn.XLOOKUP($A2992,Load!$B:$B,Load!C:C,0,)</f>
        <v>Mars Variety Pack</v>
      </c>
      <c r="C2992" t="str">
        <f>_xlfn.XLOOKUP($A2992,Load!$B:$B,Load!D:D,0,)</f>
        <v>Mix of Chocolate and Non-Chocolate Candy</v>
      </c>
      <c r="D2992" t="str">
        <f>_xlfn.XLOOKUP($A2992,Load!$B:$B,Load!E:E,0,)</f>
        <v>Variety / Mixed Flavors (Fruity, Sour, Seasonal Flavors)</v>
      </c>
      <c r="E2992" t="str">
        <f>_xlfn.XLOOKUP($A2992,Load!$B:$B,Load!F:F,0,)</f>
        <v>Mixed / Combo Packs (Gummy, Chewy, Taffy, etc.)</v>
      </c>
      <c r="F2992" t="str">
        <f>_xlfn.XLOOKUP($A2992,Load!$B:$B,Load!G:G,0,)</f>
        <v>Medium Multipack (40–80 ct)</v>
      </c>
      <c r="G2992" t="str">
        <f>_xlfn.XLOOKUP($A2992,Load!$B:$B,Load!H:H,0,)</f>
        <v>Stand-Up Bag</v>
      </c>
      <c r="H2992" t="str">
        <f>_xlfn.XLOOKUP($A2992,Load!$B:$B,Load!I:I,0,)</f>
        <v>Everyday Candy Shapes (like Original, Gummy bear, Fruit, Jewels, etc.)</v>
      </c>
      <c r="I2992" t="str">
        <f>_xlfn.XLOOKUP($A2992,Load!$B:$B,Load!J:J,0,)</f>
        <v>Everyday Graphics</v>
      </c>
      <c r="J2992" t="str">
        <f>_xlfn.XLOOKUP($A2992,Load!$B:$B,Load!K:K,0,)</f>
        <v>Fun Size / Treat Size</v>
      </c>
      <c r="K2992" t="str">
        <f>_xlfn.XLOOKUP($A2992,Load!$B:$B,Load!L:L,0,)</f>
        <v>Regular/Original Wrapping</v>
      </c>
      <c r="L2992" t="str">
        <f>_xlfn.XLOOKUP($A2992,Load!$B:$B,Load!M:M,0,)</f>
        <v>Multiple Brands / Variety Flavors or Form</v>
      </c>
    </row>
    <row r="2993" spans="1:12" x14ac:dyDescent="0.25">
      <c r="A2993" t="s">
        <v>463</v>
      </c>
      <c r="B2993" t="str">
        <f>_xlfn.XLOOKUP($A2993,Load!$B:$B,Load!C:C,0,)</f>
        <v>Mars Variety Pack</v>
      </c>
      <c r="C2993" t="str">
        <f>_xlfn.XLOOKUP($A2993,Load!$B:$B,Load!D:D,0,)</f>
        <v>Mix of Chocolate and Non-Chocolate Candy</v>
      </c>
      <c r="D2993" t="str">
        <f>_xlfn.XLOOKUP($A2993,Load!$B:$B,Load!E:E,0,)</f>
        <v>Variety / Mixed Flavors (Fruity, Sour, Seasonal Flavors)</v>
      </c>
      <c r="E2993" t="str">
        <f>_xlfn.XLOOKUP($A2993,Load!$B:$B,Load!F:F,0,)</f>
        <v>Mixed / Combo Packs (Gummy, Chewy, Taffy, etc.)</v>
      </c>
      <c r="F2993" t="str">
        <f>_xlfn.XLOOKUP($A2993,Load!$B:$B,Load!G:G,0,)</f>
        <v>Medium Multipack (40–80 ct)</v>
      </c>
      <c r="G2993" t="str">
        <f>_xlfn.XLOOKUP($A2993,Load!$B:$B,Load!H:H,0,)</f>
        <v>Stand-Up Bag</v>
      </c>
      <c r="H2993" t="str">
        <f>_xlfn.XLOOKUP($A2993,Load!$B:$B,Load!I:I,0,)</f>
        <v>Everyday Candy Shapes (like Original, Gummy bear, Fruit, Jewels, etc.)</v>
      </c>
      <c r="I2993" t="str">
        <f>_xlfn.XLOOKUP($A2993,Load!$B:$B,Load!J:J,0,)</f>
        <v>Seasonal Graphics (Like Bat, Ghost, Pumpkin, Fall Leaves, Eyeballs, etc.)</v>
      </c>
      <c r="J2993" t="str">
        <f>_xlfn.XLOOKUP($A2993,Load!$B:$B,Load!K:K,0,)</f>
        <v>Fun Size / Treat Size</v>
      </c>
      <c r="K2993" t="str">
        <f>_xlfn.XLOOKUP($A2993,Load!$B:$B,Load!L:L,0,)</f>
        <v>Regular/Original Wrapping</v>
      </c>
      <c r="L2993" t="str">
        <f>_xlfn.XLOOKUP($A2993,Load!$B:$B,Load!M:M,0,)</f>
        <v>Multiple Brands / Variety Flavors or Form</v>
      </c>
    </row>
    <row r="2994" spans="1:12" x14ac:dyDescent="0.25">
      <c r="A2994" t="s">
        <v>140</v>
      </c>
      <c r="B2994" t="str">
        <f>_xlfn.XLOOKUP($A2994,Load!$B:$B,Load!C:C,0,)</f>
        <v>Hershey's Variety Pack + Haribo</v>
      </c>
      <c r="C2994" t="str">
        <f>_xlfn.XLOOKUP($A2994,Load!$B:$B,Load!D:D,0,)</f>
        <v>Mix of Chocolate and Non-Chocolate Candy</v>
      </c>
      <c r="D2994" t="str">
        <f>_xlfn.XLOOKUP($A2994,Load!$B:$B,Load!E:E,0,)</f>
        <v>Variety / Mixed Flavors (Fruity, Sour, Seasonal Flavors)</v>
      </c>
      <c r="E2994" t="str">
        <f>_xlfn.XLOOKUP($A2994,Load!$B:$B,Load!F:F,0,)</f>
        <v>Mixed / Combo Packs (Gummy, Chewy, Taffy, etc.)</v>
      </c>
      <c r="F2994" t="str">
        <f>_xlfn.XLOOKUP($A2994,Load!$B:$B,Load!G:G,0,)</f>
        <v>Large Multipack (More than 80 ct)</v>
      </c>
      <c r="G2994" t="str">
        <f>_xlfn.XLOOKUP($A2994,Load!$B:$B,Load!H:H,0,)</f>
        <v>Stand-Up Bag</v>
      </c>
      <c r="H2994" t="str">
        <f>_xlfn.XLOOKUP($A2994,Load!$B:$B,Load!I:I,0,)</f>
        <v>Everyday Candy Shapes (like Original, Gummy bear, Fruit, Jewels, etc.)</v>
      </c>
      <c r="I2994" t="str">
        <f>_xlfn.XLOOKUP($A2994,Load!$B:$B,Load!J:J,0,)</f>
        <v>Seasonal Graphics (Like Bat, Ghost, Pumpkin, Fall Leaves, Eyeballs, etc.)</v>
      </c>
      <c r="J2994" t="str">
        <f>_xlfn.XLOOKUP($A2994,Load!$B:$B,Load!K:K,0,)</f>
        <v xml:space="preserve">Variety Candy Sizes </v>
      </c>
      <c r="K2994" t="str">
        <f>_xlfn.XLOOKUP($A2994,Load!$B:$B,Load!L:L,0,)</f>
        <v>Regular/Original Wrapping</v>
      </c>
      <c r="L2994" t="str">
        <f>_xlfn.XLOOKUP($A2994,Load!$B:$B,Load!M:M,0,)</f>
        <v>Multiple Brands / Variety Flavors or Form</v>
      </c>
    </row>
    <row r="2995" spans="1:12" x14ac:dyDescent="0.25">
      <c r="B2995">
        <f>_xlfn.XLOOKUP($A2995,Load!$B:$B,Load!C:C,0,)</f>
        <v>0</v>
      </c>
      <c r="C2995">
        <f>_xlfn.XLOOKUP($A2995,Load!$B:$B,Load!D:D,0,)</f>
        <v>0</v>
      </c>
      <c r="D2995">
        <f>_xlfn.XLOOKUP($A2995,Load!$B:$B,Load!E:E,0,)</f>
        <v>0</v>
      </c>
      <c r="E2995">
        <f>_xlfn.XLOOKUP($A2995,Load!$B:$B,Load!F:F,0,)</f>
        <v>0</v>
      </c>
      <c r="F2995">
        <f>_xlfn.XLOOKUP($A2995,Load!$B:$B,Load!G:G,0,)</f>
        <v>0</v>
      </c>
      <c r="G2995">
        <f>_xlfn.XLOOKUP($A2995,Load!$B:$B,Load!H:H,0,)</f>
        <v>0</v>
      </c>
      <c r="H2995">
        <f>_xlfn.XLOOKUP($A2995,Load!$B:$B,Load!I:I,0,)</f>
        <v>0</v>
      </c>
      <c r="I2995">
        <f>_xlfn.XLOOKUP($A2995,Load!$B:$B,Load!J:J,0,)</f>
        <v>0</v>
      </c>
      <c r="J2995">
        <f>_xlfn.XLOOKUP($A2995,Load!$B:$B,Load!K:K,0,)</f>
        <v>0</v>
      </c>
      <c r="K2995">
        <f>_xlfn.XLOOKUP($A2995,Load!$B:$B,Load!L:L,0,)</f>
        <v>0</v>
      </c>
      <c r="L2995">
        <f>_xlfn.XLOOKUP($A2995,Load!$B:$B,Load!M:M,0,)</f>
        <v>0</v>
      </c>
    </row>
    <row r="2996" spans="1:12" x14ac:dyDescent="0.25">
      <c r="A2996" t="s">
        <v>178</v>
      </c>
      <c r="B2996" t="str">
        <f>_xlfn.XLOOKUP($A2996,Load!$B:$B,Load!C:C,0,)</f>
        <v>Mars Variety Pack</v>
      </c>
      <c r="C2996" t="str">
        <f>_xlfn.XLOOKUP($A2996,Load!$B:$B,Load!D:D,0,)</f>
        <v>Mix of Chocolate and Non-Chocolate Candy</v>
      </c>
      <c r="D2996" t="str">
        <f>_xlfn.XLOOKUP($A2996,Load!$B:$B,Load!E:E,0,)</f>
        <v>Variety / Mixed Flavors (Fruity, Sour, Seasonal Flavors)</v>
      </c>
      <c r="E2996" t="str">
        <f>_xlfn.XLOOKUP($A2996,Load!$B:$B,Load!F:F,0,)</f>
        <v>Mixed / Combo Packs (Gummy, Chewy, Taffy, etc.)</v>
      </c>
      <c r="F2996" t="str">
        <f>_xlfn.XLOOKUP($A2996,Load!$B:$B,Load!G:G,0,)</f>
        <v>Small Multipack (Less than 40 ct)</v>
      </c>
      <c r="G2996" t="str">
        <f>_xlfn.XLOOKUP($A2996,Load!$B:$B,Load!H:H,0,)</f>
        <v>Laydown Bag</v>
      </c>
      <c r="H2996" t="str">
        <f>_xlfn.XLOOKUP($A2996,Load!$B:$B,Load!I:I,0,)</f>
        <v>Everyday Candy Shapes (like Original, Gummy bear, Fruit, Jewels, etc.)</v>
      </c>
      <c r="I2996" t="str">
        <f>_xlfn.XLOOKUP($A2996,Load!$B:$B,Load!J:J,0,)</f>
        <v>Seasonal Graphics (Like Bat, Ghost, Pumpkin, Fall Leaves, Eyeballs, etc.)</v>
      </c>
      <c r="J2996" t="str">
        <f>_xlfn.XLOOKUP($A2996,Load!$B:$B,Load!K:K,0,)</f>
        <v xml:space="preserve">Variety Candy Sizes </v>
      </c>
      <c r="K2996" t="str">
        <f>_xlfn.XLOOKUP($A2996,Load!$B:$B,Load!L:L,0,)</f>
        <v>Regular/Original Wrapping</v>
      </c>
      <c r="L2996" t="str">
        <f>_xlfn.XLOOKUP($A2996,Load!$B:$B,Load!M:M,0,)</f>
        <v>Multiple Brands / Variety Flavors or Form</v>
      </c>
    </row>
    <row r="2997" spans="1:12" x14ac:dyDescent="0.25">
      <c r="B2997">
        <f>_xlfn.XLOOKUP($A2997,Load!$B:$B,Load!C:C,0,)</f>
        <v>0</v>
      </c>
      <c r="C2997">
        <f>_xlfn.XLOOKUP($A2997,Load!$B:$B,Load!D:D,0,)</f>
        <v>0</v>
      </c>
      <c r="D2997">
        <f>_xlfn.XLOOKUP($A2997,Load!$B:$B,Load!E:E,0,)</f>
        <v>0</v>
      </c>
      <c r="E2997">
        <f>_xlfn.XLOOKUP($A2997,Load!$B:$B,Load!F:F,0,)</f>
        <v>0</v>
      </c>
      <c r="F2997">
        <f>_xlfn.XLOOKUP($A2997,Load!$B:$B,Load!G:G,0,)</f>
        <v>0</v>
      </c>
      <c r="G2997">
        <f>_xlfn.XLOOKUP($A2997,Load!$B:$B,Load!H:H,0,)</f>
        <v>0</v>
      </c>
      <c r="H2997">
        <f>_xlfn.XLOOKUP($A2997,Load!$B:$B,Load!I:I,0,)</f>
        <v>0</v>
      </c>
      <c r="I2997">
        <f>_xlfn.XLOOKUP($A2997,Load!$B:$B,Load!J:J,0,)</f>
        <v>0</v>
      </c>
      <c r="J2997">
        <f>_xlfn.XLOOKUP($A2997,Load!$B:$B,Load!K:K,0,)</f>
        <v>0</v>
      </c>
      <c r="K2997">
        <f>_xlfn.XLOOKUP($A2997,Load!$B:$B,Load!L:L,0,)</f>
        <v>0</v>
      </c>
      <c r="L2997">
        <f>_xlfn.XLOOKUP($A2997,Load!$B:$B,Load!M:M,0,)</f>
        <v>0</v>
      </c>
    </row>
    <row r="2998" spans="1:12" x14ac:dyDescent="0.25">
      <c r="A2998" t="s">
        <v>198</v>
      </c>
      <c r="B2998" t="str">
        <f>_xlfn.XLOOKUP($A2998,Load!$B:$B,Load!C:C,0,)</f>
        <v>Mars Variety Pack</v>
      </c>
      <c r="C2998" t="str">
        <f>_xlfn.XLOOKUP($A2998,Load!$B:$B,Load!D:D,0,)</f>
        <v>Non-Chocolate Candy Only</v>
      </c>
      <c r="D2998" t="str">
        <f>_xlfn.XLOOKUP($A2998,Load!$B:$B,Load!E:E,0,)</f>
        <v>Variety / Mixed Flavors (Fruity, Sour, Seasonal Flavors)</v>
      </c>
      <c r="E2998" t="str">
        <f>_xlfn.XLOOKUP($A2998,Load!$B:$B,Load!F:F,0,)</f>
        <v>Mixed / Combo Packs (Gummy, Chewy, Taffy, etc.)</v>
      </c>
      <c r="F2998" t="str">
        <f>_xlfn.XLOOKUP($A2998,Load!$B:$B,Load!G:G,0,)</f>
        <v>Large Multipack (More than 80 ct)</v>
      </c>
      <c r="G2998" t="str">
        <f>_xlfn.XLOOKUP($A2998,Load!$B:$B,Load!H:H,0,)</f>
        <v>Stand-Up Bag</v>
      </c>
      <c r="H2998" t="str">
        <f>_xlfn.XLOOKUP($A2998,Load!$B:$B,Load!I:I,0,)</f>
        <v>Everyday Candy Shapes (like Original, Gummy bear, Fruit, Jewels, etc.)</v>
      </c>
      <c r="I2998" t="str">
        <f>_xlfn.XLOOKUP($A2998,Load!$B:$B,Load!J:J,0,)</f>
        <v>Seasonal Graphics (Like Bat, Ghost, Pumpkin, Fall Leaves, Eyeballs, etc.)</v>
      </c>
      <c r="J2998" t="str">
        <f>_xlfn.XLOOKUP($A2998,Load!$B:$B,Load!K:K,0,)</f>
        <v>Fun Size / Treat Size</v>
      </c>
      <c r="K2998" t="str">
        <f>_xlfn.XLOOKUP($A2998,Load!$B:$B,Load!L:L,0,)</f>
        <v>Regular/Original Wrapping</v>
      </c>
      <c r="L2998" t="str">
        <f>_xlfn.XLOOKUP($A2998,Load!$B:$B,Load!M:M,0,)</f>
        <v>Multiple Brands / Variety Flavors or Form</v>
      </c>
    </row>
    <row r="2999" spans="1:12" x14ac:dyDescent="0.25">
      <c r="A2999" t="s">
        <v>79</v>
      </c>
      <c r="B2999" t="str">
        <f>_xlfn.XLOOKUP($A2999,Load!$B:$B,Load!C:C,0,)</f>
        <v>Ferrara Variety Pack</v>
      </c>
      <c r="C2999" t="str">
        <f>_xlfn.XLOOKUP($A2999,Load!$B:$B,Load!D:D,0,)</f>
        <v>Non-Chocolate Candy Only</v>
      </c>
      <c r="D2999" t="str">
        <f>_xlfn.XLOOKUP($A2999,Load!$B:$B,Load!E:E,0,)</f>
        <v>Variety / Mixed Flavors (Fruity, Sour, Seasonal Flavors)</v>
      </c>
      <c r="E2999" t="str">
        <f>_xlfn.XLOOKUP($A2999,Load!$B:$B,Load!F:F,0,)</f>
        <v>Mixed / Combo Packs (Gummy, Chewy, Taffy, etc.)</v>
      </c>
      <c r="F2999" t="str">
        <f>_xlfn.XLOOKUP($A2999,Load!$B:$B,Load!G:G,0,)</f>
        <v>Large Multipack (More than 80 ct)</v>
      </c>
      <c r="G2999" t="str">
        <f>_xlfn.XLOOKUP($A2999,Load!$B:$B,Load!H:H,0,)</f>
        <v>Stand-Up Bag</v>
      </c>
      <c r="H2999" t="str">
        <f>_xlfn.XLOOKUP($A2999,Load!$B:$B,Load!I:I,0,)</f>
        <v>Everyday Candy Shapes (like Original, Gummy bear, Fruit, Jewels, etc.)</v>
      </c>
      <c r="I2999" t="str">
        <f>_xlfn.XLOOKUP($A2999,Load!$B:$B,Load!J:J,0,)</f>
        <v>Seasonal Graphics (Like Bat, Ghost, Pumpkin, Fall Leaves, Eyeballs, etc.)</v>
      </c>
      <c r="J2999" t="str">
        <f>_xlfn.XLOOKUP($A2999,Load!$B:$B,Load!K:K,0,)</f>
        <v xml:space="preserve">Variety Candy Sizes </v>
      </c>
      <c r="K2999" t="str">
        <f>_xlfn.XLOOKUP($A2999,Load!$B:$B,Load!L:L,0,)</f>
        <v>Regular/Original Wrapping</v>
      </c>
      <c r="L2999" t="str">
        <f>_xlfn.XLOOKUP($A2999,Load!$B:$B,Load!M:M,0,)</f>
        <v>Multiple Brands / Variety Flavors or Form</v>
      </c>
    </row>
    <row r="3000" spans="1:12" x14ac:dyDescent="0.25">
      <c r="B3000">
        <f>_xlfn.XLOOKUP($A3000,Load!$B:$B,Load!C:C,0,)</f>
        <v>0</v>
      </c>
      <c r="C3000">
        <f>_xlfn.XLOOKUP($A3000,Load!$B:$B,Load!D:D,0,)</f>
        <v>0</v>
      </c>
      <c r="D3000">
        <f>_xlfn.XLOOKUP($A3000,Load!$B:$B,Load!E:E,0,)</f>
        <v>0</v>
      </c>
      <c r="E3000">
        <f>_xlfn.XLOOKUP($A3000,Load!$B:$B,Load!F:F,0,)</f>
        <v>0</v>
      </c>
      <c r="F3000">
        <f>_xlfn.XLOOKUP($A3000,Load!$B:$B,Load!G:G,0,)</f>
        <v>0</v>
      </c>
      <c r="G3000">
        <f>_xlfn.XLOOKUP($A3000,Load!$B:$B,Load!H:H,0,)</f>
        <v>0</v>
      </c>
      <c r="H3000">
        <f>_xlfn.XLOOKUP($A3000,Load!$B:$B,Load!I:I,0,)</f>
        <v>0</v>
      </c>
      <c r="I3000">
        <f>_xlfn.XLOOKUP($A3000,Load!$B:$B,Load!J:J,0,)</f>
        <v>0</v>
      </c>
      <c r="J3000">
        <f>_xlfn.XLOOKUP($A3000,Load!$B:$B,Load!K:K,0,)</f>
        <v>0</v>
      </c>
      <c r="K3000">
        <f>_xlfn.XLOOKUP($A3000,Load!$B:$B,Load!L:L,0,)</f>
        <v>0</v>
      </c>
      <c r="L3000">
        <f>_xlfn.XLOOKUP($A3000,Load!$B:$B,Load!M:M,0,)</f>
        <v>0</v>
      </c>
    </row>
    <row r="3001" spans="1:12" x14ac:dyDescent="0.25">
      <c r="B3001">
        <f>_xlfn.XLOOKUP($A3001,Load!$B:$B,Load!C:C,0,)</f>
        <v>0</v>
      </c>
      <c r="C3001">
        <f>_xlfn.XLOOKUP($A3001,Load!$B:$B,Load!D:D,0,)</f>
        <v>0</v>
      </c>
      <c r="D3001">
        <f>_xlfn.XLOOKUP($A3001,Load!$B:$B,Load!E:E,0,)</f>
        <v>0</v>
      </c>
      <c r="E3001">
        <f>_xlfn.XLOOKUP($A3001,Load!$B:$B,Load!F:F,0,)</f>
        <v>0</v>
      </c>
      <c r="F3001">
        <f>_xlfn.XLOOKUP($A3001,Load!$B:$B,Load!G:G,0,)</f>
        <v>0</v>
      </c>
      <c r="G3001">
        <f>_xlfn.XLOOKUP($A3001,Load!$B:$B,Load!H:H,0,)</f>
        <v>0</v>
      </c>
      <c r="H3001">
        <f>_xlfn.XLOOKUP($A3001,Load!$B:$B,Load!I:I,0,)</f>
        <v>0</v>
      </c>
      <c r="I3001">
        <f>_xlfn.XLOOKUP($A3001,Load!$B:$B,Load!J:J,0,)</f>
        <v>0</v>
      </c>
      <c r="J3001">
        <f>_xlfn.XLOOKUP($A3001,Load!$B:$B,Load!K:K,0,)</f>
        <v>0</v>
      </c>
      <c r="K3001">
        <f>_xlfn.XLOOKUP($A3001,Load!$B:$B,Load!L:L,0,)</f>
        <v>0</v>
      </c>
      <c r="L3001">
        <f>_xlfn.XLOOKUP($A3001,Load!$B:$B,Load!M:M,0,)</f>
        <v>0</v>
      </c>
    </row>
    <row r="3002" spans="1:12" x14ac:dyDescent="0.25">
      <c r="A3002" t="s">
        <v>222</v>
      </c>
      <c r="B3002" t="str">
        <f>_xlfn.XLOOKUP($A3002,Load!$B:$B,Load!C:C,0,)</f>
        <v>Nerds</v>
      </c>
      <c r="C3002" t="str">
        <f>_xlfn.XLOOKUP($A3002,Load!$B:$B,Load!D:D,0,)</f>
        <v>Non-Chocolate Candy Only</v>
      </c>
      <c r="D3002" t="str">
        <f>_xlfn.XLOOKUP($A3002,Load!$B:$B,Load!E:E,0,)</f>
        <v>Sweet</v>
      </c>
      <c r="E3002" t="str">
        <f>_xlfn.XLOOKUP($A3002,Load!$B:$B,Load!F:F,0,)</f>
        <v>Gummy</v>
      </c>
      <c r="F3002" t="str">
        <f>_xlfn.XLOOKUP($A3002,Load!$B:$B,Load!G:G,0,)</f>
        <v>Small Multipack (Less than 40 ct)</v>
      </c>
      <c r="G3002" t="str">
        <f>_xlfn.XLOOKUP($A3002,Load!$B:$B,Load!H:H,0,)</f>
        <v>Stand-Up Bag</v>
      </c>
      <c r="H3002" t="str">
        <f>_xlfn.XLOOKUP($A3002,Load!$B:$B,Load!I:I,0,)</f>
        <v>Everyday Candy Shapes (like Original, Gummy bear, Fruit, Jewels, etc.)</v>
      </c>
      <c r="I3002" t="str">
        <f>_xlfn.XLOOKUP($A3002,Load!$B:$B,Load!J:J,0,)</f>
        <v>Seasonal Graphics (Like Bat, Ghost, Pumpkin, Fall Leaves, Eyeballs, etc.)</v>
      </c>
      <c r="J3002" t="str">
        <f>_xlfn.XLOOKUP($A3002,Load!$B:$B,Load!K:K,0,)</f>
        <v>Fun Size / Treat Size</v>
      </c>
      <c r="K3002" t="str">
        <f>_xlfn.XLOOKUP($A3002,Load!$B:$B,Load!L:L,0,)</f>
        <v>Regular/Original Wrapping</v>
      </c>
      <c r="L3002" t="str">
        <f>_xlfn.XLOOKUP($A3002,Load!$B:$B,Load!M:M,0,)</f>
        <v>Single Brand / Variety Flavors or Form</v>
      </c>
    </row>
    <row r="3003" spans="1:12" x14ac:dyDescent="0.25">
      <c r="B3003">
        <f>_xlfn.XLOOKUP($A3003,Load!$B:$B,Load!C:C,0,)</f>
        <v>0</v>
      </c>
      <c r="C3003">
        <f>_xlfn.XLOOKUP($A3003,Load!$B:$B,Load!D:D,0,)</f>
        <v>0</v>
      </c>
      <c r="D3003">
        <f>_xlfn.XLOOKUP($A3003,Load!$B:$B,Load!E:E,0,)</f>
        <v>0</v>
      </c>
      <c r="E3003">
        <f>_xlfn.XLOOKUP($A3003,Load!$B:$B,Load!F:F,0,)</f>
        <v>0</v>
      </c>
      <c r="F3003">
        <f>_xlfn.XLOOKUP($A3003,Load!$B:$B,Load!G:G,0,)</f>
        <v>0</v>
      </c>
      <c r="G3003">
        <f>_xlfn.XLOOKUP($A3003,Load!$B:$B,Load!H:H,0,)</f>
        <v>0</v>
      </c>
      <c r="H3003">
        <f>_xlfn.XLOOKUP($A3003,Load!$B:$B,Load!I:I,0,)</f>
        <v>0</v>
      </c>
      <c r="I3003">
        <f>_xlfn.XLOOKUP($A3003,Load!$B:$B,Load!J:J,0,)</f>
        <v>0</v>
      </c>
      <c r="J3003">
        <f>_xlfn.XLOOKUP($A3003,Load!$B:$B,Load!K:K,0,)</f>
        <v>0</v>
      </c>
      <c r="K3003">
        <f>_xlfn.XLOOKUP($A3003,Load!$B:$B,Load!L:L,0,)</f>
        <v>0</v>
      </c>
      <c r="L3003">
        <f>_xlfn.XLOOKUP($A3003,Load!$B:$B,Load!M:M,0,)</f>
        <v>0</v>
      </c>
    </row>
    <row r="3004" spans="1:12" x14ac:dyDescent="0.25">
      <c r="B3004">
        <f>_xlfn.XLOOKUP($A3004,Load!$B:$B,Load!C:C,0,)</f>
        <v>0</v>
      </c>
      <c r="C3004">
        <f>_xlfn.XLOOKUP($A3004,Load!$B:$B,Load!D:D,0,)</f>
        <v>0</v>
      </c>
      <c r="D3004">
        <f>_xlfn.XLOOKUP($A3004,Load!$B:$B,Load!E:E,0,)</f>
        <v>0</v>
      </c>
      <c r="E3004">
        <f>_xlfn.XLOOKUP($A3004,Load!$B:$B,Load!F:F,0,)</f>
        <v>0</v>
      </c>
      <c r="F3004">
        <f>_xlfn.XLOOKUP($A3004,Load!$B:$B,Load!G:G,0,)</f>
        <v>0</v>
      </c>
      <c r="G3004">
        <f>_xlfn.XLOOKUP($A3004,Load!$B:$B,Load!H:H,0,)</f>
        <v>0</v>
      </c>
      <c r="H3004">
        <f>_xlfn.XLOOKUP($A3004,Load!$B:$B,Load!I:I,0,)</f>
        <v>0</v>
      </c>
      <c r="I3004">
        <f>_xlfn.XLOOKUP($A3004,Load!$B:$B,Load!J:J,0,)</f>
        <v>0</v>
      </c>
      <c r="J3004">
        <f>_xlfn.XLOOKUP($A3004,Load!$B:$B,Load!K:K,0,)</f>
        <v>0</v>
      </c>
      <c r="K3004">
        <f>_xlfn.XLOOKUP($A3004,Load!$B:$B,Load!L:L,0,)</f>
        <v>0</v>
      </c>
      <c r="L3004">
        <f>_xlfn.XLOOKUP($A3004,Load!$B:$B,Load!M:M,0,)</f>
        <v>0</v>
      </c>
    </row>
    <row r="3005" spans="1:12" x14ac:dyDescent="0.25">
      <c r="B3005">
        <f>_xlfn.XLOOKUP($A3005,Load!$B:$B,Load!C:C,0,)</f>
        <v>0</v>
      </c>
      <c r="C3005">
        <f>_xlfn.XLOOKUP($A3005,Load!$B:$B,Load!D:D,0,)</f>
        <v>0</v>
      </c>
      <c r="D3005">
        <f>_xlfn.XLOOKUP($A3005,Load!$B:$B,Load!E:E,0,)</f>
        <v>0</v>
      </c>
      <c r="E3005">
        <f>_xlfn.XLOOKUP($A3005,Load!$B:$B,Load!F:F,0,)</f>
        <v>0</v>
      </c>
      <c r="F3005">
        <f>_xlfn.XLOOKUP($A3005,Load!$B:$B,Load!G:G,0,)</f>
        <v>0</v>
      </c>
      <c r="G3005">
        <f>_xlfn.XLOOKUP($A3005,Load!$B:$B,Load!H:H,0,)</f>
        <v>0</v>
      </c>
      <c r="H3005">
        <f>_xlfn.XLOOKUP($A3005,Load!$B:$B,Load!I:I,0,)</f>
        <v>0</v>
      </c>
      <c r="I3005">
        <f>_xlfn.XLOOKUP($A3005,Load!$B:$B,Load!J:J,0,)</f>
        <v>0</v>
      </c>
      <c r="J3005">
        <f>_xlfn.XLOOKUP($A3005,Load!$B:$B,Load!K:K,0,)</f>
        <v>0</v>
      </c>
      <c r="K3005">
        <f>_xlfn.XLOOKUP($A3005,Load!$B:$B,Load!L:L,0,)</f>
        <v>0</v>
      </c>
      <c r="L3005">
        <f>_xlfn.XLOOKUP($A3005,Load!$B:$B,Load!M:M,0,)</f>
        <v>0</v>
      </c>
    </row>
    <row r="3006" spans="1:12" x14ac:dyDescent="0.25">
      <c r="B3006">
        <f>_xlfn.XLOOKUP($A3006,Load!$B:$B,Load!C:C,0,)</f>
        <v>0</v>
      </c>
      <c r="C3006">
        <f>_xlfn.XLOOKUP($A3006,Load!$B:$B,Load!D:D,0,)</f>
        <v>0</v>
      </c>
      <c r="D3006">
        <f>_xlfn.XLOOKUP($A3006,Load!$B:$B,Load!E:E,0,)</f>
        <v>0</v>
      </c>
      <c r="E3006">
        <f>_xlfn.XLOOKUP($A3006,Load!$B:$B,Load!F:F,0,)</f>
        <v>0</v>
      </c>
      <c r="F3006">
        <f>_xlfn.XLOOKUP($A3006,Load!$B:$B,Load!G:G,0,)</f>
        <v>0</v>
      </c>
      <c r="G3006">
        <f>_xlfn.XLOOKUP($A3006,Load!$B:$B,Load!H:H,0,)</f>
        <v>0</v>
      </c>
      <c r="H3006">
        <f>_xlfn.XLOOKUP($A3006,Load!$B:$B,Load!I:I,0,)</f>
        <v>0</v>
      </c>
      <c r="I3006">
        <f>_xlfn.XLOOKUP($A3006,Load!$B:$B,Load!J:J,0,)</f>
        <v>0</v>
      </c>
      <c r="J3006">
        <f>_xlfn.XLOOKUP($A3006,Load!$B:$B,Load!K:K,0,)</f>
        <v>0</v>
      </c>
      <c r="K3006">
        <f>_xlfn.XLOOKUP($A3006,Load!$B:$B,Load!L:L,0,)</f>
        <v>0</v>
      </c>
      <c r="L3006">
        <f>_xlfn.XLOOKUP($A3006,Load!$B:$B,Load!M:M,0,)</f>
        <v>0</v>
      </c>
    </row>
    <row r="3007" spans="1:12" x14ac:dyDescent="0.25">
      <c r="B3007">
        <f>_xlfn.XLOOKUP($A3007,Load!$B:$B,Load!C:C,0,)</f>
        <v>0</v>
      </c>
      <c r="C3007">
        <f>_xlfn.XLOOKUP($A3007,Load!$B:$B,Load!D:D,0,)</f>
        <v>0</v>
      </c>
      <c r="D3007">
        <f>_xlfn.XLOOKUP($A3007,Load!$B:$B,Load!E:E,0,)</f>
        <v>0</v>
      </c>
      <c r="E3007">
        <f>_xlfn.XLOOKUP($A3007,Load!$B:$B,Load!F:F,0,)</f>
        <v>0</v>
      </c>
      <c r="F3007">
        <f>_xlfn.XLOOKUP($A3007,Load!$B:$B,Load!G:G,0,)</f>
        <v>0</v>
      </c>
      <c r="G3007">
        <f>_xlfn.XLOOKUP($A3007,Load!$B:$B,Load!H:H,0,)</f>
        <v>0</v>
      </c>
      <c r="H3007">
        <f>_xlfn.XLOOKUP($A3007,Load!$B:$B,Load!I:I,0,)</f>
        <v>0</v>
      </c>
      <c r="I3007">
        <f>_xlfn.XLOOKUP($A3007,Load!$B:$B,Load!J:J,0,)</f>
        <v>0</v>
      </c>
      <c r="J3007">
        <f>_xlfn.XLOOKUP($A3007,Load!$B:$B,Load!K:K,0,)</f>
        <v>0</v>
      </c>
      <c r="K3007">
        <f>_xlfn.XLOOKUP($A3007,Load!$B:$B,Load!L:L,0,)</f>
        <v>0</v>
      </c>
      <c r="L3007">
        <f>_xlfn.XLOOKUP($A3007,Load!$B:$B,Load!M:M,0,)</f>
        <v>0</v>
      </c>
    </row>
    <row r="3008" spans="1:12" x14ac:dyDescent="0.25">
      <c r="B3008">
        <f>_xlfn.XLOOKUP($A3008,Load!$B:$B,Load!C:C,0,)</f>
        <v>0</v>
      </c>
      <c r="C3008">
        <f>_xlfn.XLOOKUP($A3008,Load!$B:$B,Load!D:D,0,)</f>
        <v>0</v>
      </c>
      <c r="D3008">
        <f>_xlfn.XLOOKUP($A3008,Load!$B:$B,Load!E:E,0,)</f>
        <v>0</v>
      </c>
      <c r="E3008">
        <f>_xlfn.XLOOKUP($A3008,Load!$B:$B,Load!F:F,0,)</f>
        <v>0</v>
      </c>
      <c r="F3008">
        <f>_xlfn.XLOOKUP($A3008,Load!$B:$B,Load!G:G,0,)</f>
        <v>0</v>
      </c>
      <c r="G3008">
        <f>_xlfn.XLOOKUP($A3008,Load!$B:$B,Load!H:H,0,)</f>
        <v>0</v>
      </c>
      <c r="H3008">
        <f>_xlfn.XLOOKUP($A3008,Load!$B:$B,Load!I:I,0,)</f>
        <v>0</v>
      </c>
      <c r="I3008">
        <f>_xlfn.XLOOKUP($A3008,Load!$B:$B,Load!J:J,0,)</f>
        <v>0</v>
      </c>
      <c r="J3008">
        <f>_xlfn.XLOOKUP($A3008,Load!$B:$B,Load!K:K,0,)</f>
        <v>0</v>
      </c>
      <c r="K3008">
        <f>_xlfn.XLOOKUP($A3008,Load!$B:$B,Load!L:L,0,)</f>
        <v>0</v>
      </c>
      <c r="L3008">
        <f>_xlfn.XLOOKUP($A3008,Load!$B:$B,Load!M:M,0,)</f>
        <v>0</v>
      </c>
    </row>
    <row r="3009" spans="1:12" x14ac:dyDescent="0.25">
      <c r="B3009">
        <f>_xlfn.XLOOKUP($A3009,Load!$B:$B,Load!C:C,0,)</f>
        <v>0</v>
      </c>
      <c r="C3009">
        <f>_xlfn.XLOOKUP($A3009,Load!$B:$B,Load!D:D,0,)</f>
        <v>0</v>
      </c>
      <c r="D3009">
        <f>_xlfn.XLOOKUP($A3009,Load!$B:$B,Load!E:E,0,)</f>
        <v>0</v>
      </c>
      <c r="E3009">
        <f>_xlfn.XLOOKUP($A3009,Load!$B:$B,Load!F:F,0,)</f>
        <v>0</v>
      </c>
      <c r="F3009">
        <f>_xlfn.XLOOKUP($A3009,Load!$B:$B,Load!G:G,0,)</f>
        <v>0</v>
      </c>
      <c r="G3009">
        <f>_xlfn.XLOOKUP($A3009,Load!$B:$B,Load!H:H,0,)</f>
        <v>0</v>
      </c>
      <c r="H3009">
        <f>_xlfn.XLOOKUP($A3009,Load!$B:$B,Load!I:I,0,)</f>
        <v>0</v>
      </c>
      <c r="I3009">
        <f>_xlfn.XLOOKUP($A3009,Load!$B:$B,Load!J:J,0,)</f>
        <v>0</v>
      </c>
      <c r="J3009">
        <f>_xlfn.XLOOKUP($A3009,Load!$B:$B,Load!K:K,0,)</f>
        <v>0</v>
      </c>
      <c r="K3009">
        <f>_xlfn.XLOOKUP($A3009,Load!$B:$B,Load!L:L,0,)</f>
        <v>0</v>
      </c>
      <c r="L3009">
        <f>_xlfn.XLOOKUP($A3009,Load!$B:$B,Load!M:M,0,)</f>
        <v>0</v>
      </c>
    </row>
    <row r="3010" spans="1:12" x14ac:dyDescent="0.25">
      <c r="A3010" t="s">
        <v>236</v>
      </c>
      <c r="B3010" t="str">
        <f>_xlfn.XLOOKUP($A3010,Load!$B:$B,Load!C:C,0,)</f>
        <v>Nerds</v>
      </c>
      <c r="C3010" t="str">
        <f>_xlfn.XLOOKUP($A3010,Load!$B:$B,Load!D:D,0,)</f>
        <v>Non-Chocolate Candy Only</v>
      </c>
      <c r="D3010" t="str">
        <f>_xlfn.XLOOKUP($A3010,Load!$B:$B,Load!E:E,0,)</f>
        <v>Variety / Mixed Flavors (Fruity, Sour, Seasonal Flavors)</v>
      </c>
      <c r="E3010" t="str">
        <f>_xlfn.XLOOKUP($A3010,Load!$B:$B,Load!F:F,0,)</f>
        <v>Candy Pieces / Bites</v>
      </c>
      <c r="F3010" t="str">
        <f>_xlfn.XLOOKUP($A3010,Load!$B:$B,Load!G:G,0,)</f>
        <v>Medium Multipack (40–80 ct)</v>
      </c>
      <c r="G3010" t="str">
        <f>_xlfn.XLOOKUP($A3010,Load!$B:$B,Load!H:H,0,)</f>
        <v>Stand-Up Bag</v>
      </c>
      <c r="H3010" t="str">
        <f>_xlfn.XLOOKUP($A3010,Load!$B:$B,Load!I:I,0,)</f>
        <v>Everyday Candy Shapes (like Original, Gummy bear, Fruit, Jewels, etc.)</v>
      </c>
      <c r="I3010" t="str">
        <f>_xlfn.XLOOKUP($A3010,Load!$B:$B,Load!J:J,0,)</f>
        <v>Seasonal Graphics (Like Bat, Ghost, Pumpkin, Fall Leaves, Eyeballs, etc.)</v>
      </c>
      <c r="J3010" t="str">
        <f>_xlfn.XLOOKUP($A3010,Load!$B:$B,Load!K:K,0,)</f>
        <v>Small Pieces (Tiny bite size candies)</v>
      </c>
      <c r="K3010" t="str">
        <f>_xlfn.XLOOKUP($A3010,Load!$B:$B,Load!L:L,0,)</f>
        <v>Unwrapped</v>
      </c>
      <c r="L3010" t="str">
        <f>_xlfn.XLOOKUP($A3010,Load!$B:$B,Load!M:M,0,)</f>
        <v>Single Brand / Variety Flavors or Form</v>
      </c>
    </row>
    <row r="3011" spans="1:12" x14ac:dyDescent="0.25">
      <c r="B3011">
        <f>_xlfn.XLOOKUP($A3011,Load!$B:$B,Load!C:C,0,)</f>
        <v>0</v>
      </c>
      <c r="C3011">
        <f>_xlfn.XLOOKUP($A3011,Load!$B:$B,Load!D:D,0,)</f>
        <v>0</v>
      </c>
      <c r="D3011">
        <f>_xlfn.XLOOKUP($A3011,Load!$B:$B,Load!E:E,0,)</f>
        <v>0</v>
      </c>
      <c r="E3011">
        <f>_xlfn.XLOOKUP($A3011,Load!$B:$B,Load!F:F,0,)</f>
        <v>0</v>
      </c>
      <c r="F3011">
        <f>_xlfn.XLOOKUP($A3011,Load!$B:$B,Load!G:G,0,)</f>
        <v>0</v>
      </c>
      <c r="G3011">
        <f>_xlfn.XLOOKUP($A3011,Load!$B:$B,Load!H:H,0,)</f>
        <v>0</v>
      </c>
      <c r="H3011">
        <f>_xlfn.XLOOKUP($A3011,Load!$B:$B,Load!I:I,0,)</f>
        <v>0</v>
      </c>
      <c r="I3011">
        <f>_xlfn.XLOOKUP($A3011,Load!$B:$B,Load!J:J,0,)</f>
        <v>0</v>
      </c>
      <c r="J3011">
        <f>_xlfn.XLOOKUP($A3011,Load!$B:$B,Load!K:K,0,)</f>
        <v>0</v>
      </c>
      <c r="K3011">
        <f>_xlfn.XLOOKUP($A3011,Load!$B:$B,Load!L:L,0,)</f>
        <v>0</v>
      </c>
      <c r="L3011">
        <f>_xlfn.XLOOKUP($A3011,Load!$B:$B,Load!M:M,0,)</f>
        <v>0</v>
      </c>
    </row>
    <row r="3012" spans="1:12" x14ac:dyDescent="0.25">
      <c r="A3012" t="s">
        <v>122</v>
      </c>
      <c r="B3012" t="str">
        <f>_xlfn.XLOOKUP($A3012,Load!$B:$B,Load!C:C,0,)</f>
        <v>HARIBO</v>
      </c>
      <c r="C3012" t="str">
        <f>_xlfn.XLOOKUP($A3012,Load!$B:$B,Load!D:D,0,)</f>
        <v>Non-Chocolate Candy Only</v>
      </c>
      <c r="D3012" t="str">
        <f>_xlfn.XLOOKUP($A3012,Load!$B:$B,Load!E:E,0,)</f>
        <v>Variety / Mixed Flavors (Fruity, Sour, Seasonal Flavors)</v>
      </c>
      <c r="E3012" t="str">
        <f>_xlfn.XLOOKUP($A3012,Load!$B:$B,Load!F:F,0,)</f>
        <v>Gummy</v>
      </c>
      <c r="F3012" t="str">
        <f>_xlfn.XLOOKUP($A3012,Load!$B:$B,Load!G:G,0,)</f>
        <v>Medium Multipack (40–80 ct)</v>
      </c>
      <c r="G3012" t="str">
        <f>_xlfn.XLOOKUP($A3012,Load!$B:$B,Load!H:H,0,)</f>
        <v>Laydown Bag</v>
      </c>
      <c r="H3012" t="str">
        <f>_xlfn.XLOOKUP($A3012,Load!$B:$B,Load!I:I,0,)</f>
        <v>Seasonal Shapes (like pumpkins, candy corn, ghost, bats, etc.)</v>
      </c>
      <c r="I3012" t="str">
        <f>_xlfn.XLOOKUP($A3012,Load!$B:$B,Load!J:J,0,)</f>
        <v>Seasonal Graphics (Like Bat, Ghost, Pumpkin, Fall Leaves, Eyeballs, etc.)</v>
      </c>
      <c r="J3012" t="str">
        <f>_xlfn.XLOOKUP($A3012,Load!$B:$B,Load!K:K,0,)</f>
        <v>Small Pieces (Tiny bite size candies)</v>
      </c>
      <c r="K3012" t="str">
        <f>_xlfn.XLOOKUP($A3012,Load!$B:$B,Load!L:L,0,)</f>
        <v>Regular/Original Wrapping</v>
      </c>
      <c r="L3012" t="str">
        <f>_xlfn.XLOOKUP($A3012,Load!$B:$B,Load!M:M,0,)</f>
        <v>Multiple Brands / Variety Flavors or Form</v>
      </c>
    </row>
    <row r="3013" spans="1:12" x14ac:dyDescent="0.25">
      <c r="B3013">
        <f>_xlfn.XLOOKUP($A3013,Load!$B:$B,Load!C:C,0,)</f>
        <v>0</v>
      </c>
      <c r="C3013">
        <f>_xlfn.XLOOKUP($A3013,Load!$B:$B,Load!D:D,0,)</f>
        <v>0</v>
      </c>
      <c r="D3013">
        <f>_xlfn.XLOOKUP($A3013,Load!$B:$B,Load!E:E,0,)</f>
        <v>0</v>
      </c>
      <c r="E3013">
        <f>_xlfn.XLOOKUP($A3013,Load!$B:$B,Load!F:F,0,)</f>
        <v>0</v>
      </c>
      <c r="F3013">
        <f>_xlfn.XLOOKUP($A3013,Load!$B:$B,Load!G:G,0,)</f>
        <v>0</v>
      </c>
      <c r="G3013">
        <f>_xlfn.XLOOKUP($A3013,Load!$B:$B,Load!H:H,0,)</f>
        <v>0</v>
      </c>
      <c r="H3013">
        <f>_xlfn.XLOOKUP($A3013,Load!$B:$B,Load!I:I,0,)</f>
        <v>0</v>
      </c>
      <c r="I3013">
        <f>_xlfn.XLOOKUP($A3013,Load!$B:$B,Load!J:J,0,)</f>
        <v>0</v>
      </c>
      <c r="J3013">
        <f>_xlfn.XLOOKUP($A3013,Load!$B:$B,Load!K:K,0,)</f>
        <v>0</v>
      </c>
      <c r="K3013">
        <f>_xlfn.XLOOKUP($A3013,Load!$B:$B,Load!L:L,0,)</f>
        <v>0</v>
      </c>
      <c r="L3013">
        <f>_xlfn.XLOOKUP($A3013,Load!$B:$B,Load!M:M,0,)</f>
        <v>0</v>
      </c>
    </row>
    <row r="3014" spans="1:12" x14ac:dyDescent="0.25">
      <c r="B3014">
        <f>_xlfn.XLOOKUP($A3014,Load!$B:$B,Load!C:C,0,)</f>
        <v>0</v>
      </c>
      <c r="C3014">
        <f>_xlfn.XLOOKUP($A3014,Load!$B:$B,Load!D:D,0,)</f>
        <v>0</v>
      </c>
      <c r="D3014">
        <f>_xlfn.XLOOKUP($A3014,Load!$B:$B,Load!E:E,0,)</f>
        <v>0</v>
      </c>
      <c r="E3014">
        <f>_xlfn.XLOOKUP($A3014,Load!$B:$B,Load!F:F,0,)</f>
        <v>0</v>
      </c>
      <c r="F3014">
        <f>_xlfn.XLOOKUP($A3014,Load!$B:$B,Load!G:G,0,)</f>
        <v>0</v>
      </c>
      <c r="G3014">
        <f>_xlfn.XLOOKUP($A3014,Load!$B:$B,Load!H:H,0,)</f>
        <v>0</v>
      </c>
      <c r="H3014">
        <f>_xlfn.XLOOKUP($A3014,Load!$B:$B,Load!I:I,0,)</f>
        <v>0</v>
      </c>
      <c r="I3014">
        <f>_xlfn.XLOOKUP($A3014,Load!$B:$B,Load!J:J,0,)</f>
        <v>0</v>
      </c>
      <c r="J3014">
        <f>_xlfn.XLOOKUP($A3014,Load!$B:$B,Load!K:K,0,)</f>
        <v>0</v>
      </c>
      <c r="K3014">
        <f>_xlfn.XLOOKUP($A3014,Load!$B:$B,Load!L:L,0,)</f>
        <v>0</v>
      </c>
      <c r="L3014">
        <f>_xlfn.XLOOKUP($A3014,Load!$B:$B,Load!M:M,0,)</f>
        <v>0</v>
      </c>
    </row>
    <row r="3015" spans="1:12" x14ac:dyDescent="0.25">
      <c r="B3015">
        <f>_xlfn.XLOOKUP($A3015,Load!$B:$B,Load!C:C,0,)</f>
        <v>0</v>
      </c>
      <c r="C3015">
        <f>_xlfn.XLOOKUP($A3015,Load!$B:$B,Load!D:D,0,)</f>
        <v>0</v>
      </c>
      <c r="D3015">
        <f>_xlfn.XLOOKUP($A3015,Load!$B:$B,Load!E:E,0,)</f>
        <v>0</v>
      </c>
      <c r="E3015">
        <f>_xlfn.XLOOKUP($A3015,Load!$B:$B,Load!F:F,0,)</f>
        <v>0</v>
      </c>
      <c r="F3015">
        <f>_xlfn.XLOOKUP($A3015,Load!$B:$B,Load!G:G,0,)</f>
        <v>0</v>
      </c>
      <c r="G3015">
        <f>_xlfn.XLOOKUP($A3015,Load!$B:$B,Load!H:H,0,)</f>
        <v>0</v>
      </c>
      <c r="H3015">
        <f>_xlfn.XLOOKUP($A3015,Load!$B:$B,Load!I:I,0,)</f>
        <v>0</v>
      </c>
      <c r="I3015">
        <f>_xlfn.XLOOKUP($A3015,Load!$B:$B,Load!J:J,0,)</f>
        <v>0</v>
      </c>
      <c r="J3015">
        <f>_xlfn.XLOOKUP($A3015,Load!$B:$B,Load!K:K,0,)</f>
        <v>0</v>
      </c>
      <c r="K3015">
        <f>_xlfn.XLOOKUP($A3015,Load!$B:$B,Load!L:L,0,)</f>
        <v>0</v>
      </c>
      <c r="L3015">
        <f>_xlfn.XLOOKUP($A3015,Load!$B:$B,Load!M:M,0,)</f>
        <v>0</v>
      </c>
    </row>
    <row r="3016" spans="1:12" x14ac:dyDescent="0.25">
      <c r="B3016">
        <f>_xlfn.XLOOKUP($A3016,Load!$B:$B,Load!C:C,0,)</f>
        <v>0</v>
      </c>
      <c r="C3016">
        <f>_xlfn.XLOOKUP($A3016,Load!$B:$B,Load!D:D,0,)</f>
        <v>0</v>
      </c>
      <c r="D3016">
        <f>_xlfn.XLOOKUP($A3016,Load!$B:$B,Load!E:E,0,)</f>
        <v>0</v>
      </c>
      <c r="E3016">
        <f>_xlfn.XLOOKUP($A3016,Load!$B:$B,Load!F:F,0,)</f>
        <v>0</v>
      </c>
      <c r="F3016">
        <f>_xlfn.XLOOKUP($A3016,Load!$B:$B,Load!G:G,0,)</f>
        <v>0</v>
      </c>
      <c r="G3016">
        <f>_xlfn.XLOOKUP($A3016,Load!$B:$B,Load!H:H,0,)</f>
        <v>0</v>
      </c>
      <c r="H3016">
        <f>_xlfn.XLOOKUP($A3016,Load!$B:$B,Load!I:I,0,)</f>
        <v>0</v>
      </c>
      <c r="I3016">
        <f>_xlfn.XLOOKUP($A3016,Load!$B:$B,Load!J:J,0,)</f>
        <v>0</v>
      </c>
      <c r="J3016">
        <f>_xlfn.XLOOKUP($A3016,Load!$B:$B,Load!K:K,0,)</f>
        <v>0</v>
      </c>
      <c r="K3016">
        <f>_xlfn.XLOOKUP($A3016,Load!$B:$B,Load!L:L,0,)</f>
        <v>0</v>
      </c>
      <c r="L3016">
        <f>_xlfn.XLOOKUP($A3016,Load!$B:$B,Load!M:M,0,)</f>
        <v>0</v>
      </c>
    </row>
    <row r="3017" spans="1:12" x14ac:dyDescent="0.25">
      <c r="B3017">
        <f>_xlfn.XLOOKUP($A3017,Load!$B:$B,Load!C:C,0,)</f>
        <v>0</v>
      </c>
      <c r="C3017">
        <f>_xlfn.XLOOKUP($A3017,Load!$B:$B,Load!D:D,0,)</f>
        <v>0</v>
      </c>
      <c r="D3017">
        <f>_xlfn.XLOOKUP($A3017,Load!$B:$B,Load!E:E,0,)</f>
        <v>0</v>
      </c>
      <c r="E3017">
        <f>_xlfn.XLOOKUP($A3017,Load!$B:$B,Load!F:F,0,)</f>
        <v>0</v>
      </c>
      <c r="F3017">
        <f>_xlfn.XLOOKUP($A3017,Load!$B:$B,Load!G:G,0,)</f>
        <v>0</v>
      </c>
      <c r="G3017">
        <f>_xlfn.XLOOKUP($A3017,Load!$B:$B,Load!H:H,0,)</f>
        <v>0</v>
      </c>
      <c r="H3017">
        <f>_xlfn.XLOOKUP($A3017,Load!$B:$B,Load!I:I,0,)</f>
        <v>0</v>
      </c>
      <c r="I3017">
        <f>_xlfn.XLOOKUP($A3017,Load!$B:$B,Load!J:J,0,)</f>
        <v>0</v>
      </c>
      <c r="J3017">
        <f>_xlfn.XLOOKUP($A3017,Load!$B:$B,Load!K:K,0,)</f>
        <v>0</v>
      </c>
      <c r="K3017">
        <f>_xlfn.XLOOKUP($A3017,Load!$B:$B,Load!L:L,0,)</f>
        <v>0</v>
      </c>
      <c r="L3017">
        <f>_xlfn.XLOOKUP($A3017,Load!$B:$B,Load!M:M,0,)</f>
        <v>0</v>
      </c>
    </row>
    <row r="3018" spans="1:12" x14ac:dyDescent="0.25">
      <c r="A3018" t="s">
        <v>88</v>
      </c>
      <c r="B3018" t="str">
        <f>_xlfn.XLOOKUP($A3018,Load!$B:$B,Load!C:C,0,)</f>
        <v>Ferrara Variety Pack</v>
      </c>
      <c r="C3018" t="str">
        <f>_xlfn.XLOOKUP($A3018,Load!$B:$B,Load!D:D,0,)</f>
        <v>Non-Chocolate Candy Only</v>
      </c>
      <c r="D3018" t="str">
        <f>_xlfn.XLOOKUP($A3018,Load!$B:$B,Load!E:E,0,)</f>
        <v>Variety / Mixed Flavors (Fruity, Sour, Seasonal Flavors)</v>
      </c>
      <c r="E3018" t="str">
        <f>_xlfn.XLOOKUP($A3018,Load!$B:$B,Load!F:F,0,)</f>
        <v>Mixed / Combo Packs (Gummy, Chewy, Taffy, etc.)</v>
      </c>
      <c r="F3018" t="str">
        <f>_xlfn.XLOOKUP($A3018,Load!$B:$B,Load!G:G,0,)</f>
        <v>Small Multipack (Less than 40 ct)</v>
      </c>
      <c r="G3018" t="str">
        <f>_xlfn.XLOOKUP($A3018,Load!$B:$B,Load!H:H,0,)</f>
        <v>Laydown Bag</v>
      </c>
      <c r="H3018" t="str">
        <f>_xlfn.XLOOKUP($A3018,Load!$B:$B,Load!I:I,0,)</f>
        <v>Seasonal Shapes (like pumpkins, candy corn, ghost, bats, etc.)</v>
      </c>
      <c r="I3018" t="str">
        <f>_xlfn.XLOOKUP($A3018,Load!$B:$B,Load!J:J,0,)</f>
        <v>Seasonal Graphics (Like Bat, Ghost, Pumpkin, Fall Leaves, Eyeballs, etc.)</v>
      </c>
      <c r="J3018" t="str">
        <f>_xlfn.XLOOKUP($A3018,Load!$B:$B,Load!K:K,0,)</f>
        <v>Fun Size / Treat Size</v>
      </c>
      <c r="K3018" t="str">
        <f>_xlfn.XLOOKUP($A3018,Load!$B:$B,Load!L:L,0,)</f>
        <v>Regular/Original Wrapping</v>
      </c>
      <c r="L3018" t="str">
        <f>_xlfn.XLOOKUP($A3018,Load!$B:$B,Load!M:M,0,)</f>
        <v>Multiple Brands / Variety Flavors or Form</v>
      </c>
    </row>
    <row r="3019" spans="1:12" x14ac:dyDescent="0.25">
      <c r="A3019" t="s">
        <v>172</v>
      </c>
      <c r="B3019" t="str">
        <f>_xlfn.XLOOKUP($A3019,Load!$B:$B,Load!C:C,0,)</f>
        <v>Mars Variety Pack</v>
      </c>
      <c r="C3019" t="str">
        <f>_xlfn.XLOOKUP($A3019,Load!$B:$B,Load!D:D,0,)</f>
        <v>Non-Chocolate Candy Only</v>
      </c>
      <c r="D3019" t="str">
        <f>_xlfn.XLOOKUP($A3019,Load!$B:$B,Load!E:E,0,)</f>
        <v>Variety / Mixed Flavors (Fruity, Sour, Seasonal Flavors)</v>
      </c>
      <c r="E3019" t="str">
        <f>_xlfn.XLOOKUP($A3019,Load!$B:$B,Load!F:F,0,)</f>
        <v>Mixed / Combo Packs (Gummy, Chewy, Taffy, etc.)</v>
      </c>
      <c r="F3019" t="str">
        <f>_xlfn.XLOOKUP($A3019,Load!$B:$B,Load!G:G,0,)</f>
        <v>Small Multipack (Less than 40 ct)</v>
      </c>
      <c r="G3019" t="str">
        <f>_xlfn.XLOOKUP($A3019,Load!$B:$B,Load!H:H,0,)</f>
        <v>Laydown Bag</v>
      </c>
      <c r="H3019" t="str">
        <f>_xlfn.XLOOKUP($A3019,Load!$B:$B,Load!I:I,0,)</f>
        <v>Everyday Candy Shapes (like Original, Gummy bear, Fruit, Jewels, etc.)</v>
      </c>
      <c r="I3019" t="str">
        <f>_xlfn.XLOOKUP($A3019,Load!$B:$B,Load!J:J,0,)</f>
        <v>Seasonal Graphics (Like Bat, Ghost, Pumpkin, Fall Leaves, Eyeballs, etc.)</v>
      </c>
      <c r="J3019" t="str">
        <f>_xlfn.XLOOKUP($A3019,Load!$B:$B,Load!K:K,0,)</f>
        <v>Fun Size / Treat Size</v>
      </c>
      <c r="K3019" t="str">
        <f>_xlfn.XLOOKUP($A3019,Load!$B:$B,Load!L:L,0,)</f>
        <v>Regular/Original Wrapping</v>
      </c>
      <c r="L3019" t="str">
        <f>_xlfn.XLOOKUP($A3019,Load!$B:$B,Load!M:M,0,)</f>
        <v>Multiple Brands / Variety Flavors or Form</v>
      </c>
    </row>
    <row r="3020" spans="1:12" x14ac:dyDescent="0.25">
      <c r="B3020">
        <f>_xlfn.XLOOKUP($A3020,Load!$B:$B,Load!C:C,0,)</f>
        <v>0</v>
      </c>
      <c r="C3020">
        <f>_xlfn.XLOOKUP($A3020,Load!$B:$B,Load!D:D,0,)</f>
        <v>0</v>
      </c>
      <c r="D3020">
        <f>_xlfn.XLOOKUP($A3020,Load!$B:$B,Load!E:E,0,)</f>
        <v>0</v>
      </c>
      <c r="E3020">
        <f>_xlfn.XLOOKUP($A3020,Load!$B:$B,Load!F:F,0,)</f>
        <v>0</v>
      </c>
      <c r="F3020">
        <f>_xlfn.XLOOKUP($A3020,Load!$B:$B,Load!G:G,0,)</f>
        <v>0</v>
      </c>
      <c r="G3020">
        <f>_xlfn.XLOOKUP($A3020,Load!$B:$B,Load!H:H,0,)</f>
        <v>0</v>
      </c>
      <c r="H3020">
        <f>_xlfn.XLOOKUP($A3020,Load!$B:$B,Load!I:I,0,)</f>
        <v>0</v>
      </c>
      <c r="I3020">
        <f>_xlfn.XLOOKUP($A3020,Load!$B:$B,Load!J:J,0,)</f>
        <v>0</v>
      </c>
      <c r="J3020">
        <f>_xlfn.XLOOKUP($A3020,Load!$B:$B,Load!K:K,0,)</f>
        <v>0</v>
      </c>
      <c r="K3020">
        <f>_xlfn.XLOOKUP($A3020,Load!$B:$B,Load!L:L,0,)</f>
        <v>0</v>
      </c>
      <c r="L3020">
        <f>_xlfn.XLOOKUP($A3020,Load!$B:$B,Load!M:M,0,)</f>
        <v>0</v>
      </c>
    </row>
    <row r="3021" spans="1:12" x14ac:dyDescent="0.25">
      <c r="B3021">
        <f>_xlfn.XLOOKUP($A3021,Load!$B:$B,Load!C:C,0,)</f>
        <v>0</v>
      </c>
      <c r="C3021">
        <f>_xlfn.XLOOKUP($A3021,Load!$B:$B,Load!D:D,0,)</f>
        <v>0</v>
      </c>
      <c r="D3021">
        <f>_xlfn.XLOOKUP($A3021,Load!$B:$B,Load!E:E,0,)</f>
        <v>0</v>
      </c>
      <c r="E3021">
        <f>_xlfn.XLOOKUP($A3021,Load!$B:$B,Load!F:F,0,)</f>
        <v>0</v>
      </c>
      <c r="F3021">
        <f>_xlfn.XLOOKUP($A3021,Load!$B:$B,Load!G:G,0,)</f>
        <v>0</v>
      </c>
      <c r="G3021">
        <f>_xlfn.XLOOKUP($A3021,Load!$B:$B,Load!H:H,0,)</f>
        <v>0</v>
      </c>
      <c r="H3021">
        <f>_xlfn.XLOOKUP($A3021,Load!$B:$B,Load!I:I,0,)</f>
        <v>0</v>
      </c>
      <c r="I3021">
        <f>_xlfn.XLOOKUP($A3021,Load!$B:$B,Load!J:J,0,)</f>
        <v>0</v>
      </c>
      <c r="J3021">
        <f>_xlfn.XLOOKUP($A3021,Load!$B:$B,Load!K:K,0,)</f>
        <v>0</v>
      </c>
      <c r="K3021">
        <f>_xlfn.XLOOKUP($A3021,Load!$B:$B,Load!L:L,0,)</f>
        <v>0</v>
      </c>
      <c r="L3021">
        <f>_xlfn.XLOOKUP($A3021,Load!$B:$B,Load!M:M,0,)</f>
        <v>0</v>
      </c>
    </row>
    <row r="3022" spans="1:12" x14ac:dyDescent="0.25">
      <c r="B3022">
        <f>_xlfn.XLOOKUP($A3022,Load!$B:$B,Load!C:C,0,)</f>
        <v>0</v>
      </c>
      <c r="C3022">
        <f>_xlfn.XLOOKUP($A3022,Load!$B:$B,Load!D:D,0,)</f>
        <v>0</v>
      </c>
      <c r="D3022">
        <f>_xlfn.XLOOKUP($A3022,Load!$B:$B,Load!E:E,0,)</f>
        <v>0</v>
      </c>
      <c r="E3022">
        <f>_xlfn.XLOOKUP($A3022,Load!$B:$B,Load!F:F,0,)</f>
        <v>0</v>
      </c>
      <c r="F3022">
        <f>_xlfn.XLOOKUP($A3022,Load!$B:$B,Load!G:G,0,)</f>
        <v>0</v>
      </c>
      <c r="G3022">
        <f>_xlfn.XLOOKUP($A3022,Load!$B:$B,Load!H:H,0,)</f>
        <v>0</v>
      </c>
      <c r="H3022">
        <f>_xlfn.XLOOKUP($A3022,Load!$B:$B,Load!I:I,0,)</f>
        <v>0</v>
      </c>
      <c r="I3022">
        <f>_xlfn.XLOOKUP($A3022,Load!$B:$B,Load!J:J,0,)</f>
        <v>0</v>
      </c>
      <c r="J3022">
        <f>_xlfn.XLOOKUP($A3022,Load!$B:$B,Load!K:K,0,)</f>
        <v>0</v>
      </c>
      <c r="K3022">
        <f>_xlfn.XLOOKUP($A3022,Load!$B:$B,Load!L:L,0,)</f>
        <v>0</v>
      </c>
      <c r="L3022">
        <f>_xlfn.XLOOKUP($A3022,Load!$B:$B,Load!M:M,0,)</f>
        <v>0</v>
      </c>
    </row>
    <row r="3023" spans="1:12" x14ac:dyDescent="0.25">
      <c r="B3023">
        <f>_xlfn.XLOOKUP($A3023,Load!$B:$B,Load!C:C,0,)</f>
        <v>0</v>
      </c>
      <c r="C3023">
        <f>_xlfn.XLOOKUP($A3023,Load!$B:$B,Load!D:D,0,)</f>
        <v>0</v>
      </c>
      <c r="D3023">
        <f>_xlfn.XLOOKUP($A3023,Load!$B:$B,Load!E:E,0,)</f>
        <v>0</v>
      </c>
      <c r="E3023">
        <f>_xlfn.XLOOKUP($A3023,Load!$B:$B,Load!F:F,0,)</f>
        <v>0</v>
      </c>
      <c r="F3023">
        <f>_xlfn.XLOOKUP($A3023,Load!$B:$B,Load!G:G,0,)</f>
        <v>0</v>
      </c>
      <c r="G3023">
        <f>_xlfn.XLOOKUP($A3023,Load!$B:$B,Load!H:H,0,)</f>
        <v>0</v>
      </c>
      <c r="H3023">
        <f>_xlfn.XLOOKUP($A3023,Load!$B:$B,Load!I:I,0,)</f>
        <v>0</v>
      </c>
      <c r="I3023">
        <f>_xlfn.XLOOKUP($A3023,Load!$B:$B,Load!J:J,0,)</f>
        <v>0</v>
      </c>
      <c r="J3023">
        <f>_xlfn.XLOOKUP($A3023,Load!$B:$B,Load!K:K,0,)</f>
        <v>0</v>
      </c>
      <c r="K3023">
        <f>_xlfn.XLOOKUP($A3023,Load!$B:$B,Load!L:L,0,)</f>
        <v>0</v>
      </c>
      <c r="L3023">
        <f>_xlfn.XLOOKUP($A3023,Load!$B:$B,Load!M:M,0,)</f>
        <v>0</v>
      </c>
    </row>
    <row r="3024" spans="1:12" x14ac:dyDescent="0.25">
      <c r="B3024">
        <f>_xlfn.XLOOKUP($A3024,Load!$B:$B,Load!C:C,0,)</f>
        <v>0</v>
      </c>
      <c r="C3024">
        <f>_xlfn.XLOOKUP($A3024,Load!$B:$B,Load!D:D,0,)</f>
        <v>0</v>
      </c>
      <c r="D3024">
        <f>_xlfn.XLOOKUP($A3024,Load!$B:$B,Load!E:E,0,)</f>
        <v>0</v>
      </c>
      <c r="E3024">
        <f>_xlfn.XLOOKUP($A3024,Load!$B:$B,Load!F:F,0,)</f>
        <v>0</v>
      </c>
      <c r="F3024">
        <f>_xlfn.XLOOKUP($A3024,Load!$B:$B,Load!G:G,0,)</f>
        <v>0</v>
      </c>
      <c r="G3024">
        <f>_xlfn.XLOOKUP($A3024,Load!$B:$B,Load!H:H,0,)</f>
        <v>0</v>
      </c>
      <c r="H3024">
        <f>_xlfn.XLOOKUP($A3024,Load!$B:$B,Load!I:I,0,)</f>
        <v>0</v>
      </c>
      <c r="I3024">
        <f>_xlfn.XLOOKUP($A3024,Load!$B:$B,Load!J:J,0,)</f>
        <v>0</v>
      </c>
      <c r="J3024">
        <f>_xlfn.XLOOKUP($A3024,Load!$B:$B,Load!K:K,0,)</f>
        <v>0</v>
      </c>
      <c r="K3024">
        <f>_xlfn.XLOOKUP($A3024,Load!$B:$B,Load!L:L,0,)</f>
        <v>0</v>
      </c>
      <c r="L3024">
        <f>_xlfn.XLOOKUP($A3024,Load!$B:$B,Load!M:M,0,)</f>
        <v>0</v>
      </c>
    </row>
    <row r="3025" spans="1:12" x14ac:dyDescent="0.25">
      <c r="B3025">
        <f>_xlfn.XLOOKUP($A3025,Load!$B:$B,Load!C:C,0,)</f>
        <v>0</v>
      </c>
      <c r="C3025">
        <f>_xlfn.XLOOKUP($A3025,Load!$B:$B,Load!D:D,0,)</f>
        <v>0</v>
      </c>
      <c r="D3025">
        <f>_xlfn.XLOOKUP($A3025,Load!$B:$B,Load!E:E,0,)</f>
        <v>0</v>
      </c>
      <c r="E3025">
        <f>_xlfn.XLOOKUP($A3025,Load!$B:$B,Load!F:F,0,)</f>
        <v>0</v>
      </c>
      <c r="F3025">
        <f>_xlfn.XLOOKUP($A3025,Load!$B:$B,Load!G:G,0,)</f>
        <v>0</v>
      </c>
      <c r="G3025">
        <f>_xlfn.XLOOKUP($A3025,Load!$B:$B,Load!H:H,0,)</f>
        <v>0</v>
      </c>
      <c r="H3025">
        <f>_xlfn.XLOOKUP($A3025,Load!$B:$B,Load!I:I,0,)</f>
        <v>0</v>
      </c>
      <c r="I3025">
        <f>_xlfn.XLOOKUP($A3025,Load!$B:$B,Load!J:J,0,)</f>
        <v>0</v>
      </c>
      <c r="J3025">
        <f>_xlfn.XLOOKUP($A3025,Load!$B:$B,Load!K:K,0,)</f>
        <v>0</v>
      </c>
      <c r="K3025">
        <f>_xlfn.XLOOKUP($A3025,Load!$B:$B,Load!L:L,0,)</f>
        <v>0</v>
      </c>
      <c r="L3025">
        <f>_xlfn.XLOOKUP($A3025,Load!$B:$B,Load!M:M,0,)</f>
        <v>0</v>
      </c>
    </row>
    <row r="3026" spans="1:12" x14ac:dyDescent="0.25">
      <c r="B3026">
        <f>_xlfn.XLOOKUP($A3026,Load!$B:$B,Load!C:C,0,)</f>
        <v>0</v>
      </c>
      <c r="C3026">
        <f>_xlfn.XLOOKUP($A3026,Load!$B:$B,Load!D:D,0,)</f>
        <v>0</v>
      </c>
      <c r="D3026">
        <f>_xlfn.XLOOKUP($A3026,Load!$B:$B,Load!E:E,0,)</f>
        <v>0</v>
      </c>
      <c r="E3026">
        <f>_xlfn.XLOOKUP($A3026,Load!$B:$B,Load!F:F,0,)</f>
        <v>0</v>
      </c>
      <c r="F3026">
        <f>_xlfn.XLOOKUP($A3026,Load!$B:$B,Load!G:G,0,)</f>
        <v>0</v>
      </c>
      <c r="G3026">
        <f>_xlfn.XLOOKUP($A3026,Load!$B:$B,Load!H:H,0,)</f>
        <v>0</v>
      </c>
      <c r="H3026">
        <f>_xlfn.XLOOKUP($A3026,Load!$B:$B,Load!I:I,0,)</f>
        <v>0</v>
      </c>
      <c r="I3026">
        <f>_xlfn.XLOOKUP($A3026,Load!$B:$B,Load!J:J,0,)</f>
        <v>0</v>
      </c>
      <c r="J3026">
        <f>_xlfn.XLOOKUP($A3026,Load!$B:$B,Load!K:K,0,)</f>
        <v>0</v>
      </c>
      <c r="K3026">
        <f>_xlfn.XLOOKUP($A3026,Load!$B:$B,Load!L:L,0,)</f>
        <v>0</v>
      </c>
      <c r="L3026">
        <f>_xlfn.XLOOKUP($A3026,Load!$B:$B,Load!M:M,0,)</f>
        <v>0</v>
      </c>
    </row>
    <row r="3027" spans="1:12" x14ac:dyDescent="0.25">
      <c r="B3027">
        <f>_xlfn.XLOOKUP($A3027,Load!$B:$B,Load!C:C,0,)</f>
        <v>0</v>
      </c>
      <c r="C3027">
        <f>_xlfn.XLOOKUP($A3027,Load!$B:$B,Load!D:D,0,)</f>
        <v>0</v>
      </c>
      <c r="D3027">
        <f>_xlfn.XLOOKUP($A3027,Load!$B:$B,Load!E:E,0,)</f>
        <v>0</v>
      </c>
      <c r="E3027">
        <f>_xlfn.XLOOKUP($A3027,Load!$B:$B,Load!F:F,0,)</f>
        <v>0</v>
      </c>
      <c r="F3027">
        <f>_xlfn.XLOOKUP($A3027,Load!$B:$B,Load!G:G,0,)</f>
        <v>0</v>
      </c>
      <c r="G3027">
        <f>_xlfn.XLOOKUP($A3027,Load!$B:$B,Load!H:H,0,)</f>
        <v>0</v>
      </c>
      <c r="H3027">
        <f>_xlfn.XLOOKUP($A3027,Load!$B:$B,Load!I:I,0,)</f>
        <v>0</v>
      </c>
      <c r="I3027">
        <f>_xlfn.XLOOKUP($A3027,Load!$B:$B,Load!J:J,0,)</f>
        <v>0</v>
      </c>
      <c r="J3027">
        <f>_xlfn.XLOOKUP($A3027,Load!$B:$B,Load!K:K,0,)</f>
        <v>0</v>
      </c>
      <c r="K3027">
        <f>_xlfn.XLOOKUP($A3027,Load!$B:$B,Load!L:L,0,)</f>
        <v>0</v>
      </c>
      <c r="L3027">
        <f>_xlfn.XLOOKUP($A3027,Load!$B:$B,Load!M:M,0,)</f>
        <v>0</v>
      </c>
    </row>
    <row r="3028" spans="1:12" x14ac:dyDescent="0.25">
      <c r="B3028">
        <f>_xlfn.XLOOKUP($A3028,Load!$B:$B,Load!C:C,0,)</f>
        <v>0</v>
      </c>
      <c r="C3028">
        <f>_xlfn.XLOOKUP($A3028,Load!$B:$B,Load!D:D,0,)</f>
        <v>0</v>
      </c>
      <c r="D3028">
        <f>_xlfn.XLOOKUP($A3028,Load!$B:$B,Load!E:E,0,)</f>
        <v>0</v>
      </c>
      <c r="E3028">
        <f>_xlfn.XLOOKUP($A3028,Load!$B:$B,Load!F:F,0,)</f>
        <v>0</v>
      </c>
      <c r="F3028">
        <f>_xlfn.XLOOKUP($A3028,Load!$B:$B,Load!G:G,0,)</f>
        <v>0</v>
      </c>
      <c r="G3028">
        <f>_xlfn.XLOOKUP($A3028,Load!$B:$B,Load!H:H,0,)</f>
        <v>0</v>
      </c>
      <c r="H3028">
        <f>_xlfn.XLOOKUP($A3028,Load!$B:$B,Load!I:I,0,)</f>
        <v>0</v>
      </c>
      <c r="I3028">
        <f>_xlfn.XLOOKUP($A3028,Load!$B:$B,Load!J:J,0,)</f>
        <v>0</v>
      </c>
      <c r="J3028">
        <f>_xlfn.XLOOKUP($A3028,Load!$B:$B,Load!K:K,0,)</f>
        <v>0</v>
      </c>
      <c r="K3028">
        <f>_xlfn.XLOOKUP($A3028,Load!$B:$B,Load!L:L,0,)</f>
        <v>0</v>
      </c>
      <c r="L3028">
        <f>_xlfn.XLOOKUP($A3028,Load!$B:$B,Load!M:M,0,)</f>
        <v>0</v>
      </c>
    </row>
    <row r="3029" spans="1:12" x14ac:dyDescent="0.25">
      <c r="B3029">
        <f>_xlfn.XLOOKUP($A3029,Load!$B:$B,Load!C:C,0,)</f>
        <v>0</v>
      </c>
      <c r="C3029">
        <f>_xlfn.XLOOKUP($A3029,Load!$B:$B,Load!D:D,0,)</f>
        <v>0</v>
      </c>
      <c r="D3029">
        <f>_xlfn.XLOOKUP($A3029,Load!$B:$B,Load!E:E,0,)</f>
        <v>0</v>
      </c>
      <c r="E3029">
        <f>_xlfn.XLOOKUP($A3029,Load!$B:$B,Load!F:F,0,)</f>
        <v>0</v>
      </c>
      <c r="F3029">
        <f>_xlfn.XLOOKUP($A3029,Load!$B:$B,Load!G:G,0,)</f>
        <v>0</v>
      </c>
      <c r="G3029">
        <f>_xlfn.XLOOKUP($A3029,Load!$B:$B,Load!H:H,0,)</f>
        <v>0</v>
      </c>
      <c r="H3029">
        <f>_xlfn.XLOOKUP($A3029,Load!$B:$B,Load!I:I,0,)</f>
        <v>0</v>
      </c>
      <c r="I3029">
        <f>_xlfn.XLOOKUP($A3029,Load!$B:$B,Load!J:J,0,)</f>
        <v>0</v>
      </c>
      <c r="J3029">
        <f>_xlfn.XLOOKUP($A3029,Load!$B:$B,Load!K:K,0,)</f>
        <v>0</v>
      </c>
      <c r="K3029">
        <f>_xlfn.XLOOKUP($A3029,Load!$B:$B,Load!L:L,0,)</f>
        <v>0</v>
      </c>
      <c r="L3029">
        <f>_xlfn.XLOOKUP($A3029,Load!$B:$B,Load!M:M,0,)</f>
        <v>0</v>
      </c>
    </row>
    <row r="3030" spans="1:12" x14ac:dyDescent="0.25">
      <c r="A3030" t="s">
        <v>139</v>
      </c>
      <c r="B3030" t="str">
        <f>_xlfn.XLOOKUP($A3030,Load!$B:$B,Load!C:C,0,)</f>
        <v>Hershey's Variety Pack + Haribo</v>
      </c>
      <c r="C3030" t="str">
        <f>_xlfn.XLOOKUP($A3030,Load!$B:$B,Load!D:D,0,)</f>
        <v>Mix of Chocolate and Non-Chocolate Candy</v>
      </c>
      <c r="D3030" t="str">
        <f>_xlfn.XLOOKUP($A3030,Load!$B:$B,Load!E:E,0,)</f>
        <v>Variety / Mixed Flavors (Fruity, Sour, Seasonal Flavors)</v>
      </c>
      <c r="E3030" t="str">
        <f>_xlfn.XLOOKUP($A3030,Load!$B:$B,Load!F:F,0,)</f>
        <v>Mixed / Combo Packs (Gummy, Chewy, Taffy, etc.)</v>
      </c>
      <c r="F3030" t="str">
        <f>_xlfn.XLOOKUP($A3030,Load!$B:$B,Load!G:G,0,)</f>
        <v>Large Multipack (More than 80 ct)</v>
      </c>
      <c r="G3030" t="str">
        <f>_xlfn.XLOOKUP($A3030,Load!$B:$B,Load!H:H,0,)</f>
        <v>Stand-Up Bag</v>
      </c>
      <c r="H3030" t="str">
        <f>_xlfn.XLOOKUP($A3030,Load!$B:$B,Load!I:I,0,)</f>
        <v>Everyday Candy Shapes (like Original, Gummy bear, Fruit, Jewels, etc.)</v>
      </c>
      <c r="I3030" t="str">
        <f>_xlfn.XLOOKUP($A3030,Load!$B:$B,Load!J:J,0,)</f>
        <v>Seasonal Graphics (Like Bat, Ghost, Pumpkin, Fall Leaves, Eyeballs, etc.)</v>
      </c>
      <c r="J3030" t="str">
        <f>_xlfn.XLOOKUP($A3030,Load!$B:$B,Load!K:K,0,)</f>
        <v>Fun Size / Treat Size</v>
      </c>
      <c r="K3030" t="str">
        <f>_xlfn.XLOOKUP($A3030,Load!$B:$B,Load!L:L,0,)</f>
        <v>Regular/Original Wrapping</v>
      </c>
      <c r="L3030" t="str">
        <f>_xlfn.XLOOKUP($A3030,Load!$B:$B,Load!M:M,0,)</f>
        <v>Multiple Brands / Variety Flavors or Form</v>
      </c>
    </row>
    <row r="3031" spans="1:12" x14ac:dyDescent="0.25">
      <c r="A3031" t="s">
        <v>173</v>
      </c>
      <c r="B3031" t="str">
        <f>_xlfn.XLOOKUP($A3031,Load!$B:$B,Load!C:C,0,)</f>
        <v>Mars Variety Pack</v>
      </c>
      <c r="C3031" t="str">
        <f>_xlfn.XLOOKUP($A3031,Load!$B:$B,Load!D:D,0,)</f>
        <v>Mix of Chocolate and Non-Chocolate Candy</v>
      </c>
      <c r="D3031" t="str">
        <f>_xlfn.XLOOKUP($A3031,Load!$B:$B,Load!E:E,0,)</f>
        <v>Variety / Mixed Flavors (Fruity, Sour, Seasonal Flavors)</v>
      </c>
      <c r="E3031" t="str">
        <f>_xlfn.XLOOKUP($A3031,Load!$B:$B,Load!F:F,0,)</f>
        <v>Mixed / Combo Packs (Gummy, Chewy, Taffy, etc.)</v>
      </c>
      <c r="F3031" t="str">
        <f>_xlfn.XLOOKUP($A3031,Load!$B:$B,Load!G:G,0,)</f>
        <v>Large Multipack (More than 80 ct)</v>
      </c>
      <c r="G3031" t="str">
        <f>_xlfn.XLOOKUP($A3031,Load!$B:$B,Load!H:H,0,)</f>
        <v>Stand-Up Bag</v>
      </c>
      <c r="H3031" t="str">
        <f>_xlfn.XLOOKUP($A3031,Load!$B:$B,Load!I:I,0,)</f>
        <v>Everyday Candy Shapes (like Original, Gummy bear, Fruit, Jewels, etc.)</v>
      </c>
      <c r="I3031" t="str">
        <f>_xlfn.XLOOKUP($A3031,Load!$B:$B,Load!J:J,0,)</f>
        <v>Seasonal Graphics (Like Bat, Ghost, Pumpkin, Fall Leaves, Eyeballs, etc.)</v>
      </c>
      <c r="J3031" t="str">
        <f>_xlfn.XLOOKUP($A3031,Load!$B:$B,Load!K:K,0,)</f>
        <v>Fun Size / Treat Size</v>
      </c>
      <c r="K3031" t="str">
        <f>_xlfn.XLOOKUP($A3031,Load!$B:$B,Load!L:L,0,)</f>
        <v>Regular/Original Wrapping</v>
      </c>
      <c r="L3031" t="str">
        <f>_xlfn.XLOOKUP($A3031,Load!$B:$B,Load!M:M,0,)</f>
        <v>Multiple Brands / Variety Flavors or Form</v>
      </c>
    </row>
    <row r="3032" spans="1:12" x14ac:dyDescent="0.25">
      <c r="A3032" t="s">
        <v>291</v>
      </c>
      <c r="B3032" t="str">
        <f>_xlfn.XLOOKUP($A3032,Load!$B:$B,Load!C:C,0,)</f>
        <v>Tootsie</v>
      </c>
      <c r="C3032" t="str">
        <f>_xlfn.XLOOKUP($A3032,Load!$B:$B,Load!D:D,0,)</f>
        <v>Non-Chocolate Candy Only</v>
      </c>
      <c r="D3032" t="str">
        <f>_xlfn.XLOOKUP($A3032,Load!$B:$B,Load!E:E,0,)</f>
        <v>Fall / Seasonal Flavors (pumpkin spice, caramel apple, candy corn)</v>
      </c>
      <c r="E3032" t="str">
        <f>_xlfn.XLOOKUP($A3032,Load!$B:$B,Load!F:F,0,)</f>
        <v>Lollipop (regular or lollipop rings)</v>
      </c>
      <c r="F3032" t="str">
        <f>_xlfn.XLOOKUP($A3032,Load!$B:$B,Load!G:G,0,)</f>
        <v>Single Pack</v>
      </c>
      <c r="G3032" t="str">
        <f>_xlfn.XLOOKUP($A3032,Load!$B:$B,Load!H:H,0,)</f>
        <v>Laydown Bag</v>
      </c>
      <c r="H3032" t="str">
        <f>_xlfn.XLOOKUP($A3032,Load!$B:$B,Load!I:I,0,)</f>
        <v>Seasonal Shapes (like pumpkins, candy corn, ghost, bats, etc.)</v>
      </c>
      <c r="I3032" t="str">
        <f>_xlfn.XLOOKUP($A3032,Load!$B:$B,Load!J:J,0,)</f>
        <v>Seasonal Graphics (Like Bat, Ghost, Pumpkin, Fall Leaves, Eyeballs, etc.)</v>
      </c>
      <c r="J3032" t="str">
        <f>_xlfn.XLOOKUP($A3032,Load!$B:$B,Load!K:K,0,)</f>
        <v>Regular Lollipop size (on sticks or rings)</v>
      </c>
      <c r="K3032" t="str">
        <f>_xlfn.XLOOKUP($A3032,Load!$B:$B,Load!L:L,0,)</f>
        <v>Regular/Original Wrapping</v>
      </c>
      <c r="L3032" t="str">
        <f>_xlfn.XLOOKUP($A3032,Load!$B:$B,Load!M:M,0,)</f>
        <v>Single Brand / Single Flavor or Form</v>
      </c>
    </row>
    <row r="3033" spans="1:12" x14ac:dyDescent="0.25">
      <c r="B3033">
        <f>_xlfn.XLOOKUP($A3033,Load!$B:$B,Load!C:C,0,)</f>
        <v>0</v>
      </c>
      <c r="C3033">
        <f>_xlfn.XLOOKUP($A3033,Load!$B:$B,Load!D:D,0,)</f>
        <v>0</v>
      </c>
      <c r="D3033">
        <f>_xlfn.XLOOKUP($A3033,Load!$B:$B,Load!E:E,0,)</f>
        <v>0</v>
      </c>
      <c r="E3033">
        <f>_xlfn.XLOOKUP($A3033,Load!$B:$B,Load!F:F,0,)</f>
        <v>0</v>
      </c>
      <c r="F3033">
        <f>_xlfn.XLOOKUP($A3033,Load!$B:$B,Load!G:G,0,)</f>
        <v>0</v>
      </c>
      <c r="G3033">
        <f>_xlfn.XLOOKUP($A3033,Load!$B:$B,Load!H:H,0,)</f>
        <v>0</v>
      </c>
      <c r="H3033">
        <f>_xlfn.XLOOKUP($A3033,Load!$B:$B,Load!I:I,0,)</f>
        <v>0</v>
      </c>
      <c r="I3033">
        <f>_xlfn.XLOOKUP($A3033,Load!$B:$B,Load!J:J,0,)</f>
        <v>0</v>
      </c>
      <c r="J3033">
        <f>_xlfn.XLOOKUP($A3033,Load!$B:$B,Load!K:K,0,)</f>
        <v>0</v>
      </c>
      <c r="K3033">
        <f>_xlfn.XLOOKUP($A3033,Load!$B:$B,Load!L:L,0,)</f>
        <v>0</v>
      </c>
      <c r="L3033">
        <f>_xlfn.XLOOKUP($A3033,Load!$B:$B,Load!M:M,0,)</f>
        <v>0</v>
      </c>
    </row>
    <row r="3034" spans="1:12" x14ac:dyDescent="0.25">
      <c r="B3034">
        <f>_xlfn.XLOOKUP($A3034,Load!$B:$B,Load!C:C,0,)</f>
        <v>0</v>
      </c>
      <c r="C3034">
        <f>_xlfn.XLOOKUP($A3034,Load!$B:$B,Load!D:D,0,)</f>
        <v>0</v>
      </c>
      <c r="D3034">
        <f>_xlfn.XLOOKUP($A3034,Load!$B:$B,Load!E:E,0,)</f>
        <v>0</v>
      </c>
      <c r="E3034">
        <f>_xlfn.XLOOKUP($A3034,Load!$B:$B,Load!F:F,0,)</f>
        <v>0</v>
      </c>
      <c r="F3034">
        <f>_xlfn.XLOOKUP($A3034,Load!$B:$B,Load!G:G,0,)</f>
        <v>0</v>
      </c>
      <c r="G3034">
        <f>_xlfn.XLOOKUP($A3034,Load!$B:$B,Load!H:H,0,)</f>
        <v>0</v>
      </c>
      <c r="H3034">
        <f>_xlfn.XLOOKUP($A3034,Load!$B:$B,Load!I:I,0,)</f>
        <v>0</v>
      </c>
      <c r="I3034">
        <f>_xlfn.XLOOKUP($A3034,Load!$B:$B,Load!J:J,0,)</f>
        <v>0</v>
      </c>
      <c r="J3034">
        <f>_xlfn.XLOOKUP($A3034,Load!$B:$B,Load!K:K,0,)</f>
        <v>0</v>
      </c>
      <c r="K3034">
        <f>_xlfn.XLOOKUP($A3034,Load!$B:$B,Load!L:L,0,)</f>
        <v>0</v>
      </c>
      <c r="L3034">
        <f>_xlfn.XLOOKUP($A3034,Load!$B:$B,Load!M:M,0,)</f>
        <v>0</v>
      </c>
    </row>
    <row r="3035" spans="1:12" x14ac:dyDescent="0.25">
      <c r="B3035">
        <f>_xlfn.XLOOKUP($A3035,Load!$B:$B,Load!C:C,0,)</f>
        <v>0</v>
      </c>
      <c r="C3035">
        <f>_xlfn.XLOOKUP($A3035,Load!$B:$B,Load!D:D,0,)</f>
        <v>0</v>
      </c>
      <c r="D3035">
        <f>_xlfn.XLOOKUP($A3035,Load!$B:$B,Load!E:E,0,)</f>
        <v>0</v>
      </c>
      <c r="E3035">
        <f>_xlfn.XLOOKUP($A3035,Load!$B:$B,Load!F:F,0,)</f>
        <v>0</v>
      </c>
      <c r="F3035">
        <f>_xlfn.XLOOKUP($A3035,Load!$B:$B,Load!G:G,0,)</f>
        <v>0</v>
      </c>
      <c r="G3035">
        <f>_xlfn.XLOOKUP($A3035,Load!$B:$B,Load!H:H,0,)</f>
        <v>0</v>
      </c>
      <c r="H3035">
        <f>_xlfn.XLOOKUP($A3035,Load!$B:$B,Load!I:I,0,)</f>
        <v>0</v>
      </c>
      <c r="I3035">
        <f>_xlfn.XLOOKUP($A3035,Load!$B:$B,Load!J:J,0,)</f>
        <v>0</v>
      </c>
      <c r="J3035">
        <f>_xlfn.XLOOKUP($A3035,Load!$B:$B,Load!K:K,0,)</f>
        <v>0</v>
      </c>
      <c r="K3035">
        <f>_xlfn.XLOOKUP($A3035,Load!$B:$B,Load!L:L,0,)</f>
        <v>0</v>
      </c>
      <c r="L3035">
        <f>_xlfn.XLOOKUP($A3035,Load!$B:$B,Load!M:M,0,)</f>
        <v>0</v>
      </c>
    </row>
    <row r="3036" spans="1:12" x14ac:dyDescent="0.25">
      <c r="B3036">
        <f>_xlfn.XLOOKUP($A3036,Load!$B:$B,Load!C:C,0,)</f>
        <v>0</v>
      </c>
      <c r="C3036">
        <f>_xlfn.XLOOKUP($A3036,Load!$B:$B,Load!D:D,0,)</f>
        <v>0</v>
      </c>
      <c r="D3036">
        <f>_xlfn.XLOOKUP($A3036,Load!$B:$B,Load!E:E,0,)</f>
        <v>0</v>
      </c>
      <c r="E3036">
        <f>_xlfn.XLOOKUP($A3036,Load!$B:$B,Load!F:F,0,)</f>
        <v>0</v>
      </c>
      <c r="F3036">
        <f>_xlfn.XLOOKUP($A3036,Load!$B:$B,Load!G:G,0,)</f>
        <v>0</v>
      </c>
      <c r="G3036">
        <f>_xlfn.XLOOKUP($A3036,Load!$B:$B,Load!H:H,0,)</f>
        <v>0</v>
      </c>
      <c r="H3036">
        <f>_xlfn.XLOOKUP($A3036,Load!$B:$B,Load!I:I,0,)</f>
        <v>0</v>
      </c>
      <c r="I3036">
        <f>_xlfn.XLOOKUP($A3036,Load!$B:$B,Load!J:J,0,)</f>
        <v>0</v>
      </c>
      <c r="J3036">
        <f>_xlfn.XLOOKUP($A3036,Load!$B:$B,Load!K:K,0,)</f>
        <v>0</v>
      </c>
      <c r="K3036">
        <f>_xlfn.XLOOKUP($A3036,Load!$B:$B,Load!L:L,0,)</f>
        <v>0</v>
      </c>
      <c r="L3036">
        <f>_xlfn.XLOOKUP($A3036,Load!$B:$B,Load!M:M,0,)</f>
        <v>0</v>
      </c>
    </row>
    <row r="3037" spans="1:12" x14ac:dyDescent="0.25">
      <c r="B3037">
        <f>_xlfn.XLOOKUP($A3037,Load!$B:$B,Load!C:C,0,)</f>
        <v>0</v>
      </c>
      <c r="C3037">
        <f>_xlfn.XLOOKUP($A3037,Load!$B:$B,Load!D:D,0,)</f>
        <v>0</v>
      </c>
      <c r="D3037">
        <f>_xlfn.XLOOKUP($A3037,Load!$B:$B,Load!E:E,0,)</f>
        <v>0</v>
      </c>
      <c r="E3037">
        <f>_xlfn.XLOOKUP($A3037,Load!$B:$B,Load!F:F,0,)</f>
        <v>0</v>
      </c>
      <c r="F3037">
        <f>_xlfn.XLOOKUP($A3037,Load!$B:$B,Load!G:G,0,)</f>
        <v>0</v>
      </c>
      <c r="G3037">
        <f>_xlfn.XLOOKUP($A3037,Load!$B:$B,Load!H:H,0,)</f>
        <v>0</v>
      </c>
      <c r="H3037">
        <f>_xlfn.XLOOKUP($A3037,Load!$B:$B,Load!I:I,0,)</f>
        <v>0</v>
      </c>
      <c r="I3037">
        <f>_xlfn.XLOOKUP($A3037,Load!$B:$B,Load!J:J,0,)</f>
        <v>0</v>
      </c>
      <c r="J3037">
        <f>_xlfn.XLOOKUP($A3037,Load!$B:$B,Load!K:K,0,)</f>
        <v>0</v>
      </c>
      <c r="K3037">
        <f>_xlfn.XLOOKUP($A3037,Load!$B:$B,Load!L:L,0,)</f>
        <v>0</v>
      </c>
      <c r="L3037">
        <f>_xlfn.XLOOKUP($A3037,Load!$B:$B,Load!M:M,0,)</f>
        <v>0</v>
      </c>
    </row>
    <row r="3038" spans="1:12" x14ac:dyDescent="0.25">
      <c r="B3038">
        <f>_xlfn.XLOOKUP($A3038,Load!$B:$B,Load!C:C,0,)</f>
        <v>0</v>
      </c>
      <c r="C3038">
        <f>_xlfn.XLOOKUP($A3038,Load!$B:$B,Load!D:D,0,)</f>
        <v>0</v>
      </c>
      <c r="D3038">
        <f>_xlfn.XLOOKUP($A3038,Load!$B:$B,Load!E:E,0,)</f>
        <v>0</v>
      </c>
      <c r="E3038">
        <f>_xlfn.XLOOKUP($A3038,Load!$B:$B,Load!F:F,0,)</f>
        <v>0</v>
      </c>
      <c r="F3038">
        <f>_xlfn.XLOOKUP($A3038,Load!$B:$B,Load!G:G,0,)</f>
        <v>0</v>
      </c>
      <c r="G3038">
        <f>_xlfn.XLOOKUP($A3038,Load!$B:$B,Load!H:H,0,)</f>
        <v>0</v>
      </c>
      <c r="H3038">
        <f>_xlfn.XLOOKUP($A3038,Load!$B:$B,Load!I:I,0,)</f>
        <v>0</v>
      </c>
      <c r="I3038">
        <f>_xlfn.XLOOKUP($A3038,Load!$B:$B,Load!J:J,0,)</f>
        <v>0</v>
      </c>
      <c r="J3038">
        <f>_xlfn.XLOOKUP($A3038,Load!$B:$B,Load!K:K,0,)</f>
        <v>0</v>
      </c>
      <c r="K3038">
        <f>_xlfn.XLOOKUP($A3038,Load!$B:$B,Load!L:L,0,)</f>
        <v>0</v>
      </c>
      <c r="L3038">
        <f>_xlfn.XLOOKUP($A3038,Load!$B:$B,Load!M:M,0,)</f>
        <v>0</v>
      </c>
    </row>
    <row r="3039" spans="1:12" x14ac:dyDescent="0.25">
      <c r="B3039">
        <f>_xlfn.XLOOKUP($A3039,Load!$B:$B,Load!C:C,0,)</f>
        <v>0</v>
      </c>
      <c r="C3039">
        <f>_xlfn.XLOOKUP($A3039,Load!$B:$B,Load!D:D,0,)</f>
        <v>0</v>
      </c>
      <c r="D3039">
        <f>_xlfn.XLOOKUP($A3039,Load!$B:$B,Load!E:E,0,)</f>
        <v>0</v>
      </c>
      <c r="E3039">
        <f>_xlfn.XLOOKUP($A3039,Load!$B:$B,Load!F:F,0,)</f>
        <v>0</v>
      </c>
      <c r="F3039">
        <f>_xlfn.XLOOKUP($A3039,Load!$B:$B,Load!G:G,0,)</f>
        <v>0</v>
      </c>
      <c r="G3039">
        <f>_xlfn.XLOOKUP($A3039,Load!$B:$B,Load!H:H,0,)</f>
        <v>0</v>
      </c>
      <c r="H3039">
        <f>_xlfn.XLOOKUP($A3039,Load!$B:$B,Load!I:I,0,)</f>
        <v>0</v>
      </c>
      <c r="I3039">
        <f>_xlfn.XLOOKUP($A3039,Load!$B:$B,Load!J:J,0,)</f>
        <v>0</v>
      </c>
      <c r="J3039">
        <f>_xlfn.XLOOKUP($A3039,Load!$B:$B,Load!K:K,0,)</f>
        <v>0</v>
      </c>
      <c r="K3039">
        <f>_xlfn.XLOOKUP($A3039,Load!$B:$B,Load!L:L,0,)</f>
        <v>0</v>
      </c>
      <c r="L3039">
        <f>_xlfn.XLOOKUP($A3039,Load!$B:$B,Load!M:M,0,)</f>
        <v>0</v>
      </c>
    </row>
    <row r="3040" spans="1:12" x14ac:dyDescent="0.25">
      <c r="B3040">
        <f>_xlfn.XLOOKUP($A3040,Load!$B:$B,Load!C:C,0,)</f>
        <v>0</v>
      </c>
      <c r="C3040">
        <f>_xlfn.XLOOKUP($A3040,Load!$B:$B,Load!D:D,0,)</f>
        <v>0</v>
      </c>
      <c r="D3040">
        <f>_xlfn.XLOOKUP($A3040,Load!$B:$B,Load!E:E,0,)</f>
        <v>0</v>
      </c>
      <c r="E3040">
        <f>_xlfn.XLOOKUP($A3040,Load!$B:$B,Load!F:F,0,)</f>
        <v>0</v>
      </c>
      <c r="F3040">
        <f>_xlfn.XLOOKUP($A3040,Load!$B:$B,Load!G:G,0,)</f>
        <v>0</v>
      </c>
      <c r="G3040">
        <f>_xlfn.XLOOKUP($A3040,Load!$B:$B,Load!H:H,0,)</f>
        <v>0</v>
      </c>
      <c r="H3040">
        <f>_xlfn.XLOOKUP($A3040,Load!$B:$B,Load!I:I,0,)</f>
        <v>0</v>
      </c>
      <c r="I3040">
        <f>_xlfn.XLOOKUP($A3040,Load!$B:$B,Load!J:J,0,)</f>
        <v>0</v>
      </c>
      <c r="J3040">
        <f>_xlfn.XLOOKUP($A3040,Load!$B:$B,Load!K:K,0,)</f>
        <v>0</v>
      </c>
      <c r="K3040">
        <f>_xlfn.XLOOKUP($A3040,Load!$B:$B,Load!L:L,0,)</f>
        <v>0</v>
      </c>
      <c r="L3040">
        <f>_xlfn.XLOOKUP($A3040,Load!$B:$B,Load!M:M,0,)</f>
        <v>0</v>
      </c>
    </row>
    <row r="3041" spans="1:12" x14ac:dyDescent="0.25">
      <c r="B3041">
        <f>_xlfn.XLOOKUP($A3041,Load!$B:$B,Load!C:C,0,)</f>
        <v>0</v>
      </c>
      <c r="C3041">
        <f>_xlfn.XLOOKUP($A3041,Load!$B:$B,Load!D:D,0,)</f>
        <v>0</v>
      </c>
      <c r="D3041">
        <f>_xlfn.XLOOKUP($A3041,Load!$B:$B,Load!E:E,0,)</f>
        <v>0</v>
      </c>
      <c r="E3041">
        <f>_xlfn.XLOOKUP($A3041,Load!$B:$B,Load!F:F,0,)</f>
        <v>0</v>
      </c>
      <c r="F3041">
        <f>_xlfn.XLOOKUP($A3041,Load!$B:$B,Load!G:G,0,)</f>
        <v>0</v>
      </c>
      <c r="G3041">
        <f>_xlfn.XLOOKUP($A3041,Load!$B:$B,Load!H:H,0,)</f>
        <v>0</v>
      </c>
      <c r="H3041">
        <f>_xlfn.XLOOKUP($A3041,Load!$B:$B,Load!I:I,0,)</f>
        <v>0</v>
      </c>
      <c r="I3041">
        <f>_xlfn.XLOOKUP($A3041,Load!$B:$B,Load!J:J,0,)</f>
        <v>0</v>
      </c>
      <c r="J3041">
        <f>_xlfn.XLOOKUP($A3041,Load!$B:$B,Load!K:K,0,)</f>
        <v>0</v>
      </c>
      <c r="K3041">
        <f>_xlfn.XLOOKUP($A3041,Load!$B:$B,Load!L:L,0,)</f>
        <v>0</v>
      </c>
      <c r="L3041">
        <f>_xlfn.XLOOKUP($A3041,Load!$B:$B,Load!M:M,0,)</f>
        <v>0</v>
      </c>
    </row>
    <row r="3042" spans="1:12" x14ac:dyDescent="0.25">
      <c r="A3042" t="s">
        <v>237</v>
      </c>
      <c r="B3042" t="str">
        <f>_xlfn.XLOOKUP($A3042,Load!$B:$B,Load!C:C,0,)</f>
        <v>Now &amp; Later</v>
      </c>
      <c r="C3042" t="str">
        <f>_xlfn.XLOOKUP($A3042,Load!$B:$B,Load!D:D,0,)</f>
        <v>Non-Chocolate Candy Only</v>
      </c>
      <c r="D3042" t="str">
        <f>_xlfn.XLOOKUP($A3042,Load!$B:$B,Load!E:E,0,)</f>
        <v>Fruit Flavor (Cherry, Grape, Apple, Citrus, Tropical Fruit)</v>
      </c>
      <c r="E3042" t="str">
        <f>_xlfn.XLOOKUP($A3042,Load!$B:$B,Load!F:F,0,)</f>
        <v>Chewy</v>
      </c>
      <c r="F3042" t="str">
        <f>_xlfn.XLOOKUP($A3042,Load!$B:$B,Load!G:G,0,)</f>
        <v>Medium Multipack (40–80 ct)</v>
      </c>
      <c r="G3042" t="str">
        <f>_xlfn.XLOOKUP($A3042,Load!$B:$B,Load!H:H,0,)</f>
        <v>Laydown Bag</v>
      </c>
      <c r="H3042" t="str">
        <f>_xlfn.XLOOKUP($A3042,Load!$B:$B,Load!I:I,0,)</f>
        <v>Everyday Candy Shapes (like Original, Gummy bear, Fruit, Jewels, etc.)</v>
      </c>
      <c r="I3042" t="str">
        <f>_xlfn.XLOOKUP($A3042,Load!$B:$B,Load!J:J,0,)</f>
        <v>Seasonal Graphics (Like Bat, Ghost, Pumpkin, Fall Leaves, Eyeballs, etc.)</v>
      </c>
      <c r="J3042" t="str">
        <f>_xlfn.XLOOKUP($A3042,Load!$B:$B,Load!K:K,0,)</f>
        <v>Small Pieces (Tiny bite size candies)</v>
      </c>
      <c r="K3042" t="str">
        <f>_xlfn.XLOOKUP($A3042,Load!$B:$B,Load!L:L,0,)</f>
        <v>Regular/Original Wrapping</v>
      </c>
      <c r="L3042" t="str">
        <f>_xlfn.XLOOKUP($A3042,Load!$B:$B,Load!M:M,0,)</f>
        <v>Single Brand / Variety Flavors or Form</v>
      </c>
    </row>
    <row r="3043" spans="1:12" x14ac:dyDescent="0.25">
      <c r="A3043" t="s">
        <v>280</v>
      </c>
      <c r="B3043" t="str">
        <f>_xlfn.XLOOKUP($A3043,Load!$B:$B,Load!C:C,0,)</f>
        <v>Sour Patch Kids</v>
      </c>
      <c r="C3043" t="str">
        <f>_xlfn.XLOOKUP($A3043,Load!$B:$B,Load!D:D,0,)</f>
        <v>Non-Chocolate Candy Only</v>
      </c>
      <c r="D3043" t="str">
        <f>_xlfn.XLOOKUP($A3043,Load!$B:$B,Load!E:E,0,)</f>
        <v>Sour</v>
      </c>
      <c r="E3043" t="str">
        <f>_xlfn.XLOOKUP($A3043,Load!$B:$B,Load!F:F,0,)</f>
        <v>Chewy</v>
      </c>
      <c r="F3043" t="str">
        <f>_xlfn.XLOOKUP($A3043,Load!$B:$B,Load!G:G,0,)</f>
        <v>Medium Multipack (40–80 ct)</v>
      </c>
      <c r="G3043" t="str">
        <f>_xlfn.XLOOKUP($A3043,Load!$B:$B,Load!H:H,0,)</f>
        <v>Laydown Bag</v>
      </c>
      <c r="H3043" t="str">
        <f>_xlfn.XLOOKUP($A3043,Load!$B:$B,Load!I:I,0,)</f>
        <v>Seasonal Shapes (like pumpkins, candy corn, ghost, bats, etc.)</v>
      </c>
      <c r="I3043" t="str">
        <f>_xlfn.XLOOKUP($A3043,Load!$B:$B,Load!J:J,0,)</f>
        <v>Seasonal Graphics (Like Bat, Ghost, Pumpkin, Fall Leaves, Eyeballs, etc.)</v>
      </c>
      <c r="J3043" t="str">
        <f>_xlfn.XLOOKUP($A3043,Load!$B:$B,Load!K:K,0,)</f>
        <v>Small Pieces (Tiny bite size candies)</v>
      </c>
      <c r="K3043" t="str">
        <f>_xlfn.XLOOKUP($A3043,Load!$B:$B,Load!L:L,0,)</f>
        <v>Regular/Original Wrapping</v>
      </c>
      <c r="L3043" t="str">
        <f>_xlfn.XLOOKUP($A3043,Load!$B:$B,Load!M:M,0,)</f>
        <v>Single Brand / Variety Flavors or Form</v>
      </c>
    </row>
    <row r="3044" spans="1:12" x14ac:dyDescent="0.25">
      <c r="A3044" t="s">
        <v>224</v>
      </c>
      <c r="B3044" t="str">
        <f>_xlfn.XLOOKUP($A3044,Load!$B:$B,Load!C:C,0,)</f>
        <v>Nerds</v>
      </c>
      <c r="C3044" t="str">
        <f>_xlfn.XLOOKUP($A3044,Load!$B:$B,Load!D:D,0,)</f>
        <v>Non-Chocolate Candy Only</v>
      </c>
      <c r="D3044" t="str">
        <f>_xlfn.XLOOKUP($A3044,Load!$B:$B,Load!E:E,0,)</f>
        <v>Sweet</v>
      </c>
      <c r="E3044" t="str">
        <f>_xlfn.XLOOKUP($A3044,Load!$B:$B,Load!F:F,0,)</f>
        <v>Mixed / Combo Packs (Gummy, Chewy, Taffy, etc.)</v>
      </c>
      <c r="F3044" t="str">
        <f>_xlfn.XLOOKUP($A3044,Load!$B:$B,Load!G:G,0,)</f>
        <v>Medium Multipack (40–80 ct)</v>
      </c>
      <c r="G3044" t="str">
        <f>_xlfn.XLOOKUP($A3044,Load!$B:$B,Load!H:H,0,)</f>
        <v>Stand-Up Bag</v>
      </c>
      <c r="H3044" t="str">
        <f>_xlfn.XLOOKUP($A3044,Load!$B:$B,Load!I:I,0,)</f>
        <v>Everyday Candy Shapes (like Original, Gummy bear, Fruit, Jewels, etc.)</v>
      </c>
      <c r="I3044" t="str">
        <f>_xlfn.XLOOKUP($A3044,Load!$B:$B,Load!J:J,0,)</f>
        <v>Seasonal Graphics (Like Bat, Ghost, Pumpkin, Fall Leaves, Eyeballs, etc.)</v>
      </c>
      <c r="J3044" t="str">
        <f>_xlfn.XLOOKUP($A3044,Load!$B:$B,Load!K:K,0,)</f>
        <v xml:space="preserve">Variety Candy Sizes </v>
      </c>
      <c r="K3044" t="str">
        <f>_xlfn.XLOOKUP($A3044,Load!$B:$B,Load!L:L,0,)</f>
        <v>Regular/Original Wrapping</v>
      </c>
      <c r="L3044" t="str">
        <f>_xlfn.XLOOKUP($A3044,Load!$B:$B,Load!M:M,0,)</f>
        <v>Single Brand / Variety Flavors or Form</v>
      </c>
    </row>
    <row r="3045" spans="1:12" x14ac:dyDescent="0.25">
      <c r="A3045" t="s">
        <v>103</v>
      </c>
      <c r="B3045" t="str">
        <f>_xlfn.XLOOKUP($A3045,Load!$B:$B,Load!C:C,0,)</f>
        <v>Frankford</v>
      </c>
      <c r="C3045" t="str">
        <f>_xlfn.XLOOKUP($A3045,Load!$B:$B,Load!D:D,0,)</f>
        <v>Non-Chocolate Candy Only</v>
      </c>
      <c r="D3045" t="str">
        <f>_xlfn.XLOOKUP($A3045,Load!$B:$B,Load!E:E,0,)</f>
        <v>Sweet</v>
      </c>
      <c r="E3045" t="str">
        <f>_xlfn.XLOOKUP($A3045,Load!$B:$B,Load!F:F,0,)</f>
        <v>Gummy</v>
      </c>
      <c r="F3045" t="str">
        <f>_xlfn.XLOOKUP($A3045,Load!$B:$B,Load!G:G,0,)</f>
        <v>Medium Multipack (40–80 ct)</v>
      </c>
      <c r="G3045" t="str">
        <f>_xlfn.XLOOKUP($A3045,Load!$B:$B,Load!H:H,0,)</f>
        <v>Stand-Up Bag</v>
      </c>
      <c r="H3045" t="str">
        <f>_xlfn.XLOOKUP($A3045,Load!$B:$B,Load!I:I,0,)</f>
        <v>Seasonal Shapes (like pumpkins, candy corn, ghost, bats, etc.)</v>
      </c>
      <c r="I3045" t="str">
        <f>_xlfn.XLOOKUP($A3045,Load!$B:$B,Load!J:J,0,)</f>
        <v>Seasonal Graphics (Like Bat, Ghost, Pumpkin, Fall Leaves, Eyeballs, etc.)</v>
      </c>
      <c r="J3045" t="str">
        <f>_xlfn.XLOOKUP($A3045,Load!$B:$B,Load!K:K,0,)</f>
        <v>Fun Size / Treat Size</v>
      </c>
      <c r="K3045" t="str">
        <f>_xlfn.XLOOKUP($A3045,Load!$B:$B,Load!L:L,0,)</f>
        <v>Regular/Original Wrapping</v>
      </c>
      <c r="L3045" t="str">
        <f>_xlfn.XLOOKUP($A3045,Load!$B:$B,Load!M:M,0,)</f>
        <v>Single Brand / Variety Flavors or Form</v>
      </c>
    </row>
    <row r="3046" spans="1:12" x14ac:dyDescent="0.25">
      <c r="B3046">
        <f>_xlfn.XLOOKUP($A3046,Load!$B:$B,Load!C:C,0,)</f>
        <v>0</v>
      </c>
      <c r="C3046">
        <f>_xlfn.XLOOKUP($A3046,Load!$B:$B,Load!D:D,0,)</f>
        <v>0</v>
      </c>
      <c r="D3046">
        <f>_xlfn.XLOOKUP($A3046,Load!$B:$B,Load!E:E,0,)</f>
        <v>0</v>
      </c>
      <c r="E3046">
        <f>_xlfn.XLOOKUP($A3046,Load!$B:$B,Load!F:F,0,)</f>
        <v>0</v>
      </c>
      <c r="F3046">
        <f>_xlfn.XLOOKUP($A3046,Load!$B:$B,Load!G:G,0,)</f>
        <v>0</v>
      </c>
      <c r="G3046">
        <f>_xlfn.XLOOKUP($A3046,Load!$B:$B,Load!H:H,0,)</f>
        <v>0</v>
      </c>
      <c r="H3046">
        <f>_xlfn.XLOOKUP($A3046,Load!$B:$B,Load!I:I,0,)</f>
        <v>0</v>
      </c>
      <c r="I3046">
        <f>_xlfn.XLOOKUP($A3046,Load!$B:$B,Load!J:J,0,)</f>
        <v>0</v>
      </c>
      <c r="J3046">
        <f>_xlfn.XLOOKUP($A3046,Load!$B:$B,Load!K:K,0,)</f>
        <v>0</v>
      </c>
      <c r="K3046">
        <f>_xlfn.XLOOKUP($A3046,Load!$B:$B,Load!L:L,0,)</f>
        <v>0</v>
      </c>
      <c r="L3046">
        <f>_xlfn.XLOOKUP($A3046,Load!$B:$B,Load!M:M,0,)</f>
        <v>0</v>
      </c>
    </row>
    <row r="3047" spans="1:12" x14ac:dyDescent="0.25">
      <c r="B3047">
        <f>_xlfn.XLOOKUP($A3047,Load!$B:$B,Load!C:C,0,)</f>
        <v>0</v>
      </c>
      <c r="C3047">
        <f>_xlfn.XLOOKUP($A3047,Load!$B:$B,Load!D:D,0,)</f>
        <v>0</v>
      </c>
      <c r="D3047">
        <f>_xlfn.XLOOKUP($A3047,Load!$B:$B,Load!E:E,0,)</f>
        <v>0</v>
      </c>
      <c r="E3047">
        <f>_xlfn.XLOOKUP($A3047,Load!$B:$B,Load!F:F,0,)</f>
        <v>0</v>
      </c>
      <c r="F3047">
        <f>_xlfn.XLOOKUP($A3047,Load!$B:$B,Load!G:G,0,)</f>
        <v>0</v>
      </c>
      <c r="G3047">
        <f>_xlfn.XLOOKUP($A3047,Load!$B:$B,Load!H:H,0,)</f>
        <v>0</v>
      </c>
      <c r="H3047">
        <f>_xlfn.XLOOKUP($A3047,Load!$B:$B,Load!I:I,0,)</f>
        <v>0</v>
      </c>
      <c r="I3047">
        <f>_xlfn.XLOOKUP($A3047,Load!$B:$B,Load!J:J,0,)</f>
        <v>0</v>
      </c>
      <c r="J3047">
        <f>_xlfn.XLOOKUP($A3047,Load!$B:$B,Load!K:K,0,)</f>
        <v>0</v>
      </c>
      <c r="K3047">
        <f>_xlfn.XLOOKUP($A3047,Load!$B:$B,Load!L:L,0,)</f>
        <v>0</v>
      </c>
      <c r="L3047">
        <f>_xlfn.XLOOKUP($A3047,Load!$B:$B,Load!M:M,0,)</f>
        <v>0</v>
      </c>
    </row>
    <row r="3048" spans="1:12" x14ac:dyDescent="0.25">
      <c r="B3048">
        <f>_xlfn.XLOOKUP($A3048,Load!$B:$B,Load!C:C,0,)</f>
        <v>0</v>
      </c>
      <c r="C3048">
        <f>_xlfn.XLOOKUP($A3048,Load!$B:$B,Load!D:D,0,)</f>
        <v>0</v>
      </c>
      <c r="D3048">
        <f>_xlfn.XLOOKUP($A3048,Load!$B:$B,Load!E:E,0,)</f>
        <v>0</v>
      </c>
      <c r="E3048">
        <f>_xlfn.XLOOKUP($A3048,Load!$B:$B,Load!F:F,0,)</f>
        <v>0</v>
      </c>
      <c r="F3048">
        <f>_xlfn.XLOOKUP($A3048,Load!$B:$B,Load!G:G,0,)</f>
        <v>0</v>
      </c>
      <c r="G3048">
        <f>_xlfn.XLOOKUP($A3048,Load!$B:$B,Load!H:H,0,)</f>
        <v>0</v>
      </c>
      <c r="H3048">
        <f>_xlfn.XLOOKUP($A3048,Load!$B:$B,Load!I:I,0,)</f>
        <v>0</v>
      </c>
      <c r="I3048">
        <f>_xlfn.XLOOKUP($A3048,Load!$B:$B,Load!J:J,0,)</f>
        <v>0</v>
      </c>
      <c r="J3048">
        <f>_xlfn.XLOOKUP($A3048,Load!$B:$B,Load!K:K,0,)</f>
        <v>0</v>
      </c>
      <c r="K3048">
        <f>_xlfn.XLOOKUP($A3048,Load!$B:$B,Load!L:L,0,)</f>
        <v>0</v>
      </c>
      <c r="L3048">
        <f>_xlfn.XLOOKUP($A3048,Load!$B:$B,Load!M:M,0,)</f>
        <v>0</v>
      </c>
    </row>
    <row r="3049" spans="1:12" x14ac:dyDescent="0.25">
      <c r="B3049">
        <f>_xlfn.XLOOKUP($A3049,Load!$B:$B,Load!C:C,0,)</f>
        <v>0</v>
      </c>
      <c r="C3049">
        <f>_xlfn.XLOOKUP($A3049,Load!$B:$B,Load!D:D,0,)</f>
        <v>0</v>
      </c>
      <c r="D3049">
        <f>_xlfn.XLOOKUP($A3049,Load!$B:$B,Load!E:E,0,)</f>
        <v>0</v>
      </c>
      <c r="E3049">
        <f>_xlfn.XLOOKUP($A3049,Load!$B:$B,Load!F:F,0,)</f>
        <v>0</v>
      </c>
      <c r="F3049">
        <f>_xlfn.XLOOKUP($A3049,Load!$B:$B,Load!G:G,0,)</f>
        <v>0</v>
      </c>
      <c r="G3049">
        <f>_xlfn.XLOOKUP($A3049,Load!$B:$B,Load!H:H,0,)</f>
        <v>0</v>
      </c>
      <c r="H3049">
        <f>_xlfn.XLOOKUP($A3049,Load!$B:$B,Load!I:I,0,)</f>
        <v>0</v>
      </c>
      <c r="I3049">
        <f>_xlfn.XLOOKUP($A3049,Load!$B:$B,Load!J:J,0,)</f>
        <v>0</v>
      </c>
      <c r="J3049">
        <f>_xlfn.XLOOKUP($A3049,Load!$B:$B,Load!K:K,0,)</f>
        <v>0</v>
      </c>
      <c r="K3049">
        <f>_xlfn.XLOOKUP($A3049,Load!$B:$B,Load!L:L,0,)</f>
        <v>0</v>
      </c>
      <c r="L3049">
        <f>_xlfn.XLOOKUP($A3049,Load!$B:$B,Load!M:M,0,)</f>
        <v>0</v>
      </c>
    </row>
    <row r="3050" spans="1:12" x14ac:dyDescent="0.25">
      <c r="B3050">
        <f>_xlfn.XLOOKUP($A3050,Load!$B:$B,Load!C:C,0,)</f>
        <v>0</v>
      </c>
      <c r="C3050">
        <f>_xlfn.XLOOKUP($A3050,Load!$B:$B,Load!D:D,0,)</f>
        <v>0</v>
      </c>
      <c r="D3050">
        <f>_xlfn.XLOOKUP($A3050,Load!$B:$B,Load!E:E,0,)</f>
        <v>0</v>
      </c>
      <c r="E3050">
        <f>_xlfn.XLOOKUP($A3050,Load!$B:$B,Load!F:F,0,)</f>
        <v>0</v>
      </c>
      <c r="F3050">
        <f>_xlfn.XLOOKUP($A3050,Load!$B:$B,Load!G:G,0,)</f>
        <v>0</v>
      </c>
      <c r="G3050">
        <f>_xlfn.XLOOKUP($A3050,Load!$B:$B,Load!H:H,0,)</f>
        <v>0</v>
      </c>
      <c r="H3050">
        <f>_xlfn.XLOOKUP($A3050,Load!$B:$B,Load!I:I,0,)</f>
        <v>0</v>
      </c>
      <c r="I3050">
        <f>_xlfn.XLOOKUP($A3050,Load!$B:$B,Load!J:J,0,)</f>
        <v>0</v>
      </c>
      <c r="J3050">
        <f>_xlfn.XLOOKUP($A3050,Load!$B:$B,Load!K:K,0,)</f>
        <v>0</v>
      </c>
      <c r="K3050">
        <f>_xlfn.XLOOKUP($A3050,Load!$B:$B,Load!L:L,0,)</f>
        <v>0</v>
      </c>
      <c r="L3050">
        <f>_xlfn.XLOOKUP($A3050,Load!$B:$B,Load!M:M,0,)</f>
        <v>0</v>
      </c>
    </row>
    <row r="3051" spans="1:12" x14ac:dyDescent="0.25">
      <c r="B3051">
        <f>_xlfn.XLOOKUP($A3051,Load!$B:$B,Load!C:C,0,)</f>
        <v>0</v>
      </c>
      <c r="C3051">
        <f>_xlfn.XLOOKUP($A3051,Load!$B:$B,Load!D:D,0,)</f>
        <v>0</v>
      </c>
      <c r="D3051">
        <f>_xlfn.XLOOKUP($A3051,Load!$B:$B,Load!E:E,0,)</f>
        <v>0</v>
      </c>
      <c r="E3051">
        <f>_xlfn.XLOOKUP($A3051,Load!$B:$B,Load!F:F,0,)</f>
        <v>0</v>
      </c>
      <c r="F3051">
        <f>_xlfn.XLOOKUP($A3051,Load!$B:$B,Load!G:G,0,)</f>
        <v>0</v>
      </c>
      <c r="G3051">
        <f>_xlfn.XLOOKUP($A3051,Load!$B:$B,Load!H:H,0,)</f>
        <v>0</v>
      </c>
      <c r="H3051">
        <f>_xlfn.XLOOKUP($A3051,Load!$B:$B,Load!I:I,0,)</f>
        <v>0</v>
      </c>
      <c r="I3051">
        <f>_xlfn.XLOOKUP($A3051,Load!$B:$B,Load!J:J,0,)</f>
        <v>0</v>
      </c>
      <c r="J3051">
        <f>_xlfn.XLOOKUP($A3051,Load!$B:$B,Load!K:K,0,)</f>
        <v>0</v>
      </c>
      <c r="K3051">
        <f>_xlfn.XLOOKUP($A3051,Load!$B:$B,Load!L:L,0,)</f>
        <v>0</v>
      </c>
      <c r="L3051">
        <f>_xlfn.XLOOKUP($A3051,Load!$B:$B,Load!M:M,0,)</f>
        <v>0</v>
      </c>
    </row>
    <row r="3052" spans="1:12" x14ac:dyDescent="0.25">
      <c r="A3052" t="s">
        <v>131</v>
      </c>
      <c r="B3052" t="str">
        <f>_xlfn.XLOOKUP($A3052,Load!$B:$B,Load!C:C,0,)</f>
        <v>Hershey's</v>
      </c>
      <c r="C3052" t="str">
        <f>_xlfn.XLOOKUP($A3052,Load!$B:$B,Load!D:D,0,)</f>
        <v>Mix of Chocolate and Non-Chocolate Candy</v>
      </c>
      <c r="D3052" t="str">
        <f>_xlfn.XLOOKUP($A3052,Load!$B:$B,Load!E:E,0,)</f>
        <v>Variety / Mixed Flavors (Fruity, Sour, Seasonal Flavors)</v>
      </c>
      <c r="E3052" t="str">
        <f>_xlfn.XLOOKUP($A3052,Load!$B:$B,Load!F:F,0,)</f>
        <v>Mixed / Combo Packs (Gummy, Chewy, Taffy, etc.)</v>
      </c>
      <c r="F3052" t="str">
        <f>_xlfn.XLOOKUP($A3052,Load!$B:$B,Load!G:G,0,)</f>
        <v>Large Multipack (More than 80 ct)</v>
      </c>
      <c r="G3052" t="str">
        <f>_xlfn.XLOOKUP($A3052,Load!$B:$B,Load!H:H,0,)</f>
        <v>Stand-Up Bag</v>
      </c>
      <c r="H3052" t="str">
        <f>_xlfn.XLOOKUP($A3052,Load!$B:$B,Load!I:I,0,)</f>
        <v>Everyday Candy Shapes (like Original, Gummy bear, Fruit, Jewels, etc.)</v>
      </c>
      <c r="I3052" t="str">
        <f>_xlfn.XLOOKUP($A3052,Load!$B:$B,Load!J:J,0,)</f>
        <v>Seasonal Graphics (Like Bat, Ghost, Pumpkin, Fall Leaves, Eyeballs, etc.)</v>
      </c>
      <c r="J3052" t="str">
        <f>_xlfn.XLOOKUP($A3052,Load!$B:$B,Load!K:K,0,)</f>
        <v>Fun Size / Treat Size</v>
      </c>
      <c r="K3052" t="str">
        <f>_xlfn.XLOOKUP($A3052,Load!$B:$B,Load!L:L,0,)</f>
        <v>Regular/Original Wrapping</v>
      </c>
      <c r="L3052" t="str">
        <f>_xlfn.XLOOKUP($A3052,Load!$B:$B,Load!M:M,0,)</f>
        <v>Multiple Brands / Variety Flavors or Form</v>
      </c>
    </row>
    <row r="3053" spans="1:12" x14ac:dyDescent="0.25">
      <c r="A3053" t="s">
        <v>185</v>
      </c>
      <c r="B3053" t="str">
        <f>_xlfn.XLOOKUP($A3053,Load!$B:$B,Load!C:C,0,)</f>
        <v>Mars Variety Pack</v>
      </c>
      <c r="C3053" t="str">
        <f>_xlfn.XLOOKUP($A3053,Load!$B:$B,Load!D:D,0,)</f>
        <v>Mix of Chocolate and Non-Chocolate Candy</v>
      </c>
      <c r="D3053" t="str">
        <f>_xlfn.XLOOKUP($A3053,Load!$B:$B,Load!E:E,0,)</f>
        <v>Variety / Mixed Flavors (Fruity, Sour, Seasonal Flavors)</v>
      </c>
      <c r="E3053" t="str">
        <f>_xlfn.XLOOKUP($A3053,Load!$B:$B,Load!F:F,0,)</f>
        <v>Mixed / Combo Packs (Gummy, Chewy, Taffy, etc.)</v>
      </c>
      <c r="F3053" t="str">
        <f>_xlfn.XLOOKUP($A3053,Load!$B:$B,Load!G:G,0,)</f>
        <v>Large Multipack (More than 80 ct)</v>
      </c>
      <c r="G3053" t="str">
        <f>_xlfn.XLOOKUP($A3053,Load!$B:$B,Load!H:H,0,)</f>
        <v>Stand-Up Bag</v>
      </c>
      <c r="H3053" t="str">
        <f>_xlfn.XLOOKUP($A3053,Load!$B:$B,Load!I:I,0,)</f>
        <v>Everyday Candy Shapes (like Original, Gummy bear, Fruit, Jewels, etc.)</v>
      </c>
      <c r="I3053" t="str">
        <f>_xlfn.XLOOKUP($A3053,Load!$B:$B,Load!J:J,0,)</f>
        <v>Seasonal Graphics (Like Bat, Ghost, Pumpkin, Fall Leaves, Eyeballs, etc.)</v>
      </c>
      <c r="J3053" t="str">
        <f>_xlfn.XLOOKUP($A3053,Load!$B:$B,Load!K:K,0,)</f>
        <v>Fun Size / Treat Size</v>
      </c>
      <c r="K3053" t="str">
        <f>_xlfn.XLOOKUP($A3053,Load!$B:$B,Load!L:L,0,)</f>
        <v>Regular/Original Wrapping</v>
      </c>
      <c r="L3053" t="str">
        <f>_xlfn.XLOOKUP($A3053,Load!$B:$B,Load!M:M,0,)</f>
        <v>Multiple Brands / Variety Flavors or Form</v>
      </c>
    </row>
    <row r="3054" spans="1:12" x14ac:dyDescent="0.25">
      <c r="A3054" t="s">
        <v>279</v>
      </c>
      <c r="B3054" t="str">
        <f>_xlfn.XLOOKUP($A3054,Load!$B:$B,Load!C:C,0,)</f>
        <v>Sour Patch Kids</v>
      </c>
      <c r="C3054" t="str">
        <f>_xlfn.XLOOKUP($A3054,Load!$B:$B,Load!D:D,0,)</f>
        <v>Non-Chocolate Candy Only</v>
      </c>
      <c r="D3054" t="str">
        <f>_xlfn.XLOOKUP($A3054,Load!$B:$B,Load!E:E,0,)</f>
        <v>Sour</v>
      </c>
      <c r="E3054" t="str">
        <f>_xlfn.XLOOKUP($A3054,Load!$B:$B,Load!F:F,0,)</f>
        <v>Chewy</v>
      </c>
      <c r="F3054" t="str">
        <f>_xlfn.XLOOKUP($A3054,Load!$B:$B,Load!G:G,0,)</f>
        <v>Single Pack</v>
      </c>
      <c r="G3054" t="str">
        <f>_xlfn.XLOOKUP($A3054,Load!$B:$B,Load!H:H,0,)</f>
        <v>Peg Bag</v>
      </c>
      <c r="H3054" t="str">
        <f>_xlfn.XLOOKUP($A3054,Load!$B:$B,Load!I:I,0,)</f>
        <v>Seasonal Shapes (like pumpkins, candy corn, ghost, bats, etc.)</v>
      </c>
      <c r="I3054" t="str">
        <f>_xlfn.XLOOKUP($A3054,Load!$B:$B,Load!J:J,0,)</f>
        <v>Seasonal Graphics (Like Bat, Ghost, Pumpkin, Fall Leaves, Eyeballs, etc.)</v>
      </c>
      <c r="J3054" t="str">
        <f>_xlfn.XLOOKUP($A3054,Load!$B:$B,Load!K:K,0,)</f>
        <v>Small Pieces (Tiny bite size candies)</v>
      </c>
      <c r="K3054" t="str">
        <f>_xlfn.XLOOKUP($A3054,Load!$B:$B,Load!L:L,0,)</f>
        <v>Regular/Original Wrapping</v>
      </c>
      <c r="L3054" t="str">
        <f>_xlfn.XLOOKUP($A3054,Load!$B:$B,Load!M:M,0,)</f>
        <v>Single Brand / Variety Flavors or Form</v>
      </c>
    </row>
    <row r="3055" spans="1:12" x14ac:dyDescent="0.25">
      <c r="A3055" t="s">
        <v>167</v>
      </c>
      <c r="B3055" t="str">
        <f>_xlfn.XLOOKUP($A3055,Load!$B:$B,Load!C:C,0,)</f>
        <v>Kraft</v>
      </c>
      <c r="C3055" t="str">
        <f>_xlfn.XLOOKUP($A3055,Load!$B:$B,Load!D:D,0,)</f>
        <v>Non-Chocolate Candy Only</v>
      </c>
      <c r="D3055" t="str">
        <f>_xlfn.XLOOKUP($A3055,Load!$B:$B,Load!E:E,0,)</f>
        <v>Fall / Seasonal Flavors (pumpkin spice, caramel apple, candy corn)</v>
      </c>
      <c r="E3055" t="str">
        <f>_xlfn.XLOOKUP($A3055,Load!$B:$B,Load!F:F,0,)</f>
        <v>Lollipop (regular or lollipop rings)</v>
      </c>
      <c r="F3055" t="str">
        <f>_xlfn.XLOOKUP($A3055,Load!$B:$B,Load!G:G,0,)</f>
        <v>Single Pack</v>
      </c>
      <c r="G3055" t="str">
        <f>_xlfn.XLOOKUP($A3055,Load!$B:$B,Load!H:H,0,)</f>
        <v>Laydown Bag</v>
      </c>
      <c r="H3055" t="str">
        <f>_xlfn.XLOOKUP($A3055,Load!$B:$B,Load!I:I,0,)</f>
        <v>Everyday Candy Shapes (like Original, Gummy bear, Fruit, Jewels, etc.)</v>
      </c>
      <c r="I3055" t="str">
        <f>_xlfn.XLOOKUP($A3055,Load!$B:$B,Load!J:J,0,)</f>
        <v>Everyday Graphics</v>
      </c>
      <c r="J3055" t="str">
        <f>_xlfn.XLOOKUP($A3055,Load!$B:$B,Load!K:K,0,)</f>
        <v>Small Pieces (Tiny bite size candies)</v>
      </c>
      <c r="K3055" t="str">
        <f>_xlfn.XLOOKUP($A3055,Load!$B:$B,Load!L:L,0,)</f>
        <v>Regular/Original Wrapping</v>
      </c>
      <c r="L3055" t="str">
        <f>_xlfn.XLOOKUP($A3055,Load!$B:$B,Load!M:M,0,)</f>
        <v>Single Brand / Single Flavor or Form</v>
      </c>
    </row>
    <row r="3056" spans="1:12" x14ac:dyDescent="0.25">
      <c r="A3056" t="s">
        <v>162</v>
      </c>
      <c r="B3056" t="str">
        <f>_xlfn.XLOOKUP($A3056,Load!$B:$B,Load!C:C,0,)</f>
        <v>Jolly Rancher</v>
      </c>
      <c r="C3056" t="str">
        <f>_xlfn.XLOOKUP($A3056,Load!$B:$B,Load!D:D,0,)</f>
        <v>Non-Chocolate Candy Only</v>
      </c>
      <c r="D3056" t="str">
        <f>_xlfn.XLOOKUP($A3056,Load!$B:$B,Load!E:E,0,)</f>
        <v>Variety / Mixed Flavors (Fruity, Sour, Seasonal Flavors)</v>
      </c>
      <c r="E3056" t="str">
        <f>_xlfn.XLOOKUP($A3056,Load!$B:$B,Load!F:F,0,)</f>
        <v>Gummy</v>
      </c>
      <c r="F3056" t="str">
        <f>_xlfn.XLOOKUP($A3056,Load!$B:$B,Load!G:G,0,)</f>
        <v>Single Pack</v>
      </c>
      <c r="G3056" t="str">
        <f>_xlfn.XLOOKUP($A3056,Load!$B:$B,Load!H:H,0,)</f>
        <v>Peg Bag</v>
      </c>
      <c r="H3056" t="str">
        <f>_xlfn.XLOOKUP($A3056,Load!$B:$B,Load!I:I,0,)</f>
        <v>Seasonal Shapes (like pumpkins, candy corn, ghost, bats, etc.)</v>
      </c>
      <c r="I3056" t="str">
        <f>_xlfn.XLOOKUP($A3056,Load!$B:$B,Load!J:J,0,)</f>
        <v>Seasonal Graphics (Like Bat, Ghost, Pumpkin, Fall Leaves, Eyeballs, etc.)</v>
      </c>
      <c r="J3056" t="str">
        <f>_xlfn.XLOOKUP($A3056,Load!$B:$B,Load!K:K,0,)</f>
        <v>Small Pieces (Tiny bite size candies)</v>
      </c>
      <c r="K3056" t="str">
        <f>_xlfn.XLOOKUP($A3056,Load!$B:$B,Load!L:L,0,)</f>
        <v>Unwrapped</v>
      </c>
      <c r="L3056" t="str">
        <f>_xlfn.XLOOKUP($A3056,Load!$B:$B,Load!M:M,0,)</f>
        <v>Single Brand / Variety Flavors or Form</v>
      </c>
    </row>
    <row r="3057" spans="1:12" x14ac:dyDescent="0.25">
      <c r="A3057" t="s">
        <v>279</v>
      </c>
      <c r="B3057" t="str">
        <f>_xlfn.XLOOKUP($A3057,Load!$B:$B,Load!C:C,0,)</f>
        <v>Sour Patch Kids</v>
      </c>
      <c r="C3057" t="str">
        <f>_xlfn.XLOOKUP($A3057,Load!$B:$B,Load!D:D,0,)</f>
        <v>Non-Chocolate Candy Only</v>
      </c>
      <c r="D3057" t="str">
        <f>_xlfn.XLOOKUP($A3057,Load!$B:$B,Load!E:E,0,)</f>
        <v>Sour</v>
      </c>
      <c r="E3057" t="str">
        <f>_xlfn.XLOOKUP($A3057,Load!$B:$B,Load!F:F,0,)</f>
        <v>Chewy</v>
      </c>
      <c r="F3057" t="str">
        <f>_xlfn.XLOOKUP($A3057,Load!$B:$B,Load!G:G,0,)</f>
        <v>Single Pack</v>
      </c>
      <c r="G3057" t="str">
        <f>_xlfn.XLOOKUP($A3057,Load!$B:$B,Load!H:H,0,)</f>
        <v>Peg Bag</v>
      </c>
      <c r="H3057" t="str">
        <f>_xlfn.XLOOKUP($A3057,Load!$B:$B,Load!I:I,0,)</f>
        <v>Seasonal Shapes (like pumpkins, candy corn, ghost, bats, etc.)</v>
      </c>
      <c r="I3057" t="str">
        <f>_xlfn.XLOOKUP($A3057,Load!$B:$B,Load!J:J,0,)</f>
        <v>Seasonal Graphics (Like Bat, Ghost, Pumpkin, Fall Leaves, Eyeballs, etc.)</v>
      </c>
      <c r="J3057" t="str">
        <f>_xlfn.XLOOKUP($A3057,Load!$B:$B,Load!K:K,0,)</f>
        <v>Small Pieces (Tiny bite size candies)</v>
      </c>
      <c r="K3057" t="str">
        <f>_xlfn.XLOOKUP($A3057,Load!$B:$B,Load!L:L,0,)</f>
        <v>Regular/Original Wrapping</v>
      </c>
      <c r="L3057" t="str">
        <f>_xlfn.XLOOKUP($A3057,Load!$B:$B,Load!M:M,0,)</f>
        <v>Single Brand / Variety Flavors or Form</v>
      </c>
    </row>
    <row r="3058" spans="1:12" x14ac:dyDescent="0.25">
      <c r="A3058" t="s">
        <v>90</v>
      </c>
      <c r="B3058" t="str">
        <f>_xlfn.XLOOKUP($A3058,Load!$B:$B,Load!C:C,0,)</f>
        <v>Ferrara Variety Pack</v>
      </c>
      <c r="C3058" t="str">
        <f>_xlfn.XLOOKUP($A3058,Load!$B:$B,Load!D:D,0,)</f>
        <v>Non-Chocolate Candy Only</v>
      </c>
      <c r="D3058" t="str">
        <f>_xlfn.XLOOKUP($A3058,Load!$B:$B,Load!E:E,0,)</f>
        <v>Variety / Mixed Flavors (Fruity, Sour, Seasonal Flavors)</v>
      </c>
      <c r="E3058" t="str">
        <f>_xlfn.XLOOKUP($A3058,Load!$B:$B,Load!F:F,0,)</f>
        <v>Mixed / Combo Packs (Gummy, Chewy, Taffy, etc.)</v>
      </c>
      <c r="F3058" t="str">
        <f>_xlfn.XLOOKUP($A3058,Load!$B:$B,Load!G:G,0,)</f>
        <v>Large Multipack (More than 80 ct)</v>
      </c>
      <c r="G3058" t="str">
        <f>_xlfn.XLOOKUP($A3058,Load!$B:$B,Load!H:H,0,)</f>
        <v>Stand-Up Bag</v>
      </c>
      <c r="H3058" t="str">
        <f>_xlfn.XLOOKUP($A3058,Load!$B:$B,Load!I:I,0,)</f>
        <v>Everyday Candy Shapes (like Original, Gummy bear, Fruit, Jewels, etc.)</v>
      </c>
      <c r="I3058" t="str">
        <f>_xlfn.XLOOKUP($A3058,Load!$B:$B,Load!J:J,0,)</f>
        <v>Seasonal Graphics (Like Bat, Ghost, Pumpkin, Fall Leaves, Eyeballs, etc.)</v>
      </c>
      <c r="J3058" t="str">
        <f>_xlfn.XLOOKUP($A3058,Load!$B:$B,Load!K:K,0,)</f>
        <v xml:space="preserve">Variety Candy Sizes </v>
      </c>
      <c r="K3058" t="str">
        <f>_xlfn.XLOOKUP($A3058,Load!$B:$B,Load!L:L,0,)</f>
        <v>Regular/Original Wrapping</v>
      </c>
      <c r="L3058" t="str">
        <f>_xlfn.XLOOKUP($A3058,Load!$B:$B,Load!M:M,0,)</f>
        <v>Multiple Brands / Variety Flavors or Form</v>
      </c>
    </row>
    <row r="3059" spans="1:12" x14ac:dyDescent="0.25">
      <c r="A3059" t="s">
        <v>139</v>
      </c>
      <c r="B3059" t="str">
        <f>_xlfn.XLOOKUP($A3059,Load!$B:$B,Load!C:C,0,)</f>
        <v>Hershey's Variety Pack + Haribo</v>
      </c>
      <c r="C3059" t="str">
        <f>_xlfn.XLOOKUP($A3059,Load!$B:$B,Load!D:D,0,)</f>
        <v>Mix of Chocolate and Non-Chocolate Candy</v>
      </c>
      <c r="D3059" t="str">
        <f>_xlfn.XLOOKUP($A3059,Load!$B:$B,Load!E:E,0,)</f>
        <v>Variety / Mixed Flavors (Fruity, Sour, Seasonal Flavors)</v>
      </c>
      <c r="E3059" t="str">
        <f>_xlfn.XLOOKUP($A3059,Load!$B:$B,Load!F:F,0,)</f>
        <v>Mixed / Combo Packs (Gummy, Chewy, Taffy, etc.)</v>
      </c>
      <c r="F3059" t="str">
        <f>_xlfn.XLOOKUP($A3059,Load!$B:$B,Load!G:G,0,)</f>
        <v>Large Multipack (More than 80 ct)</v>
      </c>
      <c r="G3059" t="str">
        <f>_xlfn.XLOOKUP($A3059,Load!$B:$B,Load!H:H,0,)</f>
        <v>Stand-Up Bag</v>
      </c>
      <c r="H3059" t="str">
        <f>_xlfn.XLOOKUP($A3059,Load!$B:$B,Load!I:I,0,)</f>
        <v>Everyday Candy Shapes (like Original, Gummy bear, Fruit, Jewels, etc.)</v>
      </c>
      <c r="I3059" t="str">
        <f>_xlfn.XLOOKUP($A3059,Load!$B:$B,Load!J:J,0,)</f>
        <v>Seasonal Graphics (Like Bat, Ghost, Pumpkin, Fall Leaves, Eyeballs, etc.)</v>
      </c>
      <c r="J3059" t="str">
        <f>_xlfn.XLOOKUP($A3059,Load!$B:$B,Load!K:K,0,)</f>
        <v>Fun Size / Treat Size</v>
      </c>
      <c r="K3059" t="str">
        <f>_xlfn.XLOOKUP($A3059,Load!$B:$B,Load!L:L,0,)</f>
        <v>Regular/Original Wrapping</v>
      </c>
      <c r="L3059" t="str">
        <f>_xlfn.XLOOKUP($A3059,Load!$B:$B,Load!M:M,0,)</f>
        <v>Multiple Brands / Variety Flavors or Form</v>
      </c>
    </row>
    <row r="3060" spans="1:12" x14ac:dyDescent="0.25">
      <c r="B3060">
        <f>_xlfn.XLOOKUP($A3060,Load!$B:$B,Load!C:C,0,)</f>
        <v>0</v>
      </c>
      <c r="C3060">
        <f>_xlfn.XLOOKUP($A3060,Load!$B:$B,Load!D:D,0,)</f>
        <v>0</v>
      </c>
      <c r="D3060">
        <f>_xlfn.XLOOKUP($A3060,Load!$B:$B,Load!E:E,0,)</f>
        <v>0</v>
      </c>
      <c r="E3060">
        <f>_xlfn.XLOOKUP($A3060,Load!$B:$B,Load!F:F,0,)</f>
        <v>0</v>
      </c>
      <c r="F3060">
        <f>_xlfn.XLOOKUP($A3060,Load!$B:$B,Load!G:G,0,)</f>
        <v>0</v>
      </c>
      <c r="G3060">
        <f>_xlfn.XLOOKUP($A3060,Load!$B:$B,Load!H:H,0,)</f>
        <v>0</v>
      </c>
      <c r="H3060">
        <f>_xlfn.XLOOKUP($A3060,Load!$B:$B,Load!I:I,0,)</f>
        <v>0</v>
      </c>
      <c r="I3060">
        <f>_xlfn.XLOOKUP($A3060,Load!$B:$B,Load!J:J,0,)</f>
        <v>0</v>
      </c>
      <c r="J3060">
        <f>_xlfn.XLOOKUP($A3060,Load!$B:$B,Load!K:K,0,)</f>
        <v>0</v>
      </c>
      <c r="K3060">
        <f>_xlfn.XLOOKUP($A3060,Load!$B:$B,Load!L:L,0,)</f>
        <v>0</v>
      </c>
      <c r="L3060">
        <f>_xlfn.XLOOKUP($A3060,Load!$B:$B,Load!M:M,0,)</f>
        <v>0</v>
      </c>
    </row>
    <row r="3061" spans="1:12" x14ac:dyDescent="0.25">
      <c r="B3061">
        <f>_xlfn.XLOOKUP($A3061,Load!$B:$B,Load!C:C,0,)</f>
        <v>0</v>
      </c>
      <c r="C3061">
        <f>_xlfn.XLOOKUP($A3061,Load!$B:$B,Load!D:D,0,)</f>
        <v>0</v>
      </c>
      <c r="D3061">
        <f>_xlfn.XLOOKUP($A3061,Load!$B:$B,Load!E:E,0,)</f>
        <v>0</v>
      </c>
      <c r="E3061">
        <f>_xlfn.XLOOKUP($A3061,Load!$B:$B,Load!F:F,0,)</f>
        <v>0</v>
      </c>
      <c r="F3061">
        <f>_xlfn.XLOOKUP($A3061,Load!$B:$B,Load!G:G,0,)</f>
        <v>0</v>
      </c>
      <c r="G3061">
        <f>_xlfn.XLOOKUP($A3061,Load!$B:$B,Load!H:H,0,)</f>
        <v>0</v>
      </c>
      <c r="H3061">
        <f>_xlfn.XLOOKUP($A3061,Load!$B:$B,Load!I:I,0,)</f>
        <v>0</v>
      </c>
      <c r="I3061">
        <f>_xlfn.XLOOKUP($A3061,Load!$B:$B,Load!J:J,0,)</f>
        <v>0</v>
      </c>
      <c r="J3061">
        <f>_xlfn.XLOOKUP($A3061,Load!$B:$B,Load!K:K,0,)</f>
        <v>0</v>
      </c>
      <c r="K3061">
        <f>_xlfn.XLOOKUP($A3061,Load!$B:$B,Load!L:L,0,)</f>
        <v>0</v>
      </c>
      <c r="L3061">
        <f>_xlfn.XLOOKUP($A3061,Load!$B:$B,Load!M:M,0,)</f>
        <v>0</v>
      </c>
    </row>
    <row r="3062" spans="1:12" x14ac:dyDescent="0.25">
      <c r="B3062">
        <f>_xlfn.XLOOKUP($A3062,Load!$B:$B,Load!C:C,0,)</f>
        <v>0</v>
      </c>
      <c r="C3062">
        <f>_xlfn.XLOOKUP($A3062,Load!$B:$B,Load!D:D,0,)</f>
        <v>0</v>
      </c>
      <c r="D3062">
        <f>_xlfn.XLOOKUP($A3062,Load!$B:$B,Load!E:E,0,)</f>
        <v>0</v>
      </c>
      <c r="E3062">
        <f>_xlfn.XLOOKUP($A3062,Load!$B:$B,Load!F:F,0,)</f>
        <v>0</v>
      </c>
      <c r="F3062">
        <f>_xlfn.XLOOKUP($A3062,Load!$B:$B,Load!G:G,0,)</f>
        <v>0</v>
      </c>
      <c r="G3062">
        <f>_xlfn.XLOOKUP($A3062,Load!$B:$B,Load!H:H,0,)</f>
        <v>0</v>
      </c>
      <c r="H3062">
        <f>_xlfn.XLOOKUP($A3062,Load!$B:$B,Load!I:I,0,)</f>
        <v>0</v>
      </c>
      <c r="I3062">
        <f>_xlfn.XLOOKUP($A3062,Load!$B:$B,Load!J:J,0,)</f>
        <v>0</v>
      </c>
      <c r="J3062">
        <f>_xlfn.XLOOKUP($A3062,Load!$B:$B,Load!K:K,0,)</f>
        <v>0</v>
      </c>
      <c r="K3062">
        <f>_xlfn.XLOOKUP($A3062,Load!$B:$B,Load!L:L,0,)</f>
        <v>0</v>
      </c>
      <c r="L3062">
        <f>_xlfn.XLOOKUP($A3062,Load!$B:$B,Load!M:M,0,)</f>
        <v>0</v>
      </c>
    </row>
    <row r="3063" spans="1:12" x14ac:dyDescent="0.25">
      <c r="B3063">
        <f>_xlfn.XLOOKUP($A3063,Load!$B:$B,Load!C:C,0,)</f>
        <v>0</v>
      </c>
      <c r="C3063">
        <f>_xlfn.XLOOKUP($A3063,Load!$B:$B,Load!D:D,0,)</f>
        <v>0</v>
      </c>
      <c r="D3063">
        <f>_xlfn.XLOOKUP($A3063,Load!$B:$B,Load!E:E,0,)</f>
        <v>0</v>
      </c>
      <c r="E3063">
        <f>_xlfn.XLOOKUP($A3063,Load!$B:$B,Load!F:F,0,)</f>
        <v>0</v>
      </c>
      <c r="F3063">
        <f>_xlfn.XLOOKUP($A3063,Load!$B:$B,Load!G:G,0,)</f>
        <v>0</v>
      </c>
      <c r="G3063">
        <f>_xlfn.XLOOKUP($A3063,Load!$B:$B,Load!H:H,0,)</f>
        <v>0</v>
      </c>
      <c r="H3063">
        <f>_xlfn.XLOOKUP($A3063,Load!$B:$B,Load!I:I,0,)</f>
        <v>0</v>
      </c>
      <c r="I3063">
        <f>_xlfn.XLOOKUP($A3063,Load!$B:$B,Load!J:J,0,)</f>
        <v>0</v>
      </c>
      <c r="J3063">
        <f>_xlfn.XLOOKUP($A3063,Load!$B:$B,Load!K:K,0,)</f>
        <v>0</v>
      </c>
      <c r="K3063">
        <f>_xlfn.XLOOKUP($A3063,Load!$B:$B,Load!L:L,0,)</f>
        <v>0</v>
      </c>
      <c r="L3063">
        <f>_xlfn.XLOOKUP($A3063,Load!$B:$B,Load!M:M,0,)</f>
        <v>0</v>
      </c>
    </row>
    <row r="3064" spans="1:12" x14ac:dyDescent="0.25">
      <c r="A3064" t="s">
        <v>66</v>
      </c>
      <c r="B3064" t="str">
        <f>_xlfn.XLOOKUP($A3064,Load!$B:$B,Load!C:C,0,)</f>
        <v>Dots</v>
      </c>
      <c r="C3064" t="str">
        <f>_xlfn.XLOOKUP($A3064,Load!$B:$B,Load!D:D,0,)</f>
        <v>Non-Chocolate Candy Only</v>
      </c>
      <c r="D3064" t="str">
        <f>_xlfn.XLOOKUP($A3064,Load!$B:$B,Load!E:E,0,)</f>
        <v>Variety / Mixed Flavors (Fruity, Sour, Seasonal Flavors)</v>
      </c>
      <c r="E3064" t="str">
        <f>_xlfn.XLOOKUP($A3064,Load!$B:$B,Load!F:F,0,)</f>
        <v>Candy Pieces / Bites</v>
      </c>
      <c r="F3064" t="str">
        <f>_xlfn.XLOOKUP($A3064,Load!$B:$B,Load!G:G,0,)</f>
        <v>Small Multipack (Less than 40 ct)</v>
      </c>
      <c r="G3064" t="str">
        <f>_xlfn.XLOOKUP($A3064,Load!$B:$B,Load!H:H,0,)</f>
        <v>Stand-Up Bag</v>
      </c>
      <c r="H3064" t="str">
        <f>_xlfn.XLOOKUP($A3064,Load!$B:$B,Load!I:I,0,)</f>
        <v>Seasonal Shapes (like pumpkins, candy corn, ghost, bats, etc.)</v>
      </c>
      <c r="I3064" t="str">
        <f>_xlfn.XLOOKUP($A3064,Load!$B:$B,Load!J:J,0,)</f>
        <v>Seasonal Graphics (Like Bat, Ghost, Pumpkin, Fall Leaves, Eyeballs, etc.)</v>
      </c>
      <c r="J3064" t="str">
        <f>_xlfn.XLOOKUP($A3064,Load!$B:$B,Load!K:K,0,)</f>
        <v>Fun Size / Treat Size</v>
      </c>
      <c r="K3064" t="str">
        <f>_xlfn.XLOOKUP($A3064,Load!$B:$B,Load!L:L,0,)</f>
        <v>Regular/Original Wrapping</v>
      </c>
      <c r="L3064" t="str">
        <f>_xlfn.XLOOKUP($A3064,Load!$B:$B,Load!M:M,0,)</f>
        <v>Single Brand / Variety Flavors or Form</v>
      </c>
    </row>
    <row r="3065" spans="1:12" x14ac:dyDescent="0.25">
      <c r="B3065">
        <f>_xlfn.XLOOKUP($A3065,Load!$B:$B,Load!C:C,0,)</f>
        <v>0</v>
      </c>
      <c r="C3065">
        <f>_xlfn.XLOOKUP($A3065,Load!$B:$B,Load!D:D,0,)</f>
        <v>0</v>
      </c>
      <c r="D3065">
        <f>_xlfn.XLOOKUP($A3065,Load!$B:$B,Load!E:E,0,)</f>
        <v>0</v>
      </c>
      <c r="E3065">
        <f>_xlfn.XLOOKUP($A3065,Load!$B:$B,Load!F:F,0,)</f>
        <v>0</v>
      </c>
      <c r="F3065">
        <f>_xlfn.XLOOKUP($A3065,Load!$B:$B,Load!G:G,0,)</f>
        <v>0</v>
      </c>
      <c r="G3065">
        <f>_xlfn.XLOOKUP($A3065,Load!$B:$B,Load!H:H,0,)</f>
        <v>0</v>
      </c>
      <c r="H3065">
        <f>_xlfn.XLOOKUP($A3065,Load!$B:$B,Load!I:I,0,)</f>
        <v>0</v>
      </c>
      <c r="I3065">
        <f>_xlfn.XLOOKUP($A3065,Load!$B:$B,Load!J:J,0,)</f>
        <v>0</v>
      </c>
      <c r="J3065">
        <f>_xlfn.XLOOKUP($A3065,Load!$B:$B,Load!K:K,0,)</f>
        <v>0</v>
      </c>
      <c r="K3065">
        <f>_xlfn.XLOOKUP($A3065,Load!$B:$B,Load!L:L,0,)</f>
        <v>0</v>
      </c>
      <c r="L3065">
        <f>_xlfn.XLOOKUP($A3065,Load!$B:$B,Load!M:M,0,)</f>
        <v>0</v>
      </c>
    </row>
    <row r="3066" spans="1:12" x14ac:dyDescent="0.25">
      <c r="B3066">
        <f>_xlfn.XLOOKUP($A3066,Load!$B:$B,Load!C:C,0,)</f>
        <v>0</v>
      </c>
      <c r="C3066">
        <f>_xlfn.XLOOKUP($A3066,Load!$B:$B,Load!D:D,0,)</f>
        <v>0</v>
      </c>
      <c r="D3066">
        <f>_xlfn.XLOOKUP($A3066,Load!$B:$B,Load!E:E,0,)</f>
        <v>0</v>
      </c>
      <c r="E3066">
        <f>_xlfn.XLOOKUP($A3066,Load!$B:$B,Load!F:F,0,)</f>
        <v>0</v>
      </c>
      <c r="F3066">
        <f>_xlfn.XLOOKUP($A3066,Load!$B:$B,Load!G:G,0,)</f>
        <v>0</v>
      </c>
      <c r="G3066">
        <f>_xlfn.XLOOKUP($A3066,Load!$B:$B,Load!H:H,0,)</f>
        <v>0</v>
      </c>
      <c r="H3066">
        <f>_xlfn.XLOOKUP($A3066,Load!$B:$B,Load!I:I,0,)</f>
        <v>0</v>
      </c>
      <c r="I3066">
        <f>_xlfn.XLOOKUP($A3066,Load!$B:$B,Load!J:J,0,)</f>
        <v>0</v>
      </c>
      <c r="J3066">
        <f>_xlfn.XLOOKUP($A3066,Load!$B:$B,Load!K:K,0,)</f>
        <v>0</v>
      </c>
      <c r="K3066">
        <f>_xlfn.XLOOKUP($A3066,Load!$B:$B,Load!L:L,0,)</f>
        <v>0</v>
      </c>
      <c r="L3066">
        <f>_xlfn.XLOOKUP($A3066,Load!$B:$B,Load!M:M,0,)</f>
        <v>0</v>
      </c>
    </row>
    <row r="3067" spans="1:12" x14ac:dyDescent="0.25">
      <c r="B3067">
        <f>_xlfn.XLOOKUP($A3067,Load!$B:$B,Load!C:C,0,)</f>
        <v>0</v>
      </c>
      <c r="C3067">
        <f>_xlfn.XLOOKUP($A3067,Load!$B:$B,Load!D:D,0,)</f>
        <v>0</v>
      </c>
      <c r="D3067">
        <f>_xlfn.XLOOKUP($A3067,Load!$B:$B,Load!E:E,0,)</f>
        <v>0</v>
      </c>
      <c r="E3067">
        <f>_xlfn.XLOOKUP($A3067,Load!$B:$B,Load!F:F,0,)</f>
        <v>0</v>
      </c>
      <c r="F3067">
        <f>_xlfn.XLOOKUP($A3067,Load!$B:$B,Load!G:G,0,)</f>
        <v>0</v>
      </c>
      <c r="G3067">
        <f>_xlfn.XLOOKUP($A3067,Load!$B:$B,Load!H:H,0,)</f>
        <v>0</v>
      </c>
      <c r="H3067">
        <f>_xlfn.XLOOKUP($A3067,Load!$B:$B,Load!I:I,0,)</f>
        <v>0</v>
      </c>
      <c r="I3067">
        <f>_xlfn.XLOOKUP($A3067,Load!$B:$B,Load!J:J,0,)</f>
        <v>0</v>
      </c>
      <c r="J3067">
        <f>_xlfn.XLOOKUP($A3067,Load!$B:$B,Load!K:K,0,)</f>
        <v>0</v>
      </c>
      <c r="K3067">
        <f>_xlfn.XLOOKUP($A3067,Load!$B:$B,Load!L:L,0,)</f>
        <v>0</v>
      </c>
      <c r="L3067">
        <f>_xlfn.XLOOKUP($A3067,Load!$B:$B,Load!M:M,0,)</f>
        <v>0</v>
      </c>
    </row>
    <row r="3068" spans="1:12" x14ac:dyDescent="0.25">
      <c r="A3068" t="s">
        <v>170</v>
      </c>
      <c r="B3068" t="str">
        <f>_xlfn.XLOOKUP($A3068,Load!$B:$B,Load!C:C,0,)</f>
        <v>Laffy Taffy</v>
      </c>
      <c r="C3068" t="str">
        <f>_xlfn.XLOOKUP($A3068,Load!$B:$B,Load!D:D,0,)</f>
        <v>Non-Chocolate Candy Only</v>
      </c>
      <c r="D3068" t="str">
        <f>_xlfn.XLOOKUP($A3068,Load!$B:$B,Load!E:E,0,)</f>
        <v>Fruit Flavor (Cherry, Grape, Apple, Citrus, Tropical Fruit)</v>
      </c>
      <c r="E3068" t="str">
        <f>_xlfn.XLOOKUP($A3068,Load!$B:$B,Load!F:F,0,)</f>
        <v>Taffy</v>
      </c>
      <c r="F3068" t="str">
        <f>_xlfn.XLOOKUP($A3068,Load!$B:$B,Load!G:G,0,)</f>
        <v>Large Multipack (More than 80 ct)</v>
      </c>
      <c r="G3068" t="str">
        <f>_xlfn.XLOOKUP($A3068,Load!$B:$B,Load!H:H,0,)</f>
        <v>Stand-Up Bag</v>
      </c>
      <c r="H3068" t="str">
        <f>_xlfn.XLOOKUP($A3068,Load!$B:$B,Load!I:I,0,)</f>
        <v>Everyday Candy Shapes (like Original, Gummy bear, Fruit, Jewels, etc.)</v>
      </c>
      <c r="I3068" t="str">
        <f>_xlfn.XLOOKUP($A3068,Load!$B:$B,Load!J:J,0,)</f>
        <v>Everyday Graphics</v>
      </c>
      <c r="J3068" t="str">
        <f>_xlfn.XLOOKUP($A3068,Load!$B:$B,Load!K:K,0,)</f>
        <v>Fun Size / Treat Size</v>
      </c>
      <c r="K3068" t="str">
        <f>_xlfn.XLOOKUP($A3068,Load!$B:$B,Load!L:L,0,)</f>
        <v>Regular/Original Wrapping</v>
      </c>
      <c r="L3068" t="str">
        <f>_xlfn.XLOOKUP($A3068,Load!$B:$B,Load!M:M,0,)</f>
        <v>Single Brand / Variety Flavors or Form</v>
      </c>
    </row>
    <row r="3069" spans="1:12" x14ac:dyDescent="0.25">
      <c r="A3069" t="s">
        <v>265</v>
      </c>
      <c r="B3069" t="str">
        <f>_xlfn.XLOOKUP($A3069,Load!$B:$B,Load!C:C,0,)</f>
        <v>Smarties</v>
      </c>
      <c r="C3069" t="str">
        <f>_xlfn.XLOOKUP($A3069,Load!$B:$B,Load!D:D,0,)</f>
        <v>Non-Chocolate Candy Only</v>
      </c>
      <c r="D3069" t="str">
        <f>_xlfn.XLOOKUP($A3069,Load!$B:$B,Load!E:E,0,)</f>
        <v>Fruit Flavor (Cherry, Grape, Apple, Citrus, Tropical Fruit)</v>
      </c>
      <c r="E3069" t="str">
        <f>_xlfn.XLOOKUP($A3069,Load!$B:$B,Load!F:F,0,)</f>
        <v>Powder / Chalky</v>
      </c>
      <c r="F3069" t="str">
        <f>_xlfn.XLOOKUP($A3069,Load!$B:$B,Load!G:G,0,)</f>
        <v>Large Multipack (More than 80 ct)</v>
      </c>
      <c r="G3069" t="str">
        <f>_xlfn.XLOOKUP($A3069,Load!$B:$B,Load!H:H,0,)</f>
        <v>Laydown Bag</v>
      </c>
      <c r="H3069" t="str">
        <f>_xlfn.XLOOKUP($A3069,Load!$B:$B,Load!I:I,0,)</f>
        <v>Seasonal Shapes (like pumpkins, candy corn, ghost, bats, etc.)</v>
      </c>
      <c r="I3069" t="str">
        <f>_xlfn.XLOOKUP($A3069,Load!$B:$B,Load!J:J,0,)</f>
        <v>Seasonal Graphics (Like Bat, Ghost, Pumpkin, Fall Leaves, Eyeballs, etc.)</v>
      </c>
      <c r="J3069" t="str">
        <f>_xlfn.XLOOKUP($A3069,Load!$B:$B,Load!K:K,0,)</f>
        <v>Small Pieces (Tiny bite size candies)</v>
      </c>
      <c r="K3069" t="str">
        <f>_xlfn.XLOOKUP($A3069,Load!$B:$B,Load!L:L,0,)</f>
        <v>Regular/Original Wrapping</v>
      </c>
      <c r="L3069" t="str">
        <f>_xlfn.XLOOKUP($A3069,Load!$B:$B,Load!M:M,0,)</f>
        <v>Single Brand / Single Flavor or Form</v>
      </c>
    </row>
    <row r="3070" spans="1:12" x14ac:dyDescent="0.25">
      <c r="B3070">
        <f>_xlfn.XLOOKUP($A3070,Load!$B:$B,Load!C:C,0,)</f>
        <v>0</v>
      </c>
      <c r="C3070">
        <f>_xlfn.XLOOKUP($A3070,Load!$B:$B,Load!D:D,0,)</f>
        <v>0</v>
      </c>
      <c r="D3070">
        <f>_xlfn.XLOOKUP($A3070,Load!$B:$B,Load!E:E,0,)</f>
        <v>0</v>
      </c>
      <c r="E3070">
        <f>_xlfn.XLOOKUP($A3070,Load!$B:$B,Load!F:F,0,)</f>
        <v>0</v>
      </c>
      <c r="F3070">
        <f>_xlfn.XLOOKUP($A3070,Load!$B:$B,Load!G:G,0,)</f>
        <v>0</v>
      </c>
      <c r="G3070">
        <f>_xlfn.XLOOKUP($A3070,Load!$B:$B,Load!H:H,0,)</f>
        <v>0</v>
      </c>
      <c r="H3070">
        <f>_xlfn.XLOOKUP($A3070,Load!$B:$B,Load!I:I,0,)</f>
        <v>0</v>
      </c>
      <c r="I3070">
        <f>_xlfn.XLOOKUP($A3070,Load!$B:$B,Load!J:J,0,)</f>
        <v>0</v>
      </c>
      <c r="J3070">
        <f>_xlfn.XLOOKUP($A3070,Load!$B:$B,Load!K:K,0,)</f>
        <v>0</v>
      </c>
      <c r="K3070">
        <f>_xlfn.XLOOKUP($A3070,Load!$B:$B,Load!L:L,0,)</f>
        <v>0</v>
      </c>
      <c r="L3070">
        <f>_xlfn.XLOOKUP($A3070,Load!$B:$B,Load!M:M,0,)</f>
        <v>0</v>
      </c>
    </row>
    <row r="3071" spans="1:12" x14ac:dyDescent="0.25">
      <c r="B3071">
        <f>_xlfn.XLOOKUP($A3071,Load!$B:$B,Load!C:C,0,)</f>
        <v>0</v>
      </c>
      <c r="C3071">
        <f>_xlfn.XLOOKUP($A3071,Load!$B:$B,Load!D:D,0,)</f>
        <v>0</v>
      </c>
      <c r="D3071">
        <f>_xlfn.XLOOKUP($A3071,Load!$B:$B,Load!E:E,0,)</f>
        <v>0</v>
      </c>
      <c r="E3071">
        <f>_xlfn.XLOOKUP($A3071,Load!$B:$B,Load!F:F,0,)</f>
        <v>0</v>
      </c>
      <c r="F3071">
        <f>_xlfn.XLOOKUP($A3071,Load!$B:$B,Load!G:G,0,)</f>
        <v>0</v>
      </c>
      <c r="G3071">
        <f>_xlfn.XLOOKUP($A3071,Load!$B:$B,Load!H:H,0,)</f>
        <v>0</v>
      </c>
      <c r="H3071">
        <f>_xlfn.XLOOKUP($A3071,Load!$B:$B,Load!I:I,0,)</f>
        <v>0</v>
      </c>
      <c r="I3071">
        <f>_xlfn.XLOOKUP($A3071,Load!$B:$B,Load!J:J,0,)</f>
        <v>0</v>
      </c>
      <c r="J3071">
        <f>_xlfn.XLOOKUP($A3071,Load!$B:$B,Load!K:K,0,)</f>
        <v>0</v>
      </c>
      <c r="K3071">
        <f>_xlfn.XLOOKUP($A3071,Load!$B:$B,Load!L:L,0,)</f>
        <v>0</v>
      </c>
      <c r="L3071">
        <f>_xlfn.XLOOKUP($A3071,Load!$B:$B,Load!M:M,0,)</f>
        <v>0</v>
      </c>
    </row>
    <row r="3072" spans="1:12" x14ac:dyDescent="0.25">
      <c r="B3072">
        <f>_xlfn.XLOOKUP($A3072,Load!$B:$B,Load!C:C,0,)</f>
        <v>0</v>
      </c>
      <c r="C3072">
        <f>_xlfn.XLOOKUP($A3072,Load!$B:$B,Load!D:D,0,)</f>
        <v>0</v>
      </c>
      <c r="D3072">
        <f>_xlfn.XLOOKUP($A3072,Load!$B:$B,Load!E:E,0,)</f>
        <v>0</v>
      </c>
      <c r="E3072">
        <f>_xlfn.XLOOKUP($A3072,Load!$B:$B,Load!F:F,0,)</f>
        <v>0</v>
      </c>
      <c r="F3072">
        <f>_xlfn.XLOOKUP($A3072,Load!$B:$B,Load!G:G,0,)</f>
        <v>0</v>
      </c>
      <c r="G3072">
        <f>_xlfn.XLOOKUP($A3072,Load!$B:$B,Load!H:H,0,)</f>
        <v>0</v>
      </c>
      <c r="H3072">
        <f>_xlfn.XLOOKUP($A3072,Load!$B:$B,Load!I:I,0,)</f>
        <v>0</v>
      </c>
      <c r="I3072">
        <f>_xlfn.XLOOKUP($A3072,Load!$B:$B,Load!J:J,0,)</f>
        <v>0</v>
      </c>
      <c r="J3072">
        <f>_xlfn.XLOOKUP($A3072,Load!$B:$B,Load!K:K,0,)</f>
        <v>0</v>
      </c>
      <c r="K3072">
        <f>_xlfn.XLOOKUP($A3072,Load!$B:$B,Load!L:L,0,)</f>
        <v>0</v>
      </c>
      <c r="L3072">
        <f>_xlfn.XLOOKUP($A3072,Load!$B:$B,Load!M:M,0,)</f>
        <v>0</v>
      </c>
    </row>
    <row r="3073" spans="1:12" x14ac:dyDescent="0.25">
      <c r="B3073">
        <f>_xlfn.XLOOKUP($A3073,Load!$B:$B,Load!C:C,0,)</f>
        <v>0</v>
      </c>
      <c r="C3073">
        <f>_xlfn.XLOOKUP($A3073,Load!$B:$B,Load!D:D,0,)</f>
        <v>0</v>
      </c>
      <c r="D3073">
        <f>_xlfn.XLOOKUP($A3073,Load!$B:$B,Load!E:E,0,)</f>
        <v>0</v>
      </c>
      <c r="E3073">
        <f>_xlfn.XLOOKUP($A3073,Load!$B:$B,Load!F:F,0,)</f>
        <v>0</v>
      </c>
      <c r="F3073">
        <f>_xlfn.XLOOKUP($A3073,Load!$B:$B,Load!G:G,0,)</f>
        <v>0</v>
      </c>
      <c r="G3073">
        <f>_xlfn.XLOOKUP($A3073,Load!$B:$B,Load!H:H,0,)</f>
        <v>0</v>
      </c>
      <c r="H3073">
        <f>_xlfn.XLOOKUP($A3073,Load!$B:$B,Load!I:I,0,)</f>
        <v>0</v>
      </c>
      <c r="I3073">
        <f>_xlfn.XLOOKUP($A3073,Load!$B:$B,Load!J:J,0,)</f>
        <v>0</v>
      </c>
      <c r="J3073">
        <f>_xlfn.XLOOKUP($A3073,Load!$B:$B,Load!K:K,0,)</f>
        <v>0</v>
      </c>
      <c r="K3073">
        <f>_xlfn.XLOOKUP($A3073,Load!$B:$B,Load!L:L,0,)</f>
        <v>0</v>
      </c>
      <c r="L3073">
        <f>_xlfn.XLOOKUP($A3073,Load!$B:$B,Load!M:M,0,)</f>
        <v>0</v>
      </c>
    </row>
    <row r="3074" spans="1:12" x14ac:dyDescent="0.25">
      <c r="B3074">
        <f>_xlfn.XLOOKUP($A3074,Load!$B:$B,Load!C:C,0,)</f>
        <v>0</v>
      </c>
      <c r="C3074">
        <f>_xlfn.XLOOKUP($A3074,Load!$B:$B,Load!D:D,0,)</f>
        <v>0</v>
      </c>
      <c r="D3074">
        <f>_xlfn.XLOOKUP($A3074,Load!$B:$B,Load!E:E,0,)</f>
        <v>0</v>
      </c>
      <c r="E3074">
        <f>_xlfn.XLOOKUP($A3074,Load!$B:$B,Load!F:F,0,)</f>
        <v>0</v>
      </c>
      <c r="F3074">
        <f>_xlfn.XLOOKUP($A3074,Load!$B:$B,Load!G:G,0,)</f>
        <v>0</v>
      </c>
      <c r="G3074">
        <f>_xlfn.XLOOKUP($A3074,Load!$B:$B,Load!H:H,0,)</f>
        <v>0</v>
      </c>
      <c r="H3074">
        <f>_xlfn.XLOOKUP($A3074,Load!$B:$B,Load!I:I,0,)</f>
        <v>0</v>
      </c>
      <c r="I3074">
        <f>_xlfn.XLOOKUP($A3074,Load!$B:$B,Load!J:J,0,)</f>
        <v>0</v>
      </c>
      <c r="J3074">
        <f>_xlfn.XLOOKUP($A3074,Load!$B:$B,Load!K:K,0,)</f>
        <v>0</v>
      </c>
      <c r="K3074">
        <f>_xlfn.XLOOKUP($A3074,Load!$B:$B,Load!L:L,0,)</f>
        <v>0</v>
      </c>
      <c r="L3074">
        <f>_xlfn.XLOOKUP($A3074,Load!$B:$B,Load!M:M,0,)</f>
        <v>0</v>
      </c>
    </row>
    <row r="3075" spans="1:12" x14ac:dyDescent="0.25">
      <c r="B3075">
        <f>_xlfn.XLOOKUP($A3075,Load!$B:$B,Load!C:C,0,)</f>
        <v>0</v>
      </c>
      <c r="C3075">
        <f>_xlfn.XLOOKUP($A3075,Load!$B:$B,Load!D:D,0,)</f>
        <v>0</v>
      </c>
      <c r="D3075">
        <f>_xlfn.XLOOKUP($A3075,Load!$B:$B,Load!E:E,0,)</f>
        <v>0</v>
      </c>
      <c r="E3075">
        <f>_xlfn.XLOOKUP($A3075,Load!$B:$B,Load!F:F,0,)</f>
        <v>0</v>
      </c>
      <c r="F3075">
        <f>_xlfn.XLOOKUP($A3075,Load!$B:$B,Load!G:G,0,)</f>
        <v>0</v>
      </c>
      <c r="G3075">
        <f>_xlfn.XLOOKUP($A3075,Load!$B:$B,Load!H:H,0,)</f>
        <v>0</v>
      </c>
      <c r="H3075">
        <f>_xlfn.XLOOKUP($A3075,Load!$B:$B,Load!I:I,0,)</f>
        <v>0</v>
      </c>
      <c r="I3075">
        <f>_xlfn.XLOOKUP($A3075,Load!$B:$B,Load!J:J,0,)</f>
        <v>0</v>
      </c>
      <c r="J3075">
        <f>_xlfn.XLOOKUP($A3075,Load!$B:$B,Load!K:K,0,)</f>
        <v>0</v>
      </c>
      <c r="K3075">
        <f>_xlfn.XLOOKUP($A3075,Load!$B:$B,Load!L:L,0,)</f>
        <v>0</v>
      </c>
      <c r="L3075">
        <f>_xlfn.XLOOKUP($A3075,Load!$B:$B,Load!M:M,0,)</f>
        <v>0</v>
      </c>
    </row>
    <row r="3076" spans="1:12" x14ac:dyDescent="0.25">
      <c r="A3076" t="s">
        <v>133</v>
      </c>
      <c r="B3076" t="str">
        <f>_xlfn.XLOOKUP($A3076,Load!$B:$B,Load!C:C,0,)</f>
        <v>Hershey's</v>
      </c>
      <c r="C3076" t="str">
        <f>_xlfn.XLOOKUP($A3076,Load!$B:$B,Load!D:D,0,)</f>
        <v>Non-Chocolate Candy Only</v>
      </c>
      <c r="D3076" t="str">
        <f>_xlfn.XLOOKUP($A3076,Load!$B:$B,Load!E:E,0,)</f>
        <v>Variety / Mixed Flavors (Fruity, Sour, Seasonal Flavors)</v>
      </c>
      <c r="E3076" t="str">
        <f>_xlfn.XLOOKUP($A3076,Load!$B:$B,Load!F:F,0,)</f>
        <v>Mixed / Combo Packs (Gummy, Chewy, Taffy, etc.)</v>
      </c>
      <c r="F3076" t="str">
        <f>_xlfn.XLOOKUP($A3076,Load!$B:$B,Load!G:G,0,)</f>
        <v>Large Multipack (More than 80 ct)</v>
      </c>
      <c r="G3076" t="str">
        <f>_xlfn.XLOOKUP($A3076,Load!$B:$B,Load!H:H,0,)</f>
        <v>Stand-Up Bag</v>
      </c>
      <c r="H3076" t="str">
        <f>_xlfn.XLOOKUP($A3076,Load!$B:$B,Load!I:I,0,)</f>
        <v>Everyday Candy Shapes (like Original, Gummy bear, Fruit, Jewels, etc.)</v>
      </c>
      <c r="I3076" t="str">
        <f>_xlfn.XLOOKUP($A3076,Load!$B:$B,Load!J:J,0,)</f>
        <v>Seasonal Graphics (Like Bat, Ghost, Pumpkin, Fall Leaves, Eyeballs, etc.)</v>
      </c>
      <c r="J3076" t="str">
        <f>_xlfn.XLOOKUP($A3076,Load!$B:$B,Load!K:K,0,)</f>
        <v>Fun Size / Treat Size</v>
      </c>
      <c r="K3076" t="str">
        <f>_xlfn.XLOOKUP($A3076,Load!$B:$B,Load!L:L,0,)</f>
        <v>Regular/Original Wrapping</v>
      </c>
      <c r="L3076" t="str">
        <f>_xlfn.XLOOKUP($A3076,Load!$B:$B,Load!M:M,0,)</f>
        <v>Multiple Brands / Variety Flavors or Form</v>
      </c>
    </row>
    <row r="3077" spans="1:12" x14ac:dyDescent="0.25">
      <c r="B3077">
        <f>_xlfn.XLOOKUP($A3077,Load!$B:$B,Load!C:C,0,)</f>
        <v>0</v>
      </c>
      <c r="C3077">
        <f>_xlfn.XLOOKUP($A3077,Load!$B:$B,Load!D:D,0,)</f>
        <v>0</v>
      </c>
      <c r="D3077">
        <f>_xlfn.XLOOKUP($A3077,Load!$B:$B,Load!E:E,0,)</f>
        <v>0</v>
      </c>
      <c r="E3077">
        <f>_xlfn.XLOOKUP($A3077,Load!$B:$B,Load!F:F,0,)</f>
        <v>0</v>
      </c>
      <c r="F3077">
        <f>_xlfn.XLOOKUP($A3077,Load!$B:$B,Load!G:G,0,)</f>
        <v>0</v>
      </c>
      <c r="G3077">
        <f>_xlfn.XLOOKUP($A3077,Load!$B:$B,Load!H:H,0,)</f>
        <v>0</v>
      </c>
      <c r="H3077">
        <f>_xlfn.XLOOKUP($A3077,Load!$B:$B,Load!I:I,0,)</f>
        <v>0</v>
      </c>
      <c r="I3077">
        <f>_xlfn.XLOOKUP($A3077,Load!$B:$B,Load!J:J,0,)</f>
        <v>0</v>
      </c>
      <c r="J3077">
        <f>_xlfn.XLOOKUP($A3077,Load!$B:$B,Load!K:K,0,)</f>
        <v>0</v>
      </c>
      <c r="K3077">
        <f>_xlfn.XLOOKUP($A3077,Load!$B:$B,Load!L:L,0,)</f>
        <v>0</v>
      </c>
      <c r="L3077">
        <f>_xlfn.XLOOKUP($A3077,Load!$B:$B,Load!M:M,0,)</f>
        <v>0</v>
      </c>
    </row>
    <row r="3078" spans="1:12" x14ac:dyDescent="0.25">
      <c r="A3078" t="s">
        <v>4</v>
      </c>
      <c r="B3078" t="str">
        <f>_xlfn.XLOOKUP($A3078,Load!$B:$B,Load!C:C,0,)</f>
        <v>Airheads</v>
      </c>
      <c r="C3078" t="str">
        <f>_xlfn.XLOOKUP($A3078,Load!$B:$B,Load!D:D,0,)</f>
        <v>Non-Chocolate Candy Only</v>
      </c>
      <c r="D3078" t="str">
        <f>_xlfn.XLOOKUP($A3078,Load!$B:$B,Load!E:E,0,)</f>
        <v>Variety / Mixed Flavors (Fruity, Sour, Seasonal Flavors)</v>
      </c>
      <c r="E3078" t="str">
        <f>_xlfn.XLOOKUP($A3078,Load!$B:$B,Load!F:F,0,)</f>
        <v>Chewy</v>
      </c>
      <c r="F3078" t="str">
        <f>_xlfn.XLOOKUP($A3078,Load!$B:$B,Load!G:G,0,)</f>
        <v>Large Multipack (More than 80 ct)</v>
      </c>
      <c r="G3078" t="str">
        <f>_xlfn.XLOOKUP($A3078,Load!$B:$B,Load!H:H,0,)</f>
        <v>Box (theatre box, gift box, carton)</v>
      </c>
      <c r="H3078" t="str">
        <f>_xlfn.XLOOKUP($A3078,Load!$B:$B,Load!I:I,0,)</f>
        <v>Everyday Candy Shapes (like Original, Gummy bear, Fruit, Jewels, etc.)</v>
      </c>
      <c r="I3078" t="str">
        <f>_xlfn.XLOOKUP($A3078,Load!$B:$B,Load!J:J,0,)</f>
        <v>Seasonal Graphics (Like Bat, Ghost, Pumpkin, Fall Leaves, Eyeballs, etc.)</v>
      </c>
      <c r="J3078" t="str">
        <f>_xlfn.XLOOKUP($A3078,Load!$B:$B,Load!K:K,0,)</f>
        <v>Fun Size / Treat Size</v>
      </c>
      <c r="K3078" t="str">
        <f>_xlfn.XLOOKUP($A3078,Load!$B:$B,Load!L:L,0,)</f>
        <v>Regular/Original Wrapping</v>
      </c>
      <c r="L3078" t="str">
        <f>_xlfn.XLOOKUP($A3078,Load!$B:$B,Load!M:M,0,)</f>
        <v>Single Brand / Variety Flavors or Form</v>
      </c>
    </row>
    <row r="3079" spans="1:12" x14ac:dyDescent="0.25">
      <c r="B3079">
        <f>_xlfn.XLOOKUP($A3079,Load!$B:$B,Load!C:C,0,)</f>
        <v>0</v>
      </c>
      <c r="C3079">
        <f>_xlfn.XLOOKUP($A3079,Load!$B:$B,Load!D:D,0,)</f>
        <v>0</v>
      </c>
      <c r="D3079">
        <f>_xlfn.XLOOKUP($A3079,Load!$B:$B,Load!E:E,0,)</f>
        <v>0</v>
      </c>
      <c r="E3079">
        <f>_xlfn.XLOOKUP($A3079,Load!$B:$B,Load!F:F,0,)</f>
        <v>0</v>
      </c>
      <c r="F3079">
        <f>_xlfn.XLOOKUP($A3079,Load!$B:$B,Load!G:G,0,)</f>
        <v>0</v>
      </c>
      <c r="G3079">
        <f>_xlfn.XLOOKUP($A3079,Load!$B:$B,Load!H:H,0,)</f>
        <v>0</v>
      </c>
      <c r="H3079">
        <f>_xlfn.XLOOKUP($A3079,Load!$B:$B,Load!I:I,0,)</f>
        <v>0</v>
      </c>
      <c r="I3079">
        <f>_xlfn.XLOOKUP($A3079,Load!$B:$B,Load!J:J,0,)</f>
        <v>0</v>
      </c>
      <c r="J3079">
        <f>_xlfn.XLOOKUP($A3079,Load!$B:$B,Load!K:K,0,)</f>
        <v>0</v>
      </c>
      <c r="K3079">
        <f>_xlfn.XLOOKUP($A3079,Load!$B:$B,Load!L:L,0,)</f>
        <v>0</v>
      </c>
      <c r="L3079">
        <f>_xlfn.XLOOKUP($A3079,Load!$B:$B,Load!M:M,0,)</f>
        <v>0</v>
      </c>
    </row>
    <row r="3080" spans="1:12" x14ac:dyDescent="0.25">
      <c r="B3080">
        <f>_xlfn.XLOOKUP($A3080,Load!$B:$B,Load!C:C,0,)</f>
        <v>0</v>
      </c>
      <c r="C3080">
        <f>_xlfn.XLOOKUP($A3080,Load!$B:$B,Load!D:D,0,)</f>
        <v>0</v>
      </c>
      <c r="D3080">
        <f>_xlfn.XLOOKUP($A3080,Load!$B:$B,Load!E:E,0,)</f>
        <v>0</v>
      </c>
      <c r="E3080">
        <f>_xlfn.XLOOKUP($A3080,Load!$B:$B,Load!F:F,0,)</f>
        <v>0</v>
      </c>
      <c r="F3080">
        <f>_xlfn.XLOOKUP($A3080,Load!$B:$B,Load!G:G,0,)</f>
        <v>0</v>
      </c>
      <c r="G3080">
        <f>_xlfn.XLOOKUP($A3080,Load!$B:$B,Load!H:H,0,)</f>
        <v>0</v>
      </c>
      <c r="H3080">
        <f>_xlfn.XLOOKUP($A3080,Load!$B:$B,Load!I:I,0,)</f>
        <v>0</v>
      </c>
      <c r="I3080">
        <f>_xlfn.XLOOKUP($A3080,Load!$B:$B,Load!J:J,0,)</f>
        <v>0</v>
      </c>
      <c r="J3080">
        <f>_xlfn.XLOOKUP($A3080,Load!$B:$B,Load!K:K,0,)</f>
        <v>0</v>
      </c>
      <c r="K3080">
        <f>_xlfn.XLOOKUP($A3080,Load!$B:$B,Load!L:L,0,)</f>
        <v>0</v>
      </c>
      <c r="L3080">
        <f>_xlfn.XLOOKUP($A3080,Load!$B:$B,Load!M:M,0,)</f>
        <v>0</v>
      </c>
    </row>
    <row r="3081" spans="1:12" x14ac:dyDescent="0.25">
      <c r="B3081">
        <f>_xlfn.XLOOKUP($A3081,Load!$B:$B,Load!C:C,0,)</f>
        <v>0</v>
      </c>
      <c r="C3081">
        <f>_xlfn.XLOOKUP($A3081,Load!$B:$B,Load!D:D,0,)</f>
        <v>0</v>
      </c>
      <c r="D3081">
        <f>_xlfn.XLOOKUP($A3081,Load!$B:$B,Load!E:E,0,)</f>
        <v>0</v>
      </c>
      <c r="E3081">
        <f>_xlfn.XLOOKUP($A3081,Load!$B:$B,Load!F:F,0,)</f>
        <v>0</v>
      </c>
      <c r="F3081">
        <f>_xlfn.XLOOKUP($A3081,Load!$B:$B,Load!G:G,0,)</f>
        <v>0</v>
      </c>
      <c r="G3081">
        <f>_xlfn.XLOOKUP($A3081,Load!$B:$B,Load!H:H,0,)</f>
        <v>0</v>
      </c>
      <c r="H3081">
        <f>_xlfn.XLOOKUP($A3081,Load!$B:$B,Load!I:I,0,)</f>
        <v>0</v>
      </c>
      <c r="I3081">
        <f>_xlfn.XLOOKUP($A3081,Load!$B:$B,Load!J:J,0,)</f>
        <v>0</v>
      </c>
      <c r="J3081">
        <f>_xlfn.XLOOKUP($A3081,Load!$B:$B,Load!K:K,0,)</f>
        <v>0</v>
      </c>
      <c r="K3081">
        <f>_xlfn.XLOOKUP($A3081,Load!$B:$B,Load!L:L,0,)</f>
        <v>0</v>
      </c>
      <c r="L3081">
        <f>_xlfn.XLOOKUP($A3081,Load!$B:$B,Load!M:M,0,)</f>
        <v>0</v>
      </c>
    </row>
    <row r="3082" spans="1:12" x14ac:dyDescent="0.25">
      <c r="B3082">
        <f>_xlfn.XLOOKUP($A3082,Load!$B:$B,Load!C:C,0,)</f>
        <v>0</v>
      </c>
      <c r="C3082">
        <f>_xlfn.XLOOKUP($A3082,Load!$B:$B,Load!D:D,0,)</f>
        <v>0</v>
      </c>
      <c r="D3082">
        <f>_xlfn.XLOOKUP($A3082,Load!$B:$B,Load!E:E,0,)</f>
        <v>0</v>
      </c>
      <c r="E3082">
        <f>_xlfn.XLOOKUP($A3082,Load!$B:$B,Load!F:F,0,)</f>
        <v>0</v>
      </c>
      <c r="F3082">
        <f>_xlfn.XLOOKUP($A3082,Load!$B:$B,Load!G:G,0,)</f>
        <v>0</v>
      </c>
      <c r="G3082">
        <f>_xlfn.XLOOKUP($A3082,Load!$B:$B,Load!H:H,0,)</f>
        <v>0</v>
      </c>
      <c r="H3082">
        <f>_xlfn.XLOOKUP($A3082,Load!$B:$B,Load!I:I,0,)</f>
        <v>0</v>
      </c>
      <c r="I3082">
        <f>_xlfn.XLOOKUP($A3082,Load!$B:$B,Load!J:J,0,)</f>
        <v>0</v>
      </c>
      <c r="J3082">
        <f>_xlfn.XLOOKUP($A3082,Load!$B:$B,Load!K:K,0,)</f>
        <v>0</v>
      </c>
      <c r="K3082">
        <f>_xlfn.XLOOKUP($A3082,Load!$B:$B,Load!L:L,0,)</f>
        <v>0</v>
      </c>
      <c r="L3082">
        <f>_xlfn.XLOOKUP($A3082,Load!$B:$B,Load!M:M,0,)</f>
        <v>0</v>
      </c>
    </row>
    <row r="3083" spans="1:12" x14ac:dyDescent="0.25">
      <c r="B3083">
        <f>_xlfn.XLOOKUP($A3083,Load!$B:$B,Load!C:C,0,)</f>
        <v>0</v>
      </c>
      <c r="C3083">
        <f>_xlfn.XLOOKUP($A3083,Load!$B:$B,Load!D:D,0,)</f>
        <v>0</v>
      </c>
      <c r="D3083">
        <f>_xlfn.XLOOKUP($A3083,Load!$B:$B,Load!E:E,0,)</f>
        <v>0</v>
      </c>
      <c r="E3083">
        <f>_xlfn.XLOOKUP($A3083,Load!$B:$B,Load!F:F,0,)</f>
        <v>0</v>
      </c>
      <c r="F3083">
        <f>_xlfn.XLOOKUP($A3083,Load!$B:$B,Load!G:G,0,)</f>
        <v>0</v>
      </c>
      <c r="G3083">
        <f>_xlfn.XLOOKUP($A3083,Load!$B:$B,Load!H:H,0,)</f>
        <v>0</v>
      </c>
      <c r="H3083">
        <f>_xlfn.XLOOKUP($A3083,Load!$B:$B,Load!I:I,0,)</f>
        <v>0</v>
      </c>
      <c r="I3083">
        <f>_xlfn.XLOOKUP($A3083,Load!$B:$B,Load!J:J,0,)</f>
        <v>0</v>
      </c>
      <c r="J3083">
        <f>_xlfn.XLOOKUP($A3083,Load!$B:$B,Load!K:K,0,)</f>
        <v>0</v>
      </c>
      <c r="K3083">
        <f>_xlfn.XLOOKUP($A3083,Load!$B:$B,Load!L:L,0,)</f>
        <v>0</v>
      </c>
      <c r="L3083">
        <f>_xlfn.XLOOKUP($A3083,Load!$B:$B,Load!M:M,0,)</f>
        <v>0</v>
      </c>
    </row>
    <row r="3084" spans="1:12" x14ac:dyDescent="0.25">
      <c r="A3084" t="s">
        <v>123</v>
      </c>
      <c r="B3084" t="str">
        <f>_xlfn.XLOOKUP($A3084,Load!$B:$B,Load!C:C,0,)</f>
        <v>HARIBO</v>
      </c>
      <c r="C3084" t="str">
        <f>_xlfn.XLOOKUP($A3084,Load!$B:$B,Load!D:D,0,)</f>
        <v>Non-Chocolate Candy Only</v>
      </c>
      <c r="D3084" t="str">
        <f>_xlfn.XLOOKUP($A3084,Load!$B:$B,Load!E:E,0,)</f>
        <v>Sour</v>
      </c>
      <c r="E3084" t="str">
        <f>_xlfn.XLOOKUP($A3084,Load!$B:$B,Load!F:F,0,)</f>
        <v>Gummy</v>
      </c>
      <c r="F3084" t="str">
        <f>_xlfn.XLOOKUP($A3084,Load!$B:$B,Load!G:G,0,)</f>
        <v>Single Pack</v>
      </c>
      <c r="G3084" t="str">
        <f>_xlfn.XLOOKUP($A3084,Load!$B:$B,Load!H:H,0,)</f>
        <v>Laydown Bag</v>
      </c>
      <c r="H3084" t="str">
        <f>_xlfn.XLOOKUP($A3084,Load!$B:$B,Load!I:I,0,)</f>
        <v>Seasonal Shapes (like pumpkins, candy corn, ghost, bats, etc.)</v>
      </c>
      <c r="I3084" t="str">
        <f>_xlfn.XLOOKUP($A3084,Load!$B:$B,Load!J:J,0,)</f>
        <v>Seasonal Graphics (Like Bat, Ghost, Pumpkin, Fall Leaves, Eyeballs, etc.)</v>
      </c>
      <c r="J3084" t="str">
        <f>_xlfn.XLOOKUP($A3084,Load!$B:$B,Load!K:K,0,)</f>
        <v>Small Pieces (Tiny bite size candies)</v>
      </c>
      <c r="K3084" t="str">
        <f>_xlfn.XLOOKUP($A3084,Load!$B:$B,Load!L:L,0,)</f>
        <v>Unwrapped</v>
      </c>
      <c r="L3084" t="str">
        <f>_xlfn.XLOOKUP($A3084,Load!$B:$B,Load!M:M,0,)</f>
        <v>Single Brand / Variety Flavors or Form</v>
      </c>
    </row>
    <row r="3085" spans="1:12" x14ac:dyDescent="0.25">
      <c r="B3085">
        <f>_xlfn.XLOOKUP($A3085,Load!$B:$B,Load!C:C,0,)</f>
        <v>0</v>
      </c>
      <c r="C3085">
        <f>_xlfn.XLOOKUP($A3085,Load!$B:$B,Load!D:D,0,)</f>
        <v>0</v>
      </c>
      <c r="D3085">
        <f>_xlfn.XLOOKUP($A3085,Load!$B:$B,Load!E:E,0,)</f>
        <v>0</v>
      </c>
      <c r="E3085">
        <f>_xlfn.XLOOKUP($A3085,Load!$B:$B,Load!F:F,0,)</f>
        <v>0</v>
      </c>
      <c r="F3085">
        <f>_xlfn.XLOOKUP($A3085,Load!$B:$B,Load!G:G,0,)</f>
        <v>0</v>
      </c>
      <c r="G3085">
        <f>_xlfn.XLOOKUP($A3085,Load!$B:$B,Load!H:H,0,)</f>
        <v>0</v>
      </c>
      <c r="H3085">
        <f>_xlfn.XLOOKUP($A3085,Load!$B:$B,Load!I:I,0,)</f>
        <v>0</v>
      </c>
      <c r="I3085">
        <f>_xlfn.XLOOKUP($A3085,Load!$B:$B,Load!J:J,0,)</f>
        <v>0</v>
      </c>
      <c r="J3085">
        <f>_xlfn.XLOOKUP($A3085,Load!$B:$B,Load!K:K,0,)</f>
        <v>0</v>
      </c>
      <c r="K3085">
        <f>_xlfn.XLOOKUP($A3085,Load!$B:$B,Load!L:L,0,)</f>
        <v>0</v>
      </c>
      <c r="L3085">
        <f>_xlfn.XLOOKUP($A3085,Load!$B:$B,Load!M:M,0,)</f>
        <v>0</v>
      </c>
    </row>
    <row r="3086" spans="1:12" x14ac:dyDescent="0.25">
      <c r="B3086">
        <f>_xlfn.XLOOKUP($A3086,Load!$B:$B,Load!C:C,0,)</f>
        <v>0</v>
      </c>
      <c r="C3086">
        <f>_xlfn.XLOOKUP($A3086,Load!$B:$B,Load!D:D,0,)</f>
        <v>0</v>
      </c>
      <c r="D3086">
        <f>_xlfn.XLOOKUP($A3086,Load!$B:$B,Load!E:E,0,)</f>
        <v>0</v>
      </c>
      <c r="E3086">
        <f>_xlfn.XLOOKUP($A3086,Load!$B:$B,Load!F:F,0,)</f>
        <v>0</v>
      </c>
      <c r="F3086">
        <f>_xlfn.XLOOKUP($A3086,Load!$B:$B,Load!G:G,0,)</f>
        <v>0</v>
      </c>
      <c r="G3086">
        <f>_xlfn.XLOOKUP($A3086,Load!$B:$B,Load!H:H,0,)</f>
        <v>0</v>
      </c>
      <c r="H3086">
        <f>_xlfn.XLOOKUP($A3086,Load!$B:$B,Load!I:I,0,)</f>
        <v>0</v>
      </c>
      <c r="I3086">
        <f>_xlfn.XLOOKUP($A3086,Load!$B:$B,Load!J:J,0,)</f>
        <v>0</v>
      </c>
      <c r="J3086">
        <f>_xlfn.XLOOKUP($A3086,Load!$B:$B,Load!K:K,0,)</f>
        <v>0</v>
      </c>
      <c r="K3086">
        <f>_xlfn.XLOOKUP($A3086,Load!$B:$B,Load!L:L,0,)</f>
        <v>0</v>
      </c>
      <c r="L3086">
        <f>_xlfn.XLOOKUP($A3086,Load!$B:$B,Load!M:M,0,)</f>
        <v>0</v>
      </c>
    </row>
    <row r="3087" spans="1:12" x14ac:dyDescent="0.25">
      <c r="B3087">
        <f>_xlfn.XLOOKUP($A3087,Load!$B:$B,Load!C:C,0,)</f>
        <v>0</v>
      </c>
      <c r="C3087">
        <f>_xlfn.XLOOKUP($A3087,Load!$B:$B,Load!D:D,0,)</f>
        <v>0</v>
      </c>
      <c r="D3087">
        <f>_xlfn.XLOOKUP($A3087,Load!$B:$B,Load!E:E,0,)</f>
        <v>0</v>
      </c>
      <c r="E3087">
        <f>_xlfn.XLOOKUP($A3087,Load!$B:$B,Load!F:F,0,)</f>
        <v>0</v>
      </c>
      <c r="F3087">
        <f>_xlfn.XLOOKUP($A3087,Load!$B:$B,Load!G:G,0,)</f>
        <v>0</v>
      </c>
      <c r="G3087">
        <f>_xlfn.XLOOKUP($A3087,Load!$B:$B,Load!H:H,0,)</f>
        <v>0</v>
      </c>
      <c r="H3087">
        <f>_xlfn.XLOOKUP($A3087,Load!$B:$B,Load!I:I,0,)</f>
        <v>0</v>
      </c>
      <c r="I3087">
        <f>_xlfn.XLOOKUP($A3087,Load!$B:$B,Load!J:J,0,)</f>
        <v>0</v>
      </c>
      <c r="J3087">
        <f>_xlfn.XLOOKUP($A3087,Load!$B:$B,Load!K:K,0,)</f>
        <v>0</v>
      </c>
      <c r="K3087">
        <f>_xlfn.XLOOKUP($A3087,Load!$B:$B,Load!L:L,0,)</f>
        <v>0</v>
      </c>
      <c r="L3087">
        <f>_xlfn.XLOOKUP($A3087,Load!$B:$B,Load!M:M,0,)</f>
        <v>0</v>
      </c>
    </row>
    <row r="3088" spans="1:12" x14ac:dyDescent="0.25">
      <c r="B3088">
        <f>_xlfn.XLOOKUP($A3088,Load!$B:$B,Load!C:C,0,)</f>
        <v>0</v>
      </c>
      <c r="C3088">
        <f>_xlfn.XLOOKUP($A3088,Load!$B:$B,Load!D:D,0,)</f>
        <v>0</v>
      </c>
      <c r="D3088">
        <f>_xlfn.XLOOKUP($A3088,Load!$B:$B,Load!E:E,0,)</f>
        <v>0</v>
      </c>
      <c r="E3088">
        <f>_xlfn.XLOOKUP($A3088,Load!$B:$B,Load!F:F,0,)</f>
        <v>0</v>
      </c>
      <c r="F3088">
        <f>_xlfn.XLOOKUP($A3088,Load!$B:$B,Load!G:G,0,)</f>
        <v>0</v>
      </c>
      <c r="G3088">
        <f>_xlfn.XLOOKUP($A3088,Load!$B:$B,Load!H:H,0,)</f>
        <v>0</v>
      </c>
      <c r="H3088">
        <f>_xlfn.XLOOKUP($A3088,Load!$B:$B,Load!I:I,0,)</f>
        <v>0</v>
      </c>
      <c r="I3088">
        <f>_xlfn.XLOOKUP($A3088,Load!$B:$B,Load!J:J,0,)</f>
        <v>0</v>
      </c>
      <c r="J3088">
        <f>_xlfn.XLOOKUP($A3088,Load!$B:$B,Load!K:K,0,)</f>
        <v>0</v>
      </c>
      <c r="K3088">
        <f>_xlfn.XLOOKUP($A3088,Load!$B:$B,Load!L:L,0,)</f>
        <v>0</v>
      </c>
      <c r="L3088">
        <f>_xlfn.XLOOKUP($A3088,Load!$B:$B,Load!M:M,0,)</f>
        <v>0</v>
      </c>
    </row>
    <row r="3089" spans="1:12" x14ac:dyDescent="0.25">
      <c r="B3089">
        <f>_xlfn.XLOOKUP($A3089,Load!$B:$B,Load!C:C,0,)</f>
        <v>0</v>
      </c>
      <c r="C3089">
        <f>_xlfn.XLOOKUP($A3089,Load!$B:$B,Load!D:D,0,)</f>
        <v>0</v>
      </c>
      <c r="D3089">
        <f>_xlfn.XLOOKUP($A3089,Load!$B:$B,Load!E:E,0,)</f>
        <v>0</v>
      </c>
      <c r="E3089">
        <f>_xlfn.XLOOKUP($A3089,Load!$B:$B,Load!F:F,0,)</f>
        <v>0</v>
      </c>
      <c r="F3089">
        <f>_xlfn.XLOOKUP($A3089,Load!$B:$B,Load!G:G,0,)</f>
        <v>0</v>
      </c>
      <c r="G3089">
        <f>_xlfn.XLOOKUP($A3089,Load!$B:$B,Load!H:H,0,)</f>
        <v>0</v>
      </c>
      <c r="H3089">
        <f>_xlfn.XLOOKUP($A3089,Load!$B:$B,Load!I:I,0,)</f>
        <v>0</v>
      </c>
      <c r="I3089">
        <f>_xlfn.XLOOKUP($A3089,Load!$B:$B,Load!J:J,0,)</f>
        <v>0</v>
      </c>
      <c r="J3089">
        <f>_xlfn.XLOOKUP($A3089,Load!$B:$B,Load!K:K,0,)</f>
        <v>0</v>
      </c>
      <c r="K3089">
        <f>_xlfn.XLOOKUP($A3089,Load!$B:$B,Load!L:L,0,)</f>
        <v>0</v>
      </c>
      <c r="L3089">
        <f>_xlfn.XLOOKUP($A3089,Load!$B:$B,Load!M:M,0,)</f>
        <v>0</v>
      </c>
    </row>
    <row r="3090" spans="1:12" x14ac:dyDescent="0.25">
      <c r="B3090">
        <f>_xlfn.XLOOKUP($A3090,Load!$B:$B,Load!C:C,0,)</f>
        <v>0</v>
      </c>
      <c r="C3090">
        <f>_xlfn.XLOOKUP($A3090,Load!$B:$B,Load!D:D,0,)</f>
        <v>0</v>
      </c>
      <c r="D3090">
        <f>_xlfn.XLOOKUP($A3090,Load!$B:$B,Load!E:E,0,)</f>
        <v>0</v>
      </c>
      <c r="E3090">
        <f>_xlfn.XLOOKUP($A3090,Load!$B:$B,Load!F:F,0,)</f>
        <v>0</v>
      </c>
      <c r="F3090">
        <f>_xlfn.XLOOKUP($A3090,Load!$B:$B,Load!G:G,0,)</f>
        <v>0</v>
      </c>
      <c r="G3090">
        <f>_xlfn.XLOOKUP($A3090,Load!$B:$B,Load!H:H,0,)</f>
        <v>0</v>
      </c>
      <c r="H3090">
        <f>_xlfn.XLOOKUP($A3090,Load!$B:$B,Load!I:I,0,)</f>
        <v>0</v>
      </c>
      <c r="I3090">
        <f>_xlfn.XLOOKUP($A3090,Load!$B:$B,Load!J:J,0,)</f>
        <v>0</v>
      </c>
      <c r="J3090">
        <f>_xlfn.XLOOKUP($A3090,Load!$B:$B,Load!K:K,0,)</f>
        <v>0</v>
      </c>
      <c r="K3090">
        <f>_xlfn.XLOOKUP($A3090,Load!$B:$B,Load!L:L,0,)</f>
        <v>0</v>
      </c>
      <c r="L3090">
        <f>_xlfn.XLOOKUP($A3090,Load!$B:$B,Load!M:M,0,)</f>
        <v>0</v>
      </c>
    </row>
    <row r="3091" spans="1:12" x14ac:dyDescent="0.25">
      <c r="B3091">
        <f>_xlfn.XLOOKUP($A3091,Load!$B:$B,Load!C:C,0,)</f>
        <v>0</v>
      </c>
      <c r="C3091">
        <f>_xlfn.XLOOKUP($A3091,Load!$B:$B,Load!D:D,0,)</f>
        <v>0</v>
      </c>
      <c r="D3091">
        <f>_xlfn.XLOOKUP($A3091,Load!$B:$B,Load!E:E,0,)</f>
        <v>0</v>
      </c>
      <c r="E3091">
        <f>_xlfn.XLOOKUP($A3091,Load!$B:$B,Load!F:F,0,)</f>
        <v>0</v>
      </c>
      <c r="F3091">
        <f>_xlfn.XLOOKUP($A3091,Load!$B:$B,Load!G:G,0,)</f>
        <v>0</v>
      </c>
      <c r="G3091">
        <f>_xlfn.XLOOKUP($A3091,Load!$B:$B,Load!H:H,0,)</f>
        <v>0</v>
      </c>
      <c r="H3091">
        <f>_xlfn.XLOOKUP($A3091,Load!$B:$B,Load!I:I,0,)</f>
        <v>0</v>
      </c>
      <c r="I3091">
        <f>_xlfn.XLOOKUP($A3091,Load!$B:$B,Load!J:J,0,)</f>
        <v>0</v>
      </c>
      <c r="J3091">
        <f>_xlfn.XLOOKUP($A3091,Load!$B:$B,Load!K:K,0,)</f>
        <v>0</v>
      </c>
      <c r="K3091">
        <f>_xlfn.XLOOKUP($A3091,Load!$B:$B,Load!L:L,0,)</f>
        <v>0</v>
      </c>
      <c r="L3091">
        <f>_xlfn.XLOOKUP($A3091,Load!$B:$B,Load!M:M,0,)</f>
        <v>0</v>
      </c>
    </row>
    <row r="3092" spans="1:12" x14ac:dyDescent="0.25">
      <c r="A3092" t="s">
        <v>280</v>
      </c>
      <c r="B3092" t="str">
        <f>_xlfn.XLOOKUP($A3092,Load!$B:$B,Load!C:C,0,)</f>
        <v>Sour Patch Kids</v>
      </c>
      <c r="C3092" t="str">
        <f>_xlfn.XLOOKUP($A3092,Load!$B:$B,Load!D:D,0,)</f>
        <v>Non-Chocolate Candy Only</v>
      </c>
      <c r="D3092" t="str">
        <f>_xlfn.XLOOKUP($A3092,Load!$B:$B,Load!E:E,0,)</f>
        <v>Sour</v>
      </c>
      <c r="E3092" t="str">
        <f>_xlfn.XLOOKUP($A3092,Load!$B:$B,Load!F:F,0,)</f>
        <v>Chewy</v>
      </c>
      <c r="F3092" t="str">
        <f>_xlfn.XLOOKUP($A3092,Load!$B:$B,Load!G:G,0,)</f>
        <v>Medium Multipack (40–80 ct)</v>
      </c>
      <c r="G3092" t="str">
        <f>_xlfn.XLOOKUP($A3092,Load!$B:$B,Load!H:H,0,)</f>
        <v>Laydown Bag</v>
      </c>
      <c r="H3092" t="str">
        <f>_xlfn.XLOOKUP($A3092,Load!$B:$B,Load!I:I,0,)</f>
        <v>Seasonal Shapes (like pumpkins, candy corn, ghost, bats, etc.)</v>
      </c>
      <c r="I3092" t="str">
        <f>_xlfn.XLOOKUP($A3092,Load!$B:$B,Load!J:J,0,)</f>
        <v>Seasonal Graphics (Like Bat, Ghost, Pumpkin, Fall Leaves, Eyeballs, etc.)</v>
      </c>
      <c r="J3092" t="str">
        <f>_xlfn.XLOOKUP($A3092,Load!$B:$B,Load!K:K,0,)</f>
        <v>Small Pieces (Tiny bite size candies)</v>
      </c>
      <c r="K3092" t="str">
        <f>_xlfn.XLOOKUP($A3092,Load!$B:$B,Load!L:L,0,)</f>
        <v>Regular/Original Wrapping</v>
      </c>
      <c r="L3092" t="str">
        <f>_xlfn.XLOOKUP($A3092,Load!$B:$B,Load!M:M,0,)</f>
        <v>Single Brand / Variety Flavors or Form</v>
      </c>
    </row>
    <row r="3093" spans="1:12" x14ac:dyDescent="0.25">
      <c r="B3093">
        <f>_xlfn.XLOOKUP($A3093,Load!$B:$B,Load!C:C,0,)</f>
        <v>0</v>
      </c>
      <c r="C3093">
        <f>_xlfn.XLOOKUP($A3093,Load!$B:$B,Load!D:D,0,)</f>
        <v>0</v>
      </c>
      <c r="D3093">
        <f>_xlfn.XLOOKUP($A3093,Load!$B:$B,Load!E:E,0,)</f>
        <v>0</v>
      </c>
      <c r="E3093">
        <f>_xlfn.XLOOKUP($A3093,Load!$B:$B,Load!F:F,0,)</f>
        <v>0</v>
      </c>
      <c r="F3093">
        <f>_xlfn.XLOOKUP($A3093,Load!$B:$B,Load!G:G,0,)</f>
        <v>0</v>
      </c>
      <c r="G3093">
        <f>_xlfn.XLOOKUP($A3093,Load!$B:$B,Load!H:H,0,)</f>
        <v>0</v>
      </c>
      <c r="H3093">
        <f>_xlfn.XLOOKUP($A3093,Load!$B:$B,Load!I:I,0,)</f>
        <v>0</v>
      </c>
      <c r="I3093">
        <f>_xlfn.XLOOKUP($A3093,Load!$B:$B,Load!J:J,0,)</f>
        <v>0</v>
      </c>
      <c r="J3093">
        <f>_xlfn.XLOOKUP($A3093,Load!$B:$B,Load!K:K,0,)</f>
        <v>0</v>
      </c>
      <c r="K3093">
        <f>_xlfn.XLOOKUP($A3093,Load!$B:$B,Load!L:L,0,)</f>
        <v>0</v>
      </c>
      <c r="L3093">
        <f>_xlfn.XLOOKUP($A3093,Load!$B:$B,Load!M:M,0,)</f>
        <v>0</v>
      </c>
    </row>
    <row r="3094" spans="1:12" x14ac:dyDescent="0.25">
      <c r="A3094" t="s">
        <v>294</v>
      </c>
      <c r="B3094" t="str">
        <f>_xlfn.XLOOKUP($A3094,Load!$B:$B,Load!C:C,0,)</f>
        <v>Tootsie</v>
      </c>
      <c r="C3094" t="str">
        <f>_xlfn.XLOOKUP($A3094,Load!$B:$B,Load!D:D,0,)</f>
        <v>Non-Chocolate Candy Only</v>
      </c>
      <c r="D3094" t="str">
        <f>_xlfn.XLOOKUP($A3094,Load!$B:$B,Load!E:E,0,)</f>
        <v>Sweet</v>
      </c>
      <c r="E3094" t="str">
        <f>_xlfn.XLOOKUP($A3094,Load!$B:$B,Load!F:F,0,)</f>
        <v>Lollipop (regular or lollipop rings)</v>
      </c>
      <c r="F3094" t="str">
        <f>_xlfn.XLOOKUP($A3094,Load!$B:$B,Load!G:G,0,)</f>
        <v>Large Multipack (More than 80 ct)</v>
      </c>
      <c r="G3094" t="str">
        <f>_xlfn.XLOOKUP($A3094,Load!$B:$B,Load!H:H,0,)</f>
        <v>Laydown Bag</v>
      </c>
      <c r="H3094" t="str">
        <f>_xlfn.XLOOKUP($A3094,Load!$B:$B,Load!I:I,0,)</f>
        <v>Everyday Candy Shapes (like Original, Gummy bear, Fruit, Jewels, etc.)</v>
      </c>
      <c r="I3094" t="str">
        <f>_xlfn.XLOOKUP($A3094,Load!$B:$B,Load!J:J,0,)</f>
        <v>Everyday Graphics</v>
      </c>
      <c r="J3094" t="str">
        <f>_xlfn.XLOOKUP($A3094,Load!$B:$B,Load!K:K,0,)</f>
        <v>Regular Lollipop size (on sticks or rings)</v>
      </c>
      <c r="K3094" t="str">
        <f>_xlfn.XLOOKUP($A3094,Load!$B:$B,Load!L:L,0,)</f>
        <v>Regular/Original Wrapping</v>
      </c>
      <c r="L3094" t="str">
        <f>_xlfn.XLOOKUP($A3094,Load!$B:$B,Load!M:M,0,)</f>
        <v>Single Brand / Single Flavor or Form</v>
      </c>
    </row>
    <row r="3095" spans="1:12" x14ac:dyDescent="0.25">
      <c r="A3095" t="s">
        <v>188</v>
      </c>
      <c r="B3095" t="str">
        <f>_xlfn.XLOOKUP($A3095,Load!$B:$B,Load!C:C,0,)</f>
        <v>Mars Variety Pack</v>
      </c>
      <c r="C3095" t="str">
        <f>_xlfn.XLOOKUP($A3095,Load!$B:$B,Load!D:D,0,)</f>
        <v>Non-Chocolate Candy Only</v>
      </c>
      <c r="D3095" t="str">
        <f>_xlfn.XLOOKUP($A3095,Load!$B:$B,Load!E:E,0,)</f>
        <v>Variety / Mixed Flavors (Fruity, Sour, Seasonal Flavors)</v>
      </c>
      <c r="E3095" t="str">
        <f>_xlfn.XLOOKUP($A3095,Load!$B:$B,Load!F:F,0,)</f>
        <v>Mixed / Combo Packs (Gummy, Chewy, Taffy, etc.)</v>
      </c>
      <c r="F3095" t="str">
        <f>_xlfn.XLOOKUP($A3095,Load!$B:$B,Load!G:G,0,)</f>
        <v>Large Multipack (More than 80 ct)</v>
      </c>
      <c r="G3095" t="str">
        <f>_xlfn.XLOOKUP($A3095,Load!$B:$B,Load!H:H,0,)</f>
        <v>Laydown Bag</v>
      </c>
      <c r="H3095" t="str">
        <f>_xlfn.XLOOKUP($A3095,Load!$B:$B,Load!I:I,0,)</f>
        <v>Everyday Candy Shapes (like Original, Gummy bear, Fruit, Jewels, etc.)</v>
      </c>
      <c r="I3095" t="str">
        <f>_xlfn.XLOOKUP($A3095,Load!$B:$B,Load!J:J,0,)</f>
        <v>Everyday Graphics</v>
      </c>
      <c r="J3095" t="str">
        <f>_xlfn.XLOOKUP($A3095,Load!$B:$B,Load!K:K,0,)</f>
        <v>Small Pieces (Tiny bite size candies)</v>
      </c>
      <c r="K3095" t="str">
        <f>_xlfn.XLOOKUP($A3095,Load!$B:$B,Load!L:L,0,)</f>
        <v>Regular/Original Wrapping</v>
      </c>
      <c r="L3095" t="str">
        <f>_xlfn.XLOOKUP($A3095,Load!$B:$B,Load!M:M,0,)</f>
        <v>Multiple Brands / Variety Flavors or Form</v>
      </c>
    </row>
    <row r="3096" spans="1:12" x14ac:dyDescent="0.25">
      <c r="A3096" t="s">
        <v>185</v>
      </c>
      <c r="B3096" t="str">
        <f>_xlfn.XLOOKUP($A3096,Load!$B:$B,Load!C:C,0,)</f>
        <v>Mars Variety Pack</v>
      </c>
      <c r="C3096" t="str">
        <f>_xlfn.XLOOKUP($A3096,Load!$B:$B,Load!D:D,0,)</f>
        <v>Mix of Chocolate and Non-Chocolate Candy</v>
      </c>
      <c r="D3096" t="str">
        <f>_xlfn.XLOOKUP($A3096,Load!$B:$B,Load!E:E,0,)</f>
        <v>Variety / Mixed Flavors (Fruity, Sour, Seasonal Flavors)</v>
      </c>
      <c r="E3096" t="str">
        <f>_xlfn.XLOOKUP($A3096,Load!$B:$B,Load!F:F,0,)</f>
        <v>Mixed / Combo Packs (Gummy, Chewy, Taffy, etc.)</v>
      </c>
      <c r="F3096" t="str">
        <f>_xlfn.XLOOKUP($A3096,Load!$B:$B,Load!G:G,0,)</f>
        <v>Large Multipack (More than 80 ct)</v>
      </c>
      <c r="G3096" t="str">
        <f>_xlfn.XLOOKUP($A3096,Load!$B:$B,Load!H:H,0,)</f>
        <v>Stand-Up Bag</v>
      </c>
      <c r="H3096" t="str">
        <f>_xlfn.XLOOKUP($A3096,Load!$B:$B,Load!I:I,0,)</f>
        <v>Everyday Candy Shapes (like Original, Gummy bear, Fruit, Jewels, etc.)</v>
      </c>
      <c r="I3096" t="str">
        <f>_xlfn.XLOOKUP($A3096,Load!$B:$B,Load!J:J,0,)</f>
        <v>Seasonal Graphics (Like Bat, Ghost, Pumpkin, Fall Leaves, Eyeballs, etc.)</v>
      </c>
      <c r="J3096" t="str">
        <f>_xlfn.XLOOKUP($A3096,Load!$B:$B,Load!K:K,0,)</f>
        <v>Fun Size / Treat Size</v>
      </c>
      <c r="K3096" t="str">
        <f>_xlfn.XLOOKUP($A3096,Load!$B:$B,Load!L:L,0,)</f>
        <v>Regular/Original Wrapping</v>
      </c>
      <c r="L3096" t="str">
        <f>_xlfn.XLOOKUP($A3096,Load!$B:$B,Load!M:M,0,)</f>
        <v>Multiple Brands / Variety Flavors or Form</v>
      </c>
    </row>
    <row r="3097" spans="1:12" x14ac:dyDescent="0.25">
      <c r="B3097">
        <f>_xlfn.XLOOKUP($A3097,Load!$B:$B,Load!C:C,0,)</f>
        <v>0</v>
      </c>
      <c r="C3097">
        <f>_xlfn.XLOOKUP($A3097,Load!$B:$B,Load!D:D,0,)</f>
        <v>0</v>
      </c>
      <c r="D3097">
        <f>_xlfn.XLOOKUP($A3097,Load!$B:$B,Load!E:E,0,)</f>
        <v>0</v>
      </c>
      <c r="E3097">
        <f>_xlfn.XLOOKUP($A3097,Load!$B:$B,Load!F:F,0,)</f>
        <v>0</v>
      </c>
      <c r="F3097">
        <f>_xlfn.XLOOKUP($A3097,Load!$B:$B,Load!G:G,0,)</f>
        <v>0</v>
      </c>
      <c r="G3097">
        <f>_xlfn.XLOOKUP($A3097,Load!$B:$B,Load!H:H,0,)</f>
        <v>0</v>
      </c>
      <c r="H3097">
        <f>_xlfn.XLOOKUP($A3097,Load!$B:$B,Load!I:I,0,)</f>
        <v>0</v>
      </c>
      <c r="I3097">
        <f>_xlfn.XLOOKUP($A3097,Load!$B:$B,Load!J:J,0,)</f>
        <v>0</v>
      </c>
      <c r="J3097">
        <f>_xlfn.XLOOKUP($A3097,Load!$B:$B,Load!K:K,0,)</f>
        <v>0</v>
      </c>
      <c r="K3097">
        <f>_xlfn.XLOOKUP($A3097,Load!$B:$B,Load!L:L,0,)</f>
        <v>0</v>
      </c>
      <c r="L3097">
        <f>_xlfn.XLOOKUP($A3097,Load!$B:$B,Load!M:M,0,)</f>
        <v>0</v>
      </c>
    </row>
    <row r="3098" spans="1:12" x14ac:dyDescent="0.25">
      <c r="A3098" t="s">
        <v>219</v>
      </c>
      <c r="B3098" t="str">
        <f>_xlfn.XLOOKUP($A3098,Load!$B:$B,Load!C:C,0,)</f>
        <v>Mondelez Variety Pack</v>
      </c>
      <c r="C3098" t="str">
        <f>_xlfn.XLOOKUP($A3098,Load!$B:$B,Load!D:D,0,)</f>
        <v>Non-Chocolate Candy Only</v>
      </c>
      <c r="D3098" t="str">
        <f>_xlfn.XLOOKUP($A3098,Load!$B:$B,Load!E:E,0,)</f>
        <v>Sour</v>
      </c>
      <c r="E3098" t="str">
        <f>_xlfn.XLOOKUP($A3098,Load!$B:$B,Load!F:F,0,)</f>
        <v>Chewy</v>
      </c>
      <c r="F3098" t="str">
        <f>_xlfn.XLOOKUP($A3098,Load!$B:$B,Load!G:G,0,)</f>
        <v>Medium Multipack (40–80 ct)</v>
      </c>
      <c r="G3098" t="str">
        <f>_xlfn.XLOOKUP($A3098,Load!$B:$B,Load!H:H,0,)</f>
        <v>Stand-Up Bag</v>
      </c>
      <c r="H3098" t="str">
        <f>_xlfn.XLOOKUP($A3098,Load!$B:$B,Load!I:I,0,)</f>
        <v>Everyday Candy Shapes (like Original, Gummy bear, Fruit, Jewels, etc.)</v>
      </c>
      <c r="I3098" t="str">
        <f>_xlfn.XLOOKUP($A3098,Load!$B:$B,Load!J:J,0,)</f>
        <v>Seasonal Graphics (Like Bat, Ghost, Pumpkin, Fall Leaves, Eyeballs, etc.)</v>
      </c>
      <c r="J3098" t="str">
        <f>_xlfn.XLOOKUP($A3098,Load!$B:$B,Load!K:K,0,)</f>
        <v>Small Pieces (Tiny bite size candies)</v>
      </c>
      <c r="K3098" t="str">
        <f>_xlfn.XLOOKUP($A3098,Load!$B:$B,Load!L:L,0,)</f>
        <v>Regular/Original Wrapping</v>
      </c>
      <c r="L3098" t="str">
        <f>_xlfn.XLOOKUP($A3098,Load!$B:$B,Load!M:M,0,)</f>
        <v>Multiple Brands / Variety Flavors or Form</v>
      </c>
    </row>
    <row r="3099" spans="1:12" x14ac:dyDescent="0.25">
      <c r="A3099" t="s">
        <v>218</v>
      </c>
      <c r="B3099" t="str">
        <f>_xlfn.XLOOKUP($A3099,Load!$B:$B,Load!C:C,0,)</f>
        <v>Mondelez Variety Pack</v>
      </c>
      <c r="C3099" t="str">
        <f>_xlfn.XLOOKUP($A3099,Load!$B:$B,Load!D:D,0,)</f>
        <v>Non-Chocolate Candy Only</v>
      </c>
      <c r="D3099" t="str">
        <f>_xlfn.XLOOKUP($A3099,Load!$B:$B,Load!E:E,0,)</f>
        <v>Sour</v>
      </c>
      <c r="E3099" t="str">
        <f>_xlfn.XLOOKUP($A3099,Load!$B:$B,Load!F:F,0,)</f>
        <v>Mixed / Combo Packs (Gummy, Chewy, Taffy, etc.)</v>
      </c>
      <c r="F3099" t="str">
        <f>_xlfn.XLOOKUP($A3099,Load!$B:$B,Load!G:G,0,)</f>
        <v>Large Multipack (More than 80 ct)</v>
      </c>
      <c r="G3099" t="str">
        <f>_xlfn.XLOOKUP($A3099,Load!$B:$B,Load!H:H,0,)</f>
        <v>Stand-Up Bag</v>
      </c>
      <c r="H3099" t="str">
        <f>_xlfn.XLOOKUP($A3099,Load!$B:$B,Load!I:I,0,)</f>
        <v>Seasonal Shapes (like pumpkins, candy corn, ghost, bats, etc.)</v>
      </c>
      <c r="I3099" t="str">
        <f>_xlfn.XLOOKUP($A3099,Load!$B:$B,Load!J:J,0,)</f>
        <v>Seasonal Graphics (Like Bat, Ghost, Pumpkin, Fall Leaves, Eyeballs, etc.)</v>
      </c>
      <c r="J3099" t="str">
        <f>_xlfn.XLOOKUP($A3099,Load!$B:$B,Load!K:K,0,)</f>
        <v>Small Pieces (Tiny bite size candies)</v>
      </c>
      <c r="K3099" t="str">
        <f>_xlfn.XLOOKUP($A3099,Load!$B:$B,Load!L:L,0,)</f>
        <v>Regular/Original Wrapping</v>
      </c>
      <c r="L3099" t="str">
        <f>_xlfn.XLOOKUP($A3099,Load!$B:$B,Load!M:M,0,)</f>
        <v>Multiple Brands / Variety Flavors or Form</v>
      </c>
    </row>
    <row r="3100" spans="1:12" x14ac:dyDescent="0.25">
      <c r="A3100" t="s">
        <v>243</v>
      </c>
      <c r="B3100" t="str">
        <f>_xlfn.XLOOKUP($A3100,Load!$B:$B,Load!C:C,0,)</f>
        <v>Peeps</v>
      </c>
      <c r="C3100" t="str">
        <f>_xlfn.XLOOKUP($A3100,Load!$B:$B,Load!D:D,0,)</f>
        <v>Non-Chocolate Candy Only</v>
      </c>
      <c r="D3100" t="str">
        <f>_xlfn.XLOOKUP($A3100,Load!$B:$B,Load!E:E,0,)</f>
        <v>Fall / Seasonal Flavors (pumpkin spice, caramel apple, candy corn)</v>
      </c>
      <c r="E3100" t="str">
        <f>_xlfn.XLOOKUP($A3100,Load!$B:$B,Load!F:F,0,)</f>
        <v>Foamy / Aerated / Freeze Dried</v>
      </c>
      <c r="F3100" t="str">
        <f>_xlfn.XLOOKUP($A3100,Load!$B:$B,Load!G:G,0,)</f>
        <v>Single Pack</v>
      </c>
      <c r="G3100" t="str">
        <f>_xlfn.XLOOKUP($A3100,Load!$B:$B,Load!H:H,0,)</f>
        <v>Box (theatre box, gift box, carton)</v>
      </c>
      <c r="H3100" t="str">
        <f>_xlfn.XLOOKUP($A3100,Load!$B:$B,Load!I:I,0,)</f>
        <v>Seasonal Shapes (like pumpkins, candy corn, ghost, bats, etc.)</v>
      </c>
      <c r="I3100" t="str">
        <f>_xlfn.XLOOKUP($A3100,Load!$B:$B,Load!J:J,0,)</f>
        <v>Seasonal Graphics (Like Bat, Ghost, Pumpkin, Fall Leaves, Eyeballs, etc.)</v>
      </c>
      <c r="J3100" t="str">
        <f>_xlfn.XLOOKUP($A3100,Load!$B:$B,Load!K:K,0,)</f>
        <v>Fun Size / Treat Size</v>
      </c>
      <c r="K3100" t="str">
        <f>_xlfn.XLOOKUP($A3100,Load!$B:$B,Load!L:L,0,)</f>
        <v>Unwrapped</v>
      </c>
      <c r="L3100" t="str">
        <f>_xlfn.XLOOKUP($A3100,Load!$B:$B,Load!M:M,0,)</f>
        <v>Single Brand / Single Flavor or Form</v>
      </c>
    </row>
    <row r="3101" spans="1:12" x14ac:dyDescent="0.25">
      <c r="B3101">
        <f>_xlfn.XLOOKUP($A3101,Load!$B:$B,Load!C:C,0,)</f>
        <v>0</v>
      </c>
      <c r="C3101">
        <f>_xlfn.XLOOKUP($A3101,Load!$B:$B,Load!D:D,0,)</f>
        <v>0</v>
      </c>
      <c r="D3101">
        <f>_xlfn.XLOOKUP($A3101,Load!$B:$B,Load!E:E,0,)</f>
        <v>0</v>
      </c>
      <c r="E3101">
        <f>_xlfn.XLOOKUP($A3101,Load!$B:$B,Load!F:F,0,)</f>
        <v>0</v>
      </c>
      <c r="F3101">
        <f>_xlfn.XLOOKUP($A3101,Load!$B:$B,Load!G:G,0,)</f>
        <v>0</v>
      </c>
      <c r="G3101">
        <f>_xlfn.XLOOKUP($A3101,Load!$B:$B,Load!H:H,0,)</f>
        <v>0</v>
      </c>
      <c r="H3101">
        <f>_xlfn.XLOOKUP($A3101,Load!$B:$B,Load!I:I,0,)</f>
        <v>0</v>
      </c>
      <c r="I3101">
        <f>_xlfn.XLOOKUP($A3101,Load!$B:$B,Load!J:J,0,)</f>
        <v>0</v>
      </c>
      <c r="J3101">
        <f>_xlfn.XLOOKUP($A3101,Load!$B:$B,Load!K:K,0,)</f>
        <v>0</v>
      </c>
      <c r="K3101">
        <f>_xlfn.XLOOKUP($A3101,Load!$B:$B,Load!L:L,0,)</f>
        <v>0</v>
      </c>
      <c r="L3101">
        <f>_xlfn.XLOOKUP($A3101,Load!$B:$B,Load!M:M,0,)</f>
        <v>0</v>
      </c>
    </row>
    <row r="3102" spans="1:12" x14ac:dyDescent="0.25">
      <c r="A3102" t="s">
        <v>138</v>
      </c>
      <c r="B3102" t="str">
        <f>_xlfn.XLOOKUP($A3102,Load!$B:$B,Load!C:C,0,)</f>
        <v>Hershey's Variety Pack + Haribo</v>
      </c>
      <c r="C3102" t="str">
        <f>_xlfn.XLOOKUP($A3102,Load!$B:$B,Load!D:D,0,)</f>
        <v>Non-Chocolate Candy Only</v>
      </c>
      <c r="D3102" t="str">
        <f>_xlfn.XLOOKUP($A3102,Load!$B:$B,Load!E:E,0,)</f>
        <v>Variety / Mixed Flavors (Fruity, Sour, Seasonal Flavors)</v>
      </c>
      <c r="E3102" t="str">
        <f>_xlfn.XLOOKUP($A3102,Load!$B:$B,Load!F:F,0,)</f>
        <v>Mixed / Combo Packs (Gummy, Chewy, Taffy, etc.)</v>
      </c>
      <c r="F3102" t="str">
        <f>_xlfn.XLOOKUP($A3102,Load!$B:$B,Load!G:G,0,)</f>
        <v>Medium Multipack (40–80 ct)</v>
      </c>
      <c r="G3102" t="str">
        <f>_xlfn.XLOOKUP($A3102,Load!$B:$B,Load!H:H,0,)</f>
        <v>Laydown Bag</v>
      </c>
      <c r="H3102" t="str">
        <f>_xlfn.XLOOKUP($A3102,Load!$B:$B,Load!I:I,0,)</f>
        <v>Everyday Candy Shapes (like Original, Gummy bear, Fruit, Jewels, etc.)</v>
      </c>
      <c r="I3102" t="str">
        <f>_xlfn.XLOOKUP($A3102,Load!$B:$B,Load!J:J,0,)</f>
        <v>Seasonal Graphics (Like Bat, Ghost, Pumpkin, Fall Leaves, Eyeballs, etc.)</v>
      </c>
      <c r="J3102" t="str">
        <f>_xlfn.XLOOKUP($A3102,Load!$B:$B,Load!K:K,0,)</f>
        <v>Fun Size / Treat Size</v>
      </c>
      <c r="K3102" t="str">
        <f>_xlfn.XLOOKUP($A3102,Load!$B:$B,Load!L:L,0,)</f>
        <v>Regular/Original Wrapping</v>
      </c>
      <c r="L3102" t="str">
        <f>_xlfn.XLOOKUP($A3102,Load!$B:$B,Load!M:M,0,)</f>
        <v>Multiple Brands / Variety Flavors or Form</v>
      </c>
    </row>
    <row r="3103" spans="1:12" x14ac:dyDescent="0.25">
      <c r="A3103" t="s">
        <v>133</v>
      </c>
      <c r="B3103" t="str">
        <f>_xlfn.XLOOKUP($A3103,Load!$B:$B,Load!C:C,0,)</f>
        <v>Hershey's</v>
      </c>
      <c r="C3103" t="str">
        <f>_xlfn.XLOOKUP($A3103,Load!$B:$B,Load!D:D,0,)</f>
        <v>Non-Chocolate Candy Only</v>
      </c>
      <c r="D3103" t="str">
        <f>_xlfn.XLOOKUP($A3103,Load!$B:$B,Load!E:E,0,)</f>
        <v>Variety / Mixed Flavors (Fruity, Sour, Seasonal Flavors)</v>
      </c>
      <c r="E3103" t="str">
        <f>_xlfn.XLOOKUP($A3103,Load!$B:$B,Load!F:F,0,)</f>
        <v>Mixed / Combo Packs (Gummy, Chewy, Taffy, etc.)</v>
      </c>
      <c r="F3103" t="str">
        <f>_xlfn.XLOOKUP($A3103,Load!$B:$B,Load!G:G,0,)</f>
        <v>Large Multipack (More than 80 ct)</v>
      </c>
      <c r="G3103" t="str">
        <f>_xlfn.XLOOKUP($A3103,Load!$B:$B,Load!H:H,0,)</f>
        <v>Stand-Up Bag</v>
      </c>
      <c r="H3103" t="str">
        <f>_xlfn.XLOOKUP($A3103,Load!$B:$B,Load!I:I,0,)</f>
        <v>Everyday Candy Shapes (like Original, Gummy bear, Fruit, Jewels, etc.)</v>
      </c>
      <c r="I3103" t="str">
        <f>_xlfn.XLOOKUP($A3103,Load!$B:$B,Load!J:J,0,)</f>
        <v>Seasonal Graphics (Like Bat, Ghost, Pumpkin, Fall Leaves, Eyeballs, etc.)</v>
      </c>
      <c r="J3103" t="str">
        <f>_xlfn.XLOOKUP($A3103,Load!$B:$B,Load!K:K,0,)</f>
        <v>Fun Size / Treat Size</v>
      </c>
      <c r="K3103" t="str">
        <f>_xlfn.XLOOKUP($A3103,Load!$B:$B,Load!L:L,0,)</f>
        <v>Regular/Original Wrapping</v>
      </c>
      <c r="L3103" t="str">
        <f>_xlfn.XLOOKUP($A3103,Load!$B:$B,Load!M:M,0,)</f>
        <v>Multiple Brands / Variety Flavors or Form</v>
      </c>
    </row>
    <row r="3104" spans="1:12" x14ac:dyDescent="0.25">
      <c r="A3104" t="s">
        <v>226</v>
      </c>
      <c r="B3104" t="str">
        <f>_xlfn.XLOOKUP($A3104,Load!$B:$B,Load!C:C,0,)</f>
        <v>Nerds</v>
      </c>
      <c r="C3104" t="str">
        <f>_xlfn.XLOOKUP($A3104,Load!$B:$B,Load!D:D,0,)</f>
        <v>Non-Chocolate Candy Only</v>
      </c>
      <c r="D3104" t="str">
        <f>_xlfn.XLOOKUP($A3104,Load!$B:$B,Load!E:E,0,)</f>
        <v>Sweet</v>
      </c>
      <c r="E3104" t="str">
        <f>_xlfn.XLOOKUP($A3104,Load!$B:$B,Load!F:F,0,)</f>
        <v>Gummy</v>
      </c>
      <c r="F3104" t="str">
        <f>_xlfn.XLOOKUP($A3104,Load!$B:$B,Load!G:G,0,)</f>
        <v>Single Pack</v>
      </c>
      <c r="G3104" t="str">
        <f>_xlfn.XLOOKUP($A3104,Load!$B:$B,Load!H:H,0,)</f>
        <v>Laydown Bag</v>
      </c>
      <c r="H3104" t="str">
        <f>_xlfn.XLOOKUP($A3104,Load!$B:$B,Load!I:I,0,)</f>
        <v>Seasonal Shapes (like pumpkins, candy corn, ghost, bats, etc.)</v>
      </c>
      <c r="I3104" t="str">
        <f>_xlfn.XLOOKUP($A3104,Load!$B:$B,Load!J:J,0,)</f>
        <v>Seasonal Graphics (Like Bat, Ghost, Pumpkin, Fall Leaves, Eyeballs, etc.)</v>
      </c>
      <c r="J3104" t="str">
        <f>_xlfn.XLOOKUP($A3104,Load!$B:$B,Load!K:K,0,)</f>
        <v>Fun Size / Treat Size</v>
      </c>
      <c r="K3104" t="str">
        <f>_xlfn.XLOOKUP($A3104,Load!$B:$B,Load!L:L,0,)</f>
        <v>Unwrapped</v>
      </c>
      <c r="L3104" t="str">
        <f>_xlfn.XLOOKUP($A3104,Load!$B:$B,Load!M:M,0,)</f>
        <v>Single Brand / Single Flavor or Form</v>
      </c>
    </row>
    <row r="3105" spans="1:12" x14ac:dyDescent="0.25">
      <c r="A3105" t="s">
        <v>110</v>
      </c>
      <c r="B3105" t="str">
        <f>_xlfn.XLOOKUP($A3105,Load!$B:$B,Load!C:C,0,)</f>
        <v>Frankford</v>
      </c>
      <c r="C3105" t="str">
        <f>_xlfn.XLOOKUP($A3105,Load!$B:$B,Load!D:D,0,)</f>
        <v>Non-Chocolate Candy Only</v>
      </c>
      <c r="D3105" t="str">
        <f>_xlfn.XLOOKUP($A3105,Load!$B:$B,Load!E:E,0,)</f>
        <v>Fruit Flavor (Cherry, Grape, Apple, Citrus, Tropical Fruit)</v>
      </c>
      <c r="E3105" t="str">
        <f>_xlfn.XLOOKUP($A3105,Load!$B:$B,Load!F:F,0,)</f>
        <v>Gummy</v>
      </c>
      <c r="F3105" t="str">
        <f>_xlfn.XLOOKUP($A3105,Load!$B:$B,Load!G:G,0,)</f>
        <v>Single Pack</v>
      </c>
      <c r="G3105" t="str">
        <f>_xlfn.XLOOKUP($A3105,Load!$B:$B,Load!H:H,0,)</f>
        <v>Plastic Cup / Container</v>
      </c>
      <c r="H3105" t="str">
        <f>_xlfn.XLOOKUP($A3105,Load!$B:$B,Load!I:I,0,)</f>
        <v>Seasonal Shapes (like pumpkins, candy corn, ghost, bats, etc.)</v>
      </c>
      <c r="I3105" t="str">
        <f>_xlfn.XLOOKUP($A3105,Load!$B:$B,Load!J:J,0,)</f>
        <v>Seasonal Graphics (Like Bat, Ghost, Pumpkin, Fall Leaves, Eyeballs, etc.)</v>
      </c>
      <c r="J3105" t="str">
        <f>_xlfn.XLOOKUP($A3105,Load!$B:$B,Load!K:K,0,)</f>
        <v>Fun Size / Treat Size</v>
      </c>
      <c r="K3105" t="str">
        <f>_xlfn.XLOOKUP($A3105,Load!$B:$B,Load!L:L,0,)</f>
        <v>Unwrapped</v>
      </c>
      <c r="L3105" t="str">
        <f>_xlfn.XLOOKUP($A3105,Load!$B:$B,Load!M:M,0,)</f>
        <v>Single Brand / Variety Flavors or Form</v>
      </c>
    </row>
    <row r="3106" spans="1:12" x14ac:dyDescent="0.25">
      <c r="B3106">
        <f>_xlfn.XLOOKUP($A3106,Load!$B:$B,Load!C:C,0,)</f>
        <v>0</v>
      </c>
      <c r="C3106">
        <f>_xlfn.XLOOKUP($A3106,Load!$B:$B,Load!D:D,0,)</f>
        <v>0</v>
      </c>
      <c r="D3106">
        <f>_xlfn.XLOOKUP($A3106,Load!$B:$B,Load!E:E,0,)</f>
        <v>0</v>
      </c>
      <c r="E3106">
        <f>_xlfn.XLOOKUP($A3106,Load!$B:$B,Load!F:F,0,)</f>
        <v>0</v>
      </c>
      <c r="F3106">
        <f>_xlfn.XLOOKUP($A3106,Load!$B:$B,Load!G:G,0,)</f>
        <v>0</v>
      </c>
      <c r="G3106">
        <f>_xlfn.XLOOKUP($A3106,Load!$B:$B,Load!H:H,0,)</f>
        <v>0</v>
      </c>
      <c r="H3106">
        <f>_xlfn.XLOOKUP($A3106,Load!$B:$B,Load!I:I,0,)</f>
        <v>0</v>
      </c>
      <c r="I3106">
        <f>_xlfn.XLOOKUP($A3106,Load!$B:$B,Load!J:J,0,)</f>
        <v>0</v>
      </c>
      <c r="J3106">
        <f>_xlfn.XLOOKUP($A3106,Load!$B:$B,Load!K:K,0,)</f>
        <v>0</v>
      </c>
      <c r="K3106">
        <f>_xlfn.XLOOKUP($A3106,Load!$B:$B,Load!L:L,0,)</f>
        <v>0</v>
      </c>
      <c r="L3106">
        <f>_xlfn.XLOOKUP($A3106,Load!$B:$B,Load!M:M,0,)</f>
        <v>0</v>
      </c>
    </row>
    <row r="3107" spans="1:12" x14ac:dyDescent="0.25">
      <c r="B3107">
        <f>_xlfn.XLOOKUP($A3107,Load!$B:$B,Load!C:C,0,)</f>
        <v>0</v>
      </c>
      <c r="C3107">
        <f>_xlfn.XLOOKUP($A3107,Load!$B:$B,Load!D:D,0,)</f>
        <v>0</v>
      </c>
      <c r="D3107">
        <f>_xlfn.XLOOKUP($A3107,Load!$B:$B,Load!E:E,0,)</f>
        <v>0</v>
      </c>
      <c r="E3107">
        <f>_xlfn.XLOOKUP($A3107,Load!$B:$B,Load!F:F,0,)</f>
        <v>0</v>
      </c>
      <c r="F3107">
        <f>_xlfn.XLOOKUP($A3107,Load!$B:$B,Load!G:G,0,)</f>
        <v>0</v>
      </c>
      <c r="G3107">
        <f>_xlfn.XLOOKUP($A3107,Load!$B:$B,Load!H:H,0,)</f>
        <v>0</v>
      </c>
      <c r="H3107">
        <f>_xlfn.XLOOKUP($A3107,Load!$B:$B,Load!I:I,0,)</f>
        <v>0</v>
      </c>
      <c r="I3107">
        <f>_xlfn.XLOOKUP($A3107,Load!$B:$B,Load!J:J,0,)</f>
        <v>0</v>
      </c>
      <c r="J3107">
        <f>_xlfn.XLOOKUP($A3107,Load!$B:$B,Load!K:K,0,)</f>
        <v>0</v>
      </c>
      <c r="K3107">
        <f>_xlfn.XLOOKUP($A3107,Load!$B:$B,Load!L:L,0,)</f>
        <v>0</v>
      </c>
      <c r="L3107">
        <f>_xlfn.XLOOKUP($A3107,Load!$B:$B,Load!M:M,0,)</f>
        <v>0</v>
      </c>
    </row>
    <row r="3108" spans="1:12" x14ac:dyDescent="0.25">
      <c r="A3108" t="s">
        <v>146</v>
      </c>
      <c r="B3108" t="str">
        <f>_xlfn.XLOOKUP($A3108,Load!$B:$B,Load!C:C,0,)</f>
        <v>Hi Chew</v>
      </c>
      <c r="C3108" t="str">
        <f>_xlfn.XLOOKUP($A3108,Load!$B:$B,Load!D:D,0,)</f>
        <v>Non-Chocolate Candy Only</v>
      </c>
      <c r="D3108" t="str">
        <f>_xlfn.XLOOKUP($A3108,Load!$B:$B,Load!E:E,0,)</f>
        <v>Fruit Flavor (Cherry, Grape, Apple, Citrus, Tropical Fruit)</v>
      </c>
      <c r="E3108" t="str">
        <f>_xlfn.XLOOKUP($A3108,Load!$B:$B,Load!F:F,0,)</f>
        <v>Gummy</v>
      </c>
      <c r="F3108" t="str">
        <f>_xlfn.XLOOKUP($A3108,Load!$B:$B,Load!G:G,0,)</f>
        <v>Medium Multipack (40–80 ct)</v>
      </c>
      <c r="G3108" t="str">
        <f>_xlfn.XLOOKUP($A3108,Load!$B:$B,Load!H:H,0,)</f>
        <v>Stand-Up Bag</v>
      </c>
      <c r="H3108" t="str">
        <f>_xlfn.XLOOKUP($A3108,Load!$B:$B,Load!I:I,0,)</f>
        <v>Everyday Candy Shapes (like Original, Gummy bear, Fruit, Jewels, etc.)</v>
      </c>
      <c r="I3108" t="str">
        <f>_xlfn.XLOOKUP($A3108,Load!$B:$B,Load!J:J,0,)</f>
        <v>Seasonal Graphics (Like Bat, Ghost, Pumpkin, Fall Leaves, Eyeballs, etc.)</v>
      </c>
      <c r="J3108" t="str">
        <f>_xlfn.XLOOKUP($A3108,Load!$B:$B,Load!K:K,0,)</f>
        <v>Fun Size / Treat Size</v>
      </c>
      <c r="K3108" t="str">
        <f>_xlfn.XLOOKUP($A3108,Load!$B:$B,Load!L:L,0,)</f>
        <v>Regular/Original Wrapping</v>
      </c>
      <c r="L3108" t="str">
        <f>_xlfn.XLOOKUP($A3108,Load!$B:$B,Load!M:M,0,)</f>
        <v>Multiple Brands / Variety Flavors or Form</v>
      </c>
    </row>
    <row r="3109" spans="1:12" x14ac:dyDescent="0.25">
      <c r="B3109">
        <f>_xlfn.XLOOKUP($A3109,Load!$B:$B,Load!C:C,0,)</f>
        <v>0</v>
      </c>
      <c r="C3109">
        <f>_xlfn.XLOOKUP($A3109,Load!$B:$B,Load!D:D,0,)</f>
        <v>0</v>
      </c>
      <c r="D3109">
        <f>_xlfn.XLOOKUP($A3109,Load!$B:$B,Load!E:E,0,)</f>
        <v>0</v>
      </c>
      <c r="E3109">
        <f>_xlfn.XLOOKUP($A3109,Load!$B:$B,Load!F:F,0,)</f>
        <v>0</v>
      </c>
      <c r="F3109">
        <f>_xlfn.XLOOKUP($A3109,Load!$B:$B,Load!G:G,0,)</f>
        <v>0</v>
      </c>
      <c r="G3109">
        <f>_xlfn.XLOOKUP($A3109,Load!$B:$B,Load!H:H,0,)</f>
        <v>0</v>
      </c>
      <c r="H3109">
        <f>_xlfn.XLOOKUP($A3109,Load!$B:$B,Load!I:I,0,)</f>
        <v>0</v>
      </c>
      <c r="I3109">
        <f>_xlfn.XLOOKUP($A3109,Load!$B:$B,Load!J:J,0,)</f>
        <v>0</v>
      </c>
      <c r="J3109">
        <f>_xlfn.XLOOKUP($A3109,Load!$B:$B,Load!K:K,0,)</f>
        <v>0</v>
      </c>
      <c r="K3109">
        <f>_xlfn.XLOOKUP($A3109,Load!$B:$B,Load!L:L,0,)</f>
        <v>0</v>
      </c>
      <c r="L3109">
        <f>_xlfn.XLOOKUP($A3109,Load!$B:$B,Load!M:M,0,)</f>
        <v>0</v>
      </c>
    </row>
    <row r="3110" spans="1:12" x14ac:dyDescent="0.25">
      <c r="A3110" t="s">
        <v>220</v>
      </c>
      <c r="B3110" t="str">
        <f>_xlfn.XLOOKUP($A3110,Load!$B:$B,Load!C:C,0,)</f>
        <v>Mondelez Variety Pack</v>
      </c>
      <c r="C3110" t="str">
        <f>_xlfn.XLOOKUP($A3110,Load!$B:$B,Load!D:D,0,)</f>
        <v>Non-Chocolate Candy Only</v>
      </c>
      <c r="D3110" t="str">
        <f>_xlfn.XLOOKUP($A3110,Load!$B:$B,Load!E:E,0,)</f>
        <v>Variety / Mixed Flavors (Fruity, Sour, Seasonal Flavors)</v>
      </c>
      <c r="E3110" t="str">
        <f>_xlfn.XLOOKUP($A3110,Load!$B:$B,Load!F:F,0,)</f>
        <v>Chewy</v>
      </c>
      <c r="F3110" t="str">
        <f>_xlfn.XLOOKUP($A3110,Load!$B:$B,Load!G:G,0,)</f>
        <v>Large Multipack (More than 80 ct)</v>
      </c>
      <c r="G3110" t="str">
        <f>_xlfn.XLOOKUP($A3110,Load!$B:$B,Load!H:H,0,)</f>
        <v>Stand-Up Bag</v>
      </c>
      <c r="H3110" t="str">
        <f>_xlfn.XLOOKUP($A3110,Load!$B:$B,Load!I:I,0,)</f>
        <v>Seasonal Shapes (like pumpkins, candy corn, ghost, bats, etc.)</v>
      </c>
      <c r="I3110" t="str">
        <f>_xlfn.XLOOKUP($A3110,Load!$B:$B,Load!J:J,0,)</f>
        <v>Seasonal Graphics (Like Bat, Ghost, Pumpkin, Fall Leaves, Eyeballs, etc.)</v>
      </c>
      <c r="J3110" t="str">
        <f>_xlfn.XLOOKUP($A3110,Load!$B:$B,Load!K:K,0,)</f>
        <v>Small Pieces (Tiny bite size candies)</v>
      </c>
      <c r="K3110" t="str">
        <f>_xlfn.XLOOKUP($A3110,Load!$B:$B,Load!L:L,0,)</f>
        <v>Regular/Original Wrapping</v>
      </c>
      <c r="L3110" t="str">
        <f>_xlfn.XLOOKUP($A3110,Load!$B:$B,Load!M:M,0,)</f>
        <v>Single Brand / Variety Flavors or Form</v>
      </c>
    </row>
    <row r="3111" spans="1:12" x14ac:dyDescent="0.25">
      <c r="B3111">
        <f>_xlfn.XLOOKUP($A3111,Load!$B:$B,Load!C:C,0,)</f>
        <v>0</v>
      </c>
      <c r="C3111">
        <f>_xlfn.XLOOKUP($A3111,Load!$B:$B,Load!D:D,0,)</f>
        <v>0</v>
      </c>
      <c r="D3111">
        <f>_xlfn.XLOOKUP($A3111,Load!$B:$B,Load!E:E,0,)</f>
        <v>0</v>
      </c>
      <c r="E3111">
        <f>_xlfn.XLOOKUP($A3111,Load!$B:$B,Load!F:F,0,)</f>
        <v>0</v>
      </c>
      <c r="F3111">
        <f>_xlfn.XLOOKUP($A3111,Load!$B:$B,Load!G:G,0,)</f>
        <v>0</v>
      </c>
      <c r="G3111">
        <f>_xlfn.XLOOKUP($A3111,Load!$B:$B,Load!H:H,0,)</f>
        <v>0</v>
      </c>
      <c r="H3111">
        <f>_xlfn.XLOOKUP($A3111,Load!$B:$B,Load!I:I,0,)</f>
        <v>0</v>
      </c>
      <c r="I3111">
        <f>_xlfn.XLOOKUP($A3111,Load!$B:$B,Load!J:J,0,)</f>
        <v>0</v>
      </c>
      <c r="J3111">
        <f>_xlfn.XLOOKUP($A3111,Load!$B:$B,Load!K:K,0,)</f>
        <v>0</v>
      </c>
      <c r="K3111">
        <f>_xlfn.XLOOKUP($A3111,Load!$B:$B,Load!L:L,0,)</f>
        <v>0</v>
      </c>
      <c r="L3111">
        <f>_xlfn.XLOOKUP($A3111,Load!$B:$B,Load!M:M,0,)</f>
        <v>0</v>
      </c>
    </row>
    <row r="3112" spans="1:12" x14ac:dyDescent="0.25">
      <c r="A3112" t="s">
        <v>259</v>
      </c>
      <c r="B3112" t="str">
        <f>_xlfn.XLOOKUP($A3112,Load!$B:$B,Load!C:C,0,)</f>
        <v>Skittles</v>
      </c>
      <c r="C3112" t="str">
        <f>_xlfn.XLOOKUP($A3112,Load!$B:$B,Load!D:D,0,)</f>
        <v>Non-Chocolate Candy Only</v>
      </c>
      <c r="D3112" t="str">
        <f>_xlfn.XLOOKUP($A3112,Load!$B:$B,Load!E:E,0,)</f>
        <v>Sour</v>
      </c>
      <c r="E3112" t="str">
        <f>_xlfn.XLOOKUP($A3112,Load!$B:$B,Load!F:F,0,)</f>
        <v>Chewy</v>
      </c>
      <c r="F3112" t="str">
        <f>_xlfn.XLOOKUP($A3112,Load!$B:$B,Load!G:G,0,)</f>
        <v>Small Multipack (Less than 40 ct)</v>
      </c>
      <c r="G3112" t="str">
        <f>_xlfn.XLOOKUP($A3112,Load!$B:$B,Load!H:H,0,)</f>
        <v>Laydown Bag</v>
      </c>
      <c r="H3112" t="str">
        <f>_xlfn.XLOOKUP($A3112,Load!$B:$B,Load!I:I,0,)</f>
        <v>Everyday Candy Shapes (like Original, Gummy bear, Fruit, Jewels, etc.)</v>
      </c>
      <c r="I3112" t="str">
        <f>_xlfn.XLOOKUP($A3112,Load!$B:$B,Load!J:J,0,)</f>
        <v>Seasonal Graphics (Like Bat, Ghost, Pumpkin, Fall Leaves, Eyeballs, etc.)</v>
      </c>
      <c r="J3112" t="str">
        <f>_xlfn.XLOOKUP($A3112,Load!$B:$B,Load!K:K,0,)</f>
        <v>Small Pieces (Tiny bite size candies)</v>
      </c>
      <c r="K3112" t="str">
        <f>_xlfn.XLOOKUP($A3112,Load!$B:$B,Load!L:L,0,)</f>
        <v>Regular/Original Wrapping</v>
      </c>
      <c r="L3112" t="str">
        <f>_xlfn.XLOOKUP($A3112,Load!$B:$B,Load!M:M,0,)</f>
        <v>Single Brand / Variety Flavors or Form</v>
      </c>
    </row>
    <row r="3113" spans="1:12" x14ac:dyDescent="0.25">
      <c r="A3113" t="s">
        <v>278</v>
      </c>
      <c r="B3113" t="str">
        <f>_xlfn.XLOOKUP($A3113,Load!$B:$B,Load!C:C,0,)</f>
        <v>Sour Patch Kids</v>
      </c>
      <c r="C3113" t="str">
        <f>_xlfn.XLOOKUP($A3113,Load!$B:$B,Load!D:D,0,)</f>
        <v>Non-Chocolate Candy Only</v>
      </c>
      <c r="D3113" t="str">
        <f>_xlfn.XLOOKUP($A3113,Load!$B:$B,Load!E:E,0,)</f>
        <v>Sour</v>
      </c>
      <c r="E3113" t="str">
        <f>_xlfn.XLOOKUP($A3113,Load!$B:$B,Load!F:F,0,)</f>
        <v>Chewy</v>
      </c>
      <c r="F3113" t="str">
        <f>_xlfn.XLOOKUP($A3113,Load!$B:$B,Load!G:G,0,)</f>
        <v>Single Pack</v>
      </c>
      <c r="G3113" t="str">
        <f>_xlfn.XLOOKUP($A3113,Load!$B:$B,Load!H:H,0,)</f>
        <v>Peg Bag</v>
      </c>
      <c r="H3113" t="str">
        <f>_xlfn.XLOOKUP($A3113,Load!$B:$B,Load!I:I,0,)</f>
        <v>Everyday Candy Shapes (like Original, Gummy bear, Fruit, Jewels, etc.)</v>
      </c>
      <c r="I3113" t="str">
        <f>_xlfn.XLOOKUP($A3113,Load!$B:$B,Load!J:J,0,)</f>
        <v>Seasonal Graphics (Like Bat, Ghost, Pumpkin, Fall Leaves, Eyeballs, etc.)</v>
      </c>
      <c r="J3113" t="str">
        <f>_xlfn.XLOOKUP($A3113,Load!$B:$B,Load!K:K,0,)</f>
        <v>Small Pieces (Tiny bite size candies)</v>
      </c>
      <c r="K3113" t="str">
        <f>_xlfn.XLOOKUP($A3113,Load!$B:$B,Load!L:L,0,)</f>
        <v>Regular/Original Wrapping</v>
      </c>
      <c r="L3113" t="str">
        <f>_xlfn.XLOOKUP($A3113,Load!$B:$B,Load!M:M,0,)</f>
        <v>Single Brand / Variety Flavors or Form</v>
      </c>
    </row>
    <row r="3114" spans="1:12" x14ac:dyDescent="0.25">
      <c r="B3114">
        <f>_xlfn.XLOOKUP($A3114,Load!$B:$B,Load!C:C,0,)</f>
        <v>0</v>
      </c>
      <c r="C3114">
        <f>_xlfn.XLOOKUP($A3114,Load!$B:$B,Load!D:D,0,)</f>
        <v>0</v>
      </c>
      <c r="D3114">
        <f>_xlfn.XLOOKUP($A3114,Load!$B:$B,Load!E:E,0,)</f>
        <v>0</v>
      </c>
      <c r="E3114">
        <f>_xlfn.XLOOKUP($A3114,Load!$B:$B,Load!F:F,0,)</f>
        <v>0</v>
      </c>
      <c r="F3114">
        <f>_xlfn.XLOOKUP($A3114,Load!$B:$B,Load!G:G,0,)</f>
        <v>0</v>
      </c>
      <c r="G3114">
        <f>_xlfn.XLOOKUP($A3114,Load!$B:$B,Load!H:H,0,)</f>
        <v>0</v>
      </c>
      <c r="H3114">
        <f>_xlfn.XLOOKUP($A3114,Load!$B:$B,Load!I:I,0,)</f>
        <v>0</v>
      </c>
      <c r="I3114">
        <f>_xlfn.XLOOKUP($A3114,Load!$B:$B,Load!J:J,0,)</f>
        <v>0</v>
      </c>
      <c r="J3114">
        <f>_xlfn.XLOOKUP($A3114,Load!$B:$B,Load!K:K,0,)</f>
        <v>0</v>
      </c>
      <c r="K3114">
        <f>_xlfn.XLOOKUP($A3114,Load!$B:$B,Load!L:L,0,)</f>
        <v>0</v>
      </c>
      <c r="L3114">
        <f>_xlfn.XLOOKUP($A3114,Load!$B:$B,Load!M:M,0,)</f>
        <v>0</v>
      </c>
    </row>
    <row r="3115" spans="1:12" x14ac:dyDescent="0.25">
      <c r="B3115">
        <f>_xlfn.XLOOKUP($A3115,Load!$B:$B,Load!C:C,0,)</f>
        <v>0</v>
      </c>
      <c r="C3115">
        <f>_xlfn.XLOOKUP($A3115,Load!$B:$B,Load!D:D,0,)</f>
        <v>0</v>
      </c>
      <c r="D3115">
        <f>_xlfn.XLOOKUP($A3115,Load!$B:$B,Load!E:E,0,)</f>
        <v>0</v>
      </c>
      <c r="E3115">
        <f>_xlfn.XLOOKUP($A3115,Load!$B:$B,Load!F:F,0,)</f>
        <v>0</v>
      </c>
      <c r="F3115">
        <f>_xlfn.XLOOKUP($A3115,Load!$B:$B,Load!G:G,0,)</f>
        <v>0</v>
      </c>
      <c r="G3115">
        <f>_xlfn.XLOOKUP($A3115,Load!$B:$B,Load!H:H,0,)</f>
        <v>0</v>
      </c>
      <c r="H3115">
        <f>_xlfn.XLOOKUP($A3115,Load!$B:$B,Load!I:I,0,)</f>
        <v>0</v>
      </c>
      <c r="I3115">
        <f>_xlfn.XLOOKUP($A3115,Load!$B:$B,Load!J:J,0,)</f>
        <v>0</v>
      </c>
      <c r="J3115">
        <f>_xlfn.XLOOKUP($A3115,Load!$B:$B,Load!K:K,0,)</f>
        <v>0</v>
      </c>
      <c r="K3115">
        <f>_xlfn.XLOOKUP($A3115,Load!$B:$B,Load!L:L,0,)</f>
        <v>0</v>
      </c>
      <c r="L3115">
        <f>_xlfn.XLOOKUP($A3115,Load!$B:$B,Load!M:M,0,)</f>
        <v>0</v>
      </c>
    </row>
    <row r="3116" spans="1:12" x14ac:dyDescent="0.25">
      <c r="A3116" t="s">
        <v>88</v>
      </c>
      <c r="B3116" t="str">
        <f>_xlfn.XLOOKUP($A3116,Load!$B:$B,Load!C:C,0,)</f>
        <v>Ferrara Variety Pack</v>
      </c>
      <c r="C3116" t="str">
        <f>_xlfn.XLOOKUP($A3116,Load!$B:$B,Load!D:D,0,)</f>
        <v>Non-Chocolate Candy Only</v>
      </c>
      <c r="D3116" t="str">
        <f>_xlfn.XLOOKUP($A3116,Load!$B:$B,Load!E:E,0,)</f>
        <v>Variety / Mixed Flavors (Fruity, Sour, Seasonal Flavors)</v>
      </c>
      <c r="E3116" t="str">
        <f>_xlfn.XLOOKUP($A3116,Load!$B:$B,Load!F:F,0,)</f>
        <v>Mixed / Combo Packs (Gummy, Chewy, Taffy, etc.)</v>
      </c>
      <c r="F3116" t="str">
        <f>_xlfn.XLOOKUP($A3116,Load!$B:$B,Load!G:G,0,)</f>
        <v>Small Multipack (Less than 40 ct)</v>
      </c>
      <c r="G3116" t="str">
        <f>_xlfn.XLOOKUP($A3116,Load!$B:$B,Load!H:H,0,)</f>
        <v>Laydown Bag</v>
      </c>
      <c r="H3116" t="str">
        <f>_xlfn.XLOOKUP($A3116,Load!$B:$B,Load!I:I,0,)</f>
        <v>Seasonal Shapes (like pumpkins, candy corn, ghost, bats, etc.)</v>
      </c>
      <c r="I3116" t="str">
        <f>_xlfn.XLOOKUP($A3116,Load!$B:$B,Load!J:J,0,)</f>
        <v>Seasonal Graphics (Like Bat, Ghost, Pumpkin, Fall Leaves, Eyeballs, etc.)</v>
      </c>
      <c r="J3116" t="str">
        <f>_xlfn.XLOOKUP($A3116,Load!$B:$B,Load!K:K,0,)</f>
        <v>Fun Size / Treat Size</v>
      </c>
      <c r="K3116" t="str">
        <f>_xlfn.XLOOKUP($A3116,Load!$B:$B,Load!L:L,0,)</f>
        <v>Regular/Original Wrapping</v>
      </c>
      <c r="L3116" t="str">
        <f>_xlfn.XLOOKUP($A3116,Load!$B:$B,Load!M:M,0,)</f>
        <v>Multiple Brands / Variety Flavors or Form</v>
      </c>
    </row>
    <row r="3117" spans="1:12" x14ac:dyDescent="0.25">
      <c r="B3117">
        <f>_xlfn.XLOOKUP($A3117,Load!$B:$B,Load!C:C,0,)</f>
        <v>0</v>
      </c>
      <c r="C3117">
        <f>_xlfn.XLOOKUP($A3117,Load!$B:$B,Load!D:D,0,)</f>
        <v>0</v>
      </c>
      <c r="D3117">
        <f>_xlfn.XLOOKUP($A3117,Load!$B:$B,Load!E:E,0,)</f>
        <v>0</v>
      </c>
      <c r="E3117">
        <f>_xlfn.XLOOKUP($A3117,Load!$B:$B,Load!F:F,0,)</f>
        <v>0</v>
      </c>
      <c r="F3117">
        <f>_xlfn.XLOOKUP($A3117,Load!$B:$B,Load!G:G,0,)</f>
        <v>0</v>
      </c>
      <c r="G3117">
        <f>_xlfn.XLOOKUP($A3117,Load!$B:$B,Load!H:H,0,)</f>
        <v>0</v>
      </c>
      <c r="H3117">
        <f>_xlfn.XLOOKUP($A3117,Load!$B:$B,Load!I:I,0,)</f>
        <v>0</v>
      </c>
      <c r="I3117">
        <f>_xlfn.XLOOKUP($A3117,Load!$B:$B,Load!J:J,0,)</f>
        <v>0</v>
      </c>
      <c r="J3117">
        <f>_xlfn.XLOOKUP($A3117,Load!$B:$B,Load!K:K,0,)</f>
        <v>0</v>
      </c>
      <c r="K3117">
        <f>_xlfn.XLOOKUP($A3117,Load!$B:$B,Load!L:L,0,)</f>
        <v>0</v>
      </c>
      <c r="L3117">
        <f>_xlfn.XLOOKUP($A3117,Load!$B:$B,Load!M:M,0,)</f>
        <v>0</v>
      </c>
    </row>
    <row r="3118" spans="1:12" x14ac:dyDescent="0.25">
      <c r="A3118" t="s">
        <v>187</v>
      </c>
      <c r="B3118" t="str">
        <f>_xlfn.XLOOKUP($A3118,Load!$B:$B,Load!C:C,0,)</f>
        <v>Mars Variety Pack</v>
      </c>
      <c r="C3118" t="str">
        <f>_xlfn.XLOOKUP($A3118,Load!$B:$B,Load!D:D,0,)</f>
        <v>Mix of Chocolate and Non-Chocolate Candy</v>
      </c>
      <c r="D3118" t="str">
        <f>_xlfn.XLOOKUP($A3118,Load!$B:$B,Load!E:E,0,)</f>
        <v>Variety / Mixed Flavors (Fruity, Sour, Seasonal Flavors)</v>
      </c>
      <c r="E3118" t="str">
        <f>_xlfn.XLOOKUP($A3118,Load!$B:$B,Load!F:F,0,)</f>
        <v>Mixed / Combo Packs (Gummy, Chewy, Taffy, etc.)</v>
      </c>
      <c r="F3118" t="str">
        <f>_xlfn.XLOOKUP($A3118,Load!$B:$B,Load!G:G,0,)</f>
        <v>Medium Multipack (40–80 ct)</v>
      </c>
      <c r="G3118" t="str">
        <f>_xlfn.XLOOKUP($A3118,Load!$B:$B,Load!H:H,0,)</f>
        <v>Stand-Up Bag</v>
      </c>
      <c r="H3118" t="str">
        <f>_xlfn.XLOOKUP($A3118,Load!$B:$B,Load!I:I,0,)</f>
        <v>Everyday Candy Shapes (like Original, Gummy bear, Fruit, Jewels, etc.)</v>
      </c>
      <c r="I3118" t="str">
        <f>_xlfn.XLOOKUP($A3118,Load!$B:$B,Load!J:J,0,)</f>
        <v>Seasonal Graphics (Like Bat, Ghost, Pumpkin, Fall Leaves, Eyeballs, etc.)</v>
      </c>
      <c r="J3118" t="str">
        <f>_xlfn.XLOOKUP($A3118,Load!$B:$B,Load!K:K,0,)</f>
        <v>Fun Size / Treat Size</v>
      </c>
      <c r="K3118" t="str">
        <f>_xlfn.XLOOKUP($A3118,Load!$B:$B,Load!L:L,0,)</f>
        <v>Regular/Original Wrapping</v>
      </c>
      <c r="L3118" t="str">
        <f>_xlfn.XLOOKUP($A3118,Load!$B:$B,Load!M:M,0,)</f>
        <v>Multiple Brands / Variety Flavors or Form</v>
      </c>
    </row>
    <row r="3119" spans="1:12" x14ac:dyDescent="0.25">
      <c r="B3119">
        <f>_xlfn.XLOOKUP($A3119,Load!$B:$B,Load!C:C,0,)</f>
        <v>0</v>
      </c>
      <c r="C3119">
        <f>_xlfn.XLOOKUP($A3119,Load!$B:$B,Load!D:D,0,)</f>
        <v>0</v>
      </c>
      <c r="D3119">
        <f>_xlfn.XLOOKUP($A3119,Load!$B:$B,Load!E:E,0,)</f>
        <v>0</v>
      </c>
      <c r="E3119">
        <f>_xlfn.XLOOKUP($A3119,Load!$B:$B,Load!F:F,0,)</f>
        <v>0</v>
      </c>
      <c r="F3119">
        <f>_xlfn.XLOOKUP($A3119,Load!$B:$B,Load!G:G,0,)</f>
        <v>0</v>
      </c>
      <c r="G3119">
        <f>_xlfn.XLOOKUP($A3119,Load!$B:$B,Load!H:H,0,)</f>
        <v>0</v>
      </c>
      <c r="H3119">
        <f>_xlfn.XLOOKUP($A3119,Load!$B:$B,Load!I:I,0,)</f>
        <v>0</v>
      </c>
      <c r="I3119">
        <f>_xlfn.XLOOKUP($A3119,Load!$B:$B,Load!J:J,0,)</f>
        <v>0</v>
      </c>
      <c r="J3119">
        <f>_xlfn.XLOOKUP($A3119,Load!$B:$B,Load!K:K,0,)</f>
        <v>0</v>
      </c>
      <c r="K3119">
        <f>_xlfn.XLOOKUP($A3119,Load!$B:$B,Load!L:L,0,)</f>
        <v>0</v>
      </c>
      <c r="L3119">
        <f>_xlfn.XLOOKUP($A3119,Load!$B:$B,Load!M:M,0,)</f>
        <v>0</v>
      </c>
    </row>
    <row r="3120" spans="1:12" x14ac:dyDescent="0.25">
      <c r="A3120" t="s">
        <v>280</v>
      </c>
      <c r="B3120" t="str">
        <f>_xlfn.XLOOKUP($A3120,Load!$B:$B,Load!C:C,0,)</f>
        <v>Sour Patch Kids</v>
      </c>
      <c r="C3120" t="str">
        <f>_xlfn.XLOOKUP($A3120,Load!$B:$B,Load!D:D,0,)</f>
        <v>Non-Chocolate Candy Only</v>
      </c>
      <c r="D3120" t="str">
        <f>_xlfn.XLOOKUP($A3120,Load!$B:$B,Load!E:E,0,)</f>
        <v>Sour</v>
      </c>
      <c r="E3120" t="str">
        <f>_xlfn.XLOOKUP($A3120,Load!$B:$B,Load!F:F,0,)</f>
        <v>Chewy</v>
      </c>
      <c r="F3120" t="str">
        <f>_xlfn.XLOOKUP($A3120,Load!$B:$B,Load!G:G,0,)</f>
        <v>Medium Multipack (40–80 ct)</v>
      </c>
      <c r="G3120" t="str">
        <f>_xlfn.XLOOKUP($A3120,Load!$B:$B,Load!H:H,0,)</f>
        <v>Laydown Bag</v>
      </c>
      <c r="H3120" t="str">
        <f>_xlfn.XLOOKUP($A3120,Load!$B:$B,Load!I:I,0,)</f>
        <v>Seasonal Shapes (like pumpkins, candy corn, ghost, bats, etc.)</v>
      </c>
      <c r="I3120" t="str">
        <f>_xlfn.XLOOKUP($A3120,Load!$B:$B,Load!J:J,0,)</f>
        <v>Seasonal Graphics (Like Bat, Ghost, Pumpkin, Fall Leaves, Eyeballs, etc.)</v>
      </c>
      <c r="J3120" t="str">
        <f>_xlfn.XLOOKUP($A3120,Load!$B:$B,Load!K:K,0,)</f>
        <v>Small Pieces (Tiny bite size candies)</v>
      </c>
      <c r="K3120" t="str">
        <f>_xlfn.XLOOKUP($A3120,Load!$B:$B,Load!L:L,0,)</f>
        <v>Regular/Original Wrapping</v>
      </c>
      <c r="L3120" t="str">
        <f>_xlfn.XLOOKUP($A3120,Load!$B:$B,Load!M:M,0,)</f>
        <v>Single Brand / Variety Flavors or Form</v>
      </c>
    </row>
    <row r="3121" spans="1:12" x14ac:dyDescent="0.25">
      <c r="A3121" t="s">
        <v>192</v>
      </c>
      <c r="B3121" t="str">
        <f>_xlfn.XLOOKUP($A3121,Load!$B:$B,Load!C:C,0,)</f>
        <v>Mars Variety Pack</v>
      </c>
      <c r="C3121" t="str">
        <f>_xlfn.XLOOKUP($A3121,Load!$B:$B,Load!D:D,0,)</f>
        <v>Non-Chocolate Candy Only</v>
      </c>
      <c r="D3121" t="str">
        <f>_xlfn.XLOOKUP($A3121,Load!$B:$B,Load!E:E,0,)</f>
        <v>Variety / Mixed Flavors (Fruity, Sour, Seasonal Flavors)</v>
      </c>
      <c r="E3121" t="str">
        <f>_xlfn.XLOOKUP($A3121,Load!$B:$B,Load!F:F,0,)</f>
        <v>Mixed / Combo Packs (Gummy, Chewy, Taffy, etc.)</v>
      </c>
      <c r="F3121" t="str">
        <f>_xlfn.XLOOKUP($A3121,Load!$B:$B,Load!G:G,0,)</f>
        <v>Medium Multipack (40–80 ct)</v>
      </c>
      <c r="G3121" t="str">
        <f>_xlfn.XLOOKUP($A3121,Load!$B:$B,Load!H:H,0,)</f>
        <v>Stand-Up Bag</v>
      </c>
      <c r="H3121" t="str">
        <f>_xlfn.XLOOKUP($A3121,Load!$B:$B,Load!I:I,0,)</f>
        <v>Everyday Candy Shapes (like Original, Gummy bear, Fruit, Jewels, etc.)</v>
      </c>
      <c r="I3121" t="str">
        <f>_xlfn.XLOOKUP($A3121,Load!$B:$B,Load!J:J,0,)</f>
        <v>Seasonal Graphics (Like Bat, Ghost, Pumpkin, Fall Leaves, Eyeballs, etc.)</v>
      </c>
      <c r="J3121" t="str">
        <f>_xlfn.XLOOKUP($A3121,Load!$B:$B,Load!K:K,0,)</f>
        <v>Fun Size / Treat Size</v>
      </c>
      <c r="K3121" t="str">
        <f>_xlfn.XLOOKUP($A3121,Load!$B:$B,Load!L:L,0,)</f>
        <v>Regular/Original Wrapping</v>
      </c>
      <c r="L3121" t="str">
        <f>_xlfn.XLOOKUP($A3121,Load!$B:$B,Load!M:M,0,)</f>
        <v>Multiple Brands / Variety Flavors or Form</v>
      </c>
    </row>
    <row r="3122" spans="1:12" x14ac:dyDescent="0.25">
      <c r="A3122" t="s">
        <v>71</v>
      </c>
      <c r="B3122" t="str">
        <f>_xlfn.XLOOKUP($A3122,Load!$B:$B,Load!C:C,0,)</f>
        <v>Dum Dums</v>
      </c>
      <c r="C3122" t="str">
        <f>_xlfn.XLOOKUP($A3122,Load!$B:$B,Load!D:D,0,)</f>
        <v>Non-Chocolate Candy Only</v>
      </c>
      <c r="D3122" t="str">
        <f>_xlfn.XLOOKUP($A3122,Load!$B:$B,Load!E:E,0,)</f>
        <v>Sweet</v>
      </c>
      <c r="E3122" t="str">
        <f>_xlfn.XLOOKUP($A3122,Load!$B:$B,Load!F:F,0,)</f>
        <v>Lollipop (regular or lollipop rings)</v>
      </c>
      <c r="F3122" t="str">
        <f>_xlfn.XLOOKUP($A3122,Load!$B:$B,Load!G:G,0,)</f>
        <v>Large Multipack (More than 80 ct)</v>
      </c>
      <c r="G3122" t="str">
        <f>_xlfn.XLOOKUP($A3122,Load!$B:$B,Load!H:H,0,)</f>
        <v>Stand-Up Bag</v>
      </c>
      <c r="H3122" t="str">
        <f>_xlfn.XLOOKUP($A3122,Load!$B:$B,Load!I:I,0,)</f>
        <v>Everyday Candy Shapes (like Original, Gummy bear, Fruit, Jewels, etc.)</v>
      </c>
      <c r="I3122" t="str">
        <f>_xlfn.XLOOKUP($A3122,Load!$B:$B,Load!J:J,0,)</f>
        <v>Seasonal Graphics (Like Bat, Ghost, Pumpkin, Fall Leaves, Eyeballs, etc.)</v>
      </c>
      <c r="J3122" t="str">
        <f>_xlfn.XLOOKUP($A3122,Load!$B:$B,Load!K:K,0,)</f>
        <v>Regular Lollipop size (on sticks or rings)</v>
      </c>
      <c r="K3122" t="str">
        <f>_xlfn.XLOOKUP($A3122,Load!$B:$B,Load!L:L,0,)</f>
        <v>Regular/Original Wrapping</v>
      </c>
      <c r="L3122" t="str">
        <f>_xlfn.XLOOKUP($A3122,Load!$B:$B,Load!M:M,0,)</f>
        <v>Multiple Brands / Variety Flavors or Form</v>
      </c>
    </row>
    <row r="3123" spans="1:12" x14ac:dyDescent="0.25">
      <c r="A3123" t="s">
        <v>171</v>
      </c>
      <c r="B3123" t="str">
        <f>_xlfn.XLOOKUP($A3123,Load!$B:$B,Load!C:C,0,)</f>
        <v>Mamba</v>
      </c>
      <c r="C3123" t="str">
        <f>_xlfn.XLOOKUP($A3123,Load!$B:$B,Load!D:D,0,)</f>
        <v>Non-Chocolate Candy Only</v>
      </c>
      <c r="D3123" t="str">
        <f>_xlfn.XLOOKUP($A3123,Load!$B:$B,Load!E:E,0,)</f>
        <v>Fruit Flavor (Cherry, Grape, Apple, Citrus, Tropical Fruit)</v>
      </c>
      <c r="E3123" t="str">
        <f>_xlfn.XLOOKUP($A3123,Load!$B:$B,Load!F:F,0,)</f>
        <v>Chewy</v>
      </c>
      <c r="F3123" t="str">
        <f>_xlfn.XLOOKUP($A3123,Load!$B:$B,Load!G:G,0,)</f>
        <v>Large Multipack (More than 80 ct)</v>
      </c>
      <c r="G3123" t="str">
        <f>_xlfn.XLOOKUP($A3123,Load!$B:$B,Load!H:H,0,)</f>
        <v>Stand-Up Bag</v>
      </c>
      <c r="H3123" t="str">
        <f>_xlfn.XLOOKUP($A3123,Load!$B:$B,Load!I:I,0,)</f>
        <v>Seasonal Shapes (like pumpkins, candy corn, ghost, bats, etc.)</v>
      </c>
      <c r="I3123" t="str">
        <f>_xlfn.XLOOKUP($A3123,Load!$B:$B,Load!J:J,0,)</f>
        <v>Seasonal Graphics (Like Bat, Ghost, Pumpkin, Fall Leaves, Eyeballs, etc.)</v>
      </c>
      <c r="J3123" t="str">
        <f>_xlfn.XLOOKUP($A3123,Load!$B:$B,Load!K:K,0,)</f>
        <v>Fun Size / Treat Size</v>
      </c>
      <c r="K3123" t="str">
        <f>_xlfn.XLOOKUP($A3123,Load!$B:$B,Load!L:L,0,)</f>
        <v>Regular/Original Wrapping</v>
      </c>
      <c r="L3123" t="str">
        <f>_xlfn.XLOOKUP($A3123,Load!$B:$B,Load!M:M,0,)</f>
        <v>Single Brand / Variety Flavors or Form</v>
      </c>
    </row>
    <row r="3124" spans="1:12" x14ac:dyDescent="0.25">
      <c r="A3124" t="s">
        <v>217</v>
      </c>
      <c r="B3124" t="str">
        <f>_xlfn.XLOOKUP($A3124,Load!$B:$B,Load!C:C,0,)</f>
        <v>Mondelez Variety Pack</v>
      </c>
      <c r="C3124" t="str">
        <f>_xlfn.XLOOKUP($A3124,Load!$B:$B,Load!D:D,0,)</f>
        <v>Non-Chocolate Candy Only</v>
      </c>
      <c r="D3124" t="str">
        <f>_xlfn.XLOOKUP($A3124,Load!$B:$B,Load!E:E,0,)</f>
        <v>Sour</v>
      </c>
      <c r="E3124" t="str">
        <f>_xlfn.XLOOKUP($A3124,Load!$B:$B,Load!F:F,0,)</f>
        <v>Chewy</v>
      </c>
      <c r="F3124" t="str">
        <f>_xlfn.XLOOKUP($A3124,Load!$B:$B,Load!G:G,0,)</f>
        <v>Small Multipack (Less than 40 ct)</v>
      </c>
      <c r="G3124" t="str">
        <f>_xlfn.XLOOKUP($A3124,Load!$B:$B,Load!H:H,0,)</f>
        <v>Laydown Bag</v>
      </c>
      <c r="H3124" t="str">
        <f>_xlfn.XLOOKUP($A3124,Load!$B:$B,Load!I:I,0,)</f>
        <v>Seasonal Shapes (like pumpkins, candy corn, ghost, bats, etc.)</v>
      </c>
      <c r="I3124" t="str">
        <f>_xlfn.XLOOKUP($A3124,Load!$B:$B,Load!J:J,0,)</f>
        <v>Seasonal Graphics (Like Bat, Ghost, Pumpkin, Fall Leaves, Eyeballs, etc.)</v>
      </c>
      <c r="J3124" t="str">
        <f>_xlfn.XLOOKUP($A3124,Load!$B:$B,Load!K:K,0,)</f>
        <v>Small Pieces (Tiny bite size candies)</v>
      </c>
      <c r="K3124" t="str">
        <f>_xlfn.XLOOKUP($A3124,Load!$B:$B,Load!L:L,0,)</f>
        <v>Regular/Original Wrapping</v>
      </c>
      <c r="L3124" t="str">
        <f>_xlfn.XLOOKUP($A3124,Load!$B:$B,Load!M:M,0,)</f>
        <v>Multiple Brands / Variety Flavors or Form</v>
      </c>
    </row>
    <row r="3125" spans="1:12" x14ac:dyDescent="0.25">
      <c r="B3125">
        <f>_xlfn.XLOOKUP($A3125,Load!$B:$B,Load!C:C,0,)</f>
        <v>0</v>
      </c>
      <c r="C3125">
        <f>_xlfn.XLOOKUP($A3125,Load!$B:$B,Load!D:D,0,)</f>
        <v>0</v>
      </c>
      <c r="D3125">
        <f>_xlfn.XLOOKUP($A3125,Load!$B:$B,Load!E:E,0,)</f>
        <v>0</v>
      </c>
      <c r="E3125">
        <f>_xlfn.XLOOKUP($A3125,Load!$B:$B,Load!F:F,0,)</f>
        <v>0</v>
      </c>
      <c r="F3125">
        <f>_xlfn.XLOOKUP($A3125,Load!$B:$B,Load!G:G,0,)</f>
        <v>0</v>
      </c>
      <c r="G3125">
        <f>_xlfn.XLOOKUP($A3125,Load!$B:$B,Load!H:H,0,)</f>
        <v>0</v>
      </c>
      <c r="H3125">
        <f>_xlfn.XLOOKUP($A3125,Load!$B:$B,Load!I:I,0,)</f>
        <v>0</v>
      </c>
      <c r="I3125">
        <f>_xlfn.XLOOKUP($A3125,Load!$B:$B,Load!J:J,0,)</f>
        <v>0</v>
      </c>
      <c r="J3125">
        <f>_xlfn.XLOOKUP($A3125,Load!$B:$B,Load!K:K,0,)</f>
        <v>0</v>
      </c>
      <c r="K3125">
        <f>_xlfn.XLOOKUP($A3125,Load!$B:$B,Load!L:L,0,)</f>
        <v>0</v>
      </c>
      <c r="L3125">
        <f>_xlfn.XLOOKUP($A3125,Load!$B:$B,Load!M:M,0,)</f>
        <v>0</v>
      </c>
    </row>
    <row r="3126" spans="1:12" x14ac:dyDescent="0.25">
      <c r="A3126" t="s">
        <v>192</v>
      </c>
      <c r="B3126" t="str">
        <f>_xlfn.XLOOKUP($A3126,Load!$B:$B,Load!C:C,0,)</f>
        <v>Mars Variety Pack</v>
      </c>
      <c r="C3126" t="str">
        <f>_xlfn.XLOOKUP($A3126,Load!$B:$B,Load!D:D,0,)</f>
        <v>Non-Chocolate Candy Only</v>
      </c>
      <c r="D3126" t="str">
        <f>_xlfn.XLOOKUP($A3126,Load!$B:$B,Load!E:E,0,)</f>
        <v>Variety / Mixed Flavors (Fruity, Sour, Seasonal Flavors)</v>
      </c>
      <c r="E3126" t="str">
        <f>_xlfn.XLOOKUP($A3126,Load!$B:$B,Load!F:F,0,)</f>
        <v>Mixed / Combo Packs (Gummy, Chewy, Taffy, etc.)</v>
      </c>
      <c r="F3126" t="str">
        <f>_xlfn.XLOOKUP($A3126,Load!$B:$B,Load!G:G,0,)</f>
        <v>Medium Multipack (40–80 ct)</v>
      </c>
      <c r="G3126" t="str">
        <f>_xlfn.XLOOKUP($A3126,Load!$B:$B,Load!H:H,0,)</f>
        <v>Stand-Up Bag</v>
      </c>
      <c r="H3126" t="str">
        <f>_xlfn.XLOOKUP($A3126,Load!$B:$B,Load!I:I,0,)</f>
        <v>Everyday Candy Shapes (like Original, Gummy bear, Fruit, Jewels, etc.)</v>
      </c>
      <c r="I3126" t="str">
        <f>_xlfn.XLOOKUP($A3126,Load!$B:$B,Load!J:J,0,)</f>
        <v>Seasonal Graphics (Like Bat, Ghost, Pumpkin, Fall Leaves, Eyeballs, etc.)</v>
      </c>
      <c r="J3126" t="str">
        <f>_xlfn.XLOOKUP($A3126,Load!$B:$B,Load!K:K,0,)</f>
        <v>Fun Size / Treat Size</v>
      </c>
      <c r="K3126" t="str">
        <f>_xlfn.XLOOKUP($A3126,Load!$B:$B,Load!L:L,0,)</f>
        <v>Regular/Original Wrapping</v>
      </c>
      <c r="L3126" t="str">
        <f>_xlfn.XLOOKUP($A3126,Load!$B:$B,Load!M:M,0,)</f>
        <v>Multiple Brands / Variety Flavors or Form</v>
      </c>
    </row>
    <row r="3127" spans="1:12" x14ac:dyDescent="0.25">
      <c r="A3127" t="s">
        <v>95</v>
      </c>
      <c r="B3127" t="str">
        <f>_xlfn.XLOOKUP($A3127,Load!$B:$B,Load!C:C,0,)</f>
        <v>Ferrara Variety Pack</v>
      </c>
      <c r="C3127" t="str">
        <f>_xlfn.XLOOKUP($A3127,Load!$B:$B,Load!D:D,0,)</f>
        <v>Non-Chocolate Candy Only</v>
      </c>
      <c r="D3127" t="str">
        <f>_xlfn.XLOOKUP($A3127,Load!$B:$B,Load!E:E,0,)</f>
        <v>Variety / Mixed Flavors (Fruity, Sour, Seasonal Flavors)</v>
      </c>
      <c r="E3127" t="str">
        <f>_xlfn.XLOOKUP($A3127,Load!$B:$B,Load!F:F,0,)</f>
        <v>Mixed / Combo Packs (Gummy, Chewy, Taffy, etc.)</v>
      </c>
      <c r="F3127" t="str">
        <f>_xlfn.XLOOKUP($A3127,Load!$B:$B,Load!G:G,0,)</f>
        <v>Medium Multipack (40–80 ct)</v>
      </c>
      <c r="G3127" t="str">
        <f>_xlfn.XLOOKUP($A3127,Load!$B:$B,Load!H:H,0,)</f>
        <v>Stand-Up Bag</v>
      </c>
      <c r="H3127" t="str">
        <f>_xlfn.XLOOKUP($A3127,Load!$B:$B,Load!I:I,0,)</f>
        <v>Everyday Candy Shapes (like Original, Gummy bear, Fruit, Jewels, etc.)</v>
      </c>
      <c r="I3127" t="str">
        <f>_xlfn.XLOOKUP($A3127,Load!$B:$B,Load!J:J,0,)</f>
        <v>Seasonal Graphics (Like Bat, Ghost, Pumpkin, Fall Leaves, Eyeballs, etc.)</v>
      </c>
      <c r="J3127" t="str">
        <f>_xlfn.XLOOKUP($A3127,Load!$B:$B,Load!K:K,0,)</f>
        <v xml:space="preserve">Variety Candy Sizes </v>
      </c>
      <c r="K3127" t="str">
        <f>_xlfn.XLOOKUP($A3127,Load!$B:$B,Load!L:L,0,)</f>
        <v>Regular/Original Wrapping</v>
      </c>
      <c r="L3127" t="str">
        <f>_xlfn.XLOOKUP($A3127,Load!$B:$B,Load!M:M,0,)</f>
        <v>Multiple Brands / Variety Flavors or Form</v>
      </c>
    </row>
    <row r="3128" spans="1:12" x14ac:dyDescent="0.25">
      <c r="B3128">
        <f>_xlfn.XLOOKUP($A3128,Load!$B:$B,Load!C:C,0,)</f>
        <v>0</v>
      </c>
      <c r="C3128">
        <f>_xlfn.XLOOKUP($A3128,Load!$B:$B,Load!D:D,0,)</f>
        <v>0</v>
      </c>
      <c r="D3128">
        <f>_xlfn.XLOOKUP($A3128,Load!$B:$B,Load!E:E,0,)</f>
        <v>0</v>
      </c>
      <c r="E3128">
        <f>_xlfn.XLOOKUP($A3128,Load!$B:$B,Load!F:F,0,)</f>
        <v>0</v>
      </c>
      <c r="F3128">
        <f>_xlfn.XLOOKUP($A3128,Load!$B:$B,Load!G:G,0,)</f>
        <v>0</v>
      </c>
      <c r="G3128">
        <f>_xlfn.XLOOKUP($A3128,Load!$B:$B,Load!H:H,0,)</f>
        <v>0</v>
      </c>
      <c r="H3128">
        <f>_xlfn.XLOOKUP($A3128,Load!$B:$B,Load!I:I,0,)</f>
        <v>0</v>
      </c>
      <c r="I3128">
        <f>_xlfn.XLOOKUP($A3128,Load!$B:$B,Load!J:J,0,)</f>
        <v>0</v>
      </c>
      <c r="J3128">
        <f>_xlfn.XLOOKUP($A3128,Load!$B:$B,Load!K:K,0,)</f>
        <v>0</v>
      </c>
      <c r="K3128">
        <f>_xlfn.XLOOKUP($A3128,Load!$B:$B,Load!L:L,0,)</f>
        <v>0</v>
      </c>
      <c r="L3128">
        <f>_xlfn.XLOOKUP($A3128,Load!$B:$B,Load!M:M,0,)</f>
        <v>0</v>
      </c>
    </row>
    <row r="3129" spans="1:12" x14ac:dyDescent="0.25">
      <c r="B3129">
        <f>_xlfn.XLOOKUP($A3129,Load!$B:$B,Load!C:C,0,)</f>
        <v>0</v>
      </c>
      <c r="C3129">
        <f>_xlfn.XLOOKUP($A3129,Load!$B:$B,Load!D:D,0,)</f>
        <v>0</v>
      </c>
      <c r="D3129">
        <f>_xlfn.XLOOKUP($A3129,Load!$B:$B,Load!E:E,0,)</f>
        <v>0</v>
      </c>
      <c r="E3129">
        <f>_xlfn.XLOOKUP($A3129,Load!$B:$B,Load!F:F,0,)</f>
        <v>0</v>
      </c>
      <c r="F3129">
        <f>_xlfn.XLOOKUP($A3129,Load!$B:$B,Load!G:G,0,)</f>
        <v>0</v>
      </c>
      <c r="G3129">
        <f>_xlfn.XLOOKUP($A3129,Load!$B:$B,Load!H:H,0,)</f>
        <v>0</v>
      </c>
      <c r="H3129">
        <f>_xlfn.XLOOKUP($A3129,Load!$B:$B,Load!I:I,0,)</f>
        <v>0</v>
      </c>
      <c r="I3129">
        <f>_xlfn.XLOOKUP($A3129,Load!$B:$B,Load!J:J,0,)</f>
        <v>0</v>
      </c>
      <c r="J3129">
        <f>_xlfn.XLOOKUP($A3129,Load!$B:$B,Load!K:K,0,)</f>
        <v>0</v>
      </c>
      <c r="K3129">
        <f>_xlfn.XLOOKUP($A3129,Load!$B:$B,Load!L:L,0,)</f>
        <v>0</v>
      </c>
      <c r="L3129">
        <f>_xlfn.XLOOKUP($A3129,Load!$B:$B,Load!M:M,0,)</f>
        <v>0</v>
      </c>
    </row>
    <row r="3130" spans="1:12" x14ac:dyDescent="0.25">
      <c r="A3130" t="s">
        <v>71</v>
      </c>
      <c r="B3130" t="str">
        <f>_xlfn.XLOOKUP($A3130,Load!$B:$B,Load!C:C,0,)</f>
        <v>Dum Dums</v>
      </c>
      <c r="C3130" t="str">
        <f>_xlfn.XLOOKUP($A3130,Load!$B:$B,Load!D:D,0,)</f>
        <v>Non-Chocolate Candy Only</v>
      </c>
      <c r="D3130" t="str">
        <f>_xlfn.XLOOKUP($A3130,Load!$B:$B,Load!E:E,0,)</f>
        <v>Sweet</v>
      </c>
      <c r="E3130" t="str">
        <f>_xlfn.XLOOKUP($A3130,Load!$B:$B,Load!F:F,0,)</f>
        <v>Lollipop (regular or lollipop rings)</v>
      </c>
      <c r="F3130" t="str">
        <f>_xlfn.XLOOKUP($A3130,Load!$B:$B,Load!G:G,0,)</f>
        <v>Large Multipack (More than 80 ct)</v>
      </c>
      <c r="G3130" t="str">
        <f>_xlfn.XLOOKUP($A3130,Load!$B:$B,Load!H:H,0,)</f>
        <v>Stand-Up Bag</v>
      </c>
      <c r="H3130" t="str">
        <f>_xlfn.XLOOKUP($A3130,Load!$B:$B,Load!I:I,0,)</f>
        <v>Everyday Candy Shapes (like Original, Gummy bear, Fruit, Jewels, etc.)</v>
      </c>
      <c r="I3130" t="str">
        <f>_xlfn.XLOOKUP($A3130,Load!$B:$B,Load!J:J,0,)</f>
        <v>Seasonal Graphics (Like Bat, Ghost, Pumpkin, Fall Leaves, Eyeballs, etc.)</v>
      </c>
      <c r="J3130" t="str">
        <f>_xlfn.XLOOKUP($A3130,Load!$B:$B,Load!K:K,0,)</f>
        <v>Regular Lollipop size (on sticks or rings)</v>
      </c>
      <c r="K3130" t="str">
        <f>_xlfn.XLOOKUP($A3130,Load!$B:$B,Load!L:L,0,)</f>
        <v>Regular/Original Wrapping</v>
      </c>
      <c r="L3130" t="str">
        <f>_xlfn.XLOOKUP($A3130,Load!$B:$B,Load!M:M,0,)</f>
        <v>Multiple Brands / Variety Flavors or Form</v>
      </c>
    </row>
    <row r="3131" spans="1:12" x14ac:dyDescent="0.25">
      <c r="B3131">
        <f>_xlfn.XLOOKUP($A3131,Load!$B:$B,Load!C:C,0,)</f>
        <v>0</v>
      </c>
      <c r="C3131">
        <f>_xlfn.XLOOKUP($A3131,Load!$B:$B,Load!D:D,0,)</f>
        <v>0</v>
      </c>
      <c r="D3131">
        <f>_xlfn.XLOOKUP($A3131,Load!$B:$B,Load!E:E,0,)</f>
        <v>0</v>
      </c>
      <c r="E3131">
        <f>_xlfn.XLOOKUP($A3131,Load!$B:$B,Load!F:F,0,)</f>
        <v>0</v>
      </c>
      <c r="F3131">
        <f>_xlfn.XLOOKUP($A3131,Load!$B:$B,Load!G:G,0,)</f>
        <v>0</v>
      </c>
      <c r="G3131">
        <f>_xlfn.XLOOKUP($A3131,Load!$B:$B,Load!H:H,0,)</f>
        <v>0</v>
      </c>
      <c r="H3131">
        <f>_xlfn.XLOOKUP($A3131,Load!$B:$B,Load!I:I,0,)</f>
        <v>0</v>
      </c>
      <c r="I3131">
        <f>_xlfn.XLOOKUP($A3131,Load!$B:$B,Load!J:J,0,)</f>
        <v>0</v>
      </c>
      <c r="J3131">
        <f>_xlfn.XLOOKUP($A3131,Load!$B:$B,Load!K:K,0,)</f>
        <v>0</v>
      </c>
      <c r="K3131">
        <f>_xlfn.XLOOKUP($A3131,Load!$B:$B,Load!L:L,0,)</f>
        <v>0</v>
      </c>
      <c r="L3131">
        <f>_xlfn.XLOOKUP($A3131,Load!$B:$B,Load!M:M,0,)</f>
        <v>0</v>
      </c>
    </row>
    <row r="3132" spans="1:12" x14ac:dyDescent="0.25">
      <c r="A3132" t="s">
        <v>291</v>
      </c>
      <c r="B3132" t="str">
        <f>_xlfn.XLOOKUP($A3132,Load!$B:$B,Load!C:C,0,)</f>
        <v>Tootsie</v>
      </c>
      <c r="C3132" t="str">
        <f>_xlfn.XLOOKUP($A3132,Load!$B:$B,Load!D:D,0,)</f>
        <v>Non-Chocolate Candy Only</v>
      </c>
      <c r="D3132" t="str">
        <f>_xlfn.XLOOKUP($A3132,Load!$B:$B,Load!E:E,0,)</f>
        <v>Fall / Seasonal Flavors (pumpkin spice, caramel apple, candy corn)</v>
      </c>
      <c r="E3132" t="str">
        <f>_xlfn.XLOOKUP($A3132,Load!$B:$B,Load!F:F,0,)</f>
        <v>Lollipop (regular or lollipop rings)</v>
      </c>
      <c r="F3132" t="str">
        <f>_xlfn.XLOOKUP($A3132,Load!$B:$B,Load!G:G,0,)</f>
        <v>Single Pack</v>
      </c>
      <c r="G3132" t="str">
        <f>_xlfn.XLOOKUP($A3132,Load!$B:$B,Load!H:H,0,)</f>
        <v>Laydown Bag</v>
      </c>
      <c r="H3132" t="str">
        <f>_xlfn.XLOOKUP($A3132,Load!$B:$B,Load!I:I,0,)</f>
        <v>Seasonal Shapes (like pumpkins, candy corn, ghost, bats, etc.)</v>
      </c>
      <c r="I3132" t="str">
        <f>_xlfn.XLOOKUP($A3132,Load!$B:$B,Load!J:J,0,)</f>
        <v>Seasonal Graphics (Like Bat, Ghost, Pumpkin, Fall Leaves, Eyeballs, etc.)</v>
      </c>
      <c r="J3132" t="str">
        <f>_xlfn.XLOOKUP($A3132,Load!$B:$B,Load!K:K,0,)</f>
        <v>Regular Lollipop size (on sticks or rings)</v>
      </c>
      <c r="K3132" t="str">
        <f>_xlfn.XLOOKUP($A3132,Load!$B:$B,Load!L:L,0,)</f>
        <v>Regular/Original Wrapping</v>
      </c>
      <c r="L3132" t="str">
        <f>_xlfn.XLOOKUP($A3132,Load!$B:$B,Load!M:M,0,)</f>
        <v>Single Brand / Single Flavor or Form</v>
      </c>
    </row>
    <row r="3133" spans="1:12" x14ac:dyDescent="0.25">
      <c r="B3133">
        <f>_xlfn.XLOOKUP($A3133,Load!$B:$B,Load!C:C,0,)</f>
        <v>0</v>
      </c>
      <c r="C3133">
        <f>_xlfn.XLOOKUP($A3133,Load!$B:$B,Load!D:D,0,)</f>
        <v>0</v>
      </c>
      <c r="D3133">
        <f>_xlfn.XLOOKUP($A3133,Load!$B:$B,Load!E:E,0,)</f>
        <v>0</v>
      </c>
      <c r="E3133">
        <f>_xlfn.XLOOKUP($A3133,Load!$B:$B,Load!F:F,0,)</f>
        <v>0</v>
      </c>
      <c r="F3133">
        <f>_xlfn.XLOOKUP($A3133,Load!$B:$B,Load!G:G,0,)</f>
        <v>0</v>
      </c>
      <c r="G3133">
        <f>_xlfn.XLOOKUP($A3133,Load!$B:$B,Load!H:H,0,)</f>
        <v>0</v>
      </c>
      <c r="H3133">
        <f>_xlfn.XLOOKUP($A3133,Load!$B:$B,Load!I:I,0,)</f>
        <v>0</v>
      </c>
      <c r="I3133">
        <f>_xlfn.XLOOKUP($A3133,Load!$B:$B,Load!J:J,0,)</f>
        <v>0</v>
      </c>
      <c r="J3133">
        <f>_xlfn.XLOOKUP($A3133,Load!$B:$B,Load!K:K,0,)</f>
        <v>0</v>
      </c>
      <c r="K3133">
        <f>_xlfn.XLOOKUP($A3133,Load!$B:$B,Load!L:L,0,)</f>
        <v>0</v>
      </c>
      <c r="L3133">
        <f>_xlfn.XLOOKUP($A3133,Load!$B:$B,Load!M:M,0,)</f>
        <v>0</v>
      </c>
    </row>
    <row r="3134" spans="1:12" x14ac:dyDescent="0.25">
      <c r="A3134" t="s">
        <v>271</v>
      </c>
      <c r="B3134" t="str">
        <f>_xlfn.XLOOKUP($A3134,Load!$B:$B,Load!C:C,0,)</f>
        <v>Sour Patch Kids</v>
      </c>
      <c r="C3134" t="str">
        <f>_xlfn.XLOOKUP($A3134,Load!$B:$B,Load!D:D,0,)</f>
        <v>Non-Chocolate Candy Only</v>
      </c>
      <c r="D3134" t="str">
        <f>_xlfn.XLOOKUP($A3134,Load!$B:$B,Load!E:E,0,)</f>
        <v>Sour</v>
      </c>
      <c r="E3134" t="str">
        <f>_xlfn.XLOOKUP($A3134,Load!$B:$B,Load!F:F,0,)</f>
        <v>Chewy</v>
      </c>
      <c r="F3134" t="str">
        <f>_xlfn.XLOOKUP($A3134,Load!$B:$B,Load!G:G,0,)</f>
        <v>Medium Multipack (40–80 ct)</v>
      </c>
      <c r="G3134" t="str">
        <f>_xlfn.XLOOKUP($A3134,Load!$B:$B,Load!H:H,0,)</f>
        <v>Laydown Bag</v>
      </c>
      <c r="H3134" t="str">
        <f>_xlfn.XLOOKUP($A3134,Load!$B:$B,Load!I:I,0,)</f>
        <v>Everyday Candy Shapes (like Original, Gummy bear, Fruit, Jewels, etc.)</v>
      </c>
      <c r="I3134" t="str">
        <f>_xlfn.XLOOKUP($A3134,Load!$B:$B,Load!J:J,0,)</f>
        <v>Seasonal Graphics (Like Bat, Ghost, Pumpkin, Fall Leaves, Eyeballs, etc.)</v>
      </c>
      <c r="J3134" t="str">
        <f>_xlfn.XLOOKUP($A3134,Load!$B:$B,Load!K:K,0,)</f>
        <v>Small Pieces (Tiny bite size candies)</v>
      </c>
      <c r="K3134" t="str">
        <f>_xlfn.XLOOKUP($A3134,Load!$B:$B,Load!L:L,0,)</f>
        <v>Regular/Original Wrapping</v>
      </c>
      <c r="L3134" t="str">
        <f>_xlfn.XLOOKUP($A3134,Load!$B:$B,Load!M:M,0,)</f>
        <v>Single Brand / Variety Flavors or Form</v>
      </c>
    </row>
    <row r="3135" spans="1:12" x14ac:dyDescent="0.25">
      <c r="B3135">
        <f>_xlfn.XLOOKUP($A3135,Load!$B:$B,Load!C:C,0,)</f>
        <v>0</v>
      </c>
      <c r="C3135">
        <f>_xlfn.XLOOKUP($A3135,Load!$B:$B,Load!D:D,0,)</f>
        <v>0</v>
      </c>
      <c r="D3135">
        <f>_xlfn.XLOOKUP($A3135,Load!$B:$B,Load!E:E,0,)</f>
        <v>0</v>
      </c>
      <c r="E3135">
        <f>_xlfn.XLOOKUP($A3135,Load!$B:$B,Load!F:F,0,)</f>
        <v>0</v>
      </c>
      <c r="F3135">
        <f>_xlfn.XLOOKUP($A3135,Load!$B:$B,Load!G:G,0,)</f>
        <v>0</v>
      </c>
      <c r="G3135">
        <f>_xlfn.XLOOKUP($A3135,Load!$B:$B,Load!H:H,0,)</f>
        <v>0</v>
      </c>
      <c r="H3135">
        <f>_xlfn.XLOOKUP($A3135,Load!$B:$B,Load!I:I,0,)</f>
        <v>0</v>
      </c>
      <c r="I3135">
        <f>_xlfn.XLOOKUP($A3135,Load!$B:$B,Load!J:J,0,)</f>
        <v>0</v>
      </c>
      <c r="J3135">
        <f>_xlfn.XLOOKUP($A3135,Load!$B:$B,Load!K:K,0,)</f>
        <v>0</v>
      </c>
      <c r="K3135">
        <f>_xlfn.XLOOKUP($A3135,Load!$B:$B,Load!L:L,0,)</f>
        <v>0</v>
      </c>
      <c r="L3135">
        <f>_xlfn.XLOOKUP($A3135,Load!$B:$B,Load!M:M,0,)</f>
        <v>0</v>
      </c>
    </row>
    <row r="3136" spans="1:12" x14ac:dyDescent="0.25">
      <c r="B3136">
        <f>_xlfn.XLOOKUP($A3136,Load!$B:$B,Load!C:C,0,)</f>
        <v>0</v>
      </c>
      <c r="C3136">
        <f>_xlfn.XLOOKUP($A3136,Load!$B:$B,Load!D:D,0,)</f>
        <v>0</v>
      </c>
      <c r="D3136">
        <f>_xlfn.XLOOKUP($A3136,Load!$B:$B,Load!E:E,0,)</f>
        <v>0</v>
      </c>
      <c r="E3136">
        <f>_xlfn.XLOOKUP($A3136,Load!$B:$B,Load!F:F,0,)</f>
        <v>0</v>
      </c>
      <c r="F3136">
        <f>_xlfn.XLOOKUP($A3136,Load!$B:$B,Load!G:G,0,)</f>
        <v>0</v>
      </c>
      <c r="G3136">
        <f>_xlfn.XLOOKUP($A3136,Load!$B:$B,Load!H:H,0,)</f>
        <v>0</v>
      </c>
      <c r="H3136">
        <f>_xlfn.XLOOKUP($A3136,Load!$B:$B,Load!I:I,0,)</f>
        <v>0</v>
      </c>
      <c r="I3136">
        <f>_xlfn.XLOOKUP($A3136,Load!$B:$B,Load!J:J,0,)</f>
        <v>0</v>
      </c>
      <c r="J3136">
        <f>_xlfn.XLOOKUP($A3136,Load!$B:$B,Load!K:K,0,)</f>
        <v>0</v>
      </c>
      <c r="K3136">
        <f>_xlfn.XLOOKUP($A3136,Load!$B:$B,Load!L:L,0,)</f>
        <v>0</v>
      </c>
      <c r="L3136">
        <f>_xlfn.XLOOKUP($A3136,Load!$B:$B,Load!M:M,0,)</f>
        <v>0</v>
      </c>
    </row>
    <row r="3137" spans="1:12" x14ac:dyDescent="0.25">
      <c r="B3137">
        <f>_xlfn.XLOOKUP($A3137,Load!$B:$B,Load!C:C,0,)</f>
        <v>0</v>
      </c>
      <c r="C3137">
        <f>_xlfn.XLOOKUP($A3137,Load!$B:$B,Load!D:D,0,)</f>
        <v>0</v>
      </c>
      <c r="D3137">
        <f>_xlfn.XLOOKUP($A3137,Load!$B:$B,Load!E:E,0,)</f>
        <v>0</v>
      </c>
      <c r="E3137">
        <f>_xlfn.XLOOKUP($A3137,Load!$B:$B,Load!F:F,0,)</f>
        <v>0</v>
      </c>
      <c r="F3137">
        <f>_xlfn.XLOOKUP($A3137,Load!$B:$B,Load!G:G,0,)</f>
        <v>0</v>
      </c>
      <c r="G3137">
        <f>_xlfn.XLOOKUP($A3137,Load!$B:$B,Load!H:H,0,)</f>
        <v>0</v>
      </c>
      <c r="H3137">
        <f>_xlfn.XLOOKUP($A3137,Load!$B:$B,Load!I:I,0,)</f>
        <v>0</v>
      </c>
      <c r="I3137">
        <f>_xlfn.XLOOKUP($A3137,Load!$B:$B,Load!J:J,0,)</f>
        <v>0</v>
      </c>
      <c r="J3137">
        <f>_xlfn.XLOOKUP($A3137,Load!$B:$B,Load!K:K,0,)</f>
        <v>0</v>
      </c>
      <c r="K3137">
        <f>_xlfn.XLOOKUP($A3137,Load!$B:$B,Load!L:L,0,)</f>
        <v>0</v>
      </c>
      <c r="L3137">
        <f>_xlfn.XLOOKUP($A3137,Load!$B:$B,Load!M:M,0,)</f>
        <v>0</v>
      </c>
    </row>
    <row r="3138" spans="1:12" x14ac:dyDescent="0.25">
      <c r="B3138">
        <f>_xlfn.XLOOKUP($A3138,Load!$B:$B,Load!C:C,0,)</f>
        <v>0</v>
      </c>
      <c r="C3138">
        <f>_xlfn.XLOOKUP($A3138,Load!$B:$B,Load!D:D,0,)</f>
        <v>0</v>
      </c>
      <c r="D3138">
        <f>_xlfn.XLOOKUP($A3138,Load!$B:$B,Load!E:E,0,)</f>
        <v>0</v>
      </c>
      <c r="E3138">
        <f>_xlfn.XLOOKUP($A3138,Load!$B:$B,Load!F:F,0,)</f>
        <v>0</v>
      </c>
      <c r="F3138">
        <f>_xlfn.XLOOKUP($A3138,Load!$B:$B,Load!G:G,0,)</f>
        <v>0</v>
      </c>
      <c r="G3138">
        <f>_xlfn.XLOOKUP($A3138,Load!$B:$B,Load!H:H,0,)</f>
        <v>0</v>
      </c>
      <c r="H3138">
        <f>_xlfn.XLOOKUP($A3138,Load!$B:$B,Load!I:I,0,)</f>
        <v>0</v>
      </c>
      <c r="I3138">
        <f>_xlfn.XLOOKUP($A3138,Load!$B:$B,Load!J:J,0,)</f>
        <v>0</v>
      </c>
      <c r="J3138">
        <f>_xlfn.XLOOKUP($A3138,Load!$B:$B,Load!K:K,0,)</f>
        <v>0</v>
      </c>
      <c r="K3138">
        <f>_xlfn.XLOOKUP($A3138,Load!$B:$B,Load!L:L,0,)</f>
        <v>0</v>
      </c>
      <c r="L3138">
        <f>_xlfn.XLOOKUP($A3138,Load!$B:$B,Load!M:M,0,)</f>
        <v>0</v>
      </c>
    </row>
    <row r="3139" spans="1:12" x14ac:dyDescent="0.25">
      <c r="B3139">
        <f>_xlfn.XLOOKUP($A3139,Load!$B:$B,Load!C:C,0,)</f>
        <v>0</v>
      </c>
      <c r="C3139">
        <f>_xlfn.XLOOKUP($A3139,Load!$B:$B,Load!D:D,0,)</f>
        <v>0</v>
      </c>
      <c r="D3139">
        <f>_xlfn.XLOOKUP($A3139,Load!$B:$B,Load!E:E,0,)</f>
        <v>0</v>
      </c>
      <c r="E3139">
        <f>_xlfn.XLOOKUP($A3139,Load!$B:$B,Load!F:F,0,)</f>
        <v>0</v>
      </c>
      <c r="F3139">
        <f>_xlfn.XLOOKUP($A3139,Load!$B:$B,Load!G:G,0,)</f>
        <v>0</v>
      </c>
      <c r="G3139">
        <f>_xlfn.XLOOKUP($A3139,Load!$B:$B,Load!H:H,0,)</f>
        <v>0</v>
      </c>
      <c r="H3139">
        <f>_xlfn.XLOOKUP($A3139,Load!$B:$B,Load!I:I,0,)</f>
        <v>0</v>
      </c>
      <c r="I3139">
        <f>_xlfn.XLOOKUP($A3139,Load!$B:$B,Load!J:J,0,)</f>
        <v>0</v>
      </c>
      <c r="J3139">
        <f>_xlfn.XLOOKUP($A3139,Load!$B:$B,Load!K:K,0,)</f>
        <v>0</v>
      </c>
      <c r="K3139">
        <f>_xlfn.XLOOKUP($A3139,Load!$B:$B,Load!L:L,0,)</f>
        <v>0</v>
      </c>
      <c r="L3139">
        <f>_xlfn.XLOOKUP($A3139,Load!$B:$B,Load!M:M,0,)</f>
        <v>0</v>
      </c>
    </row>
    <row r="3140" spans="1:12" x14ac:dyDescent="0.25">
      <c r="A3140" t="s">
        <v>139</v>
      </c>
      <c r="B3140" t="str">
        <f>_xlfn.XLOOKUP($A3140,Load!$B:$B,Load!C:C,0,)</f>
        <v>Hershey's Variety Pack + Haribo</v>
      </c>
      <c r="C3140" t="str">
        <f>_xlfn.XLOOKUP($A3140,Load!$B:$B,Load!D:D,0,)</f>
        <v>Mix of Chocolate and Non-Chocolate Candy</v>
      </c>
      <c r="D3140" t="str">
        <f>_xlfn.XLOOKUP($A3140,Load!$B:$B,Load!E:E,0,)</f>
        <v>Variety / Mixed Flavors (Fruity, Sour, Seasonal Flavors)</v>
      </c>
      <c r="E3140" t="str">
        <f>_xlfn.XLOOKUP($A3140,Load!$B:$B,Load!F:F,0,)</f>
        <v>Mixed / Combo Packs (Gummy, Chewy, Taffy, etc.)</v>
      </c>
      <c r="F3140" t="str">
        <f>_xlfn.XLOOKUP($A3140,Load!$B:$B,Load!G:G,0,)</f>
        <v>Large Multipack (More than 80 ct)</v>
      </c>
      <c r="G3140" t="str">
        <f>_xlfn.XLOOKUP($A3140,Load!$B:$B,Load!H:H,0,)</f>
        <v>Stand-Up Bag</v>
      </c>
      <c r="H3140" t="str">
        <f>_xlfn.XLOOKUP($A3140,Load!$B:$B,Load!I:I,0,)</f>
        <v>Everyday Candy Shapes (like Original, Gummy bear, Fruit, Jewels, etc.)</v>
      </c>
      <c r="I3140" t="str">
        <f>_xlfn.XLOOKUP($A3140,Load!$B:$B,Load!J:J,0,)</f>
        <v>Seasonal Graphics (Like Bat, Ghost, Pumpkin, Fall Leaves, Eyeballs, etc.)</v>
      </c>
      <c r="J3140" t="str">
        <f>_xlfn.XLOOKUP($A3140,Load!$B:$B,Load!K:K,0,)</f>
        <v>Fun Size / Treat Size</v>
      </c>
      <c r="K3140" t="str">
        <f>_xlfn.XLOOKUP($A3140,Load!$B:$B,Load!L:L,0,)</f>
        <v>Regular/Original Wrapping</v>
      </c>
      <c r="L3140" t="str">
        <f>_xlfn.XLOOKUP($A3140,Load!$B:$B,Load!M:M,0,)</f>
        <v>Multiple Brands / Variety Flavors or Form</v>
      </c>
    </row>
    <row r="3141" spans="1:12" x14ac:dyDescent="0.25">
      <c r="B3141">
        <f>_xlfn.XLOOKUP($A3141,Load!$B:$B,Load!C:C,0,)</f>
        <v>0</v>
      </c>
      <c r="C3141">
        <f>_xlfn.XLOOKUP($A3141,Load!$B:$B,Load!D:D,0,)</f>
        <v>0</v>
      </c>
      <c r="D3141">
        <f>_xlfn.XLOOKUP($A3141,Load!$B:$B,Load!E:E,0,)</f>
        <v>0</v>
      </c>
      <c r="E3141">
        <f>_xlfn.XLOOKUP($A3141,Load!$B:$B,Load!F:F,0,)</f>
        <v>0</v>
      </c>
      <c r="F3141">
        <f>_xlfn.XLOOKUP($A3141,Load!$B:$B,Load!G:G,0,)</f>
        <v>0</v>
      </c>
      <c r="G3141">
        <f>_xlfn.XLOOKUP($A3141,Load!$B:$B,Load!H:H,0,)</f>
        <v>0</v>
      </c>
      <c r="H3141">
        <f>_xlfn.XLOOKUP($A3141,Load!$B:$B,Load!I:I,0,)</f>
        <v>0</v>
      </c>
      <c r="I3141">
        <f>_xlfn.XLOOKUP($A3141,Load!$B:$B,Load!J:J,0,)</f>
        <v>0</v>
      </c>
      <c r="J3141">
        <f>_xlfn.XLOOKUP($A3141,Load!$B:$B,Load!K:K,0,)</f>
        <v>0</v>
      </c>
      <c r="K3141">
        <f>_xlfn.XLOOKUP($A3141,Load!$B:$B,Load!L:L,0,)</f>
        <v>0</v>
      </c>
      <c r="L3141">
        <f>_xlfn.XLOOKUP($A3141,Load!$B:$B,Load!M:M,0,)</f>
        <v>0</v>
      </c>
    </row>
    <row r="3142" spans="1:12" x14ac:dyDescent="0.25">
      <c r="B3142">
        <f>_xlfn.XLOOKUP($A3142,Load!$B:$B,Load!C:C,0,)</f>
        <v>0</v>
      </c>
      <c r="C3142">
        <f>_xlfn.XLOOKUP($A3142,Load!$B:$B,Load!D:D,0,)</f>
        <v>0</v>
      </c>
      <c r="D3142">
        <f>_xlfn.XLOOKUP($A3142,Load!$B:$B,Load!E:E,0,)</f>
        <v>0</v>
      </c>
      <c r="E3142">
        <f>_xlfn.XLOOKUP($A3142,Load!$B:$B,Load!F:F,0,)</f>
        <v>0</v>
      </c>
      <c r="F3142">
        <f>_xlfn.XLOOKUP($A3142,Load!$B:$B,Load!G:G,0,)</f>
        <v>0</v>
      </c>
      <c r="G3142">
        <f>_xlfn.XLOOKUP($A3142,Load!$B:$B,Load!H:H,0,)</f>
        <v>0</v>
      </c>
      <c r="H3142">
        <f>_xlfn.XLOOKUP($A3142,Load!$B:$B,Load!I:I,0,)</f>
        <v>0</v>
      </c>
      <c r="I3142">
        <f>_xlfn.XLOOKUP($A3142,Load!$B:$B,Load!J:J,0,)</f>
        <v>0</v>
      </c>
      <c r="J3142">
        <f>_xlfn.XLOOKUP($A3142,Load!$B:$B,Load!K:K,0,)</f>
        <v>0</v>
      </c>
      <c r="K3142">
        <f>_xlfn.XLOOKUP($A3142,Load!$B:$B,Load!L:L,0,)</f>
        <v>0</v>
      </c>
      <c r="L3142">
        <f>_xlfn.XLOOKUP($A3142,Load!$B:$B,Load!M:M,0,)</f>
        <v>0</v>
      </c>
    </row>
    <row r="3143" spans="1:12" x14ac:dyDescent="0.25">
      <c r="B3143">
        <f>_xlfn.XLOOKUP($A3143,Load!$B:$B,Load!C:C,0,)</f>
        <v>0</v>
      </c>
      <c r="C3143">
        <f>_xlfn.XLOOKUP($A3143,Load!$B:$B,Load!D:D,0,)</f>
        <v>0</v>
      </c>
      <c r="D3143">
        <f>_xlfn.XLOOKUP($A3143,Load!$B:$B,Load!E:E,0,)</f>
        <v>0</v>
      </c>
      <c r="E3143">
        <f>_xlfn.XLOOKUP($A3143,Load!$B:$B,Load!F:F,0,)</f>
        <v>0</v>
      </c>
      <c r="F3143">
        <f>_xlfn.XLOOKUP($A3143,Load!$B:$B,Load!G:G,0,)</f>
        <v>0</v>
      </c>
      <c r="G3143">
        <f>_xlfn.XLOOKUP($A3143,Load!$B:$B,Load!H:H,0,)</f>
        <v>0</v>
      </c>
      <c r="H3143">
        <f>_xlfn.XLOOKUP($A3143,Load!$B:$B,Load!I:I,0,)</f>
        <v>0</v>
      </c>
      <c r="I3143">
        <f>_xlfn.XLOOKUP($A3143,Load!$B:$B,Load!J:J,0,)</f>
        <v>0</v>
      </c>
      <c r="J3143">
        <f>_xlfn.XLOOKUP($A3143,Load!$B:$B,Load!K:K,0,)</f>
        <v>0</v>
      </c>
      <c r="K3143">
        <f>_xlfn.XLOOKUP($A3143,Load!$B:$B,Load!L:L,0,)</f>
        <v>0</v>
      </c>
      <c r="L3143">
        <f>_xlfn.XLOOKUP($A3143,Load!$B:$B,Load!M:M,0,)</f>
        <v>0</v>
      </c>
    </row>
    <row r="3144" spans="1:12" x14ac:dyDescent="0.25">
      <c r="A3144" t="s">
        <v>243</v>
      </c>
      <c r="B3144" t="str">
        <f>_xlfn.XLOOKUP($A3144,Load!$B:$B,Load!C:C,0,)</f>
        <v>Peeps</v>
      </c>
      <c r="C3144" t="str">
        <f>_xlfn.XLOOKUP($A3144,Load!$B:$B,Load!D:D,0,)</f>
        <v>Non-Chocolate Candy Only</v>
      </c>
      <c r="D3144" t="str">
        <f>_xlfn.XLOOKUP($A3144,Load!$B:$B,Load!E:E,0,)</f>
        <v>Fall / Seasonal Flavors (pumpkin spice, caramel apple, candy corn)</v>
      </c>
      <c r="E3144" t="str">
        <f>_xlfn.XLOOKUP($A3144,Load!$B:$B,Load!F:F,0,)</f>
        <v>Foamy / Aerated / Freeze Dried</v>
      </c>
      <c r="F3144" t="str">
        <f>_xlfn.XLOOKUP($A3144,Load!$B:$B,Load!G:G,0,)</f>
        <v>Single Pack</v>
      </c>
      <c r="G3144" t="str">
        <f>_xlfn.XLOOKUP($A3144,Load!$B:$B,Load!H:H,0,)</f>
        <v>Box (theatre box, gift box, carton)</v>
      </c>
      <c r="H3144" t="str">
        <f>_xlfn.XLOOKUP($A3144,Load!$B:$B,Load!I:I,0,)</f>
        <v>Seasonal Shapes (like pumpkins, candy corn, ghost, bats, etc.)</v>
      </c>
      <c r="I3144" t="str">
        <f>_xlfn.XLOOKUP($A3144,Load!$B:$B,Load!J:J,0,)</f>
        <v>Seasonal Graphics (Like Bat, Ghost, Pumpkin, Fall Leaves, Eyeballs, etc.)</v>
      </c>
      <c r="J3144" t="str">
        <f>_xlfn.XLOOKUP($A3144,Load!$B:$B,Load!K:K,0,)</f>
        <v>Fun Size / Treat Size</v>
      </c>
      <c r="K3144" t="str">
        <f>_xlfn.XLOOKUP($A3144,Load!$B:$B,Load!L:L,0,)</f>
        <v>Unwrapped</v>
      </c>
      <c r="L3144" t="str">
        <f>_xlfn.XLOOKUP($A3144,Load!$B:$B,Load!M:M,0,)</f>
        <v>Single Brand / Single Flavor or Form</v>
      </c>
    </row>
    <row r="3145" spans="1:12" x14ac:dyDescent="0.25">
      <c r="B3145">
        <f>_xlfn.XLOOKUP($A3145,Load!$B:$B,Load!C:C,0,)</f>
        <v>0</v>
      </c>
      <c r="C3145">
        <f>_xlfn.XLOOKUP($A3145,Load!$B:$B,Load!D:D,0,)</f>
        <v>0</v>
      </c>
      <c r="D3145">
        <f>_xlfn.XLOOKUP($A3145,Load!$B:$B,Load!E:E,0,)</f>
        <v>0</v>
      </c>
      <c r="E3145">
        <f>_xlfn.XLOOKUP($A3145,Load!$B:$B,Load!F:F,0,)</f>
        <v>0</v>
      </c>
      <c r="F3145">
        <f>_xlfn.XLOOKUP($A3145,Load!$B:$B,Load!G:G,0,)</f>
        <v>0</v>
      </c>
      <c r="G3145">
        <f>_xlfn.XLOOKUP($A3145,Load!$B:$B,Load!H:H,0,)</f>
        <v>0</v>
      </c>
      <c r="H3145">
        <f>_xlfn.XLOOKUP($A3145,Load!$B:$B,Load!I:I,0,)</f>
        <v>0</v>
      </c>
      <c r="I3145">
        <f>_xlfn.XLOOKUP($A3145,Load!$B:$B,Load!J:J,0,)</f>
        <v>0</v>
      </c>
      <c r="J3145">
        <f>_xlfn.XLOOKUP($A3145,Load!$B:$B,Load!K:K,0,)</f>
        <v>0</v>
      </c>
      <c r="K3145">
        <f>_xlfn.XLOOKUP($A3145,Load!$B:$B,Load!L:L,0,)</f>
        <v>0</v>
      </c>
      <c r="L3145">
        <f>_xlfn.XLOOKUP($A3145,Load!$B:$B,Load!M:M,0,)</f>
        <v>0</v>
      </c>
    </row>
    <row r="3146" spans="1:12" x14ac:dyDescent="0.25">
      <c r="A3146" t="s">
        <v>179</v>
      </c>
      <c r="B3146" t="str">
        <f>_xlfn.XLOOKUP($A3146,Load!$B:$B,Load!C:C,0,)</f>
        <v>Mars Variety Pack</v>
      </c>
      <c r="C3146" t="str">
        <f>_xlfn.XLOOKUP($A3146,Load!$B:$B,Load!D:D,0,)</f>
        <v>Non-Chocolate Candy Only</v>
      </c>
      <c r="D3146" t="str">
        <f>_xlfn.XLOOKUP($A3146,Load!$B:$B,Load!E:E,0,)</f>
        <v>Variety / Mixed Flavors (Fruity, Sour, Seasonal Flavors)</v>
      </c>
      <c r="E3146" t="str">
        <f>_xlfn.XLOOKUP($A3146,Load!$B:$B,Load!F:F,0,)</f>
        <v>Mixed / Combo Packs (Gummy, Chewy, Taffy, etc.)</v>
      </c>
      <c r="F3146" t="str">
        <f>_xlfn.XLOOKUP($A3146,Load!$B:$B,Load!G:G,0,)</f>
        <v>Medium Multipack (40–80 ct)</v>
      </c>
      <c r="G3146" t="str">
        <f>_xlfn.XLOOKUP($A3146,Load!$B:$B,Load!H:H,0,)</f>
        <v>Stand-Up Bag</v>
      </c>
      <c r="H3146" t="str">
        <f>_xlfn.XLOOKUP($A3146,Load!$B:$B,Load!I:I,0,)</f>
        <v>Everyday Candy Shapes (like Original, Gummy bear, Fruit, Jewels, etc.)</v>
      </c>
      <c r="I3146" t="str">
        <f>_xlfn.XLOOKUP($A3146,Load!$B:$B,Load!J:J,0,)</f>
        <v>Seasonal Graphics (Like Bat, Ghost, Pumpkin, Fall Leaves, Eyeballs, etc.)</v>
      </c>
      <c r="J3146" t="str">
        <f>_xlfn.XLOOKUP($A3146,Load!$B:$B,Load!K:K,0,)</f>
        <v>Fun Size / Treat Size</v>
      </c>
      <c r="K3146" t="str">
        <f>_xlfn.XLOOKUP($A3146,Load!$B:$B,Load!L:L,0,)</f>
        <v>Regular/Original Wrapping</v>
      </c>
      <c r="L3146" t="str">
        <f>_xlfn.XLOOKUP($A3146,Load!$B:$B,Load!M:M,0,)</f>
        <v>Multiple Brands / Variety Flavors or Form</v>
      </c>
    </row>
    <row r="3147" spans="1:12" x14ac:dyDescent="0.25">
      <c r="A3147" t="s">
        <v>120</v>
      </c>
      <c r="B3147" t="str">
        <f>_xlfn.XLOOKUP($A3147,Load!$B:$B,Load!C:C,0,)</f>
        <v>HARIBO</v>
      </c>
      <c r="C3147" t="str">
        <f>_xlfn.XLOOKUP($A3147,Load!$B:$B,Load!D:D,0,)</f>
        <v>Non-Chocolate Candy Only</v>
      </c>
      <c r="D3147" t="str">
        <f>_xlfn.XLOOKUP($A3147,Load!$B:$B,Load!E:E,0,)</f>
        <v>Variety / Mixed Flavors (Fruity, Sour, Seasonal Flavors)</v>
      </c>
      <c r="E3147" t="str">
        <f>_xlfn.XLOOKUP($A3147,Load!$B:$B,Load!F:F,0,)</f>
        <v>Mixed / Combo Packs (Gummy, Chewy, Taffy, etc.)</v>
      </c>
      <c r="F3147" t="str">
        <f>_xlfn.XLOOKUP($A3147,Load!$B:$B,Load!G:G,0,)</f>
        <v>Medium Multipack (40–80 ct)</v>
      </c>
      <c r="G3147" t="str">
        <f>_xlfn.XLOOKUP($A3147,Load!$B:$B,Load!H:H,0,)</f>
        <v>Laydown Bag</v>
      </c>
      <c r="H3147" t="str">
        <f>_xlfn.XLOOKUP($A3147,Load!$B:$B,Load!I:I,0,)</f>
        <v>Seasonal Shapes (like pumpkins, candy corn, ghost, bats, etc.)</v>
      </c>
      <c r="I3147" t="str">
        <f>_xlfn.XLOOKUP($A3147,Load!$B:$B,Load!J:J,0,)</f>
        <v>Seasonal Graphics (Like Bat, Ghost, Pumpkin, Fall Leaves, Eyeballs, etc.)</v>
      </c>
      <c r="J3147" t="str">
        <f>_xlfn.XLOOKUP($A3147,Load!$B:$B,Load!K:K,0,)</f>
        <v>Small Pieces (Tiny bite size candies)</v>
      </c>
      <c r="K3147" t="str">
        <f>_xlfn.XLOOKUP($A3147,Load!$B:$B,Load!L:L,0,)</f>
        <v>Regular/Original Wrapping</v>
      </c>
      <c r="L3147" t="str">
        <f>_xlfn.XLOOKUP($A3147,Load!$B:$B,Load!M:M,0,)</f>
        <v>Single Brand / Variety Flavors or Form</v>
      </c>
    </row>
    <row r="3148" spans="1:12" x14ac:dyDescent="0.25">
      <c r="B3148">
        <f>_xlfn.XLOOKUP($A3148,Load!$B:$B,Load!C:C,0,)</f>
        <v>0</v>
      </c>
      <c r="C3148">
        <f>_xlfn.XLOOKUP($A3148,Load!$B:$B,Load!D:D,0,)</f>
        <v>0</v>
      </c>
      <c r="D3148">
        <f>_xlfn.XLOOKUP($A3148,Load!$B:$B,Load!E:E,0,)</f>
        <v>0</v>
      </c>
      <c r="E3148">
        <f>_xlfn.XLOOKUP($A3148,Load!$B:$B,Load!F:F,0,)</f>
        <v>0</v>
      </c>
      <c r="F3148">
        <f>_xlfn.XLOOKUP($A3148,Load!$B:$B,Load!G:G,0,)</f>
        <v>0</v>
      </c>
      <c r="G3148">
        <f>_xlfn.XLOOKUP($A3148,Load!$B:$B,Load!H:H,0,)</f>
        <v>0</v>
      </c>
      <c r="H3148">
        <f>_xlfn.XLOOKUP($A3148,Load!$B:$B,Load!I:I,0,)</f>
        <v>0</v>
      </c>
      <c r="I3148">
        <f>_xlfn.XLOOKUP($A3148,Load!$B:$B,Load!J:J,0,)</f>
        <v>0</v>
      </c>
      <c r="J3148">
        <f>_xlfn.XLOOKUP($A3148,Load!$B:$B,Load!K:K,0,)</f>
        <v>0</v>
      </c>
      <c r="K3148">
        <f>_xlfn.XLOOKUP($A3148,Load!$B:$B,Load!L:L,0,)</f>
        <v>0</v>
      </c>
      <c r="L3148">
        <f>_xlfn.XLOOKUP($A3148,Load!$B:$B,Load!M:M,0,)</f>
        <v>0</v>
      </c>
    </row>
    <row r="3149" spans="1:12" x14ac:dyDescent="0.25">
      <c r="B3149">
        <f>_xlfn.XLOOKUP($A3149,Load!$B:$B,Load!C:C,0,)</f>
        <v>0</v>
      </c>
      <c r="C3149">
        <f>_xlfn.XLOOKUP($A3149,Load!$B:$B,Load!D:D,0,)</f>
        <v>0</v>
      </c>
      <c r="D3149">
        <f>_xlfn.XLOOKUP($A3149,Load!$B:$B,Load!E:E,0,)</f>
        <v>0</v>
      </c>
      <c r="E3149">
        <f>_xlfn.XLOOKUP($A3149,Load!$B:$B,Load!F:F,0,)</f>
        <v>0</v>
      </c>
      <c r="F3149">
        <f>_xlfn.XLOOKUP($A3149,Load!$B:$B,Load!G:G,0,)</f>
        <v>0</v>
      </c>
      <c r="G3149">
        <f>_xlfn.XLOOKUP($A3149,Load!$B:$B,Load!H:H,0,)</f>
        <v>0</v>
      </c>
      <c r="H3149">
        <f>_xlfn.XLOOKUP($A3149,Load!$B:$B,Load!I:I,0,)</f>
        <v>0</v>
      </c>
      <c r="I3149">
        <f>_xlfn.XLOOKUP($A3149,Load!$B:$B,Load!J:J,0,)</f>
        <v>0</v>
      </c>
      <c r="J3149">
        <f>_xlfn.XLOOKUP($A3149,Load!$B:$B,Load!K:K,0,)</f>
        <v>0</v>
      </c>
      <c r="K3149">
        <f>_xlfn.XLOOKUP($A3149,Load!$B:$B,Load!L:L,0,)</f>
        <v>0</v>
      </c>
      <c r="L3149">
        <f>_xlfn.XLOOKUP($A3149,Load!$B:$B,Load!M:M,0,)</f>
        <v>0</v>
      </c>
    </row>
    <row r="3150" spans="1:12" x14ac:dyDescent="0.25">
      <c r="A3150" t="s">
        <v>306</v>
      </c>
      <c r="B3150" t="str">
        <f>_xlfn.XLOOKUP($A3150,Load!$B:$B,Load!C:C,0,)</f>
        <v>Werther's Original</v>
      </c>
      <c r="C3150" t="str">
        <f>_xlfn.XLOOKUP($A3150,Load!$B:$B,Load!D:D,0,)</f>
        <v>Non-Chocolate Candy Only</v>
      </c>
      <c r="D3150" t="str">
        <f>_xlfn.XLOOKUP($A3150,Load!$B:$B,Load!E:E,0,)</f>
        <v>Fall / Seasonal Flavors (pumpkin spice, caramel apple, candy corn)</v>
      </c>
      <c r="E3150" t="str">
        <f>_xlfn.XLOOKUP($A3150,Load!$B:$B,Load!F:F,0,)</f>
        <v>Chewy</v>
      </c>
      <c r="F3150" t="str">
        <f>_xlfn.XLOOKUP($A3150,Load!$B:$B,Load!G:G,0,)</f>
        <v>Single Pack</v>
      </c>
      <c r="G3150" t="str">
        <f>_xlfn.XLOOKUP($A3150,Load!$B:$B,Load!H:H,0,)</f>
        <v>Stand-Up Bag</v>
      </c>
      <c r="H3150" t="str">
        <f>_xlfn.XLOOKUP($A3150,Load!$B:$B,Load!I:I,0,)</f>
        <v>Seasonal Shapes (like pumpkins, candy corn, ghost, bats, etc.)</v>
      </c>
      <c r="I3150" t="str">
        <f>_xlfn.XLOOKUP($A3150,Load!$B:$B,Load!J:J,0,)</f>
        <v>Seasonal Graphics (Like Bat, Ghost, Pumpkin, Fall Leaves, Eyeballs, etc.)</v>
      </c>
      <c r="J3150" t="str">
        <f>_xlfn.XLOOKUP($A3150,Load!$B:$B,Load!K:K,0,)</f>
        <v>Fun Size / Treat Size</v>
      </c>
      <c r="K3150" t="str">
        <f>_xlfn.XLOOKUP($A3150,Load!$B:$B,Load!L:L,0,)</f>
        <v>Regular/Original Wrapping</v>
      </c>
      <c r="L3150" t="str">
        <f>_xlfn.XLOOKUP($A3150,Load!$B:$B,Load!M:M,0,)</f>
        <v>Single Brand / Single Flavor or Form</v>
      </c>
    </row>
    <row r="3151" spans="1:12" x14ac:dyDescent="0.25">
      <c r="B3151">
        <f>_xlfn.XLOOKUP($A3151,Load!$B:$B,Load!C:C,0,)</f>
        <v>0</v>
      </c>
      <c r="C3151">
        <f>_xlfn.XLOOKUP($A3151,Load!$B:$B,Load!D:D,0,)</f>
        <v>0</v>
      </c>
      <c r="D3151">
        <f>_xlfn.XLOOKUP($A3151,Load!$B:$B,Load!E:E,0,)</f>
        <v>0</v>
      </c>
      <c r="E3151">
        <f>_xlfn.XLOOKUP($A3151,Load!$B:$B,Load!F:F,0,)</f>
        <v>0</v>
      </c>
      <c r="F3151">
        <f>_xlfn.XLOOKUP($A3151,Load!$B:$B,Load!G:G,0,)</f>
        <v>0</v>
      </c>
      <c r="G3151">
        <f>_xlfn.XLOOKUP($A3151,Load!$B:$B,Load!H:H,0,)</f>
        <v>0</v>
      </c>
      <c r="H3151">
        <f>_xlfn.XLOOKUP($A3151,Load!$B:$B,Load!I:I,0,)</f>
        <v>0</v>
      </c>
      <c r="I3151">
        <f>_xlfn.XLOOKUP($A3151,Load!$B:$B,Load!J:J,0,)</f>
        <v>0</v>
      </c>
      <c r="J3151">
        <f>_xlfn.XLOOKUP($A3151,Load!$B:$B,Load!K:K,0,)</f>
        <v>0</v>
      </c>
      <c r="K3151">
        <f>_xlfn.XLOOKUP($A3151,Load!$B:$B,Load!L:L,0,)</f>
        <v>0</v>
      </c>
      <c r="L3151">
        <f>_xlfn.XLOOKUP($A3151,Load!$B:$B,Load!M:M,0,)</f>
        <v>0</v>
      </c>
    </row>
    <row r="3152" spans="1:12" x14ac:dyDescent="0.25">
      <c r="A3152" t="s">
        <v>50</v>
      </c>
      <c r="B3152" t="str">
        <f>_xlfn.XLOOKUP($A3152,Load!$B:$B,Load!C:C,0,)</f>
        <v>Brach's</v>
      </c>
      <c r="C3152" t="str">
        <f>_xlfn.XLOOKUP($A3152,Load!$B:$B,Load!D:D,0,)</f>
        <v>Non-Chocolate Candy Only</v>
      </c>
      <c r="D3152" t="str">
        <f>_xlfn.XLOOKUP($A3152,Load!$B:$B,Load!E:E,0,)</f>
        <v>Fall / Seasonal Flavors (pumpkin spice, caramel apple, candy corn)</v>
      </c>
      <c r="E3152" t="str">
        <f>_xlfn.XLOOKUP($A3152,Load!$B:$B,Load!F:F,0,)</f>
        <v>Candy Pieces / Bites</v>
      </c>
      <c r="F3152" t="str">
        <f>_xlfn.XLOOKUP($A3152,Load!$B:$B,Load!G:G,0,)</f>
        <v>Small Multipack (Less than 40 ct)</v>
      </c>
      <c r="G3152" t="str">
        <f>_xlfn.XLOOKUP($A3152,Load!$B:$B,Load!H:H,0,)</f>
        <v>Laydown Bag</v>
      </c>
      <c r="H3152" t="str">
        <f>_xlfn.XLOOKUP($A3152,Load!$B:$B,Load!I:I,0,)</f>
        <v>Seasonal Shapes (like pumpkins, candy corn, ghost, bats, etc.)</v>
      </c>
      <c r="I3152" t="str">
        <f>_xlfn.XLOOKUP($A3152,Load!$B:$B,Load!J:J,0,)</f>
        <v>Seasonal Graphics (Like Bat, Ghost, Pumpkin, Fall Leaves, Eyeballs, etc.)</v>
      </c>
      <c r="J3152" t="str">
        <f>_xlfn.XLOOKUP($A3152,Load!$B:$B,Load!K:K,0,)</f>
        <v>Small Pieces (Tiny bite size candies)</v>
      </c>
      <c r="K3152" t="str">
        <f>_xlfn.XLOOKUP($A3152,Load!$B:$B,Load!L:L,0,)</f>
        <v>Unwrapped</v>
      </c>
      <c r="L3152" t="str">
        <f>_xlfn.XLOOKUP($A3152,Load!$B:$B,Load!M:M,0,)</f>
        <v>Single Brand / Single Flavor or Form</v>
      </c>
    </row>
    <row r="3153" spans="1:12" x14ac:dyDescent="0.25">
      <c r="B3153">
        <f>_xlfn.XLOOKUP($A3153,Load!$B:$B,Load!C:C,0,)</f>
        <v>0</v>
      </c>
      <c r="C3153">
        <f>_xlfn.XLOOKUP($A3153,Load!$B:$B,Load!D:D,0,)</f>
        <v>0</v>
      </c>
      <c r="D3153">
        <f>_xlfn.XLOOKUP($A3153,Load!$B:$B,Load!E:E,0,)</f>
        <v>0</v>
      </c>
      <c r="E3153">
        <f>_xlfn.XLOOKUP($A3153,Load!$B:$B,Load!F:F,0,)</f>
        <v>0</v>
      </c>
      <c r="F3153">
        <f>_xlfn.XLOOKUP($A3153,Load!$B:$B,Load!G:G,0,)</f>
        <v>0</v>
      </c>
      <c r="G3153">
        <f>_xlfn.XLOOKUP($A3153,Load!$B:$B,Load!H:H,0,)</f>
        <v>0</v>
      </c>
      <c r="H3153">
        <f>_xlfn.XLOOKUP($A3153,Load!$B:$B,Load!I:I,0,)</f>
        <v>0</v>
      </c>
      <c r="I3153">
        <f>_xlfn.XLOOKUP($A3153,Load!$B:$B,Load!J:J,0,)</f>
        <v>0</v>
      </c>
      <c r="J3153">
        <f>_xlfn.XLOOKUP($A3153,Load!$B:$B,Load!K:K,0,)</f>
        <v>0</v>
      </c>
      <c r="K3153">
        <f>_xlfn.XLOOKUP($A3153,Load!$B:$B,Load!L:L,0,)</f>
        <v>0</v>
      </c>
      <c r="L3153">
        <f>_xlfn.XLOOKUP($A3153,Load!$B:$B,Load!M:M,0,)</f>
        <v>0</v>
      </c>
    </row>
    <row r="3154" spans="1:12" x14ac:dyDescent="0.25">
      <c r="B3154">
        <f>_xlfn.XLOOKUP($A3154,Load!$B:$B,Load!C:C,0,)</f>
        <v>0</v>
      </c>
      <c r="C3154">
        <f>_xlfn.XLOOKUP($A3154,Load!$B:$B,Load!D:D,0,)</f>
        <v>0</v>
      </c>
      <c r="D3154">
        <f>_xlfn.XLOOKUP($A3154,Load!$B:$B,Load!E:E,0,)</f>
        <v>0</v>
      </c>
      <c r="E3154">
        <f>_xlfn.XLOOKUP($A3154,Load!$B:$B,Load!F:F,0,)</f>
        <v>0</v>
      </c>
      <c r="F3154">
        <f>_xlfn.XLOOKUP($A3154,Load!$B:$B,Load!G:G,0,)</f>
        <v>0</v>
      </c>
      <c r="G3154">
        <f>_xlfn.XLOOKUP($A3154,Load!$B:$B,Load!H:H,0,)</f>
        <v>0</v>
      </c>
      <c r="H3154">
        <f>_xlfn.XLOOKUP($A3154,Load!$B:$B,Load!I:I,0,)</f>
        <v>0</v>
      </c>
      <c r="I3154">
        <f>_xlfn.XLOOKUP($A3154,Load!$B:$B,Load!J:J,0,)</f>
        <v>0</v>
      </c>
      <c r="J3154">
        <f>_xlfn.XLOOKUP($A3154,Load!$B:$B,Load!K:K,0,)</f>
        <v>0</v>
      </c>
      <c r="K3154">
        <f>_xlfn.XLOOKUP($A3154,Load!$B:$B,Load!L:L,0,)</f>
        <v>0</v>
      </c>
      <c r="L3154">
        <f>_xlfn.XLOOKUP($A3154,Load!$B:$B,Load!M:M,0,)</f>
        <v>0</v>
      </c>
    </row>
    <row r="3155" spans="1:12" x14ac:dyDescent="0.25">
      <c r="B3155">
        <f>_xlfn.XLOOKUP($A3155,Load!$B:$B,Load!C:C,0,)</f>
        <v>0</v>
      </c>
      <c r="C3155">
        <f>_xlfn.XLOOKUP($A3155,Load!$B:$B,Load!D:D,0,)</f>
        <v>0</v>
      </c>
      <c r="D3155">
        <f>_xlfn.XLOOKUP($A3155,Load!$B:$B,Load!E:E,0,)</f>
        <v>0</v>
      </c>
      <c r="E3155">
        <f>_xlfn.XLOOKUP($A3155,Load!$B:$B,Load!F:F,0,)</f>
        <v>0</v>
      </c>
      <c r="F3155">
        <f>_xlfn.XLOOKUP($A3155,Load!$B:$B,Load!G:G,0,)</f>
        <v>0</v>
      </c>
      <c r="G3155">
        <f>_xlfn.XLOOKUP($A3155,Load!$B:$B,Load!H:H,0,)</f>
        <v>0</v>
      </c>
      <c r="H3155">
        <f>_xlfn.XLOOKUP($A3155,Load!$B:$B,Load!I:I,0,)</f>
        <v>0</v>
      </c>
      <c r="I3155">
        <f>_xlfn.XLOOKUP($A3155,Load!$B:$B,Load!J:J,0,)</f>
        <v>0</v>
      </c>
      <c r="J3155">
        <f>_xlfn.XLOOKUP($A3155,Load!$B:$B,Load!K:K,0,)</f>
        <v>0</v>
      </c>
      <c r="K3155">
        <f>_xlfn.XLOOKUP($A3155,Load!$B:$B,Load!L:L,0,)</f>
        <v>0</v>
      </c>
      <c r="L3155">
        <f>_xlfn.XLOOKUP($A3155,Load!$B:$B,Load!M:M,0,)</f>
        <v>0</v>
      </c>
    </row>
    <row r="3156" spans="1:12" x14ac:dyDescent="0.25">
      <c r="A3156" t="s">
        <v>178</v>
      </c>
      <c r="B3156" t="str">
        <f>_xlfn.XLOOKUP($A3156,Load!$B:$B,Load!C:C,0,)</f>
        <v>Mars Variety Pack</v>
      </c>
      <c r="C3156" t="str">
        <f>_xlfn.XLOOKUP($A3156,Load!$B:$B,Load!D:D,0,)</f>
        <v>Mix of Chocolate and Non-Chocolate Candy</v>
      </c>
      <c r="D3156" t="str">
        <f>_xlfn.XLOOKUP($A3156,Load!$B:$B,Load!E:E,0,)</f>
        <v>Variety / Mixed Flavors (Fruity, Sour, Seasonal Flavors)</v>
      </c>
      <c r="E3156" t="str">
        <f>_xlfn.XLOOKUP($A3156,Load!$B:$B,Load!F:F,0,)</f>
        <v>Mixed / Combo Packs (Gummy, Chewy, Taffy, etc.)</v>
      </c>
      <c r="F3156" t="str">
        <f>_xlfn.XLOOKUP($A3156,Load!$B:$B,Load!G:G,0,)</f>
        <v>Small Multipack (Less than 40 ct)</v>
      </c>
      <c r="G3156" t="str">
        <f>_xlfn.XLOOKUP($A3156,Load!$B:$B,Load!H:H,0,)</f>
        <v>Laydown Bag</v>
      </c>
      <c r="H3156" t="str">
        <f>_xlfn.XLOOKUP($A3156,Load!$B:$B,Load!I:I,0,)</f>
        <v>Everyday Candy Shapes (like Original, Gummy bear, Fruit, Jewels, etc.)</v>
      </c>
      <c r="I3156" t="str">
        <f>_xlfn.XLOOKUP($A3156,Load!$B:$B,Load!J:J,0,)</f>
        <v>Seasonal Graphics (Like Bat, Ghost, Pumpkin, Fall Leaves, Eyeballs, etc.)</v>
      </c>
      <c r="J3156" t="str">
        <f>_xlfn.XLOOKUP($A3156,Load!$B:$B,Load!K:K,0,)</f>
        <v xml:space="preserve">Variety Candy Sizes </v>
      </c>
      <c r="K3156" t="str">
        <f>_xlfn.XLOOKUP($A3156,Load!$B:$B,Load!L:L,0,)</f>
        <v>Regular/Original Wrapping</v>
      </c>
      <c r="L3156" t="str">
        <f>_xlfn.XLOOKUP($A3156,Load!$B:$B,Load!M:M,0,)</f>
        <v>Multiple Brands / Variety Flavors or Form</v>
      </c>
    </row>
    <row r="3157" spans="1:12" x14ac:dyDescent="0.25">
      <c r="A3157" t="s">
        <v>290</v>
      </c>
      <c r="B3157" t="str">
        <f>_xlfn.XLOOKUP($A3157,Load!$B:$B,Load!C:C,0,)</f>
        <v>Tootsie</v>
      </c>
      <c r="C3157" t="str">
        <f>_xlfn.XLOOKUP($A3157,Load!$B:$B,Load!D:D,0,)</f>
        <v>Mix of Chocolate and Non-Chocolate Candy</v>
      </c>
      <c r="D3157" t="str">
        <f>_xlfn.XLOOKUP($A3157,Load!$B:$B,Load!E:E,0,)</f>
        <v>Variety / Mixed Flavors (Fruity, Sour, Seasonal Flavors)</v>
      </c>
      <c r="E3157" t="str">
        <f>_xlfn.XLOOKUP($A3157,Load!$B:$B,Load!F:F,0,)</f>
        <v>Mixed / Combo Packs (Gummy, Chewy, Taffy, etc.)</v>
      </c>
      <c r="F3157" t="str">
        <f>_xlfn.XLOOKUP($A3157,Load!$B:$B,Load!G:G,0,)</f>
        <v>Large Multipack (More than 80 ct)</v>
      </c>
      <c r="G3157" t="str">
        <f>_xlfn.XLOOKUP($A3157,Load!$B:$B,Load!H:H,0,)</f>
        <v>Laydown Bag</v>
      </c>
      <c r="H3157" t="str">
        <f>_xlfn.XLOOKUP($A3157,Load!$B:$B,Load!I:I,0,)</f>
        <v>Everyday Candy Shapes (like Original, Gummy bear, Fruit, Jewels, etc.)</v>
      </c>
      <c r="I3157" t="str">
        <f>_xlfn.XLOOKUP($A3157,Load!$B:$B,Load!J:J,0,)</f>
        <v>Everyday Graphics</v>
      </c>
      <c r="J3157" t="str">
        <f>_xlfn.XLOOKUP($A3157,Load!$B:$B,Load!K:K,0,)</f>
        <v>Fun Size / Treat Size</v>
      </c>
      <c r="K3157" t="str">
        <f>_xlfn.XLOOKUP($A3157,Load!$B:$B,Load!L:L,0,)</f>
        <v>Regular/Original Wrapping</v>
      </c>
      <c r="L3157" t="str">
        <f>_xlfn.XLOOKUP($A3157,Load!$B:$B,Load!M:M,0,)</f>
        <v>Single Brand / Variety Flavors or Form</v>
      </c>
    </row>
    <row r="3158" spans="1:12" x14ac:dyDescent="0.25">
      <c r="B3158">
        <f>_xlfn.XLOOKUP($A3158,Load!$B:$B,Load!C:C,0,)</f>
        <v>0</v>
      </c>
      <c r="C3158">
        <f>_xlfn.XLOOKUP($A3158,Load!$B:$B,Load!D:D,0,)</f>
        <v>0</v>
      </c>
      <c r="D3158">
        <f>_xlfn.XLOOKUP($A3158,Load!$B:$B,Load!E:E,0,)</f>
        <v>0</v>
      </c>
      <c r="E3158">
        <f>_xlfn.XLOOKUP($A3158,Load!$B:$B,Load!F:F,0,)</f>
        <v>0</v>
      </c>
      <c r="F3158">
        <f>_xlfn.XLOOKUP($A3158,Load!$B:$B,Load!G:G,0,)</f>
        <v>0</v>
      </c>
      <c r="G3158">
        <f>_xlfn.XLOOKUP($A3158,Load!$B:$B,Load!H:H,0,)</f>
        <v>0</v>
      </c>
      <c r="H3158">
        <f>_xlfn.XLOOKUP($A3158,Load!$B:$B,Load!I:I,0,)</f>
        <v>0</v>
      </c>
      <c r="I3158">
        <f>_xlfn.XLOOKUP($A3158,Load!$B:$B,Load!J:J,0,)</f>
        <v>0</v>
      </c>
      <c r="J3158">
        <f>_xlfn.XLOOKUP($A3158,Load!$B:$B,Load!K:K,0,)</f>
        <v>0</v>
      </c>
      <c r="K3158">
        <f>_xlfn.XLOOKUP($A3158,Load!$B:$B,Load!L:L,0,)</f>
        <v>0</v>
      </c>
      <c r="L3158">
        <f>_xlfn.XLOOKUP($A3158,Load!$B:$B,Load!M:M,0,)</f>
        <v>0</v>
      </c>
    </row>
    <row r="3159" spans="1:12" x14ac:dyDescent="0.25">
      <c r="B3159">
        <f>_xlfn.XLOOKUP($A3159,Load!$B:$B,Load!C:C,0,)</f>
        <v>0</v>
      </c>
      <c r="C3159">
        <f>_xlfn.XLOOKUP($A3159,Load!$B:$B,Load!D:D,0,)</f>
        <v>0</v>
      </c>
      <c r="D3159">
        <f>_xlfn.XLOOKUP($A3159,Load!$B:$B,Load!E:E,0,)</f>
        <v>0</v>
      </c>
      <c r="E3159">
        <f>_xlfn.XLOOKUP($A3159,Load!$B:$B,Load!F:F,0,)</f>
        <v>0</v>
      </c>
      <c r="F3159">
        <f>_xlfn.XLOOKUP($A3159,Load!$B:$B,Load!G:G,0,)</f>
        <v>0</v>
      </c>
      <c r="G3159">
        <f>_xlfn.XLOOKUP($A3159,Load!$B:$B,Load!H:H,0,)</f>
        <v>0</v>
      </c>
      <c r="H3159">
        <f>_xlfn.XLOOKUP($A3159,Load!$B:$B,Load!I:I,0,)</f>
        <v>0</v>
      </c>
      <c r="I3159">
        <f>_xlfn.XLOOKUP($A3159,Load!$B:$B,Load!J:J,0,)</f>
        <v>0</v>
      </c>
      <c r="J3159">
        <f>_xlfn.XLOOKUP($A3159,Load!$B:$B,Load!K:K,0,)</f>
        <v>0</v>
      </c>
      <c r="K3159">
        <f>_xlfn.XLOOKUP($A3159,Load!$B:$B,Load!L:L,0,)</f>
        <v>0</v>
      </c>
      <c r="L3159">
        <f>_xlfn.XLOOKUP($A3159,Load!$B:$B,Load!M:M,0,)</f>
        <v>0</v>
      </c>
    </row>
    <row r="3160" spans="1:12" x14ac:dyDescent="0.25">
      <c r="B3160">
        <f>_xlfn.XLOOKUP($A3160,Load!$B:$B,Load!C:C,0,)</f>
        <v>0</v>
      </c>
      <c r="C3160">
        <f>_xlfn.XLOOKUP($A3160,Load!$B:$B,Load!D:D,0,)</f>
        <v>0</v>
      </c>
      <c r="D3160">
        <f>_xlfn.XLOOKUP($A3160,Load!$B:$B,Load!E:E,0,)</f>
        <v>0</v>
      </c>
      <c r="E3160">
        <f>_xlfn.XLOOKUP($A3160,Load!$B:$B,Load!F:F,0,)</f>
        <v>0</v>
      </c>
      <c r="F3160">
        <f>_xlfn.XLOOKUP($A3160,Load!$B:$B,Load!G:G,0,)</f>
        <v>0</v>
      </c>
      <c r="G3160">
        <f>_xlfn.XLOOKUP($A3160,Load!$B:$B,Load!H:H,0,)</f>
        <v>0</v>
      </c>
      <c r="H3160">
        <f>_xlfn.XLOOKUP($A3160,Load!$B:$B,Load!I:I,0,)</f>
        <v>0</v>
      </c>
      <c r="I3160">
        <f>_xlfn.XLOOKUP($A3160,Load!$B:$B,Load!J:J,0,)</f>
        <v>0</v>
      </c>
      <c r="J3160">
        <f>_xlfn.XLOOKUP($A3160,Load!$B:$B,Load!K:K,0,)</f>
        <v>0</v>
      </c>
      <c r="K3160">
        <f>_xlfn.XLOOKUP($A3160,Load!$B:$B,Load!L:L,0,)</f>
        <v>0</v>
      </c>
      <c r="L3160">
        <f>_xlfn.XLOOKUP($A3160,Load!$B:$B,Load!M:M,0,)</f>
        <v>0</v>
      </c>
    </row>
    <row r="3161" spans="1:12" x14ac:dyDescent="0.25">
      <c r="B3161">
        <f>_xlfn.XLOOKUP($A3161,Load!$B:$B,Load!C:C,0,)</f>
        <v>0</v>
      </c>
      <c r="C3161">
        <f>_xlfn.XLOOKUP($A3161,Load!$B:$B,Load!D:D,0,)</f>
        <v>0</v>
      </c>
      <c r="D3161">
        <f>_xlfn.XLOOKUP($A3161,Load!$B:$B,Load!E:E,0,)</f>
        <v>0</v>
      </c>
      <c r="E3161">
        <f>_xlfn.XLOOKUP($A3161,Load!$B:$B,Load!F:F,0,)</f>
        <v>0</v>
      </c>
      <c r="F3161">
        <f>_xlfn.XLOOKUP($A3161,Load!$B:$B,Load!G:G,0,)</f>
        <v>0</v>
      </c>
      <c r="G3161">
        <f>_xlfn.XLOOKUP($A3161,Load!$B:$B,Load!H:H,0,)</f>
        <v>0</v>
      </c>
      <c r="H3161">
        <f>_xlfn.XLOOKUP($A3161,Load!$B:$B,Load!I:I,0,)</f>
        <v>0</v>
      </c>
      <c r="I3161">
        <f>_xlfn.XLOOKUP($A3161,Load!$B:$B,Load!J:J,0,)</f>
        <v>0</v>
      </c>
      <c r="J3161">
        <f>_xlfn.XLOOKUP($A3161,Load!$B:$B,Load!K:K,0,)</f>
        <v>0</v>
      </c>
      <c r="K3161">
        <f>_xlfn.XLOOKUP($A3161,Load!$B:$B,Load!L:L,0,)</f>
        <v>0</v>
      </c>
      <c r="L3161">
        <f>_xlfn.XLOOKUP($A3161,Load!$B:$B,Load!M:M,0,)</f>
        <v>0</v>
      </c>
    </row>
    <row r="3162" spans="1:12" x14ac:dyDescent="0.25">
      <c r="A3162" t="s">
        <v>207</v>
      </c>
      <c r="B3162" t="str">
        <f>_xlfn.XLOOKUP($A3162,Load!$B:$B,Load!C:C,0,)</f>
        <v>Mars Variety Pack</v>
      </c>
      <c r="C3162" t="str">
        <f>_xlfn.XLOOKUP($A3162,Load!$B:$B,Load!D:D,0,)</f>
        <v>Mix of Chocolate and Non-Chocolate Candy</v>
      </c>
      <c r="D3162" t="str">
        <f>_xlfn.XLOOKUP($A3162,Load!$B:$B,Load!E:E,0,)</f>
        <v>Variety / Mixed Flavors (Fruity, Sour, Seasonal Flavors)</v>
      </c>
      <c r="E3162" t="str">
        <f>_xlfn.XLOOKUP($A3162,Load!$B:$B,Load!F:F,0,)</f>
        <v>Mixed / Combo Packs (Gummy, Chewy, Taffy, etc.)</v>
      </c>
      <c r="F3162" t="str">
        <f>_xlfn.XLOOKUP($A3162,Load!$B:$B,Load!G:G,0,)</f>
        <v>Large Multipack (More than 80 ct)</v>
      </c>
      <c r="G3162" t="str">
        <f>_xlfn.XLOOKUP($A3162,Load!$B:$B,Load!H:H,0,)</f>
        <v>Stand-Up Bag</v>
      </c>
      <c r="H3162" t="str">
        <f>_xlfn.XLOOKUP($A3162,Load!$B:$B,Load!I:I,0,)</f>
        <v>Everyday Candy Shapes (like Original, Gummy bear, Fruit, Jewels, etc.)</v>
      </c>
      <c r="I3162" t="str">
        <f>_xlfn.XLOOKUP($A3162,Load!$B:$B,Load!J:J,0,)</f>
        <v>Everyday Graphics</v>
      </c>
      <c r="J3162" t="str">
        <f>_xlfn.XLOOKUP($A3162,Load!$B:$B,Load!K:K,0,)</f>
        <v>Fun Size / Treat Size</v>
      </c>
      <c r="K3162" t="str">
        <f>_xlfn.XLOOKUP($A3162,Load!$B:$B,Load!L:L,0,)</f>
        <v>Regular/Original Wrapping</v>
      </c>
      <c r="L3162" t="str">
        <f>_xlfn.XLOOKUP($A3162,Load!$B:$B,Load!M:M,0,)</f>
        <v>Multiple Brands / Variety Flavors or Form</v>
      </c>
    </row>
    <row r="3163" spans="1:12" x14ac:dyDescent="0.25">
      <c r="A3163" t="s">
        <v>213</v>
      </c>
      <c r="B3163" t="str">
        <f>_xlfn.XLOOKUP($A3163,Load!$B:$B,Load!C:C,0,)</f>
        <v>Mars Variety Pack</v>
      </c>
      <c r="C3163" t="str">
        <f>_xlfn.XLOOKUP($A3163,Load!$B:$B,Load!D:D,0,)</f>
        <v>Mix of Chocolate and Non-Chocolate Candy</v>
      </c>
      <c r="D3163" t="str">
        <f>_xlfn.XLOOKUP($A3163,Load!$B:$B,Load!E:E,0,)</f>
        <v>Variety / Mixed Flavors (Fruity, Sour, Seasonal Flavors)</v>
      </c>
      <c r="E3163" t="str">
        <f>_xlfn.XLOOKUP($A3163,Load!$B:$B,Load!F:F,0,)</f>
        <v>Mixed / Combo Packs (Gummy, Chewy, Taffy, etc.)</v>
      </c>
      <c r="F3163" t="str">
        <f>_xlfn.XLOOKUP($A3163,Load!$B:$B,Load!G:G,0,)</f>
        <v>Medium Multipack (40–80 ct)</v>
      </c>
      <c r="G3163" t="str">
        <f>_xlfn.XLOOKUP($A3163,Load!$B:$B,Load!H:H,0,)</f>
        <v>Stand-Up Bag</v>
      </c>
      <c r="H3163" t="str">
        <f>_xlfn.XLOOKUP($A3163,Load!$B:$B,Load!I:I,0,)</f>
        <v>Everyday Candy Shapes (like Original, Gummy bear, Fruit, Jewels, etc.)</v>
      </c>
      <c r="I3163" t="str">
        <f>_xlfn.XLOOKUP($A3163,Load!$B:$B,Load!J:J,0,)</f>
        <v>Seasonal Graphics (Like Bat, Ghost, Pumpkin, Fall Leaves, Eyeballs, etc.)</v>
      </c>
      <c r="J3163" t="str">
        <f>_xlfn.XLOOKUP($A3163,Load!$B:$B,Load!K:K,0,)</f>
        <v>Fun Size / Treat Size</v>
      </c>
      <c r="K3163" t="str">
        <f>_xlfn.XLOOKUP($A3163,Load!$B:$B,Load!L:L,0,)</f>
        <v>Regular/Original Wrapping</v>
      </c>
      <c r="L3163" t="str">
        <f>_xlfn.XLOOKUP($A3163,Load!$B:$B,Load!M:M,0,)</f>
        <v>Multiple Brands / Variety Flavors or Form</v>
      </c>
    </row>
    <row r="3164" spans="1:12" x14ac:dyDescent="0.25">
      <c r="B3164">
        <f>_xlfn.XLOOKUP($A3164,Load!$B:$B,Load!C:C,0,)</f>
        <v>0</v>
      </c>
      <c r="C3164">
        <f>_xlfn.XLOOKUP($A3164,Load!$B:$B,Load!D:D,0,)</f>
        <v>0</v>
      </c>
      <c r="D3164">
        <f>_xlfn.XLOOKUP($A3164,Load!$B:$B,Load!E:E,0,)</f>
        <v>0</v>
      </c>
      <c r="E3164">
        <f>_xlfn.XLOOKUP($A3164,Load!$B:$B,Load!F:F,0,)</f>
        <v>0</v>
      </c>
      <c r="F3164">
        <f>_xlfn.XLOOKUP($A3164,Load!$B:$B,Load!G:G,0,)</f>
        <v>0</v>
      </c>
      <c r="G3164">
        <f>_xlfn.XLOOKUP($A3164,Load!$B:$B,Load!H:H,0,)</f>
        <v>0</v>
      </c>
      <c r="H3164">
        <f>_xlfn.XLOOKUP($A3164,Load!$B:$B,Load!I:I,0,)</f>
        <v>0</v>
      </c>
      <c r="I3164">
        <f>_xlfn.XLOOKUP($A3164,Load!$B:$B,Load!J:J,0,)</f>
        <v>0</v>
      </c>
      <c r="J3164">
        <f>_xlfn.XLOOKUP($A3164,Load!$B:$B,Load!K:K,0,)</f>
        <v>0</v>
      </c>
      <c r="K3164">
        <f>_xlfn.XLOOKUP($A3164,Load!$B:$B,Load!L:L,0,)</f>
        <v>0</v>
      </c>
      <c r="L3164">
        <f>_xlfn.XLOOKUP($A3164,Load!$B:$B,Load!M:M,0,)</f>
        <v>0</v>
      </c>
    </row>
    <row r="3165" spans="1:12" x14ac:dyDescent="0.25">
      <c r="B3165">
        <f>_xlfn.XLOOKUP($A3165,Load!$B:$B,Load!C:C,0,)</f>
        <v>0</v>
      </c>
      <c r="C3165">
        <f>_xlfn.XLOOKUP($A3165,Load!$B:$B,Load!D:D,0,)</f>
        <v>0</v>
      </c>
      <c r="D3165">
        <f>_xlfn.XLOOKUP($A3165,Load!$B:$B,Load!E:E,0,)</f>
        <v>0</v>
      </c>
      <c r="E3165">
        <f>_xlfn.XLOOKUP($A3165,Load!$B:$B,Load!F:F,0,)</f>
        <v>0</v>
      </c>
      <c r="F3165">
        <f>_xlfn.XLOOKUP($A3165,Load!$B:$B,Load!G:G,0,)</f>
        <v>0</v>
      </c>
      <c r="G3165">
        <f>_xlfn.XLOOKUP($A3165,Load!$B:$B,Load!H:H,0,)</f>
        <v>0</v>
      </c>
      <c r="H3165">
        <f>_xlfn.XLOOKUP($A3165,Load!$B:$B,Load!I:I,0,)</f>
        <v>0</v>
      </c>
      <c r="I3165">
        <f>_xlfn.XLOOKUP($A3165,Load!$B:$B,Load!J:J,0,)</f>
        <v>0</v>
      </c>
      <c r="J3165">
        <f>_xlfn.XLOOKUP($A3165,Load!$B:$B,Load!K:K,0,)</f>
        <v>0</v>
      </c>
      <c r="K3165">
        <f>_xlfn.XLOOKUP($A3165,Load!$B:$B,Load!L:L,0,)</f>
        <v>0</v>
      </c>
      <c r="L3165">
        <f>_xlfn.XLOOKUP($A3165,Load!$B:$B,Load!M:M,0,)</f>
        <v>0</v>
      </c>
    </row>
    <row r="3166" spans="1:12" x14ac:dyDescent="0.25">
      <c r="B3166">
        <f>_xlfn.XLOOKUP($A3166,Load!$B:$B,Load!C:C,0,)</f>
        <v>0</v>
      </c>
      <c r="C3166">
        <f>_xlfn.XLOOKUP($A3166,Load!$B:$B,Load!D:D,0,)</f>
        <v>0</v>
      </c>
      <c r="D3166">
        <f>_xlfn.XLOOKUP($A3166,Load!$B:$B,Load!E:E,0,)</f>
        <v>0</v>
      </c>
      <c r="E3166">
        <f>_xlfn.XLOOKUP($A3166,Load!$B:$B,Load!F:F,0,)</f>
        <v>0</v>
      </c>
      <c r="F3166">
        <f>_xlfn.XLOOKUP($A3166,Load!$B:$B,Load!G:G,0,)</f>
        <v>0</v>
      </c>
      <c r="G3166">
        <f>_xlfn.XLOOKUP($A3166,Load!$B:$B,Load!H:H,0,)</f>
        <v>0</v>
      </c>
      <c r="H3166">
        <f>_xlfn.XLOOKUP($A3166,Load!$B:$B,Load!I:I,0,)</f>
        <v>0</v>
      </c>
      <c r="I3166">
        <f>_xlfn.XLOOKUP($A3166,Load!$B:$B,Load!J:J,0,)</f>
        <v>0</v>
      </c>
      <c r="J3166">
        <f>_xlfn.XLOOKUP($A3166,Load!$B:$B,Load!K:K,0,)</f>
        <v>0</v>
      </c>
      <c r="K3166">
        <f>_xlfn.XLOOKUP($A3166,Load!$B:$B,Load!L:L,0,)</f>
        <v>0</v>
      </c>
      <c r="L3166">
        <f>_xlfn.XLOOKUP($A3166,Load!$B:$B,Load!M:M,0,)</f>
        <v>0</v>
      </c>
    </row>
    <row r="3167" spans="1:12" x14ac:dyDescent="0.25">
      <c r="B3167">
        <f>_xlfn.XLOOKUP($A3167,Load!$B:$B,Load!C:C,0,)</f>
        <v>0</v>
      </c>
      <c r="C3167">
        <f>_xlfn.XLOOKUP($A3167,Load!$B:$B,Load!D:D,0,)</f>
        <v>0</v>
      </c>
      <c r="D3167">
        <f>_xlfn.XLOOKUP($A3167,Load!$B:$B,Load!E:E,0,)</f>
        <v>0</v>
      </c>
      <c r="E3167">
        <f>_xlfn.XLOOKUP($A3167,Load!$B:$B,Load!F:F,0,)</f>
        <v>0</v>
      </c>
      <c r="F3167">
        <f>_xlfn.XLOOKUP($A3167,Load!$B:$B,Load!G:G,0,)</f>
        <v>0</v>
      </c>
      <c r="G3167">
        <f>_xlfn.XLOOKUP($A3167,Load!$B:$B,Load!H:H,0,)</f>
        <v>0</v>
      </c>
      <c r="H3167">
        <f>_xlfn.XLOOKUP($A3167,Load!$B:$B,Load!I:I,0,)</f>
        <v>0</v>
      </c>
      <c r="I3167">
        <f>_xlfn.XLOOKUP($A3167,Load!$B:$B,Load!J:J,0,)</f>
        <v>0</v>
      </c>
      <c r="J3167">
        <f>_xlfn.XLOOKUP($A3167,Load!$B:$B,Load!K:K,0,)</f>
        <v>0</v>
      </c>
      <c r="K3167">
        <f>_xlfn.XLOOKUP($A3167,Load!$B:$B,Load!L:L,0,)</f>
        <v>0</v>
      </c>
      <c r="L3167">
        <f>_xlfn.XLOOKUP($A3167,Load!$B:$B,Load!M:M,0,)</f>
        <v>0</v>
      </c>
    </row>
    <row r="3168" spans="1:12" x14ac:dyDescent="0.25">
      <c r="A3168" t="s">
        <v>462</v>
      </c>
      <c r="B3168" t="str">
        <f>_xlfn.XLOOKUP($A3168,Load!$B:$B,Load!C:C,0,)</f>
        <v>Trolli</v>
      </c>
      <c r="C3168" t="str">
        <f>_xlfn.XLOOKUP($A3168,Load!$B:$B,Load!D:D,0,)</f>
        <v>Non-Chocolate Candy Only</v>
      </c>
      <c r="D3168" t="str">
        <f>_xlfn.XLOOKUP($A3168,Load!$B:$B,Load!E:E,0,)</f>
        <v>Sour</v>
      </c>
      <c r="E3168" t="str">
        <f>_xlfn.XLOOKUP($A3168,Load!$B:$B,Load!F:F,0,)</f>
        <v>Gummy</v>
      </c>
      <c r="F3168" t="str">
        <f>_xlfn.XLOOKUP($A3168,Load!$B:$B,Load!G:G,0,)</f>
        <v>Small Multipack (Less than 40 ct)</v>
      </c>
      <c r="G3168" t="str">
        <f>_xlfn.XLOOKUP($A3168,Load!$B:$B,Load!H:H,0,)</f>
        <v>Laydown Bag</v>
      </c>
      <c r="H3168" t="str">
        <f>_xlfn.XLOOKUP($A3168,Load!$B:$B,Load!I:I,0,)</f>
        <v>Seasonal Shapes (like pumpkins, candy corn, ghost, bats, etc.)</v>
      </c>
      <c r="I3168" t="str">
        <f>_xlfn.XLOOKUP($A3168,Load!$B:$B,Load!J:J,0,)</f>
        <v>Seasonal Graphics (Like Bat, Ghost, Pumpkin, Fall Leaves, Eyeballs, etc.)</v>
      </c>
      <c r="J3168" t="str">
        <f>_xlfn.XLOOKUP($A3168,Load!$B:$B,Load!K:K,0,)</f>
        <v>Fun Size / Treat Size</v>
      </c>
      <c r="K3168" t="str">
        <f>_xlfn.XLOOKUP($A3168,Load!$B:$B,Load!L:L,0,)</f>
        <v>Regular/Original Wrapping</v>
      </c>
      <c r="L3168" t="str">
        <f>_xlfn.XLOOKUP($A3168,Load!$B:$B,Load!M:M,0,)</f>
        <v>Single Brand / Variety Flavors or Form</v>
      </c>
    </row>
    <row r="3169" spans="1:12" x14ac:dyDescent="0.25">
      <c r="A3169" t="s">
        <v>122</v>
      </c>
      <c r="B3169" t="str">
        <f>_xlfn.XLOOKUP($A3169,Load!$B:$B,Load!C:C,0,)</f>
        <v>HARIBO</v>
      </c>
      <c r="C3169" t="str">
        <f>_xlfn.XLOOKUP($A3169,Load!$B:$B,Load!D:D,0,)</f>
        <v>Non-Chocolate Candy Only</v>
      </c>
      <c r="D3169" t="str">
        <f>_xlfn.XLOOKUP($A3169,Load!$B:$B,Load!E:E,0,)</f>
        <v>Variety / Mixed Flavors (Fruity, Sour, Seasonal Flavors)</v>
      </c>
      <c r="E3169" t="str">
        <f>_xlfn.XLOOKUP($A3169,Load!$B:$B,Load!F:F,0,)</f>
        <v>Gummy</v>
      </c>
      <c r="F3169" t="str">
        <f>_xlfn.XLOOKUP($A3169,Load!$B:$B,Load!G:G,0,)</f>
        <v>Medium Multipack (40–80 ct)</v>
      </c>
      <c r="G3169" t="str">
        <f>_xlfn.XLOOKUP($A3169,Load!$B:$B,Load!H:H,0,)</f>
        <v>Laydown Bag</v>
      </c>
      <c r="H3169" t="str">
        <f>_xlfn.XLOOKUP($A3169,Load!$B:$B,Load!I:I,0,)</f>
        <v>Seasonal Shapes (like pumpkins, candy corn, ghost, bats, etc.)</v>
      </c>
      <c r="I3169" t="str">
        <f>_xlfn.XLOOKUP($A3169,Load!$B:$B,Load!J:J,0,)</f>
        <v>Seasonal Graphics (Like Bat, Ghost, Pumpkin, Fall Leaves, Eyeballs, etc.)</v>
      </c>
      <c r="J3169" t="str">
        <f>_xlfn.XLOOKUP($A3169,Load!$B:$B,Load!K:K,0,)</f>
        <v>Small Pieces (Tiny bite size candies)</v>
      </c>
      <c r="K3169" t="str">
        <f>_xlfn.XLOOKUP($A3169,Load!$B:$B,Load!L:L,0,)</f>
        <v>Regular/Original Wrapping</v>
      </c>
      <c r="L3169" t="str">
        <f>_xlfn.XLOOKUP($A3169,Load!$B:$B,Load!M:M,0,)</f>
        <v>Multiple Brands / Variety Flavors or Form</v>
      </c>
    </row>
    <row r="3170" spans="1:12" x14ac:dyDescent="0.25">
      <c r="B3170">
        <f>_xlfn.XLOOKUP($A3170,Load!$B:$B,Load!C:C,0,)</f>
        <v>0</v>
      </c>
      <c r="C3170">
        <f>_xlfn.XLOOKUP($A3170,Load!$B:$B,Load!D:D,0,)</f>
        <v>0</v>
      </c>
      <c r="D3170">
        <f>_xlfn.XLOOKUP($A3170,Load!$B:$B,Load!E:E,0,)</f>
        <v>0</v>
      </c>
      <c r="E3170">
        <f>_xlfn.XLOOKUP($A3170,Load!$B:$B,Load!F:F,0,)</f>
        <v>0</v>
      </c>
      <c r="F3170">
        <f>_xlfn.XLOOKUP($A3170,Load!$B:$B,Load!G:G,0,)</f>
        <v>0</v>
      </c>
      <c r="G3170">
        <f>_xlfn.XLOOKUP($A3170,Load!$B:$B,Load!H:H,0,)</f>
        <v>0</v>
      </c>
      <c r="H3170">
        <f>_xlfn.XLOOKUP($A3170,Load!$B:$B,Load!I:I,0,)</f>
        <v>0</v>
      </c>
      <c r="I3170">
        <f>_xlfn.XLOOKUP($A3170,Load!$B:$B,Load!J:J,0,)</f>
        <v>0</v>
      </c>
      <c r="J3170">
        <f>_xlfn.XLOOKUP($A3170,Load!$B:$B,Load!K:K,0,)</f>
        <v>0</v>
      </c>
      <c r="K3170">
        <f>_xlfn.XLOOKUP($A3170,Load!$B:$B,Load!L:L,0,)</f>
        <v>0</v>
      </c>
      <c r="L3170">
        <f>_xlfn.XLOOKUP($A3170,Load!$B:$B,Load!M:M,0,)</f>
        <v>0</v>
      </c>
    </row>
    <row r="3171" spans="1:12" x14ac:dyDescent="0.25">
      <c r="B3171">
        <f>_xlfn.XLOOKUP($A3171,Load!$B:$B,Load!C:C,0,)</f>
        <v>0</v>
      </c>
      <c r="C3171">
        <f>_xlfn.XLOOKUP($A3171,Load!$B:$B,Load!D:D,0,)</f>
        <v>0</v>
      </c>
      <c r="D3171">
        <f>_xlfn.XLOOKUP($A3171,Load!$B:$B,Load!E:E,0,)</f>
        <v>0</v>
      </c>
      <c r="E3171">
        <f>_xlfn.XLOOKUP($A3171,Load!$B:$B,Load!F:F,0,)</f>
        <v>0</v>
      </c>
      <c r="F3171">
        <f>_xlfn.XLOOKUP($A3171,Load!$B:$B,Load!G:G,0,)</f>
        <v>0</v>
      </c>
      <c r="G3171">
        <f>_xlfn.XLOOKUP($A3171,Load!$B:$B,Load!H:H,0,)</f>
        <v>0</v>
      </c>
      <c r="H3171">
        <f>_xlfn.XLOOKUP($A3171,Load!$B:$B,Load!I:I,0,)</f>
        <v>0</v>
      </c>
      <c r="I3171">
        <f>_xlfn.XLOOKUP($A3171,Load!$B:$B,Load!J:J,0,)</f>
        <v>0</v>
      </c>
      <c r="J3171">
        <f>_xlfn.XLOOKUP($A3171,Load!$B:$B,Load!K:K,0,)</f>
        <v>0</v>
      </c>
      <c r="K3171">
        <f>_xlfn.XLOOKUP($A3171,Load!$B:$B,Load!L:L,0,)</f>
        <v>0</v>
      </c>
      <c r="L3171">
        <f>_xlfn.XLOOKUP($A3171,Load!$B:$B,Load!M:M,0,)</f>
        <v>0</v>
      </c>
    </row>
    <row r="3172" spans="1:12" x14ac:dyDescent="0.25">
      <c r="A3172" t="s">
        <v>138</v>
      </c>
      <c r="B3172" t="str">
        <f>_xlfn.XLOOKUP($A3172,Load!$B:$B,Load!C:C,0,)</f>
        <v>Hershey's Variety Pack + Haribo</v>
      </c>
      <c r="C3172" t="str">
        <f>_xlfn.XLOOKUP($A3172,Load!$B:$B,Load!D:D,0,)</f>
        <v>Non-Chocolate Candy Only</v>
      </c>
      <c r="D3172" t="str">
        <f>_xlfn.XLOOKUP($A3172,Load!$B:$B,Load!E:E,0,)</f>
        <v>Variety / Mixed Flavors (Fruity, Sour, Seasonal Flavors)</v>
      </c>
      <c r="E3172" t="str">
        <f>_xlfn.XLOOKUP($A3172,Load!$B:$B,Load!F:F,0,)</f>
        <v>Mixed / Combo Packs (Gummy, Chewy, Taffy, etc.)</v>
      </c>
      <c r="F3172" t="str">
        <f>_xlfn.XLOOKUP($A3172,Load!$B:$B,Load!G:G,0,)</f>
        <v>Medium Multipack (40–80 ct)</v>
      </c>
      <c r="G3172" t="str">
        <f>_xlfn.XLOOKUP($A3172,Load!$B:$B,Load!H:H,0,)</f>
        <v>Laydown Bag</v>
      </c>
      <c r="H3172" t="str">
        <f>_xlfn.XLOOKUP($A3172,Load!$B:$B,Load!I:I,0,)</f>
        <v>Everyday Candy Shapes (like Original, Gummy bear, Fruit, Jewels, etc.)</v>
      </c>
      <c r="I3172" t="str">
        <f>_xlfn.XLOOKUP($A3172,Load!$B:$B,Load!J:J,0,)</f>
        <v>Seasonal Graphics (Like Bat, Ghost, Pumpkin, Fall Leaves, Eyeballs, etc.)</v>
      </c>
      <c r="J3172" t="str">
        <f>_xlfn.XLOOKUP($A3172,Load!$B:$B,Load!K:K,0,)</f>
        <v>Fun Size / Treat Size</v>
      </c>
      <c r="K3172" t="str">
        <f>_xlfn.XLOOKUP($A3172,Load!$B:$B,Load!L:L,0,)</f>
        <v>Regular/Original Wrapping</v>
      </c>
      <c r="L3172" t="str">
        <f>_xlfn.XLOOKUP($A3172,Load!$B:$B,Load!M:M,0,)</f>
        <v>Multiple Brands / Variety Flavors or Form</v>
      </c>
    </row>
    <row r="3173" spans="1:12" x14ac:dyDescent="0.25">
      <c r="B3173">
        <f>_xlfn.XLOOKUP($A3173,Load!$B:$B,Load!C:C,0,)</f>
        <v>0</v>
      </c>
      <c r="C3173">
        <f>_xlfn.XLOOKUP($A3173,Load!$B:$B,Load!D:D,0,)</f>
        <v>0</v>
      </c>
      <c r="D3173">
        <f>_xlfn.XLOOKUP($A3173,Load!$B:$B,Load!E:E,0,)</f>
        <v>0</v>
      </c>
      <c r="E3173">
        <f>_xlfn.XLOOKUP($A3173,Load!$B:$B,Load!F:F,0,)</f>
        <v>0</v>
      </c>
      <c r="F3173">
        <f>_xlfn.XLOOKUP($A3173,Load!$B:$B,Load!G:G,0,)</f>
        <v>0</v>
      </c>
      <c r="G3173">
        <f>_xlfn.XLOOKUP($A3173,Load!$B:$B,Load!H:H,0,)</f>
        <v>0</v>
      </c>
      <c r="H3173">
        <f>_xlfn.XLOOKUP($A3173,Load!$B:$B,Load!I:I,0,)</f>
        <v>0</v>
      </c>
      <c r="I3173">
        <f>_xlfn.XLOOKUP($A3173,Load!$B:$B,Load!J:J,0,)</f>
        <v>0</v>
      </c>
      <c r="J3173">
        <f>_xlfn.XLOOKUP($A3173,Load!$B:$B,Load!K:K,0,)</f>
        <v>0</v>
      </c>
      <c r="K3173">
        <f>_xlfn.XLOOKUP($A3173,Load!$B:$B,Load!L:L,0,)</f>
        <v>0</v>
      </c>
      <c r="L3173">
        <f>_xlfn.XLOOKUP($A3173,Load!$B:$B,Load!M:M,0,)</f>
        <v>0</v>
      </c>
    </row>
    <row r="3174" spans="1:12" x14ac:dyDescent="0.25">
      <c r="A3174" t="s">
        <v>97</v>
      </c>
      <c r="B3174" t="str">
        <f>_xlfn.XLOOKUP($A3174,Load!$B:$B,Load!C:C,0,)</f>
        <v>Ferrero Variety Pack</v>
      </c>
      <c r="C3174" t="str">
        <f>_xlfn.XLOOKUP($A3174,Load!$B:$B,Load!D:D,0,)</f>
        <v>Mix of Chocolate and Non-Chocolate Candy</v>
      </c>
      <c r="D3174" t="str">
        <f>_xlfn.XLOOKUP($A3174,Load!$B:$B,Load!E:E,0,)</f>
        <v>Variety / Mixed Flavors (Fruity, Sour, Seasonal Flavors)</v>
      </c>
      <c r="E3174" t="str">
        <f>_xlfn.XLOOKUP($A3174,Load!$B:$B,Load!F:F,0,)</f>
        <v>Mixed / Combo Packs (Gummy, Chewy, Taffy, etc.)</v>
      </c>
      <c r="F3174" t="str">
        <f>_xlfn.XLOOKUP($A3174,Load!$B:$B,Load!G:G,0,)</f>
        <v>Large Multipack (More than 80 ct)</v>
      </c>
      <c r="G3174" t="str">
        <f>_xlfn.XLOOKUP($A3174,Load!$B:$B,Load!H:H,0,)</f>
        <v>Stand-Up Bag</v>
      </c>
      <c r="H3174" t="str">
        <f>_xlfn.XLOOKUP($A3174,Load!$B:$B,Load!I:I,0,)</f>
        <v>Everyday Candy Shapes (like Original, Gummy bear, Fruit, Jewels, etc.)</v>
      </c>
      <c r="I3174" t="str">
        <f>_xlfn.XLOOKUP($A3174,Load!$B:$B,Load!J:J,0,)</f>
        <v>Seasonal Graphics (Like Bat, Ghost, Pumpkin, Fall Leaves, Eyeballs, etc.)</v>
      </c>
      <c r="J3174" t="str">
        <f>_xlfn.XLOOKUP($A3174,Load!$B:$B,Load!K:K,0,)</f>
        <v>Fun Size / Treat Size</v>
      </c>
      <c r="K3174" t="str">
        <f>_xlfn.XLOOKUP($A3174,Load!$B:$B,Load!L:L,0,)</f>
        <v>Regular/Original Wrapping</v>
      </c>
      <c r="L3174" t="str">
        <f>_xlfn.XLOOKUP($A3174,Load!$B:$B,Load!M:M,0,)</f>
        <v>Multiple Brands / Variety Flavors or Form</v>
      </c>
    </row>
    <row r="3175" spans="1:12" x14ac:dyDescent="0.25">
      <c r="A3175" t="s">
        <v>169</v>
      </c>
      <c r="B3175" t="str">
        <f>_xlfn.XLOOKUP($A3175,Load!$B:$B,Load!C:C,0,)</f>
        <v>Laffy Taffy</v>
      </c>
      <c r="C3175" t="str">
        <f>_xlfn.XLOOKUP($A3175,Load!$B:$B,Load!D:D,0,)</f>
        <v>Non-Chocolate Candy Only</v>
      </c>
      <c r="D3175" t="str">
        <f>_xlfn.XLOOKUP($A3175,Load!$B:$B,Load!E:E,0,)</f>
        <v>Fruit Flavor (Cherry, Grape, Apple, Citrus, Tropical Fruit)</v>
      </c>
      <c r="E3175" t="str">
        <f>_xlfn.XLOOKUP($A3175,Load!$B:$B,Load!F:F,0,)</f>
        <v>Taffy</v>
      </c>
      <c r="F3175" t="str">
        <f>_xlfn.XLOOKUP($A3175,Load!$B:$B,Load!G:G,0,)</f>
        <v>Small Multipack (Less than 40 ct)</v>
      </c>
      <c r="G3175" t="str">
        <f>_xlfn.XLOOKUP($A3175,Load!$B:$B,Load!H:H,0,)</f>
        <v>Laydown Bag</v>
      </c>
      <c r="H3175" t="str">
        <f>_xlfn.XLOOKUP($A3175,Load!$B:$B,Load!I:I,0,)</f>
        <v>Everyday Candy Shapes (like Original, Gummy bear, Fruit, Jewels, etc.)</v>
      </c>
      <c r="I3175" t="str">
        <f>_xlfn.XLOOKUP($A3175,Load!$B:$B,Load!J:J,0,)</f>
        <v>Everyday Graphics</v>
      </c>
      <c r="J3175" t="str">
        <f>_xlfn.XLOOKUP($A3175,Load!$B:$B,Load!K:K,0,)</f>
        <v>Fun Size / Treat Size</v>
      </c>
      <c r="K3175" t="str">
        <f>_xlfn.XLOOKUP($A3175,Load!$B:$B,Load!L:L,0,)</f>
        <v>Regular/Original Wrapping</v>
      </c>
      <c r="L3175" t="str">
        <f>_xlfn.XLOOKUP($A3175,Load!$B:$B,Load!M:M,0,)</f>
        <v>Single Brand / Variety Flavors or Form</v>
      </c>
    </row>
    <row r="3176" spans="1:12" x14ac:dyDescent="0.25">
      <c r="A3176" t="s">
        <v>245</v>
      </c>
      <c r="B3176" t="str">
        <f>_xlfn.XLOOKUP($A3176,Load!$B:$B,Load!C:C,0,)</f>
        <v>Ring Pop</v>
      </c>
      <c r="C3176" t="str">
        <f>_xlfn.XLOOKUP($A3176,Load!$B:$B,Load!D:D,0,)</f>
        <v>Non-Chocolate Candy Only</v>
      </c>
      <c r="D3176" t="str">
        <f>_xlfn.XLOOKUP($A3176,Load!$B:$B,Load!E:E,0,)</f>
        <v>Fruit Flavor (Cherry, Grape, Apple, Citrus, Tropical Fruit)</v>
      </c>
      <c r="E3176" t="str">
        <f>_xlfn.XLOOKUP($A3176,Load!$B:$B,Load!F:F,0,)</f>
        <v>Lollipop (regular or lollipop rings)</v>
      </c>
      <c r="F3176" t="str">
        <f>_xlfn.XLOOKUP($A3176,Load!$B:$B,Load!G:G,0,)</f>
        <v>Single Pack</v>
      </c>
      <c r="G3176" t="str">
        <f>_xlfn.XLOOKUP($A3176,Load!$B:$B,Load!H:H,0,)</f>
        <v>Box (theatre box, gift box, carton)</v>
      </c>
      <c r="H3176" t="str">
        <f>_xlfn.XLOOKUP($A3176,Load!$B:$B,Load!I:I,0,)</f>
        <v>Everyday Candy Shapes (like Original, Gummy bear, Fruit, Jewels, etc.)</v>
      </c>
      <c r="I3176" t="str">
        <f>_xlfn.XLOOKUP($A3176,Load!$B:$B,Load!J:J,0,)</f>
        <v>Seasonal Graphics (Like Bat, Ghost, Pumpkin, Fall Leaves, Eyeballs, etc.)</v>
      </c>
      <c r="J3176" t="str">
        <f>_xlfn.XLOOKUP($A3176,Load!$B:$B,Load!K:K,0,)</f>
        <v>Regular Lollipop size (on sticks or rings)</v>
      </c>
      <c r="K3176" t="str">
        <f>_xlfn.XLOOKUP($A3176,Load!$B:$B,Load!L:L,0,)</f>
        <v>Regular/Original Wrapping</v>
      </c>
      <c r="L3176" t="str">
        <f>_xlfn.XLOOKUP($A3176,Load!$B:$B,Load!M:M,0,)</f>
        <v>Single Brand / Single Flavor or Form</v>
      </c>
    </row>
    <row r="3177" spans="1:12" x14ac:dyDescent="0.25">
      <c r="A3177" t="s">
        <v>61</v>
      </c>
      <c r="B3177" t="str">
        <f>_xlfn.XLOOKUP($A3177,Load!$B:$B,Load!C:C,0,)</f>
        <v>Charms</v>
      </c>
      <c r="C3177" t="str">
        <f>_xlfn.XLOOKUP($A3177,Load!$B:$B,Load!D:D,0,)</f>
        <v>Non-Chocolate Candy Only</v>
      </c>
      <c r="D3177" t="str">
        <f>_xlfn.XLOOKUP($A3177,Load!$B:$B,Load!E:E,0,)</f>
        <v>Fruit Flavor (Cherry, Grape, Apple, Citrus, Tropical Fruit)</v>
      </c>
      <c r="E3177" t="str">
        <f>_xlfn.XLOOKUP($A3177,Load!$B:$B,Load!F:F,0,)</f>
        <v>Lollipop (regular or lollipop rings)</v>
      </c>
      <c r="F3177" t="str">
        <f>_xlfn.XLOOKUP($A3177,Load!$B:$B,Load!G:G,0,)</f>
        <v>Single Pack</v>
      </c>
      <c r="G3177" t="str">
        <f>_xlfn.XLOOKUP($A3177,Load!$B:$B,Load!H:H,0,)</f>
        <v>Laydown Bag</v>
      </c>
      <c r="H3177" t="str">
        <f>_xlfn.XLOOKUP($A3177,Load!$B:$B,Load!I:I,0,)</f>
        <v>Everyday Candy Shapes (like Original, Gummy bear, Fruit, Jewels, etc.)</v>
      </c>
      <c r="I3177" t="str">
        <f>_xlfn.XLOOKUP($A3177,Load!$B:$B,Load!J:J,0,)</f>
        <v>Seasonal Graphics (Like Bat, Ghost, Pumpkin, Fall Leaves, Eyeballs, etc.)</v>
      </c>
      <c r="J3177" t="str">
        <f>_xlfn.XLOOKUP($A3177,Load!$B:$B,Load!K:K,0,)</f>
        <v>Regular Lollipop size (on sticks or rings)</v>
      </c>
      <c r="K3177" t="str">
        <f>_xlfn.XLOOKUP($A3177,Load!$B:$B,Load!L:L,0,)</f>
        <v>Regular/Original Wrapping</v>
      </c>
      <c r="L3177" t="str">
        <f>_xlfn.XLOOKUP($A3177,Load!$B:$B,Load!M:M,0,)</f>
        <v>Single Brand / Variety Flavors or Form</v>
      </c>
    </row>
    <row r="3178" spans="1:12" x14ac:dyDescent="0.25">
      <c r="A3178" t="s">
        <v>326</v>
      </c>
      <c r="B3178" t="str">
        <f>_xlfn.XLOOKUP($A3178,Load!$B:$B,Load!C:C,0,)</f>
        <v>Mondelez Variety Pack</v>
      </c>
      <c r="C3178" t="str">
        <f>_xlfn.XLOOKUP($A3178,Load!$B:$B,Load!D:D,0,)</f>
        <v>Mix of Chocolate and Non-Chocolate Candy</v>
      </c>
      <c r="D3178" t="str">
        <f>_xlfn.XLOOKUP($A3178,Load!$B:$B,Load!E:E,0,)</f>
        <v>Variety / Mixed Flavors (Fruity, Sour, Seasonal Flavors)</v>
      </c>
      <c r="E3178" t="str">
        <f>_xlfn.XLOOKUP($A3178,Load!$B:$B,Load!F:F,0,)</f>
        <v>Mixed / Combo Packs (Gummy, Chewy, Taffy, etc.)</v>
      </c>
      <c r="F3178" t="str">
        <f>_xlfn.XLOOKUP($A3178,Load!$B:$B,Load!G:G,0,)</f>
        <v>Medium Multipack (40–80 ct)</v>
      </c>
      <c r="G3178" t="str">
        <f>_xlfn.XLOOKUP($A3178,Load!$B:$B,Load!H:H,0,)</f>
        <v>Stand-Up Bag</v>
      </c>
      <c r="H3178" t="str">
        <f>_xlfn.XLOOKUP($A3178,Load!$B:$B,Load!I:I,0,)</f>
        <v>Everyday Candy Shapes (like Original, Gummy bear, Fruit, Jewels, etc.)</v>
      </c>
      <c r="I3178" t="str">
        <f>_xlfn.XLOOKUP($A3178,Load!$B:$B,Load!J:J,0,)</f>
        <v>Seasonal Graphics (Like Bat, Ghost, Pumpkin, Fall Leaves, Eyeballs, etc.)</v>
      </c>
      <c r="J3178" t="str">
        <f>_xlfn.XLOOKUP($A3178,Load!$B:$B,Load!K:K,0,)</f>
        <v xml:space="preserve">Variety Candy Sizes </v>
      </c>
      <c r="K3178" t="str">
        <f>_xlfn.XLOOKUP($A3178,Load!$B:$B,Load!L:L,0,)</f>
        <v>Regular/Original Wrapping</v>
      </c>
      <c r="L3178" t="str">
        <f>_xlfn.XLOOKUP($A3178,Load!$B:$B,Load!M:M,0,)</f>
        <v>Multiple Brands / Variety Flavors or Form</v>
      </c>
    </row>
    <row r="3179" spans="1:12" x14ac:dyDescent="0.25">
      <c r="A3179" t="s">
        <v>213</v>
      </c>
      <c r="B3179" t="str">
        <f>_xlfn.XLOOKUP($A3179,Load!$B:$B,Load!C:C,0,)</f>
        <v>Mars Variety Pack</v>
      </c>
      <c r="C3179" t="str">
        <f>_xlfn.XLOOKUP($A3179,Load!$B:$B,Load!D:D,0,)</f>
        <v>Mix of Chocolate and Non-Chocolate Candy</v>
      </c>
      <c r="D3179" t="str">
        <f>_xlfn.XLOOKUP($A3179,Load!$B:$B,Load!E:E,0,)</f>
        <v>Variety / Mixed Flavors (Fruity, Sour, Seasonal Flavors)</v>
      </c>
      <c r="E3179" t="str">
        <f>_xlfn.XLOOKUP($A3179,Load!$B:$B,Load!F:F,0,)</f>
        <v>Mixed / Combo Packs (Gummy, Chewy, Taffy, etc.)</v>
      </c>
      <c r="F3179" t="str">
        <f>_xlfn.XLOOKUP($A3179,Load!$B:$B,Load!G:G,0,)</f>
        <v>Medium Multipack (40–80 ct)</v>
      </c>
      <c r="G3179" t="str">
        <f>_xlfn.XLOOKUP($A3179,Load!$B:$B,Load!H:H,0,)</f>
        <v>Stand-Up Bag</v>
      </c>
      <c r="H3179" t="str">
        <f>_xlfn.XLOOKUP($A3179,Load!$B:$B,Load!I:I,0,)</f>
        <v>Everyday Candy Shapes (like Original, Gummy bear, Fruit, Jewels, etc.)</v>
      </c>
      <c r="I3179" t="str">
        <f>_xlfn.XLOOKUP($A3179,Load!$B:$B,Load!J:J,0,)</f>
        <v>Seasonal Graphics (Like Bat, Ghost, Pumpkin, Fall Leaves, Eyeballs, etc.)</v>
      </c>
      <c r="J3179" t="str">
        <f>_xlfn.XLOOKUP($A3179,Load!$B:$B,Load!K:K,0,)</f>
        <v>Fun Size / Treat Size</v>
      </c>
      <c r="K3179" t="str">
        <f>_xlfn.XLOOKUP($A3179,Load!$B:$B,Load!L:L,0,)</f>
        <v>Regular/Original Wrapping</v>
      </c>
      <c r="L3179" t="str">
        <f>_xlfn.XLOOKUP($A3179,Load!$B:$B,Load!M:M,0,)</f>
        <v>Multiple Brands / Variety Flavors or Form</v>
      </c>
    </row>
    <row r="3180" spans="1:12" x14ac:dyDescent="0.25">
      <c r="A3180" t="s">
        <v>258</v>
      </c>
      <c r="B3180" t="str">
        <f>_xlfn.XLOOKUP($A3180,Load!$B:$B,Load!C:C,0,)</f>
        <v>Skittles</v>
      </c>
      <c r="C3180" t="str">
        <f>_xlfn.XLOOKUP($A3180,Load!$B:$B,Load!D:D,0,)</f>
        <v>Non-Chocolate Candy Only</v>
      </c>
      <c r="D3180" t="str">
        <f>_xlfn.XLOOKUP($A3180,Load!$B:$B,Load!E:E,0,)</f>
        <v>Variety / Mixed Flavors (Fruity, Sour, Seasonal Flavors)</v>
      </c>
      <c r="E3180" t="str">
        <f>_xlfn.XLOOKUP($A3180,Load!$B:$B,Load!F:F,0,)</f>
        <v>Mixed / Combo Packs (Gummy, Chewy, Taffy, etc.)</v>
      </c>
      <c r="F3180" t="str">
        <f>_xlfn.XLOOKUP($A3180,Load!$B:$B,Load!G:G,0,)</f>
        <v>Medium Multipack (40–80 ct)</v>
      </c>
      <c r="G3180" t="str">
        <f>_xlfn.XLOOKUP($A3180,Load!$B:$B,Load!H:H,0,)</f>
        <v>Stand-Up Bag</v>
      </c>
      <c r="H3180" t="str">
        <f>_xlfn.XLOOKUP($A3180,Load!$B:$B,Load!I:I,0,)</f>
        <v>Everyday Candy Shapes (like Original, Gummy bear, Fruit, Jewels, etc.)</v>
      </c>
      <c r="I3180" t="str">
        <f>_xlfn.XLOOKUP($A3180,Load!$B:$B,Load!J:J,0,)</f>
        <v>Everyday Graphics</v>
      </c>
      <c r="J3180" t="str">
        <f>_xlfn.XLOOKUP($A3180,Load!$B:$B,Load!K:K,0,)</f>
        <v>Small Pieces (Tiny bite size candies)</v>
      </c>
      <c r="K3180" t="str">
        <f>_xlfn.XLOOKUP($A3180,Load!$B:$B,Load!L:L,0,)</f>
        <v>Regular/Original Wrapping</v>
      </c>
      <c r="L3180" t="str">
        <f>_xlfn.XLOOKUP($A3180,Load!$B:$B,Load!M:M,0,)</f>
        <v>Single Brand / Variety Flavors or Form</v>
      </c>
    </row>
    <row r="3181" spans="1:12" x14ac:dyDescent="0.25">
      <c r="A3181" t="s">
        <v>253</v>
      </c>
      <c r="B3181" t="str">
        <f>_xlfn.XLOOKUP($A3181,Load!$B:$B,Load!C:C,0,)</f>
        <v>Skittles</v>
      </c>
      <c r="C3181" t="str">
        <f>_xlfn.XLOOKUP($A3181,Load!$B:$B,Load!D:D,0,)</f>
        <v>Non-Chocolate Candy Only</v>
      </c>
      <c r="D3181" t="str">
        <f>_xlfn.XLOOKUP($A3181,Load!$B:$B,Load!E:E,0,)</f>
        <v>Variety / Mixed Flavors (Fruity, Sour, Seasonal Flavors)</v>
      </c>
      <c r="E3181" t="str">
        <f>_xlfn.XLOOKUP($A3181,Load!$B:$B,Load!F:F,0,)</f>
        <v>Mixed / Combo Packs (Gummy, Chewy, Taffy, etc.)</v>
      </c>
      <c r="F3181" t="str">
        <f>_xlfn.XLOOKUP($A3181,Load!$B:$B,Load!G:G,0,)</f>
        <v>Medium Multipack (40–80 ct)</v>
      </c>
      <c r="G3181" t="str">
        <f>_xlfn.XLOOKUP($A3181,Load!$B:$B,Load!H:H,0,)</f>
        <v>Stand-Up Bag</v>
      </c>
      <c r="H3181" t="str">
        <f>_xlfn.XLOOKUP($A3181,Load!$B:$B,Load!I:I,0,)</f>
        <v>Everyday Candy Shapes (like Original, Gummy bear, Fruit, Jewels, etc.)</v>
      </c>
      <c r="I3181" t="str">
        <f>_xlfn.XLOOKUP($A3181,Load!$B:$B,Load!J:J,0,)</f>
        <v>Seasonal Graphics (Like Bat, Ghost, Pumpkin, Fall Leaves, Eyeballs, etc.)</v>
      </c>
      <c r="J3181" t="str">
        <f>_xlfn.XLOOKUP($A3181,Load!$B:$B,Load!K:K,0,)</f>
        <v>Small Pieces (Tiny bite size candies)</v>
      </c>
      <c r="K3181" t="str">
        <f>_xlfn.XLOOKUP($A3181,Load!$B:$B,Load!L:L,0,)</f>
        <v>Regular/Original Wrapping</v>
      </c>
      <c r="L3181" t="str">
        <f>_xlfn.XLOOKUP($A3181,Load!$B:$B,Load!M:M,0,)</f>
        <v>Single Brand / Variety Flavors or Form</v>
      </c>
    </row>
    <row r="3182" spans="1:12" x14ac:dyDescent="0.25">
      <c r="B3182">
        <f>_xlfn.XLOOKUP($A3182,Load!$B:$B,Load!C:C,0,)</f>
        <v>0</v>
      </c>
      <c r="C3182">
        <f>_xlfn.XLOOKUP($A3182,Load!$B:$B,Load!D:D,0,)</f>
        <v>0</v>
      </c>
      <c r="D3182">
        <f>_xlfn.XLOOKUP($A3182,Load!$B:$B,Load!E:E,0,)</f>
        <v>0</v>
      </c>
      <c r="E3182">
        <f>_xlfn.XLOOKUP($A3182,Load!$B:$B,Load!F:F,0,)</f>
        <v>0</v>
      </c>
      <c r="F3182">
        <f>_xlfn.XLOOKUP($A3182,Load!$B:$B,Load!G:G,0,)</f>
        <v>0</v>
      </c>
      <c r="G3182">
        <f>_xlfn.XLOOKUP($A3182,Load!$B:$B,Load!H:H,0,)</f>
        <v>0</v>
      </c>
      <c r="H3182">
        <f>_xlfn.XLOOKUP($A3182,Load!$B:$B,Load!I:I,0,)</f>
        <v>0</v>
      </c>
      <c r="I3182">
        <f>_xlfn.XLOOKUP($A3182,Load!$B:$B,Load!J:J,0,)</f>
        <v>0</v>
      </c>
      <c r="J3182">
        <f>_xlfn.XLOOKUP($A3182,Load!$B:$B,Load!K:K,0,)</f>
        <v>0</v>
      </c>
      <c r="K3182">
        <f>_xlfn.XLOOKUP($A3182,Load!$B:$B,Load!L:L,0,)</f>
        <v>0</v>
      </c>
      <c r="L3182">
        <f>_xlfn.XLOOKUP($A3182,Load!$B:$B,Load!M:M,0,)</f>
        <v>0</v>
      </c>
    </row>
    <row r="3183" spans="1:12" x14ac:dyDescent="0.25">
      <c r="B3183">
        <f>_xlfn.XLOOKUP($A3183,Load!$B:$B,Load!C:C,0,)</f>
        <v>0</v>
      </c>
      <c r="C3183">
        <f>_xlfn.XLOOKUP($A3183,Load!$B:$B,Load!D:D,0,)</f>
        <v>0</v>
      </c>
      <c r="D3183">
        <f>_xlfn.XLOOKUP($A3183,Load!$B:$B,Load!E:E,0,)</f>
        <v>0</v>
      </c>
      <c r="E3183">
        <f>_xlfn.XLOOKUP($A3183,Load!$B:$B,Load!F:F,0,)</f>
        <v>0</v>
      </c>
      <c r="F3183">
        <f>_xlfn.XLOOKUP($A3183,Load!$B:$B,Load!G:G,0,)</f>
        <v>0</v>
      </c>
      <c r="G3183">
        <f>_xlfn.XLOOKUP($A3183,Load!$B:$B,Load!H:H,0,)</f>
        <v>0</v>
      </c>
      <c r="H3183">
        <f>_xlfn.XLOOKUP($A3183,Load!$B:$B,Load!I:I,0,)</f>
        <v>0</v>
      </c>
      <c r="I3183">
        <f>_xlfn.XLOOKUP($A3183,Load!$B:$B,Load!J:J,0,)</f>
        <v>0</v>
      </c>
      <c r="J3183">
        <f>_xlfn.XLOOKUP($A3183,Load!$B:$B,Load!K:K,0,)</f>
        <v>0</v>
      </c>
      <c r="K3183">
        <f>_xlfn.XLOOKUP($A3183,Load!$B:$B,Load!L:L,0,)</f>
        <v>0</v>
      </c>
      <c r="L3183">
        <f>_xlfn.XLOOKUP($A3183,Load!$B:$B,Load!M:M,0,)</f>
        <v>0</v>
      </c>
    </row>
    <row r="3184" spans="1:12" x14ac:dyDescent="0.25">
      <c r="A3184" t="s">
        <v>177</v>
      </c>
      <c r="B3184" t="str">
        <f>_xlfn.XLOOKUP($A3184,Load!$B:$B,Load!C:C,0,)</f>
        <v>Mars Variety Pack</v>
      </c>
      <c r="C3184" t="str">
        <f>_xlfn.XLOOKUP($A3184,Load!$B:$B,Load!D:D,0,)</f>
        <v>Non-Chocolate Candy Only</v>
      </c>
      <c r="D3184" t="str">
        <f>_xlfn.XLOOKUP($A3184,Load!$B:$B,Load!E:E,0,)</f>
        <v>Variety / Mixed Flavors (Fruity, Sour, Seasonal Flavors)</v>
      </c>
      <c r="E3184" t="str">
        <f>_xlfn.XLOOKUP($A3184,Load!$B:$B,Load!F:F,0,)</f>
        <v>Mixed / Combo Packs (Gummy, Chewy, Taffy, etc.)</v>
      </c>
      <c r="F3184" t="str">
        <f>_xlfn.XLOOKUP($A3184,Load!$B:$B,Load!G:G,0,)</f>
        <v>Small Multipack (Less than 40 ct)</v>
      </c>
      <c r="G3184" t="str">
        <f>_xlfn.XLOOKUP($A3184,Load!$B:$B,Load!H:H,0,)</f>
        <v>Box (theatre box, gift box, carton)</v>
      </c>
      <c r="H3184" t="str">
        <f>_xlfn.XLOOKUP($A3184,Load!$B:$B,Load!I:I,0,)</f>
        <v>Everyday Candy Shapes (like Original, Gummy bear, Fruit, Jewels, etc.)</v>
      </c>
      <c r="I3184" t="str">
        <f>_xlfn.XLOOKUP($A3184,Load!$B:$B,Load!J:J,0,)</f>
        <v>Seasonal Graphics (Like Bat, Ghost, Pumpkin, Fall Leaves, Eyeballs, etc.)</v>
      </c>
      <c r="J3184" t="str">
        <f>_xlfn.XLOOKUP($A3184,Load!$B:$B,Load!K:K,0,)</f>
        <v>Small Pieces (Tiny bite size candies)</v>
      </c>
      <c r="K3184" t="str">
        <f>_xlfn.XLOOKUP($A3184,Load!$B:$B,Load!L:L,0,)</f>
        <v>Regular/Original Wrapping</v>
      </c>
      <c r="L3184" t="str">
        <f>_xlfn.XLOOKUP($A3184,Load!$B:$B,Load!M:M,0,)</f>
        <v>Multiple Brands / Variety Flavors or Form</v>
      </c>
    </row>
    <row r="3185" spans="1:12" x14ac:dyDescent="0.25">
      <c r="B3185">
        <f>_xlfn.XLOOKUP($A3185,Load!$B:$B,Load!C:C,0,)</f>
        <v>0</v>
      </c>
      <c r="C3185">
        <f>_xlfn.XLOOKUP($A3185,Load!$B:$B,Load!D:D,0,)</f>
        <v>0</v>
      </c>
      <c r="D3185">
        <f>_xlfn.XLOOKUP($A3185,Load!$B:$B,Load!E:E,0,)</f>
        <v>0</v>
      </c>
      <c r="E3185">
        <f>_xlfn.XLOOKUP($A3185,Load!$B:$B,Load!F:F,0,)</f>
        <v>0</v>
      </c>
      <c r="F3185">
        <f>_xlfn.XLOOKUP($A3185,Load!$B:$B,Load!G:G,0,)</f>
        <v>0</v>
      </c>
      <c r="G3185">
        <f>_xlfn.XLOOKUP($A3185,Load!$B:$B,Load!H:H,0,)</f>
        <v>0</v>
      </c>
      <c r="H3185">
        <f>_xlfn.XLOOKUP($A3185,Load!$B:$B,Load!I:I,0,)</f>
        <v>0</v>
      </c>
      <c r="I3185">
        <f>_xlfn.XLOOKUP($A3185,Load!$B:$B,Load!J:J,0,)</f>
        <v>0</v>
      </c>
      <c r="J3185">
        <f>_xlfn.XLOOKUP($A3185,Load!$B:$B,Load!K:K,0,)</f>
        <v>0</v>
      </c>
      <c r="K3185">
        <f>_xlfn.XLOOKUP($A3185,Load!$B:$B,Load!L:L,0,)</f>
        <v>0</v>
      </c>
      <c r="L3185">
        <f>_xlfn.XLOOKUP($A3185,Load!$B:$B,Load!M:M,0,)</f>
        <v>0</v>
      </c>
    </row>
    <row r="3186" spans="1:12" x14ac:dyDescent="0.25">
      <c r="A3186" t="s">
        <v>288</v>
      </c>
      <c r="B3186" t="str">
        <f>_xlfn.XLOOKUP($A3186,Load!$B:$B,Load!C:C,0,)</f>
        <v>SweeTARTS</v>
      </c>
      <c r="C3186" t="str">
        <f>_xlfn.XLOOKUP($A3186,Load!$B:$B,Load!D:D,0,)</f>
        <v>Non-Chocolate Candy Only</v>
      </c>
      <c r="D3186" t="str">
        <f>_xlfn.XLOOKUP($A3186,Load!$B:$B,Load!E:E,0,)</f>
        <v>Variety / Mixed Flavors (Fruity, Sour, Seasonal Flavors)</v>
      </c>
      <c r="E3186" t="str">
        <f>_xlfn.XLOOKUP($A3186,Load!$B:$B,Load!F:F,0,)</f>
        <v>Mixed / Combo Packs (Gummy, Chewy, Taffy, etc.)</v>
      </c>
      <c r="F3186" t="str">
        <f>_xlfn.XLOOKUP($A3186,Load!$B:$B,Load!G:G,0,)</f>
        <v>Medium Multipack (40–80 ct)</v>
      </c>
      <c r="G3186" t="str">
        <f>_xlfn.XLOOKUP($A3186,Load!$B:$B,Load!H:H,0,)</f>
        <v>Stand-Up Bag</v>
      </c>
      <c r="H3186" t="str">
        <f>_xlfn.XLOOKUP($A3186,Load!$B:$B,Load!I:I,0,)</f>
        <v>Everyday Candy Shapes (like Original, Gummy bear, Fruit, Jewels, etc.)</v>
      </c>
      <c r="I3186" t="str">
        <f>_xlfn.XLOOKUP($A3186,Load!$B:$B,Load!J:J,0,)</f>
        <v>Seasonal Graphics (Like Bat, Ghost, Pumpkin, Fall Leaves, Eyeballs, etc.)</v>
      </c>
      <c r="J3186" t="str">
        <f>_xlfn.XLOOKUP($A3186,Load!$B:$B,Load!K:K,0,)</f>
        <v>Small Pieces (Tiny bite size candies)</v>
      </c>
      <c r="K3186" t="str">
        <f>_xlfn.XLOOKUP($A3186,Load!$B:$B,Load!L:L,0,)</f>
        <v>Regular/Original Wrapping</v>
      </c>
      <c r="L3186" t="str">
        <f>_xlfn.XLOOKUP($A3186,Load!$B:$B,Load!M:M,0,)</f>
        <v>Single Brand / Variety Flavors or Form</v>
      </c>
    </row>
    <row r="3187" spans="1:12" x14ac:dyDescent="0.25">
      <c r="A3187" t="s">
        <v>253</v>
      </c>
      <c r="B3187" t="str">
        <f>_xlfn.XLOOKUP($A3187,Load!$B:$B,Load!C:C,0,)</f>
        <v>Skittles</v>
      </c>
      <c r="C3187" t="str">
        <f>_xlfn.XLOOKUP($A3187,Load!$B:$B,Load!D:D,0,)</f>
        <v>Non-Chocolate Candy Only</v>
      </c>
      <c r="D3187" t="str">
        <f>_xlfn.XLOOKUP($A3187,Load!$B:$B,Load!E:E,0,)</f>
        <v>Variety / Mixed Flavors (Fruity, Sour, Seasonal Flavors)</v>
      </c>
      <c r="E3187" t="str">
        <f>_xlfn.XLOOKUP($A3187,Load!$B:$B,Load!F:F,0,)</f>
        <v>Mixed / Combo Packs (Gummy, Chewy, Taffy, etc.)</v>
      </c>
      <c r="F3187" t="str">
        <f>_xlfn.XLOOKUP($A3187,Load!$B:$B,Load!G:G,0,)</f>
        <v>Medium Multipack (40–80 ct)</v>
      </c>
      <c r="G3187" t="str">
        <f>_xlfn.XLOOKUP($A3187,Load!$B:$B,Load!H:H,0,)</f>
        <v>Stand-Up Bag</v>
      </c>
      <c r="H3187" t="str">
        <f>_xlfn.XLOOKUP($A3187,Load!$B:$B,Load!I:I,0,)</f>
        <v>Everyday Candy Shapes (like Original, Gummy bear, Fruit, Jewels, etc.)</v>
      </c>
      <c r="I3187" t="str">
        <f>_xlfn.XLOOKUP($A3187,Load!$B:$B,Load!J:J,0,)</f>
        <v>Seasonal Graphics (Like Bat, Ghost, Pumpkin, Fall Leaves, Eyeballs, etc.)</v>
      </c>
      <c r="J3187" t="str">
        <f>_xlfn.XLOOKUP($A3187,Load!$B:$B,Load!K:K,0,)</f>
        <v>Small Pieces (Tiny bite size candies)</v>
      </c>
      <c r="K3187" t="str">
        <f>_xlfn.XLOOKUP($A3187,Load!$B:$B,Load!L:L,0,)</f>
        <v>Regular/Original Wrapping</v>
      </c>
      <c r="L3187" t="str">
        <f>_xlfn.XLOOKUP($A3187,Load!$B:$B,Load!M:M,0,)</f>
        <v>Single Brand / Variety Flavors or Form</v>
      </c>
    </row>
    <row r="3188" spans="1:12" x14ac:dyDescent="0.25">
      <c r="A3188" t="s">
        <v>317</v>
      </c>
      <c r="B3188" t="str">
        <f>_xlfn.XLOOKUP($A3188,Load!$B:$B,Load!C:C,0,)</f>
        <v>YumEarth</v>
      </c>
      <c r="C3188" t="str">
        <f>_xlfn.XLOOKUP($A3188,Load!$B:$B,Load!D:D,0,)</f>
        <v>Non-Chocolate Candy Only</v>
      </c>
      <c r="D3188" t="str">
        <f>_xlfn.XLOOKUP($A3188,Load!$B:$B,Load!E:E,0,)</f>
        <v>Fruit Flavor (Cherry, Grape, Apple, Citrus, Tropical Fruit)</v>
      </c>
      <c r="E3188" t="str">
        <f>_xlfn.XLOOKUP($A3188,Load!$B:$B,Load!F:F,0,)</f>
        <v>Chewy</v>
      </c>
      <c r="F3188" t="str">
        <f>_xlfn.XLOOKUP($A3188,Load!$B:$B,Load!G:G,0,)</f>
        <v>Small Multipack (Less than 40 ct)</v>
      </c>
      <c r="G3188" t="str">
        <f>_xlfn.XLOOKUP($A3188,Load!$B:$B,Load!H:H,0,)</f>
        <v>Box (theatre box, gift box, carton)</v>
      </c>
      <c r="H3188" t="str">
        <f>_xlfn.XLOOKUP($A3188,Load!$B:$B,Load!I:I,0,)</f>
        <v>Everyday Candy Shapes (like Original, Gummy bear, Fruit, Jewels, etc.)</v>
      </c>
      <c r="I3188" t="str">
        <f>_xlfn.XLOOKUP($A3188,Load!$B:$B,Load!J:J,0,)</f>
        <v>Everyday Graphics</v>
      </c>
      <c r="J3188" t="str">
        <f>_xlfn.XLOOKUP($A3188,Load!$B:$B,Load!K:K,0,)</f>
        <v>Small Pieces (Tiny bite size candies)</v>
      </c>
      <c r="K3188" t="str">
        <f>_xlfn.XLOOKUP($A3188,Load!$B:$B,Load!L:L,0,)</f>
        <v>Regular/Original Wrapping</v>
      </c>
      <c r="L3188" t="str">
        <f>_xlfn.XLOOKUP($A3188,Load!$B:$B,Load!M:M,0,)</f>
        <v>Single Brand / Variety Flavors or Form</v>
      </c>
    </row>
    <row r="3189" spans="1:12" x14ac:dyDescent="0.25">
      <c r="B3189">
        <f>_xlfn.XLOOKUP($A3189,Load!$B:$B,Load!C:C,0,)</f>
        <v>0</v>
      </c>
      <c r="C3189">
        <f>_xlfn.XLOOKUP($A3189,Load!$B:$B,Load!D:D,0,)</f>
        <v>0</v>
      </c>
      <c r="D3189">
        <f>_xlfn.XLOOKUP($A3189,Load!$B:$B,Load!E:E,0,)</f>
        <v>0</v>
      </c>
      <c r="E3189">
        <f>_xlfn.XLOOKUP($A3189,Load!$B:$B,Load!F:F,0,)</f>
        <v>0</v>
      </c>
      <c r="F3189">
        <f>_xlfn.XLOOKUP($A3189,Load!$B:$B,Load!G:G,0,)</f>
        <v>0</v>
      </c>
      <c r="G3189">
        <f>_xlfn.XLOOKUP($A3189,Load!$B:$B,Load!H:H,0,)</f>
        <v>0</v>
      </c>
      <c r="H3189">
        <f>_xlfn.XLOOKUP($A3189,Load!$B:$B,Load!I:I,0,)</f>
        <v>0</v>
      </c>
      <c r="I3189">
        <f>_xlfn.XLOOKUP($A3189,Load!$B:$B,Load!J:J,0,)</f>
        <v>0</v>
      </c>
      <c r="J3189">
        <f>_xlfn.XLOOKUP($A3189,Load!$B:$B,Load!K:K,0,)</f>
        <v>0</v>
      </c>
      <c r="K3189">
        <f>_xlfn.XLOOKUP($A3189,Load!$B:$B,Load!L:L,0,)</f>
        <v>0</v>
      </c>
      <c r="L3189">
        <f>_xlfn.XLOOKUP($A3189,Load!$B:$B,Load!M:M,0,)</f>
        <v>0</v>
      </c>
    </row>
    <row r="3190" spans="1:12" x14ac:dyDescent="0.25">
      <c r="B3190">
        <f>_xlfn.XLOOKUP($A3190,Load!$B:$B,Load!C:C,0,)</f>
        <v>0</v>
      </c>
      <c r="C3190">
        <f>_xlfn.XLOOKUP($A3190,Load!$B:$B,Load!D:D,0,)</f>
        <v>0</v>
      </c>
      <c r="D3190">
        <f>_xlfn.XLOOKUP($A3190,Load!$B:$B,Load!E:E,0,)</f>
        <v>0</v>
      </c>
      <c r="E3190">
        <f>_xlfn.XLOOKUP($A3190,Load!$B:$B,Load!F:F,0,)</f>
        <v>0</v>
      </c>
      <c r="F3190">
        <f>_xlfn.XLOOKUP($A3190,Load!$B:$B,Load!G:G,0,)</f>
        <v>0</v>
      </c>
      <c r="G3190">
        <f>_xlfn.XLOOKUP($A3190,Load!$B:$B,Load!H:H,0,)</f>
        <v>0</v>
      </c>
      <c r="H3190">
        <f>_xlfn.XLOOKUP($A3190,Load!$B:$B,Load!I:I,0,)</f>
        <v>0</v>
      </c>
      <c r="I3190">
        <f>_xlfn.XLOOKUP($A3190,Load!$B:$B,Load!J:J,0,)</f>
        <v>0</v>
      </c>
      <c r="J3190">
        <f>_xlfn.XLOOKUP($A3190,Load!$B:$B,Load!K:K,0,)</f>
        <v>0</v>
      </c>
      <c r="K3190">
        <f>_xlfn.XLOOKUP($A3190,Load!$B:$B,Load!L:L,0,)</f>
        <v>0</v>
      </c>
      <c r="L3190">
        <f>_xlfn.XLOOKUP($A3190,Load!$B:$B,Load!M:M,0,)</f>
        <v>0</v>
      </c>
    </row>
    <row r="3191" spans="1:12" x14ac:dyDescent="0.25">
      <c r="B3191">
        <f>_xlfn.XLOOKUP($A3191,Load!$B:$B,Load!C:C,0,)</f>
        <v>0</v>
      </c>
      <c r="C3191">
        <f>_xlfn.XLOOKUP($A3191,Load!$B:$B,Load!D:D,0,)</f>
        <v>0</v>
      </c>
      <c r="D3191">
        <f>_xlfn.XLOOKUP($A3191,Load!$B:$B,Load!E:E,0,)</f>
        <v>0</v>
      </c>
      <c r="E3191">
        <f>_xlfn.XLOOKUP($A3191,Load!$B:$B,Load!F:F,0,)</f>
        <v>0</v>
      </c>
      <c r="F3191">
        <f>_xlfn.XLOOKUP($A3191,Load!$B:$B,Load!G:G,0,)</f>
        <v>0</v>
      </c>
      <c r="G3191">
        <f>_xlfn.XLOOKUP($A3191,Load!$B:$B,Load!H:H,0,)</f>
        <v>0</v>
      </c>
      <c r="H3191">
        <f>_xlfn.XLOOKUP($A3191,Load!$B:$B,Load!I:I,0,)</f>
        <v>0</v>
      </c>
      <c r="I3191">
        <f>_xlfn.XLOOKUP($A3191,Load!$B:$B,Load!J:J,0,)</f>
        <v>0</v>
      </c>
      <c r="J3191">
        <f>_xlfn.XLOOKUP($A3191,Load!$B:$B,Load!K:K,0,)</f>
        <v>0</v>
      </c>
      <c r="K3191">
        <f>_xlfn.XLOOKUP($A3191,Load!$B:$B,Load!L:L,0,)</f>
        <v>0</v>
      </c>
      <c r="L3191">
        <f>_xlfn.XLOOKUP($A3191,Load!$B:$B,Load!M:M,0,)</f>
        <v>0</v>
      </c>
    </row>
    <row r="3192" spans="1:12" x14ac:dyDescent="0.25">
      <c r="A3192" t="s">
        <v>140</v>
      </c>
      <c r="B3192" t="str">
        <f>_xlfn.XLOOKUP($A3192,Load!$B:$B,Load!C:C,0,)</f>
        <v>Hershey's Variety Pack + Haribo</v>
      </c>
      <c r="C3192" t="str">
        <f>_xlfn.XLOOKUP($A3192,Load!$B:$B,Load!D:D,0,)</f>
        <v>Mix of Chocolate and Non-Chocolate Candy</v>
      </c>
      <c r="D3192" t="str">
        <f>_xlfn.XLOOKUP($A3192,Load!$B:$B,Load!E:E,0,)</f>
        <v>Variety / Mixed Flavors (Fruity, Sour, Seasonal Flavors)</v>
      </c>
      <c r="E3192" t="str">
        <f>_xlfn.XLOOKUP($A3192,Load!$B:$B,Load!F:F,0,)</f>
        <v>Mixed / Combo Packs (Gummy, Chewy, Taffy, etc.)</v>
      </c>
      <c r="F3192" t="str">
        <f>_xlfn.XLOOKUP($A3192,Load!$B:$B,Load!G:G,0,)</f>
        <v>Large Multipack (More than 80 ct)</v>
      </c>
      <c r="G3192" t="str">
        <f>_xlfn.XLOOKUP($A3192,Load!$B:$B,Load!H:H,0,)</f>
        <v>Stand-Up Bag</v>
      </c>
      <c r="H3192" t="str">
        <f>_xlfn.XLOOKUP($A3192,Load!$B:$B,Load!I:I,0,)</f>
        <v>Everyday Candy Shapes (like Original, Gummy bear, Fruit, Jewels, etc.)</v>
      </c>
      <c r="I3192" t="str">
        <f>_xlfn.XLOOKUP($A3192,Load!$B:$B,Load!J:J,0,)</f>
        <v>Seasonal Graphics (Like Bat, Ghost, Pumpkin, Fall Leaves, Eyeballs, etc.)</v>
      </c>
      <c r="J3192" t="str">
        <f>_xlfn.XLOOKUP($A3192,Load!$B:$B,Load!K:K,0,)</f>
        <v xml:space="preserve">Variety Candy Sizes </v>
      </c>
      <c r="K3192" t="str">
        <f>_xlfn.XLOOKUP($A3192,Load!$B:$B,Load!L:L,0,)</f>
        <v>Regular/Original Wrapping</v>
      </c>
      <c r="L3192" t="str">
        <f>_xlfn.XLOOKUP($A3192,Load!$B:$B,Load!M:M,0,)</f>
        <v>Multiple Brands / Variety Flavors or Form</v>
      </c>
    </row>
    <row r="3193" spans="1:12" x14ac:dyDescent="0.25">
      <c r="A3193" t="s">
        <v>120</v>
      </c>
      <c r="B3193" t="str">
        <f>_xlfn.XLOOKUP($A3193,Load!$B:$B,Load!C:C,0,)</f>
        <v>HARIBO</v>
      </c>
      <c r="C3193" t="str">
        <f>_xlfn.XLOOKUP($A3193,Load!$B:$B,Load!D:D,0,)</f>
        <v>Non-Chocolate Candy Only</v>
      </c>
      <c r="D3193" t="str">
        <f>_xlfn.XLOOKUP($A3193,Load!$B:$B,Load!E:E,0,)</f>
        <v>Variety / Mixed Flavors (Fruity, Sour, Seasonal Flavors)</v>
      </c>
      <c r="E3193" t="str">
        <f>_xlfn.XLOOKUP($A3193,Load!$B:$B,Load!F:F,0,)</f>
        <v>Mixed / Combo Packs (Gummy, Chewy, Taffy, etc.)</v>
      </c>
      <c r="F3193" t="str">
        <f>_xlfn.XLOOKUP($A3193,Load!$B:$B,Load!G:G,0,)</f>
        <v>Medium Multipack (40–80 ct)</v>
      </c>
      <c r="G3193" t="str">
        <f>_xlfn.XLOOKUP($A3193,Load!$B:$B,Load!H:H,0,)</f>
        <v>Laydown Bag</v>
      </c>
      <c r="H3193" t="str">
        <f>_xlfn.XLOOKUP($A3193,Load!$B:$B,Load!I:I,0,)</f>
        <v>Seasonal Shapes (like pumpkins, candy corn, ghost, bats, etc.)</v>
      </c>
      <c r="I3193" t="str">
        <f>_xlfn.XLOOKUP($A3193,Load!$B:$B,Load!J:J,0,)</f>
        <v>Seasonal Graphics (Like Bat, Ghost, Pumpkin, Fall Leaves, Eyeballs, etc.)</v>
      </c>
      <c r="J3193" t="str">
        <f>_xlfn.XLOOKUP($A3193,Load!$B:$B,Load!K:K,0,)</f>
        <v>Small Pieces (Tiny bite size candies)</v>
      </c>
      <c r="K3193" t="str">
        <f>_xlfn.XLOOKUP($A3193,Load!$B:$B,Load!L:L,0,)</f>
        <v>Regular/Original Wrapping</v>
      </c>
      <c r="L3193" t="str">
        <f>_xlfn.XLOOKUP($A3193,Load!$B:$B,Load!M:M,0,)</f>
        <v>Single Brand / Variety Flavors or Form</v>
      </c>
    </row>
    <row r="3194" spans="1:12" x14ac:dyDescent="0.25">
      <c r="B3194">
        <f>_xlfn.XLOOKUP($A3194,Load!$B:$B,Load!C:C,0,)</f>
        <v>0</v>
      </c>
      <c r="C3194">
        <f>_xlfn.XLOOKUP($A3194,Load!$B:$B,Load!D:D,0,)</f>
        <v>0</v>
      </c>
      <c r="D3194">
        <f>_xlfn.XLOOKUP($A3194,Load!$B:$B,Load!E:E,0,)</f>
        <v>0</v>
      </c>
      <c r="E3194">
        <f>_xlfn.XLOOKUP($A3194,Load!$B:$B,Load!F:F,0,)</f>
        <v>0</v>
      </c>
      <c r="F3194">
        <f>_xlfn.XLOOKUP($A3194,Load!$B:$B,Load!G:G,0,)</f>
        <v>0</v>
      </c>
      <c r="G3194">
        <f>_xlfn.XLOOKUP($A3194,Load!$B:$B,Load!H:H,0,)</f>
        <v>0</v>
      </c>
      <c r="H3194">
        <f>_xlfn.XLOOKUP($A3194,Load!$B:$B,Load!I:I,0,)</f>
        <v>0</v>
      </c>
      <c r="I3194">
        <f>_xlfn.XLOOKUP($A3194,Load!$B:$B,Load!J:J,0,)</f>
        <v>0</v>
      </c>
      <c r="J3194">
        <f>_xlfn.XLOOKUP($A3194,Load!$B:$B,Load!K:K,0,)</f>
        <v>0</v>
      </c>
      <c r="K3194">
        <f>_xlfn.XLOOKUP($A3194,Load!$B:$B,Load!L:L,0,)</f>
        <v>0</v>
      </c>
      <c r="L3194">
        <f>_xlfn.XLOOKUP($A3194,Load!$B:$B,Load!M:M,0,)</f>
        <v>0</v>
      </c>
    </row>
    <row r="3195" spans="1:12" x14ac:dyDescent="0.25">
      <c r="B3195">
        <f>_xlfn.XLOOKUP($A3195,Load!$B:$B,Load!C:C,0,)</f>
        <v>0</v>
      </c>
      <c r="C3195">
        <f>_xlfn.XLOOKUP($A3195,Load!$B:$B,Load!D:D,0,)</f>
        <v>0</v>
      </c>
      <c r="D3195">
        <f>_xlfn.XLOOKUP($A3195,Load!$B:$B,Load!E:E,0,)</f>
        <v>0</v>
      </c>
      <c r="E3195">
        <f>_xlfn.XLOOKUP($A3195,Load!$B:$B,Load!F:F,0,)</f>
        <v>0</v>
      </c>
      <c r="F3195">
        <f>_xlfn.XLOOKUP($A3195,Load!$B:$B,Load!G:G,0,)</f>
        <v>0</v>
      </c>
      <c r="G3195">
        <f>_xlfn.XLOOKUP($A3195,Load!$B:$B,Load!H:H,0,)</f>
        <v>0</v>
      </c>
      <c r="H3195">
        <f>_xlfn.XLOOKUP($A3195,Load!$B:$B,Load!I:I,0,)</f>
        <v>0</v>
      </c>
      <c r="I3195">
        <f>_xlfn.XLOOKUP($A3195,Load!$B:$B,Load!J:J,0,)</f>
        <v>0</v>
      </c>
      <c r="J3195">
        <f>_xlfn.XLOOKUP($A3195,Load!$B:$B,Load!K:K,0,)</f>
        <v>0</v>
      </c>
      <c r="K3195">
        <f>_xlfn.XLOOKUP($A3195,Load!$B:$B,Load!L:L,0,)</f>
        <v>0</v>
      </c>
      <c r="L3195">
        <f>_xlfn.XLOOKUP($A3195,Load!$B:$B,Load!M:M,0,)</f>
        <v>0</v>
      </c>
    </row>
    <row r="3196" spans="1:12" x14ac:dyDescent="0.25">
      <c r="A3196" t="s">
        <v>122</v>
      </c>
      <c r="B3196" t="str">
        <f>_xlfn.XLOOKUP($A3196,Load!$B:$B,Load!C:C,0,)</f>
        <v>HARIBO</v>
      </c>
      <c r="C3196" t="str">
        <f>_xlfn.XLOOKUP($A3196,Load!$B:$B,Load!D:D,0,)</f>
        <v>Non-Chocolate Candy Only</v>
      </c>
      <c r="D3196" t="str">
        <f>_xlfn.XLOOKUP($A3196,Load!$B:$B,Load!E:E,0,)</f>
        <v>Variety / Mixed Flavors (Fruity, Sour, Seasonal Flavors)</v>
      </c>
      <c r="E3196" t="str">
        <f>_xlfn.XLOOKUP($A3196,Load!$B:$B,Load!F:F,0,)</f>
        <v>Gummy</v>
      </c>
      <c r="F3196" t="str">
        <f>_xlfn.XLOOKUP($A3196,Load!$B:$B,Load!G:G,0,)</f>
        <v>Medium Multipack (40–80 ct)</v>
      </c>
      <c r="G3196" t="str">
        <f>_xlfn.XLOOKUP($A3196,Load!$B:$B,Load!H:H,0,)</f>
        <v>Laydown Bag</v>
      </c>
      <c r="H3196" t="str">
        <f>_xlfn.XLOOKUP($A3196,Load!$B:$B,Load!I:I,0,)</f>
        <v>Seasonal Shapes (like pumpkins, candy corn, ghost, bats, etc.)</v>
      </c>
      <c r="I3196" t="str">
        <f>_xlfn.XLOOKUP($A3196,Load!$B:$B,Load!J:J,0,)</f>
        <v>Seasonal Graphics (Like Bat, Ghost, Pumpkin, Fall Leaves, Eyeballs, etc.)</v>
      </c>
      <c r="J3196" t="str">
        <f>_xlfn.XLOOKUP($A3196,Load!$B:$B,Load!K:K,0,)</f>
        <v>Small Pieces (Tiny bite size candies)</v>
      </c>
      <c r="K3196" t="str">
        <f>_xlfn.XLOOKUP($A3196,Load!$B:$B,Load!L:L,0,)</f>
        <v>Regular/Original Wrapping</v>
      </c>
      <c r="L3196" t="str">
        <f>_xlfn.XLOOKUP($A3196,Load!$B:$B,Load!M:M,0,)</f>
        <v>Multiple Brands / Variety Flavors or Form</v>
      </c>
    </row>
    <row r="3197" spans="1:12" x14ac:dyDescent="0.25">
      <c r="B3197">
        <f>_xlfn.XLOOKUP($A3197,Load!$B:$B,Load!C:C,0,)</f>
        <v>0</v>
      </c>
      <c r="C3197">
        <f>_xlfn.XLOOKUP($A3197,Load!$B:$B,Load!D:D,0,)</f>
        <v>0</v>
      </c>
      <c r="D3197">
        <f>_xlfn.XLOOKUP($A3197,Load!$B:$B,Load!E:E,0,)</f>
        <v>0</v>
      </c>
      <c r="E3197">
        <f>_xlfn.XLOOKUP($A3197,Load!$B:$B,Load!F:F,0,)</f>
        <v>0</v>
      </c>
      <c r="F3197">
        <f>_xlfn.XLOOKUP($A3197,Load!$B:$B,Load!G:G,0,)</f>
        <v>0</v>
      </c>
      <c r="G3197">
        <f>_xlfn.XLOOKUP($A3197,Load!$B:$B,Load!H:H,0,)</f>
        <v>0</v>
      </c>
      <c r="H3197">
        <f>_xlfn.XLOOKUP($A3197,Load!$B:$B,Load!I:I,0,)</f>
        <v>0</v>
      </c>
      <c r="I3197">
        <f>_xlfn.XLOOKUP($A3197,Load!$B:$B,Load!J:J,0,)</f>
        <v>0</v>
      </c>
      <c r="J3197">
        <f>_xlfn.XLOOKUP($A3197,Load!$B:$B,Load!K:K,0,)</f>
        <v>0</v>
      </c>
      <c r="K3197">
        <f>_xlfn.XLOOKUP($A3197,Load!$B:$B,Load!L:L,0,)</f>
        <v>0</v>
      </c>
      <c r="L3197">
        <f>_xlfn.XLOOKUP($A3197,Load!$B:$B,Load!M:M,0,)</f>
        <v>0</v>
      </c>
    </row>
    <row r="3198" spans="1:12" x14ac:dyDescent="0.25">
      <c r="B3198">
        <f>_xlfn.XLOOKUP($A3198,Load!$B:$B,Load!C:C,0,)</f>
        <v>0</v>
      </c>
      <c r="C3198">
        <f>_xlfn.XLOOKUP($A3198,Load!$B:$B,Load!D:D,0,)</f>
        <v>0</v>
      </c>
      <c r="D3198">
        <f>_xlfn.XLOOKUP($A3198,Load!$B:$B,Load!E:E,0,)</f>
        <v>0</v>
      </c>
      <c r="E3198">
        <f>_xlfn.XLOOKUP($A3198,Load!$B:$B,Load!F:F,0,)</f>
        <v>0</v>
      </c>
      <c r="F3198">
        <f>_xlfn.XLOOKUP($A3198,Load!$B:$B,Load!G:G,0,)</f>
        <v>0</v>
      </c>
      <c r="G3198">
        <f>_xlfn.XLOOKUP($A3198,Load!$B:$B,Load!H:H,0,)</f>
        <v>0</v>
      </c>
      <c r="H3198">
        <f>_xlfn.XLOOKUP($A3198,Load!$B:$B,Load!I:I,0,)</f>
        <v>0</v>
      </c>
      <c r="I3198">
        <f>_xlfn.XLOOKUP($A3198,Load!$B:$B,Load!J:J,0,)</f>
        <v>0</v>
      </c>
      <c r="J3198">
        <f>_xlfn.XLOOKUP($A3198,Load!$B:$B,Load!K:K,0,)</f>
        <v>0</v>
      </c>
      <c r="K3198">
        <f>_xlfn.XLOOKUP($A3198,Load!$B:$B,Load!L:L,0,)</f>
        <v>0</v>
      </c>
      <c r="L3198">
        <f>_xlfn.XLOOKUP($A3198,Load!$B:$B,Load!M:M,0,)</f>
        <v>0</v>
      </c>
    </row>
    <row r="3199" spans="1:12" x14ac:dyDescent="0.25">
      <c r="B3199">
        <f>_xlfn.XLOOKUP($A3199,Load!$B:$B,Load!C:C,0,)</f>
        <v>0</v>
      </c>
      <c r="C3199">
        <f>_xlfn.XLOOKUP($A3199,Load!$B:$B,Load!D:D,0,)</f>
        <v>0</v>
      </c>
      <c r="D3199">
        <f>_xlfn.XLOOKUP($A3199,Load!$B:$B,Load!E:E,0,)</f>
        <v>0</v>
      </c>
      <c r="E3199">
        <f>_xlfn.XLOOKUP($A3199,Load!$B:$B,Load!F:F,0,)</f>
        <v>0</v>
      </c>
      <c r="F3199">
        <f>_xlfn.XLOOKUP($A3199,Load!$B:$B,Load!G:G,0,)</f>
        <v>0</v>
      </c>
      <c r="G3199">
        <f>_xlfn.XLOOKUP($A3199,Load!$B:$B,Load!H:H,0,)</f>
        <v>0</v>
      </c>
      <c r="H3199">
        <f>_xlfn.XLOOKUP($A3199,Load!$B:$B,Load!I:I,0,)</f>
        <v>0</v>
      </c>
      <c r="I3199">
        <f>_xlfn.XLOOKUP($A3199,Load!$B:$B,Load!J:J,0,)</f>
        <v>0</v>
      </c>
      <c r="J3199">
        <f>_xlfn.XLOOKUP($A3199,Load!$B:$B,Load!K:K,0,)</f>
        <v>0</v>
      </c>
      <c r="K3199">
        <f>_xlfn.XLOOKUP($A3199,Load!$B:$B,Load!L:L,0,)</f>
        <v>0</v>
      </c>
      <c r="L3199">
        <f>_xlfn.XLOOKUP($A3199,Load!$B:$B,Load!M:M,0,)</f>
        <v>0</v>
      </c>
    </row>
    <row r="3200" spans="1:12" x14ac:dyDescent="0.25">
      <c r="A3200" t="s">
        <v>283</v>
      </c>
      <c r="B3200" t="str">
        <f>_xlfn.XLOOKUP($A3200,Load!$B:$B,Load!C:C,0,)</f>
        <v>Sour Punch</v>
      </c>
      <c r="C3200" t="str">
        <f>_xlfn.XLOOKUP($A3200,Load!$B:$B,Load!D:D,0,)</f>
        <v>Non-Chocolate Candy Only</v>
      </c>
      <c r="D3200" t="str">
        <f>_xlfn.XLOOKUP($A3200,Load!$B:$B,Load!E:E,0,)</f>
        <v>Sour</v>
      </c>
      <c r="E3200" t="str">
        <f>_xlfn.XLOOKUP($A3200,Load!$B:$B,Load!F:F,0,)</f>
        <v>Chewy</v>
      </c>
      <c r="F3200" t="str">
        <f>_xlfn.XLOOKUP($A3200,Load!$B:$B,Load!G:G,0,)</f>
        <v>Large Multipack (More than 80 ct)</v>
      </c>
      <c r="G3200" t="str">
        <f>_xlfn.XLOOKUP($A3200,Load!$B:$B,Load!H:H,0,)</f>
        <v>Laydown Bag</v>
      </c>
      <c r="H3200" t="str">
        <f>_xlfn.XLOOKUP($A3200,Load!$B:$B,Load!I:I,0,)</f>
        <v>Seasonal Shapes (like pumpkins, candy corn, ghost, bats, etc.)</v>
      </c>
      <c r="I3200" t="str">
        <f>_xlfn.XLOOKUP($A3200,Load!$B:$B,Load!J:J,0,)</f>
        <v>Seasonal Graphics (Like Bat, Ghost, Pumpkin, Fall Leaves, Eyeballs, etc.)</v>
      </c>
      <c r="J3200" t="str">
        <f>_xlfn.XLOOKUP($A3200,Load!$B:$B,Load!K:K,0,)</f>
        <v>Small Pieces (Tiny bite size candies)</v>
      </c>
      <c r="K3200" t="str">
        <f>_xlfn.XLOOKUP($A3200,Load!$B:$B,Load!L:L,0,)</f>
        <v>Regular/Original Wrapping</v>
      </c>
      <c r="L3200" t="str">
        <f>_xlfn.XLOOKUP($A3200,Load!$B:$B,Load!M:M,0,)</f>
        <v>Single Brand / Variety Flavors or Form</v>
      </c>
    </row>
    <row r="3201" spans="1:12" x14ac:dyDescent="0.25">
      <c r="B3201">
        <f>_xlfn.XLOOKUP($A3201,Load!$B:$B,Load!C:C,0,)</f>
        <v>0</v>
      </c>
      <c r="C3201">
        <f>_xlfn.XLOOKUP($A3201,Load!$B:$B,Load!D:D,0,)</f>
        <v>0</v>
      </c>
      <c r="D3201">
        <f>_xlfn.XLOOKUP($A3201,Load!$B:$B,Load!E:E,0,)</f>
        <v>0</v>
      </c>
      <c r="E3201">
        <f>_xlfn.XLOOKUP($A3201,Load!$B:$B,Load!F:F,0,)</f>
        <v>0</v>
      </c>
      <c r="F3201">
        <f>_xlfn.XLOOKUP($A3201,Load!$B:$B,Load!G:G,0,)</f>
        <v>0</v>
      </c>
      <c r="G3201">
        <f>_xlfn.XLOOKUP($A3201,Load!$B:$B,Load!H:H,0,)</f>
        <v>0</v>
      </c>
      <c r="H3201">
        <f>_xlfn.XLOOKUP($A3201,Load!$B:$B,Load!I:I,0,)</f>
        <v>0</v>
      </c>
      <c r="I3201">
        <f>_xlfn.XLOOKUP($A3201,Load!$B:$B,Load!J:J,0,)</f>
        <v>0</v>
      </c>
      <c r="J3201">
        <f>_xlfn.XLOOKUP($A3201,Load!$B:$B,Load!K:K,0,)</f>
        <v>0</v>
      </c>
      <c r="K3201">
        <f>_xlfn.XLOOKUP($A3201,Load!$B:$B,Load!L:L,0,)</f>
        <v>0</v>
      </c>
      <c r="L3201">
        <f>_xlfn.XLOOKUP($A3201,Load!$B:$B,Load!M:M,0,)</f>
        <v>0</v>
      </c>
    </row>
    <row r="3202" spans="1:12" x14ac:dyDescent="0.25">
      <c r="A3202" t="s">
        <v>258</v>
      </c>
      <c r="B3202" t="str">
        <f>_xlfn.XLOOKUP($A3202,Load!$B:$B,Load!C:C,0,)</f>
        <v>Skittles</v>
      </c>
      <c r="C3202" t="str">
        <f>_xlfn.XLOOKUP($A3202,Load!$B:$B,Load!D:D,0,)</f>
        <v>Non-Chocolate Candy Only</v>
      </c>
      <c r="D3202" t="str">
        <f>_xlfn.XLOOKUP($A3202,Load!$B:$B,Load!E:E,0,)</f>
        <v>Variety / Mixed Flavors (Fruity, Sour, Seasonal Flavors)</v>
      </c>
      <c r="E3202" t="str">
        <f>_xlfn.XLOOKUP($A3202,Load!$B:$B,Load!F:F,0,)</f>
        <v>Mixed / Combo Packs (Gummy, Chewy, Taffy, etc.)</v>
      </c>
      <c r="F3202" t="str">
        <f>_xlfn.XLOOKUP($A3202,Load!$B:$B,Load!G:G,0,)</f>
        <v>Medium Multipack (40–80 ct)</v>
      </c>
      <c r="G3202" t="str">
        <f>_xlfn.XLOOKUP($A3202,Load!$B:$B,Load!H:H,0,)</f>
        <v>Stand-Up Bag</v>
      </c>
      <c r="H3202" t="str">
        <f>_xlfn.XLOOKUP($A3202,Load!$B:$B,Load!I:I,0,)</f>
        <v>Everyday Candy Shapes (like Original, Gummy bear, Fruit, Jewels, etc.)</v>
      </c>
      <c r="I3202" t="str">
        <f>_xlfn.XLOOKUP($A3202,Load!$B:$B,Load!J:J,0,)</f>
        <v>Everyday Graphics</v>
      </c>
      <c r="J3202" t="str">
        <f>_xlfn.XLOOKUP($A3202,Load!$B:$B,Load!K:K,0,)</f>
        <v>Small Pieces (Tiny bite size candies)</v>
      </c>
      <c r="K3202" t="str">
        <f>_xlfn.XLOOKUP($A3202,Load!$B:$B,Load!L:L,0,)</f>
        <v>Regular/Original Wrapping</v>
      </c>
      <c r="L3202" t="str">
        <f>_xlfn.XLOOKUP($A3202,Load!$B:$B,Load!M:M,0,)</f>
        <v>Single Brand / Variety Flavors or Form</v>
      </c>
    </row>
    <row r="3203" spans="1:12" x14ac:dyDescent="0.25">
      <c r="B3203">
        <f>_xlfn.XLOOKUP($A3203,Load!$B:$B,Load!C:C,0,)</f>
        <v>0</v>
      </c>
      <c r="C3203">
        <f>_xlfn.XLOOKUP($A3203,Load!$B:$B,Load!D:D,0,)</f>
        <v>0</v>
      </c>
      <c r="D3203">
        <f>_xlfn.XLOOKUP($A3203,Load!$B:$B,Load!E:E,0,)</f>
        <v>0</v>
      </c>
      <c r="E3203">
        <f>_xlfn.XLOOKUP($A3203,Load!$B:$B,Load!F:F,0,)</f>
        <v>0</v>
      </c>
      <c r="F3203">
        <f>_xlfn.XLOOKUP($A3203,Load!$B:$B,Load!G:G,0,)</f>
        <v>0</v>
      </c>
      <c r="G3203">
        <f>_xlfn.XLOOKUP($A3203,Load!$B:$B,Load!H:H,0,)</f>
        <v>0</v>
      </c>
      <c r="H3203">
        <f>_xlfn.XLOOKUP($A3203,Load!$B:$B,Load!I:I,0,)</f>
        <v>0</v>
      </c>
      <c r="I3203">
        <f>_xlfn.XLOOKUP($A3203,Load!$B:$B,Load!J:J,0,)</f>
        <v>0</v>
      </c>
      <c r="J3203">
        <f>_xlfn.XLOOKUP($A3203,Load!$B:$B,Load!K:K,0,)</f>
        <v>0</v>
      </c>
      <c r="K3203">
        <f>_xlfn.XLOOKUP($A3203,Load!$B:$B,Load!L:L,0,)</f>
        <v>0</v>
      </c>
      <c r="L3203">
        <f>_xlfn.XLOOKUP($A3203,Load!$B:$B,Load!M:M,0,)</f>
        <v>0</v>
      </c>
    </row>
    <row r="3204" spans="1:12" x14ac:dyDescent="0.25">
      <c r="A3204" t="s">
        <v>221</v>
      </c>
      <c r="B3204" t="str">
        <f>_xlfn.XLOOKUP($A3204,Load!$B:$B,Load!C:C,0,)</f>
        <v>Hershey's Variety Pack + Haribo</v>
      </c>
      <c r="C3204" t="str">
        <f>_xlfn.XLOOKUP($A3204,Load!$B:$B,Load!D:D,0,)</f>
        <v>Mix of Chocolate and Non-Chocolate Candy</v>
      </c>
      <c r="D3204" t="str">
        <f>_xlfn.XLOOKUP($A3204,Load!$B:$B,Load!E:E,0,)</f>
        <v>Variety / Mixed Flavors (Fruity, Sour, Seasonal Flavors)</v>
      </c>
      <c r="E3204" t="str">
        <f>_xlfn.XLOOKUP($A3204,Load!$B:$B,Load!F:F,0,)</f>
        <v>Mixed / Combo Packs (Gummy, Chewy, Taffy, etc.)</v>
      </c>
      <c r="F3204" t="str">
        <f>_xlfn.XLOOKUP($A3204,Load!$B:$B,Load!G:G,0,)</f>
        <v>Large Multipack (More than 80 ct)</v>
      </c>
      <c r="G3204" t="str">
        <f>_xlfn.XLOOKUP($A3204,Load!$B:$B,Load!H:H,0,)</f>
        <v>Stand-Up Bag</v>
      </c>
      <c r="H3204" t="str">
        <f>_xlfn.XLOOKUP($A3204,Load!$B:$B,Load!I:I,0,)</f>
        <v>Everyday Candy Shapes (like Original, Gummy bear, Fruit, Jewels, etc.)</v>
      </c>
      <c r="I3204" t="str">
        <f>_xlfn.XLOOKUP($A3204,Load!$B:$B,Load!J:J,0,)</f>
        <v>Seasonal Graphics (Like Bat, Ghost, Pumpkin, Fall Leaves, Eyeballs, etc.)</v>
      </c>
      <c r="J3204" t="str">
        <f>_xlfn.XLOOKUP($A3204,Load!$B:$B,Load!K:K,0,)</f>
        <v xml:space="preserve">Variety Candy Sizes </v>
      </c>
      <c r="K3204" t="str">
        <f>_xlfn.XLOOKUP($A3204,Load!$B:$B,Load!L:L,0,)</f>
        <v>Regular/Original Wrapping</v>
      </c>
      <c r="L3204" t="str">
        <f>_xlfn.XLOOKUP($A3204,Load!$B:$B,Load!M:M,0,)</f>
        <v>Multiple Brands / Variety Flavors or Form</v>
      </c>
    </row>
    <row r="3205" spans="1:12" x14ac:dyDescent="0.25">
      <c r="A3205" t="s">
        <v>204</v>
      </c>
      <c r="B3205" t="str">
        <f>_xlfn.XLOOKUP($A3205,Load!$B:$B,Load!C:C,0,)</f>
        <v>Mars Variety Pack</v>
      </c>
      <c r="C3205" t="str">
        <f>_xlfn.XLOOKUP($A3205,Load!$B:$B,Load!D:D,0,)</f>
        <v>Mix of Chocolate and Non-Chocolate Candy</v>
      </c>
      <c r="D3205" t="str">
        <f>_xlfn.XLOOKUP($A3205,Load!$B:$B,Load!E:E,0,)</f>
        <v>Variety / Mixed Flavors (Fruity, Sour, Seasonal Flavors)</v>
      </c>
      <c r="E3205" t="str">
        <f>_xlfn.XLOOKUP($A3205,Load!$B:$B,Load!F:F,0,)</f>
        <v>Mixed / Combo Packs (Gummy, Chewy, Taffy, etc.)</v>
      </c>
      <c r="F3205" t="str">
        <f>_xlfn.XLOOKUP($A3205,Load!$B:$B,Load!G:G,0,)</f>
        <v>Medium Multipack (40–80 ct)</v>
      </c>
      <c r="G3205" t="str">
        <f>_xlfn.XLOOKUP($A3205,Load!$B:$B,Load!H:H,0,)</f>
        <v>Stand-Up Bag</v>
      </c>
      <c r="H3205" t="str">
        <f>_xlfn.XLOOKUP($A3205,Load!$B:$B,Load!I:I,0,)</f>
        <v>Everyday Candy Shapes (like Original, Gummy bear, Fruit, Jewels, etc.)</v>
      </c>
      <c r="I3205" t="str">
        <f>_xlfn.XLOOKUP($A3205,Load!$B:$B,Load!J:J,0,)</f>
        <v>Everyday Graphics</v>
      </c>
      <c r="J3205" t="str">
        <f>_xlfn.XLOOKUP($A3205,Load!$B:$B,Load!K:K,0,)</f>
        <v>Fun Size / Treat Size</v>
      </c>
      <c r="K3205" t="str">
        <f>_xlfn.XLOOKUP($A3205,Load!$B:$B,Load!L:L,0,)</f>
        <v>Regular/Original Wrapping</v>
      </c>
      <c r="L3205" t="str">
        <f>_xlfn.XLOOKUP($A3205,Load!$B:$B,Load!M:M,0,)</f>
        <v>Multiple Brands / Variety Flavors or Form</v>
      </c>
    </row>
    <row r="3206" spans="1:12" x14ac:dyDescent="0.25">
      <c r="B3206">
        <f>_xlfn.XLOOKUP($A3206,Load!$B:$B,Load!C:C,0,)</f>
        <v>0</v>
      </c>
      <c r="C3206">
        <f>_xlfn.XLOOKUP($A3206,Load!$B:$B,Load!D:D,0,)</f>
        <v>0</v>
      </c>
      <c r="D3206">
        <f>_xlfn.XLOOKUP($A3206,Load!$B:$B,Load!E:E,0,)</f>
        <v>0</v>
      </c>
      <c r="E3206">
        <f>_xlfn.XLOOKUP($A3206,Load!$B:$B,Load!F:F,0,)</f>
        <v>0</v>
      </c>
      <c r="F3206">
        <f>_xlfn.XLOOKUP($A3206,Load!$B:$B,Load!G:G,0,)</f>
        <v>0</v>
      </c>
      <c r="G3206">
        <f>_xlfn.XLOOKUP($A3206,Load!$B:$B,Load!H:H,0,)</f>
        <v>0</v>
      </c>
      <c r="H3206">
        <f>_xlfn.XLOOKUP($A3206,Load!$B:$B,Load!I:I,0,)</f>
        <v>0</v>
      </c>
      <c r="I3206">
        <f>_xlfn.XLOOKUP($A3206,Load!$B:$B,Load!J:J,0,)</f>
        <v>0</v>
      </c>
      <c r="J3206">
        <f>_xlfn.XLOOKUP($A3206,Load!$B:$B,Load!K:K,0,)</f>
        <v>0</v>
      </c>
      <c r="K3206">
        <f>_xlfn.XLOOKUP($A3206,Load!$B:$B,Load!L:L,0,)</f>
        <v>0</v>
      </c>
      <c r="L3206">
        <f>_xlfn.XLOOKUP($A3206,Load!$B:$B,Load!M:M,0,)</f>
        <v>0</v>
      </c>
    </row>
    <row r="3207" spans="1:12" x14ac:dyDescent="0.25">
      <c r="B3207">
        <f>_xlfn.XLOOKUP($A3207,Load!$B:$B,Load!C:C,0,)</f>
        <v>0</v>
      </c>
      <c r="C3207">
        <f>_xlfn.XLOOKUP($A3207,Load!$B:$B,Load!D:D,0,)</f>
        <v>0</v>
      </c>
      <c r="D3207">
        <f>_xlfn.XLOOKUP($A3207,Load!$B:$B,Load!E:E,0,)</f>
        <v>0</v>
      </c>
      <c r="E3207">
        <f>_xlfn.XLOOKUP($A3207,Load!$B:$B,Load!F:F,0,)</f>
        <v>0</v>
      </c>
      <c r="F3207">
        <f>_xlfn.XLOOKUP($A3207,Load!$B:$B,Load!G:G,0,)</f>
        <v>0</v>
      </c>
      <c r="G3207">
        <f>_xlfn.XLOOKUP($A3207,Load!$B:$B,Load!H:H,0,)</f>
        <v>0</v>
      </c>
      <c r="H3207">
        <f>_xlfn.XLOOKUP($A3207,Load!$B:$B,Load!I:I,0,)</f>
        <v>0</v>
      </c>
      <c r="I3207">
        <f>_xlfn.XLOOKUP($A3207,Load!$B:$B,Load!J:J,0,)</f>
        <v>0</v>
      </c>
      <c r="J3207">
        <f>_xlfn.XLOOKUP($A3207,Load!$B:$B,Load!K:K,0,)</f>
        <v>0</v>
      </c>
      <c r="K3207">
        <f>_xlfn.XLOOKUP($A3207,Load!$B:$B,Load!L:L,0,)</f>
        <v>0</v>
      </c>
      <c r="L3207">
        <f>_xlfn.XLOOKUP($A3207,Load!$B:$B,Load!M:M,0,)</f>
        <v>0</v>
      </c>
    </row>
    <row r="3208" spans="1:12" x14ac:dyDescent="0.25">
      <c r="A3208" t="s">
        <v>265</v>
      </c>
      <c r="B3208" t="str">
        <f>_xlfn.XLOOKUP($A3208,Load!$B:$B,Load!C:C,0,)</f>
        <v>Smarties</v>
      </c>
      <c r="C3208" t="str">
        <f>_xlfn.XLOOKUP($A3208,Load!$B:$B,Load!D:D,0,)</f>
        <v>Non-Chocolate Candy Only</v>
      </c>
      <c r="D3208" t="str">
        <f>_xlfn.XLOOKUP($A3208,Load!$B:$B,Load!E:E,0,)</f>
        <v>Fruit Flavor (Cherry, Grape, Apple, Citrus, Tropical Fruit)</v>
      </c>
      <c r="E3208" t="str">
        <f>_xlfn.XLOOKUP($A3208,Load!$B:$B,Load!F:F,0,)</f>
        <v>Powder / Chalky</v>
      </c>
      <c r="F3208" t="str">
        <f>_xlfn.XLOOKUP($A3208,Load!$B:$B,Load!G:G,0,)</f>
        <v>Large Multipack (More than 80 ct)</v>
      </c>
      <c r="G3208" t="str">
        <f>_xlfn.XLOOKUP($A3208,Load!$B:$B,Load!H:H,0,)</f>
        <v>Laydown Bag</v>
      </c>
      <c r="H3208" t="str">
        <f>_xlfn.XLOOKUP($A3208,Load!$B:$B,Load!I:I,0,)</f>
        <v>Seasonal Shapes (like pumpkins, candy corn, ghost, bats, etc.)</v>
      </c>
      <c r="I3208" t="str">
        <f>_xlfn.XLOOKUP($A3208,Load!$B:$B,Load!J:J,0,)</f>
        <v>Seasonal Graphics (Like Bat, Ghost, Pumpkin, Fall Leaves, Eyeballs, etc.)</v>
      </c>
      <c r="J3208" t="str">
        <f>_xlfn.XLOOKUP($A3208,Load!$B:$B,Load!K:K,0,)</f>
        <v>Small Pieces (Tiny bite size candies)</v>
      </c>
      <c r="K3208" t="str">
        <f>_xlfn.XLOOKUP($A3208,Load!$B:$B,Load!L:L,0,)</f>
        <v>Regular/Original Wrapping</v>
      </c>
      <c r="L3208" t="str">
        <f>_xlfn.XLOOKUP($A3208,Load!$B:$B,Load!M:M,0,)</f>
        <v>Single Brand / Single Flavor or Form</v>
      </c>
    </row>
    <row r="3209" spans="1:12" x14ac:dyDescent="0.25">
      <c r="A3209" t="s">
        <v>231</v>
      </c>
      <c r="B3209" t="str">
        <f>_xlfn.XLOOKUP($A3209,Load!$B:$B,Load!C:C,0,)</f>
        <v>Nerds</v>
      </c>
      <c r="C3209" t="str">
        <f>_xlfn.XLOOKUP($A3209,Load!$B:$B,Load!D:D,0,)</f>
        <v>Non-Chocolate Candy Only</v>
      </c>
      <c r="D3209" t="str">
        <f>_xlfn.XLOOKUP($A3209,Load!$B:$B,Load!E:E,0,)</f>
        <v>Sweet</v>
      </c>
      <c r="E3209" t="str">
        <f>_xlfn.XLOOKUP($A3209,Load!$B:$B,Load!F:F,0,)</f>
        <v>Gummy</v>
      </c>
      <c r="F3209" t="str">
        <f>_xlfn.XLOOKUP($A3209,Load!$B:$B,Load!G:G,0,)</f>
        <v>Large Multipack (More than 80 ct)</v>
      </c>
      <c r="G3209" t="str">
        <f>_xlfn.XLOOKUP($A3209,Load!$B:$B,Load!H:H,0,)</f>
        <v>Box (theatre box, gift box, carton)</v>
      </c>
      <c r="H3209" t="str">
        <f>_xlfn.XLOOKUP($A3209,Load!$B:$B,Load!I:I,0,)</f>
        <v>Everyday Candy Shapes (like Original, Gummy bear, Fruit, Jewels, etc.)</v>
      </c>
      <c r="I3209" t="str">
        <f>_xlfn.XLOOKUP($A3209,Load!$B:$B,Load!J:J,0,)</f>
        <v>Seasonal Graphics (Like Bat, Ghost, Pumpkin, Fall Leaves, Eyeballs, etc.)</v>
      </c>
      <c r="J3209" t="str">
        <f>_xlfn.XLOOKUP($A3209,Load!$B:$B,Load!K:K,0,)</f>
        <v>Small Pieces (Tiny bite size candies)</v>
      </c>
      <c r="K3209" t="str">
        <f>_xlfn.XLOOKUP($A3209,Load!$B:$B,Load!L:L,0,)</f>
        <v>Regular/Original Wrapping</v>
      </c>
      <c r="L3209" t="str">
        <f>_xlfn.XLOOKUP($A3209,Load!$B:$B,Load!M:M,0,)</f>
        <v>Single Brand / Single Flavor or Form</v>
      </c>
    </row>
    <row r="3210" spans="1:12" x14ac:dyDescent="0.25">
      <c r="A3210" t="s">
        <v>299</v>
      </c>
      <c r="B3210" t="str">
        <f>_xlfn.XLOOKUP($A3210,Load!$B:$B,Load!C:C,0,)</f>
        <v>Twizzlers</v>
      </c>
      <c r="C3210" t="str">
        <f>_xlfn.XLOOKUP($A3210,Load!$B:$B,Load!D:D,0,)</f>
        <v>Non-Chocolate Candy Only</v>
      </c>
      <c r="D3210" t="str">
        <f>_xlfn.XLOOKUP($A3210,Load!$B:$B,Load!E:E,0,)</f>
        <v>Fruit Flavor (Cherry, Grape, Apple, Citrus, Tropical Fruit)</v>
      </c>
      <c r="E3210" t="str">
        <f>_xlfn.XLOOKUP($A3210,Load!$B:$B,Load!F:F,0,)</f>
        <v>Chewy</v>
      </c>
      <c r="F3210" t="str">
        <f>_xlfn.XLOOKUP($A3210,Load!$B:$B,Load!G:G,0,)</f>
        <v>Single Pack</v>
      </c>
      <c r="G3210" t="str">
        <f>_xlfn.XLOOKUP($A3210,Load!$B:$B,Load!H:H,0,)</f>
        <v>Stand-Up Bag</v>
      </c>
      <c r="H3210" t="str">
        <f>_xlfn.XLOOKUP($A3210,Load!$B:$B,Load!I:I,0,)</f>
        <v>Seasonal Shapes (like pumpkins, candy corn, ghost, bats, etc.)</v>
      </c>
      <c r="I3210" t="str">
        <f>_xlfn.XLOOKUP($A3210,Load!$B:$B,Load!J:J,0,)</f>
        <v>Seasonal Graphics (Like Bat, Ghost, Pumpkin, Fall Leaves, Eyeballs, etc.)</v>
      </c>
      <c r="J3210" t="str">
        <f>_xlfn.XLOOKUP($A3210,Load!$B:$B,Load!K:K,0,)</f>
        <v>Fun Size / Treat Size</v>
      </c>
      <c r="K3210" t="str">
        <f>_xlfn.XLOOKUP($A3210,Load!$B:$B,Load!L:L,0,)</f>
        <v>Unwrapped</v>
      </c>
      <c r="L3210" t="str">
        <f>_xlfn.XLOOKUP($A3210,Load!$B:$B,Load!M:M,0,)</f>
        <v>Single Brand / Single Flavor or Form</v>
      </c>
    </row>
    <row r="3211" spans="1:12" x14ac:dyDescent="0.25">
      <c r="A3211" t="s">
        <v>276</v>
      </c>
      <c r="B3211" t="str">
        <f>_xlfn.XLOOKUP($A3211,Load!$B:$B,Load!C:C,0,)</f>
        <v>Sour Patch Kids</v>
      </c>
      <c r="C3211" t="str">
        <f>_xlfn.XLOOKUP($A3211,Load!$B:$B,Load!D:D,0,)</f>
        <v>Non-Chocolate Candy Only</v>
      </c>
      <c r="D3211" t="str">
        <f>_xlfn.XLOOKUP($A3211,Load!$B:$B,Load!E:E,0,)</f>
        <v>Sour</v>
      </c>
      <c r="E3211" t="str">
        <f>_xlfn.XLOOKUP($A3211,Load!$B:$B,Load!F:F,0,)</f>
        <v>Chewy</v>
      </c>
      <c r="F3211" t="str">
        <f>_xlfn.XLOOKUP($A3211,Load!$B:$B,Load!G:G,0,)</f>
        <v>Small Multipack (Less than 40 ct)</v>
      </c>
      <c r="G3211" t="str">
        <f>_xlfn.XLOOKUP($A3211,Load!$B:$B,Load!H:H,0,)</f>
        <v>Stand-Up Bag</v>
      </c>
      <c r="H3211" t="str">
        <f>_xlfn.XLOOKUP($A3211,Load!$B:$B,Load!I:I,0,)</f>
        <v>Everyday Candy Shapes (like Original, Gummy bear, Fruit, Jewels, etc.)</v>
      </c>
      <c r="I3211" t="str">
        <f>_xlfn.XLOOKUP($A3211,Load!$B:$B,Load!J:J,0,)</f>
        <v>Seasonal Graphics (Like Bat, Ghost, Pumpkin, Fall Leaves, Eyeballs, etc.)</v>
      </c>
      <c r="J3211" t="str">
        <f>_xlfn.XLOOKUP($A3211,Load!$B:$B,Load!K:K,0,)</f>
        <v>Small Pieces (Tiny bite size candies)</v>
      </c>
      <c r="K3211" t="str">
        <f>_xlfn.XLOOKUP($A3211,Load!$B:$B,Load!L:L,0,)</f>
        <v>Unwrapped</v>
      </c>
      <c r="L3211" t="str">
        <f>_xlfn.XLOOKUP($A3211,Load!$B:$B,Load!M:M,0,)</f>
        <v>Single Brand / Single Flavor or Form</v>
      </c>
    </row>
    <row r="3212" spans="1:12" x14ac:dyDescent="0.25">
      <c r="A3212" t="s">
        <v>181</v>
      </c>
      <c r="B3212" t="str">
        <f>_xlfn.XLOOKUP($A3212,Load!$B:$B,Load!C:C,0,)</f>
        <v>Mars Variety Pack</v>
      </c>
      <c r="C3212" t="str">
        <f>_xlfn.XLOOKUP($A3212,Load!$B:$B,Load!D:D,0,)</f>
        <v>Mix of Chocolate and Non-Chocolate Candy</v>
      </c>
      <c r="D3212" t="str">
        <f>_xlfn.XLOOKUP($A3212,Load!$B:$B,Load!E:E,0,)</f>
        <v>Variety / Mixed Flavors (Fruity, Sour, Seasonal Flavors)</v>
      </c>
      <c r="E3212" t="str">
        <f>_xlfn.XLOOKUP($A3212,Load!$B:$B,Load!F:F,0,)</f>
        <v>Mixed / Combo Packs (Gummy, Chewy, Taffy, etc.)</v>
      </c>
      <c r="F3212" t="str">
        <f>_xlfn.XLOOKUP($A3212,Load!$B:$B,Load!G:G,0,)</f>
        <v>Large Multipack (More than 80 ct)</v>
      </c>
      <c r="G3212" t="str">
        <f>_xlfn.XLOOKUP($A3212,Load!$B:$B,Load!H:H,0,)</f>
        <v>Stand-Up Bag</v>
      </c>
      <c r="H3212" t="str">
        <f>_xlfn.XLOOKUP($A3212,Load!$B:$B,Load!I:I,0,)</f>
        <v>Everyday Candy Shapes (like Original, Gummy bear, Fruit, Jewels, etc.)</v>
      </c>
      <c r="I3212" t="str">
        <f>_xlfn.XLOOKUP($A3212,Load!$B:$B,Load!J:J,0,)</f>
        <v>Seasonal Graphics (Like Bat, Ghost, Pumpkin, Fall Leaves, Eyeballs, etc.)</v>
      </c>
      <c r="J3212" t="str">
        <f>_xlfn.XLOOKUP($A3212,Load!$B:$B,Load!K:K,0,)</f>
        <v>Fun Size / Treat Size</v>
      </c>
      <c r="K3212" t="str">
        <f>_xlfn.XLOOKUP($A3212,Load!$B:$B,Load!L:L,0,)</f>
        <v>Regular/Original Wrapping</v>
      </c>
      <c r="L3212" t="str">
        <f>_xlfn.XLOOKUP($A3212,Load!$B:$B,Load!M:M,0,)</f>
        <v>Multiple Brands / Variety Flavors or Form</v>
      </c>
    </row>
    <row r="3213" spans="1:12" x14ac:dyDescent="0.25">
      <c r="A3213" t="s">
        <v>175</v>
      </c>
      <c r="B3213" t="str">
        <f>_xlfn.XLOOKUP($A3213,Load!$B:$B,Load!C:C,0,)</f>
        <v>Mars Variety Pack</v>
      </c>
      <c r="C3213" t="str">
        <f>_xlfn.XLOOKUP($A3213,Load!$B:$B,Load!D:D,0,)</f>
        <v>Mix of Chocolate and Non-Chocolate Candy</v>
      </c>
      <c r="D3213" t="str">
        <f>_xlfn.XLOOKUP($A3213,Load!$B:$B,Load!E:E,0,)</f>
        <v>Variety / Mixed Flavors (Fruity, Sour, Seasonal Flavors)</v>
      </c>
      <c r="E3213" t="str">
        <f>_xlfn.XLOOKUP($A3213,Load!$B:$B,Load!F:F,0,)</f>
        <v>Mixed / Combo Packs (Gummy, Chewy, Taffy, etc.)</v>
      </c>
      <c r="F3213" t="str">
        <f>_xlfn.XLOOKUP($A3213,Load!$B:$B,Load!G:G,0,)</f>
        <v>Large Multipack (More than 80 ct)</v>
      </c>
      <c r="G3213" t="str">
        <f>_xlfn.XLOOKUP($A3213,Load!$B:$B,Load!H:H,0,)</f>
        <v>Stand-Up Bag</v>
      </c>
      <c r="H3213" t="str">
        <f>_xlfn.XLOOKUP($A3213,Load!$B:$B,Load!I:I,0,)</f>
        <v>Everyday Candy Shapes (like Original, Gummy bear, Fruit, Jewels, etc.)</v>
      </c>
      <c r="I3213" t="str">
        <f>_xlfn.XLOOKUP($A3213,Load!$B:$B,Load!J:J,0,)</f>
        <v>Seasonal Graphics (Like Bat, Ghost, Pumpkin, Fall Leaves, Eyeballs, etc.)</v>
      </c>
      <c r="J3213" t="str">
        <f>_xlfn.XLOOKUP($A3213,Load!$B:$B,Load!K:K,0,)</f>
        <v xml:space="preserve">Variety Candy Sizes </v>
      </c>
      <c r="K3213" t="str">
        <f>_xlfn.XLOOKUP($A3213,Load!$B:$B,Load!L:L,0,)</f>
        <v>Regular/Original Wrapping</v>
      </c>
      <c r="L3213" t="str">
        <f>_xlfn.XLOOKUP($A3213,Load!$B:$B,Load!M:M,0,)</f>
        <v>Multiple Brands / Variety Flavors or Form</v>
      </c>
    </row>
    <row r="3214" spans="1:12" x14ac:dyDescent="0.25">
      <c r="A3214" t="s">
        <v>220</v>
      </c>
      <c r="B3214" t="str">
        <f>_xlfn.XLOOKUP($A3214,Load!$B:$B,Load!C:C,0,)</f>
        <v>Mondelez Variety Pack</v>
      </c>
      <c r="C3214" t="str">
        <f>_xlfn.XLOOKUP($A3214,Load!$B:$B,Load!D:D,0,)</f>
        <v>Non-Chocolate Candy Only</v>
      </c>
      <c r="D3214" t="str">
        <f>_xlfn.XLOOKUP($A3214,Load!$B:$B,Load!E:E,0,)</f>
        <v>Variety / Mixed Flavors (Fruity, Sour, Seasonal Flavors)</v>
      </c>
      <c r="E3214" t="str">
        <f>_xlfn.XLOOKUP($A3214,Load!$B:$B,Load!F:F,0,)</f>
        <v>Chewy</v>
      </c>
      <c r="F3214" t="str">
        <f>_xlfn.XLOOKUP($A3214,Load!$B:$B,Load!G:G,0,)</f>
        <v>Large Multipack (More than 80 ct)</v>
      </c>
      <c r="G3214" t="str">
        <f>_xlfn.XLOOKUP($A3214,Load!$B:$B,Load!H:H,0,)</f>
        <v>Stand-Up Bag</v>
      </c>
      <c r="H3214" t="str">
        <f>_xlfn.XLOOKUP($A3214,Load!$B:$B,Load!I:I,0,)</f>
        <v>Seasonal Shapes (like pumpkins, candy corn, ghost, bats, etc.)</v>
      </c>
      <c r="I3214" t="str">
        <f>_xlfn.XLOOKUP($A3214,Load!$B:$B,Load!J:J,0,)</f>
        <v>Seasonal Graphics (Like Bat, Ghost, Pumpkin, Fall Leaves, Eyeballs, etc.)</v>
      </c>
      <c r="J3214" t="str">
        <f>_xlfn.XLOOKUP($A3214,Load!$B:$B,Load!K:K,0,)</f>
        <v>Small Pieces (Tiny bite size candies)</v>
      </c>
      <c r="K3214" t="str">
        <f>_xlfn.XLOOKUP($A3214,Load!$B:$B,Load!L:L,0,)</f>
        <v>Regular/Original Wrapping</v>
      </c>
      <c r="L3214" t="str">
        <f>_xlfn.XLOOKUP($A3214,Load!$B:$B,Load!M:M,0,)</f>
        <v>Single Brand / Variety Flavors or Form</v>
      </c>
    </row>
    <row r="3215" spans="1:12" x14ac:dyDescent="0.25">
      <c r="B3215">
        <f>_xlfn.XLOOKUP($A3215,Load!$B:$B,Load!C:C,0,)</f>
        <v>0</v>
      </c>
      <c r="C3215">
        <f>_xlfn.XLOOKUP($A3215,Load!$B:$B,Load!D:D,0,)</f>
        <v>0</v>
      </c>
      <c r="D3215">
        <f>_xlfn.XLOOKUP($A3215,Load!$B:$B,Load!E:E,0,)</f>
        <v>0</v>
      </c>
      <c r="E3215">
        <f>_xlfn.XLOOKUP($A3215,Load!$B:$B,Load!F:F,0,)</f>
        <v>0</v>
      </c>
      <c r="F3215">
        <f>_xlfn.XLOOKUP($A3215,Load!$B:$B,Load!G:G,0,)</f>
        <v>0</v>
      </c>
      <c r="G3215">
        <f>_xlfn.XLOOKUP($A3215,Load!$B:$B,Load!H:H,0,)</f>
        <v>0</v>
      </c>
      <c r="H3215">
        <f>_xlfn.XLOOKUP($A3215,Load!$B:$B,Load!I:I,0,)</f>
        <v>0</v>
      </c>
      <c r="I3215">
        <f>_xlfn.XLOOKUP($A3215,Load!$B:$B,Load!J:J,0,)</f>
        <v>0</v>
      </c>
      <c r="J3215">
        <f>_xlfn.XLOOKUP($A3215,Load!$B:$B,Load!K:K,0,)</f>
        <v>0</v>
      </c>
      <c r="K3215">
        <f>_xlfn.XLOOKUP($A3215,Load!$B:$B,Load!L:L,0,)</f>
        <v>0</v>
      </c>
      <c r="L3215">
        <f>_xlfn.XLOOKUP($A3215,Load!$B:$B,Load!M:M,0,)</f>
        <v>0</v>
      </c>
    </row>
    <row r="3216" spans="1:12" x14ac:dyDescent="0.25">
      <c r="A3216" t="s">
        <v>178</v>
      </c>
      <c r="B3216" t="str">
        <f>_xlfn.XLOOKUP($A3216,Load!$B:$B,Load!C:C,0,)</f>
        <v>Mars Variety Pack</v>
      </c>
      <c r="C3216" t="str">
        <f>_xlfn.XLOOKUP($A3216,Load!$B:$B,Load!D:D,0,)</f>
        <v>Mix of Chocolate and Non-Chocolate Candy</v>
      </c>
      <c r="D3216" t="str">
        <f>_xlfn.XLOOKUP($A3216,Load!$B:$B,Load!E:E,0,)</f>
        <v>Variety / Mixed Flavors (Fruity, Sour, Seasonal Flavors)</v>
      </c>
      <c r="E3216" t="str">
        <f>_xlfn.XLOOKUP($A3216,Load!$B:$B,Load!F:F,0,)</f>
        <v>Mixed / Combo Packs (Gummy, Chewy, Taffy, etc.)</v>
      </c>
      <c r="F3216" t="str">
        <f>_xlfn.XLOOKUP($A3216,Load!$B:$B,Load!G:G,0,)</f>
        <v>Small Multipack (Less than 40 ct)</v>
      </c>
      <c r="G3216" t="str">
        <f>_xlfn.XLOOKUP($A3216,Load!$B:$B,Load!H:H,0,)</f>
        <v>Laydown Bag</v>
      </c>
      <c r="H3216" t="str">
        <f>_xlfn.XLOOKUP($A3216,Load!$B:$B,Load!I:I,0,)</f>
        <v>Everyday Candy Shapes (like Original, Gummy bear, Fruit, Jewels, etc.)</v>
      </c>
      <c r="I3216" t="str">
        <f>_xlfn.XLOOKUP($A3216,Load!$B:$B,Load!J:J,0,)</f>
        <v>Seasonal Graphics (Like Bat, Ghost, Pumpkin, Fall Leaves, Eyeballs, etc.)</v>
      </c>
      <c r="J3216" t="str">
        <f>_xlfn.XLOOKUP($A3216,Load!$B:$B,Load!K:K,0,)</f>
        <v xml:space="preserve">Variety Candy Sizes </v>
      </c>
      <c r="K3216" t="str">
        <f>_xlfn.XLOOKUP($A3216,Load!$B:$B,Load!L:L,0,)</f>
        <v>Regular/Original Wrapping</v>
      </c>
      <c r="L3216" t="str">
        <f>_xlfn.XLOOKUP($A3216,Load!$B:$B,Load!M:M,0,)</f>
        <v>Multiple Brands / Variety Flavors or Form</v>
      </c>
    </row>
    <row r="3217" spans="1:12" x14ac:dyDescent="0.25">
      <c r="B3217">
        <f>_xlfn.XLOOKUP($A3217,Load!$B:$B,Load!C:C,0,)</f>
        <v>0</v>
      </c>
      <c r="C3217">
        <f>_xlfn.XLOOKUP($A3217,Load!$B:$B,Load!D:D,0,)</f>
        <v>0</v>
      </c>
      <c r="D3217">
        <f>_xlfn.XLOOKUP($A3217,Load!$B:$B,Load!E:E,0,)</f>
        <v>0</v>
      </c>
      <c r="E3217">
        <f>_xlfn.XLOOKUP($A3217,Load!$B:$B,Load!F:F,0,)</f>
        <v>0</v>
      </c>
      <c r="F3217">
        <f>_xlfn.XLOOKUP($A3217,Load!$B:$B,Load!G:G,0,)</f>
        <v>0</v>
      </c>
      <c r="G3217">
        <f>_xlfn.XLOOKUP($A3217,Load!$B:$B,Load!H:H,0,)</f>
        <v>0</v>
      </c>
      <c r="H3217">
        <f>_xlfn.XLOOKUP($A3217,Load!$B:$B,Load!I:I,0,)</f>
        <v>0</v>
      </c>
      <c r="I3217">
        <f>_xlfn.XLOOKUP($A3217,Load!$B:$B,Load!J:J,0,)</f>
        <v>0</v>
      </c>
      <c r="J3217">
        <f>_xlfn.XLOOKUP($A3217,Load!$B:$B,Load!K:K,0,)</f>
        <v>0</v>
      </c>
      <c r="K3217">
        <f>_xlfn.XLOOKUP($A3217,Load!$B:$B,Load!L:L,0,)</f>
        <v>0</v>
      </c>
      <c r="L3217">
        <f>_xlfn.XLOOKUP($A3217,Load!$B:$B,Load!M:M,0,)</f>
        <v>0</v>
      </c>
    </row>
    <row r="3218" spans="1:12" x14ac:dyDescent="0.25">
      <c r="B3218">
        <f>_xlfn.XLOOKUP($A3218,Load!$B:$B,Load!C:C,0,)</f>
        <v>0</v>
      </c>
      <c r="C3218">
        <f>_xlfn.XLOOKUP($A3218,Load!$B:$B,Load!D:D,0,)</f>
        <v>0</v>
      </c>
      <c r="D3218">
        <f>_xlfn.XLOOKUP($A3218,Load!$B:$B,Load!E:E,0,)</f>
        <v>0</v>
      </c>
      <c r="E3218">
        <f>_xlfn.XLOOKUP($A3218,Load!$B:$B,Load!F:F,0,)</f>
        <v>0</v>
      </c>
      <c r="F3218">
        <f>_xlfn.XLOOKUP($A3218,Load!$B:$B,Load!G:G,0,)</f>
        <v>0</v>
      </c>
      <c r="G3218">
        <f>_xlfn.XLOOKUP($A3218,Load!$B:$B,Load!H:H,0,)</f>
        <v>0</v>
      </c>
      <c r="H3218">
        <f>_xlfn.XLOOKUP($A3218,Load!$B:$B,Load!I:I,0,)</f>
        <v>0</v>
      </c>
      <c r="I3218">
        <f>_xlfn.XLOOKUP($A3218,Load!$B:$B,Load!J:J,0,)</f>
        <v>0</v>
      </c>
      <c r="J3218">
        <f>_xlfn.XLOOKUP($A3218,Load!$B:$B,Load!K:K,0,)</f>
        <v>0</v>
      </c>
      <c r="K3218">
        <f>_xlfn.XLOOKUP($A3218,Load!$B:$B,Load!L:L,0,)</f>
        <v>0</v>
      </c>
      <c r="L3218">
        <f>_xlfn.XLOOKUP($A3218,Load!$B:$B,Load!M:M,0,)</f>
        <v>0</v>
      </c>
    </row>
    <row r="3219" spans="1:12" x14ac:dyDescent="0.25">
      <c r="B3219">
        <f>_xlfn.XLOOKUP($A3219,Load!$B:$B,Load!C:C,0,)</f>
        <v>0</v>
      </c>
      <c r="C3219">
        <f>_xlfn.XLOOKUP($A3219,Load!$B:$B,Load!D:D,0,)</f>
        <v>0</v>
      </c>
      <c r="D3219">
        <f>_xlfn.XLOOKUP($A3219,Load!$B:$B,Load!E:E,0,)</f>
        <v>0</v>
      </c>
      <c r="E3219">
        <f>_xlfn.XLOOKUP($A3219,Load!$B:$B,Load!F:F,0,)</f>
        <v>0</v>
      </c>
      <c r="F3219">
        <f>_xlfn.XLOOKUP($A3219,Load!$B:$B,Load!G:G,0,)</f>
        <v>0</v>
      </c>
      <c r="G3219">
        <f>_xlfn.XLOOKUP($A3219,Load!$B:$B,Load!H:H,0,)</f>
        <v>0</v>
      </c>
      <c r="H3219">
        <f>_xlfn.XLOOKUP($A3219,Load!$B:$B,Load!I:I,0,)</f>
        <v>0</v>
      </c>
      <c r="I3219">
        <f>_xlfn.XLOOKUP($A3219,Load!$B:$B,Load!J:J,0,)</f>
        <v>0</v>
      </c>
      <c r="J3219">
        <f>_xlfn.XLOOKUP($A3219,Load!$B:$B,Load!K:K,0,)</f>
        <v>0</v>
      </c>
      <c r="K3219">
        <f>_xlfn.XLOOKUP($A3219,Load!$B:$B,Load!L:L,0,)</f>
        <v>0</v>
      </c>
      <c r="L3219">
        <f>_xlfn.XLOOKUP($A3219,Load!$B:$B,Load!M:M,0,)</f>
        <v>0</v>
      </c>
    </row>
    <row r="3220" spans="1:12" x14ac:dyDescent="0.25">
      <c r="A3220" t="s">
        <v>249</v>
      </c>
      <c r="B3220" t="str">
        <f>_xlfn.XLOOKUP($A3220,Load!$B:$B,Load!C:C,0,)</f>
        <v>Rolling Pin</v>
      </c>
      <c r="C3220" t="str">
        <f>_xlfn.XLOOKUP($A3220,Load!$B:$B,Load!D:D,0,)</f>
        <v>Non-Chocolate Candy Only</v>
      </c>
      <c r="D3220" t="str">
        <f>_xlfn.XLOOKUP($A3220,Load!$B:$B,Load!E:E,0,)</f>
        <v>Fall / Seasonal Flavors (pumpkin spice, caramel apple, candy corn)</v>
      </c>
      <c r="E3220" t="str">
        <f>_xlfn.XLOOKUP($A3220,Load!$B:$B,Load!F:F,0,)</f>
        <v>Candy Pieces / Bites</v>
      </c>
      <c r="F3220" t="str">
        <f>_xlfn.XLOOKUP($A3220,Load!$B:$B,Load!G:G,0,)</f>
        <v>Small Multipack (Less than 40 ct)</v>
      </c>
      <c r="G3220" t="str">
        <f>_xlfn.XLOOKUP($A3220,Load!$B:$B,Load!H:H,0,)</f>
        <v>Stand-Up Bag</v>
      </c>
      <c r="H3220" t="str">
        <f>_xlfn.XLOOKUP($A3220,Load!$B:$B,Load!I:I,0,)</f>
        <v>Seasonal Shapes (like pumpkins, candy corn, ghost, bats, etc.)</v>
      </c>
      <c r="I3220" t="str">
        <f>_xlfn.XLOOKUP($A3220,Load!$B:$B,Load!J:J,0,)</f>
        <v>Seasonal Graphics (Like Bat, Ghost, Pumpkin, Fall Leaves, Eyeballs, etc.)</v>
      </c>
      <c r="J3220" t="str">
        <f>_xlfn.XLOOKUP($A3220,Load!$B:$B,Load!K:K,0,)</f>
        <v>Small Pieces (Tiny bite size candies)</v>
      </c>
      <c r="K3220" t="str">
        <f>_xlfn.XLOOKUP($A3220,Load!$B:$B,Load!L:L,0,)</f>
        <v>Unwrapped</v>
      </c>
      <c r="L3220" t="str">
        <f>_xlfn.XLOOKUP($A3220,Load!$B:$B,Load!M:M,0,)</f>
        <v>Single Brand / Single Flavor or Form</v>
      </c>
    </row>
    <row r="3221" spans="1:12" x14ac:dyDescent="0.25">
      <c r="B3221">
        <f>_xlfn.XLOOKUP($A3221,Load!$B:$B,Load!C:C,0,)</f>
        <v>0</v>
      </c>
      <c r="C3221">
        <f>_xlfn.XLOOKUP($A3221,Load!$B:$B,Load!D:D,0,)</f>
        <v>0</v>
      </c>
      <c r="D3221">
        <f>_xlfn.XLOOKUP($A3221,Load!$B:$B,Load!E:E,0,)</f>
        <v>0</v>
      </c>
      <c r="E3221">
        <f>_xlfn.XLOOKUP($A3221,Load!$B:$B,Load!F:F,0,)</f>
        <v>0</v>
      </c>
      <c r="F3221">
        <f>_xlfn.XLOOKUP($A3221,Load!$B:$B,Load!G:G,0,)</f>
        <v>0</v>
      </c>
      <c r="G3221">
        <f>_xlfn.XLOOKUP($A3221,Load!$B:$B,Load!H:H,0,)</f>
        <v>0</v>
      </c>
      <c r="H3221">
        <f>_xlfn.XLOOKUP($A3221,Load!$B:$B,Load!I:I,0,)</f>
        <v>0</v>
      </c>
      <c r="I3221">
        <f>_xlfn.XLOOKUP($A3221,Load!$B:$B,Load!J:J,0,)</f>
        <v>0</v>
      </c>
      <c r="J3221">
        <f>_xlfn.XLOOKUP($A3221,Load!$B:$B,Load!K:K,0,)</f>
        <v>0</v>
      </c>
      <c r="K3221">
        <f>_xlfn.XLOOKUP($A3221,Load!$B:$B,Load!L:L,0,)</f>
        <v>0</v>
      </c>
      <c r="L3221">
        <f>_xlfn.XLOOKUP($A3221,Load!$B:$B,Load!M:M,0,)</f>
        <v>0</v>
      </c>
    </row>
    <row r="3222" spans="1:12" x14ac:dyDescent="0.25">
      <c r="A3222" t="s">
        <v>204</v>
      </c>
      <c r="B3222" t="str">
        <f>_xlfn.XLOOKUP($A3222,Load!$B:$B,Load!C:C,0,)</f>
        <v>Mars Variety Pack</v>
      </c>
      <c r="C3222" t="str">
        <f>_xlfn.XLOOKUP($A3222,Load!$B:$B,Load!D:D,0,)</f>
        <v>Mix of Chocolate and Non-Chocolate Candy</v>
      </c>
      <c r="D3222" t="str">
        <f>_xlfn.XLOOKUP($A3222,Load!$B:$B,Load!E:E,0,)</f>
        <v>Variety / Mixed Flavors (Fruity, Sour, Seasonal Flavors)</v>
      </c>
      <c r="E3222" t="str">
        <f>_xlfn.XLOOKUP($A3222,Load!$B:$B,Load!F:F,0,)</f>
        <v>Mixed / Combo Packs (Gummy, Chewy, Taffy, etc.)</v>
      </c>
      <c r="F3222" t="str">
        <f>_xlfn.XLOOKUP($A3222,Load!$B:$B,Load!G:G,0,)</f>
        <v>Medium Multipack (40–80 ct)</v>
      </c>
      <c r="G3222" t="str">
        <f>_xlfn.XLOOKUP($A3222,Load!$B:$B,Load!H:H,0,)</f>
        <v>Stand-Up Bag</v>
      </c>
      <c r="H3222" t="str">
        <f>_xlfn.XLOOKUP($A3222,Load!$B:$B,Load!I:I,0,)</f>
        <v>Everyday Candy Shapes (like Original, Gummy bear, Fruit, Jewels, etc.)</v>
      </c>
      <c r="I3222" t="str">
        <f>_xlfn.XLOOKUP($A3222,Load!$B:$B,Load!J:J,0,)</f>
        <v>Everyday Graphics</v>
      </c>
      <c r="J3222" t="str">
        <f>_xlfn.XLOOKUP($A3222,Load!$B:$B,Load!K:K,0,)</f>
        <v>Fun Size / Treat Size</v>
      </c>
      <c r="K3222" t="str">
        <f>_xlfn.XLOOKUP($A3222,Load!$B:$B,Load!L:L,0,)</f>
        <v>Regular/Original Wrapping</v>
      </c>
      <c r="L3222" t="str">
        <f>_xlfn.XLOOKUP($A3222,Load!$B:$B,Load!M:M,0,)</f>
        <v>Multiple Brands / Variety Flavors or Form</v>
      </c>
    </row>
    <row r="3223" spans="1:12" x14ac:dyDescent="0.25">
      <c r="B3223">
        <f>_xlfn.XLOOKUP($A3223,Load!$B:$B,Load!C:C,0,)</f>
        <v>0</v>
      </c>
      <c r="C3223">
        <f>_xlfn.XLOOKUP($A3223,Load!$B:$B,Load!D:D,0,)</f>
        <v>0</v>
      </c>
      <c r="D3223">
        <f>_xlfn.XLOOKUP($A3223,Load!$B:$B,Load!E:E,0,)</f>
        <v>0</v>
      </c>
      <c r="E3223">
        <f>_xlfn.XLOOKUP($A3223,Load!$B:$B,Load!F:F,0,)</f>
        <v>0</v>
      </c>
      <c r="F3223">
        <f>_xlfn.XLOOKUP($A3223,Load!$B:$B,Load!G:G,0,)</f>
        <v>0</v>
      </c>
      <c r="G3223">
        <f>_xlfn.XLOOKUP($A3223,Load!$B:$B,Load!H:H,0,)</f>
        <v>0</v>
      </c>
      <c r="H3223">
        <f>_xlfn.XLOOKUP($A3223,Load!$B:$B,Load!I:I,0,)</f>
        <v>0</v>
      </c>
      <c r="I3223">
        <f>_xlfn.XLOOKUP($A3223,Load!$B:$B,Load!J:J,0,)</f>
        <v>0</v>
      </c>
      <c r="J3223">
        <f>_xlfn.XLOOKUP($A3223,Load!$B:$B,Load!K:K,0,)</f>
        <v>0</v>
      </c>
      <c r="K3223">
        <f>_xlfn.XLOOKUP($A3223,Load!$B:$B,Load!L:L,0,)</f>
        <v>0</v>
      </c>
      <c r="L3223">
        <f>_xlfn.XLOOKUP($A3223,Load!$B:$B,Load!M:M,0,)</f>
        <v>0</v>
      </c>
    </row>
    <row r="3224" spans="1:12" x14ac:dyDescent="0.25">
      <c r="A3224" t="s">
        <v>139</v>
      </c>
      <c r="B3224" t="str">
        <f>_xlfn.XLOOKUP($A3224,Load!$B:$B,Load!C:C,0,)</f>
        <v>Hershey's Variety Pack + Haribo</v>
      </c>
      <c r="C3224" t="str">
        <f>_xlfn.XLOOKUP($A3224,Load!$B:$B,Load!D:D,0,)</f>
        <v>Mix of Chocolate and Non-Chocolate Candy</v>
      </c>
      <c r="D3224" t="str">
        <f>_xlfn.XLOOKUP($A3224,Load!$B:$B,Load!E:E,0,)</f>
        <v>Variety / Mixed Flavors (Fruity, Sour, Seasonal Flavors)</v>
      </c>
      <c r="E3224" t="str">
        <f>_xlfn.XLOOKUP($A3224,Load!$B:$B,Load!F:F,0,)</f>
        <v>Mixed / Combo Packs (Gummy, Chewy, Taffy, etc.)</v>
      </c>
      <c r="F3224" t="str">
        <f>_xlfn.XLOOKUP($A3224,Load!$B:$B,Load!G:G,0,)</f>
        <v>Large Multipack (More than 80 ct)</v>
      </c>
      <c r="G3224" t="str">
        <f>_xlfn.XLOOKUP($A3224,Load!$B:$B,Load!H:H,0,)</f>
        <v>Stand-Up Bag</v>
      </c>
      <c r="H3224" t="str">
        <f>_xlfn.XLOOKUP($A3224,Load!$B:$B,Load!I:I,0,)</f>
        <v>Everyday Candy Shapes (like Original, Gummy bear, Fruit, Jewels, etc.)</v>
      </c>
      <c r="I3224" t="str">
        <f>_xlfn.XLOOKUP($A3224,Load!$B:$B,Load!J:J,0,)</f>
        <v>Seasonal Graphics (Like Bat, Ghost, Pumpkin, Fall Leaves, Eyeballs, etc.)</v>
      </c>
      <c r="J3224" t="str">
        <f>_xlfn.XLOOKUP($A3224,Load!$B:$B,Load!K:K,0,)</f>
        <v>Fun Size / Treat Size</v>
      </c>
      <c r="K3224" t="str">
        <f>_xlfn.XLOOKUP($A3224,Load!$B:$B,Load!L:L,0,)</f>
        <v>Regular/Original Wrapping</v>
      </c>
      <c r="L3224" t="str">
        <f>_xlfn.XLOOKUP($A3224,Load!$B:$B,Load!M:M,0,)</f>
        <v>Multiple Brands / Variety Flavors or Form</v>
      </c>
    </row>
    <row r="3225" spans="1:12" x14ac:dyDescent="0.25">
      <c r="B3225">
        <f>_xlfn.XLOOKUP($A3225,Load!$B:$B,Load!C:C,0,)</f>
        <v>0</v>
      </c>
      <c r="C3225">
        <f>_xlfn.XLOOKUP($A3225,Load!$B:$B,Load!D:D,0,)</f>
        <v>0</v>
      </c>
      <c r="D3225">
        <f>_xlfn.XLOOKUP($A3225,Load!$B:$B,Load!E:E,0,)</f>
        <v>0</v>
      </c>
      <c r="E3225">
        <f>_xlfn.XLOOKUP($A3225,Load!$B:$B,Load!F:F,0,)</f>
        <v>0</v>
      </c>
      <c r="F3225">
        <f>_xlfn.XLOOKUP($A3225,Load!$B:$B,Load!G:G,0,)</f>
        <v>0</v>
      </c>
      <c r="G3225">
        <f>_xlfn.XLOOKUP($A3225,Load!$B:$B,Load!H:H,0,)</f>
        <v>0</v>
      </c>
      <c r="H3225">
        <f>_xlfn.XLOOKUP($A3225,Load!$B:$B,Load!I:I,0,)</f>
        <v>0</v>
      </c>
      <c r="I3225">
        <f>_xlfn.XLOOKUP($A3225,Load!$B:$B,Load!J:J,0,)</f>
        <v>0</v>
      </c>
      <c r="J3225">
        <f>_xlfn.XLOOKUP($A3225,Load!$B:$B,Load!K:K,0,)</f>
        <v>0</v>
      </c>
      <c r="K3225">
        <f>_xlfn.XLOOKUP($A3225,Load!$B:$B,Load!L:L,0,)</f>
        <v>0</v>
      </c>
      <c r="L3225">
        <f>_xlfn.XLOOKUP($A3225,Load!$B:$B,Load!M:M,0,)</f>
        <v>0</v>
      </c>
    </row>
    <row r="3226" spans="1:12" x14ac:dyDescent="0.25">
      <c r="A3226" t="s">
        <v>255</v>
      </c>
      <c r="B3226" t="str">
        <f>_xlfn.XLOOKUP($A3226,Load!$B:$B,Load!C:C,0,)</f>
        <v>Skittles</v>
      </c>
      <c r="C3226" t="str">
        <f>_xlfn.XLOOKUP($A3226,Load!$B:$B,Load!D:D,0,)</f>
        <v>Non-Chocolate Candy Only</v>
      </c>
      <c r="D3226" t="str">
        <f>_xlfn.XLOOKUP($A3226,Load!$B:$B,Load!E:E,0,)</f>
        <v>Variety / Mixed Flavors (Fruity, Sour, Seasonal Flavors)</v>
      </c>
      <c r="E3226" t="str">
        <f>_xlfn.XLOOKUP($A3226,Load!$B:$B,Load!F:F,0,)</f>
        <v>Gummy</v>
      </c>
      <c r="F3226" t="str">
        <f>_xlfn.XLOOKUP($A3226,Load!$B:$B,Load!G:G,0,)</f>
        <v>Large Multipack (More than 80 ct)</v>
      </c>
      <c r="G3226" t="str">
        <f>_xlfn.XLOOKUP($A3226,Load!$B:$B,Load!H:H,0,)</f>
        <v>Stand-Up Bag</v>
      </c>
      <c r="H3226" t="str">
        <f>_xlfn.XLOOKUP($A3226,Load!$B:$B,Load!I:I,0,)</f>
        <v>Everyday Candy Shapes (like Original, Gummy bear, Fruit, Jewels, etc.)</v>
      </c>
      <c r="I3226" t="str">
        <f>_xlfn.XLOOKUP($A3226,Load!$B:$B,Load!J:J,0,)</f>
        <v>Everyday Graphics</v>
      </c>
      <c r="J3226" t="str">
        <f>_xlfn.XLOOKUP($A3226,Load!$B:$B,Load!K:K,0,)</f>
        <v>Fun Size / Treat Size</v>
      </c>
      <c r="K3226" t="str">
        <f>_xlfn.XLOOKUP($A3226,Load!$B:$B,Load!L:L,0,)</f>
        <v>Regular/Original Wrapping</v>
      </c>
      <c r="L3226" t="str">
        <f>_xlfn.XLOOKUP($A3226,Load!$B:$B,Load!M:M,0,)</f>
        <v>Single Brand / Variety Flavors or Form</v>
      </c>
    </row>
    <row r="3227" spans="1:12" x14ac:dyDescent="0.25">
      <c r="A3227" t="s">
        <v>184</v>
      </c>
      <c r="B3227" t="str">
        <f>_xlfn.XLOOKUP($A3227,Load!$B:$B,Load!C:C,0,)</f>
        <v>Mars Variety Pack</v>
      </c>
      <c r="C3227" t="str">
        <f>_xlfn.XLOOKUP($A3227,Load!$B:$B,Load!D:D,0,)</f>
        <v>Mix of Chocolate and Non-Chocolate Candy</v>
      </c>
      <c r="D3227" t="str">
        <f>_xlfn.XLOOKUP($A3227,Load!$B:$B,Load!E:E,0,)</f>
        <v>Variety / Mixed Flavors (Fruity, Sour, Seasonal Flavors)</v>
      </c>
      <c r="E3227" t="str">
        <f>_xlfn.XLOOKUP($A3227,Load!$B:$B,Load!F:F,0,)</f>
        <v>Mixed / Combo Packs (Gummy, Chewy, Taffy, etc.)</v>
      </c>
      <c r="F3227" t="str">
        <f>_xlfn.XLOOKUP($A3227,Load!$B:$B,Load!G:G,0,)</f>
        <v>Large Multipack (More than 80 ct)</v>
      </c>
      <c r="G3227" t="str">
        <f>_xlfn.XLOOKUP($A3227,Load!$B:$B,Load!H:H,0,)</f>
        <v>Stand-Up Bag</v>
      </c>
      <c r="H3227" t="str">
        <f>_xlfn.XLOOKUP($A3227,Load!$B:$B,Load!I:I,0,)</f>
        <v>Everyday Candy Shapes (like Original, Gummy bear, Fruit, Jewels, etc.)</v>
      </c>
      <c r="I3227" t="str">
        <f>_xlfn.XLOOKUP($A3227,Load!$B:$B,Load!J:J,0,)</f>
        <v>Seasonal Graphics (Like Bat, Ghost, Pumpkin, Fall Leaves, Eyeballs, etc.)</v>
      </c>
      <c r="J3227" t="str">
        <f>_xlfn.XLOOKUP($A3227,Load!$B:$B,Load!K:K,0,)</f>
        <v>Fun Size / Treat Size</v>
      </c>
      <c r="K3227" t="str">
        <f>_xlfn.XLOOKUP($A3227,Load!$B:$B,Load!L:L,0,)</f>
        <v>Regular/Original Wrapping</v>
      </c>
      <c r="L3227" t="str">
        <f>_xlfn.XLOOKUP($A3227,Load!$B:$B,Load!M:M,0,)</f>
        <v>Multiple Brands / Variety Flavors or Form</v>
      </c>
    </row>
    <row r="3228" spans="1:12" x14ac:dyDescent="0.25">
      <c r="A3228" t="s">
        <v>88</v>
      </c>
      <c r="B3228" t="str">
        <f>_xlfn.XLOOKUP($A3228,Load!$B:$B,Load!C:C,0,)</f>
        <v>Ferrara Variety Pack</v>
      </c>
      <c r="C3228" t="str">
        <f>_xlfn.XLOOKUP($A3228,Load!$B:$B,Load!D:D,0,)</f>
        <v>Non-Chocolate Candy Only</v>
      </c>
      <c r="D3228" t="str">
        <f>_xlfn.XLOOKUP($A3228,Load!$B:$B,Load!E:E,0,)</f>
        <v>Variety / Mixed Flavors (Fruity, Sour, Seasonal Flavors)</v>
      </c>
      <c r="E3228" t="str">
        <f>_xlfn.XLOOKUP($A3228,Load!$B:$B,Load!F:F,0,)</f>
        <v>Mixed / Combo Packs (Gummy, Chewy, Taffy, etc.)</v>
      </c>
      <c r="F3228" t="str">
        <f>_xlfn.XLOOKUP($A3228,Load!$B:$B,Load!G:G,0,)</f>
        <v>Small Multipack (Less than 40 ct)</v>
      </c>
      <c r="G3228" t="str">
        <f>_xlfn.XLOOKUP($A3228,Load!$B:$B,Load!H:H,0,)</f>
        <v>Laydown Bag</v>
      </c>
      <c r="H3228" t="str">
        <f>_xlfn.XLOOKUP($A3228,Load!$B:$B,Load!I:I,0,)</f>
        <v>Seasonal Shapes (like pumpkins, candy corn, ghost, bats, etc.)</v>
      </c>
      <c r="I3228" t="str">
        <f>_xlfn.XLOOKUP($A3228,Load!$B:$B,Load!J:J,0,)</f>
        <v>Seasonal Graphics (Like Bat, Ghost, Pumpkin, Fall Leaves, Eyeballs, etc.)</v>
      </c>
      <c r="J3228" t="str">
        <f>_xlfn.XLOOKUP($A3228,Load!$B:$B,Load!K:K,0,)</f>
        <v>Fun Size / Treat Size</v>
      </c>
      <c r="K3228" t="str">
        <f>_xlfn.XLOOKUP($A3228,Load!$B:$B,Load!L:L,0,)</f>
        <v>Regular/Original Wrapping</v>
      </c>
      <c r="L3228" t="str">
        <f>_xlfn.XLOOKUP($A3228,Load!$B:$B,Load!M:M,0,)</f>
        <v>Multiple Brands / Variety Flavors or Form</v>
      </c>
    </row>
    <row r="3229" spans="1:12" x14ac:dyDescent="0.25">
      <c r="A3229" t="s">
        <v>464</v>
      </c>
      <c r="B3229" t="str">
        <f>_xlfn.XLOOKUP($A3229,Load!$B:$B,Load!C:C,0,)</f>
        <v>Zachary</v>
      </c>
      <c r="C3229" t="str">
        <f>_xlfn.XLOOKUP($A3229,Load!$B:$B,Load!D:D,0,)</f>
        <v>Non-Chocolate Candy Only</v>
      </c>
      <c r="D3229" t="str">
        <f>_xlfn.XLOOKUP($A3229,Load!$B:$B,Load!E:E,0,)</f>
        <v>Fruit Flavor (Cherry, Grape, Apple, Citrus, Tropical Fruit)</v>
      </c>
      <c r="E3229" t="str">
        <f>_xlfn.XLOOKUP($A3229,Load!$B:$B,Load!F:F,0,)</f>
        <v>Candy Pieces / Bites</v>
      </c>
      <c r="F3229" t="str">
        <f>_xlfn.XLOOKUP($A3229,Load!$B:$B,Load!G:G,0,)</f>
        <v>Single Pack</v>
      </c>
      <c r="G3229" t="str">
        <f>_xlfn.XLOOKUP($A3229,Load!$B:$B,Load!H:H,0,)</f>
        <v>Plastic Cup / Container</v>
      </c>
      <c r="H3229" t="str">
        <f>_xlfn.XLOOKUP($A3229,Load!$B:$B,Load!I:I,0,)</f>
        <v>Seasonal Shapes (like pumpkins, candy corn, ghost, bats, etc.)</v>
      </c>
      <c r="I3229" t="str">
        <f>_xlfn.XLOOKUP($A3229,Load!$B:$B,Load!J:J,0,)</f>
        <v>Seasonal Graphics (Like Bat, Ghost, Pumpkin, Fall Leaves, Eyeballs, etc.)</v>
      </c>
      <c r="J3229" t="str">
        <f>_xlfn.XLOOKUP($A3229,Load!$B:$B,Load!K:K,0,)</f>
        <v>Small Pieces (Tiny bite size candies)</v>
      </c>
      <c r="K3229" t="str">
        <f>_xlfn.XLOOKUP($A3229,Load!$B:$B,Load!L:L,0,)</f>
        <v>Unwrapped</v>
      </c>
      <c r="L3229" t="str">
        <f>_xlfn.XLOOKUP($A3229,Load!$B:$B,Load!M:M,0,)</f>
        <v>Single Brand / Single Flavor or Form</v>
      </c>
    </row>
    <row r="3230" spans="1:12" x14ac:dyDescent="0.25">
      <c r="A3230" t="s">
        <v>187</v>
      </c>
      <c r="B3230" t="str">
        <f>_xlfn.XLOOKUP($A3230,Load!$B:$B,Load!C:C,0,)</f>
        <v>Mars Variety Pack</v>
      </c>
      <c r="C3230" t="str">
        <f>_xlfn.XLOOKUP($A3230,Load!$B:$B,Load!D:D,0,)</f>
        <v>Mix of Chocolate and Non-Chocolate Candy</v>
      </c>
      <c r="D3230" t="str">
        <f>_xlfn.XLOOKUP($A3230,Load!$B:$B,Load!E:E,0,)</f>
        <v>Variety / Mixed Flavors (Fruity, Sour, Seasonal Flavors)</v>
      </c>
      <c r="E3230" t="str">
        <f>_xlfn.XLOOKUP($A3230,Load!$B:$B,Load!F:F,0,)</f>
        <v>Mixed / Combo Packs (Gummy, Chewy, Taffy, etc.)</v>
      </c>
      <c r="F3230" t="str">
        <f>_xlfn.XLOOKUP($A3230,Load!$B:$B,Load!G:G,0,)</f>
        <v>Medium Multipack (40–80 ct)</v>
      </c>
      <c r="G3230" t="str">
        <f>_xlfn.XLOOKUP($A3230,Load!$B:$B,Load!H:H,0,)</f>
        <v>Stand-Up Bag</v>
      </c>
      <c r="H3230" t="str">
        <f>_xlfn.XLOOKUP($A3230,Load!$B:$B,Load!I:I,0,)</f>
        <v>Everyday Candy Shapes (like Original, Gummy bear, Fruit, Jewels, etc.)</v>
      </c>
      <c r="I3230" t="str">
        <f>_xlfn.XLOOKUP($A3230,Load!$B:$B,Load!J:J,0,)</f>
        <v>Seasonal Graphics (Like Bat, Ghost, Pumpkin, Fall Leaves, Eyeballs, etc.)</v>
      </c>
      <c r="J3230" t="str">
        <f>_xlfn.XLOOKUP($A3230,Load!$B:$B,Load!K:K,0,)</f>
        <v>Fun Size / Treat Size</v>
      </c>
      <c r="K3230" t="str">
        <f>_xlfn.XLOOKUP($A3230,Load!$B:$B,Load!L:L,0,)</f>
        <v>Regular/Original Wrapping</v>
      </c>
      <c r="L3230" t="str">
        <f>_xlfn.XLOOKUP($A3230,Load!$B:$B,Load!M:M,0,)</f>
        <v>Multiple Brands / Variety Flavors or Form</v>
      </c>
    </row>
    <row r="3231" spans="1:12" x14ac:dyDescent="0.25">
      <c r="B3231">
        <f>_xlfn.XLOOKUP($A3231,Load!$B:$B,Load!C:C,0,)</f>
        <v>0</v>
      </c>
      <c r="C3231">
        <f>_xlfn.XLOOKUP($A3231,Load!$B:$B,Load!D:D,0,)</f>
        <v>0</v>
      </c>
      <c r="D3231">
        <f>_xlfn.XLOOKUP($A3231,Load!$B:$B,Load!E:E,0,)</f>
        <v>0</v>
      </c>
      <c r="E3231">
        <f>_xlfn.XLOOKUP($A3231,Load!$B:$B,Load!F:F,0,)</f>
        <v>0</v>
      </c>
      <c r="F3231">
        <f>_xlfn.XLOOKUP($A3231,Load!$B:$B,Load!G:G,0,)</f>
        <v>0</v>
      </c>
      <c r="G3231">
        <f>_xlfn.XLOOKUP($A3231,Load!$B:$B,Load!H:H,0,)</f>
        <v>0</v>
      </c>
      <c r="H3231">
        <f>_xlfn.XLOOKUP($A3231,Load!$B:$B,Load!I:I,0,)</f>
        <v>0</v>
      </c>
      <c r="I3231">
        <f>_xlfn.XLOOKUP($A3231,Load!$B:$B,Load!J:J,0,)</f>
        <v>0</v>
      </c>
      <c r="J3231">
        <f>_xlfn.XLOOKUP($A3231,Load!$B:$B,Load!K:K,0,)</f>
        <v>0</v>
      </c>
      <c r="K3231">
        <f>_xlfn.XLOOKUP($A3231,Load!$B:$B,Load!L:L,0,)</f>
        <v>0</v>
      </c>
      <c r="L3231">
        <f>_xlfn.XLOOKUP($A3231,Load!$B:$B,Load!M:M,0,)</f>
        <v>0</v>
      </c>
    </row>
    <row r="3232" spans="1:12" x14ac:dyDescent="0.25">
      <c r="A3232" t="s">
        <v>186</v>
      </c>
      <c r="B3232" t="str">
        <f>_xlfn.XLOOKUP($A3232,Load!$B:$B,Load!C:C,0,)</f>
        <v>Mars Variety Pack</v>
      </c>
      <c r="C3232" t="str">
        <f>_xlfn.XLOOKUP($A3232,Load!$B:$B,Load!D:D,0,)</f>
        <v>Mix of Chocolate and Non-Chocolate Candy</v>
      </c>
      <c r="D3232" t="str">
        <f>_xlfn.XLOOKUP($A3232,Load!$B:$B,Load!E:E,0,)</f>
        <v>Variety / Mixed Flavors (Fruity, Sour, Seasonal Flavors)</v>
      </c>
      <c r="E3232" t="str">
        <f>_xlfn.XLOOKUP($A3232,Load!$B:$B,Load!F:F,0,)</f>
        <v>Mixed / Combo Packs (Gummy, Chewy, Taffy, etc.)</v>
      </c>
      <c r="F3232" t="str">
        <f>_xlfn.XLOOKUP($A3232,Load!$B:$B,Load!G:G,0,)</f>
        <v>Large Multipack (More than 80 ct)</v>
      </c>
      <c r="G3232" t="str">
        <f>_xlfn.XLOOKUP($A3232,Load!$B:$B,Load!H:H,0,)</f>
        <v>Stand-Up Bag</v>
      </c>
      <c r="H3232" t="str">
        <f>_xlfn.XLOOKUP($A3232,Load!$B:$B,Load!I:I,0,)</f>
        <v>Everyday Candy Shapes (like Original, Gummy bear, Fruit, Jewels, etc.)</v>
      </c>
      <c r="I3232" t="str">
        <f>_xlfn.XLOOKUP($A3232,Load!$B:$B,Load!J:J,0,)</f>
        <v>Seasonal Graphics (Like Bat, Ghost, Pumpkin, Fall Leaves, Eyeballs, etc.)</v>
      </c>
      <c r="J3232" t="str">
        <f>_xlfn.XLOOKUP($A3232,Load!$B:$B,Load!K:K,0,)</f>
        <v>Fun Size / Treat Size</v>
      </c>
      <c r="K3232" t="str">
        <f>_xlfn.XLOOKUP($A3232,Load!$B:$B,Load!L:L,0,)</f>
        <v>Regular/Original Wrapping</v>
      </c>
      <c r="L3232" t="str">
        <f>_xlfn.XLOOKUP($A3232,Load!$B:$B,Load!M:M,0,)</f>
        <v>Multiple Brands / Variety Flavors or Form</v>
      </c>
    </row>
    <row r="3233" spans="1:12" x14ac:dyDescent="0.25">
      <c r="A3233" t="s">
        <v>112</v>
      </c>
      <c r="B3233" t="str">
        <f>_xlfn.XLOOKUP($A3233,Load!$B:$B,Load!C:C,0,)</f>
        <v>Frankford</v>
      </c>
      <c r="C3233" t="str">
        <f>_xlfn.XLOOKUP($A3233,Load!$B:$B,Load!D:D,0,)</f>
        <v>Non-Chocolate Candy Only</v>
      </c>
      <c r="D3233" t="str">
        <f>_xlfn.XLOOKUP($A3233,Load!$B:$B,Load!E:E,0,)</f>
        <v>Sour</v>
      </c>
      <c r="E3233" t="str">
        <f>_xlfn.XLOOKUP($A3233,Load!$B:$B,Load!F:F,0,)</f>
        <v>Mixed / Combo Packs (Gummy, Chewy, Taffy, etc.)</v>
      </c>
      <c r="F3233" t="str">
        <f>_xlfn.XLOOKUP($A3233,Load!$B:$B,Load!G:G,0,)</f>
        <v>Large Multipack (More than 80 ct)</v>
      </c>
      <c r="G3233" t="str">
        <f>_xlfn.XLOOKUP($A3233,Load!$B:$B,Load!H:H,0,)</f>
        <v>Laydown Bag</v>
      </c>
      <c r="H3233" t="str">
        <f>_xlfn.XLOOKUP($A3233,Load!$B:$B,Load!I:I,0,)</f>
        <v>Everyday Candy Shapes (like Original, Gummy bear, Fruit, Jewels, etc.)</v>
      </c>
      <c r="I3233" t="str">
        <f>_xlfn.XLOOKUP($A3233,Load!$B:$B,Load!J:J,0,)</f>
        <v>Seasonal Graphics (Like Bat, Ghost, Pumpkin, Fall Leaves, Eyeballs, etc.)</v>
      </c>
      <c r="J3233" t="str">
        <f>_xlfn.XLOOKUP($A3233,Load!$B:$B,Load!K:K,0,)</f>
        <v>Small Pieces (Tiny bite size candies)</v>
      </c>
      <c r="K3233" t="str">
        <f>_xlfn.XLOOKUP($A3233,Load!$B:$B,Load!L:L,0,)</f>
        <v>Regular/Original Wrapping</v>
      </c>
      <c r="L3233" t="str">
        <f>_xlfn.XLOOKUP($A3233,Load!$B:$B,Load!M:M,0,)</f>
        <v>Multiple Brands / Variety Flavors or Form</v>
      </c>
    </row>
    <row r="3234" spans="1:12" x14ac:dyDescent="0.25">
      <c r="B3234">
        <f>_xlfn.XLOOKUP($A3234,Load!$B:$B,Load!C:C,0,)</f>
        <v>0</v>
      </c>
      <c r="C3234">
        <f>_xlfn.XLOOKUP($A3234,Load!$B:$B,Load!D:D,0,)</f>
        <v>0</v>
      </c>
      <c r="D3234">
        <f>_xlfn.XLOOKUP($A3234,Load!$B:$B,Load!E:E,0,)</f>
        <v>0</v>
      </c>
      <c r="E3234">
        <f>_xlfn.XLOOKUP($A3234,Load!$B:$B,Load!F:F,0,)</f>
        <v>0</v>
      </c>
      <c r="F3234">
        <f>_xlfn.XLOOKUP($A3234,Load!$B:$B,Load!G:G,0,)</f>
        <v>0</v>
      </c>
      <c r="G3234">
        <f>_xlfn.XLOOKUP($A3234,Load!$B:$B,Load!H:H,0,)</f>
        <v>0</v>
      </c>
      <c r="H3234">
        <f>_xlfn.XLOOKUP($A3234,Load!$B:$B,Load!I:I,0,)</f>
        <v>0</v>
      </c>
      <c r="I3234">
        <f>_xlfn.XLOOKUP($A3234,Load!$B:$B,Load!J:J,0,)</f>
        <v>0</v>
      </c>
      <c r="J3234">
        <f>_xlfn.XLOOKUP($A3234,Load!$B:$B,Load!K:K,0,)</f>
        <v>0</v>
      </c>
      <c r="K3234">
        <f>_xlfn.XLOOKUP($A3234,Load!$B:$B,Load!L:L,0,)</f>
        <v>0</v>
      </c>
      <c r="L3234">
        <f>_xlfn.XLOOKUP($A3234,Load!$B:$B,Load!M:M,0,)</f>
        <v>0</v>
      </c>
    </row>
    <row r="3235" spans="1:12" x14ac:dyDescent="0.25">
      <c r="B3235">
        <f>_xlfn.XLOOKUP($A3235,Load!$B:$B,Load!C:C,0,)</f>
        <v>0</v>
      </c>
      <c r="C3235">
        <f>_xlfn.XLOOKUP($A3235,Load!$B:$B,Load!D:D,0,)</f>
        <v>0</v>
      </c>
      <c r="D3235">
        <f>_xlfn.XLOOKUP($A3235,Load!$B:$B,Load!E:E,0,)</f>
        <v>0</v>
      </c>
      <c r="E3235">
        <f>_xlfn.XLOOKUP($A3235,Load!$B:$B,Load!F:F,0,)</f>
        <v>0</v>
      </c>
      <c r="F3235">
        <f>_xlfn.XLOOKUP($A3235,Load!$B:$B,Load!G:G,0,)</f>
        <v>0</v>
      </c>
      <c r="G3235">
        <f>_xlfn.XLOOKUP($A3235,Load!$B:$B,Load!H:H,0,)</f>
        <v>0</v>
      </c>
      <c r="H3235">
        <f>_xlfn.XLOOKUP($A3235,Load!$B:$B,Load!I:I,0,)</f>
        <v>0</v>
      </c>
      <c r="I3235">
        <f>_xlfn.XLOOKUP($A3235,Load!$B:$B,Load!J:J,0,)</f>
        <v>0</v>
      </c>
      <c r="J3235">
        <f>_xlfn.XLOOKUP($A3235,Load!$B:$B,Load!K:K,0,)</f>
        <v>0</v>
      </c>
      <c r="K3235">
        <f>_xlfn.XLOOKUP($A3235,Load!$B:$B,Load!L:L,0,)</f>
        <v>0</v>
      </c>
      <c r="L3235">
        <f>_xlfn.XLOOKUP($A3235,Load!$B:$B,Load!M:M,0,)</f>
        <v>0</v>
      </c>
    </row>
    <row r="3236" spans="1:12" x14ac:dyDescent="0.25">
      <c r="A3236" t="s">
        <v>314</v>
      </c>
      <c r="B3236" t="str">
        <f>_xlfn.XLOOKUP($A3236,Load!$B:$B,Load!C:C,0,)</f>
        <v>YumEarth</v>
      </c>
      <c r="C3236" t="str">
        <f>_xlfn.XLOOKUP($A3236,Load!$B:$B,Load!D:D,0,)</f>
        <v>Non-Chocolate Candy Only</v>
      </c>
      <c r="D3236" t="str">
        <f>_xlfn.XLOOKUP($A3236,Load!$B:$B,Load!E:E,0,)</f>
        <v>Fruit Flavor (Cherry, Grape, Apple, Citrus, Tropical Fruit)</v>
      </c>
      <c r="E3236" t="str">
        <f>_xlfn.XLOOKUP($A3236,Load!$B:$B,Load!F:F,0,)</f>
        <v>Gummy</v>
      </c>
      <c r="F3236" t="str">
        <f>_xlfn.XLOOKUP($A3236,Load!$B:$B,Load!G:G,0,)</f>
        <v>Small Multipack (Less than 40 ct)</v>
      </c>
      <c r="G3236" t="str">
        <f>_xlfn.XLOOKUP($A3236,Load!$B:$B,Load!H:H,0,)</f>
        <v>Box (theatre box, gift box, carton)</v>
      </c>
      <c r="H3236" t="str">
        <f>_xlfn.XLOOKUP($A3236,Load!$B:$B,Load!I:I,0,)</f>
        <v>Seasonal Shapes (like pumpkins, candy corn, ghost, bats, etc.)</v>
      </c>
      <c r="I3236" t="str">
        <f>_xlfn.XLOOKUP($A3236,Load!$B:$B,Load!J:J,0,)</f>
        <v>Seasonal Graphics (Like Bat, Ghost, Pumpkin, Fall Leaves, Eyeballs, etc.)</v>
      </c>
      <c r="J3236" t="str">
        <f>_xlfn.XLOOKUP($A3236,Load!$B:$B,Load!K:K,0,)</f>
        <v>Small Pieces (Tiny bite size candies)</v>
      </c>
      <c r="K3236" t="str">
        <f>_xlfn.XLOOKUP($A3236,Load!$B:$B,Load!L:L,0,)</f>
        <v>Regular/Original Wrapping</v>
      </c>
      <c r="L3236" t="str">
        <f>_xlfn.XLOOKUP($A3236,Load!$B:$B,Load!M:M,0,)</f>
        <v>Single Brand / Variety Flavors or Form</v>
      </c>
    </row>
    <row r="3237" spans="1:12" x14ac:dyDescent="0.25">
      <c r="B3237">
        <f>_xlfn.XLOOKUP($A3237,Load!$B:$B,Load!C:C,0,)</f>
        <v>0</v>
      </c>
      <c r="C3237">
        <f>_xlfn.XLOOKUP($A3237,Load!$B:$B,Load!D:D,0,)</f>
        <v>0</v>
      </c>
      <c r="D3237">
        <f>_xlfn.XLOOKUP($A3237,Load!$B:$B,Load!E:E,0,)</f>
        <v>0</v>
      </c>
      <c r="E3237">
        <f>_xlfn.XLOOKUP($A3237,Load!$B:$B,Load!F:F,0,)</f>
        <v>0</v>
      </c>
      <c r="F3237">
        <f>_xlfn.XLOOKUP($A3237,Load!$B:$B,Load!G:G,0,)</f>
        <v>0</v>
      </c>
      <c r="G3237">
        <f>_xlfn.XLOOKUP($A3237,Load!$B:$B,Load!H:H,0,)</f>
        <v>0</v>
      </c>
      <c r="H3237">
        <f>_xlfn.XLOOKUP($A3237,Load!$B:$B,Load!I:I,0,)</f>
        <v>0</v>
      </c>
      <c r="I3237">
        <f>_xlfn.XLOOKUP($A3237,Load!$B:$B,Load!J:J,0,)</f>
        <v>0</v>
      </c>
      <c r="J3237">
        <f>_xlfn.XLOOKUP($A3237,Load!$B:$B,Load!K:K,0,)</f>
        <v>0</v>
      </c>
      <c r="K3237">
        <f>_xlfn.XLOOKUP($A3237,Load!$B:$B,Load!L:L,0,)</f>
        <v>0</v>
      </c>
      <c r="L3237">
        <f>_xlfn.XLOOKUP($A3237,Load!$B:$B,Load!M:M,0,)</f>
        <v>0</v>
      </c>
    </row>
    <row r="3238" spans="1:12" x14ac:dyDescent="0.25">
      <c r="A3238" t="s">
        <v>193</v>
      </c>
      <c r="B3238" t="str">
        <f>_xlfn.XLOOKUP($A3238,Load!$B:$B,Load!C:C,0,)</f>
        <v>Mars Variety Pack</v>
      </c>
      <c r="C3238" t="str">
        <f>_xlfn.XLOOKUP($A3238,Load!$B:$B,Load!D:D,0,)</f>
        <v>Mix of Chocolate and Non-Chocolate Candy</v>
      </c>
      <c r="D3238" t="str">
        <f>_xlfn.XLOOKUP($A3238,Load!$B:$B,Load!E:E,0,)</f>
        <v>Variety / Mixed Flavors (Fruity, Sour, Seasonal Flavors)</v>
      </c>
      <c r="E3238" t="str">
        <f>_xlfn.XLOOKUP($A3238,Load!$B:$B,Load!F:F,0,)</f>
        <v>Mixed / Combo Packs (Gummy, Chewy, Taffy, etc.)</v>
      </c>
      <c r="F3238" t="str">
        <f>_xlfn.XLOOKUP($A3238,Load!$B:$B,Load!G:G,0,)</f>
        <v>Medium Multipack (40–80 ct)</v>
      </c>
      <c r="G3238" t="str">
        <f>_xlfn.XLOOKUP($A3238,Load!$B:$B,Load!H:H,0,)</f>
        <v>Laydown Bag</v>
      </c>
      <c r="H3238" t="str">
        <f>_xlfn.XLOOKUP($A3238,Load!$B:$B,Load!I:I,0,)</f>
        <v>Everyday Candy Shapes (like Original, Gummy bear, Fruit, Jewels, etc.)</v>
      </c>
      <c r="I3238" t="str">
        <f>_xlfn.XLOOKUP($A3238,Load!$B:$B,Load!J:J,0,)</f>
        <v>Seasonal Graphics (Like Bat, Ghost, Pumpkin, Fall Leaves, Eyeballs, etc.)</v>
      </c>
      <c r="J3238" t="str">
        <f>_xlfn.XLOOKUP($A3238,Load!$B:$B,Load!K:K,0,)</f>
        <v>Fun Size / Treat Size</v>
      </c>
      <c r="K3238" t="str">
        <f>_xlfn.XLOOKUP($A3238,Load!$B:$B,Load!L:L,0,)</f>
        <v>Regular/Original Wrapping</v>
      </c>
      <c r="L3238" t="str">
        <f>_xlfn.XLOOKUP($A3238,Load!$B:$B,Load!M:M,0,)</f>
        <v>Multiple Brands / Variety Flavors or Form</v>
      </c>
    </row>
    <row r="3239" spans="1:12" x14ac:dyDescent="0.25">
      <c r="B3239">
        <f>_xlfn.XLOOKUP($A3239,Load!$B:$B,Load!C:C,0,)</f>
        <v>0</v>
      </c>
      <c r="C3239">
        <f>_xlfn.XLOOKUP($A3239,Load!$B:$B,Load!D:D,0,)</f>
        <v>0</v>
      </c>
      <c r="D3239">
        <f>_xlfn.XLOOKUP($A3239,Load!$B:$B,Load!E:E,0,)</f>
        <v>0</v>
      </c>
      <c r="E3239">
        <f>_xlfn.XLOOKUP($A3239,Load!$B:$B,Load!F:F,0,)</f>
        <v>0</v>
      </c>
      <c r="F3239">
        <f>_xlfn.XLOOKUP($A3239,Load!$B:$B,Load!G:G,0,)</f>
        <v>0</v>
      </c>
      <c r="G3239">
        <f>_xlfn.XLOOKUP($A3239,Load!$B:$B,Load!H:H,0,)</f>
        <v>0</v>
      </c>
      <c r="H3239">
        <f>_xlfn.XLOOKUP($A3239,Load!$B:$B,Load!I:I,0,)</f>
        <v>0</v>
      </c>
      <c r="I3239">
        <f>_xlfn.XLOOKUP($A3239,Load!$B:$B,Load!J:J,0,)</f>
        <v>0</v>
      </c>
      <c r="J3239">
        <f>_xlfn.XLOOKUP($A3239,Load!$B:$B,Load!K:K,0,)</f>
        <v>0</v>
      </c>
      <c r="K3239">
        <f>_xlfn.XLOOKUP($A3239,Load!$B:$B,Load!L:L,0,)</f>
        <v>0</v>
      </c>
      <c r="L3239">
        <f>_xlfn.XLOOKUP($A3239,Load!$B:$B,Load!M:M,0,)</f>
        <v>0</v>
      </c>
    </row>
    <row r="3240" spans="1:12" x14ac:dyDescent="0.25">
      <c r="B3240">
        <f>_xlfn.XLOOKUP($A3240,Load!$B:$B,Load!C:C,0,)</f>
        <v>0</v>
      </c>
      <c r="C3240">
        <f>_xlfn.XLOOKUP($A3240,Load!$B:$B,Load!D:D,0,)</f>
        <v>0</v>
      </c>
      <c r="D3240">
        <f>_xlfn.XLOOKUP($A3240,Load!$B:$B,Load!E:E,0,)</f>
        <v>0</v>
      </c>
      <c r="E3240">
        <f>_xlfn.XLOOKUP($A3240,Load!$B:$B,Load!F:F,0,)</f>
        <v>0</v>
      </c>
      <c r="F3240">
        <f>_xlfn.XLOOKUP($A3240,Load!$B:$B,Load!G:G,0,)</f>
        <v>0</v>
      </c>
      <c r="G3240">
        <f>_xlfn.XLOOKUP($A3240,Load!$B:$B,Load!H:H,0,)</f>
        <v>0</v>
      </c>
      <c r="H3240">
        <f>_xlfn.XLOOKUP($A3240,Load!$B:$B,Load!I:I,0,)</f>
        <v>0</v>
      </c>
      <c r="I3240">
        <f>_xlfn.XLOOKUP($A3240,Load!$B:$B,Load!J:J,0,)</f>
        <v>0</v>
      </c>
      <c r="J3240">
        <f>_xlfn.XLOOKUP($A3240,Load!$B:$B,Load!K:K,0,)</f>
        <v>0</v>
      </c>
      <c r="K3240">
        <f>_xlfn.XLOOKUP($A3240,Load!$B:$B,Load!L:L,0,)</f>
        <v>0</v>
      </c>
      <c r="L3240">
        <f>_xlfn.XLOOKUP($A3240,Load!$B:$B,Load!M:M,0,)</f>
        <v>0</v>
      </c>
    </row>
    <row r="3241" spans="1:12" x14ac:dyDescent="0.25">
      <c r="B3241">
        <f>_xlfn.XLOOKUP($A3241,Load!$B:$B,Load!C:C,0,)</f>
        <v>0</v>
      </c>
      <c r="C3241">
        <f>_xlfn.XLOOKUP($A3241,Load!$B:$B,Load!D:D,0,)</f>
        <v>0</v>
      </c>
      <c r="D3241">
        <f>_xlfn.XLOOKUP($A3241,Load!$B:$B,Load!E:E,0,)</f>
        <v>0</v>
      </c>
      <c r="E3241">
        <f>_xlfn.XLOOKUP($A3241,Load!$B:$B,Load!F:F,0,)</f>
        <v>0</v>
      </c>
      <c r="F3241">
        <f>_xlfn.XLOOKUP($A3241,Load!$B:$B,Load!G:G,0,)</f>
        <v>0</v>
      </c>
      <c r="G3241">
        <f>_xlfn.XLOOKUP($A3241,Load!$B:$B,Load!H:H,0,)</f>
        <v>0</v>
      </c>
      <c r="H3241">
        <f>_xlfn.XLOOKUP($A3241,Load!$B:$B,Load!I:I,0,)</f>
        <v>0</v>
      </c>
      <c r="I3241">
        <f>_xlfn.XLOOKUP($A3241,Load!$B:$B,Load!J:J,0,)</f>
        <v>0</v>
      </c>
      <c r="J3241">
        <f>_xlfn.XLOOKUP($A3241,Load!$B:$B,Load!K:K,0,)</f>
        <v>0</v>
      </c>
      <c r="K3241">
        <f>_xlfn.XLOOKUP($A3241,Load!$B:$B,Load!L:L,0,)</f>
        <v>0</v>
      </c>
      <c r="L3241">
        <f>_xlfn.XLOOKUP($A3241,Load!$B:$B,Load!M:M,0,)</f>
        <v>0</v>
      </c>
    </row>
    <row r="3242" spans="1:12" x14ac:dyDescent="0.25">
      <c r="A3242" t="s">
        <v>326</v>
      </c>
      <c r="B3242" t="str">
        <f>_xlfn.XLOOKUP($A3242,Load!$B:$B,Load!C:C,0,)</f>
        <v>Mondelez Variety Pack</v>
      </c>
      <c r="C3242" t="str">
        <f>_xlfn.XLOOKUP($A3242,Load!$B:$B,Load!D:D,0,)</f>
        <v>Mix of Chocolate and Non-Chocolate Candy</v>
      </c>
      <c r="D3242" t="str">
        <f>_xlfn.XLOOKUP($A3242,Load!$B:$B,Load!E:E,0,)</f>
        <v>Variety / Mixed Flavors (Fruity, Sour, Seasonal Flavors)</v>
      </c>
      <c r="E3242" t="str">
        <f>_xlfn.XLOOKUP($A3242,Load!$B:$B,Load!F:F,0,)</f>
        <v>Mixed / Combo Packs (Gummy, Chewy, Taffy, etc.)</v>
      </c>
      <c r="F3242" t="str">
        <f>_xlfn.XLOOKUP($A3242,Load!$B:$B,Load!G:G,0,)</f>
        <v>Medium Multipack (40–80 ct)</v>
      </c>
      <c r="G3242" t="str">
        <f>_xlfn.XLOOKUP($A3242,Load!$B:$B,Load!H:H,0,)</f>
        <v>Stand-Up Bag</v>
      </c>
      <c r="H3242" t="str">
        <f>_xlfn.XLOOKUP($A3242,Load!$B:$B,Load!I:I,0,)</f>
        <v>Everyday Candy Shapes (like Original, Gummy bear, Fruit, Jewels, etc.)</v>
      </c>
      <c r="I3242" t="str">
        <f>_xlfn.XLOOKUP($A3242,Load!$B:$B,Load!J:J,0,)</f>
        <v>Seasonal Graphics (Like Bat, Ghost, Pumpkin, Fall Leaves, Eyeballs, etc.)</v>
      </c>
      <c r="J3242" t="str">
        <f>_xlfn.XLOOKUP($A3242,Load!$B:$B,Load!K:K,0,)</f>
        <v xml:space="preserve">Variety Candy Sizes </v>
      </c>
      <c r="K3242" t="str">
        <f>_xlfn.XLOOKUP($A3242,Load!$B:$B,Load!L:L,0,)</f>
        <v>Regular/Original Wrapping</v>
      </c>
      <c r="L3242" t="str">
        <f>_xlfn.XLOOKUP($A3242,Load!$B:$B,Load!M:M,0,)</f>
        <v>Multiple Brands / Variety Flavors or Form</v>
      </c>
    </row>
    <row r="3243" spans="1:12" x14ac:dyDescent="0.25">
      <c r="A3243" t="s">
        <v>207</v>
      </c>
      <c r="B3243" t="str">
        <f>_xlfn.XLOOKUP($A3243,Load!$B:$B,Load!C:C,0,)</f>
        <v>Mars Variety Pack</v>
      </c>
      <c r="C3243" t="str">
        <f>_xlfn.XLOOKUP($A3243,Load!$B:$B,Load!D:D,0,)</f>
        <v>Mix of Chocolate and Non-Chocolate Candy</v>
      </c>
      <c r="D3243" t="str">
        <f>_xlfn.XLOOKUP($A3243,Load!$B:$B,Load!E:E,0,)</f>
        <v>Variety / Mixed Flavors (Fruity, Sour, Seasonal Flavors)</v>
      </c>
      <c r="E3243" t="str">
        <f>_xlfn.XLOOKUP($A3243,Load!$B:$B,Load!F:F,0,)</f>
        <v>Mixed / Combo Packs (Gummy, Chewy, Taffy, etc.)</v>
      </c>
      <c r="F3243" t="str">
        <f>_xlfn.XLOOKUP($A3243,Load!$B:$B,Load!G:G,0,)</f>
        <v>Large Multipack (More than 80 ct)</v>
      </c>
      <c r="G3243" t="str">
        <f>_xlfn.XLOOKUP($A3243,Load!$B:$B,Load!H:H,0,)</f>
        <v>Stand-Up Bag</v>
      </c>
      <c r="H3243" t="str">
        <f>_xlfn.XLOOKUP($A3243,Load!$B:$B,Load!I:I,0,)</f>
        <v>Everyday Candy Shapes (like Original, Gummy bear, Fruit, Jewels, etc.)</v>
      </c>
      <c r="I3243" t="str">
        <f>_xlfn.XLOOKUP($A3243,Load!$B:$B,Load!J:J,0,)</f>
        <v>Everyday Graphics</v>
      </c>
      <c r="J3243" t="str">
        <f>_xlfn.XLOOKUP($A3243,Load!$B:$B,Load!K:K,0,)</f>
        <v>Fun Size / Treat Size</v>
      </c>
      <c r="K3243" t="str">
        <f>_xlfn.XLOOKUP($A3243,Load!$B:$B,Load!L:L,0,)</f>
        <v>Regular/Original Wrapping</v>
      </c>
      <c r="L3243" t="str">
        <f>_xlfn.XLOOKUP($A3243,Load!$B:$B,Load!M:M,0,)</f>
        <v>Multiple Brands / Variety Flavors or Form</v>
      </c>
    </row>
    <row r="3244" spans="1:12" x14ac:dyDescent="0.25">
      <c r="B3244">
        <f>_xlfn.XLOOKUP($A3244,Load!$B:$B,Load!C:C,0,)</f>
        <v>0</v>
      </c>
      <c r="C3244">
        <f>_xlfn.XLOOKUP($A3244,Load!$B:$B,Load!D:D,0,)</f>
        <v>0</v>
      </c>
      <c r="D3244">
        <f>_xlfn.XLOOKUP($A3244,Load!$B:$B,Load!E:E,0,)</f>
        <v>0</v>
      </c>
      <c r="E3244">
        <f>_xlfn.XLOOKUP($A3244,Load!$B:$B,Load!F:F,0,)</f>
        <v>0</v>
      </c>
      <c r="F3244">
        <f>_xlfn.XLOOKUP($A3244,Load!$B:$B,Load!G:G,0,)</f>
        <v>0</v>
      </c>
      <c r="G3244">
        <f>_xlfn.XLOOKUP($A3244,Load!$B:$B,Load!H:H,0,)</f>
        <v>0</v>
      </c>
      <c r="H3244">
        <f>_xlfn.XLOOKUP($A3244,Load!$B:$B,Load!I:I,0,)</f>
        <v>0</v>
      </c>
      <c r="I3244">
        <f>_xlfn.XLOOKUP($A3244,Load!$B:$B,Load!J:J,0,)</f>
        <v>0</v>
      </c>
      <c r="J3244">
        <f>_xlfn.XLOOKUP($A3244,Load!$B:$B,Load!K:K,0,)</f>
        <v>0</v>
      </c>
      <c r="K3244">
        <f>_xlfn.XLOOKUP($A3244,Load!$B:$B,Load!L:L,0,)</f>
        <v>0</v>
      </c>
      <c r="L3244">
        <f>_xlfn.XLOOKUP($A3244,Load!$B:$B,Load!M:M,0,)</f>
        <v>0</v>
      </c>
    </row>
    <row r="3245" spans="1:12" x14ac:dyDescent="0.25">
      <c r="B3245">
        <f>_xlfn.XLOOKUP($A3245,Load!$B:$B,Load!C:C,0,)</f>
        <v>0</v>
      </c>
      <c r="C3245">
        <f>_xlfn.XLOOKUP($A3245,Load!$B:$B,Load!D:D,0,)</f>
        <v>0</v>
      </c>
      <c r="D3245">
        <f>_xlfn.XLOOKUP($A3245,Load!$B:$B,Load!E:E,0,)</f>
        <v>0</v>
      </c>
      <c r="E3245">
        <f>_xlfn.XLOOKUP($A3245,Load!$B:$B,Load!F:F,0,)</f>
        <v>0</v>
      </c>
      <c r="F3245">
        <f>_xlfn.XLOOKUP($A3245,Load!$B:$B,Load!G:G,0,)</f>
        <v>0</v>
      </c>
      <c r="G3245">
        <f>_xlfn.XLOOKUP($A3245,Load!$B:$B,Load!H:H,0,)</f>
        <v>0</v>
      </c>
      <c r="H3245">
        <f>_xlfn.XLOOKUP($A3245,Load!$B:$B,Load!I:I,0,)</f>
        <v>0</v>
      </c>
      <c r="I3245">
        <f>_xlfn.XLOOKUP($A3245,Load!$B:$B,Load!J:J,0,)</f>
        <v>0</v>
      </c>
      <c r="J3245">
        <f>_xlfn.XLOOKUP($A3245,Load!$B:$B,Load!K:K,0,)</f>
        <v>0</v>
      </c>
      <c r="K3245">
        <f>_xlfn.XLOOKUP($A3245,Load!$B:$B,Load!L:L,0,)</f>
        <v>0</v>
      </c>
      <c r="L3245">
        <f>_xlfn.XLOOKUP($A3245,Load!$B:$B,Load!M:M,0,)</f>
        <v>0</v>
      </c>
    </row>
    <row r="3246" spans="1:12" x14ac:dyDescent="0.25">
      <c r="B3246">
        <f>_xlfn.XLOOKUP($A3246,Load!$B:$B,Load!C:C,0,)</f>
        <v>0</v>
      </c>
      <c r="C3246">
        <f>_xlfn.XLOOKUP($A3246,Load!$B:$B,Load!D:D,0,)</f>
        <v>0</v>
      </c>
      <c r="D3246">
        <f>_xlfn.XLOOKUP($A3246,Load!$B:$B,Load!E:E,0,)</f>
        <v>0</v>
      </c>
      <c r="E3246">
        <f>_xlfn.XLOOKUP($A3246,Load!$B:$B,Load!F:F,0,)</f>
        <v>0</v>
      </c>
      <c r="F3246">
        <f>_xlfn.XLOOKUP($A3246,Load!$B:$B,Load!G:G,0,)</f>
        <v>0</v>
      </c>
      <c r="G3246">
        <f>_xlfn.XLOOKUP($A3246,Load!$B:$B,Load!H:H,0,)</f>
        <v>0</v>
      </c>
      <c r="H3246">
        <f>_xlfn.XLOOKUP($A3246,Load!$B:$B,Load!I:I,0,)</f>
        <v>0</v>
      </c>
      <c r="I3246">
        <f>_xlfn.XLOOKUP($A3246,Load!$B:$B,Load!J:J,0,)</f>
        <v>0</v>
      </c>
      <c r="J3246">
        <f>_xlfn.XLOOKUP($A3246,Load!$B:$B,Load!K:K,0,)</f>
        <v>0</v>
      </c>
      <c r="K3246">
        <f>_xlfn.XLOOKUP($A3246,Load!$B:$B,Load!L:L,0,)</f>
        <v>0</v>
      </c>
      <c r="L3246">
        <f>_xlfn.XLOOKUP($A3246,Load!$B:$B,Load!M:M,0,)</f>
        <v>0</v>
      </c>
    </row>
    <row r="3247" spans="1:12" x14ac:dyDescent="0.25">
      <c r="B3247">
        <f>_xlfn.XLOOKUP($A3247,Load!$B:$B,Load!C:C,0,)</f>
        <v>0</v>
      </c>
      <c r="C3247">
        <f>_xlfn.XLOOKUP($A3247,Load!$B:$B,Load!D:D,0,)</f>
        <v>0</v>
      </c>
      <c r="D3247">
        <f>_xlfn.XLOOKUP($A3247,Load!$B:$B,Load!E:E,0,)</f>
        <v>0</v>
      </c>
      <c r="E3247">
        <f>_xlfn.XLOOKUP($A3247,Load!$B:$B,Load!F:F,0,)</f>
        <v>0</v>
      </c>
      <c r="F3247">
        <f>_xlfn.XLOOKUP($A3247,Load!$B:$B,Load!G:G,0,)</f>
        <v>0</v>
      </c>
      <c r="G3247">
        <f>_xlfn.XLOOKUP($A3247,Load!$B:$B,Load!H:H,0,)</f>
        <v>0</v>
      </c>
      <c r="H3247">
        <f>_xlfn.XLOOKUP($A3247,Load!$B:$B,Load!I:I,0,)</f>
        <v>0</v>
      </c>
      <c r="I3247">
        <f>_xlfn.XLOOKUP($A3247,Load!$B:$B,Load!J:J,0,)</f>
        <v>0</v>
      </c>
      <c r="J3247">
        <f>_xlfn.XLOOKUP($A3247,Load!$B:$B,Load!K:K,0,)</f>
        <v>0</v>
      </c>
      <c r="K3247">
        <f>_xlfn.XLOOKUP($A3247,Load!$B:$B,Load!L:L,0,)</f>
        <v>0</v>
      </c>
      <c r="L3247">
        <f>_xlfn.XLOOKUP($A3247,Load!$B:$B,Load!M:M,0,)</f>
        <v>0</v>
      </c>
    </row>
    <row r="3248" spans="1:12" x14ac:dyDescent="0.25">
      <c r="B3248">
        <f>_xlfn.XLOOKUP($A3248,Load!$B:$B,Load!C:C,0,)</f>
        <v>0</v>
      </c>
      <c r="C3248">
        <f>_xlfn.XLOOKUP($A3248,Load!$B:$B,Load!D:D,0,)</f>
        <v>0</v>
      </c>
      <c r="D3248">
        <f>_xlfn.XLOOKUP($A3248,Load!$B:$B,Load!E:E,0,)</f>
        <v>0</v>
      </c>
      <c r="E3248">
        <f>_xlfn.XLOOKUP($A3248,Load!$B:$B,Load!F:F,0,)</f>
        <v>0</v>
      </c>
      <c r="F3248">
        <f>_xlfn.XLOOKUP($A3248,Load!$B:$B,Load!G:G,0,)</f>
        <v>0</v>
      </c>
      <c r="G3248">
        <f>_xlfn.XLOOKUP($A3248,Load!$B:$B,Load!H:H,0,)</f>
        <v>0</v>
      </c>
      <c r="H3248">
        <f>_xlfn.XLOOKUP($A3248,Load!$B:$B,Load!I:I,0,)</f>
        <v>0</v>
      </c>
      <c r="I3248">
        <f>_xlfn.XLOOKUP($A3248,Load!$B:$B,Load!J:J,0,)</f>
        <v>0</v>
      </c>
      <c r="J3248">
        <f>_xlfn.XLOOKUP($A3248,Load!$B:$B,Load!K:K,0,)</f>
        <v>0</v>
      </c>
      <c r="K3248">
        <f>_xlfn.XLOOKUP($A3248,Load!$B:$B,Load!L:L,0,)</f>
        <v>0</v>
      </c>
      <c r="L3248">
        <f>_xlfn.XLOOKUP($A3248,Load!$B:$B,Load!M:M,0,)</f>
        <v>0</v>
      </c>
    </row>
    <row r="3249" spans="1:12" x14ac:dyDescent="0.25">
      <c r="B3249">
        <f>_xlfn.XLOOKUP($A3249,Load!$B:$B,Load!C:C,0,)</f>
        <v>0</v>
      </c>
      <c r="C3249">
        <f>_xlfn.XLOOKUP($A3249,Load!$B:$B,Load!D:D,0,)</f>
        <v>0</v>
      </c>
      <c r="D3249">
        <f>_xlfn.XLOOKUP($A3249,Load!$B:$B,Load!E:E,0,)</f>
        <v>0</v>
      </c>
      <c r="E3249">
        <f>_xlfn.XLOOKUP($A3249,Load!$B:$B,Load!F:F,0,)</f>
        <v>0</v>
      </c>
      <c r="F3249">
        <f>_xlfn.XLOOKUP($A3249,Load!$B:$B,Load!G:G,0,)</f>
        <v>0</v>
      </c>
      <c r="G3249">
        <f>_xlfn.XLOOKUP($A3249,Load!$B:$B,Load!H:H,0,)</f>
        <v>0</v>
      </c>
      <c r="H3249">
        <f>_xlfn.XLOOKUP($A3249,Load!$B:$B,Load!I:I,0,)</f>
        <v>0</v>
      </c>
      <c r="I3249">
        <f>_xlfn.XLOOKUP($A3249,Load!$B:$B,Load!J:J,0,)</f>
        <v>0</v>
      </c>
      <c r="J3249">
        <f>_xlfn.XLOOKUP($A3249,Load!$B:$B,Load!K:K,0,)</f>
        <v>0</v>
      </c>
      <c r="K3249">
        <f>_xlfn.XLOOKUP($A3249,Load!$B:$B,Load!L:L,0,)</f>
        <v>0</v>
      </c>
      <c r="L3249">
        <f>_xlfn.XLOOKUP($A3249,Load!$B:$B,Load!M:M,0,)</f>
        <v>0</v>
      </c>
    </row>
    <row r="3250" spans="1:12" x14ac:dyDescent="0.25">
      <c r="A3250" t="s">
        <v>174</v>
      </c>
      <c r="B3250" t="str">
        <f>_xlfn.XLOOKUP($A3250,Load!$B:$B,Load!C:C,0,)</f>
        <v>Mars Variety Pack</v>
      </c>
      <c r="C3250" t="str">
        <f>_xlfn.XLOOKUP($A3250,Load!$B:$B,Load!D:D,0,)</f>
        <v>Non-Chocolate Candy Only</v>
      </c>
      <c r="D3250" t="str">
        <f>_xlfn.XLOOKUP($A3250,Load!$B:$B,Load!E:E,0,)</f>
        <v>Variety / Mixed Flavors (Fruity, Sour, Seasonal Flavors)</v>
      </c>
      <c r="E3250" t="str">
        <f>_xlfn.XLOOKUP($A3250,Load!$B:$B,Load!F:F,0,)</f>
        <v>Mixed / Combo Packs (Gummy, Chewy, Taffy, etc.)</v>
      </c>
      <c r="F3250" t="str">
        <f>_xlfn.XLOOKUP($A3250,Load!$B:$B,Load!G:G,0,)</f>
        <v>Medium Multipack (40–80 ct)</v>
      </c>
      <c r="G3250" t="str">
        <f>_xlfn.XLOOKUP($A3250,Load!$B:$B,Load!H:H,0,)</f>
        <v>Stand-Up Bag</v>
      </c>
      <c r="H3250" t="str">
        <f>_xlfn.XLOOKUP($A3250,Load!$B:$B,Load!I:I,0,)</f>
        <v>Everyday Candy Shapes (like Original, Gummy bear, Fruit, Jewels, etc.)</v>
      </c>
      <c r="I3250" t="str">
        <f>_xlfn.XLOOKUP($A3250,Load!$B:$B,Load!J:J,0,)</f>
        <v>Seasonal Graphics (Like Bat, Ghost, Pumpkin, Fall Leaves, Eyeballs, etc.)</v>
      </c>
      <c r="J3250" t="str">
        <f>_xlfn.XLOOKUP($A3250,Load!$B:$B,Load!K:K,0,)</f>
        <v>Fun Size / Treat Size</v>
      </c>
      <c r="K3250" t="str">
        <f>_xlfn.XLOOKUP($A3250,Load!$B:$B,Load!L:L,0,)</f>
        <v>Regular/Original Wrapping</v>
      </c>
      <c r="L3250" t="str">
        <f>_xlfn.XLOOKUP($A3250,Load!$B:$B,Load!M:M,0,)</f>
        <v>Multiple Brands / Variety Flavors or Form</v>
      </c>
    </row>
    <row r="3251" spans="1:12" x14ac:dyDescent="0.25">
      <c r="A3251" t="s">
        <v>176</v>
      </c>
      <c r="B3251" t="str">
        <f>_xlfn.XLOOKUP($A3251,Load!$B:$B,Load!C:C,0,)</f>
        <v>Mars Variety Pack</v>
      </c>
      <c r="C3251" t="str">
        <f>_xlfn.XLOOKUP($A3251,Load!$B:$B,Load!D:D,0,)</f>
        <v>Non-Chocolate Candy Only</v>
      </c>
      <c r="D3251" t="str">
        <f>_xlfn.XLOOKUP($A3251,Load!$B:$B,Load!E:E,0,)</f>
        <v>Variety / Mixed Flavors (Fruity, Sour, Seasonal Flavors)</v>
      </c>
      <c r="E3251" t="str">
        <f>_xlfn.XLOOKUP($A3251,Load!$B:$B,Load!F:F,0,)</f>
        <v>Mixed / Combo Packs (Gummy, Chewy, Taffy, etc.)</v>
      </c>
      <c r="F3251" t="str">
        <f>_xlfn.XLOOKUP($A3251,Load!$B:$B,Load!G:G,0,)</f>
        <v>Large Multipack (More than 80 ct)</v>
      </c>
      <c r="G3251" t="str">
        <f>_xlfn.XLOOKUP($A3251,Load!$B:$B,Load!H:H,0,)</f>
        <v>Stand-Up Bag</v>
      </c>
      <c r="H3251" t="str">
        <f>_xlfn.XLOOKUP($A3251,Load!$B:$B,Load!I:I,0,)</f>
        <v>Everyday Candy Shapes (like Original, Gummy bear, Fruit, Jewels, etc.)</v>
      </c>
      <c r="I3251" t="str">
        <f>_xlfn.XLOOKUP($A3251,Load!$B:$B,Load!J:J,0,)</f>
        <v>Seasonal Graphics (Like Bat, Ghost, Pumpkin, Fall Leaves, Eyeballs, etc.)</v>
      </c>
      <c r="J3251" t="str">
        <f>_xlfn.XLOOKUP($A3251,Load!$B:$B,Load!K:K,0,)</f>
        <v>Fun Size / Treat Size</v>
      </c>
      <c r="K3251" t="str">
        <f>_xlfn.XLOOKUP($A3251,Load!$B:$B,Load!L:L,0,)</f>
        <v>Regular/Original Wrapping</v>
      </c>
      <c r="L3251" t="str">
        <f>_xlfn.XLOOKUP($A3251,Load!$B:$B,Load!M:M,0,)</f>
        <v>Multiple Brands / Variety Flavors or Form</v>
      </c>
    </row>
    <row r="3252" spans="1:12" x14ac:dyDescent="0.25">
      <c r="A3252" t="s">
        <v>83</v>
      </c>
      <c r="B3252" t="str">
        <f>_xlfn.XLOOKUP($A3252,Load!$B:$B,Load!C:C,0,)</f>
        <v>Ferrara Variety Pack</v>
      </c>
      <c r="C3252" t="str">
        <f>_xlfn.XLOOKUP($A3252,Load!$B:$B,Load!D:D,0,)</f>
        <v>Non-Chocolate Candy Only</v>
      </c>
      <c r="D3252" t="str">
        <f>_xlfn.XLOOKUP($A3252,Load!$B:$B,Load!E:E,0,)</f>
        <v>Variety / Mixed Flavors (Fruity, Sour, Seasonal Flavors)</v>
      </c>
      <c r="E3252" t="str">
        <f>_xlfn.XLOOKUP($A3252,Load!$B:$B,Load!F:F,0,)</f>
        <v>Mixed / Combo Packs (Gummy, Chewy, Taffy, etc.)</v>
      </c>
      <c r="F3252" t="str">
        <f>_xlfn.XLOOKUP($A3252,Load!$B:$B,Load!G:G,0,)</f>
        <v>Medium Multipack (40–80 ct)</v>
      </c>
      <c r="G3252" t="str">
        <f>_xlfn.XLOOKUP($A3252,Load!$B:$B,Load!H:H,0,)</f>
        <v>Stand-Up Bag</v>
      </c>
      <c r="H3252" t="str">
        <f>_xlfn.XLOOKUP($A3252,Load!$B:$B,Load!I:I,0,)</f>
        <v>Everyday Candy Shapes (like Original, Gummy bear, Fruit, Jewels, etc.)</v>
      </c>
      <c r="I3252" t="str">
        <f>_xlfn.XLOOKUP($A3252,Load!$B:$B,Load!J:J,0,)</f>
        <v>Seasonal Graphics (Like Bat, Ghost, Pumpkin, Fall Leaves, Eyeballs, etc.)</v>
      </c>
      <c r="J3252" t="str">
        <f>_xlfn.XLOOKUP($A3252,Load!$B:$B,Load!K:K,0,)</f>
        <v xml:space="preserve">Variety Candy Sizes </v>
      </c>
      <c r="K3252" t="str">
        <f>_xlfn.XLOOKUP($A3252,Load!$B:$B,Load!L:L,0,)</f>
        <v>Regular/Original Wrapping</v>
      </c>
      <c r="L3252" t="str">
        <f>_xlfn.XLOOKUP($A3252,Load!$B:$B,Load!M:M,0,)</f>
        <v>Multiple Brands / Variety Flavors or Form</v>
      </c>
    </row>
    <row r="3253" spans="1:12" x14ac:dyDescent="0.25">
      <c r="A3253" t="s">
        <v>81</v>
      </c>
      <c r="B3253" t="str">
        <f>_xlfn.XLOOKUP($A3253,Load!$B:$B,Load!C:C,0,)</f>
        <v>Ferrara Variety Pack</v>
      </c>
      <c r="C3253" t="str">
        <f>_xlfn.XLOOKUP($A3253,Load!$B:$B,Load!D:D,0,)</f>
        <v>Non-Chocolate Candy Only</v>
      </c>
      <c r="D3253" t="str">
        <f>_xlfn.XLOOKUP($A3253,Load!$B:$B,Load!E:E,0,)</f>
        <v>Variety / Mixed Flavors (Fruity, Sour, Seasonal Flavors)</v>
      </c>
      <c r="E3253" t="str">
        <f>_xlfn.XLOOKUP($A3253,Load!$B:$B,Load!F:F,0,)</f>
        <v>Mixed / Combo Packs (Gummy, Chewy, Taffy, etc.)</v>
      </c>
      <c r="F3253" t="str">
        <f>_xlfn.XLOOKUP($A3253,Load!$B:$B,Load!G:G,0,)</f>
        <v>Medium Multipack (40–80 ct)</v>
      </c>
      <c r="G3253" t="str">
        <f>_xlfn.XLOOKUP($A3253,Load!$B:$B,Load!H:H,0,)</f>
        <v>Stand-Up Bag</v>
      </c>
      <c r="H3253" t="str">
        <f>_xlfn.XLOOKUP($A3253,Load!$B:$B,Load!I:I,0,)</f>
        <v>Everyday Candy Shapes (like Original, Gummy bear, Fruit, Jewels, etc.)</v>
      </c>
      <c r="I3253" t="str">
        <f>_xlfn.XLOOKUP($A3253,Load!$B:$B,Load!J:J,0,)</f>
        <v>Seasonal Graphics (Like Bat, Ghost, Pumpkin, Fall Leaves, Eyeballs, etc.)</v>
      </c>
      <c r="J3253" t="str">
        <f>_xlfn.XLOOKUP($A3253,Load!$B:$B,Load!K:K,0,)</f>
        <v xml:space="preserve">Variety Candy Sizes </v>
      </c>
      <c r="K3253" t="str">
        <f>_xlfn.XLOOKUP($A3253,Load!$B:$B,Load!L:L,0,)</f>
        <v>Regular/Original Wrapping</v>
      </c>
      <c r="L3253" t="str">
        <f>_xlfn.XLOOKUP($A3253,Load!$B:$B,Load!M:M,0,)</f>
        <v>Multiple Brands / Variety Flavors or Form</v>
      </c>
    </row>
    <row r="3254" spans="1:12" x14ac:dyDescent="0.25">
      <c r="A3254" t="s">
        <v>203</v>
      </c>
      <c r="B3254" t="str">
        <f>_xlfn.XLOOKUP($A3254,Load!$B:$B,Load!C:C,0,)</f>
        <v>Mars Variety Pack</v>
      </c>
      <c r="C3254" t="str">
        <f>_xlfn.XLOOKUP($A3254,Load!$B:$B,Load!D:D,0,)</f>
        <v>Mix of Chocolate and Non-Chocolate Candy</v>
      </c>
      <c r="D3254" t="str">
        <f>_xlfn.XLOOKUP($A3254,Load!$B:$B,Load!E:E,0,)</f>
        <v>Variety / Mixed Flavors (Fruity, Sour, Seasonal Flavors)</v>
      </c>
      <c r="E3254" t="str">
        <f>_xlfn.XLOOKUP($A3254,Load!$B:$B,Load!F:F,0,)</f>
        <v>Mixed / Combo Packs (Gummy, Chewy, Taffy, etc.)</v>
      </c>
      <c r="F3254" t="str">
        <f>_xlfn.XLOOKUP($A3254,Load!$B:$B,Load!G:G,0,)</f>
        <v>Small Multipack (Less than 40 ct)</v>
      </c>
      <c r="G3254" t="str">
        <f>_xlfn.XLOOKUP($A3254,Load!$B:$B,Load!H:H,0,)</f>
        <v>Box (theatre box, gift box, carton)</v>
      </c>
      <c r="H3254" t="str">
        <f>_xlfn.XLOOKUP($A3254,Load!$B:$B,Load!I:I,0,)</f>
        <v>Everyday Candy Shapes (like Original, Gummy bear, Fruit, Jewels, etc.)</v>
      </c>
      <c r="I3254" t="str">
        <f>_xlfn.XLOOKUP($A3254,Load!$B:$B,Load!J:J,0,)</f>
        <v>Everyday Graphics</v>
      </c>
      <c r="J3254" t="str">
        <f>_xlfn.XLOOKUP($A3254,Load!$B:$B,Load!K:K,0,)</f>
        <v>Fun Size / Treat Size</v>
      </c>
      <c r="K3254" t="str">
        <f>_xlfn.XLOOKUP($A3254,Load!$B:$B,Load!L:L,0,)</f>
        <v>Regular/Original Wrapping</v>
      </c>
      <c r="L3254" t="str">
        <f>_xlfn.XLOOKUP($A3254,Load!$B:$B,Load!M:M,0,)</f>
        <v>Multiple Brands / Variety Flavors or Form</v>
      </c>
    </row>
    <row r="3255" spans="1:12" x14ac:dyDescent="0.25">
      <c r="A3255" t="s">
        <v>326</v>
      </c>
      <c r="B3255" t="str">
        <f>_xlfn.XLOOKUP($A3255,Load!$B:$B,Load!C:C,0,)</f>
        <v>Mondelez Variety Pack</v>
      </c>
      <c r="C3255" t="str">
        <f>_xlfn.XLOOKUP($A3255,Load!$B:$B,Load!D:D,0,)</f>
        <v>Mix of Chocolate and Non-Chocolate Candy</v>
      </c>
      <c r="D3255" t="str">
        <f>_xlfn.XLOOKUP($A3255,Load!$B:$B,Load!E:E,0,)</f>
        <v>Variety / Mixed Flavors (Fruity, Sour, Seasonal Flavors)</v>
      </c>
      <c r="E3255" t="str">
        <f>_xlfn.XLOOKUP($A3255,Load!$B:$B,Load!F:F,0,)</f>
        <v>Mixed / Combo Packs (Gummy, Chewy, Taffy, etc.)</v>
      </c>
      <c r="F3255" t="str">
        <f>_xlfn.XLOOKUP($A3255,Load!$B:$B,Load!G:G,0,)</f>
        <v>Medium Multipack (40–80 ct)</v>
      </c>
      <c r="G3255" t="str">
        <f>_xlfn.XLOOKUP($A3255,Load!$B:$B,Load!H:H,0,)</f>
        <v>Stand-Up Bag</v>
      </c>
      <c r="H3255" t="str">
        <f>_xlfn.XLOOKUP($A3255,Load!$B:$B,Load!I:I,0,)</f>
        <v>Everyday Candy Shapes (like Original, Gummy bear, Fruit, Jewels, etc.)</v>
      </c>
      <c r="I3255" t="str">
        <f>_xlfn.XLOOKUP($A3255,Load!$B:$B,Load!J:J,0,)</f>
        <v>Seasonal Graphics (Like Bat, Ghost, Pumpkin, Fall Leaves, Eyeballs, etc.)</v>
      </c>
      <c r="J3255" t="str">
        <f>_xlfn.XLOOKUP($A3255,Load!$B:$B,Load!K:K,0,)</f>
        <v xml:space="preserve">Variety Candy Sizes </v>
      </c>
      <c r="K3255" t="str">
        <f>_xlfn.XLOOKUP($A3255,Load!$B:$B,Load!L:L,0,)</f>
        <v>Regular/Original Wrapping</v>
      </c>
      <c r="L3255" t="str">
        <f>_xlfn.XLOOKUP($A3255,Load!$B:$B,Load!M:M,0,)</f>
        <v>Multiple Brands / Variety Flavors or Form</v>
      </c>
    </row>
    <row r="3256" spans="1:12" x14ac:dyDescent="0.25">
      <c r="B3256">
        <f>_xlfn.XLOOKUP($A3256,Load!$B:$B,Load!C:C,0,)</f>
        <v>0</v>
      </c>
      <c r="C3256">
        <f>_xlfn.XLOOKUP($A3256,Load!$B:$B,Load!D:D,0,)</f>
        <v>0</v>
      </c>
      <c r="D3256">
        <f>_xlfn.XLOOKUP($A3256,Load!$B:$B,Load!E:E,0,)</f>
        <v>0</v>
      </c>
      <c r="E3256">
        <f>_xlfn.XLOOKUP($A3256,Load!$B:$B,Load!F:F,0,)</f>
        <v>0</v>
      </c>
      <c r="F3256">
        <f>_xlfn.XLOOKUP($A3256,Load!$B:$B,Load!G:G,0,)</f>
        <v>0</v>
      </c>
      <c r="G3256">
        <f>_xlfn.XLOOKUP($A3256,Load!$B:$B,Load!H:H,0,)</f>
        <v>0</v>
      </c>
      <c r="H3256">
        <f>_xlfn.XLOOKUP($A3256,Load!$B:$B,Load!I:I,0,)</f>
        <v>0</v>
      </c>
      <c r="I3256">
        <f>_xlfn.XLOOKUP($A3256,Load!$B:$B,Load!J:J,0,)</f>
        <v>0</v>
      </c>
      <c r="J3256">
        <f>_xlfn.XLOOKUP($A3256,Load!$B:$B,Load!K:K,0,)</f>
        <v>0</v>
      </c>
      <c r="K3256">
        <f>_xlfn.XLOOKUP($A3256,Load!$B:$B,Load!L:L,0,)</f>
        <v>0</v>
      </c>
      <c r="L3256">
        <f>_xlfn.XLOOKUP($A3256,Load!$B:$B,Load!M:M,0,)</f>
        <v>0</v>
      </c>
    </row>
    <row r="3257" spans="1:12" x14ac:dyDescent="0.25">
      <c r="B3257">
        <f>_xlfn.XLOOKUP($A3257,Load!$B:$B,Load!C:C,0,)</f>
        <v>0</v>
      </c>
      <c r="C3257">
        <f>_xlfn.XLOOKUP($A3257,Load!$B:$B,Load!D:D,0,)</f>
        <v>0</v>
      </c>
      <c r="D3257">
        <f>_xlfn.XLOOKUP($A3257,Load!$B:$B,Load!E:E,0,)</f>
        <v>0</v>
      </c>
      <c r="E3257">
        <f>_xlfn.XLOOKUP($A3257,Load!$B:$B,Load!F:F,0,)</f>
        <v>0</v>
      </c>
      <c r="F3257">
        <f>_xlfn.XLOOKUP($A3257,Load!$B:$B,Load!G:G,0,)</f>
        <v>0</v>
      </c>
      <c r="G3257">
        <f>_xlfn.XLOOKUP($A3257,Load!$B:$B,Load!H:H,0,)</f>
        <v>0</v>
      </c>
      <c r="H3257">
        <f>_xlfn.XLOOKUP($A3257,Load!$B:$B,Load!I:I,0,)</f>
        <v>0</v>
      </c>
      <c r="I3257">
        <f>_xlfn.XLOOKUP($A3257,Load!$B:$B,Load!J:J,0,)</f>
        <v>0</v>
      </c>
      <c r="J3257">
        <f>_xlfn.XLOOKUP($A3257,Load!$B:$B,Load!K:K,0,)</f>
        <v>0</v>
      </c>
      <c r="K3257">
        <f>_xlfn.XLOOKUP($A3257,Load!$B:$B,Load!L:L,0,)</f>
        <v>0</v>
      </c>
      <c r="L3257">
        <f>_xlfn.XLOOKUP($A3257,Load!$B:$B,Load!M:M,0,)</f>
        <v>0</v>
      </c>
    </row>
    <row r="3258" spans="1:12" x14ac:dyDescent="0.25">
      <c r="A3258" t="s">
        <v>140</v>
      </c>
      <c r="B3258" t="str">
        <f>_xlfn.XLOOKUP($A3258,Load!$B:$B,Load!C:C,0,)</f>
        <v>Hershey's Variety Pack + Haribo</v>
      </c>
      <c r="C3258" t="str">
        <f>_xlfn.XLOOKUP($A3258,Load!$B:$B,Load!D:D,0,)</f>
        <v>Mix of Chocolate and Non-Chocolate Candy</v>
      </c>
      <c r="D3258" t="str">
        <f>_xlfn.XLOOKUP($A3258,Load!$B:$B,Load!E:E,0,)</f>
        <v>Variety / Mixed Flavors (Fruity, Sour, Seasonal Flavors)</v>
      </c>
      <c r="E3258" t="str">
        <f>_xlfn.XLOOKUP($A3258,Load!$B:$B,Load!F:F,0,)</f>
        <v>Mixed / Combo Packs (Gummy, Chewy, Taffy, etc.)</v>
      </c>
      <c r="F3258" t="str">
        <f>_xlfn.XLOOKUP($A3258,Load!$B:$B,Load!G:G,0,)</f>
        <v>Large Multipack (More than 80 ct)</v>
      </c>
      <c r="G3258" t="str">
        <f>_xlfn.XLOOKUP($A3258,Load!$B:$B,Load!H:H,0,)</f>
        <v>Stand-Up Bag</v>
      </c>
      <c r="H3258" t="str">
        <f>_xlfn.XLOOKUP($A3258,Load!$B:$B,Load!I:I,0,)</f>
        <v>Everyday Candy Shapes (like Original, Gummy bear, Fruit, Jewels, etc.)</v>
      </c>
      <c r="I3258" t="str">
        <f>_xlfn.XLOOKUP($A3258,Load!$B:$B,Load!J:J,0,)</f>
        <v>Seasonal Graphics (Like Bat, Ghost, Pumpkin, Fall Leaves, Eyeballs, etc.)</v>
      </c>
      <c r="J3258" t="str">
        <f>_xlfn.XLOOKUP($A3258,Load!$B:$B,Load!K:K,0,)</f>
        <v xml:space="preserve">Variety Candy Sizes </v>
      </c>
      <c r="K3258" t="str">
        <f>_xlfn.XLOOKUP($A3258,Load!$B:$B,Load!L:L,0,)</f>
        <v>Regular/Original Wrapping</v>
      </c>
      <c r="L3258" t="str">
        <f>_xlfn.XLOOKUP($A3258,Load!$B:$B,Load!M:M,0,)</f>
        <v>Multiple Brands / Variety Flavors or Form</v>
      </c>
    </row>
    <row r="3259" spans="1:12" x14ac:dyDescent="0.25">
      <c r="A3259" t="s">
        <v>104</v>
      </c>
      <c r="B3259" t="str">
        <f>_xlfn.XLOOKUP($A3259,Load!$B:$B,Load!C:C,0,)</f>
        <v>Frankford</v>
      </c>
      <c r="C3259" t="str">
        <f>_xlfn.XLOOKUP($A3259,Load!$B:$B,Load!D:D,0,)</f>
        <v>Non-Chocolate Candy Only</v>
      </c>
      <c r="D3259" t="str">
        <f>_xlfn.XLOOKUP($A3259,Load!$B:$B,Load!E:E,0,)</f>
        <v>Variety / Mixed Flavors (Fruity, Sour, Seasonal Flavors)</v>
      </c>
      <c r="E3259" t="str">
        <f>_xlfn.XLOOKUP($A3259,Load!$B:$B,Load!F:F,0,)</f>
        <v>Mixed / Combo Packs (Gummy, Chewy, Taffy, etc.)</v>
      </c>
      <c r="F3259" t="str">
        <f>_xlfn.XLOOKUP($A3259,Load!$B:$B,Load!G:G,0,)</f>
        <v>Large Multipack (More than 80 ct)</v>
      </c>
      <c r="G3259" t="str">
        <f>_xlfn.XLOOKUP($A3259,Load!$B:$B,Load!H:H,0,)</f>
        <v>Stand-Up Bag</v>
      </c>
      <c r="H3259" t="str">
        <f>_xlfn.XLOOKUP($A3259,Load!$B:$B,Load!I:I,0,)</f>
        <v>Seasonal Shapes (like pumpkins, candy corn, ghost, bats, etc.)</v>
      </c>
      <c r="I3259" t="str">
        <f>_xlfn.XLOOKUP($A3259,Load!$B:$B,Load!J:J,0,)</f>
        <v>Seasonal Graphics (Like Bat, Ghost, Pumpkin, Fall Leaves, Eyeballs, etc.)</v>
      </c>
      <c r="J3259" t="str">
        <f>_xlfn.XLOOKUP($A3259,Load!$B:$B,Load!K:K,0,)</f>
        <v xml:space="preserve">Variety Candy Sizes </v>
      </c>
      <c r="K3259" t="str">
        <f>_xlfn.XLOOKUP($A3259,Load!$B:$B,Load!L:L,0,)</f>
        <v>Regular/Original Wrapping</v>
      </c>
      <c r="L3259" t="str">
        <f>_xlfn.XLOOKUP($A3259,Load!$B:$B,Load!M:M,0,)</f>
        <v>Multiple Brands / Variety Flavors or Form</v>
      </c>
    </row>
    <row r="3260" spans="1:12" x14ac:dyDescent="0.25">
      <c r="A3260" t="s">
        <v>236</v>
      </c>
      <c r="B3260" t="str">
        <f>_xlfn.XLOOKUP($A3260,Load!$B:$B,Load!C:C,0,)</f>
        <v>Nerds</v>
      </c>
      <c r="C3260" t="str">
        <f>_xlfn.XLOOKUP($A3260,Load!$B:$B,Load!D:D,0,)</f>
        <v>Non-Chocolate Candy Only</v>
      </c>
      <c r="D3260" t="str">
        <f>_xlfn.XLOOKUP($A3260,Load!$B:$B,Load!E:E,0,)</f>
        <v>Variety / Mixed Flavors (Fruity, Sour, Seasonal Flavors)</v>
      </c>
      <c r="E3260" t="str">
        <f>_xlfn.XLOOKUP($A3260,Load!$B:$B,Load!F:F,0,)</f>
        <v>Candy Pieces / Bites</v>
      </c>
      <c r="F3260" t="str">
        <f>_xlfn.XLOOKUP($A3260,Load!$B:$B,Load!G:G,0,)</f>
        <v>Medium Multipack (40–80 ct)</v>
      </c>
      <c r="G3260" t="str">
        <f>_xlfn.XLOOKUP($A3260,Load!$B:$B,Load!H:H,0,)</f>
        <v>Stand-Up Bag</v>
      </c>
      <c r="H3260" t="str">
        <f>_xlfn.XLOOKUP($A3260,Load!$B:$B,Load!I:I,0,)</f>
        <v>Everyday Candy Shapes (like Original, Gummy bear, Fruit, Jewels, etc.)</v>
      </c>
      <c r="I3260" t="str">
        <f>_xlfn.XLOOKUP($A3260,Load!$B:$B,Load!J:J,0,)</f>
        <v>Seasonal Graphics (Like Bat, Ghost, Pumpkin, Fall Leaves, Eyeballs, etc.)</v>
      </c>
      <c r="J3260" t="str">
        <f>_xlfn.XLOOKUP($A3260,Load!$B:$B,Load!K:K,0,)</f>
        <v>Small Pieces (Tiny bite size candies)</v>
      </c>
      <c r="K3260" t="str">
        <f>_xlfn.XLOOKUP($A3260,Load!$B:$B,Load!L:L,0,)</f>
        <v>Unwrapped</v>
      </c>
      <c r="L3260" t="str">
        <f>_xlfn.XLOOKUP($A3260,Load!$B:$B,Load!M:M,0,)</f>
        <v>Single Brand / Variety Flavors or Form</v>
      </c>
    </row>
    <row r="3261" spans="1:12" x14ac:dyDescent="0.25">
      <c r="B3261">
        <f>_xlfn.XLOOKUP($A3261,Load!$B:$B,Load!C:C,0,)</f>
        <v>0</v>
      </c>
      <c r="C3261">
        <f>_xlfn.XLOOKUP($A3261,Load!$B:$B,Load!D:D,0,)</f>
        <v>0</v>
      </c>
      <c r="D3261">
        <f>_xlfn.XLOOKUP($A3261,Load!$B:$B,Load!E:E,0,)</f>
        <v>0</v>
      </c>
      <c r="E3261">
        <f>_xlfn.XLOOKUP($A3261,Load!$B:$B,Load!F:F,0,)</f>
        <v>0</v>
      </c>
      <c r="F3261">
        <f>_xlfn.XLOOKUP($A3261,Load!$B:$B,Load!G:G,0,)</f>
        <v>0</v>
      </c>
      <c r="G3261">
        <f>_xlfn.XLOOKUP($A3261,Load!$B:$B,Load!H:H,0,)</f>
        <v>0</v>
      </c>
      <c r="H3261">
        <f>_xlfn.XLOOKUP($A3261,Load!$B:$B,Load!I:I,0,)</f>
        <v>0</v>
      </c>
      <c r="I3261">
        <f>_xlfn.XLOOKUP($A3261,Load!$B:$B,Load!J:J,0,)</f>
        <v>0</v>
      </c>
      <c r="J3261">
        <f>_xlfn.XLOOKUP($A3261,Load!$B:$B,Load!K:K,0,)</f>
        <v>0</v>
      </c>
      <c r="K3261">
        <f>_xlfn.XLOOKUP($A3261,Load!$B:$B,Load!L:L,0,)</f>
        <v>0</v>
      </c>
      <c r="L3261">
        <f>_xlfn.XLOOKUP($A3261,Load!$B:$B,Load!M:M,0,)</f>
        <v>0</v>
      </c>
    </row>
    <row r="3262" spans="1:12" x14ac:dyDescent="0.25">
      <c r="B3262">
        <f>_xlfn.XLOOKUP($A3262,Load!$B:$B,Load!C:C,0,)</f>
        <v>0</v>
      </c>
      <c r="C3262">
        <f>_xlfn.XLOOKUP($A3262,Load!$B:$B,Load!D:D,0,)</f>
        <v>0</v>
      </c>
      <c r="D3262">
        <f>_xlfn.XLOOKUP($A3262,Load!$B:$B,Load!E:E,0,)</f>
        <v>0</v>
      </c>
      <c r="E3262">
        <f>_xlfn.XLOOKUP($A3262,Load!$B:$B,Load!F:F,0,)</f>
        <v>0</v>
      </c>
      <c r="F3262">
        <f>_xlfn.XLOOKUP($A3262,Load!$B:$B,Load!G:G,0,)</f>
        <v>0</v>
      </c>
      <c r="G3262">
        <f>_xlfn.XLOOKUP($A3262,Load!$B:$B,Load!H:H,0,)</f>
        <v>0</v>
      </c>
      <c r="H3262">
        <f>_xlfn.XLOOKUP($A3262,Load!$B:$B,Load!I:I,0,)</f>
        <v>0</v>
      </c>
      <c r="I3262">
        <f>_xlfn.XLOOKUP($A3262,Load!$B:$B,Load!J:J,0,)</f>
        <v>0</v>
      </c>
      <c r="J3262">
        <f>_xlfn.XLOOKUP($A3262,Load!$B:$B,Load!K:K,0,)</f>
        <v>0</v>
      </c>
      <c r="K3262">
        <f>_xlfn.XLOOKUP($A3262,Load!$B:$B,Load!L:L,0,)</f>
        <v>0</v>
      </c>
      <c r="L3262">
        <f>_xlfn.XLOOKUP($A3262,Load!$B:$B,Load!M:M,0,)</f>
        <v>0</v>
      </c>
    </row>
    <row r="3263" spans="1:12" x14ac:dyDescent="0.25">
      <c r="B3263">
        <f>_xlfn.XLOOKUP($A3263,Load!$B:$B,Load!C:C,0,)</f>
        <v>0</v>
      </c>
      <c r="C3263">
        <f>_xlfn.XLOOKUP($A3263,Load!$B:$B,Load!D:D,0,)</f>
        <v>0</v>
      </c>
      <c r="D3263">
        <f>_xlfn.XLOOKUP($A3263,Load!$B:$B,Load!E:E,0,)</f>
        <v>0</v>
      </c>
      <c r="E3263">
        <f>_xlfn.XLOOKUP($A3263,Load!$B:$B,Load!F:F,0,)</f>
        <v>0</v>
      </c>
      <c r="F3263">
        <f>_xlfn.XLOOKUP($A3263,Load!$B:$B,Load!G:G,0,)</f>
        <v>0</v>
      </c>
      <c r="G3263">
        <f>_xlfn.XLOOKUP($A3263,Load!$B:$B,Load!H:H,0,)</f>
        <v>0</v>
      </c>
      <c r="H3263">
        <f>_xlfn.XLOOKUP($A3263,Load!$B:$B,Load!I:I,0,)</f>
        <v>0</v>
      </c>
      <c r="I3263">
        <f>_xlfn.XLOOKUP($A3263,Load!$B:$B,Load!J:J,0,)</f>
        <v>0</v>
      </c>
      <c r="J3263">
        <f>_xlfn.XLOOKUP($A3263,Load!$B:$B,Load!K:K,0,)</f>
        <v>0</v>
      </c>
      <c r="K3263">
        <f>_xlfn.XLOOKUP($A3263,Load!$B:$B,Load!L:L,0,)</f>
        <v>0</v>
      </c>
      <c r="L3263">
        <f>_xlfn.XLOOKUP($A3263,Load!$B:$B,Load!M:M,0,)</f>
        <v>0</v>
      </c>
    </row>
    <row r="3264" spans="1:12" x14ac:dyDescent="0.25">
      <c r="B3264">
        <f>_xlfn.XLOOKUP($A3264,Load!$B:$B,Load!C:C,0,)</f>
        <v>0</v>
      </c>
      <c r="C3264">
        <f>_xlfn.XLOOKUP($A3264,Load!$B:$B,Load!D:D,0,)</f>
        <v>0</v>
      </c>
      <c r="D3264">
        <f>_xlfn.XLOOKUP($A3264,Load!$B:$B,Load!E:E,0,)</f>
        <v>0</v>
      </c>
      <c r="E3264">
        <f>_xlfn.XLOOKUP($A3264,Load!$B:$B,Load!F:F,0,)</f>
        <v>0</v>
      </c>
      <c r="F3264">
        <f>_xlfn.XLOOKUP($A3264,Load!$B:$B,Load!G:G,0,)</f>
        <v>0</v>
      </c>
      <c r="G3264">
        <f>_xlfn.XLOOKUP($A3264,Load!$B:$B,Load!H:H,0,)</f>
        <v>0</v>
      </c>
      <c r="H3264">
        <f>_xlfn.XLOOKUP($A3264,Load!$B:$B,Load!I:I,0,)</f>
        <v>0</v>
      </c>
      <c r="I3264">
        <f>_xlfn.XLOOKUP($A3264,Load!$B:$B,Load!J:J,0,)</f>
        <v>0</v>
      </c>
      <c r="J3264">
        <f>_xlfn.XLOOKUP($A3264,Load!$B:$B,Load!K:K,0,)</f>
        <v>0</v>
      </c>
      <c r="K3264">
        <f>_xlfn.XLOOKUP($A3264,Load!$B:$B,Load!L:L,0,)</f>
        <v>0</v>
      </c>
      <c r="L3264">
        <f>_xlfn.XLOOKUP($A3264,Load!$B:$B,Load!M:M,0,)</f>
        <v>0</v>
      </c>
    </row>
    <row r="3265" spans="1:12" x14ac:dyDescent="0.25">
      <c r="B3265">
        <f>_xlfn.XLOOKUP($A3265,Load!$B:$B,Load!C:C,0,)</f>
        <v>0</v>
      </c>
      <c r="C3265">
        <f>_xlfn.XLOOKUP($A3265,Load!$B:$B,Load!D:D,0,)</f>
        <v>0</v>
      </c>
      <c r="D3265">
        <f>_xlfn.XLOOKUP($A3265,Load!$B:$B,Load!E:E,0,)</f>
        <v>0</v>
      </c>
      <c r="E3265">
        <f>_xlfn.XLOOKUP($A3265,Load!$B:$B,Load!F:F,0,)</f>
        <v>0</v>
      </c>
      <c r="F3265">
        <f>_xlfn.XLOOKUP($A3265,Load!$B:$B,Load!G:G,0,)</f>
        <v>0</v>
      </c>
      <c r="G3265">
        <f>_xlfn.XLOOKUP($A3265,Load!$B:$B,Load!H:H,0,)</f>
        <v>0</v>
      </c>
      <c r="H3265">
        <f>_xlfn.XLOOKUP($A3265,Load!$B:$B,Load!I:I,0,)</f>
        <v>0</v>
      </c>
      <c r="I3265">
        <f>_xlfn.XLOOKUP($A3265,Load!$B:$B,Load!J:J,0,)</f>
        <v>0</v>
      </c>
      <c r="J3265">
        <f>_xlfn.XLOOKUP($A3265,Load!$B:$B,Load!K:K,0,)</f>
        <v>0</v>
      </c>
      <c r="K3265">
        <f>_xlfn.XLOOKUP($A3265,Load!$B:$B,Load!L:L,0,)</f>
        <v>0</v>
      </c>
      <c r="L3265">
        <f>_xlfn.XLOOKUP($A3265,Load!$B:$B,Load!M:M,0,)</f>
        <v>0</v>
      </c>
    </row>
    <row r="3266" spans="1:12" x14ac:dyDescent="0.25">
      <c r="B3266">
        <f>_xlfn.XLOOKUP($A3266,Load!$B:$B,Load!C:C,0,)</f>
        <v>0</v>
      </c>
      <c r="C3266">
        <f>_xlfn.XLOOKUP($A3266,Load!$B:$B,Load!D:D,0,)</f>
        <v>0</v>
      </c>
      <c r="D3266">
        <f>_xlfn.XLOOKUP($A3266,Load!$B:$B,Load!E:E,0,)</f>
        <v>0</v>
      </c>
      <c r="E3266">
        <f>_xlfn.XLOOKUP($A3266,Load!$B:$B,Load!F:F,0,)</f>
        <v>0</v>
      </c>
      <c r="F3266">
        <f>_xlfn.XLOOKUP($A3266,Load!$B:$B,Load!G:G,0,)</f>
        <v>0</v>
      </c>
      <c r="G3266">
        <f>_xlfn.XLOOKUP($A3266,Load!$B:$B,Load!H:H,0,)</f>
        <v>0</v>
      </c>
      <c r="H3266">
        <f>_xlfn.XLOOKUP($A3266,Load!$B:$B,Load!I:I,0,)</f>
        <v>0</v>
      </c>
      <c r="I3266">
        <f>_xlfn.XLOOKUP($A3266,Load!$B:$B,Load!J:J,0,)</f>
        <v>0</v>
      </c>
      <c r="J3266">
        <f>_xlfn.XLOOKUP($A3266,Load!$B:$B,Load!K:K,0,)</f>
        <v>0</v>
      </c>
      <c r="K3266">
        <f>_xlfn.XLOOKUP($A3266,Load!$B:$B,Load!L:L,0,)</f>
        <v>0</v>
      </c>
      <c r="L3266">
        <f>_xlfn.XLOOKUP($A3266,Load!$B:$B,Load!M:M,0,)</f>
        <v>0</v>
      </c>
    </row>
    <row r="3267" spans="1:12" x14ac:dyDescent="0.25">
      <c r="B3267">
        <f>_xlfn.XLOOKUP($A3267,Load!$B:$B,Load!C:C,0,)</f>
        <v>0</v>
      </c>
      <c r="C3267">
        <f>_xlfn.XLOOKUP($A3267,Load!$B:$B,Load!D:D,0,)</f>
        <v>0</v>
      </c>
      <c r="D3267">
        <f>_xlfn.XLOOKUP($A3267,Load!$B:$B,Load!E:E,0,)</f>
        <v>0</v>
      </c>
      <c r="E3267">
        <f>_xlfn.XLOOKUP($A3267,Load!$B:$B,Load!F:F,0,)</f>
        <v>0</v>
      </c>
      <c r="F3267">
        <f>_xlfn.XLOOKUP($A3267,Load!$B:$B,Load!G:G,0,)</f>
        <v>0</v>
      </c>
      <c r="G3267">
        <f>_xlfn.XLOOKUP($A3267,Load!$B:$B,Load!H:H,0,)</f>
        <v>0</v>
      </c>
      <c r="H3267">
        <f>_xlfn.XLOOKUP($A3267,Load!$B:$B,Load!I:I,0,)</f>
        <v>0</v>
      </c>
      <c r="I3267">
        <f>_xlfn.XLOOKUP($A3267,Load!$B:$B,Load!J:J,0,)</f>
        <v>0</v>
      </c>
      <c r="J3267">
        <f>_xlfn.XLOOKUP($A3267,Load!$B:$B,Load!K:K,0,)</f>
        <v>0</v>
      </c>
      <c r="K3267">
        <f>_xlfn.XLOOKUP($A3267,Load!$B:$B,Load!L:L,0,)</f>
        <v>0</v>
      </c>
      <c r="L3267">
        <f>_xlfn.XLOOKUP($A3267,Load!$B:$B,Load!M:M,0,)</f>
        <v>0</v>
      </c>
    </row>
    <row r="3268" spans="1:12" x14ac:dyDescent="0.25">
      <c r="A3268" t="s">
        <v>183</v>
      </c>
      <c r="B3268" t="str">
        <f>_xlfn.XLOOKUP($A3268,Load!$B:$B,Load!C:C,0,)</f>
        <v>Mars Variety Pack</v>
      </c>
      <c r="C3268" t="str">
        <f>_xlfn.XLOOKUP($A3268,Load!$B:$B,Load!D:D,0,)</f>
        <v>Non-Chocolate Candy Only</v>
      </c>
      <c r="D3268" t="str">
        <f>_xlfn.XLOOKUP($A3268,Load!$B:$B,Load!E:E,0,)</f>
        <v>Variety / Mixed Flavors (Fruity, Sour, Seasonal Flavors)</v>
      </c>
      <c r="E3268" t="str">
        <f>_xlfn.XLOOKUP($A3268,Load!$B:$B,Load!F:F,0,)</f>
        <v>Mixed / Combo Packs (Gummy, Chewy, Taffy, etc.)</v>
      </c>
      <c r="F3268" t="str">
        <f>_xlfn.XLOOKUP($A3268,Load!$B:$B,Load!G:G,0,)</f>
        <v>Large Multipack (More than 80 ct)</v>
      </c>
      <c r="G3268" t="str">
        <f>_xlfn.XLOOKUP($A3268,Load!$B:$B,Load!H:H,0,)</f>
        <v>Stand-Up Bag</v>
      </c>
      <c r="H3268" t="str">
        <f>_xlfn.XLOOKUP($A3268,Load!$B:$B,Load!I:I,0,)</f>
        <v>Seasonal Shapes (like pumpkins, candy corn, ghost, bats, etc.)</v>
      </c>
      <c r="I3268" t="str">
        <f>_xlfn.XLOOKUP($A3268,Load!$B:$B,Load!J:J,0,)</f>
        <v>Seasonal Graphics (Like Bat, Ghost, Pumpkin, Fall Leaves, Eyeballs, etc.)</v>
      </c>
      <c r="J3268" t="str">
        <f>_xlfn.XLOOKUP($A3268,Load!$B:$B,Load!K:K,0,)</f>
        <v xml:space="preserve">Variety Candy Sizes </v>
      </c>
      <c r="K3268" t="str">
        <f>_xlfn.XLOOKUP($A3268,Load!$B:$B,Load!L:L,0,)</f>
        <v>Regular/Original Wrapping</v>
      </c>
      <c r="L3268" t="str">
        <f>_xlfn.XLOOKUP($A3268,Load!$B:$B,Load!M:M,0,)</f>
        <v>Multiple Brands / Variety Flavors or Form</v>
      </c>
    </row>
    <row r="3269" spans="1:12" x14ac:dyDescent="0.25">
      <c r="A3269" t="s">
        <v>218</v>
      </c>
      <c r="B3269" t="str">
        <f>_xlfn.XLOOKUP($A3269,Load!$B:$B,Load!C:C,0,)</f>
        <v>Mondelez Variety Pack</v>
      </c>
      <c r="C3269" t="str">
        <f>_xlfn.XLOOKUP($A3269,Load!$B:$B,Load!D:D,0,)</f>
        <v>Non-Chocolate Candy Only</v>
      </c>
      <c r="D3269" t="str">
        <f>_xlfn.XLOOKUP($A3269,Load!$B:$B,Load!E:E,0,)</f>
        <v>Sour</v>
      </c>
      <c r="E3269" t="str">
        <f>_xlfn.XLOOKUP($A3269,Load!$B:$B,Load!F:F,0,)</f>
        <v>Mixed / Combo Packs (Gummy, Chewy, Taffy, etc.)</v>
      </c>
      <c r="F3269" t="str">
        <f>_xlfn.XLOOKUP($A3269,Load!$B:$B,Load!G:G,0,)</f>
        <v>Large Multipack (More than 80 ct)</v>
      </c>
      <c r="G3269" t="str">
        <f>_xlfn.XLOOKUP($A3269,Load!$B:$B,Load!H:H,0,)</f>
        <v>Stand-Up Bag</v>
      </c>
      <c r="H3269" t="str">
        <f>_xlfn.XLOOKUP($A3269,Load!$B:$B,Load!I:I,0,)</f>
        <v>Seasonal Shapes (like pumpkins, candy corn, ghost, bats, etc.)</v>
      </c>
      <c r="I3269" t="str">
        <f>_xlfn.XLOOKUP($A3269,Load!$B:$B,Load!J:J,0,)</f>
        <v>Seasonal Graphics (Like Bat, Ghost, Pumpkin, Fall Leaves, Eyeballs, etc.)</v>
      </c>
      <c r="J3269" t="str">
        <f>_xlfn.XLOOKUP($A3269,Load!$B:$B,Load!K:K,0,)</f>
        <v>Small Pieces (Tiny bite size candies)</v>
      </c>
      <c r="K3269" t="str">
        <f>_xlfn.XLOOKUP($A3269,Load!$B:$B,Load!L:L,0,)</f>
        <v>Regular/Original Wrapping</v>
      </c>
      <c r="L3269" t="str">
        <f>_xlfn.XLOOKUP($A3269,Load!$B:$B,Load!M:M,0,)</f>
        <v>Multiple Brands / Variety Flavors or Form</v>
      </c>
    </row>
    <row r="3270" spans="1:12" x14ac:dyDescent="0.25">
      <c r="B3270">
        <f>_xlfn.XLOOKUP($A3270,Load!$B:$B,Load!C:C,0,)</f>
        <v>0</v>
      </c>
      <c r="C3270">
        <f>_xlfn.XLOOKUP($A3270,Load!$B:$B,Load!D:D,0,)</f>
        <v>0</v>
      </c>
      <c r="D3270">
        <f>_xlfn.XLOOKUP($A3270,Load!$B:$B,Load!E:E,0,)</f>
        <v>0</v>
      </c>
      <c r="E3270">
        <f>_xlfn.XLOOKUP($A3270,Load!$B:$B,Load!F:F,0,)</f>
        <v>0</v>
      </c>
      <c r="F3270">
        <f>_xlfn.XLOOKUP($A3270,Load!$B:$B,Load!G:G,0,)</f>
        <v>0</v>
      </c>
      <c r="G3270">
        <f>_xlfn.XLOOKUP($A3270,Load!$B:$B,Load!H:H,0,)</f>
        <v>0</v>
      </c>
      <c r="H3270">
        <f>_xlfn.XLOOKUP($A3270,Load!$B:$B,Load!I:I,0,)</f>
        <v>0</v>
      </c>
      <c r="I3270">
        <f>_xlfn.XLOOKUP($A3270,Load!$B:$B,Load!J:J,0,)</f>
        <v>0</v>
      </c>
      <c r="J3270">
        <f>_xlfn.XLOOKUP($A3270,Load!$B:$B,Load!K:K,0,)</f>
        <v>0</v>
      </c>
      <c r="K3270">
        <f>_xlfn.XLOOKUP($A3270,Load!$B:$B,Load!L:L,0,)</f>
        <v>0</v>
      </c>
      <c r="L3270">
        <f>_xlfn.XLOOKUP($A3270,Load!$B:$B,Load!M:M,0,)</f>
        <v>0</v>
      </c>
    </row>
    <row r="3271" spans="1:12" x14ac:dyDescent="0.25">
      <c r="B3271">
        <f>_xlfn.XLOOKUP($A3271,Load!$B:$B,Load!C:C,0,)</f>
        <v>0</v>
      </c>
      <c r="C3271">
        <f>_xlfn.XLOOKUP($A3271,Load!$B:$B,Load!D:D,0,)</f>
        <v>0</v>
      </c>
      <c r="D3271">
        <f>_xlfn.XLOOKUP($A3271,Load!$B:$B,Load!E:E,0,)</f>
        <v>0</v>
      </c>
      <c r="E3271">
        <f>_xlfn.XLOOKUP($A3271,Load!$B:$B,Load!F:F,0,)</f>
        <v>0</v>
      </c>
      <c r="F3271">
        <f>_xlfn.XLOOKUP($A3271,Load!$B:$B,Load!G:G,0,)</f>
        <v>0</v>
      </c>
      <c r="G3271">
        <f>_xlfn.XLOOKUP($A3271,Load!$B:$B,Load!H:H,0,)</f>
        <v>0</v>
      </c>
      <c r="H3271">
        <f>_xlfn.XLOOKUP($A3271,Load!$B:$B,Load!I:I,0,)</f>
        <v>0</v>
      </c>
      <c r="I3271">
        <f>_xlfn.XLOOKUP($A3271,Load!$B:$B,Load!J:J,0,)</f>
        <v>0</v>
      </c>
      <c r="J3271">
        <f>_xlfn.XLOOKUP($A3271,Load!$B:$B,Load!K:K,0,)</f>
        <v>0</v>
      </c>
      <c r="K3271">
        <f>_xlfn.XLOOKUP($A3271,Load!$B:$B,Load!L:L,0,)</f>
        <v>0</v>
      </c>
      <c r="L3271">
        <f>_xlfn.XLOOKUP($A3271,Load!$B:$B,Load!M:M,0,)</f>
        <v>0</v>
      </c>
    </row>
    <row r="3272" spans="1:12" x14ac:dyDescent="0.25">
      <c r="A3272" t="s">
        <v>16</v>
      </c>
      <c r="B3272" t="str">
        <f>_xlfn.XLOOKUP($A3272,Load!$B:$B,Load!C:C,0,)</f>
        <v>Airheads</v>
      </c>
      <c r="C3272" t="str">
        <f>_xlfn.XLOOKUP($A3272,Load!$B:$B,Load!D:D,0,)</f>
        <v>Non-Chocolate Candy Only</v>
      </c>
      <c r="D3272" t="str">
        <f>_xlfn.XLOOKUP($A3272,Load!$B:$B,Load!E:E,0,)</f>
        <v>Fruit Flavor (Cherry, Grape, Apple, Citrus, Tropical Fruit)</v>
      </c>
      <c r="E3272" t="str">
        <f>_xlfn.XLOOKUP($A3272,Load!$B:$B,Load!F:F,0,)</f>
        <v>Candy Pieces / Bites</v>
      </c>
      <c r="F3272" t="str">
        <f>_xlfn.XLOOKUP($A3272,Load!$B:$B,Load!G:G,0,)</f>
        <v>Small Multipack (Less than 40 ct)</v>
      </c>
      <c r="G3272" t="str">
        <f>_xlfn.XLOOKUP($A3272,Load!$B:$B,Load!H:H,0,)</f>
        <v>Laydown Bag</v>
      </c>
      <c r="H3272" t="str">
        <f>_xlfn.XLOOKUP($A3272,Load!$B:$B,Load!I:I,0,)</f>
        <v>Everyday Candy Shapes (like Original, Gummy bear, Fruit, Jewels, etc.)</v>
      </c>
      <c r="I3272" t="str">
        <f>_xlfn.XLOOKUP($A3272,Load!$B:$B,Load!J:J,0,)</f>
        <v>Everyday Graphics</v>
      </c>
      <c r="J3272" t="str">
        <f>_xlfn.XLOOKUP($A3272,Load!$B:$B,Load!K:K,0,)</f>
        <v>Small Pieces (Tiny bite size candies)</v>
      </c>
      <c r="K3272" t="str">
        <f>_xlfn.XLOOKUP($A3272,Load!$B:$B,Load!L:L,0,)</f>
        <v>Unwrapped</v>
      </c>
      <c r="L3272" t="str">
        <f>_xlfn.XLOOKUP($A3272,Load!$B:$B,Load!M:M,0,)</f>
        <v>Single Brand / Variety Flavors or Form</v>
      </c>
    </row>
    <row r="3273" spans="1:12" x14ac:dyDescent="0.25">
      <c r="A3273" t="s">
        <v>239</v>
      </c>
      <c r="B3273" t="str">
        <f>_xlfn.XLOOKUP($A3273,Load!$B:$B,Load!C:C,0,)</f>
        <v>Peeps</v>
      </c>
      <c r="C3273" t="str">
        <f>_xlfn.XLOOKUP($A3273,Load!$B:$B,Load!D:D,0,)</f>
        <v>Non-Chocolate Candy Only</v>
      </c>
      <c r="D3273" t="str">
        <f>_xlfn.XLOOKUP($A3273,Load!$B:$B,Load!E:E,0,)</f>
        <v>Sweet</v>
      </c>
      <c r="E3273" t="str">
        <f>_xlfn.XLOOKUP($A3273,Load!$B:$B,Load!F:F,0,)</f>
        <v>Foamy / Aerated / Freeze Dried</v>
      </c>
      <c r="F3273" t="str">
        <f>_xlfn.XLOOKUP($A3273,Load!$B:$B,Load!G:G,0,)</f>
        <v>Single Pack</v>
      </c>
      <c r="G3273" t="str">
        <f>_xlfn.XLOOKUP($A3273,Load!$B:$B,Load!H:H,0,)</f>
        <v>Box (theatre box, gift box, carton)</v>
      </c>
      <c r="H3273" t="str">
        <f>_xlfn.XLOOKUP($A3273,Load!$B:$B,Load!I:I,0,)</f>
        <v>Seasonal Shapes (like pumpkins, candy corn, ghost, bats, etc.)</v>
      </c>
      <c r="I3273" t="str">
        <f>_xlfn.XLOOKUP($A3273,Load!$B:$B,Load!J:J,0,)</f>
        <v>Seasonal Graphics (Like Bat, Ghost, Pumpkin, Fall Leaves, Eyeballs, etc.)</v>
      </c>
      <c r="J3273" t="str">
        <f>_xlfn.XLOOKUP($A3273,Load!$B:$B,Load!K:K,0,)</f>
        <v>Fun Size / Treat Size</v>
      </c>
      <c r="K3273" t="str">
        <f>_xlfn.XLOOKUP($A3273,Load!$B:$B,Load!L:L,0,)</f>
        <v>Unwrapped</v>
      </c>
      <c r="L3273" t="str">
        <f>_xlfn.XLOOKUP($A3273,Load!$B:$B,Load!M:M,0,)</f>
        <v>Single Brand / Single Flavor or Form</v>
      </c>
    </row>
    <row r="3274" spans="1:12" x14ac:dyDescent="0.25">
      <c r="A3274" t="s">
        <v>271</v>
      </c>
      <c r="B3274" t="str">
        <f>_xlfn.XLOOKUP($A3274,Load!$B:$B,Load!C:C,0,)</f>
        <v>Sour Patch Kids</v>
      </c>
      <c r="C3274" t="str">
        <f>_xlfn.XLOOKUP($A3274,Load!$B:$B,Load!D:D,0,)</f>
        <v>Non-Chocolate Candy Only</v>
      </c>
      <c r="D3274" t="str">
        <f>_xlfn.XLOOKUP($A3274,Load!$B:$B,Load!E:E,0,)</f>
        <v>Sour</v>
      </c>
      <c r="E3274" t="str">
        <f>_xlfn.XLOOKUP($A3274,Load!$B:$B,Load!F:F,0,)</f>
        <v>Chewy</v>
      </c>
      <c r="F3274" t="str">
        <f>_xlfn.XLOOKUP($A3274,Load!$B:$B,Load!G:G,0,)</f>
        <v>Medium Multipack (40–80 ct)</v>
      </c>
      <c r="G3274" t="str">
        <f>_xlfn.XLOOKUP($A3274,Load!$B:$B,Load!H:H,0,)</f>
        <v>Laydown Bag</v>
      </c>
      <c r="H3274" t="str">
        <f>_xlfn.XLOOKUP($A3274,Load!$B:$B,Load!I:I,0,)</f>
        <v>Everyday Candy Shapes (like Original, Gummy bear, Fruit, Jewels, etc.)</v>
      </c>
      <c r="I3274" t="str">
        <f>_xlfn.XLOOKUP($A3274,Load!$B:$B,Load!J:J,0,)</f>
        <v>Seasonal Graphics (Like Bat, Ghost, Pumpkin, Fall Leaves, Eyeballs, etc.)</v>
      </c>
      <c r="J3274" t="str">
        <f>_xlfn.XLOOKUP($A3274,Load!$B:$B,Load!K:K,0,)</f>
        <v>Small Pieces (Tiny bite size candies)</v>
      </c>
      <c r="K3274" t="str">
        <f>_xlfn.XLOOKUP($A3274,Load!$B:$B,Load!L:L,0,)</f>
        <v>Regular/Original Wrapping</v>
      </c>
      <c r="L3274" t="str">
        <f>_xlfn.XLOOKUP($A3274,Load!$B:$B,Load!M:M,0,)</f>
        <v>Single Brand / Variety Flavors or Form</v>
      </c>
    </row>
    <row r="3275" spans="1:12" x14ac:dyDescent="0.25">
      <c r="A3275" t="s">
        <v>237</v>
      </c>
      <c r="B3275" t="str">
        <f>_xlfn.XLOOKUP($A3275,Load!$B:$B,Load!C:C,0,)</f>
        <v>Now &amp; Later</v>
      </c>
      <c r="C3275" t="str">
        <f>_xlfn.XLOOKUP($A3275,Load!$B:$B,Load!D:D,0,)</f>
        <v>Non-Chocolate Candy Only</v>
      </c>
      <c r="D3275" t="str">
        <f>_xlfn.XLOOKUP($A3275,Load!$B:$B,Load!E:E,0,)</f>
        <v>Fruit Flavor (Cherry, Grape, Apple, Citrus, Tropical Fruit)</v>
      </c>
      <c r="E3275" t="str">
        <f>_xlfn.XLOOKUP($A3275,Load!$B:$B,Load!F:F,0,)</f>
        <v>Chewy</v>
      </c>
      <c r="F3275" t="str">
        <f>_xlfn.XLOOKUP($A3275,Load!$B:$B,Load!G:G,0,)</f>
        <v>Medium Multipack (40–80 ct)</v>
      </c>
      <c r="G3275" t="str">
        <f>_xlfn.XLOOKUP($A3275,Load!$B:$B,Load!H:H,0,)</f>
        <v>Laydown Bag</v>
      </c>
      <c r="H3275" t="str">
        <f>_xlfn.XLOOKUP($A3275,Load!$B:$B,Load!I:I,0,)</f>
        <v>Everyday Candy Shapes (like Original, Gummy bear, Fruit, Jewels, etc.)</v>
      </c>
      <c r="I3275" t="str">
        <f>_xlfn.XLOOKUP($A3275,Load!$B:$B,Load!J:J,0,)</f>
        <v>Seasonal Graphics (Like Bat, Ghost, Pumpkin, Fall Leaves, Eyeballs, etc.)</v>
      </c>
      <c r="J3275" t="str">
        <f>_xlfn.XLOOKUP($A3275,Load!$B:$B,Load!K:K,0,)</f>
        <v>Small Pieces (Tiny bite size candies)</v>
      </c>
      <c r="K3275" t="str">
        <f>_xlfn.XLOOKUP($A3275,Load!$B:$B,Load!L:L,0,)</f>
        <v>Regular/Original Wrapping</v>
      </c>
      <c r="L3275" t="str">
        <f>_xlfn.XLOOKUP($A3275,Load!$B:$B,Load!M:M,0,)</f>
        <v>Single Brand / Variety Flavors or Form</v>
      </c>
    </row>
    <row r="3276" spans="1:12" x14ac:dyDescent="0.25">
      <c r="B3276">
        <f>_xlfn.XLOOKUP($A3276,Load!$B:$B,Load!C:C,0,)</f>
        <v>0</v>
      </c>
      <c r="C3276">
        <f>_xlfn.XLOOKUP($A3276,Load!$B:$B,Load!D:D,0,)</f>
        <v>0</v>
      </c>
      <c r="D3276">
        <f>_xlfn.XLOOKUP($A3276,Load!$B:$B,Load!E:E,0,)</f>
        <v>0</v>
      </c>
      <c r="E3276">
        <f>_xlfn.XLOOKUP($A3276,Load!$B:$B,Load!F:F,0,)</f>
        <v>0</v>
      </c>
      <c r="F3276">
        <f>_xlfn.XLOOKUP($A3276,Load!$B:$B,Load!G:G,0,)</f>
        <v>0</v>
      </c>
      <c r="G3276">
        <f>_xlfn.XLOOKUP($A3276,Load!$B:$B,Load!H:H,0,)</f>
        <v>0</v>
      </c>
      <c r="H3276">
        <f>_xlfn.XLOOKUP($A3276,Load!$B:$B,Load!I:I,0,)</f>
        <v>0</v>
      </c>
      <c r="I3276">
        <f>_xlfn.XLOOKUP($A3276,Load!$B:$B,Load!J:J,0,)</f>
        <v>0</v>
      </c>
      <c r="J3276">
        <f>_xlfn.XLOOKUP($A3276,Load!$B:$B,Load!K:K,0,)</f>
        <v>0</v>
      </c>
      <c r="K3276">
        <f>_xlfn.XLOOKUP($A3276,Load!$B:$B,Load!L:L,0,)</f>
        <v>0</v>
      </c>
      <c r="L3276">
        <f>_xlfn.XLOOKUP($A3276,Load!$B:$B,Load!M:M,0,)</f>
        <v>0</v>
      </c>
    </row>
    <row r="3277" spans="1:12" x14ac:dyDescent="0.25">
      <c r="B3277">
        <f>_xlfn.XLOOKUP($A3277,Load!$B:$B,Load!C:C,0,)</f>
        <v>0</v>
      </c>
      <c r="C3277">
        <f>_xlfn.XLOOKUP($A3277,Load!$B:$B,Load!D:D,0,)</f>
        <v>0</v>
      </c>
      <c r="D3277">
        <f>_xlfn.XLOOKUP($A3277,Load!$B:$B,Load!E:E,0,)</f>
        <v>0</v>
      </c>
      <c r="E3277">
        <f>_xlfn.XLOOKUP($A3277,Load!$B:$B,Load!F:F,0,)</f>
        <v>0</v>
      </c>
      <c r="F3277">
        <f>_xlfn.XLOOKUP($A3277,Load!$B:$B,Load!G:G,0,)</f>
        <v>0</v>
      </c>
      <c r="G3277">
        <f>_xlfn.XLOOKUP($A3277,Load!$B:$B,Load!H:H,0,)</f>
        <v>0</v>
      </c>
      <c r="H3277">
        <f>_xlfn.XLOOKUP($A3277,Load!$B:$B,Load!I:I,0,)</f>
        <v>0</v>
      </c>
      <c r="I3277">
        <f>_xlfn.XLOOKUP($A3277,Load!$B:$B,Load!J:J,0,)</f>
        <v>0</v>
      </c>
      <c r="J3277">
        <f>_xlfn.XLOOKUP($A3277,Load!$B:$B,Load!K:K,0,)</f>
        <v>0</v>
      </c>
      <c r="K3277">
        <f>_xlfn.XLOOKUP($A3277,Load!$B:$B,Load!L:L,0,)</f>
        <v>0</v>
      </c>
      <c r="L3277">
        <f>_xlfn.XLOOKUP($A3277,Load!$B:$B,Load!M:M,0,)</f>
        <v>0</v>
      </c>
    </row>
    <row r="3278" spans="1:12" x14ac:dyDescent="0.25">
      <c r="B3278">
        <f>_xlfn.XLOOKUP($A3278,Load!$B:$B,Load!C:C,0,)</f>
        <v>0</v>
      </c>
      <c r="C3278">
        <f>_xlfn.XLOOKUP($A3278,Load!$B:$B,Load!D:D,0,)</f>
        <v>0</v>
      </c>
      <c r="D3278">
        <f>_xlfn.XLOOKUP($A3278,Load!$B:$B,Load!E:E,0,)</f>
        <v>0</v>
      </c>
      <c r="E3278">
        <f>_xlfn.XLOOKUP($A3278,Load!$B:$B,Load!F:F,0,)</f>
        <v>0</v>
      </c>
      <c r="F3278">
        <f>_xlfn.XLOOKUP($A3278,Load!$B:$B,Load!G:G,0,)</f>
        <v>0</v>
      </c>
      <c r="G3278">
        <f>_xlfn.XLOOKUP($A3278,Load!$B:$B,Load!H:H,0,)</f>
        <v>0</v>
      </c>
      <c r="H3278">
        <f>_xlfn.XLOOKUP($A3278,Load!$B:$B,Load!I:I,0,)</f>
        <v>0</v>
      </c>
      <c r="I3278">
        <f>_xlfn.XLOOKUP($A3278,Load!$B:$B,Load!J:J,0,)</f>
        <v>0</v>
      </c>
      <c r="J3278">
        <f>_xlfn.XLOOKUP($A3278,Load!$B:$B,Load!K:K,0,)</f>
        <v>0</v>
      </c>
      <c r="K3278">
        <f>_xlfn.XLOOKUP($A3278,Load!$B:$B,Load!L:L,0,)</f>
        <v>0</v>
      </c>
      <c r="L3278">
        <f>_xlfn.XLOOKUP($A3278,Load!$B:$B,Load!M:M,0,)</f>
        <v>0</v>
      </c>
    </row>
    <row r="3279" spans="1:12" x14ac:dyDescent="0.25">
      <c r="B3279">
        <f>_xlfn.XLOOKUP($A3279,Load!$B:$B,Load!C:C,0,)</f>
        <v>0</v>
      </c>
      <c r="C3279">
        <f>_xlfn.XLOOKUP($A3279,Load!$B:$B,Load!D:D,0,)</f>
        <v>0</v>
      </c>
      <c r="D3279">
        <f>_xlfn.XLOOKUP($A3279,Load!$B:$B,Load!E:E,0,)</f>
        <v>0</v>
      </c>
      <c r="E3279">
        <f>_xlfn.XLOOKUP($A3279,Load!$B:$B,Load!F:F,0,)</f>
        <v>0</v>
      </c>
      <c r="F3279">
        <f>_xlfn.XLOOKUP($A3279,Load!$B:$B,Load!G:G,0,)</f>
        <v>0</v>
      </c>
      <c r="G3279">
        <f>_xlfn.XLOOKUP($A3279,Load!$B:$B,Load!H:H,0,)</f>
        <v>0</v>
      </c>
      <c r="H3279">
        <f>_xlfn.XLOOKUP($A3279,Load!$B:$B,Load!I:I,0,)</f>
        <v>0</v>
      </c>
      <c r="I3279">
        <f>_xlfn.XLOOKUP($A3279,Load!$B:$B,Load!J:J,0,)</f>
        <v>0</v>
      </c>
      <c r="J3279">
        <f>_xlfn.XLOOKUP($A3279,Load!$B:$B,Load!K:K,0,)</f>
        <v>0</v>
      </c>
      <c r="K3279">
        <f>_xlfn.XLOOKUP($A3279,Load!$B:$B,Load!L:L,0,)</f>
        <v>0</v>
      </c>
      <c r="L3279">
        <f>_xlfn.XLOOKUP($A3279,Load!$B:$B,Load!M:M,0,)</f>
        <v>0</v>
      </c>
    </row>
    <row r="3280" spans="1:12" x14ac:dyDescent="0.25">
      <c r="A3280" t="s">
        <v>261</v>
      </c>
      <c r="B3280" t="str">
        <f>_xlfn.XLOOKUP($A3280,Load!$B:$B,Load!C:C,0,)</f>
        <v>Skittles</v>
      </c>
      <c r="C3280" t="str">
        <f>_xlfn.XLOOKUP($A3280,Load!$B:$B,Load!D:D,0,)</f>
        <v>Non-Chocolate Candy Only</v>
      </c>
      <c r="D3280" t="str">
        <f>_xlfn.XLOOKUP($A3280,Load!$B:$B,Load!E:E,0,)</f>
        <v>Fruit Flavor (Cherry, Grape, Apple, Citrus, Tropical Fruit)</v>
      </c>
      <c r="E3280" t="str">
        <f>_xlfn.XLOOKUP($A3280,Load!$B:$B,Load!F:F,0,)</f>
        <v>Candy Pieces / Bites</v>
      </c>
      <c r="F3280" t="str">
        <f>_xlfn.XLOOKUP($A3280,Load!$B:$B,Load!G:G,0,)</f>
        <v>Single Pack</v>
      </c>
      <c r="G3280" t="str">
        <f>_xlfn.XLOOKUP($A3280,Load!$B:$B,Load!H:H,0,)</f>
        <v>Laydown Bag</v>
      </c>
      <c r="H3280" t="str">
        <f>_xlfn.XLOOKUP($A3280,Load!$B:$B,Load!I:I,0,)</f>
        <v>Everyday Candy Shapes (like Original, Gummy bear, Fruit, Jewels, etc.)</v>
      </c>
      <c r="I3280" t="str">
        <f>_xlfn.XLOOKUP($A3280,Load!$B:$B,Load!J:J,0,)</f>
        <v>Everyday Graphics</v>
      </c>
      <c r="J3280" t="str">
        <f>_xlfn.XLOOKUP($A3280,Load!$B:$B,Load!K:K,0,)</f>
        <v>Small Pieces (Tiny bite size candies)</v>
      </c>
      <c r="K3280" t="str">
        <f>_xlfn.XLOOKUP($A3280,Load!$B:$B,Load!L:L,0,)</f>
        <v>Unwrapped</v>
      </c>
      <c r="L3280" t="str">
        <f>_xlfn.XLOOKUP($A3280,Load!$B:$B,Load!M:M,0,)</f>
        <v>Single Brand / Single Flavor or Form</v>
      </c>
    </row>
    <row r="3281" spans="1:12" x14ac:dyDescent="0.25">
      <c r="B3281">
        <f>_xlfn.XLOOKUP($A3281,Load!$B:$B,Load!C:C,0,)</f>
        <v>0</v>
      </c>
      <c r="C3281">
        <f>_xlfn.XLOOKUP($A3281,Load!$B:$B,Load!D:D,0,)</f>
        <v>0</v>
      </c>
      <c r="D3281">
        <f>_xlfn.XLOOKUP($A3281,Load!$B:$B,Load!E:E,0,)</f>
        <v>0</v>
      </c>
      <c r="E3281">
        <f>_xlfn.XLOOKUP($A3281,Load!$B:$B,Load!F:F,0,)</f>
        <v>0</v>
      </c>
      <c r="F3281">
        <f>_xlfn.XLOOKUP($A3281,Load!$B:$B,Load!G:G,0,)</f>
        <v>0</v>
      </c>
      <c r="G3281">
        <f>_xlfn.XLOOKUP($A3281,Load!$B:$B,Load!H:H,0,)</f>
        <v>0</v>
      </c>
      <c r="H3281">
        <f>_xlfn.XLOOKUP($A3281,Load!$B:$B,Load!I:I,0,)</f>
        <v>0</v>
      </c>
      <c r="I3281">
        <f>_xlfn.XLOOKUP($A3281,Load!$B:$B,Load!J:J,0,)</f>
        <v>0</v>
      </c>
      <c r="J3281">
        <f>_xlfn.XLOOKUP($A3281,Load!$B:$B,Load!K:K,0,)</f>
        <v>0</v>
      </c>
      <c r="K3281">
        <f>_xlfn.XLOOKUP($A3281,Load!$B:$B,Load!L:L,0,)</f>
        <v>0</v>
      </c>
      <c r="L3281">
        <f>_xlfn.XLOOKUP($A3281,Load!$B:$B,Load!M:M,0,)</f>
        <v>0</v>
      </c>
    </row>
    <row r="3282" spans="1:12" x14ac:dyDescent="0.25">
      <c r="B3282">
        <f>_xlfn.XLOOKUP($A3282,Load!$B:$B,Load!C:C,0,)</f>
        <v>0</v>
      </c>
      <c r="C3282">
        <f>_xlfn.XLOOKUP($A3282,Load!$B:$B,Load!D:D,0,)</f>
        <v>0</v>
      </c>
      <c r="D3282">
        <f>_xlfn.XLOOKUP($A3282,Load!$B:$B,Load!E:E,0,)</f>
        <v>0</v>
      </c>
      <c r="E3282">
        <f>_xlfn.XLOOKUP($A3282,Load!$B:$B,Load!F:F,0,)</f>
        <v>0</v>
      </c>
      <c r="F3282">
        <f>_xlfn.XLOOKUP($A3282,Load!$B:$B,Load!G:G,0,)</f>
        <v>0</v>
      </c>
      <c r="G3282">
        <f>_xlfn.XLOOKUP($A3282,Load!$B:$B,Load!H:H,0,)</f>
        <v>0</v>
      </c>
      <c r="H3282">
        <f>_xlfn.XLOOKUP($A3282,Load!$B:$B,Load!I:I,0,)</f>
        <v>0</v>
      </c>
      <c r="I3282">
        <f>_xlfn.XLOOKUP($A3282,Load!$B:$B,Load!J:J,0,)</f>
        <v>0</v>
      </c>
      <c r="J3282">
        <f>_xlfn.XLOOKUP($A3282,Load!$B:$B,Load!K:K,0,)</f>
        <v>0</v>
      </c>
      <c r="K3282">
        <f>_xlfn.XLOOKUP($A3282,Load!$B:$B,Load!L:L,0,)</f>
        <v>0</v>
      </c>
      <c r="L3282">
        <f>_xlfn.XLOOKUP($A3282,Load!$B:$B,Load!M:M,0,)</f>
        <v>0</v>
      </c>
    </row>
    <row r="3283" spans="1:12" x14ac:dyDescent="0.25">
      <c r="B3283">
        <f>_xlfn.XLOOKUP($A3283,Load!$B:$B,Load!C:C,0,)</f>
        <v>0</v>
      </c>
      <c r="C3283">
        <f>_xlfn.XLOOKUP($A3283,Load!$B:$B,Load!D:D,0,)</f>
        <v>0</v>
      </c>
      <c r="D3283">
        <f>_xlfn.XLOOKUP($A3283,Load!$B:$B,Load!E:E,0,)</f>
        <v>0</v>
      </c>
      <c r="E3283">
        <f>_xlfn.XLOOKUP($A3283,Load!$B:$B,Load!F:F,0,)</f>
        <v>0</v>
      </c>
      <c r="F3283">
        <f>_xlfn.XLOOKUP($A3283,Load!$B:$B,Load!G:G,0,)</f>
        <v>0</v>
      </c>
      <c r="G3283">
        <f>_xlfn.XLOOKUP($A3283,Load!$B:$B,Load!H:H,0,)</f>
        <v>0</v>
      </c>
      <c r="H3283">
        <f>_xlfn.XLOOKUP($A3283,Load!$B:$B,Load!I:I,0,)</f>
        <v>0</v>
      </c>
      <c r="I3283">
        <f>_xlfn.XLOOKUP($A3283,Load!$B:$B,Load!J:J,0,)</f>
        <v>0</v>
      </c>
      <c r="J3283">
        <f>_xlfn.XLOOKUP($A3283,Load!$B:$B,Load!K:K,0,)</f>
        <v>0</v>
      </c>
      <c r="K3283">
        <f>_xlfn.XLOOKUP($A3283,Load!$B:$B,Load!L:L,0,)</f>
        <v>0</v>
      </c>
      <c r="L3283">
        <f>_xlfn.XLOOKUP($A3283,Load!$B:$B,Load!M:M,0,)</f>
        <v>0</v>
      </c>
    </row>
    <row r="3284" spans="1:12" x14ac:dyDescent="0.25">
      <c r="A3284" t="s">
        <v>122</v>
      </c>
      <c r="B3284" t="str">
        <f>_xlfn.XLOOKUP($A3284,Load!$B:$B,Load!C:C,0,)</f>
        <v>HARIBO</v>
      </c>
      <c r="C3284" t="str">
        <f>_xlfn.XLOOKUP($A3284,Load!$B:$B,Load!D:D,0,)</f>
        <v>Non-Chocolate Candy Only</v>
      </c>
      <c r="D3284" t="str">
        <f>_xlfn.XLOOKUP($A3284,Load!$B:$B,Load!E:E,0,)</f>
        <v>Variety / Mixed Flavors (Fruity, Sour, Seasonal Flavors)</v>
      </c>
      <c r="E3284" t="str">
        <f>_xlfn.XLOOKUP($A3284,Load!$B:$B,Load!F:F,0,)</f>
        <v>Gummy</v>
      </c>
      <c r="F3284" t="str">
        <f>_xlfn.XLOOKUP($A3284,Load!$B:$B,Load!G:G,0,)</f>
        <v>Medium Multipack (40–80 ct)</v>
      </c>
      <c r="G3284" t="str">
        <f>_xlfn.XLOOKUP($A3284,Load!$B:$B,Load!H:H,0,)</f>
        <v>Laydown Bag</v>
      </c>
      <c r="H3284" t="str">
        <f>_xlfn.XLOOKUP($A3284,Load!$B:$B,Load!I:I,0,)</f>
        <v>Seasonal Shapes (like pumpkins, candy corn, ghost, bats, etc.)</v>
      </c>
      <c r="I3284" t="str">
        <f>_xlfn.XLOOKUP($A3284,Load!$B:$B,Load!J:J,0,)</f>
        <v>Seasonal Graphics (Like Bat, Ghost, Pumpkin, Fall Leaves, Eyeballs, etc.)</v>
      </c>
      <c r="J3284" t="str">
        <f>_xlfn.XLOOKUP($A3284,Load!$B:$B,Load!K:K,0,)</f>
        <v>Small Pieces (Tiny bite size candies)</v>
      </c>
      <c r="K3284" t="str">
        <f>_xlfn.XLOOKUP($A3284,Load!$B:$B,Load!L:L,0,)</f>
        <v>Regular/Original Wrapping</v>
      </c>
      <c r="L3284" t="str">
        <f>_xlfn.XLOOKUP($A3284,Load!$B:$B,Load!M:M,0,)</f>
        <v>Multiple Brands / Variety Flavors or Form</v>
      </c>
    </row>
    <row r="3285" spans="1:12" x14ac:dyDescent="0.25">
      <c r="B3285">
        <f>_xlfn.XLOOKUP($A3285,Load!$B:$B,Load!C:C,0,)</f>
        <v>0</v>
      </c>
      <c r="C3285">
        <f>_xlfn.XLOOKUP($A3285,Load!$B:$B,Load!D:D,0,)</f>
        <v>0</v>
      </c>
      <c r="D3285">
        <f>_xlfn.XLOOKUP($A3285,Load!$B:$B,Load!E:E,0,)</f>
        <v>0</v>
      </c>
      <c r="E3285">
        <f>_xlfn.XLOOKUP($A3285,Load!$B:$B,Load!F:F,0,)</f>
        <v>0</v>
      </c>
      <c r="F3285">
        <f>_xlfn.XLOOKUP($A3285,Load!$B:$B,Load!G:G,0,)</f>
        <v>0</v>
      </c>
      <c r="G3285">
        <f>_xlfn.XLOOKUP($A3285,Load!$B:$B,Load!H:H,0,)</f>
        <v>0</v>
      </c>
      <c r="H3285">
        <f>_xlfn.XLOOKUP($A3285,Load!$B:$B,Load!I:I,0,)</f>
        <v>0</v>
      </c>
      <c r="I3285">
        <f>_xlfn.XLOOKUP($A3285,Load!$B:$B,Load!J:J,0,)</f>
        <v>0</v>
      </c>
      <c r="J3285">
        <f>_xlfn.XLOOKUP($A3285,Load!$B:$B,Load!K:K,0,)</f>
        <v>0</v>
      </c>
      <c r="K3285">
        <f>_xlfn.XLOOKUP($A3285,Load!$B:$B,Load!L:L,0,)</f>
        <v>0</v>
      </c>
      <c r="L3285">
        <f>_xlfn.XLOOKUP($A3285,Load!$B:$B,Load!M:M,0,)</f>
        <v>0</v>
      </c>
    </row>
    <row r="3286" spans="1:12" x14ac:dyDescent="0.25">
      <c r="A3286" t="s">
        <v>79</v>
      </c>
      <c r="B3286" t="str">
        <f>_xlfn.XLOOKUP($A3286,Load!$B:$B,Load!C:C,0,)</f>
        <v>Ferrara Variety Pack</v>
      </c>
      <c r="C3286" t="str">
        <f>_xlfn.XLOOKUP($A3286,Load!$B:$B,Load!D:D,0,)</f>
        <v>Non-Chocolate Candy Only</v>
      </c>
      <c r="D3286" t="str">
        <f>_xlfn.XLOOKUP($A3286,Load!$B:$B,Load!E:E,0,)</f>
        <v>Variety / Mixed Flavors (Fruity, Sour, Seasonal Flavors)</v>
      </c>
      <c r="E3286" t="str">
        <f>_xlfn.XLOOKUP($A3286,Load!$B:$B,Load!F:F,0,)</f>
        <v>Mixed / Combo Packs (Gummy, Chewy, Taffy, etc.)</v>
      </c>
      <c r="F3286" t="str">
        <f>_xlfn.XLOOKUP($A3286,Load!$B:$B,Load!G:G,0,)</f>
        <v>Large Multipack (More than 80 ct)</v>
      </c>
      <c r="G3286" t="str">
        <f>_xlfn.XLOOKUP($A3286,Load!$B:$B,Load!H:H,0,)</f>
        <v>Stand-Up Bag</v>
      </c>
      <c r="H3286" t="str">
        <f>_xlfn.XLOOKUP($A3286,Load!$B:$B,Load!I:I,0,)</f>
        <v>Everyday Candy Shapes (like Original, Gummy bear, Fruit, Jewels, etc.)</v>
      </c>
      <c r="I3286" t="str">
        <f>_xlfn.XLOOKUP($A3286,Load!$B:$B,Load!J:J,0,)</f>
        <v>Seasonal Graphics (Like Bat, Ghost, Pumpkin, Fall Leaves, Eyeballs, etc.)</v>
      </c>
      <c r="J3286" t="str">
        <f>_xlfn.XLOOKUP($A3286,Load!$B:$B,Load!K:K,0,)</f>
        <v xml:space="preserve">Variety Candy Sizes </v>
      </c>
      <c r="K3286" t="str">
        <f>_xlfn.XLOOKUP($A3286,Load!$B:$B,Load!L:L,0,)</f>
        <v>Regular/Original Wrapping</v>
      </c>
      <c r="L3286" t="str">
        <f>_xlfn.XLOOKUP($A3286,Load!$B:$B,Load!M:M,0,)</f>
        <v>Multiple Brands / Variety Flavors or Form</v>
      </c>
    </row>
    <row r="3287" spans="1:12" x14ac:dyDescent="0.25">
      <c r="A3287" t="s">
        <v>107</v>
      </c>
      <c r="B3287" t="str">
        <f>_xlfn.XLOOKUP($A3287,Load!$B:$B,Load!C:C,0,)</f>
        <v>Frankford</v>
      </c>
      <c r="C3287" t="str">
        <f>_xlfn.XLOOKUP($A3287,Load!$B:$B,Load!D:D,0,)</f>
        <v>Non-Chocolate Candy Only</v>
      </c>
      <c r="D3287" t="str">
        <f>_xlfn.XLOOKUP($A3287,Load!$B:$B,Load!E:E,0,)</f>
        <v>Variety / Mixed Flavors (Fruity, Sour, Seasonal Flavors)</v>
      </c>
      <c r="E3287" t="str">
        <f>_xlfn.XLOOKUP($A3287,Load!$B:$B,Load!F:F,0,)</f>
        <v>Mixed / Combo Packs (Gummy, Chewy, Taffy, etc.)</v>
      </c>
      <c r="F3287" t="str">
        <f>_xlfn.XLOOKUP($A3287,Load!$B:$B,Load!G:G,0,)</f>
        <v>Large Multipack (More than 80 ct)</v>
      </c>
      <c r="G3287" t="str">
        <f>_xlfn.XLOOKUP($A3287,Load!$B:$B,Load!H:H,0,)</f>
        <v>Laydown Bag</v>
      </c>
      <c r="H3287" t="str">
        <f>_xlfn.XLOOKUP($A3287,Load!$B:$B,Load!I:I,0,)</f>
        <v>Everyday Candy Shapes (like Original, Gummy bear, Fruit, Jewels, etc.)</v>
      </c>
      <c r="I3287" t="str">
        <f>_xlfn.XLOOKUP($A3287,Load!$B:$B,Load!J:J,0,)</f>
        <v>Seasonal Graphics (Like Bat, Ghost, Pumpkin, Fall Leaves, Eyeballs, etc.)</v>
      </c>
      <c r="J3287" t="str">
        <f>_xlfn.XLOOKUP($A3287,Load!$B:$B,Load!K:K,0,)</f>
        <v xml:space="preserve">Variety Candy Sizes </v>
      </c>
      <c r="K3287" t="str">
        <f>_xlfn.XLOOKUP($A3287,Load!$B:$B,Load!L:L,0,)</f>
        <v>Regular/Original Wrapping</v>
      </c>
      <c r="L3287" t="str">
        <f>_xlfn.XLOOKUP($A3287,Load!$B:$B,Load!M:M,0,)</f>
        <v>Multiple Brands / Variety Flavors or Form</v>
      </c>
    </row>
    <row r="3288" spans="1:12" x14ac:dyDescent="0.25">
      <c r="B3288">
        <f>_xlfn.XLOOKUP($A3288,Load!$B:$B,Load!C:C,0,)</f>
        <v>0</v>
      </c>
      <c r="C3288">
        <f>_xlfn.XLOOKUP($A3288,Load!$B:$B,Load!D:D,0,)</f>
        <v>0</v>
      </c>
      <c r="D3288">
        <f>_xlfn.XLOOKUP($A3288,Load!$B:$B,Load!E:E,0,)</f>
        <v>0</v>
      </c>
      <c r="E3288">
        <f>_xlfn.XLOOKUP($A3288,Load!$B:$B,Load!F:F,0,)</f>
        <v>0</v>
      </c>
      <c r="F3288">
        <f>_xlfn.XLOOKUP($A3288,Load!$B:$B,Load!G:G,0,)</f>
        <v>0</v>
      </c>
      <c r="G3288">
        <f>_xlfn.XLOOKUP($A3288,Load!$B:$B,Load!H:H,0,)</f>
        <v>0</v>
      </c>
      <c r="H3288">
        <f>_xlfn.XLOOKUP($A3288,Load!$B:$B,Load!I:I,0,)</f>
        <v>0</v>
      </c>
      <c r="I3288">
        <f>_xlfn.XLOOKUP($A3288,Load!$B:$B,Load!J:J,0,)</f>
        <v>0</v>
      </c>
      <c r="J3288">
        <f>_xlfn.XLOOKUP($A3288,Load!$B:$B,Load!K:K,0,)</f>
        <v>0</v>
      </c>
      <c r="K3288">
        <f>_xlfn.XLOOKUP($A3288,Load!$B:$B,Load!L:L,0,)</f>
        <v>0</v>
      </c>
      <c r="L3288">
        <f>_xlfn.XLOOKUP($A3288,Load!$B:$B,Load!M:M,0,)</f>
        <v>0</v>
      </c>
    </row>
    <row r="3289" spans="1:12" x14ac:dyDescent="0.25">
      <c r="B3289">
        <f>_xlfn.XLOOKUP($A3289,Load!$B:$B,Load!C:C,0,)</f>
        <v>0</v>
      </c>
      <c r="C3289">
        <f>_xlfn.XLOOKUP($A3289,Load!$B:$B,Load!D:D,0,)</f>
        <v>0</v>
      </c>
      <c r="D3289">
        <f>_xlfn.XLOOKUP($A3289,Load!$B:$B,Load!E:E,0,)</f>
        <v>0</v>
      </c>
      <c r="E3289">
        <f>_xlfn.XLOOKUP($A3289,Load!$B:$B,Load!F:F,0,)</f>
        <v>0</v>
      </c>
      <c r="F3289">
        <f>_xlfn.XLOOKUP($A3289,Load!$B:$B,Load!G:G,0,)</f>
        <v>0</v>
      </c>
      <c r="G3289">
        <f>_xlfn.XLOOKUP($A3289,Load!$B:$B,Load!H:H,0,)</f>
        <v>0</v>
      </c>
      <c r="H3289">
        <f>_xlfn.XLOOKUP($A3289,Load!$B:$B,Load!I:I,0,)</f>
        <v>0</v>
      </c>
      <c r="I3289">
        <f>_xlfn.XLOOKUP($A3289,Load!$B:$B,Load!J:J,0,)</f>
        <v>0</v>
      </c>
      <c r="J3289">
        <f>_xlfn.XLOOKUP($A3289,Load!$B:$B,Load!K:K,0,)</f>
        <v>0</v>
      </c>
      <c r="K3289">
        <f>_xlfn.XLOOKUP($A3289,Load!$B:$B,Load!L:L,0,)</f>
        <v>0</v>
      </c>
      <c r="L3289">
        <f>_xlfn.XLOOKUP($A3289,Load!$B:$B,Load!M:M,0,)</f>
        <v>0</v>
      </c>
    </row>
    <row r="3290" spans="1:12" x14ac:dyDescent="0.25">
      <c r="B3290">
        <f>_xlfn.XLOOKUP($A3290,Load!$B:$B,Load!C:C,0,)</f>
        <v>0</v>
      </c>
      <c r="C3290">
        <f>_xlfn.XLOOKUP($A3290,Load!$B:$B,Load!D:D,0,)</f>
        <v>0</v>
      </c>
      <c r="D3290">
        <f>_xlfn.XLOOKUP($A3290,Load!$B:$B,Load!E:E,0,)</f>
        <v>0</v>
      </c>
      <c r="E3290">
        <f>_xlfn.XLOOKUP($A3290,Load!$B:$B,Load!F:F,0,)</f>
        <v>0</v>
      </c>
      <c r="F3290">
        <f>_xlfn.XLOOKUP($A3290,Load!$B:$B,Load!G:G,0,)</f>
        <v>0</v>
      </c>
      <c r="G3290">
        <f>_xlfn.XLOOKUP($A3290,Load!$B:$B,Load!H:H,0,)</f>
        <v>0</v>
      </c>
      <c r="H3290">
        <f>_xlfn.XLOOKUP($A3290,Load!$B:$B,Load!I:I,0,)</f>
        <v>0</v>
      </c>
      <c r="I3290">
        <f>_xlfn.XLOOKUP($A3290,Load!$B:$B,Load!J:J,0,)</f>
        <v>0</v>
      </c>
      <c r="J3290">
        <f>_xlfn.XLOOKUP($A3290,Load!$B:$B,Load!K:K,0,)</f>
        <v>0</v>
      </c>
      <c r="K3290">
        <f>_xlfn.XLOOKUP($A3290,Load!$B:$B,Load!L:L,0,)</f>
        <v>0</v>
      </c>
      <c r="L3290">
        <f>_xlfn.XLOOKUP($A3290,Load!$B:$B,Load!M:M,0,)</f>
        <v>0</v>
      </c>
    </row>
    <row r="3291" spans="1:12" x14ac:dyDescent="0.25">
      <c r="B3291">
        <f>_xlfn.XLOOKUP($A3291,Load!$B:$B,Load!C:C,0,)</f>
        <v>0</v>
      </c>
      <c r="C3291">
        <f>_xlfn.XLOOKUP($A3291,Load!$B:$B,Load!D:D,0,)</f>
        <v>0</v>
      </c>
      <c r="D3291">
        <f>_xlfn.XLOOKUP($A3291,Load!$B:$B,Load!E:E,0,)</f>
        <v>0</v>
      </c>
      <c r="E3291">
        <f>_xlfn.XLOOKUP($A3291,Load!$B:$B,Load!F:F,0,)</f>
        <v>0</v>
      </c>
      <c r="F3291">
        <f>_xlfn.XLOOKUP($A3291,Load!$B:$B,Load!G:G,0,)</f>
        <v>0</v>
      </c>
      <c r="G3291">
        <f>_xlfn.XLOOKUP($A3291,Load!$B:$B,Load!H:H,0,)</f>
        <v>0</v>
      </c>
      <c r="H3291">
        <f>_xlfn.XLOOKUP($A3291,Load!$B:$B,Load!I:I,0,)</f>
        <v>0</v>
      </c>
      <c r="I3291">
        <f>_xlfn.XLOOKUP($A3291,Load!$B:$B,Load!J:J,0,)</f>
        <v>0</v>
      </c>
      <c r="J3291">
        <f>_xlfn.XLOOKUP($A3291,Load!$B:$B,Load!K:K,0,)</f>
        <v>0</v>
      </c>
      <c r="K3291">
        <f>_xlfn.XLOOKUP($A3291,Load!$B:$B,Load!L:L,0,)</f>
        <v>0</v>
      </c>
      <c r="L3291">
        <f>_xlfn.XLOOKUP($A3291,Load!$B:$B,Load!M:M,0,)</f>
        <v>0</v>
      </c>
    </row>
    <row r="3292" spans="1:12" x14ac:dyDescent="0.25">
      <c r="B3292">
        <f>_xlfn.XLOOKUP($A3292,Load!$B:$B,Load!C:C,0,)</f>
        <v>0</v>
      </c>
      <c r="C3292">
        <f>_xlfn.XLOOKUP($A3292,Load!$B:$B,Load!D:D,0,)</f>
        <v>0</v>
      </c>
      <c r="D3292">
        <f>_xlfn.XLOOKUP($A3292,Load!$B:$B,Load!E:E,0,)</f>
        <v>0</v>
      </c>
      <c r="E3292">
        <f>_xlfn.XLOOKUP($A3292,Load!$B:$B,Load!F:F,0,)</f>
        <v>0</v>
      </c>
      <c r="F3292">
        <f>_xlfn.XLOOKUP($A3292,Load!$B:$B,Load!G:G,0,)</f>
        <v>0</v>
      </c>
      <c r="G3292">
        <f>_xlfn.XLOOKUP($A3292,Load!$B:$B,Load!H:H,0,)</f>
        <v>0</v>
      </c>
      <c r="H3292">
        <f>_xlfn.XLOOKUP($A3292,Load!$B:$B,Load!I:I,0,)</f>
        <v>0</v>
      </c>
      <c r="I3292">
        <f>_xlfn.XLOOKUP($A3292,Load!$B:$B,Load!J:J,0,)</f>
        <v>0</v>
      </c>
      <c r="J3292">
        <f>_xlfn.XLOOKUP($A3292,Load!$B:$B,Load!K:K,0,)</f>
        <v>0</v>
      </c>
      <c r="K3292">
        <f>_xlfn.XLOOKUP($A3292,Load!$B:$B,Load!L:L,0,)</f>
        <v>0</v>
      </c>
      <c r="L3292">
        <f>_xlfn.XLOOKUP($A3292,Load!$B:$B,Load!M:M,0,)</f>
        <v>0</v>
      </c>
    </row>
    <row r="3293" spans="1:12" x14ac:dyDescent="0.25">
      <c r="B3293">
        <f>_xlfn.XLOOKUP($A3293,Load!$B:$B,Load!C:C,0,)</f>
        <v>0</v>
      </c>
      <c r="C3293">
        <f>_xlfn.XLOOKUP($A3293,Load!$B:$B,Load!D:D,0,)</f>
        <v>0</v>
      </c>
      <c r="D3293">
        <f>_xlfn.XLOOKUP($A3293,Load!$B:$B,Load!E:E,0,)</f>
        <v>0</v>
      </c>
      <c r="E3293">
        <f>_xlfn.XLOOKUP($A3293,Load!$B:$B,Load!F:F,0,)</f>
        <v>0</v>
      </c>
      <c r="F3293">
        <f>_xlfn.XLOOKUP($A3293,Load!$B:$B,Load!G:G,0,)</f>
        <v>0</v>
      </c>
      <c r="G3293">
        <f>_xlfn.XLOOKUP($A3293,Load!$B:$B,Load!H:H,0,)</f>
        <v>0</v>
      </c>
      <c r="H3293">
        <f>_xlfn.XLOOKUP($A3293,Load!$B:$B,Load!I:I,0,)</f>
        <v>0</v>
      </c>
      <c r="I3293">
        <f>_xlfn.XLOOKUP($A3293,Load!$B:$B,Load!J:J,0,)</f>
        <v>0</v>
      </c>
      <c r="J3293">
        <f>_xlfn.XLOOKUP($A3293,Load!$B:$B,Load!K:K,0,)</f>
        <v>0</v>
      </c>
      <c r="K3293">
        <f>_xlfn.XLOOKUP($A3293,Load!$B:$B,Load!L:L,0,)</f>
        <v>0</v>
      </c>
      <c r="L3293">
        <f>_xlfn.XLOOKUP($A3293,Load!$B:$B,Load!M:M,0,)</f>
        <v>0</v>
      </c>
    </row>
    <row r="3294" spans="1:12" x14ac:dyDescent="0.25">
      <c r="A3294" t="s">
        <v>254</v>
      </c>
      <c r="B3294" t="str">
        <f>_xlfn.XLOOKUP($A3294,Load!$B:$B,Load!C:C,0,)</f>
        <v>Skittles</v>
      </c>
      <c r="C3294" t="str">
        <f>_xlfn.XLOOKUP($A3294,Load!$B:$B,Load!D:D,0,)</f>
        <v>Non-Chocolate Candy Only</v>
      </c>
      <c r="D3294" t="str">
        <f>_xlfn.XLOOKUP($A3294,Load!$B:$B,Load!E:E,0,)</f>
        <v>Variety / Mixed Flavors (Fruity, Sour, Seasonal Flavors)</v>
      </c>
      <c r="E3294" t="str">
        <f>_xlfn.XLOOKUP($A3294,Load!$B:$B,Load!F:F,0,)</f>
        <v>Candy Pieces / Bites</v>
      </c>
      <c r="F3294" t="str">
        <f>_xlfn.XLOOKUP($A3294,Load!$B:$B,Load!G:G,0,)</f>
        <v>Medium Multipack (40–80 ct)</v>
      </c>
      <c r="G3294" t="str">
        <f>_xlfn.XLOOKUP($A3294,Load!$B:$B,Load!H:H,0,)</f>
        <v>Stand-Up Bag</v>
      </c>
      <c r="H3294" t="str">
        <f>_xlfn.XLOOKUP($A3294,Load!$B:$B,Load!I:I,0,)</f>
        <v>Everyday Candy Shapes (like Original, Gummy bear, Fruit, Jewels, etc.)</v>
      </c>
      <c r="I3294" t="str">
        <f>_xlfn.XLOOKUP($A3294,Load!$B:$B,Load!J:J,0,)</f>
        <v>Everyday Graphics</v>
      </c>
      <c r="J3294" t="str">
        <f>_xlfn.XLOOKUP($A3294,Load!$B:$B,Load!K:K,0,)</f>
        <v>Small Pieces (Tiny bite size candies)</v>
      </c>
      <c r="K3294" t="str">
        <f>_xlfn.XLOOKUP($A3294,Load!$B:$B,Load!L:L,0,)</f>
        <v>Regular/Original Wrapping</v>
      </c>
      <c r="L3294" t="str">
        <f>_xlfn.XLOOKUP($A3294,Load!$B:$B,Load!M:M,0,)</f>
        <v>Single Brand / Variety Flavors or Form</v>
      </c>
    </row>
    <row r="3295" spans="1:12" x14ac:dyDescent="0.25">
      <c r="B3295">
        <f>_xlfn.XLOOKUP($A3295,Load!$B:$B,Load!C:C,0,)</f>
        <v>0</v>
      </c>
      <c r="C3295">
        <f>_xlfn.XLOOKUP($A3295,Load!$B:$B,Load!D:D,0,)</f>
        <v>0</v>
      </c>
      <c r="D3295">
        <f>_xlfn.XLOOKUP($A3295,Load!$B:$B,Load!E:E,0,)</f>
        <v>0</v>
      </c>
      <c r="E3295">
        <f>_xlfn.XLOOKUP($A3295,Load!$B:$B,Load!F:F,0,)</f>
        <v>0</v>
      </c>
      <c r="F3295">
        <f>_xlfn.XLOOKUP($A3295,Load!$B:$B,Load!G:G,0,)</f>
        <v>0</v>
      </c>
      <c r="G3295">
        <f>_xlfn.XLOOKUP($A3295,Load!$B:$B,Load!H:H,0,)</f>
        <v>0</v>
      </c>
      <c r="H3295">
        <f>_xlfn.XLOOKUP($A3295,Load!$B:$B,Load!I:I,0,)</f>
        <v>0</v>
      </c>
      <c r="I3295">
        <f>_xlfn.XLOOKUP($A3295,Load!$B:$B,Load!J:J,0,)</f>
        <v>0</v>
      </c>
      <c r="J3295">
        <f>_xlfn.XLOOKUP($A3295,Load!$B:$B,Load!K:K,0,)</f>
        <v>0</v>
      </c>
      <c r="K3295">
        <f>_xlfn.XLOOKUP($A3295,Load!$B:$B,Load!L:L,0,)</f>
        <v>0</v>
      </c>
      <c r="L3295">
        <f>_xlfn.XLOOKUP($A3295,Load!$B:$B,Load!M:M,0,)</f>
        <v>0</v>
      </c>
    </row>
    <row r="3296" spans="1:12" x14ac:dyDescent="0.25">
      <c r="A3296" t="s">
        <v>287</v>
      </c>
      <c r="B3296" t="str">
        <f>_xlfn.XLOOKUP($A3296,Load!$B:$B,Load!C:C,0,)</f>
        <v>SweeTARTS</v>
      </c>
      <c r="C3296" t="str">
        <f>_xlfn.XLOOKUP($A3296,Load!$B:$B,Load!D:D,0,)</f>
        <v>Non-Chocolate Candy Only</v>
      </c>
      <c r="D3296" t="str">
        <f>_xlfn.XLOOKUP($A3296,Load!$B:$B,Load!E:E,0,)</f>
        <v>Berry Based (Raspberry, Strawberry, Medley, etc.)</v>
      </c>
      <c r="E3296" t="str">
        <f>_xlfn.XLOOKUP($A3296,Load!$B:$B,Load!F:F,0,)</f>
        <v>Chewy</v>
      </c>
      <c r="F3296" t="str">
        <f>_xlfn.XLOOKUP($A3296,Load!$B:$B,Load!G:G,0,)</f>
        <v>Small Multipack (Less than 40 ct)</v>
      </c>
      <c r="G3296" t="str">
        <f>_xlfn.XLOOKUP($A3296,Load!$B:$B,Load!H:H,0,)</f>
        <v>Laydown Bag</v>
      </c>
      <c r="H3296" t="str">
        <f>_xlfn.XLOOKUP($A3296,Load!$B:$B,Load!I:I,0,)</f>
        <v>Everyday Candy Shapes (like Original, Gummy bear, Fruit, Jewels, etc.)</v>
      </c>
      <c r="I3296" t="str">
        <f>_xlfn.XLOOKUP($A3296,Load!$B:$B,Load!J:J,0,)</f>
        <v>Everyday Graphics</v>
      </c>
      <c r="J3296" t="str">
        <f>_xlfn.XLOOKUP($A3296,Load!$B:$B,Load!K:K,0,)</f>
        <v>Fun Size / Treat Size</v>
      </c>
      <c r="K3296" t="str">
        <f>_xlfn.XLOOKUP($A3296,Load!$B:$B,Load!L:L,0,)</f>
        <v>Unwrapped</v>
      </c>
      <c r="L3296" t="str">
        <f>_xlfn.XLOOKUP($A3296,Load!$B:$B,Load!M:M,0,)</f>
        <v>Single Brand / Single Flavor or Form</v>
      </c>
    </row>
    <row r="3297" spans="1:12" x14ac:dyDescent="0.25">
      <c r="B3297">
        <f>_xlfn.XLOOKUP($A3297,Load!$B:$B,Load!C:C,0,)</f>
        <v>0</v>
      </c>
      <c r="C3297">
        <f>_xlfn.XLOOKUP($A3297,Load!$B:$B,Load!D:D,0,)</f>
        <v>0</v>
      </c>
      <c r="D3297">
        <f>_xlfn.XLOOKUP($A3297,Load!$B:$B,Load!E:E,0,)</f>
        <v>0</v>
      </c>
      <c r="E3297">
        <f>_xlfn.XLOOKUP($A3297,Load!$B:$B,Load!F:F,0,)</f>
        <v>0</v>
      </c>
      <c r="F3297">
        <f>_xlfn.XLOOKUP($A3297,Load!$B:$B,Load!G:G,0,)</f>
        <v>0</v>
      </c>
      <c r="G3297">
        <f>_xlfn.XLOOKUP($A3297,Load!$B:$B,Load!H:H,0,)</f>
        <v>0</v>
      </c>
      <c r="H3297">
        <f>_xlfn.XLOOKUP($A3297,Load!$B:$B,Load!I:I,0,)</f>
        <v>0</v>
      </c>
      <c r="I3297">
        <f>_xlfn.XLOOKUP($A3297,Load!$B:$B,Load!J:J,0,)</f>
        <v>0</v>
      </c>
      <c r="J3297">
        <f>_xlfn.XLOOKUP($A3297,Load!$B:$B,Load!K:K,0,)</f>
        <v>0</v>
      </c>
      <c r="K3297">
        <f>_xlfn.XLOOKUP($A3297,Load!$B:$B,Load!L:L,0,)</f>
        <v>0</v>
      </c>
      <c r="L3297">
        <f>_xlfn.XLOOKUP($A3297,Load!$B:$B,Load!M:M,0,)</f>
        <v>0</v>
      </c>
    </row>
    <row r="3298" spans="1:12" x14ac:dyDescent="0.25">
      <c r="A3298" t="s">
        <v>187</v>
      </c>
      <c r="B3298" t="str">
        <f>_xlfn.XLOOKUP($A3298,Load!$B:$B,Load!C:C,0,)</f>
        <v>Mars Variety Pack</v>
      </c>
      <c r="C3298" t="str">
        <f>_xlfn.XLOOKUP($A3298,Load!$B:$B,Load!D:D,0,)</f>
        <v>Mix of Chocolate and Non-Chocolate Candy</v>
      </c>
      <c r="D3298" t="str">
        <f>_xlfn.XLOOKUP($A3298,Load!$B:$B,Load!E:E,0,)</f>
        <v>Variety / Mixed Flavors (Fruity, Sour, Seasonal Flavors)</v>
      </c>
      <c r="E3298" t="str">
        <f>_xlfn.XLOOKUP($A3298,Load!$B:$B,Load!F:F,0,)</f>
        <v>Mixed / Combo Packs (Gummy, Chewy, Taffy, etc.)</v>
      </c>
      <c r="F3298" t="str">
        <f>_xlfn.XLOOKUP($A3298,Load!$B:$B,Load!G:G,0,)</f>
        <v>Medium Multipack (40–80 ct)</v>
      </c>
      <c r="G3298" t="str">
        <f>_xlfn.XLOOKUP($A3298,Load!$B:$B,Load!H:H,0,)</f>
        <v>Stand-Up Bag</v>
      </c>
      <c r="H3298" t="str">
        <f>_xlfn.XLOOKUP($A3298,Load!$B:$B,Load!I:I,0,)</f>
        <v>Everyday Candy Shapes (like Original, Gummy bear, Fruit, Jewels, etc.)</v>
      </c>
      <c r="I3298" t="str">
        <f>_xlfn.XLOOKUP($A3298,Load!$B:$B,Load!J:J,0,)</f>
        <v>Seasonal Graphics (Like Bat, Ghost, Pumpkin, Fall Leaves, Eyeballs, etc.)</v>
      </c>
      <c r="J3298" t="str">
        <f>_xlfn.XLOOKUP($A3298,Load!$B:$B,Load!K:K,0,)</f>
        <v>Fun Size / Treat Size</v>
      </c>
      <c r="K3298" t="str">
        <f>_xlfn.XLOOKUP($A3298,Load!$B:$B,Load!L:L,0,)</f>
        <v>Regular/Original Wrapping</v>
      </c>
      <c r="L3298" t="str">
        <f>_xlfn.XLOOKUP($A3298,Load!$B:$B,Load!M:M,0,)</f>
        <v>Multiple Brands / Variety Flavors or Form</v>
      </c>
    </row>
    <row r="3299" spans="1:12" x14ac:dyDescent="0.25">
      <c r="B3299">
        <f>_xlfn.XLOOKUP($A3299,Load!$B:$B,Load!C:C,0,)</f>
        <v>0</v>
      </c>
      <c r="C3299">
        <f>_xlfn.XLOOKUP($A3299,Load!$B:$B,Load!D:D,0,)</f>
        <v>0</v>
      </c>
      <c r="D3299">
        <f>_xlfn.XLOOKUP($A3299,Load!$B:$B,Load!E:E,0,)</f>
        <v>0</v>
      </c>
      <c r="E3299">
        <f>_xlfn.XLOOKUP($A3299,Load!$B:$B,Load!F:F,0,)</f>
        <v>0</v>
      </c>
      <c r="F3299">
        <f>_xlfn.XLOOKUP($A3299,Load!$B:$B,Load!G:G,0,)</f>
        <v>0</v>
      </c>
      <c r="G3299">
        <f>_xlfn.XLOOKUP($A3299,Load!$B:$B,Load!H:H,0,)</f>
        <v>0</v>
      </c>
      <c r="H3299">
        <f>_xlfn.XLOOKUP($A3299,Load!$B:$B,Load!I:I,0,)</f>
        <v>0</v>
      </c>
      <c r="I3299">
        <f>_xlfn.XLOOKUP($A3299,Load!$B:$B,Load!J:J,0,)</f>
        <v>0</v>
      </c>
      <c r="J3299">
        <f>_xlfn.XLOOKUP($A3299,Load!$B:$B,Load!K:K,0,)</f>
        <v>0</v>
      </c>
      <c r="K3299">
        <f>_xlfn.XLOOKUP($A3299,Load!$B:$B,Load!L:L,0,)</f>
        <v>0</v>
      </c>
      <c r="L3299">
        <f>_xlfn.XLOOKUP($A3299,Load!$B:$B,Load!M:M,0,)</f>
        <v>0</v>
      </c>
    </row>
    <row r="3300" spans="1:12" x14ac:dyDescent="0.25">
      <c r="B3300">
        <f>_xlfn.XLOOKUP($A3300,Load!$B:$B,Load!C:C,0,)</f>
        <v>0</v>
      </c>
      <c r="C3300">
        <f>_xlfn.XLOOKUP($A3300,Load!$B:$B,Load!D:D,0,)</f>
        <v>0</v>
      </c>
      <c r="D3300">
        <f>_xlfn.XLOOKUP($A3300,Load!$B:$B,Load!E:E,0,)</f>
        <v>0</v>
      </c>
      <c r="E3300">
        <f>_xlfn.XLOOKUP($A3300,Load!$B:$B,Load!F:F,0,)</f>
        <v>0</v>
      </c>
      <c r="F3300">
        <f>_xlfn.XLOOKUP($A3300,Load!$B:$B,Load!G:G,0,)</f>
        <v>0</v>
      </c>
      <c r="G3300">
        <f>_xlfn.XLOOKUP($A3300,Load!$B:$B,Load!H:H,0,)</f>
        <v>0</v>
      </c>
      <c r="H3300">
        <f>_xlfn.XLOOKUP($A3300,Load!$B:$B,Load!I:I,0,)</f>
        <v>0</v>
      </c>
      <c r="I3300">
        <f>_xlfn.XLOOKUP($A3300,Load!$B:$B,Load!J:J,0,)</f>
        <v>0</v>
      </c>
      <c r="J3300">
        <f>_xlfn.XLOOKUP($A3300,Load!$B:$B,Load!K:K,0,)</f>
        <v>0</v>
      </c>
      <c r="K3300">
        <f>_xlfn.XLOOKUP($A3300,Load!$B:$B,Load!L:L,0,)</f>
        <v>0</v>
      </c>
      <c r="L3300">
        <f>_xlfn.XLOOKUP($A3300,Load!$B:$B,Load!M:M,0,)</f>
        <v>0</v>
      </c>
    </row>
    <row r="3301" spans="1:12" x14ac:dyDescent="0.25">
      <c r="B3301">
        <f>_xlfn.XLOOKUP($A3301,Load!$B:$B,Load!C:C,0,)</f>
        <v>0</v>
      </c>
      <c r="C3301">
        <f>_xlfn.XLOOKUP($A3301,Load!$B:$B,Load!D:D,0,)</f>
        <v>0</v>
      </c>
      <c r="D3301">
        <f>_xlfn.XLOOKUP($A3301,Load!$B:$B,Load!E:E,0,)</f>
        <v>0</v>
      </c>
      <c r="E3301">
        <f>_xlfn.XLOOKUP($A3301,Load!$B:$B,Load!F:F,0,)</f>
        <v>0</v>
      </c>
      <c r="F3301">
        <f>_xlfn.XLOOKUP($A3301,Load!$B:$B,Load!G:G,0,)</f>
        <v>0</v>
      </c>
      <c r="G3301">
        <f>_xlfn.XLOOKUP($A3301,Load!$B:$B,Load!H:H,0,)</f>
        <v>0</v>
      </c>
      <c r="H3301">
        <f>_xlfn.XLOOKUP($A3301,Load!$B:$B,Load!I:I,0,)</f>
        <v>0</v>
      </c>
      <c r="I3301">
        <f>_xlfn.XLOOKUP($A3301,Load!$B:$B,Load!J:J,0,)</f>
        <v>0</v>
      </c>
      <c r="J3301">
        <f>_xlfn.XLOOKUP($A3301,Load!$B:$B,Load!K:K,0,)</f>
        <v>0</v>
      </c>
      <c r="K3301">
        <f>_xlfn.XLOOKUP($A3301,Load!$B:$B,Load!L:L,0,)</f>
        <v>0</v>
      </c>
      <c r="L3301">
        <f>_xlfn.XLOOKUP($A3301,Load!$B:$B,Load!M:M,0,)</f>
        <v>0</v>
      </c>
    </row>
    <row r="3302" spans="1:12" x14ac:dyDescent="0.25">
      <c r="A3302" t="s">
        <v>129</v>
      </c>
      <c r="B3302" t="str">
        <f>_xlfn.XLOOKUP($A3302,Load!$B:$B,Load!C:C,0,)</f>
        <v>HARIBO</v>
      </c>
      <c r="C3302" t="str">
        <f>_xlfn.XLOOKUP($A3302,Load!$B:$B,Load!D:D,0,)</f>
        <v>Non-Chocolate Candy Only</v>
      </c>
      <c r="D3302" t="str">
        <f>_xlfn.XLOOKUP($A3302,Load!$B:$B,Load!E:E,0,)</f>
        <v>Fruit Flavor (Cherry, Grape, Apple, Citrus, Tropical Fruit)</v>
      </c>
      <c r="E3302" t="str">
        <f>_xlfn.XLOOKUP($A3302,Load!$B:$B,Load!F:F,0,)</f>
        <v>Gummy</v>
      </c>
      <c r="F3302" t="str">
        <f>_xlfn.XLOOKUP($A3302,Load!$B:$B,Load!G:G,0,)</f>
        <v>Single Pack</v>
      </c>
      <c r="G3302" t="str">
        <f>_xlfn.XLOOKUP($A3302,Load!$B:$B,Load!H:H,0,)</f>
        <v>Peg Bag</v>
      </c>
      <c r="H3302" t="str">
        <f>_xlfn.XLOOKUP($A3302,Load!$B:$B,Load!I:I,0,)</f>
        <v>Everyday Candy Shapes (like Original, Gummy bear, Fruit, Jewels, etc.)</v>
      </c>
      <c r="I3302" t="str">
        <f>_xlfn.XLOOKUP($A3302,Load!$B:$B,Load!J:J,0,)</f>
        <v>Everyday Graphics</v>
      </c>
      <c r="J3302" t="str">
        <f>_xlfn.XLOOKUP($A3302,Load!$B:$B,Load!K:K,0,)</f>
        <v>Small Pieces (Tiny bite size candies)</v>
      </c>
      <c r="K3302" t="str">
        <f>_xlfn.XLOOKUP($A3302,Load!$B:$B,Load!L:L,0,)</f>
        <v>Regular/Original Wrapping</v>
      </c>
      <c r="L3302" t="str">
        <f>_xlfn.XLOOKUP($A3302,Load!$B:$B,Load!M:M,0,)</f>
        <v>Single Brand / Variety Flavors or Form</v>
      </c>
    </row>
    <row r="3303" spans="1:12" x14ac:dyDescent="0.25">
      <c r="A3303" t="s">
        <v>151</v>
      </c>
      <c r="B3303" t="str">
        <f>_xlfn.XLOOKUP($A3303,Load!$B:$B,Load!C:C,0,)</f>
        <v>Jolly Rancher</v>
      </c>
      <c r="C3303" t="str">
        <f>_xlfn.XLOOKUP($A3303,Load!$B:$B,Load!D:D,0,)</f>
        <v>Non-Chocolate Candy Only</v>
      </c>
      <c r="D3303" t="str">
        <f>_xlfn.XLOOKUP($A3303,Load!$B:$B,Load!E:E,0,)</f>
        <v>Variety / Mixed Flavors (Fruity, Sour, Seasonal Flavors)</v>
      </c>
      <c r="E3303" t="str">
        <f>_xlfn.XLOOKUP($A3303,Load!$B:$B,Load!F:F,0,)</f>
        <v>Gummy</v>
      </c>
      <c r="F3303" t="str">
        <f>_xlfn.XLOOKUP($A3303,Load!$B:$B,Load!G:G,0,)</f>
        <v>Small Multipack (Less than 40 ct)</v>
      </c>
      <c r="G3303" t="str">
        <f>_xlfn.XLOOKUP($A3303,Load!$B:$B,Load!H:H,0,)</f>
        <v>Laydown Bag</v>
      </c>
      <c r="H3303" t="str">
        <f>_xlfn.XLOOKUP($A3303,Load!$B:$B,Load!I:I,0,)</f>
        <v>Everyday Candy Shapes (like Original, Gummy bear, Fruit, Jewels, etc.)</v>
      </c>
      <c r="I3303" t="str">
        <f>_xlfn.XLOOKUP($A3303,Load!$B:$B,Load!J:J,0,)</f>
        <v>Everyday Graphics</v>
      </c>
      <c r="J3303" t="str">
        <f>_xlfn.XLOOKUP($A3303,Load!$B:$B,Load!K:K,0,)</f>
        <v>Small Pieces (Tiny bite size candies)</v>
      </c>
      <c r="K3303" t="str">
        <f>_xlfn.XLOOKUP($A3303,Load!$B:$B,Load!L:L,0,)</f>
        <v>Regular/Original Wrapping</v>
      </c>
      <c r="L3303" t="str">
        <f>_xlfn.XLOOKUP($A3303,Load!$B:$B,Load!M:M,0,)</f>
        <v>Single Brand / Variety Flavors or Form</v>
      </c>
    </row>
    <row r="3304" spans="1:12" x14ac:dyDescent="0.25">
      <c r="A3304" t="s">
        <v>250</v>
      </c>
      <c r="B3304" t="str">
        <f>_xlfn.XLOOKUP($A3304,Load!$B:$B,Load!C:C,0,)</f>
        <v>Rolling Pin</v>
      </c>
      <c r="C3304" t="str">
        <f>_xlfn.XLOOKUP($A3304,Load!$B:$B,Load!D:D,0,)</f>
        <v>Non-Chocolate Candy Only</v>
      </c>
      <c r="D3304" t="str">
        <f>_xlfn.XLOOKUP($A3304,Load!$B:$B,Load!E:E,0,)</f>
        <v>Fall / Seasonal Flavors (pumpkin spice, caramel apple, candy corn)</v>
      </c>
      <c r="E3304" t="str">
        <f>_xlfn.XLOOKUP($A3304,Load!$B:$B,Load!F:F,0,)</f>
        <v>Candy Pieces / Bites</v>
      </c>
      <c r="F3304" t="str">
        <f>_xlfn.XLOOKUP($A3304,Load!$B:$B,Load!G:G,0,)</f>
        <v>Small Multipack (Less than 40 ct)</v>
      </c>
      <c r="G3304" t="str">
        <f>_xlfn.XLOOKUP($A3304,Load!$B:$B,Load!H:H,0,)</f>
        <v>Stand-Up Bag</v>
      </c>
      <c r="H3304" t="str">
        <f>_xlfn.XLOOKUP($A3304,Load!$B:$B,Load!I:I,0,)</f>
        <v>Seasonal Shapes (like pumpkins, candy corn, ghost, bats, etc.)</v>
      </c>
      <c r="I3304" t="str">
        <f>_xlfn.XLOOKUP($A3304,Load!$B:$B,Load!J:J,0,)</f>
        <v>Seasonal Graphics (Like Bat, Ghost, Pumpkin, Fall Leaves, Eyeballs, etc.)</v>
      </c>
      <c r="J3304" t="str">
        <f>_xlfn.XLOOKUP($A3304,Load!$B:$B,Load!K:K,0,)</f>
        <v>Small Pieces (Tiny bite size candies)</v>
      </c>
      <c r="K3304" t="str">
        <f>_xlfn.XLOOKUP($A3304,Load!$B:$B,Load!L:L,0,)</f>
        <v>Unwrapped</v>
      </c>
      <c r="L3304" t="str">
        <f>_xlfn.XLOOKUP($A3304,Load!$B:$B,Load!M:M,0,)</f>
        <v>Single Brand / Variety Flavors or Form</v>
      </c>
    </row>
    <row r="3305" spans="1:12" x14ac:dyDescent="0.25">
      <c r="B3305">
        <f>_xlfn.XLOOKUP($A3305,Load!$B:$B,Load!C:C,0,)</f>
        <v>0</v>
      </c>
      <c r="C3305">
        <f>_xlfn.XLOOKUP($A3305,Load!$B:$B,Load!D:D,0,)</f>
        <v>0</v>
      </c>
      <c r="D3305">
        <f>_xlfn.XLOOKUP($A3305,Load!$B:$B,Load!E:E,0,)</f>
        <v>0</v>
      </c>
      <c r="E3305">
        <f>_xlfn.XLOOKUP($A3305,Load!$B:$B,Load!F:F,0,)</f>
        <v>0</v>
      </c>
      <c r="F3305">
        <f>_xlfn.XLOOKUP($A3305,Load!$B:$B,Load!G:G,0,)</f>
        <v>0</v>
      </c>
      <c r="G3305">
        <f>_xlfn.XLOOKUP($A3305,Load!$B:$B,Load!H:H,0,)</f>
        <v>0</v>
      </c>
      <c r="H3305">
        <f>_xlfn.XLOOKUP($A3305,Load!$B:$B,Load!I:I,0,)</f>
        <v>0</v>
      </c>
      <c r="I3305">
        <f>_xlfn.XLOOKUP($A3305,Load!$B:$B,Load!J:J,0,)</f>
        <v>0</v>
      </c>
      <c r="J3305">
        <f>_xlfn.XLOOKUP($A3305,Load!$B:$B,Load!K:K,0,)</f>
        <v>0</v>
      </c>
      <c r="K3305">
        <f>_xlfn.XLOOKUP($A3305,Load!$B:$B,Load!L:L,0,)</f>
        <v>0</v>
      </c>
      <c r="L3305">
        <f>_xlfn.XLOOKUP($A3305,Load!$B:$B,Load!M:M,0,)</f>
        <v>0</v>
      </c>
    </row>
    <row r="3306" spans="1:12" x14ac:dyDescent="0.25">
      <c r="A3306" t="s">
        <v>214</v>
      </c>
      <c r="B3306" t="str">
        <f>_xlfn.XLOOKUP($A3306,Load!$B:$B,Load!C:C,0,)</f>
        <v>Mars Variety Pack</v>
      </c>
      <c r="C3306" t="str">
        <f>_xlfn.XLOOKUP($A3306,Load!$B:$B,Load!D:D,0,)</f>
        <v>Mix of Chocolate and Non-Chocolate Candy</v>
      </c>
      <c r="D3306" t="str">
        <f>_xlfn.XLOOKUP($A3306,Load!$B:$B,Load!E:E,0,)</f>
        <v>Variety / Mixed Flavors (Fruity, Sour, Seasonal Flavors)</v>
      </c>
      <c r="E3306" t="str">
        <f>_xlfn.XLOOKUP($A3306,Load!$B:$B,Load!F:F,0,)</f>
        <v>Mixed / Combo Packs (Gummy, Chewy, Taffy, etc.)</v>
      </c>
      <c r="F3306" t="str">
        <f>_xlfn.XLOOKUP($A3306,Load!$B:$B,Load!G:G,0,)</f>
        <v>Large Multipack (More than 80 ct)</v>
      </c>
      <c r="G3306" t="str">
        <f>_xlfn.XLOOKUP($A3306,Load!$B:$B,Load!H:H,0,)</f>
        <v>Stand-Up Bag</v>
      </c>
      <c r="H3306" t="str">
        <f>_xlfn.XLOOKUP($A3306,Load!$B:$B,Load!I:I,0,)</f>
        <v>Everyday Candy Shapes (like Original, Gummy bear, Fruit, Jewels, etc.)</v>
      </c>
      <c r="I3306" t="str">
        <f>_xlfn.XLOOKUP($A3306,Load!$B:$B,Load!J:J,0,)</f>
        <v>Seasonal Graphics (Like Bat, Ghost, Pumpkin, Fall Leaves, Eyeballs, etc.)</v>
      </c>
      <c r="J3306" t="str">
        <f>_xlfn.XLOOKUP($A3306,Load!$B:$B,Load!K:K,0,)</f>
        <v>Fun Size / Treat Size</v>
      </c>
      <c r="K3306" t="str">
        <f>_xlfn.XLOOKUP($A3306,Load!$B:$B,Load!L:L,0,)</f>
        <v>Regular/Original Wrapping</v>
      </c>
      <c r="L3306" t="str">
        <f>_xlfn.XLOOKUP($A3306,Load!$B:$B,Load!M:M,0,)</f>
        <v>Multiple Brands / Variety Flavors or Form</v>
      </c>
    </row>
    <row r="3307" spans="1:12" x14ac:dyDescent="0.25">
      <c r="A3307" t="s">
        <v>181</v>
      </c>
      <c r="B3307" t="str">
        <f>_xlfn.XLOOKUP($A3307,Load!$B:$B,Load!C:C,0,)</f>
        <v>Mars Variety Pack</v>
      </c>
      <c r="C3307" t="str">
        <f>_xlfn.XLOOKUP($A3307,Load!$B:$B,Load!D:D,0,)</f>
        <v>Mix of Chocolate and Non-Chocolate Candy</v>
      </c>
      <c r="D3307" t="str">
        <f>_xlfn.XLOOKUP($A3307,Load!$B:$B,Load!E:E,0,)</f>
        <v>Variety / Mixed Flavors (Fruity, Sour, Seasonal Flavors)</v>
      </c>
      <c r="E3307" t="str">
        <f>_xlfn.XLOOKUP($A3307,Load!$B:$B,Load!F:F,0,)</f>
        <v>Mixed / Combo Packs (Gummy, Chewy, Taffy, etc.)</v>
      </c>
      <c r="F3307" t="str">
        <f>_xlfn.XLOOKUP($A3307,Load!$B:$B,Load!G:G,0,)</f>
        <v>Large Multipack (More than 80 ct)</v>
      </c>
      <c r="G3307" t="str">
        <f>_xlfn.XLOOKUP($A3307,Load!$B:$B,Load!H:H,0,)</f>
        <v>Stand-Up Bag</v>
      </c>
      <c r="H3307" t="str">
        <f>_xlfn.XLOOKUP($A3307,Load!$B:$B,Load!I:I,0,)</f>
        <v>Everyday Candy Shapes (like Original, Gummy bear, Fruit, Jewels, etc.)</v>
      </c>
      <c r="I3307" t="str">
        <f>_xlfn.XLOOKUP($A3307,Load!$B:$B,Load!J:J,0,)</f>
        <v>Seasonal Graphics (Like Bat, Ghost, Pumpkin, Fall Leaves, Eyeballs, etc.)</v>
      </c>
      <c r="J3307" t="str">
        <f>_xlfn.XLOOKUP($A3307,Load!$B:$B,Load!K:K,0,)</f>
        <v>Fun Size / Treat Size</v>
      </c>
      <c r="K3307" t="str">
        <f>_xlfn.XLOOKUP($A3307,Load!$B:$B,Load!L:L,0,)</f>
        <v>Regular/Original Wrapping</v>
      </c>
      <c r="L3307" t="str">
        <f>_xlfn.XLOOKUP($A3307,Load!$B:$B,Load!M:M,0,)</f>
        <v>Multiple Brands / Variety Flavors or Form</v>
      </c>
    </row>
    <row r="3308" spans="1:12" x14ac:dyDescent="0.25">
      <c r="A3308" t="s">
        <v>134</v>
      </c>
      <c r="B3308" t="str">
        <f>_xlfn.XLOOKUP($A3308,Load!$B:$B,Load!C:C,0,)</f>
        <v>Hershey's Variety Pack</v>
      </c>
      <c r="C3308" t="str">
        <f>_xlfn.XLOOKUP($A3308,Load!$B:$B,Load!D:D,0,)</f>
        <v>Non-Chocolate Candy Only</v>
      </c>
      <c r="D3308" t="str">
        <f>_xlfn.XLOOKUP($A3308,Load!$B:$B,Load!E:E,0,)</f>
        <v>Variety / Mixed Flavors (Fruity, Sour, Seasonal Flavors)</v>
      </c>
      <c r="E3308" t="str">
        <f>_xlfn.XLOOKUP($A3308,Load!$B:$B,Load!F:F,0,)</f>
        <v>Mixed / Combo Packs (Gummy, Chewy, Taffy, etc.)</v>
      </c>
      <c r="F3308" t="str">
        <f>_xlfn.XLOOKUP($A3308,Load!$B:$B,Load!G:G,0,)</f>
        <v>Large Multipack (More than 80 ct)</v>
      </c>
      <c r="G3308" t="str">
        <f>_xlfn.XLOOKUP($A3308,Load!$B:$B,Load!H:H,0,)</f>
        <v>Stand-Up Bag</v>
      </c>
      <c r="H3308" t="str">
        <f>_xlfn.XLOOKUP($A3308,Load!$B:$B,Load!I:I,0,)</f>
        <v>Everyday Candy Shapes (like Original, Gummy bear, Fruit, Jewels, etc.)</v>
      </c>
      <c r="I3308" t="str">
        <f>_xlfn.XLOOKUP($A3308,Load!$B:$B,Load!J:J,0,)</f>
        <v>Seasonal Graphics (Like Bat, Ghost, Pumpkin, Fall Leaves, Eyeballs, etc.)</v>
      </c>
      <c r="J3308" t="str">
        <f>_xlfn.XLOOKUP($A3308,Load!$B:$B,Load!K:K,0,)</f>
        <v xml:space="preserve">Variety Candy Sizes </v>
      </c>
      <c r="K3308" t="str">
        <f>_xlfn.XLOOKUP($A3308,Load!$B:$B,Load!L:L,0,)</f>
        <v>Regular/Original Wrapping</v>
      </c>
      <c r="L3308" t="str">
        <f>_xlfn.XLOOKUP($A3308,Load!$B:$B,Load!M:M,0,)</f>
        <v>Multiple Brands / Variety Flavors or Form</v>
      </c>
    </row>
    <row r="3309" spans="1:12" x14ac:dyDescent="0.25">
      <c r="B3309">
        <f>_xlfn.XLOOKUP($A3309,Load!$B:$B,Load!C:C,0,)</f>
        <v>0</v>
      </c>
      <c r="C3309">
        <f>_xlfn.XLOOKUP($A3309,Load!$B:$B,Load!D:D,0,)</f>
        <v>0</v>
      </c>
      <c r="D3309">
        <f>_xlfn.XLOOKUP($A3309,Load!$B:$B,Load!E:E,0,)</f>
        <v>0</v>
      </c>
      <c r="E3309">
        <f>_xlfn.XLOOKUP($A3309,Load!$B:$B,Load!F:F,0,)</f>
        <v>0</v>
      </c>
      <c r="F3309">
        <f>_xlfn.XLOOKUP($A3309,Load!$B:$B,Load!G:G,0,)</f>
        <v>0</v>
      </c>
      <c r="G3309">
        <f>_xlfn.XLOOKUP($A3309,Load!$B:$B,Load!H:H,0,)</f>
        <v>0</v>
      </c>
      <c r="H3309">
        <f>_xlfn.XLOOKUP($A3309,Load!$B:$B,Load!I:I,0,)</f>
        <v>0</v>
      </c>
      <c r="I3309">
        <f>_xlfn.XLOOKUP($A3309,Load!$B:$B,Load!J:J,0,)</f>
        <v>0</v>
      </c>
      <c r="J3309">
        <f>_xlfn.XLOOKUP($A3309,Load!$B:$B,Load!K:K,0,)</f>
        <v>0</v>
      </c>
      <c r="K3309">
        <f>_xlfn.XLOOKUP($A3309,Load!$B:$B,Load!L:L,0,)</f>
        <v>0</v>
      </c>
      <c r="L3309">
        <f>_xlfn.XLOOKUP($A3309,Load!$B:$B,Load!M:M,0,)</f>
        <v>0</v>
      </c>
    </row>
    <row r="3310" spans="1:12" x14ac:dyDescent="0.25">
      <c r="A3310" t="s">
        <v>473</v>
      </c>
      <c r="B3310" t="str">
        <f>_xlfn.XLOOKUP($A3310,Load!$B:$B,Load!C:C,0,)</f>
        <v>Jelly Belly</v>
      </c>
      <c r="C3310" t="str">
        <f>_xlfn.XLOOKUP($A3310,Load!$B:$B,Load!D:D,0,)</f>
        <v>Non-Chocolate Candy Only</v>
      </c>
      <c r="D3310" t="str">
        <f>_xlfn.XLOOKUP($A3310,Load!$B:$B,Load!E:E,0,)</f>
        <v>Variety / Mixed Flavors (Fruity, Sour, Seasonal Flavors)</v>
      </c>
      <c r="E3310" t="str">
        <f>_xlfn.XLOOKUP($A3310,Load!$B:$B,Load!F:F,0,)</f>
        <v>Candy Pieces / Bites</v>
      </c>
      <c r="F3310" t="str">
        <f>_xlfn.XLOOKUP($A3310,Load!$B:$B,Load!G:G,0,)</f>
        <v>Small Multipack (Less than 40 ct)</v>
      </c>
      <c r="G3310" t="str">
        <f>_xlfn.XLOOKUP($A3310,Load!$B:$B,Load!H:H,0,)</f>
        <v>Laydown Bag</v>
      </c>
      <c r="H3310" t="str">
        <f>_xlfn.XLOOKUP($A3310,Load!$B:$B,Load!I:I,0,)</f>
        <v>Everyday Candy Shapes (like Original, Gummy bear, Fruit, Jewels, etc.)</v>
      </c>
      <c r="I3310" t="str">
        <f>_xlfn.XLOOKUP($A3310,Load!$B:$B,Load!J:J,0,)</f>
        <v>Seasonal Graphics (Like Bat, Ghost, Pumpkin, Fall Leaves, Eyeballs, etc.)</v>
      </c>
      <c r="J3310" t="str">
        <f>_xlfn.XLOOKUP($A3310,Load!$B:$B,Load!K:K,0,)</f>
        <v>Small Pieces (Tiny bite size candies)</v>
      </c>
      <c r="K3310" t="str">
        <f>_xlfn.XLOOKUP($A3310,Load!$B:$B,Load!L:L,0,)</f>
        <v>Unwrapped</v>
      </c>
      <c r="L3310" t="str">
        <f>_xlfn.XLOOKUP($A3310,Load!$B:$B,Load!M:M,0,)</f>
        <v>Single Brand / Variety Flavors or Form</v>
      </c>
    </row>
    <row r="3311" spans="1:12" x14ac:dyDescent="0.25">
      <c r="B3311">
        <f>_xlfn.XLOOKUP($A3311,Load!$B:$B,Load!C:C,0,)</f>
        <v>0</v>
      </c>
      <c r="C3311">
        <f>_xlfn.XLOOKUP($A3311,Load!$B:$B,Load!D:D,0,)</f>
        <v>0</v>
      </c>
      <c r="D3311">
        <f>_xlfn.XLOOKUP($A3311,Load!$B:$B,Load!E:E,0,)</f>
        <v>0</v>
      </c>
      <c r="E3311">
        <f>_xlfn.XLOOKUP($A3311,Load!$B:$B,Load!F:F,0,)</f>
        <v>0</v>
      </c>
      <c r="F3311">
        <f>_xlfn.XLOOKUP($A3311,Load!$B:$B,Load!G:G,0,)</f>
        <v>0</v>
      </c>
      <c r="G3311">
        <f>_xlfn.XLOOKUP($A3311,Load!$B:$B,Load!H:H,0,)</f>
        <v>0</v>
      </c>
      <c r="H3311">
        <f>_xlfn.XLOOKUP($A3311,Load!$B:$B,Load!I:I,0,)</f>
        <v>0</v>
      </c>
      <c r="I3311">
        <f>_xlfn.XLOOKUP($A3311,Load!$B:$B,Load!J:J,0,)</f>
        <v>0</v>
      </c>
      <c r="J3311">
        <f>_xlfn.XLOOKUP($A3311,Load!$B:$B,Load!K:K,0,)</f>
        <v>0</v>
      </c>
      <c r="K3311">
        <f>_xlfn.XLOOKUP($A3311,Load!$B:$B,Load!L:L,0,)</f>
        <v>0</v>
      </c>
      <c r="L3311">
        <f>_xlfn.XLOOKUP($A3311,Load!$B:$B,Load!M:M,0,)</f>
        <v>0</v>
      </c>
    </row>
    <row r="3312" spans="1:12" x14ac:dyDescent="0.25">
      <c r="A3312" t="s">
        <v>193</v>
      </c>
      <c r="B3312" t="str">
        <f>_xlfn.XLOOKUP($A3312,Load!$B:$B,Load!C:C,0,)</f>
        <v>Mars Variety Pack</v>
      </c>
      <c r="C3312" t="str">
        <f>_xlfn.XLOOKUP($A3312,Load!$B:$B,Load!D:D,0,)</f>
        <v>Mix of Chocolate and Non-Chocolate Candy</v>
      </c>
      <c r="D3312" t="str">
        <f>_xlfn.XLOOKUP($A3312,Load!$B:$B,Load!E:E,0,)</f>
        <v>Variety / Mixed Flavors (Fruity, Sour, Seasonal Flavors)</v>
      </c>
      <c r="E3312" t="str">
        <f>_xlfn.XLOOKUP($A3312,Load!$B:$B,Load!F:F,0,)</f>
        <v>Mixed / Combo Packs (Gummy, Chewy, Taffy, etc.)</v>
      </c>
      <c r="F3312" t="str">
        <f>_xlfn.XLOOKUP($A3312,Load!$B:$B,Load!G:G,0,)</f>
        <v>Medium Multipack (40–80 ct)</v>
      </c>
      <c r="G3312" t="str">
        <f>_xlfn.XLOOKUP($A3312,Load!$B:$B,Load!H:H,0,)</f>
        <v>Laydown Bag</v>
      </c>
      <c r="H3312" t="str">
        <f>_xlfn.XLOOKUP($A3312,Load!$B:$B,Load!I:I,0,)</f>
        <v>Everyday Candy Shapes (like Original, Gummy bear, Fruit, Jewels, etc.)</v>
      </c>
      <c r="I3312" t="str">
        <f>_xlfn.XLOOKUP($A3312,Load!$B:$B,Load!J:J,0,)</f>
        <v>Seasonal Graphics (Like Bat, Ghost, Pumpkin, Fall Leaves, Eyeballs, etc.)</v>
      </c>
      <c r="J3312" t="str">
        <f>_xlfn.XLOOKUP($A3312,Load!$B:$B,Load!K:K,0,)</f>
        <v>Fun Size / Treat Size</v>
      </c>
      <c r="K3312" t="str">
        <f>_xlfn.XLOOKUP($A3312,Load!$B:$B,Load!L:L,0,)</f>
        <v>Regular/Original Wrapping</v>
      </c>
      <c r="L3312" t="str">
        <f>_xlfn.XLOOKUP($A3312,Load!$B:$B,Load!M:M,0,)</f>
        <v>Multiple Brands / Variety Flavors or Form</v>
      </c>
    </row>
    <row r="3313" spans="1:12" x14ac:dyDescent="0.25">
      <c r="A3313" t="s">
        <v>326</v>
      </c>
      <c r="B3313" t="str">
        <f>_xlfn.XLOOKUP($A3313,Load!$B:$B,Load!C:C,0,)</f>
        <v>Mondelez Variety Pack</v>
      </c>
      <c r="C3313" t="str">
        <f>_xlfn.XLOOKUP($A3313,Load!$B:$B,Load!D:D,0,)</f>
        <v>Mix of Chocolate and Non-Chocolate Candy</v>
      </c>
      <c r="D3313" t="str">
        <f>_xlfn.XLOOKUP($A3313,Load!$B:$B,Load!E:E,0,)</f>
        <v>Variety / Mixed Flavors (Fruity, Sour, Seasonal Flavors)</v>
      </c>
      <c r="E3313" t="str">
        <f>_xlfn.XLOOKUP($A3313,Load!$B:$B,Load!F:F,0,)</f>
        <v>Mixed / Combo Packs (Gummy, Chewy, Taffy, etc.)</v>
      </c>
      <c r="F3313" t="str">
        <f>_xlfn.XLOOKUP($A3313,Load!$B:$B,Load!G:G,0,)</f>
        <v>Medium Multipack (40–80 ct)</v>
      </c>
      <c r="G3313" t="str">
        <f>_xlfn.XLOOKUP($A3313,Load!$B:$B,Load!H:H,0,)</f>
        <v>Stand-Up Bag</v>
      </c>
      <c r="H3313" t="str">
        <f>_xlfn.XLOOKUP($A3313,Load!$B:$B,Load!I:I,0,)</f>
        <v>Everyday Candy Shapes (like Original, Gummy bear, Fruit, Jewels, etc.)</v>
      </c>
      <c r="I3313" t="str">
        <f>_xlfn.XLOOKUP($A3313,Load!$B:$B,Load!J:J,0,)</f>
        <v>Seasonal Graphics (Like Bat, Ghost, Pumpkin, Fall Leaves, Eyeballs, etc.)</v>
      </c>
      <c r="J3313" t="str">
        <f>_xlfn.XLOOKUP($A3313,Load!$B:$B,Load!K:K,0,)</f>
        <v xml:space="preserve">Variety Candy Sizes </v>
      </c>
      <c r="K3313" t="str">
        <f>_xlfn.XLOOKUP($A3313,Load!$B:$B,Load!L:L,0,)</f>
        <v>Regular/Original Wrapping</v>
      </c>
      <c r="L3313" t="str">
        <f>_xlfn.XLOOKUP($A3313,Load!$B:$B,Load!M:M,0,)</f>
        <v>Multiple Brands / Variety Flavors or Form</v>
      </c>
    </row>
    <row r="3314" spans="1:12" x14ac:dyDescent="0.25">
      <c r="B3314">
        <f>_xlfn.XLOOKUP($A3314,Load!$B:$B,Load!C:C,0,)</f>
        <v>0</v>
      </c>
      <c r="C3314">
        <f>_xlfn.XLOOKUP($A3314,Load!$B:$B,Load!D:D,0,)</f>
        <v>0</v>
      </c>
      <c r="D3314">
        <f>_xlfn.XLOOKUP($A3314,Load!$B:$B,Load!E:E,0,)</f>
        <v>0</v>
      </c>
      <c r="E3314">
        <f>_xlfn.XLOOKUP($A3314,Load!$B:$B,Load!F:F,0,)</f>
        <v>0</v>
      </c>
      <c r="F3314">
        <f>_xlfn.XLOOKUP($A3314,Load!$B:$B,Load!G:G,0,)</f>
        <v>0</v>
      </c>
      <c r="G3314">
        <f>_xlfn.XLOOKUP($A3314,Load!$B:$B,Load!H:H,0,)</f>
        <v>0</v>
      </c>
      <c r="H3314">
        <f>_xlfn.XLOOKUP($A3314,Load!$B:$B,Load!I:I,0,)</f>
        <v>0</v>
      </c>
      <c r="I3314">
        <f>_xlfn.XLOOKUP($A3314,Load!$B:$B,Load!J:J,0,)</f>
        <v>0</v>
      </c>
      <c r="J3314">
        <f>_xlfn.XLOOKUP($A3314,Load!$B:$B,Load!K:K,0,)</f>
        <v>0</v>
      </c>
      <c r="K3314">
        <f>_xlfn.XLOOKUP($A3314,Load!$B:$B,Load!L:L,0,)</f>
        <v>0</v>
      </c>
      <c r="L3314">
        <f>_xlfn.XLOOKUP($A3314,Load!$B:$B,Load!M:M,0,)</f>
        <v>0</v>
      </c>
    </row>
    <row r="3315" spans="1:12" x14ac:dyDescent="0.25">
      <c r="B3315">
        <f>_xlfn.XLOOKUP($A3315,Load!$B:$B,Load!C:C,0,)</f>
        <v>0</v>
      </c>
      <c r="C3315">
        <f>_xlfn.XLOOKUP($A3315,Load!$B:$B,Load!D:D,0,)</f>
        <v>0</v>
      </c>
      <c r="D3315">
        <f>_xlfn.XLOOKUP($A3315,Load!$B:$B,Load!E:E,0,)</f>
        <v>0</v>
      </c>
      <c r="E3315">
        <f>_xlfn.XLOOKUP($A3315,Load!$B:$B,Load!F:F,0,)</f>
        <v>0</v>
      </c>
      <c r="F3315">
        <f>_xlfn.XLOOKUP($A3315,Load!$B:$B,Load!G:G,0,)</f>
        <v>0</v>
      </c>
      <c r="G3315">
        <f>_xlfn.XLOOKUP($A3315,Load!$B:$B,Load!H:H,0,)</f>
        <v>0</v>
      </c>
      <c r="H3315">
        <f>_xlfn.XLOOKUP($A3315,Load!$B:$B,Load!I:I,0,)</f>
        <v>0</v>
      </c>
      <c r="I3315">
        <f>_xlfn.XLOOKUP($A3315,Load!$B:$B,Load!J:J,0,)</f>
        <v>0</v>
      </c>
      <c r="J3315">
        <f>_xlfn.XLOOKUP($A3315,Load!$B:$B,Load!K:K,0,)</f>
        <v>0</v>
      </c>
      <c r="K3315">
        <f>_xlfn.XLOOKUP($A3315,Load!$B:$B,Load!L:L,0,)</f>
        <v>0</v>
      </c>
      <c r="L3315">
        <f>_xlfn.XLOOKUP($A3315,Load!$B:$B,Load!M:M,0,)</f>
        <v>0</v>
      </c>
    </row>
    <row r="3316" spans="1:12" x14ac:dyDescent="0.25">
      <c r="A3316" t="s">
        <v>181</v>
      </c>
      <c r="B3316" t="str">
        <f>_xlfn.XLOOKUP($A3316,Load!$B:$B,Load!C:C,0,)</f>
        <v>Mars Variety Pack</v>
      </c>
      <c r="C3316" t="str">
        <f>_xlfn.XLOOKUP($A3316,Load!$B:$B,Load!D:D,0,)</f>
        <v>Mix of Chocolate and Non-Chocolate Candy</v>
      </c>
      <c r="D3316" t="str">
        <f>_xlfn.XLOOKUP($A3316,Load!$B:$B,Load!E:E,0,)</f>
        <v>Variety / Mixed Flavors (Fruity, Sour, Seasonal Flavors)</v>
      </c>
      <c r="E3316" t="str">
        <f>_xlfn.XLOOKUP($A3316,Load!$B:$B,Load!F:F,0,)</f>
        <v>Mixed / Combo Packs (Gummy, Chewy, Taffy, etc.)</v>
      </c>
      <c r="F3316" t="str">
        <f>_xlfn.XLOOKUP($A3316,Load!$B:$B,Load!G:G,0,)</f>
        <v>Large Multipack (More than 80 ct)</v>
      </c>
      <c r="G3316" t="str">
        <f>_xlfn.XLOOKUP($A3316,Load!$B:$B,Load!H:H,0,)</f>
        <v>Stand-Up Bag</v>
      </c>
      <c r="H3316" t="str">
        <f>_xlfn.XLOOKUP($A3316,Load!$B:$B,Load!I:I,0,)</f>
        <v>Everyday Candy Shapes (like Original, Gummy bear, Fruit, Jewels, etc.)</v>
      </c>
      <c r="I3316" t="str">
        <f>_xlfn.XLOOKUP($A3316,Load!$B:$B,Load!J:J,0,)</f>
        <v>Seasonal Graphics (Like Bat, Ghost, Pumpkin, Fall Leaves, Eyeballs, etc.)</v>
      </c>
      <c r="J3316" t="str">
        <f>_xlfn.XLOOKUP($A3316,Load!$B:$B,Load!K:K,0,)</f>
        <v>Fun Size / Treat Size</v>
      </c>
      <c r="K3316" t="str">
        <f>_xlfn.XLOOKUP($A3316,Load!$B:$B,Load!L:L,0,)</f>
        <v>Regular/Original Wrapping</v>
      </c>
      <c r="L3316" t="str">
        <f>_xlfn.XLOOKUP($A3316,Load!$B:$B,Load!M:M,0,)</f>
        <v>Multiple Brands / Variety Flavors or Form</v>
      </c>
    </row>
    <row r="3317" spans="1:12" x14ac:dyDescent="0.25">
      <c r="A3317" t="s">
        <v>77</v>
      </c>
      <c r="B3317" t="str">
        <f>_xlfn.XLOOKUP($A3317,Load!$B:$B,Load!C:C,0,)</f>
        <v>Ferrara Variety Pack</v>
      </c>
      <c r="C3317" t="str">
        <f>_xlfn.XLOOKUP($A3317,Load!$B:$B,Load!D:D,0,)</f>
        <v>Non-Chocolate Candy Only</v>
      </c>
      <c r="D3317" t="str">
        <f>_xlfn.XLOOKUP($A3317,Load!$B:$B,Load!E:E,0,)</f>
        <v>Variety / Mixed Flavors (Fruity, Sour, Seasonal Flavors)</v>
      </c>
      <c r="E3317" t="str">
        <f>_xlfn.XLOOKUP($A3317,Load!$B:$B,Load!F:F,0,)</f>
        <v>Mixed / Combo Packs (Gummy, Chewy, Taffy, etc.)</v>
      </c>
      <c r="F3317" t="str">
        <f>_xlfn.XLOOKUP($A3317,Load!$B:$B,Load!G:G,0,)</f>
        <v>Medium Multipack (40–80 ct)</v>
      </c>
      <c r="G3317" t="str">
        <f>_xlfn.XLOOKUP($A3317,Load!$B:$B,Load!H:H,0,)</f>
        <v>Stand-Up Bag</v>
      </c>
      <c r="H3317" t="str">
        <f>_xlfn.XLOOKUP($A3317,Load!$B:$B,Load!I:I,0,)</f>
        <v>Everyday Candy Shapes (like Original, Gummy bear, Fruit, Jewels, etc.)</v>
      </c>
      <c r="I3317" t="str">
        <f>_xlfn.XLOOKUP($A3317,Load!$B:$B,Load!J:J,0,)</f>
        <v>Seasonal Graphics (Like Bat, Ghost, Pumpkin, Fall Leaves, Eyeballs, etc.)</v>
      </c>
      <c r="J3317" t="str">
        <f>_xlfn.XLOOKUP($A3317,Load!$B:$B,Load!K:K,0,)</f>
        <v>Fun Size / Treat Size</v>
      </c>
      <c r="K3317" t="str">
        <f>_xlfn.XLOOKUP($A3317,Load!$B:$B,Load!L:L,0,)</f>
        <v>Regular/Original Wrapping</v>
      </c>
      <c r="L3317" t="str">
        <f>_xlfn.XLOOKUP($A3317,Load!$B:$B,Load!M:M,0,)</f>
        <v>Multiple Brands / Variety Flavors or Form</v>
      </c>
    </row>
    <row r="3318" spans="1:12" x14ac:dyDescent="0.25">
      <c r="B3318">
        <f>_xlfn.XLOOKUP($A3318,Load!$B:$B,Load!C:C,0,)</f>
        <v>0</v>
      </c>
      <c r="C3318">
        <f>_xlfn.XLOOKUP($A3318,Load!$B:$B,Load!D:D,0,)</f>
        <v>0</v>
      </c>
      <c r="D3318">
        <f>_xlfn.XLOOKUP($A3318,Load!$B:$B,Load!E:E,0,)</f>
        <v>0</v>
      </c>
      <c r="E3318">
        <f>_xlfn.XLOOKUP($A3318,Load!$B:$B,Load!F:F,0,)</f>
        <v>0</v>
      </c>
      <c r="F3318">
        <f>_xlfn.XLOOKUP($A3318,Load!$B:$B,Load!G:G,0,)</f>
        <v>0</v>
      </c>
      <c r="G3318">
        <f>_xlfn.XLOOKUP($A3318,Load!$B:$B,Load!H:H,0,)</f>
        <v>0</v>
      </c>
      <c r="H3318">
        <f>_xlfn.XLOOKUP($A3318,Load!$B:$B,Load!I:I,0,)</f>
        <v>0</v>
      </c>
      <c r="I3318">
        <f>_xlfn.XLOOKUP($A3318,Load!$B:$B,Load!J:J,0,)</f>
        <v>0</v>
      </c>
      <c r="J3318">
        <f>_xlfn.XLOOKUP($A3318,Load!$B:$B,Load!K:K,0,)</f>
        <v>0</v>
      </c>
      <c r="K3318">
        <f>_xlfn.XLOOKUP($A3318,Load!$B:$B,Load!L:L,0,)</f>
        <v>0</v>
      </c>
      <c r="L3318">
        <f>_xlfn.XLOOKUP($A3318,Load!$B:$B,Load!M:M,0,)</f>
        <v>0</v>
      </c>
    </row>
    <row r="3319" spans="1:12" x14ac:dyDescent="0.25">
      <c r="B3319">
        <f>_xlfn.XLOOKUP($A3319,Load!$B:$B,Load!C:C,0,)</f>
        <v>0</v>
      </c>
      <c r="C3319">
        <f>_xlfn.XLOOKUP($A3319,Load!$B:$B,Load!D:D,0,)</f>
        <v>0</v>
      </c>
      <c r="D3319">
        <f>_xlfn.XLOOKUP($A3319,Load!$B:$B,Load!E:E,0,)</f>
        <v>0</v>
      </c>
      <c r="E3319">
        <f>_xlfn.XLOOKUP($A3319,Load!$B:$B,Load!F:F,0,)</f>
        <v>0</v>
      </c>
      <c r="F3319">
        <f>_xlfn.XLOOKUP($A3319,Load!$B:$B,Load!G:G,0,)</f>
        <v>0</v>
      </c>
      <c r="G3319">
        <f>_xlfn.XLOOKUP($A3319,Load!$B:$B,Load!H:H,0,)</f>
        <v>0</v>
      </c>
      <c r="H3319">
        <f>_xlfn.XLOOKUP($A3319,Load!$B:$B,Load!I:I,0,)</f>
        <v>0</v>
      </c>
      <c r="I3319">
        <f>_xlfn.XLOOKUP($A3319,Load!$B:$B,Load!J:J,0,)</f>
        <v>0</v>
      </c>
      <c r="J3319">
        <f>_xlfn.XLOOKUP($A3319,Load!$B:$B,Load!K:K,0,)</f>
        <v>0</v>
      </c>
      <c r="K3319">
        <f>_xlfn.XLOOKUP($A3319,Load!$B:$B,Load!L:L,0,)</f>
        <v>0</v>
      </c>
      <c r="L3319">
        <f>_xlfn.XLOOKUP($A3319,Load!$B:$B,Load!M:M,0,)</f>
        <v>0</v>
      </c>
    </row>
    <row r="3320" spans="1:12" x14ac:dyDescent="0.25">
      <c r="A3320" t="s">
        <v>205</v>
      </c>
      <c r="B3320" t="str">
        <f>_xlfn.XLOOKUP($A3320,Load!$B:$B,Load!C:C,0,)</f>
        <v>Mars Variety Pack</v>
      </c>
      <c r="C3320" t="str">
        <f>_xlfn.XLOOKUP($A3320,Load!$B:$B,Load!D:D,0,)</f>
        <v>Non-Chocolate Candy Only</v>
      </c>
      <c r="D3320" t="str">
        <f>_xlfn.XLOOKUP($A3320,Load!$B:$B,Load!E:E,0,)</f>
        <v>Variety / Mixed Flavors (Fruity, Sour, Seasonal Flavors)</v>
      </c>
      <c r="E3320" t="str">
        <f>_xlfn.XLOOKUP($A3320,Load!$B:$B,Load!F:F,0,)</f>
        <v>Mixed / Combo Packs (Gummy, Chewy, Taffy, etc.)</v>
      </c>
      <c r="F3320" t="str">
        <f>_xlfn.XLOOKUP($A3320,Load!$B:$B,Load!G:G,0,)</f>
        <v>Small Multipack (Less than 40 ct)</v>
      </c>
      <c r="G3320" t="str">
        <f>_xlfn.XLOOKUP($A3320,Load!$B:$B,Load!H:H,0,)</f>
        <v>Box (theatre box, gift box, carton)</v>
      </c>
      <c r="H3320" t="str">
        <f>_xlfn.XLOOKUP($A3320,Load!$B:$B,Load!I:I,0,)</f>
        <v>Everyday Candy Shapes (like Original, Gummy bear, Fruit, Jewels, etc.)</v>
      </c>
      <c r="I3320" t="str">
        <f>_xlfn.XLOOKUP($A3320,Load!$B:$B,Load!J:J,0,)</f>
        <v>Everyday Graphics</v>
      </c>
      <c r="J3320" t="str">
        <f>_xlfn.XLOOKUP($A3320,Load!$B:$B,Load!K:K,0,)</f>
        <v>Small Pieces (Tiny bite size candies)</v>
      </c>
      <c r="K3320" t="str">
        <f>_xlfn.XLOOKUP($A3320,Load!$B:$B,Load!L:L,0,)</f>
        <v>Regular/Original Wrapping</v>
      </c>
      <c r="L3320" t="str">
        <f>_xlfn.XLOOKUP($A3320,Load!$B:$B,Load!M:M,0,)</f>
        <v>Multiple Brands / Variety Flavors or Form</v>
      </c>
    </row>
    <row r="3321" spans="1:12" x14ac:dyDescent="0.25">
      <c r="B3321">
        <f>_xlfn.XLOOKUP($A3321,Load!$B:$B,Load!C:C,0,)</f>
        <v>0</v>
      </c>
      <c r="C3321">
        <f>_xlfn.XLOOKUP($A3321,Load!$B:$B,Load!D:D,0,)</f>
        <v>0</v>
      </c>
      <c r="D3321">
        <f>_xlfn.XLOOKUP($A3321,Load!$B:$B,Load!E:E,0,)</f>
        <v>0</v>
      </c>
      <c r="E3321">
        <f>_xlfn.XLOOKUP($A3321,Load!$B:$B,Load!F:F,0,)</f>
        <v>0</v>
      </c>
      <c r="F3321">
        <f>_xlfn.XLOOKUP($A3321,Load!$B:$B,Load!G:G,0,)</f>
        <v>0</v>
      </c>
      <c r="G3321">
        <f>_xlfn.XLOOKUP($A3321,Load!$B:$B,Load!H:H,0,)</f>
        <v>0</v>
      </c>
      <c r="H3321">
        <f>_xlfn.XLOOKUP($A3321,Load!$B:$B,Load!I:I,0,)</f>
        <v>0</v>
      </c>
      <c r="I3321">
        <f>_xlfn.XLOOKUP($A3321,Load!$B:$B,Load!J:J,0,)</f>
        <v>0</v>
      </c>
      <c r="J3321">
        <f>_xlfn.XLOOKUP($A3321,Load!$B:$B,Load!K:K,0,)</f>
        <v>0</v>
      </c>
      <c r="K3321">
        <f>_xlfn.XLOOKUP($A3321,Load!$B:$B,Load!L:L,0,)</f>
        <v>0</v>
      </c>
      <c r="L3321">
        <f>_xlfn.XLOOKUP($A3321,Load!$B:$B,Load!M:M,0,)</f>
        <v>0</v>
      </c>
    </row>
    <row r="3322" spans="1:12" x14ac:dyDescent="0.25">
      <c r="B3322">
        <f>_xlfn.XLOOKUP($A3322,Load!$B:$B,Load!C:C,0,)</f>
        <v>0</v>
      </c>
      <c r="C3322">
        <f>_xlfn.XLOOKUP($A3322,Load!$B:$B,Load!D:D,0,)</f>
        <v>0</v>
      </c>
      <c r="D3322">
        <f>_xlfn.XLOOKUP($A3322,Load!$B:$B,Load!E:E,0,)</f>
        <v>0</v>
      </c>
      <c r="E3322">
        <f>_xlfn.XLOOKUP($A3322,Load!$B:$B,Load!F:F,0,)</f>
        <v>0</v>
      </c>
      <c r="F3322">
        <f>_xlfn.XLOOKUP($A3322,Load!$B:$B,Load!G:G,0,)</f>
        <v>0</v>
      </c>
      <c r="G3322">
        <f>_xlfn.XLOOKUP($A3322,Load!$B:$B,Load!H:H,0,)</f>
        <v>0</v>
      </c>
      <c r="H3322">
        <f>_xlfn.XLOOKUP($A3322,Load!$B:$B,Load!I:I,0,)</f>
        <v>0</v>
      </c>
      <c r="I3322">
        <f>_xlfn.XLOOKUP($A3322,Load!$B:$B,Load!J:J,0,)</f>
        <v>0</v>
      </c>
      <c r="J3322">
        <f>_xlfn.XLOOKUP($A3322,Load!$B:$B,Load!K:K,0,)</f>
        <v>0</v>
      </c>
      <c r="K3322">
        <f>_xlfn.XLOOKUP($A3322,Load!$B:$B,Load!L:L,0,)</f>
        <v>0</v>
      </c>
      <c r="L3322">
        <f>_xlfn.XLOOKUP($A3322,Load!$B:$B,Load!M:M,0,)</f>
        <v>0</v>
      </c>
    </row>
    <row r="3323" spans="1:12" x14ac:dyDescent="0.25">
      <c r="B3323">
        <f>_xlfn.XLOOKUP($A3323,Load!$B:$B,Load!C:C,0,)</f>
        <v>0</v>
      </c>
      <c r="C3323">
        <f>_xlfn.XLOOKUP($A3323,Load!$B:$B,Load!D:D,0,)</f>
        <v>0</v>
      </c>
      <c r="D3323">
        <f>_xlfn.XLOOKUP($A3323,Load!$B:$B,Load!E:E,0,)</f>
        <v>0</v>
      </c>
      <c r="E3323">
        <f>_xlfn.XLOOKUP($A3323,Load!$B:$B,Load!F:F,0,)</f>
        <v>0</v>
      </c>
      <c r="F3323">
        <f>_xlfn.XLOOKUP($A3323,Load!$B:$B,Load!G:G,0,)</f>
        <v>0</v>
      </c>
      <c r="G3323">
        <f>_xlfn.XLOOKUP($A3323,Load!$B:$B,Load!H:H,0,)</f>
        <v>0</v>
      </c>
      <c r="H3323">
        <f>_xlfn.XLOOKUP($A3323,Load!$B:$B,Load!I:I,0,)</f>
        <v>0</v>
      </c>
      <c r="I3323">
        <f>_xlfn.XLOOKUP($A3323,Load!$B:$B,Load!J:J,0,)</f>
        <v>0</v>
      </c>
      <c r="J3323">
        <f>_xlfn.XLOOKUP($A3323,Load!$B:$B,Load!K:K,0,)</f>
        <v>0</v>
      </c>
      <c r="K3323">
        <f>_xlfn.XLOOKUP($A3323,Load!$B:$B,Load!L:L,0,)</f>
        <v>0</v>
      </c>
      <c r="L3323">
        <f>_xlfn.XLOOKUP($A3323,Load!$B:$B,Load!M:M,0,)</f>
        <v>0</v>
      </c>
    </row>
    <row r="3324" spans="1:12" x14ac:dyDescent="0.25">
      <c r="B3324">
        <f>_xlfn.XLOOKUP($A3324,Load!$B:$B,Load!C:C,0,)</f>
        <v>0</v>
      </c>
      <c r="C3324">
        <f>_xlfn.XLOOKUP($A3324,Load!$B:$B,Load!D:D,0,)</f>
        <v>0</v>
      </c>
      <c r="D3324">
        <f>_xlfn.XLOOKUP($A3324,Load!$B:$B,Load!E:E,0,)</f>
        <v>0</v>
      </c>
      <c r="E3324">
        <f>_xlfn.XLOOKUP($A3324,Load!$B:$B,Load!F:F,0,)</f>
        <v>0</v>
      </c>
      <c r="F3324">
        <f>_xlfn.XLOOKUP($A3324,Load!$B:$B,Load!G:G,0,)</f>
        <v>0</v>
      </c>
      <c r="G3324">
        <f>_xlfn.XLOOKUP($A3324,Load!$B:$B,Load!H:H,0,)</f>
        <v>0</v>
      </c>
      <c r="H3324">
        <f>_xlfn.XLOOKUP($A3324,Load!$B:$B,Load!I:I,0,)</f>
        <v>0</v>
      </c>
      <c r="I3324">
        <f>_xlfn.XLOOKUP($A3324,Load!$B:$B,Load!J:J,0,)</f>
        <v>0</v>
      </c>
      <c r="J3324">
        <f>_xlfn.XLOOKUP($A3324,Load!$B:$B,Load!K:K,0,)</f>
        <v>0</v>
      </c>
      <c r="K3324">
        <f>_xlfn.XLOOKUP($A3324,Load!$B:$B,Load!L:L,0,)</f>
        <v>0</v>
      </c>
      <c r="L3324">
        <f>_xlfn.XLOOKUP($A3324,Load!$B:$B,Load!M:M,0,)</f>
        <v>0</v>
      </c>
    </row>
    <row r="3325" spans="1:12" x14ac:dyDescent="0.25">
      <c r="B3325">
        <f>_xlfn.XLOOKUP($A3325,Load!$B:$B,Load!C:C,0,)</f>
        <v>0</v>
      </c>
      <c r="C3325">
        <f>_xlfn.XLOOKUP($A3325,Load!$B:$B,Load!D:D,0,)</f>
        <v>0</v>
      </c>
      <c r="D3325">
        <f>_xlfn.XLOOKUP($A3325,Load!$B:$B,Load!E:E,0,)</f>
        <v>0</v>
      </c>
      <c r="E3325">
        <f>_xlfn.XLOOKUP($A3325,Load!$B:$B,Load!F:F,0,)</f>
        <v>0</v>
      </c>
      <c r="F3325">
        <f>_xlfn.XLOOKUP($A3325,Load!$B:$B,Load!G:G,0,)</f>
        <v>0</v>
      </c>
      <c r="G3325">
        <f>_xlfn.XLOOKUP($A3325,Load!$B:$B,Load!H:H,0,)</f>
        <v>0</v>
      </c>
      <c r="H3325">
        <f>_xlfn.XLOOKUP($A3325,Load!$B:$B,Load!I:I,0,)</f>
        <v>0</v>
      </c>
      <c r="I3325">
        <f>_xlfn.XLOOKUP($A3325,Load!$B:$B,Load!J:J,0,)</f>
        <v>0</v>
      </c>
      <c r="J3325">
        <f>_xlfn.XLOOKUP($A3325,Load!$B:$B,Load!K:K,0,)</f>
        <v>0</v>
      </c>
      <c r="K3325">
        <f>_xlfn.XLOOKUP($A3325,Load!$B:$B,Load!L:L,0,)</f>
        <v>0</v>
      </c>
      <c r="L3325">
        <f>_xlfn.XLOOKUP($A3325,Load!$B:$B,Load!M:M,0,)</f>
        <v>0</v>
      </c>
    </row>
    <row r="3326" spans="1:12" x14ac:dyDescent="0.25">
      <c r="B3326">
        <f>_xlfn.XLOOKUP($A3326,Load!$B:$B,Load!C:C,0,)</f>
        <v>0</v>
      </c>
      <c r="C3326">
        <f>_xlfn.XLOOKUP($A3326,Load!$B:$B,Load!D:D,0,)</f>
        <v>0</v>
      </c>
      <c r="D3326">
        <f>_xlfn.XLOOKUP($A3326,Load!$B:$B,Load!E:E,0,)</f>
        <v>0</v>
      </c>
      <c r="E3326">
        <f>_xlfn.XLOOKUP($A3326,Load!$B:$B,Load!F:F,0,)</f>
        <v>0</v>
      </c>
      <c r="F3326">
        <f>_xlfn.XLOOKUP($A3326,Load!$B:$B,Load!G:G,0,)</f>
        <v>0</v>
      </c>
      <c r="G3326">
        <f>_xlfn.XLOOKUP($A3326,Load!$B:$B,Load!H:H,0,)</f>
        <v>0</v>
      </c>
      <c r="H3326">
        <f>_xlfn.XLOOKUP($A3326,Load!$B:$B,Load!I:I,0,)</f>
        <v>0</v>
      </c>
      <c r="I3326">
        <f>_xlfn.XLOOKUP($A3326,Load!$B:$B,Load!J:J,0,)</f>
        <v>0</v>
      </c>
      <c r="J3326">
        <f>_xlfn.XLOOKUP($A3326,Load!$B:$B,Load!K:K,0,)</f>
        <v>0</v>
      </c>
      <c r="K3326">
        <f>_xlfn.XLOOKUP($A3326,Load!$B:$B,Load!L:L,0,)</f>
        <v>0</v>
      </c>
      <c r="L3326">
        <f>_xlfn.XLOOKUP($A3326,Load!$B:$B,Load!M:M,0,)</f>
        <v>0</v>
      </c>
    </row>
    <row r="3327" spans="1:12" x14ac:dyDescent="0.25">
      <c r="B3327">
        <f>_xlfn.XLOOKUP($A3327,Load!$B:$B,Load!C:C,0,)</f>
        <v>0</v>
      </c>
      <c r="C3327">
        <f>_xlfn.XLOOKUP($A3327,Load!$B:$B,Load!D:D,0,)</f>
        <v>0</v>
      </c>
      <c r="D3327">
        <f>_xlfn.XLOOKUP($A3327,Load!$B:$B,Load!E:E,0,)</f>
        <v>0</v>
      </c>
      <c r="E3327">
        <f>_xlfn.XLOOKUP($A3327,Load!$B:$B,Load!F:F,0,)</f>
        <v>0</v>
      </c>
      <c r="F3327">
        <f>_xlfn.XLOOKUP($A3327,Load!$B:$B,Load!G:G,0,)</f>
        <v>0</v>
      </c>
      <c r="G3327">
        <f>_xlfn.XLOOKUP($A3327,Load!$B:$B,Load!H:H,0,)</f>
        <v>0</v>
      </c>
      <c r="H3327">
        <f>_xlfn.XLOOKUP($A3327,Load!$B:$B,Load!I:I,0,)</f>
        <v>0</v>
      </c>
      <c r="I3327">
        <f>_xlfn.XLOOKUP($A3327,Load!$B:$B,Load!J:J,0,)</f>
        <v>0</v>
      </c>
      <c r="J3327">
        <f>_xlfn.XLOOKUP($A3327,Load!$B:$B,Load!K:K,0,)</f>
        <v>0</v>
      </c>
      <c r="K3327">
        <f>_xlfn.XLOOKUP($A3327,Load!$B:$B,Load!L:L,0,)</f>
        <v>0</v>
      </c>
      <c r="L3327">
        <f>_xlfn.XLOOKUP($A3327,Load!$B:$B,Load!M:M,0,)</f>
        <v>0</v>
      </c>
    </row>
    <row r="3328" spans="1:12" x14ac:dyDescent="0.25">
      <c r="B3328">
        <f>_xlfn.XLOOKUP($A3328,Load!$B:$B,Load!C:C,0,)</f>
        <v>0</v>
      </c>
      <c r="C3328">
        <f>_xlfn.XLOOKUP($A3328,Load!$B:$B,Load!D:D,0,)</f>
        <v>0</v>
      </c>
      <c r="D3328">
        <f>_xlfn.XLOOKUP($A3328,Load!$B:$B,Load!E:E,0,)</f>
        <v>0</v>
      </c>
      <c r="E3328">
        <f>_xlfn.XLOOKUP($A3328,Load!$B:$B,Load!F:F,0,)</f>
        <v>0</v>
      </c>
      <c r="F3328">
        <f>_xlfn.XLOOKUP($A3328,Load!$B:$B,Load!G:G,0,)</f>
        <v>0</v>
      </c>
      <c r="G3328">
        <f>_xlfn.XLOOKUP($A3328,Load!$B:$B,Load!H:H,0,)</f>
        <v>0</v>
      </c>
      <c r="H3328">
        <f>_xlfn.XLOOKUP($A3328,Load!$B:$B,Load!I:I,0,)</f>
        <v>0</v>
      </c>
      <c r="I3328">
        <f>_xlfn.XLOOKUP($A3328,Load!$B:$B,Load!J:J,0,)</f>
        <v>0</v>
      </c>
      <c r="J3328">
        <f>_xlfn.XLOOKUP($A3328,Load!$B:$B,Load!K:K,0,)</f>
        <v>0</v>
      </c>
      <c r="K3328">
        <f>_xlfn.XLOOKUP($A3328,Load!$B:$B,Load!L:L,0,)</f>
        <v>0</v>
      </c>
      <c r="L3328">
        <f>_xlfn.XLOOKUP($A3328,Load!$B:$B,Load!M:M,0,)</f>
        <v>0</v>
      </c>
    </row>
    <row r="3329" spans="1:12" x14ac:dyDescent="0.25">
      <c r="B3329">
        <f>_xlfn.XLOOKUP($A3329,Load!$B:$B,Load!C:C,0,)</f>
        <v>0</v>
      </c>
      <c r="C3329">
        <f>_xlfn.XLOOKUP($A3329,Load!$B:$B,Load!D:D,0,)</f>
        <v>0</v>
      </c>
      <c r="D3329">
        <f>_xlfn.XLOOKUP($A3329,Load!$B:$B,Load!E:E,0,)</f>
        <v>0</v>
      </c>
      <c r="E3329">
        <f>_xlfn.XLOOKUP($A3329,Load!$B:$B,Load!F:F,0,)</f>
        <v>0</v>
      </c>
      <c r="F3329">
        <f>_xlfn.XLOOKUP($A3329,Load!$B:$B,Load!G:G,0,)</f>
        <v>0</v>
      </c>
      <c r="G3329">
        <f>_xlfn.XLOOKUP($A3329,Load!$B:$B,Load!H:H,0,)</f>
        <v>0</v>
      </c>
      <c r="H3329">
        <f>_xlfn.XLOOKUP($A3329,Load!$B:$B,Load!I:I,0,)</f>
        <v>0</v>
      </c>
      <c r="I3329">
        <f>_xlfn.XLOOKUP($A3329,Load!$B:$B,Load!J:J,0,)</f>
        <v>0</v>
      </c>
      <c r="J3329">
        <f>_xlfn.XLOOKUP($A3329,Load!$B:$B,Load!K:K,0,)</f>
        <v>0</v>
      </c>
      <c r="K3329">
        <f>_xlfn.XLOOKUP($A3329,Load!$B:$B,Load!L:L,0,)</f>
        <v>0</v>
      </c>
      <c r="L3329">
        <f>_xlfn.XLOOKUP($A3329,Load!$B:$B,Load!M:M,0,)</f>
        <v>0</v>
      </c>
    </row>
    <row r="3330" spans="1:12" x14ac:dyDescent="0.25">
      <c r="B3330">
        <f>_xlfn.XLOOKUP($A3330,Load!$B:$B,Load!C:C,0,)</f>
        <v>0</v>
      </c>
      <c r="C3330">
        <f>_xlfn.XLOOKUP($A3330,Load!$B:$B,Load!D:D,0,)</f>
        <v>0</v>
      </c>
      <c r="D3330">
        <f>_xlfn.XLOOKUP($A3330,Load!$B:$B,Load!E:E,0,)</f>
        <v>0</v>
      </c>
      <c r="E3330">
        <f>_xlfn.XLOOKUP($A3330,Load!$B:$B,Load!F:F,0,)</f>
        <v>0</v>
      </c>
      <c r="F3330">
        <f>_xlfn.XLOOKUP($A3330,Load!$B:$B,Load!G:G,0,)</f>
        <v>0</v>
      </c>
      <c r="G3330">
        <f>_xlfn.XLOOKUP($A3330,Load!$B:$B,Load!H:H,0,)</f>
        <v>0</v>
      </c>
      <c r="H3330">
        <f>_xlfn.XLOOKUP($A3330,Load!$B:$B,Load!I:I,0,)</f>
        <v>0</v>
      </c>
      <c r="I3330">
        <f>_xlfn.XLOOKUP($A3330,Load!$B:$B,Load!J:J,0,)</f>
        <v>0</v>
      </c>
      <c r="J3330">
        <f>_xlfn.XLOOKUP($A3330,Load!$B:$B,Load!K:K,0,)</f>
        <v>0</v>
      </c>
      <c r="K3330">
        <f>_xlfn.XLOOKUP($A3330,Load!$B:$B,Load!L:L,0,)</f>
        <v>0</v>
      </c>
      <c r="L3330">
        <f>_xlfn.XLOOKUP($A3330,Load!$B:$B,Load!M:M,0,)</f>
        <v>0</v>
      </c>
    </row>
    <row r="3331" spans="1:12" x14ac:dyDescent="0.25">
      <c r="B3331">
        <f>_xlfn.XLOOKUP($A3331,Load!$B:$B,Load!C:C,0,)</f>
        <v>0</v>
      </c>
      <c r="C3331">
        <f>_xlfn.XLOOKUP($A3331,Load!$B:$B,Load!D:D,0,)</f>
        <v>0</v>
      </c>
      <c r="D3331">
        <f>_xlfn.XLOOKUP($A3331,Load!$B:$B,Load!E:E,0,)</f>
        <v>0</v>
      </c>
      <c r="E3331">
        <f>_xlfn.XLOOKUP($A3331,Load!$B:$B,Load!F:F,0,)</f>
        <v>0</v>
      </c>
      <c r="F3331">
        <f>_xlfn.XLOOKUP($A3331,Load!$B:$B,Load!G:G,0,)</f>
        <v>0</v>
      </c>
      <c r="G3331">
        <f>_xlfn.XLOOKUP($A3331,Load!$B:$B,Load!H:H,0,)</f>
        <v>0</v>
      </c>
      <c r="H3331">
        <f>_xlfn.XLOOKUP($A3331,Load!$B:$B,Load!I:I,0,)</f>
        <v>0</v>
      </c>
      <c r="I3331">
        <f>_xlfn.XLOOKUP($A3331,Load!$B:$B,Load!J:J,0,)</f>
        <v>0</v>
      </c>
      <c r="J3331">
        <f>_xlfn.XLOOKUP($A3331,Load!$B:$B,Load!K:K,0,)</f>
        <v>0</v>
      </c>
      <c r="K3331">
        <f>_xlfn.XLOOKUP($A3331,Load!$B:$B,Load!L:L,0,)</f>
        <v>0</v>
      </c>
      <c r="L3331">
        <f>_xlfn.XLOOKUP($A3331,Load!$B:$B,Load!M:M,0,)</f>
        <v>0</v>
      </c>
    </row>
    <row r="3332" spans="1:12" x14ac:dyDescent="0.25">
      <c r="A3332" t="s">
        <v>311</v>
      </c>
      <c r="B3332" t="str">
        <f>_xlfn.XLOOKUP($A3332,Load!$B:$B,Load!C:C,0,)</f>
        <v>Werther's Original</v>
      </c>
      <c r="C3332" t="str">
        <f>_xlfn.XLOOKUP($A3332,Load!$B:$B,Load!D:D,0,)</f>
        <v>Non-Chocolate Candy Only</v>
      </c>
      <c r="D3332" t="str">
        <f>_xlfn.XLOOKUP($A3332,Load!$B:$B,Load!E:E,0,)</f>
        <v>Fall / Seasonal Flavors (pumpkin spice, caramel apple, candy corn)</v>
      </c>
      <c r="E3332" t="str">
        <f>_xlfn.XLOOKUP($A3332,Load!$B:$B,Load!F:F,0,)</f>
        <v>Chewy</v>
      </c>
      <c r="F3332" t="str">
        <f>_xlfn.XLOOKUP($A3332,Load!$B:$B,Load!G:G,0,)</f>
        <v>Single Pack</v>
      </c>
      <c r="G3332" t="str">
        <f>_xlfn.XLOOKUP($A3332,Load!$B:$B,Load!H:H,0,)</f>
        <v>Stand-Up Bag</v>
      </c>
      <c r="H3332" t="str">
        <f>_xlfn.XLOOKUP($A3332,Load!$B:$B,Load!I:I,0,)</f>
        <v>Everyday Candy Shapes (like Original, Gummy bear, Fruit, Jewels, etc.)</v>
      </c>
      <c r="I3332" t="str">
        <f>_xlfn.XLOOKUP($A3332,Load!$B:$B,Load!J:J,0,)</f>
        <v>Seasonal Graphics (Like Bat, Ghost, Pumpkin, Fall Leaves, Eyeballs, etc.)</v>
      </c>
      <c r="J3332" t="str">
        <f>_xlfn.XLOOKUP($A3332,Load!$B:$B,Load!K:K,0,)</f>
        <v>Fun Size / Treat Size</v>
      </c>
      <c r="K3332" t="str">
        <f>_xlfn.XLOOKUP($A3332,Load!$B:$B,Load!L:L,0,)</f>
        <v>Regular/Original Wrapping</v>
      </c>
      <c r="L3332" t="str">
        <f>_xlfn.XLOOKUP($A3332,Load!$B:$B,Load!M:M,0,)</f>
        <v>Single Brand / Variety Flavors or Form</v>
      </c>
    </row>
    <row r="3333" spans="1:12" x14ac:dyDescent="0.25">
      <c r="B3333">
        <f>_xlfn.XLOOKUP($A3333,Load!$B:$B,Load!C:C,0,)</f>
        <v>0</v>
      </c>
      <c r="C3333">
        <f>_xlfn.XLOOKUP($A3333,Load!$B:$B,Load!D:D,0,)</f>
        <v>0</v>
      </c>
      <c r="D3333">
        <f>_xlfn.XLOOKUP($A3333,Load!$B:$B,Load!E:E,0,)</f>
        <v>0</v>
      </c>
      <c r="E3333">
        <f>_xlfn.XLOOKUP($A3333,Load!$B:$B,Load!F:F,0,)</f>
        <v>0</v>
      </c>
      <c r="F3333">
        <f>_xlfn.XLOOKUP($A3333,Load!$B:$B,Load!G:G,0,)</f>
        <v>0</v>
      </c>
      <c r="G3333">
        <f>_xlfn.XLOOKUP($A3333,Load!$B:$B,Load!H:H,0,)</f>
        <v>0</v>
      </c>
      <c r="H3333">
        <f>_xlfn.XLOOKUP($A3333,Load!$B:$B,Load!I:I,0,)</f>
        <v>0</v>
      </c>
      <c r="I3333">
        <f>_xlfn.XLOOKUP($A3333,Load!$B:$B,Load!J:J,0,)</f>
        <v>0</v>
      </c>
      <c r="J3333">
        <f>_xlfn.XLOOKUP($A3333,Load!$B:$B,Load!K:K,0,)</f>
        <v>0</v>
      </c>
      <c r="K3333">
        <f>_xlfn.XLOOKUP($A3333,Load!$B:$B,Load!L:L,0,)</f>
        <v>0</v>
      </c>
      <c r="L3333">
        <f>_xlfn.XLOOKUP($A3333,Load!$B:$B,Load!M:M,0,)</f>
        <v>0</v>
      </c>
    </row>
    <row r="3334" spans="1:12" x14ac:dyDescent="0.25">
      <c r="A3334" t="s">
        <v>218</v>
      </c>
      <c r="B3334" t="str">
        <f>_xlfn.XLOOKUP($A3334,Load!$B:$B,Load!C:C,0,)</f>
        <v>Mondelez Variety Pack</v>
      </c>
      <c r="C3334" t="str">
        <f>_xlfn.XLOOKUP($A3334,Load!$B:$B,Load!D:D,0,)</f>
        <v>Non-Chocolate Candy Only</v>
      </c>
      <c r="D3334" t="str">
        <f>_xlfn.XLOOKUP($A3334,Load!$B:$B,Load!E:E,0,)</f>
        <v>Sour</v>
      </c>
      <c r="E3334" t="str">
        <f>_xlfn.XLOOKUP($A3334,Load!$B:$B,Load!F:F,0,)</f>
        <v>Mixed / Combo Packs (Gummy, Chewy, Taffy, etc.)</v>
      </c>
      <c r="F3334" t="str">
        <f>_xlfn.XLOOKUP($A3334,Load!$B:$B,Load!G:G,0,)</f>
        <v>Large Multipack (More than 80 ct)</v>
      </c>
      <c r="G3334" t="str">
        <f>_xlfn.XLOOKUP($A3334,Load!$B:$B,Load!H:H,0,)</f>
        <v>Stand-Up Bag</v>
      </c>
      <c r="H3334" t="str">
        <f>_xlfn.XLOOKUP($A3334,Load!$B:$B,Load!I:I,0,)</f>
        <v>Seasonal Shapes (like pumpkins, candy corn, ghost, bats, etc.)</v>
      </c>
      <c r="I3334" t="str">
        <f>_xlfn.XLOOKUP($A3334,Load!$B:$B,Load!J:J,0,)</f>
        <v>Seasonal Graphics (Like Bat, Ghost, Pumpkin, Fall Leaves, Eyeballs, etc.)</v>
      </c>
      <c r="J3334" t="str">
        <f>_xlfn.XLOOKUP($A3334,Load!$B:$B,Load!K:K,0,)</f>
        <v>Small Pieces (Tiny bite size candies)</v>
      </c>
      <c r="K3334" t="str">
        <f>_xlfn.XLOOKUP($A3334,Load!$B:$B,Load!L:L,0,)</f>
        <v>Regular/Original Wrapping</v>
      </c>
      <c r="L3334" t="str">
        <f>_xlfn.XLOOKUP($A3334,Load!$B:$B,Load!M:M,0,)</f>
        <v>Multiple Brands / Variety Flavors or Form</v>
      </c>
    </row>
    <row r="3335" spans="1:12" x14ac:dyDescent="0.25">
      <c r="A3335" t="s">
        <v>109</v>
      </c>
      <c r="B3335" t="str">
        <f>_xlfn.XLOOKUP($A3335,Load!$B:$B,Load!C:C,0,)</f>
        <v>Frankford</v>
      </c>
      <c r="C3335" t="str">
        <f>_xlfn.XLOOKUP($A3335,Load!$B:$B,Load!D:D,0,)</f>
        <v>Non-Chocolate Candy Only</v>
      </c>
      <c r="D3335" t="str">
        <f>_xlfn.XLOOKUP($A3335,Load!$B:$B,Load!E:E,0,)</f>
        <v>Sour</v>
      </c>
      <c r="E3335" t="str">
        <f>_xlfn.XLOOKUP($A3335,Load!$B:$B,Load!F:F,0,)</f>
        <v>Mixed / Combo Packs (Gummy, Chewy, Taffy, etc.)</v>
      </c>
      <c r="F3335" t="str">
        <f>_xlfn.XLOOKUP($A3335,Load!$B:$B,Load!G:G,0,)</f>
        <v>Large Multipack (More than 80 ct)</v>
      </c>
      <c r="G3335" t="str">
        <f>_xlfn.XLOOKUP($A3335,Load!$B:$B,Load!H:H,0,)</f>
        <v>Laydown Bag</v>
      </c>
      <c r="H3335" t="str">
        <f>_xlfn.XLOOKUP($A3335,Load!$B:$B,Load!I:I,0,)</f>
        <v>Everyday Candy Shapes (like Original, Gummy bear, Fruit, Jewels, etc.)</v>
      </c>
      <c r="I3335" t="str">
        <f>_xlfn.XLOOKUP($A3335,Load!$B:$B,Load!J:J,0,)</f>
        <v>Seasonal Graphics (Like Bat, Ghost, Pumpkin, Fall Leaves, Eyeballs, etc.)</v>
      </c>
      <c r="J3335" t="str">
        <f>_xlfn.XLOOKUP($A3335,Load!$B:$B,Load!K:K,0,)</f>
        <v>Small Pieces (Tiny bite size candies)</v>
      </c>
      <c r="K3335" t="str">
        <f>_xlfn.XLOOKUP($A3335,Load!$B:$B,Load!L:L,0,)</f>
        <v>Regular/Original Wrapping</v>
      </c>
      <c r="L3335" t="str">
        <f>_xlfn.XLOOKUP($A3335,Load!$B:$B,Load!M:M,0,)</f>
        <v>Multiple Brands / Variety Flavors or Form</v>
      </c>
    </row>
    <row r="3336" spans="1:12" x14ac:dyDescent="0.25">
      <c r="A3336" t="s">
        <v>203</v>
      </c>
      <c r="B3336" t="str">
        <f>_xlfn.XLOOKUP($A3336,Load!$B:$B,Load!C:C,0,)</f>
        <v>Mars Variety Pack</v>
      </c>
      <c r="C3336" t="str">
        <f>_xlfn.XLOOKUP($A3336,Load!$B:$B,Load!D:D,0,)</f>
        <v>Mix of Chocolate and Non-Chocolate Candy</v>
      </c>
      <c r="D3336" t="str">
        <f>_xlfn.XLOOKUP($A3336,Load!$B:$B,Load!E:E,0,)</f>
        <v>Variety / Mixed Flavors (Fruity, Sour, Seasonal Flavors)</v>
      </c>
      <c r="E3336" t="str">
        <f>_xlfn.XLOOKUP($A3336,Load!$B:$B,Load!F:F,0,)</f>
        <v>Mixed / Combo Packs (Gummy, Chewy, Taffy, etc.)</v>
      </c>
      <c r="F3336" t="str">
        <f>_xlfn.XLOOKUP($A3336,Load!$B:$B,Load!G:G,0,)</f>
        <v>Small Multipack (Less than 40 ct)</v>
      </c>
      <c r="G3336" t="str">
        <f>_xlfn.XLOOKUP($A3336,Load!$B:$B,Load!H:H,0,)</f>
        <v>Box (theatre box, gift box, carton)</v>
      </c>
      <c r="H3336" t="str">
        <f>_xlfn.XLOOKUP($A3336,Load!$B:$B,Load!I:I,0,)</f>
        <v>Everyday Candy Shapes (like Original, Gummy bear, Fruit, Jewels, etc.)</v>
      </c>
      <c r="I3336" t="str">
        <f>_xlfn.XLOOKUP($A3336,Load!$B:$B,Load!J:J,0,)</f>
        <v>Everyday Graphics</v>
      </c>
      <c r="J3336" t="str">
        <f>_xlfn.XLOOKUP($A3336,Load!$B:$B,Load!K:K,0,)</f>
        <v>Fun Size / Treat Size</v>
      </c>
      <c r="K3336" t="str">
        <f>_xlfn.XLOOKUP($A3336,Load!$B:$B,Load!L:L,0,)</f>
        <v>Regular/Original Wrapping</v>
      </c>
      <c r="L3336" t="str">
        <f>_xlfn.XLOOKUP($A3336,Load!$B:$B,Load!M:M,0,)</f>
        <v>Multiple Brands / Variety Flavors or Form</v>
      </c>
    </row>
    <row r="3337" spans="1:12" x14ac:dyDescent="0.25">
      <c r="A3337" t="s">
        <v>465</v>
      </c>
      <c r="B3337" t="str">
        <f>_xlfn.XLOOKUP($A3337,Load!$B:$B,Load!C:C,0,)</f>
        <v>Werther's Original</v>
      </c>
      <c r="C3337" t="str">
        <f>_xlfn.XLOOKUP($A3337,Load!$B:$B,Load!D:D,0,)</f>
        <v>Non-Chocolate Candy Only</v>
      </c>
      <c r="D3337" t="str">
        <f>_xlfn.XLOOKUP($A3337,Load!$B:$B,Load!E:E,0,)</f>
        <v>Sweet</v>
      </c>
      <c r="E3337" t="str">
        <f>_xlfn.XLOOKUP($A3337,Load!$B:$B,Load!F:F,0,)</f>
        <v>Chewy</v>
      </c>
      <c r="F3337" t="str">
        <f>_xlfn.XLOOKUP($A3337,Load!$B:$B,Load!G:G,0,)</f>
        <v>Single Pack</v>
      </c>
      <c r="G3337" t="str">
        <f>_xlfn.XLOOKUP($A3337,Load!$B:$B,Load!H:H,0,)</f>
        <v>Laydown Bag</v>
      </c>
      <c r="H3337" t="str">
        <f>_xlfn.XLOOKUP($A3337,Load!$B:$B,Load!I:I,0,)</f>
        <v>Everyday Candy Shapes (like Original, Gummy bear, Fruit, Jewels, etc.)</v>
      </c>
      <c r="I3337" t="str">
        <f>_xlfn.XLOOKUP($A3337,Load!$B:$B,Load!J:J,0,)</f>
        <v>Everyday Graphics</v>
      </c>
      <c r="J3337" t="str">
        <f>_xlfn.XLOOKUP($A3337,Load!$B:$B,Load!K:K,0,)</f>
        <v>Fun Size / Treat Size</v>
      </c>
      <c r="K3337" t="str">
        <f>_xlfn.XLOOKUP($A3337,Load!$B:$B,Load!L:L,0,)</f>
        <v>Regular/Original Wrapping</v>
      </c>
      <c r="L3337" t="str">
        <f>_xlfn.XLOOKUP($A3337,Load!$B:$B,Load!M:M,0,)</f>
        <v>Single Brand / Single Flavor or Form</v>
      </c>
    </row>
    <row r="3338" spans="1:12" x14ac:dyDescent="0.25">
      <c r="A3338" t="s">
        <v>2</v>
      </c>
      <c r="B3338" t="str">
        <f>_xlfn.XLOOKUP($A3338,Load!$B:$B,Load!C:C,0,)</f>
        <v>Airheads</v>
      </c>
      <c r="C3338" t="str">
        <f>_xlfn.XLOOKUP($A3338,Load!$B:$B,Load!D:D,0,)</f>
        <v>Non-Chocolate Candy Only</v>
      </c>
      <c r="D3338" t="str">
        <f>_xlfn.XLOOKUP($A3338,Load!$B:$B,Load!E:E,0,)</f>
        <v>Variety / Mixed Flavors (Fruity, Sour, Seasonal Flavors)</v>
      </c>
      <c r="E3338" t="str">
        <f>_xlfn.XLOOKUP($A3338,Load!$B:$B,Load!F:F,0,)</f>
        <v>Chewy</v>
      </c>
      <c r="F3338" t="str">
        <f>_xlfn.XLOOKUP($A3338,Load!$B:$B,Load!G:G,0,)</f>
        <v>Medium Multipack (40–80 ct)</v>
      </c>
      <c r="G3338" t="str">
        <f>_xlfn.XLOOKUP($A3338,Load!$B:$B,Load!H:H,0,)</f>
        <v>Box (theatre box, gift box, carton)</v>
      </c>
      <c r="H3338" t="str">
        <f>_xlfn.XLOOKUP($A3338,Load!$B:$B,Load!I:I,0,)</f>
        <v>Everyday Candy Shapes (like Original, Gummy bear, Fruit, Jewels, etc.)</v>
      </c>
      <c r="I3338" t="str">
        <f>_xlfn.XLOOKUP($A3338,Load!$B:$B,Load!J:J,0,)</f>
        <v>Seasonal Graphics (Like Bat, Ghost, Pumpkin, Fall Leaves, Eyeballs, etc.)</v>
      </c>
      <c r="J3338" t="str">
        <f>_xlfn.XLOOKUP($A3338,Load!$B:$B,Load!K:K,0,)</f>
        <v>Fun Size / Treat Size</v>
      </c>
      <c r="K3338" t="str">
        <f>_xlfn.XLOOKUP($A3338,Load!$B:$B,Load!L:L,0,)</f>
        <v>Regular/Original Wrapping</v>
      </c>
      <c r="L3338" t="str">
        <f>_xlfn.XLOOKUP($A3338,Load!$B:$B,Load!M:M,0,)</f>
        <v>Single Brand / Variety Flavors or Form</v>
      </c>
    </row>
    <row r="3339" spans="1:12" x14ac:dyDescent="0.25">
      <c r="B3339">
        <f>_xlfn.XLOOKUP($A3339,Load!$B:$B,Load!C:C,0,)</f>
        <v>0</v>
      </c>
      <c r="C3339">
        <f>_xlfn.XLOOKUP($A3339,Load!$B:$B,Load!D:D,0,)</f>
        <v>0</v>
      </c>
      <c r="D3339">
        <f>_xlfn.XLOOKUP($A3339,Load!$B:$B,Load!E:E,0,)</f>
        <v>0</v>
      </c>
      <c r="E3339">
        <f>_xlfn.XLOOKUP($A3339,Load!$B:$B,Load!F:F,0,)</f>
        <v>0</v>
      </c>
      <c r="F3339">
        <f>_xlfn.XLOOKUP($A3339,Load!$B:$B,Load!G:G,0,)</f>
        <v>0</v>
      </c>
      <c r="G3339">
        <f>_xlfn.XLOOKUP($A3339,Load!$B:$B,Load!H:H,0,)</f>
        <v>0</v>
      </c>
      <c r="H3339">
        <f>_xlfn.XLOOKUP($A3339,Load!$B:$B,Load!I:I,0,)</f>
        <v>0</v>
      </c>
      <c r="I3339">
        <f>_xlfn.XLOOKUP($A3339,Load!$B:$B,Load!J:J,0,)</f>
        <v>0</v>
      </c>
      <c r="J3339">
        <f>_xlfn.XLOOKUP($A3339,Load!$B:$B,Load!K:K,0,)</f>
        <v>0</v>
      </c>
      <c r="K3339">
        <f>_xlfn.XLOOKUP($A3339,Load!$B:$B,Load!L:L,0,)</f>
        <v>0</v>
      </c>
      <c r="L3339">
        <f>_xlfn.XLOOKUP($A3339,Load!$B:$B,Load!M:M,0,)</f>
        <v>0</v>
      </c>
    </row>
    <row r="3340" spans="1:12" x14ac:dyDescent="0.25">
      <c r="A3340" t="s">
        <v>76</v>
      </c>
      <c r="B3340" t="str">
        <f>_xlfn.XLOOKUP($A3340,Load!$B:$B,Load!C:C,0,)</f>
        <v>Dum Dums</v>
      </c>
      <c r="C3340" t="str">
        <f>_xlfn.XLOOKUP($A3340,Load!$B:$B,Load!D:D,0,)</f>
        <v>Non-Chocolate Candy Only</v>
      </c>
      <c r="D3340" t="str">
        <f>_xlfn.XLOOKUP($A3340,Load!$B:$B,Load!E:E,0,)</f>
        <v>Variety / Mixed Flavors (Fruity, Sour, Seasonal Flavors)</v>
      </c>
      <c r="E3340" t="str">
        <f>_xlfn.XLOOKUP($A3340,Load!$B:$B,Load!F:F,0,)</f>
        <v>Lollipop (regular or lollipop rings)</v>
      </c>
      <c r="F3340" t="str">
        <f>_xlfn.XLOOKUP($A3340,Load!$B:$B,Load!G:G,0,)</f>
        <v>Large Multipack (More than 80 ct)</v>
      </c>
      <c r="G3340" t="str">
        <f>_xlfn.XLOOKUP($A3340,Load!$B:$B,Load!H:H,0,)</f>
        <v>Stand-Up Bag</v>
      </c>
      <c r="H3340" t="str">
        <f>_xlfn.XLOOKUP($A3340,Load!$B:$B,Load!I:I,0,)</f>
        <v>Everyday Candy Shapes (like Original, Gummy bear, Fruit, Jewels, etc.)</v>
      </c>
      <c r="I3340" t="str">
        <f>_xlfn.XLOOKUP($A3340,Load!$B:$B,Load!J:J,0,)</f>
        <v>Everyday Graphics</v>
      </c>
      <c r="J3340" t="str">
        <f>_xlfn.XLOOKUP($A3340,Load!$B:$B,Load!K:K,0,)</f>
        <v>Regular Lollipop size (on sticks or rings)</v>
      </c>
      <c r="K3340" t="str">
        <f>_xlfn.XLOOKUP($A3340,Load!$B:$B,Load!L:L,0,)</f>
        <v>Regular/Original Wrapping</v>
      </c>
      <c r="L3340" t="str">
        <f>_xlfn.XLOOKUP($A3340,Load!$B:$B,Load!M:M,0,)</f>
        <v>Single Brand / Variety Flavors or Form</v>
      </c>
    </row>
    <row r="3341" spans="1:12" x14ac:dyDescent="0.25">
      <c r="A3341" t="s">
        <v>133</v>
      </c>
      <c r="B3341" t="str">
        <f>_xlfn.XLOOKUP($A3341,Load!$B:$B,Load!C:C,0,)</f>
        <v>Hershey's</v>
      </c>
      <c r="C3341" t="str">
        <f>_xlfn.XLOOKUP($A3341,Load!$B:$B,Load!D:D,0,)</f>
        <v>Non-Chocolate Candy Only</v>
      </c>
      <c r="D3341" t="str">
        <f>_xlfn.XLOOKUP($A3341,Load!$B:$B,Load!E:E,0,)</f>
        <v>Variety / Mixed Flavors (Fruity, Sour, Seasonal Flavors)</v>
      </c>
      <c r="E3341" t="str">
        <f>_xlfn.XLOOKUP($A3341,Load!$B:$B,Load!F:F,0,)</f>
        <v>Mixed / Combo Packs (Gummy, Chewy, Taffy, etc.)</v>
      </c>
      <c r="F3341" t="str">
        <f>_xlfn.XLOOKUP($A3341,Load!$B:$B,Load!G:G,0,)</f>
        <v>Large Multipack (More than 80 ct)</v>
      </c>
      <c r="G3341" t="str">
        <f>_xlfn.XLOOKUP($A3341,Load!$B:$B,Load!H:H,0,)</f>
        <v>Stand-Up Bag</v>
      </c>
      <c r="H3341" t="str">
        <f>_xlfn.XLOOKUP($A3341,Load!$B:$B,Load!I:I,0,)</f>
        <v>Everyday Candy Shapes (like Original, Gummy bear, Fruit, Jewels, etc.)</v>
      </c>
      <c r="I3341" t="str">
        <f>_xlfn.XLOOKUP($A3341,Load!$B:$B,Load!J:J,0,)</f>
        <v>Seasonal Graphics (Like Bat, Ghost, Pumpkin, Fall Leaves, Eyeballs, etc.)</v>
      </c>
      <c r="J3341" t="str">
        <f>_xlfn.XLOOKUP($A3341,Load!$B:$B,Load!K:K,0,)</f>
        <v>Fun Size / Treat Size</v>
      </c>
      <c r="K3341" t="str">
        <f>_xlfn.XLOOKUP($A3341,Load!$B:$B,Load!L:L,0,)</f>
        <v>Regular/Original Wrapping</v>
      </c>
      <c r="L3341" t="str">
        <f>_xlfn.XLOOKUP($A3341,Load!$B:$B,Load!M:M,0,)</f>
        <v>Multiple Brands / Variety Flavors or Form</v>
      </c>
    </row>
    <row r="3342" spans="1:12" x14ac:dyDescent="0.25">
      <c r="A3342" t="s">
        <v>246</v>
      </c>
      <c r="B3342" t="str">
        <f>_xlfn.XLOOKUP($A3342,Load!$B:$B,Load!C:C,0,)</f>
        <v>Ring Pop</v>
      </c>
      <c r="C3342" t="str">
        <f>_xlfn.XLOOKUP($A3342,Load!$B:$B,Load!D:D,0,)</f>
        <v>Non-Chocolate Candy Only</v>
      </c>
      <c r="D3342" t="str">
        <f>_xlfn.XLOOKUP($A3342,Load!$B:$B,Load!E:E,0,)</f>
        <v>Variety / Mixed Flavors (Fruity, Sour, Seasonal Flavors)</v>
      </c>
      <c r="E3342" t="str">
        <f>_xlfn.XLOOKUP($A3342,Load!$B:$B,Load!F:F,0,)</f>
        <v>Lollipop (regular or lollipop rings)</v>
      </c>
      <c r="F3342" t="str">
        <f>_xlfn.XLOOKUP($A3342,Load!$B:$B,Load!G:G,0,)</f>
        <v>Single Pack</v>
      </c>
      <c r="G3342" t="str">
        <f>_xlfn.XLOOKUP($A3342,Load!$B:$B,Load!H:H,0,)</f>
        <v>Laydown Bag</v>
      </c>
      <c r="H3342" t="str">
        <f>_xlfn.XLOOKUP($A3342,Load!$B:$B,Load!I:I,0,)</f>
        <v>Everyday Candy Shapes (like Original, Gummy bear, Fruit, Jewels, etc.)</v>
      </c>
      <c r="I3342" t="str">
        <f>_xlfn.XLOOKUP($A3342,Load!$B:$B,Load!J:J,0,)</f>
        <v>Seasonal Graphics (Like Bat, Ghost, Pumpkin, Fall Leaves, Eyeballs, etc.)</v>
      </c>
      <c r="J3342" t="str">
        <f>_xlfn.XLOOKUP($A3342,Load!$B:$B,Load!K:K,0,)</f>
        <v>Regular Lollipop size (on sticks or rings)</v>
      </c>
      <c r="K3342" t="str">
        <f>_xlfn.XLOOKUP($A3342,Load!$B:$B,Load!L:L,0,)</f>
        <v>Regular/Original Wrapping</v>
      </c>
      <c r="L3342" t="str">
        <f>_xlfn.XLOOKUP($A3342,Load!$B:$B,Load!M:M,0,)</f>
        <v>Single Brand / Variety Flavors or Form</v>
      </c>
    </row>
    <row r="3343" spans="1:12" x14ac:dyDescent="0.25">
      <c r="A3343" t="s">
        <v>169</v>
      </c>
      <c r="B3343" t="str">
        <f>_xlfn.XLOOKUP($A3343,Load!$B:$B,Load!C:C,0,)</f>
        <v>Laffy Taffy</v>
      </c>
      <c r="C3343" t="str">
        <f>_xlfn.XLOOKUP($A3343,Load!$B:$B,Load!D:D,0,)</f>
        <v>Non-Chocolate Candy Only</v>
      </c>
      <c r="D3343" t="str">
        <f>_xlfn.XLOOKUP($A3343,Load!$B:$B,Load!E:E,0,)</f>
        <v>Fruit Flavor (Cherry, Grape, Apple, Citrus, Tropical Fruit)</v>
      </c>
      <c r="E3343" t="str">
        <f>_xlfn.XLOOKUP($A3343,Load!$B:$B,Load!F:F,0,)</f>
        <v>Taffy</v>
      </c>
      <c r="F3343" t="str">
        <f>_xlfn.XLOOKUP($A3343,Load!$B:$B,Load!G:G,0,)</f>
        <v>Small Multipack (Less than 40 ct)</v>
      </c>
      <c r="G3343" t="str">
        <f>_xlfn.XLOOKUP($A3343,Load!$B:$B,Load!H:H,0,)</f>
        <v>Laydown Bag</v>
      </c>
      <c r="H3343" t="str">
        <f>_xlfn.XLOOKUP($A3343,Load!$B:$B,Load!I:I,0,)</f>
        <v>Everyday Candy Shapes (like Original, Gummy bear, Fruit, Jewels, etc.)</v>
      </c>
      <c r="I3343" t="str">
        <f>_xlfn.XLOOKUP($A3343,Load!$B:$B,Load!J:J,0,)</f>
        <v>Everyday Graphics</v>
      </c>
      <c r="J3343" t="str">
        <f>_xlfn.XLOOKUP($A3343,Load!$B:$B,Load!K:K,0,)</f>
        <v>Fun Size / Treat Size</v>
      </c>
      <c r="K3343" t="str">
        <f>_xlfn.XLOOKUP($A3343,Load!$B:$B,Load!L:L,0,)</f>
        <v>Regular/Original Wrapping</v>
      </c>
      <c r="L3343" t="str">
        <f>_xlfn.XLOOKUP($A3343,Load!$B:$B,Load!M:M,0,)</f>
        <v>Single Brand / Variety Flavors or Form</v>
      </c>
    </row>
    <row r="3344" spans="1:12" x14ac:dyDescent="0.25">
      <c r="A3344" t="s">
        <v>214</v>
      </c>
      <c r="B3344" t="str">
        <f>_xlfn.XLOOKUP($A3344,Load!$B:$B,Load!C:C,0,)</f>
        <v>Mars Variety Pack</v>
      </c>
      <c r="C3344" t="str">
        <f>_xlfn.XLOOKUP($A3344,Load!$B:$B,Load!D:D,0,)</f>
        <v>Mix of Chocolate and Non-Chocolate Candy</v>
      </c>
      <c r="D3344" t="str">
        <f>_xlfn.XLOOKUP($A3344,Load!$B:$B,Load!E:E,0,)</f>
        <v>Variety / Mixed Flavors (Fruity, Sour, Seasonal Flavors)</v>
      </c>
      <c r="E3344" t="str">
        <f>_xlfn.XLOOKUP($A3344,Load!$B:$B,Load!F:F,0,)</f>
        <v>Mixed / Combo Packs (Gummy, Chewy, Taffy, etc.)</v>
      </c>
      <c r="F3344" t="str">
        <f>_xlfn.XLOOKUP($A3344,Load!$B:$B,Load!G:G,0,)</f>
        <v>Large Multipack (More than 80 ct)</v>
      </c>
      <c r="G3344" t="str">
        <f>_xlfn.XLOOKUP($A3344,Load!$B:$B,Load!H:H,0,)</f>
        <v>Stand-Up Bag</v>
      </c>
      <c r="H3344" t="str">
        <f>_xlfn.XLOOKUP($A3344,Load!$B:$B,Load!I:I,0,)</f>
        <v>Everyday Candy Shapes (like Original, Gummy bear, Fruit, Jewels, etc.)</v>
      </c>
      <c r="I3344" t="str">
        <f>_xlfn.XLOOKUP($A3344,Load!$B:$B,Load!J:J,0,)</f>
        <v>Seasonal Graphics (Like Bat, Ghost, Pumpkin, Fall Leaves, Eyeballs, etc.)</v>
      </c>
      <c r="J3344" t="str">
        <f>_xlfn.XLOOKUP($A3344,Load!$B:$B,Load!K:K,0,)</f>
        <v>Fun Size / Treat Size</v>
      </c>
      <c r="K3344" t="str">
        <f>_xlfn.XLOOKUP($A3344,Load!$B:$B,Load!L:L,0,)</f>
        <v>Regular/Original Wrapping</v>
      </c>
      <c r="L3344" t="str">
        <f>_xlfn.XLOOKUP($A3344,Load!$B:$B,Load!M:M,0,)</f>
        <v>Multiple Brands / Variety Flavors or Form</v>
      </c>
    </row>
    <row r="3345" spans="1:12" x14ac:dyDescent="0.25">
      <c r="A3345" t="s">
        <v>139</v>
      </c>
      <c r="B3345" t="str">
        <f>_xlfn.XLOOKUP($A3345,Load!$B:$B,Load!C:C,0,)</f>
        <v>Hershey's Variety Pack + Haribo</v>
      </c>
      <c r="C3345" t="str">
        <f>_xlfn.XLOOKUP($A3345,Load!$B:$B,Load!D:D,0,)</f>
        <v>Mix of Chocolate and Non-Chocolate Candy</v>
      </c>
      <c r="D3345" t="str">
        <f>_xlfn.XLOOKUP($A3345,Load!$B:$B,Load!E:E,0,)</f>
        <v>Variety / Mixed Flavors (Fruity, Sour, Seasonal Flavors)</v>
      </c>
      <c r="E3345" t="str">
        <f>_xlfn.XLOOKUP($A3345,Load!$B:$B,Load!F:F,0,)</f>
        <v>Mixed / Combo Packs (Gummy, Chewy, Taffy, etc.)</v>
      </c>
      <c r="F3345" t="str">
        <f>_xlfn.XLOOKUP($A3345,Load!$B:$B,Load!G:G,0,)</f>
        <v>Large Multipack (More than 80 ct)</v>
      </c>
      <c r="G3345" t="str">
        <f>_xlfn.XLOOKUP($A3345,Load!$B:$B,Load!H:H,0,)</f>
        <v>Stand-Up Bag</v>
      </c>
      <c r="H3345" t="str">
        <f>_xlfn.XLOOKUP($A3345,Load!$B:$B,Load!I:I,0,)</f>
        <v>Everyday Candy Shapes (like Original, Gummy bear, Fruit, Jewels, etc.)</v>
      </c>
      <c r="I3345" t="str">
        <f>_xlfn.XLOOKUP($A3345,Load!$B:$B,Load!J:J,0,)</f>
        <v>Seasonal Graphics (Like Bat, Ghost, Pumpkin, Fall Leaves, Eyeballs, etc.)</v>
      </c>
      <c r="J3345" t="str">
        <f>_xlfn.XLOOKUP($A3345,Load!$B:$B,Load!K:K,0,)</f>
        <v>Fun Size / Treat Size</v>
      </c>
      <c r="K3345" t="str">
        <f>_xlfn.XLOOKUP($A3345,Load!$B:$B,Load!L:L,0,)</f>
        <v>Regular/Original Wrapping</v>
      </c>
      <c r="L3345" t="str">
        <f>_xlfn.XLOOKUP($A3345,Load!$B:$B,Load!M:M,0,)</f>
        <v>Multiple Brands / Variety Flavors or Form</v>
      </c>
    </row>
    <row r="3346" spans="1:12" x14ac:dyDescent="0.25">
      <c r="A3346" t="s">
        <v>149</v>
      </c>
      <c r="B3346" t="str">
        <f>_xlfn.XLOOKUP($A3346,Load!$B:$B,Load!C:C,0,)</f>
        <v>Jolly Rancher</v>
      </c>
      <c r="C3346" t="str">
        <f>_xlfn.XLOOKUP($A3346,Load!$B:$B,Load!D:D,0,)</f>
        <v>Non-Chocolate Candy Only</v>
      </c>
      <c r="D3346" t="str">
        <f>_xlfn.XLOOKUP($A3346,Load!$B:$B,Load!E:E,0,)</f>
        <v>Fruit Flavor (Cherry, Grape, Apple, Citrus, Tropical Fruit)</v>
      </c>
      <c r="E3346" t="str">
        <f>_xlfn.XLOOKUP($A3346,Load!$B:$B,Load!F:F,0,)</f>
        <v>Gummy</v>
      </c>
      <c r="F3346" t="str">
        <f>_xlfn.XLOOKUP($A3346,Load!$B:$B,Load!G:G,0,)</f>
        <v>Small Multipack (Less than 40 ct)</v>
      </c>
      <c r="G3346" t="str">
        <f>_xlfn.XLOOKUP($A3346,Load!$B:$B,Load!H:H,0,)</f>
        <v>Laydown Bag</v>
      </c>
      <c r="H3346" t="str">
        <f>_xlfn.XLOOKUP($A3346,Load!$B:$B,Load!I:I,0,)</f>
        <v>Everyday Candy Shapes (like Original, Gummy bear, Fruit, Jewels, etc.)</v>
      </c>
      <c r="I3346" t="str">
        <f>_xlfn.XLOOKUP($A3346,Load!$B:$B,Load!J:J,0,)</f>
        <v>Everyday Graphics</v>
      </c>
      <c r="J3346" t="str">
        <f>_xlfn.XLOOKUP($A3346,Load!$B:$B,Load!K:K,0,)</f>
        <v>Fun Size / Treat Size</v>
      </c>
      <c r="K3346" t="str">
        <f>_xlfn.XLOOKUP($A3346,Load!$B:$B,Load!L:L,0,)</f>
        <v>Regular/Original Wrapping</v>
      </c>
      <c r="L3346" t="str">
        <f>_xlfn.XLOOKUP($A3346,Load!$B:$B,Load!M:M,0,)</f>
        <v>Single Brand / Variety Flavors or Form</v>
      </c>
    </row>
    <row r="3347" spans="1:12" x14ac:dyDescent="0.25">
      <c r="A3347" t="s">
        <v>146</v>
      </c>
      <c r="B3347" t="str">
        <f>_xlfn.XLOOKUP($A3347,Load!$B:$B,Load!C:C,0,)</f>
        <v>Hi Chew</v>
      </c>
      <c r="C3347" t="str">
        <f>_xlfn.XLOOKUP($A3347,Load!$B:$B,Load!D:D,0,)</f>
        <v>Non-Chocolate Candy Only</v>
      </c>
      <c r="D3347" t="str">
        <f>_xlfn.XLOOKUP($A3347,Load!$B:$B,Load!E:E,0,)</f>
        <v>Fruit Flavor (Cherry, Grape, Apple, Citrus, Tropical Fruit)</v>
      </c>
      <c r="E3347" t="str">
        <f>_xlfn.XLOOKUP($A3347,Load!$B:$B,Load!F:F,0,)</f>
        <v>Gummy</v>
      </c>
      <c r="F3347" t="str">
        <f>_xlfn.XLOOKUP($A3347,Load!$B:$B,Load!G:G,0,)</f>
        <v>Medium Multipack (40–80 ct)</v>
      </c>
      <c r="G3347" t="str">
        <f>_xlfn.XLOOKUP($A3347,Load!$B:$B,Load!H:H,0,)</f>
        <v>Stand-Up Bag</v>
      </c>
      <c r="H3347" t="str">
        <f>_xlfn.XLOOKUP($A3347,Load!$B:$B,Load!I:I,0,)</f>
        <v>Everyday Candy Shapes (like Original, Gummy bear, Fruit, Jewels, etc.)</v>
      </c>
      <c r="I3347" t="str">
        <f>_xlfn.XLOOKUP($A3347,Load!$B:$B,Load!J:J,0,)</f>
        <v>Seasonal Graphics (Like Bat, Ghost, Pumpkin, Fall Leaves, Eyeballs, etc.)</v>
      </c>
      <c r="J3347" t="str">
        <f>_xlfn.XLOOKUP($A3347,Load!$B:$B,Load!K:K,0,)</f>
        <v>Fun Size / Treat Size</v>
      </c>
      <c r="K3347" t="str">
        <f>_xlfn.XLOOKUP($A3347,Load!$B:$B,Load!L:L,0,)</f>
        <v>Regular/Original Wrapping</v>
      </c>
      <c r="L3347" t="str">
        <f>_xlfn.XLOOKUP($A3347,Load!$B:$B,Load!M:M,0,)</f>
        <v>Multiple Brands / Variety Flavors or Form</v>
      </c>
    </row>
    <row r="3348" spans="1:12" x14ac:dyDescent="0.25">
      <c r="A3348" t="s">
        <v>286</v>
      </c>
      <c r="B3348" t="str">
        <f>_xlfn.XLOOKUP($A3348,Load!$B:$B,Load!C:C,0,)</f>
        <v>SweeTARTS</v>
      </c>
      <c r="C3348" t="str">
        <f>_xlfn.XLOOKUP($A3348,Load!$B:$B,Load!D:D,0,)</f>
        <v>Non-Chocolate Candy Only</v>
      </c>
      <c r="D3348" t="str">
        <f>_xlfn.XLOOKUP($A3348,Load!$B:$B,Load!E:E,0,)</f>
        <v>Variety / Mixed Flavors (Fruity, Sour, Seasonal Flavors)</v>
      </c>
      <c r="E3348" t="str">
        <f>_xlfn.XLOOKUP($A3348,Load!$B:$B,Load!F:F,0,)</f>
        <v>Chewy</v>
      </c>
      <c r="F3348" t="str">
        <f>_xlfn.XLOOKUP($A3348,Load!$B:$B,Load!G:G,0,)</f>
        <v>Small Multipack (Less than 40 ct)</v>
      </c>
      <c r="G3348" t="str">
        <f>_xlfn.XLOOKUP($A3348,Load!$B:$B,Load!H:H,0,)</f>
        <v>Stand-Up Bag</v>
      </c>
      <c r="H3348" t="str">
        <f>_xlfn.XLOOKUP($A3348,Load!$B:$B,Load!I:I,0,)</f>
        <v>Everyday Candy Shapes (like Original, Gummy bear, Fruit, Jewels, etc.)</v>
      </c>
      <c r="I3348" t="str">
        <f>_xlfn.XLOOKUP($A3348,Load!$B:$B,Load!J:J,0,)</f>
        <v>Seasonal Graphics (Like Bat, Ghost, Pumpkin, Fall Leaves, Eyeballs, etc.)</v>
      </c>
      <c r="J3348" t="str">
        <f>_xlfn.XLOOKUP($A3348,Load!$B:$B,Load!K:K,0,)</f>
        <v>Fun Size / Treat Size</v>
      </c>
      <c r="K3348" t="str">
        <f>_xlfn.XLOOKUP($A3348,Load!$B:$B,Load!L:L,0,)</f>
        <v>Regular/Original Wrapping</v>
      </c>
      <c r="L3348" t="str">
        <f>_xlfn.XLOOKUP($A3348,Load!$B:$B,Load!M:M,0,)</f>
        <v>Single Brand / Variety Flavors or Form</v>
      </c>
    </row>
    <row r="3349" spans="1:12" x14ac:dyDescent="0.25">
      <c r="A3349" t="s">
        <v>14</v>
      </c>
      <c r="B3349" t="str">
        <f>_xlfn.XLOOKUP($A3349,Load!$B:$B,Load!C:C,0,)</f>
        <v>Airheads</v>
      </c>
      <c r="C3349" t="str">
        <f>_xlfn.XLOOKUP($A3349,Load!$B:$B,Load!D:D,0,)</f>
        <v>Non-Chocolate Candy Only</v>
      </c>
      <c r="D3349" t="str">
        <f>_xlfn.XLOOKUP($A3349,Load!$B:$B,Load!E:E,0,)</f>
        <v>Variety / Mixed Flavors (Fruity, Sour, Seasonal Flavors)</v>
      </c>
      <c r="E3349" t="str">
        <f>_xlfn.XLOOKUP($A3349,Load!$B:$B,Load!F:F,0,)</f>
        <v>Chewy</v>
      </c>
      <c r="F3349" t="str">
        <f>_xlfn.XLOOKUP($A3349,Load!$B:$B,Load!G:G,0,)</f>
        <v>Small Multipack (Less than 40 ct)</v>
      </c>
      <c r="G3349" t="str">
        <f>_xlfn.XLOOKUP($A3349,Load!$B:$B,Load!H:H,0,)</f>
        <v>Stand-Up Bag</v>
      </c>
      <c r="H3349" t="str">
        <f>_xlfn.XLOOKUP($A3349,Load!$B:$B,Load!I:I,0,)</f>
        <v>Everyday Candy Shapes (like Original, Gummy bear, Fruit, Jewels, etc.)</v>
      </c>
      <c r="I3349" t="str">
        <f>_xlfn.XLOOKUP($A3349,Load!$B:$B,Load!J:J,0,)</f>
        <v>Everyday Graphics</v>
      </c>
      <c r="J3349" t="str">
        <f>_xlfn.XLOOKUP($A3349,Load!$B:$B,Load!K:K,0,)</f>
        <v>Fun Size / Treat Size</v>
      </c>
      <c r="K3349" t="str">
        <f>_xlfn.XLOOKUP($A3349,Load!$B:$B,Load!L:L,0,)</f>
        <v>Regular/Original Wrapping</v>
      </c>
      <c r="L3349" t="str">
        <f>_xlfn.XLOOKUP($A3349,Load!$B:$B,Load!M:M,0,)</f>
        <v>Single Brand / Variety Flavors or Form</v>
      </c>
    </row>
    <row r="3350" spans="1:12" x14ac:dyDescent="0.25">
      <c r="A3350" t="s">
        <v>111</v>
      </c>
      <c r="B3350" t="str">
        <f>_xlfn.XLOOKUP($A3350,Load!$B:$B,Load!C:C,0,)</f>
        <v>Frankford</v>
      </c>
      <c r="C3350" t="str">
        <f>_xlfn.XLOOKUP($A3350,Load!$B:$B,Load!D:D,0,)</f>
        <v>Non-Chocolate Candy Only</v>
      </c>
      <c r="D3350" t="str">
        <f>_xlfn.XLOOKUP($A3350,Load!$B:$B,Load!E:E,0,)</f>
        <v>Variety / Mixed Flavors (Fruity, Sour, Seasonal Flavors)</v>
      </c>
      <c r="E3350" t="str">
        <f>_xlfn.XLOOKUP($A3350,Load!$B:$B,Load!F:F,0,)</f>
        <v>Gummy</v>
      </c>
      <c r="F3350" t="str">
        <f>_xlfn.XLOOKUP($A3350,Load!$B:$B,Load!G:G,0,)</f>
        <v>Medium Multipack (40–80 ct)</v>
      </c>
      <c r="G3350" t="str">
        <f>_xlfn.XLOOKUP($A3350,Load!$B:$B,Load!H:H,0,)</f>
        <v>Stand-Up Bag</v>
      </c>
      <c r="H3350" t="str">
        <f>_xlfn.XLOOKUP($A3350,Load!$B:$B,Load!I:I,0,)</f>
        <v>Seasonal Shapes (like pumpkins, candy corn, ghost, bats, etc.)</v>
      </c>
      <c r="I3350" t="str">
        <f>_xlfn.XLOOKUP($A3350,Load!$B:$B,Load!J:J,0,)</f>
        <v>Seasonal Graphics (Like Bat, Ghost, Pumpkin, Fall Leaves, Eyeballs, etc.)</v>
      </c>
      <c r="J3350" t="str">
        <f>_xlfn.XLOOKUP($A3350,Load!$B:$B,Load!K:K,0,)</f>
        <v>Fun Size / Treat Size</v>
      </c>
      <c r="K3350" t="str">
        <f>_xlfn.XLOOKUP($A3350,Load!$B:$B,Load!L:L,0,)</f>
        <v>Regular/Original Wrapping</v>
      </c>
      <c r="L3350" t="str">
        <f>_xlfn.XLOOKUP($A3350,Load!$B:$B,Load!M:M,0,)</f>
        <v>Single Brand / Variety Flavors or Form</v>
      </c>
    </row>
    <row r="3351" spans="1:12" x14ac:dyDescent="0.25">
      <c r="B3351">
        <f>_xlfn.XLOOKUP($A3351,Load!$B:$B,Load!C:C,0,)</f>
        <v>0</v>
      </c>
      <c r="C3351">
        <f>_xlfn.XLOOKUP($A3351,Load!$B:$B,Load!D:D,0,)</f>
        <v>0</v>
      </c>
      <c r="D3351">
        <f>_xlfn.XLOOKUP($A3351,Load!$B:$B,Load!E:E,0,)</f>
        <v>0</v>
      </c>
      <c r="E3351">
        <f>_xlfn.XLOOKUP($A3351,Load!$B:$B,Load!F:F,0,)</f>
        <v>0</v>
      </c>
      <c r="F3351">
        <f>_xlfn.XLOOKUP($A3351,Load!$B:$B,Load!G:G,0,)</f>
        <v>0</v>
      </c>
      <c r="G3351">
        <f>_xlfn.XLOOKUP($A3351,Load!$B:$B,Load!H:H,0,)</f>
        <v>0</v>
      </c>
      <c r="H3351">
        <f>_xlfn.XLOOKUP($A3351,Load!$B:$B,Load!I:I,0,)</f>
        <v>0</v>
      </c>
      <c r="I3351">
        <f>_xlfn.XLOOKUP($A3351,Load!$B:$B,Load!J:J,0,)</f>
        <v>0</v>
      </c>
      <c r="J3351">
        <f>_xlfn.XLOOKUP($A3351,Load!$B:$B,Load!K:K,0,)</f>
        <v>0</v>
      </c>
      <c r="K3351">
        <f>_xlfn.XLOOKUP($A3351,Load!$B:$B,Load!L:L,0,)</f>
        <v>0</v>
      </c>
      <c r="L3351">
        <f>_xlfn.XLOOKUP($A3351,Load!$B:$B,Load!M:M,0,)</f>
        <v>0</v>
      </c>
    </row>
    <row r="3352" spans="1:12" x14ac:dyDescent="0.25">
      <c r="A3352" t="s">
        <v>220</v>
      </c>
      <c r="B3352" t="str">
        <f>_xlfn.XLOOKUP($A3352,Load!$B:$B,Load!C:C,0,)</f>
        <v>Mondelez Variety Pack</v>
      </c>
      <c r="C3352" t="str">
        <f>_xlfn.XLOOKUP($A3352,Load!$B:$B,Load!D:D,0,)</f>
        <v>Non-Chocolate Candy Only</v>
      </c>
      <c r="D3352" t="str">
        <f>_xlfn.XLOOKUP($A3352,Load!$B:$B,Load!E:E,0,)</f>
        <v>Variety / Mixed Flavors (Fruity, Sour, Seasonal Flavors)</v>
      </c>
      <c r="E3352" t="str">
        <f>_xlfn.XLOOKUP($A3352,Load!$B:$B,Load!F:F,0,)</f>
        <v>Chewy</v>
      </c>
      <c r="F3352" t="str">
        <f>_xlfn.XLOOKUP($A3352,Load!$B:$B,Load!G:G,0,)</f>
        <v>Large Multipack (More than 80 ct)</v>
      </c>
      <c r="G3352" t="str">
        <f>_xlfn.XLOOKUP($A3352,Load!$B:$B,Load!H:H,0,)</f>
        <v>Stand-Up Bag</v>
      </c>
      <c r="H3352" t="str">
        <f>_xlfn.XLOOKUP($A3352,Load!$B:$B,Load!I:I,0,)</f>
        <v>Seasonal Shapes (like pumpkins, candy corn, ghost, bats, etc.)</v>
      </c>
      <c r="I3352" t="str">
        <f>_xlfn.XLOOKUP($A3352,Load!$B:$B,Load!J:J,0,)</f>
        <v>Seasonal Graphics (Like Bat, Ghost, Pumpkin, Fall Leaves, Eyeballs, etc.)</v>
      </c>
      <c r="J3352" t="str">
        <f>_xlfn.XLOOKUP($A3352,Load!$B:$B,Load!K:K,0,)</f>
        <v>Small Pieces (Tiny bite size candies)</v>
      </c>
      <c r="K3352" t="str">
        <f>_xlfn.XLOOKUP($A3352,Load!$B:$B,Load!L:L,0,)</f>
        <v>Regular/Original Wrapping</v>
      </c>
      <c r="L3352" t="str">
        <f>_xlfn.XLOOKUP($A3352,Load!$B:$B,Load!M:M,0,)</f>
        <v>Single Brand / Variety Flavors or Form</v>
      </c>
    </row>
    <row r="3353" spans="1:12" x14ac:dyDescent="0.25">
      <c r="A3353" t="s">
        <v>4</v>
      </c>
      <c r="B3353" t="str">
        <f>_xlfn.XLOOKUP($A3353,Load!$B:$B,Load!C:C,0,)</f>
        <v>Airheads</v>
      </c>
      <c r="C3353" t="str">
        <f>_xlfn.XLOOKUP($A3353,Load!$B:$B,Load!D:D,0,)</f>
        <v>Non-Chocolate Candy Only</v>
      </c>
      <c r="D3353" t="str">
        <f>_xlfn.XLOOKUP($A3353,Load!$B:$B,Load!E:E,0,)</f>
        <v>Variety / Mixed Flavors (Fruity, Sour, Seasonal Flavors)</v>
      </c>
      <c r="E3353" t="str">
        <f>_xlfn.XLOOKUP($A3353,Load!$B:$B,Load!F:F,0,)</f>
        <v>Chewy</v>
      </c>
      <c r="F3353" t="str">
        <f>_xlfn.XLOOKUP($A3353,Load!$B:$B,Load!G:G,0,)</f>
        <v>Large Multipack (More than 80 ct)</v>
      </c>
      <c r="G3353" t="str">
        <f>_xlfn.XLOOKUP($A3353,Load!$B:$B,Load!H:H,0,)</f>
        <v>Box (theatre box, gift box, carton)</v>
      </c>
      <c r="H3353" t="str">
        <f>_xlfn.XLOOKUP($A3353,Load!$B:$B,Load!I:I,0,)</f>
        <v>Everyday Candy Shapes (like Original, Gummy bear, Fruit, Jewels, etc.)</v>
      </c>
      <c r="I3353" t="str">
        <f>_xlfn.XLOOKUP($A3353,Load!$B:$B,Load!J:J,0,)</f>
        <v>Seasonal Graphics (Like Bat, Ghost, Pumpkin, Fall Leaves, Eyeballs, etc.)</v>
      </c>
      <c r="J3353" t="str">
        <f>_xlfn.XLOOKUP($A3353,Load!$B:$B,Load!K:K,0,)</f>
        <v>Fun Size / Treat Size</v>
      </c>
      <c r="K3353" t="str">
        <f>_xlfn.XLOOKUP($A3353,Load!$B:$B,Load!L:L,0,)</f>
        <v>Regular/Original Wrapping</v>
      </c>
      <c r="L3353" t="str">
        <f>_xlfn.XLOOKUP($A3353,Load!$B:$B,Load!M:M,0,)</f>
        <v>Single Brand / Variety Flavors or Form</v>
      </c>
    </row>
    <row r="3354" spans="1:12" x14ac:dyDescent="0.25">
      <c r="A3354" t="s">
        <v>217</v>
      </c>
      <c r="B3354" t="str">
        <f>_xlfn.XLOOKUP($A3354,Load!$B:$B,Load!C:C,0,)</f>
        <v>Mondelez Variety Pack</v>
      </c>
      <c r="C3354" t="str">
        <f>_xlfn.XLOOKUP($A3354,Load!$B:$B,Load!D:D,0,)</f>
        <v>Non-Chocolate Candy Only</v>
      </c>
      <c r="D3354" t="str">
        <f>_xlfn.XLOOKUP($A3354,Load!$B:$B,Load!E:E,0,)</f>
        <v>Sour</v>
      </c>
      <c r="E3354" t="str">
        <f>_xlfn.XLOOKUP($A3354,Load!$B:$B,Load!F:F,0,)</f>
        <v>Chewy</v>
      </c>
      <c r="F3354" t="str">
        <f>_xlfn.XLOOKUP($A3354,Load!$B:$B,Load!G:G,0,)</f>
        <v>Small Multipack (Less than 40 ct)</v>
      </c>
      <c r="G3354" t="str">
        <f>_xlfn.XLOOKUP($A3354,Load!$B:$B,Load!H:H,0,)</f>
        <v>Laydown Bag</v>
      </c>
      <c r="H3354" t="str">
        <f>_xlfn.XLOOKUP($A3354,Load!$B:$B,Load!I:I,0,)</f>
        <v>Seasonal Shapes (like pumpkins, candy corn, ghost, bats, etc.)</v>
      </c>
      <c r="I3354" t="str">
        <f>_xlfn.XLOOKUP($A3354,Load!$B:$B,Load!J:J,0,)</f>
        <v>Seasonal Graphics (Like Bat, Ghost, Pumpkin, Fall Leaves, Eyeballs, etc.)</v>
      </c>
      <c r="J3354" t="str">
        <f>_xlfn.XLOOKUP($A3354,Load!$B:$B,Load!K:K,0,)</f>
        <v>Small Pieces (Tiny bite size candies)</v>
      </c>
      <c r="K3354" t="str">
        <f>_xlfn.XLOOKUP($A3354,Load!$B:$B,Load!L:L,0,)</f>
        <v>Regular/Original Wrapping</v>
      </c>
      <c r="L3354" t="str">
        <f>_xlfn.XLOOKUP($A3354,Load!$B:$B,Load!M:M,0,)</f>
        <v>Multiple Brands / Variety Flavors or Form</v>
      </c>
    </row>
    <row r="3355" spans="1:12" x14ac:dyDescent="0.25">
      <c r="A3355" t="s">
        <v>134</v>
      </c>
      <c r="B3355" t="str">
        <f>_xlfn.XLOOKUP($A3355,Load!$B:$B,Load!C:C,0,)</f>
        <v>Hershey's Variety Pack</v>
      </c>
      <c r="C3355" t="str">
        <f>_xlfn.XLOOKUP($A3355,Load!$B:$B,Load!D:D,0,)</f>
        <v>Non-Chocolate Candy Only</v>
      </c>
      <c r="D3355" t="str">
        <f>_xlfn.XLOOKUP($A3355,Load!$B:$B,Load!E:E,0,)</f>
        <v>Variety / Mixed Flavors (Fruity, Sour, Seasonal Flavors)</v>
      </c>
      <c r="E3355" t="str">
        <f>_xlfn.XLOOKUP($A3355,Load!$B:$B,Load!F:F,0,)</f>
        <v>Mixed / Combo Packs (Gummy, Chewy, Taffy, etc.)</v>
      </c>
      <c r="F3355" t="str">
        <f>_xlfn.XLOOKUP($A3355,Load!$B:$B,Load!G:G,0,)</f>
        <v>Large Multipack (More than 80 ct)</v>
      </c>
      <c r="G3355" t="str">
        <f>_xlfn.XLOOKUP($A3355,Load!$B:$B,Load!H:H,0,)</f>
        <v>Stand-Up Bag</v>
      </c>
      <c r="H3355" t="str">
        <f>_xlfn.XLOOKUP($A3355,Load!$B:$B,Load!I:I,0,)</f>
        <v>Everyday Candy Shapes (like Original, Gummy bear, Fruit, Jewels, etc.)</v>
      </c>
      <c r="I3355" t="str">
        <f>_xlfn.XLOOKUP($A3355,Load!$B:$B,Load!J:J,0,)</f>
        <v>Seasonal Graphics (Like Bat, Ghost, Pumpkin, Fall Leaves, Eyeballs, etc.)</v>
      </c>
      <c r="J3355" t="str">
        <f>_xlfn.XLOOKUP($A3355,Load!$B:$B,Load!K:K,0,)</f>
        <v xml:space="preserve">Variety Candy Sizes </v>
      </c>
      <c r="K3355" t="str">
        <f>_xlfn.XLOOKUP($A3355,Load!$B:$B,Load!L:L,0,)</f>
        <v>Regular/Original Wrapping</v>
      </c>
      <c r="L3355" t="str">
        <f>_xlfn.XLOOKUP($A3355,Load!$B:$B,Load!M:M,0,)</f>
        <v>Multiple Brands / Variety Flavors or Form</v>
      </c>
    </row>
    <row r="3356" spans="1:12" x14ac:dyDescent="0.25">
      <c r="A3356" t="s">
        <v>139</v>
      </c>
      <c r="B3356" t="str">
        <f>_xlfn.XLOOKUP($A3356,Load!$B:$B,Load!C:C,0,)</f>
        <v>Hershey's Variety Pack + Haribo</v>
      </c>
      <c r="C3356" t="str">
        <f>_xlfn.XLOOKUP($A3356,Load!$B:$B,Load!D:D,0,)</f>
        <v>Mix of Chocolate and Non-Chocolate Candy</v>
      </c>
      <c r="D3356" t="str">
        <f>_xlfn.XLOOKUP($A3356,Load!$B:$B,Load!E:E,0,)</f>
        <v>Variety / Mixed Flavors (Fruity, Sour, Seasonal Flavors)</v>
      </c>
      <c r="E3356" t="str">
        <f>_xlfn.XLOOKUP($A3356,Load!$B:$B,Load!F:F,0,)</f>
        <v>Mixed / Combo Packs (Gummy, Chewy, Taffy, etc.)</v>
      </c>
      <c r="F3356" t="str">
        <f>_xlfn.XLOOKUP($A3356,Load!$B:$B,Load!G:G,0,)</f>
        <v>Large Multipack (More than 80 ct)</v>
      </c>
      <c r="G3356" t="str">
        <f>_xlfn.XLOOKUP($A3356,Load!$B:$B,Load!H:H,0,)</f>
        <v>Stand-Up Bag</v>
      </c>
      <c r="H3356" t="str">
        <f>_xlfn.XLOOKUP($A3356,Load!$B:$B,Load!I:I,0,)</f>
        <v>Everyday Candy Shapes (like Original, Gummy bear, Fruit, Jewels, etc.)</v>
      </c>
      <c r="I3356" t="str">
        <f>_xlfn.XLOOKUP($A3356,Load!$B:$B,Load!J:J,0,)</f>
        <v>Seasonal Graphics (Like Bat, Ghost, Pumpkin, Fall Leaves, Eyeballs, etc.)</v>
      </c>
      <c r="J3356" t="str">
        <f>_xlfn.XLOOKUP($A3356,Load!$B:$B,Load!K:K,0,)</f>
        <v>Fun Size / Treat Size</v>
      </c>
      <c r="K3356" t="str">
        <f>_xlfn.XLOOKUP($A3356,Load!$B:$B,Load!L:L,0,)</f>
        <v>Regular/Original Wrapping</v>
      </c>
      <c r="L3356" t="str">
        <f>_xlfn.XLOOKUP($A3356,Load!$B:$B,Load!M:M,0,)</f>
        <v>Multiple Brands / Variety Flavors or Form</v>
      </c>
    </row>
    <row r="3357" spans="1:12" x14ac:dyDescent="0.25">
      <c r="B3357">
        <f>_xlfn.XLOOKUP($A3357,Load!$B:$B,Load!C:C,0,)</f>
        <v>0</v>
      </c>
      <c r="C3357">
        <f>_xlfn.XLOOKUP($A3357,Load!$B:$B,Load!D:D,0,)</f>
        <v>0</v>
      </c>
      <c r="D3357">
        <f>_xlfn.XLOOKUP($A3357,Load!$B:$B,Load!E:E,0,)</f>
        <v>0</v>
      </c>
      <c r="E3357">
        <f>_xlfn.XLOOKUP($A3357,Load!$B:$B,Load!F:F,0,)</f>
        <v>0</v>
      </c>
      <c r="F3357">
        <f>_xlfn.XLOOKUP($A3357,Load!$B:$B,Load!G:G,0,)</f>
        <v>0</v>
      </c>
      <c r="G3357">
        <f>_xlfn.XLOOKUP($A3357,Load!$B:$B,Load!H:H,0,)</f>
        <v>0</v>
      </c>
      <c r="H3357">
        <f>_xlfn.XLOOKUP($A3357,Load!$B:$B,Load!I:I,0,)</f>
        <v>0</v>
      </c>
      <c r="I3357">
        <f>_xlfn.XLOOKUP($A3357,Load!$B:$B,Load!J:J,0,)</f>
        <v>0</v>
      </c>
      <c r="J3357">
        <f>_xlfn.XLOOKUP($A3357,Load!$B:$B,Load!K:K,0,)</f>
        <v>0</v>
      </c>
      <c r="K3357">
        <f>_xlfn.XLOOKUP($A3357,Load!$B:$B,Load!L:L,0,)</f>
        <v>0</v>
      </c>
      <c r="L3357">
        <f>_xlfn.XLOOKUP($A3357,Load!$B:$B,Load!M:M,0,)</f>
        <v>0</v>
      </c>
    </row>
    <row r="3358" spans="1:12" x14ac:dyDescent="0.25">
      <c r="B3358">
        <f>_xlfn.XLOOKUP($A3358,Load!$B:$B,Load!C:C,0,)</f>
        <v>0</v>
      </c>
      <c r="C3358">
        <f>_xlfn.XLOOKUP($A3358,Load!$B:$B,Load!D:D,0,)</f>
        <v>0</v>
      </c>
      <c r="D3358">
        <f>_xlfn.XLOOKUP($A3358,Load!$B:$B,Load!E:E,0,)</f>
        <v>0</v>
      </c>
      <c r="E3358">
        <f>_xlfn.XLOOKUP($A3358,Load!$B:$B,Load!F:F,0,)</f>
        <v>0</v>
      </c>
      <c r="F3358">
        <f>_xlfn.XLOOKUP($A3358,Load!$B:$B,Load!G:G,0,)</f>
        <v>0</v>
      </c>
      <c r="G3358">
        <f>_xlfn.XLOOKUP($A3358,Load!$B:$B,Load!H:H,0,)</f>
        <v>0</v>
      </c>
      <c r="H3358">
        <f>_xlfn.XLOOKUP($A3358,Load!$B:$B,Load!I:I,0,)</f>
        <v>0</v>
      </c>
      <c r="I3358">
        <f>_xlfn.XLOOKUP($A3358,Load!$B:$B,Load!J:J,0,)</f>
        <v>0</v>
      </c>
      <c r="J3358">
        <f>_xlfn.XLOOKUP($A3358,Load!$B:$B,Load!K:K,0,)</f>
        <v>0</v>
      </c>
      <c r="K3358">
        <f>_xlfn.XLOOKUP($A3358,Load!$B:$B,Load!L:L,0,)</f>
        <v>0</v>
      </c>
      <c r="L3358">
        <f>_xlfn.XLOOKUP($A3358,Load!$B:$B,Load!M:M,0,)</f>
        <v>0</v>
      </c>
    </row>
    <row r="3359" spans="1:12" x14ac:dyDescent="0.25">
      <c r="B3359">
        <f>_xlfn.XLOOKUP($A3359,Load!$B:$B,Load!C:C,0,)</f>
        <v>0</v>
      </c>
      <c r="C3359">
        <f>_xlfn.XLOOKUP($A3359,Load!$B:$B,Load!D:D,0,)</f>
        <v>0</v>
      </c>
      <c r="D3359">
        <f>_xlfn.XLOOKUP($A3359,Load!$B:$B,Load!E:E,0,)</f>
        <v>0</v>
      </c>
      <c r="E3359">
        <f>_xlfn.XLOOKUP($A3359,Load!$B:$B,Load!F:F,0,)</f>
        <v>0</v>
      </c>
      <c r="F3359">
        <f>_xlfn.XLOOKUP($A3359,Load!$B:$B,Load!G:G,0,)</f>
        <v>0</v>
      </c>
      <c r="G3359">
        <f>_xlfn.XLOOKUP($A3359,Load!$B:$B,Load!H:H,0,)</f>
        <v>0</v>
      </c>
      <c r="H3359">
        <f>_xlfn.XLOOKUP($A3359,Load!$B:$B,Load!I:I,0,)</f>
        <v>0</v>
      </c>
      <c r="I3359">
        <f>_xlfn.XLOOKUP($A3359,Load!$B:$B,Load!J:J,0,)</f>
        <v>0</v>
      </c>
      <c r="J3359">
        <f>_xlfn.XLOOKUP($A3359,Load!$B:$B,Load!K:K,0,)</f>
        <v>0</v>
      </c>
      <c r="K3359">
        <f>_xlfn.XLOOKUP($A3359,Load!$B:$B,Load!L:L,0,)</f>
        <v>0</v>
      </c>
      <c r="L3359">
        <f>_xlfn.XLOOKUP($A3359,Load!$B:$B,Load!M:M,0,)</f>
        <v>0</v>
      </c>
    </row>
    <row r="3360" spans="1:12" x14ac:dyDescent="0.25">
      <c r="A3360" t="s">
        <v>47</v>
      </c>
      <c r="B3360" t="str">
        <f>_xlfn.XLOOKUP($A3360,Load!$B:$B,Load!C:C,0,)</f>
        <v>Brach's</v>
      </c>
      <c r="C3360" t="str">
        <f>_xlfn.XLOOKUP($A3360,Load!$B:$B,Load!D:D,0,)</f>
        <v>Non-Chocolate Candy Only</v>
      </c>
      <c r="D3360" t="str">
        <f>_xlfn.XLOOKUP($A3360,Load!$B:$B,Load!E:E,0,)</f>
        <v>Fall / Seasonal Flavors (pumpkin spice, caramel apple, candy corn)</v>
      </c>
      <c r="E3360" t="str">
        <f>_xlfn.XLOOKUP($A3360,Load!$B:$B,Load!F:F,0,)</f>
        <v>Candy Pieces / Bites</v>
      </c>
      <c r="F3360" t="str">
        <f>_xlfn.XLOOKUP($A3360,Load!$B:$B,Load!G:G,0,)</f>
        <v>Single Pack</v>
      </c>
      <c r="G3360" t="str">
        <f>_xlfn.XLOOKUP($A3360,Load!$B:$B,Load!H:H,0,)</f>
        <v>Stand-Up Bag</v>
      </c>
      <c r="H3360" t="str">
        <f>_xlfn.XLOOKUP($A3360,Load!$B:$B,Load!I:I,0,)</f>
        <v>Seasonal Shapes (like pumpkins, candy corn, ghost, bats, etc.)</v>
      </c>
      <c r="I3360" t="str">
        <f>_xlfn.XLOOKUP($A3360,Load!$B:$B,Load!J:J,0,)</f>
        <v>Seasonal Graphics (Like Bat, Ghost, Pumpkin, Fall Leaves, Eyeballs, etc.)</v>
      </c>
      <c r="J3360" t="str">
        <f>_xlfn.XLOOKUP($A3360,Load!$B:$B,Load!K:K,0,)</f>
        <v>Small Pieces (Tiny bite size candies)</v>
      </c>
      <c r="K3360" t="str">
        <f>_xlfn.XLOOKUP($A3360,Load!$B:$B,Load!L:L,0,)</f>
        <v>Unwrapped</v>
      </c>
      <c r="L3360" t="str">
        <f>_xlfn.XLOOKUP($A3360,Load!$B:$B,Load!M:M,0,)</f>
        <v>Single Brand / Variety Flavors or Form</v>
      </c>
    </row>
    <row r="3361" spans="1:12" x14ac:dyDescent="0.25">
      <c r="A3361" t="s">
        <v>181</v>
      </c>
      <c r="B3361" t="str">
        <f>_xlfn.XLOOKUP($A3361,Load!$B:$B,Load!C:C,0,)</f>
        <v>Mars Variety Pack</v>
      </c>
      <c r="C3361" t="str">
        <f>_xlfn.XLOOKUP($A3361,Load!$B:$B,Load!D:D,0,)</f>
        <v>Mix of Chocolate and Non-Chocolate Candy</v>
      </c>
      <c r="D3361" t="str">
        <f>_xlfn.XLOOKUP($A3361,Load!$B:$B,Load!E:E,0,)</f>
        <v>Variety / Mixed Flavors (Fruity, Sour, Seasonal Flavors)</v>
      </c>
      <c r="E3361" t="str">
        <f>_xlfn.XLOOKUP($A3361,Load!$B:$B,Load!F:F,0,)</f>
        <v>Mixed / Combo Packs (Gummy, Chewy, Taffy, etc.)</v>
      </c>
      <c r="F3361" t="str">
        <f>_xlfn.XLOOKUP($A3361,Load!$B:$B,Load!G:G,0,)</f>
        <v>Large Multipack (More than 80 ct)</v>
      </c>
      <c r="G3361" t="str">
        <f>_xlfn.XLOOKUP($A3361,Load!$B:$B,Load!H:H,0,)</f>
        <v>Stand-Up Bag</v>
      </c>
      <c r="H3361" t="str">
        <f>_xlfn.XLOOKUP($A3361,Load!$B:$B,Load!I:I,0,)</f>
        <v>Everyday Candy Shapes (like Original, Gummy bear, Fruit, Jewels, etc.)</v>
      </c>
      <c r="I3361" t="str">
        <f>_xlfn.XLOOKUP($A3361,Load!$B:$B,Load!J:J,0,)</f>
        <v>Seasonal Graphics (Like Bat, Ghost, Pumpkin, Fall Leaves, Eyeballs, etc.)</v>
      </c>
      <c r="J3361" t="str">
        <f>_xlfn.XLOOKUP($A3361,Load!$B:$B,Load!K:K,0,)</f>
        <v>Fun Size / Treat Size</v>
      </c>
      <c r="K3361" t="str">
        <f>_xlfn.XLOOKUP($A3361,Load!$B:$B,Load!L:L,0,)</f>
        <v>Regular/Original Wrapping</v>
      </c>
      <c r="L3361" t="str">
        <f>_xlfn.XLOOKUP($A3361,Load!$B:$B,Load!M:M,0,)</f>
        <v>Multiple Brands / Variety Flavors or Form</v>
      </c>
    </row>
    <row r="3362" spans="1:12" x14ac:dyDescent="0.25">
      <c r="B3362">
        <f>_xlfn.XLOOKUP($A3362,Load!$B:$B,Load!C:C,0,)</f>
        <v>0</v>
      </c>
      <c r="C3362">
        <f>_xlfn.XLOOKUP($A3362,Load!$B:$B,Load!D:D,0,)</f>
        <v>0</v>
      </c>
      <c r="D3362">
        <f>_xlfn.XLOOKUP($A3362,Load!$B:$B,Load!E:E,0,)</f>
        <v>0</v>
      </c>
      <c r="E3362">
        <f>_xlfn.XLOOKUP($A3362,Load!$B:$B,Load!F:F,0,)</f>
        <v>0</v>
      </c>
      <c r="F3362">
        <f>_xlfn.XLOOKUP($A3362,Load!$B:$B,Load!G:G,0,)</f>
        <v>0</v>
      </c>
      <c r="G3362">
        <f>_xlfn.XLOOKUP($A3362,Load!$B:$B,Load!H:H,0,)</f>
        <v>0</v>
      </c>
      <c r="H3362">
        <f>_xlfn.XLOOKUP($A3362,Load!$B:$B,Load!I:I,0,)</f>
        <v>0</v>
      </c>
      <c r="I3362">
        <f>_xlfn.XLOOKUP($A3362,Load!$B:$B,Load!J:J,0,)</f>
        <v>0</v>
      </c>
      <c r="J3362">
        <f>_xlfn.XLOOKUP($A3362,Load!$B:$B,Load!K:K,0,)</f>
        <v>0</v>
      </c>
      <c r="K3362">
        <f>_xlfn.XLOOKUP($A3362,Load!$B:$B,Load!L:L,0,)</f>
        <v>0</v>
      </c>
      <c r="L3362">
        <f>_xlfn.XLOOKUP($A3362,Load!$B:$B,Load!M:M,0,)</f>
        <v>0</v>
      </c>
    </row>
    <row r="3363" spans="1:12" x14ac:dyDescent="0.25">
      <c r="B3363">
        <f>_xlfn.XLOOKUP($A3363,Load!$B:$B,Load!C:C,0,)</f>
        <v>0</v>
      </c>
      <c r="C3363">
        <f>_xlfn.XLOOKUP($A3363,Load!$B:$B,Load!D:D,0,)</f>
        <v>0</v>
      </c>
      <c r="D3363">
        <f>_xlfn.XLOOKUP($A3363,Load!$B:$B,Load!E:E,0,)</f>
        <v>0</v>
      </c>
      <c r="E3363">
        <f>_xlfn.XLOOKUP($A3363,Load!$B:$B,Load!F:F,0,)</f>
        <v>0</v>
      </c>
      <c r="F3363">
        <f>_xlfn.XLOOKUP($A3363,Load!$B:$B,Load!G:G,0,)</f>
        <v>0</v>
      </c>
      <c r="G3363">
        <f>_xlfn.XLOOKUP($A3363,Load!$B:$B,Load!H:H,0,)</f>
        <v>0</v>
      </c>
      <c r="H3363">
        <f>_xlfn.XLOOKUP($A3363,Load!$B:$B,Load!I:I,0,)</f>
        <v>0</v>
      </c>
      <c r="I3363">
        <f>_xlfn.XLOOKUP($A3363,Load!$B:$B,Load!J:J,0,)</f>
        <v>0</v>
      </c>
      <c r="J3363">
        <f>_xlfn.XLOOKUP($A3363,Load!$B:$B,Load!K:K,0,)</f>
        <v>0</v>
      </c>
      <c r="K3363">
        <f>_xlfn.XLOOKUP($A3363,Load!$B:$B,Load!L:L,0,)</f>
        <v>0</v>
      </c>
      <c r="L3363">
        <f>_xlfn.XLOOKUP($A3363,Load!$B:$B,Load!M:M,0,)</f>
        <v>0</v>
      </c>
    </row>
    <row r="3364" spans="1:12" x14ac:dyDescent="0.25">
      <c r="B3364">
        <f>_xlfn.XLOOKUP($A3364,Load!$B:$B,Load!C:C,0,)</f>
        <v>0</v>
      </c>
      <c r="C3364">
        <f>_xlfn.XLOOKUP($A3364,Load!$B:$B,Load!D:D,0,)</f>
        <v>0</v>
      </c>
      <c r="D3364">
        <f>_xlfn.XLOOKUP($A3364,Load!$B:$B,Load!E:E,0,)</f>
        <v>0</v>
      </c>
      <c r="E3364">
        <f>_xlfn.XLOOKUP($A3364,Load!$B:$B,Load!F:F,0,)</f>
        <v>0</v>
      </c>
      <c r="F3364">
        <f>_xlfn.XLOOKUP($A3364,Load!$B:$B,Load!G:G,0,)</f>
        <v>0</v>
      </c>
      <c r="G3364">
        <f>_xlfn.XLOOKUP($A3364,Load!$B:$B,Load!H:H,0,)</f>
        <v>0</v>
      </c>
      <c r="H3364">
        <f>_xlfn.XLOOKUP($A3364,Load!$B:$B,Load!I:I,0,)</f>
        <v>0</v>
      </c>
      <c r="I3364">
        <f>_xlfn.XLOOKUP($A3364,Load!$B:$B,Load!J:J,0,)</f>
        <v>0</v>
      </c>
      <c r="J3364">
        <f>_xlfn.XLOOKUP($A3364,Load!$B:$B,Load!K:K,0,)</f>
        <v>0</v>
      </c>
      <c r="K3364">
        <f>_xlfn.XLOOKUP($A3364,Load!$B:$B,Load!L:L,0,)</f>
        <v>0</v>
      </c>
      <c r="L3364">
        <f>_xlfn.XLOOKUP($A3364,Load!$B:$B,Load!M:M,0,)</f>
        <v>0</v>
      </c>
    </row>
    <row r="3365" spans="1:12" x14ac:dyDescent="0.25">
      <c r="B3365">
        <f>_xlfn.XLOOKUP($A3365,Load!$B:$B,Load!C:C,0,)</f>
        <v>0</v>
      </c>
      <c r="C3365">
        <f>_xlfn.XLOOKUP($A3365,Load!$B:$B,Load!D:D,0,)</f>
        <v>0</v>
      </c>
      <c r="D3365">
        <f>_xlfn.XLOOKUP($A3365,Load!$B:$B,Load!E:E,0,)</f>
        <v>0</v>
      </c>
      <c r="E3365">
        <f>_xlfn.XLOOKUP($A3365,Load!$B:$B,Load!F:F,0,)</f>
        <v>0</v>
      </c>
      <c r="F3365">
        <f>_xlfn.XLOOKUP($A3365,Load!$B:$B,Load!G:G,0,)</f>
        <v>0</v>
      </c>
      <c r="G3365">
        <f>_xlfn.XLOOKUP($A3365,Load!$B:$B,Load!H:H,0,)</f>
        <v>0</v>
      </c>
      <c r="H3365">
        <f>_xlfn.XLOOKUP($A3365,Load!$B:$B,Load!I:I,0,)</f>
        <v>0</v>
      </c>
      <c r="I3365">
        <f>_xlfn.XLOOKUP($A3365,Load!$B:$B,Load!J:J,0,)</f>
        <v>0</v>
      </c>
      <c r="J3365">
        <f>_xlfn.XLOOKUP($A3365,Load!$B:$B,Load!K:K,0,)</f>
        <v>0</v>
      </c>
      <c r="K3365">
        <f>_xlfn.XLOOKUP($A3365,Load!$B:$B,Load!L:L,0,)</f>
        <v>0</v>
      </c>
      <c r="L3365">
        <f>_xlfn.XLOOKUP($A3365,Load!$B:$B,Load!M:M,0,)</f>
        <v>0</v>
      </c>
    </row>
    <row r="3366" spans="1:12" x14ac:dyDescent="0.25">
      <c r="A3366" t="s">
        <v>293</v>
      </c>
      <c r="B3366" t="str">
        <f>_xlfn.XLOOKUP($A3366,Load!$B:$B,Load!C:C,0,)</f>
        <v>Tootsie</v>
      </c>
      <c r="C3366" t="str">
        <f>_xlfn.XLOOKUP($A3366,Load!$B:$B,Load!D:D,0,)</f>
        <v>Mix of Chocolate and Non-Chocolate Candy</v>
      </c>
      <c r="D3366" t="str">
        <f>_xlfn.XLOOKUP($A3366,Load!$B:$B,Load!E:E,0,)</f>
        <v>Sweet</v>
      </c>
      <c r="E3366" t="str">
        <f>_xlfn.XLOOKUP($A3366,Load!$B:$B,Load!F:F,0,)</f>
        <v>Lollipop (regular or lollipop rings)</v>
      </c>
      <c r="F3366" t="str">
        <f>_xlfn.XLOOKUP($A3366,Load!$B:$B,Load!G:G,0,)</f>
        <v>Large Multipack (More than 80 ct)</v>
      </c>
      <c r="G3366" t="str">
        <f>_xlfn.XLOOKUP($A3366,Load!$B:$B,Load!H:H,0,)</f>
        <v>Laydown Bag</v>
      </c>
      <c r="H3366" t="str">
        <f>_xlfn.XLOOKUP($A3366,Load!$B:$B,Load!I:I,0,)</f>
        <v>Everyday Candy Shapes (like Original, Gummy bear, Fruit, Jewels, etc.)</v>
      </c>
      <c r="I3366" t="str">
        <f>_xlfn.XLOOKUP($A3366,Load!$B:$B,Load!J:J,0,)</f>
        <v>Everyday Graphics</v>
      </c>
      <c r="J3366" t="str">
        <f>_xlfn.XLOOKUP($A3366,Load!$B:$B,Load!K:K,0,)</f>
        <v>Regular Lollipop size (on sticks or rings)</v>
      </c>
      <c r="K3366" t="str">
        <f>_xlfn.XLOOKUP($A3366,Load!$B:$B,Load!L:L,0,)</f>
        <v>Regular/Original Wrapping</v>
      </c>
      <c r="L3366" t="str">
        <f>_xlfn.XLOOKUP($A3366,Load!$B:$B,Load!M:M,0,)</f>
        <v>Single Brand / Single Flavor or Form</v>
      </c>
    </row>
    <row r="3367" spans="1:12" x14ac:dyDescent="0.25">
      <c r="B3367">
        <f>_xlfn.XLOOKUP($A3367,Load!$B:$B,Load!C:C,0,)</f>
        <v>0</v>
      </c>
      <c r="C3367">
        <f>_xlfn.XLOOKUP($A3367,Load!$B:$B,Load!D:D,0,)</f>
        <v>0</v>
      </c>
      <c r="D3367">
        <f>_xlfn.XLOOKUP($A3367,Load!$B:$B,Load!E:E,0,)</f>
        <v>0</v>
      </c>
      <c r="E3367">
        <f>_xlfn.XLOOKUP($A3367,Load!$B:$B,Load!F:F,0,)</f>
        <v>0</v>
      </c>
      <c r="F3367">
        <f>_xlfn.XLOOKUP($A3367,Load!$B:$B,Load!G:G,0,)</f>
        <v>0</v>
      </c>
      <c r="G3367">
        <f>_xlfn.XLOOKUP($A3367,Load!$B:$B,Load!H:H,0,)</f>
        <v>0</v>
      </c>
      <c r="H3367">
        <f>_xlfn.XLOOKUP($A3367,Load!$B:$B,Load!I:I,0,)</f>
        <v>0</v>
      </c>
      <c r="I3367">
        <f>_xlfn.XLOOKUP($A3367,Load!$B:$B,Load!J:J,0,)</f>
        <v>0</v>
      </c>
      <c r="J3367">
        <f>_xlfn.XLOOKUP($A3367,Load!$B:$B,Load!K:K,0,)</f>
        <v>0</v>
      </c>
      <c r="K3367">
        <f>_xlfn.XLOOKUP($A3367,Load!$B:$B,Load!L:L,0,)</f>
        <v>0</v>
      </c>
      <c r="L3367">
        <f>_xlfn.XLOOKUP($A3367,Load!$B:$B,Load!M:M,0,)</f>
        <v>0</v>
      </c>
    </row>
    <row r="3368" spans="1:12" x14ac:dyDescent="0.25">
      <c r="A3368" t="s">
        <v>33</v>
      </c>
      <c r="B3368" t="str">
        <f>_xlfn.XLOOKUP($A3368,Load!$B:$B,Load!C:C,0,)</f>
        <v>Bazooka Brands</v>
      </c>
      <c r="C3368" t="str">
        <f>_xlfn.XLOOKUP($A3368,Load!$B:$B,Load!D:D,0,)</f>
        <v>Non-Chocolate Candy Only</v>
      </c>
      <c r="D3368" t="str">
        <f>_xlfn.XLOOKUP($A3368,Load!$B:$B,Load!E:E,0,)</f>
        <v>Variety / Mixed Flavors (Fruity, Sour, Seasonal Flavors)</v>
      </c>
      <c r="E3368" t="str">
        <f>_xlfn.XLOOKUP($A3368,Load!$B:$B,Load!F:F,0,)</f>
        <v>Mixed / Combo Packs (Gummy, Chewy, Taffy, etc.)</v>
      </c>
      <c r="F3368" t="str">
        <f>_xlfn.XLOOKUP($A3368,Load!$B:$B,Load!G:G,0,)</f>
        <v>Small Multipack (Less than 40 ct)</v>
      </c>
      <c r="G3368" t="str">
        <f>_xlfn.XLOOKUP($A3368,Load!$B:$B,Load!H:H,0,)</f>
        <v>Box (theatre box, gift box, carton)</v>
      </c>
      <c r="H3368" t="str">
        <f>_xlfn.XLOOKUP($A3368,Load!$B:$B,Load!I:I,0,)</f>
        <v>Seasonal Shapes (like pumpkins, candy corn, ghost, bats, etc.)</v>
      </c>
      <c r="I3368" t="str">
        <f>_xlfn.XLOOKUP($A3368,Load!$B:$B,Load!J:J,0,)</f>
        <v>Seasonal Graphics (Like Bat, Ghost, Pumpkin, Fall Leaves, Eyeballs, etc.)</v>
      </c>
      <c r="J3368" t="str">
        <f>_xlfn.XLOOKUP($A3368,Load!$B:$B,Load!K:K,0,)</f>
        <v>Small Pieces (Tiny bite size candies)</v>
      </c>
      <c r="K3368" t="str">
        <f>_xlfn.XLOOKUP($A3368,Load!$B:$B,Load!L:L,0,)</f>
        <v>Regular/Original Wrapping</v>
      </c>
      <c r="L3368" t="str">
        <f>_xlfn.XLOOKUP($A3368,Load!$B:$B,Load!M:M,0,)</f>
        <v>Single Brand / Variety Flavors or Form</v>
      </c>
    </row>
    <row r="3369" spans="1:12" x14ac:dyDescent="0.25">
      <c r="B3369">
        <f>_xlfn.XLOOKUP($A3369,Load!$B:$B,Load!C:C,0,)</f>
        <v>0</v>
      </c>
      <c r="C3369">
        <f>_xlfn.XLOOKUP($A3369,Load!$B:$B,Load!D:D,0,)</f>
        <v>0</v>
      </c>
      <c r="D3369">
        <f>_xlfn.XLOOKUP($A3369,Load!$B:$B,Load!E:E,0,)</f>
        <v>0</v>
      </c>
      <c r="E3369">
        <f>_xlfn.XLOOKUP($A3369,Load!$B:$B,Load!F:F,0,)</f>
        <v>0</v>
      </c>
      <c r="F3369">
        <f>_xlfn.XLOOKUP($A3369,Load!$B:$B,Load!G:G,0,)</f>
        <v>0</v>
      </c>
      <c r="G3369">
        <f>_xlfn.XLOOKUP($A3369,Load!$B:$B,Load!H:H,0,)</f>
        <v>0</v>
      </c>
      <c r="H3369">
        <f>_xlfn.XLOOKUP($A3369,Load!$B:$B,Load!I:I,0,)</f>
        <v>0</v>
      </c>
      <c r="I3369">
        <f>_xlfn.XLOOKUP($A3369,Load!$B:$B,Load!J:J,0,)</f>
        <v>0</v>
      </c>
      <c r="J3369">
        <f>_xlfn.XLOOKUP($A3369,Load!$B:$B,Load!K:K,0,)</f>
        <v>0</v>
      </c>
      <c r="K3369">
        <f>_xlfn.XLOOKUP($A3369,Load!$B:$B,Load!L:L,0,)</f>
        <v>0</v>
      </c>
      <c r="L3369">
        <f>_xlfn.XLOOKUP($A3369,Load!$B:$B,Load!M:M,0,)</f>
        <v>0</v>
      </c>
    </row>
    <row r="3370" spans="1:12" x14ac:dyDescent="0.25">
      <c r="B3370">
        <f>_xlfn.XLOOKUP($A3370,Load!$B:$B,Load!C:C,0,)</f>
        <v>0</v>
      </c>
      <c r="C3370">
        <f>_xlfn.XLOOKUP($A3370,Load!$B:$B,Load!D:D,0,)</f>
        <v>0</v>
      </c>
      <c r="D3370">
        <f>_xlfn.XLOOKUP($A3370,Load!$B:$B,Load!E:E,0,)</f>
        <v>0</v>
      </c>
      <c r="E3370">
        <f>_xlfn.XLOOKUP($A3370,Load!$B:$B,Load!F:F,0,)</f>
        <v>0</v>
      </c>
      <c r="F3370">
        <f>_xlfn.XLOOKUP($A3370,Load!$B:$B,Load!G:G,0,)</f>
        <v>0</v>
      </c>
      <c r="G3370">
        <f>_xlfn.XLOOKUP($A3370,Load!$B:$B,Load!H:H,0,)</f>
        <v>0</v>
      </c>
      <c r="H3370">
        <f>_xlfn.XLOOKUP($A3370,Load!$B:$B,Load!I:I,0,)</f>
        <v>0</v>
      </c>
      <c r="I3370">
        <f>_xlfn.XLOOKUP($A3370,Load!$B:$B,Load!J:J,0,)</f>
        <v>0</v>
      </c>
      <c r="J3370">
        <f>_xlfn.XLOOKUP($A3370,Load!$B:$B,Load!K:K,0,)</f>
        <v>0</v>
      </c>
      <c r="K3370">
        <f>_xlfn.XLOOKUP($A3370,Load!$B:$B,Load!L:L,0,)</f>
        <v>0</v>
      </c>
      <c r="L3370">
        <f>_xlfn.XLOOKUP($A3370,Load!$B:$B,Load!M:M,0,)</f>
        <v>0</v>
      </c>
    </row>
    <row r="3371" spans="1:12" x14ac:dyDescent="0.25">
      <c r="B3371">
        <f>_xlfn.XLOOKUP($A3371,Load!$B:$B,Load!C:C,0,)</f>
        <v>0</v>
      </c>
      <c r="C3371">
        <f>_xlfn.XLOOKUP($A3371,Load!$B:$B,Load!D:D,0,)</f>
        <v>0</v>
      </c>
      <c r="D3371">
        <f>_xlfn.XLOOKUP($A3371,Load!$B:$B,Load!E:E,0,)</f>
        <v>0</v>
      </c>
      <c r="E3371">
        <f>_xlfn.XLOOKUP($A3371,Load!$B:$B,Load!F:F,0,)</f>
        <v>0</v>
      </c>
      <c r="F3371">
        <f>_xlfn.XLOOKUP($A3371,Load!$B:$B,Load!G:G,0,)</f>
        <v>0</v>
      </c>
      <c r="G3371">
        <f>_xlfn.XLOOKUP($A3371,Load!$B:$B,Load!H:H,0,)</f>
        <v>0</v>
      </c>
      <c r="H3371">
        <f>_xlfn.XLOOKUP($A3371,Load!$B:$B,Load!I:I,0,)</f>
        <v>0</v>
      </c>
      <c r="I3371">
        <f>_xlfn.XLOOKUP($A3371,Load!$B:$B,Load!J:J,0,)</f>
        <v>0</v>
      </c>
      <c r="J3371">
        <f>_xlfn.XLOOKUP($A3371,Load!$B:$B,Load!K:K,0,)</f>
        <v>0</v>
      </c>
      <c r="K3371">
        <f>_xlfn.XLOOKUP($A3371,Load!$B:$B,Load!L:L,0,)</f>
        <v>0</v>
      </c>
      <c r="L3371">
        <f>_xlfn.XLOOKUP($A3371,Load!$B:$B,Load!M:M,0,)</f>
        <v>0</v>
      </c>
    </row>
    <row r="3372" spans="1:12" x14ac:dyDescent="0.25">
      <c r="A3372" t="s">
        <v>471</v>
      </c>
      <c r="B3372" t="str">
        <f>_xlfn.XLOOKUP($A3372,Load!$B:$B,Load!C:C,0,)</f>
        <v>Airheads</v>
      </c>
      <c r="C3372" t="str">
        <f>_xlfn.XLOOKUP($A3372,Load!$B:$B,Load!D:D,0,)</f>
        <v>Non-Chocolate Candy Only</v>
      </c>
      <c r="D3372" t="str">
        <f>_xlfn.XLOOKUP($A3372,Load!$B:$B,Load!E:E,0,)</f>
        <v>Fruit Flavor (Cherry, Grape, Apple, Citrus, Tropical Fruit)</v>
      </c>
      <c r="E3372" t="str">
        <f>_xlfn.XLOOKUP($A3372,Load!$B:$B,Load!F:F,0,)</f>
        <v>Candy Pieces / Bites</v>
      </c>
      <c r="F3372" t="str">
        <f>_xlfn.XLOOKUP($A3372,Load!$B:$B,Load!G:G,0,)</f>
        <v>Small Multipack (Less than 40 ct)</v>
      </c>
      <c r="G3372" t="str">
        <f>_xlfn.XLOOKUP($A3372,Load!$B:$B,Load!H:H,0,)</f>
        <v>Box (theatre box, gift box, carton)</v>
      </c>
      <c r="H3372" t="str">
        <f>_xlfn.XLOOKUP($A3372,Load!$B:$B,Load!I:I,0,)</f>
        <v>Everyday Candy Shapes (like Original, Gummy bear, Fruit, Jewels, etc.)</v>
      </c>
      <c r="I3372" t="str">
        <f>_xlfn.XLOOKUP($A3372,Load!$B:$B,Load!J:J,0,)</f>
        <v>Everyday Graphics</v>
      </c>
      <c r="J3372" t="str">
        <f>_xlfn.XLOOKUP($A3372,Load!$B:$B,Load!K:K,0,)</f>
        <v>Small Pieces (Tiny bite size candies)</v>
      </c>
      <c r="K3372" t="str">
        <f>_xlfn.XLOOKUP($A3372,Load!$B:$B,Load!L:L,0,)</f>
        <v>Regular/Original Wrapping</v>
      </c>
      <c r="L3372" t="str">
        <f>_xlfn.XLOOKUP($A3372,Load!$B:$B,Load!M:M,0,)</f>
        <v>Single Brand / Variety Flavors or Form</v>
      </c>
    </row>
    <row r="3373" spans="1:12" x14ac:dyDescent="0.25">
      <c r="B3373">
        <f>_xlfn.XLOOKUP($A3373,Load!$B:$B,Load!C:C,0,)</f>
        <v>0</v>
      </c>
      <c r="C3373">
        <f>_xlfn.XLOOKUP($A3373,Load!$B:$B,Load!D:D,0,)</f>
        <v>0</v>
      </c>
      <c r="D3373">
        <f>_xlfn.XLOOKUP($A3373,Load!$B:$B,Load!E:E,0,)</f>
        <v>0</v>
      </c>
      <c r="E3373">
        <f>_xlfn.XLOOKUP($A3373,Load!$B:$B,Load!F:F,0,)</f>
        <v>0</v>
      </c>
      <c r="F3373">
        <f>_xlfn.XLOOKUP($A3373,Load!$B:$B,Load!G:G,0,)</f>
        <v>0</v>
      </c>
      <c r="G3373">
        <f>_xlfn.XLOOKUP($A3373,Load!$B:$B,Load!H:H,0,)</f>
        <v>0</v>
      </c>
      <c r="H3373">
        <f>_xlfn.XLOOKUP($A3373,Load!$B:$B,Load!I:I,0,)</f>
        <v>0</v>
      </c>
      <c r="I3373">
        <f>_xlfn.XLOOKUP($A3373,Load!$B:$B,Load!J:J,0,)</f>
        <v>0</v>
      </c>
      <c r="J3373">
        <f>_xlfn.XLOOKUP($A3373,Load!$B:$B,Load!K:K,0,)</f>
        <v>0</v>
      </c>
      <c r="K3373">
        <f>_xlfn.XLOOKUP($A3373,Load!$B:$B,Load!L:L,0,)</f>
        <v>0</v>
      </c>
      <c r="L3373">
        <f>_xlfn.XLOOKUP($A3373,Load!$B:$B,Load!M:M,0,)</f>
        <v>0</v>
      </c>
    </row>
    <row r="3374" spans="1:12" x14ac:dyDescent="0.25">
      <c r="A3374" t="s">
        <v>213</v>
      </c>
      <c r="B3374" t="str">
        <f>_xlfn.XLOOKUP($A3374,Load!$B:$B,Load!C:C,0,)</f>
        <v>Mars Variety Pack</v>
      </c>
      <c r="C3374" t="str">
        <f>_xlfn.XLOOKUP($A3374,Load!$B:$B,Load!D:D,0,)</f>
        <v>Mix of Chocolate and Non-Chocolate Candy</v>
      </c>
      <c r="D3374" t="str">
        <f>_xlfn.XLOOKUP($A3374,Load!$B:$B,Load!E:E,0,)</f>
        <v>Variety / Mixed Flavors (Fruity, Sour, Seasonal Flavors)</v>
      </c>
      <c r="E3374" t="str">
        <f>_xlfn.XLOOKUP($A3374,Load!$B:$B,Load!F:F,0,)</f>
        <v>Mixed / Combo Packs (Gummy, Chewy, Taffy, etc.)</v>
      </c>
      <c r="F3374" t="str">
        <f>_xlfn.XLOOKUP($A3374,Load!$B:$B,Load!G:G,0,)</f>
        <v>Medium Multipack (40–80 ct)</v>
      </c>
      <c r="G3374" t="str">
        <f>_xlfn.XLOOKUP($A3374,Load!$B:$B,Load!H:H,0,)</f>
        <v>Stand-Up Bag</v>
      </c>
      <c r="H3374" t="str">
        <f>_xlfn.XLOOKUP($A3374,Load!$B:$B,Load!I:I,0,)</f>
        <v>Everyday Candy Shapes (like Original, Gummy bear, Fruit, Jewels, etc.)</v>
      </c>
      <c r="I3374" t="str">
        <f>_xlfn.XLOOKUP($A3374,Load!$B:$B,Load!J:J,0,)</f>
        <v>Seasonal Graphics (Like Bat, Ghost, Pumpkin, Fall Leaves, Eyeballs, etc.)</v>
      </c>
      <c r="J3374" t="str">
        <f>_xlfn.XLOOKUP($A3374,Load!$B:$B,Load!K:K,0,)</f>
        <v>Fun Size / Treat Size</v>
      </c>
      <c r="K3374" t="str">
        <f>_xlfn.XLOOKUP($A3374,Load!$B:$B,Load!L:L,0,)</f>
        <v>Regular/Original Wrapping</v>
      </c>
      <c r="L3374" t="str">
        <f>_xlfn.XLOOKUP($A3374,Load!$B:$B,Load!M:M,0,)</f>
        <v>Multiple Brands / Variety Flavors or Form</v>
      </c>
    </row>
    <row r="3375" spans="1:12" x14ac:dyDescent="0.25">
      <c r="A3375" t="s">
        <v>202</v>
      </c>
      <c r="B3375" t="str">
        <f>_xlfn.XLOOKUP($A3375,Load!$B:$B,Load!C:C,0,)</f>
        <v>Mars Variety Pack</v>
      </c>
      <c r="C3375" t="str">
        <f>_xlfn.XLOOKUP($A3375,Load!$B:$B,Load!D:D,0,)</f>
        <v>Mix of Chocolate and Non-Chocolate Candy</v>
      </c>
      <c r="D3375" t="str">
        <f>_xlfn.XLOOKUP($A3375,Load!$B:$B,Load!E:E,0,)</f>
        <v>Variety / Mixed Flavors (Fruity, Sour, Seasonal Flavors)</v>
      </c>
      <c r="E3375" t="str">
        <f>_xlfn.XLOOKUP($A3375,Load!$B:$B,Load!F:F,0,)</f>
        <v>Mixed / Combo Packs (Gummy, Chewy, Taffy, etc.)</v>
      </c>
      <c r="F3375" t="str">
        <f>_xlfn.XLOOKUP($A3375,Load!$B:$B,Load!G:G,0,)</f>
        <v>Large Multipack (More than 80 ct)</v>
      </c>
      <c r="G3375" t="str">
        <f>_xlfn.XLOOKUP($A3375,Load!$B:$B,Load!H:H,0,)</f>
        <v>Stand-Up Bag</v>
      </c>
      <c r="H3375" t="str">
        <f>_xlfn.XLOOKUP($A3375,Load!$B:$B,Load!I:I,0,)</f>
        <v>Everyday Candy Shapes (like Original, Gummy bear, Fruit, Jewels, etc.)</v>
      </c>
      <c r="I3375" t="str">
        <f>_xlfn.XLOOKUP($A3375,Load!$B:$B,Load!J:J,0,)</f>
        <v>Everyday Graphics</v>
      </c>
      <c r="J3375" t="str">
        <f>_xlfn.XLOOKUP($A3375,Load!$B:$B,Load!K:K,0,)</f>
        <v>Fun Size / Treat Size</v>
      </c>
      <c r="K3375" t="str">
        <f>_xlfn.XLOOKUP($A3375,Load!$B:$B,Load!L:L,0,)</f>
        <v>Regular/Original Wrapping</v>
      </c>
      <c r="L3375" t="str">
        <f>_xlfn.XLOOKUP($A3375,Load!$B:$B,Load!M:M,0,)</f>
        <v>Multiple Brands / Variety Flavors or Form</v>
      </c>
    </row>
    <row r="3376" spans="1:12" x14ac:dyDescent="0.25">
      <c r="A3376" t="s">
        <v>297</v>
      </c>
      <c r="B3376" t="str">
        <f>_xlfn.XLOOKUP($A3376,Load!$B:$B,Load!C:C,0,)</f>
        <v>Trolli</v>
      </c>
      <c r="C3376" t="str">
        <f>_xlfn.XLOOKUP($A3376,Load!$B:$B,Load!D:D,0,)</f>
        <v>Non-Chocolate Candy Only</v>
      </c>
      <c r="D3376" t="str">
        <f>_xlfn.XLOOKUP($A3376,Load!$B:$B,Load!E:E,0,)</f>
        <v>Sour</v>
      </c>
      <c r="E3376" t="str">
        <f>_xlfn.XLOOKUP($A3376,Load!$B:$B,Load!F:F,0,)</f>
        <v>Gummy</v>
      </c>
      <c r="F3376" t="str">
        <f>_xlfn.XLOOKUP($A3376,Load!$B:$B,Load!G:G,0,)</f>
        <v>Small Multipack (Less than 40 ct)</v>
      </c>
      <c r="G3376" t="str">
        <f>_xlfn.XLOOKUP($A3376,Load!$B:$B,Load!H:H,0,)</f>
        <v>Peg Bag</v>
      </c>
      <c r="H3376" t="str">
        <f>_xlfn.XLOOKUP($A3376,Load!$B:$B,Load!I:I,0,)</f>
        <v>Everyday Candy Shapes (like Original, Gummy bear, Fruit, Jewels, etc.)</v>
      </c>
      <c r="I3376" t="str">
        <f>_xlfn.XLOOKUP($A3376,Load!$B:$B,Load!J:J,0,)</f>
        <v>Everyday Graphics</v>
      </c>
      <c r="J3376" t="str">
        <f>_xlfn.XLOOKUP($A3376,Load!$B:$B,Load!K:K,0,)</f>
        <v>Fun Size / Treat Size</v>
      </c>
      <c r="K3376" t="str">
        <f>_xlfn.XLOOKUP($A3376,Load!$B:$B,Load!L:L,0,)</f>
        <v>Unwrapped</v>
      </c>
      <c r="L3376" t="str">
        <f>_xlfn.XLOOKUP($A3376,Load!$B:$B,Load!M:M,0,)</f>
        <v>Single Brand / Variety Flavors or Form</v>
      </c>
    </row>
    <row r="3377" spans="1:12" x14ac:dyDescent="0.25">
      <c r="A3377" t="s">
        <v>278</v>
      </c>
      <c r="B3377" t="str">
        <f>_xlfn.XLOOKUP($A3377,Load!$B:$B,Load!C:C,0,)</f>
        <v>Sour Patch Kids</v>
      </c>
      <c r="C3377" t="str">
        <f>_xlfn.XLOOKUP($A3377,Load!$B:$B,Load!D:D,0,)</f>
        <v>Non-Chocolate Candy Only</v>
      </c>
      <c r="D3377" t="str">
        <f>_xlfn.XLOOKUP($A3377,Load!$B:$B,Load!E:E,0,)</f>
        <v>Sour</v>
      </c>
      <c r="E3377" t="str">
        <f>_xlfn.XLOOKUP($A3377,Load!$B:$B,Load!F:F,0,)</f>
        <v>Chewy</v>
      </c>
      <c r="F3377" t="str">
        <f>_xlfn.XLOOKUP($A3377,Load!$B:$B,Load!G:G,0,)</f>
        <v>Single Pack</v>
      </c>
      <c r="G3377" t="str">
        <f>_xlfn.XLOOKUP($A3377,Load!$B:$B,Load!H:H,0,)</f>
        <v>Peg Bag</v>
      </c>
      <c r="H3377" t="str">
        <f>_xlfn.XLOOKUP($A3377,Load!$B:$B,Load!I:I,0,)</f>
        <v>Everyday Candy Shapes (like Original, Gummy bear, Fruit, Jewels, etc.)</v>
      </c>
      <c r="I3377" t="str">
        <f>_xlfn.XLOOKUP($A3377,Load!$B:$B,Load!J:J,0,)</f>
        <v>Seasonal Graphics (Like Bat, Ghost, Pumpkin, Fall Leaves, Eyeballs, etc.)</v>
      </c>
      <c r="J3377" t="str">
        <f>_xlfn.XLOOKUP($A3377,Load!$B:$B,Load!K:K,0,)</f>
        <v>Small Pieces (Tiny bite size candies)</v>
      </c>
      <c r="K3377" t="str">
        <f>_xlfn.XLOOKUP($A3377,Load!$B:$B,Load!L:L,0,)</f>
        <v>Regular/Original Wrapping</v>
      </c>
      <c r="L3377" t="str">
        <f>_xlfn.XLOOKUP($A3377,Load!$B:$B,Load!M:M,0,)</f>
        <v>Single Brand / Variety Flavors or Form</v>
      </c>
    </row>
    <row r="3378" spans="1:12" x14ac:dyDescent="0.25">
      <c r="A3378" t="s">
        <v>246</v>
      </c>
      <c r="B3378" t="str">
        <f>_xlfn.XLOOKUP($A3378,Load!$B:$B,Load!C:C,0,)</f>
        <v>Ring Pop</v>
      </c>
      <c r="C3378" t="str">
        <f>_xlfn.XLOOKUP($A3378,Load!$B:$B,Load!D:D,0,)</f>
        <v>Non-Chocolate Candy Only</v>
      </c>
      <c r="D3378" t="str">
        <f>_xlfn.XLOOKUP($A3378,Load!$B:$B,Load!E:E,0,)</f>
        <v>Variety / Mixed Flavors (Fruity, Sour, Seasonal Flavors)</v>
      </c>
      <c r="E3378" t="str">
        <f>_xlfn.XLOOKUP($A3378,Load!$B:$B,Load!F:F,0,)</f>
        <v>Lollipop (regular or lollipop rings)</v>
      </c>
      <c r="F3378" t="str">
        <f>_xlfn.XLOOKUP($A3378,Load!$B:$B,Load!G:G,0,)</f>
        <v>Single Pack</v>
      </c>
      <c r="G3378" t="str">
        <f>_xlfn.XLOOKUP($A3378,Load!$B:$B,Load!H:H,0,)</f>
        <v>Laydown Bag</v>
      </c>
      <c r="H3378" t="str">
        <f>_xlfn.XLOOKUP($A3378,Load!$B:$B,Load!I:I,0,)</f>
        <v>Everyday Candy Shapes (like Original, Gummy bear, Fruit, Jewels, etc.)</v>
      </c>
      <c r="I3378" t="str">
        <f>_xlfn.XLOOKUP($A3378,Load!$B:$B,Load!J:J,0,)</f>
        <v>Seasonal Graphics (Like Bat, Ghost, Pumpkin, Fall Leaves, Eyeballs, etc.)</v>
      </c>
      <c r="J3378" t="str">
        <f>_xlfn.XLOOKUP($A3378,Load!$B:$B,Load!K:K,0,)</f>
        <v>Regular Lollipop size (on sticks or rings)</v>
      </c>
      <c r="K3378" t="str">
        <f>_xlfn.XLOOKUP($A3378,Load!$B:$B,Load!L:L,0,)</f>
        <v>Regular/Original Wrapping</v>
      </c>
      <c r="L3378" t="str">
        <f>_xlfn.XLOOKUP($A3378,Load!$B:$B,Load!M:M,0,)</f>
        <v>Single Brand / Variety Flavors or Form</v>
      </c>
    </row>
    <row r="3379" spans="1:12" x14ac:dyDescent="0.25">
      <c r="A3379" t="s">
        <v>73</v>
      </c>
      <c r="B3379" t="str">
        <f>_xlfn.XLOOKUP($A3379,Load!$B:$B,Load!C:C,0,)</f>
        <v>Dum Dums</v>
      </c>
      <c r="C3379" t="str">
        <f>_xlfn.XLOOKUP($A3379,Load!$B:$B,Load!D:D,0,)</f>
        <v>Non-Chocolate Candy Only</v>
      </c>
      <c r="D3379" t="str">
        <f>_xlfn.XLOOKUP($A3379,Load!$B:$B,Load!E:E,0,)</f>
        <v>Variety / Mixed Flavors (Fruity, Sour, Seasonal Flavors)</v>
      </c>
      <c r="E3379" t="str">
        <f>_xlfn.XLOOKUP($A3379,Load!$B:$B,Load!F:F,0,)</f>
        <v>Lollipop (regular or lollipop rings)</v>
      </c>
      <c r="F3379" t="str">
        <f>_xlfn.XLOOKUP($A3379,Load!$B:$B,Load!G:G,0,)</f>
        <v>Single Pack</v>
      </c>
      <c r="G3379" t="str">
        <f>_xlfn.XLOOKUP($A3379,Load!$B:$B,Load!H:H,0,)</f>
        <v>Laydown Bag</v>
      </c>
      <c r="H3379" t="str">
        <f>_xlfn.XLOOKUP($A3379,Load!$B:$B,Load!I:I,0,)</f>
        <v>Everyday Candy Shapes (like Original, Gummy bear, Fruit, Jewels, etc.)</v>
      </c>
      <c r="I3379" t="str">
        <f>_xlfn.XLOOKUP($A3379,Load!$B:$B,Load!J:J,0,)</f>
        <v>Seasonal Graphics (Like Bat, Ghost, Pumpkin, Fall Leaves, Eyeballs, etc.)</v>
      </c>
      <c r="J3379" t="str">
        <f>_xlfn.XLOOKUP($A3379,Load!$B:$B,Load!K:K,0,)</f>
        <v>Regular Lollipop size (on sticks or rings)</v>
      </c>
      <c r="K3379" t="str">
        <f>_xlfn.XLOOKUP($A3379,Load!$B:$B,Load!L:L,0,)</f>
        <v>Regular/Original Wrapping</v>
      </c>
      <c r="L3379" t="str">
        <f>_xlfn.XLOOKUP($A3379,Load!$B:$B,Load!M:M,0,)</f>
        <v>Single Brand / Variety Flavors or Form</v>
      </c>
    </row>
    <row r="3380" spans="1:12" x14ac:dyDescent="0.25">
      <c r="A3380" t="s">
        <v>65</v>
      </c>
      <c r="B3380" t="str">
        <f>_xlfn.XLOOKUP($A3380,Load!$B:$B,Load!C:C,0,)</f>
        <v>Dots</v>
      </c>
      <c r="C3380" t="str">
        <f>_xlfn.XLOOKUP($A3380,Load!$B:$B,Load!D:D,0,)</f>
        <v>Non-Chocolate Candy Only</v>
      </c>
      <c r="D3380" t="str">
        <f>_xlfn.XLOOKUP($A3380,Load!$B:$B,Load!E:E,0,)</f>
        <v>Variety / Mixed Flavors (Fruity, Sour, Seasonal Flavors)</v>
      </c>
      <c r="E3380" t="str">
        <f>_xlfn.XLOOKUP($A3380,Load!$B:$B,Load!F:F,0,)</f>
        <v>Candy Pieces / Bites</v>
      </c>
      <c r="F3380" t="str">
        <f>_xlfn.XLOOKUP($A3380,Load!$B:$B,Load!G:G,0,)</f>
        <v>Medium Multipack (40–80 ct)</v>
      </c>
      <c r="G3380" t="str">
        <f>_xlfn.XLOOKUP($A3380,Load!$B:$B,Load!H:H,0,)</f>
        <v>Box (theatre box, gift box, carton)</v>
      </c>
      <c r="H3380" t="str">
        <f>_xlfn.XLOOKUP($A3380,Load!$B:$B,Load!I:I,0,)</f>
        <v>Seasonal Shapes (like pumpkins, candy corn, ghost, bats, etc.)</v>
      </c>
      <c r="I3380" t="str">
        <f>_xlfn.XLOOKUP($A3380,Load!$B:$B,Load!J:J,0,)</f>
        <v>Seasonal Graphics (Like Bat, Ghost, Pumpkin, Fall Leaves, Eyeballs, etc.)</v>
      </c>
      <c r="J3380" t="str">
        <f>_xlfn.XLOOKUP($A3380,Load!$B:$B,Load!K:K,0,)</f>
        <v>Fun Size / Treat Size</v>
      </c>
      <c r="K3380" t="str">
        <f>_xlfn.XLOOKUP($A3380,Load!$B:$B,Load!L:L,0,)</f>
        <v>Regular/Original Wrapping</v>
      </c>
      <c r="L3380" t="str">
        <f>_xlfn.XLOOKUP($A3380,Load!$B:$B,Load!M:M,0,)</f>
        <v>Single Brand / Variety Flavors or Form</v>
      </c>
    </row>
    <row r="3381" spans="1:12" x14ac:dyDescent="0.25">
      <c r="A3381" t="s">
        <v>103</v>
      </c>
      <c r="B3381" t="str">
        <f>_xlfn.XLOOKUP($A3381,Load!$B:$B,Load!C:C,0,)</f>
        <v>Frankford</v>
      </c>
      <c r="C3381" t="str">
        <f>_xlfn.XLOOKUP($A3381,Load!$B:$B,Load!D:D,0,)</f>
        <v>Non-Chocolate Candy Only</v>
      </c>
      <c r="D3381" t="str">
        <f>_xlfn.XLOOKUP($A3381,Load!$B:$B,Load!E:E,0,)</f>
        <v>Sweet</v>
      </c>
      <c r="E3381" t="str">
        <f>_xlfn.XLOOKUP($A3381,Load!$B:$B,Load!F:F,0,)</f>
        <v>Gummy</v>
      </c>
      <c r="F3381" t="str">
        <f>_xlfn.XLOOKUP($A3381,Load!$B:$B,Load!G:G,0,)</f>
        <v>Medium Multipack (40–80 ct)</v>
      </c>
      <c r="G3381" t="str">
        <f>_xlfn.XLOOKUP($A3381,Load!$B:$B,Load!H:H,0,)</f>
        <v>Stand-Up Bag</v>
      </c>
      <c r="H3381" t="str">
        <f>_xlfn.XLOOKUP($A3381,Load!$B:$B,Load!I:I,0,)</f>
        <v>Seasonal Shapes (like pumpkins, candy corn, ghost, bats, etc.)</v>
      </c>
      <c r="I3381" t="str">
        <f>_xlfn.XLOOKUP($A3381,Load!$B:$B,Load!J:J,0,)</f>
        <v>Seasonal Graphics (Like Bat, Ghost, Pumpkin, Fall Leaves, Eyeballs, etc.)</v>
      </c>
      <c r="J3381" t="str">
        <f>_xlfn.XLOOKUP($A3381,Load!$B:$B,Load!K:K,0,)</f>
        <v>Fun Size / Treat Size</v>
      </c>
      <c r="K3381" t="str">
        <f>_xlfn.XLOOKUP($A3381,Load!$B:$B,Load!L:L,0,)</f>
        <v>Regular/Original Wrapping</v>
      </c>
      <c r="L3381" t="str">
        <f>_xlfn.XLOOKUP($A3381,Load!$B:$B,Load!M:M,0,)</f>
        <v>Single Brand / Variety Flavors or Form</v>
      </c>
    </row>
    <row r="3382" spans="1:12" x14ac:dyDescent="0.25">
      <c r="A3382" t="s">
        <v>207</v>
      </c>
      <c r="B3382" t="str">
        <f>_xlfn.XLOOKUP($A3382,Load!$B:$B,Load!C:C,0,)</f>
        <v>Mars Variety Pack</v>
      </c>
      <c r="C3382" t="str">
        <f>_xlfn.XLOOKUP($A3382,Load!$B:$B,Load!D:D,0,)</f>
        <v>Mix of Chocolate and Non-Chocolate Candy</v>
      </c>
      <c r="D3382" t="str">
        <f>_xlfn.XLOOKUP($A3382,Load!$B:$B,Load!E:E,0,)</f>
        <v>Variety / Mixed Flavors (Fruity, Sour, Seasonal Flavors)</v>
      </c>
      <c r="E3382" t="str">
        <f>_xlfn.XLOOKUP($A3382,Load!$B:$B,Load!F:F,0,)</f>
        <v>Mixed / Combo Packs (Gummy, Chewy, Taffy, etc.)</v>
      </c>
      <c r="F3382" t="str">
        <f>_xlfn.XLOOKUP($A3382,Load!$B:$B,Load!G:G,0,)</f>
        <v>Large Multipack (More than 80 ct)</v>
      </c>
      <c r="G3382" t="str">
        <f>_xlfn.XLOOKUP($A3382,Load!$B:$B,Load!H:H,0,)</f>
        <v>Stand-Up Bag</v>
      </c>
      <c r="H3382" t="str">
        <f>_xlfn.XLOOKUP($A3382,Load!$B:$B,Load!I:I,0,)</f>
        <v>Everyday Candy Shapes (like Original, Gummy bear, Fruit, Jewels, etc.)</v>
      </c>
      <c r="I3382" t="str">
        <f>_xlfn.XLOOKUP($A3382,Load!$B:$B,Load!J:J,0,)</f>
        <v>Everyday Graphics</v>
      </c>
      <c r="J3382" t="str">
        <f>_xlfn.XLOOKUP($A3382,Load!$B:$B,Load!K:K,0,)</f>
        <v>Fun Size / Treat Size</v>
      </c>
      <c r="K3382" t="str">
        <f>_xlfn.XLOOKUP($A3382,Load!$B:$B,Load!L:L,0,)</f>
        <v>Regular/Original Wrapping</v>
      </c>
      <c r="L3382" t="str">
        <f>_xlfn.XLOOKUP($A3382,Load!$B:$B,Load!M:M,0,)</f>
        <v>Multiple Brands / Variety Flavors or Form</v>
      </c>
    </row>
    <row r="3383" spans="1:12" x14ac:dyDescent="0.25">
      <c r="A3383" t="s">
        <v>139</v>
      </c>
      <c r="B3383" t="str">
        <f>_xlfn.XLOOKUP($A3383,Load!$B:$B,Load!C:C,0,)</f>
        <v>Hershey's Variety Pack + Haribo</v>
      </c>
      <c r="C3383" t="str">
        <f>_xlfn.XLOOKUP($A3383,Load!$B:$B,Load!D:D,0,)</f>
        <v>Mix of Chocolate and Non-Chocolate Candy</v>
      </c>
      <c r="D3383" t="str">
        <f>_xlfn.XLOOKUP($A3383,Load!$B:$B,Load!E:E,0,)</f>
        <v>Variety / Mixed Flavors (Fruity, Sour, Seasonal Flavors)</v>
      </c>
      <c r="E3383" t="str">
        <f>_xlfn.XLOOKUP($A3383,Load!$B:$B,Load!F:F,0,)</f>
        <v>Mixed / Combo Packs (Gummy, Chewy, Taffy, etc.)</v>
      </c>
      <c r="F3383" t="str">
        <f>_xlfn.XLOOKUP($A3383,Load!$B:$B,Load!G:G,0,)</f>
        <v>Large Multipack (More than 80 ct)</v>
      </c>
      <c r="G3383" t="str">
        <f>_xlfn.XLOOKUP($A3383,Load!$B:$B,Load!H:H,0,)</f>
        <v>Stand-Up Bag</v>
      </c>
      <c r="H3383" t="str">
        <f>_xlfn.XLOOKUP($A3383,Load!$B:$B,Load!I:I,0,)</f>
        <v>Everyday Candy Shapes (like Original, Gummy bear, Fruit, Jewels, etc.)</v>
      </c>
      <c r="I3383" t="str">
        <f>_xlfn.XLOOKUP($A3383,Load!$B:$B,Load!J:J,0,)</f>
        <v>Seasonal Graphics (Like Bat, Ghost, Pumpkin, Fall Leaves, Eyeballs, etc.)</v>
      </c>
      <c r="J3383" t="str">
        <f>_xlfn.XLOOKUP($A3383,Load!$B:$B,Load!K:K,0,)</f>
        <v>Fun Size / Treat Size</v>
      </c>
      <c r="K3383" t="str">
        <f>_xlfn.XLOOKUP($A3383,Load!$B:$B,Load!L:L,0,)</f>
        <v>Regular/Original Wrapping</v>
      </c>
      <c r="L3383" t="str">
        <f>_xlfn.XLOOKUP($A3383,Load!$B:$B,Load!M:M,0,)</f>
        <v>Multiple Brands / Variety Flavors or Form</v>
      </c>
    </row>
    <row r="3384" spans="1:12" x14ac:dyDescent="0.25">
      <c r="A3384" t="s">
        <v>36</v>
      </c>
      <c r="B3384" t="str">
        <f>_xlfn.XLOOKUP($A3384,Load!$B:$B,Load!C:C,0,)</f>
        <v>Brach's</v>
      </c>
      <c r="C3384" t="str">
        <f>_xlfn.XLOOKUP($A3384,Load!$B:$B,Load!D:D,0,)</f>
        <v>Non-Chocolate Candy Only</v>
      </c>
      <c r="D3384" t="str">
        <f>_xlfn.XLOOKUP($A3384,Load!$B:$B,Load!E:E,0,)</f>
        <v>Fall / Seasonal Flavors (pumpkin spice, caramel apple, candy corn)</v>
      </c>
      <c r="E3384" t="str">
        <f>_xlfn.XLOOKUP($A3384,Load!$B:$B,Load!F:F,0,)</f>
        <v>Candy Pieces / Bites</v>
      </c>
      <c r="F3384" t="str">
        <f>_xlfn.XLOOKUP($A3384,Load!$B:$B,Load!G:G,0,)</f>
        <v>Single Pack</v>
      </c>
      <c r="G3384" t="str">
        <f>_xlfn.XLOOKUP($A3384,Load!$B:$B,Load!H:H,0,)</f>
        <v>Laydown Bag</v>
      </c>
      <c r="H3384" t="str">
        <f>_xlfn.XLOOKUP($A3384,Load!$B:$B,Load!I:I,0,)</f>
        <v>Seasonal Shapes (like pumpkins, candy corn, ghost, bats, etc.)</v>
      </c>
      <c r="I3384" t="str">
        <f>_xlfn.XLOOKUP($A3384,Load!$B:$B,Load!J:J,0,)</f>
        <v>Seasonal Graphics (Like Bat, Ghost, Pumpkin, Fall Leaves, Eyeballs, etc.)</v>
      </c>
      <c r="J3384" t="str">
        <f>_xlfn.XLOOKUP($A3384,Load!$B:$B,Load!K:K,0,)</f>
        <v>Small Pieces (Tiny bite size candies)</v>
      </c>
      <c r="K3384" t="str">
        <f>_xlfn.XLOOKUP($A3384,Load!$B:$B,Load!L:L,0,)</f>
        <v>Unwrapped</v>
      </c>
      <c r="L3384" t="str">
        <f>_xlfn.XLOOKUP($A3384,Load!$B:$B,Load!M:M,0,)</f>
        <v>Single Brand / Single Flavor or Form</v>
      </c>
    </row>
    <row r="3385" spans="1:12" x14ac:dyDescent="0.25">
      <c r="A3385" t="s">
        <v>50</v>
      </c>
      <c r="B3385" t="str">
        <f>_xlfn.XLOOKUP($A3385,Load!$B:$B,Load!C:C,0,)</f>
        <v>Brach's</v>
      </c>
      <c r="C3385" t="str">
        <f>_xlfn.XLOOKUP($A3385,Load!$B:$B,Load!D:D,0,)</f>
        <v>Non-Chocolate Candy Only</v>
      </c>
      <c r="D3385" t="str">
        <f>_xlfn.XLOOKUP($A3385,Load!$B:$B,Load!E:E,0,)</f>
        <v>Fall / Seasonal Flavors (pumpkin spice, caramel apple, candy corn)</v>
      </c>
      <c r="E3385" t="str">
        <f>_xlfn.XLOOKUP($A3385,Load!$B:$B,Load!F:F,0,)</f>
        <v>Candy Pieces / Bites</v>
      </c>
      <c r="F3385" t="str">
        <f>_xlfn.XLOOKUP($A3385,Load!$B:$B,Load!G:G,0,)</f>
        <v>Small Multipack (Less than 40 ct)</v>
      </c>
      <c r="G3385" t="str">
        <f>_xlfn.XLOOKUP($A3385,Load!$B:$B,Load!H:H,0,)</f>
        <v>Laydown Bag</v>
      </c>
      <c r="H3385" t="str">
        <f>_xlfn.XLOOKUP($A3385,Load!$B:$B,Load!I:I,0,)</f>
        <v>Seasonal Shapes (like pumpkins, candy corn, ghost, bats, etc.)</v>
      </c>
      <c r="I3385" t="str">
        <f>_xlfn.XLOOKUP($A3385,Load!$B:$B,Load!J:J,0,)</f>
        <v>Seasonal Graphics (Like Bat, Ghost, Pumpkin, Fall Leaves, Eyeballs, etc.)</v>
      </c>
      <c r="J3385" t="str">
        <f>_xlfn.XLOOKUP($A3385,Load!$B:$B,Load!K:K,0,)</f>
        <v>Small Pieces (Tiny bite size candies)</v>
      </c>
      <c r="K3385" t="str">
        <f>_xlfn.XLOOKUP($A3385,Load!$B:$B,Load!L:L,0,)</f>
        <v>Unwrapped</v>
      </c>
      <c r="L3385" t="str">
        <f>_xlfn.XLOOKUP($A3385,Load!$B:$B,Load!M:M,0,)</f>
        <v>Single Brand / Single Flavor or Form</v>
      </c>
    </row>
    <row r="3386" spans="1:12" x14ac:dyDescent="0.25">
      <c r="A3386" t="s">
        <v>220</v>
      </c>
      <c r="B3386" t="str">
        <f>_xlfn.XLOOKUP($A3386,Load!$B:$B,Load!C:C,0,)</f>
        <v>Mondelez Variety Pack</v>
      </c>
      <c r="C3386" t="str">
        <f>_xlfn.XLOOKUP($A3386,Load!$B:$B,Load!D:D,0,)</f>
        <v>Non-Chocolate Candy Only</v>
      </c>
      <c r="D3386" t="str">
        <f>_xlfn.XLOOKUP($A3386,Load!$B:$B,Load!E:E,0,)</f>
        <v>Variety / Mixed Flavors (Fruity, Sour, Seasonal Flavors)</v>
      </c>
      <c r="E3386" t="str">
        <f>_xlfn.XLOOKUP($A3386,Load!$B:$B,Load!F:F,0,)</f>
        <v>Chewy</v>
      </c>
      <c r="F3386" t="str">
        <f>_xlfn.XLOOKUP($A3386,Load!$B:$B,Load!G:G,0,)</f>
        <v>Large Multipack (More than 80 ct)</v>
      </c>
      <c r="G3386" t="str">
        <f>_xlfn.XLOOKUP($A3386,Load!$B:$B,Load!H:H,0,)</f>
        <v>Stand-Up Bag</v>
      </c>
      <c r="H3386" t="str">
        <f>_xlfn.XLOOKUP($A3386,Load!$B:$B,Load!I:I,0,)</f>
        <v>Seasonal Shapes (like pumpkins, candy corn, ghost, bats, etc.)</v>
      </c>
      <c r="I3386" t="str">
        <f>_xlfn.XLOOKUP($A3386,Load!$B:$B,Load!J:J,0,)</f>
        <v>Seasonal Graphics (Like Bat, Ghost, Pumpkin, Fall Leaves, Eyeballs, etc.)</v>
      </c>
      <c r="J3386" t="str">
        <f>_xlfn.XLOOKUP($A3386,Load!$B:$B,Load!K:K,0,)</f>
        <v>Small Pieces (Tiny bite size candies)</v>
      </c>
      <c r="K3386" t="str">
        <f>_xlfn.XLOOKUP($A3386,Load!$B:$B,Load!L:L,0,)</f>
        <v>Regular/Original Wrapping</v>
      </c>
      <c r="L3386" t="str">
        <f>_xlfn.XLOOKUP($A3386,Load!$B:$B,Load!M:M,0,)</f>
        <v>Single Brand / Variety Flavors or Form</v>
      </c>
    </row>
    <row r="3387" spans="1:12" x14ac:dyDescent="0.25">
      <c r="B3387">
        <f>_xlfn.XLOOKUP($A3387,Load!$B:$B,Load!C:C,0,)</f>
        <v>0</v>
      </c>
      <c r="C3387">
        <f>_xlfn.XLOOKUP($A3387,Load!$B:$B,Load!D:D,0,)</f>
        <v>0</v>
      </c>
      <c r="D3387">
        <f>_xlfn.XLOOKUP($A3387,Load!$B:$B,Load!E:E,0,)</f>
        <v>0</v>
      </c>
      <c r="E3387">
        <f>_xlfn.XLOOKUP($A3387,Load!$B:$B,Load!F:F,0,)</f>
        <v>0</v>
      </c>
      <c r="F3387">
        <f>_xlfn.XLOOKUP($A3387,Load!$B:$B,Load!G:G,0,)</f>
        <v>0</v>
      </c>
      <c r="G3387">
        <f>_xlfn.XLOOKUP($A3387,Load!$B:$B,Load!H:H,0,)</f>
        <v>0</v>
      </c>
      <c r="H3387">
        <f>_xlfn.XLOOKUP($A3387,Load!$B:$B,Load!I:I,0,)</f>
        <v>0</v>
      </c>
      <c r="I3387">
        <f>_xlfn.XLOOKUP($A3387,Load!$B:$B,Load!J:J,0,)</f>
        <v>0</v>
      </c>
      <c r="J3387">
        <f>_xlfn.XLOOKUP($A3387,Load!$B:$B,Load!K:K,0,)</f>
        <v>0</v>
      </c>
      <c r="K3387">
        <f>_xlfn.XLOOKUP($A3387,Load!$B:$B,Load!L:L,0,)</f>
        <v>0</v>
      </c>
      <c r="L3387">
        <f>_xlfn.XLOOKUP($A3387,Load!$B:$B,Load!M:M,0,)</f>
        <v>0</v>
      </c>
    </row>
    <row r="3388" spans="1:12" x14ac:dyDescent="0.25">
      <c r="A3388" t="s">
        <v>151</v>
      </c>
      <c r="B3388" t="str">
        <f>_xlfn.XLOOKUP($A3388,Load!$B:$B,Load!C:C,0,)</f>
        <v>Jolly Rancher</v>
      </c>
      <c r="C3388" t="str">
        <f>_xlfn.XLOOKUP($A3388,Load!$B:$B,Load!D:D,0,)</f>
        <v>Non-Chocolate Candy Only</v>
      </c>
      <c r="D3388" t="str">
        <f>_xlfn.XLOOKUP($A3388,Load!$B:$B,Load!E:E,0,)</f>
        <v>Variety / Mixed Flavors (Fruity, Sour, Seasonal Flavors)</v>
      </c>
      <c r="E3388" t="str">
        <f>_xlfn.XLOOKUP($A3388,Load!$B:$B,Load!F:F,0,)</f>
        <v>Gummy</v>
      </c>
      <c r="F3388" t="str">
        <f>_xlfn.XLOOKUP($A3388,Load!$B:$B,Load!G:G,0,)</f>
        <v>Small Multipack (Less than 40 ct)</v>
      </c>
      <c r="G3388" t="str">
        <f>_xlfn.XLOOKUP($A3388,Load!$B:$B,Load!H:H,0,)</f>
        <v>Laydown Bag</v>
      </c>
      <c r="H3388" t="str">
        <f>_xlfn.XLOOKUP($A3388,Load!$B:$B,Load!I:I,0,)</f>
        <v>Everyday Candy Shapes (like Original, Gummy bear, Fruit, Jewels, etc.)</v>
      </c>
      <c r="I3388" t="str">
        <f>_xlfn.XLOOKUP($A3388,Load!$B:$B,Load!J:J,0,)</f>
        <v>Everyday Graphics</v>
      </c>
      <c r="J3388" t="str">
        <f>_xlfn.XLOOKUP($A3388,Load!$B:$B,Load!K:K,0,)</f>
        <v>Small Pieces (Tiny bite size candies)</v>
      </c>
      <c r="K3388" t="str">
        <f>_xlfn.XLOOKUP($A3388,Load!$B:$B,Load!L:L,0,)</f>
        <v>Regular/Original Wrapping</v>
      </c>
      <c r="L3388" t="str">
        <f>_xlfn.XLOOKUP($A3388,Load!$B:$B,Load!M:M,0,)</f>
        <v>Single Brand / Variety Flavors or Form</v>
      </c>
    </row>
    <row r="3389" spans="1:12" x14ac:dyDescent="0.25">
      <c r="A3389" t="s">
        <v>150</v>
      </c>
      <c r="B3389" t="str">
        <f>_xlfn.XLOOKUP($A3389,Load!$B:$B,Load!C:C,0,)</f>
        <v>Jolly Rancher</v>
      </c>
      <c r="C3389" t="str">
        <f>_xlfn.XLOOKUP($A3389,Load!$B:$B,Load!D:D,0,)</f>
        <v>Non-Chocolate Candy Only</v>
      </c>
      <c r="D3389" t="str">
        <f>_xlfn.XLOOKUP($A3389,Load!$B:$B,Load!E:E,0,)</f>
        <v>Variety / Mixed Flavors (Fruity, Sour, Seasonal Flavors)</v>
      </c>
      <c r="E3389" t="str">
        <f>_xlfn.XLOOKUP($A3389,Load!$B:$B,Load!F:F,0,)</f>
        <v>Gummy</v>
      </c>
      <c r="F3389" t="str">
        <f>_xlfn.XLOOKUP($A3389,Load!$B:$B,Load!G:G,0,)</f>
        <v>Small Multipack (Less than 40 ct)</v>
      </c>
      <c r="G3389" t="str">
        <f>_xlfn.XLOOKUP($A3389,Load!$B:$B,Load!H:H,0,)</f>
        <v>Laydown Bag</v>
      </c>
      <c r="H3389" t="str">
        <f>_xlfn.XLOOKUP($A3389,Load!$B:$B,Load!I:I,0,)</f>
        <v>Everyday Candy Shapes (like Original, Gummy bear, Fruit, Jewels, etc.)</v>
      </c>
      <c r="I3389" t="str">
        <f>_xlfn.XLOOKUP($A3389,Load!$B:$B,Load!J:J,0,)</f>
        <v>Everyday Graphics</v>
      </c>
      <c r="J3389" t="str">
        <f>_xlfn.XLOOKUP($A3389,Load!$B:$B,Load!K:K,0,)</f>
        <v>Small Pieces (Tiny bite size candies)</v>
      </c>
      <c r="K3389" t="str">
        <f>_xlfn.XLOOKUP($A3389,Load!$B:$B,Load!L:L,0,)</f>
        <v>Regular/Original Wrapping</v>
      </c>
      <c r="L3389" t="str">
        <f>_xlfn.XLOOKUP($A3389,Load!$B:$B,Load!M:M,0,)</f>
        <v>Single Brand / Variety Flavors or Form</v>
      </c>
    </row>
    <row r="3390" spans="1:12" x14ac:dyDescent="0.25">
      <c r="A3390" t="s">
        <v>169</v>
      </c>
      <c r="B3390" t="str">
        <f>_xlfn.XLOOKUP($A3390,Load!$B:$B,Load!C:C,0,)</f>
        <v>Laffy Taffy</v>
      </c>
      <c r="C3390" t="str">
        <f>_xlfn.XLOOKUP($A3390,Load!$B:$B,Load!D:D,0,)</f>
        <v>Non-Chocolate Candy Only</v>
      </c>
      <c r="D3390" t="str">
        <f>_xlfn.XLOOKUP($A3390,Load!$B:$B,Load!E:E,0,)</f>
        <v>Fruit Flavor (Cherry, Grape, Apple, Citrus, Tropical Fruit)</v>
      </c>
      <c r="E3390" t="str">
        <f>_xlfn.XLOOKUP($A3390,Load!$B:$B,Load!F:F,0,)</f>
        <v>Taffy</v>
      </c>
      <c r="F3390" t="str">
        <f>_xlfn.XLOOKUP($A3390,Load!$B:$B,Load!G:G,0,)</f>
        <v>Small Multipack (Less than 40 ct)</v>
      </c>
      <c r="G3390" t="str">
        <f>_xlfn.XLOOKUP($A3390,Load!$B:$B,Load!H:H,0,)</f>
        <v>Laydown Bag</v>
      </c>
      <c r="H3390" t="str">
        <f>_xlfn.XLOOKUP($A3390,Load!$B:$B,Load!I:I,0,)</f>
        <v>Everyday Candy Shapes (like Original, Gummy bear, Fruit, Jewels, etc.)</v>
      </c>
      <c r="I3390" t="str">
        <f>_xlfn.XLOOKUP($A3390,Load!$B:$B,Load!J:J,0,)</f>
        <v>Everyday Graphics</v>
      </c>
      <c r="J3390" t="str">
        <f>_xlfn.XLOOKUP($A3390,Load!$B:$B,Load!K:K,0,)</f>
        <v>Fun Size / Treat Size</v>
      </c>
      <c r="K3390" t="str">
        <f>_xlfn.XLOOKUP($A3390,Load!$B:$B,Load!L:L,0,)</f>
        <v>Regular/Original Wrapping</v>
      </c>
      <c r="L3390" t="str">
        <f>_xlfn.XLOOKUP($A3390,Load!$B:$B,Load!M:M,0,)</f>
        <v>Single Brand / Variety Flavors or Form</v>
      </c>
    </row>
    <row r="3391" spans="1:12" x14ac:dyDescent="0.25">
      <c r="B3391">
        <f>_xlfn.XLOOKUP($A3391,Load!$B:$B,Load!C:C,0,)</f>
        <v>0</v>
      </c>
      <c r="C3391">
        <f>_xlfn.XLOOKUP($A3391,Load!$B:$B,Load!D:D,0,)</f>
        <v>0</v>
      </c>
      <c r="D3391">
        <f>_xlfn.XLOOKUP($A3391,Load!$B:$B,Load!E:E,0,)</f>
        <v>0</v>
      </c>
      <c r="E3391">
        <f>_xlfn.XLOOKUP($A3391,Load!$B:$B,Load!F:F,0,)</f>
        <v>0</v>
      </c>
      <c r="F3391">
        <f>_xlfn.XLOOKUP($A3391,Load!$B:$B,Load!G:G,0,)</f>
        <v>0</v>
      </c>
      <c r="G3391">
        <f>_xlfn.XLOOKUP($A3391,Load!$B:$B,Load!H:H,0,)</f>
        <v>0</v>
      </c>
      <c r="H3391">
        <f>_xlfn.XLOOKUP($A3391,Load!$B:$B,Load!I:I,0,)</f>
        <v>0</v>
      </c>
      <c r="I3391">
        <f>_xlfn.XLOOKUP($A3391,Load!$B:$B,Load!J:J,0,)</f>
        <v>0</v>
      </c>
      <c r="J3391">
        <f>_xlfn.XLOOKUP($A3391,Load!$B:$B,Load!K:K,0,)</f>
        <v>0</v>
      </c>
      <c r="K3391">
        <f>_xlfn.XLOOKUP($A3391,Load!$B:$B,Load!L:L,0,)</f>
        <v>0</v>
      </c>
      <c r="L3391">
        <f>_xlfn.XLOOKUP($A3391,Load!$B:$B,Load!M:M,0,)</f>
        <v>0</v>
      </c>
    </row>
    <row r="3392" spans="1:12" x14ac:dyDescent="0.25">
      <c r="A3392" t="s">
        <v>294</v>
      </c>
      <c r="B3392" t="str">
        <f>_xlfn.XLOOKUP($A3392,Load!$B:$B,Load!C:C,0,)</f>
        <v>Tootsie</v>
      </c>
      <c r="C3392" t="str">
        <f>_xlfn.XLOOKUP($A3392,Load!$B:$B,Load!D:D,0,)</f>
        <v>Non-Chocolate Candy Only</v>
      </c>
      <c r="D3392" t="str">
        <f>_xlfn.XLOOKUP($A3392,Load!$B:$B,Load!E:E,0,)</f>
        <v>Sweet</v>
      </c>
      <c r="E3392" t="str">
        <f>_xlfn.XLOOKUP($A3392,Load!$B:$B,Load!F:F,0,)</f>
        <v>Lollipop (regular or lollipop rings)</v>
      </c>
      <c r="F3392" t="str">
        <f>_xlfn.XLOOKUP($A3392,Load!$B:$B,Load!G:G,0,)</f>
        <v>Large Multipack (More than 80 ct)</v>
      </c>
      <c r="G3392" t="str">
        <f>_xlfn.XLOOKUP($A3392,Load!$B:$B,Load!H:H,0,)</f>
        <v>Laydown Bag</v>
      </c>
      <c r="H3392" t="str">
        <f>_xlfn.XLOOKUP($A3392,Load!$B:$B,Load!I:I,0,)</f>
        <v>Everyday Candy Shapes (like Original, Gummy bear, Fruit, Jewels, etc.)</v>
      </c>
      <c r="I3392" t="str">
        <f>_xlfn.XLOOKUP($A3392,Load!$B:$B,Load!J:J,0,)</f>
        <v>Everyday Graphics</v>
      </c>
      <c r="J3392" t="str">
        <f>_xlfn.XLOOKUP($A3392,Load!$B:$B,Load!K:K,0,)</f>
        <v>Regular Lollipop size (on sticks or rings)</v>
      </c>
      <c r="K3392" t="str">
        <f>_xlfn.XLOOKUP($A3392,Load!$B:$B,Load!L:L,0,)</f>
        <v>Regular/Original Wrapping</v>
      </c>
      <c r="L3392" t="str">
        <f>_xlfn.XLOOKUP($A3392,Load!$B:$B,Load!M:M,0,)</f>
        <v>Single Brand / Single Flavor or Form</v>
      </c>
    </row>
    <row r="3393" spans="1:12" x14ac:dyDescent="0.25">
      <c r="B3393">
        <f>_xlfn.XLOOKUP($A3393,Load!$B:$B,Load!C:C,0,)</f>
        <v>0</v>
      </c>
      <c r="C3393">
        <f>_xlfn.XLOOKUP($A3393,Load!$B:$B,Load!D:D,0,)</f>
        <v>0</v>
      </c>
      <c r="D3393">
        <f>_xlfn.XLOOKUP($A3393,Load!$B:$B,Load!E:E,0,)</f>
        <v>0</v>
      </c>
      <c r="E3393">
        <f>_xlfn.XLOOKUP($A3393,Load!$B:$B,Load!F:F,0,)</f>
        <v>0</v>
      </c>
      <c r="F3393">
        <f>_xlfn.XLOOKUP($A3393,Load!$B:$B,Load!G:G,0,)</f>
        <v>0</v>
      </c>
      <c r="G3393">
        <f>_xlfn.XLOOKUP($A3393,Load!$B:$B,Load!H:H,0,)</f>
        <v>0</v>
      </c>
      <c r="H3393">
        <f>_xlfn.XLOOKUP($A3393,Load!$B:$B,Load!I:I,0,)</f>
        <v>0</v>
      </c>
      <c r="I3393">
        <f>_xlfn.XLOOKUP($A3393,Load!$B:$B,Load!J:J,0,)</f>
        <v>0</v>
      </c>
      <c r="J3393">
        <f>_xlfn.XLOOKUP($A3393,Load!$B:$B,Load!K:K,0,)</f>
        <v>0</v>
      </c>
      <c r="K3393">
        <f>_xlfn.XLOOKUP($A3393,Load!$B:$B,Load!L:L,0,)</f>
        <v>0</v>
      </c>
      <c r="L3393">
        <f>_xlfn.XLOOKUP($A3393,Load!$B:$B,Load!M:M,0,)</f>
        <v>0</v>
      </c>
    </row>
    <row r="3394" spans="1:12" x14ac:dyDescent="0.25">
      <c r="A3394" t="s">
        <v>141</v>
      </c>
      <c r="B3394" t="str">
        <f>_xlfn.XLOOKUP($A3394,Load!$B:$B,Load!C:C,0,)</f>
        <v>Hershey's Variety Pack + Haribo</v>
      </c>
      <c r="C3394" t="str">
        <f>_xlfn.XLOOKUP($A3394,Load!$B:$B,Load!D:D,0,)</f>
        <v>Non-Chocolate Candy Only</v>
      </c>
      <c r="D3394" t="str">
        <f>_xlfn.XLOOKUP($A3394,Load!$B:$B,Load!E:E,0,)</f>
        <v>Variety / Mixed Flavors (Fruity, Sour, Seasonal Flavors)</v>
      </c>
      <c r="E3394" t="str">
        <f>_xlfn.XLOOKUP($A3394,Load!$B:$B,Load!F:F,0,)</f>
        <v>Mixed / Combo Packs (Gummy, Chewy, Taffy, etc.)</v>
      </c>
      <c r="F3394" t="str">
        <f>_xlfn.XLOOKUP($A3394,Load!$B:$B,Load!G:G,0,)</f>
        <v>Large Multipack (More than 80 ct)</v>
      </c>
      <c r="G3394" t="str">
        <f>_xlfn.XLOOKUP($A3394,Load!$B:$B,Load!H:H,0,)</f>
        <v>Plastic Cup / Container</v>
      </c>
      <c r="H3394" t="str">
        <f>_xlfn.XLOOKUP($A3394,Load!$B:$B,Load!I:I,0,)</f>
        <v>Everyday Candy Shapes (like Original, Gummy bear, Fruit, Jewels, etc.)</v>
      </c>
      <c r="I3394" t="str">
        <f>_xlfn.XLOOKUP($A3394,Load!$B:$B,Load!J:J,0,)</f>
        <v>Everyday Graphics</v>
      </c>
      <c r="J3394" t="str">
        <f>_xlfn.XLOOKUP($A3394,Load!$B:$B,Load!K:K,0,)</f>
        <v xml:space="preserve">Variety Candy Sizes </v>
      </c>
      <c r="K3394" t="str">
        <f>_xlfn.XLOOKUP($A3394,Load!$B:$B,Load!L:L,0,)</f>
        <v>Regular/Original Wrapping</v>
      </c>
      <c r="L3394" t="str">
        <f>_xlfn.XLOOKUP($A3394,Load!$B:$B,Load!M:M,0,)</f>
        <v>Multiple Brands / Variety Flavors or Form</v>
      </c>
    </row>
    <row r="3395" spans="1:12" x14ac:dyDescent="0.25">
      <c r="B3395">
        <f>_xlfn.XLOOKUP($A3395,Load!$B:$B,Load!C:C,0,)</f>
        <v>0</v>
      </c>
      <c r="C3395">
        <f>_xlfn.XLOOKUP($A3395,Load!$B:$B,Load!D:D,0,)</f>
        <v>0</v>
      </c>
      <c r="D3395">
        <f>_xlfn.XLOOKUP($A3395,Load!$B:$B,Load!E:E,0,)</f>
        <v>0</v>
      </c>
      <c r="E3395">
        <f>_xlfn.XLOOKUP($A3395,Load!$B:$B,Load!F:F,0,)</f>
        <v>0</v>
      </c>
      <c r="F3395">
        <f>_xlfn.XLOOKUP($A3395,Load!$B:$B,Load!G:G,0,)</f>
        <v>0</v>
      </c>
      <c r="G3395">
        <f>_xlfn.XLOOKUP($A3395,Load!$B:$B,Load!H:H,0,)</f>
        <v>0</v>
      </c>
      <c r="H3395">
        <f>_xlfn.XLOOKUP($A3395,Load!$B:$B,Load!I:I,0,)</f>
        <v>0</v>
      </c>
      <c r="I3395">
        <f>_xlfn.XLOOKUP($A3395,Load!$B:$B,Load!J:J,0,)</f>
        <v>0</v>
      </c>
      <c r="J3395">
        <f>_xlfn.XLOOKUP($A3395,Load!$B:$B,Load!K:K,0,)</f>
        <v>0</v>
      </c>
      <c r="K3395">
        <f>_xlfn.XLOOKUP($A3395,Load!$B:$B,Load!L:L,0,)</f>
        <v>0</v>
      </c>
      <c r="L3395">
        <f>_xlfn.XLOOKUP($A3395,Load!$B:$B,Load!M:M,0,)</f>
        <v>0</v>
      </c>
    </row>
    <row r="3396" spans="1:12" x14ac:dyDescent="0.25">
      <c r="B3396">
        <f>_xlfn.XLOOKUP($A3396,Load!$B:$B,Load!C:C,0,)</f>
        <v>0</v>
      </c>
      <c r="C3396">
        <f>_xlfn.XLOOKUP($A3396,Load!$B:$B,Load!D:D,0,)</f>
        <v>0</v>
      </c>
      <c r="D3396">
        <f>_xlfn.XLOOKUP($A3396,Load!$B:$B,Load!E:E,0,)</f>
        <v>0</v>
      </c>
      <c r="E3396">
        <f>_xlfn.XLOOKUP($A3396,Load!$B:$B,Load!F:F,0,)</f>
        <v>0</v>
      </c>
      <c r="F3396">
        <f>_xlfn.XLOOKUP($A3396,Load!$B:$B,Load!G:G,0,)</f>
        <v>0</v>
      </c>
      <c r="G3396">
        <f>_xlfn.XLOOKUP($A3396,Load!$B:$B,Load!H:H,0,)</f>
        <v>0</v>
      </c>
      <c r="H3396">
        <f>_xlfn.XLOOKUP($A3396,Load!$B:$B,Load!I:I,0,)</f>
        <v>0</v>
      </c>
      <c r="I3396">
        <f>_xlfn.XLOOKUP($A3396,Load!$B:$B,Load!J:J,0,)</f>
        <v>0</v>
      </c>
      <c r="J3396">
        <f>_xlfn.XLOOKUP($A3396,Load!$B:$B,Load!K:K,0,)</f>
        <v>0</v>
      </c>
      <c r="K3396">
        <f>_xlfn.XLOOKUP($A3396,Load!$B:$B,Load!L:L,0,)</f>
        <v>0</v>
      </c>
      <c r="L3396">
        <f>_xlfn.XLOOKUP($A3396,Load!$B:$B,Load!M:M,0,)</f>
        <v>0</v>
      </c>
    </row>
    <row r="3397" spans="1:12" x14ac:dyDescent="0.25">
      <c r="B3397">
        <f>_xlfn.XLOOKUP($A3397,Load!$B:$B,Load!C:C,0,)</f>
        <v>0</v>
      </c>
      <c r="C3397">
        <f>_xlfn.XLOOKUP($A3397,Load!$B:$B,Load!D:D,0,)</f>
        <v>0</v>
      </c>
      <c r="D3397">
        <f>_xlfn.XLOOKUP($A3397,Load!$B:$B,Load!E:E,0,)</f>
        <v>0</v>
      </c>
      <c r="E3397">
        <f>_xlfn.XLOOKUP($A3397,Load!$B:$B,Load!F:F,0,)</f>
        <v>0</v>
      </c>
      <c r="F3397">
        <f>_xlfn.XLOOKUP($A3397,Load!$B:$B,Load!G:G,0,)</f>
        <v>0</v>
      </c>
      <c r="G3397">
        <f>_xlfn.XLOOKUP($A3397,Load!$B:$B,Load!H:H,0,)</f>
        <v>0</v>
      </c>
      <c r="H3397">
        <f>_xlfn.XLOOKUP($A3397,Load!$B:$B,Load!I:I,0,)</f>
        <v>0</v>
      </c>
      <c r="I3397">
        <f>_xlfn.XLOOKUP($A3397,Load!$B:$B,Load!J:J,0,)</f>
        <v>0</v>
      </c>
      <c r="J3397">
        <f>_xlfn.XLOOKUP($A3397,Load!$B:$B,Load!K:K,0,)</f>
        <v>0</v>
      </c>
      <c r="K3397">
        <f>_xlfn.XLOOKUP($A3397,Load!$B:$B,Load!L:L,0,)</f>
        <v>0</v>
      </c>
      <c r="L3397">
        <f>_xlfn.XLOOKUP($A3397,Load!$B:$B,Load!M:M,0,)</f>
        <v>0</v>
      </c>
    </row>
    <row r="3398" spans="1:12" x14ac:dyDescent="0.25">
      <c r="A3398" t="s">
        <v>66</v>
      </c>
      <c r="B3398" t="str">
        <f>_xlfn.XLOOKUP($A3398,Load!$B:$B,Load!C:C,0,)</f>
        <v>Dots</v>
      </c>
      <c r="C3398" t="str">
        <f>_xlfn.XLOOKUP($A3398,Load!$B:$B,Load!D:D,0,)</f>
        <v>Non-Chocolate Candy Only</v>
      </c>
      <c r="D3398" t="str">
        <f>_xlfn.XLOOKUP($A3398,Load!$B:$B,Load!E:E,0,)</f>
        <v>Variety / Mixed Flavors (Fruity, Sour, Seasonal Flavors)</v>
      </c>
      <c r="E3398" t="str">
        <f>_xlfn.XLOOKUP($A3398,Load!$B:$B,Load!F:F,0,)</f>
        <v>Candy Pieces / Bites</v>
      </c>
      <c r="F3398" t="str">
        <f>_xlfn.XLOOKUP($A3398,Load!$B:$B,Load!G:G,0,)</f>
        <v>Small Multipack (Less than 40 ct)</v>
      </c>
      <c r="G3398" t="str">
        <f>_xlfn.XLOOKUP($A3398,Load!$B:$B,Load!H:H,0,)</f>
        <v>Stand-Up Bag</v>
      </c>
      <c r="H3398" t="str">
        <f>_xlfn.XLOOKUP($A3398,Load!$B:$B,Load!I:I,0,)</f>
        <v>Seasonal Shapes (like pumpkins, candy corn, ghost, bats, etc.)</v>
      </c>
      <c r="I3398" t="str">
        <f>_xlfn.XLOOKUP($A3398,Load!$B:$B,Load!J:J,0,)</f>
        <v>Seasonal Graphics (Like Bat, Ghost, Pumpkin, Fall Leaves, Eyeballs, etc.)</v>
      </c>
      <c r="J3398" t="str">
        <f>_xlfn.XLOOKUP($A3398,Load!$B:$B,Load!K:K,0,)</f>
        <v>Fun Size / Treat Size</v>
      </c>
      <c r="K3398" t="str">
        <f>_xlfn.XLOOKUP($A3398,Load!$B:$B,Load!L:L,0,)</f>
        <v>Regular/Original Wrapping</v>
      </c>
      <c r="L3398" t="str">
        <f>_xlfn.XLOOKUP($A3398,Load!$B:$B,Load!M:M,0,)</f>
        <v>Single Brand / Variety Flavors or Form</v>
      </c>
    </row>
    <row r="3399" spans="1:12" x14ac:dyDescent="0.25">
      <c r="A3399" t="s">
        <v>119</v>
      </c>
      <c r="B3399" t="str">
        <f>_xlfn.XLOOKUP($A3399,Load!$B:$B,Load!C:C,0,)</f>
        <v>Great Value</v>
      </c>
      <c r="C3399" t="str">
        <f>_xlfn.XLOOKUP($A3399,Load!$B:$B,Load!D:D,0,)</f>
        <v>Non-Chocolate Candy Only</v>
      </c>
      <c r="D3399" t="str">
        <f>_xlfn.XLOOKUP($A3399,Load!$B:$B,Load!E:E,0,)</f>
        <v>Fall / Seasonal Flavors (pumpkin spice, caramel apple, candy corn)</v>
      </c>
      <c r="E3399" t="str">
        <f>_xlfn.XLOOKUP($A3399,Load!$B:$B,Load!F:F,0,)</f>
        <v>Candy Pieces / Bites</v>
      </c>
      <c r="F3399" t="str">
        <f>_xlfn.XLOOKUP($A3399,Load!$B:$B,Load!G:G,0,)</f>
        <v>Single Pack</v>
      </c>
      <c r="G3399" t="str">
        <f>_xlfn.XLOOKUP($A3399,Load!$B:$B,Load!H:H,0,)</f>
        <v>Laydown Bag</v>
      </c>
      <c r="H3399" t="str">
        <f>_xlfn.XLOOKUP($A3399,Load!$B:$B,Load!I:I,0,)</f>
        <v>Seasonal Shapes (like pumpkins, candy corn, ghost, bats, etc.)</v>
      </c>
      <c r="I3399" t="str">
        <f>_xlfn.XLOOKUP($A3399,Load!$B:$B,Load!J:J,0,)</f>
        <v>Seasonal Graphics (Like Bat, Ghost, Pumpkin, Fall Leaves, Eyeballs, etc.)</v>
      </c>
      <c r="J3399" t="str">
        <f>_xlfn.XLOOKUP($A3399,Load!$B:$B,Load!K:K,0,)</f>
        <v>Small Pieces (Tiny bite size candies)</v>
      </c>
      <c r="K3399" t="str">
        <f>_xlfn.XLOOKUP($A3399,Load!$B:$B,Load!L:L,0,)</f>
        <v>Unwrapped</v>
      </c>
      <c r="L3399" t="str">
        <f>_xlfn.XLOOKUP($A3399,Load!$B:$B,Load!M:M,0,)</f>
        <v>Single Brand / Variety Flavors or Form</v>
      </c>
    </row>
    <row r="3400" spans="1:12" x14ac:dyDescent="0.25">
      <c r="A3400" t="s">
        <v>49</v>
      </c>
      <c r="B3400" t="str">
        <f>_xlfn.XLOOKUP($A3400,Load!$B:$B,Load!C:C,0,)</f>
        <v>Brach's</v>
      </c>
      <c r="C3400" t="str">
        <f>_xlfn.XLOOKUP($A3400,Load!$B:$B,Load!D:D,0,)</f>
        <v>Non-Chocolate Candy Only</v>
      </c>
      <c r="D3400" t="str">
        <f>_xlfn.XLOOKUP($A3400,Load!$B:$B,Load!E:E,0,)</f>
        <v>Fall / Seasonal Flavors (pumpkin spice, caramel apple, candy corn)</v>
      </c>
      <c r="E3400" t="str">
        <f>_xlfn.XLOOKUP($A3400,Load!$B:$B,Load!F:F,0,)</f>
        <v>Candy Pieces / Bites</v>
      </c>
      <c r="F3400" t="str">
        <f>_xlfn.XLOOKUP($A3400,Load!$B:$B,Load!G:G,0,)</f>
        <v>Large Multipack (More than 80 ct)</v>
      </c>
      <c r="G3400" t="str">
        <f>_xlfn.XLOOKUP($A3400,Load!$B:$B,Load!H:H,0,)</f>
        <v>Laydown Bag</v>
      </c>
      <c r="H3400" t="str">
        <f>_xlfn.XLOOKUP($A3400,Load!$B:$B,Load!I:I,0,)</f>
        <v>Seasonal Shapes (like pumpkins, candy corn, ghost, bats, etc.)</v>
      </c>
      <c r="I3400" t="str">
        <f>_xlfn.XLOOKUP($A3400,Load!$B:$B,Load!J:J,0,)</f>
        <v>Seasonal Graphics (Like Bat, Ghost, Pumpkin, Fall Leaves, Eyeballs, etc.)</v>
      </c>
      <c r="J3400" t="str">
        <f>_xlfn.XLOOKUP($A3400,Load!$B:$B,Load!K:K,0,)</f>
        <v>Small Pieces (Tiny bite size candies)</v>
      </c>
      <c r="K3400" t="str">
        <f>_xlfn.XLOOKUP($A3400,Load!$B:$B,Load!L:L,0,)</f>
        <v>Unwrapped</v>
      </c>
      <c r="L3400" t="str">
        <f>_xlfn.XLOOKUP($A3400,Load!$B:$B,Load!M:M,0,)</f>
        <v>Single Brand / Single Flavor or Form</v>
      </c>
    </row>
    <row r="3401" spans="1:12" x14ac:dyDescent="0.25">
      <c r="B3401">
        <f>_xlfn.XLOOKUP($A3401,Load!$B:$B,Load!C:C,0,)</f>
        <v>0</v>
      </c>
      <c r="C3401">
        <f>_xlfn.XLOOKUP($A3401,Load!$B:$B,Load!D:D,0,)</f>
        <v>0</v>
      </c>
      <c r="D3401">
        <f>_xlfn.XLOOKUP($A3401,Load!$B:$B,Load!E:E,0,)</f>
        <v>0</v>
      </c>
      <c r="E3401">
        <f>_xlfn.XLOOKUP($A3401,Load!$B:$B,Load!F:F,0,)</f>
        <v>0</v>
      </c>
      <c r="F3401">
        <f>_xlfn.XLOOKUP($A3401,Load!$B:$B,Load!G:G,0,)</f>
        <v>0</v>
      </c>
      <c r="G3401">
        <f>_xlfn.XLOOKUP($A3401,Load!$B:$B,Load!H:H,0,)</f>
        <v>0</v>
      </c>
      <c r="H3401">
        <f>_xlfn.XLOOKUP($A3401,Load!$B:$B,Load!I:I,0,)</f>
        <v>0</v>
      </c>
      <c r="I3401">
        <f>_xlfn.XLOOKUP($A3401,Load!$B:$B,Load!J:J,0,)</f>
        <v>0</v>
      </c>
      <c r="J3401">
        <f>_xlfn.XLOOKUP($A3401,Load!$B:$B,Load!K:K,0,)</f>
        <v>0</v>
      </c>
      <c r="K3401">
        <f>_xlfn.XLOOKUP($A3401,Load!$B:$B,Load!L:L,0,)</f>
        <v>0</v>
      </c>
      <c r="L3401">
        <f>_xlfn.XLOOKUP($A3401,Load!$B:$B,Load!M:M,0,)</f>
        <v>0</v>
      </c>
    </row>
    <row r="3402" spans="1:12" x14ac:dyDescent="0.25">
      <c r="A3402" t="s">
        <v>220</v>
      </c>
      <c r="B3402" t="str">
        <f>_xlfn.XLOOKUP($A3402,Load!$B:$B,Load!C:C,0,)</f>
        <v>Mondelez Variety Pack</v>
      </c>
      <c r="C3402" t="str">
        <f>_xlfn.XLOOKUP($A3402,Load!$B:$B,Load!D:D,0,)</f>
        <v>Non-Chocolate Candy Only</v>
      </c>
      <c r="D3402" t="str">
        <f>_xlfn.XLOOKUP($A3402,Load!$B:$B,Load!E:E,0,)</f>
        <v>Variety / Mixed Flavors (Fruity, Sour, Seasonal Flavors)</v>
      </c>
      <c r="E3402" t="str">
        <f>_xlfn.XLOOKUP($A3402,Load!$B:$B,Load!F:F,0,)</f>
        <v>Chewy</v>
      </c>
      <c r="F3402" t="str">
        <f>_xlfn.XLOOKUP($A3402,Load!$B:$B,Load!G:G,0,)</f>
        <v>Large Multipack (More than 80 ct)</v>
      </c>
      <c r="G3402" t="str">
        <f>_xlfn.XLOOKUP($A3402,Load!$B:$B,Load!H:H,0,)</f>
        <v>Stand-Up Bag</v>
      </c>
      <c r="H3402" t="str">
        <f>_xlfn.XLOOKUP($A3402,Load!$B:$B,Load!I:I,0,)</f>
        <v>Seasonal Shapes (like pumpkins, candy corn, ghost, bats, etc.)</v>
      </c>
      <c r="I3402" t="str">
        <f>_xlfn.XLOOKUP($A3402,Load!$B:$B,Load!J:J,0,)</f>
        <v>Seasonal Graphics (Like Bat, Ghost, Pumpkin, Fall Leaves, Eyeballs, etc.)</v>
      </c>
      <c r="J3402" t="str">
        <f>_xlfn.XLOOKUP($A3402,Load!$B:$B,Load!K:K,0,)</f>
        <v>Small Pieces (Tiny bite size candies)</v>
      </c>
      <c r="K3402" t="str">
        <f>_xlfn.XLOOKUP($A3402,Load!$B:$B,Load!L:L,0,)</f>
        <v>Regular/Original Wrapping</v>
      </c>
      <c r="L3402" t="str">
        <f>_xlfn.XLOOKUP($A3402,Load!$B:$B,Load!M:M,0,)</f>
        <v>Single Brand / Variety Flavors or Form</v>
      </c>
    </row>
    <row r="3403" spans="1:12" x14ac:dyDescent="0.25">
      <c r="A3403" t="s">
        <v>254</v>
      </c>
      <c r="B3403" t="str">
        <f>_xlfn.XLOOKUP($A3403,Load!$B:$B,Load!C:C,0,)</f>
        <v>Skittles</v>
      </c>
      <c r="C3403" t="str">
        <f>_xlfn.XLOOKUP($A3403,Load!$B:$B,Load!D:D,0,)</f>
        <v>Non-Chocolate Candy Only</v>
      </c>
      <c r="D3403" t="str">
        <f>_xlfn.XLOOKUP($A3403,Load!$B:$B,Load!E:E,0,)</f>
        <v>Variety / Mixed Flavors (Fruity, Sour, Seasonal Flavors)</v>
      </c>
      <c r="E3403" t="str">
        <f>_xlfn.XLOOKUP($A3403,Load!$B:$B,Load!F:F,0,)</f>
        <v>Candy Pieces / Bites</v>
      </c>
      <c r="F3403" t="str">
        <f>_xlfn.XLOOKUP($A3403,Load!$B:$B,Load!G:G,0,)</f>
        <v>Medium Multipack (40–80 ct)</v>
      </c>
      <c r="G3403" t="str">
        <f>_xlfn.XLOOKUP($A3403,Load!$B:$B,Load!H:H,0,)</f>
        <v>Stand-Up Bag</v>
      </c>
      <c r="H3403" t="str">
        <f>_xlfn.XLOOKUP($A3403,Load!$B:$B,Load!I:I,0,)</f>
        <v>Everyday Candy Shapes (like Original, Gummy bear, Fruit, Jewels, etc.)</v>
      </c>
      <c r="I3403" t="str">
        <f>_xlfn.XLOOKUP($A3403,Load!$B:$B,Load!J:J,0,)</f>
        <v>Everyday Graphics</v>
      </c>
      <c r="J3403" t="str">
        <f>_xlfn.XLOOKUP($A3403,Load!$B:$B,Load!K:K,0,)</f>
        <v>Small Pieces (Tiny bite size candies)</v>
      </c>
      <c r="K3403" t="str">
        <f>_xlfn.XLOOKUP($A3403,Load!$B:$B,Load!L:L,0,)</f>
        <v>Regular/Original Wrapping</v>
      </c>
      <c r="L3403" t="str">
        <f>_xlfn.XLOOKUP($A3403,Load!$B:$B,Load!M:M,0,)</f>
        <v>Single Brand / Variety Flavors or Form</v>
      </c>
    </row>
    <row r="3404" spans="1:12" x14ac:dyDescent="0.25">
      <c r="B3404">
        <f>_xlfn.XLOOKUP($A3404,Load!$B:$B,Load!C:C,0,)</f>
        <v>0</v>
      </c>
      <c r="C3404">
        <f>_xlfn.XLOOKUP($A3404,Load!$B:$B,Load!D:D,0,)</f>
        <v>0</v>
      </c>
      <c r="D3404">
        <f>_xlfn.XLOOKUP($A3404,Load!$B:$B,Load!E:E,0,)</f>
        <v>0</v>
      </c>
      <c r="E3404">
        <f>_xlfn.XLOOKUP($A3404,Load!$B:$B,Load!F:F,0,)</f>
        <v>0</v>
      </c>
      <c r="F3404">
        <f>_xlfn.XLOOKUP($A3404,Load!$B:$B,Load!G:G,0,)</f>
        <v>0</v>
      </c>
      <c r="G3404">
        <f>_xlfn.XLOOKUP($A3404,Load!$B:$B,Load!H:H,0,)</f>
        <v>0</v>
      </c>
      <c r="H3404">
        <f>_xlfn.XLOOKUP($A3404,Load!$B:$B,Load!I:I,0,)</f>
        <v>0</v>
      </c>
      <c r="I3404">
        <f>_xlfn.XLOOKUP($A3404,Load!$B:$B,Load!J:J,0,)</f>
        <v>0</v>
      </c>
      <c r="J3404">
        <f>_xlfn.XLOOKUP($A3404,Load!$B:$B,Load!K:K,0,)</f>
        <v>0</v>
      </c>
      <c r="K3404">
        <f>_xlfn.XLOOKUP($A3404,Load!$B:$B,Load!L:L,0,)</f>
        <v>0</v>
      </c>
      <c r="L3404">
        <f>_xlfn.XLOOKUP($A3404,Load!$B:$B,Load!M:M,0,)</f>
        <v>0</v>
      </c>
    </row>
    <row r="3405" spans="1:12" x14ac:dyDescent="0.25">
      <c r="B3405">
        <f>_xlfn.XLOOKUP($A3405,Load!$B:$B,Load!C:C,0,)</f>
        <v>0</v>
      </c>
      <c r="C3405">
        <f>_xlfn.XLOOKUP($A3405,Load!$B:$B,Load!D:D,0,)</f>
        <v>0</v>
      </c>
      <c r="D3405">
        <f>_xlfn.XLOOKUP($A3405,Load!$B:$B,Load!E:E,0,)</f>
        <v>0</v>
      </c>
      <c r="E3405">
        <f>_xlfn.XLOOKUP($A3405,Load!$B:$B,Load!F:F,0,)</f>
        <v>0</v>
      </c>
      <c r="F3405">
        <f>_xlfn.XLOOKUP($A3405,Load!$B:$B,Load!G:G,0,)</f>
        <v>0</v>
      </c>
      <c r="G3405">
        <f>_xlfn.XLOOKUP($A3405,Load!$B:$B,Load!H:H,0,)</f>
        <v>0</v>
      </c>
      <c r="H3405">
        <f>_xlfn.XLOOKUP($A3405,Load!$B:$B,Load!I:I,0,)</f>
        <v>0</v>
      </c>
      <c r="I3405">
        <f>_xlfn.XLOOKUP($A3405,Load!$B:$B,Load!J:J,0,)</f>
        <v>0</v>
      </c>
      <c r="J3405">
        <f>_xlfn.XLOOKUP($A3405,Load!$B:$B,Load!K:K,0,)</f>
        <v>0</v>
      </c>
      <c r="K3405">
        <f>_xlfn.XLOOKUP($A3405,Load!$B:$B,Load!L:L,0,)</f>
        <v>0</v>
      </c>
      <c r="L3405">
        <f>_xlfn.XLOOKUP($A3405,Load!$B:$B,Load!M:M,0,)</f>
        <v>0</v>
      </c>
    </row>
    <row r="3406" spans="1:12" x14ac:dyDescent="0.25">
      <c r="B3406">
        <f>_xlfn.XLOOKUP($A3406,Load!$B:$B,Load!C:C,0,)</f>
        <v>0</v>
      </c>
      <c r="C3406">
        <f>_xlfn.XLOOKUP($A3406,Load!$B:$B,Load!D:D,0,)</f>
        <v>0</v>
      </c>
      <c r="D3406">
        <f>_xlfn.XLOOKUP($A3406,Load!$B:$B,Load!E:E,0,)</f>
        <v>0</v>
      </c>
      <c r="E3406">
        <f>_xlfn.XLOOKUP($A3406,Load!$B:$B,Load!F:F,0,)</f>
        <v>0</v>
      </c>
      <c r="F3406">
        <f>_xlfn.XLOOKUP($A3406,Load!$B:$B,Load!G:G,0,)</f>
        <v>0</v>
      </c>
      <c r="G3406">
        <f>_xlfn.XLOOKUP($A3406,Load!$B:$B,Load!H:H,0,)</f>
        <v>0</v>
      </c>
      <c r="H3406">
        <f>_xlfn.XLOOKUP($A3406,Load!$B:$B,Load!I:I,0,)</f>
        <v>0</v>
      </c>
      <c r="I3406">
        <f>_xlfn.XLOOKUP($A3406,Load!$B:$B,Load!J:J,0,)</f>
        <v>0</v>
      </c>
      <c r="J3406">
        <f>_xlfn.XLOOKUP($A3406,Load!$B:$B,Load!K:K,0,)</f>
        <v>0</v>
      </c>
      <c r="K3406">
        <f>_xlfn.XLOOKUP($A3406,Load!$B:$B,Load!L:L,0,)</f>
        <v>0</v>
      </c>
      <c r="L3406">
        <f>_xlfn.XLOOKUP($A3406,Load!$B:$B,Load!M:M,0,)</f>
        <v>0</v>
      </c>
    </row>
    <row r="3407" spans="1:12" x14ac:dyDescent="0.25">
      <c r="B3407">
        <f>_xlfn.XLOOKUP($A3407,Load!$B:$B,Load!C:C,0,)</f>
        <v>0</v>
      </c>
      <c r="C3407">
        <f>_xlfn.XLOOKUP($A3407,Load!$B:$B,Load!D:D,0,)</f>
        <v>0</v>
      </c>
      <c r="D3407">
        <f>_xlfn.XLOOKUP($A3407,Load!$B:$B,Load!E:E,0,)</f>
        <v>0</v>
      </c>
      <c r="E3407">
        <f>_xlfn.XLOOKUP($A3407,Load!$B:$B,Load!F:F,0,)</f>
        <v>0</v>
      </c>
      <c r="F3407">
        <f>_xlfn.XLOOKUP($A3407,Load!$B:$B,Load!G:G,0,)</f>
        <v>0</v>
      </c>
      <c r="G3407">
        <f>_xlfn.XLOOKUP($A3407,Load!$B:$B,Load!H:H,0,)</f>
        <v>0</v>
      </c>
      <c r="H3407">
        <f>_xlfn.XLOOKUP($A3407,Load!$B:$B,Load!I:I,0,)</f>
        <v>0</v>
      </c>
      <c r="I3407">
        <f>_xlfn.XLOOKUP($A3407,Load!$B:$B,Load!J:J,0,)</f>
        <v>0</v>
      </c>
      <c r="J3407">
        <f>_xlfn.XLOOKUP($A3407,Load!$B:$B,Load!K:K,0,)</f>
        <v>0</v>
      </c>
      <c r="K3407">
        <f>_xlfn.XLOOKUP($A3407,Load!$B:$B,Load!L:L,0,)</f>
        <v>0</v>
      </c>
      <c r="L3407">
        <f>_xlfn.XLOOKUP($A3407,Load!$B:$B,Load!M:M,0,)</f>
        <v>0</v>
      </c>
    </row>
    <row r="3408" spans="1:12" x14ac:dyDescent="0.25">
      <c r="A3408" t="s">
        <v>191</v>
      </c>
      <c r="B3408" t="str">
        <f>_xlfn.XLOOKUP($A3408,Load!$B:$B,Load!C:C,0,)</f>
        <v>Mars Variety Pack</v>
      </c>
      <c r="C3408" t="str">
        <f>_xlfn.XLOOKUP($A3408,Load!$B:$B,Load!D:D,0,)</f>
        <v>Mix of Chocolate and Non-Chocolate Candy</v>
      </c>
      <c r="D3408" t="str">
        <f>_xlfn.XLOOKUP($A3408,Load!$B:$B,Load!E:E,0,)</f>
        <v>Variety / Mixed Flavors (Fruity, Sour, Seasonal Flavors)</v>
      </c>
      <c r="E3408" t="str">
        <f>_xlfn.XLOOKUP($A3408,Load!$B:$B,Load!F:F,0,)</f>
        <v>Mixed / Combo Packs (Gummy, Chewy, Taffy, etc.)</v>
      </c>
      <c r="F3408" t="str">
        <f>_xlfn.XLOOKUP($A3408,Load!$B:$B,Load!G:G,0,)</f>
        <v>Medium Multipack (40–80 ct)</v>
      </c>
      <c r="G3408" t="str">
        <f>_xlfn.XLOOKUP($A3408,Load!$B:$B,Load!H:H,0,)</f>
        <v>Stand-Up Bag</v>
      </c>
      <c r="H3408" t="str">
        <f>_xlfn.XLOOKUP($A3408,Load!$B:$B,Load!I:I,0,)</f>
        <v>Everyday Candy Shapes (like Original, Gummy bear, Fruit, Jewels, etc.)</v>
      </c>
      <c r="I3408" t="str">
        <f>_xlfn.XLOOKUP($A3408,Load!$B:$B,Load!J:J,0,)</f>
        <v>Seasonal Graphics (Like Bat, Ghost, Pumpkin, Fall Leaves, Eyeballs, etc.)</v>
      </c>
      <c r="J3408" t="str">
        <f>_xlfn.XLOOKUP($A3408,Load!$B:$B,Load!K:K,0,)</f>
        <v xml:space="preserve">Variety Candy Sizes </v>
      </c>
      <c r="K3408" t="str">
        <f>_xlfn.XLOOKUP($A3408,Load!$B:$B,Load!L:L,0,)</f>
        <v>Regular/Original Wrapping</v>
      </c>
      <c r="L3408" t="str">
        <f>_xlfn.XLOOKUP($A3408,Load!$B:$B,Load!M:M,0,)</f>
        <v>Multiple Brands / Variety Flavors or Form</v>
      </c>
    </row>
    <row r="3409" spans="1:12" x14ac:dyDescent="0.25">
      <c r="A3409" t="s">
        <v>230</v>
      </c>
      <c r="B3409" t="str">
        <f>_xlfn.XLOOKUP($A3409,Load!$B:$B,Load!C:C,0,)</f>
        <v>Nerds</v>
      </c>
      <c r="C3409" t="str">
        <f>_xlfn.XLOOKUP($A3409,Load!$B:$B,Load!D:D,0,)</f>
        <v>Non-Chocolate Candy Only</v>
      </c>
      <c r="D3409" t="str">
        <f>_xlfn.XLOOKUP($A3409,Load!$B:$B,Load!E:E,0,)</f>
        <v>Sweet</v>
      </c>
      <c r="E3409" t="str">
        <f>_xlfn.XLOOKUP($A3409,Load!$B:$B,Load!F:F,0,)</f>
        <v>Chewy</v>
      </c>
      <c r="F3409" t="str">
        <f>_xlfn.XLOOKUP($A3409,Load!$B:$B,Load!G:G,0,)</f>
        <v>Single Pack</v>
      </c>
      <c r="G3409" t="str">
        <f>_xlfn.XLOOKUP($A3409,Load!$B:$B,Load!H:H,0,)</f>
        <v>Laydown Bag</v>
      </c>
      <c r="H3409" t="str">
        <f>_xlfn.XLOOKUP($A3409,Load!$B:$B,Load!I:I,0,)</f>
        <v>Everyday Candy Shapes (like Original, Gummy bear, Fruit, Jewels, etc.)</v>
      </c>
      <c r="I3409" t="str">
        <f>_xlfn.XLOOKUP($A3409,Load!$B:$B,Load!J:J,0,)</f>
        <v>Seasonal Graphics (Like Bat, Ghost, Pumpkin, Fall Leaves, Eyeballs, etc.)</v>
      </c>
      <c r="J3409" t="str">
        <f>_xlfn.XLOOKUP($A3409,Load!$B:$B,Load!K:K,0,)</f>
        <v>Fun Size / Treat Size</v>
      </c>
      <c r="K3409" t="str">
        <f>_xlfn.XLOOKUP($A3409,Load!$B:$B,Load!L:L,0,)</f>
        <v>Regular/Original Wrapping</v>
      </c>
      <c r="L3409" t="str">
        <f>_xlfn.XLOOKUP($A3409,Load!$B:$B,Load!M:M,0,)</f>
        <v>Single Brand / Single Flavor or Form</v>
      </c>
    </row>
    <row r="3410" spans="1:12" x14ac:dyDescent="0.25">
      <c r="A3410" t="s">
        <v>94</v>
      </c>
      <c r="B3410" t="str">
        <f>_xlfn.XLOOKUP($A3410,Load!$B:$B,Load!C:C,0,)</f>
        <v>Ferrara Variety Pack</v>
      </c>
      <c r="C3410" t="str">
        <f>_xlfn.XLOOKUP($A3410,Load!$B:$B,Load!D:D,0,)</f>
        <v>Non-Chocolate Candy Only</v>
      </c>
      <c r="D3410" t="str">
        <f>_xlfn.XLOOKUP($A3410,Load!$B:$B,Load!E:E,0,)</f>
        <v>Variety / Mixed Flavors (Fruity, Sour, Seasonal Flavors)</v>
      </c>
      <c r="E3410" t="str">
        <f>_xlfn.XLOOKUP($A3410,Load!$B:$B,Load!F:F,0,)</f>
        <v>Mixed / Combo Packs (Gummy, Chewy, Taffy, etc.)</v>
      </c>
      <c r="F3410" t="str">
        <f>_xlfn.XLOOKUP($A3410,Load!$B:$B,Load!G:G,0,)</f>
        <v>Large Multipack (More than 80 ct)</v>
      </c>
      <c r="G3410" t="str">
        <f>_xlfn.XLOOKUP($A3410,Load!$B:$B,Load!H:H,0,)</f>
        <v>Stand-Up Bag</v>
      </c>
      <c r="H3410" t="str">
        <f>_xlfn.XLOOKUP($A3410,Load!$B:$B,Load!I:I,0,)</f>
        <v>Everyday Candy Shapes (like Original, Gummy bear, Fruit, Jewels, etc.)</v>
      </c>
      <c r="I3410" t="str">
        <f>_xlfn.XLOOKUP($A3410,Load!$B:$B,Load!J:J,0,)</f>
        <v>Seasonal Graphics (Like Bat, Ghost, Pumpkin, Fall Leaves, Eyeballs, etc.)</v>
      </c>
      <c r="J3410" t="str">
        <f>_xlfn.XLOOKUP($A3410,Load!$B:$B,Load!K:K,0,)</f>
        <v xml:space="preserve">Variety Candy Sizes </v>
      </c>
      <c r="K3410" t="str">
        <f>_xlfn.XLOOKUP($A3410,Load!$B:$B,Load!L:L,0,)</f>
        <v>Regular/Original Wrapping</v>
      </c>
      <c r="L3410" t="str">
        <f>_xlfn.XLOOKUP($A3410,Load!$B:$B,Load!M:M,0,)</f>
        <v>Multiple Brands / Variety Flavors or Form</v>
      </c>
    </row>
    <row r="3411" spans="1:12" x14ac:dyDescent="0.25">
      <c r="A3411" t="s">
        <v>186</v>
      </c>
      <c r="B3411" t="str">
        <f>_xlfn.XLOOKUP($A3411,Load!$B:$B,Load!C:C,0,)</f>
        <v>Mars Variety Pack</v>
      </c>
      <c r="C3411" t="str">
        <f>_xlfn.XLOOKUP($A3411,Load!$B:$B,Load!D:D,0,)</f>
        <v>Mix of Chocolate and Non-Chocolate Candy</v>
      </c>
      <c r="D3411" t="str">
        <f>_xlfn.XLOOKUP($A3411,Load!$B:$B,Load!E:E,0,)</f>
        <v>Variety / Mixed Flavors (Fruity, Sour, Seasonal Flavors)</v>
      </c>
      <c r="E3411" t="str">
        <f>_xlfn.XLOOKUP($A3411,Load!$B:$B,Load!F:F,0,)</f>
        <v>Mixed / Combo Packs (Gummy, Chewy, Taffy, etc.)</v>
      </c>
      <c r="F3411" t="str">
        <f>_xlfn.XLOOKUP($A3411,Load!$B:$B,Load!G:G,0,)</f>
        <v>Large Multipack (More than 80 ct)</v>
      </c>
      <c r="G3411" t="str">
        <f>_xlfn.XLOOKUP($A3411,Load!$B:$B,Load!H:H,0,)</f>
        <v>Stand-Up Bag</v>
      </c>
      <c r="H3411" t="str">
        <f>_xlfn.XLOOKUP($A3411,Load!$B:$B,Load!I:I,0,)</f>
        <v>Everyday Candy Shapes (like Original, Gummy bear, Fruit, Jewels, etc.)</v>
      </c>
      <c r="I3411" t="str">
        <f>_xlfn.XLOOKUP($A3411,Load!$B:$B,Load!J:J,0,)</f>
        <v>Seasonal Graphics (Like Bat, Ghost, Pumpkin, Fall Leaves, Eyeballs, etc.)</v>
      </c>
      <c r="J3411" t="str">
        <f>_xlfn.XLOOKUP($A3411,Load!$B:$B,Load!K:K,0,)</f>
        <v>Fun Size / Treat Size</v>
      </c>
      <c r="K3411" t="str">
        <f>_xlfn.XLOOKUP($A3411,Load!$B:$B,Load!L:L,0,)</f>
        <v>Regular/Original Wrapping</v>
      </c>
      <c r="L3411" t="str">
        <f>_xlfn.XLOOKUP($A3411,Load!$B:$B,Load!M:M,0,)</f>
        <v>Multiple Brands / Variety Flavors or Form</v>
      </c>
    </row>
    <row r="3412" spans="1:12" x14ac:dyDescent="0.25">
      <c r="B3412">
        <f>_xlfn.XLOOKUP($A3412,Load!$B:$B,Load!C:C,0,)</f>
        <v>0</v>
      </c>
      <c r="C3412">
        <f>_xlfn.XLOOKUP($A3412,Load!$B:$B,Load!D:D,0,)</f>
        <v>0</v>
      </c>
      <c r="D3412">
        <f>_xlfn.XLOOKUP($A3412,Load!$B:$B,Load!E:E,0,)</f>
        <v>0</v>
      </c>
      <c r="E3412">
        <f>_xlfn.XLOOKUP($A3412,Load!$B:$B,Load!F:F,0,)</f>
        <v>0</v>
      </c>
      <c r="F3412">
        <f>_xlfn.XLOOKUP($A3412,Load!$B:$B,Load!G:G,0,)</f>
        <v>0</v>
      </c>
      <c r="G3412">
        <f>_xlfn.XLOOKUP($A3412,Load!$B:$B,Load!H:H,0,)</f>
        <v>0</v>
      </c>
      <c r="H3412">
        <f>_xlfn.XLOOKUP($A3412,Load!$B:$B,Load!I:I,0,)</f>
        <v>0</v>
      </c>
      <c r="I3412">
        <f>_xlfn.XLOOKUP($A3412,Load!$B:$B,Load!J:J,0,)</f>
        <v>0</v>
      </c>
      <c r="J3412">
        <f>_xlfn.XLOOKUP($A3412,Load!$B:$B,Load!K:K,0,)</f>
        <v>0</v>
      </c>
      <c r="K3412">
        <f>_xlfn.XLOOKUP($A3412,Load!$B:$B,Load!L:L,0,)</f>
        <v>0</v>
      </c>
      <c r="L3412">
        <f>_xlfn.XLOOKUP($A3412,Load!$B:$B,Load!M:M,0,)</f>
        <v>0</v>
      </c>
    </row>
    <row r="3413" spans="1:12" x14ac:dyDescent="0.25">
      <c r="B3413">
        <f>_xlfn.XLOOKUP($A3413,Load!$B:$B,Load!C:C,0,)</f>
        <v>0</v>
      </c>
      <c r="C3413">
        <f>_xlfn.XLOOKUP($A3413,Load!$B:$B,Load!D:D,0,)</f>
        <v>0</v>
      </c>
      <c r="D3413">
        <f>_xlfn.XLOOKUP($A3413,Load!$B:$B,Load!E:E,0,)</f>
        <v>0</v>
      </c>
      <c r="E3413">
        <f>_xlfn.XLOOKUP($A3413,Load!$B:$B,Load!F:F,0,)</f>
        <v>0</v>
      </c>
      <c r="F3413">
        <f>_xlfn.XLOOKUP($A3413,Load!$B:$B,Load!G:G,0,)</f>
        <v>0</v>
      </c>
      <c r="G3413">
        <f>_xlfn.XLOOKUP($A3413,Load!$B:$B,Load!H:H,0,)</f>
        <v>0</v>
      </c>
      <c r="H3413">
        <f>_xlfn.XLOOKUP($A3413,Load!$B:$B,Load!I:I,0,)</f>
        <v>0</v>
      </c>
      <c r="I3413">
        <f>_xlfn.XLOOKUP($A3413,Load!$B:$B,Load!J:J,0,)</f>
        <v>0</v>
      </c>
      <c r="J3413">
        <f>_xlfn.XLOOKUP($A3413,Load!$B:$B,Load!K:K,0,)</f>
        <v>0</v>
      </c>
      <c r="K3413">
        <f>_xlfn.XLOOKUP($A3413,Load!$B:$B,Load!L:L,0,)</f>
        <v>0</v>
      </c>
      <c r="L3413">
        <f>_xlfn.XLOOKUP($A3413,Load!$B:$B,Load!M:M,0,)</f>
        <v>0</v>
      </c>
    </row>
    <row r="3414" spans="1:12" x14ac:dyDescent="0.25">
      <c r="A3414" t="s">
        <v>304</v>
      </c>
      <c r="B3414" t="str">
        <f>_xlfn.XLOOKUP($A3414,Load!$B:$B,Load!C:C,0,)</f>
        <v>Warheads</v>
      </c>
      <c r="C3414" t="str">
        <f>_xlfn.XLOOKUP($A3414,Load!$B:$B,Load!D:D,0,)</f>
        <v>Non-Chocolate Candy Only</v>
      </c>
      <c r="D3414" t="str">
        <f>_xlfn.XLOOKUP($A3414,Load!$B:$B,Load!E:E,0,)</f>
        <v>Sour</v>
      </c>
      <c r="E3414" t="str">
        <f>_xlfn.XLOOKUP($A3414,Load!$B:$B,Load!F:F,0,)</f>
        <v>Chewy</v>
      </c>
      <c r="F3414" t="str">
        <f>_xlfn.XLOOKUP($A3414,Load!$B:$B,Load!G:G,0,)</f>
        <v>Medium Multipack (40–80 ct)</v>
      </c>
      <c r="G3414" t="str">
        <f>_xlfn.XLOOKUP($A3414,Load!$B:$B,Load!H:H,0,)</f>
        <v>Laydown Bag</v>
      </c>
      <c r="H3414" t="str">
        <f>_xlfn.XLOOKUP($A3414,Load!$B:$B,Load!I:I,0,)</f>
        <v>Everyday Candy Shapes (like Original, Gummy bear, Fruit, Jewels, etc.)</v>
      </c>
      <c r="I3414" t="str">
        <f>_xlfn.XLOOKUP($A3414,Load!$B:$B,Load!J:J,0,)</f>
        <v>Seasonal Graphics (Like Bat, Ghost, Pumpkin, Fall Leaves, Eyeballs, etc.)</v>
      </c>
      <c r="J3414" t="str">
        <f>_xlfn.XLOOKUP($A3414,Load!$B:$B,Load!K:K,0,)</f>
        <v>Fun Size / Treat Size</v>
      </c>
      <c r="K3414" t="str">
        <f>_xlfn.XLOOKUP($A3414,Load!$B:$B,Load!L:L,0,)</f>
        <v>Regular/Original Wrapping</v>
      </c>
      <c r="L3414" t="str">
        <f>_xlfn.XLOOKUP($A3414,Load!$B:$B,Load!M:M,0,)</f>
        <v>Single Brand / Single Flavor or Form</v>
      </c>
    </row>
    <row r="3415" spans="1:12" x14ac:dyDescent="0.25">
      <c r="A3415" t="s">
        <v>462</v>
      </c>
      <c r="B3415" t="str">
        <f>_xlfn.XLOOKUP($A3415,Load!$B:$B,Load!C:C,0,)</f>
        <v>Trolli</v>
      </c>
      <c r="C3415" t="str">
        <f>_xlfn.XLOOKUP($A3415,Load!$B:$B,Load!D:D,0,)</f>
        <v>Non-Chocolate Candy Only</v>
      </c>
      <c r="D3415" t="str">
        <f>_xlfn.XLOOKUP($A3415,Load!$B:$B,Load!E:E,0,)</f>
        <v>Sour</v>
      </c>
      <c r="E3415" t="str">
        <f>_xlfn.XLOOKUP($A3415,Load!$B:$B,Load!F:F,0,)</f>
        <v>Gummy</v>
      </c>
      <c r="F3415" t="str">
        <f>_xlfn.XLOOKUP($A3415,Load!$B:$B,Load!G:G,0,)</f>
        <v>Small Multipack (Less than 40 ct)</v>
      </c>
      <c r="G3415" t="str">
        <f>_xlfn.XLOOKUP($A3415,Load!$B:$B,Load!H:H,0,)</f>
        <v>Laydown Bag</v>
      </c>
      <c r="H3415" t="str">
        <f>_xlfn.XLOOKUP($A3415,Load!$B:$B,Load!I:I,0,)</f>
        <v>Seasonal Shapes (like pumpkins, candy corn, ghost, bats, etc.)</v>
      </c>
      <c r="I3415" t="str">
        <f>_xlfn.XLOOKUP($A3415,Load!$B:$B,Load!J:J,0,)</f>
        <v>Seasonal Graphics (Like Bat, Ghost, Pumpkin, Fall Leaves, Eyeballs, etc.)</v>
      </c>
      <c r="J3415" t="str">
        <f>_xlfn.XLOOKUP($A3415,Load!$B:$B,Load!K:K,0,)</f>
        <v>Fun Size / Treat Size</v>
      </c>
      <c r="K3415" t="str">
        <f>_xlfn.XLOOKUP($A3415,Load!$B:$B,Load!L:L,0,)</f>
        <v>Regular/Original Wrapping</v>
      </c>
      <c r="L3415" t="str">
        <f>_xlfn.XLOOKUP($A3415,Load!$B:$B,Load!M:M,0,)</f>
        <v>Single Brand / Variety Flavors or Form</v>
      </c>
    </row>
    <row r="3416" spans="1:12" x14ac:dyDescent="0.25">
      <c r="A3416" t="s">
        <v>207</v>
      </c>
      <c r="B3416" t="str">
        <f>_xlfn.XLOOKUP($A3416,Load!$B:$B,Load!C:C,0,)</f>
        <v>Mars Variety Pack</v>
      </c>
      <c r="C3416" t="str">
        <f>_xlfn.XLOOKUP($A3416,Load!$B:$B,Load!D:D,0,)</f>
        <v>Mix of Chocolate and Non-Chocolate Candy</v>
      </c>
      <c r="D3416" t="str">
        <f>_xlfn.XLOOKUP($A3416,Load!$B:$B,Load!E:E,0,)</f>
        <v>Variety / Mixed Flavors (Fruity, Sour, Seasonal Flavors)</v>
      </c>
      <c r="E3416" t="str">
        <f>_xlfn.XLOOKUP($A3416,Load!$B:$B,Load!F:F,0,)</f>
        <v>Mixed / Combo Packs (Gummy, Chewy, Taffy, etc.)</v>
      </c>
      <c r="F3416" t="str">
        <f>_xlfn.XLOOKUP($A3416,Load!$B:$B,Load!G:G,0,)</f>
        <v>Large Multipack (More than 80 ct)</v>
      </c>
      <c r="G3416" t="str">
        <f>_xlfn.XLOOKUP($A3416,Load!$B:$B,Load!H:H,0,)</f>
        <v>Stand-Up Bag</v>
      </c>
      <c r="H3416" t="str">
        <f>_xlfn.XLOOKUP($A3416,Load!$B:$B,Load!I:I,0,)</f>
        <v>Everyday Candy Shapes (like Original, Gummy bear, Fruit, Jewels, etc.)</v>
      </c>
      <c r="I3416" t="str">
        <f>_xlfn.XLOOKUP($A3416,Load!$B:$B,Load!J:J,0,)</f>
        <v>Everyday Graphics</v>
      </c>
      <c r="J3416" t="str">
        <f>_xlfn.XLOOKUP($A3416,Load!$B:$B,Load!K:K,0,)</f>
        <v>Fun Size / Treat Size</v>
      </c>
      <c r="K3416" t="str">
        <f>_xlfn.XLOOKUP($A3416,Load!$B:$B,Load!L:L,0,)</f>
        <v>Regular/Original Wrapping</v>
      </c>
      <c r="L3416" t="str">
        <f>_xlfn.XLOOKUP($A3416,Load!$B:$B,Load!M:M,0,)</f>
        <v>Multiple Brands / Variety Flavors or Form</v>
      </c>
    </row>
    <row r="3417" spans="1:12" x14ac:dyDescent="0.25">
      <c r="A3417" t="s">
        <v>221</v>
      </c>
      <c r="B3417" t="str">
        <f>_xlfn.XLOOKUP($A3417,Load!$B:$B,Load!C:C,0,)</f>
        <v>Hershey's Variety Pack + Haribo</v>
      </c>
      <c r="C3417" t="str">
        <f>_xlfn.XLOOKUP($A3417,Load!$B:$B,Load!D:D,0,)</f>
        <v>Mix of Chocolate and Non-Chocolate Candy</v>
      </c>
      <c r="D3417" t="str">
        <f>_xlfn.XLOOKUP($A3417,Load!$B:$B,Load!E:E,0,)</f>
        <v>Variety / Mixed Flavors (Fruity, Sour, Seasonal Flavors)</v>
      </c>
      <c r="E3417" t="str">
        <f>_xlfn.XLOOKUP($A3417,Load!$B:$B,Load!F:F,0,)</f>
        <v>Mixed / Combo Packs (Gummy, Chewy, Taffy, etc.)</v>
      </c>
      <c r="F3417" t="str">
        <f>_xlfn.XLOOKUP($A3417,Load!$B:$B,Load!G:G,0,)</f>
        <v>Large Multipack (More than 80 ct)</v>
      </c>
      <c r="G3417" t="str">
        <f>_xlfn.XLOOKUP($A3417,Load!$B:$B,Load!H:H,0,)</f>
        <v>Stand-Up Bag</v>
      </c>
      <c r="H3417" t="str">
        <f>_xlfn.XLOOKUP($A3417,Load!$B:$B,Load!I:I,0,)</f>
        <v>Everyday Candy Shapes (like Original, Gummy bear, Fruit, Jewels, etc.)</v>
      </c>
      <c r="I3417" t="str">
        <f>_xlfn.XLOOKUP($A3417,Load!$B:$B,Load!J:J,0,)</f>
        <v>Seasonal Graphics (Like Bat, Ghost, Pumpkin, Fall Leaves, Eyeballs, etc.)</v>
      </c>
      <c r="J3417" t="str">
        <f>_xlfn.XLOOKUP($A3417,Load!$B:$B,Load!K:K,0,)</f>
        <v xml:space="preserve">Variety Candy Sizes </v>
      </c>
      <c r="K3417" t="str">
        <f>_xlfn.XLOOKUP($A3417,Load!$B:$B,Load!L:L,0,)</f>
        <v>Regular/Original Wrapping</v>
      </c>
      <c r="L3417" t="str">
        <f>_xlfn.XLOOKUP($A3417,Load!$B:$B,Load!M:M,0,)</f>
        <v>Multiple Brands / Variety Flavors or Form</v>
      </c>
    </row>
    <row r="3418" spans="1:12" x14ac:dyDescent="0.25">
      <c r="B3418">
        <f>_xlfn.XLOOKUP($A3418,Load!$B:$B,Load!C:C,0,)</f>
        <v>0</v>
      </c>
      <c r="C3418">
        <f>_xlfn.XLOOKUP($A3418,Load!$B:$B,Load!D:D,0,)</f>
        <v>0</v>
      </c>
      <c r="D3418">
        <f>_xlfn.XLOOKUP($A3418,Load!$B:$B,Load!E:E,0,)</f>
        <v>0</v>
      </c>
      <c r="E3418">
        <f>_xlfn.XLOOKUP($A3418,Load!$B:$B,Load!F:F,0,)</f>
        <v>0</v>
      </c>
      <c r="F3418">
        <f>_xlfn.XLOOKUP($A3418,Load!$B:$B,Load!G:G,0,)</f>
        <v>0</v>
      </c>
      <c r="G3418">
        <f>_xlfn.XLOOKUP($A3418,Load!$B:$B,Load!H:H,0,)</f>
        <v>0</v>
      </c>
      <c r="H3418">
        <f>_xlfn.XLOOKUP($A3418,Load!$B:$B,Load!I:I,0,)</f>
        <v>0</v>
      </c>
      <c r="I3418">
        <f>_xlfn.XLOOKUP($A3418,Load!$B:$B,Load!J:J,0,)</f>
        <v>0</v>
      </c>
      <c r="J3418">
        <f>_xlfn.XLOOKUP($A3418,Load!$B:$B,Load!K:K,0,)</f>
        <v>0</v>
      </c>
      <c r="K3418">
        <f>_xlfn.XLOOKUP($A3418,Load!$B:$B,Load!L:L,0,)</f>
        <v>0</v>
      </c>
      <c r="L3418">
        <f>_xlfn.XLOOKUP($A3418,Load!$B:$B,Load!M:M,0,)</f>
        <v>0</v>
      </c>
    </row>
    <row r="3419" spans="1:12" x14ac:dyDescent="0.25">
      <c r="B3419">
        <f>_xlfn.XLOOKUP($A3419,Load!$B:$B,Load!C:C,0,)</f>
        <v>0</v>
      </c>
      <c r="C3419">
        <f>_xlfn.XLOOKUP($A3419,Load!$B:$B,Load!D:D,0,)</f>
        <v>0</v>
      </c>
      <c r="D3419">
        <f>_xlfn.XLOOKUP($A3419,Load!$B:$B,Load!E:E,0,)</f>
        <v>0</v>
      </c>
      <c r="E3419">
        <f>_xlfn.XLOOKUP($A3419,Load!$B:$B,Load!F:F,0,)</f>
        <v>0</v>
      </c>
      <c r="F3419">
        <f>_xlfn.XLOOKUP($A3419,Load!$B:$B,Load!G:G,0,)</f>
        <v>0</v>
      </c>
      <c r="G3419">
        <f>_xlfn.XLOOKUP($A3419,Load!$B:$B,Load!H:H,0,)</f>
        <v>0</v>
      </c>
      <c r="H3419">
        <f>_xlfn.XLOOKUP($A3419,Load!$B:$B,Load!I:I,0,)</f>
        <v>0</v>
      </c>
      <c r="I3419">
        <f>_xlfn.XLOOKUP($A3419,Load!$B:$B,Load!J:J,0,)</f>
        <v>0</v>
      </c>
      <c r="J3419">
        <f>_xlfn.XLOOKUP($A3419,Load!$B:$B,Load!K:K,0,)</f>
        <v>0</v>
      </c>
      <c r="K3419">
        <f>_xlfn.XLOOKUP($A3419,Load!$B:$B,Load!L:L,0,)</f>
        <v>0</v>
      </c>
      <c r="L3419">
        <f>_xlfn.XLOOKUP($A3419,Load!$B:$B,Load!M:M,0,)</f>
        <v>0</v>
      </c>
    </row>
    <row r="3420" spans="1:12" x14ac:dyDescent="0.25">
      <c r="A3420" t="s">
        <v>275</v>
      </c>
      <c r="B3420" t="str">
        <f>_xlfn.XLOOKUP($A3420,Load!$B:$B,Load!C:C,0,)</f>
        <v>Mondelez Variety Pack</v>
      </c>
      <c r="C3420" t="str">
        <f>_xlfn.XLOOKUP($A3420,Load!$B:$B,Load!D:D,0,)</f>
        <v>Non-Chocolate Candy Only</v>
      </c>
      <c r="D3420" t="str">
        <f>_xlfn.XLOOKUP($A3420,Load!$B:$B,Load!E:E,0,)</f>
        <v>Variety / Mixed Flavors (Fruity, Sour, Seasonal Flavors)</v>
      </c>
      <c r="E3420" t="str">
        <f>_xlfn.XLOOKUP($A3420,Load!$B:$B,Load!F:F,0,)</f>
        <v>Mixed / Combo Packs (Gummy, Chewy, Taffy, etc.)</v>
      </c>
      <c r="F3420" t="str">
        <f>_xlfn.XLOOKUP($A3420,Load!$B:$B,Load!G:G,0,)</f>
        <v>Small Multipack (Less than 40 ct)</v>
      </c>
      <c r="G3420" t="str">
        <f>_xlfn.XLOOKUP($A3420,Load!$B:$B,Load!H:H,0,)</f>
        <v>Box (theatre box, gift box, carton)</v>
      </c>
      <c r="H3420" t="str">
        <f>_xlfn.XLOOKUP($A3420,Load!$B:$B,Load!I:I,0,)</f>
        <v>Everyday Candy Shapes (like Original, Gummy bear, Fruit, Jewels, etc.)</v>
      </c>
      <c r="I3420" t="str">
        <f>_xlfn.XLOOKUP($A3420,Load!$B:$B,Load!J:J,0,)</f>
        <v>Seasonal Graphics (Like Bat, Ghost, Pumpkin, Fall Leaves, Eyeballs, etc.)</v>
      </c>
      <c r="J3420" t="str">
        <f>_xlfn.XLOOKUP($A3420,Load!$B:$B,Load!K:K,0,)</f>
        <v>Small Pieces (Tiny bite size candies)</v>
      </c>
      <c r="K3420" t="str">
        <f>_xlfn.XLOOKUP($A3420,Load!$B:$B,Load!L:L,0,)</f>
        <v>Regular/Original Wrapping</v>
      </c>
      <c r="L3420" t="str">
        <f>_xlfn.XLOOKUP($A3420,Load!$B:$B,Load!M:M,0,)</f>
        <v>Multiple Brands / Variety Flavors or Form</v>
      </c>
    </row>
    <row r="3421" spans="1:12" x14ac:dyDescent="0.25">
      <c r="B3421">
        <f>_xlfn.XLOOKUP($A3421,Load!$B:$B,Load!C:C,0,)</f>
        <v>0</v>
      </c>
      <c r="C3421">
        <f>_xlfn.XLOOKUP($A3421,Load!$B:$B,Load!D:D,0,)</f>
        <v>0</v>
      </c>
      <c r="D3421">
        <f>_xlfn.XLOOKUP($A3421,Load!$B:$B,Load!E:E,0,)</f>
        <v>0</v>
      </c>
      <c r="E3421">
        <f>_xlfn.XLOOKUP($A3421,Load!$B:$B,Load!F:F,0,)</f>
        <v>0</v>
      </c>
      <c r="F3421">
        <f>_xlfn.XLOOKUP($A3421,Load!$B:$B,Load!G:G,0,)</f>
        <v>0</v>
      </c>
      <c r="G3421">
        <f>_xlfn.XLOOKUP($A3421,Load!$B:$B,Load!H:H,0,)</f>
        <v>0</v>
      </c>
      <c r="H3421">
        <f>_xlfn.XLOOKUP($A3421,Load!$B:$B,Load!I:I,0,)</f>
        <v>0</v>
      </c>
      <c r="I3421">
        <f>_xlfn.XLOOKUP($A3421,Load!$B:$B,Load!J:J,0,)</f>
        <v>0</v>
      </c>
      <c r="J3421">
        <f>_xlfn.XLOOKUP($A3421,Load!$B:$B,Load!K:K,0,)</f>
        <v>0</v>
      </c>
      <c r="K3421">
        <f>_xlfn.XLOOKUP($A3421,Load!$B:$B,Load!L:L,0,)</f>
        <v>0</v>
      </c>
      <c r="L3421">
        <f>_xlfn.XLOOKUP($A3421,Load!$B:$B,Load!M:M,0,)</f>
        <v>0</v>
      </c>
    </row>
    <row r="3422" spans="1:12" x14ac:dyDescent="0.25">
      <c r="A3422" t="s">
        <v>218</v>
      </c>
      <c r="B3422" t="str">
        <f>_xlfn.XLOOKUP($A3422,Load!$B:$B,Load!C:C,0,)</f>
        <v>Mondelez Variety Pack</v>
      </c>
      <c r="C3422" t="str">
        <f>_xlfn.XLOOKUP($A3422,Load!$B:$B,Load!D:D,0,)</f>
        <v>Non-Chocolate Candy Only</v>
      </c>
      <c r="D3422" t="str">
        <f>_xlfn.XLOOKUP($A3422,Load!$B:$B,Load!E:E,0,)</f>
        <v>Sour</v>
      </c>
      <c r="E3422" t="str">
        <f>_xlfn.XLOOKUP($A3422,Load!$B:$B,Load!F:F,0,)</f>
        <v>Mixed / Combo Packs (Gummy, Chewy, Taffy, etc.)</v>
      </c>
      <c r="F3422" t="str">
        <f>_xlfn.XLOOKUP($A3422,Load!$B:$B,Load!G:G,0,)</f>
        <v>Large Multipack (More than 80 ct)</v>
      </c>
      <c r="G3422" t="str">
        <f>_xlfn.XLOOKUP($A3422,Load!$B:$B,Load!H:H,0,)</f>
        <v>Stand-Up Bag</v>
      </c>
      <c r="H3422" t="str">
        <f>_xlfn.XLOOKUP($A3422,Load!$B:$B,Load!I:I,0,)</f>
        <v>Seasonal Shapes (like pumpkins, candy corn, ghost, bats, etc.)</v>
      </c>
      <c r="I3422" t="str">
        <f>_xlfn.XLOOKUP($A3422,Load!$B:$B,Load!J:J,0,)</f>
        <v>Seasonal Graphics (Like Bat, Ghost, Pumpkin, Fall Leaves, Eyeballs, etc.)</v>
      </c>
      <c r="J3422" t="str">
        <f>_xlfn.XLOOKUP($A3422,Load!$B:$B,Load!K:K,0,)</f>
        <v>Small Pieces (Tiny bite size candies)</v>
      </c>
      <c r="K3422" t="str">
        <f>_xlfn.XLOOKUP($A3422,Load!$B:$B,Load!L:L,0,)</f>
        <v>Regular/Original Wrapping</v>
      </c>
      <c r="L3422" t="str">
        <f>_xlfn.XLOOKUP($A3422,Load!$B:$B,Load!M:M,0,)</f>
        <v>Multiple Brands / Variety Flavors or Form</v>
      </c>
    </row>
    <row r="3423" spans="1:12" x14ac:dyDescent="0.25">
      <c r="B3423">
        <f>_xlfn.XLOOKUP($A3423,Load!$B:$B,Load!C:C,0,)</f>
        <v>0</v>
      </c>
      <c r="C3423">
        <f>_xlfn.XLOOKUP($A3423,Load!$B:$B,Load!D:D,0,)</f>
        <v>0</v>
      </c>
      <c r="D3423">
        <f>_xlfn.XLOOKUP($A3423,Load!$B:$B,Load!E:E,0,)</f>
        <v>0</v>
      </c>
      <c r="E3423">
        <f>_xlfn.XLOOKUP($A3423,Load!$B:$B,Load!F:F,0,)</f>
        <v>0</v>
      </c>
      <c r="F3423">
        <f>_xlfn.XLOOKUP($A3423,Load!$B:$B,Load!G:G,0,)</f>
        <v>0</v>
      </c>
      <c r="G3423">
        <f>_xlfn.XLOOKUP($A3423,Load!$B:$B,Load!H:H,0,)</f>
        <v>0</v>
      </c>
      <c r="H3423">
        <f>_xlfn.XLOOKUP($A3423,Load!$B:$B,Load!I:I,0,)</f>
        <v>0</v>
      </c>
      <c r="I3423">
        <f>_xlfn.XLOOKUP($A3423,Load!$B:$B,Load!J:J,0,)</f>
        <v>0</v>
      </c>
      <c r="J3423">
        <f>_xlfn.XLOOKUP($A3423,Load!$B:$B,Load!K:K,0,)</f>
        <v>0</v>
      </c>
      <c r="K3423">
        <f>_xlfn.XLOOKUP($A3423,Load!$B:$B,Load!L:L,0,)</f>
        <v>0</v>
      </c>
      <c r="L3423">
        <f>_xlfn.XLOOKUP($A3423,Load!$B:$B,Load!M:M,0,)</f>
        <v>0</v>
      </c>
    </row>
    <row r="3424" spans="1:12" x14ac:dyDescent="0.25">
      <c r="A3424" t="s">
        <v>201</v>
      </c>
      <c r="B3424" t="str">
        <f>_xlfn.XLOOKUP($A3424,Load!$B:$B,Load!C:C,0,)</f>
        <v>Mars Variety Pack</v>
      </c>
      <c r="C3424" t="str">
        <f>_xlfn.XLOOKUP($A3424,Load!$B:$B,Load!D:D,0,)</f>
        <v>Non-Chocolate Candy Only</v>
      </c>
      <c r="D3424" t="str">
        <f>_xlfn.XLOOKUP($A3424,Load!$B:$B,Load!E:E,0,)</f>
        <v>Variety / Mixed Flavors (Fruity, Sour, Seasonal Flavors)</v>
      </c>
      <c r="E3424" t="str">
        <f>_xlfn.XLOOKUP($A3424,Load!$B:$B,Load!F:F,0,)</f>
        <v>Mixed / Combo Packs (Gummy, Chewy, Taffy, etc.)</v>
      </c>
      <c r="F3424" t="str">
        <f>_xlfn.XLOOKUP($A3424,Load!$B:$B,Load!G:G,0,)</f>
        <v>Large Multipack (More than 80 ct)</v>
      </c>
      <c r="G3424" t="str">
        <f>_xlfn.XLOOKUP($A3424,Load!$B:$B,Load!H:H,0,)</f>
        <v>Stand-Up Bag</v>
      </c>
      <c r="H3424" t="str">
        <f>_xlfn.XLOOKUP($A3424,Load!$B:$B,Load!I:I,0,)</f>
        <v>Everyday Candy Shapes (like Original, Gummy bear, Fruit, Jewels, etc.)</v>
      </c>
      <c r="I3424" t="str">
        <f>_xlfn.XLOOKUP($A3424,Load!$B:$B,Load!J:J,0,)</f>
        <v>Everyday Graphics</v>
      </c>
      <c r="J3424" t="str">
        <f>_xlfn.XLOOKUP($A3424,Load!$B:$B,Load!K:K,0,)</f>
        <v>Fun Size / Treat Size</v>
      </c>
      <c r="K3424" t="str">
        <f>_xlfn.XLOOKUP($A3424,Load!$B:$B,Load!L:L,0,)</f>
        <v>Regular/Original Wrapping</v>
      </c>
      <c r="L3424" t="str">
        <f>_xlfn.XLOOKUP($A3424,Load!$B:$B,Load!M:M,0,)</f>
        <v>Multiple Brands / Variety Flavors or Form</v>
      </c>
    </row>
    <row r="3425" spans="1:12" x14ac:dyDescent="0.25">
      <c r="A3425" t="s">
        <v>206</v>
      </c>
      <c r="B3425" t="str">
        <f>_xlfn.XLOOKUP($A3425,Load!$B:$B,Load!C:C,0,)</f>
        <v>Mars Variety Pack</v>
      </c>
      <c r="C3425" t="str">
        <f>_xlfn.XLOOKUP($A3425,Load!$B:$B,Load!D:D,0,)</f>
        <v>Non-Chocolate Candy Only</v>
      </c>
      <c r="D3425" t="str">
        <f>_xlfn.XLOOKUP($A3425,Load!$B:$B,Load!E:E,0,)</f>
        <v>Variety / Mixed Flavors (Fruity, Sour, Seasonal Flavors)</v>
      </c>
      <c r="E3425" t="str">
        <f>_xlfn.XLOOKUP($A3425,Load!$B:$B,Load!F:F,0,)</f>
        <v>Mixed / Combo Packs (Gummy, Chewy, Taffy, etc.)</v>
      </c>
      <c r="F3425" t="str">
        <f>_xlfn.XLOOKUP($A3425,Load!$B:$B,Load!G:G,0,)</f>
        <v>Large Multipack (More than 80 ct)</v>
      </c>
      <c r="G3425" t="str">
        <f>_xlfn.XLOOKUP($A3425,Load!$B:$B,Load!H:H,0,)</f>
        <v>Stand-Up Bag</v>
      </c>
      <c r="H3425" t="str">
        <f>_xlfn.XLOOKUP($A3425,Load!$B:$B,Load!I:I,0,)</f>
        <v>Everyday Candy Shapes (like Original, Gummy bear, Fruit, Jewels, etc.)</v>
      </c>
      <c r="I3425" t="str">
        <f>_xlfn.XLOOKUP($A3425,Load!$B:$B,Load!J:J,0,)</f>
        <v>Seasonal Graphics (Like Bat, Ghost, Pumpkin, Fall Leaves, Eyeballs, etc.)</v>
      </c>
      <c r="J3425" t="str">
        <f>_xlfn.XLOOKUP($A3425,Load!$B:$B,Load!K:K,0,)</f>
        <v>Fun Size / Treat Size</v>
      </c>
      <c r="K3425" t="str">
        <f>_xlfn.XLOOKUP($A3425,Load!$B:$B,Load!L:L,0,)</f>
        <v>Regular/Original Wrapping</v>
      </c>
      <c r="L3425" t="str">
        <f>_xlfn.XLOOKUP($A3425,Load!$B:$B,Load!M:M,0,)</f>
        <v>Multiple Brands / Variety Flavors or Form</v>
      </c>
    </row>
    <row r="3426" spans="1:12" x14ac:dyDescent="0.25">
      <c r="B3426">
        <f>_xlfn.XLOOKUP($A3426,Load!$B:$B,Load!C:C,0,)</f>
        <v>0</v>
      </c>
      <c r="C3426">
        <f>_xlfn.XLOOKUP($A3426,Load!$B:$B,Load!D:D,0,)</f>
        <v>0</v>
      </c>
      <c r="D3426">
        <f>_xlfn.XLOOKUP($A3426,Load!$B:$B,Load!E:E,0,)</f>
        <v>0</v>
      </c>
      <c r="E3426">
        <f>_xlfn.XLOOKUP($A3426,Load!$B:$B,Load!F:F,0,)</f>
        <v>0</v>
      </c>
      <c r="F3426">
        <f>_xlfn.XLOOKUP($A3426,Load!$B:$B,Load!G:G,0,)</f>
        <v>0</v>
      </c>
      <c r="G3426">
        <f>_xlfn.XLOOKUP($A3426,Load!$B:$B,Load!H:H,0,)</f>
        <v>0</v>
      </c>
      <c r="H3426">
        <f>_xlfn.XLOOKUP($A3426,Load!$B:$B,Load!I:I,0,)</f>
        <v>0</v>
      </c>
      <c r="I3426">
        <f>_xlfn.XLOOKUP($A3426,Load!$B:$B,Load!J:J,0,)</f>
        <v>0</v>
      </c>
      <c r="J3426">
        <f>_xlfn.XLOOKUP($A3426,Load!$B:$B,Load!K:K,0,)</f>
        <v>0</v>
      </c>
      <c r="K3426">
        <f>_xlfn.XLOOKUP($A3426,Load!$B:$B,Load!L:L,0,)</f>
        <v>0</v>
      </c>
      <c r="L3426">
        <f>_xlfn.XLOOKUP($A3426,Load!$B:$B,Load!M:M,0,)</f>
        <v>0</v>
      </c>
    </row>
    <row r="3427" spans="1:12" x14ac:dyDescent="0.25">
      <c r="B3427">
        <f>_xlfn.XLOOKUP($A3427,Load!$B:$B,Load!C:C,0,)</f>
        <v>0</v>
      </c>
      <c r="C3427">
        <f>_xlfn.XLOOKUP($A3427,Load!$B:$B,Load!D:D,0,)</f>
        <v>0</v>
      </c>
      <c r="D3427">
        <f>_xlfn.XLOOKUP($A3427,Load!$B:$B,Load!E:E,0,)</f>
        <v>0</v>
      </c>
      <c r="E3427">
        <f>_xlfn.XLOOKUP($A3427,Load!$B:$B,Load!F:F,0,)</f>
        <v>0</v>
      </c>
      <c r="F3427">
        <f>_xlfn.XLOOKUP($A3427,Load!$B:$B,Load!G:G,0,)</f>
        <v>0</v>
      </c>
      <c r="G3427">
        <f>_xlfn.XLOOKUP($A3427,Load!$B:$B,Load!H:H,0,)</f>
        <v>0</v>
      </c>
      <c r="H3427">
        <f>_xlfn.XLOOKUP($A3427,Load!$B:$B,Load!I:I,0,)</f>
        <v>0</v>
      </c>
      <c r="I3427">
        <f>_xlfn.XLOOKUP($A3427,Load!$B:$B,Load!J:J,0,)</f>
        <v>0</v>
      </c>
      <c r="J3427">
        <f>_xlfn.XLOOKUP($A3427,Load!$B:$B,Load!K:K,0,)</f>
        <v>0</v>
      </c>
      <c r="K3427">
        <f>_xlfn.XLOOKUP($A3427,Load!$B:$B,Load!L:L,0,)</f>
        <v>0</v>
      </c>
      <c r="L3427">
        <f>_xlfn.XLOOKUP($A3427,Load!$B:$B,Load!M:M,0,)</f>
        <v>0</v>
      </c>
    </row>
    <row r="3428" spans="1:12" x14ac:dyDescent="0.25">
      <c r="B3428">
        <f>_xlfn.XLOOKUP($A3428,Load!$B:$B,Load!C:C,0,)</f>
        <v>0</v>
      </c>
      <c r="C3428">
        <f>_xlfn.XLOOKUP($A3428,Load!$B:$B,Load!D:D,0,)</f>
        <v>0</v>
      </c>
      <c r="D3428">
        <f>_xlfn.XLOOKUP($A3428,Load!$B:$B,Load!E:E,0,)</f>
        <v>0</v>
      </c>
      <c r="E3428">
        <f>_xlfn.XLOOKUP($A3428,Load!$B:$B,Load!F:F,0,)</f>
        <v>0</v>
      </c>
      <c r="F3428">
        <f>_xlfn.XLOOKUP($A3428,Load!$B:$B,Load!G:G,0,)</f>
        <v>0</v>
      </c>
      <c r="G3428">
        <f>_xlfn.XLOOKUP($A3428,Load!$B:$B,Load!H:H,0,)</f>
        <v>0</v>
      </c>
      <c r="H3428">
        <f>_xlfn.XLOOKUP($A3428,Load!$B:$B,Load!I:I,0,)</f>
        <v>0</v>
      </c>
      <c r="I3428">
        <f>_xlfn.XLOOKUP($A3428,Load!$B:$B,Load!J:J,0,)</f>
        <v>0</v>
      </c>
      <c r="J3428">
        <f>_xlfn.XLOOKUP($A3428,Load!$B:$B,Load!K:K,0,)</f>
        <v>0</v>
      </c>
      <c r="K3428">
        <f>_xlfn.XLOOKUP($A3428,Load!$B:$B,Load!L:L,0,)</f>
        <v>0</v>
      </c>
      <c r="L3428">
        <f>_xlfn.XLOOKUP($A3428,Load!$B:$B,Load!M:M,0,)</f>
        <v>0</v>
      </c>
    </row>
    <row r="3429" spans="1:12" x14ac:dyDescent="0.25">
      <c r="B3429">
        <f>_xlfn.XLOOKUP($A3429,Load!$B:$B,Load!C:C,0,)</f>
        <v>0</v>
      </c>
      <c r="C3429">
        <f>_xlfn.XLOOKUP($A3429,Load!$B:$B,Load!D:D,0,)</f>
        <v>0</v>
      </c>
      <c r="D3429">
        <f>_xlfn.XLOOKUP($A3429,Load!$B:$B,Load!E:E,0,)</f>
        <v>0</v>
      </c>
      <c r="E3429">
        <f>_xlfn.XLOOKUP($A3429,Load!$B:$B,Load!F:F,0,)</f>
        <v>0</v>
      </c>
      <c r="F3429">
        <f>_xlfn.XLOOKUP($A3429,Load!$B:$B,Load!G:G,0,)</f>
        <v>0</v>
      </c>
      <c r="G3429">
        <f>_xlfn.XLOOKUP($A3429,Load!$B:$B,Load!H:H,0,)</f>
        <v>0</v>
      </c>
      <c r="H3429">
        <f>_xlfn.XLOOKUP($A3429,Load!$B:$B,Load!I:I,0,)</f>
        <v>0</v>
      </c>
      <c r="I3429">
        <f>_xlfn.XLOOKUP($A3429,Load!$B:$B,Load!J:J,0,)</f>
        <v>0</v>
      </c>
      <c r="J3429">
        <f>_xlfn.XLOOKUP($A3429,Load!$B:$B,Load!K:K,0,)</f>
        <v>0</v>
      </c>
      <c r="K3429">
        <f>_xlfn.XLOOKUP($A3429,Load!$B:$B,Load!L:L,0,)</f>
        <v>0</v>
      </c>
      <c r="L3429">
        <f>_xlfn.XLOOKUP($A3429,Load!$B:$B,Load!M:M,0,)</f>
        <v>0</v>
      </c>
    </row>
    <row r="3430" spans="1:12" x14ac:dyDescent="0.25">
      <c r="B3430">
        <f>_xlfn.XLOOKUP($A3430,Load!$B:$B,Load!C:C,0,)</f>
        <v>0</v>
      </c>
      <c r="C3430">
        <f>_xlfn.XLOOKUP($A3430,Load!$B:$B,Load!D:D,0,)</f>
        <v>0</v>
      </c>
      <c r="D3430">
        <f>_xlfn.XLOOKUP($A3430,Load!$B:$B,Load!E:E,0,)</f>
        <v>0</v>
      </c>
      <c r="E3430">
        <f>_xlfn.XLOOKUP($A3430,Load!$B:$B,Load!F:F,0,)</f>
        <v>0</v>
      </c>
      <c r="F3430">
        <f>_xlfn.XLOOKUP($A3430,Load!$B:$B,Load!G:G,0,)</f>
        <v>0</v>
      </c>
      <c r="G3430">
        <f>_xlfn.XLOOKUP($A3430,Load!$B:$B,Load!H:H,0,)</f>
        <v>0</v>
      </c>
      <c r="H3430">
        <f>_xlfn.XLOOKUP($A3430,Load!$B:$B,Load!I:I,0,)</f>
        <v>0</v>
      </c>
      <c r="I3430">
        <f>_xlfn.XLOOKUP($A3430,Load!$B:$B,Load!J:J,0,)</f>
        <v>0</v>
      </c>
      <c r="J3430">
        <f>_xlfn.XLOOKUP($A3430,Load!$B:$B,Load!K:K,0,)</f>
        <v>0</v>
      </c>
      <c r="K3430">
        <f>_xlfn.XLOOKUP($A3430,Load!$B:$B,Load!L:L,0,)</f>
        <v>0</v>
      </c>
      <c r="L3430">
        <f>_xlfn.XLOOKUP($A3430,Load!$B:$B,Load!M:M,0,)</f>
        <v>0</v>
      </c>
    </row>
    <row r="3431" spans="1:12" x14ac:dyDescent="0.25">
      <c r="B3431">
        <f>_xlfn.XLOOKUP($A3431,Load!$B:$B,Load!C:C,0,)</f>
        <v>0</v>
      </c>
      <c r="C3431">
        <f>_xlfn.XLOOKUP($A3431,Load!$B:$B,Load!D:D,0,)</f>
        <v>0</v>
      </c>
      <c r="D3431">
        <f>_xlfn.XLOOKUP($A3431,Load!$B:$B,Load!E:E,0,)</f>
        <v>0</v>
      </c>
      <c r="E3431">
        <f>_xlfn.XLOOKUP($A3431,Load!$B:$B,Load!F:F,0,)</f>
        <v>0</v>
      </c>
      <c r="F3431">
        <f>_xlfn.XLOOKUP($A3431,Load!$B:$B,Load!G:G,0,)</f>
        <v>0</v>
      </c>
      <c r="G3431">
        <f>_xlfn.XLOOKUP($A3431,Load!$B:$B,Load!H:H,0,)</f>
        <v>0</v>
      </c>
      <c r="H3431">
        <f>_xlfn.XLOOKUP($A3431,Load!$B:$B,Load!I:I,0,)</f>
        <v>0</v>
      </c>
      <c r="I3431">
        <f>_xlfn.XLOOKUP($A3431,Load!$B:$B,Load!J:J,0,)</f>
        <v>0</v>
      </c>
      <c r="J3431">
        <f>_xlfn.XLOOKUP($A3431,Load!$B:$B,Load!K:K,0,)</f>
        <v>0</v>
      </c>
      <c r="K3431">
        <f>_xlfn.XLOOKUP($A3431,Load!$B:$B,Load!L:L,0,)</f>
        <v>0</v>
      </c>
      <c r="L3431">
        <f>_xlfn.XLOOKUP($A3431,Load!$B:$B,Load!M:M,0,)</f>
        <v>0</v>
      </c>
    </row>
    <row r="3432" spans="1:12" x14ac:dyDescent="0.25">
      <c r="A3432" t="s">
        <v>58</v>
      </c>
      <c r="B3432" t="str">
        <f>_xlfn.XLOOKUP($A3432,Load!$B:$B,Load!C:C,0,)</f>
        <v>Charms</v>
      </c>
      <c r="C3432" t="str">
        <f>_xlfn.XLOOKUP($A3432,Load!$B:$B,Load!D:D,0,)</f>
        <v>Non-Chocolate Candy Only</v>
      </c>
      <c r="D3432" t="str">
        <f>_xlfn.XLOOKUP($A3432,Load!$B:$B,Load!E:E,0,)</f>
        <v>Variety / Mixed Flavors (Fruity, Sour, Seasonal Flavors)</v>
      </c>
      <c r="E3432" t="str">
        <f>_xlfn.XLOOKUP($A3432,Load!$B:$B,Load!F:F,0,)</f>
        <v>Lollipop (regular or lollipop rings)</v>
      </c>
      <c r="F3432" t="str">
        <f>_xlfn.XLOOKUP($A3432,Load!$B:$B,Load!G:G,0,)</f>
        <v>Small Multipack (Less than 40 ct)</v>
      </c>
      <c r="G3432" t="str">
        <f>_xlfn.XLOOKUP($A3432,Load!$B:$B,Load!H:H,0,)</f>
        <v>Laydown Bag</v>
      </c>
      <c r="H3432" t="str">
        <f>_xlfn.XLOOKUP($A3432,Load!$B:$B,Load!I:I,0,)</f>
        <v>Everyday Candy Shapes (like Original, Gummy bear, Fruit, Jewels, etc.)</v>
      </c>
      <c r="I3432" t="str">
        <f>_xlfn.XLOOKUP($A3432,Load!$B:$B,Load!J:J,0,)</f>
        <v>Seasonal Graphics (Like Bat, Ghost, Pumpkin, Fall Leaves, Eyeballs, etc.)</v>
      </c>
      <c r="J3432" t="str">
        <f>_xlfn.XLOOKUP($A3432,Load!$B:$B,Load!K:K,0,)</f>
        <v>Regular Lollipop size (on sticks or rings)</v>
      </c>
      <c r="K3432" t="str">
        <f>_xlfn.XLOOKUP($A3432,Load!$B:$B,Load!L:L,0,)</f>
        <v>Regular/Original Wrapping</v>
      </c>
      <c r="L3432" t="str">
        <f>_xlfn.XLOOKUP($A3432,Load!$B:$B,Load!M:M,0,)</f>
        <v>Single Brand / Variety Flavors or Form</v>
      </c>
    </row>
    <row r="3433" spans="1:12" x14ac:dyDescent="0.25">
      <c r="B3433">
        <f>_xlfn.XLOOKUP($A3433,Load!$B:$B,Load!C:C,0,)</f>
        <v>0</v>
      </c>
      <c r="C3433">
        <f>_xlfn.XLOOKUP($A3433,Load!$B:$B,Load!D:D,0,)</f>
        <v>0</v>
      </c>
      <c r="D3433">
        <f>_xlfn.XLOOKUP($A3433,Load!$B:$B,Load!E:E,0,)</f>
        <v>0</v>
      </c>
      <c r="E3433">
        <f>_xlfn.XLOOKUP($A3433,Load!$B:$B,Load!F:F,0,)</f>
        <v>0</v>
      </c>
      <c r="F3433">
        <f>_xlfn.XLOOKUP($A3433,Load!$B:$B,Load!G:G,0,)</f>
        <v>0</v>
      </c>
      <c r="G3433">
        <f>_xlfn.XLOOKUP($A3433,Load!$B:$B,Load!H:H,0,)</f>
        <v>0</v>
      </c>
      <c r="H3433">
        <f>_xlfn.XLOOKUP($A3433,Load!$B:$B,Load!I:I,0,)</f>
        <v>0</v>
      </c>
      <c r="I3433">
        <f>_xlfn.XLOOKUP($A3433,Load!$B:$B,Load!J:J,0,)</f>
        <v>0</v>
      </c>
      <c r="J3433">
        <f>_xlfn.XLOOKUP($A3433,Load!$B:$B,Load!K:K,0,)</f>
        <v>0</v>
      </c>
      <c r="K3433">
        <f>_xlfn.XLOOKUP($A3433,Load!$B:$B,Load!L:L,0,)</f>
        <v>0</v>
      </c>
      <c r="L3433">
        <f>_xlfn.XLOOKUP($A3433,Load!$B:$B,Load!M:M,0,)</f>
        <v>0</v>
      </c>
    </row>
    <row r="3434" spans="1:12" x14ac:dyDescent="0.25">
      <c r="B3434">
        <f>_xlfn.XLOOKUP($A3434,Load!$B:$B,Load!C:C,0,)</f>
        <v>0</v>
      </c>
      <c r="C3434">
        <f>_xlfn.XLOOKUP($A3434,Load!$B:$B,Load!D:D,0,)</f>
        <v>0</v>
      </c>
      <c r="D3434">
        <f>_xlfn.XLOOKUP($A3434,Load!$B:$B,Load!E:E,0,)</f>
        <v>0</v>
      </c>
      <c r="E3434">
        <f>_xlfn.XLOOKUP($A3434,Load!$B:$B,Load!F:F,0,)</f>
        <v>0</v>
      </c>
      <c r="F3434">
        <f>_xlfn.XLOOKUP($A3434,Load!$B:$B,Load!G:G,0,)</f>
        <v>0</v>
      </c>
      <c r="G3434">
        <f>_xlfn.XLOOKUP($A3434,Load!$B:$B,Load!H:H,0,)</f>
        <v>0</v>
      </c>
      <c r="H3434">
        <f>_xlfn.XLOOKUP($A3434,Load!$B:$B,Load!I:I,0,)</f>
        <v>0</v>
      </c>
      <c r="I3434">
        <f>_xlfn.XLOOKUP($A3434,Load!$B:$B,Load!J:J,0,)</f>
        <v>0</v>
      </c>
      <c r="J3434">
        <f>_xlfn.XLOOKUP($A3434,Load!$B:$B,Load!K:K,0,)</f>
        <v>0</v>
      </c>
      <c r="K3434">
        <f>_xlfn.XLOOKUP($A3434,Load!$B:$B,Load!L:L,0,)</f>
        <v>0</v>
      </c>
      <c r="L3434">
        <f>_xlfn.XLOOKUP($A3434,Load!$B:$B,Load!M:M,0,)</f>
        <v>0</v>
      </c>
    </row>
    <row r="3435" spans="1:12" x14ac:dyDescent="0.25">
      <c r="B3435">
        <f>_xlfn.XLOOKUP($A3435,Load!$B:$B,Load!C:C,0,)</f>
        <v>0</v>
      </c>
      <c r="C3435">
        <f>_xlfn.XLOOKUP($A3435,Load!$B:$B,Load!D:D,0,)</f>
        <v>0</v>
      </c>
      <c r="D3435">
        <f>_xlfn.XLOOKUP($A3435,Load!$B:$B,Load!E:E,0,)</f>
        <v>0</v>
      </c>
      <c r="E3435">
        <f>_xlfn.XLOOKUP($A3435,Load!$B:$B,Load!F:F,0,)</f>
        <v>0</v>
      </c>
      <c r="F3435">
        <f>_xlfn.XLOOKUP($A3435,Load!$B:$B,Load!G:G,0,)</f>
        <v>0</v>
      </c>
      <c r="G3435">
        <f>_xlfn.XLOOKUP($A3435,Load!$B:$B,Load!H:H,0,)</f>
        <v>0</v>
      </c>
      <c r="H3435">
        <f>_xlfn.XLOOKUP($A3435,Load!$B:$B,Load!I:I,0,)</f>
        <v>0</v>
      </c>
      <c r="I3435">
        <f>_xlfn.XLOOKUP($A3435,Load!$B:$B,Load!J:J,0,)</f>
        <v>0</v>
      </c>
      <c r="J3435">
        <f>_xlfn.XLOOKUP($A3435,Load!$B:$B,Load!K:K,0,)</f>
        <v>0</v>
      </c>
      <c r="K3435">
        <f>_xlfn.XLOOKUP($A3435,Load!$B:$B,Load!L:L,0,)</f>
        <v>0</v>
      </c>
      <c r="L3435">
        <f>_xlfn.XLOOKUP($A3435,Load!$B:$B,Load!M:M,0,)</f>
        <v>0</v>
      </c>
    </row>
    <row r="3436" spans="1:12" x14ac:dyDescent="0.25">
      <c r="A3436" t="s">
        <v>198</v>
      </c>
      <c r="B3436" t="str">
        <f>_xlfn.XLOOKUP($A3436,Load!$B:$B,Load!C:C,0,)</f>
        <v>Mars Variety Pack</v>
      </c>
      <c r="C3436" t="str">
        <f>_xlfn.XLOOKUP($A3436,Load!$B:$B,Load!D:D,0,)</f>
        <v>Non-Chocolate Candy Only</v>
      </c>
      <c r="D3436" t="str">
        <f>_xlfn.XLOOKUP($A3436,Load!$B:$B,Load!E:E,0,)</f>
        <v>Variety / Mixed Flavors (Fruity, Sour, Seasonal Flavors)</v>
      </c>
      <c r="E3436" t="str">
        <f>_xlfn.XLOOKUP($A3436,Load!$B:$B,Load!F:F,0,)</f>
        <v>Mixed / Combo Packs (Gummy, Chewy, Taffy, etc.)</v>
      </c>
      <c r="F3436" t="str">
        <f>_xlfn.XLOOKUP($A3436,Load!$B:$B,Load!G:G,0,)</f>
        <v>Large Multipack (More than 80 ct)</v>
      </c>
      <c r="G3436" t="str">
        <f>_xlfn.XLOOKUP($A3436,Load!$B:$B,Load!H:H,0,)</f>
        <v>Stand-Up Bag</v>
      </c>
      <c r="H3436" t="str">
        <f>_xlfn.XLOOKUP($A3436,Load!$B:$B,Load!I:I,0,)</f>
        <v>Everyday Candy Shapes (like Original, Gummy bear, Fruit, Jewels, etc.)</v>
      </c>
      <c r="I3436" t="str">
        <f>_xlfn.XLOOKUP($A3436,Load!$B:$B,Load!J:J,0,)</f>
        <v>Seasonal Graphics (Like Bat, Ghost, Pumpkin, Fall Leaves, Eyeballs, etc.)</v>
      </c>
      <c r="J3436" t="str">
        <f>_xlfn.XLOOKUP($A3436,Load!$B:$B,Load!K:K,0,)</f>
        <v>Fun Size / Treat Size</v>
      </c>
      <c r="K3436" t="str">
        <f>_xlfn.XLOOKUP($A3436,Load!$B:$B,Load!L:L,0,)</f>
        <v>Regular/Original Wrapping</v>
      </c>
      <c r="L3436" t="str">
        <f>_xlfn.XLOOKUP($A3436,Load!$B:$B,Load!M:M,0,)</f>
        <v>Multiple Brands / Variety Flavors or Form</v>
      </c>
    </row>
    <row r="3437" spans="1:12" x14ac:dyDescent="0.25">
      <c r="A3437" t="s">
        <v>79</v>
      </c>
      <c r="B3437" t="str">
        <f>_xlfn.XLOOKUP($A3437,Load!$B:$B,Load!C:C,0,)</f>
        <v>Ferrara Variety Pack</v>
      </c>
      <c r="C3437" t="str">
        <f>_xlfn.XLOOKUP($A3437,Load!$B:$B,Load!D:D,0,)</f>
        <v>Non-Chocolate Candy Only</v>
      </c>
      <c r="D3437" t="str">
        <f>_xlfn.XLOOKUP($A3437,Load!$B:$B,Load!E:E,0,)</f>
        <v>Variety / Mixed Flavors (Fruity, Sour, Seasonal Flavors)</v>
      </c>
      <c r="E3437" t="str">
        <f>_xlfn.XLOOKUP($A3437,Load!$B:$B,Load!F:F,0,)</f>
        <v>Mixed / Combo Packs (Gummy, Chewy, Taffy, etc.)</v>
      </c>
      <c r="F3437" t="str">
        <f>_xlfn.XLOOKUP($A3437,Load!$B:$B,Load!G:G,0,)</f>
        <v>Large Multipack (More than 80 ct)</v>
      </c>
      <c r="G3437" t="str">
        <f>_xlfn.XLOOKUP($A3437,Load!$B:$B,Load!H:H,0,)</f>
        <v>Stand-Up Bag</v>
      </c>
      <c r="H3437" t="str">
        <f>_xlfn.XLOOKUP($A3437,Load!$B:$B,Load!I:I,0,)</f>
        <v>Everyday Candy Shapes (like Original, Gummy bear, Fruit, Jewels, etc.)</v>
      </c>
      <c r="I3437" t="str">
        <f>_xlfn.XLOOKUP($A3437,Load!$B:$B,Load!J:J,0,)</f>
        <v>Seasonal Graphics (Like Bat, Ghost, Pumpkin, Fall Leaves, Eyeballs, etc.)</v>
      </c>
      <c r="J3437" t="str">
        <f>_xlfn.XLOOKUP($A3437,Load!$B:$B,Load!K:K,0,)</f>
        <v xml:space="preserve">Variety Candy Sizes </v>
      </c>
      <c r="K3437" t="str">
        <f>_xlfn.XLOOKUP($A3437,Load!$B:$B,Load!L:L,0,)</f>
        <v>Regular/Original Wrapping</v>
      </c>
      <c r="L3437" t="str">
        <f>_xlfn.XLOOKUP($A3437,Load!$B:$B,Load!M:M,0,)</f>
        <v>Multiple Brands / Variety Flavors or Form</v>
      </c>
    </row>
    <row r="3438" spans="1:12" x14ac:dyDescent="0.25">
      <c r="A3438" t="s">
        <v>128</v>
      </c>
      <c r="B3438" t="str">
        <f>_xlfn.XLOOKUP($A3438,Load!$B:$B,Load!C:C,0,)</f>
        <v>HARIBO</v>
      </c>
      <c r="C3438" t="str">
        <f>_xlfn.XLOOKUP($A3438,Load!$B:$B,Load!D:D,0,)</f>
        <v>Non-Chocolate Candy Only</v>
      </c>
      <c r="D3438" t="str">
        <f>_xlfn.XLOOKUP($A3438,Load!$B:$B,Load!E:E,0,)</f>
        <v>Fruit Flavor (Cherry, Grape, Apple, Citrus, Tropical Fruit)</v>
      </c>
      <c r="E3438" t="str">
        <f>_xlfn.XLOOKUP($A3438,Load!$B:$B,Load!F:F,0,)</f>
        <v>Gummy</v>
      </c>
      <c r="F3438" t="str">
        <f>_xlfn.XLOOKUP($A3438,Load!$B:$B,Load!G:G,0,)</f>
        <v>Medium Multipack (40–80 ct)</v>
      </c>
      <c r="G3438" t="str">
        <f>_xlfn.XLOOKUP($A3438,Load!$B:$B,Load!H:H,0,)</f>
        <v>Plastic Cup / Container</v>
      </c>
      <c r="H3438" t="str">
        <f>_xlfn.XLOOKUP($A3438,Load!$B:$B,Load!I:I,0,)</f>
        <v>Everyday Candy Shapes (like Original, Gummy bear, Fruit, Jewels, etc.)</v>
      </c>
      <c r="I3438" t="str">
        <f>_xlfn.XLOOKUP($A3438,Load!$B:$B,Load!J:J,0,)</f>
        <v>Everyday Graphics</v>
      </c>
      <c r="J3438" t="str">
        <f>_xlfn.XLOOKUP($A3438,Load!$B:$B,Load!K:K,0,)</f>
        <v>Small Pieces (Tiny bite size candies)</v>
      </c>
      <c r="K3438" t="str">
        <f>_xlfn.XLOOKUP($A3438,Load!$B:$B,Load!L:L,0,)</f>
        <v>Regular/Original Wrapping</v>
      </c>
      <c r="L3438" t="str">
        <f>_xlfn.XLOOKUP($A3438,Load!$B:$B,Load!M:M,0,)</f>
        <v>Single Brand / Variety Flavors or Form</v>
      </c>
    </row>
    <row r="3439" spans="1:12" x14ac:dyDescent="0.25">
      <c r="A3439" t="s">
        <v>57</v>
      </c>
      <c r="B3439" t="str">
        <f>_xlfn.XLOOKUP($A3439,Load!$B:$B,Load!C:C,0,)</f>
        <v>Brach's</v>
      </c>
      <c r="C3439" t="str">
        <f>_xlfn.XLOOKUP($A3439,Load!$B:$B,Load!D:D,0,)</f>
        <v>Non-Chocolate Candy Only</v>
      </c>
      <c r="D3439" t="str">
        <f>_xlfn.XLOOKUP($A3439,Load!$B:$B,Load!E:E,0,)</f>
        <v>Fall / Seasonal Flavors (pumpkin spice, caramel apple, candy corn)</v>
      </c>
      <c r="E3439" t="str">
        <f>_xlfn.XLOOKUP($A3439,Load!$B:$B,Load!F:F,0,)</f>
        <v>Candy Pieces / Bites</v>
      </c>
      <c r="F3439" t="str">
        <f>_xlfn.XLOOKUP($A3439,Load!$B:$B,Load!G:G,0,)</f>
        <v>Medium Multipack (40–80 ct)</v>
      </c>
      <c r="G3439" t="str">
        <f>_xlfn.XLOOKUP($A3439,Load!$B:$B,Load!H:H,0,)</f>
        <v>Laydown Bag</v>
      </c>
      <c r="H3439" t="str">
        <f>_xlfn.XLOOKUP($A3439,Load!$B:$B,Load!I:I,0,)</f>
        <v>Seasonal Shapes (like pumpkins, candy corn, ghost, bats, etc.)</v>
      </c>
      <c r="I3439" t="str">
        <f>_xlfn.XLOOKUP($A3439,Load!$B:$B,Load!J:J,0,)</f>
        <v>Seasonal Graphics (Like Bat, Ghost, Pumpkin, Fall Leaves, Eyeballs, etc.)</v>
      </c>
      <c r="J3439" t="str">
        <f>_xlfn.XLOOKUP($A3439,Load!$B:$B,Load!K:K,0,)</f>
        <v>Small Pieces (Tiny bite size candies)</v>
      </c>
      <c r="K3439" t="str">
        <f>_xlfn.XLOOKUP($A3439,Load!$B:$B,Load!L:L,0,)</f>
        <v>Unwrapped</v>
      </c>
      <c r="L3439" t="str">
        <f>_xlfn.XLOOKUP($A3439,Load!$B:$B,Load!M:M,0,)</f>
        <v>Single Brand / Single Flavor or Form</v>
      </c>
    </row>
    <row r="3440" spans="1:12" x14ac:dyDescent="0.25">
      <c r="B3440">
        <f>_xlfn.XLOOKUP($A3440,Load!$B:$B,Load!C:C,0,)</f>
        <v>0</v>
      </c>
      <c r="C3440">
        <f>_xlfn.XLOOKUP($A3440,Load!$B:$B,Load!D:D,0,)</f>
        <v>0</v>
      </c>
      <c r="D3440">
        <f>_xlfn.XLOOKUP($A3440,Load!$B:$B,Load!E:E,0,)</f>
        <v>0</v>
      </c>
      <c r="E3440">
        <f>_xlfn.XLOOKUP($A3440,Load!$B:$B,Load!F:F,0,)</f>
        <v>0</v>
      </c>
      <c r="F3440">
        <f>_xlfn.XLOOKUP($A3440,Load!$B:$B,Load!G:G,0,)</f>
        <v>0</v>
      </c>
      <c r="G3440">
        <f>_xlfn.XLOOKUP($A3440,Load!$B:$B,Load!H:H,0,)</f>
        <v>0</v>
      </c>
      <c r="H3440">
        <f>_xlfn.XLOOKUP($A3440,Load!$B:$B,Load!I:I,0,)</f>
        <v>0</v>
      </c>
      <c r="I3440">
        <f>_xlfn.XLOOKUP($A3440,Load!$B:$B,Load!J:J,0,)</f>
        <v>0</v>
      </c>
      <c r="J3440">
        <f>_xlfn.XLOOKUP($A3440,Load!$B:$B,Load!K:K,0,)</f>
        <v>0</v>
      </c>
      <c r="K3440">
        <f>_xlfn.XLOOKUP($A3440,Load!$B:$B,Load!L:L,0,)</f>
        <v>0</v>
      </c>
      <c r="L3440">
        <f>_xlfn.XLOOKUP($A3440,Load!$B:$B,Load!M:M,0,)</f>
        <v>0</v>
      </c>
    </row>
    <row r="3441" spans="1:12" x14ac:dyDescent="0.25">
      <c r="B3441">
        <f>_xlfn.XLOOKUP($A3441,Load!$B:$B,Load!C:C,0,)</f>
        <v>0</v>
      </c>
      <c r="C3441">
        <f>_xlfn.XLOOKUP($A3441,Load!$B:$B,Load!D:D,0,)</f>
        <v>0</v>
      </c>
      <c r="D3441">
        <f>_xlfn.XLOOKUP($A3441,Load!$B:$B,Load!E:E,0,)</f>
        <v>0</v>
      </c>
      <c r="E3441">
        <f>_xlfn.XLOOKUP($A3441,Load!$B:$B,Load!F:F,0,)</f>
        <v>0</v>
      </c>
      <c r="F3441">
        <f>_xlfn.XLOOKUP($A3441,Load!$B:$B,Load!G:G,0,)</f>
        <v>0</v>
      </c>
      <c r="G3441">
        <f>_xlfn.XLOOKUP($A3441,Load!$B:$B,Load!H:H,0,)</f>
        <v>0</v>
      </c>
      <c r="H3441">
        <f>_xlfn.XLOOKUP($A3441,Load!$B:$B,Load!I:I,0,)</f>
        <v>0</v>
      </c>
      <c r="I3441">
        <f>_xlfn.XLOOKUP($A3441,Load!$B:$B,Load!J:J,0,)</f>
        <v>0</v>
      </c>
      <c r="J3441">
        <f>_xlfn.XLOOKUP($A3441,Load!$B:$B,Load!K:K,0,)</f>
        <v>0</v>
      </c>
      <c r="K3441">
        <f>_xlfn.XLOOKUP($A3441,Load!$B:$B,Load!L:L,0,)</f>
        <v>0</v>
      </c>
      <c r="L3441">
        <f>_xlfn.XLOOKUP($A3441,Load!$B:$B,Load!M:M,0,)</f>
        <v>0</v>
      </c>
    </row>
    <row r="3442" spans="1:12" x14ac:dyDescent="0.25">
      <c r="A3442" t="s">
        <v>48</v>
      </c>
      <c r="B3442" t="str">
        <f>_xlfn.XLOOKUP($A3442,Load!$B:$B,Load!C:C,0,)</f>
        <v>Brach's</v>
      </c>
      <c r="C3442" t="str">
        <f>_xlfn.XLOOKUP($A3442,Load!$B:$B,Load!D:D,0,)</f>
        <v>Non-Chocolate Candy Only</v>
      </c>
      <c r="D3442" t="str">
        <f>_xlfn.XLOOKUP($A3442,Load!$B:$B,Load!E:E,0,)</f>
        <v>Fall / Seasonal Flavors (pumpkin spice, caramel apple, candy corn)</v>
      </c>
      <c r="E3442" t="str">
        <f>_xlfn.XLOOKUP($A3442,Load!$B:$B,Load!F:F,0,)</f>
        <v>Candy Pieces / Bites</v>
      </c>
      <c r="F3442" t="str">
        <f>_xlfn.XLOOKUP($A3442,Load!$B:$B,Load!G:G,0,)</f>
        <v>Single Pack</v>
      </c>
      <c r="G3442" t="str">
        <f>_xlfn.XLOOKUP($A3442,Load!$B:$B,Load!H:H,0,)</f>
        <v>Stand-Up Bag</v>
      </c>
      <c r="H3442" t="str">
        <f>_xlfn.XLOOKUP($A3442,Load!$B:$B,Load!I:I,0,)</f>
        <v>Seasonal Shapes (like pumpkins, candy corn, ghost, bats, etc.)</v>
      </c>
      <c r="I3442" t="str">
        <f>_xlfn.XLOOKUP($A3442,Load!$B:$B,Load!J:J,0,)</f>
        <v>Seasonal Graphics (Like Bat, Ghost, Pumpkin, Fall Leaves, Eyeballs, etc.)</v>
      </c>
      <c r="J3442" t="str">
        <f>_xlfn.XLOOKUP($A3442,Load!$B:$B,Load!K:K,0,)</f>
        <v>Small Pieces (Tiny bite size candies)</v>
      </c>
      <c r="K3442" t="str">
        <f>_xlfn.XLOOKUP($A3442,Load!$B:$B,Load!L:L,0,)</f>
        <v>Unwrapped</v>
      </c>
      <c r="L3442" t="str">
        <f>_xlfn.XLOOKUP($A3442,Load!$B:$B,Load!M:M,0,)</f>
        <v>Single Brand / Single Flavor or Form</v>
      </c>
    </row>
    <row r="3443" spans="1:12" x14ac:dyDescent="0.25">
      <c r="A3443" t="s">
        <v>55</v>
      </c>
      <c r="B3443" t="str">
        <f>_xlfn.XLOOKUP($A3443,Load!$B:$B,Load!C:C,0,)</f>
        <v>Brach's</v>
      </c>
      <c r="C3443" t="str">
        <f>_xlfn.XLOOKUP($A3443,Load!$B:$B,Load!D:D,0,)</f>
        <v>Non-Chocolate Candy Only</v>
      </c>
      <c r="D3443" t="str">
        <f>_xlfn.XLOOKUP($A3443,Load!$B:$B,Load!E:E,0,)</f>
        <v>Fall / Seasonal Flavors (pumpkin spice, caramel apple, candy corn)</v>
      </c>
      <c r="E3443" t="str">
        <f>_xlfn.XLOOKUP($A3443,Load!$B:$B,Load!F:F,0,)</f>
        <v>Candy Pieces / Bites</v>
      </c>
      <c r="F3443" t="str">
        <f>_xlfn.XLOOKUP($A3443,Load!$B:$B,Load!G:G,0,)</f>
        <v>Single Pack</v>
      </c>
      <c r="G3443" t="str">
        <f>_xlfn.XLOOKUP($A3443,Load!$B:$B,Load!H:H,0,)</f>
        <v>Peg Bag</v>
      </c>
      <c r="H3443" t="str">
        <f>_xlfn.XLOOKUP($A3443,Load!$B:$B,Load!I:I,0,)</f>
        <v>Seasonal Shapes (like pumpkins, candy corn, ghost, bats, etc.)</v>
      </c>
      <c r="I3443" t="str">
        <f>_xlfn.XLOOKUP($A3443,Load!$B:$B,Load!J:J,0,)</f>
        <v>Seasonal Graphics (Like Bat, Ghost, Pumpkin, Fall Leaves, Eyeballs, etc.)</v>
      </c>
      <c r="J3443" t="str">
        <f>_xlfn.XLOOKUP($A3443,Load!$B:$B,Load!K:K,0,)</f>
        <v>Small Pieces (Tiny bite size candies)</v>
      </c>
      <c r="K3443" t="str">
        <f>_xlfn.XLOOKUP($A3443,Load!$B:$B,Load!L:L,0,)</f>
        <v>Unwrapped</v>
      </c>
      <c r="L3443" t="str">
        <f>_xlfn.XLOOKUP($A3443,Load!$B:$B,Load!M:M,0,)</f>
        <v>Single Brand / Single Flavor or Form</v>
      </c>
    </row>
    <row r="3444" spans="1:12" x14ac:dyDescent="0.25">
      <c r="A3444" t="s">
        <v>148</v>
      </c>
      <c r="B3444" t="str">
        <f>_xlfn.XLOOKUP($A3444,Load!$B:$B,Load!C:C,0,)</f>
        <v>Jelly Belly</v>
      </c>
      <c r="C3444" t="str">
        <f>_xlfn.XLOOKUP($A3444,Load!$B:$B,Load!D:D,0,)</f>
        <v>Non-Chocolate Candy Only</v>
      </c>
      <c r="D3444" t="str">
        <f>_xlfn.XLOOKUP($A3444,Load!$B:$B,Load!E:E,0,)</f>
        <v>Variety / Mixed Flavors (Fruity, Sour, Seasonal Flavors)</v>
      </c>
      <c r="E3444" t="str">
        <f>_xlfn.XLOOKUP($A3444,Load!$B:$B,Load!F:F,0,)</f>
        <v>Candy Pieces / Bites</v>
      </c>
      <c r="F3444" t="str">
        <f>_xlfn.XLOOKUP($A3444,Load!$B:$B,Load!G:G,0,)</f>
        <v>Single Pack</v>
      </c>
      <c r="G3444" t="str">
        <f>_xlfn.XLOOKUP($A3444,Load!$B:$B,Load!H:H,0,)</f>
        <v>Stand-Up Bag</v>
      </c>
      <c r="H3444" t="str">
        <f>_xlfn.XLOOKUP($A3444,Load!$B:$B,Load!I:I,0,)</f>
        <v>Everyday Candy Shapes (like Original, Gummy bear, Fruit, Jewels, etc.)</v>
      </c>
      <c r="I3444" t="str">
        <f>_xlfn.XLOOKUP($A3444,Load!$B:$B,Load!J:J,0,)</f>
        <v>Seasonal Graphics (Like Bat, Ghost, Pumpkin, Fall Leaves, Eyeballs, etc.)</v>
      </c>
      <c r="J3444" t="str">
        <f>_xlfn.XLOOKUP($A3444,Load!$B:$B,Load!K:K,0,)</f>
        <v>Small Pieces (Tiny bite size candies)</v>
      </c>
      <c r="K3444" t="str">
        <f>_xlfn.XLOOKUP($A3444,Load!$B:$B,Load!L:L,0,)</f>
        <v>Unwrapped</v>
      </c>
      <c r="L3444" t="str">
        <f>_xlfn.XLOOKUP($A3444,Load!$B:$B,Load!M:M,0,)</f>
        <v>Single Brand / Variety Flavors or Form</v>
      </c>
    </row>
    <row r="3445" spans="1:12" x14ac:dyDescent="0.25">
      <c r="B3445">
        <f>_xlfn.XLOOKUP($A3445,Load!$B:$B,Load!C:C,0,)</f>
        <v>0</v>
      </c>
      <c r="C3445">
        <f>_xlfn.XLOOKUP($A3445,Load!$B:$B,Load!D:D,0,)</f>
        <v>0</v>
      </c>
      <c r="D3445">
        <f>_xlfn.XLOOKUP($A3445,Load!$B:$B,Load!E:E,0,)</f>
        <v>0</v>
      </c>
      <c r="E3445">
        <f>_xlfn.XLOOKUP($A3445,Load!$B:$B,Load!F:F,0,)</f>
        <v>0</v>
      </c>
      <c r="F3445">
        <f>_xlfn.XLOOKUP($A3445,Load!$B:$B,Load!G:G,0,)</f>
        <v>0</v>
      </c>
      <c r="G3445">
        <f>_xlfn.XLOOKUP($A3445,Load!$B:$B,Load!H:H,0,)</f>
        <v>0</v>
      </c>
      <c r="H3445">
        <f>_xlfn.XLOOKUP($A3445,Load!$B:$B,Load!I:I,0,)</f>
        <v>0</v>
      </c>
      <c r="I3445">
        <f>_xlfn.XLOOKUP($A3445,Load!$B:$B,Load!J:J,0,)</f>
        <v>0</v>
      </c>
      <c r="J3445">
        <f>_xlfn.XLOOKUP($A3445,Load!$B:$B,Load!K:K,0,)</f>
        <v>0</v>
      </c>
      <c r="K3445">
        <f>_xlfn.XLOOKUP($A3445,Load!$B:$B,Load!L:L,0,)</f>
        <v>0</v>
      </c>
      <c r="L3445">
        <f>_xlfn.XLOOKUP($A3445,Load!$B:$B,Load!M:M,0,)</f>
        <v>0</v>
      </c>
    </row>
    <row r="3446" spans="1:12" x14ac:dyDescent="0.25">
      <c r="A3446" t="s">
        <v>180</v>
      </c>
      <c r="B3446" t="str">
        <f>_xlfn.XLOOKUP($A3446,Load!$B:$B,Load!C:C,0,)</f>
        <v>Mars Variety Pack</v>
      </c>
      <c r="C3446" t="str">
        <f>_xlfn.XLOOKUP($A3446,Load!$B:$B,Load!D:D,0,)</f>
        <v>Mix of Chocolate and Non-Chocolate Candy</v>
      </c>
      <c r="D3446" t="str">
        <f>_xlfn.XLOOKUP($A3446,Load!$B:$B,Load!E:E,0,)</f>
        <v>Variety / Mixed Flavors (Fruity, Sour, Seasonal Flavors)</v>
      </c>
      <c r="E3446" t="str">
        <f>_xlfn.XLOOKUP($A3446,Load!$B:$B,Load!F:F,0,)</f>
        <v>Mixed / Combo Packs (Gummy, Chewy, Taffy, etc.)</v>
      </c>
      <c r="F3446" t="str">
        <f>_xlfn.XLOOKUP($A3446,Load!$B:$B,Load!G:G,0,)</f>
        <v>Large Multipack (More than 80 ct)</v>
      </c>
      <c r="G3446" t="str">
        <f>_xlfn.XLOOKUP($A3446,Load!$B:$B,Load!H:H,0,)</f>
        <v>Stand-Up Bag</v>
      </c>
      <c r="H3446" t="str">
        <f>_xlfn.XLOOKUP($A3446,Load!$B:$B,Load!I:I,0,)</f>
        <v>Everyday Candy Shapes (like Original, Gummy bear, Fruit, Jewels, etc.)</v>
      </c>
      <c r="I3446" t="str">
        <f>_xlfn.XLOOKUP($A3446,Load!$B:$B,Load!J:J,0,)</f>
        <v>Seasonal Graphics (Like Bat, Ghost, Pumpkin, Fall Leaves, Eyeballs, etc.)</v>
      </c>
      <c r="J3446" t="str">
        <f>_xlfn.XLOOKUP($A3446,Load!$B:$B,Load!K:K,0,)</f>
        <v>Fun Size / Treat Size</v>
      </c>
      <c r="K3446" t="str">
        <f>_xlfn.XLOOKUP($A3446,Load!$B:$B,Load!L:L,0,)</f>
        <v>Regular/Original Wrapping</v>
      </c>
      <c r="L3446" t="str">
        <f>_xlfn.XLOOKUP($A3446,Load!$B:$B,Load!M:M,0,)</f>
        <v>Multiple Brands / Variety Flavors or Form</v>
      </c>
    </row>
    <row r="3447" spans="1:12" x14ac:dyDescent="0.25">
      <c r="A3447" t="s">
        <v>202</v>
      </c>
      <c r="B3447" t="str">
        <f>_xlfn.XLOOKUP($A3447,Load!$B:$B,Load!C:C,0,)</f>
        <v>Mars Variety Pack</v>
      </c>
      <c r="C3447" t="str">
        <f>_xlfn.XLOOKUP($A3447,Load!$B:$B,Load!D:D,0,)</f>
        <v>Mix of Chocolate and Non-Chocolate Candy</v>
      </c>
      <c r="D3447" t="str">
        <f>_xlfn.XLOOKUP($A3447,Load!$B:$B,Load!E:E,0,)</f>
        <v>Variety / Mixed Flavors (Fruity, Sour, Seasonal Flavors)</v>
      </c>
      <c r="E3447" t="str">
        <f>_xlfn.XLOOKUP($A3447,Load!$B:$B,Load!F:F,0,)</f>
        <v>Mixed / Combo Packs (Gummy, Chewy, Taffy, etc.)</v>
      </c>
      <c r="F3447" t="str">
        <f>_xlfn.XLOOKUP($A3447,Load!$B:$B,Load!G:G,0,)</f>
        <v>Large Multipack (More than 80 ct)</v>
      </c>
      <c r="G3447" t="str">
        <f>_xlfn.XLOOKUP($A3447,Load!$B:$B,Load!H:H,0,)</f>
        <v>Stand-Up Bag</v>
      </c>
      <c r="H3447" t="str">
        <f>_xlfn.XLOOKUP($A3447,Load!$B:$B,Load!I:I,0,)</f>
        <v>Everyday Candy Shapes (like Original, Gummy bear, Fruit, Jewels, etc.)</v>
      </c>
      <c r="I3447" t="str">
        <f>_xlfn.XLOOKUP($A3447,Load!$B:$B,Load!J:J,0,)</f>
        <v>Everyday Graphics</v>
      </c>
      <c r="J3447" t="str">
        <f>_xlfn.XLOOKUP($A3447,Load!$B:$B,Load!K:K,0,)</f>
        <v>Fun Size / Treat Size</v>
      </c>
      <c r="K3447" t="str">
        <f>_xlfn.XLOOKUP($A3447,Load!$B:$B,Load!L:L,0,)</f>
        <v>Regular/Original Wrapping</v>
      </c>
      <c r="L3447" t="str">
        <f>_xlfn.XLOOKUP($A3447,Load!$B:$B,Load!M:M,0,)</f>
        <v>Multiple Brands / Variety Flavors or Form</v>
      </c>
    </row>
    <row r="3448" spans="1:12" x14ac:dyDescent="0.25">
      <c r="B3448">
        <f>_xlfn.XLOOKUP($A3448,Load!$B:$B,Load!C:C,0,)</f>
        <v>0</v>
      </c>
      <c r="C3448">
        <f>_xlfn.XLOOKUP($A3448,Load!$B:$B,Load!D:D,0,)</f>
        <v>0</v>
      </c>
      <c r="D3448">
        <f>_xlfn.XLOOKUP($A3448,Load!$B:$B,Load!E:E,0,)</f>
        <v>0</v>
      </c>
      <c r="E3448">
        <f>_xlfn.XLOOKUP($A3448,Load!$B:$B,Load!F:F,0,)</f>
        <v>0</v>
      </c>
      <c r="F3448">
        <f>_xlfn.XLOOKUP($A3448,Load!$B:$B,Load!G:G,0,)</f>
        <v>0</v>
      </c>
      <c r="G3448">
        <f>_xlfn.XLOOKUP($A3448,Load!$B:$B,Load!H:H,0,)</f>
        <v>0</v>
      </c>
      <c r="H3448">
        <f>_xlfn.XLOOKUP($A3448,Load!$B:$B,Load!I:I,0,)</f>
        <v>0</v>
      </c>
      <c r="I3448">
        <f>_xlfn.XLOOKUP($A3448,Load!$B:$B,Load!J:J,0,)</f>
        <v>0</v>
      </c>
      <c r="J3448">
        <f>_xlfn.XLOOKUP($A3448,Load!$B:$B,Load!K:K,0,)</f>
        <v>0</v>
      </c>
      <c r="K3448">
        <f>_xlfn.XLOOKUP($A3448,Load!$B:$B,Load!L:L,0,)</f>
        <v>0</v>
      </c>
      <c r="L3448">
        <f>_xlfn.XLOOKUP($A3448,Load!$B:$B,Load!M:M,0,)</f>
        <v>0</v>
      </c>
    </row>
    <row r="3449" spans="1:12" x14ac:dyDescent="0.25">
      <c r="B3449">
        <f>_xlfn.XLOOKUP($A3449,Load!$B:$B,Load!C:C,0,)</f>
        <v>0</v>
      </c>
      <c r="C3449">
        <f>_xlfn.XLOOKUP($A3449,Load!$B:$B,Load!D:D,0,)</f>
        <v>0</v>
      </c>
      <c r="D3449">
        <f>_xlfn.XLOOKUP($A3449,Load!$B:$B,Load!E:E,0,)</f>
        <v>0</v>
      </c>
      <c r="E3449">
        <f>_xlfn.XLOOKUP($A3449,Load!$B:$B,Load!F:F,0,)</f>
        <v>0</v>
      </c>
      <c r="F3449">
        <f>_xlfn.XLOOKUP($A3449,Load!$B:$B,Load!G:G,0,)</f>
        <v>0</v>
      </c>
      <c r="G3449">
        <f>_xlfn.XLOOKUP($A3449,Load!$B:$B,Load!H:H,0,)</f>
        <v>0</v>
      </c>
      <c r="H3449">
        <f>_xlfn.XLOOKUP($A3449,Load!$B:$B,Load!I:I,0,)</f>
        <v>0</v>
      </c>
      <c r="I3449">
        <f>_xlfn.XLOOKUP($A3449,Load!$B:$B,Load!J:J,0,)</f>
        <v>0</v>
      </c>
      <c r="J3449">
        <f>_xlfn.XLOOKUP($A3449,Load!$B:$B,Load!K:K,0,)</f>
        <v>0</v>
      </c>
      <c r="K3449">
        <f>_xlfn.XLOOKUP($A3449,Load!$B:$B,Load!L:L,0,)</f>
        <v>0</v>
      </c>
      <c r="L3449">
        <f>_xlfn.XLOOKUP($A3449,Load!$B:$B,Load!M:M,0,)</f>
        <v>0</v>
      </c>
    </row>
    <row r="3450" spans="1:12" x14ac:dyDescent="0.25">
      <c r="A3450" t="s">
        <v>287</v>
      </c>
      <c r="B3450" t="str">
        <f>_xlfn.XLOOKUP($A3450,Load!$B:$B,Load!C:C,0,)</f>
        <v>SweeTARTS</v>
      </c>
      <c r="C3450" t="str">
        <f>_xlfn.XLOOKUP($A3450,Load!$B:$B,Load!D:D,0,)</f>
        <v>Non-Chocolate Candy Only</v>
      </c>
      <c r="D3450" t="str">
        <f>_xlfn.XLOOKUP($A3450,Load!$B:$B,Load!E:E,0,)</f>
        <v>Berry Based (Raspberry, Strawberry, Medley, etc.)</v>
      </c>
      <c r="E3450" t="str">
        <f>_xlfn.XLOOKUP($A3450,Load!$B:$B,Load!F:F,0,)</f>
        <v>Chewy</v>
      </c>
      <c r="F3450" t="str">
        <f>_xlfn.XLOOKUP($A3450,Load!$B:$B,Load!G:G,0,)</f>
        <v>Small Multipack (Less than 40 ct)</v>
      </c>
      <c r="G3450" t="str">
        <f>_xlfn.XLOOKUP($A3450,Load!$B:$B,Load!H:H,0,)</f>
        <v>Laydown Bag</v>
      </c>
      <c r="H3450" t="str">
        <f>_xlfn.XLOOKUP($A3450,Load!$B:$B,Load!I:I,0,)</f>
        <v>Everyday Candy Shapes (like Original, Gummy bear, Fruit, Jewels, etc.)</v>
      </c>
      <c r="I3450" t="str">
        <f>_xlfn.XLOOKUP($A3450,Load!$B:$B,Load!J:J,0,)</f>
        <v>Everyday Graphics</v>
      </c>
      <c r="J3450" t="str">
        <f>_xlfn.XLOOKUP($A3450,Load!$B:$B,Load!K:K,0,)</f>
        <v>Fun Size / Treat Size</v>
      </c>
      <c r="K3450" t="str">
        <f>_xlfn.XLOOKUP($A3450,Load!$B:$B,Load!L:L,0,)</f>
        <v>Unwrapped</v>
      </c>
      <c r="L3450" t="str">
        <f>_xlfn.XLOOKUP($A3450,Load!$B:$B,Load!M:M,0,)</f>
        <v>Single Brand / Single Flavor or Form</v>
      </c>
    </row>
    <row r="3451" spans="1:12" x14ac:dyDescent="0.25">
      <c r="B3451">
        <f>_xlfn.XLOOKUP($A3451,Load!$B:$B,Load!C:C,0,)</f>
        <v>0</v>
      </c>
      <c r="C3451">
        <f>_xlfn.XLOOKUP($A3451,Load!$B:$B,Load!D:D,0,)</f>
        <v>0</v>
      </c>
      <c r="D3451">
        <f>_xlfn.XLOOKUP($A3451,Load!$B:$B,Load!E:E,0,)</f>
        <v>0</v>
      </c>
      <c r="E3451">
        <f>_xlfn.XLOOKUP($A3451,Load!$B:$B,Load!F:F,0,)</f>
        <v>0</v>
      </c>
      <c r="F3451">
        <f>_xlfn.XLOOKUP($A3451,Load!$B:$B,Load!G:G,0,)</f>
        <v>0</v>
      </c>
      <c r="G3451">
        <f>_xlfn.XLOOKUP($A3451,Load!$B:$B,Load!H:H,0,)</f>
        <v>0</v>
      </c>
      <c r="H3451">
        <f>_xlfn.XLOOKUP($A3451,Load!$B:$B,Load!I:I,0,)</f>
        <v>0</v>
      </c>
      <c r="I3451">
        <f>_xlfn.XLOOKUP($A3451,Load!$B:$B,Load!J:J,0,)</f>
        <v>0</v>
      </c>
      <c r="J3451">
        <f>_xlfn.XLOOKUP($A3451,Load!$B:$B,Load!K:K,0,)</f>
        <v>0</v>
      </c>
      <c r="K3451">
        <f>_xlfn.XLOOKUP($A3451,Load!$B:$B,Load!L:L,0,)</f>
        <v>0</v>
      </c>
      <c r="L3451">
        <f>_xlfn.XLOOKUP($A3451,Load!$B:$B,Load!M:M,0,)</f>
        <v>0</v>
      </c>
    </row>
    <row r="3452" spans="1:12" x14ac:dyDescent="0.25">
      <c r="B3452">
        <f>_xlfn.XLOOKUP($A3452,Load!$B:$B,Load!C:C,0,)</f>
        <v>0</v>
      </c>
      <c r="C3452">
        <f>_xlfn.XLOOKUP($A3452,Load!$B:$B,Load!D:D,0,)</f>
        <v>0</v>
      </c>
      <c r="D3452">
        <f>_xlfn.XLOOKUP($A3452,Load!$B:$B,Load!E:E,0,)</f>
        <v>0</v>
      </c>
      <c r="E3452">
        <f>_xlfn.XLOOKUP($A3452,Load!$B:$B,Load!F:F,0,)</f>
        <v>0</v>
      </c>
      <c r="F3452">
        <f>_xlfn.XLOOKUP($A3452,Load!$B:$B,Load!G:G,0,)</f>
        <v>0</v>
      </c>
      <c r="G3452">
        <f>_xlfn.XLOOKUP($A3452,Load!$B:$B,Load!H:H,0,)</f>
        <v>0</v>
      </c>
      <c r="H3452">
        <f>_xlfn.XLOOKUP($A3452,Load!$B:$B,Load!I:I,0,)</f>
        <v>0</v>
      </c>
      <c r="I3452">
        <f>_xlfn.XLOOKUP($A3452,Load!$B:$B,Load!J:J,0,)</f>
        <v>0</v>
      </c>
      <c r="J3452">
        <f>_xlfn.XLOOKUP($A3452,Load!$B:$B,Load!K:K,0,)</f>
        <v>0</v>
      </c>
      <c r="K3452">
        <f>_xlfn.XLOOKUP($A3452,Load!$B:$B,Load!L:L,0,)</f>
        <v>0</v>
      </c>
      <c r="L3452">
        <f>_xlfn.XLOOKUP($A3452,Load!$B:$B,Load!M:M,0,)</f>
        <v>0</v>
      </c>
    </row>
    <row r="3453" spans="1:12" x14ac:dyDescent="0.25">
      <c r="B3453">
        <f>_xlfn.XLOOKUP($A3453,Load!$B:$B,Load!C:C,0,)</f>
        <v>0</v>
      </c>
      <c r="C3453">
        <f>_xlfn.XLOOKUP($A3453,Load!$B:$B,Load!D:D,0,)</f>
        <v>0</v>
      </c>
      <c r="D3453">
        <f>_xlfn.XLOOKUP($A3453,Load!$B:$B,Load!E:E,0,)</f>
        <v>0</v>
      </c>
      <c r="E3453">
        <f>_xlfn.XLOOKUP($A3453,Load!$B:$B,Load!F:F,0,)</f>
        <v>0</v>
      </c>
      <c r="F3453">
        <f>_xlfn.XLOOKUP($A3453,Load!$B:$B,Load!G:G,0,)</f>
        <v>0</v>
      </c>
      <c r="G3453">
        <f>_xlfn.XLOOKUP($A3453,Load!$B:$B,Load!H:H,0,)</f>
        <v>0</v>
      </c>
      <c r="H3453">
        <f>_xlfn.XLOOKUP($A3453,Load!$B:$B,Load!I:I,0,)</f>
        <v>0</v>
      </c>
      <c r="I3453">
        <f>_xlfn.XLOOKUP($A3453,Load!$B:$B,Load!J:J,0,)</f>
        <v>0</v>
      </c>
      <c r="J3453">
        <f>_xlfn.XLOOKUP($A3453,Load!$B:$B,Load!K:K,0,)</f>
        <v>0</v>
      </c>
      <c r="K3453">
        <f>_xlfn.XLOOKUP($A3453,Load!$B:$B,Load!L:L,0,)</f>
        <v>0</v>
      </c>
      <c r="L3453">
        <f>_xlfn.XLOOKUP($A3453,Load!$B:$B,Load!M:M,0,)</f>
        <v>0</v>
      </c>
    </row>
    <row r="3454" spans="1:12" x14ac:dyDescent="0.25">
      <c r="A3454" t="s">
        <v>195</v>
      </c>
      <c r="B3454" t="str">
        <f>_xlfn.XLOOKUP($A3454,Load!$B:$B,Load!C:C,0,)</f>
        <v>Mars Variety Pack</v>
      </c>
      <c r="C3454" t="str">
        <f>_xlfn.XLOOKUP($A3454,Load!$B:$B,Load!D:D,0,)</f>
        <v>Mix of Chocolate and Non-Chocolate Candy</v>
      </c>
      <c r="D3454" t="str">
        <f>_xlfn.XLOOKUP($A3454,Load!$B:$B,Load!E:E,0,)</f>
        <v>Variety / Mixed Flavors (Fruity, Sour, Seasonal Flavors)</v>
      </c>
      <c r="E3454" t="str">
        <f>_xlfn.XLOOKUP($A3454,Load!$B:$B,Load!F:F,0,)</f>
        <v>Mixed / Combo Packs (Gummy, Chewy, Taffy, etc.)</v>
      </c>
      <c r="F3454" t="str">
        <f>_xlfn.XLOOKUP($A3454,Load!$B:$B,Load!G:G,0,)</f>
        <v>Small Multipack (Less than 40 ct)</v>
      </c>
      <c r="G3454" t="str">
        <f>_xlfn.XLOOKUP($A3454,Load!$B:$B,Load!H:H,0,)</f>
        <v>Laydown Bag</v>
      </c>
      <c r="H3454" t="str">
        <f>_xlfn.XLOOKUP($A3454,Load!$B:$B,Load!I:I,0,)</f>
        <v>Everyday Candy Shapes (like Original, Gummy bear, Fruit, Jewels, etc.)</v>
      </c>
      <c r="I3454" t="str">
        <f>_xlfn.XLOOKUP($A3454,Load!$B:$B,Load!J:J,0,)</f>
        <v>Everyday Graphics</v>
      </c>
      <c r="J3454" t="str">
        <f>_xlfn.XLOOKUP($A3454,Load!$B:$B,Load!K:K,0,)</f>
        <v>Fun Size / Treat Size</v>
      </c>
      <c r="K3454" t="str">
        <f>_xlfn.XLOOKUP($A3454,Load!$B:$B,Load!L:L,0,)</f>
        <v>Regular/Original Wrapping</v>
      </c>
      <c r="L3454" t="str">
        <f>_xlfn.XLOOKUP($A3454,Load!$B:$B,Load!M:M,0,)</f>
        <v>Multiple Brands / Variety Flavors or Form</v>
      </c>
    </row>
    <row r="3455" spans="1:12" x14ac:dyDescent="0.25">
      <c r="A3455" t="s">
        <v>196</v>
      </c>
      <c r="B3455" t="str">
        <f>_xlfn.XLOOKUP($A3455,Load!$B:$B,Load!C:C,0,)</f>
        <v>Mars Variety Pack</v>
      </c>
      <c r="C3455" t="str">
        <f>_xlfn.XLOOKUP($A3455,Load!$B:$B,Load!D:D,0,)</f>
        <v>Non-Chocolate Candy Only</v>
      </c>
      <c r="D3455" t="str">
        <f>_xlfn.XLOOKUP($A3455,Load!$B:$B,Load!E:E,0,)</f>
        <v>Variety / Mixed Flavors (Fruity, Sour, Seasonal Flavors)</v>
      </c>
      <c r="E3455" t="str">
        <f>_xlfn.XLOOKUP($A3455,Load!$B:$B,Load!F:F,0,)</f>
        <v>Mixed / Combo Packs (Gummy, Chewy, Taffy, etc.)</v>
      </c>
      <c r="F3455" t="str">
        <f>_xlfn.XLOOKUP($A3455,Load!$B:$B,Load!G:G,0,)</f>
        <v>Small Multipack (Less than 40 ct)</v>
      </c>
      <c r="G3455" t="str">
        <f>_xlfn.XLOOKUP($A3455,Load!$B:$B,Load!H:H,0,)</f>
        <v>Stand-Up Bag</v>
      </c>
      <c r="H3455" t="str">
        <f>_xlfn.XLOOKUP($A3455,Load!$B:$B,Load!I:I,0,)</f>
        <v>Everyday Candy Shapes (like Original, Gummy bear, Fruit, Jewels, etc.)</v>
      </c>
      <c r="I3455" t="str">
        <f>_xlfn.XLOOKUP($A3455,Load!$B:$B,Load!J:J,0,)</f>
        <v>Seasonal Graphics (Like Bat, Ghost, Pumpkin, Fall Leaves, Eyeballs, etc.)</v>
      </c>
      <c r="J3455" t="str">
        <f>_xlfn.XLOOKUP($A3455,Load!$B:$B,Load!K:K,0,)</f>
        <v>Fun Size / Treat Size</v>
      </c>
      <c r="K3455" t="str">
        <f>_xlfn.XLOOKUP($A3455,Load!$B:$B,Load!L:L,0,)</f>
        <v>Regular/Original Wrapping</v>
      </c>
      <c r="L3455" t="str">
        <f>_xlfn.XLOOKUP($A3455,Load!$B:$B,Load!M:M,0,)</f>
        <v>Multiple Brands / Variety Flavors or Form</v>
      </c>
    </row>
    <row r="3456" spans="1:12" x14ac:dyDescent="0.25">
      <c r="A3456" t="s">
        <v>129</v>
      </c>
      <c r="B3456" t="str">
        <f>_xlfn.XLOOKUP($A3456,Load!$B:$B,Load!C:C,0,)</f>
        <v>HARIBO</v>
      </c>
      <c r="C3456" t="str">
        <f>_xlfn.XLOOKUP($A3456,Load!$B:$B,Load!D:D,0,)</f>
        <v>Non-Chocolate Candy Only</v>
      </c>
      <c r="D3456" t="str">
        <f>_xlfn.XLOOKUP($A3456,Load!$B:$B,Load!E:E,0,)</f>
        <v>Fruit Flavor (Cherry, Grape, Apple, Citrus, Tropical Fruit)</v>
      </c>
      <c r="E3456" t="str">
        <f>_xlfn.XLOOKUP($A3456,Load!$B:$B,Load!F:F,0,)</f>
        <v>Gummy</v>
      </c>
      <c r="F3456" t="str">
        <f>_xlfn.XLOOKUP($A3456,Load!$B:$B,Load!G:G,0,)</f>
        <v>Single Pack</v>
      </c>
      <c r="G3456" t="str">
        <f>_xlfn.XLOOKUP($A3456,Load!$B:$B,Load!H:H,0,)</f>
        <v>Peg Bag</v>
      </c>
      <c r="H3456" t="str">
        <f>_xlfn.XLOOKUP($A3456,Load!$B:$B,Load!I:I,0,)</f>
        <v>Everyday Candy Shapes (like Original, Gummy bear, Fruit, Jewels, etc.)</v>
      </c>
      <c r="I3456" t="str">
        <f>_xlfn.XLOOKUP($A3456,Load!$B:$B,Load!J:J,0,)</f>
        <v>Everyday Graphics</v>
      </c>
      <c r="J3456" t="str">
        <f>_xlfn.XLOOKUP($A3456,Load!$B:$B,Load!K:K,0,)</f>
        <v>Small Pieces (Tiny bite size candies)</v>
      </c>
      <c r="K3456" t="str">
        <f>_xlfn.XLOOKUP($A3456,Load!$B:$B,Load!L:L,0,)</f>
        <v>Regular/Original Wrapping</v>
      </c>
      <c r="L3456" t="str">
        <f>_xlfn.XLOOKUP($A3456,Load!$B:$B,Load!M:M,0,)</f>
        <v>Single Brand / Variety Flavors or Form</v>
      </c>
    </row>
    <row r="3457" spans="1:12" x14ac:dyDescent="0.25">
      <c r="B3457">
        <f>_xlfn.XLOOKUP($A3457,Load!$B:$B,Load!C:C,0,)</f>
        <v>0</v>
      </c>
      <c r="C3457">
        <f>_xlfn.XLOOKUP($A3457,Load!$B:$B,Load!D:D,0,)</f>
        <v>0</v>
      </c>
      <c r="D3457">
        <f>_xlfn.XLOOKUP($A3457,Load!$B:$B,Load!E:E,0,)</f>
        <v>0</v>
      </c>
      <c r="E3457">
        <f>_xlfn.XLOOKUP($A3457,Load!$B:$B,Load!F:F,0,)</f>
        <v>0</v>
      </c>
      <c r="F3457">
        <f>_xlfn.XLOOKUP($A3457,Load!$B:$B,Load!G:G,0,)</f>
        <v>0</v>
      </c>
      <c r="G3457">
        <f>_xlfn.XLOOKUP($A3457,Load!$B:$B,Load!H:H,0,)</f>
        <v>0</v>
      </c>
      <c r="H3457">
        <f>_xlfn.XLOOKUP($A3457,Load!$B:$B,Load!I:I,0,)</f>
        <v>0</v>
      </c>
      <c r="I3457">
        <f>_xlfn.XLOOKUP($A3457,Load!$B:$B,Load!J:J,0,)</f>
        <v>0</v>
      </c>
      <c r="J3457">
        <f>_xlfn.XLOOKUP($A3457,Load!$B:$B,Load!K:K,0,)</f>
        <v>0</v>
      </c>
      <c r="K3457">
        <f>_xlfn.XLOOKUP($A3457,Load!$B:$B,Load!L:L,0,)</f>
        <v>0</v>
      </c>
      <c r="L3457">
        <f>_xlfn.XLOOKUP($A3457,Load!$B:$B,Load!M:M,0,)</f>
        <v>0</v>
      </c>
    </row>
    <row r="3458" spans="1:12" x14ac:dyDescent="0.25">
      <c r="A3458" t="s">
        <v>139</v>
      </c>
      <c r="B3458" t="str">
        <f>_xlfn.XLOOKUP($A3458,Load!$B:$B,Load!C:C,0,)</f>
        <v>Hershey's Variety Pack + Haribo</v>
      </c>
      <c r="C3458" t="str">
        <f>_xlfn.XLOOKUP($A3458,Load!$B:$B,Load!D:D,0,)</f>
        <v>Mix of Chocolate and Non-Chocolate Candy</v>
      </c>
      <c r="D3458" t="str">
        <f>_xlfn.XLOOKUP($A3458,Load!$B:$B,Load!E:E,0,)</f>
        <v>Variety / Mixed Flavors (Fruity, Sour, Seasonal Flavors)</v>
      </c>
      <c r="E3458" t="str">
        <f>_xlfn.XLOOKUP($A3458,Load!$B:$B,Load!F:F,0,)</f>
        <v>Mixed / Combo Packs (Gummy, Chewy, Taffy, etc.)</v>
      </c>
      <c r="F3458" t="str">
        <f>_xlfn.XLOOKUP($A3458,Load!$B:$B,Load!G:G,0,)</f>
        <v>Large Multipack (More than 80 ct)</v>
      </c>
      <c r="G3458" t="str">
        <f>_xlfn.XLOOKUP($A3458,Load!$B:$B,Load!H:H,0,)</f>
        <v>Stand-Up Bag</v>
      </c>
      <c r="H3458" t="str">
        <f>_xlfn.XLOOKUP($A3458,Load!$B:$B,Load!I:I,0,)</f>
        <v>Everyday Candy Shapes (like Original, Gummy bear, Fruit, Jewels, etc.)</v>
      </c>
      <c r="I3458" t="str">
        <f>_xlfn.XLOOKUP($A3458,Load!$B:$B,Load!J:J,0,)</f>
        <v>Seasonal Graphics (Like Bat, Ghost, Pumpkin, Fall Leaves, Eyeballs, etc.)</v>
      </c>
      <c r="J3458" t="str">
        <f>_xlfn.XLOOKUP($A3458,Load!$B:$B,Load!K:K,0,)</f>
        <v>Fun Size / Treat Size</v>
      </c>
      <c r="K3458" t="str">
        <f>_xlfn.XLOOKUP($A3458,Load!$B:$B,Load!L:L,0,)</f>
        <v>Regular/Original Wrapping</v>
      </c>
      <c r="L3458" t="str">
        <f>_xlfn.XLOOKUP($A3458,Load!$B:$B,Load!M:M,0,)</f>
        <v>Multiple Brands / Variety Flavors or Form</v>
      </c>
    </row>
    <row r="3459" spans="1:12" x14ac:dyDescent="0.25">
      <c r="B3459">
        <f>_xlfn.XLOOKUP($A3459,Load!$B:$B,Load!C:C,0,)</f>
        <v>0</v>
      </c>
      <c r="C3459">
        <f>_xlfn.XLOOKUP($A3459,Load!$B:$B,Load!D:D,0,)</f>
        <v>0</v>
      </c>
      <c r="D3459">
        <f>_xlfn.XLOOKUP($A3459,Load!$B:$B,Load!E:E,0,)</f>
        <v>0</v>
      </c>
      <c r="E3459">
        <f>_xlfn.XLOOKUP($A3459,Load!$B:$B,Load!F:F,0,)</f>
        <v>0</v>
      </c>
      <c r="F3459">
        <f>_xlfn.XLOOKUP($A3459,Load!$B:$B,Load!G:G,0,)</f>
        <v>0</v>
      </c>
      <c r="G3459">
        <f>_xlfn.XLOOKUP($A3459,Load!$B:$B,Load!H:H,0,)</f>
        <v>0</v>
      </c>
      <c r="H3459">
        <f>_xlfn.XLOOKUP($A3459,Load!$B:$B,Load!I:I,0,)</f>
        <v>0</v>
      </c>
      <c r="I3459">
        <f>_xlfn.XLOOKUP($A3459,Load!$B:$B,Load!J:J,0,)</f>
        <v>0</v>
      </c>
      <c r="J3459">
        <f>_xlfn.XLOOKUP($A3459,Load!$B:$B,Load!K:K,0,)</f>
        <v>0</v>
      </c>
      <c r="K3459">
        <f>_xlfn.XLOOKUP($A3459,Load!$B:$B,Load!L:L,0,)</f>
        <v>0</v>
      </c>
      <c r="L3459">
        <f>_xlfn.XLOOKUP($A3459,Load!$B:$B,Load!M:M,0,)</f>
        <v>0</v>
      </c>
    </row>
    <row r="3460" spans="1:12" x14ac:dyDescent="0.25">
      <c r="B3460">
        <f>_xlfn.XLOOKUP($A3460,Load!$B:$B,Load!C:C,0,)</f>
        <v>0</v>
      </c>
      <c r="C3460">
        <f>_xlfn.XLOOKUP($A3460,Load!$B:$B,Load!D:D,0,)</f>
        <v>0</v>
      </c>
      <c r="D3460">
        <f>_xlfn.XLOOKUP($A3460,Load!$B:$B,Load!E:E,0,)</f>
        <v>0</v>
      </c>
      <c r="E3460">
        <f>_xlfn.XLOOKUP($A3460,Load!$B:$B,Load!F:F,0,)</f>
        <v>0</v>
      </c>
      <c r="F3460">
        <f>_xlfn.XLOOKUP($A3460,Load!$B:$B,Load!G:G,0,)</f>
        <v>0</v>
      </c>
      <c r="G3460">
        <f>_xlfn.XLOOKUP($A3460,Load!$B:$B,Load!H:H,0,)</f>
        <v>0</v>
      </c>
      <c r="H3460">
        <f>_xlfn.XLOOKUP($A3460,Load!$B:$B,Load!I:I,0,)</f>
        <v>0</v>
      </c>
      <c r="I3460">
        <f>_xlfn.XLOOKUP($A3460,Load!$B:$B,Load!J:J,0,)</f>
        <v>0</v>
      </c>
      <c r="J3460">
        <f>_xlfn.XLOOKUP($A3460,Load!$B:$B,Load!K:K,0,)</f>
        <v>0</v>
      </c>
      <c r="K3460">
        <f>_xlfn.XLOOKUP($A3460,Load!$B:$B,Load!L:L,0,)</f>
        <v>0</v>
      </c>
      <c r="L3460">
        <f>_xlfn.XLOOKUP($A3460,Load!$B:$B,Load!M:M,0,)</f>
        <v>0</v>
      </c>
    </row>
    <row r="3461" spans="1:12" x14ac:dyDescent="0.25">
      <c r="B3461">
        <f>_xlfn.XLOOKUP($A3461,Load!$B:$B,Load!C:C,0,)</f>
        <v>0</v>
      </c>
      <c r="C3461">
        <f>_xlfn.XLOOKUP($A3461,Load!$B:$B,Load!D:D,0,)</f>
        <v>0</v>
      </c>
      <c r="D3461">
        <f>_xlfn.XLOOKUP($A3461,Load!$B:$B,Load!E:E,0,)</f>
        <v>0</v>
      </c>
      <c r="E3461">
        <f>_xlfn.XLOOKUP($A3461,Load!$B:$B,Load!F:F,0,)</f>
        <v>0</v>
      </c>
      <c r="F3461">
        <f>_xlfn.XLOOKUP($A3461,Load!$B:$B,Load!G:G,0,)</f>
        <v>0</v>
      </c>
      <c r="G3461">
        <f>_xlfn.XLOOKUP($A3461,Load!$B:$B,Load!H:H,0,)</f>
        <v>0</v>
      </c>
      <c r="H3461">
        <f>_xlfn.XLOOKUP($A3461,Load!$B:$B,Load!I:I,0,)</f>
        <v>0</v>
      </c>
      <c r="I3461">
        <f>_xlfn.XLOOKUP($A3461,Load!$B:$B,Load!J:J,0,)</f>
        <v>0</v>
      </c>
      <c r="J3461">
        <f>_xlfn.XLOOKUP($A3461,Load!$B:$B,Load!K:K,0,)</f>
        <v>0</v>
      </c>
      <c r="K3461">
        <f>_xlfn.XLOOKUP($A3461,Load!$B:$B,Load!L:L,0,)</f>
        <v>0</v>
      </c>
      <c r="L3461">
        <f>_xlfn.XLOOKUP($A3461,Load!$B:$B,Load!M:M,0,)</f>
        <v>0</v>
      </c>
    </row>
    <row r="3462" spans="1:12" x14ac:dyDescent="0.25">
      <c r="B3462">
        <f>_xlfn.XLOOKUP($A3462,Load!$B:$B,Load!C:C,0,)</f>
        <v>0</v>
      </c>
      <c r="C3462">
        <f>_xlfn.XLOOKUP($A3462,Load!$B:$B,Load!D:D,0,)</f>
        <v>0</v>
      </c>
      <c r="D3462">
        <f>_xlfn.XLOOKUP($A3462,Load!$B:$B,Load!E:E,0,)</f>
        <v>0</v>
      </c>
      <c r="E3462">
        <f>_xlfn.XLOOKUP($A3462,Load!$B:$B,Load!F:F,0,)</f>
        <v>0</v>
      </c>
      <c r="F3462">
        <f>_xlfn.XLOOKUP($A3462,Load!$B:$B,Load!G:G,0,)</f>
        <v>0</v>
      </c>
      <c r="G3462">
        <f>_xlfn.XLOOKUP($A3462,Load!$B:$B,Load!H:H,0,)</f>
        <v>0</v>
      </c>
      <c r="H3462">
        <f>_xlfn.XLOOKUP($A3462,Load!$B:$B,Load!I:I,0,)</f>
        <v>0</v>
      </c>
      <c r="I3462">
        <f>_xlfn.XLOOKUP($A3462,Load!$B:$B,Load!J:J,0,)</f>
        <v>0</v>
      </c>
      <c r="J3462">
        <f>_xlfn.XLOOKUP($A3462,Load!$B:$B,Load!K:K,0,)</f>
        <v>0</v>
      </c>
      <c r="K3462">
        <f>_xlfn.XLOOKUP($A3462,Load!$B:$B,Load!L:L,0,)</f>
        <v>0</v>
      </c>
      <c r="L3462">
        <f>_xlfn.XLOOKUP($A3462,Load!$B:$B,Load!M:M,0,)</f>
        <v>0</v>
      </c>
    </row>
    <row r="3463" spans="1:12" x14ac:dyDescent="0.25">
      <c r="B3463">
        <f>_xlfn.XLOOKUP($A3463,Load!$B:$B,Load!C:C,0,)</f>
        <v>0</v>
      </c>
      <c r="C3463">
        <f>_xlfn.XLOOKUP($A3463,Load!$B:$B,Load!D:D,0,)</f>
        <v>0</v>
      </c>
      <c r="D3463">
        <f>_xlfn.XLOOKUP($A3463,Load!$B:$B,Load!E:E,0,)</f>
        <v>0</v>
      </c>
      <c r="E3463">
        <f>_xlfn.XLOOKUP($A3463,Load!$B:$B,Load!F:F,0,)</f>
        <v>0</v>
      </c>
      <c r="F3463">
        <f>_xlfn.XLOOKUP($A3463,Load!$B:$B,Load!G:G,0,)</f>
        <v>0</v>
      </c>
      <c r="G3463">
        <f>_xlfn.XLOOKUP($A3463,Load!$B:$B,Load!H:H,0,)</f>
        <v>0</v>
      </c>
      <c r="H3463">
        <f>_xlfn.XLOOKUP($A3463,Load!$B:$B,Load!I:I,0,)</f>
        <v>0</v>
      </c>
      <c r="I3463">
        <f>_xlfn.XLOOKUP($A3463,Load!$B:$B,Load!J:J,0,)</f>
        <v>0</v>
      </c>
      <c r="J3463">
        <f>_xlfn.XLOOKUP($A3463,Load!$B:$B,Load!K:K,0,)</f>
        <v>0</v>
      </c>
      <c r="K3463">
        <f>_xlfn.XLOOKUP($A3463,Load!$B:$B,Load!L:L,0,)</f>
        <v>0</v>
      </c>
      <c r="L3463">
        <f>_xlfn.XLOOKUP($A3463,Load!$B:$B,Load!M:M,0,)</f>
        <v>0</v>
      </c>
    </row>
    <row r="3464" spans="1:12" x14ac:dyDescent="0.25">
      <c r="A3464" t="s">
        <v>149</v>
      </c>
      <c r="B3464" t="str">
        <f>_xlfn.XLOOKUP($A3464,Load!$B:$B,Load!C:C,0,)</f>
        <v>Jolly Rancher</v>
      </c>
      <c r="C3464" t="str">
        <f>_xlfn.XLOOKUP($A3464,Load!$B:$B,Load!D:D,0,)</f>
        <v>Non-Chocolate Candy Only</v>
      </c>
      <c r="D3464" t="str">
        <f>_xlfn.XLOOKUP($A3464,Load!$B:$B,Load!E:E,0,)</f>
        <v>Fruit Flavor (Cherry, Grape, Apple, Citrus, Tropical Fruit)</v>
      </c>
      <c r="E3464" t="str">
        <f>_xlfn.XLOOKUP($A3464,Load!$B:$B,Load!F:F,0,)</f>
        <v>Gummy</v>
      </c>
      <c r="F3464" t="str">
        <f>_xlfn.XLOOKUP($A3464,Load!$B:$B,Load!G:G,0,)</f>
        <v>Small Multipack (Less than 40 ct)</v>
      </c>
      <c r="G3464" t="str">
        <f>_xlfn.XLOOKUP($A3464,Load!$B:$B,Load!H:H,0,)</f>
        <v>Laydown Bag</v>
      </c>
      <c r="H3464" t="str">
        <f>_xlfn.XLOOKUP($A3464,Load!$B:$B,Load!I:I,0,)</f>
        <v>Everyday Candy Shapes (like Original, Gummy bear, Fruit, Jewels, etc.)</v>
      </c>
      <c r="I3464" t="str">
        <f>_xlfn.XLOOKUP($A3464,Load!$B:$B,Load!J:J,0,)</f>
        <v>Everyday Graphics</v>
      </c>
      <c r="J3464" t="str">
        <f>_xlfn.XLOOKUP($A3464,Load!$B:$B,Load!K:K,0,)</f>
        <v>Fun Size / Treat Size</v>
      </c>
      <c r="K3464" t="str">
        <f>_xlfn.XLOOKUP($A3464,Load!$B:$B,Load!L:L,0,)</f>
        <v>Regular/Original Wrapping</v>
      </c>
      <c r="L3464" t="str">
        <f>_xlfn.XLOOKUP($A3464,Load!$B:$B,Load!M:M,0,)</f>
        <v>Single Brand / Variety Flavors or Form</v>
      </c>
    </row>
    <row r="3465" spans="1:12" x14ac:dyDescent="0.25">
      <c r="B3465">
        <f>_xlfn.XLOOKUP($A3465,Load!$B:$B,Load!C:C,0,)</f>
        <v>0</v>
      </c>
      <c r="C3465">
        <f>_xlfn.XLOOKUP($A3465,Load!$B:$B,Load!D:D,0,)</f>
        <v>0</v>
      </c>
      <c r="D3465">
        <f>_xlfn.XLOOKUP($A3465,Load!$B:$B,Load!E:E,0,)</f>
        <v>0</v>
      </c>
      <c r="E3465">
        <f>_xlfn.XLOOKUP($A3465,Load!$B:$B,Load!F:F,0,)</f>
        <v>0</v>
      </c>
      <c r="F3465">
        <f>_xlfn.XLOOKUP($A3465,Load!$B:$B,Load!G:G,0,)</f>
        <v>0</v>
      </c>
      <c r="G3465">
        <f>_xlfn.XLOOKUP($A3465,Load!$B:$B,Load!H:H,0,)</f>
        <v>0</v>
      </c>
      <c r="H3465">
        <f>_xlfn.XLOOKUP($A3465,Load!$B:$B,Load!I:I,0,)</f>
        <v>0</v>
      </c>
      <c r="I3465">
        <f>_xlfn.XLOOKUP($A3465,Load!$B:$B,Load!J:J,0,)</f>
        <v>0</v>
      </c>
      <c r="J3465">
        <f>_xlfn.XLOOKUP($A3465,Load!$B:$B,Load!K:K,0,)</f>
        <v>0</v>
      </c>
      <c r="K3465">
        <f>_xlfn.XLOOKUP($A3465,Load!$B:$B,Load!L:L,0,)</f>
        <v>0</v>
      </c>
      <c r="L3465">
        <f>_xlfn.XLOOKUP($A3465,Load!$B:$B,Load!M:M,0,)</f>
        <v>0</v>
      </c>
    </row>
    <row r="3466" spans="1:12" x14ac:dyDescent="0.25">
      <c r="A3466" t="s">
        <v>463</v>
      </c>
      <c r="B3466" t="str">
        <f>_xlfn.XLOOKUP($A3466,Load!$B:$B,Load!C:C,0,)</f>
        <v>Mars Variety Pack</v>
      </c>
      <c r="C3466" t="str">
        <f>_xlfn.XLOOKUP($A3466,Load!$B:$B,Load!D:D,0,)</f>
        <v>Mix of Chocolate and Non-Chocolate Candy</v>
      </c>
      <c r="D3466" t="str">
        <f>_xlfn.XLOOKUP($A3466,Load!$B:$B,Load!E:E,0,)</f>
        <v>Variety / Mixed Flavors (Fruity, Sour, Seasonal Flavors)</v>
      </c>
      <c r="E3466" t="str">
        <f>_xlfn.XLOOKUP($A3466,Load!$B:$B,Load!F:F,0,)</f>
        <v>Mixed / Combo Packs (Gummy, Chewy, Taffy, etc.)</v>
      </c>
      <c r="F3466" t="str">
        <f>_xlfn.XLOOKUP($A3466,Load!$B:$B,Load!G:G,0,)</f>
        <v>Medium Multipack (40–80 ct)</v>
      </c>
      <c r="G3466" t="str">
        <f>_xlfn.XLOOKUP($A3466,Load!$B:$B,Load!H:H,0,)</f>
        <v>Stand-Up Bag</v>
      </c>
      <c r="H3466" t="str">
        <f>_xlfn.XLOOKUP($A3466,Load!$B:$B,Load!I:I,0,)</f>
        <v>Everyday Candy Shapes (like Original, Gummy bear, Fruit, Jewels, etc.)</v>
      </c>
      <c r="I3466" t="str">
        <f>_xlfn.XLOOKUP($A3466,Load!$B:$B,Load!J:J,0,)</f>
        <v>Seasonal Graphics (Like Bat, Ghost, Pumpkin, Fall Leaves, Eyeballs, etc.)</v>
      </c>
      <c r="J3466" t="str">
        <f>_xlfn.XLOOKUP($A3466,Load!$B:$B,Load!K:K,0,)</f>
        <v>Fun Size / Treat Size</v>
      </c>
      <c r="K3466" t="str">
        <f>_xlfn.XLOOKUP($A3466,Load!$B:$B,Load!L:L,0,)</f>
        <v>Regular/Original Wrapping</v>
      </c>
      <c r="L3466" t="str">
        <f>_xlfn.XLOOKUP($A3466,Load!$B:$B,Load!M:M,0,)</f>
        <v>Multiple Brands / Variety Flavors or Form</v>
      </c>
    </row>
    <row r="3467" spans="1:12" x14ac:dyDescent="0.25">
      <c r="B3467">
        <f>_xlfn.XLOOKUP($A3467,Load!$B:$B,Load!C:C,0,)</f>
        <v>0</v>
      </c>
      <c r="C3467">
        <f>_xlfn.XLOOKUP($A3467,Load!$B:$B,Load!D:D,0,)</f>
        <v>0</v>
      </c>
      <c r="D3467">
        <f>_xlfn.XLOOKUP($A3467,Load!$B:$B,Load!E:E,0,)</f>
        <v>0</v>
      </c>
      <c r="E3467">
        <f>_xlfn.XLOOKUP($A3467,Load!$B:$B,Load!F:F,0,)</f>
        <v>0</v>
      </c>
      <c r="F3467">
        <f>_xlfn.XLOOKUP($A3467,Load!$B:$B,Load!G:G,0,)</f>
        <v>0</v>
      </c>
      <c r="G3467">
        <f>_xlfn.XLOOKUP($A3467,Load!$B:$B,Load!H:H,0,)</f>
        <v>0</v>
      </c>
      <c r="H3467">
        <f>_xlfn.XLOOKUP($A3467,Load!$B:$B,Load!I:I,0,)</f>
        <v>0</v>
      </c>
      <c r="I3467">
        <f>_xlfn.XLOOKUP($A3467,Load!$B:$B,Load!J:J,0,)</f>
        <v>0</v>
      </c>
      <c r="J3467">
        <f>_xlfn.XLOOKUP($A3467,Load!$B:$B,Load!K:K,0,)</f>
        <v>0</v>
      </c>
      <c r="K3467">
        <f>_xlfn.XLOOKUP($A3467,Load!$B:$B,Load!L:L,0,)</f>
        <v>0</v>
      </c>
      <c r="L3467">
        <f>_xlfn.XLOOKUP($A3467,Load!$B:$B,Load!M:M,0,)</f>
        <v>0</v>
      </c>
    </row>
    <row r="3468" spans="1:12" x14ac:dyDescent="0.25">
      <c r="B3468">
        <f>_xlfn.XLOOKUP($A3468,Load!$B:$B,Load!C:C,0,)</f>
        <v>0</v>
      </c>
      <c r="C3468">
        <f>_xlfn.XLOOKUP($A3468,Load!$B:$B,Load!D:D,0,)</f>
        <v>0</v>
      </c>
      <c r="D3468">
        <f>_xlfn.XLOOKUP($A3468,Load!$B:$B,Load!E:E,0,)</f>
        <v>0</v>
      </c>
      <c r="E3468">
        <f>_xlfn.XLOOKUP($A3468,Load!$B:$B,Load!F:F,0,)</f>
        <v>0</v>
      </c>
      <c r="F3468">
        <f>_xlfn.XLOOKUP($A3468,Load!$B:$B,Load!G:G,0,)</f>
        <v>0</v>
      </c>
      <c r="G3468">
        <f>_xlfn.XLOOKUP($A3468,Load!$B:$B,Load!H:H,0,)</f>
        <v>0</v>
      </c>
      <c r="H3468">
        <f>_xlfn.XLOOKUP($A3468,Load!$B:$B,Load!I:I,0,)</f>
        <v>0</v>
      </c>
      <c r="I3468">
        <f>_xlfn.XLOOKUP($A3468,Load!$B:$B,Load!J:J,0,)</f>
        <v>0</v>
      </c>
      <c r="J3468">
        <f>_xlfn.XLOOKUP($A3468,Load!$B:$B,Load!K:K,0,)</f>
        <v>0</v>
      </c>
      <c r="K3468">
        <f>_xlfn.XLOOKUP($A3468,Load!$B:$B,Load!L:L,0,)</f>
        <v>0</v>
      </c>
      <c r="L3468">
        <f>_xlfn.XLOOKUP($A3468,Load!$B:$B,Load!M:M,0,)</f>
        <v>0</v>
      </c>
    </row>
    <row r="3469" spans="1:12" x14ac:dyDescent="0.25">
      <c r="B3469">
        <f>_xlfn.XLOOKUP($A3469,Load!$B:$B,Load!C:C,0,)</f>
        <v>0</v>
      </c>
      <c r="C3469">
        <f>_xlfn.XLOOKUP($A3469,Load!$B:$B,Load!D:D,0,)</f>
        <v>0</v>
      </c>
      <c r="D3469">
        <f>_xlfn.XLOOKUP($A3469,Load!$B:$B,Load!E:E,0,)</f>
        <v>0</v>
      </c>
      <c r="E3469">
        <f>_xlfn.XLOOKUP($A3469,Load!$B:$B,Load!F:F,0,)</f>
        <v>0</v>
      </c>
      <c r="F3469">
        <f>_xlfn.XLOOKUP($A3469,Load!$B:$B,Load!G:G,0,)</f>
        <v>0</v>
      </c>
      <c r="G3469">
        <f>_xlfn.XLOOKUP($A3469,Load!$B:$B,Load!H:H,0,)</f>
        <v>0</v>
      </c>
      <c r="H3469">
        <f>_xlfn.XLOOKUP($A3469,Load!$B:$B,Load!I:I,0,)</f>
        <v>0</v>
      </c>
      <c r="I3469">
        <f>_xlfn.XLOOKUP($A3469,Load!$B:$B,Load!J:J,0,)</f>
        <v>0</v>
      </c>
      <c r="J3469">
        <f>_xlfn.XLOOKUP($A3469,Load!$B:$B,Load!K:K,0,)</f>
        <v>0</v>
      </c>
      <c r="K3469">
        <f>_xlfn.XLOOKUP($A3469,Load!$B:$B,Load!L:L,0,)</f>
        <v>0</v>
      </c>
      <c r="L3469">
        <f>_xlfn.XLOOKUP($A3469,Load!$B:$B,Load!M:M,0,)</f>
        <v>0</v>
      </c>
    </row>
    <row r="3470" spans="1:12" x14ac:dyDescent="0.25">
      <c r="B3470">
        <f>_xlfn.XLOOKUP($A3470,Load!$B:$B,Load!C:C,0,)</f>
        <v>0</v>
      </c>
      <c r="C3470">
        <f>_xlfn.XLOOKUP($A3470,Load!$B:$B,Load!D:D,0,)</f>
        <v>0</v>
      </c>
      <c r="D3470">
        <f>_xlfn.XLOOKUP($A3470,Load!$B:$B,Load!E:E,0,)</f>
        <v>0</v>
      </c>
      <c r="E3470">
        <f>_xlfn.XLOOKUP($A3470,Load!$B:$B,Load!F:F,0,)</f>
        <v>0</v>
      </c>
      <c r="F3470">
        <f>_xlfn.XLOOKUP($A3470,Load!$B:$B,Load!G:G,0,)</f>
        <v>0</v>
      </c>
      <c r="G3470">
        <f>_xlfn.XLOOKUP($A3470,Load!$B:$B,Load!H:H,0,)</f>
        <v>0</v>
      </c>
      <c r="H3470">
        <f>_xlfn.XLOOKUP($A3470,Load!$B:$B,Load!I:I,0,)</f>
        <v>0</v>
      </c>
      <c r="I3470">
        <f>_xlfn.XLOOKUP($A3470,Load!$B:$B,Load!J:J,0,)</f>
        <v>0</v>
      </c>
      <c r="J3470">
        <f>_xlfn.XLOOKUP($A3470,Load!$B:$B,Load!K:K,0,)</f>
        <v>0</v>
      </c>
      <c r="K3470">
        <f>_xlfn.XLOOKUP($A3470,Load!$B:$B,Load!L:L,0,)</f>
        <v>0</v>
      </c>
      <c r="L3470">
        <f>_xlfn.XLOOKUP($A3470,Load!$B:$B,Load!M:M,0,)</f>
        <v>0</v>
      </c>
    </row>
    <row r="3471" spans="1:12" x14ac:dyDescent="0.25">
      <c r="B3471">
        <f>_xlfn.XLOOKUP($A3471,Load!$B:$B,Load!C:C,0,)</f>
        <v>0</v>
      </c>
      <c r="C3471">
        <f>_xlfn.XLOOKUP($A3471,Load!$B:$B,Load!D:D,0,)</f>
        <v>0</v>
      </c>
      <c r="D3471">
        <f>_xlfn.XLOOKUP($A3471,Load!$B:$B,Load!E:E,0,)</f>
        <v>0</v>
      </c>
      <c r="E3471">
        <f>_xlfn.XLOOKUP($A3471,Load!$B:$B,Load!F:F,0,)</f>
        <v>0</v>
      </c>
      <c r="F3471">
        <f>_xlfn.XLOOKUP($A3471,Load!$B:$B,Load!G:G,0,)</f>
        <v>0</v>
      </c>
      <c r="G3471">
        <f>_xlfn.XLOOKUP($A3471,Load!$B:$B,Load!H:H,0,)</f>
        <v>0</v>
      </c>
      <c r="H3471">
        <f>_xlfn.XLOOKUP($A3471,Load!$B:$B,Load!I:I,0,)</f>
        <v>0</v>
      </c>
      <c r="I3471">
        <f>_xlfn.XLOOKUP($A3471,Load!$B:$B,Load!J:J,0,)</f>
        <v>0</v>
      </c>
      <c r="J3471">
        <f>_xlfn.XLOOKUP($A3471,Load!$B:$B,Load!K:K,0,)</f>
        <v>0</v>
      </c>
      <c r="K3471">
        <f>_xlfn.XLOOKUP($A3471,Load!$B:$B,Load!L:L,0,)</f>
        <v>0</v>
      </c>
      <c r="L3471">
        <f>_xlfn.XLOOKUP($A3471,Load!$B:$B,Load!M:M,0,)</f>
        <v>0</v>
      </c>
    </row>
    <row r="3472" spans="1:12" x14ac:dyDescent="0.25">
      <c r="B3472">
        <f>_xlfn.XLOOKUP($A3472,Load!$B:$B,Load!C:C,0,)</f>
        <v>0</v>
      </c>
      <c r="C3472">
        <f>_xlfn.XLOOKUP($A3472,Load!$B:$B,Load!D:D,0,)</f>
        <v>0</v>
      </c>
      <c r="D3472">
        <f>_xlfn.XLOOKUP($A3472,Load!$B:$B,Load!E:E,0,)</f>
        <v>0</v>
      </c>
      <c r="E3472">
        <f>_xlfn.XLOOKUP($A3472,Load!$B:$B,Load!F:F,0,)</f>
        <v>0</v>
      </c>
      <c r="F3472">
        <f>_xlfn.XLOOKUP($A3472,Load!$B:$B,Load!G:G,0,)</f>
        <v>0</v>
      </c>
      <c r="G3472">
        <f>_xlfn.XLOOKUP($A3472,Load!$B:$B,Load!H:H,0,)</f>
        <v>0</v>
      </c>
      <c r="H3472">
        <f>_xlfn.XLOOKUP($A3472,Load!$B:$B,Load!I:I,0,)</f>
        <v>0</v>
      </c>
      <c r="I3472">
        <f>_xlfn.XLOOKUP($A3472,Load!$B:$B,Load!J:J,0,)</f>
        <v>0</v>
      </c>
      <c r="J3472">
        <f>_xlfn.XLOOKUP($A3472,Load!$B:$B,Load!K:K,0,)</f>
        <v>0</v>
      </c>
      <c r="K3472">
        <f>_xlfn.XLOOKUP($A3472,Load!$B:$B,Load!L:L,0,)</f>
        <v>0</v>
      </c>
      <c r="L3472">
        <f>_xlfn.XLOOKUP($A3472,Load!$B:$B,Load!M:M,0,)</f>
        <v>0</v>
      </c>
    </row>
    <row r="3473" spans="1:12" x14ac:dyDescent="0.25">
      <c r="B3473">
        <f>_xlfn.XLOOKUP($A3473,Load!$B:$B,Load!C:C,0,)</f>
        <v>0</v>
      </c>
      <c r="C3473">
        <f>_xlfn.XLOOKUP($A3473,Load!$B:$B,Load!D:D,0,)</f>
        <v>0</v>
      </c>
      <c r="D3473">
        <f>_xlfn.XLOOKUP($A3473,Load!$B:$B,Load!E:E,0,)</f>
        <v>0</v>
      </c>
      <c r="E3473">
        <f>_xlfn.XLOOKUP($A3473,Load!$B:$B,Load!F:F,0,)</f>
        <v>0</v>
      </c>
      <c r="F3473">
        <f>_xlfn.XLOOKUP($A3473,Load!$B:$B,Load!G:G,0,)</f>
        <v>0</v>
      </c>
      <c r="G3473">
        <f>_xlfn.XLOOKUP($A3473,Load!$B:$B,Load!H:H,0,)</f>
        <v>0</v>
      </c>
      <c r="H3473">
        <f>_xlfn.XLOOKUP($A3473,Load!$B:$B,Load!I:I,0,)</f>
        <v>0</v>
      </c>
      <c r="I3473">
        <f>_xlfn.XLOOKUP($A3473,Load!$B:$B,Load!J:J,0,)</f>
        <v>0</v>
      </c>
      <c r="J3473">
        <f>_xlfn.XLOOKUP($A3473,Load!$B:$B,Load!K:K,0,)</f>
        <v>0</v>
      </c>
      <c r="K3473">
        <f>_xlfn.XLOOKUP($A3473,Load!$B:$B,Load!L:L,0,)</f>
        <v>0</v>
      </c>
      <c r="L3473">
        <f>_xlfn.XLOOKUP($A3473,Load!$B:$B,Load!M:M,0,)</f>
        <v>0</v>
      </c>
    </row>
    <row r="3474" spans="1:12" x14ac:dyDescent="0.25">
      <c r="A3474" t="s">
        <v>207</v>
      </c>
      <c r="B3474" t="str">
        <f>_xlfn.XLOOKUP($A3474,Load!$B:$B,Load!C:C,0,)</f>
        <v>Mars Variety Pack</v>
      </c>
      <c r="C3474" t="str">
        <f>_xlfn.XLOOKUP($A3474,Load!$B:$B,Load!D:D,0,)</f>
        <v>Mix of Chocolate and Non-Chocolate Candy</v>
      </c>
      <c r="D3474" t="str">
        <f>_xlfn.XLOOKUP($A3474,Load!$B:$B,Load!E:E,0,)</f>
        <v>Variety / Mixed Flavors (Fruity, Sour, Seasonal Flavors)</v>
      </c>
      <c r="E3474" t="str">
        <f>_xlfn.XLOOKUP($A3474,Load!$B:$B,Load!F:F,0,)</f>
        <v>Mixed / Combo Packs (Gummy, Chewy, Taffy, etc.)</v>
      </c>
      <c r="F3474" t="str">
        <f>_xlfn.XLOOKUP($A3474,Load!$B:$B,Load!G:G,0,)</f>
        <v>Large Multipack (More than 80 ct)</v>
      </c>
      <c r="G3474" t="str">
        <f>_xlfn.XLOOKUP($A3474,Load!$B:$B,Load!H:H,0,)</f>
        <v>Stand-Up Bag</v>
      </c>
      <c r="H3474" t="str">
        <f>_xlfn.XLOOKUP($A3474,Load!$B:$B,Load!I:I,0,)</f>
        <v>Everyday Candy Shapes (like Original, Gummy bear, Fruit, Jewels, etc.)</v>
      </c>
      <c r="I3474" t="str">
        <f>_xlfn.XLOOKUP($A3474,Load!$B:$B,Load!J:J,0,)</f>
        <v>Everyday Graphics</v>
      </c>
      <c r="J3474" t="str">
        <f>_xlfn.XLOOKUP($A3474,Load!$B:$B,Load!K:K,0,)</f>
        <v>Fun Size / Treat Size</v>
      </c>
      <c r="K3474" t="str">
        <f>_xlfn.XLOOKUP($A3474,Load!$B:$B,Load!L:L,0,)</f>
        <v>Regular/Original Wrapping</v>
      </c>
      <c r="L3474" t="str">
        <f>_xlfn.XLOOKUP($A3474,Load!$B:$B,Load!M:M,0,)</f>
        <v>Multiple Brands / Variety Flavors or Form</v>
      </c>
    </row>
    <row r="3475" spans="1:12" x14ac:dyDescent="0.25">
      <c r="A3475" t="s">
        <v>214</v>
      </c>
      <c r="B3475" t="str">
        <f>_xlfn.XLOOKUP($A3475,Load!$B:$B,Load!C:C,0,)</f>
        <v>Mars Variety Pack</v>
      </c>
      <c r="C3475" t="str">
        <f>_xlfn.XLOOKUP($A3475,Load!$B:$B,Load!D:D,0,)</f>
        <v>Mix of Chocolate and Non-Chocolate Candy</v>
      </c>
      <c r="D3475" t="str">
        <f>_xlfn.XLOOKUP($A3475,Load!$B:$B,Load!E:E,0,)</f>
        <v>Variety / Mixed Flavors (Fruity, Sour, Seasonal Flavors)</v>
      </c>
      <c r="E3475" t="str">
        <f>_xlfn.XLOOKUP($A3475,Load!$B:$B,Load!F:F,0,)</f>
        <v>Mixed / Combo Packs (Gummy, Chewy, Taffy, etc.)</v>
      </c>
      <c r="F3475" t="str">
        <f>_xlfn.XLOOKUP($A3475,Load!$B:$B,Load!G:G,0,)</f>
        <v>Large Multipack (More than 80 ct)</v>
      </c>
      <c r="G3475" t="str">
        <f>_xlfn.XLOOKUP($A3475,Load!$B:$B,Load!H:H,0,)</f>
        <v>Stand-Up Bag</v>
      </c>
      <c r="H3475" t="str">
        <f>_xlfn.XLOOKUP($A3475,Load!$B:$B,Load!I:I,0,)</f>
        <v>Everyday Candy Shapes (like Original, Gummy bear, Fruit, Jewels, etc.)</v>
      </c>
      <c r="I3475" t="str">
        <f>_xlfn.XLOOKUP($A3475,Load!$B:$B,Load!J:J,0,)</f>
        <v>Seasonal Graphics (Like Bat, Ghost, Pumpkin, Fall Leaves, Eyeballs, etc.)</v>
      </c>
      <c r="J3475" t="str">
        <f>_xlfn.XLOOKUP($A3475,Load!$B:$B,Load!K:K,0,)</f>
        <v>Fun Size / Treat Size</v>
      </c>
      <c r="K3475" t="str">
        <f>_xlfn.XLOOKUP($A3475,Load!$B:$B,Load!L:L,0,)</f>
        <v>Regular/Original Wrapping</v>
      </c>
      <c r="L3475" t="str">
        <f>_xlfn.XLOOKUP($A3475,Load!$B:$B,Load!M:M,0,)</f>
        <v>Multiple Brands / Variety Flavors or Form</v>
      </c>
    </row>
    <row r="3476" spans="1:12" x14ac:dyDescent="0.25">
      <c r="A3476" t="s">
        <v>170</v>
      </c>
      <c r="B3476" t="str">
        <f>_xlfn.XLOOKUP($A3476,Load!$B:$B,Load!C:C,0,)</f>
        <v>Laffy Taffy</v>
      </c>
      <c r="C3476" t="str">
        <f>_xlfn.XLOOKUP($A3476,Load!$B:$B,Load!D:D,0,)</f>
        <v>Non-Chocolate Candy Only</v>
      </c>
      <c r="D3476" t="str">
        <f>_xlfn.XLOOKUP($A3476,Load!$B:$B,Load!E:E,0,)</f>
        <v>Fruit Flavor (Cherry, Grape, Apple, Citrus, Tropical Fruit)</v>
      </c>
      <c r="E3476" t="str">
        <f>_xlfn.XLOOKUP($A3476,Load!$B:$B,Load!F:F,0,)</f>
        <v>Taffy</v>
      </c>
      <c r="F3476" t="str">
        <f>_xlfn.XLOOKUP($A3476,Load!$B:$B,Load!G:G,0,)</f>
        <v>Large Multipack (More than 80 ct)</v>
      </c>
      <c r="G3476" t="str">
        <f>_xlfn.XLOOKUP($A3476,Load!$B:$B,Load!H:H,0,)</f>
        <v>Stand-Up Bag</v>
      </c>
      <c r="H3476" t="str">
        <f>_xlfn.XLOOKUP($A3476,Load!$B:$B,Load!I:I,0,)</f>
        <v>Everyday Candy Shapes (like Original, Gummy bear, Fruit, Jewels, etc.)</v>
      </c>
      <c r="I3476" t="str">
        <f>_xlfn.XLOOKUP($A3476,Load!$B:$B,Load!J:J,0,)</f>
        <v>Everyday Graphics</v>
      </c>
      <c r="J3476" t="str">
        <f>_xlfn.XLOOKUP($A3476,Load!$B:$B,Load!K:K,0,)</f>
        <v>Fun Size / Treat Size</v>
      </c>
      <c r="K3476" t="str">
        <f>_xlfn.XLOOKUP($A3476,Load!$B:$B,Load!L:L,0,)</f>
        <v>Regular/Original Wrapping</v>
      </c>
      <c r="L3476" t="str">
        <f>_xlfn.XLOOKUP($A3476,Load!$B:$B,Load!M:M,0,)</f>
        <v>Single Brand / Variety Flavors or Form</v>
      </c>
    </row>
    <row r="3477" spans="1:12" x14ac:dyDescent="0.25">
      <c r="B3477">
        <f>_xlfn.XLOOKUP($A3477,Load!$B:$B,Load!C:C,0,)</f>
        <v>0</v>
      </c>
      <c r="C3477">
        <f>_xlfn.XLOOKUP($A3477,Load!$B:$B,Load!D:D,0,)</f>
        <v>0</v>
      </c>
      <c r="D3477">
        <f>_xlfn.XLOOKUP($A3477,Load!$B:$B,Load!E:E,0,)</f>
        <v>0</v>
      </c>
      <c r="E3477">
        <f>_xlfn.XLOOKUP($A3477,Load!$B:$B,Load!F:F,0,)</f>
        <v>0</v>
      </c>
      <c r="F3477">
        <f>_xlfn.XLOOKUP($A3477,Load!$B:$B,Load!G:G,0,)</f>
        <v>0</v>
      </c>
      <c r="G3477">
        <f>_xlfn.XLOOKUP($A3477,Load!$B:$B,Load!H:H,0,)</f>
        <v>0</v>
      </c>
      <c r="H3477">
        <f>_xlfn.XLOOKUP($A3477,Load!$B:$B,Load!I:I,0,)</f>
        <v>0</v>
      </c>
      <c r="I3477">
        <f>_xlfn.XLOOKUP($A3477,Load!$B:$B,Load!J:J,0,)</f>
        <v>0</v>
      </c>
      <c r="J3477">
        <f>_xlfn.XLOOKUP($A3477,Load!$B:$B,Load!K:K,0,)</f>
        <v>0</v>
      </c>
      <c r="K3477">
        <f>_xlfn.XLOOKUP($A3477,Load!$B:$B,Load!L:L,0,)</f>
        <v>0</v>
      </c>
      <c r="L3477">
        <f>_xlfn.XLOOKUP($A3477,Load!$B:$B,Load!M:M,0,)</f>
        <v>0</v>
      </c>
    </row>
    <row r="3478" spans="1:12" x14ac:dyDescent="0.25">
      <c r="A3478" t="s">
        <v>252</v>
      </c>
      <c r="B3478" t="str">
        <f>_xlfn.XLOOKUP($A3478,Load!$B:$B,Load!C:C,0,)</f>
        <v>Skittles</v>
      </c>
      <c r="C3478" t="str">
        <f>_xlfn.XLOOKUP($A3478,Load!$B:$B,Load!D:D,0,)</f>
        <v>Non-Chocolate Candy Only</v>
      </c>
      <c r="D3478" t="str">
        <f>_xlfn.XLOOKUP($A3478,Load!$B:$B,Load!E:E,0,)</f>
        <v>Sour</v>
      </c>
      <c r="E3478" t="str">
        <f>_xlfn.XLOOKUP($A3478,Load!$B:$B,Load!F:F,0,)</f>
        <v>Candy Pieces / Bites</v>
      </c>
      <c r="F3478" t="str">
        <f>_xlfn.XLOOKUP($A3478,Load!$B:$B,Load!G:G,0,)</f>
        <v>Single Pack</v>
      </c>
      <c r="G3478" t="str">
        <f>_xlfn.XLOOKUP($A3478,Load!$B:$B,Load!H:H,0,)</f>
        <v>Laydown Bag</v>
      </c>
      <c r="H3478" t="str">
        <f>_xlfn.XLOOKUP($A3478,Load!$B:$B,Load!I:I,0,)</f>
        <v>Everyday Candy Shapes (like Original, Gummy bear, Fruit, Jewels, etc.)</v>
      </c>
      <c r="I3478" t="str">
        <f>_xlfn.XLOOKUP($A3478,Load!$B:$B,Load!J:J,0,)</f>
        <v>Seasonal Graphics (Like Bat, Ghost, Pumpkin, Fall Leaves, Eyeballs, etc.)</v>
      </c>
      <c r="J3478" t="str">
        <f>_xlfn.XLOOKUP($A3478,Load!$B:$B,Load!K:K,0,)</f>
        <v>Small Pieces (Tiny bite size candies)</v>
      </c>
      <c r="K3478" t="str">
        <f>_xlfn.XLOOKUP($A3478,Load!$B:$B,Load!L:L,0,)</f>
        <v>Unwrapped</v>
      </c>
      <c r="L3478" t="str">
        <f>_xlfn.XLOOKUP($A3478,Load!$B:$B,Load!M:M,0,)</f>
        <v>Single Brand / Variety Flavors or Form</v>
      </c>
    </row>
    <row r="3479" spans="1:12" x14ac:dyDescent="0.25">
      <c r="B3479">
        <f>_xlfn.XLOOKUP($A3479,Load!$B:$B,Load!C:C,0,)</f>
        <v>0</v>
      </c>
      <c r="C3479">
        <f>_xlfn.XLOOKUP($A3479,Load!$B:$B,Load!D:D,0,)</f>
        <v>0</v>
      </c>
      <c r="D3479">
        <f>_xlfn.XLOOKUP($A3479,Load!$B:$B,Load!E:E,0,)</f>
        <v>0</v>
      </c>
      <c r="E3479">
        <f>_xlfn.XLOOKUP($A3479,Load!$B:$B,Load!F:F,0,)</f>
        <v>0</v>
      </c>
      <c r="F3479">
        <f>_xlfn.XLOOKUP($A3479,Load!$B:$B,Load!G:G,0,)</f>
        <v>0</v>
      </c>
      <c r="G3479">
        <f>_xlfn.XLOOKUP($A3479,Load!$B:$B,Load!H:H,0,)</f>
        <v>0</v>
      </c>
      <c r="H3479">
        <f>_xlfn.XLOOKUP($A3479,Load!$B:$B,Load!I:I,0,)</f>
        <v>0</v>
      </c>
      <c r="I3479">
        <f>_xlfn.XLOOKUP($A3479,Load!$B:$B,Load!J:J,0,)</f>
        <v>0</v>
      </c>
      <c r="J3479">
        <f>_xlfn.XLOOKUP($A3479,Load!$B:$B,Load!K:K,0,)</f>
        <v>0</v>
      </c>
      <c r="K3479">
        <f>_xlfn.XLOOKUP($A3479,Load!$B:$B,Load!L:L,0,)</f>
        <v>0</v>
      </c>
      <c r="L3479">
        <f>_xlfn.XLOOKUP($A3479,Load!$B:$B,Load!M:M,0,)</f>
        <v>0</v>
      </c>
    </row>
    <row r="3480" spans="1:12" x14ac:dyDescent="0.25">
      <c r="B3480">
        <f>_xlfn.XLOOKUP($A3480,Load!$B:$B,Load!C:C,0,)</f>
        <v>0</v>
      </c>
      <c r="C3480">
        <f>_xlfn.XLOOKUP($A3480,Load!$B:$B,Load!D:D,0,)</f>
        <v>0</v>
      </c>
      <c r="D3480">
        <f>_xlfn.XLOOKUP($A3480,Load!$B:$B,Load!E:E,0,)</f>
        <v>0</v>
      </c>
      <c r="E3480">
        <f>_xlfn.XLOOKUP($A3480,Load!$B:$B,Load!F:F,0,)</f>
        <v>0</v>
      </c>
      <c r="F3480">
        <f>_xlfn.XLOOKUP($A3480,Load!$B:$B,Load!G:G,0,)</f>
        <v>0</v>
      </c>
      <c r="G3480">
        <f>_xlfn.XLOOKUP($A3480,Load!$B:$B,Load!H:H,0,)</f>
        <v>0</v>
      </c>
      <c r="H3480">
        <f>_xlfn.XLOOKUP($A3480,Load!$B:$B,Load!I:I,0,)</f>
        <v>0</v>
      </c>
      <c r="I3480">
        <f>_xlfn.XLOOKUP($A3480,Load!$B:$B,Load!J:J,0,)</f>
        <v>0</v>
      </c>
      <c r="J3480">
        <f>_xlfn.XLOOKUP($A3480,Load!$B:$B,Load!K:K,0,)</f>
        <v>0</v>
      </c>
      <c r="K3480">
        <f>_xlfn.XLOOKUP($A3480,Load!$B:$B,Load!L:L,0,)</f>
        <v>0</v>
      </c>
      <c r="L3480">
        <f>_xlfn.XLOOKUP($A3480,Load!$B:$B,Load!M:M,0,)</f>
        <v>0</v>
      </c>
    </row>
    <row r="3481" spans="1:12" x14ac:dyDescent="0.25">
      <c r="B3481">
        <f>_xlfn.XLOOKUP($A3481,Load!$B:$B,Load!C:C,0,)</f>
        <v>0</v>
      </c>
      <c r="C3481">
        <f>_xlfn.XLOOKUP($A3481,Load!$B:$B,Load!D:D,0,)</f>
        <v>0</v>
      </c>
      <c r="D3481">
        <f>_xlfn.XLOOKUP($A3481,Load!$B:$B,Load!E:E,0,)</f>
        <v>0</v>
      </c>
      <c r="E3481">
        <f>_xlfn.XLOOKUP($A3481,Load!$B:$B,Load!F:F,0,)</f>
        <v>0</v>
      </c>
      <c r="F3481">
        <f>_xlfn.XLOOKUP($A3481,Load!$B:$B,Load!G:G,0,)</f>
        <v>0</v>
      </c>
      <c r="G3481">
        <f>_xlfn.XLOOKUP($A3481,Load!$B:$B,Load!H:H,0,)</f>
        <v>0</v>
      </c>
      <c r="H3481">
        <f>_xlfn.XLOOKUP($A3481,Load!$B:$B,Load!I:I,0,)</f>
        <v>0</v>
      </c>
      <c r="I3481">
        <f>_xlfn.XLOOKUP($A3481,Load!$B:$B,Load!J:J,0,)</f>
        <v>0</v>
      </c>
      <c r="J3481">
        <f>_xlfn.XLOOKUP($A3481,Load!$B:$B,Load!K:K,0,)</f>
        <v>0</v>
      </c>
      <c r="K3481">
        <f>_xlfn.XLOOKUP($A3481,Load!$B:$B,Load!L:L,0,)</f>
        <v>0</v>
      </c>
      <c r="L3481">
        <f>_xlfn.XLOOKUP($A3481,Load!$B:$B,Load!M:M,0,)</f>
        <v>0</v>
      </c>
    </row>
    <row r="3482" spans="1:12" x14ac:dyDescent="0.25">
      <c r="A3482" t="s">
        <v>180</v>
      </c>
      <c r="B3482" t="str">
        <f>_xlfn.XLOOKUP($A3482,Load!$B:$B,Load!C:C,0,)</f>
        <v>Mars Variety Pack</v>
      </c>
      <c r="C3482" t="str">
        <f>_xlfn.XLOOKUP($A3482,Load!$B:$B,Load!D:D,0,)</f>
        <v>Mix of Chocolate and Non-Chocolate Candy</v>
      </c>
      <c r="D3482" t="str">
        <f>_xlfn.XLOOKUP($A3482,Load!$B:$B,Load!E:E,0,)</f>
        <v>Variety / Mixed Flavors (Fruity, Sour, Seasonal Flavors)</v>
      </c>
      <c r="E3482" t="str">
        <f>_xlfn.XLOOKUP($A3482,Load!$B:$B,Load!F:F,0,)</f>
        <v>Mixed / Combo Packs (Gummy, Chewy, Taffy, etc.)</v>
      </c>
      <c r="F3482" t="str">
        <f>_xlfn.XLOOKUP($A3482,Load!$B:$B,Load!G:G,0,)</f>
        <v>Large Multipack (More than 80 ct)</v>
      </c>
      <c r="G3482" t="str">
        <f>_xlfn.XLOOKUP($A3482,Load!$B:$B,Load!H:H,0,)</f>
        <v>Stand-Up Bag</v>
      </c>
      <c r="H3482" t="str">
        <f>_xlfn.XLOOKUP($A3482,Load!$B:$B,Load!I:I,0,)</f>
        <v>Everyday Candy Shapes (like Original, Gummy bear, Fruit, Jewels, etc.)</v>
      </c>
      <c r="I3482" t="str">
        <f>_xlfn.XLOOKUP($A3482,Load!$B:$B,Load!J:J,0,)</f>
        <v>Seasonal Graphics (Like Bat, Ghost, Pumpkin, Fall Leaves, Eyeballs, etc.)</v>
      </c>
      <c r="J3482" t="str">
        <f>_xlfn.XLOOKUP($A3482,Load!$B:$B,Load!K:K,0,)</f>
        <v>Fun Size / Treat Size</v>
      </c>
      <c r="K3482" t="str">
        <f>_xlfn.XLOOKUP($A3482,Load!$B:$B,Load!L:L,0,)</f>
        <v>Regular/Original Wrapping</v>
      </c>
      <c r="L3482" t="str">
        <f>_xlfn.XLOOKUP($A3482,Load!$B:$B,Load!M:M,0,)</f>
        <v>Multiple Brands / Variety Flavors or Form</v>
      </c>
    </row>
    <row r="3483" spans="1:12" x14ac:dyDescent="0.25">
      <c r="A3483" t="s">
        <v>214</v>
      </c>
      <c r="B3483" t="str">
        <f>_xlfn.XLOOKUP($A3483,Load!$B:$B,Load!C:C,0,)</f>
        <v>Mars Variety Pack</v>
      </c>
      <c r="C3483" t="str">
        <f>_xlfn.XLOOKUP($A3483,Load!$B:$B,Load!D:D,0,)</f>
        <v>Mix of Chocolate and Non-Chocolate Candy</v>
      </c>
      <c r="D3483" t="str">
        <f>_xlfn.XLOOKUP($A3483,Load!$B:$B,Load!E:E,0,)</f>
        <v>Variety / Mixed Flavors (Fruity, Sour, Seasonal Flavors)</v>
      </c>
      <c r="E3483" t="str">
        <f>_xlfn.XLOOKUP($A3483,Load!$B:$B,Load!F:F,0,)</f>
        <v>Mixed / Combo Packs (Gummy, Chewy, Taffy, etc.)</v>
      </c>
      <c r="F3483" t="str">
        <f>_xlfn.XLOOKUP($A3483,Load!$B:$B,Load!G:G,0,)</f>
        <v>Large Multipack (More than 80 ct)</v>
      </c>
      <c r="G3483" t="str">
        <f>_xlfn.XLOOKUP($A3483,Load!$B:$B,Load!H:H,0,)</f>
        <v>Stand-Up Bag</v>
      </c>
      <c r="H3483" t="str">
        <f>_xlfn.XLOOKUP($A3483,Load!$B:$B,Load!I:I,0,)</f>
        <v>Everyday Candy Shapes (like Original, Gummy bear, Fruit, Jewels, etc.)</v>
      </c>
      <c r="I3483" t="str">
        <f>_xlfn.XLOOKUP($A3483,Load!$B:$B,Load!J:J,0,)</f>
        <v>Seasonal Graphics (Like Bat, Ghost, Pumpkin, Fall Leaves, Eyeballs, etc.)</v>
      </c>
      <c r="J3483" t="str">
        <f>_xlfn.XLOOKUP($A3483,Load!$B:$B,Load!K:K,0,)</f>
        <v>Fun Size / Treat Size</v>
      </c>
      <c r="K3483" t="str">
        <f>_xlfn.XLOOKUP($A3483,Load!$B:$B,Load!L:L,0,)</f>
        <v>Regular/Original Wrapping</v>
      </c>
      <c r="L3483" t="str">
        <f>_xlfn.XLOOKUP($A3483,Load!$B:$B,Load!M:M,0,)</f>
        <v>Multiple Brands / Variety Flavors or Form</v>
      </c>
    </row>
    <row r="3484" spans="1:12" x14ac:dyDescent="0.25">
      <c r="A3484" t="s">
        <v>327</v>
      </c>
      <c r="B3484" t="str">
        <f>_xlfn.XLOOKUP($A3484,Load!$B:$B,Load!C:C,0,)</f>
        <v>Googly Eyes</v>
      </c>
      <c r="C3484" t="str">
        <f>_xlfn.XLOOKUP($A3484,Load!$B:$B,Load!D:D,0,)</f>
        <v>Non-Chocolate Candy Only</v>
      </c>
      <c r="D3484" t="str">
        <f>_xlfn.XLOOKUP($A3484,Load!$B:$B,Load!E:E,0,)</f>
        <v>Variety / Mixed Flavors (Fruity, Sour, Seasonal Flavors)</v>
      </c>
      <c r="E3484" t="str">
        <f>_xlfn.XLOOKUP($A3484,Load!$B:$B,Load!F:F,0,)</f>
        <v>Candy Pieces / Bites</v>
      </c>
      <c r="F3484" t="str">
        <f>_xlfn.XLOOKUP($A3484,Load!$B:$B,Load!G:G,0,)</f>
        <v>Small Multipack (Less than 40 ct)</v>
      </c>
      <c r="G3484" t="str">
        <f>_xlfn.XLOOKUP($A3484,Load!$B:$B,Load!H:H,0,)</f>
        <v>Plastic Cup / Container</v>
      </c>
      <c r="H3484" t="str">
        <f>_xlfn.XLOOKUP($A3484,Load!$B:$B,Load!I:I,0,)</f>
        <v>Seasonal Shapes (like pumpkins, candy corn, ghost, bats, etc.)</v>
      </c>
      <c r="I3484" t="str">
        <f>_xlfn.XLOOKUP($A3484,Load!$B:$B,Load!J:J,0,)</f>
        <v>Seasonal Graphics (Like Bat, Ghost, Pumpkin, Fall Leaves, Eyeballs, etc.)</v>
      </c>
      <c r="J3484" t="str">
        <f>_xlfn.XLOOKUP($A3484,Load!$B:$B,Load!K:K,0,)</f>
        <v>Fun Size / Treat Size</v>
      </c>
      <c r="K3484" t="str">
        <f>_xlfn.XLOOKUP($A3484,Load!$B:$B,Load!L:L,0,)</f>
        <v>Regular/Original Wrapping</v>
      </c>
      <c r="L3484" t="str">
        <f>_xlfn.XLOOKUP($A3484,Load!$B:$B,Load!M:M,0,)</f>
        <v>Single Brand / Variety Flavors or Form</v>
      </c>
    </row>
    <row r="3485" spans="1:12" x14ac:dyDescent="0.25">
      <c r="B3485">
        <f>_xlfn.XLOOKUP($A3485,Load!$B:$B,Load!C:C,0,)</f>
        <v>0</v>
      </c>
      <c r="C3485">
        <f>_xlfn.XLOOKUP($A3485,Load!$B:$B,Load!D:D,0,)</f>
        <v>0</v>
      </c>
      <c r="D3485">
        <f>_xlfn.XLOOKUP($A3485,Load!$B:$B,Load!E:E,0,)</f>
        <v>0</v>
      </c>
      <c r="E3485">
        <f>_xlfn.XLOOKUP($A3485,Load!$B:$B,Load!F:F,0,)</f>
        <v>0</v>
      </c>
      <c r="F3485">
        <f>_xlfn.XLOOKUP($A3485,Load!$B:$B,Load!G:G,0,)</f>
        <v>0</v>
      </c>
      <c r="G3485">
        <f>_xlfn.XLOOKUP($A3485,Load!$B:$B,Load!H:H,0,)</f>
        <v>0</v>
      </c>
      <c r="H3485">
        <f>_xlfn.XLOOKUP($A3485,Load!$B:$B,Load!I:I,0,)</f>
        <v>0</v>
      </c>
      <c r="I3485">
        <f>_xlfn.XLOOKUP($A3485,Load!$B:$B,Load!J:J,0,)</f>
        <v>0</v>
      </c>
      <c r="J3485">
        <f>_xlfn.XLOOKUP($A3485,Load!$B:$B,Load!K:K,0,)</f>
        <v>0</v>
      </c>
      <c r="K3485">
        <f>_xlfn.XLOOKUP($A3485,Load!$B:$B,Load!L:L,0,)</f>
        <v>0</v>
      </c>
      <c r="L3485">
        <f>_xlfn.XLOOKUP($A3485,Load!$B:$B,Load!M:M,0,)</f>
        <v>0</v>
      </c>
    </row>
    <row r="3486" spans="1:12" x14ac:dyDescent="0.25">
      <c r="A3486" t="s">
        <v>187</v>
      </c>
      <c r="B3486" t="str">
        <f>_xlfn.XLOOKUP($A3486,Load!$B:$B,Load!C:C,0,)</f>
        <v>Mars Variety Pack</v>
      </c>
      <c r="C3486" t="str">
        <f>_xlfn.XLOOKUP($A3486,Load!$B:$B,Load!D:D,0,)</f>
        <v>Mix of Chocolate and Non-Chocolate Candy</v>
      </c>
      <c r="D3486" t="str">
        <f>_xlfn.XLOOKUP($A3486,Load!$B:$B,Load!E:E,0,)</f>
        <v>Variety / Mixed Flavors (Fruity, Sour, Seasonal Flavors)</v>
      </c>
      <c r="E3486" t="str">
        <f>_xlfn.XLOOKUP($A3486,Load!$B:$B,Load!F:F,0,)</f>
        <v>Mixed / Combo Packs (Gummy, Chewy, Taffy, etc.)</v>
      </c>
      <c r="F3486" t="str">
        <f>_xlfn.XLOOKUP($A3486,Load!$B:$B,Load!G:G,0,)</f>
        <v>Medium Multipack (40–80 ct)</v>
      </c>
      <c r="G3486" t="str">
        <f>_xlfn.XLOOKUP($A3486,Load!$B:$B,Load!H:H,0,)</f>
        <v>Stand-Up Bag</v>
      </c>
      <c r="H3486" t="str">
        <f>_xlfn.XLOOKUP($A3486,Load!$B:$B,Load!I:I,0,)</f>
        <v>Everyday Candy Shapes (like Original, Gummy bear, Fruit, Jewels, etc.)</v>
      </c>
      <c r="I3486" t="str">
        <f>_xlfn.XLOOKUP($A3486,Load!$B:$B,Load!J:J,0,)</f>
        <v>Seasonal Graphics (Like Bat, Ghost, Pumpkin, Fall Leaves, Eyeballs, etc.)</v>
      </c>
      <c r="J3486" t="str">
        <f>_xlfn.XLOOKUP($A3486,Load!$B:$B,Load!K:K,0,)</f>
        <v>Fun Size / Treat Size</v>
      </c>
      <c r="K3486" t="str">
        <f>_xlfn.XLOOKUP($A3486,Load!$B:$B,Load!L:L,0,)</f>
        <v>Regular/Original Wrapping</v>
      </c>
      <c r="L3486" t="str">
        <f>_xlfn.XLOOKUP($A3486,Load!$B:$B,Load!M:M,0,)</f>
        <v>Multiple Brands / Variety Flavors or Form</v>
      </c>
    </row>
    <row r="3487" spans="1:12" x14ac:dyDescent="0.25">
      <c r="B3487">
        <f>_xlfn.XLOOKUP($A3487,Load!$B:$B,Load!C:C,0,)</f>
        <v>0</v>
      </c>
      <c r="C3487">
        <f>_xlfn.XLOOKUP($A3487,Load!$B:$B,Load!D:D,0,)</f>
        <v>0</v>
      </c>
      <c r="D3487">
        <f>_xlfn.XLOOKUP($A3487,Load!$B:$B,Load!E:E,0,)</f>
        <v>0</v>
      </c>
      <c r="E3487">
        <f>_xlfn.XLOOKUP($A3487,Load!$B:$B,Load!F:F,0,)</f>
        <v>0</v>
      </c>
      <c r="F3487">
        <f>_xlfn.XLOOKUP($A3487,Load!$B:$B,Load!G:G,0,)</f>
        <v>0</v>
      </c>
      <c r="G3487">
        <f>_xlfn.XLOOKUP($A3487,Load!$B:$B,Load!H:H,0,)</f>
        <v>0</v>
      </c>
      <c r="H3487">
        <f>_xlfn.XLOOKUP($A3487,Load!$B:$B,Load!I:I,0,)</f>
        <v>0</v>
      </c>
      <c r="I3487">
        <f>_xlfn.XLOOKUP($A3487,Load!$B:$B,Load!J:J,0,)</f>
        <v>0</v>
      </c>
      <c r="J3487">
        <f>_xlfn.XLOOKUP($A3487,Load!$B:$B,Load!K:K,0,)</f>
        <v>0</v>
      </c>
      <c r="K3487">
        <f>_xlfn.XLOOKUP($A3487,Load!$B:$B,Load!L:L,0,)</f>
        <v>0</v>
      </c>
      <c r="L3487">
        <f>_xlfn.XLOOKUP($A3487,Load!$B:$B,Load!M:M,0,)</f>
        <v>0</v>
      </c>
    </row>
    <row r="3488" spans="1:12" x14ac:dyDescent="0.25">
      <c r="A3488" t="s">
        <v>121</v>
      </c>
      <c r="B3488" t="str">
        <f>_xlfn.XLOOKUP($A3488,Load!$B:$B,Load!C:C,0,)</f>
        <v>HARIBO</v>
      </c>
      <c r="C3488" t="str">
        <f>_xlfn.XLOOKUP($A3488,Load!$B:$B,Load!D:D,0,)</f>
        <v>Non-Chocolate Candy Only</v>
      </c>
      <c r="D3488" t="str">
        <f>_xlfn.XLOOKUP($A3488,Load!$B:$B,Load!E:E,0,)</f>
        <v>Variety / Mixed Flavors (Fruity, Sour, Seasonal Flavors)</v>
      </c>
      <c r="E3488" t="str">
        <f>_xlfn.XLOOKUP($A3488,Load!$B:$B,Load!F:F,0,)</f>
        <v>Gummy</v>
      </c>
      <c r="F3488" t="str">
        <f>_xlfn.XLOOKUP($A3488,Load!$B:$B,Load!G:G,0,)</f>
        <v>Large Multipack (More than 80 ct)</v>
      </c>
      <c r="G3488" t="str">
        <f>_xlfn.XLOOKUP($A3488,Load!$B:$B,Load!H:H,0,)</f>
        <v>Stand-Up Bag</v>
      </c>
      <c r="H3488" t="str">
        <f>_xlfn.XLOOKUP($A3488,Load!$B:$B,Load!I:I,0,)</f>
        <v>Seasonal Shapes (like pumpkins, candy corn, ghost, bats, etc.)</v>
      </c>
      <c r="I3488" t="str">
        <f>_xlfn.XLOOKUP($A3488,Load!$B:$B,Load!J:J,0,)</f>
        <v>Seasonal Graphics (Like Bat, Ghost, Pumpkin, Fall Leaves, Eyeballs, etc.)</v>
      </c>
      <c r="J3488" t="str">
        <f>_xlfn.XLOOKUP($A3488,Load!$B:$B,Load!K:K,0,)</f>
        <v>Fun Size / Treat Size</v>
      </c>
      <c r="K3488" t="str">
        <f>_xlfn.XLOOKUP($A3488,Load!$B:$B,Load!L:L,0,)</f>
        <v>Regular/Original Wrapping</v>
      </c>
      <c r="L3488" t="str">
        <f>_xlfn.XLOOKUP($A3488,Load!$B:$B,Load!M:M,0,)</f>
        <v>Multiple Brands / Variety Flavors or Form</v>
      </c>
    </row>
    <row r="3489" spans="1:12" x14ac:dyDescent="0.25">
      <c r="B3489">
        <f>_xlfn.XLOOKUP($A3489,Load!$B:$B,Load!C:C,0,)</f>
        <v>0</v>
      </c>
      <c r="C3489">
        <f>_xlfn.XLOOKUP($A3489,Load!$B:$B,Load!D:D,0,)</f>
        <v>0</v>
      </c>
      <c r="D3489">
        <f>_xlfn.XLOOKUP($A3489,Load!$B:$B,Load!E:E,0,)</f>
        <v>0</v>
      </c>
      <c r="E3489">
        <f>_xlfn.XLOOKUP($A3489,Load!$B:$B,Load!F:F,0,)</f>
        <v>0</v>
      </c>
      <c r="F3489">
        <f>_xlfn.XLOOKUP($A3489,Load!$B:$B,Load!G:G,0,)</f>
        <v>0</v>
      </c>
      <c r="G3489">
        <f>_xlfn.XLOOKUP($A3489,Load!$B:$B,Load!H:H,0,)</f>
        <v>0</v>
      </c>
      <c r="H3489">
        <f>_xlfn.XLOOKUP($A3489,Load!$B:$B,Load!I:I,0,)</f>
        <v>0</v>
      </c>
      <c r="I3489">
        <f>_xlfn.XLOOKUP($A3489,Load!$B:$B,Load!J:J,0,)</f>
        <v>0</v>
      </c>
      <c r="J3489">
        <f>_xlfn.XLOOKUP($A3489,Load!$B:$B,Load!K:K,0,)</f>
        <v>0</v>
      </c>
      <c r="K3489">
        <f>_xlfn.XLOOKUP($A3489,Load!$B:$B,Load!L:L,0,)</f>
        <v>0</v>
      </c>
      <c r="L3489">
        <f>_xlfn.XLOOKUP($A3489,Load!$B:$B,Load!M:M,0,)</f>
        <v>0</v>
      </c>
    </row>
    <row r="3490" spans="1:12" x14ac:dyDescent="0.25">
      <c r="B3490">
        <f>_xlfn.XLOOKUP($A3490,Load!$B:$B,Load!C:C,0,)</f>
        <v>0</v>
      </c>
      <c r="C3490">
        <f>_xlfn.XLOOKUP($A3490,Load!$B:$B,Load!D:D,0,)</f>
        <v>0</v>
      </c>
      <c r="D3490">
        <f>_xlfn.XLOOKUP($A3490,Load!$B:$B,Load!E:E,0,)</f>
        <v>0</v>
      </c>
      <c r="E3490">
        <f>_xlfn.XLOOKUP($A3490,Load!$B:$B,Load!F:F,0,)</f>
        <v>0</v>
      </c>
      <c r="F3490">
        <f>_xlfn.XLOOKUP($A3490,Load!$B:$B,Load!G:G,0,)</f>
        <v>0</v>
      </c>
      <c r="G3490">
        <f>_xlfn.XLOOKUP($A3490,Load!$B:$B,Load!H:H,0,)</f>
        <v>0</v>
      </c>
      <c r="H3490">
        <f>_xlfn.XLOOKUP($A3490,Load!$B:$B,Load!I:I,0,)</f>
        <v>0</v>
      </c>
      <c r="I3490">
        <f>_xlfn.XLOOKUP($A3490,Load!$B:$B,Load!J:J,0,)</f>
        <v>0</v>
      </c>
      <c r="J3490">
        <f>_xlfn.XLOOKUP($A3490,Load!$B:$B,Load!K:K,0,)</f>
        <v>0</v>
      </c>
      <c r="K3490">
        <f>_xlfn.XLOOKUP($A3490,Load!$B:$B,Load!L:L,0,)</f>
        <v>0</v>
      </c>
      <c r="L3490">
        <f>_xlfn.XLOOKUP($A3490,Load!$B:$B,Load!M:M,0,)</f>
        <v>0</v>
      </c>
    </row>
    <row r="3491" spans="1:12" x14ac:dyDescent="0.25">
      <c r="B3491">
        <f>_xlfn.XLOOKUP($A3491,Load!$B:$B,Load!C:C,0,)</f>
        <v>0</v>
      </c>
      <c r="C3491">
        <f>_xlfn.XLOOKUP($A3491,Load!$B:$B,Load!D:D,0,)</f>
        <v>0</v>
      </c>
      <c r="D3491">
        <f>_xlfn.XLOOKUP($A3491,Load!$B:$B,Load!E:E,0,)</f>
        <v>0</v>
      </c>
      <c r="E3491">
        <f>_xlfn.XLOOKUP($A3491,Load!$B:$B,Load!F:F,0,)</f>
        <v>0</v>
      </c>
      <c r="F3491">
        <f>_xlfn.XLOOKUP($A3491,Load!$B:$B,Load!G:G,0,)</f>
        <v>0</v>
      </c>
      <c r="G3491">
        <f>_xlfn.XLOOKUP($A3491,Load!$B:$B,Load!H:H,0,)</f>
        <v>0</v>
      </c>
      <c r="H3491">
        <f>_xlfn.XLOOKUP($A3491,Load!$B:$B,Load!I:I,0,)</f>
        <v>0</v>
      </c>
      <c r="I3491">
        <f>_xlfn.XLOOKUP($A3491,Load!$B:$B,Load!J:J,0,)</f>
        <v>0</v>
      </c>
      <c r="J3491">
        <f>_xlfn.XLOOKUP($A3491,Load!$B:$B,Load!K:K,0,)</f>
        <v>0</v>
      </c>
      <c r="K3491">
        <f>_xlfn.XLOOKUP($A3491,Load!$B:$B,Load!L:L,0,)</f>
        <v>0</v>
      </c>
      <c r="L3491">
        <f>_xlfn.XLOOKUP($A3491,Load!$B:$B,Load!M:M,0,)</f>
        <v>0</v>
      </c>
    </row>
    <row r="3492" spans="1:12" x14ac:dyDescent="0.25">
      <c r="B3492">
        <f>_xlfn.XLOOKUP($A3492,Load!$B:$B,Load!C:C,0,)</f>
        <v>0</v>
      </c>
      <c r="C3492">
        <f>_xlfn.XLOOKUP($A3492,Load!$B:$B,Load!D:D,0,)</f>
        <v>0</v>
      </c>
      <c r="D3492">
        <f>_xlfn.XLOOKUP($A3492,Load!$B:$B,Load!E:E,0,)</f>
        <v>0</v>
      </c>
      <c r="E3492">
        <f>_xlfn.XLOOKUP($A3492,Load!$B:$B,Load!F:F,0,)</f>
        <v>0</v>
      </c>
      <c r="F3492">
        <f>_xlfn.XLOOKUP($A3492,Load!$B:$B,Load!G:G,0,)</f>
        <v>0</v>
      </c>
      <c r="G3492">
        <f>_xlfn.XLOOKUP($A3492,Load!$B:$B,Load!H:H,0,)</f>
        <v>0</v>
      </c>
      <c r="H3492">
        <f>_xlfn.XLOOKUP($A3492,Load!$B:$B,Load!I:I,0,)</f>
        <v>0</v>
      </c>
      <c r="I3492">
        <f>_xlfn.XLOOKUP($A3492,Load!$B:$B,Load!J:J,0,)</f>
        <v>0</v>
      </c>
      <c r="J3492">
        <f>_xlfn.XLOOKUP($A3492,Load!$B:$B,Load!K:K,0,)</f>
        <v>0</v>
      </c>
      <c r="K3492">
        <f>_xlfn.XLOOKUP($A3492,Load!$B:$B,Load!L:L,0,)</f>
        <v>0</v>
      </c>
      <c r="L3492">
        <f>_xlfn.XLOOKUP($A3492,Load!$B:$B,Load!M:M,0,)</f>
        <v>0</v>
      </c>
    </row>
    <row r="3493" spans="1:12" x14ac:dyDescent="0.25">
      <c r="B3493">
        <f>_xlfn.XLOOKUP($A3493,Load!$B:$B,Load!C:C,0,)</f>
        <v>0</v>
      </c>
      <c r="C3493">
        <f>_xlfn.XLOOKUP($A3493,Load!$B:$B,Load!D:D,0,)</f>
        <v>0</v>
      </c>
      <c r="D3493">
        <f>_xlfn.XLOOKUP($A3493,Load!$B:$B,Load!E:E,0,)</f>
        <v>0</v>
      </c>
      <c r="E3493">
        <f>_xlfn.XLOOKUP($A3493,Load!$B:$B,Load!F:F,0,)</f>
        <v>0</v>
      </c>
      <c r="F3493">
        <f>_xlfn.XLOOKUP($A3493,Load!$B:$B,Load!G:G,0,)</f>
        <v>0</v>
      </c>
      <c r="G3493">
        <f>_xlfn.XLOOKUP($A3493,Load!$B:$B,Load!H:H,0,)</f>
        <v>0</v>
      </c>
      <c r="H3493">
        <f>_xlfn.XLOOKUP($A3493,Load!$B:$B,Load!I:I,0,)</f>
        <v>0</v>
      </c>
      <c r="I3493">
        <f>_xlfn.XLOOKUP($A3493,Load!$B:$B,Load!J:J,0,)</f>
        <v>0</v>
      </c>
      <c r="J3493">
        <f>_xlfn.XLOOKUP($A3493,Load!$B:$B,Load!K:K,0,)</f>
        <v>0</v>
      </c>
      <c r="K3493">
        <f>_xlfn.XLOOKUP($A3493,Load!$B:$B,Load!L:L,0,)</f>
        <v>0</v>
      </c>
      <c r="L3493">
        <f>_xlfn.XLOOKUP($A3493,Load!$B:$B,Load!M:M,0,)</f>
        <v>0</v>
      </c>
    </row>
    <row r="3494" spans="1:12" x14ac:dyDescent="0.25">
      <c r="B3494">
        <f>_xlfn.XLOOKUP($A3494,Load!$B:$B,Load!C:C,0,)</f>
        <v>0</v>
      </c>
      <c r="C3494">
        <f>_xlfn.XLOOKUP($A3494,Load!$B:$B,Load!D:D,0,)</f>
        <v>0</v>
      </c>
      <c r="D3494">
        <f>_xlfn.XLOOKUP($A3494,Load!$B:$B,Load!E:E,0,)</f>
        <v>0</v>
      </c>
      <c r="E3494">
        <f>_xlfn.XLOOKUP($A3494,Load!$B:$B,Load!F:F,0,)</f>
        <v>0</v>
      </c>
      <c r="F3494">
        <f>_xlfn.XLOOKUP($A3494,Load!$B:$B,Load!G:G,0,)</f>
        <v>0</v>
      </c>
      <c r="G3494">
        <f>_xlfn.XLOOKUP($A3494,Load!$B:$B,Load!H:H,0,)</f>
        <v>0</v>
      </c>
      <c r="H3494">
        <f>_xlfn.XLOOKUP($A3494,Load!$B:$B,Load!I:I,0,)</f>
        <v>0</v>
      </c>
      <c r="I3494">
        <f>_xlfn.XLOOKUP($A3494,Load!$B:$B,Load!J:J,0,)</f>
        <v>0</v>
      </c>
      <c r="J3494">
        <f>_xlfn.XLOOKUP($A3494,Load!$B:$B,Load!K:K,0,)</f>
        <v>0</v>
      </c>
      <c r="K3494">
        <f>_xlfn.XLOOKUP($A3494,Load!$B:$B,Load!L:L,0,)</f>
        <v>0</v>
      </c>
      <c r="L3494">
        <f>_xlfn.XLOOKUP($A3494,Load!$B:$B,Load!M:M,0,)</f>
        <v>0</v>
      </c>
    </row>
    <row r="3495" spans="1:12" x14ac:dyDescent="0.25">
      <c r="B3495">
        <f>_xlfn.XLOOKUP($A3495,Load!$B:$B,Load!C:C,0,)</f>
        <v>0</v>
      </c>
      <c r="C3495">
        <f>_xlfn.XLOOKUP($A3495,Load!$B:$B,Load!D:D,0,)</f>
        <v>0</v>
      </c>
      <c r="D3495">
        <f>_xlfn.XLOOKUP($A3495,Load!$B:$B,Load!E:E,0,)</f>
        <v>0</v>
      </c>
      <c r="E3495">
        <f>_xlfn.XLOOKUP($A3495,Load!$B:$B,Load!F:F,0,)</f>
        <v>0</v>
      </c>
      <c r="F3495">
        <f>_xlfn.XLOOKUP($A3495,Load!$B:$B,Load!G:G,0,)</f>
        <v>0</v>
      </c>
      <c r="G3495">
        <f>_xlfn.XLOOKUP($A3495,Load!$B:$B,Load!H:H,0,)</f>
        <v>0</v>
      </c>
      <c r="H3495">
        <f>_xlfn.XLOOKUP($A3495,Load!$B:$B,Load!I:I,0,)</f>
        <v>0</v>
      </c>
      <c r="I3495">
        <f>_xlfn.XLOOKUP($A3495,Load!$B:$B,Load!J:J,0,)</f>
        <v>0</v>
      </c>
      <c r="J3495">
        <f>_xlfn.XLOOKUP($A3495,Load!$B:$B,Load!K:K,0,)</f>
        <v>0</v>
      </c>
      <c r="K3495">
        <f>_xlfn.XLOOKUP($A3495,Load!$B:$B,Load!L:L,0,)</f>
        <v>0</v>
      </c>
      <c r="L3495">
        <f>_xlfn.XLOOKUP($A3495,Load!$B:$B,Load!M:M,0,)</f>
        <v>0</v>
      </c>
    </row>
    <row r="3496" spans="1:12" x14ac:dyDescent="0.25">
      <c r="B3496">
        <f>_xlfn.XLOOKUP($A3496,Load!$B:$B,Load!C:C,0,)</f>
        <v>0</v>
      </c>
      <c r="C3496">
        <f>_xlfn.XLOOKUP($A3496,Load!$B:$B,Load!D:D,0,)</f>
        <v>0</v>
      </c>
      <c r="D3496">
        <f>_xlfn.XLOOKUP($A3496,Load!$B:$B,Load!E:E,0,)</f>
        <v>0</v>
      </c>
      <c r="E3496">
        <f>_xlfn.XLOOKUP($A3496,Load!$B:$B,Load!F:F,0,)</f>
        <v>0</v>
      </c>
      <c r="F3496">
        <f>_xlfn.XLOOKUP($A3496,Load!$B:$B,Load!G:G,0,)</f>
        <v>0</v>
      </c>
      <c r="G3496">
        <f>_xlfn.XLOOKUP($A3496,Load!$B:$B,Load!H:H,0,)</f>
        <v>0</v>
      </c>
      <c r="H3496">
        <f>_xlfn.XLOOKUP($A3496,Load!$B:$B,Load!I:I,0,)</f>
        <v>0</v>
      </c>
      <c r="I3496">
        <f>_xlfn.XLOOKUP($A3496,Load!$B:$B,Load!J:J,0,)</f>
        <v>0</v>
      </c>
      <c r="J3496">
        <f>_xlfn.XLOOKUP($A3496,Load!$B:$B,Load!K:K,0,)</f>
        <v>0</v>
      </c>
      <c r="K3496">
        <f>_xlfn.XLOOKUP($A3496,Load!$B:$B,Load!L:L,0,)</f>
        <v>0</v>
      </c>
      <c r="L3496">
        <f>_xlfn.XLOOKUP($A3496,Load!$B:$B,Load!M:M,0,)</f>
        <v>0</v>
      </c>
    </row>
    <row r="3497" spans="1:12" x14ac:dyDescent="0.25">
      <c r="B3497">
        <f>_xlfn.XLOOKUP($A3497,Load!$B:$B,Load!C:C,0,)</f>
        <v>0</v>
      </c>
      <c r="C3497">
        <f>_xlfn.XLOOKUP($A3497,Load!$B:$B,Load!D:D,0,)</f>
        <v>0</v>
      </c>
      <c r="D3497">
        <f>_xlfn.XLOOKUP($A3497,Load!$B:$B,Load!E:E,0,)</f>
        <v>0</v>
      </c>
      <c r="E3497">
        <f>_xlfn.XLOOKUP($A3497,Load!$B:$B,Load!F:F,0,)</f>
        <v>0</v>
      </c>
      <c r="F3497">
        <f>_xlfn.XLOOKUP($A3497,Load!$B:$B,Load!G:G,0,)</f>
        <v>0</v>
      </c>
      <c r="G3497">
        <f>_xlfn.XLOOKUP($A3497,Load!$B:$B,Load!H:H,0,)</f>
        <v>0</v>
      </c>
      <c r="H3497">
        <f>_xlfn.XLOOKUP($A3497,Load!$B:$B,Load!I:I,0,)</f>
        <v>0</v>
      </c>
      <c r="I3497">
        <f>_xlfn.XLOOKUP($A3497,Load!$B:$B,Load!J:J,0,)</f>
        <v>0</v>
      </c>
      <c r="J3497">
        <f>_xlfn.XLOOKUP($A3497,Load!$B:$B,Load!K:K,0,)</f>
        <v>0</v>
      </c>
      <c r="K3497">
        <f>_xlfn.XLOOKUP($A3497,Load!$B:$B,Load!L:L,0,)</f>
        <v>0</v>
      </c>
      <c r="L3497">
        <f>_xlfn.XLOOKUP($A3497,Load!$B:$B,Load!M:M,0,)</f>
        <v>0</v>
      </c>
    </row>
    <row r="3498" spans="1:12" x14ac:dyDescent="0.25">
      <c r="A3498" t="s">
        <v>150</v>
      </c>
      <c r="B3498" t="str">
        <f>_xlfn.XLOOKUP($A3498,Load!$B:$B,Load!C:C,0,)</f>
        <v>Jolly Rancher</v>
      </c>
      <c r="C3498" t="str">
        <f>_xlfn.XLOOKUP($A3498,Load!$B:$B,Load!D:D,0,)</f>
        <v>Non-Chocolate Candy Only</v>
      </c>
      <c r="D3498" t="str">
        <f>_xlfn.XLOOKUP($A3498,Load!$B:$B,Load!E:E,0,)</f>
        <v>Variety / Mixed Flavors (Fruity, Sour, Seasonal Flavors)</v>
      </c>
      <c r="E3498" t="str">
        <f>_xlfn.XLOOKUP($A3498,Load!$B:$B,Load!F:F,0,)</f>
        <v>Gummy</v>
      </c>
      <c r="F3498" t="str">
        <f>_xlfn.XLOOKUP($A3498,Load!$B:$B,Load!G:G,0,)</f>
        <v>Small Multipack (Less than 40 ct)</v>
      </c>
      <c r="G3498" t="str">
        <f>_xlfn.XLOOKUP($A3498,Load!$B:$B,Load!H:H,0,)</f>
        <v>Laydown Bag</v>
      </c>
      <c r="H3498" t="str">
        <f>_xlfn.XLOOKUP($A3498,Load!$B:$B,Load!I:I,0,)</f>
        <v>Everyday Candy Shapes (like Original, Gummy bear, Fruit, Jewels, etc.)</v>
      </c>
      <c r="I3498" t="str">
        <f>_xlfn.XLOOKUP($A3498,Load!$B:$B,Load!J:J,0,)</f>
        <v>Everyday Graphics</v>
      </c>
      <c r="J3498" t="str">
        <f>_xlfn.XLOOKUP($A3498,Load!$B:$B,Load!K:K,0,)</f>
        <v>Small Pieces (Tiny bite size candies)</v>
      </c>
      <c r="K3498" t="str">
        <f>_xlfn.XLOOKUP($A3498,Load!$B:$B,Load!L:L,0,)</f>
        <v>Regular/Original Wrapping</v>
      </c>
      <c r="L3498" t="str">
        <f>_xlfn.XLOOKUP($A3498,Load!$B:$B,Load!M:M,0,)</f>
        <v>Single Brand / Variety Flavors or Form</v>
      </c>
    </row>
    <row r="3499" spans="1:12" x14ac:dyDescent="0.25">
      <c r="A3499" t="s">
        <v>108</v>
      </c>
      <c r="B3499" t="str">
        <f>_xlfn.XLOOKUP($A3499,Load!$B:$B,Load!C:C,0,)</f>
        <v>Frankford</v>
      </c>
      <c r="C3499" t="str">
        <f>_xlfn.XLOOKUP($A3499,Load!$B:$B,Load!D:D,0,)</f>
        <v>Non-Chocolate Candy Only</v>
      </c>
      <c r="D3499" t="str">
        <f>_xlfn.XLOOKUP($A3499,Load!$B:$B,Load!E:E,0,)</f>
        <v>Fruit Flavor (Cherry, Grape, Apple, Citrus, Tropical Fruit)</v>
      </c>
      <c r="E3499" t="str">
        <f>_xlfn.XLOOKUP($A3499,Load!$B:$B,Load!F:F,0,)</f>
        <v>Gummy</v>
      </c>
      <c r="F3499" t="str">
        <f>_xlfn.XLOOKUP($A3499,Load!$B:$B,Load!G:G,0,)</f>
        <v>Small Multipack (Less than 40 ct)</v>
      </c>
      <c r="G3499" t="str">
        <f>_xlfn.XLOOKUP($A3499,Load!$B:$B,Load!H:H,0,)</f>
        <v>Laydown Bag</v>
      </c>
      <c r="H3499" t="str">
        <f>_xlfn.XLOOKUP($A3499,Load!$B:$B,Load!I:I,0,)</f>
        <v>Everyday Candy Shapes (like Original, Gummy bear, Fruit, Jewels, etc.)</v>
      </c>
      <c r="I3499" t="str">
        <f>_xlfn.XLOOKUP($A3499,Load!$B:$B,Load!J:J,0,)</f>
        <v>Seasonal Graphics (Like Bat, Ghost, Pumpkin, Fall Leaves, Eyeballs, etc.)</v>
      </c>
      <c r="J3499" t="str">
        <f>_xlfn.XLOOKUP($A3499,Load!$B:$B,Load!K:K,0,)</f>
        <v>Fun Size / Treat Size</v>
      </c>
      <c r="K3499" t="str">
        <f>_xlfn.XLOOKUP($A3499,Load!$B:$B,Load!L:L,0,)</f>
        <v>Regular/Original Wrapping</v>
      </c>
      <c r="L3499" t="str">
        <f>_xlfn.XLOOKUP($A3499,Load!$B:$B,Load!M:M,0,)</f>
        <v>Single Brand / Single Flavor or Form</v>
      </c>
    </row>
    <row r="3500" spans="1:12" x14ac:dyDescent="0.25">
      <c r="A3500" t="s">
        <v>187</v>
      </c>
      <c r="B3500" t="str">
        <f>_xlfn.XLOOKUP($A3500,Load!$B:$B,Load!C:C,0,)</f>
        <v>Mars Variety Pack</v>
      </c>
      <c r="C3500" t="str">
        <f>_xlfn.XLOOKUP($A3500,Load!$B:$B,Load!D:D,0,)</f>
        <v>Mix of Chocolate and Non-Chocolate Candy</v>
      </c>
      <c r="D3500" t="str">
        <f>_xlfn.XLOOKUP($A3500,Load!$B:$B,Load!E:E,0,)</f>
        <v>Variety / Mixed Flavors (Fruity, Sour, Seasonal Flavors)</v>
      </c>
      <c r="E3500" t="str">
        <f>_xlfn.XLOOKUP($A3500,Load!$B:$B,Load!F:F,0,)</f>
        <v>Mixed / Combo Packs (Gummy, Chewy, Taffy, etc.)</v>
      </c>
      <c r="F3500" t="str">
        <f>_xlfn.XLOOKUP($A3500,Load!$B:$B,Load!G:G,0,)</f>
        <v>Medium Multipack (40–80 ct)</v>
      </c>
      <c r="G3500" t="str">
        <f>_xlfn.XLOOKUP($A3500,Load!$B:$B,Load!H:H,0,)</f>
        <v>Stand-Up Bag</v>
      </c>
      <c r="H3500" t="str">
        <f>_xlfn.XLOOKUP($A3500,Load!$B:$B,Load!I:I,0,)</f>
        <v>Everyday Candy Shapes (like Original, Gummy bear, Fruit, Jewels, etc.)</v>
      </c>
      <c r="I3500" t="str">
        <f>_xlfn.XLOOKUP($A3500,Load!$B:$B,Load!J:J,0,)</f>
        <v>Seasonal Graphics (Like Bat, Ghost, Pumpkin, Fall Leaves, Eyeballs, etc.)</v>
      </c>
      <c r="J3500" t="str">
        <f>_xlfn.XLOOKUP($A3500,Load!$B:$B,Load!K:K,0,)</f>
        <v>Fun Size / Treat Size</v>
      </c>
      <c r="K3500" t="str">
        <f>_xlfn.XLOOKUP($A3500,Load!$B:$B,Load!L:L,0,)</f>
        <v>Regular/Original Wrapping</v>
      </c>
      <c r="L3500" t="str">
        <f>_xlfn.XLOOKUP($A3500,Load!$B:$B,Load!M:M,0,)</f>
        <v>Multiple Brands / Variety Flavors or Form</v>
      </c>
    </row>
    <row r="3501" spans="1:12" x14ac:dyDescent="0.25">
      <c r="B3501">
        <f>_xlfn.XLOOKUP($A3501,Load!$B:$B,Load!C:C,0,)</f>
        <v>0</v>
      </c>
      <c r="C3501">
        <f>_xlfn.XLOOKUP($A3501,Load!$B:$B,Load!D:D,0,)</f>
        <v>0</v>
      </c>
      <c r="D3501">
        <f>_xlfn.XLOOKUP($A3501,Load!$B:$B,Load!E:E,0,)</f>
        <v>0</v>
      </c>
      <c r="E3501">
        <f>_xlfn.XLOOKUP($A3501,Load!$B:$B,Load!F:F,0,)</f>
        <v>0</v>
      </c>
      <c r="F3501">
        <f>_xlfn.XLOOKUP($A3501,Load!$B:$B,Load!G:G,0,)</f>
        <v>0</v>
      </c>
      <c r="G3501">
        <f>_xlfn.XLOOKUP($A3501,Load!$B:$B,Load!H:H,0,)</f>
        <v>0</v>
      </c>
      <c r="H3501">
        <f>_xlfn.XLOOKUP($A3501,Load!$B:$B,Load!I:I,0,)</f>
        <v>0</v>
      </c>
      <c r="I3501">
        <f>_xlfn.XLOOKUP($A3501,Load!$B:$B,Load!J:J,0,)</f>
        <v>0</v>
      </c>
      <c r="J3501">
        <f>_xlfn.XLOOKUP($A3501,Load!$B:$B,Load!K:K,0,)</f>
        <v>0</v>
      </c>
      <c r="K3501">
        <f>_xlfn.XLOOKUP($A3501,Load!$B:$B,Load!L:L,0,)</f>
        <v>0</v>
      </c>
      <c r="L3501">
        <f>_xlfn.XLOOKUP($A3501,Load!$B:$B,Load!M:M,0,)</f>
        <v>0</v>
      </c>
    </row>
    <row r="3502" spans="1:12" x14ac:dyDescent="0.25">
      <c r="A3502" t="s">
        <v>108</v>
      </c>
      <c r="B3502" t="str">
        <f>_xlfn.XLOOKUP($A3502,Load!$B:$B,Load!C:C,0,)</f>
        <v>Frankford</v>
      </c>
      <c r="C3502" t="str">
        <f>_xlfn.XLOOKUP($A3502,Load!$B:$B,Load!D:D,0,)</f>
        <v>Non-Chocolate Candy Only</v>
      </c>
      <c r="D3502" t="str">
        <f>_xlfn.XLOOKUP($A3502,Load!$B:$B,Load!E:E,0,)</f>
        <v>Fruit Flavor (Cherry, Grape, Apple, Citrus, Tropical Fruit)</v>
      </c>
      <c r="E3502" t="str">
        <f>_xlfn.XLOOKUP($A3502,Load!$B:$B,Load!F:F,0,)</f>
        <v>Gummy</v>
      </c>
      <c r="F3502" t="str">
        <f>_xlfn.XLOOKUP($A3502,Load!$B:$B,Load!G:G,0,)</f>
        <v>Small Multipack (Less than 40 ct)</v>
      </c>
      <c r="G3502" t="str">
        <f>_xlfn.XLOOKUP($A3502,Load!$B:$B,Load!H:H,0,)</f>
        <v>Laydown Bag</v>
      </c>
      <c r="H3502" t="str">
        <f>_xlfn.XLOOKUP($A3502,Load!$B:$B,Load!I:I,0,)</f>
        <v>Everyday Candy Shapes (like Original, Gummy bear, Fruit, Jewels, etc.)</v>
      </c>
      <c r="I3502" t="str">
        <f>_xlfn.XLOOKUP($A3502,Load!$B:$B,Load!J:J,0,)</f>
        <v>Seasonal Graphics (Like Bat, Ghost, Pumpkin, Fall Leaves, Eyeballs, etc.)</v>
      </c>
      <c r="J3502" t="str">
        <f>_xlfn.XLOOKUP($A3502,Load!$B:$B,Load!K:K,0,)</f>
        <v>Fun Size / Treat Size</v>
      </c>
      <c r="K3502" t="str">
        <f>_xlfn.XLOOKUP($A3502,Load!$B:$B,Load!L:L,0,)</f>
        <v>Regular/Original Wrapping</v>
      </c>
      <c r="L3502" t="str">
        <f>_xlfn.XLOOKUP($A3502,Load!$B:$B,Load!M:M,0,)</f>
        <v>Single Brand / Single Flavor or Form</v>
      </c>
    </row>
    <row r="3503" spans="1:12" x14ac:dyDescent="0.25">
      <c r="A3503" t="s">
        <v>29</v>
      </c>
      <c r="B3503" t="str">
        <f>_xlfn.XLOOKUP($A3503,Load!$B:$B,Load!C:C,0,)</f>
        <v>AMOS</v>
      </c>
      <c r="C3503" t="str">
        <f>_xlfn.XLOOKUP($A3503,Load!$B:$B,Load!D:D,0,)</f>
        <v>Non-Chocolate Candy Only</v>
      </c>
      <c r="D3503" t="str">
        <f>_xlfn.XLOOKUP($A3503,Load!$B:$B,Load!E:E,0,)</f>
        <v>Fruit Flavor (Cherry, Grape, Apple, Citrus, Tropical Fruit)</v>
      </c>
      <c r="E3503" t="str">
        <f>_xlfn.XLOOKUP($A3503,Load!$B:$B,Load!F:F,0,)</f>
        <v>Gummy</v>
      </c>
      <c r="F3503" t="str">
        <f>_xlfn.XLOOKUP($A3503,Load!$B:$B,Load!G:G,0,)</f>
        <v>Single Pack</v>
      </c>
      <c r="G3503" t="str">
        <f>_xlfn.XLOOKUP($A3503,Load!$B:$B,Load!H:H,0,)</f>
        <v>Peg Bag</v>
      </c>
      <c r="H3503" t="str">
        <f>_xlfn.XLOOKUP($A3503,Load!$B:$B,Load!I:I,0,)</f>
        <v>Seasonal Shapes (like pumpkins, candy corn, ghost, bats, etc.)</v>
      </c>
      <c r="I3503" t="str">
        <f>_xlfn.XLOOKUP($A3503,Load!$B:$B,Load!J:J,0,)</f>
        <v>Seasonal Graphics (Like Bat, Ghost, Pumpkin, Fall Leaves, Eyeballs, etc.)</v>
      </c>
      <c r="J3503" t="str">
        <f>_xlfn.XLOOKUP($A3503,Load!$B:$B,Load!K:K,0,)</f>
        <v>Small Pieces (Tiny bite size candies)</v>
      </c>
      <c r="K3503" t="str">
        <f>_xlfn.XLOOKUP($A3503,Load!$B:$B,Load!L:L,0,)</f>
        <v>Unwrapped</v>
      </c>
      <c r="L3503" t="str">
        <f>_xlfn.XLOOKUP($A3503,Load!$B:$B,Load!M:M,0,)</f>
        <v>Single Brand / Single Flavor or Form</v>
      </c>
    </row>
    <row r="3504" spans="1:12" x14ac:dyDescent="0.25">
      <c r="B3504">
        <f>_xlfn.XLOOKUP($A3504,Load!$B:$B,Load!C:C,0,)</f>
        <v>0</v>
      </c>
      <c r="C3504">
        <f>_xlfn.XLOOKUP($A3504,Load!$B:$B,Load!D:D,0,)</f>
        <v>0</v>
      </c>
      <c r="D3504">
        <f>_xlfn.XLOOKUP($A3504,Load!$B:$B,Load!E:E,0,)</f>
        <v>0</v>
      </c>
      <c r="E3504">
        <f>_xlfn.XLOOKUP($A3504,Load!$B:$B,Load!F:F,0,)</f>
        <v>0</v>
      </c>
      <c r="F3504">
        <f>_xlfn.XLOOKUP($A3504,Load!$B:$B,Load!G:G,0,)</f>
        <v>0</v>
      </c>
      <c r="G3504">
        <f>_xlfn.XLOOKUP($A3504,Load!$B:$B,Load!H:H,0,)</f>
        <v>0</v>
      </c>
      <c r="H3504">
        <f>_xlfn.XLOOKUP($A3504,Load!$B:$B,Load!I:I,0,)</f>
        <v>0</v>
      </c>
      <c r="I3504">
        <f>_xlfn.XLOOKUP($A3504,Load!$B:$B,Load!J:J,0,)</f>
        <v>0</v>
      </c>
      <c r="J3504">
        <f>_xlfn.XLOOKUP($A3504,Load!$B:$B,Load!K:K,0,)</f>
        <v>0</v>
      </c>
      <c r="K3504">
        <f>_xlfn.XLOOKUP($A3504,Load!$B:$B,Load!L:L,0,)</f>
        <v>0</v>
      </c>
      <c r="L3504">
        <f>_xlfn.XLOOKUP($A3504,Load!$B:$B,Load!M:M,0,)</f>
        <v>0</v>
      </c>
    </row>
    <row r="3505" spans="1:12" x14ac:dyDescent="0.25">
      <c r="B3505">
        <f>_xlfn.XLOOKUP($A3505,Load!$B:$B,Load!C:C,0,)</f>
        <v>0</v>
      </c>
      <c r="C3505">
        <f>_xlfn.XLOOKUP($A3505,Load!$B:$B,Load!D:D,0,)</f>
        <v>0</v>
      </c>
      <c r="D3505">
        <f>_xlfn.XLOOKUP($A3505,Load!$B:$B,Load!E:E,0,)</f>
        <v>0</v>
      </c>
      <c r="E3505">
        <f>_xlfn.XLOOKUP($A3505,Load!$B:$B,Load!F:F,0,)</f>
        <v>0</v>
      </c>
      <c r="F3505">
        <f>_xlfn.XLOOKUP($A3505,Load!$B:$B,Load!G:G,0,)</f>
        <v>0</v>
      </c>
      <c r="G3505">
        <f>_xlfn.XLOOKUP($A3505,Load!$B:$B,Load!H:H,0,)</f>
        <v>0</v>
      </c>
      <c r="H3505">
        <f>_xlfn.XLOOKUP($A3505,Load!$B:$B,Load!I:I,0,)</f>
        <v>0</v>
      </c>
      <c r="I3505">
        <f>_xlfn.XLOOKUP($A3505,Load!$B:$B,Load!J:J,0,)</f>
        <v>0</v>
      </c>
      <c r="J3505">
        <f>_xlfn.XLOOKUP($A3505,Load!$B:$B,Load!K:K,0,)</f>
        <v>0</v>
      </c>
      <c r="K3505">
        <f>_xlfn.XLOOKUP($A3505,Load!$B:$B,Load!L:L,0,)</f>
        <v>0</v>
      </c>
      <c r="L3505">
        <f>_xlfn.XLOOKUP($A3505,Load!$B:$B,Load!M:M,0,)</f>
        <v>0</v>
      </c>
    </row>
    <row r="3506" spans="1:12" x14ac:dyDescent="0.25">
      <c r="B3506">
        <f>_xlfn.XLOOKUP($A3506,Load!$B:$B,Load!C:C,0,)</f>
        <v>0</v>
      </c>
      <c r="C3506">
        <f>_xlfn.XLOOKUP($A3506,Load!$B:$B,Load!D:D,0,)</f>
        <v>0</v>
      </c>
      <c r="D3506">
        <f>_xlfn.XLOOKUP($A3506,Load!$B:$B,Load!E:E,0,)</f>
        <v>0</v>
      </c>
      <c r="E3506">
        <f>_xlfn.XLOOKUP($A3506,Load!$B:$B,Load!F:F,0,)</f>
        <v>0</v>
      </c>
      <c r="F3506">
        <f>_xlfn.XLOOKUP($A3506,Load!$B:$B,Load!G:G,0,)</f>
        <v>0</v>
      </c>
      <c r="G3506">
        <f>_xlfn.XLOOKUP($A3506,Load!$B:$B,Load!H:H,0,)</f>
        <v>0</v>
      </c>
      <c r="H3506">
        <f>_xlfn.XLOOKUP($A3506,Load!$B:$B,Load!I:I,0,)</f>
        <v>0</v>
      </c>
      <c r="I3506">
        <f>_xlfn.XLOOKUP($A3506,Load!$B:$B,Load!J:J,0,)</f>
        <v>0</v>
      </c>
      <c r="J3506">
        <f>_xlfn.XLOOKUP($A3506,Load!$B:$B,Load!K:K,0,)</f>
        <v>0</v>
      </c>
      <c r="K3506">
        <f>_xlfn.XLOOKUP($A3506,Load!$B:$B,Load!L:L,0,)</f>
        <v>0</v>
      </c>
      <c r="L3506">
        <f>_xlfn.XLOOKUP($A3506,Load!$B:$B,Load!M:M,0,)</f>
        <v>0</v>
      </c>
    </row>
    <row r="3507" spans="1:12" x14ac:dyDescent="0.25">
      <c r="B3507">
        <f>_xlfn.XLOOKUP($A3507,Load!$B:$B,Load!C:C,0,)</f>
        <v>0</v>
      </c>
      <c r="C3507">
        <f>_xlfn.XLOOKUP($A3507,Load!$B:$B,Load!D:D,0,)</f>
        <v>0</v>
      </c>
      <c r="D3507">
        <f>_xlfn.XLOOKUP($A3507,Load!$B:$B,Load!E:E,0,)</f>
        <v>0</v>
      </c>
      <c r="E3507">
        <f>_xlfn.XLOOKUP($A3507,Load!$B:$B,Load!F:F,0,)</f>
        <v>0</v>
      </c>
      <c r="F3507">
        <f>_xlfn.XLOOKUP($A3507,Load!$B:$B,Load!G:G,0,)</f>
        <v>0</v>
      </c>
      <c r="G3507">
        <f>_xlfn.XLOOKUP($A3507,Load!$B:$B,Load!H:H,0,)</f>
        <v>0</v>
      </c>
      <c r="H3507">
        <f>_xlfn.XLOOKUP($A3507,Load!$B:$B,Load!I:I,0,)</f>
        <v>0</v>
      </c>
      <c r="I3507">
        <f>_xlfn.XLOOKUP($A3507,Load!$B:$B,Load!J:J,0,)</f>
        <v>0</v>
      </c>
      <c r="J3507">
        <f>_xlfn.XLOOKUP($A3507,Load!$B:$B,Load!K:K,0,)</f>
        <v>0</v>
      </c>
      <c r="K3507">
        <f>_xlfn.XLOOKUP($A3507,Load!$B:$B,Load!L:L,0,)</f>
        <v>0</v>
      </c>
      <c r="L3507">
        <f>_xlfn.XLOOKUP($A3507,Load!$B:$B,Load!M:M,0,)</f>
        <v>0</v>
      </c>
    </row>
    <row r="3508" spans="1:12" x14ac:dyDescent="0.25">
      <c r="B3508">
        <f>_xlfn.XLOOKUP($A3508,Load!$B:$B,Load!C:C,0,)</f>
        <v>0</v>
      </c>
      <c r="C3508">
        <f>_xlfn.XLOOKUP($A3508,Load!$B:$B,Load!D:D,0,)</f>
        <v>0</v>
      </c>
      <c r="D3508">
        <f>_xlfn.XLOOKUP($A3508,Load!$B:$B,Load!E:E,0,)</f>
        <v>0</v>
      </c>
      <c r="E3508">
        <f>_xlfn.XLOOKUP($A3508,Load!$B:$B,Load!F:F,0,)</f>
        <v>0</v>
      </c>
      <c r="F3508">
        <f>_xlfn.XLOOKUP($A3508,Load!$B:$B,Load!G:G,0,)</f>
        <v>0</v>
      </c>
      <c r="G3508">
        <f>_xlfn.XLOOKUP($A3508,Load!$B:$B,Load!H:H,0,)</f>
        <v>0</v>
      </c>
      <c r="H3508">
        <f>_xlfn.XLOOKUP($A3508,Load!$B:$B,Load!I:I,0,)</f>
        <v>0</v>
      </c>
      <c r="I3508">
        <f>_xlfn.XLOOKUP($A3508,Load!$B:$B,Load!J:J,0,)</f>
        <v>0</v>
      </c>
      <c r="J3508">
        <f>_xlfn.XLOOKUP($A3508,Load!$B:$B,Load!K:K,0,)</f>
        <v>0</v>
      </c>
      <c r="K3508">
        <f>_xlfn.XLOOKUP($A3508,Load!$B:$B,Load!L:L,0,)</f>
        <v>0</v>
      </c>
      <c r="L3508">
        <f>_xlfn.XLOOKUP($A3508,Load!$B:$B,Load!M:M,0,)</f>
        <v>0</v>
      </c>
    </row>
    <row r="3509" spans="1:12" x14ac:dyDescent="0.25">
      <c r="B3509">
        <f>_xlfn.XLOOKUP($A3509,Load!$B:$B,Load!C:C,0,)</f>
        <v>0</v>
      </c>
      <c r="C3509">
        <f>_xlfn.XLOOKUP($A3509,Load!$B:$B,Load!D:D,0,)</f>
        <v>0</v>
      </c>
      <c r="D3509">
        <f>_xlfn.XLOOKUP($A3509,Load!$B:$B,Load!E:E,0,)</f>
        <v>0</v>
      </c>
      <c r="E3509">
        <f>_xlfn.XLOOKUP($A3509,Load!$B:$B,Load!F:F,0,)</f>
        <v>0</v>
      </c>
      <c r="F3509">
        <f>_xlfn.XLOOKUP($A3509,Load!$B:$B,Load!G:G,0,)</f>
        <v>0</v>
      </c>
      <c r="G3509">
        <f>_xlfn.XLOOKUP($A3509,Load!$B:$B,Load!H:H,0,)</f>
        <v>0</v>
      </c>
      <c r="H3509">
        <f>_xlfn.XLOOKUP($A3509,Load!$B:$B,Load!I:I,0,)</f>
        <v>0</v>
      </c>
      <c r="I3509">
        <f>_xlfn.XLOOKUP($A3509,Load!$B:$B,Load!J:J,0,)</f>
        <v>0</v>
      </c>
      <c r="J3509">
        <f>_xlfn.XLOOKUP($A3509,Load!$B:$B,Load!K:K,0,)</f>
        <v>0</v>
      </c>
      <c r="K3509">
        <f>_xlfn.XLOOKUP($A3509,Load!$B:$B,Load!L:L,0,)</f>
        <v>0</v>
      </c>
      <c r="L3509">
        <f>_xlfn.XLOOKUP($A3509,Load!$B:$B,Load!M:M,0,)</f>
        <v>0</v>
      </c>
    </row>
    <row r="3510" spans="1:12" x14ac:dyDescent="0.25">
      <c r="B3510">
        <f>_xlfn.XLOOKUP($A3510,Load!$B:$B,Load!C:C,0,)</f>
        <v>0</v>
      </c>
      <c r="C3510">
        <f>_xlfn.XLOOKUP($A3510,Load!$B:$B,Load!D:D,0,)</f>
        <v>0</v>
      </c>
      <c r="D3510">
        <f>_xlfn.XLOOKUP($A3510,Load!$B:$B,Load!E:E,0,)</f>
        <v>0</v>
      </c>
      <c r="E3510">
        <f>_xlfn.XLOOKUP($A3510,Load!$B:$B,Load!F:F,0,)</f>
        <v>0</v>
      </c>
      <c r="F3510">
        <f>_xlfn.XLOOKUP($A3510,Load!$B:$B,Load!G:G,0,)</f>
        <v>0</v>
      </c>
      <c r="G3510">
        <f>_xlfn.XLOOKUP($A3510,Load!$B:$B,Load!H:H,0,)</f>
        <v>0</v>
      </c>
      <c r="H3510">
        <f>_xlfn.XLOOKUP($A3510,Load!$B:$B,Load!I:I,0,)</f>
        <v>0</v>
      </c>
      <c r="I3510">
        <f>_xlfn.XLOOKUP($A3510,Load!$B:$B,Load!J:J,0,)</f>
        <v>0</v>
      </c>
      <c r="J3510">
        <f>_xlfn.XLOOKUP($A3510,Load!$B:$B,Load!K:K,0,)</f>
        <v>0</v>
      </c>
      <c r="K3510">
        <f>_xlfn.XLOOKUP($A3510,Load!$B:$B,Load!L:L,0,)</f>
        <v>0</v>
      </c>
      <c r="L3510">
        <f>_xlfn.XLOOKUP($A3510,Load!$B:$B,Load!M:M,0,)</f>
        <v>0</v>
      </c>
    </row>
    <row r="3511" spans="1:12" x14ac:dyDescent="0.25">
      <c r="B3511">
        <f>_xlfn.XLOOKUP($A3511,Load!$B:$B,Load!C:C,0,)</f>
        <v>0</v>
      </c>
      <c r="C3511">
        <f>_xlfn.XLOOKUP($A3511,Load!$B:$B,Load!D:D,0,)</f>
        <v>0</v>
      </c>
      <c r="D3511">
        <f>_xlfn.XLOOKUP($A3511,Load!$B:$B,Load!E:E,0,)</f>
        <v>0</v>
      </c>
      <c r="E3511">
        <f>_xlfn.XLOOKUP($A3511,Load!$B:$B,Load!F:F,0,)</f>
        <v>0</v>
      </c>
      <c r="F3511">
        <f>_xlfn.XLOOKUP($A3511,Load!$B:$B,Load!G:G,0,)</f>
        <v>0</v>
      </c>
      <c r="G3511">
        <f>_xlfn.XLOOKUP($A3511,Load!$B:$B,Load!H:H,0,)</f>
        <v>0</v>
      </c>
      <c r="H3511">
        <f>_xlfn.XLOOKUP($A3511,Load!$B:$B,Load!I:I,0,)</f>
        <v>0</v>
      </c>
      <c r="I3511">
        <f>_xlfn.XLOOKUP($A3511,Load!$B:$B,Load!J:J,0,)</f>
        <v>0</v>
      </c>
      <c r="J3511">
        <f>_xlfn.XLOOKUP($A3511,Load!$B:$B,Load!K:K,0,)</f>
        <v>0</v>
      </c>
      <c r="K3511">
        <f>_xlfn.XLOOKUP($A3511,Load!$B:$B,Load!L:L,0,)</f>
        <v>0</v>
      </c>
      <c r="L3511">
        <f>_xlfn.XLOOKUP($A3511,Load!$B:$B,Load!M:M,0,)</f>
        <v>0</v>
      </c>
    </row>
    <row r="3512" spans="1:12" x14ac:dyDescent="0.25">
      <c r="A3512" t="s">
        <v>253</v>
      </c>
      <c r="B3512" t="str">
        <f>_xlfn.XLOOKUP($A3512,Load!$B:$B,Load!C:C,0,)</f>
        <v>Skittles</v>
      </c>
      <c r="C3512" t="str">
        <f>_xlfn.XLOOKUP($A3512,Load!$B:$B,Load!D:D,0,)</f>
        <v>Non-Chocolate Candy Only</v>
      </c>
      <c r="D3512" t="str">
        <f>_xlfn.XLOOKUP($A3512,Load!$B:$B,Load!E:E,0,)</f>
        <v>Variety / Mixed Flavors (Fruity, Sour, Seasonal Flavors)</v>
      </c>
      <c r="E3512" t="str">
        <f>_xlfn.XLOOKUP($A3512,Load!$B:$B,Load!F:F,0,)</f>
        <v>Mixed / Combo Packs (Gummy, Chewy, Taffy, etc.)</v>
      </c>
      <c r="F3512" t="str">
        <f>_xlfn.XLOOKUP($A3512,Load!$B:$B,Load!G:G,0,)</f>
        <v>Medium Multipack (40–80 ct)</v>
      </c>
      <c r="G3512" t="str">
        <f>_xlfn.XLOOKUP($A3512,Load!$B:$B,Load!H:H,0,)</f>
        <v>Stand-Up Bag</v>
      </c>
      <c r="H3512" t="str">
        <f>_xlfn.XLOOKUP($A3512,Load!$B:$B,Load!I:I,0,)</f>
        <v>Everyday Candy Shapes (like Original, Gummy bear, Fruit, Jewels, etc.)</v>
      </c>
      <c r="I3512" t="str">
        <f>_xlfn.XLOOKUP($A3512,Load!$B:$B,Load!J:J,0,)</f>
        <v>Seasonal Graphics (Like Bat, Ghost, Pumpkin, Fall Leaves, Eyeballs, etc.)</v>
      </c>
      <c r="J3512" t="str">
        <f>_xlfn.XLOOKUP($A3512,Load!$B:$B,Load!K:K,0,)</f>
        <v>Small Pieces (Tiny bite size candies)</v>
      </c>
      <c r="K3512" t="str">
        <f>_xlfn.XLOOKUP($A3512,Load!$B:$B,Load!L:L,0,)</f>
        <v>Regular/Original Wrapping</v>
      </c>
      <c r="L3512" t="str">
        <f>_xlfn.XLOOKUP($A3512,Load!$B:$B,Load!M:M,0,)</f>
        <v>Single Brand / Variety Flavors or Form</v>
      </c>
    </row>
    <row r="3513" spans="1:12" x14ac:dyDescent="0.25">
      <c r="A3513" t="s">
        <v>233</v>
      </c>
      <c r="B3513" t="str">
        <f>_xlfn.XLOOKUP($A3513,Load!$B:$B,Load!C:C,0,)</f>
        <v>Nerds</v>
      </c>
      <c r="C3513" t="str">
        <f>_xlfn.XLOOKUP($A3513,Load!$B:$B,Load!D:D,0,)</f>
        <v>Non-Chocolate Candy Only</v>
      </c>
      <c r="D3513" t="str">
        <f>_xlfn.XLOOKUP($A3513,Load!$B:$B,Load!E:E,0,)</f>
        <v>Variety / Mixed Flavors (Fruity, Sour, Seasonal Flavors)</v>
      </c>
      <c r="E3513" t="str">
        <f>_xlfn.XLOOKUP($A3513,Load!$B:$B,Load!F:F,0,)</f>
        <v>Mixed / Combo Packs (Gummy, Chewy, Taffy, etc.)</v>
      </c>
      <c r="F3513" t="str">
        <f>_xlfn.XLOOKUP($A3513,Load!$B:$B,Load!G:G,0,)</f>
        <v>Large Multipack (More than 80 ct)</v>
      </c>
      <c r="G3513" t="str">
        <f>_xlfn.XLOOKUP($A3513,Load!$B:$B,Load!H:H,0,)</f>
        <v>Stand-Up Bag</v>
      </c>
      <c r="H3513" t="str">
        <f>_xlfn.XLOOKUP($A3513,Load!$B:$B,Load!I:I,0,)</f>
        <v>Everyday Candy Shapes (like Original, Gummy bear, Fruit, Jewels, etc.)</v>
      </c>
      <c r="I3513" t="str">
        <f>_xlfn.XLOOKUP($A3513,Load!$B:$B,Load!J:J,0,)</f>
        <v>Everyday Graphics</v>
      </c>
      <c r="J3513" t="str">
        <f>_xlfn.XLOOKUP($A3513,Load!$B:$B,Load!K:K,0,)</f>
        <v>Small Pieces (Tiny bite size candies)</v>
      </c>
      <c r="K3513" t="str">
        <f>_xlfn.XLOOKUP($A3513,Load!$B:$B,Load!L:L,0,)</f>
        <v>Regular/Original Wrapping</v>
      </c>
      <c r="L3513" t="str">
        <f>_xlfn.XLOOKUP($A3513,Load!$B:$B,Load!M:M,0,)</f>
        <v>Single Brand / Variety Flavors or Form</v>
      </c>
    </row>
    <row r="3514" spans="1:12" x14ac:dyDescent="0.25">
      <c r="A3514" t="s">
        <v>71</v>
      </c>
      <c r="B3514" t="str">
        <f>_xlfn.XLOOKUP($A3514,Load!$B:$B,Load!C:C,0,)</f>
        <v>Dum Dums</v>
      </c>
      <c r="C3514" t="str">
        <f>_xlfn.XLOOKUP($A3514,Load!$B:$B,Load!D:D,0,)</f>
        <v>Non-Chocolate Candy Only</v>
      </c>
      <c r="D3514" t="str">
        <f>_xlfn.XLOOKUP($A3514,Load!$B:$B,Load!E:E,0,)</f>
        <v>Sweet</v>
      </c>
      <c r="E3514" t="str">
        <f>_xlfn.XLOOKUP($A3514,Load!$B:$B,Load!F:F,0,)</f>
        <v>Lollipop (regular or lollipop rings)</v>
      </c>
      <c r="F3514" t="str">
        <f>_xlfn.XLOOKUP($A3514,Load!$B:$B,Load!G:G,0,)</f>
        <v>Large Multipack (More than 80 ct)</v>
      </c>
      <c r="G3514" t="str">
        <f>_xlfn.XLOOKUP($A3514,Load!$B:$B,Load!H:H,0,)</f>
        <v>Stand-Up Bag</v>
      </c>
      <c r="H3514" t="str">
        <f>_xlfn.XLOOKUP($A3514,Load!$B:$B,Load!I:I,0,)</f>
        <v>Everyday Candy Shapes (like Original, Gummy bear, Fruit, Jewels, etc.)</v>
      </c>
      <c r="I3514" t="str">
        <f>_xlfn.XLOOKUP($A3514,Load!$B:$B,Load!J:J,0,)</f>
        <v>Seasonal Graphics (Like Bat, Ghost, Pumpkin, Fall Leaves, Eyeballs, etc.)</v>
      </c>
      <c r="J3514" t="str">
        <f>_xlfn.XLOOKUP($A3514,Load!$B:$B,Load!K:K,0,)</f>
        <v>Regular Lollipop size (on sticks or rings)</v>
      </c>
      <c r="K3514" t="str">
        <f>_xlfn.XLOOKUP($A3514,Load!$B:$B,Load!L:L,0,)</f>
        <v>Regular/Original Wrapping</v>
      </c>
      <c r="L3514" t="str">
        <f>_xlfn.XLOOKUP($A3514,Load!$B:$B,Load!M:M,0,)</f>
        <v>Multiple Brands / Variety Flavors or Form</v>
      </c>
    </row>
    <row r="3515" spans="1:12" x14ac:dyDescent="0.25">
      <c r="A3515" t="s">
        <v>181</v>
      </c>
      <c r="B3515" t="str">
        <f>_xlfn.XLOOKUP($A3515,Load!$B:$B,Load!C:C,0,)</f>
        <v>Mars Variety Pack</v>
      </c>
      <c r="C3515" t="str">
        <f>_xlfn.XLOOKUP($A3515,Load!$B:$B,Load!D:D,0,)</f>
        <v>Mix of Chocolate and Non-Chocolate Candy</v>
      </c>
      <c r="D3515" t="str">
        <f>_xlfn.XLOOKUP($A3515,Load!$B:$B,Load!E:E,0,)</f>
        <v>Variety / Mixed Flavors (Fruity, Sour, Seasonal Flavors)</v>
      </c>
      <c r="E3515" t="str">
        <f>_xlfn.XLOOKUP($A3515,Load!$B:$B,Load!F:F,0,)</f>
        <v>Mixed / Combo Packs (Gummy, Chewy, Taffy, etc.)</v>
      </c>
      <c r="F3515" t="str">
        <f>_xlfn.XLOOKUP($A3515,Load!$B:$B,Load!G:G,0,)</f>
        <v>Large Multipack (More than 80 ct)</v>
      </c>
      <c r="G3515" t="str">
        <f>_xlfn.XLOOKUP($A3515,Load!$B:$B,Load!H:H,0,)</f>
        <v>Stand-Up Bag</v>
      </c>
      <c r="H3515" t="str">
        <f>_xlfn.XLOOKUP($A3515,Load!$B:$B,Load!I:I,0,)</f>
        <v>Everyday Candy Shapes (like Original, Gummy bear, Fruit, Jewels, etc.)</v>
      </c>
      <c r="I3515" t="str">
        <f>_xlfn.XLOOKUP($A3515,Load!$B:$B,Load!J:J,0,)</f>
        <v>Seasonal Graphics (Like Bat, Ghost, Pumpkin, Fall Leaves, Eyeballs, etc.)</v>
      </c>
      <c r="J3515" t="str">
        <f>_xlfn.XLOOKUP($A3515,Load!$B:$B,Load!K:K,0,)</f>
        <v>Fun Size / Treat Size</v>
      </c>
      <c r="K3515" t="str">
        <f>_xlfn.XLOOKUP($A3515,Load!$B:$B,Load!L:L,0,)</f>
        <v>Regular/Original Wrapping</v>
      </c>
      <c r="L3515" t="str">
        <f>_xlfn.XLOOKUP($A3515,Load!$B:$B,Load!M:M,0,)</f>
        <v>Multiple Brands / Variety Flavors or Form</v>
      </c>
    </row>
    <row r="3516" spans="1:12" x14ac:dyDescent="0.25">
      <c r="A3516" t="s">
        <v>83</v>
      </c>
      <c r="B3516" t="str">
        <f>_xlfn.XLOOKUP($A3516,Load!$B:$B,Load!C:C,0,)</f>
        <v>Ferrara Variety Pack</v>
      </c>
      <c r="C3516" t="str">
        <f>_xlfn.XLOOKUP($A3516,Load!$B:$B,Load!D:D,0,)</f>
        <v>Non-Chocolate Candy Only</v>
      </c>
      <c r="D3516" t="str">
        <f>_xlfn.XLOOKUP($A3516,Load!$B:$B,Load!E:E,0,)</f>
        <v>Variety / Mixed Flavors (Fruity, Sour, Seasonal Flavors)</v>
      </c>
      <c r="E3516" t="str">
        <f>_xlfn.XLOOKUP($A3516,Load!$B:$B,Load!F:F,0,)</f>
        <v>Mixed / Combo Packs (Gummy, Chewy, Taffy, etc.)</v>
      </c>
      <c r="F3516" t="str">
        <f>_xlfn.XLOOKUP($A3516,Load!$B:$B,Load!G:G,0,)</f>
        <v>Medium Multipack (40–80 ct)</v>
      </c>
      <c r="G3516" t="str">
        <f>_xlfn.XLOOKUP($A3516,Load!$B:$B,Load!H:H,0,)</f>
        <v>Stand-Up Bag</v>
      </c>
      <c r="H3516" t="str">
        <f>_xlfn.XLOOKUP($A3516,Load!$B:$B,Load!I:I,0,)</f>
        <v>Everyday Candy Shapes (like Original, Gummy bear, Fruit, Jewels, etc.)</v>
      </c>
      <c r="I3516" t="str">
        <f>_xlfn.XLOOKUP($A3516,Load!$B:$B,Load!J:J,0,)</f>
        <v>Seasonal Graphics (Like Bat, Ghost, Pumpkin, Fall Leaves, Eyeballs, etc.)</v>
      </c>
      <c r="J3516" t="str">
        <f>_xlfn.XLOOKUP($A3516,Load!$B:$B,Load!K:K,0,)</f>
        <v xml:space="preserve">Variety Candy Sizes </v>
      </c>
      <c r="K3516" t="str">
        <f>_xlfn.XLOOKUP($A3516,Load!$B:$B,Load!L:L,0,)</f>
        <v>Regular/Original Wrapping</v>
      </c>
      <c r="L3516" t="str">
        <f>_xlfn.XLOOKUP($A3516,Load!$B:$B,Load!M:M,0,)</f>
        <v>Multiple Brands / Variety Flavors or Form</v>
      </c>
    </row>
    <row r="3517" spans="1:12" x14ac:dyDescent="0.25">
      <c r="A3517" t="s">
        <v>204</v>
      </c>
      <c r="B3517" t="str">
        <f>_xlfn.XLOOKUP($A3517,Load!$B:$B,Load!C:C,0,)</f>
        <v>Mars Variety Pack</v>
      </c>
      <c r="C3517" t="str">
        <f>_xlfn.XLOOKUP($A3517,Load!$B:$B,Load!D:D,0,)</f>
        <v>Mix of Chocolate and Non-Chocolate Candy</v>
      </c>
      <c r="D3517" t="str">
        <f>_xlfn.XLOOKUP($A3517,Load!$B:$B,Load!E:E,0,)</f>
        <v>Variety / Mixed Flavors (Fruity, Sour, Seasonal Flavors)</v>
      </c>
      <c r="E3517" t="str">
        <f>_xlfn.XLOOKUP($A3517,Load!$B:$B,Load!F:F,0,)</f>
        <v>Mixed / Combo Packs (Gummy, Chewy, Taffy, etc.)</v>
      </c>
      <c r="F3517" t="str">
        <f>_xlfn.XLOOKUP($A3517,Load!$B:$B,Load!G:G,0,)</f>
        <v>Medium Multipack (40–80 ct)</v>
      </c>
      <c r="G3517" t="str">
        <f>_xlfn.XLOOKUP($A3517,Load!$B:$B,Load!H:H,0,)</f>
        <v>Stand-Up Bag</v>
      </c>
      <c r="H3517" t="str">
        <f>_xlfn.XLOOKUP($A3517,Load!$B:$B,Load!I:I,0,)</f>
        <v>Everyday Candy Shapes (like Original, Gummy bear, Fruit, Jewels, etc.)</v>
      </c>
      <c r="I3517" t="str">
        <f>_xlfn.XLOOKUP($A3517,Load!$B:$B,Load!J:J,0,)</f>
        <v>Everyday Graphics</v>
      </c>
      <c r="J3517" t="str">
        <f>_xlfn.XLOOKUP($A3517,Load!$B:$B,Load!K:K,0,)</f>
        <v>Fun Size / Treat Size</v>
      </c>
      <c r="K3517" t="str">
        <f>_xlfn.XLOOKUP($A3517,Load!$B:$B,Load!L:L,0,)</f>
        <v>Regular/Original Wrapping</v>
      </c>
      <c r="L3517" t="str">
        <f>_xlfn.XLOOKUP($A3517,Load!$B:$B,Load!M:M,0,)</f>
        <v>Multiple Brands / Variety Flavors or Form</v>
      </c>
    </row>
    <row r="3518" spans="1:12" x14ac:dyDescent="0.25">
      <c r="A3518" t="s">
        <v>214</v>
      </c>
      <c r="B3518" t="str">
        <f>_xlfn.XLOOKUP($A3518,Load!$B:$B,Load!C:C,0,)</f>
        <v>Mars Variety Pack</v>
      </c>
      <c r="C3518" t="str">
        <f>_xlfn.XLOOKUP($A3518,Load!$B:$B,Load!D:D,0,)</f>
        <v>Mix of Chocolate and Non-Chocolate Candy</v>
      </c>
      <c r="D3518" t="str">
        <f>_xlfn.XLOOKUP($A3518,Load!$B:$B,Load!E:E,0,)</f>
        <v>Variety / Mixed Flavors (Fruity, Sour, Seasonal Flavors)</v>
      </c>
      <c r="E3518" t="str">
        <f>_xlfn.XLOOKUP($A3518,Load!$B:$B,Load!F:F,0,)</f>
        <v>Mixed / Combo Packs (Gummy, Chewy, Taffy, etc.)</v>
      </c>
      <c r="F3518" t="str">
        <f>_xlfn.XLOOKUP($A3518,Load!$B:$B,Load!G:G,0,)</f>
        <v>Large Multipack (More than 80 ct)</v>
      </c>
      <c r="G3518" t="str">
        <f>_xlfn.XLOOKUP($A3518,Load!$B:$B,Load!H:H,0,)</f>
        <v>Stand-Up Bag</v>
      </c>
      <c r="H3518" t="str">
        <f>_xlfn.XLOOKUP($A3518,Load!$B:$B,Load!I:I,0,)</f>
        <v>Everyday Candy Shapes (like Original, Gummy bear, Fruit, Jewels, etc.)</v>
      </c>
      <c r="I3518" t="str">
        <f>_xlfn.XLOOKUP($A3518,Load!$B:$B,Load!J:J,0,)</f>
        <v>Seasonal Graphics (Like Bat, Ghost, Pumpkin, Fall Leaves, Eyeballs, etc.)</v>
      </c>
      <c r="J3518" t="str">
        <f>_xlfn.XLOOKUP($A3518,Load!$B:$B,Load!K:K,0,)</f>
        <v>Fun Size / Treat Size</v>
      </c>
      <c r="K3518" t="str">
        <f>_xlfn.XLOOKUP($A3518,Load!$B:$B,Load!L:L,0,)</f>
        <v>Regular/Original Wrapping</v>
      </c>
      <c r="L3518" t="str">
        <f>_xlfn.XLOOKUP($A3518,Load!$B:$B,Load!M:M,0,)</f>
        <v>Multiple Brands / Variety Flavors or Form</v>
      </c>
    </row>
    <row r="3519" spans="1:12" x14ac:dyDescent="0.25">
      <c r="A3519" t="s">
        <v>97</v>
      </c>
      <c r="B3519" t="str">
        <f>_xlfn.XLOOKUP($A3519,Load!$B:$B,Load!C:C,0,)</f>
        <v>Ferrero Variety Pack</v>
      </c>
      <c r="C3519" t="str">
        <f>_xlfn.XLOOKUP($A3519,Load!$B:$B,Load!D:D,0,)</f>
        <v>Mix of Chocolate and Non-Chocolate Candy</v>
      </c>
      <c r="D3519" t="str">
        <f>_xlfn.XLOOKUP($A3519,Load!$B:$B,Load!E:E,0,)</f>
        <v>Variety / Mixed Flavors (Fruity, Sour, Seasonal Flavors)</v>
      </c>
      <c r="E3519" t="str">
        <f>_xlfn.XLOOKUP($A3519,Load!$B:$B,Load!F:F,0,)</f>
        <v>Mixed / Combo Packs (Gummy, Chewy, Taffy, etc.)</v>
      </c>
      <c r="F3519" t="str">
        <f>_xlfn.XLOOKUP($A3519,Load!$B:$B,Load!G:G,0,)</f>
        <v>Large Multipack (More than 80 ct)</v>
      </c>
      <c r="G3519" t="str">
        <f>_xlfn.XLOOKUP($A3519,Load!$B:$B,Load!H:H,0,)</f>
        <v>Stand-Up Bag</v>
      </c>
      <c r="H3519" t="str">
        <f>_xlfn.XLOOKUP($A3519,Load!$B:$B,Load!I:I,0,)</f>
        <v>Everyday Candy Shapes (like Original, Gummy bear, Fruit, Jewels, etc.)</v>
      </c>
      <c r="I3519" t="str">
        <f>_xlfn.XLOOKUP($A3519,Load!$B:$B,Load!J:J,0,)</f>
        <v>Seasonal Graphics (Like Bat, Ghost, Pumpkin, Fall Leaves, Eyeballs, etc.)</v>
      </c>
      <c r="J3519" t="str">
        <f>_xlfn.XLOOKUP($A3519,Load!$B:$B,Load!K:K,0,)</f>
        <v>Fun Size / Treat Size</v>
      </c>
      <c r="K3519" t="str">
        <f>_xlfn.XLOOKUP($A3519,Load!$B:$B,Load!L:L,0,)</f>
        <v>Regular/Original Wrapping</v>
      </c>
      <c r="L3519" t="str">
        <f>_xlfn.XLOOKUP($A3519,Load!$B:$B,Load!M:M,0,)</f>
        <v>Multiple Brands / Variety Flavors or Form</v>
      </c>
    </row>
    <row r="3520" spans="1:12" x14ac:dyDescent="0.25">
      <c r="B3520">
        <f>_xlfn.XLOOKUP($A3520,Load!$B:$B,Load!C:C,0,)</f>
        <v>0</v>
      </c>
      <c r="C3520">
        <f>_xlfn.XLOOKUP($A3520,Load!$B:$B,Load!D:D,0,)</f>
        <v>0</v>
      </c>
      <c r="D3520">
        <f>_xlfn.XLOOKUP($A3520,Load!$B:$B,Load!E:E,0,)</f>
        <v>0</v>
      </c>
      <c r="E3520">
        <f>_xlfn.XLOOKUP($A3520,Load!$B:$B,Load!F:F,0,)</f>
        <v>0</v>
      </c>
      <c r="F3520">
        <f>_xlfn.XLOOKUP($A3520,Load!$B:$B,Load!G:G,0,)</f>
        <v>0</v>
      </c>
      <c r="G3520">
        <f>_xlfn.XLOOKUP($A3520,Load!$B:$B,Load!H:H,0,)</f>
        <v>0</v>
      </c>
      <c r="H3520">
        <f>_xlfn.XLOOKUP($A3520,Load!$B:$B,Load!I:I,0,)</f>
        <v>0</v>
      </c>
      <c r="I3520">
        <f>_xlfn.XLOOKUP($A3520,Load!$B:$B,Load!J:J,0,)</f>
        <v>0</v>
      </c>
      <c r="J3520">
        <f>_xlfn.XLOOKUP($A3520,Load!$B:$B,Load!K:K,0,)</f>
        <v>0</v>
      </c>
      <c r="K3520">
        <f>_xlfn.XLOOKUP($A3520,Load!$B:$B,Load!L:L,0,)</f>
        <v>0</v>
      </c>
      <c r="L3520">
        <f>_xlfn.XLOOKUP($A3520,Load!$B:$B,Load!M:M,0,)</f>
        <v>0</v>
      </c>
    </row>
    <row r="3521" spans="1:12" x14ac:dyDescent="0.25">
      <c r="B3521">
        <f>_xlfn.XLOOKUP($A3521,Load!$B:$B,Load!C:C,0,)</f>
        <v>0</v>
      </c>
      <c r="C3521">
        <f>_xlfn.XLOOKUP($A3521,Load!$B:$B,Load!D:D,0,)</f>
        <v>0</v>
      </c>
      <c r="D3521">
        <f>_xlfn.XLOOKUP($A3521,Load!$B:$B,Load!E:E,0,)</f>
        <v>0</v>
      </c>
      <c r="E3521">
        <f>_xlfn.XLOOKUP($A3521,Load!$B:$B,Load!F:F,0,)</f>
        <v>0</v>
      </c>
      <c r="F3521">
        <f>_xlfn.XLOOKUP($A3521,Load!$B:$B,Load!G:G,0,)</f>
        <v>0</v>
      </c>
      <c r="G3521">
        <f>_xlfn.XLOOKUP($A3521,Load!$B:$B,Load!H:H,0,)</f>
        <v>0</v>
      </c>
      <c r="H3521">
        <f>_xlfn.XLOOKUP($A3521,Load!$B:$B,Load!I:I,0,)</f>
        <v>0</v>
      </c>
      <c r="I3521">
        <f>_xlfn.XLOOKUP($A3521,Load!$B:$B,Load!J:J,0,)</f>
        <v>0</v>
      </c>
      <c r="J3521">
        <f>_xlfn.XLOOKUP($A3521,Load!$B:$B,Load!K:K,0,)</f>
        <v>0</v>
      </c>
      <c r="K3521">
        <f>_xlfn.XLOOKUP($A3521,Load!$B:$B,Load!L:L,0,)</f>
        <v>0</v>
      </c>
      <c r="L3521">
        <f>_xlfn.XLOOKUP($A3521,Load!$B:$B,Load!M:M,0,)</f>
        <v>0</v>
      </c>
    </row>
    <row r="3522" spans="1:12" x14ac:dyDescent="0.25">
      <c r="A3522" t="s">
        <v>144</v>
      </c>
      <c r="B3522" t="str">
        <f>_xlfn.XLOOKUP($A3522,Load!$B:$B,Load!C:C,0,)</f>
        <v>Hershey's Variety Pack + Haribo</v>
      </c>
      <c r="C3522" t="str">
        <f>_xlfn.XLOOKUP($A3522,Load!$B:$B,Load!D:D,0,)</f>
        <v>Mix of Chocolate and Non-Chocolate Candy</v>
      </c>
      <c r="D3522" t="str">
        <f>_xlfn.XLOOKUP($A3522,Load!$B:$B,Load!E:E,0,)</f>
        <v>Variety / Mixed Flavors (Fruity, Sour, Seasonal Flavors)</v>
      </c>
      <c r="E3522" t="str">
        <f>_xlfn.XLOOKUP($A3522,Load!$B:$B,Load!F:F,0,)</f>
        <v>Mixed / Combo Packs (Gummy, Chewy, Taffy, etc.)</v>
      </c>
      <c r="F3522" t="str">
        <f>_xlfn.XLOOKUP($A3522,Load!$B:$B,Load!G:G,0,)</f>
        <v>Large Multipack (More than 80 ct)</v>
      </c>
      <c r="G3522" t="str">
        <f>_xlfn.XLOOKUP($A3522,Load!$B:$B,Load!H:H,0,)</f>
        <v>Stand-Up Bag</v>
      </c>
      <c r="H3522" t="str">
        <f>_xlfn.XLOOKUP($A3522,Load!$B:$B,Load!I:I,0,)</f>
        <v>Everyday Candy Shapes (like Original, Gummy bear, Fruit, Jewels, etc.)</v>
      </c>
      <c r="I3522" t="str">
        <f>_xlfn.XLOOKUP($A3522,Load!$B:$B,Load!J:J,0,)</f>
        <v>Seasonal Graphics (Like Bat, Ghost, Pumpkin, Fall Leaves, Eyeballs, etc.)</v>
      </c>
      <c r="J3522" t="str">
        <f>_xlfn.XLOOKUP($A3522,Load!$B:$B,Load!K:K,0,)</f>
        <v>Fun Size / Treat Size</v>
      </c>
      <c r="K3522" t="str">
        <f>_xlfn.XLOOKUP($A3522,Load!$B:$B,Load!L:L,0,)</f>
        <v>Regular/Original Wrapping</v>
      </c>
      <c r="L3522" t="str">
        <f>_xlfn.XLOOKUP($A3522,Load!$B:$B,Load!M:M,0,)</f>
        <v>Multiple Brands / Variety Flavors or Form</v>
      </c>
    </row>
    <row r="3523" spans="1:12" x14ac:dyDescent="0.25">
      <c r="A3523" t="s">
        <v>95</v>
      </c>
      <c r="B3523" t="str">
        <f>_xlfn.XLOOKUP($A3523,Load!$B:$B,Load!C:C,0,)</f>
        <v>Ferrara Variety Pack</v>
      </c>
      <c r="C3523" t="str">
        <f>_xlfn.XLOOKUP($A3523,Load!$B:$B,Load!D:D,0,)</f>
        <v>Non-Chocolate Candy Only</v>
      </c>
      <c r="D3523" t="str">
        <f>_xlfn.XLOOKUP($A3523,Load!$B:$B,Load!E:E,0,)</f>
        <v>Variety / Mixed Flavors (Fruity, Sour, Seasonal Flavors)</v>
      </c>
      <c r="E3523" t="str">
        <f>_xlfn.XLOOKUP($A3523,Load!$B:$B,Load!F:F,0,)</f>
        <v>Mixed / Combo Packs (Gummy, Chewy, Taffy, etc.)</v>
      </c>
      <c r="F3523" t="str">
        <f>_xlfn.XLOOKUP($A3523,Load!$B:$B,Load!G:G,0,)</f>
        <v>Medium Multipack (40–80 ct)</v>
      </c>
      <c r="G3523" t="str">
        <f>_xlfn.XLOOKUP($A3523,Load!$B:$B,Load!H:H,0,)</f>
        <v>Stand-Up Bag</v>
      </c>
      <c r="H3523" t="str">
        <f>_xlfn.XLOOKUP($A3523,Load!$B:$B,Load!I:I,0,)</f>
        <v>Everyday Candy Shapes (like Original, Gummy bear, Fruit, Jewels, etc.)</v>
      </c>
      <c r="I3523" t="str">
        <f>_xlfn.XLOOKUP($A3523,Load!$B:$B,Load!J:J,0,)</f>
        <v>Seasonal Graphics (Like Bat, Ghost, Pumpkin, Fall Leaves, Eyeballs, etc.)</v>
      </c>
      <c r="J3523" t="str">
        <f>_xlfn.XLOOKUP($A3523,Load!$B:$B,Load!K:K,0,)</f>
        <v xml:space="preserve">Variety Candy Sizes </v>
      </c>
      <c r="K3523" t="str">
        <f>_xlfn.XLOOKUP($A3523,Load!$B:$B,Load!L:L,0,)</f>
        <v>Regular/Original Wrapping</v>
      </c>
      <c r="L3523" t="str">
        <f>_xlfn.XLOOKUP($A3523,Load!$B:$B,Load!M:M,0,)</f>
        <v>Multiple Brands / Variety Flavors or Form</v>
      </c>
    </row>
    <row r="3524" spans="1:12" x14ac:dyDescent="0.25">
      <c r="A3524" t="s">
        <v>215</v>
      </c>
      <c r="B3524" t="str">
        <f>_xlfn.XLOOKUP($A3524,Load!$B:$B,Load!C:C,0,)</f>
        <v>Maud Borup</v>
      </c>
      <c r="C3524" t="str">
        <f>_xlfn.XLOOKUP($A3524,Load!$B:$B,Load!D:D,0,)</f>
        <v>Non-Chocolate Candy Only</v>
      </c>
      <c r="D3524" t="str">
        <f>_xlfn.XLOOKUP($A3524,Load!$B:$B,Load!E:E,0,)</f>
        <v>Berry Based (Raspberry, Strawberry, Medley, etc.)</v>
      </c>
      <c r="E3524" t="str">
        <f>_xlfn.XLOOKUP($A3524,Load!$B:$B,Load!F:F,0,)</f>
        <v>Gummy</v>
      </c>
      <c r="F3524" t="str">
        <f>_xlfn.XLOOKUP($A3524,Load!$B:$B,Load!G:G,0,)</f>
        <v>Single Pack</v>
      </c>
      <c r="G3524" t="str">
        <f>_xlfn.XLOOKUP($A3524,Load!$B:$B,Load!H:H,0,)</f>
        <v>Peg Bag</v>
      </c>
      <c r="H3524" t="str">
        <f>_xlfn.XLOOKUP($A3524,Load!$B:$B,Load!I:I,0,)</f>
        <v>Seasonal Shapes (like pumpkins, candy corn, ghost, bats, etc.)</v>
      </c>
      <c r="I3524" t="str">
        <f>_xlfn.XLOOKUP($A3524,Load!$B:$B,Load!J:J,0,)</f>
        <v>Seasonal Graphics (Like Bat, Ghost, Pumpkin, Fall Leaves, Eyeballs, etc.)</v>
      </c>
      <c r="J3524" t="str">
        <f>_xlfn.XLOOKUP($A3524,Load!$B:$B,Load!K:K,0,)</f>
        <v>Fun Size / Treat Size</v>
      </c>
      <c r="K3524" t="str">
        <f>_xlfn.XLOOKUP($A3524,Load!$B:$B,Load!L:L,0,)</f>
        <v>Unwrapped</v>
      </c>
      <c r="L3524" t="str">
        <f>_xlfn.XLOOKUP($A3524,Load!$B:$B,Load!M:M,0,)</f>
        <v>Single Brand / Single Flavor or Form</v>
      </c>
    </row>
    <row r="3525" spans="1:12" x14ac:dyDescent="0.25">
      <c r="A3525" t="s">
        <v>309</v>
      </c>
      <c r="B3525" t="str">
        <f>_xlfn.XLOOKUP($A3525,Load!$B:$B,Load!C:C,0,)</f>
        <v>Werther's Original</v>
      </c>
      <c r="C3525" t="str">
        <f>_xlfn.XLOOKUP($A3525,Load!$B:$B,Load!D:D,0,)</f>
        <v>Non-Chocolate Candy Only</v>
      </c>
      <c r="D3525" t="str">
        <f>_xlfn.XLOOKUP($A3525,Load!$B:$B,Load!E:E,0,)</f>
        <v>Fall / Seasonal Flavors (pumpkin spice, caramel apple, candy corn)</v>
      </c>
      <c r="E3525" t="str">
        <f>_xlfn.XLOOKUP($A3525,Load!$B:$B,Load!F:F,0,)</f>
        <v>Chewy</v>
      </c>
      <c r="F3525" t="str">
        <f>_xlfn.XLOOKUP($A3525,Load!$B:$B,Load!G:G,0,)</f>
        <v>Single Pack</v>
      </c>
      <c r="G3525" t="str">
        <f>_xlfn.XLOOKUP($A3525,Load!$B:$B,Load!H:H,0,)</f>
        <v>Stand-Up Bag</v>
      </c>
      <c r="H3525" t="str">
        <f>_xlfn.XLOOKUP($A3525,Load!$B:$B,Load!I:I,0,)</f>
        <v>Everyday Candy Shapes (like Original, Gummy bear, Fruit, Jewels, etc.)</v>
      </c>
      <c r="I3525" t="str">
        <f>_xlfn.XLOOKUP($A3525,Load!$B:$B,Load!J:J,0,)</f>
        <v>Seasonal Graphics (Like Bat, Ghost, Pumpkin, Fall Leaves, Eyeballs, etc.)</v>
      </c>
      <c r="J3525" t="str">
        <f>_xlfn.XLOOKUP($A3525,Load!$B:$B,Load!K:K,0,)</f>
        <v>Fun Size / Treat Size</v>
      </c>
      <c r="K3525" t="str">
        <f>_xlfn.XLOOKUP($A3525,Load!$B:$B,Load!L:L,0,)</f>
        <v>Regular/Original Wrapping</v>
      </c>
      <c r="L3525" t="str">
        <f>_xlfn.XLOOKUP($A3525,Load!$B:$B,Load!M:M,0,)</f>
        <v>Single Brand / Single Flavor or Form</v>
      </c>
    </row>
    <row r="3526" spans="1:12" x14ac:dyDescent="0.25">
      <c r="A3526" t="s">
        <v>157</v>
      </c>
      <c r="B3526" t="str">
        <f>_xlfn.XLOOKUP($A3526,Load!$B:$B,Load!C:C,0,)</f>
        <v>Jolly Rancher</v>
      </c>
      <c r="C3526" t="str">
        <f>_xlfn.XLOOKUP($A3526,Load!$B:$B,Load!D:D,0,)</f>
        <v>Non-Chocolate Candy Only</v>
      </c>
      <c r="D3526" t="str">
        <f>_xlfn.XLOOKUP($A3526,Load!$B:$B,Load!E:E,0,)</f>
        <v>Fruit Flavor (Cherry, Grape, Apple, Citrus, Tropical Fruit)</v>
      </c>
      <c r="E3526" t="str">
        <f>_xlfn.XLOOKUP($A3526,Load!$B:$B,Load!F:F,0,)</f>
        <v>Hard Candy</v>
      </c>
      <c r="F3526" t="str">
        <f>_xlfn.XLOOKUP($A3526,Load!$B:$B,Load!G:G,0,)</f>
        <v>Single Pack</v>
      </c>
      <c r="G3526" t="str">
        <f>_xlfn.XLOOKUP($A3526,Load!$B:$B,Load!H:H,0,)</f>
        <v>Laydown Bag</v>
      </c>
      <c r="H3526" t="str">
        <f>_xlfn.XLOOKUP($A3526,Load!$B:$B,Load!I:I,0,)</f>
        <v>Everyday Candy Shapes (like Original, Gummy bear, Fruit, Jewels, etc.)</v>
      </c>
      <c r="I3526" t="str">
        <f>_xlfn.XLOOKUP($A3526,Load!$B:$B,Load!J:J,0,)</f>
        <v>Everyday Graphics</v>
      </c>
      <c r="J3526" t="str">
        <f>_xlfn.XLOOKUP($A3526,Load!$B:$B,Load!K:K,0,)</f>
        <v>Small Pieces (Tiny bite size candies)</v>
      </c>
      <c r="K3526" t="str">
        <f>_xlfn.XLOOKUP($A3526,Load!$B:$B,Load!L:L,0,)</f>
        <v>Regular/Original Wrapping</v>
      </c>
      <c r="L3526" t="str">
        <f>_xlfn.XLOOKUP($A3526,Load!$B:$B,Load!M:M,0,)</f>
        <v>Single Brand / Variety Flavors or Form</v>
      </c>
    </row>
    <row r="3527" spans="1:12" x14ac:dyDescent="0.25">
      <c r="A3527" t="s">
        <v>169</v>
      </c>
      <c r="B3527" t="str">
        <f>_xlfn.XLOOKUP($A3527,Load!$B:$B,Load!C:C,0,)</f>
        <v>Laffy Taffy</v>
      </c>
      <c r="C3527" t="str">
        <f>_xlfn.XLOOKUP($A3527,Load!$B:$B,Load!D:D,0,)</f>
        <v>Non-Chocolate Candy Only</v>
      </c>
      <c r="D3527" t="str">
        <f>_xlfn.XLOOKUP($A3527,Load!$B:$B,Load!E:E,0,)</f>
        <v>Fruit Flavor (Cherry, Grape, Apple, Citrus, Tropical Fruit)</v>
      </c>
      <c r="E3527" t="str">
        <f>_xlfn.XLOOKUP($A3527,Load!$B:$B,Load!F:F,0,)</f>
        <v>Taffy</v>
      </c>
      <c r="F3527" t="str">
        <f>_xlfn.XLOOKUP($A3527,Load!$B:$B,Load!G:G,0,)</f>
        <v>Small Multipack (Less than 40 ct)</v>
      </c>
      <c r="G3527" t="str">
        <f>_xlfn.XLOOKUP($A3527,Load!$B:$B,Load!H:H,0,)</f>
        <v>Laydown Bag</v>
      </c>
      <c r="H3527" t="str">
        <f>_xlfn.XLOOKUP($A3527,Load!$B:$B,Load!I:I,0,)</f>
        <v>Everyday Candy Shapes (like Original, Gummy bear, Fruit, Jewels, etc.)</v>
      </c>
      <c r="I3527" t="str">
        <f>_xlfn.XLOOKUP($A3527,Load!$B:$B,Load!J:J,0,)</f>
        <v>Everyday Graphics</v>
      </c>
      <c r="J3527" t="str">
        <f>_xlfn.XLOOKUP($A3527,Load!$B:$B,Load!K:K,0,)</f>
        <v>Fun Size / Treat Size</v>
      </c>
      <c r="K3527" t="str">
        <f>_xlfn.XLOOKUP($A3527,Load!$B:$B,Load!L:L,0,)</f>
        <v>Regular/Original Wrapping</v>
      </c>
      <c r="L3527" t="str">
        <f>_xlfn.XLOOKUP($A3527,Load!$B:$B,Load!M:M,0,)</f>
        <v>Single Brand / Variety Flavors or Form</v>
      </c>
    </row>
    <row r="3528" spans="1:12" x14ac:dyDescent="0.25">
      <c r="A3528" t="s">
        <v>71</v>
      </c>
      <c r="B3528" t="str">
        <f>_xlfn.XLOOKUP($A3528,Load!$B:$B,Load!C:C,0,)</f>
        <v>Dum Dums</v>
      </c>
      <c r="C3528" t="str">
        <f>_xlfn.XLOOKUP($A3528,Load!$B:$B,Load!D:D,0,)</f>
        <v>Non-Chocolate Candy Only</v>
      </c>
      <c r="D3528" t="str">
        <f>_xlfn.XLOOKUP($A3528,Load!$B:$B,Load!E:E,0,)</f>
        <v>Sweet</v>
      </c>
      <c r="E3528" t="str">
        <f>_xlfn.XLOOKUP($A3528,Load!$B:$B,Load!F:F,0,)</f>
        <v>Lollipop (regular or lollipop rings)</v>
      </c>
      <c r="F3528" t="str">
        <f>_xlfn.XLOOKUP($A3528,Load!$B:$B,Load!G:G,0,)</f>
        <v>Large Multipack (More than 80 ct)</v>
      </c>
      <c r="G3528" t="str">
        <f>_xlfn.XLOOKUP($A3528,Load!$B:$B,Load!H:H,0,)</f>
        <v>Stand-Up Bag</v>
      </c>
      <c r="H3528" t="str">
        <f>_xlfn.XLOOKUP($A3528,Load!$B:$B,Load!I:I,0,)</f>
        <v>Everyday Candy Shapes (like Original, Gummy bear, Fruit, Jewels, etc.)</v>
      </c>
      <c r="I3528" t="str">
        <f>_xlfn.XLOOKUP($A3528,Load!$B:$B,Load!J:J,0,)</f>
        <v>Seasonal Graphics (Like Bat, Ghost, Pumpkin, Fall Leaves, Eyeballs, etc.)</v>
      </c>
      <c r="J3528" t="str">
        <f>_xlfn.XLOOKUP($A3528,Load!$B:$B,Load!K:K,0,)</f>
        <v>Regular Lollipop size (on sticks or rings)</v>
      </c>
      <c r="K3528" t="str">
        <f>_xlfn.XLOOKUP($A3528,Load!$B:$B,Load!L:L,0,)</f>
        <v>Regular/Original Wrapping</v>
      </c>
      <c r="L3528" t="str">
        <f>_xlfn.XLOOKUP($A3528,Load!$B:$B,Load!M:M,0,)</f>
        <v>Multiple Brands / Variety Flavors or Form</v>
      </c>
    </row>
    <row r="3529" spans="1:12" x14ac:dyDescent="0.25">
      <c r="B3529">
        <f>_xlfn.XLOOKUP($A3529,Load!$B:$B,Load!C:C,0,)</f>
        <v>0</v>
      </c>
      <c r="C3529">
        <f>_xlfn.XLOOKUP($A3529,Load!$B:$B,Load!D:D,0,)</f>
        <v>0</v>
      </c>
      <c r="D3529">
        <f>_xlfn.XLOOKUP($A3529,Load!$B:$B,Load!E:E,0,)</f>
        <v>0</v>
      </c>
      <c r="E3529">
        <f>_xlfn.XLOOKUP($A3529,Load!$B:$B,Load!F:F,0,)</f>
        <v>0</v>
      </c>
      <c r="F3529">
        <f>_xlfn.XLOOKUP($A3529,Load!$B:$B,Load!G:G,0,)</f>
        <v>0</v>
      </c>
      <c r="G3529">
        <f>_xlfn.XLOOKUP($A3529,Load!$B:$B,Load!H:H,0,)</f>
        <v>0</v>
      </c>
      <c r="H3529">
        <f>_xlfn.XLOOKUP($A3529,Load!$B:$B,Load!I:I,0,)</f>
        <v>0</v>
      </c>
      <c r="I3529">
        <f>_xlfn.XLOOKUP($A3529,Load!$B:$B,Load!J:J,0,)</f>
        <v>0</v>
      </c>
      <c r="J3529">
        <f>_xlfn.XLOOKUP($A3529,Load!$B:$B,Load!K:K,0,)</f>
        <v>0</v>
      </c>
      <c r="K3529">
        <f>_xlfn.XLOOKUP($A3529,Load!$B:$B,Load!L:L,0,)</f>
        <v>0</v>
      </c>
      <c r="L3529">
        <f>_xlfn.XLOOKUP($A3529,Load!$B:$B,Load!M:M,0,)</f>
        <v>0</v>
      </c>
    </row>
    <row r="3530" spans="1:12" x14ac:dyDescent="0.25">
      <c r="A3530" t="s">
        <v>146</v>
      </c>
      <c r="B3530" t="str">
        <f>_xlfn.XLOOKUP($A3530,Load!$B:$B,Load!C:C,0,)</f>
        <v>Hi Chew</v>
      </c>
      <c r="C3530" t="str">
        <f>_xlfn.XLOOKUP($A3530,Load!$B:$B,Load!D:D,0,)</f>
        <v>Non-Chocolate Candy Only</v>
      </c>
      <c r="D3530" t="str">
        <f>_xlfn.XLOOKUP($A3530,Load!$B:$B,Load!E:E,0,)</f>
        <v>Fruit Flavor (Cherry, Grape, Apple, Citrus, Tropical Fruit)</v>
      </c>
      <c r="E3530" t="str">
        <f>_xlfn.XLOOKUP($A3530,Load!$B:$B,Load!F:F,0,)</f>
        <v>Gummy</v>
      </c>
      <c r="F3530" t="str">
        <f>_xlfn.XLOOKUP($A3530,Load!$B:$B,Load!G:G,0,)</f>
        <v>Medium Multipack (40–80 ct)</v>
      </c>
      <c r="G3530" t="str">
        <f>_xlfn.XLOOKUP($A3530,Load!$B:$B,Load!H:H,0,)</f>
        <v>Stand-Up Bag</v>
      </c>
      <c r="H3530" t="str">
        <f>_xlfn.XLOOKUP($A3530,Load!$B:$B,Load!I:I,0,)</f>
        <v>Everyday Candy Shapes (like Original, Gummy bear, Fruit, Jewels, etc.)</v>
      </c>
      <c r="I3530" t="str">
        <f>_xlfn.XLOOKUP($A3530,Load!$B:$B,Load!J:J,0,)</f>
        <v>Seasonal Graphics (Like Bat, Ghost, Pumpkin, Fall Leaves, Eyeballs, etc.)</v>
      </c>
      <c r="J3530" t="str">
        <f>_xlfn.XLOOKUP($A3530,Load!$B:$B,Load!K:K,0,)</f>
        <v>Fun Size / Treat Size</v>
      </c>
      <c r="K3530" t="str">
        <f>_xlfn.XLOOKUP($A3530,Load!$B:$B,Load!L:L,0,)</f>
        <v>Regular/Original Wrapping</v>
      </c>
      <c r="L3530" t="str">
        <f>_xlfn.XLOOKUP($A3530,Load!$B:$B,Load!M:M,0,)</f>
        <v>Multiple Brands / Variety Flavors or Form</v>
      </c>
    </row>
    <row r="3531" spans="1:12" x14ac:dyDescent="0.25">
      <c r="A3531" t="s">
        <v>318</v>
      </c>
      <c r="B3531" t="str">
        <f>_xlfn.XLOOKUP($A3531,Load!$B:$B,Load!C:C,0,)</f>
        <v>YumEarth</v>
      </c>
      <c r="C3531" t="str">
        <f>_xlfn.XLOOKUP($A3531,Load!$B:$B,Load!D:D,0,)</f>
        <v>Non-Chocolate Candy Only</v>
      </c>
      <c r="D3531" t="str">
        <f>_xlfn.XLOOKUP($A3531,Load!$B:$B,Load!E:E,0,)</f>
        <v>Variety / Mixed Flavors (Fruity, Sour, Seasonal Flavors)</v>
      </c>
      <c r="E3531" t="str">
        <f>_xlfn.XLOOKUP($A3531,Load!$B:$B,Load!F:F,0,)</f>
        <v>Chewy</v>
      </c>
      <c r="F3531" t="str">
        <f>_xlfn.XLOOKUP($A3531,Load!$B:$B,Load!G:G,0,)</f>
        <v>Small Multipack (Less than 40 ct)</v>
      </c>
      <c r="G3531" t="str">
        <f>_xlfn.XLOOKUP($A3531,Load!$B:$B,Load!H:H,0,)</f>
        <v>Box (theatre box, gift box, carton)</v>
      </c>
      <c r="H3531" t="str">
        <f>_xlfn.XLOOKUP($A3531,Load!$B:$B,Load!I:I,0,)</f>
        <v>Everyday Candy Shapes (like Original, Gummy bear, Fruit, Jewels, etc.)</v>
      </c>
      <c r="I3531" t="str">
        <f>_xlfn.XLOOKUP($A3531,Load!$B:$B,Load!J:J,0,)</f>
        <v>Everyday Graphics</v>
      </c>
      <c r="J3531" t="str">
        <f>_xlfn.XLOOKUP($A3531,Load!$B:$B,Load!K:K,0,)</f>
        <v>Small Pieces (Tiny bite size candies)</v>
      </c>
      <c r="K3531" t="str">
        <f>_xlfn.XLOOKUP($A3531,Load!$B:$B,Load!L:L,0,)</f>
        <v>Regular/Original Wrapping</v>
      </c>
      <c r="L3531" t="str">
        <f>_xlfn.XLOOKUP($A3531,Load!$B:$B,Load!M:M,0,)</f>
        <v>Single Brand / Variety Flavors or Form</v>
      </c>
    </row>
    <row r="3532" spans="1:12" x14ac:dyDescent="0.25">
      <c r="A3532" t="s">
        <v>221</v>
      </c>
      <c r="B3532" t="str">
        <f>_xlfn.XLOOKUP($A3532,Load!$B:$B,Load!C:C,0,)</f>
        <v>Hershey's Variety Pack + Haribo</v>
      </c>
      <c r="C3532" t="str">
        <f>_xlfn.XLOOKUP($A3532,Load!$B:$B,Load!D:D,0,)</f>
        <v>Mix of Chocolate and Non-Chocolate Candy</v>
      </c>
      <c r="D3532" t="str">
        <f>_xlfn.XLOOKUP($A3532,Load!$B:$B,Load!E:E,0,)</f>
        <v>Variety / Mixed Flavors (Fruity, Sour, Seasonal Flavors)</v>
      </c>
      <c r="E3532" t="str">
        <f>_xlfn.XLOOKUP($A3532,Load!$B:$B,Load!F:F,0,)</f>
        <v>Mixed / Combo Packs (Gummy, Chewy, Taffy, etc.)</v>
      </c>
      <c r="F3532" t="str">
        <f>_xlfn.XLOOKUP($A3532,Load!$B:$B,Load!G:G,0,)</f>
        <v>Large Multipack (More than 80 ct)</v>
      </c>
      <c r="G3532" t="str">
        <f>_xlfn.XLOOKUP($A3532,Load!$B:$B,Load!H:H,0,)</f>
        <v>Stand-Up Bag</v>
      </c>
      <c r="H3532" t="str">
        <f>_xlfn.XLOOKUP($A3532,Load!$B:$B,Load!I:I,0,)</f>
        <v>Everyday Candy Shapes (like Original, Gummy bear, Fruit, Jewels, etc.)</v>
      </c>
      <c r="I3532" t="str">
        <f>_xlfn.XLOOKUP($A3532,Load!$B:$B,Load!J:J,0,)</f>
        <v>Seasonal Graphics (Like Bat, Ghost, Pumpkin, Fall Leaves, Eyeballs, etc.)</v>
      </c>
      <c r="J3532" t="str">
        <f>_xlfn.XLOOKUP($A3532,Load!$B:$B,Load!K:K,0,)</f>
        <v xml:space="preserve">Variety Candy Sizes </v>
      </c>
      <c r="K3532" t="str">
        <f>_xlfn.XLOOKUP($A3532,Load!$B:$B,Load!L:L,0,)</f>
        <v>Regular/Original Wrapping</v>
      </c>
      <c r="L3532" t="str">
        <f>_xlfn.XLOOKUP($A3532,Load!$B:$B,Load!M:M,0,)</f>
        <v>Multiple Brands / Variety Flavors or Form</v>
      </c>
    </row>
    <row r="3533" spans="1:12" x14ac:dyDescent="0.25">
      <c r="A3533" t="s">
        <v>204</v>
      </c>
      <c r="B3533" t="str">
        <f>_xlfn.XLOOKUP($A3533,Load!$B:$B,Load!C:C,0,)</f>
        <v>Mars Variety Pack</v>
      </c>
      <c r="C3533" t="str">
        <f>_xlfn.XLOOKUP($A3533,Load!$B:$B,Load!D:D,0,)</f>
        <v>Mix of Chocolate and Non-Chocolate Candy</v>
      </c>
      <c r="D3533" t="str">
        <f>_xlfn.XLOOKUP($A3533,Load!$B:$B,Load!E:E,0,)</f>
        <v>Variety / Mixed Flavors (Fruity, Sour, Seasonal Flavors)</v>
      </c>
      <c r="E3533" t="str">
        <f>_xlfn.XLOOKUP($A3533,Load!$B:$B,Load!F:F,0,)</f>
        <v>Mixed / Combo Packs (Gummy, Chewy, Taffy, etc.)</v>
      </c>
      <c r="F3533" t="str">
        <f>_xlfn.XLOOKUP($A3533,Load!$B:$B,Load!G:G,0,)</f>
        <v>Medium Multipack (40–80 ct)</v>
      </c>
      <c r="G3533" t="str">
        <f>_xlfn.XLOOKUP($A3533,Load!$B:$B,Load!H:H,0,)</f>
        <v>Stand-Up Bag</v>
      </c>
      <c r="H3533" t="str">
        <f>_xlfn.XLOOKUP($A3533,Load!$B:$B,Load!I:I,0,)</f>
        <v>Everyday Candy Shapes (like Original, Gummy bear, Fruit, Jewels, etc.)</v>
      </c>
      <c r="I3533" t="str">
        <f>_xlfn.XLOOKUP($A3533,Load!$B:$B,Load!J:J,0,)</f>
        <v>Everyday Graphics</v>
      </c>
      <c r="J3533" t="str">
        <f>_xlfn.XLOOKUP($A3533,Load!$B:$B,Load!K:K,0,)</f>
        <v>Fun Size / Treat Size</v>
      </c>
      <c r="K3533" t="str">
        <f>_xlfn.XLOOKUP($A3533,Load!$B:$B,Load!L:L,0,)</f>
        <v>Regular/Original Wrapping</v>
      </c>
      <c r="L3533" t="str">
        <f>_xlfn.XLOOKUP($A3533,Load!$B:$B,Load!M:M,0,)</f>
        <v>Multiple Brands / Variety Flavors or Form</v>
      </c>
    </row>
    <row r="3534" spans="1:12" x14ac:dyDescent="0.25">
      <c r="A3534" t="s">
        <v>180</v>
      </c>
      <c r="B3534" t="str">
        <f>_xlfn.XLOOKUP($A3534,Load!$B:$B,Load!C:C,0,)</f>
        <v>Mars Variety Pack</v>
      </c>
      <c r="C3534" t="str">
        <f>_xlfn.XLOOKUP($A3534,Load!$B:$B,Load!D:D,0,)</f>
        <v>Mix of Chocolate and Non-Chocolate Candy</v>
      </c>
      <c r="D3534" t="str">
        <f>_xlfn.XLOOKUP($A3534,Load!$B:$B,Load!E:E,0,)</f>
        <v>Variety / Mixed Flavors (Fruity, Sour, Seasonal Flavors)</v>
      </c>
      <c r="E3534" t="str">
        <f>_xlfn.XLOOKUP($A3534,Load!$B:$B,Load!F:F,0,)</f>
        <v>Mixed / Combo Packs (Gummy, Chewy, Taffy, etc.)</v>
      </c>
      <c r="F3534" t="str">
        <f>_xlfn.XLOOKUP($A3534,Load!$B:$B,Load!G:G,0,)</f>
        <v>Large Multipack (More than 80 ct)</v>
      </c>
      <c r="G3534" t="str">
        <f>_xlfn.XLOOKUP($A3534,Load!$B:$B,Load!H:H,0,)</f>
        <v>Stand-Up Bag</v>
      </c>
      <c r="H3534" t="str">
        <f>_xlfn.XLOOKUP($A3534,Load!$B:$B,Load!I:I,0,)</f>
        <v>Everyday Candy Shapes (like Original, Gummy bear, Fruit, Jewels, etc.)</v>
      </c>
      <c r="I3534" t="str">
        <f>_xlfn.XLOOKUP($A3534,Load!$B:$B,Load!J:J,0,)</f>
        <v>Seasonal Graphics (Like Bat, Ghost, Pumpkin, Fall Leaves, Eyeballs, etc.)</v>
      </c>
      <c r="J3534" t="str">
        <f>_xlfn.XLOOKUP($A3534,Load!$B:$B,Load!K:K,0,)</f>
        <v>Fun Size / Treat Size</v>
      </c>
      <c r="K3534" t="str">
        <f>_xlfn.XLOOKUP($A3534,Load!$B:$B,Load!L:L,0,)</f>
        <v>Regular/Original Wrapping</v>
      </c>
      <c r="L3534" t="str">
        <f>_xlfn.XLOOKUP($A3534,Load!$B:$B,Load!M:M,0,)</f>
        <v>Multiple Brands / Variety Flavors or Form</v>
      </c>
    </row>
    <row r="3535" spans="1:12" x14ac:dyDescent="0.25">
      <c r="A3535" t="s">
        <v>214</v>
      </c>
      <c r="B3535" t="str">
        <f>_xlfn.XLOOKUP($A3535,Load!$B:$B,Load!C:C,0,)</f>
        <v>Mars Variety Pack</v>
      </c>
      <c r="C3535" t="str">
        <f>_xlfn.XLOOKUP($A3535,Load!$B:$B,Load!D:D,0,)</f>
        <v>Mix of Chocolate and Non-Chocolate Candy</v>
      </c>
      <c r="D3535" t="str">
        <f>_xlfn.XLOOKUP($A3535,Load!$B:$B,Load!E:E,0,)</f>
        <v>Variety / Mixed Flavors (Fruity, Sour, Seasonal Flavors)</v>
      </c>
      <c r="E3535" t="str">
        <f>_xlfn.XLOOKUP($A3535,Load!$B:$B,Load!F:F,0,)</f>
        <v>Mixed / Combo Packs (Gummy, Chewy, Taffy, etc.)</v>
      </c>
      <c r="F3535" t="str">
        <f>_xlfn.XLOOKUP($A3535,Load!$B:$B,Load!G:G,0,)</f>
        <v>Large Multipack (More than 80 ct)</v>
      </c>
      <c r="G3535" t="str">
        <f>_xlfn.XLOOKUP($A3535,Load!$B:$B,Load!H:H,0,)</f>
        <v>Stand-Up Bag</v>
      </c>
      <c r="H3535" t="str">
        <f>_xlfn.XLOOKUP($A3535,Load!$B:$B,Load!I:I,0,)</f>
        <v>Everyday Candy Shapes (like Original, Gummy bear, Fruit, Jewels, etc.)</v>
      </c>
      <c r="I3535" t="str">
        <f>_xlfn.XLOOKUP($A3535,Load!$B:$B,Load!J:J,0,)</f>
        <v>Seasonal Graphics (Like Bat, Ghost, Pumpkin, Fall Leaves, Eyeballs, etc.)</v>
      </c>
      <c r="J3535" t="str">
        <f>_xlfn.XLOOKUP($A3535,Load!$B:$B,Load!K:K,0,)</f>
        <v>Fun Size / Treat Size</v>
      </c>
      <c r="K3535" t="str">
        <f>_xlfn.XLOOKUP($A3535,Load!$B:$B,Load!L:L,0,)</f>
        <v>Regular/Original Wrapping</v>
      </c>
      <c r="L3535" t="str">
        <f>_xlfn.XLOOKUP($A3535,Load!$B:$B,Load!M:M,0,)</f>
        <v>Multiple Brands / Variety Flavors or Form</v>
      </c>
    </row>
    <row r="3536" spans="1:12" x14ac:dyDescent="0.25">
      <c r="B3536">
        <f>_xlfn.XLOOKUP($A3536,Load!$B:$B,Load!C:C,0,)</f>
        <v>0</v>
      </c>
      <c r="C3536">
        <f>_xlfn.XLOOKUP($A3536,Load!$B:$B,Load!D:D,0,)</f>
        <v>0</v>
      </c>
      <c r="D3536">
        <f>_xlfn.XLOOKUP($A3536,Load!$B:$B,Load!E:E,0,)</f>
        <v>0</v>
      </c>
      <c r="E3536">
        <f>_xlfn.XLOOKUP($A3536,Load!$B:$B,Load!F:F,0,)</f>
        <v>0</v>
      </c>
      <c r="F3536">
        <f>_xlfn.XLOOKUP($A3536,Load!$B:$B,Load!G:G,0,)</f>
        <v>0</v>
      </c>
      <c r="G3536">
        <f>_xlfn.XLOOKUP($A3536,Load!$B:$B,Load!H:H,0,)</f>
        <v>0</v>
      </c>
      <c r="H3536">
        <f>_xlfn.XLOOKUP($A3536,Load!$B:$B,Load!I:I,0,)</f>
        <v>0</v>
      </c>
      <c r="I3536">
        <f>_xlfn.XLOOKUP($A3536,Load!$B:$B,Load!J:J,0,)</f>
        <v>0</v>
      </c>
      <c r="J3536">
        <f>_xlfn.XLOOKUP($A3536,Load!$B:$B,Load!K:K,0,)</f>
        <v>0</v>
      </c>
      <c r="K3536">
        <f>_xlfn.XLOOKUP($A3536,Load!$B:$B,Load!L:L,0,)</f>
        <v>0</v>
      </c>
      <c r="L3536">
        <f>_xlfn.XLOOKUP($A3536,Load!$B:$B,Load!M:M,0,)</f>
        <v>0</v>
      </c>
    </row>
    <row r="3537" spans="1:12" x14ac:dyDescent="0.25">
      <c r="B3537">
        <f>_xlfn.XLOOKUP($A3537,Load!$B:$B,Load!C:C,0,)</f>
        <v>0</v>
      </c>
      <c r="C3537">
        <f>_xlfn.XLOOKUP($A3537,Load!$B:$B,Load!D:D,0,)</f>
        <v>0</v>
      </c>
      <c r="D3537">
        <f>_xlfn.XLOOKUP($A3537,Load!$B:$B,Load!E:E,0,)</f>
        <v>0</v>
      </c>
      <c r="E3537">
        <f>_xlfn.XLOOKUP($A3537,Load!$B:$B,Load!F:F,0,)</f>
        <v>0</v>
      </c>
      <c r="F3537">
        <f>_xlfn.XLOOKUP($A3537,Load!$B:$B,Load!G:G,0,)</f>
        <v>0</v>
      </c>
      <c r="G3537">
        <f>_xlfn.XLOOKUP($A3537,Load!$B:$B,Load!H:H,0,)</f>
        <v>0</v>
      </c>
      <c r="H3537">
        <f>_xlfn.XLOOKUP($A3537,Load!$B:$B,Load!I:I,0,)</f>
        <v>0</v>
      </c>
      <c r="I3537">
        <f>_xlfn.XLOOKUP($A3537,Load!$B:$B,Load!J:J,0,)</f>
        <v>0</v>
      </c>
      <c r="J3537">
        <f>_xlfn.XLOOKUP($A3537,Load!$B:$B,Load!K:K,0,)</f>
        <v>0</v>
      </c>
      <c r="K3537">
        <f>_xlfn.XLOOKUP($A3537,Load!$B:$B,Load!L:L,0,)</f>
        <v>0</v>
      </c>
      <c r="L3537">
        <f>_xlfn.XLOOKUP($A3537,Load!$B:$B,Load!M:M,0,)</f>
        <v>0</v>
      </c>
    </row>
    <row r="3538" spans="1:12" x14ac:dyDescent="0.25">
      <c r="A3538" t="s">
        <v>228</v>
      </c>
      <c r="B3538" t="str">
        <f>_xlfn.XLOOKUP($A3538,Load!$B:$B,Load!C:C,0,)</f>
        <v>Nerds</v>
      </c>
      <c r="C3538" t="str">
        <f>_xlfn.XLOOKUP($A3538,Load!$B:$B,Load!D:D,0,)</f>
        <v>Non-Chocolate Candy Only</v>
      </c>
      <c r="D3538" t="str">
        <f>_xlfn.XLOOKUP($A3538,Load!$B:$B,Load!E:E,0,)</f>
        <v>Berry Based (Raspberry, Strawberry, Medley, etc.)</v>
      </c>
      <c r="E3538" t="str">
        <f>_xlfn.XLOOKUP($A3538,Load!$B:$B,Load!F:F,0,)</f>
        <v>Hard Candy</v>
      </c>
      <c r="F3538" t="str">
        <f>_xlfn.XLOOKUP($A3538,Load!$B:$B,Load!G:G,0,)</f>
        <v>Single Pack</v>
      </c>
      <c r="G3538" t="str">
        <f>_xlfn.XLOOKUP($A3538,Load!$B:$B,Load!H:H,0,)</f>
        <v>Laydown Bag</v>
      </c>
      <c r="H3538" t="str">
        <f>_xlfn.XLOOKUP($A3538,Load!$B:$B,Load!I:I,0,)</f>
        <v>Everyday Candy Shapes (like Original, Gummy bear, Fruit, Jewels, etc.)</v>
      </c>
      <c r="I3538" t="str">
        <f>_xlfn.XLOOKUP($A3538,Load!$B:$B,Load!J:J,0,)</f>
        <v>Seasonal Graphics (Like Bat, Ghost, Pumpkin, Fall Leaves, Eyeballs, etc.)</v>
      </c>
      <c r="J3538" t="str">
        <f>_xlfn.XLOOKUP($A3538,Load!$B:$B,Load!K:K,0,)</f>
        <v>Small Pieces (Tiny bite size candies)</v>
      </c>
      <c r="K3538" t="str">
        <f>_xlfn.XLOOKUP($A3538,Load!$B:$B,Load!L:L,0,)</f>
        <v>Unwrapped</v>
      </c>
      <c r="L3538" t="str">
        <f>_xlfn.XLOOKUP($A3538,Load!$B:$B,Load!M:M,0,)</f>
        <v>Single Brand / Variety Flavors or Form</v>
      </c>
    </row>
    <row r="3539" spans="1:12" x14ac:dyDescent="0.25">
      <c r="B3539">
        <f>_xlfn.XLOOKUP($A3539,Load!$B:$B,Load!C:C,0,)</f>
        <v>0</v>
      </c>
      <c r="C3539">
        <f>_xlfn.XLOOKUP($A3539,Load!$B:$B,Load!D:D,0,)</f>
        <v>0</v>
      </c>
      <c r="D3539">
        <f>_xlfn.XLOOKUP($A3539,Load!$B:$B,Load!E:E,0,)</f>
        <v>0</v>
      </c>
      <c r="E3539">
        <f>_xlfn.XLOOKUP($A3539,Load!$B:$B,Load!F:F,0,)</f>
        <v>0</v>
      </c>
      <c r="F3539">
        <f>_xlfn.XLOOKUP($A3539,Load!$B:$B,Load!G:G,0,)</f>
        <v>0</v>
      </c>
      <c r="G3539">
        <f>_xlfn.XLOOKUP($A3539,Load!$B:$B,Load!H:H,0,)</f>
        <v>0</v>
      </c>
      <c r="H3539">
        <f>_xlfn.XLOOKUP($A3539,Load!$B:$B,Load!I:I,0,)</f>
        <v>0</v>
      </c>
      <c r="I3539">
        <f>_xlfn.XLOOKUP($A3539,Load!$B:$B,Load!J:J,0,)</f>
        <v>0</v>
      </c>
      <c r="J3539">
        <f>_xlfn.XLOOKUP($A3539,Load!$B:$B,Load!K:K,0,)</f>
        <v>0</v>
      </c>
      <c r="K3539">
        <f>_xlfn.XLOOKUP($A3539,Load!$B:$B,Load!L:L,0,)</f>
        <v>0</v>
      </c>
      <c r="L3539">
        <f>_xlfn.XLOOKUP($A3539,Load!$B:$B,Load!M:M,0,)</f>
        <v>0</v>
      </c>
    </row>
    <row r="3540" spans="1:12" x14ac:dyDescent="0.25">
      <c r="A3540" t="s">
        <v>178</v>
      </c>
      <c r="B3540" t="str">
        <f>_xlfn.XLOOKUP($A3540,Load!$B:$B,Load!C:C,0,)</f>
        <v>Mars Variety Pack</v>
      </c>
      <c r="C3540" t="str">
        <f>_xlfn.XLOOKUP($A3540,Load!$B:$B,Load!D:D,0,)</f>
        <v>Mix of Chocolate and Non-Chocolate Candy</v>
      </c>
      <c r="D3540" t="str">
        <f>_xlfn.XLOOKUP($A3540,Load!$B:$B,Load!E:E,0,)</f>
        <v>Variety / Mixed Flavors (Fruity, Sour, Seasonal Flavors)</v>
      </c>
      <c r="E3540" t="str">
        <f>_xlfn.XLOOKUP($A3540,Load!$B:$B,Load!F:F,0,)</f>
        <v>Mixed / Combo Packs (Gummy, Chewy, Taffy, etc.)</v>
      </c>
      <c r="F3540" t="str">
        <f>_xlfn.XLOOKUP($A3540,Load!$B:$B,Load!G:G,0,)</f>
        <v>Small Multipack (Less than 40 ct)</v>
      </c>
      <c r="G3540" t="str">
        <f>_xlfn.XLOOKUP($A3540,Load!$B:$B,Load!H:H,0,)</f>
        <v>Laydown Bag</v>
      </c>
      <c r="H3540" t="str">
        <f>_xlfn.XLOOKUP($A3540,Load!$B:$B,Load!I:I,0,)</f>
        <v>Everyday Candy Shapes (like Original, Gummy bear, Fruit, Jewels, etc.)</v>
      </c>
      <c r="I3540" t="str">
        <f>_xlfn.XLOOKUP($A3540,Load!$B:$B,Load!J:J,0,)</f>
        <v>Seasonal Graphics (Like Bat, Ghost, Pumpkin, Fall Leaves, Eyeballs, etc.)</v>
      </c>
      <c r="J3540" t="str">
        <f>_xlfn.XLOOKUP($A3540,Load!$B:$B,Load!K:K,0,)</f>
        <v xml:space="preserve">Variety Candy Sizes </v>
      </c>
      <c r="K3540" t="str">
        <f>_xlfn.XLOOKUP($A3540,Load!$B:$B,Load!L:L,0,)</f>
        <v>Regular/Original Wrapping</v>
      </c>
      <c r="L3540" t="str">
        <f>_xlfn.XLOOKUP($A3540,Load!$B:$B,Load!M:M,0,)</f>
        <v>Multiple Brands / Variety Flavors or Form</v>
      </c>
    </row>
    <row r="3541" spans="1:12" x14ac:dyDescent="0.25">
      <c r="A3541" t="s">
        <v>293</v>
      </c>
      <c r="B3541" t="str">
        <f>_xlfn.XLOOKUP($A3541,Load!$B:$B,Load!C:C,0,)</f>
        <v>Tootsie</v>
      </c>
      <c r="C3541" t="str">
        <f>_xlfn.XLOOKUP($A3541,Load!$B:$B,Load!D:D,0,)</f>
        <v>Mix of Chocolate and Non-Chocolate Candy</v>
      </c>
      <c r="D3541" t="str">
        <f>_xlfn.XLOOKUP($A3541,Load!$B:$B,Load!E:E,0,)</f>
        <v>Sweet</v>
      </c>
      <c r="E3541" t="str">
        <f>_xlfn.XLOOKUP($A3541,Load!$B:$B,Load!F:F,0,)</f>
        <v>Lollipop (regular or lollipop rings)</v>
      </c>
      <c r="F3541" t="str">
        <f>_xlfn.XLOOKUP($A3541,Load!$B:$B,Load!G:G,0,)</f>
        <v>Large Multipack (More than 80 ct)</v>
      </c>
      <c r="G3541" t="str">
        <f>_xlfn.XLOOKUP($A3541,Load!$B:$B,Load!H:H,0,)</f>
        <v>Laydown Bag</v>
      </c>
      <c r="H3541" t="str">
        <f>_xlfn.XLOOKUP($A3541,Load!$B:$B,Load!I:I,0,)</f>
        <v>Everyday Candy Shapes (like Original, Gummy bear, Fruit, Jewels, etc.)</v>
      </c>
      <c r="I3541" t="str">
        <f>_xlfn.XLOOKUP($A3541,Load!$B:$B,Load!J:J,0,)</f>
        <v>Everyday Graphics</v>
      </c>
      <c r="J3541" t="str">
        <f>_xlfn.XLOOKUP($A3541,Load!$B:$B,Load!K:K,0,)</f>
        <v>Regular Lollipop size (on sticks or rings)</v>
      </c>
      <c r="K3541" t="str">
        <f>_xlfn.XLOOKUP($A3541,Load!$B:$B,Load!L:L,0,)</f>
        <v>Regular/Original Wrapping</v>
      </c>
      <c r="L3541" t="str">
        <f>_xlfn.XLOOKUP($A3541,Load!$B:$B,Load!M:M,0,)</f>
        <v>Single Brand / Single Flavor or Form</v>
      </c>
    </row>
    <row r="3542" spans="1:12" x14ac:dyDescent="0.25">
      <c r="A3542" t="s">
        <v>252</v>
      </c>
      <c r="B3542" t="str">
        <f>_xlfn.XLOOKUP($A3542,Load!$B:$B,Load!C:C,0,)</f>
        <v>Skittles</v>
      </c>
      <c r="C3542" t="str">
        <f>_xlfn.XLOOKUP($A3542,Load!$B:$B,Load!D:D,0,)</f>
        <v>Non-Chocolate Candy Only</v>
      </c>
      <c r="D3542" t="str">
        <f>_xlfn.XLOOKUP($A3542,Load!$B:$B,Load!E:E,0,)</f>
        <v>Sour</v>
      </c>
      <c r="E3542" t="str">
        <f>_xlfn.XLOOKUP($A3542,Load!$B:$B,Load!F:F,0,)</f>
        <v>Candy Pieces / Bites</v>
      </c>
      <c r="F3542" t="str">
        <f>_xlfn.XLOOKUP($A3542,Load!$B:$B,Load!G:G,0,)</f>
        <v>Single Pack</v>
      </c>
      <c r="G3542" t="str">
        <f>_xlfn.XLOOKUP($A3542,Load!$B:$B,Load!H:H,0,)</f>
        <v>Laydown Bag</v>
      </c>
      <c r="H3542" t="str">
        <f>_xlfn.XLOOKUP($A3542,Load!$B:$B,Load!I:I,0,)</f>
        <v>Everyday Candy Shapes (like Original, Gummy bear, Fruit, Jewels, etc.)</v>
      </c>
      <c r="I3542" t="str">
        <f>_xlfn.XLOOKUP($A3542,Load!$B:$B,Load!J:J,0,)</f>
        <v>Seasonal Graphics (Like Bat, Ghost, Pumpkin, Fall Leaves, Eyeballs, etc.)</v>
      </c>
      <c r="J3542" t="str">
        <f>_xlfn.XLOOKUP($A3542,Load!$B:$B,Load!K:K,0,)</f>
        <v>Small Pieces (Tiny bite size candies)</v>
      </c>
      <c r="K3542" t="str">
        <f>_xlfn.XLOOKUP($A3542,Load!$B:$B,Load!L:L,0,)</f>
        <v>Unwrapped</v>
      </c>
      <c r="L3542" t="str">
        <f>_xlfn.XLOOKUP($A3542,Load!$B:$B,Load!M:M,0,)</f>
        <v>Single Brand / Variety Flavors or Form</v>
      </c>
    </row>
    <row r="3543" spans="1:12" x14ac:dyDescent="0.25">
      <c r="A3543" t="s">
        <v>66</v>
      </c>
      <c r="B3543" t="str">
        <f>_xlfn.XLOOKUP($A3543,Load!$B:$B,Load!C:C,0,)</f>
        <v>Dots</v>
      </c>
      <c r="C3543" t="str">
        <f>_xlfn.XLOOKUP($A3543,Load!$B:$B,Load!D:D,0,)</f>
        <v>Non-Chocolate Candy Only</v>
      </c>
      <c r="D3543" t="str">
        <f>_xlfn.XLOOKUP($A3543,Load!$B:$B,Load!E:E,0,)</f>
        <v>Variety / Mixed Flavors (Fruity, Sour, Seasonal Flavors)</v>
      </c>
      <c r="E3543" t="str">
        <f>_xlfn.XLOOKUP($A3543,Load!$B:$B,Load!F:F,0,)</f>
        <v>Candy Pieces / Bites</v>
      </c>
      <c r="F3543" t="str">
        <f>_xlfn.XLOOKUP($A3543,Load!$B:$B,Load!G:G,0,)</f>
        <v>Small Multipack (Less than 40 ct)</v>
      </c>
      <c r="G3543" t="str">
        <f>_xlfn.XLOOKUP($A3543,Load!$B:$B,Load!H:H,0,)</f>
        <v>Stand-Up Bag</v>
      </c>
      <c r="H3543" t="str">
        <f>_xlfn.XLOOKUP($A3543,Load!$B:$B,Load!I:I,0,)</f>
        <v>Seasonal Shapes (like pumpkins, candy corn, ghost, bats, etc.)</v>
      </c>
      <c r="I3543" t="str">
        <f>_xlfn.XLOOKUP($A3543,Load!$B:$B,Load!J:J,0,)</f>
        <v>Seasonal Graphics (Like Bat, Ghost, Pumpkin, Fall Leaves, Eyeballs, etc.)</v>
      </c>
      <c r="J3543" t="str">
        <f>_xlfn.XLOOKUP($A3543,Load!$B:$B,Load!K:K,0,)</f>
        <v>Fun Size / Treat Size</v>
      </c>
      <c r="K3543" t="str">
        <f>_xlfn.XLOOKUP($A3543,Load!$B:$B,Load!L:L,0,)</f>
        <v>Regular/Original Wrapping</v>
      </c>
      <c r="L3543" t="str">
        <f>_xlfn.XLOOKUP($A3543,Load!$B:$B,Load!M:M,0,)</f>
        <v>Single Brand / Variety Flavors or Form</v>
      </c>
    </row>
    <row r="3544" spans="1:12" x14ac:dyDescent="0.25">
      <c r="B3544">
        <f>_xlfn.XLOOKUP($A3544,Load!$B:$B,Load!C:C,0,)</f>
        <v>0</v>
      </c>
      <c r="C3544">
        <f>_xlfn.XLOOKUP($A3544,Load!$B:$B,Load!D:D,0,)</f>
        <v>0</v>
      </c>
      <c r="D3544">
        <f>_xlfn.XLOOKUP($A3544,Load!$B:$B,Load!E:E,0,)</f>
        <v>0</v>
      </c>
      <c r="E3544">
        <f>_xlfn.XLOOKUP($A3544,Load!$B:$B,Load!F:F,0,)</f>
        <v>0</v>
      </c>
      <c r="F3544">
        <f>_xlfn.XLOOKUP($A3544,Load!$B:$B,Load!G:G,0,)</f>
        <v>0</v>
      </c>
      <c r="G3544">
        <f>_xlfn.XLOOKUP($A3544,Load!$B:$B,Load!H:H,0,)</f>
        <v>0</v>
      </c>
      <c r="H3544">
        <f>_xlfn.XLOOKUP($A3544,Load!$B:$B,Load!I:I,0,)</f>
        <v>0</v>
      </c>
      <c r="I3544">
        <f>_xlfn.XLOOKUP($A3544,Load!$B:$B,Load!J:J,0,)</f>
        <v>0</v>
      </c>
      <c r="J3544">
        <f>_xlfn.XLOOKUP($A3544,Load!$B:$B,Load!K:K,0,)</f>
        <v>0</v>
      </c>
      <c r="K3544">
        <f>_xlfn.XLOOKUP($A3544,Load!$B:$B,Load!L:L,0,)</f>
        <v>0</v>
      </c>
      <c r="L3544">
        <f>_xlfn.XLOOKUP($A3544,Load!$B:$B,Load!M:M,0,)</f>
        <v>0</v>
      </c>
    </row>
    <row r="3545" spans="1:12" x14ac:dyDescent="0.25">
      <c r="B3545">
        <f>_xlfn.XLOOKUP($A3545,Load!$B:$B,Load!C:C,0,)</f>
        <v>0</v>
      </c>
      <c r="C3545">
        <f>_xlfn.XLOOKUP($A3545,Load!$B:$B,Load!D:D,0,)</f>
        <v>0</v>
      </c>
      <c r="D3545">
        <f>_xlfn.XLOOKUP($A3545,Load!$B:$B,Load!E:E,0,)</f>
        <v>0</v>
      </c>
      <c r="E3545">
        <f>_xlfn.XLOOKUP($A3545,Load!$B:$B,Load!F:F,0,)</f>
        <v>0</v>
      </c>
      <c r="F3545">
        <f>_xlfn.XLOOKUP($A3545,Load!$B:$B,Load!G:G,0,)</f>
        <v>0</v>
      </c>
      <c r="G3545">
        <f>_xlfn.XLOOKUP($A3545,Load!$B:$B,Load!H:H,0,)</f>
        <v>0</v>
      </c>
      <c r="H3545">
        <f>_xlfn.XLOOKUP($A3545,Load!$B:$B,Load!I:I,0,)</f>
        <v>0</v>
      </c>
      <c r="I3545">
        <f>_xlfn.XLOOKUP($A3545,Load!$B:$B,Load!J:J,0,)</f>
        <v>0</v>
      </c>
      <c r="J3545">
        <f>_xlfn.XLOOKUP($A3545,Load!$B:$B,Load!K:K,0,)</f>
        <v>0</v>
      </c>
      <c r="K3545">
        <f>_xlfn.XLOOKUP($A3545,Load!$B:$B,Load!L:L,0,)</f>
        <v>0</v>
      </c>
      <c r="L3545">
        <f>_xlfn.XLOOKUP($A3545,Load!$B:$B,Load!M:M,0,)</f>
        <v>0</v>
      </c>
    </row>
    <row r="3546" spans="1:12" x14ac:dyDescent="0.25">
      <c r="B3546">
        <f>_xlfn.XLOOKUP($A3546,Load!$B:$B,Load!C:C,0,)</f>
        <v>0</v>
      </c>
      <c r="C3546">
        <f>_xlfn.XLOOKUP($A3546,Load!$B:$B,Load!D:D,0,)</f>
        <v>0</v>
      </c>
      <c r="D3546">
        <f>_xlfn.XLOOKUP($A3546,Load!$B:$B,Load!E:E,0,)</f>
        <v>0</v>
      </c>
      <c r="E3546">
        <f>_xlfn.XLOOKUP($A3546,Load!$B:$B,Load!F:F,0,)</f>
        <v>0</v>
      </c>
      <c r="F3546">
        <f>_xlfn.XLOOKUP($A3546,Load!$B:$B,Load!G:G,0,)</f>
        <v>0</v>
      </c>
      <c r="G3546">
        <f>_xlfn.XLOOKUP($A3546,Load!$B:$B,Load!H:H,0,)</f>
        <v>0</v>
      </c>
      <c r="H3546">
        <f>_xlfn.XLOOKUP($A3546,Load!$B:$B,Load!I:I,0,)</f>
        <v>0</v>
      </c>
      <c r="I3546">
        <f>_xlfn.XLOOKUP($A3546,Load!$B:$B,Load!J:J,0,)</f>
        <v>0</v>
      </c>
      <c r="J3546">
        <f>_xlfn.XLOOKUP($A3546,Load!$B:$B,Load!K:K,0,)</f>
        <v>0</v>
      </c>
      <c r="K3546">
        <f>_xlfn.XLOOKUP($A3546,Load!$B:$B,Load!L:L,0,)</f>
        <v>0</v>
      </c>
      <c r="L3546">
        <f>_xlfn.XLOOKUP($A3546,Load!$B:$B,Load!M:M,0,)</f>
        <v>0</v>
      </c>
    </row>
    <row r="3547" spans="1:12" x14ac:dyDescent="0.25">
      <c r="B3547">
        <f>_xlfn.XLOOKUP($A3547,Load!$B:$B,Load!C:C,0,)</f>
        <v>0</v>
      </c>
      <c r="C3547">
        <f>_xlfn.XLOOKUP($A3547,Load!$B:$B,Load!D:D,0,)</f>
        <v>0</v>
      </c>
      <c r="D3547">
        <f>_xlfn.XLOOKUP($A3547,Load!$B:$B,Load!E:E,0,)</f>
        <v>0</v>
      </c>
      <c r="E3547">
        <f>_xlfn.XLOOKUP($A3547,Load!$B:$B,Load!F:F,0,)</f>
        <v>0</v>
      </c>
      <c r="F3547">
        <f>_xlfn.XLOOKUP($A3547,Load!$B:$B,Load!G:G,0,)</f>
        <v>0</v>
      </c>
      <c r="G3547">
        <f>_xlfn.XLOOKUP($A3547,Load!$B:$B,Load!H:H,0,)</f>
        <v>0</v>
      </c>
      <c r="H3547">
        <f>_xlfn.XLOOKUP($A3547,Load!$B:$B,Load!I:I,0,)</f>
        <v>0</v>
      </c>
      <c r="I3547">
        <f>_xlfn.XLOOKUP($A3547,Load!$B:$B,Load!J:J,0,)</f>
        <v>0</v>
      </c>
      <c r="J3547">
        <f>_xlfn.XLOOKUP($A3547,Load!$B:$B,Load!K:K,0,)</f>
        <v>0</v>
      </c>
      <c r="K3547">
        <f>_xlfn.XLOOKUP($A3547,Load!$B:$B,Load!L:L,0,)</f>
        <v>0</v>
      </c>
      <c r="L3547">
        <f>_xlfn.XLOOKUP($A3547,Load!$B:$B,Load!M:M,0,)</f>
        <v>0</v>
      </c>
    </row>
    <row r="3548" spans="1:12" x14ac:dyDescent="0.25">
      <c r="A3548" t="s">
        <v>71</v>
      </c>
      <c r="B3548" t="str">
        <f>_xlfn.XLOOKUP($A3548,Load!$B:$B,Load!C:C,0,)</f>
        <v>Dum Dums</v>
      </c>
      <c r="C3548" t="str">
        <f>_xlfn.XLOOKUP($A3548,Load!$B:$B,Load!D:D,0,)</f>
        <v>Non-Chocolate Candy Only</v>
      </c>
      <c r="D3548" t="str">
        <f>_xlfn.XLOOKUP($A3548,Load!$B:$B,Load!E:E,0,)</f>
        <v>Sweet</v>
      </c>
      <c r="E3548" t="str">
        <f>_xlfn.XLOOKUP($A3548,Load!$B:$B,Load!F:F,0,)</f>
        <v>Lollipop (regular or lollipop rings)</v>
      </c>
      <c r="F3548" t="str">
        <f>_xlfn.XLOOKUP($A3548,Load!$B:$B,Load!G:G,0,)</f>
        <v>Large Multipack (More than 80 ct)</v>
      </c>
      <c r="G3548" t="str">
        <f>_xlfn.XLOOKUP($A3548,Load!$B:$B,Load!H:H,0,)</f>
        <v>Stand-Up Bag</v>
      </c>
      <c r="H3548" t="str">
        <f>_xlfn.XLOOKUP($A3548,Load!$B:$B,Load!I:I,0,)</f>
        <v>Everyday Candy Shapes (like Original, Gummy bear, Fruit, Jewels, etc.)</v>
      </c>
      <c r="I3548" t="str">
        <f>_xlfn.XLOOKUP($A3548,Load!$B:$B,Load!J:J,0,)</f>
        <v>Seasonal Graphics (Like Bat, Ghost, Pumpkin, Fall Leaves, Eyeballs, etc.)</v>
      </c>
      <c r="J3548" t="str">
        <f>_xlfn.XLOOKUP($A3548,Load!$B:$B,Load!K:K,0,)</f>
        <v>Regular Lollipop size (on sticks or rings)</v>
      </c>
      <c r="K3548" t="str">
        <f>_xlfn.XLOOKUP($A3548,Load!$B:$B,Load!L:L,0,)</f>
        <v>Regular/Original Wrapping</v>
      </c>
      <c r="L3548" t="str">
        <f>_xlfn.XLOOKUP($A3548,Load!$B:$B,Load!M:M,0,)</f>
        <v>Multiple Brands / Variety Flavors or Form</v>
      </c>
    </row>
    <row r="3549" spans="1:12" x14ac:dyDescent="0.25">
      <c r="A3549" t="s">
        <v>175</v>
      </c>
      <c r="B3549" t="str">
        <f>_xlfn.XLOOKUP($A3549,Load!$B:$B,Load!C:C,0,)</f>
        <v>Mars Variety Pack</v>
      </c>
      <c r="C3549" t="str">
        <f>_xlfn.XLOOKUP($A3549,Load!$B:$B,Load!D:D,0,)</f>
        <v>Mix of Chocolate and Non-Chocolate Candy</v>
      </c>
      <c r="D3549" t="str">
        <f>_xlfn.XLOOKUP($A3549,Load!$B:$B,Load!E:E,0,)</f>
        <v>Variety / Mixed Flavors (Fruity, Sour, Seasonal Flavors)</v>
      </c>
      <c r="E3549" t="str">
        <f>_xlfn.XLOOKUP($A3549,Load!$B:$B,Load!F:F,0,)</f>
        <v>Mixed / Combo Packs (Gummy, Chewy, Taffy, etc.)</v>
      </c>
      <c r="F3549" t="str">
        <f>_xlfn.XLOOKUP($A3549,Load!$B:$B,Load!G:G,0,)</f>
        <v>Large Multipack (More than 80 ct)</v>
      </c>
      <c r="G3549" t="str">
        <f>_xlfn.XLOOKUP($A3549,Load!$B:$B,Load!H:H,0,)</f>
        <v>Stand-Up Bag</v>
      </c>
      <c r="H3549" t="str">
        <f>_xlfn.XLOOKUP($A3549,Load!$B:$B,Load!I:I,0,)</f>
        <v>Everyday Candy Shapes (like Original, Gummy bear, Fruit, Jewels, etc.)</v>
      </c>
      <c r="I3549" t="str">
        <f>_xlfn.XLOOKUP($A3549,Load!$B:$B,Load!J:J,0,)</f>
        <v>Seasonal Graphics (Like Bat, Ghost, Pumpkin, Fall Leaves, Eyeballs, etc.)</v>
      </c>
      <c r="J3549" t="str">
        <f>_xlfn.XLOOKUP($A3549,Load!$B:$B,Load!K:K,0,)</f>
        <v xml:space="preserve">Variety Candy Sizes </v>
      </c>
      <c r="K3549" t="str">
        <f>_xlfn.XLOOKUP($A3549,Load!$B:$B,Load!L:L,0,)</f>
        <v>Regular/Original Wrapping</v>
      </c>
      <c r="L3549" t="str">
        <f>_xlfn.XLOOKUP($A3549,Load!$B:$B,Load!M:M,0,)</f>
        <v>Multiple Brands / Variety Flavors or Form</v>
      </c>
    </row>
    <row r="3550" spans="1:12" x14ac:dyDescent="0.25">
      <c r="A3550" t="s">
        <v>116</v>
      </c>
      <c r="B3550" t="str">
        <f>_xlfn.XLOOKUP($A3550,Load!$B:$B,Load!C:C,0,)</f>
        <v>George Howe</v>
      </c>
      <c r="C3550" t="str">
        <f>_xlfn.XLOOKUP($A3550,Load!$B:$B,Load!D:D,0,)</f>
        <v>Mix of Chocolate and Non-Chocolate Candy</v>
      </c>
      <c r="D3550" t="str">
        <f>_xlfn.XLOOKUP($A3550,Load!$B:$B,Load!E:E,0,)</f>
        <v>Fall / Seasonal Flavors (pumpkin spice, caramel apple, candy corn)</v>
      </c>
      <c r="E3550" t="str">
        <f>_xlfn.XLOOKUP($A3550,Load!$B:$B,Load!F:F,0,)</f>
        <v>Candy Pieces / Bites</v>
      </c>
      <c r="F3550" t="str">
        <f>_xlfn.XLOOKUP($A3550,Load!$B:$B,Load!G:G,0,)</f>
        <v>Single Pack</v>
      </c>
      <c r="G3550" t="str">
        <f>_xlfn.XLOOKUP($A3550,Load!$B:$B,Load!H:H,0,)</f>
        <v>Laydown Bag</v>
      </c>
      <c r="H3550" t="str">
        <f>_xlfn.XLOOKUP($A3550,Load!$B:$B,Load!I:I,0,)</f>
        <v>Seasonal Shapes (like pumpkins, candy corn, ghost, bats, etc.)</v>
      </c>
      <c r="I3550" t="str">
        <f>_xlfn.XLOOKUP($A3550,Load!$B:$B,Load!J:J,0,)</f>
        <v>Everyday Graphics</v>
      </c>
      <c r="J3550" t="str">
        <f>_xlfn.XLOOKUP($A3550,Load!$B:$B,Load!K:K,0,)</f>
        <v>Small Pieces (Tiny bite size candies)</v>
      </c>
      <c r="K3550" t="str">
        <f>_xlfn.XLOOKUP($A3550,Load!$B:$B,Load!L:L,0,)</f>
        <v>Unwrapped</v>
      </c>
      <c r="L3550" t="str">
        <f>_xlfn.XLOOKUP($A3550,Load!$B:$B,Load!M:M,0,)</f>
        <v>Single Brand / Variety Flavors or Form</v>
      </c>
    </row>
    <row r="3551" spans="1:12" x14ac:dyDescent="0.25">
      <c r="B3551">
        <f>_xlfn.XLOOKUP($A3551,Load!$B:$B,Load!C:C,0,)</f>
        <v>0</v>
      </c>
      <c r="C3551">
        <f>_xlfn.XLOOKUP($A3551,Load!$B:$B,Load!D:D,0,)</f>
        <v>0</v>
      </c>
      <c r="D3551">
        <f>_xlfn.XLOOKUP($A3551,Load!$B:$B,Load!E:E,0,)</f>
        <v>0</v>
      </c>
      <c r="E3551">
        <f>_xlfn.XLOOKUP($A3551,Load!$B:$B,Load!F:F,0,)</f>
        <v>0</v>
      </c>
      <c r="F3551">
        <f>_xlfn.XLOOKUP($A3551,Load!$B:$B,Load!G:G,0,)</f>
        <v>0</v>
      </c>
      <c r="G3551">
        <f>_xlfn.XLOOKUP($A3551,Load!$B:$B,Load!H:H,0,)</f>
        <v>0</v>
      </c>
      <c r="H3551">
        <f>_xlfn.XLOOKUP($A3551,Load!$B:$B,Load!I:I,0,)</f>
        <v>0</v>
      </c>
      <c r="I3551">
        <f>_xlfn.XLOOKUP($A3551,Load!$B:$B,Load!J:J,0,)</f>
        <v>0</v>
      </c>
      <c r="J3551">
        <f>_xlfn.XLOOKUP($A3551,Load!$B:$B,Load!K:K,0,)</f>
        <v>0</v>
      </c>
      <c r="K3551">
        <f>_xlfn.XLOOKUP($A3551,Load!$B:$B,Load!L:L,0,)</f>
        <v>0</v>
      </c>
      <c r="L3551">
        <f>_xlfn.XLOOKUP($A3551,Load!$B:$B,Load!M:M,0,)</f>
        <v>0</v>
      </c>
    </row>
    <row r="3552" spans="1:12" x14ac:dyDescent="0.25">
      <c r="A3552" t="s">
        <v>102</v>
      </c>
      <c r="B3552" t="str">
        <f>_xlfn.XLOOKUP($A3552,Load!$B:$B,Load!C:C,0,)</f>
        <v>Flix</v>
      </c>
      <c r="C3552" t="str">
        <f>_xlfn.XLOOKUP($A3552,Load!$B:$B,Load!D:D,0,)</f>
        <v>Non-Chocolate Candy Only</v>
      </c>
      <c r="D3552" t="str">
        <f>_xlfn.XLOOKUP($A3552,Load!$B:$B,Load!E:E,0,)</f>
        <v>Berry Based (Raspberry, Strawberry, Medley, etc.)</v>
      </c>
      <c r="E3552" t="str">
        <f>_xlfn.XLOOKUP($A3552,Load!$B:$B,Load!F:F,0,)</f>
        <v>Lollipop (regular or lollipop rings)</v>
      </c>
      <c r="F3552" t="str">
        <f>_xlfn.XLOOKUP($A3552,Load!$B:$B,Load!G:G,0,)</f>
        <v>Small Multipack (Less than 40 ct)</v>
      </c>
      <c r="G3552" t="str">
        <f>_xlfn.XLOOKUP($A3552,Load!$B:$B,Load!H:H,0,)</f>
        <v>Box (theatre box, gift box, carton)</v>
      </c>
      <c r="H3552" t="str">
        <f>_xlfn.XLOOKUP($A3552,Load!$B:$B,Load!I:I,0,)</f>
        <v>Seasonal Shapes (like pumpkins, candy corn, ghost, bats, etc.)</v>
      </c>
      <c r="I3552" t="str">
        <f>_xlfn.XLOOKUP($A3552,Load!$B:$B,Load!J:J,0,)</f>
        <v>Seasonal Graphics (Like Bat, Ghost, Pumpkin, Fall Leaves, Eyeballs, etc.)</v>
      </c>
      <c r="J3552" t="str">
        <f>_xlfn.XLOOKUP($A3552,Load!$B:$B,Load!K:K,0,)</f>
        <v>Regular Lollipop size (on sticks or rings)</v>
      </c>
      <c r="K3552" t="str">
        <f>_xlfn.XLOOKUP($A3552,Load!$B:$B,Load!L:L,0,)</f>
        <v>Regular/Original Wrapping</v>
      </c>
      <c r="L3552" t="str">
        <f>_xlfn.XLOOKUP($A3552,Load!$B:$B,Load!M:M,0,)</f>
        <v>Single Brand / Variety Flavors or Form</v>
      </c>
    </row>
    <row r="3553" spans="1:12" x14ac:dyDescent="0.25">
      <c r="A3553" t="s">
        <v>104</v>
      </c>
      <c r="B3553" t="str">
        <f>_xlfn.XLOOKUP($A3553,Load!$B:$B,Load!C:C,0,)</f>
        <v>Frankford</v>
      </c>
      <c r="C3553" t="str">
        <f>_xlfn.XLOOKUP($A3553,Load!$B:$B,Load!D:D,0,)</f>
        <v>Non-Chocolate Candy Only</v>
      </c>
      <c r="D3553" t="str">
        <f>_xlfn.XLOOKUP($A3553,Load!$B:$B,Load!E:E,0,)</f>
        <v>Variety / Mixed Flavors (Fruity, Sour, Seasonal Flavors)</v>
      </c>
      <c r="E3553" t="str">
        <f>_xlfn.XLOOKUP($A3553,Load!$B:$B,Load!F:F,0,)</f>
        <v>Mixed / Combo Packs (Gummy, Chewy, Taffy, etc.)</v>
      </c>
      <c r="F3553" t="str">
        <f>_xlfn.XLOOKUP($A3553,Load!$B:$B,Load!G:G,0,)</f>
        <v>Large Multipack (More than 80 ct)</v>
      </c>
      <c r="G3553" t="str">
        <f>_xlfn.XLOOKUP($A3553,Load!$B:$B,Load!H:H,0,)</f>
        <v>Stand-Up Bag</v>
      </c>
      <c r="H3553" t="str">
        <f>_xlfn.XLOOKUP($A3553,Load!$B:$B,Load!I:I,0,)</f>
        <v>Seasonal Shapes (like pumpkins, candy corn, ghost, bats, etc.)</v>
      </c>
      <c r="I3553" t="str">
        <f>_xlfn.XLOOKUP($A3553,Load!$B:$B,Load!J:J,0,)</f>
        <v>Seasonal Graphics (Like Bat, Ghost, Pumpkin, Fall Leaves, Eyeballs, etc.)</v>
      </c>
      <c r="J3553" t="str">
        <f>_xlfn.XLOOKUP($A3553,Load!$B:$B,Load!K:K,0,)</f>
        <v xml:space="preserve">Variety Candy Sizes </v>
      </c>
      <c r="K3553" t="str">
        <f>_xlfn.XLOOKUP($A3553,Load!$B:$B,Load!L:L,0,)</f>
        <v>Regular/Original Wrapping</v>
      </c>
      <c r="L3553" t="str">
        <f>_xlfn.XLOOKUP($A3553,Load!$B:$B,Load!M:M,0,)</f>
        <v>Multiple Brands / Variety Flavors or Form</v>
      </c>
    </row>
    <row r="3554" spans="1:12" x14ac:dyDescent="0.25">
      <c r="A3554" t="s">
        <v>66</v>
      </c>
      <c r="B3554" t="str">
        <f>_xlfn.XLOOKUP($A3554,Load!$B:$B,Load!C:C,0,)</f>
        <v>Dots</v>
      </c>
      <c r="C3554" t="str">
        <f>_xlfn.XLOOKUP($A3554,Load!$B:$B,Load!D:D,0,)</f>
        <v>Non-Chocolate Candy Only</v>
      </c>
      <c r="D3554" t="str">
        <f>_xlfn.XLOOKUP($A3554,Load!$B:$B,Load!E:E,0,)</f>
        <v>Variety / Mixed Flavors (Fruity, Sour, Seasonal Flavors)</v>
      </c>
      <c r="E3554" t="str">
        <f>_xlfn.XLOOKUP($A3554,Load!$B:$B,Load!F:F,0,)</f>
        <v>Candy Pieces / Bites</v>
      </c>
      <c r="F3554" t="str">
        <f>_xlfn.XLOOKUP($A3554,Load!$B:$B,Load!G:G,0,)</f>
        <v>Small Multipack (Less than 40 ct)</v>
      </c>
      <c r="G3554" t="str">
        <f>_xlfn.XLOOKUP($A3554,Load!$B:$B,Load!H:H,0,)</f>
        <v>Stand-Up Bag</v>
      </c>
      <c r="H3554" t="str">
        <f>_xlfn.XLOOKUP($A3554,Load!$B:$B,Load!I:I,0,)</f>
        <v>Seasonal Shapes (like pumpkins, candy corn, ghost, bats, etc.)</v>
      </c>
      <c r="I3554" t="str">
        <f>_xlfn.XLOOKUP($A3554,Load!$B:$B,Load!J:J,0,)</f>
        <v>Seasonal Graphics (Like Bat, Ghost, Pumpkin, Fall Leaves, Eyeballs, etc.)</v>
      </c>
      <c r="J3554" t="str">
        <f>_xlfn.XLOOKUP($A3554,Load!$B:$B,Load!K:K,0,)</f>
        <v>Fun Size / Treat Size</v>
      </c>
      <c r="K3554" t="str">
        <f>_xlfn.XLOOKUP($A3554,Load!$B:$B,Load!L:L,0,)</f>
        <v>Regular/Original Wrapping</v>
      </c>
      <c r="L3554" t="str">
        <f>_xlfn.XLOOKUP($A3554,Load!$B:$B,Load!M:M,0,)</f>
        <v>Single Brand / Variety Flavors or Form</v>
      </c>
    </row>
    <row r="3555" spans="1:12" x14ac:dyDescent="0.25">
      <c r="B3555">
        <f>_xlfn.XLOOKUP($A3555,Load!$B:$B,Load!C:C,0,)</f>
        <v>0</v>
      </c>
      <c r="C3555">
        <f>_xlfn.XLOOKUP($A3555,Load!$B:$B,Load!D:D,0,)</f>
        <v>0</v>
      </c>
      <c r="D3555">
        <f>_xlfn.XLOOKUP($A3555,Load!$B:$B,Load!E:E,0,)</f>
        <v>0</v>
      </c>
      <c r="E3555">
        <f>_xlfn.XLOOKUP($A3555,Load!$B:$B,Load!F:F,0,)</f>
        <v>0</v>
      </c>
      <c r="F3555">
        <f>_xlfn.XLOOKUP($A3555,Load!$B:$B,Load!G:G,0,)</f>
        <v>0</v>
      </c>
      <c r="G3555">
        <f>_xlfn.XLOOKUP($A3555,Load!$B:$B,Load!H:H,0,)</f>
        <v>0</v>
      </c>
      <c r="H3555">
        <f>_xlfn.XLOOKUP($A3555,Load!$B:$B,Load!I:I,0,)</f>
        <v>0</v>
      </c>
      <c r="I3555">
        <f>_xlfn.XLOOKUP($A3555,Load!$B:$B,Load!J:J,0,)</f>
        <v>0</v>
      </c>
      <c r="J3555">
        <f>_xlfn.XLOOKUP($A3555,Load!$B:$B,Load!K:K,0,)</f>
        <v>0</v>
      </c>
      <c r="K3555">
        <f>_xlfn.XLOOKUP($A3555,Load!$B:$B,Load!L:L,0,)</f>
        <v>0</v>
      </c>
      <c r="L3555">
        <f>_xlfn.XLOOKUP($A3555,Load!$B:$B,Load!M:M,0,)</f>
        <v>0</v>
      </c>
    </row>
    <row r="3556" spans="1:12" x14ac:dyDescent="0.25">
      <c r="B3556">
        <f>_xlfn.XLOOKUP($A3556,Load!$B:$B,Load!C:C,0,)</f>
        <v>0</v>
      </c>
      <c r="C3556">
        <f>_xlfn.XLOOKUP($A3556,Load!$B:$B,Load!D:D,0,)</f>
        <v>0</v>
      </c>
      <c r="D3556">
        <f>_xlfn.XLOOKUP($A3556,Load!$B:$B,Load!E:E,0,)</f>
        <v>0</v>
      </c>
      <c r="E3556">
        <f>_xlfn.XLOOKUP($A3556,Load!$B:$B,Load!F:F,0,)</f>
        <v>0</v>
      </c>
      <c r="F3556">
        <f>_xlfn.XLOOKUP($A3556,Load!$B:$B,Load!G:G,0,)</f>
        <v>0</v>
      </c>
      <c r="G3556">
        <f>_xlfn.XLOOKUP($A3556,Load!$B:$B,Load!H:H,0,)</f>
        <v>0</v>
      </c>
      <c r="H3556">
        <f>_xlfn.XLOOKUP($A3556,Load!$B:$B,Load!I:I,0,)</f>
        <v>0</v>
      </c>
      <c r="I3556">
        <f>_xlfn.XLOOKUP($A3556,Load!$B:$B,Load!J:J,0,)</f>
        <v>0</v>
      </c>
      <c r="J3556">
        <f>_xlfn.XLOOKUP($A3556,Load!$B:$B,Load!K:K,0,)</f>
        <v>0</v>
      </c>
      <c r="K3556">
        <f>_xlfn.XLOOKUP($A3556,Load!$B:$B,Load!L:L,0,)</f>
        <v>0</v>
      </c>
      <c r="L3556">
        <f>_xlfn.XLOOKUP($A3556,Load!$B:$B,Load!M:M,0,)</f>
        <v>0</v>
      </c>
    </row>
    <row r="3557" spans="1:12" x14ac:dyDescent="0.25">
      <c r="B3557">
        <f>_xlfn.XLOOKUP($A3557,Load!$B:$B,Load!C:C,0,)</f>
        <v>0</v>
      </c>
      <c r="C3557">
        <f>_xlfn.XLOOKUP($A3557,Load!$B:$B,Load!D:D,0,)</f>
        <v>0</v>
      </c>
      <c r="D3557">
        <f>_xlfn.XLOOKUP($A3557,Load!$B:$B,Load!E:E,0,)</f>
        <v>0</v>
      </c>
      <c r="E3557">
        <f>_xlfn.XLOOKUP($A3557,Load!$B:$B,Load!F:F,0,)</f>
        <v>0</v>
      </c>
      <c r="F3557">
        <f>_xlfn.XLOOKUP($A3557,Load!$B:$B,Load!G:G,0,)</f>
        <v>0</v>
      </c>
      <c r="G3557">
        <f>_xlfn.XLOOKUP($A3557,Load!$B:$B,Load!H:H,0,)</f>
        <v>0</v>
      </c>
      <c r="H3557">
        <f>_xlfn.XLOOKUP($A3557,Load!$B:$B,Load!I:I,0,)</f>
        <v>0</v>
      </c>
      <c r="I3557">
        <f>_xlfn.XLOOKUP($A3557,Load!$B:$B,Load!J:J,0,)</f>
        <v>0</v>
      </c>
      <c r="J3557">
        <f>_xlfn.XLOOKUP($A3557,Load!$B:$B,Load!K:K,0,)</f>
        <v>0</v>
      </c>
      <c r="K3557">
        <f>_xlfn.XLOOKUP($A3557,Load!$B:$B,Load!L:L,0,)</f>
        <v>0</v>
      </c>
      <c r="L3557">
        <f>_xlfn.XLOOKUP($A3557,Load!$B:$B,Load!M:M,0,)</f>
        <v>0</v>
      </c>
    </row>
    <row r="3558" spans="1:12" x14ac:dyDescent="0.25">
      <c r="A3558" t="s">
        <v>279</v>
      </c>
      <c r="B3558" t="str">
        <f>_xlfn.XLOOKUP($A3558,Load!$B:$B,Load!C:C,0,)</f>
        <v>Sour Patch Kids</v>
      </c>
      <c r="C3558" t="str">
        <f>_xlfn.XLOOKUP($A3558,Load!$B:$B,Load!D:D,0,)</f>
        <v>Non-Chocolate Candy Only</v>
      </c>
      <c r="D3558" t="str">
        <f>_xlfn.XLOOKUP($A3558,Load!$B:$B,Load!E:E,0,)</f>
        <v>Sour</v>
      </c>
      <c r="E3558" t="str">
        <f>_xlfn.XLOOKUP($A3558,Load!$B:$B,Load!F:F,0,)</f>
        <v>Chewy</v>
      </c>
      <c r="F3558" t="str">
        <f>_xlfn.XLOOKUP($A3558,Load!$B:$B,Load!G:G,0,)</f>
        <v>Single Pack</v>
      </c>
      <c r="G3558" t="str">
        <f>_xlfn.XLOOKUP($A3558,Load!$B:$B,Load!H:H,0,)</f>
        <v>Peg Bag</v>
      </c>
      <c r="H3558" t="str">
        <f>_xlfn.XLOOKUP($A3558,Load!$B:$B,Load!I:I,0,)</f>
        <v>Seasonal Shapes (like pumpkins, candy corn, ghost, bats, etc.)</v>
      </c>
      <c r="I3558" t="str">
        <f>_xlfn.XLOOKUP($A3558,Load!$B:$B,Load!J:J,0,)</f>
        <v>Seasonal Graphics (Like Bat, Ghost, Pumpkin, Fall Leaves, Eyeballs, etc.)</v>
      </c>
      <c r="J3558" t="str">
        <f>_xlfn.XLOOKUP($A3558,Load!$B:$B,Load!K:K,0,)</f>
        <v>Small Pieces (Tiny bite size candies)</v>
      </c>
      <c r="K3558" t="str">
        <f>_xlfn.XLOOKUP($A3558,Load!$B:$B,Load!L:L,0,)</f>
        <v>Regular/Original Wrapping</v>
      </c>
      <c r="L3558" t="str">
        <f>_xlfn.XLOOKUP($A3558,Load!$B:$B,Load!M:M,0,)</f>
        <v>Single Brand / Variety Flavors or Form</v>
      </c>
    </row>
    <row r="3559" spans="1:12" x14ac:dyDescent="0.25">
      <c r="A3559" t="s">
        <v>123</v>
      </c>
      <c r="B3559" t="str">
        <f>_xlfn.XLOOKUP($A3559,Load!$B:$B,Load!C:C,0,)</f>
        <v>HARIBO</v>
      </c>
      <c r="C3559" t="str">
        <f>_xlfn.XLOOKUP($A3559,Load!$B:$B,Load!D:D,0,)</f>
        <v>Non-Chocolate Candy Only</v>
      </c>
      <c r="D3559" t="str">
        <f>_xlfn.XLOOKUP($A3559,Load!$B:$B,Load!E:E,0,)</f>
        <v>Sour</v>
      </c>
      <c r="E3559" t="str">
        <f>_xlfn.XLOOKUP($A3559,Load!$B:$B,Load!F:F,0,)</f>
        <v>Gummy</v>
      </c>
      <c r="F3559" t="str">
        <f>_xlfn.XLOOKUP($A3559,Load!$B:$B,Load!G:G,0,)</f>
        <v>Single Pack</v>
      </c>
      <c r="G3559" t="str">
        <f>_xlfn.XLOOKUP($A3559,Load!$B:$B,Load!H:H,0,)</f>
        <v>Laydown Bag</v>
      </c>
      <c r="H3559" t="str">
        <f>_xlfn.XLOOKUP($A3559,Load!$B:$B,Load!I:I,0,)</f>
        <v>Seasonal Shapes (like pumpkins, candy corn, ghost, bats, etc.)</v>
      </c>
      <c r="I3559" t="str">
        <f>_xlfn.XLOOKUP($A3559,Load!$B:$B,Load!J:J,0,)</f>
        <v>Seasonal Graphics (Like Bat, Ghost, Pumpkin, Fall Leaves, Eyeballs, etc.)</v>
      </c>
      <c r="J3559" t="str">
        <f>_xlfn.XLOOKUP($A3559,Load!$B:$B,Load!K:K,0,)</f>
        <v>Small Pieces (Tiny bite size candies)</v>
      </c>
      <c r="K3559" t="str">
        <f>_xlfn.XLOOKUP($A3559,Load!$B:$B,Load!L:L,0,)</f>
        <v>Unwrapped</v>
      </c>
      <c r="L3559" t="str">
        <f>_xlfn.XLOOKUP($A3559,Load!$B:$B,Load!M:M,0,)</f>
        <v>Single Brand / Variety Flavors or Form</v>
      </c>
    </row>
    <row r="3560" spans="1:12" x14ac:dyDescent="0.25">
      <c r="A3560" t="s">
        <v>463</v>
      </c>
      <c r="B3560" t="str">
        <f>_xlfn.XLOOKUP($A3560,Load!$B:$B,Load!C:C,0,)</f>
        <v>Mars Variety Pack</v>
      </c>
      <c r="C3560" t="str">
        <f>_xlfn.XLOOKUP($A3560,Load!$B:$B,Load!D:D,0,)</f>
        <v>Mix of Chocolate and Non-Chocolate Candy</v>
      </c>
      <c r="D3560" t="str">
        <f>_xlfn.XLOOKUP($A3560,Load!$B:$B,Load!E:E,0,)</f>
        <v>Variety / Mixed Flavors (Fruity, Sour, Seasonal Flavors)</v>
      </c>
      <c r="E3560" t="str">
        <f>_xlfn.XLOOKUP($A3560,Load!$B:$B,Load!F:F,0,)</f>
        <v>Mixed / Combo Packs (Gummy, Chewy, Taffy, etc.)</v>
      </c>
      <c r="F3560" t="str">
        <f>_xlfn.XLOOKUP($A3560,Load!$B:$B,Load!G:G,0,)</f>
        <v>Medium Multipack (40–80 ct)</v>
      </c>
      <c r="G3560" t="str">
        <f>_xlfn.XLOOKUP($A3560,Load!$B:$B,Load!H:H,0,)</f>
        <v>Stand-Up Bag</v>
      </c>
      <c r="H3560" t="str">
        <f>_xlfn.XLOOKUP($A3560,Load!$B:$B,Load!I:I,0,)</f>
        <v>Everyday Candy Shapes (like Original, Gummy bear, Fruit, Jewels, etc.)</v>
      </c>
      <c r="I3560" t="str">
        <f>_xlfn.XLOOKUP($A3560,Load!$B:$B,Load!J:J,0,)</f>
        <v>Seasonal Graphics (Like Bat, Ghost, Pumpkin, Fall Leaves, Eyeballs, etc.)</v>
      </c>
      <c r="J3560" t="str">
        <f>_xlfn.XLOOKUP($A3560,Load!$B:$B,Load!K:K,0,)</f>
        <v>Fun Size / Treat Size</v>
      </c>
      <c r="K3560" t="str">
        <f>_xlfn.XLOOKUP($A3560,Load!$B:$B,Load!L:L,0,)</f>
        <v>Regular/Original Wrapping</v>
      </c>
      <c r="L3560" t="str">
        <f>_xlfn.XLOOKUP($A3560,Load!$B:$B,Load!M:M,0,)</f>
        <v>Multiple Brands / Variety Flavors or Form</v>
      </c>
    </row>
    <row r="3561" spans="1:12" x14ac:dyDescent="0.25">
      <c r="A3561" t="s">
        <v>204</v>
      </c>
      <c r="B3561" t="str">
        <f>_xlfn.XLOOKUP($A3561,Load!$B:$B,Load!C:C,0,)</f>
        <v>Mars Variety Pack</v>
      </c>
      <c r="C3561" t="str">
        <f>_xlfn.XLOOKUP($A3561,Load!$B:$B,Load!D:D,0,)</f>
        <v>Mix of Chocolate and Non-Chocolate Candy</v>
      </c>
      <c r="D3561" t="str">
        <f>_xlfn.XLOOKUP($A3561,Load!$B:$B,Load!E:E,0,)</f>
        <v>Variety / Mixed Flavors (Fruity, Sour, Seasonal Flavors)</v>
      </c>
      <c r="E3561" t="str">
        <f>_xlfn.XLOOKUP($A3561,Load!$B:$B,Load!F:F,0,)</f>
        <v>Mixed / Combo Packs (Gummy, Chewy, Taffy, etc.)</v>
      </c>
      <c r="F3561" t="str">
        <f>_xlfn.XLOOKUP($A3561,Load!$B:$B,Load!G:G,0,)</f>
        <v>Medium Multipack (40–80 ct)</v>
      </c>
      <c r="G3561" t="str">
        <f>_xlfn.XLOOKUP($A3561,Load!$B:$B,Load!H:H,0,)</f>
        <v>Stand-Up Bag</v>
      </c>
      <c r="H3561" t="str">
        <f>_xlfn.XLOOKUP($A3561,Load!$B:$B,Load!I:I,0,)</f>
        <v>Everyday Candy Shapes (like Original, Gummy bear, Fruit, Jewels, etc.)</v>
      </c>
      <c r="I3561" t="str">
        <f>_xlfn.XLOOKUP($A3561,Load!$B:$B,Load!J:J,0,)</f>
        <v>Everyday Graphics</v>
      </c>
      <c r="J3561" t="str">
        <f>_xlfn.XLOOKUP($A3561,Load!$B:$B,Load!K:K,0,)</f>
        <v>Fun Size / Treat Size</v>
      </c>
      <c r="K3561" t="str">
        <f>_xlfn.XLOOKUP($A3561,Load!$B:$B,Load!L:L,0,)</f>
        <v>Regular/Original Wrapping</v>
      </c>
      <c r="L3561" t="str">
        <f>_xlfn.XLOOKUP($A3561,Load!$B:$B,Load!M:M,0,)</f>
        <v>Multiple Brands / Variety Flavors or Form</v>
      </c>
    </row>
    <row r="3562" spans="1:12" x14ac:dyDescent="0.25">
      <c r="A3562" t="s">
        <v>181</v>
      </c>
      <c r="B3562" t="str">
        <f>_xlfn.XLOOKUP($A3562,Load!$B:$B,Load!C:C,0,)</f>
        <v>Mars Variety Pack</v>
      </c>
      <c r="C3562" t="str">
        <f>_xlfn.XLOOKUP($A3562,Load!$B:$B,Load!D:D,0,)</f>
        <v>Mix of Chocolate and Non-Chocolate Candy</v>
      </c>
      <c r="D3562" t="str">
        <f>_xlfn.XLOOKUP($A3562,Load!$B:$B,Load!E:E,0,)</f>
        <v>Variety / Mixed Flavors (Fruity, Sour, Seasonal Flavors)</v>
      </c>
      <c r="E3562" t="str">
        <f>_xlfn.XLOOKUP($A3562,Load!$B:$B,Load!F:F,0,)</f>
        <v>Mixed / Combo Packs (Gummy, Chewy, Taffy, etc.)</v>
      </c>
      <c r="F3562" t="str">
        <f>_xlfn.XLOOKUP($A3562,Load!$B:$B,Load!G:G,0,)</f>
        <v>Large Multipack (More than 80 ct)</v>
      </c>
      <c r="G3562" t="str">
        <f>_xlfn.XLOOKUP($A3562,Load!$B:$B,Load!H:H,0,)</f>
        <v>Stand-Up Bag</v>
      </c>
      <c r="H3562" t="str">
        <f>_xlfn.XLOOKUP($A3562,Load!$B:$B,Load!I:I,0,)</f>
        <v>Everyday Candy Shapes (like Original, Gummy bear, Fruit, Jewels, etc.)</v>
      </c>
      <c r="I3562" t="str">
        <f>_xlfn.XLOOKUP($A3562,Load!$B:$B,Load!J:J,0,)</f>
        <v>Seasonal Graphics (Like Bat, Ghost, Pumpkin, Fall Leaves, Eyeballs, etc.)</v>
      </c>
      <c r="J3562" t="str">
        <f>_xlfn.XLOOKUP($A3562,Load!$B:$B,Load!K:K,0,)</f>
        <v>Fun Size / Treat Size</v>
      </c>
      <c r="K3562" t="str">
        <f>_xlfn.XLOOKUP($A3562,Load!$B:$B,Load!L:L,0,)</f>
        <v>Regular/Original Wrapping</v>
      </c>
      <c r="L3562" t="str">
        <f>_xlfn.XLOOKUP($A3562,Load!$B:$B,Load!M:M,0,)</f>
        <v>Multiple Brands / Variety Flavors or Form</v>
      </c>
    </row>
    <row r="3563" spans="1:12" x14ac:dyDescent="0.25">
      <c r="A3563" t="s">
        <v>139</v>
      </c>
      <c r="B3563" t="str">
        <f>_xlfn.XLOOKUP($A3563,Load!$B:$B,Load!C:C,0,)</f>
        <v>Hershey's Variety Pack + Haribo</v>
      </c>
      <c r="C3563" t="str">
        <f>_xlfn.XLOOKUP($A3563,Load!$B:$B,Load!D:D,0,)</f>
        <v>Mix of Chocolate and Non-Chocolate Candy</v>
      </c>
      <c r="D3563" t="str">
        <f>_xlfn.XLOOKUP($A3563,Load!$B:$B,Load!E:E,0,)</f>
        <v>Variety / Mixed Flavors (Fruity, Sour, Seasonal Flavors)</v>
      </c>
      <c r="E3563" t="str">
        <f>_xlfn.XLOOKUP($A3563,Load!$B:$B,Load!F:F,0,)</f>
        <v>Mixed / Combo Packs (Gummy, Chewy, Taffy, etc.)</v>
      </c>
      <c r="F3563" t="str">
        <f>_xlfn.XLOOKUP($A3563,Load!$B:$B,Load!G:G,0,)</f>
        <v>Large Multipack (More than 80 ct)</v>
      </c>
      <c r="G3563" t="str">
        <f>_xlfn.XLOOKUP($A3563,Load!$B:$B,Load!H:H,0,)</f>
        <v>Stand-Up Bag</v>
      </c>
      <c r="H3563" t="str">
        <f>_xlfn.XLOOKUP($A3563,Load!$B:$B,Load!I:I,0,)</f>
        <v>Everyday Candy Shapes (like Original, Gummy bear, Fruit, Jewels, etc.)</v>
      </c>
      <c r="I3563" t="str">
        <f>_xlfn.XLOOKUP($A3563,Load!$B:$B,Load!J:J,0,)</f>
        <v>Seasonal Graphics (Like Bat, Ghost, Pumpkin, Fall Leaves, Eyeballs, etc.)</v>
      </c>
      <c r="J3563" t="str">
        <f>_xlfn.XLOOKUP($A3563,Load!$B:$B,Load!K:K,0,)</f>
        <v>Fun Size / Treat Size</v>
      </c>
      <c r="K3563" t="str">
        <f>_xlfn.XLOOKUP($A3563,Load!$B:$B,Load!L:L,0,)</f>
        <v>Regular/Original Wrapping</v>
      </c>
      <c r="L3563" t="str">
        <f>_xlfn.XLOOKUP($A3563,Load!$B:$B,Load!M:M,0,)</f>
        <v>Multiple Brands / Variety Flavors or Form</v>
      </c>
    </row>
    <row r="3564" spans="1:12" x14ac:dyDescent="0.25">
      <c r="A3564" t="s">
        <v>49</v>
      </c>
      <c r="B3564" t="str">
        <f>_xlfn.XLOOKUP($A3564,Load!$B:$B,Load!C:C,0,)</f>
        <v>Brach's</v>
      </c>
      <c r="C3564" t="str">
        <f>_xlfn.XLOOKUP($A3564,Load!$B:$B,Load!D:D,0,)</f>
        <v>Non-Chocolate Candy Only</v>
      </c>
      <c r="D3564" t="str">
        <f>_xlfn.XLOOKUP($A3564,Load!$B:$B,Load!E:E,0,)</f>
        <v>Fall / Seasonal Flavors (pumpkin spice, caramel apple, candy corn)</v>
      </c>
      <c r="E3564" t="str">
        <f>_xlfn.XLOOKUP($A3564,Load!$B:$B,Load!F:F,0,)</f>
        <v>Candy Pieces / Bites</v>
      </c>
      <c r="F3564" t="str">
        <f>_xlfn.XLOOKUP($A3564,Load!$B:$B,Load!G:G,0,)</f>
        <v>Large Multipack (More than 80 ct)</v>
      </c>
      <c r="G3564" t="str">
        <f>_xlfn.XLOOKUP($A3564,Load!$B:$B,Load!H:H,0,)</f>
        <v>Laydown Bag</v>
      </c>
      <c r="H3564" t="str">
        <f>_xlfn.XLOOKUP($A3564,Load!$B:$B,Load!I:I,0,)</f>
        <v>Seasonal Shapes (like pumpkins, candy corn, ghost, bats, etc.)</v>
      </c>
      <c r="I3564" t="str">
        <f>_xlfn.XLOOKUP($A3564,Load!$B:$B,Load!J:J,0,)</f>
        <v>Seasonal Graphics (Like Bat, Ghost, Pumpkin, Fall Leaves, Eyeballs, etc.)</v>
      </c>
      <c r="J3564" t="str">
        <f>_xlfn.XLOOKUP($A3564,Load!$B:$B,Load!K:K,0,)</f>
        <v>Small Pieces (Tiny bite size candies)</v>
      </c>
      <c r="K3564" t="str">
        <f>_xlfn.XLOOKUP($A3564,Load!$B:$B,Load!L:L,0,)</f>
        <v>Unwrapped</v>
      </c>
      <c r="L3564" t="str">
        <f>_xlfn.XLOOKUP($A3564,Load!$B:$B,Load!M:M,0,)</f>
        <v>Single Brand / Single Flavor or Form</v>
      </c>
    </row>
    <row r="3565" spans="1:12" x14ac:dyDescent="0.25">
      <c r="B3565">
        <f>_xlfn.XLOOKUP($A3565,Load!$B:$B,Load!C:C,0,)</f>
        <v>0</v>
      </c>
      <c r="C3565">
        <f>_xlfn.XLOOKUP($A3565,Load!$B:$B,Load!D:D,0,)</f>
        <v>0</v>
      </c>
      <c r="D3565">
        <f>_xlfn.XLOOKUP($A3565,Load!$B:$B,Load!E:E,0,)</f>
        <v>0</v>
      </c>
      <c r="E3565">
        <f>_xlfn.XLOOKUP($A3565,Load!$B:$B,Load!F:F,0,)</f>
        <v>0</v>
      </c>
      <c r="F3565">
        <f>_xlfn.XLOOKUP($A3565,Load!$B:$B,Load!G:G,0,)</f>
        <v>0</v>
      </c>
      <c r="G3565">
        <f>_xlfn.XLOOKUP($A3565,Load!$B:$B,Load!H:H,0,)</f>
        <v>0</v>
      </c>
      <c r="H3565">
        <f>_xlfn.XLOOKUP($A3565,Load!$B:$B,Load!I:I,0,)</f>
        <v>0</v>
      </c>
      <c r="I3565">
        <f>_xlfn.XLOOKUP($A3565,Load!$B:$B,Load!J:J,0,)</f>
        <v>0</v>
      </c>
      <c r="J3565">
        <f>_xlfn.XLOOKUP($A3565,Load!$B:$B,Load!K:K,0,)</f>
        <v>0</v>
      </c>
      <c r="K3565">
        <f>_xlfn.XLOOKUP($A3565,Load!$B:$B,Load!L:L,0,)</f>
        <v>0</v>
      </c>
      <c r="L3565">
        <f>_xlfn.XLOOKUP($A3565,Load!$B:$B,Load!M:M,0,)</f>
        <v>0</v>
      </c>
    </row>
    <row r="3566" spans="1:12" x14ac:dyDescent="0.25">
      <c r="B3566">
        <f>_xlfn.XLOOKUP($A3566,Load!$B:$B,Load!C:C,0,)</f>
        <v>0</v>
      </c>
      <c r="C3566">
        <f>_xlfn.XLOOKUP($A3566,Load!$B:$B,Load!D:D,0,)</f>
        <v>0</v>
      </c>
      <c r="D3566">
        <f>_xlfn.XLOOKUP($A3566,Load!$B:$B,Load!E:E,0,)</f>
        <v>0</v>
      </c>
      <c r="E3566">
        <f>_xlfn.XLOOKUP($A3566,Load!$B:$B,Load!F:F,0,)</f>
        <v>0</v>
      </c>
      <c r="F3566">
        <f>_xlfn.XLOOKUP($A3566,Load!$B:$B,Load!G:G,0,)</f>
        <v>0</v>
      </c>
      <c r="G3566">
        <f>_xlfn.XLOOKUP($A3566,Load!$B:$B,Load!H:H,0,)</f>
        <v>0</v>
      </c>
      <c r="H3566">
        <f>_xlfn.XLOOKUP($A3566,Load!$B:$B,Load!I:I,0,)</f>
        <v>0</v>
      </c>
      <c r="I3566">
        <f>_xlfn.XLOOKUP($A3566,Load!$B:$B,Load!J:J,0,)</f>
        <v>0</v>
      </c>
      <c r="J3566">
        <f>_xlfn.XLOOKUP($A3566,Load!$B:$B,Load!K:K,0,)</f>
        <v>0</v>
      </c>
      <c r="K3566">
        <f>_xlfn.XLOOKUP($A3566,Load!$B:$B,Load!L:L,0,)</f>
        <v>0</v>
      </c>
      <c r="L3566">
        <f>_xlfn.XLOOKUP($A3566,Load!$B:$B,Load!M:M,0,)</f>
        <v>0</v>
      </c>
    </row>
    <row r="3567" spans="1:12" x14ac:dyDescent="0.25">
      <c r="B3567">
        <f>_xlfn.XLOOKUP($A3567,Load!$B:$B,Load!C:C,0,)</f>
        <v>0</v>
      </c>
      <c r="C3567">
        <f>_xlfn.XLOOKUP($A3567,Load!$B:$B,Load!D:D,0,)</f>
        <v>0</v>
      </c>
      <c r="D3567">
        <f>_xlfn.XLOOKUP($A3567,Load!$B:$B,Load!E:E,0,)</f>
        <v>0</v>
      </c>
      <c r="E3567">
        <f>_xlfn.XLOOKUP($A3567,Load!$B:$B,Load!F:F,0,)</f>
        <v>0</v>
      </c>
      <c r="F3567">
        <f>_xlfn.XLOOKUP($A3567,Load!$B:$B,Load!G:G,0,)</f>
        <v>0</v>
      </c>
      <c r="G3567">
        <f>_xlfn.XLOOKUP($A3567,Load!$B:$B,Load!H:H,0,)</f>
        <v>0</v>
      </c>
      <c r="H3567">
        <f>_xlfn.XLOOKUP($A3567,Load!$B:$B,Load!I:I,0,)</f>
        <v>0</v>
      </c>
      <c r="I3567">
        <f>_xlfn.XLOOKUP($A3567,Load!$B:$B,Load!J:J,0,)</f>
        <v>0</v>
      </c>
      <c r="J3567">
        <f>_xlfn.XLOOKUP($A3567,Load!$B:$B,Load!K:K,0,)</f>
        <v>0</v>
      </c>
      <c r="K3567">
        <f>_xlfn.XLOOKUP($A3567,Load!$B:$B,Load!L:L,0,)</f>
        <v>0</v>
      </c>
      <c r="L3567">
        <f>_xlfn.XLOOKUP($A3567,Load!$B:$B,Load!M:M,0,)</f>
        <v>0</v>
      </c>
    </row>
    <row r="3568" spans="1:12" x14ac:dyDescent="0.25">
      <c r="B3568">
        <f>_xlfn.XLOOKUP($A3568,Load!$B:$B,Load!C:C,0,)</f>
        <v>0</v>
      </c>
      <c r="C3568">
        <f>_xlfn.XLOOKUP($A3568,Load!$B:$B,Load!D:D,0,)</f>
        <v>0</v>
      </c>
      <c r="D3568">
        <f>_xlfn.XLOOKUP($A3568,Load!$B:$B,Load!E:E,0,)</f>
        <v>0</v>
      </c>
      <c r="E3568">
        <f>_xlfn.XLOOKUP($A3568,Load!$B:$B,Load!F:F,0,)</f>
        <v>0</v>
      </c>
      <c r="F3568">
        <f>_xlfn.XLOOKUP($A3568,Load!$B:$B,Load!G:G,0,)</f>
        <v>0</v>
      </c>
      <c r="G3568">
        <f>_xlfn.XLOOKUP($A3568,Load!$B:$B,Load!H:H,0,)</f>
        <v>0</v>
      </c>
      <c r="H3568">
        <f>_xlfn.XLOOKUP($A3568,Load!$B:$B,Load!I:I,0,)</f>
        <v>0</v>
      </c>
      <c r="I3568">
        <f>_xlfn.XLOOKUP($A3568,Load!$B:$B,Load!J:J,0,)</f>
        <v>0</v>
      </c>
      <c r="J3568">
        <f>_xlfn.XLOOKUP($A3568,Load!$B:$B,Load!K:K,0,)</f>
        <v>0</v>
      </c>
      <c r="K3568">
        <f>_xlfn.XLOOKUP($A3568,Load!$B:$B,Load!L:L,0,)</f>
        <v>0</v>
      </c>
      <c r="L3568">
        <f>_xlfn.XLOOKUP($A3568,Load!$B:$B,Load!M:M,0,)</f>
        <v>0</v>
      </c>
    </row>
    <row r="3569" spans="1:12" x14ac:dyDescent="0.25">
      <c r="B3569">
        <f>_xlfn.XLOOKUP($A3569,Load!$B:$B,Load!C:C,0,)</f>
        <v>0</v>
      </c>
      <c r="C3569">
        <f>_xlfn.XLOOKUP($A3569,Load!$B:$B,Load!D:D,0,)</f>
        <v>0</v>
      </c>
      <c r="D3569">
        <f>_xlfn.XLOOKUP($A3569,Load!$B:$B,Load!E:E,0,)</f>
        <v>0</v>
      </c>
      <c r="E3569">
        <f>_xlfn.XLOOKUP($A3569,Load!$B:$B,Load!F:F,0,)</f>
        <v>0</v>
      </c>
      <c r="F3569">
        <f>_xlfn.XLOOKUP($A3569,Load!$B:$B,Load!G:G,0,)</f>
        <v>0</v>
      </c>
      <c r="G3569">
        <f>_xlfn.XLOOKUP($A3569,Load!$B:$B,Load!H:H,0,)</f>
        <v>0</v>
      </c>
      <c r="H3569">
        <f>_xlfn.XLOOKUP($A3569,Load!$B:$B,Load!I:I,0,)</f>
        <v>0</v>
      </c>
      <c r="I3569">
        <f>_xlfn.XLOOKUP($A3569,Load!$B:$B,Load!J:J,0,)</f>
        <v>0</v>
      </c>
      <c r="J3569">
        <f>_xlfn.XLOOKUP($A3569,Load!$B:$B,Load!K:K,0,)</f>
        <v>0</v>
      </c>
      <c r="K3569">
        <f>_xlfn.XLOOKUP($A3569,Load!$B:$B,Load!L:L,0,)</f>
        <v>0</v>
      </c>
      <c r="L3569">
        <f>_xlfn.XLOOKUP($A3569,Load!$B:$B,Load!M:M,0,)</f>
        <v>0</v>
      </c>
    </row>
    <row r="3570" spans="1:12" x14ac:dyDescent="0.25">
      <c r="A3570" t="s">
        <v>146</v>
      </c>
      <c r="B3570" t="str">
        <f>_xlfn.XLOOKUP($A3570,Load!$B:$B,Load!C:C,0,)</f>
        <v>Hi Chew</v>
      </c>
      <c r="C3570" t="str">
        <f>_xlfn.XLOOKUP($A3570,Load!$B:$B,Load!D:D,0,)</f>
        <v>Non-Chocolate Candy Only</v>
      </c>
      <c r="D3570" t="str">
        <f>_xlfn.XLOOKUP($A3570,Load!$B:$B,Load!E:E,0,)</f>
        <v>Fruit Flavor (Cherry, Grape, Apple, Citrus, Tropical Fruit)</v>
      </c>
      <c r="E3570" t="str">
        <f>_xlfn.XLOOKUP($A3570,Load!$B:$B,Load!F:F,0,)</f>
        <v>Gummy</v>
      </c>
      <c r="F3570" t="str">
        <f>_xlfn.XLOOKUP($A3570,Load!$B:$B,Load!G:G,0,)</f>
        <v>Medium Multipack (40–80 ct)</v>
      </c>
      <c r="G3570" t="str">
        <f>_xlfn.XLOOKUP($A3570,Load!$B:$B,Load!H:H,0,)</f>
        <v>Stand-Up Bag</v>
      </c>
      <c r="H3570" t="str">
        <f>_xlfn.XLOOKUP($A3570,Load!$B:$B,Load!I:I,0,)</f>
        <v>Everyday Candy Shapes (like Original, Gummy bear, Fruit, Jewels, etc.)</v>
      </c>
      <c r="I3570" t="str">
        <f>_xlfn.XLOOKUP($A3570,Load!$B:$B,Load!J:J,0,)</f>
        <v>Seasonal Graphics (Like Bat, Ghost, Pumpkin, Fall Leaves, Eyeballs, etc.)</v>
      </c>
      <c r="J3570" t="str">
        <f>_xlfn.XLOOKUP($A3570,Load!$B:$B,Load!K:K,0,)</f>
        <v>Fun Size / Treat Size</v>
      </c>
      <c r="K3570" t="str">
        <f>_xlfn.XLOOKUP($A3570,Load!$B:$B,Load!L:L,0,)</f>
        <v>Regular/Original Wrapping</v>
      </c>
      <c r="L3570" t="str">
        <f>_xlfn.XLOOKUP($A3570,Load!$B:$B,Load!M:M,0,)</f>
        <v>Multiple Brands / Variety Flavors or Form</v>
      </c>
    </row>
    <row r="3571" spans="1:12" x14ac:dyDescent="0.25">
      <c r="B3571">
        <f>_xlfn.XLOOKUP($A3571,Load!$B:$B,Load!C:C,0,)</f>
        <v>0</v>
      </c>
      <c r="C3571">
        <f>_xlfn.XLOOKUP($A3571,Load!$B:$B,Load!D:D,0,)</f>
        <v>0</v>
      </c>
      <c r="D3571">
        <f>_xlfn.XLOOKUP($A3571,Load!$B:$B,Load!E:E,0,)</f>
        <v>0</v>
      </c>
      <c r="E3571">
        <f>_xlfn.XLOOKUP($A3571,Load!$B:$B,Load!F:F,0,)</f>
        <v>0</v>
      </c>
      <c r="F3571">
        <f>_xlfn.XLOOKUP($A3571,Load!$B:$B,Load!G:G,0,)</f>
        <v>0</v>
      </c>
      <c r="G3571">
        <f>_xlfn.XLOOKUP($A3571,Load!$B:$B,Load!H:H,0,)</f>
        <v>0</v>
      </c>
      <c r="H3571">
        <f>_xlfn.XLOOKUP($A3571,Load!$B:$B,Load!I:I,0,)</f>
        <v>0</v>
      </c>
      <c r="I3571">
        <f>_xlfn.XLOOKUP($A3571,Load!$B:$B,Load!J:J,0,)</f>
        <v>0</v>
      </c>
      <c r="J3571">
        <f>_xlfn.XLOOKUP($A3571,Load!$B:$B,Load!K:K,0,)</f>
        <v>0</v>
      </c>
      <c r="K3571">
        <f>_xlfn.XLOOKUP($A3571,Load!$B:$B,Load!L:L,0,)</f>
        <v>0</v>
      </c>
      <c r="L3571">
        <f>_xlfn.XLOOKUP($A3571,Load!$B:$B,Load!M:M,0,)</f>
        <v>0</v>
      </c>
    </row>
    <row r="3572" spans="1:12" x14ac:dyDescent="0.25">
      <c r="B3572">
        <f>_xlfn.XLOOKUP($A3572,Load!$B:$B,Load!C:C,0,)</f>
        <v>0</v>
      </c>
      <c r="C3572">
        <f>_xlfn.XLOOKUP($A3572,Load!$B:$B,Load!D:D,0,)</f>
        <v>0</v>
      </c>
      <c r="D3572">
        <f>_xlfn.XLOOKUP($A3572,Load!$B:$B,Load!E:E,0,)</f>
        <v>0</v>
      </c>
      <c r="E3572">
        <f>_xlfn.XLOOKUP($A3572,Load!$B:$B,Load!F:F,0,)</f>
        <v>0</v>
      </c>
      <c r="F3572">
        <f>_xlfn.XLOOKUP($A3572,Load!$B:$B,Load!G:G,0,)</f>
        <v>0</v>
      </c>
      <c r="G3572">
        <f>_xlfn.XLOOKUP($A3572,Load!$B:$B,Load!H:H,0,)</f>
        <v>0</v>
      </c>
      <c r="H3572">
        <f>_xlfn.XLOOKUP($A3572,Load!$B:$B,Load!I:I,0,)</f>
        <v>0</v>
      </c>
      <c r="I3572">
        <f>_xlfn.XLOOKUP($A3572,Load!$B:$B,Load!J:J,0,)</f>
        <v>0</v>
      </c>
      <c r="J3572">
        <f>_xlfn.XLOOKUP($A3572,Load!$B:$B,Load!K:K,0,)</f>
        <v>0</v>
      </c>
      <c r="K3572">
        <f>_xlfn.XLOOKUP($A3572,Load!$B:$B,Load!L:L,0,)</f>
        <v>0</v>
      </c>
      <c r="L3572">
        <f>_xlfn.XLOOKUP($A3572,Load!$B:$B,Load!M:M,0,)</f>
        <v>0</v>
      </c>
    </row>
    <row r="3573" spans="1:12" x14ac:dyDescent="0.25">
      <c r="B3573">
        <f>_xlfn.XLOOKUP($A3573,Load!$B:$B,Load!C:C,0,)</f>
        <v>0</v>
      </c>
      <c r="C3573">
        <f>_xlfn.XLOOKUP($A3573,Load!$B:$B,Load!D:D,0,)</f>
        <v>0</v>
      </c>
      <c r="D3573">
        <f>_xlfn.XLOOKUP($A3573,Load!$B:$B,Load!E:E,0,)</f>
        <v>0</v>
      </c>
      <c r="E3573">
        <f>_xlfn.XLOOKUP($A3573,Load!$B:$B,Load!F:F,0,)</f>
        <v>0</v>
      </c>
      <c r="F3573">
        <f>_xlfn.XLOOKUP($A3573,Load!$B:$B,Load!G:G,0,)</f>
        <v>0</v>
      </c>
      <c r="G3573">
        <f>_xlfn.XLOOKUP($A3573,Load!$B:$B,Load!H:H,0,)</f>
        <v>0</v>
      </c>
      <c r="H3573">
        <f>_xlfn.XLOOKUP($A3573,Load!$B:$B,Load!I:I,0,)</f>
        <v>0</v>
      </c>
      <c r="I3573">
        <f>_xlfn.XLOOKUP($A3573,Load!$B:$B,Load!J:J,0,)</f>
        <v>0</v>
      </c>
      <c r="J3573">
        <f>_xlfn.XLOOKUP($A3573,Load!$B:$B,Load!K:K,0,)</f>
        <v>0</v>
      </c>
      <c r="K3573">
        <f>_xlfn.XLOOKUP($A3573,Load!$B:$B,Load!L:L,0,)</f>
        <v>0</v>
      </c>
      <c r="L3573">
        <f>_xlfn.XLOOKUP($A3573,Load!$B:$B,Load!M:M,0,)</f>
        <v>0</v>
      </c>
    </row>
    <row r="3574" spans="1:12" x14ac:dyDescent="0.25">
      <c r="A3574" t="s">
        <v>175</v>
      </c>
      <c r="B3574" t="str">
        <f>_xlfn.XLOOKUP($A3574,Load!$B:$B,Load!C:C,0,)</f>
        <v>Mars Variety Pack</v>
      </c>
      <c r="C3574" t="str">
        <f>_xlfn.XLOOKUP($A3574,Load!$B:$B,Load!D:D,0,)</f>
        <v>Mix of Chocolate and Non-Chocolate Candy</v>
      </c>
      <c r="D3574" t="str">
        <f>_xlfn.XLOOKUP($A3574,Load!$B:$B,Load!E:E,0,)</f>
        <v>Variety / Mixed Flavors (Fruity, Sour, Seasonal Flavors)</v>
      </c>
      <c r="E3574" t="str">
        <f>_xlfn.XLOOKUP($A3574,Load!$B:$B,Load!F:F,0,)</f>
        <v>Mixed / Combo Packs (Gummy, Chewy, Taffy, etc.)</v>
      </c>
      <c r="F3574" t="str">
        <f>_xlfn.XLOOKUP($A3574,Load!$B:$B,Load!G:G,0,)</f>
        <v>Large Multipack (More than 80 ct)</v>
      </c>
      <c r="G3574" t="str">
        <f>_xlfn.XLOOKUP($A3574,Load!$B:$B,Load!H:H,0,)</f>
        <v>Stand-Up Bag</v>
      </c>
      <c r="H3574" t="str">
        <f>_xlfn.XLOOKUP($A3574,Load!$B:$B,Load!I:I,0,)</f>
        <v>Everyday Candy Shapes (like Original, Gummy bear, Fruit, Jewels, etc.)</v>
      </c>
      <c r="I3574" t="str">
        <f>_xlfn.XLOOKUP($A3574,Load!$B:$B,Load!J:J,0,)</f>
        <v>Seasonal Graphics (Like Bat, Ghost, Pumpkin, Fall Leaves, Eyeballs, etc.)</v>
      </c>
      <c r="J3574" t="str">
        <f>_xlfn.XLOOKUP($A3574,Load!$B:$B,Load!K:K,0,)</f>
        <v xml:space="preserve">Variety Candy Sizes </v>
      </c>
      <c r="K3574" t="str">
        <f>_xlfn.XLOOKUP($A3574,Load!$B:$B,Load!L:L,0,)</f>
        <v>Regular/Original Wrapping</v>
      </c>
      <c r="L3574" t="str">
        <f>_xlfn.XLOOKUP($A3574,Load!$B:$B,Load!M:M,0,)</f>
        <v>Multiple Brands / Variety Flavors or Form</v>
      </c>
    </row>
    <row r="3575" spans="1:12" x14ac:dyDescent="0.25">
      <c r="B3575">
        <f>_xlfn.XLOOKUP($A3575,Load!$B:$B,Load!C:C,0,)</f>
        <v>0</v>
      </c>
      <c r="C3575">
        <f>_xlfn.XLOOKUP($A3575,Load!$B:$B,Load!D:D,0,)</f>
        <v>0</v>
      </c>
      <c r="D3575">
        <f>_xlfn.XLOOKUP($A3575,Load!$B:$B,Load!E:E,0,)</f>
        <v>0</v>
      </c>
      <c r="E3575">
        <f>_xlfn.XLOOKUP($A3575,Load!$B:$B,Load!F:F,0,)</f>
        <v>0</v>
      </c>
      <c r="F3575">
        <f>_xlfn.XLOOKUP($A3575,Load!$B:$B,Load!G:G,0,)</f>
        <v>0</v>
      </c>
      <c r="G3575">
        <f>_xlfn.XLOOKUP($A3575,Load!$B:$B,Load!H:H,0,)</f>
        <v>0</v>
      </c>
      <c r="H3575">
        <f>_xlfn.XLOOKUP($A3575,Load!$B:$B,Load!I:I,0,)</f>
        <v>0</v>
      </c>
      <c r="I3575">
        <f>_xlfn.XLOOKUP($A3575,Load!$B:$B,Load!J:J,0,)</f>
        <v>0</v>
      </c>
      <c r="J3575">
        <f>_xlfn.XLOOKUP($A3575,Load!$B:$B,Load!K:K,0,)</f>
        <v>0</v>
      </c>
      <c r="K3575">
        <f>_xlfn.XLOOKUP($A3575,Load!$B:$B,Load!L:L,0,)</f>
        <v>0</v>
      </c>
      <c r="L3575">
        <f>_xlfn.XLOOKUP($A3575,Load!$B:$B,Load!M:M,0,)</f>
        <v>0</v>
      </c>
    </row>
    <row r="3576" spans="1:12" x14ac:dyDescent="0.25">
      <c r="B3576">
        <f>_xlfn.XLOOKUP($A3576,Load!$B:$B,Load!C:C,0,)</f>
        <v>0</v>
      </c>
      <c r="C3576">
        <f>_xlfn.XLOOKUP($A3576,Load!$B:$B,Load!D:D,0,)</f>
        <v>0</v>
      </c>
      <c r="D3576">
        <f>_xlfn.XLOOKUP($A3576,Load!$B:$B,Load!E:E,0,)</f>
        <v>0</v>
      </c>
      <c r="E3576">
        <f>_xlfn.XLOOKUP($A3576,Load!$B:$B,Load!F:F,0,)</f>
        <v>0</v>
      </c>
      <c r="F3576">
        <f>_xlfn.XLOOKUP($A3576,Load!$B:$B,Load!G:G,0,)</f>
        <v>0</v>
      </c>
      <c r="G3576">
        <f>_xlfn.XLOOKUP($A3576,Load!$B:$B,Load!H:H,0,)</f>
        <v>0</v>
      </c>
      <c r="H3576">
        <f>_xlfn.XLOOKUP($A3576,Load!$B:$B,Load!I:I,0,)</f>
        <v>0</v>
      </c>
      <c r="I3576">
        <f>_xlfn.XLOOKUP($A3576,Load!$B:$B,Load!J:J,0,)</f>
        <v>0</v>
      </c>
      <c r="J3576">
        <f>_xlfn.XLOOKUP($A3576,Load!$B:$B,Load!K:K,0,)</f>
        <v>0</v>
      </c>
      <c r="K3576">
        <f>_xlfn.XLOOKUP($A3576,Load!$B:$B,Load!L:L,0,)</f>
        <v>0</v>
      </c>
      <c r="L3576">
        <f>_xlfn.XLOOKUP($A3576,Load!$B:$B,Load!M:M,0,)</f>
        <v>0</v>
      </c>
    </row>
    <row r="3577" spans="1:12" x14ac:dyDescent="0.25">
      <c r="B3577">
        <f>_xlfn.XLOOKUP($A3577,Load!$B:$B,Load!C:C,0,)</f>
        <v>0</v>
      </c>
      <c r="C3577">
        <f>_xlfn.XLOOKUP($A3577,Load!$B:$B,Load!D:D,0,)</f>
        <v>0</v>
      </c>
      <c r="D3577">
        <f>_xlfn.XLOOKUP($A3577,Load!$B:$B,Load!E:E,0,)</f>
        <v>0</v>
      </c>
      <c r="E3577">
        <f>_xlfn.XLOOKUP($A3577,Load!$B:$B,Load!F:F,0,)</f>
        <v>0</v>
      </c>
      <c r="F3577">
        <f>_xlfn.XLOOKUP($A3577,Load!$B:$B,Load!G:G,0,)</f>
        <v>0</v>
      </c>
      <c r="G3577">
        <f>_xlfn.XLOOKUP($A3577,Load!$B:$B,Load!H:H,0,)</f>
        <v>0</v>
      </c>
      <c r="H3577">
        <f>_xlfn.XLOOKUP($A3577,Load!$B:$B,Load!I:I,0,)</f>
        <v>0</v>
      </c>
      <c r="I3577">
        <f>_xlfn.XLOOKUP($A3577,Load!$B:$B,Load!J:J,0,)</f>
        <v>0</v>
      </c>
      <c r="J3577">
        <f>_xlfn.XLOOKUP($A3577,Load!$B:$B,Load!K:K,0,)</f>
        <v>0</v>
      </c>
      <c r="K3577">
        <f>_xlfn.XLOOKUP($A3577,Load!$B:$B,Load!L:L,0,)</f>
        <v>0</v>
      </c>
      <c r="L3577">
        <f>_xlfn.XLOOKUP($A3577,Load!$B:$B,Load!M:M,0,)</f>
        <v>0</v>
      </c>
    </row>
    <row r="3578" spans="1:12" x14ac:dyDescent="0.25">
      <c r="A3578" t="s">
        <v>237</v>
      </c>
      <c r="B3578" t="str">
        <f>_xlfn.XLOOKUP($A3578,Load!$B:$B,Load!C:C,0,)</f>
        <v>Now &amp; Later</v>
      </c>
      <c r="C3578" t="str">
        <f>_xlfn.XLOOKUP($A3578,Load!$B:$B,Load!D:D,0,)</f>
        <v>Non-Chocolate Candy Only</v>
      </c>
      <c r="D3578" t="str">
        <f>_xlfn.XLOOKUP($A3578,Load!$B:$B,Load!E:E,0,)</f>
        <v>Fruit Flavor (Cherry, Grape, Apple, Citrus, Tropical Fruit)</v>
      </c>
      <c r="E3578" t="str">
        <f>_xlfn.XLOOKUP($A3578,Load!$B:$B,Load!F:F,0,)</f>
        <v>Chewy</v>
      </c>
      <c r="F3578" t="str">
        <f>_xlfn.XLOOKUP($A3578,Load!$B:$B,Load!G:G,0,)</f>
        <v>Medium Multipack (40–80 ct)</v>
      </c>
      <c r="G3578" t="str">
        <f>_xlfn.XLOOKUP($A3578,Load!$B:$B,Load!H:H,0,)</f>
        <v>Laydown Bag</v>
      </c>
      <c r="H3578" t="str">
        <f>_xlfn.XLOOKUP($A3578,Load!$B:$B,Load!I:I,0,)</f>
        <v>Everyday Candy Shapes (like Original, Gummy bear, Fruit, Jewels, etc.)</v>
      </c>
      <c r="I3578" t="str">
        <f>_xlfn.XLOOKUP($A3578,Load!$B:$B,Load!J:J,0,)</f>
        <v>Seasonal Graphics (Like Bat, Ghost, Pumpkin, Fall Leaves, Eyeballs, etc.)</v>
      </c>
      <c r="J3578" t="str">
        <f>_xlfn.XLOOKUP($A3578,Load!$B:$B,Load!K:K,0,)</f>
        <v>Small Pieces (Tiny bite size candies)</v>
      </c>
      <c r="K3578" t="str">
        <f>_xlfn.XLOOKUP($A3578,Load!$B:$B,Load!L:L,0,)</f>
        <v>Regular/Original Wrapping</v>
      </c>
      <c r="L3578" t="str">
        <f>_xlfn.XLOOKUP($A3578,Load!$B:$B,Load!M:M,0,)</f>
        <v>Single Brand / Variety Flavors or Form</v>
      </c>
    </row>
    <row r="3579" spans="1:12" x14ac:dyDescent="0.25">
      <c r="A3579" t="s">
        <v>269</v>
      </c>
      <c r="B3579" t="str">
        <f>_xlfn.XLOOKUP($A3579,Load!$B:$B,Load!C:C,0,)</f>
        <v>Sour Patch Kids</v>
      </c>
      <c r="C3579" t="str">
        <f>_xlfn.XLOOKUP($A3579,Load!$B:$B,Load!D:D,0,)</f>
        <v>Non-Chocolate Candy Only</v>
      </c>
      <c r="D3579" t="str">
        <f>_xlfn.XLOOKUP($A3579,Load!$B:$B,Load!E:E,0,)</f>
        <v>Sour</v>
      </c>
      <c r="E3579" t="str">
        <f>_xlfn.XLOOKUP($A3579,Load!$B:$B,Load!F:F,0,)</f>
        <v>Chewy</v>
      </c>
      <c r="F3579" t="str">
        <f>_xlfn.XLOOKUP($A3579,Load!$B:$B,Load!G:G,0,)</f>
        <v>Small Multipack (Less than 40 ct)</v>
      </c>
      <c r="G3579" t="str">
        <f>_xlfn.XLOOKUP($A3579,Load!$B:$B,Load!H:H,0,)</f>
        <v>Laydown Bag</v>
      </c>
      <c r="H3579" t="str">
        <f>_xlfn.XLOOKUP($A3579,Load!$B:$B,Load!I:I,0,)</f>
        <v>Everyday Candy Shapes (like Original, Gummy bear, Fruit, Jewels, etc.)</v>
      </c>
      <c r="I3579" t="str">
        <f>_xlfn.XLOOKUP($A3579,Load!$B:$B,Load!J:J,0,)</f>
        <v>Seasonal Graphics (Like Bat, Ghost, Pumpkin, Fall Leaves, Eyeballs, etc.)</v>
      </c>
      <c r="J3579" t="str">
        <f>_xlfn.XLOOKUP($A3579,Load!$B:$B,Load!K:K,0,)</f>
        <v>Small Pieces (Tiny bite size candies)</v>
      </c>
      <c r="K3579" t="str">
        <f>_xlfn.XLOOKUP($A3579,Load!$B:$B,Load!L:L,0,)</f>
        <v>Regular/Original Wrapping</v>
      </c>
      <c r="L3579" t="str">
        <f>_xlfn.XLOOKUP($A3579,Load!$B:$B,Load!M:M,0,)</f>
        <v>Single Brand / Variety Flavors or Form</v>
      </c>
    </row>
    <row r="3580" spans="1:12" x14ac:dyDescent="0.25">
      <c r="B3580">
        <f>_xlfn.XLOOKUP($A3580,Load!$B:$B,Load!C:C,0,)</f>
        <v>0</v>
      </c>
      <c r="C3580">
        <f>_xlfn.XLOOKUP($A3580,Load!$B:$B,Load!D:D,0,)</f>
        <v>0</v>
      </c>
      <c r="D3580">
        <f>_xlfn.XLOOKUP($A3580,Load!$B:$B,Load!E:E,0,)</f>
        <v>0</v>
      </c>
      <c r="E3580">
        <f>_xlfn.XLOOKUP($A3580,Load!$B:$B,Load!F:F,0,)</f>
        <v>0</v>
      </c>
      <c r="F3580">
        <f>_xlfn.XLOOKUP($A3580,Load!$B:$B,Load!G:G,0,)</f>
        <v>0</v>
      </c>
      <c r="G3580">
        <f>_xlfn.XLOOKUP($A3580,Load!$B:$B,Load!H:H,0,)</f>
        <v>0</v>
      </c>
      <c r="H3580">
        <f>_xlfn.XLOOKUP($A3580,Load!$B:$B,Load!I:I,0,)</f>
        <v>0</v>
      </c>
      <c r="I3580">
        <f>_xlfn.XLOOKUP($A3580,Load!$B:$B,Load!J:J,0,)</f>
        <v>0</v>
      </c>
      <c r="J3580">
        <f>_xlfn.XLOOKUP($A3580,Load!$B:$B,Load!K:K,0,)</f>
        <v>0</v>
      </c>
      <c r="K3580">
        <f>_xlfn.XLOOKUP($A3580,Load!$B:$B,Load!L:L,0,)</f>
        <v>0</v>
      </c>
      <c r="L3580">
        <f>_xlfn.XLOOKUP($A3580,Load!$B:$B,Load!M:M,0,)</f>
        <v>0</v>
      </c>
    </row>
    <row r="3581" spans="1:12" x14ac:dyDescent="0.25">
      <c r="B3581">
        <f>_xlfn.XLOOKUP($A3581,Load!$B:$B,Load!C:C,0,)</f>
        <v>0</v>
      </c>
      <c r="C3581">
        <f>_xlfn.XLOOKUP($A3581,Load!$B:$B,Load!D:D,0,)</f>
        <v>0</v>
      </c>
      <c r="D3581">
        <f>_xlfn.XLOOKUP($A3581,Load!$B:$B,Load!E:E,0,)</f>
        <v>0</v>
      </c>
      <c r="E3581">
        <f>_xlfn.XLOOKUP($A3581,Load!$B:$B,Load!F:F,0,)</f>
        <v>0</v>
      </c>
      <c r="F3581">
        <f>_xlfn.XLOOKUP($A3581,Load!$B:$B,Load!G:G,0,)</f>
        <v>0</v>
      </c>
      <c r="G3581">
        <f>_xlfn.XLOOKUP($A3581,Load!$B:$B,Load!H:H,0,)</f>
        <v>0</v>
      </c>
      <c r="H3581">
        <f>_xlfn.XLOOKUP($A3581,Load!$B:$B,Load!I:I,0,)</f>
        <v>0</v>
      </c>
      <c r="I3581">
        <f>_xlfn.XLOOKUP($A3581,Load!$B:$B,Load!J:J,0,)</f>
        <v>0</v>
      </c>
      <c r="J3581">
        <f>_xlfn.XLOOKUP($A3581,Load!$B:$B,Load!K:K,0,)</f>
        <v>0</v>
      </c>
      <c r="K3581">
        <f>_xlfn.XLOOKUP($A3581,Load!$B:$B,Load!L:L,0,)</f>
        <v>0</v>
      </c>
      <c r="L3581">
        <f>_xlfn.XLOOKUP($A3581,Load!$B:$B,Load!M:M,0,)</f>
        <v>0</v>
      </c>
    </row>
    <row r="3582" spans="1:12" x14ac:dyDescent="0.25">
      <c r="B3582">
        <f>_xlfn.XLOOKUP($A3582,Load!$B:$B,Load!C:C,0,)</f>
        <v>0</v>
      </c>
      <c r="C3582">
        <f>_xlfn.XLOOKUP($A3582,Load!$B:$B,Load!D:D,0,)</f>
        <v>0</v>
      </c>
      <c r="D3582">
        <f>_xlfn.XLOOKUP($A3582,Load!$B:$B,Load!E:E,0,)</f>
        <v>0</v>
      </c>
      <c r="E3582">
        <f>_xlfn.XLOOKUP($A3582,Load!$B:$B,Load!F:F,0,)</f>
        <v>0</v>
      </c>
      <c r="F3582">
        <f>_xlfn.XLOOKUP($A3582,Load!$B:$B,Load!G:G,0,)</f>
        <v>0</v>
      </c>
      <c r="G3582">
        <f>_xlfn.XLOOKUP($A3582,Load!$B:$B,Load!H:H,0,)</f>
        <v>0</v>
      </c>
      <c r="H3582">
        <f>_xlfn.XLOOKUP($A3582,Load!$B:$B,Load!I:I,0,)</f>
        <v>0</v>
      </c>
      <c r="I3582">
        <f>_xlfn.XLOOKUP($A3582,Load!$B:$B,Load!J:J,0,)</f>
        <v>0</v>
      </c>
      <c r="J3582">
        <f>_xlfn.XLOOKUP($A3582,Load!$B:$B,Load!K:K,0,)</f>
        <v>0</v>
      </c>
      <c r="K3582">
        <f>_xlfn.XLOOKUP($A3582,Load!$B:$B,Load!L:L,0,)</f>
        <v>0</v>
      </c>
      <c r="L3582">
        <f>_xlfn.XLOOKUP($A3582,Load!$B:$B,Load!M:M,0,)</f>
        <v>0</v>
      </c>
    </row>
    <row r="3583" spans="1:12" x14ac:dyDescent="0.25">
      <c r="B3583">
        <f>_xlfn.XLOOKUP($A3583,Load!$B:$B,Load!C:C,0,)</f>
        <v>0</v>
      </c>
      <c r="C3583">
        <f>_xlfn.XLOOKUP($A3583,Load!$B:$B,Load!D:D,0,)</f>
        <v>0</v>
      </c>
      <c r="D3583">
        <f>_xlfn.XLOOKUP($A3583,Load!$B:$B,Load!E:E,0,)</f>
        <v>0</v>
      </c>
      <c r="E3583">
        <f>_xlfn.XLOOKUP($A3583,Load!$B:$B,Load!F:F,0,)</f>
        <v>0</v>
      </c>
      <c r="F3583">
        <f>_xlfn.XLOOKUP($A3583,Load!$B:$B,Load!G:G,0,)</f>
        <v>0</v>
      </c>
      <c r="G3583">
        <f>_xlfn.XLOOKUP($A3583,Load!$B:$B,Load!H:H,0,)</f>
        <v>0</v>
      </c>
      <c r="H3583">
        <f>_xlfn.XLOOKUP($A3583,Load!$B:$B,Load!I:I,0,)</f>
        <v>0</v>
      </c>
      <c r="I3583">
        <f>_xlfn.XLOOKUP($A3583,Load!$B:$B,Load!J:J,0,)</f>
        <v>0</v>
      </c>
      <c r="J3583">
        <f>_xlfn.XLOOKUP($A3583,Load!$B:$B,Load!K:K,0,)</f>
        <v>0</v>
      </c>
      <c r="K3583">
        <f>_xlfn.XLOOKUP($A3583,Load!$B:$B,Load!L:L,0,)</f>
        <v>0</v>
      </c>
      <c r="L3583">
        <f>_xlfn.XLOOKUP($A3583,Load!$B:$B,Load!M:M,0,)</f>
        <v>0</v>
      </c>
    </row>
    <row r="3584" spans="1:12" x14ac:dyDescent="0.25">
      <c r="A3584" t="s">
        <v>220</v>
      </c>
      <c r="B3584" t="str">
        <f>_xlfn.XLOOKUP($A3584,Load!$B:$B,Load!C:C,0,)</f>
        <v>Mondelez Variety Pack</v>
      </c>
      <c r="C3584" t="str">
        <f>_xlfn.XLOOKUP($A3584,Load!$B:$B,Load!D:D,0,)</f>
        <v>Non-Chocolate Candy Only</v>
      </c>
      <c r="D3584" t="str">
        <f>_xlfn.XLOOKUP($A3584,Load!$B:$B,Load!E:E,0,)</f>
        <v>Variety / Mixed Flavors (Fruity, Sour, Seasonal Flavors)</v>
      </c>
      <c r="E3584" t="str">
        <f>_xlfn.XLOOKUP($A3584,Load!$B:$B,Load!F:F,0,)</f>
        <v>Chewy</v>
      </c>
      <c r="F3584" t="str">
        <f>_xlfn.XLOOKUP($A3584,Load!$B:$B,Load!G:G,0,)</f>
        <v>Large Multipack (More than 80 ct)</v>
      </c>
      <c r="G3584" t="str">
        <f>_xlfn.XLOOKUP($A3584,Load!$B:$B,Load!H:H,0,)</f>
        <v>Stand-Up Bag</v>
      </c>
      <c r="H3584" t="str">
        <f>_xlfn.XLOOKUP($A3584,Load!$B:$B,Load!I:I,0,)</f>
        <v>Seasonal Shapes (like pumpkins, candy corn, ghost, bats, etc.)</v>
      </c>
      <c r="I3584" t="str">
        <f>_xlfn.XLOOKUP($A3584,Load!$B:$B,Load!J:J,0,)</f>
        <v>Seasonal Graphics (Like Bat, Ghost, Pumpkin, Fall Leaves, Eyeballs, etc.)</v>
      </c>
      <c r="J3584" t="str">
        <f>_xlfn.XLOOKUP($A3584,Load!$B:$B,Load!K:K,0,)</f>
        <v>Small Pieces (Tiny bite size candies)</v>
      </c>
      <c r="K3584" t="str">
        <f>_xlfn.XLOOKUP($A3584,Load!$B:$B,Load!L:L,0,)</f>
        <v>Regular/Original Wrapping</v>
      </c>
      <c r="L3584" t="str">
        <f>_xlfn.XLOOKUP($A3584,Load!$B:$B,Load!M:M,0,)</f>
        <v>Single Brand / Variety Flavors or Form</v>
      </c>
    </row>
    <row r="3585" spans="1:12" x14ac:dyDescent="0.25">
      <c r="B3585">
        <f>_xlfn.XLOOKUP($A3585,Load!$B:$B,Load!C:C,0,)</f>
        <v>0</v>
      </c>
      <c r="C3585">
        <f>_xlfn.XLOOKUP($A3585,Load!$B:$B,Load!D:D,0,)</f>
        <v>0</v>
      </c>
      <c r="D3585">
        <f>_xlfn.XLOOKUP($A3585,Load!$B:$B,Load!E:E,0,)</f>
        <v>0</v>
      </c>
      <c r="E3585">
        <f>_xlfn.XLOOKUP($A3585,Load!$B:$B,Load!F:F,0,)</f>
        <v>0</v>
      </c>
      <c r="F3585">
        <f>_xlfn.XLOOKUP($A3585,Load!$B:$B,Load!G:G,0,)</f>
        <v>0</v>
      </c>
      <c r="G3585">
        <f>_xlfn.XLOOKUP($A3585,Load!$B:$B,Load!H:H,0,)</f>
        <v>0</v>
      </c>
      <c r="H3585">
        <f>_xlfn.XLOOKUP($A3585,Load!$B:$B,Load!I:I,0,)</f>
        <v>0</v>
      </c>
      <c r="I3585">
        <f>_xlfn.XLOOKUP($A3585,Load!$B:$B,Load!J:J,0,)</f>
        <v>0</v>
      </c>
      <c r="J3585">
        <f>_xlfn.XLOOKUP($A3585,Load!$B:$B,Load!K:K,0,)</f>
        <v>0</v>
      </c>
      <c r="K3585">
        <f>_xlfn.XLOOKUP($A3585,Load!$B:$B,Load!L:L,0,)</f>
        <v>0</v>
      </c>
      <c r="L3585">
        <f>_xlfn.XLOOKUP($A3585,Load!$B:$B,Load!M:M,0,)</f>
        <v>0</v>
      </c>
    </row>
    <row r="3586" spans="1:12" x14ac:dyDescent="0.25">
      <c r="A3586" t="s">
        <v>68</v>
      </c>
      <c r="B3586" t="str">
        <f>_xlfn.XLOOKUP($A3586,Load!$B:$B,Load!C:C,0,)</f>
        <v>Dum Dums</v>
      </c>
      <c r="C3586" t="str">
        <f>_xlfn.XLOOKUP($A3586,Load!$B:$B,Load!D:D,0,)</f>
        <v>Non-Chocolate Candy Only</v>
      </c>
      <c r="D3586" t="str">
        <f>_xlfn.XLOOKUP($A3586,Load!$B:$B,Load!E:E,0,)</f>
        <v>Fruit Flavor (Cherry, Grape, Apple, Citrus, Tropical Fruit)</v>
      </c>
      <c r="E3586" t="str">
        <f>_xlfn.XLOOKUP($A3586,Load!$B:$B,Load!F:F,0,)</f>
        <v>Lollipop (regular or lollipop rings)</v>
      </c>
      <c r="F3586" t="str">
        <f>_xlfn.XLOOKUP($A3586,Load!$B:$B,Load!G:G,0,)</f>
        <v>Single Pack</v>
      </c>
      <c r="G3586" t="str">
        <f>_xlfn.XLOOKUP($A3586,Load!$B:$B,Load!H:H,0,)</f>
        <v>Laydown Bag</v>
      </c>
      <c r="H3586" t="str">
        <f>_xlfn.XLOOKUP($A3586,Load!$B:$B,Load!I:I,0,)</f>
        <v>Everyday Candy Shapes (like Original, Gummy bear, Fruit, Jewels, etc.)</v>
      </c>
      <c r="I3586" t="str">
        <f>_xlfn.XLOOKUP($A3586,Load!$B:$B,Load!J:J,0,)</f>
        <v>Seasonal Graphics (Like Bat, Ghost, Pumpkin, Fall Leaves, Eyeballs, etc.)</v>
      </c>
      <c r="J3586" t="str">
        <f>_xlfn.XLOOKUP($A3586,Load!$B:$B,Load!K:K,0,)</f>
        <v>Regular Lollipop size (on sticks or rings)</v>
      </c>
      <c r="K3586" t="str">
        <f>_xlfn.XLOOKUP($A3586,Load!$B:$B,Load!L:L,0,)</f>
        <v>Regular/Original Wrapping</v>
      </c>
      <c r="L3586" t="str">
        <f>_xlfn.XLOOKUP($A3586,Load!$B:$B,Load!M:M,0,)</f>
        <v>Single Brand / Variety Flavors or Form</v>
      </c>
    </row>
    <row r="3587" spans="1:12" x14ac:dyDescent="0.25">
      <c r="A3587" t="s">
        <v>114</v>
      </c>
      <c r="B3587" t="str">
        <f>_xlfn.XLOOKUP($A3587,Load!$B:$B,Load!C:C,0,)</f>
        <v>Galerie</v>
      </c>
      <c r="C3587" t="str">
        <f>_xlfn.XLOOKUP($A3587,Load!$B:$B,Load!D:D,0,)</f>
        <v>Non-Chocolate Candy Only</v>
      </c>
      <c r="D3587" t="str">
        <f>_xlfn.XLOOKUP($A3587,Load!$B:$B,Load!E:E,0,)</f>
        <v>Fruit Flavor (Cherry, Grape, Apple, Citrus, Tropical Fruit)</v>
      </c>
      <c r="E3587" t="str">
        <f>_xlfn.XLOOKUP($A3587,Load!$B:$B,Load!F:F,0,)</f>
        <v>Lollipop (regular or lollipop rings)</v>
      </c>
      <c r="F3587" t="str">
        <f>_xlfn.XLOOKUP($A3587,Load!$B:$B,Load!G:G,0,)</f>
        <v>Single Pack</v>
      </c>
      <c r="G3587" t="str">
        <f>_xlfn.XLOOKUP($A3587,Load!$B:$B,Load!H:H,0,)</f>
        <v>Laydown Bag</v>
      </c>
      <c r="H3587" t="str">
        <f>_xlfn.XLOOKUP($A3587,Load!$B:$B,Load!I:I,0,)</f>
        <v>Seasonal Shapes (like pumpkins, candy corn, ghost, bats, etc.)</v>
      </c>
      <c r="I3587" t="str">
        <f>_xlfn.XLOOKUP($A3587,Load!$B:$B,Load!J:J,0,)</f>
        <v>Seasonal Graphics (Like Bat, Ghost, Pumpkin, Fall Leaves, Eyeballs, etc.)</v>
      </c>
      <c r="J3587" t="str">
        <f>_xlfn.XLOOKUP($A3587,Load!$B:$B,Load!K:K,0,)</f>
        <v>Regular Lollipop size (on sticks or rings)</v>
      </c>
      <c r="K3587" t="str">
        <f>_xlfn.XLOOKUP($A3587,Load!$B:$B,Load!L:L,0,)</f>
        <v>Regular/Original Wrapping</v>
      </c>
      <c r="L3587" t="str">
        <f>_xlfn.XLOOKUP($A3587,Load!$B:$B,Load!M:M,0,)</f>
        <v>Single Brand / Single Flavor or Form</v>
      </c>
    </row>
    <row r="3588" spans="1:12" x14ac:dyDescent="0.25">
      <c r="B3588">
        <f>_xlfn.XLOOKUP($A3588,Load!$B:$B,Load!C:C,0,)</f>
        <v>0</v>
      </c>
      <c r="C3588">
        <f>_xlfn.XLOOKUP($A3588,Load!$B:$B,Load!D:D,0,)</f>
        <v>0</v>
      </c>
      <c r="D3588">
        <f>_xlfn.XLOOKUP($A3588,Load!$B:$B,Load!E:E,0,)</f>
        <v>0</v>
      </c>
      <c r="E3588">
        <f>_xlfn.XLOOKUP($A3588,Load!$B:$B,Load!F:F,0,)</f>
        <v>0</v>
      </c>
      <c r="F3588">
        <f>_xlfn.XLOOKUP($A3588,Load!$B:$B,Load!G:G,0,)</f>
        <v>0</v>
      </c>
      <c r="G3588">
        <f>_xlfn.XLOOKUP($A3588,Load!$B:$B,Load!H:H,0,)</f>
        <v>0</v>
      </c>
      <c r="H3588">
        <f>_xlfn.XLOOKUP($A3588,Load!$B:$B,Load!I:I,0,)</f>
        <v>0</v>
      </c>
      <c r="I3588">
        <f>_xlfn.XLOOKUP($A3588,Load!$B:$B,Load!J:J,0,)</f>
        <v>0</v>
      </c>
      <c r="J3588">
        <f>_xlfn.XLOOKUP($A3588,Load!$B:$B,Load!K:K,0,)</f>
        <v>0</v>
      </c>
      <c r="K3588">
        <f>_xlfn.XLOOKUP($A3588,Load!$B:$B,Load!L:L,0,)</f>
        <v>0</v>
      </c>
      <c r="L3588">
        <f>_xlfn.XLOOKUP($A3588,Load!$B:$B,Load!M:M,0,)</f>
        <v>0</v>
      </c>
    </row>
    <row r="3589" spans="1:12" x14ac:dyDescent="0.25">
      <c r="B3589">
        <f>_xlfn.XLOOKUP($A3589,Load!$B:$B,Load!C:C,0,)</f>
        <v>0</v>
      </c>
      <c r="C3589">
        <f>_xlfn.XLOOKUP($A3589,Load!$B:$B,Load!D:D,0,)</f>
        <v>0</v>
      </c>
      <c r="D3589">
        <f>_xlfn.XLOOKUP($A3589,Load!$B:$B,Load!E:E,0,)</f>
        <v>0</v>
      </c>
      <c r="E3589">
        <f>_xlfn.XLOOKUP($A3589,Load!$B:$B,Load!F:F,0,)</f>
        <v>0</v>
      </c>
      <c r="F3589">
        <f>_xlfn.XLOOKUP($A3589,Load!$B:$B,Load!G:G,0,)</f>
        <v>0</v>
      </c>
      <c r="G3589">
        <f>_xlfn.XLOOKUP($A3589,Load!$B:$B,Load!H:H,0,)</f>
        <v>0</v>
      </c>
      <c r="H3589">
        <f>_xlfn.XLOOKUP($A3589,Load!$B:$B,Load!I:I,0,)</f>
        <v>0</v>
      </c>
      <c r="I3589">
        <f>_xlfn.XLOOKUP($A3589,Load!$B:$B,Load!J:J,0,)</f>
        <v>0</v>
      </c>
      <c r="J3589">
        <f>_xlfn.XLOOKUP($A3589,Load!$B:$B,Load!K:K,0,)</f>
        <v>0</v>
      </c>
      <c r="K3589">
        <f>_xlfn.XLOOKUP($A3589,Load!$B:$B,Load!L:L,0,)</f>
        <v>0</v>
      </c>
      <c r="L3589">
        <f>_xlfn.XLOOKUP($A3589,Load!$B:$B,Load!M:M,0,)</f>
        <v>0</v>
      </c>
    </row>
    <row r="3590" spans="1:12" x14ac:dyDescent="0.25">
      <c r="A3590" t="s">
        <v>134</v>
      </c>
      <c r="B3590" t="str">
        <f>_xlfn.XLOOKUP($A3590,Load!$B:$B,Load!C:C,0,)</f>
        <v>Hershey's Variety Pack</v>
      </c>
      <c r="C3590" t="str">
        <f>_xlfn.XLOOKUP($A3590,Load!$B:$B,Load!D:D,0,)</f>
        <v>Non-Chocolate Candy Only</v>
      </c>
      <c r="D3590" t="str">
        <f>_xlfn.XLOOKUP($A3590,Load!$B:$B,Load!E:E,0,)</f>
        <v>Variety / Mixed Flavors (Fruity, Sour, Seasonal Flavors)</v>
      </c>
      <c r="E3590" t="str">
        <f>_xlfn.XLOOKUP($A3590,Load!$B:$B,Load!F:F,0,)</f>
        <v>Mixed / Combo Packs (Gummy, Chewy, Taffy, etc.)</v>
      </c>
      <c r="F3590" t="str">
        <f>_xlfn.XLOOKUP($A3590,Load!$B:$B,Load!G:G,0,)</f>
        <v>Large Multipack (More than 80 ct)</v>
      </c>
      <c r="G3590" t="str">
        <f>_xlfn.XLOOKUP($A3590,Load!$B:$B,Load!H:H,0,)</f>
        <v>Stand-Up Bag</v>
      </c>
      <c r="H3590" t="str">
        <f>_xlfn.XLOOKUP($A3590,Load!$B:$B,Load!I:I,0,)</f>
        <v>Everyday Candy Shapes (like Original, Gummy bear, Fruit, Jewels, etc.)</v>
      </c>
      <c r="I3590" t="str">
        <f>_xlfn.XLOOKUP($A3590,Load!$B:$B,Load!J:J,0,)</f>
        <v>Seasonal Graphics (Like Bat, Ghost, Pumpkin, Fall Leaves, Eyeballs, etc.)</v>
      </c>
      <c r="J3590" t="str">
        <f>_xlfn.XLOOKUP($A3590,Load!$B:$B,Load!K:K,0,)</f>
        <v xml:space="preserve">Variety Candy Sizes </v>
      </c>
      <c r="K3590" t="str">
        <f>_xlfn.XLOOKUP($A3590,Load!$B:$B,Load!L:L,0,)</f>
        <v>Regular/Original Wrapping</v>
      </c>
      <c r="L3590" t="str">
        <f>_xlfn.XLOOKUP($A3590,Load!$B:$B,Load!M:M,0,)</f>
        <v>Multiple Brands / Variety Flavors or Form</v>
      </c>
    </row>
    <row r="3591" spans="1:12" x14ac:dyDescent="0.25">
      <c r="B3591">
        <f>_xlfn.XLOOKUP($A3591,Load!$B:$B,Load!C:C,0,)</f>
        <v>0</v>
      </c>
      <c r="C3591">
        <f>_xlfn.XLOOKUP($A3591,Load!$B:$B,Load!D:D,0,)</f>
        <v>0</v>
      </c>
      <c r="D3591">
        <f>_xlfn.XLOOKUP($A3591,Load!$B:$B,Load!E:E,0,)</f>
        <v>0</v>
      </c>
      <c r="E3591">
        <f>_xlfn.XLOOKUP($A3591,Load!$B:$B,Load!F:F,0,)</f>
        <v>0</v>
      </c>
      <c r="F3591">
        <f>_xlfn.XLOOKUP($A3591,Load!$B:$B,Load!G:G,0,)</f>
        <v>0</v>
      </c>
      <c r="G3591">
        <f>_xlfn.XLOOKUP($A3591,Load!$B:$B,Load!H:H,0,)</f>
        <v>0</v>
      </c>
      <c r="H3591">
        <f>_xlfn.XLOOKUP($A3591,Load!$B:$B,Load!I:I,0,)</f>
        <v>0</v>
      </c>
      <c r="I3591">
        <f>_xlfn.XLOOKUP($A3591,Load!$B:$B,Load!J:J,0,)</f>
        <v>0</v>
      </c>
      <c r="J3591">
        <f>_xlfn.XLOOKUP($A3591,Load!$B:$B,Load!K:K,0,)</f>
        <v>0</v>
      </c>
      <c r="K3591">
        <f>_xlfn.XLOOKUP($A3591,Load!$B:$B,Load!L:L,0,)</f>
        <v>0</v>
      </c>
      <c r="L3591">
        <f>_xlfn.XLOOKUP($A3591,Load!$B:$B,Load!M:M,0,)</f>
        <v>0</v>
      </c>
    </row>
    <row r="3592" spans="1:12" x14ac:dyDescent="0.25">
      <c r="A3592" t="s">
        <v>292</v>
      </c>
      <c r="B3592" t="str">
        <f>_xlfn.XLOOKUP($A3592,Load!$B:$B,Load!C:C,0,)</f>
        <v>Tootsie</v>
      </c>
      <c r="C3592" t="str">
        <f>_xlfn.XLOOKUP($A3592,Load!$B:$B,Load!D:D,0,)</f>
        <v>Non-Chocolate Candy Only</v>
      </c>
      <c r="D3592" t="str">
        <f>_xlfn.XLOOKUP($A3592,Load!$B:$B,Load!E:E,0,)</f>
        <v>Fall / Seasonal Flavors (pumpkin spice, caramel apple, candy corn)</v>
      </c>
      <c r="E3592" t="str">
        <f>_xlfn.XLOOKUP($A3592,Load!$B:$B,Load!F:F,0,)</f>
        <v>Lollipop (regular or lollipop rings)</v>
      </c>
      <c r="F3592" t="str">
        <f>_xlfn.XLOOKUP($A3592,Load!$B:$B,Load!G:G,0,)</f>
        <v>Single Pack</v>
      </c>
      <c r="G3592" t="str">
        <f>_xlfn.XLOOKUP($A3592,Load!$B:$B,Load!H:H,0,)</f>
        <v>Laydown Bag</v>
      </c>
      <c r="H3592" t="str">
        <f>_xlfn.XLOOKUP($A3592,Load!$B:$B,Load!I:I,0,)</f>
        <v>Everyday Candy Shapes (like Original, Gummy bear, Fruit, Jewels, etc.)</v>
      </c>
      <c r="I3592" t="str">
        <f>_xlfn.XLOOKUP($A3592,Load!$B:$B,Load!J:J,0,)</f>
        <v>Seasonal Graphics (Like Bat, Ghost, Pumpkin, Fall Leaves, Eyeballs, etc.)</v>
      </c>
      <c r="J3592" t="str">
        <f>_xlfn.XLOOKUP($A3592,Load!$B:$B,Load!K:K,0,)</f>
        <v>Regular Lollipop size (on sticks or rings)</v>
      </c>
      <c r="K3592" t="str">
        <f>_xlfn.XLOOKUP($A3592,Load!$B:$B,Load!L:L,0,)</f>
        <v>Regular/Original Wrapping</v>
      </c>
      <c r="L3592" t="str">
        <f>_xlfn.XLOOKUP($A3592,Load!$B:$B,Load!M:M,0,)</f>
        <v>Single Brand / Single Flavor or Form</v>
      </c>
    </row>
    <row r="3593" spans="1:12" x14ac:dyDescent="0.25">
      <c r="A3593" t="s">
        <v>294</v>
      </c>
      <c r="B3593" t="str">
        <f>_xlfn.XLOOKUP($A3593,Load!$B:$B,Load!C:C,0,)</f>
        <v>Tootsie</v>
      </c>
      <c r="C3593" t="str">
        <f>_xlfn.XLOOKUP($A3593,Load!$B:$B,Load!D:D,0,)</f>
        <v>Non-Chocolate Candy Only</v>
      </c>
      <c r="D3593" t="str">
        <f>_xlfn.XLOOKUP($A3593,Load!$B:$B,Load!E:E,0,)</f>
        <v>Sweet</v>
      </c>
      <c r="E3593" t="str">
        <f>_xlfn.XLOOKUP($A3593,Load!$B:$B,Load!F:F,0,)</f>
        <v>Lollipop (regular or lollipop rings)</v>
      </c>
      <c r="F3593" t="str">
        <f>_xlfn.XLOOKUP($A3593,Load!$B:$B,Load!G:G,0,)</f>
        <v>Large Multipack (More than 80 ct)</v>
      </c>
      <c r="G3593" t="str">
        <f>_xlfn.XLOOKUP($A3593,Load!$B:$B,Load!H:H,0,)</f>
        <v>Laydown Bag</v>
      </c>
      <c r="H3593" t="str">
        <f>_xlfn.XLOOKUP($A3593,Load!$B:$B,Load!I:I,0,)</f>
        <v>Everyday Candy Shapes (like Original, Gummy bear, Fruit, Jewels, etc.)</v>
      </c>
      <c r="I3593" t="str">
        <f>_xlfn.XLOOKUP($A3593,Load!$B:$B,Load!J:J,0,)</f>
        <v>Everyday Graphics</v>
      </c>
      <c r="J3593" t="str">
        <f>_xlfn.XLOOKUP($A3593,Load!$B:$B,Load!K:K,0,)</f>
        <v>Regular Lollipop size (on sticks or rings)</v>
      </c>
      <c r="K3593" t="str">
        <f>_xlfn.XLOOKUP($A3593,Load!$B:$B,Load!L:L,0,)</f>
        <v>Regular/Original Wrapping</v>
      </c>
      <c r="L3593" t="str">
        <f>_xlfn.XLOOKUP($A3593,Load!$B:$B,Load!M:M,0,)</f>
        <v>Single Brand / Single Flavor or Form</v>
      </c>
    </row>
    <row r="3594" spans="1:12" x14ac:dyDescent="0.25">
      <c r="A3594" t="s">
        <v>6</v>
      </c>
      <c r="B3594" t="str">
        <f>_xlfn.XLOOKUP($A3594,Load!$B:$B,Load!C:C,0,)</f>
        <v>Airheads</v>
      </c>
      <c r="C3594" t="str">
        <f>_xlfn.XLOOKUP($A3594,Load!$B:$B,Load!D:D,0,)</f>
        <v>Non-Chocolate Candy Only</v>
      </c>
      <c r="D3594" t="str">
        <f>_xlfn.XLOOKUP($A3594,Load!$B:$B,Load!E:E,0,)</f>
        <v>Sour</v>
      </c>
      <c r="E3594" t="str">
        <f>_xlfn.XLOOKUP($A3594,Load!$B:$B,Load!F:F,0,)</f>
        <v>Taffy</v>
      </c>
      <c r="F3594" t="str">
        <f>_xlfn.XLOOKUP($A3594,Load!$B:$B,Load!G:G,0,)</f>
        <v>Large Multipack (More than 80 ct)</v>
      </c>
      <c r="G3594" t="str">
        <f>_xlfn.XLOOKUP($A3594,Load!$B:$B,Load!H:H,0,)</f>
        <v>Laydown Bag</v>
      </c>
      <c r="H3594" t="str">
        <f>_xlfn.XLOOKUP($A3594,Load!$B:$B,Load!I:I,0,)</f>
        <v>Everyday Candy Shapes (like Original, Gummy bear, Fruit, Jewels, etc.)</v>
      </c>
      <c r="I3594" t="str">
        <f>_xlfn.XLOOKUP($A3594,Load!$B:$B,Load!J:J,0,)</f>
        <v>Everyday Graphics</v>
      </c>
      <c r="J3594" t="str">
        <f>_xlfn.XLOOKUP($A3594,Load!$B:$B,Load!K:K,0,)</f>
        <v>Fun Size / Treat Size</v>
      </c>
      <c r="K3594" t="str">
        <f>_xlfn.XLOOKUP($A3594,Load!$B:$B,Load!L:L,0,)</f>
        <v>Regular/Original Wrapping</v>
      </c>
      <c r="L3594" t="str">
        <f>_xlfn.XLOOKUP($A3594,Load!$B:$B,Load!M:M,0,)</f>
        <v>Single Brand / Variety Flavors or Form</v>
      </c>
    </row>
    <row r="3595" spans="1:12" x14ac:dyDescent="0.25">
      <c r="B3595">
        <f>_xlfn.XLOOKUP($A3595,Load!$B:$B,Load!C:C,0,)</f>
        <v>0</v>
      </c>
      <c r="C3595">
        <f>_xlfn.XLOOKUP($A3595,Load!$B:$B,Load!D:D,0,)</f>
        <v>0</v>
      </c>
      <c r="D3595">
        <f>_xlfn.XLOOKUP($A3595,Load!$B:$B,Load!E:E,0,)</f>
        <v>0</v>
      </c>
      <c r="E3595">
        <f>_xlfn.XLOOKUP($A3595,Load!$B:$B,Load!F:F,0,)</f>
        <v>0</v>
      </c>
      <c r="F3595">
        <f>_xlfn.XLOOKUP($A3595,Load!$B:$B,Load!G:G,0,)</f>
        <v>0</v>
      </c>
      <c r="G3595">
        <f>_xlfn.XLOOKUP($A3595,Load!$B:$B,Load!H:H,0,)</f>
        <v>0</v>
      </c>
      <c r="H3595">
        <f>_xlfn.XLOOKUP($A3595,Load!$B:$B,Load!I:I,0,)</f>
        <v>0</v>
      </c>
      <c r="I3595">
        <f>_xlfn.XLOOKUP($A3595,Load!$B:$B,Load!J:J,0,)</f>
        <v>0</v>
      </c>
      <c r="J3595">
        <f>_xlfn.XLOOKUP($A3595,Load!$B:$B,Load!K:K,0,)</f>
        <v>0</v>
      </c>
      <c r="K3595">
        <f>_xlfn.XLOOKUP($A3595,Load!$B:$B,Load!L:L,0,)</f>
        <v>0</v>
      </c>
      <c r="L3595">
        <f>_xlfn.XLOOKUP($A3595,Load!$B:$B,Load!M:M,0,)</f>
        <v>0</v>
      </c>
    </row>
    <row r="3596" spans="1:12" x14ac:dyDescent="0.25">
      <c r="A3596" t="s">
        <v>259</v>
      </c>
      <c r="B3596" t="str">
        <f>_xlfn.XLOOKUP($A3596,Load!$B:$B,Load!C:C,0,)</f>
        <v>Skittles</v>
      </c>
      <c r="C3596" t="str">
        <f>_xlfn.XLOOKUP($A3596,Load!$B:$B,Load!D:D,0,)</f>
        <v>Non-Chocolate Candy Only</v>
      </c>
      <c r="D3596" t="str">
        <f>_xlfn.XLOOKUP($A3596,Load!$B:$B,Load!E:E,0,)</f>
        <v>Sour</v>
      </c>
      <c r="E3596" t="str">
        <f>_xlfn.XLOOKUP($A3596,Load!$B:$B,Load!F:F,0,)</f>
        <v>Chewy</v>
      </c>
      <c r="F3596" t="str">
        <f>_xlfn.XLOOKUP($A3596,Load!$B:$B,Load!G:G,0,)</f>
        <v>Small Multipack (Less than 40 ct)</v>
      </c>
      <c r="G3596" t="str">
        <f>_xlfn.XLOOKUP($A3596,Load!$B:$B,Load!H:H,0,)</f>
        <v>Laydown Bag</v>
      </c>
      <c r="H3596" t="str">
        <f>_xlfn.XLOOKUP($A3596,Load!$B:$B,Load!I:I,0,)</f>
        <v>Everyday Candy Shapes (like Original, Gummy bear, Fruit, Jewels, etc.)</v>
      </c>
      <c r="I3596" t="str">
        <f>_xlfn.XLOOKUP($A3596,Load!$B:$B,Load!J:J,0,)</f>
        <v>Seasonal Graphics (Like Bat, Ghost, Pumpkin, Fall Leaves, Eyeballs, etc.)</v>
      </c>
      <c r="J3596" t="str">
        <f>_xlfn.XLOOKUP($A3596,Load!$B:$B,Load!K:K,0,)</f>
        <v>Small Pieces (Tiny bite size candies)</v>
      </c>
      <c r="K3596" t="str">
        <f>_xlfn.XLOOKUP($A3596,Load!$B:$B,Load!L:L,0,)</f>
        <v>Regular/Original Wrapping</v>
      </c>
      <c r="L3596" t="str">
        <f>_xlfn.XLOOKUP($A3596,Load!$B:$B,Load!M:M,0,)</f>
        <v>Single Brand / Variety Flavors or Form</v>
      </c>
    </row>
    <row r="3597" spans="1:12" x14ac:dyDescent="0.25">
      <c r="B3597">
        <f>_xlfn.XLOOKUP($A3597,Load!$B:$B,Load!C:C,0,)</f>
        <v>0</v>
      </c>
      <c r="C3597">
        <f>_xlfn.XLOOKUP($A3597,Load!$B:$B,Load!D:D,0,)</f>
        <v>0</v>
      </c>
      <c r="D3597">
        <f>_xlfn.XLOOKUP($A3597,Load!$B:$B,Load!E:E,0,)</f>
        <v>0</v>
      </c>
      <c r="E3597">
        <f>_xlfn.XLOOKUP($A3597,Load!$B:$B,Load!F:F,0,)</f>
        <v>0</v>
      </c>
      <c r="F3597">
        <f>_xlfn.XLOOKUP($A3597,Load!$B:$B,Load!G:G,0,)</f>
        <v>0</v>
      </c>
      <c r="G3597">
        <f>_xlfn.XLOOKUP($A3597,Load!$B:$B,Load!H:H,0,)</f>
        <v>0</v>
      </c>
      <c r="H3597">
        <f>_xlfn.XLOOKUP($A3597,Load!$B:$B,Load!I:I,0,)</f>
        <v>0</v>
      </c>
      <c r="I3597">
        <f>_xlfn.XLOOKUP($A3597,Load!$B:$B,Load!J:J,0,)</f>
        <v>0</v>
      </c>
      <c r="J3597">
        <f>_xlfn.XLOOKUP($A3597,Load!$B:$B,Load!K:K,0,)</f>
        <v>0</v>
      </c>
      <c r="K3597">
        <f>_xlfn.XLOOKUP($A3597,Load!$B:$B,Load!L:L,0,)</f>
        <v>0</v>
      </c>
      <c r="L3597">
        <f>_xlfn.XLOOKUP($A3597,Load!$B:$B,Load!M:M,0,)</f>
        <v>0</v>
      </c>
    </row>
    <row r="3598" spans="1:12" x14ac:dyDescent="0.25">
      <c r="B3598">
        <f>_xlfn.XLOOKUP($A3598,Load!$B:$B,Load!C:C,0,)</f>
        <v>0</v>
      </c>
      <c r="C3598">
        <f>_xlfn.XLOOKUP($A3598,Load!$B:$B,Load!D:D,0,)</f>
        <v>0</v>
      </c>
      <c r="D3598">
        <f>_xlfn.XLOOKUP($A3598,Load!$B:$B,Load!E:E,0,)</f>
        <v>0</v>
      </c>
      <c r="E3598">
        <f>_xlfn.XLOOKUP($A3598,Load!$B:$B,Load!F:F,0,)</f>
        <v>0</v>
      </c>
      <c r="F3598">
        <f>_xlfn.XLOOKUP($A3598,Load!$B:$B,Load!G:G,0,)</f>
        <v>0</v>
      </c>
      <c r="G3598">
        <f>_xlfn.XLOOKUP($A3598,Load!$B:$B,Load!H:H,0,)</f>
        <v>0</v>
      </c>
      <c r="H3598">
        <f>_xlfn.XLOOKUP($A3598,Load!$B:$B,Load!I:I,0,)</f>
        <v>0</v>
      </c>
      <c r="I3598">
        <f>_xlfn.XLOOKUP($A3598,Load!$B:$B,Load!J:J,0,)</f>
        <v>0</v>
      </c>
      <c r="J3598">
        <f>_xlfn.XLOOKUP($A3598,Load!$B:$B,Load!K:K,0,)</f>
        <v>0</v>
      </c>
      <c r="K3598">
        <f>_xlfn.XLOOKUP($A3598,Load!$B:$B,Load!L:L,0,)</f>
        <v>0</v>
      </c>
      <c r="L3598">
        <f>_xlfn.XLOOKUP($A3598,Load!$B:$B,Load!M:M,0,)</f>
        <v>0</v>
      </c>
    </row>
    <row r="3599" spans="1:12" x14ac:dyDescent="0.25">
      <c r="B3599">
        <f>_xlfn.XLOOKUP($A3599,Load!$B:$B,Load!C:C,0,)</f>
        <v>0</v>
      </c>
      <c r="C3599">
        <f>_xlfn.XLOOKUP($A3599,Load!$B:$B,Load!D:D,0,)</f>
        <v>0</v>
      </c>
      <c r="D3599">
        <f>_xlfn.XLOOKUP($A3599,Load!$B:$B,Load!E:E,0,)</f>
        <v>0</v>
      </c>
      <c r="E3599">
        <f>_xlfn.XLOOKUP($A3599,Load!$B:$B,Load!F:F,0,)</f>
        <v>0</v>
      </c>
      <c r="F3599">
        <f>_xlfn.XLOOKUP($A3599,Load!$B:$B,Load!G:G,0,)</f>
        <v>0</v>
      </c>
      <c r="G3599">
        <f>_xlfn.XLOOKUP($A3599,Load!$B:$B,Load!H:H,0,)</f>
        <v>0</v>
      </c>
      <c r="H3599">
        <f>_xlfn.XLOOKUP($A3599,Load!$B:$B,Load!I:I,0,)</f>
        <v>0</v>
      </c>
      <c r="I3599">
        <f>_xlfn.XLOOKUP($A3599,Load!$B:$B,Load!J:J,0,)</f>
        <v>0</v>
      </c>
      <c r="J3599">
        <f>_xlfn.XLOOKUP($A3599,Load!$B:$B,Load!K:K,0,)</f>
        <v>0</v>
      </c>
      <c r="K3599">
        <f>_xlfn.XLOOKUP($A3599,Load!$B:$B,Load!L:L,0,)</f>
        <v>0</v>
      </c>
      <c r="L3599">
        <f>_xlfn.XLOOKUP($A3599,Load!$B:$B,Load!M:M,0,)</f>
        <v>0</v>
      </c>
    </row>
    <row r="3600" spans="1:12" x14ac:dyDescent="0.25">
      <c r="B3600">
        <f>_xlfn.XLOOKUP($A3600,Load!$B:$B,Load!C:C,0,)</f>
        <v>0</v>
      </c>
      <c r="C3600">
        <f>_xlfn.XLOOKUP($A3600,Load!$B:$B,Load!D:D,0,)</f>
        <v>0</v>
      </c>
      <c r="D3600">
        <f>_xlfn.XLOOKUP($A3600,Load!$B:$B,Load!E:E,0,)</f>
        <v>0</v>
      </c>
      <c r="E3600">
        <f>_xlfn.XLOOKUP($A3600,Load!$B:$B,Load!F:F,0,)</f>
        <v>0</v>
      </c>
      <c r="F3600">
        <f>_xlfn.XLOOKUP($A3600,Load!$B:$B,Load!G:G,0,)</f>
        <v>0</v>
      </c>
      <c r="G3600">
        <f>_xlfn.XLOOKUP($A3600,Load!$B:$B,Load!H:H,0,)</f>
        <v>0</v>
      </c>
      <c r="H3600">
        <f>_xlfn.XLOOKUP($A3600,Load!$B:$B,Load!I:I,0,)</f>
        <v>0</v>
      </c>
      <c r="I3600">
        <f>_xlfn.XLOOKUP($A3600,Load!$B:$B,Load!J:J,0,)</f>
        <v>0</v>
      </c>
      <c r="J3600">
        <f>_xlfn.XLOOKUP($A3600,Load!$B:$B,Load!K:K,0,)</f>
        <v>0</v>
      </c>
      <c r="K3600">
        <f>_xlfn.XLOOKUP($A3600,Load!$B:$B,Load!L:L,0,)</f>
        <v>0</v>
      </c>
      <c r="L3600">
        <f>_xlfn.XLOOKUP($A3600,Load!$B:$B,Load!M:M,0,)</f>
        <v>0</v>
      </c>
    </row>
    <row r="3601" spans="1:12" x14ac:dyDescent="0.25">
      <c r="B3601">
        <f>_xlfn.XLOOKUP($A3601,Load!$B:$B,Load!C:C,0,)</f>
        <v>0</v>
      </c>
      <c r="C3601">
        <f>_xlfn.XLOOKUP($A3601,Load!$B:$B,Load!D:D,0,)</f>
        <v>0</v>
      </c>
      <c r="D3601">
        <f>_xlfn.XLOOKUP($A3601,Load!$B:$B,Load!E:E,0,)</f>
        <v>0</v>
      </c>
      <c r="E3601">
        <f>_xlfn.XLOOKUP($A3601,Load!$B:$B,Load!F:F,0,)</f>
        <v>0</v>
      </c>
      <c r="F3601">
        <f>_xlfn.XLOOKUP($A3601,Load!$B:$B,Load!G:G,0,)</f>
        <v>0</v>
      </c>
      <c r="G3601">
        <f>_xlfn.XLOOKUP($A3601,Load!$B:$B,Load!H:H,0,)</f>
        <v>0</v>
      </c>
      <c r="H3601">
        <f>_xlfn.XLOOKUP($A3601,Load!$B:$B,Load!I:I,0,)</f>
        <v>0</v>
      </c>
      <c r="I3601">
        <f>_xlfn.XLOOKUP($A3601,Load!$B:$B,Load!J:J,0,)</f>
        <v>0</v>
      </c>
      <c r="J3601">
        <f>_xlfn.XLOOKUP($A3601,Load!$B:$B,Load!K:K,0,)</f>
        <v>0</v>
      </c>
      <c r="K3601">
        <f>_xlfn.XLOOKUP($A3601,Load!$B:$B,Load!L:L,0,)</f>
        <v>0</v>
      </c>
      <c r="L3601">
        <f>_xlfn.XLOOKUP($A3601,Load!$B:$B,Load!M:M,0,)</f>
        <v>0</v>
      </c>
    </row>
    <row r="3602" spans="1:12" x14ac:dyDescent="0.25">
      <c r="A3602" t="s">
        <v>113</v>
      </c>
      <c r="B3602" t="str">
        <f>_xlfn.XLOOKUP($A3602,Load!$B:$B,Load!C:C,0,)</f>
        <v>Fun Dip</v>
      </c>
      <c r="C3602" t="str">
        <f>_xlfn.XLOOKUP($A3602,Load!$B:$B,Load!D:D,0,)</f>
        <v>Non-Chocolate Candy Only</v>
      </c>
      <c r="D3602" t="str">
        <f>_xlfn.XLOOKUP($A3602,Load!$B:$B,Load!E:E,0,)</f>
        <v>Variety / Mixed Flavors (Fruity, Sour, Seasonal Flavors)</v>
      </c>
      <c r="E3602" t="str">
        <f>_xlfn.XLOOKUP($A3602,Load!$B:$B,Load!F:F,0,)</f>
        <v>Powder / Chalky</v>
      </c>
      <c r="F3602" t="str">
        <f>_xlfn.XLOOKUP($A3602,Load!$B:$B,Load!G:G,0,)</f>
        <v>Medium Multipack (40–80 ct)</v>
      </c>
      <c r="G3602" t="str">
        <f>_xlfn.XLOOKUP($A3602,Load!$B:$B,Load!H:H,0,)</f>
        <v>Box (theatre box, gift box, carton)</v>
      </c>
      <c r="H3602" t="str">
        <f>_xlfn.XLOOKUP($A3602,Load!$B:$B,Load!I:I,0,)</f>
        <v>Everyday Candy Shapes (like Original, Gummy bear, Fruit, Jewels, etc.)</v>
      </c>
      <c r="I3602" t="str">
        <f>_xlfn.XLOOKUP($A3602,Load!$B:$B,Load!J:J,0,)</f>
        <v>Seasonal Graphics (Like Bat, Ghost, Pumpkin, Fall Leaves, Eyeballs, etc.)</v>
      </c>
      <c r="J3602" t="str">
        <f>_xlfn.XLOOKUP($A3602,Load!$B:$B,Load!K:K,0,)</f>
        <v>Fun Size / Treat Size</v>
      </c>
      <c r="K3602" t="str">
        <f>_xlfn.XLOOKUP($A3602,Load!$B:$B,Load!L:L,0,)</f>
        <v>Regular/Original Wrapping</v>
      </c>
      <c r="L3602" t="str">
        <f>_xlfn.XLOOKUP($A3602,Load!$B:$B,Load!M:M,0,)</f>
        <v>Single Brand / Variety Flavors or Form</v>
      </c>
    </row>
    <row r="3603" spans="1:12" x14ac:dyDescent="0.25">
      <c r="B3603">
        <f>_xlfn.XLOOKUP($A3603,Load!$B:$B,Load!C:C,0,)</f>
        <v>0</v>
      </c>
      <c r="C3603">
        <f>_xlfn.XLOOKUP($A3603,Load!$B:$B,Load!D:D,0,)</f>
        <v>0</v>
      </c>
      <c r="D3603">
        <f>_xlfn.XLOOKUP($A3603,Load!$B:$B,Load!E:E,0,)</f>
        <v>0</v>
      </c>
      <c r="E3603">
        <f>_xlfn.XLOOKUP($A3603,Load!$B:$B,Load!F:F,0,)</f>
        <v>0</v>
      </c>
      <c r="F3603">
        <f>_xlfn.XLOOKUP($A3603,Load!$B:$B,Load!G:G,0,)</f>
        <v>0</v>
      </c>
      <c r="G3603">
        <f>_xlfn.XLOOKUP($A3603,Load!$B:$B,Load!H:H,0,)</f>
        <v>0</v>
      </c>
      <c r="H3603">
        <f>_xlfn.XLOOKUP($A3603,Load!$B:$B,Load!I:I,0,)</f>
        <v>0</v>
      </c>
      <c r="I3603">
        <f>_xlfn.XLOOKUP($A3603,Load!$B:$B,Load!J:J,0,)</f>
        <v>0</v>
      </c>
      <c r="J3603">
        <f>_xlfn.XLOOKUP($A3603,Load!$B:$B,Load!K:K,0,)</f>
        <v>0</v>
      </c>
      <c r="K3603">
        <f>_xlfn.XLOOKUP($A3603,Load!$B:$B,Load!L:L,0,)</f>
        <v>0</v>
      </c>
      <c r="L3603">
        <f>_xlfn.XLOOKUP($A3603,Load!$B:$B,Load!M:M,0,)</f>
        <v>0</v>
      </c>
    </row>
    <row r="3604" spans="1:12" x14ac:dyDescent="0.25">
      <c r="A3604" t="s">
        <v>180</v>
      </c>
      <c r="B3604" t="str">
        <f>_xlfn.XLOOKUP($A3604,Load!$B:$B,Load!C:C,0,)</f>
        <v>Mars Variety Pack</v>
      </c>
      <c r="C3604" t="str">
        <f>_xlfn.XLOOKUP($A3604,Load!$B:$B,Load!D:D,0,)</f>
        <v>Mix of Chocolate and Non-Chocolate Candy</v>
      </c>
      <c r="D3604" t="str">
        <f>_xlfn.XLOOKUP($A3604,Load!$B:$B,Load!E:E,0,)</f>
        <v>Variety / Mixed Flavors (Fruity, Sour, Seasonal Flavors)</v>
      </c>
      <c r="E3604" t="str">
        <f>_xlfn.XLOOKUP($A3604,Load!$B:$B,Load!F:F,0,)</f>
        <v>Mixed / Combo Packs (Gummy, Chewy, Taffy, etc.)</v>
      </c>
      <c r="F3604" t="str">
        <f>_xlfn.XLOOKUP($A3604,Load!$B:$B,Load!G:G,0,)</f>
        <v>Large Multipack (More than 80 ct)</v>
      </c>
      <c r="G3604" t="str">
        <f>_xlfn.XLOOKUP($A3604,Load!$B:$B,Load!H:H,0,)</f>
        <v>Stand-Up Bag</v>
      </c>
      <c r="H3604" t="str">
        <f>_xlfn.XLOOKUP($A3604,Load!$B:$B,Load!I:I,0,)</f>
        <v>Everyday Candy Shapes (like Original, Gummy bear, Fruit, Jewels, etc.)</v>
      </c>
      <c r="I3604" t="str">
        <f>_xlfn.XLOOKUP($A3604,Load!$B:$B,Load!J:J,0,)</f>
        <v>Seasonal Graphics (Like Bat, Ghost, Pumpkin, Fall Leaves, Eyeballs, etc.)</v>
      </c>
      <c r="J3604" t="str">
        <f>_xlfn.XLOOKUP($A3604,Load!$B:$B,Load!K:K,0,)</f>
        <v>Fun Size / Treat Size</v>
      </c>
      <c r="K3604" t="str">
        <f>_xlfn.XLOOKUP($A3604,Load!$B:$B,Load!L:L,0,)</f>
        <v>Regular/Original Wrapping</v>
      </c>
      <c r="L3604" t="str">
        <f>_xlfn.XLOOKUP($A3604,Load!$B:$B,Load!M:M,0,)</f>
        <v>Multiple Brands / Variety Flavors or Form</v>
      </c>
    </row>
    <row r="3605" spans="1:12" x14ac:dyDescent="0.25">
      <c r="B3605">
        <f>_xlfn.XLOOKUP($A3605,Load!$B:$B,Load!C:C,0,)</f>
        <v>0</v>
      </c>
      <c r="C3605">
        <f>_xlfn.XLOOKUP($A3605,Load!$B:$B,Load!D:D,0,)</f>
        <v>0</v>
      </c>
      <c r="D3605">
        <f>_xlfn.XLOOKUP($A3605,Load!$B:$B,Load!E:E,0,)</f>
        <v>0</v>
      </c>
      <c r="E3605">
        <f>_xlfn.XLOOKUP($A3605,Load!$B:$B,Load!F:F,0,)</f>
        <v>0</v>
      </c>
      <c r="F3605">
        <f>_xlfn.XLOOKUP($A3605,Load!$B:$B,Load!G:G,0,)</f>
        <v>0</v>
      </c>
      <c r="G3605">
        <f>_xlfn.XLOOKUP($A3605,Load!$B:$B,Load!H:H,0,)</f>
        <v>0</v>
      </c>
      <c r="H3605">
        <f>_xlfn.XLOOKUP($A3605,Load!$B:$B,Load!I:I,0,)</f>
        <v>0</v>
      </c>
      <c r="I3605">
        <f>_xlfn.XLOOKUP($A3605,Load!$B:$B,Load!J:J,0,)</f>
        <v>0</v>
      </c>
      <c r="J3605">
        <f>_xlfn.XLOOKUP($A3605,Load!$B:$B,Load!K:K,0,)</f>
        <v>0</v>
      </c>
      <c r="K3605">
        <f>_xlfn.XLOOKUP($A3605,Load!$B:$B,Load!L:L,0,)</f>
        <v>0</v>
      </c>
      <c r="L3605">
        <f>_xlfn.XLOOKUP($A3605,Load!$B:$B,Load!M:M,0,)</f>
        <v>0</v>
      </c>
    </row>
    <row r="3606" spans="1:12" x14ac:dyDescent="0.25">
      <c r="A3606" t="s">
        <v>122</v>
      </c>
      <c r="B3606" t="str">
        <f>_xlfn.XLOOKUP($A3606,Load!$B:$B,Load!C:C,0,)</f>
        <v>HARIBO</v>
      </c>
      <c r="C3606" t="str">
        <f>_xlfn.XLOOKUP($A3606,Load!$B:$B,Load!D:D,0,)</f>
        <v>Non-Chocolate Candy Only</v>
      </c>
      <c r="D3606" t="str">
        <f>_xlfn.XLOOKUP($A3606,Load!$B:$B,Load!E:E,0,)</f>
        <v>Variety / Mixed Flavors (Fruity, Sour, Seasonal Flavors)</v>
      </c>
      <c r="E3606" t="str">
        <f>_xlfn.XLOOKUP($A3606,Load!$B:$B,Load!F:F,0,)</f>
        <v>Gummy</v>
      </c>
      <c r="F3606" t="str">
        <f>_xlfn.XLOOKUP($A3606,Load!$B:$B,Load!G:G,0,)</f>
        <v>Medium Multipack (40–80 ct)</v>
      </c>
      <c r="G3606" t="str">
        <f>_xlfn.XLOOKUP($A3606,Load!$B:$B,Load!H:H,0,)</f>
        <v>Laydown Bag</v>
      </c>
      <c r="H3606" t="str">
        <f>_xlfn.XLOOKUP($A3606,Load!$B:$B,Load!I:I,0,)</f>
        <v>Seasonal Shapes (like pumpkins, candy corn, ghost, bats, etc.)</v>
      </c>
      <c r="I3606" t="str">
        <f>_xlfn.XLOOKUP($A3606,Load!$B:$B,Load!J:J,0,)</f>
        <v>Seasonal Graphics (Like Bat, Ghost, Pumpkin, Fall Leaves, Eyeballs, etc.)</v>
      </c>
      <c r="J3606" t="str">
        <f>_xlfn.XLOOKUP($A3606,Load!$B:$B,Load!K:K,0,)</f>
        <v>Small Pieces (Tiny bite size candies)</v>
      </c>
      <c r="K3606" t="str">
        <f>_xlfn.XLOOKUP($A3606,Load!$B:$B,Load!L:L,0,)</f>
        <v>Regular/Original Wrapping</v>
      </c>
      <c r="L3606" t="str">
        <f>_xlfn.XLOOKUP($A3606,Load!$B:$B,Load!M:M,0,)</f>
        <v>Multiple Brands / Variety Flavors or Form</v>
      </c>
    </row>
    <row r="3607" spans="1:12" x14ac:dyDescent="0.25">
      <c r="B3607">
        <f>_xlfn.XLOOKUP($A3607,Load!$B:$B,Load!C:C,0,)</f>
        <v>0</v>
      </c>
      <c r="C3607">
        <f>_xlfn.XLOOKUP($A3607,Load!$B:$B,Load!D:D,0,)</f>
        <v>0</v>
      </c>
      <c r="D3607">
        <f>_xlfn.XLOOKUP($A3607,Load!$B:$B,Load!E:E,0,)</f>
        <v>0</v>
      </c>
      <c r="E3607">
        <f>_xlfn.XLOOKUP($A3607,Load!$B:$B,Load!F:F,0,)</f>
        <v>0</v>
      </c>
      <c r="F3607">
        <f>_xlfn.XLOOKUP($A3607,Load!$B:$B,Load!G:G,0,)</f>
        <v>0</v>
      </c>
      <c r="G3607">
        <f>_xlfn.XLOOKUP($A3607,Load!$B:$B,Load!H:H,0,)</f>
        <v>0</v>
      </c>
      <c r="H3607">
        <f>_xlfn.XLOOKUP($A3607,Load!$B:$B,Load!I:I,0,)</f>
        <v>0</v>
      </c>
      <c r="I3607">
        <f>_xlfn.XLOOKUP($A3607,Load!$B:$B,Load!J:J,0,)</f>
        <v>0</v>
      </c>
      <c r="J3607">
        <f>_xlfn.XLOOKUP($A3607,Load!$B:$B,Load!K:K,0,)</f>
        <v>0</v>
      </c>
      <c r="K3607">
        <f>_xlfn.XLOOKUP($A3607,Load!$B:$B,Load!L:L,0,)</f>
        <v>0</v>
      </c>
      <c r="L3607">
        <f>_xlfn.XLOOKUP($A3607,Load!$B:$B,Load!M:M,0,)</f>
        <v>0</v>
      </c>
    </row>
    <row r="3608" spans="1:12" x14ac:dyDescent="0.25">
      <c r="A3608" t="s">
        <v>328</v>
      </c>
      <c r="B3608" t="str">
        <f>_xlfn.XLOOKUP($A3608,Load!$B:$B,Load!C:C,0,)</f>
        <v>Googly Eyes</v>
      </c>
      <c r="C3608" t="str">
        <f>_xlfn.XLOOKUP($A3608,Load!$B:$B,Load!D:D,0,)</f>
        <v>Non-Chocolate Candy Only</v>
      </c>
      <c r="D3608" t="str">
        <f>_xlfn.XLOOKUP($A3608,Load!$B:$B,Load!E:E,0,)</f>
        <v>Variety / Mixed Flavors (Fruity, Sour, Seasonal Flavors)</v>
      </c>
      <c r="E3608" t="str">
        <f>_xlfn.XLOOKUP($A3608,Load!$B:$B,Load!F:F,0,)</f>
        <v>Candy Pieces / Bites</v>
      </c>
      <c r="F3608" t="str">
        <f>_xlfn.XLOOKUP($A3608,Load!$B:$B,Load!G:G,0,)</f>
        <v>Single Pack</v>
      </c>
      <c r="G3608" t="str">
        <f>_xlfn.XLOOKUP($A3608,Load!$B:$B,Load!H:H,0,)</f>
        <v>Plastic Cup / Container</v>
      </c>
      <c r="H3608" t="str">
        <f>_xlfn.XLOOKUP($A3608,Load!$B:$B,Load!I:I,0,)</f>
        <v>Seasonal Shapes (like pumpkins, candy corn, ghost, bats, etc.)</v>
      </c>
      <c r="I3608" t="str">
        <f>_xlfn.XLOOKUP($A3608,Load!$B:$B,Load!J:J,0,)</f>
        <v>Seasonal Graphics (Like Bat, Ghost, Pumpkin, Fall Leaves, Eyeballs, etc.)</v>
      </c>
      <c r="J3608" t="str">
        <f>_xlfn.XLOOKUP($A3608,Load!$B:$B,Load!K:K,0,)</f>
        <v>Fun Size / Treat Size</v>
      </c>
      <c r="K3608" t="str">
        <f>_xlfn.XLOOKUP($A3608,Load!$B:$B,Load!L:L,0,)</f>
        <v>Regular/Original Wrapping</v>
      </c>
      <c r="L3608" t="str">
        <f>_xlfn.XLOOKUP($A3608,Load!$B:$B,Load!M:M,0,)</f>
        <v>Single Brand / Variety Flavors or Form</v>
      </c>
    </row>
    <row r="3609" spans="1:12" x14ac:dyDescent="0.25">
      <c r="B3609">
        <f>_xlfn.XLOOKUP($A3609,Load!$B:$B,Load!C:C,0,)</f>
        <v>0</v>
      </c>
      <c r="C3609">
        <f>_xlfn.XLOOKUP($A3609,Load!$B:$B,Load!D:D,0,)</f>
        <v>0</v>
      </c>
      <c r="D3609">
        <f>_xlfn.XLOOKUP($A3609,Load!$B:$B,Load!E:E,0,)</f>
        <v>0</v>
      </c>
      <c r="E3609">
        <f>_xlfn.XLOOKUP($A3609,Load!$B:$B,Load!F:F,0,)</f>
        <v>0</v>
      </c>
      <c r="F3609">
        <f>_xlfn.XLOOKUP($A3609,Load!$B:$B,Load!G:G,0,)</f>
        <v>0</v>
      </c>
      <c r="G3609">
        <f>_xlfn.XLOOKUP($A3609,Load!$B:$B,Load!H:H,0,)</f>
        <v>0</v>
      </c>
      <c r="H3609">
        <f>_xlfn.XLOOKUP($A3609,Load!$B:$B,Load!I:I,0,)</f>
        <v>0</v>
      </c>
      <c r="I3609">
        <f>_xlfn.XLOOKUP($A3609,Load!$B:$B,Load!J:J,0,)</f>
        <v>0</v>
      </c>
      <c r="J3609">
        <f>_xlfn.XLOOKUP($A3609,Load!$B:$B,Load!K:K,0,)</f>
        <v>0</v>
      </c>
      <c r="K3609">
        <f>_xlfn.XLOOKUP($A3609,Load!$B:$B,Load!L:L,0,)</f>
        <v>0</v>
      </c>
      <c r="L3609">
        <f>_xlfn.XLOOKUP($A3609,Load!$B:$B,Load!M:M,0,)</f>
        <v>0</v>
      </c>
    </row>
    <row r="3610" spans="1:12" x14ac:dyDescent="0.25">
      <c r="B3610">
        <f>_xlfn.XLOOKUP($A3610,Load!$B:$B,Load!C:C,0,)</f>
        <v>0</v>
      </c>
      <c r="C3610">
        <f>_xlfn.XLOOKUP($A3610,Load!$B:$B,Load!D:D,0,)</f>
        <v>0</v>
      </c>
      <c r="D3610">
        <f>_xlfn.XLOOKUP($A3610,Load!$B:$B,Load!E:E,0,)</f>
        <v>0</v>
      </c>
      <c r="E3610">
        <f>_xlfn.XLOOKUP($A3610,Load!$B:$B,Load!F:F,0,)</f>
        <v>0</v>
      </c>
      <c r="F3610">
        <f>_xlfn.XLOOKUP($A3610,Load!$B:$B,Load!G:G,0,)</f>
        <v>0</v>
      </c>
      <c r="G3610">
        <f>_xlfn.XLOOKUP($A3610,Load!$B:$B,Load!H:H,0,)</f>
        <v>0</v>
      </c>
      <c r="H3610">
        <f>_xlfn.XLOOKUP($A3610,Load!$B:$B,Load!I:I,0,)</f>
        <v>0</v>
      </c>
      <c r="I3610">
        <f>_xlfn.XLOOKUP($A3610,Load!$B:$B,Load!J:J,0,)</f>
        <v>0</v>
      </c>
      <c r="J3610">
        <f>_xlfn.XLOOKUP($A3610,Load!$B:$B,Load!K:K,0,)</f>
        <v>0</v>
      </c>
      <c r="K3610">
        <f>_xlfn.XLOOKUP($A3610,Load!$B:$B,Load!L:L,0,)</f>
        <v>0</v>
      </c>
      <c r="L3610">
        <f>_xlfn.XLOOKUP($A3610,Load!$B:$B,Load!M:M,0,)</f>
        <v>0</v>
      </c>
    </row>
    <row r="3611" spans="1:12" x14ac:dyDescent="0.25">
      <c r="B3611">
        <f>_xlfn.XLOOKUP($A3611,Load!$B:$B,Load!C:C,0,)</f>
        <v>0</v>
      </c>
      <c r="C3611">
        <f>_xlfn.XLOOKUP($A3611,Load!$B:$B,Load!D:D,0,)</f>
        <v>0</v>
      </c>
      <c r="D3611">
        <f>_xlfn.XLOOKUP($A3611,Load!$B:$B,Load!E:E,0,)</f>
        <v>0</v>
      </c>
      <c r="E3611">
        <f>_xlfn.XLOOKUP($A3611,Load!$B:$B,Load!F:F,0,)</f>
        <v>0</v>
      </c>
      <c r="F3611">
        <f>_xlfn.XLOOKUP($A3611,Load!$B:$B,Load!G:G,0,)</f>
        <v>0</v>
      </c>
      <c r="G3611">
        <f>_xlfn.XLOOKUP($A3611,Load!$B:$B,Load!H:H,0,)</f>
        <v>0</v>
      </c>
      <c r="H3611">
        <f>_xlfn.XLOOKUP($A3611,Load!$B:$B,Load!I:I,0,)</f>
        <v>0</v>
      </c>
      <c r="I3611">
        <f>_xlfn.XLOOKUP($A3611,Load!$B:$B,Load!J:J,0,)</f>
        <v>0</v>
      </c>
      <c r="J3611">
        <f>_xlfn.XLOOKUP($A3611,Load!$B:$B,Load!K:K,0,)</f>
        <v>0</v>
      </c>
      <c r="K3611">
        <f>_xlfn.XLOOKUP($A3611,Load!$B:$B,Load!L:L,0,)</f>
        <v>0</v>
      </c>
      <c r="L3611">
        <f>_xlfn.XLOOKUP($A3611,Load!$B:$B,Load!M:M,0,)</f>
        <v>0</v>
      </c>
    </row>
    <row r="3612" spans="1:12" x14ac:dyDescent="0.25">
      <c r="B3612">
        <f>_xlfn.XLOOKUP($A3612,Load!$B:$B,Load!C:C,0,)</f>
        <v>0</v>
      </c>
      <c r="C3612">
        <f>_xlfn.XLOOKUP($A3612,Load!$B:$B,Load!D:D,0,)</f>
        <v>0</v>
      </c>
      <c r="D3612">
        <f>_xlfn.XLOOKUP($A3612,Load!$B:$B,Load!E:E,0,)</f>
        <v>0</v>
      </c>
      <c r="E3612">
        <f>_xlfn.XLOOKUP($A3612,Load!$B:$B,Load!F:F,0,)</f>
        <v>0</v>
      </c>
      <c r="F3612">
        <f>_xlfn.XLOOKUP($A3612,Load!$B:$B,Load!G:G,0,)</f>
        <v>0</v>
      </c>
      <c r="G3612">
        <f>_xlfn.XLOOKUP($A3612,Load!$B:$B,Load!H:H,0,)</f>
        <v>0</v>
      </c>
      <c r="H3612">
        <f>_xlfn.XLOOKUP($A3612,Load!$B:$B,Load!I:I,0,)</f>
        <v>0</v>
      </c>
      <c r="I3612">
        <f>_xlfn.XLOOKUP($A3612,Load!$B:$B,Load!J:J,0,)</f>
        <v>0</v>
      </c>
      <c r="J3612">
        <f>_xlfn.XLOOKUP($A3612,Load!$B:$B,Load!K:K,0,)</f>
        <v>0</v>
      </c>
      <c r="K3612">
        <f>_xlfn.XLOOKUP($A3612,Load!$B:$B,Load!L:L,0,)</f>
        <v>0</v>
      </c>
      <c r="L3612">
        <f>_xlfn.XLOOKUP($A3612,Load!$B:$B,Load!M:M,0,)</f>
        <v>0</v>
      </c>
    </row>
    <row r="3613" spans="1:12" x14ac:dyDescent="0.25">
      <c r="B3613">
        <f>_xlfn.XLOOKUP($A3613,Load!$B:$B,Load!C:C,0,)</f>
        <v>0</v>
      </c>
      <c r="C3613">
        <f>_xlfn.XLOOKUP($A3613,Load!$B:$B,Load!D:D,0,)</f>
        <v>0</v>
      </c>
      <c r="D3613">
        <f>_xlfn.XLOOKUP($A3613,Load!$B:$B,Load!E:E,0,)</f>
        <v>0</v>
      </c>
      <c r="E3613">
        <f>_xlfn.XLOOKUP($A3613,Load!$B:$B,Load!F:F,0,)</f>
        <v>0</v>
      </c>
      <c r="F3613">
        <f>_xlfn.XLOOKUP($A3613,Load!$B:$B,Load!G:G,0,)</f>
        <v>0</v>
      </c>
      <c r="G3613">
        <f>_xlfn.XLOOKUP($A3613,Load!$B:$B,Load!H:H,0,)</f>
        <v>0</v>
      </c>
      <c r="H3613">
        <f>_xlfn.XLOOKUP($A3613,Load!$B:$B,Load!I:I,0,)</f>
        <v>0</v>
      </c>
      <c r="I3613">
        <f>_xlfn.XLOOKUP($A3613,Load!$B:$B,Load!J:J,0,)</f>
        <v>0</v>
      </c>
      <c r="J3613">
        <f>_xlfn.XLOOKUP($A3613,Load!$B:$B,Load!K:K,0,)</f>
        <v>0</v>
      </c>
      <c r="K3613">
        <f>_xlfn.XLOOKUP($A3613,Load!$B:$B,Load!L:L,0,)</f>
        <v>0</v>
      </c>
      <c r="L3613">
        <f>_xlfn.XLOOKUP($A3613,Load!$B:$B,Load!M:M,0,)</f>
        <v>0</v>
      </c>
    </row>
    <row r="3614" spans="1:12" x14ac:dyDescent="0.25">
      <c r="A3614" t="s">
        <v>26</v>
      </c>
      <c r="B3614" t="str">
        <f>_xlfn.XLOOKUP($A3614,Load!$B:$B,Load!C:C,0,)</f>
        <v>Albert's Candy Company</v>
      </c>
      <c r="C3614" t="str">
        <f>_xlfn.XLOOKUP($A3614,Load!$B:$B,Load!D:D,0,)</f>
        <v>Non-Chocolate Candy Only</v>
      </c>
      <c r="D3614" t="str">
        <f>_xlfn.XLOOKUP($A3614,Load!$B:$B,Load!E:E,0,)</f>
        <v>Fruit Flavor (Cherry, Grape, Apple, Citrus, Tropical Fruit)</v>
      </c>
      <c r="E3614" t="str">
        <f>_xlfn.XLOOKUP($A3614,Load!$B:$B,Load!F:F,0,)</f>
        <v>Chewy</v>
      </c>
      <c r="F3614" t="str">
        <f>_xlfn.XLOOKUP($A3614,Load!$B:$B,Load!G:G,0,)</f>
        <v>Large Multipack (More than 80 ct)</v>
      </c>
      <c r="G3614" t="str">
        <f>_xlfn.XLOOKUP($A3614,Load!$B:$B,Load!H:H,0,)</f>
        <v>Laydown Bag</v>
      </c>
      <c r="H3614" t="str">
        <f>_xlfn.XLOOKUP($A3614,Load!$B:$B,Load!I:I,0,)</f>
        <v>Everyday Candy Shapes (like Original, Gummy bear, Fruit, Jewels, etc.)</v>
      </c>
      <c r="I3614" t="str">
        <f>_xlfn.XLOOKUP($A3614,Load!$B:$B,Load!J:J,0,)</f>
        <v>Seasonal Graphics (Like Bat, Ghost, Pumpkin, Fall Leaves, Eyeballs, etc.)</v>
      </c>
      <c r="J3614" t="str">
        <f>_xlfn.XLOOKUP($A3614,Load!$B:$B,Load!K:K,0,)</f>
        <v>Small Pieces (Tiny bite size candies)</v>
      </c>
      <c r="K3614" t="str">
        <f>_xlfn.XLOOKUP($A3614,Load!$B:$B,Load!L:L,0,)</f>
        <v>Regular/Original Wrapping</v>
      </c>
      <c r="L3614" t="str">
        <f>_xlfn.XLOOKUP($A3614,Load!$B:$B,Load!M:M,0,)</f>
        <v>Single Brand / Variety Flavors or Form</v>
      </c>
    </row>
    <row r="3615" spans="1:12" x14ac:dyDescent="0.25">
      <c r="A3615" t="s">
        <v>25</v>
      </c>
      <c r="B3615" t="str">
        <f>_xlfn.XLOOKUP($A3615,Load!$B:$B,Load!C:C,0,)</f>
        <v>Albert's Candy Company</v>
      </c>
      <c r="C3615" t="str">
        <f>_xlfn.XLOOKUP($A3615,Load!$B:$B,Load!D:D,0,)</f>
        <v>Non-Chocolate Candy Only</v>
      </c>
      <c r="D3615" t="str">
        <f>_xlfn.XLOOKUP($A3615,Load!$B:$B,Load!E:E,0,)</f>
        <v>Fruit Flavor (Cherry, Grape, Apple, Citrus, Tropical Fruit)</v>
      </c>
      <c r="E3615" t="str">
        <f>_xlfn.XLOOKUP($A3615,Load!$B:$B,Load!F:F,0,)</f>
        <v>Chewy</v>
      </c>
      <c r="F3615" t="str">
        <f>_xlfn.XLOOKUP($A3615,Load!$B:$B,Load!G:G,0,)</f>
        <v>Large Multipack (More than 80 ct)</v>
      </c>
      <c r="G3615" t="str">
        <f>_xlfn.XLOOKUP($A3615,Load!$B:$B,Load!H:H,0,)</f>
        <v>Laydown Bag</v>
      </c>
      <c r="H3615" t="str">
        <f>_xlfn.XLOOKUP($A3615,Load!$B:$B,Load!I:I,0,)</f>
        <v>Everyday Candy Shapes (like Original, Gummy bear, Fruit, Jewels, etc.)</v>
      </c>
      <c r="I3615" t="str">
        <f>_xlfn.XLOOKUP($A3615,Load!$B:$B,Load!J:J,0,)</f>
        <v>Seasonal Graphics (Like Bat, Ghost, Pumpkin, Fall Leaves, Eyeballs, etc.)</v>
      </c>
      <c r="J3615" t="str">
        <f>_xlfn.XLOOKUP($A3615,Load!$B:$B,Load!K:K,0,)</f>
        <v>Small Pieces (Tiny bite size candies)</v>
      </c>
      <c r="K3615" t="str">
        <f>_xlfn.XLOOKUP($A3615,Load!$B:$B,Load!L:L,0,)</f>
        <v>Regular/Original Wrapping</v>
      </c>
      <c r="L3615" t="str">
        <f>_xlfn.XLOOKUP($A3615,Load!$B:$B,Load!M:M,0,)</f>
        <v>Single Brand / Variety Flavors or Form</v>
      </c>
    </row>
    <row r="3616" spans="1:12" x14ac:dyDescent="0.25">
      <c r="B3616">
        <f>_xlfn.XLOOKUP($A3616,Load!$B:$B,Load!C:C,0,)</f>
        <v>0</v>
      </c>
      <c r="C3616">
        <f>_xlfn.XLOOKUP($A3616,Load!$B:$B,Load!D:D,0,)</f>
        <v>0</v>
      </c>
      <c r="D3616">
        <f>_xlfn.XLOOKUP($A3616,Load!$B:$B,Load!E:E,0,)</f>
        <v>0</v>
      </c>
      <c r="E3616">
        <f>_xlfn.XLOOKUP($A3616,Load!$B:$B,Load!F:F,0,)</f>
        <v>0</v>
      </c>
      <c r="F3616">
        <f>_xlfn.XLOOKUP($A3616,Load!$B:$B,Load!G:G,0,)</f>
        <v>0</v>
      </c>
      <c r="G3616">
        <f>_xlfn.XLOOKUP($A3616,Load!$B:$B,Load!H:H,0,)</f>
        <v>0</v>
      </c>
      <c r="H3616">
        <f>_xlfn.XLOOKUP($A3616,Load!$B:$B,Load!I:I,0,)</f>
        <v>0</v>
      </c>
      <c r="I3616">
        <f>_xlfn.XLOOKUP($A3616,Load!$B:$B,Load!J:J,0,)</f>
        <v>0</v>
      </c>
      <c r="J3616">
        <f>_xlfn.XLOOKUP($A3616,Load!$B:$B,Load!K:K,0,)</f>
        <v>0</v>
      </c>
      <c r="K3616">
        <f>_xlfn.XLOOKUP($A3616,Load!$B:$B,Load!L:L,0,)</f>
        <v>0</v>
      </c>
      <c r="L3616">
        <f>_xlfn.XLOOKUP($A3616,Load!$B:$B,Load!M:M,0,)</f>
        <v>0</v>
      </c>
    </row>
    <row r="3617" spans="1:12" x14ac:dyDescent="0.25">
      <c r="B3617">
        <f>_xlfn.XLOOKUP($A3617,Load!$B:$B,Load!C:C,0,)</f>
        <v>0</v>
      </c>
      <c r="C3617">
        <f>_xlfn.XLOOKUP($A3617,Load!$B:$B,Load!D:D,0,)</f>
        <v>0</v>
      </c>
      <c r="D3617">
        <f>_xlfn.XLOOKUP($A3617,Load!$B:$B,Load!E:E,0,)</f>
        <v>0</v>
      </c>
      <c r="E3617">
        <f>_xlfn.XLOOKUP($A3617,Load!$B:$B,Load!F:F,0,)</f>
        <v>0</v>
      </c>
      <c r="F3617">
        <f>_xlfn.XLOOKUP($A3617,Load!$B:$B,Load!G:G,0,)</f>
        <v>0</v>
      </c>
      <c r="G3617">
        <f>_xlfn.XLOOKUP($A3617,Load!$B:$B,Load!H:H,0,)</f>
        <v>0</v>
      </c>
      <c r="H3617">
        <f>_xlfn.XLOOKUP($A3617,Load!$B:$B,Load!I:I,0,)</f>
        <v>0</v>
      </c>
      <c r="I3617">
        <f>_xlfn.XLOOKUP($A3617,Load!$B:$B,Load!J:J,0,)</f>
        <v>0</v>
      </c>
      <c r="J3617">
        <f>_xlfn.XLOOKUP($A3617,Load!$B:$B,Load!K:K,0,)</f>
        <v>0</v>
      </c>
      <c r="K3617">
        <f>_xlfn.XLOOKUP($A3617,Load!$B:$B,Load!L:L,0,)</f>
        <v>0</v>
      </c>
      <c r="L3617">
        <f>_xlfn.XLOOKUP($A3617,Load!$B:$B,Load!M:M,0,)</f>
        <v>0</v>
      </c>
    </row>
    <row r="3618" spans="1:12" x14ac:dyDescent="0.25">
      <c r="A3618" t="s">
        <v>226</v>
      </c>
      <c r="B3618" t="str">
        <f>_xlfn.XLOOKUP($A3618,Load!$B:$B,Load!C:C,0,)</f>
        <v>Nerds</v>
      </c>
      <c r="C3618" t="str">
        <f>_xlfn.XLOOKUP($A3618,Load!$B:$B,Load!D:D,0,)</f>
        <v>Non-Chocolate Candy Only</v>
      </c>
      <c r="D3618" t="str">
        <f>_xlfn.XLOOKUP($A3618,Load!$B:$B,Load!E:E,0,)</f>
        <v>Sweet</v>
      </c>
      <c r="E3618" t="str">
        <f>_xlfn.XLOOKUP($A3618,Load!$B:$B,Load!F:F,0,)</f>
        <v>Gummy</v>
      </c>
      <c r="F3618" t="str">
        <f>_xlfn.XLOOKUP($A3618,Load!$B:$B,Load!G:G,0,)</f>
        <v>Single Pack</v>
      </c>
      <c r="G3618" t="str">
        <f>_xlfn.XLOOKUP($A3618,Load!$B:$B,Load!H:H,0,)</f>
        <v>Laydown Bag</v>
      </c>
      <c r="H3618" t="str">
        <f>_xlfn.XLOOKUP($A3618,Load!$B:$B,Load!I:I,0,)</f>
        <v>Seasonal Shapes (like pumpkins, candy corn, ghost, bats, etc.)</v>
      </c>
      <c r="I3618" t="str">
        <f>_xlfn.XLOOKUP($A3618,Load!$B:$B,Load!J:J,0,)</f>
        <v>Seasonal Graphics (Like Bat, Ghost, Pumpkin, Fall Leaves, Eyeballs, etc.)</v>
      </c>
      <c r="J3618" t="str">
        <f>_xlfn.XLOOKUP($A3618,Load!$B:$B,Load!K:K,0,)</f>
        <v>Fun Size / Treat Size</v>
      </c>
      <c r="K3618" t="str">
        <f>_xlfn.XLOOKUP($A3618,Load!$B:$B,Load!L:L,0,)</f>
        <v>Unwrapped</v>
      </c>
      <c r="L3618" t="str">
        <f>_xlfn.XLOOKUP($A3618,Load!$B:$B,Load!M:M,0,)</f>
        <v>Single Brand / Single Flavor or Form</v>
      </c>
    </row>
    <row r="3619" spans="1:12" x14ac:dyDescent="0.25">
      <c r="B3619">
        <f>_xlfn.XLOOKUP($A3619,Load!$B:$B,Load!C:C,0,)</f>
        <v>0</v>
      </c>
      <c r="C3619">
        <f>_xlfn.XLOOKUP($A3619,Load!$B:$B,Load!D:D,0,)</f>
        <v>0</v>
      </c>
      <c r="D3619">
        <f>_xlfn.XLOOKUP($A3619,Load!$B:$B,Load!E:E,0,)</f>
        <v>0</v>
      </c>
      <c r="E3619">
        <f>_xlfn.XLOOKUP($A3619,Load!$B:$B,Load!F:F,0,)</f>
        <v>0</v>
      </c>
      <c r="F3619">
        <f>_xlfn.XLOOKUP($A3619,Load!$B:$B,Load!G:G,0,)</f>
        <v>0</v>
      </c>
      <c r="G3619">
        <f>_xlfn.XLOOKUP($A3619,Load!$B:$B,Load!H:H,0,)</f>
        <v>0</v>
      </c>
      <c r="H3619">
        <f>_xlfn.XLOOKUP($A3619,Load!$B:$B,Load!I:I,0,)</f>
        <v>0</v>
      </c>
      <c r="I3619">
        <f>_xlfn.XLOOKUP($A3619,Load!$B:$B,Load!J:J,0,)</f>
        <v>0</v>
      </c>
      <c r="J3619">
        <f>_xlfn.XLOOKUP($A3619,Load!$B:$B,Load!K:K,0,)</f>
        <v>0</v>
      </c>
      <c r="K3619">
        <f>_xlfn.XLOOKUP($A3619,Load!$B:$B,Load!L:L,0,)</f>
        <v>0</v>
      </c>
      <c r="L3619">
        <f>_xlfn.XLOOKUP($A3619,Load!$B:$B,Load!M:M,0,)</f>
        <v>0</v>
      </c>
    </row>
    <row r="3620" spans="1:12" x14ac:dyDescent="0.25">
      <c r="B3620">
        <f>_xlfn.XLOOKUP($A3620,Load!$B:$B,Load!C:C,0,)</f>
        <v>0</v>
      </c>
      <c r="C3620">
        <f>_xlfn.XLOOKUP($A3620,Load!$B:$B,Load!D:D,0,)</f>
        <v>0</v>
      </c>
      <c r="D3620">
        <f>_xlfn.XLOOKUP($A3620,Load!$B:$B,Load!E:E,0,)</f>
        <v>0</v>
      </c>
      <c r="E3620">
        <f>_xlfn.XLOOKUP($A3620,Load!$B:$B,Load!F:F,0,)</f>
        <v>0</v>
      </c>
      <c r="F3620">
        <f>_xlfn.XLOOKUP($A3620,Load!$B:$B,Load!G:G,0,)</f>
        <v>0</v>
      </c>
      <c r="G3620">
        <f>_xlfn.XLOOKUP($A3620,Load!$B:$B,Load!H:H,0,)</f>
        <v>0</v>
      </c>
      <c r="H3620">
        <f>_xlfn.XLOOKUP($A3620,Load!$B:$B,Load!I:I,0,)</f>
        <v>0</v>
      </c>
      <c r="I3620">
        <f>_xlfn.XLOOKUP($A3620,Load!$B:$B,Load!J:J,0,)</f>
        <v>0</v>
      </c>
      <c r="J3620">
        <f>_xlfn.XLOOKUP($A3620,Load!$B:$B,Load!K:K,0,)</f>
        <v>0</v>
      </c>
      <c r="K3620">
        <f>_xlfn.XLOOKUP($A3620,Load!$B:$B,Load!L:L,0,)</f>
        <v>0</v>
      </c>
      <c r="L3620">
        <f>_xlfn.XLOOKUP($A3620,Load!$B:$B,Load!M:M,0,)</f>
        <v>0</v>
      </c>
    </row>
    <row r="3621" spans="1:12" x14ac:dyDescent="0.25">
      <c r="B3621">
        <f>_xlfn.XLOOKUP($A3621,Load!$B:$B,Load!C:C,0,)</f>
        <v>0</v>
      </c>
      <c r="C3621">
        <f>_xlfn.XLOOKUP($A3621,Load!$B:$B,Load!D:D,0,)</f>
        <v>0</v>
      </c>
      <c r="D3621">
        <f>_xlfn.XLOOKUP($A3621,Load!$B:$B,Load!E:E,0,)</f>
        <v>0</v>
      </c>
      <c r="E3621">
        <f>_xlfn.XLOOKUP($A3621,Load!$B:$B,Load!F:F,0,)</f>
        <v>0</v>
      </c>
      <c r="F3621">
        <f>_xlfn.XLOOKUP($A3621,Load!$B:$B,Load!G:G,0,)</f>
        <v>0</v>
      </c>
      <c r="G3621">
        <f>_xlfn.XLOOKUP($A3621,Load!$B:$B,Load!H:H,0,)</f>
        <v>0</v>
      </c>
      <c r="H3621">
        <f>_xlfn.XLOOKUP($A3621,Load!$B:$B,Load!I:I,0,)</f>
        <v>0</v>
      </c>
      <c r="I3621">
        <f>_xlfn.XLOOKUP($A3621,Load!$B:$B,Load!J:J,0,)</f>
        <v>0</v>
      </c>
      <c r="J3621">
        <f>_xlfn.XLOOKUP($A3621,Load!$B:$B,Load!K:K,0,)</f>
        <v>0</v>
      </c>
      <c r="K3621">
        <f>_xlfn.XLOOKUP($A3621,Load!$B:$B,Load!L:L,0,)</f>
        <v>0</v>
      </c>
      <c r="L3621">
        <f>_xlfn.XLOOKUP($A3621,Load!$B:$B,Load!M:M,0,)</f>
        <v>0</v>
      </c>
    </row>
    <row r="3622" spans="1:12" x14ac:dyDescent="0.25">
      <c r="A3622" t="s">
        <v>190</v>
      </c>
      <c r="B3622" t="str">
        <f>_xlfn.XLOOKUP($A3622,Load!$B:$B,Load!C:C,0,)</f>
        <v>Mars Variety Pack</v>
      </c>
      <c r="C3622" t="str">
        <f>_xlfn.XLOOKUP($A3622,Load!$B:$B,Load!D:D,0,)</f>
        <v>Non-Chocolate Candy Only</v>
      </c>
      <c r="D3622" t="str">
        <f>_xlfn.XLOOKUP($A3622,Load!$B:$B,Load!E:E,0,)</f>
        <v>Variety / Mixed Flavors (Fruity, Sour, Seasonal Flavors)</v>
      </c>
      <c r="E3622" t="str">
        <f>_xlfn.XLOOKUP($A3622,Load!$B:$B,Load!F:F,0,)</f>
        <v>Mixed / Combo Packs (Gummy, Chewy, Taffy, etc.)</v>
      </c>
      <c r="F3622" t="str">
        <f>_xlfn.XLOOKUP($A3622,Load!$B:$B,Load!G:G,0,)</f>
        <v>Medium Multipack (40–80 ct)</v>
      </c>
      <c r="G3622" t="str">
        <f>_xlfn.XLOOKUP($A3622,Load!$B:$B,Load!H:H,0,)</f>
        <v>Stand-Up Bag</v>
      </c>
      <c r="H3622" t="str">
        <f>_xlfn.XLOOKUP($A3622,Load!$B:$B,Load!I:I,0,)</f>
        <v>Everyday Candy Shapes (like Original, Gummy bear, Fruit, Jewels, etc.)</v>
      </c>
      <c r="I3622" t="str">
        <f>_xlfn.XLOOKUP($A3622,Load!$B:$B,Load!J:J,0,)</f>
        <v>Everyday Graphics</v>
      </c>
      <c r="J3622" t="str">
        <f>_xlfn.XLOOKUP($A3622,Load!$B:$B,Load!K:K,0,)</f>
        <v>Fun Size / Treat Size</v>
      </c>
      <c r="K3622" t="str">
        <f>_xlfn.XLOOKUP($A3622,Load!$B:$B,Load!L:L,0,)</f>
        <v>Regular/Original Wrapping</v>
      </c>
      <c r="L3622" t="str">
        <f>_xlfn.XLOOKUP($A3622,Load!$B:$B,Load!M:M,0,)</f>
        <v>Multiple Brands / Variety Flavors or Form</v>
      </c>
    </row>
    <row r="3623" spans="1:12" x14ac:dyDescent="0.25">
      <c r="B3623">
        <f>_xlfn.XLOOKUP($A3623,Load!$B:$B,Load!C:C,0,)</f>
        <v>0</v>
      </c>
      <c r="C3623">
        <f>_xlfn.XLOOKUP($A3623,Load!$B:$B,Load!D:D,0,)</f>
        <v>0</v>
      </c>
      <c r="D3623">
        <f>_xlfn.XLOOKUP($A3623,Load!$B:$B,Load!E:E,0,)</f>
        <v>0</v>
      </c>
      <c r="E3623">
        <f>_xlfn.XLOOKUP($A3623,Load!$B:$B,Load!F:F,0,)</f>
        <v>0</v>
      </c>
      <c r="F3623">
        <f>_xlfn.XLOOKUP($A3623,Load!$B:$B,Load!G:G,0,)</f>
        <v>0</v>
      </c>
      <c r="G3623">
        <f>_xlfn.XLOOKUP($A3623,Load!$B:$B,Load!H:H,0,)</f>
        <v>0</v>
      </c>
      <c r="H3623">
        <f>_xlfn.XLOOKUP($A3623,Load!$B:$B,Load!I:I,0,)</f>
        <v>0</v>
      </c>
      <c r="I3623">
        <f>_xlfn.XLOOKUP($A3623,Load!$B:$B,Load!J:J,0,)</f>
        <v>0</v>
      </c>
      <c r="J3623">
        <f>_xlfn.XLOOKUP($A3623,Load!$B:$B,Load!K:K,0,)</f>
        <v>0</v>
      </c>
      <c r="K3623">
        <f>_xlfn.XLOOKUP($A3623,Load!$B:$B,Load!L:L,0,)</f>
        <v>0</v>
      </c>
      <c r="L3623">
        <f>_xlfn.XLOOKUP($A3623,Load!$B:$B,Load!M:M,0,)</f>
        <v>0</v>
      </c>
    </row>
    <row r="3624" spans="1:12" x14ac:dyDescent="0.25">
      <c r="B3624">
        <f>_xlfn.XLOOKUP($A3624,Load!$B:$B,Load!C:C,0,)</f>
        <v>0</v>
      </c>
      <c r="C3624">
        <f>_xlfn.XLOOKUP($A3624,Load!$B:$B,Load!D:D,0,)</f>
        <v>0</v>
      </c>
      <c r="D3624">
        <f>_xlfn.XLOOKUP($A3624,Load!$B:$B,Load!E:E,0,)</f>
        <v>0</v>
      </c>
      <c r="E3624">
        <f>_xlfn.XLOOKUP($A3624,Load!$B:$B,Load!F:F,0,)</f>
        <v>0</v>
      </c>
      <c r="F3624">
        <f>_xlfn.XLOOKUP($A3624,Load!$B:$B,Load!G:G,0,)</f>
        <v>0</v>
      </c>
      <c r="G3624">
        <f>_xlfn.XLOOKUP($A3624,Load!$B:$B,Load!H:H,0,)</f>
        <v>0</v>
      </c>
      <c r="H3624">
        <f>_xlfn.XLOOKUP($A3624,Load!$B:$B,Load!I:I,0,)</f>
        <v>0</v>
      </c>
      <c r="I3624">
        <f>_xlfn.XLOOKUP($A3624,Load!$B:$B,Load!J:J,0,)</f>
        <v>0</v>
      </c>
      <c r="J3624">
        <f>_xlfn.XLOOKUP($A3624,Load!$B:$B,Load!K:K,0,)</f>
        <v>0</v>
      </c>
      <c r="K3624">
        <f>_xlfn.XLOOKUP($A3624,Load!$B:$B,Load!L:L,0,)</f>
        <v>0</v>
      </c>
      <c r="L3624">
        <f>_xlfn.XLOOKUP($A3624,Load!$B:$B,Load!M:M,0,)</f>
        <v>0</v>
      </c>
    </row>
    <row r="3625" spans="1:12" x14ac:dyDescent="0.25">
      <c r="B3625">
        <f>_xlfn.XLOOKUP($A3625,Load!$B:$B,Load!C:C,0,)</f>
        <v>0</v>
      </c>
      <c r="C3625">
        <f>_xlfn.XLOOKUP($A3625,Load!$B:$B,Load!D:D,0,)</f>
        <v>0</v>
      </c>
      <c r="D3625">
        <f>_xlfn.XLOOKUP($A3625,Load!$B:$B,Load!E:E,0,)</f>
        <v>0</v>
      </c>
      <c r="E3625">
        <f>_xlfn.XLOOKUP($A3625,Load!$B:$B,Load!F:F,0,)</f>
        <v>0</v>
      </c>
      <c r="F3625">
        <f>_xlfn.XLOOKUP($A3625,Load!$B:$B,Load!G:G,0,)</f>
        <v>0</v>
      </c>
      <c r="G3625">
        <f>_xlfn.XLOOKUP($A3625,Load!$B:$B,Load!H:H,0,)</f>
        <v>0</v>
      </c>
      <c r="H3625">
        <f>_xlfn.XLOOKUP($A3625,Load!$B:$B,Load!I:I,0,)</f>
        <v>0</v>
      </c>
      <c r="I3625">
        <f>_xlfn.XLOOKUP($A3625,Load!$B:$B,Load!J:J,0,)</f>
        <v>0</v>
      </c>
      <c r="J3625">
        <f>_xlfn.XLOOKUP($A3625,Load!$B:$B,Load!K:K,0,)</f>
        <v>0</v>
      </c>
      <c r="K3625">
        <f>_xlfn.XLOOKUP($A3625,Load!$B:$B,Load!L:L,0,)</f>
        <v>0</v>
      </c>
      <c r="L3625">
        <f>_xlfn.XLOOKUP($A3625,Load!$B:$B,Load!M:M,0,)</f>
        <v>0</v>
      </c>
    </row>
    <row r="3626" spans="1:12" x14ac:dyDescent="0.25">
      <c r="B3626">
        <f>_xlfn.XLOOKUP($A3626,Load!$B:$B,Load!C:C,0,)</f>
        <v>0</v>
      </c>
      <c r="C3626">
        <f>_xlfn.XLOOKUP($A3626,Load!$B:$B,Load!D:D,0,)</f>
        <v>0</v>
      </c>
      <c r="D3626">
        <f>_xlfn.XLOOKUP($A3626,Load!$B:$B,Load!E:E,0,)</f>
        <v>0</v>
      </c>
      <c r="E3626">
        <f>_xlfn.XLOOKUP($A3626,Load!$B:$B,Load!F:F,0,)</f>
        <v>0</v>
      </c>
      <c r="F3626">
        <f>_xlfn.XLOOKUP($A3626,Load!$B:$B,Load!G:G,0,)</f>
        <v>0</v>
      </c>
      <c r="G3626">
        <f>_xlfn.XLOOKUP($A3626,Load!$B:$B,Load!H:H,0,)</f>
        <v>0</v>
      </c>
      <c r="H3626">
        <f>_xlfn.XLOOKUP($A3626,Load!$B:$B,Load!I:I,0,)</f>
        <v>0</v>
      </c>
      <c r="I3626">
        <f>_xlfn.XLOOKUP($A3626,Load!$B:$B,Load!J:J,0,)</f>
        <v>0</v>
      </c>
      <c r="J3626">
        <f>_xlfn.XLOOKUP($A3626,Load!$B:$B,Load!K:K,0,)</f>
        <v>0</v>
      </c>
      <c r="K3626">
        <f>_xlfn.XLOOKUP($A3626,Load!$B:$B,Load!L:L,0,)</f>
        <v>0</v>
      </c>
      <c r="L3626">
        <f>_xlfn.XLOOKUP($A3626,Load!$B:$B,Load!M:M,0,)</f>
        <v>0</v>
      </c>
    </row>
    <row r="3627" spans="1:12" x14ac:dyDescent="0.25">
      <c r="B3627">
        <f>_xlfn.XLOOKUP($A3627,Load!$B:$B,Load!C:C,0,)</f>
        <v>0</v>
      </c>
      <c r="C3627">
        <f>_xlfn.XLOOKUP($A3627,Load!$B:$B,Load!D:D,0,)</f>
        <v>0</v>
      </c>
      <c r="D3627">
        <f>_xlfn.XLOOKUP($A3627,Load!$B:$B,Load!E:E,0,)</f>
        <v>0</v>
      </c>
      <c r="E3627">
        <f>_xlfn.XLOOKUP($A3627,Load!$B:$B,Load!F:F,0,)</f>
        <v>0</v>
      </c>
      <c r="F3627">
        <f>_xlfn.XLOOKUP($A3627,Load!$B:$B,Load!G:G,0,)</f>
        <v>0</v>
      </c>
      <c r="G3627">
        <f>_xlfn.XLOOKUP($A3627,Load!$B:$B,Load!H:H,0,)</f>
        <v>0</v>
      </c>
      <c r="H3627">
        <f>_xlfn.XLOOKUP($A3627,Load!$B:$B,Load!I:I,0,)</f>
        <v>0</v>
      </c>
      <c r="I3627">
        <f>_xlfn.XLOOKUP($A3627,Load!$B:$B,Load!J:J,0,)</f>
        <v>0</v>
      </c>
      <c r="J3627">
        <f>_xlfn.XLOOKUP($A3627,Load!$B:$B,Load!K:K,0,)</f>
        <v>0</v>
      </c>
      <c r="K3627">
        <f>_xlfn.XLOOKUP($A3627,Load!$B:$B,Load!L:L,0,)</f>
        <v>0</v>
      </c>
      <c r="L3627">
        <f>_xlfn.XLOOKUP($A3627,Load!$B:$B,Load!M:M,0,)</f>
        <v>0</v>
      </c>
    </row>
    <row r="3628" spans="1:12" x14ac:dyDescent="0.25">
      <c r="A3628" t="s">
        <v>173</v>
      </c>
      <c r="B3628" t="str">
        <f>_xlfn.XLOOKUP($A3628,Load!$B:$B,Load!C:C,0,)</f>
        <v>Mars Variety Pack</v>
      </c>
      <c r="C3628" t="str">
        <f>_xlfn.XLOOKUP($A3628,Load!$B:$B,Load!D:D,0,)</f>
        <v>Mix of Chocolate and Non-Chocolate Candy</v>
      </c>
      <c r="D3628" t="str">
        <f>_xlfn.XLOOKUP($A3628,Load!$B:$B,Load!E:E,0,)</f>
        <v>Variety / Mixed Flavors (Fruity, Sour, Seasonal Flavors)</v>
      </c>
      <c r="E3628" t="str">
        <f>_xlfn.XLOOKUP($A3628,Load!$B:$B,Load!F:F,0,)</f>
        <v>Mixed / Combo Packs (Gummy, Chewy, Taffy, etc.)</v>
      </c>
      <c r="F3628" t="str">
        <f>_xlfn.XLOOKUP($A3628,Load!$B:$B,Load!G:G,0,)</f>
        <v>Large Multipack (More than 80 ct)</v>
      </c>
      <c r="G3628" t="str">
        <f>_xlfn.XLOOKUP($A3628,Load!$B:$B,Load!H:H,0,)</f>
        <v>Stand-Up Bag</v>
      </c>
      <c r="H3628" t="str">
        <f>_xlfn.XLOOKUP($A3628,Load!$B:$B,Load!I:I,0,)</f>
        <v>Everyday Candy Shapes (like Original, Gummy bear, Fruit, Jewels, etc.)</v>
      </c>
      <c r="I3628" t="str">
        <f>_xlfn.XLOOKUP($A3628,Load!$B:$B,Load!J:J,0,)</f>
        <v>Seasonal Graphics (Like Bat, Ghost, Pumpkin, Fall Leaves, Eyeballs, etc.)</v>
      </c>
      <c r="J3628" t="str">
        <f>_xlfn.XLOOKUP($A3628,Load!$B:$B,Load!K:K,0,)</f>
        <v>Fun Size / Treat Size</v>
      </c>
      <c r="K3628" t="str">
        <f>_xlfn.XLOOKUP($A3628,Load!$B:$B,Load!L:L,0,)</f>
        <v>Regular/Original Wrapping</v>
      </c>
      <c r="L3628" t="str">
        <f>_xlfn.XLOOKUP($A3628,Load!$B:$B,Load!M:M,0,)</f>
        <v>Multiple Brands / Variety Flavors or Form</v>
      </c>
    </row>
    <row r="3629" spans="1:12" x14ac:dyDescent="0.25">
      <c r="A3629" t="s">
        <v>84</v>
      </c>
      <c r="B3629" t="str">
        <f>_xlfn.XLOOKUP($A3629,Load!$B:$B,Load!C:C,0,)</f>
        <v>Ferrara Variety Pack</v>
      </c>
      <c r="C3629" t="str">
        <f>_xlfn.XLOOKUP($A3629,Load!$B:$B,Load!D:D,0,)</f>
        <v>Non-Chocolate Candy Only</v>
      </c>
      <c r="D3629" t="str">
        <f>_xlfn.XLOOKUP($A3629,Load!$B:$B,Load!E:E,0,)</f>
        <v>Variety / Mixed Flavors (Fruity, Sour, Seasonal Flavors)</v>
      </c>
      <c r="E3629" t="str">
        <f>_xlfn.XLOOKUP($A3629,Load!$B:$B,Load!F:F,0,)</f>
        <v>Mixed / Combo Packs (Gummy, Chewy, Taffy, etc.)</v>
      </c>
      <c r="F3629" t="str">
        <f>_xlfn.XLOOKUP($A3629,Load!$B:$B,Load!G:G,0,)</f>
        <v>Large Multipack (More than 80 ct)</v>
      </c>
      <c r="G3629" t="str">
        <f>_xlfn.XLOOKUP($A3629,Load!$B:$B,Load!H:H,0,)</f>
        <v>Stand-Up Bag</v>
      </c>
      <c r="H3629" t="str">
        <f>_xlfn.XLOOKUP($A3629,Load!$B:$B,Load!I:I,0,)</f>
        <v>Everyday Candy Shapes (like Original, Gummy bear, Fruit, Jewels, etc.)</v>
      </c>
      <c r="I3629" t="str">
        <f>_xlfn.XLOOKUP($A3629,Load!$B:$B,Load!J:J,0,)</f>
        <v>Seasonal Graphics (Like Bat, Ghost, Pumpkin, Fall Leaves, Eyeballs, etc.)</v>
      </c>
      <c r="J3629" t="str">
        <f>_xlfn.XLOOKUP($A3629,Load!$B:$B,Load!K:K,0,)</f>
        <v xml:space="preserve">Variety Candy Sizes </v>
      </c>
      <c r="K3629" t="str">
        <f>_xlfn.XLOOKUP($A3629,Load!$B:$B,Load!L:L,0,)</f>
        <v>Regular/Original Wrapping</v>
      </c>
      <c r="L3629" t="str">
        <f>_xlfn.XLOOKUP($A3629,Load!$B:$B,Load!M:M,0,)</f>
        <v>Multiple Brands / Variety Flavors or Form</v>
      </c>
    </row>
    <row r="3630" spans="1:12" x14ac:dyDescent="0.25">
      <c r="B3630">
        <f>_xlfn.XLOOKUP($A3630,Load!$B:$B,Load!C:C,0,)</f>
        <v>0</v>
      </c>
      <c r="C3630">
        <f>_xlfn.XLOOKUP($A3630,Load!$B:$B,Load!D:D,0,)</f>
        <v>0</v>
      </c>
      <c r="D3630">
        <f>_xlfn.XLOOKUP($A3630,Load!$B:$B,Load!E:E,0,)</f>
        <v>0</v>
      </c>
      <c r="E3630">
        <f>_xlfn.XLOOKUP($A3630,Load!$B:$B,Load!F:F,0,)</f>
        <v>0</v>
      </c>
      <c r="F3630">
        <f>_xlfn.XLOOKUP($A3630,Load!$B:$B,Load!G:G,0,)</f>
        <v>0</v>
      </c>
      <c r="G3630">
        <f>_xlfn.XLOOKUP($A3630,Load!$B:$B,Load!H:H,0,)</f>
        <v>0</v>
      </c>
      <c r="H3630">
        <f>_xlfn.XLOOKUP($A3630,Load!$B:$B,Load!I:I,0,)</f>
        <v>0</v>
      </c>
      <c r="I3630">
        <f>_xlfn.XLOOKUP($A3630,Load!$B:$B,Load!J:J,0,)</f>
        <v>0</v>
      </c>
      <c r="J3630">
        <f>_xlfn.XLOOKUP($A3630,Load!$B:$B,Load!K:K,0,)</f>
        <v>0</v>
      </c>
      <c r="K3630">
        <f>_xlfn.XLOOKUP($A3630,Load!$B:$B,Load!L:L,0,)</f>
        <v>0</v>
      </c>
      <c r="L3630">
        <f>_xlfn.XLOOKUP($A3630,Load!$B:$B,Load!M:M,0,)</f>
        <v>0</v>
      </c>
    </row>
    <row r="3631" spans="1:12" x14ac:dyDescent="0.25">
      <c r="B3631">
        <f>_xlfn.XLOOKUP($A3631,Load!$B:$B,Load!C:C,0,)</f>
        <v>0</v>
      </c>
      <c r="C3631">
        <f>_xlfn.XLOOKUP($A3631,Load!$B:$B,Load!D:D,0,)</f>
        <v>0</v>
      </c>
      <c r="D3631">
        <f>_xlfn.XLOOKUP($A3631,Load!$B:$B,Load!E:E,0,)</f>
        <v>0</v>
      </c>
      <c r="E3631">
        <f>_xlfn.XLOOKUP($A3631,Load!$B:$B,Load!F:F,0,)</f>
        <v>0</v>
      </c>
      <c r="F3631">
        <f>_xlfn.XLOOKUP($A3631,Load!$B:$B,Load!G:G,0,)</f>
        <v>0</v>
      </c>
      <c r="G3631">
        <f>_xlfn.XLOOKUP($A3631,Load!$B:$B,Load!H:H,0,)</f>
        <v>0</v>
      </c>
      <c r="H3631">
        <f>_xlfn.XLOOKUP($A3631,Load!$B:$B,Load!I:I,0,)</f>
        <v>0</v>
      </c>
      <c r="I3631">
        <f>_xlfn.XLOOKUP($A3631,Load!$B:$B,Load!J:J,0,)</f>
        <v>0</v>
      </c>
      <c r="J3631">
        <f>_xlfn.XLOOKUP($A3631,Load!$B:$B,Load!K:K,0,)</f>
        <v>0</v>
      </c>
      <c r="K3631">
        <f>_xlfn.XLOOKUP($A3631,Load!$B:$B,Load!L:L,0,)</f>
        <v>0</v>
      </c>
      <c r="L3631">
        <f>_xlfn.XLOOKUP($A3631,Load!$B:$B,Load!M:M,0,)</f>
        <v>0</v>
      </c>
    </row>
    <row r="3632" spans="1:12" x14ac:dyDescent="0.25">
      <c r="B3632">
        <f>_xlfn.XLOOKUP($A3632,Load!$B:$B,Load!C:C,0,)</f>
        <v>0</v>
      </c>
      <c r="C3632">
        <f>_xlfn.XLOOKUP($A3632,Load!$B:$B,Load!D:D,0,)</f>
        <v>0</v>
      </c>
      <c r="D3632">
        <f>_xlfn.XLOOKUP($A3632,Load!$B:$B,Load!E:E,0,)</f>
        <v>0</v>
      </c>
      <c r="E3632">
        <f>_xlfn.XLOOKUP($A3632,Load!$B:$B,Load!F:F,0,)</f>
        <v>0</v>
      </c>
      <c r="F3632">
        <f>_xlfn.XLOOKUP($A3632,Load!$B:$B,Load!G:G,0,)</f>
        <v>0</v>
      </c>
      <c r="G3632">
        <f>_xlfn.XLOOKUP($A3632,Load!$B:$B,Load!H:H,0,)</f>
        <v>0</v>
      </c>
      <c r="H3632">
        <f>_xlfn.XLOOKUP($A3632,Load!$B:$B,Load!I:I,0,)</f>
        <v>0</v>
      </c>
      <c r="I3632">
        <f>_xlfn.XLOOKUP($A3632,Load!$B:$B,Load!J:J,0,)</f>
        <v>0</v>
      </c>
      <c r="J3632">
        <f>_xlfn.XLOOKUP($A3632,Load!$B:$B,Load!K:K,0,)</f>
        <v>0</v>
      </c>
      <c r="K3632">
        <f>_xlfn.XLOOKUP($A3632,Load!$B:$B,Load!L:L,0,)</f>
        <v>0</v>
      </c>
      <c r="L3632">
        <f>_xlfn.XLOOKUP($A3632,Load!$B:$B,Load!M:M,0,)</f>
        <v>0</v>
      </c>
    </row>
    <row r="3633" spans="1:12" x14ac:dyDescent="0.25">
      <c r="B3633">
        <f>_xlfn.XLOOKUP($A3633,Load!$B:$B,Load!C:C,0,)</f>
        <v>0</v>
      </c>
      <c r="C3633">
        <f>_xlfn.XLOOKUP($A3633,Load!$B:$B,Load!D:D,0,)</f>
        <v>0</v>
      </c>
      <c r="D3633">
        <f>_xlfn.XLOOKUP($A3633,Load!$B:$B,Load!E:E,0,)</f>
        <v>0</v>
      </c>
      <c r="E3633">
        <f>_xlfn.XLOOKUP($A3633,Load!$B:$B,Load!F:F,0,)</f>
        <v>0</v>
      </c>
      <c r="F3633">
        <f>_xlfn.XLOOKUP($A3633,Load!$B:$B,Load!G:G,0,)</f>
        <v>0</v>
      </c>
      <c r="G3633">
        <f>_xlfn.XLOOKUP($A3633,Load!$B:$B,Load!H:H,0,)</f>
        <v>0</v>
      </c>
      <c r="H3633">
        <f>_xlfn.XLOOKUP($A3633,Load!$B:$B,Load!I:I,0,)</f>
        <v>0</v>
      </c>
      <c r="I3633">
        <f>_xlfn.XLOOKUP($A3633,Load!$B:$B,Load!J:J,0,)</f>
        <v>0</v>
      </c>
      <c r="J3633">
        <f>_xlfn.XLOOKUP($A3633,Load!$B:$B,Load!K:K,0,)</f>
        <v>0</v>
      </c>
      <c r="K3633">
        <f>_xlfn.XLOOKUP($A3633,Load!$B:$B,Load!L:L,0,)</f>
        <v>0</v>
      </c>
      <c r="L3633">
        <f>_xlfn.XLOOKUP($A3633,Load!$B:$B,Load!M:M,0,)</f>
        <v>0</v>
      </c>
    </row>
    <row r="3634" spans="1:12" x14ac:dyDescent="0.25">
      <c r="A3634" t="s">
        <v>2</v>
      </c>
      <c r="B3634" t="str">
        <f>_xlfn.XLOOKUP($A3634,Load!$B:$B,Load!C:C,0,)</f>
        <v>Airheads</v>
      </c>
      <c r="C3634" t="str">
        <f>_xlfn.XLOOKUP($A3634,Load!$B:$B,Load!D:D,0,)</f>
        <v>Non-Chocolate Candy Only</v>
      </c>
      <c r="D3634" t="str">
        <f>_xlfn.XLOOKUP($A3634,Load!$B:$B,Load!E:E,0,)</f>
        <v>Variety / Mixed Flavors (Fruity, Sour, Seasonal Flavors)</v>
      </c>
      <c r="E3634" t="str">
        <f>_xlfn.XLOOKUP($A3634,Load!$B:$B,Load!F:F,0,)</f>
        <v>Chewy</v>
      </c>
      <c r="F3634" t="str">
        <f>_xlfn.XLOOKUP($A3634,Load!$B:$B,Load!G:G,0,)</f>
        <v>Medium Multipack (40–80 ct)</v>
      </c>
      <c r="G3634" t="str">
        <f>_xlfn.XLOOKUP($A3634,Load!$B:$B,Load!H:H,0,)</f>
        <v>Box (theatre box, gift box, carton)</v>
      </c>
      <c r="H3634" t="str">
        <f>_xlfn.XLOOKUP($A3634,Load!$B:$B,Load!I:I,0,)</f>
        <v>Everyday Candy Shapes (like Original, Gummy bear, Fruit, Jewels, etc.)</v>
      </c>
      <c r="I3634" t="str">
        <f>_xlfn.XLOOKUP($A3634,Load!$B:$B,Load!J:J,0,)</f>
        <v>Seasonal Graphics (Like Bat, Ghost, Pumpkin, Fall Leaves, Eyeballs, etc.)</v>
      </c>
      <c r="J3634" t="str">
        <f>_xlfn.XLOOKUP($A3634,Load!$B:$B,Load!K:K,0,)</f>
        <v>Fun Size / Treat Size</v>
      </c>
      <c r="K3634" t="str">
        <f>_xlfn.XLOOKUP($A3634,Load!$B:$B,Load!L:L,0,)</f>
        <v>Regular/Original Wrapping</v>
      </c>
      <c r="L3634" t="str">
        <f>_xlfn.XLOOKUP($A3634,Load!$B:$B,Load!M:M,0,)</f>
        <v>Single Brand / Variety Flavors or Form</v>
      </c>
    </row>
    <row r="3635" spans="1:12" x14ac:dyDescent="0.25">
      <c r="B3635">
        <f>_xlfn.XLOOKUP($A3635,Load!$B:$B,Load!C:C,0,)</f>
        <v>0</v>
      </c>
      <c r="C3635">
        <f>_xlfn.XLOOKUP($A3635,Load!$B:$B,Load!D:D,0,)</f>
        <v>0</v>
      </c>
      <c r="D3635">
        <f>_xlfn.XLOOKUP($A3635,Load!$B:$B,Load!E:E,0,)</f>
        <v>0</v>
      </c>
      <c r="E3635">
        <f>_xlfn.XLOOKUP($A3635,Load!$B:$B,Load!F:F,0,)</f>
        <v>0</v>
      </c>
      <c r="F3635">
        <f>_xlfn.XLOOKUP($A3635,Load!$B:$B,Load!G:G,0,)</f>
        <v>0</v>
      </c>
      <c r="G3635">
        <f>_xlfn.XLOOKUP($A3635,Load!$B:$B,Load!H:H,0,)</f>
        <v>0</v>
      </c>
      <c r="H3635">
        <f>_xlfn.XLOOKUP($A3635,Load!$B:$B,Load!I:I,0,)</f>
        <v>0</v>
      </c>
      <c r="I3635">
        <f>_xlfn.XLOOKUP($A3635,Load!$B:$B,Load!J:J,0,)</f>
        <v>0</v>
      </c>
      <c r="J3635">
        <f>_xlfn.XLOOKUP($A3635,Load!$B:$B,Load!K:K,0,)</f>
        <v>0</v>
      </c>
      <c r="K3635">
        <f>_xlfn.XLOOKUP($A3635,Load!$B:$B,Load!L:L,0,)</f>
        <v>0</v>
      </c>
      <c r="L3635">
        <f>_xlfn.XLOOKUP($A3635,Load!$B:$B,Load!M:M,0,)</f>
        <v>0</v>
      </c>
    </row>
    <row r="3636" spans="1:12" x14ac:dyDescent="0.25">
      <c r="A3636" t="s">
        <v>69</v>
      </c>
      <c r="B3636" t="str">
        <f>_xlfn.XLOOKUP($A3636,Load!$B:$B,Load!C:C,0,)</f>
        <v>Dum Dums</v>
      </c>
      <c r="C3636" t="str">
        <f>_xlfn.XLOOKUP($A3636,Load!$B:$B,Load!D:D,0,)</f>
        <v>Non-Chocolate Candy Only</v>
      </c>
      <c r="D3636" t="str">
        <f>_xlfn.XLOOKUP($A3636,Load!$B:$B,Load!E:E,0,)</f>
        <v>Sweet</v>
      </c>
      <c r="E3636" t="str">
        <f>_xlfn.XLOOKUP($A3636,Load!$B:$B,Load!F:F,0,)</f>
        <v>Lollipop (regular or lollipop rings)</v>
      </c>
      <c r="F3636" t="str">
        <f>_xlfn.XLOOKUP($A3636,Load!$B:$B,Load!G:G,0,)</f>
        <v>Single Pack</v>
      </c>
      <c r="G3636" t="str">
        <f>_xlfn.XLOOKUP($A3636,Load!$B:$B,Load!H:H,0,)</f>
        <v>Laydown Bag</v>
      </c>
      <c r="H3636" t="str">
        <f>_xlfn.XLOOKUP($A3636,Load!$B:$B,Load!I:I,0,)</f>
        <v>Seasonal Shapes (like pumpkins, candy corn, ghost, bats, etc.)</v>
      </c>
      <c r="I3636" t="str">
        <f>_xlfn.XLOOKUP($A3636,Load!$B:$B,Load!J:J,0,)</f>
        <v>Seasonal Graphics (Like Bat, Ghost, Pumpkin, Fall Leaves, Eyeballs, etc.)</v>
      </c>
      <c r="J3636" t="str">
        <f>_xlfn.XLOOKUP($A3636,Load!$B:$B,Load!K:K,0,)</f>
        <v>Regular Lollipop size (on sticks or rings)</v>
      </c>
      <c r="K3636" t="str">
        <f>_xlfn.XLOOKUP($A3636,Load!$B:$B,Load!L:L,0,)</f>
        <v>Regular/Original Wrapping</v>
      </c>
      <c r="L3636" t="str">
        <f>_xlfn.XLOOKUP($A3636,Load!$B:$B,Load!M:M,0,)</f>
        <v>Single Brand / Variety Flavors or Form</v>
      </c>
    </row>
    <row r="3637" spans="1:12" x14ac:dyDescent="0.25">
      <c r="B3637">
        <f>_xlfn.XLOOKUP($A3637,Load!$B:$B,Load!C:C,0,)</f>
        <v>0</v>
      </c>
      <c r="C3637">
        <f>_xlfn.XLOOKUP($A3637,Load!$B:$B,Load!D:D,0,)</f>
        <v>0</v>
      </c>
      <c r="D3637">
        <f>_xlfn.XLOOKUP($A3637,Load!$B:$B,Load!E:E,0,)</f>
        <v>0</v>
      </c>
      <c r="E3637">
        <f>_xlfn.XLOOKUP($A3637,Load!$B:$B,Load!F:F,0,)</f>
        <v>0</v>
      </c>
      <c r="F3637">
        <f>_xlfn.XLOOKUP($A3637,Load!$B:$B,Load!G:G,0,)</f>
        <v>0</v>
      </c>
      <c r="G3637">
        <f>_xlfn.XLOOKUP($A3637,Load!$B:$B,Load!H:H,0,)</f>
        <v>0</v>
      </c>
      <c r="H3637">
        <f>_xlfn.XLOOKUP($A3637,Load!$B:$B,Load!I:I,0,)</f>
        <v>0</v>
      </c>
      <c r="I3637">
        <f>_xlfn.XLOOKUP($A3637,Load!$B:$B,Load!J:J,0,)</f>
        <v>0</v>
      </c>
      <c r="J3637">
        <f>_xlfn.XLOOKUP($A3637,Load!$B:$B,Load!K:K,0,)</f>
        <v>0</v>
      </c>
      <c r="K3637">
        <f>_xlfn.XLOOKUP($A3637,Load!$B:$B,Load!L:L,0,)</f>
        <v>0</v>
      </c>
      <c r="L3637">
        <f>_xlfn.XLOOKUP($A3637,Load!$B:$B,Load!M:M,0,)</f>
        <v>0</v>
      </c>
    </row>
    <row r="3638" spans="1:12" x14ac:dyDescent="0.25">
      <c r="A3638" t="s">
        <v>269</v>
      </c>
      <c r="B3638" t="str">
        <f>_xlfn.XLOOKUP($A3638,Load!$B:$B,Load!C:C,0,)</f>
        <v>Sour Patch Kids</v>
      </c>
      <c r="C3638" t="str">
        <f>_xlfn.XLOOKUP($A3638,Load!$B:$B,Load!D:D,0,)</f>
        <v>Non-Chocolate Candy Only</v>
      </c>
      <c r="D3638" t="str">
        <f>_xlfn.XLOOKUP($A3638,Load!$B:$B,Load!E:E,0,)</f>
        <v>Sour</v>
      </c>
      <c r="E3638" t="str">
        <f>_xlfn.XLOOKUP($A3638,Load!$B:$B,Load!F:F,0,)</f>
        <v>Chewy</v>
      </c>
      <c r="F3638" t="str">
        <f>_xlfn.XLOOKUP($A3638,Load!$B:$B,Load!G:G,0,)</f>
        <v>Small Multipack (Less than 40 ct)</v>
      </c>
      <c r="G3638" t="str">
        <f>_xlfn.XLOOKUP($A3638,Load!$B:$B,Load!H:H,0,)</f>
        <v>Laydown Bag</v>
      </c>
      <c r="H3638" t="str">
        <f>_xlfn.XLOOKUP($A3638,Load!$B:$B,Load!I:I,0,)</f>
        <v>Everyday Candy Shapes (like Original, Gummy bear, Fruit, Jewels, etc.)</v>
      </c>
      <c r="I3638" t="str">
        <f>_xlfn.XLOOKUP($A3638,Load!$B:$B,Load!J:J,0,)</f>
        <v>Seasonal Graphics (Like Bat, Ghost, Pumpkin, Fall Leaves, Eyeballs, etc.)</v>
      </c>
      <c r="J3638" t="str">
        <f>_xlfn.XLOOKUP($A3638,Load!$B:$B,Load!K:K,0,)</f>
        <v>Small Pieces (Tiny bite size candies)</v>
      </c>
      <c r="K3638" t="str">
        <f>_xlfn.XLOOKUP($A3638,Load!$B:$B,Load!L:L,0,)</f>
        <v>Regular/Original Wrapping</v>
      </c>
      <c r="L3638" t="str">
        <f>_xlfn.XLOOKUP($A3638,Load!$B:$B,Load!M:M,0,)</f>
        <v>Single Brand / Variety Flavors or Form</v>
      </c>
    </row>
    <row r="3639" spans="1:12" x14ac:dyDescent="0.25">
      <c r="A3639" t="s">
        <v>267</v>
      </c>
      <c r="B3639" t="str">
        <f>_xlfn.XLOOKUP($A3639,Load!$B:$B,Load!C:C,0,)</f>
        <v>Sour Patch Kids</v>
      </c>
      <c r="C3639" t="str">
        <f>_xlfn.XLOOKUP($A3639,Load!$B:$B,Load!D:D,0,)</f>
        <v>Non-Chocolate Candy Only</v>
      </c>
      <c r="D3639" t="str">
        <f>_xlfn.XLOOKUP($A3639,Load!$B:$B,Load!E:E,0,)</f>
        <v>Sour</v>
      </c>
      <c r="E3639" t="str">
        <f>_xlfn.XLOOKUP($A3639,Load!$B:$B,Load!F:F,0,)</f>
        <v>Chewy</v>
      </c>
      <c r="F3639" t="str">
        <f>_xlfn.XLOOKUP($A3639,Load!$B:$B,Load!G:G,0,)</f>
        <v>Small Multipack (Less than 40 ct)</v>
      </c>
      <c r="G3639" t="str">
        <f>_xlfn.XLOOKUP($A3639,Load!$B:$B,Load!H:H,0,)</f>
        <v>Laydown Bag</v>
      </c>
      <c r="H3639" t="str">
        <f>_xlfn.XLOOKUP($A3639,Load!$B:$B,Load!I:I,0,)</f>
        <v>Everyday Candy Shapes (like Original, Gummy bear, Fruit, Jewels, etc.)</v>
      </c>
      <c r="I3639" t="str">
        <f>_xlfn.XLOOKUP($A3639,Load!$B:$B,Load!J:J,0,)</f>
        <v>Seasonal Graphics (Like Bat, Ghost, Pumpkin, Fall Leaves, Eyeballs, etc.)</v>
      </c>
      <c r="J3639" t="str">
        <f>_xlfn.XLOOKUP($A3639,Load!$B:$B,Load!K:K,0,)</f>
        <v>Small Pieces (Tiny bite size candies)</v>
      </c>
      <c r="K3639" t="str">
        <f>_xlfn.XLOOKUP($A3639,Load!$B:$B,Load!L:L,0,)</f>
        <v>Regular/Original Wrapping</v>
      </c>
      <c r="L3639" t="str">
        <f>_xlfn.XLOOKUP($A3639,Load!$B:$B,Load!M:M,0,)</f>
        <v>Single Brand / Variety Flavors or Form</v>
      </c>
    </row>
    <row r="3640" spans="1:12" x14ac:dyDescent="0.25">
      <c r="B3640">
        <f>_xlfn.XLOOKUP($A3640,Load!$B:$B,Load!C:C,0,)</f>
        <v>0</v>
      </c>
      <c r="C3640">
        <f>_xlfn.XLOOKUP($A3640,Load!$B:$B,Load!D:D,0,)</f>
        <v>0</v>
      </c>
      <c r="D3640">
        <f>_xlfn.XLOOKUP($A3640,Load!$B:$B,Load!E:E,0,)</f>
        <v>0</v>
      </c>
      <c r="E3640">
        <f>_xlfn.XLOOKUP($A3640,Load!$B:$B,Load!F:F,0,)</f>
        <v>0</v>
      </c>
      <c r="F3640">
        <f>_xlfn.XLOOKUP($A3640,Load!$B:$B,Load!G:G,0,)</f>
        <v>0</v>
      </c>
      <c r="G3640">
        <f>_xlfn.XLOOKUP($A3640,Load!$B:$B,Load!H:H,0,)</f>
        <v>0</v>
      </c>
      <c r="H3640">
        <f>_xlfn.XLOOKUP($A3640,Load!$B:$B,Load!I:I,0,)</f>
        <v>0</v>
      </c>
      <c r="I3640">
        <f>_xlfn.XLOOKUP($A3640,Load!$B:$B,Load!J:J,0,)</f>
        <v>0</v>
      </c>
      <c r="J3640">
        <f>_xlfn.XLOOKUP($A3640,Load!$B:$B,Load!K:K,0,)</f>
        <v>0</v>
      </c>
      <c r="K3640">
        <f>_xlfn.XLOOKUP($A3640,Load!$B:$B,Load!L:L,0,)</f>
        <v>0</v>
      </c>
      <c r="L3640">
        <f>_xlfn.XLOOKUP($A3640,Load!$B:$B,Load!M:M,0,)</f>
        <v>0</v>
      </c>
    </row>
    <row r="3641" spans="1:12" x14ac:dyDescent="0.25">
      <c r="B3641">
        <f>_xlfn.XLOOKUP($A3641,Load!$B:$B,Load!C:C,0,)</f>
        <v>0</v>
      </c>
      <c r="C3641">
        <f>_xlfn.XLOOKUP($A3641,Load!$B:$B,Load!D:D,0,)</f>
        <v>0</v>
      </c>
      <c r="D3641">
        <f>_xlfn.XLOOKUP($A3641,Load!$B:$B,Load!E:E,0,)</f>
        <v>0</v>
      </c>
      <c r="E3641">
        <f>_xlfn.XLOOKUP($A3641,Load!$B:$B,Load!F:F,0,)</f>
        <v>0</v>
      </c>
      <c r="F3641">
        <f>_xlfn.XLOOKUP($A3641,Load!$B:$B,Load!G:G,0,)</f>
        <v>0</v>
      </c>
      <c r="G3641">
        <f>_xlfn.XLOOKUP($A3641,Load!$B:$B,Load!H:H,0,)</f>
        <v>0</v>
      </c>
      <c r="H3641">
        <f>_xlfn.XLOOKUP($A3641,Load!$B:$B,Load!I:I,0,)</f>
        <v>0</v>
      </c>
      <c r="I3641">
        <f>_xlfn.XLOOKUP($A3641,Load!$B:$B,Load!J:J,0,)</f>
        <v>0</v>
      </c>
      <c r="J3641">
        <f>_xlfn.XLOOKUP($A3641,Load!$B:$B,Load!K:K,0,)</f>
        <v>0</v>
      </c>
      <c r="K3641">
        <f>_xlfn.XLOOKUP($A3641,Load!$B:$B,Load!L:L,0,)</f>
        <v>0</v>
      </c>
      <c r="L3641">
        <f>_xlfn.XLOOKUP($A3641,Load!$B:$B,Load!M:M,0,)</f>
        <v>0</v>
      </c>
    </row>
    <row r="3642" spans="1:12" x14ac:dyDescent="0.25">
      <c r="B3642">
        <f>_xlfn.XLOOKUP($A3642,Load!$B:$B,Load!C:C,0,)</f>
        <v>0</v>
      </c>
      <c r="C3642">
        <f>_xlfn.XLOOKUP($A3642,Load!$B:$B,Load!D:D,0,)</f>
        <v>0</v>
      </c>
      <c r="D3642">
        <f>_xlfn.XLOOKUP($A3642,Load!$B:$B,Load!E:E,0,)</f>
        <v>0</v>
      </c>
      <c r="E3642">
        <f>_xlfn.XLOOKUP($A3642,Load!$B:$B,Load!F:F,0,)</f>
        <v>0</v>
      </c>
      <c r="F3642">
        <f>_xlfn.XLOOKUP($A3642,Load!$B:$B,Load!G:G,0,)</f>
        <v>0</v>
      </c>
      <c r="G3642">
        <f>_xlfn.XLOOKUP($A3642,Load!$B:$B,Load!H:H,0,)</f>
        <v>0</v>
      </c>
      <c r="H3642">
        <f>_xlfn.XLOOKUP($A3642,Load!$B:$B,Load!I:I,0,)</f>
        <v>0</v>
      </c>
      <c r="I3642">
        <f>_xlfn.XLOOKUP($A3642,Load!$B:$B,Load!J:J,0,)</f>
        <v>0</v>
      </c>
      <c r="J3642">
        <f>_xlfn.XLOOKUP($A3642,Load!$B:$B,Load!K:K,0,)</f>
        <v>0</v>
      </c>
      <c r="K3642">
        <f>_xlfn.XLOOKUP($A3642,Load!$B:$B,Load!L:L,0,)</f>
        <v>0</v>
      </c>
      <c r="L3642">
        <f>_xlfn.XLOOKUP($A3642,Load!$B:$B,Load!M:M,0,)</f>
        <v>0</v>
      </c>
    </row>
    <row r="3643" spans="1:12" x14ac:dyDescent="0.25">
      <c r="B3643">
        <f>_xlfn.XLOOKUP($A3643,Load!$B:$B,Load!C:C,0,)</f>
        <v>0</v>
      </c>
      <c r="C3643">
        <f>_xlfn.XLOOKUP($A3643,Load!$B:$B,Load!D:D,0,)</f>
        <v>0</v>
      </c>
      <c r="D3643">
        <f>_xlfn.XLOOKUP($A3643,Load!$B:$B,Load!E:E,0,)</f>
        <v>0</v>
      </c>
      <c r="E3643">
        <f>_xlfn.XLOOKUP($A3643,Load!$B:$B,Load!F:F,0,)</f>
        <v>0</v>
      </c>
      <c r="F3643">
        <f>_xlfn.XLOOKUP($A3643,Load!$B:$B,Load!G:G,0,)</f>
        <v>0</v>
      </c>
      <c r="G3643">
        <f>_xlfn.XLOOKUP($A3643,Load!$B:$B,Load!H:H,0,)</f>
        <v>0</v>
      </c>
      <c r="H3643">
        <f>_xlfn.XLOOKUP($A3643,Load!$B:$B,Load!I:I,0,)</f>
        <v>0</v>
      </c>
      <c r="I3643">
        <f>_xlfn.XLOOKUP($A3643,Load!$B:$B,Load!J:J,0,)</f>
        <v>0</v>
      </c>
      <c r="J3643">
        <f>_xlfn.XLOOKUP($A3643,Load!$B:$B,Load!K:K,0,)</f>
        <v>0</v>
      </c>
      <c r="K3643">
        <f>_xlfn.XLOOKUP($A3643,Load!$B:$B,Load!L:L,0,)</f>
        <v>0</v>
      </c>
      <c r="L3643">
        <f>_xlfn.XLOOKUP($A3643,Load!$B:$B,Load!M:M,0,)</f>
        <v>0</v>
      </c>
    </row>
    <row r="3644" spans="1:12" x14ac:dyDescent="0.25">
      <c r="B3644">
        <f>_xlfn.XLOOKUP($A3644,Load!$B:$B,Load!C:C,0,)</f>
        <v>0</v>
      </c>
      <c r="C3644">
        <f>_xlfn.XLOOKUP($A3644,Load!$B:$B,Load!D:D,0,)</f>
        <v>0</v>
      </c>
      <c r="D3644">
        <f>_xlfn.XLOOKUP($A3644,Load!$B:$B,Load!E:E,0,)</f>
        <v>0</v>
      </c>
      <c r="E3644">
        <f>_xlfn.XLOOKUP($A3644,Load!$B:$B,Load!F:F,0,)</f>
        <v>0</v>
      </c>
      <c r="F3644">
        <f>_xlfn.XLOOKUP($A3644,Load!$B:$B,Load!G:G,0,)</f>
        <v>0</v>
      </c>
      <c r="G3644">
        <f>_xlfn.XLOOKUP($A3644,Load!$B:$B,Load!H:H,0,)</f>
        <v>0</v>
      </c>
      <c r="H3644">
        <f>_xlfn.XLOOKUP($A3644,Load!$B:$B,Load!I:I,0,)</f>
        <v>0</v>
      </c>
      <c r="I3644">
        <f>_xlfn.XLOOKUP($A3644,Load!$B:$B,Load!J:J,0,)</f>
        <v>0</v>
      </c>
      <c r="J3644">
        <f>_xlfn.XLOOKUP($A3644,Load!$B:$B,Load!K:K,0,)</f>
        <v>0</v>
      </c>
      <c r="K3644">
        <f>_xlfn.XLOOKUP($A3644,Load!$B:$B,Load!L:L,0,)</f>
        <v>0</v>
      </c>
      <c r="L3644">
        <f>_xlfn.XLOOKUP($A3644,Load!$B:$B,Load!M:M,0,)</f>
        <v>0</v>
      </c>
    </row>
    <row r="3645" spans="1:12" x14ac:dyDescent="0.25">
      <c r="B3645">
        <f>_xlfn.XLOOKUP($A3645,Load!$B:$B,Load!C:C,0,)</f>
        <v>0</v>
      </c>
      <c r="C3645">
        <f>_xlfn.XLOOKUP($A3645,Load!$B:$B,Load!D:D,0,)</f>
        <v>0</v>
      </c>
      <c r="D3645">
        <f>_xlfn.XLOOKUP($A3645,Load!$B:$B,Load!E:E,0,)</f>
        <v>0</v>
      </c>
      <c r="E3645">
        <f>_xlfn.XLOOKUP($A3645,Load!$B:$B,Load!F:F,0,)</f>
        <v>0</v>
      </c>
      <c r="F3645">
        <f>_xlfn.XLOOKUP($A3645,Load!$B:$B,Load!G:G,0,)</f>
        <v>0</v>
      </c>
      <c r="G3645">
        <f>_xlfn.XLOOKUP($A3645,Load!$B:$B,Load!H:H,0,)</f>
        <v>0</v>
      </c>
      <c r="H3645">
        <f>_xlfn.XLOOKUP($A3645,Load!$B:$B,Load!I:I,0,)</f>
        <v>0</v>
      </c>
      <c r="I3645">
        <f>_xlfn.XLOOKUP($A3645,Load!$B:$B,Load!J:J,0,)</f>
        <v>0</v>
      </c>
      <c r="J3645">
        <f>_xlfn.XLOOKUP($A3645,Load!$B:$B,Load!K:K,0,)</f>
        <v>0</v>
      </c>
      <c r="K3645">
        <f>_xlfn.XLOOKUP($A3645,Load!$B:$B,Load!L:L,0,)</f>
        <v>0</v>
      </c>
      <c r="L3645">
        <f>_xlfn.XLOOKUP($A3645,Load!$B:$B,Load!M:M,0,)</f>
        <v>0</v>
      </c>
    </row>
    <row r="3646" spans="1:12" x14ac:dyDescent="0.25">
      <c r="B3646">
        <f>_xlfn.XLOOKUP($A3646,Load!$B:$B,Load!C:C,0,)</f>
        <v>0</v>
      </c>
      <c r="C3646">
        <f>_xlfn.XLOOKUP($A3646,Load!$B:$B,Load!D:D,0,)</f>
        <v>0</v>
      </c>
      <c r="D3646">
        <f>_xlfn.XLOOKUP($A3646,Load!$B:$B,Load!E:E,0,)</f>
        <v>0</v>
      </c>
      <c r="E3646">
        <f>_xlfn.XLOOKUP($A3646,Load!$B:$B,Load!F:F,0,)</f>
        <v>0</v>
      </c>
      <c r="F3646">
        <f>_xlfn.XLOOKUP($A3646,Load!$B:$B,Load!G:G,0,)</f>
        <v>0</v>
      </c>
      <c r="G3646">
        <f>_xlfn.XLOOKUP($A3646,Load!$B:$B,Load!H:H,0,)</f>
        <v>0</v>
      </c>
      <c r="H3646">
        <f>_xlfn.XLOOKUP($A3646,Load!$B:$B,Load!I:I,0,)</f>
        <v>0</v>
      </c>
      <c r="I3646">
        <f>_xlfn.XLOOKUP($A3646,Load!$B:$B,Load!J:J,0,)</f>
        <v>0</v>
      </c>
      <c r="J3646">
        <f>_xlfn.XLOOKUP($A3646,Load!$B:$B,Load!K:K,0,)</f>
        <v>0</v>
      </c>
      <c r="K3646">
        <f>_xlfn.XLOOKUP($A3646,Load!$B:$B,Load!L:L,0,)</f>
        <v>0</v>
      </c>
      <c r="L3646">
        <f>_xlfn.XLOOKUP($A3646,Load!$B:$B,Load!M:M,0,)</f>
        <v>0</v>
      </c>
    </row>
    <row r="3647" spans="1:12" x14ac:dyDescent="0.25">
      <c r="B3647">
        <f>_xlfn.XLOOKUP($A3647,Load!$B:$B,Load!C:C,0,)</f>
        <v>0</v>
      </c>
      <c r="C3647">
        <f>_xlfn.XLOOKUP($A3647,Load!$B:$B,Load!D:D,0,)</f>
        <v>0</v>
      </c>
      <c r="D3647">
        <f>_xlfn.XLOOKUP($A3647,Load!$B:$B,Load!E:E,0,)</f>
        <v>0</v>
      </c>
      <c r="E3647">
        <f>_xlfn.XLOOKUP($A3647,Load!$B:$B,Load!F:F,0,)</f>
        <v>0</v>
      </c>
      <c r="F3647">
        <f>_xlfn.XLOOKUP($A3647,Load!$B:$B,Load!G:G,0,)</f>
        <v>0</v>
      </c>
      <c r="G3647">
        <f>_xlfn.XLOOKUP($A3647,Load!$B:$B,Load!H:H,0,)</f>
        <v>0</v>
      </c>
      <c r="H3647">
        <f>_xlfn.XLOOKUP($A3647,Load!$B:$B,Load!I:I,0,)</f>
        <v>0</v>
      </c>
      <c r="I3647">
        <f>_xlfn.XLOOKUP($A3647,Load!$B:$B,Load!J:J,0,)</f>
        <v>0</v>
      </c>
      <c r="J3647">
        <f>_xlfn.XLOOKUP($A3647,Load!$B:$B,Load!K:K,0,)</f>
        <v>0</v>
      </c>
      <c r="K3647">
        <f>_xlfn.XLOOKUP($A3647,Load!$B:$B,Load!L:L,0,)</f>
        <v>0</v>
      </c>
      <c r="L3647">
        <f>_xlfn.XLOOKUP($A3647,Load!$B:$B,Load!M:M,0,)</f>
        <v>0</v>
      </c>
    </row>
    <row r="3648" spans="1:12" x14ac:dyDescent="0.25">
      <c r="A3648" t="s">
        <v>261</v>
      </c>
      <c r="B3648" t="str">
        <f>_xlfn.XLOOKUP($A3648,Load!$B:$B,Load!C:C,0,)</f>
        <v>Skittles</v>
      </c>
      <c r="C3648" t="str">
        <f>_xlfn.XLOOKUP($A3648,Load!$B:$B,Load!D:D,0,)</f>
        <v>Non-Chocolate Candy Only</v>
      </c>
      <c r="D3648" t="str">
        <f>_xlfn.XLOOKUP($A3648,Load!$B:$B,Load!E:E,0,)</f>
        <v>Fruit Flavor (Cherry, Grape, Apple, Citrus, Tropical Fruit)</v>
      </c>
      <c r="E3648" t="str">
        <f>_xlfn.XLOOKUP($A3648,Load!$B:$B,Load!F:F,0,)</f>
        <v>Candy Pieces / Bites</v>
      </c>
      <c r="F3648" t="str">
        <f>_xlfn.XLOOKUP($A3648,Load!$B:$B,Load!G:G,0,)</f>
        <v>Single Pack</v>
      </c>
      <c r="G3648" t="str">
        <f>_xlfn.XLOOKUP($A3648,Load!$B:$B,Load!H:H,0,)</f>
        <v>Laydown Bag</v>
      </c>
      <c r="H3648" t="str">
        <f>_xlfn.XLOOKUP($A3648,Load!$B:$B,Load!I:I,0,)</f>
        <v>Everyday Candy Shapes (like Original, Gummy bear, Fruit, Jewels, etc.)</v>
      </c>
      <c r="I3648" t="str">
        <f>_xlfn.XLOOKUP($A3648,Load!$B:$B,Load!J:J,0,)</f>
        <v>Everyday Graphics</v>
      </c>
      <c r="J3648" t="str">
        <f>_xlfn.XLOOKUP($A3648,Load!$B:$B,Load!K:K,0,)</f>
        <v>Small Pieces (Tiny bite size candies)</v>
      </c>
      <c r="K3648" t="str">
        <f>_xlfn.XLOOKUP($A3648,Load!$B:$B,Load!L:L,0,)</f>
        <v>Unwrapped</v>
      </c>
      <c r="L3648" t="str">
        <f>_xlfn.XLOOKUP($A3648,Load!$B:$B,Load!M:M,0,)</f>
        <v>Single Brand / Single Flavor or Form</v>
      </c>
    </row>
    <row r="3649" spans="1:12" x14ac:dyDescent="0.25">
      <c r="B3649">
        <f>_xlfn.XLOOKUP($A3649,Load!$B:$B,Load!C:C,0,)</f>
        <v>0</v>
      </c>
      <c r="C3649">
        <f>_xlfn.XLOOKUP($A3649,Load!$B:$B,Load!D:D,0,)</f>
        <v>0</v>
      </c>
      <c r="D3649">
        <f>_xlfn.XLOOKUP($A3649,Load!$B:$B,Load!E:E,0,)</f>
        <v>0</v>
      </c>
      <c r="E3649">
        <f>_xlfn.XLOOKUP($A3649,Load!$B:$B,Load!F:F,0,)</f>
        <v>0</v>
      </c>
      <c r="F3649">
        <f>_xlfn.XLOOKUP($A3649,Load!$B:$B,Load!G:G,0,)</f>
        <v>0</v>
      </c>
      <c r="G3649">
        <f>_xlfn.XLOOKUP($A3649,Load!$B:$B,Load!H:H,0,)</f>
        <v>0</v>
      </c>
      <c r="H3649">
        <f>_xlfn.XLOOKUP($A3649,Load!$B:$B,Load!I:I,0,)</f>
        <v>0</v>
      </c>
      <c r="I3649">
        <f>_xlfn.XLOOKUP($A3649,Load!$B:$B,Load!J:J,0,)</f>
        <v>0</v>
      </c>
      <c r="J3649">
        <f>_xlfn.XLOOKUP($A3649,Load!$B:$B,Load!K:K,0,)</f>
        <v>0</v>
      </c>
      <c r="K3649">
        <f>_xlfn.XLOOKUP($A3649,Load!$B:$B,Load!L:L,0,)</f>
        <v>0</v>
      </c>
      <c r="L3649">
        <f>_xlfn.XLOOKUP($A3649,Load!$B:$B,Load!M:M,0,)</f>
        <v>0</v>
      </c>
    </row>
    <row r="3650" spans="1:12" x14ac:dyDescent="0.25">
      <c r="B3650">
        <f>_xlfn.XLOOKUP($A3650,Load!$B:$B,Load!C:C,0,)</f>
        <v>0</v>
      </c>
      <c r="C3650">
        <f>_xlfn.XLOOKUP($A3650,Load!$B:$B,Load!D:D,0,)</f>
        <v>0</v>
      </c>
      <c r="D3650">
        <f>_xlfn.XLOOKUP($A3650,Load!$B:$B,Load!E:E,0,)</f>
        <v>0</v>
      </c>
      <c r="E3650">
        <f>_xlfn.XLOOKUP($A3650,Load!$B:$B,Load!F:F,0,)</f>
        <v>0</v>
      </c>
      <c r="F3650">
        <f>_xlfn.XLOOKUP($A3650,Load!$B:$B,Load!G:G,0,)</f>
        <v>0</v>
      </c>
      <c r="G3650">
        <f>_xlfn.XLOOKUP($A3650,Load!$B:$B,Load!H:H,0,)</f>
        <v>0</v>
      </c>
      <c r="H3650">
        <f>_xlfn.XLOOKUP($A3650,Load!$B:$B,Load!I:I,0,)</f>
        <v>0</v>
      </c>
      <c r="I3650">
        <f>_xlfn.XLOOKUP($A3650,Load!$B:$B,Load!J:J,0,)</f>
        <v>0</v>
      </c>
      <c r="J3650">
        <f>_xlfn.XLOOKUP($A3650,Load!$B:$B,Load!K:K,0,)</f>
        <v>0</v>
      </c>
      <c r="K3650">
        <f>_xlfn.XLOOKUP($A3650,Load!$B:$B,Load!L:L,0,)</f>
        <v>0</v>
      </c>
      <c r="L3650">
        <f>_xlfn.XLOOKUP($A3650,Load!$B:$B,Load!M:M,0,)</f>
        <v>0</v>
      </c>
    </row>
    <row r="3651" spans="1:12" x14ac:dyDescent="0.25">
      <c r="B3651">
        <f>_xlfn.XLOOKUP($A3651,Load!$B:$B,Load!C:C,0,)</f>
        <v>0</v>
      </c>
      <c r="C3651">
        <f>_xlfn.XLOOKUP($A3651,Load!$B:$B,Load!D:D,0,)</f>
        <v>0</v>
      </c>
      <c r="D3651">
        <f>_xlfn.XLOOKUP($A3651,Load!$B:$B,Load!E:E,0,)</f>
        <v>0</v>
      </c>
      <c r="E3651">
        <f>_xlfn.XLOOKUP($A3651,Load!$B:$B,Load!F:F,0,)</f>
        <v>0</v>
      </c>
      <c r="F3651">
        <f>_xlfn.XLOOKUP($A3651,Load!$B:$B,Load!G:G,0,)</f>
        <v>0</v>
      </c>
      <c r="G3651">
        <f>_xlfn.XLOOKUP($A3651,Load!$B:$B,Load!H:H,0,)</f>
        <v>0</v>
      </c>
      <c r="H3651">
        <f>_xlfn.XLOOKUP($A3651,Load!$B:$B,Load!I:I,0,)</f>
        <v>0</v>
      </c>
      <c r="I3651">
        <f>_xlfn.XLOOKUP($A3651,Load!$B:$B,Load!J:J,0,)</f>
        <v>0</v>
      </c>
      <c r="J3651">
        <f>_xlfn.XLOOKUP($A3651,Load!$B:$B,Load!K:K,0,)</f>
        <v>0</v>
      </c>
      <c r="K3651">
        <f>_xlfn.XLOOKUP($A3651,Load!$B:$B,Load!L:L,0,)</f>
        <v>0</v>
      </c>
      <c r="L3651">
        <f>_xlfn.XLOOKUP($A3651,Load!$B:$B,Load!M:M,0,)</f>
        <v>0</v>
      </c>
    </row>
    <row r="3652" spans="1:12" x14ac:dyDescent="0.25">
      <c r="B3652">
        <f>_xlfn.XLOOKUP($A3652,Load!$B:$B,Load!C:C,0,)</f>
        <v>0</v>
      </c>
      <c r="C3652">
        <f>_xlfn.XLOOKUP($A3652,Load!$B:$B,Load!D:D,0,)</f>
        <v>0</v>
      </c>
      <c r="D3652">
        <f>_xlfn.XLOOKUP($A3652,Load!$B:$B,Load!E:E,0,)</f>
        <v>0</v>
      </c>
      <c r="E3652">
        <f>_xlfn.XLOOKUP($A3652,Load!$B:$B,Load!F:F,0,)</f>
        <v>0</v>
      </c>
      <c r="F3652">
        <f>_xlfn.XLOOKUP($A3652,Load!$B:$B,Load!G:G,0,)</f>
        <v>0</v>
      </c>
      <c r="G3652">
        <f>_xlfn.XLOOKUP($A3652,Load!$B:$B,Load!H:H,0,)</f>
        <v>0</v>
      </c>
      <c r="H3652">
        <f>_xlfn.XLOOKUP($A3652,Load!$B:$B,Load!I:I,0,)</f>
        <v>0</v>
      </c>
      <c r="I3652">
        <f>_xlfn.XLOOKUP($A3652,Load!$B:$B,Load!J:J,0,)</f>
        <v>0</v>
      </c>
      <c r="J3652">
        <f>_xlfn.XLOOKUP($A3652,Load!$B:$B,Load!K:K,0,)</f>
        <v>0</v>
      </c>
      <c r="K3652">
        <f>_xlfn.XLOOKUP($A3652,Load!$B:$B,Load!L:L,0,)</f>
        <v>0</v>
      </c>
      <c r="L3652">
        <f>_xlfn.XLOOKUP($A3652,Load!$B:$B,Load!M:M,0,)</f>
        <v>0</v>
      </c>
    </row>
    <row r="3653" spans="1:12" x14ac:dyDescent="0.25">
      <c r="B3653">
        <f>_xlfn.XLOOKUP($A3653,Load!$B:$B,Load!C:C,0,)</f>
        <v>0</v>
      </c>
      <c r="C3653">
        <f>_xlfn.XLOOKUP($A3653,Load!$B:$B,Load!D:D,0,)</f>
        <v>0</v>
      </c>
      <c r="D3653">
        <f>_xlfn.XLOOKUP($A3653,Load!$B:$B,Load!E:E,0,)</f>
        <v>0</v>
      </c>
      <c r="E3653">
        <f>_xlfn.XLOOKUP($A3653,Load!$B:$B,Load!F:F,0,)</f>
        <v>0</v>
      </c>
      <c r="F3653">
        <f>_xlfn.XLOOKUP($A3653,Load!$B:$B,Load!G:G,0,)</f>
        <v>0</v>
      </c>
      <c r="G3653">
        <f>_xlfn.XLOOKUP($A3653,Load!$B:$B,Load!H:H,0,)</f>
        <v>0</v>
      </c>
      <c r="H3653">
        <f>_xlfn.XLOOKUP($A3653,Load!$B:$B,Load!I:I,0,)</f>
        <v>0</v>
      </c>
      <c r="I3653">
        <f>_xlfn.XLOOKUP($A3653,Load!$B:$B,Load!J:J,0,)</f>
        <v>0</v>
      </c>
      <c r="J3653">
        <f>_xlfn.XLOOKUP($A3653,Load!$B:$B,Load!K:K,0,)</f>
        <v>0</v>
      </c>
      <c r="K3653">
        <f>_xlfn.XLOOKUP($A3653,Load!$B:$B,Load!L:L,0,)</f>
        <v>0</v>
      </c>
      <c r="L3653">
        <f>_xlfn.XLOOKUP($A3653,Load!$B:$B,Load!M:M,0,)</f>
        <v>0</v>
      </c>
    </row>
    <row r="3654" spans="1:12" x14ac:dyDescent="0.25">
      <c r="B3654">
        <f>_xlfn.XLOOKUP($A3654,Load!$B:$B,Load!C:C,0,)</f>
        <v>0</v>
      </c>
      <c r="C3654">
        <f>_xlfn.XLOOKUP($A3654,Load!$B:$B,Load!D:D,0,)</f>
        <v>0</v>
      </c>
      <c r="D3654">
        <f>_xlfn.XLOOKUP($A3654,Load!$B:$B,Load!E:E,0,)</f>
        <v>0</v>
      </c>
      <c r="E3654">
        <f>_xlfn.XLOOKUP($A3654,Load!$B:$B,Load!F:F,0,)</f>
        <v>0</v>
      </c>
      <c r="F3654">
        <f>_xlfn.XLOOKUP($A3654,Load!$B:$B,Load!G:G,0,)</f>
        <v>0</v>
      </c>
      <c r="G3654">
        <f>_xlfn.XLOOKUP($A3654,Load!$B:$B,Load!H:H,0,)</f>
        <v>0</v>
      </c>
      <c r="H3654">
        <f>_xlfn.XLOOKUP($A3654,Load!$B:$B,Load!I:I,0,)</f>
        <v>0</v>
      </c>
      <c r="I3654">
        <f>_xlfn.XLOOKUP($A3654,Load!$B:$B,Load!J:J,0,)</f>
        <v>0</v>
      </c>
      <c r="J3654">
        <f>_xlfn.XLOOKUP($A3654,Load!$B:$B,Load!K:K,0,)</f>
        <v>0</v>
      </c>
      <c r="K3654">
        <f>_xlfn.XLOOKUP($A3654,Load!$B:$B,Load!L:L,0,)</f>
        <v>0</v>
      </c>
      <c r="L3654">
        <f>_xlfn.XLOOKUP($A3654,Load!$B:$B,Load!M:M,0,)</f>
        <v>0</v>
      </c>
    </row>
    <row r="3655" spans="1:12" x14ac:dyDescent="0.25">
      <c r="B3655">
        <f>_xlfn.XLOOKUP($A3655,Load!$B:$B,Load!C:C,0,)</f>
        <v>0</v>
      </c>
      <c r="C3655">
        <f>_xlfn.XLOOKUP($A3655,Load!$B:$B,Load!D:D,0,)</f>
        <v>0</v>
      </c>
      <c r="D3655">
        <f>_xlfn.XLOOKUP($A3655,Load!$B:$B,Load!E:E,0,)</f>
        <v>0</v>
      </c>
      <c r="E3655">
        <f>_xlfn.XLOOKUP($A3655,Load!$B:$B,Load!F:F,0,)</f>
        <v>0</v>
      </c>
      <c r="F3655">
        <f>_xlfn.XLOOKUP($A3655,Load!$B:$B,Load!G:G,0,)</f>
        <v>0</v>
      </c>
      <c r="G3655">
        <f>_xlfn.XLOOKUP($A3655,Load!$B:$B,Load!H:H,0,)</f>
        <v>0</v>
      </c>
      <c r="H3655">
        <f>_xlfn.XLOOKUP($A3655,Load!$B:$B,Load!I:I,0,)</f>
        <v>0</v>
      </c>
      <c r="I3655">
        <f>_xlfn.XLOOKUP($A3655,Load!$B:$B,Load!J:J,0,)</f>
        <v>0</v>
      </c>
      <c r="J3655">
        <f>_xlfn.XLOOKUP($A3655,Load!$B:$B,Load!K:K,0,)</f>
        <v>0</v>
      </c>
      <c r="K3655">
        <f>_xlfn.XLOOKUP($A3655,Load!$B:$B,Load!L:L,0,)</f>
        <v>0</v>
      </c>
      <c r="L3655">
        <f>_xlfn.XLOOKUP($A3655,Load!$B:$B,Load!M:M,0,)</f>
        <v>0</v>
      </c>
    </row>
    <row r="3656" spans="1:12" x14ac:dyDescent="0.25">
      <c r="B3656">
        <f>_xlfn.XLOOKUP($A3656,Load!$B:$B,Load!C:C,0,)</f>
        <v>0</v>
      </c>
      <c r="C3656">
        <f>_xlfn.XLOOKUP($A3656,Load!$B:$B,Load!D:D,0,)</f>
        <v>0</v>
      </c>
      <c r="D3656">
        <f>_xlfn.XLOOKUP($A3656,Load!$B:$B,Load!E:E,0,)</f>
        <v>0</v>
      </c>
      <c r="E3656">
        <f>_xlfn.XLOOKUP($A3656,Load!$B:$B,Load!F:F,0,)</f>
        <v>0</v>
      </c>
      <c r="F3656">
        <f>_xlfn.XLOOKUP($A3656,Load!$B:$B,Load!G:G,0,)</f>
        <v>0</v>
      </c>
      <c r="G3656">
        <f>_xlfn.XLOOKUP($A3656,Load!$B:$B,Load!H:H,0,)</f>
        <v>0</v>
      </c>
      <c r="H3656">
        <f>_xlfn.XLOOKUP($A3656,Load!$B:$B,Load!I:I,0,)</f>
        <v>0</v>
      </c>
      <c r="I3656">
        <f>_xlfn.XLOOKUP($A3656,Load!$B:$B,Load!J:J,0,)</f>
        <v>0</v>
      </c>
      <c r="J3656">
        <f>_xlfn.XLOOKUP($A3656,Load!$B:$B,Load!K:K,0,)</f>
        <v>0</v>
      </c>
      <c r="K3656">
        <f>_xlfn.XLOOKUP($A3656,Load!$B:$B,Load!L:L,0,)</f>
        <v>0</v>
      </c>
      <c r="L3656">
        <f>_xlfn.XLOOKUP($A3656,Load!$B:$B,Load!M:M,0,)</f>
        <v>0</v>
      </c>
    </row>
    <row r="3657" spans="1:12" x14ac:dyDescent="0.25">
      <c r="B3657">
        <f>_xlfn.XLOOKUP($A3657,Load!$B:$B,Load!C:C,0,)</f>
        <v>0</v>
      </c>
      <c r="C3657">
        <f>_xlfn.XLOOKUP($A3657,Load!$B:$B,Load!D:D,0,)</f>
        <v>0</v>
      </c>
      <c r="D3657">
        <f>_xlfn.XLOOKUP($A3657,Load!$B:$B,Load!E:E,0,)</f>
        <v>0</v>
      </c>
      <c r="E3657">
        <f>_xlfn.XLOOKUP($A3657,Load!$B:$B,Load!F:F,0,)</f>
        <v>0</v>
      </c>
      <c r="F3657">
        <f>_xlfn.XLOOKUP($A3657,Load!$B:$B,Load!G:G,0,)</f>
        <v>0</v>
      </c>
      <c r="G3657">
        <f>_xlfn.XLOOKUP($A3657,Load!$B:$B,Load!H:H,0,)</f>
        <v>0</v>
      </c>
      <c r="H3657">
        <f>_xlfn.XLOOKUP($A3657,Load!$B:$B,Load!I:I,0,)</f>
        <v>0</v>
      </c>
      <c r="I3657">
        <f>_xlfn.XLOOKUP($A3657,Load!$B:$B,Load!J:J,0,)</f>
        <v>0</v>
      </c>
      <c r="J3657">
        <f>_xlfn.XLOOKUP($A3657,Load!$B:$B,Load!K:K,0,)</f>
        <v>0</v>
      </c>
      <c r="K3657">
        <f>_xlfn.XLOOKUP($A3657,Load!$B:$B,Load!L:L,0,)</f>
        <v>0</v>
      </c>
      <c r="L3657">
        <f>_xlfn.XLOOKUP($A3657,Load!$B:$B,Load!M:M,0,)</f>
        <v>0</v>
      </c>
    </row>
    <row r="3658" spans="1:12" x14ac:dyDescent="0.25">
      <c r="A3658" t="s">
        <v>171</v>
      </c>
      <c r="B3658" t="str">
        <f>_xlfn.XLOOKUP($A3658,Load!$B:$B,Load!C:C,0,)</f>
        <v>Mamba</v>
      </c>
      <c r="C3658" t="str">
        <f>_xlfn.XLOOKUP($A3658,Load!$B:$B,Load!D:D,0,)</f>
        <v>Non-Chocolate Candy Only</v>
      </c>
      <c r="D3658" t="str">
        <f>_xlfn.XLOOKUP($A3658,Load!$B:$B,Load!E:E,0,)</f>
        <v>Fruit Flavor (Cherry, Grape, Apple, Citrus, Tropical Fruit)</v>
      </c>
      <c r="E3658" t="str">
        <f>_xlfn.XLOOKUP($A3658,Load!$B:$B,Load!F:F,0,)</f>
        <v>Chewy</v>
      </c>
      <c r="F3658" t="str">
        <f>_xlfn.XLOOKUP($A3658,Load!$B:$B,Load!G:G,0,)</f>
        <v>Large Multipack (More than 80 ct)</v>
      </c>
      <c r="G3658" t="str">
        <f>_xlfn.XLOOKUP($A3658,Load!$B:$B,Load!H:H,0,)</f>
        <v>Stand-Up Bag</v>
      </c>
      <c r="H3658" t="str">
        <f>_xlfn.XLOOKUP($A3658,Load!$B:$B,Load!I:I,0,)</f>
        <v>Seasonal Shapes (like pumpkins, candy corn, ghost, bats, etc.)</v>
      </c>
      <c r="I3658" t="str">
        <f>_xlfn.XLOOKUP($A3658,Load!$B:$B,Load!J:J,0,)</f>
        <v>Seasonal Graphics (Like Bat, Ghost, Pumpkin, Fall Leaves, Eyeballs, etc.)</v>
      </c>
      <c r="J3658" t="str">
        <f>_xlfn.XLOOKUP($A3658,Load!$B:$B,Load!K:K,0,)</f>
        <v>Fun Size / Treat Size</v>
      </c>
      <c r="K3658" t="str">
        <f>_xlfn.XLOOKUP($A3658,Load!$B:$B,Load!L:L,0,)</f>
        <v>Regular/Original Wrapping</v>
      </c>
      <c r="L3658" t="str">
        <f>_xlfn.XLOOKUP($A3658,Load!$B:$B,Load!M:M,0,)</f>
        <v>Single Brand / Variety Flavors or Form</v>
      </c>
    </row>
    <row r="3659" spans="1:12" x14ac:dyDescent="0.25">
      <c r="B3659">
        <f>_xlfn.XLOOKUP($A3659,Load!$B:$B,Load!C:C,0,)</f>
        <v>0</v>
      </c>
      <c r="C3659">
        <f>_xlfn.XLOOKUP($A3659,Load!$B:$B,Load!D:D,0,)</f>
        <v>0</v>
      </c>
      <c r="D3659">
        <f>_xlfn.XLOOKUP($A3659,Load!$B:$B,Load!E:E,0,)</f>
        <v>0</v>
      </c>
      <c r="E3659">
        <f>_xlfn.XLOOKUP($A3659,Load!$B:$B,Load!F:F,0,)</f>
        <v>0</v>
      </c>
      <c r="F3659">
        <f>_xlfn.XLOOKUP($A3659,Load!$B:$B,Load!G:G,0,)</f>
        <v>0</v>
      </c>
      <c r="G3659">
        <f>_xlfn.XLOOKUP($A3659,Load!$B:$B,Load!H:H,0,)</f>
        <v>0</v>
      </c>
      <c r="H3659">
        <f>_xlfn.XLOOKUP($A3659,Load!$B:$B,Load!I:I,0,)</f>
        <v>0</v>
      </c>
      <c r="I3659">
        <f>_xlfn.XLOOKUP($A3659,Load!$B:$B,Load!J:J,0,)</f>
        <v>0</v>
      </c>
      <c r="J3659">
        <f>_xlfn.XLOOKUP($A3659,Load!$B:$B,Load!K:K,0,)</f>
        <v>0</v>
      </c>
      <c r="K3659">
        <f>_xlfn.XLOOKUP($A3659,Load!$B:$B,Load!L:L,0,)</f>
        <v>0</v>
      </c>
      <c r="L3659">
        <f>_xlfn.XLOOKUP($A3659,Load!$B:$B,Load!M:M,0,)</f>
        <v>0</v>
      </c>
    </row>
    <row r="3660" spans="1:12" x14ac:dyDescent="0.25">
      <c r="B3660">
        <f>_xlfn.XLOOKUP($A3660,Load!$B:$B,Load!C:C,0,)</f>
        <v>0</v>
      </c>
      <c r="C3660">
        <f>_xlfn.XLOOKUP($A3660,Load!$B:$B,Load!D:D,0,)</f>
        <v>0</v>
      </c>
      <c r="D3660">
        <f>_xlfn.XLOOKUP($A3660,Load!$B:$B,Load!E:E,0,)</f>
        <v>0</v>
      </c>
      <c r="E3660">
        <f>_xlfn.XLOOKUP($A3660,Load!$B:$B,Load!F:F,0,)</f>
        <v>0</v>
      </c>
      <c r="F3660">
        <f>_xlfn.XLOOKUP($A3660,Load!$B:$B,Load!G:G,0,)</f>
        <v>0</v>
      </c>
      <c r="G3660">
        <f>_xlfn.XLOOKUP($A3660,Load!$B:$B,Load!H:H,0,)</f>
        <v>0</v>
      </c>
      <c r="H3660">
        <f>_xlfn.XLOOKUP($A3660,Load!$B:$B,Load!I:I,0,)</f>
        <v>0</v>
      </c>
      <c r="I3660">
        <f>_xlfn.XLOOKUP($A3660,Load!$B:$B,Load!J:J,0,)</f>
        <v>0</v>
      </c>
      <c r="J3660">
        <f>_xlfn.XLOOKUP($A3660,Load!$B:$B,Load!K:K,0,)</f>
        <v>0</v>
      </c>
      <c r="K3660">
        <f>_xlfn.XLOOKUP($A3660,Load!$B:$B,Load!L:L,0,)</f>
        <v>0</v>
      </c>
      <c r="L3660">
        <f>_xlfn.XLOOKUP($A3660,Load!$B:$B,Load!M:M,0,)</f>
        <v>0</v>
      </c>
    </row>
    <row r="3661" spans="1:12" x14ac:dyDescent="0.25">
      <c r="B3661">
        <f>_xlfn.XLOOKUP($A3661,Load!$B:$B,Load!C:C,0,)</f>
        <v>0</v>
      </c>
      <c r="C3661">
        <f>_xlfn.XLOOKUP($A3661,Load!$B:$B,Load!D:D,0,)</f>
        <v>0</v>
      </c>
      <c r="D3661">
        <f>_xlfn.XLOOKUP($A3661,Load!$B:$B,Load!E:E,0,)</f>
        <v>0</v>
      </c>
      <c r="E3661">
        <f>_xlfn.XLOOKUP($A3661,Load!$B:$B,Load!F:F,0,)</f>
        <v>0</v>
      </c>
      <c r="F3661">
        <f>_xlfn.XLOOKUP($A3661,Load!$B:$B,Load!G:G,0,)</f>
        <v>0</v>
      </c>
      <c r="G3661">
        <f>_xlfn.XLOOKUP($A3661,Load!$B:$B,Load!H:H,0,)</f>
        <v>0</v>
      </c>
      <c r="H3661">
        <f>_xlfn.XLOOKUP($A3661,Load!$B:$B,Load!I:I,0,)</f>
        <v>0</v>
      </c>
      <c r="I3661">
        <f>_xlfn.XLOOKUP($A3661,Load!$B:$B,Load!J:J,0,)</f>
        <v>0</v>
      </c>
      <c r="J3661">
        <f>_xlfn.XLOOKUP($A3661,Load!$B:$B,Load!K:K,0,)</f>
        <v>0</v>
      </c>
      <c r="K3661">
        <f>_xlfn.XLOOKUP($A3661,Load!$B:$B,Load!L:L,0,)</f>
        <v>0</v>
      </c>
      <c r="L3661">
        <f>_xlfn.XLOOKUP($A3661,Load!$B:$B,Load!M:M,0,)</f>
        <v>0</v>
      </c>
    </row>
    <row r="3662" spans="1:12" x14ac:dyDescent="0.25">
      <c r="B3662">
        <f>_xlfn.XLOOKUP($A3662,Load!$B:$B,Load!C:C,0,)</f>
        <v>0</v>
      </c>
      <c r="C3662">
        <f>_xlfn.XLOOKUP($A3662,Load!$B:$B,Load!D:D,0,)</f>
        <v>0</v>
      </c>
      <c r="D3662">
        <f>_xlfn.XLOOKUP($A3662,Load!$B:$B,Load!E:E,0,)</f>
        <v>0</v>
      </c>
      <c r="E3662">
        <f>_xlfn.XLOOKUP($A3662,Load!$B:$B,Load!F:F,0,)</f>
        <v>0</v>
      </c>
      <c r="F3662">
        <f>_xlfn.XLOOKUP($A3662,Load!$B:$B,Load!G:G,0,)</f>
        <v>0</v>
      </c>
      <c r="G3662">
        <f>_xlfn.XLOOKUP($A3662,Load!$B:$B,Load!H:H,0,)</f>
        <v>0</v>
      </c>
      <c r="H3662">
        <f>_xlfn.XLOOKUP($A3662,Load!$B:$B,Load!I:I,0,)</f>
        <v>0</v>
      </c>
      <c r="I3662">
        <f>_xlfn.XLOOKUP($A3662,Load!$B:$B,Load!J:J,0,)</f>
        <v>0</v>
      </c>
      <c r="J3662">
        <f>_xlfn.XLOOKUP($A3662,Load!$B:$B,Load!K:K,0,)</f>
        <v>0</v>
      </c>
      <c r="K3662">
        <f>_xlfn.XLOOKUP($A3662,Load!$B:$B,Load!L:L,0,)</f>
        <v>0</v>
      </c>
      <c r="L3662">
        <f>_xlfn.XLOOKUP($A3662,Load!$B:$B,Load!M:M,0,)</f>
        <v>0</v>
      </c>
    </row>
    <row r="3663" spans="1:12" x14ac:dyDescent="0.25">
      <c r="B3663">
        <f>_xlfn.XLOOKUP($A3663,Load!$B:$B,Load!C:C,0,)</f>
        <v>0</v>
      </c>
      <c r="C3663">
        <f>_xlfn.XLOOKUP($A3663,Load!$B:$B,Load!D:D,0,)</f>
        <v>0</v>
      </c>
      <c r="D3663">
        <f>_xlfn.XLOOKUP($A3663,Load!$B:$B,Load!E:E,0,)</f>
        <v>0</v>
      </c>
      <c r="E3663">
        <f>_xlfn.XLOOKUP($A3663,Load!$B:$B,Load!F:F,0,)</f>
        <v>0</v>
      </c>
      <c r="F3663">
        <f>_xlfn.XLOOKUP($A3663,Load!$B:$B,Load!G:G,0,)</f>
        <v>0</v>
      </c>
      <c r="G3663">
        <f>_xlfn.XLOOKUP($A3663,Load!$B:$B,Load!H:H,0,)</f>
        <v>0</v>
      </c>
      <c r="H3663">
        <f>_xlfn.XLOOKUP($A3663,Load!$B:$B,Load!I:I,0,)</f>
        <v>0</v>
      </c>
      <c r="I3663">
        <f>_xlfn.XLOOKUP($A3663,Load!$B:$B,Load!J:J,0,)</f>
        <v>0</v>
      </c>
      <c r="J3663">
        <f>_xlfn.XLOOKUP($A3663,Load!$B:$B,Load!K:K,0,)</f>
        <v>0</v>
      </c>
      <c r="K3663">
        <f>_xlfn.XLOOKUP($A3663,Load!$B:$B,Load!L:L,0,)</f>
        <v>0</v>
      </c>
      <c r="L3663">
        <f>_xlfn.XLOOKUP($A3663,Load!$B:$B,Load!M:M,0,)</f>
        <v>0</v>
      </c>
    </row>
    <row r="3664" spans="1:12" x14ac:dyDescent="0.25">
      <c r="B3664">
        <f>_xlfn.XLOOKUP($A3664,Load!$B:$B,Load!C:C,0,)</f>
        <v>0</v>
      </c>
      <c r="C3664">
        <f>_xlfn.XLOOKUP($A3664,Load!$B:$B,Load!D:D,0,)</f>
        <v>0</v>
      </c>
      <c r="D3664">
        <f>_xlfn.XLOOKUP($A3664,Load!$B:$B,Load!E:E,0,)</f>
        <v>0</v>
      </c>
      <c r="E3664">
        <f>_xlfn.XLOOKUP($A3664,Load!$B:$B,Load!F:F,0,)</f>
        <v>0</v>
      </c>
      <c r="F3664">
        <f>_xlfn.XLOOKUP($A3664,Load!$B:$B,Load!G:G,0,)</f>
        <v>0</v>
      </c>
      <c r="G3664">
        <f>_xlfn.XLOOKUP($A3664,Load!$B:$B,Load!H:H,0,)</f>
        <v>0</v>
      </c>
      <c r="H3664">
        <f>_xlfn.XLOOKUP($A3664,Load!$B:$B,Load!I:I,0,)</f>
        <v>0</v>
      </c>
      <c r="I3664">
        <f>_xlfn.XLOOKUP($A3664,Load!$B:$B,Load!J:J,0,)</f>
        <v>0</v>
      </c>
      <c r="J3664">
        <f>_xlfn.XLOOKUP($A3664,Load!$B:$B,Load!K:K,0,)</f>
        <v>0</v>
      </c>
      <c r="K3664">
        <f>_xlfn.XLOOKUP($A3664,Load!$B:$B,Load!L:L,0,)</f>
        <v>0</v>
      </c>
      <c r="L3664">
        <f>_xlfn.XLOOKUP($A3664,Load!$B:$B,Load!M:M,0,)</f>
        <v>0</v>
      </c>
    </row>
    <row r="3665" spans="1:12" x14ac:dyDescent="0.25">
      <c r="B3665">
        <f>_xlfn.XLOOKUP($A3665,Load!$B:$B,Load!C:C,0,)</f>
        <v>0</v>
      </c>
      <c r="C3665">
        <f>_xlfn.XLOOKUP($A3665,Load!$B:$B,Load!D:D,0,)</f>
        <v>0</v>
      </c>
      <c r="D3665">
        <f>_xlfn.XLOOKUP($A3665,Load!$B:$B,Load!E:E,0,)</f>
        <v>0</v>
      </c>
      <c r="E3665">
        <f>_xlfn.XLOOKUP($A3665,Load!$B:$B,Load!F:F,0,)</f>
        <v>0</v>
      </c>
      <c r="F3665">
        <f>_xlfn.XLOOKUP($A3665,Load!$B:$B,Load!G:G,0,)</f>
        <v>0</v>
      </c>
      <c r="G3665">
        <f>_xlfn.XLOOKUP($A3665,Load!$B:$B,Load!H:H,0,)</f>
        <v>0</v>
      </c>
      <c r="H3665">
        <f>_xlfn.XLOOKUP($A3665,Load!$B:$B,Load!I:I,0,)</f>
        <v>0</v>
      </c>
      <c r="I3665">
        <f>_xlfn.XLOOKUP($A3665,Load!$B:$B,Load!J:J,0,)</f>
        <v>0</v>
      </c>
      <c r="J3665">
        <f>_xlfn.XLOOKUP($A3665,Load!$B:$B,Load!K:K,0,)</f>
        <v>0</v>
      </c>
      <c r="K3665">
        <f>_xlfn.XLOOKUP($A3665,Load!$B:$B,Load!L:L,0,)</f>
        <v>0</v>
      </c>
      <c r="L3665">
        <f>_xlfn.XLOOKUP($A3665,Load!$B:$B,Load!M:M,0,)</f>
        <v>0</v>
      </c>
    </row>
    <row r="3666" spans="1:12" x14ac:dyDescent="0.25">
      <c r="B3666">
        <f>_xlfn.XLOOKUP($A3666,Load!$B:$B,Load!C:C,0,)</f>
        <v>0</v>
      </c>
      <c r="C3666">
        <f>_xlfn.XLOOKUP($A3666,Load!$B:$B,Load!D:D,0,)</f>
        <v>0</v>
      </c>
      <c r="D3666">
        <f>_xlfn.XLOOKUP($A3666,Load!$B:$B,Load!E:E,0,)</f>
        <v>0</v>
      </c>
      <c r="E3666">
        <f>_xlfn.XLOOKUP($A3666,Load!$B:$B,Load!F:F,0,)</f>
        <v>0</v>
      </c>
      <c r="F3666">
        <f>_xlfn.XLOOKUP($A3666,Load!$B:$B,Load!G:G,0,)</f>
        <v>0</v>
      </c>
      <c r="G3666">
        <f>_xlfn.XLOOKUP($A3666,Load!$B:$B,Load!H:H,0,)</f>
        <v>0</v>
      </c>
      <c r="H3666">
        <f>_xlfn.XLOOKUP($A3666,Load!$B:$B,Load!I:I,0,)</f>
        <v>0</v>
      </c>
      <c r="I3666">
        <f>_xlfn.XLOOKUP($A3666,Load!$B:$B,Load!J:J,0,)</f>
        <v>0</v>
      </c>
      <c r="J3666">
        <f>_xlfn.XLOOKUP($A3666,Load!$B:$B,Load!K:K,0,)</f>
        <v>0</v>
      </c>
      <c r="K3666">
        <f>_xlfn.XLOOKUP($A3666,Load!$B:$B,Load!L:L,0,)</f>
        <v>0</v>
      </c>
      <c r="L3666">
        <f>_xlfn.XLOOKUP($A3666,Load!$B:$B,Load!M:M,0,)</f>
        <v>0</v>
      </c>
    </row>
    <row r="3667" spans="1:12" x14ac:dyDescent="0.25">
      <c r="B3667">
        <f>_xlfn.XLOOKUP($A3667,Load!$B:$B,Load!C:C,0,)</f>
        <v>0</v>
      </c>
      <c r="C3667">
        <f>_xlfn.XLOOKUP($A3667,Load!$B:$B,Load!D:D,0,)</f>
        <v>0</v>
      </c>
      <c r="D3667">
        <f>_xlfn.XLOOKUP($A3667,Load!$B:$B,Load!E:E,0,)</f>
        <v>0</v>
      </c>
      <c r="E3667">
        <f>_xlfn.XLOOKUP($A3667,Load!$B:$B,Load!F:F,0,)</f>
        <v>0</v>
      </c>
      <c r="F3667">
        <f>_xlfn.XLOOKUP($A3667,Load!$B:$B,Load!G:G,0,)</f>
        <v>0</v>
      </c>
      <c r="G3667">
        <f>_xlfn.XLOOKUP($A3667,Load!$B:$B,Load!H:H,0,)</f>
        <v>0</v>
      </c>
      <c r="H3667">
        <f>_xlfn.XLOOKUP($A3667,Load!$B:$B,Load!I:I,0,)</f>
        <v>0</v>
      </c>
      <c r="I3667">
        <f>_xlfn.XLOOKUP($A3667,Load!$B:$B,Load!J:J,0,)</f>
        <v>0</v>
      </c>
      <c r="J3667">
        <f>_xlfn.XLOOKUP($A3667,Load!$B:$B,Load!K:K,0,)</f>
        <v>0</v>
      </c>
      <c r="K3667">
        <f>_xlfn.XLOOKUP($A3667,Load!$B:$B,Load!L:L,0,)</f>
        <v>0</v>
      </c>
      <c r="L3667">
        <f>_xlfn.XLOOKUP($A3667,Load!$B:$B,Load!M:M,0,)</f>
        <v>0</v>
      </c>
    </row>
    <row r="3668" spans="1:12" x14ac:dyDescent="0.25">
      <c r="B3668">
        <f>_xlfn.XLOOKUP($A3668,Load!$B:$B,Load!C:C,0,)</f>
        <v>0</v>
      </c>
      <c r="C3668">
        <f>_xlfn.XLOOKUP($A3668,Load!$B:$B,Load!D:D,0,)</f>
        <v>0</v>
      </c>
      <c r="D3668">
        <f>_xlfn.XLOOKUP($A3668,Load!$B:$B,Load!E:E,0,)</f>
        <v>0</v>
      </c>
      <c r="E3668">
        <f>_xlfn.XLOOKUP($A3668,Load!$B:$B,Load!F:F,0,)</f>
        <v>0</v>
      </c>
      <c r="F3668">
        <f>_xlfn.XLOOKUP($A3668,Load!$B:$B,Load!G:G,0,)</f>
        <v>0</v>
      </c>
      <c r="G3668">
        <f>_xlfn.XLOOKUP($A3668,Load!$B:$B,Load!H:H,0,)</f>
        <v>0</v>
      </c>
      <c r="H3668">
        <f>_xlfn.XLOOKUP($A3668,Load!$B:$B,Load!I:I,0,)</f>
        <v>0</v>
      </c>
      <c r="I3668">
        <f>_xlfn.XLOOKUP($A3668,Load!$B:$B,Load!J:J,0,)</f>
        <v>0</v>
      </c>
      <c r="J3668">
        <f>_xlfn.XLOOKUP($A3668,Load!$B:$B,Load!K:K,0,)</f>
        <v>0</v>
      </c>
      <c r="K3668">
        <f>_xlfn.XLOOKUP($A3668,Load!$B:$B,Load!L:L,0,)</f>
        <v>0</v>
      </c>
      <c r="L3668">
        <f>_xlfn.XLOOKUP($A3668,Load!$B:$B,Load!M:M,0,)</f>
        <v>0</v>
      </c>
    </row>
    <row r="3669" spans="1:12" x14ac:dyDescent="0.25">
      <c r="B3669">
        <f>_xlfn.XLOOKUP($A3669,Load!$B:$B,Load!C:C,0,)</f>
        <v>0</v>
      </c>
      <c r="C3669">
        <f>_xlfn.XLOOKUP($A3669,Load!$B:$B,Load!D:D,0,)</f>
        <v>0</v>
      </c>
      <c r="D3669">
        <f>_xlfn.XLOOKUP($A3669,Load!$B:$B,Load!E:E,0,)</f>
        <v>0</v>
      </c>
      <c r="E3669">
        <f>_xlfn.XLOOKUP($A3669,Load!$B:$B,Load!F:F,0,)</f>
        <v>0</v>
      </c>
      <c r="F3669">
        <f>_xlfn.XLOOKUP($A3669,Load!$B:$B,Load!G:G,0,)</f>
        <v>0</v>
      </c>
      <c r="G3669">
        <f>_xlfn.XLOOKUP($A3669,Load!$B:$B,Load!H:H,0,)</f>
        <v>0</v>
      </c>
      <c r="H3669">
        <f>_xlfn.XLOOKUP($A3669,Load!$B:$B,Load!I:I,0,)</f>
        <v>0</v>
      </c>
      <c r="I3669">
        <f>_xlfn.XLOOKUP($A3669,Load!$B:$B,Load!J:J,0,)</f>
        <v>0</v>
      </c>
      <c r="J3669">
        <f>_xlfn.XLOOKUP($A3669,Load!$B:$B,Load!K:K,0,)</f>
        <v>0</v>
      </c>
      <c r="K3669">
        <f>_xlfn.XLOOKUP($A3669,Load!$B:$B,Load!L:L,0,)</f>
        <v>0</v>
      </c>
      <c r="L3669">
        <f>_xlfn.XLOOKUP($A3669,Load!$B:$B,Load!M:M,0,)</f>
        <v>0</v>
      </c>
    </row>
    <row r="3670" spans="1:12" x14ac:dyDescent="0.25">
      <c r="A3670" t="s">
        <v>297</v>
      </c>
      <c r="B3670" t="str">
        <f>_xlfn.XLOOKUP($A3670,Load!$B:$B,Load!C:C,0,)</f>
        <v>Trolli</v>
      </c>
      <c r="C3670" t="str">
        <f>_xlfn.XLOOKUP($A3670,Load!$B:$B,Load!D:D,0,)</f>
        <v>Non-Chocolate Candy Only</v>
      </c>
      <c r="D3670" t="str">
        <f>_xlfn.XLOOKUP($A3670,Load!$B:$B,Load!E:E,0,)</f>
        <v>Sour</v>
      </c>
      <c r="E3670" t="str">
        <f>_xlfn.XLOOKUP($A3670,Load!$B:$B,Load!F:F,0,)</f>
        <v>Gummy</v>
      </c>
      <c r="F3670" t="str">
        <f>_xlfn.XLOOKUP($A3670,Load!$B:$B,Load!G:G,0,)</f>
        <v>Small Multipack (Less than 40 ct)</v>
      </c>
      <c r="G3670" t="str">
        <f>_xlfn.XLOOKUP($A3670,Load!$B:$B,Load!H:H,0,)</f>
        <v>Peg Bag</v>
      </c>
      <c r="H3670" t="str">
        <f>_xlfn.XLOOKUP($A3670,Load!$B:$B,Load!I:I,0,)</f>
        <v>Everyday Candy Shapes (like Original, Gummy bear, Fruit, Jewels, etc.)</v>
      </c>
      <c r="I3670" t="str">
        <f>_xlfn.XLOOKUP($A3670,Load!$B:$B,Load!J:J,0,)</f>
        <v>Everyday Graphics</v>
      </c>
      <c r="J3670" t="str">
        <f>_xlfn.XLOOKUP($A3670,Load!$B:$B,Load!K:K,0,)</f>
        <v>Fun Size / Treat Size</v>
      </c>
      <c r="K3670" t="str">
        <f>_xlfn.XLOOKUP($A3670,Load!$B:$B,Load!L:L,0,)</f>
        <v>Unwrapped</v>
      </c>
      <c r="L3670" t="str">
        <f>_xlfn.XLOOKUP($A3670,Load!$B:$B,Load!M:M,0,)</f>
        <v>Single Brand / Variety Flavors or Form</v>
      </c>
    </row>
    <row r="3671" spans="1:12" x14ac:dyDescent="0.25">
      <c r="B3671">
        <f>_xlfn.XLOOKUP($A3671,Load!$B:$B,Load!C:C,0,)</f>
        <v>0</v>
      </c>
      <c r="C3671">
        <f>_xlfn.XLOOKUP($A3671,Load!$B:$B,Load!D:D,0,)</f>
        <v>0</v>
      </c>
      <c r="D3671">
        <f>_xlfn.XLOOKUP($A3671,Load!$B:$B,Load!E:E,0,)</f>
        <v>0</v>
      </c>
      <c r="E3671">
        <f>_xlfn.XLOOKUP($A3671,Load!$B:$B,Load!F:F,0,)</f>
        <v>0</v>
      </c>
      <c r="F3671">
        <f>_xlfn.XLOOKUP($A3671,Load!$B:$B,Load!G:G,0,)</f>
        <v>0</v>
      </c>
      <c r="G3671">
        <f>_xlfn.XLOOKUP($A3671,Load!$B:$B,Load!H:H,0,)</f>
        <v>0</v>
      </c>
      <c r="H3671">
        <f>_xlfn.XLOOKUP($A3671,Load!$B:$B,Load!I:I,0,)</f>
        <v>0</v>
      </c>
      <c r="I3671">
        <f>_xlfn.XLOOKUP($A3671,Load!$B:$B,Load!J:J,0,)</f>
        <v>0</v>
      </c>
      <c r="J3671">
        <f>_xlfn.XLOOKUP($A3671,Load!$B:$B,Load!K:K,0,)</f>
        <v>0</v>
      </c>
      <c r="K3671">
        <f>_xlfn.XLOOKUP($A3671,Load!$B:$B,Load!L:L,0,)</f>
        <v>0</v>
      </c>
      <c r="L3671">
        <f>_xlfn.XLOOKUP($A3671,Load!$B:$B,Load!M:M,0,)</f>
        <v>0</v>
      </c>
    </row>
    <row r="3672" spans="1:12" x14ac:dyDescent="0.25">
      <c r="B3672">
        <f>_xlfn.XLOOKUP($A3672,Load!$B:$B,Load!C:C,0,)</f>
        <v>0</v>
      </c>
      <c r="C3672">
        <f>_xlfn.XLOOKUP($A3672,Load!$B:$B,Load!D:D,0,)</f>
        <v>0</v>
      </c>
      <c r="D3672">
        <f>_xlfn.XLOOKUP($A3672,Load!$B:$B,Load!E:E,0,)</f>
        <v>0</v>
      </c>
      <c r="E3672">
        <f>_xlfn.XLOOKUP($A3672,Load!$B:$B,Load!F:F,0,)</f>
        <v>0</v>
      </c>
      <c r="F3672">
        <f>_xlfn.XLOOKUP($A3672,Load!$B:$B,Load!G:G,0,)</f>
        <v>0</v>
      </c>
      <c r="G3672">
        <f>_xlfn.XLOOKUP($A3672,Load!$B:$B,Load!H:H,0,)</f>
        <v>0</v>
      </c>
      <c r="H3672">
        <f>_xlfn.XLOOKUP($A3672,Load!$B:$B,Load!I:I,0,)</f>
        <v>0</v>
      </c>
      <c r="I3672">
        <f>_xlfn.XLOOKUP($A3672,Load!$B:$B,Load!J:J,0,)</f>
        <v>0</v>
      </c>
      <c r="J3672">
        <f>_xlfn.XLOOKUP($A3672,Load!$B:$B,Load!K:K,0,)</f>
        <v>0</v>
      </c>
      <c r="K3672">
        <f>_xlfn.XLOOKUP($A3672,Load!$B:$B,Load!L:L,0,)</f>
        <v>0</v>
      </c>
      <c r="L3672">
        <f>_xlfn.XLOOKUP($A3672,Load!$B:$B,Load!M:M,0,)</f>
        <v>0</v>
      </c>
    </row>
    <row r="3673" spans="1:12" x14ac:dyDescent="0.25">
      <c r="B3673">
        <f>_xlfn.XLOOKUP($A3673,Load!$B:$B,Load!C:C,0,)</f>
        <v>0</v>
      </c>
      <c r="C3673">
        <f>_xlfn.XLOOKUP($A3673,Load!$B:$B,Load!D:D,0,)</f>
        <v>0</v>
      </c>
      <c r="D3673">
        <f>_xlfn.XLOOKUP($A3673,Load!$B:$B,Load!E:E,0,)</f>
        <v>0</v>
      </c>
      <c r="E3673">
        <f>_xlfn.XLOOKUP($A3673,Load!$B:$B,Load!F:F,0,)</f>
        <v>0</v>
      </c>
      <c r="F3673">
        <f>_xlfn.XLOOKUP($A3673,Load!$B:$B,Load!G:G,0,)</f>
        <v>0</v>
      </c>
      <c r="G3673">
        <f>_xlfn.XLOOKUP($A3673,Load!$B:$B,Load!H:H,0,)</f>
        <v>0</v>
      </c>
      <c r="H3673">
        <f>_xlfn.XLOOKUP($A3673,Load!$B:$B,Load!I:I,0,)</f>
        <v>0</v>
      </c>
      <c r="I3673">
        <f>_xlfn.XLOOKUP($A3673,Load!$B:$B,Load!J:J,0,)</f>
        <v>0</v>
      </c>
      <c r="J3673">
        <f>_xlfn.XLOOKUP($A3673,Load!$B:$B,Load!K:K,0,)</f>
        <v>0</v>
      </c>
      <c r="K3673">
        <f>_xlfn.XLOOKUP($A3673,Load!$B:$B,Load!L:L,0,)</f>
        <v>0</v>
      </c>
      <c r="L3673">
        <f>_xlfn.XLOOKUP($A3673,Load!$B:$B,Load!M:M,0,)</f>
        <v>0</v>
      </c>
    </row>
    <row r="3674" spans="1:12" x14ac:dyDescent="0.25">
      <c r="B3674">
        <f>_xlfn.XLOOKUP($A3674,Load!$B:$B,Load!C:C,0,)</f>
        <v>0</v>
      </c>
      <c r="C3674">
        <f>_xlfn.XLOOKUP($A3674,Load!$B:$B,Load!D:D,0,)</f>
        <v>0</v>
      </c>
      <c r="D3674">
        <f>_xlfn.XLOOKUP($A3674,Load!$B:$B,Load!E:E,0,)</f>
        <v>0</v>
      </c>
      <c r="E3674">
        <f>_xlfn.XLOOKUP($A3674,Load!$B:$B,Load!F:F,0,)</f>
        <v>0</v>
      </c>
      <c r="F3674">
        <f>_xlfn.XLOOKUP($A3674,Load!$B:$B,Load!G:G,0,)</f>
        <v>0</v>
      </c>
      <c r="G3674">
        <f>_xlfn.XLOOKUP($A3674,Load!$B:$B,Load!H:H,0,)</f>
        <v>0</v>
      </c>
      <c r="H3674">
        <f>_xlfn.XLOOKUP($A3674,Load!$B:$B,Load!I:I,0,)</f>
        <v>0</v>
      </c>
      <c r="I3674">
        <f>_xlfn.XLOOKUP($A3674,Load!$B:$B,Load!J:J,0,)</f>
        <v>0</v>
      </c>
      <c r="J3674">
        <f>_xlfn.XLOOKUP($A3674,Load!$B:$B,Load!K:K,0,)</f>
        <v>0</v>
      </c>
      <c r="K3674">
        <f>_xlfn.XLOOKUP($A3674,Load!$B:$B,Load!L:L,0,)</f>
        <v>0</v>
      </c>
      <c r="L3674">
        <f>_xlfn.XLOOKUP($A3674,Load!$B:$B,Load!M:M,0,)</f>
        <v>0</v>
      </c>
    </row>
    <row r="3675" spans="1:12" x14ac:dyDescent="0.25">
      <c r="B3675">
        <f>_xlfn.XLOOKUP($A3675,Load!$B:$B,Load!C:C,0,)</f>
        <v>0</v>
      </c>
      <c r="C3675">
        <f>_xlfn.XLOOKUP($A3675,Load!$B:$B,Load!D:D,0,)</f>
        <v>0</v>
      </c>
      <c r="D3675">
        <f>_xlfn.XLOOKUP($A3675,Load!$B:$B,Load!E:E,0,)</f>
        <v>0</v>
      </c>
      <c r="E3675">
        <f>_xlfn.XLOOKUP($A3675,Load!$B:$B,Load!F:F,0,)</f>
        <v>0</v>
      </c>
      <c r="F3675">
        <f>_xlfn.XLOOKUP($A3675,Load!$B:$B,Load!G:G,0,)</f>
        <v>0</v>
      </c>
      <c r="G3675">
        <f>_xlfn.XLOOKUP($A3675,Load!$B:$B,Load!H:H,0,)</f>
        <v>0</v>
      </c>
      <c r="H3675">
        <f>_xlfn.XLOOKUP($A3675,Load!$B:$B,Load!I:I,0,)</f>
        <v>0</v>
      </c>
      <c r="I3675">
        <f>_xlfn.XLOOKUP($A3675,Load!$B:$B,Load!J:J,0,)</f>
        <v>0</v>
      </c>
      <c r="J3675">
        <f>_xlfn.XLOOKUP($A3675,Load!$B:$B,Load!K:K,0,)</f>
        <v>0</v>
      </c>
      <c r="K3675">
        <f>_xlfn.XLOOKUP($A3675,Load!$B:$B,Load!L:L,0,)</f>
        <v>0</v>
      </c>
      <c r="L3675">
        <f>_xlfn.XLOOKUP($A3675,Load!$B:$B,Load!M:M,0,)</f>
        <v>0</v>
      </c>
    </row>
    <row r="3676" spans="1:12" x14ac:dyDescent="0.25">
      <c r="A3676" t="s">
        <v>219</v>
      </c>
      <c r="B3676" t="str">
        <f>_xlfn.XLOOKUP($A3676,Load!$B:$B,Load!C:C,0,)</f>
        <v>Mondelez Variety Pack</v>
      </c>
      <c r="C3676" t="str">
        <f>_xlfn.XLOOKUP($A3676,Load!$B:$B,Load!D:D,0,)</f>
        <v>Non-Chocolate Candy Only</v>
      </c>
      <c r="D3676" t="str">
        <f>_xlfn.XLOOKUP($A3676,Load!$B:$B,Load!E:E,0,)</f>
        <v>Sour</v>
      </c>
      <c r="E3676" t="str">
        <f>_xlfn.XLOOKUP($A3676,Load!$B:$B,Load!F:F,0,)</f>
        <v>Chewy</v>
      </c>
      <c r="F3676" t="str">
        <f>_xlfn.XLOOKUP($A3676,Load!$B:$B,Load!G:G,0,)</f>
        <v>Medium Multipack (40–80 ct)</v>
      </c>
      <c r="G3676" t="str">
        <f>_xlfn.XLOOKUP($A3676,Load!$B:$B,Load!H:H,0,)</f>
        <v>Stand-Up Bag</v>
      </c>
      <c r="H3676" t="str">
        <f>_xlfn.XLOOKUP($A3676,Load!$B:$B,Load!I:I,0,)</f>
        <v>Everyday Candy Shapes (like Original, Gummy bear, Fruit, Jewels, etc.)</v>
      </c>
      <c r="I3676" t="str">
        <f>_xlfn.XLOOKUP($A3676,Load!$B:$B,Load!J:J,0,)</f>
        <v>Seasonal Graphics (Like Bat, Ghost, Pumpkin, Fall Leaves, Eyeballs, etc.)</v>
      </c>
      <c r="J3676" t="str">
        <f>_xlfn.XLOOKUP($A3676,Load!$B:$B,Load!K:K,0,)</f>
        <v>Small Pieces (Tiny bite size candies)</v>
      </c>
      <c r="K3676" t="str">
        <f>_xlfn.XLOOKUP($A3676,Load!$B:$B,Load!L:L,0,)</f>
        <v>Regular/Original Wrapping</v>
      </c>
      <c r="L3676" t="str">
        <f>_xlfn.XLOOKUP($A3676,Load!$B:$B,Load!M:M,0,)</f>
        <v>Multiple Brands / Variety Flavors or Form</v>
      </c>
    </row>
    <row r="3677" spans="1:12" x14ac:dyDescent="0.25">
      <c r="B3677">
        <f>_xlfn.XLOOKUP($A3677,Load!$B:$B,Load!C:C,0,)</f>
        <v>0</v>
      </c>
      <c r="C3677">
        <f>_xlfn.XLOOKUP($A3677,Load!$B:$B,Load!D:D,0,)</f>
        <v>0</v>
      </c>
      <c r="D3677">
        <f>_xlfn.XLOOKUP($A3677,Load!$B:$B,Load!E:E,0,)</f>
        <v>0</v>
      </c>
      <c r="E3677">
        <f>_xlfn.XLOOKUP($A3677,Load!$B:$B,Load!F:F,0,)</f>
        <v>0</v>
      </c>
      <c r="F3677">
        <f>_xlfn.XLOOKUP($A3677,Load!$B:$B,Load!G:G,0,)</f>
        <v>0</v>
      </c>
      <c r="G3677">
        <f>_xlfn.XLOOKUP($A3677,Load!$B:$B,Load!H:H,0,)</f>
        <v>0</v>
      </c>
      <c r="H3677">
        <f>_xlfn.XLOOKUP($A3677,Load!$B:$B,Load!I:I,0,)</f>
        <v>0</v>
      </c>
      <c r="I3677">
        <f>_xlfn.XLOOKUP($A3677,Load!$B:$B,Load!J:J,0,)</f>
        <v>0</v>
      </c>
      <c r="J3677">
        <f>_xlfn.XLOOKUP($A3677,Load!$B:$B,Load!K:K,0,)</f>
        <v>0</v>
      </c>
      <c r="K3677">
        <f>_xlfn.XLOOKUP($A3677,Load!$B:$B,Load!L:L,0,)</f>
        <v>0</v>
      </c>
      <c r="L3677">
        <f>_xlfn.XLOOKUP($A3677,Load!$B:$B,Load!M:M,0,)</f>
        <v>0</v>
      </c>
    </row>
    <row r="3678" spans="1:12" x14ac:dyDescent="0.25">
      <c r="B3678">
        <f>_xlfn.XLOOKUP($A3678,Load!$B:$B,Load!C:C,0,)</f>
        <v>0</v>
      </c>
      <c r="C3678">
        <f>_xlfn.XLOOKUP($A3678,Load!$B:$B,Load!D:D,0,)</f>
        <v>0</v>
      </c>
      <c r="D3678">
        <f>_xlfn.XLOOKUP($A3678,Load!$B:$B,Load!E:E,0,)</f>
        <v>0</v>
      </c>
      <c r="E3678">
        <f>_xlfn.XLOOKUP($A3678,Load!$B:$B,Load!F:F,0,)</f>
        <v>0</v>
      </c>
      <c r="F3678">
        <f>_xlfn.XLOOKUP($A3678,Load!$B:$B,Load!G:G,0,)</f>
        <v>0</v>
      </c>
      <c r="G3678">
        <f>_xlfn.XLOOKUP($A3678,Load!$B:$B,Load!H:H,0,)</f>
        <v>0</v>
      </c>
      <c r="H3678">
        <f>_xlfn.XLOOKUP($A3678,Load!$B:$B,Load!I:I,0,)</f>
        <v>0</v>
      </c>
      <c r="I3678">
        <f>_xlfn.XLOOKUP($A3678,Load!$B:$B,Load!J:J,0,)</f>
        <v>0</v>
      </c>
      <c r="J3678">
        <f>_xlfn.XLOOKUP($A3678,Load!$B:$B,Load!K:K,0,)</f>
        <v>0</v>
      </c>
      <c r="K3678">
        <f>_xlfn.XLOOKUP($A3678,Load!$B:$B,Load!L:L,0,)</f>
        <v>0</v>
      </c>
      <c r="L3678">
        <f>_xlfn.XLOOKUP($A3678,Load!$B:$B,Load!M:M,0,)</f>
        <v>0</v>
      </c>
    </row>
    <row r="3679" spans="1:12" x14ac:dyDescent="0.25">
      <c r="B3679">
        <f>_xlfn.XLOOKUP($A3679,Load!$B:$B,Load!C:C,0,)</f>
        <v>0</v>
      </c>
      <c r="C3679">
        <f>_xlfn.XLOOKUP($A3679,Load!$B:$B,Load!D:D,0,)</f>
        <v>0</v>
      </c>
      <c r="D3679">
        <f>_xlfn.XLOOKUP($A3679,Load!$B:$B,Load!E:E,0,)</f>
        <v>0</v>
      </c>
      <c r="E3679">
        <f>_xlfn.XLOOKUP($A3679,Load!$B:$B,Load!F:F,0,)</f>
        <v>0</v>
      </c>
      <c r="F3679">
        <f>_xlfn.XLOOKUP($A3679,Load!$B:$B,Load!G:G,0,)</f>
        <v>0</v>
      </c>
      <c r="G3679">
        <f>_xlfn.XLOOKUP($A3679,Load!$B:$B,Load!H:H,0,)</f>
        <v>0</v>
      </c>
      <c r="H3679">
        <f>_xlfn.XLOOKUP($A3679,Load!$B:$B,Load!I:I,0,)</f>
        <v>0</v>
      </c>
      <c r="I3679">
        <f>_xlfn.XLOOKUP($A3679,Load!$B:$B,Load!J:J,0,)</f>
        <v>0</v>
      </c>
      <c r="J3679">
        <f>_xlfn.XLOOKUP($A3679,Load!$B:$B,Load!K:K,0,)</f>
        <v>0</v>
      </c>
      <c r="K3679">
        <f>_xlfn.XLOOKUP($A3679,Load!$B:$B,Load!L:L,0,)</f>
        <v>0</v>
      </c>
      <c r="L3679">
        <f>_xlfn.XLOOKUP($A3679,Load!$B:$B,Load!M:M,0,)</f>
        <v>0</v>
      </c>
    </row>
    <row r="3680" spans="1:12" x14ac:dyDescent="0.25">
      <c r="A3680" t="s">
        <v>187</v>
      </c>
      <c r="B3680" t="str">
        <f>_xlfn.XLOOKUP($A3680,Load!$B:$B,Load!C:C,0,)</f>
        <v>Mars Variety Pack</v>
      </c>
      <c r="C3680" t="str">
        <f>_xlfn.XLOOKUP($A3680,Load!$B:$B,Load!D:D,0,)</f>
        <v>Mix of Chocolate and Non-Chocolate Candy</v>
      </c>
      <c r="D3680" t="str">
        <f>_xlfn.XLOOKUP($A3680,Load!$B:$B,Load!E:E,0,)</f>
        <v>Variety / Mixed Flavors (Fruity, Sour, Seasonal Flavors)</v>
      </c>
      <c r="E3680" t="str">
        <f>_xlfn.XLOOKUP($A3680,Load!$B:$B,Load!F:F,0,)</f>
        <v>Mixed / Combo Packs (Gummy, Chewy, Taffy, etc.)</v>
      </c>
      <c r="F3680" t="str">
        <f>_xlfn.XLOOKUP($A3680,Load!$B:$B,Load!G:G,0,)</f>
        <v>Medium Multipack (40–80 ct)</v>
      </c>
      <c r="G3680" t="str">
        <f>_xlfn.XLOOKUP($A3680,Load!$B:$B,Load!H:H,0,)</f>
        <v>Stand-Up Bag</v>
      </c>
      <c r="H3680" t="str">
        <f>_xlfn.XLOOKUP($A3680,Load!$B:$B,Load!I:I,0,)</f>
        <v>Everyday Candy Shapes (like Original, Gummy bear, Fruit, Jewels, etc.)</v>
      </c>
      <c r="I3680" t="str">
        <f>_xlfn.XLOOKUP($A3680,Load!$B:$B,Load!J:J,0,)</f>
        <v>Seasonal Graphics (Like Bat, Ghost, Pumpkin, Fall Leaves, Eyeballs, etc.)</v>
      </c>
      <c r="J3680" t="str">
        <f>_xlfn.XLOOKUP($A3680,Load!$B:$B,Load!K:K,0,)</f>
        <v>Fun Size / Treat Size</v>
      </c>
      <c r="K3680" t="str">
        <f>_xlfn.XLOOKUP($A3680,Load!$B:$B,Load!L:L,0,)</f>
        <v>Regular/Original Wrapping</v>
      </c>
      <c r="L3680" t="str">
        <f>_xlfn.XLOOKUP($A3680,Load!$B:$B,Load!M:M,0,)</f>
        <v>Multiple Brands / Variety Flavors or Form</v>
      </c>
    </row>
    <row r="3681" spans="1:12" x14ac:dyDescent="0.25">
      <c r="B3681">
        <f>_xlfn.XLOOKUP($A3681,Load!$B:$B,Load!C:C,0,)</f>
        <v>0</v>
      </c>
      <c r="C3681">
        <f>_xlfn.XLOOKUP($A3681,Load!$B:$B,Load!D:D,0,)</f>
        <v>0</v>
      </c>
      <c r="D3681">
        <f>_xlfn.XLOOKUP($A3681,Load!$B:$B,Load!E:E,0,)</f>
        <v>0</v>
      </c>
      <c r="E3681">
        <f>_xlfn.XLOOKUP($A3681,Load!$B:$B,Load!F:F,0,)</f>
        <v>0</v>
      </c>
      <c r="F3681">
        <f>_xlfn.XLOOKUP($A3681,Load!$B:$B,Load!G:G,0,)</f>
        <v>0</v>
      </c>
      <c r="G3681">
        <f>_xlfn.XLOOKUP($A3681,Load!$B:$B,Load!H:H,0,)</f>
        <v>0</v>
      </c>
      <c r="H3681">
        <f>_xlfn.XLOOKUP($A3681,Load!$B:$B,Load!I:I,0,)</f>
        <v>0</v>
      </c>
      <c r="I3681">
        <f>_xlfn.XLOOKUP($A3681,Load!$B:$B,Load!J:J,0,)</f>
        <v>0</v>
      </c>
      <c r="J3681">
        <f>_xlfn.XLOOKUP($A3681,Load!$B:$B,Load!K:K,0,)</f>
        <v>0</v>
      </c>
      <c r="K3681">
        <f>_xlfn.XLOOKUP($A3681,Load!$B:$B,Load!L:L,0,)</f>
        <v>0</v>
      </c>
      <c r="L3681">
        <f>_xlfn.XLOOKUP($A3681,Load!$B:$B,Load!M:M,0,)</f>
        <v>0</v>
      </c>
    </row>
    <row r="3682" spans="1:12" x14ac:dyDescent="0.25">
      <c r="A3682" t="s">
        <v>134</v>
      </c>
      <c r="B3682" t="str">
        <f>_xlfn.XLOOKUP($A3682,Load!$B:$B,Load!C:C,0,)</f>
        <v>Hershey's Variety Pack</v>
      </c>
      <c r="C3682" t="str">
        <f>_xlfn.XLOOKUP($A3682,Load!$B:$B,Load!D:D,0,)</f>
        <v>Non-Chocolate Candy Only</v>
      </c>
      <c r="D3682" t="str">
        <f>_xlfn.XLOOKUP($A3682,Load!$B:$B,Load!E:E,0,)</f>
        <v>Variety / Mixed Flavors (Fruity, Sour, Seasonal Flavors)</v>
      </c>
      <c r="E3682" t="str">
        <f>_xlfn.XLOOKUP($A3682,Load!$B:$B,Load!F:F,0,)</f>
        <v>Mixed / Combo Packs (Gummy, Chewy, Taffy, etc.)</v>
      </c>
      <c r="F3682" t="str">
        <f>_xlfn.XLOOKUP($A3682,Load!$B:$B,Load!G:G,0,)</f>
        <v>Large Multipack (More than 80 ct)</v>
      </c>
      <c r="G3682" t="str">
        <f>_xlfn.XLOOKUP($A3682,Load!$B:$B,Load!H:H,0,)</f>
        <v>Stand-Up Bag</v>
      </c>
      <c r="H3682" t="str">
        <f>_xlfn.XLOOKUP($A3682,Load!$B:$B,Load!I:I,0,)</f>
        <v>Everyday Candy Shapes (like Original, Gummy bear, Fruit, Jewels, etc.)</v>
      </c>
      <c r="I3682" t="str">
        <f>_xlfn.XLOOKUP($A3682,Load!$B:$B,Load!J:J,0,)</f>
        <v>Seasonal Graphics (Like Bat, Ghost, Pumpkin, Fall Leaves, Eyeballs, etc.)</v>
      </c>
      <c r="J3682" t="str">
        <f>_xlfn.XLOOKUP($A3682,Load!$B:$B,Load!K:K,0,)</f>
        <v xml:space="preserve">Variety Candy Sizes </v>
      </c>
      <c r="K3682" t="str">
        <f>_xlfn.XLOOKUP($A3682,Load!$B:$B,Load!L:L,0,)</f>
        <v>Regular/Original Wrapping</v>
      </c>
      <c r="L3682" t="str">
        <f>_xlfn.XLOOKUP($A3682,Load!$B:$B,Load!M:M,0,)</f>
        <v>Multiple Brands / Variety Flavors or Form</v>
      </c>
    </row>
    <row r="3683" spans="1:12" x14ac:dyDescent="0.25">
      <c r="B3683">
        <f>_xlfn.XLOOKUP($A3683,Load!$B:$B,Load!C:C,0,)</f>
        <v>0</v>
      </c>
      <c r="C3683">
        <f>_xlfn.XLOOKUP($A3683,Load!$B:$B,Load!D:D,0,)</f>
        <v>0</v>
      </c>
      <c r="D3683">
        <f>_xlfn.XLOOKUP($A3683,Load!$B:$B,Load!E:E,0,)</f>
        <v>0</v>
      </c>
      <c r="E3683">
        <f>_xlfn.XLOOKUP($A3683,Load!$B:$B,Load!F:F,0,)</f>
        <v>0</v>
      </c>
      <c r="F3683">
        <f>_xlfn.XLOOKUP($A3683,Load!$B:$B,Load!G:G,0,)</f>
        <v>0</v>
      </c>
      <c r="G3683">
        <f>_xlfn.XLOOKUP($A3683,Load!$B:$B,Load!H:H,0,)</f>
        <v>0</v>
      </c>
      <c r="H3683">
        <f>_xlfn.XLOOKUP($A3683,Load!$B:$B,Load!I:I,0,)</f>
        <v>0</v>
      </c>
      <c r="I3683">
        <f>_xlfn.XLOOKUP($A3683,Load!$B:$B,Load!J:J,0,)</f>
        <v>0</v>
      </c>
      <c r="J3683">
        <f>_xlfn.XLOOKUP($A3683,Load!$B:$B,Load!K:K,0,)</f>
        <v>0</v>
      </c>
      <c r="K3683">
        <f>_xlfn.XLOOKUP($A3683,Load!$B:$B,Load!L:L,0,)</f>
        <v>0</v>
      </c>
      <c r="L3683">
        <f>_xlfn.XLOOKUP($A3683,Load!$B:$B,Load!M:M,0,)</f>
        <v>0</v>
      </c>
    </row>
    <row r="3684" spans="1:12" x14ac:dyDescent="0.25">
      <c r="A3684" t="s">
        <v>277</v>
      </c>
      <c r="B3684" t="str">
        <f>_xlfn.XLOOKUP($A3684,Load!$B:$B,Load!C:C,0,)</f>
        <v>Sour Patch Kids</v>
      </c>
      <c r="C3684" t="str">
        <f>_xlfn.XLOOKUP($A3684,Load!$B:$B,Load!D:D,0,)</f>
        <v>Non-Chocolate Candy Only</v>
      </c>
      <c r="D3684" t="str">
        <f>_xlfn.XLOOKUP($A3684,Load!$B:$B,Load!E:E,0,)</f>
        <v>Sour</v>
      </c>
      <c r="E3684" t="str">
        <f>_xlfn.XLOOKUP($A3684,Load!$B:$B,Load!F:F,0,)</f>
        <v>Chewy</v>
      </c>
      <c r="F3684" t="str">
        <f>_xlfn.XLOOKUP($A3684,Load!$B:$B,Load!G:G,0,)</f>
        <v>Single Pack</v>
      </c>
      <c r="G3684" t="str">
        <f>_xlfn.XLOOKUP($A3684,Load!$B:$B,Load!H:H,0,)</f>
        <v>Peg Bag</v>
      </c>
      <c r="H3684" t="str">
        <f>_xlfn.XLOOKUP($A3684,Load!$B:$B,Load!I:I,0,)</f>
        <v>Everyday Candy Shapes (like Original, Gummy bear, Fruit, Jewels, etc.)</v>
      </c>
      <c r="I3684" t="str">
        <f>_xlfn.XLOOKUP($A3684,Load!$B:$B,Load!J:J,0,)</f>
        <v>Seasonal Graphics (Like Bat, Ghost, Pumpkin, Fall Leaves, Eyeballs, etc.)</v>
      </c>
      <c r="J3684" t="str">
        <f>_xlfn.XLOOKUP($A3684,Load!$B:$B,Load!K:K,0,)</f>
        <v>Small Pieces (Tiny bite size candies)</v>
      </c>
      <c r="K3684" t="str">
        <f>_xlfn.XLOOKUP($A3684,Load!$B:$B,Load!L:L,0,)</f>
        <v>Unwrapped</v>
      </c>
      <c r="L3684" t="str">
        <f>_xlfn.XLOOKUP($A3684,Load!$B:$B,Load!M:M,0,)</f>
        <v>Single Brand / Variety Flavors or Form</v>
      </c>
    </row>
    <row r="3685" spans="1:12" x14ac:dyDescent="0.25">
      <c r="A3685" t="s">
        <v>280</v>
      </c>
      <c r="B3685" t="str">
        <f>_xlfn.XLOOKUP($A3685,Load!$B:$B,Load!C:C,0,)</f>
        <v>Sour Patch Kids</v>
      </c>
      <c r="C3685" t="str">
        <f>_xlfn.XLOOKUP($A3685,Load!$B:$B,Load!D:D,0,)</f>
        <v>Non-Chocolate Candy Only</v>
      </c>
      <c r="D3685" t="str">
        <f>_xlfn.XLOOKUP($A3685,Load!$B:$B,Load!E:E,0,)</f>
        <v>Sour</v>
      </c>
      <c r="E3685" t="str">
        <f>_xlfn.XLOOKUP($A3685,Load!$B:$B,Load!F:F,0,)</f>
        <v>Chewy</v>
      </c>
      <c r="F3685" t="str">
        <f>_xlfn.XLOOKUP($A3685,Load!$B:$B,Load!G:G,0,)</f>
        <v>Medium Multipack (40–80 ct)</v>
      </c>
      <c r="G3685" t="str">
        <f>_xlfn.XLOOKUP($A3685,Load!$B:$B,Load!H:H,0,)</f>
        <v>Laydown Bag</v>
      </c>
      <c r="H3685" t="str">
        <f>_xlfn.XLOOKUP($A3685,Load!$B:$B,Load!I:I,0,)</f>
        <v>Seasonal Shapes (like pumpkins, candy corn, ghost, bats, etc.)</v>
      </c>
      <c r="I3685" t="str">
        <f>_xlfn.XLOOKUP($A3685,Load!$B:$B,Load!J:J,0,)</f>
        <v>Seasonal Graphics (Like Bat, Ghost, Pumpkin, Fall Leaves, Eyeballs, etc.)</v>
      </c>
      <c r="J3685" t="str">
        <f>_xlfn.XLOOKUP($A3685,Load!$B:$B,Load!K:K,0,)</f>
        <v>Small Pieces (Tiny bite size candies)</v>
      </c>
      <c r="K3685" t="str">
        <f>_xlfn.XLOOKUP($A3685,Load!$B:$B,Load!L:L,0,)</f>
        <v>Regular/Original Wrapping</v>
      </c>
      <c r="L3685" t="str">
        <f>_xlfn.XLOOKUP($A3685,Load!$B:$B,Load!M:M,0,)</f>
        <v>Single Brand / Variety Flavors or Form</v>
      </c>
    </row>
    <row r="3686" spans="1:12" x14ac:dyDescent="0.25">
      <c r="B3686">
        <f>_xlfn.XLOOKUP($A3686,Load!$B:$B,Load!C:C,0,)</f>
        <v>0</v>
      </c>
      <c r="C3686">
        <f>_xlfn.XLOOKUP($A3686,Load!$B:$B,Load!D:D,0,)</f>
        <v>0</v>
      </c>
      <c r="D3686">
        <f>_xlfn.XLOOKUP($A3686,Load!$B:$B,Load!E:E,0,)</f>
        <v>0</v>
      </c>
      <c r="E3686">
        <f>_xlfn.XLOOKUP($A3686,Load!$B:$B,Load!F:F,0,)</f>
        <v>0</v>
      </c>
      <c r="F3686">
        <f>_xlfn.XLOOKUP($A3686,Load!$B:$B,Load!G:G,0,)</f>
        <v>0</v>
      </c>
      <c r="G3686">
        <f>_xlfn.XLOOKUP($A3686,Load!$B:$B,Load!H:H,0,)</f>
        <v>0</v>
      </c>
      <c r="H3686">
        <f>_xlfn.XLOOKUP($A3686,Load!$B:$B,Load!I:I,0,)</f>
        <v>0</v>
      </c>
      <c r="I3686">
        <f>_xlfn.XLOOKUP($A3686,Load!$B:$B,Load!J:J,0,)</f>
        <v>0</v>
      </c>
      <c r="J3686">
        <f>_xlfn.XLOOKUP($A3686,Load!$B:$B,Load!K:K,0,)</f>
        <v>0</v>
      </c>
      <c r="K3686">
        <f>_xlfn.XLOOKUP($A3686,Load!$B:$B,Load!L:L,0,)</f>
        <v>0</v>
      </c>
      <c r="L3686">
        <f>_xlfn.XLOOKUP($A3686,Load!$B:$B,Load!M:M,0,)</f>
        <v>0</v>
      </c>
    </row>
    <row r="3687" spans="1:12" x14ac:dyDescent="0.25">
      <c r="B3687">
        <f>_xlfn.XLOOKUP($A3687,Load!$B:$B,Load!C:C,0,)</f>
        <v>0</v>
      </c>
      <c r="C3687">
        <f>_xlfn.XLOOKUP($A3687,Load!$B:$B,Load!D:D,0,)</f>
        <v>0</v>
      </c>
      <c r="D3687">
        <f>_xlfn.XLOOKUP($A3687,Load!$B:$B,Load!E:E,0,)</f>
        <v>0</v>
      </c>
      <c r="E3687">
        <f>_xlfn.XLOOKUP($A3687,Load!$B:$B,Load!F:F,0,)</f>
        <v>0</v>
      </c>
      <c r="F3687">
        <f>_xlfn.XLOOKUP($A3687,Load!$B:$B,Load!G:G,0,)</f>
        <v>0</v>
      </c>
      <c r="G3687">
        <f>_xlfn.XLOOKUP($A3687,Load!$B:$B,Load!H:H,0,)</f>
        <v>0</v>
      </c>
      <c r="H3687">
        <f>_xlfn.XLOOKUP($A3687,Load!$B:$B,Load!I:I,0,)</f>
        <v>0</v>
      </c>
      <c r="I3687">
        <f>_xlfn.XLOOKUP($A3687,Load!$B:$B,Load!J:J,0,)</f>
        <v>0</v>
      </c>
      <c r="J3687">
        <f>_xlfn.XLOOKUP($A3687,Load!$B:$B,Load!K:K,0,)</f>
        <v>0</v>
      </c>
      <c r="K3687">
        <f>_xlfn.XLOOKUP($A3687,Load!$B:$B,Load!L:L,0,)</f>
        <v>0</v>
      </c>
      <c r="L3687">
        <f>_xlfn.XLOOKUP($A3687,Load!$B:$B,Load!M:M,0,)</f>
        <v>0</v>
      </c>
    </row>
    <row r="3688" spans="1:12" x14ac:dyDescent="0.25">
      <c r="B3688">
        <f>_xlfn.XLOOKUP($A3688,Load!$B:$B,Load!C:C,0,)</f>
        <v>0</v>
      </c>
      <c r="C3688">
        <f>_xlfn.XLOOKUP($A3688,Load!$B:$B,Load!D:D,0,)</f>
        <v>0</v>
      </c>
      <c r="D3688">
        <f>_xlfn.XLOOKUP($A3688,Load!$B:$B,Load!E:E,0,)</f>
        <v>0</v>
      </c>
      <c r="E3688">
        <f>_xlfn.XLOOKUP($A3688,Load!$B:$B,Load!F:F,0,)</f>
        <v>0</v>
      </c>
      <c r="F3688">
        <f>_xlfn.XLOOKUP($A3688,Load!$B:$B,Load!G:G,0,)</f>
        <v>0</v>
      </c>
      <c r="G3688">
        <f>_xlfn.XLOOKUP($A3688,Load!$B:$B,Load!H:H,0,)</f>
        <v>0</v>
      </c>
      <c r="H3688">
        <f>_xlfn.XLOOKUP($A3688,Load!$B:$B,Load!I:I,0,)</f>
        <v>0</v>
      </c>
      <c r="I3688">
        <f>_xlfn.XLOOKUP($A3688,Load!$B:$B,Load!J:J,0,)</f>
        <v>0</v>
      </c>
      <c r="J3688">
        <f>_xlfn.XLOOKUP($A3688,Load!$B:$B,Load!K:K,0,)</f>
        <v>0</v>
      </c>
      <c r="K3688">
        <f>_xlfn.XLOOKUP($A3688,Load!$B:$B,Load!L:L,0,)</f>
        <v>0</v>
      </c>
      <c r="L3688">
        <f>_xlfn.XLOOKUP($A3688,Load!$B:$B,Load!M:M,0,)</f>
        <v>0</v>
      </c>
    </row>
    <row r="3689" spans="1:12" x14ac:dyDescent="0.25">
      <c r="B3689">
        <f>_xlfn.XLOOKUP($A3689,Load!$B:$B,Load!C:C,0,)</f>
        <v>0</v>
      </c>
      <c r="C3689">
        <f>_xlfn.XLOOKUP($A3689,Load!$B:$B,Load!D:D,0,)</f>
        <v>0</v>
      </c>
      <c r="D3689">
        <f>_xlfn.XLOOKUP($A3689,Load!$B:$B,Load!E:E,0,)</f>
        <v>0</v>
      </c>
      <c r="E3689">
        <f>_xlfn.XLOOKUP($A3689,Load!$B:$B,Load!F:F,0,)</f>
        <v>0</v>
      </c>
      <c r="F3689">
        <f>_xlfn.XLOOKUP($A3689,Load!$B:$B,Load!G:G,0,)</f>
        <v>0</v>
      </c>
      <c r="G3689">
        <f>_xlfn.XLOOKUP($A3689,Load!$B:$B,Load!H:H,0,)</f>
        <v>0</v>
      </c>
      <c r="H3689">
        <f>_xlfn.XLOOKUP($A3689,Load!$B:$B,Load!I:I,0,)</f>
        <v>0</v>
      </c>
      <c r="I3689">
        <f>_xlfn.XLOOKUP($A3689,Load!$B:$B,Load!J:J,0,)</f>
        <v>0</v>
      </c>
      <c r="J3689">
        <f>_xlfn.XLOOKUP($A3689,Load!$B:$B,Load!K:K,0,)</f>
        <v>0</v>
      </c>
      <c r="K3689">
        <f>_xlfn.XLOOKUP($A3689,Load!$B:$B,Load!L:L,0,)</f>
        <v>0</v>
      </c>
      <c r="L3689">
        <f>_xlfn.XLOOKUP($A3689,Load!$B:$B,Load!M:M,0,)</f>
        <v>0</v>
      </c>
    </row>
    <row r="3690" spans="1:12" x14ac:dyDescent="0.25">
      <c r="B3690">
        <f>_xlfn.XLOOKUP($A3690,Load!$B:$B,Load!C:C,0,)</f>
        <v>0</v>
      </c>
      <c r="C3690">
        <f>_xlfn.XLOOKUP($A3690,Load!$B:$B,Load!D:D,0,)</f>
        <v>0</v>
      </c>
      <c r="D3690">
        <f>_xlfn.XLOOKUP($A3690,Load!$B:$B,Load!E:E,0,)</f>
        <v>0</v>
      </c>
      <c r="E3690">
        <f>_xlfn.XLOOKUP($A3690,Load!$B:$B,Load!F:F,0,)</f>
        <v>0</v>
      </c>
      <c r="F3690">
        <f>_xlfn.XLOOKUP($A3690,Load!$B:$B,Load!G:G,0,)</f>
        <v>0</v>
      </c>
      <c r="G3690">
        <f>_xlfn.XLOOKUP($A3690,Load!$B:$B,Load!H:H,0,)</f>
        <v>0</v>
      </c>
      <c r="H3690">
        <f>_xlfn.XLOOKUP($A3690,Load!$B:$B,Load!I:I,0,)</f>
        <v>0</v>
      </c>
      <c r="I3690">
        <f>_xlfn.XLOOKUP($A3690,Load!$B:$B,Load!J:J,0,)</f>
        <v>0</v>
      </c>
      <c r="J3690">
        <f>_xlfn.XLOOKUP($A3690,Load!$B:$B,Load!K:K,0,)</f>
        <v>0</v>
      </c>
      <c r="K3690">
        <f>_xlfn.XLOOKUP($A3690,Load!$B:$B,Load!L:L,0,)</f>
        <v>0</v>
      </c>
      <c r="L3690">
        <f>_xlfn.XLOOKUP($A3690,Load!$B:$B,Load!M:M,0,)</f>
        <v>0</v>
      </c>
    </row>
    <row r="3691" spans="1:12" x14ac:dyDescent="0.25">
      <c r="B3691">
        <f>_xlfn.XLOOKUP($A3691,Load!$B:$B,Load!C:C,0,)</f>
        <v>0</v>
      </c>
      <c r="C3691">
        <f>_xlfn.XLOOKUP($A3691,Load!$B:$B,Load!D:D,0,)</f>
        <v>0</v>
      </c>
      <c r="D3691">
        <f>_xlfn.XLOOKUP($A3691,Load!$B:$B,Load!E:E,0,)</f>
        <v>0</v>
      </c>
      <c r="E3691">
        <f>_xlfn.XLOOKUP($A3691,Load!$B:$B,Load!F:F,0,)</f>
        <v>0</v>
      </c>
      <c r="F3691">
        <f>_xlfn.XLOOKUP($A3691,Load!$B:$B,Load!G:G,0,)</f>
        <v>0</v>
      </c>
      <c r="G3691">
        <f>_xlfn.XLOOKUP($A3691,Load!$B:$B,Load!H:H,0,)</f>
        <v>0</v>
      </c>
      <c r="H3691">
        <f>_xlfn.XLOOKUP($A3691,Load!$B:$B,Load!I:I,0,)</f>
        <v>0</v>
      </c>
      <c r="I3691">
        <f>_xlfn.XLOOKUP($A3691,Load!$B:$B,Load!J:J,0,)</f>
        <v>0</v>
      </c>
      <c r="J3691">
        <f>_xlfn.XLOOKUP($A3691,Load!$B:$B,Load!K:K,0,)</f>
        <v>0</v>
      </c>
      <c r="K3691">
        <f>_xlfn.XLOOKUP($A3691,Load!$B:$B,Load!L:L,0,)</f>
        <v>0</v>
      </c>
      <c r="L3691">
        <f>_xlfn.XLOOKUP($A3691,Load!$B:$B,Load!M:M,0,)</f>
        <v>0</v>
      </c>
    </row>
    <row r="3692" spans="1:12" x14ac:dyDescent="0.25">
      <c r="A3692" t="s">
        <v>140</v>
      </c>
      <c r="B3692" t="str">
        <f>_xlfn.XLOOKUP($A3692,Load!$B:$B,Load!C:C,0,)</f>
        <v>Hershey's Variety Pack + Haribo</v>
      </c>
      <c r="C3692" t="str">
        <f>_xlfn.XLOOKUP($A3692,Load!$B:$B,Load!D:D,0,)</f>
        <v>Mix of Chocolate and Non-Chocolate Candy</v>
      </c>
      <c r="D3692" t="str">
        <f>_xlfn.XLOOKUP($A3692,Load!$B:$B,Load!E:E,0,)</f>
        <v>Variety / Mixed Flavors (Fruity, Sour, Seasonal Flavors)</v>
      </c>
      <c r="E3692" t="str">
        <f>_xlfn.XLOOKUP($A3692,Load!$B:$B,Load!F:F,0,)</f>
        <v>Mixed / Combo Packs (Gummy, Chewy, Taffy, etc.)</v>
      </c>
      <c r="F3692" t="str">
        <f>_xlfn.XLOOKUP($A3692,Load!$B:$B,Load!G:G,0,)</f>
        <v>Large Multipack (More than 80 ct)</v>
      </c>
      <c r="G3692" t="str">
        <f>_xlfn.XLOOKUP($A3692,Load!$B:$B,Load!H:H,0,)</f>
        <v>Stand-Up Bag</v>
      </c>
      <c r="H3692" t="str">
        <f>_xlfn.XLOOKUP($A3692,Load!$B:$B,Load!I:I,0,)</f>
        <v>Everyday Candy Shapes (like Original, Gummy bear, Fruit, Jewels, etc.)</v>
      </c>
      <c r="I3692" t="str">
        <f>_xlfn.XLOOKUP($A3692,Load!$B:$B,Load!J:J,0,)</f>
        <v>Seasonal Graphics (Like Bat, Ghost, Pumpkin, Fall Leaves, Eyeballs, etc.)</v>
      </c>
      <c r="J3692" t="str">
        <f>_xlfn.XLOOKUP($A3692,Load!$B:$B,Load!K:K,0,)</f>
        <v xml:space="preserve">Variety Candy Sizes </v>
      </c>
      <c r="K3692" t="str">
        <f>_xlfn.XLOOKUP($A3692,Load!$B:$B,Load!L:L,0,)</f>
        <v>Regular/Original Wrapping</v>
      </c>
      <c r="L3692" t="str">
        <f>_xlfn.XLOOKUP($A3692,Load!$B:$B,Load!M:M,0,)</f>
        <v>Multiple Brands / Variety Flavors or Form</v>
      </c>
    </row>
    <row r="3693" spans="1:12" x14ac:dyDescent="0.25">
      <c r="B3693">
        <f>_xlfn.XLOOKUP($A3693,Load!$B:$B,Load!C:C,0,)</f>
        <v>0</v>
      </c>
      <c r="C3693">
        <f>_xlfn.XLOOKUP($A3693,Load!$B:$B,Load!D:D,0,)</f>
        <v>0</v>
      </c>
      <c r="D3693">
        <f>_xlfn.XLOOKUP($A3693,Load!$B:$B,Load!E:E,0,)</f>
        <v>0</v>
      </c>
      <c r="E3693">
        <f>_xlfn.XLOOKUP($A3693,Load!$B:$B,Load!F:F,0,)</f>
        <v>0</v>
      </c>
      <c r="F3693">
        <f>_xlfn.XLOOKUP($A3693,Load!$B:$B,Load!G:G,0,)</f>
        <v>0</v>
      </c>
      <c r="G3693">
        <f>_xlfn.XLOOKUP($A3693,Load!$B:$B,Load!H:H,0,)</f>
        <v>0</v>
      </c>
      <c r="H3693">
        <f>_xlfn.XLOOKUP($A3693,Load!$B:$B,Load!I:I,0,)</f>
        <v>0</v>
      </c>
      <c r="I3693">
        <f>_xlfn.XLOOKUP($A3693,Load!$B:$B,Load!J:J,0,)</f>
        <v>0</v>
      </c>
      <c r="J3693">
        <f>_xlfn.XLOOKUP($A3693,Load!$B:$B,Load!K:K,0,)</f>
        <v>0</v>
      </c>
      <c r="K3693">
        <f>_xlfn.XLOOKUP($A3693,Load!$B:$B,Load!L:L,0,)</f>
        <v>0</v>
      </c>
      <c r="L3693">
        <f>_xlfn.XLOOKUP($A3693,Load!$B:$B,Load!M:M,0,)</f>
        <v>0</v>
      </c>
    </row>
    <row r="3694" spans="1:12" x14ac:dyDescent="0.25">
      <c r="B3694">
        <f>_xlfn.XLOOKUP($A3694,Load!$B:$B,Load!C:C,0,)</f>
        <v>0</v>
      </c>
      <c r="C3694">
        <f>_xlfn.XLOOKUP($A3694,Load!$B:$B,Load!D:D,0,)</f>
        <v>0</v>
      </c>
      <c r="D3694">
        <f>_xlfn.XLOOKUP($A3694,Load!$B:$B,Load!E:E,0,)</f>
        <v>0</v>
      </c>
      <c r="E3694">
        <f>_xlfn.XLOOKUP($A3694,Load!$B:$B,Load!F:F,0,)</f>
        <v>0</v>
      </c>
      <c r="F3694">
        <f>_xlfn.XLOOKUP($A3694,Load!$B:$B,Load!G:G,0,)</f>
        <v>0</v>
      </c>
      <c r="G3694">
        <f>_xlfn.XLOOKUP($A3694,Load!$B:$B,Load!H:H,0,)</f>
        <v>0</v>
      </c>
      <c r="H3694">
        <f>_xlfn.XLOOKUP($A3694,Load!$B:$B,Load!I:I,0,)</f>
        <v>0</v>
      </c>
      <c r="I3694">
        <f>_xlfn.XLOOKUP($A3694,Load!$B:$B,Load!J:J,0,)</f>
        <v>0</v>
      </c>
      <c r="J3694">
        <f>_xlfn.XLOOKUP($A3694,Load!$B:$B,Load!K:K,0,)</f>
        <v>0</v>
      </c>
      <c r="K3694">
        <f>_xlfn.XLOOKUP($A3694,Load!$B:$B,Load!L:L,0,)</f>
        <v>0</v>
      </c>
      <c r="L3694">
        <f>_xlfn.XLOOKUP($A3694,Load!$B:$B,Load!M:M,0,)</f>
        <v>0</v>
      </c>
    </row>
    <row r="3695" spans="1:12" x14ac:dyDescent="0.25">
      <c r="B3695">
        <f>_xlfn.XLOOKUP($A3695,Load!$B:$B,Load!C:C,0,)</f>
        <v>0</v>
      </c>
      <c r="C3695">
        <f>_xlfn.XLOOKUP($A3695,Load!$B:$B,Load!D:D,0,)</f>
        <v>0</v>
      </c>
      <c r="D3695">
        <f>_xlfn.XLOOKUP($A3695,Load!$B:$B,Load!E:E,0,)</f>
        <v>0</v>
      </c>
      <c r="E3695">
        <f>_xlfn.XLOOKUP($A3695,Load!$B:$B,Load!F:F,0,)</f>
        <v>0</v>
      </c>
      <c r="F3695">
        <f>_xlfn.XLOOKUP($A3695,Load!$B:$B,Load!G:G,0,)</f>
        <v>0</v>
      </c>
      <c r="G3695">
        <f>_xlfn.XLOOKUP($A3695,Load!$B:$B,Load!H:H,0,)</f>
        <v>0</v>
      </c>
      <c r="H3695">
        <f>_xlfn.XLOOKUP($A3695,Load!$B:$B,Load!I:I,0,)</f>
        <v>0</v>
      </c>
      <c r="I3695">
        <f>_xlfn.XLOOKUP($A3695,Load!$B:$B,Load!J:J,0,)</f>
        <v>0</v>
      </c>
      <c r="J3695">
        <f>_xlfn.XLOOKUP($A3695,Load!$B:$B,Load!K:K,0,)</f>
        <v>0</v>
      </c>
      <c r="K3695">
        <f>_xlfn.XLOOKUP($A3695,Load!$B:$B,Load!L:L,0,)</f>
        <v>0</v>
      </c>
      <c r="L3695">
        <f>_xlfn.XLOOKUP($A3695,Load!$B:$B,Load!M:M,0,)</f>
        <v>0</v>
      </c>
    </row>
    <row r="3696" spans="1:12" x14ac:dyDescent="0.25">
      <c r="A3696" t="s">
        <v>170</v>
      </c>
      <c r="B3696" t="str">
        <f>_xlfn.XLOOKUP($A3696,Load!$B:$B,Load!C:C,0,)</f>
        <v>Laffy Taffy</v>
      </c>
      <c r="C3696" t="str">
        <f>_xlfn.XLOOKUP($A3696,Load!$B:$B,Load!D:D,0,)</f>
        <v>Non-Chocolate Candy Only</v>
      </c>
      <c r="D3696" t="str">
        <f>_xlfn.XLOOKUP($A3696,Load!$B:$B,Load!E:E,0,)</f>
        <v>Fruit Flavor (Cherry, Grape, Apple, Citrus, Tropical Fruit)</v>
      </c>
      <c r="E3696" t="str">
        <f>_xlfn.XLOOKUP($A3696,Load!$B:$B,Load!F:F,0,)</f>
        <v>Taffy</v>
      </c>
      <c r="F3696" t="str">
        <f>_xlfn.XLOOKUP($A3696,Load!$B:$B,Load!G:G,0,)</f>
        <v>Large Multipack (More than 80 ct)</v>
      </c>
      <c r="G3696" t="str">
        <f>_xlfn.XLOOKUP($A3696,Load!$B:$B,Load!H:H,0,)</f>
        <v>Stand-Up Bag</v>
      </c>
      <c r="H3696" t="str">
        <f>_xlfn.XLOOKUP($A3696,Load!$B:$B,Load!I:I,0,)</f>
        <v>Everyday Candy Shapes (like Original, Gummy bear, Fruit, Jewels, etc.)</v>
      </c>
      <c r="I3696" t="str">
        <f>_xlfn.XLOOKUP($A3696,Load!$B:$B,Load!J:J,0,)</f>
        <v>Everyday Graphics</v>
      </c>
      <c r="J3696" t="str">
        <f>_xlfn.XLOOKUP($A3696,Load!$B:$B,Load!K:K,0,)</f>
        <v>Fun Size / Treat Size</v>
      </c>
      <c r="K3696" t="str">
        <f>_xlfn.XLOOKUP($A3696,Load!$B:$B,Load!L:L,0,)</f>
        <v>Regular/Original Wrapping</v>
      </c>
      <c r="L3696" t="str">
        <f>_xlfn.XLOOKUP($A3696,Load!$B:$B,Load!M:M,0,)</f>
        <v>Single Brand / Variety Flavors or Form</v>
      </c>
    </row>
    <row r="3697" spans="1:12" x14ac:dyDescent="0.25">
      <c r="A3697" t="s">
        <v>181</v>
      </c>
      <c r="B3697" t="str">
        <f>_xlfn.XLOOKUP($A3697,Load!$B:$B,Load!C:C,0,)</f>
        <v>Mars Variety Pack</v>
      </c>
      <c r="C3697" t="str">
        <f>_xlfn.XLOOKUP($A3697,Load!$B:$B,Load!D:D,0,)</f>
        <v>Mix of Chocolate and Non-Chocolate Candy</v>
      </c>
      <c r="D3697" t="str">
        <f>_xlfn.XLOOKUP($A3697,Load!$B:$B,Load!E:E,0,)</f>
        <v>Variety / Mixed Flavors (Fruity, Sour, Seasonal Flavors)</v>
      </c>
      <c r="E3697" t="str">
        <f>_xlfn.XLOOKUP($A3697,Load!$B:$B,Load!F:F,0,)</f>
        <v>Mixed / Combo Packs (Gummy, Chewy, Taffy, etc.)</v>
      </c>
      <c r="F3697" t="str">
        <f>_xlfn.XLOOKUP($A3697,Load!$B:$B,Load!G:G,0,)</f>
        <v>Large Multipack (More than 80 ct)</v>
      </c>
      <c r="G3697" t="str">
        <f>_xlfn.XLOOKUP($A3697,Load!$B:$B,Load!H:H,0,)</f>
        <v>Stand-Up Bag</v>
      </c>
      <c r="H3697" t="str">
        <f>_xlfn.XLOOKUP($A3697,Load!$B:$B,Load!I:I,0,)</f>
        <v>Everyday Candy Shapes (like Original, Gummy bear, Fruit, Jewels, etc.)</v>
      </c>
      <c r="I3697" t="str">
        <f>_xlfn.XLOOKUP($A3697,Load!$B:$B,Load!J:J,0,)</f>
        <v>Seasonal Graphics (Like Bat, Ghost, Pumpkin, Fall Leaves, Eyeballs, etc.)</v>
      </c>
      <c r="J3697" t="str">
        <f>_xlfn.XLOOKUP($A3697,Load!$B:$B,Load!K:K,0,)</f>
        <v>Fun Size / Treat Size</v>
      </c>
      <c r="K3697" t="str">
        <f>_xlfn.XLOOKUP($A3697,Load!$B:$B,Load!L:L,0,)</f>
        <v>Regular/Original Wrapping</v>
      </c>
      <c r="L3697" t="str">
        <f>_xlfn.XLOOKUP($A3697,Load!$B:$B,Load!M:M,0,)</f>
        <v>Multiple Brands / Variety Flavors or Form</v>
      </c>
    </row>
    <row r="3698" spans="1:12" x14ac:dyDescent="0.25">
      <c r="A3698" t="s">
        <v>90</v>
      </c>
      <c r="B3698" t="str">
        <f>_xlfn.XLOOKUP($A3698,Load!$B:$B,Load!C:C,0,)</f>
        <v>Ferrara Variety Pack</v>
      </c>
      <c r="C3698" t="str">
        <f>_xlfn.XLOOKUP($A3698,Load!$B:$B,Load!D:D,0,)</f>
        <v>Non-Chocolate Candy Only</v>
      </c>
      <c r="D3698" t="str">
        <f>_xlfn.XLOOKUP($A3698,Load!$B:$B,Load!E:E,0,)</f>
        <v>Variety / Mixed Flavors (Fruity, Sour, Seasonal Flavors)</v>
      </c>
      <c r="E3698" t="str">
        <f>_xlfn.XLOOKUP($A3698,Load!$B:$B,Load!F:F,0,)</f>
        <v>Mixed / Combo Packs (Gummy, Chewy, Taffy, etc.)</v>
      </c>
      <c r="F3698" t="str">
        <f>_xlfn.XLOOKUP($A3698,Load!$B:$B,Load!G:G,0,)</f>
        <v>Large Multipack (More than 80 ct)</v>
      </c>
      <c r="G3698" t="str">
        <f>_xlfn.XLOOKUP($A3698,Load!$B:$B,Load!H:H,0,)</f>
        <v>Stand-Up Bag</v>
      </c>
      <c r="H3698" t="str">
        <f>_xlfn.XLOOKUP($A3698,Load!$B:$B,Load!I:I,0,)</f>
        <v>Everyday Candy Shapes (like Original, Gummy bear, Fruit, Jewels, etc.)</v>
      </c>
      <c r="I3698" t="str">
        <f>_xlfn.XLOOKUP($A3698,Load!$B:$B,Load!J:J,0,)</f>
        <v>Seasonal Graphics (Like Bat, Ghost, Pumpkin, Fall Leaves, Eyeballs, etc.)</v>
      </c>
      <c r="J3698" t="str">
        <f>_xlfn.XLOOKUP($A3698,Load!$B:$B,Load!K:K,0,)</f>
        <v xml:space="preserve">Variety Candy Sizes </v>
      </c>
      <c r="K3698" t="str">
        <f>_xlfn.XLOOKUP($A3698,Load!$B:$B,Load!L:L,0,)</f>
        <v>Regular/Original Wrapping</v>
      </c>
      <c r="L3698" t="str">
        <f>_xlfn.XLOOKUP($A3698,Load!$B:$B,Load!M:M,0,)</f>
        <v>Multiple Brands / Variety Flavors or Form</v>
      </c>
    </row>
    <row r="3699" spans="1:12" x14ac:dyDescent="0.25">
      <c r="B3699">
        <f>_xlfn.XLOOKUP($A3699,Load!$B:$B,Load!C:C,0,)</f>
        <v>0</v>
      </c>
      <c r="C3699">
        <f>_xlfn.XLOOKUP($A3699,Load!$B:$B,Load!D:D,0,)</f>
        <v>0</v>
      </c>
      <c r="D3699">
        <f>_xlfn.XLOOKUP($A3699,Load!$B:$B,Load!E:E,0,)</f>
        <v>0</v>
      </c>
      <c r="E3699">
        <f>_xlfn.XLOOKUP($A3699,Load!$B:$B,Load!F:F,0,)</f>
        <v>0</v>
      </c>
      <c r="F3699">
        <f>_xlfn.XLOOKUP($A3699,Load!$B:$B,Load!G:G,0,)</f>
        <v>0</v>
      </c>
      <c r="G3699">
        <f>_xlfn.XLOOKUP($A3699,Load!$B:$B,Load!H:H,0,)</f>
        <v>0</v>
      </c>
      <c r="H3699">
        <f>_xlfn.XLOOKUP($A3699,Load!$B:$B,Load!I:I,0,)</f>
        <v>0</v>
      </c>
      <c r="I3699">
        <f>_xlfn.XLOOKUP($A3699,Load!$B:$B,Load!J:J,0,)</f>
        <v>0</v>
      </c>
      <c r="J3699">
        <f>_xlfn.XLOOKUP($A3699,Load!$B:$B,Load!K:K,0,)</f>
        <v>0</v>
      </c>
      <c r="K3699">
        <f>_xlfn.XLOOKUP($A3699,Load!$B:$B,Load!L:L,0,)</f>
        <v>0</v>
      </c>
      <c r="L3699">
        <f>_xlfn.XLOOKUP($A3699,Load!$B:$B,Load!M:M,0,)</f>
        <v>0</v>
      </c>
    </row>
    <row r="3700" spans="1:12" x14ac:dyDescent="0.25">
      <c r="B3700">
        <f>_xlfn.XLOOKUP($A3700,Load!$B:$B,Load!C:C,0,)</f>
        <v>0</v>
      </c>
      <c r="C3700">
        <f>_xlfn.XLOOKUP($A3700,Load!$B:$B,Load!D:D,0,)</f>
        <v>0</v>
      </c>
      <c r="D3700">
        <f>_xlfn.XLOOKUP($A3700,Load!$B:$B,Load!E:E,0,)</f>
        <v>0</v>
      </c>
      <c r="E3700">
        <f>_xlfn.XLOOKUP($A3700,Load!$B:$B,Load!F:F,0,)</f>
        <v>0</v>
      </c>
      <c r="F3700">
        <f>_xlfn.XLOOKUP($A3700,Load!$B:$B,Load!G:G,0,)</f>
        <v>0</v>
      </c>
      <c r="G3700">
        <f>_xlfn.XLOOKUP($A3700,Load!$B:$B,Load!H:H,0,)</f>
        <v>0</v>
      </c>
      <c r="H3700">
        <f>_xlfn.XLOOKUP($A3700,Load!$B:$B,Load!I:I,0,)</f>
        <v>0</v>
      </c>
      <c r="I3700">
        <f>_xlfn.XLOOKUP($A3700,Load!$B:$B,Load!J:J,0,)</f>
        <v>0</v>
      </c>
      <c r="J3700">
        <f>_xlfn.XLOOKUP($A3700,Load!$B:$B,Load!K:K,0,)</f>
        <v>0</v>
      </c>
      <c r="K3700">
        <f>_xlfn.XLOOKUP($A3700,Load!$B:$B,Load!L:L,0,)</f>
        <v>0</v>
      </c>
      <c r="L3700">
        <f>_xlfn.XLOOKUP($A3700,Load!$B:$B,Load!M:M,0,)</f>
        <v>0</v>
      </c>
    </row>
    <row r="3701" spans="1:12" x14ac:dyDescent="0.25">
      <c r="B3701">
        <f>_xlfn.XLOOKUP($A3701,Load!$B:$B,Load!C:C,0,)</f>
        <v>0</v>
      </c>
      <c r="C3701">
        <f>_xlfn.XLOOKUP($A3701,Load!$B:$B,Load!D:D,0,)</f>
        <v>0</v>
      </c>
      <c r="D3701">
        <f>_xlfn.XLOOKUP($A3701,Load!$B:$B,Load!E:E,0,)</f>
        <v>0</v>
      </c>
      <c r="E3701">
        <f>_xlfn.XLOOKUP($A3701,Load!$B:$B,Load!F:F,0,)</f>
        <v>0</v>
      </c>
      <c r="F3701">
        <f>_xlfn.XLOOKUP($A3701,Load!$B:$B,Load!G:G,0,)</f>
        <v>0</v>
      </c>
      <c r="G3701">
        <f>_xlfn.XLOOKUP($A3701,Load!$B:$B,Load!H:H,0,)</f>
        <v>0</v>
      </c>
      <c r="H3701">
        <f>_xlfn.XLOOKUP($A3701,Load!$B:$B,Load!I:I,0,)</f>
        <v>0</v>
      </c>
      <c r="I3701">
        <f>_xlfn.XLOOKUP($A3701,Load!$B:$B,Load!J:J,0,)</f>
        <v>0</v>
      </c>
      <c r="J3701">
        <f>_xlfn.XLOOKUP($A3701,Load!$B:$B,Load!K:K,0,)</f>
        <v>0</v>
      </c>
      <c r="K3701">
        <f>_xlfn.XLOOKUP($A3701,Load!$B:$B,Load!L:L,0,)</f>
        <v>0</v>
      </c>
      <c r="L3701">
        <f>_xlfn.XLOOKUP($A3701,Load!$B:$B,Load!M:M,0,)</f>
        <v>0</v>
      </c>
    </row>
    <row r="3702" spans="1:12" x14ac:dyDescent="0.25">
      <c r="B3702">
        <f>_xlfn.XLOOKUP($A3702,Load!$B:$B,Load!C:C,0,)</f>
        <v>0</v>
      </c>
      <c r="C3702">
        <f>_xlfn.XLOOKUP($A3702,Load!$B:$B,Load!D:D,0,)</f>
        <v>0</v>
      </c>
      <c r="D3702">
        <f>_xlfn.XLOOKUP($A3702,Load!$B:$B,Load!E:E,0,)</f>
        <v>0</v>
      </c>
      <c r="E3702">
        <f>_xlfn.XLOOKUP($A3702,Load!$B:$B,Load!F:F,0,)</f>
        <v>0</v>
      </c>
      <c r="F3702">
        <f>_xlfn.XLOOKUP($A3702,Load!$B:$B,Load!G:G,0,)</f>
        <v>0</v>
      </c>
      <c r="G3702">
        <f>_xlfn.XLOOKUP($A3702,Load!$B:$B,Load!H:H,0,)</f>
        <v>0</v>
      </c>
      <c r="H3702">
        <f>_xlfn.XLOOKUP($A3702,Load!$B:$B,Load!I:I,0,)</f>
        <v>0</v>
      </c>
      <c r="I3702">
        <f>_xlfn.XLOOKUP($A3702,Load!$B:$B,Load!J:J,0,)</f>
        <v>0</v>
      </c>
      <c r="J3702">
        <f>_xlfn.XLOOKUP($A3702,Load!$B:$B,Load!K:K,0,)</f>
        <v>0</v>
      </c>
      <c r="K3702">
        <f>_xlfn.XLOOKUP($A3702,Load!$B:$B,Load!L:L,0,)</f>
        <v>0</v>
      </c>
      <c r="L3702">
        <f>_xlfn.XLOOKUP($A3702,Load!$B:$B,Load!M:M,0,)</f>
        <v>0</v>
      </c>
    </row>
    <row r="3703" spans="1:12" x14ac:dyDescent="0.25">
      <c r="B3703">
        <f>_xlfn.XLOOKUP($A3703,Load!$B:$B,Load!C:C,0,)</f>
        <v>0</v>
      </c>
      <c r="C3703">
        <f>_xlfn.XLOOKUP($A3703,Load!$B:$B,Load!D:D,0,)</f>
        <v>0</v>
      </c>
      <c r="D3703">
        <f>_xlfn.XLOOKUP($A3703,Load!$B:$B,Load!E:E,0,)</f>
        <v>0</v>
      </c>
      <c r="E3703">
        <f>_xlfn.XLOOKUP($A3703,Load!$B:$B,Load!F:F,0,)</f>
        <v>0</v>
      </c>
      <c r="F3703">
        <f>_xlfn.XLOOKUP($A3703,Load!$B:$B,Load!G:G,0,)</f>
        <v>0</v>
      </c>
      <c r="G3703">
        <f>_xlfn.XLOOKUP($A3703,Load!$B:$B,Load!H:H,0,)</f>
        <v>0</v>
      </c>
      <c r="H3703">
        <f>_xlfn.XLOOKUP($A3703,Load!$B:$B,Load!I:I,0,)</f>
        <v>0</v>
      </c>
      <c r="I3703">
        <f>_xlfn.XLOOKUP($A3703,Load!$B:$B,Load!J:J,0,)</f>
        <v>0</v>
      </c>
      <c r="J3703">
        <f>_xlfn.XLOOKUP($A3703,Load!$B:$B,Load!K:K,0,)</f>
        <v>0</v>
      </c>
      <c r="K3703">
        <f>_xlfn.XLOOKUP($A3703,Load!$B:$B,Load!L:L,0,)</f>
        <v>0</v>
      </c>
      <c r="L3703">
        <f>_xlfn.XLOOKUP($A3703,Load!$B:$B,Load!M:M,0,)</f>
        <v>0</v>
      </c>
    </row>
    <row r="3704" spans="1:12" x14ac:dyDescent="0.25">
      <c r="B3704">
        <f>_xlfn.XLOOKUP($A3704,Load!$B:$B,Load!C:C,0,)</f>
        <v>0</v>
      </c>
      <c r="C3704">
        <f>_xlfn.XLOOKUP($A3704,Load!$B:$B,Load!D:D,0,)</f>
        <v>0</v>
      </c>
      <c r="D3704">
        <f>_xlfn.XLOOKUP($A3704,Load!$B:$B,Load!E:E,0,)</f>
        <v>0</v>
      </c>
      <c r="E3704">
        <f>_xlfn.XLOOKUP($A3704,Load!$B:$B,Load!F:F,0,)</f>
        <v>0</v>
      </c>
      <c r="F3704">
        <f>_xlfn.XLOOKUP($A3704,Load!$B:$B,Load!G:G,0,)</f>
        <v>0</v>
      </c>
      <c r="G3704">
        <f>_xlfn.XLOOKUP($A3704,Load!$B:$B,Load!H:H,0,)</f>
        <v>0</v>
      </c>
      <c r="H3704">
        <f>_xlfn.XLOOKUP($A3704,Load!$B:$B,Load!I:I,0,)</f>
        <v>0</v>
      </c>
      <c r="I3704">
        <f>_xlfn.XLOOKUP($A3704,Load!$B:$B,Load!J:J,0,)</f>
        <v>0</v>
      </c>
      <c r="J3704">
        <f>_xlfn.XLOOKUP($A3704,Load!$B:$B,Load!K:K,0,)</f>
        <v>0</v>
      </c>
      <c r="K3704">
        <f>_xlfn.XLOOKUP($A3704,Load!$B:$B,Load!L:L,0,)</f>
        <v>0</v>
      </c>
      <c r="L3704">
        <f>_xlfn.XLOOKUP($A3704,Load!$B:$B,Load!M:M,0,)</f>
        <v>0</v>
      </c>
    </row>
    <row r="3705" spans="1:12" x14ac:dyDescent="0.25">
      <c r="B3705">
        <f>_xlfn.XLOOKUP($A3705,Load!$B:$B,Load!C:C,0,)</f>
        <v>0</v>
      </c>
      <c r="C3705">
        <f>_xlfn.XLOOKUP($A3705,Load!$B:$B,Load!D:D,0,)</f>
        <v>0</v>
      </c>
      <c r="D3705">
        <f>_xlfn.XLOOKUP($A3705,Load!$B:$B,Load!E:E,0,)</f>
        <v>0</v>
      </c>
      <c r="E3705">
        <f>_xlfn.XLOOKUP($A3705,Load!$B:$B,Load!F:F,0,)</f>
        <v>0</v>
      </c>
      <c r="F3705">
        <f>_xlfn.XLOOKUP($A3705,Load!$B:$B,Load!G:G,0,)</f>
        <v>0</v>
      </c>
      <c r="G3705">
        <f>_xlfn.XLOOKUP($A3705,Load!$B:$B,Load!H:H,0,)</f>
        <v>0</v>
      </c>
      <c r="H3705">
        <f>_xlfn.XLOOKUP($A3705,Load!$B:$B,Load!I:I,0,)</f>
        <v>0</v>
      </c>
      <c r="I3705">
        <f>_xlfn.XLOOKUP($A3705,Load!$B:$B,Load!J:J,0,)</f>
        <v>0</v>
      </c>
      <c r="J3705">
        <f>_xlfn.XLOOKUP($A3705,Load!$B:$B,Load!K:K,0,)</f>
        <v>0</v>
      </c>
      <c r="K3705">
        <f>_xlfn.XLOOKUP($A3705,Load!$B:$B,Load!L:L,0,)</f>
        <v>0</v>
      </c>
      <c r="L3705">
        <f>_xlfn.XLOOKUP($A3705,Load!$B:$B,Load!M:M,0,)</f>
        <v>0</v>
      </c>
    </row>
    <row r="3706" spans="1:12" x14ac:dyDescent="0.25">
      <c r="A3706" t="s">
        <v>71</v>
      </c>
      <c r="B3706" t="str">
        <f>_xlfn.XLOOKUP($A3706,Load!$B:$B,Load!C:C,0,)</f>
        <v>Dum Dums</v>
      </c>
      <c r="C3706" t="str">
        <f>_xlfn.XLOOKUP($A3706,Load!$B:$B,Load!D:D,0,)</f>
        <v>Non-Chocolate Candy Only</v>
      </c>
      <c r="D3706" t="str">
        <f>_xlfn.XLOOKUP($A3706,Load!$B:$B,Load!E:E,0,)</f>
        <v>Sweet</v>
      </c>
      <c r="E3706" t="str">
        <f>_xlfn.XLOOKUP($A3706,Load!$B:$B,Load!F:F,0,)</f>
        <v>Lollipop (regular or lollipop rings)</v>
      </c>
      <c r="F3706" t="str">
        <f>_xlfn.XLOOKUP($A3706,Load!$B:$B,Load!G:G,0,)</f>
        <v>Large Multipack (More than 80 ct)</v>
      </c>
      <c r="G3706" t="str">
        <f>_xlfn.XLOOKUP($A3706,Load!$B:$B,Load!H:H,0,)</f>
        <v>Stand-Up Bag</v>
      </c>
      <c r="H3706" t="str">
        <f>_xlfn.XLOOKUP($A3706,Load!$B:$B,Load!I:I,0,)</f>
        <v>Everyday Candy Shapes (like Original, Gummy bear, Fruit, Jewels, etc.)</v>
      </c>
      <c r="I3706" t="str">
        <f>_xlfn.XLOOKUP($A3706,Load!$B:$B,Load!J:J,0,)</f>
        <v>Seasonal Graphics (Like Bat, Ghost, Pumpkin, Fall Leaves, Eyeballs, etc.)</v>
      </c>
      <c r="J3706" t="str">
        <f>_xlfn.XLOOKUP($A3706,Load!$B:$B,Load!K:K,0,)</f>
        <v>Regular Lollipop size (on sticks or rings)</v>
      </c>
      <c r="K3706" t="str">
        <f>_xlfn.XLOOKUP($A3706,Load!$B:$B,Load!L:L,0,)</f>
        <v>Regular/Original Wrapping</v>
      </c>
      <c r="L3706" t="str">
        <f>_xlfn.XLOOKUP($A3706,Load!$B:$B,Load!M:M,0,)</f>
        <v>Multiple Brands / Variety Flavors or Form</v>
      </c>
    </row>
    <row r="3707" spans="1:12" x14ac:dyDescent="0.25">
      <c r="B3707">
        <f>_xlfn.XLOOKUP($A3707,Load!$B:$B,Load!C:C,0,)</f>
        <v>0</v>
      </c>
      <c r="C3707">
        <f>_xlfn.XLOOKUP($A3707,Load!$B:$B,Load!D:D,0,)</f>
        <v>0</v>
      </c>
      <c r="D3707">
        <f>_xlfn.XLOOKUP($A3707,Load!$B:$B,Load!E:E,0,)</f>
        <v>0</v>
      </c>
      <c r="E3707">
        <f>_xlfn.XLOOKUP($A3707,Load!$B:$B,Load!F:F,0,)</f>
        <v>0</v>
      </c>
      <c r="F3707">
        <f>_xlfn.XLOOKUP($A3707,Load!$B:$B,Load!G:G,0,)</f>
        <v>0</v>
      </c>
      <c r="G3707">
        <f>_xlfn.XLOOKUP($A3707,Load!$B:$B,Load!H:H,0,)</f>
        <v>0</v>
      </c>
      <c r="H3707">
        <f>_xlfn.XLOOKUP($A3707,Load!$B:$B,Load!I:I,0,)</f>
        <v>0</v>
      </c>
      <c r="I3707">
        <f>_xlfn.XLOOKUP($A3707,Load!$B:$B,Load!J:J,0,)</f>
        <v>0</v>
      </c>
      <c r="J3707">
        <f>_xlfn.XLOOKUP($A3707,Load!$B:$B,Load!K:K,0,)</f>
        <v>0</v>
      </c>
      <c r="K3707">
        <f>_xlfn.XLOOKUP($A3707,Load!$B:$B,Load!L:L,0,)</f>
        <v>0</v>
      </c>
      <c r="L3707">
        <f>_xlfn.XLOOKUP($A3707,Load!$B:$B,Load!M:M,0,)</f>
        <v>0</v>
      </c>
    </row>
    <row r="3708" spans="1:12" x14ac:dyDescent="0.25">
      <c r="A3708" t="s">
        <v>49</v>
      </c>
      <c r="B3708" t="str">
        <f>_xlfn.XLOOKUP($A3708,Load!$B:$B,Load!C:C,0,)</f>
        <v>Brach's</v>
      </c>
      <c r="C3708" t="str">
        <f>_xlfn.XLOOKUP($A3708,Load!$B:$B,Load!D:D,0,)</f>
        <v>Non-Chocolate Candy Only</v>
      </c>
      <c r="D3708" t="str">
        <f>_xlfn.XLOOKUP($A3708,Load!$B:$B,Load!E:E,0,)</f>
        <v>Fall / Seasonal Flavors (pumpkin spice, caramel apple, candy corn)</v>
      </c>
      <c r="E3708" t="str">
        <f>_xlfn.XLOOKUP($A3708,Load!$B:$B,Load!F:F,0,)</f>
        <v>Candy Pieces / Bites</v>
      </c>
      <c r="F3708" t="str">
        <f>_xlfn.XLOOKUP($A3708,Load!$B:$B,Load!G:G,0,)</f>
        <v>Large Multipack (More than 80 ct)</v>
      </c>
      <c r="G3708" t="str">
        <f>_xlfn.XLOOKUP($A3708,Load!$B:$B,Load!H:H,0,)</f>
        <v>Laydown Bag</v>
      </c>
      <c r="H3708" t="str">
        <f>_xlfn.XLOOKUP($A3708,Load!$B:$B,Load!I:I,0,)</f>
        <v>Seasonal Shapes (like pumpkins, candy corn, ghost, bats, etc.)</v>
      </c>
      <c r="I3708" t="str">
        <f>_xlfn.XLOOKUP($A3708,Load!$B:$B,Load!J:J,0,)</f>
        <v>Seasonal Graphics (Like Bat, Ghost, Pumpkin, Fall Leaves, Eyeballs, etc.)</v>
      </c>
      <c r="J3708" t="str">
        <f>_xlfn.XLOOKUP($A3708,Load!$B:$B,Load!K:K,0,)</f>
        <v>Small Pieces (Tiny bite size candies)</v>
      </c>
      <c r="K3708" t="str">
        <f>_xlfn.XLOOKUP($A3708,Load!$B:$B,Load!L:L,0,)</f>
        <v>Unwrapped</v>
      </c>
      <c r="L3708" t="str">
        <f>_xlfn.XLOOKUP($A3708,Load!$B:$B,Load!M:M,0,)</f>
        <v>Single Brand / Single Flavor or Form</v>
      </c>
    </row>
    <row r="3709" spans="1:12" x14ac:dyDescent="0.25">
      <c r="B3709">
        <f>_xlfn.XLOOKUP($A3709,Load!$B:$B,Load!C:C,0,)</f>
        <v>0</v>
      </c>
      <c r="C3709">
        <f>_xlfn.XLOOKUP($A3709,Load!$B:$B,Load!D:D,0,)</f>
        <v>0</v>
      </c>
      <c r="D3709">
        <f>_xlfn.XLOOKUP($A3709,Load!$B:$B,Load!E:E,0,)</f>
        <v>0</v>
      </c>
      <c r="E3709">
        <f>_xlfn.XLOOKUP($A3709,Load!$B:$B,Load!F:F,0,)</f>
        <v>0</v>
      </c>
      <c r="F3709">
        <f>_xlfn.XLOOKUP($A3709,Load!$B:$B,Load!G:G,0,)</f>
        <v>0</v>
      </c>
      <c r="G3709">
        <f>_xlfn.XLOOKUP($A3709,Load!$B:$B,Load!H:H,0,)</f>
        <v>0</v>
      </c>
      <c r="H3709">
        <f>_xlfn.XLOOKUP($A3709,Load!$B:$B,Load!I:I,0,)</f>
        <v>0</v>
      </c>
      <c r="I3709">
        <f>_xlfn.XLOOKUP($A3709,Load!$B:$B,Load!J:J,0,)</f>
        <v>0</v>
      </c>
      <c r="J3709">
        <f>_xlfn.XLOOKUP($A3709,Load!$B:$B,Load!K:K,0,)</f>
        <v>0</v>
      </c>
      <c r="K3709">
        <f>_xlfn.XLOOKUP($A3709,Load!$B:$B,Load!L:L,0,)</f>
        <v>0</v>
      </c>
      <c r="L3709">
        <f>_xlfn.XLOOKUP($A3709,Load!$B:$B,Load!M:M,0,)</f>
        <v>0</v>
      </c>
    </row>
    <row r="3710" spans="1:12" x14ac:dyDescent="0.25">
      <c r="B3710">
        <f>_xlfn.XLOOKUP($A3710,Load!$B:$B,Load!C:C,0,)</f>
        <v>0</v>
      </c>
      <c r="C3710">
        <f>_xlfn.XLOOKUP($A3710,Load!$B:$B,Load!D:D,0,)</f>
        <v>0</v>
      </c>
      <c r="D3710">
        <f>_xlfn.XLOOKUP($A3710,Load!$B:$B,Load!E:E,0,)</f>
        <v>0</v>
      </c>
      <c r="E3710">
        <f>_xlfn.XLOOKUP($A3710,Load!$B:$B,Load!F:F,0,)</f>
        <v>0</v>
      </c>
      <c r="F3710">
        <f>_xlfn.XLOOKUP($A3710,Load!$B:$B,Load!G:G,0,)</f>
        <v>0</v>
      </c>
      <c r="G3710">
        <f>_xlfn.XLOOKUP($A3710,Load!$B:$B,Load!H:H,0,)</f>
        <v>0</v>
      </c>
      <c r="H3710">
        <f>_xlfn.XLOOKUP($A3710,Load!$B:$B,Load!I:I,0,)</f>
        <v>0</v>
      </c>
      <c r="I3710">
        <f>_xlfn.XLOOKUP($A3710,Load!$B:$B,Load!J:J,0,)</f>
        <v>0</v>
      </c>
      <c r="J3710">
        <f>_xlfn.XLOOKUP($A3710,Load!$B:$B,Load!K:K,0,)</f>
        <v>0</v>
      </c>
      <c r="K3710">
        <f>_xlfn.XLOOKUP($A3710,Load!$B:$B,Load!L:L,0,)</f>
        <v>0</v>
      </c>
      <c r="L3710">
        <f>_xlfn.XLOOKUP($A3710,Load!$B:$B,Load!M:M,0,)</f>
        <v>0</v>
      </c>
    </row>
    <row r="3711" spans="1:12" x14ac:dyDescent="0.25">
      <c r="B3711">
        <f>_xlfn.XLOOKUP($A3711,Load!$B:$B,Load!C:C,0,)</f>
        <v>0</v>
      </c>
      <c r="C3711">
        <f>_xlfn.XLOOKUP($A3711,Load!$B:$B,Load!D:D,0,)</f>
        <v>0</v>
      </c>
      <c r="D3711">
        <f>_xlfn.XLOOKUP($A3711,Load!$B:$B,Load!E:E,0,)</f>
        <v>0</v>
      </c>
      <c r="E3711">
        <f>_xlfn.XLOOKUP($A3711,Load!$B:$B,Load!F:F,0,)</f>
        <v>0</v>
      </c>
      <c r="F3711">
        <f>_xlfn.XLOOKUP($A3711,Load!$B:$B,Load!G:G,0,)</f>
        <v>0</v>
      </c>
      <c r="G3711">
        <f>_xlfn.XLOOKUP($A3711,Load!$B:$B,Load!H:H,0,)</f>
        <v>0</v>
      </c>
      <c r="H3711">
        <f>_xlfn.XLOOKUP($A3711,Load!$B:$B,Load!I:I,0,)</f>
        <v>0</v>
      </c>
      <c r="I3711">
        <f>_xlfn.XLOOKUP($A3711,Load!$B:$B,Load!J:J,0,)</f>
        <v>0</v>
      </c>
      <c r="J3711">
        <f>_xlfn.XLOOKUP($A3711,Load!$B:$B,Load!K:K,0,)</f>
        <v>0</v>
      </c>
      <c r="K3711">
        <f>_xlfn.XLOOKUP($A3711,Load!$B:$B,Load!L:L,0,)</f>
        <v>0</v>
      </c>
      <c r="L3711">
        <f>_xlfn.XLOOKUP($A3711,Load!$B:$B,Load!M:M,0,)</f>
        <v>0</v>
      </c>
    </row>
    <row r="3712" spans="1:12" x14ac:dyDescent="0.25">
      <c r="A3712" t="s">
        <v>311</v>
      </c>
      <c r="B3712" t="str">
        <f>_xlfn.XLOOKUP($A3712,Load!$B:$B,Load!C:C,0,)</f>
        <v>Werther's Original</v>
      </c>
      <c r="C3712" t="str">
        <f>_xlfn.XLOOKUP($A3712,Load!$B:$B,Load!D:D,0,)</f>
        <v>Non-Chocolate Candy Only</v>
      </c>
      <c r="D3712" t="str">
        <f>_xlfn.XLOOKUP($A3712,Load!$B:$B,Load!E:E,0,)</f>
        <v>Fall / Seasonal Flavors (pumpkin spice, caramel apple, candy corn)</v>
      </c>
      <c r="E3712" t="str">
        <f>_xlfn.XLOOKUP($A3712,Load!$B:$B,Load!F:F,0,)</f>
        <v>Chewy</v>
      </c>
      <c r="F3712" t="str">
        <f>_xlfn.XLOOKUP($A3712,Load!$B:$B,Load!G:G,0,)</f>
        <v>Single Pack</v>
      </c>
      <c r="G3712" t="str">
        <f>_xlfn.XLOOKUP($A3712,Load!$B:$B,Load!H:H,0,)</f>
        <v>Stand-Up Bag</v>
      </c>
      <c r="H3712" t="str">
        <f>_xlfn.XLOOKUP($A3712,Load!$B:$B,Load!I:I,0,)</f>
        <v>Everyday Candy Shapes (like Original, Gummy bear, Fruit, Jewels, etc.)</v>
      </c>
      <c r="I3712" t="str">
        <f>_xlfn.XLOOKUP($A3712,Load!$B:$B,Load!J:J,0,)</f>
        <v>Seasonal Graphics (Like Bat, Ghost, Pumpkin, Fall Leaves, Eyeballs, etc.)</v>
      </c>
      <c r="J3712" t="str">
        <f>_xlfn.XLOOKUP($A3712,Load!$B:$B,Load!K:K,0,)</f>
        <v>Fun Size / Treat Size</v>
      </c>
      <c r="K3712" t="str">
        <f>_xlfn.XLOOKUP($A3712,Load!$B:$B,Load!L:L,0,)</f>
        <v>Regular/Original Wrapping</v>
      </c>
      <c r="L3712" t="str">
        <f>_xlfn.XLOOKUP($A3712,Load!$B:$B,Load!M:M,0,)</f>
        <v>Single Brand / Variety Flavors or Form</v>
      </c>
    </row>
    <row r="3713" spans="1:12" x14ac:dyDescent="0.25">
      <c r="A3713" t="s">
        <v>270</v>
      </c>
      <c r="B3713" t="str">
        <f>_xlfn.XLOOKUP($A3713,Load!$B:$B,Load!C:C,0,)</f>
        <v>Sour Patch Kids</v>
      </c>
      <c r="C3713" t="str">
        <f>_xlfn.XLOOKUP($A3713,Load!$B:$B,Load!D:D,0,)</f>
        <v>Non-Chocolate Candy Only</v>
      </c>
      <c r="D3713" t="str">
        <f>_xlfn.XLOOKUP($A3713,Load!$B:$B,Load!E:E,0,)</f>
        <v>Fruit Flavor (Cherry, Grape, Apple, Citrus, Tropical Fruit)</v>
      </c>
      <c r="E3713" t="str">
        <f>_xlfn.XLOOKUP($A3713,Load!$B:$B,Load!F:F,0,)</f>
        <v>Chewy</v>
      </c>
      <c r="F3713" t="str">
        <f>_xlfn.XLOOKUP($A3713,Load!$B:$B,Load!G:G,0,)</f>
        <v>Small Multipack (Less than 40 ct)</v>
      </c>
      <c r="G3713" t="str">
        <f>_xlfn.XLOOKUP($A3713,Load!$B:$B,Load!H:H,0,)</f>
        <v>Box (theatre box, gift box, carton)</v>
      </c>
      <c r="H3713" t="str">
        <f>_xlfn.XLOOKUP($A3713,Load!$B:$B,Load!I:I,0,)</f>
        <v>Everyday Candy Shapes (like Original, Gummy bear, Fruit, Jewels, etc.)</v>
      </c>
      <c r="I3713" t="str">
        <f>_xlfn.XLOOKUP($A3713,Load!$B:$B,Load!J:J,0,)</f>
        <v>Seasonal Graphics (Like Bat, Ghost, Pumpkin, Fall Leaves, Eyeballs, etc.)</v>
      </c>
      <c r="J3713" t="str">
        <f>_xlfn.XLOOKUP($A3713,Load!$B:$B,Load!K:K,0,)</f>
        <v>Small Pieces (Tiny bite size candies)</v>
      </c>
      <c r="K3713" t="str">
        <f>_xlfn.XLOOKUP($A3713,Load!$B:$B,Load!L:L,0,)</f>
        <v>Unwrapped</v>
      </c>
      <c r="L3713" t="str">
        <f>_xlfn.XLOOKUP($A3713,Load!$B:$B,Load!M:M,0,)</f>
        <v>Single Brand / Variety Flavors or Form</v>
      </c>
    </row>
    <row r="3714" spans="1:12" x14ac:dyDescent="0.25">
      <c r="B3714">
        <f>_xlfn.XLOOKUP($A3714,Load!$B:$B,Load!C:C,0,)</f>
        <v>0</v>
      </c>
      <c r="C3714">
        <f>_xlfn.XLOOKUP($A3714,Load!$B:$B,Load!D:D,0,)</f>
        <v>0</v>
      </c>
      <c r="D3714">
        <f>_xlfn.XLOOKUP($A3714,Load!$B:$B,Load!E:E,0,)</f>
        <v>0</v>
      </c>
      <c r="E3714">
        <f>_xlfn.XLOOKUP($A3714,Load!$B:$B,Load!F:F,0,)</f>
        <v>0</v>
      </c>
      <c r="F3714">
        <f>_xlfn.XLOOKUP($A3714,Load!$B:$B,Load!G:G,0,)</f>
        <v>0</v>
      </c>
      <c r="G3714">
        <f>_xlfn.XLOOKUP($A3714,Load!$B:$B,Load!H:H,0,)</f>
        <v>0</v>
      </c>
      <c r="H3714">
        <f>_xlfn.XLOOKUP($A3714,Load!$B:$B,Load!I:I,0,)</f>
        <v>0</v>
      </c>
      <c r="I3714">
        <f>_xlfn.XLOOKUP($A3714,Load!$B:$B,Load!J:J,0,)</f>
        <v>0</v>
      </c>
      <c r="J3714">
        <f>_xlfn.XLOOKUP($A3714,Load!$B:$B,Load!K:K,0,)</f>
        <v>0</v>
      </c>
      <c r="K3714">
        <f>_xlfn.XLOOKUP($A3714,Load!$B:$B,Load!L:L,0,)</f>
        <v>0</v>
      </c>
      <c r="L3714">
        <f>_xlfn.XLOOKUP($A3714,Load!$B:$B,Load!M:M,0,)</f>
        <v>0</v>
      </c>
    </row>
    <row r="3715" spans="1:12" x14ac:dyDescent="0.25">
      <c r="B3715">
        <f>_xlfn.XLOOKUP($A3715,Load!$B:$B,Load!C:C,0,)</f>
        <v>0</v>
      </c>
      <c r="C3715">
        <f>_xlfn.XLOOKUP($A3715,Load!$B:$B,Load!D:D,0,)</f>
        <v>0</v>
      </c>
      <c r="D3715">
        <f>_xlfn.XLOOKUP($A3715,Load!$B:$B,Load!E:E,0,)</f>
        <v>0</v>
      </c>
      <c r="E3715">
        <f>_xlfn.XLOOKUP($A3715,Load!$B:$B,Load!F:F,0,)</f>
        <v>0</v>
      </c>
      <c r="F3715">
        <f>_xlfn.XLOOKUP($A3715,Load!$B:$B,Load!G:G,0,)</f>
        <v>0</v>
      </c>
      <c r="G3715">
        <f>_xlfn.XLOOKUP($A3715,Load!$B:$B,Load!H:H,0,)</f>
        <v>0</v>
      </c>
      <c r="H3715">
        <f>_xlfn.XLOOKUP($A3715,Load!$B:$B,Load!I:I,0,)</f>
        <v>0</v>
      </c>
      <c r="I3715">
        <f>_xlfn.XLOOKUP($A3715,Load!$B:$B,Load!J:J,0,)</f>
        <v>0</v>
      </c>
      <c r="J3715">
        <f>_xlfn.XLOOKUP($A3715,Load!$B:$B,Load!K:K,0,)</f>
        <v>0</v>
      </c>
      <c r="K3715">
        <f>_xlfn.XLOOKUP($A3715,Load!$B:$B,Load!L:L,0,)</f>
        <v>0</v>
      </c>
      <c r="L3715">
        <f>_xlfn.XLOOKUP($A3715,Load!$B:$B,Load!M:M,0,)</f>
        <v>0</v>
      </c>
    </row>
    <row r="3716" spans="1:12" x14ac:dyDescent="0.25">
      <c r="B3716">
        <f>_xlfn.XLOOKUP($A3716,Load!$B:$B,Load!C:C,0,)</f>
        <v>0</v>
      </c>
      <c r="C3716">
        <f>_xlfn.XLOOKUP($A3716,Load!$B:$B,Load!D:D,0,)</f>
        <v>0</v>
      </c>
      <c r="D3716">
        <f>_xlfn.XLOOKUP($A3716,Load!$B:$B,Load!E:E,0,)</f>
        <v>0</v>
      </c>
      <c r="E3716">
        <f>_xlfn.XLOOKUP($A3716,Load!$B:$B,Load!F:F,0,)</f>
        <v>0</v>
      </c>
      <c r="F3716">
        <f>_xlfn.XLOOKUP($A3716,Load!$B:$B,Load!G:G,0,)</f>
        <v>0</v>
      </c>
      <c r="G3716">
        <f>_xlfn.XLOOKUP($A3716,Load!$B:$B,Load!H:H,0,)</f>
        <v>0</v>
      </c>
      <c r="H3716">
        <f>_xlfn.XLOOKUP($A3716,Load!$B:$B,Load!I:I,0,)</f>
        <v>0</v>
      </c>
      <c r="I3716">
        <f>_xlfn.XLOOKUP($A3716,Load!$B:$B,Load!J:J,0,)</f>
        <v>0</v>
      </c>
      <c r="J3716">
        <f>_xlfn.XLOOKUP($A3716,Load!$B:$B,Load!K:K,0,)</f>
        <v>0</v>
      </c>
      <c r="K3716">
        <f>_xlfn.XLOOKUP($A3716,Load!$B:$B,Load!L:L,0,)</f>
        <v>0</v>
      </c>
      <c r="L3716">
        <f>_xlfn.XLOOKUP($A3716,Load!$B:$B,Load!M:M,0,)</f>
        <v>0</v>
      </c>
    </row>
    <row r="3717" spans="1:12" x14ac:dyDescent="0.25">
      <c r="B3717">
        <f>_xlfn.XLOOKUP($A3717,Load!$B:$B,Load!C:C,0,)</f>
        <v>0</v>
      </c>
      <c r="C3717">
        <f>_xlfn.XLOOKUP($A3717,Load!$B:$B,Load!D:D,0,)</f>
        <v>0</v>
      </c>
      <c r="D3717">
        <f>_xlfn.XLOOKUP($A3717,Load!$B:$B,Load!E:E,0,)</f>
        <v>0</v>
      </c>
      <c r="E3717">
        <f>_xlfn.XLOOKUP($A3717,Load!$B:$B,Load!F:F,0,)</f>
        <v>0</v>
      </c>
      <c r="F3717">
        <f>_xlfn.XLOOKUP($A3717,Load!$B:$B,Load!G:G,0,)</f>
        <v>0</v>
      </c>
      <c r="G3717">
        <f>_xlfn.XLOOKUP($A3717,Load!$B:$B,Load!H:H,0,)</f>
        <v>0</v>
      </c>
      <c r="H3717">
        <f>_xlfn.XLOOKUP($A3717,Load!$B:$B,Load!I:I,0,)</f>
        <v>0</v>
      </c>
      <c r="I3717">
        <f>_xlfn.XLOOKUP($A3717,Load!$B:$B,Load!J:J,0,)</f>
        <v>0</v>
      </c>
      <c r="J3717">
        <f>_xlfn.XLOOKUP($A3717,Load!$B:$B,Load!K:K,0,)</f>
        <v>0</v>
      </c>
      <c r="K3717">
        <f>_xlfn.XLOOKUP($A3717,Load!$B:$B,Load!L:L,0,)</f>
        <v>0</v>
      </c>
      <c r="L3717">
        <f>_xlfn.XLOOKUP($A3717,Load!$B:$B,Load!M:M,0,)</f>
        <v>0</v>
      </c>
    </row>
    <row r="3718" spans="1:12" x14ac:dyDescent="0.25">
      <c r="A3718" t="s">
        <v>139</v>
      </c>
      <c r="B3718" t="str">
        <f>_xlfn.XLOOKUP($A3718,Load!$B:$B,Load!C:C,0,)</f>
        <v>Hershey's Variety Pack + Haribo</v>
      </c>
      <c r="C3718" t="str">
        <f>_xlfn.XLOOKUP($A3718,Load!$B:$B,Load!D:D,0,)</f>
        <v>Mix of Chocolate and Non-Chocolate Candy</v>
      </c>
      <c r="D3718" t="str">
        <f>_xlfn.XLOOKUP($A3718,Load!$B:$B,Load!E:E,0,)</f>
        <v>Variety / Mixed Flavors (Fruity, Sour, Seasonal Flavors)</v>
      </c>
      <c r="E3718" t="str">
        <f>_xlfn.XLOOKUP($A3718,Load!$B:$B,Load!F:F,0,)</f>
        <v>Mixed / Combo Packs (Gummy, Chewy, Taffy, etc.)</v>
      </c>
      <c r="F3718" t="str">
        <f>_xlfn.XLOOKUP($A3718,Load!$B:$B,Load!G:G,0,)</f>
        <v>Large Multipack (More than 80 ct)</v>
      </c>
      <c r="G3718" t="str">
        <f>_xlfn.XLOOKUP($A3718,Load!$B:$B,Load!H:H,0,)</f>
        <v>Stand-Up Bag</v>
      </c>
      <c r="H3718" t="str">
        <f>_xlfn.XLOOKUP($A3718,Load!$B:$B,Load!I:I,0,)</f>
        <v>Everyday Candy Shapes (like Original, Gummy bear, Fruit, Jewels, etc.)</v>
      </c>
      <c r="I3718" t="str">
        <f>_xlfn.XLOOKUP($A3718,Load!$B:$B,Load!J:J,0,)</f>
        <v>Seasonal Graphics (Like Bat, Ghost, Pumpkin, Fall Leaves, Eyeballs, etc.)</v>
      </c>
      <c r="J3718" t="str">
        <f>_xlfn.XLOOKUP($A3718,Load!$B:$B,Load!K:K,0,)</f>
        <v>Fun Size / Treat Size</v>
      </c>
      <c r="K3718" t="str">
        <f>_xlfn.XLOOKUP($A3718,Load!$B:$B,Load!L:L,0,)</f>
        <v>Regular/Original Wrapping</v>
      </c>
      <c r="L3718" t="str">
        <f>_xlfn.XLOOKUP($A3718,Load!$B:$B,Load!M:M,0,)</f>
        <v>Multiple Brands / Variety Flavors or Form</v>
      </c>
    </row>
    <row r="3719" spans="1:12" x14ac:dyDescent="0.25">
      <c r="A3719" t="s">
        <v>202</v>
      </c>
      <c r="B3719" t="str">
        <f>_xlfn.XLOOKUP($A3719,Load!$B:$B,Load!C:C,0,)</f>
        <v>Mars Variety Pack</v>
      </c>
      <c r="C3719" t="str">
        <f>_xlfn.XLOOKUP($A3719,Load!$B:$B,Load!D:D,0,)</f>
        <v>Mix of Chocolate and Non-Chocolate Candy</v>
      </c>
      <c r="D3719" t="str">
        <f>_xlfn.XLOOKUP($A3719,Load!$B:$B,Load!E:E,0,)</f>
        <v>Variety / Mixed Flavors (Fruity, Sour, Seasonal Flavors)</v>
      </c>
      <c r="E3719" t="str">
        <f>_xlfn.XLOOKUP($A3719,Load!$B:$B,Load!F:F,0,)</f>
        <v>Mixed / Combo Packs (Gummy, Chewy, Taffy, etc.)</v>
      </c>
      <c r="F3719" t="str">
        <f>_xlfn.XLOOKUP($A3719,Load!$B:$B,Load!G:G,0,)</f>
        <v>Large Multipack (More than 80 ct)</v>
      </c>
      <c r="G3719" t="str">
        <f>_xlfn.XLOOKUP($A3719,Load!$B:$B,Load!H:H,0,)</f>
        <v>Stand-Up Bag</v>
      </c>
      <c r="H3719" t="str">
        <f>_xlfn.XLOOKUP($A3719,Load!$B:$B,Load!I:I,0,)</f>
        <v>Everyday Candy Shapes (like Original, Gummy bear, Fruit, Jewels, etc.)</v>
      </c>
      <c r="I3719" t="str">
        <f>_xlfn.XLOOKUP($A3719,Load!$B:$B,Load!J:J,0,)</f>
        <v>Everyday Graphics</v>
      </c>
      <c r="J3719" t="str">
        <f>_xlfn.XLOOKUP($A3719,Load!$B:$B,Load!K:K,0,)</f>
        <v>Fun Size / Treat Size</v>
      </c>
      <c r="K3719" t="str">
        <f>_xlfn.XLOOKUP($A3719,Load!$B:$B,Load!L:L,0,)</f>
        <v>Regular/Original Wrapping</v>
      </c>
      <c r="L3719" t="str">
        <f>_xlfn.XLOOKUP($A3719,Load!$B:$B,Load!M:M,0,)</f>
        <v>Multiple Brands / Variety Flavors or Form</v>
      </c>
    </row>
    <row r="3720" spans="1:12" x14ac:dyDescent="0.25">
      <c r="A3720" t="s">
        <v>175</v>
      </c>
      <c r="B3720" t="str">
        <f>_xlfn.XLOOKUP($A3720,Load!$B:$B,Load!C:C,0,)</f>
        <v>Mars Variety Pack</v>
      </c>
      <c r="C3720" t="str">
        <f>_xlfn.XLOOKUP($A3720,Load!$B:$B,Load!D:D,0,)</f>
        <v>Mix of Chocolate and Non-Chocolate Candy</v>
      </c>
      <c r="D3720" t="str">
        <f>_xlfn.XLOOKUP($A3720,Load!$B:$B,Load!E:E,0,)</f>
        <v>Variety / Mixed Flavors (Fruity, Sour, Seasonal Flavors)</v>
      </c>
      <c r="E3720" t="str">
        <f>_xlfn.XLOOKUP($A3720,Load!$B:$B,Load!F:F,0,)</f>
        <v>Mixed / Combo Packs (Gummy, Chewy, Taffy, etc.)</v>
      </c>
      <c r="F3720" t="str">
        <f>_xlfn.XLOOKUP($A3720,Load!$B:$B,Load!G:G,0,)</f>
        <v>Large Multipack (More than 80 ct)</v>
      </c>
      <c r="G3720" t="str">
        <f>_xlfn.XLOOKUP($A3720,Load!$B:$B,Load!H:H,0,)</f>
        <v>Stand-Up Bag</v>
      </c>
      <c r="H3720" t="str">
        <f>_xlfn.XLOOKUP($A3720,Load!$B:$B,Load!I:I,0,)</f>
        <v>Everyday Candy Shapes (like Original, Gummy bear, Fruit, Jewels, etc.)</v>
      </c>
      <c r="I3720" t="str">
        <f>_xlfn.XLOOKUP($A3720,Load!$B:$B,Load!J:J,0,)</f>
        <v>Seasonal Graphics (Like Bat, Ghost, Pumpkin, Fall Leaves, Eyeballs, etc.)</v>
      </c>
      <c r="J3720" t="str">
        <f>_xlfn.XLOOKUP($A3720,Load!$B:$B,Load!K:K,0,)</f>
        <v xml:space="preserve">Variety Candy Sizes </v>
      </c>
      <c r="K3720" t="str">
        <f>_xlfn.XLOOKUP($A3720,Load!$B:$B,Load!L:L,0,)</f>
        <v>Regular/Original Wrapping</v>
      </c>
      <c r="L3720" t="str">
        <f>_xlfn.XLOOKUP($A3720,Load!$B:$B,Load!M:M,0,)</f>
        <v>Multiple Brands / Variety Flavors or Form</v>
      </c>
    </row>
    <row r="3721" spans="1:12" x14ac:dyDescent="0.25">
      <c r="B3721">
        <f>_xlfn.XLOOKUP($A3721,Load!$B:$B,Load!C:C,0,)</f>
        <v>0</v>
      </c>
      <c r="C3721">
        <f>_xlfn.XLOOKUP($A3721,Load!$B:$B,Load!D:D,0,)</f>
        <v>0</v>
      </c>
      <c r="D3721">
        <f>_xlfn.XLOOKUP($A3721,Load!$B:$B,Load!E:E,0,)</f>
        <v>0</v>
      </c>
      <c r="E3721">
        <f>_xlfn.XLOOKUP($A3721,Load!$B:$B,Load!F:F,0,)</f>
        <v>0</v>
      </c>
      <c r="F3721">
        <f>_xlfn.XLOOKUP($A3721,Load!$B:$B,Load!G:G,0,)</f>
        <v>0</v>
      </c>
      <c r="G3721">
        <f>_xlfn.XLOOKUP($A3721,Load!$B:$B,Load!H:H,0,)</f>
        <v>0</v>
      </c>
      <c r="H3721">
        <f>_xlfn.XLOOKUP($A3721,Load!$B:$B,Load!I:I,0,)</f>
        <v>0</v>
      </c>
      <c r="I3721">
        <f>_xlfn.XLOOKUP($A3721,Load!$B:$B,Load!J:J,0,)</f>
        <v>0</v>
      </c>
      <c r="J3721">
        <f>_xlfn.XLOOKUP($A3721,Load!$B:$B,Load!K:K,0,)</f>
        <v>0</v>
      </c>
      <c r="K3721">
        <f>_xlfn.XLOOKUP($A3721,Load!$B:$B,Load!L:L,0,)</f>
        <v>0</v>
      </c>
      <c r="L3721">
        <f>_xlfn.XLOOKUP($A3721,Load!$B:$B,Load!M:M,0,)</f>
        <v>0</v>
      </c>
    </row>
    <row r="3722" spans="1:12" x14ac:dyDescent="0.25">
      <c r="A3722" t="s">
        <v>124</v>
      </c>
      <c r="B3722" t="str">
        <f>_xlfn.XLOOKUP($A3722,Load!$B:$B,Load!C:C,0,)</f>
        <v>HARIBO</v>
      </c>
      <c r="C3722" t="str">
        <f>_xlfn.XLOOKUP($A3722,Load!$B:$B,Load!D:D,0,)</f>
        <v>Non-Chocolate Candy Only</v>
      </c>
      <c r="D3722" t="str">
        <f>_xlfn.XLOOKUP($A3722,Load!$B:$B,Load!E:E,0,)</f>
        <v>Fruit Flavor (Cherry, Grape, Apple, Citrus, Tropical Fruit)</v>
      </c>
      <c r="E3722" t="str">
        <f>_xlfn.XLOOKUP($A3722,Load!$B:$B,Load!F:F,0,)</f>
        <v>Gummy</v>
      </c>
      <c r="F3722" t="str">
        <f>_xlfn.XLOOKUP($A3722,Load!$B:$B,Load!G:G,0,)</f>
        <v>Small Multipack (Less than 40 ct)</v>
      </c>
      <c r="G3722" t="str">
        <f>_xlfn.XLOOKUP($A3722,Load!$B:$B,Load!H:H,0,)</f>
        <v>Laydown Bag</v>
      </c>
      <c r="H3722" t="str">
        <f>_xlfn.XLOOKUP($A3722,Load!$B:$B,Load!I:I,0,)</f>
        <v>Everyday Candy Shapes (like Original, Gummy bear, Fruit, Jewels, etc.)</v>
      </c>
      <c r="I3722" t="str">
        <f>_xlfn.XLOOKUP($A3722,Load!$B:$B,Load!J:J,0,)</f>
        <v>Everyday Graphics</v>
      </c>
      <c r="J3722" t="str">
        <f>_xlfn.XLOOKUP($A3722,Load!$B:$B,Load!K:K,0,)</f>
        <v>Small Pieces (Tiny bite size candies)</v>
      </c>
      <c r="K3722" t="str">
        <f>_xlfn.XLOOKUP($A3722,Load!$B:$B,Load!L:L,0,)</f>
        <v>Regular/Original Wrapping</v>
      </c>
      <c r="L3722" t="str">
        <f>_xlfn.XLOOKUP($A3722,Load!$B:$B,Load!M:M,0,)</f>
        <v>Single Brand / Variety Flavors or Form</v>
      </c>
    </row>
    <row r="3723" spans="1:12" x14ac:dyDescent="0.25">
      <c r="B3723">
        <f>_xlfn.XLOOKUP($A3723,Load!$B:$B,Load!C:C,0,)</f>
        <v>0</v>
      </c>
      <c r="C3723">
        <f>_xlfn.XLOOKUP($A3723,Load!$B:$B,Load!D:D,0,)</f>
        <v>0</v>
      </c>
      <c r="D3723">
        <f>_xlfn.XLOOKUP($A3723,Load!$B:$B,Load!E:E,0,)</f>
        <v>0</v>
      </c>
      <c r="E3723">
        <f>_xlfn.XLOOKUP($A3723,Load!$B:$B,Load!F:F,0,)</f>
        <v>0</v>
      </c>
      <c r="F3723">
        <f>_xlfn.XLOOKUP($A3723,Load!$B:$B,Load!G:G,0,)</f>
        <v>0</v>
      </c>
      <c r="G3723">
        <f>_xlfn.XLOOKUP($A3723,Load!$B:$B,Load!H:H,0,)</f>
        <v>0</v>
      </c>
      <c r="H3723">
        <f>_xlfn.XLOOKUP($A3723,Load!$B:$B,Load!I:I,0,)</f>
        <v>0</v>
      </c>
      <c r="I3723">
        <f>_xlfn.XLOOKUP($A3723,Load!$B:$B,Load!J:J,0,)</f>
        <v>0</v>
      </c>
      <c r="J3723">
        <f>_xlfn.XLOOKUP($A3723,Load!$B:$B,Load!K:K,0,)</f>
        <v>0</v>
      </c>
      <c r="K3723">
        <f>_xlfn.XLOOKUP($A3723,Load!$B:$B,Load!L:L,0,)</f>
        <v>0</v>
      </c>
      <c r="L3723">
        <f>_xlfn.XLOOKUP($A3723,Load!$B:$B,Load!M:M,0,)</f>
        <v>0</v>
      </c>
    </row>
    <row r="3724" spans="1:12" x14ac:dyDescent="0.25">
      <c r="A3724" t="s">
        <v>76</v>
      </c>
      <c r="B3724" t="str">
        <f>_xlfn.XLOOKUP($A3724,Load!$B:$B,Load!C:C,0,)</f>
        <v>Dum Dums</v>
      </c>
      <c r="C3724" t="str">
        <f>_xlfn.XLOOKUP($A3724,Load!$B:$B,Load!D:D,0,)</f>
        <v>Non-Chocolate Candy Only</v>
      </c>
      <c r="D3724" t="str">
        <f>_xlfn.XLOOKUP($A3724,Load!$B:$B,Load!E:E,0,)</f>
        <v>Variety / Mixed Flavors (Fruity, Sour, Seasonal Flavors)</v>
      </c>
      <c r="E3724" t="str">
        <f>_xlfn.XLOOKUP($A3724,Load!$B:$B,Load!F:F,0,)</f>
        <v>Lollipop (regular or lollipop rings)</v>
      </c>
      <c r="F3724" t="str">
        <f>_xlfn.XLOOKUP($A3724,Load!$B:$B,Load!G:G,0,)</f>
        <v>Large Multipack (More than 80 ct)</v>
      </c>
      <c r="G3724" t="str">
        <f>_xlfn.XLOOKUP($A3724,Load!$B:$B,Load!H:H,0,)</f>
        <v>Stand-Up Bag</v>
      </c>
      <c r="H3724" t="str">
        <f>_xlfn.XLOOKUP($A3724,Load!$B:$B,Load!I:I,0,)</f>
        <v>Everyday Candy Shapes (like Original, Gummy bear, Fruit, Jewels, etc.)</v>
      </c>
      <c r="I3724" t="str">
        <f>_xlfn.XLOOKUP($A3724,Load!$B:$B,Load!J:J,0,)</f>
        <v>Everyday Graphics</v>
      </c>
      <c r="J3724" t="str">
        <f>_xlfn.XLOOKUP($A3724,Load!$B:$B,Load!K:K,0,)</f>
        <v>Regular Lollipop size (on sticks or rings)</v>
      </c>
      <c r="K3724" t="str">
        <f>_xlfn.XLOOKUP($A3724,Load!$B:$B,Load!L:L,0,)</f>
        <v>Regular/Original Wrapping</v>
      </c>
      <c r="L3724" t="str">
        <f>_xlfn.XLOOKUP($A3724,Load!$B:$B,Load!M:M,0,)</f>
        <v>Single Brand / Variety Flavors or Form</v>
      </c>
    </row>
    <row r="3725" spans="1:12" x14ac:dyDescent="0.25">
      <c r="B3725">
        <f>_xlfn.XLOOKUP($A3725,Load!$B:$B,Load!C:C,0,)</f>
        <v>0</v>
      </c>
      <c r="C3725">
        <f>_xlfn.XLOOKUP($A3725,Load!$B:$B,Load!D:D,0,)</f>
        <v>0</v>
      </c>
      <c r="D3725">
        <f>_xlfn.XLOOKUP($A3725,Load!$B:$B,Load!E:E,0,)</f>
        <v>0</v>
      </c>
      <c r="E3725">
        <f>_xlfn.XLOOKUP($A3725,Load!$B:$B,Load!F:F,0,)</f>
        <v>0</v>
      </c>
      <c r="F3725">
        <f>_xlfn.XLOOKUP($A3725,Load!$B:$B,Load!G:G,0,)</f>
        <v>0</v>
      </c>
      <c r="G3725">
        <f>_xlfn.XLOOKUP($A3725,Load!$B:$B,Load!H:H,0,)</f>
        <v>0</v>
      </c>
      <c r="H3725">
        <f>_xlfn.XLOOKUP($A3725,Load!$B:$B,Load!I:I,0,)</f>
        <v>0</v>
      </c>
      <c r="I3725">
        <f>_xlfn.XLOOKUP($A3725,Load!$B:$B,Load!J:J,0,)</f>
        <v>0</v>
      </c>
      <c r="J3725">
        <f>_xlfn.XLOOKUP($A3725,Load!$B:$B,Load!K:K,0,)</f>
        <v>0</v>
      </c>
      <c r="K3725">
        <f>_xlfn.XLOOKUP($A3725,Load!$B:$B,Load!L:L,0,)</f>
        <v>0</v>
      </c>
      <c r="L3725">
        <f>_xlfn.XLOOKUP($A3725,Load!$B:$B,Load!M:M,0,)</f>
        <v>0</v>
      </c>
    </row>
    <row r="3726" spans="1:12" x14ac:dyDescent="0.25">
      <c r="B3726">
        <f>_xlfn.XLOOKUP($A3726,Load!$B:$B,Load!C:C,0,)</f>
        <v>0</v>
      </c>
      <c r="C3726">
        <f>_xlfn.XLOOKUP($A3726,Load!$B:$B,Load!D:D,0,)</f>
        <v>0</v>
      </c>
      <c r="D3726">
        <f>_xlfn.XLOOKUP($A3726,Load!$B:$B,Load!E:E,0,)</f>
        <v>0</v>
      </c>
      <c r="E3726">
        <f>_xlfn.XLOOKUP($A3726,Load!$B:$B,Load!F:F,0,)</f>
        <v>0</v>
      </c>
      <c r="F3726">
        <f>_xlfn.XLOOKUP($A3726,Load!$B:$B,Load!G:G,0,)</f>
        <v>0</v>
      </c>
      <c r="G3726">
        <f>_xlfn.XLOOKUP($A3726,Load!$B:$B,Load!H:H,0,)</f>
        <v>0</v>
      </c>
      <c r="H3726">
        <f>_xlfn.XLOOKUP($A3726,Load!$B:$B,Load!I:I,0,)</f>
        <v>0</v>
      </c>
      <c r="I3726">
        <f>_xlfn.XLOOKUP($A3726,Load!$B:$B,Load!J:J,0,)</f>
        <v>0</v>
      </c>
      <c r="J3726">
        <f>_xlfn.XLOOKUP($A3726,Load!$B:$B,Load!K:K,0,)</f>
        <v>0</v>
      </c>
      <c r="K3726">
        <f>_xlfn.XLOOKUP($A3726,Load!$B:$B,Load!L:L,0,)</f>
        <v>0</v>
      </c>
      <c r="L3726">
        <f>_xlfn.XLOOKUP($A3726,Load!$B:$B,Load!M:M,0,)</f>
        <v>0</v>
      </c>
    </row>
    <row r="3727" spans="1:12" x14ac:dyDescent="0.25">
      <c r="B3727">
        <f>_xlfn.XLOOKUP($A3727,Load!$B:$B,Load!C:C,0,)</f>
        <v>0</v>
      </c>
      <c r="C3727">
        <f>_xlfn.XLOOKUP($A3727,Load!$B:$B,Load!D:D,0,)</f>
        <v>0</v>
      </c>
      <c r="D3727">
        <f>_xlfn.XLOOKUP($A3727,Load!$B:$B,Load!E:E,0,)</f>
        <v>0</v>
      </c>
      <c r="E3727">
        <f>_xlfn.XLOOKUP($A3727,Load!$B:$B,Load!F:F,0,)</f>
        <v>0</v>
      </c>
      <c r="F3727">
        <f>_xlfn.XLOOKUP($A3727,Load!$B:$B,Load!G:G,0,)</f>
        <v>0</v>
      </c>
      <c r="G3727">
        <f>_xlfn.XLOOKUP($A3727,Load!$B:$B,Load!H:H,0,)</f>
        <v>0</v>
      </c>
      <c r="H3727">
        <f>_xlfn.XLOOKUP($A3727,Load!$B:$B,Load!I:I,0,)</f>
        <v>0</v>
      </c>
      <c r="I3727">
        <f>_xlfn.XLOOKUP($A3727,Load!$B:$B,Load!J:J,0,)</f>
        <v>0</v>
      </c>
      <c r="J3727">
        <f>_xlfn.XLOOKUP($A3727,Load!$B:$B,Load!K:K,0,)</f>
        <v>0</v>
      </c>
      <c r="K3727">
        <f>_xlfn.XLOOKUP($A3727,Load!$B:$B,Load!L:L,0,)</f>
        <v>0</v>
      </c>
      <c r="L3727">
        <f>_xlfn.XLOOKUP($A3727,Load!$B:$B,Load!M:M,0,)</f>
        <v>0</v>
      </c>
    </row>
    <row r="3728" spans="1:12" x14ac:dyDescent="0.25">
      <c r="B3728">
        <f>_xlfn.XLOOKUP($A3728,Load!$B:$B,Load!C:C,0,)</f>
        <v>0</v>
      </c>
      <c r="C3728">
        <f>_xlfn.XLOOKUP($A3728,Load!$B:$B,Load!D:D,0,)</f>
        <v>0</v>
      </c>
      <c r="D3728">
        <f>_xlfn.XLOOKUP($A3728,Load!$B:$B,Load!E:E,0,)</f>
        <v>0</v>
      </c>
      <c r="E3728">
        <f>_xlfn.XLOOKUP($A3728,Load!$B:$B,Load!F:F,0,)</f>
        <v>0</v>
      </c>
      <c r="F3728">
        <f>_xlfn.XLOOKUP($A3728,Load!$B:$B,Load!G:G,0,)</f>
        <v>0</v>
      </c>
      <c r="G3728">
        <f>_xlfn.XLOOKUP($A3728,Load!$B:$B,Load!H:H,0,)</f>
        <v>0</v>
      </c>
      <c r="H3728">
        <f>_xlfn.XLOOKUP($A3728,Load!$B:$B,Load!I:I,0,)</f>
        <v>0</v>
      </c>
      <c r="I3728">
        <f>_xlfn.XLOOKUP($A3728,Load!$B:$B,Load!J:J,0,)</f>
        <v>0</v>
      </c>
      <c r="J3728">
        <f>_xlfn.XLOOKUP($A3728,Load!$B:$B,Load!K:K,0,)</f>
        <v>0</v>
      </c>
      <c r="K3728">
        <f>_xlfn.XLOOKUP($A3728,Load!$B:$B,Load!L:L,0,)</f>
        <v>0</v>
      </c>
      <c r="L3728">
        <f>_xlfn.XLOOKUP($A3728,Load!$B:$B,Load!M:M,0,)</f>
        <v>0</v>
      </c>
    </row>
    <row r="3729" spans="1:12" x14ac:dyDescent="0.25">
      <c r="B3729">
        <f>_xlfn.XLOOKUP($A3729,Load!$B:$B,Load!C:C,0,)</f>
        <v>0</v>
      </c>
      <c r="C3729">
        <f>_xlfn.XLOOKUP($A3729,Load!$B:$B,Load!D:D,0,)</f>
        <v>0</v>
      </c>
      <c r="D3729">
        <f>_xlfn.XLOOKUP($A3729,Load!$B:$B,Load!E:E,0,)</f>
        <v>0</v>
      </c>
      <c r="E3729">
        <f>_xlfn.XLOOKUP($A3729,Load!$B:$B,Load!F:F,0,)</f>
        <v>0</v>
      </c>
      <c r="F3729">
        <f>_xlfn.XLOOKUP($A3729,Load!$B:$B,Load!G:G,0,)</f>
        <v>0</v>
      </c>
      <c r="G3729">
        <f>_xlfn.XLOOKUP($A3729,Load!$B:$B,Load!H:H,0,)</f>
        <v>0</v>
      </c>
      <c r="H3729">
        <f>_xlfn.XLOOKUP($A3729,Load!$B:$B,Load!I:I,0,)</f>
        <v>0</v>
      </c>
      <c r="I3729">
        <f>_xlfn.XLOOKUP($A3729,Load!$B:$B,Load!J:J,0,)</f>
        <v>0</v>
      </c>
      <c r="J3729">
        <f>_xlfn.XLOOKUP($A3729,Load!$B:$B,Load!K:K,0,)</f>
        <v>0</v>
      </c>
      <c r="K3729">
        <f>_xlfn.XLOOKUP($A3729,Load!$B:$B,Load!L:L,0,)</f>
        <v>0</v>
      </c>
      <c r="L3729">
        <f>_xlfn.XLOOKUP($A3729,Load!$B:$B,Load!M:M,0,)</f>
        <v>0</v>
      </c>
    </row>
    <row r="3730" spans="1:12" x14ac:dyDescent="0.25">
      <c r="B3730">
        <f>_xlfn.XLOOKUP($A3730,Load!$B:$B,Load!C:C,0,)</f>
        <v>0</v>
      </c>
      <c r="C3730">
        <f>_xlfn.XLOOKUP($A3730,Load!$B:$B,Load!D:D,0,)</f>
        <v>0</v>
      </c>
      <c r="D3730">
        <f>_xlfn.XLOOKUP($A3730,Load!$B:$B,Load!E:E,0,)</f>
        <v>0</v>
      </c>
      <c r="E3730">
        <f>_xlfn.XLOOKUP($A3730,Load!$B:$B,Load!F:F,0,)</f>
        <v>0</v>
      </c>
      <c r="F3730">
        <f>_xlfn.XLOOKUP($A3730,Load!$B:$B,Load!G:G,0,)</f>
        <v>0</v>
      </c>
      <c r="G3730">
        <f>_xlfn.XLOOKUP($A3730,Load!$B:$B,Load!H:H,0,)</f>
        <v>0</v>
      </c>
      <c r="H3730">
        <f>_xlfn.XLOOKUP($A3730,Load!$B:$B,Load!I:I,0,)</f>
        <v>0</v>
      </c>
      <c r="I3730">
        <f>_xlfn.XLOOKUP($A3730,Load!$B:$B,Load!J:J,0,)</f>
        <v>0</v>
      </c>
      <c r="J3730">
        <f>_xlfn.XLOOKUP($A3730,Load!$B:$B,Load!K:K,0,)</f>
        <v>0</v>
      </c>
      <c r="K3730">
        <f>_xlfn.XLOOKUP($A3730,Load!$B:$B,Load!L:L,0,)</f>
        <v>0</v>
      </c>
      <c r="L3730">
        <f>_xlfn.XLOOKUP($A3730,Load!$B:$B,Load!M:M,0,)</f>
        <v>0</v>
      </c>
    </row>
    <row r="3731" spans="1:12" x14ac:dyDescent="0.25">
      <c r="B3731">
        <f>_xlfn.XLOOKUP($A3731,Load!$B:$B,Load!C:C,0,)</f>
        <v>0</v>
      </c>
      <c r="C3731">
        <f>_xlfn.XLOOKUP($A3731,Load!$B:$B,Load!D:D,0,)</f>
        <v>0</v>
      </c>
      <c r="D3731">
        <f>_xlfn.XLOOKUP($A3731,Load!$B:$B,Load!E:E,0,)</f>
        <v>0</v>
      </c>
      <c r="E3731">
        <f>_xlfn.XLOOKUP($A3731,Load!$B:$B,Load!F:F,0,)</f>
        <v>0</v>
      </c>
      <c r="F3731">
        <f>_xlfn.XLOOKUP($A3731,Load!$B:$B,Load!G:G,0,)</f>
        <v>0</v>
      </c>
      <c r="G3731">
        <f>_xlfn.XLOOKUP($A3731,Load!$B:$B,Load!H:H,0,)</f>
        <v>0</v>
      </c>
      <c r="H3731">
        <f>_xlfn.XLOOKUP($A3731,Load!$B:$B,Load!I:I,0,)</f>
        <v>0</v>
      </c>
      <c r="I3731">
        <f>_xlfn.XLOOKUP($A3731,Load!$B:$B,Load!J:J,0,)</f>
        <v>0</v>
      </c>
      <c r="J3731">
        <f>_xlfn.XLOOKUP($A3731,Load!$B:$B,Load!K:K,0,)</f>
        <v>0</v>
      </c>
      <c r="K3731">
        <f>_xlfn.XLOOKUP($A3731,Load!$B:$B,Load!L:L,0,)</f>
        <v>0</v>
      </c>
      <c r="L3731">
        <f>_xlfn.XLOOKUP($A3731,Load!$B:$B,Load!M:M,0,)</f>
        <v>0</v>
      </c>
    </row>
    <row r="3732" spans="1:12" x14ac:dyDescent="0.25">
      <c r="B3732">
        <f>_xlfn.XLOOKUP($A3732,Load!$B:$B,Load!C:C,0,)</f>
        <v>0</v>
      </c>
      <c r="C3732">
        <f>_xlfn.XLOOKUP($A3732,Load!$B:$B,Load!D:D,0,)</f>
        <v>0</v>
      </c>
      <c r="D3732">
        <f>_xlfn.XLOOKUP($A3732,Load!$B:$B,Load!E:E,0,)</f>
        <v>0</v>
      </c>
      <c r="E3732">
        <f>_xlfn.XLOOKUP($A3732,Load!$B:$B,Load!F:F,0,)</f>
        <v>0</v>
      </c>
      <c r="F3732">
        <f>_xlfn.XLOOKUP($A3732,Load!$B:$B,Load!G:G,0,)</f>
        <v>0</v>
      </c>
      <c r="G3732">
        <f>_xlfn.XLOOKUP($A3732,Load!$B:$B,Load!H:H,0,)</f>
        <v>0</v>
      </c>
      <c r="H3732">
        <f>_xlfn.XLOOKUP($A3732,Load!$B:$B,Load!I:I,0,)</f>
        <v>0</v>
      </c>
      <c r="I3732">
        <f>_xlfn.XLOOKUP($A3732,Load!$B:$B,Load!J:J,0,)</f>
        <v>0</v>
      </c>
      <c r="J3732">
        <f>_xlfn.XLOOKUP($A3732,Load!$B:$B,Load!K:K,0,)</f>
        <v>0</v>
      </c>
      <c r="K3732">
        <f>_xlfn.XLOOKUP($A3732,Load!$B:$B,Load!L:L,0,)</f>
        <v>0</v>
      </c>
      <c r="L3732">
        <f>_xlfn.XLOOKUP($A3732,Load!$B:$B,Load!M:M,0,)</f>
        <v>0</v>
      </c>
    </row>
    <row r="3733" spans="1:12" x14ac:dyDescent="0.25">
      <c r="B3733">
        <f>_xlfn.XLOOKUP($A3733,Load!$B:$B,Load!C:C,0,)</f>
        <v>0</v>
      </c>
      <c r="C3733">
        <f>_xlfn.XLOOKUP($A3733,Load!$B:$B,Load!D:D,0,)</f>
        <v>0</v>
      </c>
      <c r="D3733">
        <f>_xlfn.XLOOKUP($A3733,Load!$B:$B,Load!E:E,0,)</f>
        <v>0</v>
      </c>
      <c r="E3733">
        <f>_xlfn.XLOOKUP($A3733,Load!$B:$B,Load!F:F,0,)</f>
        <v>0</v>
      </c>
      <c r="F3733">
        <f>_xlfn.XLOOKUP($A3733,Load!$B:$B,Load!G:G,0,)</f>
        <v>0</v>
      </c>
      <c r="G3733">
        <f>_xlfn.XLOOKUP($A3733,Load!$B:$B,Load!H:H,0,)</f>
        <v>0</v>
      </c>
      <c r="H3733">
        <f>_xlfn.XLOOKUP($A3733,Load!$B:$B,Load!I:I,0,)</f>
        <v>0</v>
      </c>
      <c r="I3733">
        <f>_xlfn.XLOOKUP($A3733,Load!$B:$B,Load!J:J,0,)</f>
        <v>0</v>
      </c>
      <c r="J3733">
        <f>_xlfn.XLOOKUP($A3733,Load!$B:$B,Load!K:K,0,)</f>
        <v>0</v>
      </c>
      <c r="K3733">
        <f>_xlfn.XLOOKUP($A3733,Load!$B:$B,Load!L:L,0,)</f>
        <v>0</v>
      </c>
      <c r="L3733">
        <f>_xlfn.XLOOKUP($A3733,Load!$B:$B,Load!M:M,0,)</f>
        <v>0</v>
      </c>
    </row>
    <row r="3734" spans="1:12" x14ac:dyDescent="0.25">
      <c r="A3734" t="s">
        <v>305</v>
      </c>
      <c r="B3734" t="str">
        <f>_xlfn.XLOOKUP($A3734,Load!$B:$B,Load!C:C,0,)</f>
        <v>Werther's Original</v>
      </c>
      <c r="C3734" t="str">
        <f>_xlfn.XLOOKUP($A3734,Load!$B:$B,Load!D:D,0,)</f>
        <v>Non-Chocolate Candy Only</v>
      </c>
      <c r="D3734" t="str">
        <f>_xlfn.XLOOKUP($A3734,Load!$B:$B,Load!E:E,0,)</f>
        <v>Fall / Seasonal Flavors (pumpkin spice, caramel apple, candy corn)</v>
      </c>
      <c r="E3734" t="str">
        <f>_xlfn.XLOOKUP($A3734,Load!$B:$B,Load!F:F,0,)</f>
        <v>Chewy</v>
      </c>
      <c r="F3734" t="str">
        <f>_xlfn.XLOOKUP($A3734,Load!$B:$B,Load!G:G,0,)</f>
        <v>Single Pack</v>
      </c>
      <c r="G3734" t="str">
        <f>_xlfn.XLOOKUP($A3734,Load!$B:$B,Load!H:H,0,)</f>
        <v>Stand-Up Bag</v>
      </c>
      <c r="H3734" t="str">
        <f>_xlfn.XLOOKUP($A3734,Load!$B:$B,Load!I:I,0,)</f>
        <v>Everyday Candy Shapes (like Original, Gummy bear, Fruit, Jewels, etc.)</v>
      </c>
      <c r="I3734" t="str">
        <f>_xlfn.XLOOKUP($A3734,Load!$B:$B,Load!J:J,0,)</f>
        <v>Seasonal Graphics (Like Bat, Ghost, Pumpkin, Fall Leaves, Eyeballs, etc.)</v>
      </c>
      <c r="J3734" t="str">
        <f>_xlfn.XLOOKUP($A3734,Load!$B:$B,Load!K:K,0,)</f>
        <v>Fun Size / Treat Size</v>
      </c>
      <c r="K3734" t="str">
        <f>_xlfn.XLOOKUP($A3734,Load!$B:$B,Load!L:L,0,)</f>
        <v>Regular/Original Wrapping</v>
      </c>
      <c r="L3734" t="str">
        <f>_xlfn.XLOOKUP($A3734,Load!$B:$B,Load!M:M,0,)</f>
        <v>Single Brand / Single Flavor or Form</v>
      </c>
    </row>
    <row r="3735" spans="1:12" x14ac:dyDescent="0.25">
      <c r="A3735" t="s">
        <v>306</v>
      </c>
      <c r="B3735" t="str">
        <f>_xlfn.XLOOKUP($A3735,Load!$B:$B,Load!C:C,0,)</f>
        <v>Werther's Original</v>
      </c>
      <c r="C3735" t="str">
        <f>_xlfn.XLOOKUP($A3735,Load!$B:$B,Load!D:D,0,)</f>
        <v>Non-Chocolate Candy Only</v>
      </c>
      <c r="D3735" t="str">
        <f>_xlfn.XLOOKUP($A3735,Load!$B:$B,Load!E:E,0,)</f>
        <v>Fall / Seasonal Flavors (pumpkin spice, caramel apple, candy corn)</v>
      </c>
      <c r="E3735" t="str">
        <f>_xlfn.XLOOKUP($A3735,Load!$B:$B,Load!F:F,0,)</f>
        <v>Chewy</v>
      </c>
      <c r="F3735" t="str">
        <f>_xlfn.XLOOKUP($A3735,Load!$B:$B,Load!G:G,0,)</f>
        <v>Single Pack</v>
      </c>
      <c r="G3735" t="str">
        <f>_xlfn.XLOOKUP($A3735,Load!$B:$B,Load!H:H,0,)</f>
        <v>Stand-Up Bag</v>
      </c>
      <c r="H3735" t="str">
        <f>_xlfn.XLOOKUP($A3735,Load!$B:$B,Load!I:I,0,)</f>
        <v>Seasonal Shapes (like pumpkins, candy corn, ghost, bats, etc.)</v>
      </c>
      <c r="I3735" t="str">
        <f>_xlfn.XLOOKUP($A3735,Load!$B:$B,Load!J:J,0,)</f>
        <v>Seasonal Graphics (Like Bat, Ghost, Pumpkin, Fall Leaves, Eyeballs, etc.)</v>
      </c>
      <c r="J3735" t="str">
        <f>_xlfn.XLOOKUP($A3735,Load!$B:$B,Load!K:K,0,)</f>
        <v>Fun Size / Treat Size</v>
      </c>
      <c r="K3735" t="str">
        <f>_xlfn.XLOOKUP($A3735,Load!$B:$B,Load!L:L,0,)</f>
        <v>Regular/Original Wrapping</v>
      </c>
      <c r="L3735" t="str">
        <f>_xlfn.XLOOKUP($A3735,Load!$B:$B,Load!M:M,0,)</f>
        <v>Single Brand / Single Flavor or Form</v>
      </c>
    </row>
    <row r="3736" spans="1:12" x14ac:dyDescent="0.25">
      <c r="B3736">
        <f>_xlfn.XLOOKUP($A3736,Load!$B:$B,Load!C:C,0,)</f>
        <v>0</v>
      </c>
      <c r="C3736">
        <f>_xlfn.XLOOKUP($A3736,Load!$B:$B,Load!D:D,0,)</f>
        <v>0</v>
      </c>
      <c r="D3736">
        <f>_xlfn.XLOOKUP($A3736,Load!$B:$B,Load!E:E,0,)</f>
        <v>0</v>
      </c>
      <c r="E3736">
        <f>_xlfn.XLOOKUP($A3736,Load!$B:$B,Load!F:F,0,)</f>
        <v>0</v>
      </c>
      <c r="F3736">
        <f>_xlfn.XLOOKUP($A3736,Load!$B:$B,Load!G:G,0,)</f>
        <v>0</v>
      </c>
      <c r="G3736">
        <f>_xlfn.XLOOKUP($A3736,Load!$B:$B,Load!H:H,0,)</f>
        <v>0</v>
      </c>
      <c r="H3736">
        <f>_xlfn.XLOOKUP($A3736,Load!$B:$B,Load!I:I,0,)</f>
        <v>0</v>
      </c>
      <c r="I3736">
        <f>_xlfn.XLOOKUP($A3736,Load!$B:$B,Load!J:J,0,)</f>
        <v>0</v>
      </c>
      <c r="J3736">
        <f>_xlfn.XLOOKUP($A3736,Load!$B:$B,Load!K:K,0,)</f>
        <v>0</v>
      </c>
      <c r="K3736">
        <f>_xlfn.XLOOKUP($A3736,Load!$B:$B,Load!L:L,0,)</f>
        <v>0</v>
      </c>
      <c r="L3736">
        <f>_xlfn.XLOOKUP($A3736,Load!$B:$B,Load!M:M,0,)</f>
        <v>0</v>
      </c>
    </row>
    <row r="3737" spans="1:12" x14ac:dyDescent="0.25">
      <c r="B3737">
        <f>_xlfn.XLOOKUP($A3737,Load!$B:$B,Load!C:C,0,)</f>
        <v>0</v>
      </c>
      <c r="C3737">
        <f>_xlfn.XLOOKUP($A3737,Load!$B:$B,Load!D:D,0,)</f>
        <v>0</v>
      </c>
      <c r="D3737">
        <f>_xlfn.XLOOKUP($A3737,Load!$B:$B,Load!E:E,0,)</f>
        <v>0</v>
      </c>
      <c r="E3737">
        <f>_xlfn.XLOOKUP($A3737,Load!$B:$B,Load!F:F,0,)</f>
        <v>0</v>
      </c>
      <c r="F3737">
        <f>_xlfn.XLOOKUP($A3737,Load!$B:$B,Load!G:G,0,)</f>
        <v>0</v>
      </c>
      <c r="G3737">
        <f>_xlfn.XLOOKUP($A3737,Load!$B:$B,Load!H:H,0,)</f>
        <v>0</v>
      </c>
      <c r="H3737">
        <f>_xlfn.XLOOKUP($A3737,Load!$B:$B,Load!I:I,0,)</f>
        <v>0</v>
      </c>
      <c r="I3737">
        <f>_xlfn.XLOOKUP($A3737,Load!$B:$B,Load!J:J,0,)</f>
        <v>0</v>
      </c>
      <c r="J3737">
        <f>_xlfn.XLOOKUP($A3737,Load!$B:$B,Load!K:K,0,)</f>
        <v>0</v>
      </c>
      <c r="K3737">
        <f>_xlfn.XLOOKUP($A3737,Load!$B:$B,Load!L:L,0,)</f>
        <v>0</v>
      </c>
      <c r="L3737">
        <f>_xlfn.XLOOKUP($A3737,Load!$B:$B,Load!M:M,0,)</f>
        <v>0</v>
      </c>
    </row>
    <row r="3738" spans="1:12" x14ac:dyDescent="0.25">
      <c r="A3738" t="s">
        <v>223</v>
      </c>
      <c r="B3738" t="str">
        <f>_xlfn.XLOOKUP($A3738,Load!$B:$B,Load!C:C,0,)</f>
        <v>Nerds</v>
      </c>
      <c r="C3738" t="str">
        <f>_xlfn.XLOOKUP($A3738,Load!$B:$B,Load!D:D,0,)</f>
        <v>Non-Chocolate Candy Only</v>
      </c>
      <c r="D3738" t="str">
        <f>_xlfn.XLOOKUP($A3738,Load!$B:$B,Load!E:E,0,)</f>
        <v>Sweet</v>
      </c>
      <c r="E3738" t="str">
        <f>_xlfn.XLOOKUP($A3738,Load!$B:$B,Load!F:F,0,)</f>
        <v>Gummy</v>
      </c>
      <c r="F3738" t="str">
        <f>_xlfn.XLOOKUP($A3738,Load!$B:$B,Load!G:G,0,)</f>
        <v>Small Multipack (Less than 40 ct)</v>
      </c>
      <c r="G3738" t="str">
        <f>_xlfn.XLOOKUP($A3738,Load!$B:$B,Load!H:H,0,)</f>
        <v>Laydown Bag</v>
      </c>
      <c r="H3738" t="str">
        <f>_xlfn.XLOOKUP($A3738,Load!$B:$B,Load!I:I,0,)</f>
        <v>Everyday Candy Shapes (like Original, Gummy bear, Fruit, Jewels, etc.)</v>
      </c>
      <c r="I3738" t="str">
        <f>_xlfn.XLOOKUP($A3738,Load!$B:$B,Load!J:J,0,)</f>
        <v>Seasonal Graphics (Like Bat, Ghost, Pumpkin, Fall Leaves, Eyeballs, etc.)</v>
      </c>
      <c r="J3738" t="str">
        <f>_xlfn.XLOOKUP($A3738,Load!$B:$B,Load!K:K,0,)</f>
        <v>Small Pieces (Tiny bite size candies)</v>
      </c>
      <c r="K3738" t="str">
        <f>_xlfn.XLOOKUP($A3738,Load!$B:$B,Load!L:L,0,)</f>
        <v>Regular/Original Wrapping</v>
      </c>
      <c r="L3738" t="str">
        <f>_xlfn.XLOOKUP($A3738,Load!$B:$B,Load!M:M,0,)</f>
        <v>Single Brand / Variety Flavors or Form</v>
      </c>
    </row>
    <row r="3739" spans="1:12" x14ac:dyDescent="0.25">
      <c r="B3739">
        <f>_xlfn.XLOOKUP($A3739,Load!$B:$B,Load!C:C,0,)</f>
        <v>0</v>
      </c>
      <c r="C3739">
        <f>_xlfn.XLOOKUP($A3739,Load!$B:$B,Load!D:D,0,)</f>
        <v>0</v>
      </c>
      <c r="D3739">
        <f>_xlfn.XLOOKUP($A3739,Load!$B:$B,Load!E:E,0,)</f>
        <v>0</v>
      </c>
      <c r="E3739">
        <f>_xlfn.XLOOKUP($A3739,Load!$B:$B,Load!F:F,0,)</f>
        <v>0</v>
      </c>
      <c r="F3739">
        <f>_xlfn.XLOOKUP($A3739,Load!$B:$B,Load!G:G,0,)</f>
        <v>0</v>
      </c>
      <c r="G3739">
        <f>_xlfn.XLOOKUP($A3739,Load!$B:$B,Load!H:H,0,)</f>
        <v>0</v>
      </c>
      <c r="H3739">
        <f>_xlfn.XLOOKUP($A3739,Load!$B:$B,Load!I:I,0,)</f>
        <v>0</v>
      </c>
      <c r="I3739">
        <f>_xlfn.XLOOKUP($A3739,Load!$B:$B,Load!J:J,0,)</f>
        <v>0</v>
      </c>
      <c r="J3739">
        <f>_xlfn.XLOOKUP($A3739,Load!$B:$B,Load!K:K,0,)</f>
        <v>0</v>
      </c>
      <c r="K3739">
        <f>_xlfn.XLOOKUP($A3739,Load!$B:$B,Load!L:L,0,)</f>
        <v>0</v>
      </c>
      <c r="L3739">
        <f>_xlfn.XLOOKUP($A3739,Load!$B:$B,Load!M:M,0,)</f>
        <v>0</v>
      </c>
    </row>
    <row r="3740" spans="1:12" x14ac:dyDescent="0.25">
      <c r="A3740" t="s">
        <v>120</v>
      </c>
      <c r="B3740" t="str">
        <f>_xlfn.XLOOKUP($A3740,Load!$B:$B,Load!C:C,0,)</f>
        <v>HARIBO</v>
      </c>
      <c r="C3740" t="str">
        <f>_xlfn.XLOOKUP($A3740,Load!$B:$B,Load!D:D,0,)</f>
        <v>Non-Chocolate Candy Only</v>
      </c>
      <c r="D3740" t="str">
        <f>_xlfn.XLOOKUP($A3740,Load!$B:$B,Load!E:E,0,)</f>
        <v>Variety / Mixed Flavors (Fruity, Sour, Seasonal Flavors)</v>
      </c>
      <c r="E3740" t="str">
        <f>_xlfn.XLOOKUP($A3740,Load!$B:$B,Load!F:F,0,)</f>
        <v>Mixed / Combo Packs (Gummy, Chewy, Taffy, etc.)</v>
      </c>
      <c r="F3740" t="str">
        <f>_xlfn.XLOOKUP($A3740,Load!$B:$B,Load!G:G,0,)</f>
        <v>Medium Multipack (40–80 ct)</v>
      </c>
      <c r="G3740" t="str">
        <f>_xlfn.XLOOKUP($A3740,Load!$B:$B,Load!H:H,0,)</f>
        <v>Laydown Bag</v>
      </c>
      <c r="H3740" t="str">
        <f>_xlfn.XLOOKUP($A3740,Load!$B:$B,Load!I:I,0,)</f>
        <v>Seasonal Shapes (like pumpkins, candy corn, ghost, bats, etc.)</v>
      </c>
      <c r="I3740" t="str">
        <f>_xlfn.XLOOKUP($A3740,Load!$B:$B,Load!J:J,0,)</f>
        <v>Seasonal Graphics (Like Bat, Ghost, Pumpkin, Fall Leaves, Eyeballs, etc.)</v>
      </c>
      <c r="J3740" t="str">
        <f>_xlfn.XLOOKUP($A3740,Load!$B:$B,Load!K:K,0,)</f>
        <v>Small Pieces (Tiny bite size candies)</v>
      </c>
      <c r="K3740" t="str">
        <f>_xlfn.XLOOKUP($A3740,Load!$B:$B,Load!L:L,0,)</f>
        <v>Regular/Original Wrapping</v>
      </c>
      <c r="L3740" t="str">
        <f>_xlfn.XLOOKUP($A3740,Load!$B:$B,Load!M:M,0,)</f>
        <v>Single Brand / Variety Flavors or Form</v>
      </c>
    </row>
    <row r="3741" spans="1:12" x14ac:dyDescent="0.25">
      <c r="B3741">
        <f>_xlfn.XLOOKUP($A3741,Load!$B:$B,Load!C:C,0,)</f>
        <v>0</v>
      </c>
      <c r="C3741">
        <f>_xlfn.XLOOKUP($A3741,Load!$B:$B,Load!D:D,0,)</f>
        <v>0</v>
      </c>
      <c r="D3741">
        <f>_xlfn.XLOOKUP($A3741,Load!$B:$B,Load!E:E,0,)</f>
        <v>0</v>
      </c>
      <c r="E3741">
        <f>_xlfn.XLOOKUP($A3741,Load!$B:$B,Load!F:F,0,)</f>
        <v>0</v>
      </c>
      <c r="F3741">
        <f>_xlfn.XLOOKUP($A3741,Load!$B:$B,Load!G:G,0,)</f>
        <v>0</v>
      </c>
      <c r="G3741">
        <f>_xlfn.XLOOKUP($A3741,Load!$B:$B,Load!H:H,0,)</f>
        <v>0</v>
      </c>
      <c r="H3741">
        <f>_xlfn.XLOOKUP($A3741,Load!$B:$B,Load!I:I,0,)</f>
        <v>0</v>
      </c>
      <c r="I3741">
        <f>_xlfn.XLOOKUP($A3741,Load!$B:$B,Load!J:J,0,)</f>
        <v>0</v>
      </c>
      <c r="J3741">
        <f>_xlfn.XLOOKUP($A3741,Load!$B:$B,Load!K:K,0,)</f>
        <v>0</v>
      </c>
      <c r="K3741">
        <f>_xlfn.XLOOKUP($A3741,Load!$B:$B,Load!L:L,0,)</f>
        <v>0</v>
      </c>
      <c r="L3741">
        <f>_xlfn.XLOOKUP($A3741,Load!$B:$B,Load!M:M,0,)</f>
        <v>0</v>
      </c>
    </row>
    <row r="3742" spans="1:12" x14ac:dyDescent="0.25">
      <c r="B3742">
        <f>_xlfn.XLOOKUP($A3742,Load!$B:$B,Load!C:C,0,)</f>
        <v>0</v>
      </c>
      <c r="C3742">
        <f>_xlfn.XLOOKUP($A3742,Load!$B:$B,Load!D:D,0,)</f>
        <v>0</v>
      </c>
      <c r="D3742">
        <f>_xlfn.XLOOKUP($A3742,Load!$B:$B,Load!E:E,0,)</f>
        <v>0</v>
      </c>
      <c r="E3742">
        <f>_xlfn.XLOOKUP($A3742,Load!$B:$B,Load!F:F,0,)</f>
        <v>0</v>
      </c>
      <c r="F3742">
        <f>_xlfn.XLOOKUP($A3742,Load!$B:$B,Load!G:G,0,)</f>
        <v>0</v>
      </c>
      <c r="G3742">
        <f>_xlfn.XLOOKUP($A3742,Load!$B:$B,Load!H:H,0,)</f>
        <v>0</v>
      </c>
      <c r="H3742">
        <f>_xlfn.XLOOKUP($A3742,Load!$B:$B,Load!I:I,0,)</f>
        <v>0</v>
      </c>
      <c r="I3742">
        <f>_xlfn.XLOOKUP($A3742,Load!$B:$B,Load!J:J,0,)</f>
        <v>0</v>
      </c>
      <c r="J3742">
        <f>_xlfn.XLOOKUP($A3742,Load!$B:$B,Load!K:K,0,)</f>
        <v>0</v>
      </c>
      <c r="K3742">
        <f>_xlfn.XLOOKUP($A3742,Load!$B:$B,Load!L:L,0,)</f>
        <v>0</v>
      </c>
      <c r="L3742">
        <f>_xlfn.XLOOKUP($A3742,Load!$B:$B,Load!M:M,0,)</f>
        <v>0</v>
      </c>
    </row>
    <row r="3743" spans="1:12" x14ac:dyDescent="0.25">
      <c r="B3743">
        <f>_xlfn.XLOOKUP($A3743,Load!$B:$B,Load!C:C,0,)</f>
        <v>0</v>
      </c>
      <c r="C3743">
        <f>_xlfn.XLOOKUP($A3743,Load!$B:$B,Load!D:D,0,)</f>
        <v>0</v>
      </c>
      <c r="D3743">
        <f>_xlfn.XLOOKUP($A3743,Load!$B:$B,Load!E:E,0,)</f>
        <v>0</v>
      </c>
      <c r="E3743">
        <f>_xlfn.XLOOKUP($A3743,Load!$B:$B,Load!F:F,0,)</f>
        <v>0</v>
      </c>
      <c r="F3743">
        <f>_xlfn.XLOOKUP($A3743,Load!$B:$B,Load!G:G,0,)</f>
        <v>0</v>
      </c>
      <c r="G3743">
        <f>_xlfn.XLOOKUP($A3743,Load!$B:$B,Load!H:H,0,)</f>
        <v>0</v>
      </c>
      <c r="H3743">
        <f>_xlfn.XLOOKUP($A3743,Load!$B:$B,Load!I:I,0,)</f>
        <v>0</v>
      </c>
      <c r="I3743">
        <f>_xlfn.XLOOKUP($A3743,Load!$B:$B,Load!J:J,0,)</f>
        <v>0</v>
      </c>
      <c r="J3743">
        <f>_xlfn.XLOOKUP($A3743,Load!$B:$B,Load!K:K,0,)</f>
        <v>0</v>
      </c>
      <c r="K3743">
        <f>_xlfn.XLOOKUP($A3743,Load!$B:$B,Load!L:L,0,)</f>
        <v>0</v>
      </c>
      <c r="L3743">
        <f>_xlfn.XLOOKUP($A3743,Load!$B:$B,Load!M:M,0,)</f>
        <v>0</v>
      </c>
    </row>
    <row r="3744" spans="1:12" x14ac:dyDescent="0.25">
      <c r="A3744" t="s">
        <v>139</v>
      </c>
      <c r="B3744" t="str">
        <f>_xlfn.XLOOKUP($A3744,Load!$B:$B,Load!C:C,0,)</f>
        <v>Hershey's Variety Pack + Haribo</v>
      </c>
      <c r="C3744" t="str">
        <f>_xlfn.XLOOKUP($A3744,Load!$B:$B,Load!D:D,0,)</f>
        <v>Mix of Chocolate and Non-Chocolate Candy</v>
      </c>
      <c r="D3744" t="str">
        <f>_xlfn.XLOOKUP($A3744,Load!$B:$B,Load!E:E,0,)</f>
        <v>Variety / Mixed Flavors (Fruity, Sour, Seasonal Flavors)</v>
      </c>
      <c r="E3744" t="str">
        <f>_xlfn.XLOOKUP($A3744,Load!$B:$B,Load!F:F,0,)</f>
        <v>Mixed / Combo Packs (Gummy, Chewy, Taffy, etc.)</v>
      </c>
      <c r="F3744" t="str">
        <f>_xlfn.XLOOKUP($A3744,Load!$B:$B,Load!G:G,0,)</f>
        <v>Large Multipack (More than 80 ct)</v>
      </c>
      <c r="G3744" t="str">
        <f>_xlfn.XLOOKUP($A3744,Load!$B:$B,Load!H:H,0,)</f>
        <v>Stand-Up Bag</v>
      </c>
      <c r="H3744" t="str">
        <f>_xlfn.XLOOKUP($A3744,Load!$B:$B,Load!I:I,0,)</f>
        <v>Everyday Candy Shapes (like Original, Gummy bear, Fruit, Jewels, etc.)</v>
      </c>
      <c r="I3744" t="str">
        <f>_xlfn.XLOOKUP($A3744,Load!$B:$B,Load!J:J,0,)</f>
        <v>Seasonal Graphics (Like Bat, Ghost, Pumpkin, Fall Leaves, Eyeballs, etc.)</v>
      </c>
      <c r="J3744" t="str">
        <f>_xlfn.XLOOKUP($A3744,Load!$B:$B,Load!K:K,0,)</f>
        <v>Fun Size / Treat Size</v>
      </c>
      <c r="K3744" t="str">
        <f>_xlfn.XLOOKUP($A3744,Load!$B:$B,Load!L:L,0,)</f>
        <v>Regular/Original Wrapping</v>
      </c>
      <c r="L3744" t="str">
        <f>_xlfn.XLOOKUP($A3744,Load!$B:$B,Load!M:M,0,)</f>
        <v>Multiple Brands / Variety Flavors or Form</v>
      </c>
    </row>
    <row r="3745" spans="1:12" x14ac:dyDescent="0.25">
      <c r="B3745">
        <f>_xlfn.XLOOKUP($A3745,Load!$B:$B,Load!C:C,0,)</f>
        <v>0</v>
      </c>
      <c r="C3745">
        <f>_xlfn.XLOOKUP($A3745,Load!$B:$B,Load!D:D,0,)</f>
        <v>0</v>
      </c>
      <c r="D3745">
        <f>_xlfn.XLOOKUP($A3745,Load!$B:$B,Load!E:E,0,)</f>
        <v>0</v>
      </c>
      <c r="E3745">
        <f>_xlfn.XLOOKUP($A3745,Load!$B:$B,Load!F:F,0,)</f>
        <v>0</v>
      </c>
      <c r="F3745">
        <f>_xlfn.XLOOKUP($A3745,Load!$B:$B,Load!G:G,0,)</f>
        <v>0</v>
      </c>
      <c r="G3745">
        <f>_xlfn.XLOOKUP($A3745,Load!$B:$B,Load!H:H,0,)</f>
        <v>0</v>
      </c>
      <c r="H3745">
        <f>_xlfn.XLOOKUP($A3745,Load!$B:$B,Load!I:I,0,)</f>
        <v>0</v>
      </c>
      <c r="I3745">
        <f>_xlfn.XLOOKUP($A3745,Load!$B:$B,Load!J:J,0,)</f>
        <v>0</v>
      </c>
      <c r="J3745">
        <f>_xlfn.XLOOKUP($A3745,Load!$B:$B,Load!K:K,0,)</f>
        <v>0</v>
      </c>
      <c r="K3745">
        <f>_xlfn.XLOOKUP($A3745,Load!$B:$B,Load!L:L,0,)</f>
        <v>0</v>
      </c>
      <c r="L3745">
        <f>_xlfn.XLOOKUP($A3745,Load!$B:$B,Load!M:M,0,)</f>
        <v>0</v>
      </c>
    </row>
    <row r="3746" spans="1:12" x14ac:dyDescent="0.25">
      <c r="A3746" t="s">
        <v>209</v>
      </c>
      <c r="B3746" t="str">
        <f>_xlfn.XLOOKUP($A3746,Load!$B:$B,Load!C:C,0,)</f>
        <v>Mars Variety Pack</v>
      </c>
      <c r="C3746" t="str">
        <f>_xlfn.XLOOKUP($A3746,Load!$B:$B,Load!D:D,0,)</f>
        <v>Non-Chocolate Candy Only</v>
      </c>
      <c r="D3746" t="str">
        <f>_xlfn.XLOOKUP($A3746,Load!$B:$B,Load!E:E,0,)</f>
        <v>Variety / Mixed Flavors (Fruity, Sour, Seasonal Flavors)</v>
      </c>
      <c r="E3746" t="str">
        <f>_xlfn.XLOOKUP($A3746,Load!$B:$B,Load!F:F,0,)</f>
        <v>Mixed / Combo Packs (Gummy, Chewy, Taffy, etc.)</v>
      </c>
      <c r="F3746" t="str">
        <f>_xlfn.XLOOKUP($A3746,Load!$B:$B,Load!G:G,0,)</f>
        <v>Large Multipack (More than 80 ct)</v>
      </c>
      <c r="G3746" t="str">
        <f>_xlfn.XLOOKUP($A3746,Load!$B:$B,Load!H:H,0,)</f>
        <v>Stand-Up Bag</v>
      </c>
      <c r="H3746" t="str">
        <f>_xlfn.XLOOKUP($A3746,Load!$B:$B,Load!I:I,0,)</f>
        <v>Everyday Candy Shapes (like Original, Gummy bear, Fruit, Jewels, etc.)</v>
      </c>
      <c r="I3746" t="str">
        <f>_xlfn.XLOOKUP($A3746,Load!$B:$B,Load!J:J,0,)</f>
        <v>Seasonal Graphics (Like Bat, Ghost, Pumpkin, Fall Leaves, Eyeballs, etc.)</v>
      </c>
      <c r="J3746" t="str">
        <f>_xlfn.XLOOKUP($A3746,Load!$B:$B,Load!K:K,0,)</f>
        <v>Fun Size / Treat Size</v>
      </c>
      <c r="K3746" t="str">
        <f>_xlfn.XLOOKUP($A3746,Load!$B:$B,Load!L:L,0,)</f>
        <v>Regular/Original Wrapping</v>
      </c>
      <c r="L3746" t="str">
        <f>_xlfn.XLOOKUP($A3746,Load!$B:$B,Load!M:M,0,)</f>
        <v>Multiple Brands / Variety Flavors or Form</v>
      </c>
    </row>
    <row r="3747" spans="1:12" x14ac:dyDescent="0.25">
      <c r="B3747">
        <f>_xlfn.XLOOKUP($A3747,Load!$B:$B,Load!C:C,0,)</f>
        <v>0</v>
      </c>
      <c r="C3747">
        <f>_xlfn.XLOOKUP($A3747,Load!$B:$B,Load!D:D,0,)</f>
        <v>0</v>
      </c>
      <c r="D3747">
        <f>_xlfn.XLOOKUP($A3747,Load!$B:$B,Load!E:E,0,)</f>
        <v>0</v>
      </c>
      <c r="E3747">
        <f>_xlfn.XLOOKUP($A3747,Load!$B:$B,Load!F:F,0,)</f>
        <v>0</v>
      </c>
      <c r="F3747">
        <f>_xlfn.XLOOKUP($A3747,Load!$B:$B,Load!G:G,0,)</f>
        <v>0</v>
      </c>
      <c r="G3747">
        <f>_xlfn.XLOOKUP($A3747,Load!$B:$B,Load!H:H,0,)</f>
        <v>0</v>
      </c>
      <c r="H3747">
        <f>_xlfn.XLOOKUP($A3747,Load!$B:$B,Load!I:I,0,)</f>
        <v>0</v>
      </c>
      <c r="I3747">
        <f>_xlfn.XLOOKUP($A3747,Load!$B:$B,Load!J:J,0,)</f>
        <v>0</v>
      </c>
      <c r="J3747">
        <f>_xlfn.XLOOKUP($A3747,Load!$B:$B,Load!K:K,0,)</f>
        <v>0</v>
      </c>
      <c r="K3747">
        <f>_xlfn.XLOOKUP($A3747,Load!$B:$B,Load!L:L,0,)</f>
        <v>0</v>
      </c>
      <c r="L3747">
        <f>_xlfn.XLOOKUP($A3747,Load!$B:$B,Load!M:M,0,)</f>
        <v>0</v>
      </c>
    </row>
    <row r="3748" spans="1:12" x14ac:dyDescent="0.25">
      <c r="A3748" t="s">
        <v>221</v>
      </c>
      <c r="B3748" t="str">
        <f>_xlfn.XLOOKUP($A3748,Load!$B:$B,Load!C:C,0,)</f>
        <v>Hershey's Variety Pack + Haribo</v>
      </c>
      <c r="C3748" t="str">
        <f>_xlfn.XLOOKUP($A3748,Load!$B:$B,Load!D:D,0,)</f>
        <v>Mix of Chocolate and Non-Chocolate Candy</v>
      </c>
      <c r="D3748" t="str">
        <f>_xlfn.XLOOKUP($A3748,Load!$B:$B,Load!E:E,0,)</f>
        <v>Variety / Mixed Flavors (Fruity, Sour, Seasonal Flavors)</v>
      </c>
      <c r="E3748" t="str">
        <f>_xlfn.XLOOKUP($A3748,Load!$B:$B,Load!F:F,0,)</f>
        <v>Mixed / Combo Packs (Gummy, Chewy, Taffy, etc.)</v>
      </c>
      <c r="F3748" t="str">
        <f>_xlfn.XLOOKUP($A3748,Load!$B:$B,Load!G:G,0,)</f>
        <v>Large Multipack (More than 80 ct)</v>
      </c>
      <c r="G3748" t="str">
        <f>_xlfn.XLOOKUP($A3748,Load!$B:$B,Load!H:H,0,)</f>
        <v>Stand-Up Bag</v>
      </c>
      <c r="H3748" t="str">
        <f>_xlfn.XLOOKUP($A3748,Load!$B:$B,Load!I:I,0,)</f>
        <v>Everyday Candy Shapes (like Original, Gummy bear, Fruit, Jewels, etc.)</v>
      </c>
      <c r="I3748" t="str">
        <f>_xlfn.XLOOKUP($A3748,Load!$B:$B,Load!J:J,0,)</f>
        <v>Seasonal Graphics (Like Bat, Ghost, Pumpkin, Fall Leaves, Eyeballs, etc.)</v>
      </c>
      <c r="J3748" t="str">
        <f>_xlfn.XLOOKUP($A3748,Load!$B:$B,Load!K:K,0,)</f>
        <v xml:space="preserve">Variety Candy Sizes </v>
      </c>
      <c r="K3748" t="str">
        <f>_xlfn.XLOOKUP($A3748,Load!$B:$B,Load!L:L,0,)</f>
        <v>Regular/Original Wrapping</v>
      </c>
      <c r="L3748" t="str">
        <f>_xlfn.XLOOKUP($A3748,Load!$B:$B,Load!M:M,0,)</f>
        <v>Multiple Brands / Variety Flavors or Form</v>
      </c>
    </row>
    <row r="3749" spans="1:12" x14ac:dyDescent="0.25">
      <c r="A3749" t="s">
        <v>179</v>
      </c>
      <c r="B3749" t="str">
        <f>_xlfn.XLOOKUP($A3749,Load!$B:$B,Load!C:C,0,)</f>
        <v>Mars Variety Pack</v>
      </c>
      <c r="C3749" t="str">
        <f>_xlfn.XLOOKUP($A3749,Load!$B:$B,Load!D:D,0,)</f>
        <v>Non-Chocolate Candy Only</v>
      </c>
      <c r="D3749" t="str">
        <f>_xlfn.XLOOKUP($A3749,Load!$B:$B,Load!E:E,0,)</f>
        <v>Variety / Mixed Flavors (Fruity, Sour, Seasonal Flavors)</v>
      </c>
      <c r="E3749" t="str">
        <f>_xlfn.XLOOKUP($A3749,Load!$B:$B,Load!F:F,0,)</f>
        <v>Mixed / Combo Packs (Gummy, Chewy, Taffy, etc.)</v>
      </c>
      <c r="F3749" t="str">
        <f>_xlfn.XLOOKUP($A3749,Load!$B:$B,Load!G:G,0,)</f>
        <v>Medium Multipack (40–80 ct)</v>
      </c>
      <c r="G3749" t="str">
        <f>_xlfn.XLOOKUP($A3749,Load!$B:$B,Load!H:H,0,)</f>
        <v>Stand-Up Bag</v>
      </c>
      <c r="H3749" t="str">
        <f>_xlfn.XLOOKUP($A3749,Load!$B:$B,Load!I:I,0,)</f>
        <v>Everyday Candy Shapes (like Original, Gummy bear, Fruit, Jewels, etc.)</v>
      </c>
      <c r="I3749" t="str">
        <f>_xlfn.XLOOKUP($A3749,Load!$B:$B,Load!J:J,0,)</f>
        <v>Seasonal Graphics (Like Bat, Ghost, Pumpkin, Fall Leaves, Eyeballs, etc.)</v>
      </c>
      <c r="J3749" t="str">
        <f>_xlfn.XLOOKUP($A3749,Load!$B:$B,Load!K:K,0,)</f>
        <v>Fun Size / Treat Size</v>
      </c>
      <c r="K3749" t="str">
        <f>_xlfn.XLOOKUP($A3749,Load!$B:$B,Load!L:L,0,)</f>
        <v>Regular/Original Wrapping</v>
      </c>
      <c r="L3749" t="str">
        <f>_xlfn.XLOOKUP($A3749,Load!$B:$B,Load!M:M,0,)</f>
        <v>Multiple Brands / Variety Flavors or Form</v>
      </c>
    </row>
    <row r="3750" spans="1:12" x14ac:dyDescent="0.25">
      <c r="B3750">
        <f>_xlfn.XLOOKUP($A3750,Load!$B:$B,Load!C:C,0,)</f>
        <v>0</v>
      </c>
      <c r="C3750">
        <f>_xlfn.XLOOKUP($A3750,Load!$B:$B,Load!D:D,0,)</f>
        <v>0</v>
      </c>
      <c r="D3750">
        <f>_xlfn.XLOOKUP($A3750,Load!$B:$B,Load!E:E,0,)</f>
        <v>0</v>
      </c>
      <c r="E3750">
        <f>_xlfn.XLOOKUP($A3750,Load!$B:$B,Load!F:F,0,)</f>
        <v>0</v>
      </c>
      <c r="F3750">
        <f>_xlfn.XLOOKUP($A3750,Load!$B:$B,Load!G:G,0,)</f>
        <v>0</v>
      </c>
      <c r="G3750">
        <f>_xlfn.XLOOKUP($A3750,Load!$B:$B,Load!H:H,0,)</f>
        <v>0</v>
      </c>
      <c r="H3750">
        <f>_xlfn.XLOOKUP($A3750,Load!$B:$B,Load!I:I,0,)</f>
        <v>0</v>
      </c>
      <c r="I3750">
        <f>_xlfn.XLOOKUP($A3750,Load!$B:$B,Load!J:J,0,)</f>
        <v>0</v>
      </c>
      <c r="J3750">
        <f>_xlfn.XLOOKUP($A3750,Load!$B:$B,Load!K:K,0,)</f>
        <v>0</v>
      </c>
      <c r="K3750">
        <f>_xlfn.XLOOKUP($A3750,Load!$B:$B,Load!L:L,0,)</f>
        <v>0</v>
      </c>
      <c r="L3750">
        <f>_xlfn.XLOOKUP($A3750,Load!$B:$B,Load!M:M,0,)</f>
        <v>0</v>
      </c>
    </row>
    <row r="3751" spans="1:12" x14ac:dyDescent="0.25">
      <c r="B3751">
        <f>_xlfn.XLOOKUP($A3751,Load!$B:$B,Load!C:C,0,)</f>
        <v>0</v>
      </c>
      <c r="C3751">
        <f>_xlfn.XLOOKUP($A3751,Load!$B:$B,Load!D:D,0,)</f>
        <v>0</v>
      </c>
      <c r="D3751">
        <f>_xlfn.XLOOKUP($A3751,Load!$B:$B,Load!E:E,0,)</f>
        <v>0</v>
      </c>
      <c r="E3751">
        <f>_xlfn.XLOOKUP($A3751,Load!$B:$B,Load!F:F,0,)</f>
        <v>0</v>
      </c>
      <c r="F3751">
        <f>_xlfn.XLOOKUP($A3751,Load!$B:$B,Load!G:G,0,)</f>
        <v>0</v>
      </c>
      <c r="G3751">
        <f>_xlfn.XLOOKUP($A3751,Load!$B:$B,Load!H:H,0,)</f>
        <v>0</v>
      </c>
      <c r="H3751">
        <f>_xlfn.XLOOKUP($A3751,Load!$B:$B,Load!I:I,0,)</f>
        <v>0</v>
      </c>
      <c r="I3751">
        <f>_xlfn.XLOOKUP($A3751,Load!$B:$B,Load!J:J,0,)</f>
        <v>0</v>
      </c>
      <c r="J3751">
        <f>_xlfn.XLOOKUP($A3751,Load!$B:$B,Load!K:K,0,)</f>
        <v>0</v>
      </c>
      <c r="K3751">
        <f>_xlfn.XLOOKUP($A3751,Load!$B:$B,Load!L:L,0,)</f>
        <v>0</v>
      </c>
      <c r="L3751">
        <f>_xlfn.XLOOKUP($A3751,Load!$B:$B,Load!M:M,0,)</f>
        <v>0</v>
      </c>
    </row>
    <row r="3752" spans="1:12" x14ac:dyDescent="0.25">
      <c r="B3752">
        <f>_xlfn.XLOOKUP($A3752,Load!$B:$B,Load!C:C,0,)</f>
        <v>0</v>
      </c>
      <c r="C3752">
        <f>_xlfn.XLOOKUP($A3752,Load!$B:$B,Load!D:D,0,)</f>
        <v>0</v>
      </c>
      <c r="D3752">
        <f>_xlfn.XLOOKUP($A3752,Load!$B:$B,Load!E:E,0,)</f>
        <v>0</v>
      </c>
      <c r="E3752">
        <f>_xlfn.XLOOKUP($A3752,Load!$B:$B,Load!F:F,0,)</f>
        <v>0</v>
      </c>
      <c r="F3752">
        <f>_xlfn.XLOOKUP($A3752,Load!$B:$B,Load!G:G,0,)</f>
        <v>0</v>
      </c>
      <c r="G3752">
        <f>_xlfn.XLOOKUP($A3752,Load!$B:$B,Load!H:H,0,)</f>
        <v>0</v>
      </c>
      <c r="H3752">
        <f>_xlfn.XLOOKUP($A3752,Load!$B:$B,Load!I:I,0,)</f>
        <v>0</v>
      </c>
      <c r="I3752">
        <f>_xlfn.XLOOKUP($A3752,Load!$B:$B,Load!J:J,0,)</f>
        <v>0</v>
      </c>
      <c r="J3752">
        <f>_xlfn.XLOOKUP($A3752,Load!$B:$B,Load!K:K,0,)</f>
        <v>0</v>
      </c>
      <c r="K3752">
        <f>_xlfn.XLOOKUP($A3752,Load!$B:$B,Load!L:L,0,)</f>
        <v>0</v>
      </c>
      <c r="L3752">
        <f>_xlfn.XLOOKUP($A3752,Load!$B:$B,Load!M:M,0,)</f>
        <v>0</v>
      </c>
    </row>
    <row r="3753" spans="1:12" x14ac:dyDescent="0.25">
      <c r="B3753">
        <f>_xlfn.XLOOKUP($A3753,Load!$B:$B,Load!C:C,0,)</f>
        <v>0</v>
      </c>
      <c r="C3753">
        <f>_xlfn.XLOOKUP($A3753,Load!$B:$B,Load!D:D,0,)</f>
        <v>0</v>
      </c>
      <c r="D3753">
        <f>_xlfn.XLOOKUP($A3753,Load!$B:$B,Load!E:E,0,)</f>
        <v>0</v>
      </c>
      <c r="E3753">
        <f>_xlfn.XLOOKUP($A3753,Load!$B:$B,Load!F:F,0,)</f>
        <v>0</v>
      </c>
      <c r="F3753">
        <f>_xlfn.XLOOKUP($A3753,Load!$B:$B,Load!G:G,0,)</f>
        <v>0</v>
      </c>
      <c r="G3753">
        <f>_xlfn.XLOOKUP($A3753,Load!$B:$B,Load!H:H,0,)</f>
        <v>0</v>
      </c>
      <c r="H3753">
        <f>_xlfn.XLOOKUP($A3753,Load!$B:$B,Load!I:I,0,)</f>
        <v>0</v>
      </c>
      <c r="I3753">
        <f>_xlfn.XLOOKUP($A3753,Load!$B:$B,Load!J:J,0,)</f>
        <v>0</v>
      </c>
      <c r="J3753">
        <f>_xlfn.XLOOKUP($A3753,Load!$B:$B,Load!K:K,0,)</f>
        <v>0</v>
      </c>
      <c r="K3753">
        <f>_xlfn.XLOOKUP($A3753,Load!$B:$B,Load!L:L,0,)</f>
        <v>0</v>
      </c>
      <c r="L3753">
        <f>_xlfn.XLOOKUP($A3753,Load!$B:$B,Load!M:M,0,)</f>
        <v>0</v>
      </c>
    </row>
    <row r="3754" spans="1:12" x14ac:dyDescent="0.25">
      <c r="A3754" t="s">
        <v>180</v>
      </c>
      <c r="B3754" t="str">
        <f>_xlfn.XLOOKUP($A3754,Load!$B:$B,Load!C:C,0,)</f>
        <v>Mars Variety Pack</v>
      </c>
      <c r="C3754" t="str">
        <f>_xlfn.XLOOKUP($A3754,Load!$B:$B,Load!D:D,0,)</f>
        <v>Mix of Chocolate and Non-Chocolate Candy</v>
      </c>
      <c r="D3754" t="str">
        <f>_xlfn.XLOOKUP($A3754,Load!$B:$B,Load!E:E,0,)</f>
        <v>Variety / Mixed Flavors (Fruity, Sour, Seasonal Flavors)</v>
      </c>
      <c r="E3754" t="str">
        <f>_xlfn.XLOOKUP($A3754,Load!$B:$B,Load!F:F,0,)</f>
        <v>Mixed / Combo Packs (Gummy, Chewy, Taffy, etc.)</v>
      </c>
      <c r="F3754" t="str">
        <f>_xlfn.XLOOKUP($A3754,Load!$B:$B,Load!G:G,0,)</f>
        <v>Large Multipack (More than 80 ct)</v>
      </c>
      <c r="G3754" t="str">
        <f>_xlfn.XLOOKUP($A3754,Load!$B:$B,Load!H:H,0,)</f>
        <v>Stand-Up Bag</v>
      </c>
      <c r="H3754" t="str">
        <f>_xlfn.XLOOKUP($A3754,Load!$B:$B,Load!I:I,0,)</f>
        <v>Everyday Candy Shapes (like Original, Gummy bear, Fruit, Jewels, etc.)</v>
      </c>
      <c r="I3754" t="str">
        <f>_xlfn.XLOOKUP($A3754,Load!$B:$B,Load!J:J,0,)</f>
        <v>Seasonal Graphics (Like Bat, Ghost, Pumpkin, Fall Leaves, Eyeballs, etc.)</v>
      </c>
      <c r="J3754" t="str">
        <f>_xlfn.XLOOKUP($A3754,Load!$B:$B,Load!K:K,0,)</f>
        <v>Fun Size / Treat Size</v>
      </c>
      <c r="K3754" t="str">
        <f>_xlfn.XLOOKUP($A3754,Load!$B:$B,Load!L:L,0,)</f>
        <v>Regular/Original Wrapping</v>
      </c>
      <c r="L3754" t="str">
        <f>_xlfn.XLOOKUP($A3754,Load!$B:$B,Load!M:M,0,)</f>
        <v>Multiple Brands / Variety Flavors or Form</v>
      </c>
    </row>
    <row r="3755" spans="1:12" x14ac:dyDescent="0.25">
      <c r="A3755" t="s">
        <v>173</v>
      </c>
      <c r="B3755" t="str">
        <f>_xlfn.XLOOKUP($A3755,Load!$B:$B,Load!C:C,0,)</f>
        <v>Mars Variety Pack</v>
      </c>
      <c r="C3755" t="str">
        <f>_xlfn.XLOOKUP($A3755,Load!$B:$B,Load!D:D,0,)</f>
        <v>Mix of Chocolate and Non-Chocolate Candy</v>
      </c>
      <c r="D3755" t="str">
        <f>_xlfn.XLOOKUP($A3755,Load!$B:$B,Load!E:E,0,)</f>
        <v>Variety / Mixed Flavors (Fruity, Sour, Seasonal Flavors)</v>
      </c>
      <c r="E3755" t="str">
        <f>_xlfn.XLOOKUP($A3755,Load!$B:$B,Load!F:F,0,)</f>
        <v>Mixed / Combo Packs (Gummy, Chewy, Taffy, etc.)</v>
      </c>
      <c r="F3755" t="str">
        <f>_xlfn.XLOOKUP($A3755,Load!$B:$B,Load!G:G,0,)</f>
        <v>Large Multipack (More than 80 ct)</v>
      </c>
      <c r="G3755" t="str">
        <f>_xlfn.XLOOKUP($A3755,Load!$B:$B,Load!H:H,0,)</f>
        <v>Stand-Up Bag</v>
      </c>
      <c r="H3755" t="str">
        <f>_xlfn.XLOOKUP($A3755,Load!$B:$B,Load!I:I,0,)</f>
        <v>Everyday Candy Shapes (like Original, Gummy bear, Fruit, Jewels, etc.)</v>
      </c>
      <c r="I3755" t="str">
        <f>_xlfn.XLOOKUP($A3755,Load!$B:$B,Load!J:J,0,)</f>
        <v>Seasonal Graphics (Like Bat, Ghost, Pumpkin, Fall Leaves, Eyeballs, etc.)</v>
      </c>
      <c r="J3755" t="str">
        <f>_xlfn.XLOOKUP($A3755,Load!$B:$B,Load!K:K,0,)</f>
        <v>Fun Size / Treat Size</v>
      </c>
      <c r="K3755" t="str">
        <f>_xlfn.XLOOKUP($A3755,Load!$B:$B,Load!L:L,0,)</f>
        <v>Regular/Original Wrapping</v>
      </c>
      <c r="L3755" t="str">
        <f>_xlfn.XLOOKUP($A3755,Load!$B:$B,Load!M:M,0,)</f>
        <v>Multiple Brands / Variety Flavors or Form</v>
      </c>
    </row>
    <row r="3756" spans="1:12" x14ac:dyDescent="0.25">
      <c r="A3756" t="s">
        <v>139</v>
      </c>
      <c r="B3756" t="str">
        <f>_xlfn.XLOOKUP($A3756,Load!$B:$B,Load!C:C,0,)</f>
        <v>Hershey's Variety Pack + Haribo</v>
      </c>
      <c r="C3756" t="str">
        <f>_xlfn.XLOOKUP($A3756,Load!$B:$B,Load!D:D,0,)</f>
        <v>Mix of Chocolate and Non-Chocolate Candy</v>
      </c>
      <c r="D3756" t="str">
        <f>_xlfn.XLOOKUP($A3756,Load!$B:$B,Load!E:E,0,)</f>
        <v>Variety / Mixed Flavors (Fruity, Sour, Seasonal Flavors)</v>
      </c>
      <c r="E3756" t="str">
        <f>_xlfn.XLOOKUP($A3756,Load!$B:$B,Load!F:F,0,)</f>
        <v>Mixed / Combo Packs (Gummy, Chewy, Taffy, etc.)</v>
      </c>
      <c r="F3756" t="str">
        <f>_xlfn.XLOOKUP($A3756,Load!$B:$B,Load!G:G,0,)</f>
        <v>Large Multipack (More than 80 ct)</v>
      </c>
      <c r="G3756" t="str">
        <f>_xlfn.XLOOKUP($A3756,Load!$B:$B,Load!H:H,0,)</f>
        <v>Stand-Up Bag</v>
      </c>
      <c r="H3756" t="str">
        <f>_xlfn.XLOOKUP($A3756,Load!$B:$B,Load!I:I,0,)</f>
        <v>Everyday Candy Shapes (like Original, Gummy bear, Fruit, Jewels, etc.)</v>
      </c>
      <c r="I3756" t="str">
        <f>_xlfn.XLOOKUP($A3756,Load!$B:$B,Load!J:J,0,)</f>
        <v>Seasonal Graphics (Like Bat, Ghost, Pumpkin, Fall Leaves, Eyeballs, etc.)</v>
      </c>
      <c r="J3756" t="str">
        <f>_xlfn.XLOOKUP($A3756,Load!$B:$B,Load!K:K,0,)</f>
        <v>Fun Size / Treat Size</v>
      </c>
      <c r="K3756" t="str">
        <f>_xlfn.XLOOKUP($A3756,Load!$B:$B,Load!L:L,0,)</f>
        <v>Regular/Original Wrapping</v>
      </c>
      <c r="L3756" t="str">
        <f>_xlfn.XLOOKUP($A3756,Load!$B:$B,Load!M:M,0,)</f>
        <v>Multiple Brands / Variety Flavors or Form</v>
      </c>
    </row>
    <row r="3757" spans="1:12" x14ac:dyDescent="0.25">
      <c r="A3757" t="s">
        <v>131</v>
      </c>
      <c r="B3757" t="str">
        <f>_xlfn.XLOOKUP($A3757,Load!$B:$B,Load!C:C,0,)</f>
        <v>Hershey's</v>
      </c>
      <c r="C3757" t="str">
        <f>_xlfn.XLOOKUP($A3757,Load!$B:$B,Load!D:D,0,)</f>
        <v>Mix of Chocolate and Non-Chocolate Candy</v>
      </c>
      <c r="D3757" t="str">
        <f>_xlfn.XLOOKUP($A3757,Load!$B:$B,Load!E:E,0,)</f>
        <v>Variety / Mixed Flavors (Fruity, Sour, Seasonal Flavors)</v>
      </c>
      <c r="E3757" t="str">
        <f>_xlfn.XLOOKUP($A3757,Load!$B:$B,Load!F:F,0,)</f>
        <v>Mixed / Combo Packs (Gummy, Chewy, Taffy, etc.)</v>
      </c>
      <c r="F3757" t="str">
        <f>_xlfn.XLOOKUP($A3757,Load!$B:$B,Load!G:G,0,)</f>
        <v>Large Multipack (More than 80 ct)</v>
      </c>
      <c r="G3757" t="str">
        <f>_xlfn.XLOOKUP($A3757,Load!$B:$B,Load!H:H,0,)</f>
        <v>Stand-Up Bag</v>
      </c>
      <c r="H3757" t="str">
        <f>_xlfn.XLOOKUP($A3757,Load!$B:$B,Load!I:I,0,)</f>
        <v>Everyday Candy Shapes (like Original, Gummy bear, Fruit, Jewels, etc.)</v>
      </c>
      <c r="I3757" t="str">
        <f>_xlfn.XLOOKUP($A3757,Load!$B:$B,Load!J:J,0,)</f>
        <v>Seasonal Graphics (Like Bat, Ghost, Pumpkin, Fall Leaves, Eyeballs, etc.)</v>
      </c>
      <c r="J3757" t="str">
        <f>_xlfn.XLOOKUP($A3757,Load!$B:$B,Load!K:K,0,)</f>
        <v>Fun Size / Treat Size</v>
      </c>
      <c r="K3757" t="str">
        <f>_xlfn.XLOOKUP($A3757,Load!$B:$B,Load!L:L,0,)</f>
        <v>Regular/Original Wrapping</v>
      </c>
      <c r="L3757" t="str">
        <f>_xlfn.XLOOKUP($A3757,Load!$B:$B,Load!M:M,0,)</f>
        <v>Multiple Brands / Variety Flavors or Form</v>
      </c>
    </row>
    <row r="3758" spans="1:12" x14ac:dyDescent="0.25">
      <c r="A3758" t="s">
        <v>95</v>
      </c>
      <c r="B3758" t="str">
        <f>_xlfn.XLOOKUP($A3758,Load!$B:$B,Load!C:C,0,)</f>
        <v>Ferrara Variety Pack</v>
      </c>
      <c r="C3758" t="str">
        <f>_xlfn.XLOOKUP($A3758,Load!$B:$B,Load!D:D,0,)</f>
        <v>Non-Chocolate Candy Only</v>
      </c>
      <c r="D3758" t="str">
        <f>_xlfn.XLOOKUP($A3758,Load!$B:$B,Load!E:E,0,)</f>
        <v>Variety / Mixed Flavors (Fruity, Sour, Seasonal Flavors)</v>
      </c>
      <c r="E3758" t="str">
        <f>_xlfn.XLOOKUP($A3758,Load!$B:$B,Load!F:F,0,)</f>
        <v>Mixed / Combo Packs (Gummy, Chewy, Taffy, etc.)</v>
      </c>
      <c r="F3758" t="str">
        <f>_xlfn.XLOOKUP($A3758,Load!$B:$B,Load!G:G,0,)</f>
        <v>Medium Multipack (40–80 ct)</v>
      </c>
      <c r="G3758" t="str">
        <f>_xlfn.XLOOKUP($A3758,Load!$B:$B,Load!H:H,0,)</f>
        <v>Stand-Up Bag</v>
      </c>
      <c r="H3758" t="str">
        <f>_xlfn.XLOOKUP($A3758,Load!$B:$B,Load!I:I,0,)</f>
        <v>Everyday Candy Shapes (like Original, Gummy bear, Fruit, Jewels, etc.)</v>
      </c>
      <c r="I3758" t="str">
        <f>_xlfn.XLOOKUP($A3758,Load!$B:$B,Load!J:J,0,)</f>
        <v>Seasonal Graphics (Like Bat, Ghost, Pumpkin, Fall Leaves, Eyeballs, etc.)</v>
      </c>
      <c r="J3758" t="str">
        <f>_xlfn.XLOOKUP($A3758,Load!$B:$B,Load!K:K,0,)</f>
        <v xml:space="preserve">Variety Candy Sizes </v>
      </c>
      <c r="K3758" t="str">
        <f>_xlfn.XLOOKUP($A3758,Load!$B:$B,Load!L:L,0,)</f>
        <v>Regular/Original Wrapping</v>
      </c>
      <c r="L3758" t="str">
        <f>_xlfn.XLOOKUP($A3758,Load!$B:$B,Load!M:M,0,)</f>
        <v>Multiple Brands / Variety Flavors or Form</v>
      </c>
    </row>
    <row r="3759" spans="1:12" x14ac:dyDescent="0.25">
      <c r="B3759">
        <f>_xlfn.XLOOKUP($A3759,Load!$B:$B,Load!C:C,0,)</f>
        <v>0</v>
      </c>
      <c r="C3759">
        <f>_xlfn.XLOOKUP($A3759,Load!$B:$B,Load!D:D,0,)</f>
        <v>0</v>
      </c>
      <c r="D3759">
        <f>_xlfn.XLOOKUP($A3759,Load!$B:$B,Load!E:E,0,)</f>
        <v>0</v>
      </c>
      <c r="E3759">
        <f>_xlfn.XLOOKUP($A3759,Load!$B:$B,Load!F:F,0,)</f>
        <v>0</v>
      </c>
      <c r="F3759">
        <f>_xlfn.XLOOKUP($A3759,Load!$B:$B,Load!G:G,0,)</f>
        <v>0</v>
      </c>
      <c r="G3759">
        <f>_xlfn.XLOOKUP($A3759,Load!$B:$B,Load!H:H,0,)</f>
        <v>0</v>
      </c>
      <c r="H3759">
        <f>_xlfn.XLOOKUP($A3759,Load!$B:$B,Load!I:I,0,)</f>
        <v>0</v>
      </c>
      <c r="I3759">
        <f>_xlfn.XLOOKUP($A3759,Load!$B:$B,Load!J:J,0,)</f>
        <v>0</v>
      </c>
      <c r="J3759">
        <f>_xlfn.XLOOKUP($A3759,Load!$B:$B,Load!K:K,0,)</f>
        <v>0</v>
      </c>
      <c r="K3759">
        <f>_xlfn.XLOOKUP($A3759,Load!$B:$B,Load!L:L,0,)</f>
        <v>0</v>
      </c>
      <c r="L3759">
        <f>_xlfn.XLOOKUP($A3759,Load!$B:$B,Load!M:M,0,)</f>
        <v>0</v>
      </c>
    </row>
    <row r="3760" spans="1:12" x14ac:dyDescent="0.25">
      <c r="A3760" t="s">
        <v>121</v>
      </c>
      <c r="B3760" t="str">
        <f>_xlfn.XLOOKUP($A3760,Load!$B:$B,Load!C:C,0,)</f>
        <v>HARIBO</v>
      </c>
      <c r="C3760" t="str">
        <f>_xlfn.XLOOKUP($A3760,Load!$B:$B,Load!D:D,0,)</f>
        <v>Non-Chocolate Candy Only</v>
      </c>
      <c r="D3760" t="str">
        <f>_xlfn.XLOOKUP($A3760,Load!$B:$B,Load!E:E,0,)</f>
        <v>Variety / Mixed Flavors (Fruity, Sour, Seasonal Flavors)</v>
      </c>
      <c r="E3760" t="str">
        <f>_xlfn.XLOOKUP($A3760,Load!$B:$B,Load!F:F,0,)</f>
        <v>Gummy</v>
      </c>
      <c r="F3760" t="str">
        <f>_xlfn.XLOOKUP($A3760,Load!$B:$B,Load!G:G,0,)</f>
        <v>Large Multipack (More than 80 ct)</v>
      </c>
      <c r="G3760" t="str">
        <f>_xlfn.XLOOKUP($A3760,Load!$B:$B,Load!H:H,0,)</f>
        <v>Stand-Up Bag</v>
      </c>
      <c r="H3760" t="str">
        <f>_xlfn.XLOOKUP($A3760,Load!$B:$B,Load!I:I,0,)</f>
        <v>Seasonal Shapes (like pumpkins, candy corn, ghost, bats, etc.)</v>
      </c>
      <c r="I3760" t="str">
        <f>_xlfn.XLOOKUP($A3760,Load!$B:$B,Load!J:J,0,)</f>
        <v>Seasonal Graphics (Like Bat, Ghost, Pumpkin, Fall Leaves, Eyeballs, etc.)</v>
      </c>
      <c r="J3760" t="str">
        <f>_xlfn.XLOOKUP($A3760,Load!$B:$B,Load!K:K,0,)</f>
        <v>Fun Size / Treat Size</v>
      </c>
      <c r="K3760" t="str">
        <f>_xlfn.XLOOKUP($A3760,Load!$B:$B,Load!L:L,0,)</f>
        <v>Regular/Original Wrapping</v>
      </c>
      <c r="L3760" t="str">
        <f>_xlfn.XLOOKUP($A3760,Load!$B:$B,Load!M:M,0,)</f>
        <v>Multiple Brands / Variety Flavors or Form</v>
      </c>
    </row>
    <row r="3761" spans="1:12" x14ac:dyDescent="0.25">
      <c r="A3761" t="s">
        <v>71</v>
      </c>
      <c r="B3761" t="str">
        <f>_xlfn.XLOOKUP($A3761,Load!$B:$B,Load!C:C,0,)</f>
        <v>Dum Dums</v>
      </c>
      <c r="C3761" t="str">
        <f>_xlfn.XLOOKUP($A3761,Load!$B:$B,Load!D:D,0,)</f>
        <v>Non-Chocolate Candy Only</v>
      </c>
      <c r="D3761" t="str">
        <f>_xlfn.XLOOKUP($A3761,Load!$B:$B,Load!E:E,0,)</f>
        <v>Sweet</v>
      </c>
      <c r="E3761" t="str">
        <f>_xlfn.XLOOKUP($A3761,Load!$B:$B,Load!F:F,0,)</f>
        <v>Lollipop (regular or lollipop rings)</v>
      </c>
      <c r="F3761" t="str">
        <f>_xlfn.XLOOKUP($A3761,Load!$B:$B,Load!G:G,0,)</f>
        <v>Large Multipack (More than 80 ct)</v>
      </c>
      <c r="G3761" t="str">
        <f>_xlfn.XLOOKUP($A3761,Load!$B:$B,Load!H:H,0,)</f>
        <v>Stand-Up Bag</v>
      </c>
      <c r="H3761" t="str">
        <f>_xlfn.XLOOKUP($A3761,Load!$B:$B,Load!I:I,0,)</f>
        <v>Everyday Candy Shapes (like Original, Gummy bear, Fruit, Jewels, etc.)</v>
      </c>
      <c r="I3761" t="str">
        <f>_xlfn.XLOOKUP($A3761,Load!$B:$B,Load!J:J,0,)</f>
        <v>Seasonal Graphics (Like Bat, Ghost, Pumpkin, Fall Leaves, Eyeballs, etc.)</v>
      </c>
      <c r="J3761" t="str">
        <f>_xlfn.XLOOKUP($A3761,Load!$B:$B,Load!K:K,0,)</f>
        <v>Regular Lollipop size (on sticks or rings)</v>
      </c>
      <c r="K3761" t="str">
        <f>_xlfn.XLOOKUP($A3761,Load!$B:$B,Load!L:L,0,)</f>
        <v>Regular/Original Wrapping</v>
      </c>
      <c r="L3761" t="str">
        <f>_xlfn.XLOOKUP($A3761,Load!$B:$B,Load!M:M,0,)</f>
        <v>Multiple Brands / Variety Flavors or Form</v>
      </c>
    </row>
    <row r="3762" spans="1:12" x14ac:dyDescent="0.25">
      <c r="A3762" t="s">
        <v>134</v>
      </c>
      <c r="B3762" t="str">
        <f>_xlfn.XLOOKUP($A3762,Load!$B:$B,Load!C:C,0,)</f>
        <v>Hershey's Variety Pack</v>
      </c>
      <c r="C3762" t="str">
        <f>_xlfn.XLOOKUP($A3762,Load!$B:$B,Load!D:D,0,)</f>
        <v>Non-Chocolate Candy Only</v>
      </c>
      <c r="D3762" t="str">
        <f>_xlfn.XLOOKUP($A3762,Load!$B:$B,Load!E:E,0,)</f>
        <v>Variety / Mixed Flavors (Fruity, Sour, Seasonal Flavors)</v>
      </c>
      <c r="E3762" t="str">
        <f>_xlfn.XLOOKUP($A3762,Load!$B:$B,Load!F:F,0,)</f>
        <v>Mixed / Combo Packs (Gummy, Chewy, Taffy, etc.)</v>
      </c>
      <c r="F3762" t="str">
        <f>_xlfn.XLOOKUP($A3762,Load!$B:$B,Load!G:G,0,)</f>
        <v>Large Multipack (More than 80 ct)</v>
      </c>
      <c r="G3762" t="str">
        <f>_xlfn.XLOOKUP($A3762,Load!$B:$B,Load!H:H,0,)</f>
        <v>Stand-Up Bag</v>
      </c>
      <c r="H3762" t="str">
        <f>_xlfn.XLOOKUP($A3762,Load!$B:$B,Load!I:I,0,)</f>
        <v>Everyday Candy Shapes (like Original, Gummy bear, Fruit, Jewels, etc.)</v>
      </c>
      <c r="I3762" t="str">
        <f>_xlfn.XLOOKUP($A3762,Load!$B:$B,Load!J:J,0,)</f>
        <v>Seasonal Graphics (Like Bat, Ghost, Pumpkin, Fall Leaves, Eyeballs, etc.)</v>
      </c>
      <c r="J3762" t="str">
        <f>_xlfn.XLOOKUP($A3762,Load!$B:$B,Load!K:K,0,)</f>
        <v xml:space="preserve">Variety Candy Sizes </v>
      </c>
      <c r="K3762" t="str">
        <f>_xlfn.XLOOKUP($A3762,Load!$B:$B,Load!L:L,0,)</f>
        <v>Regular/Original Wrapping</v>
      </c>
      <c r="L3762" t="str">
        <f>_xlfn.XLOOKUP($A3762,Load!$B:$B,Load!M:M,0,)</f>
        <v>Multiple Brands / Variety Flavors or Form</v>
      </c>
    </row>
    <row r="3763" spans="1:12" x14ac:dyDescent="0.25">
      <c r="B3763">
        <f>_xlfn.XLOOKUP($A3763,Load!$B:$B,Load!C:C,0,)</f>
        <v>0</v>
      </c>
      <c r="C3763">
        <f>_xlfn.XLOOKUP($A3763,Load!$B:$B,Load!D:D,0,)</f>
        <v>0</v>
      </c>
      <c r="D3763">
        <f>_xlfn.XLOOKUP($A3763,Load!$B:$B,Load!E:E,0,)</f>
        <v>0</v>
      </c>
      <c r="E3763">
        <f>_xlfn.XLOOKUP($A3763,Load!$B:$B,Load!F:F,0,)</f>
        <v>0</v>
      </c>
      <c r="F3763">
        <f>_xlfn.XLOOKUP($A3763,Load!$B:$B,Load!G:G,0,)</f>
        <v>0</v>
      </c>
      <c r="G3763">
        <f>_xlfn.XLOOKUP($A3763,Load!$B:$B,Load!H:H,0,)</f>
        <v>0</v>
      </c>
      <c r="H3763">
        <f>_xlfn.XLOOKUP($A3763,Load!$B:$B,Load!I:I,0,)</f>
        <v>0</v>
      </c>
      <c r="I3763">
        <f>_xlfn.XLOOKUP($A3763,Load!$B:$B,Load!J:J,0,)</f>
        <v>0</v>
      </c>
      <c r="J3763">
        <f>_xlfn.XLOOKUP($A3763,Load!$B:$B,Load!K:K,0,)</f>
        <v>0</v>
      </c>
      <c r="K3763">
        <f>_xlfn.XLOOKUP($A3763,Load!$B:$B,Load!L:L,0,)</f>
        <v>0</v>
      </c>
      <c r="L3763">
        <f>_xlfn.XLOOKUP($A3763,Load!$B:$B,Load!M:M,0,)</f>
        <v>0</v>
      </c>
    </row>
    <row r="3764" spans="1:12" x14ac:dyDescent="0.25">
      <c r="A3764" t="s">
        <v>144</v>
      </c>
      <c r="B3764" t="str">
        <f>_xlfn.XLOOKUP($A3764,Load!$B:$B,Load!C:C,0,)</f>
        <v>Hershey's Variety Pack + Haribo</v>
      </c>
      <c r="C3764" t="str">
        <f>_xlfn.XLOOKUP($A3764,Load!$B:$B,Load!D:D,0,)</f>
        <v>Mix of Chocolate and Non-Chocolate Candy</v>
      </c>
      <c r="D3764" t="str">
        <f>_xlfn.XLOOKUP($A3764,Load!$B:$B,Load!E:E,0,)</f>
        <v>Variety / Mixed Flavors (Fruity, Sour, Seasonal Flavors)</v>
      </c>
      <c r="E3764" t="str">
        <f>_xlfn.XLOOKUP($A3764,Load!$B:$B,Load!F:F,0,)</f>
        <v>Mixed / Combo Packs (Gummy, Chewy, Taffy, etc.)</v>
      </c>
      <c r="F3764" t="str">
        <f>_xlfn.XLOOKUP($A3764,Load!$B:$B,Load!G:G,0,)</f>
        <v>Large Multipack (More than 80 ct)</v>
      </c>
      <c r="G3764" t="str">
        <f>_xlfn.XLOOKUP($A3764,Load!$B:$B,Load!H:H,0,)</f>
        <v>Stand-Up Bag</v>
      </c>
      <c r="H3764" t="str">
        <f>_xlfn.XLOOKUP($A3764,Load!$B:$B,Load!I:I,0,)</f>
        <v>Everyday Candy Shapes (like Original, Gummy bear, Fruit, Jewels, etc.)</v>
      </c>
      <c r="I3764" t="str">
        <f>_xlfn.XLOOKUP($A3764,Load!$B:$B,Load!J:J,0,)</f>
        <v>Seasonal Graphics (Like Bat, Ghost, Pumpkin, Fall Leaves, Eyeballs, etc.)</v>
      </c>
      <c r="J3764" t="str">
        <f>_xlfn.XLOOKUP($A3764,Load!$B:$B,Load!K:K,0,)</f>
        <v>Fun Size / Treat Size</v>
      </c>
      <c r="K3764" t="str">
        <f>_xlfn.XLOOKUP($A3764,Load!$B:$B,Load!L:L,0,)</f>
        <v>Regular/Original Wrapping</v>
      </c>
      <c r="L3764" t="str">
        <f>_xlfn.XLOOKUP($A3764,Load!$B:$B,Load!M:M,0,)</f>
        <v>Multiple Brands / Variety Flavors or Form</v>
      </c>
    </row>
    <row r="3765" spans="1:12" x14ac:dyDescent="0.25">
      <c r="B3765">
        <f>_xlfn.XLOOKUP($A3765,Load!$B:$B,Load!C:C,0,)</f>
        <v>0</v>
      </c>
      <c r="C3765">
        <f>_xlfn.XLOOKUP($A3765,Load!$B:$B,Load!D:D,0,)</f>
        <v>0</v>
      </c>
      <c r="D3765">
        <f>_xlfn.XLOOKUP($A3765,Load!$B:$B,Load!E:E,0,)</f>
        <v>0</v>
      </c>
      <c r="E3765">
        <f>_xlfn.XLOOKUP($A3765,Load!$B:$B,Load!F:F,0,)</f>
        <v>0</v>
      </c>
      <c r="F3765">
        <f>_xlfn.XLOOKUP($A3765,Load!$B:$B,Load!G:G,0,)</f>
        <v>0</v>
      </c>
      <c r="G3765">
        <f>_xlfn.XLOOKUP($A3765,Load!$B:$B,Load!H:H,0,)</f>
        <v>0</v>
      </c>
      <c r="H3765">
        <f>_xlfn.XLOOKUP($A3765,Load!$B:$B,Load!I:I,0,)</f>
        <v>0</v>
      </c>
      <c r="I3765">
        <f>_xlfn.XLOOKUP($A3765,Load!$B:$B,Load!J:J,0,)</f>
        <v>0</v>
      </c>
      <c r="J3765">
        <f>_xlfn.XLOOKUP($A3765,Load!$B:$B,Load!K:K,0,)</f>
        <v>0</v>
      </c>
      <c r="K3765">
        <f>_xlfn.XLOOKUP($A3765,Load!$B:$B,Load!L:L,0,)</f>
        <v>0</v>
      </c>
      <c r="L3765">
        <f>_xlfn.XLOOKUP($A3765,Load!$B:$B,Load!M:M,0,)</f>
        <v>0</v>
      </c>
    </row>
    <row r="3766" spans="1:12" x14ac:dyDescent="0.25">
      <c r="A3766" t="s">
        <v>252</v>
      </c>
      <c r="B3766" t="str">
        <f>_xlfn.XLOOKUP($A3766,Load!$B:$B,Load!C:C,0,)</f>
        <v>Skittles</v>
      </c>
      <c r="C3766" t="str">
        <f>_xlfn.XLOOKUP($A3766,Load!$B:$B,Load!D:D,0,)</f>
        <v>Non-Chocolate Candy Only</v>
      </c>
      <c r="D3766" t="str">
        <f>_xlfn.XLOOKUP($A3766,Load!$B:$B,Load!E:E,0,)</f>
        <v>Sour</v>
      </c>
      <c r="E3766" t="str">
        <f>_xlfn.XLOOKUP($A3766,Load!$B:$B,Load!F:F,0,)</f>
        <v>Candy Pieces / Bites</v>
      </c>
      <c r="F3766" t="str">
        <f>_xlfn.XLOOKUP($A3766,Load!$B:$B,Load!G:G,0,)</f>
        <v>Single Pack</v>
      </c>
      <c r="G3766" t="str">
        <f>_xlfn.XLOOKUP($A3766,Load!$B:$B,Load!H:H,0,)</f>
        <v>Laydown Bag</v>
      </c>
      <c r="H3766" t="str">
        <f>_xlfn.XLOOKUP($A3766,Load!$B:$B,Load!I:I,0,)</f>
        <v>Everyday Candy Shapes (like Original, Gummy bear, Fruit, Jewels, etc.)</v>
      </c>
      <c r="I3766" t="str">
        <f>_xlfn.XLOOKUP($A3766,Load!$B:$B,Load!J:J,0,)</f>
        <v>Seasonal Graphics (Like Bat, Ghost, Pumpkin, Fall Leaves, Eyeballs, etc.)</v>
      </c>
      <c r="J3766" t="str">
        <f>_xlfn.XLOOKUP($A3766,Load!$B:$B,Load!K:K,0,)</f>
        <v>Small Pieces (Tiny bite size candies)</v>
      </c>
      <c r="K3766" t="str">
        <f>_xlfn.XLOOKUP($A3766,Load!$B:$B,Load!L:L,0,)</f>
        <v>Unwrapped</v>
      </c>
      <c r="L3766" t="str">
        <f>_xlfn.XLOOKUP($A3766,Load!$B:$B,Load!M:M,0,)</f>
        <v>Single Brand / Variety Flavors or Form</v>
      </c>
    </row>
    <row r="3767" spans="1:12" x14ac:dyDescent="0.25">
      <c r="B3767">
        <f>_xlfn.XLOOKUP($A3767,Load!$B:$B,Load!C:C,0,)</f>
        <v>0</v>
      </c>
      <c r="C3767">
        <f>_xlfn.XLOOKUP($A3767,Load!$B:$B,Load!D:D,0,)</f>
        <v>0</v>
      </c>
      <c r="D3767">
        <f>_xlfn.XLOOKUP($A3767,Load!$B:$B,Load!E:E,0,)</f>
        <v>0</v>
      </c>
      <c r="E3767">
        <f>_xlfn.XLOOKUP($A3767,Load!$B:$B,Load!F:F,0,)</f>
        <v>0</v>
      </c>
      <c r="F3767">
        <f>_xlfn.XLOOKUP($A3767,Load!$B:$B,Load!G:G,0,)</f>
        <v>0</v>
      </c>
      <c r="G3767">
        <f>_xlfn.XLOOKUP($A3767,Load!$B:$B,Load!H:H,0,)</f>
        <v>0</v>
      </c>
      <c r="H3767">
        <f>_xlfn.XLOOKUP($A3767,Load!$B:$B,Load!I:I,0,)</f>
        <v>0</v>
      </c>
      <c r="I3767">
        <f>_xlfn.XLOOKUP($A3767,Load!$B:$B,Load!J:J,0,)</f>
        <v>0</v>
      </c>
      <c r="J3767">
        <f>_xlfn.XLOOKUP($A3767,Load!$B:$B,Load!K:K,0,)</f>
        <v>0</v>
      </c>
      <c r="K3767">
        <f>_xlfn.XLOOKUP($A3767,Load!$B:$B,Load!L:L,0,)</f>
        <v>0</v>
      </c>
      <c r="L3767">
        <f>_xlfn.XLOOKUP($A3767,Load!$B:$B,Load!M:M,0,)</f>
        <v>0</v>
      </c>
    </row>
    <row r="3768" spans="1:12" x14ac:dyDescent="0.25">
      <c r="A3768" t="s">
        <v>275</v>
      </c>
      <c r="B3768" t="str">
        <f>_xlfn.XLOOKUP($A3768,Load!$B:$B,Load!C:C,0,)</f>
        <v>Mondelez Variety Pack</v>
      </c>
      <c r="C3768" t="str">
        <f>_xlfn.XLOOKUP($A3768,Load!$B:$B,Load!D:D,0,)</f>
        <v>Non-Chocolate Candy Only</v>
      </c>
      <c r="D3768" t="str">
        <f>_xlfn.XLOOKUP($A3768,Load!$B:$B,Load!E:E,0,)</f>
        <v>Variety / Mixed Flavors (Fruity, Sour, Seasonal Flavors)</v>
      </c>
      <c r="E3768" t="str">
        <f>_xlfn.XLOOKUP($A3768,Load!$B:$B,Load!F:F,0,)</f>
        <v>Mixed / Combo Packs (Gummy, Chewy, Taffy, etc.)</v>
      </c>
      <c r="F3768" t="str">
        <f>_xlfn.XLOOKUP($A3768,Load!$B:$B,Load!G:G,0,)</f>
        <v>Small Multipack (Less than 40 ct)</v>
      </c>
      <c r="G3768" t="str">
        <f>_xlfn.XLOOKUP($A3768,Load!$B:$B,Load!H:H,0,)</f>
        <v>Box (theatre box, gift box, carton)</v>
      </c>
      <c r="H3768" t="str">
        <f>_xlfn.XLOOKUP($A3768,Load!$B:$B,Load!I:I,0,)</f>
        <v>Everyday Candy Shapes (like Original, Gummy bear, Fruit, Jewels, etc.)</v>
      </c>
      <c r="I3768" t="str">
        <f>_xlfn.XLOOKUP($A3768,Load!$B:$B,Load!J:J,0,)</f>
        <v>Seasonal Graphics (Like Bat, Ghost, Pumpkin, Fall Leaves, Eyeballs, etc.)</v>
      </c>
      <c r="J3768" t="str">
        <f>_xlfn.XLOOKUP($A3768,Load!$B:$B,Load!K:K,0,)</f>
        <v>Small Pieces (Tiny bite size candies)</v>
      </c>
      <c r="K3768" t="str">
        <f>_xlfn.XLOOKUP($A3768,Load!$B:$B,Load!L:L,0,)</f>
        <v>Regular/Original Wrapping</v>
      </c>
      <c r="L3768" t="str">
        <f>_xlfn.XLOOKUP($A3768,Load!$B:$B,Load!M:M,0,)</f>
        <v>Multiple Brands / Variety Flavors or Form</v>
      </c>
    </row>
    <row r="3769" spans="1:12" x14ac:dyDescent="0.25">
      <c r="A3769" t="s">
        <v>205</v>
      </c>
      <c r="B3769" t="str">
        <f>_xlfn.XLOOKUP($A3769,Load!$B:$B,Load!C:C,0,)</f>
        <v>Mars Variety Pack</v>
      </c>
      <c r="C3769" t="str">
        <f>_xlfn.XLOOKUP($A3769,Load!$B:$B,Load!D:D,0,)</f>
        <v>Non-Chocolate Candy Only</v>
      </c>
      <c r="D3769" t="str">
        <f>_xlfn.XLOOKUP($A3769,Load!$B:$B,Load!E:E,0,)</f>
        <v>Variety / Mixed Flavors (Fruity, Sour, Seasonal Flavors)</v>
      </c>
      <c r="E3769" t="str">
        <f>_xlfn.XLOOKUP($A3769,Load!$B:$B,Load!F:F,0,)</f>
        <v>Mixed / Combo Packs (Gummy, Chewy, Taffy, etc.)</v>
      </c>
      <c r="F3769" t="str">
        <f>_xlfn.XLOOKUP($A3769,Load!$B:$B,Load!G:G,0,)</f>
        <v>Small Multipack (Less than 40 ct)</v>
      </c>
      <c r="G3769" t="str">
        <f>_xlfn.XLOOKUP($A3769,Load!$B:$B,Load!H:H,0,)</f>
        <v>Box (theatre box, gift box, carton)</v>
      </c>
      <c r="H3769" t="str">
        <f>_xlfn.XLOOKUP($A3769,Load!$B:$B,Load!I:I,0,)</f>
        <v>Everyday Candy Shapes (like Original, Gummy bear, Fruit, Jewels, etc.)</v>
      </c>
      <c r="I3769" t="str">
        <f>_xlfn.XLOOKUP($A3769,Load!$B:$B,Load!J:J,0,)</f>
        <v>Everyday Graphics</v>
      </c>
      <c r="J3769" t="str">
        <f>_xlfn.XLOOKUP($A3769,Load!$B:$B,Load!K:K,0,)</f>
        <v>Small Pieces (Tiny bite size candies)</v>
      </c>
      <c r="K3769" t="str">
        <f>_xlfn.XLOOKUP($A3769,Load!$B:$B,Load!L:L,0,)</f>
        <v>Regular/Original Wrapping</v>
      </c>
      <c r="L3769" t="str">
        <f>_xlfn.XLOOKUP($A3769,Load!$B:$B,Load!M:M,0,)</f>
        <v>Multiple Brands / Variety Flavors or Form</v>
      </c>
    </row>
    <row r="3770" spans="1:12" x14ac:dyDescent="0.25">
      <c r="B3770">
        <f>_xlfn.XLOOKUP($A3770,Load!$B:$B,Load!C:C,0,)</f>
        <v>0</v>
      </c>
      <c r="C3770">
        <f>_xlfn.XLOOKUP($A3770,Load!$B:$B,Load!D:D,0,)</f>
        <v>0</v>
      </c>
      <c r="D3770">
        <f>_xlfn.XLOOKUP($A3770,Load!$B:$B,Load!E:E,0,)</f>
        <v>0</v>
      </c>
      <c r="E3770">
        <f>_xlfn.XLOOKUP($A3770,Load!$B:$B,Load!F:F,0,)</f>
        <v>0</v>
      </c>
      <c r="F3770">
        <f>_xlfn.XLOOKUP($A3770,Load!$B:$B,Load!G:G,0,)</f>
        <v>0</v>
      </c>
      <c r="G3770">
        <f>_xlfn.XLOOKUP($A3770,Load!$B:$B,Load!H:H,0,)</f>
        <v>0</v>
      </c>
      <c r="H3770">
        <f>_xlfn.XLOOKUP($A3770,Load!$B:$B,Load!I:I,0,)</f>
        <v>0</v>
      </c>
      <c r="I3770">
        <f>_xlfn.XLOOKUP($A3770,Load!$B:$B,Load!J:J,0,)</f>
        <v>0</v>
      </c>
      <c r="J3770">
        <f>_xlfn.XLOOKUP($A3770,Load!$B:$B,Load!K:K,0,)</f>
        <v>0</v>
      </c>
      <c r="K3770">
        <f>_xlfn.XLOOKUP($A3770,Load!$B:$B,Load!L:L,0,)</f>
        <v>0</v>
      </c>
      <c r="L3770">
        <f>_xlfn.XLOOKUP($A3770,Load!$B:$B,Load!M:M,0,)</f>
        <v>0</v>
      </c>
    </row>
    <row r="3771" spans="1:12" x14ac:dyDescent="0.25">
      <c r="B3771">
        <f>_xlfn.XLOOKUP($A3771,Load!$B:$B,Load!C:C,0,)</f>
        <v>0</v>
      </c>
      <c r="C3771">
        <f>_xlfn.XLOOKUP($A3771,Load!$B:$B,Load!D:D,0,)</f>
        <v>0</v>
      </c>
      <c r="D3771">
        <f>_xlfn.XLOOKUP($A3771,Load!$B:$B,Load!E:E,0,)</f>
        <v>0</v>
      </c>
      <c r="E3771">
        <f>_xlfn.XLOOKUP($A3771,Load!$B:$B,Load!F:F,0,)</f>
        <v>0</v>
      </c>
      <c r="F3771">
        <f>_xlfn.XLOOKUP($A3771,Load!$B:$B,Load!G:G,0,)</f>
        <v>0</v>
      </c>
      <c r="G3771">
        <f>_xlfn.XLOOKUP($A3771,Load!$B:$B,Load!H:H,0,)</f>
        <v>0</v>
      </c>
      <c r="H3771">
        <f>_xlfn.XLOOKUP($A3771,Load!$B:$B,Load!I:I,0,)</f>
        <v>0</v>
      </c>
      <c r="I3771">
        <f>_xlfn.XLOOKUP($A3771,Load!$B:$B,Load!J:J,0,)</f>
        <v>0</v>
      </c>
      <c r="J3771">
        <f>_xlfn.XLOOKUP($A3771,Load!$B:$B,Load!K:K,0,)</f>
        <v>0</v>
      </c>
      <c r="K3771">
        <f>_xlfn.XLOOKUP($A3771,Load!$B:$B,Load!L:L,0,)</f>
        <v>0</v>
      </c>
      <c r="L3771">
        <f>_xlfn.XLOOKUP($A3771,Load!$B:$B,Load!M:M,0,)</f>
        <v>0</v>
      </c>
    </row>
    <row r="3772" spans="1:12" x14ac:dyDescent="0.25">
      <c r="A3772" t="s">
        <v>45</v>
      </c>
      <c r="B3772" t="str">
        <f>_xlfn.XLOOKUP($A3772,Load!$B:$B,Load!C:C,0,)</f>
        <v>Brach's</v>
      </c>
      <c r="C3772" t="str">
        <f>_xlfn.XLOOKUP($A3772,Load!$B:$B,Load!D:D,0,)</f>
        <v>Non-Chocolate Candy Only</v>
      </c>
      <c r="D3772" t="str">
        <f>_xlfn.XLOOKUP($A3772,Load!$B:$B,Load!E:E,0,)</f>
        <v>Fall / Seasonal Flavors (pumpkin spice, caramel apple, candy corn)</v>
      </c>
      <c r="E3772" t="str">
        <f>_xlfn.XLOOKUP($A3772,Load!$B:$B,Load!F:F,0,)</f>
        <v>Candy Pieces / Bites</v>
      </c>
      <c r="F3772" t="str">
        <f>_xlfn.XLOOKUP($A3772,Load!$B:$B,Load!G:G,0,)</f>
        <v>Single Pack</v>
      </c>
      <c r="G3772" t="str">
        <f>_xlfn.XLOOKUP($A3772,Load!$B:$B,Load!H:H,0,)</f>
        <v>Laydown Bag</v>
      </c>
      <c r="H3772" t="str">
        <f>_xlfn.XLOOKUP($A3772,Load!$B:$B,Load!I:I,0,)</f>
        <v>Seasonal Shapes (like pumpkins, candy corn, ghost, bats, etc.)</v>
      </c>
      <c r="I3772" t="str">
        <f>_xlfn.XLOOKUP($A3772,Load!$B:$B,Load!J:J,0,)</f>
        <v>Seasonal Graphics (Like Bat, Ghost, Pumpkin, Fall Leaves, Eyeballs, etc.)</v>
      </c>
      <c r="J3772" t="str">
        <f>_xlfn.XLOOKUP($A3772,Load!$B:$B,Load!K:K,0,)</f>
        <v>Small Pieces (Tiny bite size candies)</v>
      </c>
      <c r="K3772" t="str">
        <f>_xlfn.XLOOKUP($A3772,Load!$B:$B,Load!L:L,0,)</f>
        <v>Unwrapped</v>
      </c>
      <c r="L3772" t="str">
        <f>_xlfn.XLOOKUP($A3772,Load!$B:$B,Load!M:M,0,)</f>
        <v>Single Brand / Single Flavor or Form</v>
      </c>
    </row>
    <row r="3773" spans="1:12" x14ac:dyDescent="0.25">
      <c r="A3773" t="s">
        <v>176</v>
      </c>
      <c r="B3773" t="str">
        <f>_xlfn.XLOOKUP($A3773,Load!$B:$B,Load!C:C,0,)</f>
        <v>Mars Variety Pack</v>
      </c>
      <c r="C3773" t="str">
        <f>_xlfn.XLOOKUP($A3773,Load!$B:$B,Load!D:D,0,)</f>
        <v>Non-Chocolate Candy Only</v>
      </c>
      <c r="D3773" t="str">
        <f>_xlfn.XLOOKUP($A3773,Load!$B:$B,Load!E:E,0,)</f>
        <v>Variety / Mixed Flavors (Fruity, Sour, Seasonal Flavors)</v>
      </c>
      <c r="E3773" t="str">
        <f>_xlfn.XLOOKUP($A3773,Load!$B:$B,Load!F:F,0,)</f>
        <v>Mixed / Combo Packs (Gummy, Chewy, Taffy, etc.)</v>
      </c>
      <c r="F3773" t="str">
        <f>_xlfn.XLOOKUP($A3773,Load!$B:$B,Load!G:G,0,)</f>
        <v>Large Multipack (More than 80 ct)</v>
      </c>
      <c r="G3773" t="str">
        <f>_xlfn.XLOOKUP($A3773,Load!$B:$B,Load!H:H,0,)</f>
        <v>Stand-Up Bag</v>
      </c>
      <c r="H3773" t="str">
        <f>_xlfn.XLOOKUP($A3773,Load!$B:$B,Load!I:I,0,)</f>
        <v>Everyday Candy Shapes (like Original, Gummy bear, Fruit, Jewels, etc.)</v>
      </c>
      <c r="I3773" t="str">
        <f>_xlfn.XLOOKUP($A3773,Load!$B:$B,Load!J:J,0,)</f>
        <v>Seasonal Graphics (Like Bat, Ghost, Pumpkin, Fall Leaves, Eyeballs, etc.)</v>
      </c>
      <c r="J3773" t="str">
        <f>_xlfn.XLOOKUP($A3773,Load!$B:$B,Load!K:K,0,)</f>
        <v>Fun Size / Treat Size</v>
      </c>
      <c r="K3773" t="str">
        <f>_xlfn.XLOOKUP($A3773,Load!$B:$B,Load!L:L,0,)</f>
        <v>Regular/Original Wrapping</v>
      </c>
      <c r="L3773" t="str">
        <f>_xlfn.XLOOKUP($A3773,Load!$B:$B,Load!M:M,0,)</f>
        <v>Multiple Brands / Variety Flavors or Form</v>
      </c>
    </row>
    <row r="3774" spans="1:12" x14ac:dyDescent="0.25">
      <c r="B3774">
        <f>_xlfn.XLOOKUP($A3774,Load!$B:$B,Load!C:C,0,)</f>
        <v>0</v>
      </c>
      <c r="C3774">
        <f>_xlfn.XLOOKUP($A3774,Load!$B:$B,Load!D:D,0,)</f>
        <v>0</v>
      </c>
      <c r="D3774">
        <f>_xlfn.XLOOKUP($A3774,Load!$B:$B,Load!E:E,0,)</f>
        <v>0</v>
      </c>
      <c r="E3774">
        <f>_xlfn.XLOOKUP($A3774,Load!$B:$B,Load!F:F,0,)</f>
        <v>0</v>
      </c>
      <c r="F3774">
        <f>_xlfn.XLOOKUP($A3774,Load!$B:$B,Load!G:G,0,)</f>
        <v>0</v>
      </c>
      <c r="G3774">
        <f>_xlfn.XLOOKUP($A3774,Load!$B:$B,Load!H:H,0,)</f>
        <v>0</v>
      </c>
      <c r="H3774">
        <f>_xlfn.XLOOKUP($A3774,Load!$B:$B,Load!I:I,0,)</f>
        <v>0</v>
      </c>
      <c r="I3774">
        <f>_xlfn.XLOOKUP($A3774,Load!$B:$B,Load!J:J,0,)</f>
        <v>0</v>
      </c>
      <c r="J3774">
        <f>_xlfn.XLOOKUP($A3774,Load!$B:$B,Load!K:K,0,)</f>
        <v>0</v>
      </c>
      <c r="K3774">
        <f>_xlfn.XLOOKUP($A3774,Load!$B:$B,Load!L:L,0,)</f>
        <v>0</v>
      </c>
      <c r="L3774">
        <f>_xlfn.XLOOKUP($A3774,Load!$B:$B,Load!M:M,0,)</f>
        <v>0</v>
      </c>
    </row>
    <row r="3775" spans="1:12" x14ac:dyDescent="0.25">
      <c r="B3775">
        <f>_xlfn.XLOOKUP($A3775,Load!$B:$B,Load!C:C,0,)</f>
        <v>0</v>
      </c>
      <c r="C3775">
        <f>_xlfn.XLOOKUP($A3775,Load!$B:$B,Load!D:D,0,)</f>
        <v>0</v>
      </c>
      <c r="D3775">
        <f>_xlfn.XLOOKUP($A3775,Load!$B:$B,Load!E:E,0,)</f>
        <v>0</v>
      </c>
      <c r="E3775">
        <f>_xlfn.XLOOKUP($A3775,Load!$B:$B,Load!F:F,0,)</f>
        <v>0</v>
      </c>
      <c r="F3775">
        <f>_xlfn.XLOOKUP($A3775,Load!$B:$B,Load!G:G,0,)</f>
        <v>0</v>
      </c>
      <c r="G3775">
        <f>_xlfn.XLOOKUP($A3775,Load!$B:$B,Load!H:H,0,)</f>
        <v>0</v>
      </c>
      <c r="H3775">
        <f>_xlfn.XLOOKUP($A3775,Load!$B:$B,Load!I:I,0,)</f>
        <v>0</v>
      </c>
      <c r="I3775">
        <f>_xlfn.XLOOKUP($A3775,Load!$B:$B,Load!J:J,0,)</f>
        <v>0</v>
      </c>
      <c r="J3775">
        <f>_xlfn.XLOOKUP($A3775,Load!$B:$B,Load!K:K,0,)</f>
        <v>0</v>
      </c>
      <c r="K3775">
        <f>_xlfn.XLOOKUP($A3775,Load!$B:$B,Load!L:L,0,)</f>
        <v>0</v>
      </c>
      <c r="L3775">
        <f>_xlfn.XLOOKUP($A3775,Load!$B:$B,Load!M:M,0,)</f>
        <v>0</v>
      </c>
    </row>
    <row r="3776" spans="1:12" x14ac:dyDescent="0.25">
      <c r="A3776" t="s">
        <v>86</v>
      </c>
      <c r="B3776" t="str">
        <f>_xlfn.XLOOKUP($A3776,Load!$B:$B,Load!C:C,0,)</f>
        <v>Ferrara Variety Pack</v>
      </c>
      <c r="C3776" t="str">
        <f>_xlfn.XLOOKUP($A3776,Load!$B:$B,Load!D:D,0,)</f>
        <v>Non-Chocolate Candy Only</v>
      </c>
      <c r="D3776" t="str">
        <f>_xlfn.XLOOKUP($A3776,Load!$B:$B,Load!E:E,0,)</f>
        <v>Variety / Mixed Flavors (Fruity, Sour, Seasonal Flavors)</v>
      </c>
      <c r="E3776" t="str">
        <f>_xlfn.XLOOKUP($A3776,Load!$B:$B,Load!F:F,0,)</f>
        <v>Mixed / Combo Packs (Gummy, Chewy, Taffy, etc.)</v>
      </c>
      <c r="F3776" t="str">
        <f>_xlfn.XLOOKUP($A3776,Load!$B:$B,Load!G:G,0,)</f>
        <v>Small Multipack (Less than 40 ct)</v>
      </c>
      <c r="G3776" t="str">
        <f>_xlfn.XLOOKUP($A3776,Load!$B:$B,Load!H:H,0,)</f>
        <v>Laydown Bag</v>
      </c>
      <c r="H3776" t="str">
        <f>_xlfn.XLOOKUP($A3776,Load!$B:$B,Load!I:I,0,)</f>
        <v>Seasonal Shapes (like pumpkins, candy corn, ghost, bats, etc.)</v>
      </c>
      <c r="I3776" t="str">
        <f>_xlfn.XLOOKUP($A3776,Load!$B:$B,Load!J:J,0,)</f>
        <v>Seasonal Graphics (Like Bat, Ghost, Pumpkin, Fall Leaves, Eyeballs, etc.)</v>
      </c>
      <c r="J3776" t="str">
        <f>_xlfn.XLOOKUP($A3776,Load!$B:$B,Load!K:K,0,)</f>
        <v xml:space="preserve">Variety Candy Sizes </v>
      </c>
      <c r="K3776" t="str">
        <f>_xlfn.XLOOKUP($A3776,Load!$B:$B,Load!L:L,0,)</f>
        <v>Regular/Original Wrapping</v>
      </c>
      <c r="L3776" t="str">
        <f>_xlfn.XLOOKUP($A3776,Load!$B:$B,Load!M:M,0,)</f>
        <v>Multiple Brands / Variety Flavors or Form</v>
      </c>
    </row>
    <row r="3777" spans="1:12" x14ac:dyDescent="0.25">
      <c r="A3777" t="s">
        <v>65</v>
      </c>
      <c r="B3777" t="str">
        <f>_xlfn.XLOOKUP($A3777,Load!$B:$B,Load!C:C,0,)</f>
        <v>Dots</v>
      </c>
      <c r="C3777" t="str">
        <f>_xlfn.XLOOKUP($A3777,Load!$B:$B,Load!D:D,0,)</f>
        <v>Non-Chocolate Candy Only</v>
      </c>
      <c r="D3777" t="str">
        <f>_xlfn.XLOOKUP($A3777,Load!$B:$B,Load!E:E,0,)</f>
        <v>Variety / Mixed Flavors (Fruity, Sour, Seasonal Flavors)</v>
      </c>
      <c r="E3777" t="str">
        <f>_xlfn.XLOOKUP($A3777,Load!$B:$B,Load!F:F,0,)</f>
        <v>Candy Pieces / Bites</v>
      </c>
      <c r="F3777" t="str">
        <f>_xlfn.XLOOKUP($A3777,Load!$B:$B,Load!G:G,0,)</f>
        <v>Medium Multipack (40–80 ct)</v>
      </c>
      <c r="G3777" t="str">
        <f>_xlfn.XLOOKUP($A3777,Load!$B:$B,Load!H:H,0,)</f>
        <v>Box (theatre box, gift box, carton)</v>
      </c>
      <c r="H3777" t="str">
        <f>_xlfn.XLOOKUP($A3777,Load!$B:$B,Load!I:I,0,)</f>
        <v>Seasonal Shapes (like pumpkins, candy corn, ghost, bats, etc.)</v>
      </c>
      <c r="I3777" t="str">
        <f>_xlfn.XLOOKUP($A3777,Load!$B:$B,Load!J:J,0,)</f>
        <v>Seasonal Graphics (Like Bat, Ghost, Pumpkin, Fall Leaves, Eyeballs, etc.)</v>
      </c>
      <c r="J3777" t="str">
        <f>_xlfn.XLOOKUP($A3777,Load!$B:$B,Load!K:K,0,)</f>
        <v>Fun Size / Treat Size</v>
      </c>
      <c r="K3777" t="str">
        <f>_xlfn.XLOOKUP($A3777,Load!$B:$B,Load!L:L,0,)</f>
        <v>Regular/Original Wrapping</v>
      </c>
      <c r="L3777" t="str">
        <f>_xlfn.XLOOKUP($A3777,Load!$B:$B,Load!M:M,0,)</f>
        <v>Single Brand / Variety Flavors or Form</v>
      </c>
    </row>
    <row r="3778" spans="1:12" x14ac:dyDescent="0.25">
      <c r="B3778">
        <f>_xlfn.XLOOKUP($A3778,Load!$B:$B,Load!C:C,0,)</f>
        <v>0</v>
      </c>
      <c r="C3778">
        <f>_xlfn.XLOOKUP($A3778,Load!$B:$B,Load!D:D,0,)</f>
        <v>0</v>
      </c>
      <c r="D3778">
        <f>_xlfn.XLOOKUP($A3778,Load!$B:$B,Load!E:E,0,)</f>
        <v>0</v>
      </c>
      <c r="E3778">
        <f>_xlfn.XLOOKUP($A3778,Load!$B:$B,Load!F:F,0,)</f>
        <v>0</v>
      </c>
      <c r="F3778">
        <f>_xlfn.XLOOKUP($A3778,Load!$B:$B,Load!G:G,0,)</f>
        <v>0</v>
      </c>
      <c r="G3778">
        <f>_xlfn.XLOOKUP($A3778,Load!$B:$B,Load!H:H,0,)</f>
        <v>0</v>
      </c>
      <c r="H3778">
        <f>_xlfn.XLOOKUP($A3778,Load!$B:$B,Load!I:I,0,)</f>
        <v>0</v>
      </c>
      <c r="I3778">
        <f>_xlfn.XLOOKUP($A3778,Load!$B:$B,Load!J:J,0,)</f>
        <v>0</v>
      </c>
      <c r="J3778">
        <f>_xlfn.XLOOKUP($A3778,Load!$B:$B,Load!K:K,0,)</f>
        <v>0</v>
      </c>
      <c r="K3778">
        <f>_xlfn.XLOOKUP($A3778,Load!$B:$B,Load!L:L,0,)</f>
        <v>0</v>
      </c>
      <c r="L3778">
        <f>_xlfn.XLOOKUP($A3778,Load!$B:$B,Load!M:M,0,)</f>
        <v>0</v>
      </c>
    </row>
    <row r="3779" spans="1:12" x14ac:dyDescent="0.25">
      <c r="B3779">
        <f>_xlfn.XLOOKUP($A3779,Load!$B:$B,Load!C:C,0,)</f>
        <v>0</v>
      </c>
      <c r="C3779">
        <f>_xlfn.XLOOKUP($A3779,Load!$B:$B,Load!D:D,0,)</f>
        <v>0</v>
      </c>
      <c r="D3779">
        <f>_xlfn.XLOOKUP($A3779,Load!$B:$B,Load!E:E,0,)</f>
        <v>0</v>
      </c>
      <c r="E3779">
        <f>_xlfn.XLOOKUP($A3779,Load!$B:$B,Load!F:F,0,)</f>
        <v>0</v>
      </c>
      <c r="F3779">
        <f>_xlfn.XLOOKUP($A3779,Load!$B:$B,Load!G:G,0,)</f>
        <v>0</v>
      </c>
      <c r="G3779">
        <f>_xlfn.XLOOKUP($A3779,Load!$B:$B,Load!H:H,0,)</f>
        <v>0</v>
      </c>
      <c r="H3779">
        <f>_xlfn.XLOOKUP($A3779,Load!$B:$B,Load!I:I,0,)</f>
        <v>0</v>
      </c>
      <c r="I3779">
        <f>_xlfn.XLOOKUP($A3779,Load!$B:$B,Load!J:J,0,)</f>
        <v>0</v>
      </c>
      <c r="J3779">
        <f>_xlfn.XLOOKUP($A3779,Load!$B:$B,Load!K:K,0,)</f>
        <v>0</v>
      </c>
      <c r="K3779">
        <f>_xlfn.XLOOKUP($A3779,Load!$B:$B,Load!L:L,0,)</f>
        <v>0</v>
      </c>
      <c r="L3779">
        <f>_xlfn.XLOOKUP($A3779,Load!$B:$B,Load!M:M,0,)</f>
        <v>0</v>
      </c>
    </row>
    <row r="3780" spans="1:12" x14ac:dyDescent="0.25">
      <c r="B3780">
        <f>_xlfn.XLOOKUP($A3780,Load!$B:$B,Load!C:C,0,)</f>
        <v>0</v>
      </c>
      <c r="C3780">
        <f>_xlfn.XLOOKUP($A3780,Load!$B:$B,Load!D:D,0,)</f>
        <v>0</v>
      </c>
      <c r="D3780">
        <f>_xlfn.XLOOKUP($A3780,Load!$B:$B,Load!E:E,0,)</f>
        <v>0</v>
      </c>
      <c r="E3780">
        <f>_xlfn.XLOOKUP($A3780,Load!$B:$B,Load!F:F,0,)</f>
        <v>0</v>
      </c>
      <c r="F3780">
        <f>_xlfn.XLOOKUP($A3780,Load!$B:$B,Load!G:G,0,)</f>
        <v>0</v>
      </c>
      <c r="G3780">
        <f>_xlfn.XLOOKUP($A3780,Load!$B:$B,Load!H:H,0,)</f>
        <v>0</v>
      </c>
      <c r="H3780">
        <f>_xlfn.XLOOKUP($A3780,Load!$B:$B,Load!I:I,0,)</f>
        <v>0</v>
      </c>
      <c r="I3780">
        <f>_xlfn.XLOOKUP($A3780,Load!$B:$B,Load!J:J,0,)</f>
        <v>0</v>
      </c>
      <c r="J3780">
        <f>_xlfn.XLOOKUP($A3780,Load!$B:$B,Load!K:K,0,)</f>
        <v>0</v>
      </c>
      <c r="K3780">
        <f>_xlfn.XLOOKUP($A3780,Load!$B:$B,Load!L:L,0,)</f>
        <v>0</v>
      </c>
      <c r="L3780">
        <f>_xlfn.XLOOKUP($A3780,Load!$B:$B,Load!M:M,0,)</f>
        <v>0</v>
      </c>
    </row>
    <row r="3781" spans="1:12" x14ac:dyDescent="0.25">
      <c r="B3781">
        <f>_xlfn.XLOOKUP($A3781,Load!$B:$B,Load!C:C,0,)</f>
        <v>0</v>
      </c>
      <c r="C3781">
        <f>_xlfn.XLOOKUP($A3781,Load!$B:$B,Load!D:D,0,)</f>
        <v>0</v>
      </c>
      <c r="D3781">
        <f>_xlfn.XLOOKUP($A3781,Load!$B:$B,Load!E:E,0,)</f>
        <v>0</v>
      </c>
      <c r="E3781">
        <f>_xlfn.XLOOKUP($A3781,Load!$B:$B,Load!F:F,0,)</f>
        <v>0</v>
      </c>
      <c r="F3781">
        <f>_xlfn.XLOOKUP($A3781,Load!$B:$B,Load!G:G,0,)</f>
        <v>0</v>
      </c>
      <c r="G3781">
        <f>_xlfn.XLOOKUP($A3781,Load!$B:$B,Load!H:H,0,)</f>
        <v>0</v>
      </c>
      <c r="H3781">
        <f>_xlfn.XLOOKUP($A3781,Load!$B:$B,Load!I:I,0,)</f>
        <v>0</v>
      </c>
      <c r="I3781">
        <f>_xlfn.XLOOKUP($A3781,Load!$B:$B,Load!J:J,0,)</f>
        <v>0</v>
      </c>
      <c r="J3781">
        <f>_xlfn.XLOOKUP($A3781,Load!$B:$B,Load!K:K,0,)</f>
        <v>0</v>
      </c>
      <c r="K3781">
        <f>_xlfn.XLOOKUP($A3781,Load!$B:$B,Load!L:L,0,)</f>
        <v>0</v>
      </c>
      <c r="L3781">
        <f>_xlfn.XLOOKUP($A3781,Load!$B:$B,Load!M:M,0,)</f>
        <v>0</v>
      </c>
    </row>
    <row r="3782" spans="1:12" x14ac:dyDescent="0.25">
      <c r="B3782">
        <f>_xlfn.XLOOKUP($A3782,Load!$B:$B,Load!C:C,0,)</f>
        <v>0</v>
      </c>
      <c r="C3782">
        <f>_xlfn.XLOOKUP($A3782,Load!$B:$B,Load!D:D,0,)</f>
        <v>0</v>
      </c>
      <c r="D3782">
        <f>_xlfn.XLOOKUP($A3782,Load!$B:$B,Load!E:E,0,)</f>
        <v>0</v>
      </c>
      <c r="E3782">
        <f>_xlfn.XLOOKUP($A3782,Load!$B:$B,Load!F:F,0,)</f>
        <v>0</v>
      </c>
      <c r="F3782">
        <f>_xlfn.XLOOKUP($A3782,Load!$B:$B,Load!G:G,0,)</f>
        <v>0</v>
      </c>
      <c r="G3782">
        <f>_xlfn.XLOOKUP($A3782,Load!$B:$B,Load!H:H,0,)</f>
        <v>0</v>
      </c>
      <c r="H3782">
        <f>_xlfn.XLOOKUP($A3782,Load!$B:$B,Load!I:I,0,)</f>
        <v>0</v>
      </c>
      <c r="I3782">
        <f>_xlfn.XLOOKUP($A3782,Load!$B:$B,Load!J:J,0,)</f>
        <v>0</v>
      </c>
      <c r="J3782">
        <f>_xlfn.XLOOKUP($A3782,Load!$B:$B,Load!K:K,0,)</f>
        <v>0</v>
      </c>
      <c r="K3782">
        <f>_xlfn.XLOOKUP($A3782,Load!$B:$B,Load!L:L,0,)</f>
        <v>0</v>
      </c>
      <c r="L3782">
        <f>_xlfn.XLOOKUP($A3782,Load!$B:$B,Load!M:M,0,)</f>
        <v>0</v>
      </c>
    </row>
    <row r="3783" spans="1:12" x14ac:dyDescent="0.25">
      <c r="B3783">
        <f>_xlfn.XLOOKUP($A3783,Load!$B:$B,Load!C:C,0,)</f>
        <v>0</v>
      </c>
      <c r="C3783">
        <f>_xlfn.XLOOKUP($A3783,Load!$B:$B,Load!D:D,0,)</f>
        <v>0</v>
      </c>
      <c r="D3783">
        <f>_xlfn.XLOOKUP($A3783,Load!$B:$B,Load!E:E,0,)</f>
        <v>0</v>
      </c>
      <c r="E3783">
        <f>_xlfn.XLOOKUP($A3783,Load!$B:$B,Load!F:F,0,)</f>
        <v>0</v>
      </c>
      <c r="F3783">
        <f>_xlfn.XLOOKUP($A3783,Load!$B:$B,Load!G:G,0,)</f>
        <v>0</v>
      </c>
      <c r="G3783">
        <f>_xlfn.XLOOKUP($A3783,Load!$B:$B,Load!H:H,0,)</f>
        <v>0</v>
      </c>
      <c r="H3783">
        <f>_xlfn.XLOOKUP($A3783,Load!$B:$B,Load!I:I,0,)</f>
        <v>0</v>
      </c>
      <c r="I3783">
        <f>_xlfn.XLOOKUP($A3783,Load!$B:$B,Load!J:J,0,)</f>
        <v>0</v>
      </c>
      <c r="J3783">
        <f>_xlfn.XLOOKUP($A3783,Load!$B:$B,Load!K:K,0,)</f>
        <v>0</v>
      </c>
      <c r="K3783">
        <f>_xlfn.XLOOKUP($A3783,Load!$B:$B,Load!L:L,0,)</f>
        <v>0</v>
      </c>
      <c r="L3783">
        <f>_xlfn.XLOOKUP($A3783,Load!$B:$B,Load!M:M,0,)</f>
        <v>0</v>
      </c>
    </row>
    <row r="3784" spans="1:12" x14ac:dyDescent="0.25">
      <c r="B3784">
        <f>_xlfn.XLOOKUP($A3784,Load!$B:$B,Load!C:C,0,)</f>
        <v>0</v>
      </c>
      <c r="C3784">
        <f>_xlfn.XLOOKUP($A3784,Load!$B:$B,Load!D:D,0,)</f>
        <v>0</v>
      </c>
      <c r="D3784">
        <f>_xlfn.XLOOKUP($A3784,Load!$B:$B,Load!E:E,0,)</f>
        <v>0</v>
      </c>
      <c r="E3784">
        <f>_xlfn.XLOOKUP($A3784,Load!$B:$B,Load!F:F,0,)</f>
        <v>0</v>
      </c>
      <c r="F3784">
        <f>_xlfn.XLOOKUP($A3784,Load!$B:$B,Load!G:G,0,)</f>
        <v>0</v>
      </c>
      <c r="G3784">
        <f>_xlfn.XLOOKUP($A3784,Load!$B:$B,Load!H:H,0,)</f>
        <v>0</v>
      </c>
      <c r="H3784">
        <f>_xlfn.XLOOKUP($A3784,Load!$B:$B,Load!I:I,0,)</f>
        <v>0</v>
      </c>
      <c r="I3784">
        <f>_xlfn.XLOOKUP($A3784,Load!$B:$B,Load!J:J,0,)</f>
        <v>0</v>
      </c>
      <c r="J3784">
        <f>_xlfn.XLOOKUP($A3784,Load!$B:$B,Load!K:K,0,)</f>
        <v>0</v>
      </c>
      <c r="K3784">
        <f>_xlfn.XLOOKUP($A3784,Load!$B:$B,Load!L:L,0,)</f>
        <v>0</v>
      </c>
      <c r="L3784">
        <f>_xlfn.XLOOKUP($A3784,Load!$B:$B,Load!M:M,0,)</f>
        <v>0</v>
      </c>
    </row>
    <row r="3785" spans="1:12" x14ac:dyDescent="0.25">
      <c r="B3785">
        <f>_xlfn.XLOOKUP($A3785,Load!$B:$B,Load!C:C,0,)</f>
        <v>0</v>
      </c>
      <c r="C3785">
        <f>_xlfn.XLOOKUP($A3785,Load!$B:$B,Load!D:D,0,)</f>
        <v>0</v>
      </c>
      <c r="D3785">
        <f>_xlfn.XLOOKUP($A3785,Load!$B:$B,Load!E:E,0,)</f>
        <v>0</v>
      </c>
      <c r="E3785">
        <f>_xlfn.XLOOKUP($A3785,Load!$B:$B,Load!F:F,0,)</f>
        <v>0</v>
      </c>
      <c r="F3785">
        <f>_xlfn.XLOOKUP($A3785,Load!$B:$B,Load!G:G,0,)</f>
        <v>0</v>
      </c>
      <c r="G3785">
        <f>_xlfn.XLOOKUP($A3785,Load!$B:$B,Load!H:H,0,)</f>
        <v>0</v>
      </c>
      <c r="H3785">
        <f>_xlfn.XLOOKUP($A3785,Load!$B:$B,Load!I:I,0,)</f>
        <v>0</v>
      </c>
      <c r="I3785">
        <f>_xlfn.XLOOKUP($A3785,Load!$B:$B,Load!J:J,0,)</f>
        <v>0</v>
      </c>
      <c r="J3785">
        <f>_xlfn.XLOOKUP($A3785,Load!$B:$B,Load!K:K,0,)</f>
        <v>0</v>
      </c>
      <c r="K3785">
        <f>_xlfn.XLOOKUP($A3785,Load!$B:$B,Load!L:L,0,)</f>
        <v>0</v>
      </c>
      <c r="L3785">
        <f>_xlfn.XLOOKUP($A3785,Load!$B:$B,Load!M:M,0,)</f>
        <v>0</v>
      </c>
    </row>
    <row r="3786" spans="1:12" x14ac:dyDescent="0.25">
      <c r="B3786">
        <f>_xlfn.XLOOKUP($A3786,Load!$B:$B,Load!C:C,0,)</f>
        <v>0</v>
      </c>
      <c r="C3786">
        <f>_xlfn.XLOOKUP($A3786,Load!$B:$B,Load!D:D,0,)</f>
        <v>0</v>
      </c>
      <c r="D3786">
        <f>_xlfn.XLOOKUP($A3786,Load!$B:$B,Load!E:E,0,)</f>
        <v>0</v>
      </c>
      <c r="E3786">
        <f>_xlfn.XLOOKUP($A3786,Load!$B:$B,Load!F:F,0,)</f>
        <v>0</v>
      </c>
      <c r="F3786">
        <f>_xlfn.XLOOKUP($A3786,Load!$B:$B,Load!G:G,0,)</f>
        <v>0</v>
      </c>
      <c r="G3786">
        <f>_xlfn.XLOOKUP($A3786,Load!$B:$B,Load!H:H,0,)</f>
        <v>0</v>
      </c>
      <c r="H3786">
        <f>_xlfn.XLOOKUP($A3786,Load!$B:$B,Load!I:I,0,)</f>
        <v>0</v>
      </c>
      <c r="I3786">
        <f>_xlfn.XLOOKUP($A3786,Load!$B:$B,Load!J:J,0,)</f>
        <v>0</v>
      </c>
      <c r="J3786">
        <f>_xlfn.XLOOKUP($A3786,Load!$B:$B,Load!K:K,0,)</f>
        <v>0</v>
      </c>
      <c r="K3786">
        <f>_xlfn.XLOOKUP($A3786,Load!$B:$B,Load!L:L,0,)</f>
        <v>0</v>
      </c>
      <c r="L3786">
        <f>_xlfn.XLOOKUP($A3786,Load!$B:$B,Load!M:M,0,)</f>
        <v>0</v>
      </c>
    </row>
    <row r="3787" spans="1:12" x14ac:dyDescent="0.25">
      <c r="B3787">
        <f>_xlfn.XLOOKUP($A3787,Load!$B:$B,Load!C:C,0,)</f>
        <v>0</v>
      </c>
      <c r="C3787">
        <f>_xlfn.XLOOKUP($A3787,Load!$B:$B,Load!D:D,0,)</f>
        <v>0</v>
      </c>
      <c r="D3787">
        <f>_xlfn.XLOOKUP($A3787,Load!$B:$B,Load!E:E,0,)</f>
        <v>0</v>
      </c>
      <c r="E3787">
        <f>_xlfn.XLOOKUP($A3787,Load!$B:$B,Load!F:F,0,)</f>
        <v>0</v>
      </c>
      <c r="F3787">
        <f>_xlfn.XLOOKUP($A3787,Load!$B:$B,Load!G:G,0,)</f>
        <v>0</v>
      </c>
      <c r="G3787">
        <f>_xlfn.XLOOKUP($A3787,Load!$B:$B,Load!H:H,0,)</f>
        <v>0</v>
      </c>
      <c r="H3787">
        <f>_xlfn.XLOOKUP($A3787,Load!$B:$B,Load!I:I,0,)</f>
        <v>0</v>
      </c>
      <c r="I3787">
        <f>_xlfn.XLOOKUP($A3787,Load!$B:$B,Load!J:J,0,)</f>
        <v>0</v>
      </c>
      <c r="J3787">
        <f>_xlfn.XLOOKUP($A3787,Load!$B:$B,Load!K:K,0,)</f>
        <v>0</v>
      </c>
      <c r="K3787">
        <f>_xlfn.XLOOKUP($A3787,Load!$B:$B,Load!L:L,0,)</f>
        <v>0</v>
      </c>
      <c r="L3787">
        <f>_xlfn.XLOOKUP($A3787,Load!$B:$B,Load!M:M,0,)</f>
        <v>0</v>
      </c>
    </row>
    <row r="3788" spans="1:12" x14ac:dyDescent="0.25">
      <c r="A3788" t="s">
        <v>310</v>
      </c>
      <c r="B3788" t="str">
        <f>_xlfn.XLOOKUP($A3788,Load!$B:$B,Load!C:C,0,)</f>
        <v>Werther's Original</v>
      </c>
      <c r="C3788" t="str">
        <f>_xlfn.XLOOKUP($A3788,Load!$B:$B,Load!D:D,0,)</f>
        <v>Non-Chocolate Candy Only</v>
      </c>
      <c r="D3788" t="str">
        <f>_xlfn.XLOOKUP($A3788,Load!$B:$B,Load!E:E,0,)</f>
        <v>Fall / Seasonal Flavors (pumpkin spice, caramel apple, candy corn)</v>
      </c>
      <c r="E3788" t="str">
        <f>_xlfn.XLOOKUP($A3788,Load!$B:$B,Load!F:F,0,)</f>
        <v>Hard Candy</v>
      </c>
      <c r="F3788" t="str">
        <f>_xlfn.XLOOKUP($A3788,Load!$B:$B,Load!G:G,0,)</f>
        <v>Single Pack</v>
      </c>
      <c r="G3788" t="str">
        <f>_xlfn.XLOOKUP($A3788,Load!$B:$B,Load!H:H,0,)</f>
        <v>Laydown Bag</v>
      </c>
      <c r="H3788" t="str">
        <f>_xlfn.XLOOKUP($A3788,Load!$B:$B,Load!I:I,0,)</f>
        <v>Everyday Candy Shapes (like Original, Gummy bear, Fruit, Jewels, etc.)</v>
      </c>
      <c r="I3788" t="str">
        <f>_xlfn.XLOOKUP($A3788,Load!$B:$B,Load!J:J,0,)</f>
        <v>Seasonal Graphics (Like Bat, Ghost, Pumpkin, Fall Leaves, Eyeballs, etc.)</v>
      </c>
      <c r="J3788" t="str">
        <f>_xlfn.XLOOKUP($A3788,Load!$B:$B,Load!K:K,0,)</f>
        <v>Fun Size / Treat Size</v>
      </c>
      <c r="K3788" t="str">
        <f>_xlfn.XLOOKUP($A3788,Load!$B:$B,Load!L:L,0,)</f>
        <v>Regular/Original Wrapping</v>
      </c>
      <c r="L3788" t="str">
        <f>_xlfn.XLOOKUP($A3788,Load!$B:$B,Load!M:M,0,)</f>
        <v>Single Brand / Single Flavor or Form</v>
      </c>
    </row>
    <row r="3789" spans="1:12" x14ac:dyDescent="0.25">
      <c r="A3789" t="s">
        <v>316</v>
      </c>
      <c r="B3789" t="str">
        <f>_xlfn.XLOOKUP($A3789,Load!$B:$B,Load!C:C,0,)</f>
        <v>YumEarth</v>
      </c>
      <c r="C3789" t="str">
        <f>_xlfn.XLOOKUP($A3789,Load!$B:$B,Load!D:D,0,)</f>
        <v>Non-Chocolate Candy Only</v>
      </c>
      <c r="D3789" t="str">
        <f>_xlfn.XLOOKUP($A3789,Load!$B:$B,Load!E:E,0,)</f>
        <v>Variety / Mixed Flavors (Fruity, Sour, Seasonal Flavors)</v>
      </c>
      <c r="E3789" t="str">
        <f>_xlfn.XLOOKUP($A3789,Load!$B:$B,Load!F:F,0,)</f>
        <v>Lollipop (regular or lollipop rings)</v>
      </c>
      <c r="F3789" t="str">
        <f>_xlfn.XLOOKUP($A3789,Load!$B:$B,Load!G:G,0,)</f>
        <v>Medium Multipack (40–80 ct)</v>
      </c>
      <c r="G3789" t="str">
        <f>_xlfn.XLOOKUP($A3789,Load!$B:$B,Load!H:H,0,)</f>
        <v>Box (theatre box, gift box, carton)</v>
      </c>
      <c r="H3789" t="str">
        <f>_xlfn.XLOOKUP($A3789,Load!$B:$B,Load!I:I,0,)</f>
        <v>Everyday Candy Shapes (like Original, Gummy bear, Fruit, Jewels, etc.)</v>
      </c>
      <c r="I3789" t="str">
        <f>_xlfn.XLOOKUP($A3789,Load!$B:$B,Load!J:J,0,)</f>
        <v>Seasonal Graphics (Like Bat, Ghost, Pumpkin, Fall Leaves, Eyeballs, etc.)</v>
      </c>
      <c r="J3789" t="str">
        <f>_xlfn.XLOOKUP($A3789,Load!$B:$B,Load!K:K,0,)</f>
        <v>Regular Lollipop size (on sticks or rings)</v>
      </c>
      <c r="K3789" t="str">
        <f>_xlfn.XLOOKUP($A3789,Load!$B:$B,Load!L:L,0,)</f>
        <v>Regular/Original Wrapping</v>
      </c>
      <c r="L3789" t="str">
        <f>_xlfn.XLOOKUP($A3789,Load!$B:$B,Load!M:M,0,)</f>
        <v>Single Brand / Variety Flavors or Form</v>
      </c>
    </row>
    <row r="3790" spans="1:12" x14ac:dyDescent="0.25">
      <c r="B3790">
        <f>_xlfn.XLOOKUP($A3790,Load!$B:$B,Load!C:C,0,)</f>
        <v>0</v>
      </c>
      <c r="C3790">
        <f>_xlfn.XLOOKUP($A3790,Load!$B:$B,Load!D:D,0,)</f>
        <v>0</v>
      </c>
      <c r="D3790">
        <f>_xlfn.XLOOKUP($A3790,Load!$B:$B,Load!E:E,0,)</f>
        <v>0</v>
      </c>
      <c r="E3790">
        <f>_xlfn.XLOOKUP($A3790,Load!$B:$B,Load!F:F,0,)</f>
        <v>0</v>
      </c>
      <c r="F3790">
        <f>_xlfn.XLOOKUP($A3790,Load!$B:$B,Load!G:G,0,)</f>
        <v>0</v>
      </c>
      <c r="G3790">
        <f>_xlfn.XLOOKUP($A3790,Load!$B:$B,Load!H:H,0,)</f>
        <v>0</v>
      </c>
      <c r="H3790">
        <f>_xlfn.XLOOKUP($A3790,Load!$B:$B,Load!I:I,0,)</f>
        <v>0</v>
      </c>
      <c r="I3790">
        <f>_xlfn.XLOOKUP($A3790,Load!$B:$B,Load!J:J,0,)</f>
        <v>0</v>
      </c>
      <c r="J3790">
        <f>_xlfn.XLOOKUP($A3790,Load!$B:$B,Load!K:K,0,)</f>
        <v>0</v>
      </c>
      <c r="K3790">
        <f>_xlfn.XLOOKUP($A3790,Load!$B:$B,Load!L:L,0,)</f>
        <v>0</v>
      </c>
      <c r="L3790">
        <f>_xlfn.XLOOKUP($A3790,Load!$B:$B,Load!M:M,0,)</f>
        <v>0</v>
      </c>
    </row>
    <row r="3791" spans="1:12" x14ac:dyDescent="0.25">
      <c r="B3791">
        <f>_xlfn.XLOOKUP($A3791,Load!$B:$B,Load!C:C,0,)</f>
        <v>0</v>
      </c>
      <c r="C3791">
        <f>_xlfn.XLOOKUP($A3791,Load!$B:$B,Load!D:D,0,)</f>
        <v>0</v>
      </c>
      <c r="D3791">
        <f>_xlfn.XLOOKUP($A3791,Load!$B:$B,Load!E:E,0,)</f>
        <v>0</v>
      </c>
      <c r="E3791">
        <f>_xlfn.XLOOKUP($A3791,Load!$B:$B,Load!F:F,0,)</f>
        <v>0</v>
      </c>
      <c r="F3791">
        <f>_xlfn.XLOOKUP($A3791,Load!$B:$B,Load!G:G,0,)</f>
        <v>0</v>
      </c>
      <c r="G3791">
        <f>_xlfn.XLOOKUP($A3791,Load!$B:$B,Load!H:H,0,)</f>
        <v>0</v>
      </c>
      <c r="H3791">
        <f>_xlfn.XLOOKUP($A3791,Load!$B:$B,Load!I:I,0,)</f>
        <v>0</v>
      </c>
      <c r="I3791">
        <f>_xlfn.XLOOKUP($A3791,Load!$B:$B,Load!J:J,0,)</f>
        <v>0</v>
      </c>
      <c r="J3791">
        <f>_xlfn.XLOOKUP($A3791,Load!$B:$B,Load!K:K,0,)</f>
        <v>0</v>
      </c>
      <c r="K3791">
        <f>_xlfn.XLOOKUP($A3791,Load!$B:$B,Load!L:L,0,)</f>
        <v>0</v>
      </c>
      <c r="L3791">
        <f>_xlfn.XLOOKUP($A3791,Load!$B:$B,Load!M:M,0,)</f>
        <v>0</v>
      </c>
    </row>
    <row r="3792" spans="1:12" x14ac:dyDescent="0.25">
      <c r="A3792" t="s">
        <v>160</v>
      </c>
      <c r="B3792" t="str">
        <f>_xlfn.XLOOKUP($A3792,Load!$B:$B,Load!C:C,0,)</f>
        <v>Jolly Rancher</v>
      </c>
      <c r="C3792" t="str">
        <f>_xlfn.XLOOKUP($A3792,Load!$B:$B,Load!D:D,0,)</f>
        <v>Non-Chocolate Candy Only</v>
      </c>
      <c r="D3792" t="str">
        <f>_xlfn.XLOOKUP($A3792,Load!$B:$B,Load!E:E,0,)</f>
        <v>Sour</v>
      </c>
      <c r="E3792" t="str">
        <f>_xlfn.XLOOKUP($A3792,Load!$B:$B,Load!F:F,0,)</f>
        <v>Gummy</v>
      </c>
      <c r="F3792" t="str">
        <f>_xlfn.XLOOKUP($A3792,Load!$B:$B,Load!G:G,0,)</f>
        <v>Single Pack</v>
      </c>
      <c r="G3792" t="str">
        <f>_xlfn.XLOOKUP($A3792,Load!$B:$B,Load!H:H,0,)</f>
        <v>Laydown Bag</v>
      </c>
      <c r="H3792" t="str">
        <f>_xlfn.XLOOKUP($A3792,Load!$B:$B,Load!I:I,0,)</f>
        <v>Seasonal Shapes (like pumpkins, candy corn, ghost, bats, etc.)</v>
      </c>
      <c r="I3792" t="str">
        <f>_xlfn.XLOOKUP($A3792,Load!$B:$B,Load!J:J,0,)</f>
        <v>Seasonal Graphics (Like Bat, Ghost, Pumpkin, Fall Leaves, Eyeballs, etc.)</v>
      </c>
      <c r="J3792" t="str">
        <f>_xlfn.XLOOKUP($A3792,Load!$B:$B,Load!K:K,0,)</f>
        <v>Small Pieces (Tiny bite size candies)</v>
      </c>
      <c r="K3792" t="str">
        <f>_xlfn.XLOOKUP($A3792,Load!$B:$B,Load!L:L,0,)</f>
        <v>Unwrapped</v>
      </c>
      <c r="L3792" t="str">
        <f>_xlfn.XLOOKUP($A3792,Load!$B:$B,Load!M:M,0,)</f>
        <v>Single Brand / Variety Flavors or Form</v>
      </c>
    </row>
    <row r="3793" spans="1:12" x14ac:dyDescent="0.25">
      <c r="B3793">
        <f>_xlfn.XLOOKUP($A3793,Load!$B:$B,Load!C:C,0,)</f>
        <v>0</v>
      </c>
      <c r="C3793">
        <f>_xlfn.XLOOKUP($A3793,Load!$B:$B,Load!D:D,0,)</f>
        <v>0</v>
      </c>
      <c r="D3793">
        <f>_xlfn.XLOOKUP($A3793,Load!$B:$B,Load!E:E,0,)</f>
        <v>0</v>
      </c>
      <c r="E3793">
        <f>_xlfn.XLOOKUP($A3793,Load!$B:$B,Load!F:F,0,)</f>
        <v>0</v>
      </c>
      <c r="F3793">
        <f>_xlfn.XLOOKUP($A3793,Load!$B:$B,Load!G:G,0,)</f>
        <v>0</v>
      </c>
      <c r="G3793">
        <f>_xlfn.XLOOKUP($A3793,Load!$B:$B,Load!H:H,0,)</f>
        <v>0</v>
      </c>
      <c r="H3793">
        <f>_xlfn.XLOOKUP($A3793,Load!$B:$B,Load!I:I,0,)</f>
        <v>0</v>
      </c>
      <c r="I3793">
        <f>_xlfn.XLOOKUP($A3793,Load!$B:$B,Load!J:J,0,)</f>
        <v>0</v>
      </c>
      <c r="J3793">
        <f>_xlfn.XLOOKUP($A3793,Load!$B:$B,Load!K:K,0,)</f>
        <v>0</v>
      </c>
      <c r="K3793">
        <f>_xlfn.XLOOKUP($A3793,Load!$B:$B,Load!L:L,0,)</f>
        <v>0</v>
      </c>
      <c r="L3793">
        <f>_xlfn.XLOOKUP($A3793,Load!$B:$B,Load!M:M,0,)</f>
        <v>0</v>
      </c>
    </row>
    <row r="3794" spans="1:12" x14ac:dyDescent="0.25">
      <c r="A3794" t="s">
        <v>183</v>
      </c>
      <c r="B3794" t="str">
        <f>_xlfn.XLOOKUP($A3794,Load!$B:$B,Load!C:C,0,)</f>
        <v>Mars Variety Pack</v>
      </c>
      <c r="C3794" t="str">
        <f>_xlfn.XLOOKUP($A3794,Load!$B:$B,Load!D:D,0,)</f>
        <v>Non-Chocolate Candy Only</v>
      </c>
      <c r="D3794" t="str">
        <f>_xlfn.XLOOKUP($A3794,Load!$B:$B,Load!E:E,0,)</f>
        <v>Variety / Mixed Flavors (Fruity, Sour, Seasonal Flavors)</v>
      </c>
      <c r="E3794" t="str">
        <f>_xlfn.XLOOKUP($A3794,Load!$B:$B,Load!F:F,0,)</f>
        <v>Mixed / Combo Packs (Gummy, Chewy, Taffy, etc.)</v>
      </c>
      <c r="F3794" t="str">
        <f>_xlfn.XLOOKUP($A3794,Load!$B:$B,Load!G:G,0,)</f>
        <v>Large Multipack (More than 80 ct)</v>
      </c>
      <c r="G3794" t="str">
        <f>_xlfn.XLOOKUP($A3794,Load!$B:$B,Load!H:H,0,)</f>
        <v>Stand-Up Bag</v>
      </c>
      <c r="H3794" t="str">
        <f>_xlfn.XLOOKUP($A3794,Load!$B:$B,Load!I:I,0,)</f>
        <v>Seasonal Shapes (like pumpkins, candy corn, ghost, bats, etc.)</v>
      </c>
      <c r="I3794" t="str">
        <f>_xlfn.XLOOKUP($A3794,Load!$B:$B,Load!J:J,0,)</f>
        <v>Seasonal Graphics (Like Bat, Ghost, Pumpkin, Fall Leaves, Eyeballs, etc.)</v>
      </c>
      <c r="J3794" t="str">
        <f>_xlfn.XLOOKUP($A3794,Load!$B:$B,Load!K:K,0,)</f>
        <v xml:space="preserve">Variety Candy Sizes </v>
      </c>
      <c r="K3794" t="str">
        <f>_xlfn.XLOOKUP($A3794,Load!$B:$B,Load!L:L,0,)</f>
        <v>Regular/Original Wrapping</v>
      </c>
      <c r="L3794" t="str">
        <f>_xlfn.XLOOKUP($A3794,Load!$B:$B,Load!M:M,0,)</f>
        <v>Multiple Brands / Variety Flavors or Form</v>
      </c>
    </row>
    <row r="3795" spans="1:12" x14ac:dyDescent="0.25">
      <c r="B3795">
        <f>_xlfn.XLOOKUP($A3795,Load!$B:$B,Load!C:C,0,)</f>
        <v>0</v>
      </c>
      <c r="C3795">
        <f>_xlfn.XLOOKUP($A3795,Load!$B:$B,Load!D:D,0,)</f>
        <v>0</v>
      </c>
      <c r="D3795">
        <f>_xlfn.XLOOKUP($A3795,Load!$B:$B,Load!E:E,0,)</f>
        <v>0</v>
      </c>
      <c r="E3795">
        <f>_xlfn.XLOOKUP($A3795,Load!$B:$B,Load!F:F,0,)</f>
        <v>0</v>
      </c>
      <c r="F3795">
        <f>_xlfn.XLOOKUP($A3795,Load!$B:$B,Load!G:G,0,)</f>
        <v>0</v>
      </c>
      <c r="G3795">
        <f>_xlfn.XLOOKUP($A3795,Load!$B:$B,Load!H:H,0,)</f>
        <v>0</v>
      </c>
      <c r="H3795">
        <f>_xlfn.XLOOKUP($A3795,Load!$B:$B,Load!I:I,0,)</f>
        <v>0</v>
      </c>
      <c r="I3795">
        <f>_xlfn.XLOOKUP($A3795,Load!$B:$B,Load!J:J,0,)</f>
        <v>0</v>
      </c>
      <c r="J3795">
        <f>_xlfn.XLOOKUP($A3795,Load!$B:$B,Load!K:K,0,)</f>
        <v>0</v>
      </c>
      <c r="K3795">
        <f>_xlfn.XLOOKUP($A3795,Load!$B:$B,Load!L:L,0,)</f>
        <v>0</v>
      </c>
      <c r="L3795">
        <f>_xlfn.XLOOKUP($A3795,Load!$B:$B,Load!M:M,0,)</f>
        <v>0</v>
      </c>
    </row>
    <row r="3796" spans="1:12" x14ac:dyDescent="0.25">
      <c r="B3796">
        <f>_xlfn.XLOOKUP($A3796,Load!$B:$B,Load!C:C,0,)</f>
        <v>0</v>
      </c>
      <c r="C3796">
        <f>_xlfn.XLOOKUP($A3796,Load!$B:$B,Load!D:D,0,)</f>
        <v>0</v>
      </c>
      <c r="D3796">
        <f>_xlfn.XLOOKUP($A3796,Load!$B:$B,Load!E:E,0,)</f>
        <v>0</v>
      </c>
      <c r="E3796">
        <f>_xlfn.XLOOKUP($A3796,Load!$B:$B,Load!F:F,0,)</f>
        <v>0</v>
      </c>
      <c r="F3796">
        <f>_xlfn.XLOOKUP($A3796,Load!$B:$B,Load!G:G,0,)</f>
        <v>0</v>
      </c>
      <c r="G3796">
        <f>_xlfn.XLOOKUP($A3796,Load!$B:$B,Load!H:H,0,)</f>
        <v>0</v>
      </c>
      <c r="H3796">
        <f>_xlfn.XLOOKUP($A3796,Load!$B:$B,Load!I:I,0,)</f>
        <v>0</v>
      </c>
      <c r="I3796">
        <f>_xlfn.XLOOKUP($A3796,Load!$B:$B,Load!J:J,0,)</f>
        <v>0</v>
      </c>
      <c r="J3796">
        <f>_xlfn.XLOOKUP($A3796,Load!$B:$B,Load!K:K,0,)</f>
        <v>0</v>
      </c>
      <c r="K3796">
        <f>_xlfn.XLOOKUP($A3796,Load!$B:$B,Load!L:L,0,)</f>
        <v>0</v>
      </c>
      <c r="L3796">
        <f>_xlfn.XLOOKUP($A3796,Load!$B:$B,Load!M:M,0,)</f>
        <v>0</v>
      </c>
    </row>
    <row r="3797" spans="1:12" x14ac:dyDescent="0.25">
      <c r="B3797">
        <f>_xlfn.XLOOKUP($A3797,Load!$B:$B,Load!C:C,0,)</f>
        <v>0</v>
      </c>
      <c r="C3797">
        <f>_xlfn.XLOOKUP($A3797,Load!$B:$B,Load!D:D,0,)</f>
        <v>0</v>
      </c>
      <c r="D3797">
        <f>_xlfn.XLOOKUP($A3797,Load!$B:$B,Load!E:E,0,)</f>
        <v>0</v>
      </c>
      <c r="E3797">
        <f>_xlfn.XLOOKUP($A3797,Load!$B:$B,Load!F:F,0,)</f>
        <v>0</v>
      </c>
      <c r="F3797">
        <f>_xlfn.XLOOKUP($A3797,Load!$B:$B,Load!G:G,0,)</f>
        <v>0</v>
      </c>
      <c r="G3797">
        <f>_xlfn.XLOOKUP($A3797,Load!$B:$B,Load!H:H,0,)</f>
        <v>0</v>
      </c>
      <c r="H3797">
        <f>_xlfn.XLOOKUP($A3797,Load!$B:$B,Load!I:I,0,)</f>
        <v>0</v>
      </c>
      <c r="I3797">
        <f>_xlfn.XLOOKUP($A3797,Load!$B:$B,Load!J:J,0,)</f>
        <v>0</v>
      </c>
      <c r="J3797">
        <f>_xlfn.XLOOKUP($A3797,Load!$B:$B,Load!K:K,0,)</f>
        <v>0</v>
      </c>
      <c r="K3797">
        <f>_xlfn.XLOOKUP($A3797,Load!$B:$B,Load!L:L,0,)</f>
        <v>0</v>
      </c>
      <c r="L3797">
        <f>_xlfn.XLOOKUP($A3797,Load!$B:$B,Load!M:M,0,)</f>
        <v>0</v>
      </c>
    </row>
    <row r="3798" spans="1:12" x14ac:dyDescent="0.25">
      <c r="A3798" t="s">
        <v>213</v>
      </c>
      <c r="B3798" t="str">
        <f>_xlfn.XLOOKUP($A3798,Load!$B:$B,Load!C:C,0,)</f>
        <v>Mars Variety Pack</v>
      </c>
      <c r="C3798" t="str">
        <f>_xlfn.XLOOKUP($A3798,Load!$B:$B,Load!D:D,0,)</f>
        <v>Mix of Chocolate and Non-Chocolate Candy</v>
      </c>
      <c r="D3798" t="str">
        <f>_xlfn.XLOOKUP($A3798,Load!$B:$B,Load!E:E,0,)</f>
        <v>Variety / Mixed Flavors (Fruity, Sour, Seasonal Flavors)</v>
      </c>
      <c r="E3798" t="str">
        <f>_xlfn.XLOOKUP($A3798,Load!$B:$B,Load!F:F,0,)</f>
        <v>Mixed / Combo Packs (Gummy, Chewy, Taffy, etc.)</v>
      </c>
      <c r="F3798" t="str">
        <f>_xlfn.XLOOKUP($A3798,Load!$B:$B,Load!G:G,0,)</f>
        <v>Medium Multipack (40–80 ct)</v>
      </c>
      <c r="G3798" t="str">
        <f>_xlfn.XLOOKUP($A3798,Load!$B:$B,Load!H:H,0,)</f>
        <v>Stand-Up Bag</v>
      </c>
      <c r="H3798" t="str">
        <f>_xlfn.XLOOKUP($A3798,Load!$B:$B,Load!I:I,0,)</f>
        <v>Everyday Candy Shapes (like Original, Gummy bear, Fruit, Jewels, etc.)</v>
      </c>
      <c r="I3798" t="str">
        <f>_xlfn.XLOOKUP($A3798,Load!$B:$B,Load!J:J,0,)</f>
        <v>Seasonal Graphics (Like Bat, Ghost, Pumpkin, Fall Leaves, Eyeballs, etc.)</v>
      </c>
      <c r="J3798" t="str">
        <f>_xlfn.XLOOKUP($A3798,Load!$B:$B,Load!K:K,0,)</f>
        <v>Fun Size / Treat Size</v>
      </c>
      <c r="K3798" t="str">
        <f>_xlfn.XLOOKUP($A3798,Load!$B:$B,Load!L:L,0,)</f>
        <v>Regular/Original Wrapping</v>
      </c>
      <c r="L3798" t="str">
        <f>_xlfn.XLOOKUP($A3798,Load!$B:$B,Load!M:M,0,)</f>
        <v>Multiple Brands / Variety Flavors or Form</v>
      </c>
    </row>
    <row r="3799" spans="1:12" x14ac:dyDescent="0.25">
      <c r="A3799" t="s">
        <v>221</v>
      </c>
      <c r="B3799" t="str">
        <f>_xlfn.XLOOKUP($A3799,Load!$B:$B,Load!C:C,0,)</f>
        <v>Hershey's Variety Pack + Haribo</v>
      </c>
      <c r="C3799" t="str">
        <f>_xlfn.XLOOKUP($A3799,Load!$B:$B,Load!D:D,0,)</f>
        <v>Mix of Chocolate and Non-Chocolate Candy</v>
      </c>
      <c r="D3799" t="str">
        <f>_xlfn.XLOOKUP($A3799,Load!$B:$B,Load!E:E,0,)</f>
        <v>Variety / Mixed Flavors (Fruity, Sour, Seasonal Flavors)</v>
      </c>
      <c r="E3799" t="str">
        <f>_xlfn.XLOOKUP($A3799,Load!$B:$B,Load!F:F,0,)</f>
        <v>Mixed / Combo Packs (Gummy, Chewy, Taffy, etc.)</v>
      </c>
      <c r="F3799" t="str">
        <f>_xlfn.XLOOKUP($A3799,Load!$B:$B,Load!G:G,0,)</f>
        <v>Large Multipack (More than 80 ct)</v>
      </c>
      <c r="G3799" t="str">
        <f>_xlfn.XLOOKUP($A3799,Load!$B:$B,Load!H:H,0,)</f>
        <v>Stand-Up Bag</v>
      </c>
      <c r="H3799" t="str">
        <f>_xlfn.XLOOKUP($A3799,Load!$B:$B,Load!I:I,0,)</f>
        <v>Everyday Candy Shapes (like Original, Gummy bear, Fruit, Jewels, etc.)</v>
      </c>
      <c r="I3799" t="str">
        <f>_xlfn.XLOOKUP($A3799,Load!$B:$B,Load!J:J,0,)</f>
        <v>Seasonal Graphics (Like Bat, Ghost, Pumpkin, Fall Leaves, Eyeballs, etc.)</v>
      </c>
      <c r="J3799" t="str">
        <f>_xlfn.XLOOKUP($A3799,Load!$B:$B,Load!K:K,0,)</f>
        <v xml:space="preserve">Variety Candy Sizes </v>
      </c>
      <c r="K3799" t="str">
        <f>_xlfn.XLOOKUP($A3799,Load!$B:$B,Load!L:L,0,)</f>
        <v>Regular/Original Wrapping</v>
      </c>
      <c r="L3799" t="str">
        <f>_xlfn.XLOOKUP($A3799,Load!$B:$B,Load!M:M,0,)</f>
        <v>Multiple Brands / Variety Flavors or Form</v>
      </c>
    </row>
    <row r="3800" spans="1:12" x14ac:dyDescent="0.25">
      <c r="A3800" t="s">
        <v>213</v>
      </c>
      <c r="B3800" t="str">
        <f>_xlfn.XLOOKUP($A3800,Load!$B:$B,Load!C:C,0,)</f>
        <v>Mars Variety Pack</v>
      </c>
      <c r="C3800" t="str">
        <f>_xlfn.XLOOKUP($A3800,Load!$B:$B,Load!D:D,0,)</f>
        <v>Mix of Chocolate and Non-Chocolate Candy</v>
      </c>
      <c r="D3800" t="str">
        <f>_xlfn.XLOOKUP($A3800,Load!$B:$B,Load!E:E,0,)</f>
        <v>Variety / Mixed Flavors (Fruity, Sour, Seasonal Flavors)</v>
      </c>
      <c r="E3800" t="str">
        <f>_xlfn.XLOOKUP($A3800,Load!$B:$B,Load!F:F,0,)</f>
        <v>Mixed / Combo Packs (Gummy, Chewy, Taffy, etc.)</v>
      </c>
      <c r="F3800" t="str">
        <f>_xlfn.XLOOKUP($A3800,Load!$B:$B,Load!G:G,0,)</f>
        <v>Medium Multipack (40–80 ct)</v>
      </c>
      <c r="G3800" t="str">
        <f>_xlfn.XLOOKUP($A3800,Load!$B:$B,Load!H:H,0,)</f>
        <v>Stand-Up Bag</v>
      </c>
      <c r="H3800" t="str">
        <f>_xlfn.XLOOKUP($A3800,Load!$B:$B,Load!I:I,0,)</f>
        <v>Everyday Candy Shapes (like Original, Gummy bear, Fruit, Jewels, etc.)</v>
      </c>
      <c r="I3800" t="str">
        <f>_xlfn.XLOOKUP($A3800,Load!$B:$B,Load!J:J,0,)</f>
        <v>Seasonal Graphics (Like Bat, Ghost, Pumpkin, Fall Leaves, Eyeballs, etc.)</v>
      </c>
      <c r="J3800" t="str">
        <f>_xlfn.XLOOKUP($A3800,Load!$B:$B,Load!K:K,0,)</f>
        <v>Fun Size / Treat Size</v>
      </c>
      <c r="K3800" t="str">
        <f>_xlfn.XLOOKUP($A3800,Load!$B:$B,Load!L:L,0,)</f>
        <v>Regular/Original Wrapping</v>
      </c>
      <c r="L3800" t="str">
        <f>_xlfn.XLOOKUP($A3800,Load!$B:$B,Load!M:M,0,)</f>
        <v>Multiple Brands / Variety Flavors or Form</v>
      </c>
    </row>
    <row r="3801" spans="1:12" x14ac:dyDescent="0.25">
      <c r="B3801">
        <f>_xlfn.XLOOKUP($A3801,Load!$B:$B,Load!C:C,0,)</f>
        <v>0</v>
      </c>
      <c r="C3801">
        <f>_xlfn.XLOOKUP($A3801,Load!$B:$B,Load!D:D,0,)</f>
        <v>0</v>
      </c>
      <c r="D3801">
        <f>_xlfn.XLOOKUP($A3801,Load!$B:$B,Load!E:E,0,)</f>
        <v>0</v>
      </c>
      <c r="E3801">
        <f>_xlfn.XLOOKUP($A3801,Load!$B:$B,Load!F:F,0,)</f>
        <v>0</v>
      </c>
      <c r="F3801">
        <f>_xlfn.XLOOKUP($A3801,Load!$B:$B,Load!G:G,0,)</f>
        <v>0</v>
      </c>
      <c r="G3801">
        <f>_xlfn.XLOOKUP($A3801,Load!$B:$B,Load!H:H,0,)</f>
        <v>0</v>
      </c>
      <c r="H3801">
        <f>_xlfn.XLOOKUP($A3801,Load!$B:$B,Load!I:I,0,)</f>
        <v>0</v>
      </c>
      <c r="I3801">
        <f>_xlfn.XLOOKUP($A3801,Load!$B:$B,Load!J:J,0,)</f>
        <v>0</v>
      </c>
      <c r="J3801">
        <f>_xlfn.XLOOKUP($A3801,Load!$B:$B,Load!K:K,0,)</f>
        <v>0</v>
      </c>
      <c r="K3801">
        <f>_xlfn.XLOOKUP($A3801,Load!$B:$B,Load!L:L,0,)</f>
        <v>0</v>
      </c>
      <c r="L3801">
        <f>_xlfn.XLOOKUP($A3801,Load!$B:$B,Load!M:M,0,)</f>
        <v>0</v>
      </c>
    </row>
    <row r="3802" spans="1:12" x14ac:dyDescent="0.25">
      <c r="A3802" t="s">
        <v>136</v>
      </c>
      <c r="B3802" t="str">
        <f>_xlfn.XLOOKUP($A3802,Load!$B:$B,Load!C:C,0,)</f>
        <v>Hershey's Variety Pack + Haribo</v>
      </c>
      <c r="C3802" t="str">
        <f>_xlfn.XLOOKUP($A3802,Load!$B:$B,Load!D:D,0,)</f>
        <v>Non-Chocolate Candy Only</v>
      </c>
      <c r="D3802" t="str">
        <f>_xlfn.XLOOKUP($A3802,Load!$B:$B,Load!E:E,0,)</f>
        <v>Variety / Mixed Flavors (Fruity, Sour, Seasonal Flavors)</v>
      </c>
      <c r="E3802" t="str">
        <f>_xlfn.XLOOKUP($A3802,Load!$B:$B,Load!F:F,0,)</f>
        <v>Mixed / Combo Packs (Gummy, Chewy, Taffy, etc.)</v>
      </c>
      <c r="F3802" t="str">
        <f>_xlfn.XLOOKUP($A3802,Load!$B:$B,Load!G:G,0,)</f>
        <v>Medium Multipack (40–80 ct)</v>
      </c>
      <c r="G3802" t="str">
        <f>_xlfn.XLOOKUP($A3802,Load!$B:$B,Load!H:H,0,)</f>
        <v>Laydown Bag</v>
      </c>
      <c r="H3802" t="str">
        <f>_xlfn.XLOOKUP($A3802,Load!$B:$B,Load!I:I,0,)</f>
        <v>Everyday Candy Shapes (like Original, Gummy bear, Fruit, Jewels, etc.)</v>
      </c>
      <c r="I3802" t="str">
        <f>_xlfn.XLOOKUP($A3802,Load!$B:$B,Load!J:J,0,)</f>
        <v>Seasonal Graphics (Like Bat, Ghost, Pumpkin, Fall Leaves, Eyeballs, etc.)</v>
      </c>
      <c r="J3802" t="str">
        <f>_xlfn.XLOOKUP($A3802,Load!$B:$B,Load!K:K,0,)</f>
        <v xml:space="preserve">Variety Candy Sizes </v>
      </c>
      <c r="K3802" t="str">
        <f>_xlfn.XLOOKUP($A3802,Load!$B:$B,Load!L:L,0,)</f>
        <v>Regular/Original Wrapping</v>
      </c>
      <c r="L3802" t="str">
        <f>_xlfn.XLOOKUP($A3802,Load!$B:$B,Load!M:M,0,)</f>
        <v>Multiple Brands / Variety Flavors or Form</v>
      </c>
    </row>
    <row r="3803" spans="1:12" x14ac:dyDescent="0.25">
      <c r="B3803">
        <f>_xlfn.XLOOKUP($A3803,Load!$B:$B,Load!C:C,0,)</f>
        <v>0</v>
      </c>
      <c r="C3803">
        <f>_xlfn.XLOOKUP($A3803,Load!$B:$B,Load!D:D,0,)</f>
        <v>0</v>
      </c>
      <c r="D3803">
        <f>_xlfn.XLOOKUP($A3803,Load!$B:$B,Load!E:E,0,)</f>
        <v>0</v>
      </c>
      <c r="E3803">
        <f>_xlfn.XLOOKUP($A3803,Load!$B:$B,Load!F:F,0,)</f>
        <v>0</v>
      </c>
      <c r="F3803">
        <f>_xlfn.XLOOKUP($A3803,Load!$B:$B,Load!G:G,0,)</f>
        <v>0</v>
      </c>
      <c r="G3803">
        <f>_xlfn.XLOOKUP($A3803,Load!$B:$B,Load!H:H,0,)</f>
        <v>0</v>
      </c>
      <c r="H3803">
        <f>_xlfn.XLOOKUP($A3803,Load!$B:$B,Load!I:I,0,)</f>
        <v>0</v>
      </c>
      <c r="I3803">
        <f>_xlfn.XLOOKUP($A3803,Load!$B:$B,Load!J:J,0,)</f>
        <v>0</v>
      </c>
      <c r="J3803">
        <f>_xlfn.XLOOKUP($A3803,Load!$B:$B,Load!K:K,0,)</f>
        <v>0</v>
      </c>
      <c r="K3803">
        <f>_xlfn.XLOOKUP($A3803,Load!$B:$B,Load!L:L,0,)</f>
        <v>0</v>
      </c>
      <c r="L3803">
        <f>_xlfn.XLOOKUP($A3803,Load!$B:$B,Load!M:M,0,)</f>
        <v>0</v>
      </c>
    </row>
    <row r="3804" spans="1:12" x14ac:dyDescent="0.25">
      <c r="B3804">
        <f>_xlfn.XLOOKUP($A3804,Load!$B:$B,Load!C:C,0,)</f>
        <v>0</v>
      </c>
      <c r="C3804">
        <f>_xlfn.XLOOKUP($A3804,Load!$B:$B,Load!D:D,0,)</f>
        <v>0</v>
      </c>
      <c r="D3804">
        <f>_xlfn.XLOOKUP($A3804,Load!$B:$B,Load!E:E,0,)</f>
        <v>0</v>
      </c>
      <c r="E3804">
        <f>_xlfn.XLOOKUP($A3804,Load!$B:$B,Load!F:F,0,)</f>
        <v>0</v>
      </c>
      <c r="F3804">
        <f>_xlfn.XLOOKUP($A3804,Load!$B:$B,Load!G:G,0,)</f>
        <v>0</v>
      </c>
      <c r="G3804">
        <f>_xlfn.XLOOKUP($A3804,Load!$B:$B,Load!H:H,0,)</f>
        <v>0</v>
      </c>
      <c r="H3804">
        <f>_xlfn.XLOOKUP($A3804,Load!$B:$B,Load!I:I,0,)</f>
        <v>0</v>
      </c>
      <c r="I3804">
        <f>_xlfn.XLOOKUP($A3804,Load!$B:$B,Load!J:J,0,)</f>
        <v>0</v>
      </c>
      <c r="J3804">
        <f>_xlfn.XLOOKUP($A3804,Load!$B:$B,Load!K:K,0,)</f>
        <v>0</v>
      </c>
      <c r="K3804">
        <f>_xlfn.XLOOKUP($A3804,Load!$B:$B,Load!L:L,0,)</f>
        <v>0</v>
      </c>
      <c r="L3804">
        <f>_xlfn.XLOOKUP($A3804,Load!$B:$B,Load!M:M,0,)</f>
        <v>0</v>
      </c>
    </row>
    <row r="3805" spans="1:12" x14ac:dyDescent="0.25">
      <c r="B3805">
        <f>_xlfn.XLOOKUP($A3805,Load!$B:$B,Load!C:C,0,)</f>
        <v>0</v>
      </c>
      <c r="C3805">
        <f>_xlfn.XLOOKUP($A3805,Load!$B:$B,Load!D:D,0,)</f>
        <v>0</v>
      </c>
      <c r="D3805">
        <f>_xlfn.XLOOKUP($A3805,Load!$B:$B,Load!E:E,0,)</f>
        <v>0</v>
      </c>
      <c r="E3805">
        <f>_xlfn.XLOOKUP($A3805,Load!$B:$B,Load!F:F,0,)</f>
        <v>0</v>
      </c>
      <c r="F3805">
        <f>_xlfn.XLOOKUP($A3805,Load!$B:$B,Load!G:G,0,)</f>
        <v>0</v>
      </c>
      <c r="G3805">
        <f>_xlfn.XLOOKUP($A3805,Load!$B:$B,Load!H:H,0,)</f>
        <v>0</v>
      </c>
      <c r="H3805">
        <f>_xlfn.XLOOKUP($A3805,Load!$B:$B,Load!I:I,0,)</f>
        <v>0</v>
      </c>
      <c r="I3805">
        <f>_xlfn.XLOOKUP($A3805,Load!$B:$B,Load!J:J,0,)</f>
        <v>0</v>
      </c>
      <c r="J3805">
        <f>_xlfn.XLOOKUP($A3805,Load!$B:$B,Load!K:K,0,)</f>
        <v>0</v>
      </c>
      <c r="K3805">
        <f>_xlfn.XLOOKUP($A3805,Load!$B:$B,Load!L:L,0,)</f>
        <v>0</v>
      </c>
      <c r="L3805">
        <f>_xlfn.XLOOKUP($A3805,Load!$B:$B,Load!M:M,0,)</f>
        <v>0</v>
      </c>
    </row>
    <row r="3806" spans="1:12" x14ac:dyDescent="0.25">
      <c r="B3806">
        <f>_xlfn.XLOOKUP($A3806,Load!$B:$B,Load!C:C,0,)</f>
        <v>0</v>
      </c>
      <c r="C3806">
        <f>_xlfn.XLOOKUP($A3806,Load!$B:$B,Load!D:D,0,)</f>
        <v>0</v>
      </c>
      <c r="D3806">
        <f>_xlfn.XLOOKUP($A3806,Load!$B:$B,Load!E:E,0,)</f>
        <v>0</v>
      </c>
      <c r="E3806">
        <f>_xlfn.XLOOKUP($A3806,Load!$B:$B,Load!F:F,0,)</f>
        <v>0</v>
      </c>
      <c r="F3806">
        <f>_xlfn.XLOOKUP($A3806,Load!$B:$B,Load!G:G,0,)</f>
        <v>0</v>
      </c>
      <c r="G3806">
        <f>_xlfn.XLOOKUP($A3806,Load!$B:$B,Load!H:H,0,)</f>
        <v>0</v>
      </c>
      <c r="H3806">
        <f>_xlfn.XLOOKUP($A3806,Load!$B:$B,Load!I:I,0,)</f>
        <v>0</v>
      </c>
      <c r="I3806">
        <f>_xlfn.XLOOKUP($A3806,Load!$B:$B,Load!J:J,0,)</f>
        <v>0</v>
      </c>
      <c r="J3806">
        <f>_xlfn.XLOOKUP($A3806,Load!$B:$B,Load!K:K,0,)</f>
        <v>0</v>
      </c>
      <c r="K3806">
        <f>_xlfn.XLOOKUP($A3806,Load!$B:$B,Load!L:L,0,)</f>
        <v>0</v>
      </c>
      <c r="L3806">
        <f>_xlfn.XLOOKUP($A3806,Load!$B:$B,Load!M:M,0,)</f>
        <v>0</v>
      </c>
    </row>
    <row r="3807" spans="1:12" x14ac:dyDescent="0.25">
      <c r="B3807">
        <f>_xlfn.XLOOKUP($A3807,Load!$B:$B,Load!C:C,0,)</f>
        <v>0</v>
      </c>
      <c r="C3807">
        <f>_xlfn.XLOOKUP($A3807,Load!$B:$B,Load!D:D,0,)</f>
        <v>0</v>
      </c>
      <c r="D3807">
        <f>_xlfn.XLOOKUP($A3807,Load!$B:$B,Load!E:E,0,)</f>
        <v>0</v>
      </c>
      <c r="E3807">
        <f>_xlfn.XLOOKUP($A3807,Load!$B:$B,Load!F:F,0,)</f>
        <v>0</v>
      </c>
      <c r="F3807">
        <f>_xlfn.XLOOKUP($A3807,Load!$B:$B,Load!G:G,0,)</f>
        <v>0</v>
      </c>
      <c r="G3807">
        <f>_xlfn.XLOOKUP($A3807,Load!$B:$B,Load!H:H,0,)</f>
        <v>0</v>
      </c>
      <c r="H3807">
        <f>_xlfn.XLOOKUP($A3807,Load!$B:$B,Load!I:I,0,)</f>
        <v>0</v>
      </c>
      <c r="I3807">
        <f>_xlfn.XLOOKUP($A3807,Load!$B:$B,Load!J:J,0,)</f>
        <v>0</v>
      </c>
      <c r="J3807">
        <f>_xlfn.XLOOKUP($A3807,Load!$B:$B,Load!K:K,0,)</f>
        <v>0</v>
      </c>
      <c r="K3807">
        <f>_xlfn.XLOOKUP($A3807,Load!$B:$B,Load!L:L,0,)</f>
        <v>0</v>
      </c>
      <c r="L3807">
        <f>_xlfn.XLOOKUP($A3807,Load!$B:$B,Load!M:M,0,)</f>
        <v>0</v>
      </c>
    </row>
    <row r="3808" spans="1:12" x14ac:dyDescent="0.25">
      <c r="B3808">
        <f>_xlfn.XLOOKUP($A3808,Load!$B:$B,Load!C:C,0,)</f>
        <v>0</v>
      </c>
      <c r="C3808">
        <f>_xlfn.XLOOKUP($A3808,Load!$B:$B,Load!D:D,0,)</f>
        <v>0</v>
      </c>
      <c r="D3808">
        <f>_xlfn.XLOOKUP($A3808,Load!$B:$B,Load!E:E,0,)</f>
        <v>0</v>
      </c>
      <c r="E3808">
        <f>_xlfn.XLOOKUP($A3808,Load!$B:$B,Load!F:F,0,)</f>
        <v>0</v>
      </c>
      <c r="F3808">
        <f>_xlfn.XLOOKUP($A3808,Load!$B:$B,Load!G:G,0,)</f>
        <v>0</v>
      </c>
      <c r="G3808">
        <f>_xlfn.XLOOKUP($A3808,Load!$B:$B,Load!H:H,0,)</f>
        <v>0</v>
      </c>
      <c r="H3808">
        <f>_xlfn.XLOOKUP($A3808,Load!$B:$B,Load!I:I,0,)</f>
        <v>0</v>
      </c>
      <c r="I3808">
        <f>_xlfn.XLOOKUP($A3808,Load!$B:$B,Load!J:J,0,)</f>
        <v>0</v>
      </c>
      <c r="J3808">
        <f>_xlfn.XLOOKUP($A3808,Load!$B:$B,Load!K:K,0,)</f>
        <v>0</v>
      </c>
      <c r="K3808">
        <f>_xlfn.XLOOKUP($A3808,Load!$B:$B,Load!L:L,0,)</f>
        <v>0</v>
      </c>
      <c r="L3808">
        <f>_xlfn.XLOOKUP($A3808,Load!$B:$B,Load!M:M,0,)</f>
        <v>0</v>
      </c>
    </row>
    <row r="3809" spans="1:12" x14ac:dyDescent="0.25">
      <c r="B3809">
        <f>_xlfn.XLOOKUP($A3809,Load!$B:$B,Load!C:C,0,)</f>
        <v>0</v>
      </c>
      <c r="C3809">
        <f>_xlfn.XLOOKUP($A3809,Load!$B:$B,Load!D:D,0,)</f>
        <v>0</v>
      </c>
      <c r="D3809">
        <f>_xlfn.XLOOKUP($A3809,Load!$B:$B,Load!E:E,0,)</f>
        <v>0</v>
      </c>
      <c r="E3809">
        <f>_xlfn.XLOOKUP($A3809,Load!$B:$B,Load!F:F,0,)</f>
        <v>0</v>
      </c>
      <c r="F3809">
        <f>_xlfn.XLOOKUP($A3809,Load!$B:$B,Load!G:G,0,)</f>
        <v>0</v>
      </c>
      <c r="G3809">
        <f>_xlfn.XLOOKUP($A3809,Load!$B:$B,Load!H:H,0,)</f>
        <v>0</v>
      </c>
      <c r="H3809">
        <f>_xlfn.XLOOKUP($A3809,Load!$B:$B,Load!I:I,0,)</f>
        <v>0</v>
      </c>
      <c r="I3809">
        <f>_xlfn.XLOOKUP($A3809,Load!$B:$B,Load!J:J,0,)</f>
        <v>0</v>
      </c>
      <c r="J3809">
        <f>_xlfn.XLOOKUP($A3809,Load!$B:$B,Load!K:K,0,)</f>
        <v>0</v>
      </c>
      <c r="K3809">
        <f>_xlfn.XLOOKUP($A3809,Load!$B:$B,Load!L:L,0,)</f>
        <v>0</v>
      </c>
      <c r="L3809">
        <f>_xlfn.XLOOKUP($A3809,Load!$B:$B,Load!M:M,0,)</f>
        <v>0</v>
      </c>
    </row>
    <row r="3810" spans="1:12" x14ac:dyDescent="0.25">
      <c r="B3810">
        <f>_xlfn.XLOOKUP($A3810,Load!$B:$B,Load!C:C,0,)</f>
        <v>0</v>
      </c>
      <c r="C3810">
        <f>_xlfn.XLOOKUP($A3810,Load!$B:$B,Load!D:D,0,)</f>
        <v>0</v>
      </c>
      <c r="D3810">
        <f>_xlfn.XLOOKUP($A3810,Load!$B:$B,Load!E:E,0,)</f>
        <v>0</v>
      </c>
      <c r="E3810">
        <f>_xlfn.XLOOKUP($A3810,Load!$B:$B,Load!F:F,0,)</f>
        <v>0</v>
      </c>
      <c r="F3810">
        <f>_xlfn.XLOOKUP($A3810,Load!$B:$B,Load!G:G,0,)</f>
        <v>0</v>
      </c>
      <c r="G3810">
        <f>_xlfn.XLOOKUP($A3810,Load!$B:$B,Load!H:H,0,)</f>
        <v>0</v>
      </c>
      <c r="H3810">
        <f>_xlfn.XLOOKUP($A3810,Load!$B:$B,Load!I:I,0,)</f>
        <v>0</v>
      </c>
      <c r="I3810">
        <f>_xlfn.XLOOKUP($A3810,Load!$B:$B,Load!J:J,0,)</f>
        <v>0</v>
      </c>
      <c r="J3810">
        <f>_xlfn.XLOOKUP($A3810,Load!$B:$B,Load!K:K,0,)</f>
        <v>0</v>
      </c>
      <c r="K3810">
        <f>_xlfn.XLOOKUP($A3810,Load!$B:$B,Load!L:L,0,)</f>
        <v>0</v>
      </c>
      <c r="L3810">
        <f>_xlfn.XLOOKUP($A3810,Load!$B:$B,Load!M:M,0,)</f>
        <v>0</v>
      </c>
    </row>
    <row r="3811" spans="1:12" x14ac:dyDescent="0.25">
      <c r="B3811">
        <f>_xlfn.XLOOKUP($A3811,Load!$B:$B,Load!C:C,0,)</f>
        <v>0</v>
      </c>
      <c r="C3811">
        <f>_xlfn.XLOOKUP($A3811,Load!$B:$B,Load!D:D,0,)</f>
        <v>0</v>
      </c>
      <c r="D3811">
        <f>_xlfn.XLOOKUP($A3811,Load!$B:$B,Load!E:E,0,)</f>
        <v>0</v>
      </c>
      <c r="E3811">
        <f>_xlfn.XLOOKUP($A3811,Load!$B:$B,Load!F:F,0,)</f>
        <v>0</v>
      </c>
      <c r="F3811">
        <f>_xlfn.XLOOKUP($A3811,Load!$B:$B,Load!G:G,0,)</f>
        <v>0</v>
      </c>
      <c r="G3811">
        <f>_xlfn.XLOOKUP($A3811,Load!$B:$B,Load!H:H,0,)</f>
        <v>0</v>
      </c>
      <c r="H3811">
        <f>_xlfn.XLOOKUP($A3811,Load!$B:$B,Load!I:I,0,)</f>
        <v>0</v>
      </c>
      <c r="I3811">
        <f>_xlfn.XLOOKUP($A3811,Load!$B:$B,Load!J:J,0,)</f>
        <v>0</v>
      </c>
      <c r="J3811">
        <f>_xlfn.XLOOKUP($A3811,Load!$B:$B,Load!K:K,0,)</f>
        <v>0</v>
      </c>
      <c r="K3811">
        <f>_xlfn.XLOOKUP($A3811,Load!$B:$B,Load!L:L,0,)</f>
        <v>0</v>
      </c>
      <c r="L3811">
        <f>_xlfn.XLOOKUP($A3811,Load!$B:$B,Load!M:M,0,)</f>
        <v>0</v>
      </c>
    </row>
    <row r="3812" spans="1:12" x14ac:dyDescent="0.25">
      <c r="B3812">
        <f>_xlfn.XLOOKUP($A3812,Load!$B:$B,Load!C:C,0,)</f>
        <v>0</v>
      </c>
      <c r="C3812">
        <f>_xlfn.XLOOKUP($A3812,Load!$B:$B,Load!D:D,0,)</f>
        <v>0</v>
      </c>
      <c r="D3812">
        <f>_xlfn.XLOOKUP($A3812,Load!$B:$B,Load!E:E,0,)</f>
        <v>0</v>
      </c>
      <c r="E3812">
        <f>_xlfn.XLOOKUP($A3812,Load!$B:$B,Load!F:F,0,)</f>
        <v>0</v>
      </c>
      <c r="F3812">
        <f>_xlfn.XLOOKUP($A3812,Load!$B:$B,Load!G:G,0,)</f>
        <v>0</v>
      </c>
      <c r="G3812">
        <f>_xlfn.XLOOKUP($A3812,Load!$B:$B,Load!H:H,0,)</f>
        <v>0</v>
      </c>
      <c r="H3812">
        <f>_xlfn.XLOOKUP($A3812,Load!$B:$B,Load!I:I,0,)</f>
        <v>0</v>
      </c>
      <c r="I3812">
        <f>_xlfn.XLOOKUP($A3812,Load!$B:$B,Load!J:J,0,)</f>
        <v>0</v>
      </c>
      <c r="J3812">
        <f>_xlfn.XLOOKUP($A3812,Load!$B:$B,Load!K:K,0,)</f>
        <v>0</v>
      </c>
      <c r="K3812">
        <f>_xlfn.XLOOKUP($A3812,Load!$B:$B,Load!L:L,0,)</f>
        <v>0</v>
      </c>
      <c r="L3812">
        <f>_xlfn.XLOOKUP($A3812,Load!$B:$B,Load!M:M,0,)</f>
        <v>0</v>
      </c>
    </row>
    <row r="3813" spans="1:12" x14ac:dyDescent="0.25">
      <c r="B3813">
        <f>_xlfn.XLOOKUP($A3813,Load!$B:$B,Load!C:C,0,)</f>
        <v>0</v>
      </c>
      <c r="C3813">
        <f>_xlfn.XLOOKUP($A3813,Load!$B:$B,Load!D:D,0,)</f>
        <v>0</v>
      </c>
      <c r="D3813">
        <f>_xlfn.XLOOKUP($A3813,Load!$B:$B,Load!E:E,0,)</f>
        <v>0</v>
      </c>
      <c r="E3813">
        <f>_xlfn.XLOOKUP($A3813,Load!$B:$B,Load!F:F,0,)</f>
        <v>0</v>
      </c>
      <c r="F3813">
        <f>_xlfn.XLOOKUP($A3813,Load!$B:$B,Load!G:G,0,)</f>
        <v>0</v>
      </c>
      <c r="G3813">
        <f>_xlfn.XLOOKUP($A3813,Load!$B:$B,Load!H:H,0,)</f>
        <v>0</v>
      </c>
      <c r="H3813">
        <f>_xlfn.XLOOKUP($A3813,Load!$B:$B,Load!I:I,0,)</f>
        <v>0</v>
      </c>
      <c r="I3813">
        <f>_xlfn.XLOOKUP($A3813,Load!$B:$B,Load!J:J,0,)</f>
        <v>0</v>
      </c>
      <c r="J3813">
        <f>_xlfn.XLOOKUP($A3813,Load!$B:$B,Load!K:K,0,)</f>
        <v>0</v>
      </c>
      <c r="K3813">
        <f>_xlfn.XLOOKUP($A3813,Load!$B:$B,Load!L:L,0,)</f>
        <v>0</v>
      </c>
      <c r="L3813">
        <f>_xlfn.XLOOKUP($A3813,Load!$B:$B,Load!M:M,0,)</f>
        <v>0</v>
      </c>
    </row>
    <row r="3814" spans="1:12" x14ac:dyDescent="0.25">
      <c r="B3814">
        <f>_xlfn.XLOOKUP($A3814,Load!$B:$B,Load!C:C,0,)</f>
        <v>0</v>
      </c>
      <c r="C3814">
        <f>_xlfn.XLOOKUP($A3814,Load!$B:$B,Load!D:D,0,)</f>
        <v>0</v>
      </c>
      <c r="D3814">
        <f>_xlfn.XLOOKUP($A3814,Load!$B:$B,Load!E:E,0,)</f>
        <v>0</v>
      </c>
      <c r="E3814">
        <f>_xlfn.XLOOKUP($A3814,Load!$B:$B,Load!F:F,0,)</f>
        <v>0</v>
      </c>
      <c r="F3814">
        <f>_xlfn.XLOOKUP($A3814,Load!$B:$B,Load!G:G,0,)</f>
        <v>0</v>
      </c>
      <c r="G3814">
        <f>_xlfn.XLOOKUP($A3814,Load!$B:$B,Load!H:H,0,)</f>
        <v>0</v>
      </c>
      <c r="H3814">
        <f>_xlfn.XLOOKUP($A3814,Load!$B:$B,Load!I:I,0,)</f>
        <v>0</v>
      </c>
      <c r="I3814">
        <f>_xlfn.XLOOKUP($A3814,Load!$B:$B,Load!J:J,0,)</f>
        <v>0</v>
      </c>
      <c r="J3814">
        <f>_xlfn.XLOOKUP($A3814,Load!$B:$B,Load!K:K,0,)</f>
        <v>0</v>
      </c>
      <c r="K3814">
        <f>_xlfn.XLOOKUP($A3814,Load!$B:$B,Load!L:L,0,)</f>
        <v>0</v>
      </c>
      <c r="L3814">
        <f>_xlfn.XLOOKUP($A3814,Load!$B:$B,Load!M:M,0,)</f>
        <v>0</v>
      </c>
    </row>
    <row r="3815" spans="1:12" x14ac:dyDescent="0.25">
      <c r="B3815">
        <f>_xlfn.XLOOKUP($A3815,Load!$B:$B,Load!C:C,0,)</f>
        <v>0</v>
      </c>
      <c r="C3815">
        <f>_xlfn.XLOOKUP($A3815,Load!$B:$B,Load!D:D,0,)</f>
        <v>0</v>
      </c>
      <c r="D3815">
        <f>_xlfn.XLOOKUP($A3815,Load!$B:$B,Load!E:E,0,)</f>
        <v>0</v>
      </c>
      <c r="E3815">
        <f>_xlfn.XLOOKUP($A3815,Load!$B:$B,Load!F:F,0,)</f>
        <v>0</v>
      </c>
      <c r="F3815">
        <f>_xlfn.XLOOKUP($A3815,Load!$B:$B,Load!G:G,0,)</f>
        <v>0</v>
      </c>
      <c r="G3815">
        <f>_xlfn.XLOOKUP($A3815,Load!$B:$B,Load!H:H,0,)</f>
        <v>0</v>
      </c>
      <c r="H3815">
        <f>_xlfn.XLOOKUP($A3815,Load!$B:$B,Load!I:I,0,)</f>
        <v>0</v>
      </c>
      <c r="I3815">
        <f>_xlfn.XLOOKUP($A3815,Load!$B:$B,Load!J:J,0,)</f>
        <v>0</v>
      </c>
      <c r="J3815">
        <f>_xlfn.XLOOKUP($A3815,Load!$B:$B,Load!K:K,0,)</f>
        <v>0</v>
      </c>
      <c r="K3815">
        <f>_xlfn.XLOOKUP($A3815,Load!$B:$B,Load!L:L,0,)</f>
        <v>0</v>
      </c>
      <c r="L3815">
        <f>_xlfn.XLOOKUP($A3815,Load!$B:$B,Load!M:M,0,)</f>
        <v>0</v>
      </c>
    </row>
    <row r="3816" spans="1:12" x14ac:dyDescent="0.25">
      <c r="B3816">
        <f>_xlfn.XLOOKUP($A3816,Load!$B:$B,Load!C:C,0,)</f>
        <v>0</v>
      </c>
      <c r="C3816">
        <f>_xlfn.XLOOKUP($A3816,Load!$B:$B,Load!D:D,0,)</f>
        <v>0</v>
      </c>
      <c r="D3816">
        <f>_xlfn.XLOOKUP($A3816,Load!$B:$B,Load!E:E,0,)</f>
        <v>0</v>
      </c>
      <c r="E3816">
        <f>_xlfn.XLOOKUP($A3816,Load!$B:$B,Load!F:F,0,)</f>
        <v>0</v>
      </c>
      <c r="F3816">
        <f>_xlfn.XLOOKUP($A3816,Load!$B:$B,Load!G:G,0,)</f>
        <v>0</v>
      </c>
      <c r="G3816">
        <f>_xlfn.XLOOKUP($A3816,Load!$B:$B,Load!H:H,0,)</f>
        <v>0</v>
      </c>
      <c r="H3816">
        <f>_xlfn.XLOOKUP($A3816,Load!$B:$B,Load!I:I,0,)</f>
        <v>0</v>
      </c>
      <c r="I3816">
        <f>_xlfn.XLOOKUP($A3816,Load!$B:$B,Load!J:J,0,)</f>
        <v>0</v>
      </c>
      <c r="J3816">
        <f>_xlfn.XLOOKUP($A3816,Load!$B:$B,Load!K:K,0,)</f>
        <v>0</v>
      </c>
      <c r="K3816">
        <f>_xlfn.XLOOKUP($A3816,Load!$B:$B,Load!L:L,0,)</f>
        <v>0</v>
      </c>
      <c r="L3816">
        <f>_xlfn.XLOOKUP($A3816,Load!$B:$B,Load!M:M,0,)</f>
        <v>0</v>
      </c>
    </row>
    <row r="3817" spans="1:12" x14ac:dyDescent="0.25">
      <c r="B3817">
        <f>_xlfn.XLOOKUP($A3817,Load!$B:$B,Load!C:C,0,)</f>
        <v>0</v>
      </c>
      <c r="C3817">
        <f>_xlfn.XLOOKUP($A3817,Load!$B:$B,Load!D:D,0,)</f>
        <v>0</v>
      </c>
      <c r="D3817">
        <f>_xlfn.XLOOKUP($A3817,Load!$B:$B,Load!E:E,0,)</f>
        <v>0</v>
      </c>
      <c r="E3817">
        <f>_xlfn.XLOOKUP($A3817,Load!$B:$B,Load!F:F,0,)</f>
        <v>0</v>
      </c>
      <c r="F3817">
        <f>_xlfn.XLOOKUP($A3817,Load!$B:$B,Load!G:G,0,)</f>
        <v>0</v>
      </c>
      <c r="G3817">
        <f>_xlfn.XLOOKUP($A3817,Load!$B:$B,Load!H:H,0,)</f>
        <v>0</v>
      </c>
      <c r="H3817">
        <f>_xlfn.XLOOKUP($A3817,Load!$B:$B,Load!I:I,0,)</f>
        <v>0</v>
      </c>
      <c r="I3817">
        <f>_xlfn.XLOOKUP($A3817,Load!$B:$B,Load!J:J,0,)</f>
        <v>0</v>
      </c>
      <c r="J3817">
        <f>_xlfn.XLOOKUP($A3817,Load!$B:$B,Load!K:K,0,)</f>
        <v>0</v>
      </c>
      <c r="K3817">
        <f>_xlfn.XLOOKUP($A3817,Load!$B:$B,Load!L:L,0,)</f>
        <v>0</v>
      </c>
      <c r="L3817">
        <f>_xlfn.XLOOKUP($A3817,Load!$B:$B,Load!M:M,0,)</f>
        <v>0</v>
      </c>
    </row>
    <row r="3818" spans="1:12" x14ac:dyDescent="0.25">
      <c r="B3818">
        <f>_xlfn.XLOOKUP($A3818,Load!$B:$B,Load!C:C,0,)</f>
        <v>0</v>
      </c>
      <c r="C3818">
        <f>_xlfn.XLOOKUP($A3818,Load!$B:$B,Load!D:D,0,)</f>
        <v>0</v>
      </c>
      <c r="D3818">
        <f>_xlfn.XLOOKUP($A3818,Load!$B:$B,Load!E:E,0,)</f>
        <v>0</v>
      </c>
      <c r="E3818">
        <f>_xlfn.XLOOKUP($A3818,Load!$B:$B,Load!F:F,0,)</f>
        <v>0</v>
      </c>
      <c r="F3818">
        <f>_xlfn.XLOOKUP($A3818,Load!$B:$B,Load!G:G,0,)</f>
        <v>0</v>
      </c>
      <c r="G3818">
        <f>_xlfn.XLOOKUP($A3818,Load!$B:$B,Load!H:H,0,)</f>
        <v>0</v>
      </c>
      <c r="H3818">
        <f>_xlfn.XLOOKUP($A3818,Load!$B:$B,Load!I:I,0,)</f>
        <v>0</v>
      </c>
      <c r="I3818">
        <f>_xlfn.XLOOKUP($A3818,Load!$B:$B,Load!J:J,0,)</f>
        <v>0</v>
      </c>
      <c r="J3818">
        <f>_xlfn.XLOOKUP($A3818,Load!$B:$B,Load!K:K,0,)</f>
        <v>0</v>
      </c>
      <c r="K3818">
        <f>_xlfn.XLOOKUP($A3818,Load!$B:$B,Load!L:L,0,)</f>
        <v>0</v>
      </c>
      <c r="L3818">
        <f>_xlfn.XLOOKUP($A3818,Load!$B:$B,Load!M:M,0,)</f>
        <v>0</v>
      </c>
    </row>
    <row r="3819" spans="1:12" x14ac:dyDescent="0.25">
      <c r="B3819">
        <f>_xlfn.XLOOKUP($A3819,Load!$B:$B,Load!C:C,0,)</f>
        <v>0</v>
      </c>
      <c r="C3819">
        <f>_xlfn.XLOOKUP($A3819,Load!$B:$B,Load!D:D,0,)</f>
        <v>0</v>
      </c>
      <c r="D3819">
        <f>_xlfn.XLOOKUP($A3819,Load!$B:$B,Load!E:E,0,)</f>
        <v>0</v>
      </c>
      <c r="E3819">
        <f>_xlfn.XLOOKUP($A3819,Load!$B:$B,Load!F:F,0,)</f>
        <v>0</v>
      </c>
      <c r="F3819">
        <f>_xlfn.XLOOKUP($A3819,Load!$B:$B,Load!G:G,0,)</f>
        <v>0</v>
      </c>
      <c r="G3819">
        <f>_xlfn.XLOOKUP($A3819,Load!$B:$B,Load!H:H,0,)</f>
        <v>0</v>
      </c>
      <c r="H3819">
        <f>_xlfn.XLOOKUP($A3819,Load!$B:$B,Load!I:I,0,)</f>
        <v>0</v>
      </c>
      <c r="I3819">
        <f>_xlfn.XLOOKUP($A3819,Load!$B:$B,Load!J:J,0,)</f>
        <v>0</v>
      </c>
      <c r="J3819">
        <f>_xlfn.XLOOKUP($A3819,Load!$B:$B,Load!K:K,0,)</f>
        <v>0</v>
      </c>
      <c r="K3819">
        <f>_xlfn.XLOOKUP($A3819,Load!$B:$B,Load!L:L,0,)</f>
        <v>0</v>
      </c>
      <c r="L3819">
        <f>_xlfn.XLOOKUP($A3819,Load!$B:$B,Load!M:M,0,)</f>
        <v>0</v>
      </c>
    </row>
    <row r="3820" spans="1:12" x14ac:dyDescent="0.25">
      <c r="A3820" t="s">
        <v>179</v>
      </c>
      <c r="B3820" t="str">
        <f>_xlfn.XLOOKUP($A3820,Load!$B:$B,Load!C:C,0,)</f>
        <v>Mars Variety Pack</v>
      </c>
      <c r="C3820" t="str">
        <f>_xlfn.XLOOKUP($A3820,Load!$B:$B,Load!D:D,0,)</f>
        <v>Non-Chocolate Candy Only</v>
      </c>
      <c r="D3820" t="str">
        <f>_xlfn.XLOOKUP($A3820,Load!$B:$B,Load!E:E,0,)</f>
        <v>Variety / Mixed Flavors (Fruity, Sour, Seasonal Flavors)</v>
      </c>
      <c r="E3820" t="str">
        <f>_xlfn.XLOOKUP($A3820,Load!$B:$B,Load!F:F,0,)</f>
        <v>Mixed / Combo Packs (Gummy, Chewy, Taffy, etc.)</v>
      </c>
      <c r="F3820" t="str">
        <f>_xlfn.XLOOKUP($A3820,Load!$B:$B,Load!G:G,0,)</f>
        <v>Medium Multipack (40–80 ct)</v>
      </c>
      <c r="G3820" t="str">
        <f>_xlfn.XLOOKUP($A3820,Load!$B:$B,Load!H:H,0,)</f>
        <v>Stand-Up Bag</v>
      </c>
      <c r="H3820" t="str">
        <f>_xlfn.XLOOKUP($A3820,Load!$B:$B,Load!I:I,0,)</f>
        <v>Everyday Candy Shapes (like Original, Gummy bear, Fruit, Jewels, etc.)</v>
      </c>
      <c r="I3820" t="str">
        <f>_xlfn.XLOOKUP($A3820,Load!$B:$B,Load!J:J,0,)</f>
        <v>Seasonal Graphics (Like Bat, Ghost, Pumpkin, Fall Leaves, Eyeballs, etc.)</v>
      </c>
      <c r="J3820" t="str">
        <f>_xlfn.XLOOKUP($A3820,Load!$B:$B,Load!K:K,0,)</f>
        <v>Fun Size / Treat Size</v>
      </c>
      <c r="K3820" t="str">
        <f>_xlfn.XLOOKUP($A3820,Load!$B:$B,Load!L:L,0,)</f>
        <v>Regular/Original Wrapping</v>
      </c>
      <c r="L3820" t="str">
        <f>_xlfn.XLOOKUP($A3820,Load!$B:$B,Load!M:M,0,)</f>
        <v>Multiple Brands / Variety Flavors or Form</v>
      </c>
    </row>
    <row r="3821" spans="1:12" x14ac:dyDescent="0.25">
      <c r="B3821">
        <f>_xlfn.XLOOKUP($A3821,Load!$B:$B,Load!C:C,0,)</f>
        <v>0</v>
      </c>
      <c r="C3821">
        <f>_xlfn.XLOOKUP($A3821,Load!$B:$B,Load!D:D,0,)</f>
        <v>0</v>
      </c>
      <c r="D3821">
        <f>_xlfn.XLOOKUP($A3821,Load!$B:$B,Load!E:E,0,)</f>
        <v>0</v>
      </c>
      <c r="E3821">
        <f>_xlfn.XLOOKUP($A3821,Load!$B:$B,Load!F:F,0,)</f>
        <v>0</v>
      </c>
      <c r="F3821">
        <f>_xlfn.XLOOKUP($A3821,Load!$B:$B,Load!G:G,0,)</f>
        <v>0</v>
      </c>
      <c r="G3821">
        <f>_xlfn.XLOOKUP($A3821,Load!$B:$B,Load!H:H,0,)</f>
        <v>0</v>
      </c>
      <c r="H3821">
        <f>_xlfn.XLOOKUP($A3821,Load!$B:$B,Load!I:I,0,)</f>
        <v>0</v>
      </c>
      <c r="I3821">
        <f>_xlfn.XLOOKUP($A3821,Load!$B:$B,Load!J:J,0,)</f>
        <v>0</v>
      </c>
      <c r="J3821">
        <f>_xlfn.XLOOKUP($A3821,Load!$B:$B,Load!K:K,0,)</f>
        <v>0</v>
      </c>
      <c r="K3821">
        <f>_xlfn.XLOOKUP($A3821,Load!$B:$B,Load!L:L,0,)</f>
        <v>0</v>
      </c>
      <c r="L3821">
        <f>_xlfn.XLOOKUP($A3821,Load!$B:$B,Load!M:M,0,)</f>
        <v>0</v>
      </c>
    </row>
    <row r="3822" spans="1:12" x14ac:dyDescent="0.25">
      <c r="B3822">
        <f>_xlfn.XLOOKUP($A3822,Load!$B:$B,Load!C:C,0,)</f>
        <v>0</v>
      </c>
      <c r="C3822">
        <f>_xlfn.XLOOKUP($A3822,Load!$B:$B,Load!D:D,0,)</f>
        <v>0</v>
      </c>
      <c r="D3822">
        <f>_xlfn.XLOOKUP($A3822,Load!$B:$B,Load!E:E,0,)</f>
        <v>0</v>
      </c>
      <c r="E3822">
        <f>_xlfn.XLOOKUP($A3822,Load!$B:$B,Load!F:F,0,)</f>
        <v>0</v>
      </c>
      <c r="F3822">
        <f>_xlfn.XLOOKUP($A3822,Load!$B:$B,Load!G:G,0,)</f>
        <v>0</v>
      </c>
      <c r="G3822">
        <f>_xlfn.XLOOKUP($A3822,Load!$B:$B,Load!H:H,0,)</f>
        <v>0</v>
      </c>
      <c r="H3822">
        <f>_xlfn.XLOOKUP($A3822,Load!$B:$B,Load!I:I,0,)</f>
        <v>0</v>
      </c>
      <c r="I3822">
        <f>_xlfn.XLOOKUP($A3822,Load!$B:$B,Load!J:J,0,)</f>
        <v>0</v>
      </c>
      <c r="J3822">
        <f>_xlfn.XLOOKUP($A3822,Load!$B:$B,Load!K:K,0,)</f>
        <v>0</v>
      </c>
      <c r="K3822">
        <f>_xlfn.XLOOKUP($A3822,Load!$B:$B,Load!L:L,0,)</f>
        <v>0</v>
      </c>
      <c r="L3822">
        <f>_xlfn.XLOOKUP($A3822,Load!$B:$B,Load!M:M,0,)</f>
        <v>0</v>
      </c>
    </row>
    <row r="3823" spans="1:12" x14ac:dyDescent="0.25">
      <c r="B3823">
        <f>_xlfn.XLOOKUP($A3823,Load!$B:$B,Load!C:C,0,)</f>
        <v>0</v>
      </c>
      <c r="C3823">
        <f>_xlfn.XLOOKUP($A3823,Load!$B:$B,Load!D:D,0,)</f>
        <v>0</v>
      </c>
      <c r="D3823">
        <f>_xlfn.XLOOKUP($A3823,Load!$B:$B,Load!E:E,0,)</f>
        <v>0</v>
      </c>
      <c r="E3823">
        <f>_xlfn.XLOOKUP($A3823,Load!$B:$B,Load!F:F,0,)</f>
        <v>0</v>
      </c>
      <c r="F3823">
        <f>_xlfn.XLOOKUP($A3823,Load!$B:$B,Load!G:G,0,)</f>
        <v>0</v>
      </c>
      <c r="G3823">
        <f>_xlfn.XLOOKUP($A3823,Load!$B:$B,Load!H:H,0,)</f>
        <v>0</v>
      </c>
      <c r="H3823">
        <f>_xlfn.XLOOKUP($A3823,Load!$B:$B,Load!I:I,0,)</f>
        <v>0</v>
      </c>
      <c r="I3823">
        <f>_xlfn.XLOOKUP($A3823,Load!$B:$B,Load!J:J,0,)</f>
        <v>0</v>
      </c>
      <c r="J3823">
        <f>_xlfn.XLOOKUP($A3823,Load!$B:$B,Load!K:K,0,)</f>
        <v>0</v>
      </c>
      <c r="K3823">
        <f>_xlfn.XLOOKUP($A3823,Load!$B:$B,Load!L:L,0,)</f>
        <v>0</v>
      </c>
      <c r="L3823">
        <f>_xlfn.XLOOKUP($A3823,Load!$B:$B,Load!M:M,0,)</f>
        <v>0</v>
      </c>
    </row>
    <row r="3824" spans="1:12" x14ac:dyDescent="0.25">
      <c r="B3824">
        <f>_xlfn.XLOOKUP($A3824,Load!$B:$B,Load!C:C,0,)</f>
        <v>0</v>
      </c>
      <c r="C3824">
        <f>_xlfn.XLOOKUP($A3824,Load!$B:$B,Load!D:D,0,)</f>
        <v>0</v>
      </c>
      <c r="D3824">
        <f>_xlfn.XLOOKUP($A3824,Load!$B:$B,Load!E:E,0,)</f>
        <v>0</v>
      </c>
      <c r="E3824">
        <f>_xlfn.XLOOKUP($A3824,Load!$B:$B,Load!F:F,0,)</f>
        <v>0</v>
      </c>
      <c r="F3824">
        <f>_xlfn.XLOOKUP($A3824,Load!$B:$B,Load!G:G,0,)</f>
        <v>0</v>
      </c>
      <c r="G3824">
        <f>_xlfn.XLOOKUP($A3824,Load!$B:$B,Load!H:H,0,)</f>
        <v>0</v>
      </c>
      <c r="H3824">
        <f>_xlfn.XLOOKUP($A3824,Load!$B:$B,Load!I:I,0,)</f>
        <v>0</v>
      </c>
      <c r="I3824">
        <f>_xlfn.XLOOKUP($A3824,Load!$B:$B,Load!J:J,0,)</f>
        <v>0</v>
      </c>
      <c r="J3824">
        <f>_xlfn.XLOOKUP($A3824,Load!$B:$B,Load!K:K,0,)</f>
        <v>0</v>
      </c>
      <c r="K3824">
        <f>_xlfn.XLOOKUP($A3824,Load!$B:$B,Load!L:L,0,)</f>
        <v>0</v>
      </c>
      <c r="L3824">
        <f>_xlfn.XLOOKUP($A3824,Load!$B:$B,Load!M:M,0,)</f>
        <v>0</v>
      </c>
    </row>
    <row r="3825" spans="1:12" x14ac:dyDescent="0.25">
      <c r="B3825">
        <f>_xlfn.XLOOKUP($A3825,Load!$B:$B,Load!C:C,0,)</f>
        <v>0</v>
      </c>
      <c r="C3825">
        <f>_xlfn.XLOOKUP($A3825,Load!$B:$B,Load!D:D,0,)</f>
        <v>0</v>
      </c>
      <c r="D3825">
        <f>_xlfn.XLOOKUP($A3825,Load!$B:$B,Load!E:E,0,)</f>
        <v>0</v>
      </c>
      <c r="E3825">
        <f>_xlfn.XLOOKUP($A3825,Load!$B:$B,Load!F:F,0,)</f>
        <v>0</v>
      </c>
      <c r="F3825">
        <f>_xlfn.XLOOKUP($A3825,Load!$B:$B,Load!G:G,0,)</f>
        <v>0</v>
      </c>
      <c r="G3825">
        <f>_xlfn.XLOOKUP($A3825,Load!$B:$B,Load!H:H,0,)</f>
        <v>0</v>
      </c>
      <c r="H3825">
        <f>_xlfn.XLOOKUP($A3825,Load!$B:$B,Load!I:I,0,)</f>
        <v>0</v>
      </c>
      <c r="I3825">
        <f>_xlfn.XLOOKUP($A3825,Load!$B:$B,Load!J:J,0,)</f>
        <v>0</v>
      </c>
      <c r="J3825">
        <f>_xlfn.XLOOKUP($A3825,Load!$B:$B,Load!K:K,0,)</f>
        <v>0</v>
      </c>
      <c r="K3825">
        <f>_xlfn.XLOOKUP($A3825,Load!$B:$B,Load!L:L,0,)</f>
        <v>0</v>
      </c>
      <c r="L3825">
        <f>_xlfn.XLOOKUP($A3825,Load!$B:$B,Load!M:M,0,)</f>
        <v>0</v>
      </c>
    </row>
    <row r="3826" spans="1:12" x14ac:dyDescent="0.25">
      <c r="B3826">
        <f>_xlfn.XLOOKUP($A3826,Load!$B:$B,Load!C:C,0,)</f>
        <v>0</v>
      </c>
      <c r="C3826">
        <f>_xlfn.XLOOKUP($A3826,Load!$B:$B,Load!D:D,0,)</f>
        <v>0</v>
      </c>
      <c r="D3826">
        <f>_xlfn.XLOOKUP($A3826,Load!$B:$B,Load!E:E,0,)</f>
        <v>0</v>
      </c>
      <c r="E3826">
        <f>_xlfn.XLOOKUP($A3826,Load!$B:$B,Load!F:F,0,)</f>
        <v>0</v>
      </c>
      <c r="F3826">
        <f>_xlfn.XLOOKUP($A3826,Load!$B:$B,Load!G:G,0,)</f>
        <v>0</v>
      </c>
      <c r="G3826">
        <f>_xlfn.XLOOKUP($A3826,Load!$B:$B,Load!H:H,0,)</f>
        <v>0</v>
      </c>
      <c r="H3826">
        <f>_xlfn.XLOOKUP($A3826,Load!$B:$B,Load!I:I,0,)</f>
        <v>0</v>
      </c>
      <c r="I3826">
        <f>_xlfn.XLOOKUP($A3826,Load!$B:$B,Load!J:J,0,)</f>
        <v>0</v>
      </c>
      <c r="J3826">
        <f>_xlfn.XLOOKUP($A3826,Load!$B:$B,Load!K:K,0,)</f>
        <v>0</v>
      </c>
      <c r="K3826">
        <f>_xlfn.XLOOKUP($A3826,Load!$B:$B,Load!L:L,0,)</f>
        <v>0</v>
      </c>
      <c r="L3826">
        <f>_xlfn.XLOOKUP($A3826,Load!$B:$B,Load!M:M,0,)</f>
        <v>0</v>
      </c>
    </row>
    <row r="3827" spans="1:12" x14ac:dyDescent="0.25">
      <c r="B3827">
        <f>_xlfn.XLOOKUP($A3827,Load!$B:$B,Load!C:C,0,)</f>
        <v>0</v>
      </c>
      <c r="C3827">
        <f>_xlfn.XLOOKUP($A3827,Load!$B:$B,Load!D:D,0,)</f>
        <v>0</v>
      </c>
      <c r="D3827">
        <f>_xlfn.XLOOKUP($A3827,Load!$B:$B,Load!E:E,0,)</f>
        <v>0</v>
      </c>
      <c r="E3827">
        <f>_xlfn.XLOOKUP($A3827,Load!$B:$B,Load!F:F,0,)</f>
        <v>0</v>
      </c>
      <c r="F3827">
        <f>_xlfn.XLOOKUP($A3827,Load!$B:$B,Load!G:G,0,)</f>
        <v>0</v>
      </c>
      <c r="G3827">
        <f>_xlfn.XLOOKUP($A3827,Load!$B:$B,Load!H:H,0,)</f>
        <v>0</v>
      </c>
      <c r="H3827">
        <f>_xlfn.XLOOKUP($A3827,Load!$B:$B,Load!I:I,0,)</f>
        <v>0</v>
      </c>
      <c r="I3827">
        <f>_xlfn.XLOOKUP($A3827,Load!$B:$B,Load!J:J,0,)</f>
        <v>0</v>
      </c>
      <c r="J3827">
        <f>_xlfn.XLOOKUP($A3827,Load!$B:$B,Load!K:K,0,)</f>
        <v>0</v>
      </c>
      <c r="K3827">
        <f>_xlfn.XLOOKUP($A3827,Load!$B:$B,Load!L:L,0,)</f>
        <v>0</v>
      </c>
      <c r="L3827">
        <f>_xlfn.XLOOKUP($A3827,Load!$B:$B,Load!M:M,0,)</f>
        <v>0</v>
      </c>
    </row>
    <row r="3828" spans="1:12" x14ac:dyDescent="0.25">
      <c r="B3828">
        <f>_xlfn.XLOOKUP($A3828,Load!$B:$B,Load!C:C,0,)</f>
        <v>0</v>
      </c>
      <c r="C3828">
        <f>_xlfn.XLOOKUP($A3828,Load!$B:$B,Load!D:D,0,)</f>
        <v>0</v>
      </c>
      <c r="D3828">
        <f>_xlfn.XLOOKUP($A3828,Load!$B:$B,Load!E:E,0,)</f>
        <v>0</v>
      </c>
      <c r="E3828">
        <f>_xlfn.XLOOKUP($A3828,Load!$B:$B,Load!F:F,0,)</f>
        <v>0</v>
      </c>
      <c r="F3828">
        <f>_xlfn.XLOOKUP($A3828,Load!$B:$B,Load!G:G,0,)</f>
        <v>0</v>
      </c>
      <c r="G3828">
        <f>_xlfn.XLOOKUP($A3828,Load!$B:$B,Load!H:H,0,)</f>
        <v>0</v>
      </c>
      <c r="H3828">
        <f>_xlfn.XLOOKUP($A3828,Load!$B:$B,Load!I:I,0,)</f>
        <v>0</v>
      </c>
      <c r="I3828">
        <f>_xlfn.XLOOKUP($A3828,Load!$B:$B,Load!J:J,0,)</f>
        <v>0</v>
      </c>
      <c r="J3828">
        <f>_xlfn.XLOOKUP($A3828,Load!$B:$B,Load!K:K,0,)</f>
        <v>0</v>
      </c>
      <c r="K3828">
        <f>_xlfn.XLOOKUP($A3828,Load!$B:$B,Load!L:L,0,)</f>
        <v>0</v>
      </c>
      <c r="L3828">
        <f>_xlfn.XLOOKUP($A3828,Load!$B:$B,Load!M:M,0,)</f>
        <v>0</v>
      </c>
    </row>
    <row r="3829" spans="1:12" x14ac:dyDescent="0.25">
      <c r="B3829">
        <f>_xlfn.XLOOKUP($A3829,Load!$B:$B,Load!C:C,0,)</f>
        <v>0</v>
      </c>
      <c r="C3829">
        <f>_xlfn.XLOOKUP($A3829,Load!$B:$B,Load!D:D,0,)</f>
        <v>0</v>
      </c>
      <c r="D3829">
        <f>_xlfn.XLOOKUP($A3829,Load!$B:$B,Load!E:E,0,)</f>
        <v>0</v>
      </c>
      <c r="E3829">
        <f>_xlfn.XLOOKUP($A3829,Load!$B:$B,Load!F:F,0,)</f>
        <v>0</v>
      </c>
      <c r="F3829">
        <f>_xlfn.XLOOKUP($A3829,Load!$B:$B,Load!G:G,0,)</f>
        <v>0</v>
      </c>
      <c r="G3829">
        <f>_xlfn.XLOOKUP($A3829,Load!$B:$B,Load!H:H,0,)</f>
        <v>0</v>
      </c>
      <c r="H3829">
        <f>_xlfn.XLOOKUP($A3829,Load!$B:$B,Load!I:I,0,)</f>
        <v>0</v>
      </c>
      <c r="I3829">
        <f>_xlfn.XLOOKUP($A3829,Load!$B:$B,Load!J:J,0,)</f>
        <v>0</v>
      </c>
      <c r="J3829">
        <f>_xlfn.XLOOKUP($A3829,Load!$B:$B,Load!K:K,0,)</f>
        <v>0</v>
      </c>
      <c r="K3829">
        <f>_xlfn.XLOOKUP($A3829,Load!$B:$B,Load!L:L,0,)</f>
        <v>0</v>
      </c>
      <c r="L3829">
        <f>_xlfn.XLOOKUP($A3829,Load!$B:$B,Load!M:M,0,)</f>
        <v>0</v>
      </c>
    </row>
    <row r="3830" spans="1:12" x14ac:dyDescent="0.25">
      <c r="B3830">
        <f>_xlfn.XLOOKUP($A3830,Load!$B:$B,Load!C:C,0,)</f>
        <v>0</v>
      </c>
      <c r="C3830">
        <f>_xlfn.XLOOKUP($A3830,Load!$B:$B,Load!D:D,0,)</f>
        <v>0</v>
      </c>
      <c r="D3830">
        <f>_xlfn.XLOOKUP($A3830,Load!$B:$B,Load!E:E,0,)</f>
        <v>0</v>
      </c>
      <c r="E3830">
        <f>_xlfn.XLOOKUP($A3830,Load!$B:$B,Load!F:F,0,)</f>
        <v>0</v>
      </c>
      <c r="F3830">
        <f>_xlfn.XLOOKUP($A3830,Load!$B:$B,Load!G:G,0,)</f>
        <v>0</v>
      </c>
      <c r="G3830">
        <f>_xlfn.XLOOKUP($A3830,Load!$B:$B,Load!H:H,0,)</f>
        <v>0</v>
      </c>
      <c r="H3830">
        <f>_xlfn.XLOOKUP($A3830,Load!$B:$B,Load!I:I,0,)</f>
        <v>0</v>
      </c>
      <c r="I3830">
        <f>_xlfn.XLOOKUP($A3830,Load!$B:$B,Load!J:J,0,)</f>
        <v>0</v>
      </c>
      <c r="J3830">
        <f>_xlfn.XLOOKUP($A3830,Load!$B:$B,Load!K:K,0,)</f>
        <v>0</v>
      </c>
      <c r="K3830">
        <f>_xlfn.XLOOKUP($A3830,Load!$B:$B,Load!L:L,0,)</f>
        <v>0</v>
      </c>
      <c r="L3830">
        <f>_xlfn.XLOOKUP($A3830,Load!$B:$B,Load!M:M,0,)</f>
        <v>0</v>
      </c>
    </row>
    <row r="3831" spans="1:12" x14ac:dyDescent="0.25">
      <c r="B3831">
        <f>_xlfn.XLOOKUP($A3831,Load!$B:$B,Load!C:C,0,)</f>
        <v>0</v>
      </c>
      <c r="C3831">
        <f>_xlfn.XLOOKUP($A3831,Load!$B:$B,Load!D:D,0,)</f>
        <v>0</v>
      </c>
      <c r="D3831">
        <f>_xlfn.XLOOKUP($A3831,Load!$B:$B,Load!E:E,0,)</f>
        <v>0</v>
      </c>
      <c r="E3831">
        <f>_xlfn.XLOOKUP($A3831,Load!$B:$B,Load!F:F,0,)</f>
        <v>0</v>
      </c>
      <c r="F3831">
        <f>_xlfn.XLOOKUP($A3831,Load!$B:$B,Load!G:G,0,)</f>
        <v>0</v>
      </c>
      <c r="G3831">
        <f>_xlfn.XLOOKUP($A3831,Load!$B:$B,Load!H:H,0,)</f>
        <v>0</v>
      </c>
      <c r="H3831">
        <f>_xlfn.XLOOKUP($A3831,Load!$B:$B,Load!I:I,0,)</f>
        <v>0</v>
      </c>
      <c r="I3831">
        <f>_xlfn.XLOOKUP($A3831,Load!$B:$B,Load!J:J,0,)</f>
        <v>0</v>
      </c>
      <c r="J3831">
        <f>_xlfn.XLOOKUP($A3831,Load!$B:$B,Load!K:K,0,)</f>
        <v>0</v>
      </c>
      <c r="K3831">
        <f>_xlfn.XLOOKUP($A3831,Load!$B:$B,Load!L:L,0,)</f>
        <v>0</v>
      </c>
      <c r="L3831">
        <f>_xlfn.XLOOKUP($A3831,Load!$B:$B,Load!M:M,0,)</f>
        <v>0</v>
      </c>
    </row>
    <row r="3832" spans="1:12" x14ac:dyDescent="0.25">
      <c r="A3832" t="s">
        <v>88</v>
      </c>
      <c r="B3832" t="str">
        <f>_xlfn.XLOOKUP($A3832,Load!$B:$B,Load!C:C,0,)</f>
        <v>Ferrara Variety Pack</v>
      </c>
      <c r="C3832" t="str">
        <f>_xlfn.XLOOKUP($A3832,Load!$B:$B,Load!D:D,0,)</f>
        <v>Non-Chocolate Candy Only</v>
      </c>
      <c r="D3832" t="str">
        <f>_xlfn.XLOOKUP($A3832,Load!$B:$B,Load!E:E,0,)</f>
        <v>Variety / Mixed Flavors (Fruity, Sour, Seasonal Flavors)</v>
      </c>
      <c r="E3832" t="str">
        <f>_xlfn.XLOOKUP($A3832,Load!$B:$B,Load!F:F,0,)</f>
        <v>Mixed / Combo Packs (Gummy, Chewy, Taffy, etc.)</v>
      </c>
      <c r="F3832" t="str">
        <f>_xlfn.XLOOKUP($A3832,Load!$B:$B,Load!G:G,0,)</f>
        <v>Small Multipack (Less than 40 ct)</v>
      </c>
      <c r="G3832" t="str">
        <f>_xlfn.XLOOKUP($A3832,Load!$B:$B,Load!H:H,0,)</f>
        <v>Laydown Bag</v>
      </c>
      <c r="H3832" t="str">
        <f>_xlfn.XLOOKUP($A3832,Load!$B:$B,Load!I:I,0,)</f>
        <v>Seasonal Shapes (like pumpkins, candy corn, ghost, bats, etc.)</v>
      </c>
      <c r="I3832" t="str">
        <f>_xlfn.XLOOKUP($A3832,Load!$B:$B,Load!J:J,0,)</f>
        <v>Seasonal Graphics (Like Bat, Ghost, Pumpkin, Fall Leaves, Eyeballs, etc.)</v>
      </c>
      <c r="J3832" t="str">
        <f>_xlfn.XLOOKUP($A3832,Load!$B:$B,Load!K:K,0,)</f>
        <v>Fun Size / Treat Size</v>
      </c>
      <c r="K3832" t="str">
        <f>_xlfn.XLOOKUP($A3832,Load!$B:$B,Load!L:L,0,)</f>
        <v>Regular/Original Wrapping</v>
      </c>
      <c r="L3832" t="str">
        <f>_xlfn.XLOOKUP($A3832,Load!$B:$B,Load!M:M,0,)</f>
        <v>Multiple Brands / Variety Flavors or Form</v>
      </c>
    </row>
    <row r="3833" spans="1:12" x14ac:dyDescent="0.25">
      <c r="B3833">
        <f>_xlfn.XLOOKUP($A3833,Load!$B:$B,Load!C:C,0,)</f>
        <v>0</v>
      </c>
      <c r="C3833">
        <f>_xlfn.XLOOKUP($A3833,Load!$B:$B,Load!D:D,0,)</f>
        <v>0</v>
      </c>
      <c r="D3833">
        <f>_xlfn.XLOOKUP($A3833,Load!$B:$B,Load!E:E,0,)</f>
        <v>0</v>
      </c>
      <c r="E3833">
        <f>_xlfn.XLOOKUP($A3833,Load!$B:$B,Load!F:F,0,)</f>
        <v>0</v>
      </c>
      <c r="F3833">
        <f>_xlfn.XLOOKUP($A3833,Load!$B:$B,Load!G:G,0,)</f>
        <v>0</v>
      </c>
      <c r="G3833">
        <f>_xlfn.XLOOKUP($A3833,Load!$B:$B,Load!H:H,0,)</f>
        <v>0</v>
      </c>
      <c r="H3833">
        <f>_xlfn.XLOOKUP($A3833,Load!$B:$B,Load!I:I,0,)</f>
        <v>0</v>
      </c>
      <c r="I3833">
        <f>_xlfn.XLOOKUP($A3833,Load!$B:$B,Load!J:J,0,)</f>
        <v>0</v>
      </c>
      <c r="J3833">
        <f>_xlfn.XLOOKUP($A3833,Load!$B:$B,Load!K:K,0,)</f>
        <v>0</v>
      </c>
      <c r="K3833">
        <f>_xlfn.XLOOKUP($A3833,Load!$B:$B,Load!L:L,0,)</f>
        <v>0</v>
      </c>
      <c r="L3833">
        <f>_xlfn.XLOOKUP($A3833,Load!$B:$B,Load!M:M,0,)</f>
        <v>0</v>
      </c>
    </row>
    <row r="3834" spans="1:12" x14ac:dyDescent="0.25">
      <c r="A3834" t="s">
        <v>178</v>
      </c>
      <c r="B3834" t="str">
        <f>_xlfn.XLOOKUP($A3834,Load!$B:$B,Load!C:C,0,)</f>
        <v>Mars Variety Pack</v>
      </c>
      <c r="C3834" t="str">
        <f>_xlfn.XLOOKUP($A3834,Load!$B:$B,Load!D:D,0,)</f>
        <v>Mix of Chocolate and Non-Chocolate Candy</v>
      </c>
      <c r="D3834" t="str">
        <f>_xlfn.XLOOKUP($A3834,Load!$B:$B,Load!E:E,0,)</f>
        <v>Variety / Mixed Flavors (Fruity, Sour, Seasonal Flavors)</v>
      </c>
      <c r="E3834" t="str">
        <f>_xlfn.XLOOKUP($A3834,Load!$B:$B,Load!F:F,0,)</f>
        <v>Mixed / Combo Packs (Gummy, Chewy, Taffy, etc.)</v>
      </c>
      <c r="F3834" t="str">
        <f>_xlfn.XLOOKUP($A3834,Load!$B:$B,Load!G:G,0,)</f>
        <v>Small Multipack (Less than 40 ct)</v>
      </c>
      <c r="G3834" t="str">
        <f>_xlfn.XLOOKUP($A3834,Load!$B:$B,Load!H:H,0,)</f>
        <v>Laydown Bag</v>
      </c>
      <c r="H3834" t="str">
        <f>_xlfn.XLOOKUP($A3834,Load!$B:$B,Load!I:I,0,)</f>
        <v>Everyday Candy Shapes (like Original, Gummy bear, Fruit, Jewels, etc.)</v>
      </c>
      <c r="I3834" t="str">
        <f>_xlfn.XLOOKUP($A3834,Load!$B:$B,Load!J:J,0,)</f>
        <v>Seasonal Graphics (Like Bat, Ghost, Pumpkin, Fall Leaves, Eyeballs, etc.)</v>
      </c>
      <c r="J3834" t="str">
        <f>_xlfn.XLOOKUP($A3834,Load!$B:$B,Load!K:K,0,)</f>
        <v xml:space="preserve">Variety Candy Sizes </v>
      </c>
      <c r="K3834" t="str">
        <f>_xlfn.XLOOKUP($A3834,Load!$B:$B,Load!L:L,0,)</f>
        <v>Regular/Original Wrapping</v>
      </c>
      <c r="L3834" t="str">
        <f>_xlfn.XLOOKUP($A3834,Load!$B:$B,Load!M:M,0,)</f>
        <v>Multiple Brands / Variety Flavors or Form</v>
      </c>
    </row>
    <row r="3835" spans="1:12" x14ac:dyDescent="0.25">
      <c r="B3835">
        <f>_xlfn.XLOOKUP($A3835,Load!$B:$B,Load!C:C,0,)</f>
        <v>0</v>
      </c>
      <c r="C3835">
        <f>_xlfn.XLOOKUP($A3835,Load!$B:$B,Load!D:D,0,)</f>
        <v>0</v>
      </c>
      <c r="D3835">
        <f>_xlfn.XLOOKUP($A3835,Load!$B:$B,Load!E:E,0,)</f>
        <v>0</v>
      </c>
      <c r="E3835">
        <f>_xlfn.XLOOKUP($A3835,Load!$B:$B,Load!F:F,0,)</f>
        <v>0</v>
      </c>
      <c r="F3835">
        <f>_xlfn.XLOOKUP($A3835,Load!$B:$B,Load!G:G,0,)</f>
        <v>0</v>
      </c>
      <c r="G3835">
        <f>_xlfn.XLOOKUP($A3835,Load!$B:$B,Load!H:H,0,)</f>
        <v>0</v>
      </c>
      <c r="H3835">
        <f>_xlfn.XLOOKUP($A3835,Load!$B:$B,Load!I:I,0,)</f>
        <v>0</v>
      </c>
      <c r="I3835">
        <f>_xlfn.XLOOKUP($A3835,Load!$B:$B,Load!J:J,0,)</f>
        <v>0</v>
      </c>
      <c r="J3835">
        <f>_xlfn.XLOOKUP($A3835,Load!$B:$B,Load!K:K,0,)</f>
        <v>0</v>
      </c>
      <c r="K3835">
        <f>_xlfn.XLOOKUP($A3835,Load!$B:$B,Load!L:L,0,)</f>
        <v>0</v>
      </c>
      <c r="L3835">
        <f>_xlfn.XLOOKUP($A3835,Load!$B:$B,Load!M:M,0,)</f>
        <v>0</v>
      </c>
    </row>
    <row r="3836" spans="1:12" x14ac:dyDescent="0.25">
      <c r="B3836">
        <f>_xlfn.XLOOKUP($A3836,Load!$B:$B,Load!C:C,0,)</f>
        <v>0</v>
      </c>
      <c r="C3836">
        <f>_xlfn.XLOOKUP($A3836,Load!$B:$B,Load!D:D,0,)</f>
        <v>0</v>
      </c>
      <c r="D3836">
        <f>_xlfn.XLOOKUP($A3836,Load!$B:$B,Load!E:E,0,)</f>
        <v>0</v>
      </c>
      <c r="E3836">
        <f>_xlfn.XLOOKUP($A3836,Load!$B:$B,Load!F:F,0,)</f>
        <v>0</v>
      </c>
      <c r="F3836">
        <f>_xlfn.XLOOKUP($A3836,Load!$B:$B,Load!G:G,0,)</f>
        <v>0</v>
      </c>
      <c r="G3836">
        <f>_xlfn.XLOOKUP($A3836,Load!$B:$B,Load!H:H,0,)</f>
        <v>0</v>
      </c>
      <c r="H3836">
        <f>_xlfn.XLOOKUP($A3836,Load!$B:$B,Load!I:I,0,)</f>
        <v>0</v>
      </c>
      <c r="I3836">
        <f>_xlfn.XLOOKUP($A3836,Load!$B:$B,Load!J:J,0,)</f>
        <v>0</v>
      </c>
      <c r="J3836">
        <f>_xlfn.XLOOKUP($A3836,Load!$B:$B,Load!K:K,0,)</f>
        <v>0</v>
      </c>
      <c r="K3836">
        <f>_xlfn.XLOOKUP($A3836,Load!$B:$B,Load!L:L,0,)</f>
        <v>0</v>
      </c>
      <c r="L3836">
        <f>_xlfn.XLOOKUP($A3836,Load!$B:$B,Load!M:M,0,)</f>
        <v>0</v>
      </c>
    </row>
    <row r="3837" spans="1:12" x14ac:dyDescent="0.25">
      <c r="B3837">
        <f>_xlfn.XLOOKUP($A3837,Load!$B:$B,Load!C:C,0,)</f>
        <v>0</v>
      </c>
      <c r="C3837">
        <f>_xlfn.XLOOKUP($A3837,Load!$B:$B,Load!D:D,0,)</f>
        <v>0</v>
      </c>
      <c r="D3837">
        <f>_xlfn.XLOOKUP($A3837,Load!$B:$B,Load!E:E,0,)</f>
        <v>0</v>
      </c>
      <c r="E3837">
        <f>_xlfn.XLOOKUP($A3837,Load!$B:$B,Load!F:F,0,)</f>
        <v>0</v>
      </c>
      <c r="F3837">
        <f>_xlfn.XLOOKUP($A3837,Load!$B:$B,Load!G:G,0,)</f>
        <v>0</v>
      </c>
      <c r="G3837">
        <f>_xlfn.XLOOKUP($A3837,Load!$B:$B,Load!H:H,0,)</f>
        <v>0</v>
      </c>
      <c r="H3837">
        <f>_xlfn.XLOOKUP($A3837,Load!$B:$B,Load!I:I,0,)</f>
        <v>0</v>
      </c>
      <c r="I3837">
        <f>_xlfn.XLOOKUP($A3837,Load!$B:$B,Load!J:J,0,)</f>
        <v>0</v>
      </c>
      <c r="J3837">
        <f>_xlfn.XLOOKUP($A3837,Load!$B:$B,Load!K:K,0,)</f>
        <v>0</v>
      </c>
      <c r="K3837">
        <f>_xlfn.XLOOKUP($A3837,Load!$B:$B,Load!L:L,0,)</f>
        <v>0</v>
      </c>
      <c r="L3837">
        <f>_xlfn.XLOOKUP($A3837,Load!$B:$B,Load!M:M,0,)</f>
        <v>0</v>
      </c>
    </row>
    <row r="3838" spans="1:12" x14ac:dyDescent="0.25">
      <c r="A3838" t="s">
        <v>139</v>
      </c>
      <c r="B3838" t="str">
        <f>_xlfn.XLOOKUP($A3838,Load!$B:$B,Load!C:C,0,)</f>
        <v>Hershey's Variety Pack + Haribo</v>
      </c>
      <c r="C3838" t="str">
        <f>_xlfn.XLOOKUP($A3838,Load!$B:$B,Load!D:D,0,)</f>
        <v>Mix of Chocolate and Non-Chocolate Candy</v>
      </c>
      <c r="D3838" t="str">
        <f>_xlfn.XLOOKUP($A3838,Load!$B:$B,Load!E:E,0,)</f>
        <v>Variety / Mixed Flavors (Fruity, Sour, Seasonal Flavors)</v>
      </c>
      <c r="E3838" t="str">
        <f>_xlfn.XLOOKUP($A3838,Load!$B:$B,Load!F:F,0,)</f>
        <v>Mixed / Combo Packs (Gummy, Chewy, Taffy, etc.)</v>
      </c>
      <c r="F3838" t="str">
        <f>_xlfn.XLOOKUP($A3838,Load!$B:$B,Load!G:G,0,)</f>
        <v>Large Multipack (More than 80 ct)</v>
      </c>
      <c r="G3838" t="str">
        <f>_xlfn.XLOOKUP($A3838,Load!$B:$B,Load!H:H,0,)</f>
        <v>Stand-Up Bag</v>
      </c>
      <c r="H3838" t="str">
        <f>_xlfn.XLOOKUP($A3838,Load!$B:$B,Load!I:I,0,)</f>
        <v>Everyday Candy Shapes (like Original, Gummy bear, Fruit, Jewels, etc.)</v>
      </c>
      <c r="I3838" t="str">
        <f>_xlfn.XLOOKUP($A3838,Load!$B:$B,Load!J:J,0,)</f>
        <v>Seasonal Graphics (Like Bat, Ghost, Pumpkin, Fall Leaves, Eyeballs, etc.)</v>
      </c>
      <c r="J3838" t="str">
        <f>_xlfn.XLOOKUP($A3838,Load!$B:$B,Load!K:K,0,)</f>
        <v>Fun Size / Treat Size</v>
      </c>
      <c r="K3838" t="str">
        <f>_xlfn.XLOOKUP($A3838,Load!$B:$B,Load!L:L,0,)</f>
        <v>Regular/Original Wrapping</v>
      </c>
      <c r="L3838" t="str">
        <f>_xlfn.XLOOKUP($A3838,Load!$B:$B,Load!M:M,0,)</f>
        <v>Multiple Brands / Variety Flavors or Form</v>
      </c>
    </row>
    <row r="3839" spans="1:12" x14ac:dyDescent="0.25">
      <c r="B3839">
        <f>_xlfn.XLOOKUP($A3839,Load!$B:$B,Load!C:C,0,)</f>
        <v>0</v>
      </c>
      <c r="C3839">
        <f>_xlfn.XLOOKUP($A3839,Load!$B:$B,Load!D:D,0,)</f>
        <v>0</v>
      </c>
      <c r="D3839">
        <f>_xlfn.XLOOKUP($A3839,Load!$B:$B,Load!E:E,0,)</f>
        <v>0</v>
      </c>
      <c r="E3839">
        <f>_xlfn.XLOOKUP($A3839,Load!$B:$B,Load!F:F,0,)</f>
        <v>0</v>
      </c>
      <c r="F3839">
        <f>_xlfn.XLOOKUP($A3839,Load!$B:$B,Load!G:G,0,)</f>
        <v>0</v>
      </c>
      <c r="G3839">
        <f>_xlfn.XLOOKUP($A3839,Load!$B:$B,Load!H:H,0,)</f>
        <v>0</v>
      </c>
      <c r="H3839">
        <f>_xlfn.XLOOKUP($A3839,Load!$B:$B,Load!I:I,0,)</f>
        <v>0</v>
      </c>
      <c r="I3839">
        <f>_xlfn.XLOOKUP($A3839,Load!$B:$B,Load!J:J,0,)</f>
        <v>0</v>
      </c>
      <c r="J3839">
        <f>_xlfn.XLOOKUP($A3839,Load!$B:$B,Load!K:K,0,)</f>
        <v>0</v>
      </c>
      <c r="K3839">
        <f>_xlfn.XLOOKUP($A3839,Load!$B:$B,Load!L:L,0,)</f>
        <v>0</v>
      </c>
      <c r="L3839">
        <f>_xlfn.XLOOKUP($A3839,Load!$B:$B,Load!M:M,0,)</f>
        <v>0</v>
      </c>
    </row>
    <row r="3840" spans="1:12" x14ac:dyDescent="0.25">
      <c r="B3840">
        <f>_xlfn.XLOOKUP($A3840,Load!$B:$B,Load!C:C,0,)</f>
        <v>0</v>
      </c>
      <c r="C3840">
        <f>_xlfn.XLOOKUP($A3840,Load!$B:$B,Load!D:D,0,)</f>
        <v>0</v>
      </c>
      <c r="D3840">
        <f>_xlfn.XLOOKUP($A3840,Load!$B:$B,Load!E:E,0,)</f>
        <v>0</v>
      </c>
      <c r="E3840">
        <f>_xlfn.XLOOKUP($A3840,Load!$B:$B,Load!F:F,0,)</f>
        <v>0</v>
      </c>
      <c r="F3840">
        <f>_xlfn.XLOOKUP($A3840,Load!$B:$B,Load!G:G,0,)</f>
        <v>0</v>
      </c>
      <c r="G3840">
        <f>_xlfn.XLOOKUP($A3840,Load!$B:$B,Load!H:H,0,)</f>
        <v>0</v>
      </c>
      <c r="H3840">
        <f>_xlfn.XLOOKUP($A3840,Load!$B:$B,Load!I:I,0,)</f>
        <v>0</v>
      </c>
      <c r="I3840">
        <f>_xlfn.XLOOKUP($A3840,Load!$B:$B,Load!J:J,0,)</f>
        <v>0</v>
      </c>
      <c r="J3840">
        <f>_xlfn.XLOOKUP($A3840,Load!$B:$B,Load!K:K,0,)</f>
        <v>0</v>
      </c>
      <c r="K3840">
        <f>_xlfn.XLOOKUP($A3840,Load!$B:$B,Load!L:L,0,)</f>
        <v>0</v>
      </c>
      <c r="L3840">
        <f>_xlfn.XLOOKUP($A3840,Load!$B:$B,Load!M:M,0,)</f>
        <v>0</v>
      </c>
    </row>
    <row r="3841" spans="1:12" x14ac:dyDescent="0.25">
      <c r="B3841">
        <f>_xlfn.XLOOKUP($A3841,Load!$B:$B,Load!C:C,0,)</f>
        <v>0</v>
      </c>
      <c r="C3841">
        <f>_xlfn.XLOOKUP($A3841,Load!$B:$B,Load!D:D,0,)</f>
        <v>0</v>
      </c>
      <c r="D3841">
        <f>_xlfn.XLOOKUP($A3841,Load!$B:$B,Load!E:E,0,)</f>
        <v>0</v>
      </c>
      <c r="E3841">
        <f>_xlfn.XLOOKUP($A3841,Load!$B:$B,Load!F:F,0,)</f>
        <v>0</v>
      </c>
      <c r="F3841">
        <f>_xlfn.XLOOKUP($A3841,Load!$B:$B,Load!G:G,0,)</f>
        <v>0</v>
      </c>
      <c r="G3841">
        <f>_xlfn.XLOOKUP($A3841,Load!$B:$B,Load!H:H,0,)</f>
        <v>0</v>
      </c>
      <c r="H3841">
        <f>_xlfn.XLOOKUP($A3841,Load!$B:$B,Load!I:I,0,)</f>
        <v>0</v>
      </c>
      <c r="I3841">
        <f>_xlfn.XLOOKUP($A3841,Load!$B:$B,Load!J:J,0,)</f>
        <v>0</v>
      </c>
      <c r="J3841">
        <f>_xlfn.XLOOKUP($A3841,Load!$B:$B,Load!K:K,0,)</f>
        <v>0</v>
      </c>
      <c r="K3841">
        <f>_xlfn.XLOOKUP($A3841,Load!$B:$B,Load!L:L,0,)</f>
        <v>0</v>
      </c>
      <c r="L3841">
        <f>_xlfn.XLOOKUP($A3841,Load!$B:$B,Load!M:M,0,)</f>
        <v>0</v>
      </c>
    </row>
    <row r="3842" spans="1:12" x14ac:dyDescent="0.25">
      <c r="A3842" t="s">
        <v>112</v>
      </c>
      <c r="B3842" t="str">
        <f>_xlfn.XLOOKUP($A3842,Load!$B:$B,Load!C:C,0,)</f>
        <v>Frankford</v>
      </c>
      <c r="C3842" t="str">
        <f>_xlfn.XLOOKUP($A3842,Load!$B:$B,Load!D:D,0,)</f>
        <v>Non-Chocolate Candy Only</v>
      </c>
      <c r="D3842" t="str">
        <f>_xlfn.XLOOKUP($A3842,Load!$B:$B,Load!E:E,0,)</f>
        <v>Sour</v>
      </c>
      <c r="E3842" t="str">
        <f>_xlfn.XLOOKUP($A3842,Load!$B:$B,Load!F:F,0,)</f>
        <v>Mixed / Combo Packs (Gummy, Chewy, Taffy, etc.)</v>
      </c>
      <c r="F3842" t="str">
        <f>_xlfn.XLOOKUP($A3842,Load!$B:$B,Load!G:G,0,)</f>
        <v>Large Multipack (More than 80 ct)</v>
      </c>
      <c r="G3842" t="str">
        <f>_xlfn.XLOOKUP($A3842,Load!$B:$B,Load!H:H,0,)</f>
        <v>Laydown Bag</v>
      </c>
      <c r="H3842" t="str">
        <f>_xlfn.XLOOKUP($A3842,Load!$B:$B,Load!I:I,0,)</f>
        <v>Everyday Candy Shapes (like Original, Gummy bear, Fruit, Jewels, etc.)</v>
      </c>
      <c r="I3842" t="str">
        <f>_xlfn.XLOOKUP($A3842,Load!$B:$B,Load!J:J,0,)</f>
        <v>Seasonal Graphics (Like Bat, Ghost, Pumpkin, Fall Leaves, Eyeballs, etc.)</v>
      </c>
      <c r="J3842" t="str">
        <f>_xlfn.XLOOKUP($A3842,Load!$B:$B,Load!K:K,0,)</f>
        <v>Small Pieces (Tiny bite size candies)</v>
      </c>
      <c r="K3842" t="str">
        <f>_xlfn.XLOOKUP($A3842,Load!$B:$B,Load!L:L,0,)</f>
        <v>Regular/Original Wrapping</v>
      </c>
      <c r="L3842" t="str">
        <f>_xlfn.XLOOKUP($A3842,Load!$B:$B,Load!M:M,0,)</f>
        <v>Multiple Brands / Variety Flavors or Form</v>
      </c>
    </row>
    <row r="3843" spans="1:12" x14ac:dyDescent="0.25">
      <c r="B3843">
        <f>_xlfn.XLOOKUP($A3843,Load!$B:$B,Load!C:C,0,)</f>
        <v>0</v>
      </c>
      <c r="C3843">
        <f>_xlfn.XLOOKUP($A3843,Load!$B:$B,Load!D:D,0,)</f>
        <v>0</v>
      </c>
      <c r="D3843">
        <f>_xlfn.XLOOKUP($A3843,Load!$B:$B,Load!E:E,0,)</f>
        <v>0</v>
      </c>
      <c r="E3843">
        <f>_xlfn.XLOOKUP($A3843,Load!$B:$B,Load!F:F,0,)</f>
        <v>0</v>
      </c>
      <c r="F3843">
        <f>_xlfn.XLOOKUP($A3843,Load!$B:$B,Load!G:G,0,)</f>
        <v>0</v>
      </c>
      <c r="G3843">
        <f>_xlfn.XLOOKUP($A3843,Load!$B:$B,Load!H:H,0,)</f>
        <v>0</v>
      </c>
      <c r="H3843">
        <f>_xlfn.XLOOKUP($A3843,Load!$B:$B,Load!I:I,0,)</f>
        <v>0</v>
      </c>
      <c r="I3843">
        <f>_xlfn.XLOOKUP($A3843,Load!$B:$B,Load!J:J,0,)</f>
        <v>0</v>
      </c>
      <c r="J3843">
        <f>_xlfn.XLOOKUP($A3843,Load!$B:$B,Load!K:K,0,)</f>
        <v>0</v>
      </c>
      <c r="K3843">
        <f>_xlfn.XLOOKUP($A3843,Load!$B:$B,Load!L:L,0,)</f>
        <v>0</v>
      </c>
      <c r="L3843">
        <f>_xlfn.XLOOKUP($A3843,Load!$B:$B,Load!M:M,0,)</f>
        <v>0</v>
      </c>
    </row>
    <row r="3844" spans="1:12" x14ac:dyDescent="0.25">
      <c r="A3844" t="s">
        <v>316</v>
      </c>
      <c r="B3844" t="str">
        <f>_xlfn.XLOOKUP($A3844,Load!$B:$B,Load!C:C,0,)</f>
        <v>YumEarth</v>
      </c>
      <c r="C3844" t="str">
        <f>_xlfn.XLOOKUP($A3844,Load!$B:$B,Load!D:D,0,)</f>
        <v>Non-Chocolate Candy Only</v>
      </c>
      <c r="D3844" t="str">
        <f>_xlfn.XLOOKUP($A3844,Load!$B:$B,Load!E:E,0,)</f>
        <v>Variety / Mixed Flavors (Fruity, Sour, Seasonal Flavors)</v>
      </c>
      <c r="E3844" t="str">
        <f>_xlfn.XLOOKUP($A3844,Load!$B:$B,Load!F:F,0,)</f>
        <v>Lollipop (regular or lollipop rings)</v>
      </c>
      <c r="F3844" t="str">
        <f>_xlfn.XLOOKUP($A3844,Load!$B:$B,Load!G:G,0,)</f>
        <v>Medium Multipack (40–80 ct)</v>
      </c>
      <c r="G3844" t="str">
        <f>_xlfn.XLOOKUP($A3844,Load!$B:$B,Load!H:H,0,)</f>
        <v>Box (theatre box, gift box, carton)</v>
      </c>
      <c r="H3844" t="str">
        <f>_xlfn.XLOOKUP($A3844,Load!$B:$B,Load!I:I,0,)</f>
        <v>Everyday Candy Shapes (like Original, Gummy bear, Fruit, Jewels, etc.)</v>
      </c>
      <c r="I3844" t="str">
        <f>_xlfn.XLOOKUP($A3844,Load!$B:$B,Load!J:J,0,)</f>
        <v>Seasonal Graphics (Like Bat, Ghost, Pumpkin, Fall Leaves, Eyeballs, etc.)</v>
      </c>
      <c r="J3844" t="str">
        <f>_xlfn.XLOOKUP($A3844,Load!$B:$B,Load!K:K,0,)</f>
        <v>Regular Lollipop size (on sticks or rings)</v>
      </c>
      <c r="K3844" t="str">
        <f>_xlfn.XLOOKUP($A3844,Load!$B:$B,Load!L:L,0,)</f>
        <v>Regular/Original Wrapping</v>
      </c>
      <c r="L3844" t="str">
        <f>_xlfn.XLOOKUP($A3844,Load!$B:$B,Load!M:M,0,)</f>
        <v>Single Brand / Variety Flavors or Form</v>
      </c>
    </row>
    <row r="3845" spans="1:12" x14ac:dyDescent="0.25">
      <c r="B3845">
        <f>_xlfn.XLOOKUP($A3845,Load!$B:$B,Load!C:C,0,)</f>
        <v>0</v>
      </c>
      <c r="C3845">
        <f>_xlfn.XLOOKUP($A3845,Load!$B:$B,Load!D:D,0,)</f>
        <v>0</v>
      </c>
      <c r="D3845">
        <f>_xlfn.XLOOKUP($A3845,Load!$B:$B,Load!E:E,0,)</f>
        <v>0</v>
      </c>
      <c r="E3845">
        <f>_xlfn.XLOOKUP($A3845,Load!$B:$B,Load!F:F,0,)</f>
        <v>0</v>
      </c>
      <c r="F3845">
        <f>_xlfn.XLOOKUP($A3845,Load!$B:$B,Load!G:G,0,)</f>
        <v>0</v>
      </c>
      <c r="G3845">
        <f>_xlfn.XLOOKUP($A3845,Load!$B:$B,Load!H:H,0,)</f>
        <v>0</v>
      </c>
      <c r="H3845">
        <f>_xlfn.XLOOKUP($A3845,Load!$B:$B,Load!I:I,0,)</f>
        <v>0</v>
      </c>
      <c r="I3845">
        <f>_xlfn.XLOOKUP($A3845,Load!$B:$B,Load!J:J,0,)</f>
        <v>0</v>
      </c>
      <c r="J3845">
        <f>_xlfn.XLOOKUP($A3845,Load!$B:$B,Load!K:K,0,)</f>
        <v>0</v>
      </c>
      <c r="K3845">
        <f>_xlfn.XLOOKUP($A3845,Load!$B:$B,Load!L:L,0,)</f>
        <v>0</v>
      </c>
      <c r="L3845">
        <f>_xlfn.XLOOKUP($A3845,Load!$B:$B,Load!M:M,0,)</f>
        <v>0</v>
      </c>
    </row>
    <row r="3846" spans="1:12" x14ac:dyDescent="0.25">
      <c r="B3846">
        <f>_xlfn.XLOOKUP($A3846,Load!$B:$B,Load!C:C,0,)</f>
        <v>0</v>
      </c>
      <c r="C3846">
        <f>_xlfn.XLOOKUP($A3846,Load!$B:$B,Load!D:D,0,)</f>
        <v>0</v>
      </c>
      <c r="D3846">
        <f>_xlfn.XLOOKUP($A3846,Load!$B:$B,Load!E:E,0,)</f>
        <v>0</v>
      </c>
      <c r="E3846">
        <f>_xlfn.XLOOKUP($A3846,Load!$B:$B,Load!F:F,0,)</f>
        <v>0</v>
      </c>
      <c r="F3846">
        <f>_xlfn.XLOOKUP($A3846,Load!$B:$B,Load!G:G,0,)</f>
        <v>0</v>
      </c>
      <c r="G3846">
        <f>_xlfn.XLOOKUP($A3846,Load!$B:$B,Load!H:H,0,)</f>
        <v>0</v>
      </c>
      <c r="H3846">
        <f>_xlfn.XLOOKUP($A3846,Load!$B:$B,Load!I:I,0,)</f>
        <v>0</v>
      </c>
      <c r="I3846">
        <f>_xlfn.XLOOKUP($A3846,Load!$B:$B,Load!J:J,0,)</f>
        <v>0</v>
      </c>
      <c r="J3846">
        <f>_xlfn.XLOOKUP($A3846,Load!$B:$B,Load!K:K,0,)</f>
        <v>0</v>
      </c>
      <c r="K3846">
        <f>_xlfn.XLOOKUP($A3846,Load!$B:$B,Load!L:L,0,)</f>
        <v>0</v>
      </c>
      <c r="L3846">
        <f>_xlfn.XLOOKUP($A3846,Load!$B:$B,Load!M:M,0,)</f>
        <v>0</v>
      </c>
    </row>
    <row r="3847" spans="1:12" x14ac:dyDescent="0.25">
      <c r="B3847">
        <f>_xlfn.XLOOKUP($A3847,Load!$B:$B,Load!C:C,0,)</f>
        <v>0</v>
      </c>
      <c r="C3847">
        <f>_xlfn.XLOOKUP($A3847,Load!$B:$B,Load!D:D,0,)</f>
        <v>0</v>
      </c>
      <c r="D3847">
        <f>_xlfn.XLOOKUP($A3847,Load!$B:$B,Load!E:E,0,)</f>
        <v>0</v>
      </c>
      <c r="E3847">
        <f>_xlfn.XLOOKUP($A3847,Load!$B:$B,Load!F:F,0,)</f>
        <v>0</v>
      </c>
      <c r="F3847">
        <f>_xlfn.XLOOKUP($A3847,Load!$B:$B,Load!G:G,0,)</f>
        <v>0</v>
      </c>
      <c r="G3847">
        <f>_xlfn.XLOOKUP($A3847,Load!$B:$B,Load!H:H,0,)</f>
        <v>0</v>
      </c>
      <c r="H3847">
        <f>_xlfn.XLOOKUP($A3847,Load!$B:$B,Load!I:I,0,)</f>
        <v>0</v>
      </c>
      <c r="I3847">
        <f>_xlfn.XLOOKUP($A3847,Load!$B:$B,Load!J:J,0,)</f>
        <v>0</v>
      </c>
      <c r="J3847">
        <f>_xlfn.XLOOKUP($A3847,Load!$B:$B,Load!K:K,0,)</f>
        <v>0</v>
      </c>
      <c r="K3847">
        <f>_xlfn.XLOOKUP($A3847,Load!$B:$B,Load!L:L,0,)</f>
        <v>0</v>
      </c>
      <c r="L3847">
        <f>_xlfn.XLOOKUP($A3847,Load!$B:$B,Load!M:M,0,)</f>
        <v>0</v>
      </c>
    </row>
    <row r="3848" spans="1:12" x14ac:dyDescent="0.25">
      <c r="B3848">
        <f>_xlfn.XLOOKUP($A3848,Load!$B:$B,Load!C:C,0,)</f>
        <v>0</v>
      </c>
      <c r="C3848">
        <f>_xlfn.XLOOKUP($A3848,Load!$B:$B,Load!D:D,0,)</f>
        <v>0</v>
      </c>
      <c r="D3848">
        <f>_xlfn.XLOOKUP($A3848,Load!$B:$B,Load!E:E,0,)</f>
        <v>0</v>
      </c>
      <c r="E3848">
        <f>_xlfn.XLOOKUP($A3848,Load!$B:$B,Load!F:F,0,)</f>
        <v>0</v>
      </c>
      <c r="F3848">
        <f>_xlfn.XLOOKUP($A3848,Load!$B:$B,Load!G:G,0,)</f>
        <v>0</v>
      </c>
      <c r="G3848">
        <f>_xlfn.XLOOKUP($A3848,Load!$B:$B,Load!H:H,0,)</f>
        <v>0</v>
      </c>
      <c r="H3848">
        <f>_xlfn.XLOOKUP($A3848,Load!$B:$B,Load!I:I,0,)</f>
        <v>0</v>
      </c>
      <c r="I3848">
        <f>_xlfn.XLOOKUP($A3848,Load!$B:$B,Load!J:J,0,)</f>
        <v>0</v>
      </c>
      <c r="J3848">
        <f>_xlfn.XLOOKUP($A3848,Load!$B:$B,Load!K:K,0,)</f>
        <v>0</v>
      </c>
      <c r="K3848">
        <f>_xlfn.XLOOKUP($A3848,Load!$B:$B,Load!L:L,0,)</f>
        <v>0</v>
      </c>
      <c r="L3848">
        <f>_xlfn.XLOOKUP($A3848,Load!$B:$B,Load!M:M,0,)</f>
        <v>0</v>
      </c>
    </row>
    <row r="3849" spans="1:12" x14ac:dyDescent="0.25">
      <c r="B3849">
        <f>_xlfn.XLOOKUP($A3849,Load!$B:$B,Load!C:C,0,)</f>
        <v>0</v>
      </c>
      <c r="C3849">
        <f>_xlfn.XLOOKUP($A3849,Load!$B:$B,Load!D:D,0,)</f>
        <v>0</v>
      </c>
      <c r="D3849">
        <f>_xlfn.XLOOKUP($A3849,Load!$B:$B,Load!E:E,0,)</f>
        <v>0</v>
      </c>
      <c r="E3849">
        <f>_xlfn.XLOOKUP($A3849,Load!$B:$B,Load!F:F,0,)</f>
        <v>0</v>
      </c>
      <c r="F3849">
        <f>_xlfn.XLOOKUP($A3849,Load!$B:$B,Load!G:G,0,)</f>
        <v>0</v>
      </c>
      <c r="G3849">
        <f>_xlfn.XLOOKUP($A3849,Load!$B:$B,Load!H:H,0,)</f>
        <v>0</v>
      </c>
      <c r="H3849">
        <f>_xlfn.XLOOKUP($A3849,Load!$B:$B,Load!I:I,0,)</f>
        <v>0</v>
      </c>
      <c r="I3849">
        <f>_xlfn.XLOOKUP($A3849,Load!$B:$B,Load!J:J,0,)</f>
        <v>0</v>
      </c>
      <c r="J3849">
        <f>_xlfn.XLOOKUP($A3849,Load!$B:$B,Load!K:K,0,)</f>
        <v>0</v>
      </c>
      <c r="K3849">
        <f>_xlfn.XLOOKUP($A3849,Load!$B:$B,Load!L:L,0,)</f>
        <v>0</v>
      </c>
      <c r="L3849">
        <f>_xlfn.XLOOKUP($A3849,Load!$B:$B,Load!M:M,0,)</f>
        <v>0</v>
      </c>
    </row>
    <row r="3850" spans="1:12" x14ac:dyDescent="0.25">
      <c r="B3850">
        <f>_xlfn.XLOOKUP($A3850,Load!$B:$B,Load!C:C,0,)</f>
        <v>0</v>
      </c>
      <c r="C3850">
        <f>_xlfn.XLOOKUP($A3850,Load!$B:$B,Load!D:D,0,)</f>
        <v>0</v>
      </c>
      <c r="D3850">
        <f>_xlfn.XLOOKUP($A3850,Load!$B:$B,Load!E:E,0,)</f>
        <v>0</v>
      </c>
      <c r="E3850">
        <f>_xlfn.XLOOKUP($A3850,Load!$B:$B,Load!F:F,0,)</f>
        <v>0</v>
      </c>
      <c r="F3850">
        <f>_xlfn.XLOOKUP($A3850,Load!$B:$B,Load!G:G,0,)</f>
        <v>0</v>
      </c>
      <c r="G3850">
        <f>_xlfn.XLOOKUP($A3850,Load!$B:$B,Load!H:H,0,)</f>
        <v>0</v>
      </c>
      <c r="H3850">
        <f>_xlfn.XLOOKUP($A3850,Load!$B:$B,Load!I:I,0,)</f>
        <v>0</v>
      </c>
      <c r="I3850">
        <f>_xlfn.XLOOKUP($A3850,Load!$B:$B,Load!J:J,0,)</f>
        <v>0</v>
      </c>
      <c r="J3850">
        <f>_xlfn.XLOOKUP($A3850,Load!$B:$B,Load!K:K,0,)</f>
        <v>0</v>
      </c>
      <c r="K3850">
        <f>_xlfn.XLOOKUP($A3850,Load!$B:$B,Load!L:L,0,)</f>
        <v>0</v>
      </c>
      <c r="L3850">
        <f>_xlfn.XLOOKUP($A3850,Load!$B:$B,Load!M:M,0,)</f>
        <v>0</v>
      </c>
    </row>
    <row r="3851" spans="1:12" x14ac:dyDescent="0.25">
      <c r="B3851">
        <f>_xlfn.XLOOKUP($A3851,Load!$B:$B,Load!C:C,0,)</f>
        <v>0</v>
      </c>
      <c r="C3851">
        <f>_xlfn.XLOOKUP($A3851,Load!$B:$B,Load!D:D,0,)</f>
        <v>0</v>
      </c>
      <c r="D3851">
        <f>_xlfn.XLOOKUP($A3851,Load!$B:$B,Load!E:E,0,)</f>
        <v>0</v>
      </c>
      <c r="E3851">
        <f>_xlfn.XLOOKUP($A3851,Load!$B:$B,Load!F:F,0,)</f>
        <v>0</v>
      </c>
      <c r="F3851">
        <f>_xlfn.XLOOKUP($A3851,Load!$B:$B,Load!G:G,0,)</f>
        <v>0</v>
      </c>
      <c r="G3851">
        <f>_xlfn.XLOOKUP($A3851,Load!$B:$B,Load!H:H,0,)</f>
        <v>0</v>
      </c>
      <c r="H3851">
        <f>_xlfn.XLOOKUP($A3851,Load!$B:$B,Load!I:I,0,)</f>
        <v>0</v>
      </c>
      <c r="I3851">
        <f>_xlfn.XLOOKUP($A3851,Load!$B:$B,Load!J:J,0,)</f>
        <v>0</v>
      </c>
      <c r="J3851">
        <f>_xlfn.XLOOKUP($A3851,Load!$B:$B,Load!K:K,0,)</f>
        <v>0</v>
      </c>
      <c r="K3851">
        <f>_xlfn.XLOOKUP($A3851,Load!$B:$B,Load!L:L,0,)</f>
        <v>0</v>
      </c>
      <c r="L3851">
        <f>_xlfn.XLOOKUP($A3851,Load!$B:$B,Load!M:M,0,)</f>
        <v>0</v>
      </c>
    </row>
    <row r="3852" spans="1:12" x14ac:dyDescent="0.25">
      <c r="B3852">
        <f>_xlfn.XLOOKUP($A3852,Load!$B:$B,Load!C:C,0,)</f>
        <v>0</v>
      </c>
      <c r="C3852">
        <f>_xlfn.XLOOKUP($A3852,Load!$B:$B,Load!D:D,0,)</f>
        <v>0</v>
      </c>
      <c r="D3852">
        <f>_xlfn.XLOOKUP($A3852,Load!$B:$B,Load!E:E,0,)</f>
        <v>0</v>
      </c>
      <c r="E3852">
        <f>_xlfn.XLOOKUP($A3852,Load!$B:$B,Load!F:F,0,)</f>
        <v>0</v>
      </c>
      <c r="F3852">
        <f>_xlfn.XLOOKUP($A3852,Load!$B:$B,Load!G:G,0,)</f>
        <v>0</v>
      </c>
      <c r="G3852">
        <f>_xlfn.XLOOKUP($A3852,Load!$B:$B,Load!H:H,0,)</f>
        <v>0</v>
      </c>
      <c r="H3852">
        <f>_xlfn.XLOOKUP($A3852,Load!$B:$B,Load!I:I,0,)</f>
        <v>0</v>
      </c>
      <c r="I3852">
        <f>_xlfn.XLOOKUP($A3852,Load!$B:$B,Load!J:J,0,)</f>
        <v>0</v>
      </c>
      <c r="J3852">
        <f>_xlfn.XLOOKUP($A3852,Load!$B:$B,Load!K:K,0,)</f>
        <v>0</v>
      </c>
      <c r="K3852">
        <f>_xlfn.XLOOKUP($A3852,Load!$B:$B,Load!L:L,0,)</f>
        <v>0</v>
      </c>
      <c r="L3852">
        <f>_xlfn.XLOOKUP($A3852,Load!$B:$B,Load!M:M,0,)</f>
        <v>0</v>
      </c>
    </row>
    <row r="3853" spans="1:12" x14ac:dyDescent="0.25">
      <c r="B3853">
        <f>_xlfn.XLOOKUP($A3853,Load!$B:$B,Load!C:C,0,)</f>
        <v>0</v>
      </c>
      <c r="C3853">
        <f>_xlfn.XLOOKUP($A3853,Load!$B:$B,Load!D:D,0,)</f>
        <v>0</v>
      </c>
      <c r="D3853">
        <f>_xlfn.XLOOKUP($A3853,Load!$B:$B,Load!E:E,0,)</f>
        <v>0</v>
      </c>
      <c r="E3853">
        <f>_xlfn.XLOOKUP($A3853,Load!$B:$B,Load!F:F,0,)</f>
        <v>0</v>
      </c>
      <c r="F3853">
        <f>_xlfn.XLOOKUP($A3853,Load!$B:$B,Load!G:G,0,)</f>
        <v>0</v>
      </c>
      <c r="G3853">
        <f>_xlfn.XLOOKUP($A3853,Load!$B:$B,Load!H:H,0,)</f>
        <v>0</v>
      </c>
      <c r="H3853">
        <f>_xlfn.XLOOKUP($A3853,Load!$B:$B,Load!I:I,0,)</f>
        <v>0</v>
      </c>
      <c r="I3853">
        <f>_xlfn.XLOOKUP($A3853,Load!$B:$B,Load!J:J,0,)</f>
        <v>0</v>
      </c>
      <c r="J3853">
        <f>_xlfn.XLOOKUP($A3853,Load!$B:$B,Load!K:K,0,)</f>
        <v>0</v>
      </c>
      <c r="K3853">
        <f>_xlfn.XLOOKUP($A3853,Load!$B:$B,Load!L:L,0,)</f>
        <v>0</v>
      </c>
      <c r="L3853">
        <f>_xlfn.XLOOKUP($A3853,Load!$B:$B,Load!M:M,0,)</f>
        <v>0</v>
      </c>
    </row>
    <row r="3854" spans="1:12" x14ac:dyDescent="0.25">
      <c r="A3854" t="s">
        <v>135</v>
      </c>
      <c r="B3854" t="str">
        <f>_xlfn.XLOOKUP($A3854,Load!$B:$B,Load!C:C,0,)</f>
        <v>Hershey's Variety Pack</v>
      </c>
      <c r="C3854" t="str">
        <f>_xlfn.XLOOKUP($A3854,Load!$B:$B,Load!D:D,0,)</f>
        <v>Non-Chocolate Candy Only</v>
      </c>
      <c r="D3854" t="str">
        <f>_xlfn.XLOOKUP($A3854,Load!$B:$B,Load!E:E,0,)</f>
        <v>Variety / Mixed Flavors (Fruity, Sour, Seasonal Flavors)</v>
      </c>
      <c r="E3854" t="str">
        <f>_xlfn.XLOOKUP($A3854,Load!$B:$B,Load!F:F,0,)</f>
        <v>Mixed / Combo Packs (Gummy, Chewy, Taffy, etc.)</v>
      </c>
      <c r="F3854" t="str">
        <f>_xlfn.XLOOKUP($A3854,Load!$B:$B,Load!G:G,0,)</f>
        <v>Large Multipack (More than 80 ct)</v>
      </c>
      <c r="G3854" t="str">
        <f>_xlfn.XLOOKUP($A3854,Load!$B:$B,Load!H:H,0,)</f>
        <v>Stand-Up Bag</v>
      </c>
      <c r="H3854" t="str">
        <f>_xlfn.XLOOKUP($A3854,Load!$B:$B,Load!I:I,0,)</f>
        <v>Everyday Candy Shapes (like Original, Gummy bear, Fruit, Jewels, etc.)</v>
      </c>
      <c r="I3854" t="str">
        <f>_xlfn.XLOOKUP($A3854,Load!$B:$B,Load!J:J,0,)</f>
        <v>Everyday Graphics</v>
      </c>
      <c r="J3854" t="str">
        <f>_xlfn.XLOOKUP($A3854,Load!$B:$B,Load!K:K,0,)</f>
        <v xml:space="preserve">Variety Candy Sizes </v>
      </c>
      <c r="K3854" t="str">
        <f>_xlfn.XLOOKUP($A3854,Load!$B:$B,Load!L:L,0,)</f>
        <v>Regular/Original Wrapping</v>
      </c>
      <c r="L3854" t="str">
        <f>_xlfn.XLOOKUP($A3854,Load!$B:$B,Load!M:M,0,)</f>
        <v>Multiple Brands / Variety Flavors or Form</v>
      </c>
    </row>
    <row r="3855" spans="1:12" x14ac:dyDescent="0.25">
      <c r="B3855">
        <f>_xlfn.XLOOKUP($A3855,Load!$B:$B,Load!C:C,0,)</f>
        <v>0</v>
      </c>
      <c r="C3855">
        <f>_xlfn.XLOOKUP($A3855,Load!$B:$B,Load!D:D,0,)</f>
        <v>0</v>
      </c>
      <c r="D3855">
        <f>_xlfn.XLOOKUP($A3855,Load!$B:$B,Load!E:E,0,)</f>
        <v>0</v>
      </c>
      <c r="E3855">
        <f>_xlfn.XLOOKUP($A3855,Load!$B:$B,Load!F:F,0,)</f>
        <v>0</v>
      </c>
      <c r="F3855">
        <f>_xlfn.XLOOKUP($A3855,Load!$B:$B,Load!G:G,0,)</f>
        <v>0</v>
      </c>
      <c r="G3855">
        <f>_xlfn.XLOOKUP($A3855,Load!$B:$B,Load!H:H,0,)</f>
        <v>0</v>
      </c>
      <c r="H3855">
        <f>_xlfn.XLOOKUP($A3855,Load!$B:$B,Load!I:I,0,)</f>
        <v>0</v>
      </c>
      <c r="I3855">
        <f>_xlfn.XLOOKUP($A3855,Load!$B:$B,Load!J:J,0,)</f>
        <v>0</v>
      </c>
      <c r="J3855">
        <f>_xlfn.XLOOKUP($A3855,Load!$B:$B,Load!K:K,0,)</f>
        <v>0</v>
      </c>
      <c r="K3855">
        <f>_xlfn.XLOOKUP($A3855,Load!$B:$B,Load!L:L,0,)</f>
        <v>0</v>
      </c>
      <c r="L3855">
        <f>_xlfn.XLOOKUP($A3855,Load!$B:$B,Load!M:M,0,)</f>
        <v>0</v>
      </c>
    </row>
    <row r="3856" spans="1:12" x14ac:dyDescent="0.25">
      <c r="B3856">
        <f>_xlfn.XLOOKUP($A3856,Load!$B:$B,Load!C:C,0,)</f>
        <v>0</v>
      </c>
      <c r="C3856">
        <f>_xlfn.XLOOKUP($A3856,Load!$B:$B,Load!D:D,0,)</f>
        <v>0</v>
      </c>
      <c r="D3856">
        <f>_xlfn.XLOOKUP($A3856,Load!$B:$B,Load!E:E,0,)</f>
        <v>0</v>
      </c>
      <c r="E3856">
        <f>_xlfn.XLOOKUP($A3856,Load!$B:$B,Load!F:F,0,)</f>
        <v>0</v>
      </c>
      <c r="F3856">
        <f>_xlfn.XLOOKUP($A3856,Load!$B:$B,Load!G:G,0,)</f>
        <v>0</v>
      </c>
      <c r="G3856">
        <f>_xlfn.XLOOKUP($A3856,Load!$B:$B,Load!H:H,0,)</f>
        <v>0</v>
      </c>
      <c r="H3856">
        <f>_xlfn.XLOOKUP($A3856,Load!$B:$B,Load!I:I,0,)</f>
        <v>0</v>
      </c>
      <c r="I3856">
        <f>_xlfn.XLOOKUP($A3856,Load!$B:$B,Load!J:J,0,)</f>
        <v>0</v>
      </c>
      <c r="J3856">
        <f>_xlfn.XLOOKUP($A3856,Load!$B:$B,Load!K:K,0,)</f>
        <v>0</v>
      </c>
      <c r="K3856">
        <f>_xlfn.XLOOKUP($A3856,Load!$B:$B,Load!L:L,0,)</f>
        <v>0</v>
      </c>
      <c r="L3856">
        <f>_xlfn.XLOOKUP($A3856,Load!$B:$B,Load!M:M,0,)</f>
        <v>0</v>
      </c>
    </row>
    <row r="3857" spans="1:12" x14ac:dyDescent="0.25">
      <c r="B3857">
        <f>_xlfn.XLOOKUP($A3857,Load!$B:$B,Load!C:C,0,)</f>
        <v>0</v>
      </c>
      <c r="C3857">
        <f>_xlfn.XLOOKUP($A3857,Load!$B:$B,Load!D:D,0,)</f>
        <v>0</v>
      </c>
      <c r="D3857">
        <f>_xlfn.XLOOKUP($A3857,Load!$B:$B,Load!E:E,0,)</f>
        <v>0</v>
      </c>
      <c r="E3857">
        <f>_xlfn.XLOOKUP($A3857,Load!$B:$B,Load!F:F,0,)</f>
        <v>0</v>
      </c>
      <c r="F3857">
        <f>_xlfn.XLOOKUP($A3857,Load!$B:$B,Load!G:G,0,)</f>
        <v>0</v>
      </c>
      <c r="G3857">
        <f>_xlfn.XLOOKUP($A3857,Load!$B:$B,Load!H:H,0,)</f>
        <v>0</v>
      </c>
      <c r="H3857">
        <f>_xlfn.XLOOKUP($A3857,Load!$B:$B,Load!I:I,0,)</f>
        <v>0</v>
      </c>
      <c r="I3857">
        <f>_xlfn.XLOOKUP($A3857,Load!$B:$B,Load!J:J,0,)</f>
        <v>0</v>
      </c>
      <c r="J3857">
        <f>_xlfn.XLOOKUP($A3857,Load!$B:$B,Load!K:K,0,)</f>
        <v>0</v>
      </c>
      <c r="K3857">
        <f>_xlfn.XLOOKUP($A3857,Load!$B:$B,Load!L:L,0,)</f>
        <v>0</v>
      </c>
      <c r="L3857">
        <f>_xlfn.XLOOKUP($A3857,Load!$B:$B,Load!M:M,0,)</f>
        <v>0</v>
      </c>
    </row>
    <row r="3858" spans="1:12" x14ac:dyDescent="0.25">
      <c r="A3858" t="s">
        <v>299</v>
      </c>
      <c r="B3858" t="str">
        <f>_xlfn.XLOOKUP($A3858,Load!$B:$B,Load!C:C,0,)</f>
        <v>Twizzlers</v>
      </c>
      <c r="C3858" t="str">
        <f>_xlfn.XLOOKUP($A3858,Load!$B:$B,Load!D:D,0,)</f>
        <v>Non-Chocolate Candy Only</v>
      </c>
      <c r="D3858" t="str">
        <f>_xlfn.XLOOKUP($A3858,Load!$B:$B,Load!E:E,0,)</f>
        <v>Fruit Flavor (Cherry, Grape, Apple, Citrus, Tropical Fruit)</v>
      </c>
      <c r="E3858" t="str">
        <f>_xlfn.XLOOKUP($A3858,Load!$B:$B,Load!F:F,0,)</f>
        <v>Chewy</v>
      </c>
      <c r="F3858" t="str">
        <f>_xlfn.XLOOKUP($A3858,Load!$B:$B,Load!G:G,0,)</f>
        <v>Single Pack</v>
      </c>
      <c r="G3858" t="str">
        <f>_xlfn.XLOOKUP($A3858,Load!$B:$B,Load!H:H,0,)</f>
        <v>Stand-Up Bag</v>
      </c>
      <c r="H3858" t="str">
        <f>_xlfn.XLOOKUP($A3858,Load!$B:$B,Load!I:I,0,)</f>
        <v>Seasonal Shapes (like pumpkins, candy corn, ghost, bats, etc.)</v>
      </c>
      <c r="I3858" t="str">
        <f>_xlfn.XLOOKUP($A3858,Load!$B:$B,Load!J:J,0,)</f>
        <v>Seasonal Graphics (Like Bat, Ghost, Pumpkin, Fall Leaves, Eyeballs, etc.)</v>
      </c>
      <c r="J3858" t="str">
        <f>_xlfn.XLOOKUP($A3858,Load!$B:$B,Load!K:K,0,)</f>
        <v>Fun Size / Treat Size</v>
      </c>
      <c r="K3858" t="str">
        <f>_xlfn.XLOOKUP($A3858,Load!$B:$B,Load!L:L,0,)</f>
        <v>Unwrapped</v>
      </c>
      <c r="L3858" t="str">
        <f>_xlfn.XLOOKUP($A3858,Load!$B:$B,Load!M:M,0,)</f>
        <v>Single Brand / Single Flavor or Form</v>
      </c>
    </row>
    <row r="3859" spans="1:12" x14ac:dyDescent="0.25">
      <c r="B3859">
        <f>_xlfn.XLOOKUP($A3859,Load!$B:$B,Load!C:C,0,)</f>
        <v>0</v>
      </c>
      <c r="C3859">
        <f>_xlfn.XLOOKUP($A3859,Load!$B:$B,Load!D:D,0,)</f>
        <v>0</v>
      </c>
      <c r="D3859">
        <f>_xlfn.XLOOKUP($A3859,Load!$B:$B,Load!E:E,0,)</f>
        <v>0</v>
      </c>
      <c r="E3859">
        <f>_xlfn.XLOOKUP($A3859,Load!$B:$B,Load!F:F,0,)</f>
        <v>0</v>
      </c>
      <c r="F3859">
        <f>_xlfn.XLOOKUP($A3859,Load!$B:$B,Load!G:G,0,)</f>
        <v>0</v>
      </c>
      <c r="G3859">
        <f>_xlfn.XLOOKUP($A3859,Load!$B:$B,Load!H:H,0,)</f>
        <v>0</v>
      </c>
      <c r="H3859">
        <f>_xlfn.XLOOKUP($A3859,Load!$B:$B,Load!I:I,0,)</f>
        <v>0</v>
      </c>
      <c r="I3859">
        <f>_xlfn.XLOOKUP($A3859,Load!$B:$B,Load!J:J,0,)</f>
        <v>0</v>
      </c>
      <c r="J3859">
        <f>_xlfn.XLOOKUP($A3859,Load!$B:$B,Load!K:K,0,)</f>
        <v>0</v>
      </c>
      <c r="K3859">
        <f>_xlfn.XLOOKUP($A3859,Load!$B:$B,Load!L:L,0,)</f>
        <v>0</v>
      </c>
      <c r="L3859">
        <f>_xlfn.XLOOKUP($A3859,Load!$B:$B,Load!M:M,0,)</f>
        <v>0</v>
      </c>
    </row>
    <row r="3860" spans="1:12" x14ac:dyDescent="0.25">
      <c r="B3860">
        <f>_xlfn.XLOOKUP($A3860,Load!$B:$B,Load!C:C,0,)</f>
        <v>0</v>
      </c>
      <c r="C3860">
        <f>_xlfn.XLOOKUP($A3860,Load!$B:$B,Load!D:D,0,)</f>
        <v>0</v>
      </c>
      <c r="D3860">
        <f>_xlfn.XLOOKUP($A3860,Load!$B:$B,Load!E:E,0,)</f>
        <v>0</v>
      </c>
      <c r="E3860">
        <f>_xlfn.XLOOKUP($A3860,Load!$B:$B,Load!F:F,0,)</f>
        <v>0</v>
      </c>
      <c r="F3860">
        <f>_xlfn.XLOOKUP($A3860,Load!$B:$B,Load!G:G,0,)</f>
        <v>0</v>
      </c>
      <c r="G3860">
        <f>_xlfn.XLOOKUP($A3860,Load!$B:$B,Load!H:H,0,)</f>
        <v>0</v>
      </c>
      <c r="H3860">
        <f>_xlfn.XLOOKUP($A3860,Load!$B:$B,Load!I:I,0,)</f>
        <v>0</v>
      </c>
      <c r="I3860">
        <f>_xlfn.XLOOKUP($A3860,Load!$B:$B,Load!J:J,0,)</f>
        <v>0</v>
      </c>
      <c r="J3860">
        <f>_xlfn.XLOOKUP($A3860,Load!$B:$B,Load!K:K,0,)</f>
        <v>0</v>
      </c>
      <c r="K3860">
        <f>_xlfn.XLOOKUP($A3860,Load!$B:$B,Load!L:L,0,)</f>
        <v>0</v>
      </c>
      <c r="L3860">
        <f>_xlfn.XLOOKUP($A3860,Load!$B:$B,Load!M:M,0,)</f>
        <v>0</v>
      </c>
    </row>
    <row r="3861" spans="1:12" x14ac:dyDescent="0.25">
      <c r="B3861">
        <f>_xlfn.XLOOKUP($A3861,Load!$B:$B,Load!C:C,0,)</f>
        <v>0</v>
      </c>
      <c r="C3861">
        <f>_xlfn.XLOOKUP($A3861,Load!$B:$B,Load!D:D,0,)</f>
        <v>0</v>
      </c>
      <c r="D3861">
        <f>_xlfn.XLOOKUP($A3861,Load!$B:$B,Load!E:E,0,)</f>
        <v>0</v>
      </c>
      <c r="E3861">
        <f>_xlfn.XLOOKUP($A3861,Load!$B:$B,Load!F:F,0,)</f>
        <v>0</v>
      </c>
      <c r="F3861">
        <f>_xlfn.XLOOKUP($A3861,Load!$B:$B,Load!G:G,0,)</f>
        <v>0</v>
      </c>
      <c r="G3861">
        <f>_xlfn.XLOOKUP($A3861,Load!$B:$B,Load!H:H,0,)</f>
        <v>0</v>
      </c>
      <c r="H3861">
        <f>_xlfn.XLOOKUP($A3861,Load!$B:$B,Load!I:I,0,)</f>
        <v>0</v>
      </c>
      <c r="I3861">
        <f>_xlfn.XLOOKUP($A3861,Load!$B:$B,Load!J:J,0,)</f>
        <v>0</v>
      </c>
      <c r="J3861">
        <f>_xlfn.XLOOKUP($A3861,Load!$B:$B,Load!K:K,0,)</f>
        <v>0</v>
      </c>
      <c r="K3861">
        <f>_xlfn.XLOOKUP($A3861,Load!$B:$B,Load!L:L,0,)</f>
        <v>0</v>
      </c>
      <c r="L3861">
        <f>_xlfn.XLOOKUP($A3861,Load!$B:$B,Load!M:M,0,)</f>
        <v>0</v>
      </c>
    </row>
    <row r="3862" spans="1:12" x14ac:dyDescent="0.25">
      <c r="B3862">
        <f>_xlfn.XLOOKUP($A3862,Load!$B:$B,Load!C:C,0,)</f>
        <v>0</v>
      </c>
      <c r="C3862">
        <f>_xlfn.XLOOKUP($A3862,Load!$B:$B,Load!D:D,0,)</f>
        <v>0</v>
      </c>
      <c r="D3862">
        <f>_xlfn.XLOOKUP($A3862,Load!$B:$B,Load!E:E,0,)</f>
        <v>0</v>
      </c>
      <c r="E3862">
        <f>_xlfn.XLOOKUP($A3862,Load!$B:$B,Load!F:F,0,)</f>
        <v>0</v>
      </c>
      <c r="F3862">
        <f>_xlfn.XLOOKUP($A3862,Load!$B:$B,Load!G:G,0,)</f>
        <v>0</v>
      </c>
      <c r="G3862">
        <f>_xlfn.XLOOKUP($A3862,Load!$B:$B,Load!H:H,0,)</f>
        <v>0</v>
      </c>
      <c r="H3862">
        <f>_xlfn.XLOOKUP($A3862,Load!$B:$B,Load!I:I,0,)</f>
        <v>0</v>
      </c>
      <c r="I3862">
        <f>_xlfn.XLOOKUP($A3862,Load!$B:$B,Load!J:J,0,)</f>
        <v>0</v>
      </c>
      <c r="J3862">
        <f>_xlfn.XLOOKUP($A3862,Load!$B:$B,Load!K:K,0,)</f>
        <v>0</v>
      </c>
      <c r="K3862">
        <f>_xlfn.XLOOKUP($A3862,Load!$B:$B,Load!L:L,0,)</f>
        <v>0</v>
      </c>
      <c r="L3862">
        <f>_xlfn.XLOOKUP($A3862,Load!$B:$B,Load!M:M,0,)</f>
        <v>0</v>
      </c>
    </row>
    <row r="3863" spans="1:12" x14ac:dyDescent="0.25">
      <c r="B3863">
        <f>_xlfn.XLOOKUP($A3863,Load!$B:$B,Load!C:C,0,)</f>
        <v>0</v>
      </c>
      <c r="C3863">
        <f>_xlfn.XLOOKUP($A3863,Load!$B:$B,Load!D:D,0,)</f>
        <v>0</v>
      </c>
      <c r="D3863">
        <f>_xlfn.XLOOKUP($A3863,Load!$B:$B,Load!E:E,0,)</f>
        <v>0</v>
      </c>
      <c r="E3863">
        <f>_xlfn.XLOOKUP($A3863,Load!$B:$B,Load!F:F,0,)</f>
        <v>0</v>
      </c>
      <c r="F3863">
        <f>_xlfn.XLOOKUP($A3863,Load!$B:$B,Load!G:G,0,)</f>
        <v>0</v>
      </c>
      <c r="G3863">
        <f>_xlfn.XLOOKUP($A3863,Load!$B:$B,Load!H:H,0,)</f>
        <v>0</v>
      </c>
      <c r="H3863">
        <f>_xlfn.XLOOKUP($A3863,Load!$B:$B,Load!I:I,0,)</f>
        <v>0</v>
      </c>
      <c r="I3863">
        <f>_xlfn.XLOOKUP($A3863,Load!$B:$B,Load!J:J,0,)</f>
        <v>0</v>
      </c>
      <c r="J3863">
        <f>_xlfn.XLOOKUP($A3863,Load!$B:$B,Load!K:K,0,)</f>
        <v>0</v>
      </c>
      <c r="K3863">
        <f>_xlfn.XLOOKUP($A3863,Load!$B:$B,Load!L:L,0,)</f>
        <v>0</v>
      </c>
      <c r="L3863">
        <f>_xlfn.XLOOKUP($A3863,Load!$B:$B,Load!M:M,0,)</f>
        <v>0</v>
      </c>
    </row>
    <row r="3864" spans="1:12" x14ac:dyDescent="0.25">
      <c r="A3864" t="s">
        <v>116</v>
      </c>
      <c r="B3864" t="str">
        <f>_xlfn.XLOOKUP($A3864,Load!$B:$B,Load!C:C,0,)</f>
        <v>George Howe</v>
      </c>
      <c r="C3864" t="str">
        <f>_xlfn.XLOOKUP($A3864,Load!$B:$B,Load!D:D,0,)</f>
        <v>Mix of Chocolate and Non-Chocolate Candy</v>
      </c>
      <c r="D3864" t="str">
        <f>_xlfn.XLOOKUP($A3864,Load!$B:$B,Load!E:E,0,)</f>
        <v>Fall / Seasonal Flavors (pumpkin spice, caramel apple, candy corn)</v>
      </c>
      <c r="E3864" t="str">
        <f>_xlfn.XLOOKUP($A3864,Load!$B:$B,Load!F:F,0,)</f>
        <v>Candy Pieces / Bites</v>
      </c>
      <c r="F3864" t="str">
        <f>_xlfn.XLOOKUP($A3864,Load!$B:$B,Load!G:G,0,)</f>
        <v>Single Pack</v>
      </c>
      <c r="G3864" t="str">
        <f>_xlfn.XLOOKUP($A3864,Load!$B:$B,Load!H:H,0,)</f>
        <v>Laydown Bag</v>
      </c>
      <c r="H3864" t="str">
        <f>_xlfn.XLOOKUP($A3864,Load!$B:$B,Load!I:I,0,)</f>
        <v>Seasonal Shapes (like pumpkins, candy corn, ghost, bats, etc.)</v>
      </c>
      <c r="I3864" t="str">
        <f>_xlfn.XLOOKUP($A3864,Load!$B:$B,Load!J:J,0,)</f>
        <v>Everyday Graphics</v>
      </c>
      <c r="J3864" t="str">
        <f>_xlfn.XLOOKUP($A3864,Load!$B:$B,Load!K:K,0,)</f>
        <v>Small Pieces (Tiny bite size candies)</v>
      </c>
      <c r="K3864" t="str">
        <f>_xlfn.XLOOKUP($A3864,Load!$B:$B,Load!L:L,0,)</f>
        <v>Unwrapped</v>
      </c>
      <c r="L3864" t="str">
        <f>_xlfn.XLOOKUP($A3864,Load!$B:$B,Load!M:M,0,)</f>
        <v>Single Brand / Variety Flavors or Form</v>
      </c>
    </row>
    <row r="3865" spans="1:12" x14ac:dyDescent="0.25">
      <c r="B3865">
        <f>_xlfn.XLOOKUP($A3865,Load!$B:$B,Load!C:C,0,)</f>
        <v>0</v>
      </c>
      <c r="C3865">
        <f>_xlfn.XLOOKUP($A3865,Load!$B:$B,Load!D:D,0,)</f>
        <v>0</v>
      </c>
      <c r="D3865">
        <f>_xlfn.XLOOKUP($A3865,Load!$B:$B,Load!E:E,0,)</f>
        <v>0</v>
      </c>
      <c r="E3865">
        <f>_xlfn.XLOOKUP($A3865,Load!$B:$B,Load!F:F,0,)</f>
        <v>0</v>
      </c>
      <c r="F3865">
        <f>_xlfn.XLOOKUP($A3865,Load!$B:$B,Load!G:G,0,)</f>
        <v>0</v>
      </c>
      <c r="G3865">
        <f>_xlfn.XLOOKUP($A3865,Load!$B:$B,Load!H:H,0,)</f>
        <v>0</v>
      </c>
      <c r="H3865">
        <f>_xlfn.XLOOKUP($A3865,Load!$B:$B,Load!I:I,0,)</f>
        <v>0</v>
      </c>
      <c r="I3865">
        <f>_xlfn.XLOOKUP($A3865,Load!$B:$B,Load!J:J,0,)</f>
        <v>0</v>
      </c>
      <c r="J3865">
        <f>_xlfn.XLOOKUP($A3865,Load!$B:$B,Load!K:K,0,)</f>
        <v>0</v>
      </c>
      <c r="K3865">
        <f>_xlfn.XLOOKUP($A3865,Load!$B:$B,Load!L:L,0,)</f>
        <v>0</v>
      </c>
      <c r="L3865">
        <f>_xlfn.XLOOKUP($A3865,Load!$B:$B,Load!M:M,0,)</f>
        <v>0</v>
      </c>
    </row>
    <row r="3866" spans="1:12" x14ac:dyDescent="0.25">
      <c r="A3866" t="s">
        <v>132</v>
      </c>
      <c r="B3866" t="str">
        <f>_xlfn.XLOOKUP($A3866,Load!$B:$B,Load!C:C,0,)</f>
        <v>Hershey's</v>
      </c>
      <c r="C3866" t="str">
        <f>_xlfn.XLOOKUP($A3866,Load!$B:$B,Load!D:D,0,)</f>
        <v>Mix of Chocolate and Non-Chocolate Candy</v>
      </c>
      <c r="D3866" t="str">
        <f>_xlfn.XLOOKUP($A3866,Load!$B:$B,Load!E:E,0,)</f>
        <v>Variety / Mixed Flavors (Fruity, Sour, Seasonal Flavors)</v>
      </c>
      <c r="E3866" t="str">
        <f>_xlfn.XLOOKUP($A3866,Load!$B:$B,Load!F:F,0,)</f>
        <v>Mixed / Combo Packs (Gummy, Chewy, Taffy, etc.)</v>
      </c>
      <c r="F3866" t="str">
        <f>_xlfn.XLOOKUP($A3866,Load!$B:$B,Load!G:G,0,)</f>
        <v>Small Multipack (Less than 40 ct)</v>
      </c>
      <c r="G3866" t="str">
        <f>_xlfn.XLOOKUP($A3866,Load!$B:$B,Load!H:H,0,)</f>
        <v>Laydown Bag</v>
      </c>
      <c r="H3866" t="str">
        <f>_xlfn.XLOOKUP($A3866,Load!$B:$B,Load!I:I,0,)</f>
        <v>Everyday Candy Shapes (like Original, Gummy bear, Fruit, Jewels, etc.)</v>
      </c>
      <c r="I3866" t="str">
        <f>_xlfn.XLOOKUP($A3866,Load!$B:$B,Load!J:J,0,)</f>
        <v>Seasonal Graphics (Like Bat, Ghost, Pumpkin, Fall Leaves, Eyeballs, etc.)</v>
      </c>
      <c r="J3866" t="str">
        <f>_xlfn.XLOOKUP($A3866,Load!$B:$B,Load!K:K,0,)</f>
        <v xml:space="preserve">Variety Candy Sizes </v>
      </c>
      <c r="K3866" t="str">
        <f>_xlfn.XLOOKUP($A3866,Load!$B:$B,Load!L:L,0,)</f>
        <v>Regular/Original Wrapping</v>
      </c>
      <c r="L3866" t="str">
        <f>_xlfn.XLOOKUP($A3866,Load!$B:$B,Load!M:M,0,)</f>
        <v>Multiple Brands / Variety Flavors or Form</v>
      </c>
    </row>
    <row r="3867" spans="1:12" x14ac:dyDescent="0.25">
      <c r="B3867">
        <f>_xlfn.XLOOKUP($A3867,Load!$B:$B,Load!C:C,0,)</f>
        <v>0</v>
      </c>
      <c r="C3867">
        <f>_xlfn.XLOOKUP($A3867,Load!$B:$B,Load!D:D,0,)</f>
        <v>0</v>
      </c>
      <c r="D3867">
        <f>_xlfn.XLOOKUP($A3867,Load!$B:$B,Load!E:E,0,)</f>
        <v>0</v>
      </c>
      <c r="E3867">
        <f>_xlfn.XLOOKUP($A3867,Load!$B:$B,Load!F:F,0,)</f>
        <v>0</v>
      </c>
      <c r="F3867">
        <f>_xlfn.XLOOKUP($A3867,Load!$B:$B,Load!G:G,0,)</f>
        <v>0</v>
      </c>
      <c r="G3867">
        <f>_xlfn.XLOOKUP($A3867,Load!$B:$B,Load!H:H,0,)</f>
        <v>0</v>
      </c>
      <c r="H3867">
        <f>_xlfn.XLOOKUP($A3867,Load!$B:$B,Load!I:I,0,)</f>
        <v>0</v>
      </c>
      <c r="I3867">
        <f>_xlfn.XLOOKUP($A3867,Load!$B:$B,Load!J:J,0,)</f>
        <v>0</v>
      </c>
      <c r="J3867">
        <f>_xlfn.XLOOKUP($A3867,Load!$B:$B,Load!K:K,0,)</f>
        <v>0</v>
      </c>
      <c r="K3867">
        <f>_xlfn.XLOOKUP($A3867,Load!$B:$B,Load!L:L,0,)</f>
        <v>0</v>
      </c>
      <c r="L3867">
        <f>_xlfn.XLOOKUP($A3867,Load!$B:$B,Load!M:M,0,)</f>
        <v>0</v>
      </c>
    </row>
    <row r="3868" spans="1:12" x14ac:dyDescent="0.25">
      <c r="B3868">
        <f>_xlfn.XLOOKUP($A3868,Load!$B:$B,Load!C:C,0,)</f>
        <v>0</v>
      </c>
      <c r="C3868">
        <f>_xlfn.XLOOKUP($A3868,Load!$B:$B,Load!D:D,0,)</f>
        <v>0</v>
      </c>
      <c r="D3868">
        <f>_xlfn.XLOOKUP($A3868,Load!$B:$B,Load!E:E,0,)</f>
        <v>0</v>
      </c>
      <c r="E3868">
        <f>_xlfn.XLOOKUP($A3868,Load!$B:$B,Load!F:F,0,)</f>
        <v>0</v>
      </c>
      <c r="F3868">
        <f>_xlfn.XLOOKUP($A3868,Load!$B:$B,Load!G:G,0,)</f>
        <v>0</v>
      </c>
      <c r="G3868">
        <f>_xlfn.XLOOKUP($A3868,Load!$B:$B,Load!H:H,0,)</f>
        <v>0</v>
      </c>
      <c r="H3868">
        <f>_xlfn.XLOOKUP($A3868,Load!$B:$B,Load!I:I,0,)</f>
        <v>0</v>
      </c>
      <c r="I3868">
        <f>_xlfn.XLOOKUP($A3868,Load!$B:$B,Load!J:J,0,)</f>
        <v>0</v>
      </c>
      <c r="J3868">
        <f>_xlfn.XLOOKUP($A3868,Load!$B:$B,Load!K:K,0,)</f>
        <v>0</v>
      </c>
      <c r="K3868">
        <f>_xlfn.XLOOKUP($A3868,Load!$B:$B,Load!L:L,0,)</f>
        <v>0</v>
      </c>
      <c r="L3868">
        <f>_xlfn.XLOOKUP($A3868,Load!$B:$B,Load!M:M,0,)</f>
        <v>0</v>
      </c>
    </row>
    <row r="3869" spans="1:12" x14ac:dyDescent="0.25">
      <c r="B3869">
        <f>_xlfn.XLOOKUP($A3869,Load!$B:$B,Load!C:C,0,)</f>
        <v>0</v>
      </c>
      <c r="C3869">
        <f>_xlfn.XLOOKUP($A3869,Load!$B:$B,Load!D:D,0,)</f>
        <v>0</v>
      </c>
      <c r="D3869">
        <f>_xlfn.XLOOKUP($A3869,Load!$B:$B,Load!E:E,0,)</f>
        <v>0</v>
      </c>
      <c r="E3869">
        <f>_xlfn.XLOOKUP($A3869,Load!$B:$B,Load!F:F,0,)</f>
        <v>0</v>
      </c>
      <c r="F3869">
        <f>_xlfn.XLOOKUP($A3869,Load!$B:$B,Load!G:G,0,)</f>
        <v>0</v>
      </c>
      <c r="G3869">
        <f>_xlfn.XLOOKUP($A3869,Load!$B:$B,Load!H:H,0,)</f>
        <v>0</v>
      </c>
      <c r="H3869">
        <f>_xlfn.XLOOKUP($A3869,Load!$B:$B,Load!I:I,0,)</f>
        <v>0</v>
      </c>
      <c r="I3869">
        <f>_xlfn.XLOOKUP($A3869,Load!$B:$B,Load!J:J,0,)</f>
        <v>0</v>
      </c>
      <c r="J3869">
        <f>_xlfn.XLOOKUP($A3869,Load!$B:$B,Load!K:K,0,)</f>
        <v>0</v>
      </c>
      <c r="K3869">
        <f>_xlfn.XLOOKUP($A3869,Load!$B:$B,Load!L:L,0,)</f>
        <v>0</v>
      </c>
      <c r="L3869">
        <f>_xlfn.XLOOKUP($A3869,Load!$B:$B,Load!M:M,0,)</f>
        <v>0</v>
      </c>
    </row>
    <row r="3870" spans="1:12" x14ac:dyDescent="0.25">
      <c r="B3870">
        <f>_xlfn.XLOOKUP($A3870,Load!$B:$B,Load!C:C,0,)</f>
        <v>0</v>
      </c>
      <c r="C3870">
        <f>_xlfn.XLOOKUP($A3870,Load!$B:$B,Load!D:D,0,)</f>
        <v>0</v>
      </c>
      <c r="D3870">
        <f>_xlfn.XLOOKUP($A3870,Load!$B:$B,Load!E:E,0,)</f>
        <v>0</v>
      </c>
      <c r="E3870">
        <f>_xlfn.XLOOKUP($A3870,Load!$B:$B,Load!F:F,0,)</f>
        <v>0</v>
      </c>
      <c r="F3870">
        <f>_xlfn.XLOOKUP($A3870,Load!$B:$B,Load!G:G,0,)</f>
        <v>0</v>
      </c>
      <c r="G3870">
        <f>_xlfn.XLOOKUP($A3870,Load!$B:$B,Load!H:H,0,)</f>
        <v>0</v>
      </c>
      <c r="H3870">
        <f>_xlfn.XLOOKUP($A3870,Load!$B:$B,Load!I:I,0,)</f>
        <v>0</v>
      </c>
      <c r="I3870">
        <f>_xlfn.XLOOKUP($A3870,Load!$B:$B,Load!J:J,0,)</f>
        <v>0</v>
      </c>
      <c r="J3870">
        <f>_xlfn.XLOOKUP($A3870,Load!$B:$B,Load!K:K,0,)</f>
        <v>0</v>
      </c>
      <c r="K3870">
        <f>_xlfn.XLOOKUP($A3870,Load!$B:$B,Load!L:L,0,)</f>
        <v>0</v>
      </c>
      <c r="L3870">
        <f>_xlfn.XLOOKUP($A3870,Load!$B:$B,Load!M:M,0,)</f>
        <v>0</v>
      </c>
    </row>
    <row r="3871" spans="1:12" x14ac:dyDescent="0.25">
      <c r="B3871">
        <f>_xlfn.XLOOKUP($A3871,Load!$B:$B,Load!C:C,0,)</f>
        <v>0</v>
      </c>
      <c r="C3871">
        <f>_xlfn.XLOOKUP($A3871,Load!$B:$B,Load!D:D,0,)</f>
        <v>0</v>
      </c>
      <c r="D3871">
        <f>_xlfn.XLOOKUP($A3871,Load!$B:$B,Load!E:E,0,)</f>
        <v>0</v>
      </c>
      <c r="E3871">
        <f>_xlfn.XLOOKUP($A3871,Load!$B:$B,Load!F:F,0,)</f>
        <v>0</v>
      </c>
      <c r="F3871">
        <f>_xlfn.XLOOKUP($A3871,Load!$B:$B,Load!G:G,0,)</f>
        <v>0</v>
      </c>
      <c r="G3871">
        <f>_xlfn.XLOOKUP($A3871,Load!$B:$B,Load!H:H,0,)</f>
        <v>0</v>
      </c>
      <c r="H3871">
        <f>_xlfn.XLOOKUP($A3871,Load!$B:$B,Load!I:I,0,)</f>
        <v>0</v>
      </c>
      <c r="I3871">
        <f>_xlfn.XLOOKUP($A3871,Load!$B:$B,Load!J:J,0,)</f>
        <v>0</v>
      </c>
      <c r="J3871">
        <f>_xlfn.XLOOKUP($A3871,Load!$B:$B,Load!K:K,0,)</f>
        <v>0</v>
      </c>
      <c r="K3871">
        <f>_xlfn.XLOOKUP($A3871,Load!$B:$B,Load!L:L,0,)</f>
        <v>0</v>
      </c>
      <c r="L3871">
        <f>_xlfn.XLOOKUP($A3871,Load!$B:$B,Load!M:M,0,)</f>
        <v>0</v>
      </c>
    </row>
    <row r="3872" spans="1:12" x14ac:dyDescent="0.25">
      <c r="A3872" t="s">
        <v>65</v>
      </c>
      <c r="B3872" t="str">
        <f>_xlfn.XLOOKUP($A3872,Load!$B:$B,Load!C:C,0,)</f>
        <v>Dots</v>
      </c>
      <c r="C3872" t="str">
        <f>_xlfn.XLOOKUP($A3872,Load!$B:$B,Load!D:D,0,)</f>
        <v>Non-Chocolate Candy Only</v>
      </c>
      <c r="D3872" t="str">
        <f>_xlfn.XLOOKUP($A3872,Load!$B:$B,Load!E:E,0,)</f>
        <v>Variety / Mixed Flavors (Fruity, Sour, Seasonal Flavors)</v>
      </c>
      <c r="E3872" t="str">
        <f>_xlfn.XLOOKUP($A3872,Load!$B:$B,Load!F:F,0,)</f>
        <v>Candy Pieces / Bites</v>
      </c>
      <c r="F3872" t="str">
        <f>_xlfn.XLOOKUP($A3872,Load!$B:$B,Load!G:G,0,)</f>
        <v>Medium Multipack (40–80 ct)</v>
      </c>
      <c r="G3872" t="str">
        <f>_xlfn.XLOOKUP($A3872,Load!$B:$B,Load!H:H,0,)</f>
        <v>Box (theatre box, gift box, carton)</v>
      </c>
      <c r="H3872" t="str">
        <f>_xlfn.XLOOKUP($A3872,Load!$B:$B,Load!I:I,0,)</f>
        <v>Seasonal Shapes (like pumpkins, candy corn, ghost, bats, etc.)</v>
      </c>
      <c r="I3872" t="str">
        <f>_xlfn.XLOOKUP($A3872,Load!$B:$B,Load!J:J,0,)</f>
        <v>Seasonal Graphics (Like Bat, Ghost, Pumpkin, Fall Leaves, Eyeballs, etc.)</v>
      </c>
      <c r="J3872" t="str">
        <f>_xlfn.XLOOKUP($A3872,Load!$B:$B,Load!K:K,0,)</f>
        <v>Fun Size / Treat Size</v>
      </c>
      <c r="K3872" t="str">
        <f>_xlfn.XLOOKUP($A3872,Load!$B:$B,Load!L:L,0,)</f>
        <v>Regular/Original Wrapping</v>
      </c>
      <c r="L3872" t="str">
        <f>_xlfn.XLOOKUP($A3872,Load!$B:$B,Load!M:M,0,)</f>
        <v>Single Brand / Variety Flavors or Form</v>
      </c>
    </row>
    <row r="3873" spans="1:12" x14ac:dyDescent="0.25">
      <c r="B3873">
        <f>_xlfn.XLOOKUP($A3873,Load!$B:$B,Load!C:C,0,)</f>
        <v>0</v>
      </c>
      <c r="C3873">
        <f>_xlfn.XLOOKUP($A3873,Load!$B:$B,Load!D:D,0,)</f>
        <v>0</v>
      </c>
      <c r="D3873">
        <f>_xlfn.XLOOKUP($A3873,Load!$B:$B,Load!E:E,0,)</f>
        <v>0</v>
      </c>
      <c r="E3873">
        <f>_xlfn.XLOOKUP($A3873,Load!$B:$B,Load!F:F,0,)</f>
        <v>0</v>
      </c>
      <c r="F3873">
        <f>_xlfn.XLOOKUP($A3873,Load!$B:$B,Load!G:G,0,)</f>
        <v>0</v>
      </c>
      <c r="G3873">
        <f>_xlfn.XLOOKUP($A3873,Load!$B:$B,Load!H:H,0,)</f>
        <v>0</v>
      </c>
      <c r="H3873">
        <f>_xlfn.XLOOKUP($A3873,Load!$B:$B,Load!I:I,0,)</f>
        <v>0</v>
      </c>
      <c r="I3873">
        <f>_xlfn.XLOOKUP($A3873,Load!$B:$B,Load!J:J,0,)</f>
        <v>0</v>
      </c>
      <c r="J3873">
        <f>_xlfn.XLOOKUP($A3873,Load!$B:$B,Load!K:K,0,)</f>
        <v>0</v>
      </c>
      <c r="K3873">
        <f>_xlfn.XLOOKUP($A3873,Load!$B:$B,Load!L:L,0,)</f>
        <v>0</v>
      </c>
      <c r="L3873">
        <f>_xlfn.XLOOKUP($A3873,Load!$B:$B,Load!M:M,0,)</f>
        <v>0</v>
      </c>
    </row>
    <row r="3874" spans="1:12" x14ac:dyDescent="0.25">
      <c r="A3874" t="s">
        <v>293</v>
      </c>
      <c r="B3874" t="str">
        <f>_xlfn.XLOOKUP($A3874,Load!$B:$B,Load!C:C,0,)</f>
        <v>Tootsie</v>
      </c>
      <c r="C3874" t="str">
        <f>_xlfn.XLOOKUP($A3874,Load!$B:$B,Load!D:D,0,)</f>
        <v>Mix of Chocolate and Non-Chocolate Candy</v>
      </c>
      <c r="D3874" t="str">
        <f>_xlfn.XLOOKUP($A3874,Load!$B:$B,Load!E:E,0,)</f>
        <v>Sweet</v>
      </c>
      <c r="E3874" t="str">
        <f>_xlfn.XLOOKUP($A3874,Load!$B:$B,Load!F:F,0,)</f>
        <v>Lollipop (regular or lollipop rings)</v>
      </c>
      <c r="F3874" t="str">
        <f>_xlfn.XLOOKUP($A3874,Load!$B:$B,Load!G:G,0,)</f>
        <v>Large Multipack (More than 80 ct)</v>
      </c>
      <c r="G3874" t="str">
        <f>_xlfn.XLOOKUP($A3874,Load!$B:$B,Load!H:H,0,)</f>
        <v>Laydown Bag</v>
      </c>
      <c r="H3874" t="str">
        <f>_xlfn.XLOOKUP($A3874,Load!$B:$B,Load!I:I,0,)</f>
        <v>Everyday Candy Shapes (like Original, Gummy bear, Fruit, Jewels, etc.)</v>
      </c>
      <c r="I3874" t="str">
        <f>_xlfn.XLOOKUP($A3874,Load!$B:$B,Load!J:J,0,)</f>
        <v>Everyday Graphics</v>
      </c>
      <c r="J3874" t="str">
        <f>_xlfn.XLOOKUP($A3874,Load!$B:$B,Load!K:K,0,)</f>
        <v>Regular Lollipop size (on sticks or rings)</v>
      </c>
      <c r="K3874" t="str">
        <f>_xlfn.XLOOKUP($A3874,Load!$B:$B,Load!L:L,0,)</f>
        <v>Regular/Original Wrapping</v>
      </c>
      <c r="L3874" t="str">
        <f>_xlfn.XLOOKUP($A3874,Load!$B:$B,Load!M:M,0,)</f>
        <v>Single Brand / Single Flavor or Form</v>
      </c>
    </row>
    <row r="3875" spans="1:12" x14ac:dyDescent="0.25">
      <c r="B3875">
        <f>_xlfn.XLOOKUP($A3875,Load!$B:$B,Load!C:C,0,)</f>
        <v>0</v>
      </c>
      <c r="C3875">
        <f>_xlfn.XLOOKUP($A3875,Load!$B:$B,Load!D:D,0,)</f>
        <v>0</v>
      </c>
      <c r="D3875">
        <f>_xlfn.XLOOKUP($A3875,Load!$B:$B,Load!E:E,0,)</f>
        <v>0</v>
      </c>
      <c r="E3875">
        <f>_xlfn.XLOOKUP($A3875,Load!$B:$B,Load!F:F,0,)</f>
        <v>0</v>
      </c>
      <c r="F3875">
        <f>_xlfn.XLOOKUP($A3875,Load!$B:$B,Load!G:G,0,)</f>
        <v>0</v>
      </c>
      <c r="G3875">
        <f>_xlfn.XLOOKUP($A3875,Load!$B:$B,Load!H:H,0,)</f>
        <v>0</v>
      </c>
      <c r="H3875">
        <f>_xlfn.XLOOKUP($A3875,Load!$B:$B,Load!I:I,0,)</f>
        <v>0</v>
      </c>
      <c r="I3875">
        <f>_xlfn.XLOOKUP($A3875,Load!$B:$B,Load!J:J,0,)</f>
        <v>0</v>
      </c>
      <c r="J3875">
        <f>_xlfn.XLOOKUP($A3875,Load!$B:$B,Load!K:K,0,)</f>
        <v>0</v>
      </c>
      <c r="K3875">
        <f>_xlfn.XLOOKUP($A3875,Load!$B:$B,Load!L:L,0,)</f>
        <v>0</v>
      </c>
      <c r="L3875">
        <f>_xlfn.XLOOKUP($A3875,Load!$B:$B,Load!M:M,0,)</f>
        <v>0</v>
      </c>
    </row>
    <row r="3876" spans="1:12" x14ac:dyDescent="0.25">
      <c r="B3876">
        <f>_xlfn.XLOOKUP($A3876,Load!$B:$B,Load!C:C,0,)</f>
        <v>0</v>
      </c>
      <c r="C3876">
        <f>_xlfn.XLOOKUP($A3876,Load!$B:$B,Load!D:D,0,)</f>
        <v>0</v>
      </c>
      <c r="D3876">
        <f>_xlfn.XLOOKUP($A3876,Load!$B:$B,Load!E:E,0,)</f>
        <v>0</v>
      </c>
      <c r="E3876">
        <f>_xlfn.XLOOKUP($A3876,Load!$B:$B,Load!F:F,0,)</f>
        <v>0</v>
      </c>
      <c r="F3876">
        <f>_xlfn.XLOOKUP($A3876,Load!$B:$B,Load!G:G,0,)</f>
        <v>0</v>
      </c>
      <c r="G3876">
        <f>_xlfn.XLOOKUP($A3876,Load!$B:$B,Load!H:H,0,)</f>
        <v>0</v>
      </c>
      <c r="H3876">
        <f>_xlfn.XLOOKUP($A3876,Load!$B:$B,Load!I:I,0,)</f>
        <v>0</v>
      </c>
      <c r="I3876">
        <f>_xlfn.XLOOKUP($A3876,Load!$B:$B,Load!J:J,0,)</f>
        <v>0</v>
      </c>
      <c r="J3876">
        <f>_xlfn.XLOOKUP($A3876,Load!$B:$B,Load!K:K,0,)</f>
        <v>0</v>
      </c>
      <c r="K3876">
        <f>_xlfn.XLOOKUP($A3876,Load!$B:$B,Load!L:L,0,)</f>
        <v>0</v>
      </c>
      <c r="L3876">
        <f>_xlfn.XLOOKUP($A3876,Load!$B:$B,Load!M:M,0,)</f>
        <v>0</v>
      </c>
    </row>
    <row r="3877" spans="1:12" x14ac:dyDescent="0.25">
      <c r="B3877">
        <f>_xlfn.XLOOKUP($A3877,Load!$B:$B,Load!C:C,0,)</f>
        <v>0</v>
      </c>
      <c r="C3877">
        <f>_xlfn.XLOOKUP($A3877,Load!$B:$B,Load!D:D,0,)</f>
        <v>0</v>
      </c>
      <c r="D3877">
        <f>_xlfn.XLOOKUP($A3877,Load!$B:$B,Load!E:E,0,)</f>
        <v>0</v>
      </c>
      <c r="E3877">
        <f>_xlfn.XLOOKUP($A3877,Load!$B:$B,Load!F:F,0,)</f>
        <v>0</v>
      </c>
      <c r="F3877">
        <f>_xlfn.XLOOKUP($A3877,Load!$B:$B,Load!G:G,0,)</f>
        <v>0</v>
      </c>
      <c r="G3877">
        <f>_xlfn.XLOOKUP($A3877,Load!$B:$B,Load!H:H,0,)</f>
        <v>0</v>
      </c>
      <c r="H3877">
        <f>_xlfn.XLOOKUP($A3877,Load!$B:$B,Load!I:I,0,)</f>
        <v>0</v>
      </c>
      <c r="I3877">
        <f>_xlfn.XLOOKUP($A3877,Load!$B:$B,Load!J:J,0,)</f>
        <v>0</v>
      </c>
      <c r="J3877">
        <f>_xlfn.XLOOKUP($A3877,Load!$B:$B,Load!K:K,0,)</f>
        <v>0</v>
      </c>
      <c r="K3877">
        <f>_xlfn.XLOOKUP($A3877,Load!$B:$B,Load!L:L,0,)</f>
        <v>0</v>
      </c>
      <c r="L3877">
        <f>_xlfn.XLOOKUP($A3877,Load!$B:$B,Load!M:M,0,)</f>
        <v>0</v>
      </c>
    </row>
    <row r="3878" spans="1:12" x14ac:dyDescent="0.25">
      <c r="B3878">
        <f>_xlfn.XLOOKUP($A3878,Load!$B:$B,Load!C:C,0,)</f>
        <v>0</v>
      </c>
      <c r="C3878">
        <f>_xlfn.XLOOKUP($A3878,Load!$B:$B,Load!D:D,0,)</f>
        <v>0</v>
      </c>
      <c r="D3878">
        <f>_xlfn.XLOOKUP($A3878,Load!$B:$B,Load!E:E,0,)</f>
        <v>0</v>
      </c>
      <c r="E3878">
        <f>_xlfn.XLOOKUP($A3878,Load!$B:$B,Load!F:F,0,)</f>
        <v>0</v>
      </c>
      <c r="F3878">
        <f>_xlfn.XLOOKUP($A3878,Load!$B:$B,Load!G:G,0,)</f>
        <v>0</v>
      </c>
      <c r="G3878">
        <f>_xlfn.XLOOKUP($A3878,Load!$B:$B,Load!H:H,0,)</f>
        <v>0</v>
      </c>
      <c r="H3878">
        <f>_xlfn.XLOOKUP($A3878,Load!$B:$B,Load!I:I,0,)</f>
        <v>0</v>
      </c>
      <c r="I3878">
        <f>_xlfn.XLOOKUP($A3878,Load!$B:$B,Load!J:J,0,)</f>
        <v>0</v>
      </c>
      <c r="J3878">
        <f>_xlfn.XLOOKUP($A3878,Load!$B:$B,Load!K:K,0,)</f>
        <v>0</v>
      </c>
      <c r="K3878">
        <f>_xlfn.XLOOKUP($A3878,Load!$B:$B,Load!L:L,0,)</f>
        <v>0</v>
      </c>
      <c r="L3878">
        <f>_xlfn.XLOOKUP($A3878,Load!$B:$B,Load!M:M,0,)</f>
        <v>0</v>
      </c>
    </row>
    <row r="3879" spans="1:12" x14ac:dyDescent="0.25">
      <c r="B3879">
        <f>_xlfn.XLOOKUP($A3879,Load!$B:$B,Load!C:C,0,)</f>
        <v>0</v>
      </c>
      <c r="C3879">
        <f>_xlfn.XLOOKUP($A3879,Load!$B:$B,Load!D:D,0,)</f>
        <v>0</v>
      </c>
      <c r="D3879">
        <f>_xlfn.XLOOKUP($A3879,Load!$B:$B,Load!E:E,0,)</f>
        <v>0</v>
      </c>
      <c r="E3879">
        <f>_xlfn.XLOOKUP($A3879,Load!$B:$B,Load!F:F,0,)</f>
        <v>0</v>
      </c>
      <c r="F3879">
        <f>_xlfn.XLOOKUP($A3879,Load!$B:$B,Load!G:G,0,)</f>
        <v>0</v>
      </c>
      <c r="G3879">
        <f>_xlfn.XLOOKUP($A3879,Load!$B:$B,Load!H:H,0,)</f>
        <v>0</v>
      </c>
      <c r="H3879">
        <f>_xlfn.XLOOKUP($A3879,Load!$B:$B,Load!I:I,0,)</f>
        <v>0</v>
      </c>
      <c r="I3879">
        <f>_xlfn.XLOOKUP($A3879,Load!$B:$B,Load!J:J,0,)</f>
        <v>0</v>
      </c>
      <c r="J3879">
        <f>_xlfn.XLOOKUP($A3879,Load!$B:$B,Load!K:K,0,)</f>
        <v>0</v>
      </c>
      <c r="K3879">
        <f>_xlfn.XLOOKUP($A3879,Load!$B:$B,Load!L:L,0,)</f>
        <v>0</v>
      </c>
      <c r="L3879">
        <f>_xlfn.XLOOKUP($A3879,Load!$B:$B,Load!M:M,0,)</f>
        <v>0</v>
      </c>
    </row>
    <row r="3880" spans="1:12" x14ac:dyDescent="0.25">
      <c r="B3880">
        <f>_xlfn.XLOOKUP($A3880,Load!$B:$B,Load!C:C,0,)</f>
        <v>0</v>
      </c>
      <c r="C3880">
        <f>_xlfn.XLOOKUP($A3880,Load!$B:$B,Load!D:D,0,)</f>
        <v>0</v>
      </c>
      <c r="D3880">
        <f>_xlfn.XLOOKUP($A3880,Load!$B:$B,Load!E:E,0,)</f>
        <v>0</v>
      </c>
      <c r="E3880">
        <f>_xlfn.XLOOKUP($A3880,Load!$B:$B,Load!F:F,0,)</f>
        <v>0</v>
      </c>
      <c r="F3880">
        <f>_xlfn.XLOOKUP($A3880,Load!$B:$B,Load!G:G,0,)</f>
        <v>0</v>
      </c>
      <c r="G3880">
        <f>_xlfn.XLOOKUP($A3880,Load!$B:$B,Load!H:H,0,)</f>
        <v>0</v>
      </c>
      <c r="H3880">
        <f>_xlfn.XLOOKUP($A3880,Load!$B:$B,Load!I:I,0,)</f>
        <v>0</v>
      </c>
      <c r="I3880">
        <f>_xlfn.XLOOKUP($A3880,Load!$B:$B,Load!J:J,0,)</f>
        <v>0</v>
      </c>
      <c r="J3880">
        <f>_xlfn.XLOOKUP($A3880,Load!$B:$B,Load!K:K,0,)</f>
        <v>0</v>
      </c>
      <c r="K3880">
        <f>_xlfn.XLOOKUP($A3880,Load!$B:$B,Load!L:L,0,)</f>
        <v>0</v>
      </c>
      <c r="L3880">
        <f>_xlfn.XLOOKUP($A3880,Load!$B:$B,Load!M:M,0,)</f>
        <v>0</v>
      </c>
    </row>
    <row r="3881" spans="1:12" x14ac:dyDescent="0.25">
      <c r="B3881">
        <f>_xlfn.XLOOKUP($A3881,Load!$B:$B,Load!C:C,0,)</f>
        <v>0</v>
      </c>
      <c r="C3881">
        <f>_xlfn.XLOOKUP($A3881,Load!$B:$B,Load!D:D,0,)</f>
        <v>0</v>
      </c>
      <c r="D3881">
        <f>_xlfn.XLOOKUP($A3881,Load!$B:$B,Load!E:E,0,)</f>
        <v>0</v>
      </c>
      <c r="E3881">
        <f>_xlfn.XLOOKUP($A3881,Load!$B:$B,Load!F:F,0,)</f>
        <v>0</v>
      </c>
      <c r="F3881">
        <f>_xlfn.XLOOKUP($A3881,Load!$B:$B,Load!G:G,0,)</f>
        <v>0</v>
      </c>
      <c r="G3881">
        <f>_xlfn.XLOOKUP($A3881,Load!$B:$B,Load!H:H,0,)</f>
        <v>0</v>
      </c>
      <c r="H3881">
        <f>_xlfn.XLOOKUP($A3881,Load!$B:$B,Load!I:I,0,)</f>
        <v>0</v>
      </c>
      <c r="I3881">
        <f>_xlfn.XLOOKUP($A3881,Load!$B:$B,Load!J:J,0,)</f>
        <v>0</v>
      </c>
      <c r="J3881">
        <f>_xlfn.XLOOKUP($A3881,Load!$B:$B,Load!K:K,0,)</f>
        <v>0</v>
      </c>
      <c r="K3881">
        <f>_xlfn.XLOOKUP($A3881,Load!$B:$B,Load!L:L,0,)</f>
        <v>0</v>
      </c>
      <c r="L3881">
        <f>_xlfn.XLOOKUP($A3881,Load!$B:$B,Load!M:M,0,)</f>
        <v>0</v>
      </c>
    </row>
    <row r="3882" spans="1:12" x14ac:dyDescent="0.25">
      <c r="A3882" t="s">
        <v>65</v>
      </c>
      <c r="B3882" t="str">
        <f>_xlfn.XLOOKUP($A3882,Load!$B:$B,Load!C:C,0,)</f>
        <v>Dots</v>
      </c>
      <c r="C3882" t="str">
        <f>_xlfn.XLOOKUP($A3882,Load!$B:$B,Load!D:D,0,)</f>
        <v>Non-Chocolate Candy Only</v>
      </c>
      <c r="D3882" t="str">
        <f>_xlfn.XLOOKUP($A3882,Load!$B:$B,Load!E:E,0,)</f>
        <v>Variety / Mixed Flavors (Fruity, Sour, Seasonal Flavors)</v>
      </c>
      <c r="E3882" t="str">
        <f>_xlfn.XLOOKUP($A3882,Load!$B:$B,Load!F:F,0,)</f>
        <v>Candy Pieces / Bites</v>
      </c>
      <c r="F3882" t="str">
        <f>_xlfn.XLOOKUP($A3882,Load!$B:$B,Load!G:G,0,)</f>
        <v>Medium Multipack (40–80 ct)</v>
      </c>
      <c r="G3882" t="str">
        <f>_xlfn.XLOOKUP($A3882,Load!$B:$B,Load!H:H,0,)</f>
        <v>Box (theatre box, gift box, carton)</v>
      </c>
      <c r="H3882" t="str">
        <f>_xlfn.XLOOKUP($A3882,Load!$B:$B,Load!I:I,0,)</f>
        <v>Seasonal Shapes (like pumpkins, candy corn, ghost, bats, etc.)</v>
      </c>
      <c r="I3882" t="str">
        <f>_xlfn.XLOOKUP($A3882,Load!$B:$B,Load!J:J,0,)</f>
        <v>Seasonal Graphics (Like Bat, Ghost, Pumpkin, Fall Leaves, Eyeballs, etc.)</v>
      </c>
      <c r="J3882" t="str">
        <f>_xlfn.XLOOKUP($A3882,Load!$B:$B,Load!K:K,0,)</f>
        <v>Fun Size / Treat Size</v>
      </c>
      <c r="K3882" t="str">
        <f>_xlfn.XLOOKUP($A3882,Load!$B:$B,Load!L:L,0,)</f>
        <v>Regular/Original Wrapping</v>
      </c>
      <c r="L3882" t="str">
        <f>_xlfn.XLOOKUP($A3882,Load!$B:$B,Load!M:M,0,)</f>
        <v>Single Brand / Variety Flavors or Form</v>
      </c>
    </row>
    <row r="3883" spans="1:12" x14ac:dyDescent="0.25">
      <c r="B3883">
        <f>_xlfn.XLOOKUP($A3883,Load!$B:$B,Load!C:C,0,)</f>
        <v>0</v>
      </c>
      <c r="C3883">
        <f>_xlfn.XLOOKUP($A3883,Load!$B:$B,Load!D:D,0,)</f>
        <v>0</v>
      </c>
      <c r="D3883">
        <f>_xlfn.XLOOKUP($A3883,Load!$B:$B,Load!E:E,0,)</f>
        <v>0</v>
      </c>
      <c r="E3883">
        <f>_xlfn.XLOOKUP($A3883,Load!$B:$B,Load!F:F,0,)</f>
        <v>0</v>
      </c>
      <c r="F3883">
        <f>_xlfn.XLOOKUP($A3883,Load!$B:$B,Load!G:G,0,)</f>
        <v>0</v>
      </c>
      <c r="G3883">
        <f>_xlfn.XLOOKUP($A3883,Load!$B:$B,Load!H:H,0,)</f>
        <v>0</v>
      </c>
      <c r="H3883">
        <f>_xlfn.XLOOKUP($A3883,Load!$B:$B,Load!I:I,0,)</f>
        <v>0</v>
      </c>
      <c r="I3883">
        <f>_xlfn.XLOOKUP($A3883,Load!$B:$B,Load!J:J,0,)</f>
        <v>0</v>
      </c>
      <c r="J3883">
        <f>_xlfn.XLOOKUP($A3883,Load!$B:$B,Load!K:K,0,)</f>
        <v>0</v>
      </c>
      <c r="K3883">
        <f>_xlfn.XLOOKUP($A3883,Load!$B:$B,Load!L:L,0,)</f>
        <v>0</v>
      </c>
      <c r="L3883">
        <f>_xlfn.XLOOKUP($A3883,Load!$B:$B,Load!M:M,0,)</f>
        <v>0</v>
      </c>
    </row>
    <row r="3884" spans="1:12" x14ac:dyDescent="0.25">
      <c r="A3884" t="s">
        <v>2</v>
      </c>
      <c r="B3884" t="str">
        <f>_xlfn.XLOOKUP($A3884,Load!$B:$B,Load!C:C,0,)</f>
        <v>Airheads</v>
      </c>
      <c r="C3884" t="str">
        <f>_xlfn.XLOOKUP($A3884,Load!$B:$B,Load!D:D,0,)</f>
        <v>Non-Chocolate Candy Only</v>
      </c>
      <c r="D3884" t="str">
        <f>_xlfn.XLOOKUP($A3884,Load!$B:$B,Load!E:E,0,)</f>
        <v>Variety / Mixed Flavors (Fruity, Sour, Seasonal Flavors)</v>
      </c>
      <c r="E3884" t="str">
        <f>_xlfn.XLOOKUP($A3884,Load!$B:$B,Load!F:F,0,)</f>
        <v>Chewy</v>
      </c>
      <c r="F3884" t="str">
        <f>_xlfn.XLOOKUP($A3884,Load!$B:$B,Load!G:G,0,)</f>
        <v>Medium Multipack (40–80 ct)</v>
      </c>
      <c r="G3884" t="str">
        <f>_xlfn.XLOOKUP($A3884,Load!$B:$B,Load!H:H,0,)</f>
        <v>Box (theatre box, gift box, carton)</v>
      </c>
      <c r="H3884" t="str">
        <f>_xlfn.XLOOKUP($A3884,Load!$B:$B,Load!I:I,0,)</f>
        <v>Everyday Candy Shapes (like Original, Gummy bear, Fruit, Jewels, etc.)</v>
      </c>
      <c r="I3884" t="str">
        <f>_xlfn.XLOOKUP($A3884,Load!$B:$B,Load!J:J,0,)</f>
        <v>Seasonal Graphics (Like Bat, Ghost, Pumpkin, Fall Leaves, Eyeballs, etc.)</v>
      </c>
      <c r="J3884" t="str">
        <f>_xlfn.XLOOKUP($A3884,Load!$B:$B,Load!K:K,0,)</f>
        <v>Fun Size / Treat Size</v>
      </c>
      <c r="K3884" t="str">
        <f>_xlfn.XLOOKUP($A3884,Load!$B:$B,Load!L:L,0,)</f>
        <v>Regular/Original Wrapping</v>
      </c>
      <c r="L3884" t="str">
        <f>_xlfn.XLOOKUP($A3884,Load!$B:$B,Load!M:M,0,)</f>
        <v>Single Brand / Variety Flavors or Form</v>
      </c>
    </row>
    <row r="3885" spans="1:12" x14ac:dyDescent="0.25">
      <c r="B3885">
        <f>_xlfn.XLOOKUP($A3885,Load!$B:$B,Load!C:C,0,)</f>
        <v>0</v>
      </c>
      <c r="C3885">
        <f>_xlfn.XLOOKUP($A3885,Load!$B:$B,Load!D:D,0,)</f>
        <v>0</v>
      </c>
      <c r="D3885">
        <f>_xlfn.XLOOKUP($A3885,Load!$B:$B,Load!E:E,0,)</f>
        <v>0</v>
      </c>
      <c r="E3885">
        <f>_xlfn.XLOOKUP($A3885,Load!$B:$B,Load!F:F,0,)</f>
        <v>0</v>
      </c>
      <c r="F3885">
        <f>_xlfn.XLOOKUP($A3885,Load!$B:$B,Load!G:G,0,)</f>
        <v>0</v>
      </c>
      <c r="G3885">
        <f>_xlfn.XLOOKUP($A3885,Load!$B:$B,Load!H:H,0,)</f>
        <v>0</v>
      </c>
      <c r="H3885">
        <f>_xlfn.XLOOKUP($A3885,Load!$B:$B,Load!I:I,0,)</f>
        <v>0</v>
      </c>
      <c r="I3885">
        <f>_xlfn.XLOOKUP($A3885,Load!$B:$B,Load!J:J,0,)</f>
        <v>0</v>
      </c>
      <c r="J3885">
        <f>_xlfn.XLOOKUP($A3885,Load!$B:$B,Load!K:K,0,)</f>
        <v>0</v>
      </c>
      <c r="K3885">
        <f>_xlfn.XLOOKUP($A3885,Load!$B:$B,Load!L:L,0,)</f>
        <v>0</v>
      </c>
      <c r="L3885">
        <f>_xlfn.XLOOKUP($A3885,Load!$B:$B,Load!M:M,0,)</f>
        <v>0</v>
      </c>
    </row>
    <row r="3886" spans="1:12" x14ac:dyDescent="0.25">
      <c r="A3886" t="s">
        <v>290</v>
      </c>
      <c r="B3886" t="str">
        <f>_xlfn.XLOOKUP($A3886,Load!$B:$B,Load!C:C,0,)</f>
        <v>Tootsie</v>
      </c>
      <c r="C3886" t="str">
        <f>_xlfn.XLOOKUP($A3886,Load!$B:$B,Load!D:D,0,)</f>
        <v>Mix of Chocolate and Non-Chocolate Candy</v>
      </c>
      <c r="D3886" t="str">
        <f>_xlfn.XLOOKUP($A3886,Load!$B:$B,Load!E:E,0,)</f>
        <v>Variety / Mixed Flavors (Fruity, Sour, Seasonal Flavors)</v>
      </c>
      <c r="E3886" t="str">
        <f>_xlfn.XLOOKUP($A3886,Load!$B:$B,Load!F:F,0,)</f>
        <v>Mixed / Combo Packs (Gummy, Chewy, Taffy, etc.)</v>
      </c>
      <c r="F3886" t="str">
        <f>_xlfn.XLOOKUP($A3886,Load!$B:$B,Load!G:G,0,)</f>
        <v>Large Multipack (More than 80 ct)</v>
      </c>
      <c r="G3886" t="str">
        <f>_xlfn.XLOOKUP($A3886,Load!$B:$B,Load!H:H,0,)</f>
        <v>Laydown Bag</v>
      </c>
      <c r="H3886" t="str">
        <f>_xlfn.XLOOKUP($A3886,Load!$B:$B,Load!I:I,0,)</f>
        <v>Everyday Candy Shapes (like Original, Gummy bear, Fruit, Jewels, etc.)</v>
      </c>
      <c r="I3886" t="str">
        <f>_xlfn.XLOOKUP($A3886,Load!$B:$B,Load!J:J,0,)</f>
        <v>Everyday Graphics</v>
      </c>
      <c r="J3886" t="str">
        <f>_xlfn.XLOOKUP($A3886,Load!$B:$B,Load!K:K,0,)</f>
        <v>Fun Size / Treat Size</v>
      </c>
      <c r="K3886" t="str">
        <f>_xlfn.XLOOKUP($A3886,Load!$B:$B,Load!L:L,0,)</f>
        <v>Regular/Original Wrapping</v>
      </c>
      <c r="L3886" t="str">
        <f>_xlfn.XLOOKUP($A3886,Load!$B:$B,Load!M:M,0,)</f>
        <v>Single Brand / Variety Flavors or Form</v>
      </c>
    </row>
    <row r="3887" spans="1:12" x14ac:dyDescent="0.25">
      <c r="B3887">
        <f>_xlfn.XLOOKUP($A3887,Load!$B:$B,Load!C:C,0,)</f>
        <v>0</v>
      </c>
      <c r="C3887">
        <f>_xlfn.XLOOKUP($A3887,Load!$B:$B,Load!D:D,0,)</f>
        <v>0</v>
      </c>
      <c r="D3887">
        <f>_xlfn.XLOOKUP($A3887,Load!$B:$B,Load!E:E,0,)</f>
        <v>0</v>
      </c>
      <c r="E3887">
        <f>_xlfn.XLOOKUP($A3887,Load!$B:$B,Load!F:F,0,)</f>
        <v>0</v>
      </c>
      <c r="F3887">
        <f>_xlfn.XLOOKUP($A3887,Load!$B:$B,Load!G:G,0,)</f>
        <v>0</v>
      </c>
      <c r="G3887">
        <f>_xlfn.XLOOKUP($A3887,Load!$B:$B,Load!H:H,0,)</f>
        <v>0</v>
      </c>
      <c r="H3887">
        <f>_xlfn.XLOOKUP($A3887,Load!$B:$B,Load!I:I,0,)</f>
        <v>0</v>
      </c>
      <c r="I3887">
        <f>_xlfn.XLOOKUP($A3887,Load!$B:$B,Load!J:J,0,)</f>
        <v>0</v>
      </c>
      <c r="J3887">
        <f>_xlfn.XLOOKUP($A3887,Load!$B:$B,Load!K:K,0,)</f>
        <v>0</v>
      </c>
      <c r="K3887">
        <f>_xlfn.XLOOKUP($A3887,Load!$B:$B,Load!L:L,0,)</f>
        <v>0</v>
      </c>
      <c r="L3887">
        <f>_xlfn.XLOOKUP($A3887,Load!$B:$B,Load!M:M,0,)</f>
        <v>0</v>
      </c>
    </row>
    <row r="3888" spans="1:12" x14ac:dyDescent="0.25">
      <c r="B3888">
        <f>_xlfn.XLOOKUP($A3888,Load!$B:$B,Load!C:C,0,)</f>
        <v>0</v>
      </c>
      <c r="C3888">
        <f>_xlfn.XLOOKUP($A3888,Load!$B:$B,Load!D:D,0,)</f>
        <v>0</v>
      </c>
      <c r="D3888">
        <f>_xlfn.XLOOKUP($A3888,Load!$B:$B,Load!E:E,0,)</f>
        <v>0</v>
      </c>
      <c r="E3888">
        <f>_xlfn.XLOOKUP($A3888,Load!$B:$B,Load!F:F,0,)</f>
        <v>0</v>
      </c>
      <c r="F3888">
        <f>_xlfn.XLOOKUP($A3888,Load!$B:$B,Load!G:G,0,)</f>
        <v>0</v>
      </c>
      <c r="G3888">
        <f>_xlfn.XLOOKUP($A3888,Load!$B:$B,Load!H:H,0,)</f>
        <v>0</v>
      </c>
      <c r="H3888">
        <f>_xlfn.XLOOKUP($A3888,Load!$B:$B,Load!I:I,0,)</f>
        <v>0</v>
      </c>
      <c r="I3888">
        <f>_xlfn.XLOOKUP($A3888,Load!$B:$B,Load!J:J,0,)</f>
        <v>0</v>
      </c>
      <c r="J3888">
        <f>_xlfn.XLOOKUP($A3888,Load!$B:$B,Load!K:K,0,)</f>
        <v>0</v>
      </c>
      <c r="K3888">
        <f>_xlfn.XLOOKUP($A3888,Load!$B:$B,Load!L:L,0,)</f>
        <v>0</v>
      </c>
      <c r="L3888">
        <f>_xlfn.XLOOKUP($A3888,Load!$B:$B,Load!M:M,0,)</f>
        <v>0</v>
      </c>
    </row>
    <row r="3889" spans="1:12" x14ac:dyDescent="0.25">
      <c r="B3889">
        <f>_xlfn.XLOOKUP($A3889,Load!$B:$B,Load!C:C,0,)</f>
        <v>0</v>
      </c>
      <c r="C3889">
        <f>_xlfn.XLOOKUP($A3889,Load!$B:$B,Load!D:D,0,)</f>
        <v>0</v>
      </c>
      <c r="D3889">
        <f>_xlfn.XLOOKUP($A3889,Load!$B:$B,Load!E:E,0,)</f>
        <v>0</v>
      </c>
      <c r="E3889">
        <f>_xlfn.XLOOKUP($A3889,Load!$B:$B,Load!F:F,0,)</f>
        <v>0</v>
      </c>
      <c r="F3889">
        <f>_xlfn.XLOOKUP($A3889,Load!$B:$B,Load!G:G,0,)</f>
        <v>0</v>
      </c>
      <c r="G3889">
        <f>_xlfn.XLOOKUP($A3889,Load!$B:$B,Load!H:H,0,)</f>
        <v>0</v>
      </c>
      <c r="H3889">
        <f>_xlfn.XLOOKUP($A3889,Load!$B:$B,Load!I:I,0,)</f>
        <v>0</v>
      </c>
      <c r="I3889">
        <f>_xlfn.XLOOKUP($A3889,Load!$B:$B,Load!J:J,0,)</f>
        <v>0</v>
      </c>
      <c r="J3889">
        <f>_xlfn.XLOOKUP($A3889,Load!$B:$B,Load!K:K,0,)</f>
        <v>0</v>
      </c>
      <c r="K3889">
        <f>_xlfn.XLOOKUP($A3889,Load!$B:$B,Load!L:L,0,)</f>
        <v>0</v>
      </c>
      <c r="L3889">
        <f>_xlfn.XLOOKUP($A3889,Load!$B:$B,Load!M:M,0,)</f>
        <v>0</v>
      </c>
    </row>
    <row r="3890" spans="1:12" x14ac:dyDescent="0.25">
      <c r="A3890" t="s">
        <v>214</v>
      </c>
      <c r="B3890" t="str">
        <f>_xlfn.XLOOKUP($A3890,Load!$B:$B,Load!C:C,0,)</f>
        <v>Mars Variety Pack</v>
      </c>
      <c r="C3890" t="str">
        <f>_xlfn.XLOOKUP($A3890,Load!$B:$B,Load!D:D,0,)</f>
        <v>Mix of Chocolate and Non-Chocolate Candy</v>
      </c>
      <c r="D3890" t="str">
        <f>_xlfn.XLOOKUP($A3890,Load!$B:$B,Load!E:E,0,)</f>
        <v>Variety / Mixed Flavors (Fruity, Sour, Seasonal Flavors)</v>
      </c>
      <c r="E3890" t="str">
        <f>_xlfn.XLOOKUP($A3890,Load!$B:$B,Load!F:F,0,)</f>
        <v>Mixed / Combo Packs (Gummy, Chewy, Taffy, etc.)</v>
      </c>
      <c r="F3890" t="str">
        <f>_xlfn.XLOOKUP($A3890,Load!$B:$B,Load!G:G,0,)</f>
        <v>Large Multipack (More than 80 ct)</v>
      </c>
      <c r="G3890" t="str">
        <f>_xlfn.XLOOKUP($A3890,Load!$B:$B,Load!H:H,0,)</f>
        <v>Stand-Up Bag</v>
      </c>
      <c r="H3890" t="str">
        <f>_xlfn.XLOOKUP($A3890,Load!$B:$B,Load!I:I,0,)</f>
        <v>Everyday Candy Shapes (like Original, Gummy bear, Fruit, Jewels, etc.)</v>
      </c>
      <c r="I3890" t="str">
        <f>_xlfn.XLOOKUP($A3890,Load!$B:$B,Load!J:J,0,)</f>
        <v>Seasonal Graphics (Like Bat, Ghost, Pumpkin, Fall Leaves, Eyeballs, etc.)</v>
      </c>
      <c r="J3890" t="str">
        <f>_xlfn.XLOOKUP($A3890,Load!$B:$B,Load!K:K,0,)</f>
        <v>Fun Size / Treat Size</v>
      </c>
      <c r="K3890" t="str">
        <f>_xlfn.XLOOKUP($A3890,Load!$B:$B,Load!L:L,0,)</f>
        <v>Regular/Original Wrapping</v>
      </c>
      <c r="L3890" t="str">
        <f>_xlfn.XLOOKUP($A3890,Load!$B:$B,Load!M:M,0,)</f>
        <v>Multiple Brands / Variety Flavors or Form</v>
      </c>
    </row>
    <row r="3891" spans="1:12" x14ac:dyDescent="0.25">
      <c r="B3891">
        <f>_xlfn.XLOOKUP($A3891,Load!$B:$B,Load!C:C,0,)</f>
        <v>0</v>
      </c>
      <c r="C3891">
        <f>_xlfn.XLOOKUP($A3891,Load!$B:$B,Load!D:D,0,)</f>
        <v>0</v>
      </c>
      <c r="D3891">
        <f>_xlfn.XLOOKUP($A3891,Load!$B:$B,Load!E:E,0,)</f>
        <v>0</v>
      </c>
      <c r="E3891">
        <f>_xlfn.XLOOKUP($A3891,Load!$B:$B,Load!F:F,0,)</f>
        <v>0</v>
      </c>
      <c r="F3891">
        <f>_xlfn.XLOOKUP($A3891,Load!$B:$B,Load!G:G,0,)</f>
        <v>0</v>
      </c>
      <c r="G3891">
        <f>_xlfn.XLOOKUP($A3891,Load!$B:$B,Load!H:H,0,)</f>
        <v>0</v>
      </c>
      <c r="H3891">
        <f>_xlfn.XLOOKUP($A3891,Load!$B:$B,Load!I:I,0,)</f>
        <v>0</v>
      </c>
      <c r="I3891">
        <f>_xlfn.XLOOKUP($A3891,Load!$B:$B,Load!J:J,0,)</f>
        <v>0</v>
      </c>
      <c r="J3891">
        <f>_xlfn.XLOOKUP($A3891,Load!$B:$B,Load!K:K,0,)</f>
        <v>0</v>
      </c>
      <c r="K3891">
        <f>_xlfn.XLOOKUP($A3891,Load!$B:$B,Load!L:L,0,)</f>
        <v>0</v>
      </c>
      <c r="L3891">
        <f>_xlfn.XLOOKUP($A3891,Load!$B:$B,Load!M:M,0,)</f>
        <v>0</v>
      </c>
    </row>
    <row r="3892" spans="1:12" x14ac:dyDescent="0.25">
      <c r="B3892">
        <f>_xlfn.XLOOKUP($A3892,Load!$B:$B,Load!C:C,0,)</f>
        <v>0</v>
      </c>
      <c r="C3892">
        <f>_xlfn.XLOOKUP($A3892,Load!$B:$B,Load!D:D,0,)</f>
        <v>0</v>
      </c>
      <c r="D3892">
        <f>_xlfn.XLOOKUP($A3892,Load!$B:$B,Load!E:E,0,)</f>
        <v>0</v>
      </c>
      <c r="E3892">
        <f>_xlfn.XLOOKUP($A3892,Load!$B:$B,Load!F:F,0,)</f>
        <v>0</v>
      </c>
      <c r="F3892">
        <f>_xlfn.XLOOKUP($A3892,Load!$B:$B,Load!G:G,0,)</f>
        <v>0</v>
      </c>
      <c r="G3892">
        <f>_xlfn.XLOOKUP($A3892,Load!$B:$B,Load!H:H,0,)</f>
        <v>0</v>
      </c>
      <c r="H3892">
        <f>_xlfn.XLOOKUP($A3892,Load!$B:$B,Load!I:I,0,)</f>
        <v>0</v>
      </c>
      <c r="I3892">
        <f>_xlfn.XLOOKUP($A3892,Load!$B:$B,Load!J:J,0,)</f>
        <v>0</v>
      </c>
      <c r="J3892">
        <f>_xlfn.XLOOKUP($A3892,Load!$B:$B,Load!K:K,0,)</f>
        <v>0</v>
      </c>
      <c r="K3892">
        <f>_xlfn.XLOOKUP($A3892,Load!$B:$B,Load!L:L,0,)</f>
        <v>0</v>
      </c>
      <c r="L3892">
        <f>_xlfn.XLOOKUP($A3892,Load!$B:$B,Load!M:M,0,)</f>
        <v>0</v>
      </c>
    </row>
    <row r="3893" spans="1:12" x14ac:dyDescent="0.25">
      <c r="B3893">
        <f>_xlfn.XLOOKUP($A3893,Load!$B:$B,Load!C:C,0,)</f>
        <v>0</v>
      </c>
      <c r="C3893">
        <f>_xlfn.XLOOKUP($A3893,Load!$B:$B,Load!D:D,0,)</f>
        <v>0</v>
      </c>
      <c r="D3893">
        <f>_xlfn.XLOOKUP($A3893,Load!$B:$B,Load!E:E,0,)</f>
        <v>0</v>
      </c>
      <c r="E3893">
        <f>_xlfn.XLOOKUP($A3893,Load!$B:$B,Load!F:F,0,)</f>
        <v>0</v>
      </c>
      <c r="F3893">
        <f>_xlfn.XLOOKUP($A3893,Load!$B:$B,Load!G:G,0,)</f>
        <v>0</v>
      </c>
      <c r="G3893">
        <f>_xlfn.XLOOKUP($A3893,Load!$B:$B,Load!H:H,0,)</f>
        <v>0</v>
      </c>
      <c r="H3893">
        <f>_xlfn.XLOOKUP($A3893,Load!$B:$B,Load!I:I,0,)</f>
        <v>0</v>
      </c>
      <c r="I3893">
        <f>_xlfn.XLOOKUP($A3893,Load!$B:$B,Load!J:J,0,)</f>
        <v>0</v>
      </c>
      <c r="J3893">
        <f>_xlfn.XLOOKUP($A3893,Load!$B:$B,Load!K:K,0,)</f>
        <v>0</v>
      </c>
      <c r="K3893">
        <f>_xlfn.XLOOKUP($A3893,Load!$B:$B,Load!L:L,0,)</f>
        <v>0</v>
      </c>
      <c r="L3893">
        <f>_xlfn.XLOOKUP($A3893,Load!$B:$B,Load!M:M,0,)</f>
        <v>0</v>
      </c>
    </row>
    <row r="3894" spans="1:12" x14ac:dyDescent="0.25">
      <c r="A3894" t="s">
        <v>77</v>
      </c>
      <c r="B3894" t="str">
        <f>_xlfn.XLOOKUP($A3894,Load!$B:$B,Load!C:C,0,)</f>
        <v>Ferrara Variety Pack</v>
      </c>
      <c r="C3894" t="str">
        <f>_xlfn.XLOOKUP($A3894,Load!$B:$B,Load!D:D,0,)</f>
        <v>Non-Chocolate Candy Only</v>
      </c>
      <c r="D3894" t="str">
        <f>_xlfn.XLOOKUP($A3894,Load!$B:$B,Load!E:E,0,)</f>
        <v>Variety / Mixed Flavors (Fruity, Sour, Seasonal Flavors)</v>
      </c>
      <c r="E3894" t="str">
        <f>_xlfn.XLOOKUP($A3894,Load!$B:$B,Load!F:F,0,)</f>
        <v>Mixed / Combo Packs (Gummy, Chewy, Taffy, etc.)</v>
      </c>
      <c r="F3894" t="str">
        <f>_xlfn.XLOOKUP($A3894,Load!$B:$B,Load!G:G,0,)</f>
        <v>Medium Multipack (40–80 ct)</v>
      </c>
      <c r="G3894" t="str">
        <f>_xlfn.XLOOKUP($A3894,Load!$B:$B,Load!H:H,0,)</f>
        <v>Stand-Up Bag</v>
      </c>
      <c r="H3894" t="str">
        <f>_xlfn.XLOOKUP($A3894,Load!$B:$B,Load!I:I,0,)</f>
        <v>Everyday Candy Shapes (like Original, Gummy bear, Fruit, Jewels, etc.)</v>
      </c>
      <c r="I3894" t="str">
        <f>_xlfn.XLOOKUP($A3894,Load!$B:$B,Load!J:J,0,)</f>
        <v>Seasonal Graphics (Like Bat, Ghost, Pumpkin, Fall Leaves, Eyeballs, etc.)</v>
      </c>
      <c r="J3894" t="str">
        <f>_xlfn.XLOOKUP($A3894,Load!$B:$B,Load!K:K,0,)</f>
        <v>Fun Size / Treat Size</v>
      </c>
      <c r="K3894" t="str">
        <f>_xlfn.XLOOKUP($A3894,Load!$B:$B,Load!L:L,0,)</f>
        <v>Regular/Original Wrapping</v>
      </c>
      <c r="L3894" t="str">
        <f>_xlfn.XLOOKUP($A3894,Load!$B:$B,Load!M:M,0,)</f>
        <v>Multiple Brands / Variety Flavors or Form</v>
      </c>
    </row>
    <row r="3895" spans="1:12" x14ac:dyDescent="0.25">
      <c r="B3895">
        <f>_xlfn.XLOOKUP($A3895,Load!$B:$B,Load!C:C,0,)</f>
        <v>0</v>
      </c>
      <c r="C3895">
        <f>_xlfn.XLOOKUP($A3895,Load!$B:$B,Load!D:D,0,)</f>
        <v>0</v>
      </c>
      <c r="D3895">
        <f>_xlfn.XLOOKUP($A3895,Load!$B:$B,Load!E:E,0,)</f>
        <v>0</v>
      </c>
      <c r="E3895">
        <f>_xlfn.XLOOKUP($A3895,Load!$B:$B,Load!F:F,0,)</f>
        <v>0</v>
      </c>
      <c r="F3895">
        <f>_xlfn.XLOOKUP($A3895,Load!$B:$B,Load!G:G,0,)</f>
        <v>0</v>
      </c>
      <c r="G3895">
        <f>_xlfn.XLOOKUP($A3895,Load!$B:$B,Load!H:H,0,)</f>
        <v>0</v>
      </c>
      <c r="H3895">
        <f>_xlfn.XLOOKUP($A3895,Load!$B:$B,Load!I:I,0,)</f>
        <v>0</v>
      </c>
      <c r="I3895">
        <f>_xlfn.XLOOKUP($A3895,Load!$B:$B,Load!J:J,0,)</f>
        <v>0</v>
      </c>
      <c r="J3895">
        <f>_xlfn.XLOOKUP($A3895,Load!$B:$B,Load!K:K,0,)</f>
        <v>0</v>
      </c>
      <c r="K3895">
        <f>_xlfn.XLOOKUP($A3895,Load!$B:$B,Load!L:L,0,)</f>
        <v>0</v>
      </c>
      <c r="L3895">
        <f>_xlfn.XLOOKUP($A3895,Load!$B:$B,Load!M:M,0,)</f>
        <v>0</v>
      </c>
    </row>
    <row r="3896" spans="1:12" x14ac:dyDescent="0.25">
      <c r="A3896" t="s">
        <v>222</v>
      </c>
      <c r="B3896" t="str">
        <f>_xlfn.XLOOKUP($A3896,Load!$B:$B,Load!C:C,0,)</f>
        <v>Nerds</v>
      </c>
      <c r="C3896" t="str">
        <f>_xlfn.XLOOKUP($A3896,Load!$B:$B,Load!D:D,0,)</f>
        <v>Non-Chocolate Candy Only</v>
      </c>
      <c r="D3896" t="str">
        <f>_xlfn.XLOOKUP($A3896,Load!$B:$B,Load!E:E,0,)</f>
        <v>Sweet</v>
      </c>
      <c r="E3896" t="str">
        <f>_xlfn.XLOOKUP($A3896,Load!$B:$B,Load!F:F,0,)</f>
        <v>Gummy</v>
      </c>
      <c r="F3896" t="str">
        <f>_xlfn.XLOOKUP($A3896,Load!$B:$B,Load!G:G,0,)</f>
        <v>Small Multipack (Less than 40 ct)</v>
      </c>
      <c r="G3896" t="str">
        <f>_xlfn.XLOOKUP($A3896,Load!$B:$B,Load!H:H,0,)</f>
        <v>Stand-Up Bag</v>
      </c>
      <c r="H3896" t="str">
        <f>_xlfn.XLOOKUP($A3896,Load!$B:$B,Load!I:I,0,)</f>
        <v>Everyday Candy Shapes (like Original, Gummy bear, Fruit, Jewels, etc.)</v>
      </c>
      <c r="I3896" t="str">
        <f>_xlfn.XLOOKUP($A3896,Load!$B:$B,Load!J:J,0,)</f>
        <v>Seasonal Graphics (Like Bat, Ghost, Pumpkin, Fall Leaves, Eyeballs, etc.)</v>
      </c>
      <c r="J3896" t="str">
        <f>_xlfn.XLOOKUP($A3896,Load!$B:$B,Load!K:K,0,)</f>
        <v>Fun Size / Treat Size</v>
      </c>
      <c r="K3896" t="str">
        <f>_xlfn.XLOOKUP($A3896,Load!$B:$B,Load!L:L,0,)</f>
        <v>Regular/Original Wrapping</v>
      </c>
      <c r="L3896" t="str">
        <f>_xlfn.XLOOKUP($A3896,Load!$B:$B,Load!M:M,0,)</f>
        <v>Single Brand / Variety Flavors or Form</v>
      </c>
    </row>
    <row r="3897" spans="1:12" x14ac:dyDescent="0.25">
      <c r="B3897">
        <f>_xlfn.XLOOKUP($A3897,Load!$B:$B,Load!C:C,0,)</f>
        <v>0</v>
      </c>
      <c r="C3897">
        <f>_xlfn.XLOOKUP($A3897,Load!$B:$B,Load!D:D,0,)</f>
        <v>0</v>
      </c>
      <c r="D3897">
        <f>_xlfn.XLOOKUP($A3897,Load!$B:$B,Load!E:E,0,)</f>
        <v>0</v>
      </c>
      <c r="E3897">
        <f>_xlfn.XLOOKUP($A3897,Load!$B:$B,Load!F:F,0,)</f>
        <v>0</v>
      </c>
      <c r="F3897">
        <f>_xlfn.XLOOKUP($A3897,Load!$B:$B,Load!G:G,0,)</f>
        <v>0</v>
      </c>
      <c r="G3897">
        <f>_xlfn.XLOOKUP($A3897,Load!$B:$B,Load!H:H,0,)</f>
        <v>0</v>
      </c>
      <c r="H3897">
        <f>_xlfn.XLOOKUP($A3897,Load!$B:$B,Load!I:I,0,)</f>
        <v>0</v>
      </c>
      <c r="I3897">
        <f>_xlfn.XLOOKUP($A3897,Load!$B:$B,Load!J:J,0,)</f>
        <v>0</v>
      </c>
      <c r="J3897">
        <f>_xlfn.XLOOKUP($A3897,Load!$B:$B,Load!K:K,0,)</f>
        <v>0</v>
      </c>
      <c r="K3897">
        <f>_xlfn.XLOOKUP($A3897,Load!$B:$B,Load!L:L,0,)</f>
        <v>0</v>
      </c>
      <c r="L3897">
        <f>_xlfn.XLOOKUP($A3897,Load!$B:$B,Load!M:M,0,)</f>
        <v>0</v>
      </c>
    </row>
    <row r="3898" spans="1:12" x14ac:dyDescent="0.25">
      <c r="A3898" t="s">
        <v>463</v>
      </c>
      <c r="B3898" t="str">
        <f>_xlfn.XLOOKUP($A3898,Load!$B:$B,Load!C:C,0,)</f>
        <v>Mars Variety Pack</v>
      </c>
      <c r="C3898" t="str">
        <f>_xlfn.XLOOKUP($A3898,Load!$B:$B,Load!D:D,0,)</f>
        <v>Mix of Chocolate and Non-Chocolate Candy</v>
      </c>
      <c r="D3898" t="str">
        <f>_xlfn.XLOOKUP($A3898,Load!$B:$B,Load!E:E,0,)</f>
        <v>Variety / Mixed Flavors (Fruity, Sour, Seasonal Flavors)</v>
      </c>
      <c r="E3898" t="str">
        <f>_xlfn.XLOOKUP($A3898,Load!$B:$B,Load!F:F,0,)</f>
        <v>Mixed / Combo Packs (Gummy, Chewy, Taffy, etc.)</v>
      </c>
      <c r="F3898" t="str">
        <f>_xlfn.XLOOKUP($A3898,Load!$B:$B,Load!G:G,0,)</f>
        <v>Medium Multipack (40–80 ct)</v>
      </c>
      <c r="G3898" t="str">
        <f>_xlfn.XLOOKUP($A3898,Load!$B:$B,Load!H:H,0,)</f>
        <v>Stand-Up Bag</v>
      </c>
      <c r="H3898" t="str">
        <f>_xlfn.XLOOKUP($A3898,Load!$B:$B,Load!I:I,0,)</f>
        <v>Everyday Candy Shapes (like Original, Gummy bear, Fruit, Jewels, etc.)</v>
      </c>
      <c r="I3898" t="str">
        <f>_xlfn.XLOOKUP($A3898,Load!$B:$B,Load!J:J,0,)</f>
        <v>Seasonal Graphics (Like Bat, Ghost, Pumpkin, Fall Leaves, Eyeballs, etc.)</v>
      </c>
      <c r="J3898" t="str">
        <f>_xlfn.XLOOKUP($A3898,Load!$B:$B,Load!K:K,0,)</f>
        <v>Fun Size / Treat Size</v>
      </c>
      <c r="K3898" t="str">
        <f>_xlfn.XLOOKUP($A3898,Load!$B:$B,Load!L:L,0,)</f>
        <v>Regular/Original Wrapping</v>
      </c>
      <c r="L3898" t="str">
        <f>_xlfn.XLOOKUP($A3898,Load!$B:$B,Load!M:M,0,)</f>
        <v>Multiple Brands / Variety Flavors or Form</v>
      </c>
    </row>
    <row r="3899" spans="1:12" x14ac:dyDescent="0.25">
      <c r="A3899" t="s">
        <v>326</v>
      </c>
      <c r="B3899" t="str">
        <f>_xlfn.XLOOKUP($A3899,Load!$B:$B,Load!C:C,0,)</f>
        <v>Mondelez Variety Pack</v>
      </c>
      <c r="C3899" t="str">
        <f>_xlfn.XLOOKUP($A3899,Load!$B:$B,Load!D:D,0,)</f>
        <v>Mix of Chocolate and Non-Chocolate Candy</v>
      </c>
      <c r="D3899" t="str">
        <f>_xlfn.XLOOKUP($A3899,Load!$B:$B,Load!E:E,0,)</f>
        <v>Variety / Mixed Flavors (Fruity, Sour, Seasonal Flavors)</v>
      </c>
      <c r="E3899" t="str">
        <f>_xlfn.XLOOKUP($A3899,Load!$B:$B,Load!F:F,0,)</f>
        <v>Mixed / Combo Packs (Gummy, Chewy, Taffy, etc.)</v>
      </c>
      <c r="F3899" t="str">
        <f>_xlfn.XLOOKUP($A3899,Load!$B:$B,Load!G:G,0,)</f>
        <v>Medium Multipack (40–80 ct)</v>
      </c>
      <c r="G3899" t="str">
        <f>_xlfn.XLOOKUP($A3899,Load!$B:$B,Load!H:H,0,)</f>
        <v>Stand-Up Bag</v>
      </c>
      <c r="H3899" t="str">
        <f>_xlfn.XLOOKUP($A3899,Load!$B:$B,Load!I:I,0,)</f>
        <v>Everyday Candy Shapes (like Original, Gummy bear, Fruit, Jewels, etc.)</v>
      </c>
      <c r="I3899" t="str">
        <f>_xlfn.XLOOKUP($A3899,Load!$B:$B,Load!J:J,0,)</f>
        <v>Seasonal Graphics (Like Bat, Ghost, Pumpkin, Fall Leaves, Eyeballs, etc.)</v>
      </c>
      <c r="J3899" t="str">
        <f>_xlfn.XLOOKUP($A3899,Load!$B:$B,Load!K:K,0,)</f>
        <v xml:space="preserve">Variety Candy Sizes </v>
      </c>
      <c r="K3899" t="str">
        <f>_xlfn.XLOOKUP($A3899,Load!$B:$B,Load!L:L,0,)</f>
        <v>Regular/Original Wrapping</v>
      </c>
      <c r="L3899" t="str">
        <f>_xlfn.XLOOKUP($A3899,Load!$B:$B,Load!M:M,0,)</f>
        <v>Multiple Brands / Variety Flavors or Form</v>
      </c>
    </row>
    <row r="3900" spans="1:12" x14ac:dyDescent="0.25">
      <c r="A3900" t="s">
        <v>258</v>
      </c>
      <c r="B3900" t="str">
        <f>_xlfn.XLOOKUP($A3900,Load!$B:$B,Load!C:C,0,)</f>
        <v>Skittles</v>
      </c>
      <c r="C3900" t="str">
        <f>_xlfn.XLOOKUP($A3900,Load!$B:$B,Load!D:D,0,)</f>
        <v>Non-Chocolate Candy Only</v>
      </c>
      <c r="D3900" t="str">
        <f>_xlfn.XLOOKUP($A3900,Load!$B:$B,Load!E:E,0,)</f>
        <v>Variety / Mixed Flavors (Fruity, Sour, Seasonal Flavors)</v>
      </c>
      <c r="E3900" t="str">
        <f>_xlfn.XLOOKUP($A3900,Load!$B:$B,Load!F:F,0,)</f>
        <v>Mixed / Combo Packs (Gummy, Chewy, Taffy, etc.)</v>
      </c>
      <c r="F3900" t="str">
        <f>_xlfn.XLOOKUP($A3900,Load!$B:$B,Load!G:G,0,)</f>
        <v>Medium Multipack (40–80 ct)</v>
      </c>
      <c r="G3900" t="str">
        <f>_xlfn.XLOOKUP($A3900,Load!$B:$B,Load!H:H,0,)</f>
        <v>Stand-Up Bag</v>
      </c>
      <c r="H3900" t="str">
        <f>_xlfn.XLOOKUP($A3900,Load!$B:$B,Load!I:I,0,)</f>
        <v>Everyday Candy Shapes (like Original, Gummy bear, Fruit, Jewels, etc.)</v>
      </c>
      <c r="I3900" t="str">
        <f>_xlfn.XLOOKUP($A3900,Load!$B:$B,Load!J:J,0,)</f>
        <v>Everyday Graphics</v>
      </c>
      <c r="J3900" t="str">
        <f>_xlfn.XLOOKUP($A3900,Load!$B:$B,Load!K:K,0,)</f>
        <v>Small Pieces (Tiny bite size candies)</v>
      </c>
      <c r="K3900" t="str">
        <f>_xlfn.XLOOKUP($A3900,Load!$B:$B,Load!L:L,0,)</f>
        <v>Regular/Original Wrapping</v>
      </c>
      <c r="L3900" t="str">
        <f>_xlfn.XLOOKUP($A3900,Load!$B:$B,Load!M:M,0,)</f>
        <v>Single Brand / Variety Flavors or Form</v>
      </c>
    </row>
    <row r="3901" spans="1:12" x14ac:dyDescent="0.25">
      <c r="A3901" t="s">
        <v>83</v>
      </c>
      <c r="B3901" t="str">
        <f>_xlfn.XLOOKUP($A3901,Load!$B:$B,Load!C:C,0,)</f>
        <v>Ferrara Variety Pack</v>
      </c>
      <c r="C3901" t="str">
        <f>_xlfn.XLOOKUP($A3901,Load!$B:$B,Load!D:D,0,)</f>
        <v>Non-Chocolate Candy Only</v>
      </c>
      <c r="D3901" t="str">
        <f>_xlfn.XLOOKUP($A3901,Load!$B:$B,Load!E:E,0,)</f>
        <v>Variety / Mixed Flavors (Fruity, Sour, Seasonal Flavors)</v>
      </c>
      <c r="E3901" t="str">
        <f>_xlfn.XLOOKUP($A3901,Load!$B:$B,Load!F:F,0,)</f>
        <v>Mixed / Combo Packs (Gummy, Chewy, Taffy, etc.)</v>
      </c>
      <c r="F3901" t="str">
        <f>_xlfn.XLOOKUP($A3901,Load!$B:$B,Load!G:G,0,)</f>
        <v>Medium Multipack (40–80 ct)</v>
      </c>
      <c r="G3901" t="str">
        <f>_xlfn.XLOOKUP($A3901,Load!$B:$B,Load!H:H,0,)</f>
        <v>Stand-Up Bag</v>
      </c>
      <c r="H3901" t="str">
        <f>_xlfn.XLOOKUP($A3901,Load!$B:$B,Load!I:I,0,)</f>
        <v>Everyday Candy Shapes (like Original, Gummy bear, Fruit, Jewels, etc.)</v>
      </c>
      <c r="I3901" t="str">
        <f>_xlfn.XLOOKUP($A3901,Load!$B:$B,Load!J:J,0,)</f>
        <v>Seasonal Graphics (Like Bat, Ghost, Pumpkin, Fall Leaves, Eyeballs, etc.)</v>
      </c>
      <c r="J3901" t="str">
        <f>_xlfn.XLOOKUP($A3901,Load!$B:$B,Load!K:K,0,)</f>
        <v xml:space="preserve">Variety Candy Sizes </v>
      </c>
      <c r="K3901" t="str">
        <f>_xlfn.XLOOKUP($A3901,Load!$B:$B,Load!L:L,0,)</f>
        <v>Regular/Original Wrapping</v>
      </c>
      <c r="L3901" t="str">
        <f>_xlfn.XLOOKUP($A3901,Load!$B:$B,Load!M:M,0,)</f>
        <v>Multiple Brands / Variety Flavors or Form</v>
      </c>
    </row>
    <row r="3902" spans="1:12" x14ac:dyDescent="0.25">
      <c r="B3902">
        <f>_xlfn.XLOOKUP($A3902,Load!$B:$B,Load!C:C,0,)</f>
        <v>0</v>
      </c>
      <c r="C3902">
        <f>_xlfn.XLOOKUP($A3902,Load!$B:$B,Load!D:D,0,)</f>
        <v>0</v>
      </c>
      <c r="D3902">
        <f>_xlfn.XLOOKUP($A3902,Load!$B:$B,Load!E:E,0,)</f>
        <v>0</v>
      </c>
      <c r="E3902">
        <f>_xlfn.XLOOKUP($A3902,Load!$B:$B,Load!F:F,0,)</f>
        <v>0</v>
      </c>
      <c r="F3902">
        <f>_xlfn.XLOOKUP($A3902,Load!$B:$B,Load!G:G,0,)</f>
        <v>0</v>
      </c>
      <c r="G3902">
        <f>_xlfn.XLOOKUP($A3902,Load!$B:$B,Load!H:H,0,)</f>
        <v>0</v>
      </c>
      <c r="H3902">
        <f>_xlfn.XLOOKUP($A3902,Load!$B:$B,Load!I:I,0,)</f>
        <v>0</v>
      </c>
      <c r="I3902">
        <f>_xlfn.XLOOKUP($A3902,Load!$B:$B,Load!J:J,0,)</f>
        <v>0</v>
      </c>
      <c r="J3902">
        <f>_xlfn.XLOOKUP($A3902,Load!$B:$B,Load!K:K,0,)</f>
        <v>0</v>
      </c>
      <c r="K3902">
        <f>_xlfn.XLOOKUP($A3902,Load!$B:$B,Load!L:L,0,)</f>
        <v>0</v>
      </c>
      <c r="L3902">
        <f>_xlfn.XLOOKUP($A3902,Load!$B:$B,Load!M:M,0,)</f>
        <v>0</v>
      </c>
    </row>
    <row r="3903" spans="1:12" x14ac:dyDescent="0.25">
      <c r="B3903">
        <f>_xlfn.XLOOKUP($A3903,Load!$B:$B,Load!C:C,0,)</f>
        <v>0</v>
      </c>
      <c r="C3903">
        <f>_xlfn.XLOOKUP($A3903,Load!$B:$B,Load!D:D,0,)</f>
        <v>0</v>
      </c>
      <c r="D3903">
        <f>_xlfn.XLOOKUP($A3903,Load!$B:$B,Load!E:E,0,)</f>
        <v>0</v>
      </c>
      <c r="E3903">
        <f>_xlfn.XLOOKUP($A3903,Load!$B:$B,Load!F:F,0,)</f>
        <v>0</v>
      </c>
      <c r="F3903">
        <f>_xlfn.XLOOKUP($A3903,Load!$B:$B,Load!G:G,0,)</f>
        <v>0</v>
      </c>
      <c r="G3903">
        <f>_xlfn.XLOOKUP($A3903,Load!$B:$B,Load!H:H,0,)</f>
        <v>0</v>
      </c>
      <c r="H3903">
        <f>_xlfn.XLOOKUP($A3903,Load!$B:$B,Load!I:I,0,)</f>
        <v>0</v>
      </c>
      <c r="I3903">
        <f>_xlfn.XLOOKUP($A3903,Load!$B:$B,Load!J:J,0,)</f>
        <v>0</v>
      </c>
      <c r="J3903">
        <f>_xlfn.XLOOKUP($A3903,Load!$B:$B,Load!K:K,0,)</f>
        <v>0</v>
      </c>
      <c r="K3903">
        <f>_xlfn.XLOOKUP($A3903,Load!$B:$B,Load!L:L,0,)</f>
        <v>0</v>
      </c>
      <c r="L3903">
        <f>_xlfn.XLOOKUP($A3903,Load!$B:$B,Load!M:M,0,)</f>
        <v>0</v>
      </c>
    </row>
    <row r="3904" spans="1:12" x14ac:dyDescent="0.25">
      <c r="A3904" t="s">
        <v>221</v>
      </c>
      <c r="B3904" t="str">
        <f>_xlfn.XLOOKUP($A3904,Load!$B:$B,Load!C:C,0,)</f>
        <v>Hershey's Variety Pack + Haribo</v>
      </c>
      <c r="C3904" t="str">
        <f>_xlfn.XLOOKUP($A3904,Load!$B:$B,Load!D:D,0,)</f>
        <v>Mix of Chocolate and Non-Chocolate Candy</v>
      </c>
      <c r="D3904" t="str">
        <f>_xlfn.XLOOKUP($A3904,Load!$B:$B,Load!E:E,0,)</f>
        <v>Variety / Mixed Flavors (Fruity, Sour, Seasonal Flavors)</v>
      </c>
      <c r="E3904" t="str">
        <f>_xlfn.XLOOKUP($A3904,Load!$B:$B,Load!F:F,0,)</f>
        <v>Mixed / Combo Packs (Gummy, Chewy, Taffy, etc.)</v>
      </c>
      <c r="F3904" t="str">
        <f>_xlfn.XLOOKUP($A3904,Load!$B:$B,Load!G:G,0,)</f>
        <v>Large Multipack (More than 80 ct)</v>
      </c>
      <c r="G3904" t="str">
        <f>_xlfn.XLOOKUP($A3904,Load!$B:$B,Load!H:H,0,)</f>
        <v>Stand-Up Bag</v>
      </c>
      <c r="H3904" t="str">
        <f>_xlfn.XLOOKUP($A3904,Load!$B:$B,Load!I:I,0,)</f>
        <v>Everyday Candy Shapes (like Original, Gummy bear, Fruit, Jewels, etc.)</v>
      </c>
      <c r="I3904" t="str">
        <f>_xlfn.XLOOKUP($A3904,Load!$B:$B,Load!J:J,0,)</f>
        <v>Seasonal Graphics (Like Bat, Ghost, Pumpkin, Fall Leaves, Eyeballs, etc.)</v>
      </c>
      <c r="J3904" t="str">
        <f>_xlfn.XLOOKUP($A3904,Load!$B:$B,Load!K:K,0,)</f>
        <v xml:space="preserve">Variety Candy Sizes </v>
      </c>
      <c r="K3904" t="str">
        <f>_xlfn.XLOOKUP($A3904,Load!$B:$B,Load!L:L,0,)</f>
        <v>Regular/Original Wrapping</v>
      </c>
      <c r="L3904" t="str">
        <f>_xlfn.XLOOKUP($A3904,Load!$B:$B,Load!M:M,0,)</f>
        <v>Multiple Brands / Variety Flavors or Form</v>
      </c>
    </row>
    <row r="3905" spans="1:12" x14ac:dyDescent="0.25">
      <c r="A3905" t="s">
        <v>463</v>
      </c>
      <c r="B3905" t="str">
        <f>_xlfn.XLOOKUP($A3905,Load!$B:$B,Load!C:C,0,)</f>
        <v>Mars Variety Pack</v>
      </c>
      <c r="C3905" t="str">
        <f>_xlfn.XLOOKUP($A3905,Load!$B:$B,Load!D:D,0,)</f>
        <v>Mix of Chocolate and Non-Chocolate Candy</v>
      </c>
      <c r="D3905" t="str">
        <f>_xlfn.XLOOKUP($A3905,Load!$B:$B,Load!E:E,0,)</f>
        <v>Variety / Mixed Flavors (Fruity, Sour, Seasonal Flavors)</v>
      </c>
      <c r="E3905" t="str">
        <f>_xlfn.XLOOKUP($A3905,Load!$B:$B,Load!F:F,0,)</f>
        <v>Mixed / Combo Packs (Gummy, Chewy, Taffy, etc.)</v>
      </c>
      <c r="F3905" t="str">
        <f>_xlfn.XLOOKUP($A3905,Load!$B:$B,Load!G:G,0,)</f>
        <v>Medium Multipack (40–80 ct)</v>
      </c>
      <c r="G3905" t="str">
        <f>_xlfn.XLOOKUP($A3905,Load!$B:$B,Load!H:H,0,)</f>
        <v>Stand-Up Bag</v>
      </c>
      <c r="H3905" t="str">
        <f>_xlfn.XLOOKUP($A3905,Load!$B:$B,Load!I:I,0,)</f>
        <v>Everyday Candy Shapes (like Original, Gummy bear, Fruit, Jewels, etc.)</v>
      </c>
      <c r="I3905" t="str">
        <f>_xlfn.XLOOKUP($A3905,Load!$B:$B,Load!J:J,0,)</f>
        <v>Seasonal Graphics (Like Bat, Ghost, Pumpkin, Fall Leaves, Eyeballs, etc.)</v>
      </c>
      <c r="J3905" t="str">
        <f>_xlfn.XLOOKUP($A3905,Load!$B:$B,Load!K:K,0,)</f>
        <v>Fun Size / Treat Size</v>
      </c>
      <c r="K3905" t="str">
        <f>_xlfn.XLOOKUP($A3905,Load!$B:$B,Load!L:L,0,)</f>
        <v>Regular/Original Wrapping</v>
      </c>
      <c r="L3905" t="str">
        <f>_xlfn.XLOOKUP($A3905,Load!$B:$B,Load!M:M,0,)</f>
        <v>Multiple Brands / Variety Flavors or Form</v>
      </c>
    </row>
    <row r="3906" spans="1:12" x14ac:dyDescent="0.25">
      <c r="A3906" t="s">
        <v>226</v>
      </c>
      <c r="B3906" t="str">
        <f>_xlfn.XLOOKUP($A3906,Load!$B:$B,Load!C:C,0,)</f>
        <v>Nerds</v>
      </c>
      <c r="C3906" t="str">
        <f>_xlfn.XLOOKUP($A3906,Load!$B:$B,Load!D:D,0,)</f>
        <v>Non-Chocolate Candy Only</v>
      </c>
      <c r="D3906" t="str">
        <f>_xlfn.XLOOKUP($A3906,Load!$B:$B,Load!E:E,0,)</f>
        <v>Sweet</v>
      </c>
      <c r="E3906" t="str">
        <f>_xlfn.XLOOKUP($A3906,Load!$B:$B,Load!F:F,0,)</f>
        <v>Gummy</v>
      </c>
      <c r="F3906" t="str">
        <f>_xlfn.XLOOKUP($A3906,Load!$B:$B,Load!G:G,0,)</f>
        <v>Single Pack</v>
      </c>
      <c r="G3906" t="str">
        <f>_xlfn.XLOOKUP($A3906,Load!$B:$B,Load!H:H,0,)</f>
        <v>Laydown Bag</v>
      </c>
      <c r="H3906" t="str">
        <f>_xlfn.XLOOKUP($A3906,Load!$B:$B,Load!I:I,0,)</f>
        <v>Seasonal Shapes (like pumpkins, candy corn, ghost, bats, etc.)</v>
      </c>
      <c r="I3906" t="str">
        <f>_xlfn.XLOOKUP($A3906,Load!$B:$B,Load!J:J,0,)</f>
        <v>Seasonal Graphics (Like Bat, Ghost, Pumpkin, Fall Leaves, Eyeballs, etc.)</v>
      </c>
      <c r="J3906" t="str">
        <f>_xlfn.XLOOKUP($A3906,Load!$B:$B,Load!K:K,0,)</f>
        <v>Fun Size / Treat Size</v>
      </c>
      <c r="K3906" t="str">
        <f>_xlfn.XLOOKUP($A3906,Load!$B:$B,Load!L:L,0,)</f>
        <v>Unwrapped</v>
      </c>
      <c r="L3906" t="str">
        <f>_xlfn.XLOOKUP($A3906,Load!$B:$B,Load!M:M,0,)</f>
        <v>Single Brand / Single Flavor or Form</v>
      </c>
    </row>
    <row r="3907" spans="1:12" x14ac:dyDescent="0.25">
      <c r="B3907">
        <f>_xlfn.XLOOKUP($A3907,Load!$B:$B,Load!C:C,0,)</f>
        <v>0</v>
      </c>
      <c r="C3907">
        <f>_xlfn.XLOOKUP($A3907,Load!$B:$B,Load!D:D,0,)</f>
        <v>0</v>
      </c>
      <c r="D3907">
        <f>_xlfn.XLOOKUP($A3907,Load!$B:$B,Load!E:E,0,)</f>
        <v>0</v>
      </c>
      <c r="E3907">
        <f>_xlfn.XLOOKUP($A3907,Load!$B:$B,Load!F:F,0,)</f>
        <v>0</v>
      </c>
      <c r="F3907">
        <f>_xlfn.XLOOKUP($A3907,Load!$B:$B,Load!G:G,0,)</f>
        <v>0</v>
      </c>
      <c r="G3907">
        <f>_xlfn.XLOOKUP($A3907,Load!$B:$B,Load!H:H,0,)</f>
        <v>0</v>
      </c>
      <c r="H3907">
        <f>_xlfn.XLOOKUP($A3907,Load!$B:$B,Load!I:I,0,)</f>
        <v>0</v>
      </c>
      <c r="I3907">
        <f>_xlfn.XLOOKUP($A3907,Load!$B:$B,Load!J:J,0,)</f>
        <v>0</v>
      </c>
      <c r="J3907">
        <f>_xlfn.XLOOKUP($A3907,Load!$B:$B,Load!K:K,0,)</f>
        <v>0</v>
      </c>
      <c r="K3907">
        <f>_xlfn.XLOOKUP($A3907,Load!$B:$B,Load!L:L,0,)</f>
        <v>0</v>
      </c>
      <c r="L3907">
        <f>_xlfn.XLOOKUP($A3907,Load!$B:$B,Load!M:M,0,)</f>
        <v>0</v>
      </c>
    </row>
    <row r="3908" spans="1:12" x14ac:dyDescent="0.25">
      <c r="A3908" t="s">
        <v>172</v>
      </c>
      <c r="B3908" t="str">
        <f>_xlfn.XLOOKUP($A3908,Load!$B:$B,Load!C:C,0,)</f>
        <v>Mars Variety Pack</v>
      </c>
      <c r="C3908" t="str">
        <f>_xlfn.XLOOKUP($A3908,Load!$B:$B,Load!D:D,0,)</f>
        <v>Non-Chocolate Candy Only</v>
      </c>
      <c r="D3908" t="str">
        <f>_xlfn.XLOOKUP($A3908,Load!$B:$B,Load!E:E,0,)</f>
        <v>Variety / Mixed Flavors (Fruity, Sour, Seasonal Flavors)</v>
      </c>
      <c r="E3908" t="str">
        <f>_xlfn.XLOOKUP($A3908,Load!$B:$B,Load!F:F,0,)</f>
        <v>Mixed / Combo Packs (Gummy, Chewy, Taffy, etc.)</v>
      </c>
      <c r="F3908" t="str">
        <f>_xlfn.XLOOKUP($A3908,Load!$B:$B,Load!G:G,0,)</f>
        <v>Small Multipack (Less than 40 ct)</v>
      </c>
      <c r="G3908" t="str">
        <f>_xlfn.XLOOKUP($A3908,Load!$B:$B,Load!H:H,0,)</f>
        <v>Laydown Bag</v>
      </c>
      <c r="H3908" t="str">
        <f>_xlfn.XLOOKUP($A3908,Load!$B:$B,Load!I:I,0,)</f>
        <v>Everyday Candy Shapes (like Original, Gummy bear, Fruit, Jewels, etc.)</v>
      </c>
      <c r="I3908" t="str">
        <f>_xlfn.XLOOKUP($A3908,Load!$B:$B,Load!J:J,0,)</f>
        <v>Seasonal Graphics (Like Bat, Ghost, Pumpkin, Fall Leaves, Eyeballs, etc.)</v>
      </c>
      <c r="J3908" t="str">
        <f>_xlfn.XLOOKUP($A3908,Load!$B:$B,Load!K:K,0,)</f>
        <v>Fun Size / Treat Size</v>
      </c>
      <c r="K3908" t="str">
        <f>_xlfn.XLOOKUP($A3908,Load!$B:$B,Load!L:L,0,)</f>
        <v>Regular/Original Wrapping</v>
      </c>
      <c r="L3908" t="str">
        <f>_xlfn.XLOOKUP($A3908,Load!$B:$B,Load!M:M,0,)</f>
        <v>Multiple Brands / Variety Flavors or Form</v>
      </c>
    </row>
    <row r="3909" spans="1:12" x14ac:dyDescent="0.25">
      <c r="B3909">
        <f>_xlfn.XLOOKUP($A3909,Load!$B:$B,Load!C:C,0,)</f>
        <v>0</v>
      </c>
      <c r="C3909">
        <f>_xlfn.XLOOKUP($A3909,Load!$B:$B,Load!D:D,0,)</f>
        <v>0</v>
      </c>
      <c r="D3909">
        <f>_xlfn.XLOOKUP($A3909,Load!$B:$B,Load!E:E,0,)</f>
        <v>0</v>
      </c>
      <c r="E3909">
        <f>_xlfn.XLOOKUP($A3909,Load!$B:$B,Load!F:F,0,)</f>
        <v>0</v>
      </c>
      <c r="F3909">
        <f>_xlfn.XLOOKUP($A3909,Load!$B:$B,Load!G:G,0,)</f>
        <v>0</v>
      </c>
      <c r="G3909">
        <f>_xlfn.XLOOKUP($A3909,Load!$B:$B,Load!H:H,0,)</f>
        <v>0</v>
      </c>
      <c r="H3909">
        <f>_xlfn.XLOOKUP($A3909,Load!$B:$B,Load!I:I,0,)</f>
        <v>0</v>
      </c>
      <c r="I3909">
        <f>_xlfn.XLOOKUP($A3909,Load!$B:$B,Load!J:J,0,)</f>
        <v>0</v>
      </c>
      <c r="J3909">
        <f>_xlfn.XLOOKUP($A3909,Load!$B:$B,Load!K:K,0,)</f>
        <v>0</v>
      </c>
      <c r="K3909">
        <f>_xlfn.XLOOKUP($A3909,Load!$B:$B,Load!L:L,0,)</f>
        <v>0</v>
      </c>
      <c r="L3909">
        <f>_xlfn.XLOOKUP($A3909,Load!$B:$B,Load!M:M,0,)</f>
        <v>0</v>
      </c>
    </row>
    <row r="3910" spans="1:12" x14ac:dyDescent="0.25">
      <c r="A3910" t="s">
        <v>121</v>
      </c>
      <c r="B3910" t="str">
        <f>_xlfn.XLOOKUP($A3910,Load!$B:$B,Load!C:C,0,)</f>
        <v>HARIBO</v>
      </c>
      <c r="C3910" t="str">
        <f>_xlfn.XLOOKUP($A3910,Load!$B:$B,Load!D:D,0,)</f>
        <v>Non-Chocolate Candy Only</v>
      </c>
      <c r="D3910" t="str">
        <f>_xlfn.XLOOKUP($A3910,Load!$B:$B,Load!E:E,0,)</f>
        <v>Variety / Mixed Flavors (Fruity, Sour, Seasonal Flavors)</v>
      </c>
      <c r="E3910" t="str">
        <f>_xlfn.XLOOKUP($A3910,Load!$B:$B,Load!F:F,0,)</f>
        <v>Gummy</v>
      </c>
      <c r="F3910" t="str">
        <f>_xlfn.XLOOKUP($A3910,Load!$B:$B,Load!G:G,0,)</f>
        <v>Large Multipack (More than 80 ct)</v>
      </c>
      <c r="G3910" t="str">
        <f>_xlfn.XLOOKUP($A3910,Load!$B:$B,Load!H:H,0,)</f>
        <v>Stand-Up Bag</v>
      </c>
      <c r="H3910" t="str">
        <f>_xlfn.XLOOKUP($A3910,Load!$B:$B,Load!I:I,0,)</f>
        <v>Seasonal Shapes (like pumpkins, candy corn, ghost, bats, etc.)</v>
      </c>
      <c r="I3910" t="str">
        <f>_xlfn.XLOOKUP($A3910,Load!$B:$B,Load!J:J,0,)</f>
        <v>Seasonal Graphics (Like Bat, Ghost, Pumpkin, Fall Leaves, Eyeballs, etc.)</v>
      </c>
      <c r="J3910" t="str">
        <f>_xlfn.XLOOKUP($A3910,Load!$B:$B,Load!K:K,0,)</f>
        <v>Fun Size / Treat Size</v>
      </c>
      <c r="K3910" t="str">
        <f>_xlfn.XLOOKUP($A3910,Load!$B:$B,Load!L:L,0,)</f>
        <v>Regular/Original Wrapping</v>
      </c>
      <c r="L3910" t="str">
        <f>_xlfn.XLOOKUP($A3910,Load!$B:$B,Load!M:M,0,)</f>
        <v>Multiple Brands / Variety Flavors or Form</v>
      </c>
    </row>
    <row r="3911" spans="1:12" x14ac:dyDescent="0.25">
      <c r="B3911">
        <f>_xlfn.XLOOKUP($A3911,Load!$B:$B,Load!C:C,0,)</f>
        <v>0</v>
      </c>
      <c r="C3911">
        <f>_xlfn.XLOOKUP($A3911,Load!$B:$B,Load!D:D,0,)</f>
        <v>0</v>
      </c>
      <c r="D3911">
        <f>_xlfn.XLOOKUP($A3911,Load!$B:$B,Load!E:E,0,)</f>
        <v>0</v>
      </c>
      <c r="E3911">
        <f>_xlfn.XLOOKUP($A3911,Load!$B:$B,Load!F:F,0,)</f>
        <v>0</v>
      </c>
      <c r="F3911">
        <f>_xlfn.XLOOKUP($A3911,Load!$B:$B,Load!G:G,0,)</f>
        <v>0</v>
      </c>
      <c r="G3911">
        <f>_xlfn.XLOOKUP($A3911,Load!$B:$B,Load!H:H,0,)</f>
        <v>0</v>
      </c>
      <c r="H3911">
        <f>_xlfn.XLOOKUP($A3911,Load!$B:$B,Load!I:I,0,)</f>
        <v>0</v>
      </c>
      <c r="I3911">
        <f>_xlfn.XLOOKUP($A3911,Load!$B:$B,Load!J:J,0,)</f>
        <v>0</v>
      </c>
      <c r="J3911">
        <f>_xlfn.XLOOKUP($A3911,Load!$B:$B,Load!K:K,0,)</f>
        <v>0</v>
      </c>
      <c r="K3911">
        <f>_xlfn.XLOOKUP($A3911,Load!$B:$B,Load!L:L,0,)</f>
        <v>0</v>
      </c>
      <c r="L3911">
        <f>_xlfn.XLOOKUP($A3911,Load!$B:$B,Load!M:M,0,)</f>
        <v>0</v>
      </c>
    </row>
    <row r="3912" spans="1:12" x14ac:dyDescent="0.25">
      <c r="A3912" t="s">
        <v>49</v>
      </c>
      <c r="B3912" t="str">
        <f>_xlfn.XLOOKUP($A3912,Load!$B:$B,Load!C:C,0,)</f>
        <v>Brach's</v>
      </c>
      <c r="C3912" t="str">
        <f>_xlfn.XLOOKUP($A3912,Load!$B:$B,Load!D:D,0,)</f>
        <v>Non-Chocolate Candy Only</v>
      </c>
      <c r="D3912" t="str">
        <f>_xlfn.XLOOKUP($A3912,Load!$B:$B,Load!E:E,0,)</f>
        <v>Fall / Seasonal Flavors (pumpkin spice, caramel apple, candy corn)</v>
      </c>
      <c r="E3912" t="str">
        <f>_xlfn.XLOOKUP($A3912,Load!$B:$B,Load!F:F,0,)</f>
        <v>Candy Pieces / Bites</v>
      </c>
      <c r="F3912" t="str">
        <f>_xlfn.XLOOKUP($A3912,Load!$B:$B,Load!G:G,0,)</f>
        <v>Large Multipack (More than 80 ct)</v>
      </c>
      <c r="G3912" t="str">
        <f>_xlfn.XLOOKUP($A3912,Load!$B:$B,Load!H:H,0,)</f>
        <v>Laydown Bag</v>
      </c>
      <c r="H3912" t="str">
        <f>_xlfn.XLOOKUP($A3912,Load!$B:$B,Load!I:I,0,)</f>
        <v>Seasonal Shapes (like pumpkins, candy corn, ghost, bats, etc.)</v>
      </c>
      <c r="I3912" t="str">
        <f>_xlfn.XLOOKUP($A3912,Load!$B:$B,Load!J:J,0,)</f>
        <v>Seasonal Graphics (Like Bat, Ghost, Pumpkin, Fall Leaves, Eyeballs, etc.)</v>
      </c>
      <c r="J3912" t="str">
        <f>_xlfn.XLOOKUP($A3912,Load!$B:$B,Load!K:K,0,)</f>
        <v>Small Pieces (Tiny bite size candies)</v>
      </c>
      <c r="K3912" t="str">
        <f>_xlfn.XLOOKUP($A3912,Load!$B:$B,Load!L:L,0,)</f>
        <v>Unwrapped</v>
      </c>
      <c r="L3912" t="str">
        <f>_xlfn.XLOOKUP($A3912,Load!$B:$B,Load!M:M,0,)</f>
        <v>Single Brand / Single Flavor or Form</v>
      </c>
    </row>
    <row r="3913" spans="1:12" x14ac:dyDescent="0.25">
      <c r="B3913">
        <f>_xlfn.XLOOKUP($A3913,Load!$B:$B,Load!C:C,0,)</f>
        <v>0</v>
      </c>
      <c r="C3913">
        <f>_xlfn.XLOOKUP($A3913,Load!$B:$B,Load!D:D,0,)</f>
        <v>0</v>
      </c>
      <c r="D3913">
        <f>_xlfn.XLOOKUP($A3913,Load!$B:$B,Load!E:E,0,)</f>
        <v>0</v>
      </c>
      <c r="E3913">
        <f>_xlfn.XLOOKUP($A3913,Load!$B:$B,Load!F:F,0,)</f>
        <v>0</v>
      </c>
      <c r="F3913">
        <f>_xlfn.XLOOKUP($A3913,Load!$B:$B,Load!G:G,0,)</f>
        <v>0</v>
      </c>
      <c r="G3913">
        <f>_xlfn.XLOOKUP($A3913,Load!$B:$B,Load!H:H,0,)</f>
        <v>0</v>
      </c>
      <c r="H3913">
        <f>_xlfn.XLOOKUP($A3913,Load!$B:$B,Load!I:I,0,)</f>
        <v>0</v>
      </c>
      <c r="I3913">
        <f>_xlfn.XLOOKUP($A3913,Load!$B:$B,Load!J:J,0,)</f>
        <v>0</v>
      </c>
      <c r="J3913">
        <f>_xlfn.XLOOKUP($A3913,Load!$B:$B,Load!K:K,0,)</f>
        <v>0</v>
      </c>
      <c r="K3913">
        <f>_xlfn.XLOOKUP($A3913,Load!$B:$B,Load!L:L,0,)</f>
        <v>0</v>
      </c>
      <c r="L3913">
        <f>_xlfn.XLOOKUP($A3913,Load!$B:$B,Load!M:M,0,)</f>
        <v>0</v>
      </c>
    </row>
    <row r="3914" spans="1:12" x14ac:dyDescent="0.25">
      <c r="A3914" t="s">
        <v>57</v>
      </c>
      <c r="B3914" t="str">
        <f>_xlfn.XLOOKUP($A3914,Load!$B:$B,Load!C:C,0,)</f>
        <v>Brach's</v>
      </c>
      <c r="C3914" t="str">
        <f>_xlfn.XLOOKUP($A3914,Load!$B:$B,Load!D:D,0,)</f>
        <v>Non-Chocolate Candy Only</v>
      </c>
      <c r="D3914" t="str">
        <f>_xlfn.XLOOKUP($A3914,Load!$B:$B,Load!E:E,0,)</f>
        <v>Fall / Seasonal Flavors (pumpkin spice, caramel apple, candy corn)</v>
      </c>
      <c r="E3914" t="str">
        <f>_xlfn.XLOOKUP($A3914,Load!$B:$B,Load!F:F,0,)</f>
        <v>Candy Pieces / Bites</v>
      </c>
      <c r="F3914" t="str">
        <f>_xlfn.XLOOKUP($A3914,Load!$B:$B,Load!G:G,0,)</f>
        <v>Medium Multipack (40–80 ct)</v>
      </c>
      <c r="G3914" t="str">
        <f>_xlfn.XLOOKUP($A3914,Load!$B:$B,Load!H:H,0,)</f>
        <v>Laydown Bag</v>
      </c>
      <c r="H3914" t="str">
        <f>_xlfn.XLOOKUP($A3914,Load!$B:$B,Load!I:I,0,)</f>
        <v>Seasonal Shapes (like pumpkins, candy corn, ghost, bats, etc.)</v>
      </c>
      <c r="I3914" t="str">
        <f>_xlfn.XLOOKUP($A3914,Load!$B:$B,Load!J:J,0,)</f>
        <v>Seasonal Graphics (Like Bat, Ghost, Pumpkin, Fall Leaves, Eyeballs, etc.)</v>
      </c>
      <c r="J3914" t="str">
        <f>_xlfn.XLOOKUP($A3914,Load!$B:$B,Load!K:K,0,)</f>
        <v>Small Pieces (Tiny bite size candies)</v>
      </c>
      <c r="K3914" t="str">
        <f>_xlfn.XLOOKUP($A3914,Load!$B:$B,Load!L:L,0,)</f>
        <v>Unwrapped</v>
      </c>
      <c r="L3914" t="str">
        <f>_xlfn.XLOOKUP($A3914,Load!$B:$B,Load!M:M,0,)</f>
        <v>Single Brand / Single Flavor or Form</v>
      </c>
    </row>
    <row r="3915" spans="1:12" x14ac:dyDescent="0.25">
      <c r="B3915">
        <f>_xlfn.XLOOKUP($A3915,Load!$B:$B,Load!C:C,0,)</f>
        <v>0</v>
      </c>
      <c r="C3915">
        <f>_xlfn.XLOOKUP($A3915,Load!$B:$B,Load!D:D,0,)</f>
        <v>0</v>
      </c>
      <c r="D3915">
        <f>_xlfn.XLOOKUP($A3915,Load!$B:$B,Load!E:E,0,)</f>
        <v>0</v>
      </c>
      <c r="E3915">
        <f>_xlfn.XLOOKUP($A3915,Load!$B:$B,Load!F:F,0,)</f>
        <v>0</v>
      </c>
      <c r="F3915">
        <f>_xlfn.XLOOKUP($A3915,Load!$B:$B,Load!G:G,0,)</f>
        <v>0</v>
      </c>
      <c r="G3915">
        <f>_xlfn.XLOOKUP($A3915,Load!$B:$B,Load!H:H,0,)</f>
        <v>0</v>
      </c>
      <c r="H3915">
        <f>_xlfn.XLOOKUP($A3915,Load!$B:$B,Load!I:I,0,)</f>
        <v>0</v>
      </c>
      <c r="I3915">
        <f>_xlfn.XLOOKUP($A3915,Load!$B:$B,Load!J:J,0,)</f>
        <v>0</v>
      </c>
      <c r="J3915">
        <f>_xlfn.XLOOKUP($A3915,Load!$B:$B,Load!K:K,0,)</f>
        <v>0</v>
      </c>
      <c r="K3915">
        <f>_xlfn.XLOOKUP($A3915,Load!$B:$B,Load!L:L,0,)</f>
        <v>0</v>
      </c>
      <c r="L3915">
        <f>_xlfn.XLOOKUP($A3915,Load!$B:$B,Load!M:M,0,)</f>
        <v>0</v>
      </c>
    </row>
    <row r="3916" spans="1:12" x14ac:dyDescent="0.25">
      <c r="A3916" t="s">
        <v>307</v>
      </c>
      <c r="B3916" t="str">
        <f>_xlfn.XLOOKUP($A3916,Load!$B:$B,Load!C:C,0,)</f>
        <v>Werther's Original</v>
      </c>
      <c r="C3916" t="str">
        <f>_xlfn.XLOOKUP($A3916,Load!$B:$B,Load!D:D,0,)</f>
        <v>Non-Chocolate Candy Only</v>
      </c>
      <c r="D3916" t="str">
        <f>_xlfn.XLOOKUP($A3916,Load!$B:$B,Load!E:E,0,)</f>
        <v>Fall / Seasonal Flavors (pumpkin spice, caramel apple, candy corn)</v>
      </c>
      <c r="E3916" t="str">
        <f>_xlfn.XLOOKUP($A3916,Load!$B:$B,Load!F:F,0,)</f>
        <v>Hard Candy</v>
      </c>
      <c r="F3916" t="str">
        <f>_xlfn.XLOOKUP($A3916,Load!$B:$B,Load!G:G,0,)</f>
        <v>Single Pack</v>
      </c>
      <c r="G3916" t="str">
        <f>_xlfn.XLOOKUP($A3916,Load!$B:$B,Load!H:H,0,)</f>
        <v>Stand-Up Bag</v>
      </c>
      <c r="H3916" t="str">
        <f>_xlfn.XLOOKUP($A3916,Load!$B:$B,Load!I:I,0,)</f>
        <v>Everyday Candy Shapes (like Original, Gummy bear, Fruit, Jewels, etc.)</v>
      </c>
      <c r="I3916" t="str">
        <f>_xlfn.XLOOKUP($A3916,Load!$B:$B,Load!J:J,0,)</f>
        <v>Seasonal Graphics (Like Bat, Ghost, Pumpkin, Fall Leaves, Eyeballs, etc.)</v>
      </c>
      <c r="J3916" t="str">
        <f>_xlfn.XLOOKUP($A3916,Load!$B:$B,Load!K:K,0,)</f>
        <v>Fun Size / Treat Size</v>
      </c>
      <c r="K3916" t="str">
        <f>_xlfn.XLOOKUP($A3916,Load!$B:$B,Load!L:L,0,)</f>
        <v>Regular/Original Wrapping</v>
      </c>
      <c r="L3916" t="str">
        <f>_xlfn.XLOOKUP($A3916,Load!$B:$B,Load!M:M,0,)</f>
        <v>Single Brand / Single Flavor or Form</v>
      </c>
    </row>
    <row r="3917" spans="1:12" x14ac:dyDescent="0.25">
      <c r="B3917">
        <f>_xlfn.XLOOKUP($A3917,Load!$B:$B,Load!C:C,0,)</f>
        <v>0</v>
      </c>
      <c r="C3917">
        <f>_xlfn.XLOOKUP($A3917,Load!$B:$B,Load!D:D,0,)</f>
        <v>0</v>
      </c>
      <c r="D3917">
        <f>_xlfn.XLOOKUP($A3917,Load!$B:$B,Load!E:E,0,)</f>
        <v>0</v>
      </c>
      <c r="E3917">
        <f>_xlfn.XLOOKUP($A3917,Load!$B:$B,Load!F:F,0,)</f>
        <v>0</v>
      </c>
      <c r="F3917">
        <f>_xlfn.XLOOKUP($A3917,Load!$B:$B,Load!G:G,0,)</f>
        <v>0</v>
      </c>
      <c r="G3917">
        <f>_xlfn.XLOOKUP($A3917,Load!$B:$B,Load!H:H,0,)</f>
        <v>0</v>
      </c>
      <c r="H3917">
        <f>_xlfn.XLOOKUP($A3917,Load!$B:$B,Load!I:I,0,)</f>
        <v>0</v>
      </c>
      <c r="I3917">
        <f>_xlfn.XLOOKUP($A3917,Load!$B:$B,Load!J:J,0,)</f>
        <v>0</v>
      </c>
      <c r="J3917">
        <f>_xlfn.XLOOKUP($A3917,Load!$B:$B,Load!K:K,0,)</f>
        <v>0</v>
      </c>
      <c r="K3917">
        <f>_xlfn.XLOOKUP($A3917,Load!$B:$B,Load!L:L,0,)</f>
        <v>0</v>
      </c>
      <c r="L3917">
        <f>_xlfn.XLOOKUP($A3917,Load!$B:$B,Load!M:M,0,)</f>
        <v>0</v>
      </c>
    </row>
    <row r="3918" spans="1:12" x14ac:dyDescent="0.25">
      <c r="A3918" t="s">
        <v>65</v>
      </c>
      <c r="B3918" t="str">
        <f>_xlfn.XLOOKUP($A3918,Load!$B:$B,Load!C:C,0,)</f>
        <v>Dots</v>
      </c>
      <c r="C3918" t="str">
        <f>_xlfn.XLOOKUP($A3918,Load!$B:$B,Load!D:D,0,)</f>
        <v>Non-Chocolate Candy Only</v>
      </c>
      <c r="D3918" t="str">
        <f>_xlfn.XLOOKUP($A3918,Load!$B:$B,Load!E:E,0,)</f>
        <v>Variety / Mixed Flavors (Fruity, Sour, Seasonal Flavors)</v>
      </c>
      <c r="E3918" t="str">
        <f>_xlfn.XLOOKUP($A3918,Load!$B:$B,Load!F:F,0,)</f>
        <v>Candy Pieces / Bites</v>
      </c>
      <c r="F3918" t="str">
        <f>_xlfn.XLOOKUP($A3918,Load!$B:$B,Load!G:G,0,)</f>
        <v>Medium Multipack (40–80 ct)</v>
      </c>
      <c r="G3918" t="str">
        <f>_xlfn.XLOOKUP($A3918,Load!$B:$B,Load!H:H,0,)</f>
        <v>Box (theatre box, gift box, carton)</v>
      </c>
      <c r="H3918" t="str">
        <f>_xlfn.XLOOKUP($A3918,Load!$B:$B,Load!I:I,0,)</f>
        <v>Seasonal Shapes (like pumpkins, candy corn, ghost, bats, etc.)</v>
      </c>
      <c r="I3918" t="str">
        <f>_xlfn.XLOOKUP($A3918,Load!$B:$B,Load!J:J,0,)</f>
        <v>Seasonal Graphics (Like Bat, Ghost, Pumpkin, Fall Leaves, Eyeballs, etc.)</v>
      </c>
      <c r="J3918" t="str">
        <f>_xlfn.XLOOKUP($A3918,Load!$B:$B,Load!K:K,0,)</f>
        <v>Fun Size / Treat Size</v>
      </c>
      <c r="K3918" t="str">
        <f>_xlfn.XLOOKUP($A3918,Load!$B:$B,Load!L:L,0,)</f>
        <v>Regular/Original Wrapping</v>
      </c>
      <c r="L3918" t="str">
        <f>_xlfn.XLOOKUP($A3918,Load!$B:$B,Load!M:M,0,)</f>
        <v>Single Brand / Variety Flavors or Form</v>
      </c>
    </row>
    <row r="3919" spans="1:12" x14ac:dyDescent="0.25">
      <c r="B3919">
        <f>_xlfn.XLOOKUP($A3919,Load!$B:$B,Load!C:C,0,)</f>
        <v>0</v>
      </c>
      <c r="C3919">
        <f>_xlfn.XLOOKUP($A3919,Load!$B:$B,Load!D:D,0,)</f>
        <v>0</v>
      </c>
      <c r="D3919">
        <f>_xlfn.XLOOKUP($A3919,Load!$B:$B,Load!E:E,0,)</f>
        <v>0</v>
      </c>
      <c r="E3919">
        <f>_xlfn.XLOOKUP($A3919,Load!$B:$B,Load!F:F,0,)</f>
        <v>0</v>
      </c>
      <c r="F3919">
        <f>_xlfn.XLOOKUP($A3919,Load!$B:$B,Load!G:G,0,)</f>
        <v>0</v>
      </c>
      <c r="G3919">
        <f>_xlfn.XLOOKUP($A3919,Load!$B:$B,Load!H:H,0,)</f>
        <v>0</v>
      </c>
      <c r="H3919">
        <f>_xlfn.XLOOKUP($A3919,Load!$B:$B,Load!I:I,0,)</f>
        <v>0</v>
      </c>
      <c r="I3919">
        <f>_xlfn.XLOOKUP($A3919,Load!$B:$B,Load!J:J,0,)</f>
        <v>0</v>
      </c>
      <c r="J3919">
        <f>_xlfn.XLOOKUP($A3919,Load!$B:$B,Load!K:K,0,)</f>
        <v>0</v>
      </c>
      <c r="K3919">
        <f>_xlfn.XLOOKUP($A3919,Load!$B:$B,Load!L:L,0,)</f>
        <v>0</v>
      </c>
      <c r="L3919">
        <f>_xlfn.XLOOKUP($A3919,Load!$B:$B,Load!M:M,0,)</f>
        <v>0</v>
      </c>
    </row>
    <row r="3920" spans="1:12" x14ac:dyDescent="0.25">
      <c r="A3920" t="s">
        <v>146</v>
      </c>
      <c r="B3920" t="str">
        <f>_xlfn.XLOOKUP($A3920,Load!$B:$B,Load!C:C,0,)</f>
        <v>Hi Chew</v>
      </c>
      <c r="C3920" t="str">
        <f>_xlfn.XLOOKUP($A3920,Load!$B:$B,Load!D:D,0,)</f>
        <v>Non-Chocolate Candy Only</v>
      </c>
      <c r="D3920" t="str">
        <f>_xlfn.XLOOKUP($A3920,Load!$B:$B,Load!E:E,0,)</f>
        <v>Fruit Flavor (Cherry, Grape, Apple, Citrus, Tropical Fruit)</v>
      </c>
      <c r="E3920" t="str">
        <f>_xlfn.XLOOKUP($A3920,Load!$B:$B,Load!F:F,0,)</f>
        <v>Gummy</v>
      </c>
      <c r="F3920" t="str">
        <f>_xlfn.XLOOKUP($A3920,Load!$B:$B,Load!G:G,0,)</f>
        <v>Medium Multipack (40–80 ct)</v>
      </c>
      <c r="G3920" t="str">
        <f>_xlfn.XLOOKUP($A3920,Load!$B:$B,Load!H:H,0,)</f>
        <v>Stand-Up Bag</v>
      </c>
      <c r="H3920" t="str">
        <f>_xlfn.XLOOKUP($A3920,Load!$B:$B,Load!I:I,0,)</f>
        <v>Everyday Candy Shapes (like Original, Gummy bear, Fruit, Jewels, etc.)</v>
      </c>
      <c r="I3920" t="str">
        <f>_xlfn.XLOOKUP($A3920,Load!$B:$B,Load!J:J,0,)</f>
        <v>Seasonal Graphics (Like Bat, Ghost, Pumpkin, Fall Leaves, Eyeballs, etc.)</v>
      </c>
      <c r="J3920" t="str">
        <f>_xlfn.XLOOKUP($A3920,Load!$B:$B,Load!K:K,0,)</f>
        <v>Fun Size / Treat Size</v>
      </c>
      <c r="K3920" t="str">
        <f>_xlfn.XLOOKUP($A3920,Load!$B:$B,Load!L:L,0,)</f>
        <v>Regular/Original Wrapping</v>
      </c>
      <c r="L3920" t="str">
        <f>_xlfn.XLOOKUP($A3920,Load!$B:$B,Load!M:M,0,)</f>
        <v>Multiple Brands / Variety Flavors or Form</v>
      </c>
    </row>
    <row r="3921" spans="1:12" x14ac:dyDescent="0.25">
      <c r="B3921">
        <f>_xlfn.XLOOKUP($A3921,Load!$B:$B,Load!C:C,0,)</f>
        <v>0</v>
      </c>
      <c r="C3921">
        <f>_xlfn.XLOOKUP($A3921,Load!$B:$B,Load!D:D,0,)</f>
        <v>0</v>
      </c>
      <c r="D3921">
        <f>_xlfn.XLOOKUP($A3921,Load!$B:$B,Load!E:E,0,)</f>
        <v>0</v>
      </c>
      <c r="E3921">
        <f>_xlfn.XLOOKUP($A3921,Load!$B:$B,Load!F:F,0,)</f>
        <v>0</v>
      </c>
      <c r="F3921">
        <f>_xlfn.XLOOKUP($A3921,Load!$B:$B,Load!G:G,0,)</f>
        <v>0</v>
      </c>
      <c r="G3921">
        <f>_xlfn.XLOOKUP($A3921,Load!$B:$B,Load!H:H,0,)</f>
        <v>0</v>
      </c>
      <c r="H3921">
        <f>_xlfn.XLOOKUP($A3921,Load!$B:$B,Load!I:I,0,)</f>
        <v>0</v>
      </c>
      <c r="I3921">
        <f>_xlfn.XLOOKUP($A3921,Load!$B:$B,Load!J:J,0,)</f>
        <v>0</v>
      </c>
      <c r="J3921">
        <f>_xlfn.XLOOKUP($A3921,Load!$B:$B,Load!K:K,0,)</f>
        <v>0</v>
      </c>
      <c r="K3921">
        <f>_xlfn.XLOOKUP($A3921,Load!$B:$B,Load!L:L,0,)</f>
        <v>0</v>
      </c>
      <c r="L3921">
        <f>_xlfn.XLOOKUP($A3921,Load!$B:$B,Load!M:M,0,)</f>
        <v>0</v>
      </c>
    </row>
    <row r="3922" spans="1:12" x14ac:dyDescent="0.25">
      <c r="A3922" t="s">
        <v>475</v>
      </c>
      <c r="B3922" t="str">
        <f>_xlfn.XLOOKUP($A3922,Load!$B:$B,Load!C:C,0,)</f>
        <v>Jaw Breakers</v>
      </c>
      <c r="C3922" t="str">
        <f>_xlfn.XLOOKUP($A3922,Load!$B:$B,Load!D:D,0,)</f>
        <v>Non-Chocolate Candy Only</v>
      </c>
      <c r="D3922" t="str">
        <f>_xlfn.XLOOKUP($A3922,Load!$B:$B,Load!E:E,0,)</f>
        <v>Fruit Flavor (Cherry, Grape, Apple, Citrus, Tropical Fruit)</v>
      </c>
      <c r="E3922" t="str">
        <f>_xlfn.XLOOKUP($A3922,Load!$B:$B,Load!F:F,0,)</f>
        <v>Hard Candy</v>
      </c>
      <c r="F3922" t="str">
        <f>_xlfn.XLOOKUP($A3922,Load!$B:$B,Load!G:G,0,)</f>
        <v>Large Multipack (More than 80 ct)</v>
      </c>
      <c r="G3922" t="str">
        <f>_xlfn.XLOOKUP($A3922,Load!$B:$B,Load!H:H,0,)</f>
        <v>Laydown Bag</v>
      </c>
      <c r="H3922" t="str">
        <f>_xlfn.XLOOKUP($A3922,Load!$B:$B,Load!I:I,0,)</f>
        <v>Everyday Candy Shapes (like Original, Gummy bear, Fruit, Jewels, etc.)</v>
      </c>
      <c r="I3922" t="str">
        <f>_xlfn.XLOOKUP($A3922,Load!$B:$B,Load!J:J,0,)</f>
        <v>Everyday Graphics</v>
      </c>
      <c r="J3922" t="str">
        <f>_xlfn.XLOOKUP($A3922,Load!$B:$B,Load!K:K,0,)</f>
        <v>Fun Size / Treat Size</v>
      </c>
      <c r="K3922" t="str">
        <f>_xlfn.XLOOKUP($A3922,Load!$B:$B,Load!L:L,0,)</f>
        <v>Regular/Original Wrapping</v>
      </c>
      <c r="L3922" t="str">
        <f>_xlfn.XLOOKUP($A3922,Load!$B:$B,Load!M:M,0,)</f>
        <v>Single Brand / Variety Flavors or Form</v>
      </c>
    </row>
    <row r="3923" spans="1:12" x14ac:dyDescent="0.25">
      <c r="B3923">
        <f>_xlfn.XLOOKUP($A3923,Load!$B:$B,Load!C:C,0,)</f>
        <v>0</v>
      </c>
      <c r="C3923">
        <f>_xlfn.XLOOKUP($A3923,Load!$B:$B,Load!D:D,0,)</f>
        <v>0</v>
      </c>
      <c r="D3923">
        <f>_xlfn.XLOOKUP($A3923,Load!$B:$B,Load!E:E,0,)</f>
        <v>0</v>
      </c>
      <c r="E3923">
        <f>_xlfn.XLOOKUP($A3923,Load!$B:$B,Load!F:F,0,)</f>
        <v>0</v>
      </c>
      <c r="F3923">
        <f>_xlfn.XLOOKUP($A3923,Load!$B:$B,Load!G:G,0,)</f>
        <v>0</v>
      </c>
      <c r="G3923">
        <f>_xlfn.XLOOKUP($A3923,Load!$B:$B,Load!H:H,0,)</f>
        <v>0</v>
      </c>
      <c r="H3923">
        <f>_xlfn.XLOOKUP($A3923,Load!$B:$B,Load!I:I,0,)</f>
        <v>0</v>
      </c>
      <c r="I3923">
        <f>_xlfn.XLOOKUP($A3923,Load!$B:$B,Load!J:J,0,)</f>
        <v>0</v>
      </c>
      <c r="J3923">
        <f>_xlfn.XLOOKUP($A3923,Load!$B:$B,Load!K:K,0,)</f>
        <v>0</v>
      </c>
      <c r="K3923">
        <f>_xlfn.XLOOKUP($A3923,Load!$B:$B,Load!L:L,0,)</f>
        <v>0</v>
      </c>
      <c r="L3923">
        <f>_xlfn.XLOOKUP($A3923,Load!$B:$B,Load!M:M,0,)</f>
        <v>0</v>
      </c>
    </row>
    <row r="3924" spans="1:12" x14ac:dyDescent="0.25">
      <c r="B3924">
        <f>_xlfn.XLOOKUP($A3924,Load!$B:$B,Load!C:C,0,)</f>
        <v>0</v>
      </c>
      <c r="C3924">
        <f>_xlfn.XLOOKUP($A3924,Load!$B:$B,Load!D:D,0,)</f>
        <v>0</v>
      </c>
      <c r="D3924">
        <f>_xlfn.XLOOKUP($A3924,Load!$B:$B,Load!E:E,0,)</f>
        <v>0</v>
      </c>
      <c r="E3924">
        <f>_xlfn.XLOOKUP($A3924,Load!$B:$B,Load!F:F,0,)</f>
        <v>0</v>
      </c>
      <c r="F3924">
        <f>_xlfn.XLOOKUP($A3924,Load!$B:$B,Load!G:G,0,)</f>
        <v>0</v>
      </c>
      <c r="G3924">
        <f>_xlfn.XLOOKUP($A3924,Load!$B:$B,Load!H:H,0,)</f>
        <v>0</v>
      </c>
      <c r="H3924">
        <f>_xlfn.XLOOKUP($A3924,Load!$B:$B,Load!I:I,0,)</f>
        <v>0</v>
      </c>
      <c r="I3924">
        <f>_xlfn.XLOOKUP($A3924,Load!$B:$B,Load!J:J,0,)</f>
        <v>0</v>
      </c>
      <c r="J3924">
        <f>_xlfn.XLOOKUP($A3924,Load!$B:$B,Load!K:K,0,)</f>
        <v>0</v>
      </c>
      <c r="K3924">
        <f>_xlfn.XLOOKUP($A3924,Load!$B:$B,Load!L:L,0,)</f>
        <v>0</v>
      </c>
      <c r="L3924">
        <f>_xlfn.XLOOKUP($A3924,Load!$B:$B,Load!M:M,0,)</f>
        <v>0</v>
      </c>
    </row>
    <row r="3925" spans="1:12" x14ac:dyDescent="0.25">
      <c r="B3925">
        <f>_xlfn.XLOOKUP($A3925,Load!$B:$B,Load!C:C,0,)</f>
        <v>0</v>
      </c>
      <c r="C3925">
        <f>_xlfn.XLOOKUP($A3925,Load!$B:$B,Load!D:D,0,)</f>
        <v>0</v>
      </c>
      <c r="D3925">
        <f>_xlfn.XLOOKUP($A3925,Load!$B:$B,Load!E:E,0,)</f>
        <v>0</v>
      </c>
      <c r="E3925">
        <f>_xlfn.XLOOKUP($A3925,Load!$B:$B,Load!F:F,0,)</f>
        <v>0</v>
      </c>
      <c r="F3925">
        <f>_xlfn.XLOOKUP($A3925,Load!$B:$B,Load!G:G,0,)</f>
        <v>0</v>
      </c>
      <c r="G3925">
        <f>_xlfn.XLOOKUP($A3925,Load!$B:$B,Load!H:H,0,)</f>
        <v>0</v>
      </c>
      <c r="H3925">
        <f>_xlfn.XLOOKUP($A3925,Load!$B:$B,Load!I:I,0,)</f>
        <v>0</v>
      </c>
      <c r="I3925">
        <f>_xlfn.XLOOKUP($A3925,Load!$B:$B,Load!J:J,0,)</f>
        <v>0</v>
      </c>
      <c r="J3925">
        <f>_xlfn.XLOOKUP($A3925,Load!$B:$B,Load!K:K,0,)</f>
        <v>0</v>
      </c>
      <c r="K3925">
        <f>_xlfn.XLOOKUP($A3925,Load!$B:$B,Load!L:L,0,)</f>
        <v>0</v>
      </c>
      <c r="L3925">
        <f>_xlfn.XLOOKUP($A3925,Load!$B:$B,Load!M:M,0,)</f>
        <v>0</v>
      </c>
    </row>
    <row r="3926" spans="1:12" x14ac:dyDescent="0.25">
      <c r="A3926" t="s">
        <v>271</v>
      </c>
      <c r="B3926" t="str">
        <f>_xlfn.XLOOKUP($A3926,Load!$B:$B,Load!C:C,0,)</f>
        <v>Sour Patch Kids</v>
      </c>
      <c r="C3926" t="str">
        <f>_xlfn.XLOOKUP($A3926,Load!$B:$B,Load!D:D,0,)</f>
        <v>Non-Chocolate Candy Only</v>
      </c>
      <c r="D3926" t="str">
        <f>_xlfn.XLOOKUP($A3926,Load!$B:$B,Load!E:E,0,)</f>
        <v>Sour</v>
      </c>
      <c r="E3926" t="str">
        <f>_xlfn.XLOOKUP($A3926,Load!$B:$B,Load!F:F,0,)</f>
        <v>Chewy</v>
      </c>
      <c r="F3926" t="str">
        <f>_xlfn.XLOOKUP($A3926,Load!$B:$B,Load!G:G,0,)</f>
        <v>Medium Multipack (40–80 ct)</v>
      </c>
      <c r="G3926" t="str">
        <f>_xlfn.XLOOKUP($A3926,Load!$B:$B,Load!H:H,0,)</f>
        <v>Laydown Bag</v>
      </c>
      <c r="H3926" t="str">
        <f>_xlfn.XLOOKUP($A3926,Load!$B:$B,Load!I:I,0,)</f>
        <v>Everyday Candy Shapes (like Original, Gummy bear, Fruit, Jewels, etc.)</v>
      </c>
      <c r="I3926" t="str">
        <f>_xlfn.XLOOKUP($A3926,Load!$B:$B,Load!J:J,0,)</f>
        <v>Seasonal Graphics (Like Bat, Ghost, Pumpkin, Fall Leaves, Eyeballs, etc.)</v>
      </c>
      <c r="J3926" t="str">
        <f>_xlfn.XLOOKUP($A3926,Load!$B:$B,Load!K:K,0,)</f>
        <v>Small Pieces (Tiny bite size candies)</v>
      </c>
      <c r="K3926" t="str">
        <f>_xlfn.XLOOKUP($A3926,Load!$B:$B,Load!L:L,0,)</f>
        <v>Regular/Original Wrapping</v>
      </c>
      <c r="L3926" t="str">
        <f>_xlfn.XLOOKUP($A3926,Load!$B:$B,Load!M:M,0,)</f>
        <v>Single Brand / Variety Flavors or Form</v>
      </c>
    </row>
    <row r="3927" spans="1:12" x14ac:dyDescent="0.25">
      <c r="A3927" t="s">
        <v>304</v>
      </c>
      <c r="B3927" t="str">
        <f>_xlfn.XLOOKUP($A3927,Load!$B:$B,Load!C:C,0,)</f>
        <v>Warheads</v>
      </c>
      <c r="C3927" t="str">
        <f>_xlfn.XLOOKUP($A3927,Load!$B:$B,Load!D:D,0,)</f>
        <v>Non-Chocolate Candy Only</v>
      </c>
      <c r="D3927" t="str">
        <f>_xlfn.XLOOKUP($A3927,Load!$B:$B,Load!E:E,0,)</f>
        <v>Sour</v>
      </c>
      <c r="E3927" t="str">
        <f>_xlfn.XLOOKUP($A3927,Load!$B:$B,Load!F:F,0,)</f>
        <v>Chewy</v>
      </c>
      <c r="F3927" t="str">
        <f>_xlfn.XLOOKUP($A3927,Load!$B:$B,Load!G:G,0,)</f>
        <v>Medium Multipack (40–80 ct)</v>
      </c>
      <c r="G3927" t="str">
        <f>_xlfn.XLOOKUP($A3927,Load!$B:$B,Load!H:H,0,)</f>
        <v>Laydown Bag</v>
      </c>
      <c r="H3927" t="str">
        <f>_xlfn.XLOOKUP($A3927,Load!$B:$B,Load!I:I,0,)</f>
        <v>Everyday Candy Shapes (like Original, Gummy bear, Fruit, Jewels, etc.)</v>
      </c>
      <c r="I3927" t="str">
        <f>_xlfn.XLOOKUP($A3927,Load!$B:$B,Load!J:J,0,)</f>
        <v>Seasonal Graphics (Like Bat, Ghost, Pumpkin, Fall Leaves, Eyeballs, etc.)</v>
      </c>
      <c r="J3927" t="str">
        <f>_xlfn.XLOOKUP($A3927,Load!$B:$B,Load!K:K,0,)</f>
        <v>Fun Size / Treat Size</v>
      </c>
      <c r="K3927" t="str">
        <f>_xlfn.XLOOKUP($A3927,Load!$B:$B,Load!L:L,0,)</f>
        <v>Regular/Original Wrapping</v>
      </c>
      <c r="L3927" t="str">
        <f>_xlfn.XLOOKUP($A3927,Load!$B:$B,Load!M:M,0,)</f>
        <v>Single Brand / Single Flavor or Form</v>
      </c>
    </row>
    <row r="3928" spans="1:12" x14ac:dyDescent="0.25">
      <c r="A3928" t="s">
        <v>343</v>
      </c>
      <c r="B3928" t="str">
        <f>_xlfn.XLOOKUP($A3928,Load!$B:$B,Load!C:C,0,)</f>
        <v>Your Store Brand</v>
      </c>
      <c r="C3928" t="str">
        <f>_xlfn.XLOOKUP($A3928,Load!$B:$B,Load!D:D,0,)</f>
        <v>Non-Chocolate Candy Only</v>
      </c>
      <c r="D3928" t="str">
        <f>_xlfn.XLOOKUP($A3928,Load!$B:$B,Load!E:E,0,)</f>
        <v>Berry Based (Raspberry, Strawberry, Medley, etc.)</v>
      </c>
      <c r="E3928" t="str">
        <f>_xlfn.XLOOKUP($A3928,Load!$B:$B,Load!F:F,0,)</f>
        <v>Hard Candy</v>
      </c>
      <c r="F3928" t="str">
        <f>_xlfn.XLOOKUP($A3928,Load!$B:$B,Load!G:G,0,)</f>
        <v>Small Multipack (Less than 40 ct)</v>
      </c>
      <c r="G3928" t="str">
        <f>_xlfn.XLOOKUP($A3928,Load!$B:$B,Load!H:H,0,)</f>
        <v>Laydown Bag</v>
      </c>
      <c r="H3928" t="str">
        <f>_xlfn.XLOOKUP($A3928,Load!$B:$B,Load!I:I,0,)</f>
        <v>Seasonal Shapes (like pumpkins, candy corn, ghost, bats, etc.)</v>
      </c>
      <c r="I3928" t="str">
        <f>_xlfn.XLOOKUP($A3928,Load!$B:$B,Load!J:J,0,)</f>
        <v>Seasonal Graphics (Like Bat, Ghost, Pumpkin, Fall Leaves, Eyeballs, etc.)</v>
      </c>
      <c r="J3928" t="str">
        <f>_xlfn.XLOOKUP($A3928,Load!$B:$B,Load!K:K,0,)</f>
        <v>Small Pieces (Tiny bite size candies)</v>
      </c>
      <c r="K3928" t="str">
        <f>_xlfn.XLOOKUP($A3928,Load!$B:$B,Load!L:L,0,)</f>
        <v>Regular/Original Wrapping</v>
      </c>
      <c r="L3928" t="str">
        <f>_xlfn.XLOOKUP($A3928,Load!$B:$B,Load!M:M,0,)</f>
        <v>Single Brand / Variety Flavors or Form</v>
      </c>
    </row>
    <row r="3929" spans="1:12" x14ac:dyDescent="0.25">
      <c r="A3929" t="s">
        <v>235</v>
      </c>
      <c r="B3929" t="str">
        <f>_xlfn.XLOOKUP($A3929,Load!$B:$B,Load!C:C,0,)</f>
        <v>Nerds</v>
      </c>
      <c r="C3929" t="str">
        <f>_xlfn.XLOOKUP($A3929,Load!$B:$B,Load!D:D,0,)</f>
        <v>Non-Chocolate Candy Only</v>
      </c>
      <c r="D3929" t="str">
        <f>_xlfn.XLOOKUP($A3929,Load!$B:$B,Load!E:E,0,)</f>
        <v>Variety / Mixed Flavors (Fruity, Sour, Seasonal Flavors)</v>
      </c>
      <c r="E3929" t="str">
        <f>_xlfn.XLOOKUP($A3929,Load!$B:$B,Load!F:F,0,)</f>
        <v>Candy Pieces / Bites</v>
      </c>
      <c r="F3929" t="str">
        <f>_xlfn.XLOOKUP($A3929,Load!$B:$B,Load!G:G,0,)</f>
        <v>Small Multipack (Less than 40 ct)</v>
      </c>
      <c r="G3929" t="str">
        <f>_xlfn.XLOOKUP($A3929,Load!$B:$B,Load!H:H,0,)</f>
        <v>Peg Bag</v>
      </c>
      <c r="H3929" t="str">
        <f>_xlfn.XLOOKUP($A3929,Load!$B:$B,Load!I:I,0,)</f>
        <v>Everyday Candy Shapes (like Original, Gummy bear, Fruit, Jewels, etc.)</v>
      </c>
      <c r="I3929" t="str">
        <f>_xlfn.XLOOKUP($A3929,Load!$B:$B,Load!J:J,0,)</f>
        <v>Everyday Graphics</v>
      </c>
      <c r="J3929" t="str">
        <f>_xlfn.XLOOKUP($A3929,Load!$B:$B,Load!K:K,0,)</f>
        <v>Small Pieces (Tiny bite size candies)</v>
      </c>
      <c r="K3929" t="str">
        <f>_xlfn.XLOOKUP($A3929,Load!$B:$B,Load!L:L,0,)</f>
        <v>Unwrapped</v>
      </c>
      <c r="L3929" t="str">
        <f>_xlfn.XLOOKUP($A3929,Load!$B:$B,Load!M:M,0,)</f>
        <v>Single Brand / Variety Flavors or Form</v>
      </c>
    </row>
    <row r="3930" spans="1:12" x14ac:dyDescent="0.25">
      <c r="B3930">
        <f>_xlfn.XLOOKUP($A3930,Load!$B:$B,Load!C:C,0,)</f>
        <v>0</v>
      </c>
      <c r="C3930">
        <f>_xlfn.XLOOKUP($A3930,Load!$B:$B,Load!D:D,0,)</f>
        <v>0</v>
      </c>
      <c r="D3930">
        <f>_xlfn.XLOOKUP($A3930,Load!$B:$B,Load!E:E,0,)</f>
        <v>0</v>
      </c>
      <c r="E3930">
        <f>_xlfn.XLOOKUP($A3930,Load!$B:$B,Load!F:F,0,)</f>
        <v>0</v>
      </c>
      <c r="F3930">
        <f>_xlfn.XLOOKUP($A3930,Load!$B:$B,Load!G:G,0,)</f>
        <v>0</v>
      </c>
      <c r="G3930">
        <f>_xlfn.XLOOKUP($A3930,Load!$B:$B,Load!H:H,0,)</f>
        <v>0</v>
      </c>
      <c r="H3930">
        <f>_xlfn.XLOOKUP($A3930,Load!$B:$B,Load!I:I,0,)</f>
        <v>0</v>
      </c>
      <c r="I3930">
        <f>_xlfn.XLOOKUP($A3930,Load!$B:$B,Load!J:J,0,)</f>
        <v>0</v>
      </c>
      <c r="J3930">
        <f>_xlfn.XLOOKUP($A3930,Load!$B:$B,Load!K:K,0,)</f>
        <v>0</v>
      </c>
      <c r="K3930">
        <f>_xlfn.XLOOKUP($A3930,Load!$B:$B,Load!L:L,0,)</f>
        <v>0</v>
      </c>
      <c r="L3930">
        <f>_xlfn.XLOOKUP($A3930,Load!$B:$B,Load!M:M,0,)</f>
        <v>0</v>
      </c>
    </row>
    <row r="3931" spans="1:12" x14ac:dyDescent="0.25">
      <c r="B3931">
        <f>_xlfn.XLOOKUP($A3931,Load!$B:$B,Load!C:C,0,)</f>
        <v>0</v>
      </c>
      <c r="C3931">
        <f>_xlfn.XLOOKUP($A3931,Load!$B:$B,Load!D:D,0,)</f>
        <v>0</v>
      </c>
      <c r="D3931">
        <f>_xlfn.XLOOKUP($A3931,Load!$B:$B,Load!E:E,0,)</f>
        <v>0</v>
      </c>
      <c r="E3931">
        <f>_xlfn.XLOOKUP($A3931,Load!$B:$B,Load!F:F,0,)</f>
        <v>0</v>
      </c>
      <c r="F3931">
        <f>_xlfn.XLOOKUP($A3931,Load!$B:$B,Load!G:G,0,)</f>
        <v>0</v>
      </c>
      <c r="G3931">
        <f>_xlfn.XLOOKUP($A3931,Load!$B:$B,Load!H:H,0,)</f>
        <v>0</v>
      </c>
      <c r="H3931">
        <f>_xlfn.XLOOKUP($A3931,Load!$B:$B,Load!I:I,0,)</f>
        <v>0</v>
      </c>
      <c r="I3931">
        <f>_xlfn.XLOOKUP($A3931,Load!$B:$B,Load!J:J,0,)</f>
        <v>0</v>
      </c>
      <c r="J3931">
        <f>_xlfn.XLOOKUP($A3931,Load!$B:$B,Load!K:K,0,)</f>
        <v>0</v>
      </c>
      <c r="K3931">
        <f>_xlfn.XLOOKUP($A3931,Load!$B:$B,Load!L:L,0,)</f>
        <v>0</v>
      </c>
      <c r="L3931">
        <f>_xlfn.XLOOKUP($A3931,Load!$B:$B,Load!M:M,0,)</f>
        <v>0</v>
      </c>
    </row>
    <row r="3932" spans="1:12" x14ac:dyDescent="0.25">
      <c r="A3932" t="s">
        <v>64</v>
      </c>
      <c r="B3932" t="str">
        <f>_xlfn.XLOOKUP($A3932,Load!$B:$B,Load!C:C,0,)</f>
        <v>Cow Tails</v>
      </c>
      <c r="C3932" t="str">
        <f>_xlfn.XLOOKUP($A3932,Load!$B:$B,Load!D:D,0,)</f>
        <v>Non-Chocolate Candy Only</v>
      </c>
      <c r="D3932" t="str">
        <f>_xlfn.XLOOKUP($A3932,Load!$B:$B,Load!E:E,0,)</f>
        <v>Fall / Seasonal Flavors (pumpkin spice, caramel apple, candy corn)</v>
      </c>
      <c r="E3932" t="str">
        <f>_xlfn.XLOOKUP($A3932,Load!$B:$B,Load!F:F,0,)</f>
        <v>Chewy</v>
      </c>
      <c r="F3932" t="str">
        <f>_xlfn.XLOOKUP($A3932,Load!$B:$B,Load!G:G,0,)</f>
        <v>Single Pack</v>
      </c>
      <c r="G3932" t="str">
        <f>_xlfn.XLOOKUP($A3932,Load!$B:$B,Load!H:H,0,)</f>
        <v>Laydown Bag</v>
      </c>
      <c r="H3932" t="str">
        <f>_xlfn.XLOOKUP($A3932,Load!$B:$B,Load!I:I,0,)</f>
        <v>Everyday Candy Shapes (like Original, Gummy bear, Fruit, Jewels, etc.)</v>
      </c>
      <c r="I3932" t="str">
        <f>_xlfn.XLOOKUP($A3932,Load!$B:$B,Load!J:J,0,)</f>
        <v>Everyday Graphics</v>
      </c>
      <c r="J3932" t="str">
        <f>_xlfn.XLOOKUP($A3932,Load!$B:$B,Load!K:K,0,)</f>
        <v>Fun Size / Treat Size</v>
      </c>
      <c r="K3932" t="str">
        <f>_xlfn.XLOOKUP($A3932,Load!$B:$B,Load!L:L,0,)</f>
        <v>Regular/Original Wrapping</v>
      </c>
      <c r="L3932" t="str">
        <f>_xlfn.XLOOKUP($A3932,Load!$B:$B,Load!M:M,0,)</f>
        <v>Single Brand / Single Flavor or Form</v>
      </c>
    </row>
    <row r="3933" spans="1:12" x14ac:dyDescent="0.25">
      <c r="B3933">
        <f>_xlfn.XLOOKUP($A3933,Load!$B:$B,Load!C:C,0,)</f>
        <v>0</v>
      </c>
      <c r="C3933">
        <f>_xlfn.XLOOKUP($A3933,Load!$B:$B,Load!D:D,0,)</f>
        <v>0</v>
      </c>
      <c r="D3933">
        <f>_xlfn.XLOOKUP($A3933,Load!$B:$B,Load!E:E,0,)</f>
        <v>0</v>
      </c>
      <c r="E3933">
        <f>_xlfn.XLOOKUP($A3933,Load!$B:$B,Load!F:F,0,)</f>
        <v>0</v>
      </c>
      <c r="F3933">
        <f>_xlfn.XLOOKUP($A3933,Load!$B:$B,Load!G:G,0,)</f>
        <v>0</v>
      </c>
      <c r="G3933">
        <f>_xlfn.XLOOKUP($A3933,Load!$B:$B,Load!H:H,0,)</f>
        <v>0</v>
      </c>
      <c r="H3933">
        <f>_xlfn.XLOOKUP($A3933,Load!$B:$B,Load!I:I,0,)</f>
        <v>0</v>
      </c>
      <c r="I3933">
        <f>_xlfn.XLOOKUP($A3933,Load!$B:$B,Load!J:J,0,)</f>
        <v>0</v>
      </c>
      <c r="J3933">
        <f>_xlfn.XLOOKUP($A3933,Load!$B:$B,Load!K:K,0,)</f>
        <v>0</v>
      </c>
      <c r="K3933">
        <f>_xlfn.XLOOKUP($A3933,Load!$B:$B,Load!L:L,0,)</f>
        <v>0</v>
      </c>
      <c r="L3933">
        <f>_xlfn.XLOOKUP($A3933,Load!$B:$B,Load!M:M,0,)</f>
        <v>0</v>
      </c>
    </row>
    <row r="3934" spans="1:12" x14ac:dyDescent="0.25">
      <c r="B3934">
        <f>_xlfn.XLOOKUP($A3934,Load!$B:$B,Load!C:C,0,)</f>
        <v>0</v>
      </c>
      <c r="C3934">
        <f>_xlfn.XLOOKUP($A3934,Load!$B:$B,Load!D:D,0,)</f>
        <v>0</v>
      </c>
      <c r="D3934">
        <f>_xlfn.XLOOKUP($A3934,Load!$B:$B,Load!E:E,0,)</f>
        <v>0</v>
      </c>
      <c r="E3934">
        <f>_xlfn.XLOOKUP($A3934,Load!$B:$B,Load!F:F,0,)</f>
        <v>0</v>
      </c>
      <c r="F3934">
        <f>_xlfn.XLOOKUP($A3934,Load!$B:$B,Load!G:G,0,)</f>
        <v>0</v>
      </c>
      <c r="G3934">
        <f>_xlfn.XLOOKUP($A3934,Load!$B:$B,Load!H:H,0,)</f>
        <v>0</v>
      </c>
      <c r="H3934">
        <f>_xlfn.XLOOKUP($A3934,Load!$B:$B,Load!I:I,0,)</f>
        <v>0</v>
      </c>
      <c r="I3934">
        <f>_xlfn.XLOOKUP($A3934,Load!$B:$B,Load!J:J,0,)</f>
        <v>0</v>
      </c>
      <c r="J3934">
        <f>_xlfn.XLOOKUP($A3934,Load!$B:$B,Load!K:K,0,)</f>
        <v>0</v>
      </c>
      <c r="K3934">
        <f>_xlfn.XLOOKUP($A3934,Load!$B:$B,Load!L:L,0,)</f>
        <v>0</v>
      </c>
      <c r="L3934">
        <f>_xlfn.XLOOKUP($A3934,Load!$B:$B,Load!M:M,0,)</f>
        <v>0</v>
      </c>
    </row>
    <row r="3935" spans="1:12" x14ac:dyDescent="0.25">
      <c r="B3935">
        <f>_xlfn.XLOOKUP($A3935,Load!$B:$B,Load!C:C,0,)</f>
        <v>0</v>
      </c>
      <c r="C3935">
        <f>_xlfn.XLOOKUP($A3935,Load!$B:$B,Load!D:D,0,)</f>
        <v>0</v>
      </c>
      <c r="D3935">
        <f>_xlfn.XLOOKUP($A3935,Load!$B:$B,Load!E:E,0,)</f>
        <v>0</v>
      </c>
      <c r="E3935">
        <f>_xlfn.XLOOKUP($A3935,Load!$B:$B,Load!F:F,0,)</f>
        <v>0</v>
      </c>
      <c r="F3935">
        <f>_xlfn.XLOOKUP($A3935,Load!$B:$B,Load!G:G,0,)</f>
        <v>0</v>
      </c>
      <c r="G3935">
        <f>_xlfn.XLOOKUP($A3935,Load!$B:$B,Load!H:H,0,)</f>
        <v>0</v>
      </c>
      <c r="H3935">
        <f>_xlfn.XLOOKUP($A3935,Load!$B:$B,Load!I:I,0,)</f>
        <v>0</v>
      </c>
      <c r="I3935">
        <f>_xlfn.XLOOKUP($A3935,Load!$B:$B,Load!J:J,0,)</f>
        <v>0</v>
      </c>
      <c r="J3935">
        <f>_xlfn.XLOOKUP($A3935,Load!$B:$B,Load!K:K,0,)</f>
        <v>0</v>
      </c>
      <c r="K3935">
        <f>_xlfn.XLOOKUP($A3935,Load!$B:$B,Load!L:L,0,)</f>
        <v>0</v>
      </c>
      <c r="L3935">
        <f>_xlfn.XLOOKUP($A3935,Load!$B:$B,Load!M:M,0,)</f>
        <v>0</v>
      </c>
    </row>
    <row r="3936" spans="1:12" x14ac:dyDescent="0.25">
      <c r="A3936" t="s">
        <v>95</v>
      </c>
      <c r="B3936" t="str">
        <f>_xlfn.XLOOKUP($A3936,Load!$B:$B,Load!C:C,0,)</f>
        <v>Ferrara Variety Pack</v>
      </c>
      <c r="C3936" t="str">
        <f>_xlfn.XLOOKUP($A3936,Load!$B:$B,Load!D:D,0,)</f>
        <v>Non-Chocolate Candy Only</v>
      </c>
      <c r="D3936" t="str">
        <f>_xlfn.XLOOKUP($A3936,Load!$B:$B,Load!E:E,0,)</f>
        <v>Variety / Mixed Flavors (Fruity, Sour, Seasonal Flavors)</v>
      </c>
      <c r="E3936" t="str">
        <f>_xlfn.XLOOKUP($A3936,Load!$B:$B,Load!F:F,0,)</f>
        <v>Mixed / Combo Packs (Gummy, Chewy, Taffy, etc.)</v>
      </c>
      <c r="F3936" t="str">
        <f>_xlfn.XLOOKUP($A3936,Load!$B:$B,Load!G:G,0,)</f>
        <v>Medium Multipack (40–80 ct)</v>
      </c>
      <c r="G3936" t="str">
        <f>_xlfn.XLOOKUP($A3936,Load!$B:$B,Load!H:H,0,)</f>
        <v>Stand-Up Bag</v>
      </c>
      <c r="H3936" t="str">
        <f>_xlfn.XLOOKUP($A3936,Load!$B:$B,Load!I:I,0,)</f>
        <v>Everyday Candy Shapes (like Original, Gummy bear, Fruit, Jewels, etc.)</v>
      </c>
      <c r="I3936" t="str">
        <f>_xlfn.XLOOKUP($A3936,Load!$B:$B,Load!J:J,0,)</f>
        <v>Seasonal Graphics (Like Bat, Ghost, Pumpkin, Fall Leaves, Eyeballs, etc.)</v>
      </c>
      <c r="J3936" t="str">
        <f>_xlfn.XLOOKUP($A3936,Load!$B:$B,Load!K:K,0,)</f>
        <v xml:space="preserve">Variety Candy Sizes </v>
      </c>
      <c r="K3936" t="str">
        <f>_xlfn.XLOOKUP($A3936,Load!$B:$B,Load!L:L,0,)</f>
        <v>Regular/Original Wrapping</v>
      </c>
      <c r="L3936" t="str">
        <f>_xlfn.XLOOKUP($A3936,Load!$B:$B,Load!M:M,0,)</f>
        <v>Multiple Brands / Variety Flavors or Form</v>
      </c>
    </row>
    <row r="3937" spans="1:12" x14ac:dyDescent="0.25">
      <c r="A3937" t="s">
        <v>174</v>
      </c>
      <c r="B3937" t="str">
        <f>_xlfn.XLOOKUP($A3937,Load!$B:$B,Load!C:C,0,)</f>
        <v>Mars Variety Pack</v>
      </c>
      <c r="C3937" t="str">
        <f>_xlfn.XLOOKUP($A3937,Load!$B:$B,Load!D:D,0,)</f>
        <v>Non-Chocolate Candy Only</v>
      </c>
      <c r="D3937" t="str">
        <f>_xlfn.XLOOKUP($A3937,Load!$B:$B,Load!E:E,0,)</f>
        <v>Variety / Mixed Flavors (Fruity, Sour, Seasonal Flavors)</v>
      </c>
      <c r="E3937" t="str">
        <f>_xlfn.XLOOKUP($A3937,Load!$B:$B,Load!F:F,0,)</f>
        <v>Mixed / Combo Packs (Gummy, Chewy, Taffy, etc.)</v>
      </c>
      <c r="F3937" t="str">
        <f>_xlfn.XLOOKUP($A3937,Load!$B:$B,Load!G:G,0,)</f>
        <v>Medium Multipack (40–80 ct)</v>
      </c>
      <c r="G3937" t="str">
        <f>_xlfn.XLOOKUP($A3937,Load!$B:$B,Load!H:H,0,)</f>
        <v>Stand-Up Bag</v>
      </c>
      <c r="H3937" t="str">
        <f>_xlfn.XLOOKUP($A3937,Load!$B:$B,Load!I:I,0,)</f>
        <v>Everyday Candy Shapes (like Original, Gummy bear, Fruit, Jewels, etc.)</v>
      </c>
      <c r="I3937" t="str">
        <f>_xlfn.XLOOKUP($A3937,Load!$B:$B,Load!J:J,0,)</f>
        <v>Seasonal Graphics (Like Bat, Ghost, Pumpkin, Fall Leaves, Eyeballs, etc.)</v>
      </c>
      <c r="J3937" t="str">
        <f>_xlfn.XLOOKUP($A3937,Load!$B:$B,Load!K:K,0,)</f>
        <v>Fun Size / Treat Size</v>
      </c>
      <c r="K3937" t="str">
        <f>_xlfn.XLOOKUP($A3937,Load!$B:$B,Load!L:L,0,)</f>
        <v>Regular/Original Wrapping</v>
      </c>
      <c r="L3937" t="str">
        <f>_xlfn.XLOOKUP($A3937,Load!$B:$B,Load!M:M,0,)</f>
        <v>Multiple Brands / Variety Flavors or Form</v>
      </c>
    </row>
    <row r="3938" spans="1:12" x14ac:dyDescent="0.25">
      <c r="A3938" t="s">
        <v>71</v>
      </c>
      <c r="B3938" t="str">
        <f>_xlfn.XLOOKUP($A3938,Load!$B:$B,Load!C:C,0,)</f>
        <v>Dum Dums</v>
      </c>
      <c r="C3938" t="str">
        <f>_xlfn.XLOOKUP($A3938,Load!$B:$B,Load!D:D,0,)</f>
        <v>Non-Chocolate Candy Only</v>
      </c>
      <c r="D3938" t="str">
        <f>_xlfn.XLOOKUP($A3938,Load!$B:$B,Load!E:E,0,)</f>
        <v>Sweet</v>
      </c>
      <c r="E3938" t="str">
        <f>_xlfn.XLOOKUP($A3938,Load!$B:$B,Load!F:F,0,)</f>
        <v>Lollipop (regular or lollipop rings)</v>
      </c>
      <c r="F3938" t="str">
        <f>_xlfn.XLOOKUP($A3938,Load!$B:$B,Load!G:G,0,)</f>
        <v>Large Multipack (More than 80 ct)</v>
      </c>
      <c r="G3938" t="str">
        <f>_xlfn.XLOOKUP($A3938,Load!$B:$B,Load!H:H,0,)</f>
        <v>Stand-Up Bag</v>
      </c>
      <c r="H3938" t="str">
        <f>_xlfn.XLOOKUP($A3938,Load!$B:$B,Load!I:I,0,)</f>
        <v>Everyday Candy Shapes (like Original, Gummy bear, Fruit, Jewels, etc.)</v>
      </c>
      <c r="I3938" t="str">
        <f>_xlfn.XLOOKUP($A3938,Load!$B:$B,Load!J:J,0,)</f>
        <v>Seasonal Graphics (Like Bat, Ghost, Pumpkin, Fall Leaves, Eyeballs, etc.)</v>
      </c>
      <c r="J3938" t="str">
        <f>_xlfn.XLOOKUP($A3938,Load!$B:$B,Load!K:K,0,)</f>
        <v>Regular Lollipop size (on sticks or rings)</v>
      </c>
      <c r="K3938" t="str">
        <f>_xlfn.XLOOKUP($A3938,Load!$B:$B,Load!L:L,0,)</f>
        <v>Regular/Original Wrapping</v>
      </c>
      <c r="L3938" t="str">
        <f>_xlfn.XLOOKUP($A3938,Load!$B:$B,Load!M:M,0,)</f>
        <v>Multiple Brands / Variety Flavors or Form</v>
      </c>
    </row>
    <row r="3939" spans="1:12" x14ac:dyDescent="0.25">
      <c r="B3939">
        <f>_xlfn.XLOOKUP($A3939,Load!$B:$B,Load!C:C,0,)</f>
        <v>0</v>
      </c>
      <c r="C3939">
        <f>_xlfn.XLOOKUP($A3939,Load!$B:$B,Load!D:D,0,)</f>
        <v>0</v>
      </c>
      <c r="D3939">
        <f>_xlfn.XLOOKUP($A3939,Load!$B:$B,Load!E:E,0,)</f>
        <v>0</v>
      </c>
      <c r="E3939">
        <f>_xlfn.XLOOKUP($A3939,Load!$B:$B,Load!F:F,0,)</f>
        <v>0</v>
      </c>
      <c r="F3939">
        <f>_xlfn.XLOOKUP($A3939,Load!$B:$B,Load!G:G,0,)</f>
        <v>0</v>
      </c>
      <c r="G3939">
        <f>_xlfn.XLOOKUP($A3939,Load!$B:$B,Load!H:H,0,)</f>
        <v>0</v>
      </c>
      <c r="H3939">
        <f>_xlfn.XLOOKUP($A3939,Load!$B:$B,Load!I:I,0,)</f>
        <v>0</v>
      </c>
      <c r="I3939">
        <f>_xlfn.XLOOKUP($A3939,Load!$B:$B,Load!J:J,0,)</f>
        <v>0</v>
      </c>
      <c r="J3939">
        <f>_xlfn.XLOOKUP($A3939,Load!$B:$B,Load!K:K,0,)</f>
        <v>0</v>
      </c>
      <c r="K3939">
        <f>_xlfn.XLOOKUP($A3939,Load!$B:$B,Load!L:L,0,)</f>
        <v>0</v>
      </c>
      <c r="L3939">
        <f>_xlfn.XLOOKUP($A3939,Load!$B:$B,Load!M:M,0,)</f>
        <v>0</v>
      </c>
    </row>
    <row r="3940" spans="1:12" x14ac:dyDescent="0.25">
      <c r="A3940" t="s">
        <v>285</v>
      </c>
      <c r="B3940" t="str">
        <f>_xlfn.XLOOKUP($A3940,Load!$B:$B,Load!C:C,0,)</f>
        <v>Starburst</v>
      </c>
      <c r="C3940" t="str">
        <f>_xlfn.XLOOKUP($A3940,Load!$B:$B,Load!D:D,0,)</f>
        <v>Non-Chocolate Candy Only</v>
      </c>
      <c r="D3940" t="str">
        <f>_xlfn.XLOOKUP($A3940,Load!$B:$B,Load!E:E,0,)</f>
        <v>Fruit Flavor (Cherry, Grape, Apple, Citrus, Tropical Fruit)</v>
      </c>
      <c r="E3940" t="str">
        <f>_xlfn.XLOOKUP($A3940,Load!$B:$B,Load!F:F,0,)</f>
        <v>Chewy</v>
      </c>
      <c r="F3940" t="str">
        <f>_xlfn.XLOOKUP($A3940,Load!$B:$B,Load!G:G,0,)</f>
        <v>Small Multipack (Less than 40 ct)</v>
      </c>
      <c r="G3940" t="str">
        <f>_xlfn.XLOOKUP($A3940,Load!$B:$B,Load!H:H,0,)</f>
        <v>Laydown Bag</v>
      </c>
      <c r="H3940" t="str">
        <f>_xlfn.XLOOKUP($A3940,Load!$B:$B,Load!I:I,0,)</f>
        <v>Everyday Candy Shapes (like Original, Gummy bear, Fruit, Jewels, etc.)</v>
      </c>
      <c r="I3940" t="str">
        <f>_xlfn.XLOOKUP($A3940,Load!$B:$B,Load!J:J,0,)</f>
        <v>Everyday Graphics</v>
      </c>
      <c r="J3940" t="str">
        <f>_xlfn.XLOOKUP($A3940,Load!$B:$B,Load!K:K,0,)</f>
        <v>Small Pieces (Tiny bite size candies)</v>
      </c>
      <c r="K3940" t="str">
        <f>_xlfn.XLOOKUP($A3940,Load!$B:$B,Load!L:L,0,)</f>
        <v>Regular/Original Wrapping</v>
      </c>
      <c r="L3940" t="str">
        <f>_xlfn.XLOOKUP($A3940,Load!$B:$B,Load!M:M,0,)</f>
        <v>Single Brand / Variety Flavors or Form</v>
      </c>
    </row>
    <row r="3941" spans="1:12" x14ac:dyDescent="0.25">
      <c r="B3941">
        <f>_xlfn.XLOOKUP($A3941,Load!$B:$B,Load!C:C,0,)</f>
        <v>0</v>
      </c>
      <c r="C3941">
        <f>_xlfn.XLOOKUP($A3941,Load!$B:$B,Load!D:D,0,)</f>
        <v>0</v>
      </c>
      <c r="D3941">
        <f>_xlfn.XLOOKUP($A3941,Load!$B:$B,Load!E:E,0,)</f>
        <v>0</v>
      </c>
      <c r="E3941">
        <f>_xlfn.XLOOKUP($A3941,Load!$B:$B,Load!F:F,0,)</f>
        <v>0</v>
      </c>
      <c r="F3941">
        <f>_xlfn.XLOOKUP($A3941,Load!$B:$B,Load!G:G,0,)</f>
        <v>0</v>
      </c>
      <c r="G3941">
        <f>_xlfn.XLOOKUP($A3941,Load!$B:$B,Load!H:H,0,)</f>
        <v>0</v>
      </c>
      <c r="H3941">
        <f>_xlfn.XLOOKUP($A3941,Load!$B:$B,Load!I:I,0,)</f>
        <v>0</v>
      </c>
      <c r="I3941">
        <f>_xlfn.XLOOKUP($A3941,Load!$B:$B,Load!J:J,0,)</f>
        <v>0</v>
      </c>
      <c r="J3941">
        <f>_xlfn.XLOOKUP($A3941,Load!$B:$B,Load!K:K,0,)</f>
        <v>0</v>
      </c>
      <c r="K3941">
        <f>_xlfn.XLOOKUP($A3941,Load!$B:$B,Load!L:L,0,)</f>
        <v>0</v>
      </c>
      <c r="L3941">
        <f>_xlfn.XLOOKUP($A3941,Load!$B:$B,Load!M:M,0,)</f>
        <v>0</v>
      </c>
    </row>
    <row r="3942" spans="1:12" x14ac:dyDescent="0.25">
      <c r="A3942" t="s">
        <v>178</v>
      </c>
      <c r="B3942" t="str">
        <f>_xlfn.XLOOKUP($A3942,Load!$B:$B,Load!C:C,0,)</f>
        <v>Mars Variety Pack</v>
      </c>
      <c r="C3942" t="str">
        <f>_xlfn.XLOOKUP($A3942,Load!$B:$B,Load!D:D,0,)</f>
        <v>Mix of Chocolate and Non-Chocolate Candy</v>
      </c>
      <c r="D3942" t="str">
        <f>_xlfn.XLOOKUP($A3942,Load!$B:$B,Load!E:E,0,)</f>
        <v>Variety / Mixed Flavors (Fruity, Sour, Seasonal Flavors)</v>
      </c>
      <c r="E3942" t="str">
        <f>_xlfn.XLOOKUP($A3942,Load!$B:$B,Load!F:F,0,)</f>
        <v>Mixed / Combo Packs (Gummy, Chewy, Taffy, etc.)</v>
      </c>
      <c r="F3942" t="str">
        <f>_xlfn.XLOOKUP($A3942,Load!$B:$B,Load!G:G,0,)</f>
        <v>Small Multipack (Less than 40 ct)</v>
      </c>
      <c r="G3942" t="str">
        <f>_xlfn.XLOOKUP($A3942,Load!$B:$B,Load!H:H,0,)</f>
        <v>Laydown Bag</v>
      </c>
      <c r="H3942" t="str">
        <f>_xlfn.XLOOKUP($A3942,Load!$B:$B,Load!I:I,0,)</f>
        <v>Everyday Candy Shapes (like Original, Gummy bear, Fruit, Jewels, etc.)</v>
      </c>
      <c r="I3942" t="str">
        <f>_xlfn.XLOOKUP($A3942,Load!$B:$B,Load!J:J,0,)</f>
        <v>Seasonal Graphics (Like Bat, Ghost, Pumpkin, Fall Leaves, Eyeballs, etc.)</v>
      </c>
      <c r="J3942" t="str">
        <f>_xlfn.XLOOKUP($A3942,Load!$B:$B,Load!K:K,0,)</f>
        <v xml:space="preserve">Variety Candy Sizes </v>
      </c>
      <c r="K3942" t="str">
        <f>_xlfn.XLOOKUP($A3942,Load!$B:$B,Load!L:L,0,)</f>
        <v>Regular/Original Wrapping</v>
      </c>
      <c r="L3942" t="str">
        <f>_xlfn.XLOOKUP($A3942,Load!$B:$B,Load!M:M,0,)</f>
        <v>Multiple Brands / Variety Flavors or Form</v>
      </c>
    </row>
    <row r="3943" spans="1:12" x14ac:dyDescent="0.25">
      <c r="B3943">
        <f>_xlfn.XLOOKUP($A3943,Load!$B:$B,Load!C:C,0,)</f>
        <v>0</v>
      </c>
      <c r="C3943">
        <f>_xlfn.XLOOKUP($A3943,Load!$B:$B,Load!D:D,0,)</f>
        <v>0</v>
      </c>
      <c r="D3943">
        <f>_xlfn.XLOOKUP($A3943,Load!$B:$B,Load!E:E,0,)</f>
        <v>0</v>
      </c>
      <c r="E3943">
        <f>_xlfn.XLOOKUP($A3943,Load!$B:$B,Load!F:F,0,)</f>
        <v>0</v>
      </c>
      <c r="F3943">
        <f>_xlfn.XLOOKUP($A3943,Load!$B:$B,Load!G:G,0,)</f>
        <v>0</v>
      </c>
      <c r="G3943">
        <f>_xlfn.XLOOKUP($A3943,Load!$B:$B,Load!H:H,0,)</f>
        <v>0</v>
      </c>
      <c r="H3943">
        <f>_xlfn.XLOOKUP($A3943,Load!$B:$B,Load!I:I,0,)</f>
        <v>0</v>
      </c>
      <c r="I3943">
        <f>_xlfn.XLOOKUP($A3943,Load!$B:$B,Load!J:J,0,)</f>
        <v>0</v>
      </c>
      <c r="J3943">
        <f>_xlfn.XLOOKUP($A3943,Load!$B:$B,Load!K:K,0,)</f>
        <v>0</v>
      </c>
      <c r="K3943">
        <f>_xlfn.XLOOKUP($A3943,Load!$B:$B,Load!L:L,0,)</f>
        <v>0</v>
      </c>
      <c r="L3943">
        <f>_xlfn.XLOOKUP($A3943,Load!$B:$B,Load!M:M,0,)</f>
        <v>0</v>
      </c>
    </row>
    <row r="3944" spans="1:12" x14ac:dyDescent="0.25">
      <c r="A3944" t="s">
        <v>222</v>
      </c>
      <c r="B3944" t="str">
        <f>_xlfn.XLOOKUP($A3944,Load!$B:$B,Load!C:C,0,)</f>
        <v>Nerds</v>
      </c>
      <c r="C3944" t="str">
        <f>_xlfn.XLOOKUP($A3944,Load!$B:$B,Load!D:D,0,)</f>
        <v>Non-Chocolate Candy Only</v>
      </c>
      <c r="D3944" t="str">
        <f>_xlfn.XLOOKUP($A3944,Load!$B:$B,Load!E:E,0,)</f>
        <v>Sweet</v>
      </c>
      <c r="E3944" t="str">
        <f>_xlfn.XLOOKUP($A3944,Load!$B:$B,Load!F:F,0,)</f>
        <v>Gummy</v>
      </c>
      <c r="F3944" t="str">
        <f>_xlfn.XLOOKUP($A3944,Load!$B:$B,Load!G:G,0,)</f>
        <v>Small Multipack (Less than 40 ct)</v>
      </c>
      <c r="G3944" t="str">
        <f>_xlfn.XLOOKUP($A3944,Load!$B:$B,Load!H:H,0,)</f>
        <v>Stand-Up Bag</v>
      </c>
      <c r="H3944" t="str">
        <f>_xlfn.XLOOKUP($A3944,Load!$B:$B,Load!I:I,0,)</f>
        <v>Everyday Candy Shapes (like Original, Gummy bear, Fruit, Jewels, etc.)</v>
      </c>
      <c r="I3944" t="str">
        <f>_xlfn.XLOOKUP($A3944,Load!$B:$B,Load!J:J,0,)</f>
        <v>Seasonal Graphics (Like Bat, Ghost, Pumpkin, Fall Leaves, Eyeballs, etc.)</v>
      </c>
      <c r="J3944" t="str">
        <f>_xlfn.XLOOKUP($A3944,Load!$B:$B,Load!K:K,0,)</f>
        <v>Fun Size / Treat Size</v>
      </c>
      <c r="K3944" t="str">
        <f>_xlfn.XLOOKUP($A3944,Load!$B:$B,Load!L:L,0,)</f>
        <v>Regular/Original Wrapping</v>
      </c>
      <c r="L3944" t="str">
        <f>_xlfn.XLOOKUP($A3944,Load!$B:$B,Load!M:M,0,)</f>
        <v>Single Brand / Variety Flavors or Form</v>
      </c>
    </row>
    <row r="3945" spans="1:12" x14ac:dyDescent="0.25">
      <c r="A3945" t="s">
        <v>124</v>
      </c>
      <c r="B3945" t="str">
        <f>_xlfn.XLOOKUP($A3945,Load!$B:$B,Load!C:C,0,)</f>
        <v>HARIBO</v>
      </c>
      <c r="C3945" t="str">
        <f>_xlfn.XLOOKUP($A3945,Load!$B:$B,Load!D:D,0,)</f>
        <v>Non-Chocolate Candy Only</v>
      </c>
      <c r="D3945" t="str">
        <f>_xlfn.XLOOKUP($A3945,Load!$B:$B,Load!E:E,0,)</f>
        <v>Fruit Flavor (Cherry, Grape, Apple, Citrus, Tropical Fruit)</v>
      </c>
      <c r="E3945" t="str">
        <f>_xlfn.XLOOKUP($A3945,Load!$B:$B,Load!F:F,0,)</f>
        <v>Gummy</v>
      </c>
      <c r="F3945" t="str">
        <f>_xlfn.XLOOKUP($A3945,Load!$B:$B,Load!G:G,0,)</f>
        <v>Small Multipack (Less than 40 ct)</v>
      </c>
      <c r="G3945" t="str">
        <f>_xlfn.XLOOKUP($A3945,Load!$B:$B,Load!H:H,0,)</f>
        <v>Laydown Bag</v>
      </c>
      <c r="H3945" t="str">
        <f>_xlfn.XLOOKUP($A3945,Load!$B:$B,Load!I:I,0,)</f>
        <v>Everyday Candy Shapes (like Original, Gummy bear, Fruit, Jewels, etc.)</v>
      </c>
      <c r="I3945" t="str">
        <f>_xlfn.XLOOKUP($A3945,Load!$B:$B,Load!J:J,0,)</f>
        <v>Everyday Graphics</v>
      </c>
      <c r="J3945" t="str">
        <f>_xlfn.XLOOKUP($A3945,Load!$B:$B,Load!K:K,0,)</f>
        <v>Small Pieces (Tiny bite size candies)</v>
      </c>
      <c r="K3945" t="str">
        <f>_xlfn.XLOOKUP($A3945,Load!$B:$B,Load!L:L,0,)</f>
        <v>Regular/Original Wrapping</v>
      </c>
      <c r="L3945" t="str">
        <f>_xlfn.XLOOKUP($A3945,Load!$B:$B,Load!M:M,0,)</f>
        <v>Single Brand / Variety Flavors or Form</v>
      </c>
    </row>
    <row r="3946" spans="1:12" x14ac:dyDescent="0.25">
      <c r="A3946" t="s">
        <v>248</v>
      </c>
      <c r="B3946" t="str">
        <f>_xlfn.XLOOKUP($A3946,Load!$B:$B,Load!C:C,0,)</f>
        <v>Rolling Pin</v>
      </c>
      <c r="C3946" t="str">
        <f>_xlfn.XLOOKUP($A3946,Load!$B:$B,Load!D:D,0,)</f>
        <v>Non-Chocolate Candy Only</v>
      </c>
      <c r="D3946" t="str">
        <f>_xlfn.XLOOKUP($A3946,Load!$B:$B,Load!E:E,0,)</f>
        <v>Fall / Seasonal Flavors (pumpkin spice, caramel apple, candy corn)</v>
      </c>
      <c r="E3946" t="str">
        <f>_xlfn.XLOOKUP($A3946,Load!$B:$B,Load!F:F,0,)</f>
        <v>Candy Pieces / Bites</v>
      </c>
      <c r="F3946" t="str">
        <f>_xlfn.XLOOKUP($A3946,Load!$B:$B,Load!G:G,0,)</f>
        <v>Small Multipack (Less than 40 ct)</v>
      </c>
      <c r="G3946" t="str">
        <f>_xlfn.XLOOKUP($A3946,Load!$B:$B,Load!H:H,0,)</f>
        <v>Stand-Up Bag</v>
      </c>
      <c r="H3946" t="str">
        <f>_xlfn.XLOOKUP($A3946,Load!$B:$B,Load!I:I,0,)</f>
        <v>Seasonal Shapes (like pumpkins, candy corn, ghost, bats, etc.)</v>
      </c>
      <c r="I3946" t="str">
        <f>_xlfn.XLOOKUP($A3946,Load!$B:$B,Load!J:J,0,)</f>
        <v>Seasonal Graphics (Like Bat, Ghost, Pumpkin, Fall Leaves, Eyeballs, etc.)</v>
      </c>
      <c r="J3946" t="str">
        <f>_xlfn.XLOOKUP($A3946,Load!$B:$B,Load!K:K,0,)</f>
        <v>Small Pieces (Tiny bite size candies)</v>
      </c>
      <c r="K3946" t="str">
        <f>_xlfn.XLOOKUP($A3946,Load!$B:$B,Load!L:L,0,)</f>
        <v>Unwrapped</v>
      </c>
      <c r="L3946" t="str">
        <f>_xlfn.XLOOKUP($A3946,Load!$B:$B,Load!M:M,0,)</f>
        <v>Single Brand / Variety Flavors or Form</v>
      </c>
    </row>
    <row r="3947" spans="1:12" x14ac:dyDescent="0.25">
      <c r="B3947">
        <f>_xlfn.XLOOKUP($A3947,Load!$B:$B,Load!C:C,0,)</f>
        <v>0</v>
      </c>
      <c r="C3947">
        <f>_xlfn.XLOOKUP($A3947,Load!$B:$B,Load!D:D,0,)</f>
        <v>0</v>
      </c>
      <c r="D3947">
        <f>_xlfn.XLOOKUP($A3947,Load!$B:$B,Load!E:E,0,)</f>
        <v>0</v>
      </c>
      <c r="E3947">
        <f>_xlfn.XLOOKUP($A3947,Load!$B:$B,Load!F:F,0,)</f>
        <v>0</v>
      </c>
      <c r="F3947">
        <f>_xlfn.XLOOKUP($A3947,Load!$B:$B,Load!G:G,0,)</f>
        <v>0</v>
      </c>
      <c r="G3947">
        <f>_xlfn.XLOOKUP($A3947,Load!$B:$B,Load!H:H,0,)</f>
        <v>0</v>
      </c>
      <c r="H3947">
        <f>_xlfn.XLOOKUP($A3947,Load!$B:$B,Load!I:I,0,)</f>
        <v>0</v>
      </c>
      <c r="I3947">
        <f>_xlfn.XLOOKUP($A3947,Load!$B:$B,Load!J:J,0,)</f>
        <v>0</v>
      </c>
      <c r="J3947">
        <f>_xlfn.XLOOKUP($A3947,Load!$B:$B,Load!K:K,0,)</f>
        <v>0</v>
      </c>
      <c r="K3947">
        <f>_xlfn.XLOOKUP($A3947,Load!$B:$B,Load!L:L,0,)</f>
        <v>0</v>
      </c>
      <c r="L3947">
        <f>_xlfn.XLOOKUP($A3947,Load!$B:$B,Load!M:M,0,)</f>
        <v>0</v>
      </c>
    </row>
    <row r="3948" spans="1:12" x14ac:dyDescent="0.25">
      <c r="A3948" t="s">
        <v>134</v>
      </c>
      <c r="B3948" t="str">
        <f>_xlfn.XLOOKUP($A3948,Load!$B:$B,Load!C:C,0,)</f>
        <v>Hershey's Variety Pack</v>
      </c>
      <c r="C3948" t="str">
        <f>_xlfn.XLOOKUP($A3948,Load!$B:$B,Load!D:D,0,)</f>
        <v>Non-Chocolate Candy Only</v>
      </c>
      <c r="D3948" t="str">
        <f>_xlfn.XLOOKUP($A3948,Load!$B:$B,Load!E:E,0,)</f>
        <v>Variety / Mixed Flavors (Fruity, Sour, Seasonal Flavors)</v>
      </c>
      <c r="E3948" t="str">
        <f>_xlfn.XLOOKUP($A3948,Load!$B:$B,Load!F:F,0,)</f>
        <v>Mixed / Combo Packs (Gummy, Chewy, Taffy, etc.)</v>
      </c>
      <c r="F3948" t="str">
        <f>_xlfn.XLOOKUP($A3948,Load!$B:$B,Load!G:G,0,)</f>
        <v>Large Multipack (More than 80 ct)</v>
      </c>
      <c r="G3948" t="str">
        <f>_xlfn.XLOOKUP($A3948,Load!$B:$B,Load!H:H,0,)</f>
        <v>Stand-Up Bag</v>
      </c>
      <c r="H3948" t="str">
        <f>_xlfn.XLOOKUP($A3948,Load!$B:$B,Load!I:I,0,)</f>
        <v>Everyday Candy Shapes (like Original, Gummy bear, Fruit, Jewels, etc.)</v>
      </c>
      <c r="I3948" t="str">
        <f>_xlfn.XLOOKUP($A3948,Load!$B:$B,Load!J:J,0,)</f>
        <v>Seasonal Graphics (Like Bat, Ghost, Pumpkin, Fall Leaves, Eyeballs, etc.)</v>
      </c>
      <c r="J3948" t="str">
        <f>_xlfn.XLOOKUP($A3948,Load!$B:$B,Load!K:K,0,)</f>
        <v xml:space="preserve">Variety Candy Sizes </v>
      </c>
      <c r="K3948" t="str">
        <f>_xlfn.XLOOKUP($A3948,Load!$B:$B,Load!L:L,0,)</f>
        <v>Regular/Original Wrapping</v>
      </c>
      <c r="L3948" t="str">
        <f>_xlfn.XLOOKUP($A3948,Load!$B:$B,Load!M:M,0,)</f>
        <v>Multiple Brands / Variety Flavors or Form</v>
      </c>
    </row>
    <row r="3949" spans="1:12" x14ac:dyDescent="0.25">
      <c r="B3949">
        <f>_xlfn.XLOOKUP($A3949,Load!$B:$B,Load!C:C,0,)</f>
        <v>0</v>
      </c>
      <c r="C3949">
        <f>_xlfn.XLOOKUP($A3949,Load!$B:$B,Load!D:D,0,)</f>
        <v>0</v>
      </c>
      <c r="D3949">
        <f>_xlfn.XLOOKUP($A3949,Load!$B:$B,Load!E:E,0,)</f>
        <v>0</v>
      </c>
      <c r="E3949">
        <f>_xlfn.XLOOKUP($A3949,Load!$B:$B,Load!F:F,0,)</f>
        <v>0</v>
      </c>
      <c r="F3949">
        <f>_xlfn.XLOOKUP($A3949,Load!$B:$B,Load!G:G,0,)</f>
        <v>0</v>
      </c>
      <c r="G3949">
        <f>_xlfn.XLOOKUP($A3949,Load!$B:$B,Load!H:H,0,)</f>
        <v>0</v>
      </c>
      <c r="H3949">
        <f>_xlfn.XLOOKUP($A3949,Load!$B:$B,Load!I:I,0,)</f>
        <v>0</v>
      </c>
      <c r="I3949">
        <f>_xlfn.XLOOKUP($A3949,Load!$B:$B,Load!J:J,0,)</f>
        <v>0</v>
      </c>
      <c r="J3949">
        <f>_xlfn.XLOOKUP($A3949,Load!$B:$B,Load!K:K,0,)</f>
        <v>0</v>
      </c>
      <c r="K3949">
        <f>_xlfn.XLOOKUP($A3949,Load!$B:$B,Load!L:L,0,)</f>
        <v>0</v>
      </c>
      <c r="L3949">
        <f>_xlfn.XLOOKUP($A3949,Load!$B:$B,Load!M:M,0,)</f>
        <v>0</v>
      </c>
    </row>
    <row r="3950" spans="1:12" x14ac:dyDescent="0.25">
      <c r="A3950" t="s">
        <v>109</v>
      </c>
      <c r="B3950" t="str">
        <f>_xlfn.XLOOKUP($A3950,Load!$B:$B,Load!C:C,0,)</f>
        <v>Frankford</v>
      </c>
      <c r="C3950" t="str">
        <f>_xlfn.XLOOKUP($A3950,Load!$B:$B,Load!D:D,0,)</f>
        <v>Non-Chocolate Candy Only</v>
      </c>
      <c r="D3950" t="str">
        <f>_xlfn.XLOOKUP($A3950,Load!$B:$B,Load!E:E,0,)</f>
        <v>Sour</v>
      </c>
      <c r="E3950" t="str">
        <f>_xlfn.XLOOKUP($A3950,Load!$B:$B,Load!F:F,0,)</f>
        <v>Mixed / Combo Packs (Gummy, Chewy, Taffy, etc.)</v>
      </c>
      <c r="F3950" t="str">
        <f>_xlfn.XLOOKUP($A3950,Load!$B:$B,Load!G:G,0,)</f>
        <v>Large Multipack (More than 80 ct)</v>
      </c>
      <c r="G3950" t="str">
        <f>_xlfn.XLOOKUP($A3950,Load!$B:$B,Load!H:H,0,)</f>
        <v>Laydown Bag</v>
      </c>
      <c r="H3950" t="str">
        <f>_xlfn.XLOOKUP($A3950,Load!$B:$B,Load!I:I,0,)</f>
        <v>Everyday Candy Shapes (like Original, Gummy bear, Fruit, Jewels, etc.)</v>
      </c>
      <c r="I3950" t="str">
        <f>_xlfn.XLOOKUP($A3950,Load!$B:$B,Load!J:J,0,)</f>
        <v>Seasonal Graphics (Like Bat, Ghost, Pumpkin, Fall Leaves, Eyeballs, etc.)</v>
      </c>
      <c r="J3950" t="str">
        <f>_xlfn.XLOOKUP($A3950,Load!$B:$B,Load!K:K,0,)</f>
        <v>Small Pieces (Tiny bite size candies)</v>
      </c>
      <c r="K3950" t="str">
        <f>_xlfn.XLOOKUP($A3950,Load!$B:$B,Load!L:L,0,)</f>
        <v>Regular/Original Wrapping</v>
      </c>
      <c r="L3950" t="str">
        <f>_xlfn.XLOOKUP($A3950,Load!$B:$B,Load!M:M,0,)</f>
        <v>Multiple Brands / Variety Flavors or Form</v>
      </c>
    </row>
    <row r="3951" spans="1:12" x14ac:dyDescent="0.25">
      <c r="B3951">
        <f>_xlfn.XLOOKUP($A3951,Load!$B:$B,Load!C:C,0,)</f>
        <v>0</v>
      </c>
      <c r="C3951">
        <f>_xlfn.XLOOKUP($A3951,Load!$B:$B,Load!D:D,0,)</f>
        <v>0</v>
      </c>
      <c r="D3951">
        <f>_xlfn.XLOOKUP($A3951,Load!$B:$B,Load!E:E,0,)</f>
        <v>0</v>
      </c>
      <c r="E3951">
        <f>_xlfn.XLOOKUP($A3951,Load!$B:$B,Load!F:F,0,)</f>
        <v>0</v>
      </c>
      <c r="F3951">
        <f>_xlfn.XLOOKUP($A3951,Load!$B:$B,Load!G:G,0,)</f>
        <v>0</v>
      </c>
      <c r="G3951">
        <f>_xlfn.XLOOKUP($A3951,Load!$B:$B,Load!H:H,0,)</f>
        <v>0</v>
      </c>
      <c r="H3951">
        <f>_xlfn.XLOOKUP($A3951,Load!$B:$B,Load!I:I,0,)</f>
        <v>0</v>
      </c>
      <c r="I3951">
        <f>_xlfn.XLOOKUP($A3951,Load!$B:$B,Load!J:J,0,)</f>
        <v>0</v>
      </c>
      <c r="J3951">
        <f>_xlfn.XLOOKUP($A3951,Load!$B:$B,Load!K:K,0,)</f>
        <v>0</v>
      </c>
      <c r="K3951">
        <f>_xlfn.XLOOKUP($A3951,Load!$B:$B,Load!L:L,0,)</f>
        <v>0</v>
      </c>
      <c r="L3951">
        <f>_xlfn.XLOOKUP($A3951,Load!$B:$B,Load!M:M,0,)</f>
        <v>0</v>
      </c>
    </row>
    <row r="3952" spans="1:12" x14ac:dyDescent="0.25">
      <c r="A3952" t="s">
        <v>310</v>
      </c>
      <c r="B3952" t="str">
        <f>_xlfn.XLOOKUP($A3952,Load!$B:$B,Load!C:C,0,)</f>
        <v>Werther's Original</v>
      </c>
      <c r="C3952" t="str">
        <f>_xlfn.XLOOKUP($A3952,Load!$B:$B,Load!D:D,0,)</f>
        <v>Non-Chocolate Candy Only</v>
      </c>
      <c r="D3952" t="str">
        <f>_xlfn.XLOOKUP($A3952,Load!$B:$B,Load!E:E,0,)</f>
        <v>Fall / Seasonal Flavors (pumpkin spice, caramel apple, candy corn)</v>
      </c>
      <c r="E3952" t="str">
        <f>_xlfn.XLOOKUP($A3952,Load!$B:$B,Load!F:F,0,)</f>
        <v>Hard Candy</v>
      </c>
      <c r="F3952" t="str">
        <f>_xlfn.XLOOKUP($A3952,Load!$B:$B,Load!G:G,0,)</f>
        <v>Single Pack</v>
      </c>
      <c r="G3952" t="str">
        <f>_xlfn.XLOOKUP($A3952,Load!$B:$B,Load!H:H,0,)</f>
        <v>Laydown Bag</v>
      </c>
      <c r="H3952" t="str">
        <f>_xlfn.XLOOKUP($A3952,Load!$B:$B,Load!I:I,0,)</f>
        <v>Everyday Candy Shapes (like Original, Gummy bear, Fruit, Jewels, etc.)</v>
      </c>
      <c r="I3952" t="str">
        <f>_xlfn.XLOOKUP($A3952,Load!$B:$B,Load!J:J,0,)</f>
        <v>Seasonal Graphics (Like Bat, Ghost, Pumpkin, Fall Leaves, Eyeballs, etc.)</v>
      </c>
      <c r="J3952" t="str">
        <f>_xlfn.XLOOKUP($A3952,Load!$B:$B,Load!K:K,0,)</f>
        <v>Fun Size / Treat Size</v>
      </c>
      <c r="K3952" t="str">
        <f>_xlfn.XLOOKUP($A3952,Load!$B:$B,Load!L:L,0,)</f>
        <v>Regular/Original Wrapping</v>
      </c>
      <c r="L3952" t="str">
        <f>_xlfn.XLOOKUP($A3952,Load!$B:$B,Load!M:M,0,)</f>
        <v>Single Brand / Single Flavor or Form</v>
      </c>
    </row>
    <row r="3953" spans="1:12" x14ac:dyDescent="0.25">
      <c r="B3953">
        <f>_xlfn.XLOOKUP($A3953,Load!$B:$B,Load!C:C,0,)</f>
        <v>0</v>
      </c>
      <c r="C3953">
        <f>_xlfn.XLOOKUP($A3953,Load!$B:$B,Load!D:D,0,)</f>
        <v>0</v>
      </c>
      <c r="D3953">
        <f>_xlfn.XLOOKUP($A3953,Load!$B:$B,Load!E:E,0,)</f>
        <v>0</v>
      </c>
      <c r="E3953">
        <f>_xlfn.XLOOKUP($A3953,Load!$B:$B,Load!F:F,0,)</f>
        <v>0</v>
      </c>
      <c r="F3953">
        <f>_xlfn.XLOOKUP($A3953,Load!$B:$B,Load!G:G,0,)</f>
        <v>0</v>
      </c>
      <c r="G3953">
        <f>_xlfn.XLOOKUP($A3953,Load!$B:$B,Load!H:H,0,)</f>
        <v>0</v>
      </c>
      <c r="H3953">
        <f>_xlfn.XLOOKUP($A3953,Load!$B:$B,Load!I:I,0,)</f>
        <v>0</v>
      </c>
      <c r="I3953">
        <f>_xlfn.XLOOKUP($A3953,Load!$B:$B,Load!J:J,0,)</f>
        <v>0</v>
      </c>
      <c r="J3953">
        <f>_xlfn.XLOOKUP($A3953,Load!$B:$B,Load!K:K,0,)</f>
        <v>0</v>
      </c>
      <c r="K3953">
        <f>_xlfn.XLOOKUP($A3953,Load!$B:$B,Load!L:L,0,)</f>
        <v>0</v>
      </c>
      <c r="L3953">
        <f>_xlfn.XLOOKUP($A3953,Load!$B:$B,Load!M:M,0,)</f>
        <v>0</v>
      </c>
    </row>
    <row r="3954" spans="1:12" x14ac:dyDescent="0.25">
      <c r="A3954" t="s">
        <v>2</v>
      </c>
      <c r="B3954" t="str">
        <f>_xlfn.XLOOKUP($A3954,Load!$B:$B,Load!C:C,0,)</f>
        <v>Airheads</v>
      </c>
      <c r="C3954" t="str">
        <f>_xlfn.XLOOKUP($A3954,Load!$B:$B,Load!D:D,0,)</f>
        <v>Non-Chocolate Candy Only</v>
      </c>
      <c r="D3954" t="str">
        <f>_xlfn.XLOOKUP($A3954,Load!$B:$B,Load!E:E,0,)</f>
        <v>Variety / Mixed Flavors (Fruity, Sour, Seasonal Flavors)</v>
      </c>
      <c r="E3954" t="str">
        <f>_xlfn.XLOOKUP($A3954,Load!$B:$B,Load!F:F,0,)</f>
        <v>Chewy</v>
      </c>
      <c r="F3954" t="str">
        <f>_xlfn.XLOOKUP($A3954,Load!$B:$B,Load!G:G,0,)</f>
        <v>Medium Multipack (40–80 ct)</v>
      </c>
      <c r="G3954" t="str">
        <f>_xlfn.XLOOKUP($A3954,Load!$B:$B,Load!H:H,0,)</f>
        <v>Box (theatre box, gift box, carton)</v>
      </c>
      <c r="H3954" t="str">
        <f>_xlfn.XLOOKUP($A3954,Load!$B:$B,Load!I:I,0,)</f>
        <v>Everyday Candy Shapes (like Original, Gummy bear, Fruit, Jewels, etc.)</v>
      </c>
      <c r="I3954" t="str">
        <f>_xlfn.XLOOKUP($A3954,Load!$B:$B,Load!J:J,0,)</f>
        <v>Seasonal Graphics (Like Bat, Ghost, Pumpkin, Fall Leaves, Eyeballs, etc.)</v>
      </c>
      <c r="J3954" t="str">
        <f>_xlfn.XLOOKUP($A3954,Load!$B:$B,Load!K:K,0,)</f>
        <v>Fun Size / Treat Size</v>
      </c>
      <c r="K3954" t="str">
        <f>_xlfn.XLOOKUP($A3954,Load!$B:$B,Load!L:L,0,)</f>
        <v>Regular/Original Wrapping</v>
      </c>
      <c r="L3954" t="str">
        <f>_xlfn.XLOOKUP($A3954,Load!$B:$B,Load!M:M,0,)</f>
        <v>Single Brand / Variety Flavors or Form</v>
      </c>
    </row>
    <row r="3955" spans="1:12" x14ac:dyDescent="0.25">
      <c r="B3955">
        <f>_xlfn.XLOOKUP($A3955,Load!$B:$B,Load!C:C,0,)</f>
        <v>0</v>
      </c>
      <c r="C3955">
        <f>_xlfn.XLOOKUP($A3955,Load!$B:$B,Load!D:D,0,)</f>
        <v>0</v>
      </c>
      <c r="D3955">
        <f>_xlfn.XLOOKUP($A3955,Load!$B:$B,Load!E:E,0,)</f>
        <v>0</v>
      </c>
      <c r="E3955">
        <f>_xlfn.XLOOKUP($A3955,Load!$B:$B,Load!F:F,0,)</f>
        <v>0</v>
      </c>
      <c r="F3955">
        <f>_xlfn.XLOOKUP($A3955,Load!$B:$B,Load!G:G,0,)</f>
        <v>0</v>
      </c>
      <c r="G3955">
        <f>_xlfn.XLOOKUP($A3955,Load!$B:$B,Load!H:H,0,)</f>
        <v>0</v>
      </c>
      <c r="H3955">
        <f>_xlfn.XLOOKUP($A3955,Load!$B:$B,Load!I:I,0,)</f>
        <v>0</v>
      </c>
      <c r="I3955">
        <f>_xlfn.XLOOKUP($A3955,Load!$B:$B,Load!J:J,0,)</f>
        <v>0</v>
      </c>
      <c r="J3955">
        <f>_xlfn.XLOOKUP($A3955,Load!$B:$B,Load!K:K,0,)</f>
        <v>0</v>
      </c>
      <c r="K3955">
        <f>_xlfn.XLOOKUP($A3955,Load!$B:$B,Load!L:L,0,)</f>
        <v>0</v>
      </c>
      <c r="L3955">
        <f>_xlfn.XLOOKUP($A3955,Load!$B:$B,Load!M:M,0,)</f>
        <v>0</v>
      </c>
    </row>
    <row r="3956" spans="1:12" x14ac:dyDescent="0.25">
      <c r="A3956" t="s">
        <v>196</v>
      </c>
      <c r="B3956" t="str">
        <f>_xlfn.XLOOKUP($A3956,Load!$B:$B,Load!C:C,0,)</f>
        <v>Mars Variety Pack</v>
      </c>
      <c r="C3956" t="str">
        <f>_xlfn.XLOOKUP($A3956,Load!$B:$B,Load!D:D,0,)</f>
        <v>Non-Chocolate Candy Only</v>
      </c>
      <c r="D3956" t="str">
        <f>_xlfn.XLOOKUP($A3956,Load!$B:$B,Load!E:E,0,)</f>
        <v>Variety / Mixed Flavors (Fruity, Sour, Seasonal Flavors)</v>
      </c>
      <c r="E3956" t="str">
        <f>_xlfn.XLOOKUP($A3956,Load!$B:$B,Load!F:F,0,)</f>
        <v>Mixed / Combo Packs (Gummy, Chewy, Taffy, etc.)</v>
      </c>
      <c r="F3956" t="str">
        <f>_xlfn.XLOOKUP($A3956,Load!$B:$B,Load!G:G,0,)</f>
        <v>Small Multipack (Less than 40 ct)</v>
      </c>
      <c r="G3956" t="str">
        <f>_xlfn.XLOOKUP($A3956,Load!$B:$B,Load!H:H,0,)</f>
        <v>Stand-Up Bag</v>
      </c>
      <c r="H3956" t="str">
        <f>_xlfn.XLOOKUP($A3956,Load!$B:$B,Load!I:I,0,)</f>
        <v>Everyday Candy Shapes (like Original, Gummy bear, Fruit, Jewels, etc.)</v>
      </c>
      <c r="I3956" t="str">
        <f>_xlfn.XLOOKUP($A3956,Load!$B:$B,Load!J:J,0,)</f>
        <v>Seasonal Graphics (Like Bat, Ghost, Pumpkin, Fall Leaves, Eyeballs, etc.)</v>
      </c>
      <c r="J3956" t="str">
        <f>_xlfn.XLOOKUP($A3956,Load!$B:$B,Load!K:K,0,)</f>
        <v>Fun Size / Treat Size</v>
      </c>
      <c r="K3956" t="str">
        <f>_xlfn.XLOOKUP($A3956,Load!$B:$B,Load!L:L,0,)</f>
        <v>Regular/Original Wrapping</v>
      </c>
      <c r="L3956" t="str">
        <f>_xlfn.XLOOKUP($A3956,Load!$B:$B,Load!M:M,0,)</f>
        <v>Multiple Brands / Variety Flavors or Form</v>
      </c>
    </row>
    <row r="3957" spans="1:12" x14ac:dyDescent="0.25">
      <c r="B3957">
        <f>_xlfn.XLOOKUP($A3957,Load!$B:$B,Load!C:C,0,)</f>
        <v>0</v>
      </c>
      <c r="C3957">
        <f>_xlfn.XLOOKUP($A3957,Load!$B:$B,Load!D:D,0,)</f>
        <v>0</v>
      </c>
      <c r="D3957">
        <f>_xlfn.XLOOKUP($A3957,Load!$B:$B,Load!E:E,0,)</f>
        <v>0</v>
      </c>
      <c r="E3957">
        <f>_xlfn.XLOOKUP($A3957,Load!$B:$B,Load!F:F,0,)</f>
        <v>0</v>
      </c>
      <c r="F3957">
        <f>_xlfn.XLOOKUP($A3957,Load!$B:$B,Load!G:G,0,)</f>
        <v>0</v>
      </c>
      <c r="G3957">
        <f>_xlfn.XLOOKUP($A3957,Load!$B:$B,Load!H:H,0,)</f>
        <v>0</v>
      </c>
      <c r="H3957">
        <f>_xlfn.XLOOKUP($A3957,Load!$B:$B,Load!I:I,0,)</f>
        <v>0</v>
      </c>
      <c r="I3957">
        <f>_xlfn.XLOOKUP($A3957,Load!$B:$B,Load!J:J,0,)</f>
        <v>0</v>
      </c>
      <c r="J3957">
        <f>_xlfn.XLOOKUP($A3957,Load!$B:$B,Load!K:K,0,)</f>
        <v>0</v>
      </c>
      <c r="K3957">
        <f>_xlfn.XLOOKUP($A3957,Load!$B:$B,Load!L:L,0,)</f>
        <v>0</v>
      </c>
      <c r="L3957">
        <f>_xlfn.XLOOKUP($A3957,Load!$B:$B,Load!M:M,0,)</f>
        <v>0</v>
      </c>
    </row>
    <row r="3958" spans="1:12" x14ac:dyDescent="0.25">
      <c r="A3958" t="s">
        <v>298</v>
      </c>
      <c r="B3958" t="str">
        <f>_xlfn.XLOOKUP($A3958,Load!$B:$B,Load!C:C,0,)</f>
        <v>Trolli</v>
      </c>
      <c r="C3958" t="str">
        <f>_xlfn.XLOOKUP($A3958,Load!$B:$B,Load!D:D,0,)</f>
        <v>Non-Chocolate Candy Only</v>
      </c>
      <c r="D3958" t="str">
        <f>_xlfn.XLOOKUP($A3958,Load!$B:$B,Load!E:E,0,)</f>
        <v>Variety / Mixed Flavors (Fruity, Sour, Seasonal Flavors)</v>
      </c>
      <c r="E3958" t="str">
        <f>_xlfn.XLOOKUP($A3958,Load!$B:$B,Load!F:F,0,)</f>
        <v>Gummy</v>
      </c>
      <c r="F3958" t="str">
        <f>_xlfn.XLOOKUP($A3958,Load!$B:$B,Load!G:G,0,)</f>
        <v>Small Multipack (Less than 40 ct)</v>
      </c>
      <c r="G3958" t="str">
        <f>_xlfn.XLOOKUP($A3958,Load!$B:$B,Load!H:H,0,)</f>
        <v>Laydown Bag</v>
      </c>
      <c r="H3958" t="str">
        <f>_xlfn.XLOOKUP($A3958,Load!$B:$B,Load!I:I,0,)</f>
        <v>Everyday Candy Shapes (like Original, Gummy bear, Fruit, Jewels, etc.)</v>
      </c>
      <c r="I3958" t="str">
        <f>_xlfn.XLOOKUP($A3958,Load!$B:$B,Load!J:J,0,)</f>
        <v>Seasonal Graphics (Like Bat, Ghost, Pumpkin, Fall Leaves, Eyeballs, etc.)</v>
      </c>
      <c r="J3958" t="str">
        <f>_xlfn.XLOOKUP($A3958,Load!$B:$B,Load!K:K,0,)</f>
        <v>Small Pieces (Tiny bite size candies)</v>
      </c>
      <c r="K3958" t="str">
        <f>_xlfn.XLOOKUP($A3958,Load!$B:$B,Load!L:L,0,)</f>
        <v>Unwrapped</v>
      </c>
      <c r="L3958" t="str">
        <f>_xlfn.XLOOKUP($A3958,Load!$B:$B,Load!M:M,0,)</f>
        <v>Single Brand / Variety Flavors or Form</v>
      </c>
    </row>
    <row r="3959" spans="1:12" x14ac:dyDescent="0.25">
      <c r="B3959">
        <f>_xlfn.XLOOKUP($A3959,Load!$B:$B,Load!C:C,0,)</f>
        <v>0</v>
      </c>
      <c r="C3959">
        <f>_xlfn.XLOOKUP($A3959,Load!$B:$B,Load!D:D,0,)</f>
        <v>0</v>
      </c>
      <c r="D3959">
        <f>_xlfn.XLOOKUP($A3959,Load!$B:$B,Load!E:E,0,)</f>
        <v>0</v>
      </c>
      <c r="E3959">
        <f>_xlfn.XLOOKUP($A3959,Load!$B:$B,Load!F:F,0,)</f>
        <v>0</v>
      </c>
      <c r="F3959">
        <f>_xlfn.XLOOKUP($A3959,Load!$B:$B,Load!G:G,0,)</f>
        <v>0</v>
      </c>
      <c r="G3959">
        <f>_xlfn.XLOOKUP($A3959,Load!$B:$B,Load!H:H,0,)</f>
        <v>0</v>
      </c>
      <c r="H3959">
        <f>_xlfn.XLOOKUP($A3959,Load!$B:$B,Load!I:I,0,)</f>
        <v>0</v>
      </c>
      <c r="I3959">
        <f>_xlfn.XLOOKUP($A3959,Load!$B:$B,Load!J:J,0,)</f>
        <v>0</v>
      </c>
      <c r="J3959">
        <f>_xlfn.XLOOKUP($A3959,Load!$B:$B,Load!K:K,0,)</f>
        <v>0</v>
      </c>
      <c r="K3959">
        <f>_xlfn.XLOOKUP($A3959,Load!$B:$B,Load!L:L,0,)</f>
        <v>0</v>
      </c>
      <c r="L3959">
        <f>_xlfn.XLOOKUP($A3959,Load!$B:$B,Load!M:M,0,)</f>
        <v>0</v>
      </c>
    </row>
    <row r="3960" spans="1:12" x14ac:dyDescent="0.25">
      <c r="A3960" t="s">
        <v>141</v>
      </c>
      <c r="B3960" t="str">
        <f>_xlfn.XLOOKUP($A3960,Load!$B:$B,Load!C:C,0,)</f>
        <v>Hershey's Variety Pack + Haribo</v>
      </c>
      <c r="C3960" t="str">
        <f>_xlfn.XLOOKUP($A3960,Load!$B:$B,Load!D:D,0,)</f>
        <v>Non-Chocolate Candy Only</v>
      </c>
      <c r="D3960" t="str">
        <f>_xlfn.XLOOKUP($A3960,Load!$B:$B,Load!E:E,0,)</f>
        <v>Variety / Mixed Flavors (Fruity, Sour, Seasonal Flavors)</v>
      </c>
      <c r="E3960" t="str">
        <f>_xlfn.XLOOKUP($A3960,Load!$B:$B,Load!F:F,0,)</f>
        <v>Mixed / Combo Packs (Gummy, Chewy, Taffy, etc.)</v>
      </c>
      <c r="F3960" t="str">
        <f>_xlfn.XLOOKUP($A3960,Load!$B:$B,Load!G:G,0,)</f>
        <v>Large Multipack (More than 80 ct)</v>
      </c>
      <c r="G3960" t="str">
        <f>_xlfn.XLOOKUP($A3960,Load!$B:$B,Load!H:H,0,)</f>
        <v>Plastic Cup / Container</v>
      </c>
      <c r="H3960" t="str">
        <f>_xlfn.XLOOKUP($A3960,Load!$B:$B,Load!I:I,0,)</f>
        <v>Everyday Candy Shapes (like Original, Gummy bear, Fruit, Jewels, etc.)</v>
      </c>
      <c r="I3960" t="str">
        <f>_xlfn.XLOOKUP($A3960,Load!$B:$B,Load!J:J,0,)</f>
        <v>Everyday Graphics</v>
      </c>
      <c r="J3960" t="str">
        <f>_xlfn.XLOOKUP($A3960,Load!$B:$B,Load!K:K,0,)</f>
        <v xml:space="preserve">Variety Candy Sizes </v>
      </c>
      <c r="K3960" t="str">
        <f>_xlfn.XLOOKUP($A3960,Load!$B:$B,Load!L:L,0,)</f>
        <v>Regular/Original Wrapping</v>
      </c>
      <c r="L3960" t="str">
        <f>_xlfn.XLOOKUP($A3960,Load!$B:$B,Load!M:M,0,)</f>
        <v>Multiple Brands / Variety Flavors or Form</v>
      </c>
    </row>
    <row r="3961" spans="1:12" x14ac:dyDescent="0.25">
      <c r="B3961">
        <f>_xlfn.XLOOKUP($A3961,Load!$B:$B,Load!C:C,0,)</f>
        <v>0</v>
      </c>
      <c r="C3961">
        <f>_xlfn.XLOOKUP($A3961,Load!$B:$B,Load!D:D,0,)</f>
        <v>0</v>
      </c>
      <c r="D3961">
        <f>_xlfn.XLOOKUP($A3961,Load!$B:$B,Load!E:E,0,)</f>
        <v>0</v>
      </c>
      <c r="E3961">
        <f>_xlfn.XLOOKUP($A3961,Load!$B:$B,Load!F:F,0,)</f>
        <v>0</v>
      </c>
      <c r="F3961">
        <f>_xlfn.XLOOKUP($A3961,Load!$B:$B,Load!G:G,0,)</f>
        <v>0</v>
      </c>
      <c r="G3961">
        <f>_xlfn.XLOOKUP($A3961,Load!$B:$B,Load!H:H,0,)</f>
        <v>0</v>
      </c>
      <c r="H3961">
        <f>_xlfn.XLOOKUP($A3961,Load!$B:$B,Load!I:I,0,)</f>
        <v>0</v>
      </c>
      <c r="I3961">
        <f>_xlfn.XLOOKUP($A3961,Load!$B:$B,Load!J:J,0,)</f>
        <v>0</v>
      </c>
      <c r="J3961">
        <f>_xlfn.XLOOKUP($A3961,Load!$B:$B,Load!K:K,0,)</f>
        <v>0</v>
      </c>
      <c r="K3961">
        <f>_xlfn.XLOOKUP($A3961,Load!$B:$B,Load!L:L,0,)</f>
        <v>0</v>
      </c>
      <c r="L3961">
        <f>_xlfn.XLOOKUP($A3961,Load!$B:$B,Load!M:M,0,)</f>
        <v>0</v>
      </c>
    </row>
    <row r="3962" spans="1:12" x14ac:dyDescent="0.25">
      <c r="A3962" t="s">
        <v>71</v>
      </c>
      <c r="B3962" t="str">
        <f>_xlfn.XLOOKUP($A3962,Load!$B:$B,Load!C:C,0,)</f>
        <v>Dum Dums</v>
      </c>
      <c r="C3962" t="str">
        <f>_xlfn.XLOOKUP($A3962,Load!$B:$B,Load!D:D,0,)</f>
        <v>Non-Chocolate Candy Only</v>
      </c>
      <c r="D3962" t="str">
        <f>_xlfn.XLOOKUP($A3962,Load!$B:$B,Load!E:E,0,)</f>
        <v>Sweet</v>
      </c>
      <c r="E3962" t="str">
        <f>_xlfn.XLOOKUP($A3962,Load!$B:$B,Load!F:F,0,)</f>
        <v>Lollipop (regular or lollipop rings)</v>
      </c>
      <c r="F3962" t="str">
        <f>_xlfn.XLOOKUP($A3962,Load!$B:$B,Load!G:G,0,)</f>
        <v>Large Multipack (More than 80 ct)</v>
      </c>
      <c r="G3962" t="str">
        <f>_xlfn.XLOOKUP($A3962,Load!$B:$B,Load!H:H,0,)</f>
        <v>Stand-Up Bag</v>
      </c>
      <c r="H3962" t="str">
        <f>_xlfn.XLOOKUP($A3962,Load!$B:$B,Load!I:I,0,)</f>
        <v>Everyday Candy Shapes (like Original, Gummy bear, Fruit, Jewels, etc.)</v>
      </c>
      <c r="I3962" t="str">
        <f>_xlfn.XLOOKUP($A3962,Load!$B:$B,Load!J:J,0,)</f>
        <v>Seasonal Graphics (Like Bat, Ghost, Pumpkin, Fall Leaves, Eyeballs, etc.)</v>
      </c>
      <c r="J3962" t="str">
        <f>_xlfn.XLOOKUP($A3962,Load!$B:$B,Load!K:K,0,)</f>
        <v>Regular Lollipop size (on sticks or rings)</v>
      </c>
      <c r="K3962" t="str">
        <f>_xlfn.XLOOKUP($A3962,Load!$B:$B,Load!L:L,0,)</f>
        <v>Regular/Original Wrapping</v>
      </c>
      <c r="L3962" t="str">
        <f>_xlfn.XLOOKUP($A3962,Load!$B:$B,Load!M:M,0,)</f>
        <v>Multiple Brands / Variety Flavors or Form</v>
      </c>
    </row>
    <row r="3963" spans="1:12" x14ac:dyDescent="0.25">
      <c r="B3963">
        <f>_xlfn.XLOOKUP($A3963,Load!$B:$B,Load!C:C,0,)</f>
        <v>0</v>
      </c>
      <c r="C3963">
        <f>_xlfn.XLOOKUP($A3963,Load!$B:$B,Load!D:D,0,)</f>
        <v>0</v>
      </c>
      <c r="D3963">
        <f>_xlfn.XLOOKUP($A3963,Load!$B:$B,Load!E:E,0,)</f>
        <v>0</v>
      </c>
      <c r="E3963">
        <f>_xlfn.XLOOKUP($A3963,Load!$B:$B,Load!F:F,0,)</f>
        <v>0</v>
      </c>
      <c r="F3963">
        <f>_xlfn.XLOOKUP($A3963,Load!$B:$B,Load!G:G,0,)</f>
        <v>0</v>
      </c>
      <c r="G3963">
        <f>_xlfn.XLOOKUP($A3963,Load!$B:$B,Load!H:H,0,)</f>
        <v>0</v>
      </c>
      <c r="H3963">
        <f>_xlfn.XLOOKUP($A3963,Load!$B:$B,Load!I:I,0,)</f>
        <v>0</v>
      </c>
      <c r="I3963">
        <f>_xlfn.XLOOKUP($A3963,Load!$B:$B,Load!J:J,0,)</f>
        <v>0</v>
      </c>
      <c r="J3963">
        <f>_xlfn.XLOOKUP($A3963,Load!$B:$B,Load!K:K,0,)</f>
        <v>0</v>
      </c>
      <c r="K3963">
        <f>_xlfn.XLOOKUP($A3963,Load!$B:$B,Load!L:L,0,)</f>
        <v>0</v>
      </c>
      <c r="L3963">
        <f>_xlfn.XLOOKUP($A3963,Load!$B:$B,Load!M:M,0,)</f>
        <v>0</v>
      </c>
    </row>
    <row r="3964" spans="1:12" x14ac:dyDescent="0.25">
      <c r="B3964">
        <f>_xlfn.XLOOKUP($A3964,Load!$B:$B,Load!C:C,0,)</f>
        <v>0</v>
      </c>
      <c r="C3964">
        <f>_xlfn.XLOOKUP($A3964,Load!$B:$B,Load!D:D,0,)</f>
        <v>0</v>
      </c>
      <c r="D3964">
        <f>_xlfn.XLOOKUP($A3964,Load!$B:$B,Load!E:E,0,)</f>
        <v>0</v>
      </c>
      <c r="E3964">
        <f>_xlfn.XLOOKUP($A3964,Load!$B:$B,Load!F:F,0,)</f>
        <v>0</v>
      </c>
      <c r="F3964">
        <f>_xlfn.XLOOKUP($A3964,Load!$B:$B,Load!G:G,0,)</f>
        <v>0</v>
      </c>
      <c r="G3964">
        <f>_xlfn.XLOOKUP($A3964,Load!$B:$B,Load!H:H,0,)</f>
        <v>0</v>
      </c>
      <c r="H3964">
        <f>_xlfn.XLOOKUP($A3964,Load!$B:$B,Load!I:I,0,)</f>
        <v>0</v>
      </c>
      <c r="I3964">
        <f>_xlfn.XLOOKUP($A3964,Load!$B:$B,Load!J:J,0,)</f>
        <v>0</v>
      </c>
      <c r="J3964">
        <f>_xlfn.XLOOKUP($A3964,Load!$B:$B,Load!K:K,0,)</f>
        <v>0</v>
      </c>
      <c r="K3964">
        <f>_xlfn.XLOOKUP($A3964,Load!$B:$B,Load!L:L,0,)</f>
        <v>0</v>
      </c>
      <c r="L3964">
        <f>_xlfn.XLOOKUP($A3964,Load!$B:$B,Load!M:M,0,)</f>
        <v>0</v>
      </c>
    </row>
    <row r="3965" spans="1:12" x14ac:dyDescent="0.25">
      <c r="B3965">
        <f>_xlfn.XLOOKUP($A3965,Load!$B:$B,Load!C:C,0,)</f>
        <v>0</v>
      </c>
      <c r="C3965">
        <f>_xlfn.XLOOKUP($A3965,Load!$B:$B,Load!D:D,0,)</f>
        <v>0</v>
      </c>
      <c r="D3965">
        <f>_xlfn.XLOOKUP($A3965,Load!$B:$B,Load!E:E,0,)</f>
        <v>0</v>
      </c>
      <c r="E3965">
        <f>_xlfn.XLOOKUP($A3965,Load!$B:$B,Load!F:F,0,)</f>
        <v>0</v>
      </c>
      <c r="F3965">
        <f>_xlfn.XLOOKUP($A3965,Load!$B:$B,Load!G:G,0,)</f>
        <v>0</v>
      </c>
      <c r="G3965">
        <f>_xlfn.XLOOKUP($A3965,Load!$B:$B,Load!H:H,0,)</f>
        <v>0</v>
      </c>
      <c r="H3965">
        <f>_xlfn.XLOOKUP($A3965,Load!$B:$B,Load!I:I,0,)</f>
        <v>0</v>
      </c>
      <c r="I3965">
        <f>_xlfn.XLOOKUP($A3965,Load!$B:$B,Load!J:J,0,)</f>
        <v>0</v>
      </c>
      <c r="J3965">
        <f>_xlfn.XLOOKUP($A3965,Load!$B:$B,Load!K:K,0,)</f>
        <v>0</v>
      </c>
      <c r="K3965">
        <f>_xlfn.XLOOKUP($A3965,Load!$B:$B,Load!L:L,0,)</f>
        <v>0</v>
      </c>
      <c r="L3965">
        <f>_xlfn.XLOOKUP($A3965,Load!$B:$B,Load!M:M,0,)</f>
        <v>0</v>
      </c>
    </row>
    <row r="3966" spans="1:12" x14ac:dyDescent="0.25">
      <c r="A3966" t="s">
        <v>175</v>
      </c>
      <c r="B3966" t="str">
        <f>_xlfn.XLOOKUP($A3966,Load!$B:$B,Load!C:C,0,)</f>
        <v>Mars Variety Pack</v>
      </c>
      <c r="C3966" t="str">
        <f>_xlfn.XLOOKUP($A3966,Load!$B:$B,Load!D:D,0,)</f>
        <v>Mix of Chocolate and Non-Chocolate Candy</v>
      </c>
      <c r="D3966" t="str">
        <f>_xlfn.XLOOKUP($A3966,Load!$B:$B,Load!E:E,0,)</f>
        <v>Variety / Mixed Flavors (Fruity, Sour, Seasonal Flavors)</v>
      </c>
      <c r="E3966" t="str">
        <f>_xlfn.XLOOKUP($A3966,Load!$B:$B,Load!F:F,0,)</f>
        <v>Mixed / Combo Packs (Gummy, Chewy, Taffy, etc.)</v>
      </c>
      <c r="F3966" t="str">
        <f>_xlfn.XLOOKUP($A3966,Load!$B:$B,Load!G:G,0,)</f>
        <v>Large Multipack (More than 80 ct)</v>
      </c>
      <c r="G3966" t="str">
        <f>_xlfn.XLOOKUP($A3966,Load!$B:$B,Load!H:H,0,)</f>
        <v>Stand-Up Bag</v>
      </c>
      <c r="H3966" t="str">
        <f>_xlfn.XLOOKUP($A3966,Load!$B:$B,Load!I:I,0,)</f>
        <v>Everyday Candy Shapes (like Original, Gummy bear, Fruit, Jewels, etc.)</v>
      </c>
      <c r="I3966" t="str">
        <f>_xlfn.XLOOKUP($A3966,Load!$B:$B,Load!J:J,0,)</f>
        <v>Seasonal Graphics (Like Bat, Ghost, Pumpkin, Fall Leaves, Eyeballs, etc.)</v>
      </c>
      <c r="J3966" t="str">
        <f>_xlfn.XLOOKUP($A3966,Load!$B:$B,Load!K:K,0,)</f>
        <v xml:space="preserve">Variety Candy Sizes </v>
      </c>
      <c r="K3966" t="str">
        <f>_xlfn.XLOOKUP($A3966,Load!$B:$B,Load!L:L,0,)</f>
        <v>Regular/Original Wrapping</v>
      </c>
      <c r="L3966" t="str">
        <f>_xlfn.XLOOKUP($A3966,Load!$B:$B,Load!M:M,0,)</f>
        <v>Multiple Brands / Variety Flavors or Form</v>
      </c>
    </row>
    <row r="3967" spans="1:12" x14ac:dyDescent="0.25">
      <c r="A3967" t="s">
        <v>84</v>
      </c>
      <c r="B3967" t="str">
        <f>_xlfn.XLOOKUP($A3967,Load!$B:$B,Load!C:C,0,)</f>
        <v>Ferrara Variety Pack</v>
      </c>
      <c r="C3967" t="str">
        <f>_xlfn.XLOOKUP($A3967,Load!$B:$B,Load!D:D,0,)</f>
        <v>Non-Chocolate Candy Only</v>
      </c>
      <c r="D3967" t="str">
        <f>_xlfn.XLOOKUP($A3967,Load!$B:$B,Load!E:E,0,)</f>
        <v>Variety / Mixed Flavors (Fruity, Sour, Seasonal Flavors)</v>
      </c>
      <c r="E3967" t="str">
        <f>_xlfn.XLOOKUP($A3967,Load!$B:$B,Load!F:F,0,)</f>
        <v>Mixed / Combo Packs (Gummy, Chewy, Taffy, etc.)</v>
      </c>
      <c r="F3967" t="str">
        <f>_xlfn.XLOOKUP($A3967,Load!$B:$B,Load!G:G,0,)</f>
        <v>Large Multipack (More than 80 ct)</v>
      </c>
      <c r="G3967" t="str">
        <f>_xlfn.XLOOKUP($A3967,Load!$B:$B,Load!H:H,0,)</f>
        <v>Stand-Up Bag</v>
      </c>
      <c r="H3967" t="str">
        <f>_xlfn.XLOOKUP($A3967,Load!$B:$B,Load!I:I,0,)</f>
        <v>Everyday Candy Shapes (like Original, Gummy bear, Fruit, Jewels, etc.)</v>
      </c>
      <c r="I3967" t="str">
        <f>_xlfn.XLOOKUP($A3967,Load!$B:$B,Load!J:J,0,)</f>
        <v>Seasonal Graphics (Like Bat, Ghost, Pumpkin, Fall Leaves, Eyeballs, etc.)</v>
      </c>
      <c r="J3967" t="str">
        <f>_xlfn.XLOOKUP($A3967,Load!$B:$B,Load!K:K,0,)</f>
        <v xml:space="preserve">Variety Candy Sizes </v>
      </c>
      <c r="K3967" t="str">
        <f>_xlfn.XLOOKUP($A3967,Load!$B:$B,Load!L:L,0,)</f>
        <v>Regular/Original Wrapping</v>
      </c>
      <c r="L3967" t="str">
        <f>_xlfn.XLOOKUP($A3967,Load!$B:$B,Load!M:M,0,)</f>
        <v>Multiple Brands / Variety Flavors or Form</v>
      </c>
    </row>
    <row r="3968" spans="1:12" x14ac:dyDescent="0.25">
      <c r="A3968" t="s">
        <v>112</v>
      </c>
      <c r="B3968" t="str">
        <f>_xlfn.XLOOKUP($A3968,Load!$B:$B,Load!C:C,0,)</f>
        <v>Frankford</v>
      </c>
      <c r="C3968" t="str">
        <f>_xlfn.XLOOKUP($A3968,Load!$B:$B,Load!D:D,0,)</f>
        <v>Non-Chocolate Candy Only</v>
      </c>
      <c r="D3968" t="str">
        <f>_xlfn.XLOOKUP($A3968,Load!$B:$B,Load!E:E,0,)</f>
        <v>Sour</v>
      </c>
      <c r="E3968" t="str">
        <f>_xlfn.XLOOKUP($A3968,Load!$B:$B,Load!F:F,0,)</f>
        <v>Mixed / Combo Packs (Gummy, Chewy, Taffy, etc.)</v>
      </c>
      <c r="F3968" t="str">
        <f>_xlfn.XLOOKUP($A3968,Load!$B:$B,Load!G:G,0,)</f>
        <v>Large Multipack (More than 80 ct)</v>
      </c>
      <c r="G3968" t="str">
        <f>_xlfn.XLOOKUP($A3968,Load!$B:$B,Load!H:H,0,)</f>
        <v>Laydown Bag</v>
      </c>
      <c r="H3968" t="str">
        <f>_xlfn.XLOOKUP($A3968,Load!$B:$B,Load!I:I,0,)</f>
        <v>Everyday Candy Shapes (like Original, Gummy bear, Fruit, Jewels, etc.)</v>
      </c>
      <c r="I3968" t="str">
        <f>_xlfn.XLOOKUP($A3968,Load!$B:$B,Load!J:J,0,)</f>
        <v>Seasonal Graphics (Like Bat, Ghost, Pumpkin, Fall Leaves, Eyeballs, etc.)</v>
      </c>
      <c r="J3968" t="str">
        <f>_xlfn.XLOOKUP($A3968,Load!$B:$B,Load!K:K,0,)</f>
        <v>Small Pieces (Tiny bite size candies)</v>
      </c>
      <c r="K3968" t="str">
        <f>_xlfn.XLOOKUP($A3968,Load!$B:$B,Load!L:L,0,)</f>
        <v>Regular/Original Wrapping</v>
      </c>
      <c r="L3968" t="str">
        <f>_xlfn.XLOOKUP($A3968,Load!$B:$B,Load!M:M,0,)</f>
        <v>Multiple Brands / Variety Flavors or Form</v>
      </c>
    </row>
    <row r="3969" spans="1:12" x14ac:dyDescent="0.25">
      <c r="A3969" t="s">
        <v>283</v>
      </c>
      <c r="B3969" t="str">
        <f>_xlfn.XLOOKUP($A3969,Load!$B:$B,Load!C:C,0,)</f>
        <v>Sour Punch</v>
      </c>
      <c r="C3969" t="str">
        <f>_xlfn.XLOOKUP($A3969,Load!$B:$B,Load!D:D,0,)</f>
        <v>Non-Chocolate Candy Only</v>
      </c>
      <c r="D3969" t="str">
        <f>_xlfn.XLOOKUP($A3969,Load!$B:$B,Load!E:E,0,)</f>
        <v>Sour</v>
      </c>
      <c r="E3969" t="str">
        <f>_xlfn.XLOOKUP($A3969,Load!$B:$B,Load!F:F,0,)</f>
        <v>Chewy</v>
      </c>
      <c r="F3969" t="str">
        <f>_xlfn.XLOOKUP($A3969,Load!$B:$B,Load!G:G,0,)</f>
        <v>Large Multipack (More than 80 ct)</v>
      </c>
      <c r="G3969" t="str">
        <f>_xlfn.XLOOKUP($A3969,Load!$B:$B,Load!H:H,0,)</f>
        <v>Laydown Bag</v>
      </c>
      <c r="H3969" t="str">
        <f>_xlfn.XLOOKUP($A3969,Load!$B:$B,Load!I:I,0,)</f>
        <v>Seasonal Shapes (like pumpkins, candy corn, ghost, bats, etc.)</v>
      </c>
      <c r="I3969" t="str">
        <f>_xlfn.XLOOKUP($A3969,Load!$B:$B,Load!J:J,0,)</f>
        <v>Seasonal Graphics (Like Bat, Ghost, Pumpkin, Fall Leaves, Eyeballs, etc.)</v>
      </c>
      <c r="J3969" t="str">
        <f>_xlfn.XLOOKUP($A3969,Load!$B:$B,Load!K:K,0,)</f>
        <v>Small Pieces (Tiny bite size candies)</v>
      </c>
      <c r="K3969" t="str">
        <f>_xlfn.XLOOKUP($A3969,Load!$B:$B,Load!L:L,0,)</f>
        <v>Regular/Original Wrapping</v>
      </c>
      <c r="L3969" t="str">
        <f>_xlfn.XLOOKUP($A3969,Load!$B:$B,Load!M:M,0,)</f>
        <v>Single Brand / Variety Flavors or Form</v>
      </c>
    </row>
    <row r="3970" spans="1:12" x14ac:dyDescent="0.25">
      <c r="A3970" t="s">
        <v>96</v>
      </c>
      <c r="B3970" t="str">
        <f>_xlfn.XLOOKUP($A3970,Load!$B:$B,Load!C:C,0,)</f>
        <v>Ferrero Variety Pack</v>
      </c>
      <c r="C3970" t="str">
        <f>_xlfn.XLOOKUP($A3970,Load!$B:$B,Load!D:D,0,)</f>
        <v>Mix of Chocolate and Non-Chocolate Candy</v>
      </c>
      <c r="D3970" t="str">
        <f>_xlfn.XLOOKUP($A3970,Load!$B:$B,Load!E:E,0,)</f>
        <v>Variety / Mixed Flavors (Fruity, Sour, Seasonal Flavors)</v>
      </c>
      <c r="E3970" t="str">
        <f>_xlfn.XLOOKUP($A3970,Load!$B:$B,Load!F:F,0,)</f>
        <v>Mixed / Combo Packs (Gummy, Chewy, Taffy, etc.)</v>
      </c>
      <c r="F3970" t="str">
        <f>_xlfn.XLOOKUP($A3970,Load!$B:$B,Load!G:G,0,)</f>
        <v>Large Multipack (More than 80 ct)</v>
      </c>
      <c r="G3970" t="str">
        <f>_xlfn.XLOOKUP($A3970,Load!$B:$B,Load!H:H,0,)</f>
        <v>Stand-Up Bag</v>
      </c>
      <c r="H3970" t="str">
        <f>_xlfn.XLOOKUP($A3970,Load!$B:$B,Load!I:I,0,)</f>
        <v>Everyday Candy Shapes (like Original, Gummy bear, Fruit, Jewels, etc.)</v>
      </c>
      <c r="I3970" t="str">
        <f>_xlfn.XLOOKUP($A3970,Load!$B:$B,Load!J:J,0,)</f>
        <v>Seasonal Graphics (Like Bat, Ghost, Pumpkin, Fall Leaves, Eyeballs, etc.)</v>
      </c>
      <c r="J3970" t="str">
        <f>_xlfn.XLOOKUP($A3970,Load!$B:$B,Load!K:K,0,)</f>
        <v>Fun Size / Treat Size</v>
      </c>
      <c r="K3970" t="str">
        <f>_xlfn.XLOOKUP($A3970,Load!$B:$B,Load!L:L,0,)</f>
        <v>Regular/Original Wrapping</v>
      </c>
      <c r="L3970" t="str">
        <f>_xlfn.XLOOKUP($A3970,Load!$B:$B,Load!M:M,0,)</f>
        <v>Multiple Brands / Variety Flavors or Form</v>
      </c>
    </row>
    <row r="3971" spans="1:12" x14ac:dyDescent="0.25">
      <c r="B3971">
        <f>_xlfn.XLOOKUP($A3971,Load!$B:$B,Load!C:C,0,)</f>
        <v>0</v>
      </c>
      <c r="C3971">
        <f>_xlfn.XLOOKUP($A3971,Load!$B:$B,Load!D:D,0,)</f>
        <v>0</v>
      </c>
      <c r="D3971">
        <f>_xlfn.XLOOKUP($A3971,Load!$B:$B,Load!E:E,0,)</f>
        <v>0</v>
      </c>
      <c r="E3971">
        <f>_xlfn.XLOOKUP($A3971,Load!$B:$B,Load!F:F,0,)</f>
        <v>0</v>
      </c>
      <c r="F3971">
        <f>_xlfn.XLOOKUP($A3971,Load!$B:$B,Load!G:G,0,)</f>
        <v>0</v>
      </c>
      <c r="G3971">
        <f>_xlfn.XLOOKUP($A3971,Load!$B:$B,Load!H:H,0,)</f>
        <v>0</v>
      </c>
      <c r="H3971">
        <f>_xlfn.XLOOKUP($A3971,Load!$B:$B,Load!I:I,0,)</f>
        <v>0</v>
      </c>
      <c r="I3971">
        <f>_xlfn.XLOOKUP($A3971,Load!$B:$B,Load!J:J,0,)</f>
        <v>0</v>
      </c>
      <c r="J3971">
        <f>_xlfn.XLOOKUP($A3971,Load!$B:$B,Load!K:K,0,)</f>
        <v>0</v>
      </c>
      <c r="K3971">
        <f>_xlfn.XLOOKUP($A3971,Load!$B:$B,Load!L:L,0,)</f>
        <v>0</v>
      </c>
      <c r="L3971">
        <f>_xlfn.XLOOKUP($A3971,Load!$B:$B,Load!M:M,0,)</f>
        <v>0</v>
      </c>
    </row>
    <row r="3972" spans="1:12" x14ac:dyDescent="0.25">
      <c r="A3972" t="s">
        <v>254</v>
      </c>
      <c r="B3972" t="str">
        <f>_xlfn.XLOOKUP($A3972,Load!$B:$B,Load!C:C,0,)</f>
        <v>Skittles</v>
      </c>
      <c r="C3972" t="str">
        <f>_xlfn.XLOOKUP($A3972,Load!$B:$B,Load!D:D,0,)</f>
        <v>Non-Chocolate Candy Only</v>
      </c>
      <c r="D3972" t="str">
        <f>_xlfn.XLOOKUP($A3972,Load!$B:$B,Load!E:E,0,)</f>
        <v>Variety / Mixed Flavors (Fruity, Sour, Seasonal Flavors)</v>
      </c>
      <c r="E3972" t="str">
        <f>_xlfn.XLOOKUP($A3972,Load!$B:$B,Load!F:F,0,)</f>
        <v>Candy Pieces / Bites</v>
      </c>
      <c r="F3972" t="str">
        <f>_xlfn.XLOOKUP($A3972,Load!$B:$B,Load!G:G,0,)</f>
        <v>Medium Multipack (40–80 ct)</v>
      </c>
      <c r="G3972" t="str">
        <f>_xlfn.XLOOKUP($A3972,Load!$B:$B,Load!H:H,0,)</f>
        <v>Stand-Up Bag</v>
      </c>
      <c r="H3972" t="str">
        <f>_xlfn.XLOOKUP($A3972,Load!$B:$B,Load!I:I,0,)</f>
        <v>Everyday Candy Shapes (like Original, Gummy bear, Fruit, Jewels, etc.)</v>
      </c>
      <c r="I3972" t="str">
        <f>_xlfn.XLOOKUP($A3972,Load!$B:$B,Load!J:J,0,)</f>
        <v>Everyday Graphics</v>
      </c>
      <c r="J3972" t="str">
        <f>_xlfn.XLOOKUP($A3972,Load!$B:$B,Load!K:K,0,)</f>
        <v>Small Pieces (Tiny bite size candies)</v>
      </c>
      <c r="K3972" t="str">
        <f>_xlfn.XLOOKUP($A3972,Load!$B:$B,Load!L:L,0,)</f>
        <v>Regular/Original Wrapping</v>
      </c>
      <c r="L3972" t="str">
        <f>_xlfn.XLOOKUP($A3972,Load!$B:$B,Load!M:M,0,)</f>
        <v>Single Brand / Variety Flavors or Form</v>
      </c>
    </row>
    <row r="3973" spans="1:12" x14ac:dyDescent="0.25">
      <c r="B3973">
        <f>_xlfn.XLOOKUP($A3973,Load!$B:$B,Load!C:C,0,)</f>
        <v>0</v>
      </c>
      <c r="C3973">
        <f>_xlfn.XLOOKUP($A3973,Load!$B:$B,Load!D:D,0,)</f>
        <v>0</v>
      </c>
      <c r="D3973">
        <f>_xlfn.XLOOKUP($A3973,Load!$B:$B,Load!E:E,0,)</f>
        <v>0</v>
      </c>
      <c r="E3973">
        <f>_xlfn.XLOOKUP($A3973,Load!$B:$B,Load!F:F,0,)</f>
        <v>0</v>
      </c>
      <c r="F3973">
        <f>_xlfn.XLOOKUP($A3973,Load!$B:$B,Load!G:G,0,)</f>
        <v>0</v>
      </c>
      <c r="G3973">
        <f>_xlfn.XLOOKUP($A3973,Load!$B:$B,Load!H:H,0,)</f>
        <v>0</v>
      </c>
      <c r="H3973">
        <f>_xlfn.XLOOKUP($A3973,Load!$B:$B,Load!I:I,0,)</f>
        <v>0</v>
      </c>
      <c r="I3973">
        <f>_xlfn.XLOOKUP($A3973,Load!$B:$B,Load!J:J,0,)</f>
        <v>0</v>
      </c>
      <c r="J3973">
        <f>_xlfn.XLOOKUP($A3973,Load!$B:$B,Load!K:K,0,)</f>
        <v>0</v>
      </c>
      <c r="K3973">
        <f>_xlfn.XLOOKUP($A3973,Load!$B:$B,Load!L:L,0,)</f>
        <v>0</v>
      </c>
      <c r="L3973">
        <f>_xlfn.XLOOKUP($A3973,Load!$B:$B,Load!M:M,0,)</f>
        <v>0</v>
      </c>
    </row>
    <row r="3974" spans="1:12" x14ac:dyDescent="0.25">
      <c r="A3974" t="s">
        <v>126</v>
      </c>
      <c r="B3974" t="str">
        <f>_xlfn.XLOOKUP($A3974,Load!$B:$B,Load!C:C,0,)</f>
        <v>HARIBO</v>
      </c>
      <c r="C3974" t="str">
        <f>_xlfn.XLOOKUP($A3974,Load!$B:$B,Load!D:D,0,)</f>
        <v>Non-Chocolate Candy Only</v>
      </c>
      <c r="D3974" t="str">
        <f>_xlfn.XLOOKUP($A3974,Load!$B:$B,Load!E:E,0,)</f>
        <v>Sweet</v>
      </c>
      <c r="E3974" t="str">
        <f>_xlfn.XLOOKUP($A3974,Load!$B:$B,Load!F:F,0,)</f>
        <v>Gummy</v>
      </c>
      <c r="F3974" t="str">
        <f>_xlfn.XLOOKUP($A3974,Load!$B:$B,Load!G:G,0,)</f>
        <v>Single Pack</v>
      </c>
      <c r="G3974" t="str">
        <f>_xlfn.XLOOKUP($A3974,Load!$B:$B,Load!H:H,0,)</f>
        <v>Laydown Bag</v>
      </c>
      <c r="H3974" t="str">
        <f>_xlfn.XLOOKUP($A3974,Load!$B:$B,Load!I:I,0,)</f>
        <v>Seasonal Shapes (like pumpkins, candy corn, ghost, bats, etc.)</v>
      </c>
      <c r="I3974" t="str">
        <f>_xlfn.XLOOKUP($A3974,Load!$B:$B,Load!J:J,0,)</f>
        <v>Seasonal Graphics (Like Bat, Ghost, Pumpkin, Fall Leaves, Eyeballs, etc.)</v>
      </c>
      <c r="J3974" t="str">
        <f>_xlfn.XLOOKUP($A3974,Load!$B:$B,Load!K:K,0,)</f>
        <v>Small Pieces (Tiny bite size candies)</v>
      </c>
      <c r="K3974" t="str">
        <f>_xlfn.XLOOKUP($A3974,Load!$B:$B,Load!L:L,0,)</f>
        <v>Unwrapped</v>
      </c>
      <c r="L3974" t="str">
        <f>_xlfn.XLOOKUP($A3974,Load!$B:$B,Load!M:M,0,)</f>
        <v>Single Brand / Variety Flavors or Form</v>
      </c>
    </row>
    <row r="3975" spans="1:12" x14ac:dyDescent="0.25">
      <c r="B3975">
        <f>_xlfn.XLOOKUP($A3975,Load!$B:$B,Load!C:C,0,)</f>
        <v>0</v>
      </c>
      <c r="C3975">
        <f>_xlfn.XLOOKUP($A3975,Load!$B:$B,Load!D:D,0,)</f>
        <v>0</v>
      </c>
      <c r="D3975">
        <f>_xlfn.XLOOKUP($A3975,Load!$B:$B,Load!E:E,0,)</f>
        <v>0</v>
      </c>
      <c r="E3975">
        <f>_xlfn.XLOOKUP($A3975,Load!$B:$B,Load!F:F,0,)</f>
        <v>0</v>
      </c>
      <c r="F3975">
        <f>_xlfn.XLOOKUP($A3975,Load!$B:$B,Load!G:G,0,)</f>
        <v>0</v>
      </c>
      <c r="G3975">
        <f>_xlfn.XLOOKUP($A3975,Load!$B:$B,Load!H:H,0,)</f>
        <v>0</v>
      </c>
      <c r="H3975">
        <f>_xlfn.XLOOKUP($A3975,Load!$B:$B,Load!I:I,0,)</f>
        <v>0</v>
      </c>
      <c r="I3975">
        <f>_xlfn.XLOOKUP($A3975,Load!$B:$B,Load!J:J,0,)</f>
        <v>0</v>
      </c>
      <c r="J3975">
        <f>_xlfn.XLOOKUP($A3975,Load!$B:$B,Load!K:K,0,)</f>
        <v>0</v>
      </c>
      <c r="K3975">
        <f>_xlfn.XLOOKUP($A3975,Load!$B:$B,Load!L:L,0,)</f>
        <v>0</v>
      </c>
      <c r="L3975">
        <f>_xlfn.XLOOKUP($A3975,Load!$B:$B,Load!M:M,0,)</f>
        <v>0</v>
      </c>
    </row>
    <row r="3976" spans="1:12" x14ac:dyDescent="0.25">
      <c r="A3976" t="s">
        <v>341</v>
      </c>
      <c r="B3976" t="str">
        <f>_xlfn.XLOOKUP($A3976,Load!$B:$B,Load!C:C,0,)</f>
        <v>Your Store Brand</v>
      </c>
      <c r="C3976" t="str">
        <f>_xlfn.XLOOKUP($A3976,Load!$B:$B,Load!D:D,0,)</f>
        <v>Non-Chocolate Candy Only</v>
      </c>
      <c r="D3976" t="str">
        <f>_xlfn.XLOOKUP($A3976,Load!$B:$B,Load!E:E,0,)</f>
        <v>Sour</v>
      </c>
      <c r="E3976" t="str">
        <f>_xlfn.XLOOKUP($A3976,Load!$B:$B,Load!F:F,0,)</f>
        <v>Gummy</v>
      </c>
      <c r="F3976" t="str">
        <f>_xlfn.XLOOKUP($A3976,Load!$B:$B,Load!G:G,0,)</f>
        <v>Single Pack</v>
      </c>
      <c r="G3976" t="str">
        <f>_xlfn.XLOOKUP($A3976,Load!$B:$B,Load!H:H,0,)</f>
        <v>Peg Bag</v>
      </c>
      <c r="H3976" t="str">
        <f>_xlfn.XLOOKUP($A3976,Load!$B:$B,Load!I:I,0,)</f>
        <v>Seasonal Shapes (like pumpkins, candy corn, ghost, bats, etc.)</v>
      </c>
      <c r="I3976" t="str">
        <f>_xlfn.XLOOKUP($A3976,Load!$B:$B,Load!J:J,0,)</f>
        <v>Everyday Graphics</v>
      </c>
      <c r="J3976" t="str">
        <f>_xlfn.XLOOKUP($A3976,Load!$B:$B,Load!K:K,0,)</f>
        <v>Small Pieces (Tiny bite size candies)</v>
      </c>
      <c r="K3976" t="str">
        <f>_xlfn.XLOOKUP($A3976,Load!$B:$B,Load!L:L,0,)</f>
        <v>Unwrapped</v>
      </c>
      <c r="L3976" t="str">
        <f>_xlfn.XLOOKUP($A3976,Load!$B:$B,Load!M:M,0,)</f>
        <v>Single Brand / Single Flavor or Form</v>
      </c>
    </row>
    <row r="3977" spans="1:12" x14ac:dyDescent="0.25">
      <c r="B3977">
        <f>_xlfn.XLOOKUP($A3977,Load!$B:$B,Load!C:C,0,)</f>
        <v>0</v>
      </c>
      <c r="C3977">
        <f>_xlfn.XLOOKUP($A3977,Load!$B:$B,Load!D:D,0,)</f>
        <v>0</v>
      </c>
      <c r="D3977">
        <f>_xlfn.XLOOKUP($A3977,Load!$B:$B,Load!E:E,0,)</f>
        <v>0</v>
      </c>
      <c r="E3977">
        <f>_xlfn.XLOOKUP($A3977,Load!$B:$B,Load!F:F,0,)</f>
        <v>0</v>
      </c>
      <c r="F3977">
        <f>_xlfn.XLOOKUP($A3977,Load!$B:$B,Load!G:G,0,)</f>
        <v>0</v>
      </c>
      <c r="G3977">
        <f>_xlfn.XLOOKUP($A3977,Load!$B:$B,Load!H:H,0,)</f>
        <v>0</v>
      </c>
      <c r="H3977">
        <f>_xlfn.XLOOKUP($A3977,Load!$B:$B,Load!I:I,0,)</f>
        <v>0</v>
      </c>
      <c r="I3977">
        <f>_xlfn.XLOOKUP($A3977,Load!$B:$B,Load!J:J,0,)</f>
        <v>0</v>
      </c>
      <c r="J3977">
        <f>_xlfn.XLOOKUP($A3977,Load!$B:$B,Load!K:K,0,)</f>
        <v>0</v>
      </c>
      <c r="K3977">
        <f>_xlfn.XLOOKUP($A3977,Load!$B:$B,Load!L:L,0,)</f>
        <v>0</v>
      </c>
      <c r="L3977">
        <f>_xlfn.XLOOKUP($A3977,Load!$B:$B,Load!M:M,0,)</f>
        <v>0</v>
      </c>
    </row>
    <row r="3978" spans="1:12" x14ac:dyDescent="0.25">
      <c r="A3978" t="s">
        <v>85</v>
      </c>
      <c r="B3978" t="str">
        <f>_xlfn.XLOOKUP($A3978,Load!$B:$B,Load!C:C,0,)</f>
        <v>Ferrara Variety Pack</v>
      </c>
      <c r="C3978" t="str">
        <f>_xlfn.XLOOKUP($A3978,Load!$B:$B,Load!D:D,0,)</f>
        <v>Non-Chocolate Candy Only</v>
      </c>
      <c r="D3978" t="str">
        <f>_xlfn.XLOOKUP($A3978,Load!$B:$B,Load!E:E,0,)</f>
        <v>Variety / Mixed Flavors (Fruity, Sour, Seasonal Flavors)</v>
      </c>
      <c r="E3978" t="str">
        <f>_xlfn.XLOOKUP($A3978,Load!$B:$B,Load!F:F,0,)</f>
        <v>Mixed / Combo Packs (Gummy, Chewy, Taffy, etc.)</v>
      </c>
      <c r="F3978" t="str">
        <f>_xlfn.XLOOKUP($A3978,Load!$B:$B,Load!G:G,0,)</f>
        <v>Large Multipack (More than 80 ct)</v>
      </c>
      <c r="G3978" t="str">
        <f>_xlfn.XLOOKUP($A3978,Load!$B:$B,Load!H:H,0,)</f>
        <v>Stand-Up Bag</v>
      </c>
      <c r="H3978" t="str">
        <f>_xlfn.XLOOKUP($A3978,Load!$B:$B,Load!I:I,0,)</f>
        <v>Seasonal Shapes (like pumpkins, candy corn, ghost, bats, etc.)</v>
      </c>
      <c r="I3978" t="str">
        <f>_xlfn.XLOOKUP($A3978,Load!$B:$B,Load!J:J,0,)</f>
        <v>Seasonal Graphics (Like Bat, Ghost, Pumpkin, Fall Leaves, Eyeballs, etc.)</v>
      </c>
      <c r="J3978" t="str">
        <f>_xlfn.XLOOKUP($A3978,Load!$B:$B,Load!K:K,0,)</f>
        <v>Fun Size / Treat Size</v>
      </c>
      <c r="K3978" t="str">
        <f>_xlfn.XLOOKUP($A3978,Load!$B:$B,Load!L:L,0,)</f>
        <v>Regular/Original Wrapping</v>
      </c>
      <c r="L3978" t="str">
        <f>_xlfn.XLOOKUP($A3978,Load!$B:$B,Load!M:M,0,)</f>
        <v>Multiple Brands / Variety Flavors or Form</v>
      </c>
    </row>
    <row r="3979" spans="1:12" x14ac:dyDescent="0.25">
      <c r="B3979">
        <f>_xlfn.XLOOKUP($A3979,Load!$B:$B,Load!C:C,0,)</f>
        <v>0</v>
      </c>
      <c r="C3979">
        <f>_xlfn.XLOOKUP($A3979,Load!$B:$B,Load!D:D,0,)</f>
        <v>0</v>
      </c>
      <c r="D3979">
        <f>_xlfn.XLOOKUP($A3979,Load!$B:$B,Load!E:E,0,)</f>
        <v>0</v>
      </c>
      <c r="E3979">
        <f>_xlfn.XLOOKUP($A3979,Load!$B:$B,Load!F:F,0,)</f>
        <v>0</v>
      </c>
      <c r="F3979">
        <f>_xlfn.XLOOKUP($A3979,Load!$B:$B,Load!G:G,0,)</f>
        <v>0</v>
      </c>
      <c r="G3979">
        <f>_xlfn.XLOOKUP($A3979,Load!$B:$B,Load!H:H,0,)</f>
        <v>0</v>
      </c>
      <c r="H3979">
        <f>_xlfn.XLOOKUP($A3979,Load!$B:$B,Load!I:I,0,)</f>
        <v>0</v>
      </c>
      <c r="I3979">
        <f>_xlfn.XLOOKUP($A3979,Load!$B:$B,Load!J:J,0,)</f>
        <v>0</v>
      </c>
      <c r="J3979">
        <f>_xlfn.XLOOKUP($A3979,Load!$B:$B,Load!K:K,0,)</f>
        <v>0</v>
      </c>
      <c r="K3979">
        <f>_xlfn.XLOOKUP($A3979,Load!$B:$B,Load!L:L,0,)</f>
        <v>0</v>
      </c>
      <c r="L3979">
        <f>_xlfn.XLOOKUP($A3979,Load!$B:$B,Load!M:M,0,)</f>
        <v>0</v>
      </c>
    </row>
    <row r="3980" spans="1:12" x14ac:dyDescent="0.25">
      <c r="A3980" t="s">
        <v>145</v>
      </c>
      <c r="B3980" t="str">
        <f>_xlfn.XLOOKUP($A3980,Load!$B:$B,Load!C:C,0,)</f>
        <v>Hershey's Variety Pack + Haribo</v>
      </c>
      <c r="C3980" t="str">
        <f>_xlfn.XLOOKUP($A3980,Load!$B:$B,Load!D:D,0,)</f>
        <v>Non-Chocolate Candy Only</v>
      </c>
      <c r="D3980" t="str">
        <f>_xlfn.XLOOKUP($A3980,Load!$B:$B,Load!E:E,0,)</f>
        <v>Variety / Mixed Flavors (Fruity, Sour, Seasonal Flavors)</v>
      </c>
      <c r="E3980" t="str">
        <f>_xlfn.XLOOKUP($A3980,Load!$B:$B,Load!F:F,0,)</f>
        <v>Mixed / Combo Packs (Gummy, Chewy, Taffy, etc.)</v>
      </c>
      <c r="F3980" t="str">
        <f>_xlfn.XLOOKUP($A3980,Load!$B:$B,Load!G:G,0,)</f>
        <v>Large Multipack (More than 80 ct)</v>
      </c>
      <c r="G3980" t="str">
        <f>_xlfn.XLOOKUP($A3980,Load!$B:$B,Load!H:H,0,)</f>
        <v>Stand-Up Bag</v>
      </c>
      <c r="H3980" t="str">
        <f>_xlfn.XLOOKUP($A3980,Load!$B:$B,Load!I:I,0,)</f>
        <v>Everyday Candy Shapes (like Original, Gummy bear, Fruit, Jewels, etc.)</v>
      </c>
      <c r="I3980" t="str">
        <f>_xlfn.XLOOKUP($A3980,Load!$B:$B,Load!J:J,0,)</f>
        <v>Seasonal Graphics (Like Bat, Ghost, Pumpkin, Fall Leaves, Eyeballs, etc.)</v>
      </c>
      <c r="J3980" t="str">
        <f>_xlfn.XLOOKUP($A3980,Load!$B:$B,Load!K:K,0,)</f>
        <v xml:space="preserve">Variety Candy Sizes </v>
      </c>
      <c r="K3980" t="str">
        <f>_xlfn.XLOOKUP($A3980,Load!$B:$B,Load!L:L,0,)</f>
        <v>Regular/Original Wrapping</v>
      </c>
      <c r="L3980" t="str">
        <f>_xlfn.XLOOKUP($A3980,Load!$B:$B,Load!M:M,0,)</f>
        <v>Multiple Brands / Variety Flavors or Form</v>
      </c>
    </row>
    <row r="3981" spans="1:12" x14ac:dyDescent="0.25">
      <c r="A3981" t="s">
        <v>182</v>
      </c>
      <c r="B3981" t="str">
        <f>_xlfn.XLOOKUP($A3981,Load!$B:$B,Load!C:C,0,)</f>
        <v>Mars Variety Pack</v>
      </c>
      <c r="C3981" t="str">
        <f>_xlfn.XLOOKUP($A3981,Load!$B:$B,Load!D:D,0,)</f>
        <v>Non-Chocolate Candy Only</v>
      </c>
      <c r="D3981" t="str">
        <f>_xlfn.XLOOKUP($A3981,Load!$B:$B,Load!E:E,0,)</f>
        <v>Variety / Mixed Flavors (Fruity, Sour, Seasonal Flavors)</v>
      </c>
      <c r="E3981" t="str">
        <f>_xlfn.XLOOKUP($A3981,Load!$B:$B,Load!F:F,0,)</f>
        <v>Mixed / Combo Packs (Gummy, Chewy, Taffy, etc.)</v>
      </c>
      <c r="F3981" t="str">
        <f>_xlfn.XLOOKUP($A3981,Load!$B:$B,Load!G:G,0,)</f>
        <v>Large Multipack (More than 80 ct)</v>
      </c>
      <c r="G3981" t="str">
        <f>_xlfn.XLOOKUP($A3981,Load!$B:$B,Load!H:H,0,)</f>
        <v>Stand-Up Bag</v>
      </c>
      <c r="H3981" t="str">
        <f>_xlfn.XLOOKUP($A3981,Load!$B:$B,Load!I:I,0,)</f>
        <v>Everyday Candy Shapes (like Original, Gummy bear, Fruit, Jewels, etc.)</v>
      </c>
      <c r="I3981" t="str">
        <f>_xlfn.XLOOKUP($A3981,Load!$B:$B,Load!J:J,0,)</f>
        <v>Seasonal Graphics (Like Bat, Ghost, Pumpkin, Fall Leaves, Eyeballs, etc.)</v>
      </c>
      <c r="J3981" t="str">
        <f>_xlfn.XLOOKUP($A3981,Load!$B:$B,Load!K:K,0,)</f>
        <v xml:space="preserve">Variety Candy Sizes </v>
      </c>
      <c r="K3981" t="str">
        <f>_xlfn.XLOOKUP($A3981,Load!$B:$B,Load!L:L,0,)</f>
        <v>Regular/Original Wrapping</v>
      </c>
      <c r="L3981" t="str">
        <f>_xlfn.XLOOKUP($A3981,Load!$B:$B,Load!M:M,0,)</f>
        <v>Multiple Brands / Variety Flavors or Form</v>
      </c>
    </row>
    <row r="3982" spans="1:12" x14ac:dyDescent="0.25">
      <c r="A3982" t="s">
        <v>294</v>
      </c>
      <c r="B3982" t="str">
        <f>_xlfn.XLOOKUP($A3982,Load!$B:$B,Load!C:C,0,)</f>
        <v>Tootsie</v>
      </c>
      <c r="C3982" t="str">
        <f>_xlfn.XLOOKUP($A3982,Load!$B:$B,Load!D:D,0,)</f>
        <v>Non-Chocolate Candy Only</v>
      </c>
      <c r="D3982" t="str">
        <f>_xlfn.XLOOKUP($A3982,Load!$B:$B,Load!E:E,0,)</f>
        <v>Sweet</v>
      </c>
      <c r="E3982" t="str">
        <f>_xlfn.XLOOKUP($A3982,Load!$B:$B,Load!F:F,0,)</f>
        <v>Lollipop (regular or lollipop rings)</v>
      </c>
      <c r="F3982" t="str">
        <f>_xlfn.XLOOKUP($A3982,Load!$B:$B,Load!G:G,0,)</f>
        <v>Large Multipack (More than 80 ct)</v>
      </c>
      <c r="G3982" t="str">
        <f>_xlfn.XLOOKUP($A3982,Load!$B:$B,Load!H:H,0,)</f>
        <v>Laydown Bag</v>
      </c>
      <c r="H3982" t="str">
        <f>_xlfn.XLOOKUP($A3982,Load!$B:$B,Load!I:I,0,)</f>
        <v>Everyday Candy Shapes (like Original, Gummy bear, Fruit, Jewels, etc.)</v>
      </c>
      <c r="I3982" t="str">
        <f>_xlfn.XLOOKUP($A3982,Load!$B:$B,Load!J:J,0,)</f>
        <v>Everyday Graphics</v>
      </c>
      <c r="J3982" t="str">
        <f>_xlfn.XLOOKUP($A3982,Load!$B:$B,Load!K:K,0,)</f>
        <v>Regular Lollipop size (on sticks or rings)</v>
      </c>
      <c r="K3982" t="str">
        <f>_xlfn.XLOOKUP($A3982,Load!$B:$B,Load!L:L,0,)</f>
        <v>Regular/Original Wrapping</v>
      </c>
      <c r="L3982" t="str">
        <f>_xlfn.XLOOKUP($A3982,Load!$B:$B,Load!M:M,0,)</f>
        <v>Single Brand / Single Flavor or Form</v>
      </c>
    </row>
    <row r="3983" spans="1:12" x14ac:dyDescent="0.25">
      <c r="B3983">
        <f>_xlfn.XLOOKUP($A3983,Load!$B:$B,Load!C:C,0,)</f>
        <v>0</v>
      </c>
      <c r="C3983">
        <f>_xlfn.XLOOKUP($A3983,Load!$B:$B,Load!D:D,0,)</f>
        <v>0</v>
      </c>
      <c r="D3983">
        <f>_xlfn.XLOOKUP($A3983,Load!$B:$B,Load!E:E,0,)</f>
        <v>0</v>
      </c>
      <c r="E3983">
        <f>_xlfn.XLOOKUP($A3983,Load!$B:$B,Load!F:F,0,)</f>
        <v>0</v>
      </c>
      <c r="F3983">
        <f>_xlfn.XLOOKUP($A3983,Load!$B:$B,Load!G:G,0,)</f>
        <v>0</v>
      </c>
      <c r="G3983">
        <f>_xlfn.XLOOKUP($A3983,Load!$B:$B,Load!H:H,0,)</f>
        <v>0</v>
      </c>
      <c r="H3983">
        <f>_xlfn.XLOOKUP($A3983,Load!$B:$B,Load!I:I,0,)</f>
        <v>0</v>
      </c>
      <c r="I3983">
        <f>_xlfn.XLOOKUP($A3983,Load!$B:$B,Load!J:J,0,)</f>
        <v>0</v>
      </c>
      <c r="J3983">
        <f>_xlfn.XLOOKUP($A3983,Load!$B:$B,Load!K:K,0,)</f>
        <v>0</v>
      </c>
      <c r="K3983">
        <f>_xlfn.XLOOKUP($A3983,Load!$B:$B,Load!L:L,0,)</f>
        <v>0</v>
      </c>
      <c r="L3983">
        <f>_xlfn.XLOOKUP($A3983,Load!$B:$B,Load!M:M,0,)</f>
        <v>0</v>
      </c>
    </row>
    <row r="3984" spans="1:12" x14ac:dyDescent="0.25">
      <c r="A3984" t="s">
        <v>57</v>
      </c>
      <c r="B3984" t="str">
        <f>_xlfn.XLOOKUP($A3984,Load!$B:$B,Load!C:C,0,)</f>
        <v>Brach's</v>
      </c>
      <c r="C3984" t="str">
        <f>_xlfn.XLOOKUP($A3984,Load!$B:$B,Load!D:D,0,)</f>
        <v>Non-Chocolate Candy Only</v>
      </c>
      <c r="D3984" t="str">
        <f>_xlfn.XLOOKUP($A3984,Load!$B:$B,Load!E:E,0,)</f>
        <v>Fall / Seasonal Flavors (pumpkin spice, caramel apple, candy corn)</v>
      </c>
      <c r="E3984" t="str">
        <f>_xlfn.XLOOKUP($A3984,Load!$B:$B,Load!F:F,0,)</f>
        <v>Candy Pieces / Bites</v>
      </c>
      <c r="F3984" t="str">
        <f>_xlfn.XLOOKUP($A3984,Load!$B:$B,Load!G:G,0,)</f>
        <v>Medium Multipack (40–80 ct)</v>
      </c>
      <c r="G3984" t="str">
        <f>_xlfn.XLOOKUP($A3984,Load!$B:$B,Load!H:H,0,)</f>
        <v>Laydown Bag</v>
      </c>
      <c r="H3984" t="str">
        <f>_xlfn.XLOOKUP($A3984,Load!$B:$B,Load!I:I,0,)</f>
        <v>Seasonal Shapes (like pumpkins, candy corn, ghost, bats, etc.)</v>
      </c>
      <c r="I3984" t="str">
        <f>_xlfn.XLOOKUP($A3984,Load!$B:$B,Load!J:J,0,)</f>
        <v>Seasonal Graphics (Like Bat, Ghost, Pumpkin, Fall Leaves, Eyeballs, etc.)</v>
      </c>
      <c r="J3984" t="str">
        <f>_xlfn.XLOOKUP($A3984,Load!$B:$B,Load!K:K,0,)</f>
        <v>Small Pieces (Tiny bite size candies)</v>
      </c>
      <c r="K3984" t="str">
        <f>_xlfn.XLOOKUP($A3984,Load!$B:$B,Load!L:L,0,)</f>
        <v>Unwrapped</v>
      </c>
      <c r="L3984" t="str">
        <f>_xlfn.XLOOKUP($A3984,Load!$B:$B,Load!M:M,0,)</f>
        <v>Single Brand / Single Flavor or Form</v>
      </c>
    </row>
    <row r="3985" spans="1:12" x14ac:dyDescent="0.25">
      <c r="A3985" t="s">
        <v>280</v>
      </c>
      <c r="B3985" t="str">
        <f>_xlfn.XLOOKUP($A3985,Load!$B:$B,Load!C:C,0,)</f>
        <v>Sour Patch Kids</v>
      </c>
      <c r="C3985" t="str">
        <f>_xlfn.XLOOKUP($A3985,Load!$B:$B,Load!D:D,0,)</f>
        <v>Non-Chocolate Candy Only</v>
      </c>
      <c r="D3985" t="str">
        <f>_xlfn.XLOOKUP($A3985,Load!$B:$B,Load!E:E,0,)</f>
        <v>Sour</v>
      </c>
      <c r="E3985" t="str">
        <f>_xlfn.XLOOKUP($A3985,Load!$B:$B,Load!F:F,0,)</f>
        <v>Chewy</v>
      </c>
      <c r="F3985" t="str">
        <f>_xlfn.XLOOKUP($A3985,Load!$B:$B,Load!G:G,0,)</f>
        <v>Medium Multipack (40–80 ct)</v>
      </c>
      <c r="G3985" t="str">
        <f>_xlfn.XLOOKUP($A3985,Load!$B:$B,Load!H:H,0,)</f>
        <v>Laydown Bag</v>
      </c>
      <c r="H3985" t="str">
        <f>_xlfn.XLOOKUP($A3985,Load!$B:$B,Load!I:I,0,)</f>
        <v>Seasonal Shapes (like pumpkins, candy corn, ghost, bats, etc.)</v>
      </c>
      <c r="I3985" t="str">
        <f>_xlfn.XLOOKUP($A3985,Load!$B:$B,Load!J:J,0,)</f>
        <v>Seasonal Graphics (Like Bat, Ghost, Pumpkin, Fall Leaves, Eyeballs, etc.)</v>
      </c>
      <c r="J3985" t="str">
        <f>_xlfn.XLOOKUP($A3985,Load!$B:$B,Load!K:K,0,)</f>
        <v>Small Pieces (Tiny bite size candies)</v>
      </c>
      <c r="K3985" t="str">
        <f>_xlfn.XLOOKUP($A3985,Load!$B:$B,Load!L:L,0,)</f>
        <v>Regular/Original Wrapping</v>
      </c>
      <c r="L3985" t="str">
        <f>_xlfn.XLOOKUP($A3985,Load!$B:$B,Load!M:M,0,)</f>
        <v>Single Brand / Variety Flavors or Form</v>
      </c>
    </row>
    <row r="3986" spans="1:12" x14ac:dyDescent="0.25">
      <c r="A3986" t="s">
        <v>219</v>
      </c>
      <c r="B3986" t="str">
        <f>_xlfn.XLOOKUP($A3986,Load!$B:$B,Load!C:C,0,)</f>
        <v>Mondelez Variety Pack</v>
      </c>
      <c r="C3986" t="str">
        <f>_xlfn.XLOOKUP($A3986,Load!$B:$B,Load!D:D,0,)</f>
        <v>Non-Chocolate Candy Only</v>
      </c>
      <c r="D3986" t="str">
        <f>_xlfn.XLOOKUP($A3986,Load!$B:$B,Load!E:E,0,)</f>
        <v>Sour</v>
      </c>
      <c r="E3986" t="str">
        <f>_xlfn.XLOOKUP($A3986,Load!$B:$B,Load!F:F,0,)</f>
        <v>Chewy</v>
      </c>
      <c r="F3986" t="str">
        <f>_xlfn.XLOOKUP($A3986,Load!$B:$B,Load!G:G,0,)</f>
        <v>Medium Multipack (40–80 ct)</v>
      </c>
      <c r="G3986" t="str">
        <f>_xlfn.XLOOKUP($A3986,Load!$B:$B,Load!H:H,0,)</f>
        <v>Stand-Up Bag</v>
      </c>
      <c r="H3986" t="str">
        <f>_xlfn.XLOOKUP($A3986,Load!$B:$B,Load!I:I,0,)</f>
        <v>Everyday Candy Shapes (like Original, Gummy bear, Fruit, Jewels, etc.)</v>
      </c>
      <c r="I3986" t="str">
        <f>_xlfn.XLOOKUP($A3986,Load!$B:$B,Load!J:J,0,)</f>
        <v>Seasonal Graphics (Like Bat, Ghost, Pumpkin, Fall Leaves, Eyeballs, etc.)</v>
      </c>
      <c r="J3986" t="str">
        <f>_xlfn.XLOOKUP($A3986,Load!$B:$B,Load!K:K,0,)</f>
        <v>Small Pieces (Tiny bite size candies)</v>
      </c>
      <c r="K3986" t="str">
        <f>_xlfn.XLOOKUP($A3986,Load!$B:$B,Load!L:L,0,)</f>
        <v>Regular/Original Wrapping</v>
      </c>
      <c r="L3986" t="str">
        <f>_xlfn.XLOOKUP($A3986,Load!$B:$B,Load!M:M,0,)</f>
        <v>Multiple Brands / Variety Flavors or Form</v>
      </c>
    </row>
    <row r="3987" spans="1:12" x14ac:dyDescent="0.25">
      <c r="B3987">
        <f>_xlfn.XLOOKUP($A3987,Load!$B:$B,Load!C:C,0,)</f>
        <v>0</v>
      </c>
      <c r="C3987">
        <f>_xlfn.XLOOKUP($A3987,Load!$B:$B,Load!D:D,0,)</f>
        <v>0</v>
      </c>
      <c r="D3987">
        <f>_xlfn.XLOOKUP($A3987,Load!$B:$B,Load!E:E,0,)</f>
        <v>0</v>
      </c>
      <c r="E3987">
        <f>_xlfn.XLOOKUP($A3987,Load!$B:$B,Load!F:F,0,)</f>
        <v>0</v>
      </c>
      <c r="F3987">
        <f>_xlfn.XLOOKUP($A3987,Load!$B:$B,Load!G:G,0,)</f>
        <v>0</v>
      </c>
      <c r="G3987">
        <f>_xlfn.XLOOKUP($A3987,Load!$B:$B,Load!H:H,0,)</f>
        <v>0</v>
      </c>
      <c r="H3987">
        <f>_xlfn.XLOOKUP($A3987,Load!$B:$B,Load!I:I,0,)</f>
        <v>0</v>
      </c>
      <c r="I3987">
        <f>_xlfn.XLOOKUP($A3987,Load!$B:$B,Load!J:J,0,)</f>
        <v>0</v>
      </c>
      <c r="J3987">
        <f>_xlfn.XLOOKUP($A3987,Load!$B:$B,Load!K:K,0,)</f>
        <v>0</v>
      </c>
      <c r="K3987">
        <f>_xlfn.XLOOKUP($A3987,Load!$B:$B,Load!L:L,0,)</f>
        <v>0</v>
      </c>
      <c r="L3987">
        <f>_xlfn.XLOOKUP($A3987,Load!$B:$B,Load!M:M,0,)</f>
        <v>0</v>
      </c>
    </row>
    <row r="3988" spans="1:12" x14ac:dyDescent="0.25">
      <c r="A3988" t="s">
        <v>187</v>
      </c>
      <c r="B3988" t="str">
        <f>_xlfn.XLOOKUP($A3988,Load!$B:$B,Load!C:C,0,)</f>
        <v>Mars Variety Pack</v>
      </c>
      <c r="C3988" t="str">
        <f>_xlfn.XLOOKUP($A3988,Load!$B:$B,Load!D:D,0,)</f>
        <v>Mix of Chocolate and Non-Chocolate Candy</v>
      </c>
      <c r="D3988" t="str">
        <f>_xlfn.XLOOKUP($A3988,Load!$B:$B,Load!E:E,0,)</f>
        <v>Variety / Mixed Flavors (Fruity, Sour, Seasonal Flavors)</v>
      </c>
      <c r="E3988" t="str">
        <f>_xlfn.XLOOKUP($A3988,Load!$B:$B,Load!F:F,0,)</f>
        <v>Mixed / Combo Packs (Gummy, Chewy, Taffy, etc.)</v>
      </c>
      <c r="F3988" t="str">
        <f>_xlfn.XLOOKUP($A3988,Load!$B:$B,Load!G:G,0,)</f>
        <v>Medium Multipack (40–80 ct)</v>
      </c>
      <c r="G3988" t="str">
        <f>_xlfn.XLOOKUP($A3988,Load!$B:$B,Load!H:H,0,)</f>
        <v>Stand-Up Bag</v>
      </c>
      <c r="H3988" t="str">
        <f>_xlfn.XLOOKUP($A3988,Load!$B:$B,Load!I:I,0,)</f>
        <v>Everyday Candy Shapes (like Original, Gummy bear, Fruit, Jewels, etc.)</v>
      </c>
      <c r="I3988" t="str">
        <f>_xlfn.XLOOKUP($A3988,Load!$B:$B,Load!J:J,0,)</f>
        <v>Seasonal Graphics (Like Bat, Ghost, Pumpkin, Fall Leaves, Eyeballs, etc.)</v>
      </c>
      <c r="J3988" t="str">
        <f>_xlfn.XLOOKUP($A3988,Load!$B:$B,Load!K:K,0,)</f>
        <v>Fun Size / Treat Size</v>
      </c>
      <c r="K3988" t="str">
        <f>_xlfn.XLOOKUP($A3988,Load!$B:$B,Load!L:L,0,)</f>
        <v>Regular/Original Wrapping</v>
      </c>
      <c r="L3988" t="str">
        <f>_xlfn.XLOOKUP($A3988,Load!$B:$B,Load!M:M,0,)</f>
        <v>Multiple Brands / Variety Flavors or Form</v>
      </c>
    </row>
    <row r="3989" spans="1:12" x14ac:dyDescent="0.25">
      <c r="B3989">
        <f>_xlfn.XLOOKUP($A3989,Load!$B:$B,Load!C:C,0,)</f>
        <v>0</v>
      </c>
      <c r="C3989">
        <f>_xlfn.XLOOKUP($A3989,Load!$B:$B,Load!D:D,0,)</f>
        <v>0</v>
      </c>
      <c r="D3989">
        <f>_xlfn.XLOOKUP($A3989,Load!$B:$B,Load!E:E,0,)</f>
        <v>0</v>
      </c>
      <c r="E3989">
        <f>_xlfn.XLOOKUP($A3989,Load!$B:$B,Load!F:F,0,)</f>
        <v>0</v>
      </c>
      <c r="F3989">
        <f>_xlfn.XLOOKUP($A3989,Load!$B:$B,Load!G:G,0,)</f>
        <v>0</v>
      </c>
      <c r="G3989">
        <f>_xlfn.XLOOKUP($A3989,Load!$B:$B,Load!H:H,0,)</f>
        <v>0</v>
      </c>
      <c r="H3989">
        <f>_xlfn.XLOOKUP($A3989,Load!$B:$B,Load!I:I,0,)</f>
        <v>0</v>
      </c>
      <c r="I3989">
        <f>_xlfn.XLOOKUP($A3989,Load!$B:$B,Load!J:J,0,)</f>
        <v>0</v>
      </c>
      <c r="J3989">
        <f>_xlfn.XLOOKUP($A3989,Load!$B:$B,Load!K:K,0,)</f>
        <v>0</v>
      </c>
      <c r="K3989">
        <f>_xlfn.XLOOKUP($A3989,Load!$B:$B,Load!L:L,0,)</f>
        <v>0</v>
      </c>
      <c r="L3989">
        <f>_xlfn.XLOOKUP($A3989,Load!$B:$B,Load!M:M,0,)</f>
        <v>0</v>
      </c>
    </row>
    <row r="3990" spans="1:12" x14ac:dyDescent="0.25">
      <c r="A3990" t="s">
        <v>222</v>
      </c>
      <c r="B3990" t="str">
        <f>_xlfn.XLOOKUP($A3990,Load!$B:$B,Load!C:C,0,)</f>
        <v>Nerds</v>
      </c>
      <c r="C3990" t="str">
        <f>_xlfn.XLOOKUP($A3990,Load!$B:$B,Load!D:D,0,)</f>
        <v>Non-Chocolate Candy Only</v>
      </c>
      <c r="D3990" t="str">
        <f>_xlfn.XLOOKUP($A3990,Load!$B:$B,Load!E:E,0,)</f>
        <v>Sweet</v>
      </c>
      <c r="E3990" t="str">
        <f>_xlfn.XLOOKUP($A3990,Load!$B:$B,Load!F:F,0,)</f>
        <v>Gummy</v>
      </c>
      <c r="F3990" t="str">
        <f>_xlfn.XLOOKUP($A3990,Load!$B:$B,Load!G:G,0,)</f>
        <v>Small Multipack (Less than 40 ct)</v>
      </c>
      <c r="G3990" t="str">
        <f>_xlfn.XLOOKUP($A3990,Load!$B:$B,Load!H:H,0,)</f>
        <v>Stand-Up Bag</v>
      </c>
      <c r="H3990" t="str">
        <f>_xlfn.XLOOKUP($A3990,Load!$B:$B,Load!I:I,0,)</f>
        <v>Everyday Candy Shapes (like Original, Gummy bear, Fruit, Jewels, etc.)</v>
      </c>
      <c r="I3990" t="str">
        <f>_xlfn.XLOOKUP($A3990,Load!$B:$B,Load!J:J,0,)</f>
        <v>Seasonal Graphics (Like Bat, Ghost, Pumpkin, Fall Leaves, Eyeballs, etc.)</v>
      </c>
      <c r="J3990" t="str">
        <f>_xlfn.XLOOKUP($A3990,Load!$B:$B,Load!K:K,0,)</f>
        <v>Fun Size / Treat Size</v>
      </c>
      <c r="K3990" t="str">
        <f>_xlfn.XLOOKUP($A3990,Load!$B:$B,Load!L:L,0,)</f>
        <v>Regular/Original Wrapping</v>
      </c>
      <c r="L3990" t="str">
        <f>_xlfn.XLOOKUP($A3990,Load!$B:$B,Load!M:M,0,)</f>
        <v>Single Brand / Variety Flavors or Form</v>
      </c>
    </row>
    <row r="3991" spans="1:12" x14ac:dyDescent="0.25">
      <c r="A3991" t="s">
        <v>224</v>
      </c>
      <c r="B3991" t="str">
        <f>_xlfn.XLOOKUP($A3991,Load!$B:$B,Load!C:C,0,)</f>
        <v>Nerds</v>
      </c>
      <c r="C3991" t="str">
        <f>_xlfn.XLOOKUP($A3991,Load!$B:$B,Load!D:D,0,)</f>
        <v>Non-Chocolate Candy Only</v>
      </c>
      <c r="D3991" t="str">
        <f>_xlfn.XLOOKUP($A3991,Load!$B:$B,Load!E:E,0,)</f>
        <v>Sweet</v>
      </c>
      <c r="E3991" t="str">
        <f>_xlfn.XLOOKUP($A3991,Load!$B:$B,Load!F:F,0,)</f>
        <v>Mixed / Combo Packs (Gummy, Chewy, Taffy, etc.)</v>
      </c>
      <c r="F3991" t="str">
        <f>_xlfn.XLOOKUP($A3991,Load!$B:$B,Load!G:G,0,)</f>
        <v>Medium Multipack (40–80 ct)</v>
      </c>
      <c r="G3991" t="str">
        <f>_xlfn.XLOOKUP($A3991,Load!$B:$B,Load!H:H,0,)</f>
        <v>Stand-Up Bag</v>
      </c>
      <c r="H3991" t="str">
        <f>_xlfn.XLOOKUP($A3991,Load!$B:$B,Load!I:I,0,)</f>
        <v>Everyday Candy Shapes (like Original, Gummy bear, Fruit, Jewels, etc.)</v>
      </c>
      <c r="I3991" t="str">
        <f>_xlfn.XLOOKUP($A3991,Load!$B:$B,Load!J:J,0,)</f>
        <v>Seasonal Graphics (Like Bat, Ghost, Pumpkin, Fall Leaves, Eyeballs, etc.)</v>
      </c>
      <c r="J3991" t="str">
        <f>_xlfn.XLOOKUP($A3991,Load!$B:$B,Load!K:K,0,)</f>
        <v xml:space="preserve">Variety Candy Sizes </v>
      </c>
      <c r="K3991" t="str">
        <f>_xlfn.XLOOKUP($A3991,Load!$B:$B,Load!L:L,0,)</f>
        <v>Regular/Original Wrapping</v>
      </c>
      <c r="L3991" t="str">
        <f>_xlfn.XLOOKUP($A3991,Load!$B:$B,Load!M:M,0,)</f>
        <v>Single Brand / Variety Flavors or Form</v>
      </c>
    </row>
    <row r="3992" spans="1:12" x14ac:dyDescent="0.25">
      <c r="B3992">
        <f>_xlfn.XLOOKUP($A3992,Load!$B:$B,Load!C:C,0,)</f>
        <v>0</v>
      </c>
      <c r="C3992">
        <f>_xlfn.XLOOKUP($A3992,Load!$B:$B,Load!D:D,0,)</f>
        <v>0</v>
      </c>
      <c r="D3992">
        <f>_xlfn.XLOOKUP($A3992,Load!$B:$B,Load!E:E,0,)</f>
        <v>0</v>
      </c>
      <c r="E3992">
        <f>_xlfn.XLOOKUP($A3992,Load!$B:$B,Load!F:F,0,)</f>
        <v>0</v>
      </c>
      <c r="F3992">
        <f>_xlfn.XLOOKUP($A3992,Load!$B:$B,Load!G:G,0,)</f>
        <v>0</v>
      </c>
      <c r="G3992">
        <f>_xlfn.XLOOKUP($A3992,Load!$B:$B,Load!H:H,0,)</f>
        <v>0</v>
      </c>
      <c r="H3992">
        <f>_xlfn.XLOOKUP($A3992,Load!$B:$B,Load!I:I,0,)</f>
        <v>0</v>
      </c>
      <c r="I3992">
        <f>_xlfn.XLOOKUP($A3992,Load!$B:$B,Load!J:J,0,)</f>
        <v>0</v>
      </c>
      <c r="J3992">
        <f>_xlfn.XLOOKUP($A3992,Load!$B:$B,Load!K:K,0,)</f>
        <v>0</v>
      </c>
      <c r="K3992">
        <f>_xlfn.XLOOKUP($A3992,Load!$B:$B,Load!L:L,0,)</f>
        <v>0</v>
      </c>
      <c r="L3992">
        <f>_xlfn.XLOOKUP($A3992,Load!$B:$B,Load!M:M,0,)</f>
        <v>0</v>
      </c>
    </row>
    <row r="3993" spans="1:12" x14ac:dyDescent="0.25">
      <c r="B3993">
        <f>_xlfn.XLOOKUP($A3993,Load!$B:$B,Load!C:C,0,)</f>
        <v>0</v>
      </c>
      <c r="C3993">
        <f>_xlfn.XLOOKUP($A3993,Load!$B:$B,Load!D:D,0,)</f>
        <v>0</v>
      </c>
      <c r="D3993">
        <f>_xlfn.XLOOKUP($A3993,Load!$B:$B,Load!E:E,0,)</f>
        <v>0</v>
      </c>
      <c r="E3993">
        <f>_xlfn.XLOOKUP($A3993,Load!$B:$B,Load!F:F,0,)</f>
        <v>0</v>
      </c>
      <c r="F3993">
        <f>_xlfn.XLOOKUP($A3993,Load!$B:$B,Load!G:G,0,)</f>
        <v>0</v>
      </c>
      <c r="G3993">
        <f>_xlfn.XLOOKUP($A3993,Load!$B:$B,Load!H:H,0,)</f>
        <v>0</v>
      </c>
      <c r="H3993">
        <f>_xlfn.XLOOKUP($A3993,Load!$B:$B,Load!I:I,0,)</f>
        <v>0</v>
      </c>
      <c r="I3993">
        <f>_xlfn.XLOOKUP($A3993,Load!$B:$B,Load!J:J,0,)</f>
        <v>0</v>
      </c>
      <c r="J3993">
        <f>_xlfn.XLOOKUP($A3993,Load!$B:$B,Load!K:K,0,)</f>
        <v>0</v>
      </c>
      <c r="K3993">
        <f>_xlfn.XLOOKUP($A3993,Load!$B:$B,Load!L:L,0,)</f>
        <v>0</v>
      </c>
      <c r="L3993">
        <f>_xlfn.XLOOKUP($A3993,Load!$B:$B,Load!M:M,0,)</f>
        <v>0</v>
      </c>
    </row>
    <row r="3994" spans="1:12" x14ac:dyDescent="0.25">
      <c r="A3994" t="s">
        <v>117</v>
      </c>
      <c r="B3994" t="str">
        <f>_xlfn.XLOOKUP($A3994,Load!$B:$B,Load!C:C,0,)</f>
        <v>Great Value</v>
      </c>
      <c r="C3994" t="str">
        <f>_xlfn.XLOOKUP($A3994,Load!$B:$B,Load!D:D,0,)</f>
        <v>Non-Chocolate Candy Only</v>
      </c>
      <c r="D3994" t="str">
        <f>_xlfn.XLOOKUP($A3994,Load!$B:$B,Load!E:E,0,)</f>
        <v>Fall / Seasonal Flavors (pumpkin spice, caramel apple, candy corn)</v>
      </c>
      <c r="E3994" t="str">
        <f>_xlfn.XLOOKUP($A3994,Load!$B:$B,Load!F:F,0,)</f>
        <v>Candy Pieces / Bites</v>
      </c>
      <c r="F3994" t="str">
        <f>_xlfn.XLOOKUP($A3994,Load!$B:$B,Load!G:G,0,)</f>
        <v>Single Pack</v>
      </c>
      <c r="G3994" t="str">
        <f>_xlfn.XLOOKUP($A3994,Load!$B:$B,Load!H:H,0,)</f>
        <v>Laydown Bag</v>
      </c>
      <c r="H3994" t="str">
        <f>_xlfn.XLOOKUP($A3994,Load!$B:$B,Load!I:I,0,)</f>
        <v>Seasonal Shapes (like pumpkins, candy corn, ghost, bats, etc.)</v>
      </c>
      <c r="I3994" t="str">
        <f>_xlfn.XLOOKUP($A3994,Load!$B:$B,Load!J:J,0,)</f>
        <v>Seasonal Graphics (Like Bat, Ghost, Pumpkin, Fall Leaves, Eyeballs, etc.)</v>
      </c>
      <c r="J3994" t="str">
        <f>_xlfn.XLOOKUP($A3994,Load!$B:$B,Load!K:K,0,)</f>
        <v>Small Pieces (Tiny bite size candies)</v>
      </c>
      <c r="K3994" t="str">
        <f>_xlfn.XLOOKUP($A3994,Load!$B:$B,Load!L:L,0,)</f>
        <v>Unwrapped</v>
      </c>
      <c r="L3994" t="str">
        <f>_xlfn.XLOOKUP($A3994,Load!$B:$B,Load!M:M,0,)</f>
        <v>Single Brand / Single Flavor or Form</v>
      </c>
    </row>
    <row r="3995" spans="1:12" x14ac:dyDescent="0.25">
      <c r="B3995">
        <f>_xlfn.XLOOKUP($A3995,Load!$B:$B,Load!C:C,0,)</f>
        <v>0</v>
      </c>
      <c r="C3995">
        <f>_xlfn.XLOOKUP($A3995,Load!$B:$B,Load!D:D,0,)</f>
        <v>0</v>
      </c>
      <c r="D3995">
        <f>_xlfn.XLOOKUP($A3995,Load!$B:$B,Load!E:E,0,)</f>
        <v>0</v>
      </c>
      <c r="E3995">
        <f>_xlfn.XLOOKUP($A3995,Load!$B:$B,Load!F:F,0,)</f>
        <v>0</v>
      </c>
      <c r="F3995">
        <f>_xlfn.XLOOKUP($A3995,Load!$B:$B,Load!G:G,0,)</f>
        <v>0</v>
      </c>
      <c r="G3995">
        <f>_xlfn.XLOOKUP($A3995,Load!$B:$B,Load!H:H,0,)</f>
        <v>0</v>
      </c>
      <c r="H3995">
        <f>_xlfn.XLOOKUP($A3995,Load!$B:$B,Load!I:I,0,)</f>
        <v>0</v>
      </c>
      <c r="I3995">
        <f>_xlfn.XLOOKUP($A3995,Load!$B:$B,Load!J:J,0,)</f>
        <v>0</v>
      </c>
      <c r="J3995">
        <f>_xlfn.XLOOKUP($A3995,Load!$B:$B,Load!K:K,0,)</f>
        <v>0</v>
      </c>
      <c r="K3995">
        <f>_xlfn.XLOOKUP($A3995,Load!$B:$B,Load!L:L,0,)</f>
        <v>0</v>
      </c>
      <c r="L3995">
        <f>_xlfn.XLOOKUP($A3995,Load!$B:$B,Load!M:M,0,)</f>
        <v>0</v>
      </c>
    </row>
    <row r="3996" spans="1:12" x14ac:dyDescent="0.25">
      <c r="A3996" t="s">
        <v>202</v>
      </c>
      <c r="B3996" t="str">
        <f>_xlfn.XLOOKUP($A3996,Load!$B:$B,Load!C:C,0,)</f>
        <v>Mars Variety Pack</v>
      </c>
      <c r="C3996" t="str">
        <f>_xlfn.XLOOKUP($A3996,Load!$B:$B,Load!D:D,0,)</f>
        <v>Mix of Chocolate and Non-Chocolate Candy</v>
      </c>
      <c r="D3996" t="str">
        <f>_xlfn.XLOOKUP($A3996,Load!$B:$B,Load!E:E,0,)</f>
        <v>Variety / Mixed Flavors (Fruity, Sour, Seasonal Flavors)</v>
      </c>
      <c r="E3996" t="str">
        <f>_xlfn.XLOOKUP($A3996,Load!$B:$B,Load!F:F,0,)</f>
        <v>Mixed / Combo Packs (Gummy, Chewy, Taffy, etc.)</v>
      </c>
      <c r="F3996" t="str">
        <f>_xlfn.XLOOKUP($A3996,Load!$B:$B,Load!G:G,0,)</f>
        <v>Large Multipack (More than 80 ct)</v>
      </c>
      <c r="G3996" t="str">
        <f>_xlfn.XLOOKUP($A3996,Load!$B:$B,Load!H:H,0,)</f>
        <v>Stand-Up Bag</v>
      </c>
      <c r="H3996" t="str">
        <f>_xlfn.XLOOKUP($A3996,Load!$B:$B,Load!I:I,0,)</f>
        <v>Everyday Candy Shapes (like Original, Gummy bear, Fruit, Jewels, etc.)</v>
      </c>
      <c r="I3996" t="str">
        <f>_xlfn.XLOOKUP($A3996,Load!$B:$B,Load!J:J,0,)</f>
        <v>Everyday Graphics</v>
      </c>
      <c r="J3996" t="str">
        <f>_xlfn.XLOOKUP($A3996,Load!$B:$B,Load!K:K,0,)</f>
        <v>Fun Size / Treat Size</v>
      </c>
      <c r="K3996" t="str">
        <f>_xlfn.XLOOKUP($A3996,Load!$B:$B,Load!L:L,0,)</f>
        <v>Regular/Original Wrapping</v>
      </c>
      <c r="L3996" t="str">
        <f>_xlfn.XLOOKUP($A3996,Load!$B:$B,Load!M:M,0,)</f>
        <v>Multiple Brands / Variety Flavors or Form</v>
      </c>
    </row>
    <row r="3997" spans="1:12" x14ac:dyDescent="0.25">
      <c r="B3997">
        <f>_xlfn.XLOOKUP($A3997,Load!$B:$B,Load!C:C,0,)</f>
        <v>0</v>
      </c>
      <c r="C3997">
        <f>_xlfn.XLOOKUP($A3997,Load!$B:$B,Load!D:D,0,)</f>
        <v>0</v>
      </c>
      <c r="D3997">
        <f>_xlfn.XLOOKUP($A3997,Load!$B:$B,Load!E:E,0,)</f>
        <v>0</v>
      </c>
      <c r="E3997">
        <f>_xlfn.XLOOKUP($A3997,Load!$B:$B,Load!F:F,0,)</f>
        <v>0</v>
      </c>
      <c r="F3997">
        <f>_xlfn.XLOOKUP($A3997,Load!$B:$B,Load!G:G,0,)</f>
        <v>0</v>
      </c>
      <c r="G3997">
        <f>_xlfn.XLOOKUP($A3997,Load!$B:$B,Load!H:H,0,)</f>
        <v>0</v>
      </c>
      <c r="H3997">
        <f>_xlfn.XLOOKUP($A3997,Load!$B:$B,Load!I:I,0,)</f>
        <v>0</v>
      </c>
      <c r="I3997">
        <f>_xlfn.XLOOKUP($A3997,Load!$B:$B,Load!J:J,0,)</f>
        <v>0</v>
      </c>
      <c r="J3997">
        <f>_xlfn.XLOOKUP($A3997,Load!$B:$B,Load!K:K,0,)</f>
        <v>0</v>
      </c>
      <c r="K3997">
        <f>_xlfn.XLOOKUP($A3997,Load!$B:$B,Load!L:L,0,)</f>
        <v>0</v>
      </c>
      <c r="L3997">
        <f>_xlfn.XLOOKUP($A3997,Load!$B:$B,Load!M:M,0,)</f>
        <v>0</v>
      </c>
    </row>
    <row r="3998" spans="1:12" x14ac:dyDescent="0.25">
      <c r="A3998" t="s">
        <v>219</v>
      </c>
      <c r="B3998" t="str">
        <f>_xlfn.XLOOKUP($A3998,Load!$B:$B,Load!C:C,0,)</f>
        <v>Mondelez Variety Pack</v>
      </c>
      <c r="C3998" t="str">
        <f>_xlfn.XLOOKUP($A3998,Load!$B:$B,Load!D:D,0,)</f>
        <v>Non-Chocolate Candy Only</v>
      </c>
      <c r="D3998" t="str">
        <f>_xlfn.XLOOKUP($A3998,Load!$B:$B,Load!E:E,0,)</f>
        <v>Sour</v>
      </c>
      <c r="E3998" t="str">
        <f>_xlfn.XLOOKUP($A3998,Load!$B:$B,Load!F:F,0,)</f>
        <v>Chewy</v>
      </c>
      <c r="F3998" t="str">
        <f>_xlfn.XLOOKUP($A3998,Load!$B:$B,Load!G:G,0,)</f>
        <v>Medium Multipack (40–80 ct)</v>
      </c>
      <c r="G3998" t="str">
        <f>_xlfn.XLOOKUP($A3998,Load!$B:$B,Load!H:H,0,)</f>
        <v>Stand-Up Bag</v>
      </c>
      <c r="H3998" t="str">
        <f>_xlfn.XLOOKUP($A3998,Load!$B:$B,Load!I:I,0,)</f>
        <v>Everyday Candy Shapes (like Original, Gummy bear, Fruit, Jewels, etc.)</v>
      </c>
      <c r="I3998" t="str">
        <f>_xlfn.XLOOKUP($A3998,Load!$B:$B,Load!J:J,0,)</f>
        <v>Seasonal Graphics (Like Bat, Ghost, Pumpkin, Fall Leaves, Eyeballs, etc.)</v>
      </c>
      <c r="J3998" t="str">
        <f>_xlfn.XLOOKUP($A3998,Load!$B:$B,Load!K:K,0,)</f>
        <v>Small Pieces (Tiny bite size candies)</v>
      </c>
      <c r="K3998" t="str">
        <f>_xlfn.XLOOKUP($A3998,Load!$B:$B,Load!L:L,0,)</f>
        <v>Regular/Original Wrapping</v>
      </c>
      <c r="L3998" t="str">
        <f>_xlfn.XLOOKUP($A3998,Load!$B:$B,Load!M:M,0,)</f>
        <v>Multiple Brands / Variety Flavors or Form</v>
      </c>
    </row>
    <row r="3999" spans="1:12" x14ac:dyDescent="0.25">
      <c r="A3999" t="s">
        <v>271</v>
      </c>
      <c r="B3999" t="str">
        <f>_xlfn.XLOOKUP($A3999,Load!$B:$B,Load!C:C,0,)</f>
        <v>Sour Patch Kids</v>
      </c>
      <c r="C3999" t="str">
        <f>_xlfn.XLOOKUP($A3999,Load!$B:$B,Load!D:D,0,)</f>
        <v>Non-Chocolate Candy Only</v>
      </c>
      <c r="D3999" t="str">
        <f>_xlfn.XLOOKUP($A3999,Load!$B:$B,Load!E:E,0,)</f>
        <v>Sour</v>
      </c>
      <c r="E3999" t="str">
        <f>_xlfn.XLOOKUP($A3999,Load!$B:$B,Load!F:F,0,)</f>
        <v>Chewy</v>
      </c>
      <c r="F3999" t="str">
        <f>_xlfn.XLOOKUP($A3999,Load!$B:$B,Load!G:G,0,)</f>
        <v>Medium Multipack (40–80 ct)</v>
      </c>
      <c r="G3999" t="str">
        <f>_xlfn.XLOOKUP($A3999,Load!$B:$B,Load!H:H,0,)</f>
        <v>Laydown Bag</v>
      </c>
      <c r="H3999" t="str">
        <f>_xlfn.XLOOKUP($A3999,Load!$B:$B,Load!I:I,0,)</f>
        <v>Everyday Candy Shapes (like Original, Gummy bear, Fruit, Jewels, etc.)</v>
      </c>
      <c r="I3999" t="str">
        <f>_xlfn.XLOOKUP($A3999,Load!$B:$B,Load!J:J,0,)</f>
        <v>Seasonal Graphics (Like Bat, Ghost, Pumpkin, Fall Leaves, Eyeballs, etc.)</v>
      </c>
      <c r="J3999" t="str">
        <f>_xlfn.XLOOKUP($A3999,Load!$B:$B,Load!K:K,0,)</f>
        <v>Small Pieces (Tiny bite size candies)</v>
      </c>
      <c r="K3999" t="str">
        <f>_xlfn.XLOOKUP($A3999,Load!$B:$B,Load!L:L,0,)</f>
        <v>Regular/Original Wrapping</v>
      </c>
      <c r="L3999" t="str">
        <f>_xlfn.XLOOKUP($A3999,Load!$B:$B,Load!M:M,0,)</f>
        <v>Single Brand / Variety Flavors or Form</v>
      </c>
    </row>
    <row r="4000" spans="1:12" x14ac:dyDescent="0.25">
      <c r="A4000" t="s">
        <v>305</v>
      </c>
      <c r="B4000" t="str">
        <f>_xlfn.XLOOKUP($A4000,Load!$B:$B,Load!C:C,0,)</f>
        <v>Werther's Original</v>
      </c>
      <c r="C4000" t="str">
        <f>_xlfn.XLOOKUP($A4000,Load!$B:$B,Load!D:D,0,)</f>
        <v>Non-Chocolate Candy Only</v>
      </c>
      <c r="D4000" t="str">
        <f>_xlfn.XLOOKUP($A4000,Load!$B:$B,Load!E:E,0,)</f>
        <v>Fall / Seasonal Flavors (pumpkin spice, caramel apple, candy corn)</v>
      </c>
      <c r="E4000" t="str">
        <f>_xlfn.XLOOKUP($A4000,Load!$B:$B,Load!F:F,0,)</f>
        <v>Chewy</v>
      </c>
      <c r="F4000" t="str">
        <f>_xlfn.XLOOKUP($A4000,Load!$B:$B,Load!G:G,0,)</f>
        <v>Single Pack</v>
      </c>
      <c r="G4000" t="str">
        <f>_xlfn.XLOOKUP($A4000,Load!$B:$B,Load!H:H,0,)</f>
        <v>Stand-Up Bag</v>
      </c>
      <c r="H4000" t="str">
        <f>_xlfn.XLOOKUP($A4000,Load!$B:$B,Load!I:I,0,)</f>
        <v>Everyday Candy Shapes (like Original, Gummy bear, Fruit, Jewels, etc.)</v>
      </c>
      <c r="I4000" t="str">
        <f>_xlfn.XLOOKUP($A4000,Load!$B:$B,Load!J:J,0,)</f>
        <v>Seasonal Graphics (Like Bat, Ghost, Pumpkin, Fall Leaves, Eyeballs, etc.)</v>
      </c>
      <c r="J4000" t="str">
        <f>_xlfn.XLOOKUP($A4000,Load!$B:$B,Load!K:K,0,)</f>
        <v>Fun Size / Treat Size</v>
      </c>
      <c r="K4000" t="str">
        <f>_xlfn.XLOOKUP($A4000,Load!$B:$B,Load!L:L,0,)</f>
        <v>Regular/Original Wrapping</v>
      </c>
      <c r="L4000" t="str">
        <f>_xlfn.XLOOKUP($A4000,Load!$B:$B,Load!M:M,0,)</f>
        <v>Single Brand / Single Flavor or Form</v>
      </c>
    </row>
    <row r="4001" spans="1:12" x14ac:dyDescent="0.25">
      <c r="B4001">
        <f>_xlfn.XLOOKUP($A4001,Load!$B:$B,Load!C:C,0,)</f>
        <v>0</v>
      </c>
      <c r="C4001">
        <f>_xlfn.XLOOKUP($A4001,Load!$B:$B,Load!D:D,0,)</f>
        <v>0</v>
      </c>
      <c r="D4001">
        <f>_xlfn.XLOOKUP($A4001,Load!$B:$B,Load!E:E,0,)</f>
        <v>0</v>
      </c>
      <c r="E4001">
        <f>_xlfn.XLOOKUP($A4001,Load!$B:$B,Load!F:F,0,)</f>
        <v>0</v>
      </c>
      <c r="F4001">
        <f>_xlfn.XLOOKUP($A4001,Load!$B:$B,Load!G:G,0,)</f>
        <v>0</v>
      </c>
      <c r="G4001">
        <f>_xlfn.XLOOKUP($A4001,Load!$B:$B,Load!H:H,0,)</f>
        <v>0</v>
      </c>
      <c r="H4001">
        <f>_xlfn.XLOOKUP($A4001,Load!$B:$B,Load!I:I,0,)</f>
        <v>0</v>
      </c>
      <c r="I4001">
        <f>_xlfn.XLOOKUP($A4001,Load!$B:$B,Load!J:J,0,)</f>
        <v>0</v>
      </c>
      <c r="J4001">
        <f>_xlfn.XLOOKUP($A4001,Load!$B:$B,Load!K:K,0,)</f>
        <v>0</v>
      </c>
      <c r="K4001">
        <f>_xlfn.XLOOKUP($A4001,Load!$B:$B,Load!L:L,0,)</f>
        <v>0</v>
      </c>
      <c r="L4001">
        <f>_xlfn.XLOOKUP($A4001,Load!$B:$B,Load!M:M,0,)</f>
        <v>0</v>
      </c>
    </row>
    <row r="4002" spans="1:12" x14ac:dyDescent="0.25">
      <c r="A4002" t="s">
        <v>297</v>
      </c>
      <c r="B4002" t="str">
        <f>_xlfn.XLOOKUP($A4002,Load!$B:$B,Load!C:C,0,)</f>
        <v>Trolli</v>
      </c>
      <c r="C4002" t="str">
        <f>_xlfn.XLOOKUP($A4002,Load!$B:$B,Load!D:D,0,)</f>
        <v>Non-Chocolate Candy Only</v>
      </c>
      <c r="D4002" t="str">
        <f>_xlfn.XLOOKUP($A4002,Load!$B:$B,Load!E:E,0,)</f>
        <v>Sour</v>
      </c>
      <c r="E4002" t="str">
        <f>_xlfn.XLOOKUP($A4002,Load!$B:$B,Load!F:F,0,)</f>
        <v>Gummy</v>
      </c>
      <c r="F4002" t="str">
        <f>_xlfn.XLOOKUP($A4002,Load!$B:$B,Load!G:G,0,)</f>
        <v>Small Multipack (Less than 40 ct)</v>
      </c>
      <c r="G4002" t="str">
        <f>_xlfn.XLOOKUP($A4002,Load!$B:$B,Load!H:H,0,)</f>
        <v>Peg Bag</v>
      </c>
      <c r="H4002" t="str">
        <f>_xlfn.XLOOKUP($A4002,Load!$B:$B,Load!I:I,0,)</f>
        <v>Everyday Candy Shapes (like Original, Gummy bear, Fruit, Jewels, etc.)</v>
      </c>
      <c r="I4002" t="str">
        <f>_xlfn.XLOOKUP($A4002,Load!$B:$B,Load!J:J,0,)</f>
        <v>Everyday Graphics</v>
      </c>
      <c r="J4002" t="str">
        <f>_xlfn.XLOOKUP($A4002,Load!$B:$B,Load!K:K,0,)</f>
        <v>Fun Size / Treat Size</v>
      </c>
      <c r="K4002" t="str">
        <f>_xlfn.XLOOKUP($A4002,Load!$B:$B,Load!L:L,0,)</f>
        <v>Unwrapped</v>
      </c>
      <c r="L4002" t="str">
        <f>_xlfn.XLOOKUP($A4002,Load!$B:$B,Load!M:M,0,)</f>
        <v>Single Brand / Variety Flavors or Form</v>
      </c>
    </row>
    <row r="4003" spans="1:12" x14ac:dyDescent="0.25">
      <c r="A4003" t="s">
        <v>106</v>
      </c>
      <c r="B4003" t="str">
        <f>_xlfn.XLOOKUP($A4003,Load!$B:$B,Load!C:C,0,)</f>
        <v>Frankford</v>
      </c>
      <c r="C4003" t="str">
        <f>_xlfn.XLOOKUP($A4003,Load!$B:$B,Load!D:D,0,)</f>
        <v>Non-Chocolate Candy Only</v>
      </c>
      <c r="D4003" t="str">
        <f>_xlfn.XLOOKUP($A4003,Load!$B:$B,Load!E:E,0,)</f>
        <v>Fruit Flavor (Cherry, Grape, Apple, Citrus, Tropical Fruit)</v>
      </c>
      <c r="E4003" t="str">
        <f>_xlfn.XLOOKUP($A4003,Load!$B:$B,Load!F:F,0,)</f>
        <v>Powder / Chalky</v>
      </c>
      <c r="F4003" t="str">
        <f>_xlfn.XLOOKUP($A4003,Load!$B:$B,Load!G:G,0,)</f>
        <v>Small Multipack (Less than 40 ct)</v>
      </c>
      <c r="G4003" t="str">
        <f>_xlfn.XLOOKUP($A4003,Load!$B:$B,Load!H:H,0,)</f>
        <v>Laydown Bag</v>
      </c>
      <c r="H4003" t="str">
        <f>_xlfn.XLOOKUP($A4003,Load!$B:$B,Load!I:I,0,)</f>
        <v>Everyday Candy Shapes (like Original, Gummy bear, Fruit, Jewels, etc.)</v>
      </c>
      <c r="I4003" t="str">
        <f>_xlfn.XLOOKUP($A4003,Load!$B:$B,Load!J:J,0,)</f>
        <v>Seasonal Graphics (Like Bat, Ghost, Pumpkin, Fall Leaves, Eyeballs, etc.)</v>
      </c>
      <c r="J4003" t="str">
        <f>_xlfn.XLOOKUP($A4003,Load!$B:$B,Load!K:K,0,)</f>
        <v>Fun Size / Treat Size</v>
      </c>
      <c r="K4003" t="str">
        <f>_xlfn.XLOOKUP($A4003,Load!$B:$B,Load!L:L,0,)</f>
        <v>Regular/Original Wrapping</v>
      </c>
      <c r="L4003" t="str">
        <f>_xlfn.XLOOKUP($A4003,Load!$B:$B,Load!M:M,0,)</f>
        <v>Single Brand / Variety Flavors or Form</v>
      </c>
    </row>
    <row r="4004" spans="1:12" x14ac:dyDescent="0.25">
      <c r="A4004" t="s">
        <v>157</v>
      </c>
      <c r="B4004" t="str">
        <f>_xlfn.XLOOKUP($A4004,Load!$B:$B,Load!C:C,0,)</f>
        <v>Jolly Rancher</v>
      </c>
      <c r="C4004" t="str">
        <f>_xlfn.XLOOKUP($A4004,Load!$B:$B,Load!D:D,0,)</f>
        <v>Non-Chocolate Candy Only</v>
      </c>
      <c r="D4004" t="str">
        <f>_xlfn.XLOOKUP($A4004,Load!$B:$B,Load!E:E,0,)</f>
        <v>Fruit Flavor (Cherry, Grape, Apple, Citrus, Tropical Fruit)</v>
      </c>
      <c r="E4004" t="str">
        <f>_xlfn.XLOOKUP($A4004,Load!$B:$B,Load!F:F,0,)</f>
        <v>Hard Candy</v>
      </c>
      <c r="F4004" t="str">
        <f>_xlfn.XLOOKUP($A4004,Load!$B:$B,Load!G:G,0,)</f>
        <v>Single Pack</v>
      </c>
      <c r="G4004" t="str">
        <f>_xlfn.XLOOKUP($A4004,Load!$B:$B,Load!H:H,0,)</f>
        <v>Laydown Bag</v>
      </c>
      <c r="H4004" t="str">
        <f>_xlfn.XLOOKUP($A4004,Load!$B:$B,Load!I:I,0,)</f>
        <v>Everyday Candy Shapes (like Original, Gummy bear, Fruit, Jewels, etc.)</v>
      </c>
      <c r="I4004" t="str">
        <f>_xlfn.XLOOKUP($A4004,Load!$B:$B,Load!J:J,0,)</f>
        <v>Everyday Graphics</v>
      </c>
      <c r="J4004" t="str">
        <f>_xlfn.XLOOKUP($A4004,Load!$B:$B,Load!K:K,0,)</f>
        <v>Small Pieces (Tiny bite size candies)</v>
      </c>
      <c r="K4004" t="str">
        <f>_xlfn.XLOOKUP($A4004,Load!$B:$B,Load!L:L,0,)</f>
        <v>Regular/Original Wrapping</v>
      </c>
      <c r="L4004" t="str">
        <f>_xlfn.XLOOKUP($A4004,Load!$B:$B,Load!M:M,0,)</f>
        <v>Single Brand / Variety Flavors or Form</v>
      </c>
    </row>
    <row r="4005" spans="1:12" x14ac:dyDescent="0.25">
      <c r="B4005">
        <f>_xlfn.XLOOKUP($A4005,Load!$B:$B,Load!C:C,0,)</f>
        <v>0</v>
      </c>
      <c r="C4005">
        <f>_xlfn.XLOOKUP($A4005,Load!$B:$B,Load!D:D,0,)</f>
        <v>0</v>
      </c>
      <c r="D4005">
        <f>_xlfn.XLOOKUP($A4005,Load!$B:$B,Load!E:E,0,)</f>
        <v>0</v>
      </c>
      <c r="E4005">
        <f>_xlfn.XLOOKUP($A4005,Load!$B:$B,Load!F:F,0,)</f>
        <v>0</v>
      </c>
      <c r="F4005">
        <f>_xlfn.XLOOKUP($A4005,Load!$B:$B,Load!G:G,0,)</f>
        <v>0</v>
      </c>
      <c r="G4005">
        <f>_xlfn.XLOOKUP($A4005,Load!$B:$B,Load!H:H,0,)</f>
        <v>0</v>
      </c>
      <c r="H4005">
        <f>_xlfn.XLOOKUP($A4005,Load!$B:$B,Load!I:I,0,)</f>
        <v>0</v>
      </c>
      <c r="I4005">
        <f>_xlfn.XLOOKUP($A4005,Load!$B:$B,Load!J:J,0,)</f>
        <v>0</v>
      </c>
      <c r="J4005">
        <f>_xlfn.XLOOKUP($A4005,Load!$B:$B,Load!K:K,0,)</f>
        <v>0</v>
      </c>
      <c r="K4005">
        <f>_xlfn.XLOOKUP($A4005,Load!$B:$B,Load!L:L,0,)</f>
        <v>0</v>
      </c>
      <c r="L4005">
        <f>_xlfn.XLOOKUP($A4005,Load!$B:$B,Load!M:M,0,)</f>
        <v>0</v>
      </c>
    </row>
    <row r="4006" spans="1:12" x14ac:dyDescent="0.25">
      <c r="A4006" t="s">
        <v>237</v>
      </c>
      <c r="B4006" t="str">
        <f>_xlfn.XLOOKUP($A4006,Load!$B:$B,Load!C:C,0,)</f>
        <v>Now &amp; Later</v>
      </c>
      <c r="C4006" t="str">
        <f>_xlfn.XLOOKUP($A4006,Load!$B:$B,Load!D:D,0,)</f>
        <v>Non-Chocolate Candy Only</v>
      </c>
      <c r="D4006" t="str">
        <f>_xlfn.XLOOKUP($A4006,Load!$B:$B,Load!E:E,0,)</f>
        <v>Fruit Flavor (Cherry, Grape, Apple, Citrus, Tropical Fruit)</v>
      </c>
      <c r="E4006" t="str">
        <f>_xlfn.XLOOKUP($A4006,Load!$B:$B,Load!F:F,0,)</f>
        <v>Chewy</v>
      </c>
      <c r="F4006" t="str">
        <f>_xlfn.XLOOKUP($A4006,Load!$B:$B,Load!G:G,0,)</f>
        <v>Medium Multipack (40–80 ct)</v>
      </c>
      <c r="G4006" t="str">
        <f>_xlfn.XLOOKUP($A4006,Load!$B:$B,Load!H:H,0,)</f>
        <v>Laydown Bag</v>
      </c>
      <c r="H4006" t="str">
        <f>_xlfn.XLOOKUP($A4006,Load!$B:$B,Load!I:I,0,)</f>
        <v>Everyday Candy Shapes (like Original, Gummy bear, Fruit, Jewels, etc.)</v>
      </c>
      <c r="I4006" t="str">
        <f>_xlfn.XLOOKUP($A4006,Load!$B:$B,Load!J:J,0,)</f>
        <v>Seasonal Graphics (Like Bat, Ghost, Pumpkin, Fall Leaves, Eyeballs, etc.)</v>
      </c>
      <c r="J4006" t="str">
        <f>_xlfn.XLOOKUP($A4006,Load!$B:$B,Load!K:K,0,)</f>
        <v>Small Pieces (Tiny bite size candies)</v>
      </c>
      <c r="K4006" t="str">
        <f>_xlfn.XLOOKUP($A4006,Load!$B:$B,Load!L:L,0,)</f>
        <v>Regular/Original Wrapping</v>
      </c>
      <c r="L4006" t="str">
        <f>_xlfn.XLOOKUP($A4006,Load!$B:$B,Load!M:M,0,)</f>
        <v>Single Brand / Variety Flavors or Form</v>
      </c>
    </row>
    <row r="4007" spans="1:12" x14ac:dyDescent="0.25">
      <c r="B4007">
        <f>_xlfn.XLOOKUP($A4007,Load!$B:$B,Load!C:C,0,)</f>
        <v>0</v>
      </c>
      <c r="C4007">
        <f>_xlfn.XLOOKUP($A4007,Load!$B:$B,Load!D:D,0,)</f>
        <v>0</v>
      </c>
      <c r="D4007">
        <f>_xlfn.XLOOKUP($A4007,Load!$B:$B,Load!E:E,0,)</f>
        <v>0</v>
      </c>
      <c r="E4007">
        <f>_xlfn.XLOOKUP($A4007,Load!$B:$B,Load!F:F,0,)</f>
        <v>0</v>
      </c>
      <c r="F4007">
        <f>_xlfn.XLOOKUP($A4007,Load!$B:$B,Load!G:G,0,)</f>
        <v>0</v>
      </c>
      <c r="G4007">
        <f>_xlfn.XLOOKUP($A4007,Load!$B:$B,Load!H:H,0,)</f>
        <v>0</v>
      </c>
      <c r="H4007">
        <f>_xlfn.XLOOKUP($A4007,Load!$B:$B,Load!I:I,0,)</f>
        <v>0</v>
      </c>
      <c r="I4007">
        <f>_xlfn.XLOOKUP($A4007,Load!$B:$B,Load!J:J,0,)</f>
        <v>0</v>
      </c>
      <c r="J4007">
        <f>_xlfn.XLOOKUP($A4007,Load!$B:$B,Load!K:K,0,)</f>
        <v>0</v>
      </c>
      <c r="K4007">
        <f>_xlfn.XLOOKUP($A4007,Load!$B:$B,Load!L:L,0,)</f>
        <v>0</v>
      </c>
      <c r="L4007">
        <f>_xlfn.XLOOKUP($A4007,Load!$B:$B,Load!M:M,0,)</f>
        <v>0</v>
      </c>
    </row>
    <row r="4008" spans="1:12" x14ac:dyDescent="0.25">
      <c r="A4008" t="s">
        <v>187</v>
      </c>
      <c r="B4008" t="str">
        <f>_xlfn.XLOOKUP($A4008,Load!$B:$B,Load!C:C,0,)</f>
        <v>Mars Variety Pack</v>
      </c>
      <c r="C4008" t="str">
        <f>_xlfn.XLOOKUP($A4008,Load!$B:$B,Load!D:D,0,)</f>
        <v>Mix of Chocolate and Non-Chocolate Candy</v>
      </c>
      <c r="D4008" t="str">
        <f>_xlfn.XLOOKUP($A4008,Load!$B:$B,Load!E:E,0,)</f>
        <v>Variety / Mixed Flavors (Fruity, Sour, Seasonal Flavors)</v>
      </c>
      <c r="E4008" t="str">
        <f>_xlfn.XLOOKUP($A4008,Load!$B:$B,Load!F:F,0,)</f>
        <v>Mixed / Combo Packs (Gummy, Chewy, Taffy, etc.)</v>
      </c>
      <c r="F4008" t="str">
        <f>_xlfn.XLOOKUP($A4008,Load!$B:$B,Load!G:G,0,)</f>
        <v>Medium Multipack (40–80 ct)</v>
      </c>
      <c r="G4008" t="str">
        <f>_xlfn.XLOOKUP($A4008,Load!$B:$B,Load!H:H,0,)</f>
        <v>Stand-Up Bag</v>
      </c>
      <c r="H4008" t="str">
        <f>_xlfn.XLOOKUP($A4008,Load!$B:$B,Load!I:I,0,)</f>
        <v>Everyday Candy Shapes (like Original, Gummy bear, Fruit, Jewels, etc.)</v>
      </c>
      <c r="I4008" t="str">
        <f>_xlfn.XLOOKUP($A4008,Load!$B:$B,Load!J:J,0,)</f>
        <v>Seasonal Graphics (Like Bat, Ghost, Pumpkin, Fall Leaves, Eyeballs, etc.)</v>
      </c>
      <c r="J4008" t="str">
        <f>_xlfn.XLOOKUP($A4008,Load!$B:$B,Load!K:K,0,)</f>
        <v>Fun Size / Treat Size</v>
      </c>
      <c r="K4008" t="str">
        <f>_xlfn.XLOOKUP($A4008,Load!$B:$B,Load!L:L,0,)</f>
        <v>Regular/Original Wrapping</v>
      </c>
      <c r="L4008" t="str">
        <f>_xlfn.XLOOKUP($A4008,Load!$B:$B,Load!M:M,0,)</f>
        <v>Multiple Brands / Variety Flavors or Form</v>
      </c>
    </row>
    <row r="4009" spans="1:12" x14ac:dyDescent="0.25">
      <c r="A4009" t="s">
        <v>139</v>
      </c>
      <c r="B4009" t="str">
        <f>_xlfn.XLOOKUP($A4009,Load!$B:$B,Load!C:C,0,)</f>
        <v>Hershey's Variety Pack + Haribo</v>
      </c>
      <c r="C4009" t="str">
        <f>_xlfn.XLOOKUP($A4009,Load!$B:$B,Load!D:D,0,)</f>
        <v>Mix of Chocolate and Non-Chocolate Candy</v>
      </c>
      <c r="D4009" t="str">
        <f>_xlfn.XLOOKUP($A4009,Load!$B:$B,Load!E:E,0,)</f>
        <v>Variety / Mixed Flavors (Fruity, Sour, Seasonal Flavors)</v>
      </c>
      <c r="E4009" t="str">
        <f>_xlfn.XLOOKUP($A4009,Load!$B:$B,Load!F:F,0,)</f>
        <v>Mixed / Combo Packs (Gummy, Chewy, Taffy, etc.)</v>
      </c>
      <c r="F4009" t="str">
        <f>_xlfn.XLOOKUP($A4009,Load!$B:$B,Load!G:G,0,)</f>
        <v>Large Multipack (More than 80 ct)</v>
      </c>
      <c r="G4009" t="str">
        <f>_xlfn.XLOOKUP($A4009,Load!$B:$B,Load!H:H,0,)</f>
        <v>Stand-Up Bag</v>
      </c>
      <c r="H4009" t="str">
        <f>_xlfn.XLOOKUP($A4009,Load!$B:$B,Load!I:I,0,)</f>
        <v>Everyday Candy Shapes (like Original, Gummy bear, Fruit, Jewels, etc.)</v>
      </c>
      <c r="I4009" t="str">
        <f>_xlfn.XLOOKUP($A4009,Load!$B:$B,Load!J:J,0,)</f>
        <v>Seasonal Graphics (Like Bat, Ghost, Pumpkin, Fall Leaves, Eyeballs, etc.)</v>
      </c>
      <c r="J4009" t="str">
        <f>_xlfn.XLOOKUP($A4009,Load!$B:$B,Load!K:K,0,)</f>
        <v>Fun Size / Treat Size</v>
      </c>
      <c r="K4009" t="str">
        <f>_xlfn.XLOOKUP($A4009,Load!$B:$B,Load!L:L,0,)</f>
        <v>Regular/Original Wrapping</v>
      </c>
      <c r="L4009" t="str">
        <f>_xlfn.XLOOKUP($A4009,Load!$B:$B,Load!M:M,0,)</f>
        <v>Multiple Brands / Variety Flavors or Form</v>
      </c>
    </row>
    <row r="4010" spans="1:12" x14ac:dyDescent="0.25">
      <c r="A4010" t="s">
        <v>286</v>
      </c>
      <c r="B4010" t="str">
        <f>_xlfn.XLOOKUP($A4010,Load!$B:$B,Load!C:C,0,)</f>
        <v>SweeTARTS</v>
      </c>
      <c r="C4010" t="str">
        <f>_xlfn.XLOOKUP($A4010,Load!$B:$B,Load!D:D,0,)</f>
        <v>Non-Chocolate Candy Only</v>
      </c>
      <c r="D4010" t="str">
        <f>_xlfn.XLOOKUP($A4010,Load!$B:$B,Load!E:E,0,)</f>
        <v>Variety / Mixed Flavors (Fruity, Sour, Seasonal Flavors)</v>
      </c>
      <c r="E4010" t="str">
        <f>_xlfn.XLOOKUP($A4010,Load!$B:$B,Load!F:F,0,)</f>
        <v>Chewy</v>
      </c>
      <c r="F4010" t="str">
        <f>_xlfn.XLOOKUP($A4010,Load!$B:$B,Load!G:G,0,)</f>
        <v>Small Multipack (Less than 40 ct)</v>
      </c>
      <c r="G4010" t="str">
        <f>_xlfn.XLOOKUP($A4010,Load!$B:$B,Load!H:H,0,)</f>
        <v>Stand-Up Bag</v>
      </c>
      <c r="H4010" t="str">
        <f>_xlfn.XLOOKUP($A4010,Load!$B:$B,Load!I:I,0,)</f>
        <v>Everyday Candy Shapes (like Original, Gummy bear, Fruit, Jewels, etc.)</v>
      </c>
      <c r="I4010" t="str">
        <f>_xlfn.XLOOKUP($A4010,Load!$B:$B,Load!J:J,0,)</f>
        <v>Seasonal Graphics (Like Bat, Ghost, Pumpkin, Fall Leaves, Eyeballs, etc.)</v>
      </c>
      <c r="J4010" t="str">
        <f>_xlfn.XLOOKUP($A4010,Load!$B:$B,Load!K:K,0,)</f>
        <v>Fun Size / Treat Size</v>
      </c>
      <c r="K4010" t="str">
        <f>_xlfn.XLOOKUP($A4010,Load!$B:$B,Load!L:L,0,)</f>
        <v>Regular/Original Wrapping</v>
      </c>
      <c r="L4010" t="str">
        <f>_xlfn.XLOOKUP($A4010,Load!$B:$B,Load!M:M,0,)</f>
        <v>Single Brand / Variety Flavors or Form</v>
      </c>
    </row>
    <row r="4011" spans="1:12" x14ac:dyDescent="0.25">
      <c r="B4011">
        <f>_xlfn.XLOOKUP($A4011,Load!$B:$B,Load!C:C,0,)</f>
        <v>0</v>
      </c>
      <c r="C4011">
        <f>_xlfn.XLOOKUP($A4011,Load!$B:$B,Load!D:D,0,)</f>
        <v>0</v>
      </c>
      <c r="D4011">
        <f>_xlfn.XLOOKUP($A4011,Load!$B:$B,Load!E:E,0,)</f>
        <v>0</v>
      </c>
      <c r="E4011">
        <f>_xlfn.XLOOKUP($A4011,Load!$B:$B,Load!F:F,0,)</f>
        <v>0</v>
      </c>
      <c r="F4011">
        <f>_xlfn.XLOOKUP($A4011,Load!$B:$B,Load!G:G,0,)</f>
        <v>0</v>
      </c>
      <c r="G4011">
        <f>_xlfn.XLOOKUP($A4011,Load!$B:$B,Load!H:H,0,)</f>
        <v>0</v>
      </c>
      <c r="H4011">
        <f>_xlfn.XLOOKUP($A4011,Load!$B:$B,Load!I:I,0,)</f>
        <v>0</v>
      </c>
      <c r="I4011">
        <f>_xlfn.XLOOKUP($A4011,Load!$B:$B,Load!J:J,0,)</f>
        <v>0</v>
      </c>
      <c r="J4011">
        <f>_xlfn.XLOOKUP($A4011,Load!$B:$B,Load!K:K,0,)</f>
        <v>0</v>
      </c>
      <c r="K4011">
        <f>_xlfn.XLOOKUP($A4011,Load!$B:$B,Load!L:L,0,)</f>
        <v>0</v>
      </c>
      <c r="L4011">
        <f>_xlfn.XLOOKUP($A4011,Load!$B:$B,Load!M:M,0,)</f>
        <v>0</v>
      </c>
    </row>
    <row r="4012" spans="1:12" x14ac:dyDescent="0.25">
      <c r="B4012">
        <f>_xlfn.XLOOKUP($A4012,Load!$B:$B,Load!C:C,0,)</f>
        <v>0</v>
      </c>
      <c r="C4012">
        <f>_xlfn.XLOOKUP($A4012,Load!$B:$B,Load!D:D,0,)</f>
        <v>0</v>
      </c>
      <c r="D4012">
        <f>_xlfn.XLOOKUP($A4012,Load!$B:$B,Load!E:E,0,)</f>
        <v>0</v>
      </c>
      <c r="E4012">
        <f>_xlfn.XLOOKUP($A4012,Load!$B:$B,Load!F:F,0,)</f>
        <v>0</v>
      </c>
      <c r="F4012">
        <f>_xlfn.XLOOKUP($A4012,Load!$B:$B,Load!G:G,0,)</f>
        <v>0</v>
      </c>
      <c r="G4012">
        <f>_xlfn.XLOOKUP($A4012,Load!$B:$B,Load!H:H,0,)</f>
        <v>0</v>
      </c>
      <c r="H4012">
        <f>_xlfn.XLOOKUP($A4012,Load!$B:$B,Load!I:I,0,)</f>
        <v>0</v>
      </c>
      <c r="I4012">
        <f>_xlfn.XLOOKUP($A4012,Load!$B:$B,Load!J:J,0,)</f>
        <v>0</v>
      </c>
      <c r="J4012">
        <f>_xlfn.XLOOKUP($A4012,Load!$B:$B,Load!K:K,0,)</f>
        <v>0</v>
      </c>
      <c r="K4012">
        <f>_xlfn.XLOOKUP($A4012,Load!$B:$B,Load!L:L,0,)</f>
        <v>0</v>
      </c>
      <c r="L4012">
        <f>_xlfn.XLOOKUP($A4012,Load!$B:$B,Load!M:M,0,)</f>
        <v>0</v>
      </c>
    </row>
    <row r="4013" spans="1:12" x14ac:dyDescent="0.25">
      <c r="B4013">
        <f>_xlfn.XLOOKUP($A4013,Load!$B:$B,Load!C:C,0,)</f>
        <v>0</v>
      </c>
      <c r="C4013">
        <f>_xlfn.XLOOKUP($A4013,Load!$B:$B,Load!D:D,0,)</f>
        <v>0</v>
      </c>
      <c r="D4013">
        <f>_xlfn.XLOOKUP($A4013,Load!$B:$B,Load!E:E,0,)</f>
        <v>0</v>
      </c>
      <c r="E4013">
        <f>_xlfn.XLOOKUP($A4013,Load!$B:$B,Load!F:F,0,)</f>
        <v>0</v>
      </c>
      <c r="F4013">
        <f>_xlfn.XLOOKUP($A4013,Load!$B:$B,Load!G:G,0,)</f>
        <v>0</v>
      </c>
      <c r="G4013">
        <f>_xlfn.XLOOKUP($A4013,Load!$B:$B,Load!H:H,0,)</f>
        <v>0</v>
      </c>
      <c r="H4013">
        <f>_xlfn.XLOOKUP($A4013,Load!$B:$B,Load!I:I,0,)</f>
        <v>0</v>
      </c>
      <c r="I4013">
        <f>_xlfn.XLOOKUP($A4013,Load!$B:$B,Load!J:J,0,)</f>
        <v>0</v>
      </c>
      <c r="J4013">
        <f>_xlfn.XLOOKUP($A4013,Load!$B:$B,Load!K:K,0,)</f>
        <v>0</v>
      </c>
      <c r="K4013">
        <f>_xlfn.XLOOKUP($A4013,Load!$B:$B,Load!L:L,0,)</f>
        <v>0</v>
      </c>
      <c r="L4013">
        <f>_xlfn.XLOOKUP($A4013,Load!$B:$B,Load!M:M,0,)</f>
        <v>0</v>
      </c>
    </row>
    <row r="4014" spans="1:12" x14ac:dyDescent="0.25">
      <c r="A4014" t="s">
        <v>157</v>
      </c>
      <c r="B4014" t="str">
        <f>_xlfn.XLOOKUP($A4014,Load!$B:$B,Load!C:C,0,)</f>
        <v>Jolly Rancher</v>
      </c>
      <c r="C4014" t="str">
        <f>_xlfn.XLOOKUP($A4014,Load!$B:$B,Load!D:D,0,)</f>
        <v>Non-Chocolate Candy Only</v>
      </c>
      <c r="D4014" t="str">
        <f>_xlfn.XLOOKUP($A4014,Load!$B:$B,Load!E:E,0,)</f>
        <v>Fruit Flavor (Cherry, Grape, Apple, Citrus, Tropical Fruit)</v>
      </c>
      <c r="E4014" t="str">
        <f>_xlfn.XLOOKUP($A4014,Load!$B:$B,Load!F:F,0,)</f>
        <v>Hard Candy</v>
      </c>
      <c r="F4014" t="str">
        <f>_xlfn.XLOOKUP($A4014,Load!$B:$B,Load!G:G,0,)</f>
        <v>Single Pack</v>
      </c>
      <c r="G4014" t="str">
        <f>_xlfn.XLOOKUP($A4014,Load!$B:$B,Load!H:H,0,)</f>
        <v>Laydown Bag</v>
      </c>
      <c r="H4014" t="str">
        <f>_xlfn.XLOOKUP($A4014,Load!$B:$B,Load!I:I,0,)</f>
        <v>Everyday Candy Shapes (like Original, Gummy bear, Fruit, Jewels, etc.)</v>
      </c>
      <c r="I4014" t="str">
        <f>_xlfn.XLOOKUP($A4014,Load!$B:$B,Load!J:J,0,)</f>
        <v>Everyday Graphics</v>
      </c>
      <c r="J4014" t="str">
        <f>_xlfn.XLOOKUP($A4014,Load!$B:$B,Load!K:K,0,)</f>
        <v>Small Pieces (Tiny bite size candies)</v>
      </c>
      <c r="K4014" t="str">
        <f>_xlfn.XLOOKUP($A4014,Load!$B:$B,Load!L:L,0,)</f>
        <v>Regular/Original Wrapping</v>
      </c>
      <c r="L4014" t="str">
        <f>_xlfn.XLOOKUP($A4014,Load!$B:$B,Load!M:M,0,)</f>
        <v>Single Brand / Variety Flavors or Form</v>
      </c>
    </row>
    <row r="4015" spans="1:12" x14ac:dyDescent="0.25">
      <c r="B4015">
        <f>_xlfn.XLOOKUP($A4015,Load!$B:$B,Load!C:C,0,)</f>
        <v>0</v>
      </c>
      <c r="C4015">
        <f>_xlfn.XLOOKUP($A4015,Load!$B:$B,Load!D:D,0,)</f>
        <v>0</v>
      </c>
      <c r="D4015">
        <f>_xlfn.XLOOKUP($A4015,Load!$B:$B,Load!E:E,0,)</f>
        <v>0</v>
      </c>
      <c r="E4015">
        <f>_xlfn.XLOOKUP($A4015,Load!$B:$B,Load!F:F,0,)</f>
        <v>0</v>
      </c>
      <c r="F4015">
        <f>_xlfn.XLOOKUP($A4015,Load!$B:$B,Load!G:G,0,)</f>
        <v>0</v>
      </c>
      <c r="G4015">
        <f>_xlfn.XLOOKUP($A4015,Load!$B:$B,Load!H:H,0,)</f>
        <v>0</v>
      </c>
      <c r="H4015">
        <f>_xlfn.XLOOKUP($A4015,Load!$B:$B,Load!I:I,0,)</f>
        <v>0</v>
      </c>
      <c r="I4015">
        <f>_xlfn.XLOOKUP($A4015,Load!$B:$B,Load!J:J,0,)</f>
        <v>0</v>
      </c>
      <c r="J4015">
        <f>_xlfn.XLOOKUP($A4015,Load!$B:$B,Load!K:K,0,)</f>
        <v>0</v>
      </c>
      <c r="K4015">
        <f>_xlfn.XLOOKUP($A4015,Load!$B:$B,Load!L:L,0,)</f>
        <v>0</v>
      </c>
      <c r="L4015">
        <f>_xlfn.XLOOKUP($A4015,Load!$B:$B,Load!M:M,0,)</f>
        <v>0</v>
      </c>
    </row>
    <row r="4016" spans="1:12" x14ac:dyDescent="0.25">
      <c r="A4016" t="s">
        <v>71</v>
      </c>
      <c r="B4016" t="str">
        <f>_xlfn.XLOOKUP($A4016,Load!$B:$B,Load!C:C,0,)</f>
        <v>Dum Dums</v>
      </c>
      <c r="C4016" t="str">
        <f>_xlfn.XLOOKUP($A4016,Load!$B:$B,Load!D:D,0,)</f>
        <v>Non-Chocolate Candy Only</v>
      </c>
      <c r="D4016" t="str">
        <f>_xlfn.XLOOKUP($A4016,Load!$B:$B,Load!E:E,0,)</f>
        <v>Sweet</v>
      </c>
      <c r="E4016" t="str">
        <f>_xlfn.XLOOKUP($A4016,Load!$B:$B,Load!F:F,0,)</f>
        <v>Lollipop (regular or lollipop rings)</v>
      </c>
      <c r="F4016" t="str">
        <f>_xlfn.XLOOKUP($A4016,Load!$B:$B,Load!G:G,0,)</f>
        <v>Large Multipack (More than 80 ct)</v>
      </c>
      <c r="G4016" t="str">
        <f>_xlfn.XLOOKUP($A4016,Load!$B:$B,Load!H:H,0,)</f>
        <v>Stand-Up Bag</v>
      </c>
      <c r="H4016" t="str">
        <f>_xlfn.XLOOKUP($A4016,Load!$B:$B,Load!I:I,0,)</f>
        <v>Everyday Candy Shapes (like Original, Gummy bear, Fruit, Jewels, etc.)</v>
      </c>
      <c r="I4016" t="str">
        <f>_xlfn.XLOOKUP($A4016,Load!$B:$B,Load!J:J,0,)</f>
        <v>Seasonal Graphics (Like Bat, Ghost, Pumpkin, Fall Leaves, Eyeballs, etc.)</v>
      </c>
      <c r="J4016" t="str">
        <f>_xlfn.XLOOKUP($A4016,Load!$B:$B,Load!K:K,0,)</f>
        <v>Regular Lollipop size (on sticks or rings)</v>
      </c>
      <c r="K4016" t="str">
        <f>_xlfn.XLOOKUP($A4016,Load!$B:$B,Load!L:L,0,)</f>
        <v>Regular/Original Wrapping</v>
      </c>
      <c r="L4016" t="str">
        <f>_xlfn.XLOOKUP($A4016,Load!$B:$B,Load!M:M,0,)</f>
        <v>Multiple Brands / Variety Flavors or Form</v>
      </c>
    </row>
    <row r="4017" spans="1:12" x14ac:dyDescent="0.25">
      <c r="B4017">
        <f>_xlfn.XLOOKUP($A4017,Load!$B:$B,Load!C:C,0,)</f>
        <v>0</v>
      </c>
      <c r="C4017">
        <f>_xlfn.XLOOKUP($A4017,Load!$B:$B,Load!D:D,0,)</f>
        <v>0</v>
      </c>
      <c r="D4017">
        <f>_xlfn.XLOOKUP($A4017,Load!$B:$B,Load!E:E,0,)</f>
        <v>0</v>
      </c>
      <c r="E4017">
        <f>_xlfn.XLOOKUP($A4017,Load!$B:$B,Load!F:F,0,)</f>
        <v>0</v>
      </c>
      <c r="F4017">
        <f>_xlfn.XLOOKUP($A4017,Load!$B:$B,Load!G:G,0,)</f>
        <v>0</v>
      </c>
      <c r="G4017">
        <f>_xlfn.XLOOKUP($A4017,Load!$B:$B,Load!H:H,0,)</f>
        <v>0</v>
      </c>
      <c r="H4017">
        <f>_xlfn.XLOOKUP($A4017,Load!$B:$B,Load!I:I,0,)</f>
        <v>0</v>
      </c>
      <c r="I4017">
        <f>_xlfn.XLOOKUP($A4017,Load!$B:$B,Load!J:J,0,)</f>
        <v>0</v>
      </c>
      <c r="J4017">
        <f>_xlfn.XLOOKUP($A4017,Load!$B:$B,Load!K:K,0,)</f>
        <v>0</v>
      </c>
      <c r="K4017">
        <f>_xlfn.XLOOKUP($A4017,Load!$B:$B,Load!L:L,0,)</f>
        <v>0</v>
      </c>
      <c r="L4017">
        <f>_xlfn.XLOOKUP($A4017,Load!$B:$B,Load!M:M,0,)</f>
        <v>0</v>
      </c>
    </row>
    <row r="4018" spans="1:12" x14ac:dyDescent="0.25">
      <c r="B4018">
        <f>_xlfn.XLOOKUP($A4018,Load!$B:$B,Load!C:C,0,)</f>
        <v>0</v>
      </c>
      <c r="C4018">
        <f>_xlfn.XLOOKUP($A4018,Load!$B:$B,Load!D:D,0,)</f>
        <v>0</v>
      </c>
      <c r="D4018">
        <f>_xlfn.XLOOKUP($A4018,Load!$B:$B,Load!E:E,0,)</f>
        <v>0</v>
      </c>
      <c r="E4018">
        <f>_xlfn.XLOOKUP($A4018,Load!$B:$B,Load!F:F,0,)</f>
        <v>0</v>
      </c>
      <c r="F4018">
        <f>_xlfn.XLOOKUP($A4018,Load!$B:$B,Load!G:G,0,)</f>
        <v>0</v>
      </c>
      <c r="G4018">
        <f>_xlfn.XLOOKUP($A4018,Load!$B:$B,Load!H:H,0,)</f>
        <v>0</v>
      </c>
      <c r="H4018">
        <f>_xlfn.XLOOKUP($A4018,Load!$B:$B,Load!I:I,0,)</f>
        <v>0</v>
      </c>
      <c r="I4018">
        <f>_xlfn.XLOOKUP($A4018,Load!$B:$B,Load!J:J,0,)</f>
        <v>0</v>
      </c>
      <c r="J4018">
        <f>_xlfn.XLOOKUP($A4018,Load!$B:$B,Load!K:K,0,)</f>
        <v>0</v>
      </c>
      <c r="K4018">
        <f>_xlfn.XLOOKUP($A4018,Load!$B:$B,Load!L:L,0,)</f>
        <v>0</v>
      </c>
      <c r="L4018">
        <f>_xlfn.XLOOKUP($A4018,Load!$B:$B,Load!M:M,0,)</f>
        <v>0</v>
      </c>
    </row>
    <row r="4019" spans="1:12" x14ac:dyDescent="0.25">
      <c r="B4019">
        <f>_xlfn.XLOOKUP($A4019,Load!$B:$B,Load!C:C,0,)</f>
        <v>0</v>
      </c>
      <c r="C4019">
        <f>_xlfn.XLOOKUP($A4019,Load!$B:$B,Load!D:D,0,)</f>
        <v>0</v>
      </c>
      <c r="D4019">
        <f>_xlfn.XLOOKUP($A4019,Load!$B:$B,Load!E:E,0,)</f>
        <v>0</v>
      </c>
      <c r="E4019">
        <f>_xlfn.XLOOKUP($A4019,Load!$B:$B,Load!F:F,0,)</f>
        <v>0</v>
      </c>
      <c r="F4019">
        <f>_xlfn.XLOOKUP($A4019,Load!$B:$B,Load!G:G,0,)</f>
        <v>0</v>
      </c>
      <c r="G4019">
        <f>_xlfn.XLOOKUP($A4019,Load!$B:$B,Load!H:H,0,)</f>
        <v>0</v>
      </c>
      <c r="H4019">
        <f>_xlfn.XLOOKUP($A4019,Load!$B:$B,Load!I:I,0,)</f>
        <v>0</v>
      </c>
      <c r="I4019">
        <f>_xlfn.XLOOKUP($A4019,Load!$B:$B,Load!J:J,0,)</f>
        <v>0</v>
      </c>
      <c r="J4019">
        <f>_xlfn.XLOOKUP($A4019,Load!$B:$B,Load!K:K,0,)</f>
        <v>0</v>
      </c>
      <c r="K4019">
        <f>_xlfn.XLOOKUP($A4019,Load!$B:$B,Load!L:L,0,)</f>
        <v>0</v>
      </c>
      <c r="L4019">
        <f>_xlfn.XLOOKUP($A4019,Load!$B:$B,Load!M:M,0,)</f>
        <v>0</v>
      </c>
    </row>
    <row r="4020" spans="1:12" x14ac:dyDescent="0.25">
      <c r="A4020" t="s">
        <v>349</v>
      </c>
      <c r="B4020" t="str">
        <f>_xlfn.XLOOKUP($A4020,Load!$B:$B,Load!C:C,0,)</f>
        <v>Your Store Brand</v>
      </c>
      <c r="C4020" t="str">
        <f>_xlfn.XLOOKUP($A4020,Load!$B:$B,Load!D:D,0,)</f>
        <v>Non-Chocolate Candy Only</v>
      </c>
      <c r="D4020" t="str">
        <f>_xlfn.XLOOKUP($A4020,Load!$B:$B,Load!E:E,0,)</f>
        <v>Fall / Seasonal Flavors (pumpkin spice, caramel apple, candy corn)</v>
      </c>
      <c r="E4020" t="str">
        <f>_xlfn.XLOOKUP($A4020,Load!$B:$B,Load!F:F,0,)</f>
        <v>Hard Candy</v>
      </c>
      <c r="F4020" t="str">
        <f>_xlfn.XLOOKUP($A4020,Load!$B:$B,Load!G:G,0,)</f>
        <v>Single Pack</v>
      </c>
      <c r="G4020" t="str">
        <f>_xlfn.XLOOKUP($A4020,Load!$B:$B,Load!H:H,0,)</f>
        <v>Laydown Bag</v>
      </c>
      <c r="H4020" t="str">
        <f>_xlfn.XLOOKUP($A4020,Load!$B:$B,Load!I:I,0,)</f>
        <v>Seasonal Shapes (like pumpkins, candy corn, ghost, bats, etc.)</v>
      </c>
      <c r="I4020" t="str">
        <f>_xlfn.XLOOKUP($A4020,Load!$B:$B,Load!J:J,0,)</f>
        <v>Seasonal Graphics (Like Bat, Ghost, Pumpkin, Fall Leaves, Eyeballs, etc.)</v>
      </c>
      <c r="J4020" t="str">
        <f>_xlfn.XLOOKUP($A4020,Load!$B:$B,Load!K:K,0,)</f>
        <v>Small Pieces (Tiny bite size candies)</v>
      </c>
      <c r="K4020" t="str">
        <f>_xlfn.XLOOKUP($A4020,Load!$B:$B,Load!L:L,0,)</f>
        <v>Unwrapped</v>
      </c>
      <c r="L4020" t="str">
        <f>_xlfn.XLOOKUP($A4020,Load!$B:$B,Load!M:M,0,)</f>
        <v>Single Brand / Single Flavor or Form</v>
      </c>
    </row>
    <row r="4021" spans="1:12" x14ac:dyDescent="0.25">
      <c r="A4021" t="s">
        <v>310</v>
      </c>
      <c r="B4021" t="str">
        <f>_xlfn.XLOOKUP($A4021,Load!$B:$B,Load!C:C,0,)</f>
        <v>Werther's Original</v>
      </c>
      <c r="C4021" t="str">
        <f>_xlfn.XLOOKUP($A4021,Load!$B:$B,Load!D:D,0,)</f>
        <v>Non-Chocolate Candy Only</v>
      </c>
      <c r="D4021" t="str">
        <f>_xlfn.XLOOKUP($A4021,Load!$B:$B,Load!E:E,0,)</f>
        <v>Fall / Seasonal Flavors (pumpkin spice, caramel apple, candy corn)</v>
      </c>
      <c r="E4021" t="str">
        <f>_xlfn.XLOOKUP($A4021,Load!$B:$B,Load!F:F,0,)</f>
        <v>Hard Candy</v>
      </c>
      <c r="F4021" t="str">
        <f>_xlfn.XLOOKUP($A4021,Load!$B:$B,Load!G:G,0,)</f>
        <v>Single Pack</v>
      </c>
      <c r="G4021" t="str">
        <f>_xlfn.XLOOKUP($A4021,Load!$B:$B,Load!H:H,0,)</f>
        <v>Laydown Bag</v>
      </c>
      <c r="H4021" t="str">
        <f>_xlfn.XLOOKUP($A4021,Load!$B:$B,Load!I:I,0,)</f>
        <v>Everyday Candy Shapes (like Original, Gummy bear, Fruit, Jewels, etc.)</v>
      </c>
      <c r="I4021" t="str">
        <f>_xlfn.XLOOKUP($A4021,Load!$B:$B,Load!J:J,0,)</f>
        <v>Seasonal Graphics (Like Bat, Ghost, Pumpkin, Fall Leaves, Eyeballs, etc.)</v>
      </c>
      <c r="J4021" t="str">
        <f>_xlfn.XLOOKUP($A4021,Load!$B:$B,Load!K:K,0,)</f>
        <v>Fun Size / Treat Size</v>
      </c>
      <c r="K4021" t="str">
        <f>_xlfn.XLOOKUP($A4021,Load!$B:$B,Load!L:L,0,)</f>
        <v>Regular/Original Wrapping</v>
      </c>
      <c r="L4021" t="str">
        <f>_xlfn.XLOOKUP($A4021,Load!$B:$B,Load!M:M,0,)</f>
        <v>Single Brand / Single Flavor or Form</v>
      </c>
    </row>
    <row r="4022" spans="1:12" x14ac:dyDescent="0.25">
      <c r="A4022" t="s">
        <v>275</v>
      </c>
      <c r="B4022" t="str">
        <f>_xlfn.XLOOKUP($A4022,Load!$B:$B,Load!C:C,0,)</f>
        <v>Mondelez Variety Pack</v>
      </c>
      <c r="C4022" t="str">
        <f>_xlfn.XLOOKUP($A4022,Load!$B:$B,Load!D:D,0,)</f>
        <v>Non-Chocolate Candy Only</v>
      </c>
      <c r="D4022" t="str">
        <f>_xlfn.XLOOKUP($A4022,Load!$B:$B,Load!E:E,0,)</f>
        <v>Variety / Mixed Flavors (Fruity, Sour, Seasonal Flavors)</v>
      </c>
      <c r="E4022" t="str">
        <f>_xlfn.XLOOKUP($A4022,Load!$B:$B,Load!F:F,0,)</f>
        <v>Mixed / Combo Packs (Gummy, Chewy, Taffy, etc.)</v>
      </c>
      <c r="F4022" t="str">
        <f>_xlfn.XLOOKUP($A4022,Load!$B:$B,Load!G:G,0,)</f>
        <v>Small Multipack (Less than 40 ct)</v>
      </c>
      <c r="G4022" t="str">
        <f>_xlfn.XLOOKUP($A4022,Load!$B:$B,Load!H:H,0,)</f>
        <v>Box (theatre box, gift box, carton)</v>
      </c>
      <c r="H4022" t="str">
        <f>_xlfn.XLOOKUP($A4022,Load!$B:$B,Load!I:I,0,)</f>
        <v>Everyday Candy Shapes (like Original, Gummy bear, Fruit, Jewels, etc.)</v>
      </c>
      <c r="I4022" t="str">
        <f>_xlfn.XLOOKUP($A4022,Load!$B:$B,Load!J:J,0,)</f>
        <v>Seasonal Graphics (Like Bat, Ghost, Pumpkin, Fall Leaves, Eyeballs, etc.)</v>
      </c>
      <c r="J4022" t="str">
        <f>_xlfn.XLOOKUP($A4022,Load!$B:$B,Load!K:K,0,)</f>
        <v>Small Pieces (Tiny bite size candies)</v>
      </c>
      <c r="K4022" t="str">
        <f>_xlfn.XLOOKUP($A4022,Load!$B:$B,Load!L:L,0,)</f>
        <v>Regular/Original Wrapping</v>
      </c>
      <c r="L4022" t="str">
        <f>_xlfn.XLOOKUP($A4022,Load!$B:$B,Load!M:M,0,)</f>
        <v>Multiple Brands / Variety Flavors or Form</v>
      </c>
    </row>
    <row r="4023" spans="1:12" x14ac:dyDescent="0.25">
      <c r="A4023" t="s">
        <v>205</v>
      </c>
      <c r="B4023" t="str">
        <f>_xlfn.XLOOKUP($A4023,Load!$B:$B,Load!C:C,0,)</f>
        <v>Mars Variety Pack</v>
      </c>
      <c r="C4023" t="str">
        <f>_xlfn.XLOOKUP($A4023,Load!$B:$B,Load!D:D,0,)</f>
        <v>Non-Chocolate Candy Only</v>
      </c>
      <c r="D4023" t="str">
        <f>_xlfn.XLOOKUP($A4023,Load!$B:$B,Load!E:E,0,)</f>
        <v>Variety / Mixed Flavors (Fruity, Sour, Seasonal Flavors)</v>
      </c>
      <c r="E4023" t="str">
        <f>_xlfn.XLOOKUP($A4023,Load!$B:$B,Load!F:F,0,)</f>
        <v>Mixed / Combo Packs (Gummy, Chewy, Taffy, etc.)</v>
      </c>
      <c r="F4023" t="str">
        <f>_xlfn.XLOOKUP($A4023,Load!$B:$B,Load!G:G,0,)</f>
        <v>Small Multipack (Less than 40 ct)</v>
      </c>
      <c r="G4023" t="str">
        <f>_xlfn.XLOOKUP($A4023,Load!$B:$B,Load!H:H,0,)</f>
        <v>Box (theatre box, gift box, carton)</v>
      </c>
      <c r="H4023" t="str">
        <f>_xlfn.XLOOKUP($A4023,Load!$B:$B,Load!I:I,0,)</f>
        <v>Everyday Candy Shapes (like Original, Gummy bear, Fruit, Jewels, etc.)</v>
      </c>
      <c r="I4023" t="str">
        <f>_xlfn.XLOOKUP($A4023,Load!$B:$B,Load!J:J,0,)</f>
        <v>Everyday Graphics</v>
      </c>
      <c r="J4023" t="str">
        <f>_xlfn.XLOOKUP($A4023,Load!$B:$B,Load!K:K,0,)</f>
        <v>Small Pieces (Tiny bite size candies)</v>
      </c>
      <c r="K4023" t="str">
        <f>_xlfn.XLOOKUP($A4023,Load!$B:$B,Load!L:L,0,)</f>
        <v>Regular/Original Wrapping</v>
      </c>
      <c r="L4023" t="str">
        <f>_xlfn.XLOOKUP($A4023,Load!$B:$B,Load!M:M,0,)</f>
        <v>Multiple Brands / Variety Flavors or Form</v>
      </c>
    </row>
    <row r="4024" spans="1:12" x14ac:dyDescent="0.25">
      <c r="A4024" t="s">
        <v>144</v>
      </c>
      <c r="B4024" t="str">
        <f>_xlfn.XLOOKUP($A4024,Load!$B:$B,Load!C:C,0,)</f>
        <v>Hershey's Variety Pack + Haribo</v>
      </c>
      <c r="C4024" t="str">
        <f>_xlfn.XLOOKUP($A4024,Load!$B:$B,Load!D:D,0,)</f>
        <v>Mix of Chocolate and Non-Chocolate Candy</v>
      </c>
      <c r="D4024" t="str">
        <f>_xlfn.XLOOKUP($A4024,Load!$B:$B,Load!E:E,0,)</f>
        <v>Variety / Mixed Flavors (Fruity, Sour, Seasonal Flavors)</v>
      </c>
      <c r="E4024" t="str">
        <f>_xlfn.XLOOKUP($A4024,Load!$B:$B,Load!F:F,0,)</f>
        <v>Mixed / Combo Packs (Gummy, Chewy, Taffy, etc.)</v>
      </c>
      <c r="F4024" t="str">
        <f>_xlfn.XLOOKUP($A4024,Load!$B:$B,Load!G:G,0,)</f>
        <v>Large Multipack (More than 80 ct)</v>
      </c>
      <c r="G4024" t="str">
        <f>_xlfn.XLOOKUP($A4024,Load!$B:$B,Load!H:H,0,)</f>
        <v>Stand-Up Bag</v>
      </c>
      <c r="H4024" t="str">
        <f>_xlfn.XLOOKUP($A4024,Load!$B:$B,Load!I:I,0,)</f>
        <v>Everyday Candy Shapes (like Original, Gummy bear, Fruit, Jewels, etc.)</v>
      </c>
      <c r="I4024" t="str">
        <f>_xlfn.XLOOKUP($A4024,Load!$B:$B,Load!J:J,0,)</f>
        <v>Seasonal Graphics (Like Bat, Ghost, Pumpkin, Fall Leaves, Eyeballs, etc.)</v>
      </c>
      <c r="J4024" t="str">
        <f>_xlfn.XLOOKUP($A4024,Load!$B:$B,Load!K:K,0,)</f>
        <v>Fun Size / Treat Size</v>
      </c>
      <c r="K4024" t="str">
        <f>_xlfn.XLOOKUP($A4024,Load!$B:$B,Load!L:L,0,)</f>
        <v>Regular/Original Wrapping</v>
      </c>
      <c r="L4024" t="str">
        <f>_xlfn.XLOOKUP($A4024,Load!$B:$B,Load!M:M,0,)</f>
        <v>Multiple Brands / Variety Flavors or Form</v>
      </c>
    </row>
    <row r="4025" spans="1:12" x14ac:dyDescent="0.25">
      <c r="B4025">
        <f>_xlfn.XLOOKUP($A4025,Load!$B:$B,Load!C:C,0,)</f>
        <v>0</v>
      </c>
      <c r="C4025">
        <f>_xlfn.XLOOKUP($A4025,Load!$B:$B,Load!D:D,0,)</f>
        <v>0</v>
      </c>
      <c r="D4025">
        <f>_xlfn.XLOOKUP($A4025,Load!$B:$B,Load!E:E,0,)</f>
        <v>0</v>
      </c>
      <c r="E4025">
        <f>_xlfn.XLOOKUP($A4025,Load!$B:$B,Load!F:F,0,)</f>
        <v>0</v>
      </c>
      <c r="F4025">
        <f>_xlfn.XLOOKUP($A4025,Load!$B:$B,Load!G:G,0,)</f>
        <v>0</v>
      </c>
      <c r="G4025">
        <f>_xlfn.XLOOKUP($A4025,Load!$B:$B,Load!H:H,0,)</f>
        <v>0</v>
      </c>
      <c r="H4025">
        <f>_xlfn.XLOOKUP($A4025,Load!$B:$B,Load!I:I,0,)</f>
        <v>0</v>
      </c>
      <c r="I4025">
        <f>_xlfn.XLOOKUP($A4025,Load!$B:$B,Load!J:J,0,)</f>
        <v>0</v>
      </c>
      <c r="J4025">
        <f>_xlfn.XLOOKUP($A4025,Load!$B:$B,Load!K:K,0,)</f>
        <v>0</v>
      </c>
      <c r="K4025">
        <f>_xlfn.XLOOKUP($A4025,Load!$B:$B,Load!L:L,0,)</f>
        <v>0</v>
      </c>
      <c r="L4025">
        <f>_xlfn.XLOOKUP($A4025,Load!$B:$B,Load!M:M,0,)</f>
        <v>0</v>
      </c>
    </row>
    <row r="4026" spans="1:12" x14ac:dyDescent="0.25">
      <c r="A4026" t="s">
        <v>463</v>
      </c>
      <c r="B4026" t="str">
        <f>_xlfn.XLOOKUP($A4026,Load!$B:$B,Load!C:C,0,)</f>
        <v>Mars Variety Pack</v>
      </c>
      <c r="C4026" t="str">
        <f>_xlfn.XLOOKUP($A4026,Load!$B:$B,Load!D:D,0,)</f>
        <v>Mix of Chocolate and Non-Chocolate Candy</v>
      </c>
      <c r="D4026" t="str">
        <f>_xlfn.XLOOKUP($A4026,Load!$B:$B,Load!E:E,0,)</f>
        <v>Variety / Mixed Flavors (Fruity, Sour, Seasonal Flavors)</v>
      </c>
      <c r="E4026" t="str">
        <f>_xlfn.XLOOKUP($A4026,Load!$B:$B,Load!F:F,0,)</f>
        <v>Mixed / Combo Packs (Gummy, Chewy, Taffy, etc.)</v>
      </c>
      <c r="F4026" t="str">
        <f>_xlfn.XLOOKUP($A4026,Load!$B:$B,Load!G:G,0,)</f>
        <v>Medium Multipack (40–80 ct)</v>
      </c>
      <c r="G4026" t="str">
        <f>_xlfn.XLOOKUP($A4026,Load!$B:$B,Load!H:H,0,)</f>
        <v>Stand-Up Bag</v>
      </c>
      <c r="H4026" t="str">
        <f>_xlfn.XLOOKUP($A4026,Load!$B:$B,Load!I:I,0,)</f>
        <v>Everyday Candy Shapes (like Original, Gummy bear, Fruit, Jewels, etc.)</v>
      </c>
      <c r="I4026" t="str">
        <f>_xlfn.XLOOKUP($A4026,Load!$B:$B,Load!J:J,0,)</f>
        <v>Seasonal Graphics (Like Bat, Ghost, Pumpkin, Fall Leaves, Eyeballs, etc.)</v>
      </c>
      <c r="J4026" t="str">
        <f>_xlfn.XLOOKUP($A4026,Load!$B:$B,Load!K:K,0,)</f>
        <v>Fun Size / Treat Size</v>
      </c>
      <c r="K4026" t="str">
        <f>_xlfn.XLOOKUP($A4026,Load!$B:$B,Load!L:L,0,)</f>
        <v>Regular/Original Wrapping</v>
      </c>
      <c r="L4026" t="str">
        <f>_xlfn.XLOOKUP($A4026,Load!$B:$B,Load!M:M,0,)</f>
        <v>Multiple Brands / Variety Flavors or Form</v>
      </c>
    </row>
    <row r="4027" spans="1:12" x14ac:dyDescent="0.25">
      <c r="A4027" t="s">
        <v>204</v>
      </c>
      <c r="B4027" t="str">
        <f>_xlfn.XLOOKUP($A4027,Load!$B:$B,Load!C:C,0,)</f>
        <v>Mars Variety Pack</v>
      </c>
      <c r="C4027" t="str">
        <f>_xlfn.XLOOKUP($A4027,Load!$B:$B,Load!D:D,0,)</f>
        <v>Mix of Chocolate and Non-Chocolate Candy</v>
      </c>
      <c r="D4027" t="str">
        <f>_xlfn.XLOOKUP($A4027,Load!$B:$B,Load!E:E,0,)</f>
        <v>Variety / Mixed Flavors (Fruity, Sour, Seasonal Flavors)</v>
      </c>
      <c r="E4027" t="str">
        <f>_xlfn.XLOOKUP($A4027,Load!$B:$B,Load!F:F,0,)</f>
        <v>Mixed / Combo Packs (Gummy, Chewy, Taffy, etc.)</v>
      </c>
      <c r="F4027" t="str">
        <f>_xlfn.XLOOKUP($A4027,Load!$B:$B,Load!G:G,0,)</f>
        <v>Medium Multipack (40–80 ct)</v>
      </c>
      <c r="G4027" t="str">
        <f>_xlfn.XLOOKUP($A4027,Load!$B:$B,Load!H:H,0,)</f>
        <v>Stand-Up Bag</v>
      </c>
      <c r="H4027" t="str">
        <f>_xlfn.XLOOKUP($A4027,Load!$B:$B,Load!I:I,0,)</f>
        <v>Everyday Candy Shapes (like Original, Gummy bear, Fruit, Jewels, etc.)</v>
      </c>
      <c r="I4027" t="str">
        <f>_xlfn.XLOOKUP($A4027,Load!$B:$B,Load!J:J,0,)</f>
        <v>Everyday Graphics</v>
      </c>
      <c r="J4027" t="str">
        <f>_xlfn.XLOOKUP($A4027,Load!$B:$B,Load!K:K,0,)</f>
        <v>Fun Size / Treat Size</v>
      </c>
      <c r="K4027" t="str">
        <f>_xlfn.XLOOKUP($A4027,Load!$B:$B,Load!L:L,0,)</f>
        <v>Regular/Original Wrapping</v>
      </c>
      <c r="L4027" t="str">
        <f>_xlfn.XLOOKUP($A4027,Load!$B:$B,Load!M:M,0,)</f>
        <v>Multiple Brands / Variety Flavors or Form</v>
      </c>
    </row>
    <row r="4028" spans="1:12" x14ac:dyDescent="0.25">
      <c r="A4028" t="s">
        <v>283</v>
      </c>
      <c r="B4028" t="str">
        <f>_xlfn.XLOOKUP($A4028,Load!$B:$B,Load!C:C,0,)</f>
        <v>Sour Punch</v>
      </c>
      <c r="C4028" t="str">
        <f>_xlfn.XLOOKUP($A4028,Load!$B:$B,Load!D:D,0,)</f>
        <v>Non-Chocolate Candy Only</v>
      </c>
      <c r="D4028" t="str">
        <f>_xlfn.XLOOKUP($A4028,Load!$B:$B,Load!E:E,0,)</f>
        <v>Sour</v>
      </c>
      <c r="E4028" t="str">
        <f>_xlfn.XLOOKUP($A4028,Load!$B:$B,Load!F:F,0,)</f>
        <v>Chewy</v>
      </c>
      <c r="F4028" t="str">
        <f>_xlfn.XLOOKUP($A4028,Load!$B:$B,Load!G:G,0,)</f>
        <v>Large Multipack (More than 80 ct)</v>
      </c>
      <c r="G4028" t="str">
        <f>_xlfn.XLOOKUP($A4028,Load!$B:$B,Load!H:H,0,)</f>
        <v>Laydown Bag</v>
      </c>
      <c r="H4028" t="str">
        <f>_xlfn.XLOOKUP($A4028,Load!$B:$B,Load!I:I,0,)</f>
        <v>Seasonal Shapes (like pumpkins, candy corn, ghost, bats, etc.)</v>
      </c>
      <c r="I4028" t="str">
        <f>_xlfn.XLOOKUP($A4028,Load!$B:$B,Load!J:J,0,)</f>
        <v>Seasonal Graphics (Like Bat, Ghost, Pumpkin, Fall Leaves, Eyeballs, etc.)</v>
      </c>
      <c r="J4028" t="str">
        <f>_xlfn.XLOOKUP($A4028,Load!$B:$B,Load!K:K,0,)</f>
        <v>Small Pieces (Tiny bite size candies)</v>
      </c>
      <c r="K4028" t="str">
        <f>_xlfn.XLOOKUP($A4028,Load!$B:$B,Load!L:L,0,)</f>
        <v>Regular/Original Wrapping</v>
      </c>
      <c r="L4028" t="str">
        <f>_xlfn.XLOOKUP($A4028,Load!$B:$B,Load!M:M,0,)</f>
        <v>Single Brand / Variety Flavors or Form</v>
      </c>
    </row>
    <row r="4029" spans="1:12" x14ac:dyDescent="0.25">
      <c r="A4029" t="s">
        <v>171</v>
      </c>
      <c r="B4029" t="str">
        <f>_xlfn.XLOOKUP($A4029,Load!$B:$B,Load!C:C,0,)</f>
        <v>Mamba</v>
      </c>
      <c r="C4029" t="str">
        <f>_xlfn.XLOOKUP($A4029,Load!$B:$B,Load!D:D,0,)</f>
        <v>Non-Chocolate Candy Only</v>
      </c>
      <c r="D4029" t="str">
        <f>_xlfn.XLOOKUP($A4029,Load!$B:$B,Load!E:E,0,)</f>
        <v>Fruit Flavor (Cherry, Grape, Apple, Citrus, Tropical Fruit)</v>
      </c>
      <c r="E4029" t="str">
        <f>_xlfn.XLOOKUP($A4029,Load!$B:$B,Load!F:F,0,)</f>
        <v>Chewy</v>
      </c>
      <c r="F4029" t="str">
        <f>_xlfn.XLOOKUP($A4029,Load!$B:$B,Load!G:G,0,)</f>
        <v>Large Multipack (More than 80 ct)</v>
      </c>
      <c r="G4029" t="str">
        <f>_xlfn.XLOOKUP($A4029,Load!$B:$B,Load!H:H,0,)</f>
        <v>Stand-Up Bag</v>
      </c>
      <c r="H4029" t="str">
        <f>_xlfn.XLOOKUP($A4029,Load!$B:$B,Load!I:I,0,)</f>
        <v>Seasonal Shapes (like pumpkins, candy corn, ghost, bats, etc.)</v>
      </c>
      <c r="I4029" t="str">
        <f>_xlfn.XLOOKUP($A4029,Load!$B:$B,Load!J:J,0,)</f>
        <v>Seasonal Graphics (Like Bat, Ghost, Pumpkin, Fall Leaves, Eyeballs, etc.)</v>
      </c>
      <c r="J4029" t="str">
        <f>_xlfn.XLOOKUP($A4029,Load!$B:$B,Load!K:K,0,)</f>
        <v>Fun Size / Treat Size</v>
      </c>
      <c r="K4029" t="str">
        <f>_xlfn.XLOOKUP($A4029,Load!$B:$B,Load!L:L,0,)</f>
        <v>Regular/Original Wrapping</v>
      </c>
      <c r="L4029" t="str">
        <f>_xlfn.XLOOKUP($A4029,Load!$B:$B,Load!M:M,0,)</f>
        <v>Single Brand / Variety Flavors or Form</v>
      </c>
    </row>
    <row r="4030" spans="1:12" x14ac:dyDescent="0.25">
      <c r="A4030" t="s">
        <v>8</v>
      </c>
      <c r="B4030" t="str">
        <f>_xlfn.XLOOKUP($A4030,Load!$B:$B,Load!C:C,0,)</f>
        <v>Airheads</v>
      </c>
      <c r="C4030" t="str">
        <f>_xlfn.XLOOKUP($A4030,Load!$B:$B,Load!D:D,0,)</f>
        <v>Non-Chocolate Candy Only</v>
      </c>
      <c r="D4030" t="str">
        <f>_xlfn.XLOOKUP($A4030,Load!$B:$B,Load!E:E,0,)</f>
        <v>Fruit Flavor (Cherry, Grape, Apple, Citrus, Tropical Fruit)</v>
      </c>
      <c r="E4030" t="str">
        <f>_xlfn.XLOOKUP($A4030,Load!$B:$B,Load!F:F,0,)</f>
        <v>Chewy</v>
      </c>
      <c r="F4030" t="str">
        <f>_xlfn.XLOOKUP($A4030,Load!$B:$B,Load!G:G,0,)</f>
        <v>Small Multipack (Less than 40 ct)</v>
      </c>
      <c r="G4030" t="str">
        <f>_xlfn.XLOOKUP($A4030,Load!$B:$B,Load!H:H,0,)</f>
        <v>Laydown Bag</v>
      </c>
      <c r="H4030" t="str">
        <f>_xlfn.XLOOKUP($A4030,Load!$B:$B,Load!I:I,0,)</f>
        <v>Everyday Candy Shapes (like Original, Gummy bear, Fruit, Jewels, etc.)</v>
      </c>
      <c r="I4030" t="str">
        <f>_xlfn.XLOOKUP($A4030,Load!$B:$B,Load!J:J,0,)</f>
        <v>Everyday Graphics</v>
      </c>
      <c r="J4030" t="str">
        <f>_xlfn.XLOOKUP($A4030,Load!$B:$B,Load!K:K,0,)</f>
        <v>Fun Size / Treat Size</v>
      </c>
      <c r="K4030" t="str">
        <f>_xlfn.XLOOKUP($A4030,Load!$B:$B,Load!L:L,0,)</f>
        <v>Regular/Original Wrapping</v>
      </c>
      <c r="L4030" t="str">
        <f>_xlfn.XLOOKUP($A4030,Load!$B:$B,Load!M:M,0,)</f>
        <v>Single Brand / Variety Flavors or Form</v>
      </c>
    </row>
    <row r="4031" spans="1:12" x14ac:dyDescent="0.25">
      <c r="B4031">
        <f>_xlfn.XLOOKUP($A4031,Load!$B:$B,Load!C:C,0,)</f>
        <v>0</v>
      </c>
      <c r="C4031">
        <f>_xlfn.XLOOKUP($A4031,Load!$B:$B,Load!D:D,0,)</f>
        <v>0</v>
      </c>
      <c r="D4031">
        <f>_xlfn.XLOOKUP($A4031,Load!$B:$B,Load!E:E,0,)</f>
        <v>0</v>
      </c>
      <c r="E4031">
        <f>_xlfn.XLOOKUP($A4031,Load!$B:$B,Load!F:F,0,)</f>
        <v>0</v>
      </c>
      <c r="F4031">
        <f>_xlfn.XLOOKUP($A4031,Load!$B:$B,Load!G:G,0,)</f>
        <v>0</v>
      </c>
      <c r="G4031">
        <f>_xlfn.XLOOKUP($A4031,Load!$B:$B,Load!H:H,0,)</f>
        <v>0</v>
      </c>
      <c r="H4031">
        <f>_xlfn.XLOOKUP($A4031,Load!$B:$B,Load!I:I,0,)</f>
        <v>0</v>
      </c>
      <c r="I4031">
        <f>_xlfn.XLOOKUP($A4031,Load!$B:$B,Load!J:J,0,)</f>
        <v>0</v>
      </c>
      <c r="J4031">
        <f>_xlfn.XLOOKUP($A4031,Load!$B:$B,Load!K:K,0,)</f>
        <v>0</v>
      </c>
      <c r="K4031">
        <f>_xlfn.XLOOKUP($A4031,Load!$B:$B,Load!L:L,0,)</f>
        <v>0</v>
      </c>
      <c r="L4031">
        <f>_xlfn.XLOOKUP($A4031,Load!$B:$B,Load!M:M,0,)</f>
        <v>0</v>
      </c>
    </row>
    <row r="4032" spans="1:12" x14ac:dyDescent="0.25">
      <c r="A4032" t="s">
        <v>178</v>
      </c>
      <c r="B4032" t="str">
        <f>_xlfn.XLOOKUP($A4032,Load!$B:$B,Load!C:C,0,)</f>
        <v>Mars Variety Pack</v>
      </c>
      <c r="C4032" t="str">
        <f>_xlfn.XLOOKUP($A4032,Load!$B:$B,Load!D:D,0,)</f>
        <v>Mix of Chocolate and Non-Chocolate Candy</v>
      </c>
      <c r="D4032" t="str">
        <f>_xlfn.XLOOKUP($A4032,Load!$B:$B,Load!E:E,0,)</f>
        <v>Variety / Mixed Flavors (Fruity, Sour, Seasonal Flavors)</v>
      </c>
      <c r="E4032" t="str">
        <f>_xlfn.XLOOKUP($A4032,Load!$B:$B,Load!F:F,0,)</f>
        <v>Mixed / Combo Packs (Gummy, Chewy, Taffy, etc.)</v>
      </c>
      <c r="F4032" t="str">
        <f>_xlfn.XLOOKUP($A4032,Load!$B:$B,Load!G:G,0,)</f>
        <v>Small Multipack (Less than 40 ct)</v>
      </c>
      <c r="G4032" t="str">
        <f>_xlfn.XLOOKUP($A4032,Load!$B:$B,Load!H:H,0,)</f>
        <v>Laydown Bag</v>
      </c>
      <c r="H4032" t="str">
        <f>_xlfn.XLOOKUP($A4032,Load!$B:$B,Load!I:I,0,)</f>
        <v>Everyday Candy Shapes (like Original, Gummy bear, Fruit, Jewels, etc.)</v>
      </c>
      <c r="I4032" t="str">
        <f>_xlfn.XLOOKUP($A4032,Load!$B:$B,Load!J:J,0,)</f>
        <v>Seasonal Graphics (Like Bat, Ghost, Pumpkin, Fall Leaves, Eyeballs, etc.)</v>
      </c>
      <c r="J4032" t="str">
        <f>_xlfn.XLOOKUP($A4032,Load!$B:$B,Load!K:K,0,)</f>
        <v xml:space="preserve">Variety Candy Sizes </v>
      </c>
      <c r="K4032" t="str">
        <f>_xlfn.XLOOKUP($A4032,Load!$B:$B,Load!L:L,0,)</f>
        <v>Regular/Original Wrapping</v>
      </c>
      <c r="L4032" t="str">
        <f>_xlfn.XLOOKUP($A4032,Load!$B:$B,Load!M:M,0,)</f>
        <v>Multiple Brands / Variety Flavors or Form</v>
      </c>
    </row>
    <row r="4033" spans="1:12" x14ac:dyDescent="0.25">
      <c r="A4033" t="s">
        <v>136</v>
      </c>
      <c r="B4033" t="str">
        <f>_xlfn.XLOOKUP($A4033,Load!$B:$B,Load!C:C,0,)</f>
        <v>Hershey's Variety Pack + Haribo</v>
      </c>
      <c r="C4033" t="str">
        <f>_xlfn.XLOOKUP($A4033,Load!$B:$B,Load!D:D,0,)</f>
        <v>Non-Chocolate Candy Only</v>
      </c>
      <c r="D4033" t="str">
        <f>_xlfn.XLOOKUP($A4033,Load!$B:$B,Load!E:E,0,)</f>
        <v>Variety / Mixed Flavors (Fruity, Sour, Seasonal Flavors)</v>
      </c>
      <c r="E4033" t="str">
        <f>_xlfn.XLOOKUP($A4033,Load!$B:$B,Load!F:F,0,)</f>
        <v>Mixed / Combo Packs (Gummy, Chewy, Taffy, etc.)</v>
      </c>
      <c r="F4033" t="str">
        <f>_xlfn.XLOOKUP($A4033,Load!$B:$B,Load!G:G,0,)</f>
        <v>Medium Multipack (40–80 ct)</v>
      </c>
      <c r="G4033" t="str">
        <f>_xlfn.XLOOKUP($A4033,Load!$B:$B,Load!H:H,0,)</f>
        <v>Laydown Bag</v>
      </c>
      <c r="H4033" t="str">
        <f>_xlfn.XLOOKUP($A4033,Load!$B:$B,Load!I:I,0,)</f>
        <v>Everyday Candy Shapes (like Original, Gummy bear, Fruit, Jewels, etc.)</v>
      </c>
      <c r="I4033" t="str">
        <f>_xlfn.XLOOKUP($A4033,Load!$B:$B,Load!J:J,0,)</f>
        <v>Seasonal Graphics (Like Bat, Ghost, Pumpkin, Fall Leaves, Eyeballs, etc.)</v>
      </c>
      <c r="J4033" t="str">
        <f>_xlfn.XLOOKUP($A4033,Load!$B:$B,Load!K:K,0,)</f>
        <v xml:space="preserve">Variety Candy Sizes </v>
      </c>
      <c r="K4033" t="str">
        <f>_xlfn.XLOOKUP($A4033,Load!$B:$B,Load!L:L,0,)</f>
        <v>Regular/Original Wrapping</v>
      </c>
      <c r="L4033" t="str">
        <f>_xlfn.XLOOKUP($A4033,Load!$B:$B,Load!M:M,0,)</f>
        <v>Multiple Brands / Variety Flavors or Form</v>
      </c>
    </row>
    <row r="4034" spans="1:12" x14ac:dyDescent="0.25">
      <c r="A4034" t="s">
        <v>243</v>
      </c>
      <c r="B4034" t="str">
        <f>_xlfn.XLOOKUP($A4034,Load!$B:$B,Load!C:C,0,)</f>
        <v>Peeps</v>
      </c>
      <c r="C4034" t="str">
        <f>_xlfn.XLOOKUP($A4034,Load!$B:$B,Load!D:D,0,)</f>
        <v>Non-Chocolate Candy Only</v>
      </c>
      <c r="D4034" t="str">
        <f>_xlfn.XLOOKUP($A4034,Load!$B:$B,Load!E:E,0,)</f>
        <v>Fall / Seasonal Flavors (pumpkin spice, caramel apple, candy corn)</v>
      </c>
      <c r="E4034" t="str">
        <f>_xlfn.XLOOKUP($A4034,Load!$B:$B,Load!F:F,0,)</f>
        <v>Foamy / Aerated / Freeze Dried</v>
      </c>
      <c r="F4034" t="str">
        <f>_xlfn.XLOOKUP($A4034,Load!$B:$B,Load!G:G,0,)</f>
        <v>Single Pack</v>
      </c>
      <c r="G4034" t="str">
        <f>_xlfn.XLOOKUP($A4034,Load!$B:$B,Load!H:H,0,)</f>
        <v>Box (theatre box, gift box, carton)</v>
      </c>
      <c r="H4034" t="str">
        <f>_xlfn.XLOOKUP($A4034,Load!$B:$B,Load!I:I,0,)</f>
        <v>Seasonal Shapes (like pumpkins, candy corn, ghost, bats, etc.)</v>
      </c>
      <c r="I4034" t="str">
        <f>_xlfn.XLOOKUP($A4034,Load!$B:$B,Load!J:J,0,)</f>
        <v>Seasonal Graphics (Like Bat, Ghost, Pumpkin, Fall Leaves, Eyeballs, etc.)</v>
      </c>
      <c r="J4034" t="str">
        <f>_xlfn.XLOOKUP($A4034,Load!$B:$B,Load!K:K,0,)</f>
        <v>Fun Size / Treat Size</v>
      </c>
      <c r="K4034" t="str">
        <f>_xlfn.XLOOKUP($A4034,Load!$B:$B,Load!L:L,0,)</f>
        <v>Unwrapped</v>
      </c>
      <c r="L4034" t="str">
        <f>_xlfn.XLOOKUP($A4034,Load!$B:$B,Load!M:M,0,)</f>
        <v>Single Brand / Single Flavor or Form</v>
      </c>
    </row>
    <row r="4035" spans="1:12" x14ac:dyDescent="0.25">
      <c r="A4035" t="s">
        <v>291</v>
      </c>
      <c r="B4035" t="str">
        <f>_xlfn.XLOOKUP($A4035,Load!$B:$B,Load!C:C,0,)</f>
        <v>Tootsie</v>
      </c>
      <c r="C4035" t="str">
        <f>_xlfn.XLOOKUP($A4035,Load!$B:$B,Load!D:D,0,)</f>
        <v>Non-Chocolate Candy Only</v>
      </c>
      <c r="D4035" t="str">
        <f>_xlfn.XLOOKUP($A4035,Load!$B:$B,Load!E:E,0,)</f>
        <v>Fall / Seasonal Flavors (pumpkin spice, caramel apple, candy corn)</v>
      </c>
      <c r="E4035" t="str">
        <f>_xlfn.XLOOKUP($A4035,Load!$B:$B,Load!F:F,0,)</f>
        <v>Lollipop (regular or lollipop rings)</v>
      </c>
      <c r="F4035" t="str">
        <f>_xlfn.XLOOKUP($A4035,Load!$B:$B,Load!G:G,0,)</f>
        <v>Single Pack</v>
      </c>
      <c r="G4035" t="str">
        <f>_xlfn.XLOOKUP($A4035,Load!$B:$B,Load!H:H,0,)</f>
        <v>Laydown Bag</v>
      </c>
      <c r="H4035" t="str">
        <f>_xlfn.XLOOKUP($A4035,Load!$B:$B,Load!I:I,0,)</f>
        <v>Seasonal Shapes (like pumpkins, candy corn, ghost, bats, etc.)</v>
      </c>
      <c r="I4035" t="str">
        <f>_xlfn.XLOOKUP($A4035,Load!$B:$B,Load!J:J,0,)</f>
        <v>Seasonal Graphics (Like Bat, Ghost, Pumpkin, Fall Leaves, Eyeballs, etc.)</v>
      </c>
      <c r="J4035" t="str">
        <f>_xlfn.XLOOKUP($A4035,Load!$B:$B,Load!K:K,0,)</f>
        <v>Regular Lollipop size (on sticks or rings)</v>
      </c>
      <c r="K4035" t="str">
        <f>_xlfn.XLOOKUP($A4035,Load!$B:$B,Load!L:L,0,)</f>
        <v>Regular/Original Wrapping</v>
      </c>
      <c r="L4035" t="str">
        <f>_xlfn.XLOOKUP($A4035,Load!$B:$B,Load!M:M,0,)</f>
        <v>Single Brand / Single Flavor or Form</v>
      </c>
    </row>
    <row r="4036" spans="1:12" x14ac:dyDescent="0.25">
      <c r="B4036">
        <f>_xlfn.XLOOKUP($A4036,Load!$B:$B,Load!C:C,0,)</f>
        <v>0</v>
      </c>
      <c r="C4036">
        <f>_xlfn.XLOOKUP($A4036,Load!$B:$B,Load!D:D,0,)</f>
        <v>0</v>
      </c>
      <c r="D4036">
        <f>_xlfn.XLOOKUP($A4036,Load!$B:$B,Load!E:E,0,)</f>
        <v>0</v>
      </c>
      <c r="E4036">
        <f>_xlfn.XLOOKUP($A4036,Load!$B:$B,Load!F:F,0,)</f>
        <v>0</v>
      </c>
      <c r="F4036">
        <f>_xlfn.XLOOKUP($A4036,Load!$B:$B,Load!G:G,0,)</f>
        <v>0</v>
      </c>
      <c r="G4036">
        <f>_xlfn.XLOOKUP($A4036,Load!$B:$B,Load!H:H,0,)</f>
        <v>0</v>
      </c>
      <c r="H4036">
        <f>_xlfn.XLOOKUP($A4036,Load!$B:$B,Load!I:I,0,)</f>
        <v>0</v>
      </c>
      <c r="I4036">
        <f>_xlfn.XLOOKUP($A4036,Load!$B:$B,Load!J:J,0,)</f>
        <v>0</v>
      </c>
      <c r="J4036">
        <f>_xlfn.XLOOKUP($A4036,Load!$B:$B,Load!K:K,0,)</f>
        <v>0</v>
      </c>
      <c r="K4036">
        <f>_xlfn.XLOOKUP($A4036,Load!$B:$B,Load!L:L,0,)</f>
        <v>0</v>
      </c>
      <c r="L4036">
        <f>_xlfn.XLOOKUP($A4036,Load!$B:$B,Load!M:M,0,)</f>
        <v>0</v>
      </c>
    </row>
    <row r="4037" spans="1:12" x14ac:dyDescent="0.25">
      <c r="B4037">
        <f>_xlfn.XLOOKUP($A4037,Load!$B:$B,Load!C:C,0,)</f>
        <v>0</v>
      </c>
      <c r="C4037">
        <f>_xlfn.XLOOKUP($A4037,Load!$B:$B,Load!D:D,0,)</f>
        <v>0</v>
      </c>
      <c r="D4037">
        <f>_xlfn.XLOOKUP($A4037,Load!$B:$B,Load!E:E,0,)</f>
        <v>0</v>
      </c>
      <c r="E4037">
        <f>_xlfn.XLOOKUP($A4037,Load!$B:$B,Load!F:F,0,)</f>
        <v>0</v>
      </c>
      <c r="F4037">
        <f>_xlfn.XLOOKUP($A4037,Load!$B:$B,Load!G:G,0,)</f>
        <v>0</v>
      </c>
      <c r="G4037">
        <f>_xlfn.XLOOKUP($A4037,Load!$B:$B,Load!H:H,0,)</f>
        <v>0</v>
      </c>
      <c r="H4037">
        <f>_xlfn.XLOOKUP($A4037,Load!$B:$B,Load!I:I,0,)</f>
        <v>0</v>
      </c>
      <c r="I4037">
        <f>_xlfn.XLOOKUP($A4037,Load!$B:$B,Load!J:J,0,)</f>
        <v>0</v>
      </c>
      <c r="J4037">
        <f>_xlfn.XLOOKUP($A4037,Load!$B:$B,Load!K:K,0,)</f>
        <v>0</v>
      </c>
      <c r="K4037">
        <f>_xlfn.XLOOKUP($A4037,Load!$B:$B,Load!L:L,0,)</f>
        <v>0</v>
      </c>
      <c r="L4037">
        <f>_xlfn.XLOOKUP($A4037,Load!$B:$B,Load!M:M,0,)</f>
        <v>0</v>
      </c>
    </row>
    <row r="4038" spans="1:12" x14ac:dyDescent="0.25">
      <c r="A4038" t="s">
        <v>169</v>
      </c>
      <c r="B4038" t="str">
        <f>_xlfn.XLOOKUP($A4038,Load!$B:$B,Load!C:C,0,)</f>
        <v>Laffy Taffy</v>
      </c>
      <c r="C4038" t="str">
        <f>_xlfn.XLOOKUP($A4038,Load!$B:$B,Load!D:D,0,)</f>
        <v>Non-Chocolate Candy Only</v>
      </c>
      <c r="D4038" t="str">
        <f>_xlfn.XLOOKUP($A4038,Load!$B:$B,Load!E:E,0,)</f>
        <v>Fruit Flavor (Cherry, Grape, Apple, Citrus, Tropical Fruit)</v>
      </c>
      <c r="E4038" t="str">
        <f>_xlfn.XLOOKUP($A4038,Load!$B:$B,Load!F:F,0,)</f>
        <v>Taffy</v>
      </c>
      <c r="F4038" t="str">
        <f>_xlfn.XLOOKUP($A4038,Load!$B:$B,Load!G:G,0,)</f>
        <v>Small Multipack (Less than 40 ct)</v>
      </c>
      <c r="G4038" t="str">
        <f>_xlfn.XLOOKUP($A4038,Load!$B:$B,Load!H:H,0,)</f>
        <v>Laydown Bag</v>
      </c>
      <c r="H4038" t="str">
        <f>_xlfn.XLOOKUP($A4038,Load!$B:$B,Load!I:I,0,)</f>
        <v>Everyday Candy Shapes (like Original, Gummy bear, Fruit, Jewels, etc.)</v>
      </c>
      <c r="I4038" t="str">
        <f>_xlfn.XLOOKUP($A4038,Load!$B:$B,Load!J:J,0,)</f>
        <v>Everyday Graphics</v>
      </c>
      <c r="J4038" t="str">
        <f>_xlfn.XLOOKUP($A4038,Load!$B:$B,Load!K:K,0,)</f>
        <v>Fun Size / Treat Size</v>
      </c>
      <c r="K4038" t="str">
        <f>_xlfn.XLOOKUP($A4038,Load!$B:$B,Load!L:L,0,)</f>
        <v>Regular/Original Wrapping</v>
      </c>
      <c r="L4038" t="str">
        <f>_xlfn.XLOOKUP($A4038,Load!$B:$B,Load!M:M,0,)</f>
        <v>Single Brand / Variety Flavors or Form</v>
      </c>
    </row>
    <row r="4039" spans="1:12" x14ac:dyDescent="0.25">
      <c r="A4039" t="s">
        <v>10</v>
      </c>
      <c r="B4039" t="str">
        <f>_xlfn.XLOOKUP($A4039,Load!$B:$B,Load!C:C,0,)</f>
        <v>Airheads</v>
      </c>
      <c r="C4039" t="str">
        <f>_xlfn.XLOOKUP($A4039,Load!$B:$B,Load!D:D,0,)</f>
        <v>Non-Chocolate Candy Only</v>
      </c>
      <c r="D4039" t="str">
        <f>_xlfn.XLOOKUP($A4039,Load!$B:$B,Load!E:E,0,)</f>
        <v>Fruit Flavor (Cherry, Grape, Apple, Citrus, Tropical Fruit)</v>
      </c>
      <c r="E4039" t="str">
        <f>_xlfn.XLOOKUP($A4039,Load!$B:$B,Load!F:F,0,)</f>
        <v>Chewy</v>
      </c>
      <c r="F4039" t="str">
        <f>_xlfn.XLOOKUP($A4039,Load!$B:$B,Load!G:G,0,)</f>
        <v>Small Multipack (Less than 40 ct)</v>
      </c>
      <c r="G4039" t="str">
        <f>_xlfn.XLOOKUP($A4039,Load!$B:$B,Load!H:H,0,)</f>
        <v>Laydown Bag</v>
      </c>
      <c r="H4039" t="str">
        <f>_xlfn.XLOOKUP($A4039,Load!$B:$B,Load!I:I,0,)</f>
        <v>Everyday Candy Shapes (like Original, Gummy bear, Fruit, Jewels, etc.)</v>
      </c>
      <c r="I4039" t="str">
        <f>_xlfn.XLOOKUP($A4039,Load!$B:$B,Load!J:J,0,)</f>
        <v>Everyday Graphics</v>
      </c>
      <c r="J4039" t="str">
        <f>_xlfn.XLOOKUP($A4039,Load!$B:$B,Load!K:K,0,)</f>
        <v>Fun Size / Treat Size</v>
      </c>
      <c r="K4039" t="str">
        <f>_xlfn.XLOOKUP($A4039,Load!$B:$B,Load!L:L,0,)</f>
        <v>Regular/Original Wrapping</v>
      </c>
      <c r="L4039" t="str">
        <f>_xlfn.XLOOKUP($A4039,Load!$B:$B,Load!M:M,0,)</f>
        <v>Single Brand / Variety Flavors or Form</v>
      </c>
    </row>
    <row r="4040" spans="1:12" x14ac:dyDescent="0.25">
      <c r="A4040" t="s">
        <v>170</v>
      </c>
      <c r="B4040" t="str">
        <f>_xlfn.XLOOKUP($A4040,Load!$B:$B,Load!C:C,0,)</f>
        <v>Laffy Taffy</v>
      </c>
      <c r="C4040" t="str">
        <f>_xlfn.XLOOKUP($A4040,Load!$B:$B,Load!D:D,0,)</f>
        <v>Non-Chocolate Candy Only</v>
      </c>
      <c r="D4040" t="str">
        <f>_xlfn.XLOOKUP($A4040,Load!$B:$B,Load!E:E,0,)</f>
        <v>Fruit Flavor (Cherry, Grape, Apple, Citrus, Tropical Fruit)</v>
      </c>
      <c r="E4040" t="str">
        <f>_xlfn.XLOOKUP($A4040,Load!$B:$B,Load!F:F,0,)</f>
        <v>Taffy</v>
      </c>
      <c r="F4040" t="str">
        <f>_xlfn.XLOOKUP($A4040,Load!$B:$B,Load!G:G,0,)</f>
        <v>Large Multipack (More than 80 ct)</v>
      </c>
      <c r="G4040" t="str">
        <f>_xlfn.XLOOKUP($A4040,Load!$B:$B,Load!H:H,0,)</f>
        <v>Stand-Up Bag</v>
      </c>
      <c r="H4040" t="str">
        <f>_xlfn.XLOOKUP($A4040,Load!$B:$B,Load!I:I,0,)</f>
        <v>Everyday Candy Shapes (like Original, Gummy bear, Fruit, Jewels, etc.)</v>
      </c>
      <c r="I4040" t="str">
        <f>_xlfn.XLOOKUP($A4040,Load!$B:$B,Load!J:J,0,)</f>
        <v>Everyday Graphics</v>
      </c>
      <c r="J4040" t="str">
        <f>_xlfn.XLOOKUP($A4040,Load!$B:$B,Load!K:K,0,)</f>
        <v>Fun Size / Treat Size</v>
      </c>
      <c r="K4040" t="str">
        <f>_xlfn.XLOOKUP($A4040,Load!$B:$B,Load!L:L,0,)</f>
        <v>Regular/Original Wrapping</v>
      </c>
      <c r="L4040" t="str">
        <f>_xlfn.XLOOKUP($A4040,Load!$B:$B,Load!M:M,0,)</f>
        <v>Single Brand / Variety Flavors or Form</v>
      </c>
    </row>
    <row r="4041" spans="1:12" x14ac:dyDescent="0.25">
      <c r="A4041" t="s">
        <v>161</v>
      </c>
      <c r="B4041" t="str">
        <f>_xlfn.XLOOKUP($A4041,Load!$B:$B,Load!C:C,0,)</f>
        <v>Jolly Rancher</v>
      </c>
      <c r="C4041" t="str">
        <f>_xlfn.XLOOKUP($A4041,Load!$B:$B,Load!D:D,0,)</f>
        <v>Non-Chocolate Candy Only</v>
      </c>
      <c r="D4041" t="str">
        <f>_xlfn.XLOOKUP($A4041,Load!$B:$B,Load!E:E,0,)</f>
        <v>Variety / Mixed Flavors (Fruity, Sour, Seasonal Flavors)</v>
      </c>
      <c r="E4041" t="str">
        <f>_xlfn.XLOOKUP($A4041,Load!$B:$B,Load!F:F,0,)</f>
        <v>Mixed / Combo Packs (Gummy, Chewy, Taffy, etc.)</v>
      </c>
      <c r="F4041" t="str">
        <f>_xlfn.XLOOKUP($A4041,Load!$B:$B,Load!G:G,0,)</f>
        <v>Large Multipack (More than 80 ct)</v>
      </c>
      <c r="G4041" t="str">
        <f>_xlfn.XLOOKUP($A4041,Load!$B:$B,Load!H:H,0,)</f>
        <v>Stand-Up Bag</v>
      </c>
      <c r="H4041" t="str">
        <f>_xlfn.XLOOKUP($A4041,Load!$B:$B,Load!I:I,0,)</f>
        <v>Everyday Candy Shapes (like Original, Gummy bear, Fruit, Jewels, etc.)</v>
      </c>
      <c r="I4041" t="str">
        <f>_xlfn.XLOOKUP($A4041,Load!$B:$B,Load!J:J,0,)</f>
        <v>Seasonal Graphics (Like Bat, Ghost, Pumpkin, Fall Leaves, Eyeballs, etc.)</v>
      </c>
      <c r="J4041" t="str">
        <f>_xlfn.XLOOKUP($A4041,Load!$B:$B,Load!K:K,0,)</f>
        <v xml:space="preserve">Variety Candy Sizes </v>
      </c>
      <c r="K4041" t="str">
        <f>_xlfn.XLOOKUP($A4041,Load!$B:$B,Load!L:L,0,)</f>
        <v>Regular/Original Wrapping</v>
      </c>
      <c r="L4041" t="str">
        <f>_xlfn.XLOOKUP($A4041,Load!$B:$B,Load!M:M,0,)</f>
        <v>Single Brand / Variety Flavors or Form</v>
      </c>
    </row>
    <row r="4042" spans="1:12" x14ac:dyDescent="0.25">
      <c r="B4042">
        <f>_xlfn.XLOOKUP($A4042,Load!$B:$B,Load!C:C,0,)</f>
        <v>0</v>
      </c>
      <c r="C4042">
        <f>_xlfn.XLOOKUP($A4042,Load!$B:$B,Load!D:D,0,)</f>
        <v>0</v>
      </c>
      <c r="D4042">
        <f>_xlfn.XLOOKUP($A4042,Load!$B:$B,Load!E:E,0,)</f>
        <v>0</v>
      </c>
      <c r="E4042">
        <f>_xlfn.XLOOKUP($A4042,Load!$B:$B,Load!F:F,0,)</f>
        <v>0</v>
      </c>
      <c r="F4042">
        <f>_xlfn.XLOOKUP($A4042,Load!$B:$B,Load!G:G,0,)</f>
        <v>0</v>
      </c>
      <c r="G4042">
        <f>_xlfn.XLOOKUP($A4042,Load!$B:$B,Load!H:H,0,)</f>
        <v>0</v>
      </c>
      <c r="H4042">
        <f>_xlfn.XLOOKUP($A4042,Load!$B:$B,Load!I:I,0,)</f>
        <v>0</v>
      </c>
      <c r="I4042">
        <f>_xlfn.XLOOKUP($A4042,Load!$B:$B,Load!J:J,0,)</f>
        <v>0</v>
      </c>
      <c r="J4042">
        <f>_xlfn.XLOOKUP($A4042,Load!$B:$B,Load!K:K,0,)</f>
        <v>0</v>
      </c>
      <c r="K4042">
        <f>_xlfn.XLOOKUP($A4042,Load!$B:$B,Load!L:L,0,)</f>
        <v>0</v>
      </c>
      <c r="L4042">
        <f>_xlfn.XLOOKUP($A4042,Load!$B:$B,Load!M:M,0,)</f>
        <v>0</v>
      </c>
    </row>
    <row r="4043" spans="1:12" x14ac:dyDescent="0.25">
      <c r="B4043">
        <f>_xlfn.XLOOKUP($A4043,Load!$B:$B,Load!C:C,0,)</f>
        <v>0</v>
      </c>
      <c r="C4043">
        <f>_xlfn.XLOOKUP($A4043,Load!$B:$B,Load!D:D,0,)</f>
        <v>0</v>
      </c>
      <c r="D4043">
        <f>_xlfn.XLOOKUP($A4043,Load!$B:$B,Load!E:E,0,)</f>
        <v>0</v>
      </c>
      <c r="E4043">
        <f>_xlfn.XLOOKUP($A4043,Load!$B:$B,Load!F:F,0,)</f>
        <v>0</v>
      </c>
      <c r="F4043">
        <f>_xlfn.XLOOKUP($A4043,Load!$B:$B,Load!G:G,0,)</f>
        <v>0</v>
      </c>
      <c r="G4043">
        <f>_xlfn.XLOOKUP($A4043,Load!$B:$B,Load!H:H,0,)</f>
        <v>0</v>
      </c>
      <c r="H4043">
        <f>_xlfn.XLOOKUP($A4043,Load!$B:$B,Load!I:I,0,)</f>
        <v>0</v>
      </c>
      <c r="I4043">
        <f>_xlfn.XLOOKUP($A4043,Load!$B:$B,Load!J:J,0,)</f>
        <v>0</v>
      </c>
      <c r="J4043">
        <f>_xlfn.XLOOKUP($A4043,Load!$B:$B,Load!K:K,0,)</f>
        <v>0</v>
      </c>
      <c r="K4043">
        <f>_xlfn.XLOOKUP($A4043,Load!$B:$B,Load!L:L,0,)</f>
        <v>0</v>
      </c>
      <c r="L4043">
        <f>_xlfn.XLOOKUP($A4043,Load!$B:$B,Load!M:M,0,)</f>
        <v>0</v>
      </c>
    </row>
    <row r="4044" spans="1:12" x14ac:dyDescent="0.25">
      <c r="A4044" t="s">
        <v>463</v>
      </c>
      <c r="B4044" t="str">
        <f>_xlfn.XLOOKUP($A4044,Load!$B:$B,Load!C:C,0,)</f>
        <v>Mars Variety Pack</v>
      </c>
      <c r="C4044" t="str">
        <f>_xlfn.XLOOKUP($A4044,Load!$B:$B,Load!D:D,0,)</f>
        <v>Mix of Chocolate and Non-Chocolate Candy</v>
      </c>
      <c r="D4044" t="str">
        <f>_xlfn.XLOOKUP($A4044,Load!$B:$B,Load!E:E,0,)</f>
        <v>Variety / Mixed Flavors (Fruity, Sour, Seasonal Flavors)</v>
      </c>
      <c r="E4044" t="str">
        <f>_xlfn.XLOOKUP($A4044,Load!$B:$B,Load!F:F,0,)</f>
        <v>Mixed / Combo Packs (Gummy, Chewy, Taffy, etc.)</v>
      </c>
      <c r="F4044" t="str">
        <f>_xlfn.XLOOKUP($A4044,Load!$B:$B,Load!G:G,0,)</f>
        <v>Medium Multipack (40–80 ct)</v>
      </c>
      <c r="G4044" t="str">
        <f>_xlfn.XLOOKUP($A4044,Load!$B:$B,Load!H:H,0,)</f>
        <v>Stand-Up Bag</v>
      </c>
      <c r="H4044" t="str">
        <f>_xlfn.XLOOKUP($A4044,Load!$B:$B,Load!I:I,0,)</f>
        <v>Everyday Candy Shapes (like Original, Gummy bear, Fruit, Jewels, etc.)</v>
      </c>
      <c r="I4044" t="str">
        <f>_xlfn.XLOOKUP($A4044,Load!$B:$B,Load!J:J,0,)</f>
        <v>Seasonal Graphics (Like Bat, Ghost, Pumpkin, Fall Leaves, Eyeballs, etc.)</v>
      </c>
      <c r="J4044" t="str">
        <f>_xlfn.XLOOKUP($A4044,Load!$B:$B,Load!K:K,0,)</f>
        <v>Fun Size / Treat Size</v>
      </c>
      <c r="K4044" t="str">
        <f>_xlfn.XLOOKUP($A4044,Load!$B:$B,Load!L:L,0,)</f>
        <v>Regular/Original Wrapping</v>
      </c>
      <c r="L4044" t="str">
        <f>_xlfn.XLOOKUP($A4044,Load!$B:$B,Load!M:M,0,)</f>
        <v>Multiple Brands / Variety Flavors or Form</v>
      </c>
    </row>
    <row r="4045" spans="1:12" x14ac:dyDescent="0.25">
      <c r="B4045">
        <f>_xlfn.XLOOKUP($A4045,Load!$B:$B,Load!C:C,0,)</f>
        <v>0</v>
      </c>
      <c r="C4045">
        <f>_xlfn.XLOOKUP($A4045,Load!$B:$B,Load!D:D,0,)</f>
        <v>0</v>
      </c>
      <c r="D4045">
        <f>_xlfn.XLOOKUP($A4045,Load!$B:$B,Load!E:E,0,)</f>
        <v>0</v>
      </c>
      <c r="E4045">
        <f>_xlfn.XLOOKUP($A4045,Load!$B:$B,Load!F:F,0,)</f>
        <v>0</v>
      </c>
      <c r="F4045">
        <f>_xlfn.XLOOKUP($A4045,Load!$B:$B,Load!G:G,0,)</f>
        <v>0</v>
      </c>
      <c r="G4045">
        <f>_xlfn.XLOOKUP($A4045,Load!$B:$B,Load!H:H,0,)</f>
        <v>0</v>
      </c>
      <c r="H4045">
        <f>_xlfn.XLOOKUP($A4045,Load!$B:$B,Load!I:I,0,)</f>
        <v>0</v>
      </c>
      <c r="I4045">
        <f>_xlfn.XLOOKUP($A4045,Load!$B:$B,Load!J:J,0,)</f>
        <v>0</v>
      </c>
      <c r="J4045">
        <f>_xlfn.XLOOKUP($A4045,Load!$B:$B,Load!K:K,0,)</f>
        <v>0</v>
      </c>
      <c r="K4045">
        <f>_xlfn.XLOOKUP($A4045,Load!$B:$B,Load!L:L,0,)</f>
        <v>0</v>
      </c>
      <c r="L4045">
        <f>_xlfn.XLOOKUP($A4045,Load!$B:$B,Load!M:M,0,)</f>
        <v>0</v>
      </c>
    </row>
    <row r="4046" spans="1:12" x14ac:dyDescent="0.25">
      <c r="A4046" t="s">
        <v>221</v>
      </c>
      <c r="B4046" t="str">
        <f>_xlfn.XLOOKUP($A4046,Load!$B:$B,Load!C:C,0,)</f>
        <v>Hershey's Variety Pack + Haribo</v>
      </c>
      <c r="C4046" t="str">
        <f>_xlfn.XLOOKUP($A4046,Load!$B:$B,Load!D:D,0,)</f>
        <v>Mix of Chocolate and Non-Chocolate Candy</v>
      </c>
      <c r="D4046" t="str">
        <f>_xlfn.XLOOKUP($A4046,Load!$B:$B,Load!E:E,0,)</f>
        <v>Variety / Mixed Flavors (Fruity, Sour, Seasonal Flavors)</v>
      </c>
      <c r="E4046" t="str">
        <f>_xlfn.XLOOKUP($A4046,Load!$B:$B,Load!F:F,0,)</f>
        <v>Mixed / Combo Packs (Gummy, Chewy, Taffy, etc.)</v>
      </c>
      <c r="F4046" t="str">
        <f>_xlfn.XLOOKUP($A4046,Load!$B:$B,Load!G:G,0,)</f>
        <v>Large Multipack (More than 80 ct)</v>
      </c>
      <c r="G4046" t="str">
        <f>_xlfn.XLOOKUP($A4046,Load!$B:$B,Load!H:H,0,)</f>
        <v>Stand-Up Bag</v>
      </c>
      <c r="H4046" t="str">
        <f>_xlfn.XLOOKUP($A4046,Load!$B:$B,Load!I:I,0,)</f>
        <v>Everyday Candy Shapes (like Original, Gummy bear, Fruit, Jewels, etc.)</v>
      </c>
      <c r="I4046" t="str">
        <f>_xlfn.XLOOKUP($A4046,Load!$B:$B,Load!J:J,0,)</f>
        <v>Seasonal Graphics (Like Bat, Ghost, Pumpkin, Fall Leaves, Eyeballs, etc.)</v>
      </c>
      <c r="J4046" t="str">
        <f>_xlfn.XLOOKUP($A4046,Load!$B:$B,Load!K:K,0,)</f>
        <v xml:space="preserve">Variety Candy Sizes </v>
      </c>
      <c r="K4046" t="str">
        <f>_xlfn.XLOOKUP($A4046,Load!$B:$B,Load!L:L,0,)</f>
        <v>Regular/Original Wrapping</v>
      </c>
      <c r="L4046" t="str">
        <f>_xlfn.XLOOKUP($A4046,Load!$B:$B,Load!M:M,0,)</f>
        <v>Multiple Brands / Variety Flavors or Form</v>
      </c>
    </row>
    <row r="4047" spans="1:12" x14ac:dyDescent="0.25">
      <c r="B4047">
        <f>_xlfn.XLOOKUP($A4047,Load!$B:$B,Load!C:C,0,)</f>
        <v>0</v>
      </c>
      <c r="C4047">
        <f>_xlfn.XLOOKUP($A4047,Load!$B:$B,Load!D:D,0,)</f>
        <v>0</v>
      </c>
      <c r="D4047">
        <f>_xlfn.XLOOKUP($A4047,Load!$B:$B,Load!E:E,0,)</f>
        <v>0</v>
      </c>
      <c r="E4047">
        <f>_xlfn.XLOOKUP($A4047,Load!$B:$B,Load!F:F,0,)</f>
        <v>0</v>
      </c>
      <c r="F4047">
        <f>_xlfn.XLOOKUP($A4047,Load!$B:$B,Load!G:G,0,)</f>
        <v>0</v>
      </c>
      <c r="G4047">
        <f>_xlfn.XLOOKUP($A4047,Load!$B:$B,Load!H:H,0,)</f>
        <v>0</v>
      </c>
      <c r="H4047">
        <f>_xlfn.XLOOKUP($A4047,Load!$B:$B,Load!I:I,0,)</f>
        <v>0</v>
      </c>
      <c r="I4047">
        <f>_xlfn.XLOOKUP($A4047,Load!$B:$B,Load!J:J,0,)</f>
        <v>0</v>
      </c>
      <c r="J4047">
        <f>_xlfn.XLOOKUP($A4047,Load!$B:$B,Load!K:K,0,)</f>
        <v>0</v>
      </c>
      <c r="K4047">
        <f>_xlfn.XLOOKUP($A4047,Load!$B:$B,Load!L:L,0,)</f>
        <v>0</v>
      </c>
      <c r="L4047">
        <f>_xlfn.XLOOKUP($A4047,Load!$B:$B,Load!M:M,0,)</f>
        <v>0</v>
      </c>
    </row>
    <row r="4048" spans="1:12" x14ac:dyDescent="0.25">
      <c r="A4048" t="s">
        <v>237</v>
      </c>
      <c r="B4048" t="str">
        <f>_xlfn.XLOOKUP($A4048,Load!$B:$B,Load!C:C,0,)</f>
        <v>Now &amp; Later</v>
      </c>
      <c r="C4048" t="str">
        <f>_xlfn.XLOOKUP($A4048,Load!$B:$B,Load!D:D,0,)</f>
        <v>Non-Chocolate Candy Only</v>
      </c>
      <c r="D4048" t="str">
        <f>_xlfn.XLOOKUP($A4048,Load!$B:$B,Load!E:E,0,)</f>
        <v>Fruit Flavor (Cherry, Grape, Apple, Citrus, Tropical Fruit)</v>
      </c>
      <c r="E4048" t="str">
        <f>_xlfn.XLOOKUP($A4048,Load!$B:$B,Load!F:F,0,)</f>
        <v>Chewy</v>
      </c>
      <c r="F4048" t="str">
        <f>_xlfn.XLOOKUP($A4048,Load!$B:$B,Load!G:G,0,)</f>
        <v>Medium Multipack (40–80 ct)</v>
      </c>
      <c r="G4048" t="str">
        <f>_xlfn.XLOOKUP($A4048,Load!$B:$B,Load!H:H,0,)</f>
        <v>Laydown Bag</v>
      </c>
      <c r="H4048" t="str">
        <f>_xlfn.XLOOKUP($A4048,Load!$B:$B,Load!I:I,0,)</f>
        <v>Everyday Candy Shapes (like Original, Gummy bear, Fruit, Jewels, etc.)</v>
      </c>
      <c r="I4048" t="str">
        <f>_xlfn.XLOOKUP($A4048,Load!$B:$B,Load!J:J,0,)</f>
        <v>Seasonal Graphics (Like Bat, Ghost, Pumpkin, Fall Leaves, Eyeballs, etc.)</v>
      </c>
      <c r="J4048" t="str">
        <f>_xlfn.XLOOKUP($A4048,Load!$B:$B,Load!K:K,0,)</f>
        <v>Small Pieces (Tiny bite size candies)</v>
      </c>
      <c r="K4048" t="str">
        <f>_xlfn.XLOOKUP($A4048,Load!$B:$B,Load!L:L,0,)</f>
        <v>Regular/Original Wrapping</v>
      </c>
      <c r="L4048" t="str">
        <f>_xlfn.XLOOKUP($A4048,Load!$B:$B,Load!M:M,0,)</f>
        <v>Single Brand / Variety Flavors or Form</v>
      </c>
    </row>
    <row r="4049" spans="1:12" x14ac:dyDescent="0.25">
      <c r="B4049">
        <f>_xlfn.XLOOKUP($A4049,Load!$B:$B,Load!C:C,0,)</f>
        <v>0</v>
      </c>
      <c r="C4049">
        <f>_xlfn.XLOOKUP($A4049,Load!$B:$B,Load!D:D,0,)</f>
        <v>0</v>
      </c>
      <c r="D4049">
        <f>_xlfn.XLOOKUP($A4049,Load!$B:$B,Load!E:E,0,)</f>
        <v>0</v>
      </c>
      <c r="E4049">
        <f>_xlfn.XLOOKUP($A4049,Load!$B:$B,Load!F:F,0,)</f>
        <v>0</v>
      </c>
      <c r="F4049">
        <f>_xlfn.XLOOKUP($A4049,Load!$B:$B,Load!G:G,0,)</f>
        <v>0</v>
      </c>
      <c r="G4049">
        <f>_xlfn.XLOOKUP($A4049,Load!$B:$B,Load!H:H,0,)</f>
        <v>0</v>
      </c>
      <c r="H4049">
        <f>_xlfn.XLOOKUP($A4049,Load!$B:$B,Load!I:I,0,)</f>
        <v>0</v>
      </c>
      <c r="I4049">
        <f>_xlfn.XLOOKUP($A4049,Load!$B:$B,Load!J:J,0,)</f>
        <v>0</v>
      </c>
      <c r="J4049">
        <f>_xlfn.XLOOKUP($A4049,Load!$B:$B,Load!K:K,0,)</f>
        <v>0</v>
      </c>
      <c r="K4049">
        <f>_xlfn.XLOOKUP($A4049,Load!$B:$B,Load!L:L,0,)</f>
        <v>0</v>
      </c>
      <c r="L4049">
        <f>_xlfn.XLOOKUP($A4049,Load!$B:$B,Load!M:M,0,)</f>
        <v>0</v>
      </c>
    </row>
    <row r="4050" spans="1:12" x14ac:dyDescent="0.25">
      <c r="A4050" t="s">
        <v>141</v>
      </c>
      <c r="B4050" t="str">
        <f>_xlfn.XLOOKUP($A4050,Load!$B:$B,Load!C:C,0,)</f>
        <v>Hershey's Variety Pack + Haribo</v>
      </c>
      <c r="C4050" t="str">
        <f>_xlfn.XLOOKUP($A4050,Load!$B:$B,Load!D:D,0,)</f>
        <v>Non-Chocolate Candy Only</v>
      </c>
      <c r="D4050" t="str">
        <f>_xlfn.XLOOKUP($A4050,Load!$B:$B,Load!E:E,0,)</f>
        <v>Variety / Mixed Flavors (Fruity, Sour, Seasonal Flavors)</v>
      </c>
      <c r="E4050" t="str">
        <f>_xlfn.XLOOKUP($A4050,Load!$B:$B,Load!F:F,0,)</f>
        <v>Mixed / Combo Packs (Gummy, Chewy, Taffy, etc.)</v>
      </c>
      <c r="F4050" t="str">
        <f>_xlfn.XLOOKUP($A4050,Load!$B:$B,Load!G:G,0,)</f>
        <v>Large Multipack (More than 80 ct)</v>
      </c>
      <c r="G4050" t="str">
        <f>_xlfn.XLOOKUP($A4050,Load!$B:$B,Load!H:H,0,)</f>
        <v>Plastic Cup / Container</v>
      </c>
      <c r="H4050" t="str">
        <f>_xlfn.XLOOKUP($A4050,Load!$B:$B,Load!I:I,0,)</f>
        <v>Everyday Candy Shapes (like Original, Gummy bear, Fruit, Jewels, etc.)</v>
      </c>
      <c r="I4050" t="str">
        <f>_xlfn.XLOOKUP($A4050,Load!$B:$B,Load!J:J,0,)</f>
        <v>Everyday Graphics</v>
      </c>
      <c r="J4050" t="str">
        <f>_xlfn.XLOOKUP($A4050,Load!$B:$B,Load!K:K,0,)</f>
        <v xml:space="preserve">Variety Candy Sizes </v>
      </c>
      <c r="K4050" t="str">
        <f>_xlfn.XLOOKUP($A4050,Load!$B:$B,Load!L:L,0,)</f>
        <v>Regular/Original Wrapping</v>
      </c>
      <c r="L4050" t="str">
        <f>_xlfn.XLOOKUP($A4050,Load!$B:$B,Load!M:M,0,)</f>
        <v>Multiple Brands / Variety Flavors or Form</v>
      </c>
    </row>
    <row r="4051" spans="1:12" x14ac:dyDescent="0.25">
      <c r="B4051">
        <f>_xlfn.XLOOKUP($A4051,Load!$B:$B,Load!C:C,0,)</f>
        <v>0</v>
      </c>
      <c r="C4051">
        <f>_xlfn.XLOOKUP($A4051,Load!$B:$B,Load!D:D,0,)</f>
        <v>0</v>
      </c>
      <c r="D4051">
        <f>_xlfn.XLOOKUP($A4051,Load!$B:$B,Load!E:E,0,)</f>
        <v>0</v>
      </c>
      <c r="E4051">
        <f>_xlfn.XLOOKUP($A4051,Load!$B:$B,Load!F:F,0,)</f>
        <v>0</v>
      </c>
      <c r="F4051">
        <f>_xlfn.XLOOKUP($A4051,Load!$B:$B,Load!G:G,0,)</f>
        <v>0</v>
      </c>
      <c r="G4051">
        <f>_xlfn.XLOOKUP($A4051,Load!$B:$B,Load!H:H,0,)</f>
        <v>0</v>
      </c>
      <c r="H4051">
        <f>_xlfn.XLOOKUP($A4051,Load!$B:$B,Load!I:I,0,)</f>
        <v>0</v>
      </c>
      <c r="I4051">
        <f>_xlfn.XLOOKUP($A4051,Load!$B:$B,Load!J:J,0,)</f>
        <v>0</v>
      </c>
      <c r="J4051">
        <f>_xlfn.XLOOKUP($A4051,Load!$B:$B,Load!K:K,0,)</f>
        <v>0</v>
      </c>
      <c r="K4051">
        <f>_xlfn.XLOOKUP($A4051,Load!$B:$B,Load!L:L,0,)</f>
        <v>0</v>
      </c>
      <c r="L4051">
        <f>_xlfn.XLOOKUP($A4051,Load!$B:$B,Load!M:M,0,)</f>
        <v>0</v>
      </c>
    </row>
    <row r="4052" spans="1:12" x14ac:dyDescent="0.25">
      <c r="A4052" t="s">
        <v>178</v>
      </c>
      <c r="B4052" t="str">
        <f>_xlfn.XLOOKUP($A4052,Load!$B:$B,Load!C:C,0,)</f>
        <v>Mars Variety Pack</v>
      </c>
      <c r="C4052" t="str">
        <f>_xlfn.XLOOKUP($A4052,Load!$B:$B,Load!D:D,0,)</f>
        <v>Mix of Chocolate and Non-Chocolate Candy</v>
      </c>
      <c r="D4052" t="str">
        <f>_xlfn.XLOOKUP($A4052,Load!$B:$B,Load!E:E,0,)</f>
        <v>Variety / Mixed Flavors (Fruity, Sour, Seasonal Flavors)</v>
      </c>
      <c r="E4052" t="str">
        <f>_xlfn.XLOOKUP($A4052,Load!$B:$B,Load!F:F,0,)</f>
        <v>Mixed / Combo Packs (Gummy, Chewy, Taffy, etc.)</v>
      </c>
      <c r="F4052" t="str">
        <f>_xlfn.XLOOKUP($A4052,Load!$B:$B,Load!G:G,0,)</f>
        <v>Small Multipack (Less than 40 ct)</v>
      </c>
      <c r="G4052" t="str">
        <f>_xlfn.XLOOKUP($A4052,Load!$B:$B,Load!H:H,0,)</f>
        <v>Laydown Bag</v>
      </c>
      <c r="H4052" t="str">
        <f>_xlfn.XLOOKUP($A4052,Load!$B:$B,Load!I:I,0,)</f>
        <v>Everyday Candy Shapes (like Original, Gummy bear, Fruit, Jewels, etc.)</v>
      </c>
      <c r="I4052" t="str">
        <f>_xlfn.XLOOKUP($A4052,Load!$B:$B,Load!J:J,0,)</f>
        <v>Seasonal Graphics (Like Bat, Ghost, Pumpkin, Fall Leaves, Eyeballs, etc.)</v>
      </c>
      <c r="J4052" t="str">
        <f>_xlfn.XLOOKUP($A4052,Load!$B:$B,Load!K:K,0,)</f>
        <v xml:space="preserve">Variety Candy Sizes </v>
      </c>
      <c r="K4052" t="str">
        <f>_xlfn.XLOOKUP($A4052,Load!$B:$B,Load!L:L,0,)</f>
        <v>Regular/Original Wrapping</v>
      </c>
      <c r="L4052" t="str">
        <f>_xlfn.XLOOKUP($A4052,Load!$B:$B,Load!M:M,0,)</f>
        <v>Multiple Brands / Variety Flavors or Form</v>
      </c>
    </row>
    <row r="4053" spans="1:12" x14ac:dyDescent="0.25">
      <c r="B4053">
        <f>_xlfn.XLOOKUP($A4053,Load!$B:$B,Load!C:C,0,)</f>
        <v>0</v>
      </c>
      <c r="C4053">
        <f>_xlfn.XLOOKUP($A4053,Load!$B:$B,Load!D:D,0,)</f>
        <v>0</v>
      </c>
      <c r="D4053">
        <f>_xlfn.XLOOKUP($A4053,Load!$B:$B,Load!E:E,0,)</f>
        <v>0</v>
      </c>
      <c r="E4053">
        <f>_xlfn.XLOOKUP($A4053,Load!$B:$B,Load!F:F,0,)</f>
        <v>0</v>
      </c>
      <c r="F4053">
        <f>_xlfn.XLOOKUP($A4053,Load!$B:$B,Load!G:G,0,)</f>
        <v>0</v>
      </c>
      <c r="G4053">
        <f>_xlfn.XLOOKUP($A4053,Load!$B:$B,Load!H:H,0,)</f>
        <v>0</v>
      </c>
      <c r="H4053">
        <f>_xlfn.XLOOKUP($A4053,Load!$B:$B,Load!I:I,0,)</f>
        <v>0</v>
      </c>
      <c r="I4053">
        <f>_xlfn.XLOOKUP($A4053,Load!$B:$B,Load!J:J,0,)</f>
        <v>0</v>
      </c>
      <c r="J4053">
        <f>_xlfn.XLOOKUP($A4053,Load!$B:$B,Load!K:K,0,)</f>
        <v>0</v>
      </c>
      <c r="K4053">
        <f>_xlfn.XLOOKUP($A4053,Load!$B:$B,Load!L:L,0,)</f>
        <v>0</v>
      </c>
      <c r="L4053">
        <f>_xlfn.XLOOKUP($A4053,Load!$B:$B,Load!M:M,0,)</f>
        <v>0</v>
      </c>
    </row>
    <row r="4054" spans="1:12" x14ac:dyDescent="0.25">
      <c r="A4054" t="s">
        <v>89</v>
      </c>
      <c r="B4054" t="str">
        <f>_xlfn.XLOOKUP($A4054,Load!$B:$B,Load!C:C,0,)</f>
        <v>Ferrara Variety Pack</v>
      </c>
      <c r="C4054" t="str">
        <f>_xlfn.XLOOKUP($A4054,Load!$B:$B,Load!D:D,0,)</f>
        <v>Non-Chocolate Candy Only</v>
      </c>
      <c r="D4054" t="str">
        <f>_xlfn.XLOOKUP($A4054,Load!$B:$B,Load!E:E,0,)</f>
        <v>Variety / Mixed Flavors (Fruity, Sour, Seasonal Flavors)</v>
      </c>
      <c r="E4054" t="str">
        <f>_xlfn.XLOOKUP($A4054,Load!$B:$B,Load!F:F,0,)</f>
        <v>Mixed / Combo Packs (Gummy, Chewy, Taffy, etc.)</v>
      </c>
      <c r="F4054" t="str">
        <f>_xlfn.XLOOKUP($A4054,Load!$B:$B,Load!G:G,0,)</f>
        <v>Medium Multipack (40–80 ct)</v>
      </c>
      <c r="G4054" t="str">
        <f>_xlfn.XLOOKUP($A4054,Load!$B:$B,Load!H:H,0,)</f>
        <v>Stand-Up Bag</v>
      </c>
      <c r="H4054" t="str">
        <f>_xlfn.XLOOKUP($A4054,Load!$B:$B,Load!I:I,0,)</f>
        <v>Everyday Candy Shapes (like Original, Gummy bear, Fruit, Jewels, etc.)</v>
      </c>
      <c r="I4054" t="str">
        <f>_xlfn.XLOOKUP($A4054,Load!$B:$B,Load!J:J,0,)</f>
        <v>Seasonal Graphics (Like Bat, Ghost, Pumpkin, Fall Leaves, Eyeballs, etc.)</v>
      </c>
      <c r="J4054" t="str">
        <f>_xlfn.XLOOKUP($A4054,Load!$B:$B,Load!K:K,0,)</f>
        <v xml:space="preserve">Variety Candy Sizes </v>
      </c>
      <c r="K4054" t="str">
        <f>_xlfn.XLOOKUP($A4054,Load!$B:$B,Load!L:L,0,)</f>
        <v>Regular/Original Wrapping</v>
      </c>
      <c r="L4054" t="str">
        <f>_xlfn.XLOOKUP($A4054,Load!$B:$B,Load!M:M,0,)</f>
        <v>Multiple Brands / Variety Flavors or Form</v>
      </c>
    </row>
    <row r="4055" spans="1:12" x14ac:dyDescent="0.25">
      <c r="A4055" t="s">
        <v>175</v>
      </c>
      <c r="B4055" t="str">
        <f>_xlfn.XLOOKUP($A4055,Load!$B:$B,Load!C:C,0,)</f>
        <v>Mars Variety Pack</v>
      </c>
      <c r="C4055" t="str">
        <f>_xlfn.XLOOKUP($A4055,Load!$B:$B,Load!D:D,0,)</f>
        <v>Mix of Chocolate and Non-Chocolate Candy</v>
      </c>
      <c r="D4055" t="str">
        <f>_xlfn.XLOOKUP($A4055,Load!$B:$B,Load!E:E,0,)</f>
        <v>Variety / Mixed Flavors (Fruity, Sour, Seasonal Flavors)</v>
      </c>
      <c r="E4055" t="str">
        <f>_xlfn.XLOOKUP($A4055,Load!$B:$B,Load!F:F,0,)</f>
        <v>Mixed / Combo Packs (Gummy, Chewy, Taffy, etc.)</v>
      </c>
      <c r="F4055" t="str">
        <f>_xlfn.XLOOKUP($A4055,Load!$B:$B,Load!G:G,0,)</f>
        <v>Large Multipack (More than 80 ct)</v>
      </c>
      <c r="G4055" t="str">
        <f>_xlfn.XLOOKUP($A4055,Load!$B:$B,Load!H:H,0,)</f>
        <v>Stand-Up Bag</v>
      </c>
      <c r="H4055" t="str">
        <f>_xlfn.XLOOKUP($A4055,Load!$B:$B,Load!I:I,0,)</f>
        <v>Everyday Candy Shapes (like Original, Gummy bear, Fruit, Jewels, etc.)</v>
      </c>
      <c r="I4055" t="str">
        <f>_xlfn.XLOOKUP($A4055,Load!$B:$B,Load!J:J,0,)</f>
        <v>Seasonal Graphics (Like Bat, Ghost, Pumpkin, Fall Leaves, Eyeballs, etc.)</v>
      </c>
      <c r="J4055" t="str">
        <f>_xlfn.XLOOKUP($A4055,Load!$B:$B,Load!K:K,0,)</f>
        <v xml:space="preserve">Variety Candy Sizes </v>
      </c>
      <c r="K4055" t="str">
        <f>_xlfn.XLOOKUP($A4055,Load!$B:$B,Load!L:L,0,)</f>
        <v>Regular/Original Wrapping</v>
      </c>
      <c r="L4055" t="str">
        <f>_xlfn.XLOOKUP($A4055,Load!$B:$B,Load!M:M,0,)</f>
        <v>Multiple Brands / Variety Flavors or Form</v>
      </c>
    </row>
    <row r="4056" spans="1:12" x14ac:dyDescent="0.25">
      <c r="A4056" t="s">
        <v>195</v>
      </c>
      <c r="B4056" t="str">
        <f>_xlfn.XLOOKUP($A4056,Load!$B:$B,Load!C:C,0,)</f>
        <v>Mars Variety Pack</v>
      </c>
      <c r="C4056" t="str">
        <f>_xlfn.XLOOKUP($A4056,Load!$B:$B,Load!D:D,0,)</f>
        <v>Mix of Chocolate and Non-Chocolate Candy</v>
      </c>
      <c r="D4056" t="str">
        <f>_xlfn.XLOOKUP($A4056,Load!$B:$B,Load!E:E,0,)</f>
        <v>Variety / Mixed Flavors (Fruity, Sour, Seasonal Flavors)</v>
      </c>
      <c r="E4056" t="str">
        <f>_xlfn.XLOOKUP($A4056,Load!$B:$B,Load!F:F,0,)</f>
        <v>Mixed / Combo Packs (Gummy, Chewy, Taffy, etc.)</v>
      </c>
      <c r="F4056" t="str">
        <f>_xlfn.XLOOKUP($A4056,Load!$B:$B,Load!G:G,0,)</f>
        <v>Small Multipack (Less than 40 ct)</v>
      </c>
      <c r="G4056" t="str">
        <f>_xlfn.XLOOKUP($A4056,Load!$B:$B,Load!H:H,0,)</f>
        <v>Laydown Bag</v>
      </c>
      <c r="H4056" t="str">
        <f>_xlfn.XLOOKUP($A4056,Load!$B:$B,Load!I:I,0,)</f>
        <v>Everyday Candy Shapes (like Original, Gummy bear, Fruit, Jewels, etc.)</v>
      </c>
      <c r="I4056" t="str">
        <f>_xlfn.XLOOKUP($A4056,Load!$B:$B,Load!J:J,0,)</f>
        <v>Everyday Graphics</v>
      </c>
      <c r="J4056" t="str">
        <f>_xlfn.XLOOKUP($A4056,Load!$B:$B,Load!K:K,0,)</f>
        <v>Fun Size / Treat Size</v>
      </c>
      <c r="K4056" t="str">
        <f>_xlfn.XLOOKUP($A4056,Load!$B:$B,Load!L:L,0,)</f>
        <v>Regular/Original Wrapping</v>
      </c>
      <c r="L4056" t="str">
        <f>_xlfn.XLOOKUP($A4056,Load!$B:$B,Load!M:M,0,)</f>
        <v>Multiple Brands / Variety Flavors or Form</v>
      </c>
    </row>
    <row r="4057" spans="1:12" x14ac:dyDescent="0.25">
      <c r="A4057" t="s">
        <v>194</v>
      </c>
      <c r="B4057" t="str">
        <f>_xlfn.XLOOKUP($A4057,Load!$B:$B,Load!C:C,0,)</f>
        <v>Mars Variety Pack</v>
      </c>
      <c r="C4057" t="str">
        <f>_xlfn.XLOOKUP($A4057,Load!$B:$B,Load!D:D,0,)</f>
        <v>Mix of Chocolate and Non-Chocolate Candy</v>
      </c>
      <c r="D4057" t="str">
        <f>_xlfn.XLOOKUP($A4057,Load!$B:$B,Load!E:E,0,)</f>
        <v>Variety / Mixed Flavors (Fruity, Sour, Seasonal Flavors)</v>
      </c>
      <c r="E4057" t="str">
        <f>_xlfn.XLOOKUP($A4057,Load!$B:$B,Load!F:F,0,)</f>
        <v>Mixed / Combo Packs (Gummy, Chewy, Taffy, etc.)</v>
      </c>
      <c r="F4057" t="str">
        <f>_xlfn.XLOOKUP($A4057,Load!$B:$B,Load!G:G,0,)</f>
        <v>Small Multipack (Less than 40 ct)</v>
      </c>
      <c r="G4057" t="str">
        <f>_xlfn.XLOOKUP($A4057,Load!$B:$B,Load!H:H,0,)</f>
        <v>Laydown Bag</v>
      </c>
      <c r="H4057" t="str">
        <f>_xlfn.XLOOKUP($A4057,Load!$B:$B,Load!I:I,0,)</f>
        <v>Everyday Candy Shapes (like Original, Gummy bear, Fruit, Jewels, etc.)</v>
      </c>
      <c r="I4057" t="str">
        <f>_xlfn.XLOOKUP($A4057,Load!$B:$B,Load!J:J,0,)</f>
        <v>Seasonal Graphics (Like Bat, Ghost, Pumpkin, Fall Leaves, Eyeballs, etc.)</v>
      </c>
      <c r="J4057" t="str">
        <f>_xlfn.XLOOKUP($A4057,Load!$B:$B,Load!K:K,0,)</f>
        <v>Fun Size / Treat Size</v>
      </c>
      <c r="K4057" t="str">
        <f>_xlfn.XLOOKUP($A4057,Load!$B:$B,Load!L:L,0,)</f>
        <v>Regular/Original Wrapping</v>
      </c>
      <c r="L4057" t="str">
        <f>_xlfn.XLOOKUP($A4057,Load!$B:$B,Load!M:M,0,)</f>
        <v>Multiple Brands / Variety Flavors or Form</v>
      </c>
    </row>
    <row r="4058" spans="1:12" x14ac:dyDescent="0.25">
      <c r="A4058" t="s">
        <v>112</v>
      </c>
      <c r="B4058" t="str">
        <f>_xlfn.XLOOKUP($A4058,Load!$B:$B,Load!C:C,0,)</f>
        <v>Frankford</v>
      </c>
      <c r="C4058" t="str">
        <f>_xlfn.XLOOKUP($A4058,Load!$B:$B,Load!D:D,0,)</f>
        <v>Non-Chocolate Candy Only</v>
      </c>
      <c r="D4058" t="str">
        <f>_xlfn.XLOOKUP($A4058,Load!$B:$B,Load!E:E,0,)</f>
        <v>Sour</v>
      </c>
      <c r="E4058" t="str">
        <f>_xlfn.XLOOKUP($A4058,Load!$B:$B,Load!F:F,0,)</f>
        <v>Mixed / Combo Packs (Gummy, Chewy, Taffy, etc.)</v>
      </c>
      <c r="F4058" t="str">
        <f>_xlfn.XLOOKUP($A4058,Load!$B:$B,Load!G:G,0,)</f>
        <v>Large Multipack (More than 80 ct)</v>
      </c>
      <c r="G4058" t="str">
        <f>_xlfn.XLOOKUP($A4058,Load!$B:$B,Load!H:H,0,)</f>
        <v>Laydown Bag</v>
      </c>
      <c r="H4058" t="str">
        <f>_xlfn.XLOOKUP($A4058,Load!$B:$B,Load!I:I,0,)</f>
        <v>Everyday Candy Shapes (like Original, Gummy bear, Fruit, Jewels, etc.)</v>
      </c>
      <c r="I4058" t="str">
        <f>_xlfn.XLOOKUP($A4058,Load!$B:$B,Load!J:J,0,)</f>
        <v>Seasonal Graphics (Like Bat, Ghost, Pumpkin, Fall Leaves, Eyeballs, etc.)</v>
      </c>
      <c r="J4058" t="str">
        <f>_xlfn.XLOOKUP($A4058,Load!$B:$B,Load!K:K,0,)</f>
        <v>Small Pieces (Tiny bite size candies)</v>
      </c>
      <c r="K4058" t="str">
        <f>_xlfn.XLOOKUP($A4058,Load!$B:$B,Load!L:L,0,)</f>
        <v>Regular/Original Wrapping</v>
      </c>
      <c r="L4058" t="str">
        <f>_xlfn.XLOOKUP($A4058,Load!$B:$B,Load!M:M,0,)</f>
        <v>Multiple Brands / Variety Flavors or Form</v>
      </c>
    </row>
    <row r="4059" spans="1:12" x14ac:dyDescent="0.25">
      <c r="A4059" t="s">
        <v>104</v>
      </c>
      <c r="B4059" t="str">
        <f>_xlfn.XLOOKUP($A4059,Load!$B:$B,Load!C:C,0,)</f>
        <v>Frankford</v>
      </c>
      <c r="C4059" t="str">
        <f>_xlfn.XLOOKUP($A4059,Load!$B:$B,Load!D:D,0,)</f>
        <v>Non-Chocolate Candy Only</v>
      </c>
      <c r="D4059" t="str">
        <f>_xlfn.XLOOKUP($A4059,Load!$B:$B,Load!E:E,0,)</f>
        <v>Variety / Mixed Flavors (Fruity, Sour, Seasonal Flavors)</v>
      </c>
      <c r="E4059" t="str">
        <f>_xlfn.XLOOKUP($A4059,Load!$B:$B,Load!F:F,0,)</f>
        <v>Mixed / Combo Packs (Gummy, Chewy, Taffy, etc.)</v>
      </c>
      <c r="F4059" t="str">
        <f>_xlfn.XLOOKUP($A4059,Load!$B:$B,Load!G:G,0,)</f>
        <v>Large Multipack (More than 80 ct)</v>
      </c>
      <c r="G4059" t="str">
        <f>_xlfn.XLOOKUP($A4059,Load!$B:$B,Load!H:H,0,)</f>
        <v>Stand-Up Bag</v>
      </c>
      <c r="H4059" t="str">
        <f>_xlfn.XLOOKUP($A4059,Load!$B:$B,Load!I:I,0,)</f>
        <v>Seasonal Shapes (like pumpkins, candy corn, ghost, bats, etc.)</v>
      </c>
      <c r="I4059" t="str">
        <f>_xlfn.XLOOKUP($A4059,Load!$B:$B,Load!J:J,0,)</f>
        <v>Seasonal Graphics (Like Bat, Ghost, Pumpkin, Fall Leaves, Eyeballs, etc.)</v>
      </c>
      <c r="J4059" t="str">
        <f>_xlfn.XLOOKUP($A4059,Load!$B:$B,Load!K:K,0,)</f>
        <v xml:space="preserve">Variety Candy Sizes </v>
      </c>
      <c r="K4059" t="str">
        <f>_xlfn.XLOOKUP($A4059,Load!$B:$B,Load!L:L,0,)</f>
        <v>Regular/Original Wrapping</v>
      </c>
      <c r="L4059" t="str">
        <f>_xlfn.XLOOKUP($A4059,Load!$B:$B,Load!M:M,0,)</f>
        <v>Multiple Brands / Variety Flavors or Form</v>
      </c>
    </row>
    <row r="4060" spans="1:12" x14ac:dyDescent="0.25">
      <c r="A4060" t="s">
        <v>8</v>
      </c>
      <c r="B4060" t="str">
        <f>_xlfn.XLOOKUP($A4060,Load!$B:$B,Load!C:C,0,)</f>
        <v>Airheads</v>
      </c>
      <c r="C4060" t="str">
        <f>_xlfn.XLOOKUP($A4060,Load!$B:$B,Load!D:D,0,)</f>
        <v>Non-Chocolate Candy Only</v>
      </c>
      <c r="D4060" t="str">
        <f>_xlfn.XLOOKUP($A4060,Load!$B:$B,Load!E:E,0,)</f>
        <v>Fruit Flavor (Cherry, Grape, Apple, Citrus, Tropical Fruit)</v>
      </c>
      <c r="E4060" t="str">
        <f>_xlfn.XLOOKUP($A4060,Load!$B:$B,Load!F:F,0,)</f>
        <v>Chewy</v>
      </c>
      <c r="F4060" t="str">
        <f>_xlfn.XLOOKUP($A4060,Load!$B:$B,Load!G:G,0,)</f>
        <v>Small Multipack (Less than 40 ct)</v>
      </c>
      <c r="G4060" t="str">
        <f>_xlfn.XLOOKUP($A4060,Load!$B:$B,Load!H:H,0,)</f>
        <v>Laydown Bag</v>
      </c>
      <c r="H4060" t="str">
        <f>_xlfn.XLOOKUP($A4060,Load!$B:$B,Load!I:I,0,)</f>
        <v>Everyday Candy Shapes (like Original, Gummy bear, Fruit, Jewels, etc.)</v>
      </c>
      <c r="I4060" t="str">
        <f>_xlfn.XLOOKUP($A4060,Load!$B:$B,Load!J:J,0,)</f>
        <v>Everyday Graphics</v>
      </c>
      <c r="J4060" t="str">
        <f>_xlfn.XLOOKUP($A4060,Load!$B:$B,Load!K:K,0,)</f>
        <v>Fun Size / Treat Size</v>
      </c>
      <c r="K4060" t="str">
        <f>_xlfn.XLOOKUP($A4060,Load!$B:$B,Load!L:L,0,)</f>
        <v>Regular/Original Wrapping</v>
      </c>
      <c r="L4060" t="str">
        <f>_xlfn.XLOOKUP($A4060,Load!$B:$B,Load!M:M,0,)</f>
        <v>Single Brand / Variety Flavors or Form</v>
      </c>
    </row>
    <row r="4061" spans="1:12" x14ac:dyDescent="0.25">
      <c r="A4061" t="s">
        <v>285</v>
      </c>
      <c r="B4061" t="str">
        <f>_xlfn.XLOOKUP($A4061,Load!$B:$B,Load!C:C,0,)</f>
        <v>Starburst</v>
      </c>
      <c r="C4061" t="str">
        <f>_xlfn.XLOOKUP($A4061,Load!$B:$B,Load!D:D,0,)</f>
        <v>Non-Chocolate Candy Only</v>
      </c>
      <c r="D4061" t="str">
        <f>_xlfn.XLOOKUP($A4061,Load!$B:$B,Load!E:E,0,)</f>
        <v>Fruit Flavor (Cherry, Grape, Apple, Citrus, Tropical Fruit)</v>
      </c>
      <c r="E4061" t="str">
        <f>_xlfn.XLOOKUP($A4061,Load!$B:$B,Load!F:F,0,)</f>
        <v>Chewy</v>
      </c>
      <c r="F4061" t="str">
        <f>_xlfn.XLOOKUP($A4061,Load!$B:$B,Load!G:G,0,)</f>
        <v>Small Multipack (Less than 40 ct)</v>
      </c>
      <c r="G4061" t="str">
        <f>_xlfn.XLOOKUP($A4061,Load!$B:$B,Load!H:H,0,)</f>
        <v>Laydown Bag</v>
      </c>
      <c r="H4061" t="str">
        <f>_xlfn.XLOOKUP($A4061,Load!$B:$B,Load!I:I,0,)</f>
        <v>Everyday Candy Shapes (like Original, Gummy bear, Fruit, Jewels, etc.)</v>
      </c>
      <c r="I4061" t="str">
        <f>_xlfn.XLOOKUP($A4061,Load!$B:$B,Load!J:J,0,)</f>
        <v>Everyday Graphics</v>
      </c>
      <c r="J4061" t="str">
        <f>_xlfn.XLOOKUP($A4061,Load!$B:$B,Load!K:K,0,)</f>
        <v>Small Pieces (Tiny bite size candies)</v>
      </c>
      <c r="K4061" t="str">
        <f>_xlfn.XLOOKUP($A4061,Load!$B:$B,Load!L:L,0,)</f>
        <v>Regular/Original Wrapping</v>
      </c>
      <c r="L4061" t="str">
        <f>_xlfn.XLOOKUP($A4061,Load!$B:$B,Load!M:M,0,)</f>
        <v>Single Brand / Variety Flavors or Form</v>
      </c>
    </row>
    <row r="4062" spans="1:12" x14ac:dyDescent="0.25">
      <c r="A4062" t="s">
        <v>121</v>
      </c>
      <c r="B4062" t="str">
        <f>_xlfn.XLOOKUP($A4062,Load!$B:$B,Load!C:C,0,)</f>
        <v>HARIBO</v>
      </c>
      <c r="C4062" t="str">
        <f>_xlfn.XLOOKUP($A4062,Load!$B:$B,Load!D:D,0,)</f>
        <v>Non-Chocolate Candy Only</v>
      </c>
      <c r="D4062" t="str">
        <f>_xlfn.XLOOKUP($A4062,Load!$B:$B,Load!E:E,0,)</f>
        <v>Variety / Mixed Flavors (Fruity, Sour, Seasonal Flavors)</v>
      </c>
      <c r="E4062" t="str">
        <f>_xlfn.XLOOKUP($A4062,Load!$B:$B,Load!F:F,0,)</f>
        <v>Gummy</v>
      </c>
      <c r="F4062" t="str">
        <f>_xlfn.XLOOKUP($A4062,Load!$B:$B,Load!G:G,0,)</f>
        <v>Large Multipack (More than 80 ct)</v>
      </c>
      <c r="G4062" t="str">
        <f>_xlfn.XLOOKUP($A4062,Load!$B:$B,Load!H:H,0,)</f>
        <v>Stand-Up Bag</v>
      </c>
      <c r="H4062" t="str">
        <f>_xlfn.XLOOKUP($A4062,Load!$B:$B,Load!I:I,0,)</f>
        <v>Seasonal Shapes (like pumpkins, candy corn, ghost, bats, etc.)</v>
      </c>
      <c r="I4062" t="str">
        <f>_xlfn.XLOOKUP($A4062,Load!$B:$B,Load!J:J,0,)</f>
        <v>Seasonal Graphics (Like Bat, Ghost, Pumpkin, Fall Leaves, Eyeballs, etc.)</v>
      </c>
      <c r="J4062" t="str">
        <f>_xlfn.XLOOKUP($A4062,Load!$B:$B,Load!K:K,0,)</f>
        <v>Fun Size / Treat Size</v>
      </c>
      <c r="K4062" t="str">
        <f>_xlfn.XLOOKUP($A4062,Load!$B:$B,Load!L:L,0,)</f>
        <v>Regular/Original Wrapping</v>
      </c>
      <c r="L4062" t="str">
        <f>_xlfn.XLOOKUP($A4062,Load!$B:$B,Load!M:M,0,)</f>
        <v>Multiple Brands / Variety Flavors or Form</v>
      </c>
    </row>
    <row r="4063" spans="1:12" x14ac:dyDescent="0.25">
      <c r="B4063">
        <f>_xlfn.XLOOKUP($A4063,Load!$B:$B,Load!C:C,0,)</f>
        <v>0</v>
      </c>
      <c r="C4063">
        <f>_xlfn.XLOOKUP($A4063,Load!$B:$B,Load!D:D,0,)</f>
        <v>0</v>
      </c>
      <c r="D4063">
        <f>_xlfn.XLOOKUP($A4063,Load!$B:$B,Load!E:E,0,)</f>
        <v>0</v>
      </c>
      <c r="E4063">
        <f>_xlfn.XLOOKUP($A4063,Load!$B:$B,Load!F:F,0,)</f>
        <v>0</v>
      </c>
      <c r="F4063">
        <f>_xlfn.XLOOKUP($A4063,Load!$B:$B,Load!G:G,0,)</f>
        <v>0</v>
      </c>
      <c r="G4063">
        <f>_xlfn.XLOOKUP($A4063,Load!$B:$B,Load!H:H,0,)</f>
        <v>0</v>
      </c>
      <c r="H4063">
        <f>_xlfn.XLOOKUP($A4063,Load!$B:$B,Load!I:I,0,)</f>
        <v>0</v>
      </c>
      <c r="I4063">
        <f>_xlfn.XLOOKUP($A4063,Load!$B:$B,Load!J:J,0,)</f>
        <v>0</v>
      </c>
      <c r="J4063">
        <f>_xlfn.XLOOKUP($A4063,Load!$B:$B,Load!K:K,0,)</f>
        <v>0</v>
      </c>
      <c r="K4063">
        <f>_xlfn.XLOOKUP($A4063,Load!$B:$B,Load!L:L,0,)</f>
        <v>0</v>
      </c>
      <c r="L4063">
        <f>_xlfn.XLOOKUP($A4063,Load!$B:$B,Load!M:M,0,)</f>
        <v>0</v>
      </c>
    </row>
    <row r="4064" spans="1:12" x14ac:dyDescent="0.25">
      <c r="A4064" t="s">
        <v>191</v>
      </c>
      <c r="B4064" t="str">
        <f>_xlfn.XLOOKUP($A4064,Load!$B:$B,Load!C:C,0,)</f>
        <v>Mars Variety Pack</v>
      </c>
      <c r="C4064" t="str">
        <f>_xlfn.XLOOKUP($A4064,Load!$B:$B,Load!D:D,0,)</f>
        <v>Mix of Chocolate and Non-Chocolate Candy</v>
      </c>
      <c r="D4064" t="str">
        <f>_xlfn.XLOOKUP($A4064,Load!$B:$B,Load!E:E,0,)</f>
        <v>Variety / Mixed Flavors (Fruity, Sour, Seasonal Flavors)</v>
      </c>
      <c r="E4064" t="str">
        <f>_xlfn.XLOOKUP($A4064,Load!$B:$B,Load!F:F,0,)</f>
        <v>Mixed / Combo Packs (Gummy, Chewy, Taffy, etc.)</v>
      </c>
      <c r="F4064" t="str">
        <f>_xlfn.XLOOKUP($A4064,Load!$B:$B,Load!G:G,0,)</f>
        <v>Medium Multipack (40–80 ct)</v>
      </c>
      <c r="G4064" t="str">
        <f>_xlfn.XLOOKUP($A4064,Load!$B:$B,Load!H:H,0,)</f>
        <v>Stand-Up Bag</v>
      </c>
      <c r="H4064" t="str">
        <f>_xlfn.XLOOKUP($A4064,Load!$B:$B,Load!I:I,0,)</f>
        <v>Everyday Candy Shapes (like Original, Gummy bear, Fruit, Jewels, etc.)</v>
      </c>
      <c r="I4064" t="str">
        <f>_xlfn.XLOOKUP($A4064,Load!$B:$B,Load!J:J,0,)</f>
        <v>Seasonal Graphics (Like Bat, Ghost, Pumpkin, Fall Leaves, Eyeballs, etc.)</v>
      </c>
      <c r="J4064" t="str">
        <f>_xlfn.XLOOKUP($A4064,Load!$B:$B,Load!K:K,0,)</f>
        <v xml:space="preserve">Variety Candy Sizes </v>
      </c>
      <c r="K4064" t="str">
        <f>_xlfn.XLOOKUP($A4064,Load!$B:$B,Load!L:L,0,)</f>
        <v>Regular/Original Wrapping</v>
      </c>
      <c r="L4064" t="str">
        <f>_xlfn.XLOOKUP($A4064,Load!$B:$B,Load!M:M,0,)</f>
        <v>Multiple Brands / Variety Flavors or Form</v>
      </c>
    </row>
    <row r="4065" spans="1:12" x14ac:dyDescent="0.25">
      <c r="B4065">
        <f>_xlfn.XLOOKUP($A4065,Load!$B:$B,Load!C:C,0,)</f>
        <v>0</v>
      </c>
      <c r="C4065">
        <f>_xlfn.XLOOKUP($A4065,Load!$B:$B,Load!D:D,0,)</f>
        <v>0</v>
      </c>
      <c r="D4065">
        <f>_xlfn.XLOOKUP($A4065,Load!$B:$B,Load!E:E,0,)</f>
        <v>0</v>
      </c>
      <c r="E4065">
        <f>_xlfn.XLOOKUP($A4065,Load!$B:$B,Load!F:F,0,)</f>
        <v>0</v>
      </c>
      <c r="F4065">
        <f>_xlfn.XLOOKUP($A4065,Load!$B:$B,Load!G:G,0,)</f>
        <v>0</v>
      </c>
      <c r="G4065">
        <f>_xlfn.XLOOKUP($A4065,Load!$B:$B,Load!H:H,0,)</f>
        <v>0</v>
      </c>
      <c r="H4065">
        <f>_xlfn.XLOOKUP($A4065,Load!$B:$B,Load!I:I,0,)</f>
        <v>0</v>
      </c>
      <c r="I4065">
        <f>_xlfn.XLOOKUP($A4065,Load!$B:$B,Load!J:J,0,)</f>
        <v>0</v>
      </c>
      <c r="J4065">
        <f>_xlfn.XLOOKUP($A4065,Load!$B:$B,Load!K:K,0,)</f>
        <v>0</v>
      </c>
      <c r="K4065">
        <f>_xlfn.XLOOKUP($A4065,Load!$B:$B,Load!L:L,0,)</f>
        <v>0</v>
      </c>
      <c r="L4065">
        <f>_xlfn.XLOOKUP($A4065,Load!$B:$B,Load!M:M,0,)</f>
        <v>0</v>
      </c>
    </row>
    <row r="4066" spans="1:12" x14ac:dyDescent="0.25">
      <c r="A4066" t="s">
        <v>136</v>
      </c>
      <c r="B4066" t="str">
        <f>_xlfn.XLOOKUP($A4066,Load!$B:$B,Load!C:C,0,)</f>
        <v>Hershey's Variety Pack + Haribo</v>
      </c>
      <c r="C4066" t="str">
        <f>_xlfn.XLOOKUP($A4066,Load!$B:$B,Load!D:D,0,)</f>
        <v>Non-Chocolate Candy Only</v>
      </c>
      <c r="D4066" t="str">
        <f>_xlfn.XLOOKUP($A4066,Load!$B:$B,Load!E:E,0,)</f>
        <v>Variety / Mixed Flavors (Fruity, Sour, Seasonal Flavors)</v>
      </c>
      <c r="E4066" t="str">
        <f>_xlfn.XLOOKUP($A4066,Load!$B:$B,Load!F:F,0,)</f>
        <v>Mixed / Combo Packs (Gummy, Chewy, Taffy, etc.)</v>
      </c>
      <c r="F4066" t="str">
        <f>_xlfn.XLOOKUP($A4066,Load!$B:$B,Load!G:G,0,)</f>
        <v>Medium Multipack (40–80 ct)</v>
      </c>
      <c r="G4066" t="str">
        <f>_xlfn.XLOOKUP($A4066,Load!$B:$B,Load!H:H,0,)</f>
        <v>Laydown Bag</v>
      </c>
      <c r="H4066" t="str">
        <f>_xlfn.XLOOKUP($A4066,Load!$B:$B,Load!I:I,0,)</f>
        <v>Everyday Candy Shapes (like Original, Gummy bear, Fruit, Jewels, etc.)</v>
      </c>
      <c r="I4066" t="str">
        <f>_xlfn.XLOOKUP($A4066,Load!$B:$B,Load!J:J,0,)</f>
        <v>Seasonal Graphics (Like Bat, Ghost, Pumpkin, Fall Leaves, Eyeballs, etc.)</v>
      </c>
      <c r="J4066" t="str">
        <f>_xlfn.XLOOKUP($A4066,Load!$B:$B,Load!K:K,0,)</f>
        <v xml:space="preserve">Variety Candy Sizes </v>
      </c>
      <c r="K4066" t="str">
        <f>_xlfn.XLOOKUP($A4066,Load!$B:$B,Load!L:L,0,)</f>
        <v>Regular/Original Wrapping</v>
      </c>
      <c r="L4066" t="str">
        <f>_xlfn.XLOOKUP($A4066,Load!$B:$B,Load!M:M,0,)</f>
        <v>Multiple Brands / Variety Flavors or Form</v>
      </c>
    </row>
    <row r="4067" spans="1:12" x14ac:dyDescent="0.25">
      <c r="A4067" t="s">
        <v>237</v>
      </c>
      <c r="B4067" t="str">
        <f>_xlfn.XLOOKUP($A4067,Load!$B:$B,Load!C:C,0,)</f>
        <v>Now &amp; Later</v>
      </c>
      <c r="C4067" t="str">
        <f>_xlfn.XLOOKUP($A4067,Load!$B:$B,Load!D:D,0,)</f>
        <v>Non-Chocolate Candy Only</v>
      </c>
      <c r="D4067" t="str">
        <f>_xlfn.XLOOKUP($A4067,Load!$B:$B,Load!E:E,0,)</f>
        <v>Fruit Flavor (Cherry, Grape, Apple, Citrus, Tropical Fruit)</v>
      </c>
      <c r="E4067" t="str">
        <f>_xlfn.XLOOKUP($A4067,Load!$B:$B,Load!F:F,0,)</f>
        <v>Chewy</v>
      </c>
      <c r="F4067" t="str">
        <f>_xlfn.XLOOKUP($A4067,Load!$B:$B,Load!G:G,0,)</f>
        <v>Medium Multipack (40–80 ct)</v>
      </c>
      <c r="G4067" t="str">
        <f>_xlfn.XLOOKUP($A4067,Load!$B:$B,Load!H:H,0,)</f>
        <v>Laydown Bag</v>
      </c>
      <c r="H4067" t="str">
        <f>_xlfn.XLOOKUP($A4067,Load!$B:$B,Load!I:I,0,)</f>
        <v>Everyday Candy Shapes (like Original, Gummy bear, Fruit, Jewels, etc.)</v>
      </c>
      <c r="I4067" t="str">
        <f>_xlfn.XLOOKUP($A4067,Load!$B:$B,Load!J:J,0,)</f>
        <v>Seasonal Graphics (Like Bat, Ghost, Pumpkin, Fall Leaves, Eyeballs, etc.)</v>
      </c>
      <c r="J4067" t="str">
        <f>_xlfn.XLOOKUP($A4067,Load!$B:$B,Load!K:K,0,)</f>
        <v>Small Pieces (Tiny bite size candies)</v>
      </c>
      <c r="K4067" t="str">
        <f>_xlfn.XLOOKUP($A4067,Load!$B:$B,Load!L:L,0,)</f>
        <v>Regular/Original Wrapping</v>
      </c>
      <c r="L4067" t="str">
        <f>_xlfn.XLOOKUP($A4067,Load!$B:$B,Load!M:M,0,)</f>
        <v>Single Brand / Variety Flavors or Form</v>
      </c>
    </row>
    <row r="4068" spans="1:12" x14ac:dyDescent="0.25">
      <c r="A4068" t="s">
        <v>220</v>
      </c>
      <c r="B4068" t="str">
        <f>_xlfn.XLOOKUP($A4068,Load!$B:$B,Load!C:C,0,)</f>
        <v>Mondelez Variety Pack</v>
      </c>
      <c r="C4068" t="str">
        <f>_xlfn.XLOOKUP($A4068,Load!$B:$B,Load!D:D,0,)</f>
        <v>Non-Chocolate Candy Only</v>
      </c>
      <c r="D4068" t="str">
        <f>_xlfn.XLOOKUP($A4068,Load!$B:$B,Load!E:E,0,)</f>
        <v>Variety / Mixed Flavors (Fruity, Sour, Seasonal Flavors)</v>
      </c>
      <c r="E4068" t="str">
        <f>_xlfn.XLOOKUP($A4068,Load!$B:$B,Load!F:F,0,)</f>
        <v>Chewy</v>
      </c>
      <c r="F4068" t="str">
        <f>_xlfn.XLOOKUP($A4068,Load!$B:$B,Load!G:G,0,)</f>
        <v>Large Multipack (More than 80 ct)</v>
      </c>
      <c r="G4068" t="str">
        <f>_xlfn.XLOOKUP($A4068,Load!$B:$B,Load!H:H,0,)</f>
        <v>Stand-Up Bag</v>
      </c>
      <c r="H4068" t="str">
        <f>_xlfn.XLOOKUP($A4068,Load!$B:$B,Load!I:I,0,)</f>
        <v>Seasonal Shapes (like pumpkins, candy corn, ghost, bats, etc.)</v>
      </c>
      <c r="I4068" t="str">
        <f>_xlfn.XLOOKUP($A4068,Load!$B:$B,Load!J:J,0,)</f>
        <v>Seasonal Graphics (Like Bat, Ghost, Pumpkin, Fall Leaves, Eyeballs, etc.)</v>
      </c>
      <c r="J4068" t="str">
        <f>_xlfn.XLOOKUP($A4068,Load!$B:$B,Load!K:K,0,)</f>
        <v>Small Pieces (Tiny bite size candies)</v>
      </c>
      <c r="K4068" t="str">
        <f>_xlfn.XLOOKUP($A4068,Load!$B:$B,Load!L:L,0,)</f>
        <v>Regular/Original Wrapping</v>
      </c>
      <c r="L4068" t="str">
        <f>_xlfn.XLOOKUP($A4068,Load!$B:$B,Load!M:M,0,)</f>
        <v>Single Brand / Variety Flavors or Form</v>
      </c>
    </row>
    <row r="4069" spans="1:12" x14ac:dyDescent="0.25">
      <c r="B4069">
        <f>_xlfn.XLOOKUP($A4069,Load!$B:$B,Load!C:C,0,)</f>
        <v>0</v>
      </c>
      <c r="C4069">
        <f>_xlfn.XLOOKUP($A4069,Load!$B:$B,Load!D:D,0,)</f>
        <v>0</v>
      </c>
      <c r="D4069">
        <f>_xlfn.XLOOKUP($A4069,Load!$B:$B,Load!E:E,0,)</f>
        <v>0</v>
      </c>
      <c r="E4069">
        <f>_xlfn.XLOOKUP($A4069,Load!$B:$B,Load!F:F,0,)</f>
        <v>0</v>
      </c>
      <c r="F4069">
        <f>_xlfn.XLOOKUP($A4069,Load!$B:$B,Load!G:G,0,)</f>
        <v>0</v>
      </c>
      <c r="G4069">
        <f>_xlfn.XLOOKUP($A4069,Load!$B:$B,Load!H:H,0,)</f>
        <v>0</v>
      </c>
      <c r="H4069">
        <f>_xlfn.XLOOKUP($A4069,Load!$B:$B,Load!I:I,0,)</f>
        <v>0</v>
      </c>
      <c r="I4069">
        <f>_xlfn.XLOOKUP($A4069,Load!$B:$B,Load!J:J,0,)</f>
        <v>0</v>
      </c>
      <c r="J4069">
        <f>_xlfn.XLOOKUP($A4069,Load!$B:$B,Load!K:K,0,)</f>
        <v>0</v>
      </c>
      <c r="K4069">
        <f>_xlfn.XLOOKUP($A4069,Load!$B:$B,Load!L:L,0,)</f>
        <v>0</v>
      </c>
      <c r="L4069">
        <f>_xlfn.XLOOKUP($A4069,Load!$B:$B,Load!M:M,0,)</f>
        <v>0</v>
      </c>
    </row>
    <row r="4070" spans="1:12" x14ac:dyDescent="0.25">
      <c r="B4070">
        <f>_xlfn.XLOOKUP($A4070,Load!$B:$B,Load!C:C,0,)</f>
        <v>0</v>
      </c>
      <c r="C4070">
        <f>_xlfn.XLOOKUP($A4070,Load!$B:$B,Load!D:D,0,)</f>
        <v>0</v>
      </c>
      <c r="D4070">
        <f>_xlfn.XLOOKUP($A4070,Load!$B:$B,Load!E:E,0,)</f>
        <v>0</v>
      </c>
      <c r="E4070">
        <f>_xlfn.XLOOKUP($A4070,Load!$B:$B,Load!F:F,0,)</f>
        <v>0</v>
      </c>
      <c r="F4070">
        <f>_xlfn.XLOOKUP($A4070,Load!$B:$B,Load!G:G,0,)</f>
        <v>0</v>
      </c>
      <c r="G4070">
        <f>_xlfn.XLOOKUP($A4070,Load!$B:$B,Load!H:H,0,)</f>
        <v>0</v>
      </c>
      <c r="H4070">
        <f>_xlfn.XLOOKUP($A4070,Load!$B:$B,Load!I:I,0,)</f>
        <v>0</v>
      </c>
      <c r="I4070">
        <f>_xlfn.XLOOKUP($A4070,Load!$B:$B,Load!J:J,0,)</f>
        <v>0</v>
      </c>
      <c r="J4070">
        <f>_xlfn.XLOOKUP($A4070,Load!$B:$B,Load!K:K,0,)</f>
        <v>0</v>
      </c>
      <c r="K4070">
        <f>_xlfn.XLOOKUP($A4070,Load!$B:$B,Load!L:L,0,)</f>
        <v>0</v>
      </c>
      <c r="L4070">
        <f>_xlfn.XLOOKUP($A4070,Load!$B:$B,Load!M:M,0,)</f>
        <v>0</v>
      </c>
    </row>
    <row r="4071" spans="1:12" x14ac:dyDescent="0.25">
      <c r="B4071">
        <f>_xlfn.XLOOKUP($A4071,Load!$B:$B,Load!C:C,0,)</f>
        <v>0</v>
      </c>
      <c r="C4071">
        <f>_xlfn.XLOOKUP($A4071,Load!$B:$B,Load!D:D,0,)</f>
        <v>0</v>
      </c>
      <c r="D4071">
        <f>_xlfn.XLOOKUP($A4071,Load!$B:$B,Load!E:E,0,)</f>
        <v>0</v>
      </c>
      <c r="E4071">
        <f>_xlfn.XLOOKUP($A4071,Load!$B:$B,Load!F:F,0,)</f>
        <v>0</v>
      </c>
      <c r="F4071">
        <f>_xlfn.XLOOKUP($A4071,Load!$B:$B,Load!G:G,0,)</f>
        <v>0</v>
      </c>
      <c r="G4071">
        <f>_xlfn.XLOOKUP($A4071,Load!$B:$B,Load!H:H,0,)</f>
        <v>0</v>
      </c>
      <c r="H4071">
        <f>_xlfn.XLOOKUP($A4071,Load!$B:$B,Load!I:I,0,)</f>
        <v>0</v>
      </c>
      <c r="I4071">
        <f>_xlfn.XLOOKUP($A4071,Load!$B:$B,Load!J:J,0,)</f>
        <v>0</v>
      </c>
      <c r="J4071">
        <f>_xlfn.XLOOKUP($A4071,Load!$B:$B,Load!K:K,0,)</f>
        <v>0</v>
      </c>
      <c r="K4071">
        <f>_xlfn.XLOOKUP($A4071,Load!$B:$B,Load!L:L,0,)</f>
        <v>0</v>
      </c>
      <c r="L4071">
        <f>_xlfn.XLOOKUP($A4071,Load!$B:$B,Load!M:M,0,)</f>
        <v>0</v>
      </c>
    </row>
    <row r="4072" spans="1:12" x14ac:dyDescent="0.25">
      <c r="B4072">
        <f>_xlfn.XLOOKUP($A4072,Load!$B:$B,Load!C:C,0,)</f>
        <v>0</v>
      </c>
      <c r="C4072">
        <f>_xlfn.XLOOKUP($A4072,Load!$B:$B,Load!D:D,0,)</f>
        <v>0</v>
      </c>
      <c r="D4072">
        <f>_xlfn.XLOOKUP($A4072,Load!$B:$B,Load!E:E,0,)</f>
        <v>0</v>
      </c>
      <c r="E4072">
        <f>_xlfn.XLOOKUP($A4072,Load!$B:$B,Load!F:F,0,)</f>
        <v>0</v>
      </c>
      <c r="F4072">
        <f>_xlfn.XLOOKUP($A4072,Load!$B:$B,Load!G:G,0,)</f>
        <v>0</v>
      </c>
      <c r="G4072">
        <f>_xlfn.XLOOKUP($A4072,Load!$B:$B,Load!H:H,0,)</f>
        <v>0</v>
      </c>
      <c r="H4072">
        <f>_xlfn.XLOOKUP($A4072,Load!$B:$B,Load!I:I,0,)</f>
        <v>0</v>
      </c>
      <c r="I4072">
        <f>_xlfn.XLOOKUP($A4072,Load!$B:$B,Load!J:J,0,)</f>
        <v>0</v>
      </c>
      <c r="J4072">
        <f>_xlfn.XLOOKUP($A4072,Load!$B:$B,Load!K:K,0,)</f>
        <v>0</v>
      </c>
      <c r="K4072">
        <f>_xlfn.XLOOKUP($A4072,Load!$B:$B,Load!L:L,0,)</f>
        <v>0</v>
      </c>
      <c r="L4072">
        <f>_xlfn.XLOOKUP($A4072,Load!$B:$B,Load!M:M,0,)</f>
        <v>0</v>
      </c>
    </row>
    <row r="4073" spans="1:12" x14ac:dyDescent="0.25">
      <c r="B4073">
        <f>_xlfn.XLOOKUP($A4073,Load!$B:$B,Load!C:C,0,)</f>
        <v>0</v>
      </c>
      <c r="C4073">
        <f>_xlfn.XLOOKUP($A4073,Load!$B:$B,Load!D:D,0,)</f>
        <v>0</v>
      </c>
      <c r="D4073">
        <f>_xlfn.XLOOKUP($A4073,Load!$B:$B,Load!E:E,0,)</f>
        <v>0</v>
      </c>
      <c r="E4073">
        <f>_xlfn.XLOOKUP($A4073,Load!$B:$B,Load!F:F,0,)</f>
        <v>0</v>
      </c>
      <c r="F4073">
        <f>_xlfn.XLOOKUP($A4073,Load!$B:$B,Load!G:G,0,)</f>
        <v>0</v>
      </c>
      <c r="G4073">
        <f>_xlfn.XLOOKUP($A4073,Load!$B:$B,Load!H:H,0,)</f>
        <v>0</v>
      </c>
      <c r="H4073">
        <f>_xlfn.XLOOKUP($A4073,Load!$B:$B,Load!I:I,0,)</f>
        <v>0</v>
      </c>
      <c r="I4073">
        <f>_xlfn.XLOOKUP($A4073,Load!$B:$B,Load!J:J,0,)</f>
        <v>0</v>
      </c>
      <c r="J4073">
        <f>_xlfn.XLOOKUP($A4073,Load!$B:$B,Load!K:K,0,)</f>
        <v>0</v>
      </c>
      <c r="K4073">
        <f>_xlfn.XLOOKUP($A4073,Load!$B:$B,Load!L:L,0,)</f>
        <v>0</v>
      </c>
      <c r="L4073">
        <f>_xlfn.XLOOKUP($A4073,Load!$B:$B,Load!M:M,0,)</f>
        <v>0</v>
      </c>
    </row>
    <row r="4074" spans="1:12" x14ac:dyDescent="0.25">
      <c r="A4074" t="s">
        <v>112</v>
      </c>
      <c r="B4074" t="str">
        <f>_xlfn.XLOOKUP($A4074,Load!$B:$B,Load!C:C,0,)</f>
        <v>Frankford</v>
      </c>
      <c r="C4074" t="str">
        <f>_xlfn.XLOOKUP($A4074,Load!$B:$B,Load!D:D,0,)</f>
        <v>Non-Chocolate Candy Only</v>
      </c>
      <c r="D4074" t="str">
        <f>_xlfn.XLOOKUP($A4074,Load!$B:$B,Load!E:E,0,)</f>
        <v>Sour</v>
      </c>
      <c r="E4074" t="str">
        <f>_xlfn.XLOOKUP($A4074,Load!$B:$B,Load!F:F,0,)</f>
        <v>Mixed / Combo Packs (Gummy, Chewy, Taffy, etc.)</v>
      </c>
      <c r="F4074" t="str">
        <f>_xlfn.XLOOKUP($A4074,Load!$B:$B,Load!G:G,0,)</f>
        <v>Large Multipack (More than 80 ct)</v>
      </c>
      <c r="G4074" t="str">
        <f>_xlfn.XLOOKUP($A4074,Load!$B:$B,Load!H:H,0,)</f>
        <v>Laydown Bag</v>
      </c>
      <c r="H4074" t="str">
        <f>_xlfn.XLOOKUP($A4074,Load!$B:$B,Load!I:I,0,)</f>
        <v>Everyday Candy Shapes (like Original, Gummy bear, Fruit, Jewels, etc.)</v>
      </c>
      <c r="I4074" t="str">
        <f>_xlfn.XLOOKUP($A4074,Load!$B:$B,Load!J:J,0,)</f>
        <v>Seasonal Graphics (Like Bat, Ghost, Pumpkin, Fall Leaves, Eyeballs, etc.)</v>
      </c>
      <c r="J4074" t="str">
        <f>_xlfn.XLOOKUP($A4074,Load!$B:$B,Load!K:K,0,)</f>
        <v>Small Pieces (Tiny bite size candies)</v>
      </c>
      <c r="K4074" t="str">
        <f>_xlfn.XLOOKUP($A4074,Load!$B:$B,Load!L:L,0,)</f>
        <v>Regular/Original Wrapping</v>
      </c>
      <c r="L4074" t="str">
        <f>_xlfn.XLOOKUP($A4074,Load!$B:$B,Load!M:M,0,)</f>
        <v>Multiple Brands / Variety Flavors or Form</v>
      </c>
    </row>
    <row r="4075" spans="1:12" x14ac:dyDescent="0.25">
      <c r="B4075">
        <f>_xlfn.XLOOKUP($A4075,Load!$B:$B,Load!C:C,0,)</f>
        <v>0</v>
      </c>
      <c r="C4075">
        <f>_xlfn.XLOOKUP($A4075,Load!$B:$B,Load!D:D,0,)</f>
        <v>0</v>
      </c>
      <c r="D4075">
        <f>_xlfn.XLOOKUP($A4075,Load!$B:$B,Load!E:E,0,)</f>
        <v>0</v>
      </c>
      <c r="E4075">
        <f>_xlfn.XLOOKUP($A4075,Load!$B:$B,Load!F:F,0,)</f>
        <v>0</v>
      </c>
      <c r="F4075">
        <f>_xlfn.XLOOKUP($A4075,Load!$B:$B,Load!G:G,0,)</f>
        <v>0</v>
      </c>
      <c r="G4075">
        <f>_xlfn.XLOOKUP($A4075,Load!$B:$B,Load!H:H,0,)</f>
        <v>0</v>
      </c>
      <c r="H4075">
        <f>_xlfn.XLOOKUP($A4075,Load!$B:$B,Load!I:I,0,)</f>
        <v>0</v>
      </c>
      <c r="I4075">
        <f>_xlfn.XLOOKUP($A4075,Load!$B:$B,Load!J:J,0,)</f>
        <v>0</v>
      </c>
      <c r="J4075">
        <f>_xlfn.XLOOKUP($A4075,Load!$B:$B,Load!K:K,0,)</f>
        <v>0</v>
      </c>
      <c r="K4075">
        <f>_xlfn.XLOOKUP($A4075,Load!$B:$B,Load!L:L,0,)</f>
        <v>0</v>
      </c>
      <c r="L4075">
        <f>_xlfn.XLOOKUP($A4075,Load!$B:$B,Load!M:M,0,)</f>
        <v>0</v>
      </c>
    </row>
    <row r="4076" spans="1:12" x14ac:dyDescent="0.25">
      <c r="B4076">
        <f>_xlfn.XLOOKUP($A4076,Load!$B:$B,Load!C:C,0,)</f>
        <v>0</v>
      </c>
      <c r="C4076">
        <f>_xlfn.XLOOKUP($A4076,Load!$B:$B,Load!D:D,0,)</f>
        <v>0</v>
      </c>
      <c r="D4076">
        <f>_xlfn.XLOOKUP($A4076,Load!$B:$B,Load!E:E,0,)</f>
        <v>0</v>
      </c>
      <c r="E4076">
        <f>_xlfn.XLOOKUP($A4076,Load!$B:$B,Load!F:F,0,)</f>
        <v>0</v>
      </c>
      <c r="F4076">
        <f>_xlfn.XLOOKUP($A4076,Load!$B:$B,Load!G:G,0,)</f>
        <v>0</v>
      </c>
      <c r="G4076">
        <f>_xlfn.XLOOKUP($A4076,Load!$B:$B,Load!H:H,0,)</f>
        <v>0</v>
      </c>
      <c r="H4076">
        <f>_xlfn.XLOOKUP($A4076,Load!$B:$B,Load!I:I,0,)</f>
        <v>0</v>
      </c>
      <c r="I4076">
        <f>_xlfn.XLOOKUP($A4076,Load!$B:$B,Load!J:J,0,)</f>
        <v>0</v>
      </c>
      <c r="J4076">
        <f>_xlfn.XLOOKUP($A4076,Load!$B:$B,Load!K:K,0,)</f>
        <v>0</v>
      </c>
      <c r="K4076">
        <f>_xlfn.XLOOKUP($A4076,Load!$B:$B,Load!L:L,0,)</f>
        <v>0</v>
      </c>
      <c r="L4076">
        <f>_xlfn.XLOOKUP($A4076,Load!$B:$B,Load!M:M,0,)</f>
        <v>0</v>
      </c>
    </row>
    <row r="4077" spans="1:12" x14ac:dyDescent="0.25">
      <c r="B4077">
        <f>_xlfn.XLOOKUP($A4077,Load!$B:$B,Load!C:C,0,)</f>
        <v>0</v>
      </c>
      <c r="C4077">
        <f>_xlfn.XLOOKUP($A4077,Load!$B:$B,Load!D:D,0,)</f>
        <v>0</v>
      </c>
      <c r="D4077">
        <f>_xlfn.XLOOKUP($A4077,Load!$B:$B,Load!E:E,0,)</f>
        <v>0</v>
      </c>
      <c r="E4077">
        <f>_xlfn.XLOOKUP($A4077,Load!$B:$B,Load!F:F,0,)</f>
        <v>0</v>
      </c>
      <c r="F4077">
        <f>_xlfn.XLOOKUP($A4077,Load!$B:$B,Load!G:G,0,)</f>
        <v>0</v>
      </c>
      <c r="G4077">
        <f>_xlfn.XLOOKUP($A4077,Load!$B:$B,Load!H:H,0,)</f>
        <v>0</v>
      </c>
      <c r="H4077">
        <f>_xlfn.XLOOKUP($A4077,Load!$B:$B,Load!I:I,0,)</f>
        <v>0</v>
      </c>
      <c r="I4077">
        <f>_xlfn.XLOOKUP($A4077,Load!$B:$B,Load!J:J,0,)</f>
        <v>0</v>
      </c>
      <c r="J4077">
        <f>_xlfn.XLOOKUP($A4077,Load!$B:$B,Load!K:K,0,)</f>
        <v>0</v>
      </c>
      <c r="K4077">
        <f>_xlfn.XLOOKUP($A4077,Load!$B:$B,Load!L:L,0,)</f>
        <v>0</v>
      </c>
      <c r="L4077">
        <f>_xlfn.XLOOKUP($A4077,Load!$B:$B,Load!M:M,0,)</f>
        <v>0</v>
      </c>
    </row>
    <row r="4078" spans="1:12" x14ac:dyDescent="0.25">
      <c r="A4078" t="s">
        <v>285</v>
      </c>
      <c r="B4078" t="str">
        <f>_xlfn.XLOOKUP($A4078,Load!$B:$B,Load!C:C,0,)</f>
        <v>Starburst</v>
      </c>
      <c r="C4078" t="str">
        <f>_xlfn.XLOOKUP($A4078,Load!$B:$B,Load!D:D,0,)</f>
        <v>Non-Chocolate Candy Only</v>
      </c>
      <c r="D4078" t="str">
        <f>_xlfn.XLOOKUP($A4078,Load!$B:$B,Load!E:E,0,)</f>
        <v>Fruit Flavor (Cherry, Grape, Apple, Citrus, Tropical Fruit)</v>
      </c>
      <c r="E4078" t="str">
        <f>_xlfn.XLOOKUP($A4078,Load!$B:$B,Load!F:F,0,)</f>
        <v>Chewy</v>
      </c>
      <c r="F4078" t="str">
        <f>_xlfn.XLOOKUP($A4078,Load!$B:$B,Load!G:G,0,)</f>
        <v>Small Multipack (Less than 40 ct)</v>
      </c>
      <c r="G4078" t="str">
        <f>_xlfn.XLOOKUP($A4078,Load!$B:$B,Load!H:H,0,)</f>
        <v>Laydown Bag</v>
      </c>
      <c r="H4078" t="str">
        <f>_xlfn.XLOOKUP($A4078,Load!$B:$B,Load!I:I,0,)</f>
        <v>Everyday Candy Shapes (like Original, Gummy bear, Fruit, Jewels, etc.)</v>
      </c>
      <c r="I4078" t="str">
        <f>_xlfn.XLOOKUP($A4078,Load!$B:$B,Load!J:J,0,)</f>
        <v>Everyday Graphics</v>
      </c>
      <c r="J4078" t="str">
        <f>_xlfn.XLOOKUP($A4078,Load!$B:$B,Load!K:K,0,)</f>
        <v>Small Pieces (Tiny bite size candies)</v>
      </c>
      <c r="K4078" t="str">
        <f>_xlfn.XLOOKUP($A4078,Load!$B:$B,Load!L:L,0,)</f>
        <v>Regular/Original Wrapping</v>
      </c>
      <c r="L4078" t="str">
        <f>_xlfn.XLOOKUP($A4078,Load!$B:$B,Load!M:M,0,)</f>
        <v>Single Brand / Variety Flavors or Form</v>
      </c>
    </row>
    <row r="4079" spans="1:12" x14ac:dyDescent="0.25">
      <c r="B4079">
        <f>_xlfn.XLOOKUP($A4079,Load!$B:$B,Load!C:C,0,)</f>
        <v>0</v>
      </c>
      <c r="C4079">
        <f>_xlfn.XLOOKUP($A4079,Load!$B:$B,Load!D:D,0,)</f>
        <v>0</v>
      </c>
      <c r="D4079">
        <f>_xlfn.XLOOKUP($A4079,Load!$B:$B,Load!E:E,0,)</f>
        <v>0</v>
      </c>
      <c r="E4079">
        <f>_xlfn.XLOOKUP($A4079,Load!$B:$B,Load!F:F,0,)</f>
        <v>0</v>
      </c>
      <c r="F4079">
        <f>_xlfn.XLOOKUP($A4079,Load!$B:$B,Load!G:G,0,)</f>
        <v>0</v>
      </c>
      <c r="G4079">
        <f>_xlfn.XLOOKUP($A4079,Load!$B:$B,Load!H:H,0,)</f>
        <v>0</v>
      </c>
      <c r="H4079">
        <f>_xlfn.XLOOKUP($A4079,Load!$B:$B,Load!I:I,0,)</f>
        <v>0</v>
      </c>
      <c r="I4079">
        <f>_xlfn.XLOOKUP($A4079,Load!$B:$B,Load!J:J,0,)</f>
        <v>0</v>
      </c>
      <c r="J4079">
        <f>_xlfn.XLOOKUP($A4079,Load!$B:$B,Load!K:K,0,)</f>
        <v>0</v>
      </c>
      <c r="K4079">
        <f>_xlfn.XLOOKUP($A4079,Load!$B:$B,Load!L:L,0,)</f>
        <v>0</v>
      </c>
      <c r="L4079">
        <f>_xlfn.XLOOKUP($A4079,Load!$B:$B,Load!M:M,0,)</f>
        <v>0</v>
      </c>
    </row>
    <row r="4080" spans="1:12" x14ac:dyDescent="0.25">
      <c r="A4080" t="s">
        <v>77</v>
      </c>
      <c r="B4080" t="str">
        <f>_xlfn.XLOOKUP($A4080,Load!$B:$B,Load!C:C,0,)</f>
        <v>Ferrara Variety Pack</v>
      </c>
      <c r="C4080" t="str">
        <f>_xlfn.XLOOKUP($A4080,Load!$B:$B,Load!D:D,0,)</f>
        <v>Non-Chocolate Candy Only</v>
      </c>
      <c r="D4080" t="str">
        <f>_xlfn.XLOOKUP($A4080,Load!$B:$B,Load!E:E,0,)</f>
        <v>Variety / Mixed Flavors (Fruity, Sour, Seasonal Flavors)</v>
      </c>
      <c r="E4080" t="str">
        <f>_xlfn.XLOOKUP($A4080,Load!$B:$B,Load!F:F,0,)</f>
        <v>Mixed / Combo Packs (Gummy, Chewy, Taffy, etc.)</v>
      </c>
      <c r="F4080" t="str">
        <f>_xlfn.XLOOKUP($A4080,Load!$B:$B,Load!G:G,0,)</f>
        <v>Medium Multipack (40–80 ct)</v>
      </c>
      <c r="G4080" t="str">
        <f>_xlfn.XLOOKUP($A4080,Load!$B:$B,Load!H:H,0,)</f>
        <v>Stand-Up Bag</v>
      </c>
      <c r="H4080" t="str">
        <f>_xlfn.XLOOKUP($A4080,Load!$B:$B,Load!I:I,0,)</f>
        <v>Everyday Candy Shapes (like Original, Gummy bear, Fruit, Jewels, etc.)</v>
      </c>
      <c r="I4080" t="str">
        <f>_xlfn.XLOOKUP($A4080,Load!$B:$B,Load!J:J,0,)</f>
        <v>Seasonal Graphics (Like Bat, Ghost, Pumpkin, Fall Leaves, Eyeballs, etc.)</v>
      </c>
      <c r="J4080" t="str">
        <f>_xlfn.XLOOKUP($A4080,Load!$B:$B,Load!K:K,0,)</f>
        <v>Fun Size / Treat Size</v>
      </c>
      <c r="K4080" t="str">
        <f>_xlfn.XLOOKUP($A4080,Load!$B:$B,Load!L:L,0,)</f>
        <v>Regular/Original Wrapping</v>
      </c>
      <c r="L4080" t="str">
        <f>_xlfn.XLOOKUP($A4080,Load!$B:$B,Load!M:M,0,)</f>
        <v>Multiple Brands / Variety Flavors or Form</v>
      </c>
    </row>
    <row r="4081" spans="1:12" x14ac:dyDescent="0.25">
      <c r="B4081">
        <f>_xlfn.XLOOKUP($A4081,Load!$B:$B,Load!C:C,0,)</f>
        <v>0</v>
      </c>
      <c r="C4081">
        <f>_xlfn.XLOOKUP($A4081,Load!$B:$B,Load!D:D,0,)</f>
        <v>0</v>
      </c>
      <c r="D4081">
        <f>_xlfn.XLOOKUP($A4081,Load!$B:$B,Load!E:E,0,)</f>
        <v>0</v>
      </c>
      <c r="E4081">
        <f>_xlfn.XLOOKUP($A4081,Load!$B:$B,Load!F:F,0,)</f>
        <v>0</v>
      </c>
      <c r="F4081">
        <f>_xlfn.XLOOKUP($A4081,Load!$B:$B,Load!G:G,0,)</f>
        <v>0</v>
      </c>
      <c r="G4081">
        <f>_xlfn.XLOOKUP($A4081,Load!$B:$B,Load!H:H,0,)</f>
        <v>0</v>
      </c>
      <c r="H4081">
        <f>_xlfn.XLOOKUP($A4081,Load!$B:$B,Load!I:I,0,)</f>
        <v>0</v>
      </c>
      <c r="I4081">
        <f>_xlfn.XLOOKUP($A4081,Load!$B:$B,Load!J:J,0,)</f>
        <v>0</v>
      </c>
      <c r="J4081">
        <f>_xlfn.XLOOKUP($A4081,Load!$B:$B,Load!K:K,0,)</f>
        <v>0</v>
      </c>
      <c r="K4081">
        <f>_xlfn.XLOOKUP($A4081,Load!$B:$B,Load!L:L,0,)</f>
        <v>0</v>
      </c>
      <c r="L4081">
        <f>_xlfn.XLOOKUP($A4081,Load!$B:$B,Load!M:M,0,)</f>
        <v>0</v>
      </c>
    </row>
    <row r="4082" spans="1:12" x14ac:dyDescent="0.25">
      <c r="A4082" t="s">
        <v>172</v>
      </c>
      <c r="B4082" t="str">
        <f>_xlfn.XLOOKUP($A4082,Load!$B:$B,Load!C:C,0,)</f>
        <v>Mars Variety Pack</v>
      </c>
      <c r="C4082" t="str">
        <f>_xlfn.XLOOKUP($A4082,Load!$B:$B,Load!D:D,0,)</f>
        <v>Non-Chocolate Candy Only</v>
      </c>
      <c r="D4082" t="str">
        <f>_xlfn.XLOOKUP($A4082,Load!$B:$B,Load!E:E,0,)</f>
        <v>Variety / Mixed Flavors (Fruity, Sour, Seasonal Flavors)</v>
      </c>
      <c r="E4082" t="str">
        <f>_xlfn.XLOOKUP($A4082,Load!$B:$B,Load!F:F,0,)</f>
        <v>Mixed / Combo Packs (Gummy, Chewy, Taffy, etc.)</v>
      </c>
      <c r="F4082" t="str">
        <f>_xlfn.XLOOKUP($A4082,Load!$B:$B,Load!G:G,0,)</f>
        <v>Small Multipack (Less than 40 ct)</v>
      </c>
      <c r="G4082" t="str">
        <f>_xlfn.XLOOKUP($A4082,Load!$B:$B,Load!H:H,0,)</f>
        <v>Laydown Bag</v>
      </c>
      <c r="H4082" t="str">
        <f>_xlfn.XLOOKUP($A4082,Load!$B:$B,Load!I:I,0,)</f>
        <v>Everyday Candy Shapes (like Original, Gummy bear, Fruit, Jewels, etc.)</v>
      </c>
      <c r="I4082" t="str">
        <f>_xlfn.XLOOKUP($A4082,Load!$B:$B,Load!J:J,0,)</f>
        <v>Seasonal Graphics (Like Bat, Ghost, Pumpkin, Fall Leaves, Eyeballs, etc.)</v>
      </c>
      <c r="J4082" t="str">
        <f>_xlfn.XLOOKUP($A4082,Load!$B:$B,Load!K:K,0,)</f>
        <v>Fun Size / Treat Size</v>
      </c>
      <c r="K4082" t="str">
        <f>_xlfn.XLOOKUP($A4082,Load!$B:$B,Load!L:L,0,)</f>
        <v>Regular/Original Wrapping</v>
      </c>
      <c r="L4082" t="str">
        <f>_xlfn.XLOOKUP($A4082,Load!$B:$B,Load!M:M,0,)</f>
        <v>Multiple Brands / Variety Flavors or Form</v>
      </c>
    </row>
    <row r="4083" spans="1:12" x14ac:dyDescent="0.25">
      <c r="A4083" t="s">
        <v>178</v>
      </c>
      <c r="B4083" t="str">
        <f>_xlfn.XLOOKUP($A4083,Load!$B:$B,Load!C:C,0,)</f>
        <v>Mars Variety Pack</v>
      </c>
      <c r="C4083" t="str">
        <f>_xlfn.XLOOKUP($A4083,Load!$B:$B,Load!D:D,0,)</f>
        <v>Mix of Chocolate and Non-Chocolate Candy</v>
      </c>
      <c r="D4083" t="str">
        <f>_xlfn.XLOOKUP($A4083,Load!$B:$B,Load!E:E,0,)</f>
        <v>Variety / Mixed Flavors (Fruity, Sour, Seasonal Flavors)</v>
      </c>
      <c r="E4083" t="str">
        <f>_xlfn.XLOOKUP($A4083,Load!$B:$B,Load!F:F,0,)</f>
        <v>Mixed / Combo Packs (Gummy, Chewy, Taffy, etc.)</v>
      </c>
      <c r="F4083" t="str">
        <f>_xlfn.XLOOKUP($A4083,Load!$B:$B,Load!G:G,0,)</f>
        <v>Small Multipack (Less than 40 ct)</v>
      </c>
      <c r="G4083" t="str">
        <f>_xlfn.XLOOKUP($A4083,Load!$B:$B,Load!H:H,0,)</f>
        <v>Laydown Bag</v>
      </c>
      <c r="H4083" t="str">
        <f>_xlfn.XLOOKUP($A4083,Load!$B:$B,Load!I:I,0,)</f>
        <v>Everyday Candy Shapes (like Original, Gummy bear, Fruit, Jewels, etc.)</v>
      </c>
      <c r="I4083" t="str">
        <f>_xlfn.XLOOKUP($A4083,Load!$B:$B,Load!J:J,0,)</f>
        <v>Seasonal Graphics (Like Bat, Ghost, Pumpkin, Fall Leaves, Eyeballs, etc.)</v>
      </c>
      <c r="J4083" t="str">
        <f>_xlfn.XLOOKUP($A4083,Load!$B:$B,Load!K:K,0,)</f>
        <v xml:space="preserve">Variety Candy Sizes </v>
      </c>
      <c r="K4083" t="str">
        <f>_xlfn.XLOOKUP($A4083,Load!$B:$B,Load!L:L,0,)</f>
        <v>Regular/Original Wrapping</v>
      </c>
      <c r="L4083" t="str">
        <f>_xlfn.XLOOKUP($A4083,Load!$B:$B,Load!M:M,0,)</f>
        <v>Multiple Brands / Variety Flavors or Form</v>
      </c>
    </row>
    <row r="4084" spans="1:12" x14ac:dyDescent="0.25">
      <c r="A4084" t="s">
        <v>328</v>
      </c>
      <c r="B4084" t="str">
        <f>_xlfn.XLOOKUP($A4084,Load!$B:$B,Load!C:C,0,)</f>
        <v>Googly Eyes</v>
      </c>
      <c r="C4084" t="str">
        <f>_xlfn.XLOOKUP($A4084,Load!$B:$B,Load!D:D,0,)</f>
        <v>Non-Chocolate Candy Only</v>
      </c>
      <c r="D4084" t="str">
        <f>_xlfn.XLOOKUP($A4084,Load!$B:$B,Load!E:E,0,)</f>
        <v>Variety / Mixed Flavors (Fruity, Sour, Seasonal Flavors)</v>
      </c>
      <c r="E4084" t="str">
        <f>_xlfn.XLOOKUP($A4084,Load!$B:$B,Load!F:F,0,)</f>
        <v>Candy Pieces / Bites</v>
      </c>
      <c r="F4084" t="str">
        <f>_xlfn.XLOOKUP($A4084,Load!$B:$B,Load!G:G,0,)</f>
        <v>Single Pack</v>
      </c>
      <c r="G4084" t="str">
        <f>_xlfn.XLOOKUP($A4084,Load!$B:$B,Load!H:H,0,)</f>
        <v>Plastic Cup / Container</v>
      </c>
      <c r="H4084" t="str">
        <f>_xlfn.XLOOKUP($A4084,Load!$B:$B,Load!I:I,0,)</f>
        <v>Seasonal Shapes (like pumpkins, candy corn, ghost, bats, etc.)</v>
      </c>
      <c r="I4084" t="str">
        <f>_xlfn.XLOOKUP($A4084,Load!$B:$B,Load!J:J,0,)</f>
        <v>Seasonal Graphics (Like Bat, Ghost, Pumpkin, Fall Leaves, Eyeballs, etc.)</v>
      </c>
      <c r="J4084" t="str">
        <f>_xlfn.XLOOKUP($A4084,Load!$B:$B,Load!K:K,0,)</f>
        <v>Fun Size / Treat Size</v>
      </c>
      <c r="K4084" t="str">
        <f>_xlfn.XLOOKUP($A4084,Load!$B:$B,Load!L:L,0,)</f>
        <v>Regular/Original Wrapping</v>
      </c>
      <c r="L4084" t="str">
        <f>_xlfn.XLOOKUP($A4084,Load!$B:$B,Load!M:M,0,)</f>
        <v>Single Brand / Variety Flavors or Form</v>
      </c>
    </row>
    <row r="4085" spans="1:12" x14ac:dyDescent="0.25">
      <c r="B4085">
        <f>_xlfn.XLOOKUP($A4085,Load!$B:$B,Load!C:C,0,)</f>
        <v>0</v>
      </c>
      <c r="C4085">
        <f>_xlfn.XLOOKUP($A4085,Load!$B:$B,Load!D:D,0,)</f>
        <v>0</v>
      </c>
      <c r="D4085">
        <f>_xlfn.XLOOKUP($A4085,Load!$B:$B,Load!E:E,0,)</f>
        <v>0</v>
      </c>
      <c r="E4085">
        <f>_xlfn.XLOOKUP($A4085,Load!$B:$B,Load!F:F,0,)</f>
        <v>0</v>
      </c>
      <c r="F4085">
        <f>_xlfn.XLOOKUP($A4085,Load!$B:$B,Load!G:G,0,)</f>
        <v>0</v>
      </c>
      <c r="G4085">
        <f>_xlfn.XLOOKUP($A4085,Load!$B:$B,Load!H:H,0,)</f>
        <v>0</v>
      </c>
      <c r="H4085">
        <f>_xlfn.XLOOKUP($A4085,Load!$B:$B,Load!I:I,0,)</f>
        <v>0</v>
      </c>
      <c r="I4085">
        <f>_xlfn.XLOOKUP($A4085,Load!$B:$B,Load!J:J,0,)</f>
        <v>0</v>
      </c>
      <c r="J4085">
        <f>_xlfn.XLOOKUP($A4085,Load!$B:$B,Load!K:K,0,)</f>
        <v>0</v>
      </c>
      <c r="K4085">
        <f>_xlfn.XLOOKUP($A4085,Load!$B:$B,Load!L:L,0,)</f>
        <v>0</v>
      </c>
      <c r="L4085">
        <f>_xlfn.XLOOKUP($A4085,Load!$B:$B,Load!M:M,0,)</f>
        <v>0</v>
      </c>
    </row>
    <row r="4086" spans="1:12" x14ac:dyDescent="0.25">
      <c r="A4086" t="s">
        <v>139</v>
      </c>
      <c r="B4086" t="str">
        <f>_xlfn.XLOOKUP($A4086,Load!$B:$B,Load!C:C,0,)</f>
        <v>Hershey's Variety Pack + Haribo</v>
      </c>
      <c r="C4086" t="str">
        <f>_xlfn.XLOOKUP($A4086,Load!$B:$B,Load!D:D,0,)</f>
        <v>Mix of Chocolate and Non-Chocolate Candy</v>
      </c>
      <c r="D4086" t="str">
        <f>_xlfn.XLOOKUP($A4086,Load!$B:$B,Load!E:E,0,)</f>
        <v>Variety / Mixed Flavors (Fruity, Sour, Seasonal Flavors)</v>
      </c>
      <c r="E4086" t="str">
        <f>_xlfn.XLOOKUP($A4086,Load!$B:$B,Load!F:F,0,)</f>
        <v>Mixed / Combo Packs (Gummy, Chewy, Taffy, etc.)</v>
      </c>
      <c r="F4086" t="str">
        <f>_xlfn.XLOOKUP($A4086,Load!$B:$B,Load!G:G,0,)</f>
        <v>Large Multipack (More than 80 ct)</v>
      </c>
      <c r="G4086" t="str">
        <f>_xlfn.XLOOKUP($A4086,Load!$B:$B,Load!H:H,0,)</f>
        <v>Stand-Up Bag</v>
      </c>
      <c r="H4086" t="str">
        <f>_xlfn.XLOOKUP($A4086,Load!$B:$B,Load!I:I,0,)</f>
        <v>Everyday Candy Shapes (like Original, Gummy bear, Fruit, Jewels, etc.)</v>
      </c>
      <c r="I4086" t="str">
        <f>_xlfn.XLOOKUP($A4086,Load!$B:$B,Load!J:J,0,)</f>
        <v>Seasonal Graphics (Like Bat, Ghost, Pumpkin, Fall Leaves, Eyeballs, etc.)</v>
      </c>
      <c r="J4086" t="str">
        <f>_xlfn.XLOOKUP($A4086,Load!$B:$B,Load!K:K,0,)</f>
        <v>Fun Size / Treat Size</v>
      </c>
      <c r="K4086" t="str">
        <f>_xlfn.XLOOKUP($A4086,Load!$B:$B,Load!L:L,0,)</f>
        <v>Regular/Original Wrapping</v>
      </c>
      <c r="L4086" t="str">
        <f>_xlfn.XLOOKUP($A4086,Load!$B:$B,Load!M:M,0,)</f>
        <v>Multiple Brands / Variety Flavors or Form</v>
      </c>
    </row>
    <row r="4087" spans="1:12" x14ac:dyDescent="0.25">
      <c r="B4087">
        <f>_xlfn.XLOOKUP($A4087,Load!$B:$B,Load!C:C,0,)</f>
        <v>0</v>
      </c>
      <c r="C4087">
        <f>_xlfn.XLOOKUP($A4087,Load!$B:$B,Load!D:D,0,)</f>
        <v>0</v>
      </c>
      <c r="D4087">
        <f>_xlfn.XLOOKUP($A4087,Load!$B:$B,Load!E:E,0,)</f>
        <v>0</v>
      </c>
      <c r="E4087">
        <f>_xlfn.XLOOKUP($A4087,Load!$B:$B,Load!F:F,0,)</f>
        <v>0</v>
      </c>
      <c r="F4087">
        <f>_xlfn.XLOOKUP($A4087,Load!$B:$B,Load!G:G,0,)</f>
        <v>0</v>
      </c>
      <c r="G4087">
        <f>_xlfn.XLOOKUP($A4087,Load!$B:$B,Load!H:H,0,)</f>
        <v>0</v>
      </c>
      <c r="H4087">
        <f>_xlfn.XLOOKUP($A4087,Load!$B:$B,Load!I:I,0,)</f>
        <v>0</v>
      </c>
      <c r="I4087">
        <f>_xlfn.XLOOKUP($A4087,Load!$B:$B,Load!J:J,0,)</f>
        <v>0</v>
      </c>
      <c r="J4087">
        <f>_xlfn.XLOOKUP($A4087,Load!$B:$B,Load!K:K,0,)</f>
        <v>0</v>
      </c>
      <c r="K4087">
        <f>_xlfn.XLOOKUP($A4087,Load!$B:$B,Load!L:L,0,)</f>
        <v>0</v>
      </c>
      <c r="L4087">
        <f>_xlfn.XLOOKUP($A4087,Load!$B:$B,Load!M:M,0,)</f>
        <v>0</v>
      </c>
    </row>
    <row r="4088" spans="1:12" x14ac:dyDescent="0.25">
      <c r="A4088" t="s">
        <v>180</v>
      </c>
      <c r="B4088" t="str">
        <f>_xlfn.XLOOKUP($A4088,Load!$B:$B,Load!C:C,0,)</f>
        <v>Mars Variety Pack</v>
      </c>
      <c r="C4088" t="str">
        <f>_xlfn.XLOOKUP($A4088,Load!$B:$B,Load!D:D,0,)</f>
        <v>Mix of Chocolate and Non-Chocolate Candy</v>
      </c>
      <c r="D4088" t="str">
        <f>_xlfn.XLOOKUP($A4088,Load!$B:$B,Load!E:E,0,)</f>
        <v>Variety / Mixed Flavors (Fruity, Sour, Seasonal Flavors)</v>
      </c>
      <c r="E4088" t="str">
        <f>_xlfn.XLOOKUP($A4088,Load!$B:$B,Load!F:F,0,)</f>
        <v>Mixed / Combo Packs (Gummy, Chewy, Taffy, etc.)</v>
      </c>
      <c r="F4088" t="str">
        <f>_xlfn.XLOOKUP($A4088,Load!$B:$B,Load!G:G,0,)</f>
        <v>Large Multipack (More than 80 ct)</v>
      </c>
      <c r="G4088" t="str">
        <f>_xlfn.XLOOKUP($A4088,Load!$B:$B,Load!H:H,0,)</f>
        <v>Stand-Up Bag</v>
      </c>
      <c r="H4088" t="str">
        <f>_xlfn.XLOOKUP($A4088,Load!$B:$B,Load!I:I,0,)</f>
        <v>Everyday Candy Shapes (like Original, Gummy bear, Fruit, Jewels, etc.)</v>
      </c>
      <c r="I4088" t="str">
        <f>_xlfn.XLOOKUP($A4088,Load!$B:$B,Load!J:J,0,)</f>
        <v>Seasonal Graphics (Like Bat, Ghost, Pumpkin, Fall Leaves, Eyeballs, etc.)</v>
      </c>
      <c r="J4088" t="str">
        <f>_xlfn.XLOOKUP($A4088,Load!$B:$B,Load!K:K,0,)</f>
        <v>Fun Size / Treat Size</v>
      </c>
      <c r="K4088" t="str">
        <f>_xlfn.XLOOKUP($A4088,Load!$B:$B,Load!L:L,0,)</f>
        <v>Regular/Original Wrapping</v>
      </c>
      <c r="L4088" t="str">
        <f>_xlfn.XLOOKUP($A4088,Load!$B:$B,Load!M:M,0,)</f>
        <v>Multiple Brands / Variety Flavors or Form</v>
      </c>
    </row>
    <row r="4089" spans="1:12" x14ac:dyDescent="0.25">
      <c r="A4089" t="s">
        <v>80</v>
      </c>
      <c r="B4089" t="str">
        <f>_xlfn.XLOOKUP($A4089,Load!$B:$B,Load!C:C,0,)</f>
        <v>Ferrara Variety Pack</v>
      </c>
      <c r="C4089" t="str">
        <f>_xlfn.XLOOKUP($A4089,Load!$B:$B,Load!D:D,0,)</f>
        <v>Non-Chocolate Candy Only</v>
      </c>
      <c r="D4089" t="str">
        <f>_xlfn.XLOOKUP($A4089,Load!$B:$B,Load!E:E,0,)</f>
        <v>Variety / Mixed Flavors (Fruity, Sour, Seasonal Flavors)</v>
      </c>
      <c r="E4089" t="str">
        <f>_xlfn.XLOOKUP($A4089,Load!$B:$B,Load!F:F,0,)</f>
        <v>Mixed / Combo Packs (Gummy, Chewy, Taffy, etc.)</v>
      </c>
      <c r="F4089" t="str">
        <f>_xlfn.XLOOKUP($A4089,Load!$B:$B,Load!G:G,0,)</f>
        <v>Large Multipack (More than 80 ct)</v>
      </c>
      <c r="G4089" t="str">
        <f>_xlfn.XLOOKUP($A4089,Load!$B:$B,Load!H:H,0,)</f>
        <v>Stand-Up Bag</v>
      </c>
      <c r="H4089" t="str">
        <f>_xlfn.XLOOKUP($A4089,Load!$B:$B,Load!I:I,0,)</f>
        <v>Everyday Candy Shapes (like Original, Gummy bear, Fruit, Jewels, etc.)</v>
      </c>
      <c r="I4089" t="str">
        <f>_xlfn.XLOOKUP($A4089,Load!$B:$B,Load!J:J,0,)</f>
        <v>Seasonal Graphics (Like Bat, Ghost, Pumpkin, Fall Leaves, Eyeballs, etc.)</v>
      </c>
      <c r="J4089" t="str">
        <f>_xlfn.XLOOKUP($A4089,Load!$B:$B,Load!K:K,0,)</f>
        <v xml:space="preserve">Variety Candy Sizes </v>
      </c>
      <c r="K4089" t="str">
        <f>_xlfn.XLOOKUP($A4089,Load!$B:$B,Load!L:L,0,)</f>
        <v>Regular/Original Wrapping</v>
      </c>
      <c r="L4089" t="str">
        <f>_xlfn.XLOOKUP($A4089,Load!$B:$B,Load!M:M,0,)</f>
        <v>Multiple Brands / Variety Flavors or Form</v>
      </c>
    </row>
    <row r="4090" spans="1:12" x14ac:dyDescent="0.25">
      <c r="A4090" t="s">
        <v>24</v>
      </c>
      <c r="B4090" t="str">
        <f>_xlfn.XLOOKUP($A4090,Load!$B:$B,Load!C:C,0,)</f>
        <v>Albanese</v>
      </c>
      <c r="C4090" t="str">
        <f>_xlfn.XLOOKUP($A4090,Load!$B:$B,Load!D:D,0,)</f>
        <v>Non-Chocolate Candy Only</v>
      </c>
      <c r="D4090" t="str">
        <f>_xlfn.XLOOKUP($A4090,Load!$B:$B,Load!E:E,0,)</f>
        <v>Fruit Flavor (Cherry, Grape, Apple, Citrus, Tropical Fruit)</v>
      </c>
      <c r="E4090" t="str">
        <f>_xlfn.XLOOKUP($A4090,Load!$B:$B,Load!F:F,0,)</f>
        <v>Gummy</v>
      </c>
      <c r="F4090" t="str">
        <f>_xlfn.XLOOKUP($A4090,Load!$B:$B,Load!G:G,0,)</f>
        <v>Small Multipack (Less than 40 ct)</v>
      </c>
      <c r="G4090" t="str">
        <f>_xlfn.XLOOKUP($A4090,Load!$B:$B,Load!H:H,0,)</f>
        <v>Stand-Up Bag</v>
      </c>
      <c r="H4090" t="str">
        <f>_xlfn.XLOOKUP($A4090,Load!$B:$B,Load!I:I,0,)</f>
        <v>Seasonal Shapes (like pumpkins, candy corn, ghost, bats, etc.)</v>
      </c>
      <c r="I4090" t="str">
        <f>_xlfn.XLOOKUP($A4090,Load!$B:$B,Load!J:J,0,)</f>
        <v>Seasonal Graphics (Like Bat, Ghost, Pumpkin, Fall Leaves, Eyeballs, etc.)</v>
      </c>
      <c r="J4090" t="str">
        <f>_xlfn.XLOOKUP($A4090,Load!$B:$B,Load!K:K,0,)</f>
        <v>Small Pieces (Tiny bite size candies)</v>
      </c>
      <c r="K4090" t="str">
        <f>_xlfn.XLOOKUP($A4090,Load!$B:$B,Load!L:L,0,)</f>
        <v>unwrapped</v>
      </c>
      <c r="L4090" t="str">
        <f>_xlfn.XLOOKUP($A4090,Load!$B:$B,Load!M:M,0,)</f>
        <v>Single Brand / Variety Flavors or Form</v>
      </c>
    </row>
    <row r="4091" spans="1:12" x14ac:dyDescent="0.25">
      <c r="A4091" t="s">
        <v>286</v>
      </c>
      <c r="B4091" t="str">
        <f>_xlfn.XLOOKUP($A4091,Load!$B:$B,Load!C:C,0,)</f>
        <v>SweeTARTS</v>
      </c>
      <c r="C4091" t="str">
        <f>_xlfn.XLOOKUP($A4091,Load!$B:$B,Load!D:D,0,)</f>
        <v>Non-Chocolate Candy Only</v>
      </c>
      <c r="D4091" t="str">
        <f>_xlfn.XLOOKUP($A4091,Load!$B:$B,Load!E:E,0,)</f>
        <v>Variety / Mixed Flavors (Fruity, Sour, Seasonal Flavors)</v>
      </c>
      <c r="E4091" t="str">
        <f>_xlfn.XLOOKUP($A4091,Load!$B:$B,Load!F:F,0,)</f>
        <v>Chewy</v>
      </c>
      <c r="F4091" t="str">
        <f>_xlfn.XLOOKUP($A4091,Load!$B:$B,Load!G:G,0,)</f>
        <v>Small Multipack (Less than 40 ct)</v>
      </c>
      <c r="G4091" t="str">
        <f>_xlfn.XLOOKUP($A4091,Load!$B:$B,Load!H:H,0,)</f>
        <v>Stand-Up Bag</v>
      </c>
      <c r="H4091" t="str">
        <f>_xlfn.XLOOKUP($A4091,Load!$B:$B,Load!I:I,0,)</f>
        <v>Everyday Candy Shapes (like Original, Gummy bear, Fruit, Jewels, etc.)</v>
      </c>
      <c r="I4091" t="str">
        <f>_xlfn.XLOOKUP($A4091,Load!$B:$B,Load!J:J,0,)</f>
        <v>Seasonal Graphics (Like Bat, Ghost, Pumpkin, Fall Leaves, Eyeballs, etc.)</v>
      </c>
      <c r="J4091" t="str">
        <f>_xlfn.XLOOKUP($A4091,Load!$B:$B,Load!K:K,0,)</f>
        <v>Fun Size / Treat Size</v>
      </c>
      <c r="K4091" t="str">
        <f>_xlfn.XLOOKUP($A4091,Load!$B:$B,Load!L:L,0,)</f>
        <v>Regular/Original Wrapping</v>
      </c>
      <c r="L4091" t="str">
        <f>_xlfn.XLOOKUP($A4091,Load!$B:$B,Load!M:M,0,)</f>
        <v>Single Brand / Variety Flavors or Form</v>
      </c>
    </row>
    <row r="4092" spans="1:12" x14ac:dyDescent="0.25">
      <c r="A4092" t="s">
        <v>32</v>
      </c>
      <c r="B4092" t="str">
        <f>_xlfn.XLOOKUP($A4092,Load!$B:$B,Load!C:C,0,)</f>
        <v>Bazooka Brands</v>
      </c>
      <c r="C4092" t="str">
        <f>_xlfn.XLOOKUP($A4092,Load!$B:$B,Load!D:D,0,)</f>
        <v>Non-Chocolate Candy Only</v>
      </c>
      <c r="D4092" t="str">
        <f>_xlfn.XLOOKUP($A4092,Load!$B:$B,Load!E:E,0,)</f>
        <v>Sweet</v>
      </c>
      <c r="E4092" t="str">
        <f>_xlfn.XLOOKUP($A4092,Load!$B:$B,Load!F:F,0,)</f>
        <v>Gummy</v>
      </c>
      <c r="F4092" t="str">
        <f>_xlfn.XLOOKUP($A4092,Load!$B:$B,Load!G:G,0,)</f>
        <v>Small Multipack (Less than 40 ct)</v>
      </c>
      <c r="G4092" t="str">
        <f>_xlfn.XLOOKUP($A4092,Load!$B:$B,Load!H:H,0,)</f>
        <v>Stand-Up Bag</v>
      </c>
      <c r="H4092" t="str">
        <f>_xlfn.XLOOKUP($A4092,Load!$B:$B,Load!I:I,0,)</f>
        <v>Seasonal Shapes (like pumpkins, candy corn, ghost, bats, etc.)</v>
      </c>
      <c r="I4092" t="str">
        <f>_xlfn.XLOOKUP($A4092,Load!$B:$B,Load!J:J,0,)</f>
        <v>Seasonal Graphics (Like Bat, Ghost, Pumpkin, Fall Leaves, Eyeballs, etc.)</v>
      </c>
      <c r="J4092" t="str">
        <f>_xlfn.XLOOKUP($A4092,Load!$B:$B,Load!K:K,0,)</f>
        <v>Fun Size / Treat Size</v>
      </c>
      <c r="K4092" t="str">
        <f>_xlfn.XLOOKUP($A4092,Load!$B:$B,Load!L:L,0,)</f>
        <v>Regular/Original Wrapping</v>
      </c>
      <c r="L4092" t="str">
        <f>_xlfn.XLOOKUP($A4092,Load!$B:$B,Load!M:M,0,)</f>
        <v>Multiple Brands / Variety Flavors or Form</v>
      </c>
    </row>
    <row r="4093" spans="1:12" x14ac:dyDescent="0.25">
      <c r="A4093" t="s">
        <v>14</v>
      </c>
      <c r="B4093" t="str">
        <f>_xlfn.XLOOKUP($A4093,Load!$B:$B,Load!C:C,0,)</f>
        <v>Airheads</v>
      </c>
      <c r="C4093" t="str">
        <f>_xlfn.XLOOKUP($A4093,Load!$B:$B,Load!D:D,0,)</f>
        <v>Non-Chocolate Candy Only</v>
      </c>
      <c r="D4093" t="str">
        <f>_xlfn.XLOOKUP($A4093,Load!$B:$B,Load!E:E,0,)</f>
        <v>Variety / Mixed Flavors (Fruity, Sour, Seasonal Flavors)</v>
      </c>
      <c r="E4093" t="str">
        <f>_xlfn.XLOOKUP($A4093,Load!$B:$B,Load!F:F,0,)</f>
        <v>Chewy</v>
      </c>
      <c r="F4093" t="str">
        <f>_xlfn.XLOOKUP($A4093,Load!$B:$B,Load!G:G,0,)</f>
        <v>Small Multipack (Less than 40 ct)</v>
      </c>
      <c r="G4093" t="str">
        <f>_xlfn.XLOOKUP($A4093,Load!$B:$B,Load!H:H,0,)</f>
        <v>Stand-Up Bag</v>
      </c>
      <c r="H4093" t="str">
        <f>_xlfn.XLOOKUP($A4093,Load!$B:$B,Load!I:I,0,)</f>
        <v>Everyday Candy Shapes (like Original, Gummy bear, Fruit, Jewels, etc.)</v>
      </c>
      <c r="I4093" t="str">
        <f>_xlfn.XLOOKUP($A4093,Load!$B:$B,Load!J:J,0,)</f>
        <v>Everyday Graphics</v>
      </c>
      <c r="J4093" t="str">
        <f>_xlfn.XLOOKUP($A4093,Load!$B:$B,Load!K:K,0,)</f>
        <v>Fun Size / Treat Size</v>
      </c>
      <c r="K4093" t="str">
        <f>_xlfn.XLOOKUP($A4093,Load!$B:$B,Load!L:L,0,)</f>
        <v>Regular/Original Wrapping</v>
      </c>
      <c r="L4093" t="str">
        <f>_xlfn.XLOOKUP($A4093,Load!$B:$B,Load!M:M,0,)</f>
        <v>Single Brand / Variety Flavors or Form</v>
      </c>
    </row>
    <row r="4094" spans="1:12" x14ac:dyDescent="0.25">
      <c r="A4094" t="s">
        <v>204</v>
      </c>
      <c r="B4094" t="str">
        <f>_xlfn.XLOOKUP($A4094,Load!$B:$B,Load!C:C,0,)</f>
        <v>Mars Variety Pack</v>
      </c>
      <c r="C4094" t="str">
        <f>_xlfn.XLOOKUP($A4094,Load!$B:$B,Load!D:D,0,)</f>
        <v>Mix of Chocolate and Non-Chocolate Candy</v>
      </c>
      <c r="D4094" t="str">
        <f>_xlfn.XLOOKUP($A4094,Load!$B:$B,Load!E:E,0,)</f>
        <v>Variety / Mixed Flavors (Fruity, Sour, Seasonal Flavors)</v>
      </c>
      <c r="E4094" t="str">
        <f>_xlfn.XLOOKUP($A4094,Load!$B:$B,Load!F:F,0,)</f>
        <v>Mixed / Combo Packs (Gummy, Chewy, Taffy, etc.)</v>
      </c>
      <c r="F4094" t="str">
        <f>_xlfn.XLOOKUP($A4094,Load!$B:$B,Load!G:G,0,)</f>
        <v>Medium Multipack (40–80 ct)</v>
      </c>
      <c r="G4094" t="str">
        <f>_xlfn.XLOOKUP($A4094,Load!$B:$B,Load!H:H,0,)</f>
        <v>Stand-Up Bag</v>
      </c>
      <c r="H4094" t="str">
        <f>_xlfn.XLOOKUP($A4094,Load!$B:$B,Load!I:I,0,)</f>
        <v>Everyday Candy Shapes (like Original, Gummy bear, Fruit, Jewels, etc.)</v>
      </c>
      <c r="I4094" t="str">
        <f>_xlfn.XLOOKUP($A4094,Load!$B:$B,Load!J:J,0,)</f>
        <v>Everyday Graphics</v>
      </c>
      <c r="J4094" t="str">
        <f>_xlfn.XLOOKUP($A4094,Load!$B:$B,Load!K:K,0,)</f>
        <v>Fun Size / Treat Size</v>
      </c>
      <c r="K4094" t="str">
        <f>_xlfn.XLOOKUP($A4094,Load!$B:$B,Load!L:L,0,)</f>
        <v>Regular/Original Wrapping</v>
      </c>
      <c r="L4094" t="str">
        <f>_xlfn.XLOOKUP($A4094,Load!$B:$B,Load!M:M,0,)</f>
        <v>Multiple Brands / Variety Flavors or Form</v>
      </c>
    </row>
    <row r="4095" spans="1:12" x14ac:dyDescent="0.25">
      <c r="A4095" t="s">
        <v>463</v>
      </c>
      <c r="B4095" t="str">
        <f>_xlfn.XLOOKUP($A4095,Load!$B:$B,Load!C:C,0,)</f>
        <v>Mars Variety Pack</v>
      </c>
      <c r="C4095" t="str">
        <f>_xlfn.XLOOKUP($A4095,Load!$B:$B,Load!D:D,0,)</f>
        <v>Mix of Chocolate and Non-Chocolate Candy</v>
      </c>
      <c r="D4095" t="str">
        <f>_xlfn.XLOOKUP($A4095,Load!$B:$B,Load!E:E,0,)</f>
        <v>Variety / Mixed Flavors (Fruity, Sour, Seasonal Flavors)</v>
      </c>
      <c r="E4095" t="str">
        <f>_xlfn.XLOOKUP($A4095,Load!$B:$B,Load!F:F,0,)</f>
        <v>Mixed / Combo Packs (Gummy, Chewy, Taffy, etc.)</v>
      </c>
      <c r="F4095" t="str">
        <f>_xlfn.XLOOKUP($A4095,Load!$B:$B,Load!G:G,0,)</f>
        <v>Medium Multipack (40–80 ct)</v>
      </c>
      <c r="G4095" t="str">
        <f>_xlfn.XLOOKUP($A4095,Load!$B:$B,Load!H:H,0,)</f>
        <v>Stand-Up Bag</v>
      </c>
      <c r="H4095" t="str">
        <f>_xlfn.XLOOKUP($A4095,Load!$B:$B,Load!I:I,0,)</f>
        <v>Everyday Candy Shapes (like Original, Gummy bear, Fruit, Jewels, etc.)</v>
      </c>
      <c r="I4095" t="str">
        <f>_xlfn.XLOOKUP($A4095,Load!$B:$B,Load!J:J,0,)</f>
        <v>Seasonal Graphics (Like Bat, Ghost, Pumpkin, Fall Leaves, Eyeballs, etc.)</v>
      </c>
      <c r="J4095" t="str">
        <f>_xlfn.XLOOKUP($A4095,Load!$B:$B,Load!K:K,0,)</f>
        <v>Fun Size / Treat Size</v>
      </c>
      <c r="K4095" t="str">
        <f>_xlfn.XLOOKUP($A4095,Load!$B:$B,Load!L:L,0,)</f>
        <v>Regular/Original Wrapping</v>
      </c>
      <c r="L4095" t="str">
        <f>_xlfn.XLOOKUP($A4095,Load!$B:$B,Load!M:M,0,)</f>
        <v>Multiple Brands / Variety Flavors or Form</v>
      </c>
    </row>
    <row r="4096" spans="1:12" x14ac:dyDescent="0.25">
      <c r="A4096" t="s">
        <v>60</v>
      </c>
      <c r="B4096" t="str">
        <f>_xlfn.XLOOKUP($A4096,Load!$B:$B,Load!C:C,0,)</f>
        <v>Charms</v>
      </c>
      <c r="C4096" t="str">
        <f>_xlfn.XLOOKUP($A4096,Load!$B:$B,Load!D:D,0,)</f>
        <v>Non-Chocolate Candy Only</v>
      </c>
      <c r="D4096" t="str">
        <f>_xlfn.XLOOKUP($A4096,Load!$B:$B,Load!E:E,0,)</f>
        <v>Variety / Mixed Flavors (Fruity, Sour, Seasonal Flavors)</v>
      </c>
      <c r="E4096" t="str">
        <f>_xlfn.XLOOKUP($A4096,Load!$B:$B,Load!F:F,0,)</f>
        <v>Lollipop (regular or lollipop rings)</v>
      </c>
      <c r="F4096" t="str">
        <f>_xlfn.XLOOKUP($A4096,Load!$B:$B,Load!G:G,0,)</f>
        <v>Single Pack</v>
      </c>
      <c r="G4096" t="str">
        <f>_xlfn.XLOOKUP($A4096,Load!$B:$B,Load!H:H,0,)</f>
        <v>Stand-Up Bag</v>
      </c>
      <c r="H4096" t="str">
        <f>_xlfn.XLOOKUP($A4096,Load!$B:$B,Load!I:I,0,)</f>
        <v>Everyday Candy Shapes (like Original, Gummy bear, Fruit, Jewels, etc.)</v>
      </c>
      <c r="I4096" t="str">
        <f>_xlfn.XLOOKUP($A4096,Load!$B:$B,Load!J:J,0,)</f>
        <v>Seasonal Graphics (Like Bat, Ghost, Pumpkin, Fall Leaves, Eyeballs, etc.)</v>
      </c>
      <c r="J4096" t="str">
        <f>_xlfn.XLOOKUP($A4096,Load!$B:$B,Load!K:K,0,)</f>
        <v>Regular Lollipop size (on sticks or rings)</v>
      </c>
      <c r="K4096" t="str">
        <f>_xlfn.XLOOKUP($A4096,Load!$B:$B,Load!L:L,0,)</f>
        <v>Regular/Original Wrapping</v>
      </c>
      <c r="L4096" t="str">
        <f>_xlfn.XLOOKUP($A4096,Load!$B:$B,Load!M:M,0,)</f>
        <v>Single Brand / Variety Flavors or Form</v>
      </c>
    </row>
    <row r="4097" spans="1:12" x14ac:dyDescent="0.25">
      <c r="B4097">
        <f>_xlfn.XLOOKUP($A4097,Load!$B:$B,Load!C:C,0,)</f>
        <v>0</v>
      </c>
      <c r="C4097">
        <f>_xlfn.XLOOKUP($A4097,Load!$B:$B,Load!D:D,0,)</f>
        <v>0</v>
      </c>
      <c r="D4097">
        <f>_xlfn.XLOOKUP($A4097,Load!$B:$B,Load!E:E,0,)</f>
        <v>0</v>
      </c>
      <c r="E4097">
        <f>_xlfn.XLOOKUP($A4097,Load!$B:$B,Load!F:F,0,)</f>
        <v>0</v>
      </c>
      <c r="F4097">
        <f>_xlfn.XLOOKUP($A4097,Load!$B:$B,Load!G:G,0,)</f>
        <v>0</v>
      </c>
      <c r="G4097">
        <f>_xlfn.XLOOKUP($A4097,Load!$B:$B,Load!H:H,0,)</f>
        <v>0</v>
      </c>
      <c r="H4097">
        <f>_xlfn.XLOOKUP($A4097,Load!$B:$B,Load!I:I,0,)</f>
        <v>0</v>
      </c>
      <c r="I4097">
        <f>_xlfn.XLOOKUP($A4097,Load!$B:$B,Load!J:J,0,)</f>
        <v>0</v>
      </c>
      <c r="J4097">
        <f>_xlfn.XLOOKUP($A4097,Load!$B:$B,Load!K:K,0,)</f>
        <v>0</v>
      </c>
      <c r="K4097">
        <f>_xlfn.XLOOKUP($A4097,Load!$B:$B,Load!L:L,0,)</f>
        <v>0</v>
      </c>
      <c r="L4097">
        <f>_xlfn.XLOOKUP($A4097,Load!$B:$B,Load!M:M,0,)</f>
        <v>0</v>
      </c>
    </row>
    <row r="4098" spans="1:12" x14ac:dyDescent="0.25">
      <c r="A4098" t="s">
        <v>141</v>
      </c>
      <c r="B4098" t="str">
        <f>_xlfn.XLOOKUP($A4098,Load!$B:$B,Load!C:C,0,)</f>
        <v>Hershey's Variety Pack + Haribo</v>
      </c>
      <c r="C4098" t="str">
        <f>_xlfn.XLOOKUP($A4098,Load!$B:$B,Load!D:D,0,)</f>
        <v>Non-Chocolate Candy Only</v>
      </c>
      <c r="D4098" t="str">
        <f>_xlfn.XLOOKUP($A4098,Load!$B:$B,Load!E:E,0,)</f>
        <v>Variety / Mixed Flavors (Fruity, Sour, Seasonal Flavors)</v>
      </c>
      <c r="E4098" t="str">
        <f>_xlfn.XLOOKUP($A4098,Load!$B:$B,Load!F:F,0,)</f>
        <v>Mixed / Combo Packs (Gummy, Chewy, Taffy, etc.)</v>
      </c>
      <c r="F4098" t="str">
        <f>_xlfn.XLOOKUP($A4098,Load!$B:$B,Load!G:G,0,)</f>
        <v>Large Multipack (More than 80 ct)</v>
      </c>
      <c r="G4098" t="str">
        <f>_xlfn.XLOOKUP($A4098,Load!$B:$B,Load!H:H,0,)</f>
        <v>Plastic Cup / Container</v>
      </c>
      <c r="H4098" t="str">
        <f>_xlfn.XLOOKUP($A4098,Load!$B:$B,Load!I:I,0,)</f>
        <v>Everyday Candy Shapes (like Original, Gummy bear, Fruit, Jewels, etc.)</v>
      </c>
      <c r="I4098" t="str">
        <f>_xlfn.XLOOKUP($A4098,Load!$B:$B,Load!J:J,0,)</f>
        <v>Everyday Graphics</v>
      </c>
      <c r="J4098" t="str">
        <f>_xlfn.XLOOKUP($A4098,Load!$B:$B,Load!K:K,0,)</f>
        <v xml:space="preserve">Variety Candy Sizes </v>
      </c>
      <c r="K4098" t="str">
        <f>_xlfn.XLOOKUP($A4098,Load!$B:$B,Load!L:L,0,)</f>
        <v>Regular/Original Wrapping</v>
      </c>
      <c r="L4098" t="str">
        <f>_xlfn.XLOOKUP($A4098,Load!$B:$B,Load!M:M,0,)</f>
        <v>Multiple Brands / Variety Flavors or Form</v>
      </c>
    </row>
    <row r="4099" spans="1:12" x14ac:dyDescent="0.25">
      <c r="B4099">
        <f>_xlfn.XLOOKUP($A4099,Load!$B:$B,Load!C:C,0,)</f>
        <v>0</v>
      </c>
      <c r="C4099">
        <f>_xlfn.XLOOKUP($A4099,Load!$B:$B,Load!D:D,0,)</f>
        <v>0</v>
      </c>
      <c r="D4099">
        <f>_xlfn.XLOOKUP($A4099,Load!$B:$B,Load!E:E,0,)</f>
        <v>0</v>
      </c>
      <c r="E4099">
        <f>_xlfn.XLOOKUP($A4099,Load!$B:$B,Load!F:F,0,)</f>
        <v>0</v>
      </c>
      <c r="F4099">
        <f>_xlfn.XLOOKUP($A4099,Load!$B:$B,Load!G:G,0,)</f>
        <v>0</v>
      </c>
      <c r="G4099">
        <f>_xlfn.XLOOKUP($A4099,Load!$B:$B,Load!H:H,0,)</f>
        <v>0</v>
      </c>
      <c r="H4099">
        <f>_xlfn.XLOOKUP($A4099,Load!$B:$B,Load!I:I,0,)</f>
        <v>0</v>
      </c>
      <c r="I4099">
        <f>_xlfn.XLOOKUP($A4099,Load!$B:$B,Load!J:J,0,)</f>
        <v>0</v>
      </c>
      <c r="J4099">
        <f>_xlfn.XLOOKUP($A4099,Load!$B:$B,Load!K:K,0,)</f>
        <v>0</v>
      </c>
      <c r="K4099">
        <f>_xlfn.XLOOKUP($A4099,Load!$B:$B,Load!L:L,0,)</f>
        <v>0</v>
      </c>
      <c r="L4099">
        <f>_xlfn.XLOOKUP($A4099,Load!$B:$B,Load!M:M,0,)</f>
        <v>0</v>
      </c>
    </row>
    <row r="4100" spans="1:12" x14ac:dyDescent="0.25">
      <c r="A4100" t="s">
        <v>261</v>
      </c>
      <c r="B4100" t="str">
        <f>_xlfn.XLOOKUP($A4100,Load!$B:$B,Load!C:C,0,)</f>
        <v>Skittles</v>
      </c>
      <c r="C4100" t="str">
        <f>_xlfn.XLOOKUP($A4100,Load!$B:$B,Load!D:D,0,)</f>
        <v>Non-Chocolate Candy Only</v>
      </c>
      <c r="D4100" t="str">
        <f>_xlfn.XLOOKUP($A4100,Load!$B:$B,Load!E:E,0,)</f>
        <v>Fruit Flavor (Cherry, Grape, Apple, Citrus, Tropical Fruit)</v>
      </c>
      <c r="E4100" t="str">
        <f>_xlfn.XLOOKUP($A4100,Load!$B:$B,Load!F:F,0,)</f>
        <v>Candy Pieces / Bites</v>
      </c>
      <c r="F4100" t="str">
        <f>_xlfn.XLOOKUP($A4100,Load!$B:$B,Load!G:G,0,)</f>
        <v>Single Pack</v>
      </c>
      <c r="G4100" t="str">
        <f>_xlfn.XLOOKUP($A4100,Load!$B:$B,Load!H:H,0,)</f>
        <v>Laydown Bag</v>
      </c>
      <c r="H4100" t="str">
        <f>_xlfn.XLOOKUP($A4100,Load!$B:$B,Load!I:I,0,)</f>
        <v>Everyday Candy Shapes (like Original, Gummy bear, Fruit, Jewels, etc.)</v>
      </c>
      <c r="I4100" t="str">
        <f>_xlfn.XLOOKUP($A4100,Load!$B:$B,Load!J:J,0,)</f>
        <v>Everyday Graphics</v>
      </c>
      <c r="J4100" t="str">
        <f>_xlfn.XLOOKUP($A4100,Load!$B:$B,Load!K:K,0,)</f>
        <v>Small Pieces (Tiny bite size candies)</v>
      </c>
      <c r="K4100" t="str">
        <f>_xlfn.XLOOKUP($A4100,Load!$B:$B,Load!L:L,0,)</f>
        <v>Unwrapped</v>
      </c>
      <c r="L4100" t="str">
        <f>_xlfn.XLOOKUP($A4100,Load!$B:$B,Load!M:M,0,)</f>
        <v>Single Brand / Single Flavor or Form</v>
      </c>
    </row>
    <row r="4101" spans="1:12" x14ac:dyDescent="0.25">
      <c r="B4101">
        <f>_xlfn.XLOOKUP($A4101,Load!$B:$B,Load!C:C,0,)</f>
        <v>0</v>
      </c>
      <c r="C4101">
        <f>_xlfn.XLOOKUP($A4101,Load!$B:$B,Load!D:D,0,)</f>
        <v>0</v>
      </c>
      <c r="D4101">
        <f>_xlfn.XLOOKUP($A4101,Load!$B:$B,Load!E:E,0,)</f>
        <v>0</v>
      </c>
      <c r="E4101">
        <f>_xlfn.XLOOKUP($A4101,Load!$B:$B,Load!F:F,0,)</f>
        <v>0</v>
      </c>
      <c r="F4101">
        <f>_xlfn.XLOOKUP($A4101,Load!$B:$B,Load!G:G,0,)</f>
        <v>0</v>
      </c>
      <c r="G4101">
        <f>_xlfn.XLOOKUP($A4101,Load!$B:$B,Load!H:H,0,)</f>
        <v>0</v>
      </c>
      <c r="H4101">
        <f>_xlfn.XLOOKUP($A4101,Load!$B:$B,Load!I:I,0,)</f>
        <v>0</v>
      </c>
      <c r="I4101">
        <f>_xlfn.XLOOKUP($A4101,Load!$B:$B,Load!J:J,0,)</f>
        <v>0</v>
      </c>
      <c r="J4101">
        <f>_xlfn.XLOOKUP($A4101,Load!$B:$B,Load!K:K,0,)</f>
        <v>0</v>
      </c>
      <c r="K4101">
        <f>_xlfn.XLOOKUP($A4101,Load!$B:$B,Load!L:L,0,)</f>
        <v>0</v>
      </c>
      <c r="L4101">
        <f>_xlfn.XLOOKUP($A4101,Load!$B:$B,Load!M:M,0,)</f>
        <v>0</v>
      </c>
    </row>
    <row r="4102" spans="1:12" x14ac:dyDescent="0.25">
      <c r="A4102" t="s">
        <v>138</v>
      </c>
      <c r="B4102" t="str">
        <f>_xlfn.XLOOKUP($A4102,Load!$B:$B,Load!C:C,0,)</f>
        <v>Hershey's Variety Pack + Haribo</v>
      </c>
      <c r="C4102" t="str">
        <f>_xlfn.XLOOKUP($A4102,Load!$B:$B,Load!D:D,0,)</f>
        <v>Non-Chocolate Candy Only</v>
      </c>
      <c r="D4102" t="str">
        <f>_xlfn.XLOOKUP($A4102,Load!$B:$B,Load!E:E,0,)</f>
        <v>Variety / Mixed Flavors (Fruity, Sour, Seasonal Flavors)</v>
      </c>
      <c r="E4102" t="str">
        <f>_xlfn.XLOOKUP($A4102,Load!$B:$B,Load!F:F,0,)</f>
        <v>Mixed / Combo Packs (Gummy, Chewy, Taffy, etc.)</v>
      </c>
      <c r="F4102" t="str">
        <f>_xlfn.XLOOKUP($A4102,Load!$B:$B,Load!G:G,0,)</f>
        <v>Medium Multipack (40–80 ct)</v>
      </c>
      <c r="G4102" t="str">
        <f>_xlfn.XLOOKUP($A4102,Load!$B:$B,Load!H:H,0,)</f>
        <v>Laydown Bag</v>
      </c>
      <c r="H4102" t="str">
        <f>_xlfn.XLOOKUP($A4102,Load!$B:$B,Load!I:I,0,)</f>
        <v>Everyday Candy Shapes (like Original, Gummy bear, Fruit, Jewels, etc.)</v>
      </c>
      <c r="I4102" t="str">
        <f>_xlfn.XLOOKUP($A4102,Load!$B:$B,Load!J:J,0,)</f>
        <v>Seasonal Graphics (Like Bat, Ghost, Pumpkin, Fall Leaves, Eyeballs, etc.)</v>
      </c>
      <c r="J4102" t="str">
        <f>_xlfn.XLOOKUP($A4102,Load!$B:$B,Load!K:K,0,)</f>
        <v>Fun Size / Treat Size</v>
      </c>
      <c r="K4102" t="str">
        <f>_xlfn.XLOOKUP($A4102,Load!$B:$B,Load!L:L,0,)</f>
        <v>Regular/Original Wrapping</v>
      </c>
      <c r="L4102" t="str">
        <f>_xlfn.XLOOKUP($A4102,Load!$B:$B,Load!M:M,0,)</f>
        <v>Multiple Brands / Variety Flavors or Form</v>
      </c>
    </row>
    <row r="4103" spans="1:12" x14ac:dyDescent="0.25">
      <c r="A4103" t="s">
        <v>2</v>
      </c>
      <c r="B4103" t="str">
        <f>_xlfn.XLOOKUP($A4103,Load!$B:$B,Load!C:C,0,)</f>
        <v>Airheads</v>
      </c>
      <c r="C4103" t="str">
        <f>_xlfn.XLOOKUP($A4103,Load!$B:$B,Load!D:D,0,)</f>
        <v>Non-Chocolate Candy Only</v>
      </c>
      <c r="D4103" t="str">
        <f>_xlfn.XLOOKUP($A4103,Load!$B:$B,Load!E:E,0,)</f>
        <v>Variety / Mixed Flavors (Fruity, Sour, Seasonal Flavors)</v>
      </c>
      <c r="E4103" t="str">
        <f>_xlfn.XLOOKUP($A4103,Load!$B:$B,Load!F:F,0,)</f>
        <v>Chewy</v>
      </c>
      <c r="F4103" t="str">
        <f>_xlfn.XLOOKUP($A4103,Load!$B:$B,Load!G:G,0,)</f>
        <v>Medium Multipack (40–80 ct)</v>
      </c>
      <c r="G4103" t="str">
        <f>_xlfn.XLOOKUP($A4103,Load!$B:$B,Load!H:H,0,)</f>
        <v>Box (theatre box, gift box, carton)</v>
      </c>
      <c r="H4103" t="str">
        <f>_xlfn.XLOOKUP($A4103,Load!$B:$B,Load!I:I,0,)</f>
        <v>Everyday Candy Shapes (like Original, Gummy bear, Fruit, Jewels, etc.)</v>
      </c>
      <c r="I4103" t="str">
        <f>_xlfn.XLOOKUP($A4103,Load!$B:$B,Load!J:J,0,)</f>
        <v>Seasonal Graphics (Like Bat, Ghost, Pumpkin, Fall Leaves, Eyeballs, etc.)</v>
      </c>
      <c r="J4103" t="str">
        <f>_xlfn.XLOOKUP($A4103,Load!$B:$B,Load!K:K,0,)</f>
        <v>Fun Size / Treat Size</v>
      </c>
      <c r="K4103" t="str">
        <f>_xlfn.XLOOKUP($A4103,Load!$B:$B,Load!L:L,0,)</f>
        <v>Regular/Original Wrapping</v>
      </c>
      <c r="L4103" t="str">
        <f>_xlfn.XLOOKUP($A4103,Load!$B:$B,Load!M:M,0,)</f>
        <v>Single Brand / Variety Flavors or Form</v>
      </c>
    </row>
    <row r="4104" spans="1:12" x14ac:dyDescent="0.25">
      <c r="B4104">
        <f>_xlfn.XLOOKUP($A4104,Load!$B:$B,Load!C:C,0,)</f>
        <v>0</v>
      </c>
      <c r="C4104">
        <f>_xlfn.XLOOKUP($A4104,Load!$B:$B,Load!D:D,0,)</f>
        <v>0</v>
      </c>
      <c r="D4104">
        <f>_xlfn.XLOOKUP($A4104,Load!$B:$B,Load!E:E,0,)</f>
        <v>0</v>
      </c>
      <c r="E4104">
        <f>_xlfn.XLOOKUP($A4104,Load!$B:$B,Load!F:F,0,)</f>
        <v>0</v>
      </c>
      <c r="F4104">
        <f>_xlfn.XLOOKUP($A4104,Load!$B:$B,Load!G:G,0,)</f>
        <v>0</v>
      </c>
      <c r="G4104">
        <f>_xlfn.XLOOKUP($A4104,Load!$B:$B,Load!H:H,0,)</f>
        <v>0</v>
      </c>
      <c r="H4104">
        <f>_xlfn.XLOOKUP($A4104,Load!$B:$B,Load!I:I,0,)</f>
        <v>0</v>
      </c>
      <c r="I4104">
        <f>_xlfn.XLOOKUP($A4104,Load!$B:$B,Load!J:J,0,)</f>
        <v>0</v>
      </c>
      <c r="J4104">
        <f>_xlfn.XLOOKUP($A4104,Load!$B:$B,Load!K:K,0,)</f>
        <v>0</v>
      </c>
      <c r="K4104">
        <f>_xlfn.XLOOKUP($A4104,Load!$B:$B,Load!L:L,0,)</f>
        <v>0</v>
      </c>
      <c r="L4104">
        <f>_xlfn.XLOOKUP($A4104,Load!$B:$B,Load!M:M,0,)</f>
        <v>0</v>
      </c>
    </row>
    <row r="4105" spans="1:12" x14ac:dyDescent="0.25">
      <c r="B4105">
        <f>_xlfn.XLOOKUP($A4105,Load!$B:$B,Load!C:C,0,)</f>
        <v>0</v>
      </c>
      <c r="C4105">
        <f>_xlfn.XLOOKUP($A4105,Load!$B:$B,Load!D:D,0,)</f>
        <v>0</v>
      </c>
      <c r="D4105">
        <f>_xlfn.XLOOKUP($A4105,Load!$B:$B,Load!E:E,0,)</f>
        <v>0</v>
      </c>
      <c r="E4105">
        <f>_xlfn.XLOOKUP($A4105,Load!$B:$B,Load!F:F,0,)</f>
        <v>0</v>
      </c>
      <c r="F4105">
        <f>_xlfn.XLOOKUP($A4105,Load!$B:$B,Load!G:G,0,)</f>
        <v>0</v>
      </c>
      <c r="G4105">
        <f>_xlfn.XLOOKUP($A4105,Load!$B:$B,Load!H:H,0,)</f>
        <v>0</v>
      </c>
      <c r="H4105">
        <f>_xlfn.XLOOKUP($A4105,Load!$B:$B,Load!I:I,0,)</f>
        <v>0</v>
      </c>
      <c r="I4105">
        <f>_xlfn.XLOOKUP($A4105,Load!$B:$B,Load!J:J,0,)</f>
        <v>0</v>
      </c>
      <c r="J4105">
        <f>_xlfn.XLOOKUP($A4105,Load!$B:$B,Load!K:K,0,)</f>
        <v>0</v>
      </c>
      <c r="K4105">
        <f>_xlfn.XLOOKUP($A4105,Load!$B:$B,Load!L:L,0,)</f>
        <v>0</v>
      </c>
      <c r="L4105">
        <f>_xlfn.XLOOKUP($A4105,Load!$B:$B,Load!M:M,0,)</f>
        <v>0</v>
      </c>
    </row>
    <row r="4106" spans="1:12" x14ac:dyDescent="0.25">
      <c r="A4106" t="s">
        <v>134</v>
      </c>
      <c r="B4106" t="str">
        <f>_xlfn.XLOOKUP($A4106,Load!$B:$B,Load!C:C,0,)</f>
        <v>Hershey's Variety Pack</v>
      </c>
      <c r="C4106" t="str">
        <f>_xlfn.XLOOKUP($A4106,Load!$B:$B,Load!D:D,0,)</f>
        <v>Non-Chocolate Candy Only</v>
      </c>
      <c r="D4106" t="str">
        <f>_xlfn.XLOOKUP($A4106,Load!$B:$B,Load!E:E,0,)</f>
        <v>Variety / Mixed Flavors (Fruity, Sour, Seasonal Flavors)</v>
      </c>
      <c r="E4106" t="str">
        <f>_xlfn.XLOOKUP($A4106,Load!$B:$B,Load!F:F,0,)</f>
        <v>Mixed / Combo Packs (Gummy, Chewy, Taffy, etc.)</v>
      </c>
      <c r="F4106" t="str">
        <f>_xlfn.XLOOKUP($A4106,Load!$B:$B,Load!G:G,0,)</f>
        <v>Large Multipack (More than 80 ct)</v>
      </c>
      <c r="G4106" t="str">
        <f>_xlfn.XLOOKUP($A4106,Load!$B:$B,Load!H:H,0,)</f>
        <v>Stand-Up Bag</v>
      </c>
      <c r="H4106" t="str">
        <f>_xlfn.XLOOKUP($A4106,Load!$B:$B,Load!I:I,0,)</f>
        <v>Everyday Candy Shapes (like Original, Gummy bear, Fruit, Jewels, etc.)</v>
      </c>
      <c r="I4106" t="str">
        <f>_xlfn.XLOOKUP($A4106,Load!$B:$B,Load!J:J,0,)</f>
        <v>Seasonal Graphics (Like Bat, Ghost, Pumpkin, Fall Leaves, Eyeballs, etc.)</v>
      </c>
      <c r="J4106" t="str">
        <f>_xlfn.XLOOKUP($A4106,Load!$B:$B,Load!K:K,0,)</f>
        <v xml:space="preserve">Variety Candy Sizes </v>
      </c>
      <c r="K4106" t="str">
        <f>_xlfn.XLOOKUP($A4106,Load!$B:$B,Load!L:L,0,)</f>
        <v>Regular/Original Wrapping</v>
      </c>
      <c r="L4106" t="str">
        <f>_xlfn.XLOOKUP($A4106,Load!$B:$B,Load!M:M,0,)</f>
        <v>Multiple Brands / Variety Flavors or Form</v>
      </c>
    </row>
    <row r="4107" spans="1:12" x14ac:dyDescent="0.25">
      <c r="B4107">
        <f>_xlfn.XLOOKUP($A4107,Load!$B:$B,Load!C:C,0,)</f>
        <v>0</v>
      </c>
      <c r="C4107">
        <f>_xlfn.XLOOKUP($A4107,Load!$B:$B,Load!D:D,0,)</f>
        <v>0</v>
      </c>
      <c r="D4107">
        <f>_xlfn.XLOOKUP($A4107,Load!$B:$B,Load!E:E,0,)</f>
        <v>0</v>
      </c>
      <c r="E4107">
        <f>_xlfn.XLOOKUP($A4107,Load!$B:$B,Load!F:F,0,)</f>
        <v>0</v>
      </c>
      <c r="F4107">
        <f>_xlfn.XLOOKUP($A4107,Load!$B:$B,Load!G:G,0,)</f>
        <v>0</v>
      </c>
      <c r="G4107">
        <f>_xlfn.XLOOKUP($A4107,Load!$B:$B,Load!H:H,0,)</f>
        <v>0</v>
      </c>
      <c r="H4107">
        <f>_xlfn.XLOOKUP($A4107,Load!$B:$B,Load!I:I,0,)</f>
        <v>0</v>
      </c>
      <c r="I4107">
        <f>_xlfn.XLOOKUP($A4107,Load!$B:$B,Load!J:J,0,)</f>
        <v>0</v>
      </c>
      <c r="J4107">
        <f>_xlfn.XLOOKUP($A4107,Load!$B:$B,Load!K:K,0,)</f>
        <v>0</v>
      </c>
      <c r="K4107">
        <f>_xlfn.XLOOKUP($A4107,Load!$B:$B,Load!L:L,0,)</f>
        <v>0</v>
      </c>
      <c r="L4107">
        <f>_xlfn.XLOOKUP($A4107,Load!$B:$B,Load!M:M,0,)</f>
        <v>0</v>
      </c>
    </row>
    <row r="4108" spans="1:12" x14ac:dyDescent="0.25">
      <c r="A4108" t="s">
        <v>92</v>
      </c>
      <c r="B4108" t="str">
        <f>_xlfn.XLOOKUP($A4108,Load!$B:$B,Load!C:C,0,)</f>
        <v>Ferrara Variety Pack</v>
      </c>
      <c r="C4108" t="str">
        <f>_xlfn.XLOOKUP($A4108,Load!$B:$B,Load!D:D,0,)</f>
        <v>Non-Chocolate Candy Only</v>
      </c>
      <c r="D4108" t="str">
        <f>_xlfn.XLOOKUP($A4108,Load!$B:$B,Load!E:E,0,)</f>
        <v>Variety / Mixed Flavors (Fruity, Sour, Seasonal Flavors)</v>
      </c>
      <c r="E4108" t="str">
        <f>_xlfn.XLOOKUP($A4108,Load!$B:$B,Load!F:F,0,)</f>
        <v>Mixed / Combo Packs (Gummy, Chewy, Taffy, etc.)</v>
      </c>
      <c r="F4108" t="str">
        <f>_xlfn.XLOOKUP($A4108,Load!$B:$B,Load!G:G,0,)</f>
        <v>Large Multipack (More than 80 ct)</v>
      </c>
      <c r="G4108" t="str">
        <f>_xlfn.XLOOKUP($A4108,Load!$B:$B,Load!H:H,0,)</f>
        <v>Stand-Up Bag</v>
      </c>
      <c r="H4108" t="str">
        <f>_xlfn.XLOOKUP($A4108,Load!$B:$B,Load!I:I,0,)</f>
        <v>Everyday Candy Shapes (like Original, Gummy bear, Fruit, Jewels, etc.)</v>
      </c>
      <c r="I4108" t="str">
        <f>_xlfn.XLOOKUP($A4108,Load!$B:$B,Load!J:J,0,)</f>
        <v>Seasonal Graphics (Like Bat, Ghost, Pumpkin, Fall Leaves, Eyeballs, etc.)</v>
      </c>
      <c r="J4108" t="str">
        <f>_xlfn.XLOOKUP($A4108,Load!$B:$B,Load!K:K,0,)</f>
        <v xml:space="preserve">Variety Candy Sizes </v>
      </c>
      <c r="K4108" t="str">
        <f>_xlfn.XLOOKUP($A4108,Load!$B:$B,Load!L:L,0,)</f>
        <v>Regular/Original Wrapping</v>
      </c>
      <c r="L4108" t="str">
        <f>_xlfn.XLOOKUP($A4108,Load!$B:$B,Load!M:M,0,)</f>
        <v>Multiple Brands / Variety Flavors or Form</v>
      </c>
    </row>
    <row r="4109" spans="1:12" x14ac:dyDescent="0.25">
      <c r="A4109" t="s">
        <v>233</v>
      </c>
      <c r="B4109" t="str">
        <f>_xlfn.XLOOKUP($A4109,Load!$B:$B,Load!C:C,0,)</f>
        <v>Nerds</v>
      </c>
      <c r="C4109" t="str">
        <f>_xlfn.XLOOKUP($A4109,Load!$B:$B,Load!D:D,0,)</f>
        <v>Non-Chocolate Candy Only</v>
      </c>
      <c r="D4109" t="str">
        <f>_xlfn.XLOOKUP($A4109,Load!$B:$B,Load!E:E,0,)</f>
        <v>Variety / Mixed Flavors (Fruity, Sour, Seasonal Flavors)</v>
      </c>
      <c r="E4109" t="str">
        <f>_xlfn.XLOOKUP($A4109,Load!$B:$B,Load!F:F,0,)</f>
        <v>Mixed / Combo Packs (Gummy, Chewy, Taffy, etc.)</v>
      </c>
      <c r="F4109" t="str">
        <f>_xlfn.XLOOKUP($A4109,Load!$B:$B,Load!G:G,0,)</f>
        <v>Large Multipack (More than 80 ct)</v>
      </c>
      <c r="G4109" t="str">
        <f>_xlfn.XLOOKUP($A4109,Load!$B:$B,Load!H:H,0,)</f>
        <v>Stand-Up Bag</v>
      </c>
      <c r="H4109" t="str">
        <f>_xlfn.XLOOKUP($A4109,Load!$B:$B,Load!I:I,0,)</f>
        <v>Everyday Candy Shapes (like Original, Gummy bear, Fruit, Jewels, etc.)</v>
      </c>
      <c r="I4109" t="str">
        <f>_xlfn.XLOOKUP($A4109,Load!$B:$B,Load!J:J,0,)</f>
        <v>Everyday Graphics</v>
      </c>
      <c r="J4109" t="str">
        <f>_xlfn.XLOOKUP($A4109,Load!$B:$B,Load!K:K,0,)</f>
        <v>Small Pieces (Tiny bite size candies)</v>
      </c>
      <c r="K4109" t="str">
        <f>_xlfn.XLOOKUP($A4109,Load!$B:$B,Load!L:L,0,)</f>
        <v>Regular/Original Wrapping</v>
      </c>
      <c r="L4109" t="str">
        <f>_xlfn.XLOOKUP($A4109,Load!$B:$B,Load!M:M,0,)</f>
        <v>Single Brand / Variety Flavors or Form</v>
      </c>
    </row>
    <row r="4110" spans="1:12" x14ac:dyDescent="0.25">
      <c r="A4110" t="s">
        <v>180</v>
      </c>
      <c r="B4110" t="str">
        <f>_xlfn.XLOOKUP($A4110,Load!$B:$B,Load!C:C,0,)</f>
        <v>Mars Variety Pack</v>
      </c>
      <c r="C4110" t="str">
        <f>_xlfn.XLOOKUP($A4110,Load!$B:$B,Load!D:D,0,)</f>
        <v>Mix of Chocolate and Non-Chocolate Candy</v>
      </c>
      <c r="D4110" t="str">
        <f>_xlfn.XLOOKUP($A4110,Load!$B:$B,Load!E:E,0,)</f>
        <v>Variety / Mixed Flavors (Fruity, Sour, Seasonal Flavors)</v>
      </c>
      <c r="E4110" t="str">
        <f>_xlfn.XLOOKUP($A4110,Load!$B:$B,Load!F:F,0,)</f>
        <v>Mixed / Combo Packs (Gummy, Chewy, Taffy, etc.)</v>
      </c>
      <c r="F4110" t="str">
        <f>_xlfn.XLOOKUP($A4110,Load!$B:$B,Load!G:G,0,)</f>
        <v>Large Multipack (More than 80 ct)</v>
      </c>
      <c r="G4110" t="str">
        <f>_xlfn.XLOOKUP($A4110,Load!$B:$B,Load!H:H,0,)</f>
        <v>Stand-Up Bag</v>
      </c>
      <c r="H4110" t="str">
        <f>_xlfn.XLOOKUP($A4110,Load!$B:$B,Load!I:I,0,)</f>
        <v>Everyday Candy Shapes (like Original, Gummy bear, Fruit, Jewels, etc.)</v>
      </c>
      <c r="I4110" t="str">
        <f>_xlfn.XLOOKUP($A4110,Load!$B:$B,Load!J:J,0,)</f>
        <v>Seasonal Graphics (Like Bat, Ghost, Pumpkin, Fall Leaves, Eyeballs, etc.)</v>
      </c>
      <c r="J4110" t="str">
        <f>_xlfn.XLOOKUP($A4110,Load!$B:$B,Load!K:K,0,)</f>
        <v>Fun Size / Treat Size</v>
      </c>
      <c r="K4110" t="str">
        <f>_xlfn.XLOOKUP($A4110,Load!$B:$B,Load!L:L,0,)</f>
        <v>Regular/Original Wrapping</v>
      </c>
      <c r="L4110" t="str">
        <f>_xlfn.XLOOKUP($A4110,Load!$B:$B,Load!M:M,0,)</f>
        <v>Multiple Brands / Variety Flavors or Form</v>
      </c>
    </row>
    <row r="4111" spans="1:12" x14ac:dyDescent="0.25">
      <c r="A4111" t="s">
        <v>214</v>
      </c>
      <c r="B4111" t="str">
        <f>_xlfn.XLOOKUP($A4111,Load!$B:$B,Load!C:C,0,)</f>
        <v>Mars Variety Pack</v>
      </c>
      <c r="C4111" t="str">
        <f>_xlfn.XLOOKUP($A4111,Load!$B:$B,Load!D:D,0,)</f>
        <v>Mix of Chocolate and Non-Chocolate Candy</v>
      </c>
      <c r="D4111" t="str">
        <f>_xlfn.XLOOKUP($A4111,Load!$B:$B,Load!E:E,0,)</f>
        <v>Variety / Mixed Flavors (Fruity, Sour, Seasonal Flavors)</v>
      </c>
      <c r="E4111" t="str">
        <f>_xlfn.XLOOKUP($A4111,Load!$B:$B,Load!F:F,0,)</f>
        <v>Mixed / Combo Packs (Gummy, Chewy, Taffy, etc.)</v>
      </c>
      <c r="F4111" t="str">
        <f>_xlfn.XLOOKUP($A4111,Load!$B:$B,Load!G:G,0,)</f>
        <v>Large Multipack (More than 80 ct)</v>
      </c>
      <c r="G4111" t="str">
        <f>_xlfn.XLOOKUP($A4111,Load!$B:$B,Load!H:H,0,)</f>
        <v>Stand-Up Bag</v>
      </c>
      <c r="H4111" t="str">
        <f>_xlfn.XLOOKUP($A4111,Load!$B:$B,Load!I:I,0,)</f>
        <v>Everyday Candy Shapes (like Original, Gummy bear, Fruit, Jewels, etc.)</v>
      </c>
      <c r="I4111" t="str">
        <f>_xlfn.XLOOKUP($A4111,Load!$B:$B,Load!J:J,0,)</f>
        <v>Seasonal Graphics (Like Bat, Ghost, Pumpkin, Fall Leaves, Eyeballs, etc.)</v>
      </c>
      <c r="J4111" t="str">
        <f>_xlfn.XLOOKUP($A4111,Load!$B:$B,Load!K:K,0,)</f>
        <v>Fun Size / Treat Size</v>
      </c>
      <c r="K4111" t="str">
        <f>_xlfn.XLOOKUP($A4111,Load!$B:$B,Load!L:L,0,)</f>
        <v>Regular/Original Wrapping</v>
      </c>
      <c r="L4111" t="str">
        <f>_xlfn.XLOOKUP($A4111,Load!$B:$B,Load!M:M,0,)</f>
        <v>Multiple Brands / Variety Flavors or Form</v>
      </c>
    </row>
    <row r="4112" spans="1:12" x14ac:dyDescent="0.25">
      <c r="A4112" t="s">
        <v>131</v>
      </c>
      <c r="B4112" t="str">
        <f>_xlfn.XLOOKUP($A4112,Load!$B:$B,Load!C:C,0,)</f>
        <v>Hershey's</v>
      </c>
      <c r="C4112" t="str">
        <f>_xlfn.XLOOKUP($A4112,Load!$B:$B,Load!D:D,0,)</f>
        <v>Mix of Chocolate and Non-Chocolate Candy</v>
      </c>
      <c r="D4112" t="str">
        <f>_xlfn.XLOOKUP($A4112,Load!$B:$B,Load!E:E,0,)</f>
        <v>Variety / Mixed Flavors (Fruity, Sour, Seasonal Flavors)</v>
      </c>
      <c r="E4112" t="str">
        <f>_xlfn.XLOOKUP($A4112,Load!$B:$B,Load!F:F,0,)</f>
        <v>Mixed / Combo Packs (Gummy, Chewy, Taffy, etc.)</v>
      </c>
      <c r="F4112" t="str">
        <f>_xlfn.XLOOKUP($A4112,Load!$B:$B,Load!G:G,0,)</f>
        <v>Large Multipack (More than 80 ct)</v>
      </c>
      <c r="G4112" t="str">
        <f>_xlfn.XLOOKUP($A4112,Load!$B:$B,Load!H:H,0,)</f>
        <v>Stand-Up Bag</v>
      </c>
      <c r="H4112" t="str">
        <f>_xlfn.XLOOKUP($A4112,Load!$B:$B,Load!I:I,0,)</f>
        <v>Everyday Candy Shapes (like Original, Gummy bear, Fruit, Jewels, etc.)</v>
      </c>
      <c r="I4112" t="str">
        <f>_xlfn.XLOOKUP($A4112,Load!$B:$B,Load!J:J,0,)</f>
        <v>Seasonal Graphics (Like Bat, Ghost, Pumpkin, Fall Leaves, Eyeballs, etc.)</v>
      </c>
      <c r="J4112" t="str">
        <f>_xlfn.XLOOKUP($A4112,Load!$B:$B,Load!K:K,0,)</f>
        <v>Fun Size / Treat Size</v>
      </c>
      <c r="K4112" t="str">
        <f>_xlfn.XLOOKUP($A4112,Load!$B:$B,Load!L:L,0,)</f>
        <v>Regular/Original Wrapping</v>
      </c>
      <c r="L4112" t="str">
        <f>_xlfn.XLOOKUP($A4112,Load!$B:$B,Load!M:M,0,)</f>
        <v>Multiple Brands / Variety Flavors or Form</v>
      </c>
    </row>
    <row r="4113" spans="1:12" x14ac:dyDescent="0.25">
      <c r="A4113" t="s">
        <v>189</v>
      </c>
      <c r="B4113" t="str">
        <f>_xlfn.XLOOKUP($A4113,Load!$B:$B,Load!C:C,0,)</f>
        <v>Mars Variety Pack</v>
      </c>
      <c r="C4113" t="str">
        <f>_xlfn.XLOOKUP($A4113,Load!$B:$B,Load!D:D,0,)</f>
        <v>Non-Chocolate Candy Only</v>
      </c>
      <c r="D4113" t="str">
        <f>_xlfn.XLOOKUP($A4113,Load!$B:$B,Load!E:E,0,)</f>
        <v>Variety / Mixed Flavors (Fruity, Sour, Seasonal Flavors)</v>
      </c>
      <c r="E4113" t="str">
        <f>_xlfn.XLOOKUP($A4113,Load!$B:$B,Load!F:F,0,)</f>
        <v>Mixed / Combo Packs (Gummy, Chewy, Taffy, etc.)</v>
      </c>
      <c r="F4113" t="str">
        <f>_xlfn.XLOOKUP($A4113,Load!$B:$B,Load!G:G,0,)</f>
        <v>Small Multipack (Less than 40 ct)</v>
      </c>
      <c r="G4113" t="str">
        <f>_xlfn.XLOOKUP($A4113,Load!$B:$B,Load!H:H,0,)</f>
        <v>Box (theatre box, gift box, carton)</v>
      </c>
      <c r="H4113" t="str">
        <f>_xlfn.XLOOKUP($A4113,Load!$B:$B,Load!I:I,0,)</f>
        <v>Everyday Candy Shapes (like Original, Gummy bear, Fruit, Jewels, etc.)</v>
      </c>
      <c r="I4113" t="str">
        <f>_xlfn.XLOOKUP($A4113,Load!$B:$B,Load!J:J,0,)</f>
        <v>Everyday Graphics</v>
      </c>
      <c r="J4113" t="str">
        <f>_xlfn.XLOOKUP($A4113,Load!$B:$B,Load!K:K,0,)</f>
        <v>Small Pieces (Tiny bite size candies)</v>
      </c>
      <c r="K4113" t="str">
        <f>_xlfn.XLOOKUP($A4113,Load!$B:$B,Load!L:L,0,)</f>
        <v>Regular/Original Wrapping</v>
      </c>
      <c r="L4113" t="str">
        <f>_xlfn.XLOOKUP($A4113,Load!$B:$B,Load!M:M,0,)</f>
        <v>Multiple Brands / Variety Flavors or Form</v>
      </c>
    </row>
    <row r="4114" spans="1:12" x14ac:dyDescent="0.25">
      <c r="A4114" t="s">
        <v>94</v>
      </c>
      <c r="B4114" t="str">
        <f>_xlfn.XLOOKUP($A4114,Load!$B:$B,Load!C:C,0,)</f>
        <v>Ferrara Variety Pack</v>
      </c>
      <c r="C4114" t="str">
        <f>_xlfn.XLOOKUP($A4114,Load!$B:$B,Load!D:D,0,)</f>
        <v>Non-Chocolate Candy Only</v>
      </c>
      <c r="D4114" t="str">
        <f>_xlfn.XLOOKUP($A4114,Load!$B:$B,Load!E:E,0,)</f>
        <v>Variety / Mixed Flavors (Fruity, Sour, Seasonal Flavors)</v>
      </c>
      <c r="E4114" t="str">
        <f>_xlfn.XLOOKUP($A4114,Load!$B:$B,Load!F:F,0,)</f>
        <v>Mixed / Combo Packs (Gummy, Chewy, Taffy, etc.)</v>
      </c>
      <c r="F4114" t="str">
        <f>_xlfn.XLOOKUP($A4114,Load!$B:$B,Load!G:G,0,)</f>
        <v>Large Multipack (More than 80 ct)</v>
      </c>
      <c r="G4114" t="str">
        <f>_xlfn.XLOOKUP($A4114,Load!$B:$B,Load!H:H,0,)</f>
        <v>Stand-Up Bag</v>
      </c>
      <c r="H4114" t="str">
        <f>_xlfn.XLOOKUP($A4114,Load!$B:$B,Load!I:I,0,)</f>
        <v>Everyday Candy Shapes (like Original, Gummy bear, Fruit, Jewels, etc.)</v>
      </c>
      <c r="I4114" t="str">
        <f>_xlfn.XLOOKUP($A4114,Load!$B:$B,Load!J:J,0,)</f>
        <v>Seasonal Graphics (Like Bat, Ghost, Pumpkin, Fall Leaves, Eyeballs, etc.)</v>
      </c>
      <c r="J4114" t="str">
        <f>_xlfn.XLOOKUP($A4114,Load!$B:$B,Load!K:K,0,)</f>
        <v xml:space="preserve">Variety Candy Sizes </v>
      </c>
      <c r="K4114" t="str">
        <f>_xlfn.XLOOKUP($A4114,Load!$B:$B,Load!L:L,0,)</f>
        <v>Regular/Original Wrapping</v>
      </c>
      <c r="L4114" t="str">
        <f>_xlfn.XLOOKUP($A4114,Load!$B:$B,Load!M:M,0,)</f>
        <v>Multiple Brands / Variety Flavors or Form</v>
      </c>
    </row>
    <row r="4115" spans="1:12" x14ac:dyDescent="0.25">
      <c r="B4115">
        <f>_xlfn.XLOOKUP($A4115,Load!$B:$B,Load!C:C,0,)</f>
        <v>0</v>
      </c>
      <c r="C4115">
        <f>_xlfn.XLOOKUP($A4115,Load!$B:$B,Load!D:D,0,)</f>
        <v>0</v>
      </c>
      <c r="D4115">
        <f>_xlfn.XLOOKUP($A4115,Load!$B:$B,Load!E:E,0,)</f>
        <v>0</v>
      </c>
      <c r="E4115">
        <f>_xlfn.XLOOKUP($A4115,Load!$B:$B,Load!F:F,0,)</f>
        <v>0</v>
      </c>
      <c r="F4115">
        <f>_xlfn.XLOOKUP($A4115,Load!$B:$B,Load!G:G,0,)</f>
        <v>0</v>
      </c>
      <c r="G4115">
        <f>_xlfn.XLOOKUP($A4115,Load!$B:$B,Load!H:H,0,)</f>
        <v>0</v>
      </c>
      <c r="H4115">
        <f>_xlfn.XLOOKUP($A4115,Load!$B:$B,Load!I:I,0,)</f>
        <v>0</v>
      </c>
      <c r="I4115">
        <f>_xlfn.XLOOKUP($A4115,Load!$B:$B,Load!J:J,0,)</f>
        <v>0</v>
      </c>
      <c r="J4115">
        <f>_xlfn.XLOOKUP($A4115,Load!$B:$B,Load!K:K,0,)</f>
        <v>0</v>
      </c>
      <c r="K4115">
        <f>_xlfn.XLOOKUP($A4115,Load!$B:$B,Load!L:L,0,)</f>
        <v>0</v>
      </c>
      <c r="L4115">
        <f>_xlfn.XLOOKUP($A4115,Load!$B:$B,Load!M:M,0,)</f>
        <v>0</v>
      </c>
    </row>
    <row r="4116" spans="1:12" x14ac:dyDescent="0.25">
      <c r="A4116" t="s">
        <v>24</v>
      </c>
      <c r="B4116" t="str">
        <f>_xlfn.XLOOKUP($A4116,Load!$B:$B,Load!C:C,0,)</f>
        <v>Albanese</v>
      </c>
      <c r="C4116" t="str">
        <f>_xlfn.XLOOKUP($A4116,Load!$B:$B,Load!D:D,0,)</f>
        <v>Non-Chocolate Candy Only</v>
      </c>
      <c r="D4116" t="str">
        <f>_xlfn.XLOOKUP($A4116,Load!$B:$B,Load!E:E,0,)</f>
        <v>Fruit Flavor (Cherry, Grape, Apple, Citrus, Tropical Fruit)</v>
      </c>
      <c r="E4116" t="str">
        <f>_xlfn.XLOOKUP($A4116,Load!$B:$B,Load!F:F,0,)</f>
        <v>Gummy</v>
      </c>
      <c r="F4116" t="str">
        <f>_xlfn.XLOOKUP($A4116,Load!$B:$B,Load!G:G,0,)</f>
        <v>Small Multipack (Less than 40 ct)</v>
      </c>
      <c r="G4116" t="str">
        <f>_xlfn.XLOOKUP($A4116,Load!$B:$B,Load!H:H,0,)</f>
        <v>Stand-Up Bag</v>
      </c>
      <c r="H4116" t="str">
        <f>_xlfn.XLOOKUP($A4116,Load!$B:$B,Load!I:I,0,)</f>
        <v>Seasonal Shapes (like pumpkins, candy corn, ghost, bats, etc.)</v>
      </c>
      <c r="I4116" t="str">
        <f>_xlfn.XLOOKUP($A4116,Load!$B:$B,Load!J:J,0,)</f>
        <v>Seasonal Graphics (Like Bat, Ghost, Pumpkin, Fall Leaves, Eyeballs, etc.)</v>
      </c>
      <c r="J4116" t="str">
        <f>_xlfn.XLOOKUP($A4116,Load!$B:$B,Load!K:K,0,)</f>
        <v>Small Pieces (Tiny bite size candies)</v>
      </c>
      <c r="K4116" t="str">
        <f>_xlfn.XLOOKUP($A4116,Load!$B:$B,Load!L:L,0,)</f>
        <v>unwrapped</v>
      </c>
      <c r="L4116" t="str">
        <f>_xlfn.XLOOKUP($A4116,Load!$B:$B,Load!M:M,0,)</f>
        <v>Single Brand / Variety Flavors or Form</v>
      </c>
    </row>
    <row r="4117" spans="1:12" x14ac:dyDescent="0.25">
      <c r="A4117" t="s">
        <v>39</v>
      </c>
      <c r="B4117" t="str">
        <f>_xlfn.XLOOKUP($A4117,Load!$B:$B,Load!C:C,0,)</f>
        <v>Brach's</v>
      </c>
      <c r="C4117" t="str">
        <f>_xlfn.XLOOKUP($A4117,Load!$B:$B,Load!D:D,0,)</f>
        <v>Non-Chocolate Candy Only</v>
      </c>
      <c r="D4117" t="str">
        <f>_xlfn.XLOOKUP($A4117,Load!$B:$B,Load!E:E,0,)</f>
        <v>Fall / Seasonal Flavors (pumpkin spice, caramel apple, candy corn)</v>
      </c>
      <c r="E4117" t="str">
        <f>_xlfn.XLOOKUP($A4117,Load!$B:$B,Load!F:F,0,)</f>
        <v>Candy Pieces / Bites</v>
      </c>
      <c r="F4117" t="str">
        <f>_xlfn.XLOOKUP($A4117,Load!$B:$B,Load!G:G,0,)</f>
        <v>Single Pack</v>
      </c>
      <c r="G4117" t="str">
        <f>_xlfn.XLOOKUP($A4117,Load!$B:$B,Load!H:H,0,)</f>
        <v>Stand-Up Bag</v>
      </c>
      <c r="H4117" t="str">
        <f>_xlfn.XLOOKUP($A4117,Load!$B:$B,Load!I:I,0,)</f>
        <v>Seasonal Shapes (like pumpkins, candy corn, ghost, bats, etc.)</v>
      </c>
      <c r="I4117" t="str">
        <f>_xlfn.XLOOKUP($A4117,Load!$B:$B,Load!J:J,0,)</f>
        <v>Seasonal Graphics (Like Bat, Ghost, Pumpkin, Fall Leaves, Eyeballs, etc.)</v>
      </c>
      <c r="J4117" t="str">
        <f>_xlfn.XLOOKUP($A4117,Load!$B:$B,Load!K:K,0,)</f>
        <v>Small Pieces (Tiny bite size candies)</v>
      </c>
      <c r="K4117" t="str">
        <f>_xlfn.XLOOKUP($A4117,Load!$B:$B,Load!L:L,0,)</f>
        <v>Unwrapped</v>
      </c>
      <c r="L4117" t="str">
        <f>_xlfn.XLOOKUP($A4117,Load!$B:$B,Load!M:M,0,)</f>
        <v>Single Brand / Single Flavor or Form</v>
      </c>
    </row>
    <row r="4118" spans="1:12" x14ac:dyDescent="0.25">
      <c r="B4118">
        <f>_xlfn.XLOOKUP($A4118,Load!$B:$B,Load!C:C,0,)</f>
        <v>0</v>
      </c>
      <c r="C4118">
        <f>_xlfn.XLOOKUP($A4118,Load!$B:$B,Load!D:D,0,)</f>
        <v>0</v>
      </c>
      <c r="D4118">
        <f>_xlfn.XLOOKUP($A4118,Load!$B:$B,Load!E:E,0,)</f>
        <v>0</v>
      </c>
      <c r="E4118">
        <f>_xlfn.XLOOKUP($A4118,Load!$B:$B,Load!F:F,0,)</f>
        <v>0</v>
      </c>
      <c r="F4118">
        <f>_xlfn.XLOOKUP($A4118,Load!$B:$B,Load!G:G,0,)</f>
        <v>0</v>
      </c>
      <c r="G4118">
        <f>_xlfn.XLOOKUP($A4118,Load!$B:$B,Load!H:H,0,)</f>
        <v>0</v>
      </c>
      <c r="H4118">
        <f>_xlfn.XLOOKUP($A4118,Load!$B:$B,Load!I:I,0,)</f>
        <v>0</v>
      </c>
      <c r="I4118">
        <f>_xlfn.XLOOKUP($A4118,Load!$B:$B,Load!J:J,0,)</f>
        <v>0</v>
      </c>
      <c r="J4118">
        <f>_xlfn.XLOOKUP($A4118,Load!$B:$B,Load!K:K,0,)</f>
        <v>0</v>
      </c>
      <c r="K4118">
        <f>_xlfn.XLOOKUP($A4118,Load!$B:$B,Load!L:L,0,)</f>
        <v>0</v>
      </c>
      <c r="L4118">
        <f>_xlfn.XLOOKUP($A4118,Load!$B:$B,Load!M:M,0,)</f>
        <v>0</v>
      </c>
    </row>
    <row r="4119" spans="1:12" x14ac:dyDescent="0.25">
      <c r="B4119">
        <f>_xlfn.XLOOKUP($A4119,Load!$B:$B,Load!C:C,0,)</f>
        <v>0</v>
      </c>
      <c r="C4119">
        <f>_xlfn.XLOOKUP($A4119,Load!$B:$B,Load!D:D,0,)</f>
        <v>0</v>
      </c>
      <c r="D4119">
        <f>_xlfn.XLOOKUP($A4119,Load!$B:$B,Load!E:E,0,)</f>
        <v>0</v>
      </c>
      <c r="E4119">
        <f>_xlfn.XLOOKUP($A4119,Load!$B:$B,Load!F:F,0,)</f>
        <v>0</v>
      </c>
      <c r="F4119">
        <f>_xlfn.XLOOKUP($A4119,Load!$B:$B,Load!G:G,0,)</f>
        <v>0</v>
      </c>
      <c r="G4119">
        <f>_xlfn.XLOOKUP($A4119,Load!$B:$B,Load!H:H,0,)</f>
        <v>0</v>
      </c>
      <c r="H4119">
        <f>_xlfn.XLOOKUP($A4119,Load!$B:$B,Load!I:I,0,)</f>
        <v>0</v>
      </c>
      <c r="I4119">
        <f>_xlfn.XLOOKUP($A4119,Load!$B:$B,Load!J:J,0,)</f>
        <v>0</v>
      </c>
      <c r="J4119">
        <f>_xlfn.XLOOKUP($A4119,Load!$B:$B,Load!K:K,0,)</f>
        <v>0</v>
      </c>
      <c r="K4119">
        <f>_xlfn.XLOOKUP($A4119,Load!$B:$B,Load!L:L,0,)</f>
        <v>0</v>
      </c>
      <c r="L4119">
        <f>_xlfn.XLOOKUP($A4119,Load!$B:$B,Load!M:M,0,)</f>
        <v>0</v>
      </c>
    </row>
    <row r="4120" spans="1:12" x14ac:dyDescent="0.25">
      <c r="A4120" t="s">
        <v>83</v>
      </c>
      <c r="B4120" t="str">
        <f>_xlfn.XLOOKUP($A4120,Load!$B:$B,Load!C:C,0,)</f>
        <v>Ferrara Variety Pack</v>
      </c>
      <c r="C4120" t="str">
        <f>_xlfn.XLOOKUP($A4120,Load!$B:$B,Load!D:D,0,)</f>
        <v>Non-Chocolate Candy Only</v>
      </c>
      <c r="D4120" t="str">
        <f>_xlfn.XLOOKUP($A4120,Load!$B:$B,Load!E:E,0,)</f>
        <v>Variety / Mixed Flavors (Fruity, Sour, Seasonal Flavors)</v>
      </c>
      <c r="E4120" t="str">
        <f>_xlfn.XLOOKUP($A4120,Load!$B:$B,Load!F:F,0,)</f>
        <v>Mixed / Combo Packs (Gummy, Chewy, Taffy, etc.)</v>
      </c>
      <c r="F4120" t="str">
        <f>_xlfn.XLOOKUP($A4120,Load!$B:$B,Load!G:G,0,)</f>
        <v>Medium Multipack (40–80 ct)</v>
      </c>
      <c r="G4120" t="str">
        <f>_xlfn.XLOOKUP($A4120,Load!$B:$B,Load!H:H,0,)</f>
        <v>Stand-Up Bag</v>
      </c>
      <c r="H4120" t="str">
        <f>_xlfn.XLOOKUP($A4120,Load!$B:$B,Load!I:I,0,)</f>
        <v>Everyday Candy Shapes (like Original, Gummy bear, Fruit, Jewels, etc.)</v>
      </c>
      <c r="I4120" t="str">
        <f>_xlfn.XLOOKUP($A4120,Load!$B:$B,Load!J:J,0,)</f>
        <v>Seasonal Graphics (Like Bat, Ghost, Pumpkin, Fall Leaves, Eyeballs, etc.)</v>
      </c>
      <c r="J4120" t="str">
        <f>_xlfn.XLOOKUP($A4120,Load!$B:$B,Load!K:K,0,)</f>
        <v xml:space="preserve">Variety Candy Sizes </v>
      </c>
      <c r="K4120" t="str">
        <f>_xlfn.XLOOKUP($A4120,Load!$B:$B,Load!L:L,0,)</f>
        <v>Regular/Original Wrapping</v>
      </c>
      <c r="L4120" t="str">
        <f>_xlfn.XLOOKUP($A4120,Load!$B:$B,Load!M:M,0,)</f>
        <v>Multiple Brands / Variety Flavors or Form</v>
      </c>
    </row>
    <row r="4121" spans="1:12" x14ac:dyDescent="0.25">
      <c r="A4121" t="s">
        <v>138</v>
      </c>
      <c r="B4121" t="str">
        <f>_xlfn.XLOOKUP($A4121,Load!$B:$B,Load!C:C,0,)</f>
        <v>Hershey's Variety Pack + Haribo</v>
      </c>
      <c r="C4121" t="str">
        <f>_xlfn.XLOOKUP($A4121,Load!$B:$B,Load!D:D,0,)</f>
        <v>Non-Chocolate Candy Only</v>
      </c>
      <c r="D4121" t="str">
        <f>_xlfn.XLOOKUP($A4121,Load!$B:$B,Load!E:E,0,)</f>
        <v>Variety / Mixed Flavors (Fruity, Sour, Seasonal Flavors)</v>
      </c>
      <c r="E4121" t="str">
        <f>_xlfn.XLOOKUP($A4121,Load!$B:$B,Load!F:F,0,)</f>
        <v>Mixed / Combo Packs (Gummy, Chewy, Taffy, etc.)</v>
      </c>
      <c r="F4121" t="str">
        <f>_xlfn.XLOOKUP($A4121,Load!$B:$B,Load!G:G,0,)</f>
        <v>Medium Multipack (40–80 ct)</v>
      </c>
      <c r="G4121" t="str">
        <f>_xlfn.XLOOKUP($A4121,Load!$B:$B,Load!H:H,0,)</f>
        <v>Laydown Bag</v>
      </c>
      <c r="H4121" t="str">
        <f>_xlfn.XLOOKUP($A4121,Load!$B:$B,Load!I:I,0,)</f>
        <v>Everyday Candy Shapes (like Original, Gummy bear, Fruit, Jewels, etc.)</v>
      </c>
      <c r="I4121" t="str">
        <f>_xlfn.XLOOKUP($A4121,Load!$B:$B,Load!J:J,0,)</f>
        <v>Seasonal Graphics (Like Bat, Ghost, Pumpkin, Fall Leaves, Eyeballs, etc.)</v>
      </c>
      <c r="J4121" t="str">
        <f>_xlfn.XLOOKUP($A4121,Load!$B:$B,Load!K:K,0,)</f>
        <v>Fun Size / Treat Size</v>
      </c>
      <c r="K4121" t="str">
        <f>_xlfn.XLOOKUP($A4121,Load!$B:$B,Load!L:L,0,)</f>
        <v>Regular/Original Wrapping</v>
      </c>
      <c r="L4121" t="str">
        <f>_xlfn.XLOOKUP($A4121,Load!$B:$B,Load!M:M,0,)</f>
        <v>Multiple Brands / Variety Flavors or Form</v>
      </c>
    </row>
    <row r="4122" spans="1:12" x14ac:dyDescent="0.25">
      <c r="A4122" t="s">
        <v>286</v>
      </c>
      <c r="B4122" t="str">
        <f>_xlfn.XLOOKUP($A4122,Load!$B:$B,Load!C:C,0,)</f>
        <v>SweeTARTS</v>
      </c>
      <c r="C4122" t="str">
        <f>_xlfn.XLOOKUP($A4122,Load!$B:$B,Load!D:D,0,)</f>
        <v>Non-Chocolate Candy Only</v>
      </c>
      <c r="D4122" t="str">
        <f>_xlfn.XLOOKUP($A4122,Load!$B:$B,Load!E:E,0,)</f>
        <v>Variety / Mixed Flavors (Fruity, Sour, Seasonal Flavors)</v>
      </c>
      <c r="E4122" t="str">
        <f>_xlfn.XLOOKUP($A4122,Load!$B:$B,Load!F:F,0,)</f>
        <v>Chewy</v>
      </c>
      <c r="F4122" t="str">
        <f>_xlfn.XLOOKUP($A4122,Load!$B:$B,Load!G:G,0,)</f>
        <v>Small Multipack (Less than 40 ct)</v>
      </c>
      <c r="G4122" t="str">
        <f>_xlfn.XLOOKUP($A4122,Load!$B:$B,Load!H:H,0,)</f>
        <v>Stand-Up Bag</v>
      </c>
      <c r="H4122" t="str">
        <f>_xlfn.XLOOKUP($A4122,Load!$B:$B,Load!I:I,0,)</f>
        <v>Everyday Candy Shapes (like Original, Gummy bear, Fruit, Jewels, etc.)</v>
      </c>
      <c r="I4122" t="str">
        <f>_xlfn.XLOOKUP($A4122,Load!$B:$B,Load!J:J,0,)</f>
        <v>Seasonal Graphics (Like Bat, Ghost, Pumpkin, Fall Leaves, Eyeballs, etc.)</v>
      </c>
      <c r="J4122" t="str">
        <f>_xlfn.XLOOKUP($A4122,Load!$B:$B,Load!K:K,0,)</f>
        <v>Fun Size / Treat Size</v>
      </c>
      <c r="K4122" t="str">
        <f>_xlfn.XLOOKUP($A4122,Load!$B:$B,Load!L:L,0,)</f>
        <v>Regular/Original Wrapping</v>
      </c>
      <c r="L4122" t="str">
        <f>_xlfn.XLOOKUP($A4122,Load!$B:$B,Load!M:M,0,)</f>
        <v>Single Brand / Variety Flavors or Form</v>
      </c>
    </row>
    <row r="4123" spans="1:12" x14ac:dyDescent="0.25">
      <c r="B4123">
        <f>_xlfn.XLOOKUP($A4123,Load!$B:$B,Load!C:C,0,)</f>
        <v>0</v>
      </c>
      <c r="C4123">
        <f>_xlfn.XLOOKUP($A4123,Load!$B:$B,Load!D:D,0,)</f>
        <v>0</v>
      </c>
      <c r="D4123">
        <f>_xlfn.XLOOKUP($A4123,Load!$B:$B,Load!E:E,0,)</f>
        <v>0</v>
      </c>
      <c r="E4123">
        <f>_xlfn.XLOOKUP($A4123,Load!$B:$B,Load!F:F,0,)</f>
        <v>0</v>
      </c>
      <c r="F4123">
        <f>_xlfn.XLOOKUP($A4123,Load!$B:$B,Load!G:G,0,)</f>
        <v>0</v>
      </c>
      <c r="G4123">
        <f>_xlfn.XLOOKUP($A4123,Load!$B:$B,Load!H:H,0,)</f>
        <v>0</v>
      </c>
      <c r="H4123">
        <f>_xlfn.XLOOKUP($A4123,Load!$B:$B,Load!I:I,0,)</f>
        <v>0</v>
      </c>
      <c r="I4123">
        <f>_xlfn.XLOOKUP($A4123,Load!$B:$B,Load!J:J,0,)</f>
        <v>0</v>
      </c>
      <c r="J4123">
        <f>_xlfn.XLOOKUP($A4123,Load!$B:$B,Load!K:K,0,)</f>
        <v>0</v>
      </c>
      <c r="K4123">
        <f>_xlfn.XLOOKUP($A4123,Load!$B:$B,Load!L:L,0,)</f>
        <v>0</v>
      </c>
      <c r="L4123">
        <f>_xlfn.XLOOKUP($A4123,Load!$B:$B,Load!M:M,0,)</f>
        <v>0</v>
      </c>
    </row>
    <row r="4124" spans="1:12" x14ac:dyDescent="0.25">
      <c r="A4124" t="s">
        <v>325</v>
      </c>
      <c r="B4124" t="str">
        <f>_xlfn.XLOOKUP($A4124,Load!$B:$B,Load!C:C,0,)</f>
        <v>Zachary</v>
      </c>
      <c r="C4124" t="str">
        <f>_xlfn.XLOOKUP($A4124,Load!$B:$B,Load!D:D,0,)</f>
        <v>Non-Chocolate Candy Only</v>
      </c>
      <c r="D4124" t="str">
        <f>_xlfn.XLOOKUP($A4124,Load!$B:$B,Load!E:E,0,)</f>
        <v>Fall / Seasonal Flavors (pumpkin spice, caramel apple, candy corn)</v>
      </c>
      <c r="E4124" t="str">
        <f>_xlfn.XLOOKUP($A4124,Load!$B:$B,Load!F:F,0,)</f>
        <v>Candy Pieces / Bites</v>
      </c>
      <c r="F4124" t="str">
        <f>_xlfn.XLOOKUP($A4124,Load!$B:$B,Load!G:G,0,)</f>
        <v>Single Pack</v>
      </c>
      <c r="G4124" t="str">
        <f>_xlfn.XLOOKUP($A4124,Load!$B:$B,Load!H:H,0,)</f>
        <v>Plastic Cup / Container</v>
      </c>
      <c r="H4124" t="str">
        <f>_xlfn.XLOOKUP($A4124,Load!$B:$B,Load!I:I,0,)</f>
        <v>Seasonal Shapes (like pumpkins, candy corn, ghost, bats, etc.)</v>
      </c>
      <c r="I4124" t="str">
        <f>_xlfn.XLOOKUP($A4124,Load!$B:$B,Load!J:J,0,)</f>
        <v>Seasonal Graphics (Like Bat, Ghost, Pumpkin, Fall Leaves, Eyeballs, etc.)</v>
      </c>
      <c r="J4124" t="str">
        <f>_xlfn.XLOOKUP($A4124,Load!$B:$B,Load!K:K,0,)</f>
        <v>Small Pieces (Tiny bite size candies)</v>
      </c>
      <c r="K4124" t="str">
        <f>_xlfn.XLOOKUP($A4124,Load!$B:$B,Load!L:L,0,)</f>
        <v>Unwrapped</v>
      </c>
      <c r="L4124" t="str">
        <f>_xlfn.XLOOKUP($A4124,Load!$B:$B,Load!M:M,0,)</f>
        <v>Single Brand / Single Flavor or Form</v>
      </c>
    </row>
    <row r="4125" spans="1:12" x14ac:dyDescent="0.25">
      <c r="A4125" t="s">
        <v>476</v>
      </c>
      <c r="B4125" t="str">
        <f>_xlfn.XLOOKUP($A4125,Load!$B:$B,Load!C:C,0,)</f>
        <v>Zachary</v>
      </c>
      <c r="C4125" t="str">
        <f>_xlfn.XLOOKUP($A4125,Load!$B:$B,Load!D:D,0,)</f>
        <v>Non-Chocolate Candy Only</v>
      </c>
      <c r="D4125" t="str">
        <f>_xlfn.XLOOKUP($A4125,Load!$B:$B,Load!E:E,0,)</f>
        <v>Fall / Seasonal Flavors (pumpkin spice, caramel apple, candy corn)</v>
      </c>
      <c r="E4125" t="str">
        <f>_xlfn.XLOOKUP($A4125,Load!$B:$B,Load!F:F,0,)</f>
        <v>Candy Pieces / Bites</v>
      </c>
      <c r="F4125" t="str">
        <f>_xlfn.XLOOKUP($A4125,Load!$B:$B,Load!G:G,0,)</f>
        <v>Single Pack</v>
      </c>
      <c r="G4125" t="str">
        <f>_xlfn.XLOOKUP($A4125,Load!$B:$B,Load!H:H,0,)</f>
        <v>Plastic Cup / Container</v>
      </c>
      <c r="H4125" t="str">
        <f>_xlfn.XLOOKUP($A4125,Load!$B:$B,Load!I:I,0,)</f>
        <v>Seasonal Shapes (like pumpkins, candy corn, ghost, bats, etc.)</v>
      </c>
      <c r="I4125" t="str">
        <f>_xlfn.XLOOKUP($A4125,Load!$B:$B,Load!J:J,0,)</f>
        <v>Seasonal Graphics (Like Bat, Ghost, Pumpkin, Fall Leaves, Eyeballs, etc.)</v>
      </c>
      <c r="J4125" t="str">
        <f>_xlfn.XLOOKUP($A4125,Load!$B:$B,Load!K:K,0,)</f>
        <v>Small Pieces (Tiny bite size candies)</v>
      </c>
      <c r="K4125" t="str">
        <f>_xlfn.XLOOKUP($A4125,Load!$B:$B,Load!L:L,0,)</f>
        <v>Unwrapped</v>
      </c>
      <c r="L4125" t="str">
        <f>_xlfn.XLOOKUP($A4125,Load!$B:$B,Load!M:M,0,)</f>
        <v>Single Brand / Single Flavor or Form</v>
      </c>
    </row>
    <row r="4126" spans="1:12" x14ac:dyDescent="0.25">
      <c r="A4126" t="s">
        <v>204</v>
      </c>
      <c r="B4126" t="str">
        <f>_xlfn.XLOOKUP($A4126,Load!$B:$B,Load!C:C,0,)</f>
        <v>Mars Variety Pack</v>
      </c>
      <c r="C4126" t="str">
        <f>_xlfn.XLOOKUP($A4126,Load!$B:$B,Load!D:D,0,)</f>
        <v>Mix of Chocolate and Non-Chocolate Candy</v>
      </c>
      <c r="D4126" t="str">
        <f>_xlfn.XLOOKUP($A4126,Load!$B:$B,Load!E:E,0,)</f>
        <v>Variety / Mixed Flavors (Fruity, Sour, Seasonal Flavors)</v>
      </c>
      <c r="E4126" t="str">
        <f>_xlfn.XLOOKUP($A4126,Load!$B:$B,Load!F:F,0,)</f>
        <v>Mixed / Combo Packs (Gummy, Chewy, Taffy, etc.)</v>
      </c>
      <c r="F4126" t="str">
        <f>_xlfn.XLOOKUP($A4126,Load!$B:$B,Load!G:G,0,)</f>
        <v>Medium Multipack (40–80 ct)</v>
      </c>
      <c r="G4126" t="str">
        <f>_xlfn.XLOOKUP($A4126,Load!$B:$B,Load!H:H,0,)</f>
        <v>Stand-Up Bag</v>
      </c>
      <c r="H4126" t="str">
        <f>_xlfn.XLOOKUP($A4126,Load!$B:$B,Load!I:I,0,)</f>
        <v>Everyday Candy Shapes (like Original, Gummy bear, Fruit, Jewels, etc.)</v>
      </c>
      <c r="I4126" t="str">
        <f>_xlfn.XLOOKUP($A4126,Load!$B:$B,Load!J:J,0,)</f>
        <v>Everyday Graphics</v>
      </c>
      <c r="J4126" t="str">
        <f>_xlfn.XLOOKUP($A4126,Load!$B:$B,Load!K:K,0,)</f>
        <v>Fun Size / Treat Size</v>
      </c>
      <c r="K4126" t="str">
        <f>_xlfn.XLOOKUP($A4126,Load!$B:$B,Load!L:L,0,)</f>
        <v>Regular/Original Wrapping</v>
      </c>
      <c r="L4126" t="str">
        <f>_xlfn.XLOOKUP($A4126,Load!$B:$B,Load!M:M,0,)</f>
        <v>Multiple Brands / Variety Flavors or Form</v>
      </c>
    </row>
    <row r="4127" spans="1:12" x14ac:dyDescent="0.25">
      <c r="B4127">
        <f>_xlfn.XLOOKUP($A4127,Load!$B:$B,Load!C:C,0,)</f>
        <v>0</v>
      </c>
      <c r="C4127">
        <f>_xlfn.XLOOKUP($A4127,Load!$B:$B,Load!D:D,0,)</f>
        <v>0</v>
      </c>
      <c r="D4127">
        <f>_xlfn.XLOOKUP($A4127,Load!$B:$B,Load!E:E,0,)</f>
        <v>0</v>
      </c>
      <c r="E4127">
        <f>_xlfn.XLOOKUP($A4127,Load!$B:$B,Load!F:F,0,)</f>
        <v>0</v>
      </c>
      <c r="F4127">
        <f>_xlfn.XLOOKUP($A4127,Load!$B:$B,Load!G:G,0,)</f>
        <v>0</v>
      </c>
      <c r="G4127">
        <f>_xlfn.XLOOKUP($A4127,Load!$B:$B,Load!H:H,0,)</f>
        <v>0</v>
      </c>
      <c r="H4127">
        <f>_xlfn.XLOOKUP($A4127,Load!$B:$B,Load!I:I,0,)</f>
        <v>0</v>
      </c>
      <c r="I4127">
        <f>_xlfn.XLOOKUP($A4127,Load!$B:$B,Load!J:J,0,)</f>
        <v>0</v>
      </c>
      <c r="J4127">
        <f>_xlfn.XLOOKUP($A4127,Load!$B:$B,Load!K:K,0,)</f>
        <v>0</v>
      </c>
      <c r="K4127">
        <f>_xlfn.XLOOKUP($A4127,Load!$B:$B,Load!L:L,0,)</f>
        <v>0</v>
      </c>
      <c r="L4127">
        <f>_xlfn.XLOOKUP($A4127,Load!$B:$B,Load!M:M,0,)</f>
        <v>0</v>
      </c>
    </row>
    <row r="4128" spans="1:12" x14ac:dyDescent="0.25">
      <c r="A4128" t="s">
        <v>128</v>
      </c>
      <c r="B4128" t="str">
        <f>_xlfn.XLOOKUP($A4128,Load!$B:$B,Load!C:C,0,)</f>
        <v>HARIBO</v>
      </c>
      <c r="C4128" t="str">
        <f>_xlfn.XLOOKUP($A4128,Load!$B:$B,Load!D:D,0,)</f>
        <v>Non-Chocolate Candy Only</v>
      </c>
      <c r="D4128" t="str">
        <f>_xlfn.XLOOKUP($A4128,Load!$B:$B,Load!E:E,0,)</f>
        <v>Fruit Flavor (Cherry, Grape, Apple, Citrus, Tropical Fruit)</v>
      </c>
      <c r="E4128" t="str">
        <f>_xlfn.XLOOKUP($A4128,Load!$B:$B,Load!F:F,0,)</f>
        <v>Gummy</v>
      </c>
      <c r="F4128" t="str">
        <f>_xlfn.XLOOKUP($A4128,Load!$B:$B,Load!G:G,0,)</f>
        <v>Medium Multipack (40–80 ct)</v>
      </c>
      <c r="G4128" t="str">
        <f>_xlfn.XLOOKUP($A4128,Load!$B:$B,Load!H:H,0,)</f>
        <v>Plastic Cup / Container</v>
      </c>
      <c r="H4128" t="str">
        <f>_xlfn.XLOOKUP($A4128,Load!$B:$B,Load!I:I,0,)</f>
        <v>Everyday Candy Shapes (like Original, Gummy bear, Fruit, Jewels, etc.)</v>
      </c>
      <c r="I4128" t="str">
        <f>_xlfn.XLOOKUP($A4128,Load!$B:$B,Load!J:J,0,)</f>
        <v>Everyday Graphics</v>
      </c>
      <c r="J4128" t="str">
        <f>_xlfn.XLOOKUP($A4128,Load!$B:$B,Load!K:K,0,)</f>
        <v>Small Pieces (Tiny bite size candies)</v>
      </c>
      <c r="K4128" t="str">
        <f>_xlfn.XLOOKUP($A4128,Load!$B:$B,Load!L:L,0,)</f>
        <v>Regular/Original Wrapping</v>
      </c>
      <c r="L4128" t="str">
        <f>_xlfn.XLOOKUP($A4128,Load!$B:$B,Load!M:M,0,)</f>
        <v>Single Brand / Variety Flavors or Form</v>
      </c>
    </row>
    <row r="4129" spans="1:12" x14ac:dyDescent="0.25">
      <c r="A4129" t="s">
        <v>237</v>
      </c>
      <c r="B4129" t="str">
        <f>_xlfn.XLOOKUP($A4129,Load!$B:$B,Load!C:C,0,)</f>
        <v>Now &amp; Later</v>
      </c>
      <c r="C4129" t="str">
        <f>_xlfn.XLOOKUP($A4129,Load!$B:$B,Load!D:D,0,)</f>
        <v>Non-Chocolate Candy Only</v>
      </c>
      <c r="D4129" t="str">
        <f>_xlfn.XLOOKUP($A4129,Load!$B:$B,Load!E:E,0,)</f>
        <v>Fruit Flavor (Cherry, Grape, Apple, Citrus, Tropical Fruit)</v>
      </c>
      <c r="E4129" t="str">
        <f>_xlfn.XLOOKUP($A4129,Load!$B:$B,Load!F:F,0,)</f>
        <v>Chewy</v>
      </c>
      <c r="F4129" t="str">
        <f>_xlfn.XLOOKUP($A4129,Load!$B:$B,Load!G:G,0,)</f>
        <v>Medium Multipack (40–80 ct)</v>
      </c>
      <c r="G4129" t="str">
        <f>_xlfn.XLOOKUP($A4129,Load!$B:$B,Load!H:H,0,)</f>
        <v>Laydown Bag</v>
      </c>
      <c r="H4129" t="str">
        <f>_xlfn.XLOOKUP($A4129,Load!$B:$B,Load!I:I,0,)</f>
        <v>Everyday Candy Shapes (like Original, Gummy bear, Fruit, Jewels, etc.)</v>
      </c>
      <c r="I4129" t="str">
        <f>_xlfn.XLOOKUP($A4129,Load!$B:$B,Load!J:J,0,)</f>
        <v>Seasonal Graphics (Like Bat, Ghost, Pumpkin, Fall Leaves, Eyeballs, etc.)</v>
      </c>
      <c r="J4129" t="str">
        <f>_xlfn.XLOOKUP($A4129,Load!$B:$B,Load!K:K,0,)</f>
        <v>Small Pieces (Tiny bite size candies)</v>
      </c>
      <c r="K4129" t="str">
        <f>_xlfn.XLOOKUP($A4129,Load!$B:$B,Load!L:L,0,)</f>
        <v>Regular/Original Wrapping</v>
      </c>
      <c r="L4129" t="str">
        <f>_xlfn.XLOOKUP($A4129,Load!$B:$B,Load!M:M,0,)</f>
        <v>Single Brand / Variety Flavors or Form</v>
      </c>
    </row>
    <row r="4130" spans="1:12" x14ac:dyDescent="0.25">
      <c r="A4130" t="s">
        <v>23</v>
      </c>
      <c r="B4130" t="str">
        <f>_xlfn.XLOOKUP($A4130,Load!$B:$B,Load!C:C,0,)</f>
        <v>Albanese</v>
      </c>
      <c r="C4130" t="str">
        <f>_xlfn.XLOOKUP($A4130,Load!$B:$B,Load!D:D,0,)</f>
        <v>Non-Chocolate Candy Only</v>
      </c>
      <c r="D4130" t="str">
        <f>_xlfn.XLOOKUP($A4130,Load!$B:$B,Load!E:E,0,)</f>
        <v>Fruit Flavor (Cherry, Grape, Apple, Citrus, Tropical Fruit)</v>
      </c>
      <c r="E4130" t="str">
        <f>_xlfn.XLOOKUP($A4130,Load!$B:$B,Load!F:F,0,)</f>
        <v>Gummy</v>
      </c>
      <c r="F4130" t="str">
        <f>_xlfn.XLOOKUP($A4130,Load!$B:$B,Load!G:G,0,)</f>
        <v>Single Pack</v>
      </c>
      <c r="G4130" t="str">
        <f>_xlfn.XLOOKUP($A4130,Load!$B:$B,Load!H:H,0,)</f>
        <v>Stand-Up Bag</v>
      </c>
      <c r="H4130" t="str">
        <f>_xlfn.XLOOKUP($A4130,Load!$B:$B,Load!I:I,0,)</f>
        <v>Seasonal Shapes (like pumpkins, candy corn, ghost, bats, etc.)</v>
      </c>
      <c r="I4130" t="str">
        <f>_xlfn.XLOOKUP($A4130,Load!$B:$B,Load!J:J,0,)</f>
        <v>Seasonal Graphics (Like Bat, Ghost, Pumpkin, Fall Leaves, Eyeballs, etc.)</v>
      </c>
      <c r="J4130" t="str">
        <f>_xlfn.XLOOKUP($A4130,Load!$B:$B,Load!K:K,0,)</f>
        <v>Small Pieces (Tiny bite size candies)</v>
      </c>
      <c r="K4130" t="str">
        <f>_xlfn.XLOOKUP($A4130,Load!$B:$B,Load!L:L,0,)</f>
        <v>unwrapped</v>
      </c>
      <c r="L4130" t="str">
        <f>_xlfn.XLOOKUP($A4130,Load!$B:$B,Load!M:M,0,)</f>
        <v>Single Brand / Variety Flavors or Form</v>
      </c>
    </row>
    <row r="4131" spans="1:12" x14ac:dyDescent="0.25">
      <c r="B4131">
        <f>_xlfn.XLOOKUP($A4131,Load!$B:$B,Load!C:C,0,)</f>
        <v>0</v>
      </c>
      <c r="C4131">
        <f>_xlfn.XLOOKUP($A4131,Load!$B:$B,Load!D:D,0,)</f>
        <v>0</v>
      </c>
      <c r="D4131">
        <f>_xlfn.XLOOKUP($A4131,Load!$B:$B,Load!E:E,0,)</f>
        <v>0</v>
      </c>
      <c r="E4131">
        <f>_xlfn.XLOOKUP($A4131,Load!$B:$B,Load!F:F,0,)</f>
        <v>0</v>
      </c>
      <c r="F4131">
        <f>_xlfn.XLOOKUP($A4131,Load!$B:$B,Load!G:G,0,)</f>
        <v>0</v>
      </c>
      <c r="G4131">
        <f>_xlfn.XLOOKUP($A4131,Load!$B:$B,Load!H:H,0,)</f>
        <v>0</v>
      </c>
      <c r="H4131">
        <f>_xlfn.XLOOKUP($A4131,Load!$B:$B,Load!I:I,0,)</f>
        <v>0</v>
      </c>
      <c r="I4131">
        <f>_xlfn.XLOOKUP($A4131,Load!$B:$B,Load!J:J,0,)</f>
        <v>0</v>
      </c>
      <c r="J4131">
        <f>_xlfn.XLOOKUP($A4131,Load!$B:$B,Load!K:K,0,)</f>
        <v>0</v>
      </c>
      <c r="K4131">
        <f>_xlfn.XLOOKUP($A4131,Load!$B:$B,Load!L:L,0,)</f>
        <v>0</v>
      </c>
      <c r="L4131">
        <f>_xlfn.XLOOKUP($A4131,Load!$B:$B,Load!M:M,0,)</f>
        <v>0</v>
      </c>
    </row>
    <row r="4132" spans="1:12" x14ac:dyDescent="0.25">
      <c r="A4132" t="s">
        <v>107</v>
      </c>
      <c r="B4132" t="str">
        <f>_xlfn.XLOOKUP($A4132,Load!$B:$B,Load!C:C,0,)</f>
        <v>Frankford</v>
      </c>
      <c r="C4132" t="str">
        <f>_xlfn.XLOOKUP($A4132,Load!$B:$B,Load!D:D,0,)</f>
        <v>Non-Chocolate Candy Only</v>
      </c>
      <c r="D4132" t="str">
        <f>_xlfn.XLOOKUP($A4132,Load!$B:$B,Load!E:E,0,)</f>
        <v>Variety / Mixed Flavors (Fruity, Sour, Seasonal Flavors)</v>
      </c>
      <c r="E4132" t="str">
        <f>_xlfn.XLOOKUP($A4132,Load!$B:$B,Load!F:F,0,)</f>
        <v>Mixed / Combo Packs (Gummy, Chewy, Taffy, etc.)</v>
      </c>
      <c r="F4132" t="str">
        <f>_xlfn.XLOOKUP($A4132,Load!$B:$B,Load!G:G,0,)</f>
        <v>Large Multipack (More than 80 ct)</v>
      </c>
      <c r="G4132" t="str">
        <f>_xlfn.XLOOKUP($A4132,Load!$B:$B,Load!H:H,0,)</f>
        <v>Laydown Bag</v>
      </c>
      <c r="H4132" t="str">
        <f>_xlfn.XLOOKUP($A4132,Load!$B:$B,Load!I:I,0,)</f>
        <v>Everyday Candy Shapes (like Original, Gummy bear, Fruit, Jewels, etc.)</v>
      </c>
      <c r="I4132" t="str">
        <f>_xlfn.XLOOKUP($A4132,Load!$B:$B,Load!J:J,0,)</f>
        <v>Seasonal Graphics (Like Bat, Ghost, Pumpkin, Fall Leaves, Eyeballs, etc.)</v>
      </c>
      <c r="J4132" t="str">
        <f>_xlfn.XLOOKUP($A4132,Load!$B:$B,Load!K:K,0,)</f>
        <v xml:space="preserve">Variety Candy Sizes </v>
      </c>
      <c r="K4132" t="str">
        <f>_xlfn.XLOOKUP($A4132,Load!$B:$B,Load!L:L,0,)</f>
        <v>Regular/Original Wrapping</v>
      </c>
      <c r="L4132" t="str">
        <f>_xlfn.XLOOKUP($A4132,Load!$B:$B,Load!M:M,0,)</f>
        <v>Multiple Brands / Variety Flavors or Form</v>
      </c>
    </row>
    <row r="4133" spans="1:12" x14ac:dyDescent="0.25">
      <c r="A4133" t="s">
        <v>81</v>
      </c>
      <c r="B4133" t="str">
        <f>_xlfn.XLOOKUP($A4133,Load!$B:$B,Load!C:C,0,)</f>
        <v>Ferrara Variety Pack</v>
      </c>
      <c r="C4133" t="str">
        <f>_xlfn.XLOOKUP($A4133,Load!$B:$B,Load!D:D,0,)</f>
        <v>Non-Chocolate Candy Only</v>
      </c>
      <c r="D4133" t="str">
        <f>_xlfn.XLOOKUP($A4133,Load!$B:$B,Load!E:E,0,)</f>
        <v>Variety / Mixed Flavors (Fruity, Sour, Seasonal Flavors)</v>
      </c>
      <c r="E4133" t="str">
        <f>_xlfn.XLOOKUP($A4133,Load!$B:$B,Load!F:F,0,)</f>
        <v>Mixed / Combo Packs (Gummy, Chewy, Taffy, etc.)</v>
      </c>
      <c r="F4133" t="str">
        <f>_xlfn.XLOOKUP($A4133,Load!$B:$B,Load!G:G,0,)</f>
        <v>Medium Multipack (40–80 ct)</v>
      </c>
      <c r="G4133" t="str">
        <f>_xlfn.XLOOKUP($A4133,Load!$B:$B,Load!H:H,0,)</f>
        <v>Stand-Up Bag</v>
      </c>
      <c r="H4133" t="str">
        <f>_xlfn.XLOOKUP($A4133,Load!$B:$B,Load!I:I,0,)</f>
        <v>Everyday Candy Shapes (like Original, Gummy bear, Fruit, Jewels, etc.)</v>
      </c>
      <c r="I4133" t="str">
        <f>_xlfn.XLOOKUP($A4133,Load!$B:$B,Load!J:J,0,)</f>
        <v>Seasonal Graphics (Like Bat, Ghost, Pumpkin, Fall Leaves, Eyeballs, etc.)</v>
      </c>
      <c r="J4133" t="str">
        <f>_xlfn.XLOOKUP($A4133,Load!$B:$B,Load!K:K,0,)</f>
        <v xml:space="preserve">Variety Candy Sizes </v>
      </c>
      <c r="K4133" t="str">
        <f>_xlfn.XLOOKUP($A4133,Load!$B:$B,Load!L:L,0,)</f>
        <v>Regular/Original Wrapping</v>
      </c>
      <c r="L4133" t="str">
        <f>_xlfn.XLOOKUP($A4133,Load!$B:$B,Load!M:M,0,)</f>
        <v>Multiple Brands / Variety Flavors or Form</v>
      </c>
    </row>
    <row r="4134" spans="1:12" x14ac:dyDescent="0.25">
      <c r="A4134" t="s">
        <v>204</v>
      </c>
      <c r="B4134" t="str">
        <f>_xlfn.XLOOKUP($A4134,Load!$B:$B,Load!C:C,0,)</f>
        <v>Mars Variety Pack</v>
      </c>
      <c r="C4134" t="str">
        <f>_xlfn.XLOOKUP($A4134,Load!$B:$B,Load!D:D,0,)</f>
        <v>Mix of Chocolate and Non-Chocolate Candy</v>
      </c>
      <c r="D4134" t="str">
        <f>_xlfn.XLOOKUP($A4134,Load!$B:$B,Load!E:E,0,)</f>
        <v>Variety / Mixed Flavors (Fruity, Sour, Seasonal Flavors)</v>
      </c>
      <c r="E4134" t="str">
        <f>_xlfn.XLOOKUP($A4134,Load!$B:$B,Load!F:F,0,)</f>
        <v>Mixed / Combo Packs (Gummy, Chewy, Taffy, etc.)</v>
      </c>
      <c r="F4134" t="str">
        <f>_xlfn.XLOOKUP($A4134,Load!$B:$B,Load!G:G,0,)</f>
        <v>Medium Multipack (40–80 ct)</v>
      </c>
      <c r="G4134" t="str">
        <f>_xlfn.XLOOKUP($A4134,Load!$B:$B,Load!H:H,0,)</f>
        <v>Stand-Up Bag</v>
      </c>
      <c r="H4134" t="str">
        <f>_xlfn.XLOOKUP($A4134,Load!$B:$B,Load!I:I,0,)</f>
        <v>Everyday Candy Shapes (like Original, Gummy bear, Fruit, Jewels, etc.)</v>
      </c>
      <c r="I4134" t="str">
        <f>_xlfn.XLOOKUP($A4134,Load!$B:$B,Load!J:J,0,)</f>
        <v>Everyday Graphics</v>
      </c>
      <c r="J4134" t="str">
        <f>_xlfn.XLOOKUP($A4134,Load!$B:$B,Load!K:K,0,)</f>
        <v>Fun Size / Treat Size</v>
      </c>
      <c r="K4134" t="str">
        <f>_xlfn.XLOOKUP($A4134,Load!$B:$B,Load!L:L,0,)</f>
        <v>Regular/Original Wrapping</v>
      </c>
      <c r="L4134" t="str">
        <f>_xlfn.XLOOKUP($A4134,Load!$B:$B,Load!M:M,0,)</f>
        <v>Multiple Brands / Variety Flavors or Form</v>
      </c>
    </row>
    <row r="4135" spans="1:12" x14ac:dyDescent="0.25">
      <c r="A4135" t="s">
        <v>174</v>
      </c>
      <c r="B4135" t="str">
        <f>_xlfn.XLOOKUP($A4135,Load!$B:$B,Load!C:C,0,)</f>
        <v>Mars Variety Pack</v>
      </c>
      <c r="C4135" t="str">
        <f>_xlfn.XLOOKUP($A4135,Load!$B:$B,Load!D:D,0,)</f>
        <v>Non-Chocolate Candy Only</v>
      </c>
      <c r="D4135" t="str">
        <f>_xlfn.XLOOKUP($A4135,Load!$B:$B,Load!E:E,0,)</f>
        <v>Variety / Mixed Flavors (Fruity, Sour, Seasonal Flavors)</v>
      </c>
      <c r="E4135" t="str">
        <f>_xlfn.XLOOKUP($A4135,Load!$B:$B,Load!F:F,0,)</f>
        <v>Mixed / Combo Packs (Gummy, Chewy, Taffy, etc.)</v>
      </c>
      <c r="F4135" t="str">
        <f>_xlfn.XLOOKUP($A4135,Load!$B:$B,Load!G:G,0,)</f>
        <v>Medium Multipack (40–80 ct)</v>
      </c>
      <c r="G4135" t="str">
        <f>_xlfn.XLOOKUP($A4135,Load!$B:$B,Load!H:H,0,)</f>
        <v>Stand-Up Bag</v>
      </c>
      <c r="H4135" t="str">
        <f>_xlfn.XLOOKUP($A4135,Load!$B:$B,Load!I:I,0,)</f>
        <v>Everyday Candy Shapes (like Original, Gummy bear, Fruit, Jewels, etc.)</v>
      </c>
      <c r="I4135" t="str">
        <f>_xlfn.XLOOKUP($A4135,Load!$B:$B,Load!J:J,0,)</f>
        <v>Seasonal Graphics (Like Bat, Ghost, Pumpkin, Fall Leaves, Eyeballs, etc.)</v>
      </c>
      <c r="J4135" t="str">
        <f>_xlfn.XLOOKUP($A4135,Load!$B:$B,Load!K:K,0,)</f>
        <v>Fun Size / Treat Size</v>
      </c>
      <c r="K4135" t="str">
        <f>_xlfn.XLOOKUP($A4135,Load!$B:$B,Load!L:L,0,)</f>
        <v>Regular/Original Wrapping</v>
      </c>
      <c r="L4135" t="str">
        <f>_xlfn.XLOOKUP($A4135,Load!$B:$B,Load!M:M,0,)</f>
        <v>Multiple Brands / Variety Flavors or Form</v>
      </c>
    </row>
    <row r="4136" spans="1:12" x14ac:dyDescent="0.25">
      <c r="A4136" t="s">
        <v>172</v>
      </c>
      <c r="B4136" t="str">
        <f>_xlfn.XLOOKUP($A4136,Load!$B:$B,Load!C:C,0,)</f>
        <v>Mars Variety Pack</v>
      </c>
      <c r="C4136" t="str">
        <f>_xlfn.XLOOKUP($A4136,Load!$B:$B,Load!D:D,0,)</f>
        <v>Non-Chocolate Candy Only</v>
      </c>
      <c r="D4136" t="str">
        <f>_xlfn.XLOOKUP($A4136,Load!$B:$B,Load!E:E,0,)</f>
        <v>Variety / Mixed Flavors (Fruity, Sour, Seasonal Flavors)</v>
      </c>
      <c r="E4136" t="str">
        <f>_xlfn.XLOOKUP($A4136,Load!$B:$B,Load!F:F,0,)</f>
        <v>Mixed / Combo Packs (Gummy, Chewy, Taffy, etc.)</v>
      </c>
      <c r="F4136" t="str">
        <f>_xlfn.XLOOKUP($A4136,Load!$B:$B,Load!G:G,0,)</f>
        <v>Small Multipack (Less than 40 ct)</v>
      </c>
      <c r="G4136" t="str">
        <f>_xlfn.XLOOKUP($A4136,Load!$B:$B,Load!H:H,0,)</f>
        <v>Laydown Bag</v>
      </c>
      <c r="H4136" t="str">
        <f>_xlfn.XLOOKUP($A4136,Load!$B:$B,Load!I:I,0,)</f>
        <v>Everyday Candy Shapes (like Original, Gummy bear, Fruit, Jewels, etc.)</v>
      </c>
      <c r="I4136" t="str">
        <f>_xlfn.XLOOKUP($A4136,Load!$B:$B,Load!J:J,0,)</f>
        <v>Seasonal Graphics (Like Bat, Ghost, Pumpkin, Fall Leaves, Eyeballs, etc.)</v>
      </c>
      <c r="J4136" t="str">
        <f>_xlfn.XLOOKUP($A4136,Load!$B:$B,Load!K:K,0,)</f>
        <v>Fun Size / Treat Size</v>
      </c>
      <c r="K4136" t="str">
        <f>_xlfn.XLOOKUP($A4136,Load!$B:$B,Load!L:L,0,)</f>
        <v>Regular/Original Wrapping</v>
      </c>
      <c r="L4136" t="str">
        <f>_xlfn.XLOOKUP($A4136,Load!$B:$B,Load!M:M,0,)</f>
        <v>Multiple Brands / Variety Flavors or Form</v>
      </c>
    </row>
    <row r="4137" spans="1:12" x14ac:dyDescent="0.25">
      <c r="B4137">
        <f>_xlfn.XLOOKUP($A4137,Load!$B:$B,Load!C:C,0,)</f>
        <v>0</v>
      </c>
      <c r="C4137">
        <f>_xlfn.XLOOKUP($A4137,Load!$B:$B,Load!D:D,0,)</f>
        <v>0</v>
      </c>
      <c r="D4137">
        <f>_xlfn.XLOOKUP($A4137,Load!$B:$B,Load!E:E,0,)</f>
        <v>0</v>
      </c>
      <c r="E4137">
        <f>_xlfn.XLOOKUP($A4137,Load!$B:$B,Load!F:F,0,)</f>
        <v>0</v>
      </c>
      <c r="F4137">
        <f>_xlfn.XLOOKUP($A4137,Load!$B:$B,Load!G:G,0,)</f>
        <v>0</v>
      </c>
      <c r="G4137">
        <f>_xlfn.XLOOKUP($A4137,Load!$B:$B,Load!H:H,0,)</f>
        <v>0</v>
      </c>
      <c r="H4137">
        <f>_xlfn.XLOOKUP($A4137,Load!$B:$B,Load!I:I,0,)</f>
        <v>0</v>
      </c>
      <c r="I4137">
        <f>_xlfn.XLOOKUP($A4137,Load!$B:$B,Load!J:J,0,)</f>
        <v>0</v>
      </c>
      <c r="J4137">
        <f>_xlfn.XLOOKUP($A4137,Load!$B:$B,Load!K:K,0,)</f>
        <v>0</v>
      </c>
      <c r="K4137">
        <f>_xlfn.XLOOKUP($A4137,Load!$B:$B,Load!L:L,0,)</f>
        <v>0</v>
      </c>
      <c r="L4137">
        <f>_xlfn.XLOOKUP($A4137,Load!$B:$B,Load!M:M,0,)</f>
        <v>0</v>
      </c>
    </row>
    <row r="4138" spans="1:12" x14ac:dyDescent="0.25">
      <c r="A4138" t="s">
        <v>10</v>
      </c>
      <c r="B4138" t="str">
        <f>_xlfn.XLOOKUP($A4138,Load!$B:$B,Load!C:C,0,)</f>
        <v>Airheads</v>
      </c>
      <c r="C4138" t="str">
        <f>_xlfn.XLOOKUP($A4138,Load!$B:$B,Load!D:D,0,)</f>
        <v>Non-Chocolate Candy Only</v>
      </c>
      <c r="D4138" t="str">
        <f>_xlfn.XLOOKUP($A4138,Load!$B:$B,Load!E:E,0,)</f>
        <v>Fruit Flavor (Cherry, Grape, Apple, Citrus, Tropical Fruit)</v>
      </c>
      <c r="E4138" t="str">
        <f>_xlfn.XLOOKUP($A4138,Load!$B:$B,Load!F:F,0,)</f>
        <v>Chewy</v>
      </c>
      <c r="F4138" t="str">
        <f>_xlfn.XLOOKUP($A4138,Load!$B:$B,Load!G:G,0,)</f>
        <v>Small Multipack (Less than 40 ct)</v>
      </c>
      <c r="G4138" t="str">
        <f>_xlfn.XLOOKUP($A4138,Load!$B:$B,Load!H:H,0,)</f>
        <v>Laydown Bag</v>
      </c>
      <c r="H4138" t="str">
        <f>_xlfn.XLOOKUP($A4138,Load!$B:$B,Load!I:I,0,)</f>
        <v>Everyday Candy Shapes (like Original, Gummy bear, Fruit, Jewels, etc.)</v>
      </c>
      <c r="I4138" t="str">
        <f>_xlfn.XLOOKUP($A4138,Load!$B:$B,Load!J:J,0,)</f>
        <v>Everyday Graphics</v>
      </c>
      <c r="J4138" t="str">
        <f>_xlfn.XLOOKUP($A4138,Load!$B:$B,Load!K:K,0,)</f>
        <v>Fun Size / Treat Size</v>
      </c>
      <c r="K4138" t="str">
        <f>_xlfn.XLOOKUP($A4138,Load!$B:$B,Load!L:L,0,)</f>
        <v>Regular/Original Wrapping</v>
      </c>
      <c r="L4138" t="str">
        <f>_xlfn.XLOOKUP($A4138,Load!$B:$B,Load!M:M,0,)</f>
        <v>Single Brand / Variety Flavors or Form</v>
      </c>
    </row>
    <row r="4139" spans="1:12" x14ac:dyDescent="0.25">
      <c r="A4139" t="s">
        <v>259</v>
      </c>
      <c r="B4139" t="str">
        <f>_xlfn.XLOOKUP($A4139,Load!$B:$B,Load!C:C,0,)</f>
        <v>Skittles</v>
      </c>
      <c r="C4139" t="str">
        <f>_xlfn.XLOOKUP($A4139,Load!$B:$B,Load!D:D,0,)</f>
        <v>Non-Chocolate Candy Only</v>
      </c>
      <c r="D4139" t="str">
        <f>_xlfn.XLOOKUP($A4139,Load!$B:$B,Load!E:E,0,)</f>
        <v>Sour</v>
      </c>
      <c r="E4139" t="str">
        <f>_xlfn.XLOOKUP($A4139,Load!$B:$B,Load!F:F,0,)</f>
        <v>Chewy</v>
      </c>
      <c r="F4139" t="str">
        <f>_xlfn.XLOOKUP($A4139,Load!$B:$B,Load!G:G,0,)</f>
        <v>Small Multipack (Less than 40 ct)</v>
      </c>
      <c r="G4139" t="str">
        <f>_xlfn.XLOOKUP($A4139,Load!$B:$B,Load!H:H,0,)</f>
        <v>Laydown Bag</v>
      </c>
      <c r="H4139" t="str">
        <f>_xlfn.XLOOKUP($A4139,Load!$B:$B,Load!I:I,0,)</f>
        <v>Everyday Candy Shapes (like Original, Gummy bear, Fruit, Jewels, etc.)</v>
      </c>
      <c r="I4139" t="str">
        <f>_xlfn.XLOOKUP($A4139,Load!$B:$B,Load!J:J,0,)</f>
        <v>Seasonal Graphics (Like Bat, Ghost, Pumpkin, Fall Leaves, Eyeballs, etc.)</v>
      </c>
      <c r="J4139" t="str">
        <f>_xlfn.XLOOKUP($A4139,Load!$B:$B,Load!K:K,0,)</f>
        <v>Small Pieces (Tiny bite size candies)</v>
      </c>
      <c r="K4139" t="str">
        <f>_xlfn.XLOOKUP($A4139,Load!$B:$B,Load!L:L,0,)</f>
        <v>Regular/Original Wrapping</v>
      </c>
      <c r="L4139" t="str">
        <f>_xlfn.XLOOKUP($A4139,Load!$B:$B,Load!M:M,0,)</f>
        <v>Single Brand / Variety Flavors or Form</v>
      </c>
    </row>
    <row r="4140" spans="1:12" x14ac:dyDescent="0.25">
      <c r="B4140">
        <f>_xlfn.XLOOKUP($A4140,Load!$B:$B,Load!C:C,0,)</f>
        <v>0</v>
      </c>
      <c r="C4140">
        <f>_xlfn.XLOOKUP($A4140,Load!$B:$B,Load!D:D,0,)</f>
        <v>0</v>
      </c>
      <c r="D4140">
        <f>_xlfn.XLOOKUP($A4140,Load!$B:$B,Load!E:E,0,)</f>
        <v>0</v>
      </c>
      <c r="E4140">
        <f>_xlfn.XLOOKUP($A4140,Load!$B:$B,Load!F:F,0,)</f>
        <v>0</v>
      </c>
      <c r="F4140">
        <f>_xlfn.XLOOKUP($A4140,Load!$B:$B,Load!G:G,0,)</f>
        <v>0</v>
      </c>
      <c r="G4140">
        <f>_xlfn.XLOOKUP($A4140,Load!$B:$B,Load!H:H,0,)</f>
        <v>0</v>
      </c>
      <c r="H4140">
        <f>_xlfn.XLOOKUP($A4140,Load!$B:$B,Load!I:I,0,)</f>
        <v>0</v>
      </c>
      <c r="I4140">
        <f>_xlfn.XLOOKUP($A4140,Load!$B:$B,Load!J:J,0,)</f>
        <v>0</v>
      </c>
      <c r="J4140">
        <f>_xlfn.XLOOKUP($A4140,Load!$B:$B,Load!K:K,0,)</f>
        <v>0</v>
      </c>
      <c r="K4140">
        <f>_xlfn.XLOOKUP($A4140,Load!$B:$B,Load!L:L,0,)</f>
        <v>0</v>
      </c>
      <c r="L4140">
        <f>_xlfn.XLOOKUP($A4140,Load!$B:$B,Load!M:M,0,)</f>
        <v>0</v>
      </c>
    </row>
    <row r="4141" spans="1:12" x14ac:dyDescent="0.25">
      <c r="B4141">
        <f>_xlfn.XLOOKUP($A4141,Load!$B:$B,Load!C:C,0,)</f>
        <v>0</v>
      </c>
      <c r="C4141">
        <f>_xlfn.XLOOKUP($A4141,Load!$B:$B,Load!D:D,0,)</f>
        <v>0</v>
      </c>
      <c r="D4141">
        <f>_xlfn.XLOOKUP($A4141,Load!$B:$B,Load!E:E,0,)</f>
        <v>0</v>
      </c>
      <c r="E4141">
        <f>_xlfn.XLOOKUP($A4141,Load!$B:$B,Load!F:F,0,)</f>
        <v>0</v>
      </c>
      <c r="F4141">
        <f>_xlfn.XLOOKUP($A4141,Load!$B:$B,Load!G:G,0,)</f>
        <v>0</v>
      </c>
      <c r="G4141">
        <f>_xlfn.XLOOKUP($A4141,Load!$B:$B,Load!H:H,0,)</f>
        <v>0</v>
      </c>
      <c r="H4141">
        <f>_xlfn.XLOOKUP($A4141,Load!$B:$B,Load!I:I,0,)</f>
        <v>0</v>
      </c>
      <c r="I4141">
        <f>_xlfn.XLOOKUP($A4141,Load!$B:$B,Load!J:J,0,)</f>
        <v>0</v>
      </c>
      <c r="J4141">
        <f>_xlfn.XLOOKUP($A4141,Load!$B:$B,Load!K:K,0,)</f>
        <v>0</v>
      </c>
      <c r="K4141">
        <f>_xlfn.XLOOKUP($A4141,Load!$B:$B,Load!L:L,0,)</f>
        <v>0</v>
      </c>
      <c r="L4141">
        <f>_xlfn.XLOOKUP($A4141,Load!$B:$B,Load!M:M,0,)</f>
        <v>0</v>
      </c>
    </row>
    <row r="4142" spans="1:12" x14ac:dyDescent="0.25">
      <c r="A4142" t="s">
        <v>54</v>
      </c>
      <c r="B4142" t="str">
        <f>_xlfn.XLOOKUP($A4142,Load!$B:$B,Load!C:C,0,)</f>
        <v>Brach's</v>
      </c>
      <c r="C4142" t="str">
        <f>_xlfn.XLOOKUP($A4142,Load!$B:$B,Load!D:D,0,)</f>
        <v>Non-Chocolate Candy Only</v>
      </c>
      <c r="D4142" t="str">
        <f>_xlfn.XLOOKUP($A4142,Load!$B:$B,Load!E:E,0,)</f>
        <v>Fall / Seasonal Flavors (pumpkin spice, caramel apple, candy corn)</v>
      </c>
      <c r="E4142" t="str">
        <f>_xlfn.XLOOKUP($A4142,Load!$B:$B,Load!F:F,0,)</f>
        <v>Candy Pieces / Bites</v>
      </c>
      <c r="F4142" t="str">
        <f>_xlfn.XLOOKUP($A4142,Load!$B:$B,Load!G:G,0,)</f>
        <v>Single Pack</v>
      </c>
      <c r="G4142" t="str">
        <f>_xlfn.XLOOKUP($A4142,Load!$B:$B,Load!H:H,0,)</f>
        <v>Peg Bag</v>
      </c>
      <c r="H4142" t="str">
        <f>_xlfn.XLOOKUP($A4142,Load!$B:$B,Load!I:I,0,)</f>
        <v>Seasonal Shapes (like pumpkins, candy corn, ghost, bats, etc.)</v>
      </c>
      <c r="I4142" t="str">
        <f>_xlfn.XLOOKUP($A4142,Load!$B:$B,Load!J:J,0,)</f>
        <v>Seasonal Graphics (Like Bat, Ghost, Pumpkin, Fall Leaves, Eyeballs, etc.)</v>
      </c>
      <c r="J4142" t="str">
        <f>_xlfn.XLOOKUP($A4142,Load!$B:$B,Load!K:K,0,)</f>
        <v>Small Pieces (Tiny bite size candies)</v>
      </c>
      <c r="K4142" t="str">
        <f>_xlfn.XLOOKUP($A4142,Load!$B:$B,Load!L:L,0,)</f>
        <v>Unwrapped</v>
      </c>
      <c r="L4142" t="str">
        <f>_xlfn.XLOOKUP($A4142,Load!$B:$B,Load!M:M,0,)</f>
        <v>Single Brand / Single Flavor or Form</v>
      </c>
    </row>
    <row r="4143" spans="1:12" x14ac:dyDescent="0.25">
      <c r="A4143" t="s">
        <v>164</v>
      </c>
      <c r="B4143" t="str">
        <f>_xlfn.XLOOKUP($A4143,Load!$B:$B,Load!C:C,0,)</f>
        <v>JOYRIDE</v>
      </c>
      <c r="C4143" t="str">
        <f>_xlfn.XLOOKUP($A4143,Load!$B:$B,Load!D:D,0,)</f>
        <v>Non-Chocolate Candy Only</v>
      </c>
      <c r="D4143" t="str">
        <f>_xlfn.XLOOKUP($A4143,Load!$B:$B,Load!E:E,0,)</f>
        <v>Sour</v>
      </c>
      <c r="E4143" t="str">
        <f>_xlfn.XLOOKUP($A4143,Load!$B:$B,Load!F:F,0,)</f>
        <v>Chewy</v>
      </c>
      <c r="F4143" t="str">
        <f>_xlfn.XLOOKUP($A4143,Load!$B:$B,Load!G:G,0,)</f>
        <v>Single Pack</v>
      </c>
      <c r="G4143" t="str">
        <f>_xlfn.XLOOKUP($A4143,Load!$B:$B,Load!H:H,0,)</f>
        <v>Peg Bag</v>
      </c>
      <c r="H4143" t="str">
        <f>_xlfn.XLOOKUP($A4143,Load!$B:$B,Load!I:I,0,)</f>
        <v>Everyday Candy Shapes (like Original, Gummy bear, Fruit, Jewels, etc.)</v>
      </c>
      <c r="I4143" t="str">
        <f>_xlfn.XLOOKUP($A4143,Load!$B:$B,Load!J:J,0,)</f>
        <v>Seasonal Graphics (Like Bat, Ghost, Pumpkin, Fall Leaves, Eyeballs, etc.)</v>
      </c>
      <c r="J4143" t="str">
        <f>_xlfn.XLOOKUP($A4143,Load!$B:$B,Load!K:K,0,)</f>
        <v>Small Pieces (Tiny bite size candies)</v>
      </c>
      <c r="K4143" t="str">
        <f>_xlfn.XLOOKUP($A4143,Load!$B:$B,Load!L:L,0,)</f>
        <v>Regular/Original Wrapping</v>
      </c>
      <c r="L4143" t="str">
        <f>_xlfn.XLOOKUP($A4143,Load!$B:$B,Load!M:M,0,)</f>
        <v>Single Brand / Single Flavor or Form</v>
      </c>
    </row>
    <row r="4144" spans="1:12" x14ac:dyDescent="0.25">
      <c r="A4144" t="s">
        <v>182</v>
      </c>
      <c r="B4144" t="str">
        <f>_xlfn.XLOOKUP($A4144,Load!$B:$B,Load!C:C,0,)</f>
        <v>Mars Variety Pack</v>
      </c>
      <c r="C4144" t="str">
        <f>_xlfn.XLOOKUP($A4144,Load!$B:$B,Load!D:D,0,)</f>
        <v>Non-Chocolate Candy Only</v>
      </c>
      <c r="D4144" t="str">
        <f>_xlfn.XLOOKUP($A4144,Load!$B:$B,Load!E:E,0,)</f>
        <v>Variety / Mixed Flavors (Fruity, Sour, Seasonal Flavors)</v>
      </c>
      <c r="E4144" t="str">
        <f>_xlfn.XLOOKUP($A4144,Load!$B:$B,Load!F:F,0,)</f>
        <v>Mixed / Combo Packs (Gummy, Chewy, Taffy, etc.)</v>
      </c>
      <c r="F4144" t="str">
        <f>_xlfn.XLOOKUP($A4144,Load!$B:$B,Load!G:G,0,)</f>
        <v>Large Multipack (More than 80 ct)</v>
      </c>
      <c r="G4144" t="str">
        <f>_xlfn.XLOOKUP($A4144,Load!$B:$B,Load!H:H,0,)</f>
        <v>Stand-Up Bag</v>
      </c>
      <c r="H4144" t="str">
        <f>_xlfn.XLOOKUP($A4144,Load!$B:$B,Load!I:I,0,)</f>
        <v>Everyday Candy Shapes (like Original, Gummy bear, Fruit, Jewels, etc.)</v>
      </c>
      <c r="I4144" t="str">
        <f>_xlfn.XLOOKUP($A4144,Load!$B:$B,Load!J:J,0,)</f>
        <v>Seasonal Graphics (Like Bat, Ghost, Pumpkin, Fall Leaves, Eyeballs, etc.)</v>
      </c>
      <c r="J4144" t="str">
        <f>_xlfn.XLOOKUP($A4144,Load!$B:$B,Load!K:K,0,)</f>
        <v xml:space="preserve">Variety Candy Sizes </v>
      </c>
      <c r="K4144" t="str">
        <f>_xlfn.XLOOKUP($A4144,Load!$B:$B,Load!L:L,0,)</f>
        <v>Regular/Original Wrapping</v>
      </c>
      <c r="L4144" t="str">
        <f>_xlfn.XLOOKUP($A4144,Load!$B:$B,Load!M:M,0,)</f>
        <v>Multiple Brands / Variety Flavors or Form</v>
      </c>
    </row>
    <row r="4145" spans="1:12" x14ac:dyDescent="0.25">
      <c r="A4145" t="s">
        <v>92</v>
      </c>
      <c r="B4145" t="str">
        <f>_xlfn.XLOOKUP($A4145,Load!$B:$B,Load!C:C,0,)</f>
        <v>Ferrara Variety Pack</v>
      </c>
      <c r="C4145" t="str">
        <f>_xlfn.XLOOKUP($A4145,Load!$B:$B,Load!D:D,0,)</f>
        <v>Non-Chocolate Candy Only</v>
      </c>
      <c r="D4145" t="str">
        <f>_xlfn.XLOOKUP($A4145,Load!$B:$B,Load!E:E,0,)</f>
        <v>Variety / Mixed Flavors (Fruity, Sour, Seasonal Flavors)</v>
      </c>
      <c r="E4145" t="str">
        <f>_xlfn.XLOOKUP($A4145,Load!$B:$B,Load!F:F,0,)</f>
        <v>Mixed / Combo Packs (Gummy, Chewy, Taffy, etc.)</v>
      </c>
      <c r="F4145" t="str">
        <f>_xlfn.XLOOKUP($A4145,Load!$B:$B,Load!G:G,0,)</f>
        <v>Large Multipack (More than 80 ct)</v>
      </c>
      <c r="G4145" t="str">
        <f>_xlfn.XLOOKUP($A4145,Load!$B:$B,Load!H:H,0,)</f>
        <v>Stand-Up Bag</v>
      </c>
      <c r="H4145" t="str">
        <f>_xlfn.XLOOKUP($A4145,Load!$B:$B,Load!I:I,0,)</f>
        <v>Everyday Candy Shapes (like Original, Gummy bear, Fruit, Jewels, etc.)</v>
      </c>
      <c r="I4145" t="str">
        <f>_xlfn.XLOOKUP($A4145,Load!$B:$B,Load!J:J,0,)</f>
        <v>Seasonal Graphics (Like Bat, Ghost, Pumpkin, Fall Leaves, Eyeballs, etc.)</v>
      </c>
      <c r="J4145" t="str">
        <f>_xlfn.XLOOKUP($A4145,Load!$B:$B,Load!K:K,0,)</f>
        <v xml:space="preserve">Variety Candy Sizes </v>
      </c>
      <c r="K4145" t="str">
        <f>_xlfn.XLOOKUP($A4145,Load!$B:$B,Load!L:L,0,)</f>
        <v>Regular/Original Wrapping</v>
      </c>
      <c r="L4145" t="str">
        <f>_xlfn.XLOOKUP($A4145,Load!$B:$B,Load!M:M,0,)</f>
        <v>Multiple Brands / Variety Flavors or Form</v>
      </c>
    </row>
    <row r="4146" spans="1:12" x14ac:dyDescent="0.25">
      <c r="A4146" t="s">
        <v>206</v>
      </c>
      <c r="B4146" t="str">
        <f>_xlfn.XLOOKUP($A4146,Load!$B:$B,Load!C:C,0,)</f>
        <v>Mars Variety Pack</v>
      </c>
      <c r="C4146" t="str">
        <f>_xlfn.XLOOKUP($A4146,Load!$B:$B,Load!D:D,0,)</f>
        <v>Non-Chocolate Candy Only</v>
      </c>
      <c r="D4146" t="str">
        <f>_xlfn.XLOOKUP($A4146,Load!$B:$B,Load!E:E,0,)</f>
        <v>Variety / Mixed Flavors (Fruity, Sour, Seasonal Flavors)</v>
      </c>
      <c r="E4146" t="str">
        <f>_xlfn.XLOOKUP($A4146,Load!$B:$B,Load!F:F,0,)</f>
        <v>Mixed / Combo Packs (Gummy, Chewy, Taffy, etc.)</v>
      </c>
      <c r="F4146" t="str">
        <f>_xlfn.XLOOKUP($A4146,Load!$B:$B,Load!G:G,0,)</f>
        <v>Large Multipack (More than 80 ct)</v>
      </c>
      <c r="G4146" t="str">
        <f>_xlfn.XLOOKUP($A4146,Load!$B:$B,Load!H:H,0,)</f>
        <v>Stand-Up Bag</v>
      </c>
      <c r="H4146" t="str">
        <f>_xlfn.XLOOKUP($A4146,Load!$B:$B,Load!I:I,0,)</f>
        <v>Everyday Candy Shapes (like Original, Gummy bear, Fruit, Jewels, etc.)</v>
      </c>
      <c r="I4146" t="str">
        <f>_xlfn.XLOOKUP($A4146,Load!$B:$B,Load!J:J,0,)</f>
        <v>Seasonal Graphics (Like Bat, Ghost, Pumpkin, Fall Leaves, Eyeballs, etc.)</v>
      </c>
      <c r="J4146" t="str">
        <f>_xlfn.XLOOKUP($A4146,Load!$B:$B,Load!K:K,0,)</f>
        <v>Fun Size / Treat Size</v>
      </c>
      <c r="K4146" t="str">
        <f>_xlfn.XLOOKUP($A4146,Load!$B:$B,Load!L:L,0,)</f>
        <v>Regular/Original Wrapping</v>
      </c>
      <c r="L4146" t="str">
        <f>_xlfn.XLOOKUP($A4146,Load!$B:$B,Load!M:M,0,)</f>
        <v>Multiple Brands / Variety Flavors or Form</v>
      </c>
    </row>
    <row r="4147" spans="1:12" x14ac:dyDescent="0.25">
      <c r="B4147">
        <f>_xlfn.XLOOKUP($A4147,Load!$B:$B,Load!C:C,0,)</f>
        <v>0</v>
      </c>
      <c r="C4147">
        <f>_xlfn.XLOOKUP($A4147,Load!$B:$B,Load!D:D,0,)</f>
        <v>0</v>
      </c>
      <c r="D4147">
        <f>_xlfn.XLOOKUP($A4147,Load!$B:$B,Load!E:E,0,)</f>
        <v>0</v>
      </c>
      <c r="E4147">
        <f>_xlfn.XLOOKUP($A4147,Load!$B:$B,Load!F:F,0,)</f>
        <v>0</v>
      </c>
      <c r="F4147">
        <f>_xlfn.XLOOKUP($A4147,Load!$B:$B,Load!G:G,0,)</f>
        <v>0</v>
      </c>
      <c r="G4147">
        <f>_xlfn.XLOOKUP($A4147,Load!$B:$B,Load!H:H,0,)</f>
        <v>0</v>
      </c>
      <c r="H4147">
        <f>_xlfn.XLOOKUP($A4147,Load!$B:$B,Load!I:I,0,)</f>
        <v>0</v>
      </c>
      <c r="I4147">
        <f>_xlfn.XLOOKUP($A4147,Load!$B:$B,Load!J:J,0,)</f>
        <v>0</v>
      </c>
      <c r="J4147">
        <f>_xlfn.XLOOKUP($A4147,Load!$B:$B,Load!K:K,0,)</f>
        <v>0</v>
      </c>
      <c r="K4147">
        <f>_xlfn.XLOOKUP($A4147,Load!$B:$B,Load!L:L,0,)</f>
        <v>0</v>
      </c>
      <c r="L4147">
        <f>_xlfn.XLOOKUP($A4147,Load!$B:$B,Load!M:M,0,)</f>
        <v>0</v>
      </c>
    </row>
    <row r="4148" spans="1:12" x14ac:dyDescent="0.25">
      <c r="A4148" t="s">
        <v>290</v>
      </c>
      <c r="B4148" t="str">
        <f>_xlfn.XLOOKUP($A4148,Load!$B:$B,Load!C:C,0,)</f>
        <v>Tootsie</v>
      </c>
      <c r="C4148" t="str">
        <f>_xlfn.XLOOKUP($A4148,Load!$B:$B,Load!D:D,0,)</f>
        <v>Mix of Chocolate and Non-Chocolate Candy</v>
      </c>
      <c r="D4148" t="str">
        <f>_xlfn.XLOOKUP($A4148,Load!$B:$B,Load!E:E,0,)</f>
        <v>Variety / Mixed Flavors (Fruity, Sour, Seasonal Flavors)</v>
      </c>
      <c r="E4148" t="str">
        <f>_xlfn.XLOOKUP($A4148,Load!$B:$B,Load!F:F,0,)</f>
        <v>Mixed / Combo Packs (Gummy, Chewy, Taffy, etc.)</v>
      </c>
      <c r="F4148" t="str">
        <f>_xlfn.XLOOKUP($A4148,Load!$B:$B,Load!G:G,0,)</f>
        <v>Large Multipack (More than 80 ct)</v>
      </c>
      <c r="G4148" t="str">
        <f>_xlfn.XLOOKUP($A4148,Load!$B:$B,Load!H:H,0,)</f>
        <v>Laydown Bag</v>
      </c>
      <c r="H4148" t="str">
        <f>_xlfn.XLOOKUP($A4148,Load!$B:$B,Load!I:I,0,)</f>
        <v>Everyday Candy Shapes (like Original, Gummy bear, Fruit, Jewels, etc.)</v>
      </c>
      <c r="I4148" t="str">
        <f>_xlfn.XLOOKUP($A4148,Load!$B:$B,Load!J:J,0,)</f>
        <v>Everyday Graphics</v>
      </c>
      <c r="J4148" t="str">
        <f>_xlfn.XLOOKUP($A4148,Load!$B:$B,Load!K:K,0,)</f>
        <v>Fun Size / Treat Size</v>
      </c>
      <c r="K4148" t="str">
        <f>_xlfn.XLOOKUP($A4148,Load!$B:$B,Load!L:L,0,)</f>
        <v>Regular/Original Wrapping</v>
      </c>
      <c r="L4148" t="str">
        <f>_xlfn.XLOOKUP($A4148,Load!$B:$B,Load!M:M,0,)</f>
        <v>Single Brand / Variety Flavors or Form</v>
      </c>
    </row>
    <row r="4149" spans="1:12" x14ac:dyDescent="0.25">
      <c r="A4149" t="s">
        <v>180</v>
      </c>
      <c r="B4149" t="str">
        <f>_xlfn.XLOOKUP($A4149,Load!$B:$B,Load!C:C,0,)</f>
        <v>Mars Variety Pack</v>
      </c>
      <c r="C4149" t="str">
        <f>_xlfn.XLOOKUP($A4149,Load!$B:$B,Load!D:D,0,)</f>
        <v>Mix of Chocolate and Non-Chocolate Candy</v>
      </c>
      <c r="D4149" t="str">
        <f>_xlfn.XLOOKUP($A4149,Load!$B:$B,Load!E:E,0,)</f>
        <v>Variety / Mixed Flavors (Fruity, Sour, Seasonal Flavors)</v>
      </c>
      <c r="E4149" t="str">
        <f>_xlfn.XLOOKUP($A4149,Load!$B:$B,Load!F:F,0,)</f>
        <v>Mixed / Combo Packs (Gummy, Chewy, Taffy, etc.)</v>
      </c>
      <c r="F4149" t="str">
        <f>_xlfn.XLOOKUP($A4149,Load!$B:$B,Load!G:G,0,)</f>
        <v>Large Multipack (More than 80 ct)</v>
      </c>
      <c r="G4149" t="str">
        <f>_xlfn.XLOOKUP($A4149,Load!$B:$B,Load!H:H,0,)</f>
        <v>Stand-Up Bag</v>
      </c>
      <c r="H4149" t="str">
        <f>_xlfn.XLOOKUP($A4149,Load!$B:$B,Load!I:I,0,)</f>
        <v>Everyday Candy Shapes (like Original, Gummy bear, Fruit, Jewels, etc.)</v>
      </c>
      <c r="I4149" t="str">
        <f>_xlfn.XLOOKUP($A4149,Load!$B:$B,Load!J:J,0,)</f>
        <v>Seasonal Graphics (Like Bat, Ghost, Pumpkin, Fall Leaves, Eyeballs, etc.)</v>
      </c>
      <c r="J4149" t="str">
        <f>_xlfn.XLOOKUP($A4149,Load!$B:$B,Load!K:K,0,)</f>
        <v>Fun Size / Treat Size</v>
      </c>
      <c r="K4149" t="str">
        <f>_xlfn.XLOOKUP($A4149,Load!$B:$B,Load!L:L,0,)</f>
        <v>Regular/Original Wrapping</v>
      </c>
      <c r="L4149" t="str">
        <f>_xlfn.XLOOKUP($A4149,Load!$B:$B,Load!M:M,0,)</f>
        <v>Multiple Brands / Variety Flavors or Form</v>
      </c>
    </row>
    <row r="4150" spans="1:12" x14ac:dyDescent="0.25">
      <c r="B4150">
        <f>_xlfn.XLOOKUP($A4150,Load!$B:$B,Load!C:C,0,)</f>
        <v>0</v>
      </c>
      <c r="C4150">
        <f>_xlfn.XLOOKUP($A4150,Load!$B:$B,Load!D:D,0,)</f>
        <v>0</v>
      </c>
      <c r="D4150">
        <f>_xlfn.XLOOKUP($A4150,Load!$B:$B,Load!E:E,0,)</f>
        <v>0</v>
      </c>
      <c r="E4150">
        <f>_xlfn.XLOOKUP($A4150,Load!$B:$B,Load!F:F,0,)</f>
        <v>0</v>
      </c>
      <c r="F4150">
        <f>_xlfn.XLOOKUP($A4150,Load!$B:$B,Load!G:G,0,)</f>
        <v>0</v>
      </c>
      <c r="G4150">
        <f>_xlfn.XLOOKUP($A4150,Load!$B:$B,Load!H:H,0,)</f>
        <v>0</v>
      </c>
      <c r="H4150">
        <f>_xlfn.XLOOKUP($A4150,Load!$B:$B,Load!I:I,0,)</f>
        <v>0</v>
      </c>
      <c r="I4150">
        <f>_xlfn.XLOOKUP($A4150,Load!$B:$B,Load!J:J,0,)</f>
        <v>0</v>
      </c>
      <c r="J4150">
        <f>_xlfn.XLOOKUP($A4150,Load!$B:$B,Load!K:K,0,)</f>
        <v>0</v>
      </c>
      <c r="K4150">
        <f>_xlfn.XLOOKUP($A4150,Load!$B:$B,Load!L:L,0,)</f>
        <v>0</v>
      </c>
      <c r="L4150">
        <f>_xlfn.XLOOKUP($A4150,Load!$B:$B,Load!M:M,0,)</f>
        <v>0</v>
      </c>
    </row>
    <row r="4151" spans="1:12" x14ac:dyDescent="0.25">
      <c r="B4151">
        <f>_xlfn.XLOOKUP($A4151,Load!$B:$B,Load!C:C,0,)</f>
        <v>0</v>
      </c>
      <c r="C4151">
        <f>_xlfn.XLOOKUP($A4151,Load!$B:$B,Load!D:D,0,)</f>
        <v>0</v>
      </c>
      <c r="D4151">
        <f>_xlfn.XLOOKUP($A4151,Load!$B:$B,Load!E:E,0,)</f>
        <v>0</v>
      </c>
      <c r="E4151">
        <f>_xlfn.XLOOKUP($A4151,Load!$B:$B,Load!F:F,0,)</f>
        <v>0</v>
      </c>
      <c r="F4151">
        <f>_xlfn.XLOOKUP($A4151,Load!$B:$B,Load!G:G,0,)</f>
        <v>0</v>
      </c>
      <c r="G4151">
        <f>_xlfn.XLOOKUP($A4151,Load!$B:$B,Load!H:H,0,)</f>
        <v>0</v>
      </c>
      <c r="H4151">
        <f>_xlfn.XLOOKUP($A4151,Load!$B:$B,Load!I:I,0,)</f>
        <v>0</v>
      </c>
      <c r="I4151">
        <f>_xlfn.XLOOKUP($A4151,Load!$B:$B,Load!J:J,0,)</f>
        <v>0</v>
      </c>
      <c r="J4151">
        <f>_xlfn.XLOOKUP($A4151,Load!$B:$B,Load!K:K,0,)</f>
        <v>0</v>
      </c>
      <c r="K4151">
        <f>_xlfn.XLOOKUP($A4151,Load!$B:$B,Load!L:L,0,)</f>
        <v>0</v>
      </c>
      <c r="L4151">
        <f>_xlfn.XLOOKUP($A4151,Load!$B:$B,Load!M:M,0,)</f>
        <v>0</v>
      </c>
    </row>
    <row r="4152" spans="1:12" x14ac:dyDescent="0.25">
      <c r="A4152" t="s">
        <v>279</v>
      </c>
      <c r="B4152" t="str">
        <f>_xlfn.XLOOKUP($A4152,Load!$B:$B,Load!C:C,0,)</f>
        <v>Sour Patch Kids</v>
      </c>
      <c r="C4152" t="str">
        <f>_xlfn.XLOOKUP($A4152,Load!$B:$B,Load!D:D,0,)</f>
        <v>Non-Chocolate Candy Only</v>
      </c>
      <c r="D4152" t="str">
        <f>_xlfn.XLOOKUP($A4152,Load!$B:$B,Load!E:E,0,)</f>
        <v>Sour</v>
      </c>
      <c r="E4152" t="str">
        <f>_xlfn.XLOOKUP($A4152,Load!$B:$B,Load!F:F,0,)</f>
        <v>Chewy</v>
      </c>
      <c r="F4152" t="str">
        <f>_xlfn.XLOOKUP($A4152,Load!$B:$B,Load!G:G,0,)</f>
        <v>Single Pack</v>
      </c>
      <c r="G4152" t="str">
        <f>_xlfn.XLOOKUP($A4152,Load!$B:$B,Load!H:H,0,)</f>
        <v>Peg Bag</v>
      </c>
      <c r="H4152" t="str">
        <f>_xlfn.XLOOKUP($A4152,Load!$B:$B,Load!I:I,0,)</f>
        <v>Seasonal Shapes (like pumpkins, candy corn, ghost, bats, etc.)</v>
      </c>
      <c r="I4152" t="str">
        <f>_xlfn.XLOOKUP($A4152,Load!$B:$B,Load!J:J,0,)</f>
        <v>Seasonal Graphics (Like Bat, Ghost, Pumpkin, Fall Leaves, Eyeballs, etc.)</v>
      </c>
      <c r="J4152" t="str">
        <f>_xlfn.XLOOKUP($A4152,Load!$B:$B,Load!K:K,0,)</f>
        <v>Small Pieces (Tiny bite size candies)</v>
      </c>
      <c r="K4152" t="str">
        <f>_xlfn.XLOOKUP($A4152,Load!$B:$B,Load!L:L,0,)</f>
        <v>Regular/Original Wrapping</v>
      </c>
      <c r="L4152" t="str">
        <f>_xlfn.XLOOKUP($A4152,Load!$B:$B,Load!M:M,0,)</f>
        <v>Single Brand / Variety Flavors or Form</v>
      </c>
    </row>
    <row r="4153" spans="1:12" x14ac:dyDescent="0.25">
      <c r="A4153" t="s">
        <v>225</v>
      </c>
      <c r="B4153" t="str">
        <f>_xlfn.XLOOKUP($A4153,Load!$B:$B,Load!C:C,0,)</f>
        <v>Nerds</v>
      </c>
      <c r="C4153" t="str">
        <f>_xlfn.XLOOKUP($A4153,Load!$B:$B,Load!D:D,0,)</f>
        <v>Non-Chocolate Candy Only</v>
      </c>
      <c r="D4153" t="str">
        <f>_xlfn.XLOOKUP($A4153,Load!$B:$B,Load!E:E,0,)</f>
        <v>Sweet</v>
      </c>
      <c r="E4153" t="str">
        <f>_xlfn.XLOOKUP($A4153,Load!$B:$B,Load!F:F,0,)</f>
        <v>Gummy</v>
      </c>
      <c r="F4153" t="str">
        <f>_xlfn.XLOOKUP($A4153,Load!$B:$B,Load!G:G,0,)</f>
        <v>Single Pack</v>
      </c>
      <c r="G4153" t="str">
        <f>_xlfn.XLOOKUP($A4153,Load!$B:$B,Load!H:H,0,)</f>
        <v>Peg Bag</v>
      </c>
      <c r="H4153" t="str">
        <f>_xlfn.XLOOKUP($A4153,Load!$B:$B,Load!I:I,0,)</f>
        <v>Seasonal Shapes (like pumpkins, candy corn, ghost, bats, etc.)</v>
      </c>
      <c r="I4153" t="str">
        <f>_xlfn.XLOOKUP($A4153,Load!$B:$B,Load!J:J,0,)</f>
        <v>Seasonal Graphics (Like Bat, Ghost, Pumpkin, Fall Leaves, Eyeballs, etc.)</v>
      </c>
      <c r="J4153" t="str">
        <f>_xlfn.XLOOKUP($A4153,Load!$B:$B,Load!K:K,0,)</f>
        <v>Fun Size / Treat Size</v>
      </c>
      <c r="K4153" t="str">
        <f>_xlfn.XLOOKUP($A4153,Load!$B:$B,Load!L:L,0,)</f>
        <v>Unwrapped</v>
      </c>
      <c r="L4153" t="str">
        <f>_xlfn.XLOOKUP($A4153,Load!$B:$B,Load!M:M,0,)</f>
        <v>Single Brand / Variety Flavors or Form</v>
      </c>
    </row>
    <row r="4154" spans="1:12" x14ac:dyDescent="0.25">
      <c r="A4154" t="s">
        <v>139</v>
      </c>
      <c r="B4154" t="str">
        <f>_xlfn.XLOOKUP($A4154,Load!$B:$B,Load!C:C,0,)</f>
        <v>Hershey's Variety Pack + Haribo</v>
      </c>
      <c r="C4154" t="str">
        <f>_xlfn.XLOOKUP($A4154,Load!$B:$B,Load!D:D,0,)</f>
        <v>Mix of Chocolate and Non-Chocolate Candy</v>
      </c>
      <c r="D4154" t="str">
        <f>_xlfn.XLOOKUP($A4154,Load!$B:$B,Load!E:E,0,)</f>
        <v>Variety / Mixed Flavors (Fruity, Sour, Seasonal Flavors)</v>
      </c>
      <c r="E4154" t="str">
        <f>_xlfn.XLOOKUP($A4154,Load!$B:$B,Load!F:F,0,)</f>
        <v>Mixed / Combo Packs (Gummy, Chewy, Taffy, etc.)</v>
      </c>
      <c r="F4154" t="str">
        <f>_xlfn.XLOOKUP($A4154,Load!$B:$B,Load!G:G,0,)</f>
        <v>Large Multipack (More than 80 ct)</v>
      </c>
      <c r="G4154" t="str">
        <f>_xlfn.XLOOKUP($A4154,Load!$B:$B,Load!H:H,0,)</f>
        <v>Stand-Up Bag</v>
      </c>
      <c r="H4154" t="str">
        <f>_xlfn.XLOOKUP($A4154,Load!$B:$B,Load!I:I,0,)</f>
        <v>Everyday Candy Shapes (like Original, Gummy bear, Fruit, Jewels, etc.)</v>
      </c>
      <c r="I4154" t="str">
        <f>_xlfn.XLOOKUP($A4154,Load!$B:$B,Load!J:J,0,)</f>
        <v>Seasonal Graphics (Like Bat, Ghost, Pumpkin, Fall Leaves, Eyeballs, etc.)</v>
      </c>
      <c r="J4154" t="str">
        <f>_xlfn.XLOOKUP($A4154,Load!$B:$B,Load!K:K,0,)</f>
        <v>Fun Size / Treat Size</v>
      </c>
      <c r="K4154" t="str">
        <f>_xlfn.XLOOKUP($A4154,Load!$B:$B,Load!L:L,0,)</f>
        <v>Regular/Original Wrapping</v>
      </c>
      <c r="L4154" t="str">
        <f>_xlfn.XLOOKUP($A4154,Load!$B:$B,Load!M:M,0,)</f>
        <v>Multiple Brands / Variety Flavors or Form</v>
      </c>
    </row>
    <row r="4155" spans="1:12" x14ac:dyDescent="0.25">
      <c r="B4155">
        <f>_xlfn.XLOOKUP($A4155,Load!$B:$B,Load!C:C,0,)</f>
        <v>0</v>
      </c>
      <c r="C4155">
        <f>_xlfn.XLOOKUP($A4155,Load!$B:$B,Load!D:D,0,)</f>
        <v>0</v>
      </c>
      <c r="D4155">
        <f>_xlfn.XLOOKUP($A4155,Load!$B:$B,Load!E:E,0,)</f>
        <v>0</v>
      </c>
      <c r="E4155">
        <f>_xlfn.XLOOKUP($A4155,Load!$B:$B,Load!F:F,0,)</f>
        <v>0</v>
      </c>
      <c r="F4155">
        <f>_xlfn.XLOOKUP($A4155,Load!$B:$B,Load!G:G,0,)</f>
        <v>0</v>
      </c>
      <c r="G4155">
        <f>_xlfn.XLOOKUP($A4155,Load!$B:$B,Load!H:H,0,)</f>
        <v>0</v>
      </c>
      <c r="H4155">
        <f>_xlfn.XLOOKUP($A4155,Load!$B:$B,Load!I:I,0,)</f>
        <v>0</v>
      </c>
      <c r="I4155">
        <f>_xlfn.XLOOKUP($A4155,Load!$B:$B,Load!J:J,0,)</f>
        <v>0</v>
      </c>
      <c r="J4155">
        <f>_xlfn.XLOOKUP($A4155,Load!$B:$B,Load!K:K,0,)</f>
        <v>0</v>
      </c>
      <c r="K4155">
        <f>_xlfn.XLOOKUP($A4155,Load!$B:$B,Load!L:L,0,)</f>
        <v>0</v>
      </c>
      <c r="L4155">
        <f>_xlfn.XLOOKUP($A4155,Load!$B:$B,Load!M:M,0,)</f>
        <v>0</v>
      </c>
    </row>
    <row r="4156" spans="1:12" x14ac:dyDescent="0.25">
      <c r="A4156" t="s">
        <v>151</v>
      </c>
      <c r="B4156" t="str">
        <f>_xlfn.XLOOKUP($A4156,Load!$B:$B,Load!C:C,0,)</f>
        <v>Jolly Rancher</v>
      </c>
      <c r="C4156" t="str">
        <f>_xlfn.XLOOKUP($A4156,Load!$B:$B,Load!D:D,0,)</f>
        <v>Non-Chocolate Candy Only</v>
      </c>
      <c r="D4156" t="str">
        <f>_xlfn.XLOOKUP($A4156,Load!$B:$B,Load!E:E,0,)</f>
        <v>Variety / Mixed Flavors (Fruity, Sour, Seasonal Flavors)</v>
      </c>
      <c r="E4156" t="str">
        <f>_xlfn.XLOOKUP($A4156,Load!$B:$B,Load!F:F,0,)</f>
        <v>Gummy</v>
      </c>
      <c r="F4156" t="str">
        <f>_xlfn.XLOOKUP($A4156,Load!$B:$B,Load!G:G,0,)</f>
        <v>Small Multipack (Less than 40 ct)</v>
      </c>
      <c r="G4156" t="str">
        <f>_xlfn.XLOOKUP($A4156,Load!$B:$B,Load!H:H,0,)</f>
        <v>Laydown Bag</v>
      </c>
      <c r="H4156" t="str">
        <f>_xlfn.XLOOKUP($A4156,Load!$B:$B,Load!I:I,0,)</f>
        <v>Everyday Candy Shapes (like Original, Gummy bear, Fruit, Jewels, etc.)</v>
      </c>
      <c r="I4156" t="str">
        <f>_xlfn.XLOOKUP($A4156,Load!$B:$B,Load!J:J,0,)</f>
        <v>Everyday Graphics</v>
      </c>
      <c r="J4156" t="str">
        <f>_xlfn.XLOOKUP($A4156,Load!$B:$B,Load!K:K,0,)</f>
        <v>Small Pieces (Tiny bite size candies)</v>
      </c>
      <c r="K4156" t="str">
        <f>_xlfn.XLOOKUP($A4156,Load!$B:$B,Load!L:L,0,)</f>
        <v>Regular/Original Wrapping</v>
      </c>
      <c r="L4156" t="str">
        <f>_xlfn.XLOOKUP($A4156,Load!$B:$B,Load!M:M,0,)</f>
        <v>Single Brand / Variety Flavors or Form</v>
      </c>
    </row>
    <row r="4157" spans="1:12" x14ac:dyDescent="0.25">
      <c r="A4157" t="s">
        <v>125</v>
      </c>
      <c r="B4157" t="str">
        <f>_xlfn.XLOOKUP($A4157,Load!$B:$B,Load!C:C,0,)</f>
        <v>HARIBO</v>
      </c>
      <c r="C4157" t="str">
        <f>_xlfn.XLOOKUP($A4157,Load!$B:$B,Load!D:D,0,)</f>
        <v>Non-Chocolate Candy Only</v>
      </c>
      <c r="D4157" t="str">
        <f>_xlfn.XLOOKUP($A4157,Load!$B:$B,Load!E:E,0,)</f>
        <v>Berry Based (Raspberry, Strawberry, Medley, etc.)</v>
      </c>
      <c r="E4157" t="str">
        <f>_xlfn.XLOOKUP($A4157,Load!$B:$B,Load!F:F,0,)</f>
        <v>Gummy</v>
      </c>
      <c r="F4157" t="str">
        <f>_xlfn.XLOOKUP($A4157,Load!$B:$B,Load!G:G,0,)</f>
        <v>Small Multipack (Less than 40 ct)</v>
      </c>
      <c r="G4157" t="str">
        <f>_xlfn.XLOOKUP($A4157,Load!$B:$B,Load!H:H,0,)</f>
        <v>Laydown Bag</v>
      </c>
      <c r="H4157" t="str">
        <f>_xlfn.XLOOKUP($A4157,Load!$B:$B,Load!I:I,0,)</f>
        <v>Everyday Candy Shapes (like Original, Gummy bear, Fruit, Jewels, etc.)</v>
      </c>
      <c r="I4157" t="str">
        <f>_xlfn.XLOOKUP($A4157,Load!$B:$B,Load!J:J,0,)</f>
        <v>Everyday Graphics</v>
      </c>
      <c r="J4157" t="str">
        <f>_xlfn.XLOOKUP($A4157,Load!$B:$B,Load!K:K,0,)</f>
        <v>Small Pieces (Tiny bite size candies)</v>
      </c>
      <c r="K4157" t="str">
        <f>_xlfn.XLOOKUP($A4157,Load!$B:$B,Load!L:L,0,)</f>
        <v>Regular/Original Wrapping</v>
      </c>
      <c r="L4157" t="str">
        <f>_xlfn.XLOOKUP($A4157,Load!$B:$B,Load!M:M,0,)</f>
        <v>Single Brand / Variety Flavors or Form</v>
      </c>
    </row>
    <row r="4158" spans="1:12" x14ac:dyDescent="0.25">
      <c r="A4158" t="s">
        <v>179</v>
      </c>
      <c r="B4158" t="str">
        <f>_xlfn.XLOOKUP($A4158,Load!$B:$B,Load!C:C,0,)</f>
        <v>Mars Variety Pack</v>
      </c>
      <c r="C4158" t="str">
        <f>_xlfn.XLOOKUP($A4158,Load!$B:$B,Load!D:D,0,)</f>
        <v>Non-Chocolate Candy Only</v>
      </c>
      <c r="D4158" t="str">
        <f>_xlfn.XLOOKUP($A4158,Load!$B:$B,Load!E:E,0,)</f>
        <v>Variety / Mixed Flavors (Fruity, Sour, Seasonal Flavors)</v>
      </c>
      <c r="E4158" t="str">
        <f>_xlfn.XLOOKUP($A4158,Load!$B:$B,Load!F:F,0,)</f>
        <v>Mixed / Combo Packs (Gummy, Chewy, Taffy, etc.)</v>
      </c>
      <c r="F4158" t="str">
        <f>_xlfn.XLOOKUP($A4158,Load!$B:$B,Load!G:G,0,)</f>
        <v>Medium Multipack (40–80 ct)</v>
      </c>
      <c r="G4158" t="str">
        <f>_xlfn.XLOOKUP($A4158,Load!$B:$B,Load!H:H,0,)</f>
        <v>Stand-Up Bag</v>
      </c>
      <c r="H4158" t="str">
        <f>_xlfn.XLOOKUP($A4158,Load!$B:$B,Load!I:I,0,)</f>
        <v>Everyday Candy Shapes (like Original, Gummy bear, Fruit, Jewels, etc.)</v>
      </c>
      <c r="I4158" t="str">
        <f>_xlfn.XLOOKUP($A4158,Load!$B:$B,Load!J:J,0,)</f>
        <v>Seasonal Graphics (Like Bat, Ghost, Pumpkin, Fall Leaves, Eyeballs, etc.)</v>
      </c>
      <c r="J4158" t="str">
        <f>_xlfn.XLOOKUP($A4158,Load!$B:$B,Load!K:K,0,)</f>
        <v>Fun Size / Treat Size</v>
      </c>
      <c r="K4158" t="str">
        <f>_xlfn.XLOOKUP($A4158,Load!$B:$B,Load!L:L,0,)</f>
        <v>Regular/Original Wrapping</v>
      </c>
      <c r="L4158" t="str">
        <f>_xlfn.XLOOKUP($A4158,Load!$B:$B,Load!M:M,0,)</f>
        <v>Multiple Brands / Variety Flavors or Form</v>
      </c>
    </row>
    <row r="4159" spans="1:12" x14ac:dyDescent="0.25">
      <c r="A4159" t="s">
        <v>301</v>
      </c>
      <c r="B4159" t="str">
        <f>_xlfn.XLOOKUP($A4159,Load!$B:$B,Load!C:C,0,)</f>
        <v>Twizzlers</v>
      </c>
      <c r="C4159" t="str">
        <f>_xlfn.XLOOKUP($A4159,Load!$B:$B,Load!D:D,0,)</f>
        <v>Non-Chocolate Candy Only</v>
      </c>
      <c r="D4159" t="str">
        <f>_xlfn.XLOOKUP($A4159,Load!$B:$B,Load!E:E,0,)</f>
        <v>Variety / Mixed Flavors (Fruity, Sour, Seasonal Flavors)</v>
      </c>
      <c r="E4159" t="str">
        <f>_xlfn.XLOOKUP($A4159,Load!$B:$B,Load!F:F,0,)</f>
        <v>Mixed / Combo Packs (Gummy, Chewy, Taffy, etc.)</v>
      </c>
      <c r="F4159" t="str">
        <f>_xlfn.XLOOKUP($A4159,Load!$B:$B,Load!G:G,0,)</f>
        <v>Medium Multipack (40–80 ct)</v>
      </c>
      <c r="G4159" t="str">
        <f>_xlfn.XLOOKUP($A4159,Load!$B:$B,Load!H:H,0,)</f>
        <v>Laydown Bag</v>
      </c>
      <c r="H4159" t="str">
        <f>_xlfn.XLOOKUP($A4159,Load!$B:$B,Load!I:I,0,)</f>
        <v>Everyday Candy Shapes (like Original, Gummy bear, Fruit, Jewels, etc.)</v>
      </c>
      <c r="I4159" t="str">
        <f>_xlfn.XLOOKUP($A4159,Load!$B:$B,Load!J:J,0,)</f>
        <v>Seasonal Graphics (Like Bat, Ghost, Pumpkin, Fall Leaves, Eyeballs, etc.)</v>
      </c>
      <c r="J4159" t="str">
        <f>_xlfn.XLOOKUP($A4159,Load!$B:$B,Load!K:K,0,)</f>
        <v>Fun Size / Treat Size</v>
      </c>
      <c r="K4159" t="str">
        <f>_xlfn.XLOOKUP($A4159,Load!$B:$B,Load!L:L,0,)</f>
        <v>Regular/Original Wrapping</v>
      </c>
      <c r="L4159" t="str">
        <f>_xlfn.XLOOKUP($A4159,Load!$B:$B,Load!M:M,0,)</f>
        <v>Single Brand / Variety Flavors or Form</v>
      </c>
    </row>
    <row r="4160" spans="1:12" x14ac:dyDescent="0.25">
      <c r="A4160" t="s">
        <v>285</v>
      </c>
      <c r="B4160" t="str">
        <f>_xlfn.XLOOKUP($A4160,Load!$B:$B,Load!C:C,0,)</f>
        <v>Starburst</v>
      </c>
      <c r="C4160" t="str">
        <f>_xlfn.XLOOKUP($A4160,Load!$B:$B,Load!D:D,0,)</f>
        <v>Non-Chocolate Candy Only</v>
      </c>
      <c r="D4160" t="str">
        <f>_xlfn.XLOOKUP($A4160,Load!$B:$B,Load!E:E,0,)</f>
        <v>Fruit Flavor (Cherry, Grape, Apple, Citrus, Tropical Fruit)</v>
      </c>
      <c r="E4160" t="str">
        <f>_xlfn.XLOOKUP($A4160,Load!$B:$B,Load!F:F,0,)</f>
        <v>Chewy</v>
      </c>
      <c r="F4160" t="str">
        <f>_xlfn.XLOOKUP($A4160,Load!$B:$B,Load!G:G,0,)</f>
        <v>Small Multipack (Less than 40 ct)</v>
      </c>
      <c r="G4160" t="str">
        <f>_xlfn.XLOOKUP($A4160,Load!$B:$B,Load!H:H,0,)</f>
        <v>Laydown Bag</v>
      </c>
      <c r="H4160" t="str">
        <f>_xlfn.XLOOKUP($A4160,Load!$B:$B,Load!I:I,0,)</f>
        <v>Everyday Candy Shapes (like Original, Gummy bear, Fruit, Jewels, etc.)</v>
      </c>
      <c r="I4160" t="str">
        <f>_xlfn.XLOOKUP($A4160,Load!$B:$B,Load!J:J,0,)</f>
        <v>Everyday Graphics</v>
      </c>
      <c r="J4160" t="str">
        <f>_xlfn.XLOOKUP($A4160,Load!$B:$B,Load!K:K,0,)</f>
        <v>Small Pieces (Tiny bite size candies)</v>
      </c>
      <c r="K4160" t="str">
        <f>_xlfn.XLOOKUP($A4160,Load!$B:$B,Load!L:L,0,)</f>
        <v>Regular/Original Wrapping</v>
      </c>
      <c r="L4160" t="str">
        <f>_xlfn.XLOOKUP($A4160,Load!$B:$B,Load!M:M,0,)</f>
        <v>Single Brand / Variety Flavors or Form</v>
      </c>
    </row>
    <row r="4161" spans="1:12" x14ac:dyDescent="0.25">
      <c r="B4161">
        <f>_xlfn.XLOOKUP($A4161,Load!$B:$B,Load!C:C,0,)</f>
        <v>0</v>
      </c>
      <c r="C4161">
        <f>_xlfn.XLOOKUP($A4161,Load!$B:$B,Load!D:D,0,)</f>
        <v>0</v>
      </c>
      <c r="D4161">
        <f>_xlfn.XLOOKUP($A4161,Load!$B:$B,Load!E:E,0,)</f>
        <v>0</v>
      </c>
      <c r="E4161">
        <f>_xlfn.XLOOKUP($A4161,Load!$B:$B,Load!F:F,0,)</f>
        <v>0</v>
      </c>
      <c r="F4161">
        <f>_xlfn.XLOOKUP($A4161,Load!$B:$B,Load!G:G,0,)</f>
        <v>0</v>
      </c>
      <c r="G4161">
        <f>_xlfn.XLOOKUP($A4161,Load!$B:$B,Load!H:H,0,)</f>
        <v>0</v>
      </c>
      <c r="H4161">
        <f>_xlfn.XLOOKUP($A4161,Load!$B:$B,Load!I:I,0,)</f>
        <v>0</v>
      </c>
      <c r="I4161">
        <f>_xlfn.XLOOKUP($A4161,Load!$B:$B,Load!J:J,0,)</f>
        <v>0</v>
      </c>
      <c r="J4161">
        <f>_xlfn.XLOOKUP($A4161,Load!$B:$B,Load!K:K,0,)</f>
        <v>0</v>
      </c>
      <c r="K4161">
        <f>_xlfn.XLOOKUP($A4161,Load!$B:$B,Load!L:L,0,)</f>
        <v>0</v>
      </c>
      <c r="L4161">
        <f>_xlfn.XLOOKUP($A4161,Load!$B:$B,Load!M:M,0,)</f>
        <v>0</v>
      </c>
    </row>
    <row r="4162" spans="1:12" x14ac:dyDescent="0.25">
      <c r="A4162" t="s">
        <v>204</v>
      </c>
      <c r="B4162" t="str">
        <f>_xlfn.XLOOKUP($A4162,Load!$B:$B,Load!C:C,0,)</f>
        <v>Mars Variety Pack</v>
      </c>
      <c r="C4162" t="str">
        <f>_xlfn.XLOOKUP($A4162,Load!$B:$B,Load!D:D,0,)</f>
        <v>Mix of Chocolate and Non-Chocolate Candy</v>
      </c>
      <c r="D4162" t="str">
        <f>_xlfn.XLOOKUP($A4162,Load!$B:$B,Load!E:E,0,)</f>
        <v>Variety / Mixed Flavors (Fruity, Sour, Seasonal Flavors)</v>
      </c>
      <c r="E4162" t="str">
        <f>_xlfn.XLOOKUP($A4162,Load!$B:$B,Load!F:F,0,)</f>
        <v>Mixed / Combo Packs (Gummy, Chewy, Taffy, etc.)</v>
      </c>
      <c r="F4162" t="str">
        <f>_xlfn.XLOOKUP($A4162,Load!$B:$B,Load!G:G,0,)</f>
        <v>Medium Multipack (40–80 ct)</v>
      </c>
      <c r="G4162" t="str">
        <f>_xlfn.XLOOKUP($A4162,Load!$B:$B,Load!H:H,0,)</f>
        <v>Stand-Up Bag</v>
      </c>
      <c r="H4162" t="str">
        <f>_xlfn.XLOOKUP($A4162,Load!$B:$B,Load!I:I,0,)</f>
        <v>Everyday Candy Shapes (like Original, Gummy bear, Fruit, Jewels, etc.)</v>
      </c>
      <c r="I4162" t="str">
        <f>_xlfn.XLOOKUP($A4162,Load!$B:$B,Load!J:J,0,)</f>
        <v>Everyday Graphics</v>
      </c>
      <c r="J4162" t="str">
        <f>_xlfn.XLOOKUP($A4162,Load!$B:$B,Load!K:K,0,)</f>
        <v>Fun Size / Treat Size</v>
      </c>
      <c r="K4162" t="str">
        <f>_xlfn.XLOOKUP($A4162,Load!$B:$B,Load!L:L,0,)</f>
        <v>Regular/Original Wrapping</v>
      </c>
      <c r="L4162" t="str">
        <f>_xlfn.XLOOKUP($A4162,Load!$B:$B,Load!M:M,0,)</f>
        <v>Multiple Brands / Variety Flavors or Form</v>
      </c>
    </row>
    <row r="4163" spans="1:12" x14ac:dyDescent="0.25">
      <c r="A4163" t="s">
        <v>130</v>
      </c>
      <c r="B4163" t="str">
        <f>_xlfn.XLOOKUP($A4163,Load!$B:$B,Load!C:C,0,)</f>
        <v>Hershey's</v>
      </c>
      <c r="C4163" t="str">
        <f>_xlfn.XLOOKUP($A4163,Load!$B:$B,Load!D:D,0,)</f>
        <v>Non-Chocolate Candy Only</v>
      </c>
      <c r="D4163" t="str">
        <f>_xlfn.XLOOKUP($A4163,Load!$B:$B,Load!E:E,0,)</f>
        <v>Variety / Mixed Flavors (Fruity, Sour, Seasonal Flavors)</v>
      </c>
      <c r="E4163" t="str">
        <f>_xlfn.XLOOKUP($A4163,Load!$B:$B,Load!F:F,0,)</f>
        <v>Mixed / Combo Packs (Gummy, Chewy, Taffy, etc.)</v>
      </c>
      <c r="F4163" t="str">
        <f>_xlfn.XLOOKUP($A4163,Load!$B:$B,Load!G:G,0,)</f>
        <v>Medium Multipack (40–80 ct)</v>
      </c>
      <c r="G4163" t="str">
        <f>_xlfn.XLOOKUP($A4163,Load!$B:$B,Load!H:H,0,)</f>
        <v>Laydown Bag</v>
      </c>
      <c r="H4163" t="str">
        <f>_xlfn.XLOOKUP($A4163,Load!$B:$B,Load!I:I,0,)</f>
        <v>Everyday Candy Shapes (like Original, Gummy bear, Fruit, Jewels, etc.)</v>
      </c>
      <c r="I4163" t="str">
        <f>_xlfn.XLOOKUP($A4163,Load!$B:$B,Load!J:J,0,)</f>
        <v>Seasonal Graphics (Like Bat, Ghost, Pumpkin, Fall Leaves, Eyeballs, etc.)</v>
      </c>
      <c r="J4163" t="str">
        <f>_xlfn.XLOOKUP($A4163,Load!$B:$B,Load!K:K,0,)</f>
        <v xml:space="preserve">Variety Candy Sizes </v>
      </c>
      <c r="K4163" t="str">
        <f>_xlfn.XLOOKUP($A4163,Load!$B:$B,Load!L:L,0,)</f>
        <v>Regular/Original Wrapping</v>
      </c>
      <c r="L4163" t="str">
        <f>_xlfn.XLOOKUP($A4163,Load!$B:$B,Load!M:M,0,)</f>
        <v>Multiple Brands / Variety Flavors or Form</v>
      </c>
    </row>
    <row r="4164" spans="1:12" x14ac:dyDescent="0.25">
      <c r="A4164" t="s">
        <v>207</v>
      </c>
      <c r="B4164" t="str">
        <f>_xlfn.XLOOKUP($A4164,Load!$B:$B,Load!C:C,0,)</f>
        <v>Mars Variety Pack</v>
      </c>
      <c r="C4164" t="str">
        <f>_xlfn.XLOOKUP($A4164,Load!$B:$B,Load!D:D,0,)</f>
        <v>Mix of Chocolate and Non-Chocolate Candy</v>
      </c>
      <c r="D4164" t="str">
        <f>_xlfn.XLOOKUP($A4164,Load!$B:$B,Load!E:E,0,)</f>
        <v>Variety / Mixed Flavors (Fruity, Sour, Seasonal Flavors)</v>
      </c>
      <c r="E4164" t="str">
        <f>_xlfn.XLOOKUP($A4164,Load!$B:$B,Load!F:F,0,)</f>
        <v>Mixed / Combo Packs (Gummy, Chewy, Taffy, etc.)</v>
      </c>
      <c r="F4164" t="str">
        <f>_xlfn.XLOOKUP($A4164,Load!$B:$B,Load!G:G,0,)</f>
        <v>Large Multipack (More than 80 ct)</v>
      </c>
      <c r="G4164" t="str">
        <f>_xlfn.XLOOKUP($A4164,Load!$B:$B,Load!H:H,0,)</f>
        <v>Stand-Up Bag</v>
      </c>
      <c r="H4164" t="str">
        <f>_xlfn.XLOOKUP($A4164,Load!$B:$B,Load!I:I,0,)</f>
        <v>Everyday Candy Shapes (like Original, Gummy bear, Fruit, Jewels, etc.)</v>
      </c>
      <c r="I4164" t="str">
        <f>_xlfn.XLOOKUP($A4164,Load!$B:$B,Load!J:J,0,)</f>
        <v>Everyday Graphics</v>
      </c>
      <c r="J4164" t="str">
        <f>_xlfn.XLOOKUP($A4164,Load!$B:$B,Load!K:K,0,)</f>
        <v>Fun Size / Treat Size</v>
      </c>
      <c r="K4164" t="str">
        <f>_xlfn.XLOOKUP($A4164,Load!$B:$B,Load!L:L,0,)</f>
        <v>Regular/Original Wrapping</v>
      </c>
      <c r="L4164" t="str">
        <f>_xlfn.XLOOKUP($A4164,Load!$B:$B,Load!M:M,0,)</f>
        <v>Multiple Brands / Variety Flavors or Form</v>
      </c>
    </row>
    <row r="4165" spans="1:12" x14ac:dyDescent="0.25">
      <c r="B4165">
        <f>_xlfn.XLOOKUP($A4165,Load!$B:$B,Load!C:C,0,)</f>
        <v>0</v>
      </c>
      <c r="C4165">
        <f>_xlfn.XLOOKUP($A4165,Load!$B:$B,Load!D:D,0,)</f>
        <v>0</v>
      </c>
      <c r="D4165">
        <f>_xlfn.XLOOKUP($A4165,Load!$B:$B,Load!E:E,0,)</f>
        <v>0</v>
      </c>
      <c r="E4165">
        <f>_xlfn.XLOOKUP($A4165,Load!$B:$B,Load!F:F,0,)</f>
        <v>0</v>
      </c>
      <c r="F4165">
        <f>_xlfn.XLOOKUP($A4165,Load!$B:$B,Load!G:G,0,)</f>
        <v>0</v>
      </c>
      <c r="G4165">
        <f>_xlfn.XLOOKUP($A4165,Load!$B:$B,Load!H:H,0,)</f>
        <v>0</v>
      </c>
      <c r="H4165">
        <f>_xlfn.XLOOKUP($A4165,Load!$B:$B,Load!I:I,0,)</f>
        <v>0</v>
      </c>
      <c r="I4165">
        <f>_xlfn.XLOOKUP($A4165,Load!$B:$B,Load!J:J,0,)</f>
        <v>0</v>
      </c>
      <c r="J4165">
        <f>_xlfn.XLOOKUP($A4165,Load!$B:$B,Load!K:K,0,)</f>
        <v>0</v>
      </c>
      <c r="K4165">
        <f>_xlfn.XLOOKUP($A4165,Load!$B:$B,Load!L:L,0,)</f>
        <v>0</v>
      </c>
      <c r="L4165">
        <f>_xlfn.XLOOKUP($A4165,Load!$B:$B,Load!M:M,0,)</f>
        <v>0</v>
      </c>
    </row>
    <row r="4166" spans="1:12" x14ac:dyDescent="0.25">
      <c r="B4166">
        <f>_xlfn.XLOOKUP($A4166,Load!$B:$B,Load!C:C,0,)</f>
        <v>0</v>
      </c>
      <c r="C4166">
        <f>_xlfn.XLOOKUP($A4166,Load!$B:$B,Load!D:D,0,)</f>
        <v>0</v>
      </c>
      <c r="D4166">
        <f>_xlfn.XLOOKUP($A4166,Load!$B:$B,Load!E:E,0,)</f>
        <v>0</v>
      </c>
      <c r="E4166">
        <f>_xlfn.XLOOKUP($A4166,Load!$B:$B,Load!F:F,0,)</f>
        <v>0</v>
      </c>
      <c r="F4166">
        <f>_xlfn.XLOOKUP($A4166,Load!$B:$B,Load!G:G,0,)</f>
        <v>0</v>
      </c>
      <c r="G4166">
        <f>_xlfn.XLOOKUP($A4166,Load!$B:$B,Load!H:H,0,)</f>
        <v>0</v>
      </c>
      <c r="H4166">
        <f>_xlfn.XLOOKUP($A4166,Load!$B:$B,Load!I:I,0,)</f>
        <v>0</v>
      </c>
      <c r="I4166">
        <f>_xlfn.XLOOKUP($A4166,Load!$B:$B,Load!J:J,0,)</f>
        <v>0</v>
      </c>
      <c r="J4166">
        <f>_xlfn.XLOOKUP($A4166,Load!$B:$B,Load!K:K,0,)</f>
        <v>0</v>
      </c>
      <c r="K4166">
        <f>_xlfn.XLOOKUP($A4166,Load!$B:$B,Load!L:L,0,)</f>
        <v>0</v>
      </c>
      <c r="L4166">
        <f>_xlfn.XLOOKUP($A4166,Load!$B:$B,Load!M:M,0,)</f>
        <v>0</v>
      </c>
    </row>
    <row r="4167" spans="1:12" x14ac:dyDescent="0.25">
      <c r="B4167">
        <f>_xlfn.XLOOKUP($A4167,Load!$B:$B,Load!C:C,0,)</f>
        <v>0</v>
      </c>
      <c r="C4167">
        <f>_xlfn.XLOOKUP($A4167,Load!$B:$B,Load!D:D,0,)</f>
        <v>0</v>
      </c>
      <c r="D4167">
        <f>_xlfn.XLOOKUP($A4167,Load!$B:$B,Load!E:E,0,)</f>
        <v>0</v>
      </c>
      <c r="E4167">
        <f>_xlfn.XLOOKUP($A4167,Load!$B:$B,Load!F:F,0,)</f>
        <v>0</v>
      </c>
      <c r="F4167">
        <f>_xlfn.XLOOKUP($A4167,Load!$B:$B,Load!G:G,0,)</f>
        <v>0</v>
      </c>
      <c r="G4167">
        <f>_xlfn.XLOOKUP($A4167,Load!$B:$B,Load!H:H,0,)</f>
        <v>0</v>
      </c>
      <c r="H4167">
        <f>_xlfn.XLOOKUP($A4167,Load!$B:$B,Load!I:I,0,)</f>
        <v>0</v>
      </c>
      <c r="I4167">
        <f>_xlfn.XLOOKUP($A4167,Load!$B:$B,Load!J:J,0,)</f>
        <v>0</v>
      </c>
      <c r="J4167">
        <f>_xlfn.XLOOKUP($A4167,Load!$B:$B,Load!K:K,0,)</f>
        <v>0</v>
      </c>
      <c r="K4167">
        <f>_xlfn.XLOOKUP($A4167,Load!$B:$B,Load!L:L,0,)</f>
        <v>0</v>
      </c>
      <c r="L4167">
        <f>_xlfn.XLOOKUP($A4167,Load!$B:$B,Load!M:M,0,)</f>
        <v>0</v>
      </c>
    </row>
    <row r="4168" spans="1:12" x14ac:dyDescent="0.25">
      <c r="A4168" t="s">
        <v>209</v>
      </c>
      <c r="B4168" t="str">
        <f>_xlfn.XLOOKUP($A4168,Load!$B:$B,Load!C:C,0,)</f>
        <v>Mars Variety Pack</v>
      </c>
      <c r="C4168" t="str">
        <f>_xlfn.XLOOKUP($A4168,Load!$B:$B,Load!D:D,0,)</f>
        <v>Non-Chocolate Candy Only</v>
      </c>
      <c r="D4168" t="str">
        <f>_xlfn.XLOOKUP($A4168,Load!$B:$B,Load!E:E,0,)</f>
        <v>Variety / Mixed Flavors (Fruity, Sour, Seasonal Flavors)</v>
      </c>
      <c r="E4168" t="str">
        <f>_xlfn.XLOOKUP($A4168,Load!$B:$B,Load!F:F,0,)</f>
        <v>Mixed / Combo Packs (Gummy, Chewy, Taffy, etc.)</v>
      </c>
      <c r="F4168" t="str">
        <f>_xlfn.XLOOKUP($A4168,Load!$B:$B,Load!G:G,0,)</f>
        <v>Large Multipack (More than 80 ct)</v>
      </c>
      <c r="G4168" t="str">
        <f>_xlfn.XLOOKUP($A4168,Load!$B:$B,Load!H:H,0,)</f>
        <v>Stand-Up Bag</v>
      </c>
      <c r="H4168" t="str">
        <f>_xlfn.XLOOKUP($A4168,Load!$B:$B,Load!I:I,0,)</f>
        <v>Everyday Candy Shapes (like Original, Gummy bear, Fruit, Jewels, etc.)</v>
      </c>
      <c r="I4168" t="str">
        <f>_xlfn.XLOOKUP($A4168,Load!$B:$B,Load!J:J,0,)</f>
        <v>Seasonal Graphics (Like Bat, Ghost, Pumpkin, Fall Leaves, Eyeballs, etc.)</v>
      </c>
      <c r="J4168" t="str">
        <f>_xlfn.XLOOKUP($A4168,Load!$B:$B,Load!K:K,0,)</f>
        <v>Fun Size / Treat Size</v>
      </c>
      <c r="K4168" t="str">
        <f>_xlfn.XLOOKUP($A4168,Load!$B:$B,Load!L:L,0,)</f>
        <v>Regular/Original Wrapping</v>
      </c>
      <c r="L4168" t="str">
        <f>_xlfn.XLOOKUP($A4168,Load!$B:$B,Load!M:M,0,)</f>
        <v>Multiple Brands / Variety Flavors or Form</v>
      </c>
    </row>
    <row r="4169" spans="1:12" x14ac:dyDescent="0.25">
      <c r="A4169" t="s">
        <v>112</v>
      </c>
      <c r="B4169" t="str">
        <f>_xlfn.XLOOKUP($A4169,Load!$B:$B,Load!C:C,0,)</f>
        <v>Frankford</v>
      </c>
      <c r="C4169" t="str">
        <f>_xlfn.XLOOKUP($A4169,Load!$B:$B,Load!D:D,0,)</f>
        <v>Non-Chocolate Candy Only</v>
      </c>
      <c r="D4169" t="str">
        <f>_xlfn.XLOOKUP($A4169,Load!$B:$B,Load!E:E,0,)</f>
        <v>Sour</v>
      </c>
      <c r="E4169" t="str">
        <f>_xlfn.XLOOKUP($A4169,Load!$B:$B,Load!F:F,0,)</f>
        <v>Mixed / Combo Packs (Gummy, Chewy, Taffy, etc.)</v>
      </c>
      <c r="F4169" t="str">
        <f>_xlfn.XLOOKUP($A4169,Load!$B:$B,Load!G:G,0,)</f>
        <v>Large Multipack (More than 80 ct)</v>
      </c>
      <c r="G4169" t="str">
        <f>_xlfn.XLOOKUP($A4169,Load!$B:$B,Load!H:H,0,)</f>
        <v>Laydown Bag</v>
      </c>
      <c r="H4169" t="str">
        <f>_xlfn.XLOOKUP($A4169,Load!$B:$B,Load!I:I,0,)</f>
        <v>Everyday Candy Shapes (like Original, Gummy bear, Fruit, Jewels, etc.)</v>
      </c>
      <c r="I4169" t="str">
        <f>_xlfn.XLOOKUP($A4169,Load!$B:$B,Load!J:J,0,)</f>
        <v>Seasonal Graphics (Like Bat, Ghost, Pumpkin, Fall Leaves, Eyeballs, etc.)</v>
      </c>
      <c r="J4169" t="str">
        <f>_xlfn.XLOOKUP($A4169,Load!$B:$B,Load!K:K,0,)</f>
        <v>Small Pieces (Tiny bite size candies)</v>
      </c>
      <c r="K4169" t="str">
        <f>_xlfn.XLOOKUP($A4169,Load!$B:$B,Load!L:L,0,)</f>
        <v>Regular/Original Wrapping</v>
      </c>
      <c r="L4169" t="str">
        <f>_xlfn.XLOOKUP($A4169,Load!$B:$B,Load!M:M,0,)</f>
        <v>Multiple Brands / Variety Flavors or Form</v>
      </c>
    </row>
    <row r="4170" spans="1:12" x14ac:dyDescent="0.25">
      <c r="A4170" t="s">
        <v>287</v>
      </c>
      <c r="B4170" t="str">
        <f>_xlfn.XLOOKUP($A4170,Load!$B:$B,Load!C:C,0,)</f>
        <v>SweeTARTS</v>
      </c>
      <c r="C4170" t="str">
        <f>_xlfn.XLOOKUP($A4170,Load!$B:$B,Load!D:D,0,)</f>
        <v>Non-Chocolate Candy Only</v>
      </c>
      <c r="D4170" t="str">
        <f>_xlfn.XLOOKUP($A4170,Load!$B:$B,Load!E:E,0,)</f>
        <v>Berry Based (Raspberry, Strawberry, Medley, etc.)</v>
      </c>
      <c r="E4170" t="str">
        <f>_xlfn.XLOOKUP($A4170,Load!$B:$B,Load!F:F,0,)</f>
        <v>Chewy</v>
      </c>
      <c r="F4170" t="str">
        <f>_xlfn.XLOOKUP($A4170,Load!$B:$B,Load!G:G,0,)</f>
        <v>Small Multipack (Less than 40 ct)</v>
      </c>
      <c r="G4170" t="str">
        <f>_xlfn.XLOOKUP($A4170,Load!$B:$B,Load!H:H,0,)</f>
        <v>Laydown Bag</v>
      </c>
      <c r="H4170" t="str">
        <f>_xlfn.XLOOKUP($A4170,Load!$B:$B,Load!I:I,0,)</f>
        <v>Everyday Candy Shapes (like Original, Gummy bear, Fruit, Jewels, etc.)</v>
      </c>
      <c r="I4170" t="str">
        <f>_xlfn.XLOOKUP($A4170,Load!$B:$B,Load!J:J,0,)</f>
        <v>Everyday Graphics</v>
      </c>
      <c r="J4170" t="str">
        <f>_xlfn.XLOOKUP($A4170,Load!$B:$B,Load!K:K,0,)</f>
        <v>Fun Size / Treat Size</v>
      </c>
      <c r="K4170" t="str">
        <f>_xlfn.XLOOKUP($A4170,Load!$B:$B,Load!L:L,0,)</f>
        <v>Unwrapped</v>
      </c>
      <c r="L4170" t="str">
        <f>_xlfn.XLOOKUP($A4170,Load!$B:$B,Load!M:M,0,)</f>
        <v>Single Brand / Single Flavor or Form</v>
      </c>
    </row>
    <row r="4171" spans="1:12" x14ac:dyDescent="0.25">
      <c r="A4171" t="s">
        <v>168</v>
      </c>
      <c r="B4171" t="str">
        <f>_xlfn.XLOOKUP($A4171,Load!$B:$B,Load!C:C,0,)</f>
        <v>Laffy Taffy</v>
      </c>
      <c r="C4171" t="str">
        <f>_xlfn.XLOOKUP($A4171,Load!$B:$B,Load!D:D,0,)</f>
        <v>Non-Chocolate Candy Only</v>
      </c>
      <c r="D4171" t="str">
        <f>_xlfn.XLOOKUP($A4171,Load!$B:$B,Load!E:E,0,)</f>
        <v>Fruit Flavor (Cherry, Grape, Apple, Citrus, Tropical Fruit)</v>
      </c>
      <c r="E4171" t="str">
        <f>_xlfn.XLOOKUP($A4171,Load!$B:$B,Load!F:F,0,)</f>
        <v>Taffy</v>
      </c>
      <c r="F4171" t="str">
        <f>_xlfn.XLOOKUP($A4171,Load!$B:$B,Load!G:G,0,)</f>
        <v>Small Multipack (Less than 40 ct)</v>
      </c>
      <c r="G4171" t="str">
        <f>_xlfn.XLOOKUP($A4171,Load!$B:$B,Load!H:H,0,)</f>
        <v>Laydown Bag</v>
      </c>
      <c r="H4171" t="str">
        <f>_xlfn.XLOOKUP($A4171,Load!$B:$B,Load!I:I,0,)</f>
        <v>Everyday Candy Shapes (like Original, Gummy bear, Fruit, Jewels, etc.)</v>
      </c>
      <c r="I4171" t="str">
        <f>_xlfn.XLOOKUP($A4171,Load!$B:$B,Load!J:J,0,)</f>
        <v>Everyday Graphics</v>
      </c>
      <c r="J4171" t="str">
        <f>_xlfn.XLOOKUP($A4171,Load!$B:$B,Load!K:K,0,)</f>
        <v>Fun Size / Treat Size</v>
      </c>
      <c r="K4171" t="str">
        <f>_xlfn.XLOOKUP($A4171,Load!$B:$B,Load!L:L,0,)</f>
        <v>Regular/Original Wrapping</v>
      </c>
      <c r="L4171" t="str">
        <f>_xlfn.XLOOKUP($A4171,Load!$B:$B,Load!M:M,0,)</f>
        <v>Single Brand / Variety Flavors or Form</v>
      </c>
    </row>
    <row r="4172" spans="1:12" x14ac:dyDescent="0.25">
      <c r="A4172" t="s">
        <v>465</v>
      </c>
      <c r="B4172" t="str">
        <f>_xlfn.XLOOKUP($A4172,Load!$B:$B,Load!C:C,0,)</f>
        <v>Werther's Original</v>
      </c>
      <c r="C4172" t="str">
        <f>_xlfn.XLOOKUP($A4172,Load!$B:$B,Load!D:D,0,)</f>
        <v>Non-Chocolate Candy Only</v>
      </c>
      <c r="D4172" t="str">
        <f>_xlfn.XLOOKUP($A4172,Load!$B:$B,Load!E:E,0,)</f>
        <v>Sweet</v>
      </c>
      <c r="E4172" t="str">
        <f>_xlfn.XLOOKUP($A4172,Load!$B:$B,Load!F:F,0,)</f>
        <v>Chewy</v>
      </c>
      <c r="F4172" t="str">
        <f>_xlfn.XLOOKUP($A4172,Load!$B:$B,Load!G:G,0,)</f>
        <v>Single Pack</v>
      </c>
      <c r="G4172" t="str">
        <f>_xlfn.XLOOKUP($A4172,Load!$B:$B,Load!H:H,0,)</f>
        <v>Laydown Bag</v>
      </c>
      <c r="H4172" t="str">
        <f>_xlfn.XLOOKUP($A4172,Load!$B:$B,Load!I:I,0,)</f>
        <v>Everyday Candy Shapes (like Original, Gummy bear, Fruit, Jewels, etc.)</v>
      </c>
      <c r="I4172" t="str">
        <f>_xlfn.XLOOKUP($A4172,Load!$B:$B,Load!J:J,0,)</f>
        <v>Everyday Graphics</v>
      </c>
      <c r="J4172" t="str">
        <f>_xlfn.XLOOKUP($A4172,Load!$B:$B,Load!K:K,0,)</f>
        <v>Fun Size / Treat Size</v>
      </c>
      <c r="K4172" t="str">
        <f>_xlfn.XLOOKUP($A4172,Load!$B:$B,Load!L:L,0,)</f>
        <v>Regular/Original Wrapping</v>
      </c>
      <c r="L4172" t="str">
        <f>_xlfn.XLOOKUP($A4172,Load!$B:$B,Load!M:M,0,)</f>
        <v>Single Brand / Single Flavor or Form</v>
      </c>
    </row>
    <row r="4173" spans="1:12" x14ac:dyDescent="0.25">
      <c r="B4173">
        <f>_xlfn.XLOOKUP($A4173,Load!$B:$B,Load!C:C,0,)</f>
        <v>0</v>
      </c>
      <c r="C4173">
        <f>_xlfn.XLOOKUP($A4173,Load!$B:$B,Load!D:D,0,)</f>
        <v>0</v>
      </c>
      <c r="D4173">
        <f>_xlfn.XLOOKUP($A4173,Load!$B:$B,Load!E:E,0,)</f>
        <v>0</v>
      </c>
      <c r="E4173">
        <f>_xlfn.XLOOKUP($A4173,Load!$B:$B,Load!F:F,0,)</f>
        <v>0</v>
      </c>
      <c r="F4173">
        <f>_xlfn.XLOOKUP($A4173,Load!$B:$B,Load!G:G,0,)</f>
        <v>0</v>
      </c>
      <c r="G4173">
        <f>_xlfn.XLOOKUP($A4173,Load!$B:$B,Load!H:H,0,)</f>
        <v>0</v>
      </c>
      <c r="H4173">
        <f>_xlfn.XLOOKUP($A4173,Load!$B:$B,Load!I:I,0,)</f>
        <v>0</v>
      </c>
      <c r="I4173">
        <f>_xlfn.XLOOKUP($A4173,Load!$B:$B,Load!J:J,0,)</f>
        <v>0</v>
      </c>
      <c r="J4173">
        <f>_xlfn.XLOOKUP($A4173,Load!$B:$B,Load!K:K,0,)</f>
        <v>0</v>
      </c>
      <c r="K4173">
        <f>_xlfn.XLOOKUP($A4173,Load!$B:$B,Load!L:L,0,)</f>
        <v>0</v>
      </c>
      <c r="L4173">
        <f>_xlfn.XLOOKUP($A4173,Load!$B:$B,Load!M:M,0,)</f>
        <v>0</v>
      </c>
    </row>
    <row r="4174" spans="1:12" x14ac:dyDescent="0.25">
      <c r="A4174" t="s">
        <v>65</v>
      </c>
      <c r="B4174" t="str">
        <f>_xlfn.XLOOKUP($A4174,Load!$B:$B,Load!C:C,0,)</f>
        <v>Dots</v>
      </c>
      <c r="C4174" t="str">
        <f>_xlfn.XLOOKUP($A4174,Load!$B:$B,Load!D:D,0,)</f>
        <v>Non-Chocolate Candy Only</v>
      </c>
      <c r="D4174" t="str">
        <f>_xlfn.XLOOKUP($A4174,Load!$B:$B,Load!E:E,0,)</f>
        <v>Variety / Mixed Flavors (Fruity, Sour, Seasonal Flavors)</v>
      </c>
      <c r="E4174" t="str">
        <f>_xlfn.XLOOKUP($A4174,Load!$B:$B,Load!F:F,0,)</f>
        <v>Candy Pieces / Bites</v>
      </c>
      <c r="F4174" t="str">
        <f>_xlfn.XLOOKUP($A4174,Load!$B:$B,Load!G:G,0,)</f>
        <v>Medium Multipack (40–80 ct)</v>
      </c>
      <c r="G4174" t="str">
        <f>_xlfn.XLOOKUP($A4174,Load!$B:$B,Load!H:H,0,)</f>
        <v>Box (theatre box, gift box, carton)</v>
      </c>
      <c r="H4174" t="str">
        <f>_xlfn.XLOOKUP($A4174,Load!$B:$B,Load!I:I,0,)</f>
        <v>Seasonal Shapes (like pumpkins, candy corn, ghost, bats, etc.)</v>
      </c>
      <c r="I4174" t="str">
        <f>_xlfn.XLOOKUP($A4174,Load!$B:$B,Load!J:J,0,)</f>
        <v>Seasonal Graphics (Like Bat, Ghost, Pumpkin, Fall Leaves, Eyeballs, etc.)</v>
      </c>
      <c r="J4174" t="str">
        <f>_xlfn.XLOOKUP($A4174,Load!$B:$B,Load!K:K,0,)</f>
        <v>Fun Size / Treat Size</v>
      </c>
      <c r="K4174" t="str">
        <f>_xlfn.XLOOKUP($A4174,Load!$B:$B,Load!L:L,0,)</f>
        <v>Regular/Original Wrapping</v>
      </c>
      <c r="L4174" t="str">
        <f>_xlfn.XLOOKUP($A4174,Load!$B:$B,Load!M:M,0,)</f>
        <v>Single Brand / Variety Flavors or Form</v>
      </c>
    </row>
    <row r="4175" spans="1:12" x14ac:dyDescent="0.25">
      <c r="A4175" t="s">
        <v>218</v>
      </c>
      <c r="B4175" t="str">
        <f>_xlfn.XLOOKUP($A4175,Load!$B:$B,Load!C:C,0,)</f>
        <v>Mondelez Variety Pack</v>
      </c>
      <c r="C4175" t="str">
        <f>_xlfn.XLOOKUP($A4175,Load!$B:$B,Load!D:D,0,)</f>
        <v>Non-Chocolate Candy Only</v>
      </c>
      <c r="D4175" t="str">
        <f>_xlfn.XLOOKUP($A4175,Load!$B:$B,Load!E:E,0,)</f>
        <v>Sour</v>
      </c>
      <c r="E4175" t="str">
        <f>_xlfn.XLOOKUP($A4175,Load!$B:$B,Load!F:F,0,)</f>
        <v>Mixed / Combo Packs (Gummy, Chewy, Taffy, etc.)</v>
      </c>
      <c r="F4175" t="str">
        <f>_xlfn.XLOOKUP($A4175,Load!$B:$B,Load!G:G,0,)</f>
        <v>Large Multipack (More than 80 ct)</v>
      </c>
      <c r="G4175" t="str">
        <f>_xlfn.XLOOKUP($A4175,Load!$B:$B,Load!H:H,0,)</f>
        <v>Stand-Up Bag</v>
      </c>
      <c r="H4175" t="str">
        <f>_xlfn.XLOOKUP($A4175,Load!$B:$B,Load!I:I,0,)</f>
        <v>Seasonal Shapes (like pumpkins, candy corn, ghost, bats, etc.)</v>
      </c>
      <c r="I4175" t="str">
        <f>_xlfn.XLOOKUP($A4175,Load!$B:$B,Load!J:J,0,)</f>
        <v>Seasonal Graphics (Like Bat, Ghost, Pumpkin, Fall Leaves, Eyeballs, etc.)</v>
      </c>
      <c r="J4175" t="str">
        <f>_xlfn.XLOOKUP($A4175,Load!$B:$B,Load!K:K,0,)</f>
        <v>Small Pieces (Tiny bite size candies)</v>
      </c>
      <c r="K4175" t="str">
        <f>_xlfn.XLOOKUP($A4175,Load!$B:$B,Load!L:L,0,)</f>
        <v>Regular/Original Wrapping</v>
      </c>
      <c r="L4175" t="str">
        <f>_xlfn.XLOOKUP($A4175,Load!$B:$B,Load!M:M,0,)</f>
        <v>Multiple Brands / Variety Flavors or Form</v>
      </c>
    </row>
    <row r="4176" spans="1:12" x14ac:dyDescent="0.25">
      <c r="A4176" t="s">
        <v>220</v>
      </c>
      <c r="B4176" t="str">
        <f>_xlfn.XLOOKUP($A4176,Load!$B:$B,Load!C:C,0,)</f>
        <v>Mondelez Variety Pack</v>
      </c>
      <c r="C4176" t="str">
        <f>_xlfn.XLOOKUP($A4176,Load!$B:$B,Load!D:D,0,)</f>
        <v>Non-Chocolate Candy Only</v>
      </c>
      <c r="D4176" t="str">
        <f>_xlfn.XLOOKUP($A4176,Load!$B:$B,Load!E:E,0,)</f>
        <v>Variety / Mixed Flavors (Fruity, Sour, Seasonal Flavors)</v>
      </c>
      <c r="E4176" t="str">
        <f>_xlfn.XLOOKUP($A4176,Load!$B:$B,Load!F:F,0,)</f>
        <v>Chewy</v>
      </c>
      <c r="F4176" t="str">
        <f>_xlfn.XLOOKUP($A4176,Load!$B:$B,Load!G:G,0,)</f>
        <v>Large Multipack (More than 80 ct)</v>
      </c>
      <c r="G4176" t="str">
        <f>_xlfn.XLOOKUP($A4176,Load!$B:$B,Load!H:H,0,)</f>
        <v>Stand-Up Bag</v>
      </c>
      <c r="H4176" t="str">
        <f>_xlfn.XLOOKUP($A4176,Load!$B:$B,Load!I:I,0,)</f>
        <v>Seasonal Shapes (like pumpkins, candy corn, ghost, bats, etc.)</v>
      </c>
      <c r="I4176" t="str">
        <f>_xlfn.XLOOKUP($A4176,Load!$B:$B,Load!J:J,0,)</f>
        <v>Seasonal Graphics (Like Bat, Ghost, Pumpkin, Fall Leaves, Eyeballs, etc.)</v>
      </c>
      <c r="J4176" t="str">
        <f>_xlfn.XLOOKUP($A4176,Load!$B:$B,Load!K:K,0,)</f>
        <v>Small Pieces (Tiny bite size candies)</v>
      </c>
      <c r="K4176" t="str">
        <f>_xlfn.XLOOKUP($A4176,Load!$B:$B,Load!L:L,0,)</f>
        <v>Regular/Original Wrapping</v>
      </c>
      <c r="L4176" t="str">
        <f>_xlfn.XLOOKUP($A4176,Load!$B:$B,Load!M:M,0,)</f>
        <v>Single Brand / Variety Flavors or Form</v>
      </c>
    </row>
    <row r="4177" spans="1:12" x14ac:dyDescent="0.25">
      <c r="A4177" t="s">
        <v>218</v>
      </c>
      <c r="B4177" t="str">
        <f>_xlfn.XLOOKUP($A4177,Load!$B:$B,Load!C:C,0,)</f>
        <v>Mondelez Variety Pack</v>
      </c>
      <c r="C4177" t="str">
        <f>_xlfn.XLOOKUP($A4177,Load!$B:$B,Load!D:D,0,)</f>
        <v>Non-Chocolate Candy Only</v>
      </c>
      <c r="D4177" t="str">
        <f>_xlfn.XLOOKUP($A4177,Load!$B:$B,Load!E:E,0,)</f>
        <v>Sour</v>
      </c>
      <c r="E4177" t="str">
        <f>_xlfn.XLOOKUP($A4177,Load!$B:$B,Load!F:F,0,)</f>
        <v>Mixed / Combo Packs (Gummy, Chewy, Taffy, etc.)</v>
      </c>
      <c r="F4177" t="str">
        <f>_xlfn.XLOOKUP($A4177,Load!$B:$B,Load!G:G,0,)</f>
        <v>Large Multipack (More than 80 ct)</v>
      </c>
      <c r="G4177" t="str">
        <f>_xlfn.XLOOKUP($A4177,Load!$B:$B,Load!H:H,0,)</f>
        <v>Stand-Up Bag</v>
      </c>
      <c r="H4177" t="str">
        <f>_xlfn.XLOOKUP($A4177,Load!$B:$B,Load!I:I,0,)</f>
        <v>Seasonal Shapes (like pumpkins, candy corn, ghost, bats, etc.)</v>
      </c>
      <c r="I4177" t="str">
        <f>_xlfn.XLOOKUP($A4177,Load!$B:$B,Load!J:J,0,)</f>
        <v>Seasonal Graphics (Like Bat, Ghost, Pumpkin, Fall Leaves, Eyeballs, etc.)</v>
      </c>
      <c r="J4177" t="str">
        <f>_xlfn.XLOOKUP($A4177,Load!$B:$B,Load!K:K,0,)</f>
        <v>Small Pieces (Tiny bite size candies)</v>
      </c>
      <c r="K4177" t="str">
        <f>_xlfn.XLOOKUP($A4177,Load!$B:$B,Load!L:L,0,)</f>
        <v>Regular/Original Wrapping</v>
      </c>
      <c r="L4177" t="str">
        <f>_xlfn.XLOOKUP($A4177,Load!$B:$B,Load!M:M,0,)</f>
        <v>Multiple Brands / Variety Flavors or Form</v>
      </c>
    </row>
    <row r="4178" spans="1:12" x14ac:dyDescent="0.25">
      <c r="A4178" t="s">
        <v>107</v>
      </c>
      <c r="B4178" t="str">
        <f>_xlfn.XLOOKUP($A4178,Load!$B:$B,Load!C:C,0,)</f>
        <v>Frankford</v>
      </c>
      <c r="C4178" t="str">
        <f>_xlfn.XLOOKUP($A4178,Load!$B:$B,Load!D:D,0,)</f>
        <v>Non-Chocolate Candy Only</v>
      </c>
      <c r="D4178" t="str">
        <f>_xlfn.XLOOKUP($A4178,Load!$B:$B,Load!E:E,0,)</f>
        <v>Variety / Mixed Flavors (Fruity, Sour, Seasonal Flavors)</v>
      </c>
      <c r="E4178" t="str">
        <f>_xlfn.XLOOKUP($A4178,Load!$B:$B,Load!F:F,0,)</f>
        <v>Mixed / Combo Packs (Gummy, Chewy, Taffy, etc.)</v>
      </c>
      <c r="F4178" t="str">
        <f>_xlfn.XLOOKUP($A4178,Load!$B:$B,Load!G:G,0,)</f>
        <v>Large Multipack (More than 80 ct)</v>
      </c>
      <c r="G4178" t="str">
        <f>_xlfn.XLOOKUP($A4178,Load!$B:$B,Load!H:H,0,)</f>
        <v>Laydown Bag</v>
      </c>
      <c r="H4178" t="str">
        <f>_xlfn.XLOOKUP($A4178,Load!$B:$B,Load!I:I,0,)</f>
        <v>Everyday Candy Shapes (like Original, Gummy bear, Fruit, Jewels, etc.)</v>
      </c>
      <c r="I4178" t="str">
        <f>_xlfn.XLOOKUP($A4178,Load!$B:$B,Load!J:J,0,)</f>
        <v>Seasonal Graphics (Like Bat, Ghost, Pumpkin, Fall Leaves, Eyeballs, etc.)</v>
      </c>
      <c r="J4178" t="str">
        <f>_xlfn.XLOOKUP($A4178,Load!$B:$B,Load!K:K,0,)</f>
        <v xml:space="preserve">Variety Candy Sizes </v>
      </c>
      <c r="K4178" t="str">
        <f>_xlfn.XLOOKUP($A4178,Load!$B:$B,Load!L:L,0,)</f>
        <v>Regular/Original Wrapping</v>
      </c>
      <c r="L4178" t="str">
        <f>_xlfn.XLOOKUP($A4178,Load!$B:$B,Load!M:M,0,)</f>
        <v>Multiple Brands / Variety Flavors or Form</v>
      </c>
    </row>
    <row r="4179" spans="1:12" x14ac:dyDescent="0.25">
      <c r="A4179" t="s">
        <v>59</v>
      </c>
      <c r="B4179" t="str">
        <f>_xlfn.XLOOKUP($A4179,Load!$B:$B,Load!C:C,0,)</f>
        <v>Charms</v>
      </c>
      <c r="C4179" t="str">
        <f>_xlfn.XLOOKUP($A4179,Load!$B:$B,Load!D:D,0,)</f>
        <v>Non-Chocolate Candy Only</v>
      </c>
      <c r="D4179" t="str">
        <f>_xlfn.XLOOKUP($A4179,Load!$B:$B,Load!E:E,0,)</f>
        <v>Variety / Mixed Flavors (Fruity, Sour, Seasonal Flavors)</v>
      </c>
      <c r="E4179" t="str">
        <f>_xlfn.XLOOKUP($A4179,Load!$B:$B,Load!F:F,0,)</f>
        <v>Mixed / Combo Packs (Gummy, Chewy, Taffy, etc.)</v>
      </c>
      <c r="F4179" t="str">
        <f>_xlfn.XLOOKUP($A4179,Load!$B:$B,Load!G:G,0,)</f>
        <v>Large Multipack (More than 80 ct)</v>
      </c>
      <c r="G4179" t="str">
        <f>_xlfn.XLOOKUP($A4179,Load!$B:$B,Load!H:H,0,)</f>
        <v>Laydown Bag</v>
      </c>
      <c r="H4179" t="str">
        <f>_xlfn.XLOOKUP($A4179,Load!$B:$B,Load!I:I,0,)</f>
        <v>Everyday Candy Shapes (like Original, Gummy bear, Fruit, Jewels, etc.)</v>
      </c>
      <c r="I4179" t="str">
        <f>_xlfn.XLOOKUP($A4179,Load!$B:$B,Load!J:J,0,)</f>
        <v>Seasonal Graphics (Like Bat, Ghost, Pumpkin, Fall Leaves, Eyeballs, etc.)</v>
      </c>
      <c r="J4179" t="str">
        <f>_xlfn.XLOOKUP($A4179,Load!$B:$B,Load!K:K,0,)</f>
        <v xml:space="preserve">Variety Candy Sizes </v>
      </c>
      <c r="K4179" t="str">
        <f>_xlfn.XLOOKUP($A4179,Load!$B:$B,Load!L:L,0,)</f>
        <v>Regular/Original Wrapping</v>
      </c>
      <c r="L4179" t="str">
        <f>_xlfn.XLOOKUP($A4179,Load!$B:$B,Load!M:M,0,)</f>
        <v>Single Brand / Variety Flavors or Form</v>
      </c>
    </row>
    <row r="4180" spans="1:12" x14ac:dyDescent="0.25">
      <c r="A4180" t="s">
        <v>6</v>
      </c>
      <c r="B4180" t="str">
        <f>_xlfn.XLOOKUP($A4180,Load!$B:$B,Load!C:C,0,)</f>
        <v>Airheads</v>
      </c>
      <c r="C4180" t="str">
        <f>_xlfn.XLOOKUP($A4180,Load!$B:$B,Load!D:D,0,)</f>
        <v>Non-Chocolate Candy Only</v>
      </c>
      <c r="D4180" t="str">
        <f>_xlfn.XLOOKUP($A4180,Load!$B:$B,Load!E:E,0,)</f>
        <v>Sour</v>
      </c>
      <c r="E4180" t="str">
        <f>_xlfn.XLOOKUP($A4180,Load!$B:$B,Load!F:F,0,)</f>
        <v>Taffy</v>
      </c>
      <c r="F4180" t="str">
        <f>_xlfn.XLOOKUP($A4180,Load!$B:$B,Load!G:G,0,)</f>
        <v>Large Multipack (More than 80 ct)</v>
      </c>
      <c r="G4180" t="str">
        <f>_xlfn.XLOOKUP($A4180,Load!$B:$B,Load!H:H,0,)</f>
        <v>Laydown Bag</v>
      </c>
      <c r="H4180" t="str">
        <f>_xlfn.XLOOKUP($A4180,Load!$B:$B,Load!I:I,0,)</f>
        <v>Everyday Candy Shapes (like Original, Gummy bear, Fruit, Jewels, etc.)</v>
      </c>
      <c r="I4180" t="str">
        <f>_xlfn.XLOOKUP($A4180,Load!$B:$B,Load!J:J,0,)</f>
        <v>Everyday Graphics</v>
      </c>
      <c r="J4180" t="str">
        <f>_xlfn.XLOOKUP($A4180,Load!$B:$B,Load!K:K,0,)</f>
        <v>Fun Size / Treat Size</v>
      </c>
      <c r="K4180" t="str">
        <f>_xlfn.XLOOKUP($A4180,Load!$B:$B,Load!L:L,0,)</f>
        <v>Regular/Original Wrapping</v>
      </c>
      <c r="L4180" t="str">
        <f>_xlfn.XLOOKUP($A4180,Load!$B:$B,Load!M:M,0,)</f>
        <v>Single Brand / Variety Flavors or Form</v>
      </c>
    </row>
    <row r="4181" spans="1:12" x14ac:dyDescent="0.25">
      <c r="B4181">
        <f>_xlfn.XLOOKUP($A4181,Load!$B:$B,Load!C:C,0,)</f>
        <v>0</v>
      </c>
      <c r="C4181">
        <f>_xlfn.XLOOKUP($A4181,Load!$B:$B,Load!D:D,0,)</f>
        <v>0</v>
      </c>
      <c r="D4181">
        <f>_xlfn.XLOOKUP($A4181,Load!$B:$B,Load!E:E,0,)</f>
        <v>0</v>
      </c>
      <c r="E4181">
        <f>_xlfn.XLOOKUP($A4181,Load!$B:$B,Load!F:F,0,)</f>
        <v>0</v>
      </c>
      <c r="F4181">
        <f>_xlfn.XLOOKUP($A4181,Load!$B:$B,Load!G:G,0,)</f>
        <v>0</v>
      </c>
      <c r="G4181">
        <f>_xlfn.XLOOKUP($A4181,Load!$B:$B,Load!H:H,0,)</f>
        <v>0</v>
      </c>
      <c r="H4181">
        <f>_xlfn.XLOOKUP($A4181,Load!$B:$B,Load!I:I,0,)</f>
        <v>0</v>
      </c>
      <c r="I4181">
        <f>_xlfn.XLOOKUP($A4181,Load!$B:$B,Load!J:J,0,)</f>
        <v>0</v>
      </c>
      <c r="J4181">
        <f>_xlfn.XLOOKUP($A4181,Load!$B:$B,Load!K:K,0,)</f>
        <v>0</v>
      </c>
      <c r="K4181">
        <f>_xlfn.XLOOKUP($A4181,Load!$B:$B,Load!L:L,0,)</f>
        <v>0</v>
      </c>
      <c r="L4181">
        <f>_xlfn.XLOOKUP($A4181,Load!$B:$B,Load!M:M,0,)</f>
        <v>0</v>
      </c>
    </row>
    <row r="4182" spans="1:12" x14ac:dyDescent="0.25">
      <c r="A4182" t="s">
        <v>103</v>
      </c>
      <c r="B4182" t="str">
        <f>_xlfn.XLOOKUP($A4182,Load!$B:$B,Load!C:C,0,)</f>
        <v>Frankford</v>
      </c>
      <c r="C4182" t="str">
        <f>_xlfn.XLOOKUP($A4182,Load!$B:$B,Load!D:D,0,)</f>
        <v>Non-Chocolate Candy Only</v>
      </c>
      <c r="D4182" t="str">
        <f>_xlfn.XLOOKUP($A4182,Load!$B:$B,Load!E:E,0,)</f>
        <v>Sweet</v>
      </c>
      <c r="E4182" t="str">
        <f>_xlfn.XLOOKUP($A4182,Load!$B:$B,Load!F:F,0,)</f>
        <v>Gummy</v>
      </c>
      <c r="F4182" t="str">
        <f>_xlfn.XLOOKUP($A4182,Load!$B:$B,Load!G:G,0,)</f>
        <v>Medium Multipack (40–80 ct)</v>
      </c>
      <c r="G4182" t="str">
        <f>_xlfn.XLOOKUP($A4182,Load!$B:$B,Load!H:H,0,)</f>
        <v>Stand-Up Bag</v>
      </c>
      <c r="H4182" t="str">
        <f>_xlfn.XLOOKUP($A4182,Load!$B:$B,Load!I:I,0,)</f>
        <v>Seasonal Shapes (like pumpkins, candy corn, ghost, bats, etc.)</v>
      </c>
      <c r="I4182" t="str">
        <f>_xlfn.XLOOKUP($A4182,Load!$B:$B,Load!J:J,0,)</f>
        <v>Seasonal Graphics (Like Bat, Ghost, Pumpkin, Fall Leaves, Eyeballs, etc.)</v>
      </c>
      <c r="J4182" t="str">
        <f>_xlfn.XLOOKUP($A4182,Load!$B:$B,Load!K:K,0,)</f>
        <v>Fun Size / Treat Size</v>
      </c>
      <c r="K4182" t="str">
        <f>_xlfn.XLOOKUP($A4182,Load!$B:$B,Load!L:L,0,)</f>
        <v>Regular/Original Wrapping</v>
      </c>
      <c r="L4182" t="str">
        <f>_xlfn.XLOOKUP($A4182,Load!$B:$B,Load!M:M,0,)</f>
        <v>Single Brand / Variety Flavors or Form</v>
      </c>
    </row>
    <row r="4183" spans="1:12" x14ac:dyDescent="0.25">
      <c r="A4183" t="s">
        <v>105</v>
      </c>
      <c r="B4183" t="str">
        <f>_xlfn.XLOOKUP($A4183,Load!$B:$B,Load!C:C,0,)</f>
        <v>Frankford</v>
      </c>
      <c r="C4183" t="str">
        <f>_xlfn.XLOOKUP($A4183,Load!$B:$B,Load!D:D,0,)</f>
        <v>Non-Chocolate Candy Only</v>
      </c>
      <c r="D4183" t="str">
        <f>_xlfn.XLOOKUP($A4183,Load!$B:$B,Load!E:E,0,)</f>
        <v>Variety / Mixed Flavors (Fruity, Sour, Seasonal Flavors)</v>
      </c>
      <c r="E4183" t="str">
        <f>_xlfn.XLOOKUP($A4183,Load!$B:$B,Load!F:F,0,)</f>
        <v>Gummy</v>
      </c>
      <c r="F4183" t="str">
        <f>_xlfn.XLOOKUP($A4183,Load!$B:$B,Load!G:G,0,)</f>
        <v>Medium Multipack (40–80 ct)</v>
      </c>
      <c r="G4183" t="str">
        <f>_xlfn.XLOOKUP($A4183,Load!$B:$B,Load!H:H,0,)</f>
        <v>Stand-Up Bag</v>
      </c>
      <c r="H4183" t="str">
        <f>_xlfn.XLOOKUP($A4183,Load!$B:$B,Load!I:I,0,)</f>
        <v>Seasonal Shapes (like pumpkins, candy corn, ghost, bats, etc.)</v>
      </c>
      <c r="I4183" t="str">
        <f>_xlfn.XLOOKUP($A4183,Load!$B:$B,Load!J:J,0,)</f>
        <v>Seasonal Graphics (Like Bat, Ghost, Pumpkin, Fall Leaves, Eyeballs, etc.)</v>
      </c>
      <c r="J4183" t="str">
        <f>_xlfn.XLOOKUP($A4183,Load!$B:$B,Load!K:K,0,)</f>
        <v>Fun Size / Treat Size</v>
      </c>
      <c r="K4183" t="str">
        <f>_xlfn.XLOOKUP($A4183,Load!$B:$B,Load!L:L,0,)</f>
        <v>Regular/Original Wrapping</v>
      </c>
      <c r="L4183" t="str">
        <f>_xlfn.XLOOKUP($A4183,Load!$B:$B,Load!M:M,0,)</f>
        <v>Single Brand / Variety Flavors or Form</v>
      </c>
    </row>
    <row r="4184" spans="1:12" x14ac:dyDescent="0.25">
      <c r="A4184" t="s">
        <v>243</v>
      </c>
      <c r="B4184" t="str">
        <f>_xlfn.XLOOKUP($A4184,Load!$B:$B,Load!C:C,0,)</f>
        <v>Peeps</v>
      </c>
      <c r="C4184" t="str">
        <f>_xlfn.XLOOKUP($A4184,Load!$B:$B,Load!D:D,0,)</f>
        <v>Non-Chocolate Candy Only</v>
      </c>
      <c r="D4184" t="str">
        <f>_xlfn.XLOOKUP($A4184,Load!$B:$B,Load!E:E,0,)</f>
        <v>Fall / Seasonal Flavors (pumpkin spice, caramel apple, candy corn)</v>
      </c>
      <c r="E4184" t="str">
        <f>_xlfn.XLOOKUP($A4184,Load!$B:$B,Load!F:F,0,)</f>
        <v>Foamy / Aerated / Freeze Dried</v>
      </c>
      <c r="F4184" t="str">
        <f>_xlfn.XLOOKUP($A4184,Load!$B:$B,Load!G:G,0,)</f>
        <v>Single Pack</v>
      </c>
      <c r="G4184" t="str">
        <f>_xlfn.XLOOKUP($A4184,Load!$B:$B,Load!H:H,0,)</f>
        <v>Box (theatre box, gift box, carton)</v>
      </c>
      <c r="H4184" t="str">
        <f>_xlfn.XLOOKUP($A4184,Load!$B:$B,Load!I:I,0,)</f>
        <v>Seasonal Shapes (like pumpkins, candy corn, ghost, bats, etc.)</v>
      </c>
      <c r="I4184" t="str">
        <f>_xlfn.XLOOKUP($A4184,Load!$B:$B,Load!J:J,0,)</f>
        <v>Seasonal Graphics (Like Bat, Ghost, Pumpkin, Fall Leaves, Eyeballs, etc.)</v>
      </c>
      <c r="J4184" t="str">
        <f>_xlfn.XLOOKUP($A4184,Load!$B:$B,Load!K:K,0,)</f>
        <v>Fun Size / Treat Size</v>
      </c>
      <c r="K4184" t="str">
        <f>_xlfn.XLOOKUP($A4184,Load!$B:$B,Load!L:L,0,)</f>
        <v>Unwrapped</v>
      </c>
      <c r="L4184" t="str">
        <f>_xlfn.XLOOKUP($A4184,Load!$B:$B,Load!M:M,0,)</f>
        <v>Single Brand / Single Flavor or Form</v>
      </c>
    </row>
    <row r="4185" spans="1:12" x14ac:dyDescent="0.25">
      <c r="A4185" t="s">
        <v>96</v>
      </c>
      <c r="B4185" t="str">
        <f>_xlfn.XLOOKUP($A4185,Load!$B:$B,Load!C:C,0,)</f>
        <v>Ferrero Variety Pack</v>
      </c>
      <c r="C4185" t="str">
        <f>_xlfn.XLOOKUP($A4185,Load!$B:$B,Load!D:D,0,)</f>
        <v>Mix of Chocolate and Non-Chocolate Candy</v>
      </c>
      <c r="D4185" t="str">
        <f>_xlfn.XLOOKUP($A4185,Load!$B:$B,Load!E:E,0,)</f>
        <v>Variety / Mixed Flavors (Fruity, Sour, Seasonal Flavors)</v>
      </c>
      <c r="E4185" t="str">
        <f>_xlfn.XLOOKUP($A4185,Load!$B:$B,Load!F:F,0,)</f>
        <v>Mixed / Combo Packs (Gummy, Chewy, Taffy, etc.)</v>
      </c>
      <c r="F4185" t="str">
        <f>_xlfn.XLOOKUP($A4185,Load!$B:$B,Load!G:G,0,)</f>
        <v>Large Multipack (More than 80 ct)</v>
      </c>
      <c r="G4185" t="str">
        <f>_xlfn.XLOOKUP($A4185,Load!$B:$B,Load!H:H,0,)</f>
        <v>Stand-Up Bag</v>
      </c>
      <c r="H4185" t="str">
        <f>_xlfn.XLOOKUP($A4185,Load!$B:$B,Load!I:I,0,)</f>
        <v>Everyday Candy Shapes (like Original, Gummy bear, Fruit, Jewels, etc.)</v>
      </c>
      <c r="I4185" t="str">
        <f>_xlfn.XLOOKUP($A4185,Load!$B:$B,Load!J:J,0,)</f>
        <v>Seasonal Graphics (Like Bat, Ghost, Pumpkin, Fall Leaves, Eyeballs, etc.)</v>
      </c>
      <c r="J4185" t="str">
        <f>_xlfn.XLOOKUP($A4185,Load!$B:$B,Load!K:K,0,)</f>
        <v>Fun Size / Treat Size</v>
      </c>
      <c r="K4185" t="str">
        <f>_xlfn.XLOOKUP($A4185,Load!$B:$B,Load!L:L,0,)</f>
        <v>Regular/Original Wrapping</v>
      </c>
      <c r="L4185" t="str">
        <f>_xlfn.XLOOKUP($A4185,Load!$B:$B,Load!M:M,0,)</f>
        <v>Multiple Brands / Variety Flavors or Form</v>
      </c>
    </row>
    <row r="4186" spans="1:12" x14ac:dyDescent="0.25">
      <c r="A4186" t="s">
        <v>60</v>
      </c>
      <c r="B4186" t="str">
        <f>_xlfn.XLOOKUP($A4186,Load!$B:$B,Load!C:C,0,)</f>
        <v>Charms</v>
      </c>
      <c r="C4186" t="str">
        <f>_xlfn.XLOOKUP($A4186,Load!$B:$B,Load!D:D,0,)</f>
        <v>Non-Chocolate Candy Only</v>
      </c>
      <c r="D4186" t="str">
        <f>_xlfn.XLOOKUP($A4186,Load!$B:$B,Load!E:E,0,)</f>
        <v>Variety / Mixed Flavors (Fruity, Sour, Seasonal Flavors)</v>
      </c>
      <c r="E4186" t="str">
        <f>_xlfn.XLOOKUP($A4186,Load!$B:$B,Load!F:F,0,)</f>
        <v>Lollipop (regular or lollipop rings)</v>
      </c>
      <c r="F4186" t="str">
        <f>_xlfn.XLOOKUP($A4186,Load!$B:$B,Load!G:G,0,)</f>
        <v>Single Pack</v>
      </c>
      <c r="G4186" t="str">
        <f>_xlfn.XLOOKUP($A4186,Load!$B:$B,Load!H:H,0,)</f>
        <v>Stand-Up Bag</v>
      </c>
      <c r="H4186" t="str">
        <f>_xlfn.XLOOKUP($A4186,Load!$B:$B,Load!I:I,0,)</f>
        <v>Everyday Candy Shapes (like Original, Gummy bear, Fruit, Jewels, etc.)</v>
      </c>
      <c r="I4186" t="str">
        <f>_xlfn.XLOOKUP($A4186,Load!$B:$B,Load!J:J,0,)</f>
        <v>Seasonal Graphics (Like Bat, Ghost, Pumpkin, Fall Leaves, Eyeballs, etc.)</v>
      </c>
      <c r="J4186" t="str">
        <f>_xlfn.XLOOKUP($A4186,Load!$B:$B,Load!K:K,0,)</f>
        <v>Regular Lollipop size (on sticks or rings)</v>
      </c>
      <c r="K4186" t="str">
        <f>_xlfn.XLOOKUP($A4186,Load!$B:$B,Load!L:L,0,)</f>
        <v>Regular/Original Wrapping</v>
      </c>
      <c r="L4186" t="str">
        <f>_xlfn.XLOOKUP($A4186,Load!$B:$B,Load!M:M,0,)</f>
        <v>Single Brand / Variety Flavors or Form</v>
      </c>
    </row>
    <row r="4187" spans="1:12" x14ac:dyDescent="0.25">
      <c r="B4187">
        <f>_xlfn.XLOOKUP($A4187,Load!$B:$B,Load!C:C,0,)</f>
        <v>0</v>
      </c>
      <c r="C4187">
        <f>_xlfn.XLOOKUP($A4187,Load!$B:$B,Load!D:D,0,)</f>
        <v>0</v>
      </c>
      <c r="D4187">
        <f>_xlfn.XLOOKUP($A4187,Load!$B:$B,Load!E:E,0,)</f>
        <v>0</v>
      </c>
      <c r="E4187">
        <f>_xlfn.XLOOKUP($A4187,Load!$B:$B,Load!F:F,0,)</f>
        <v>0</v>
      </c>
      <c r="F4187">
        <f>_xlfn.XLOOKUP($A4187,Load!$B:$B,Load!G:G,0,)</f>
        <v>0</v>
      </c>
      <c r="G4187">
        <f>_xlfn.XLOOKUP($A4187,Load!$B:$B,Load!H:H,0,)</f>
        <v>0</v>
      </c>
      <c r="H4187">
        <f>_xlfn.XLOOKUP($A4187,Load!$B:$B,Load!I:I,0,)</f>
        <v>0</v>
      </c>
      <c r="I4187">
        <f>_xlfn.XLOOKUP($A4187,Load!$B:$B,Load!J:J,0,)</f>
        <v>0</v>
      </c>
      <c r="J4187">
        <f>_xlfn.XLOOKUP($A4187,Load!$B:$B,Load!K:K,0,)</f>
        <v>0</v>
      </c>
      <c r="K4187">
        <f>_xlfn.XLOOKUP($A4187,Load!$B:$B,Load!L:L,0,)</f>
        <v>0</v>
      </c>
      <c r="L4187">
        <f>_xlfn.XLOOKUP($A4187,Load!$B:$B,Load!M:M,0,)</f>
        <v>0</v>
      </c>
    </row>
    <row r="4188" spans="1:12" x14ac:dyDescent="0.25">
      <c r="A4188" t="s">
        <v>22</v>
      </c>
      <c r="B4188" t="str">
        <f>_xlfn.XLOOKUP($A4188,Load!$B:$B,Load!C:C,0,)</f>
        <v>Albanese</v>
      </c>
      <c r="C4188" t="str">
        <f>_xlfn.XLOOKUP($A4188,Load!$B:$B,Load!D:D,0,)</f>
        <v>Non-Chocolate Candy Only</v>
      </c>
      <c r="D4188" t="str">
        <f>_xlfn.XLOOKUP($A4188,Load!$B:$B,Load!E:E,0,)</f>
        <v>Variety / Mixed Flavors (Fruity, Sour, Seasonal Flavors)</v>
      </c>
      <c r="E4188" t="str">
        <f>_xlfn.XLOOKUP($A4188,Load!$B:$B,Load!F:F,0,)</f>
        <v>Gummy</v>
      </c>
      <c r="F4188" t="str">
        <f>_xlfn.XLOOKUP($A4188,Load!$B:$B,Load!G:G,0,)</f>
        <v>Single Pack</v>
      </c>
      <c r="G4188" t="str">
        <f>_xlfn.XLOOKUP($A4188,Load!$B:$B,Load!H:H,0,)</f>
        <v>Laydown Bag</v>
      </c>
      <c r="H4188" t="str">
        <f>_xlfn.XLOOKUP($A4188,Load!$B:$B,Load!I:I,0,)</f>
        <v>Everyday Candy Shapes (like Original, Gummy bear, Fruit, Jewels, etc.)</v>
      </c>
      <c r="I4188" t="str">
        <f>_xlfn.XLOOKUP($A4188,Load!$B:$B,Load!J:J,0,)</f>
        <v>Seasonal Graphics (Like Bat, Ghost, Pumpkin, Fall Leaves, Eyeballs, etc.)</v>
      </c>
      <c r="J4188" t="str">
        <f>_xlfn.XLOOKUP($A4188,Load!$B:$B,Load!K:K,0,)</f>
        <v>Small Pieces (Tiny bite size candies)</v>
      </c>
      <c r="K4188" t="str">
        <f>_xlfn.XLOOKUP($A4188,Load!$B:$B,Load!L:L,0,)</f>
        <v>Regular/Original Wrapping</v>
      </c>
      <c r="L4188" t="str">
        <f>_xlfn.XLOOKUP($A4188,Load!$B:$B,Load!M:M,0,)</f>
        <v>Single Brand / Variety Flavors or Form</v>
      </c>
    </row>
    <row r="4189" spans="1:12" x14ac:dyDescent="0.25">
      <c r="B4189">
        <f>_xlfn.XLOOKUP($A4189,Load!$B:$B,Load!C:C,0,)</f>
        <v>0</v>
      </c>
      <c r="C4189">
        <f>_xlfn.XLOOKUP($A4189,Load!$B:$B,Load!D:D,0,)</f>
        <v>0</v>
      </c>
      <c r="D4189">
        <f>_xlfn.XLOOKUP($A4189,Load!$B:$B,Load!E:E,0,)</f>
        <v>0</v>
      </c>
      <c r="E4189">
        <f>_xlfn.XLOOKUP($A4189,Load!$B:$B,Load!F:F,0,)</f>
        <v>0</v>
      </c>
      <c r="F4189">
        <f>_xlfn.XLOOKUP($A4189,Load!$B:$B,Load!G:G,0,)</f>
        <v>0</v>
      </c>
      <c r="G4189">
        <f>_xlfn.XLOOKUP($A4189,Load!$B:$B,Load!H:H,0,)</f>
        <v>0</v>
      </c>
      <c r="H4189">
        <f>_xlfn.XLOOKUP($A4189,Load!$B:$B,Load!I:I,0,)</f>
        <v>0</v>
      </c>
      <c r="I4189">
        <f>_xlfn.XLOOKUP($A4189,Load!$B:$B,Load!J:J,0,)</f>
        <v>0</v>
      </c>
      <c r="J4189">
        <f>_xlfn.XLOOKUP($A4189,Load!$B:$B,Load!K:K,0,)</f>
        <v>0</v>
      </c>
      <c r="K4189">
        <f>_xlfn.XLOOKUP($A4189,Load!$B:$B,Load!L:L,0,)</f>
        <v>0</v>
      </c>
      <c r="L4189">
        <f>_xlfn.XLOOKUP($A4189,Load!$B:$B,Load!M:M,0,)</f>
        <v>0</v>
      </c>
    </row>
    <row r="4190" spans="1:12" x14ac:dyDescent="0.25">
      <c r="B4190">
        <f>_xlfn.XLOOKUP($A4190,Load!$B:$B,Load!C:C,0,)</f>
        <v>0</v>
      </c>
      <c r="C4190">
        <f>_xlfn.XLOOKUP($A4190,Load!$B:$B,Load!D:D,0,)</f>
        <v>0</v>
      </c>
      <c r="D4190">
        <f>_xlfn.XLOOKUP($A4190,Load!$B:$B,Load!E:E,0,)</f>
        <v>0</v>
      </c>
      <c r="E4190">
        <f>_xlfn.XLOOKUP($A4190,Load!$B:$B,Load!F:F,0,)</f>
        <v>0</v>
      </c>
      <c r="F4190">
        <f>_xlfn.XLOOKUP($A4190,Load!$B:$B,Load!G:G,0,)</f>
        <v>0</v>
      </c>
      <c r="G4190">
        <f>_xlfn.XLOOKUP($A4190,Load!$B:$B,Load!H:H,0,)</f>
        <v>0</v>
      </c>
      <c r="H4190">
        <f>_xlfn.XLOOKUP($A4190,Load!$B:$B,Load!I:I,0,)</f>
        <v>0</v>
      </c>
      <c r="I4190">
        <f>_xlfn.XLOOKUP($A4190,Load!$B:$B,Load!J:J,0,)</f>
        <v>0</v>
      </c>
      <c r="J4190">
        <f>_xlfn.XLOOKUP($A4190,Load!$B:$B,Load!K:K,0,)</f>
        <v>0</v>
      </c>
      <c r="K4190">
        <f>_xlfn.XLOOKUP($A4190,Load!$B:$B,Load!L:L,0,)</f>
        <v>0</v>
      </c>
      <c r="L4190">
        <f>_xlfn.XLOOKUP($A4190,Load!$B:$B,Load!M:M,0,)</f>
        <v>0</v>
      </c>
    </row>
    <row r="4191" spans="1:12" x14ac:dyDescent="0.25">
      <c r="B4191">
        <f>_xlfn.XLOOKUP($A4191,Load!$B:$B,Load!C:C,0,)</f>
        <v>0</v>
      </c>
      <c r="C4191">
        <f>_xlfn.XLOOKUP($A4191,Load!$B:$B,Load!D:D,0,)</f>
        <v>0</v>
      </c>
      <c r="D4191">
        <f>_xlfn.XLOOKUP($A4191,Load!$B:$B,Load!E:E,0,)</f>
        <v>0</v>
      </c>
      <c r="E4191">
        <f>_xlfn.XLOOKUP($A4191,Load!$B:$B,Load!F:F,0,)</f>
        <v>0</v>
      </c>
      <c r="F4191">
        <f>_xlfn.XLOOKUP($A4191,Load!$B:$B,Load!G:G,0,)</f>
        <v>0</v>
      </c>
      <c r="G4191">
        <f>_xlfn.XLOOKUP($A4191,Load!$B:$B,Load!H:H,0,)</f>
        <v>0</v>
      </c>
      <c r="H4191">
        <f>_xlfn.XLOOKUP($A4191,Load!$B:$B,Load!I:I,0,)</f>
        <v>0</v>
      </c>
      <c r="I4191">
        <f>_xlfn.XLOOKUP($A4191,Load!$B:$B,Load!J:J,0,)</f>
        <v>0</v>
      </c>
      <c r="J4191">
        <f>_xlfn.XLOOKUP($A4191,Load!$B:$B,Load!K:K,0,)</f>
        <v>0</v>
      </c>
      <c r="K4191">
        <f>_xlfn.XLOOKUP($A4191,Load!$B:$B,Load!L:L,0,)</f>
        <v>0</v>
      </c>
      <c r="L4191">
        <f>_xlfn.XLOOKUP($A4191,Load!$B:$B,Load!M:M,0,)</f>
        <v>0</v>
      </c>
    </row>
    <row r="4192" spans="1:12" x14ac:dyDescent="0.25">
      <c r="A4192" t="s">
        <v>258</v>
      </c>
      <c r="B4192" t="str">
        <f>_xlfn.XLOOKUP($A4192,Load!$B:$B,Load!C:C,0,)</f>
        <v>Skittles</v>
      </c>
      <c r="C4192" t="str">
        <f>_xlfn.XLOOKUP($A4192,Load!$B:$B,Load!D:D,0,)</f>
        <v>Non-Chocolate Candy Only</v>
      </c>
      <c r="D4192" t="str">
        <f>_xlfn.XLOOKUP($A4192,Load!$B:$B,Load!E:E,0,)</f>
        <v>Variety / Mixed Flavors (Fruity, Sour, Seasonal Flavors)</v>
      </c>
      <c r="E4192" t="str">
        <f>_xlfn.XLOOKUP($A4192,Load!$B:$B,Load!F:F,0,)</f>
        <v>Mixed / Combo Packs (Gummy, Chewy, Taffy, etc.)</v>
      </c>
      <c r="F4192" t="str">
        <f>_xlfn.XLOOKUP($A4192,Load!$B:$B,Load!G:G,0,)</f>
        <v>Medium Multipack (40–80 ct)</v>
      </c>
      <c r="G4192" t="str">
        <f>_xlfn.XLOOKUP($A4192,Load!$B:$B,Load!H:H,0,)</f>
        <v>Stand-Up Bag</v>
      </c>
      <c r="H4192" t="str">
        <f>_xlfn.XLOOKUP($A4192,Load!$B:$B,Load!I:I,0,)</f>
        <v>Everyday Candy Shapes (like Original, Gummy bear, Fruit, Jewels, etc.)</v>
      </c>
      <c r="I4192" t="str">
        <f>_xlfn.XLOOKUP($A4192,Load!$B:$B,Load!J:J,0,)</f>
        <v>Everyday Graphics</v>
      </c>
      <c r="J4192" t="str">
        <f>_xlfn.XLOOKUP($A4192,Load!$B:$B,Load!K:K,0,)</f>
        <v>Small Pieces (Tiny bite size candies)</v>
      </c>
      <c r="K4192" t="str">
        <f>_xlfn.XLOOKUP($A4192,Load!$B:$B,Load!L:L,0,)</f>
        <v>Regular/Original Wrapping</v>
      </c>
      <c r="L4192" t="str">
        <f>_xlfn.XLOOKUP($A4192,Load!$B:$B,Load!M:M,0,)</f>
        <v>Single Brand / Variety Flavors or Form</v>
      </c>
    </row>
    <row r="4193" spans="1:12" x14ac:dyDescent="0.25">
      <c r="B4193">
        <f>_xlfn.XLOOKUP($A4193,Load!$B:$B,Load!C:C,0,)</f>
        <v>0</v>
      </c>
      <c r="C4193">
        <f>_xlfn.XLOOKUP($A4193,Load!$B:$B,Load!D:D,0,)</f>
        <v>0</v>
      </c>
      <c r="D4193">
        <f>_xlfn.XLOOKUP($A4193,Load!$B:$B,Load!E:E,0,)</f>
        <v>0</v>
      </c>
      <c r="E4193">
        <f>_xlfn.XLOOKUP($A4193,Load!$B:$B,Load!F:F,0,)</f>
        <v>0</v>
      </c>
      <c r="F4193">
        <f>_xlfn.XLOOKUP($A4193,Load!$B:$B,Load!G:G,0,)</f>
        <v>0</v>
      </c>
      <c r="G4193">
        <f>_xlfn.XLOOKUP($A4193,Load!$B:$B,Load!H:H,0,)</f>
        <v>0</v>
      </c>
      <c r="H4193">
        <f>_xlfn.XLOOKUP($A4193,Load!$B:$B,Load!I:I,0,)</f>
        <v>0</v>
      </c>
      <c r="I4193">
        <f>_xlfn.XLOOKUP($A4193,Load!$B:$B,Load!J:J,0,)</f>
        <v>0</v>
      </c>
      <c r="J4193">
        <f>_xlfn.XLOOKUP($A4193,Load!$B:$B,Load!K:K,0,)</f>
        <v>0</v>
      </c>
      <c r="K4193">
        <f>_xlfn.XLOOKUP($A4193,Load!$B:$B,Load!L:L,0,)</f>
        <v>0</v>
      </c>
      <c r="L4193">
        <f>_xlfn.XLOOKUP($A4193,Load!$B:$B,Load!M:M,0,)</f>
        <v>0</v>
      </c>
    </row>
    <row r="4194" spans="1:12" x14ac:dyDescent="0.25">
      <c r="A4194" t="s">
        <v>305</v>
      </c>
      <c r="B4194" t="str">
        <f>_xlfn.XLOOKUP($A4194,Load!$B:$B,Load!C:C,0,)</f>
        <v>Werther's Original</v>
      </c>
      <c r="C4194" t="str">
        <f>_xlfn.XLOOKUP($A4194,Load!$B:$B,Load!D:D,0,)</f>
        <v>Non-Chocolate Candy Only</v>
      </c>
      <c r="D4194" t="str">
        <f>_xlfn.XLOOKUP($A4194,Load!$B:$B,Load!E:E,0,)</f>
        <v>Fall / Seasonal Flavors (pumpkin spice, caramel apple, candy corn)</v>
      </c>
      <c r="E4194" t="str">
        <f>_xlfn.XLOOKUP($A4194,Load!$B:$B,Load!F:F,0,)</f>
        <v>Chewy</v>
      </c>
      <c r="F4194" t="str">
        <f>_xlfn.XLOOKUP($A4194,Load!$B:$B,Load!G:G,0,)</f>
        <v>Single Pack</v>
      </c>
      <c r="G4194" t="str">
        <f>_xlfn.XLOOKUP($A4194,Load!$B:$B,Load!H:H,0,)</f>
        <v>Stand-Up Bag</v>
      </c>
      <c r="H4194" t="str">
        <f>_xlfn.XLOOKUP($A4194,Load!$B:$B,Load!I:I,0,)</f>
        <v>Everyday Candy Shapes (like Original, Gummy bear, Fruit, Jewels, etc.)</v>
      </c>
      <c r="I4194" t="str">
        <f>_xlfn.XLOOKUP($A4194,Load!$B:$B,Load!J:J,0,)</f>
        <v>Seasonal Graphics (Like Bat, Ghost, Pumpkin, Fall Leaves, Eyeballs, etc.)</v>
      </c>
      <c r="J4194" t="str">
        <f>_xlfn.XLOOKUP($A4194,Load!$B:$B,Load!K:K,0,)</f>
        <v>Fun Size / Treat Size</v>
      </c>
      <c r="K4194" t="str">
        <f>_xlfn.XLOOKUP($A4194,Load!$B:$B,Load!L:L,0,)</f>
        <v>Regular/Original Wrapping</v>
      </c>
      <c r="L4194" t="str">
        <f>_xlfn.XLOOKUP($A4194,Load!$B:$B,Load!M:M,0,)</f>
        <v>Single Brand / Single Flavor or Form</v>
      </c>
    </row>
    <row r="4195" spans="1:12" x14ac:dyDescent="0.25">
      <c r="A4195" t="s">
        <v>306</v>
      </c>
      <c r="B4195" t="str">
        <f>_xlfn.XLOOKUP($A4195,Load!$B:$B,Load!C:C,0,)</f>
        <v>Werther's Original</v>
      </c>
      <c r="C4195" t="str">
        <f>_xlfn.XLOOKUP($A4195,Load!$B:$B,Load!D:D,0,)</f>
        <v>Non-Chocolate Candy Only</v>
      </c>
      <c r="D4195" t="str">
        <f>_xlfn.XLOOKUP($A4195,Load!$B:$B,Load!E:E,0,)</f>
        <v>Fall / Seasonal Flavors (pumpkin spice, caramel apple, candy corn)</v>
      </c>
      <c r="E4195" t="str">
        <f>_xlfn.XLOOKUP($A4195,Load!$B:$B,Load!F:F,0,)</f>
        <v>Chewy</v>
      </c>
      <c r="F4195" t="str">
        <f>_xlfn.XLOOKUP($A4195,Load!$B:$B,Load!G:G,0,)</f>
        <v>Single Pack</v>
      </c>
      <c r="G4195" t="str">
        <f>_xlfn.XLOOKUP($A4195,Load!$B:$B,Load!H:H,0,)</f>
        <v>Stand-Up Bag</v>
      </c>
      <c r="H4195" t="str">
        <f>_xlfn.XLOOKUP($A4195,Load!$B:$B,Load!I:I,0,)</f>
        <v>Seasonal Shapes (like pumpkins, candy corn, ghost, bats, etc.)</v>
      </c>
      <c r="I4195" t="str">
        <f>_xlfn.XLOOKUP($A4195,Load!$B:$B,Load!J:J,0,)</f>
        <v>Seasonal Graphics (Like Bat, Ghost, Pumpkin, Fall Leaves, Eyeballs, etc.)</v>
      </c>
      <c r="J4195" t="str">
        <f>_xlfn.XLOOKUP($A4195,Load!$B:$B,Load!K:K,0,)</f>
        <v>Fun Size / Treat Size</v>
      </c>
      <c r="K4195" t="str">
        <f>_xlfn.XLOOKUP($A4195,Load!$B:$B,Load!L:L,0,)</f>
        <v>Regular/Original Wrapping</v>
      </c>
      <c r="L4195" t="str">
        <f>_xlfn.XLOOKUP($A4195,Load!$B:$B,Load!M:M,0,)</f>
        <v>Single Brand / Single Flavor or Form</v>
      </c>
    </row>
    <row r="4196" spans="1:12" x14ac:dyDescent="0.25">
      <c r="A4196" t="s">
        <v>207</v>
      </c>
      <c r="B4196" t="str">
        <f>_xlfn.XLOOKUP($A4196,Load!$B:$B,Load!C:C,0,)</f>
        <v>Mars Variety Pack</v>
      </c>
      <c r="C4196" t="str">
        <f>_xlfn.XLOOKUP($A4196,Load!$B:$B,Load!D:D,0,)</f>
        <v>Mix of Chocolate and Non-Chocolate Candy</v>
      </c>
      <c r="D4196" t="str">
        <f>_xlfn.XLOOKUP($A4196,Load!$B:$B,Load!E:E,0,)</f>
        <v>Variety / Mixed Flavors (Fruity, Sour, Seasonal Flavors)</v>
      </c>
      <c r="E4196" t="str">
        <f>_xlfn.XLOOKUP($A4196,Load!$B:$B,Load!F:F,0,)</f>
        <v>Mixed / Combo Packs (Gummy, Chewy, Taffy, etc.)</v>
      </c>
      <c r="F4196" t="str">
        <f>_xlfn.XLOOKUP($A4196,Load!$B:$B,Load!G:G,0,)</f>
        <v>Large Multipack (More than 80 ct)</v>
      </c>
      <c r="G4196" t="str">
        <f>_xlfn.XLOOKUP($A4196,Load!$B:$B,Load!H:H,0,)</f>
        <v>Stand-Up Bag</v>
      </c>
      <c r="H4196" t="str">
        <f>_xlfn.XLOOKUP($A4196,Load!$B:$B,Load!I:I,0,)</f>
        <v>Everyday Candy Shapes (like Original, Gummy bear, Fruit, Jewels, etc.)</v>
      </c>
      <c r="I4196" t="str">
        <f>_xlfn.XLOOKUP($A4196,Load!$B:$B,Load!J:J,0,)</f>
        <v>Everyday Graphics</v>
      </c>
      <c r="J4196" t="str">
        <f>_xlfn.XLOOKUP($A4196,Load!$B:$B,Load!K:K,0,)</f>
        <v>Fun Size / Treat Size</v>
      </c>
      <c r="K4196" t="str">
        <f>_xlfn.XLOOKUP($A4196,Load!$B:$B,Load!L:L,0,)</f>
        <v>Regular/Original Wrapping</v>
      </c>
      <c r="L4196" t="str">
        <f>_xlfn.XLOOKUP($A4196,Load!$B:$B,Load!M:M,0,)</f>
        <v>Multiple Brands / Variety Flavors or Form</v>
      </c>
    </row>
    <row r="4197" spans="1:12" x14ac:dyDescent="0.25">
      <c r="A4197" t="s">
        <v>175</v>
      </c>
      <c r="B4197" t="str">
        <f>_xlfn.XLOOKUP($A4197,Load!$B:$B,Load!C:C,0,)</f>
        <v>Mars Variety Pack</v>
      </c>
      <c r="C4197" t="str">
        <f>_xlfn.XLOOKUP($A4197,Load!$B:$B,Load!D:D,0,)</f>
        <v>Mix of Chocolate and Non-Chocolate Candy</v>
      </c>
      <c r="D4197" t="str">
        <f>_xlfn.XLOOKUP($A4197,Load!$B:$B,Load!E:E,0,)</f>
        <v>Variety / Mixed Flavors (Fruity, Sour, Seasonal Flavors)</v>
      </c>
      <c r="E4197" t="str">
        <f>_xlfn.XLOOKUP($A4197,Load!$B:$B,Load!F:F,0,)</f>
        <v>Mixed / Combo Packs (Gummy, Chewy, Taffy, etc.)</v>
      </c>
      <c r="F4197" t="str">
        <f>_xlfn.XLOOKUP($A4197,Load!$B:$B,Load!G:G,0,)</f>
        <v>Large Multipack (More than 80 ct)</v>
      </c>
      <c r="G4197" t="str">
        <f>_xlfn.XLOOKUP($A4197,Load!$B:$B,Load!H:H,0,)</f>
        <v>Stand-Up Bag</v>
      </c>
      <c r="H4197" t="str">
        <f>_xlfn.XLOOKUP($A4197,Load!$B:$B,Load!I:I,0,)</f>
        <v>Everyday Candy Shapes (like Original, Gummy bear, Fruit, Jewels, etc.)</v>
      </c>
      <c r="I4197" t="str">
        <f>_xlfn.XLOOKUP($A4197,Load!$B:$B,Load!J:J,0,)</f>
        <v>Seasonal Graphics (Like Bat, Ghost, Pumpkin, Fall Leaves, Eyeballs, etc.)</v>
      </c>
      <c r="J4197" t="str">
        <f>_xlfn.XLOOKUP($A4197,Load!$B:$B,Load!K:K,0,)</f>
        <v xml:space="preserve">Variety Candy Sizes </v>
      </c>
      <c r="K4197" t="str">
        <f>_xlfn.XLOOKUP($A4197,Load!$B:$B,Load!L:L,0,)</f>
        <v>Regular/Original Wrapping</v>
      </c>
      <c r="L4197" t="str">
        <f>_xlfn.XLOOKUP($A4197,Load!$B:$B,Load!M:M,0,)</f>
        <v>Multiple Brands / Variety Flavors or Form</v>
      </c>
    </row>
    <row r="4198" spans="1:12" x14ac:dyDescent="0.25">
      <c r="A4198" t="s">
        <v>250</v>
      </c>
      <c r="B4198" t="str">
        <f>_xlfn.XLOOKUP($A4198,Load!$B:$B,Load!C:C,0,)</f>
        <v>Rolling Pin</v>
      </c>
      <c r="C4198" t="str">
        <f>_xlfn.XLOOKUP($A4198,Load!$B:$B,Load!D:D,0,)</f>
        <v>Non-Chocolate Candy Only</v>
      </c>
      <c r="D4198" t="str">
        <f>_xlfn.XLOOKUP($A4198,Load!$B:$B,Load!E:E,0,)</f>
        <v>Fall / Seasonal Flavors (pumpkin spice, caramel apple, candy corn)</v>
      </c>
      <c r="E4198" t="str">
        <f>_xlfn.XLOOKUP($A4198,Load!$B:$B,Load!F:F,0,)</f>
        <v>Candy Pieces / Bites</v>
      </c>
      <c r="F4198" t="str">
        <f>_xlfn.XLOOKUP($A4198,Load!$B:$B,Load!G:G,0,)</f>
        <v>Small Multipack (Less than 40 ct)</v>
      </c>
      <c r="G4198" t="str">
        <f>_xlfn.XLOOKUP($A4198,Load!$B:$B,Load!H:H,0,)</f>
        <v>Stand-Up Bag</v>
      </c>
      <c r="H4198" t="str">
        <f>_xlfn.XLOOKUP($A4198,Load!$B:$B,Load!I:I,0,)</f>
        <v>Seasonal Shapes (like pumpkins, candy corn, ghost, bats, etc.)</v>
      </c>
      <c r="I4198" t="str">
        <f>_xlfn.XLOOKUP($A4198,Load!$B:$B,Load!J:J,0,)</f>
        <v>Seasonal Graphics (Like Bat, Ghost, Pumpkin, Fall Leaves, Eyeballs, etc.)</v>
      </c>
      <c r="J4198" t="str">
        <f>_xlfn.XLOOKUP($A4198,Load!$B:$B,Load!K:K,0,)</f>
        <v>Small Pieces (Tiny bite size candies)</v>
      </c>
      <c r="K4198" t="str">
        <f>_xlfn.XLOOKUP($A4198,Load!$B:$B,Load!L:L,0,)</f>
        <v>Unwrapped</v>
      </c>
      <c r="L4198" t="str">
        <f>_xlfn.XLOOKUP($A4198,Load!$B:$B,Load!M:M,0,)</f>
        <v>Single Brand / Variety Flavors or Form</v>
      </c>
    </row>
    <row r="4199" spans="1:12" x14ac:dyDescent="0.25">
      <c r="A4199" t="s">
        <v>243</v>
      </c>
      <c r="B4199" t="str">
        <f>_xlfn.XLOOKUP($A4199,Load!$B:$B,Load!C:C,0,)</f>
        <v>Peeps</v>
      </c>
      <c r="C4199" t="str">
        <f>_xlfn.XLOOKUP($A4199,Load!$B:$B,Load!D:D,0,)</f>
        <v>Non-Chocolate Candy Only</v>
      </c>
      <c r="D4199" t="str">
        <f>_xlfn.XLOOKUP($A4199,Load!$B:$B,Load!E:E,0,)</f>
        <v>Fall / Seasonal Flavors (pumpkin spice, caramel apple, candy corn)</v>
      </c>
      <c r="E4199" t="str">
        <f>_xlfn.XLOOKUP($A4199,Load!$B:$B,Load!F:F,0,)</f>
        <v>Foamy / Aerated / Freeze Dried</v>
      </c>
      <c r="F4199" t="str">
        <f>_xlfn.XLOOKUP($A4199,Load!$B:$B,Load!G:G,0,)</f>
        <v>Single Pack</v>
      </c>
      <c r="G4199" t="str">
        <f>_xlfn.XLOOKUP($A4199,Load!$B:$B,Load!H:H,0,)</f>
        <v>Box (theatre box, gift box, carton)</v>
      </c>
      <c r="H4199" t="str">
        <f>_xlfn.XLOOKUP($A4199,Load!$B:$B,Load!I:I,0,)</f>
        <v>Seasonal Shapes (like pumpkins, candy corn, ghost, bats, etc.)</v>
      </c>
      <c r="I4199" t="str">
        <f>_xlfn.XLOOKUP($A4199,Load!$B:$B,Load!J:J,0,)</f>
        <v>Seasonal Graphics (Like Bat, Ghost, Pumpkin, Fall Leaves, Eyeballs, etc.)</v>
      </c>
      <c r="J4199" t="str">
        <f>_xlfn.XLOOKUP($A4199,Load!$B:$B,Load!K:K,0,)</f>
        <v>Fun Size / Treat Size</v>
      </c>
      <c r="K4199" t="str">
        <f>_xlfn.XLOOKUP($A4199,Load!$B:$B,Load!L:L,0,)</f>
        <v>Unwrapped</v>
      </c>
      <c r="L4199" t="str">
        <f>_xlfn.XLOOKUP($A4199,Load!$B:$B,Load!M:M,0,)</f>
        <v>Single Brand / Single Flavor or Form</v>
      </c>
    </row>
    <row r="4200" spans="1:12" x14ac:dyDescent="0.25">
      <c r="A4200" t="s">
        <v>155</v>
      </c>
      <c r="B4200" t="str">
        <f>_xlfn.XLOOKUP($A4200,Load!$B:$B,Load!C:C,0,)</f>
        <v>Jolly Rancher</v>
      </c>
      <c r="C4200" t="str">
        <f>_xlfn.XLOOKUP($A4200,Load!$B:$B,Load!D:D,0,)</f>
        <v>Non-Chocolate Candy Only</v>
      </c>
      <c r="D4200" t="str">
        <f>_xlfn.XLOOKUP($A4200,Load!$B:$B,Load!E:E,0,)</f>
        <v>Fruit Flavor (Cherry, Grape, Apple, Citrus, Tropical Fruit)</v>
      </c>
      <c r="E4200" t="str">
        <f>_xlfn.XLOOKUP($A4200,Load!$B:$B,Load!F:F,0,)</f>
        <v>Hard Candy</v>
      </c>
      <c r="F4200" t="str">
        <f>_xlfn.XLOOKUP($A4200,Load!$B:$B,Load!G:G,0,)</f>
        <v>Small Multipack (Less than 40 ct)</v>
      </c>
      <c r="G4200" t="str">
        <f>_xlfn.XLOOKUP($A4200,Load!$B:$B,Load!H:H,0,)</f>
        <v>Stand-Up Bag</v>
      </c>
      <c r="H4200" t="str">
        <f>_xlfn.XLOOKUP($A4200,Load!$B:$B,Load!I:I,0,)</f>
        <v>Everyday Candy Shapes (like Original, Gummy bear, Fruit, Jewels, etc.)</v>
      </c>
      <c r="I4200" t="str">
        <f>_xlfn.XLOOKUP($A4200,Load!$B:$B,Load!J:J,0,)</f>
        <v>Everyday Graphics</v>
      </c>
      <c r="J4200" t="str">
        <f>_xlfn.XLOOKUP($A4200,Load!$B:$B,Load!K:K,0,)</f>
        <v>Small Pieces (Tiny bite size candies)</v>
      </c>
      <c r="K4200" t="str">
        <f>_xlfn.XLOOKUP($A4200,Load!$B:$B,Load!L:L,0,)</f>
        <v>Regular/Original Wrapping</v>
      </c>
      <c r="L4200" t="str">
        <f>_xlfn.XLOOKUP($A4200,Load!$B:$B,Load!M:M,0,)</f>
        <v>Single Brand / Variety Flavors or Form</v>
      </c>
    </row>
    <row r="4201" spans="1:12" x14ac:dyDescent="0.25">
      <c r="A4201" t="s">
        <v>154</v>
      </c>
      <c r="B4201" t="str">
        <f>_xlfn.XLOOKUP($A4201,Load!$B:$B,Load!C:C,0,)</f>
        <v>Jolly Rancher</v>
      </c>
      <c r="C4201" t="str">
        <f>_xlfn.XLOOKUP($A4201,Load!$B:$B,Load!D:D,0,)</f>
        <v>Non-Chocolate Candy Only</v>
      </c>
      <c r="D4201" t="str">
        <f>_xlfn.XLOOKUP($A4201,Load!$B:$B,Load!E:E,0,)</f>
        <v>Fruit Flavor (Cherry, Grape, Apple, Citrus, Tropical Fruit)</v>
      </c>
      <c r="E4201" t="str">
        <f>_xlfn.XLOOKUP($A4201,Load!$B:$B,Load!F:F,0,)</f>
        <v>Hard Candy</v>
      </c>
      <c r="F4201" t="str">
        <f>_xlfn.XLOOKUP($A4201,Load!$B:$B,Load!G:G,0,)</f>
        <v>Small Multipack (Less than 40 ct)</v>
      </c>
      <c r="G4201" t="str">
        <f>_xlfn.XLOOKUP($A4201,Load!$B:$B,Load!H:H,0,)</f>
        <v>Stand-Up Bag</v>
      </c>
      <c r="H4201" t="str">
        <f>_xlfn.XLOOKUP($A4201,Load!$B:$B,Load!I:I,0,)</f>
        <v>Everyday Candy Shapes (like Original, Gummy bear, Fruit, Jewels, etc.)</v>
      </c>
      <c r="I4201" t="str">
        <f>_xlfn.XLOOKUP($A4201,Load!$B:$B,Load!J:J,0,)</f>
        <v>Everyday Graphics</v>
      </c>
      <c r="J4201" t="str">
        <f>_xlfn.XLOOKUP($A4201,Load!$B:$B,Load!K:K,0,)</f>
        <v>Small Pieces (Tiny bite size candies)</v>
      </c>
      <c r="K4201" t="str">
        <f>_xlfn.XLOOKUP($A4201,Load!$B:$B,Load!L:L,0,)</f>
        <v>Regular/Original Wrapping</v>
      </c>
      <c r="L4201" t="str">
        <f>_xlfn.XLOOKUP($A4201,Load!$B:$B,Load!M:M,0,)</f>
        <v>Single Brand / Variety Flavors or Form</v>
      </c>
    </row>
    <row r="4202" spans="1:12" x14ac:dyDescent="0.25">
      <c r="A4202" t="s">
        <v>178</v>
      </c>
      <c r="B4202" t="str">
        <f>_xlfn.XLOOKUP($A4202,Load!$B:$B,Load!C:C,0,)</f>
        <v>Mars Variety Pack</v>
      </c>
      <c r="C4202" t="str">
        <f>_xlfn.XLOOKUP($A4202,Load!$B:$B,Load!D:D,0,)</f>
        <v>Mix of Chocolate and Non-Chocolate Candy</v>
      </c>
      <c r="D4202" t="str">
        <f>_xlfn.XLOOKUP($A4202,Load!$B:$B,Load!E:E,0,)</f>
        <v>Variety / Mixed Flavors (Fruity, Sour, Seasonal Flavors)</v>
      </c>
      <c r="E4202" t="str">
        <f>_xlfn.XLOOKUP($A4202,Load!$B:$B,Load!F:F,0,)</f>
        <v>Mixed / Combo Packs (Gummy, Chewy, Taffy, etc.)</v>
      </c>
      <c r="F4202" t="str">
        <f>_xlfn.XLOOKUP($A4202,Load!$B:$B,Load!G:G,0,)</f>
        <v>Small Multipack (Less than 40 ct)</v>
      </c>
      <c r="G4202" t="str">
        <f>_xlfn.XLOOKUP($A4202,Load!$B:$B,Load!H:H,0,)</f>
        <v>Laydown Bag</v>
      </c>
      <c r="H4202" t="str">
        <f>_xlfn.XLOOKUP($A4202,Load!$B:$B,Load!I:I,0,)</f>
        <v>Everyday Candy Shapes (like Original, Gummy bear, Fruit, Jewels, etc.)</v>
      </c>
      <c r="I4202" t="str">
        <f>_xlfn.XLOOKUP($A4202,Load!$B:$B,Load!J:J,0,)</f>
        <v>Seasonal Graphics (Like Bat, Ghost, Pumpkin, Fall Leaves, Eyeballs, etc.)</v>
      </c>
      <c r="J4202" t="str">
        <f>_xlfn.XLOOKUP($A4202,Load!$B:$B,Load!K:K,0,)</f>
        <v xml:space="preserve">Variety Candy Sizes </v>
      </c>
      <c r="K4202" t="str">
        <f>_xlfn.XLOOKUP($A4202,Load!$B:$B,Load!L:L,0,)</f>
        <v>Regular/Original Wrapping</v>
      </c>
      <c r="L4202" t="str">
        <f>_xlfn.XLOOKUP($A4202,Load!$B:$B,Load!M:M,0,)</f>
        <v>Multiple Brands / Variety Flavors or Form</v>
      </c>
    </row>
    <row r="4203" spans="1:12" x14ac:dyDescent="0.25">
      <c r="B4203">
        <f>_xlfn.XLOOKUP($A4203,Load!$B:$B,Load!C:C,0,)</f>
        <v>0</v>
      </c>
      <c r="C4203">
        <f>_xlfn.XLOOKUP($A4203,Load!$B:$B,Load!D:D,0,)</f>
        <v>0</v>
      </c>
      <c r="D4203">
        <f>_xlfn.XLOOKUP($A4203,Load!$B:$B,Load!E:E,0,)</f>
        <v>0</v>
      </c>
      <c r="E4203">
        <f>_xlfn.XLOOKUP($A4203,Load!$B:$B,Load!F:F,0,)</f>
        <v>0</v>
      </c>
      <c r="F4203">
        <f>_xlfn.XLOOKUP($A4203,Load!$B:$B,Load!G:G,0,)</f>
        <v>0</v>
      </c>
      <c r="G4203">
        <f>_xlfn.XLOOKUP($A4203,Load!$B:$B,Load!H:H,0,)</f>
        <v>0</v>
      </c>
      <c r="H4203">
        <f>_xlfn.XLOOKUP($A4203,Load!$B:$B,Load!I:I,0,)</f>
        <v>0</v>
      </c>
      <c r="I4203">
        <f>_xlfn.XLOOKUP($A4203,Load!$B:$B,Load!J:J,0,)</f>
        <v>0</v>
      </c>
      <c r="J4203">
        <f>_xlfn.XLOOKUP($A4203,Load!$B:$B,Load!K:K,0,)</f>
        <v>0</v>
      </c>
      <c r="K4203">
        <f>_xlfn.XLOOKUP($A4203,Load!$B:$B,Load!L:L,0,)</f>
        <v>0</v>
      </c>
      <c r="L4203">
        <f>_xlfn.XLOOKUP($A4203,Load!$B:$B,Load!M:M,0,)</f>
        <v>0</v>
      </c>
    </row>
    <row r="4204" spans="1:12" x14ac:dyDescent="0.25">
      <c r="B4204">
        <f>_xlfn.XLOOKUP($A4204,Load!$B:$B,Load!C:C,0,)</f>
        <v>0</v>
      </c>
      <c r="C4204">
        <f>_xlfn.XLOOKUP($A4204,Load!$B:$B,Load!D:D,0,)</f>
        <v>0</v>
      </c>
      <c r="D4204">
        <f>_xlfn.XLOOKUP($A4204,Load!$B:$B,Load!E:E,0,)</f>
        <v>0</v>
      </c>
      <c r="E4204">
        <f>_xlfn.XLOOKUP($A4204,Load!$B:$B,Load!F:F,0,)</f>
        <v>0</v>
      </c>
      <c r="F4204">
        <f>_xlfn.XLOOKUP($A4204,Load!$B:$B,Load!G:G,0,)</f>
        <v>0</v>
      </c>
      <c r="G4204">
        <f>_xlfn.XLOOKUP($A4204,Load!$B:$B,Load!H:H,0,)</f>
        <v>0</v>
      </c>
      <c r="H4204">
        <f>_xlfn.XLOOKUP($A4204,Load!$B:$B,Load!I:I,0,)</f>
        <v>0</v>
      </c>
      <c r="I4204">
        <f>_xlfn.XLOOKUP($A4204,Load!$B:$B,Load!J:J,0,)</f>
        <v>0</v>
      </c>
      <c r="J4204">
        <f>_xlfn.XLOOKUP($A4204,Load!$B:$B,Load!K:K,0,)</f>
        <v>0</v>
      </c>
      <c r="K4204">
        <f>_xlfn.XLOOKUP($A4204,Load!$B:$B,Load!L:L,0,)</f>
        <v>0</v>
      </c>
      <c r="L4204">
        <f>_xlfn.XLOOKUP($A4204,Load!$B:$B,Load!M:M,0,)</f>
        <v>0</v>
      </c>
    </row>
    <row r="4205" spans="1:12" x14ac:dyDescent="0.25">
      <c r="B4205">
        <f>_xlfn.XLOOKUP($A4205,Load!$B:$B,Load!C:C,0,)</f>
        <v>0</v>
      </c>
      <c r="C4205">
        <f>_xlfn.XLOOKUP($A4205,Load!$B:$B,Load!D:D,0,)</f>
        <v>0</v>
      </c>
      <c r="D4205">
        <f>_xlfn.XLOOKUP($A4205,Load!$B:$B,Load!E:E,0,)</f>
        <v>0</v>
      </c>
      <c r="E4205">
        <f>_xlfn.XLOOKUP($A4205,Load!$B:$B,Load!F:F,0,)</f>
        <v>0</v>
      </c>
      <c r="F4205">
        <f>_xlfn.XLOOKUP($A4205,Load!$B:$B,Load!G:G,0,)</f>
        <v>0</v>
      </c>
      <c r="G4205">
        <f>_xlfn.XLOOKUP($A4205,Load!$B:$B,Load!H:H,0,)</f>
        <v>0</v>
      </c>
      <c r="H4205">
        <f>_xlfn.XLOOKUP($A4205,Load!$B:$B,Load!I:I,0,)</f>
        <v>0</v>
      </c>
      <c r="I4205">
        <f>_xlfn.XLOOKUP($A4205,Load!$B:$B,Load!J:J,0,)</f>
        <v>0</v>
      </c>
      <c r="J4205">
        <f>_xlfn.XLOOKUP($A4205,Load!$B:$B,Load!K:K,0,)</f>
        <v>0</v>
      </c>
      <c r="K4205">
        <f>_xlfn.XLOOKUP($A4205,Load!$B:$B,Load!L:L,0,)</f>
        <v>0</v>
      </c>
      <c r="L4205">
        <f>_xlfn.XLOOKUP($A4205,Load!$B:$B,Load!M:M,0,)</f>
        <v>0</v>
      </c>
    </row>
    <row r="4206" spans="1:12" x14ac:dyDescent="0.25">
      <c r="A4206" t="s">
        <v>128</v>
      </c>
      <c r="B4206" t="str">
        <f>_xlfn.XLOOKUP($A4206,Load!$B:$B,Load!C:C,0,)</f>
        <v>HARIBO</v>
      </c>
      <c r="C4206" t="str">
        <f>_xlfn.XLOOKUP($A4206,Load!$B:$B,Load!D:D,0,)</f>
        <v>Non-Chocolate Candy Only</v>
      </c>
      <c r="D4206" t="str">
        <f>_xlfn.XLOOKUP($A4206,Load!$B:$B,Load!E:E,0,)</f>
        <v>Fruit Flavor (Cherry, Grape, Apple, Citrus, Tropical Fruit)</v>
      </c>
      <c r="E4206" t="str">
        <f>_xlfn.XLOOKUP($A4206,Load!$B:$B,Load!F:F,0,)</f>
        <v>Gummy</v>
      </c>
      <c r="F4206" t="str">
        <f>_xlfn.XLOOKUP($A4206,Load!$B:$B,Load!G:G,0,)</f>
        <v>Medium Multipack (40–80 ct)</v>
      </c>
      <c r="G4206" t="str">
        <f>_xlfn.XLOOKUP($A4206,Load!$B:$B,Load!H:H,0,)</f>
        <v>Plastic Cup / Container</v>
      </c>
      <c r="H4206" t="str">
        <f>_xlfn.XLOOKUP($A4206,Load!$B:$B,Load!I:I,0,)</f>
        <v>Everyday Candy Shapes (like Original, Gummy bear, Fruit, Jewels, etc.)</v>
      </c>
      <c r="I4206" t="str">
        <f>_xlfn.XLOOKUP($A4206,Load!$B:$B,Load!J:J,0,)</f>
        <v>Everyday Graphics</v>
      </c>
      <c r="J4206" t="str">
        <f>_xlfn.XLOOKUP($A4206,Load!$B:$B,Load!K:K,0,)</f>
        <v>Small Pieces (Tiny bite size candies)</v>
      </c>
      <c r="K4206" t="str">
        <f>_xlfn.XLOOKUP($A4206,Load!$B:$B,Load!L:L,0,)</f>
        <v>Regular/Original Wrapping</v>
      </c>
      <c r="L4206" t="str">
        <f>_xlfn.XLOOKUP($A4206,Load!$B:$B,Load!M:M,0,)</f>
        <v>Single Brand / Variety Flavors or Form</v>
      </c>
    </row>
    <row r="4207" spans="1:12" x14ac:dyDescent="0.25">
      <c r="A4207" t="s">
        <v>146</v>
      </c>
      <c r="B4207" t="str">
        <f>_xlfn.XLOOKUP($A4207,Load!$B:$B,Load!C:C,0,)</f>
        <v>Hi Chew</v>
      </c>
      <c r="C4207" t="str">
        <f>_xlfn.XLOOKUP($A4207,Load!$B:$B,Load!D:D,0,)</f>
        <v>Non-Chocolate Candy Only</v>
      </c>
      <c r="D4207" t="str">
        <f>_xlfn.XLOOKUP($A4207,Load!$B:$B,Load!E:E,0,)</f>
        <v>Fruit Flavor (Cherry, Grape, Apple, Citrus, Tropical Fruit)</v>
      </c>
      <c r="E4207" t="str">
        <f>_xlfn.XLOOKUP($A4207,Load!$B:$B,Load!F:F,0,)</f>
        <v>Gummy</v>
      </c>
      <c r="F4207" t="str">
        <f>_xlfn.XLOOKUP($A4207,Load!$B:$B,Load!G:G,0,)</f>
        <v>Medium Multipack (40–80 ct)</v>
      </c>
      <c r="G4207" t="str">
        <f>_xlfn.XLOOKUP($A4207,Load!$B:$B,Load!H:H,0,)</f>
        <v>Stand-Up Bag</v>
      </c>
      <c r="H4207" t="str">
        <f>_xlfn.XLOOKUP($A4207,Load!$B:$B,Load!I:I,0,)</f>
        <v>Everyday Candy Shapes (like Original, Gummy bear, Fruit, Jewels, etc.)</v>
      </c>
      <c r="I4207" t="str">
        <f>_xlfn.XLOOKUP($A4207,Load!$B:$B,Load!J:J,0,)</f>
        <v>Seasonal Graphics (Like Bat, Ghost, Pumpkin, Fall Leaves, Eyeballs, etc.)</v>
      </c>
      <c r="J4207" t="str">
        <f>_xlfn.XLOOKUP($A4207,Load!$B:$B,Load!K:K,0,)</f>
        <v>Fun Size / Treat Size</v>
      </c>
      <c r="K4207" t="str">
        <f>_xlfn.XLOOKUP($A4207,Load!$B:$B,Load!L:L,0,)</f>
        <v>Regular/Original Wrapping</v>
      </c>
      <c r="L4207" t="str">
        <f>_xlfn.XLOOKUP($A4207,Load!$B:$B,Load!M:M,0,)</f>
        <v>Multiple Brands / Variety Flavors or Form</v>
      </c>
    </row>
    <row r="4208" spans="1:12" x14ac:dyDescent="0.25">
      <c r="A4208" t="s">
        <v>180</v>
      </c>
      <c r="B4208" t="str">
        <f>_xlfn.XLOOKUP($A4208,Load!$B:$B,Load!C:C,0,)</f>
        <v>Mars Variety Pack</v>
      </c>
      <c r="C4208" t="str">
        <f>_xlfn.XLOOKUP($A4208,Load!$B:$B,Load!D:D,0,)</f>
        <v>Mix of Chocolate and Non-Chocolate Candy</v>
      </c>
      <c r="D4208" t="str">
        <f>_xlfn.XLOOKUP($A4208,Load!$B:$B,Load!E:E,0,)</f>
        <v>Variety / Mixed Flavors (Fruity, Sour, Seasonal Flavors)</v>
      </c>
      <c r="E4208" t="str">
        <f>_xlfn.XLOOKUP($A4208,Load!$B:$B,Load!F:F,0,)</f>
        <v>Mixed / Combo Packs (Gummy, Chewy, Taffy, etc.)</v>
      </c>
      <c r="F4208" t="str">
        <f>_xlfn.XLOOKUP($A4208,Load!$B:$B,Load!G:G,0,)</f>
        <v>Large Multipack (More than 80 ct)</v>
      </c>
      <c r="G4208" t="str">
        <f>_xlfn.XLOOKUP($A4208,Load!$B:$B,Load!H:H,0,)</f>
        <v>Stand-Up Bag</v>
      </c>
      <c r="H4208" t="str">
        <f>_xlfn.XLOOKUP($A4208,Load!$B:$B,Load!I:I,0,)</f>
        <v>Everyday Candy Shapes (like Original, Gummy bear, Fruit, Jewels, etc.)</v>
      </c>
      <c r="I4208" t="str">
        <f>_xlfn.XLOOKUP($A4208,Load!$B:$B,Load!J:J,0,)</f>
        <v>Seasonal Graphics (Like Bat, Ghost, Pumpkin, Fall Leaves, Eyeballs, etc.)</v>
      </c>
      <c r="J4208" t="str">
        <f>_xlfn.XLOOKUP($A4208,Load!$B:$B,Load!K:K,0,)</f>
        <v>Fun Size / Treat Size</v>
      </c>
      <c r="K4208" t="str">
        <f>_xlfn.XLOOKUP($A4208,Load!$B:$B,Load!L:L,0,)</f>
        <v>Regular/Original Wrapping</v>
      </c>
      <c r="L4208" t="str">
        <f>_xlfn.XLOOKUP($A4208,Load!$B:$B,Load!M:M,0,)</f>
        <v>Multiple Brands / Variety Flavors or Form</v>
      </c>
    </row>
    <row r="4209" spans="1:12" x14ac:dyDescent="0.25">
      <c r="A4209" t="s">
        <v>104</v>
      </c>
      <c r="B4209" t="str">
        <f>_xlfn.XLOOKUP($A4209,Load!$B:$B,Load!C:C,0,)</f>
        <v>Frankford</v>
      </c>
      <c r="C4209" t="str">
        <f>_xlfn.XLOOKUP($A4209,Load!$B:$B,Load!D:D,0,)</f>
        <v>Non-Chocolate Candy Only</v>
      </c>
      <c r="D4209" t="str">
        <f>_xlfn.XLOOKUP($A4209,Load!$B:$B,Load!E:E,0,)</f>
        <v>Variety / Mixed Flavors (Fruity, Sour, Seasonal Flavors)</v>
      </c>
      <c r="E4209" t="str">
        <f>_xlfn.XLOOKUP($A4209,Load!$B:$B,Load!F:F,0,)</f>
        <v>Mixed / Combo Packs (Gummy, Chewy, Taffy, etc.)</v>
      </c>
      <c r="F4209" t="str">
        <f>_xlfn.XLOOKUP($A4209,Load!$B:$B,Load!G:G,0,)</f>
        <v>Large Multipack (More than 80 ct)</v>
      </c>
      <c r="G4209" t="str">
        <f>_xlfn.XLOOKUP($A4209,Load!$B:$B,Load!H:H,0,)</f>
        <v>Stand-Up Bag</v>
      </c>
      <c r="H4209" t="str">
        <f>_xlfn.XLOOKUP($A4209,Load!$B:$B,Load!I:I,0,)</f>
        <v>Seasonal Shapes (like pumpkins, candy corn, ghost, bats, etc.)</v>
      </c>
      <c r="I4209" t="str">
        <f>_xlfn.XLOOKUP($A4209,Load!$B:$B,Load!J:J,0,)</f>
        <v>Seasonal Graphics (Like Bat, Ghost, Pumpkin, Fall Leaves, Eyeballs, etc.)</v>
      </c>
      <c r="J4209" t="str">
        <f>_xlfn.XLOOKUP($A4209,Load!$B:$B,Load!K:K,0,)</f>
        <v xml:space="preserve">Variety Candy Sizes </v>
      </c>
      <c r="K4209" t="str">
        <f>_xlfn.XLOOKUP($A4209,Load!$B:$B,Load!L:L,0,)</f>
        <v>Regular/Original Wrapping</v>
      </c>
      <c r="L4209" t="str">
        <f>_xlfn.XLOOKUP($A4209,Load!$B:$B,Load!M:M,0,)</f>
        <v>Multiple Brands / Variety Flavors or Form</v>
      </c>
    </row>
    <row r="4210" spans="1:12" x14ac:dyDescent="0.25">
      <c r="B4210">
        <f>_xlfn.XLOOKUP($A4210,Load!$B:$B,Load!C:C,0,)</f>
        <v>0</v>
      </c>
      <c r="C4210">
        <f>_xlfn.XLOOKUP($A4210,Load!$B:$B,Load!D:D,0,)</f>
        <v>0</v>
      </c>
      <c r="D4210">
        <f>_xlfn.XLOOKUP($A4210,Load!$B:$B,Load!E:E,0,)</f>
        <v>0</v>
      </c>
      <c r="E4210">
        <f>_xlfn.XLOOKUP($A4210,Load!$B:$B,Load!F:F,0,)</f>
        <v>0</v>
      </c>
      <c r="F4210">
        <f>_xlfn.XLOOKUP($A4210,Load!$B:$B,Load!G:G,0,)</f>
        <v>0</v>
      </c>
      <c r="G4210">
        <f>_xlfn.XLOOKUP($A4210,Load!$B:$B,Load!H:H,0,)</f>
        <v>0</v>
      </c>
      <c r="H4210">
        <f>_xlfn.XLOOKUP($A4210,Load!$B:$B,Load!I:I,0,)</f>
        <v>0</v>
      </c>
      <c r="I4210">
        <f>_xlfn.XLOOKUP($A4210,Load!$B:$B,Load!J:J,0,)</f>
        <v>0</v>
      </c>
      <c r="J4210">
        <f>_xlfn.XLOOKUP($A4210,Load!$B:$B,Load!K:K,0,)</f>
        <v>0</v>
      </c>
      <c r="K4210">
        <f>_xlfn.XLOOKUP($A4210,Load!$B:$B,Load!L:L,0,)</f>
        <v>0</v>
      </c>
      <c r="L4210">
        <f>_xlfn.XLOOKUP($A4210,Load!$B:$B,Load!M:M,0,)</f>
        <v>0</v>
      </c>
    </row>
    <row r="4211" spans="1:12" x14ac:dyDescent="0.25">
      <c r="B4211">
        <f>_xlfn.XLOOKUP($A4211,Load!$B:$B,Load!C:C,0,)</f>
        <v>0</v>
      </c>
      <c r="C4211">
        <f>_xlfn.XLOOKUP($A4211,Load!$B:$B,Load!D:D,0,)</f>
        <v>0</v>
      </c>
      <c r="D4211">
        <f>_xlfn.XLOOKUP($A4211,Load!$B:$B,Load!E:E,0,)</f>
        <v>0</v>
      </c>
      <c r="E4211">
        <f>_xlfn.XLOOKUP($A4211,Load!$B:$B,Load!F:F,0,)</f>
        <v>0</v>
      </c>
      <c r="F4211">
        <f>_xlfn.XLOOKUP($A4211,Load!$B:$B,Load!G:G,0,)</f>
        <v>0</v>
      </c>
      <c r="G4211">
        <f>_xlfn.XLOOKUP($A4211,Load!$B:$B,Load!H:H,0,)</f>
        <v>0</v>
      </c>
      <c r="H4211">
        <f>_xlfn.XLOOKUP($A4211,Load!$B:$B,Load!I:I,0,)</f>
        <v>0</v>
      </c>
      <c r="I4211">
        <f>_xlfn.XLOOKUP($A4211,Load!$B:$B,Load!J:J,0,)</f>
        <v>0</v>
      </c>
      <c r="J4211">
        <f>_xlfn.XLOOKUP($A4211,Load!$B:$B,Load!K:K,0,)</f>
        <v>0</v>
      </c>
      <c r="K4211">
        <f>_xlfn.XLOOKUP($A4211,Load!$B:$B,Load!L:L,0,)</f>
        <v>0</v>
      </c>
      <c r="L4211">
        <f>_xlfn.XLOOKUP($A4211,Load!$B:$B,Load!M:M,0,)</f>
        <v>0</v>
      </c>
    </row>
    <row r="4212" spans="1:12" x14ac:dyDescent="0.25">
      <c r="A4212" t="s">
        <v>136</v>
      </c>
      <c r="B4212" t="str">
        <f>_xlfn.XLOOKUP($A4212,Load!$B:$B,Load!C:C,0,)</f>
        <v>Hershey's Variety Pack + Haribo</v>
      </c>
      <c r="C4212" t="str">
        <f>_xlfn.XLOOKUP($A4212,Load!$B:$B,Load!D:D,0,)</f>
        <v>Non-Chocolate Candy Only</v>
      </c>
      <c r="D4212" t="str">
        <f>_xlfn.XLOOKUP($A4212,Load!$B:$B,Load!E:E,0,)</f>
        <v>Variety / Mixed Flavors (Fruity, Sour, Seasonal Flavors)</v>
      </c>
      <c r="E4212" t="str">
        <f>_xlfn.XLOOKUP($A4212,Load!$B:$B,Load!F:F,0,)</f>
        <v>Mixed / Combo Packs (Gummy, Chewy, Taffy, etc.)</v>
      </c>
      <c r="F4212" t="str">
        <f>_xlfn.XLOOKUP($A4212,Load!$B:$B,Load!G:G,0,)</f>
        <v>Medium Multipack (40–80 ct)</v>
      </c>
      <c r="G4212" t="str">
        <f>_xlfn.XLOOKUP($A4212,Load!$B:$B,Load!H:H,0,)</f>
        <v>Laydown Bag</v>
      </c>
      <c r="H4212" t="str">
        <f>_xlfn.XLOOKUP($A4212,Load!$B:$B,Load!I:I,0,)</f>
        <v>Everyday Candy Shapes (like Original, Gummy bear, Fruit, Jewels, etc.)</v>
      </c>
      <c r="I4212" t="str">
        <f>_xlfn.XLOOKUP($A4212,Load!$B:$B,Load!J:J,0,)</f>
        <v>Seasonal Graphics (Like Bat, Ghost, Pumpkin, Fall Leaves, Eyeballs, etc.)</v>
      </c>
      <c r="J4212" t="str">
        <f>_xlfn.XLOOKUP($A4212,Load!$B:$B,Load!K:K,0,)</f>
        <v xml:space="preserve">Variety Candy Sizes </v>
      </c>
      <c r="K4212" t="str">
        <f>_xlfn.XLOOKUP($A4212,Load!$B:$B,Load!L:L,0,)</f>
        <v>Regular/Original Wrapping</v>
      </c>
      <c r="L4212" t="str">
        <f>_xlfn.XLOOKUP($A4212,Load!$B:$B,Load!M:M,0,)</f>
        <v>Multiple Brands / Variety Flavors or Form</v>
      </c>
    </row>
    <row r="4213" spans="1:12" x14ac:dyDescent="0.25">
      <c r="B4213">
        <f>_xlfn.XLOOKUP($A4213,Load!$B:$B,Load!C:C,0,)</f>
        <v>0</v>
      </c>
      <c r="C4213">
        <f>_xlfn.XLOOKUP($A4213,Load!$B:$B,Load!D:D,0,)</f>
        <v>0</v>
      </c>
      <c r="D4213">
        <f>_xlfn.XLOOKUP($A4213,Load!$B:$B,Load!E:E,0,)</f>
        <v>0</v>
      </c>
      <c r="E4213">
        <f>_xlfn.XLOOKUP($A4213,Load!$B:$B,Load!F:F,0,)</f>
        <v>0</v>
      </c>
      <c r="F4213">
        <f>_xlfn.XLOOKUP($A4213,Load!$B:$B,Load!G:G,0,)</f>
        <v>0</v>
      </c>
      <c r="G4213">
        <f>_xlfn.XLOOKUP($A4213,Load!$B:$B,Load!H:H,0,)</f>
        <v>0</v>
      </c>
      <c r="H4213">
        <f>_xlfn.XLOOKUP($A4213,Load!$B:$B,Load!I:I,0,)</f>
        <v>0</v>
      </c>
      <c r="I4213">
        <f>_xlfn.XLOOKUP($A4213,Load!$B:$B,Load!J:J,0,)</f>
        <v>0</v>
      </c>
      <c r="J4213">
        <f>_xlfn.XLOOKUP($A4213,Load!$B:$B,Load!K:K,0,)</f>
        <v>0</v>
      </c>
      <c r="K4213">
        <f>_xlfn.XLOOKUP($A4213,Load!$B:$B,Load!L:L,0,)</f>
        <v>0</v>
      </c>
      <c r="L4213">
        <f>_xlfn.XLOOKUP($A4213,Load!$B:$B,Load!M:M,0,)</f>
        <v>0</v>
      </c>
    </row>
    <row r="4214" spans="1:12" x14ac:dyDescent="0.25">
      <c r="A4214" t="s">
        <v>133</v>
      </c>
      <c r="B4214" t="str">
        <f>_xlfn.XLOOKUP($A4214,Load!$B:$B,Load!C:C,0,)</f>
        <v>Hershey's</v>
      </c>
      <c r="C4214" t="str">
        <f>_xlfn.XLOOKUP($A4214,Load!$B:$B,Load!D:D,0,)</f>
        <v>Non-Chocolate Candy Only</v>
      </c>
      <c r="D4214" t="str">
        <f>_xlfn.XLOOKUP($A4214,Load!$B:$B,Load!E:E,0,)</f>
        <v>Variety / Mixed Flavors (Fruity, Sour, Seasonal Flavors)</v>
      </c>
      <c r="E4214" t="str">
        <f>_xlfn.XLOOKUP($A4214,Load!$B:$B,Load!F:F,0,)</f>
        <v>Mixed / Combo Packs (Gummy, Chewy, Taffy, etc.)</v>
      </c>
      <c r="F4214" t="str">
        <f>_xlfn.XLOOKUP($A4214,Load!$B:$B,Load!G:G,0,)</f>
        <v>Large Multipack (More than 80 ct)</v>
      </c>
      <c r="G4214" t="str">
        <f>_xlfn.XLOOKUP($A4214,Load!$B:$B,Load!H:H,0,)</f>
        <v>Stand-Up Bag</v>
      </c>
      <c r="H4214" t="str">
        <f>_xlfn.XLOOKUP($A4214,Load!$B:$B,Load!I:I,0,)</f>
        <v>Everyday Candy Shapes (like Original, Gummy bear, Fruit, Jewels, etc.)</v>
      </c>
      <c r="I4214" t="str">
        <f>_xlfn.XLOOKUP($A4214,Load!$B:$B,Load!J:J,0,)</f>
        <v>Seasonal Graphics (Like Bat, Ghost, Pumpkin, Fall Leaves, Eyeballs, etc.)</v>
      </c>
      <c r="J4214" t="str">
        <f>_xlfn.XLOOKUP($A4214,Load!$B:$B,Load!K:K,0,)</f>
        <v>Fun Size / Treat Size</v>
      </c>
      <c r="K4214" t="str">
        <f>_xlfn.XLOOKUP($A4214,Load!$B:$B,Load!L:L,0,)</f>
        <v>Regular/Original Wrapping</v>
      </c>
      <c r="L4214" t="str">
        <f>_xlfn.XLOOKUP($A4214,Load!$B:$B,Load!M:M,0,)</f>
        <v>Multiple Brands / Variety Flavors or Form</v>
      </c>
    </row>
    <row r="4215" spans="1:12" x14ac:dyDescent="0.25">
      <c r="A4215" t="s">
        <v>134</v>
      </c>
      <c r="B4215" t="str">
        <f>_xlfn.XLOOKUP($A4215,Load!$B:$B,Load!C:C,0,)</f>
        <v>Hershey's Variety Pack</v>
      </c>
      <c r="C4215" t="str">
        <f>_xlfn.XLOOKUP($A4215,Load!$B:$B,Load!D:D,0,)</f>
        <v>Non-Chocolate Candy Only</v>
      </c>
      <c r="D4215" t="str">
        <f>_xlfn.XLOOKUP($A4215,Load!$B:$B,Load!E:E,0,)</f>
        <v>Variety / Mixed Flavors (Fruity, Sour, Seasonal Flavors)</v>
      </c>
      <c r="E4215" t="str">
        <f>_xlfn.XLOOKUP($A4215,Load!$B:$B,Load!F:F,0,)</f>
        <v>Mixed / Combo Packs (Gummy, Chewy, Taffy, etc.)</v>
      </c>
      <c r="F4215" t="str">
        <f>_xlfn.XLOOKUP($A4215,Load!$B:$B,Load!G:G,0,)</f>
        <v>Large Multipack (More than 80 ct)</v>
      </c>
      <c r="G4215" t="str">
        <f>_xlfn.XLOOKUP($A4215,Load!$B:$B,Load!H:H,0,)</f>
        <v>Stand-Up Bag</v>
      </c>
      <c r="H4215" t="str">
        <f>_xlfn.XLOOKUP($A4215,Load!$B:$B,Load!I:I,0,)</f>
        <v>Everyday Candy Shapes (like Original, Gummy bear, Fruit, Jewels, etc.)</v>
      </c>
      <c r="I4215" t="str">
        <f>_xlfn.XLOOKUP($A4215,Load!$B:$B,Load!J:J,0,)</f>
        <v>Seasonal Graphics (Like Bat, Ghost, Pumpkin, Fall Leaves, Eyeballs, etc.)</v>
      </c>
      <c r="J4215" t="str">
        <f>_xlfn.XLOOKUP($A4215,Load!$B:$B,Load!K:K,0,)</f>
        <v xml:space="preserve">Variety Candy Sizes </v>
      </c>
      <c r="K4215" t="str">
        <f>_xlfn.XLOOKUP($A4215,Load!$B:$B,Load!L:L,0,)</f>
        <v>Regular/Original Wrapping</v>
      </c>
      <c r="L4215" t="str">
        <f>_xlfn.XLOOKUP($A4215,Load!$B:$B,Load!M:M,0,)</f>
        <v>Multiple Brands / Variety Flavors or Form</v>
      </c>
    </row>
    <row r="4216" spans="1:12" x14ac:dyDescent="0.25">
      <c r="A4216" t="s">
        <v>462</v>
      </c>
      <c r="B4216" t="str">
        <f>_xlfn.XLOOKUP($A4216,Load!$B:$B,Load!C:C,0,)</f>
        <v>Trolli</v>
      </c>
      <c r="C4216" t="str">
        <f>_xlfn.XLOOKUP($A4216,Load!$B:$B,Load!D:D,0,)</f>
        <v>Non-Chocolate Candy Only</v>
      </c>
      <c r="D4216" t="str">
        <f>_xlfn.XLOOKUP($A4216,Load!$B:$B,Load!E:E,0,)</f>
        <v>Sour</v>
      </c>
      <c r="E4216" t="str">
        <f>_xlfn.XLOOKUP($A4216,Load!$B:$B,Load!F:F,0,)</f>
        <v>Gummy</v>
      </c>
      <c r="F4216" t="str">
        <f>_xlfn.XLOOKUP($A4216,Load!$B:$B,Load!G:G,0,)</f>
        <v>Small Multipack (Less than 40 ct)</v>
      </c>
      <c r="G4216" t="str">
        <f>_xlfn.XLOOKUP($A4216,Load!$B:$B,Load!H:H,0,)</f>
        <v>Laydown Bag</v>
      </c>
      <c r="H4216" t="str">
        <f>_xlfn.XLOOKUP($A4216,Load!$B:$B,Load!I:I,0,)</f>
        <v>Seasonal Shapes (like pumpkins, candy corn, ghost, bats, etc.)</v>
      </c>
      <c r="I4216" t="str">
        <f>_xlfn.XLOOKUP($A4216,Load!$B:$B,Load!J:J,0,)</f>
        <v>Seasonal Graphics (Like Bat, Ghost, Pumpkin, Fall Leaves, Eyeballs, etc.)</v>
      </c>
      <c r="J4216" t="str">
        <f>_xlfn.XLOOKUP($A4216,Load!$B:$B,Load!K:K,0,)</f>
        <v>Fun Size / Treat Size</v>
      </c>
      <c r="K4216" t="str">
        <f>_xlfn.XLOOKUP($A4216,Load!$B:$B,Load!L:L,0,)</f>
        <v>Regular/Original Wrapping</v>
      </c>
      <c r="L4216" t="str">
        <f>_xlfn.XLOOKUP($A4216,Load!$B:$B,Load!M:M,0,)</f>
        <v>Single Brand / Variety Flavors or Form</v>
      </c>
    </row>
    <row r="4217" spans="1:12" x14ac:dyDescent="0.25">
      <c r="B4217">
        <f>_xlfn.XLOOKUP($A4217,Load!$B:$B,Load!C:C,0,)</f>
        <v>0</v>
      </c>
      <c r="C4217">
        <f>_xlfn.XLOOKUP($A4217,Load!$B:$B,Load!D:D,0,)</f>
        <v>0</v>
      </c>
      <c r="D4217">
        <f>_xlfn.XLOOKUP($A4217,Load!$B:$B,Load!E:E,0,)</f>
        <v>0</v>
      </c>
      <c r="E4217">
        <f>_xlfn.XLOOKUP($A4217,Load!$B:$B,Load!F:F,0,)</f>
        <v>0</v>
      </c>
      <c r="F4217">
        <f>_xlfn.XLOOKUP($A4217,Load!$B:$B,Load!G:G,0,)</f>
        <v>0</v>
      </c>
      <c r="G4217">
        <f>_xlfn.XLOOKUP($A4217,Load!$B:$B,Load!H:H,0,)</f>
        <v>0</v>
      </c>
      <c r="H4217">
        <f>_xlfn.XLOOKUP($A4217,Load!$B:$B,Load!I:I,0,)</f>
        <v>0</v>
      </c>
      <c r="I4217">
        <f>_xlfn.XLOOKUP($A4217,Load!$B:$B,Load!J:J,0,)</f>
        <v>0</v>
      </c>
      <c r="J4217">
        <f>_xlfn.XLOOKUP($A4217,Load!$B:$B,Load!K:K,0,)</f>
        <v>0</v>
      </c>
      <c r="K4217">
        <f>_xlfn.XLOOKUP($A4217,Load!$B:$B,Load!L:L,0,)</f>
        <v>0</v>
      </c>
      <c r="L4217">
        <f>_xlfn.XLOOKUP($A4217,Load!$B:$B,Load!M:M,0,)</f>
        <v>0</v>
      </c>
    </row>
    <row r="4218" spans="1:12" x14ac:dyDescent="0.25">
      <c r="B4218">
        <f>_xlfn.XLOOKUP($A4218,Load!$B:$B,Load!C:C,0,)</f>
        <v>0</v>
      </c>
      <c r="C4218">
        <f>_xlfn.XLOOKUP($A4218,Load!$B:$B,Load!D:D,0,)</f>
        <v>0</v>
      </c>
      <c r="D4218">
        <f>_xlfn.XLOOKUP($A4218,Load!$B:$B,Load!E:E,0,)</f>
        <v>0</v>
      </c>
      <c r="E4218">
        <f>_xlfn.XLOOKUP($A4218,Load!$B:$B,Load!F:F,0,)</f>
        <v>0</v>
      </c>
      <c r="F4218">
        <f>_xlfn.XLOOKUP($A4218,Load!$B:$B,Load!G:G,0,)</f>
        <v>0</v>
      </c>
      <c r="G4218">
        <f>_xlfn.XLOOKUP($A4218,Load!$B:$B,Load!H:H,0,)</f>
        <v>0</v>
      </c>
      <c r="H4218">
        <f>_xlfn.XLOOKUP($A4218,Load!$B:$B,Load!I:I,0,)</f>
        <v>0</v>
      </c>
      <c r="I4218">
        <f>_xlfn.XLOOKUP($A4218,Load!$B:$B,Load!J:J,0,)</f>
        <v>0</v>
      </c>
      <c r="J4218">
        <f>_xlfn.XLOOKUP($A4218,Load!$B:$B,Load!K:K,0,)</f>
        <v>0</v>
      </c>
      <c r="K4218">
        <f>_xlfn.XLOOKUP($A4218,Load!$B:$B,Load!L:L,0,)</f>
        <v>0</v>
      </c>
      <c r="L4218">
        <f>_xlfn.XLOOKUP($A4218,Load!$B:$B,Load!M:M,0,)</f>
        <v>0</v>
      </c>
    </row>
    <row r="4219" spans="1:12" x14ac:dyDescent="0.25">
      <c r="B4219">
        <f>_xlfn.XLOOKUP($A4219,Load!$B:$B,Load!C:C,0,)</f>
        <v>0</v>
      </c>
      <c r="C4219">
        <f>_xlfn.XLOOKUP($A4219,Load!$B:$B,Load!D:D,0,)</f>
        <v>0</v>
      </c>
      <c r="D4219">
        <f>_xlfn.XLOOKUP($A4219,Load!$B:$B,Load!E:E,0,)</f>
        <v>0</v>
      </c>
      <c r="E4219">
        <f>_xlfn.XLOOKUP($A4219,Load!$B:$B,Load!F:F,0,)</f>
        <v>0</v>
      </c>
      <c r="F4219">
        <f>_xlfn.XLOOKUP($A4219,Load!$B:$B,Load!G:G,0,)</f>
        <v>0</v>
      </c>
      <c r="G4219">
        <f>_xlfn.XLOOKUP($A4219,Load!$B:$B,Load!H:H,0,)</f>
        <v>0</v>
      </c>
      <c r="H4219">
        <f>_xlfn.XLOOKUP($A4219,Load!$B:$B,Load!I:I,0,)</f>
        <v>0</v>
      </c>
      <c r="I4219">
        <f>_xlfn.XLOOKUP($A4219,Load!$B:$B,Load!J:J,0,)</f>
        <v>0</v>
      </c>
      <c r="J4219">
        <f>_xlfn.XLOOKUP($A4219,Load!$B:$B,Load!K:K,0,)</f>
        <v>0</v>
      </c>
      <c r="K4219">
        <f>_xlfn.XLOOKUP($A4219,Load!$B:$B,Load!L:L,0,)</f>
        <v>0</v>
      </c>
      <c r="L4219">
        <f>_xlfn.XLOOKUP($A4219,Load!$B:$B,Load!M:M,0,)</f>
        <v>0</v>
      </c>
    </row>
    <row r="4220" spans="1:12" x14ac:dyDescent="0.25">
      <c r="A4220" t="s">
        <v>305</v>
      </c>
      <c r="B4220" t="str">
        <f>_xlfn.XLOOKUP($A4220,Load!$B:$B,Load!C:C,0,)</f>
        <v>Werther's Original</v>
      </c>
      <c r="C4220" t="str">
        <f>_xlfn.XLOOKUP($A4220,Load!$B:$B,Load!D:D,0,)</f>
        <v>Non-Chocolate Candy Only</v>
      </c>
      <c r="D4220" t="str">
        <f>_xlfn.XLOOKUP($A4220,Load!$B:$B,Load!E:E,0,)</f>
        <v>Fall / Seasonal Flavors (pumpkin spice, caramel apple, candy corn)</v>
      </c>
      <c r="E4220" t="str">
        <f>_xlfn.XLOOKUP($A4220,Load!$B:$B,Load!F:F,0,)</f>
        <v>Chewy</v>
      </c>
      <c r="F4220" t="str">
        <f>_xlfn.XLOOKUP($A4220,Load!$B:$B,Load!G:G,0,)</f>
        <v>Single Pack</v>
      </c>
      <c r="G4220" t="str">
        <f>_xlfn.XLOOKUP($A4220,Load!$B:$B,Load!H:H,0,)</f>
        <v>Stand-Up Bag</v>
      </c>
      <c r="H4220" t="str">
        <f>_xlfn.XLOOKUP($A4220,Load!$B:$B,Load!I:I,0,)</f>
        <v>Everyday Candy Shapes (like Original, Gummy bear, Fruit, Jewels, etc.)</v>
      </c>
      <c r="I4220" t="str">
        <f>_xlfn.XLOOKUP($A4220,Load!$B:$B,Load!J:J,0,)</f>
        <v>Seasonal Graphics (Like Bat, Ghost, Pumpkin, Fall Leaves, Eyeballs, etc.)</v>
      </c>
      <c r="J4220" t="str">
        <f>_xlfn.XLOOKUP($A4220,Load!$B:$B,Load!K:K,0,)</f>
        <v>Fun Size / Treat Size</v>
      </c>
      <c r="K4220" t="str">
        <f>_xlfn.XLOOKUP($A4220,Load!$B:$B,Load!L:L,0,)</f>
        <v>Regular/Original Wrapping</v>
      </c>
      <c r="L4220" t="str">
        <f>_xlfn.XLOOKUP($A4220,Load!$B:$B,Load!M:M,0,)</f>
        <v>Single Brand / Single Flavor or Form</v>
      </c>
    </row>
    <row r="4221" spans="1:12" x14ac:dyDescent="0.25">
      <c r="A4221" t="s">
        <v>309</v>
      </c>
      <c r="B4221" t="str">
        <f>_xlfn.XLOOKUP($A4221,Load!$B:$B,Load!C:C,0,)</f>
        <v>Werther's Original</v>
      </c>
      <c r="C4221" t="str">
        <f>_xlfn.XLOOKUP($A4221,Load!$B:$B,Load!D:D,0,)</f>
        <v>Non-Chocolate Candy Only</v>
      </c>
      <c r="D4221" t="str">
        <f>_xlfn.XLOOKUP($A4221,Load!$B:$B,Load!E:E,0,)</f>
        <v>Fall / Seasonal Flavors (pumpkin spice, caramel apple, candy corn)</v>
      </c>
      <c r="E4221" t="str">
        <f>_xlfn.XLOOKUP($A4221,Load!$B:$B,Load!F:F,0,)</f>
        <v>Chewy</v>
      </c>
      <c r="F4221" t="str">
        <f>_xlfn.XLOOKUP($A4221,Load!$B:$B,Load!G:G,0,)</f>
        <v>Single Pack</v>
      </c>
      <c r="G4221" t="str">
        <f>_xlfn.XLOOKUP($A4221,Load!$B:$B,Load!H:H,0,)</f>
        <v>Stand-Up Bag</v>
      </c>
      <c r="H4221" t="str">
        <f>_xlfn.XLOOKUP($A4221,Load!$B:$B,Load!I:I,0,)</f>
        <v>Everyday Candy Shapes (like Original, Gummy bear, Fruit, Jewels, etc.)</v>
      </c>
      <c r="I4221" t="str">
        <f>_xlfn.XLOOKUP($A4221,Load!$B:$B,Load!J:J,0,)</f>
        <v>Seasonal Graphics (Like Bat, Ghost, Pumpkin, Fall Leaves, Eyeballs, etc.)</v>
      </c>
      <c r="J4221" t="str">
        <f>_xlfn.XLOOKUP($A4221,Load!$B:$B,Load!K:K,0,)</f>
        <v>Fun Size / Treat Size</v>
      </c>
      <c r="K4221" t="str">
        <f>_xlfn.XLOOKUP($A4221,Load!$B:$B,Load!L:L,0,)</f>
        <v>Regular/Original Wrapping</v>
      </c>
      <c r="L4221" t="str">
        <f>_xlfn.XLOOKUP($A4221,Load!$B:$B,Load!M:M,0,)</f>
        <v>Single Brand / Single Flavor or Form</v>
      </c>
    </row>
    <row r="4222" spans="1:12" x14ac:dyDescent="0.25">
      <c r="B4222">
        <f>_xlfn.XLOOKUP($A4222,Load!$B:$B,Load!C:C,0,)</f>
        <v>0</v>
      </c>
      <c r="C4222">
        <f>_xlfn.XLOOKUP($A4222,Load!$B:$B,Load!D:D,0,)</f>
        <v>0</v>
      </c>
      <c r="D4222">
        <f>_xlfn.XLOOKUP($A4222,Load!$B:$B,Load!E:E,0,)</f>
        <v>0</v>
      </c>
      <c r="E4222">
        <f>_xlfn.XLOOKUP($A4222,Load!$B:$B,Load!F:F,0,)</f>
        <v>0</v>
      </c>
      <c r="F4222">
        <f>_xlfn.XLOOKUP($A4222,Load!$B:$B,Load!G:G,0,)</f>
        <v>0</v>
      </c>
      <c r="G4222">
        <f>_xlfn.XLOOKUP($A4222,Load!$B:$B,Load!H:H,0,)</f>
        <v>0</v>
      </c>
      <c r="H4222">
        <f>_xlfn.XLOOKUP($A4222,Load!$B:$B,Load!I:I,0,)</f>
        <v>0</v>
      </c>
      <c r="I4222">
        <f>_xlfn.XLOOKUP($A4222,Load!$B:$B,Load!J:J,0,)</f>
        <v>0</v>
      </c>
      <c r="J4222">
        <f>_xlfn.XLOOKUP($A4222,Load!$B:$B,Load!K:K,0,)</f>
        <v>0</v>
      </c>
      <c r="K4222">
        <f>_xlfn.XLOOKUP($A4222,Load!$B:$B,Load!L:L,0,)</f>
        <v>0</v>
      </c>
      <c r="L4222">
        <f>_xlfn.XLOOKUP($A4222,Load!$B:$B,Load!M:M,0,)</f>
        <v>0</v>
      </c>
    </row>
    <row r="4223" spans="1:12" x14ac:dyDescent="0.25">
      <c r="B4223">
        <f>_xlfn.XLOOKUP($A4223,Load!$B:$B,Load!C:C,0,)</f>
        <v>0</v>
      </c>
      <c r="C4223">
        <f>_xlfn.XLOOKUP($A4223,Load!$B:$B,Load!D:D,0,)</f>
        <v>0</v>
      </c>
      <c r="D4223">
        <f>_xlfn.XLOOKUP($A4223,Load!$B:$B,Load!E:E,0,)</f>
        <v>0</v>
      </c>
      <c r="E4223">
        <f>_xlfn.XLOOKUP($A4223,Load!$B:$B,Load!F:F,0,)</f>
        <v>0</v>
      </c>
      <c r="F4223">
        <f>_xlfn.XLOOKUP($A4223,Load!$B:$B,Load!G:G,0,)</f>
        <v>0</v>
      </c>
      <c r="G4223">
        <f>_xlfn.XLOOKUP($A4223,Load!$B:$B,Load!H:H,0,)</f>
        <v>0</v>
      </c>
      <c r="H4223">
        <f>_xlfn.XLOOKUP($A4223,Load!$B:$B,Load!I:I,0,)</f>
        <v>0</v>
      </c>
      <c r="I4223">
        <f>_xlfn.XLOOKUP($A4223,Load!$B:$B,Load!J:J,0,)</f>
        <v>0</v>
      </c>
      <c r="J4223">
        <f>_xlfn.XLOOKUP($A4223,Load!$B:$B,Load!K:K,0,)</f>
        <v>0</v>
      </c>
      <c r="K4223">
        <f>_xlfn.XLOOKUP($A4223,Load!$B:$B,Load!L:L,0,)</f>
        <v>0</v>
      </c>
      <c r="L4223">
        <f>_xlfn.XLOOKUP($A4223,Load!$B:$B,Load!M:M,0,)</f>
        <v>0</v>
      </c>
    </row>
    <row r="4224" spans="1:12" x14ac:dyDescent="0.25">
      <c r="A4224" t="s">
        <v>223</v>
      </c>
      <c r="B4224" t="str">
        <f>_xlfn.XLOOKUP($A4224,Load!$B:$B,Load!C:C,0,)</f>
        <v>Nerds</v>
      </c>
      <c r="C4224" t="str">
        <f>_xlfn.XLOOKUP($A4224,Load!$B:$B,Load!D:D,0,)</f>
        <v>Non-Chocolate Candy Only</v>
      </c>
      <c r="D4224" t="str">
        <f>_xlfn.XLOOKUP($A4224,Load!$B:$B,Load!E:E,0,)</f>
        <v>Sweet</v>
      </c>
      <c r="E4224" t="str">
        <f>_xlfn.XLOOKUP($A4224,Load!$B:$B,Load!F:F,0,)</f>
        <v>Gummy</v>
      </c>
      <c r="F4224" t="str">
        <f>_xlfn.XLOOKUP($A4224,Load!$B:$B,Load!G:G,0,)</f>
        <v>Small Multipack (Less than 40 ct)</v>
      </c>
      <c r="G4224" t="str">
        <f>_xlfn.XLOOKUP($A4224,Load!$B:$B,Load!H:H,0,)</f>
        <v>Laydown Bag</v>
      </c>
      <c r="H4224" t="str">
        <f>_xlfn.XLOOKUP($A4224,Load!$B:$B,Load!I:I,0,)</f>
        <v>Everyday Candy Shapes (like Original, Gummy bear, Fruit, Jewels, etc.)</v>
      </c>
      <c r="I4224" t="str">
        <f>_xlfn.XLOOKUP($A4224,Load!$B:$B,Load!J:J,0,)</f>
        <v>Seasonal Graphics (Like Bat, Ghost, Pumpkin, Fall Leaves, Eyeballs, etc.)</v>
      </c>
      <c r="J4224" t="str">
        <f>_xlfn.XLOOKUP($A4224,Load!$B:$B,Load!K:K,0,)</f>
        <v>Small Pieces (Tiny bite size candies)</v>
      </c>
      <c r="K4224" t="str">
        <f>_xlfn.XLOOKUP($A4224,Load!$B:$B,Load!L:L,0,)</f>
        <v>Regular/Original Wrapping</v>
      </c>
      <c r="L4224" t="str">
        <f>_xlfn.XLOOKUP($A4224,Load!$B:$B,Load!M:M,0,)</f>
        <v>Single Brand / Variety Flavors or Form</v>
      </c>
    </row>
    <row r="4225" spans="1:12" x14ac:dyDescent="0.25">
      <c r="B4225">
        <f>_xlfn.XLOOKUP($A4225,Load!$B:$B,Load!C:C,0,)</f>
        <v>0</v>
      </c>
      <c r="C4225">
        <f>_xlfn.XLOOKUP($A4225,Load!$B:$B,Load!D:D,0,)</f>
        <v>0</v>
      </c>
      <c r="D4225">
        <f>_xlfn.XLOOKUP($A4225,Load!$B:$B,Load!E:E,0,)</f>
        <v>0</v>
      </c>
      <c r="E4225">
        <f>_xlfn.XLOOKUP($A4225,Load!$B:$B,Load!F:F,0,)</f>
        <v>0</v>
      </c>
      <c r="F4225">
        <f>_xlfn.XLOOKUP($A4225,Load!$B:$B,Load!G:G,0,)</f>
        <v>0</v>
      </c>
      <c r="G4225">
        <f>_xlfn.XLOOKUP($A4225,Load!$B:$B,Load!H:H,0,)</f>
        <v>0</v>
      </c>
      <c r="H4225">
        <f>_xlfn.XLOOKUP($A4225,Load!$B:$B,Load!I:I,0,)</f>
        <v>0</v>
      </c>
      <c r="I4225">
        <f>_xlfn.XLOOKUP($A4225,Load!$B:$B,Load!J:J,0,)</f>
        <v>0</v>
      </c>
      <c r="J4225">
        <f>_xlfn.XLOOKUP($A4225,Load!$B:$B,Load!K:K,0,)</f>
        <v>0</v>
      </c>
      <c r="K4225">
        <f>_xlfn.XLOOKUP($A4225,Load!$B:$B,Load!L:L,0,)</f>
        <v>0</v>
      </c>
      <c r="L4225">
        <f>_xlfn.XLOOKUP($A4225,Load!$B:$B,Load!M:M,0,)</f>
        <v>0</v>
      </c>
    </row>
    <row r="4226" spans="1:12" x14ac:dyDescent="0.25">
      <c r="A4226" t="s">
        <v>251</v>
      </c>
      <c r="B4226" t="str">
        <f>_xlfn.XLOOKUP($A4226,Load!$B:$B,Load!C:C,0,)</f>
        <v>Shaq-A-Licious</v>
      </c>
      <c r="C4226" t="str">
        <f>_xlfn.XLOOKUP($A4226,Load!$B:$B,Load!D:D,0,)</f>
        <v>Non-Chocolate Candy Only</v>
      </c>
      <c r="D4226" t="str">
        <f>_xlfn.XLOOKUP($A4226,Load!$B:$B,Load!E:E,0,)</f>
        <v>Fruit Flavor (Cherry, Grape, Apple, Citrus, Tropical Fruit)</v>
      </c>
      <c r="E4226" t="str">
        <f>_xlfn.XLOOKUP($A4226,Load!$B:$B,Load!F:F,0,)</f>
        <v>Gummy</v>
      </c>
      <c r="F4226" t="str">
        <f>_xlfn.XLOOKUP($A4226,Load!$B:$B,Load!G:G,0,)</f>
        <v>Small Multipack (Less than 40 ct)</v>
      </c>
      <c r="G4226" t="str">
        <f>_xlfn.XLOOKUP($A4226,Load!$B:$B,Load!H:H,0,)</f>
        <v>Laydown Bag</v>
      </c>
      <c r="H4226" t="str">
        <f>_xlfn.XLOOKUP($A4226,Load!$B:$B,Load!I:I,0,)</f>
        <v>Seasonal Shapes (like pumpkins, candy corn, ghost, bats, etc.)</v>
      </c>
      <c r="I4226" t="str">
        <f>_xlfn.XLOOKUP($A4226,Load!$B:$B,Load!J:J,0,)</f>
        <v>Seasonal Graphics (Like Bat, Ghost, Pumpkin, Fall Leaves, Eyeballs, etc.)</v>
      </c>
      <c r="J4226" t="str">
        <f>_xlfn.XLOOKUP($A4226,Load!$B:$B,Load!K:K,0,)</f>
        <v>Fun Size / Treat Size</v>
      </c>
      <c r="K4226" t="str">
        <f>_xlfn.XLOOKUP($A4226,Load!$B:$B,Load!L:L,0,)</f>
        <v>Regular/Original Wrapping</v>
      </c>
      <c r="L4226" t="str">
        <f>_xlfn.XLOOKUP($A4226,Load!$B:$B,Load!M:M,0,)</f>
        <v>Single Brand / Variety Flavors or Form</v>
      </c>
    </row>
    <row r="4227" spans="1:12" x14ac:dyDescent="0.25">
      <c r="B4227">
        <f>_xlfn.XLOOKUP($A4227,Load!$B:$B,Load!C:C,0,)</f>
        <v>0</v>
      </c>
      <c r="C4227">
        <f>_xlfn.XLOOKUP($A4227,Load!$B:$B,Load!D:D,0,)</f>
        <v>0</v>
      </c>
      <c r="D4227">
        <f>_xlfn.XLOOKUP($A4227,Load!$B:$B,Load!E:E,0,)</f>
        <v>0</v>
      </c>
      <c r="E4227">
        <f>_xlfn.XLOOKUP($A4227,Load!$B:$B,Load!F:F,0,)</f>
        <v>0</v>
      </c>
      <c r="F4227">
        <f>_xlfn.XLOOKUP($A4227,Load!$B:$B,Load!G:G,0,)</f>
        <v>0</v>
      </c>
      <c r="G4227">
        <f>_xlfn.XLOOKUP($A4227,Load!$B:$B,Load!H:H,0,)</f>
        <v>0</v>
      </c>
      <c r="H4227">
        <f>_xlfn.XLOOKUP($A4227,Load!$B:$B,Load!I:I,0,)</f>
        <v>0</v>
      </c>
      <c r="I4227">
        <f>_xlfn.XLOOKUP($A4227,Load!$B:$B,Load!J:J,0,)</f>
        <v>0</v>
      </c>
      <c r="J4227">
        <f>_xlfn.XLOOKUP($A4227,Load!$B:$B,Load!K:K,0,)</f>
        <v>0</v>
      </c>
      <c r="K4227">
        <f>_xlfn.XLOOKUP($A4227,Load!$B:$B,Load!L:L,0,)</f>
        <v>0</v>
      </c>
      <c r="L4227">
        <f>_xlfn.XLOOKUP($A4227,Load!$B:$B,Load!M:M,0,)</f>
        <v>0</v>
      </c>
    </row>
    <row r="4228" spans="1:12" x14ac:dyDescent="0.25">
      <c r="A4228" t="s">
        <v>8</v>
      </c>
      <c r="B4228" t="str">
        <f>_xlfn.XLOOKUP($A4228,Load!$B:$B,Load!C:C,0,)</f>
        <v>Airheads</v>
      </c>
      <c r="C4228" t="str">
        <f>_xlfn.XLOOKUP($A4228,Load!$B:$B,Load!D:D,0,)</f>
        <v>Non-Chocolate Candy Only</v>
      </c>
      <c r="D4228" t="str">
        <f>_xlfn.XLOOKUP($A4228,Load!$B:$B,Load!E:E,0,)</f>
        <v>Fruit Flavor (Cherry, Grape, Apple, Citrus, Tropical Fruit)</v>
      </c>
      <c r="E4228" t="str">
        <f>_xlfn.XLOOKUP($A4228,Load!$B:$B,Load!F:F,0,)</f>
        <v>Chewy</v>
      </c>
      <c r="F4228" t="str">
        <f>_xlfn.XLOOKUP($A4228,Load!$B:$B,Load!G:G,0,)</f>
        <v>Small Multipack (Less than 40 ct)</v>
      </c>
      <c r="G4228" t="str">
        <f>_xlfn.XLOOKUP($A4228,Load!$B:$B,Load!H:H,0,)</f>
        <v>Laydown Bag</v>
      </c>
      <c r="H4228" t="str">
        <f>_xlfn.XLOOKUP($A4228,Load!$B:$B,Load!I:I,0,)</f>
        <v>Everyday Candy Shapes (like Original, Gummy bear, Fruit, Jewels, etc.)</v>
      </c>
      <c r="I4228" t="str">
        <f>_xlfn.XLOOKUP($A4228,Load!$B:$B,Load!J:J,0,)</f>
        <v>Everyday Graphics</v>
      </c>
      <c r="J4228" t="str">
        <f>_xlfn.XLOOKUP($A4228,Load!$B:$B,Load!K:K,0,)</f>
        <v>Fun Size / Treat Size</v>
      </c>
      <c r="K4228" t="str">
        <f>_xlfn.XLOOKUP($A4228,Load!$B:$B,Load!L:L,0,)</f>
        <v>Regular/Original Wrapping</v>
      </c>
      <c r="L4228" t="str">
        <f>_xlfn.XLOOKUP($A4228,Load!$B:$B,Load!M:M,0,)</f>
        <v>Single Brand / Variety Flavors or Form</v>
      </c>
    </row>
    <row r="4229" spans="1:12" x14ac:dyDescent="0.25">
      <c r="B4229">
        <f>_xlfn.XLOOKUP($A4229,Load!$B:$B,Load!C:C,0,)</f>
        <v>0</v>
      </c>
      <c r="C4229">
        <f>_xlfn.XLOOKUP($A4229,Load!$B:$B,Load!D:D,0,)</f>
        <v>0</v>
      </c>
      <c r="D4229">
        <f>_xlfn.XLOOKUP($A4229,Load!$B:$B,Load!E:E,0,)</f>
        <v>0</v>
      </c>
      <c r="E4229">
        <f>_xlfn.XLOOKUP($A4229,Load!$B:$B,Load!F:F,0,)</f>
        <v>0</v>
      </c>
      <c r="F4229">
        <f>_xlfn.XLOOKUP($A4229,Load!$B:$B,Load!G:G,0,)</f>
        <v>0</v>
      </c>
      <c r="G4229">
        <f>_xlfn.XLOOKUP($A4229,Load!$B:$B,Load!H:H,0,)</f>
        <v>0</v>
      </c>
      <c r="H4229">
        <f>_xlfn.XLOOKUP($A4229,Load!$B:$B,Load!I:I,0,)</f>
        <v>0</v>
      </c>
      <c r="I4229">
        <f>_xlfn.XLOOKUP($A4229,Load!$B:$B,Load!J:J,0,)</f>
        <v>0</v>
      </c>
      <c r="J4229">
        <f>_xlfn.XLOOKUP($A4229,Load!$B:$B,Load!K:K,0,)</f>
        <v>0</v>
      </c>
      <c r="K4229">
        <f>_xlfn.XLOOKUP($A4229,Load!$B:$B,Load!L:L,0,)</f>
        <v>0</v>
      </c>
      <c r="L4229">
        <f>_xlfn.XLOOKUP($A4229,Load!$B:$B,Load!M:M,0,)</f>
        <v>0</v>
      </c>
    </row>
    <row r="4230" spans="1:12" x14ac:dyDescent="0.25">
      <c r="B4230">
        <f>_xlfn.XLOOKUP($A4230,Load!$B:$B,Load!C:C,0,)</f>
        <v>0</v>
      </c>
      <c r="C4230">
        <f>_xlfn.XLOOKUP($A4230,Load!$B:$B,Load!D:D,0,)</f>
        <v>0</v>
      </c>
      <c r="D4230">
        <f>_xlfn.XLOOKUP($A4230,Load!$B:$B,Load!E:E,0,)</f>
        <v>0</v>
      </c>
      <c r="E4230">
        <f>_xlfn.XLOOKUP($A4230,Load!$B:$B,Load!F:F,0,)</f>
        <v>0</v>
      </c>
      <c r="F4230">
        <f>_xlfn.XLOOKUP($A4230,Load!$B:$B,Load!G:G,0,)</f>
        <v>0</v>
      </c>
      <c r="G4230">
        <f>_xlfn.XLOOKUP($A4230,Load!$B:$B,Load!H:H,0,)</f>
        <v>0</v>
      </c>
      <c r="H4230">
        <f>_xlfn.XLOOKUP($A4230,Load!$B:$B,Load!I:I,0,)</f>
        <v>0</v>
      </c>
      <c r="I4230">
        <f>_xlfn.XLOOKUP($A4230,Load!$B:$B,Load!J:J,0,)</f>
        <v>0</v>
      </c>
      <c r="J4230">
        <f>_xlfn.XLOOKUP($A4230,Load!$B:$B,Load!K:K,0,)</f>
        <v>0</v>
      </c>
      <c r="K4230">
        <f>_xlfn.XLOOKUP($A4230,Load!$B:$B,Load!L:L,0,)</f>
        <v>0</v>
      </c>
      <c r="L4230">
        <f>_xlfn.XLOOKUP($A4230,Load!$B:$B,Load!M:M,0,)</f>
        <v>0</v>
      </c>
    </row>
    <row r="4231" spans="1:12" x14ac:dyDescent="0.25">
      <c r="B4231">
        <f>_xlfn.XLOOKUP($A4231,Load!$B:$B,Load!C:C,0,)</f>
        <v>0</v>
      </c>
      <c r="C4231">
        <f>_xlfn.XLOOKUP($A4231,Load!$B:$B,Load!D:D,0,)</f>
        <v>0</v>
      </c>
      <c r="D4231">
        <f>_xlfn.XLOOKUP($A4231,Load!$B:$B,Load!E:E,0,)</f>
        <v>0</v>
      </c>
      <c r="E4231">
        <f>_xlfn.XLOOKUP($A4231,Load!$B:$B,Load!F:F,0,)</f>
        <v>0</v>
      </c>
      <c r="F4231">
        <f>_xlfn.XLOOKUP($A4231,Load!$B:$B,Load!G:G,0,)</f>
        <v>0</v>
      </c>
      <c r="G4231">
        <f>_xlfn.XLOOKUP($A4231,Load!$B:$B,Load!H:H,0,)</f>
        <v>0</v>
      </c>
      <c r="H4231">
        <f>_xlfn.XLOOKUP($A4231,Load!$B:$B,Load!I:I,0,)</f>
        <v>0</v>
      </c>
      <c r="I4231">
        <f>_xlfn.XLOOKUP($A4231,Load!$B:$B,Load!J:J,0,)</f>
        <v>0</v>
      </c>
      <c r="J4231">
        <f>_xlfn.XLOOKUP($A4231,Load!$B:$B,Load!K:K,0,)</f>
        <v>0</v>
      </c>
      <c r="K4231">
        <f>_xlfn.XLOOKUP($A4231,Load!$B:$B,Load!L:L,0,)</f>
        <v>0</v>
      </c>
      <c r="L4231">
        <f>_xlfn.XLOOKUP($A4231,Load!$B:$B,Load!M:M,0,)</f>
        <v>0</v>
      </c>
    </row>
    <row r="4232" spans="1:12" x14ac:dyDescent="0.25">
      <c r="A4232" t="s">
        <v>281</v>
      </c>
      <c r="B4232" t="str">
        <f>_xlfn.XLOOKUP($A4232,Load!$B:$B,Load!C:C,0,)</f>
        <v>Sour Punch</v>
      </c>
      <c r="C4232" t="str">
        <f>_xlfn.XLOOKUP($A4232,Load!$B:$B,Load!D:D,0,)</f>
        <v>Non-Chocolate Candy Only</v>
      </c>
      <c r="D4232" t="str">
        <f>_xlfn.XLOOKUP($A4232,Load!$B:$B,Load!E:E,0,)</f>
        <v>Sour</v>
      </c>
      <c r="E4232" t="str">
        <f>_xlfn.XLOOKUP($A4232,Load!$B:$B,Load!F:F,0,)</f>
        <v>Chewy</v>
      </c>
      <c r="F4232" t="str">
        <f>_xlfn.XLOOKUP($A4232,Load!$B:$B,Load!G:G,0,)</f>
        <v>Single Pack</v>
      </c>
      <c r="G4232" t="str">
        <f>_xlfn.XLOOKUP($A4232,Load!$B:$B,Load!H:H,0,)</f>
        <v>Laydown Bag</v>
      </c>
      <c r="H4232" t="str">
        <f>_xlfn.XLOOKUP($A4232,Load!$B:$B,Load!I:I,0,)</f>
        <v>Everyday Candy Shapes (like Original, Gummy bear, Fruit, Jewels, etc.)</v>
      </c>
      <c r="I4232" t="str">
        <f>_xlfn.XLOOKUP($A4232,Load!$B:$B,Load!J:J,0,)</f>
        <v>Seasonal Graphics (Like Bat, Ghost, Pumpkin, Fall Leaves, Eyeballs, etc.)</v>
      </c>
      <c r="J4232" t="str">
        <f>_xlfn.XLOOKUP($A4232,Load!$B:$B,Load!K:K,0,)</f>
        <v>Fun Size / Treat Size</v>
      </c>
      <c r="K4232" t="str">
        <f>_xlfn.XLOOKUP($A4232,Load!$B:$B,Load!L:L,0,)</f>
        <v>Unwrapped</v>
      </c>
      <c r="L4232" t="str">
        <f>_xlfn.XLOOKUP($A4232,Load!$B:$B,Load!M:M,0,)</f>
        <v>Single Brand / Variety Flavors or Form</v>
      </c>
    </row>
    <row r="4233" spans="1:12" x14ac:dyDescent="0.25">
      <c r="A4233" t="s">
        <v>160</v>
      </c>
      <c r="B4233" t="str">
        <f>_xlfn.XLOOKUP($A4233,Load!$B:$B,Load!C:C,0,)</f>
        <v>Jolly Rancher</v>
      </c>
      <c r="C4233" t="str">
        <f>_xlfn.XLOOKUP($A4233,Load!$B:$B,Load!D:D,0,)</f>
        <v>Non-Chocolate Candy Only</v>
      </c>
      <c r="D4233" t="str">
        <f>_xlfn.XLOOKUP($A4233,Load!$B:$B,Load!E:E,0,)</f>
        <v>Sour</v>
      </c>
      <c r="E4233" t="str">
        <f>_xlfn.XLOOKUP($A4233,Load!$B:$B,Load!F:F,0,)</f>
        <v>Gummy</v>
      </c>
      <c r="F4233" t="str">
        <f>_xlfn.XLOOKUP($A4233,Load!$B:$B,Load!G:G,0,)</f>
        <v>Single Pack</v>
      </c>
      <c r="G4233" t="str">
        <f>_xlfn.XLOOKUP($A4233,Load!$B:$B,Load!H:H,0,)</f>
        <v>Laydown Bag</v>
      </c>
      <c r="H4233" t="str">
        <f>_xlfn.XLOOKUP($A4233,Load!$B:$B,Load!I:I,0,)</f>
        <v>Seasonal Shapes (like pumpkins, candy corn, ghost, bats, etc.)</v>
      </c>
      <c r="I4233" t="str">
        <f>_xlfn.XLOOKUP($A4233,Load!$B:$B,Load!J:J,0,)</f>
        <v>Seasonal Graphics (Like Bat, Ghost, Pumpkin, Fall Leaves, Eyeballs, etc.)</v>
      </c>
      <c r="J4233" t="str">
        <f>_xlfn.XLOOKUP($A4233,Load!$B:$B,Load!K:K,0,)</f>
        <v>Small Pieces (Tiny bite size candies)</v>
      </c>
      <c r="K4233" t="str">
        <f>_xlfn.XLOOKUP($A4233,Load!$B:$B,Load!L:L,0,)</f>
        <v>Unwrapped</v>
      </c>
      <c r="L4233" t="str">
        <f>_xlfn.XLOOKUP($A4233,Load!$B:$B,Load!M:M,0,)</f>
        <v>Single Brand / Variety Flavors or Form</v>
      </c>
    </row>
    <row r="4234" spans="1:12" x14ac:dyDescent="0.25">
      <c r="A4234" t="s">
        <v>463</v>
      </c>
      <c r="B4234" t="str">
        <f>_xlfn.XLOOKUP($A4234,Load!$B:$B,Load!C:C,0,)</f>
        <v>Mars Variety Pack</v>
      </c>
      <c r="C4234" t="str">
        <f>_xlfn.XLOOKUP($A4234,Load!$B:$B,Load!D:D,0,)</f>
        <v>Mix of Chocolate and Non-Chocolate Candy</v>
      </c>
      <c r="D4234" t="str">
        <f>_xlfn.XLOOKUP($A4234,Load!$B:$B,Load!E:E,0,)</f>
        <v>Variety / Mixed Flavors (Fruity, Sour, Seasonal Flavors)</v>
      </c>
      <c r="E4234" t="str">
        <f>_xlfn.XLOOKUP($A4234,Load!$B:$B,Load!F:F,0,)</f>
        <v>Mixed / Combo Packs (Gummy, Chewy, Taffy, etc.)</v>
      </c>
      <c r="F4234" t="str">
        <f>_xlfn.XLOOKUP($A4234,Load!$B:$B,Load!G:G,0,)</f>
        <v>Medium Multipack (40–80 ct)</v>
      </c>
      <c r="G4234" t="str">
        <f>_xlfn.XLOOKUP($A4234,Load!$B:$B,Load!H:H,0,)</f>
        <v>Stand-Up Bag</v>
      </c>
      <c r="H4234" t="str">
        <f>_xlfn.XLOOKUP($A4234,Load!$B:$B,Load!I:I,0,)</f>
        <v>Everyday Candy Shapes (like Original, Gummy bear, Fruit, Jewels, etc.)</v>
      </c>
      <c r="I4234" t="str">
        <f>_xlfn.XLOOKUP($A4234,Load!$B:$B,Load!J:J,0,)</f>
        <v>Seasonal Graphics (Like Bat, Ghost, Pumpkin, Fall Leaves, Eyeballs, etc.)</v>
      </c>
      <c r="J4234" t="str">
        <f>_xlfn.XLOOKUP($A4234,Load!$B:$B,Load!K:K,0,)</f>
        <v>Fun Size / Treat Size</v>
      </c>
      <c r="K4234" t="str">
        <f>_xlfn.XLOOKUP($A4234,Load!$B:$B,Load!L:L,0,)</f>
        <v>Regular/Original Wrapping</v>
      </c>
      <c r="L4234" t="str">
        <f>_xlfn.XLOOKUP($A4234,Load!$B:$B,Load!M:M,0,)</f>
        <v>Multiple Brands / Variety Flavors or Form</v>
      </c>
    </row>
    <row r="4235" spans="1:12" x14ac:dyDescent="0.25">
      <c r="A4235" t="s">
        <v>304</v>
      </c>
      <c r="B4235" t="str">
        <f>_xlfn.XLOOKUP($A4235,Load!$B:$B,Load!C:C,0,)</f>
        <v>Warheads</v>
      </c>
      <c r="C4235" t="str">
        <f>_xlfn.XLOOKUP($A4235,Load!$B:$B,Load!D:D,0,)</f>
        <v>Non-Chocolate Candy Only</v>
      </c>
      <c r="D4235" t="str">
        <f>_xlfn.XLOOKUP($A4235,Load!$B:$B,Load!E:E,0,)</f>
        <v>Sour</v>
      </c>
      <c r="E4235" t="str">
        <f>_xlfn.XLOOKUP($A4235,Load!$B:$B,Load!F:F,0,)</f>
        <v>Chewy</v>
      </c>
      <c r="F4235" t="str">
        <f>_xlfn.XLOOKUP($A4235,Load!$B:$B,Load!G:G,0,)</f>
        <v>Medium Multipack (40–80 ct)</v>
      </c>
      <c r="G4235" t="str">
        <f>_xlfn.XLOOKUP($A4235,Load!$B:$B,Load!H:H,0,)</f>
        <v>Laydown Bag</v>
      </c>
      <c r="H4235" t="str">
        <f>_xlfn.XLOOKUP($A4235,Load!$B:$B,Load!I:I,0,)</f>
        <v>Everyday Candy Shapes (like Original, Gummy bear, Fruit, Jewels, etc.)</v>
      </c>
      <c r="I4235" t="str">
        <f>_xlfn.XLOOKUP($A4235,Load!$B:$B,Load!J:J,0,)</f>
        <v>Seasonal Graphics (Like Bat, Ghost, Pumpkin, Fall Leaves, Eyeballs, etc.)</v>
      </c>
      <c r="J4235" t="str">
        <f>_xlfn.XLOOKUP($A4235,Load!$B:$B,Load!K:K,0,)</f>
        <v>Fun Size / Treat Size</v>
      </c>
      <c r="K4235" t="str">
        <f>_xlfn.XLOOKUP($A4235,Load!$B:$B,Load!L:L,0,)</f>
        <v>Regular/Original Wrapping</v>
      </c>
      <c r="L4235" t="str">
        <f>_xlfn.XLOOKUP($A4235,Load!$B:$B,Load!M:M,0,)</f>
        <v>Single Brand / Single Flavor or Form</v>
      </c>
    </row>
    <row r="4236" spans="1:12" x14ac:dyDescent="0.25">
      <c r="A4236" t="s">
        <v>253</v>
      </c>
      <c r="B4236" t="str">
        <f>_xlfn.XLOOKUP($A4236,Load!$B:$B,Load!C:C,0,)</f>
        <v>Skittles</v>
      </c>
      <c r="C4236" t="str">
        <f>_xlfn.XLOOKUP($A4236,Load!$B:$B,Load!D:D,0,)</f>
        <v>Non-Chocolate Candy Only</v>
      </c>
      <c r="D4236" t="str">
        <f>_xlfn.XLOOKUP($A4236,Load!$B:$B,Load!E:E,0,)</f>
        <v>Variety / Mixed Flavors (Fruity, Sour, Seasonal Flavors)</v>
      </c>
      <c r="E4236" t="str">
        <f>_xlfn.XLOOKUP($A4236,Load!$B:$B,Load!F:F,0,)</f>
        <v>Mixed / Combo Packs (Gummy, Chewy, Taffy, etc.)</v>
      </c>
      <c r="F4236" t="str">
        <f>_xlfn.XLOOKUP($A4236,Load!$B:$B,Load!G:G,0,)</f>
        <v>Medium Multipack (40–80 ct)</v>
      </c>
      <c r="G4236" t="str">
        <f>_xlfn.XLOOKUP($A4236,Load!$B:$B,Load!H:H,0,)</f>
        <v>Stand-Up Bag</v>
      </c>
      <c r="H4236" t="str">
        <f>_xlfn.XLOOKUP($A4236,Load!$B:$B,Load!I:I,0,)</f>
        <v>Everyday Candy Shapes (like Original, Gummy bear, Fruit, Jewels, etc.)</v>
      </c>
      <c r="I4236" t="str">
        <f>_xlfn.XLOOKUP($A4236,Load!$B:$B,Load!J:J,0,)</f>
        <v>Seasonal Graphics (Like Bat, Ghost, Pumpkin, Fall Leaves, Eyeballs, etc.)</v>
      </c>
      <c r="J4236" t="str">
        <f>_xlfn.XLOOKUP($A4236,Load!$B:$B,Load!K:K,0,)</f>
        <v>Small Pieces (Tiny bite size candies)</v>
      </c>
      <c r="K4236" t="str">
        <f>_xlfn.XLOOKUP($A4236,Load!$B:$B,Load!L:L,0,)</f>
        <v>Regular/Original Wrapping</v>
      </c>
      <c r="L4236" t="str">
        <f>_xlfn.XLOOKUP($A4236,Load!$B:$B,Load!M:M,0,)</f>
        <v>Single Brand / Variety Flavors or Form</v>
      </c>
    </row>
    <row r="4237" spans="1:12" x14ac:dyDescent="0.25">
      <c r="A4237" t="s">
        <v>271</v>
      </c>
      <c r="B4237" t="str">
        <f>_xlfn.XLOOKUP($A4237,Load!$B:$B,Load!C:C,0,)</f>
        <v>Sour Patch Kids</v>
      </c>
      <c r="C4237" t="str">
        <f>_xlfn.XLOOKUP($A4237,Load!$B:$B,Load!D:D,0,)</f>
        <v>Non-Chocolate Candy Only</v>
      </c>
      <c r="D4237" t="str">
        <f>_xlfn.XLOOKUP($A4237,Load!$B:$B,Load!E:E,0,)</f>
        <v>Sour</v>
      </c>
      <c r="E4237" t="str">
        <f>_xlfn.XLOOKUP($A4237,Load!$B:$B,Load!F:F,0,)</f>
        <v>Chewy</v>
      </c>
      <c r="F4237" t="str">
        <f>_xlfn.XLOOKUP($A4237,Load!$B:$B,Load!G:G,0,)</f>
        <v>Medium Multipack (40–80 ct)</v>
      </c>
      <c r="G4237" t="str">
        <f>_xlfn.XLOOKUP($A4237,Load!$B:$B,Load!H:H,0,)</f>
        <v>Laydown Bag</v>
      </c>
      <c r="H4237" t="str">
        <f>_xlfn.XLOOKUP($A4237,Load!$B:$B,Load!I:I,0,)</f>
        <v>Everyday Candy Shapes (like Original, Gummy bear, Fruit, Jewels, etc.)</v>
      </c>
      <c r="I4237" t="str">
        <f>_xlfn.XLOOKUP($A4237,Load!$B:$B,Load!J:J,0,)</f>
        <v>Seasonal Graphics (Like Bat, Ghost, Pumpkin, Fall Leaves, Eyeballs, etc.)</v>
      </c>
      <c r="J4237" t="str">
        <f>_xlfn.XLOOKUP($A4237,Load!$B:$B,Load!K:K,0,)</f>
        <v>Small Pieces (Tiny bite size candies)</v>
      </c>
      <c r="K4237" t="str">
        <f>_xlfn.XLOOKUP($A4237,Load!$B:$B,Load!L:L,0,)</f>
        <v>Regular/Original Wrapping</v>
      </c>
      <c r="L4237" t="str">
        <f>_xlfn.XLOOKUP($A4237,Load!$B:$B,Load!M:M,0,)</f>
        <v>Single Brand / Variety Flavors or Form</v>
      </c>
    </row>
    <row r="4238" spans="1:12" x14ac:dyDescent="0.25">
      <c r="A4238" t="s">
        <v>2</v>
      </c>
      <c r="B4238" t="str">
        <f>_xlfn.XLOOKUP($A4238,Load!$B:$B,Load!C:C,0,)</f>
        <v>Airheads</v>
      </c>
      <c r="C4238" t="str">
        <f>_xlfn.XLOOKUP($A4238,Load!$B:$B,Load!D:D,0,)</f>
        <v>Non-Chocolate Candy Only</v>
      </c>
      <c r="D4238" t="str">
        <f>_xlfn.XLOOKUP($A4238,Load!$B:$B,Load!E:E,0,)</f>
        <v>Variety / Mixed Flavors (Fruity, Sour, Seasonal Flavors)</v>
      </c>
      <c r="E4238" t="str">
        <f>_xlfn.XLOOKUP($A4238,Load!$B:$B,Load!F:F,0,)</f>
        <v>Chewy</v>
      </c>
      <c r="F4238" t="str">
        <f>_xlfn.XLOOKUP($A4238,Load!$B:$B,Load!G:G,0,)</f>
        <v>Medium Multipack (40–80 ct)</v>
      </c>
      <c r="G4238" t="str">
        <f>_xlfn.XLOOKUP($A4238,Load!$B:$B,Load!H:H,0,)</f>
        <v>Box (theatre box, gift box, carton)</v>
      </c>
      <c r="H4238" t="str">
        <f>_xlfn.XLOOKUP($A4238,Load!$B:$B,Load!I:I,0,)</f>
        <v>Everyday Candy Shapes (like Original, Gummy bear, Fruit, Jewels, etc.)</v>
      </c>
      <c r="I4238" t="str">
        <f>_xlfn.XLOOKUP($A4238,Load!$B:$B,Load!J:J,0,)</f>
        <v>Seasonal Graphics (Like Bat, Ghost, Pumpkin, Fall Leaves, Eyeballs, etc.)</v>
      </c>
      <c r="J4238" t="str">
        <f>_xlfn.XLOOKUP($A4238,Load!$B:$B,Load!K:K,0,)</f>
        <v>Fun Size / Treat Size</v>
      </c>
      <c r="K4238" t="str">
        <f>_xlfn.XLOOKUP($A4238,Load!$B:$B,Load!L:L,0,)</f>
        <v>Regular/Original Wrapping</v>
      </c>
      <c r="L4238" t="str">
        <f>_xlfn.XLOOKUP($A4238,Load!$B:$B,Load!M:M,0,)</f>
        <v>Single Brand / Variety Flavors or Form</v>
      </c>
    </row>
    <row r="4239" spans="1:12" x14ac:dyDescent="0.25">
      <c r="A4239" t="s">
        <v>270</v>
      </c>
      <c r="B4239" t="str">
        <f>_xlfn.XLOOKUP($A4239,Load!$B:$B,Load!C:C,0,)</f>
        <v>Sour Patch Kids</v>
      </c>
      <c r="C4239" t="str">
        <f>_xlfn.XLOOKUP($A4239,Load!$B:$B,Load!D:D,0,)</f>
        <v>Non-Chocolate Candy Only</v>
      </c>
      <c r="D4239" t="str">
        <f>_xlfn.XLOOKUP($A4239,Load!$B:$B,Load!E:E,0,)</f>
        <v>Fruit Flavor (Cherry, Grape, Apple, Citrus, Tropical Fruit)</v>
      </c>
      <c r="E4239" t="str">
        <f>_xlfn.XLOOKUP($A4239,Load!$B:$B,Load!F:F,0,)</f>
        <v>Chewy</v>
      </c>
      <c r="F4239" t="str">
        <f>_xlfn.XLOOKUP($A4239,Load!$B:$B,Load!G:G,0,)</f>
        <v>Small Multipack (Less than 40 ct)</v>
      </c>
      <c r="G4239" t="str">
        <f>_xlfn.XLOOKUP($A4239,Load!$B:$B,Load!H:H,0,)</f>
        <v>Box (theatre box, gift box, carton)</v>
      </c>
      <c r="H4239" t="str">
        <f>_xlfn.XLOOKUP($A4239,Load!$B:$B,Load!I:I,0,)</f>
        <v>Everyday Candy Shapes (like Original, Gummy bear, Fruit, Jewels, etc.)</v>
      </c>
      <c r="I4239" t="str">
        <f>_xlfn.XLOOKUP($A4239,Load!$B:$B,Load!J:J,0,)</f>
        <v>Seasonal Graphics (Like Bat, Ghost, Pumpkin, Fall Leaves, Eyeballs, etc.)</v>
      </c>
      <c r="J4239" t="str">
        <f>_xlfn.XLOOKUP($A4239,Load!$B:$B,Load!K:K,0,)</f>
        <v>Small Pieces (Tiny bite size candies)</v>
      </c>
      <c r="K4239" t="str">
        <f>_xlfn.XLOOKUP($A4239,Load!$B:$B,Load!L:L,0,)</f>
        <v>Unwrapped</v>
      </c>
      <c r="L4239" t="str">
        <f>_xlfn.XLOOKUP($A4239,Load!$B:$B,Load!M:M,0,)</f>
        <v>Single Brand / Variety Flavors or Form</v>
      </c>
    </row>
    <row r="4240" spans="1:12" x14ac:dyDescent="0.25">
      <c r="B4240">
        <f>_xlfn.XLOOKUP($A4240,Load!$B:$B,Load!C:C,0,)</f>
        <v>0</v>
      </c>
      <c r="C4240">
        <f>_xlfn.XLOOKUP($A4240,Load!$B:$B,Load!D:D,0,)</f>
        <v>0</v>
      </c>
      <c r="D4240">
        <f>_xlfn.XLOOKUP($A4240,Load!$B:$B,Load!E:E,0,)</f>
        <v>0</v>
      </c>
      <c r="E4240">
        <f>_xlfn.XLOOKUP($A4240,Load!$B:$B,Load!F:F,0,)</f>
        <v>0</v>
      </c>
      <c r="F4240">
        <f>_xlfn.XLOOKUP($A4240,Load!$B:$B,Load!G:G,0,)</f>
        <v>0</v>
      </c>
      <c r="G4240">
        <f>_xlfn.XLOOKUP($A4240,Load!$B:$B,Load!H:H,0,)</f>
        <v>0</v>
      </c>
      <c r="H4240">
        <f>_xlfn.XLOOKUP($A4240,Load!$B:$B,Load!I:I,0,)</f>
        <v>0</v>
      </c>
      <c r="I4240">
        <f>_xlfn.XLOOKUP($A4240,Load!$B:$B,Load!J:J,0,)</f>
        <v>0</v>
      </c>
      <c r="J4240">
        <f>_xlfn.XLOOKUP($A4240,Load!$B:$B,Load!K:K,0,)</f>
        <v>0</v>
      </c>
      <c r="K4240">
        <f>_xlfn.XLOOKUP($A4240,Load!$B:$B,Load!L:L,0,)</f>
        <v>0</v>
      </c>
      <c r="L4240">
        <f>_xlfn.XLOOKUP($A4240,Load!$B:$B,Load!M:M,0,)</f>
        <v>0</v>
      </c>
    </row>
    <row r="4241" spans="1:12" x14ac:dyDescent="0.25">
      <c r="B4241">
        <f>_xlfn.XLOOKUP($A4241,Load!$B:$B,Load!C:C,0,)</f>
        <v>0</v>
      </c>
      <c r="C4241">
        <f>_xlfn.XLOOKUP($A4241,Load!$B:$B,Load!D:D,0,)</f>
        <v>0</v>
      </c>
      <c r="D4241">
        <f>_xlfn.XLOOKUP($A4241,Load!$B:$B,Load!E:E,0,)</f>
        <v>0</v>
      </c>
      <c r="E4241">
        <f>_xlfn.XLOOKUP($A4241,Load!$B:$B,Load!F:F,0,)</f>
        <v>0</v>
      </c>
      <c r="F4241">
        <f>_xlfn.XLOOKUP($A4241,Load!$B:$B,Load!G:G,0,)</f>
        <v>0</v>
      </c>
      <c r="G4241">
        <f>_xlfn.XLOOKUP($A4241,Load!$B:$B,Load!H:H,0,)</f>
        <v>0</v>
      </c>
      <c r="H4241">
        <f>_xlfn.XLOOKUP($A4241,Load!$B:$B,Load!I:I,0,)</f>
        <v>0</v>
      </c>
      <c r="I4241">
        <f>_xlfn.XLOOKUP($A4241,Load!$B:$B,Load!J:J,0,)</f>
        <v>0</v>
      </c>
      <c r="J4241">
        <f>_xlfn.XLOOKUP($A4241,Load!$B:$B,Load!K:K,0,)</f>
        <v>0</v>
      </c>
      <c r="K4241">
        <f>_xlfn.XLOOKUP($A4241,Load!$B:$B,Load!L:L,0,)</f>
        <v>0</v>
      </c>
      <c r="L4241">
        <f>_xlfn.XLOOKUP($A4241,Load!$B:$B,Load!M:M,0,)</f>
        <v>0</v>
      </c>
    </row>
    <row r="4242" spans="1:12" x14ac:dyDescent="0.25">
      <c r="A4242" t="s">
        <v>230</v>
      </c>
      <c r="B4242" t="str">
        <f>_xlfn.XLOOKUP($A4242,Load!$B:$B,Load!C:C,0,)</f>
        <v>Nerds</v>
      </c>
      <c r="C4242" t="str">
        <f>_xlfn.XLOOKUP($A4242,Load!$B:$B,Load!D:D,0,)</f>
        <v>Non-Chocolate Candy Only</v>
      </c>
      <c r="D4242" t="str">
        <f>_xlfn.XLOOKUP($A4242,Load!$B:$B,Load!E:E,0,)</f>
        <v>Sweet</v>
      </c>
      <c r="E4242" t="str">
        <f>_xlfn.XLOOKUP($A4242,Load!$B:$B,Load!F:F,0,)</f>
        <v>Chewy</v>
      </c>
      <c r="F4242" t="str">
        <f>_xlfn.XLOOKUP($A4242,Load!$B:$B,Load!G:G,0,)</f>
        <v>Single Pack</v>
      </c>
      <c r="G4242" t="str">
        <f>_xlfn.XLOOKUP($A4242,Load!$B:$B,Load!H:H,0,)</f>
        <v>Laydown Bag</v>
      </c>
      <c r="H4242" t="str">
        <f>_xlfn.XLOOKUP($A4242,Load!$B:$B,Load!I:I,0,)</f>
        <v>Everyday Candy Shapes (like Original, Gummy bear, Fruit, Jewels, etc.)</v>
      </c>
      <c r="I4242" t="str">
        <f>_xlfn.XLOOKUP($A4242,Load!$B:$B,Load!J:J,0,)</f>
        <v>Seasonal Graphics (Like Bat, Ghost, Pumpkin, Fall Leaves, Eyeballs, etc.)</v>
      </c>
      <c r="J4242" t="str">
        <f>_xlfn.XLOOKUP($A4242,Load!$B:$B,Load!K:K,0,)</f>
        <v>Fun Size / Treat Size</v>
      </c>
      <c r="K4242" t="str">
        <f>_xlfn.XLOOKUP($A4242,Load!$B:$B,Load!L:L,0,)</f>
        <v>Regular/Original Wrapping</v>
      </c>
      <c r="L4242" t="str">
        <f>_xlfn.XLOOKUP($A4242,Load!$B:$B,Load!M:M,0,)</f>
        <v>Single Brand / Single Flavor or Form</v>
      </c>
    </row>
    <row r="4243" spans="1:12" x14ac:dyDescent="0.25">
      <c r="B4243">
        <f>_xlfn.XLOOKUP($A4243,Load!$B:$B,Load!C:C,0,)</f>
        <v>0</v>
      </c>
      <c r="C4243">
        <f>_xlfn.XLOOKUP($A4243,Load!$B:$B,Load!D:D,0,)</f>
        <v>0</v>
      </c>
      <c r="D4243">
        <f>_xlfn.XLOOKUP($A4243,Load!$B:$B,Load!E:E,0,)</f>
        <v>0</v>
      </c>
      <c r="E4243">
        <f>_xlfn.XLOOKUP($A4243,Load!$B:$B,Load!F:F,0,)</f>
        <v>0</v>
      </c>
      <c r="F4243">
        <f>_xlfn.XLOOKUP($A4243,Load!$B:$B,Load!G:G,0,)</f>
        <v>0</v>
      </c>
      <c r="G4243">
        <f>_xlfn.XLOOKUP($A4243,Load!$B:$B,Load!H:H,0,)</f>
        <v>0</v>
      </c>
      <c r="H4243">
        <f>_xlfn.XLOOKUP($A4243,Load!$B:$B,Load!I:I,0,)</f>
        <v>0</v>
      </c>
      <c r="I4243">
        <f>_xlfn.XLOOKUP($A4243,Load!$B:$B,Load!J:J,0,)</f>
        <v>0</v>
      </c>
      <c r="J4243">
        <f>_xlfn.XLOOKUP($A4243,Load!$B:$B,Load!K:K,0,)</f>
        <v>0</v>
      </c>
      <c r="K4243">
        <f>_xlfn.XLOOKUP($A4243,Load!$B:$B,Load!L:L,0,)</f>
        <v>0</v>
      </c>
      <c r="L4243">
        <f>_xlfn.XLOOKUP($A4243,Load!$B:$B,Load!M:M,0,)</f>
        <v>0</v>
      </c>
    </row>
    <row r="4244" spans="1:12" x14ac:dyDescent="0.25">
      <c r="A4244" t="s">
        <v>328</v>
      </c>
      <c r="B4244" t="str">
        <f>_xlfn.XLOOKUP($A4244,Load!$B:$B,Load!C:C,0,)</f>
        <v>Googly Eyes</v>
      </c>
      <c r="C4244" t="str">
        <f>_xlfn.XLOOKUP($A4244,Load!$B:$B,Load!D:D,0,)</f>
        <v>Non-Chocolate Candy Only</v>
      </c>
      <c r="D4244" t="str">
        <f>_xlfn.XLOOKUP($A4244,Load!$B:$B,Load!E:E,0,)</f>
        <v>Variety / Mixed Flavors (Fruity, Sour, Seasonal Flavors)</v>
      </c>
      <c r="E4244" t="str">
        <f>_xlfn.XLOOKUP($A4244,Load!$B:$B,Load!F:F,0,)</f>
        <v>Candy Pieces / Bites</v>
      </c>
      <c r="F4244" t="str">
        <f>_xlfn.XLOOKUP($A4244,Load!$B:$B,Load!G:G,0,)</f>
        <v>Single Pack</v>
      </c>
      <c r="G4244" t="str">
        <f>_xlfn.XLOOKUP($A4244,Load!$B:$B,Load!H:H,0,)</f>
        <v>Plastic Cup / Container</v>
      </c>
      <c r="H4244" t="str">
        <f>_xlfn.XLOOKUP($A4244,Load!$B:$B,Load!I:I,0,)</f>
        <v>Seasonal Shapes (like pumpkins, candy corn, ghost, bats, etc.)</v>
      </c>
      <c r="I4244" t="str">
        <f>_xlfn.XLOOKUP($A4244,Load!$B:$B,Load!J:J,0,)</f>
        <v>Seasonal Graphics (Like Bat, Ghost, Pumpkin, Fall Leaves, Eyeballs, etc.)</v>
      </c>
      <c r="J4244" t="str">
        <f>_xlfn.XLOOKUP($A4244,Load!$B:$B,Load!K:K,0,)</f>
        <v>Fun Size / Treat Size</v>
      </c>
      <c r="K4244" t="str">
        <f>_xlfn.XLOOKUP($A4244,Load!$B:$B,Load!L:L,0,)</f>
        <v>Regular/Original Wrapping</v>
      </c>
      <c r="L4244" t="str">
        <f>_xlfn.XLOOKUP($A4244,Load!$B:$B,Load!M:M,0,)</f>
        <v>Single Brand / Variety Flavors or Form</v>
      </c>
    </row>
    <row r="4245" spans="1:12" x14ac:dyDescent="0.25">
      <c r="A4245" t="s">
        <v>57</v>
      </c>
      <c r="B4245" t="str">
        <f>_xlfn.XLOOKUP($A4245,Load!$B:$B,Load!C:C,0,)</f>
        <v>Brach's</v>
      </c>
      <c r="C4245" t="str">
        <f>_xlfn.XLOOKUP($A4245,Load!$B:$B,Load!D:D,0,)</f>
        <v>Non-Chocolate Candy Only</v>
      </c>
      <c r="D4245" t="str">
        <f>_xlfn.XLOOKUP($A4245,Load!$B:$B,Load!E:E,0,)</f>
        <v>Fall / Seasonal Flavors (pumpkin spice, caramel apple, candy corn)</v>
      </c>
      <c r="E4245" t="str">
        <f>_xlfn.XLOOKUP($A4245,Load!$B:$B,Load!F:F,0,)</f>
        <v>Candy Pieces / Bites</v>
      </c>
      <c r="F4245" t="str">
        <f>_xlfn.XLOOKUP($A4245,Load!$B:$B,Load!G:G,0,)</f>
        <v>Medium Multipack (40–80 ct)</v>
      </c>
      <c r="G4245" t="str">
        <f>_xlfn.XLOOKUP($A4245,Load!$B:$B,Load!H:H,0,)</f>
        <v>Laydown Bag</v>
      </c>
      <c r="H4245" t="str">
        <f>_xlfn.XLOOKUP($A4245,Load!$B:$B,Load!I:I,0,)</f>
        <v>Seasonal Shapes (like pumpkins, candy corn, ghost, bats, etc.)</v>
      </c>
      <c r="I4245" t="str">
        <f>_xlfn.XLOOKUP($A4245,Load!$B:$B,Load!J:J,0,)</f>
        <v>Seasonal Graphics (Like Bat, Ghost, Pumpkin, Fall Leaves, Eyeballs, etc.)</v>
      </c>
      <c r="J4245" t="str">
        <f>_xlfn.XLOOKUP($A4245,Load!$B:$B,Load!K:K,0,)</f>
        <v>Small Pieces (Tiny bite size candies)</v>
      </c>
      <c r="K4245" t="str">
        <f>_xlfn.XLOOKUP($A4245,Load!$B:$B,Load!L:L,0,)</f>
        <v>Unwrapped</v>
      </c>
      <c r="L4245" t="str">
        <f>_xlfn.XLOOKUP($A4245,Load!$B:$B,Load!M:M,0,)</f>
        <v>Single Brand / Single Flavor or Form</v>
      </c>
    </row>
    <row r="4246" spans="1:12" x14ac:dyDescent="0.25">
      <c r="A4246" t="s">
        <v>220</v>
      </c>
      <c r="B4246" t="str">
        <f>_xlfn.XLOOKUP($A4246,Load!$B:$B,Load!C:C,0,)</f>
        <v>Mondelez Variety Pack</v>
      </c>
      <c r="C4246" t="str">
        <f>_xlfn.XLOOKUP($A4246,Load!$B:$B,Load!D:D,0,)</f>
        <v>Non-Chocolate Candy Only</v>
      </c>
      <c r="D4246" t="str">
        <f>_xlfn.XLOOKUP($A4246,Load!$B:$B,Load!E:E,0,)</f>
        <v>Variety / Mixed Flavors (Fruity, Sour, Seasonal Flavors)</v>
      </c>
      <c r="E4246" t="str">
        <f>_xlfn.XLOOKUP($A4246,Load!$B:$B,Load!F:F,0,)</f>
        <v>Chewy</v>
      </c>
      <c r="F4246" t="str">
        <f>_xlfn.XLOOKUP($A4246,Load!$B:$B,Load!G:G,0,)</f>
        <v>Large Multipack (More than 80 ct)</v>
      </c>
      <c r="G4246" t="str">
        <f>_xlfn.XLOOKUP($A4246,Load!$B:$B,Load!H:H,0,)</f>
        <v>Stand-Up Bag</v>
      </c>
      <c r="H4246" t="str">
        <f>_xlfn.XLOOKUP($A4246,Load!$B:$B,Load!I:I,0,)</f>
        <v>Seasonal Shapes (like pumpkins, candy corn, ghost, bats, etc.)</v>
      </c>
      <c r="I4246" t="str">
        <f>_xlfn.XLOOKUP($A4246,Load!$B:$B,Load!J:J,0,)</f>
        <v>Seasonal Graphics (Like Bat, Ghost, Pumpkin, Fall Leaves, Eyeballs, etc.)</v>
      </c>
      <c r="J4246" t="str">
        <f>_xlfn.XLOOKUP($A4246,Load!$B:$B,Load!K:K,0,)</f>
        <v>Small Pieces (Tiny bite size candies)</v>
      </c>
      <c r="K4246" t="str">
        <f>_xlfn.XLOOKUP($A4246,Load!$B:$B,Load!L:L,0,)</f>
        <v>Regular/Original Wrapping</v>
      </c>
      <c r="L4246" t="str">
        <f>_xlfn.XLOOKUP($A4246,Load!$B:$B,Load!M:M,0,)</f>
        <v>Single Brand / Variety Flavors or Form</v>
      </c>
    </row>
    <row r="4247" spans="1:12" x14ac:dyDescent="0.25">
      <c r="A4247" t="s">
        <v>4</v>
      </c>
      <c r="B4247" t="str">
        <f>_xlfn.XLOOKUP($A4247,Load!$B:$B,Load!C:C,0,)</f>
        <v>Airheads</v>
      </c>
      <c r="C4247" t="str">
        <f>_xlfn.XLOOKUP($A4247,Load!$B:$B,Load!D:D,0,)</f>
        <v>Non-Chocolate Candy Only</v>
      </c>
      <c r="D4247" t="str">
        <f>_xlfn.XLOOKUP($A4247,Load!$B:$B,Load!E:E,0,)</f>
        <v>Variety / Mixed Flavors (Fruity, Sour, Seasonal Flavors)</v>
      </c>
      <c r="E4247" t="str">
        <f>_xlfn.XLOOKUP($A4247,Load!$B:$B,Load!F:F,0,)</f>
        <v>Chewy</v>
      </c>
      <c r="F4247" t="str">
        <f>_xlfn.XLOOKUP($A4247,Load!$B:$B,Load!G:G,0,)</f>
        <v>Large Multipack (More than 80 ct)</v>
      </c>
      <c r="G4247" t="str">
        <f>_xlfn.XLOOKUP($A4247,Load!$B:$B,Load!H:H,0,)</f>
        <v>Box (theatre box, gift box, carton)</v>
      </c>
      <c r="H4247" t="str">
        <f>_xlfn.XLOOKUP($A4247,Load!$B:$B,Load!I:I,0,)</f>
        <v>Everyday Candy Shapes (like Original, Gummy bear, Fruit, Jewels, etc.)</v>
      </c>
      <c r="I4247" t="str">
        <f>_xlfn.XLOOKUP($A4247,Load!$B:$B,Load!J:J,0,)</f>
        <v>Seasonal Graphics (Like Bat, Ghost, Pumpkin, Fall Leaves, Eyeballs, etc.)</v>
      </c>
      <c r="J4247" t="str">
        <f>_xlfn.XLOOKUP($A4247,Load!$B:$B,Load!K:K,0,)</f>
        <v>Fun Size / Treat Size</v>
      </c>
      <c r="K4247" t="str">
        <f>_xlfn.XLOOKUP($A4247,Load!$B:$B,Load!L:L,0,)</f>
        <v>Regular/Original Wrapping</v>
      </c>
      <c r="L4247" t="str">
        <f>_xlfn.XLOOKUP($A4247,Load!$B:$B,Load!M:M,0,)</f>
        <v>Single Brand / Variety Flavors or Form</v>
      </c>
    </row>
    <row r="4248" spans="1:12" x14ac:dyDescent="0.25">
      <c r="A4248" t="s">
        <v>162</v>
      </c>
      <c r="B4248" t="str">
        <f>_xlfn.XLOOKUP($A4248,Load!$B:$B,Load!C:C,0,)</f>
        <v>Jolly Rancher</v>
      </c>
      <c r="C4248" t="str">
        <f>_xlfn.XLOOKUP($A4248,Load!$B:$B,Load!D:D,0,)</f>
        <v>Non-Chocolate Candy Only</v>
      </c>
      <c r="D4248" t="str">
        <f>_xlfn.XLOOKUP($A4248,Load!$B:$B,Load!E:E,0,)</f>
        <v>Variety / Mixed Flavors (Fruity, Sour, Seasonal Flavors)</v>
      </c>
      <c r="E4248" t="str">
        <f>_xlfn.XLOOKUP($A4248,Load!$B:$B,Load!F:F,0,)</f>
        <v>Gummy</v>
      </c>
      <c r="F4248" t="str">
        <f>_xlfn.XLOOKUP($A4248,Load!$B:$B,Load!G:G,0,)</f>
        <v>Single Pack</v>
      </c>
      <c r="G4248" t="str">
        <f>_xlfn.XLOOKUP($A4248,Load!$B:$B,Load!H:H,0,)</f>
        <v>Peg Bag</v>
      </c>
      <c r="H4248" t="str">
        <f>_xlfn.XLOOKUP($A4248,Load!$B:$B,Load!I:I,0,)</f>
        <v>Seasonal Shapes (like pumpkins, candy corn, ghost, bats, etc.)</v>
      </c>
      <c r="I4248" t="str">
        <f>_xlfn.XLOOKUP($A4248,Load!$B:$B,Load!J:J,0,)</f>
        <v>Seasonal Graphics (Like Bat, Ghost, Pumpkin, Fall Leaves, Eyeballs, etc.)</v>
      </c>
      <c r="J4248" t="str">
        <f>_xlfn.XLOOKUP($A4248,Load!$B:$B,Load!K:K,0,)</f>
        <v>Small Pieces (Tiny bite size candies)</v>
      </c>
      <c r="K4248" t="str">
        <f>_xlfn.XLOOKUP($A4248,Load!$B:$B,Load!L:L,0,)</f>
        <v>Unwrapped</v>
      </c>
      <c r="L4248" t="str">
        <f>_xlfn.XLOOKUP($A4248,Load!$B:$B,Load!M:M,0,)</f>
        <v>Single Brand / Variety Flavors or Form</v>
      </c>
    </row>
    <row r="4249" spans="1:12" x14ac:dyDescent="0.25">
      <c r="A4249" t="s">
        <v>297</v>
      </c>
      <c r="B4249" t="str">
        <f>_xlfn.XLOOKUP($A4249,Load!$B:$B,Load!C:C,0,)</f>
        <v>Trolli</v>
      </c>
      <c r="C4249" t="str">
        <f>_xlfn.XLOOKUP($A4249,Load!$B:$B,Load!D:D,0,)</f>
        <v>Non-Chocolate Candy Only</v>
      </c>
      <c r="D4249" t="str">
        <f>_xlfn.XLOOKUP($A4249,Load!$B:$B,Load!E:E,0,)</f>
        <v>Sour</v>
      </c>
      <c r="E4249" t="str">
        <f>_xlfn.XLOOKUP($A4249,Load!$B:$B,Load!F:F,0,)</f>
        <v>Gummy</v>
      </c>
      <c r="F4249" t="str">
        <f>_xlfn.XLOOKUP($A4249,Load!$B:$B,Load!G:G,0,)</f>
        <v>Small Multipack (Less than 40 ct)</v>
      </c>
      <c r="G4249" t="str">
        <f>_xlfn.XLOOKUP($A4249,Load!$B:$B,Load!H:H,0,)</f>
        <v>Peg Bag</v>
      </c>
      <c r="H4249" t="str">
        <f>_xlfn.XLOOKUP($A4249,Load!$B:$B,Load!I:I,0,)</f>
        <v>Everyday Candy Shapes (like Original, Gummy bear, Fruit, Jewels, etc.)</v>
      </c>
      <c r="I4249" t="str">
        <f>_xlfn.XLOOKUP($A4249,Load!$B:$B,Load!J:J,0,)</f>
        <v>Everyday Graphics</v>
      </c>
      <c r="J4249" t="str">
        <f>_xlfn.XLOOKUP($A4249,Load!$B:$B,Load!K:K,0,)</f>
        <v>Fun Size / Treat Size</v>
      </c>
      <c r="K4249" t="str">
        <f>_xlfn.XLOOKUP($A4249,Load!$B:$B,Load!L:L,0,)</f>
        <v>Unwrapped</v>
      </c>
      <c r="L4249" t="str">
        <f>_xlfn.XLOOKUP($A4249,Load!$B:$B,Load!M:M,0,)</f>
        <v>Single Brand / Variety Flavors or Form</v>
      </c>
    </row>
    <row r="4250" spans="1:12" x14ac:dyDescent="0.25">
      <c r="A4250" t="s">
        <v>66</v>
      </c>
      <c r="B4250" t="str">
        <f>_xlfn.XLOOKUP($A4250,Load!$B:$B,Load!C:C,0,)</f>
        <v>Dots</v>
      </c>
      <c r="C4250" t="str">
        <f>_xlfn.XLOOKUP($A4250,Load!$B:$B,Load!D:D,0,)</f>
        <v>Non-Chocolate Candy Only</v>
      </c>
      <c r="D4250" t="str">
        <f>_xlfn.XLOOKUP($A4250,Load!$B:$B,Load!E:E,0,)</f>
        <v>Variety / Mixed Flavors (Fruity, Sour, Seasonal Flavors)</v>
      </c>
      <c r="E4250" t="str">
        <f>_xlfn.XLOOKUP($A4250,Load!$B:$B,Load!F:F,0,)</f>
        <v>Candy Pieces / Bites</v>
      </c>
      <c r="F4250" t="str">
        <f>_xlfn.XLOOKUP($A4250,Load!$B:$B,Load!G:G,0,)</f>
        <v>Small Multipack (Less than 40 ct)</v>
      </c>
      <c r="G4250" t="str">
        <f>_xlfn.XLOOKUP($A4250,Load!$B:$B,Load!H:H,0,)</f>
        <v>Stand-Up Bag</v>
      </c>
      <c r="H4250" t="str">
        <f>_xlfn.XLOOKUP($A4250,Load!$B:$B,Load!I:I,0,)</f>
        <v>Seasonal Shapes (like pumpkins, candy corn, ghost, bats, etc.)</v>
      </c>
      <c r="I4250" t="str">
        <f>_xlfn.XLOOKUP($A4250,Load!$B:$B,Load!J:J,0,)</f>
        <v>Seasonal Graphics (Like Bat, Ghost, Pumpkin, Fall Leaves, Eyeballs, etc.)</v>
      </c>
      <c r="J4250" t="str">
        <f>_xlfn.XLOOKUP($A4250,Load!$B:$B,Load!K:K,0,)</f>
        <v>Fun Size / Treat Size</v>
      </c>
      <c r="K4250" t="str">
        <f>_xlfn.XLOOKUP($A4250,Load!$B:$B,Load!L:L,0,)</f>
        <v>Regular/Original Wrapping</v>
      </c>
      <c r="L4250" t="str">
        <f>_xlfn.XLOOKUP($A4250,Load!$B:$B,Load!M:M,0,)</f>
        <v>Single Brand / Variety Flavors or Form</v>
      </c>
    </row>
    <row r="4251" spans="1:12" x14ac:dyDescent="0.25">
      <c r="A4251" t="s">
        <v>471</v>
      </c>
      <c r="B4251" t="str">
        <f>_xlfn.XLOOKUP($A4251,Load!$B:$B,Load!C:C,0,)</f>
        <v>Airheads</v>
      </c>
      <c r="C4251" t="str">
        <f>_xlfn.XLOOKUP($A4251,Load!$B:$B,Load!D:D,0,)</f>
        <v>Non-Chocolate Candy Only</v>
      </c>
      <c r="D4251" t="str">
        <f>_xlfn.XLOOKUP($A4251,Load!$B:$B,Load!E:E,0,)</f>
        <v>Fruit Flavor (Cherry, Grape, Apple, Citrus, Tropical Fruit)</v>
      </c>
      <c r="E4251" t="str">
        <f>_xlfn.XLOOKUP($A4251,Load!$B:$B,Load!F:F,0,)</f>
        <v>Candy Pieces / Bites</v>
      </c>
      <c r="F4251" t="str">
        <f>_xlfn.XLOOKUP($A4251,Load!$B:$B,Load!G:G,0,)</f>
        <v>Small Multipack (Less than 40 ct)</v>
      </c>
      <c r="G4251" t="str">
        <f>_xlfn.XLOOKUP($A4251,Load!$B:$B,Load!H:H,0,)</f>
        <v>Box (theatre box, gift box, carton)</v>
      </c>
      <c r="H4251" t="str">
        <f>_xlfn.XLOOKUP($A4251,Load!$B:$B,Load!I:I,0,)</f>
        <v>Everyday Candy Shapes (like Original, Gummy bear, Fruit, Jewels, etc.)</v>
      </c>
      <c r="I4251" t="str">
        <f>_xlfn.XLOOKUP($A4251,Load!$B:$B,Load!J:J,0,)</f>
        <v>Everyday Graphics</v>
      </c>
      <c r="J4251" t="str">
        <f>_xlfn.XLOOKUP($A4251,Load!$B:$B,Load!K:K,0,)</f>
        <v>Small Pieces (Tiny bite size candies)</v>
      </c>
      <c r="K4251" t="str">
        <f>_xlfn.XLOOKUP($A4251,Load!$B:$B,Load!L:L,0,)</f>
        <v>Regular/Original Wrapping</v>
      </c>
      <c r="L4251" t="str">
        <f>_xlfn.XLOOKUP($A4251,Load!$B:$B,Load!M:M,0,)</f>
        <v>Single Brand / Variety Flavors or Form</v>
      </c>
    </row>
    <row r="4252" spans="1:12" x14ac:dyDescent="0.25">
      <c r="A4252" t="s">
        <v>178</v>
      </c>
      <c r="B4252" t="str">
        <f>_xlfn.XLOOKUP($A4252,Load!$B:$B,Load!C:C,0,)</f>
        <v>Mars Variety Pack</v>
      </c>
      <c r="C4252" t="str">
        <f>_xlfn.XLOOKUP($A4252,Load!$B:$B,Load!D:D,0,)</f>
        <v>Mix of Chocolate and Non-Chocolate Candy</v>
      </c>
      <c r="D4252" t="str">
        <f>_xlfn.XLOOKUP($A4252,Load!$B:$B,Load!E:E,0,)</f>
        <v>Variety / Mixed Flavors (Fruity, Sour, Seasonal Flavors)</v>
      </c>
      <c r="E4252" t="str">
        <f>_xlfn.XLOOKUP($A4252,Load!$B:$B,Load!F:F,0,)</f>
        <v>Mixed / Combo Packs (Gummy, Chewy, Taffy, etc.)</v>
      </c>
      <c r="F4252" t="str">
        <f>_xlfn.XLOOKUP($A4252,Load!$B:$B,Load!G:G,0,)</f>
        <v>Small Multipack (Less than 40 ct)</v>
      </c>
      <c r="G4252" t="str">
        <f>_xlfn.XLOOKUP($A4252,Load!$B:$B,Load!H:H,0,)</f>
        <v>Laydown Bag</v>
      </c>
      <c r="H4252" t="str">
        <f>_xlfn.XLOOKUP($A4252,Load!$B:$B,Load!I:I,0,)</f>
        <v>Everyday Candy Shapes (like Original, Gummy bear, Fruit, Jewels, etc.)</v>
      </c>
      <c r="I4252" t="str">
        <f>_xlfn.XLOOKUP($A4252,Load!$B:$B,Load!J:J,0,)</f>
        <v>Seasonal Graphics (Like Bat, Ghost, Pumpkin, Fall Leaves, Eyeballs, etc.)</v>
      </c>
      <c r="J4252" t="str">
        <f>_xlfn.XLOOKUP($A4252,Load!$B:$B,Load!K:K,0,)</f>
        <v xml:space="preserve">Variety Candy Sizes </v>
      </c>
      <c r="K4252" t="str">
        <f>_xlfn.XLOOKUP($A4252,Load!$B:$B,Load!L:L,0,)</f>
        <v>Regular/Original Wrapping</v>
      </c>
      <c r="L4252" t="str">
        <f>_xlfn.XLOOKUP($A4252,Load!$B:$B,Load!M:M,0,)</f>
        <v>Multiple Brands / Variety Flavors or Form</v>
      </c>
    </row>
    <row r="4253" spans="1:12" x14ac:dyDescent="0.25">
      <c r="B4253">
        <f>_xlfn.XLOOKUP($A4253,Load!$B:$B,Load!C:C,0,)</f>
        <v>0</v>
      </c>
      <c r="C4253">
        <f>_xlfn.XLOOKUP($A4253,Load!$B:$B,Load!D:D,0,)</f>
        <v>0</v>
      </c>
      <c r="D4253">
        <f>_xlfn.XLOOKUP($A4253,Load!$B:$B,Load!E:E,0,)</f>
        <v>0</v>
      </c>
      <c r="E4253">
        <f>_xlfn.XLOOKUP($A4253,Load!$B:$B,Load!F:F,0,)</f>
        <v>0</v>
      </c>
      <c r="F4253">
        <f>_xlfn.XLOOKUP($A4253,Load!$B:$B,Load!G:G,0,)</f>
        <v>0</v>
      </c>
      <c r="G4253">
        <f>_xlfn.XLOOKUP($A4253,Load!$B:$B,Load!H:H,0,)</f>
        <v>0</v>
      </c>
      <c r="H4253">
        <f>_xlfn.XLOOKUP($A4253,Load!$B:$B,Load!I:I,0,)</f>
        <v>0</v>
      </c>
      <c r="I4253">
        <f>_xlfn.XLOOKUP($A4253,Load!$B:$B,Load!J:J,0,)</f>
        <v>0</v>
      </c>
      <c r="J4253">
        <f>_xlfn.XLOOKUP($A4253,Load!$B:$B,Load!K:K,0,)</f>
        <v>0</v>
      </c>
      <c r="K4253">
        <f>_xlfn.XLOOKUP($A4253,Load!$B:$B,Load!L:L,0,)</f>
        <v>0</v>
      </c>
      <c r="L4253">
        <f>_xlfn.XLOOKUP($A4253,Load!$B:$B,Load!M:M,0,)</f>
        <v>0</v>
      </c>
    </row>
    <row r="4254" spans="1:12" x14ac:dyDescent="0.25">
      <c r="A4254" t="s">
        <v>165</v>
      </c>
      <c r="B4254" t="str">
        <f>_xlfn.XLOOKUP($A4254,Load!$B:$B,Load!C:C,0,)</f>
        <v>JOYRIDE</v>
      </c>
      <c r="C4254" t="str">
        <f>_xlfn.XLOOKUP($A4254,Load!$B:$B,Load!D:D,0,)</f>
        <v>Non-Chocolate Candy Only</v>
      </c>
      <c r="D4254" t="str">
        <f>_xlfn.XLOOKUP($A4254,Load!$B:$B,Load!E:E,0,)</f>
        <v>Sour</v>
      </c>
      <c r="E4254" t="str">
        <f>_xlfn.XLOOKUP($A4254,Load!$B:$B,Load!F:F,0,)</f>
        <v>Chewy</v>
      </c>
      <c r="F4254" t="str">
        <f>_xlfn.XLOOKUP($A4254,Load!$B:$B,Load!G:G,0,)</f>
        <v>Single Pack</v>
      </c>
      <c r="G4254" t="str">
        <f>_xlfn.XLOOKUP($A4254,Load!$B:$B,Load!H:H,0,)</f>
        <v>Peg Bag</v>
      </c>
      <c r="H4254" t="str">
        <f>_xlfn.XLOOKUP($A4254,Load!$B:$B,Load!I:I,0,)</f>
        <v>Seasonal Shapes (like pumpkins, candy corn, ghost, bats, etc.)</v>
      </c>
      <c r="I4254" t="str">
        <f>_xlfn.XLOOKUP($A4254,Load!$B:$B,Load!J:J,0,)</f>
        <v>Seasonal Graphics (Like Bat, Ghost, Pumpkin, Fall Leaves, Eyeballs, etc.)</v>
      </c>
      <c r="J4254" t="str">
        <f>_xlfn.XLOOKUP($A4254,Load!$B:$B,Load!K:K,0,)</f>
        <v>Small Pieces (Tiny bite size candies)</v>
      </c>
      <c r="K4254" t="str">
        <f>_xlfn.XLOOKUP($A4254,Load!$B:$B,Load!L:L,0,)</f>
        <v>Regular/Original Wrapping</v>
      </c>
      <c r="L4254" t="str">
        <f>_xlfn.XLOOKUP($A4254,Load!$B:$B,Load!M:M,0,)</f>
        <v>Single Brand / Single Flavor or Form</v>
      </c>
    </row>
    <row r="4255" spans="1:12" x14ac:dyDescent="0.25">
      <c r="A4255" t="s">
        <v>164</v>
      </c>
      <c r="B4255" t="str">
        <f>_xlfn.XLOOKUP($A4255,Load!$B:$B,Load!C:C,0,)</f>
        <v>JOYRIDE</v>
      </c>
      <c r="C4255" t="str">
        <f>_xlfn.XLOOKUP($A4255,Load!$B:$B,Load!D:D,0,)</f>
        <v>Non-Chocolate Candy Only</v>
      </c>
      <c r="D4255" t="str">
        <f>_xlfn.XLOOKUP($A4255,Load!$B:$B,Load!E:E,0,)</f>
        <v>Sour</v>
      </c>
      <c r="E4255" t="str">
        <f>_xlfn.XLOOKUP($A4255,Load!$B:$B,Load!F:F,0,)</f>
        <v>Chewy</v>
      </c>
      <c r="F4255" t="str">
        <f>_xlfn.XLOOKUP($A4255,Load!$B:$B,Load!G:G,0,)</f>
        <v>Single Pack</v>
      </c>
      <c r="G4255" t="str">
        <f>_xlfn.XLOOKUP($A4255,Load!$B:$B,Load!H:H,0,)</f>
        <v>Peg Bag</v>
      </c>
      <c r="H4255" t="str">
        <f>_xlfn.XLOOKUP($A4255,Load!$B:$B,Load!I:I,0,)</f>
        <v>Everyday Candy Shapes (like Original, Gummy bear, Fruit, Jewels, etc.)</v>
      </c>
      <c r="I4255" t="str">
        <f>_xlfn.XLOOKUP($A4255,Load!$B:$B,Load!J:J,0,)</f>
        <v>Seasonal Graphics (Like Bat, Ghost, Pumpkin, Fall Leaves, Eyeballs, etc.)</v>
      </c>
      <c r="J4255" t="str">
        <f>_xlfn.XLOOKUP($A4255,Load!$B:$B,Load!K:K,0,)</f>
        <v>Small Pieces (Tiny bite size candies)</v>
      </c>
      <c r="K4255" t="str">
        <f>_xlfn.XLOOKUP($A4255,Load!$B:$B,Load!L:L,0,)</f>
        <v>Regular/Original Wrapping</v>
      </c>
      <c r="L4255" t="str">
        <f>_xlfn.XLOOKUP($A4255,Load!$B:$B,Load!M:M,0,)</f>
        <v>Single Brand / Single Flavor or Form</v>
      </c>
    </row>
    <row r="4256" spans="1:12" x14ac:dyDescent="0.25">
      <c r="A4256" t="s">
        <v>162</v>
      </c>
      <c r="B4256" t="str">
        <f>_xlfn.XLOOKUP($A4256,Load!$B:$B,Load!C:C,0,)</f>
        <v>Jolly Rancher</v>
      </c>
      <c r="C4256" t="str">
        <f>_xlfn.XLOOKUP($A4256,Load!$B:$B,Load!D:D,0,)</f>
        <v>Non-Chocolate Candy Only</v>
      </c>
      <c r="D4256" t="str">
        <f>_xlfn.XLOOKUP($A4256,Load!$B:$B,Load!E:E,0,)</f>
        <v>Variety / Mixed Flavors (Fruity, Sour, Seasonal Flavors)</v>
      </c>
      <c r="E4256" t="str">
        <f>_xlfn.XLOOKUP($A4256,Load!$B:$B,Load!F:F,0,)</f>
        <v>Gummy</v>
      </c>
      <c r="F4256" t="str">
        <f>_xlfn.XLOOKUP($A4256,Load!$B:$B,Load!G:G,0,)</f>
        <v>Single Pack</v>
      </c>
      <c r="G4256" t="str">
        <f>_xlfn.XLOOKUP($A4256,Load!$B:$B,Load!H:H,0,)</f>
        <v>Peg Bag</v>
      </c>
      <c r="H4256" t="str">
        <f>_xlfn.XLOOKUP($A4256,Load!$B:$B,Load!I:I,0,)</f>
        <v>Seasonal Shapes (like pumpkins, candy corn, ghost, bats, etc.)</v>
      </c>
      <c r="I4256" t="str">
        <f>_xlfn.XLOOKUP($A4256,Load!$B:$B,Load!J:J,0,)</f>
        <v>Seasonal Graphics (Like Bat, Ghost, Pumpkin, Fall Leaves, Eyeballs, etc.)</v>
      </c>
      <c r="J4256" t="str">
        <f>_xlfn.XLOOKUP($A4256,Load!$B:$B,Load!K:K,0,)</f>
        <v>Small Pieces (Tiny bite size candies)</v>
      </c>
      <c r="K4256" t="str">
        <f>_xlfn.XLOOKUP($A4256,Load!$B:$B,Load!L:L,0,)</f>
        <v>Unwrapped</v>
      </c>
      <c r="L4256" t="str">
        <f>_xlfn.XLOOKUP($A4256,Load!$B:$B,Load!M:M,0,)</f>
        <v>Single Brand / Variety Flavors or Form</v>
      </c>
    </row>
    <row r="4257" spans="1:12" x14ac:dyDescent="0.25">
      <c r="A4257" t="s">
        <v>158</v>
      </c>
      <c r="B4257" t="str">
        <f>_xlfn.XLOOKUP($A4257,Load!$B:$B,Load!C:C,0,)</f>
        <v>Jolly Rancher</v>
      </c>
      <c r="C4257" t="str">
        <f>_xlfn.XLOOKUP($A4257,Load!$B:$B,Load!D:D,0,)</f>
        <v>Non-Chocolate Candy Only</v>
      </c>
      <c r="D4257" t="str">
        <f>_xlfn.XLOOKUP($A4257,Load!$B:$B,Load!E:E,0,)</f>
        <v>Sweet</v>
      </c>
      <c r="E4257" t="str">
        <f>_xlfn.XLOOKUP($A4257,Load!$B:$B,Load!F:F,0,)</f>
        <v>Hard Candy</v>
      </c>
      <c r="F4257" t="str">
        <f>_xlfn.XLOOKUP($A4257,Load!$B:$B,Load!G:G,0,)</f>
        <v>Single Pack</v>
      </c>
      <c r="G4257" t="str">
        <f>_xlfn.XLOOKUP($A4257,Load!$B:$B,Load!H:H,0,)</f>
        <v>Peg Bag</v>
      </c>
      <c r="H4257" t="str">
        <f>_xlfn.XLOOKUP($A4257,Load!$B:$B,Load!I:I,0,)</f>
        <v>Everyday Candy Shapes (like Original, Gummy bear, Fruit, Jewels, etc.)</v>
      </c>
      <c r="I4257" t="str">
        <f>_xlfn.XLOOKUP($A4257,Load!$B:$B,Load!J:J,0,)</f>
        <v>Everyday Graphics</v>
      </c>
      <c r="J4257" t="str">
        <f>_xlfn.XLOOKUP($A4257,Load!$B:$B,Load!K:K,0,)</f>
        <v>Small Pieces (Tiny bite size candies)</v>
      </c>
      <c r="K4257" t="str">
        <f>_xlfn.XLOOKUP($A4257,Load!$B:$B,Load!L:L,0,)</f>
        <v>Regular/Original Wrapping</v>
      </c>
      <c r="L4257" t="str">
        <f>_xlfn.XLOOKUP($A4257,Load!$B:$B,Load!M:M,0,)</f>
        <v>Single Brand / Variety Flavors or Form</v>
      </c>
    </row>
    <row r="4258" spans="1:12" x14ac:dyDescent="0.25">
      <c r="B4258">
        <f>_xlfn.XLOOKUP($A4258,Load!$B:$B,Load!C:C,0,)</f>
        <v>0</v>
      </c>
      <c r="C4258">
        <f>_xlfn.XLOOKUP($A4258,Load!$B:$B,Load!D:D,0,)</f>
        <v>0</v>
      </c>
      <c r="D4258">
        <f>_xlfn.XLOOKUP($A4258,Load!$B:$B,Load!E:E,0,)</f>
        <v>0</v>
      </c>
      <c r="E4258">
        <f>_xlfn.XLOOKUP($A4258,Load!$B:$B,Load!F:F,0,)</f>
        <v>0</v>
      </c>
      <c r="F4258">
        <f>_xlfn.XLOOKUP($A4258,Load!$B:$B,Load!G:G,0,)</f>
        <v>0</v>
      </c>
      <c r="G4258">
        <f>_xlfn.XLOOKUP($A4258,Load!$B:$B,Load!H:H,0,)</f>
        <v>0</v>
      </c>
      <c r="H4258">
        <f>_xlfn.XLOOKUP($A4258,Load!$B:$B,Load!I:I,0,)</f>
        <v>0</v>
      </c>
      <c r="I4258">
        <f>_xlfn.XLOOKUP($A4258,Load!$B:$B,Load!J:J,0,)</f>
        <v>0</v>
      </c>
      <c r="J4258">
        <f>_xlfn.XLOOKUP($A4258,Load!$B:$B,Load!K:K,0,)</f>
        <v>0</v>
      </c>
      <c r="K4258">
        <f>_xlfn.XLOOKUP($A4258,Load!$B:$B,Load!L:L,0,)</f>
        <v>0</v>
      </c>
      <c r="L4258">
        <f>_xlfn.XLOOKUP($A4258,Load!$B:$B,Load!M:M,0,)</f>
        <v>0</v>
      </c>
    </row>
    <row r="4259" spans="1:12" x14ac:dyDescent="0.25">
      <c r="B4259">
        <f>_xlfn.XLOOKUP($A4259,Load!$B:$B,Load!C:C,0,)</f>
        <v>0</v>
      </c>
      <c r="C4259">
        <f>_xlfn.XLOOKUP($A4259,Load!$B:$B,Load!D:D,0,)</f>
        <v>0</v>
      </c>
      <c r="D4259">
        <f>_xlfn.XLOOKUP($A4259,Load!$B:$B,Load!E:E,0,)</f>
        <v>0</v>
      </c>
      <c r="E4259">
        <f>_xlfn.XLOOKUP($A4259,Load!$B:$B,Load!F:F,0,)</f>
        <v>0</v>
      </c>
      <c r="F4259">
        <f>_xlfn.XLOOKUP($A4259,Load!$B:$B,Load!G:G,0,)</f>
        <v>0</v>
      </c>
      <c r="G4259">
        <f>_xlfn.XLOOKUP($A4259,Load!$B:$B,Load!H:H,0,)</f>
        <v>0</v>
      </c>
      <c r="H4259">
        <f>_xlfn.XLOOKUP($A4259,Load!$B:$B,Load!I:I,0,)</f>
        <v>0</v>
      </c>
      <c r="I4259">
        <f>_xlfn.XLOOKUP($A4259,Load!$B:$B,Load!J:J,0,)</f>
        <v>0</v>
      </c>
      <c r="J4259">
        <f>_xlfn.XLOOKUP($A4259,Load!$B:$B,Load!K:K,0,)</f>
        <v>0</v>
      </c>
      <c r="K4259">
        <f>_xlfn.XLOOKUP($A4259,Load!$B:$B,Load!L:L,0,)</f>
        <v>0</v>
      </c>
      <c r="L4259">
        <f>_xlfn.XLOOKUP($A4259,Load!$B:$B,Load!M:M,0,)</f>
        <v>0</v>
      </c>
    </row>
    <row r="4260" spans="1:12" x14ac:dyDescent="0.25">
      <c r="A4260" t="s">
        <v>134</v>
      </c>
      <c r="B4260" t="str">
        <f>_xlfn.XLOOKUP($A4260,Load!$B:$B,Load!C:C,0,)</f>
        <v>Hershey's Variety Pack</v>
      </c>
      <c r="C4260" t="str">
        <f>_xlfn.XLOOKUP($A4260,Load!$B:$B,Load!D:D,0,)</f>
        <v>Non-Chocolate Candy Only</v>
      </c>
      <c r="D4260" t="str">
        <f>_xlfn.XLOOKUP($A4260,Load!$B:$B,Load!E:E,0,)</f>
        <v>Variety / Mixed Flavors (Fruity, Sour, Seasonal Flavors)</v>
      </c>
      <c r="E4260" t="str">
        <f>_xlfn.XLOOKUP($A4260,Load!$B:$B,Load!F:F,0,)</f>
        <v>Mixed / Combo Packs (Gummy, Chewy, Taffy, etc.)</v>
      </c>
      <c r="F4260" t="str">
        <f>_xlfn.XLOOKUP($A4260,Load!$B:$B,Load!G:G,0,)</f>
        <v>Large Multipack (More than 80 ct)</v>
      </c>
      <c r="G4260" t="str">
        <f>_xlfn.XLOOKUP($A4260,Load!$B:$B,Load!H:H,0,)</f>
        <v>Stand-Up Bag</v>
      </c>
      <c r="H4260" t="str">
        <f>_xlfn.XLOOKUP($A4260,Load!$B:$B,Load!I:I,0,)</f>
        <v>Everyday Candy Shapes (like Original, Gummy bear, Fruit, Jewels, etc.)</v>
      </c>
      <c r="I4260" t="str">
        <f>_xlfn.XLOOKUP($A4260,Load!$B:$B,Load!J:J,0,)</f>
        <v>Seasonal Graphics (Like Bat, Ghost, Pumpkin, Fall Leaves, Eyeballs, etc.)</v>
      </c>
      <c r="J4260" t="str">
        <f>_xlfn.XLOOKUP($A4260,Load!$B:$B,Load!K:K,0,)</f>
        <v xml:space="preserve">Variety Candy Sizes </v>
      </c>
      <c r="K4260" t="str">
        <f>_xlfn.XLOOKUP($A4260,Load!$B:$B,Load!L:L,0,)</f>
        <v>Regular/Original Wrapping</v>
      </c>
      <c r="L4260" t="str">
        <f>_xlfn.XLOOKUP($A4260,Load!$B:$B,Load!M:M,0,)</f>
        <v>Multiple Brands / Variety Flavors or Form</v>
      </c>
    </row>
    <row r="4261" spans="1:12" x14ac:dyDescent="0.25">
      <c r="A4261" t="s">
        <v>175</v>
      </c>
      <c r="B4261" t="str">
        <f>_xlfn.XLOOKUP($A4261,Load!$B:$B,Load!C:C,0,)</f>
        <v>Mars Variety Pack</v>
      </c>
      <c r="C4261" t="str">
        <f>_xlfn.XLOOKUP($A4261,Load!$B:$B,Load!D:D,0,)</f>
        <v>Mix of Chocolate and Non-Chocolate Candy</v>
      </c>
      <c r="D4261" t="str">
        <f>_xlfn.XLOOKUP($A4261,Load!$B:$B,Load!E:E,0,)</f>
        <v>Variety / Mixed Flavors (Fruity, Sour, Seasonal Flavors)</v>
      </c>
      <c r="E4261" t="str">
        <f>_xlfn.XLOOKUP($A4261,Load!$B:$B,Load!F:F,0,)</f>
        <v>Mixed / Combo Packs (Gummy, Chewy, Taffy, etc.)</v>
      </c>
      <c r="F4261" t="str">
        <f>_xlfn.XLOOKUP($A4261,Load!$B:$B,Load!G:G,0,)</f>
        <v>Large Multipack (More than 80 ct)</v>
      </c>
      <c r="G4261" t="str">
        <f>_xlfn.XLOOKUP($A4261,Load!$B:$B,Load!H:H,0,)</f>
        <v>Stand-Up Bag</v>
      </c>
      <c r="H4261" t="str">
        <f>_xlfn.XLOOKUP($A4261,Load!$B:$B,Load!I:I,0,)</f>
        <v>Everyday Candy Shapes (like Original, Gummy bear, Fruit, Jewels, etc.)</v>
      </c>
      <c r="I4261" t="str">
        <f>_xlfn.XLOOKUP($A4261,Load!$B:$B,Load!J:J,0,)</f>
        <v>Seasonal Graphics (Like Bat, Ghost, Pumpkin, Fall Leaves, Eyeballs, etc.)</v>
      </c>
      <c r="J4261" t="str">
        <f>_xlfn.XLOOKUP($A4261,Load!$B:$B,Load!K:K,0,)</f>
        <v xml:space="preserve">Variety Candy Sizes </v>
      </c>
      <c r="K4261" t="str">
        <f>_xlfn.XLOOKUP($A4261,Load!$B:$B,Load!L:L,0,)</f>
        <v>Regular/Original Wrapping</v>
      </c>
      <c r="L4261" t="str">
        <f>_xlfn.XLOOKUP($A4261,Load!$B:$B,Load!M:M,0,)</f>
        <v>Multiple Brands / Variety Flavors or Form</v>
      </c>
    </row>
    <row r="4262" spans="1:12" x14ac:dyDescent="0.25">
      <c r="B4262">
        <f>_xlfn.XLOOKUP($A4262,Load!$B:$B,Load!C:C,0,)</f>
        <v>0</v>
      </c>
      <c r="C4262">
        <f>_xlfn.XLOOKUP($A4262,Load!$B:$B,Load!D:D,0,)</f>
        <v>0</v>
      </c>
      <c r="D4262">
        <f>_xlfn.XLOOKUP($A4262,Load!$B:$B,Load!E:E,0,)</f>
        <v>0</v>
      </c>
      <c r="E4262">
        <f>_xlfn.XLOOKUP($A4262,Load!$B:$B,Load!F:F,0,)</f>
        <v>0</v>
      </c>
      <c r="F4262">
        <f>_xlfn.XLOOKUP($A4262,Load!$B:$B,Load!G:G,0,)</f>
        <v>0</v>
      </c>
      <c r="G4262">
        <f>_xlfn.XLOOKUP($A4262,Load!$B:$B,Load!H:H,0,)</f>
        <v>0</v>
      </c>
      <c r="H4262">
        <f>_xlfn.XLOOKUP($A4262,Load!$B:$B,Load!I:I,0,)</f>
        <v>0</v>
      </c>
      <c r="I4262">
        <f>_xlfn.XLOOKUP($A4262,Load!$B:$B,Load!J:J,0,)</f>
        <v>0</v>
      </c>
      <c r="J4262">
        <f>_xlfn.XLOOKUP($A4262,Load!$B:$B,Load!K:K,0,)</f>
        <v>0</v>
      </c>
      <c r="K4262">
        <f>_xlfn.XLOOKUP($A4262,Load!$B:$B,Load!L:L,0,)</f>
        <v>0</v>
      </c>
      <c r="L4262">
        <f>_xlfn.XLOOKUP($A4262,Load!$B:$B,Load!M:M,0,)</f>
        <v>0</v>
      </c>
    </row>
    <row r="4263" spans="1:12" x14ac:dyDescent="0.25">
      <c r="B4263">
        <f>_xlfn.XLOOKUP($A4263,Load!$B:$B,Load!C:C,0,)</f>
        <v>0</v>
      </c>
      <c r="C4263">
        <f>_xlfn.XLOOKUP($A4263,Load!$B:$B,Load!D:D,0,)</f>
        <v>0</v>
      </c>
      <c r="D4263">
        <f>_xlfn.XLOOKUP($A4263,Load!$B:$B,Load!E:E,0,)</f>
        <v>0</v>
      </c>
      <c r="E4263">
        <f>_xlfn.XLOOKUP($A4263,Load!$B:$B,Load!F:F,0,)</f>
        <v>0</v>
      </c>
      <c r="F4263">
        <f>_xlfn.XLOOKUP($A4263,Load!$B:$B,Load!G:G,0,)</f>
        <v>0</v>
      </c>
      <c r="G4263">
        <f>_xlfn.XLOOKUP($A4263,Load!$B:$B,Load!H:H,0,)</f>
        <v>0</v>
      </c>
      <c r="H4263">
        <f>_xlfn.XLOOKUP($A4263,Load!$B:$B,Load!I:I,0,)</f>
        <v>0</v>
      </c>
      <c r="I4263">
        <f>_xlfn.XLOOKUP($A4263,Load!$B:$B,Load!J:J,0,)</f>
        <v>0</v>
      </c>
      <c r="J4263">
        <f>_xlfn.XLOOKUP($A4263,Load!$B:$B,Load!K:K,0,)</f>
        <v>0</v>
      </c>
      <c r="K4263">
        <f>_xlfn.XLOOKUP($A4263,Load!$B:$B,Load!L:L,0,)</f>
        <v>0</v>
      </c>
      <c r="L4263">
        <f>_xlfn.XLOOKUP($A4263,Load!$B:$B,Load!M:M,0,)</f>
        <v>0</v>
      </c>
    </row>
    <row r="4264" spans="1:12" x14ac:dyDescent="0.25">
      <c r="A4264" t="s">
        <v>66</v>
      </c>
      <c r="B4264" t="str">
        <f>_xlfn.XLOOKUP($A4264,Load!$B:$B,Load!C:C,0,)</f>
        <v>Dots</v>
      </c>
      <c r="C4264" t="str">
        <f>_xlfn.XLOOKUP($A4264,Load!$B:$B,Load!D:D,0,)</f>
        <v>Non-Chocolate Candy Only</v>
      </c>
      <c r="D4264" t="str">
        <f>_xlfn.XLOOKUP($A4264,Load!$B:$B,Load!E:E,0,)</f>
        <v>Variety / Mixed Flavors (Fruity, Sour, Seasonal Flavors)</v>
      </c>
      <c r="E4264" t="str">
        <f>_xlfn.XLOOKUP($A4264,Load!$B:$B,Load!F:F,0,)</f>
        <v>Candy Pieces / Bites</v>
      </c>
      <c r="F4264" t="str">
        <f>_xlfn.XLOOKUP($A4264,Load!$B:$B,Load!G:G,0,)</f>
        <v>Small Multipack (Less than 40 ct)</v>
      </c>
      <c r="G4264" t="str">
        <f>_xlfn.XLOOKUP($A4264,Load!$B:$B,Load!H:H,0,)</f>
        <v>Stand-Up Bag</v>
      </c>
      <c r="H4264" t="str">
        <f>_xlfn.XLOOKUP($A4264,Load!$B:$B,Load!I:I,0,)</f>
        <v>Seasonal Shapes (like pumpkins, candy corn, ghost, bats, etc.)</v>
      </c>
      <c r="I4264" t="str">
        <f>_xlfn.XLOOKUP($A4264,Load!$B:$B,Load!J:J,0,)</f>
        <v>Seasonal Graphics (Like Bat, Ghost, Pumpkin, Fall Leaves, Eyeballs, etc.)</v>
      </c>
      <c r="J4264" t="str">
        <f>_xlfn.XLOOKUP($A4264,Load!$B:$B,Load!K:K,0,)</f>
        <v>Fun Size / Treat Size</v>
      </c>
      <c r="K4264" t="str">
        <f>_xlfn.XLOOKUP($A4264,Load!$B:$B,Load!L:L,0,)</f>
        <v>Regular/Original Wrapping</v>
      </c>
      <c r="L4264" t="str">
        <f>_xlfn.XLOOKUP($A4264,Load!$B:$B,Load!M:M,0,)</f>
        <v>Single Brand / Variety Flavors or Form</v>
      </c>
    </row>
    <row r="4265" spans="1:12" x14ac:dyDescent="0.25">
      <c r="B4265">
        <f>_xlfn.XLOOKUP($A4265,Load!$B:$B,Load!C:C,0,)</f>
        <v>0</v>
      </c>
      <c r="C4265">
        <f>_xlfn.XLOOKUP($A4265,Load!$B:$B,Load!D:D,0,)</f>
        <v>0</v>
      </c>
      <c r="D4265">
        <f>_xlfn.XLOOKUP($A4265,Load!$B:$B,Load!E:E,0,)</f>
        <v>0</v>
      </c>
      <c r="E4265">
        <f>_xlfn.XLOOKUP($A4265,Load!$B:$B,Load!F:F,0,)</f>
        <v>0</v>
      </c>
      <c r="F4265">
        <f>_xlfn.XLOOKUP($A4265,Load!$B:$B,Load!G:G,0,)</f>
        <v>0</v>
      </c>
      <c r="G4265">
        <f>_xlfn.XLOOKUP($A4265,Load!$B:$B,Load!H:H,0,)</f>
        <v>0</v>
      </c>
      <c r="H4265">
        <f>_xlfn.XLOOKUP($A4265,Load!$B:$B,Load!I:I,0,)</f>
        <v>0</v>
      </c>
      <c r="I4265">
        <f>_xlfn.XLOOKUP($A4265,Load!$B:$B,Load!J:J,0,)</f>
        <v>0</v>
      </c>
      <c r="J4265">
        <f>_xlfn.XLOOKUP($A4265,Load!$B:$B,Load!K:K,0,)</f>
        <v>0</v>
      </c>
      <c r="K4265">
        <f>_xlfn.XLOOKUP($A4265,Load!$B:$B,Load!L:L,0,)</f>
        <v>0</v>
      </c>
      <c r="L4265">
        <f>_xlfn.XLOOKUP($A4265,Load!$B:$B,Load!M:M,0,)</f>
        <v>0</v>
      </c>
    </row>
    <row r="4266" spans="1:12" x14ac:dyDescent="0.25">
      <c r="A4266" t="s">
        <v>299</v>
      </c>
      <c r="B4266" t="str">
        <f>_xlfn.XLOOKUP($A4266,Load!$B:$B,Load!C:C,0,)</f>
        <v>Twizzlers</v>
      </c>
      <c r="C4266" t="str">
        <f>_xlfn.XLOOKUP($A4266,Load!$B:$B,Load!D:D,0,)</f>
        <v>Non-Chocolate Candy Only</v>
      </c>
      <c r="D4266" t="str">
        <f>_xlfn.XLOOKUP($A4266,Load!$B:$B,Load!E:E,0,)</f>
        <v>Fruit Flavor (Cherry, Grape, Apple, Citrus, Tropical Fruit)</v>
      </c>
      <c r="E4266" t="str">
        <f>_xlfn.XLOOKUP($A4266,Load!$B:$B,Load!F:F,0,)</f>
        <v>Chewy</v>
      </c>
      <c r="F4266" t="str">
        <f>_xlfn.XLOOKUP($A4266,Load!$B:$B,Load!G:G,0,)</f>
        <v>Single Pack</v>
      </c>
      <c r="G4266" t="str">
        <f>_xlfn.XLOOKUP($A4266,Load!$B:$B,Load!H:H,0,)</f>
        <v>Stand-Up Bag</v>
      </c>
      <c r="H4266" t="str">
        <f>_xlfn.XLOOKUP($A4266,Load!$B:$B,Load!I:I,0,)</f>
        <v>Seasonal Shapes (like pumpkins, candy corn, ghost, bats, etc.)</v>
      </c>
      <c r="I4266" t="str">
        <f>_xlfn.XLOOKUP($A4266,Load!$B:$B,Load!J:J,0,)</f>
        <v>Seasonal Graphics (Like Bat, Ghost, Pumpkin, Fall Leaves, Eyeballs, etc.)</v>
      </c>
      <c r="J4266" t="str">
        <f>_xlfn.XLOOKUP($A4266,Load!$B:$B,Load!K:K,0,)</f>
        <v>Fun Size / Treat Size</v>
      </c>
      <c r="K4266" t="str">
        <f>_xlfn.XLOOKUP($A4266,Load!$B:$B,Load!L:L,0,)</f>
        <v>Unwrapped</v>
      </c>
      <c r="L4266" t="str">
        <f>_xlfn.XLOOKUP($A4266,Load!$B:$B,Load!M:M,0,)</f>
        <v>Single Brand / Single Flavor or Form</v>
      </c>
    </row>
    <row r="4267" spans="1:12" x14ac:dyDescent="0.25">
      <c r="A4267" t="s">
        <v>279</v>
      </c>
      <c r="B4267" t="str">
        <f>_xlfn.XLOOKUP($A4267,Load!$B:$B,Load!C:C,0,)</f>
        <v>Sour Patch Kids</v>
      </c>
      <c r="C4267" t="str">
        <f>_xlfn.XLOOKUP($A4267,Load!$B:$B,Load!D:D,0,)</f>
        <v>Non-Chocolate Candy Only</v>
      </c>
      <c r="D4267" t="str">
        <f>_xlfn.XLOOKUP($A4267,Load!$B:$B,Load!E:E,0,)</f>
        <v>Sour</v>
      </c>
      <c r="E4267" t="str">
        <f>_xlfn.XLOOKUP($A4267,Load!$B:$B,Load!F:F,0,)</f>
        <v>Chewy</v>
      </c>
      <c r="F4267" t="str">
        <f>_xlfn.XLOOKUP($A4267,Load!$B:$B,Load!G:G,0,)</f>
        <v>Single Pack</v>
      </c>
      <c r="G4267" t="str">
        <f>_xlfn.XLOOKUP($A4267,Load!$B:$B,Load!H:H,0,)</f>
        <v>Peg Bag</v>
      </c>
      <c r="H4267" t="str">
        <f>_xlfn.XLOOKUP($A4267,Load!$B:$B,Load!I:I,0,)</f>
        <v>Seasonal Shapes (like pumpkins, candy corn, ghost, bats, etc.)</v>
      </c>
      <c r="I4267" t="str">
        <f>_xlfn.XLOOKUP($A4267,Load!$B:$B,Load!J:J,0,)</f>
        <v>Seasonal Graphics (Like Bat, Ghost, Pumpkin, Fall Leaves, Eyeballs, etc.)</v>
      </c>
      <c r="J4267" t="str">
        <f>_xlfn.XLOOKUP($A4267,Load!$B:$B,Load!K:K,0,)</f>
        <v>Small Pieces (Tiny bite size candies)</v>
      </c>
      <c r="K4267" t="str">
        <f>_xlfn.XLOOKUP($A4267,Load!$B:$B,Load!L:L,0,)</f>
        <v>Regular/Original Wrapping</v>
      </c>
      <c r="L4267" t="str">
        <f>_xlfn.XLOOKUP($A4267,Load!$B:$B,Load!M:M,0,)</f>
        <v>Single Brand / Variety Flavors or Form</v>
      </c>
    </row>
    <row r="4268" spans="1:12" x14ac:dyDescent="0.25">
      <c r="A4268" t="s">
        <v>285</v>
      </c>
      <c r="B4268" t="str">
        <f>_xlfn.XLOOKUP($A4268,Load!$B:$B,Load!C:C,0,)</f>
        <v>Starburst</v>
      </c>
      <c r="C4268" t="str">
        <f>_xlfn.XLOOKUP($A4268,Load!$B:$B,Load!D:D,0,)</f>
        <v>Non-Chocolate Candy Only</v>
      </c>
      <c r="D4268" t="str">
        <f>_xlfn.XLOOKUP($A4268,Load!$B:$B,Load!E:E,0,)</f>
        <v>Fruit Flavor (Cherry, Grape, Apple, Citrus, Tropical Fruit)</v>
      </c>
      <c r="E4268" t="str">
        <f>_xlfn.XLOOKUP($A4268,Load!$B:$B,Load!F:F,0,)</f>
        <v>Chewy</v>
      </c>
      <c r="F4268" t="str">
        <f>_xlfn.XLOOKUP($A4268,Load!$B:$B,Load!G:G,0,)</f>
        <v>Small Multipack (Less than 40 ct)</v>
      </c>
      <c r="G4268" t="str">
        <f>_xlfn.XLOOKUP($A4268,Load!$B:$B,Load!H:H,0,)</f>
        <v>Laydown Bag</v>
      </c>
      <c r="H4268" t="str">
        <f>_xlfn.XLOOKUP($A4268,Load!$B:$B,Load!I:I,0,)</f>
        <v>Everyday Candy Shapes (like Original, Gummy bear, Fruit, Jewels, etc.)</v>
      </c>
      <c r="I4268" t="str">
        <f>_xlfn.XLOOKUP($A4268,Load!$B:$B,Load!J:J,0,)</f>
        <v>Everyday Graphics</v>
      </c>
      <c r="J4268" t="str">
        <f>_xlfn.XLOOKUP($A4268,Load!$B:$B,Load!K:K,0,)</f>
        <v>Small Pieces (Tiny bite size candies)</v>
      </c>
      <c r="K4268" t="str">
        <f>_xlfn.XLOOKUP($A4268,Load!$B:$B,Load!L:L,0,)</f>
        <v>Regular/Original Wrapping</v>
      </c>
      <c r="L4268" t="str">
        <f>_xlfn.XLOOKUP($A4268,Load!$B:$B,Load!M:M,0,)</f>
        <v>Single Brand / Variety Flavors or Form</v>
      </c>
    </row>
    <row r="4269" spans="1:12" x14ac:dyDescent="0.25">
      <c r="A4269" t="s">
        <v>223</v>
      </c>
      <c r="B4269" t="str">
        <f>_xlfn.XLOOKUP($A4269,Load!$B:$B,Load!C:C,0,)</f>
        <v>Nerds</v>
      </c>
      <c r="C4269" t="str">
        <f>_xlfn.XLOOKUP($A4269,Load!$B:$B,Load!D:D,0,)</f>
        <v>Non-Chocolate Candy Only</v>
      </c>
      <c r="D4269" t="str">
        <f>_xlfn.XLOOKUP($A4269,Load!$B:$B,Load!E:E,0,)</f>
        <v>Sweet</v>
      </c>
      <c r="E4269" t="str">
        <f>_xlfn.XLOOKUP($A4269,Load!$B:$B,Load!F:F,0,)</f>
        <v>Gummy</v>
      </c>
      <c r="F4269" t="str">
        <f>_xlfn.XLOOKUP($A4269,Load!$B:$B,Load!G:G,0,)</f>
        <v>Small Multipack (Less than 40 ct)</v>
      </c>
      <c r="G4269" t="str">
        <f>_xlfn.XLOOKUP($A4269,Load!$B:$B,Load!H:H,0,)</f>
        <v>Laydown Bag</v>
      </c>
      <c r="H4269" t="str">
        <f>_xlfn.XLOOKUP($A4269,Load!$B:$B,Load!I:I,0,)</f>
        <v>Everyday Candy Shapes (like Original, Gummy bear, Fruit, Jewels, etc.)</v>
      </c>
      <c r="I4269" t="str">
        <f>_xlfn.XLOOKUP($A4269,Load!$B:$B,Load!J:J,0,)</f>
        <v>Seasonal Graphics (Like Bat, Ghost, Pumpkin, Fall Leaves, Eyeballs, etc.)</v>
      </c>
      <c r="J4269" t="str">
        <f>_xlfn.XLOOKUP($A4269,Load!$B:$B,Load!K:K,0,)</f>
        <v>Small Pieces (Tiny bite size candies)</v>
      </c>
      <c r="K4269" t="str">
        <f>_xlfn.XLOOKUP($A4269,Load!$B:$B,Load!L:L,0,)</f>
        <v>Regular/Original Wrapping</v>
      </c>
      <c r="L4269" t="str">
        <f>_xlfn.XLOOKUP($A4269,Load!$B:$B,Load!M:M,0,)</f>
        <v>Single Brand / Variety Flavors or Form</v>
      </c>
    </row>
    <row r="4270" spans="1:12" x14ac:dyDescent="0.25">
      <c r="A4270" t="s">
        <v>116</v>
      </c>
      <c r="B4270" t="str">
        <f>_xlfn.XLOOKUP($A4270,Load!$B:$B,Load!C:C,0,)</f>
        <v>George Howe</v>
      </c>
      <c r="C4270" t="str">
        <f>_xlfn.XLOOKUP($A4270,Load!$B:$B,Load!D:D,0,)</f>
        <v>Mix of Chocolate and Non-Chocolate Candy</v>
      </c>
      <c r="D4270" t="str">
        <f>_xlfn.XLOOKUP($A4270,Load!$B:$B,Load!E:E,0,)</f>
        <v>Fall / Seasonal Flavors (pumpkin spice, caramel apple, candy corn)</v>
      </c>
      <c r="E4270" t="str">
        <f>_xlfn.XLOOKUP($A4270,Load!$B:$B,Load!F:F,0,)</f>
        <v>Candy Pieces / Bites</v>
      </c>
      <c r="F4270" t="str">
        <f>_xlfn.XLOOKUP($A4270,Load!$B:$B,Load!G:G,0,)</f>
        <v>Single Pack</v>
      </c>
      <c r="G4270" t="str">
        <f>_xlfn.XLOOKUP($A4270,Load!$B:$B,Load!H:H,0,)</f>
        <v>Laydown Bag</v>
      </c>
      <c r="H4270" t="str">
        <f>_xlfn.XLOOKUP($A4270,Load!$B:$B,Load!I:I,0,)</f>
        <v>Seasonal Shapes (like pumpkins, candy corn, ghost, bats, etc.)</v>
      </c>
      <c r="I4270" t="str">
        <f>_xlfn.XLOOKUP($A4270,Load!$B:$B,Load!J:J,0,)</f>
        <v>Everyday Graphics</v>
      </c>
      <c r="J4270" t="str">
        <f>_xlfn.XLOOKUP($A4270,Load!$B:$B,Load!K:K,0,)</f>
        <v>Small Pieces (Tiny bite size candies)</v>
      </c>
      <c r="K4270" t="str">
        <f>_xlfn.XLOOKUP($A4270,Load!$B:$B,Load!L:L,0,)</f>
        <v>Unwrapped</v>
      </c>
      <c r="L4270" t="str">
        <f>_xlfn.XLOOKUP($A4270,Load!$B:$B,Load!M:M,0,)</f>
        <v>Single Brand / Variety Flavors or Form</v>
      </c>
    </row>
    <row r="4271" spans="1:12" x14ac:dyDescent="0.25">
      <c r="B4271">
        <f>_xlfn.XLOOKUP($A4271,Load!$B:$B,Load!C:C,0,)</f>
        <v>0</v>
      </c>
      <c r="C4271">
        <f>_xlfn.XLOOKUP($A4271,Load!$B:$B,Load!D:D,0,)</f>
        <v>0</v>
      </c>
      <c r="D4271">
        <f>_xlfn.XLOOKUP($A4271,Load!$B:$B,Load!E:E,0,)</f>
        <v>0</v>
      </c>
      <c r="E4271">
        <f>_xlfn.XLOOKUP($A4271,Load!$B:$B,Load!F:F,0,)</f>
        <v>0</v>
      </c>
      <c r="F4271">
        <f>_xlfn.XLOOKUP($A4271,Load!$B:$B,Load!G:G,0,)</f>
        <v>0</v>
      </c>
      <c r="G4271">
        <f>_xlfn.XLOOKUP($A4271,Load!$B:$B,Load!H:H,0,)</f>
        <v>0</v>
      </c>
      <c r="H4271">
        <f>_xlfn.XLOOKUP($A4271,Load!$B:$B,Load!I:I,0,)</f>
        <v>0</v>
      </c>
      <c r="I4271">
        <f>_xlfn.XLOOKUP($A4271,Load!$B:$B,Load!J:J,0,)</f>
        <v>0</v>
      </c>
      <c r="J4271">
        <f>_xlfn.XLOOKUP($A4271,Load!$B:$B,Load!K:K,0,)</f>
        <v>0</v>
      </c>
      <c r="K4271">
        <f>_xlfn.XLOOKUP($A4271,Load!$B:$B,Load!L:L,0,)</f>
        <v>0</v>
      </c>
      <c r="L4271">
        <f>_xlfn.XLOOKUP($A4271,Load!$B:$B,Load!M:M,0,)</f>
        <v>0</v>
      </c>
    </row>
    <row r="4272" spans="1:12" x14ac:dyDescent="0.25">
      <c r="A4272" t="s">
        <v>329</v>
      </c>
      <c r="B4272" t="str">
        <f>_xlfn.XLOOKUP($A4272,Load!$B:$B,Load!C:C,0,)</f>
        <v>AMOS</v>
      </c>
      <c r="C4272" t="str">
        <f>_xlfn.XLOOKUP($A4272,Load!$B:$B,Load!D:D,0,)</f>
        <v>Non-Chocolate Candy Only</v>
      </c>
      <c r="D4272" t="str">
        <f>_xlfn.XLOOKUP($A4272,Load!$B:$B,Load!E:E,0,)</f>
        <v>Sour</v>
      </c>
      <c r="E4272" t="str">
        <f>_xlfn.XLOOKUP($A4272,Load!$B:$B,Load!F:F,0,)</f>
        <v>Chewy</v>
      </c>
      <c r="F4272" t="str">
        <f>_xlfn.XLOOKUP($A4272,Load!$B:$B,Load!G:G,0,)</f>
        <v>Single Pack</v>
      </c>
      <c r="G4272" t="str">
        <f>_xlfn.XLOOKUP($A4272,Load!$B:$B,Load!H:H,0,)</f>
        <v>Plastic Cup / Container</v>
      </c>
      <c r="H4272" t="str">
        <f>_xlfn.XLOOKUP($A4272,Load!$B:$B,Load!I:I,0,)</f>
        <v>Seasonal Shapes (like pumpkins, candy corn, ghost, bats, etc.)</v>
      </c>
      <c r="I4272" t="str">
        <f>_xlfn.XLOOKUP($A4272,Load!$B:$B,Load!J:J,0,)</f>
        <v>Seasonal Graphics (Like Bat, Ghost, Pumpkin, Fall Leaves, Eyeballs, etc.)</v>
      </c>
      <c r="J4272" t="str">
        <f>_xlfn.XLOOKUP($A4272,Load!$B:$B,Load!K:K,0,)</f>
        <v>Fun Size / Treat Size</v>
      </c>
      <c r="K4272" t="str">
        <f>_xlfn.XLOOKUP($A4272,Load!$B:$B,Load!L:L,0,)</f>
        <v>Regular/Original Wrapping</v>
      </c>
      <c r="L4272" t="str">
        <f>_xlfn.XLOOKUP($A4272,Load!$B:$B,Load!M:M,0,)</f>
        <v>Single Brand / Single Flavor or Form</v>
      </c>
    </row>
    <row r="4273" spans="1:12" x14ac:dyDescent="0.25">
      <c r="B4273">
        <f>_xlfn.XLOOKUP($A4273,Load!$B:$B,Load!C:C,0,)</f>
        <v>0</v>
      </c>
      <c r="C4273">
        <f>_xlfn.XLOOKUP($A4273,Load!$B:$B,Load!D:D,0,)</f>
        <v>0</v>
      </c>
      <c r="D4273">
        <f>_xlfn.XLOOKUP($A4273,Load!$B:$B,Load!E:E,0,)</f>
        <v>0</v>
      </c>
      <c r="E4273">
        <f>_xlfn.XLOOKUP($A4273,Load!$B:$B,Load!F:F,0,)</f>
        <v>0</v>
      </c>
      <c r="F4273">
        <f>_xlfn.XLOOKUP($A4273,Load!$B:$B,Load!G:G,0,)</f>
        <v>0</v>
      </c>
      <c r="G4273">
        <f>_xlfn.XLOOKUP($A4273,Load!$B:$B,Load!H:H,0,)</f>
        <v>0</v>
      </c>
      <c r="H4273">
        <f>_xlfn.XLOOKUP($A4273,Load!$B:$B,Load!I:I,0,)</f>
        <v>0</v>
      </c>
      <c r="I4273">
        <f>_xlfn.XLOOKUP($A4273,Load!$B:$B,Load!J:J,0,)</f>
        <v>0</v>
      </c>
      <c r="J4273">
        <f>_xlfn.XLOOKUP($A4273,Load!$B:$B,Load!K:K,0,)</f>
        <v>0</v>
      </c>
      <c r="K4273">
        <f>_xlfn.XLOOKUP($A4273,Load!$B:$B,Load!L:L,0,)</f>
        <v>0</v>
      </c>
      <c r="L4273">
        <f>_xlfn.XLOOKUP($A4273,Load!$B:$B,Load!M:M,0,)</f>
        <v>0</v>
      </c>
    </row>
    <row r="4274" spans="1:12" x14ac:dyDescent="0.25">
      <c r="A4274" t="s">
        <v>146</v>
      </c>
      <c r="B4274" t="str">
        <f>_xlfn.XLOOKUP($A4274,Load!$B:$B,Load!C:C,0,)</f>
        <v>Hi Chew</v>
      </c>
      <c r="C4274" t="str">
        <f>_xlfn.XLOOKUP($A4274,Load!$B:$B,Load!D:D,0,)</f>
        <v>Non-Chocolate Candy Only</v>
      </c>
      <c r="D4274" t="str">
        <f>_xlfn.XLOOKUP($A4274,Load!$B:$B,Load!E:E,0,)</f>
        <v>Fruit Flavor (Cherry, Grape, Apple, Citrus, Tropical Fruit)</v>
      </c>
      <c r="E4274" t="str">
        <f>_xlfn.XLOOKUP($A4274,Load!$B:$B,Load!F:F,0,)</f>
        <v>Gummy</v>
      </c>
      <c r="F4274" t="str">
        <f>_xlfn.XLOOKUP($A4274,Load!$B:$B,Load!G:G,0,)</f>
        <v>Medium Multipack (40–80 ct)</v>
      </c>
      <c r="G4274" t="str">
        <f>_xlfn.XLOOKUP($A4274,Load!$B:$B,Load!H:H,0,)</f>
        <v>Stand-Up Bag</v>
      </c>
      <c r="H4274" t="str">
        <f>_xlfn.XLOOKUP($A4274,Load!$B:$B,Load!I:I,0,)</f>
        <v>Everyday Candy Shapes (like Original, Gummy bear, Fruit, Jewels, etc.)</v>
      </c>
      <c r="I4274" t="str">
        <f>_xlfn.XLOOKUP($A4274,Load!$B:$B,Load!J:J,0,)</f>
        <v>Seasonal Graphics (Like Bat, Ghost, Pumpkin, Fall Leaves, Eyeballs, etc.)</v>
      </c>
      <c r="J4274" t="str">
        <f>_xlfn.XLOOKUP($A4274,Load!$B:$B,Load!K:K,0,)</f>
        <v>Fun Size / Treat Size</v>
      </c>
      <c r="K4274" t="str">
        <f>_xlfn.XLOOKUP($A4274,Load!$B:$B,Load!L:L,0,)</f>
        <v>Regular/Original Wrapping</v>
      </c>
      <c r="L4274" t="str">
        <f>_xlfn.XLOOKUP($A4274,Load!$B:$B,Load!M:M,0,)</f>
        <v>Multiple Brands / Variety Flavors or Form</v>
      </c>
    </row>
    <row r="4275" spans="1:12" x14ac:dyDescent="0.25">
      <c r="B4275">
        <f>_xlfn.XLOOKUP($A4275,Load!$B:$B,Load!C:C,0,)</f>
        <v>0</v>
      </c>
      <c r="C4275">
        <f>_xlfn.XLOOKUP($A4275,Load!$B:$B,Load!D:D,0,)</f>
        <v>0</v>
      </c>
      <c r="D4275">
        <f>_xlfn.XLOOKUP($A4275,Load!$B:$B,Load!E:E,0,)</f>
        <v>0</v>
      </c>
      <c r="E4275">
        <f>_xlfn.XLOOKUP($A4275,Load!$B:$B,Load!F:F,0,)</f>
        <v>0</v>
      </c>
      <c r="F4275">
        <f>_xlfn.XLOOKUP($A4275,Load!$B:$B,Load!G:G,0,)</f>
        <v>0</v>
      </c>
      <c r="G4275">
        <f>_xlfn.XLOOKUP($A4275,Load!$B:$B,Load!H:H,0,)</f>
        <v>0</v>
      </c>
      <c r="H4275">
        <f>_xlfn.XLOOKUP($A4275,Load!$B:$B,Load!I:I,0,)</f>
        <v>0</v>
      </c>
      <c r="I4275">
        <f>_xlfn.XLOOKUP($A4275,Load!$B:$B,Load!J:J,0,)</f>
        <v>0</v>
      </c>
      <c r="J4275">
        <f>_xlfn.XLOOKUP($A4275,Load!$B:$B,Load!K:K,0,)</f>
        <v>0</v>
      </c>
      <c r="K4275">
        <f>_xlfn.XLOOKUP($A4275,Load!$B:$B,Load!L:L,0,)</f>
        <v>0</v>
      </c>
      <c r="L4275">
        <f>_xlfn.XLOOKUP($A4275,Load!$B:$B,Load!M:M,0,)</f>
        <v>0</v>
      </c>
    </row>
    <row r="4276" spans="1:12" x14ac:dyDescent="0.25">
      <c r="A4276" t="s">
        <v>220</v>
      </c>
      <c r="B4276" t="str">
        <f>_xlfn.XLOOKUP($A4276,Load!$B:$B,Load!C:C,0,)</f>
        <v>Mondelez Variety Pack</v>
      </c>
      <c r="C4276" t="str">
        <f>_xlfn.XLOOKUP($A4276,Load!$B:$B,Load!D:D,0,)</f>
        <v>Non-Chocolate Candy Only</v>
      </c>
      <c r="D4276" t="str">
        <f>_xlfn.XLOOKUP($A4276,Load!$B:$B,Load!E:E,0,)</f>
        <v>Variety / Mixed Flavors (Fruity, Sour, Seasonal Flavors)</v>
      </c>
      <c r="E4276" t="str">
        <f>_xlfn.XLOOKUP($A4276,Load!$B:$B,Load!F:F,0,)</f>
        <v>Chewy</v>
      </c>
      <c r="F4276" t="str">
        <f>_xlfn.XLOOKUP($A4276,Load!$B:$B,Load!G:G,0,)</f>
        <v>Large Multipack (More than 80 ct)</v>
      </c>
      <c r="G4276" t="str">
        <f>_xlfn.XLOOKUP($A4276,Load!$B:$B,Load!H:H,0,)</f>
        <v>Stand-Up Bag</v>
      </c>
      <c r="H4276" t="str">
        <f>_xlfn.XLOOKUP($A4276,Load!$B:$B,Load!I:I,0,)</f>
        <v>Seasonal Shapes (like pumpkins, candy corn, ghost, bats, etc.)</v>
      </c>
      <c r="I4276" t="str">
        <f>_xlfn.XLOOKUP($A4276,Load!$B:$B,Load!J:J,0,)</f>
        <v>Seasonal Graphics (Like Bat, Ghost, Pumpkin, Fall Leaves, Eyeballs, etc.)</v>
      </c>
      <c r="J4276" t="str">
        <f>_xlfn.XLOOKUP($A4276,Load!$B:$B,Load!K:K,0,)</f>
        <v>Small Pieces (Tiny bite size candies)</v>
      </c>
      <c r="K4276" t="str">
        <f>_xlfn.XLOOKUP($A4276,Load!$B:$B,Load!L:L,0,)</f>
        <v>Regular/Original Wrapping</v>
      </c>
      <c r="L4276" t="str">
        <f>_xlfn.XLOOKUP($A4276,Load!$B:$B,Load!M:M,0,)</f>
        <v>Single Brand / Variety Flavors or Form</v>
      </c>
    </row>
    <row r="4277" spans="1:12" x14ac:dyDescent="0.25">
      <c r="B4277">
        <f>_xlfn.XLOOKUP($A4277,Load!$B:$B,Load!C:C,0,)</f>
        <v>0</v>
      </c>
      <c r="C4277">
        <f>_xlfn.XLOOKUP($A4277,Load!$B:$B,Load!D:D,0,)</f>
        <v>0</v>
      </c>
      <c r="D4277">
        <f>_xlfn.XLOOKUP($A4277,Load!$B:$B,Load!E:E,0,)</f>
        <v>0</v>
      </c>
      <c r="E4277">
        <f>_xlfn.XLOOKUP($A4277,Load!$B:$B,Load!F:F,0,)</f>
        <v>0</v>
      </c>
      <c r="F4277">
        <f>_xlfn.XLOOKUP($A4277,Load!$B:$B,Load!G:G,0,)</f>
        <v>0</v>
      </c>
      <c r="G4277">
        <f>_xlfn.XLOOKUP($A4277,Load!$B:$B,Load!H:H,0,)</f>
        <v>0</v>
      </c>
      <c r="H4277">
        <f>_xlfn.XLOOKUP($A4277,Load!$B:$B,Load!I:I,0,)</f>
        <v>0</v>
      </c>
      <c r="I4277">
        <f>_xlfn.XLOOKUP($A4277,Load!$B:$B,Load!J:J,0,)</f>
        <v>0</v>
      </c>
      <c r="J4277">
        <f>_xlfn.XLOOKUP($A4277,Load!$B:$B,Load!K:K,0,)</f>
        <v>0</v>
      </c>
      <c r="K4277">
        <f>_xlfn.XLOOKUP($A4277,Load!$B:$B,Load!L:L,0,)</f>
        <v>0</v>
      </c>
      <c r="L4277">
        <f>_xlfn.XLOOKUP($A4277,Load!$B:$B,Load!M:M,0,)</f>
        <v>0</v>
      </c>
    </row>
    <row r="4278" spans="1:12" x14ac:dyDescent="0.25">
      <c r="B4278">
        <f>_xlfn.XLOOKUP($A4278,Load!$B:$B,Load!C:C,0,)</f>
        <v>0</v>
      </c>
      <c r="C4278">
        <f>_xlfn.XLOOKUP($A4278,Load!$B:$B,Load!D:D,0,)</f>
        <v>0</v>
      </c>
      <c r="D4278">
        <f>_xlfn.XLOOKUP($A4278,Load!$B:$B,Load!E:E,0,)</f>
        <v>0</v>
      </c>
      <c r="E4278">
        <f>_xlfn.XLOOKUP($A4278,Load!$B:$B,Load!F:F,0,)</f>
        <v>0</v>
      </c>
      <c r="F4278">
        <f>_xlfn.XLOOKUP($A4278,Load!$B:$B,Load!G:G,0,)</f>
        <v>0</v>
      </c>
      <c r="G4278">
        <f>_xlfn.XLOOKUP($A4278,Load!$B:$B,Load!H:H,0,)</f>
        <v>0</v>
      </c>
      <c r="H4278">
        <f>_xlfn.XLOOKUP($A4278,Load!$B:$B,Load!I:I,0,)</f>
        <v>0</v>
      </c>
      <c r="I4278">
        <f>_xlfn.XLOOKUP($A4278,Load!$B:$B,Load!J:J,0,)</f>
        <v>0</v>
      </c>
      <c r="J4278">
        <f>_xlfn.XLOOKUP($A4278,Load!$B:$B,Load!K:K,0,)</f>
        <v>0</v>
      </c>
      <c r="K4278">
        <f>_xlfn.XLOOKUP($A4278,Load!$B:$B,Load!L:L,0,)</f>
        <v>0</v>
      </c>
      <c r="L4278">
        <f>_xlfn.XLOOKUP($A4278,Load!$B:$B,Load!M:M,0,)</f>
        <v>0</v>
      </c>
    </row>
    <row r="4279" spans="1:12" x14ac:dyDescent="0.25">
      <c r="B4279">
        <f>_xlfn.XLOOKUP($A4279,Load!$B:$B,Load!C:C,0,)</f>
        <v>0</v>
      </c>
      <c r="C4279">
        <f>_xlfn.XLOOKUP($A4279,Load!$B:$B,Load!D:D,0,)</f>
        <v>0</v>
      </c>
      <c r="D4279">
        <f>_xlfn.XLOOKUP($A4279,Load!$B:$B,Load!E:E,0,)</f>
        <v>0</v>
      </c>
      <c r="E4279">
        <f>_xlfn.XLOOKUP($A4279,Load!$B:$B,Load!F:F,0,)</f>
        <v>0</v>
      </c>
      <c r="F4279">
        <f>_xlfn.XLOOKUP($A4279,Load!$B:$B,Load!G:G,0,)</f>
        <v>0</v>
      </c>
      <c r="G4279">
        <f>_xlfn.XLOOKUP($A4279,Load!$B:$B,Load!H:H,0,)</f>
        <v>0</v>
      </c>
      <c r="H4279">
        <f>_xlfn.XLOOKUP($A4279,Load!$B:$B,Load!I:I,0,)</f>
        <v>0</v>
      </c>
      <c r="I4279">
        <f>_xlfn.XLOOKUP($A4279,Load!$B:$B,Load!J:J,0,)</f>
        <v>0</v>
      </c>
      <c r="J4279">
        <f>_xlfn.XLOOKUP($A4279,Load!$B:$B,Load!K:K,0,)</f>
        <v>0</v>
      </c>
      <c r="K4279">
        <f>_xlfn.XLOOKUP($A4279,Load!$B:$B,Load!L:L,0,)</f>
        <v>0</v>
      </c>
      <c r="L4279">
        <f>_xlfn.XLOOKUP($A4279,Load!$B:$B,Load!M:M,0,)</f>
        <v>0</v>
      </c>
    </row>
    <row r="4280" spans="1:12" x14ac:dyDescent="0.25">
      <c r="B4280">
        <f>_xlfn.XLOOKUP($A4280,Load!$B:$B,Load!C:C,0,)</f>
        <v>0</v>
      </c>
      <c r="C4280">
        <f>_xlfn.XLOOKUP($A4280,Load!$B:$B,Load!D:D,0,)</f>
        <v>0</v>
      </c>
      <c r="D4280">
        <f>_xlfn.XLOOKUP($A4280,Load!$B:$B,Load!E:E,0,)</f>
        <v>0</v>
      </c>
      <c r="E4280">
        <f>_xlfn.XLOOKUP($A4280,Load!$B:$B,Load!F:F,0,)</f>
        <v>0</v>
      </c>
      <c r="F4280">
        <f>_xlfn.XLOOKUP($A4280,Load!$B:$B,Load!G:G,0,)</f>
        <v>0</v>
      </c>
      <c r="G4280">
        <f>_xlfn.XLOOKUP($A4280,Load!$B:$B,Load!H:H,0,)</f>
        <v>0</v>
      </c>
      <c r="H4280">
        <f>_xlfn.XLOOKUP($A4280,Load!$B:$B,Load!I:I,0,)</f>
        <v>0</v>
      </c>
      <c r="I4280">
        <f>_xlfn.XLOOKUP($A4280,Load!$B:$B,Load!J:J,0,)</f>
        <v>0</v>
      </c>
      <c r="J4280">
        <f>_xlfn.XLOOKUP($A4280,Load!$B:$B,Load!K:K,0,)</f>
        <v>0</v>
      </c>
      <c r="K4280">
        <f>_xlfn.XLOOKUP($A4280,Load!$B:$B,Load!L:L,0,)</f>
        <v>0</v>
      </c>
      <c r="L4280">
        <f>_xlfn.XLOOKUP($A4280,Load!$B:$B,Load!M:M,0,)</f>
        <v>0</v>
      </c>
    </row>
    <row r="4281" spans="1:12" x14ac:dyDescent="0.25">
      <c r="B4281">
        <f>_xlfn.XLOOKUP($A4281,Load!$B:$B,Load!C:C,0,)</f>
        <v>0</v>
      </c>
      <c r="C4281">
        <f>_xlfn.XLOOKUP($A4281,Load!$B:$B,Load!D:D,0,)</f>
        <v>0</v>
      </c>
      <c r="D4281">
        <f>_xlfn.XLOOKUP($A4281,Load!$B:$B,Load!E:E,0,)</f>
        <v>0</v>
      </c>
      <c r="E4281">
        <f>_xlfn.XLOOKUP($A4281,Load!$B:$B,Load!F:F,0,)</f>
        <v>0</v>
      </c>
      <c r="F4281">
        <f>_xlfn.XLOOKUP($A4281,Load!$B:$B,Load!G:G,0,)</f>
        <v>0</v>
      </c>
      <c r="G4281">
        <f>_xlfn.XLOOKUP($A4281,Load!$B:$B,Load!H:H,0,)</f>
        <v>0</v>
      </c>
      <c r="H4281">
        <f>_xlfn.XLOOKUP($A4281,Load!$B:$B,Load!I:I,0,)</f>
        <v>0</v>
      </c>
      <c r="I4281">
        <f>_xlfn.XLOOKUP($A4281,Load!$B:$B,Load!J:J,0,)</f>
        <v>0</v>
      </c>
      <c r="J4281">
        <f>_xlfn.XLOOKUP($A4281,Load!$B:$B,Load!K:K,0,)</f>
        <v>0</v>
      </c>
      <c r="K4281">
        <f>_xlfn.XLOOKUP($A4281,Load!$B:$B,Load!L:L,0,)</f>
        <v>0</v>
      </c>
      <c r="L4281">
        <f>_xlfn.XLOOKUP($A4281,Load!$B:$B,Load!M:M,0,)</f>
        <v>0</v>
      </c>
    </row>
    <row r="4282" spans="1:12" x14ac:dyDescent="0.25">
      <c r="A4282" t="s">
        <v>141</v>
      </c>
      <c r="B4282" t="str">
        <f>_xlfn.XLOOKUP($A4282,Load!$B:$B,Load!C:C,0,)</f>
        <v>Hershey's Variety Pack + Haribo</v>
      </c>
      <c r="C4282" t="str">
        <f>_xlfn.XLOOKUP($A4282,Load!$B:$B,Load!D:D,0,)</f>
        <v>Non-Chocolate Candy Only</v>
      </c>
      <c r="D4282" t="str">
        <f>_xlfn.XLOOKUP($A4282,Load!$B:$B,Load!E:E,0,)</f>
        <v>Variety / Mixed Flavors (Fruity, Sour, Seasonal Flavors)</v>
      </c>
      <c r="E4282" t="str">
        <f>_xlfn.XLOOKUP($A4282,Load!$B:$B,Load!F:F,0,)</f>
        <v>Mixed / Combo Packs (Gummy, Chewy, Taffy, etc.)</v>
      </c>
      <c r="F4282" t="str">
        <f>_xlfn.XLOOKUP($A4282,Load!$B:$B,Load!G:G,0,)</f>
        <v>Large Multipack (More than 80 ct)</v>
      </c>
      <c r="G4282" t="str">
        <f>_xlfn.XLOOKUP($A4282,Load!$B:$B,Load!H:H,0,)</f>
        <v>Plastic Cup / Container</v>
      </c>
      <c r="H4282" t="str">
        <f>_xlfn.XLOOKUP($A4282,Load!$B:$B,Load!I:I,0,)</f>
        <v>Everyday Candy Shapes (like Original, Gummy bear, Fruit, Jewels, etc.)</v>
      </c>
      <c r="I4282" t="str">
        <f>_xlfn.XLOOKUP($A4282,Load!$B:$B,Load!J:J,0,)</f>
        <v>Everyday Graphics</v>
      </c>
      <c r="J4282" t="str">
        <f>_xlfn.XLOOKUP($A4282,Load!$B:$B,Load!K:K,0,)</f>
        <v xml:space="preserve">Variety Candy Sizes </v>
      </c>
      <c r="K4282" t="str">
        <f>_xlfn.XLOOKUP($A4282,Load!$B:$B,Load!L:L,0,)</f>
        <v>Regular/Original Wrapping</v>
      </c>
      <c r="L4282" t="str">
        <f>_xlfn.XLOOKUP($A4282,Load!$B:$B,Load!M:M,0,)</f>
        <v>Multiple Brands / Variety Flavors or Form</v>
      </c>
    </row>
    <row r="4283" spans="1:12" x14ac:dyDescent="0.25">
      <c r="A4283" t="s">
        <v>135</v>
      </c>
      <c r="B4283" t="str">
        <f>_xlfn.XLOOKUP($A4283,Load!$B:$B,Load!C:C,0,)</f>
        <v>Hershey's Variety Pack</v>
      </c>
      <c r="C4283" t="str">
        <f>_xlfn.XLOOKUP($A4283,Load!$B:$B,Load!D:D,0,)</f>
        <v>Non-Chocolate Candy Only</v>
      </c>
      <c r="D4283" t="str">
        <f>_xlfn.XLOOKUP($A4283,Load!$B:$B,Load!E:E,0,)</f>
        <v>Variety / Mixed Flavors (Fruity, Sour, Seasonal Flavors)</v>
      </c>
      <c r="E4283" t="str">
        <f>_xlfn.XLOOKUP($A4283,Load!$B:$B,Load!F:F,0,)</f>
        <v>Mixed / Combo Packs (Gummy, Chewy, Taffy, etc.)</v>
      </c>
      <c r="F4283" t="str">
        <f>_xlfn.XLOOKUP($A4283,Load!$B:$B,Load!G:G,0,)</f>
        <v>Large Multipack (More than 80 ct)</v>
      </c>
      <c r="G4283" t="str">
        <f>_xlfn.XLOOKUP($A4283,Load!$B:$B,Load!H:H,0,)</f>
        <v>Stand-Up Bag</v>
      </c>
      <c r="H4283" t="str">
        <f>_xlfn.XLOOKUP($A4283,Load!$B:$B,Load!I:I,0,)</f>
        <v>Everyday Candy Shapes (like Original, Gummy bear, Fruit, Jewels, etc.)</v>
      </c>
      <c r="I4283" t="str">
        <f>_xlfn.XLOOKUP($A4283,Load!$B:$B,Load!J:J,0,)</f>
        <v>Everyday Graphics</v>
      </c>
      <c r="J4283" t="str">
        <f>_xlfn.XLOOKUP($A4283,Load!$B:$B,Load!K:K,0,)</f>
        <v xml:space="preserve">Variety Candy Sizes </v>
      </c>
      <c r="K4283" t="str">
        <f>_xlfn.XLOOKUP($A4283,Load!$B:$B,Load!L:L,0,)</f>
        <v>Regular/Original Wrapping</v>
      </c>
      <c r="L4283" t="str">
        <f>_xlfn.XLOOKUP($A4283,Load!$B:$B,Load!M:M,0,)</f>
        <v>Multiple Brands / Variety Flavors or Form</v>
      </c>
    </row>
    <row r="4284" spans="1:12" x14ac:dyDescent="0.25">
      <c r="B4284">
        <f>_xlfn.XLOOKUP($A4284,Load!$B:$B,Load!C:C,0,)</f>
        <v>0</v>
      </c>
      <c r="C4284">
        <f>_xlfn.XLOOKUP($A4284,Load!$B:$B,Load!D:D,0,)</f>
        <v>0</v>
      </c>
      <c r="D4284">
        <f>_xlfn.XLOOKUP($A4284,Load!$B:$B,Load!E:E,0,)</f>
        <v>0</v>
      </c>
      <c r="E4284">
        <f>_xlfn.XLOOKUP($A4284,Load!$B:$B,Load!F:F,0,)</f>
        <v>0</v>
      </c>
      <c r="F4284">
        <f>_xlfn.XLOOKUP($A4284,Load!$B:$B,Load!G:G,0,)</f>
        <v>0</v>
      </c>
      <c r="G4284">
        <f>_xlfn.XLOOKUP($A4284,Load!$B:$B,Load!H:H,0,)</f>
        <v>0</v>
      </c>
      <c r="H4284">
        <f>_xlfn.XLOOKUP($A4284,Load!$B:$B,Load!I:I,0,)</f>
        <v>0</v>
      </c>
      <c r="I4284">
        <f>_xlfn.XLOOKUP($A4284,Load!$B:$B,Load!J:J,0,)</f>
        <v>0</v>
      </c>
      <c r="J4284">
        <f>_xlfn.XLOOKUP($A4284,Load!$B:$B,Load!K:K,0,)</f>
        <v>0</v>
      </c>
      <c r="K4284">
        <f>_xlfn.XLOOKUP($A4284,Load!$B:$B,Load!L:L,0,)</f>
        <v>0</v>
      </c>
      <c r="L4284">
        <f>_xlfn.XLOOKUP($A4284,Load!$B:$B,Load!M:M,0,)</f>
        <v>0</v>
      </c>
    </row>
    <row r="4285" spans="1:12" x14ac:dyDescent="0.25">
      <c r="B4285">
        <f>_xlfn.XLOOKUP($A4285,Load!$B:$B,Load!C:C,0,)</f>
        <v>0</v>
      </c>
      <c r="C4285">
        <f>_xlfn.XLOOKUP($A4285,Load!$B:$B,Load!D:D,0,)</f>
        <v>0</v>
      </c>
      <c r="D4285">
        <f>_xlfn.XLOOKUP($A4285,Load!$B:$B,Load!E:E,0,)</f>
        <v>0</v>
      </c>
      <c r="E4285">
        <f>_xlfn.XLOOKUP($A4285,Load!$B:$B,Load!F:F,0,)</f>
        <v>0</v>
      </c>
      <c r="F4285">
        <f>_xlfn.XLOOKUP($A4285,Load!$B:$B,Load!G:G,0,)</f>
        <v>0</v>
      </c>
      <c r="G4285">
        <f>_xlfn.XLOOKUP($A4285,Load!$B:$B,Load!H:H,0,)</f>
        <v>0</v>
      </c>
      <c r="H4285">
        <f>_xlfn.XLOOKUP($A4285,Load!$B:$B,Load!I:I,0,)</f>
        <v>0</v>
      </c>
      <c r="I4285">
        <f>_xlfn.XLOOKUP($A4285,Load!$B:$B,Load!J:J,0,)</f>
        <v>0</v>
      </c>
      <c r="J4285">
        <f>_xlfn.XLOOKUP($A4285,Load!$B:$B,Load!K:K,0,)</f>
        <v>0</v>
      </c>
      <c r="K4285">
        <f>_xlfn.XLOOKUP($A4285,Load!$B:$B,Load!L:L,0,)</f>
        <v>0</v>
      </c>
      <c r="L4285">
        <f>_xlfn.XLOOKUP($A4285,Load!$B:$B,Load!M:M,0,)</f>
        <v>0</v>
      </c>
    </row>
    <row r="4286" spans="1:12" x14ac:dyDescent="0.25">
      <c r="A4286" t="s">
        <v>150</v>
      </c>
      <c r="B4286" t="str">
        <f>_xlfn.XLOOKUP($A4286,Load!$B:$B,Load!C:C,0,)</f>
        <v>Jolly Rancher</v>
      </c>
      <c r="C4286" t="str">
        <f>_xlfn.XLOOKUP($A4286,Load!$B:$B,Load!D:D,0,)</f>
        <v>Non-Chocolate Candy Only</v>
      </c>
      <c r="D4286" t="str">
        <f>_xlfn.XLOOKUP($A4286,Load!$B:$B,Load!E:E,0,)</f>
        <v>Variety / Mixed Flavors (Fruity, Sour, Seasonal Flavors)</v>
      </c>
      <c r="E4286" t="str">
        <f>_xlfn.XLOOKUP($A4286,Load!$B:$B,Load!F:F,0,)</f>
        <v>Gummy</v>
      </c>
      <c r="F4286" t="str">
        <f>_xlfn.XLOOKUP($A4286,Load!$B:$B,Load!G:G,0,)</f>
        <v>Small Multipack (Less than 40 ct)</v>
      </c>
      <c r="G4286" t="str">
        <f>_xlfn.XLOOKUP($A4286,Load!$B:$B,Load!H:H,0,)</f>
        <v>Laydown Bag</v>
      </c>
      <c r="H4286" t="str">
        <f>_xlfn.XLOOKUP($A4286,Load!$B:$B,Load!I:I,0,)</f>
        <v>Everyday Candy Shapes (like Original, Gummy bear, Fruit, Jewels, etc.)</v>
      </c>
      <c r="I4286" t="str">
        <f>_xlfn.XLOOKUP($A4286,Load!$B:$B,Load!J:J,0,)</f>
        <v>Everyday Graphics</v>
      </c>
      <c r="J4286" t="str">
        <f>_xlfn.XLOOKUP($A4286,Load!$B:$B,Load!K:K,0,)</f>
        <v>Small Pieces (Tiny bite size candies)</v>
      </c>
      <c r="K4286" t="str">
        <f>_xlfn.XLOOKUP($A4286,Load!$B:$B,Load!L:L,0,)</f>
        <v>Regular/Original Wrapping</v>
      </c>
      <c r="L4286" t="str">
        <f>_xlfn.XLOOKUP($A4286,Load!$B:$B,Load!M:M,0,)</f>
        <v>Single Brand / Variety Flavors or Form</v>
      </c>
    </row>
    <row r="4287" spans="1:12" x14ac:dyDescent="0.25">
      <c r="A4287" t="s">
        <v>58</v>
      </c>
      <c r="B4287" t="str">
        <f>_xlfn.XLOOKUP($A4287,Load!$B:$B,Load!C:C,0,)</f>
        <v>Charms</v>
      </c>
      <c r="C4287" t="str">
        <f>_xlfn.XLOOKUP($A4287,Load!$B:$B,Load!D:D,0,)</f>
        <v>Non-Chocolate Candy Only</v>
      </c>
      <c r="D4287" t="str">
        <f>_xlfn.XLOOKUP($A4287,Load!$B:$B,Load!E:E,0,)</f>
        <v>Variety / Mixed Flavors (Fruity, Sour, Seasonal Flavors)</v>
      </c>
      <c r="E4287" t="str">
        <f>_xlfn.XLOOKUP($A4287,Load!$B:$B,Load!F:F,0,)</f>
        <v>Lollipop (regular or lollipop rings)</v>
      </c>
      <c r="F4287" t="str">
        <f>_xlfn.XLOOKUP($A4287,Load!$B:$B,Load!G:G,0,)</f>
        <v>Small Multipack (Less than 40 ct)</v>
      </c>
      <c r="G4287" t="str">
        <f>_xlfn.XLOOKUP($A4287,Load!$B:$B,Load!H:H,0,)</f>
        <v>Laydown Bag</v>
      </c>
      <c r="H4287" t="str">
        <f>_xlfn.XLOOKUP($A4287,Load!$B:$B,Load!I:I,0,)</f>
        <v>Everyday Candy Shapes (like Original, Gummy bear, Fruit, Jewels, etc.)</v>
      </c>
      <c r="I4287" t="str">
        <f>_xlfn.XLOOKUP($A4287,Load!$B:$B,Load!J:J,0,)</f>
        <v>Seasonal Graphics (Like Bat, Ghost, Pumpkin, Fall Leaves, Eyeballs, etc.)</v>
      </c>
      <c r="J4287" t="str">
        <f>_xlfn.XLOOKUP($A4287,Load!$B:$B,Load!K:K,0,)</f>
        <v>Regular Lollipop size (on sticks or rings)</v>
      </c>
      <c r="K4287" t="str">
        <f>_xlfn.XLOOKUP($A4287,Load!$B:$B,Load!L:L,0,)</f>
        <v>Regular/Original Wrapping</v>
      </c>
      <c r="L4287" t="str">
        <f>_xlfn.XLOOKUP($A4287,Load!$B:$B,Load!M:M,0,)</f>
        <v>Single Brand / Variety Flavors or Form</v>
      </c>
    </row>
    <row r="4288" spans="1:12" x14ac:dyDescent="0.25">
      <c r="A4288" t="s">
        <v>111</v>
      </c>
      <c r="B4288" t="str">
        <f>_xlfn.XLOOKUP($A4288,Load!$B:$B,Load!C:C,0,)</f>
        <v>Frankford</v>
      </c>
      <c r="C4288" t="str">
        <f>_xlfn.XLOOKUP($A4288,Load!$B:$B,Load!D:D,0,)</f>
        <v>Non-Chocolate Candy Only</v>
      </c>
      <c r="D4288" t="str">
        <f>_xlfn.XLOOKUP($A4288,Load!$B:$B,Load!E:E,0,)</f>
        <v>Variety / Mixed Flavors (Fruity, Sour, Seasonal Flavors)</v>
      </c>
      <c r="E4288" t="str">
        <f>_xlfn.XLOOKUP($A4288,Load!$B:$B,Load!F:F,0,)</f>
        <v>Gummy</v>
      </c>
      <c r="F4288" t="str">
        <f>_xlfn.XLOOKUP($A4288,Load!$B:$B,Load!G:G,0,)</f>
        <v>Medium Multipack (40–80 ct)</v>
      </c>
      <c r="G4288" t="str">
        <f>_xlfn.XLOOKUP($A4288,Load!$B:$B,Load!H:H,0,)</f>
        <v>Stand-Up Bag</v>
      </c>
      <c r="H4288" t="str">
        <f>_xlfn.XLOOKUP($A4288,Load!$B:$B,Load!I:I,0,)</f>
        <v>Seasonal Shapes (like pumpkins, candy corn, ghost, bats, etc.)</v>
      </c>
      <c r="I4288" t="str">
        <f>_xlfn.XLOOKUP($A4288,Load!$B:$B,Load!J:J,0,)</f>
        <v>Seasonal Graphics (Like Bat, Ghost, Pumpkin, Fall Leaves, Eyeballs, etc.)</v>
      </c>
      <c r="J4288" t="str">
        <f>_xlfn.XLOOKUP($A4288,Load!$B:$B,Load!K:K,0,)</f>
        <v>Fun Size / Treat Size</v>
      </c>
      <c r="K4288" t="str">
        <f>_xlfn.XLOOKUP($A4288,Load!$B:$B,Load!L:L,0,)</f>
        <v>Regular/Original Wrapping</v>
      </c>
      <c r="L4288" t="str">
        <f>_xlfn.XLOOKUP($A4288,Load!$B:$B,Load!M:M,0,)</f>
        <v>Single Brand / Variety Flavors or Form</v>
      </c>
    </row>
    <row r="4289" spans="1:12" x14ac:dyDescent="0.25">
      <c r="B4289">
        <f>_xlfn.XLOOKUP($A4289,Load!$B:$B,Load!C:C,0,)</f>
        <v>0</v>
      </c>
      <c r="C4289">
        <f>_xlfn.XLOOKUP($A4289,Load!$B:$B,Load!D:D,0,)</f>
        <v>0</v>
      </c>
      <c r="D4289">
        <f>_xlfn.XLOOKUP($A4289,Load!$B:$B,Load!E:E,0,)</f>
        <v>0</v>
      </c>
      <c r="E4289">
        <f>_xlfn.XLOOKUP($A4289,Load!$B:$B,Load!F:F,0,)</f>
        <v>0</v>
      </c>
      <c r="F4289">
        <f>_xlfn.XLOOKUP($A4289,Load!$B:$B,Load!G:G,0,)</f>
        <v>0</v>
      </c>
      <c r="G4289">
        <f>_xlfn.XLOOKUP($A4289,Load!$B:$B,Load!H:H,0,)</f>
        <v>0</v>
      </c>
      <c r="H4289">
        <f>_xlfn.XLOOKUP($A4289,Load!$B:$B,Load!I:I,0,)</f>
        <v>0</v>
      </c>
      <c r="I4289">
        <f>_xlfn.XLOOKUP($A4289,Load!$B:$B,Load!J:J,0,)</f>
        <v>0</v>
      </c>
      <c r="J4289">
        <f>_xlfn.XLOOKUP($A4289,Load!$B:$B,Load!K:K,0,)</f>
        <v>0</v>
      </c>
      <c r="K4289">
        <f>_xlfn.XLOOKUP($A4289,Load!$B:$B,Load!L:L,0,)</f>
        <v>0</v>
      </c>
      <c r="L4289">
        <f>_xlfn.XLOOKUP($A4289,Load!$B:$B,Load!M:M,0,)</f>
        <v>0</v>
      </c>
    </row>
    <row r="4290" spans="1:12" x14ac:dyDescent="0.25">
      <c r="A4290" t="s">
        <v>179</v>
      </c>
      <c r="B4290" t="str">
        <f>_xlfn.XLOOKUP($A4290,Load!$B:$B,Load!C:C,0,)</f>
        <v>Mars Variety Pack</v>
      </c>
      <c r="C4290" t="str">
        <f>_xlfn.XLOOKUP($A4290,Load!$B:$B,Load!D:D,0,)</f>
        <v>Non-Chocolate Candy Only</v>
      </c>
      <c r="D4290" t="str">
        <f>_xlfn.XLOOKUP($A4290,Load!$B:$B,Load!E:E,0,)</f>
        <v>Variety / Mixed Flavors (Fruity, Sour, Seasonal Flavors)</v>
      </c>
      <c r="E4290" t="str">
        <f>_xlfn.XLOOKUP($A4290,Load!$B:$B,Load!F:F,0,)</f>
        <v>Mixed / Combo Packs (Gummy, Chewy, Taffy, etc.)</v>
      </c>
      <c r="F4290" t="str">
        <f>_xlfn.XLOOKUP($A4290,Load!$B:$B,Load!G:G,0,)</f>
        <v>Medium Multipack (40–80 ct)</v>
      </c>
      <c r="G4290" t="str">
        <f>_xlfn.XLOOKUP($A4290,Load!$B:$B,Load!H:H,0,)</f>
        <v>Stand-Up Bag</v>
      </c>
      <c r="H4290" t="str">
        <f>_xlfn.XLOOKUP($A4290,Load!$B:$B,Load!I:I,0,)</f>
        <v>Everyday Candy Shapes (like Original, Gummy bear, Fruit, Jewels, etc.)</v>
      </c>
      <c r="I4290" t="str">
        <f>_xlfn.XLOOKUP($A4290,Load!$B:$B,Load!J:J,0,)</f>
        <v>Seasonal Graphics (Like Bat, Ghost, Pumpkin, Fall Leaves, Eyeballs, etc.)</v>
      </c>
      <c r="J4290" t="str">
        <f>_xlfn.XLOOKUP($A4290,Load!$B:$B,Load!K:K,0,)</f>
        <v>Fun Size / Treat Size</v>
      </c>
      <c r="K4290" t="str">
        <f>_xlfn.XLOOKUP($A4290,Load!$B:$B,Load!L:L,0,)</f>
        <v>Regular/Original Wrapping</v>
      </c>
      <c r="L4290" t="str">
        <f>_xlfn.XLOOKUP($A4290,Load!$B:$B,Load!M:M,0,)</f>
        <v>Multiple Brands / Variety Flavors or Form</v>
      </c>
    </row>
    <row r="4291" spans="1:12" x14ac:dyDescent="0.25">
      <c r="A4291" t="s">
        <v>174</v>
      </c>
      <c r="B4291" t="str">
        <f>_xlfn.XLOOKUP($A4291,Load!$B:$B,Load!C:C,0,)</f>
        <v>Mars Variety Pack</v>
      </c>
      <c r="C4291" t="str">
        <f>_xlfn.XLOOKUP($A4291,Load!$B:$B,Load!D:D,0,)</f>
        <v>Non-Chocolate Candy Only</v>
      </c>
      <c r="D4291" t="str">
        <f>_xlfn.XLOOKUP($A4291,Load!$B:$B,Load!E:E,0,)</f>
        <v>Variety / Mixed Flavors (Fruity, Sour, Seasonal Flavors)</v>
      </c>
      <c r="E4291" t="str">
        <f>_xlfn.XLOOKUP($A4291,Load!$B:$B,Load!F:F,0,)</f>
        <v>Mixed / Combo Packs (Gummy, Chewy, Taffy, etc.)</v>
      </c>
      <c r="F4291" t="str">
        <f>_xlfn.XLOOKUP($A4291,Load!$B:$B,Load!G:G,0,)</f>
        <v>Medium Multipack (40–80 ct)</v>
      </c>
      <c r="G4291" t="str">
        <f>_xlfn.XLOOKUP($A4291,Load!$B:$B,Load!H:H,0,)</f>
        <v>Stand-Up Bag</v>
      </c>
      <c r="H4291" t="str">
        <f>_xlfn.XLOOKUP($A4291,Load!$B:$B,Load!I:I,0,)</f>
        <v>Everyday Candy Shapes (like Original, Gummy bear, Fruit, Jewels, etc.)</v>
      </c>
      <c r="I4291" t="str">
        <f>_xlfn.XLOOKUP($A4291,Load!$B:$B,Load!J:J,0,)</f>
        <v>Seasonal Graphics (Like Bat, Ghost, Pumpkin, Fall Leaves, Eyeballs, etc.)</v>
      </c>
      <c r="J4291" t="str">
        <f>_xlfn.XLOOKUP($A4291,Load!$B:$B,Load!K:K,0,)</f>
        <v>Fun Size / Treat Size</v>
      </c>
      <c r="K4291" t="str">
        <f>_xlfn.XLOOKUP($A4291,Load!$B:$B,Load!L:L,0,)</f>
        <v>Regular/Original Wrapping</v>
      </c>
      <c r="L4291" t="str">
        <f>_xlfn.XLOOKUP($A4291,Load!$B:$B,Load!M:M,0,)</f>
        <v>Multiple Brands / Variety Flavors or Form</v>
      </c>
    </row>
    <row r="4292" spans="1:12" x14ac:dyDescent="0.25">
      <c r="A4292" t="s">
        <v>60</v>
      </c>
      <c r="B4292" t="str">
        <f>_xlfn.XLOOKUP($A4292,Load!$B:$B,Load!C:C,0,)</f>
        <v>Charms</v>
      </c>
      <c r="C4292" t="str">
        <f>_xlfn.XLOOKUP($A4292,Load!$B:$B,Load!D:D,0,)</f>
        <v>Non-Chocolate Candy Only</v>
      </c>
      <c r="D4292" t="str">
        <f>_xlfn.XLOOKUP($A4292,Load!$B:$B,Load!E:E,0,)</f>
        <v>Variety / Mixed Flavors (Fruity, Sour, Seasonal Flavors)</v>
      </c>
      <c r="E4292" t="str">
        <f>_xlfn.XLOOKUP($A4292,Load!$B:$B,Load!F:F,0,)</f>
        <v>Lollipop (regular or lollipop rings)</v>
      </c>
      <c r="F4292" t="str">
        <f>_xlfn.XLOOKUP($A4292,Load!$B:$B,Load!G:G,0,)</f>
        <v>Single Pack</v>
      </c>
      <c r="G4292" t="str">
        <f>_xlfn.XLOOKUP($A4292,Load!$B:$B,Load!H:H,0,)</f>
        <v>Stand-Up Bag</v>
      </c>
      <c r="H4292" t="str">
        <f>_xlfn.XLOOKUP($A4292,Load!$B:$B,Load!I:I,0,)</f>
        <v>Everyday Candy Shapes (like Original, Gummy bear, Fruit, Jewels, etc.)</v>
      </c>
      <c r="I4292" t="str">
        <f>_xlfn.XLOOKUP($A4292,Load!$B:$B,Load!J:J,0,)</f>
        <v>Seasonal Graphics (Like Bat, Ghost, Pumpkin, Fall Leaves, Eyeballs, etc.)</v>
      </c>
      <c r="J4292" t="str">
        <f>_xlfn.XLOOKUP($A4292,Load!$B:$B,Load!K:K,0,)</f>
        <v>Regular Lollipop size (on sticks or rings)</v>
      </c>
      <c r="K4292" t="str">
        <f>_xlfn.XLOOKUP($A4292,Load!$B:$B,Load!L:L,0,)</f>
        <v>Regular/Original Wrapping</v>
      </c>
      <c r="L4292" t="str">
        <f>_xlfn.XLOOKUP($A4292,Load!$B:$B,Load!M:M,0,)</f>
        <v>Single Brand / Variety Flavors or Form</v>
      </c>
    </row>
    <row r="4293" spans="1:12" x14ac:dyDescent="0.25">
      <c r="B4293">
        <f>_xlfn.XLOOKUP($A4293,Load!$B:$B,Load!C:C,0,)</f>
        <v>0</v>
      </c>
      <c r="C4293">
        <f>_xlfn.XLOOKUP($A4293,Load!$B:$B,Load!D:D,0,)</f>
        <v>0</v>
      </c>
      <c r="D4293">
        <f>_xlfn.XLOOKUP($A4293,Load!$B:$B,Load!E:E,0,)</f>
        <v>0</v>
      </c>
      <c r="E4293">
        <f>_xlfn.XLOOKUP($A4293,Load!$B:$B,Load!F:F,0,)</f>
        <v>0</v>
      </c>
      <c r="F4293">
        <f>_xlfn.XLOOKUP($A4293,Load!$B:$B,Load!G:G,0,)</f>
        <v>0</v>
      </c>
      <c r="G4293">
        <f>_xlfn.XLOOKUP($A4293,Load!$B:$B,Load!H:H,0,)</f>
        <v>0</v>
      </c>
      <c r="H4293">
        <f>_xlfn.XLOOKUP($A4293,Load!$B:$B,Load!I:I,0,)</f>
        <v>0</v>
      </c>
      <c r="I4293">
        <f>_xlfn.XLOOKUP($A4293,Load!$B:$B,Load!J:J,0,)</f>
        <v>0</v>
      </c>
      <c r="J4293">
        <f>_xlfn.XLOOKUP($A4293,Load!$B:$B,Load!K:K,0,)</f>
        <v>0</v>
      </c>
      <c r="K4293">
        <f>_xlfn.XLOOKUP($A4293,Load!$B:$B,Load!L:L,0,)</f>
        <v>0</v>
      </c>
      <c r="L4293">
        <f>_xlfn.XLOOKUP($A4293,Load!$B:$B,Load!M:M,0,)</f>
        <v>0</v>
      </c>
    </row>
    <row r="4294" spans="1:12" x14ac:dyDescent="0.25">
      <c r="A4294" t="s">
        <v>326</v>
      </c>
      <c r="B4294" t="str">
        <f>_xlfn.XLOOKUP($A4294,Load!$B:$B,Load!C:C,0,)</f>
        <v>Mondelez Variety Pack</v>
      </c>
      <c r="C4294" t="str">
        <f>_xlfn.XLOOKUP($A4294,Load!$B:$B,Load!D:D,0,)</f>
        <v>Mix of Chocolate and Non-Chocolate Candy</v>
      </c>
      <c r="D4294" t="str">
        <f>_xlfn.XLOOKUP($A4294,Load!$B:$B,Load!E:E,0,)</f>
        <v>Variety / Mixed Flavors (Fruity, Sour, Seasonal Flavors)</v>
      </c>
      <c r="E4294" t="str">
        <f>_xlfn.XLOOKUP($A4294,Load!$B:$B,Load!F:F,0,)</f>
        <v>Mixed / Combo Packs (Gummy, Chewy, Taffy, etc.)</v>
      </c>
      <c r="F4294" t="str">
        <f>_xlfn.XLOOKUP($A4294,Load!$B:$B,Load!G:G,0,)</f>
        <v>Medium Multipack (40–80 ct)</v>
      </c>
      <c r="G4294" t="str">
        <f>_xlfn.XLOOKUP($A4294,Load!$B:$B,Load!H:H,0,)</f>
        <v>Stand-Up Bag</v>
      </c>
      <c r="H4294" t="str">
        <f>_xlfn.XLOOKUP($A4294,Load!$B:$B,Load!I:I,0,)</f>
        <v>Everyday Candy Shapes (like Original, Gummy bear, Fruit, Jewels, etc.)</v>
      </c>
      <c r="I4294" t="str">
        <f>_xlfn.XLOOKUP($A4294,Load!$B:$B,Load!J:J,0,)</f>
        <v>Seasonal Graphics (Like Bat, Ghost, Pumpkin, Fall Leaves, Eyeballs, etc.)</v>
      </c>
      <c r="J4294" t="str">
        <f>_xlfn.XLOOKUP($A4294,Load!$B:$B,Load!K:K,0,)</f>
        <v xml:space="preserve">Variety Candy Sizes </v>
      </c>
      <c r="K4294" t="str">
        <f>_xlfn.XLOOKUP($A4294,Load!$B:$B,Load!L:L,0,)</f>
        <v>Regular/Original Wrapping</v>
      </c>
      <c r="L4294" t="str">
        <f>_xlfn.XLOOKUP($A4294,Load!$B:$B,Load!M:M,0,)</f>
        <v>Multiple Brands / Variety Flavors or Form</v>
      </c>
    </row>
    <row r="4295" spans="1:12" x14ac:dyDescent="0.25">
      <c r="B4295">
        <f>_xlfn.XLOOKUP($A4295,Load!$B:$B,Load!C:C,0,)</f>
        <v>0</v>
      </c>
      <c r="C4295">
        <f>_xlfn.XLOOKUP($A4295,Load!$B:$B,Load!D:D,0,)</f>
        <v>0</v>
      </c>
      <c r="D4295">
        <f>_xlfn.XLOOKUP($A4295,Load!$B:$B,Load!E:E,0,)</f>
        <v>0</v>
      </c>
      <c r="E4295">
        <f>_xlfn.XLOOKUP($A4295,Load!$B:$B,Load!F:F,0,)</f>
        <v>0</v>
      </c>
      <c r="F4295">
        <f>_xlfn.XLOOKUP($A4295,Load!$B:$B,Load!G:G,0,)</f>
        <v>0</v>
      </c>
      <c r="G4295">
        <f>_xlfn.XLOOKUP($A4295,Load!$B:$B,Load!H:H,0,)</f>
        <v>0</v>
      </c>
      <c r="H4295">
        <f>_xlfn.XLOOKUP($A4295,Load!$B:$B,Load!I:I,0,)</f>
        <v>0</v>
      </c>
      <c r="I4295">
        <f>_xlfn.XLOOKUP($A4295,Load!$B:$B,Load!J:J,0,)</f>
        <v>0</v>
      </c>
      <c r="J4295">
        <f>_xlfn.XLOOKUP($A4295,Load!$B:$B,Load!K:K,0,)</f>
        <v>0</v>
      </c>
      <c r="K4295">
        <f>_xlfn.XLOOKUP($A4295,Load!$B:$B,Load!L:L,0,)</f>
        <v>0</v>
      </c>
      <c r="L4295">
        <f>_xlfn.XLOOKUP($A4295,Load!$B:$B,Load!M:M,0,)</f>
        <v>0</v>
      </c>
    </row>
    <row r="4296" spans="1:12" x14ac:dyDescent="0.25">
      <c r="A4296" t="s">
        <v>161</v>
      </c>
      <c r="B4296" t="str">
        <f>_xlfn.XLOOKUP($A4296,Load!$B:$B,Load!C:C,0,)</f>
        <v>Jolly Rancher</v>
      </c>
      <c r="C4296" t="str">
        <f>_xlfn.XLOOKUP($A4296,Load!$B:$B,Load!D:D,0,)</f>
        <v>Non-Chocolate Candy Only</v>
      </c>
      <c r="D4296" t="str">
        <f>_xlfn.XLOOKUP($A4296,Load!$B:$B,Load!E:E,0,)</f>
        <v>Variety / Mixed Flavors (Fruity, Sour, Seasonal Flavors)</v>
      </c>
      <c r="E4296" t="str">
        <f>_xlfn.XLOOKUP($A4296,Load!$B:$B,Load!F:F,0,)</f>
        <v>Mixed / Combo Packs (Gummy, Chewy, Taffy, etc.)</v>
      </c>
      <c r="F4296" t="str">
        <f>_xlfn.XLOOKUP($A4296,Load!$B:$B,Load!G:G,0,)</f>
        <v>Large Multipack (More than 80 ct)</v>
      </c>
      <c r="G4296" t="str">
        <f>_xlfn.XLOOKUP($A4296,Load!$B:$B,Load!H:H,0,)</f>
        <v>Stand-Up Bag</v>
      </c>
      <c r="H4296" t="str">
        <f>_xlfn.XLOOKUP($A4296,Load!$B:$B,Load!I:I,0,)</f>
        <v>Everyday Candy Shapes (like Original, Gummy bear, Fruit, Jewels, etc.)</v>
      </c>
      <c r="I4296" t="str">
        <f>_xlfn.XLOOKUP($A4296,Load!$B:$B,Load!J:J,0,)</f>
        <v>Seasonal Graphics (Like Bat, Ghost, Pumpkin, Fall Leaves, Eyeballs, etc.)</v>
      </c>
      <c r="J4296" t="str">
        <f>_xlfn.XLOOKUP($A4296,Load!$B:$B,Load!K:K,0,)</f>
        <v xml:space="preserve">Variety Candy Sizes </v>
      </c>
      <c r="K4296" t="str">
        <f>_xlfn.XLOOKUP($A4296,Load!$B:$B,Load!L:L,0,)</f>
        <v>Regular/Original Wrapping</v>
      </c>
      <c r="L4296" t="str">
        <f>_xlfn.XLOOKUP($A4296,Load!$B:$B,Load!M:M,0,)</f>
        <v>Single Brand / Variety Flavors or Form</v>
      </c>
    </row>
    <row r="4297" spans="1:12" x14ac:dyDescent="0.25">
      <c r="B4297">
        <f>_xlfn.XLOOKUP($A4297,Load!$B:$B,Load!C:C,0,)</f>
        <v>0</v>
      </c>
      <c r="C4297">
        <f>_xlfn.XLOOKUP($A4297,Load!$B:$B,Load!D:D,0,)</f>
        <v>0</v>
      </c>
      <c r="D4297">
        <f>_xlfn.XLOOKUP($A4297,Load!$B:$B,Load!E:E,0,)</f>
        <v>0</v>
      </c>
      <c r="E4297">
        <f>_xlfn.XLOOKUP($A4297,Load!$B:$B,Load!F:F,0,)</f>
        <v>0</v>
      </c>
      <c r="F4297">
        <f>_xlfn.XLOOKUP($A4297,Load!$B:$B,Load!G:G,0,)</f>
        <v>0</v>
      </c>
      <c r="G4297">
        <f>_xlfn.XLOOKUP($A4297,Load!$B:$B,Load!H:H,0,)</f>
        <v>0</v>
      </c>
      <c r="H4297">
        <f>_xlfn.XLOOKUP($A4297,Load!$B:$B,Load!I:I,0,)</f>
        <v>0</v>
      </c>
      <c r="I4297">
        <f>_xlfn.XLOOKUP($A4297,Load!$B:$B,Load!J:J,0,)</f>
        <v>0</v>
      </c>
      <c r="J4297">
        <f>_xlfn.XLOOKUP($A4297,Load!$B:$B,Load!K:K,0,)</f>
        <v>0</v>
      </c>
      <c r="K4297">
        <f>_xlfn.XLOOKUP($A4297,Load!$B:$B,Load!L:L,0,)</f>
        <v>0</v>
      </c>
      <c r="L4297">
        <f>_xlfn.XLOOKUP($A4297,Load!$B:$B,Load!M:M,0,)</f>
        <v>0</v>
      </c>
    </row>
    <row r="4298" spans="1:12" x14ac:dyDescent="0.25">
      <c r="A4298" t="s">
        <v>471</v>
      </c>
      <c r="B4298" t="str">
        <f>_xlfn.XLOOKUP($A4298,Load!$B:$B,Load!C:C,0,)</f>
        <v>Airheads</v>
      </c>
      <c r="C4298" t="str">
        <f>_xlfn.XLOOKUP($A4298,Load!$B:$B,Load!D:D,0,)</f>
        <v>Non-Chocolate Candy Only</v>
      </c>
      <c r="D4298" t="str">
        <f>_xlfn.XLOOKUP($A4298,Load!$B:$B,Load!E:E,0,)</f>
        <v>Fruit Flavor (Cherry, Grape, Apple, Citrus, Tropical Fruit)</v>
      </c>
      <c r="E4298" t="str">
        <f>_xlfn.XLOOKUP($A4298,Load!$B:$B,Load!F:F,0,)</f>
        <v>Candy Pieces / Bites</v>
      </c>
      <c r="F4298" t="str">
        <f>_xlfn.XLOOKUP($A4298,Load!$B:$B,Load!G:G,0,)</f>
        <v>Small Multipack (Less than 40 ct)</v>
      </c>
      <c r="G4298" t="str">
        <f>_xlfn.XLOOKUP($A4298,Load!$B:$B,Load!H:H,0,)</f>
        <v>Box (theatre box, gift box, carton)</v>
      </c>
      <c r="H4298" t="str">
        <f>_xlfn.XLOOKUP($A4298,Load!$B:$B,Load!I:I,0,)</f>
        <v>Everyday Candy Shapes (like Original, Gummy bear, Fruit, Jewels, etc.)</v>
      </c>
      <c r="I4298" t="str">
        <f>_xlfn.XLOOKUP($A4298,Load!$B:$B,Load!J:J,0,)</f>
        <v>Everyday Graphics</v>
      </c>
      <c r="J4298" t="str">
        <f>_xlfn.XLOOKUP($A4298,Load!$B:$B,Load!K:K,0,)</f>
        <v>Small Pieces (Tiny bite size candies)</v>
      </c>
      <c r="K4298" t="str">
        <f>_xlfn.XLOOKUP($A4298,Load!$B:$B,Load!L:L,0,)</f>
        <v>Regular/Original Wrapping</v>
      </c>
      <c r="L4298" t="str">
        <f>_xlfn.XLOOKUP($A4298,Load!$B:$B,Load!M:M,0,)</f>
        <v>Single Brand / Variety Flavors or Form</v>
      </c>
    </row>
    <row r="4299" spans="1:12" x14ac:dyDescent="0.25">
      <c r="B4299">
        <f>_xlfn.XLOOKUP($A4299,Load!$B:$B,Load!C:C,0,)</f>
        <v>0</v>
      </c>
      <c r="C4299">
        <f>_xlfn.XLOOKUP($A4299,Load!$B:$B,Load!D:D,0,)</f>
        <v>0</v>
      </c>
      <c r="D4299">
        <f>_xlfn.XLOOKUP($A4299,Load!$B:$B,Load!E:E,0,)</f>
        <v>0</v>
      </c>
      <c r="E4299">
        <f>_xlfn.XLOOKUP($A4299,Load!$B:$B,Load!F:F,0,)</f>
        <v>0</v>
      </c>
      <c r="F4299">
        <f>_xlfn.XLOOKUP($A4299,Load!$B:$B,Load!G:G,0,)</f>
        <v>0</v>
      </c>
      <c r="G4299">
        <f>_xlfn.XLOOKUP($A4299,Load!$B:$B,Load!H:H,0,)</f>
        <v>0</v>
      </c>
      <c r="H4299">
        <f>_xlfn.XLOOKUP($A4299,Load!$B:$B,Load!I:I,0,)</f>
        <v>0</v>
      </c>
      <c r="I4299">
        <f>_xlfn.XLOOKUP($A4299,Load!$B:$B,Load!J:J,0,)</f>
        <v>0</v>
      </c>
      <c r="J4299">
        <f>_xlfn.XLOOKUP($A4299,Load!$B:$B,Load!K:K,0,)</f>
        <v>0</v>
      </c>
      <c r="K4299">
        <f>_xlfn.XLOOKUP($A4299,Load!$B:$B,Load!L:L,0,)</f>
        <v>0</v>
      </c>
      <c r="L4299">
        <f>_xlfn.XLOOKUP($A4299,Load!$B:$B,Load!M:M,0,)</f>
        <v>0</v>
      </c>
    </row>
    <row r="4300" spans="1:12" x14ac:dyDescent="0.25">
      <c r="B4300">
        <f>_xlfn.XLOOKUP($A4300,Load!$B:$B,Load!C:C,0,)</f>
        <v>0</v>
      </c>
      <c r="C4300">
        <f>_xlfn.XLOOKUP($A4300,Load!$B:$B,Load!D:D,0,)</f>
        <v>0</v>
      </c>
      <c r="D4300">
        <f>_xlfn.XLOOKUP($A4300,Load!$B:$B,Load!E:E,0,)</f>
        <v>0</v>
      </c>
      <c r="E4300">
        <f>_xlfn.XLOOKUP($A4300,Load!$B:$B,Load!F:F,0,)</f>
        <v>0</v>
      </c>
      <c r="F4300">
        <f>_xlfn.XLOOKUP($A4300,Load!$B:$B,Load!G:G,0,)</f>
        <v>0</v>
      </c>
      <c r="G4300">
        <f>_xlfn.XLOOKUP($A4300,Load!$B:$B,Load!H:H,0,)</f>
        <v>0</v>
      </c>
      <c r="H4300">
        <f>_xlfn.XLOOKUP($A4300,Load!$B:$B,Load!I:I,0,)</f>
        <v>0</v>
      </c>
      <c r="I4300">
        <f>_xlfn.XLOOKUP($A4300,Load!$B:$B,Load!J:J,0,)</f>
        <v>0</v>
      </c>
      <c r="J4300">
        <f>_xlfn.XLOOKUP($A4300,Load!$B:$B,Load!K:K,0,)</f>
        <v>0</v>
      </c>
      <c r="K4300">
        <f>_xlfn.XLOOKUP($A4300,Load!$B:$B,Load!L:L,0,)</f>
        <v>0</v>
      </c>
      <c r="L4300">
        <f>_xlfn.XLOOKUP($A4300,Load!$B:$B,Load!M:M,0,)</f>
        <v>0</v>
      </c>
    </row>
    <row r="4301" spans="1:12" x14ac:dyDescent="0.25">
      <c r="B4301">
        <f>_xlfn.XLOOKUP($A4301,Load!$B:$B,Load!C:C,0,)</f>
        <v>0</v>
      </c>
      <c r="C4301">
        <f>_xlfn.XLOOKUP($A4301,Load!$B:$B,Load!D:D,0,)</f>
        <v>0</v>
      </c>
      <c r="D4301">
        <f>_xlfn.XLOOKUP($A4301,Load!$B:$B,Load!E:E,0,)</f>
        <v>0</v>
      </c>
      <c r="E4301">
        <f>_xlfn.XLOOKUP($A4301,Load!$B:$B,Load!F:F,0,)</f>
        <v>0</v>
      </c>
      <c r="F4301">
        <f>_xlfn.XLOOKUP($A4301,Load!$B:$B,Load!G:G,0,)</f>
        <v>0</v>
      </c>
      <c r="G4301">
        <f>_xlfn.XLOOKUP($A4301,Load!$B:$B,Load!H:H,0,)</f>
        <v>0</v>
      </c>
      <c r="H4301">
        <f>_xlfn.XLOOKUP($A4301,Load!$B:$B,Load!I:I,0,)</f>
        <v>0</v>
      </c>
      <c r="I4301">
        <f>_xlfn.XLOOKUP($A4301,Load!$B:$B,Load!J:J,0,)</f>
        <v>0</v>
      </c>
      <c r="J4301">
        <f>_xlfn.XLOOKUP($A4301,Load!$B:$B,Load!K:K,0,)</f>
        <v>0</v>
      </c>
      <c r="K4301">
        <f>_xlfn.XLOOKUP($A4301,Load!$B:$B,Load!L:L,0,)</f>
        <v>0</v>
      </c>
      <c r="L4301">
        <f>_xlfn.XLOOKUP($A4301,Load!$B:$B,Load!M:M,0,)</f>
        <v>0</v>
      </c>
    </row>
    <row r="4302" spans="1:12" x14ac:dyDescent="0.25">
      <c r="A4302" t="s">
        <v>169</v>
      </c>
      <c r="B4302" t="str">
        <f>_xlfn.XLOOKUP($A4302,Load!$B:$B,Load!C:C,0,)</f>
        <v>Laffy Taffy</v>
      </c>
      <c r="C4302" t="str">
        <f>_xlfn.XLOOKUP($A4302,Load!$B:$B,Load!D:D,0,)</f>
        <v>Non-Chocolate Candy Only</v>
      </c>
      <c r="D4302" t="str">
        <f>_xlfn.XLOOKUP($A4302,Load!$B:$B,Load!E:E,0,)</f>
        <v>Fruit Flavor (Cherry, Grape, Apple, Citrus, Tropical Fruit)</v>
      </c>
      <c r="E4302" t="str">
        <f>_xlfn.XLOOKUP($A4302,Load!$B:$B,Load!F:F,0,)</f>
        <v>Taffy</v>
      </c>
      <c r="F4302" t="str">
        <f>_xlfn.XLOOKUP($A4302,Load!$B:$B,Load!G:G,0,)</f>
        <v>Small Multipack (Less than 40 ct)</v>
      </c>
      <c r="G4302" t="str">
        <f>_xlfn.XLOOKUP($A4302,Load!$B:$B,Load!H:H,0,)</f>
        <v>Laydown Bag</v>
      </c>
      <c r="H4302" t="str">
        <f>_xlfn.XLOOKUP($A4302,Load!$B:$B,Load!I:I,0,)</f>
        <v>Everyday Candy Shapes (like Original, Gummy bear, Fruit, Jewels, etc.)</v>
      </c>
      <c r="I4302" t="str">
        <f>_xlfn.XLOOKUP($A4302,Load!$B:$B,Load!J:J,0,)</f>
        <v>Everyday Graphics</v>
      </c>
      <c r="J4302" t="str">
        <f>_xlfn.XLOOKUP($A4302,Load!$B:$B,Load!K:K,0,)</f>
        <v>Fun Size / Treat Size</v>
      </c>
      <c r="K4302" t="str">
        <f>_xlfn.XLOOKUP($A4302,Load!$B:$B,Load!L:L,0,)</f>
        <v>Regular/Original Wrapping</v>
      </c>
      <c r="L4302" t="str">
        <f>_xlfn.XLOOKUP($A4302,Load!$B:$B,Load!M:M,0,)</f>
        <v>Single Brand / Variety Flavors or Form</v>
      </c>
    </row>
    <row r="4303" spans="1:12" x14ac:dyDescent="0.25">
      <c r="B4303">
        <f>_xlfn.XLOOKUP($A4303,Load!$B:$B,Load!C:C,0,)</f>
        <v>0</v>
      </c>
      <c r="C4303">
        <f>_xlfn.XLOOKUP($A4303,Load!$B:$B,Load!D:D,0,)</f>
        <v>0</v>
      </c>
      <c r="D4303">
        <f>_xlfn.XLOOKUP($A4303,Load!$B:$B,Load!E:E,0,)</f>
        <v>0</v>
      </c>
      <c r="E4303">
        <f>_xlfn.XLOOKUP($A4303,Load!$B:$B,Load!F:F,0,)</f>
        <v>0</v>
      </c>
      <c r="F4303">
        <f>_xlfn.XLOOKUP($A4303,Load!$B:$B,Load!G:G,0,)</f>
        <v>0</v>
      </c>
      <c r="G4303">
        <f>_xlfn.XLOOKUP($A4303,Load!$B:$B,Load!H:H,0,)</f>
        <v>0</v>
      </c>
      <c r="H4303">
        <f>_xlfn.XLOOKUP($A4303,Load!$B:$B,Load!I:I,0,)</f>
        <v>0</v>
      </c>
      <c r="I4303">
        <f>_xlfn.XLOOKUP($A4303,Load!$B:$B,Load!J:J,0,)</f>
        <v>0</v>
      </c>
      <c r="J4303">
        <f>_xlfn.XLOOKUP($A4303,Load!$B:$B,Load!K:K,0,)</f>
        <v>0</v>
      </c>
      <c r="K4303">
        <f>_xlfn.XLOOKUP($A4303,Load!$B:$B,Load!L:L,0,)</f>
        <v>0</v>
      </c>
      <c r="L4303">
        <f>_xlfn.XLOOKUP($A4303,Load!$B:$B,Load!M:M,0,)</f>
        <v>0</v>
      </c>
    </row>
    <row r="4304" spans="1:12" x14ac:dyDescent="0.25">
      <c r="B4304">
        <f>_xlfn.XLOOKUP($A4304,Load!$B:$B,Load!C:C,0,)</f>
        <v>0</v>
      </c>
      <c r="C4304">
        <f>_xlfn.XLOOKUP($A4304,Load!$B:$B,Load!D:D,0,)</f>
        <v>0</v>
      </c>
      <c r="D4304">
        <f>_xlfn.XLOOKUP($A4304,Load!$B:$B,Load!E:E,0,)</f>
        <v>0</v>
      </c>
      <c r="E4304">
        <f>_xlfn.XLOOKUP($A4304,Load!$B:$B,Load!F:F,0,)</f>
        <v>0</v>
      </c>
      <c r="F4304">
        <f>_xlfn.XLOOKUP($A4304,Load!$B:$B,Load!G:G,0,)</f>
        <v>0</v>
      </c>
      <c r="G4304">
        <f>_xlfn.XLOOKUP($A4304,Load!$B:$B,Load!H:H,0,)</f>
        <v>0</v>
      </c>
      <c r="H4304">
        <f>_xlfn.XLOOKUP($A4304,Load!$B:$B,Load!I:I,0,)</f>
        <v>0</v>
      </c>
      <c r="I4304">
        <f>_xlfn.XLOOKUP($A4304,Load!$B:$B,Load!J:J,0,)</f>
        <v>0</v>
      </c>
      <c r="J4304">
        <f>_xlfn.XLOOKUP($A4304,Load!$B:$B,Load!K:K,0,)</f>
        <v>0</v>
      </c>
      <c r="K4304">
        <f>_xlfn.XLOOKUP($A4304,Load!$B:$B,Load!L:L,0,)</f>
        <v>0</v>
      </c>
      <c r="L4304">
        <f>_xlfn.XLOOKUP($A4304,Load!$B:$B,Load!M:M,0,)</f>
        <v>0</v>
      </c>
    </row>
    <row r="4305" spans="1:12" x14ac:dyDescent="0.25">
      <c r="B4305">
        <f>_xlfn.XLOOKUP($A4305,Load!$B:$B,Load!C:C,0,)</f>
        <v>0</v>
      </c>
      <c r="C4305">
        <f>_xlfn.XLOOKUP($A4305,Load!$B:$B,Load!D:D,0,)</f>
        <v>0</v>
      </c>
      <c r="D4305">
        <f>_xlfn.XLOOKUP($A4305,Load!$B:$B,Load!E:E,0,)</f>
        <v>0</v>
      </c>
      <c r="E4305">
        <f>_xlfn.XLOOKUP($A4305,Load!$B:$B,Load!F:F,0,)</f>
        <v>0</v>
      </c>
      <c r="F4305">
        <f>_xlfn.XLOOKUP($A4305,Load!$B:$B,Load!G:G,0,)</f>
        <v>0</v>
      </c>
      <c r="G4305">
        <f>_xlfn.XLOOKUP($A4305,Load!$B:$B,Load!H:H,0,)</f>
        <v>0</v>
      </c>
      <c r="H4305">
        <f>_xlfn.XLOOKUP($A4305,Load!$B:$B,Load!I:I,0,)</f>
        <v>0</v>
      </c>
      <c r="I4305">
        <f>_xlfn.XLOOKUP($A4305,Load!$B:$B,Load!J:J,0,)</f>
        <v>0</v>
      </c>
      <c r="J4305">
        <f>_xlfn.XLOOKUP($A4305,Load!$B:$B,Load!K:K,0,)</f>
        <v>0</v>
      </c>
      <c r="K4305">
        <f>_xlfn.XLOOKUP($A4305,Load!$B:$B,Load!L:L,0,)</f>
        <v>0</v>
      </c>
      <c r="L4305">
        <f>_xlfn.XLOOKUP($A4305,Load!$B:$B,Load!M:M,0,)</f>
        <v>0</v>
      </c>
    </row>
    <row r="4306" spans="1:12" x14ac:dyDescent="0.25">
      <c r="A4306" t="s">
        <v>49</v>
      </c>
      <c r="B4306" t="str">
        <f>_xlfn.XLOOKUP($A4306,Load!$B:$B,Load!C:C,0,)</f>
        <v>Brach's</v>
      </c>
      <c r="C4306" t="str">
        <f>_xlfn.XLOOKUP($A4306,Load!$B:$B,Load!D:D,0,)</f>
        <v>Non-Chocolate Candy Only</v>
      </c>
      <c r="D4306" t="str">
        <f>_xlfn.XLOOKUP($A4306,Load!$B:$B,Load!E:E,0,)</f>
        <v>Fall / Seasonal Flavors (pumpkin spice, caramel apple, candy corn)</v>
      </c>
      <c r="E4306" t="str">
        <f>_xlfn.XLOOKUP($A4306,Load!$B:$B,Load!F:F,0,)</f>
        <v>Candy Pieces / Bites</v>
      </c>
      <c r="F4306" t="str">
        <f>_xlfn.XLOOKUP($A4306,Load!$B:$B,Load!G:G,0,)</f>
        <v>Large Multipack (More than 80 ct)</v>
      </c>
      <c r="G4306" t="str">
        <f>_xlfn.XLOOKUP($A4306,Load!$B:$B,Load!H:H,0,)</f>
        <v>Laydown Bag</v>
      </c>
      <c r="H4306" t="str">
        <f>_xlfn.XLOOKUP($A4306,Load!$B:$B,Load!I:I,0,)</f>
        <v>Seasonal Shapes (like pumpkins, candy corn, ghost, bats, etc.)</v>
      </c>
      <c r="I4306" t="str">
        <f>_xlfn.XLOOKUP($A4306,Load!$B:$B,Load!J:J,0,)</f>
        <v>Seasonal Graphics (Like Bat, Ghost, Pumpkin, Fall Leaves, Eyeballs, etc.)</v>
      </c>
      <c r="J4306" t="str">
        <f>_xlfn.XLOOKUP($A4306,Load!$B:$B,Load!K:K,0,)</f>
        <v>Small Pieces (Tiny bite size candies)</v>
      </c>
      <c r="K4306" t="str">
        <f>_xlfn.XLOOKUP($A4306,Load!$B:$B,Load!L:L,0,)</f>
        <v>Unwrapped</v>
      </c>
      <c r="L4306" t="str">
        <f>_xlfn.XLOOKUP($A4306,Load!$B:$B,Load!M:M,0,)</f>
        <v>Single Brand / Single Flavor or Form</v>
      </c>
    </row>
    <row r="4307" spans="1:12" x14ac:dyDescent="0.25">
      <c r="B4307">
        <f>_xlfn.XLOOKUP($A4307,Load!$B:$B,Load!C:C,0,)</f>
        <v>0</v>
      </c>
      <c r="C4307">
        <f>_xlfn.XLOOKUP($A4307,Load!$B:$B,Load!D:D,0,)</f>
        <v>0</v>
      </c>
      <c r="D4307">
        <f>_xlfn.XLOOKUP($A4307,Load!$B:$B,Load!E:E,0,)</f>
        <v>0</v>
      </c>
      <c r="E4307">
        <f>_xlfn.XLOOKUP($A4307,Load!$B:$B,Load!F:F,0,)</f>
        <v>0</v>
      </c>
      <c r="F4307">
        <f>_xlfn.XLOOKUP($A4307,Load!$B:$B,Load!G:G,0,)</f>
        <v>0</v>
      </c>
      <c r="G4307">
        <f>_xlfn.XLOOKUP($A4307,Load!$B:$B,Load!H:H,0,)</f>
        <v>0</v>
      </c>
      <c r="H4307">
        <f>_xlfn.XLOOKUP($A4307,Load!$B:$B,Load!I:I,0,)</f>
        <v>0</v>
      </c>
      <c r="I4307">
        <f>_xlfn.XLOOKUP($A4307,Load!$B:$B,Load!J:J,0,)</f>
        <v>0</v>
      </c>
      <c r="J4307">
        <f>_xlfn.XLOOKUP($A4307,Load!$B:$B,Load!K:K,0,)</f>
        <v>0</v>
      </c>
      <c r="K4307">
        <f>_xlfn.XLOOKUP($A4307,Load!$B:$B,Load!L:L,0,)</f>
        <v>0</v>
      </c>
      <c r="L4307">
        <f>_xlfn.XLOOKUP($A4307,Load!$B:$B,Load!M:M,0,)</f>
        <v>0</v>
      </c>
    </row>
    <row r="4308" spans="1:12" x14ac:dyDescent="0.25">
      <c r="A4308" t="s">
        <v>218</v>
      </c>
      <c r="B4308" t="str">
        <f>_xlfn.XLOOKUP($A4308,Load!$B:$B,Load!C:C,0,)</f>
        <v>Mondelez Variety Pack</v>
      </c>
      <c r="C4308" t="str">
        <f>_xlfn.XLOOKUP($A4308,Load!$B:$B,Load!D:D,0,)</f>
        <v>Non-Chocolate Candy Only</v>
      </c>
      <c r="D4308" t="str">
        <f>_xlfn.XLOOKUP($A4308,Load!$B:$B,Load!E:E,0,)</f>
        <v>Sour</v>
      </c>
      <c r="E4308" t="str">
        <f>_xlfn.XLOOKUP($A4308,Load!$B:$B,Load!F:F,0,)</f>
        <v>Mixed / Combo Packs (Gummy, Chewy, Taffy, etc.)</v>
      </c>
      <c r="F4308" t="str">
        <f>_xlfn.XLOOKUP($A4308,Load!$B:$B,Load!G:G,0,)</f>
        <v>Large Multipack (More than 80 ct)</v>
      </c>
      <c r="G4308" t="str">
        <f>_xlfn.XLOOKUP($A4308,Load!$B:$B,Load!H:H,0,)</f>
        <v>Stand-Up Bag</v>
      </c>
      <c r="H4308" t="str">
        <f>_xlfn.XLOOKUP($A4308,Load!$B:$B,Load!I:I,0,)</f>
        <v>Seasonal Shapes (like pumpkins, candy corn, ghost, bats, etc.)</v>
      </c>
      <c r="I4308" t="str">
        <f>_xlfn.XLOOKUP($A4308,Load!$B:$B,Load!J:J,0,)</f>
        <v>Seasonal Graphics (Like Bat, Ghost, Pumpkin, Fall Leaves, Eyeballs, etc.)</v>
      </c>
      <c r="J4308" t="str">
        <f>_xlfn.XLOOKUP($A4308,Load!$B:$B,Load!K:K,0,)</f>
        <v>Small Pieces (Tiny bite size candies)</v>
      </c>
      <c r="K4308" t="str">
        <f>_xlfn.XLOOKUP($A4308,Load!$B:$B,Load!L:L,0,)</f>
        <v>Regular/Original Wrapping</v>
      </c>
      <c r="L4308" t="str">
        <f>_xlfn.XLOOKUP($A4308,Load!$B:$B,Load!M:M,0,)</f>
        <v>Multiple Brands / Variety Flavors or Form</v>
      </c>
    </row>
    <row r="4309" spans="1:12" x14ac:dyDescent="0.25">
      <c r="A4309" t="s">
        <v>219</v>
      </c>
      <c r="B4309" t="str">
        <f>_xlfn.XLOOKUP($A4309,Load!$B:$B,Load!C:C,0,)</f>
        <v>Mondelez Variety Pack</v>
      </c>
      <c r="C4309" t="str">
        <f>_xlfn.XLOOKUP($A4309,Load!$B:$B,Load!D:D,0,)</f>
        <v>Non-Chocolate Candy Only</v>
      </c>
      <c r="D4309" t="str">
        <f>_xlfn.XLOOKUP($A4309,Load!$B:$B,Load!E:E,0,)</f>
        <v>Sour</v>
      </c>
      <c r="E4309" t="str">
        <f>_xlfn.XLOOKUP($A4309,Load!$B:$B,Load!F:F,0,)</f>
        <v>Chewy</v>
      </c>
      <c r="F4309" t="str">
        <f>_xlfn.XLOOKUP($A4309,Load!$B:$B,Load!G:G,0,)</f>
        <v>Medium Multipack (40–80 ct)</v>
      </c>
      <c r="G4309" t="str">
        <f>_xlfn.XLOOKUP($A4309,Load!$B:$B,Load!H:H,0,)</f>
        <v>Stand-Up Bag</v>
      </c>
      <c r="H4309" t="str">
        <f>_xlfn.XLOOKUP($A4309,Load!$B:$B,Load!I:I,0,)</f>
        <v>Everyday Candy Shapes (like Original, Gummy bear, Fruit, Jewels, etc.)</v>
      </c>
      <c r="I4309" t="str">
        <f>_xlfn.XLOOKUP($A4309,Load!$B:$B,Load!J:J,0,)</f>
        <v>Seasonal Graphics (Like Bat, Ghost, Pumpkin, Fall Leaves, Eyeballs, etc.)</v>
      </c>
      <c r="J4309" t="str">
        <f>_xlfn.XLOOKUP($A4309,Load!$B:$B,Load!K:K,0,)</f>
        <v>Small Pieces (Tiny bite size candies)</v>
      </c>
      <c r="K4309" t="str">
        <f>_xlfn.XLOOKUP($A4309,Load!$B:$B,Load!L:L,0,)</f>
        <v>Regular/Original Wrapping</v>
      </c>
      <c r="L4309" t="str">
        <f>_xlfn.XLOOKUP($A4309,Load!$B:$B,Load!M:M,0,)</f>
        <v>Multiple Brands / Variety Flavors or Form</v>
      </c>
    </row>
    <row r="4310" spans="1:12" x14ac:dyDescent="0.25">
      <c r="A4310" t="s">
        <v>121</v>
      </c>
      <c r="B4310" t="str">
        <f>_xlfn.XLOOKUP($A4310,Load!$B:$B,Load!C:C,0,)</f>
        <v>HARIBO</v>
      </c>
      <c r="C4310" t="str">
        <f>_xlfn.XLOOKUP($A4310,Load!$B:$B,Load!D:D,0,)</f>
        <v>Non-Chocolate Candy Only</v>
      </c>
      <c r="D4310" t="str">
        <f>_xlfn.XLOOKUP($A4310,Load!$B:$B,Load!E:E,0,)</f>
        <v>Variety / Mixed Flavors (Fruity, Sour, Seasonal Flavors)</v>
      </c>
      <c r="E4310" t="str">
        <f>_xlfn.XLOOKUP($A4310,Load!$B:$B,Load!F:F,0,)</f>
        <v>Gummy</v>
      </c>
      <c r="F4310" t="str">
        <f>_xlfn.XLOOKUP($A4310,Load!$B:$B,Load!G:G,0,)</f>
        <v>Large Multipack (More than 80 ct)</v>
      </c>
      <c r="G4310" t="str">
        <f>_xlfn.XLOOKUP($A4310,Load!$B:$B,Load!H:H,0,)</f>
        <v>Stand-Up Bag</v>
      </c>
      <c r="H4310" t="str">
        <f>_xlfn.XLOOKUP($A4310,Load!$B:$B,Load!I:I,0,)</f>
        <v>Seasonal Shapes (like pumpkins, candy corn, ghost, bats, etc.)</v>
      </c>
      <c r="I4310" t="str">
        <f>_xlfn.XLOOKUP($A4310,Load!$B:$B,Load!J:J,0,)</f>
        <v>Seasonal Graphics (Like Bat, Ghost, Pumpkin, Fall Leaves, Eyeballs, etc.)</v>
      </c>
      <c r="J4310" t="str">
        <f>_xlfn.XLOOKUP($A4310,Load!$B:$B,Load!K:K,0,)</f>
        <v>Fun Size / Treat Size</v>
      </c>
      <c r="K4310" t="str">
        <f>_xlfn.XLOOKUP($A4310,Load!$B:$B,Load!L:L,0,)</f>
        <v>Regular/Original Wrapping</v>
      </c>
      <c r="L4310" t="str">
        <f>_xlfn.XLOOKUP($A4310,Load!$B:$B,Load!M:M,0,)</f>
        <v>Multiple Brands / Variety Flavors or Form</v>
      </c>
    </row>
    <row r="4311" spans="1:12" x14ac:dyDescent="0.25">
      <c r="B4311">
        <f>_xlfn.XLOOKUP($A4311,Load!$B:$B,Load!C:C,0,)</f>
        <v>0</v>
      </c>
      <c r="C4311">
        <f>_xlfn.XLOOKUP($A4311,Load!$B:$B,Load!D:D,0,)</f>
        <v>0</v>
      </c>
      <c r="D4311">
        <f>_xlfn.XLOOKUP($A4311,Load!$B:$B,Load!E:E,0,)</f>
        <v>0</v>
      </c>
      <c r="E4311">
        <f>_xlfn.XLOOKUP($A4311,Load!$B:$B,Load!F:F,0,)</f>
        <v>0</v>
      </c>
      <c r="F4311">
        <f>_xlfn.XLOOKUP($A4311,Load!$B:$B,Load!G:G,0,)</f>
        <v>0</v>
      </c>
      <c r="G4311">
        <f>_xlfn.XLOOKUP($A4311,Load!$B:$B,Load!H:H,0,)</f>
        <v>0</v>
      </c>
      <c r="H4311">
        <f>_xlfn.XLOOKUP($A4311,Load!$B:$B,Load!I:I,0,)</f>
        <v>0</v>
      </c>
      <c r="I4311">
        <f>_xlfn.XLOOKUP($A4311,Load!$B:$B,Load!J:J,0,)</f>
        <v>0</v>
      </c>
      <c r="J4311">
        <f>_xlfn.XLOOKUP($A4311,Load!$B:$B,Load!K:K,0,)</f>
        <v>0</v>
      </c>
      <c r="K4311">
        <f>_xlfn.XLOOKUP($A4311,Load!$B:$B,Load!L:L,0,)</f>
        <v>0</v>
      </c>
      <c r="L4311">
        <f>_xlfn.XLOOKUP($A4311,Load!$B:$B,Load!M:M,0,)</f>
        <v>0</v>
      </c>
    </row>
    <row r="4312" spans="1:12" x14ac:dyDescent="0.25">
      <c r="A4312" t="s">
        <v>244</v>
      </c>
      <c r="B4312" t="str">
        <f>_xlfn.XLOOKUP($A4312,Load!$B:$B,Load!C:C,0,)</f>
        <v>Pez</v>
      </c>
      <c r="C4312" t="str">
        <f>_xlfn.XLOOKUP($A4312,Load!$B:$B,Load!D:D,0,)</f>
        <v>Non-Chocolate Candy Only</v>
      </c>
      <c r="D4312" t="str">
        <f>_xlfn.XLOOKUP($A4312,Load!$B:$B,Load!E:E,0,)</f>
        <v>Fruit Flavor (Cherry, Grape, Apple, Citrus, Tropical Fruit)</v>
      </c>
      <c r="E4312" t="str">
        <f>_xlfn.XLOOKUP($A4312,Load!$B:$B,Load!F:F,0,)</f>
        <v>Hard Candy</v>
      </c>
      <c r="F4312" t="str">
        <f>_xlfn.XLOOKUP($A4312,Load!$B:$B,Load!G:G,0,)</f>
        <v>Single Pack</v>
      </c>
      <c r="G4312" t="str">
        <f>_xlfn.XLOOKUP($A4312,Load!$B:$B,Load!H:H,0,)</f>
        <v>Peg Bag</v>
      </c>
      <c r="H4312" t="str">
        <f>_xlfn.XLOOKUP($A4312,Load!$B:$B,Load!I:I,0,)</f>
        <v>Everyday Candy Shapes (like Original, Gummy bear, Fruit, Jewels, etc.)</v>
      </c>
      <c r="I4312" t="str">
        <f>_xlfn.XLOOKUP($A4312,Load!$B:$B,Load!J:J,0,)</f>
        <v>Seasonal Graphics (Like Bat, Ghost, Pumpkin, Fall Leaves, Eyeballs, etc.)</v>
      </c>
      <c r="J4312" t="str">
        <f>_xlfn.XLOOKUP($A4312,Load!$B:$B,Load!K:K,0,)</f>
        <v>Small Pieces (Tiny bite size candies)</v>
      </c>
      <c r="K4312" t="str">
        <f>_xlfn.XLOOKUP($A4312,Load!$B:$B,Load!L:L,0,)</f>
        <v>Regular/Original Wrapping</v>
      </c>
      <c r="L4312" t="str">
        <f>_xlfn.XLOOKUP($A4312,Load!$B:$B,Load!M:M,0,)</f>
        <v>Single Brand / Variety Flavors or Form</v>
      </c>
    </row>
    <row r="4313" spans="1:12" x14ac:dyDescent="0.25">
      <c r="A4313" t="s">
        <v>260</v>
      </c>
      <c r="B4313" t="str">
        <f>_xlfn.XLOOKUP($A4313,Load!$B:$B,Load!C:C,0,)</f>
        <v>Skittles</v>
      </c>
      <c r="C4313" t="str">
        <f>_xlfn.XLOOKUP($A4313,Load!$B:$B,Load!D:D,0,)</f>
        <v>Non-Chocolate Candy Only</v>
      </c>
      <c r="D4313" t="str">
        <f>_xlfn.XLOOKUP($A4313,Load!$B:$B,Load!E:E,0,)</f>
        <v>Fruit Flavor (Cherry, Grape, Apple, Citrus, Tropical Fruit)</v>
      </c>
      <c r="E4313" t="str">
        <f>_xlfn.XLOOKUP($A4313,Load!$B:$B,Load!F:F,0,)</f>
        <v>Candy Pieces / Bites</v>
      </c>
      <c r="F4313" t="str">
        <f>_xlfn.XLOOKUP($A4313,Load!$B:$B,Load!G:G,0,)</f>
        <v>Single Pack</v>
      </c>
      <c r="G4313" t="str">
        <f>_xlfn.XLOOKUP($A4313,Load!$B:$B,Load!H:H,0,)</f>
        <v>Plastic Cup / Container</v>
      </c>
      <c r="H4313" t="str">
        <f>_xlfn.XLOOKUP($A4313,Load!$B:$B,Load!I:I,0,)</f>
        <v>Everyday Candy Shapes (like Original, Gummy bear, Fruit, Jewels, etc.)</v>
      </c>
      <c r="I4313" t="str">
        <f>_xlfn.XLOOKUP($A4313,Load!$B:$B,Load!J:J,0,)</f>
        <v>Seasonal Graphics (Like Bat, Ghost, Pumpkin, Fall Leaves, Eyeballs, etc.)</v>
      </c>
      <c r="J4313" t="str">
        <f>_xlfn.XLOOKUP($A4313,Load!$B:$B,Load!K:K,0,)</f>
        <v>Small Pieces (Tiny bite size candies)</v>
      </c>
      <c r="K4313" t="str">
        <f>_xlfn.XLOOKUP($A4313,Load!$B:$B,Load!L:L,0,)</f>
        <v>Unwrapped</v>
      </c>
      <c r="L4313" t="str">
        <f>_xlfn.XLOOKUP($A4313,Load!$B:$B,Load!M:M,0,)</f>
        <v>Single Brand / Single Flavor or Form</v>
      </c>
    </row>
    <row r="4314" spans="1:12" x14ac:dyDescent="0.25">
      <c r="A4314" t="s">
        <v>122</v>
      </c>
      <c r="B4314" t="str">
        <f>_xlfn.XLOOKUP($A4314,Load!$B:$B,Load!C:C,0,)</f>
        <v>HARIBO</v>
      </c>
      <c r="C4314" t="str">
        <f>_xlfn.XLOOKUP($A4314,Load!$B:$B,Load!D:D,0,)</f>
        <v>Non-Chocolate Candy Only</v>
      </c>
      <c r="D4314" t="str">
        <f>_xlfn.XLOOKUP($A4314,Load!$B:$B,Load!E:E,0,)</f>
        <v>Variety / Mixed Flavors (Fruity, Sour, Seasonal Flavors)</v>
      </c>
      <c r="E4314" t="str">
        <f>_xlfn.XLOOKUP($A4314,Load!$B:$B,Load!F:F,0,)</f>
        <v>Gummy</v>
      </c>
      <c r="F4314" t="str">
        <f>_xlfn.XLOOKUP($A4314,Load!$B:$B,Load!G:G,0,)</f>
        <v>Medium Multipack (40–80 ct)</v>
      </c>
      <c r="G4314" t="str">
        <f>_xlfn.XLOOKUP($A4314,Load!$B:$B,Load!H:H,0,)</f>
        <v>Laydown Bag</v>
      </c>
      <c r="H4314" t="str">
        <f>_xlfn.XLOOKUP($A4314,Load!$B:$B,Load!I:I,0,)</f>
        <v>Seasonal Shapes (like pumpkins, candy corn, ghost, bats, etc.)</v>
      </c>
      <c r="I4314" t="str">
        <f>_xlfn.XLOOKUP($A4314,Load!$B:$B,Load!J:J,0,)</f>
        <v>Seasonal Graphics (Like Bat, Ghost, Pumpkin, Fall Leaves, Eyeballs, etc.)</v>
      </c>
      <c r="J4314" t="str">
        <f>_xlfn.XLOOKUP($A4314,Load!$B:$B,Load!K:K,0,)</f>
        <v>Small Pieces (Tiny bite size candies)</v>
      </c>
      <c r="K4314" t="str">
        <f>_xlfn.XLOOKUP($A4314,Load!$B:$B,Load!L:L,0,)</f>
        <v>Regular/Original Wrapping</v>
      </c>
      <c r="L4314" t="str">
        <f>_xlfn.XLOOKUP($A4314,Load!$B:$B,Load!M:M,0,)</f>
        <v>Multiple Brands / Variety Flavors or Form</v>
      </c>
    </row>
    <row r="4315" spans="1:12" x14ac:dyDescent="0.25">
      <c r="A4315" t="s">
        <v>150</v>
      </c>
      <c r="B4315" t="str">
        <f>_xlfn.XLOOKUP($A4315,Load!$B:$B,Load!C:C,0,)</f>
        <v>Jolly Rancher</v>
      </c>
      <c r="C4315" t="str">
        <f>_xlfn.XLOOKUP($A4315,Load!$B:$B,Load!D:D,0,)</f>
        <v>Non-Chocolate Candy Only</v>
      </c>
      <c r="D4315" t="str">
        <f>_xlfn.XLOOKUP($A4315,Load!$B:$B,Load!E:E,0,)</f>
        <v>Variety / Mixed Flavors (Fruity, Sour, Seasonal Flavors)</v>
      </c>
      <c r="E4315" t="str">
        <f>_xlfn.XLOOKUP($A4315,Load!$B:$B,Load!F:F,0,)</f>
        <v>Gummy</v>
      </c>
      <c r="F4315" t="str">
        <f>_xlfn.XLOOKUP($A4315,Load!$B:$B,Load!G:G,0,)</f>
        <v>Small Multipack (Less than 40 ct)</v>
      </c>
      <c r="G4315" t="str">
        <f>_xlfn.XLOOKUP($A4315,Load!$B:$B,Load!H:H,0,)</f>
        <v>Laydown Bag</v>
      </c>
      <c r="H4315" t="str">
        <f>_xlfn.XLOOKUP($A4315,Load!$B:$B,Load!I:I,0,)</f>
        <v>Everyday Candy Shapes (like Original, Gummy bear, Fruit, Jewels, etc.)</v>
      </c>
      <c r="I4315" t="str">
        <f>_xlfn.XLOOKUP($A4315,Load!$B:$B,Load!J:J,0,)</f>
        <v>Everyday Graphics</v>
      </c>
      <c r="J4315" t="str">
        <f>_xlfn.XLOOKUP($A4315,Load!$B:$B,Load!K:K,0,)</f>
        <v>Small Pieces (Tiny bite size candies)</v>
      </c>
      <c r="K4315" t="str">
        <f>_xlfn.XLOOKUP($A4315,Load!$B:$B,Load!L:L,0,)</f>
        <v>Regular/Original Wrapping</v>
      </c>
      <c r="L4315" t="str">
        <f>_xlfn.XLOOKUP($A4315,Load!$B:$B,Load!M:M,0,)</f>
        <v>Single Brand / Variety Flavors or Form</v>
      </c>
    </row>
    <row r="4316" spans="1:12" x14ac:dyDescent="0.25">
      <c r="B4316">
        <f>_xlfn.XLOOKUP($A4316,Load!$B:$B,Load!C:C,0,)</f>
        <v>0</v>
      </c>
      <c r="C4316">
        <f>_xlfn.XLOOKUP($A4316,Load!$B:$B,Load!D:D,0,)</f>
        <v>0</v>
      </c>
      <c r="D4316">
        <f>_xlfn.XLOOKUP($A4316,Load!$B:$B,Load!E:E,0,)</f>
        <v>0</v>
      </c>
      <c r="E4316">
        <f>_xlfn.XLOOKUP($A4316,Load!$B:$B,Load!F:F,0,)</f>
        <v>0</v>
      </c>
      <c r="F4316">
        <f>_xlfn.XLOOKUP($A4316,Load!$B:$B,Load!G:G,0,)</f>
        <v>0</v>
      </c>
      <c r="G4316">
        <f>_xlfn.XLOOKUP($A4316,Load!$B:$B,Load!H:H,0,)</f>
        <v>0</v>
      </c>
      <c r="H4316">
        <f>_xlfn.XLOOKUP($A4316,Load!$B:$B,Load!I:I,0,)</f>
        <v>0</v>
      </c>
      <c r="I4316">
        <f>_xlfn.XLOOKUP($A4316,Load!$B:$B,Load!J:J,0,)</f>
        <v>0</v>
      </c>
      <c r="J4316">
        <f>_xlfn.XLOOKUP($A4316,Load!$B:$B,Load!K:K,0,)</f>
        <v>0</v>
      </c>
      <c r="K4316">
        <f>_xlfn.XLOOKUP($A4316,Load!$B:$B,Load!L:L,0,)</f>
        <v>0</v>
      </c>
      <c r="L4316">
        <f>_xlfn.XLOOKUP($A4316,Load!$B:$B,Load!M:M,0,)</f>
        <v>0</v>
      </c>
    </row>
    <row r="4317" spans="1:12" x14ac:dyDescent="0.25">
      <c r="B4317">
        <f>_xlfn.XLOOKUP($A4317,Load!$B:$B,Load!C:C,0,)</f>
        <v>0</v>
      </c>
      <c r="C4317">
        <f>_xlfn.XLOOKUP($A4317,Load!$B:$B,Load!D:D,0,)</f>
        <v>0</v>
      </c>
      <c r="D4317">
        <f>_xlfn.XLOOKUP($A4317,Load!$B:$B,Load!E:E,0,)</f>
        <v>0</v>
      </c>
      <c r="E4317">
        <f>_xlfn.XLOOKUP($A4317,Load!$B:$B,Load!F:F,0,)</f>
        <v>0</v>
      </c>
      <c r="F4317">
        <f>_xlfn.XLOOKUP($A4317,Load!$B:$B,Load!G:G,0,)</f>
        <v>0</v>
      </c>
      <c r="G4317">
        <f>_xlfn.XLOOKUP($A4317,Load!$B:$B,Load!H:H,0,)</f>
        <v>0</v>
      </c>
      <c r="H4317">
        <f>_xlfn.XLOOKUP($A4317,Load!$B:$B,Load!I:I,0,)</f>
        <v>0</v>
      </c>
      <c r="I4317">
        <f>_xlfn.XLOOKUP($A4317,Load!$B:$B,Load!J:J,0,)</f>
        <v>0</v>
      </c>
      <c r="J4317">
        <f>_xlfn.XLOOKUP($A4317,Load!$B:$B,Load!K:K,0,)</f>
        <v>0</v>
      </c>
      <c r="K4317">
        <f>_xlfn.XLOOKUP($A4317,Load!$B:$B,Load!L:L,0,)</f>
        <v>0</v>
      </c>
      <c r="L4317">
        <f>_xlfn.XLOOKUP($A4317,Load!$B:$B,Load!M:M,0,)</f>
        <v>0</v>
      </c>
    </row>
    <row r="4318" spans="1:12" x14ac:dyDescent="0.25">
      <c r="A4318" t="s">
        <v>70</v>
      </c>
      <c r="B4318" t="str">
        <f>_xlfn.XLOOKUP($A4318,Load!$B:$B,Load!C:C,0,)</f>
        <v>Dum Dums</v>
      </c>
      <c r="C4318" t="str">
        <f>_xlfn.XLOOKUP($A4318,Load!$B:$B,Load!D:D,0,)</f>
        <v>Non-Chocolate Candy Only</v>
      </c>
      <c r="D4318" t="str">
        <f>_xlfn.XLOOKUP($A4318,Load!$B:$B,Load!E:E,0,)</f>
        <v>Fall / Seasonal Flavors (pumpkin spice, caramel apple, candy corn)</v>
      </c>
      <c r="E4318" t="str">
        <f>_xlfn.XLOOKUP($A4318,Load!$B:$B,Load!F:F,0,)</f>
        <v>Lollipop (regular or lollipop rings)</v>
      </c>
      <c r="F4318" t="str">
        <f>_xlfn.XLOOKUP($A4318,Load!$B:$B,Load!G:G,0,)</f>
        <v>Single Pack</v>
      </c>
      <c r="G4318" t="str">
        <f>_xlfn.XLOOKUP($A4318,Load!$B:$B,Load!H:H,0,)</f>
        <v>Laydown Bag</v>
      </c>
      <c r="H4318" t="str">
        <f>_xlfn.XLOOKUP($A4318,Load!$B:$B,Load!I:I,0,)</f>
        <v>Everyday Candy Shapes (like Original, Gummy bear, Fruit, Jewels, etc.)</v>
      </c>
      <c r="I4318" t="str">
        <f>_xlfn.XLOOKUP($A4318,Load!$B:$B,Load!J:J,0,)</f>
        <v>Seasonal Graphics (Like Bat, Ghost, Pumpkin, Fall Leaves, Eyeballs, etc.)</v>
      </c>
      <c r="J4318" t="str">
        <f>_xlfn.XLOOKUP($A4318,Load!$B:$B,Load!K:K,0,)</f>
        <v>Regular Lollipop size (on sticks or rings)</v>
      </c>
      <c r="K4318" t="str">
        <f>_xlfn.XLOOKUP($A4318,Load!$B:$B,Load!L:L,0,)</f>
        <v>Regular/Original Wrapping</v>
      </c>
      <c r="L4318" t="str">
        <f>_xlfn.XLOOKUP($A4318,Load!$B:$B,Load!M:M,0,)</f>
        <v>Single Brand / Variety Flavors or Form</v>
      </c>
    </row>
    <row r="4319" spans="1:12" x14ac:dyDescent="0.25">
      <c r="A4319" t="s">
        <v>66</v>
      </c>
      <c r="B4319" t="str">
        <f>_xlfn.XLOOKUP($A4319,Load!$B:$B,Load!C:C,0,)</f>
        <v>Dots</v>
      </c>
      <c r="C4319" t="str">
        <f>_xlfn.XLOOKUP($A4319,Load!$B:$B,Load!D:D,0,)</f>
        <v>Non-Chocolate Candy Only</v>
      </c>
      <c r="D4319" t="str">
        <f>_xlfn.XLOOKUP($A4319,Load!$B:$B,Load!E:E,0,)</f>
        <v>Variety / Mixed Flavors (Fruity, Sour, Seasonal Flavors)</v>
      </c>
      <c r="E4319" t="str">
        <f>_xlfn.XLOOKUP($A4319,Load!$B:$B,Load!F:F,0,)</f>
        <v>Candy Pieces / Bites</v>
      </c>
      <c r="F4319" t="str">
        <f>_xlfn.XLOOKUP($A4319,Load!$B:$B,Load!G:G,0,)</f>
        <v>Small Multipack (Less than 40 ct)</v>
      </c>
      <c r="G4319" t="str">
        <f>_xlfn.XLOOKUP($A4319,Load!$B:$B,Load!H:H,0,)</f>
        <v>Stand-Up Bag</v>
      </c>
      <c r="H4319" t="str">
        <f>_xlfn.XLOOKUP($A4319,Load!$B:$B,Load!I:I,0,)</f>
        <v>Seasonal Shapes (like pumpkins, candy corn, ghost, bats, etc.)</v>
      </c>
      <c r="I4319" t="str">
        <f>_xlfn.XLOOKUP($A4319,Load!$B:$B,Load!J:J,0,)</f>
        <v>Seasonal Graphics (Like Bat, Ghost, Pumpkin, Fall Leaves, Eyeballs, etc.)</v>
      </c>
      <c r="J4319" t="str">
        <f>_xlfn.XLOOKUP($A4319,Load!$B:$B,Load!K:K,0,)</f>
        <v>Fun Size / Treat Size</v>
      </c>
      <c r="K4319" t="str">
        <f>_xlfn.XLOOKUP($A4319,Load!$B:$B,Load!L:L,0,)</f>
        <v>Regular/Original Wrapping</v>
      </c>
      <c r="L4319" t="str">
        <f>_xlfn.XLOOKUP($A4319,Load!$B:$B,Load!M:M,0,)</f>
        <v>Single Brand / Variety Flavors or Form</v>
      </c>
    </row>
    <row r="4320" spans="1:12" x14ac:dyDescent="0.25">
      <c r="A4320" t="s">
        <v>69</v>
      </c>
      <c r="B4320" t="str">
        <f>_xlfn.XLOOKUP($A4320,Load!$B:$B,Load!C:C,0,)</f>
        <v>Dum Dums</v>
      </c>
      <c r="C4320" t="str">
        <f>_xlfn.XLOOKUP($A4320,Load!$B:$B,Load!D:D,0,)</f>
        <v>Non-Chocolate Candy Only</v>
      </c>
      <c r="D4320" t="str">
        <f>_xlfn.XLOOKUP($A4320,Load!$B:$B,Load!E:E,0,)</f>
        <v>Sweet</v>
      </c>
      <c r="E4320" t="str">
        <f>_xlfn.XLOOKUP($A4320,Load!$B:$B,Load!F:F,0,)</f>
        <v>Lollipop (regular or lollipop rings)</v>
      </c>
      <c r="F4320" t="str">
        <f>_xlfn.XLOOKUP($A4320,Load!$B:$B,Load!G:G,0,)</f>
        <v>Single Pack</v>
      </c>
      <c r="G4320" t="str">
        <f>_xlfn.XLOOKUP($A4320,Load!$B:$B,Load!H:H,0,)</f>
        <v>Laydown Bag</v>
      </c>
      <c r="H4320" t="str">
        <f>_xlfn.XLOOKUP($A4320,Load!$B:$B,Load!I:I,0,)</f>
        <v>Seasonal Shapes (like pumpkins, candy corn, ghost, bats, etc.)</v>
      </c>
      <c r="I4320" t="str">
        <f>_xlfn.XLOOKUP($A4320,Load!$B:$B,Load!J:J,0,)</f>
        <v>Seasonal Graphics (Like Bat, Ghost, Pumpkin, Fall Leaves, Eyeballs, etc.)</v>
      </c>
      <c r="J4320" t="str">
        <f>_xlfn.XLOOKUP($A4320,Load!$B:$B,Load!K:K,0,)</f>
        <v>Regular Lollipop size (on sticks or rings)</v>
      </c>
      <c r="K4320" t="str">
        <f>_xlfn.XLOOKUP($A4320,Load!$B:$B,Load!L:L,0,)</f>
        <v>Regular/Original Wrapping</v>
      </c>
      <c r="L4320" t="str">
        <f>_xlfn.XLOOKUP($A4320,Load!$B:$B,Load!M:M,0,)</f>
        <v>Single Brand / Variety Flavors or Form</v>
      </c>
    </row>
    <row r="4321" spans="1:12" x14ac:dyDescent="0.25">
      <c r="A4321" t="s">
        <v>8</v>
      </c>
      <c r="B4321" t="str">
        <f>_xlfn.XLOOKUP($A4321,Load!$B:$B,Load!C:C,0,)</f>
        <v>Airheads</v>
      </c>
      <c r="C4321" t="str">
        <f>_xlfn.XLOOKUP($A4321,Load!$B:$B,Load!D:D,0,)</f>
        <v>Non-Chocolate Candy Only</v>
      </c>
      <c r="D4321" t="str">
        <f>_xlfn.XLOOKUP($A4321,Load!$B:$B,Load!E:E,0,)</f>
        <v>Fruit Flavor (Cherry, Grape, Apple, Citrus, Tropical Fruit)</v>
      </c>
      <c r="E4321" t="str">
        <f>_xlfn.XLOOKUP($A4321,Load!$B:$B,Load!F:F,0,)</f>
        <v>Chewy</v>
      </c>
      <c r="F4321" t="str">
        <f>_xlfn.XLOOKUP($A4321,Load!$B:$B,Load!G:G,0,)</f>
        <v>Small Multipack (Less than 40 ct)</v>
      </c>
      <c r="G4321" t="str">
        <f>_xlfn.XLOOKUP($A4321,Load!$B:$B,Load!H:H,0,)</f>
        <v>Laydown Bag</v>
      </c>
      <c r="H4321" t="str">
        <f>_xlfn.XLOOKUP($A4321,Load!$B:$B,Load!I:I,0,)</f>
        <v>Everyday Candy Shapes (like Original, Gummy bear, Fruit, Jewels, etc.)</v>
      </c>
      <c r="I4321" t="str">
        <f>_xlfn.XLOOKUP($A4321,Load!$B:$B,Load!J:J,0,)</f>
        <v>Everyday Graphics</v>
      </c>
      <c r="J4321" t="str">
        <f>_xlfn.XLOOKUP($A4321,Load!$B:$B,Load!K:K,0,)</f>
        <v>Fun Size / Treat Size</v>
      </c>
      <c r="K4321" t="str">
        <f>_xlfn.XLOOKUP($A4321,Load!$B:$B,Load!L:L,0,)</f>
        <v>Regular/Original Wrapping</v>
      </c>
      <c r="L4321" t="str">
        <f>_xlfn.XLOOKUP($A4321,Load!$B:$B,Load!M:M,0,)</f>
        <v>Single Brand / Variety Flavors or Form</v>
      </c>
    </row>
    <row r="4322" spans="1:12" x14ac:dyDescent="0.25">
      <c r="A4322" t="s">
        <v>116</v>
      </c>
      <c r="B4322" t="str">
        <f>_xlfn.XLOOKUP($A4322,Load!$B:$B,Load!C:C,0,)</f>
        <v>George Howe</v>
      </c>
      <c r="C4322" t="str">
        <f>_xlfn.XLOOKUP($A4322,Load!$B:$B,Load!D:D,0,)</f>
        <v>Mix of Chocolate and Non-Chocolate Candy</v>
      </c>
      <c r="D4322" t="str">
        <f>_xlfn.XLOOKUP($A4322,Load!$B:$B,Load!E:E,0,)</f>
        <v>Fall / Seasonal Flavors (pumpkin spice, caramel apple, candy corn)</v>
      </c>
      <c r="E4322" t="str">
        <f>_xlfn.XLOOKUP($A4322,Load!$B:$B,Load!F:F,0,)</f>
        <v>Candy Pieces / Bites</v>
      </c>
      <c r="F4322" t="str">
        <f>_xlfn.XLOOKUP($A4322,Load!$B:$B,Load!G:G,0,)</f>
        <v>Single Pack</v>
      </c>
      <c r="G4322" t="str">
        <f>_xlfn.XLOOKUP($A4322,Load!$B:$B,Load!H:H,0,)</f>
        <v>Laydown Bag</v>
      </c>
      <c r="H4322" t="str">
        <f>_xlfn.XLOOKUP($A4322,Load!$B:$B,Load!I:I,0,)</f>
        <v>Seasonal Shapes (like pumpkins, candy corn, ghost, bats, etc.)</v>
      </c>
      <c r="I4322" t="str">
        <f>_xlfn.XLOOKUP($A4322,Load!$B:$B,Load!J:J,0,)</f>
        <v>Everyday Graphics</v>
      </c>
      <c r="J4322" t="str">
        <f>_xlfn.XLOOKUP($A4322,Load!$B:$B,Load!K:K,0,)</f>
        <v>Small Pieces (Tiny bite size candies)</v>
      </c>
      <c r="K4322" t="str">
        <f>_xlfn.XLOOKUP($A4322,Load!$B:$B,Load!L:L,0,)</f>
        <v>Unwrapped</v>
      </c>
      <c r="L4322" t="str">
        <f>_xlfn.XLOOKUP($A4322,Load!$B:$B,Load!M:M,0,)</f>
        <v>Single Brand / Variety Flavors or Form</v>
      </c>
    </row>
    <row r="4323" spans="1:12" x14ac:dyDescent="0.25">
      <c r="B4323">
        <f>_xlfn.XLOOKUP($A4323,Load!$B:$B,Load!C:C,0,)</f>
        <v>0</v>
      </c>
      <c r="C4323">
        <f>_xlfn.XLOOKUP($A4323,Load!$B:$B,Load!D:D,0,)</f>
        <v>0</v>
      </c>
      <c r="D4323">
        <f>_xlfn.XLOOKUP($A4323,Load!$B:$B,Load!E:E,0,)</f>
        <v>0</v>
      </c>
      <c r="E4323">
        <f>_xlfn.XLOOKUP($A4323,Load!$B:$B,Load!F:F,0,)</f>
        <v>0</v>
      </c>
      <c r="F4323">
        <f>_xlfn.XLOOKUP($A4323,Load!$B:$B,Load!G:G,0,)</f>
        <v>0</v>
      </c>
      <c r="G4323">
        <f>_xlfn.XLOOKUP($A4323,Load!$B:$B,Load!H:H,0,)</f>
        <v>0</v>
      </c>
      <c r="H4323">
        <f>_xlfn.XLOOKUP($A4323,Load!$B:$B,Load!I:I,0,)</f>
        <v>0</v>
      </c>
      <c r="I4323">
        <f>_xlfn.XLOOKUP($A4323,Load!$B:$B,Load!J:J,0,)</f>
        <v>0</v>
      </c>
      <c r="J4323">
        <f>_xlfn.XLOOKUP($A4323,Load!$B:$B,Load!K:K,0,)</f>
        <v>0</v>
      </c>
      <c r="K4323">
        <f>_xlfn.XLOOKUP($A4323,Load!$B:$B,Load!L:L,0,)</f>
        <v>0</v>
      </c>
      <c r="L4323">
        <f>_xlfn.XLOOKUP($A4323,Load!$B:$B,Load!M:M,0,)</f>
        <v>0</v>
      </c>
    </row>
    <row r="4324" spans="1:12" x14ac:dyDescent="0.25">
      <c r="A4324" t="s">
        <v>129</v>
      </c>
      <c r="B4324" t="str">
        <f>_xlfn.XLOOKUP($A4324,Load!$B:$B,Load!C:C,0,)</f>
        <v>HARIBO</v>
      </c>
      <c r="C4324" t="str">
        <f>_xlfn.XLOOKUP($A4324,Load!$B:$B,Load!D:D,0,)</f>
        <v>Non-Chocolate Candy Only</v>
      </c>
      <c r="D4324" t="str">
        <f>_xlfn.XLOOKUP($A4324,Load!$B:$B,Load!E:E,0,)</f>
        <v>Fruit Flavor (Cherry, Grape, Apple, Citrus, Tropical Fruit)</v>
      </c>
      <c r="E4324" t="str">
        <f>_xlfn.XLOOKUP($A4324,Load!$B:$B,Load!F:F,0,)</f>
        <v>Gummy</v>
      </c>
      <c r="F4324" t="str">
        <f>_xlfn.XLOOKUP($A4324,Load!$B:$B,Load!G:G,0,)</f>
        <v>Single Pack</v>
      </c>
      <c r="G4324" t="str">
        <f>_xlfn.XLOOKUP($A4324,Load!$B:$B,Load!H:H,0,)</f>
        <v>Peg Bag</v>
      </c>
      <c r="H4324" t="str">
        <f>_xlfn.XLOOKUP($A4324,Load!$B:$B,Load!I:I,0,)</f>
        <v>Everyday Candy Shapes (like Original, Gummy bear, Fruit, Jewels, etc.)</v>
      </c>
      <c r="I4324" t="str">
        <f>_xlfn.XLOOKUP($A4324,Load!$B:$B,Load!J:J,0,)</f>
        <v>Everyday Graphics</v>
      </c>
      <c r="J4324" t="str">
        <f>_xlfn.XLOOKUP($A4324,Load!$B:$B,Load!K:K,0,)</f>
        <v>Small Pieces (Tiny bite size candies)</v>
      </c>
      <c r="K4324" t="str">
        <f>_xlfn.XLOOKUP($A4324,Load!$B:$B,Load!L:L,0,)</f>
        <v>Regular/Original Wrapping</v>
      </c>
      <c r="L4324" t="str">
        <f>_xlfn.XLOOKUP($A4324,Load!$B:$B,Load!M:M,0,)</f>
        <v>Single Brand / Variety Flavors or Form</v>
      </c>
    </row>
    <row r="4325" spans="1:12" x14ac:dyDescent="0.25">
      <c r="B4325">
        <f>_xlfn.XLOOKUP($A4325,Load!$B:$B,Load!C:C,0,)</f>
        <v>0</v>
      </c>
      <c r="C4325">
        <f>_xlfn.XLOOKUP($A4325,Load!$B:$B,Load!D:D,0,)</f>
        <v>0</v>
      </c>
      <c r="D4325">
        <f>_xlfn.XLOOKUP($A4325,Load!$B:$B,Load!E:E,0,)</f>
        <v>0</v>
      </c>
      <c r="E4325">
        <f>_xlfn.XLOOKUP($A4325,Load!$B:$B,Load!F:F,0,)</f>
        <v>0</v>
      </c>
      <c r="F4325">
        <f>_xlfn.XLOOKUP($A4325,Load!$B:$B,Load!G:G,0,)</f>
        <v>0</v>
      </c>
      <c r="G4325">
        <f>_xlfn.XLOOKUP($A4325,Load!$B:$B,Load!H:H,0,)</f>
        <v>0</v>
      </c>
      <c r="H4325">
        <f>_xlfn.XLOOKUP($A4325,Load!$B:$B,Load!I:I,0,)</f>
        <v>0</v>
      </c>
      <c r="I4325">
        <f>_xlfn.XLOOKUP($A4325,Load!$B:$B,Load!J:J,0,)</f>
        <v>0</v>
      </c>
      <c r="J4325">
        <f>_xlfn.XLOOKUP($A4325,Load!$B:$B,Load!K:K,0,)</f>
        <v>0</v>
      </c>
      <c r="K4325">
        <f>_xlfn.XLOOKUP($A4325,Load!$B:$B,Load!L:L,0,)</f>
        <v>0</v>
      </c>
      <c r="L4325">
        <f>_xlfn.XLOOKUP($A4325,Load!$B:$B,Load!M:M,0,)</f>
        <v>0</v>
      </c>
    </row>
    <row r="4326" spans="1:12" x14ac:dyDescent="0.25">
      <c r="A4326" t="s">
        <v>90</v>
      </c>
      <c r="B4326" t="str">
        <f>_xlfn.XLOOKUP($A4326,Load!$B:$B,Load!C:C,0,)</f>
        <v>Ferrara Variety Pack</v>
      </c>
      <c r="C4326" t="str">
        <f>_xlfn.XLOOKUP($A4326,Load!$B:$B,Load!D:D,0,)</f>
        <v>Non-Chocolate Candy Only</v>
      </c>
      <c r="D4326" t="str">
        <f>_xlfn.XLOOKUP($A4326,Load!$B:$B,Load!E:E,0,)</f>
        <v>Variety / Mixed Flavors (Fruity, Sour, Seasonal Flavors)</v>
      </c>
      <c r="E4326" t="str">
        <f>_xlfn.XLOOKUP($A4326,Load!$B:$B,Load!F:F,0,)</f>
        <v>Mixed / Combo Packs (Gummy, Chewy, Taffy, etc.)</v>
      </c>
      <c r="F4326" t="str">
        <f>_xlfn.XLOOKUP($A4326,Load!$B:$B,Load!G:G,0,)</f>
        <v>Large Multipack (More than 80 ct)</v>
      </c>
      <c r="G4326" t="str">
        <f>_xlfn.XLOOKUP($A4326,Load!$B:$B,Load!H:H,0,)</f>
        <v>Stand-Up Bag</v>
      </c>
      <c r="H4326" t="str">
        <f>_xlfn.XLOOKUP($A4326,Load!$B:$B,Load!I:I,0,)</f>
        <v>Everyday Candy Shapes (like Original, Gummy bear, Fruit, Jewels, etc.)</v>
      </c>
      <c r="I4326" t="str">
        <f>_xlfn.XLOOKUP($A4326,Load!$B:$B,Load!J:J,0,)</f>
        <v>Seasonal Graphics (Like Bat, Ghost, Pumpkin, Fall Leaves, Eyeballs, etc.)</v>
      </c>
      <c r="J4326" t="str">
        <f>_xlfn.XLOOKUP($A4326,Load!$B:$B,Load!K:K,0,)</f>
        <v xml:space="preserve">Variety Candy Sizes </v>
      </c>
      <c r="K4326" t="str">
        <f>_xlfn.XLOOKUP($A4326,Load!$B:$B,Load!L:L,0,)</f>
        <v>Regular/Original Wrapping</v>
      </c>
      <c r="L4326" t="str">
        <f>_xlfn.XLOOKUP($A4326,Load!$B:$B,Load!M:M,0,)</f>
        <v>Multiple Brands / Variety Flavors or Form</v>
      </c>
    </row>
    <row r="4327" spans="1:12" x14ac:dyDescent="0.25">
      <c r="B4327">
        <f>_xlfn.XLOOKUP($A4327,Load!$B:$B,Load!C:C,0,)</f>
        <v>0</v>
      </c>
      <c r="C4327">
        <f>_xlfn.XLOOKUP($A4327,Load!$B:$B,Load!D:D,0,)</f>
        <v>0</v>
      </c>
      <c r="D4327">
        <f>_xlfn.XLOOKUP($A4327,Load!$B:$B,Load!E:E,0,)</f>
        <v>0</v>
      </c>
      <c r="E4327">
        <f>_xlfn.XLOOKUP($A4327,Load!$B:$B,Load!F:F,0,)</f>
        <v>0</v>
      </c>
      <c r="F4327">
        <f>_xlfn.XLOOKUP($A4327,Load!$B:$B,Load!G:G,0,)</f>
        <v>0</v>
      </c>
      <c r="G4327">
        <f>_xlfn.XLOOKUP($A4327,Load!$B:$B,Load!H:H,0,)</f>
        <v>0</v>
      </c>
      <c r="H4327">
        <f>_xlfn.XLOOKUP($A4327,Load!$B:$B,Load!I:I,0,)</f>
        <v>0</v>
      </c>
      <c r="I4327">
        <f>_xlfn.XLOOKUP($A4327,Load!$B:$B,Load!J:J,0,)</f>
        <v>0</v>
      </c>
      <c r="J4327">
        <f>_xlfn.XLOOKUP($A4327,Load!$B:$B,Load!K:K,0,)</f>
        <v>0</v>
      </c>
      <c r="K4327">
        <f>_xlfn.XLOOKUP($A4327,Load!$B:$B,Load!L:L,0,)</f>
        <v>0</v>
      </c>
      <c r="L4327">
        <f>_xlfn.XLOOKUP($A4327,Load!$B:$B,Load!M:M,0,)</f>
        <v>0</v>
      </c>
    </row>
    <row r="4328" spans="1:12" x14ac:dyDescent="0.25">
      <c r="A4328" t="s">
        <v>107</v>
      </c>
      <c r="B4328" t="str">
        <f>_xlfn.XLOOKUP($A4328,Load!$B:$B,Load!C:C,0,)</f>
        <v>Frankford</v>
      </c>
      <c r="C4328" t="str">
        <f>_xlfn.XLOOKUP($A4328,Load!$B:$B,Load!D:D,0,)</f>
        <v>Non-Chocolate Candy Only</v>
      </c>
      <c r="D4328" t="str">
        <f>_xlfn.XLOOKUP($A4328,Load!$B:$B,Load!E:E,0,)</f>
        <v>Variety / Mixed Flavors (Fruity, Sour, Seasonal Flavors)</v>
      </c>
      <c r="E4328" t="str">
        <f>_xlfn.XLOOKUP($A4328,Load!$B:$B,Load!F:F,0,)</f>
        <v>Mixed / Combo Packs (Gummy, Chewy, Taffy, etc.)</v>
      </c>
      <c r="F4328" t="str">
        <f>_xlfn.XLOOKUP($A4328,Load!$B:$B,Load!G:G,0,)</f>
        <v>Large Multipack (More than 80 ct)</v>
      </c>
      <c r="G4328" t="str">
        <f>_xlfn.XLOOKUP($A4328,Load!$B:$B,Load!H:H,0,)</f>
        <v>Laydown Bag</v>
      </c>
      <c r="H4328" t="str">
        <f>_xlfn.XLOOKUP($A4328,Load!$B:$B,Load!I:I,0,)</f>
        <v>Everyday Candy Shapes (like Original, Gummy bear, Fruit, Jewels, etc.)</v>
      </c>
      <c r="I4328" t="str">
        <f>_xlfn.XLOOKUP($A4328,Load!$B:$B,Load!J:J,0,)</f>
        <v>Seasonal Graphics (Like Bat, Ghost, Pumpkin, Fall Leaves, Eyeballs, etc.)</v>
      </c>
      <c r="J4328" t="str">
        <f>_xlfn.XLOOKUP($A4328,Load!$B:$B,Load!K:K,0,)</f>
        <v xml:space="preserve">Variety Candy Sizes </v>
      </c>
      <c r="K4328" t="str">
        <f>_xlfn.XLOOKUP($A4328,Load!$B:$B,Load!L:L,0,)</f>
        <v>Regular/Original Wrapping</v>
      </c>
      <c r="L4328" t="str">
        <f>_xlfn.XLOOKUP($A4328,Load!$B:$B,Load!M:M,0,)</f>
        <v>Multiple Brands / Variety Flavors or Form</v>
      </c>
    </row>
    <row r="4329" spans="1:12" x14ac:dyDescent="0.25">
      <c r="B4329">
        <f>_xlfn.XLOOKUP($A4329,Load!$B:$B,Load!C:C,0,)</f>
        <v>0</v>
      </c>
      <c r="C4329">
        <f>_xlfn.XLOOKUP($A4329,Load!$B:$B,Load!D:D,0,)</f>
        <v>0</v>
      </c>
      <c r="D4329">
        <f>_xlfn.XLOOKUP($A4329,Load!$B:$B,Load!E:E,0,)</f>
        <v>0</v>
      </c>
      <c r="E4329">
        <f>_xlfn.XLOOKUP($A4329,Load!$B:$B,Load!F:F,0,)</f>
        <v>0</v>
      </c>
      <c r="F4329">
        <f>_xlfn.XLOOKUP($A4329,Load!$B:$B,Load!G:G,0,)</f>
        <v>0</v>
      </c>
      <c r="G4329">
        <f>_xlfn.XLOOKUP($A4329,Load!$B:$B,Load!H:H,0,)</f>
        <v>0</v>
      </c>
      <c r="H4329">
        <f>_xlfn.XLOOKUP($A4329,Load!$B:$B,Load!I:I,0,)</f>
        <v>0</v>
      </c>
      <c r="I4329">
        <f>_xlfn.XLOOKUP($A4329,Load!$B:$B,Load!J:J,0,)</f>
        <v>0</v>
      </c>
      <c r="J4329">
        <f>_xlfn.XLOOKUP($A4329,Load!$B:$B,Load!K:K,0,)</f>
        <v>0</v>
      </c>
      <c r="K4329">
        <f>_xlfn.XLOOKUP($A4329,Load!$B:$B,Load!L:L,0,)</f>
        <v>0</v>
      </c>
      <c r="L4329">
        <f>_xlfn.XLOOKUP($A4329,Load!$B:$B,Load!M:M,0,)</f>
        <v>0</v>
      </c>
    </row>
    <row r="4330" spans="1:12" x14ac:dyDescent="0.25">
      <c r="A4330" t="s">
        <v>120</v>
      </c>
      <c r="B4330" t="str">
        <f>_xlfn.XLOOKUP($A4330,Load!$B:$B,Load!C:C,0,)</f>
        <v>HARIBO</v>
      </c>
      <c r="C4330" t="str">
        <f>_xlfn.XLOOKUP($A4330,Load!$B:$B,Load!D:D,0,)</f>
        <v>Non-Chocolate Candy Only</v>
      </c>
      <c r="D4330" t="str">
        <f>_xlfn.XLOOKUP($A4330,Load!$B:$B,Load!E:E,0,)</f>
        <v>Variety / Mixed Flavors (Fruity, Sour, Seasonal Flavors)</v>
      </c>
      <c r="E4330" t="str">
        <f>_xlfn.XLOOKUP($A4330,Load!$B:$B,Load!F:F,0,)</f>
        <v>Mixed / Combo Packs (Gummy, Chewy, Taffy, etc.)</v>
      </c>
      <c r="F4330" t="str">
        <f>_xlfn.XLOOKUP($A4330,Load!$B:$B,Load!G:G,0,)</f>
        <v>Medium Multipack (40–80 ct)</v>
      </c>
      <c r="G4330" t="str">
        <f>_xlfn.XLOOKUP($A4330,Load!$B:$B,Load!H:H,0,)</f>
        <v>Laydown Bag</v>
      </c>
      <c r="H4330" t="str">
        <f>_xlfn.XLOOKUP($A4330,Load!$B:$B,Load!I:I,0,)</f>
        <v>Seasonal Shapes (like pumpkins, candy corn, ghost, bats, etc.)</v>
      </c>
      <c r="I4330" t="str">
        <f>_xlfn.XLOOKUP($A4330,Load!$B:$B,Load!J:J,0,)</f>
        <v>Seasonal Graphics (Like Bat, Ghost, Pumpkin, Fall Leaves, Eyeballs, etc.)</v>
      </c>
      <c r="J4330" t="str">
        <f>_xlfn.XLOOKUP($A4330,Load!$B:$B,Load!K:K,0,)</f>
        <v>Small Pieces (Tiny bite size candies)</v>
      </c>
      <c r="K4330" t="str">
        <f>_xlfn.XLOOKUP($A4330,Load!$B:$B,Load!L:L,0,)</f>
        <v>Regular/Original Wrapping</v>
      </c>
      <c r="L4330" t="str">
        <f>_xlfn.XLOOKUP($A4330,Load!$B:$B,Load!M:M,0,)</f>
        <v>Single Brand / Variety Flavors or Form</v>
      </c>
    </row>
    <row r="4331" spans="1:12" x14ac:dyDescent="0.25">
      <c r="A4331" t="s">
        <v>136</v>
      </c>
      <c r="B4331" t="str">
        <f>_xlfn.XLOOKUP($A4331,Load!$B:$B,Load!C:C,0,)</f>
        <v>Hershey's Variety Pack + Haribo</v>
      </c>
      <c r="C4331" t="str">
        <f>_xlfn.XLOOKUP($A4331,Load!$B:$B,Load!D:D,0,)</f>
        <v>Non-Chocolate Candy Only</v>
      </c>
      <c r="D4331" t="str">
        <f>_xlfn.XLOOKUP($A4331,Load!$B:$B,Load!E:E,0,)</f>
        <v>Variety / Mixed Flavors (Fruity, Sour, Seasonal Flavors)</v>
      </c>
      <c r="E4331" t="str">
        <f>_xlfn.XLOOKUP($A4331,Load!$B:$B,Load!F:F,0,)</f>
        <v>Mixed / Combo Packs (Gummy, Chewy, Taffy, etc.)</v>
      </c>
      <c r="F4331" t="str">
        <f>_xlfn.XLOOKUP($A4331,Load!$B:$B,Load!G:G,0,)</f>
        <v>Medium Multipack (40–80 ct)</v>
      </c>
      <c r="G4331" t="str">
        <f>_xlfn.XLOOKUP($A4331,Load!$B:$B,Load!H:H,0,)</f>
        <v>Laydown Bag</v>
      </c>
      <c r="H4331" t="str">
        <f>_xlfn.XLOOKUP($A4331,Load!$B:$B,Load!I:I,0,)</f>
        <v>Everyday Candy Shapes (like Original, Gummy bear, Fruit, Jewels, etc.)</v>
      </c>
      <c r="I4331" t="str">
        <f>_xlfn.XLOOKUP($A4331,Load!$B:$B,Load!J:J,0,)</f>
        <v>Seasonal Graphics (Like Bat, Ghost, Pumpkin, Fall Leaves, Eyeballs, etc.)</v>
      </c>
      <c r="J4331" t="str">
        <f>_xlfn.XLOOKUP($A4331,Load!$B:$B,Load!K:K,0,)</f>
        <v xml:space="preserve">Variety Candy Sizes </v>
      </c>
      <c r="K4331" t="str">
        <f>_xlfn.XLOOKUP($A4331,Load!$B:$B,Load!L:L,0,)</f>
        <v>Regular/Original Wrapping</v>
      </c>
      <c r="L4331" t="str">
        <f>_xlfn.XLOOKUP($A4331,Load!$B:$B,Load!M:M,0,)</f>
        <v>Multiple Brands / Variety Flavors or Form</v>
      </c>
    </row>
    <row r="4332" spans="1:12" x14ac:dyDescent="0.25">
      <c r="A4332" t="s">
        <v>49</v>
      </c>
      <c r="B4332" t="str">
        <f>_xlfn.XLOOKUP($A4332,Load!$B:$B,Load!C:C,0,)</f>
        <v>Brach's</v>
      </c>
      <c r="C4332" t="str">
        <f>_xlfn.XLOOKUP($A4332,Load!$B:$B,Load!D:D,0,)</f>
        <v>Non-Chocolate Candy Only</v>
      </c>
      <c r="D4332" t="str">
        <f>_xlfn.XLOOKUP($A4332,Load!$B:$B,Load!E:E,0,)</f>
        <v>Fall / Seasonal Flavors (pumpkin spice, caramel apple, candy corn)</v>
      </c>
      <c r="E4332" t="str">
        <f>_xlfn.XLOOKUP($A4332,Load!$B:$B,Load!F:F,0,)</f>
        <v>Candy Pieces / Bites</v>
      </c>
      <c r="F4332" t="str">
        <f>_xlfn.XLOOKUP($A4332,Load!$B:$B,Load!G:G,0,)</f>
        <v>Large Multipack (More than 80 ct)</v>
      </c>
      <c r="G4332" t="str">
        <f>_xlfn.XLOOKUP($A4332,Load!$B:$B,Load!H:H,0,)</f>
        <v>Laydown Bag</v>
      </c>
      <c r="H4332" t="str">
        <f>_xlfn.XLOOKUP($A4332,Load!$B:$B,Load!I:I,0,)</f>
        <v>Seasonal Shapes (like pumpkins, candy corn, ghost, bats, etc.)</v>
      </c>
      <c r="I4332" t="str">
        <f>_xlfn.XLOOKUP($A4332,Load!$B:$B,Load!J:J,0,)</f>
        <v>Seasonal Graphics (Like Bat, Ghost, Pumpkin, Fall Leaves, Eyeballs, etc.)</v>
      </c>
      <c r="J4332" t="str">
        <f>_xlfn.XLOOKUP($A4332,Load!$B:$B,Load!K:K,0,)</f>
        <v>Small Pieces (Tiny bite size candies)</v>
      </c>
      <c r="K4332" t="str">
        <f>_xlfn.XLOOKUP($A4332,Load!$B:$B,Load!L:L,0,)</f>
        <v>Unwrapped</v>
      </c>
      <c r="L4332" t="str">
        <f>_xlfn.XLOOKUP($A4332,Load!$B:$B,Load!M:M,0,)</f>
        <v>Single Brand / Single Flavor or Form</v>
      </c>
    </row>
    <row r="4333" spans="1:12" x14ac:dyDescent="0.25">
      <c r="B4333">
        <f>_xlfn.XLOOKUP($A4333,Load!$B:$B,Load!C:C,0,)</f>
        <v>0</v>
      </c>
      <c r="C4333">
        <f>_xlfn.XLOOKUP($A4333,Load!$B:$B,Load!D:D,0,)</f>
        <v>0</v>
      </c>
      <c r="D4333">
        <f>_xlfn.XLOOKUP($A4333,Load!$B:$B,Load!E:E,0,)</f>
        <v>0</v>
      </c>
      <c r="E4333">
        <f>_xlfn.XLOOKUP($A4333,Load!$B:$B,Load!F:F,0,)</f>
        <v>0</v>
      </c>
      <c r="F4333">
        <f>_xlfn.XLOOKUP($A4333,Load!$B:$B,Load!G:G,0,)</f>
        <v>0</v>
      </c>
      <c r="G4333">
        <f>_xlfn.XLOOKUP($A4333,Load!$B:$B,Load!H:H,0,)</f>
        <v>0</v>
      </c>
      <c r="H4333">
        <f>_xlfn.XLOOKUP($A4333,Load!$B:$B,Load!I:I,0,)</f>
        <v>0</v>
      </c>
      <c r="I4333">
        <f>_xlfn.XLOOKUP($A4333,Load!$B:$B,Load!J:J,0,)</f>
        <v>0</v>
      </c>
      <c r="J4333">
        <f>_xlfn.XLOOKUP($A4333,Load!$B:$B,Load!K:K,0,)</f>
        <v>0</v>
      </c>
      <c r="K4333">
        <f>_xlfn.XLOOKUP($A4333,Load!$B:$B,Load!L:L,0,)</f>
        <v>0</v>
      </c>
      <c r="L4333">
        <f>_xlfn.XLOOKUP($A4333,Load!$B:$B,Load!M:M,0,)</f>
        <v>0</v>
      </c>
    </row>
    <row r="4334" spans="1:12" x14ac:dyDescent="0.25">
      <c r="A4334" t="s">
        <v>144</v>
      </c>
      <c r="B4334" t="str">
        <f>_xlfn.XLOOKUP($A4334,Load!$B:$B,Load!C:C,0,)</f>
        <v>Hershey's Variety Pack + Haribo</v>
      </c>
      <c r="C4334" t="str">
        <f>_xlfn.XLOOKUP($A4334,Load!$B:$B,Load!D:D,0,)</f>
        <v>Mix of Chocolate and Non-Chocolate Candy</v>
      </c>
      <c r="D4334" t="str">
        <f>_xlfn.XLOOKUP($A4334,Load!$B:$B,Load!E:E,0,)</f>
        <v>Variety / Mixed Flavors (Fruity, Sour, Seasonal Flavors)</v>
      </c>
      <c r="E4334" t="str">
        <f>_xlfn.XLOOKUP($A4334,Load!$B:$B,Load!F:F,0,)</f>
        <v>Mixed / Combo Packs (Gummy, Chewy, Taffy, etc.)</v>
      </c>
      <c r="F4334" t="str">
        <f>_xlfn.XLOOKUP($A4334,Load!$B:$B,Load!G:G,0,)</f>
        <v>Large Multipack (More than 80 ct)</v>
      </c>
      <c r="G4334" t="str">
        <f>_xlfn.XLOOKUP($A4334,Load!$B:$B,Load!H:H,0,)</f>
        <v>Stand-Up Bag</v>
      </c>
      <c r="H4334" t="str">
        <f>_xlfn.XLOOKUP($A4334,Load!$B:$B,Load!I:I,0,)</f>
        <v>Everyday Candy Shapes (like Original, Gummy bear, Fruit, Jewels, etc.)</v>
      </c>
      <c r="I4334" t="str">
        <f>_xlfn.XLOOKUP($A4334,Load!$B:$B,Load!J:J,0,)</f>
        <v>Seasonal Graphics (Like Bat, Ghost, Pumpkin, Fall Leaves, Eyeballs, etc.)</v>
      </c>
      <c r="J4334" t="str">
        <f>_xlfn.XLOOKUP($A4334,Load!$B:$B,Load!K:K,0,)</f>
        <v>Fun Size / Treat Size</v>
      </c>
      <c r="K4334" t="str">
        <f>_xlfn.XLOOKUP($A4334,Load!$B:$B,Load!L:L,0,)</f>
        <v>Regular/Original Wrapping</v>
      </c>
      <c r="L4334" t="str">
        <f>_xlfn.XLOOKUP($A4334,Load!$B:$B,Load!M:M,0,)</f>
        <v>Multiple Brands / Variety Flavors or Form</v>
      </c>
    </row>
    <row r="4335" spans="1:12" x14ac:dyDescent="0.25">
      <c r="B4335">
        <f>_xlfn.XLOOKUP($A4335,Load!$B:$B,Load!C:C,0,)</f>
        <v>0</v>
      </c>
      <c r="C4335">
        <f>_xlfn.XLOOKUP($A4335,Load!$B:$B,Load!D:D,0,)</f>
        <v>0</v>
      </c>
      <c r="D4335">
        <f>_xlfn.XLOOKUP($A4335,Load!$B:$B,Load!E:E,0,)</f>
        <v>0</v>
      </c>
      <c r="E4335">
        <f>_xlfn.XLOOKUP($A4335,Load!$B:$B,Load!F:F,0,)</f>
        <v>0</v>
      </c>
      <c r="F4335">
        <f>_xlfn.XLOOKUP($A4335,Load!$B:$B,Load!G:G,0,)</f>
        <v>0</v>
      </c>
      <c r="G4335">
        <f>_xlfn.XLOOKUP($A4335,Load!$B:$B,Load!H:H,0,)</f>
        <v>0</v>
      </c>
      <c r="H4335">
        <f>_xlfn.XLOOKUP($A4335,Load!$B:$B,Load!I:I,0,)</f>
        <v>0</v>
      </c>
      <c r="I4335">
        <f>_xlfn.XLOOKUP($A4335,Load!$B:$B,Load!J:J,0,)</f>
        <v>0</v>
      </c>
      <c r="J4335">
        <f>_xlfn.XLOOKUP($A4335,Load!$B:$B,Load!K:K,0,)</f>
        <v>0</v>
      </c>
      <c r="K4335">
        <f>_xlfn.XLOOKUP($A4335,Load!$B:$B,Load!L:L,0,)</f>
        <v>0</v>
      </c>
      <c r="L4335">
        <f>_xlfn.XLOOKUP($A4335,Load!$B:$B,Load!M:M,0,)</f>
        <v>0</v>
      </c>
    </row>
    <row r="4336" spans="1:12" x14ac:dyDescent="0.25">
      <c r="B4336">
        <f>_xlfn.XLOOKUP($A4336,Load!$B:$B,Load!C:C,0,)</f>
        <v>0</v>
      </c>
      <c r="C4336">
        <f>_xlfn.XLOOKUP($A4336,Load!$B:$B,Load!D:D,0,)</f>
        <v>0</v>
      </c>
      <c r="D4336">
        <f>_xlfn.XLOOKUP($A4336,Load!$B:$B,Load!E:E,0,)</f>
        <v>0</v>
      </c>
      <c r="E4336">
        <f>_xlfn.XLOOKUP($A4336,Load!$B:$B,Load!F:F,0,)</f>
        <v>0</v>
      </c>
      <c r="F4336">
        <f>_xlfn.XLOOKUP($A4336,Load!$B:$B,Load!G:G,0,)</f>
        <v>0</v>
      </c>
      <c r="G4336">
        <f>_xlfn.XLOOKUP($A4336,Load!$B:$B,Load!H:H,0,)</f>
        <v>0</v>
      </c>
      <c r="H4336">
        <f>_xlfn.XLOOKUP($A4336,Load!$B:$B,Load!I:I,0,)</f>
        <v>0</v>
      </c>
      <c r="I4336">
        <f>_xlfn.XLOOKUP($A4336,Load!$B:$B,Load!J:J,0,)</f>
        <v>0</v>
      </c>
      <c r="J4336">
        <f>_xlfn.XLOOKUP($A4336,Load!$B:$B,Load!K:K,0,)</f>
        <v>0</v>
      </c>
      <c r="K4336">
        <f>_xlfn.XLOOKUP($A4336,Load!$B:$B,Load!L:L,0,)</f>
        <v>0</v>
      </c>
      <c r="L4336">
        <f>_xlfn.XLOOKUP($A4336,Load!$B:$B,Load!M:M,0,)</f>
        <v>0</v>
      </c>
    </row>
    <row r="4337" spans="1:12" x14ac:dyDescent="0.25">
      <c r="B4337">
        <f>_xlfn.XLOOKUP($A4337,Load!$B:$B,Load!C:C,0,)</f>
        <v>0</v>
      </c>
      <c r="C4337">
        <f>_xlfn.XLOOKUP($A4337,Load!$B:$B,Load!D:D,0,)</f>
        <v>0</v>
      </c>
      <c r="D4337">
        <f>_xlfn.XLOOKUP($A4337,Load!$B:$B,Load!E:E,0,)</f>
        <v>0</v>
      </c>
      <c r="E4337">
        <f>_xlfn.XLOOKUP($A4337,Load!$B:$B,Load!F:F,0,)</f>
        <v>0</v>
      </c>
      <c r="F4337">
        <f>_xlfn.XLOOKUP($A4337,Load!$B:$B,Load!G:G,0,)</f>
        <v>0</v>
      </c>
      <c r="G4337">
        <f>_xlfn.XLOOKUP($A4337,Load!$B:$B,Load!H:H,0,)</f>
        <v>0</v>
      </c>
      <c r="H4337">
        <f>_xlfn.XLOOKUP($A4337,Load!$B:$B,Load!I:I,0,)</f>
        <v>0</v>
      </c>
      <c r="I4337">
        <f>_xlfn.XLOOKUP($A4337,Load!$B:$B,Load!J:J,0,)</f>
        <v>0</v>
      </c>
      <c r="J4337">
        <f>_xlfn.XLOOKUP($A4337,Load!$B:$B,Load!K:K,0,)</f>
        <v>0</v>
      </c>
      <c r="K4337">
        <f>_xlfn.XLOOKUP($A4337,Load!$B:$B,Load!L:L,0,)</f>
        <v>0</v>
      </c>
      <c r="L4337">
        <f>_xlfn.XLOOKUP($A4337,Load!$B:$B,Load!M:M,0,)</f>
        <v>0</v>
      </c>
    </row>
    <row r="4338" spans="1:12" x14ac:dyDescent="0.25">
      <c r="A4338" t="s">
        <v>166</v>
      </c>
      <c r="B4338" t="str">
        <f>_xlfn.XLOOKUP($A4338,Load!$B:$B,Load!C:C,0,)</f>
        <v>Kraft</v>
      </c>
      <c r="C4338" t="str">
        <f>_xlfn.XLOOKUP($A4338,Load!$B:$B,Load!D:D,0,)</f>
        <v>Non-Chocolate Candy Only</v>
      </c>
      <c r="D4338" t="str">
        <f>_xlfn.XLOOKUP($A4338,Load!$B:$B,Load!E:E,0,)</f>
        <v>Fall / Seasonal Flavors (pumpkin spice, caramel apple, candy corn)</v>
      </c>
      <c r="E4338" t="str">
        <f>_xlfn.XLOOKUP($A4338,Load!$B:$B,Load!F:F,0,)</f>
        <v>Lollipop (regular or lollipop rings)</v>
      </c>
      <c r="F4338" t="str">
        <f>_xlfn.XLOOKUP($A4338,Load!$B:$B,Load!G:G,0,)</f>
        <v>Single Pack</v>
      </c>
      <c r="G4338" t="str">
        <f>_xlfn.XLOOKUP($A4338,Load!$B:$B,Load!H:H,0,)</f>
        <v>Laydown Bag</v>
      </c>
      <c r="H4338" t="str">
        <f>_xlfn.XLOOKUP($A4338,Load!$B:$B,Load!I:I,0,)</f>
        <v>Everyday Candy Shapes (like Original, Gummy bear, Fruit, Jewels, etc.)</v>
      </c>
      <c r="I4338" t="str">
        <f>_xlfn.XLOOKUP($A4338,Load!$B:$B,Load!J:J,0,)</f>
        <v>Everyday Graphics</v>
      </c>
      <c r="J4338" t="str">
        <f>_xlfn.XLOOKUP($A4338,Load!$B:$B,Load!K:K,0,)</f>
        <v>Small Pieces (Tiny bite size candies)</v>
      </c>
      <c r="K4338" t="str">
        <f>_xlfn.XLOOKUP($A4338,Load!$B:$B,Load!L:L,0,)</f>
        <v>Regular/Original Wrapping</v>
      </c>
      <c r="L4338" t="str">
        <f>_xlfn.XLOOKUP($A4338,Load!$B:$B,Load!M:M,0,)</f>
        <v>Single Brand / Single Flavor or Form</v>
      </c>
    </row>
    <row r="4339" spans="1:12" x14ac:dyDescent="0.25">
      <c r="B4339">
        <f>_xlfn.XLOOKUP($A4339,Load!$B:$B,Load!C:C,0,)</f>
        <v>0</v>
      </c>
      <c r="C4339">
        <f>_xlfn.XLOOKUP($A4339,Load!$B:$B,Load!D:D,0,)</f>
        <v>0</v>
      </c>
      <c r="D4339">
        <f>_xlfn.XLOOKUP($A4339,Load!$B:$B,Load!E:E,0,)</f>
        <v>0</v>
      </c>
      <c r="E4339">
        <f>_xlfn.XLOOKUP($A4339,Load!$B:$B,Load!F:F,0,)</f>
        <v>0</v>
      </c>
      <c r="F4339">
        <f>_xlfn.XLOOKUP($A4339,Load!$B:$B,Load!G:G,0,)</f>
        <v>0</v>
      </c>
      <c r="G4339">
        <f>_xlfn.XLOOKUP($A4339,Load!$B:$B,Load!H:H,0,)</f>
        <v>0</v>
      </c>
      <c r="H4339">
        <f>_xlfn.XLOOKUP($A4339,Load!$B:$B,Load!I:I,0,)</f>
        <v>0</v>
      </c>
      <c r="I4339">
        <f>_xlfn.XLOOKUP($A4339,Load!$B:$B,Load!J:J,0,)</f>
        <v>0</v>
      </c>
      <c r="J4339">
        <f>_xlfn.XLOOKUP($A4339,Load!$B:$B,Load!K:K,0,)</f>
        <v>0</v>
      </c>
      <c r="K4339">
        <f>_xlfn.XLOOKUP($A4339,Load!$B:$B,Load!L:L,0,)</f>
        <v>0</v>
      </c>
      <c r="L4339">
        <f>_xlfn.XLOOKUP($A4339,Load!$B:$B,Load!M:M,0,)</f>
        <v>0</v>
      </c>
    </row>
    <row r="4340" spans="1:12" x14ac:dyDescent="0.25">
      <c r="A4340" t="s">
        <v>477</v>
      </c>
      <c r="B4340" t="str">
        <f>_xlfn.XLOOKUP($A4340,Load!$B:$B,Load!C:C,0,)</f>
        <v>Smarties</v>
      </c>
      <c r="C4340" t="str">
        <f>_xlfn.XLOOKUP($A4340,Load!$B:$B,Load!D:D,0,)</f>
        <v>Non-Chocolate Candy Only</v>
      </c>
      <c r="D4340" t="str">
        <f>_xlfn.XLOOKUP($A4340,Load!$B:$B,Load!E:E,0,)</f>
        <v>Fruit Flavor (Cherry, Grape, Apple, Citrus, Tropical Fruit)</v>
      </c>
      <c r="E4340" t="str">
        <f>_xlfn.XLOOKUP($A4340,Load!$B:$B,Load!F:F,0,)</f>
        <v>Powder / Chalky</v>
      </c>
      <c r="F4340" t="str">
        <f>_xlfn.XLOOKUP($A4340,Load!$B:$B,Load!G:G,0,)</f>
        <v>Single Pack</v>
      </c>
      <c r="G4340" t="str">
        <f>_xlfn.XLOOKUP($A4340,Load!$B:$B,Load!H:H,0,)</f>
        <v>Laydown Bag</v>
      </c>
      <c r="H4340" t="str">
        <f>_xlfn.XLOOKUP($A4340,Load!$B:$B,Load!I:I,0,)</f>
        <v>Everyday Candy Shapes (like Original, Gummy bear, Fruit, Jewels, etc.)</v>
      </c>
      <c r="I4340" t="str">
        <f>_xlfn.XLOOKUP($A4340,Load!$B:$B,Load!J:J,0,)</f>
        <v>Everyday Graphics</v>
      </c>
      <c r="J4340" t="str">
        <f>_xlfn.XLOOKUP($A4340,Load!$B:$B,Load!K:K,0,)</f>
        <v>Small Pieces (Tiny bite size candies)</v>
      </c>
      <c r="K4340" t="str">
        <f>_xlfn.XLOOKUP($A4340,Load!$B:$B,Load!L:L,0,)</f>
        <v>Regular/Original Wrapping</v>
      </c>
      <c r="L4340" t="str">
        <f>_xlfn.XLOOKUP($A4340,Load!$B:$B,Load!M:M,0,)</f>
        <v>Single Brand / Single Flavor or Form</v>
      </c>
    </row>
    <row r="4341" spans="1:12" x14ac:dyDescent="0.25">
      <c r="A4341" t="s">
        <v>264</v>
      </c>
      <c r="B4341" t="str">
        <f>_xlfn.XLOOKUP($A4341,Load!$B:$B,Load!C:C,0,)</f>
        <v>Smarties</v>
      </c>
      <c r="C4341" t="str">
        <f>_xlfn.XLOOKUP($A4341,Load!$B:$B,Load!D:D,0,)</f>
        <v>Non-Chocolate Candy Only</v>
      </c>
      <c r="D4341" t="str">
        <f>_xlfn.XLOOKUP($A4341,Load!$B:$B,Load!E:E,0,)</f>
        <v>Fruit Flavor (Cherry, Grape, Apple, Citrus, Tropical Fruit)</v>
      </c>
      <c r="E4341" t="str">
        <f>_xlfn.XLOOKUP($A4341,Load!$B:$B,Load!F:F,0,)</f>
        <v>Powder / Chalky</v>
      </c>
      <c r="F4341" t="str">
        <f>_xlfn.XLOOKUP($A4341,Load!$B:$B,Load!G:G,0,)</f>
        <v>Single Pack</v>
      </c>
      <c r="G4341" t="str">
        <f>_xlfn.XLOOKUP($A4341,Load!$B:$B,Load!H:H,0,)</f>
        <v>Laydown Bag</v>
      </c>
      <c r="H4341" t="str">
        <f>_xlfn.XLOOKUP($A4341,Load!$B:$B,Load!I:I,0,)</f>
        <v>Everyday Candy Shapes (like Original, Gummy bear, Fruit, Jewels, etc.)</v>
      </c>
      <c r="I4341" t="str">
        <f>_xlfn.XLOOKUP($A4341,Load!$B:$B,Load!J:J,0,)</f>
        <v>Everyday Graphics</v>
      </c>
      <c r="J4341" t="str">
        <f>_xlfn.XLOOKUP($A4341,Load!$B:$B,Load!K:K,0,)</f>
        <v>Small Pieces (Tiny bite size candies)</v>
      </c>
      <c r="K4341" t="str">
        <f>_xlfn.XLOOKUP($A4341,Load!$B:$B,Load!L:L,0,)</f>
        <v>Regular/Original Wrapping</v>
      </c>
      <c r="L4341" t="str">
        <f>_xlfn.XLOOKUP($A4341,Load!$B:$B,Load!M:M,0,)</f>
        <v>Single Brand / Single Flavor or Form</v>
      </c>
    </row>
    <row r="4342" spans="1:12" x14ac:dyDescent="0.25">
      <c r="A4342" t="s">
        <v>271</v>
      </c>
      <c r="B4342" t="str">
        <f>_xlfn.XLOOKUP($A4342,Load!$B:$B,Load!C:C,0,)</f>
        <v>Sour Patch Kids</v>
      </c>
      <c r="C4342" t="str">
        <f>_xlfn.XLOOKUP($A4342,Load!$B:$B,Load!D:D,0,)</f>
        <v>Non-Chocolate Candy Only</v>
      </c>
      <c r="D4342" t="str">
        <f>_xlfn.XLOOKUP($A4342,Load!$B:$B,Load!E:E,0,)</f>
        <v>Sour</v>
      </c>
      <c r="E4342" t="str">
        <f>_xlfn.XLOOKUP($A4342,Load!$B:$B,Load!F:F,0,)</f>
        <v>Chewy</v>
      </c>
      <c r="F4342" t="str">
        <f>_xlfn.XLOOKUP($A4342,Load!$B:$B,Load!G:G,0,)</f>
        <v>Medium Multipack (40–80 ct)</v>
      </c>
      <c r="G4342" t="str">
        <f>_xlfn.XLOOKUP($A4342,Load!$B:$B,Load!H:H,0,)</f>
        <v>Laydown Bag</v>
      </c>
      <c r="H4342" t="str">
        <f>_xlfn.XLOOKUP($A4342,Load!$B:$B,Load!I:I,0,)</f>
        <v>Everyday Candy Shapes (like Original, Gummy bear, Fruit, Jewels, etc.)</v>
      </c>
      <c r="I4342" t="str">
        <f>_xlfn.XLOOKUP($A4342,Load!$B:$B,Load!J:J,0,)</f>
        <v>Seasonal Graphics (Like Bat, Ghost, Pumpkin, Fall Leaves, Eyeballs, etc.)</v>
      </c>
      <c r="J4342" t="str">
        <f>_xlfn.XLOOKUP($A4342,Load!$B:$B,Load!K:K,0,)</f>
        <v>Small Pieces (Tiny bite size candies)</v>
      </c>
      <c r="K4342" t="str">
        <f>_xlfn.XLOOKUP($A4342,Load!$B:$B,Load!L:L,0,)</f>
        <v>Regular/Original Wrapping</v>
      </c>
      <c r="L4342" t="str">
        <f>_xlfn.XLOOKUP($A4342,Load!$B:$B,Load!M:M,0,)</f>
        <v>Single Brand / Variety Flavors or Form</v>
      </c>
    </row>
    <row r="4343" spans="1:12" x14ac:dyDescent="0.25">
      <c r="A4343" t="s">
        <v>237</v>
      </c>
      <c r="B4343" t="str">
        <f>_xlfn.XLOOKUP($A4343,Load!$B:$B,Load!C:C,0,)</f>
        <v>Now &amp; Later</v>
      </c>
      <c r="C4343" t="str">
        <f>_xlfn.XLOOKUP($A4343,Load!$B:$B,Load!D:D,0,)</f>
        <v>Non-Chocolate Candy Only</v>
      </c>
      <c r="D4343" t="str">
        <f>_xlfn.XLOOKUP($A4343,Load!$B:$B,Load!E:E,0,)</f>
        <v>Fruit Flavor (Cherry, Grape, Apple, Citrus, Tropical Fruit)</v>
      </c>
      <c r="E4343" t="str">
        <f>_xlfn.XLOOKUP($A4343,Load!$B:$B,Load!F:F,0,)</f>
        <v>Chewy</v>
      </c>
      <c r="F4343" t="str">
        <f>_xlfn.XLOOKUP($A4343,Load!$B:$B,Load!G:G,0,)</f>
        <v>Medium Multipack (40–80 ct)</v>
      </c>
      <c r="G4343" t="str">
        <f>_xlfn.XLOOKUP($A4343,Load!$B:$B,Load!H:H,0,)</f>
        <v>Laydown Bag</v>
      </c>
      <c r="H4343" t="str">
        <f>_xlfn.XLOOKUP($A4343,Load!$B:$B,Load!I:I,0,)</f>
        <v>Everyday Candy Shapes (like Original, Gummy bear, Fruit, Jewels, etc.)</v>
      </c>
      <c r="I4343" t="str">
        <f>_xlfn.XLOOKUP($A4343,Load!$B:$B,Load!J:J,0,)</f>
        <v>Seasonal Graphics (Like Bat, Ghost, Pumpkin, Fall Leaves, Eyeballs, etc.)</v>
      </c>
      <c r="J4343" t="str">
        <f>_xlfn.XLOOKUP($A4343,Load!$B:$B,Load!K:K,0,)</f>
        <v>Small Pieces (Tiny bite size candies)</v>
      </c>
      <c r="K4343" t="str">
        <f>_xlfn.XLOOKUP($A4343,Load!$B:$B,Load!L:L,0,)</f>
        <v>Regular/Original Wrapping</v>
      </c>
      <c r="L4343" t="str">
        <f>_xlfn.XLOOKUP($A4343,Load!$B:$B,Load!M:M,0,)</f>
        <v>Single Brand / Variety Flavors or Form</v>
      </c>
    </row>
    <row r="4344" spans="1:12" x14ac:dyDescent="0.25">
      <c r="B4344">
        <f>_xlfn.XLOOKUP($A4344,Load!$B:$B,Load!C:C,0,)</f>
        <v>0</v>
      </c>
      <c r="C4344">
        <f>_xlfn.XLOOKUP($A4344,Load!$B:$B,Load!D:D,0,)</f>
        <v>0</v>
      </c>
      <c r="D4344">
        <f>_xlfn.XLOOKUP($A4344,Load!$B:$B,Load!E:E,0,)</f>
        <v>0</v>
      </c>
      <c r="E4344">
        <f>_xlfn.XLOOKUP($A4344,Load!$B:$B,Load!F:F,0,)</f>
        <v>0</v>
      </c>
      <c r="F4344">
        <f>_xlfn.XLOOKUP($A4344,Load!$B:$B,Load!G:G,0,)</f>
        <v>0</v>
      </c>
      <c r="G4344">
        <f>_xlfn.XLOOKUP($A4344,Load!$B:$B,Load!H:H,0,)</f>
        <v>0</v>
      </c>
      <c r="H4344">
        <f>_xlfn.XLOOKUP($A4344,Load!$B:$B,Load!I:I,0,)</f>
        <v>0</v>
      </c>
      <c r="I4344">
        <f>_xlfn.XLOOKUP($A4344,Load!$B:$B,Load!J:J,0,)</f>
        <v>0</v>
      </c>
      <c r="J4344">
        <f>_xlfn.XLOOKUP($A4344,Load!$B:$B,Load!K:K,0,)</f>
        <v>0</v>
      </c>
      <c r="K4344">
        <f>_xlfn.XLOOKUP($A4344,Load!$B:$B,Load!L:L,0,)</f>
        <v>0</v>
      </c>
      <c r="L4344">
        <f>_xlfn.XLOOKUP($A4344,Load!$B:$B,Load!M:M,0,)</f>
        <v>0</v>
      </c>
    </row>
    <row r="4345" spans="1:12" x14ac:dyDescent="0.25">
      <c r="B4345">
        <f>_xlfn.XLOOKUP($A4345,Load!$B:$B,Load!C:C,0,)</f>
        <v>0</v>
      </c>
      <c r="C4345">
        <f>_xlfn.XLOOKUP($A4345,Load!$B:$B,Load!D:D,0,)</f>
        <v>0</v>
      </c>
      <c r="D4345">
        <f>_xlfn.XLOOKUP($A4345,Load!$B:$B,Load!E:E,0,)</f>
        <v>0</v>
      </c>
      <c r="E4345">
        <f>_xlfn.XLOOKUP($A4345,Load!$B:$B,Load!F:F,0,)</f>
        <v>0</v>
      </c>
      <c r="F4345">
        <f>_xlfn.XLOOKUP($A4345,Load!$B:$B,Load!G:G,0,)</f>
        <v>0</v>
      </c>
      <c r="G4345">
        <f>_xlfn.XLOOKUP($A4345,Load!$B:$B,Load!H:H,0,)</f>
        <v>0</v>
      </c>
      <c r="H4345">
        <f>_xlfn.XLOOKUP($A4345,Load!$B:$B,Load!I:I,0,)</f>
        <v>0</v>
      </c>
      <c r="I4345">
        <f>_xlfn.XLOOKUP($A4345,Load!$B:$B,Load!J:J,0,)</f>
        <v>0</v>
      </c>
      <c r="J4345">
        <f>_xlfn.XLOOKUP($A4345,Load!$B:$B,Load!K:K,0,)</f>
        <v>0</v>
      </c>
      <c r="K4345">
        <f>_xlfn.XLOOKUP($A4345,Load!$B:$B,Load!L:L,0,)</f>
        <v>0</v>
      </c>
      <c r="L4345">
        <f>_xlfn.XLOOKUP($A4345,Load!$B:$B,Load!M:M,0,)</f>
        <v>0</v>
      </c>
    </row>
    <row r="4346" spans="1:12" x14ac:dyDescent="0.25">
      <c r="A4346" t="s">
        <v>8</v>
      </c>
      <c r="B4346" t="str">
        <f>_xlfn.XLOOKUP($A4346,Load!$B:$B,Load!C:C,0,)</f>
        <v>Airheads</v>
      </c>
      <c r="C4346" t="str">
        <f>_xlfn.XLOOKUP($A4346,Load!$B:$B,Load!D:D,0,)</f>
        <v>Non-Chocolate Candy Only</v>
      </c>
      <c r="D4346" t="str">
        <f>_xlfn.XLOOKUP($A4346,Load!$B:$B,Load!E:E,0,)</f>
        <v>Fruit Flavor (Cherry, Grape, Apple, Citrus, Tropical Fruit)</v>
      </c>
      <c r="E4346" t="str">
        <f>_xlfn.XLOOKUP($A4346,Load!$B:$B,Load!F:F,0,)</f>
        <v>Chewy</v>
      </c>
      <c r="F4346" t="str">
        <f>_xlfn.XLOOKUP($A4346,Load!$B:$B,Load!G:G,0,)</f>
        <v>Small Multipack (Less than 40 ct)</v>
      </c>
      <c r="G4346" t="str">
        <f>_xlfn.XLOOKUP($A4346,Load!$B:$B,Load!H:H,0,)</f>
        <v>Laydown Bag</v>
      </c>
      <c r="H4346" t="str">
        <f>_xlfn.XLOOKUP($A4346,Load!$B:$B,Load!I:I,0,)</f>
        <v>Everyday Candy Shapes (like Original, Gummy bear, Fruit, Jewels, etc.)</v>
      </c>
      <c r="I4346" t="str">
        <f>_xlfn.XLOOKUP($A4346,Load!$B:$B,Load!J:J,0,)</f>
        <v>Everyday Graphics</v>
      </c>
      <c r="J4346" t="str">
        <f>_xlfn.XLOOKUP($A4346,Load!$B:$B,Load!K:K,0,)</f>
        <v>Fun Size / Treat Size</v>
      </c>
      <c r="K4346" t="str">
        <f>_xlfn.XLOOKUP($A4346,Load!$B:$B,Load!L:L,0,)</f>
        <v>Regular/Original Wrapping</v>
      </c>
      <c r="L4346" t="str">
        <f>_xlfn.XLOOKUP($A4346,Load!$B:$B,Load!M:M,0,)</f>
        <v>Single Brand / Variety Flavors or Form</v>
      </c>
    </row>
    <row r="4347" spans="1:12" x14ac:dyDescent="0.25">
      <c r="A4347" t="s">
        <v>472</v>
      </c>
      <c r="B4347" t="str">
        <f>_xlfn.XLOOKUP($A4347,Load!$B:$B,Load!C:C,0,)</f>
        <v>SweeTARTS</v>
      </c>
      <c r="C4347" t="str">
        <f>_xlfn.XLOOKUP($A4347,Load!$B:$B,Load!D:D,0,)</f>
        <v>Non-Chocolate Candy Only</v>
      </c>
      <c r="D4347" t="str">
        <f>_xlfn.XLOOKUP($A4347,Load!$B:$B,Load!E:E,0,)</f>
        <v>Fruit Flavor (Cherry, Grape, Apple, Citrus, Tropical Fruit)</v>
      </c>
      <c r="E4347" t="str">
        <f>_xlfn.XLOOKUP($A4347,Load!$B:$B,Load!F:F,0,)</f>
        <v>Chewy</v>
      </c>
      <c r="F4347" t="str">
        <f>_xlfn.XLOOKUP($A4347,Load!$B:$B,Load!G:G,0,)</f>
        <v>Small Multipack (Less than 40 ct)</v>
      </c>
      <c r="G4347" t="str">
        <f>_xlfn.XLOOKUP($A4347,Load!$B:$B,Load!H:H,0,)</f>
        <v>Laydown Bag</v>
      </c>
      <c r="H4347" t="str">
        <f>_xlfn.XLOOKUP($A4347,Load!$B:$B,Load!I:I,0,)</f>
        <v>Everyday Candy Shapes (like Original, Gummy bear, Fruit, Jewels, etc.)</v>
      </c>
      <c r="I4347" t="str">
        <f>_xlfn.XLOOKUP($A4347,Load!$B:$B,Load!J:J,0,)</f>
        <v>Everyday Graphics</v>
      </c>
      <c r="J4347" t="str">
        <f>_xlfn.XLOOKUP($A4347,Load!$B:$B,Load!K:K,0,)</f>
        <v>Small Pieces (Tiny bite size candies)</v>
      </c>
      <c r="K4347" t="str">
        <f>_xlfn.XLOOKUP($A4347,Load!$B:$B,Load!L:L,0,)</f>
        <v>unwrapped</v>
      </c>
      <c r="L4347" t="str">
        <f>_xlfn.XLOOKUP($A4347,Load!$B:$B,Load!M:M,0,)</f>
        <v>Single Brand / Single Flavor or Form</v>
      </c>
    </row>
    <row r="4348" spans="1:12" x14ac:dyDescent="0.25">
      <c r="A4348" t="s">
        <v>84</v>
      </c>
      <c r="B4348" t="str">
        <f>_xlfn.XLOOKUP($A4348,Load!$B:$B,Load!C:C,0,)</f>
        <v>Ferrara Variety Pack</v>
      </c>
      <c r="C4348" t="str">
        <f>_xlfn.XLOOKUP($A4348,Load!$B:$B,Load!D:D,0,)</f>
        <v>Non-Chocolate Candy Only</v>
      </c>
      <c r="D4348" t="str">
        <f>_xlfn.XLOOKUP($A4348,Load!$B:$B,Load!E:E,0,)</f>
        <v>Variety / Mixed Flavors (Fruity, Sour, Seasonal Flavors)</v>
      </c>
      <c r="E4348" t="str">
        <f>_xlfn.XLOOKUP($A4348,Load!$B:$B,Load!F:F,0,)</f>
        <v>Mixed / Combo Packs (Gummy, Chewy, Taffy, etc.)</v>
      </c>
      <c r="F4348" t="str">
        <f>_xlfn.XLOOKUP($A4348,Load!$B:$B,Load!G:G,0,)</f>
        <v>Large Multipack (More than 80 ct)</v>
      </c>
      <c r="G4348" t="str">
        <f>_xlfn.XLOOKUP($A4348,Load!$B:$B,Load!H:H,0,)</f>
        <v>Stand-Up Bag</v>
      </c>
      <c r="H4348" t="str">
        <f>_xlfn.XLOOKUP($A4348,Load!$B:$B,Load!I:I,0,)</f>
        <v>Everyday Candy Shapes (like Original, Gummy bear, Fruit, Jewels, etc.)</v>
      </c>
      <c r="I4348" t="str">
        <f>_xlfn.XLOOKUP($A4348,Load!$B:$B,Load!J:J,0,)</f>
        <v>Seasonal Graphics (Like Bat, Ghost, Pumpkin, Fall Leaves, Eyeballs, etc.)</v>
      </c>
      <c r="J4348" t="str">
        <f>_xlfn.XLOOKUP($A4348,Load!$B:$B,Load!K:K,0,)</f>
        <v xml:space="preserve">Variety Candy Sizes </v>
      </c>
      <c r="K4348" t="str">
        <f>_xlfn.XLOOKUP($A4348,Load!$B:$B,Load!L:L,0,)</f>
        <v>Regular/Original Wrapping</v>
      </c>
      <c r="L4348" t="str">
        <f>_xlfn.XLOOKUP($A4348,Load!$B:$B,Load!M:M,0,)</f>
        <v>Multiple Brands / Variety Flavors or Form</v>
      </c>
    </row>
    <row r="4349" spans="1:12" x14ac:dyDescent="0.25">
      <c r="A4349" t="s">
        <v>202</v>
      </c>
      <c r="B4349" t="str">
        <f>_xlfn.XLOOKUP($A4349,Load!$B:$B,Load!C:C,0,)</f>
        <v>Mars Variety Pack</v>
      </c>
      <c r="C4349" t="str">
        <f>_xlfn.XLOOKUP($A4349,Load!$B:$B,Load!D:D,0,)</f>
        <v>Mix of Chocolate and Non-Chocolate Candy</v>
      </c>
      <c r="D4349" t="str">
        <f>_xlfn.XLOOKUP($A4349,Load!$B:$B,Load!E:E,0,)</f>
        <v>Variety / Mixed Flavors (Fruity, Sour, Seasonal Flavors)</v>
      </c>
      <c r="E4349" t="str">
        <f>_xlfn.XLOOKUP($A4349,Load!$B:$B,Load!F:F,0,)</f>
        <v>Mixed / Combo Packs (Gummy, Chewy, Taffy, etc.)</v>
      </c>
      <c r="F4349" t="str">
        <f>_xlfn.XLOOKUP($A4349,Load!$B:$B,Load!G:G,0,)</f>
        <v>Large Multipack (More than 80 ct)</v>
      </c>
      <c r="G4349" t="str">
        <f>_xlfn.XLOOKUP($A4349,Load!$B:$B,Load!H:H,0,)</f>
        <v>Stand-Up Bag</v>
      </c>
      <c r="H4349" t="str">
        <f>_xlfn.XLOOKUP($A4349,Load!$B:$B,Load!I:I,0,)</f>
        <v>Everyday Candy Shapes (like Original, Gummy bear, Fruit, Jewels, etc.)</v>
      </c>
      <c r="I4349" t="str">
        <f>_xlfn.XLOOKUP($A4349,Load!$B:$B,Load!J:J,0,)</f>
        <v>Everyday Graphics</v>
      </c>
      <c r="J4349" t="str">
        <f>_xlfn.XLOOKUP($A4349,Load!$B:$B,Load!K:K,0,)</f>
        <v>Fun Size / Treat Size</v>
      </c>
      <c r="K4349" t="str">
        <f>_xlfn.XLOOKUP($A4349,Load!$B:$B,Load!L:L,0,)</f>
        <v>Regular/Original Wrapping</v>
      </c>
      <c r="L4349" t="str">
        <f>_xlfn.XLOOKUP($A4349,Load!$B:$B,Load!M:M,0,)</f>
        <v>Multiple Brands / Variety Flavors or Form</v>
      </c>
    </row>
    <row r="4350" spans="1:12" x14ac:dyDescent="0.25">
      <c r="A4350" t="s">
        <v>116</v>
      </c>
      <c r="B4350" t="str">
        <f>_xlfn.XLOOKUP($A4350,Load!$B:$B,Load!C:C,0,)</f>
        <v>George Howe</v>
      </c>
      <c r="C4350" t="str">
        <f>_xlfn.XLOOKUP($A4350,Load!$B:$B,Load!D:D,0,)</f>
        <v>Mix of Chocolate and Non-Chocolate Candy</v>
      </c>
      <c r="D4350" t="str">
        <f>_xlfn.XLOOKUP($A4350,Load!$B:$B,Load!E:E,0,)</f>
        <v>Fall / Seasonal Flavors (pumpkin spice, caramel apple, candy corn)</v>
      </c>
      <c r="E4350" t="str">
        <f>_xlfn.XLOOKUP($A4350,Load!$B:$B,Load!F:F,0,)</f>
        <v>Candy Pieces / Bites</v>
      </c>
      <c r="F4350" t="str">
        <f>_xlfn.XLOOKUP($A4350,Load!$B:$B,Load!G:G,0,)</f>
        <v>Single Pack</v>
      </c>
      <c r="G4350" t="str">
        <f>_xlfn.XLOOKUP($A4350,Load!$B:$B,Load!H:H,0,)</f>
        <v>Laydown Bag</v>
      </c>
      <c r="H4350" t="str">
        <f>_xlfn.XLOOKUP($A4350,Load!$B:$B,Load!I:I,0,)</f>
        <v>Seasonal Shapes (like pumpkins, candy corn, ghost, bats, etc.)</v>
      </c>
      <c r="I4350" t="str">
        <f>_xlfn.XLOOKUP($A4350,Load!$B:$B,Load!J:J,0,)</f>
        <v>Everyday Graphics</v>
      </c>
      <c r="J4350" t="str">
        <f>_xlfn.XLOOKUP($A4350,Load!$B:$B,Load!K:K,0,)</f>
        <v>Small Pieces (Tiny bite size candies)</v>
      </c>
      <c r="K4350" t="str">
        <f>_xlfn.XLOOKUP($A4350,Load!$B:$B,Load!L:L,0,)</f>
        <v>Unwrapped</v>
      </c>
      <c r="L4350" t="str">
        <f>_xlfn.XLOOKUP($A4350,Load!$B:$B,Load!M:M,0,)</f>
        <v>Single Brand / Variety Flavors or Form</v>
      </c>
    </row>
    <row r="4351" spans="1:12" x14ac:dyDescent="0.25">
      <c r="B4351">
        <f>_xlfn.XLOOKUP($A4351,Load!$B:$B,Load!C:C,0,)</f>
        <v>0</v>
      </c>
      <c r="C4351">
        <f>_xlfn.XLOOKUP($A4351,Load!$B:$B,Load!D:D,0,)</f>
        <v>0</v>
      </c>
      <c r="D4351">
        <f>_xlfn.XLOOKUP($A4351,Load!$B:$B,Load!E:E,0,)</f>
        <v>0</v>
      </c>
      <c r="E4351">
        <f>_xlfn.XLOOKUP($A4351,Load!$B:$B,Load!F:F,0,)</f>
        <v>0</v>
      </c>
      <c r="F4351">
        <f>_xlfn.XLOOKUP($A4351,Load!$B:$B,Load!G:G,0,)</f>
        <v>0</v>
      </c>
      <c r="G4351">
        <f>_xlfn.XLOOKUP($A4351,Load!$B:$B,Load!H:H,0,)</f>
        <v>0</v>
      </c>
      <c r="H4351">
        <f>_xlfn.XLOOKUP($A4351,Load!$B:$B,Load!I:I,0,)</f>
        <v>0</v>
      </c>
      <c r="I4351">
        <f>_xlfn.XLOOKUP($A4351,Load!$B:$B,Load!J:J,0,)</f>
        <v>0</v>
      </c>
      <c r="J4351">
        <f>_xlfn.XLOOKUP($A4351,Load!$B:$B,Load!K:K,0,)</f>
        <v>0</v>
      </c>
      <c r="K4351">
        <f>_xlfn.XLOOKUP($A4351,Load!$B:$B,Load!L:L,0,)</f>
        <v>0</v>
      </c>
      <c r="L4351">
        <f>_xlfn.XLOOKUP($A4351,Load!$B:$B,Load!M:M,0,)</f>
        <v>0</v>
      </c>
    </row>
    <row r="4352" spans="1:12" x14ac:dyDescent="0.25">
      <c r="A4352" t="s">
        <v>271</v>
      </c>
      <c r="B4352" t="str">
        <f>_xlfn.XLOOKUP($A4352,Load!$B:$B,Load!C:C,0,)</f>
        <v>Sour Patch Kids</v>
      </c>
      <c r="C4352" t="str">
        <f>_xlfn.XLOOKUP($A4352,Load!$B:$B,Load!D:D,0,)</f>
        <v>Non-Chocolate Candy Only</v>
      </c>
      <c r="D4352" t="str">
        <f>_xlfn.XLOOKUP($A4352,Load!$B:$B,Load!E:E,0,)</f>
        <v>Sour</v>
      </c>
      <c r="E4352" t="str">
        <f>_xlfn.XLOOKUP($A4352,Load!$B:$B,Load!F:F,0,)</f>
        <v>Chewy</v>
      </c>
      <c r="F4352" t="str">
        <f>_xlfn.XLOOKUP($A4352,Load!$B:$B,Load!G:G,0,)</f>
        <v>Medium Multipack (40–80 ct)</v>
      </c>
      <c r="G4352" t="str">
        <f>_xlfn.XLOOKUP($A4352,Load!$B:$B,Load!H:H,0,)</f>
        <v>Laydown Bag</v>
      </c>
      <c r="H4352" t="str">
        <f>_xlfn.XLOOKUP($A4352,Load!$B:$B,Load!I:I,0,)</f>
        <v>Everyday Candy Shapes (like Original, Gummy bear, Fruit, Jewels, etc.)</v>
      </c>
      <c r="I4352" t="str">
        <f>_xlfn.XLOOKUP($A4352,Load!$B:$B,Load!J:J,0,)</f>
        <v>Seasonal Graphics (Like Bat, Ghost, Pumpkin, Fall Leaves, Eyeballs, etc.)</v>
      </c>
      <c r="J4352" t="str">
        <f>_xlfn.XLOOKUP($A4352,Load!$B:$B,Load!K:K,0,)</f>
        <v>Small Pieces (Tiny bite size candies)</v>
      </c>
      <c r="K4352" t="str">
        <f>_xlfn.XLOOKUP($A4352,Load!$B:$B,Load!L:L,0,)</f>
        <v>Regular/Original Wrapping</v>
      </c>
      <c r="L4352" t="str">
        <f>_xlfn.XLOOKUP($A4352,Load!$B:$B,Load!M:M,0,)</f>
        <v>Single Brand / Variety Flavors or Form</v>
      </c>
    </row>
    <row r="4353" spans="1:12" x14ac:dyDescent="0.25">
      <c r="B4353">
        <f>_xlfn.XLOOKUP($A4353,Load!$B:$B,Load!C:C,0,)</f>
        <v>0</v>
      </c>
      <c r="C4353">
        <f>_xlfn.XLOOKUP($A4353,Load!$B:$B,Load!D:D,0,)</f>
        <v>0</v>
      </c>
      <c r="D4353">
        <f>_xlfn.XLOOKUP($A4353,Load!$B:$B,Load!E:E,0,)</f>
        <v>0</v>
      </c>
      <c r="E4353">
        <f>_xlfn.XLOOKUP($A4353,Load!$B:$B,Load!F:F,0,)</f>
        <v>0</v>
      </c>
      <c r="F4353">
        <f>_xlfn.XLOOKUP($A4353,Load!$B:$B,Load!G:G,0,)</f>
        <v>0</v>
      </c>
      <c r="G4353">
        <f>_xlfn.XLOOKUP($A4353,Load!$B:$B,Load!H:H,0,)</f>
        <v>0</v>
      </c>
      <c r="H4353">
        <f>_xlfn.XLOOKUP($A4353,Load!$B:$B,Load!I:I,0,)</f>
        <v>0</v>
      </c>
      <c r="I4353">
        <f>_xlfn.XLOOKUP($A4353,Load!$B:$B,Load!J:J,0,)</f>
        <v>0</v>
      </c>
      <c r="J4353">
        <f>_xlfn.XLOOKUP($A4353,Load!$B:$B,Load!K:K,0,)</f>
        <v>0</v>
      </c>
      <c r="K4353">
        <f>_xlfn.XLOOKUP($A4353,Load!$B:$B,Load!L:L,0,)</f>
        <v>0</v>
      </c>
      <c r="L4353">
        <f>_xlfn.XLOOKUP($A4353,Load!$B:$B,Load!M:M,0,)</f>
        <v>0</v>
      </c>
    </row>
    <row r="4354" spans="1:12" x14ac:dyDescent="0.25">
      <c r="A4354" t="s">
        <v>284</v>
      </c>
      <c r="B4354" t="str">
        <f>_xlfn.XLOOKUP($A4354,Load!$B:$B,Load!C:C,0,)</f>
        <v>Starburst</v>
      </c>
      <c r="C4354" t="str">
        <f>_xlfn.XLOOKUP($A4354,Load!$B:$B,Load!D:D,0,)</f>
        <v>Non-Chocolate Candy Only</v>
      </c>
      <c r="D4354" t="str">
        <f>_xlfn.XLOOKUP($A4354,Load!$B:$B,Load!E:E,0,)</f>
        <v>Fruit Flavor (Cherry, Grape, Apple, Citrus, Tropical Fruit)</v>
      </c>
      <c r="E4354" t="str">
        <f>_xlfn.XLOOKUP($A4354,Load!$B:$B,Load!F:F,0,)</f>
        <v>Lollipop (regular or lollipop rings)</v>
      </c>
      <c r="F4354" t="str">
        <f>_xlfn.XLOOKUP($A4354,Load!$B:$B,Load!G:G,0,)</f>
        <v>Single Pack</v>
      </c>
      <c r="G4354" t="str">
        <f>_xlfn.XLOOKUP($A4354,Load!$B:$B,Load!H:H,0,)</f>
        <v>Laydown Bag</v>
      </c>
      <c r="H4354" t="str">
        <f>_xlfn.XLOOKUP($A4354,Load!$B:$B,Load!I:I,0,)</f>
        <v>Everyday Candy Shapes (like Original, Gummy bear, Fruit, Jewels, etc.)</v>
      </c>
      <c r="I4354" t="str">
        <f>_xlfn.XLOOKUP($A4354,Load!$B:$B,Load!J:J,0,)</f>
        <v>Seasonal Graphics (Like Bat, Ghost, Pumpkin, Fall Leaves, Eyeballs, etc.)</v>
      </c>
      <c r="J4354" t="str">
        <f>_xlfn.XLOOKUP($A4354,Load!$B:$B,Load!K:K,0,)</f>
        <v>Regular Lollipop size (on sticks or rings)</v>
      </c>
      <c r="K4354" t="str">
        <f>_xlfn.XLOOKUP($A4354,Load!$B:$B,Load!L:L,0,)</f>
        <v>Regular/Original Wrapping</v>
      </c>
      <c r="L4354" t="str">
        <f>_xlfn.XLOOKUP($A4354,Load!$B:$B,Load!M:M,0,)</f>
        <v>Single Brand / Single Flavor or Form</v>
      </c>
    </row>
    <row r="4355" spans="1:12" x14ac:dyDescent="0.25">
      <c r="A4355" t="s">
        <v>271</v>
      </c>
      <c r="B4355" t="str">
        <f>_xlfn.XLOOKUP($A4355,Load!$B:$B,Load!C:C,0,)</f>
        <v>Sour Patch Kids</v>
      </c>
      <c r="C4355" t="str">
        <f>_xlfn.XLOOKUP($A4355,Load!$B:$B,Load!D:D,0,)</f>
        <v>Non-Chocolate Candy Only</v>
      </c>
      <c r="D4355" t="str">
        <f>_xlfn.XLOOKUP($A4355,Load!$B:$B,Load!E:E,0,)</f>
        <v>Sour</v>
      </c>
      <c r="E4355" t="str">
        <f>_xlfn.XLOOKUP($A4355,Load!$B:$B,Load!F:F,0,)</f>
        <v>Chewy</v>
      </c>
      <c r="F4355" t="str">
        <f>_xlfn.XLOOKUP($A4355,Load!$B:$B,Load!G:G,0,)</f>
        <v>Medium Multipack (40–80 ct)</v>
      </c>
      <c r="G4355" t="str">
        <f>_xlfn.XLOOKUP($A4355,Load!$B:$B,Load!H:H,0,)</f>
        <v>Laydown Bag</v>
      </c>
      <c r="H4355" t="str">
        <f>_xlfn.XLOOKUP($A4355,Load!$B:$B,Load!I:I,0,)</f>
        <v>Everyday Candy Shapes (like Original, Gummy bear, Fruit, Jewels, etc.)</v>
      </c>
      <c r="I4355" t="str">
        <f>_xlfn.XLOOKUP($A4355,Load!$B:$B,Load!J:J,0,)</f>
        <v>Seasonal Graphics (Like Bat, Ghost, Pumpkin, Fall Leaves, Eyeballs, etc.)</v>
      </c>
      <c r="J4355" t="str">
        <f>_xlfn.XLOOKUP($A4355,Load!$B:$B,Load!K:K,0,)</f>
        <v>Small Pieces (Tiny bite size candies)</v>
      </c>
      <c r="K4355" t="str">
        <f>_xlfn.XLOOKUP($A4355,Load!$B:$B,Load!L:L,0,)</f>
        <v>Regular/Original Wrapping</v>
      </c>
      <c r="L4355" t="str">
        <f>_xlfn.XLOOKUP($A4355,Load!$B:$B,Load!M:M,0,)</f>
        <v>Single Brand / Variety Flavors or Form</v>
      </c>
    </row>
    <row r="4356" spans="1:12" x14ac:dyDescent="0.25">
      <c r="A4356" t="s">
        <v>238</v>
      </c>
      <c r="B4356" t="str">
        <f>_xlfn.XLOOKUP($A4356,Load!$B:$B,Load!C:C,0,)</f>
        <v>Peeps</v>
      </c>
      <c r="C4356" t="str">
        <f>_xlfn.XLOOKUP($A4356,Load!$B:$B,Load!D:D,0,)</f>
        <v>Non-Chocolate Candy Only</v>
      </c>
      <c r="D4356" t="str">
        <f>_xlfn.XLOOKUP($A4356,Load!$B:$B,Load!E:E,0,)</f>
        <v>Sweet</v>
      </c>
      <c r="E4356" t="str">
        <f>_xlfn.XLOOKUP($A4356,Load!$B:$B,Load!F:F,0,)</f>
        <v>Foamy / Aerated / Freeze Dried</v>
      </c>
      <c r="F4356" t="str">
        <f>_xlfn.XLOOKUP($A4356,Load!$B:$B,Load!G:G,0,)</f>
        <v>Single Pack</v>
      </c>
      <c r="G4356" t="str">
        <f>_xlfn.XLOOKUP($A4356,Load!$B:$B,Load!H:H,0,)</f>
        <v>Box (theatre box, gift box, carton)</v>
      </c>
      <c r="H4356" t="str">
        <f>_xlfn.XLOOKUP($A4356,Load!$B:$B,Load!I:I,0,)</f>
        <v>Seasonal Shapes (like pumpkins, candy corn, ghost, bats, etc.)</v>
      </c>
      <c r="I4356" t="str">
        <f>_xlfn.XLOOKUP($A4356,Load!$B:$B,Load!J:J,0,)</f>
        <v>Seasonal Graphics (Like Bat, Ghost, Pumpkin, Fall Leaves, Eyeballs, etc.)</v>
      </c>
      <c r="J4356" t="str">
        <f>_xlfn.XLOOKUP($A4356,Load!$B:$B,Load!K:K,0,)</f>
        <v>Fun Size / Treat Size</v>
      </c>
      <c r="K4356" t="str">
        <f>_xlfn.XLOOKUP($A4356,Load!$B:$B,Load!L:L,0,)</f>
        <v>Unwrapped</v>
      </c>
      <c r="L4356" t="str">
        <f>_xlfn.XLOOKUP($A4356,Load!$B:$B,Load!M:M,0,)</f>
        <v>Single Brand / Single Flavor or Form</v>
      </c>
    </row>
    <row r="4357" spans="1:12" x14ac:dyDescent="0.25">
      <c r="A4357" t="s">
        <v>88</v>
      </c>
      <c r="B4357" t="str">
        <f>_xlfn.XLOOKUP($A4357,Load!$B:$B,Load!C:C,0,)</f>
        <v>Ferrara Variety Pack</v>
      </c>
      <c r="C4357" t="str">
        <f>_xlfn.XLOOKUP($A4357,Load!$B:$B,Load!D:D,0,)</f>
        <v>Non-Chocolate Candy Only</v>
      </c>
      <c r="D4357" t="str">
        <f>_xlfn.XLOOKUP($A4357,Load!$B:$B,Load!E:E,0,)</f>
        <v>Variety / Mixed Flavors (Fruity, Sour, Seasonal Flavors)</v>
      </c>
      <c r="E4357" t="str">
        <f>_xlfn.XLOOKUP($A4357,Load!$B:$B,Load!F:F,0,)</f>
        <v>Mixed / Combo Packs (Gummy, Chewy, Taffy, etc.)</v>
      </c>
      <c r="F4357" t="str">
        <f>_xlfn.XLOOKUP($A4357,Load!$B:$B,Load!G:G,0,)</f>
        <v>Small Multipack (Less than 40 ct)</v>
      </c>
      <c r="G4357" t="str">
        <f>_xlfn.XLOOKUP($A4357,Load!$B:$B,Load!H:H,0,)</f>
        <v>Laydown Bag</v>
      </c>
      <c r="H4357" t="str">
        <f>_xlfn.XLOOKUP($A4357,Load!$B:$B,Load!I:I,0,)</f>
        <v>Seasonal Shapes (like pumpkins, candy corn, ghost, bats, etc.)</v>
      </c>
      <c r="I4357" t="str">
        <f>_xlfn.XLOOKUP($A4357,Load!$B:$B,Load!J:J,0,)</f>
        <v>Seasonal Graphics (Like Bat, Ghost, Pumpkin, Fall Leaves, Eyeballs, etc.)</v>
      </c>
      <c r="J4357" t="str">
        <f>_xlfn.XLOOKUP($A4357,Load!$B:$B,Load!K:K,0,)</f>
        <v>Fun Size / Treat Size</v>
      </c>
      <c r="K4357" t="str">
        <f>_xlfn.XLOOKUP($A4357,Load!$B:$B,Load!L:L,0,)</f>
        <v>Regular/Original Wrapping</v>
      </c>
      <c r="L4357" t="str">
        <f>_xlfn.XLOOKUP($A4357,Load!$B:$B,Load!M:M,0,)</f>
        <v>Multiple Brands / Variety Flavors or Form</v>
      </c>
    </row>
    <row r="4358" spans="1:12" x14ac:dyDescent="0.25">
      <c r="A4358" t="s">
        <v>102</v>
      </c>
      <c r="B4358" t="str">
        <f>_xlfn.XLOOKUP($A4358,Load!$B:$B,Load!C:C,0,)</f>
        <v>Flix</v>
      </c>
      <c r="C4358" t="str">
        <f>_xlfn.XLOOKUP($A4358,Load!$B:$B,Load!D:D,0,)</f>
        <v>Non-Chocolate Candy Only</v>
      </c>
      <c r="D4358" t="str">
        <f>_xlfn.XLOOKUP($A4358,Load!$B:$B,Load!E:E,0,)</f>
        <v>Berry Based (Raspberry, Strawberry, Medley, etc.)</v>
      </c>
      <c r="E4358" t="str">
        <f>_xlfn.XLOOKUP($A4358,Load!$B:$B,Load!F:F,0,)</f>
        <v>Lollipop (regular or lollipop rings)</v>
      </c>
      <c r="F4358" t="str">
        <f>_xlfn.XLOOKUP($A4358,Load!$B:$B,Load!G:G,0,)</f>
        <v>Small Multipack (Less than 40 ct)</v>
      </c>
      <c r="G4358" t="str">
        <f>_xlfn.XLOOKUP($A4358,Load!$B:$B,Load!H:H,0,)</f>
        <v>Box (theatre box, gift box, carton)</v>
      </c>
      <c r="H4358" t="str">
        <f>_xlfn.XLOOKUP($A4358,Load!$B:$B,Load!I:I,0,)</f>
        <v>Seasonal Shapes (like pumpkins, candy corn, ghost, bats, etc.)</v>
      </c>
      <c r="I4358" t="str">
        <f>_xlfn.XLOOKUP($A4358,Load!$B:$B,Load!J:J,0,)</f>
        <v>Seasonal Graphics (Like Bat, Ghost, Pumpkin, Fall Leaves, Eyeballs, etc.)</v>
      </c>
      <c r="J4358" t="str">
        <f>_xlfn.XLOOKUP($A4358,Load!$B:$B,Load!K:K,0,)</f>
        <v>Regular Lollipop size (on sticks or rings)</v>
      </c>
      <c r="K4358" t="str">
        <f>_xlfn.XLOOKUP($A4358,Load!$B:$B,Load!L:L,0,)</f>
        <v>Regular/Original Wrapping</v>
      </c>
      <c r="L4358" t="str">
        <f>_xlfn.XLOOKUP($A4358,Load!$B:$B,Load!M:M,0,)</f>
        <v>Single Brand / Variety Flavors or Form</v>
      </c>
    </row>
    <row r="4359" spans="1:12" x14ac:dyDescent="0.25">
      <c r="B4359">
        <f>_xlfn.XLOOKUP($A4359,Load!$B:$B,Load!C:C,0,)</f>
        <v>0</v>
      </c>
      <c r="C4359">
        <f>_xlfn.XLOOKUP($A4359,Load!$B:$B,Load!D:D,0,)</f>
        <v>0</v>
      </c>
      <c r="D4359">
        <f>_xlfn.XLOOKUP($A4359,Load!$B:$B,Load!E:E,0,)</f>
        <v>0</v>
      </c>
      <c r="E4359">
        <f>_xlfn.XLOOKUP($A4359,Load!$B:$B,Load!F:F,0,)</f>
        <v>0</v>
      </c>
      <c r="F4359">
        <f>_xlfn.XLOOKUP($A4359,Load!$B:$B,Load!G:G,0,)</f>
        <v>0</v>
      </c>
      <c r="G4359">
        <f>_xlfn.XLOOKUP($A4359,Load!$B:$B,Load!H:H,0,)</f>
        <v>0</v>
      </c>
      <c r="H4359">
        <f>_xlfn.XLOOKUP($A4359,Load!$B:$B,Load!I:I,0,)</f>
        <v>0</v>
      </c>
      <c r="I4359">
        <f>_xlfn.XLOOKUP($A4359,Load!$B:$B,Load!J:J,0,)</f>
        <v>0</v>
      </c>
      <c r="J4359">
        <f>_xlfn.XLOOKUP($A4359,Load!$B:$B,Load!K:K,0,)</f>
        <v>0</v>
      </c>
      <c r="K4359">
        <f>_xlfn.XLOOKUP($A4359,Load!$B:$B,Load!L:L,0,)</f>
        <v>0</v>
      </c>
      <c r="L4359">
        <f>_xlfn.XLOOKUP($A4359,Load!$B:$B,Load!M:M,0,)</f>
        <v>0</v>
      </c>
    </row>
    <row r="4360" spans="1:12" x14ac:dyDescent="0.25">
      <c r="A4360" t="s">
        <v>302</v>
      </c>
      <c r="B4360" t="str">
        <f>_xlfn.XLOOKUP($A4360,Load!$B:$B,Load!C:C,0,)</f>
        <v>Twizzlers</v>
      </c>
      <c r="C4360" t="str">
        <f>_xlfn.XLOOKUP($A4360,Load!$B:$B,Load!D:D,0,)</f>
        <v>Non-Chocolate Candy Only</v>
      </c>
      <c r="D4360" t="str">
        <f>_xlfn.XLOOKUP($A4360,Load!$B:$B,Load!E:E,0,)</f>
        <v>Berry Based (Raspberry, Strawberry, Medley, etc.)</v>
      </c>
      <c r="E4360" t="str">
        <f>_xlfn.XLOOKUP($A4360,Load!$B:$B,Load!F:F,0,)</f>
        <v>Chewy</v>
      </c>
      <c r="F4360" t="str">
        <f>_xlfn.XLOOKUP($A4360,Load!$B:$B,Load!G:G,0,)</f>
        <v>Single Pack</v>
      </c>
      <c r="G4360" t="str">
        <f>_xlfn.XLOOKUP($A4360,Load!$B:$B,Load!H:H,0,)</f>
        <v>Laydown Bag</v>
      </c>
      <c r="H4360" t="str">
        <f>_xlfn.XLOOKUP($A4360,Load!$B:$B,Load!I:I,0,)</f>
        <v>Everyday Candy Shapes (like Original, Gummy bear, Fruit, Jewels, etc.)</v>
      </c>
      <c r="I4360" t="str">
        <f>_xlfn.XLOOKUP($A4360,Load!$B:$B,Load!J:J,0,)</f>
        <v>Seasonal Graphics (Like Bat, Ghost, Pumpkin, Fall Leaves, Eyeballs, etc.)</v>
      </c>
      <c r="J4360" t="str">
        <f>_xlfn.XLOOKUP($A4360,Load!$B:$B,Load!K:K,0,)</f>
        <v>Small Pieces (Tiny bite size candies)</v>
      </c>
      <c r="K4360" t="str">
        <f>_xlfn.XLOOKUP($A4360,Load!$B:$B,Load!L:L,0,)</f>
        <v>unwrapped</v>
      </c>
      <c r="L4360" t="str">
        <f>_xlfn.XLOOKUP($A4360,Load!$B:$B,Load!M:M,0,)</f>
        <v>Single Brand / Single Flavor or Form</v>
      </c>
    </row>
    <row r="4361" spans="1:12" x14ac:dyDescent="0.25">
      <c r="A4361" t="s">
        <v>151</v>
      </c>
      <c r="B4361" t="str">
        <f>_xlfn.XLOOKUP($A4361,Load!$B:$B,Load!C:C,0,)</f>
        <v>Jolly Rancher</v>
      </c>
      <c r="C4361" t="str">
        <f>_xlfn.XLOOKUP($A4361,Load!$B:$B,Load!D:D,0,)</f>
        <v>Non-Chocolate Candy Only</v>
      </c>
      <c r="D4361" t="str">
        <f>_xlfn.XLOOKUP($A4361,Load!$B:$B,Load!E:E,0,)</f>
        <v>Variety / Mixed Flavors (Fruity, Sour, Seasonal Flavors)</v>
      </c>
      <c r="E4361" t="str">
        <f>_xlfn.XLOOKUP($A4361,Load!$B:$B,Load!F:F,0,)</f>
        <v>Gummy</v>
      </c>
      <c r="F4361" t="str">
        <f>_xlfn.XLOOKUP($A4361,Load!$B:$B,Load!G:G,0,)</f>
        <v>Small Multipack (Less than 40 ct)</v>
      </c>
      <c r="G4361" t="str">
        <f>_xlfn.XLOOKUP($A4361,Load!$B:$B,Load!H:H,0,)</f>
        <v>Laydown Bag</v>
      </c>
      <c r="H4361" t="str">
        <f>_xlfn.XLOOKUP($A4361,Load!$B:$B,Load!I:I,0,)</f>
        <v>Everyday Candy Shapes (like Original, Gummy bear, Fruit, Jewels, etc.)</v>
      </c>
      <c r="I4361" t="str">
        <f>_xlfn.XLOOKUP($A4361,Load!$B:$B,Load!J:J,0,)</f>
        <v>Everyday Graphics</v>
      </c>
      <c r="J4361" t="str">
        <f>_xlfn.XLOOKUP($A4361,Load!$B:$B,Load!K:K,0,)</f>
        <v>Small Pieces (Tiny bite size candies)</v>
      </c>
      <c r="K4361" t="str">
        <f>_xlfn.XLOOKUP($A4361,Load!$B:$B,Load!L:L,0,)</f>
        <v>Regular/Original Wrapping</v>
      </c>
      <c r="L4361" t="str">
        <f>_xlfn.XLOOKUP($A4361,Load!$B:$B,Load!M:M,0,)</f>
        <v>Single Brand / Variety Flavors or Form</v>
      </c>
    </row>
    <row r="4362" spans="1:12" x14ac:dyDescent="0.25">
      <c r="B4362">
        <f>_xlfn.XLOOKUP($A4362,Load!$B:$B,Load!C:C,0,)</f>
        <v>0</v>
      </c>
      <c r="C4362">
        <f>_xlfn.XLOOKUP($A4362,Load!$B:$B,Load!D:D,0,)</f>
        <v>0</v>
      </c>
      <c r="D4362">
        <f>_xlfn.XLOOKUP($A4362,Load!$B:$B,Load!E:E,0,)</f>
        <v>0</v>
      </c>
      <c r="E4362">
        <f>_xlfn.XLOOKUP($A4362,Load!$B:$B,Load!F:F,0,)</f>
        <v>0</v>
      </c>
      <c r="F4362">
        <f>_xlfn.XLOOKUP($A4362,Load!$B:$B,Load!G:G,0,)</f>
        <v>0</v>
      </c>
      <c r="G4362">
        <f>_xlfn.XLOOKUP($A4362,Load!$B:$B,Load!H:H,0,)</f>
        <v>0</v>
      </c>
      <c r="H4362">
        <f>_xlfn.XLOOKUP($A4362,Load!$B:$B,Load!I:I,0,)</f>
        <v>0</v>
      </c>
      <c r="I4362">
        <f>_xlfn.XLOOKUP($A4362,Load!$B:$B,Load!J:J,0,)</f>
        <v>0</v>
      </c>
      <c r="J4362">
        <f>_xlfn.XLOOKUP($A4362,Load!$B:$B,Load!K:K,0,)</f>
        <v>0</v>
      </c>
      <c r="K4362">
        <f>_xlfn.XLOOKUP($A4362,Load!$B:$B,Load!L:L,0,)</f>
        <v>0</v>
      </c>
      <c r="L4362">
        <f>_xlfn.XLOOKUP($A4362,Load!$B:$B,Load!M:M,0,)</f>
        <v>0</v>
      </c>
    </row>
    <row r="4363" spans="1:12" x14ac:dyDescent="0.25">
      <c r="B4363">
        <f>_xlfn.XLOOKUP($A4363,Load!$B:$B,Load!C:C,0,)</f>
        <v>0</v>
      </c>
      <c r="C4363">
        <f>_xlfn.XLOOKUP($A4363,Load!$B:$B,Load!D:D,0,)</f>
        <v>0</v>
      </c>
      <c r="D4363">
        <f>_xlfn.XLOOKUP($A4363,Load!$B:$B,Load!E:E,0,)</f>
        <v>0</v>
      </c>
      <c r="E4363">
        <f>_xlfn.XLOOKUP($A4363,Load!$B:$B,Load!F:F,0,)</f>
        <v>0</v>
      </c>
      <c r="F4363">
        <f>_xlfn.XLOOKUP($A4363,Load!$B:$B,Load!G:G,0,)</f>
        <v>0</v>
      </c>
      <c r="G4363">
        <f>_xlfn.XLOOKUP($A4363,Load!$B:$B,Load!H:H,0,)</f>
        <v>0</v>
      </c>
      <c r="H4363">
        <f>_xlfn.XLOOKUP($A4363,Load!$B:$B,Load!I:I,0,)</f>
        <v>0</v>
      </c>
      <c r="I4363">
        <f>_xlfn.XLOOKUP($A4363,Load!$B:$B,Load!J:J,0,)</f>
        <v>0</v>
      </c>
      <c r="J4363">
        <f>_xlfn.XLOOKUP($A4363,Load!$B:$B,Load!K:K,0,)</f>
        <v>0</v>
      </c>
      <c r="K4363">
        <f>_xlfn.XLOOKUP($A4363,Load!$B:$B,Load!L:L,0,)</f>
        <v>0</v>
      </c>
      <c r="L4363">
        <f>_xlfn.XLOOKUP($A4363,Load!$B:$B,Load!M:M,0,)</f>
        <v>0</v>
      </c>
    </row>
    <row r="4364" spans="1:12" x14ac:dyDescent="0.25">
      <c r="A4364" t="s">
        <v>49</v>
      </c>
      <c r="B4364" t="str">
        <f>_xlfn.XLOOKUP($A4364,Load!$B:$B,Load!C:C,0,)</f>
        <v>Brach's</v>
      </c>
      <c r="C4364" t="str">
        <f>_xlfn.XLOOKUP($A4364,Load!$B:$B,Load!D:D,0,)</f>
        <v>Non-Chocolate Candy Only</v>
      </c>
      <c r="D4364" t="str">
        <f>_xlfn.XLOOKUP($A4364,Load!$B:$B,Load!E:E,0,)</f>
        <v>Fall / Seasonal Flavors (pumpkin spice, caramel apple, candy corn)</v>
      </c>
      <c r="E4364" t="str">
        <f>_xlfn.XLOOKUP($A4364,Load!$B:$B,Load!F:F,0,)</f>
        <v>Candy Pieces / Bites</v>
      </c>
      <c r="F4364" t="str">
        <f>_xlfn.XLOOKUP($A4364,Load!$B:$B,Load!G:G,0,)</f>
        <v>Large Multipack (More than 80 ct)</v>
      </c>
      <c r="G4364" t="str">
        <f>_xlfn.XLOOKUP($A4364,Load!$B:$B,Load!H:H,0,)</f>
        <v>Laydown Bag</v>
      </c>
      <c r="H4364" t="str">
        <f>_xlfn.XLOOKUP($A4364,Load!$B:$B,Load!I:I,0,)</f>
        <v>Seasonal Shapes (like pumpkins, candy corn, ghost, bats, etc.)</v>
      </c>
      <c r="I4364" t="str">
        <f>_xlfn.XLOOKUP($A4364,Load!$B:$B,Load!J:J,0,)</f>
        <v>Seasonal Graphics (Like Bat, Ghost, Pumpkin, Fall Leaves, Eyeballs, etc.)</v>
      </c>
      <c r="J4364" t="str">
        <f>_xlfn.XLOOKUP($A4364,Load!$B:$B,Load!K:K,0,)</f>
        <v>Small Pieces (Tiny bite size candies)</v>
      </c>
      <c r="K4364" t="str">
        <f>_xlfn.XLOOKUP($A4364,Load!$B:$B,Load!L:L,0,)</f>
        <v>Unwrapped</v>
      </c>
      <c r="L4364" t="str">
        <f>_xlfn.XLOOKUP($A4364,Load!$B:$B,Load!M:M,0,)</f>
        <v>Single Brand / Single Flavor or Form</v>
      </c>
    </row>
    <row r="4365" spans="1:12" x14ac:dyDescent="0.25">
      <c r="B4365">
        <f>_xlfn.XLOOKUP($A4365,Load!$B:$B,Load!C:C,0,)</f>
        <v>0</v>
      </c>
      <c r="C4365">
        <f>_xlfn.XLOOKUP($A4365,Load!$B:$B,Load!D:D,0,)</f>
        <v>0</v>
      </c>
      <c r="D4365">
        <f>_xlfn.XLOOKUP($A4365,Load!$B:$B,Load!E:E,0,)</f>
        <v>0</v>
      </c>
      <c r="E4365">
        <f>_xlfn.XLOOKUP($A4365,Load!$B:$B,Load!F:F,0,)</f>
        <v>0</v>
      </c>
      <c r="F4365">
        <f>_xlfn.XLOOKUP($A4365,Load!$B:$B,Load!G:G,0,)</f>
        <v>0</v>
      </c>
      <c r="G4365">
        <f>_xlfn.XLOOKUP($A4365,Load!$B:$B,Load!H:H,0,)</f>
        <v>0</v>
      </c>
      <c r="H4365">
        <f>_xlfn.XLOOKUP($A4365,Load!$B:$B,Load!I:I,0,)</f>
        <v>0</v>
      </c>
      <c r="I4365">
        <f>_xlfn.XLOOKUP($A4365,Load!$B:$B,Load!J:J,0,)</f>
        <v>0</v>
      </c>
      <c r="J4365">
        <f>_xlfn.XLOOKUP($A4365,Load!$B:$B,Load!K:K,0,)</f>
        <v>0</v>
      </c>
      <c r="K4365">
        <f>_xlfn.XLOOKUP($A4365,Load!$B:$B,Load!L:L,0,)</f>
        <v>0</v>
      </c>
      <c r="L4365">
        <f>_xlfn.XLOOKUP($A4365,Load!$B:$B,Load!M:M,0,)</f>
        <v>0</v>
      </c>
    </row>
    <row r="4366" spans="1:12" x14ac:dyDescent="0.25">
      <c r="A4366" t="s">
        <v>326</v>
      </c>
      <c r="B4366" t="str">
        <f>_xlfn.XLOOKUP($A4366,Load!$B:$B,Load!C:C,0,)</f>
        <v>Mondelez Variety Pack</v>
      </c>
      <c r="C4366" t="str">
        <f>_xlfn.XLOOKUP($A4366,Load!$B:$B,Load!D:D,0,)</f>
        <v>Mix of Chocolate and Non-Chocolate Candy</v>
      </c>
      <c r="D4366" t="str">
        <f>_xlfn.XLOOKUP($A4366,Load!$B:$B,Load!E:E,0,)</f>
        <v>Variety / Mixed Flavors (Fruity, Sour, Seasonal Flavors)</v>
      </c>
      <c r="E4366" t="str">
        <f>_xlfn.XLOOKUP($A4366,Load!$B:$B,Load!F:F,0,)</f>
        <v>Mixed / Combo Packs (Gummy, Chewy, Taffy, etc.)</v>
      </c>
      <c r="F4366" t="str">
        <f>_xlfn.XLOOKUP($A4366,Load!$B:$B,Load!G:G,0,)</f>
        <v>Medium Multipack (40–80 ct)</v>
      </c>
      <c r="G4366" t="str">
        <f>_xlfn.XLOOKUP($A4366,Load!$B:$B,Load!H:H,0,)</f>
        <v>Stand-Up Bag</v>
      </c>
      <c r="H4366" t="str">
        <f>_xlfn.XLOOKUP($A4366,Load!$B:$B,Load!I:I,0,)</f>
        <v>Everyday Candy Shapes (like Original, Gummy bear, Fruit, Jewels, etc.)</v>
      </c>
      <c r="I4366" t="str">
        <f>_xlfn.XLOOKUP($A4366,Load!$B:$B,Load!J:J,0,)</f>
        <v>Seasonal Graphics (Like Bat, Ghost, Pumpkin, Fall Leaves, Eyeballs, etc.)</v>
      </c>
      <c r="J4366" t="str">
        <f>_xlfn.XLOOKUP($A4366,Load!$B:$B,Load!K:K,0,)</f>
        <v xml:space="preserve">Variety Candy Sizes </v>
      </c>
      <c r="K4366" t="str">
        <f>_xlfn.XLOOKUP($A4366,Load!$B:$B,Load!L:L,0,)</f>
        <v>Regular/Original Wrapping</v>
      </c>
      <c r="L4366" t="str">
        <f>_xlfn.XLOOKUP($A4366,Load!$B:$B,Load!M:M,0,)</f>
        <v>Multiple Brands / Variety Flavors or Form</v>
      </c>
    </row>
    <row r="4367" spans="1:12" x14ac:dyDescent="0.25">
      <c r="B4367">
        <f>_xlfn.XLOOKUP($A4367,Load!$B:$B,Load!C:C,0,)</f>
        <v>0</v>
      </c>
      <c r="C4367">
        <f>_xlfn.XLOOKUP($A4367,Load!$B:$B,Load!D:D,0,)</f>
        <v>0</v>
      </c>
      <c r="D4367">
        <f>_xlfn.XLOOKUP($A4367,Load!$B:$B,Load!E:E,0,)</f>
        <v>0</v>
      </c>
      <c r="E4367">
        <f>_xlfn.XLOOKUP($A4367,Load!$B:$B,Load!F:F,0,)</f>
        <v>0</v>
      </c>
      <c r="F4367">
        <f>_xlfn.XLOOKUP($A4367,Load!$B:$B,Load!G:G,0,)</f>
        <v>0</v>
      </c>
      <c r="G4367">
        <f>_xlfn.XLOOKUP($A4367,Load!$B:$B,Load!H:H,0,)</f>
        <v>0</v>
      </c>
      <c r="H4367">
        <f>_xlfn.XLOOKUP($A4367,Load!$B:$B,Load!I:I,0,)</f>
        <v>0</v>
      </c>
      <c r="I4367">
        <f>_xlfn.XLOOKUP($A4367,Load!$B:$B,Load!J:J,0,)</f>
        <v>0</v>
      </c>
      <c r="J4367">
        <f>_xlfn.XLOOKUP($A4367,Load!$B:$B,Load!K:K,0,)</f>
        <v>0</v>
      </c>
      <c r="K4367">
        <f>_xlfn.XLOOKUP($A4367,Load!$B:$B,Load!L:L,0,)</f>
        <v>0</v>
      </c>
      <c r="L4367">
        <f>_xlfn.XLOOKUP($A4367,Load!$B:$B,Load!M:M,0,)</f>
        <v>0</v>
      </c>
    </row>
    <row r="4368" spans="1:12" x14ac:dyDescent="0.25">
      <c r="A4368" t="s">
        <v>131</v>
      </c>
      <c r="B4368" t="str">
        <f>_xlfn.XLOOKUP($A4368,Load!$B:$B,Load!C:C,0,)</f>
        <v>Hershey's</v>
      </c>
      <c r="C4368" t="str">
        <f>_xlfn.XLOOKUP($A4368,Load!$B:$B,Load!D:D,0,)</f>
        <v>Mix of Chocolate and Non-Chocolate Candy</v>
      </c>
      <c r="D4368" t="str">
        <f>_xlfn.XLOOKUP($A4368,Load!$B:$B,Load!E:E,0,)</f>
        <v>Variety / Mixed Flavors (Fruity, Sour, Seasonal Flavors)</v>
      </c>
      <c r="E4368" t="str">
        <f>_xlfn.XLOOKUP($A4368,Load!$B:$B,Load!F:F,0,)</f>
        <v>Mixed / Combo Packs (Gummy, Chewy, Taffy, etc.)</v>
      </c>
      <c r="F4368" t="str">
        <f>_xlfn.XLOOKUP($A4368,Load!$B:$B,Load!G:G,0,)</f>
        <v>Large Multipack (More than 80 ct)</v>
      </c>
      <c r="G4368" t="str">
        <f>_xlfn.XLOOKUP($A4368,Load!$B:$B,Load!H:H,0,)</f>
        <v>Stand-Up Bag</v>
      </c>
      <c r="H4368" t="str">
        <f>_xlfn.XLOOKUP($A4368,Load!$B:$B,Load!I:I,0,)</f>
        <v>Everyday Candy Shapes (like Original, Gummy bear, Fruit, Jewels, etc.)</v>
      </c>
      <c r="I4368" t="str">
        <f>_xlfn.XLOOKUP($A4368,Load!$B:$B,Load!J:J,0,)</f>
        <v>Seasonal Graphics (Like Bat, Ghost, Pumpkin, Fall Leaves, Eyeballs, etc.)</v>
      </c>
      <c r="J4368" t="str">
        <f>_xlfn.XLOOKUP($A4368,Load!$B:$B,Load!K:K,0,)</f>
        <v>Fun Size / Treat Size</v>
      </c>
      <c r="K4368" t="str">
        <f>_xlfn.XLOOKUP($A4368,Load!$B:$B,Load!L:L,0,)</f>
        <v>Regular/Original Wrapping</v>
      </c>
      <c r="L4368" t="str">
        <f>_xlfn.XLOOKUP($A4368,Load!$B:$B,Load!M:M,0,)</f>
        <v>Multiple Brands / Variety Flavors or Form</v>
      </c>
    </row>
    <row r="4369" spans="1:12" x14ac:dyDescent="0.25">
      <c r="B4369">
        <f>_xlfn.XLOOKUP($A4369,Load!$B:$B,Load!C:C,0,)</f>
        <v>0</v>
      </c>
      <c r="C4369">
        <f>_xlfn.XLOOKUP($A4369,Load!$B:$B,Load!D:D,0,)</f>
        <v>0</v>
      </c>
      <c r="D4369">
        <f>_xlfn.XLOOKUP($A4369,Load!$B:$B,Load!E:E,0,)</f>
        <v>0</v>
      </c>
      <c r="E4369">
        <f>_xlfn.XLOOKUP($A4369,Load!$B:$B,Load!F:F,0,)</f>
        <v>0</v>
      </c>
      <c r="F4369">
        <f>_xlfn.XLOOKUP($A4369,Load!$B:$B,Load!G:G,0,)</f>
        <v>0</v>
      </c>
      <c r="G4369">
        <f>_xlfn.XLOOKUP($A4369,Load!$B:$B,Load!H:H,0,)</f>
        <v>0</v>
      </c>
      <c r="H4369">
        <f>_xlfn.XLOOKUP($A4369,Load!$B:$B,Load!I:I,0,)</f>
        <v>0</v>
      </c>
      <c r="I4369">
        <f>_xlfn.XLOOKUP($A4369,Load!$B:$B,Load!J:J,0,)</f>
        <v>0</v>
      </c>
      <c r="J4369">
        <f>_xlfn.XLOOKUP($A4369,Load!$B:$B,Load!K:K,0,)</f>
        <v>0</v>
      </c>
      <c r="K4369">
        <f>_xlfn.XLOOKUP($A4369,Load!$B:$B,Load!L:L,0,)</f>
        <v>0</v>
      </c>
      <c r="L4369">
        <f>_xlfn.XLOOKUP($A4369,Load!$B:$B,Load!M:M,0,)</f>
        <v>0</v>
      </c>
    </row>
    <row r="4370" spans="1:12" x14ac:dyDescent="0.25">
      <c r="A4370" t="s">
        <v>182</v>
      </c>
      <c r="B4370" t="str">
        <f>_xlfn.XLOOKUP($A4370,Load!$B:$B,Load!C:C,0,)</f>
        <v>Mars Variety Pack</v>
      </c>
      <c r="C4370" t="str">
        <f>_xlfn.XLOOKUP($A4370,Load!$B:$B,Load!D:D,0,)</f>
        <v>Non-Chocolate Candy Only</v>
      </c>
      <c r="D4370" t="str">
        <f>_xlfn.XLOOKUP($A4370,Load!$B:$B,Load!E:E,0,)</f>
        <v>Variety / Mixed Flavors (Fruity, Sour, Seasonal Flavors)</v>
      </c>
      <c r="E4370" t="str">
        <f>_xlfn.XLOOKUP($A4370,Load!$B:$B,Load!F:F,0,)</f>
        <v>Mixed / Combo Packs (Gummy, Chewy, Taffy, etc.)</v>
      </c>
      <c r="F4370" t="str">
        <f>_xlfn.XLOOKUP($A4370,Load!$B:$B,Load!G:G,0,)</f>
        <v>Large Multipack (More than 80 ct)</v>
      </c>
      <c r="G4370" t="str">
        <f>_xlfn.XLOOKUP($A4370,Load!$B:$B,Load!H:H,0,)</f>
        <v>Stand-Up Bag</v>
      </c>
      <c r="H4370" t="str">
        <f>_xlfn.XLOOKUP($A4370,Load!$B:$B,Load!I:I,0,)</f>
        <v>Everyday Candy Shapes (like Original, Gummy bear, Fruit, Jewels, etc.)</v>
      </c>
      <c r="I4370" t="str">
        <f>_xlfn.XLOOKUP($A4370,Load!$B:$B,Load!J:J,0,)</f>
        <v>Seasonal Graphics (Like Bat, Ghost, Pumpkin, Fall Leaves, Eyeballs, etc.)</v>
      </c>
      <c r="J4370" t="str">
        <f>_xlfn.XLOOKUP($A4370,Load!$B:$B,Load!K:K,0,)</f>
        <v xml:space="preserve">Variety Candy Sizes </v>
      </c>
      <c r="K4370" t="str">
        <f>_xlfn.XLOOKUP($A4370,Load!$B:$B,Load!L:L,0,)</f>
        <v>Regular/Original Wrapping</v>
      </c>
      <c r="L4370" t="str">
        <f>_xlfn.XLOOKUP($A4370,Load!$B:$B,Load!M:M,0,)</f>
        <v>Multiple Brands / Variety Flavors or Form</v>
      </c>
    </row>
    <row r="4371" spans="1:12" x14ac:dyDescent="0.25">
      <c r="A4371" t="s">
        <v>173</v>
      </c>
      <c r="B4371" t="str">
        <f>_xlfn.XLOOKUP($A4371,Load!$B:$B,Load!C:C,0,)</f>
        <v>Mars Variety Pack</v>
      </c>
      <c r="C4371" t="str">
        <f>_xlfn.XLOOKUP($A4371,Load!$B:$B,Load!D:D,0,)</f>
        <v>Mix of Chocolate and Non-Chocolate Candy</v>
      </c>
      <c r="D4371" t="str">
        <f>_xlfn.XLOOKUP($A4371,Load!$B:$B,Load!E:E,0,)</f>
        <v>Variety / Mixed Flavors (Fruity, Sour, Seasonal Flavors)</v>
      </c>
      <c r="E4371" t="str">
        <f>_xlfn.XLOOKUP($A4371,Load!$B:$B,Load!F:F,0,)</f>
        <v>Mixed / Combo Packs (Gummy, Chewy, Taffy, etc.)</v>
      </c>
      <c r="F4371" t="str">
        <f>_xlfn.XLOOKUP($A4371,Load!$B:$B,Load!G:G,0,)</f>
        <v>Large Multipack (More than 80 ct)</v>
      </c>
      <c r="G4371" t="str">
        <f>_xlfn.XLOOKUP($A4371,Load!$B:$B,Load!H:H,0,)</f>
        <v>Stand-Up Bag</v>
      </c>
      <c r="H4371" t="str">
        <f>_xlfn.XLOOKUP($A4371,Load!$B:$B,Load!I:I,0,)</f>
        <v>Everyday Candy Shapes (like Original, Gummy bear, Fruit, Jewels, etc.)</v>
      </c>
      <c r="I4371" t="str">
        <f>_xlfn.XLOOKUP($A4371,Load!$B:$B,Load!J:J,0,)</f>
        <v>Seasonal Graphics (Like Bat, Ghost, Pumpkin, Fall Leaves, Eyeballs, etc.)</v>
      </c>
      <c r="J4371" t="str">
        <f>_xlfn.XLOOKUP($A4371,Load!$B:$B,Load!K:K,0,)</f>
        <v>Fun Size / Treat Size</v>
      </c>
      <c r="K4371" t="str">
        <f>_xlfn.XLOOKUP($A4371,Load!$B:$B,Load!L:L,0,)</f>
        <v>Regular/Original Wrapping</v>
      </c>
      <c r="L4371" t="str">
        <f>_xlfn.XLOOKUP($A4371,Load!$B:$B,Load!M:M,0,)</f>
        <v>Multiple Brands / Variety Flavors or Form</v>
      </c>
    </row>
    <row r="4372" spans="1:12" x14ac:dyDescent="0.25">
      <c r="A4372" t="s">
        <v>137</v>
      </c>
      <c r="B4372" t="str">
        <f>_xlfn.XLOOKUP($A4372,Load!$B:$B,Load!C:C,0,)</f>
        <v>Hershey's Variety Pack + Haribo</v>
      </c>
      <c r="C4372" t="str">
        <f>_xlfn.XLOOKUP($A4372,Load!$B:$B,Load!D:D,0,)</f>
        <v>Non-Chocolate Candy Only</v>
      </c>
      <c r="D4372" t="str">
        <f>_xlfn.XLOOKUP($A4372,Load!$B:$B,Load!E:E,0,)</f>
        <v>Variety / Mixed Flavors (Fruity, Sour, Seasonal Flavors)</v>
      </c>
      <c r="E4372" t="str">
        <f>_xlfn.XLOOKUP($A4372,Load!$B:$B,Load!F:F,0,)</f>
        <v>Mixed / Combo Packs (Gummy, Chewy, Taffy, etc.)</v>
      </c>
      <c r="F4372" t="str">
        <f>_xlfn.XLOOKUP($A4372,Load!$B:$B,Load!G:G,0,)</f>
        <v>Large Multipack (More than 80 ct)</v>
      </c>
      <c r="G4372" t="str">
        <f>_xlfn.XLOOKUP($A4372,Load!$B:$B,Load!H:H,0,)</f>
        <v>Stand-Up Bag</v>
      </c>
      <c r="H4372" t="str">
        <f>_xlfn.XLOOKUP($A4372,Load!$B:$B,Load!I:I,0,)</f>
        <v>Everyday Candy Shapes (like Original, Gummy bear, Fruit, Jewels, etc.)</v>
      </c>
      <c r="I4372" t="str">
        <f>_xlfn.XLOOKUP($A4372,Load!$B:$B,Load!J:J,0,)</f>
        <v>Seasonal Graphics (Like Bat, Ghost, Pumpkin, Fall Leaves, Eyeballs, etc.)</v>
      </c>
      <c r="J4372" t="str">
        <f>_xlfn.XLOOKUP($A4372,Load!$B:$B,Load!K:K,0,)</f>
        <v xml:space="preserve">Variety Candy Sizes </v>
      </c>
      <c r="K4372" t="str">
        <f>_xlfn.XLOOKUP($A4372,Load!$B:$B,Load!L:L,0,)</f>
        <v>Regular/Original Wrapping</v>
      </c>
      <c r="L4372" t="str">
        <f>_xlfn.XLOOKUP($A4372,Load!$B:$B,Load!M:M,0,)</f>
        <v>Multiple Brands / Variety Flavors or Form</v>
      </c>
    </row>
    <row r="4373" spans="1:12" x14ac:dyDescent="0.25">
      <c r="B4373">
        <f>_xlfn.XLOOKUP($A4373,Load!$B:$B,Load!C:C,0,)</f>
        <v>0</v>
      </c>
      <c r="C4373">
        <f>_xlfn.XLOOKUP($A4373,Load!$B:$B,Load!D:D,0,)</f>
        <v>0</v>
      </c>
      <c r="D4373">
        <f>_xlfn.XLOOKUP($A4373,Load!$B:$B,Load!E:E,0,)</f>
        <v>0</v>
      </c>
      <c r="E4373">
        <f>_xlfn.XLOOKUP($A4373,Load!$B:$B,Load!F:F,0,)</f>
        <v>0</v>
      </c>
      <c r="F4373">
        <f>_xlfn.XLOOKUP($A4373,Load!$B:$B,Load!G:G,0,)</f>
        <v>0</v>
      </c>
      <c r="G4373">
        <f>_xlfn.XLOOKUP($A4373,Load!$B:$B,Load!H:H,0,)</f>
        <v>0</v>
      </c>
      <c r="H4373">
        <f>_xlfn.XLOOKUP($A4373,Load!$B:$B,Load!I:I,0,)</f>
        <v>0</v>
      </c>
      <c r="I4373">
        <f>_xlfn.XLOOKUP($A4373,Load!$B:$B,Load!J:J,0,)</f>
        <v>0</v>
      </c>
      <c r="J4373">
        <f>_xlfn.XLOOKUP($A4373,Load!$B:$B,Load!K:K,0,)</f>
        <v>0</v>
      </c>
      <c r="K4373">
        <f>_xlfn.XLOOKUP($A4373,Load!$B:$B,Load!L:L,0,)</f>
        <v>0</v>
      </c>
      <c r="L4373">
        <f>_xlfn.XLOOKUP($A4373,Load!$B:$B,Load!M:M,0,)</f>
        <v>0</v>
      </c>
    </row>
    <row r="4374" spans="1:12" x14ac:dyDescent="0.25">
      <c r="A4374" t="s">
        <v>8</v>
      </c>
      <c r="B4374" t="str">
        <f>_xlfn.XLOOKUP($A4374,Load!$B:$B,Load!C:C,0,)</f>
        <v>Airheads</v>
      </c>
      <c r="C4374" t="str">
        <f>_xlfn.XLOOKUP($A4374,Load!$B:$B,Load!D:D,0,)</f>
        <v>Non-Chocolate Candy Only</v>
      </c>
      <c r="D4374" t="str">
        <f>_xlfn.XLOOKUP($A4374,Load!$B:$B,Load!E:E,0,)</f>
        <v>Fruit Flavor (Cherry, Grape, Apple, Citrus, Tropical Fruit)</v>
      </c>
      <c r="E4374" t="str">
        <f>_xlfn.XLOOKUP($A4374,Load!$B:$B,Load!F:F,0,)</f>
        <v>Chewy</v>
      </c>
      <c r="F4374" t="str">
        <f>_xlfn.XLOOKUP($A4374,Load!$B:$B,Load!G:G,0,)</f>
        <v>Small Multipack (Less than 40 ct)</v>
      </c>
      <c r="G4374" t="str">
        <f>_xlfn.XLOOKUP($A4374,Load!$B:$B,Load!H:H,0,)</f>
        <v>Laydown Bag</v>
      </c>
      <c r="H4374" t="str">
        <f>_xlfn.XLOOKUP($A4374,Load!$B:$B,Load!I:I,0,)</f>
        <v>Everyday Candy Shapes (like Original, Gummy bear, Fruit, Jewels, etc.)</v>
      </c>
      <c r="I4374" t="str">
        <f>_xlfn.XLOOKUP($A4374,Load!$B:$B,Load!J:J,0,)</f>
        <v>Everyday Graphics</v>
      </c>
      <c r="J4374" t="str">
        <f>_xlfn.XLOOKUP($A4374,Load!$B:$B,Load!K:K,0,)</f>
        <v>Fun Size / Treat Size</v>
      </c>
      <c r="K4374" t="str">
        <f>_xlfn.XLOOKUP($A4374,Load!$B:$B,Load!L:L,0,)</f>
        <v>Regular/Original Wrapping</v>
      </c>
      <c r="L4374" t="str">
        <f>_xlfn.XLOOKUP($A4374,Load!$B:$B,Load!M:M,0,)</f>
        <v>Single Brand / Variety Flavors or Form</v>
      </c>
    </row>
    <row r="4375" spans="1:12" x14ac:dyDescent="0.25">
      <c r="A4375" t="s">
        <v>10</v>
      </c>
      <c r="B4375" t="str">
        <f>_xlfn.XLOOKUP($A4375,Load!$B:$B,Load!C:C,0,)</f>
        <v>Airheads</v>
      </c>
      <c r="C4375" t="str">
        <f>_xlfn.XLOOKUP($A4375,Load!$B:$B,Load!D:D,0,)</f>
        <v>Non-Chocolate Candy Only</v>
      </c>
      <c r="D4375" t="str">
        <f>_xlfn.XLOOKUP($A4375,Load!$B:$B,Load!E:E,0,)</f>
        <v>Fruit Flavor (Cherry, Grape, Apple, Citrus, Tropical Fruit)</v>
      </c>
      <c r="E4375" t="str">
        <f>_xlfn.XLOOKUP($A4375,Load!$B:$B,Load!F:F,0,)</f>
        <v>Chewy</v>
      </c>
      <c r="F4375" t="str">
        <f>_xlfn.XLOOKUP($A4375,Load!$B:$B,Load!G:G,0,)</f>
        <v>Small Multipack (Less than 40 ct)</v>
      </c>
      <c r="G4375" t="str">
        <f>_xlfn.XLOOKUP($A4375,Load!$B:$B,Load!H:H,0,)</f>
        <v>Laydown Bag</v>
      </c>
      <c r="H4375" t="str">
        <f>_xlfn.XLOOKUP($A4375,Load!$B:$B,Load!I:I,0,)</f>
        <v>Everyday Candy Shapes (like Original, Gummy bear, Fruit, Jewels, etc.)</v>
      </c>
      <c r="I4375" t="str">
        <f>_xlfn.XLOOKUP($A4375,Load!$B:$B,Load!J:J,0,)</f>
        <v>Everyday Graphics</v>
      </c>
      <c r="J4375" t="str">
        <f>_xlfn.XLOOKUP($A4375,Load!$B:$B,Load!K:K,0,)</f>
        <v>Fun Size / Treat Size</v>
      </c>
      <c r="K4375" t="str">
        <f>_xlfn.XLOOKUP($A4375,Load!$B:$B,Load!L:L,0,)</f>
        <v>Regular/Original Wrapping</v>
      </c>
      <c r="L4375" t="str">
        <f>_xlfn.XLOOKUP($A4375,Load!$B:$B,Load!M:M,0,)</f>
        <v>Single Brand / Variety Flavors or Form</v>
      </c>
    </row>
    <row r="4376" spans="1:12" x14ac:dyDescent="0.25">
      <c r="A4376" t="s">
        <v>22</v>
      </c>
      <c r="B4376" t="str">
        <f>_xlfn.XLOOKUP($A4376,Load!$B:$B,Load!C:C,0,)</f>
        <v>Albanese</v>
      </c>
      <c r="C4376" t="str">
        <f>_xlfn.XLOOKUP($A4376,Load!$B:$B,Load!D:D,0,)</f>
        <v>Non-Chocolate Candy Only</v>
      </c>
      <c r="D4376" t="str">
        <f>_xlfn.XLOOKUP($A4376,Load!$B:$B,Load!E:E,0,)</f>
        <v>Variety / Mixed Flavors (Fruity, Sour, Seasonal Flavors)</v>
      </c>
      <c r="E4376" t="str">
        <f>_xlfn.XLOOKUP($A4376,Load!$B:$B,Load!F:F,0,)</f>
        <v>Gummy</v>
      </c>
      <c r="F4376" t="str">
        <f>_xlfn.XLOOKUP($A4376,Load!$B:$B,Load!G:G,0,)</f>
        <v>Single Pack</v>
      </c>
      <c r="G4376" t="str">
        <f>_xlfn.XLOOKUP($A4376,Load!$B:$B,Load!H:H,0,)</f>
        <v>Laydown Bag</v>
      </c>
      <c r="H4376" t="str">
        <f>_xlfn.XLOOKUP($A4376,Load!$B:$B,Load!I:I,0,)</f>
        <v>Everyday Candy Shapes (like Original, Gummy bear, Fruit, Jewels, etc.)</v>
      </c>
      <c r="I4376" t="str">
        <f>_xlfn.XLOOKUP($A4376,Load!$B:$B,Load!J:J,0,)</f>
        <v>Seasonal Graphics (Like Bat, Ghost, Pumpkin, Fall Leaves, Eyeballs, etc.)</v>
      </c>
      <c r="J4376" t="str">
        <f>_xlfn.XLOOKUP($A4376,Load!$B:$B,Load!K:K,0,)</f>
        <v>Small Pieces (Tiny bite size candies)</v>
      </c>
      <c r="K4376" t="str">
        <f>_xlfn.XLOOKUP($A4376,Load!$B:$B,Load!L:L,0,)</f>
        <v>Regular/Original Wrapping</v>
      </c>
      <c r="L4376" t="str">
        <f>_xlfn.XLOOKUP($A4376,Load!$B:$B,Load!M:M,0,)</f>
        <v>Single Brand / Variety Flavors or Form</v>
      </c>
    </row>
    <row r="4377" spans="1:12" x14ac:dyDescent="0.25">
      <c r="B4377">
        <f>_xlfn.XLOOKUP($A4377,Load!$B:$B,Load!C:C,0,)</f>
        <v>0</v>
      </c>
      <c r="C4377">
        <f>_xlfn.XLOOKUP($A4377,Load!$B:$B,Load!D:D,0,)</f>
        <v>0</v>
      </c>
      <c r="D4377">
        <f>_xlfn.XLOOKUP($A4377,Load!$B:$B,Load!E:E,0,)</f>
        <v>0</v>
      </c>
      <c r="E4377">
        <f>_xlfn.XLOOKUP($A4377,Load!$B:$B,Load!F:F,0,)</f>
        <v>0</v>
      </c>
      <c r="F4377">
        <f>_xlfn.XLOOKUP($A4377,Load!$B:$B,Load!G:G,0,)</f>
        <v>0</v>
      </c>
      <c r="G4377">
        <f>_xlfn.XLOOKUP($A4377,Load!$B:$B,Load!H:H,0,)</f>
        <v>0</v>
      </c>
      <c r="H4377">
        <f>_xlfn.XLOOKUP($A4377,Load!$B:$B,Load!I:I,0,)</f>
        <v>0</v>
      </c>
      <c r="I4377">
        <f>_xlfn.XLOOKUP($A4377,Load!$B:$B,Load!J:J,0,)</f>
        <v>0</v>
      </c>
      <c r="J4377">
        <f>_xlfn.XLOOKUP($A4377,Load!$B:$B,Load!K:K,0,)</f>
        <v>0</v>
      </c>
      <c r="K4377">
        <f>_xlfn.XLOOKUP($A4377,Load!$B:$B,Load!L:L,0,)</f>
        <v>0</v>
      </c>
      <c r="L4377">
        <f>_xlfn.XLOOKUP($A4377,Load!$B:$B,Load!M:M,0,)</f>
        <v>0</v>
      </c>
    </row>
    <row r="4378" spans="1:12" x14ac:dyDescent="0.25">
      <c r="B4378">
        <f>_xlfn.XLOOKUP($A4378,Load!$B:$B,Load!C:C,0,)</f>
        <v>0</v>
      </c>
      <c r="C4378">
        <f>_xlfn.XLOOKUP($A4378,Load!$B:$B,Load!D:D,0,)</f>
        <v>0</v>
      </c>
      <c r="D4378">
        <f>_xlfn.XLOOKUP($A4378,Load!$B:$B,Load!E:E,0,)</f>
        <v>0</v>
      </c>
      <c r="E4378">
        <f>_xlfn.XLOOKUP($A4378,Load!$B:$B,Load!F:F,0,)</f>
        <v>0</v>
      </c>
      <c r="F4378">
        <f>_xlfn.XLOOKUP($A4378,Load!$B:$B,Load!G:G,0,)</f>
        <v>0</v>
      </c>
      <c r="G4378">
        <f>_xlfn.XLOOKUP($A4378,Load!$B:$B,Load!H:H,0,)</f>
        <v>0</v>
      </c>
      <c r="H4378">
        <f>_xlfn.XLOOKUP($A4378,Load!$B:$B,Load!I:I,0,)</f>
        <v>0</v>
      </c>
      <c r="I4378">
        <f>_xlfn.XLOOKUP($A4378,Load!$B:$B,Load!J:J,0,)</f>
        <v>0</v>
      </c>
      <c r="J4378">
        <f>_xlfn.XLOOKUP($A4378,Load!$B:$B,Load!K:K,0,)</f>
        <v>0</v>
      </c>
      <c r="K4378">
        <f>_xlfn.XLOOKUP($A4378,Load!$B:$B,Load!L:L,0,)</f>
        <v>0</v>
      </c>
      <c r="L4378">
        <f>_xlfn.XLOOKUP($A4378,Load!$B:$B,Load!M:M,0,)</f>
        <v>0</v>
      </c>
    </row>
    <row r="4379" spans="1:12" x14ac:dyDescent="0.25">
      <c r="B4379">
        <f>_xlfn.XLOOKUP($A4379,Load!$B:$B,Load!C:C,0,)</f>
        <v>0</v>
      </c>
      <c r="C4379">
        <f>_xlfn.XLOOKUP($A4379,Load!$B:$B,Load!D:D,0,)</f>
        <v>0</v>
      </c>
      <c r="D4379">
        <f>_xlfn.XLOOKUP($A4379,Load!$B:$B,Load!E:E,0,)</f>
        <v>0</v>
      </c>
      <c r="E4379">
        <f>_xlfn.XLOOKUP($A4379,Load!$B:$B,Load!F:F,0,)</f>
        <v>0</v>
      </c>
      <c r="F4379">
        <f>_xlfn.XLOOKUP($A4379,Load!$B:$B,Load!G:G,0,)</f>
        <v>0</v>
      </c>
      <c r="G4379">
        <f>_xlfn.XLOOKUP($A4379,Load!$B:$B,Load!H:H,0,)</f>
        <v>0</v>
      </c>
      <c r="H4379">
        <f>_xlfn.XLOOKUP($A4379,Load!$B:$B,Load!I:I,0,)</f>
        <v>0</v>
      </c>
      <c r="I4379">
        <f>_xlfn.XLOOKUP($A4379,Load!$B:$B,Load!J:J,0,)</f>
        <v>0</v>
      </c>
      <c r="J4379">
        <f>_xlfn.XLOOKUP($A4379,Load!$B:$B,Load!K:K,0,)</f>
        <v>0</v>
      </c>
      <c r="K4379">
        <f>_xlfn.XLOOKUP($A4379,Load!$B:$B,Load!L:L,0,)</f>
        <v>0</v>
      </c>
      <c r="L4379">
        <f>_xlfn.XLOOKUP($A4379,Load!$B:$B,Load!M:M,0,)</f>
        <v>0</v>
      </c>
    </row>
    <row r="4380" spans="1:12" x14ac:dyDescent="0.25">
      <c r="A4380" t="s">
        <v>465</v>
      </c>
      <c r="B4380" t="str">
        <f>_xlfn.XLOOKUP($A4380,Load!$B:$B,Load!C:C,0,)</f>
        <v>Werther's Original</v>
      </c>
      <c r="C4380" t="str">
        <f>_xlfn.XLOOKUP($A4380,Load!$B:$B,Load!D:D,0,)</f>
        <v>Non-Chocolate Candy Only</v>
      </c>
      <c r="D4380" t="str">
        <f>_xlfn.XLOOKUP($A4380,Load!$B:$B,Load!E:E,0,)</f>
        <v>Sweet</v>
      </c>
      <c r="E4380" t="str">
        <f>_xlfn.XLOOKUP($A4380,Load!$B:$B,Load!F:F,0,)</f>
        <v>Chewy</v>
      </c>
      <c r="F4380" t="str">
        <f>_xlfn.XLOOKUP($A4380,Load!$B:$B,Load!G:G,0,)</f>
        <v>Single Pack</v>
      </c>
      <c r="G4380" t="str">
        <f>_xlfn.XLOOKUP($A4380,Load!$B:$B,Load!H:H,0,)</f>
        <v>Laydown Bag</v>
      </c>
      <c r="H4380" t="str">
        <f>_xlfn.XLOOKUP($A4380,Load!$B:$B,Load!I:I,0,)</f>
        <v>Everyday Candy Shapes (like Original, Gummy bear, Fruit, Jewels, etc.)</v>
      </c>
      <c r="I4380" t="str">
        <f>_xlfn.XLOOKUP($A4380,Load!$B:$B,Load!J:J,0,)</f>
        <v>Everyday Graphics</v>
      </c>
      <c r="J4380" t="str">
        <f>_xlfn.XLOOKUP($A4380,Load!$B:$B,Load!K:K,0,)</f>
        <v>Fun Size / Treat Size</v>
      </c>
      <c r="K4380" t="str">
        <f>_xlfn.XLOOKUP($A4380,Load!$B:$B,Load!L:L,0,)</f>
        <v>Regular/Original Wrapping</v>
      </c>
      <c r="L4380" t="str">
        <f>_xlfn.XLOOKUP($A4380,Load!$B:$B,Load!M:M,0,)</f>
        <v>Single Brand / Single Flavor or Form</v>
      </c>
    </row>
    <row r="4381" spans="1:12" x14ac:dyDescent="0.25">
      <c r="B4381">
        <f>_xlfn.XLOOKUP($A4381,Load!$B:$B,Load!C:C,0,)</f>
        <v>0</v>
      </c>
      <c r="C4381">
        <f>_xlfn.XLOOKUP($A4381,Load!$B:$B,Load!D:D,0,)</f>
        <v>0</v>
      </c>
      <c r="D4381">
        <f>_xlfn.XLOOKUP($A4381,Load!$B:$B,Load!E:E,0,)</f>
        <v>0</v>
      </c>
      <c r="E4381">
        <f>_xlfn.XLOOKUP($A4381,Load!$B:$B,Load!F:F,0,)</f>
        <v>0</v>
      </c>
      <c r="F4381">
        <f>_xlfn.XLOOKUP($A4381,Load!$B:$B,Load!G:G,0,)</f>
        <v>0</v>
      </c>
      <c r="G4381">
        <f>_xlfn.XLOOKUP($A4381,Load!$B:$B,Load!H:H,0,)</f>
        <v>0</v>
      </c>
      <c r="H4381">
        <f>_xlfn.XLOOKUP($A4381,Load!$B:$B,Load!I:I,0,)</f>
        <v>0</v>
      </c>
      <c r="I4381">
        <f>_xlfn.XLOOKUP($A4381,Load!$B:$B,Load!J:J,0,)</f>
        <v>0</v>
      </c>
      <c r="J4381">
        <f>_xlfn.XLOOKUP($A4381,Load!$B:$B,Load!K:K,0,)</f>
        <v>0</v>
      </c>
      <c r="K4381">
        <f>_xlfn.XLOOKUP($A4381,Load!$B:$B,Load!L:L,0,)</f>
        <v>0</v>
      </c>
      <c r="L4381">
        <f>_xlfn.XLOOKUP($A4381,Load!$B:$B,Load!M:M,0,)</f>
        <v>0</v>
      </c>
    </row>
    <row r="4382" spans="1:12" x14ac:dyDescent="0.25">
      <c r="A4382" t="s">
        <v>124</v>
      </c>
      <c r="B4382" t="str">
        <f>_xlfn.XLOOKUP($A4382,Load!$B:$B,Load!C:C,0,)</f>
        <v>HARIBO</v>
      </c>
      <c r="C4382" t="str">
        <f>_xlfn.XLOOKUP($A4382,Load!$B:$B,Load!D:D,0,)</f>
        <v>Non-Chocolate Candy Only</v>
      </c>
      <c r="D4382" t="str">
        <f>_xlfn.XLOOKUP($A4382,Load!$B:$B,Load!E:E,0,)</f>
        <v>Fruit Flavor (Cherry, Grape, Apple, Citrus, Tropical Fruit)</v>
      </c>
      <c r="E4382" t="str">
        <f>_xlfn.XLOOKUP($A4382,Load!$B:$B,Load!F:F,0,)</f>
        <v>Gummy</v>
      </c>
      <c r="F4382" t="str">
        <f>_xlfn.XLOOKUP($A4382,Load!$B:$B,Load!G:G,0,)</f>
        <v>Small Multipack (Less than 40 ct)</v>
      </c>
      <c r="G4382" t="str">
        <f>_xlfn.XLOOKUP($A4382,Load!$B:$B,Load!H:H,0,)</f>
        <v>Laydown Bag</v>
      </c>
      <c r="H4382" t="str">
        <f>_xlfn.XLOOKUP($A4382,Load!$B:$B,Load!I:I,0,)</f>
        <v>Everyday Candy Shapes (like Original, Gummy bear, Fruit, Jewels, etc.)</v>
      </c>
      <c r="I4382" t="str">
        <f>_xlfn.XLOOKUP($A4382,Load!$B:$B,Load!J:J,0,)</f>
        <v>Everyday Graphics</v>
      </c>
      <c r="J4382" t="str">
        <f>_xlfn.XLOOKUP($A4382,Load!$B:$B,Load!K:K,0,)</f>
        <v>Small Pieces (Tiny bite size candies)</v>
      </c>
      <c r="K4382" t="str">
        <f>_xlfn.XLOOKUP($A4382,Load!$B:$B,Load!L:L,0,)</f>
        <v>Regular/Original Wrapping</v>
      </c>
      <c r="L4382" t="str">
        <f>_xlfn.XLOOKUP($A4382,Load!$B:$B,Load!M:M,0,)</f>
        <v>Single Brand / Variety Flavors or Form</v>
      </c>
    </row>
    <row r="4383" spans="1:12" x14ac:dyDescent="0.25">
      <c r="B4383">
        <f>_xlfn.XLOOKUP($A4383,Load!$B:$B,Load!C:C,0,)</f>
        <v>0</v>
      </c>
      <c r="C4383">
        <f>_xlfn.XLOOKUP($A4383,Load!$B:$B,Load!D:D,0,)</f>
        <v>0</v>
      </c>
      <c r="D4383">
        <f>_xlfn.XLOOKUP($A4383,Load!$B:$B,Load!E:E,0,)</f>
        <v>0</v>
      </c>
      <c r="E4383">
        <f>_xlfn.XLOOKUP($A4383,Load!$B:$B,Load!F:F,0,)</f>
        <v>0</v>
      </c>
      <c r="F4383">
        <f>_xlfn.XLOOKUP($A4383,Load!$B:$B,Load!G:G,0,)</f>
        <v>0</v>
      </c>
      <c r="G4383">
        <f>_xlfn.XLOOKUP($A4383,Load!$B:$B,Load!H:H,0,)</f>
        <v>0</v>
      </c>
      <c r="H4383">
        <f>_xlfn.XLOOKUP($A4383,Load!$B:$B,Load!I:I,0,)</f>
        <v>0</v>
      </c>
      <c r="I4383">
        <f>_xlfn.XLOOKUP($A4383,Load!$B:$B,Load!J:J,0,)</f>
        <v>0</v>
      </c>
      <c r="J4383">
        <f>_xlfn.XLOOKUP($A4383,Load!$B:$B,Load!K:K,0,)</f>
        <v>0</v>
      </c>
      <c r="K4383">
        <f>_xlfn.XLOOKUP($A4383,Load!$B:$B,Load!L:L,0,)</f>
        <v>0</v>
      </c>
      <c r="L4383">
        <f>_xlfn.XLOOKUP($A4383,Load!$B:$B,Load!M:M,0,)</f>
        <v>0</v>
      </c>
    </row>
    <row r="4384" spans="1:12" x14ac:dyDescent="0.25">
      <c r="A4384" t="s">
        <v>180</v>
      </c>
      <c r="B4384" t="str">
        <f>_xlfn.XLOOKUP($A4384,Load!$B:$B,Load!C:C,0,)</f>
        <v>Mars Variety Pack</v>
      </c>
      <c r="C4384" t="str">
        <f>_xlfn.XLOOKUP($A4384,Load!$B:$B,Load!D:D,0,)</f>
        <v>Mix of Chocolate and Non-Chocolate Candy</v>
      </c>
      <c r="D4384" t="str">
        <f>_xlfn.XLOOKUP($A4384,Load!$B:$B,Load!E:E,0,)</f>
        <v>Variety / Mixed Flavors (Fruity, Sour, Seasonal Flavors)</v>
      </c>
      <c r="E4384" t="str">
        <f>_xlfn.XLOOKUP($A4384,Load!$B:$B,Load!F:F,0,)</f>
        <v>Mixed / Combo Packs (Gummy, Chewy, Taffy, etc.)</v>
      </c>
      <c r="F4384" t="str">
        <f>_xlfn.XLOOKUP($A4384,Load!$B:$B,Load!G:G,0,)</f>
        <v>Large Multipack (More than 80 ct)</v>
      </c>
      <c r="G4384" t="str">
        <f>_xlfn.XLOOKUP($A4384,Load!$B:$B,Load!H:H,0,)</f>
        <v>Stand-Up Bag</v>
      </c>
      <c r="H4384" t="str">
        <f>_xlfn.XLOOKUP($A4384,Load!$B:$B,Load!I:I,0,)</f>
        <v>Everyday Candy Shapes (like Original, Gummy bear, Fruit, Jewels, etc.)</v>
      </c>
      <c r="I4384" t="str">
        <f>_xlfn.XLOOKUP($A4384,Load!$B:$B,Load!J:J,0,)</f>
        <v>Seasonal Graphics (Like Bat, Ghost, Pumpkin, Fall Leaves, Eyeballs, etc.)</v>
      </c>
      <c r="J4384" t="str">
        <f>_xlfn.XLOOKUP($A4384,Load!$B:$B,Load!K:K,0,)</f>
        <v>Fun Size / Treat Size</v>
      </c>
      <c r="K4384" t="str">
        <f>_xlfn.XLOOKUP($A4384,Load!$B:$B,Load!L:L,0,)</f>
        <v>Regular/Original Wrapping</v>
      </c>
      <c r="L4384" t="str">
        <f>_xlfn.XLOOKUP($A4384,Load!$B:$B,Load!M:M,0,)</f>
        <v>Multiple Brands / Variety Flavors or Form</v>
      </c>
    </row>
    <row r="4385" spans="1:12" x14ac:dyDescent="0.25">
      <c r="A4385" t="s">
        <v>185</v>
      </c>
      <c r="B4385" t="str">
        <f>_xlfn.XLOOKUP($A4385,Load!$B:$B,Load!C:C,0,)</f>
        <v>Mars Variety Pack</v>
      </c>
      <c r="C4385" t="str">
        <f>_xlfn.XLOOKUP($A4385,Load!$B:$B,Load!D:D,0,)</f>
        <v>Mix of Chocolate and Non-Chocolate Candy</v>
      </c>
      <c r="D4385" t="str">
        <f>_xlfn.XLOOKUP($A4385,Load!$B:$B,Load!E:E,0,)</f>
        <v>Variety / Mixed Flavors (Fruity, Sour, Seasonal Flavors)</v>
      </c>
      <c r="E4385" t="str">
        <f>_xlfn.XLOOKUP($A4385,Load!$B:$B,Load!F:F,0,)</f>
        <v>Mixed / Combo Packs (Gummy, Chewy, Taffy, etc.)</v>
      </c>
      <c r="F4385" t="str">
        <f>_xlfn.XLOOKUP($A4385,Load!$B:$B,Load!G:G,0,)</f>
        <v>Large Multipack (More than 80 ct)</v>
      </c>
      <c r="G4385" t="str">
        <f>_xlfn.XLOOKUP($A4385,Load!$B:$B,Load!H:H,0,)</f>
        <v>Stand-Up Bag</v>
      </c>
      <c r="H4385" t="str">
        <f>_xlfn.XLOOKUP($A4385,Load!$B:$B,Load!I:I,0,)</f>
        <v>Everyday Candy Shapes (like Original, Gummy bear, Fruit, Jewels, etc.)</v>
      </c>
      <c r="I4385" t="str">
        <f>_xlfn.XLOOKUP($A4385,Load!$B:$B,Load!J:J,0,)</f>
        <v>Seasonal Graphics (Like Bat, Ghost, Pumpkin, Fall Leaves, Eyeballs, etc.)</v>
      </c>
      <c r="J4385" t="str">
        <f>_xlfn.XLOOKUP($A4385,Load!$B:$B,Load!K:K,0,)</f>
        <v>Fun Size / Treat Size</v>
      </c>
      <c r="K4385" t="str">
        <f>_xlfn.XLOOKUP($A4385,Load!$B:$B,Load!L:L,0,)</f>
        <v>Regular/Original Wrapping</v>
      </c>
      <c r="L4385" t="str">
        <f>_xlfn.XLOOKUP($A4385,Load!$B:$B,Load!M:M,0,)</f>
        <v>Multiple Brands / Variety Flavors or Form</v>
      </c>
    </row>
    <row r="4386" spans="1:12" x14ac:dyDescent="0.25">
      <c r="B4386">
        <f>_xlfn.XLOOKUP($A4386,Load!$B:$B,Load!C:C,0,)</f>
        <v>0</v>
      </c>
      <c r="C4386">
        <f>_xlfn.XLOOKUP($A4386,Load!$B:$B,Load!D:D,0,)</f>
        <v>0</v>
      </c>
      <c r="D4386">
        <f>_xlfn.XLOOKUP($A4386,Load!$B:$B,Load!E:E,0,)</f>
        <v>0</v>
      </c>
      <c r="E4386">
        <f>_xlfn.XLOOKUP($A4386,Load!$B:$B,Load!F:F,0,)</f>
        <v>0</v>
      </c>
      <c r="F4386">
        <f>_xlfn.XLOOKUP($A4386,Load!$B:$B,Load!G:G,0,)</f>
        <v>0</v>
      </c>
      <c r="G4386">
        <f>_xlfn.XLOOKUP($A4386,Load!$B:$B,Load!H:H,0,)</f>
        <v>0</v>
      </c>
      <c r="H4386">
        <f>_xlfn.XLOOKUP($A4386,Load!$B:$B,Load!I:I,0,)</f>
        <v>0</v>
      </c>
      <c r="I4386">
        <f>_xlfn.XLOOKUP($A4386,Load!$B:$B,Load!J:J,0,)</f>
        <v>0</v>
      </c>
      <c r="J4386">
        <f>_xlfn.XLOOKUP($A4386,Load!$B:$B,Load!K:K,0,)</f>
        <v>0</v>
      </c>
      <c r="K4386">
        <f>_xlfn.XLOOKUP($A4386,Load!$B:$B,Load!L:L,0,)</f>
        <v>0</v>
      </c>
      <c r="L4386">
        <f>_xlfn.XLOOKUP($A4386,Load!$B:$B,Load!M:M,0,)</f>
        <v>0</v>
      </c>
    </row>
    <row r="4387" spans="1:12" x14ac:dyDescent="0.25">
      <c r="B4387">
        <f>_xlfn.XLOOKUP($A4387,Load!$B:$B,Load!C:C,0,)</f>
        <v>0</v>
      </c>
      <c r="C4387">
        <f>_xlfn.XLOOKUP($A4387,Load!$B:$B,Load!D:D,0,)</f>
        <v>0</v>
      </c>
      <c r="D4387">
        <f>_xlfn.XLOOKUP($A4387,Load!$B:$B,Load!E:E,0,)</f>
        <v>0</v>
      </c>
      <c r="E4387">
        <f>_xlfn.XLOOKUP($A4387,Load!$B:$B,Load!F:F,0,)</f>
        <v>0</v>
      </c>
      <c r="F4387">
        <f>_xlfn.XLOOKUP($A4387,Load!$B:$B,Load!G:G,0,)</f>
        <v>0</v>
      </c>
      <c r="G4387">
        <f>_xlfn.XLOOKUP($A4387,Load!$B:$B,Load!H:H,0,)</f>
        <v>0</v>
      </c>
      <c r="H4387">
        <f>_xlfn.XLOOKUP($A4387,Load!$B:$B,Load!I:I,0,)</f>
        <v>0</v>
      </c>
      <c r="I4387">
        <f>_xlfn.XLOOKUP($A4387,Load!$B:$B,Load!J:J,0,)</f>
        <v>0</v>
      </c>
      <c r="J4387">
        <f>_xlfn.XLOOKUP($A4387,Load!$B:$B,Load!K:K,0,)</f>
        <v>0</v>
      </c>
      <c r="K4387">
        <f>_xlfn.XLOOKUP($A4387,Load!$B:$B,Load!L:L,0,)</f>
        <v>0</v>
      </c>
      <c r="L4387">
        <f>_xlfn.XLOOKUP($A4387,Load!$B:$B,Load!M:M,0,)</f>
        <v>0</v>
      </c>
    </row>
    <row r="4388" spans="1:12" x14ac:dyDescent="0.25">
      <c r="A4388" t="s">
        <v>133</v>
      </c>
      <c r="B4388" t="str">
        <f>_xlfn.XLOOKUP($A4388,Load!$B:$B,Load!C:C,0,)</f>
        <v>Hershey's</v>
      </c>
      <c r="C4388" t="str">
        <f>_xlfn.XLOOKUP($A4388,Load!$B:$B,Load!D:D,0,)</f>
        <v>Non-Chocolate Candy Only</v>
      </c>
      <c r="D4388" t="str">
        <f>_xlfn.XLOOKUP($A4388,Load!$B:$B,Load!E:E,0,)</f>
        <v>Variety / Mixed Flavors (Fruity, Sour, Seasonal Flavors)</v>
      </c>
      <c r="E4388" t="str">
        <f>_xlfn.XLOOKUP($A4388,Load!$B:$B,Load!F:F,0,)</f>
        <v>Mixed / Combo Packs (Gummy, Chewy, Taffy, etc.)</v>
      </c>
      <c r="F4388" t="str">
        <f>_xlfn.XLOOKUP($A4388,Load!$B:$B,Load!G:G,0,)</f>
        <v>Large Multipack (More than 80 ct)</v>
      </c>
      <c r="G4388" t="str">
        <f>_xlfn.XLOOKUP($A4388,Load!$B:$B,Load!H:H,0,)</f>
        <v>Stand-Up Bag</v>
      </c>
      <c r="H4388" t="str">
        <f>_xlfn.XLOOKUP($A4388,Load!$B:$B,Load!I:I,0,)</f>
        <v>Everyday Candy Shapes (like Original, Gummy bear, Fruit, Jewels, etc.)</v>
      </c>
      <c r="I4388" t="str">
        <f>_xlfn.XLOOKUP($A4388,Load!$B:$B,Load!J:J,0,)</f>
        <v>Seasonal Graphics (Like Bat, Ghost, Pumpkin, Fall Leaves, Eyeballs, etc.)</v>
      </c>
      <c r="J4388" t="str">
        <f>_xlfn.XLOOKUP($A4388,Load!$B:$B,Load!K:K,0,)</f>
        <v>Fun Size / Treat Size</v>
      </c>
      <c r="K4388" t="str">
        <f>_xlfn.XLOOKUP($A4388,Load!$B:$B,Load!L:L,0,)</f>
        <v>Regular/Original Wrapping</v>
      </c>
      <c r="L4388" t="str">
        <f>_xlfn.XLOOKUP($A4388,Load!$B:$B,Load!M:M,0,)</f>
        <v>Multiple Brands / Variety Flavors or Form</v>
      </c>
    </row>
    <row r="4389" spans="1:12" x14ac:dyDescent="0.25">
      <c r="A4389" t="s">
        <v>121</v>
      </c>
      <c r="B4389" t="str">
        <f>_xlfn.XLOOKUP($A4389,Load!$B:$B,Load!C:C,0,)</f>
        <v>HARIBO</v>
      </c>
      <c r="C4389" t="str">
        <f>_xlfn.XLOOKUP($A4389,Load!$B:$B,Load!D:D,0,)</f>
        <v>Non-Chocolate Candy Only</v>
      </c>
      <c r="D4389" t="str">
        <f>_xlfn.XLOOKUP($A4389,Load!$B:$B,Load!E:E,0,)</f>
        <v>Variety / Mixed Flavors (Fruity, Sour, Seasonal Flavors)</v>
      </c>
      <c r="E4389" t="str">
        <f>_xlfn.XLOOKUP($A4389,Load!$B:$B,Load!F:F,0,)</f>
        <v>Gummy</v>
      </c>
      <c r="F4389" t="str">
        <f>_xlfn.XLOOKUP($A4389,Load!$B:$B,Load!G:G,0,)</f>
        <v>Large Multipack (More than 80 ct)</v>
      </c>
      <c r="G4389" t="str">
        <f>_xlfn.XLOOKUP($A4389,Load!$B:$B,Load!H:H,0,)</f>
        <v>Stand-Up Bag</v>
      </c>
      <c r="H4389" t="str">
        <f>_xlfn.XLOOKUP($A4389,Load!$B:$B,Load!I:I,0,)</f>
        <v>Seasonal Shapes (like pumpkins, candy corn, ghost, bats, etc.)</v>
      </c>
      <c r="I4389" t="str">
        <f>_xlfn.XLOOKUP($A4389,Load!$B:$B,Load!J:J,0,)</f>
        <v>Seasonal Graphics (Like Bat, Ghost, Pumpkin, Fall Leaves, Eyeballs, etc.)</v>
      </c>
      <c r="J4389" t="str">
        <f>_xlfn.XLOOKUP($A4389,Load!$B:$B,Load!K:K,0,)</f>
        <v>Fun Size / Treat Size</v>
      </c>
      <c r="K4389" t="str">
        <f>_xlfn.XLOOKUP($A4389,Load!$B:$B,Load!L:L,0,)</f>
        <v>Regular/Original Wrapping</v>
      </c>
      <c r="L4389" t="str">
        <f>_xlfn.XLOOKUP($A4389,Load!$B:$B,Load!M:M,0,)</f>
        <v>Multiple Brands / Variety Flavors or Form</v>
      </c>
    </row>
    <row r="4390" spans="1:12" x14ac:dyDescent="0.25">
      <c r="A4390" t="s">
        <v>124</v>
      </c>
      <c r="B4390" t="str">
        <f>_xlfn.XLOOKUP($A4390,Load!$B:$B,Load!C:C,0,)</f>
        <v>HARIBO</v>
      </c>
      <c r="C4390" t="str">
        <f>_xlfn.XLOOKUP($A4390,Load!$B:$B,Load!D:D,0,)</f>
        <v>Non-Chocolate Candy Only</v>
      </c>
      <c r="D4390" t="str">
        <f>_xlfn.XLOOKUP($A4390,Load!$B:$B,Load!E:E,0,)</f>
        <v>Fruit Flavor (Cherry, Grape, Apple, Citrus, Tropical Fruit)</v>
      </c>
      <c r="E4390" t="str">
        <f>_xlfn.XLOOKUP($A4390,Load!$B:$B,Load!F:F,0,)</f>
        <v>Gummy</v>
      </c>
      <c r="F4390" t="str">
        <f>_xlfn.XLOOKUP($A4390,Load!$B:$B,Load!G:G,0,)</f>
        <v>Small Multipack (Less than 40 ct)</v>
      </c>
      <c r="G4390" t="str">
        <f>_xlfn.XLOOKUP($A4390,Load!$B:$B,Load!H:H,0,)</f>
        <v>Laydown Bag</v>
      </c>
      <c r="H4390" t="str">
        <f>_xlfn.XLOOKUP($A4390,Load!$B:$B,Load!I:I,0,)</f>
        <v>Everyday Candy Shapes (like Original, Gummy bear, Fruit, Jewels, etc.)</v>
      </c>
      <c r="I4390" t="str">
        <f>_xlfn.XLOOKUP($A4390,Load!$B:$B,Load!J:J,0,)</f>
        <v>Everyday Graphics</v>
      </c>
      <c r="J4390" t="str">
        <f>_xlfn.XLOOKUP($A4390,Load!$B:$B,Load!K:K,0,)</f>
        <v>Small Pieces (Tiny bite size candies)</v>
      </c>
      <c r="K4390" t="str">
        <f>_xlfn.XLOOKUP($A4390,Load!$B:$B,Load!L:L,0,)</f>
        <v>Regular/Original Wrapping</v>
      </c>
      <c r="L4390" t="str">
        <f>_xlfn.XLOOKUP($A4390,Load!$B:$B,Load!M:M,0,)</f>
        <v>Single Brand / Variety Flavors or Form</v>
      </c>
    </row>
    <row r="4391" spans="1:12" x14ac:dyDescent="0.25">
      <c r="A4391" t="s">
        <v>122</v>
      </c>
      <c r="B4391" t="str">
        <f>_xlfn.XLOOKUP($A4391,Load!$B:$B,Load!C:C,0,)</f>
        <v>HARIBO</v>
      </c>
      <c r="C4391" t="str">
        <f>_xlfn.XLOOKUP($A4391,Load!$B:$B,Load!D:D,0,)</f>
        <v>Non-Chocolate Candy Only</v>
      </c>
      <c r="D4391" t="str">
        <f>_xlfn.XLOOKUP($A4391,Load!$B:$B,Load!E:E,0,)</f>
        <v>Variety / Mixed Flavors (Fruity, Sour, Seasonal Flavors)</v>
      </c>
      <c r="E4391" t="str">
        <f>_xlfn.XLOOKUP($A4391,Load!$B:$B,Load!F:F,0,)</f>
        <v>Gummy</v>
      </c>
      <c r="F4391" t="str">
        <f>_xlfn.XLOOKUP($A4391,Load!$B:$B,Load!G:G,0,)</f>
        <v>Medium Multipack (40–80 ct)</v>
      </c>
      <c r="G4391" t="str">
        <f>_xlfn.XLOOKUP($A4391,Load!$B:$B,Load!H:H,0,)</f>
        <v>Laydown Bag</v>
      </c>
      <c r="H4391" t="str">
        <f>_xlfn.XLOOKUP($A4391,Load!$B:$B,Load!I:I,0,)</f>
        <v>Seasonal Shapes (like pumpkins, candy corn, ghost, bats, etc.)</v>
      </c>
      <c r="I4391" t="str">
        <f>_xlfn.XLOOKUP($A4391,Load!$B:$B,Load!J:J,0,)</f>
        <v>Seasonal Graphics (Like Bat, Ghost, Pumpkin, Fall Leaves, Eyeballs, etc.)</v>
      </c>
      <c r="J4391" t="str">
        <f>_xlfn.XLOOKUP($A4391,Load!$B:$B,Load!K:K,0,)</f>
        <v>Small Pieces (Tiny bite size candies)</v>
      </c>
      <c r="K4391" t="str">
        <f>_xlfn.XLOOKUP($A4391,Load!$B:$B,Load!L:L,0,)</f>
        <v>Regular/Original Wrapping</v>
      </c>
      <c r="L4391" t="str">
        <f>_xlfn.XLOOKUP($A4391,Load!$B:$B,Load!M:M,0,)</f>
        <v>Multiple Brands / Variety Flavors or Form</v>
      </c>
    </row>
    <row r="4392" spans="1:12" x14ac:dyDescent="0.25">
      <c r="A4392" t="s">
        <v>136</v>
      </c>
      <c r="B4392" t="str">
        <f>_xlfn.XLOOKUP($A4392,Load!$B:$B,Load!C:C,0,)</f>
        <v>Hershey's Variety Pack + Haribo</v>
      </c>
      <c r="C4392" t="str">
        <f>_xlfn.XLOOKUP($A4392,Load!$B:$B,Load!D:D,0,)</f>
        <v>Non-Chocolate Candy Only</v>
      </c>
      <c r="D4392" t="str">
        <f>_xlfn.XLOOKUP($A4392,Load!$B:$B,Load!E:E,0,)</f>
        <v>Variety / Mixed Flavors (Fruity, Sour, Seasonal Flavors)</v>
      </c>
      <c r="E4392" t="str">
        <f>_xlfn.XLOOKUP($A4392,Load!$B:$B,Load!F:F,0,)</f>
        <v>Mixed / Combo Packs (Gummy, Chewy, Taffy, etc.)</v>
      </c>
      <c r="F4392" t="str">
        <f>_xlfn.XLOOKUP($A4392,Load!$B:$B,Load!G:G,0,)</f>
        <v>Medium Multipack (40–80 ct)</v>
      </c>
      <c r="G4392" t="str">
        <f>_xlfn.XLOOKUP($A4392,Load!$B:$B,Load!H:H,0,)</f>
        <v>Laydown Bag</v>
      </c>
      <c r="H4392" t="str">
        <f>_xlfn.XLOOKUP($A4392,Load!$B:$B,Load!I:I,0,)</f>
        <v>Everyday Candy Shapes (like Original, Gummy bear, Fruit, Jewels, etc.)</v>
      </c>
      <c r="I4392" t="str">
        <f>_xlfn.XLOOKUP($A4392,Load!$B:$B,Load!J:J,0,)</f>
        <v>Seasonal Graphics (Like Bat, Ghost, Pumpkin, Fall Leaves, Eyeballs, etc.)</v>
      </c>
      <c r="J4392" t="str">
        <f>_xlfn.XLOOKUP($A4392,Load!$B:$B,Load!K:K,0,)</f>
        <v xml:space="preserve">Variety Candy Sizes </v>
      </c>
      <c r="K4392" t="str">
        <f>_xlfn.XLOOKUP($A4392,Load!$B:$B,Load!L:L,0,)</f>
        <v>Regular/Original Wrapping</v>
      </c>
      <c r="L4392" t="str">
        <f>_xlfn.XLOOKUP($A4392,Load!$B:$B,Load!M:M,0,)</f>
        <v>Multiple Brands / Variety Flavors or Form</v>
      </c>
    </row>
    <row r="4393" spans="1:12" x14ac:dyDescent="0.25">
      <c r="B4393">
        <f>_xlfn.XLOOKUP($A4393,Load!$B:$B,Load!C:C,0,)</f>
        <v>0</v>
      </c>
      <c r="C4393">
        <f>_xlfn.XLOOKUP($A4393,Load!$B:$B,Load!D:D,0,)</f>
        <v>0</v>
      </c>
      <c r="D4393">
        <f>_xlfn.XLOOKUP($A4393,Load!$B:$B,Load!E:E,0,)</f>
        <v>0</v>
      </c>
      <c r="E4393">
        <f>_xlfn.XLOOKUP($A4393,Load!$B:$B,Load!F:F,0,)</f>
        <v>0</v>
      </c>
      <c r="F4393">
        <f>_xlfn.XLOOKUP($A4393,Load!$B:$B,Load!G:G,0,)</f>
        <v>0</v>
      </c>
      <c r="G4393">
        <f>_xlfn.XLOOKUP($A4393,Load!$B:$B,Load!H:H,0,)</f>
        <v>0</v>
      </c>
      <c r="H4393">
        <f>_xlfn.XLOOKUP($A4393,Load!$B:$B,Load!I:I,0,)</f>
        <v>0</v>
      </c>
      <c r="I4393">
        <f>_xlfn.XLOOKUP($A4393,Load!$B:$B,Load!J:J,0,)</f>
        <v>0</v>
      </c>
      <c r="J4393">
        <f>_xlfn.XLOOKUP($A4393,Load!$B:$B,Load!K:K,0,)</f>
        <v>0</v>
      </c>
      <c r="K4393">
        <f>_xlfn.XLOOKUP($A4393,Load!$B:$B,Load!L:L,0,)</f>
        <v>0</v>
      </c>
      <c r="L4393">
        <f>_xlfn.XLOOKUP($A4393,Load!$B:$B,Load!M:M,0,)</f>
        <v>0</v>
      </c>
    </row>
    <row r="4394" spans="1:12" x14ac:dyDescent="0.25">
      <c r="B4394">
        <f>_xlfn.XLOOKUP($A4394,Load!$B:$B,Load!C:C,0,)</f>
        <v>0</v>
      </c>
      <c r="C4394">
        <f>_xlfn.XLOOKUP($A4394,Load!$B:$B,Load!D:D,0,)</f>
        <v>0</v>
      </c>
      <c r="D4394">
        <f>_xlfn.XLOOKUP($A4394,Load!$B:$B,Load!E:E,0,)</f>
        <v>0</v>
      </c>
      <c r="E4394">
        <f>_xlfn.XLOOKUP($A4394,Load!$B:$B,Load!F:F,0,)</f>
        <v>0</v>
      </c>
      <c r="F4394">
        <f>_xlfn.XLOOKUP($A4394,Load!$B:$B,Load!G:G,0,)</f>
        <v>0</v>
      </c>
      <c r="G4394">
        <f>_xlfn.XLOOKUP($A4394,Load!$B:$B,Load!H:H,0,)</f>
        <v>0</v>
      </c>
      <c r="H4394">
        <f>_xlfn.XLOOKUP($A4394,Load!$B:$B,Load!I:I,0,)</f>
        <v>0</v>
      </c>
      <c r="I4394">
        <f>_xlfn.XLOOKUP($A4394,Load!$B:$B,Load!J:J,0,)</f>
        <v>0</v>
      </c>
      <c r="J4394">
        <f>_xlfn.XLOOKUP($A4394,Load!$B:$B,Load!K:K,0,)</f>
        <v>0</v>
      </c>
      <c r="K4394">
        <f>_xlfn.XLOOKUP($A4394,Load!$B:$B,Load!L:L,0,)</f>
        <v>0</v>
      </c>
      <c r="L4394">
        <f>_xlfn.XLOOKUP($A4394,Load!$B:$B,Load!M:M,0,)</f>
        <v>0</v>
      </c>
    </row>
    <row r="4395" spans="1:12" x14ac:dyDescent="0.25">
      <c r="B4395">
        <f>_xlfn.XLOOKUP($A4395,Load!$B:$B,Load!C:C,0,)</f>
        <v>0</v>
      </c>
      <c r="C4395">
        <f>_xlfn.XLOOKUP($A4395,Load!$B:$B,Load!D:D,0,)</f>
        <v>0</v>
      </c>
      <c r="D4395">
        <f>_xlfn.XLOOKUP($A4395,Load!$B:$B,Load!E:E,0,)</f>
        <v>0</v>
      </c>
      <c r="E4395">
        <f>_xlfn.XLOOKUP($A4395,Load!$B:$B,Load!F:F,0,)</f>
        <v>0</v>
      </c>
      <c r="F4395">
        <f>_xlfn.XLOOKUP($A4395,Load!$B:$B,Load!G:G,0,)</f>
        <v>0</v>
      </c>
      <c r="G4395">
        <f>_xlfn.XLOOKUP($A4395,Load!$B:$B,Load!H:H,0,)</f>
        <v>0</v>
      </c>
      <c r="H4395">
        <f>_xlfn.XLOOKUP($A4395,Load!$B:$B,Load!I:I,0,)</f>
        <v>0</v>
      </c>
      <c r="I4395">
        <f>_xlfn.XLOOKUP($A4395,Load!$B:$B,Load!J:J,0,)</f>
        <v>0</v>
      </c>
      <c r="J4395">
        <f>_xlfn.XLOOKUP($A4395,Load!$B:$B,Load!K:K,0,)</f>
        <v>0</v>
      </c>
      <c r="K4395">
        <f>_xlfn.XLOOKUP($A4395,Load!$B:$B,Load!L:L,0,)</f>
        <v>0</v>
      </c>
      <c r="L4395">
        <f>_xlfn.XLOOKUP($A4395,Load!$B:$B,Load!M:M,0,)</f>
        <v>0</v>
      </c>
    </row>
    <row r="4396" spans="1:12" x14ac:dyDescent="0.25">
      <c r="B4396">
        <f>_xlfn.XLOOKUP($A4396,Load!$B:$B,Load!C:C,0,)</f>
        <v>0</v>
      </c>
      <c r="C4396">
        <f>_xlfn.XLOOKUP($A4396,Load!$B:$B,Load!D:D,0,)</f>
        <v>0</v>
      </c>
      <c r="D4396">
        <f>_xlfn.XLOOKUP($A4396,Load!$B:$B,Load!E:E,0,)</f>
        <v>0</v>
      </c>
      <c r="E4396">
        <f>_xlfn.XLOOKUP($A4396,Load!$B:$B,Load!F:F,0,)</f>
        <v>0</v>
      </c>
      <c r="F4396">
        <f>_xlfn.XLOOKUP($A4396,Load!$B:$B,Load!G:G,0,)</f>
        <v>0</v>
      </c>
      <c r="G4396">
        <f>_xlfn.XLOOKUP($A4396,Load!$B:$B,Load!H:H,0,)</f>
        <v>0</v>
      </c>
      <c r="H4396">
        <f>_xlfn.XLOOKUP($A4396,Load!$B:$B,Load!I:I,0,)</f>
        <v>0</v>
      </c>
      <c r="I4396">
        <f>_xlfn.XLOOKUP($A4396,Load!$B:$B,Load!J:J,0,)</f>
        <v>0</v>
      </c>
      <c r="J4396">
        <f>_xlfn.XLOOKUP($A4396,Load!$B:$B,Load!K:K,0,)</f>
        <v>0</v>
      </c>
      <c r="K4396">
        <f>_xlfn.XLOOKUP($A4396,Load!$B:$B,Load!L:L,0,)</f>
        <v>0</v>
      </c>
      <c r="L4396">
        <f>_xlfn.XLOOKUP($A4396,Load!$B:$B,Load!M:M,0,)</f>
        <v>0</v>
      </c>
    </row>
    <row r="4397" spans="1:12" x14ac:dyDescent="0.25">
      <c r="B4397">
        <f>_xlfn.XLOOKUP($A4397,Load!$B:$B,Load!C:C,0,)</f>
        <v>0</v>
      </c>
      <c r="C4397">
        <f>_xlfn.XLOOKUP($A4397,Load!$B:$B,Load!D:D,0,)</f>
        <v>0</v>
      </c>
      <c r="D4397">
        <f>_xlfn.XLOOKUP($A4397,Load!$B:$B,Load!E:E,0,)</f>
        <v>0</v>
      </c>
      <c r="E4397">
        <f>_xlfn.XLOOKUP($A4397,Load!$B:$B,Load!F:F,0,)</f>
        <v>0</v>
      </c>
      <c r="F4397">
        <f>_xlfn.XLOOKUP($A4397,Load!$B:$B,Load!G:G,0,)</f>
        <v>0</v>
      </c>
      <c r="G4397">
        <f>_xlfn.XLOOKUP($A4397,Load!$B:$B,Load!H:H,0,)</f>
        <v>0</v>
      </c>
      <c r="H4397">
        <f>_xlfn.XLOOKUP($A4397,Load!$B:$B,Load!I:I,0,)</f>
        <v>0</v>
      </c>
      <c r="I4397">
        <f>_xlfn.XLOOKUP($A4397,Load!$B:$B,Load!J:J,0,)</f>
        <v>0</v>
      </c>
      <c r="J4397">
        <f>_xlfn.XLOOKUP($A4397,Load!$B:$B,Load!K:K,0,)</f>
        <v>0</v>
      </c>
      <c r="K4397">
        <f>_xlfn.XLOOKUP($A4397,Load!$B:$B,Load!L:L,0,)</f>
        <v>0</v>
      </c>
      <c r="L4397">
        <f>_xlfn.XLOOKUP($A4397,Load!$B:$B,Load!M:M,0,)</f>
        <v>0</v>
      </c>
    </row>
    <row r="4398" spans="1:12" x14ac:dyDescent="0.25">
      <c r="A4398" t="s">
        <v>97</v>
      </c>
      <c r="B4398" t="str">
        <f>_xlfn.XLOOKUP($A4398,Load!$B:$B,Load!C:C,0,)</f>
        <v>Ferrero Variety Pack</v>
      </c>
      <c r="C4398" t="str">
        <f>_xlfn.XLOOKUP($A4398,Load!$B:$B,Load!D:D,0,)</f>
        <v>Mix of Chocolate and Non-Chocolate Candy</v>
      </c>
      <c r="D4398" t="str">
        <f>_xlfn.XLOOKUP($A4398,Load!$B:$B,Load!E:E,0,)</f>
        <v>Variety / Mixed Flavors (Fruity, Sour, Seasonal Flavors)</v>
      </c>
      <c r="E4398" t="str">
        <f>_xlfn.XLOOKUP($A4398,Load!$B:$B,Load!F:F,0,)</f>
        <v>Mixed / Combo Packs (Gummy, Chewy, Taffy, etc.)</v>
      </c>
      <c r="F4398" t="str">
        <f>_xlfn.XLOOKUP($A4398,Load!$B:$B,Load!G:G,0,)</f>
        <v>Large Multipack (More than 80 ct)</v>
      </c>
      <c r="G4398" t="str">
        <f>_xlfn.XLOOKUP($A4398,Load!$B:$B,Load!H:H,0,)</f>
        <v>Stand-Up Bag</v>
      </c>
      <c r="H4398" t="str">
        <f>_xlfn.XLOOKUP($A4398,Load!$B:$B,Load!I:I,0,)</f>
        <v>Everyday Candy Shapes (like Original, Gummy bear, Fruit, Jewels, etc.)</v>
      </c>
      <c r="I4398" t="str">
        <f>_xlfn.XLOOKUP($A4398,Load!$B:$B,Load!J:J,0,)</f>
        <v>Seasonal Graphics (Like Bat, Ghost, Pumpkin, Fall Leaves, Eyeballs, etc.)</v>
      </c>
      <c r="J4398" t="str">
        <f>_xlfn.XLOOKUP($A4398,Load!$B:$B,Load!K:K,0,)</f>
        <v>Fun Size / Treat Size</v>
      </c>
      <c r="K4398" t="str">
        <f>_xlfn.XLOOKUP($A4398,Load!$B:$B,Load!L:L,0,)</f>
        <v>Regular/Original Wrapping</v>
      </c>
      <c r="L4398" t="str">
        <f>_xlfn.XLOOKUP($A4398,Load!$B:$B,Load!M:M,0,)</f>
        <v>Multiple Brands / Variety Flavors or Form</v>
      </c>
    </row>
    <row r="4399" spans="1:12" x14ac:dyDescent="0.25">
      <c r="A4399" t="s">
        <v>96</v>
      </c>
      <c r="B4399" t="str">
        <f>_xlfn.XLOOKUP($A4399,Load!$B:$B,Load!C:C,0,)</f>
        <v>Ferrero Variety Pack</v>
      </c>
      <c r="C4399" t="str">
        <f>_xlfn.XLOOKUP($A4399,Load!$B:$B,Load!D:D,0,)</f>
        <v>Mix of Chocolate and Non-Chocolate Candy</v>
      </c>
      <c r="D4399" t="str">
        <f>_xlfn.XLOOKUP($A4399,Load!$B:$B,Load!E:E,0,)</f>
        <v>Variety / Mixed Flavors (Fruity, Sour, Seasonal Flavors)</v>
      </c>
      <c r="E4399" t="str">
        <f>_xlfn.XLOOKUP($A4399,Load!$B:$B,Load!F:F,0,)</f>
        <v>Mixed / Combo Packs (Gummy, Chewy, Taffy, etc.)</v>
      </c>
      <c r="F4399" t="str">
        <f>_xlfn.XLOOKUP($A4399,Load!$B:$B,Load!G:G,0,)</f>
        <v>Large Multipack (More than 80 ct)</v>
      </c>
      <c r="G4399" t="str">
        <f>_xlfn.XLOOKUP($A4399,Load!$B:$B,Load!H:H,0,)</f>
        <v>Stand-Up Bag</v>
      </c>
      <c r="H4399" t="str">
        <f>_xlfn.XLOOKUP($A4399,Load!$B:$B,Load!I:I,0,)</f>
        <v>Everyday Candy Shapes (like Original, Gummy bear, Fruit, Jewels, etc.)</v>
      </c>
      <c r="I4399" t="str">
        <f>_xlfn.XLOOKUP($A4399,Load!$B:$B,Load!J:J,0,)</f>
        <v>Seasonal Graphics (Like Bat, Ghost, Pumpkin, Fall Leaves, Eyeballs, etc.)</v>
      </c>
      <c r="J4399" t="str">
        <f>_xlfn.XLOOKUP($A4399,Load!$B:$B,Load!K:K,0,)</f>
        <v>Fun Size / Treat Size</v>
      </c>
      <c r="K4399" t="str">
        <f>_xlfn.XLOOKUP($A4399,Load!$B:$B,Load!L:L,0,)</f>
        <v>Regular/Original Wrapping</v>
      </c>
      <c r="L4399" t="str">
        <f>_xlfn.XLOOKUP($A4399,Load!$B:$B,Load!M:M,0,)</f>
        <v>Multiple Brands / Variety Flavors or Form</v>
      </c>
    </row>
    <row r="4400" spans="1:12" x14ac:dyDescent="0.25">
      <c r="A4400" t="s">
        <v>186</v>
      </c>
      <c r="B4400" t="str">
        <f>_xlfn.XLOOKUP($A4400,Load!$B:$B,Load!C:C,0,)</f>
        <v>Mars Variety Pack</v>
      </c>
      <c r="C4400" t="str">
        <f>_xlfn.XLOOKUP($A4400,Load!$B:$B,Load!D:D,0,)</f>
        <v>Mix of Chocolate and Non-Chocolate Candy</v>
      </c>
      <c r="D4400" t="str">
        <f>_xlfn.XLOOKUP($A4400,Load!$B:$B,Load!E:E,0,)</f>
        <v>Variety / Mixed Flavors (Fruity, Sour, Seasonal Flavors)</v>
      </c>
      <c r="E4400" t="str">
        <f>_xlfn.XLOOKUP($A4400,Load!$B:$B,Load!F:F,0,)</f>
        <v>Mixed / Combo Packs (Gummy, Chewy, Taffy, etc.)</v>
      </c>
      <c r="F4400" t="str">
        <f>_xlfn.XLOOKUP($A4400,Load!$B:$B,Load!G:G,0,)</f>
        <v>Large Multipack (More than 80 ct)</v>
      </c>
      <c r="G4400" t="str">
        <f>_xlfn.XLOOKUP($A4400,Load!$B:$B,Load!H:H,0,)</f>
        <v>Stand-Up Bag</v>
      </c>
      <c r="H4400" t="str">
        <f>_xlfn.XLOOKUP($A4400,Load!$B:$B,Load!I:I,0,)</f>
        <v>Everyday Candy Shapes (like Original, Gummy bear, Fruit, Jewels, etc.)</v>
      </c>
      <c r="I4400" t="str">
        <f>_xlfn.XLOOKUP($A4400,Load!$B:$B,Load!J:J,0,)</f>
        <v>Seasonal Graphics (Like Bat, Ghost, Pumpkin, Fall Leaves, Eyeballs, etc.)</v>
      </c>
      <c r="J4400" t="str">
        <f>_xlfn.XLOOKUP($A4400,Load!$B:$B,Load!K:K,0,)</f>
        <v>Fun Size / Treat Size</v>
      </c>
      <c r="K4400" t="str">
        <f>_xlfn.XLOOKUP($A4400,Load!$B:$B,Load!L:L,0,)</f>
        <v>Regular/Original Wrapping</v>
      </c>
      <c r="L4400" t="str">
        <f>_xlfn.XLOOKUP($A4400,Load!$B:$B,Load!M:M,0,)</f>
        <v>Multiple Brands / Variety Flavors or Form</v>
      </c>
    </row>
    <row r="4401" spans="1:12" x14ac:dyDescent="0.25">
      <c r="B4401">
        <f>_xlfn.XLOOKUP($A4401,Load!$B:$B,Load!C:C,0,)</f>
        <v>0</v>
      </c>
      <c r="C4401">
        <f>_xlfn.XLOOKUP($A4401,Load!$B:$B,Load!D:D,0,)</f>
        <v>0</v>
      </c>
      <c r="D4401">
        <f>_xlfn.XLOOKUP($A4401,Load!$B:$B,Load!E:E,0,)</f>
        <v>0</v>
      </c>
      <c r="E4401">
        <f>_xlfn.XLOOKUP($A4401,Load!$B:$B,Load!F:F,0,)</f>
        <v>0</v>
      </c>
      <c r="F4401">
        <f>_xlfn.XLOOKUP($A4401,Load!$B:$B,Load!G:G,0,)</f>
        <v>0</v>
      </c>
      <c r="G4401">
        <f>_xlfn.XLOOKUP($A4401,Load!$B:$B,Load!H:H,0,)</f>
        <v>0</v>
      </c>
      <c r="H4401">
        <f>_xlfn.XLOOKUP($A4401,Load!$B:$B,Load!I:I,0,)</f>
        <v>0</v>
      </c>
      <c r="I4401">
        <f>_xlfn.XLOOKUP($A4401,Load!$B:$B,Load!J:J,0,)</f>
        <v>0</v>
      </c>
      <c r="J4401">
        <f>_xlfn.XLOOKUP($A4401,Load!$B:$B,Load!K:K,0,)</f>
        <v>0</v>
      </c>
      <c r="K4401">
        <f>_xlfn.XLOOKUP($A4401,Load!$B:$B,Load!L:L,0,)</f>
        <v>0</v>
      </c>
      <c r="L4401">
        <f>_xlfn.XLOOKUP($A4401,Load!$B:$B,Load!M:M,0,)</f>
        <v>0</v>
      </c>
    </row>
    <row r="4402" spans="1:12" x14ac:dyDescent="0.25">
      <c r="A4402" t="s">
        <v>307</v>
      </c>
      <c r="B4402" t="str">
        <f>_xlfn.XLOOKUP($A4402,Load!$B:$B,Load!C:C,0,)</f>
        <v>Werther's Original</v>
      </c>
      <c r="C4402" t="str">
        <f>_xlfn.XLOOKUP($A4402,Load!$B:$B,Load!D:D,0,)</f>
        <v>Non-Chocolate Candy Only</v>
      </c>
      <c r="D4402" t="str">
        <f>_xlfn.XLOOKUP($A4402,Load!$B:$B,Load!E:E,0,)</f>
        <v>Fall / Seasonal Flavors (pumpkin spice, caramel apple, candy corn)</v>
      </c>
      <c r="E4402" t="str">
        <f>_xlfn.XLOOKUP($A4402,Load!$B:$B,Load!F:F,0,)</f>
        <v>Hard Candy</v>
      </c>
      <c r="F4402" t="str">
        <f>_xlfn.XLOOKUP($A4402,Load!$B:$B,Load!G:G,0,)</f>
        <v>Single Pack</v>
      </c>
      <c r="G4402" t="str">
        <f>_xlfn.XLOOKUP($A4402,Load!$B:$B,Load!H:H,0,)</f>
        <v>Stand-Up Bag</v>
      </c>
      <c r="H4402" t="str">
        <f>_xlfn.XLOOKUP($A4402,Load!$B:$B,Load!I:I,0,)</f>
        <v>Everyday Candy Shapes (like Original, Gummy bear, Fruit, Jewels, etc.)</v>
      </c>
      <c r="I4402" t="str">
        <f>_xlfn.XLOOKUP($A4402,Load!$B:$B,Load!J:J,0,)</f>
        <v>Seasonal Graphics (Like Bat, Ghost, Pumpkin, Fall Leaves, Eyeballs, etc.)</v>
      </c>
      <c r="J4402" t="str">
        <f>_xlfn.XLOOKUP($A4402,Load!$B:$B,Load!K:K,0,)</f>
        <v>Fun Size / Treat Size</v>
      </c>
      <c r="K4402" t="str">
        <f>_xlfn.XLOOKUP($A4402,Load!$B:$B,Load!L:L,0,)</f>
        <v>Regular/Original Wrapping</v>
      </c>
      <c r="L4402" t="str">
        <f>_xlfn.XLOOKUP($A4402,Load!$B:$B,Load!M:M,0,)</f>
        <v>Single Brand / Single Flavor or Form</v>
      </c>
    </row>
    <row r="4403" spans="1:12" x14ac:dyDescent="0.25">
      <c r="B4403">
        <f>_xlfn.XLOOKUP($A4403,Load!$B:$B,Load!C:C,0,)</f>
        <v>0</v>
      </c>
      <c r="C4403">
        <f>_xlfn.XLOOKUP($A4403,Load!$B:$B,Load!D:D,0,)</f>
        <v>0</v>
      </c>
      <c r="D4403">
        <f>_xlfn.XLOOKUP($A4403,Load!$B:$B,Load!E:E,0,)</f>
        <v>0</v>
      </c>
      <c r="E4403">
        <f>_xlfn.XLOOKUP($A4403,Load!$B:$B,Load!F:F,0,)</f>
        <v>0</v>
      </c>
      <c r="F4403">
        <f>_xlfn.XLOOKUP($A4403,Load!$B:$B,Load!G:G,0,)</f>
        <v>0</v>
      </c>
      <c r="G4403">
        <f>_xlfn.XLOOKUP($A4403,Load!$B:$B,Load!H:H,0,)</f>
        <v>0</v>
      </c>
      <c r="H4403">
        <f>_xlfn.XLOOKUP($A4403,Load!$B:$B,Load!I:I,0,)</f>
        <v>0</v>
      </c>
      <c r="I4403">
        <f>_xlfn.XLOOKUP($A4403,Load!$B:$B,Load!J:J,0,)</f>
        <v>0</v>
      </c>
      <c r="J4403">
        <f>_xlfn.XLOOKUP($A4403,Load!$B:$B,Load!K:K,0,)</f>
        <v>0</v>
      </c>
      <c r="K4403">
        <f>_xlfn.XLOOKUP($A4403,Load!$B:$B,Load!L:L,0,)</f>
        <v>0</v>
      </c>
      <c r="L4403">
        <f>_xlfn.XLOOKUP($A4403,Load!$B:$B,Load!M:M,0,)</f>
        <v>0</v>
      </c>
    </row>
    <row r="4404" spans="1:12" x14ac:dyDescent="0.25">
      <c r="B4404">
        <f>_xlfn.XLOOKUP($A4404,Load!$B:$B,Load!C:C,0,)</f>
        <v>0</v>
      </c>
      <c r="C4404">
        <f>_xlfn.XLOOKUP($A4404,Load!$B:$B,Load!D:D,0,)</f>
        <v>0</v>
      </c>
      <c r="D4404">
        <f>_xlfn.XLOOKUP($A4404,Load!$B:$B,Load!E:E,0,)</f>
        <v>0</v>
      </c>
      <c r="E4404">
        <f>_xlfn.XLOOKUP($A4404,Load!$B:$B,Load!F:F,0,)</f>
        <v>0</v>
      </c>
      <c r="F4404">
        <f>_xlfn.XLOOKUP($A4404,Load!$B:$B,Load!G:G,0,)</f>
        <v>0</v>
      </c>
      <c r="G4404">
        <f>_xlfn.XLOOKUP($A4404,Load!$B:$B,Load!H:H,0,)</f>
        <v>0</v>
      </c>
      <c r="H4404">
        <f>_xlfn.XLOOKUP($A4404,Load!$B:$B,Load!I:I,0,)</f>
        <v>0</v>
      </c>
      <c r="I4404">
        <f>_xlfn.XLOOKUP($A4404,Load!$B:$B,Load!J:J,0,)</f>
        <v>0</v>
      </c>
      <c r="J4404">
        <f>_xlfn.XLOOKUP($A4404,Load!$B:$B,Load!K:K,0,)</f>
        <v>0</v>
      </c>
      <c r="K4404">
        <f>_xlfn.XLOOKUP($A4404,Load!$B:$B,Load!L:L,0,)</f>
        <v>0</v>
      </c>
      <c r="L4404">
        <f>_xlfn.XLOOKUP($A4404,Load!$B:$B,Load!M:M,0,)</f>
        <v>0</v>
      </c>
    </row>
    <row r="4405" spans="1:12" x14ac:dyDescent="0.25">
      <c r="B4405">
        <f>_xlfn.XLOOKUP($A4405,Load!$B:$B,Load!C:C,0,)</f>
        <v>0</v>
      </c>
      <c r="C4405">
        <f>_xlfn.XLOOKUP($A4405,Load!$B:$B,Load!D:D,0,)</f>
        <v>0</v>
      </c>
      <c r="D4405">
        <f>_xlfn.XLOOKUP($A4405,Load!$B:$B,Load!E:E,0,)</f>
        <v>0</v>
      </c>
      <c r="E4405">
        <f>_xlfn.XLOOKUP($A4405,Load!$B:$B,Load!F:F,0,)</f>
        <v>0</v>
      </c>
      <c r="F4405">
        <f>_xlfn.XLOOKUP($A4405,Load!$B:$B,Load!G:G,0,)</f>
        <v>0</v>
      </c>
      <c r="G4405">
        <f>_xlfn.XLOOKUP($A4405,Load!$B:$B,Load!H:H,0,)</f>
        <v>0</v>
      </c>
      <c r="H4405">
        <f>_xlfn.XLOOKUP($A4405,Load!$B:$B,Load!I:I,0,)</f>
        <v>0</v>
      </c>
      <c r="I4405">
        <f>_xlfn.XLOOKUP($A4405,Load!$B:$B,Load!J:J,0,)</f>
        <v>0</v>
      </c>
      <c r="J4405">
        <f>_xlfn.XLOOKUP($A4405,Load!$B:$B,Load!K:K,0,)</f>
        <v>0</v>
      </c>
      <c r="K4405">
        <f>_xlfn.XLOOKUP($A4405,Load!$B:$B,Load!L:L,0,)</f>
        <v>0</v>
      </c>
      <c r="L4405">
        <f>_xlfn.XLOOKUP($A4405,Load!$B:$B,Load!M:M,0,)</f>
        <v>0</v>
      </c>
    </row>
    <row r="4406" spans="1:12" x14ac:dyDescent="0.25">
      <c r="B4406">
        <f>_xlfn.XLOOKUP($A4406,Load!$B:$B,Load!C:C,0,)</f>
        <v>0</v>
      </c>
      <c r="C4406">
        <f>_xlfn.XLOOKUP($A4406,Load!$B:$B,Load!D:D,0,)</f>
        <v>0</v>
      </c>
      <c r="D4406">
        <f>_xlfn.XLOOKUP($A4406,Load!$B:$B,Load!E:E,0,)</f>
        <v>0</v>
      </c>
      <c r="E4406">
        <f>_xlfn.XLOOKUP($A4406,Load!$B:$B,Load!F:F,0,)</f>
        <v>0</v>
      </c>
      <c r="F4406">
        <f>_xlfn.XLOOKUP($A4406,Load!$B:$B,Load!G:G,0,)</f>
        <v>0</v>
      </c>
      <c r="G4406">
        <f>_xlfn.XLOOKUP($A4406,Load!$B:$B,Load!H:H,0,)</f>
        <v>0</v>
      </c>
      <c r="H4406">
        <f>_xlfn.XLOOKUP($A4406,Load!$B:$B,Load!I:I,0,)</f>
        <v>0</v>
      </c>
      <c r="I4406">
        <f>_xlfn.XLOOKUP($A4406,Load!$B:$B,Load!J:J,0,)</f>
        <v>0</v>
      </c>
      <c r="J4406">
        <f>_xlfn.XLOOKUP($A4406,Load!$B:$B,Load!K:K,0,)</f>
        <v>0</v>
      </c>
      <c r="K4406">
        <f>_xlfn.XLOOKUP($A4406,Load!$B:$B,Load!L:L,0,)</f>
        <v>0</v>
      </c>
      <c r="L4406">
        <f>_xlfn.XLOOKUP($A4406,Load!$B:$B,Load!M:M,0,)</f>
        <v>0</v>
      </c>
    </row>
    <row r="4407" spans="1:12" x14ac:dyDescent="0.25">
      <c r="B4407">
        <f>_xlfn.XLOOKUP($A4407,Load!$B:$B,Load!C:C,0,)</f>
        <v>0</v>
      </c>
      <c r="C4407">
        <f>_xlfn.XLOOKUP($A4407,Load!$B:$B,Load!D:D,0,)</f>
        <v>0</v>
      </c>
      <c r="D4407">
        <f>_xlfn.XLOOKUP($A4407,Load!$B:$B,Load!E:E,0,)</f>
        <v>0</v>
      </c>
      <c r="E4407">
        <f>_xlfn.XLOOKUP($A4407,Load!$B:$B,Load!F:F,0,)</f>
        <v>0</v>
      </c>
      <c r="F4407">
        <f>_xlfn.XLOOKUP($A4407,Load!$B:$B,Load!G:G,0,)</f>
        <v>0</v>
      </c>
      <c r="G4407">
        <f>_xlfn.XLOOKUP($A4407,Load!$B:$B,Load!H:H,0,)</f>
        <v>0</v>
      </c>
      <c r="H4407">
        <f>_xlfn.XLOOKUP($A4407,Load!$B:$B,Load!I:I,0,)</f>
        <v>0</v>
      </c>
      <c r="I4407">
        <f>_xlfn.XLOOKUP($A4407,Load!$B:$B,Load!J:J,0,)</f>
        <v>0</v>
      </c>
      <c r="J4407">
        <f>_xlfn.XLOOKUP($A4407,Load!$B:$B,Load!K:K,0,)</f>
        <v>0</v>
      </c>
      <c r="K4407">
        <f>_xlfn.XLOOKUP($A4407,Load!$B:$B,Load!L:L,0,)</f>
        <v>0</v>
      </c>
      <c r="L4407">
        <f>_xlfn.XLOOKUP($A4407,Load!$B:$B,Load!M:M,0,)</f>
        <v>0</v>
      </c>
    </row>
    <row r="4408" spans="1:12" x14ac:dyDescent="0.25">
      <c r="A4408" t="s">
        <v>262</v>
      </c>
      <c r="B4408" t="str">
        <f>_xlfn.XLOOKUP($A4408,Load!$B:$B,Load!C:C,0,)</f>
        <v>Smart Sweets</v>
      </c>
      <c r="C4408" t="str">
        <f>_xlfn.XLOOKUP($A4408,Load!$B:$B,Load!D:D,0,)</f>
        <v>Non-Chocolate Candy Only</v>
      </c>
      <c r="D4408" t="str">
        <f>_xlfn.XLOOKUP($A4408,Load!$B:$B,Load!E:E,0,)</f>
        <v>Berry Based (Raspberry, Strawberry, Medley, etc.)</v>
      </c>
      <c r="E4408" t="str">
        <f>_xlfn.XLOOKUP($A4408,Load!$B:$B,Load!F:F,0,)</f>
        <v>Lollipop (regular or lollipop rings)</v>
      </c>
      <c r="F4408" t="str">
        <f>_xlfn.XLOOKUP($A4408,Load!$B:$B,Load!G:G,0,)</f>
        <v>Single Pack</v>
      </c>
      <c r="G4408" t="str">
        <f>_xlfn.XLOOKUP($A4408,Load!$B:$B,Load!H:H,0,)</f>
        <v>Peg Bag</v>
      </c>
      <c r="H4408" t="str">
        <f>_xlfn.XLOOKUP($A4408,Load!$B:$B,Load!I:I,0,)</f>
        <v>Everyday Candy Shapes (like Original, Gummy bear, Fruit, Jewels, etc.)</v>
      </c>
      <c r="I4408" t="str">
        <f>_xlfn.XLOOKUP($A4408,Load!$B:$B,Load!J:J,0,)</f>
        <v>Seasonal Graphics (Like Bat, Ghost, Pumpkin, Fall Leaves, Eyeballs, etc.)</v>
      </c>
      <c r="J4408" t="str">
        <f>_xlfn.XLOOKUP($A4408,Load!$B:$B,Load!K:K,0,)</f>
        <v>Regular Lollipop size (on sticks or rings)</v>
      </c>
      <c r="K4408" t="str">
        <f>_xlfn.XLOOKUP($A4408,Load!$B:$B,Load!L:L,0,)</f>
        <v>Regular/Original Wrapping</v>
      </c>
      <c r="L4408" t="str">
        <f>_xlfn.XLOOKUP($A4408,Load!$B:$B,Load!M:M,0,)</f>
        <v>Single Brand / Variety Flavors or Form</v>
      </c>
    </row>
    <row r="4409" spans="1:12" x14ac:dyDescent="0.25">
      <c r="A4409" t="s">
        <v>158</v>
      </c>
      <c r="B4409" t="str">
        <f>_xlfn.XLOOKUP($A4409,Load!$B:$B,Load!C:C,0,)</f>
        <v>Jolly Rancher</v>
      </c>
      <c r="C4409" t="str">
        <f>_xlfn.XLOOKUP($A4409,Load!$B:$B,Load!D:D,0,)</f>
        <v>Non-Chocolate Candy Only</v>
      </c>
      <c r="D4409" t="str">
        <f>_xlfn.XLOOKUP($A4409,Load!$B:$B,Load!E:E,0,)</f>
        <v>Sweet</v>
      </c>
      <c r="E4409" t="str">
        <f>_xlfn.XLOOKUP($A4409,Load!$B:$B,Load!F:F,0,)</f>
        <v>Hard Candy</v>
      </c>
      <c r="F4409" t="str">
        <f>_xlfn.XLOOKUP($A4409,Load!$B:$B,Load!G:G,0,)</f>
        <v>Single Pack</v>
      </c>
      <c r="G4409" t="str">
        <f>_xlfn.XLOOKUP($A4409,Load!$B:$B,Load!H:H,0,)</f>
        <v>Peg Bag</v>
      </c>
      <c r="H4409" t="str">
        <f>_xlfn.XLOOKUP($A4409,Load!$B:$B,Load!I:I,0,)</f>
        <v>Everyday Candy Shapes (like Original, Gummy bear, Fruit, Jewels, etc.)</v>
      </c>
      <c r="I4409" t="str">
        <f>_xlfn.XLOOKUP($A4409,Load!$B:$B,Load!J:J,0,)</f>
        <v>Everyday Graphics</v>
      </c>
      <c r="J4409" t="str">
        <f>_xlfn.XLOOKUP($A4409,Load!$B:$B,Load!K:K,0,)</f>
        <v>Small Pieces (Tiny bite size candies)</v>
      </c>
      <c r="K4409" t="str">
        <f>_xlfn.XLOOKUP($A4409,Load!$B:$B,Load!L:L,0,)</f>
        <v>Regular/Original Wrapping</v>
      </c>
      <c r="L4409" t="str">
        <f>_xlfn.XLOOKUP($A4409,Load!$B:$B,Load!M:M,0,)</f>
        <v>Single Brand / Variety Flavors or Form</v>
      </c>
    </row>
    <row r="4410" spans="1:12" x14ac:dyDescent="0.25">
      <c r="A4410" t="s">
        <v>288</v>
      </c>
      <c r="B4410" t="str">
        <f>_xlfn.XLOOKUP($A4410,Load!$B:$B,Load!C:C,0,)</f>
        <v>SweeTARTS</v>
      </c>
      <c r="C4410" t="str">
        <f>_xlfn.XLOOKUP($A4410,Load!$B:$B,Load!D:D,0,)</f>
        <v>Non-Chocolate Candy Only</v>
      </c>
      <c r="D4410" t="str">
        <f>_xlfn.XLOOKUP($A4410,Load!$B:$B,Load!E:E,0,)</f>
        <v>Variety / Mixed Flavors (Fruity, Sour, Seasonal Flavors)</v>
      </c>
      <c r="E4410" t="str">
        <f>_xlfn.XLOOKUP($A4410,Load!$B:$B,Load!F:F,0,)</f>
        <v>Mixed / Combo Packs (Gummy, Chewy, Taffy, etc.)</v>
      </c>
      <c r="F4410" t="str">
        <f>_xlfn.XLOOKUP($A4410,Load!$B:$B,Load!G:G,0,)</f>
        <v>Medium Multipack (40–80 ct)</v>
      </c>
      <c r="G4410" t="str">
        <f>_xlfn.XLOOKUP($A4410,Load!$B:$B,Load!H:H,0,)</f>
        <v>Stand-Up Bag</v>
      </c>
      <c r="H4410" t="str">
        <f>_xlfn.XLOOKUP($A4410,Load!$B:$B,Load!I:I,0,)</f>
        <v>Everyday Candy Shapes (like Original, Gummy bear, Fruit, Jewels, etc.)</v>
      </c>
      <c r="I4410" t="str">
        <f>_xlfn.XLOOKUP($A4410,Load!$B:$B,Load!J:J,0,)</f>
        <v>Seasonal Graphics (Like Bat, Ghost, Pumpkin, Fall Leaves, Eyeballs, etc.)</v>
      </c>
      <c r="J4410" t="str">
        <f>_xlfn.XLOOKUP($A4410,Load!$B:$B,Load!K:K,0,)</f>
        <v>Small Pieces (Tiny bite size candies)</v>
      </c>
      <c r="K4410" t="str">
        <f>_xlfn.XLOOKUP($A4410,Load!$B:$B,Load!L:L,0,)</f>
        <v>Regular/Original Wrapping</v>
      </c>
      <c r="L4410" t="str">
        <f>_xlfn.XLOOKUP($A4410,Load!$B:$B,Load!M:M,0,)</f>
        <v>Single Brand / Variety Flavors or Form</v>
      </c>
    </row>
    <row r="4411" spans="1:12" x14ac:dyDescent="0.25">
      <c r="A4411" t="s">
        <v>253</v>
      </c>
      <c r="B4411" t="str">
        <f>_xlfn.XLOOKUP($A4411,Load!$B:$B,Load!C:C,0,)</f>
        <v>Skittles</v>
      </c>
      <c r="C4411" t="str">
        <f>_xlfn.XLOOKUP($A4411,Load!$B:$B,Load!D:D,0,)</f>
        <v>Non-Chocolate Candy Only</v>
      </c>
      <c r="D4411" t="str">
        <f>_xlfn.XLOOKUP($A4411,Load!$B:$B,Load!E:E,0,)</f>
        <v>Variety / Mixed Flavors (Fruity, Sour, Seasonal Flavors)</v>
      </c>
      <c r="E4411" t="str">
        <f>_xlfn.XLOOKUP($A4411,Load!$B:$B,Load!F:F,0,)</f>
        <v>Mixed / Combo Packs (Gummy, Chewy, Taffy, etc.)</v>
      </c>
      <c r="F4411" t="str">
        <f>_xlfn.XLOOKUP($A4411,Load!$B:$B,Load!G:G,0,)</f>
        <v>Medium Multipack (40–80 ct)</v>
      </c>
      <c r="G4411" t="str">
        <f>_xlfn.XLOOKUP($A4411,Load!$B:$B,Load!H:H,0,)</f>
        <v>Stand-Up Bag</v>
      </c>
      <c r="H4411" t="str">
        <f>_xlfn.XLOOKUP($A4411,Load!$B:$B,Load!I:I,0,)</f>
        <v>Everyday Candy Shapes (like Original, Gummy bear, Fruit, Jewels, etc.)</v>
      </c>
      <c r="I4411" t="str">
        <f>_xlfn.XLOOKUP($A4411,Load!$B:$B,Load!J:J,0,)</f>
        <v>Seasonal Graphics (Like Bat, Ghost, Pumpkin, Fall Leaves, Eyeballs, etc.)</v>
      </c>
      <c r="J4411" t="str">
        <f>_xlfn.XLOOKUP($A4411,Load!$B:$B,Load!K:K,0,)</f>
        <v>Small Pieces (Tiny bite size candies)</v>
      </c>
      <c r="K4411" t="str">
        <f>_xlfn.XLOOKUP($A4411,Load!$B:$B,Load!L:L,0,)</f>
        <v>Regular/Original Wrapping</v>
      </c>
      <c r="L4411" t="str">
        <f>_xlfn.XLOOKUP($A4411,Load!$B:$B,Load!M:M,0,)</f>
        <v>Single Brand / Variety Flavors or Form</v>
      </c>
    </row>
    <row r="4412" spans="1:12" x14ac:dyDescent="0.25">
      <c r="A4412" t="s">
        <v>190</v>
      </c>
      <c r="B4412" t="str">
        <f>_xlfn.XLOOKUP($A4412,Load!$B:$B,Load!C:C,0,)</f>
        <v>Mars Variety Pack</v>
      </c>
      <c r="C4412" t="str">
        <f>_xlfn.XLOOKUP($A4412,Load!$B:$B,Load!D:D,0,)</f>
        <v>Non-Chocolate Candy Only</v>
      </c>
      <c r="D4412" t="str">
        <f>_xlfn.XLOOKUP($A4412,Load!$B:$B,Load!E:E,0,)</f>
        <v>Variety / Mixed Flavors (Fruity, Sour, Seasonal Flavors)</v>
      </c>
      <c r="E4412" t="str">
        <f>_xlfn.XLOOKUP($A4412,Load!$B:$B,Load!F:F,0,)</f>
        <v>Mixed / Combo Packs (Gummy, Chewy, Taffy, etc.)</v>
      </c>
      <c r="F4412" t="str">
        <f>_xlfn.XLOOKUP($A4412,Load!$B:$B,Load!G:G,0,)</f>
        <v>Medium Multipack (40–80 ct)</v>
      </c>
      <c r="G4412" t="str">
        <f>_xlfn.XLOOKUP($A4412,Load!$B:$B,Load!H:H,0,)</f>
        <v>Stand-Up Bag</v>
      </c>
      <c r="H4412" t="str">
        <f>_xlfn.XLOOKUP($A4412,Load!$B:$B,Load!I:I,0,)</f>
        <v>Everyday Candy Shapes (like Original, Gummy bear, Fruit, Jewels, etc.)</v>
      </c>
      <c r="I4412" t="str">
        <f>_xlfn.XLOOKUP($A4412,Load!$B:$B,Load!J:J,0,)</f>
        <v>Everyday Graphics</v>
      </c>
      <c r="J4412" t="str">
        <f>_xlfn.XLOOKUP($A4412,Load!$B:$B,Load!K:K,0,)</f>
        <v>Fun Size / Treat Size</v>
      </c>
      <c r="K4412" t="str">
        <f>_xlfn.XLOOKUP($A4412,Load!$B:$B,Load!L:L,0,)</f>
        <v>Regular/Original Wrapping</v>
      </c>
      <c r="L4412" t="str">
        <f>_xlfn.XLOOKUP($A4412,Load!$B:$B,Load!M:M,0,)</f>
        <v>Multiple Brands / Variety Flavors or Form</v>
      </c>
    </row>
    <row r="4413" spans="1:12" x14ac:dyDescent="0.25">
      <c r="A4413" t="s">
        <v>213</v>
      </c>
      <c r="B4413" t="str">
        <f>_xlfn.XLOOKUP($A4413,Load!$B:$B,Load!C:C,0,)</f>
        <v>Mars Variety Pack</v>
      </c>
      <c r="C4413" t="str">
        <f>_xlfn.XLOOKUP($A4413,Load!$B:$B,Load!D:D,0,)</f>
        <v>Mix of Chocolate and Non-Chocolate Candy</v>
      </c>
      <c r="D4413" t="str">
        <f>_xlfn.XLOOKUP($A4413,Load!$B:$B,Load!E:E,0,)</f>
        <v>Variety / Mixed Flavors (Fruity, Sour, Seasonal Flavors)</v>
      </c>
      <c r="E4413" t="str">
        <f>_xlfn.XLOOKUP($A4413,Load!$B:$B,Load!F:F,0,)</f>
        <v>Mixed / Combo Packs (Gummy, Chewy, Taffy, etc.)</v>
      </c>
      <c r="F4413" t="str">
        <f>_xlfn.XLOOKUP($A4413,Load!$B:$B,Load!G:G,0,)</f>
        <v>Medium Multipack (40–80 ct)</v>
      </c>
      <c r="G4413" t="str">
        <f>_xlfn.XLOOKUP($A4413,Load!$B:$B,Load!H:H,0,)</f>
        <v>Stand-Up Bag</v>
      </c>
      <c r="H4413" t="str">
        <f>_xlfn.XLOOKUP($A4413,Load!$B:$B,Load!I:I,0,)</f>
        <v>Everyday Candy Shapes (like Original, Gummy bear, Fruit, Jewels, etc.)</v>
      </c>
      <c r="I4413" t="str">
        <f>_xlfn.XLOOKUP($A4413,Load!$B:$B,Load!J:J,0,)</f>
        <v>Seasonal Graphics (Like Bat, Ghost, Pumpkin, Fall Leaves, Eyeballs, etc.)</v>
      </c>
      <c r="J4413" t="str">
        <f>_xlfn.XLOOKUP($A4413,Load!$B:$B,Load!K:K,0,)</f>
        <v>Fun Size / Treat Size</v>
      </c>
      <c r="K4413" t="str">
        <f>_xlfn.XLOOKUP($A4413,Load!$B:$B,Load!L:L,0,)</f>
        <v>Regular/Original Wrapping</v>
      </c>
      <c r="L4413" t="str">
        <f>_xlfn.XLOOKUP($A4413,Load!$B:$B,Load!M:M,0,)</f>
        <v>Multiple Brands / Variety Flavors or Form</v>
      </c>
    </row>
    <row r="4414" spans="1:12" x14ac:dyDescent="0.25">
      <c r="A4414" t="s">
        <v>268</v>
      </c>
      <c r="B4414" t="str">
        <f>_xlfn.XLOOKUP($A4414,Load!$B:$B,Load!C:C,0,)</f>
        <v>Sour Patch Kids</v>
      </c>
      <c r="C4414" t="str">
        <f>_xlfn.XLOOKUP($A4414,Load!$B:$B,Load!D:D,0,)</f>
        <v>Non-Chocolate Candy Only</v>
      </c>
      <c r="D4414" t="str">
        <f>_xlfn.XLOOKUP($A4414,Load!$B:$B,Load!E:E,0,)</f>
        <v>Sour</v>
      </c>
      <c r="E4414" t="str">
        <f>_xlfn.XLOOKUP($A4414,Load!$B:$B,Load!F:F,0,)</f>
        <v>Chewy</v>
      </c>
      <c r="F4414" t="str">
        <f>_xlfn.XLOOKUP($A4414,Load!$B:$B,Load!G:G,0,)</f>
        <v>Small Multipack (Less than 40 ct)</v>
      </c>
      <c r="G4414" t="str">
        <f>_xlfn.XLOOKUP($A4414,Load!$B:$B,Load!H:H,0,)</f>
        <v>Laydown Bag</v>
      </c>
      <c r="H4414" t="str">
        <f>_xlfn.XLOOKUP($A4414,Load!$B:$B,Load!I:I,0,)</f>
        <v>Everyday Candy Shapes (like Original, Gummy bear, Fruit, Jewels, etc.)</v>
      </c>
      <c r="I4414" t="str">
        <f>_xlfn.XLOOKUP($A4414,Load!$B:$B,Load!J:J,0,)</f>
        <v>Seasonal Graphics (Like Bat, Ghost, Pumpkin, Fall Leaves, Eyeballs, etc.)</v>
      </c>
      <c r="J4414" t="str">
        <f>_xlfn.XLOOKUP($A4414,Load!$B:$B,Load!K:K,0,)</f>
        <v>Small Pieces (Tiny bite size candies)</v>
      </c>
      <c r="K4414" t="str">
        <f>_xlfn.XLOOKUP($A4414,Load!$B:$B,Load!L:L,0,)</f>
        <v>Regular/Original Wrapping</v>
      </c>
      <c r="L4414" t="str">
        <f>_xlfn.XLOOKUP($A4414,Load!$B:$B,Load!M:M,0,)</f>
        <v>Single Brand / Single Flavor or Form</v>
      </c>
    </row>
    <row r="4415" spans="1:12" x14ac:dyDescent="0.25">
      <c r="B4415">
        <f>_xlfn.XLOOKUP($A4415,Load!$B:$B,Load!C:C,0,)</f>
        <v>0</v>
      </c>
      <c r="C4415">
        <f>_xlfn.XLOOKUP($A4415,Load!$B:$B,Load!D:D,0,)</f>
        <v>0</v>
      </c>
      <c r="D4415">
        <f>_xlfn.XLOOKUP($A4415,Load!$B:$B,Load!E:E,0,)</f>
        <v>0</v>
      </c>
      <c r="E4415">
        <f>_xlfn.XLOOKUP($A4415,Load!$B:$B,Load!F:F,0,)</f>
        <v>0</v>
      </c>
      <c r="F4415">
        <f>_xlfn.XLOOKUP($A4415,Load!$B:$B,Load!G:G,0,)</f>
        <v>0</v>
      </c>
      <c r="G4415">
        <f>_xlfn.XLOOKUP($A4415,Load!$B:$B,Load!H:H,0,)</f>
        <v>0</v>
      </c>
      <c r="H4415">
        <f>_xlfn.XLOOKUP($A4415,Load!$B:$B,Load!I:I,0,)</f>
        <v>0</v>
      </c>
      <c r="I4415">
        <f>_xlfn.XLOOKUP($A4415,Load!$B:$B,Load!J:J,0,)</f>
        <v>0</v>
      </c>
      <c r="J4415">
        <f>_xlfn.XLOOKUP($A4415,Load!$B:$B,Load!K:K,0,)</f>
        <v>0</v>
      </c>
      <c r="K4415">
        <f>_xlfn.XLOOKUP($A4415,Load!$B:$B,Load!L:L,0,)</f>
        <v>0</v>
      </c>
      <c r="L4415">
        <f>_xlfn.XLOOKUP($A4415,Load!$B:$B,Load!M:M,0,)</f>
        <v>0</v>
      </c>
    </row>
    <row r="4416" spans="1:12" x14ac:dyDescent="0.25">
      <c r="B4416">
        <f>_xlfn.XLOOKUP($A4416,Load!$B:$B,Load!C:C,0,)</f>
        <v>0</v>
      </c>
      <c r="C4416">
        <f>_xlfn.XLOOKUP($A4416,Load!$B:$B,Load!D:D,0,)</f>
        <v>0</v>
      </c>
      <c r="D4416">
        <f>_xlfn.XLOOKUP($A4416,Load!$B:$B,Load!E:E,0,)</f>
        <v>0</v>
      </c>
      <c r="E4416">
        <f>_xlfn.XLOOKUP($A4416,Load!$B:$B,Load!F:F,0,)</f>
        <v>0</v>
      </c>
      <c r="F4416">
        <f>_xlfn.XLOOKUP($A4416,Load!$B:$B,Load!G:G,0,)</f>
        <v>0</v>
      </c>
      <c r="G4416">
        <f>_xlfn.XLOOKUP($A4416,Load!$B:$B,Load!H:H,0,)</f>
        <v>0</v>
      </c>
      <c r="H4416">
        <f>_xlfn.XLOOKUP($A4416,Load!$B:$B,Load!I:I,0,)</f>
        <v>0</v>
      </c>
      <c r="I4416">
        <f>_xlfn.XLOOKUP($A4416,Load!$B:$B,Load!J:J,0,)</f>
        <v>0</v>
      </c>
      <c r="J4416">
        <f>_xlfn.XLOOKUP($A4416,Load!$B:$B,Load!K:K,0,)</f>
        <v>0</v>
      </c>
      <c r="K4416">
        <f>_xlfn.XLOOKUP($A4416,Load!$B:$B,Load!L:L,0,)</f>
        <v>0</v>
      </c>
      <c r="L4416">
        <f>_xlfn.XLOOKUP($A4416,Load!$B:$B,Load!M:M,0,)</f>
        <v>0</v>
      </c>
    </row>
    <row r="4417" spans="1:12" x14ac:dyDescent="0.25">
      <c r="B4417">
        <f>_xlfn.XLOOKUP($A4417,Load!$B:$B,Load!C:C,0,)</f>
        <v>0</v>
      </c>
      <c r="C4417">
        <f>_xlfn.XLOOKUP($A4417,Load!$B:$B,Load!D:D,0,)</f>
        <v>0</v>
      </c>
      <c r="D4417">
        <f>_xlfn.XLOOKUP($A4417,Load!$B:$B,Load!E:E,0,)</f>
        <v>0</v>
      </c>
      <c r="E4417">
        <f>_xlfn.XLOOKUP($A4417,Load!$B:$B,Load!F:F,0,)</f>
        <v>0</v>
      </c>
      <c r="F4417">
        <f>_xlfn.XLOOKUP($A4417,Load!$B:$B,Load!G:G,0,)</f>
        <v>0</v>
      </c>
      <c r="G4417">
        <f>_xlfn.XLOOKUP($A4417,Load!$B:$B,Load!H:H,0,)</f>
        <v>0</v>
      </c>
      <c r="H4417">
        <f>_xlfn.XLOOKUP($A4417,Load!$B:$B,Load!I:I,0,)</f>
        <v>0</v>
      </c>
      <c r="I4417">
        <f>_xlfn.XLOOKUP($A4417,Load!$B:$B,Load!J:J,0,)</f>
        <v>0</v>
      </c>
      <c r="J4417">
        <f>_xlfn.XLOOKUP($A4417,Load!$B:$B,Load!K:K,0,)</f>
        <v>0</v>
      </c>
      <c r="K4417">
        <f>_xlfn.XLOOKUP($A4417,Load!$B:$B,Load!L:L,0,)</f>
        <v>0</v>
      </c>
      <c r="L4417">
        <f>_xlfn.XLOOKUP($A4417,Load!$B:$B,Load!M:M,0,)</f>
        <v>0</v>
      </c>
    </row>
    <row r="4418" spans="1:12" x14ac:dyDescent="0.25">
      <c r="A4418" t="s">
        <v>49</v>
      </c>
      <c r="B4418" t="str">
        <f>_xlfn.XLOOKUP($A4418,Load!$B:$B,Load!C:C,0,)</f>
        <v>Brach's</v>
      </c>
      <c r="C4418" t="str">
        <f>_xlfn.XLOOKUP($A4418,Load!$B:$B,Load!D:D,0,)</f>
        <v>Non-Chocolate Candy Only</v>
      </c>
      <c r="D4418" t="str">
        <f>_xlfn.XLOOKUP($A4418,Load!$B:$B,Load!E:E,0,)</f>
        <v>Fall / Seasonal Flavors (pumpkin spice, caramel apple, candy corn)</v>
      </c>
      <c r="E4418" t="str">
        <f>_xlfn.XLOOKUP($A4418,Load!$B:$B,Load!F:F,0,)</f>
        <v>Candy Pieces / Bites</v>
      </c>
      <c r="F4418" t="str">
        <f>_xlfn.XLOOKUP($A4418,Load!$B:$B,Load!G:G,0,)</f>
        <v>Large Multipack (More than 80 ct)</v>
      </c>
      <c r="G4418" t="str">
        <f>_xlfn.XLOOKUP($A4418,Load!$B:$B,Load!H:H,0,)</f>
        <v>Laydown Bag</v>
      </c>
      <c r="H4418" t="str">
        <f>_xlfn.XLOOKUP($A4418,Load!$B:$B,Load!I:I,0,)</f>
        <v>Seasonal Shapes (like pumpkins, candy corn, ghost, bats, etc.)</v>
      </c>
      <c r="I4418" t="str">
        <f>_xlfn.XLOOKUP($A4418,Load!$B:$B,Load!J:J,0,)</f>
        <v>Seasonal Graphics (Like Bat, Ghost, Pumpkin, Fall Leaves, Eyeballs, etc.)</v>
      </c>
      <c r="J4418" t="str">
        <f>_xlfn.XLOOKUP($A4418,Load!$B:$B,Load!K:K,0,)</f>
        <v>Small Pieces (Tiny bite size candies)</v>
      </c>
      <c r="K4418" t="str">
        <f>_xlfn.XLOOKUP($A4418,Load!$B:$B,Load!L:L,0,)</f>
        <v>Unwrapped</v>
      </c>
      <c r="L4418" t="str">
        <f>_xlfn.XLOOKUP($A4418,Load!$B:$B,Load!M:M,0,)</f>
        <v>Single Brand / Single Flavor or Form</v>
      </c>
    </row>
    <row r="4419" spans="1:12" x14ac:dyDescent="0.25">
      <c r="B4419">
        <f>_xlfn.XLOOKUP($A4419,Load!$B:$B,Load!C:C,0,)</f>
        <v>0</v>
      </c>
      <c r="C4419">
        <f>_xlfn.XLOOKUP($A4419,Load!$B:$B,Load!D:D,0,)</f>
        <v>0</v>
      </c>
      <c r="D4419">
        <f>_xlfn.XLOOKUP($A4419,Load!$B:$B,Load!E:E,0,)</f>
        <v>0</v>
      </c>
      <c r="E4419">
        <f>_xlfn.XLOOKUP($A4419,Load!$B:$B,Load!F:F,0,)</f>
        <v>0</v>
      </c>
      <c r="F4419">
        <f>_xlfn.XLOOKUP($A4419,Load!$B:$B,Load!G:G,0,)</f>
        <v>0</v>
      </c>
      <c r="G4419">
        <f>_xlfn.XLOOKUP($A4419,Load!$B:$B,Load!H:H,0,)</f>
        <v>0</v>
      </c>
      <c r="H4419">
        <f>_xlfn.XLOOKUP($A4419,Load!$B:$B,Load!I:I,0,)</f>
        <v>0</v>
      </c>
      <c r="I4419">
        <f>_xlfn.XLOOKUP($A4419,Load!$B:$B,Load!J:J,0,)</f>
        <v>0</v>
      </c>
      <c r="J4419">
        <f>_xlfn.XLOOKUP($A4419,Load!$B:$B,Load!K:K,0,)</f>
        <v>0</v>
      </c>
      <c r="K4419">
        <f>_xlfn.XLOOKUP($A4419,Load!$B:$B,Load!L:L,0,)</f>
        <v>0</v>
      </c>
      <c r="L4419">
        <f>_xlfn.XLOOKUP($A4419,Load!$B:$B,Load!M:M,0,)</f>
        <v>0</v>
      </c>
    </row>
    <row r="4420" spans="1:12" x14ac:dyDescent="0.25">
      <c r="A4420" t="s">
        <v>128</v>
      </c>
      <c r="B4420" t="str">
        <f>_xlfn.XLOOKUP($A4420,Load!$B:$B,Load!C:C,0,)</f>
        <v>HARIBO</v>
      </c>
      <c r="C4420" t="str">
        <f>_xlfn.XLOOKUP($A4420,Load!$B:$B,Load!D:D,0,)</f>
        <v>Non-Chocolate Candy Only</v>
      </c>
      <c r="D4420" t="str">
        <f>_xlfn.XLOOKUP($A4420,Load!$B:$B,Load!E:E,0,)</f>
        <v>Fruit Flavor (Cherry, Grape, Apple, Citrus, Tropical Fruit)</v>
      </c>
      <c r="E4420" t="str">
        <f>_xlfn.XLOOKUP($A4420,Load!$B:$B,Load!F:F,0,)</f>
        <v>Gummy</v>
      </c>
      <c r="F4420" t="str">
        <f>_xlfn.XLOOKUP($A4420,Load!$B:$B,Load!G:G,0,)</f>
        <v>Medium Multipack (40–80 ct)</v>
      </c>
      <c r="G4420" t="str">
        <f>_xlfn.XLOOKUP($A4420,Load!$B:$B,Load!H:H,0,)</f>
        <v>Plastic Cup / Container</v>
      </c>
      <c r="H4420" t="str">
        <f>_xlfn.XLOOKUP($A4420,Load!$B:$B,Load!I:I,0,)</f>
        <v>Everyday Candy Shapes (like Original, Gummy bear, Fruit, Jewels, etc.)</v>
      </c>
      <c r="I4420" t="str">
        <f>_xlfn.XLOOKUP($A4420,Load!$B:$B,Load!J:J,0,)</f>
        <v>Everyday Graphics</v>
      </c>
      <c r="J4420" t="str">
        <f>_xlfn.XLOOKUP($A4420,Load!$B:$B,Load!K:K,0,)</f>
        <v>Small Pieces (Tiny bite size candies)</v>
      </c>
      <c r="K4420" t="str">
        <f>_xlfn.XLOOKUP($A4420,Load!$B:$B,Load!L:L,0,)</f>
        <v>Regular/Original Wrapping</v>
      </c>
      <c r="L4420" t="str">
        <f>_xlfn.XLOOKUP($A4420,Load!$B:$B,Load!M:M,0,)</f>
        <v>Single Brand / Variety Flavors or Form</v>
      </c>
    </row>
    <row r="4421" spans="1:12" x14ac:dyDescent="0.25">
      <c r="B4421">
        <f>_xlfn.XLOOKUP($A4421,Load!$B:$B,Load!C:C,0,)</f>
        <v>0</v>
      </c>
      <c r="C4421">
        <f>_xlfn.XLOOKUP($A4421,Load!$B:$B,Load!D:D,0,)</f>
        <v>0</v>
      </c>
      <c r="D4421">
        <f>_xlfn.XLOOKUP($A4421,Load!$B:$B,Load!E:E,0,)</f>
        <v>0</v>
      </c>
      <c r="E4421">
        <f>_xlfn.XLOOKUP($A4421,Load!$B:$B,Load!F:F,0,)</f>
        <v>0</v>
      </c>
      <c r="F4421">
        <f>_xlfn.XLOOKUP($A4421,Load!$B:$B,Load!G:G,0,)</f>
        <v>0</v>
      </c>
      <c r="G4421">
        <f>_xlfn.XLOOKUP($A4421,Load!$B:$B,Load!H:H,0,)</f>
        <v>0</v>
      </c>
      <c r="H4421">
        <f>_xlfn.XLOOKUP($A4421,Load!$B:$B,Load!I:I,0,)</f>
        <v>0</v>
      </c>
      <c r="I4421">
        <f>_xlfn.XLOOKUP($A4421,Load!$B:$B,Load!J:J,0,)</f>
        <v>0</v>
      </c>
      <c r="J4421">
        <f>_xlfn.XLOOKUP($A4421,Load!$B:$B,Load!K:K,0,)</f>
        <v>0</v>
      </c>
      <c r="K4421">
        <f>_xlfn.XLOOKUP($A4421,Load!$B:$B,Load!L:L,0,)</f>
        <v>0</v>
      </c>
      <c r="L4421">
        <f>_xlfn.XLOOKUP($A4421,Load!$B:$B,Load!M:M,0,)</f>
        <v>0</v>
      </c>
    </row>
    <row r="4422" spans="1:12" x14ac:dyDescent="0.25">
      <c r="A4422" t="s">
        <v>306</v>
      </c>
      <c r="B4422" t="str">
        <f>_xlfn.XLOOKUP($A4422,Load!$B:$B,Load!C:C,0,)</f>
        <v>Werther's Original</v>
      </c>
      <c r="C4422" t="str">
        <f>_xlfn.XLOOKUP($A4422,Load!$B:$B,Load!D:D,0,)</f>
        <v>Non-Chocolate Candy Only</v>
      </c>
      <c r="D4422" t="str">
        <f>_xlfn.XLOOKUP($A4422,Load!$B:$B,Load!E:E,0,)</f>
        <v>Fall / Seasonal Flavors (pumpkin spice, caramel apple, candy corn)</v>
      </c>
      <c r="E4422" t="str">
        <f>_xlfn.XLOOKUP($A4422,Load!$B:$B,Load!F:F,0,)</f>
        <v>Chewy</v>
      </c>
      <c r="F4422" t="str">
        <f>_xlfn.XLOOKUP($A4422,Load!$B:$B,Load!G:G,0,)</f>
        <v>Single Pack</v>
      </c>
      <c r="G4422" t="str">
        <f>_xlfn.XLOOKUP($A4422,Load!$B:$B,Load!H:H,0,)</f>
        <v>Stand-Up Bag</v>
      </c>
      <c r="H4422" t="str">
        <f>_xlfn.XLOOKUP($A4422,Load!$B:$B,Load!I:I,0,)</f>
        <v>Seasonal Shapes (like pumpkins, candy corn, ghost, bats, etc.)</v>
      </c>
      <c r="I4422" t="str">
        <f>_xlfn.XLOOKUP($A4422,Load!$B:$B,Load!J:J,0,)</f>
        <v>Seasonal Graphics (Like Bat, Ghost, Pumpkin, Fall Leaves, Eyeballs, etc.)</v>
      </c>
      <c r="J4422" t="str">
        <f>_xlfn.XLOOKUP($A4422,Load!$B:$B,Load!K:K,0,)</f>
        <v>Fun Size / Treat Size</v>
      </c>
      <c r="K4422" t="str">
        <f>_xlfn.XLOOKUP($A4422,Load!$B:$B,Load!L:L,0,)</f>
        <v>Regular/Original Wrapping</v>
      </c>
      <c r="L4422" t="str">
        <f>_xlfn.XLOOKUP($A4422,Load!$B:$B,Load!M:M,0,)</f>
        <v>Single Brand / Single Flavor or Form</v>
      </c>
    </row>
    <row r="4423" spans="1:12" x14ac:dyDescent="0.25">
      <c r="B4423">
        <f>_xlfn.XLOOKUP($A4423,Load!$B:$B,Load!C:C,0,)</f>
        <v>0</v>
      </c>
      <c r="C4423">
        <f>_xlfn.XLOOKUP($A4423,Load!$B:$B,Load!D:D,0,)</f>
        <v>0</v>
      </c>
      <c r="D4423">
        <f>_xlfn.XLOOKUP($A4423,Load!$B:$B,Load!E:E,0,)</f>
        <v>0</v>
      </c>
      <c r="E4423">
        <f>_xlfn.XLOOKUP($A4423,Load!$B:$B,Load!F:F,0,)</f>
        <v>0</v>
      </c>
      <c r="F4423">
        <f>_xlfn.XLOOKUP($A4423,Load!$B:$B,Load!G:G,0,)</f>
        <v>0</v>
      </c>
      <c r="G4423">
        <f>_xlfn.XLOOKUP($A4423,Load!$B:$B,Load!H:H,0,)</f>
        <v>0</v>
      </c>
      <c r="H4423">
        <f>_xlfn.XLOOKUP($A4423,Load!$B:$B,Load!I:I,0,)</f>
        <v>0</v>
      </c>
      <c r="I4423">
        <f>_xlfn.XLOOKUP($A4423,Load!$B:$B,Load!J:J,0,)</f>
        <v>0</v>
      </c>
      <c r="J4423">
        <f>_xlfn.XLOOKUP($A4423,Load!$B:$B,Load!K:K,0,)</f>
        <v>0</v>
      </c>
      <c r="K4423">
        <f>_xlfn.XLOOKUP($A4423,Load!$B:$B,Load!L:L,0,)</f>
        <v>0</v>
      </c>
      <c r="L4423">
        <f>_xlfn.XLOOKUP($A4423,Load!$B:$B,Load!M:M,0,)</f>
        <v>0</v>
      </c>
    </row>
    <row r="4424" spans="1:12" x14ac:dyDescent="0.25">
      <c r="A4424" t="s">
        <v>223</v>
      </c>
      <c r="B4424" t="str">
        <f>_xlfn.XLOOKUP($A4424,Load!$B:$B,Load!C:C,0,)</f>
        <v>Nerds</v>
      </c>
      <c r="C4424" t="str">
        <f>_xlfn.XLOOKUP($A4424,Load!$B:$B,Load!D:D,0,)</f>
        <v>Non-Chocolate Candy Only</v>
      </c>
      <c r="D4424" t="str">
        <f>_xlfn.XLOOKUP($A4424,Load!$B:$B,Load!E:E,0,)</f>
        <v>Sweet</v>
      </c>
      <c r="E4424" t="str">
        <f>_xlfn.XLOOKUP($A4424,Load!$B:$B,Load!F:F,0,)</f>
        <v>Gummy</v>
      </c>
      <c r="F4424" t="str">
        <f>_xlfn.XLOOKUP($A4424,Load!$B:$B,Load!G:G,0,)</f>
        <v>Small Multipack (Less than 40 ct)</v>
      </c>
      <c r="G4424" t="str">
        <f>_xlfn.XLOOKUP($A4424,Load!$B:$B,Load!H:H,0,)</f>
        <v>Laydown Bag</v>
      </c>
      <c r="H4424" t="str">
        <f>_xlfn.XLOOKUP($A4424,Load!$B:$B,Load!I:I,0,)</f>
        <v>Everyday Candy Shapes (like Original, Gummy bear, Fruit, Jewels, etc.)</v>
      </c>
      <c r="I4424" t="str">
        <f>_xlfn.XLOOKUP($A4424,Load!$B:$B,Load!J:J,0,)</f>
        <v>Seasonal Graphics (Like Bat, Ghost, Pumpkin, Fall Leaves, Eyeballs, etc.)</v>
      </c>
      <c r="J4424" t="str">
        <f>_xlfn.XLOOKUP($A4424,Load!$B:$B,Load!K:K,0,)</f>
        <v>Small Pieces (Tiny bite size candies)</v>
      </c>
      <c r="K4424" t="str">
        <f>_xlfn.XLOOKUP($A4424,Load!$B:$B,Load!L:L,0,)</f>
        <v>Regular/Original Wrapping</v>
      </c>
      <c r="L4424" t="str">
        <f>_xlfn.XLOOKUP($A4424,Load!$B:$B,Load!M:M,0,)</f>
        <v>Single Brand / Variety Flavors or Form</v>
      </c>
    </row>
    <row r="4425" spans="1:12" x14ac:dyDescent="0.25">
      <c r="A4425" t="s">
        <v>79</v>
      </c>
      <c r="B4425" t="str">
        <f>_xlfn.XLOOKUP($A4425,Load!$B:$B,Load!C:C,0,)</f>
        <v>Ferrara Variety Pack</v>
      </c>
      <c r="C4425" t="str">
        <f>_xlfn.XLOOKUP($A4425,Load!$B:$B,Load!D:D,0,)</f>
        <v>Non-Chocolate Candy Only</v>
      </c>
      <c r="D4425" t="str">
        <f>_xlfn.XLOOKUP($A4425,Load!$B:$B,Load!E:E,0,)</f>
        <v>Variety / Mixed Flavors (Fruity, Sour, Seasonal Flavors)</v>
      </c>
      <c r="E4425" t="str">
        <f>_xlfn.XLOOKUP($A4425,Load!$B:$B,Load!F:F,0,)</f>
        <v>Mixed / Combo Packs (Gummy, Chewy, Taffy, etc.)</v>
      </c>
      <c r="F4425" t="str">
        <f>_xlfn.XLOOKUP($A4425,Load!$B:$B,Load!G:G,0,)</f>
        <v>Large Multipack (More than 80 ct)</v>
      </c>
      <c r="G4425" t="str">
        <f>_xlfn.XLOOKUP($A4425,Load!$B:$B,Load!H:H,0,)</f>
        <v>Stand-Up Bag</v>
      </c>
      <c r="H4425" t="str">
        <f>_xlfn.XLOOKUP($A4425,Load!$B:$B,Load!I:I,0,)</f>
        <v>Everyday Candy Shapes (like Original, Gummy bear, Fruit, Jewels, etc.)</v>
      </c>
      <c r="I4425" t="str">
        <f>_xlfn.XLOOKUP($A4425,Load!$B:$B,Load!J:J,0,)</f>
        <v>Seasonal Graphics (Like Bat, Ghost, Pumpkin, Fall Leaves, Eyeballs, etc.)</v>
      </c>
      <c r="J4425" t="str">
        <f>_xlfn.XLOOKUP($A4425,Load!$B:$B,Load!K:K,0,)</f>
        <v xml:space="preserve">Variety Candy Sizes </v>
      </c>
      <c r="K4425" t="str">
        <f>_xlfn.XLOOKUP($A4425,Load!$B:$B,Load!L:L,0,)</f>
        <v>Regular/Original Wrapping</v>
      </c>
      <c r="L4425" t="str">
        <f>_xlfn.XLOOKUP($A4425,Load!$B:$B,Load!M:M,0,)</f>
        <v>Multiple Brands / Variety Flavors or Form</v>
      </c>
    </row>
    <row r="4426" spans="1:12" x14ac:dyDescent="0.25">
      <c r="A4426" t="s">
        <v>25</v>
      </c>
      <c r="B4426" t="str">
        <f>_xlfn.XLOOKUP($A4426,Load!$B:$B,Load!C:C,0,)</f>
        <v>Albert's Candy Company</v>
      </c>
      <c r="C4426" t="str">
        <f>_xlfn.XLOOKUP($A4426,Load!$B:$B,Load!D:D,0,)</f>
        <v>Non-Chocolate Candy Only</v>
      </c>
      <c r="D4426" t="str">
        <f>_xlfn.XLOOKUP($A4426,Load!$B:$B,Load!E:E,0,)</f>
        <v>Fruit Flavor (Cherry, Grape, Apple, Citrus, Tropical Fruit)</v>
      </c>
      <c r="E4426" t="str">
        <f>_xlfn.XLOOKUP($A4426,Load!$B:$B,Load!F:F,0,)</f>
        <v>Chewy</v>
      </c>
      <c r="F4426" t="str">
        <f>_xlfn.XLOOKUP($A4426,Load!$B:$B,Load!G:G,0,)</f>
        <v>Large Multipack (More than 80 ct)</v>
      </c>
      <c r="G4426" t="str">
        <f>_xlfn.XLOOKUP($A4426,Load!$B:$B,Load!H:H,0,)</f>
        <v>Laydown Bag</v>
      </c>
      <c r="H4426" t="str">
        <f>_xlfn.XLOOKUP($A4426,Load!$B:$B,Load!I:I,0,)</f>
        <v>Everyday Candy Shapes (like Original, Gummy bear, Fruit, Jewels, etc.)</v>
      </c>
      <c r="I4426" t="str">
        <f>_xlfn.XLOOKUP($A4426,Load!$B:$B,Load!J:J,0,)</f>
        <v>Seasonal Graphics (Like Bat, Ghost, Pumpkin, Fall Leaves, Eyeballs, etc.)</v>
      </c>
      <c r="J4426" t="str">
        <f>_xlfn.XLOOKUP($A4426,Load!$B:$B,Load!K:K,0,)</f>
        <v>Small Pieces (Tiny bite size candies)</v>
      </c>
      <c r="K4426" t="str">
        <f>_xlfn.XLOOKUP($A4426,Load!$B:$B,Load!L:L,0,)</f>
        <v>Regular/Original Wrapping</v>
      </c>
      <c r="L4426" t="str">
        <f>_xlfn.XLOOKUP($A4426,Load!$B:$B,Load!M:M,0,)</f>
        <v>Single Brand / Variety Flavors or Form</v>
      </c>
    </row>
    <row r="4427" spans="1:12" x14ac:dyDescent="0.25">
      <c r="A4427" t="s">
        <v>26</v>
      </c>
      <c r="B4427" t="str">
        <f>_xlfn.XLOOKUP($A4427,Load!$B:$B,Load!C:C,0,)</f>
        <v>Albert's Candy Company</v>
      </c>
      <c r="C4427" t="str">
        <f>_xlfn.XLOOKUP($A4427,Load!$B:$B,Load!D:D,0,)</f>
        <v>Non-Chocolate Candy Only</v>
      </c>
      <c r="D4427" t="str">
        <f>_xlfn.XLOOKUP($A4427,Load!$B:$B,Load!E:E,0,)</f>
        <v>Fruit Flavor (Cherry, Grape, Apple, Citrus, Tropical Fruit)</v>
      </c>
      <c r="E4427" t="str">
        <f>_xlfn.XLOOKUP($A4427,Load!$B:$B,Load!F:F,0,)</f>
        <v>Chewy</v>
      </c>
      <c r="F4427" t="str">
        <f>_xlfn.XLOOKUP($A4427,Load!$B:$B,Load!G:G,0,)</f>
        <v>Large Multipack (More than 80 ct)</v>
      </c>
      <c r="G4427" t="str">
        <f>_xlfn.XLOOKUP($A4427,Load!$B:$B,Load!H:H,0,)</f>
        <v>Laydown Bag</v>
      </c>
      <c r="H4427" t="str">
        <f>_xlfn.XLOOKUP($A4427,Load!$B:$B,Load!I:I,0,)</f>
        <v>Everyday Candy Shapes (like Original, Gummy bear, Fruit, Jewels, etc.)</v>
      </c>
      <c r="I4427" t="str">
        <f>_xlfn.XLOOKUP($A4427,Load!$B:$B,Load!J:J,0,)</f>
        <v>Seasonal Graphics (Like Bat, Ghost, Pumpkin, Fall Leaves, Eyeballs, etc.)</v>
      </c>
      <c r="J4427" t="str">
        <f>_xlfn.XLOOKUP($A4427,Load!$B:$B,Load!K:K,0,)</f>
        <v>Small Pieces (Tiny bite size candies)</v>
      </c>
      <c r="K4427" t="str">
        <f>_xlfn.XLOOKUP($A4427,Load!$B:$B,Load!L:L,0,)</f>
        <v>Regular/Original Wrapping</v>
      </c>
      <c r="L4427" t="str">
        <f>_xlfn.XLOOKUP($A4427,Load!$B:$B,Load!M:M,0,)</f>
        <v>Single Brand / Variety Flavors or Form</v>
      </c>
    </row>
    <row r="4428" spans="1:12" x14ac:dyDescent="0.25">
      <c r="A4428" t="s">
        <v>175</v>
      </c>
      <c r="B4428" t="str">
        <f>_xlfn.XLOOKUP($A4428,Load!$B:$B,Load!C:C,0,)</f>
        <v>Mars Variety Pack</v>
      </c>
      <c r="C4428" t="str">
        <f>_xlfn.XLOOKUP($A4428,Load!$B:$B,Load!D:D,0,)</f>
        <v>Mix of Chocolate and Non-Chocolate Candy</v>
      </c>
      <c r="D4428" t="str">
        <f>_xlfn.XLOOKUP($A4428,Load!$B:$B,Load!E:E,0,)</f>
        <v>Variety / Mixed Flavors (Fruity, Sour, Seasonal Flavors)</v>
      </c>
      <c r="E4428" t="str">
        <f>_xlfn.XLOOKUP($A4428,Load!$B:$B,Load!F:F,0,)</f>
        <v>Mixed / Combo Packs (Gummy, Chewy, Taffy, etc.)</v>
      </c>
      <c r="F4428" t="str">
        <f>_xlfn.XLOOKUP($A4428,Load!$B:$B,Load!G:G,0,)</f>
        <v>Large Multipack (More than 80 ct)</v>
      </c>
      <c r="G4428" t="str">
        <f>_xlfn.XLOOKUP($A4428,Load!$B:$B,Load!H:H,0,)</f>
        <v>Stand-Up Bag</v>
      </c>
      <c r="H4428" t="str">
        <f>_xlfn.XLOOKUP($A4428,Load!$B:$B,Load!I:I,0,)</f>
        <v>Everyday Candy Shapes (like Original, Gummy bear, Fruit, Jewels, etc.)</v>
      </c>
      <c r="I4428" t="str">
        <f>_xlfn.XLOOKUP($A4428,Load!$B:$B,Load!J:J,0,)</f>
        <v>Seasonal Graphics (Like Bat, Ghost, Pumpkin, Fall Leaves, Eyeballs, etc.)</v>
      </c>
      <c r="J4428" t="str">
        <f>_xlfn.XLOOKUP($A4428,Load!$B:$B,Load!K:K,0,)</f>
        <v xml:space="preserve">Variety Candy Sizes </v>
      </c>
      <c r="K4428" t="str">
        <f>_xlfn.XLOOKUP($A4428,Load!$B:$B,Load!L:L,0,)</f>
        <v>Regular/Original Wrapping</v>
      </c>
      <c r="L4428" t="str">
        <f>_xlfn.XLOOKUP($A4428,Load!$B:$B,Load!M:M,0,)</f>
        <v>Multiple Brands / Variety Flavors or Form</v>
      </c>
    </row>
    <row r="4429" spans="1:12" x14ac:dyDescent="0.25">
      <c r="A4429" t="s">
        <v>80</v>
      </c>
      <c r="B4429" t="str">
        <f>_xlfn.XLOOKUP($A4429,Load!$B:$B,Load!C:C,0,)</f>
        <v>Ferrara Variety Pack</v>
      </c>
      <c r="C4429" t="str">
        <f>_xlfn.XLOOKUP($A4429,Load!$B:$B,Load!D:D,0,)</f>
        <v>Non-Chocolate Candy Only</v>
      </c>
      <c r="D4429" t="str">
        <f>_xlfn.XLOOKUP($A4429,Load!$B:$B,Load!E:E,0,)</f>
        <v>Variety / Mixed Flavors (Fruity, Sour, Seasonal Flavors)</v>
      </c>
      <c r="E4429" t="str">
        <f>_xlfn.XLOOKUP($A4429,Load!$B:$B,Load!F:F,0,)</f>
        <v>Mixed / Combo Packs (Gummy, Chewy, Taffy, etc.)</v>
      </c>
      <c r="F4429" t="str">
        <f>_xlfn.XLOOKUP($A4429,Load!$B:$B,Load!G:G,0,)</f>
        <v>Large Multipack (More than 80 ct)</v>
      </c>
      <c r="G4429" t="str">
        <f>_xlfn.XLOOKUP($A4429,Load!$B:$B,Load!H:H,0,)</f>
        <v>Stand-Up Bag</v>
      </c>
      <c r="H4429" t="str">
        <f>_xlfn.XLOOKUP($A4429,Load!$B:$B,Load!I:I,0,)</f>
        <v>Everyday Candy Shapes (like Original, Gummy bear, Fruit, Jewels, etc.)</v>
      </c>
      <c r="I4429" t="str">
        <f>_xlfn.XLOOKUP($A4429,Load!$B:$B,Load!J:J,0,)</f>
        <v>Seasonal Graphics (Like Bat, Ghost, Pumpkin, Fall Leaves, Eyeballs, etc.)</v>
      </c>
      <c r="J4429" t="str">
        <f>_xlfn.XLOOKUP($A4429,Load!$B:$B,Load!K:K,0,)</f>
        <v xml:space="preserve">Variety Candy Sizes </v>
      </c>
      <c r="K4429" t="str">
        <f>_xlfn.XLOOKUP($A4429,Load!$B:$B,Load!L:L,0,)</f>
        <v>Regular/Original Wrapping</v>
      </c>
      <c r="L4429" t="str">
        <f>_xlfn.XLOOKUP($A4429,Load!$B:$B,Load!M:M,0,)</f>
        <v>Multiple Brands / Variety Flavors or Form</v>
      </c>
    </row>
    <row r="4430" spans="1:12" x14ac:dyDescent="0.25">
      <c r="A4430" t="s">
        <v>206</v>
      </c>
      <c r="B4430" t="str">
        <f>_xlfn.XLOOKUP($A4430,Load!$B:$B,Load!C:C,0,)</f>
        <v>Mars Variety Pack</v>
      </c>
      <c r="C4430" t="str">
        <f>_xlfn.XLOOKUP($A4430,Load!$B:$B,Load!D:D,0,)</f>
        <v>Non-Chocolate Candy Only</v>
      </c>
      <c r="D4430" t="str">
        <f>_xlfn.XLOOKUP($A4430,Load!$B:$B,Load!E:E,0,)</f>
        <v>Variety / Mixed Flavors (Fruity, Sour, Seasonal Flavors)</v>
      </c>
      <c r="E4430" t="str">
        <f>_xlfn.XLOOKUP($A4430,Load!$B:$B,Load!F:F,0,)</f>
        <v>Mixed / Combo Packs (Gummy, Chewy, Taffy, etc.)</v>
      </c>
      <c r="F4430" t="str">
        <f>_xlfn.XLOOKUP($A4430,Load!$B:$B,Load!G:G,0,)</f>
        <v>Large Multipack (More than 80 ct)</v>
      </c>
      <c r="G4430" t="str">
        <f>_xlfn.XLOOKUP($A4430,Load!$B:$B,Load!H:H,0,)</f>
        <v>Stand-Up Bag</v>
      </c>
      <c r="H4430" t="str">
        <f>_xlfn.XLOOKUP($A4430,Load!$B:$B,Load!I:I,0,)</f>
        <v>Everyday Candy Shapes (like Original, Gummy bear, Fruit, Jewels, etc.)</v>
      </c>
      <c r="I4430" t="str">
        <f>_xlfn.XLOOKUP($A4430,Load!$B:$B,Load!J:J,0,)</f>
        <v>Seasonal Graphics (Like Bat, Ghost, Pumpkin, Fall Leaves, Eyeballs, etc.)</v>
      </c>
      <c r="J4430" t="str">
        <f>_xlfn.XLOOKUP($A4430,Load!$B:$B,Load!K:K,0,)</f>
        <v>Fun Size / Treat Size</v>
      </c>
      <c r="K4430" t="str">
        <f>_xlfn.XLOOKUP($A4430,Load!$B:$B,Load!L:L,0,)</f>
        <v>Regular/Original Wrapping</v>
      </c>
      <c r="L4430" t="str">
        <f>_xlfn.XLOOKUP($A4430,Load!$B:$B,Load!M:M,0,)</f>
        <v>Multiple Brands / Variety Flavors or Form</v>
      </c>
    </row>
    <row r="4431" spans="1:12" x14ac:dyDescent="0.25">
      <c r="A4431" t="s">
        <v>109</v>
      </c>
      <c r="B4431" t="str">
        <f>_xlfn.XLOOKUP($A4431,Load!$B:$B,Load!C:C,0,)</f>
        <v>Frankford</v>
      </c>
      <c r="C4431" t="str">
        <f>_xlfn.XLOOKUP($A4431,Load!$B:$B,Load!D:D,0,)</f>
        <v>Non-Chocolate Candy Only</v>
      </c>
      <c r="D4431" t="str">
        <f>_xlfn.XLOOKUP($A4431,Load!$B:$B,Load!E:E,0,)</f>
        <v>Sour</v>
      </c>
      <c r="E4431" t="str">
        <f>_xlfn.XLOOKUP($A4431,Load!$B:$B,Load!F:F,0,)</f>
        <v>Mixed / Combo Packs (Gummy, Chewy, Taffy, etc.)</v>
      </c>
      <c r="F4431" t="str">
        <f>_xlfn.XLOOKUP($A4431,Load!$B:$B,Load!G:G,0,)</f>
        <v>Large Multipack (More than 80 ct)</v>
      </c>
      <c r="G4431" t="str">
        <f>_xlfn.XLOOKUP($A4431,Load!$B:$B,Load!H:H,0,)</f>
        <v>Laydown Bag</v>
      </c>
      <c r="H4431" t="str">
        <f>_xlfn.XLOOKUP($A4431,Load!$B:$B,Load!I:I,0,)</f>
        <v>Everyday Candy Shapes (like Original, Gummy bear, Fruit, Jewels, etc.)</v>
      </c>
      <c r="I4431" t="str">
        <f>_xlfn.XLOOKUP($A4431,Load!$B:$B,Load!J:J,0,)</f>
        <v>Seasonal Graphics (Like Bat, Ghost, Pumpkin, Fall Leaves, Eyeballs, etc.)</v>
      </c>
      <c r="J4431" t="str">
        <f>_xlfn.XLOOKUP($A4431,Load!$B:$B,Load!K:K,0,)</f>
        <v>Small Pieces (Tiny bite size candies)</v>
      </c>
      <c r="K4431" t="str">
        <f>_xlfn.XLOOKUP($A4431,Load!$B:$B,Load!L:L,0,)</f>
        <v>Regular/Original Wrapping</v>
      </c>
      <c r="L4431" t="str">
        <f>_xlfn.XLOOKUP($A4431,Load!$B:$B,Load!M:M,0,)</f>
        <v>Multiple Brands / Variety Flavors or Form</v>
      </c>
    </row>
    <row r="4432" spans="1:12" x14ac:dyDescent="0.25">
      <c r="A4432" t="s">
        <v>293</v>
      </c>
      <c r="B4432" t="str">
        <f>_xlfn.XLOOKUP($A4432,Load!$B:$B,Load!C:C,0,)</f>
        <v>Tootsie</v>
      </c>
      <c r="C4432" t="str">
        <f>_xlfn.XLOOKUP($A4432,Load!$B:$B,Load!D:D,0,)</f>
        <v>Mix of Chocolate and Non-Chocolate Candy</v>
      </c>
      <c r="D4432" t="str">
        <f>_xlfn.XLOOKUP($A4432,Load!$B:$B,Load!E:E,0,)</f>
        <v>Sweet</v>
      </c>
      <c r="E4432" t="str">
        <f>_xlfn.XLOOKUP($A4432,Load!$B:$B,Load!F:F,0,)</f>
        <v>Lollipop (regular or lollipop rings)</v>
      </c>
      <c r="F4432" t="str">
        <f>_xlfn.XLOOKUP($A4432,Load!$B:$B,Load!G:G,0,)</f>
        <v>Large Multipack (More than 80 ct)</v>
      </c>
      <c r="G4432" t="str">
        <f>_xlfn.XLOOKUP($A4432,Load!$B:$B,Load!H:H,0,)</f>
        <v>Laydown Bag</v>
      </c>
      <c r="H4432" t="str">
        <f>_xlfn.XLOOKUP($A4432,Load!$B:$B,Load!I:I,0,)</f>
        <v>Everyday Candy Shapes (like Original, Gummy bear, Fruit, Jewels, etc.)</v>
      </c>
      <c r="I4432" t="str">
        <f>_xlfn.XLOOKUP($A4432,Load!$B:$B,Load!J:J,0,)</f>
        <v>Everyday Graphics</v>
      </c>
      <c r="J4432" t="str">
        <f>_xlfn.XLOOKUP($A4432,Load!$B:$B,Load!K:K,0,)</f>
        <v>Regular Lollipop size (on sticks or rings)</v>
      </c>
      <c r="K4432" t="str">
        <f>_xlfn.XLOOKUP($A4432,Load!$B:$B,Load!L:L,0,)</f>
        <v>Regular/Original Wrapping</v>
      </c>
      <c r="L4432" t="str">
        <f>_xlfn.XLOOKUP($A4432,Load!$B:$B,Load!M:M,0,)</f>
        <v>Single Brand / Single Flavor or Form</v>
      </c>
    </row>
    <row r="4433" spans="1:12" x14ac:dyDescent="0.25">
      <c r="B4433">
        <f>_xlfn.XLOOKUP($A4433,Load!$B:$B,Load!C:C,0,)</f>
        <v>0</v>
      </c>
      <c r="C4433">
        <f>_xlfn.XLOOKUP($A4433,Load!$B:$B,Load!D:D,0,)</f>
        <v>0</v>
      </c>
      <c r="D4433">
        <f>_xlfn.XLOOKUP($A4433,Load!$B:$B,Load!E:E,0,)</f>
        <v>0</v>
      </c>
      <c r="E4433">
        <f>_xlfn.XLOOKUP($A4433,Load!$B:$B,Load!F:F,0,)</f>
        <v>0</v>
      </c>
      <c r="F4433">
        <f>_xlfn.XLOOKUP($A4433,Load!$B:$B,Load!G:G,0,)</f>
        <v>0</v>
      </c>
      <c r="G4433">
        <f>_xlfn.XLOOKUP($A4433,Load!$B:$B,Load!H:H,0,)</f>
        <v>0</v>
      </c>
      <c r="H4433">
        <f>_xlfn.XLOOKUP($A4433,Load!$B:$B,Load!I:I,0,)</f>
        <v>0</v>
      </c>
      <c r="I4433">
        <f>_xlfn.XLOOKUP($A4433,Load!$B:$B,Load!J:J,0,)</f>
        <v>0</v>
      </c>
      <c r="J4433">
        <f>_xlfn.XLOOKUP($A4433,Load!$B:$B,Load!K:K,0,)</f>
        <v>0</v>
      </c>
      <c r="K4433">
        <f>_xlfn.XLOOKUP($A4433,Load!$B:$B,Load!L:L,0,)</f>
        <v>0</v>
      </c>
      <c r="L4433">
        <f>_xlfn.XLOOKUP($A4433,Load!$B:$B,Load!M:M,0,)</f>
        <v>0</v>
      </c>
    </row>
    <row r="4434" spans="1:12" x14ac:dyDescent="0.25">
      <c r="A4434" t="s">
        <v>112</v>
      </c>
      <c r="B4434" t="str">
        <f>_xlfn.XLOOKUP($A4434,Load!$B:$B,Load!C:C,0,)</f>
        <v>Frankford</v>
      </c>
      <c r="C4434" t="str">
        <f>_xlfn.XLOOKUP($A4434,Load!$B:$B,Load!D:D,0,)</f>
        <v>Non-Chocolate Candy Only</v>
      </c>
      <c r="D4434" t="str">
        <f>_xlfn.XLOOKUP($A4434,Load!$B:$B,Load!E:E,0,)</f>
        <v>Sour</v>
      </c>
      <c r="E4434" t="str">
        <f>_xlfn.XLOOKUP($A4434,Load!$B:$B,Load!F:F,0,)</f>
        <v>Mixed / Combo Packs (Gummy, Chewy, Taffy, etc.)</v>
      </c>
      <c r="F4434" t="str">
        <f>_xlfn.XLOOKUP($A4434,Load!$B:$B,Load!G:G,0,)</f>
        <v>Large Multipack (More than 80 ct)</v>
      </c>
      <c r="G4434" t="str">
        <f>_xlfn.XLOOKUP($A4434,Load!$B:$B,Load!H:H,0,)</f>
        <v>Laydown Bag</v>
      </c>
      <c r="H4434" t="str">
        <f>_xlfn.XLOOKUP($A4434,Load!$B:$B,Load!I:I,0,)</f>
        <v>Everyday Candy Shapes (like Original, Gummy bear, Fruit, Jewels, etc.)</v>
      </c>
      <c r="I4434" t="str">
        <f>_xlfn.XLOOKUP($A4434,Load!$B:$B,Load!J:J,0,)</f>
        <v>Seasonal Graphics (Like Bat, Ghost, Pumpkin, Fall Leaves, Eyeballs, etc.)</v>
      </c>
      <c r="J4434" t="str">
        <f>_xlfn.XLOOKUP($A4434,Load!$B:$B,Load!K:K,0,)</f>
        <v>Small Pieces (Tiny bite size candies)</v>
      </c>
      <c r="K4434" t="str">
        <f>_xlfn.XLOOKUP($A4434,Load!$B:$B,Load!L:L,0,)</f>
        <v>Regular/Original Wrapping</v>
      </c>
      <c r="L4434" t="str">
        <f>_xlfn.XLOOKUP($A4434,Load!$B:$B,Load!M:M,0,)</f>
        <v>Multiple Brands / Variety Flavors or Form</v>
      </c>
    </row>
    <row r="4435" spans="1:12" x14ac:dyDescent="0.25">
      <c r="A4435" t="s">
        <v>293</v>
      </c>
      <c r="B4435" t="str">
        <f>_xlfn.XLOOKUP($A4435,Load!$B:$B,Load!C:C,0,)</f>
        <v>Tootsie</v>
      </c>
      <c r="C4435" t="str">
        <f>_xlfn.XLOOKUP($A4435,Load!$B:$B,Load!D:D,0,)</f>
        <v>Mix of Chocolate and Non-Chocolate Candy</v>
      </c>
      <c r="D4435" t="str">
        <f>_xlfn.XLOOKUP($A4435,Load!$B:$B,Load!E:E,0,)</f>
        <v>Sweet</v>
      </c>
      <c r="E4435" t="str">
        <f>_xlfn.XLOOKUP($A4435,Load!$B:$B,Load!F:F,0,)</f>
        <v>Lollipop (regular or lollipop rings)</v>
      </c>
      <c r="F4435" t="str">
        <f>_xlfn.XLOOKUP($A4435,Load!$B:$B,Load!G:G,0,)</f>
        <v>Large Multipack (More than 80 ct)</v>
      </c>
      <c r="G4435" t="str">
        <f>_xlfn.XLOOKUP($A4435,Load!$B:$B,Load!H:H,0,)</f>
        <v>Laydown Bag</v>
      </c>
      <c r="H4435" t="str">
        <f>_xlfn.XLOOKUP($A4435,Load!$B:$B,Load!I:I,0,)</f>
        <v>Everyday Candy Shapes (like Original, Gummy bear, Fruit, Jewels, etc.)</v>
      </c>
      <c r="I4435" t="str">
        <f>_xlfn.XLOOKUP($A4435,Load!$B:$B,Load!J:J,0,)</f>
        <v>Everyday Graphics</v>
      </c>
      <c r="J4435" t="str">
        <f>_xlfn.XLOOKUP($A4435,Load!$B:$B,Load!K:K,0,)</f>
        <v>Regular Lollipop size (on sticks or rings)</v>
      </c>
      <c r="K4435" t="str">
        <f>_xlfn.XLOOKUP($A4435,Load!$B:$B,Load!L:L,0,)</f>
        <v>Regular/Original Wrapping</v>
      </c>
      <c r="L4435" t="str">
        <f>_xlfn.XLOOKUP($A4435,Load!$B:$B,Load!M:M,0,)</f>
        <v>Single Brand / Single Flavor or Form</v>
      </c>
    </row>
    <row r="4436" spans="1:12" x14ac:dyDescent="0.25">
      <c r="A4436" t="s">
        <v>290</v>
      </c>
      <c r="B4436" t="str">
        <f>_xlfn.XLOOKUP($A4436,Load!$B:$B,Load!C:C,0,)</f>
        <v>Tootsie</v>
      </c>
      <c r="C4436" t="str">
        <f>_xlfn.XLOOKUP($A4436,Load!$B:$B,Load!D:D,0,)</f>
        <v>Mix of Chocolate and Non-Chocolate Candy</v>
      </c>
      <c r="D4436" t="str">
        <f>_xlfn.XLOOKUP($A4436,Load!$B:$B,Load!E:E,0,)</f>
        <v>Variety / Mixed Flavors (Fruity, Sour, Seasonal Flavors)</v>
      </c>
      <c r="E4436" t="str">
        <f>_xlfn.XLOOKUP($A4436,Load!$B:$B,Load!F:F,0,)</f>
        <v>Mixed / Combo Packs (Gummy, Chewy, Taffy, etc.)</v>
      </c>
      <c r="F4436" t="str">
        <f>_xlfn.XLOOKUP($A4436,Load!$B:$B,Load!G:G,0,)</f>
        <v>Large Multipack (More than 80 ct)</v>
      </c>
      <c r="G4436" t="str">
        <f>_xlfn.XLOOKUP($A4436,Load!$B:$B,Load!H:H,0,)</f>
        <v>Laydown Bag</v>
      </c>
      <c r="H4436" t="str">
        <f>_xlfn.XLOOKUP($A4436,Load!$B:$B,Load!I:I,0,)</f>
        <v>Everyday Candy Shapes (like Original, Gummy bear, Fruit, Jewels, etc.)</v>
      </c>
      <c r="I4436" t="str">
        <f>_xlfn.XLOOKUP($A4436,Load!$B:$B,Load!J:J,0,)</f>
        <v>Everyday Graphics</v>
      </c>
      <c r="J4436" t="str">
        <f>_xlfn.XLOOKUP($A4436,Load!$B:$B,Load!K:K,0,)</f>
        <v>Fun Size / Treat Size</v>
      </c>
      <c r="K4436" t="str">
        <f>_xlfn.XLOOKUP($A4436,Load!$B:$B,Load!L:L,0,)</f>
        <v>Regular/Original Wrapping</v>
      </c>
      <c r="L4436" t="str">
        <f>_xlfn.XLOOKUP($A4436,Load!$B:$B,Load!M:M,0,)</f>
        <v>Single Brand / Variety Flavors or Form</v>
      </c>
    </row>
    <row r="4437" spans="1:12" x14ac:dyDescent="0.25">
      <c r="B4437">
        <f>_xlfn.XLOOKUP($A4437,Load!$B:$B,Load!C:C,0,)</f>
        <v>0</v>
      </c>
      <c r="C4437">
        <f>_xlfn.XLOOKUP($A4437,Load!$B:$B,Load!D:D,0,)</f>
        <v>0</v>
      </c>
      <c r="D4437">
        <f>_xlfn.XLOOKUP($A4437,Load!$B:$B,Load!E:E,0,)</f>
        <v>0</v>
      </c>
      <c r="E4437">
        <f>_xlfn.XLOOKUP($A4437,Load!$B:$B,Load!F:F,0,)</f>
        <v>0</v>
      </c>
      <c r="F4437">
        <f>_xlfn.XLOOKUP($A4437,Load!$B:$B,Load!G:G,0,)</f>
        <v>0</v>
      </c>
      <c r="G4437">
        <f>_xlfn.XLOOKUP($A4437,Load!$B:$B,Load!H:H,0,)</f>
        <v>0</v>
      </c>
      <c r="H4437">
        <f>_xlfn.XLOOKUP($A4437,Load!$B:$B,Load!I:I,0,)</f>
        <v>0</v>
      </c>
      <c r="I4437">
        <f>_xlfn.XLOOKUP($A4437,Load!$B:$B,Load!J:J,0,)</f>
        <v>0</v>
      </c>
      <c r="J4437">
        <f>_xlfn.XLOOKUP($A4437,Load!$B:$B,Load!K:K,0,)</f>
        <v>0</v>
      </c>
      <c r="K4437">
        <f>_xlfn.XLOOKUP($A4437,Load!$B:$B,Load!L:L,0,)</f>
        <v>0</v>
      </c>
      <c r="L4437">
        <f>_xlfn.XLOOKUP($A4437,Load!$B:$B,Load!M:M,0,)</f>
        <v>0</v>
      </c>
    </row>
    <row r="4438" spans="1:12" x14ac:dyDescent="0.25">
      <c r="A4438" t="s">
        <v>271</v>
      </c>
      <c r="B4438" t="str">
        <f>_xlfn.XLOOKUP($A4438,Load!$B:$B,Load!C:C,0,)</f>
        <v>Sour Patch Kids</v>
      </c>
      <c r="C4438" t="str">
        <f>_xlfn.XLOOKUP($A4438,Load!$B:$B,Load!D:D,0,)</f>
        <v>Non-Chocolate Candy Only</v>
      </c>
      <c r="D4438" t="str">
        <f>_xlfn.XLOOKUP($A4438,Load!$B:$B,Load!E:E,0,)</f>
        <v>Sour</v>
      </c>
      <c r="E4438" t="str">
        <f>_xlfn.XLOOKUP($A4438,Load!$B:$B,Load!F:F,0,)</f>
        <v>Chewy</v>
      </c>
      <c r="F4438" t="str">
        <f>_xlfn.XLOOKUP($A4438,Load!$B:$B,Load!G:G,0,)</f>
        <v>Medium Multipack (40–80 ct)</v>
      </c>
      <c r="G4438" t="str">
        <f>_xlfn.XLOOKUP($A4438,Load!$B:$B,Load!H:H,0,)</f>
        <v>Laydown Bag</v>
      </c>
      <c r="H4438" t="str">
        <f>_xlfn.XLOOKUP($A4438,Load!$B:$B,Load!I:I,0,)</f>
        <v>Everyday Candy Shapes (like Original, Gummy bear, Fruit, Jewels, etc.)</v>
      </c>
      <c r="I4438" t="str">
        <f>_xlfn.XLOOKUP($A4438,Load!$B:$B,Load!J:J,0,)</f>
        <v>Seasonal Graphics (Like Bat, Ghost, Pumpkin, Fall Leaves, Eyeballs, etc.)</v>
      </c>
      <c r="J4438" t="str">
        <f>_xlfn.XLOOKUP($A4438,Load!$B:$B,Load!K:K,0,)</f>
        <v>Small Pieces (Tiny bite size candies)</v>
      </c>
      <c r="K4438" t="str">
        <f>_xlfn.XLOOKUP($A4438,Load!$B:$B,Load!L:L,0,)</f>
        <v>Regular/Original Wrapping</v>
      </c>
      <c r="L4438" t="str">
        <f>_xlfn.XLOOKUP($A4438,Load!$B:$B,Load!M:M,0,)</f>
        <v>Single Brand / Variety Flavors or Form</v>
      </c>
    </row>
    <row r="4439" spans="1:12" x14ac:dyDescent="0.25">
      <c r="B4439">
        <f>_xlfn.XLOOKUP($A4439,Load!$B:$B,Load!C:C,0,)</f>
        <v>0</v>
      </c>
      <c r="C4439">
        <f>_xlfn.XLOOKUP($A4439,Load!$B:$B,Load!D:D,0,)</f>
        <v>0</v>
      </c>
      <c r="D4439">
        <f>_xlfn.XLOOKUP($A4439,Load!$B:$B,Load!E:E,0,)</f>
        <v>0</v>
      </c>
      <c r="E4439">
        <f>_xlfn.XLOOKUP($A4439,Load!$B:$B,Load!F:F,0,)</f>
        <v>0</v>
      </c>
      <c r="F4439">
        <f>_xlfn.XLOOKUP($A4439,Load!$B:$B,Load!G:G,0,)</f>
        <v>0</v>
      </c>
      <c r="G4439">
        <f>_xlfn.XLOOKUP($A4439,Load!$B:$B,Load!H:H,0,)</f>
        <v>0</v>
      </c>
      <c r="H4439">
        <f>_xlfn.XLOOKUP($A4439,Load!$B:$B,Load!I:I,0,)</f>
        <v>0</v>
      </c>
      <c r="I4439">
        <f>_xlfn.XLOOKUP($A4439,Load!$B:$B,Load!J:J,0,)</f>
        <v>0</v>
      </c>
      <c r="J4439">
        <f>_xlfn.XLOOKUP($A4439,Load!$B:$B,Load!K:K,0,)</f>
        <v>0</v>
      </c>
      <c r="K4439">
        <f>_xlfn.XLOOKUP($A4439,Load!$B:$B,Load!L:L,0,)</f>
        <v>0</v>
      </c>
      <c r="L4439">
        <f>_xlfn.XLOOKUP($A4439,Load!$B:$B,Load!M:M,0,)</f>
        <v>0</v>
      </c>
    </row>
    <row r="4440" spans="1:12" x14ac:dyDescent="0.25">
      <c r="B4440">
        <f>_xlfn.XLOOKUP($A4440,Load!$B:$B,Load!C:C,0,)</f>
        <v>0</v>
      </c>
      <c r="C4440">
        <f>_xlfn.XLOOKUP($A4440,Load!$B:$B,Load!D:D,0,)</f>
        <v>0</v>
      </c>
      <c r="D4440">
        <f>_xlfn.XLOOKUP($A4440,Load!$B:$B,Load!E:E,0,)</f>
        <v>0</v>
      </c>
      <c r="E4440">
        <f>_xlfn.XLOOKUP($A4440,Load!$B:$B,Load!F:F,0,)</f>
        <v>0</v>
      </c>
      <c r="F4440">
        <f>_xlfn.XLOOKUP($A4440,Load!$B:$B,Load!G:G,0,)</f>
        <v>0</v>
      </c>
      <c r="G4440">
        <f>_xlfn.XLOOKUP($A4440,Load!$B:$B,Load!H:H,0,)</f>
        <v>0</v>
      </c>
      <c r="H4440">
        <f>_xlfn.XLOOKUP($A4440,Load!$B:$B,Load!I:I,0,)</f>
        <v>0</v>
      </c>
      <c r="I4440">
        <f>_xlfn.XLOOKUP($A4440,Load!$B:$B,Load!J:J,0,)</f>
        <v>0</v>
      </c>
      <c r="J4440">
        <f>_xlfn.XLOOKUP($A4440,Load!$B:$B,Load!K:K,0,)</f>
        <v>0</v>
      </c>
      <c r="K4440">
        <f>_xlfn.XLOOKUP($A4440,Load!$B:$B,Load!L:L,0,)</f>
        <v>0</v>
      </c>
      <c r="L4440">
        <f>_xlfn.XLOOKUP($A4440,Load!$B:$B,Load!M:M,0,)</f>
        <v>0</v>
      </c>
    </row>
    <row r="4441" spans="1:12" x14ac:dyDescent="0.25">
      <c r="B4441">
        <f>_xlfn.XLOOKUP($A4441,Load!$B:$B,Load!C:C,0,)</f>
        <v>0</v>
      </c>
      <c r="C4441">
        <f>_xlfn.XLOOKUP($A4441,Load!$B:$B,Load!D:D,0,)</f>
        <v>0</v>
      </c>
      <c r="D4441">
        <f>_xlfn.XLOOKUP($A4441,Load!$B:$B,Load!E:E,0,)</f>
        <v>0</v>
      </c>
      <c r="E4441">
        <f>_xlfn.XLOOKUP($A4441,Load!$B:$B,Load!F:F,0,)</f>
        <v>0</v>
      </c>
      <c r="F4441">
        <f>_xlfn.XLOOKUP($A4441,Load!$B:$B,Load!G:G,0,)</f>
        <v>0</v>
      </c>
      <c r="G4441">
        <f>_xlfn.XLOOKUP($A4441,Load!$B:$B,Load!H:H,0,)</f>
        <v>0</v>
      </c>
      <c r="H4441">
        <f>_xlfn.XLOOKUP($A4441,Load!$B:$B,Load!I:I,0,)</f>
        <v>0</v>
      </c>
      <c r="I4441">
        <f>_xlfn.XLOOKUP($A4441,Load!$B:$B,Load!J:J,0,)</f>
        <v>0</v>
      </c>
      <c r="J4441">
        <f>_xlfn.XLOOKUP($A4441,Load!$B:$B,Load!K:K,0,)</f>
        <v>0</v>
      </c>
      <c r="K4441">
        <f>_xlfn.XLOOKUP($A4441,Load!$B:$B,Load!L:L,0,)</f>
        <v>0</v>
      </c>
      <c r="L4441">
        <f>_xlfn.XLOOKUP($A4441,Load!$B:$B,Load!M:M,0,)</f>
        <v>0</v>
      </c>
    </row>
    <row r="4442" spans="1:12" x14ac:dyDescent="0.25">
      <c r="A4442" t="s">
        <v>90</v>
      </c>
      <c r="B4442" t="str">
        <f>_xlfn.XLOOKUP($A4442,Load!$B:$B,Load!C:C,0,)</f>
        <v>Ferrara Variety Pack</v>
      </c>
      <c r="C4442" t="str">
        <f>_xlfn.XLOOKUP($A4442,Load!$B:$B,Load!D:D,0,)</f>
        <v>Non-Chocolate Candy Only</v>
      </c>
      <c r="D4442" t="str">
        <f>_xlfn.XLOOKUP($A4442,Load!$B:$B,Load!E:E,0,)</f>
        <v>Variety / Mixed Flavors (Fruity, Sour, Seasonal Flavors)</v>
      </c>
      <c r="E4442" t="str">
        <f>_xlfn.XLOOKUP($A4442,Load!$B:$B,Load!F:F,0,)</f>
        <v>Mixed / Combo Packs (Gummy, Chewy, Taffy, etc.)</v>
      </c>
      <c r="F4442" t="str">
        <f>_xlfn.XLOOKUP($A4442,Load!$B:$B,Load!G:G,0,)</f>
        <v>Large Multipack (More than 80 ct)</v>
      </c>
      <c r="G4442" t="str">
        <f>_xlfn.XLOOKUP($A4442,Load!$B:$B,Load!H:H,0,)</f>
        <v>Stand-Up Bag</v>
      </c>
      <c r="H4442" t="str">
        <f>_xlfn.XLOOKUP($A4442,Load!$B:$B,Load!I:I,0,)</f>
        <v>Everyday Candy Shapes (like Original, Gummy bear, Fruit, Jewels, etc.)</v>
      </c>
      <c r="I4442" t="str">
        <f>_xlfn.XLOOKUP($A4442,Load!$B:$B,Load!J:J,0,)</f>
        <v>Seasonal Graphics (Like Bat, Ghost, Pumpkin, Fall Leaves, Eyeballs, etc.)</v>
      </c>
      <c r="J4442" t="str">
        <f>_xlfn.XLOOKUP($A4442,Load!$B:$B,Load!K:K,0,)</f>
        <v xml:space="preserve">Variety Candy Sizes </v>
      </c>
      <c r="K4442" t="str">
        <f>_xlfn.XLOOKUP($A4442,Load!$B:$B,Load!L:L,0,)</f>
        <v>Regular/Original Wrapping</v>
      </c>
      <c r="L4442" t="str">
        <f>_xlfn.XLOOKUP($A4442,Load!$B:$B,Load!M:M,0,)</f>
        <v>Multiple Brands / Variety Flavors or Form</v>
      </c>
    </row>
    <row r="4443" spans="1:12" x14ac:dyDescent="0.25">
      <c r="B4443">
        <f>_xlfn.XLOOKUP($A4443,Load!$B:$B,Load!C:C,0,)</f>
        <v>0</v>
      </c>
      <c r="C4443">
        <f>_xlfn.XLOOKUP($A4443,Load!$B:$B,Load!D:D,0,)</f>
        <v>0</v>
      </c>
      <c r="D4443">
        <f>_xlfn.XLOOKUP($A4443,Load!$B:$B,Load!E:E,0,)</f>
        <v>0</v>
      </c>
      <c r="E4443">
        <f>_xlfn.XLOOKUP($A4443,Load!$B:$B,Load!F:F,0,)</f>
        <v>0</v>
      </c>
      <c r="F4443">
        <f>_xlfn.XLOOKUP($A4443,Load!$B:$B,Load!G:G,0,)</f>
        <v>0</v>
      </c>
      <c r="G4443">
        <f>_xlfn.XLOOKUP($A4443,Load!$B:$B,Load!H:H,0,)</f>
        <v>0</v>
      </c>
      <c r="H4443">
        <f>_xlfn.XLOOKUP($A4443,Load!$B:$B,Load!I:I,0,)</f>
        <v>0</v>
      </c>
      <c r="I4443">
        <f>_xlfn.XLOOKUP($A4443,Load!$B:$B,Load!J:J,0,)</f>
        <v>0</v>
      </c>
      <c r="J4443">
        <f>_xlfn.XLOOKUP($A4443,Load!$B:$B,Load!K:K,0,)</f>
        <v>0</v>
      </c>
      <c r="K4443">
        <f>_xlfn.XLOOKUP($A4443,Load!$B:$B,Load!L:L,0,)</f>
        <v>0</v>
      </c>
      <c r="L4443">
        <f>_xlfn.XLOOKUP($A4443,Load!$B:$B,Load!M:M,0,)</f>
        <v>0</v>
      </c>
    </row>
    <row r="4444" spans="1:12" x14ac:dyDescent="0.25">
      <c r="A4444" t="s">
        <v>202</v>
      </c>
      <c r="B4444" t="str">
        <f>_xlfn.XLOOKUP($A4444,Load!$B:$B,Load!C:C,0,)</f>
        <v>Mars Variety Pack</v>
      </c>
      <c r="C4444" t="str">
        <f>_xlfn.XLOOKUP($A4444,Load!$B:$B,Load!D:D,0,)</f>
        <v>Mix of Chocolate and Non-Chocolate Candy</v>
      </c>
      <c r="D4444" t="str">
        <f>_xlfn.XLOOKUP($A4444,Load!$B:$B,Load!E:E,0,)</f>
        <v>Variety / Mixed Flavors (Fruity, Sour, Seasonal Flavors)</v>
      </c>
      <c r="E4444" t="str">
        <f>_xlfn.XLOOKUP($A4444,Load!$B:$B,Load!F:F,0,)</f>
        <v>Mixed / Combo Packs (Gummy, Chewy, Taffy, etc.)</v>
      </c>
      <c r="F4444" t="str">
        <f>_xlfn.XLOOKUP($A4444,Load!$B:$B,Load!G:G,0,)</f>
        <v>Large Multipack (More than 80 ct)</v>
      </c>
      <c r="G4444" t="str">
        <f>_xlfn.XLOOKUP($A4444,Load!$B:$B,Load!H:H,0,)</f>
        <v>Stand-Up Bag</v>
      </c>
      <c r="H4444" t="str">
        <f>_xlfn.XLOOKUP($A4444,Load!$B:$B,Load!I:I,0,)</f>
        <v>Everyday Candy Shapes (like Original, Gummy bear, Fruit, Jewels, etc.)</v>
      </c>
      <c r="I4444" t="str">
        <f>_xlfn.XLOOKUP($A4444,Load!$B:$B,Load!J:J,0,)</f>
        <v>Everyday Graphics</v>
      </c>
      <c r="J4444" t="str">
        <f>_xlfn.XLOOKUP($A4444,Load!$B:$B,Load!K:K,0,)</f>
        <v>Fun Size / Treat Size</v>
      </c>
      <c r="K4444" t="str">
        <f>_xlfn.XLOOKUP($A4444,Load!$B:$B,Load!L:L,0,)</f>
        <v>Regular/Original Wrapping</v>
      </c>
      <c r="L4444" t="str">
        <f>_xlfn.XLOOKUP($A4444,Load!$B:$B,Load!M:M,0,)</f>
        <v>Multiple Brands / Variety Flavors or Form</v>
      </c>
    </row>
    <row r="4445" spans="1:12" x14ac:dyDescent="0.25">
      <c r="B4445">
        <f>_xlfn.XLOOKUP($A4445,Load!$B:$B,Load!C:C,0,)</f>
        <v>0</v>
      </c>
      <c r="C4445">
        <f>_xlfn.XLOOKUP($A4445,Load!$B:$B,Load!D:D,0,)</f>
        <v>0</v>
      </c>
      <c r="D4445">
        <f>_xlfn.XLOOKUP($A4445,Load!$B:$B,Load!E:E,0,)</f>
        <v>0</v>
      </c>
      <c r="E4445">
        <f>_xlfn.XLOOKUP($A4445,Load!$B:$B,Load!F:F,0,)</f>
        <v>0</v>
      </c>
      <c r="F4445">
        <f>_xlfn.XLOOKUP($A4445,Load!$B:$B,Load!G:G,0,)</f>
        <v>0</v>
      </c>
      <c r="G4445">
        <f>_xlfn.XLOOKUP($A4445,Load!$B:$B,Load!H:H,0,)</f>
        <v>0</v>
      </c>
      <c r="H4445">
        <f>_xlfn.XLOOKUP($A4445,Load!$B:$B,Load!I:I,0,)</f>
        <v>0</v>
      </c>
      <c r="I4445">
        <f>_xlfn.XLOOKUP($A4445,Load!$B:$B,Load!J:J,0,)</f>
        <v>0</v>
      </c>
      <c r="J4445">
        <f>_xlfn.XLOOKUP($A4445,Load!$B:$B,Load!K:K,0,)</f>
        <v>0</v>
      </c>
      <c r="K4445">
        <f>_xlfn.XLOOKUP($A4445,Load!$B:$B,Load!L:L,0,)</f>
        <v>0</v>
      </c>
      <c r="L4445">
        <f>_xlfn.XLOOKUP($A4445,Load!$B:$B,Load!M:M,0,)</f>
        <v>0</v>
      </c>
    </row>
    <row r="4446" spans="1:12" x14ac:dyDescent="0.25">
      <c r="B4446">
        <f>_xlfn.XLOOKUP($A4446,Load!$B:$B,Load!C:C,0,)</f>
        <v>0</v>
      </c>
      <c r="C4446">
        <f>_xlfn.XLOOKUP($A4446,Load!$B:$B,Load!D:D,0,)</f>
        <v>0</v>
      </c>
      <c r="D4446">
        <f>_xlfn.XLOOKUP($A4446,Load!$B:$B,Load!E:E,0,)</f>
        <v>0</v>
      </c>
      <c r="E4446">
        <f>_xlfn.XLOOKUP($A4446,Load!$B:$B,Load!F:F,0,)</f>
        <v>0</v>
      </c>
      <c r="F4446">
        <f>_xlfn.XLOOKUP($A4446,Load!$B:$B,Load!G:G,0,)</f>
        <v>0</v>
      </c>
      <c r="G4446">
        <f>_xlfn.XLOOKUP($A4446,Load!$B:$B,Load!H:H,0,)</f>
        <v>0</v>
      </c>
      <c r="H4446">
        <f>_xlfn.XLOOKUP($A4446,Load!$B:$B,Load!I:I,0,)</f>
        <v>0</v>
      </c>
      <c r="I4446">
        <f>_xlfn.XLOOKUP($A4446,Load!$B:$B,Load!J:J,0,)</f>
        <v>0</v>
      </c>
      <c r="J4446">
        <f>_xlfn.XLOOKUP($A4446,Load!$B:$B,Load!K:K,0,)</f>
        <v>0</v>
      </c>
      <c r="K4446">
        <f>_xlfn.XLOOKUP($A4446,Load!$B:$B,Load!L:L,0,)</f>
        <v>0</v>
      </c>
      <c r="L4446">
        <f>_xlfn.XLOOKUP($A4446,Load!$B:$B,Load!M:M,0,)</f>
        <v>0</v>
      </c>
    </row>
    <row r="4447" spans="1:12" x14ac:dyDescent="0.25">
      <c r="B4447">
        <f>_xlfn.XLOOKUP($A4447,Load!$B:$B,Load!C:C,0,)</f>
        <v>0</v>
      </c>
      <c r="C4447">
        <f>_xlfn.XLOOKUP($A4447,Load!$B:$B,Load!D:D,0,)</f>
        <v>0</v>
      </c>
      <c r="D4447">
        <f>_xlfn.XLOOKUP($A4447,Load!$B:$B,Load!E:E,0,)</f>
        <v>0</v>
      </c>
      <c r="E4447">
        <f>_xlfn.XLOOKUP($A4447,Load!$B:$B,Load!F:F,0,)</f>
        <v>0</v>
      </c>
      <c r="F4447">
        <f>_xlfn.XLOOKUP($A4447,Load!$B:$B,Load!G:G,0,)</f>
        <v>0</v>
      </c>
      <c r="G4447">
        <f>_xlfn.XLOOKUP($A4447,Load!$B:$B,Load!H:H,0,)</f>
        <v>0</v>
      </c>
      <c r="H4447">
        <f>_xlfn.XLOOKUP($A4447,Load!$B:$B,Load!I:I,0,)</f>
        <v>0</v>
      </c>
      <c r="I4447">
        <f>_xlfn.XLOOKUP($A4447,Load!$B:$B,Load!J:J,0,)</f>
        <v>0</v>
      </c>
      <c r="J4447">
        <f>_xlfn.XLOOKUP($A4447,Load!$B:$B,Load!K:K,0,)</f>
        <v>0</v>
      </c>
      <c r="K4447">
        <f>_xlfn.XLOOKUP($A4447,Load!$B:$B,Load!L:L,0,)</f>
        <v>0</v>
      </c>
      <c r="L4447">
        <f>_xlfn.XLOOKUP($A4447,Load!$B:$B,Load!M:M,0,)</f>
        <v>0</v>
      </c>
    </row>
    <row r="4448" spans="1:12" x14ac:dyDescent="0.25">
      <c r="A4448" t="s">
        <v>124</v>
      </c>
      <c r="B4448" t="str">
        <f>_xlfn.XLOOKUP($A4448,Load!$B:$B,Load!C:C,0,)</f>
        <v>HARIBO</v>
      </c>
      <c r="C4448" t="str">
        <f>_xlfn.XLOOKUP($A4448,Load!$B:$B,Load!D:D,0,)</f>
        <v>Non-Chocolate Candy Only</v>
      </c>
      <c r="D4448" t="str">
        <f>_xlfn.XLOOKUP($A4448,Load!$B:$B,Load!E:E,0,)</f>
        <v>Fruit Flavor (Cherry, Grape, Apple, Citrus, Tropical Fruit)</v>
      </c>
      <c r="E4448" t="str">
        <f>_xlfn.XLOOKUP($A4448,Load!$B:$B,Load!F:F,0,)</f>
        <v>Gummy</v>
      </c>
      <c r="F4448" t="str">
        <f>_xlfn.XLOOKUP($A4448,Load!$B:$B,Load!G:G,0,)</f>
        <v>Small Multipack (Less than 40 ct)</v>
      </c>
      <c r="G4448" t="str">
        <f>_xlfn.XLOOKUP($A4448,Load!$B:$B,Load!H:H,0,)</f>
        <v>Laydown Bag</v>
      </c>
      <c r="H4448" t="str">
        <f>_xlfn.XLOOKUP($A4448,Load!$B:$B,Load!I:I,0,)</f>
        <v>Everyday Candy Shapes (like Original, Gummy bear, Fruit, Jewels, etc.)</v>
      </c>
      <c r="I4448" t="str">
        <f>_xlfn.XLOOKUP($A4448,Load!$B:$B,Load!J:J,0,)</f>
        <v>Everyday Graphics</v>
      </c>
      <c r="J4448" t="str">
        <f>_xlfn.XLOOKUP($A4448,Load!$B:$B,Load!K:K,0,)</f>
        <v>Small Pieces (Tiny bite size candies)</v>
      </c>
      <c r="K4448" t="str">
        <f>_xlfn.XLOOKUP($A4448,Load!$B:$B,Load!L:L,0,)</f>
        <v>Regular/Original Wrapping</v>
      </c>
      <c r="L4448" t="str">
        <f>_xlfn.XLOOKUP($A4448,Load!$B:$B,Load!M:M,0,)</f>
        <v>Single Brand / Variety Flavors or Form</v>
      </c>
    </row>
    <row r="4449" spans="1:12" x14ac:dyDescent="0.25">
      <c r="B4449">
        <f>_xlfn.XLOOKUP($A4449,Load!$B:$B,Load!C:C,0,)</f>
        <v>0</v>
      </c>
      <c r="C4449">
        <f>_xlfn.XLOOKUP($A4449,Load!$B:$B,Load!D:D,0,)</f>
        <v>0</v>
      </c>
      <c r="D4449">
        <f>_xlfn.XLOOKUP($A4449,Load!$B:$B,Load!E:E,0,)</f>
        <v>0</v>
      </c>
      <c r="E4449">
        <f>_xlfn.XLOOKUP($A4449,Load!$B:$B,Load!F:F,0,)</f>
        <v>0</v>
      </c>
      <c r="F4449">
        <f>_xlfn.XLOOKUP($A4449,Load!$B:$B,Load!G:G,0,)</f>
        <v>0</v>
      </c>
      <c r="G4449">
        <f>_xlfn.XLOOKUP($A4449,Load!$B:$B,Load!H:H,0,)</f>
        <v>0</v>
      </c>
      <c r="H4449">
        <f>_xlfn.XLOOKUP($A4449,Load!$B:$B,Load!I:I,0,)</f>
        <v>0</v>
      </c>
      <c r="I4449">
        <f>_xlfn.XLOOKUP($A4449,Load!$B:$B,Load!J:J,0,)</f>
        <v>0</v>
      </c>
      <c r="J4449">
        <f>_xlfn.XLOOKUP($A4449,Load!$B:$B,Load!K:K,0,)</f>
        <v>0</v>
      </c>
      <c r="K4449">
        <f>_xlfn.XLOOKUP($A4449,Load!$B:$B,Load!L:L,0,)</f>
        <v>0</v>
      </c>
      <c r="L4449">
        <f>_xlfn.XLOOKUP($A4449,Load!$B:$B,Load!M:M,0,)</f>
        <v>0</v>
      </c>
    </row>
    <row r="4450" spans="1:12" x14ac:dyDescent="0.25">
      <c r="B4450">
        <f>_xlfn.XLOOKUP($A4450,Load!$B:$B,Load!C:C,0,)</f>
        <v>0</v>
      </c>
      <c r="C4450">
        <f>_xlfn.XLOOKUP($A4450,Load!$B:$B,Load!D:D,0,)</f>
        <v>0</v>
      </c>
      <c r="D4450">
        <f>_xlfn.XLOOKUP($A4450,Load!$B:$B,Load!E:E,0,)</f>
        <v>0</v>
      </c>
      <c r="E4450">
        <f>_xlfn.XLOOKUP($A4450,Load!$B:$B,Load!F:F,0,)</f>
        <v>0</v>
      </c>
      <c r="F4450">
        <f>_xlfn.XLOOKUP($A4450,Load!$B:$B,Load!G:G,0,)</f>
        <v>0</v>
      </c>
      <c r="G4450">
        <f>_xlfn.XLOOKUP($A4450,Load!$B:$B,Load!H:H,0,)</f>
        <v>0</v>
      </c>
      <c r="H4450">
        <f>_xlfn.XLOOKUP($A4450,Load!$B:$B,Load!I:I,0,)</f>
        <v>0</v>
      </c>
      <c r="I4450">
        <f>_xlfn.XLOOKUP($A4450,Load!$B:$B,Load!J:J,0,)</f>
        <v>0</v>
      </c>
      <c r="J4450">
        <f>_xlfn.XLOOKUP($A4450,Load!$B:$B,Load!K:K,0,)</f>
        <v>0</v>
      </c>
      <c r="K4450">
        <f>_xlfn.XLOOKUP($A4450,Load!$B:$B,Load!L:L,0,)</f>
        <v>0</v>
      </c>
      <c r="L4450">
        <f>_xlfn.XLOOKUP($A4450,Load!$B:$B,Load!M:M,0,)</f>
        <v>0</v>
      </c>
    </row>
    <row r="4451" spans="1:12" x14ac:dyDescent="0.25">
      <c r="B4451">
        <f>_xlfn.XLOOKUP($A4451,Load!$B:$B,Load!C:C,0,)</f>
        <v>0</v>
      </c>
      <c r="C4451">
        <f>_xlfn.XLOOKUP($A4451,Load!$B:$B,Load!D:D,0,)</f>
        <v>0</v>
      </c>
      <c r="D4451">
        <f>_xlfn.XLOOKUP($A4451,Load!$B:$B,Load!E:E,0,)</f>
        <v>0</v>
      </c>
      <c r="E4451">
        <f>_xlfn.XLOOKUP($A4451,Load!$B:$B,Load!F:F,0,)</f>
        <v>0</v>
      </c>
      <c r="F4451">
        <f>_xlfn.XLOOKUP($A4451,Load!$B:$B,Load!G:G,0,)</f>
        <v>0</v>
      </c>
      <c r="G4451">
        <f>_xlfn.XLOOKUP($A4451,Load!$B:$B,Load!H:H,0,)</f>
        <v>0</v>
      </c>
      <c r="H4451">
        <f>_xlfn.XLOOKUP($A4451,Load!$B:$B,Load!I:I,0,)</f>
        <v>0</v>
      </c>
      <c r="I4451">
        <f>_xlfn.XLOOKUP($A4451,Load!$B:$B,Load!J:J,0,)</f>
        <v>0</v>
      </c>
      <c r="J4451">
        <f>_xlfn.XLOOKUP($A4451,Load!$B:$B,Load!K:K,0,)</f>
        <v>0</v>
      </c>
      <c r="K4451">
        <f>_xlfn.XLOOKUP($A4451,Load!$B:$B,Load!L:L,0,)</f>
        <v>0</v>
      </c>
      <c r="L4451">
        <f>_xlfn.XLOOKUP($A4451,Load!$B:$B,Load!M:M,0,)</f>
        <v>0</v>
      </c>
    </row>
    <row r="4452" spans="1:12" x14ac:dyDescent="0.25">
      <c r="A4452" t="s">
        <v>184</v>
      </c>
      <c r="B4452" t="str">
        <f>_xlfn.XLOOKUP($A4452,Load!$B:$B,Load!C:C,0,)</f>
        <v>Mars Variety Pack</v>
      </c>
      <c r="C4452" t="str">
        <f>_xlfn.XLOOKUP($A4452,Load!$B:$B,Load!D:D,0,)</f>
        <v>Mix of Chocolate and Non-Chocolate Candy</v>
      </c>
      <c r="D4452" t="str">
        <f>_xlfn.XLOOKUP($A4452,Load!$B:$B,Load!E:E,0,)</f>
        <v>Variety / Mixed Flavors (Fruity, Sour, Seasonal Flavors)</v>
      </c>
      <c r="E4452" t="str">
        <f>_xlfn.XLOOKUP($A4452,Load!$B:$B,Load!F:F,0,)</f>
        <v>Mixed / Combo Packs (Gummy, Chewy, Taffy, etc.)</v>
      </c>
      <c r="F4452" t="str">
        <f>_xlfn.XLOOKUP($A4452,Load!$B:$B,Load!G:G,0,)</f>
        <v>Large Multipack (More than 80 ct)</v>
      </c>
      <c r="G4452" t="str">
        <f>_xlfn.XLOOKUP($A4452,Load!$B:$B,Load!H:H,0,)</f>
        <v>Stand-Up Bag</v>
      </c>
      <c r="H4452" t="str">
        <f>_xlfn.XLOOKUP($A4452,Load!$B:$B,Load!I:I,0,)</f>
        <v>Everyday Candy Shapes (like Original, Gummy bear, Fruit, Jewels, etc.)</v>
      </c>
      <c r="I4452" t="str">
        <f>_xlfn.XLOOKUP($A4452,Load!$B:$B,Load!J:J,0,)</f>
        <v>Seasonal Graphics (Like Bat, Ghost, Pumpkin, Fall Leaves, Eyeballs, etc.)</v>
      </c>
      <c r="J4452" t="str">
        <f>_xlfn.XLOOKUP($A4452,Load!$B:$B,Load!K:K,0,)</f>
        <v>Fun Size / Treat Size</v>
      </c>
      <c r="K4452" t="str">
        <f>_xlfn.XLOOKUP($A4452,Load!$B:$B,Load!L:L,0,)</f>
        <v>Regular/Original Wrapping</v>
      </c>
      <c r="L4452" t="str">
        <f>_xlfn.XLOOKUP($A4452,Load!$B:$B,Load!M:M,0,)</f>
        <v>Multiple Brands / Variety Flavors or Form</v>
      </c>
    </row>
    <row r="4453" spans="1:12" x14ac:dyDescent="0.25">
      <c r="A4453" t="s">
        <v>181</v>
      </c>
      <c r="B4453" t="str">
        <f>_xlfn.XLOOKUP($A4453,Load!$B:$B,Load!C:C,0,)</f>
        <v>Mars Variety Pack</v>
      </c>
      <c r="C4453" t="str">
        <f>_xlfn.XLOOKUP($A4453,Load!$B:$B,Load!D:D,0,)</f>
        <v>Mix of Chocolate and Non-Chocolate Candy</v>
      </c>
      <c r="D4453" t="str">
        <f>_xlfn.XLOOKUP($A4453,Load!$B:$B,Load!E:E,0,)</f>
        <v>Variety / Mixed Flavors (Fruity, Sour, Seasonal Flavors)</v>
      </c>
      <c r="E4453" t="str">
        <f>_xlfn.XLOOKUP($A4453,Load!$B:$B,Load!F:F,0,)</f>
        <v>Mixed / Combo Packs (Gummy, Chewy, Taffy, etc.)</v>
      </c>
      <c r="F4453" t="str">
        <f>_xlfn.XLOOKUP($A4453,Load!$B:$B,Load!G:G,0,)</f>
        <v>Large Multipack (More than 80 ct)</v>
      </c>
      <c r="G4453" t="str">
        <f>_xlfn.XLOOKUP($A4453,Load!$B:$B,Load!H:H,0,)</f>
        <v>Stand-Up Bag</v>
      </c>
      <c r="H4453" t="str">
        <f>_xlfn.XLOOKUP($A4453,Load!$B:$B,Load!I:I,0,)</f>
        <v>Everyday Candy Shapes (like Original, Gummy bear, Fruit, Jewels, etc.)</v>
      </c>
      <c r="I4453" t="str">
        <f>_xlfn.XLOOKUP($A4453,Load!$B:$B,Load!J:J,0,)</f>
        <v>Seasonal Graphics (Like Bat, Ghost, Pumpkin, Fall Leaves, Eyeballs, etc.)</v>
      </c>
      <c r="J4453" t="str">
        <f>_xlfn.XLOOKUP($A4453,Load!$B:$B,Load!K:K,0,)</f>
        <v>Fun Size / Treat Size</v>
      </c>
      <c r="K4453" t="str">
        <f>_xlfn.XLOOKUP($A4453,Load!$B:$B,Load!L:L,0,)</f>
        <v>Regular/Original Wrapping</v>
      </c>
      <c r="L4453" t="str">
        <f>_xlfn.XLOOKUP($A4453,Load!$B:$B,Load!M:M,0,)</f>
        <v>Multiple Brands / Variety Flavors or Form</v>
      </c>
    </row>
    <row r="4454" spans="1:12" x14ac:dyDescent="0.25">
      <c r="A4454" t="s">
        <v>82</v>
      </c>
      <c r="B4454" t="str">
        <f>_xlfn.XLOOKUP($A4454,Load!$B:$B,Load!C:C,0,)</f>
        <v>Ferrara Variety Pack</v>
      </c>
      <c r="C4454" t="str">
        <f>_xlfn.XLOOKUP($A4454,Load!$B:$B,Load!D:D,0,)</f>
        <v>Non-Chocolate Candy Only</v>
      </c>
      <c r="D4454" t="str">
        <f>_xlfn.XLOOKUP($A4454,Load!$B:$B,Load!E:E,0,)</f>
        <v>Variety / Mixed Flavors (Fruity, Sour, Seasonal Flavors)</v>
      </c>
      <c r="E4454" t="str">
        <f>_xlfn.XLOOKUP($A4454,Load!$B:$B,Load!F:F,0,)</f>
        <v>Mixed / Combo Packs (Gummy, Chewy, Taffy, etc.)</v>
      </c>
      <c r="F4454" t="str">
        <f>_xlfn.XLOOKUP($A4454,Load!$B:$B,Load!G:G,0,)</f>
        <v>Large Multipack (More than 80 ct)</v>
      </c>
      <c r="G4454" t="str">
        <f>_xlfn.XLOOKUP($A4454,Load!$B:$B,Load!H:H,0,)</f>
        <v>Stand-Up Bag</v>
      </c>
      <c r="H4454" t="str">
        <f>_xlfn.XLOOKUP($A4454,Load!$B:$B,Load!I:I,0,)</f>
        <v>Everyday Candy Shapes (like Original, Gummy bear, Fruit, Jewels, etc.)</v>
      </c>
      <c r="I4454" t="str">
        <f>_xlfn.XLOOKUP($A4454,Load!$B:$B,Load!J:J,0,)</f>
        <v>Seasonal Graphics (Like Bat, Ghost, Pumpkin, Fall Leaves, Eyeballs, etc.)</v>
      </c>
      <c r="J4454" t="str">
        <f>_xlfn.XLOOKUP($A4454,Load!$B:$B,Load!K:K,0,)</f>
        <v xml:space="preserve">Variety Candy Sizes </v>
      </c>
      <c r="K4454" t="str">
        <f>_xlfn.XLOOKUP($A4454,Load!$B:$B,Load!L:L,0,)</f>
        <v>Regular/Original Wrapping</v>
      </c>
      <c r="L4454" t="str">
        <f>_xlfn.XLOOKUP($A4454,Load!$B:$B,Load!M:M,0,)</f>
        <v>Multiple Brands / Variety Flavors or Form</v>
      </c>
    </row>
    <row r="4455" spans="1:12" x14ac:dyDescent="0.25">
      <c r="B4455">
        <f>_xlfn.XLOOKUP($A4455,Load!$B:$B,Load!C:C,0,)</f>
        <v>0</v>
      </c>
      <c r="C4455">
        <f>_xlfn.XLOOKUP($A4455,Load!$B:$B,Load!D:D,0,)</f>
        <v>0</v>
      </c>
      <c r="D4455">
        <f>_xlfn.XLOOKUP($A4455,Load!$B:$B,Load!E:E,0,)</f>
        <v>0</v>
      </c>
      <c r="E4455">
        <f>_xlfn.XLOOKUP($A4455,Load!$B:$B,Load!F:F,0,)</f>
        <v>0</v>
      </c>
      <c r="F4455">
        <f>_xlfn.XLOOKUP($A4455,Load!$B:$B,Load!G:G,0,)</f>
        <v>0</v>
      </c>
      <c r="G4455">
        <f>_xlfn.XLOOKUP($A4455,Load!$B:$B,Load!H:H,0,)</f>
        <v>0</v>
      </c>
      <c r="H4455">
        <f>_xlfn.XLOOKUP($A4455,Load!$B:$B,Load!I:I,0,)</f>
        <v>0</v>
      </c>
      <c r="I4455">
        <f>_xlfn.XLOOKUP($A4455,Load!$B:$B,Load!J:J,0,)</f>
        <v>0</v>
      </c>
      <c r="J4455">
        <f>_xlfn.XLOOKUP($A4455,Load!$B:$B,Load!K:K,0,)</f>
        <v>0</v>
      </c>
      <c r="K4455">
        <f>_xlfn.XLOOKUP($A4455,Load!$B:$B,Load!L:L,0,)</f>
        <v>0</v>
      </c>
      <c r="L4455">
        <f>_xlfn.XLOOKUP($A4455,Load!$B:$B,Load!M:M,0,)</f>
        <v>0</v>
      </c>
    </row>
    <row r="4456" spans="1:12" x14ac:dyDescent="0.25">
      <c r="B4456">
        <f>_xlfn.XLOOKUP($A4456,Load!$B:$B,Load!C:C,0,)</f>
        <v>0</v>
      </c>
      <c r="C4456">
        <f>_xlfn.XLOOKUP($A4456,Load!$B:$B,Load!D:D,0,)</f>
        <v>0</v>
      </c>
      <c r="D4456">
        <f>_xlfn.XLOOKUP($A4456,Load!$B:$B,Load!E:E,0,)</f>
        <v>0</v>
      </c>
      <c r="E4456">
        <f>_xlfn.XLOOKUP($A4456,Load!$B:$B,Load!F:F,0,)</f>
        <v>0</v>
      </c>
      <c r="F4456">
        <f>_xlfn.XLOOKUP($A4456,Load!$B:$B,Load!G:G,0,)</f>
        <v>0</v>
      </c>
      <c r="G4456">
        <f>_xlfn.XLOOKUP($A4456,Load!$B:$B,Load!H:H,0,)</f>
        <v>0</v>
      </c>
      <c r="H4456">
        <f>_xlfn.XLOOKUP($A4456,Load!$B:$B,Load!I:I,0,)</f>
        <v>0</v>
      </c>
      <c r="I4456">
        <f>_xlfn.XLOOKUP($A4456,Load!$B:$B,Load!J:J,0,)</f>
        <v>0</v>
      </c>
      <c r="J4456">
        <f>_xlfn.XLOOKUP($A4456,Load!$B:$B,Load!K:K,0,)</f>
        <v>0</v>
      </c>
      <c r="K4456">
        <f>_xlfn.XLOOKUP($A4456,Load!$B:$B,Load!L:L,0,)</f>
        <v>0</v>
      </c>
      <c r="L4456">
        <f>_xlfn.XLOOKUP($A4456,Load!$B:$B,Load!M:M,0,)</f>
        <v>0</v>
      </c>
    </row>
    <row r="4457" spans="1:12" x14ac:dyDescent="0.25">
      <c r="B4457">
        <f>_xlfn.XLOOKUP($A4457,Load!$B:$B,Load!C:C,0,)</f>
        <v>0</v>
      </c>
      <c r="C4457">
        <f>_xlfn.XLOOKUP($A4457,Load!$B:$B,Load!D:D,0,)</f>
        <v>0</v>
      </c>
      <c r="D4457">
        <f>_xlfn.XLOOKUP($A4457,Load!$B:$B,Load!E:E,0,)</f>
        <v>0</v>
      </c>
      <c r="E4457">
        <f>_xlfn.XLOOKUP($A4457,Load!$B:$B,Load!F:F,0,)</f>
        <v>0</v>
      </c>
      <c r="F4457">
        <f>_xlfn.XLOOKUP($A4457,Load!$B:$B,Load!G:G,0,)</f>
        <v>0</v>
      </c>
      <c r="G4457">
        <f>_xlfn.XLOOKUP($A4457,Load!$B:$B,Load!H:H,0,)</f>
        <v>0</v>
      </c>
      <c r="H4457">
        <f>_xlfn.XLOOKUP($A4457,Load!$B:$B,Load!I:I,0,)</f>
        <v>0</v>
      </c>
      <c r="I4457">
        <f>_xlfn.XLOOKUP($A4457,Load!$B:$B,Load!J:J,0,)</f>
        <v>0</v>
      </c>
      <c r="J4457">
        <f>_xlfn.XLOOKUP($A4457,Load!$B:$B,Load!K:K,0,)</f>
        <v>0</v>
      </c>
      <c r="K4457">
        <f>_xlfn.XLOOKUP($A4457,Load!$B:$B,Load!L:L,0,)</f>
        <v>0</v>
      </c>
      <c r="L4457">
        <f>_xlfn.XLOOKUP($A4457,Load!$B:$B,Load!M:M,0,)</f>
        <v>0</v>
      </c>
    </row>
    <row r="4458" spans="1:12" x14ac:dyDescent="0.25">
      <c r="A4458" t="s">
        <v>88</v>
      </c>
      <c r="B4458" t="str">
        <f>_xlfn.XLOOKUP($A4458,Load!$B:$B,Load!C:C,0,)</f>
        <v>Ferrara Variety Pack</v>
      </c>
      <c r="C4458" t="str">
        <f>_xlfn.XLOOKUP($A4458,Load!$B:$B,Load!D:D,0,)</f>
        <v>Non-Chocolate Candy Only</v>
      </c>
      <c r="D4458" t="str">
        <f>_xlfn.XLOOKUP($A4458,Load!$B:$B,Load!E:E,0,)</f>
        <v>Variety / Mixed Flavors (Fruity, Sour, Seasonal Flavors)</v>
      </c>
      <c r="E4458" t="str">
        <f>_xlfn.XLOOKUP($A4458,Load!$B:$B,Load!F:F,0,)</f>
        <v>Mixed / Combo Packs (Gummy, Chewy, Taffy, etc.)</v>
      </c>
      <c r="F4458" t="str">
        <f>_xlfn.XLOOKUP($A4458,Load!$B:$B,Load!G:G,0,)</f>
        <v>Small Multipack (Less than 40 ct)</v>
      </c>
      <c r="G4458" t="str">
        <f>_xlfn.XLOOKUP($A4458,Load!$B:$B,Load!H:H,0,)</f>
        <v>Laydown Bag</v>
      </c>
      <c r="H4458" t="str">
        <f>_xlfn.XLOOKUP($A4458,Load!$B:$B,Load!I:I,0,)</f>
        <v>Seasonal Shapes (like pumpkins, candy corn, ghost, bats, etc.)</v>
      </c>
      <c r="I4458" t="str">
        <f>_xlfn.XLOOKUP($A4458,Load!$B:$B,Load!J:J,0,)</f>
        <v>Seasonal Graphics (Like Bat, Ghost, Pumpkin, Fall Leaves, Eyeballs, etc.)</v>
      </c>
      <c r="J4458" t="str">
        <f>_xlfn.XLOOKUP($A4458,Load!$B:$B,Load!K:K,0,)</f>
        <v>Fun Size / Treat Size</v>
      </c>
      <c r="K4458" t="str">
        <f>_xlfn.XLOOKUP($A4458,Load!$B:$B,Load!L:L,0,)</f>
        <v>Regular/Original Wrapping</v>
      </c>
      <c r="L4458" t="str">
        <f>_xlfn.XLOOKUP($A4458,Load!$B:$B,Load!M:M,0,)</f>
        <v>Multiple Brands / Variety Flavors or Form</v>
      </c>
    </row>
    <row r="4459" spans="1:12" x14ac:dyDescent="0.25">
      <c r="A4459" t="s">
        <v>14</v>
      </c>
      <c r="B4459" t="str">
        <f>_xlfn.XLOOKUP($A4459,Load!$B:$B,Load!C:C,0,)</f>
        <v>Airheads</v>
      </c>
      <c r="C4459" t="str">
        <f>_xlfn.XLOOKUP($A4459,Load!$B:$B,Load!D:D,0,)</f>
        <v>Non-Chocolate Candy Only</v>
      </c>
      <c r="D4459" t="str">
        <f>_xlfn.XLOOKUP($A4459,Load!$B:$B,Load!E:E,0,)</f>
        <v>Variety / Mixed Flavors (Fruity, Sour, Seasonal Flavors)</v>
      </c>
      <c r="E4459" t="str">
        <f>_xlfn.XLOOKUP($A4459,Load!$B:$B,Load!F:F,0,)</f>
        <v>Chewy</v>
      </c>
      <c r="F4459" t="str">
        <f>_xlfn.XLOOKUP($A4459,Load!$B:$B,Load!G:G,0,)</f>
        <v>Small Multipack (Less than 40 ct)</v>
      </c>
      <c r="G4459" t="str">
        <f>_xlfn.XLOOKUP($A4459,Load!$B:$B,Load!H:H,0,)</f>
        <v>Stand-Up Bag</v>
      </c>
      <c r="H4459" t="str">
        <f>_xlfn.XLOOKUP($A4459,Load!$B:$B,Load!I:I,0,)</f>
        <v>Everyday Candy Shapes (like Original, Gummy bear, Fruit, Jewels, etc.)</v>
      </c>
      <c r="I4459" t="str">
        <f>_xlfn.XLOOKUP($A4459,Load!$B:$B,Load!J:J,0,)</f>
        <v>Everyday Graphics</v>
      </c>
      <c r="J4459" t="str">
        <f>_xlfn.XLOOKUP($A4459,Load!$B:$B,Load!K:K,0,)</f>
        <v>Fun Size / Treat Size</v>
      </c>
      <c r="K4459" t="str">
        <f>_xlfn.XLOOKUP($A4459,Load!$B:$B,Load!L:L,0,)</f>
        <v>Regular/Original Wrapping</v>
      </c>
      <c r="L4459" t="str">
        <f>_xlfn.XLOOKUP($A4459,Load!$B:$B,Load!M:M,0,)</f>
        <v>Single Brand / Variety Flavors or Form</v>
      </c>
    </row>
    <row r="4460" spans="1:12" x14ac:dyDescent="0.25">
      <c r="B4460">
        <f>_xlfn.XLOOKUP($A4460,Load!$B:$B,Load!C:C,0,)</f>
        <v>0</v>
      </c>
      <c r="C4460">
        <f>_xlfn.XLOOKUP($A4460,Load!$B:$B,Load!D:D,0,)</f>
        <v>0</v>
      </c>
      <c r="D4460">
        <f>_xlfn.XLOOKUP($A4460,Load!$B:$B,Load!E:E,0,)</f>
        <v>0</v>
      </c>
      <c r="E4460">
        <f>_xlfn.XLOOKUP($A4460,Load!$B:$B,Load!F:F,0,)</f>
        <v>0</v>
      </c>
      <c r="F4460">
        <f>_xlfn.XLOOKUP($A4460,Load!$B:$B,Load!G:G,0,)</f>
        <v>0</v>
      </c>
      <c r="G4460">
        <f>_xlfn.XLOOKUP($A4460,Load!$B:$B,Load!H:H,0,)</f>
        <v>0</v>
      </c>
      <c r="H4460">
        <f>_xlfn.XLOOKUP($A4460,Load!$B:$B,Load!I:I,0,)</f>
        <v>0</v>
      </c>
      <c r="I4460">
        <f>_xlfn.XLOOKUP($A4460,Load!$B:$B,Load!J:J,0,)</f>
        <v>0</v>
      </c>
      <c r="J4460">
        <f>_xlfn.XLOOKUP($A4460,Load!$B:$B,Load!K:K,0,)</f>
        <v>0</v>
      </c>
      <c r="K4460">
        <f>_xlfn.XLOOKUP($A4460,Load!$B:$B,Load!L:L,0,)</f>
        <v>0</v>
      </c>
      <c r="L4460">
        <f>_xlfn.XLOOKUP($A4460,Load!$B:$B,Load!M:M,0,)</f>
        <v>0</v>
      </c>
    </row>
    <row r="4461" spans="1:12" x14ac:dyDescent="0.25">
      <c r="B4461">
        <f>_xlfn.XLOOKUP($A4461,Load!$B:$B,Load!C:C,0,)</f>
        <v>0</v>
      </c>
      <c r="C4461">
        <f>_xlfn.XLOOKUP($A4461,Load!$B:$B,Load!D:D,0,)</f>
        <v>0</v>
      </c>
      <c r="D4461">
        <f>_xlfn.XLOOKUP($A4461,Load!$B:$B,Load!E:E,0,)</f>
        <v>0</v>
      </c>
      <c r="E4461">
        <f>_xlfn.XLOOKUP($A4461,Load!$B:$B,Load!F:F,0,)</f>
        <v>0</v>
      </c>
      <c r="F4461">
        <f>_xlfn.XLOOKUP($A4461,Load!$B:$B,Load!G:G,0,)</f>
        <v>0</v>
      </c>
      <c r="G4461">
        <f>_xlfn.XLOOKUP($A4461,Load!$B:$B,Load!H:H,0,)</f>
        <v>0</v>
      </c>
      <c r="H4461">
        <f>_xlfn.XLOOKUP($A4461,Load!$B:$B,Load!I:I,0,)</f>
        <v>0</v>
      </c>
      <c r="I4461">
        <f>_xlfn.XLOOKUP($A4461,Load!$B:$B,Load!J:J,0,)</f>
        <v>0</v>
      </c>
      <c r="J4461">
        <f>_xlfn.XLOOKUP($A4461,Load!$B:$B,Load!K:K,0,)</f>
        <v>0</v>
      </c>
      <c r="K4461">
        <f>_xlfn.XLOOKUP($A4461,Load!$B:$B,Load!L:L,0,)</f>
        <v>0</v>
      </c>
      <c r="L4461">
        <f>_xlfn.XLOOKUP($A4461,Load!$B:$B,Load!M:M,0,)</f>
        <v>0</v>
      </c>
    </row>
    <row r="4462" spans="1:12" x14ac:dyDescent="0.25">
      <c r="B4462">
        <f>_xlfn.XLOOKUP($A4462,Load!$B:$B,Load!C:C,0,)</f>
        <v>0</v>
      </c>
      <c r="C4462">
        <f>_xlfn.XLOOKUP($A4462,Load!$B:$B,Load!D:D,0,)</f>
        <v>0</v>
      </c>
      <c r="D4462">
        <f>_xlfn.XLOOKUP($A4462,Load!$B:$B,Load!E:E,0,)</f>
        <v>0</v>
      </c>
      <c r="E4462">
        <f>_xlfn.XLOOKUP($A4462,Load!$B:$B,Load!F:F,0,)</f>
        <v>0</v>
      </c>
      <c r="F4462">
        <f>_xlfn.XLOOKUP($A4462,Load!$B:$B,Load!G:G,0,)</f>
        <v>0</v>
      </c>
      <c r="G4462">
        <f>_xlfn.XLOOKUP($A4462,Load!$B:$B,Load!H:H,0,)</f>
        <v>0</v>
      </c>
      <c r="H4462">
        <f>_xlfn.XLOOKUP($A4462,Load!$B:$B,Load!I:I,0,)</f>
        <v>0</v>
      </c>
      <c r="I4462">
        <f>_xlfn.XLOOKUP($A4462,Load!$B:$B,Load!J:J,0,)</f>
        <v>0</v>
      </c>
      <c r="J4462">
        <f>_xlfn.XLOOKUP($A4462,Load!$B:$B,Load!K:K,0,)</f>
        <v>0</v>
      </c>
      <c r="K4462">
        <f>_xlfn.XLOOKUP($A4462,Load!$B:$B,Load!L:L,0,)</f>
        <v>0</v>
      </c>
      <c r="L4462">
        <f>_xlfn.XLOOKUP($A4462,Load!$B:$B,Load!M:M,0,)</f>
        <v>0</v>
      </c>
    </row>
    <row r="4463" spans="1:12" x14ac:dyDescent="0.25">
      <c r="B4463">
        <f>_xlfn.XLOOKUP($A4463,Load!$B:$B,Load!C:C,0,)</f>
        <v>0</v>
      </c>
      <c r="C4463">
        <f>_xlfn.XLOOKUP($A4463,Load!$B:$B,Load!D:D,0,)</f>
        <v>0</v>
      </c>
      <c r="D4463">
        <f>_xlfn.XLOOKUP($A4463,Load!$B:$B,Load!E:E,0,)</f>
        <v>0</v>
      </c>
      <c r="E4463">
        <f>_xlfn.XLOOKUP($A4463,Load!$B:$B,Load!F:F,0,)</f>
        <v>0</v>
      </c>
      <c r="F4463">
        <f>_xlfn.XLOOKUP($A4463,Load!$B:$B,Load!G:G,0,)</f>
        <v>0</v>
      </c>
      <c r="G4463">
        <f>_xlfn.XLOOKUP($A4463,Load!$B:$B,Load!H:H,0,)</f>
        <v>0</v>
      </c>
      <c r="H4463">
        <f>_xlfn.XLOOKUP($A4463,Load!$B:$B,Load!I:I,0,)</f>
        <v>0</v>
      </c>
      <c r="I4463">
        <f>_xlfn.XLOOKUP($A4463,Load!$B:$B,Load!J:J,0,)</f>
        <v>0</v>
      </c>
      <c r="J4463">
        <f>_xlfn.XLOOKUP($A4463,Load!$B:$B,Load!K:K,0,)</f>
        <v>0</v>
      </c>
      <c r="K4463">
        <f>_xlfn.XLOOKUP($A4463,Load!$B:$B,Load!L:L,0,)</f>
        <v>0</v>
      </c>
      <c r="L4463">
        <f>_xlfn.XLOOKUP($A4463,Load!$B:$B,Load!M:M,0,)</f>
        <v>0</v>
      </c>
    </row>
    <row r="4464" spans="1:12" x14ac:dyDescent="0.25">
      <c r="A4464" t="s">
        <v>270</v>
      </c>
      <c r="B4464" t="str">
        <f>_xlfn.XLOOKUP($A4464,Load!$B:$B,Load!C:C,0,)</f>
        <v>Sour Patch Kids</v>
      </c>
      <c r="C4464" t="str">
        <f>_xlfn.XLOOKUP($A4464,Load!$B:$B,Load!D:D,0,)</f>
        <v>Non-Chocolate Candy Only</v>
      </c>
      <c r="D4464" t="str">
        <f>_xlfn.XLOOKUP($A4464,Load!$B:$B,Load!E:E,0,)</f>
        <v>Fruit Flavor (Cherry, Grape, Apple, Citrus, Tropical Fruit)</v>
      </c>
      <c r="E4464" t="str">
        <f>_xlfn.XLOOKUP($A4464,Load!$B:$B,Load!F:F,0,)</f>
        <v>Chewy</v>
      </c>
      <c r="F4464" t="str">
        <f>_xlfn.XLOOKUP($A4464,Load!$B:$B,Load!G:G,0,)</f>
        <v>Small Multipack (Less than 40 ct)</v>
      </c>
      <c r="G4464" t="str">
        <f>_xlfn.XLOOKUP($A4464,Load!$B:$B,Load!H:H,0,)</f>
        <v>Box (theatre box, gift box, carton)</v>
      </c>
      <c r="H4464" t="str">
        <f>_xlfn.XLOOKUP($A4464,Load!$B:$B,Load!I:I,0,)</f>
        <v>Everyday Candy Shapes (like Original, Gummy bear, Fruit, Jewels, etc.)</v>
      </c>
      <c r="I4464" t="str">
        <f>_xlfn.XLOOKUP($A4464,Load!$B:$B,Load!J:J,0,)</f>
        <v>Seasonal Graphics (Like Bat, Ghost, Pumpkin, Fall Leaves, Eyeballs, etc.)</v>
      </c>
      <c r="J4464" t="str">
        <f>_xlfn.XLOOKUP($A4464,Load!$B:$B,Load!K:K,0,)</f>
        <v>Small Pieces (Tiny bite size candies)</v>
      </c>
      <c r="K4464" t="str">
        <f>_xlfn.XLOOKUP($A4464,Load!$B:$B,Load!L:L,0,)</f>
        <v>Unwrapped</v>
      </c>
      <c r="L4464" t="str">
        <f>_xlfn.XLOOKUP($A4464,Load!$B:$B,Load!M:M,0,)</f>
        <v>Single Brand / Variety Flavors or Form</v>
      </c>
    </row>
    <row r="4465" spans="1:12" x14ac:dyDescent="0.25">
      <c r="A4465" t="s">
        <v>283</v>
      </c>
      <c r="B4465" t="str">
        <f>_xlfn.XLOOKUP($A4465,Load!$B:$B,Load!C:C,0,)</f>
        <v>Sour Punch</v>
      </c>
      <c r="C4465" t="str">
        <f>_xlfn.XLOOKUP($A4465,Load!$B:$B,Load!D:D,0,)</f>
        <v>Non-Chocolate Candy Only</v>
      </c>
      <c r="D4465" t="str">
        <f>_xlfn.XLOOKUP($A4465,Load!$B:$B,Load!E:E,0,)</f>
        <v>Sour</v>
      </c>
      <c r="E4465" t="str">
        <f>_xlfn.XLOOKUP($A4465,Load!$B:$B,Load!F:F,0,)</f>
        <v>Chewy</v>
      </c>
      <c r="F4465" t="str">
        <f>_xlfn.XLOOKUP($A4465,Load!$B:$B,Load!G:G,0,)</f>
        <v>Large Multipack (More than 80 ct)</v>
      </c>
      <c r="G4465" t="str">
        <f>_xlfn.XLOOKUP($A4465,Load!$B:$B,Load!H:H,0,)</f>
        <v>Laydown Bag</v>
      </c>
      <c r="H4465" t="str">
        <f>_xlfn.XLOOKUP($A4465,Load!$B:$B,Load!I:I,0,)</f>
        <v>Seasonal Shapes (like pumpkins, candy corn, ghost, bats, etc.)</v>
      </c>
      <c r="I4465" t="str">
        <f>_xlfn.XLOOKUP($A4465,Load!$B:$B,Load!J:J,0,)</f>
        <v>Seasonal Graphics (Like Bat, Ghost, Pumpkin, Fall Leaves, Eyeballs, etc.)</v>
      </c>
      <c r="J4465" t="str">
        <f>_xlfn.XLOOKUP($A4465,Load!$B:$B,Load!K:K,0,)</f>
        <v>Small Pieces (Tiny bite size candies)</v>
      </c>
      <c r="K4465" t="str">
        <f>_xlfn.XLOOKUP($A4465,Load!$B:$B,Load!L:L,0,)</f>
        <v>Regular/Original Wrapping</v>
      </c>
      <c r="L4465" t="str">
        <f>_xlfn.XLOOKUP($A4465,Load!$B:$B,Load!M:M,0,)</f>
        <v>Single Brand / Variety Flavors or Form</v>
      </c>
    </row>
    <row r="4466" spans="1:12" x14ac:dyDescent="0.25">
      <c r="A4466" t="s">
        <v>214</v>
      </c>
      <c r="B4466" t="str">
        <f>_xlfn.XLOOKUP($A4466,Load!$B:$B,Load!C:C,0,)</f>
        <v>Mars Variety Pack</v>
      </c>
      <c r="C4466" t="str">
        <f>_xlfn.XLOOKUP($A4466,Load!$B:$B,Load!D:D,0,)</f>
        <v>Mix of Chocolate and Non-Chocolate Candy</v>
      </c>
      <c r="D4466" t="str">
        <f>_xlfn.XLOOKUP($A4466,Load!$B:$B,Load!E:E,0,)</f>
        <v>Variety / Mixed Flavors (Fruity, Sour, Seasonal Flavors)</v>
      </c>
      <c r="E4466" t="str">
        <f>_xlfn.XLOOKUP($A4466,Load!$B:$B,Load!F:F,0,)</f>
        <v>Mixed / Combo Packs (Gummy, Chewy, Taffy, etc.)</v>
      </c>
      <c r="F4466" t="str">
        <f>_xlfn.XLOOKUP($A4466,Load!$B:$B,Load!G:G,0,)</f>
        <v>Large Multipack (More than 80 ct)</v>
      </c>
      <c r="G4466" t="str">
        <f>_xlfn.XLOOKUP($A4466,Load!$B:$B,Load!H:H,0,)</f>
        <v>Stand-Up Bag</v>
      </c>
      <c r="H4466" t="str">
        <f>_xlfn.XLOOKUP($A4466,Load!$B:$B,Load!I:I,0,)</f>
        <v>Everyday Candy Shapes (like Original, Gummy bear, Fruit, Jewels, etc.)</v>
      </c>
      <c r="I4466" t="str">
        <f>_xlfn.XLOOKUP($A4466,Load!$B:$B,Load!J:J,0,)</f>
        <v>Seasonal Graphics (Like Bat, Ghost, Pumpkin, Fall Leaves, Eyeballs, etc.)</v>
      </c>
      <c r="J4466" t="str">
        <f>_xlfn.XLOOKUP($A4466,Load!$B:$B,Load!K:K,0,)</f>
        <v>Fun Size / Treat Size</v>
      </c>
      <c r="K4466" t="str">
        <f>_xlfn.XLOOKUP($A4466,Load!$B:$B,Load!L:L,0,)</f>
        <v>Regular/Original Wrapping</v>
      </c>
      <c r="L4466" t="str">
        <f>_xlfn.XLOOKUP($A4466,Load!$B:$B,Load!M:M,0,)</f>
        <v>Multiple Brands / Variety Flavors or Form</v>
      </c>
    </row>
    <row r="4467" spans="1:12" x14ac:dyDescent="0.25">
      <c r="B4467">
        <f>_xlfn.XLOOKUP($A4467,Load!$B:$B,Load!C:C,0,)</f>
        <v>0</v>
      </c>
      <c r="C4467">
        <f>_xlfn.XLOOKUP($A4467,Load!$B:$B,Load!D:D,0,)</f>
        <v>0</v>
      </c>
      <c r="D4467">
        <f>_xlfn.XLOOKUP($A4467,Load!$B:$B,Load!E:E,0,)</f>
        <v>0</v>
      </c>
      <c r="E4467">
        <f>_xlfn.XLOOKUP($A4467,Load!$B:$B,Load!F:F,0,)</f>
        <v>0</v>
      </c>
      <c r="F4467">
        <f>_xlfn.XLOOKUP($A4467,Load!$B:$B,Load!G:G,0,)</f>
        <v>0</v>
      </c>
      <c r="G4467">
        <f>_xlfn.XLOOKUP($A4467,Load!$B:$B,Load!H:H,0,)</f>
        <v>0</v>
      </c>
      <c r="H4467">
        <f>_xlfn.XLOOKUP($A4467,Load!$B:$B,Load!I:I,0,)</f>
        <v>0</v>
      </c>
      <c r="I4467">
        <f>_xlfn.XLOOKUP($A4467,Load!$B:$B,Load!J:J,0,)</f>
        <v>0</v>
      </c>
      <c r="J4467">
        <f>_xlfn.XLOOKUP($A4467,Load!$B:$B,Load!K:K,0,)</f>
        <v>0</v>
      </c>
      <c r="K4467">
        <f>_xlfn.XLOOKUP($A4467,Load!$B:$B,Load!L:L,0,)</f>
        <v>0</v>
      </c>
      <c r="L4467">
        <f>_xlfn.XLOOKUP($A4467,Load!$B:$B,Load!M:M,0,)</f>
        <v>0</v>
      </c>
    </row>
    <row r="4468" spans="1:12" x14ac:dyDescent="0.25">
      <c r="A4468" t="s">
        <v>154</v>
      </c>
      <c r="B4468" t="str">
        <f>_xlfn.XLOOKUP($A4468,Load!$B:$B,Load!C:C,0,)</f>
        <v>Jolly Rancher</v>
      </c>
      <c r="C4468" t="str">
        <f>_xlfn.XLOOKUP($A4468,Load!$B:$B,Load!D:D,0,)</f>
        <v>Non-Chocolate Candy Only</v>
      </c>
      <c r="D4468" t="str">
        <f>_xlfn.XLOOKUP($A4468,Load!$B:$B,Load!E:E,0,)</f>
        <v>Fruit Flavor (Cherry, Grape, Apple, Citrus, Tropical Fruit)</v>
      </c>
      <c r="E4468" t="str">
        <f>_xlfn.XLOOKUP($A4468,Load!$B:$B,Load!F:F,0,)</f>
        <v>Hard Candy</v>
      </c>
      <c r="F4468" t="str">
        <f>_xlfn.XLOOKUP($A4468,Load!$B:$B,Load!G:G,0,)</f>
        <v>Small Multipack (Less than 40 ct)</v>
      </c>
      <c r="G4468" t="str">
        <f>_xlfn.XLOOKUP($A4468,Load!$B:$B,Load!H:H,0,)</f>
        <v>Stand-Up Bag</v>
      </c>
      <c r="H4468" t="str">
        <f>_xlfn.XLOOKUP($A4468,Load!$B:$B,Load!I:I,0,)</f>
        <v>Everyday Candy Shapes (like Original, Gummy bear, Fruit, Jewels, etc.)</v>
      </c>
      <c r="I4468" t="str">
        <f>_xlfn.XLOOKUP($A4468,Load!$B:$B,Load!J:J,0,)</f>
        <v>Everyday Graphics</v>
      </c>
      <c r="J4468" t="str">
        <f>_xlfn.XLOOKUP($A4468,Load!$B:$B,Load!K:K,0,)</f>
        <v>Small Pieces (Tiny bite size candies)</v>
      </c>
      <c r="K4468" t="str">
        <f>_xlfn.XLOOKUP($A4468,Load!$B:$B,Load!L:L,0,)</f>
        <v>Regular/Original Wrapping</v>
      </c>
      <c r="L4468" t="str">
        <f>_xlfn.XLOOKUP($A4468,Load!$B:$B,Load!M:M,0,)</f>
        <v>Single Brand / Variety Flavors or Form</v>
      </c>
    </row>
    <row r="4469" spans="1:12" x14ac:dyDescent="0.25">
      <c r="A4469" t="s">
        <v>62</v>
      </c>
      <c r="B4469" t="str">
        <f>_xlfn.XLOOKUP($A4469,Load!$B:$B,Load!C:C,0,)</f>
        <v>Colombina</v>
      </c>
      <c r="C4469" t="str">
        <f>_xlfn.XLOOKUP($A4469,Load!$B:$B,Load!D:D,0,)</f>
        <v>Non-Chocolate Candy Only</v>
      </c>
      <c r="D4469" t="str">
        <f>_xlfn.XLOOKUP($A4469,Load!$B:$B,Load!E:E,0,)</f>
        <v>Fruit Flavor (Cherry, Grape, Apple, Citrus, Tropical Fruit)</v>
      </c>
      <c r="E4469" t="str">
        <f>_xlfn.XLOOKUP($A4469,Load!$B:$B,Load!F:F,0,)</f>
        <v>Hard Candy</v>
      </c>
      <c r="F4469" t="str">
        <f>_xlfn.XLOOKUP($A4469,Load!$B:$B,Load!G:G,0,)</f>
        <v>Single Pack</v>
      </c>
      <c r="G4469" t="str">
        <f>_xlfn.XLOOKUP($A4469,Load!$B:$B,Load!H:H,0,)</f>
        <v>Laydown Bag</v>
      </c>
      <c r="H4469" t="str">
        <f>_xlfn.XLOOKUP($A4469,Load!$B:$B,Load!I:I,0,)</f>
        <v>Everyday Candy Shapes (like Original, Gummy bear, Fruit, Jewels, etc.)</v>
      </c>
      <c r="I4469" t="str">
        <f>_xlfn.XLOOKUP($A4469,Load!$B:$B,Load!J:J,0,)</f>
        <v>Everyday Graphics</v>
      </c>
      <c r="J4469" t="str">
        <f>_xlfn.XLOOKUP($A4469,Load!$B:$B,Load!K:K,0,)</f>
        <v>Small Pieces (Tiny bite size candies)</v>
      </c>
      <c r="K4469" t="str">
        <f>_xlfn.XLOOKUP($A4469,Load!$B:$B,Load!L:L,0,)</f>
        <v>Regular/Original Wrapping</v>
      </c>
      <c r="L4469" t="str">
        <f>_xlfn.XLOOKUP($A4469,Load!$B:$B,Load!M:M,0,)</f>
        <v>Single Brand / Variety Flavors or Form</v>
      </c>
    </row>
    <row r="4470" spans="1:12" x14ac:dyDescent="0.25">
      <c r="A4470" t="s">
        <v>141</v>
      </c>
      <c r="B4470" t="str">
        <f>_xlfn.XLOOKUP($A4470,Load!$B:$B,Load!C:C,0,)</f>
        <v>Hershey's Variety Pack + Haribo</v>
      </c>
      <c r="C4470" t="str">
        <f>_xlfn.XLOOKUP($A4470,Load!$B:$B,Load!D:D,0,)</f>
        <v>Non-Chocolate Candy Only</v>
      </c>
      <c r="D4470" t="str">
        <f>_xlfn.XLOOKUP($A4470,Load!$B:$B,Load!E:E,0,)</f>
        <v>Variety / Mixed Flavors (Fruity, Sour, Seasonal Flavors)</v>
      </c>
      <c r="E4470" t="str">
        <f>_xlfn.XLOOKUP($A4470,Load!$B:$B,Load!F:F,0,)</f>
        <v>Mixed / Combo Packs (Gummy, Chewy, Taffy, etc.)</v>
      </c>
      <c r="F4470" t="str">
        <f>_xlfn.XLOOKUP($A4470,Load!$B:$B,Load!G:G,0,)</f>
        <v>Large Multipack (More than 80 ct)</v>
      </c>
      <c r="G4470" t="str">
        <f>_xlfn.XLOOKUP($A4470,Load!$B:$B,Load!H:H,0,)</f>
        <v>Plastic Cup / Container</v>
      </c>
      <c r="H4470" t="str">
        <f>_xlfn.XLOOKUP($A4470,Load!$B:$B,Load!I:I,0,)</f>
        <v>Everyday Candy Shapes (like Original, Gummy bear, Fruit, Jewels, etc.)</v>
      </c>
      <c r="I4470" t="str">
        <f>_xlfn.XLOOKUP($A4470,Load!$B:$B,Load!J:J,0,)</f>
        <v>Everyday Graphics</v>
      </c>
      <c r="J4470" t="str">
        <f>_xlfn.XLOOKUP($A4470,Load!$B:$B,Load!K:K,0,)</f>
        <v xml:space="preserve">Variety Candy Sizes </v>
      </c>
      <c r="K4470" t="str">
        <f>_xlfn.XLOOKUP($A4470,Load!$B:$B,Load!L:L,0,)</f>
        <v>Regular/Original Wrapping</v>
      </c>
      <c r="L4470" t="str">
        <f>_xlfn.XLOOKUP($A4470,Load!$B:$B,Load!M:M,0,)</f>
        <v>Multiple Brands / Variety Flavors or Form</v>
      </c>
    </row>
    <row r="4471" spans="1:12" x14ac:dyDescent="0.25">
      <c r="B4471">
        <f>_xlfn.XLOOKUP($A4471,Load!$B:$B,Load!C:C,0,)</f>
        <v>0</v>
      </c>
      <c r="C4471">
        <f>_xlfn.XLOOKUP($A4471,Load!$B:$B,Load!D:D,0,)</f>
        <v>0</v>
      </c>
      <c r="D4471">
        <f>_xlfn.XLOOKUP($A4471,Load!$B:$B,Load!E:E,0,)</f>
        <v>0</v>
      </c>
      <c r="E4471">
        <f>_xlfn.XLOOKUP($A4471,Load!$B:$B,Load!F:F,0,)</f>
        <v>0</v>
      </c>
      <c r="F4471">
        <f>_xlfn.XLOOKUP($A4471,Load!$B:$B,Load!G:G,0,)</f>
        <v>0</v>
      </c>
      <c r="G4471">
        <f>_xlfn.XLOOKUP($A4471,Load!$B:$B,Load!H:H,0,)</f>
        <v>0</v>
      </c>
      <c r="H4471">
        <f>_xlfn.XLOOKUP($A4471,Load!$B:$B,Load!I:I,0,)</f>
        <v>0</v>
      </c>
      <c r="I4471">
        <f>_xlfn.XLOOKUP($A4471,Load!$B:$B,Load!J:J,0,)</f>
        <v>0</v>
      </c>
      <c r="J4471">
        <f>_xlfn.XLOOKUP($A4471,Load!$B:$B,Load!K:K,0,)</f>
        <v>0</v>
      </c>
      <c r="K4471">
        <f>_xlfn.XLOOKUP($A4471,Load!$B:$B,Load!L:L,0,)</f>
        <v>0</v>
      </c>
      <c r="L4471">
        <f>_xlfn.XLOOKUP($A4471,Load!$B:$B,Load!M:M,0,)</f>
        <v>0</v>
      </c>
    </row>
    <row r="4472" spans="1:12" x14ac:dyDescent="0.25">
      <c r="B4472">
        <f>_xlfn.XLOOKUP($A4472,Load!$B:$B,Load!C:C,0,)</f>
        <v>0</v>
      </c>
      <c r="C4472">
        <f>_xlfn.XLOOKUP($A4472,Load!$B:$B,Load!D:D,0,)</f>
        <v>0</v>
      </c>
      <c r="D4472">
        <f>_xlfn.XLOOKUP($A4472,Load!$B:$B,Load!E:E,0,)</f>
        <v>0</v>
      </c>
      <c r="E4472">
        <f>_xlfn.XLOOKUP($A4472,Load!$B:$B,Load!F:F,0,)</f>
        <v>0</v>
      </c>
      <c r="F4472">
        <f>_xlfn.XLOOKUP($A4472,Load!$B:$B,Load!G:G,0,)</f>
        <v>0</v>
      </c>
      <c r="G4472">
        <f>_xlfn.XLOOKUP($A4472,Load!$B:$B,Load!H:H,0,)</f>
        <v>0</v>
      </c>
      <c r="H4472">
        <f>_xlfn.XLOOKUP($A4472,Load!$B:$B,Load!I:I,0,)</f>
        <v>0</v>
      </c>
      <c r="I4472">
        <f>_xlfn.XLOOKUP($A4472,Load!$B:$B,Load!J:J,0,)</f>
        <v>0</v>
      </c>
      <c r="J4472">
        <f>_xlfn.XLOOKUP($A4472,Load!$B:$B,Load!K:K,0,)</f>
        <v>0</v>
      </c>
      <c r="K4472">
        <f>_xlfn.XLOOKUP($A4472,Load!$B:$B,Load!L:L,0,)</f>
        <v>0</v>
      </c>
      <c r="L4472">
        <f>_xlfn.XLOOKUP($A4472,Load!$B:$B,Load!M:M,0,)</f>
        <v>0</v>
      </c>
    </row>
    <row r="4473" spans="1:12" x14ac:dyDescent="0.25">
      <c r="B4473">
        <f>_xlfn.XLOOKUP($A4473,Load!$B:$B,Load!C:C,0,)</f>
        <v>0</v>
      </c>
      <c r="C4473">
        <f>_xlfn.XLOOKUP($A4473,Load!$B:$B,Load!D:D,0,)</f>
        <v>0</v>
      </c>
      <c r="D4473">
        <f>_xlfn.XLOOKUP($A4473,Load!$B:$B,Load!E:E,0,)</f>
        <v>0</v>
      </c>
      <c r="E4473">
        <f>_xlfn.XLOOKUP($A4473,Load!$B:$B,Load!F:F,0,)</f>
        <v>0</v>
      </c>
      <c r="F4473">
        <f>_xlfn.XLOOKUP($A4473,Load!$B:$B,Load!G:G,0,)</f>
        <v>0</v>
      </c>
      <c r="G4473">
        <f>_xlfn.XLOOKUP($A4473,Load!$B:$B,Load!H:H,0,)</f>
        <v>0</v>
      </c>
      <c r="H4473">
        <f>_xlfn.XLOOKUP($A4473,Load!$B:$B,Load!I:I,0,)</f>
        <v>0</v>
      </c>
      <c r="I4473">
        <f>_xlfn.XLOOKUP($A4473,Load!$B:$B,Load!J:J,0,)</f>
        <v>0</v>
      </c>
      <c r="J4473">
        <f>_xlfn.XLOOKUP($A4473,Load!$B:$B,Load!K:K,0,)</f>
        <v>0</v>
      </c>
      <c r="K4473">
        <f>_xlfn.XLOOKUP($A4473,Load!$B:$B,Load!L:L,0,)</f>
        <v>0</v>
      </c>
      <c r="L4473">
        <f>_xlfn.XLOOKUP($A4473,Load!$B:$B,Load!M:M,0,)</f>
        <v>0</v>
      </c>
    </row>
    <row r="4474" spans="1:12" x14ac:dyDescent="0.25">
      <c r="A4474" t="s">
        <v>207</v>
      </c>
      <c r="B4474" t="str">
        <f>_xlfn.XLOOKUP($A4474,Load!$B:$B,Load!C:C,0,)</f>
        <v>Mars Variety Pack</v>
      </c>
      <c r="C4474" t="str">
        <f>_xlfn.XLOOKUP($A4474,Load!$B:$B,Load!D:D,0,)</f>
        <v>Mix of Chocolate and Non-Chocolate Candy</v>
      </c>
      <c r="D4474" t="str">
        <f>_xlfn.XLOOKUP($A4474,Load!$B:$B,Load!E:E,0,)</f>
        <v>Variety / Mixed Flavors (Fruity, Sour, Seasonal Flavors)</v>
      </c>
      <c r="E4474" t="str">
        <f>_xlfn.XLOOKUP($A4474,Load!$B:$B,Load!F:F,0,)</f>
        <v>Mixed / Combo Packs (Gummy, Chewy, Taffy, etc.)</v>
      </c>
      <c r="F4474" t="str">
        <f>_xlfn.XLOOKUP($A4474,Load!$B:$B,Load!G:G,0,)</f>
        <v>Large Multipack (More than 80 ct)</v>
      </c>
      <c r="G4474" t="str">
        <f>_xlfn.XLOOKUP($A4474,Load!$B:$B,Load!H:H,0,)</f>
        <v>Stand-Up Bag</v>
      </c>
      <c r="H4474" t="str">
        <f>_xlfn.XLOOKUP($A4474,Load!$B:$B,Load!I:I,0,)</f>
        <v>Everyday Candy Shapes (like Original, Gummy bear, Fruit, Jewels, etc.)</v>
      </c>
      <c r="I4474" t="str">
        <f>_xlfn.XLOOKUP($A4474,Load!$B:$B,Load!J:J,0,)</f>
        <v>Everyday Graphics</v>
      </c>
      <c r="J4474" t="str">
        <f>_xlfn.XLOOKUP($A4474,Load!$B:$B,Load!K:K,0,)</f>
        <v>Fun Size / Treat Size</v>
      </c>
      <c r="K4474" t="str">
        <f>_xlfn.XLOOKUP($A4474,Load!$B:$B,Load!L:L,0,)</f>
        <v>Regular/Original Wrapping</v>
      </c>
      <c r="L4474" t="str">
        <f>_xlfn.XLOOKUP($A4474,Load!$B:$B,Load!M:M,0,)</f>
        <v>Multiple Brands / Variety Flavors or Form</v>
      </c>
    </row>
    <row r="4475" spans="1:12" x14ac:dyDescent="0.25">
      <c r="A4475" t="s">
        <v>139</v>
      </c>
      <c r="B4475" t="str">
        <f>_xlfn.XLOOKUP($A4475,Load!$B:$B,Load!C:C,0,)</f>
        <v>Hershey's Variety Pack + Haribo</v>
      </c>
      <c r="C4475" t="str">
        <f>_xlfn.XLOOKUP($A4475,Load!$B:$B,Load!D:D,0,)</f>
        <v>Mix of Chocolate and Non-Chocolate Candy</v>
      </c>
      <c r="D4475" t="str">
        <f>_xlfn.XLOOKUP($A4475,Load!$B:$B,Load!E:E,0,)</f>
        <v>Variety / Mixed Flavors (Fruity, Sour, Seasonal Flavors)</v>
      </c>
      <c r="E4475" t="str">
        <f>_xlfn.XLOOKUP($A4475,Load!$B:$B,Load!F:F,0,)</f>
        <v>Mixed / Combo Packs (Gummy, Chewy, Taffy, etc.)</v>
      </c>
      <c r="F4475" t="str">
        <f>_xlfn.XLOOKUP($A4475,Load!$B:$B,Load!G:G,0,)</f>
        <v>Large Multipack (More than 80 ct)</v>
      </c>
      <c r="G4475" t="str">
        <f>_xlfn.XLOOKUP($A4475,Load!$B:$B,Load!H:H,0,)</f>
        <v>Stand-Up Bag</v>
      </c>
      <c r="H4475" t="str">
        <f>_xlfn.XLOOKUP($A4475,Load!$B:$B,Load!I:I,0,)</f>
        <v>Everyday Candy Shapes (like Original, Gummy bear, Fruit, Jewels, etc.)</v>
      </c>
      <c r="I4475" t="str">
        <f>_xlfn.XLOOKUP($A4475,Load!$B:$B,Load!J:J,0,)</f>
        <v>Seasonal Graphics (Like Bat, Ghost, Pumpkin, Fall Leaves, Eyeballs, etc.)</v>
      </c>
      <c r="J4475" t="str">
        <f>_xlfn.XLOOKUP($A4475,Load!$B:$B,Load!K:K,0,)</f>
        <v>Fun Size / Treat Size</v>
      </c>
      <c r="K4475" t="str">
        <f>_xlfn.XLOOKUP($A4475,Load!$B:$B,Load!L:L,0,)</f>
        <v>Regular/Original Wrapping</v>
      </c>
      <c r="L4475" t="str">
        <f>_xlfn.XLOOKUP($A4475,Load!$B:$B,Load!M:M,0,)</f>
        <v>Multiple Brands / Variety Flavors or Form</v>
      </c>
    </row>
    <row r="4476" spans="1:12" x14ac:dyDescent="0.25">
      <c r="A4476" t="s">
        <v>156</v>
      </c>
      <c r="B4476" t="str">
        <f>_xlfn.XLOOKUP($A4476,Load!$B:$B,Load!C:C,0,)</f>
        <v>Jolly Rancher</v>
      </c>
      <c r="C4476" t="str">
        <f>_xlfn.XLOOKUP($A4476,Load!$B:$B,Load!D:D,0,)</f>
        <v>Non-Chocolate Candy Only</v>
      </c>
      <c r="D4476" t="str">
        <f>_xlfn.XLOOKUP($A4476,Load!$B:$B,Load!E:E,0,)</f>
        <v>Fruit Flavor (Cherry, Grape, Apple, Citrus, Tropical Fruit)</v>
      </c>
      <c r="E4476" t="str">
        <f>_xlfn.XLOOKUP($A4476,Load!$B:$B,Load!F:F,0,)</f>
        <v>Gummy</v>
      </c>
      <c r="F4476" t="str">
        <f>_xlfn.XLOOKUP($A4476,Load!$B:$B,Load!G:G,0,)</f>
        <v>Single Pack</v>
      </c>
      <c r="G4476" t="str">
        <f>_xlfn.XLOOKUP($A4476,Load!$B:$B,Load!H:H,0,)</f>
        <v>Laydown Bag</v>
      </c>
      <c r="H4476" t="str">
        <f>_xlfn.XLOOKUP($A4476,Load!$B:$B,Load!I:I,0,)</f>
        <v>Everyday Candy Shapes (like Original, Gummy bear, Fruit, Jewels, etc.)</v>
      </c>
      <c r="I4476" t="str">
        <f>_xlfn.XLOOKUP($A4476,Load!$B:$B,Load!J:J,0,)</f>
        <v>Everyday Graphics</v>
      </c>
      <c r="J4476" t="str">
        <f>_xlfn.XLOOKUP($A4476,Load!$B:$B,Load!K:K,0,)</f>
        <v>Small Pieces (Tiny bite size candies)</v>
      </c>
      <c r="K4476" t="str">
        <f>_xlfn.XLOOKUP($A4476,Load!$B:$B,Load!L:L,0,)</f>
        <v>Unwrapped</v>
      </c>
      <c r="L4476" t="str">
        <f>_xlfn.XLOOKUP($A4476,Load!$B:$B,Load!M:M,0,)</f>
        <v>Single Brand / Variety Flavors or Form</v>
      </c>
    </row>
    <row r="4477" spans="1:12" x14ac:dyDescent="0.25">
      <c r="A4477" t="s">
        <v>149</v>
      </c>
      <c r="B4477" t="str">
        <f>_xlfn.XLOOKUP($A4477,Load!$B:$B,Load!C:C,0,)</f>
        <v>Jolly Rancher</v>
      </c>
      <c r="C4477" t="str">
        <f>_xlfn.XLOOKUP($A4477,Load!$B:$B,Load!D:D,0,)</f>
        <v>Non-Chocolate Candy Only</v>
      </c>
      <c r="D4477" t="str">
        <f>_xlfn.XLOOKUP($A4477,Load!$B:$B,Load!E:E,0,)</f>
        <v>Fruit Flavor (Cherry, Grape, Apple, Citrus, Tropical Fruit)</v>
      </c>
      <c r="E4477" t="str">
        <f>_xlfn.XLOOKUP($A4477,Load!$B:$B,Load!F:F,0,)</f>
        <v>Gummy</v>
      </c>
      <c r="F4477" t="str">
        <f>_xlfn.XLOOKUP($A4477,Load!$B:$B,Load!G:G,0,)</f>
        <v>Small Multipack (Less than 40 ct)</v>
      </c>
      <c r="G4477" t="str">
        <f>_xlfn.XLOOKUP($A4477,Load!$B:$B,Load!H:H,0,)</f>
        <v>Laydown Bag</v>
      </c>
      <c r="H4477" t="str">
        <f>_xlfn.XLOOKUP($A4477,Load!$B:$B,Load!I:I,0,)</f>
        <v>Everyday Candy Shapes (like Original, Gummy bear, Fruit, Jewels, etc.)</v>
      </c>
      <c r="I4477" t="str">
        <f>_xlfn.XLOOKUP($A4477,Load!$B:$B,Load!J:J,0,)</f>
        <v>Everyday Graphics</v>
      </c>
      <c r="J4477" t="str">
        <f>_xlfn.XLOOKUP($A4477,Load!$B:$B,Load!K:K,0,)</f>
        <v>Fun Size / Treat Size</v>
      </c>
      <c r="K4477" t="str">
        <f>_xlfn.XLOOKUP($A4477,Load!$B:$B,Load!L:L,0,)</f>
        <v>Regular/Original Wrapping</v>
      </c>
      <c r="L4477" t="str">
        <f>_xlfn.XLOOKUP($A4477,Load!$B:$B,Load!M:M,0,)</f>
        <v>Single Brand / Variety Flavors or Form</v>
      </c>
    </row>
    <row r="4478" spans="1:12" x14ac:dyDescent="0.25">
      <c r="A4478" t="s">
        <v>69</v>
      </c>
      <c r="B4478" t="str">
        <f>_xlfn.XLOOKUP($A4478,Load!$B:$B,Load!C:C,0,)</f>
        <v>Dum Dums</v>
      </c>
      <c r="C4478" t="str">
        <f>_xlfn.XLOOKUP($A4478,Load!$B:$B,Load!D:D,0,)</f>
        <v>Non-Chocolate Candy Only</v>
      </c>
      <c r="D4478" t="str">
        <f>_xlfn.XLOOKUP($A4478,Load!$B:$B,Load!E:E,0,)</f>
        <v>Sweet</v>
      </c>
      <c r="E4478" t="str">
        <f>_xlfn.XLOOKUP($A4478,Load!$B:$B,Load!F:F,0,)</f>
        <v>Lollipop (regular or lollipop rings)</v>
      </c>
      <c r="F4478" t="str">
        <f>_xlfn.XLOOKUP($A4478,Load!$B:$B,Load!G:G,0,)</f>
        <v>Single Pack</v>
      </c>
      <c r="G4478" t="str">
        <f>_xlfn.XLOOKUP($A4478,Load!$B:$B,Load!H:H,0,)</f>
        <v>Laydown Bag</v>
      </c>
      <c r="H4478" t="str">
        <f>_xlfn.XLOOKUP($A4478,Load!$B:$B,Load!I:I,0,)</f>
        <v>Seasonal Shapes (like pumpkins, candy corn, ghost, bats, etc.)</v>
      </c>
      <c r="I4478" t="str">
        <f>_xlfn.XLOOKUP($A4478,Load!$B:$B,Load!J:J,0,)</f>
        <v>Seasonal Graphics (Like Bat, Ghost, Pumpkin, Fall Leaves, Eyeballs, etc.)</v>
      </c>
      <c r="J4478" t="str">
        <f>_xlfn.XLOOKUP($A4478,Load!$B:$B,Load!K:K,0,)</f>
        <v>Regular Lollipop size (on sticks or rings)</v>
      </c>
      <c r="K4478" t="str">
        <f>_xlfn.XLOOKUP($A4478,Load!$B:$B,Load!L:L,0,)</f>
        <v>Regular/Original Wrapping</v>
      </c>
      <c r="L4478" t="str">
        <f>_xlfn.XLOOKUP($A4478,Load!$B:$B,Load!M:M,0,)</f>
        <v>Single Brand / Variety Flavors or Form</v>
      </c>
    </row>
    <row r="4479" spans="1:12" x14ac:dyDescent="0.25">
      <c r="B4479">
        <f>_xlfn.XLOOKUP($A4479,Load!$B:$B,Load!C:C,0,)</f>
        <v>0</v>
      </c>
      <c r="C4479">
        <f>_xlfn.XLOOKUP($A4479,Load!$B:$B,Load!D:D,0,)</f>
        <v>0</v>
      </c>
      <c r="D4479">
        <f>_xlfn.XLOOKUP($A4479,Load!$B:$B,Load!E:E,0,)</f>
        <v>0</v>
      </c>
      <c r="E4479">
        <f>_xlfn.XLOOKUP($A4479,Load!$B:$B,Load!F:F,0,)</f>
        <v>0</v>
      </c>
      <c r="F4479">
        <f>_xlfn.XLOOKUP($A4479,Load!$B:$B,Load!G:G,0,)</f>
        <v>0</v>
      </c>
      <c r="G4479">
        <f>_xlfn.XLOOKUP($A4479,Load!$B:$B,Load!H:H,0,)</f>
        <v>0</v>
      </c>
      <c r="H4479">
        <f>_xlfn.XLOOKUP($A4479,Load!$B:$B,Load!I:I,0,)</f>
        <v>0</v>
      </c>
      <c r="I4479">
        <f>_xlfn.XLOOKUP($A4479,Load!$B:$B,Load!J:J,0,)</f>
        <v>0</v>
      </c>
      <c r="J4479">
        <f>_xlfn.XLOOKUP($A4479,Load!$B:$B,Load!K:K,0,)</f>
        <v>0</v>
      </c>
      <c r="K4479">
        <f>_xlfn.XLOOKUP($A4479,Load!$B:$B,Load!L:L,0,)</f>
        <v>0</v>
      </c>
      <c r="L4479">
        <f>_xlfn.XLOOKUP($A4479,Load!$B:$B,Load!M:M,0,)</f>
        <v>0</v>
      </c>
    </row>
    <row r="4480" spans="1:12" x14ac:dyDescent="0.25">
      <c r="A4480" t="s">
        <v>89</v>
      </c>
      <c r="B4480" t="str">
        <f>_xlfn.XLOOKUP($A4480,Load!$B:$B,Load!C:C,0,)</f>
        <v>Ferrara Variety Pack</v>
      </c>
      <c r="C4480" t="str">
        <f>_xlfn.XLOOKUP($A4480,Load!$B:$B,Load!D:D,0,)</f>
        <v>Non-Chocolate Candy Only</v>
      </c>
      <c r="D4480" t="str">
        <f>_xlfn.XLOOKUP($A4480,Load!$B:$B,Load!E:E,0,)</f>
        <v>Variety / Mixed Flavors (Fruity, Sour, Seasonal Flavors)</v>
      </c>
      <c r="E4480" t="str">
        <f>_xlfn.XLOOKUP($A4480,Load!$B:$B,Load!F:F,0,)</f>
        <v>Mixed / Combo Packs (Gummy, Chewy, Taffy, etc.)</v>
      </c>
      <c r="F4480" t="str">
        <f>_xlfn.XLOOKUP($A4480,Load!$B:$B,Load!G:G,0,)</f>
        <v>Medium Multipack (40–80 ct)</v>
      </c>
      <c r="G4480" t="str">
        <f>_xlfn.XLOOKUP($A4480,Load!$B:$B,Load!H:H,0,)</f>
        <v>Stand-Up Bag</v>
      </c>
      <c r="H4480" t="str">
        <f>_xlfn.XLOOKUP($A4480,Load!$B:$B,Load!I:I,0,)</f>
        <v>Everyday Candy Shapes (like Original, Gummy bear, Fruit, Jewels, etc.)</v>
      </c>
      <c r="I4480" t="str">
        <f>_xlfn.XLOOKUP($A4480,Load!$B:$B,Load!J:J,0,)</f>
        <v>Seasonal Graphics (Like Bat, Ghost, Pumpkin, Fall Leaves, Eyeballs, etc.)</v>
      </c>
      <c r="J4480" t="str">
        <f>_xlfn.XLOOKUP($A4480,Load!$B:$B,Load!K:K,0,)</f>
        <v xml:space="preserve">Variety Candy Sizes </v>
      </c>
      <c r="K4480" t="str">
        <f>_xlfn.XLOOKUP($A4480,Load!$B:$B,Load!L:L,0,)</f>
        <v>Regular/Original Wrapping</v>
      </c>
      <c r="L4480" t="str">
        <f>_xlfn.XLOOKUP($A4480,Load!$B:$B,Load!M:M,0,)</f>
        <v>Multiple Brands / Variety Flavors or Form</v>
      </c>
    </row>
    <row r="4481" spans="1:12" x14ac:dyDescent="0.25">
      <c r="A4481" t="s">
        <v>138</v>
      </c>
      <c r="B4481" t="str">
        <f>_xlfn.XLOOKUP($A4481,Load!$B:$B,Load!C:C,0,)</f>
        <v>Hershey's Variety Pack + Haribo</v>
      </c>
      <c r="C4481" t="str">
        <f>_xlfn.XLOOKUP($A4481,Load!$B:$B,Load!D:D,0,)</f>
        <v>Non-Chocolate Candy Only</v>
      </c>
      <c r="D4481" t="str">
        <f>_xlfn.XLOOKUP($A4481,Load!$B:$B,Load!E:E,0,)</f>
        <v>Variety / Mixed Flavors (Fruity, Sour, Seasonal Flavors)</v>
      </c>
      <c r="E4481" t="str">
        <f>_xlfn.XLOOKUP($A4481,Load!$B:$B,Load!F:F,0,)</f>
        <v>Mixed / Combo Packs (Gummy, Chewy, Taffy, etc.)</v>
      </c>
      <c r="F4481" t="str">
        <f>_xlfn.XLOOKUP($A4481,Load!$B:$B,Load!G:G,0,)</f>
        <v>Medium Multipack (40–80 ct)</v>
      </c>
      <c r="G4481" t="str">
        <f>_xlfn.XLOOKUP($A4481,Load!$B:$B,Load!H:H,0,)</f>
        <v>Laydown Bag</v>
      </c>
      <c r="H4481" t="str">
        <f>_xlfn.XLOOKUP($A4481,Load!$B:$B,Load!I:I,0,)</f>
        <v>Everyday Candy Shapes (like Original, Gummy bear, Fruit, Jewels, etc.)</v>
      </c>
      <c r="I4481" t="str">
        <f>_xlfn.XLOOKUP($A4481,Load!$B:$B,Load!J:J,0,)</f>
        <v>Seasonal Graphics (Like Bat, Ghost, Pumpkin, Fall Leaves, Eyeballs, etc.)</v>
      </c>
      <c r="J4481" t="str">
        <f>_xlfn.XLOOKUP($A4481,Load!$B:$B,Load!K:K,0,)</f>
        <v>Fun Size / Treat Size</v>
      </c>
      <c r="K4481" t="str">
        <f>_xlfn.XLOOKUP($A4481,Load!$B:$B,Load!L:L,0,)</f>
        <v>Regular/Original Wrapping</v>
      </c>
      <c r="L4481" t="str">
        <f>_xlfn.XLOOKUP($A4481,Load!$B:$B,Load!M:M,0,)</f>
        <v>Multiple Brands / Variety Flavors or Form</v>
      </c>
    </row>
    <row r="4482" spans="1:12" x14ac:dyDescent="0.25">
      <c r="A4482" t="s">
        <v>310</v>
      </c>
      <c r="B4482" t="str">
        <f>_xlfn.XLOOKUP($A4482,Load!$B:$B,Load!C:C,0,)</f>
        <v>Werther's Original</v>
      </c>
      <c r="C4482" t="str">
        <f>_xlfn.XLOOKUP($A4482,Load!$B:$B,Load!D:D,0,)</f>
        <v>Non-Chocolate Candy Only</v>
      </c>
      <c r="D4482" t="str">
        <f>_xlfn.XLOOKUP($A4482,Load!$B:$B,Load!E:E,0,)</f>
        <v>Fall / Seasonal Flavors (pumpkin spice, caramel apple, candy corn)</v>
      </c>
      <c r="E4482" t="str">
        <f>_xlfn.XLOOKUP($A4482,Load!$B:$B,Load!F:F,0,)</f>
        <v>Hard Candy</v>
      </c>
      <c r="F4482" t="str">
        <f>_xlfn.XLOOKUP($A4482,Load!$B:$B,Load!G:G,0,)</f>
        <v>Single Pack</v>
      </c>
      <c r="G4482" t="str">
        <f>_xlfn.XLOOKUP($A4482,Load!$B:$B,Load!H:H,0,)</f>
        <v>Laydown Bag</v>
      </c>
      <c r="H4482" t="str">
        <f>_xlfn.XLOOKUP($A4482,Load!$B:$B,Load!I:I,0,)</f>
        <v>Everyday Candy Shapes (like Original, Gummy bear, Fruit, Jewels, etc.)</v>
      </c>
      <c r="I4482" t="str">
        <f>_xlfn.XLOOKUP($A4482,Load!$B:$B,Load!J:J,0,)</f>
        <v>Seasonal Graphics (Like Bat, Ghost, Pumpkin, Fall Leaves, Eyeballs, etc.)</v>
      </c>
      <c r="J4482" t="str">
        <f>_xlfn.XLOOKUP($A4482,Load!$B:$B,Load!K:K,0,)</f>
        <v>Fun Size / Treat Size</v>
      </c>
      <c r="K4482" t="str">
        <f>_xlfn.XLOOKUP($A4482,Load!$B:$B,Load!L:L,0,)</f>
        <v>Regular/Original Wrapping</v>
      </c>
      <c r="L4482" t="str">
        <f>_xlfn.XLOOKUP($A4482,Load!$B:$B,Load!M:M,0,)</f>
        <v>Single Brand / Single Flavor or Form</v>
      </c>
    </row>
    <row r="4483" spans="1:12" x14ac:dyDescent="0.25">
      <c r="A4483" t="s">
        <v>466</v>
      </c>
      <c r="B4483" t="str">
        <f>_xlfn.XLOOKUP($A4483,Load!$B:$B,Load!C:C,0,)</f>
        <v>Pez</v>
      </c>
      <c r="C4483" t="str">
        <f>_xlfn.XLOOKUP($A4483,Load!$B:$B,Load!D:D,0,)</f>
        <v>Non-Chocolate Candy Only</v>
      </c>
      <c r="D4483" t="str">
        <f>_xlfn.XLOOKUP($A4483,Load!$B:$B,Load!E:E,0,)</f>
        <v>Fruit Flavor (Cherry, Grape, Apple, Citrus, Tropical Fruit)</v>
      </c>
      <c r="E4483" t="str">
        <f>_xlfn.XLOOKUP($A4483,Load!$B:$B,Load!F:F,0,)</f>
        <v>Hard Candy</v>
      </c>
      <c r="F4483" t="str">
        <f>_xlfn.XLOOKUP($A4483,Load!$B:$B,Load!G:G,0,)</f>
        <v>Single Pack</v>
      </c>
      <c r="G4483" t="str">
        <f>_xlfn.XLOOKUP($A4483,Load!$B:$B,Load!H:H,0,)</f>
        <v>Peg Bag</v>
      </c>
      <c r="H4483" t="str">
        <f>_xlfn.XLOOKUP($A4483,Load!$B:$B,Load!I:I,0,)</f>
        <v>Everyday Candy Shapes (like Original, Gummy bear, Fruit, Jewels, etc.)</v>
      </c>
      <c r="I4483" t="str">
        <f>_xlfn.XLOOKUP($A4483,Load!$B:$B,Load!J:J,0,)</f>
        <v>Seasonal Graphics (Like Bat, Ghost, Pumpkin, Fall Leaves, Eyeballs, etc.)</v>
      </c>
      <c r="J4483" t="str">
        <f>_xlfn.XLOOKUP($A4483,Load!$B:$B,Load!K:K,0,)</f>
        <v>Small Pieces (Tiny bite size candies)</v>
      </c>
      <c r="K4483" t="str">
        <f>_xlfn.XLOOKUP($A4483,Load!$B:$B,Load!L:L,0,)</f>
        <v>Regular/Original Wrapping</v>
      </c>
      <c r="L4483" t="str">
        <f>_xlfn.XLOOKUP($A4483,Load!$B:$B,Load!M:M,0,)</f>
        <v>Single Brand / Variety Flavors or Form</v>
      </c>
    </row>
    <row r="4484" spans="1:12" x14ac:dyDescent="0.25">
      <c r="B4484">
        <f>_xlfn.XLOOKUP($A4484,Load!$B:$B,Load!C:C,0,)</f>
        <v>0</v>
      </c>
      <c r="C4484">
        <f>_xlfn.XLOOKUP($A4484,Load!$B:$B,Load!D:D,0,)</f>
        <v>0</v>
      </c>
      <c r="D4484">
        <f>_xlfn.XLOOKUP($A4484,Load!$B:$B,Load!E:E,0,)</f>
        <v>0</v>
      </c>
      <c r="E4484">
        <f>_xlfn.XLOOKUP($A4484,Load!$B:$B,Load!F:F,0,)</f>
        <v>0</v>
      </c>
      <c r="F4484">
        <f>_xlfn.XLOOKUP($A4484,Load!$B:$B,Load!G:G,0,)</f>
        <v>0</v>
      </c>
      <c r="G4484">
        <f>_xlfn.XLOOKUP($A4484,Load!$B:$B,Load!H:H,0,)</f>
        <v>0</v>
      </c>
      <c r="H4484">
        <f>_xlfn.XLOOKUP($A4484,Load!$B:$B,Load!I:I,0,)</f>
        <v>0</v>
      </c>
      <c r="I4484">
        <f>_xlfn.XLOOKUP($A4484,Load!$B:$B,Load!J:J,0,)</f>
        <v>0</v>
      </c>
      <c r="J4484">
        <f>_xlfn.XLOOKUP($A4484,Load!$B:$B,Load!K:K,0,)</f>
        <v>0</v>
      </c>
      <c r="K4484">
        <f>_xlfn.XLOOKUP($A4484,Load!$B:$B,Load!L:L,0,)</f>
        <v>0</v>
      </c>
      <c r="L4484">
        <f>_xlfn.XLOOKUP($A4484,Load!$B:$B,Load!M:M,0,)</f>
        <v>0</v>
      </c>
    </row>
    <row r="4485" spans="1:12" x14ac:dyDescent="0.25">
      <c r="B4485">
        <f>_xlfn.XLOOKUP($A4485,Load!$B:$B,Load!C:C,0,)</f>
        <v>0</v>
      </c>
      <c r="C4485">
        <f>_xlfn.XLOOKUP($A4485,Load!$B:$B,Load!D:D,0,)</f>
        <v>0</v>
      </c>
      <c r="D4485">
        <f>_xlfn.XLOOKUP($A4485,Load!$B:$B,Load!E:E,0,)</f>
        <v>0</v>
      </c>
      <c r="E4485">
        <f>_xlfn.XLOOKUP($A4485,Load!$B:$B,Load!F:F,0,)</f>
        <v>0</v>
      </c>
      <c r="F4485">
        <f>_xlfn.XLOOKUP($A4485,Load!$B:$B,Load!G:G,0,)</f>
        <v>0</v>
      </c>
      <c r="G4485">
        <f>_xlfn.XLOOKUP($A4485,Load!$B:$B,Load!H:H,0,)</f>
        <v>0</v>
      </c>
      <c r="H4485">
        <f>_xlfn.XLOOKUP($A4485,Load!$B:$B,Load!I:I,0,)</f>
        <v>0</v>
      </c>
      <c r="I4485">
        <f>_xlfn.XLOOKUP($A4485,Load!$B:$B,Load!J:J,0,)</f>
        <v>0</v>
      </c>
      <c r="J4485">
        <f>_xlfn.XLOOKUP($A4485,Load!$B:$B,Load!K:K,0,)</f>
        <v>0</v>
      </c>
      <c r="K4485">
        <f>_xlfn.XLOOKUP($A4485,Load!$B:$B,Load!L:L,0,)</f>
        <v>0</v>
      </c>
      <c r="L4485">
        <f>_xlfn.XLOOKUP($A4485,Load!$B:$B,Load!M:M,0,)</f>
        <v>0</v>
      </c>
    </row>
    <row r="4486" spans="1:12" x14ac:dyDescent="0.25">
      <c r="A4486" t="s">
        <v>213</v>
      </c>
      <c r="B4486" t="str">
        <f>_xlfn.XLOOKUP($A4486,Load!$B:$B,Load!C:C,0,)</f>
        <v>Mars Variety Pack</v>
      </c>
      <c r="C4486" t="str">
        <f>_xlfn.XLOOKUP($A4486,Load!$B:$B,Load!D:D,0,)</f>
        <v>Mix of Chocolate and Non-Chocolate Candy</v>
      </c>
      <c r="D4486" t="str">
        <f>_xlfn.XLOOKUP($A4486,Load!$B:$B,Load!E:E,0,)</f>
        <v>Variety / Mixed Flavors (Fruity, Sour, Seasonal Flavors)</v>
      </c>
      <c r="E4486" t="str">
        <f>_xlfn.XLOOKUP($A4486,Load!$B:$B,Load!F:F,0,)</f>
        <v>Mixed / Combo Packs (Gummy, Chewy, Taffy, etc.)</v>
      </c>
      <c r="F4486" t="str">
        <f>_xlfn.XLOOKUP($A4486,Load!$B:$B,Load!G:G,0,)</f>
        <v>Medium Multipack (40–80 ct)</v>
      </c>
      <c r="G4486" t="str">
        <f>_xlfn.XLOOKUP($A4486,Load!$B:$B,Load!H:H,0,)</f>
        <v>Stand-Up Bag</v>
      </c>
      <c r="H4486" t="str">
        <f>_xlfn.XLOOKUP($A4486,Load!$B:$B,Load!I:I,0,)</f>
        <v>Everyday Candy Shapes (like Original, Gummy bear, Fruit, Jewels, etc.)</v>
      </c>
      <c r="I4486" t="str">
        <f>_xlfn.XLOOKUP($A4486,Load!$B:$B,Load!J:J,0,)</f>
        <v>Seasonal Graphics (Like Bat, Ghost, Pumpkin, Fall Leaves, Eyeballs, etc.)</v>
      </c>
      <c r="J4486" t="str">
        <f>_xlfn.XLOOKUP($A4486,Load!$B:$B,Load!K:K,0,)</f>
        <v>Fun Size / Treat Size</v>
      </c>
      <c r="K4486" t="str">
        <f>_xlfn.XLOOKUP($A4486,Load!$B:$B,Load!L:L,0,)</f>
        <v>Regular/Original Wrapping</v>
      </c>
      <c r="L4486" t="str">
        <f>_xlfn.XLOOKUP($A4486,Load!$B:$B,Load!M:M,0,)</f>
        <v>Multiple Brands / Variety Flavors or Form</v>
      </c>
    </row>
    <row r="4487" spans="1:12" x14ac:dyDescent="0.25">
      <c r="A4487" t="s">
        <v>288</v>
      </c>
      <c r="B4487" t="str">
        <f>_xlfn.XLOOKUP($A4487,Load!$B:$B,Load!C:C,0,)</f>
        <v>SweeTARTS</v>
      </c>
      <c r="C4487" t="str">
        <f>_xlfn.XLOOKUP($A4487,Load!$B:$B,Load!D:D,0,)</f>
        <v>Non-Chocolate Candy Only</v>
      </c>
      <c r="D4487" t="str">
        <f>_xlfn.XLOOKUP($A4487,Load!$B:$B,Load!E:E,0,)</f>
        <v>Variety / Mixed Flavors (Fruity, Sour, Seasonal Flavors)</v>
      </c>
      <c r="E4487" t="str">
        <f>_xlfn.XLOOKUP($A4487,Load!$B:$B,Load!F:F,0,)</f>
        <v>Mixed / Combo Packs (Gummy, Chewy, Taffy, etc.)</v>
      </c>
      <c r="F4487" t="str">
        <f>_xlfn.XLOOKUP($A4487,Load!$B:$B,Load!G:G,0,)</f>
        <v>Medium Multipack (40–80 ct)</v>
      </c>
      <c r="G4487" t="str">
        <f>_xlfn.XLOOKUP($A4487,Load!$B:$B,Load!H:H,0,)</f>
        <v>Stand-Up Bag</v>
      </c>
      <c r="H4487" t="str">
        <f>_xlfn.XLOOKUP($A4487,Load!$B:$B,Load!I:I,0,)</f>
        <v>Everyday Candy Shapes (like Original, Gummy bear, Fruit, Jewels, etc.)</v>
      </c>
      <c r="I4487" t="str">
        <f>_xlfn.XLOOKUP($A4487,Load!$B:$B,Load!J:J,0,)</f>
        <v>Seasonal Graphics (Like Bat, Ghost, Pumpkin, Fall Leaves, Eyeballs, etc.)</v>
      </c>
      <c r="J4487" t="str">
        <f>_xlfn.XLOOKUP($A4487,Load!$B:$B,Load!K:K,0,)</f>
        <v>Small Pieces (Tiny bite size candies)</v>
      </c>
      <c r="K4487" t="str">
        <f>_xlfn.XLOOKUP($A4487,Load!$B:$B,Load!L:L,0,)</f>
        <v>Regular/Original Wrapping</v>
      </c>
      <c r="L4487" t="str">
        <f>_xlfn.XLOOKUP($A4487,Load!$B:$B,Load!M:M,0,)</f>
        <v>Single Brand / Variety Flavors or Form</v>
      </c>
    </row>
    <row r="4488" spans="1:12" x14ac:dyDescent="0.25">
      <c r="A4488" t="s">
        <v>175</v>
      </c>
      <c r="B4488" t="str">
        <f>_xlfn.XLOOKUP($A4488,Load!$B:$B,Load!C:C,0,)</f>
        <v>Mars Variety Pack</v>
      </c>
      <c r="C4488" t="str">
        <f>_xlfn.XLOOKUP($A4488,Load!$B:$B,Load!D:D,0,)</f>
        <v>Mix of Chocolate and Non-Chocolate Candy</v>
      </c>
      <c r="D4488" t="str">
        <f>_xlfn.XLOOKUP($A4488,Load!$B:$B,Load!E:E,0,)</f>
        <v>Variety / Mixed Flavors (Fruity, Sour, Seasonal Flavors)</v>
      </c>
      <c r="E4488" t="str">
        <f>_xlfn.XLOOKUP($A4488,Load!$B:$B,Load!F:F,0,)</f>
        <v>Mixed / Combo Packs (Gummy, Chewy, Taffy, etc.)</v>
      </c>
      <c r="F4488" t="str">
        <f>_xlfn.XLOOKUP($A4488,Load!$B:$B,Load!G:G,0,)</f>
        <v>Large Multipack (More than 80 ct)</v>
      </c>
      <c r="G4488" t="str">
        <f>_xlfn.XLOOKUP($A4488,Load!$B:$B,Load!H:H,0,)</f>
        <v>Stand-Up Bag</v>
      </c>
      <c r="H4488" t="str">
        <f>_xlfn.XLOOKUP($A4488,Load!$B:$B,Load!I:I,0,)</f>
        <v>Everyday Candy Shapes (like Original, Gummy bear, Fruit, Jewels, etc.)</v>
      </c>
      <c r="I4488" t="str">
        <f>_xlfn.XLOOKUP($A4488,Load!$B:$B,Load!J:J,0,)</f>
        <v>Seasonal Graphics (Like Bat, Ghost, Pumpkin, Fall Leaves, Eyeballs, etc.)</v>
      </c>
      <c r="J4488" t="str">
        <f>_xlfn.XLOOKUP($A4488,Load!$B:$B,Load!K:K,0,)</f>
        <v xml:space="preserve">Variety Candy Sizes </v>
      </c>
      <c r="K4488" t="str">
        <f>_xlfn.XLOOKUP($A4488,Load!$B:$B,Load!L:L,0,)</f>
        <v>Regular/Original Wrapping</v>
      </c>
      <c r="L4488" t="str">
        <f>_xlfn.XLOOKUP($A4488,Load!$B:$B,Load!M:M,0,)</f>
        <v>Multiple Brands / Variety Flavors or Form</v>
      </c>
    </row>
    <row r="4489" spans="1:12" x14ac:dyDescent="0.25">
      <c r="A4489" t="s">
        <v>140</v>
      </c>
      <c r="B4489" t="str">
        <f>_xlfn.XLOOKUP($A4489,Load!$B:$B,Load!C:C,0,)</f>
        <v>Hershey's Variety Pack + Haribo</v>
      </c>
      <c r="C4489" t="str">
        <f>_xlfn.XLOOKUP($A4489,Load!$B:$B,Load!D:D,0,)</f>
        <v>Mix of Chocolate and Non-Chocolate Candy</v>
      </c>
      <c r="D4489" t="str">
        <f>_xlfn.XLOOKUP($A4489,Load!$B:$B,Load!E:E,0,)</f>
        <v>Variety / Mixed Flavors (Fruity, Sour, Seasonal Flavors)</v>
      </c>
      <c r="E4489" t="str">
        <f>_xlfn.XLOOKUP($A4489,Load!$B:$B,Load!F:F,0,)</f>
        <v>Mixed / Combo Packs (Gummy, Chewy, Taffy, etc.)</v>
      </c>
      <c r="F4489" t="str">
        <f>_xlfn.XLOOKUP($A4489,Load!$B:$B,Load!G:G,0,)</f>
        <v>Large Multipack (More than 80 ct)</v>
      </c>
      <c r="G4489" t="str">
        <f>_xlfn.XLOOKUP($A4489,Load!$B:$B,Load!H:H,0,)</f>
        <v>Stand-Up Bag</v>
      </c>
      <c r="H4489" t="str">
        <f>_xlfn.XLOOKUP($A4489,Load!$B:$B,Load!I:I,0,)</f>
        <v>Everyday Candy Shapes (like Original, Gummy bear, Fruit, Jewels, etc.)</v>
      </c>
      <c r="I4489" t="str">
        <f>_xlfn.XLOOKUP($A4489,Load!$B:$B,Load!J:J,0,)</f>
        <v>Seasonal Graphics (Like Bat, Ghost, Pumpkin, Fall Leaves, Eyeballs, etc.)</v>
      </c>
      <c r="J4489" t="str">
        <f>_xlfn.XLOOKUP($A4489,Load!$B:$B,Load!K:K,0,)</f>
        <v xml:space="preserve">Variety Candy Sizes </v>
      </c>
      <c r="K4489" t="str">
        <f>_xlfn.XLOOKUP($A4489,Load!$B:$B,Load!L:L,0,)</f>
        <v>Regular/Original Wrapping</v>
      </c>
      <c r="L4489" t="str">
        <f>_xlfn.XLOOKUP($A4489,Load!$B:$B,Load!M:M,0,)</f>
        <v>Multiple Brands / Variety Flavors or Form</v>
      </c>
    </row>
    <row r="4490" spans="1:12" x14ac:dyDescent="0.25">
      <c r="A4490" t="s">
        <v>236</v>
      </c>
      <c r="B4490" t="str">
        <f>_xlfn.XLOOKUP($A4490,Load!$B:$B,Load!C:C,0,)</f>
        <v>Nerds</v>
      </c>
      <c r="C4490" t="str">
        <f>_xlfn.XLOOKUP($A4490,Load!$B:$B,Load!D:D,0,)</f>
        <v>Non-Chocolate Candy Only</v>
      </c>
      <c r="D4490" t="str">
        <f>_xlfn.XLOOKUP($A4490,Load!$B:$B,Load!E:E,0,)</f>
        <v>Variety / Mixed Flavors (Fruity, Sour, Seasonal Flavors)</v>
      </c>
      <c r="E4490" t="str">
        <f>_xlfn.XLOOKUP($A4490,Load!$B:$B,Load!F:F,0,)</f>
        <v>Candy Pieces / Bites</v>
      </c>
      <c r="F4490" t="str">
        <f>_xlfn.XLOOKUP($A4490,Load!$B:$B,Load!G:G,0,)</f>
        <v>Medium Multipack (40–80 ct)</v>
      </c>
      <c r="G4490" t="str">
        <f>_xlfn.XLOOKUP($A4490,Load!$B:$B,Load!H:H,0,)</f>
        <v>Stand-Up Bag</v>
      </c>
      <c r="H4490" t="str">
        <f>_xlfn.XLOOKUP($A4490,Load!$B:$B,Load!I:I,0,)</f>
        <v>Everyday Candy Shapes (like Original, Gummy bear, Fruit, Jewels, etc.)</v>
      </c>
      <c r="I4490" t="str">
        <f>_xlfn.XLOOKUP($A4490,Load!$B:$B,Load!J:J,0,)</f>
        <v>Seasonal Graphics (Like Bat, Ghost, Pumpkin, Fall Leaves, Eyeballs, etc.)</v>
      </c>
      <c r="J4490" t="str">
        <f>_xlfn.XLOOKUP($A4490,Load!$B:$B,Load!K:K,0,)</f>
        <v>Small Pieces (Tiny bite size candies)</v>
      </c>
      <c r="K4490" t="str">
        <f>_xlfn.XLOOKUP($A4490,Load!$B:$B,Load!L:L,0,)</f>
        <v>Unwrapped</v>
      </c>
      <c r="L4490" t="str">
        <f>_xlfn.XLOOKUP($A4490,Load!$B:$B,Load!M:M,0,)</f>
        <v>Single Brand / Variety Flavors or Form</v>
      </c>
    </row>
    <row r="4491" spans="1:12" x14ac:dyDescent="0.25">
      <c r="B4491">
        <f>_xlfn.XLOOKUP($A4491,Load!$B:$B,Load!C:C,0,)</f>
        <v>0</v>
      </c>
      <c r="C4491">
        <f>_xlfn.XLOOKUP($A4491,Load!$B:$B,Load!D:D,0,)</f>
        <v>0</v>
      </c>
      <c r="D4491">
        <f>_xlfn.XLOOKUP($A4491,Load!$B:$B,Load!E:E,0,)</f>
        <v>0</v>
      </c>
      <c r="E4491">
        <f>_xlfn.XLOOKUP($A4491,Load!$B:$B,Load!F:F,0,)</f>
        <v>0</v>
      </c>
      <c r="F4491">
        <f>_xlfn.XLOOKUP($A4491,Load!$B:$B,Load!G:G,0,)</f>
        <v>0</v>
      </c>
      <c r="G4491">
        <f>_xlfn.XLOOKUP($A4491,Load!$B:$B,Load!H:H,0,)</f>
        <v>0</v>
      </c>
      <c r="H4491">
        <f>_xlfn.XLOOKUP($A4491,Load!$B:$B,Load!I:I,0,)</f>
        <v>0</v>
      </c>
      <c r="I4491">
        <f>_xlfn.XLOOKUP($A4491,Load!$B:$B,Load!J:J,0,)</f>
        <v>0</v>
      </c>
      <c r="J4491">
        <f>_xlfn.XLOOKUP($A4491,Load!$B:$B,Load!K:K,0,)</f>
        <v>0</v>
      </c>
      <c r="K4491">
        <f>_xlfn.XLOOKUP($A4491,Load!$B:$B,Load!L:L,0,)</f>
        <v>0</v>
      </c>
      <c r="L4491">
        <f>_xlfn.XLOOKUP($A4491,Load!$B:$B,Load!M:M,0,)</f>
        <v>0</v>
      </c>
    </row>
    <row r="4492" spans="1:12" x14ac:dyDescent="0.25">
      <c r="A4492" t="s">
        <v>139</v>
      </c>
      <c r="B4492" t="str">
        <f>_xlfn.XLOOKUP($A4492,Load!$B:$B,Load!C:C,0,)</f>
        <v>Hershey's Variety Pack + Haribo</v>
      </c>
      <c r="C4492" t="str">
        <f>_xlfn.XLOOKUP($A4492,Load!$B:$B,Load!D:D,0,)</f>
        <v>Mix of Chocolate and Non-Chocolate Candy</v>
      </c>
      <c r="D4492" t="str">
        <f>_xlfn.XLOOKUP($A4492,Load!$B:$B,Load!E:E,0,)</f>
        <v>Variety / Mixed Flavors (Fruity, Sour, Seasonal Flavors)</v>
      </c>
      <c r="E4492" t="str">
        <f>_xlfn.XLOOKUP($A4492,Load!$B:$B,Load!F:F,0,)</f>
        <v>Mixed / Combo Packs (Gummy, Chewy, Taffy, etc.)</v>
      </c>
      <c r="F4492" t="str">
        <f>_xlfn.XLOOKUP($A4492,Load!$B:$B,Load!G:G,0,)</f>
        <v>Large Multipack (More than 80 ct)</v>
      </c>
      <c r="G4492" t="str">
        <f>_xlfn.XLOOKUP($A4492,Load!$B:$B,Load!H:H,0,)</f>
        <v>Stand-Up Bag</v>
      </c>
      <c r="H4492" t="str">
        <f>_xlfn.XLOOKUP($A4492,Load!$B:$B,Load!I:I,0,)</f>
        <v>Everyday Candy Shapes (like Original, Gummy bear, Fruit, Jewels, etc.)</v>
      </c>
      <c r="I4492" t="str">
        <f>_xlfn.XLOOKUP($A4492,Load!$B:$B,Load!J:J,0,)</f>
        <v>Seasonal Graphics (Like Bat, Ghost, Pumpkin, Fall Leaves, Eyeballs, etc.)</v>
      </c>
      <c r="J4492" t="str">
        <f>_xlfn.XLOOKUP($A4492,Load!$B:$B,Load!K:K,0,)</f>
        <v>Fun Size / Treat Size</v>
      </c>
      <c r="K4492" t="str">
        <f>_xlfn.XLOOKUP($A4492,Load!$B:$B,Load!L:L,0,)</f>
        <v>Regular/Original Wrapping</v>
      </c>
      <c r="L4492" t="str">
        <f>_xlfn.XLOOKUP($A4492,Load!$B:$B,Load!M:M,0,)</f>
        <v>Multiple Brands / Variety Flavors or Form</v>
      </c>
    </row>
    <row r="4493" spans="1:12" x14ac:dyDescent="0.25">
      <c r="B4493">
        <f>_xlfn.XLOOKUP($A4493,Load!$B:$B,Load!C:C,0,)</f>
        <v>0</v>
      </c>
      <c r="C4493">
        <f>_xlfn.XLOOKUP($A4493,Load!$B:$B,Load!D:D,0,)</f>
        <v>0</v>
      </c>
      <c r="D4493">
        <f>_xlfn.XLOOKUP($A4493,Load!$B:$B,Load!E:E,0,)</f>
        <v>0</v>
      </c>
      <c r="E4493">
        <f>_xlfn.XLOOKUP($A4493,Load!$B:$B,Load!F:F,0,)</f>
        <v>0</v>
      </c>
      <c r="F4493">
        <f>_xlfn.XLOOKUP($A4493,Load!$B:$B,Load!G:G,0,)</f>
        <v>0</v>
      </c>
      <c r="G4493">
        <f>_xlfn.XLOOKUP($A4493,Load!$B:$B,Load!H:H,0,)</f>
        <v>0</v>
      </c>
      <c r="H4493">
        <f>_xlfn.XLOOKUP($A4493,Load!$B:$B,Load!I:I,0,)</f>
        <v>0</v>
      </c>
      <c r="I4493">
        <f>_xlfn.XLOOKUP($A4493,Load!$B:$B,Load!J:J,0,)</f>
        <v>0</v>
      </c>
      <c r="J4493">
        <f>_xlfn.XLOOKUP($A4493,Load!$B:$B,Load!K:K,0,)</f>
        <v>0</v>
      </c>
      <c r="K4493">
        <f>_xlfn.XLOOKUP($A4493,Load!$B:$B,Load!L:L,0,)</f>
        <v>0</v>
      </c>
      <c r="L4493">
        <f>_xlfn.XLOOKUP($A4493,Load!$B:$B,Load!M:M,0,)</f>
        <v>0</v>
      </c>
    </row>
    <row r="4494" spans="1:12" x14ac:dyDescent="0.25">
      <c r="A4494" t="s">
        <v>131</v>
      </c>
      <c r="B4494" t="str">
        <f>_xlfn.XLOOKUP($A4494,Load!$B:$B,Load!C:C,0,)</f>
        <v>Hershey's</v>
      </c>
      <c r="C4494" t="str">
        <f>_xlfn.XLOOKUP($A4494,Load!$B:$B,Load!D:D,0,)</f>
        <v>Mix of Chocolate and Non-Chocolate Candy</v>
      </c>
      <c r="D4494" t="str">
        <f>_xlfn.XLOOKUP($A4494,Load!$B:$B,Load!E:E,0,)</f>
        <v>Variety / Mixed Flavors (Fruity, Sour, Seasonal Flavors)</v>
      </c>
      <c r="E4494" t="str">
        <f>_xlfn.XLOOKUP($A4494,Load!$B:$B,Load!F:F,0,)</f>
        <v>Mixed / Combo Packs (Gummy, Chewy, Taffy, etc.)</v>
      </c>
      <c r="F4494" t="str">
        <f>_xlfn.XLOOKUP($A4494,Load!$B:$B,Load!G:G,0,)</f>
        <v>Large Multipack (More than 80 ct)</v>
      </c>
      <c r="G4494" t="str">
        <f>_xlfn.XLOOKUP($A4494,Load!$B:$B,Load!H:H,0,)</f>
        <v>Stand-Up Bag</v>
      </c>
      <c r="H4494" t="str">
        <f>_xlfn.XLOOKUP($A4494,Load!$B:$B,Load!I:I,0,)</f>
        <v>Everyday Candy Shapes (like Original, Gummy bear, Fruit, Jewels, etc.)</v>
      </c>
      <c r="I4494" t="str">
        <f>_xlfn.XLOOKUP($A4494,Load!$B:$B,Load!J:J,0,)</f>
        <v>Seasonal Graphics (Like Bat, Ghost, Pumpkin, Fall Leaves, Eyeballs, etc.)</v>
      </c>
      <c r="J4494" t="str">
        <f>_xlfn.XLOOKUP($A4494,Load!$B:$B,Load!K:K,0,)</f>
        <v>Fun Size / Treat Size</v>
      </c>
      <c r="K4494" t="str">
        <f>_xlfn.XLOOKUP($A4494,Load!$B:$B,Load!L:L,0,)</f>
        <v>Regular/Original Wrapping</v>
      </c>
      <c r="L4494" t="str">
        <f>_xlfn.XLOOKUP($A4494,Load!$B:$B,Load!M:M,0,)</f>
        <v>Multiple Brands / Variety Flavors or Form</v>
      </c>
    </row>
    <row r="4495" spans="1:12" x14ac:dyDescent="0.25">
      <c r="A4495" t="s">
        <v>96</v>
      </c>
      <c r="B4495" t="str">
        <f>_xlfn.XLOOKUP($A4495,Load!$B:$B,Load!C:C,0,)</f>
        <v>Ferrero Variety Pack</v>
      </c>
      <c r="C4495" t="str">
        <f>_xlfn.XLOOKUP($A4495,Load!$B:$B,Load!D:D,0,)</f>
        <v>Mix of Chocolate and Non-Chocolate Candy</v>
      </c>
      <c r="D4495" t="str">
        <f>_xlfn.XLOOKUP($A4495,Load!$B:$B,Load!E:E,0,)</f>
        <v>Variety / Mixed Flavors (Fruity, Sour, Seasonal Flavors)</v>
      </c>
      <c r="E4495" t="str">
        <f>_xlfn.XLOOKUP($A4495,Load!$B:$B,Load!F:F,0,)</f>
        <v>Mixed / Combo Packs (Gummy, Chewy, Taffy, etc.)</v>
      </c>
      <c r="F4495" t="str">
        <f>_xlfn.XLOOKUP($A4495,Load!$B:$B,Load!G:G,0,)</f>
        <v>Large Multipack (More than 80 ct)</v>
      </c>
      <c r="G4495" t="str">
        <f>_xlfn.XLOOKUP($A4495,Load!$B:$B,Load!H:H,0,)</f>
        <v>Stand-Up Bag</v>
      </c>
      <c r="H4495" t="str">
        <f>_xlfn.XLOOKUP($A4495,Load!$B:$B,Load!I:I,0,)</f>
        <v>Everyday Candy Shapes (like Original, Gummy bear, Fruit, Jewels, etc.)</v>
      </c>
      <c r="I4495" t="str">
        <f>_xlfn.XLOOKUP($A4495,Load!$B:$B,Load!J:J,0,)</f>
        <v>Seasonal Graphics (Like Bat, Ghost, Pumpkin, Fall Leaves, Eyeballs, etc.)</v>
      </c>
      <c r="J4495" t="str">
        <f>_xlfn.XLOOKUP($A4495,Load!$B:$B,Load!K:K,0,)</f>
        <v>Fun Size / Treat Size</v>
      </c>
      <c r="K4495" t="str">
        <f>_xlfn.XLOOKUP($A4495,Load!$B:$B,Load!L:L,0,)</f>
        <v>Regular/Original Wrapping</v>
      </c>
      <c r="L4495" t="str">
        <f>_xlfn.XLOOKUP($A4495,Load!$B:$B,Load!M:M,0,)</f>
        <v>Multiple Brands / Variety Flavors or Form</v>
      </c>
    </row>
    <row r="4496" spans="1:12" x14ac:dyDescent="0.25">
      <c r="A4496" t="s">
        <v>131</v>
      </c>
      <c r="B4496" t="str">
        <f>_xlfn.XLOOKUP($A4496,Load!$B:$B,Load!C:C,0,)</f>
        <v>Hershey's</v>
      </c>
      <c r="C4496" t="str">
        <f>_xlfn.XLOOKUP($A4496,Load!$B:$B,Load!D:D,0,)</f>
        <v>Mix of Chocolate and Non-Chocolate Candy</v>
      </c>
      <c r="D4496" t="str">
        <f>_xlfn.XLOOKUP($A4496,Load!$B:$B,Load!E:E,0,)</f>
        <v>Variety / Mixed Flavors (Fruity, Sour, Seasonal Flavors)</v>
      </c>
      <c r="E4496" t="str">
        <f>_xlfn.XLOOKUP($A4496,Load!$B:$B,Load!F:F,0,)</f>
        <v>Mixed / Combo Packs (Gummy, Chewy, Taffy, etc.)</v>
      </c>
      <c r="F4496" t="str">
        <f>_xlfn.XLOOKUP($A4496,Load!$B:$B,Load!G:G,0,)</f>
        <v>Large Multipack (More than 80 ct)</v>
      </c>
      <c r="G4496" t="str">
        <f>_xlfn.XLOOKUP($A4496,Load!$B:$B,Load!H:H,0,)</f>
        <v>Stand-Up Bag</v>
      </c>
      <c r="H4496" t="str">
        <f>_xlfn.XLOOKUP($A4496,Load!$B:$B,Load!I:I,0,)</f>
        <v>Everyday Candy Shapes (like Original, Gummy bear, Fruit, Jewels, etc.)</v>
      </c>
      <c r="I4496" t="str">
        <f>_xlfn.XLOOKUP($A4496,Load!$B:$B,Load!J:J,0,)</f>
        <v>Seasonal Graphics (Like Bat, Ghost, Pumpkin, Fall Leaves, Eyeballs, etc.)</v>
      </c>
      <c r="J4496" t="str">
        <f>_xlfn.XLOOKUP($A4496,Load!$B:$B,Load!K:K,0,)</f>
        <v>Fun Size / Treat Size</v>
      </c>
      <c r="K4496" t="str">
        <f>_xlfn.XLOOKUP($A4496,Load!$B:$B,Load!L:L,0,)</f>
        <v>Regular/Original Wrapping</v>
      </c>
      <c r="L4496" t="str">
        <f>_xlfn.XLOOKUP($A4496,Load!$B:$B,Load!M:M,0,)</f>
        <v>Multiple Brands / Variety Flavors or Form</v>
      </c>
    </row>
    <row r="4497" spans="1:12" x14ac:dyDescent="0.25">
      <c r="A4497" t="s">
        <v>71</v>
      </c>
      <c r="B4497" t="str">
        <f>_xlfn.XLOOKUP($A4497,Load!$B:$B,Load!C:C,0,)</f>
        <v>Dum Dums</v>
      </c>
      <c r="C4497" t="str">
        <f>_xlfn.XLOOKUP($A4497,Load!$B:$B,Load!D:D,0,)</f>
        <v>Non-Chocolate Candy Only</v>
      </c>
      <c r="D4497" t="str">
        <f>_xlfn.XLOOKUP($A4497,Load!$B:$B,Load!E:E,0,)</f>
        <v>Sweet</v>
      </c>
      <c r="E4497" t="str">
        <f>_xlfn.XLOOKUP($A4497,Load!$B:$B,Load!F:F,0,)</f>
        <v>Lollipop (regular or lollipop rings)</v>
      </c>
      <c r="F4497" t="str">
        <f>_xlfn.XLOOKUP($A4497,Load!$B:$B,Load!G:G,0,)</f>
        <v>Large Multipack (More than 80 ct)</v>
      </c>
      <c r="G4497" t="str">
        <f>_xlfn.XLOOKUP($A4497,Load!$B:$B,Load!H:H,0,)</f>
        <v>Stand-Up Bag</v>
      </c>
      <c r="H4497" t="str">
        <f>_xlfn.XLOOKUP($A4497,Load!$B:$B,Load!I:I,0,)</f>
        <v>Everyday Candy Shapes (like Original, Gummy bear, Fruit, Jewels, etc.)</v>
      </c>
      <c r="I4497" t="str">
        <f>_xlfn.XLOOKUP($A4497,Load!$B:$B,Load!J:J,0,)</f>
        <v>Seasonal Graphics (Like Bat, Ghost, Pumpkin, Fall Leaves, Eyeballs, etc.)</v>
      </c>
      <c r="J4497" t="str">
        <f>_xlfn.XLOOKUP($A4497,Load!$B:$B,Load!K:K,0,)</f>
        <v>Regular Lollipop size (on sticks or rings)</v>
      </c>
      <c r="K4497" t="str">
        <f>_xlfn.XLOOKUP($A4497,Load!$B:$B,Load!L:L,0,)</f>
        <v>Regular/Original Wrapping</v>
      </c>
      <c r="L4497" t="str">
        <f>_xlfn.XLOOKUP($A4497,Load!$B:$B,Load!M:M,0,)</f>
        <v>Multiple Brands / Variety Flavors or Form</v>
      </c>
    </row>
    <row r="4498" spans="1:12" x14ac:dyDescent="0.25">
      <c r="A4498" t="s">
        <v>14</v>
      </c>
      <c r="B4498" t="str">
        <f>_xlfn.XLOOKUP($A4498,Load!$B:$B,Load!C:C,0,)</f>
        <v>Airheads</v>
      </c>
      <c r="C4498" t="str">
        <f>_xlfn.XLOOKUP($A4498,Load!$B:$B,Load!D:D,0,)</f>
        <v>Non-Chocolate Candy Only</v>
      </c>
      <c r="D4498" t="str">
        <f>_xlfn.XLOOKUP($A4498,Load!$B:$B,Load!E:E,0,)</f>
        <v>Variety / Mixed Flavors (Fruity, Sour, Seasonal Flavors)</v>
      </c>
      <c r="E4498" t="str">
        <f>_xlfn.XLOOKUP($A4498,Load!$B:$B,Load!F:F,0,)</f>
        <v>Chewy</v>
      </c>
      <c r="F4498" t="str">
        <f>_xlfn.XLOOKUP($A4498,Load!$B:$B,Load!G:G,0,)</f>
        <v>Small Multipack (Less than 40 ct)</v>
      </c>
      <c r="G4498" t="str">
        <f>_xlfn.XLOOKUP($A4498,Load!$B:$B,Load!H:H,0,)</f>
        <v>Stand-Up Bag</v>
      </c>
      <c r="H4498" t="str">
        <f>_xlfn.XLOOKUP($A4498,Load!$B:$B,Load!I:I,0,)</f>
        <v>Everyday Candy Shapes (like Original, Gummy bear, Fruit, Jewels, etc.)</v>
      </c>
      <c r="I4498" t="str">
        <f>_xlfn.XLOOKUP($A4498,Load!$B:$B,Load!J:J,0,)</f>
        <v>Everyday Graphics</v>
      </c>
      <c r="J4498" t="str">
        <f>_xlfn.XLOOKUP($A4498,Load!$B:$B,Load!K:K,0,)</f>
        <v>Fun Size / Treat Size</v>
      </c>
      <c r="K4498" t="str">
        <f>_xlfn.XLOOKUP($A4498,Load!$B:$B,Load!L:L,0,)</f>
        <v>Regular/Original Wrapping</v>
      </c>
      <c r="L4498" t="str">
        <f>_xlfn.XLOOKUP($A4498,Load!$B:$B,Load!M:M,0,)</f>
        <v>Single Brand / Variety Flavors or Form</v>
      </c>
    </row>
    <row r="4499" spans="1:12" x14ac:dyDescent="0.25">
      <c r="A4499" t="s">
        <v>302</v>
      </c>
      <c r="B4499" t="str">
        <f>_xlfn.XLOOKUP($A4499,Load!$B:$B,Load!C:C,0,)</f>
        <v>Twizzlers</v>
      </c>
      <c r="C4499" t="str">
        <f>_xlfn.XLOOKUP($A4499,Load!$B:$B,Load!D:D,0,)</f>
        <v>Non-Chocolate Candy Only</v>
      </c>
      <c r="D4499" t="str">
        <f>_xlfn.XLOOKUP($A4499,Load!$B:$B,Load!E:E,0,)</f>
        <v>Berry Based (Raspberry, Strawberry, Medley, etc.)</v>
      </c>
      <c r="E4499" t="str">
        <f>_xlfn.XLOOKUP($A4499,Load!$B:$B,Load!F:F,0,)</f>
        <v>Chewy</v>
      </c>
      <c r="F4499" t="str">
        <f>_xlfn.XLOOKUP($A4499,Load!$B:$B,Load!G:G,0,)</f>
        <v>Single Pack</v>
      </c>
      <c r="G4499" t="str">
        <f>_xlfn.XLOOKUP($A4499,Load!$B:$B,Load!H:H,0,)</f>
        <v>Laydown Bag</v>
      </c>
      <c r="H4499" t="str">
        <f>_xlfn.XLOOKUP($A4499,Load!$B:$B,Load!I:I,0,)</f>
        <v>Everyday Candy Shapes (like Original, Gummy bear, Fruit, Jewels, etc.)</v>
      </c>
      <c r="I4499" t="str">
        <f>_xlfn.XLOOKUP($A4499,Load!$B:$B,Load!J:J,0,)</f>
        <v>Seasonal Graphics (Like Bat, Ghost, Pumpkin, Fall Leaves, Eyeballs, etc.)</v>
      </c>
      <c r="J4499" t="str">
        <f>_xlfn.XLOOKUP($A4499,Load!$B:$B,Load!K:K,0,)</f>
        <v>Small Pieces (Tiny bite size candies)</v>
      </c>
      <c r="K4499" t="str">
        <f>_xlfn.XLOOKUP($A4499,Load!$B:$B,Load!L:L,0,)</f>
        <v>unwrapped</v>
      </c>
      <c r="L4499" t="str">
        <f>_xlfn.XLOOKUP($A4499,Load!$B:$B,Load!M:M,0,)</f>
        <v>Single Brand / Single Flavor or Form</v>
      </c>
    </row>
    <row r="4500" spans="1:12" x14ac:dyDescent="0.25">
      <c r="B4500">
        <f>_xlfn.XLOOKUP($A4500,Load!$B:$B,Load!C:C,0,)</f>
        <v>0</v>
      </c>
      <c r="C4500">
        <f>_xlfn.XLOOKUP($A4500,Load!$B:$B,Load!D:D,0,)</f>
        <v>0</v>
      </c>
      <c r="D4500">
        <f>_xlfn.XLOOKUP($A4500,Load!$B:$B,Load!E:E,0,)</f>
        <v>0</v>
      </c>
      <c r="E4500">
        <f>_xlfn.XLOOKUP($A4500,Load!$B:$B,Load!F:F,0,)</f>
        <v>0</v>
      </c>
      <c r="F4500">
        <f>_xlfn.XLOOKUP($A4500,Load!$B:$B,Load!G:G,0,)</f>
        <v>0</v>
      </c>
      <c r="G4500">
        <f>_xlfn.XLOOKUP($A4500,Load!$B:$B,Load!H:H,0,)</f>
        <v>0</v>
      </c>
      <c r="H4500">
        <f>_xlfn.XLOOKUP($A4500,Load!$B:$B,Load!I:I,0,)</f>
        <v>0</v>
      </c>
      <c r="I4500">
        <f>_xlfn.XLOOKUP($A4500,Load!$B:$B,Load!J:J,0,)</f>
        <v>0</v>
      </c>
      <c r="J4500">
        <f>_xlfn.XLOOKUP($A4500,Load!$B:$B,Load!K:K,0,)</f>
        <v>0</v>
      </c>
      <c r="K4500">
        <f>_xlfn.XLOOKUP($A4500,Load!$B:$B,Load!L:L,0,)</f>
        <v>0</v>
      </c>
      <c r="L4500">
        <f>_xlfn.XLOOKUP($A4500,Load!$B:$B,Load!M:M,0,)</f>
        <v>0</v>
      </c>
    </row>
    <row r="4501" spans="1:12" x14ac:dyDescent="0.25">
      <c r="B4501">
        <f>_xlfn.XLOOKUP($A4501,Load!$B:$B,Load!C:C,0,)</f>
        <v>0</v>
      </c>
      <c r="C4501">
        <f>_xlfn.XLOOKUP($A4501,Load!$B:$B,Load!D:D,0,)</f>
        <v>0</v>
      </c>
      <c r="D4501">
        <f>_xlfn.XLOOKUP($A4501,Load!$B:$B,Load!E:E,0,)</f>
        <v>0</v>
      </c>
      <c r="E4501">
        <f>_xlfn.XLOOKUP($A4501,Load!$B:$B,Load!F:F,0,)</f>
        <v>0</v>
      </c>
      <c r="F4501">
        <f>_xlfn.XLOOKUP($A4501,Load!$B:$B,Load!G:G,0,)</f>
        <v>0</v>
      </c>
      <c r="G4501">
        <f>_xlfn.XLOOKUP($A4501,Load!$B:$B,Load!H:H,0,)</f>
        <v>0</v>
      </c>
      <c r="H4501">
        <f>_xlfn.XLOOKUP($A4501,Load!$B:$B,Load!I:I,0,)</f>
        <v>0</v>
      </c>
      <c r="I4501">
        <f>_xlfn.XLOOKUP($A4501,Load!$B:$B,Load!J:J,0,)</f>
        <v>0</v>
      </c>
      <c r="J4501">
        <f>_xlfn.XLOOKUP($A4501,Load!$B:$B,Load!K:K,0,)</f>
        <v>0</v>
      </c>
      <c r="K4501">
        <f>_xlfn.XLOOKUP($A4501,Load!$B:$B,Load!L:L,0,)</f>
        <v>0</v>
      </c>
      <c r="L4501">
        <f>_xlfn.XLOOKUP($A4501,Load!$B:$B,Load!M:M,0,)</f>
        <v>0</v>
      </c>
    </row>
    <row r="4502" spans="1:12" x14ac:dyDescent="0.25">
      <c r="B4502">
        <f>_xlfn.XLOOKUP($A4502,Load!$B:$B,Load!C:C,0,)</f>
        <v>0</v>
      </c>
      <c r="C4502">
        <f>_xlfn.XLOOKUP($A4502,Load!$B:$B,Load!D:D,0,)</f>
        <v>0</v>
      </c>
      <c r="D4502">
        <f>_xlfn.XLOOKUP($A4502,Load!$B:$B,Load!E:E,0,)</f>
        <v>0</v>
      </c>
      <c r="E4502">
        <f>_xlfn.XLOOKUP($A4502,Load!$B:$B,Load!F:F,0,)</f>
        <v>0</v>
      </c>
      <c r="F4502">
        <f>_xlfn.XLOOKUP($A4502,Load!$B:$B,Load!G:G,0,)</f>
        <v>0</v>
      </c>
      <c r="G4502">
        <f>_xlfn.XLOOKUP($A4502,Load!$B:$B,Load!H:H,0,)</f>
        <v>0</v>
      </c>
      <c r="H4502">
        <f>_xlfn.XLOOKUP($A4502,Load!$B:$B,Load!I:I,0,)</f>
        <v>0</v>
      </c>
      <c r="I4502">
        <f>_xlfn.XLOOKUP($A4502,Load!$B:$B,Load!J:J,0,)</f>
        <v>0</v>
      </c>
      <c r="J4502">
        <f>_xlfn.XLOOKUP($A4502,Load!$B:$B,Load!K:K,0,)</f>
        <v>0</v>
      </c>
      <c r="K4502">
        <f>_xlfn.XLOOKUP($A4502,Load!$B:$B,Load!L:L,0,)</f>
        <v>0</v>
      </c>
      <c r="L4502">
        <f>_xlfn.XLOOKUP($A4502,Load!$B:$B,Load!M:M,0,)</f>
        <v>0</v>
      </c>
    </row>
    <row r="4503" spans="1:12" x14ac:dyDescent="0.25">
      <c r="B4503">
        <f>_xlfn.XLOOKUP($A4503,Load!$B:$B,Load!C:C,0,)</f>
        <v>0</v>
      </c>
      <c r="C4503">
        <f>_xlfn.XLOOKUP($A4503,Load!$B:$B,Load!D:D,0,)</f>
        <v>0</v>
      </c>
      <c r="D4503">
        <f>_xlfn.XLOOKUP($A4503,Load!$B:$B,Load!E:E,0,)</f>
        <v>0</v>
      </c>
      <c r="E4503">
        <f>_xlfn.XLOOKUP($A4503,Load!$B:$B,Load!F:F,0,)</f>
        <v>0</v>
      </c>
      <c r="F4503">
        <f>_xlfn.XLOOKUP($A4503,Load!$B:$B,Load!G:G,0,)</f>
        <v>0</v>
      </c>
      <c r="G4503">
        <f>_xlfn.XLOOKUP($A4503,Load!$B:$B,Load!H:H,0,)</f>
        <v>0</v>
      </c>
      <c r="H4503">
        <f>_xlfn.XLOOKUP($A4503,Load!$B:$B,Load!I:I,0,)</f>
        <v>0</v>
      </c>
      <c r="I4503">
        <f>_xlfn.XLOOKUP($A4503,Load!$B:$B,Load!J:J,0,)</f>
        <v>0</v>
      </c>
      <c r="J4503">
        <f>_xlfn.XLOOKUP($A4503,Load!$B:$B,Load!K:K,0,)</f>
        <v>0</v>
      </c>
      <c r="K4503">
        <f>_xlfn.XLOOKUP($A4503,Load!$B:$B,Load!L:L,0,)</f>
        <v>0</v>
      </c>
      <c r="L4503">
        <f>_xlfn.XLOOKUP($A4503,Load!$B:$B,Load!M:M,0,)</f>
        <v>0</v>
      </c>
    </row>
    <row r="4504" spans="1:12" x14ac:dyDescent="0.25">
      <c r="A4504" t="s">
        <v>96</v>
      </c>
      <c r="B4504" t="str">
        <f>_xlfn.XLOOKUP($A4504,Load!$B:$B,Load!C:C,0,)</f>
        <v>Ferrero Variety Pack</v>
      </c>
      <c r="C4504" t="str">
        <f>_xlfn.XLOOKUP($A4504,Load!$B:$B,Load!D:D,0,)</f>
        <v>Mix of Chocolate and Non-Chocolate Candy</v>
      </c>
      <c r="D4504" t="str">
        <f>_xlfn.XLOOKUP($A4504,Load!$B:$B,Load!E:E,0,)</f>
        <v>Variety / Mixed Flavors (Fruity, Sour, Seasonal Flavors)</v>
      </c>
      <c r="E4504" t="str">
        <f>_xlfn.XLOOKUP($A4504,Load!$B:$B,Load!F:F,0,)</f>
        <v>Mixed / Combo Packs (Gummy, Chewy, Taffy, etc.)</v>
      </c>
      <c r="F4504" t="str">
        <f>_xlfn.XLOOKUP($A4504,Load!$B:$B,Load!G:G,0,)</f>
        <v>Large Multipack (More than 80 ct)</v>
      </c>
      <c r="G4504" t="str">
        <f>_xlfn.XLOOKUP($A4504,Load!$B:$B,Load!H:H,0,)</f>
        <v>Stand-Up Bag</v>
      </c>
      <c r="H4504" t="str">
        <f>_xlfn.XLOOKUP($A4504,Load!$B:$B,Load!I:I,0,)</f>
        <v>Everyday Candy Shapes (like Original, Gummy bear, Fruit, Jewels, etc.)</v>
      </c>
      <c r="I4504" t="str">
        <f>_xlfn.XLOOKUP($A4504,Load!$B:$B,Load!J:J,0,)</f>
        <v>Seasonal Graphics (Like Bat, Ghost, Pumpkin, Fall Leaves, Eyeballs, etc.)</v>
      </c>
      <c r="J4504" t="str">
        <f>_xlfn.XLOOKUP($A4504,Load!$B:$B,Load!K:K,0,)</f>
        <v>Fun Size / Treat Size</v>
      </c>
      <c r="K4504" t="str">
        <f>_xlfn.XLOOKUP($A4504,Load!$B:$B,Load!L:L,0,)</f>
        <v>Regular/Original Wrapping</v>
      </c>
      <c r="L4504" t="str">
        <f>_xlfn.XLOOKUP($A4504,Load!$B:$B,Load!M:M,0,)</f>
        <v>Multiple Brands / Variety Flavors or Form</v>
      </c>
    </row>
    <row r="4505" spans="1:12" x14ac:dyDescent="0.25">
      <c r="B4505">
        <f>_xlfn.XLOOKUP($A4505,Load!$B:$B,Load!C:C,0,)</f>
        <v>0</v>
      </c>
      <c r="C4505">
        <f>_xlfn.XLOOKUP($A4505,Load!$B:$B,Load!D:D,0,)</f>
        <v>0</v>
      </c>
      <c r="D4505">
        <f>_xlfn.XLOOKUP($A4505,Load!$B:$B,Load!E:E,0,)</f>
        <v>0</v>
      </c>
      <c r="E4505">
        <f>_xlfn.XLOOKUP($A4505,Load!$B:$B,Load!F:F,0,)</f>
        <v>0</v>
      </c>
      <c r="F4505">
        <f>_xlfn.XLOOKUP($A4505,Load!$B:$B,Load!G:G,0,)</f>
        <v>0</v>
      </c>
      <c r="G4505">
        <f>_xlfn.XLOOKUP($A4505,Load!$B:$B,Load!H:H,0,)</f>
        <v>0</v>
      </c>
      <c r="H4505">
        <f>_xlfn.XLOOKUP($A4505,Load!$B:$B,Load!I:I,0,)</f>
        <v>0</v>
      </c>
      <c r="I4505">
        <f>_xlfn.XLOOKUP($A4505,Load!$B:$B,Load!J:J,0,)</f>
        <v>0</v>
      </c>
      <c r="J4505">
        <f>_xlfn.XLOOKUP($A4505,Load!$B:$B,Load!K:K,0,)</f>
        <v>0</v>
      </c>
      <c r="K4505">
        <f>_xlfn.XLOOKUP($A4505,Load!$B:$B,Load!L:L,0,)</f>
        <v>0</v>
      </c>
      <c r="L4505">
        <f>_xlfn.XLOOKUP($A4505,Load!$B:$B,Load!M:M,0,)</f>
        <v>0</v>
      </c>
    </row>
    <row r="4506" spans="1:12" x14ac:dyDescent="0.25">
      <c r="B4506">
        <f>_xlfn.XLOOKUP($A4506,Load!$B:$B,Load!C:C,0,)</f>
        <v>0</v>
      </c>
      <c r="C4506">
        <f>_xlfn.XLOOKUP($A4506,Load!$B:$B,Load!D:D,0,)</f>
        <v>0</v>
      </c>
      <c r="D4506">
        <f>_xlfn.XLOOKUP($A4506,Load!$B:$B,Load!E:E,0,)</f>
        <v>0</v>
      </c>
      <c r="E4506">
        <f>_xlfn.XLOOKUP($A4506,Load!$B:$B,Load!F:F,0,)</f>
        <v>0</v>
      </c>
      <c r="F4506">
        <f>_xlfn.XLOOKUP($A4506,Load!$B:$B,Load!G:G,0,)</f>
        <v>0</v>
      </c>
      <c r="G4506">
        <f>_xlfn.XLOOKUP($A4506,Load!$B:$B,Load!H:H,0,)</f>
        <v>0</v>
      </c>
      <c r="H4506">
        <f>_xlfn.XLOOKUP($A4506,Load!$B:$B,Load!I:I,0,)</f>
        <v>0</v>
      </c>
      <c r="I4506">
        <f>_xlfn.XLOOKUP($A4506,Load!$B:$B,Load!J:J,0,)</f>
        <v>0</v>
      </c>
      <c r="J4506">
        <f>_xlfn.XLOOKUP($A4506,Load!$B:$B,Load!K:K,0,)</f>
        <v>0</v>
      </c>
      <c r="K4506">
        <f>_xlfn.XLOOKUP($A4506,Load!$B:$B,Load!L:L,0,)</f>
        <v>0</v>
      </c>
      <c r="L4506">
        <f>_xlfn.XLOOKUP($A4506,Load!$B:$B,Load!M:M,0,)</f>
        <v>0</v>
      </c>
    </row>
    <row r="4507" spans="1:12" x14ac:dyDescent="0.25">
      <c r="B4507">
        <f>_xlfn.XLOOKUP($A4507,Load!$B:$B,Load!C:C,0,)</f>
        <v>0</v>
      </c>
      <c r="C4507">
        <f>_xlfn.XLOOKUP($A4507,Load!$B:$B,Load!D:D,0,)</f>
        <v>0</v>
      </c>
      <c r="D4507">
        <f>_xlfn.XLOOKUP($A4507,Load!$B:$B,Load!E:E,0,)</f>
        <v>0</v>
      </c>
      <c r="E4507">
        <f>_xlfn.XLOOKUP($A4507,Load!$B:$B,Load!F:F,0,)</f>
        <v>0</v>
      </c>
      <c r="F4507">
        <f>_xlfn.XLOOKUP($A4507,Load!$B:$B,Load!G:G,0,)</f>
        <v>0</v>
      </c>
      <c r="G4507">
        <f>_xlfn.XLOOKUP($A4507,Load!$B:$B,Load!H:H,0,)</f>
        <v>0</v>
      </c>
      <c r="H4507">
        <f>_xlfn.XLOOKUP($A4507,Load!$B:$B,Load!I:I,0,)</f>
        <v>0</v>
      </c>
      <c r="I4507">
        <f>_xlfn.XLOOKUP($A4507,Load!$B:$B,Load!J:J,0,)</f>
        <v>0</v>
      </c>
      <c r="J4507">
        <f>_xlfn.XLOOKUP($A4507,Load!$B:$B,Load!K:K,0,)</f>
        <v>0</v>
      </c>
      <c r="K4507">
        <f>_xlfn.XLOOKUP($A4507,Load!$B:$B,Load!L:L,0,)</f>
        <v>0</v>
      </c>
      <c r="L4507">
        <f>_xlfn.XLOOKUP($A4507,Load!$B:$B,Load!M:M,0,)</f>
        <v>0</v>
      </c>
    </row>
    <row r="4508" spans="1:12" x14ac:dyDescent="0.25">
      <c r="B4508">
        <f>_xlfn.XLOOKUP($A4508,Load!$B:$B,Load!C:C,0,)</f>
        <v>0</v>
      </c>
      <c r="C4508">
        <f>_xlfn.XLOOKUP($A4508,Load!$B:$B,Load!D:D,0,)</f>
        <v>0</v>
      </c>
      <c r="D4508">
        <f>_xlfn.XLOOKUP($A4508,Load!$B:$B,Load!E:E,0,)</f>
        <v>0</v>
      </c>
      <c r="E4508">
        <f>_xlfn.XLOOKUP($A4508,Load!$B:$B,Load!F:F,0,)</f>
        <v>0</v>
      </c>
      <c r="F4508">
        <f>_xlfn.XLOOKUP($A4508,Load!$B:$B,Load!G:G,0,)</f>
        <v>0</v>
      </c>
      <c r="G4508">
        <f>_xlfn.XLOOKUP($A4508,Load!$B:$B,Load!H:H,0,)</f>
        <v>0</v>
      </c>
      <c r="H4508">
        <f>_xlfn.XLOOKUP($A4508,Load!$B:$B,Load!I:I,0,)</f>
        <v>0</v>
      </c>
      <c r="I4508">
        <f>_xlfn.XLOOKUP($A4508,Load!$B:$B,Load!J:J,0,)</f>
        <v>0</v>
      </c>
      <c r="J4508">
        <f>_xlfn.XLOOKUP($A4508,Load!$B:$B,Load!K:K,0,)</f>
        <v>0</v>
      </c>
      <c r="K4508">
        <f>_xlfn.XLOOKUP($A4508,Load!$B:$B,Load!L:L,0,)</f>
        <v>0</v>
      </c>
      <c r="L4508">
        <f>_xlfn.XLOOKUP($A4508,Load!$B:$B,Load!M:M,0,)</f>
        <v>0</v>
      </c>
    </row>
    <row r="4509" spans="1:12" x14ac:dyDescent="0.25">
      <c r="B4509">
        <f>_xlfn.XLOOKUP($A4509,Load!$B:$B,Load!C:C,0,)</f>
        <v>0</v>
      </c>
      <c r="C4509">
        <f>_xlfn.XLOOKUP($A4509,Load!$B:$B,Load!D:D,0,)</f>
        <v>0</v>
      </c>
      <c r="D4509">
        <f>_xlfn.XLOOKUP($A4509,Load!$B:$B,Load!E:E,0,)</f>
        <v>0</v>
      </c>
      <c r="E4509">
        <f>_xlfn.XLOOKUP($A4509,Load!$B:$B,Load!F:F,0,)</f>
        <v>0</v>
      </c>
      <c r="F4509">
        <f>_xlfn.XLOOKUP($A4509,Load!$B:$B,Load!G:G,0,)</f>
        <v>0</v>
      </c>
      <c r="G4509">
        <f>_xlfn.XLOOKUP($A4509,Load!$B:$B,Load!H:H,0,)</f>
        <v>0</v>
      </c>
      <c r="H4509">
        <f>_xlfn.XLOOKUP($A4509,Load!$B:$B,Load!I:I,0,)</f>
        <v>0</v>
      </c>
      <c r="I4509">
        <f>_xlfn.XLOOKUP($A4509,Load!$B:$B,Load!J:J,0,)</f>
        <v>0</v>
      </c>
      <c r="J4509">
        <f>_xlfn.XLOOKUP($A4509,Load!$B:$B,Load!K:K,0,)</f>
        <v>0</v>
      </c>
      <c r="K4509">
        <f>_xlfn.XLOOKUP($A4509,Load!$B:$B,Load!L:L,0,)</f>
        <v>0</v>
      </c>
      <c r="L4509">
        <f>_xlfn.XLOOKUP($A4509,Load!$B:$B,Load!M:M,0,)</f>
        <v>0</v>
      </c>
    </row>
    <row r="4510" spans="1:12" x14ac:dyDescent="0.25">
      <c r="A4510" t="s">
        <v>311</v>
      </c>
      <c r="B4510" t="str">
        <f>_xlfn.XLOOKUP($A4510,Load!$B:$B,Load!C:C,0,)</f>
        <v>Werther's Original</v>
      </c>
      <c r="C4510" t="str">
        <f>_xlfn.XLOOKUP($A4510,Load!$B:$B,Load!D:D,0,)</f>
        <v>Non-Chocolate Candy Only</v>
      </c>
      <c r="D4510" t="str">
        <f>_xlfn.XLOOKUP($A4510,Load!$B:$B,Load!E:E,0,)</f>
        <v>Fall / Seasonal Flavors (pumpkin spice, caramel apple, candy corn)</v>
      </c>
      <c r="E4510" t="str">
        <f>_xlfn.XLOOKUP($A4510,Load!$B:$B,Load!F:F,0,)</f>
        <v>Chewy</v>
      </c>
      <c r="F4510" t="str">
        <f>_xlfn.XLOOKUP($A4510,Load!$B:$B,Load!G:G,0,)</f>
        <v>Single Pack</v>
      </c>
      <c r="G4510" t="str">
        <f>_xlfn.XLOOKUP($A4510,Load!$B:$B,Load!H:H,0,)</f>
        <v>Stand-Up Bag</v>
      </c>
      <c r="H4510" t="str">
        <f>_xlfn.XLOOKUP($A4510,Load!$B:$B,Load!I:I,0,)</f>
        <v>Everyday Candy Shapes (like Original, Gummy bear, Fruit, Jewels, etc.)</v>
      </c>
      <c r="I4510" t="str">
        <f>_xlfn.XLOOKUP($A4510,Load!$B:$B,Load!J:J,0,)</f>
        <v>Seasonal Graphics (Like Bat, Ghost, Pumpkin, Fall Leaves, Eyeballs, etc.)</v>
      </c>
      <c r="J4510" t="str">
        <f>_xlfn.XLOOKUP($A4510,Load!$B:$B,Load!K:K,0,)</f>
        <v>Fun Size / Treat Size</v>
      </c>
      <c r="K4510" t="str">
        <f>_xlfn.XLOOKUP($A4510,Load!$B:$B,Load!L:L,0,)</f>
        <v>Regular/Original Wrapping</v>
      </c>
      <c r="L4510" t="str">
        <f>_xlfn.XLOOKUP($A4510,Load!$B:$B,Load!M:M,0,)</f>
        <v>Single Brand / Variety Flavors or Form</v>
      </c>
    </row>
    <row r="4511" spans="1:12" x14ac:dyDescent="0.25">
      <c r="B4511">
        <f>_xlfn.XLOOKUP($A4511,Load!$B:$B,Load!C:C,0,)</f>
        <v>0</v>
      </c>
      <c r="C4511">
        <f>_xlfn.XLOOKUP($A4511,Load!$B:$B,Load!D:D,0,)</f>
        <v>0</v>
      </c>
      <c r="D4511">
        <f>_xlfn.XLOOKUP($A4511,Load!$B:$B,Load!E:E,0,)</f>
        <v>0</v>
      </c>
      <c r="E4511">
        <f>_xlfn.XLOOKUP($A4511,Load!$B:$B,Load!F:F,0,)</f>
        <v>0</v>
      </c>
      <c r="F4511">
        <f>_xlfn.XLOOKUP($A4511,Load!$B:$B,Load!G:G,0,)</f>
        <v>0</v>
      </c>
      <c r="G4511">
        <f>_xlfn.XLOOKUP($A4511,Load!$B:$B,Load!H:H,0,)</f>
        <v>0</v>
      </c>
      <c r="H4511">
        <f>_xlfn.XLOOKUP($A4511,Load!$B:$B,Load!I:I,0,)</f>
        <v>0</v>
      </c>
      <c r="I4511">
        <f>_xlfn.XLOOKUP($A4511,Load!$B:$B,Load!J:J,0,)</f>
        <v>0</v>
      </c>
      <c r="J4511">
        <f>_xlfn.XLOOKUP($A4511,Load!$B:$B,Load!K:K,0,)</f>
        <v>0</v>
      </c>
      <c r="K4511">
        <f>_xlfn.XLOOKUP($A4511,Load!$B:$B,Load!L:L,0,)</f>
        <v>0</v>
      </c>
      <c r="L4511">
        <f>_xlfn.XLOOKUP($A4511,Load!$B:$B,Load!M:M,0,)</f>
        <v>0</v>
      </c>
    </row>
    <row r="4512" spans="1:12" x14ac:dyDescent="0.25">
      <c r="A4512" t="s">
        <v>183</v>
      </c>
      <c r="B4512" t="str">
        <f>_xlfn.XLOOKUP($A4512,Load!$B:$B,Load!C:C,0,)</f>
        <v>Mars Variety Pack</v>
      </c>
      <c r="C4512" t="str">
        <f>_xlfn.XLOOKUP($A4512,Load!$B:$B,Load!D:D,0,)</f>
        <v>Non-Chocolate Candy Only</v>
      </c>
      <c r="D4512" t="str">
        <f>_xlfn.XLOOKUP($A4512,Load!$B:$B,Load!E:E,0,)</f>
        <v>Variety / Mixed Flavors (Fruity, Sour, Seasonal Flavors)</v>
      </c>
      <c r="E4512" t="str">
        <f>_xlfn.XLOOKUP($A4512,Load!$B:$B,Load!F:F,0,)</f>
        <v>Mixed / Combo Packs (Gummy, Chewy, Taffy, etc.)</v>
      </c>
      <c r="F4512" t="str">
        <f>_xlfn.XLOOKUP($A4512,Load!$B:$B,Load!G:G,0,)</f>
        <v>Large Multipack (More than 80 ct)</v>
      </c>
      <c r="G4512" t="str">
        <f>_xlfn.XLOOKUP($A4512,Load!$B:$B,Load!H:H,0,)</f>
        <v>Stand-Up Bag</v>
      </c>
      <c r="H4512" t="str">
        <f>_xlfn.XLOOKUP($A4512,Load!$B:$B,Load!I:I,0,)</f>
        <v>Seasonal Shapes (like pumpkins, candy corn, ghost, bats, etc.)</v>
      </c>
      <c r="I4512" t="str">
        <f>_xlfn.XLOOKUP($A4512,Load!$B:$B,Load!J:J,0,)</f>
        <v>Seasonal Graphics (Like Bat, Ghost, Pumpkin, Fall Leaves, Eyeballs, etc.)</v>
      </c>
      <c r="J4512" t="str">
        <f>_xlfn.XLOOKUP($A4512,Load!$B:$B,Load!K:K,0,)</f>
        <v xml:space="preserve">Variety Candy Sizes </v>
      </c>
      <c r="K4512" t="str">
        <f>_xlfn.XLOOKUP($A4512,Load!$B:$B,Load!L:L,0,)</f>
        <v>Regular/Original Wrapping</v>
      </c>
      <c r="L4512" t="str">
        <f>_xlfn.XLOOKUP($A4512,Load!$B:$B,Load!M:M,0,)</f>
        <v>Multiple Brands / Variety Flavors or Form</v>
      </c>
    </row>
    <row r="4513" spans="1:12" x14ac:dyDescent="0.25">
      <c r="A4513" t="s">
        <v>84</v>
      </c>
      <c r="B4513" t="str">
        <f>_xlfn.XLOOKUP($A4513,Load!$B:$B,Load!C:C,0,)</f>
        <v>Ferrara Variety Pack</v>
      </c>
      <c r="C4513" t="str">
        <f>_xlfn.XLOOKUP($A4513,Load!$B:$B,Load!D:D,0,)</f>
        <v>Non-Chocolate Candy Only</v>
      </c>
      <c r="D4513" t="str">
        <f>_xlfn.XLOOKUP($A4513,Load!$B:$B,Load!E:E,0,)</f>
        <v>Variety / Mixed Flavors (Fruity, Sour, Seasonal Flavors)</v>
      </c>
      <c r="E4513" t="str">
        <f>_xlfn.XLOOKUP($A4513,Load!$B:$B,Load!F:F,0,)</f>
        <v>Mixed / Combo Packs (Gummy, Chewy, Taffy, etc.)</v>
      </c>
      <c r="F4513" t="str">
        <f>_xlfn.XLOOKUP($A4513,Load!$B:$B,Load!G:G,0,)</f>
        <v>Large Multipack (More than 80 ct)</v>
      </c>
      <c r="G4513" t="str">
        <f>_xlfn.XLOOKUP($A4513,Load!$B:$B,Load!H:H,0,)</f>
        <v>Stand-Up Bag</v>
      </c>
      <c r="H4513" t="str">
        <f>_xlfn.XLOOKUP($A4513,Load!$B:$B,Load!I:I,0,)</f>
        <v>Everyday Candy Shapes (like Original, Gummy bear, Fruit, Jewels, etc.)</v>
      </c>
      <c r="I4513" t="str">
        <f>_xlfn.XLOOKUP($A4513,Load!$B:$B,Load!J:J,0,)</f>
        <v>Seasonal Graphics (Like Bat, Ghost, Pumpkin, Fall Leaves, Eyeballs, etc.)</v>
      </c>
      <c r="J4513" t="str">
        <f>_xlfn.XLOOKUP($A4513,Load!$B:$B,Load!K:K,0,)</f>
        <v xml:space="preserve">Variety Candy Sizes </v>
      </c>
      <c r="K4513" t="str">
        <f>_xlfn.XLOOKUP($A4513,Load!$B:$B,Load!L:L,0,)</f>
        <v>Regular/Original Wrapping</v>
      </c>
      <c r="L4513" t="str">
        <f>_xlfn.XLOOKUP($A4513,Load!$B:$B,Load!M:M,0,)</f>
        <v>Multiple Brands / Variety Flavors or Form</v>
      </c>
    </row>
    <row r="4514" spans="1:12" x14ac:dyDescent="0.25">
      <c r="A4514" t="s">
        <v>188</v>
      </c>
      <c r="B4514" t="str">
        <f>_xlfn.XLOOKUP($A4514,Load!$B:$B,Load!C:C,0,)</f>
        <v>Mars Variety Pack</v>
      </c>
      <c r="C4514" t="str">
        <f>_xlfn.XLOOKUP($A4514,Load!$B:$B,Load!D:D,0,)</f>
        <v>Non-Chocolate Candy Only</v>
      </c>
      <c r="D4514" t="str">
        <f>_xlfn.XLOOKUP($A4514,Load!$B:$B,Load!E:E,0,)</f>
        <v>Variety / Mixed Flavors (Fruity, Sour, Seasonal Flavors)</v>
      </c>
      <c r="E4514" t="str">
        <f>_xlfn.XLOOKUP($A4514,Load!$B:$B,Load!F:F,0,)</f>
        <v>Mixed / Combo Packs (Gummy, Chewy, Taffy, etc.)</v>
      </c>
      <c r="F4514" t="str">
        <f>_xlfn.XLOOKUP($A4514,Load!$B:$B,Load!G:G,0,)</f>
        <v>Large Multipack (More than 80 ct)</v>
      </c>
      <c r="G4514" t="str">
        <f>_xlfn.XLOOKUP($A4514,Load!$B:$B,Load!H:H,0,)</f>
        <v>Laydown Bag</v>
      </c>
      <c r="H4514" t="str">
        <f>_xlfn.XLOOKUP($A4514,Load!$B:$B,Load!I:I,0,)</f>
        <v>Everyday Candy Shapes (like Original, Gummy bear, Fruit, Jewels, etc.)</v>
      </c>
      <c r="I4514" t="str">
        <f>_xlfn.XLOOKUP($A4514,Load!$B:$B,Load!J:J,0,)</f>
        <v>Everyday Graphics</v>
      </c>
      <c r="J4514" t="str">
        <f>_xlfn.XLOOKUP($A4514,Load!$B:$B,Load!K:K,0,)</f>
        <v>Small Pieces (Tiny bite size candies)</v>
      </c>
      <c r="K4514" t="str">
        <f>_xlfn.XLOOKUP($A4514,Load!$B:$B,Load!L:L,0,)</f>
        <v>Regular/Original Wrapping</v>
      </c>
      <c r="L4514" t="str">
        <f>_xlfn.XLOOKUP($A4514,Load!$B:$B,Load!M:M,0,)</f>
        <v>Multiple Brands / Variety Flavors or Form</v>
      </c>
    </row>
    <row r="4515" spans="1:12" x14ac:dyDescent="0.25">
      <c r="A4515" t="s">
        <v>131</v>
      </c>
      <c r="B4515" t="str">
        <f>_xlfn.XLOOKUP($A4515,Load!$B:$B,Load!C:C,0,)</f>
        <v>Hershey's</v>
      </c>
      <c r="C4515" t="str">
        <f>_xlfn.XLOOKUP($A4515,Load!$B:$B,Load!D:D,0,)</f>
        <v>Mix of Chocolate and Non-Chocolate Candy</v>
      </c>
      <c r="D4515" t="str">
        <f>_xlfn.XLOOKUP($A4515,Load!$B:$B,Load!E:E,0,)</f>
        <v>Variety / Mixed Flavors (Fruity, Sour, Seasonal Flavors)</v>
      </c>
      <c r="E4515" t="str">
        <f>_xlfn.XLOOKUP($A4515,Load!$B:$B,Load!F:F,0,)</f>
        <v>Mixed / Combo Packs (Gummy, Chewy, Taffy, etc.)</v>
      </c>
      <c r="F4515" t="str">
        <f>_xlfn.XLOOKUP($A4515,Load!$B:$B,Load!G:G,0,)</f>
        <v>Large Multipack (More than 80 ct)</v>
      </c>
      <c r="G4515" t="str">
        <f>_xlfn.XLOOKUP($A4515,Load!$B:$B,Load!H:H,0,)</f>
        <v>Stand-Up Bag</v>
      </c>
      <c r="H4515" t="str">
        <f>_xlfn.XLOOKUP($A4515,Load!$B:$B,Load!I:I,0,)</f>
        <v>Everyday Candy Shapes (like Original, Gummy bear, Fruit, Jewels, etc.)</v>
      </c>
      <c r="I4515" t="str">
        <f>_xlfn.XLOOKUP($A4515,Load!$B:$B,Load!J:J,0,)</f>
        <v>Seasonal Graphics (Like Bat, Ghost, Pumpkin, Fall Leaves, Eyeballs, etc.)</v>
      </c>
      <c r="J4515" t="str">
        <f>_xlfn.XLOOKUP($A4515,Load!$B:$B,Load!K:K,0,)</f>
        <v>Fun Size / Treat Size</v>
      </c>
      <c r="K4515" t="str">
        <f>_xlfn.XLOOKUP($A4515,Load!$B:$B,Load!L:L,0,)</f>
        <v>Regular/Original Wrapping</v>
      </c>
      <c r="L4515" t="str">
        <f>_xlfn.XLOOKUP($A4515,Load!$B:$B,Load!M:M,0,)</f>
        <v>Multiple Brands / Variety Flavors or Form</v>
      </c>
    </row>
    <row r="4516" spans="1:12" x14ac:dyDescent="0.25">
      <c r="A4516" t="s">
        <v>136</v>
      </c>
      <c r="B4516" t="str">
        <f>_xlfn.XLOOKUP($A4516,Load!$B:$B,Load!C:C,0,)</f>
        <v>Hershey's Variety Pack + Haribo</v>
      </c>
      <c r="C4516" t="str">
        <f>_xlfn.XLOOKUP($A4516,Load!$B:$B,Load!D:D,0,)</f>
        <v>Non-Chocolate Candy Only</v>
      </c>
      <c r="D4516" t="str">
        <f>_xlfn.XLOOKUP($A4516,Load!$B:$B,Load!E:E,0,)</f>
        <v>Variety / Mixed Flavors (Fruity, Sour, Seasonal Flavors)</v>
      </c>
      <c r="E4516" t="str">
        <f>_xlfn.XLOOKUP($A4516,Load!$B:$B,Load!F:F,0,)</f>
        <v>Mixed / Combo Packs (Gummy, Chewy, Taffy, etc.)</v>
      </c>
      <c r="F4516" t="str">
        <f>_xlfn.XLOOKUP($A4516,Load!$B:$B,Load!G:G,0,)</f>
        <v>Medium Multipack (40–80 ct)</v>
      </c>
      <c r="G4516" t="str">
        <f>_xlfn.XLOOKUP($A4516,Load!$B:$B,Load!H:H,0,)</f>
        <v>Laydown Bag</v>
      </c>
      <c r="H4516" t="str">
        <f>_xlfn.XLOOKUP($A4516,Load!$B:$B,Load!I:I,0,)</f>
        <v>Everyday Candy Shapes (like Original, Gummy bear, Fruit, Jewels, etc.)</v>
      </c>
      <c r="I4516" t="str">
        <f>_xlfn.XLOOKUP($A4516,Load!$B:$B,Load!J:J,0,)</f>
        <v>Seasonal Graphics (Like Bat, Ghost, Pumpkin, Fall Leaves, Eyeballs, etc.)</v>
      </c>
      <c r="J4516" t="str">
        <f>_xlfn.XLOOKUP($A4516,Load!$B:$B,Load!K:K,0,)</f>
        <v xml:space="preserve">Variety Candy Sizes </v>
      </c>
      <c r="K4516" t="str">
        <f>_xlfn.XLOOKUP($A4516,Load!$B:$B,Load!L:L,0,)</f>
        <v>Regular/Original Wrapping</v>
      </c>
      <c r="L4516" t="str">
        <f>_xlfn.XLOOKUP($A4516,Load!$B:$B,Load!M:M,0,)</f>
        <v>Multiple Brands / Variety Flavors or Form</v>
      </c>
    </row>
    <row r="4517" spans="1:12" x14ac:dyDescent="0.25">
      <c r="A4517" t="s">
        <v>139</v>
      </c>
      <c r="B4517" t="str">
        <f>_xlfn.XLOOKUP($A4517,Load!$B:$B,Load!C:C,0,)</f>
        <v>Hershey's Variety Pack + Haribo</v>
      </c>
      <c r="C4517" t="str">
        <f>_xlfn.XLOOKUP($A4517,Load!$B:$B,Load!D:D,0,)</f>
        <v>Mix of Chocolate and Non-Chocolate Candy</v>
      </c>
      <c r="D4517" t="str">
        <f>_xlfn.XLOOKUP($A4517,Load!$B:$B,Load!E:E,0,)</f>
        <v>Variety / Mixed Flavors (Fruity, Sour, Seasonal Flavors)</v>
      </c>
      <c r="E4517" t="str">
        <f>_xlfn.XLOOKUP($A4517,Load!$B:$B,Load!F:F,0,)</f>
        <v>Mixed / Combo Packs (Gummy, Chewy, Taffy, etc.)</v>
      </c>
      <c r="F4517" t="str">
        <f>_xlfn.XLOOKUP($A4517,Load!$B:$B,Load!G:G,0,)</f>
        <v>Large Multipack (More than 80 ct)</v>
      </c>
      <c r="G4517" t="str">
        <f>_xlfn.XLOOKUP($A4517,Load!$B:$B,Load!H:H,0,)</f>
        <v>Stand-Up Bag</v>
      </c>
      <c r="H4517" t="str">
        <f>_xlfn.XLOOKUP($A4517,Load!$B:$B,Load!I:I,0,)</f>
        <v>Everyday Candy Shapes (like Original, Gummy bear, Fruit, Jewels, etc.)</v>
      </c>
      <c r="I4517" t="str">
        <f>_xlfn.XLOOKUP($A4517,Load!$B:$B,Load!J:J,0,)</f>
        <v>Seasonal Graphics (Like Bat, Ghost, Pumpkin, Fall Leaves, Eyeballs, etc.)</v>
      </c>
      <c r="J4517" t="str">
        <f>_xlfn.XLOOKUP($A4517,Load!$B:$B,Load!K:K,0,)</f>
        <v>Fun Size / Treat Size</v>
      </c>
      <c r="K4517" t="str">
        <f>_xlfn.XLOOKUP($A4517,Load!$B:$B,Load!L:L,0,)</f>
        <v>Regular/Original Wrapping</v>
      </c>
      <c r="L4517" t="str">
        <f>_xlfn.XLOOKUP($A4517,Load!$B:$B,Load!M:M,0,)</f>
        <v>Multiple Brands / Variety Flavors or Form</v>
      </c>
    </row>
    <row r="4518" spans="1:12" x14ac:dyDescent="0.25">
      <c r="A4518" t="s">
        <v>238</v>
      </c>
      <c r="B4518" t="str">
        <f>_xlfn.XLOOKUP($A4518,Load!$B:$B,Load!C:C,0,)</f>
        <v>Peeps</v>
      </c>
      <c r="C4518" t="str">
        <f>_xlfn.XLOOKUP($A4518,Load!$B:$B,Load!D:D,0,)</f>
        <v>Non-Chocolate Candy Only</v>
      </c>
      <c r="D4518" t="str">
        <f>_xlfn.XLOOKUP($A4518,Load!$B:$B,Load!E:E,0,)</f>
        <v>Sweet</v>
      </c>
      <c r="E4518" t="str">
        <f>_xlfn.XLOOKUP($A4518,Load!$B:$B,Load!F:F,0,)</f>
        <v>Foamy / Aerated / Freeze Dried</v>
      </c>
      <c r="F4518" t="str">
        <f>_xlfn.XLOOKUP($A4518,Load!$B:$B,Load!G:G,0,)</f>
        <v>Single Pack</v>
      </c>
      <c r="G4518" t="str">
        <f>_xlfn.XLOOKUP($A4518,Load!$B:$B,Load!H:H,0,)</f>
        <v>Box (theatre box, gift box, carton)</v>
      </c>
      <c r="H4518" t="str">
        <f>_xlfn.XLOOKUP($A4518,Load!$B:$B,Load!I:I,0,)</f>
        <v>Seasonal Shapes (like pumpkins, candy corn, ghost, bats, etc.)</v>
      </c>
      <c r="I4518" t="str">
        <f>_xlfn.XLOOKUP($A4518,Load!$B:$B,Load!J:J,0,)</f>
        <v>Seasonal Graphics (Like Bat, Ghost, Pumpkin, Fall Leaves, Eyeballs, etc.)</v>
      </c>
      <c r="J4518" t="str">
        <f>_xlfn.XLOOKUP($A4518,Load!$B:$B,Load!K:K,0,)</f>
        <v>Fun Size / Treat Size</v>
      </c>
      <c r="K4518" t="str">
        <f>_xlfn.XLOOKUP($A4518,Load!$B:$B,Load!L:L,0,)</f>
        <v>Unwrapped</v>
      </c>
      <c r="L4518" t="str">
        <f>_xlfn.XLOOKUP($A4518,Load!$B:$B,Load!M:M,0,)</f>
        <v>Single Brand / Single Flavor or Form</v>
      </c>
    </row>
    <row r="4519" spans="1:12" x14ac:dyDescent="0.25">
      <c r="A4519" t="s">
        <v>239</v>
      </c>
      <c r="B4519" t="str">
        <f>_xlfn.XLOOKUP($A4519,Load!$B:$B,Load!C:C,0,)</f>
        <v>Peeps</v>
      </c>
      <c r="C4519" t="str">
        <f>_xlfn.XLOOKUP($A4519,Load!$B:$B,Load!D:D,0,)</f>
        <v>Non-Chocolate Candy Only</v>
      </c>
      <c r="D4519" t="str">
        <f>_xlfn.XLOOKUP($A4519,Load!$B:$B,Load!E:E,0,)</f>
        <v>Sweet</v>
      </c>
      <c r="E4519" t="str">
        <f>_xlfn.XLOOKUP($A4519,Load!$B:$B,Load!F:F,0,)</f>
        <v>Foamy / Aerated / Freeze Dried</v>
      </c>
      <c r="F4519" t="str">
        <f>_xlfn.XLOOKUP($A4519,Load!$B:$B,Load!G:G,0,)</f>
        <v>Single Pack</v>
      </c>
      <c r="G4519" t="str">
        <f>_xlfn.XLOOKUP($A4519,Load!$B:$B,Load!H:H,0,)</f>
        <v>Box (theatre box, gift box, carton)</v>
      </c>
      <c r="H4519" t="str">
        <f>_xlfn.XLOOKUP($A4519,Load!$B:$B,Load!I:I,0,)</f>
        <v>Seasonal Shapes (like pumpkins, candy corn, ghost, bats, etc.)</v>
      </c>
      <c r="I4519" t="str">
        <f>_xlfn.XLOOKUP($A4519,Load!$B:$B,Load!J:J,0,)</f>
        <v>Seasonal Graphics (Like Bat, Ghost, Pumpkin, Fall Leaves, Eyeballs, etc.)</v>
      </c>
      <c r="J4519" t="str">
        <f>_xlfn.XLOOKUP($A4519,Load!$B:$B,Load!K:K,0,)</f>
        <v>Fun Size / Treat Size</v>
      </c>
      <c r="K4519" t="str">
        <f>_xlfn.XLOOKUP($A4519,Load!$B:$B,Load!L:L,0,)</f>
        <v>Unwrapped</v>
      </c>
      <c r="L4519" t="str">
        <f>_xlfn.XLOOKUP($A4519,Load!$B:$B,Load!M:M,0,)</f>
        <v>Single Brand / Single Flavor or Form</v>
      </c>
    </row>
    <row r="4520" spans="1:12" x14ac:dyDescent="0.25">
      <c r="A4520" t="s">
        <v>66</v>
      </c>
      <c r="B4520" t="str">
        <f>_xlfn.XLOOKUP($A4520,Load!$B:$B,Load!C:C,0,)</f>
        <v>Dots</v>
      </c>
      <c r="C4520" t="str">
        <f>_xlfn.XLOOKUP($A4520,Load!$B:$B,Load!D:D,0,)</f>
        <v>Non-Chocolate Candy Only</v>
      </c>
      <c r="D4520" t="str">
        <f>_xlfn.XLOOKUP($A4520,Load!$B:$B,Load!E:E,0,)</f>
        <v>Variety / Mixed Flavors (Fruity, Sour, Seasonal Flavors)</v>
      </c>
      <c r="E4520" t="str">
        <f>_xlfn.XLOOKUP($A4520,Load!$B:$B,Load!F:F,0,)</f>
        <v>Candy Pieces / Bites</v>
      </c>
      <c r="F4520" t="str">
        <f>_xlfn.XLOOKUP($A4520,Load!$B:$B,Load!G:G,0,)</f>
        <v>Small Multipack (Less than 40 ct)</v>
      </c>
      <c r="G4520" t="str">
        <f>_xlfn.XLOOKUP($A4520,Load!$B:$B,Load!H:H,0,)</f>
        <v>Stand-Up Bag</v>
      </c>
      <c r="H4520" t="str">
        <f>_xlfn.XLOOKUP($A4520,Load!$B:$B,Load!I:I,0,)</f>
        <v>Seasonal Shapes (like pumpkins, candy corn, ghost, bats, etc.)</v>
      </c>
      <c r="I4520" t="str">
        <f>_xlfn.XLOOKUP($A4520,Load!$B:$B,Load!J:J,0,)</f>
        <v>Seasonal Graphics (Like Bat, Ghost, Pumpkin, Fall Leaves, Eyeballs, etc.)</v>
      </c>
      <c r="J4520" t="str">
        <f>_xlfn.XLOOKUP($A4520,Load!$B:$B,Load!K:K,0,)</f>
        <v>Fun Size / Treat Size</v>
      </c>
      <c r="K4520" t="str">
        <f>_xlfn.XLOOKUP($A4520,Load!$B:$B,Load!L:L,0,)</f>
        <v>Regular/Original Wrapping</v>
      </c>
      <c r="L4520" t="str">
        <f>_xlfn.XLOOKUP($A4520,Load!$B:$B,Load!M:M,0,)</f>
        <v>Single Brand / Variety Flavors or Form</v>
      </c>
    </row>
    <row r="4521" spans="1:12" x14ac:dyDescent="0.25">
      <c r="B4521">
        <f>_xlfn.XLOOKUP($A4521,Load!$B:$B,Load!C:C,0,)</f>
        <v>0</v>
      </c>
      <c r="C4521">
        <f>_xlfn.XLOOKUP($A4521,Load!$B:$B,Load!D:D,0,)</f>
        <v>0</v>
      </c>
      <c r="D4521">
        <f>_xlfn.XLOOKUP($A4521,Load!$B:$B,Load!E:E,0,)</f>
        <v>0</v>
      </c>
      <c r="E4521">
        <f>_xlfn.XLOOKUP($A4521,Load!$B:$B,Load!F:F,0,)</f>
        <v>0</v>
      </c>
      <c r="F4521">
        <f>_xlfn.XLOOKUP($A4521,Load!$B:$B,Load!G:G,0,)</f>
        <v>0</v>
      </c>
      <c r="G4521">
        <f>_xlfn.XLOOKUP($A4521,Load!$B:$B,Load!H:H,0,)</f>
        <v>0</v>
      </c>
      <c r="H4521">
        <f>_xlfn.XLOOKUP($A4521,Load!$B:$B,Load!I:I,0,)</f>
        <v>0</v>
      </c>
      <c r="I4521">
        <f>_xlfn.XLOOKUP($A4521,Load!$B:$B,Load!J:J,0,)</f>
        <v>0</v>
      </c>
      <c r="J4521">
        <f>_xlfn.XLOOKUP($A4521,Load!$B:$B,Load!K:K,0,)</f>
        <v>0</v>
      </c>
      <c r="K4521">
        <f>_xlfn.XLOOKUP($A4521,Load!$B:$B,Load!L:L,0,)</f>
        <v>0</v>
      </c>
      <c r="L4521">
        <f>_xlfn.XLOOKUP($A4521,Load!$B:$B,Load!M:M,0,)</f>
        <v>0</v>
      </c>
    </row>
    <row r="4522" spans="1:12" x14ac:dyDescent="0.25">
      <c r="A4522" t="s">
        <v>198</v>
      </c>
      <c r="B4522" t="str">
        <f>_xlfn.XLOOKUP($A4522,Load!$B:$B,Load!C:C,0,)</f>
        <v>Mars Variety Pack</v>
      </c>
      <c r="C4522" t="str">
        <f>_xlfn.XLOOKUP($A4522,Load!$B:$B,Load!D:D,0,)</f>
        <v>Non-Chocolate Candy Only</v>
      </c>
      <c r="D4522" t="str">
        <f>_xlfn.XLOOKUP($A4522,Load!$B:$B,Load!E:E,0,)</f>
        <v>Variety / Mixed Flavors (Fruity, Sour, Seasonal Flavors)</v>
      </c>
      <c r="E4522" t="str">
        <f>_xlfn.XLOOKUP($A4522,Load!$B:$B,Load!F:F,0,)</f>
        <v>Mixed / Combo Packs (Gummy, Chewy, Taffy, etc.)</v>
      </c>
      <c r="F4522" t="str">
        <f>_xlfn.XLOOKUP($A4522,Load!$B:$B,Load!G:G,0,)</f>
        <v>Large Multipack (More than 80 ct)</v>
      </c>
      <c r="G4522" t="str">
        <f>_xlfn.XLOOKUP($A4522,Load!$B:$B,Load!H:H,0,)</f>
        <v>Stand-Up Bag</v>
      </c>
      <c r="H4522" t="str">
        <f>_xlfn.XLOOKUP($A4522,Load!$B:$B,Load!I:I,0,)</f>
        <v>Everyday Candy Shapes (like Original, Gummy bear, Fruit, Jewels, etc.)</v>
      </c>
      <c r="I4522" t="str">
        <f>_xlfn.XLOOKUP($A4522,Load!$B:$B,Load!J:J,0,)</f>
        <v>Seasonal Graphics (Like Bat, Ghost, Pumpkin, Fall Leaves, Eyeballs, etc.)</v>
      </c>
      <c r="J4522" t="str">
        <f>_xlfn.XLOOKUP($A4522,Load!$B:$B,Load!K:K,0,)</f>
        <v>Fun Size / Treat Size</v>
      </c>
      <c r="K4522" t="str">
        <f>_xlfn.XLOOKUP($A4522,Load!$B:$B,Load!L:L,0,)</f>
        <v>Regular/Original Wrapping</v>
      </c>
      <c r="L4522" t="str">
        <f>_xlfn.XLOOKUP($A4522,Load!$B:$B,Load!M:M,0,)</f>
        <v>Multiple Brands / Variety Flavors or Form</v>
      </c>
    </row>
    <row r="4523" spans="1:12" x14ac:dyDescent="0.25">
      <c r="A4523" t="s">
        <v>201</v>
      </c>
      <c r="B4523" t="str">
        <f>_xlfn.XLOOKUP($A4523,Load!$B:$B,Load!C:C,0,)</f>
        <v>Mars Variety Pack</v>
      </c>
      <c r="C4523" t="str">
        <f>_xlfn.XLOOKUP($A4523,Load!$B:$B,Load!D:D,0,)</f>
        <v>Non-Chocolate Candy Only</v>
      </c>
      <c r="D4523" t="str">
        <f>_xlfn.XLOOKUP($A4523,Load!$B:$B,Load!E:E,0,)</f>
        <v>Variety / Mixed Flavors (Fruity, Sour, Seasonal Flavors)</v>
      </c>
      <c r="E4523" t="str">
        <f>_xlfn.XLOOKUP($A4523,Load!$B:$B,Load!F:F,0,)</f>
        <v>Mixed / Combo Packs (Gummy, Chewy, Taffy, etc.)</v>
      </c>
      <c r="F4523" t="str">
        <f>_xlfn.XLOOKUP($A4523,Load!$B:$B,Load!G:G,0,)</f>
        <v>Large Multipack (More than 80 ct)</v>
      </c>
      <c r="G4523" t="str">
        <f>_xlfn.XLOOKUP($A4523,Load!$B:$B,Load!H:H,0,)</f>
        <v>Stand-Up Bag</v>
      </c>
      <c r="H4523" t="str">
        <f>_xlfn.XLOOKUP($A4523,Load!$B:$B,Load!I:I,0,)</f>
        <v>Everyday Candy Shapes (like Original, Gummy bear, Fruit, Jewels, etc.)</v>
      </c>
      <c r="I4523" t="str">
        <f>_xlfn.XLOOKUP($A4523,Load!$B:$B,Load!J:J,0,)</f>
        <v>Everyday Graphics</v>
      </c>
      <c r="J4523" t="str">
        <f>_xlfn.XLOOKUP($A4523,Load!$B:$B,Load!K:K,0,)</f>
        <v>Fun Size / Treat Size</v>
      </c>
      <c r="K4523" t="str">
        <f>_xlfn.XLOOKUP($A4523,Load!$B:$B,Load!L:L,0,)</f>
        <v>Regular/Original Wrapping</v>
      </c>
      <c r="L4523" t="str">
        <f>_xlfn.XLOOKUP($A4523,Load!$B:$B,Load!M:M,0,)</f>
        <v>Multiple Brands / Variety Flavors or Form</v>
      </c>
    </row>
    <row r="4524" spans="1:12" x14ac:dyDescent="0.25">
      <c r="A4524" t="s">
        <v>463</v>
      </c>
      <c r="B4524" t="str">
        <f>_xlfn.XLOOKUP($A4524,Load!$B:$B,Load!C:C,0,)</f>
        <v>Mars Variety Pack</v>
      </c>
      <c r="C4524" t="str">
        <f>_xlfn.XLOOKUP($A4524,Load!$B:$B,Load!D:D,0,)</f>
        <v>Mix of Chocolate and Non-Chocolate Candy</v>
      </c>
      <c r="D4524" t="str">
        <f>_xlfn.XLOOKUP($A4524,Load!$B:$B,Load!E:E,0,)</f>
        <v>Variety / Mixed Flavors (Fruity, Sour, Seasonal Flavors)</v>
      </c>
      <c r="E4524" t="str">
        <f>_xlfn.XLOOKUP($A4524,Load!$B:$B,Load!F:F,0,)</f>
        <v>Mixed / Combo Packs (Gummy, Chewy, Taffy, etc.)</v>
      </c>
      <c r="F4524" t="str">
        <f>_xlfn.XLOOKUP($A4524,Load!$B:$B,Load!G:G,0,)</f>
        <v>Medium Multipack (40–80 ct)</v>
      </c>
      <c r="G4524" t="str">
        <f>_xlfn.XLOOKUP($A4524,Load!$B:$B,Load!H:H,0,)</f>
        <v>Stand-Up Bag</v>
      </c>
      <c r="H4524" t="str">
        <f>_xlfn.XLOOKUP($A4524,Load!$B:$B,Load!I:I,0,)</f>
        <v>Everyday Candy Shapes (like Original, Gummy bear, Fruit, Jewels, etc.)</v>
      </c>
      <c r="I4524" t="str">
        <f>_xlfn.XLOOKUP($A4524,Load!$B:$B,Load!J:J,0,)</f>
        <v>Seasonal Graphics (Like Bat, Ghost, Pumpkin, Fall Leaves, Eyeballs, etc.)</v>
      </c>
      <c r="J4524" t="str">
        <f>_xlfn.XLOOKUP($A4524,Load!$B:$B,Load!K:K,0,)</f>
        <v>Fun Size / Treat Size</v>
      </c>
      <c r="K4524" t="str">
        <f>_xlfn.XLOOKUP($A4524,Load!$B:$B,Load!L:L,0,)</f>
        <v>Regular/Original Wrapping</v>
      </c>
      <c r="L4524" t="str">
        <f>_xlfn.XLOOKUP($A4524,Load!$B:$B,Load!M:M,0,)</f>
        <v>Multiple Brands / Variety Flavors or Form</v>
      </c>
    </row>
    <row r="4525" spans="1:12" x14ac:dyDescent="0.25">
      <c r="B4525">
        <f>_xlfn.XLOOKUP($A4525,Load!$B:$B,Load!C:C,0,)</f>
        <v>0</v>
      </c>
      <c r="C4525">
        <f>_xlfn.XLOOKUP($A4525,Load!$B:$B,Load!D:D,0,)</f>
        <v>0</v>
      </c>
      <c r="D4525">
        <f>_xlfn.XLOOKUP($A4525,Load!$B:$B,Load!E:E,0,)</f>
        <v>0</v>
      </c>
      <c r="E4525">
        <f>_xlfn.XLOOKUP($A4525,Load!$B:$B,Load!F:F,0,)</f>
        <v>0</v>
      </c>
      <c r="F4525">
        <f>_xlfn.XLOOKUP($A4525,Load!$B:$B,Load!G:G,0,)</f>
        <v>0</v>
      </c>
      <c r="G4525">
        <f>_xlfn.XLOOKUP($A4525,Load!$B:$B,Load!H:H,0,)</f>
        <v>0</v>
      </c>
      <c r="H4525">
        <f>_xlfn.XLOOKUP($A4525,Load!$B:$B,Load!I:I,0,)</f>
        <v>0</v>
      </c>
      <c r="I4525">
        <f>_xlfn.XLOOKUP($A4525,Load!$B:$B,Load!J:J,0,)</f>
        <v>0</v>
      </c>
      <c r="J4525">
        <f>_xlfn.XLOOKUP($A4525,Load!$B:$B,Load!K:K,0,)</f>
        <v>0</v>
      </c>
      <c r="K4525">
        <f>_xlfn.XLOOKUP($A4525,Load!$B:$B,Load!L:L,0,)</f>
        <v>0</v>
      </c>
      <c r="L4525">
        <f>_xlfn.XLOOKUP($A4525,Load!$B:$B,Load!M:M,0,)</f>
        <v>0</v>
      </c>
    </row>
    <row r="4526" spans="1:12" x14ac:dyDescent="0.25">
      <c r="A4526" t="s">
        <v>96</v>
      </c>
      <c r="B4526" t="str">
        <f>_xlfn.XLOOKUP($A4526,Load!$B:$B,Load!C:C,0,)</f>
        <v>Ferrero Variety Pack</v>
      </c>
      <c r="C4526" t="str">
        <f>_xlfn.XLOOKUP($A4526,Load!$B:$B,Load!D:D,0,)</f>
        <v>Mix of Chocolate and Non-Chocolate Candy</v>
      </c>
      <c r="D4526" t="str">
        <f>_xlfn.XLOOKUP($A4526,Load!$B:$B,Load!E:E,0,)</f>
        <v>Variety / Mixed Flavors (Fruity, Sour, Seasonal Flavors)</v>
      </c>
      <c r="E4526" t="str">
        <f>_xlfn.XLOOKUP($A4526,Load!$B:$B,Load!F:F,0,)</f>
        <v>Mixed / Combo Packs (Gummy, Chewy, Taffy, etc.)</v>
      </c>
      <c r="F4526" t="str">
        <f>_xlfn.XLOOKUP($A4526,Load!$B:$B,Load!G:G,0,)</f>
        <v>Large Multipack (More than 80 ct)</v>
      </c>
      <c r="G4526" t="str">
        <f>_xlfn.XLOOKUP($A4526,Load!$B:$B,Load!H:H,0,)</f>
        <v>Stand-Up Bag</v>
      </c>
      <c r="H4526" t="str">
        <f>_xlfn.XLOOKUP($A4526,Load!$B:$B,Load!I:I,0,)</f>
        <v>Everyday Candy Shapes (like Original, Gummy bear, Fruit, Jewels, etc.)</v>
      </c>
      <c r="I4526" t="str">
        <f>_xlfn.XLOOKUP($A4526,Load!$B:$B,Load!J:J,0,)</f>
        <v>Seasonal Graphics (Like Bat, Ghost, Pumpkin, Fall Leaves, Eyeballs, etc.)</v>
      </c>
      <c r="J4526" t="str">
        <f>_xlfn.XLOOKUP($A4526,Load!$B:$B,Load!K:K,0,)</f>
        <v>Fun Size / Treat Size</v>
      </c>
      <c r="K4526" t="str">
        <f>_xlfn.XLOOKUP($A4526,Load!$B:$B,Load!L:L,0,)</f>
        <v>Regular/Original Wrapping</v>
      </c>
      <c r="L4526" t="str">
        <f>_xlfn.XLOOKUP($A4526,Load!$B:$B,Load!M:M,0,)</f>
        <v>Multiple Brands / Variety Flavors or Form</v>
      </c>
    </row>
    <row r="4527" spans="1:12" x14ac:dyDescent="0.25">
      <c r="B4527">
        <f>_xlfn.XLOOKUP($A4527,Load!$B:$B,Load!C:C,0,)</f>
        <v>0</v>
      </c>
      <c r="C4527">
        <f>_xlfn.XLOOKUP($A4527,Load!$B:$B,Load!D:D,0,)</f>
        <v>0</v>
      </c>
      <c r="D4527">
        <f>_xlfn.XLOOKUP($A4527,Load!$B:$B,Load!E:E,0,)</f>
        <v>0</v>
      </c>
      <c r="E4527">
        <f>_xlfn.XLOOKUP($A4527,Load!$B:$B,Load!F:F,0,)</f>
        <v>0</v>
      </c>
      <c r="F4527">
        <f>_xlfn.XLOOKUP($A4527,Load!$B:$B,Load!G:G,0,)</f>
        <v>0</v>
      </c>
      <c r="G4527">
        <f>_xlfn.XLOOKUP($A4527,Load!$B:$B,Load!H:H,0,)</f>
        <v>0</v>
      </c>
      <c r="H4527">
        <f>_xlfn.XLOOKUP($A4527,Load!$B:$B,Load!I:I,0,)</f>
        <v>0</v>
      </c>
      <c r="I4527">
        <f>_xlfn.XLOOKUP($A4527,Load!$B:$B,Load!J:J,0,)</f>
        <v>0</v>
      </c>
      <c r="J4527">
        <f>_xlfn.XLOOKUP($A4527,Load!$B:$B,Load!K:K,0,)</f>
        <v>0</v>
      </c>
      <c r="K4527">
        <f>_xlfn.XLOOKUP($A4527,Load!$B:$B,Load!L:L,0,)</f>
        <v>0</v>
      </c>
      <c r="L4527">
        <f>_xlfn.XLOOKUP($A4527,Load!$B:$B,Load!M:M,0,)</f>
        <v>0</v>
      </c>
    </row>
    <row r="4528" spans="1:12" x14ac:dyDescent="0.25">
      <c r="A4528" t="s">
        <v>157</v>
      </c>
      <c r="B4528" t="str">
        <f>_xlfn.XLOOKUP($A4528,Load!$B:$B,Load!C:C,0,)</f>
        <v>Jolly Rancher</v>
      </c>
      <c r="C4528" t="str">
        <f>_xlfn.XLOOKUP($A4528,Load!$B:$B,Load!D:D,0,)</f>
        <v>Non-Chocolate Candy Only</v>
      </c>
      <c r="D4528" t="str">
        <f>_xlfn.XLOOKUP($A4528,Load!$B:$B,Load!E:E,0,)</f>
        <v>Fruit Flavor (Cherry, Grape, Apple, Citrus, Tropical Fruit)</v>
      </c>
      <c r="E4528" t="str">
        <f>_xlfn.XLOOKUP($A4528,Load!$B:$B,Load!F:F,0,)</f>
        <v>Hard Candy</v>
      </c>
      <c r="F4528" t="str">
        <f>_xlfn.XLOOKUP($A4528,Load!$B:$B,Load!G:G,0,)</f>
        <v>Single Pack</v>
      </c>
      <c r="G4528" t="str">
        <f>_xlfn.XLOOKUP($A4528,Load!$B:$B,Load!H:H,0,)</f>
        <v>Laydown Bag</v>
      </c>
      <c r="H4528" t="str">
        <f>_xlfn.XLOOKUP($A4528,Load!$B:$B,Load!I:I,0,)</f>
        <v>Everyday Candy Shapes (like Original, Gummy bear, Fruit, Jewels, etc.)</v>
      </c>
      <c r="I4528" t="str">
        <f>_xlfn.XLOOKUP($A4528,Load!$B:$B,Load!J:J,0,)</f>
        <v>Everyday Graphics</v>
      </c>
      <c r="J4528" t="str">
        <f>_xlfn.XLOOKUP($A4528,Load!$B:$B,Load!K:K,0,)</f>
        <v>Small Pieces (Tiny bite size candies)</v>
      </c>
      <c r="K4528" t="str">
        <f>_xlfn.XLOOKUP($A4528,Load!$B:$B,Load!L:L,0,)</f>
        <v>Regular/Original Wrapping</v>
      </c>
      <c r="L4528" t="str">
        <f>_xlfn.XLOOKUP($A4528,Load!$B:$B,Load!M:M,0,)</f>
        <v>Single Brand / Variety Flavors or Form</v>
      </c>
    </row>
    <row r="4529" spans="1:12" x14ac:dyDescent="0.25">
      <c r="A4529" t="s">
        <v>228</v>
      </c>
      <c r="B4529" t="str">
        <f>_xlfn.XLOOKUP($A4529,Load!$B:$B,Load!C:C,0,)</f>
        <v>Nerds</v>
      </c>
      <c r="C4529" t="str">
        <f>_xlfn.XLOOKUP($A4529,Load!$B:$B,Load!D:D,0,)</f>
        <v>Non-Chocolate Candy Only</v>
      </c>
      <c r="D4529" t="str">
        <f>_xlfn.XLOOKUP($A4529,Load!$B:$B,Load!E:E,0,)</f>
        <v>Berry Based (Raspberry, Strawberry, Medley, etc.)</v>
      </c>
      <c r="E4529" t="str">
        <f>_xlfn.XLOOKUP($A4529,Load!$B:$B,Load!F:F,0,)</f>
        <v>Hard Candy</v>
      </c>
      <c r="F4529" t="str">
        <f>_xlfn.XLOOKUP($A4529,Load!$B:$B,Load!G:G,0,)</f>
        <v>Single Pack</v>
      </c>
      <c r="G4529" t="str">
        <f>_xlfn.XLOOKUP($A4529,Load!$B:$B,Load!H:H,0,)</f>
        <v>Laydown Bag</v>
      </c>
      <c r="H4529" t="str">
        <f>_xlfn.XLOOKUP($A4529,Load!$B:$B,Load!I:I,0,)</f>
        <v>Everyday Candy Shapes (like Original, Gummy bear, Fruit, Jewels, etc.)</v>
      </c>
      <c r="I4529" t="str">
        <f>_xlfn.XLOOKUP($A4529,Load!$B:$B,Load!J:J,0,)</f>
        <v>Seasonal Graphics (Like Bat, Ghost, Pumpkin, Fall Leaves, Eyeballs, etc.)</v>
      </c>
      <c r="J4529" t="str">
        <f>_xlfn.XLOOKUP($A4529,Load!$B:$B,Load!K:K,0,)</f>
        <v>Small Pieces (Tiny bite size candies)</v>
      </c>
      <c r="K4529" t="str">
        <f>_xlfn.XLOOKUP($A4529,Load!$B:$B,Load!L:L,0,)</f>
        <v>Unwrapped</v>
      </c>
      <c r="L4529" t="str">
        <f>_xlfn.XLOOKUP($A4529,Load!$B:$B,Load!M:M,0,)</f>
        <v>Single Brand / Variety Flavors or Form</v>
      </c>
    </row>
    <row r="4530" spans="1:12" x14ac:dyDescent="0.25">
      <c r="A4530" t="s">
        <v>290</v>
      </c>
      <c r="B4530" t="str">
        <f>_xlfn.XLOOKUP($A4530,Load!$B:$B,Load!C:C,0,)</f>
        <v>Tootsie</v>
      </c>
      <c r="C4530" t="str">
        <f>_xlfn.XLOOKUP($A4530,Load!$B:$B,Load!D:D,0,)</f>
        <v>Mix of Chocolate and Non-Chocolate Candy</v>
      </c>
      <c r="D4530" t="str">
        <f>_xlfn.XLOOKUP($A4530,Load!$B:$B,Load!E:E,0,)</f>
        <v>Variety / Mixed Flavors (Fruity, Sour, Seasonal Flavors)</v>
      </c>
      <c r="E4530" t="str">
        <f>_xlfn.XLOOKUP($A4530,Load!$B:$B,Load!F:F,0,)</f>
        <v>Mixed / Combo Packs (Gummy, Chewy, Taffy, etc.)</v>
      </c>
      <c r="F4530" t="str">
        <f>_xlfn.XLOOKUP($A4530,Load!$B:$B,Load!G:G,0,)</f>
        <v>Large Multipack (More than 80 ct)</v>
      </c>
      <c r="G4530" t="str">
        <f>_xlfn.XLOOKUP($A4530,Load!$B:$B,Load!H:H,0,)</f>
        <v>Laydown Bag</v>
      </c>
      <c r="H4530" t="str">
        <f>_xlfn.XLOOKUP($A4530,Load!$B:$B,Load!I:I,0,)</f>
        <v>Everyday Candy Shapes (like Original, Gummy bear, Fruit, Jewels, etc.)</v>
      </c>
      <c r="I4530" t="str">
        <f>_xlfn.XLOOKUP($A4530,Load!$B:$B,Load!J:J,0,)</f>
        <v>Everyday Graphics</v>
      </c>
      <c r="J4530" t="str">
        <f>_xlfn.XLOOKUP($A4530,Load!$B:$B,Load!K:K,0,)</f>
        <v>Fun Size / Treat Size</v>
      </c>
      <c r="K4530" t="str">
        <f>_xlfn.XLOOKUP($A4530,Load!$B:$B,Load!L:L,0,)</f>
        <v>Regular/Original Wrapping</v>
      </c>
      <c r="L4530" t="str">
        <f>_xlfn.XLOOKUP($A4530,Load!$B:$B,Load!M:M,0,)</f>
        <v>Single Brand / Variety Flavors or Form</v>
      </c>
    </row>
    <row r="4531" spans="1:12" x14ac:dyDescent="0.25">
      <c r="B4531">
        <f>_xlfn.XLOOKUP($A4531,Load!$B:$B,Load!C:C,0,)</f>
        <v>0</v>
      </c>
      <c r="C4531">
        <f>_xlfn.XLOOKUP($A4531,Load!$B:$B,Load!D:D,0,)</f>
        <v>0</v>
      </c>
      <c r="D4531">
        <f>_xlfn.XLOOKUP($A4531,Load!$B:$B,Load!E:E,0,)</f>
        <v>0</v>
      </c>
      <c r="E4531">
        <f>_xlfn.XLOOKUP($A4531,Load!$B:$B,Load!F:F,0,)</f>
        <v>0</v>
      </c>
      <c r="F4531">
        <f>_xlfn.XLOOKUP($A4531,Load!$B:$B,Load!G:G,0,)</f>
        <v>0</v>
      </c>
      <c r="G4531">
        <f>_xlfn.XLOOKUP($A4531,Load!$B:$B,Load!H:H,0,)</f>
        <v>0</v>
      </c>
      <c r="H4531">
        <f>_xlfn.XLOOKUP($A4531,Load!$B:$B,Load!I:I,0,)</f>
        <v>0</v>
      </c>
      <c r="I4531">
        <f>_xlfn.XLOOKUP($A4531,Load!$B:$B,Load!J:J,0,)</f>
        <v>0</v>
      </c>
      <c r="J4531">
        <f>_xlfn.XLOOKUP($A4531,Load!$B:$B,Load!K:K,0,)</f>
        <v>0</v>
      </c>
      <c r="K4531">
        <f>_xlfn.XLOOKUP($A4531,Load!$B:$B,Load!L:L,0,)</f>
        <v>0</v>
      </c>
      <c r="L4531">
        <f>_xlfn.XLOOKUP($A4531,Load!$B:$B,Load!M:M,0,)</f>
        <v>0</v>
      </c>
    </row>
    <row r="4532" spans="1:12" x14ac:dyDescent="0.25">
      <c r="A4532" t="s">
        <v>196</v>
      </c>
      <c r="B4532" t="str">
        <f>_xlfn.XLOOKUP($A4532,Load!$B:$B,Load!C:C,0,)</f>
        <v>Mars Variety Pack</v>
      </c>
      <c r="C4532" t="str">
        <f>_xlfn.XLOOKUP($A4532,Load!$B:$B,Load!D:D,0,)</f>
        <v>Non-Chocolate Candy Only</v>
      </c>
      <c r="D4532" t="str">
        <f>_xlfn.XLOOKUP($A4532,Load!$B:$B,Load!E:E,0,)</f>
        <v>Variety / Mixed Flavors (Fruity, Sour, Seasonal Flavors)</v>
      </c>
      <c r="E4532" t="str">
        <f>_xlfn.XLOOKUP($A4532,Load!$B:$B,Load!F:F,0,)</f>
        <v>Mixed / Combo Packs (Gummy, Chewy, Taffy, etc.)</v>
      </c>
      <c r="F4532" t="str">
        <f>_xlfn.XLOOKUP($A4532,Load!$B:$B,Load!G:G,0,)</f>
        <v>Small Multipack (Less than 40 ct)</v>
      </c>
      <c r="G4532" t="str">
        <f>_xlfn.XLOOKUP($A4532,Load!$B:$B,Load!H:H,0,)</f>
        <v>Stand-Up Bag</v>
      </c>
      <c r="H4532" t="str">
        <f>_xlfn.XLOOKUP($A4532,Load!$B:$B,Load!I:I,0,)</f>
        <v>Everyday Candy Shapes (like Original, Gummy bear, Fruit, Jewels, etc.)</v>
      </c>
      <c r="I4532" t="str">
        <f>_xlfn.XLOOKUP($A4532,Load!$B:$B,Load!J:J,0,)</f>
        <v>Seasonal Graphics (Like Bat, Ghost, Pumpkin, Fall Leaves, Eyeballs, etc.)</v>
      </c>
      <c r="J4532" t="str">
        <f>_xlfn.XLOOKUP($A4532,Load!$B:$B,Load!K:K,0,)</f>
        <v>Fun Size / Treat Size</v>
      </c>
      <c r="K4532" t="str">
        <f>_xlfn.XLOOKUP($A4532,Load!$B:$B,Load!L:L,0,)</f>
        <v>Regular/Original Wrapping</v>
      </c>
      <c r="L4532" t="str">
        <f>_xlfn.XLOOKUP($A4532,Load!$B:$B,Load!M:M,0,)</f>
        <v>Multiple Brands / Variety Flavors or Form</v>
      </c>
    </row>
    <row r="4533" spans="1:12" x14ac:dyDescent="0.25">
      <c r="A4533" t="s">
        <v>192</v>
      </c>
      <c r="B4533" t="str">
        <f>_xlfn.XLOOKUP($A4533,Load!$B:$B,Load!C:C,0,)</f>
        <v>Mars Variety Pack</v>
      </c>
      <c r="C4533" t="str">
        <f>_xlfn.XLOOKUP($A4533,Load!$B:$B,Load!D:D,0,)</f>
        <v>Non-Chocolate Candy Only</v>
      </c>
      <c r="D4533" t="str">
        <f>_xlfn.XLOOKUP($A4533,Load!$B:$B,Load!E:E,0,)</f>
        <v>Variety / Mixed Flavors (Fruity, Sour, Seasonal Flavors)</v>
      </c>
      <c r="E4533" t="str">
        <f>_xlfn.XLOOKUP($A4533,Load!$B:$B,Load!F:F,0,)</f>
        <v>Mixed / Combo Packs (Gummy, Chewy, Taffy, etc.)</v>
      </c>
      <c r="F4533" t="str">
        <f>_xlfn.XLOOKUP($A4533,Load!$B:$B,Load!G:G,0,)</f>
        <v>Medium Multipack (40–80 ct)</v>
      </c>
      <c r="G4533" t="str">
        <f>_xlfn.XLOOKUP($A4533,Load!$B:$B,Load!H:H,0,)</f>
        <v>Stand-Up Bag</v>
      </c>
      <c r="H4533" t="str">
        <f>_xlfn.XLOOKUP($A4533,Load!$B:$B,Load!I:I,0,)</f>
        <v>Everyday Candy Shapes (like Original, Gummy bear, Fruit, Jewels, etc.)</v>
      </c>
      <c r="I4533" t="str">
        <f>_xlfn.XLOOKUP($A4533,Load!$B:$B,Load!J:J,0,)</f>
        <v>Seasonal Graphics (Like Bat, Ghost, Pumpkin, Fall Leaves, Eyeballs, etc.)</v>
      </c>
      <c r="J4533" t="str">
        <f>_xlfn.XLOOKUP($A4533,Load!$B:$B,Load!K:K,0,)</f>
        <v>Fun Size / Treat Size</v>
      </c>
      <c r="K4533" t="str">
        <f>_xlfn.XLOOKUP($A4533,Load!$B:$B,Load!L:L,0,)</f>
        <v>Regular/Original Wrapping</v>
      </c>
      <c r="L4533" t="str">
        <f>_xlfn.XLOOKUP($A4533,Load!$B:$B,Load!M:M,0,)</f>
        <v>Multiple Brands / Variety Flavors or Form</v>
      </c>
    </row>
    <row r="4534" spans="1:12" x14ac:dyDescent="0.25">
      <c r="B4534">
        <f>_xlfn.XLOOKUP($A4534,Load!$B:$B,Load!C:C,0,)</f>
        <v>0</v>
      </c>
      <c r="C4534">
        <f>_xlfn.XLOOKUP($A4534,Load!$B:$B,Load!D:D,0,)</f>
        <v>0</v>
      </c>
      <c r="D4534">
        <f>_xlfn.XLOOKUP($A4534,Load!$B:$B,Load!E:E,0,)</f>
        <v>0</v>
      </c>
      <c r="E4534">
        <f>_xlfn.XLOOKUP($A4534,Load!$B:$B,Load!F:F,0,)</f>
        <v>0</v>
      </c>
      <c r="F4534">
        <f>_xlfn.XLOOKUP($A4534,Load!$B:$B,Load!G:G,0,)</f>
        <v>0</v>
      </c>
      <c r="G4534">
        <f>_xlfn.XLOOKUP($A4534,Load!$B:$B,Load!H:H,0,)</f>
        <v>0</v>
      </c>
      <c r="H4534">
        <f>_xlfn.XLOOKUP($A4534,Load!$B:$B,Load!I:I,0,)</f>
        <v>0</v>
      </c>
      <c r="I4534">
        <f>_xlfn.XLOOKUP($A4534,Load!$B:$B,Load!J:J,0,)</f>
        <v>0</v>
      </c>
      <c r="J4534">
        <f>_xlfn.XLOOKUP($A4534,Load!$B:$B,Load!K:K,0,)</f>
        <v>0</v>
      </c>
      <c r="K4534">
        <f>_xlfn.XLOOKUP($A4534,Load!$B:$B,Load!L:L,0,)</f>
        <v>0</v>
      </c>
      <c r="L4534">
        <f>_xlfn.XLOOKUP($A4534,Load!$B:$B,Load!M:M,0,)</f>
        <v>0</v>
      </c>
    </row>
    <row r="4535" spans="1:12" x14ac:dyDescent="0.25">
      <c r="B4535">
        <f>_xlfn.XLOOKUP($A4535,Load!$B:$B,Load!C:C,0,)</f>
        <v>0</v>
      </c>
      <c r="C4535">
        <f>_xlfn.XLOOKUP($A4535,Load!$B:$B,Load!D:D,0,)</f>
        <v>0</v>
      </c>
      <c r="D4535">
        <f>_xlfn.XLOOKUP($A4535,Load!$B:$B,Load!E:E,0,)</f>
        <v>0</v>
      </c>
      <c r="E4535">
        <f>_xlfn.XLOOKUP($A4535,Load!$B:$B,Load!F:F,0,)</f>
        <v>0</v>
      </c>
      <c r="F4535">
        <f>_xlfn.XLOOKUP($A4535,Load!$B:$B,Load!G:G,0,)</f>
        <v>0</v>
      </c>
      <c r="G4535">
        <f>_xlfn.XLOOKUP($A4535,Load!$B:$B,Load!H:H,0,)</f>
        <v>0</v>
      </c>
      <c r="H4535">
        <f>_xlfn.XLOOKUP($A4535,Load!$B:$B,Load!I:I,0,)</f>
        <v>0</v>
      </c>
      <c r="I4535">
        <f>_xlfn.XLOOKUP($A4535,Load!$B:$B,Load!J:J,0,)</f>
        <v>0</v>
      </c>
      <c r="J4535">
        <f>_xlfn.XLOOKUP($A4535,Load!$B:$B,Load!K:K,0,)</f>
        <v>0</v>
      </c>
      <c r="K4535">
        <f>_xlfn.XLOOKUP($A4535,Load!$B:$B,Load!L:L,0,)</f>
        <v>0</v>
      </c>
      <c r="L4535">
        <f>_xlfn.XLOOKUP($A4535,Load!$B:$B,Load!M:M,0,)</f>
        <v>0</v>
      </c>
    </row>
    <row r="4536" spans="1:12" x14ac:dyDescent="0.25">
      <c r="A4536" t="s">
        <v>326</v>
      </c>
      <c r="B4536" t="str">
        <f>_xlfn.XLOOKUP($A4536,Load!$B:$B,Load!C:C,0,)</f>
        <v>Mondelez Variety Pack</v>
      </c>
      <c r="C4536" t="str">
        <f>_xlfn.XLOOKUP($A4536,Load!$B:$B,Load!D:D,0,)</f>
        <v>Mix of Chocolate and Non-Chocolate Candy</v>
      </c>
      <c r="D4536" t="str">
        <f>_xlfn.XLOOKUP($A4536,Load!$B:$B,Load!E:E,0,)</f>
        <v>Variety / Mixed Flavors (Fruity, Sour, Seasonal Flavors)</v>
      </c>
      <c r="E4536" t="str">
        <f>_xlfn.XLOOKUP($A4536,Load!$B:$B,Load!F:F,0,)</f>
        <v>Mixed / Combo Packs (Gummy, Chewy, Taffy, etc.)</v>
      </c>
      <c r="F4536" t="str">
        <f>_xlfn.XLOOKUP($A4536,Load!$B:$B,Load!G:G,0,)</f>
        <v>Medium Multipack (40–80 ct)</v>
      </c>
      <c r="G4536" t="str">
        <f>_xlfn.XLOOKUP($A4536,Load!$B:$B,Load!H:H,0,)</f>
        <v>Stand-Up Bag</v>
      </c>
      <c r="H4536" t="str">
        <f>_xlfn.XLOOKUP($A4536,Load!$B:$B,Load!I:I,0,)</f>
        <v>Everyday Candy Shapes (like Original, Gummy bear, Fruit, Jewels, etc.)</v>
      </c>
      <c r="I4536" t="str">
        <f>_xlfn.XLOOKUP($A4536,Load!$B:$B,Load!J:J,0,)</f>
        <v>Seasonal Graphics (Like Bat, Ghost, Pumpkin, Fall Leaves, Eyeballs, etc.)</v>
      </c>
      <c r="J4536" t="str">
        <f>_xlfn.XLOOKUP($A4536,Load!$B:$B,Load!K:K,0,)</f>
        <v xml:space="preserve">Variety Candy Sizes </v>
      </c>
      <c r="K4536" t="str">
        <f>_xlfn.XLOOKUP($A4536,Load!$B:$B,Load!L:L,0,)</f>
        <v>Regular/Original Wrapping</v>
      </c>
      <c r="L4536" t="str">
        <f>_xlfn.XLOOKUP($A4536,Load!$B:$B,Load!M:M,0,)</f>
        <v>Multiple Brands / Variety Flavors or Form</v>
      </c>
    </row>
    <row r="4537" spans="1:12" x14ac:dyDescent="0.25">
      <c r="B4537">
        <f>_xlfn.XLOOKUP($A4537,Load!$B:$B,Load!C:C,0,)</f>
        <v>0</v>
      </c>
      <c r="C4537">
        <f>_xlfn.XLOOKUP($A4537,Load!$B:$B,Load!D:D,0,)</f>
        <v>0</v>
      </c>
      <c r="D4537">
        <f>_xlfn.XLOOKUP($A4537,Load!$B:$B,Load!E:E,0,)</f>
        <v>0</v>
      </c>
      <c r="E4537">
        <f>_xlfn.XLOOKUP($A4537,Load!$B:$B,Load!F:F,0,)</f>
        <v>0</v>
      </c>
      <c r="F4537">
        <f>_xlfn.XLOOKUP($A4537,Load!$B:$B,Load!G:G,0,)</f>
        <v>0</v>
      </c>
      <c r="G4537">
        <f>_xlfn.XLOOKUP($A4537,Load!$B:$B,Load!H:H,0,)</f>
        <v>0</v>
      </c>
      <c r="H4537">
        <f>_xlfn.XLOOKUP($A4537,Load!$B:$B,Load!I:I,0,)</f>
        <v>0</v>
      </c>
      <c r="I4537">
        <f>_xlfn.XLOOKUP($A4537,Load!$B:$B,Load!J:J,0,)</f>
        <v>0</v>
      </c>
      <c r="J4537">
        <f>_xlfn.XLOOKUP($A4537,Load!$B:$B,Load!K:K,0,)</f>
        <v>0</v>
      </c>
      <c r="K4537">
        <f>_xlfn.XLOOKUP($A4537,Load!$B:$B,Load!L:L,0,)</f>
        <v>0</v>
      </c>
      <c r="L4537">
        <f>_xlfn.XLOOKUP($A4537,Load!$B:$B,Load!M:M,0,)</f>
        <v>0</v>
      </c>
    </row>
    <row r="4538" spans="1:12" x14ac:dyDescent="0.25">
      <c r="A4538" t="s">
        <v>100</v>
      </c>
      <c r="B4538" t="str">
        <f>_xlfn.XLOOKUP($A4538,Load!$B:$B,Load!C:C,0,)</f>
        <v>Flix</v>
      </c>
      <c r="C4538" t="str">
        <f>_xlfn.XLOOKUP($A4538,Load!$B:$B,Load!D:D,0,)</f>
        <v>Non-Chocolate Candy Only</v>
      </c>
      <c r="D4538" t="str">
        <f>_xlfn.XLOOKUP($A4538,Load!$B:$B,Load!E:E,0,)</f>
        <v>Berry Based (Raspberry, Strawberry, Medley, etc.)</v>
      </c>
      <c r="E4538" t="str">
        <f>_xlfn.XLOOKUP($A4538,Load!$B:$B,Load!F:F,0,)</f>
        <v>Gummy</v>
      </c>
      <c r="F4538" t="str">
        <f>_xlfn.XLOOKUP($A4538,Load!$B:$B,Load!G:G,0,)</f>
        <v>Small Multipack (Less than 40 ct)</v>
      </c>
      <c r="G4538" t="str">
        <f>_xlfn.XLOOKUP($A4538,Load!$B:$B,Load!H:H,0,)</f>
        <v>Box (theatre box, gift box, carton)</v>
      </c>
      <c r="H4538" t="str">
        <f>_xlfn.XLOOKUP($A4538,Load!$B:$B,Load!I:I,0,)</f>
        <v>Seasonal Shapes (like pumpkins, candy corn, ghost, bats, etc.)</v>
      </c>
      <c r="I4538" t="str">
        <f>_xlfn.XLOOKUP($A4538,Load!$B:$B,Load!J:J,0,)</f>
        <v>Seasonal Graphics (Like Bat, Ghost, Pumpkin, Fall Leaves, Eyeballs, etc.)</v>
      </c>
      <c r="J4538" t="str">
        <f>_xlfn.XLOOKUP($A4538,Load!$B:$B,Load!K:K,0,)</f>
        <v xml:space="preserve">Variety Candy Sizes </v>
      </c>
      <c r="K4538" t="str">
        <f>_xlfn.XLOOKUP($A4538,Load!$B:$B,Load!L:L,0,)</f>
        <v>Unwrapped</v>
      </c>
      <c r="L4538" t="str">
        <f>_xlfn.XLOOKUP($A4538,Load!$B:$B,Load!M:M,0,)</f>
        <v>Single Brand / Variety Flavors or Form</v>
      </c>
    </row>
    <row r="4539" spans="1:12" x14ac:dyDescent="0.25">
      <c r="B4539">
        <f>_xlfn.XLOOKUP($A4539,Load!$B:$B,Load!C:C,0,)</f>
        <v>0</v>
      </c>
      <c r="C4539">
        <f>_xlfn.XLOOKUP($A4539,Load!$B:$B,Load!D:D,0,)</f>
        <v>0</v>
      </c>
      <c r="D4539">
        <f>_xlfn.XLOOKUP($A4539,Load!$B:$B,Load!E:E,0,)</f>
        <v>0</v>
      </c>
      <c r="E4539">
        <f>_xlfn.XLOOKUP($A4539,Load!$B:$B,Load!F:F,0,)</f>
        <v>0</v>
      </c>
      <c r="F4539">
        <f>_xlfn.XLOOKUP($A4539,Load!$B:$B,Load!G:G,0,)</f>
        <v>0</v>
      </c>
      <c r="G4539">
        <f>_xlfn.XLOOKUP($A4539,Load!$B:$B,Load!H:H,0,)</f>
        <v>0</v>
      </c>
      <c r="H4539">
        <f>_xlfn.XLOOKUP($A4539,Load!$B:$B,Load!I:I,0,)</f>
        <v>0</v>
      </c>
      <c r="I4539">
        <f>_xlfn.XLOOKUP($A4539,Load!$B:$B,Load!J:J,0,)</f>
        <v>0</v>
      </c>
      <c r="J4539">
        <f>_xlfn.XLOOKUP($A4539,Load!$B:$B,Load!K:K,0,)</f>
        <v>0</v>
      </c>
      <c r="K4539">
        <f>_xlfn.XLOOKUP($A4539,Load!$B:$B,Load!L:L,0,)</f>
        <v>0</v>
      </c>
      <c r="L4539">
        <f>_xlfn.XLOOKUP($A4539,Load!$B:$B,Load!M:M,0,)</f>
        <v>0</v>
      </c>
    </row>
    <row r="4540" spans="1:12" x14ac:dyDescent="0.25">
      <c r="A4540" t="s">
        <v>71</v>
      </c>
      <c r="B4540" t="str">
        <f>_xlfn.XLOOKUP($A4540,Load!$B:$B,Load!C:C,0,)</f>
        <v>Dum Dums</v>
      </c>
      <c r="C4540" t="str">
        <f>_xlfn.XLOOKUP($A4540,Load!$B:$B,Load!D:D,0,)</f>
        <v>Non-Chocolate Candy Only</v>
      </c>
      <c r="D4540" t="str">
        <f>_xlfn.XLOOKUP($A4540,Load!$B:$B,Load!E:E,0,)</f>
        <v>Sweet</v>
      </c>
      <c r="E4540" t="str">
        <f>_xlfn.XLOOKUP($A4540,Load!$B:$B,Load!F:F,0,)</f>
        <v>Lollipop (regular or lollipop rings)</v>
      </c>
      <c r="F4540" t="str">
        <f>_xlfn.XLOOKUP($A4540,Load!$B:$B,Load!G:G,0,)</f>
        <v>Large Multipack (More than 80 ct)</v>
      </c>
      <c r="G4540" t="str">
        <f>_xlfn.XLOOKUP($A4540,Load!$B:$B,Load!H:H,0,)</f>
        <v>Stand-Up Bag</v>
      </c>
      <c r="H4540" t="str">
        <f>_xlfn.XLOOKUP($A4540,Load!$B:$B,Load!I:I,0,)</f>
        <v>Everyday Candy Shapes (like Original, Gummy bear, Fruit, Jewels, etc.)</v>
      </c>
      <c r="I4540" t="str">
        <f>_xlfn.XLOOKUP($A4540,Load!$B:$B,Load!J:J,0,)</f>
        <v>Seasonal Graphics (Like Bat, Ghost, Pumpkin, Fall Leaves, Eyeballs, etc.)</v>
      </c>
      <c r="J4540" t="str">
        <f>_xlfn.XLOOKUP($A4540,Load!$B:$B,Load!K:K,0,)</f>
        <v>Regular Lollipop size (on sticks or rings)</v>
      </c>
      <c r="K4540" t="str">
        <f>_xlfn.XLOOKUP($A4540,Load!$B:$B,Load!L:L,0,)</f>
        <v>Regular/Original Wrapping</v>
      </c>
      <c r="L4540" t="str">
        <f>_xlfn.XLOOKUP($A4540,Load!$B:$B,Load!M:M,0,)</f>
        <v>Multiple Brands / Variety Flavors or Form</v>
      </c>
    </row>
    <row r="4541" spans="1:12" x14ac:dyDescent="0.25">
      <c r="A4541" t="s">
        <v>294</v>
      </c>
      <c r="B4541" t="str">
        <f>_xlfn.XLOOKUP($A4541,Load!$B:$B,Load!C:C,0,)</f>
        <v>Tootsie</v>
      </c>
      <c r="C4541" t="str">
        <f>_xlfn.XLOOKUP($A4541,Load!$B:$B,Load!D:D,0,)</f>
        <v>Non-Chocolate Candy Only</v>
      </c>
      <c r="D4541" t="str">
        <f>_xlfn.XLOOKUP($A4541,Load!$B:$B,Load!E:E,0,)</f>
        <v>Sweet</v>
      </c>
      <c r="E4541" t="str">
        <f>_xlfn.XLOOKUP($A4541,Load!$B:$B,Load!F:F,0,)</f>
        <v>Lollipop (regular or lollipop rings)</v>
      </c>
      <c r="F4541" t="str">
        <f>_xlfn.XLOOKUP($A4541,Load!$B:$B,Load!G:G,0,)</f>
        <v>Large Multipack (More than 80 ct)</v>
      </c>
      <c r="G4541" t="str">
        <f>_xlfn.XLOOKUP($A4541,Load!$B:$B,Load!H:H,0,)</f>
        <v>Laydown Bag</v>
      </c>
      <c r="H4541" t="str">
        <f>_xlfn.XLOOKUP($A4541,Load!$B:$B,Load!I:I,0,)</f>
        <v>Everyday Candy Shapes (like Original, Gummy bear, Fruit, Jewels, etc.)</v>
      </c>
      <c r="I4541" t="str">
        <f>_xlfn.XLOOKUP($A4541,Load!$B:$B,Load!J:J,0,)</f>
        <v>Everyday Graphics</v>
      </c>
      <c r="J4541" t="str">
        <f>_xlfn.XLOOKUP($A4541,Load!$B:$B,Load!K:K,0,)</f>
        <v>Regular Lollipop size (on sticks or rings)</v>
      </c>
      <c r="K4541" t="str">
        <f>_xlfn.XLOOKUP($A4541,Load!$B:$B,Load!L:L,0,)</f>
        <v>Regular/Original Wrapping</v>
      </c>
      <c r="L4541" t="str">
        <f>_xlfn.XLOOKUP($A4541,Load!$B:$B,Load!M:M,0,)</f>
        <v>Single Brand / Single Flavor or Form</v>
      </c>
    </row>
    <row r="4542" spans="1:12" x14ac:dyDescent="0.25">
      <c r="B4542">
        <f>_xlfn.XLOOKUP($A4542,Load!$B:$B,Load!C:C,0,)</f>
        <v>0</v>
      </c>
      <c r="C4542">
        <f>_xlfn.XLOOKUP($A4542,Load!$B:$B,Load!D:D,0,)</f>
        <v>0</v>
      </c>
      <c r="D4542">
        <f>_xlfn.XLOOKUP($A4542,Load!$B:$B,Load!E:E,0,)</f>
        <v>0</v>
      </c>
      <c r="E4542">
        <f>_xlfn.XLOOKUP($A4542,Load!$B:$B,Load!F:F,0,)</f>
        <v>0</v>
      </c>
      <c r="F4542">
        <f>_xlfn.XLOOKUP($A4542,Load!$B:$B,Load!G:G,0,)</f>
        <v>0</v>
      </c>
      <c r="G4542">
        <f>_xlfn.XLOOKUP($A4542,Load!$B:$B,Load!H:H,0,)</f>
        <v>0</v>
      </c>
      <c r="H4542">
        <f>_xlfn.XLOOKUP($A4542,Load!$B:$B,Load!I:I,0,)</f>
        <v>0</v>
      </c>
      <c r="I4542">
        <f>_xlfn.XLOOKUP($A4542,Load!$B:$B,Load!J:J,0,)</f>
        <v>0</v>
      </c>
      <c r="J4542">
        <f>_xlfn.XLOOKUP($A4542,Load!$B:$B,Load!K:K,0,)</f>
        <v>0</v>
      </c>
      <c r="K4542">
        <f>_xlfn.XLOOKUP($A4542,Load!$B:$B,Load!L:L,0,)</f>
        <v>0</v>
      </c>
      <c r="L4542">
        <f>_xlfn.XLOOKUP($A4542,Load!$B:$B,Load!M:M,0,)</f>
        <v>0</v>
      </c>
    </row>
    <row r="4543" spans="1:12" x14ac:dyDescent="0.25">
      <c r="B4543">
        <f>_xlfn.XLOOKUP($A4543,Load!$B:$B,Load!C:C,0,)</f>
        <v>0</v>
      </c>
      <c r="C4543">
        <f>_xlfn.XLOOKUP($A4543,Load!$B:$B,Load!D:D,0,)</f>
        <v>0</v>
      </c>
      <c r="D4543">
        <f>_xlfn.XLOOKUP($A4543,Load!$B:$B,Load!E:E,0,)</f>
        <v>0</v>
      </c>
      <c r="E4543">
        <f>_xlfn.XLOOKUP($A4543,Load!$B:$B,Load!F:F,0,)</f>
        <v>0</v>
      </c>
      <c r="F4543">
        <f>_xlfn.XLOOKUP($A4543,Load!$B:$B,Load!G:G,0,)</f>
        <v>0</v>
      </c>
      <c r="G4543">
        <f>_xlfn.XLOOKUP($A4543,Load!$B:$B,Load!H:H,0,)</f>
        <v>0</v>
      </c>
      <c r="H4543">
        <f>_xlfn.XLOOKUP($A4543,Load!$B:$B,Load!I:I,0,)</f>
        <v>0</v>
      </c>
      <c r="I4543">
        <f>_xlfn.XLOOKUP($A4543,Load!$B:$B,Load!J:J,0,)</f>
        <v>0</v>
      </c>
      <c r="J4543">
        <f>_xlfn.XLOOKUP($A4543,Load!$B:$B,Load!K:K,0,)</f>
        <v>0</v>
      </c>
      <c r="K4543">
        <f>_xlfn.XLOOKUP($A4543,Load!$B:$B,Load!L:L,0,)</f>
        <v>0</v>
      </c>
      <c r="L4543">
        <f>_xlfn.XLOOKUP($A4543,Load!$B:$B,Load!M:M,0,)</f>
        <v>0</v>
      </c>
    </row>
    <row r="4544" spans="1:12" x14ac:dyDescent="0.25">
      <c r="B4544">
        <f>_xlfn.XLOOKUP($A4544,Load!$B:$B,Load!C:C,0,)</f>
        <v>0</v>
      </c>
      <c r="C4544">
        <f>_xlfn.XLOOKUP($A4544,Load!$B:$B,Load!D:D,0,)</f>
        <v>0</v>
      </c>
      <c r="D4544">
        <f>_xlfn.XLOOKUP($A4544,Load!$B:$B,Load!E:E,0,)</f>
        <v>0</v>
      </c>
      <c r="E4544">
        <f>_xlfn.XLOOKUP($A4544,Load!$B:$B,Load!F:F,0,)</f>
        <v>0</v>
      </c>
      <c r="F4544">
        <f>_xlfn.XLOOKUP($A4544,Load!$B:$B,Load!G:G,0,)</f>
        <v>0</v>
      </c>
      <c r="G4544">
        <f>_xlfn.XLOOKUP($A4544,Load!$B:$B,Load!H:H,0,)</f>
        <v>0</v>
      </c>
      <c r="H4544">
        <f>_xlfn.XLOOKUP($A4544,Load!$B:$B,Load!I:I,0,)</f>
        <v>0</v>
      </c>
      <c r="I4544">
        <f>_xlfn.XLOOKUP($A4544,Load!$B:$B,Load!J:J,0,)</f>
        <v>0</v>
      </c>
      <c r="J4544">
        <f>_xlfn.XLOOKUP($A4544,Load!$B:$B,Load!K:K,0,)</f>
        <v>0</v>
      </c>
      <c r="K4544">
        <f>_xlfn.XLOOKUP($A4544,Load!$B:$B,Load!L:L,0,)</f>
        <v>0</v>
      </c>
      <c r="L4544">
        <f>_xlfn.XLOOKUP($A4544,Load!$B:$B,Load!M:M,0,)</f>
        <v>0</v>
      </c>
    </row>
    <row r="4545" spans="1:12" x14ac:dyDescent="0.25">
      <c r="B4545">
        <f>_xlfn.XLOOKUP($A4545,Load!$B:$B,Load!C:C,0,)</f>
        <v>0</v>
      </c>
      <c r="C4545">
        <f>_xlfn.XLOOKUP($A4545,Load!$B:$B,Load!D:D,0,)</f>
        <v>0</v>
      </c>
      <c r="D4545">
        <f>_xlfn.XLOOKUP($A4545,Load!$B:$B,Load!E:E,0,)</f>
        <v>0</v>
      </c>
      <c r="E4545">
        <f>_xlfn.XLOOKUP($A4545,Load!$B:$B,Load!F:F,0,)</f>
        <v>0</v>
      </c>
      <c r="F4545">
        <f>_xlfn.XLOOKUP($A4545,Load!$B:$B,Load!G:G,0,)</f>
        <v>0</v>
      </c>
      <c r="G4545">
        <f>_xlfn.XLOOKUP($A4545,Load!$B:$B,Load!H:H,0,)</f>
        <v>0</v>
      </c>
      <c r="H4545">
        <f>_xlfn.XLOOKUP($A4545,Load!$B:$B,Load!I:I,0,)</f>
        <v>0</v>
      </c>
      <c r="I4545">
        <f>_xlfn.XLOOKUP($A4545,Load!$B:$B,Load!J:J,0,)</f>
        <v>0</v>
      </c>
      <c r="J4545">
        <f>_xlfn.XLOOKUP($A4545,Load!$B:$B,Load!K:K,0,)</f>
        <v>0</v>
      </c>
      <c r="K4545">
        <f>_xlfn.XLOOKUP($A4545,Load!$B:$B,Load!L:L,0,)</f>
        <v>0</v>
      </c>
      <c r="L4545">
        <f>_xlfn.XLOOKUP($A4545,Load!$B:$B,Load!M:M,0,)</f>
        <v>0</v>
      </c>
    </row>
    <row r="4546" spans="1:12" x14ac:dyDescent="0.25">
      <c r="A4546" t="s">
        <v>136</v>
      </c>
      <c r="B4546" t="str">
        <f>_xlfn.XLOOKUP($A4546,Load!$B:$B,Load!C:C,0,)</f>
        <v>Hershey's Variety Pack + Haribo</v>
      </c>
      <c r="C4546" t="str">
        <f>_xlfn.XLOOKUP($A4546,Load!$B:$B,Load!D:D,0,)</f>
        <v>Non-Chocolate Candy Only</v>
      </c>
      <c r="D4546" t="str">
        <f>_xlfn.XLOOKUP($A4546,Load!$B:$B,Load!E:E,0,)</f>
        <v>Variety / Mixed Flavors (Fruity, Sour, Seasonal Flavors)</v>
      </c>
      <c r="E4546" t="str">
        <f>_xlfn.XLOOKUP($A4546,Load!$B:$B,Load!F:F,0,)</f>
        <v>Mixed / Combo Packs (Gummy, Chewy, Taffy, etc.)</v>
      </c>
      <c r="F4546" t="str">
        <f>_xlfn.XLOOKUP($A4546,Load!$B:$B,Load!G:G,0,)</f>
        <v>Medium Multipack (40–80 ct)</v>
      </c>
      <c r="G4546" t="str">
        <f>_xlfn.XLOOKUP($A4546,Load!$B:$B,Load!H:H,0,)</f>
        <v>Laydown Bag</v>
      </c>
      <c r="H4546" t="str">
        <f>_xlfn.XLOOKUP($A4546,Load!$B:$B,Load!I:I,0,)</f>
        <v>Everyday Candy Shapes (like Original, Gummy bear, Fruit, Jewels, etc.)</v>
      </c>
      <c r="I4546" t="str">
        <f>_xlfn.XLOOKUP($A4546,Load!$B:$B,Load!J:J,0,)</f>
        <v>Seasonal Graphics (Like Bat, Ghost, Pumpkin, Fall Leaves, Eyeballs, etc.)</v>
      </c>
      <c r="J4546" t="str">
        <f>_xlfn.XLOOKUP($A4546,Load!$B:$B,Load!K:K,0,)</f>
        <v xml:space="preserve">Variety Candy Sizes </v>
      </c>
      <c r="K4546" t="str">
        <f>_xlfn.XLOOKUP($A4546,Load!$B:$B,Load!L:L,0,)</f>
        <v>Regular/Original Wrapping</v>
      </c>
      <c r="L4546" t="str">
        <f>_xlfn.XLOOKUP($A4546,Load!$B:$B,Load!M:M,0,)</f>
        <v>Multiple Brands / Variety Flavors or Form</v>
      </c>
    </row>
    <row r="4547" spans="1:12" x14ac:dyDescent="0.25">
      <c r="A4547" t="s">
        <v>104</v>
      </c>
      <c r="B4547" t="str">
        <f>_xlfn.XLOOKUP($A4547,Load!$B:$B,Load!C:C,0,)</f>
        <v>Frankford</v>
      </c>
      <c r="C4547" t="str">
        <f>_xlfn.XLOOKUP($A4547,Load!$B:$B,Load!D:D,0,)</f>
        <v>Non-Chocolate Candy Only</v>
      </c>
      <c r="D4547" t="str">
        <f>_xlfn.XLOOKUP($A4547,Load!$B:$B,Load!E:E,0,)</f>
        <v>Variety / Mixed Flavors (Fruity, Sour, Seasonal Flavors)</v>
      </c>
      <c r="E4547" t="str">
        <f>_xlfn.XLOOKUP($A4547,Load!$B:$B,Load!F:F,0,)</f>
        <v>Mixed / Combo Packs (Gummy, Chewy, Taffy, etc.)</v>
      </c>
      <c r="F4547" t="str">
        <f>_xlfn.XLOOKUP($A4547,Load!$B:$B,Load!G:G,0,)</f>
        <v>Large Multipack (More than 80 ct)</v>
      </c>
      <c r="G4547" t="str">
        <f>_xlfn.XLOOKUP($A4547,Load!$B:$B,Load!H:H,0,)</f>
        <v>Stand-Up Bag</v>
      </c>
      <c r="H4547" t="str">
        <f>_xlfn.XLOOKUP($A4547,Load!$B:$B,Load!I:I,0,)</f>
        <v>Seasonal Shapes (like pumpkins, candy corn, ghost, bats, etc.)</v>
      </c>
      <c r="I4547" t="str">
        <f>_xlfn.XLOOKUP($A4547,Load!$B:$B,Load!J:J,0,)</f>
        <v>Seasonal Graphics (Like Bat, Ghost, Pumpkin, Fall Leaves, Eyeballs, etc.)</v>
      </c>
      <c r="J4547" t="str">
        <f>_xlfn.XLOOKUP($A4547,Load!$B:$B,Load!K:K,0,)</f>
        <v xml:space="preserve">Variety Candy Sizes </v>
      </c>
      <c r="K4547" t="str">
        <f>_xlfn.XLOOKUP($A4547,Load!$B:$B,Load!L:L,0,)</f>
        <v>Regular/Original Wrapping</v>
      </c>
      <c r="L4547" t="str">
        <f>_xlfn.XLOOKUP($A4547,Load!$B:$B,Load!M:M,0,)</f>
        <v>Multiple Brands / Variety Flavors or Form</v>
      </c>
    </row>
    <row r="4548" spans="1:12" x14ac:dyDescent="0.25">
      <c r="A4548" t="s">
        <v>161</v>
      </c>
      <c r="B4548" t="str">
        <f>_xlfn.XLOOKUP($A4548,Load!$B:$B,Load!C:C,0,)</f>
        <v>Jolly Rancher</v>
      </c>
      <c r="C4548" t="str">
        <f>_xlfn.XLOOKUP($A4548,Load!$B:$B,Load!D:D,0,)</f>
        <v>Non-Chocolate Candy Only</v>
      </c>
      <c r="D4548" t="str">
        <f>_xlfn.XLOOKUP($A4548,Load!$B:$B,Load!E:E,0,)</f>
        <v>Variety / Mixed Flavors (Fruity, Sour, Seasonal Flavors)</v>
      </c>
      <c r="E4548" t="str">
        <f>_xlfn.XLOOKUP($A4548,Load!$B:$B,Load!F:F,0,)</f>
        <v>Mixed / Combo Packs (Gummy, Chewy, Taffy, etc.)</v>
      </c>
      <c r="F4548" t="str">
        <f>_xlfn.XLOOKUP($A4548,Load!$B:$B,Load!G:G,0,)</f>
        <v>Large Multipack (More than 80 ct)</v>
      </c>
      <c r="G4548" t="str">
        <f>_xlfn.XLOOKUP($A4548,Load!$B:$B,Load!H:H,0,)</f>
        <v>Stand-Up Bag</v>
      </c>
      <c r="H4548" t="str">
        <f>_xlfn.XLOOKUP($A4548,Load!$B:$B,Load!I:I,0,)</f>
        <v>Everyday Candy Shapes (like Original, Gummy bear, Fruit, Jewels, etc.)</v>
      </c>
      <c r="I4548" t="str">
        <f>_xlfn.XLOOKUP($A4548,Load!$B:$B,Load!J:J,0,)</f>
        <v>Seasonal Graphics (Like Bat, Ghost, Pumpkin, Fall Leaves, Eyeballs, etc.)</v>
      </c>
      <c r="J4548" t="str">
        <f>_xlfn.XLOOKUP($A4548,Load!$B:$B,Load!K:K,0,)</f>
        <v xml:space="preserve">Variety Candy Sizes </v>
      </c>
      <c r="K4548" t="str">
        <f>_xlfn.XLOOKUP($A4548,Load!$B:$B,Load!L:L,0,)</f>
        <v>Regular/Original Wrapping</v>
      </c>
      <c r="L4548" t="str">
        <f>_xlfn.XLOOKUP($A4548,Load!$B:$B,Load!M:M,0,)</f>
        <v>Single Brand / Variety Flavors or Form</v>
      </c>
    </row>
    <row r="4549" spans="1:12" x14ac:dyDescent="0.25">
      <c r="B4549">
        <f>_xlfn.XLOOKUP($A4549,Load!$B:$B,Load!C:C,0,)</f>
        <v>0</v>
      </c>
      <c r="C4549">
        <f>_xlfn.XLOOKUP($A4549,Load!$B:$B,Load!D:D,0,)</f>
        <v>0</v>
      </c>
      <c r="D4549">
        <f>_xlfn.XLOOKUP($A4549,Load!$B:$B,Load!E:E,0,)</f>
        <v>0</v>
      </c>
      <c r="E4549">
        <f>_xlfn.XLOOKUP($A4549,Load!$B:$B,Load!F:F,0,)</f>
        <v>0</v>
      </c>
      <c r="F4549">
        <f>_xlfn.XLOOKUP($A4549,Load!$B:$B,Load!G:G,0,)</f>
        <v>0</v>
      </c>
      <c r="G4549">
        <f>_xlfn.XLOOKUP($A4549,Load!$B:$B,Load!H:H,0,)</f>
        <v>0</v>
      </c>
      <c r="H4549">
        <f>_xlfn.XLOOKUP($A4549,Load!$B:$B,Load!I:I,0,)</f>
        <v>0</v>
      </c>
      <c r="I4549">
        <f>_xlfn.XLOOKUP($A4549,Load!$B:$B,Load!J:J,0,)</f>
        <v>0</v>
      </c>
      <c r="J4549">
        <f>_xlfn.XLOOKUP($A4549,Load!$B:$B,Load!K:K,0,)</f>
        <v>0</v>
      </c>
      <c r="K4549">
        <f>_xlfn.XLOOKUP($A4549,Load!$B:$B,Load!L:L,0,)</f>
        <v>0</v>
      </c>
      <c r="L4549">
        <f>_xlfn.XLOOKUP($A4549,Load!$B:$B,Load!M:M,0,)</f>
        <v>0</v>
      </c>
    </row>
    <row r="4550" spans="1:12" x14ac:dyDescent="0.25">
      <c r="B4550">
        <f>_xlfn.XLOOKUP($A4550,Load!$B:$B,Load!C:C,0,)</f>
        <v>0</v>
      </c>
      <c r="C4550">
        <f>_xlfn.XLOOKUP($A4550,Load!$B:$B,Load!D:D,0,)</f>
        <v>0</v>
      </c>
      <c r="D4550">
        <f>_xlfn.XLOOKUP($A4550,Load!$B:$B,Load!E:E,0,)</f>
        <v>0</v>
      </c>
      <c r="E4550">
        <f>_xlfn.XLOOKUP($A4550,Load!$B:$B,Load!F:F,0,)</f>
        <v>0</v>
      </c>
      <c r="F4550">
        <f>_xlfn.XLOOKUP($A4550,Load!$B:$B,Load!G:G,0,)</f>
        <v>0</v>
      </c>
      <c r="G4550">
        <f>_xlfn.XLOOKUP($A4550,Load!$B:$B,Load!H:H,0,)</f>
        <v>0</v>
      </c>
      <c r="H4550">
        <f>_xlfn.XLOOKUP($A4550,Load!$B:$B,Load!I:I,0,)</f>
        <v>0</v>
      </c>
      <c r="I4550">
        <f>_xlfn.XLOOKUP($A4550,Load!$B:$B,Load!J:J,0,)</f>
        <v>0</v>
      </c>
      <c r="J4550">
        <f>_xlfn.XLOOKUP($A4550,Load!$B:$B,Load!K:K,0,)</f>
        <v>0</v>
      </c>
      <c r="K4550">
        <f>_xlfn.XLOOKUP($A4550,Load!$B:$B,Load!L:L,0,)</f>
        <v>0</v>
      </c>
      <c r="L4550">
        <f>_xlfn.XLOOKUP($A4550,Load!$B:$B,Load!M:M,0,)</f>
        <v>0</v>
      </c>
    </row>
    <row r="4551" spans="1:12" x14ac:dyDescent="0.25">
      <c r="B4551">
        <f>_xlfn.XLOOKUP($A4551,Load!$B:$B,Load!C:C,0,)</f>
        <v>0</v>
      </c>
      <c r="C4551">
        <f>_xlfn.XLOOKUP($A4551,Load!$B:$B,Load!D:D,0,)</f>
        <v>0</v>
      </c>
      <c r="D4551">
        <f>_xlfn.XLOOKUP($A4551,Load!$B:$B,Load!E:E,0,)</f>
        <v>0</v>
      </c>
      <c r="E4551">
        <f>_xlfn.XLOOKUP($A4551,Load!$B:$B,Load!F:F,0,)</f>
        <v>0</v>
      </c>
      <c r="F4551">
        <f>_xlfn.XLOOKUP($A4551,Load!$B:$B,Load!G:G,0,)</f>
        <v>0</v>
      </c>
      <c r="G4551">
        <f>_xlfn.XLOOKUP($A4551,Load!$B:$B,Load!H:H,0,)</f>
        <v>0</v>
      </c>
      <c r="H4551">
        <f>_xlfn.XLOOKUP($A4551,Load!$B:$B,Load!I:I,0,)</f>
        <v>0</v>
      </c>
      <c r="I4551">
        <f>_xlfn.XLOOKUP($A4551,Load!$B:$B,Load!J:J,0,)</f>
        <v>0</v>
      </c>
      <c r="J4551">
        <f>_xlfn.XLOOKUP($A4551,Load!$B:$B,Load!K:K,0,)</f>
        <v>0</v>
      </c>
      <c r="K4551">
        <f>_xlfn.XLOOKUP($A4551,Load!$B:$B,Load!L:L,0,)</f>
        <v>0</v>
      </c>
      <c r="L4551">
        <f>_xlfn.XLOOKUP($A4551,Load!$B:$B,Load!M:M,0,)</f>
        <v>0</v>
      </c>
    </row>
    <row r="4552" spans="1:12" x14ac:dyDescent="0.25">
      <c r="A4552" t="s">
        <v>65</v>
      </c>
      <c r="B4552" t="str">
        <f>_xlfn.XLOOKUP($A4552,Load!$B:$B,Load!C:C,0,)</f>
        <v>Dots</v>
      </c>
      <c r="C4552" t="str">
        <f>_xlfn.XLOOKUP($A4552,Load!$B:$B,Load!D:D,0,)</f>
        <v>Non-Chocolate Candy Only</v>
      </c>
      <c r="D4552" t="str">
        <f>_xlfn.XLOOKUP($A4552,Load!$B:$B,Load!E:E,0,)</f>
        <v>Variety / Mixed Flavors (Fruity, Sour, Seasonal Flavors)</v>
      </c>
      <c r="E4552" t="str">
        <f>_xlfn.XLOOKUP($A4552,Load!$B:$B,Load!F:F,0,)</f>
        <v>Candy Pieces / Bites</v>
      </c>
      <c r="F4552" t="str">
        <f>_xlfn.XLOOKUP($A4552,Load!$B:$B,Load!G:G,0,)</f>
        <v>Medium Multipack (40–80 ct)</v>
      </c>
      <c r="G4552" t="str">
        <f>_xlfn.XLOOKUP($A4552,Load!$B:$B,Load!H:H,0,)</f>
        <v>Box (theatre box, gift box, carton)</v>
      </c>
      <c r="H4552" t="str">
        <f>_xlfn.XLOOKUP($A4552,Load!$B:$B,Load!I:I,0,)</f>
        <v>Seasonal Shapes (like pumpkins, candy corn, ghost, bats, etc.)</v>
      </c>
      <c r="I4552" t="str">
        <f>_xlfn.XLOOKUP($A4552,Load!$B:$B,Load!J:J,0,)</f>
        <v>Seasonal Graphics (Like Bat, Ghost, Pumpkin, Fall Leaves, Eyeballs, etc.)</v>
      </c>
      <c r="J4552" t="str">
        <f>_xlfn.XLOOKUP($A4552,Load!$B:$B,Load!K:K,0,)</f>
        <v>Fun Size / Treat Size</v>
      </c>
      <c r="K4552" t="str">
        <f>_xlfn.XLOOKUP($A4552,Load!$B:$B,Load!L:L,0,)</f>
        <v>Regular/Original Wrapping</v>
      </c>
      <c r="L4552" t="str">
        <f>_xlfn.XLOOKUP($A4552,Load!$B:$B,Load!M:M,0,)</f>
        <v>Single Brand / Variety Flavors or Form</v>
      </c>
    </row>
    <row r="4553" spans="1:12" x14ac:dyDescent="0.25">
      <c r="B4553">
        <f>_xlfn.XLOOKUP($A4553,Load!$B:$B,Load!C:C,0,)</f>
        <v>0</v>
      </c>
      <c r="C4553">
        <f>_xlfn.XLOOKUP($A4553,Load!$B:$B,Load!D:D,0,)</f>
        <v>0</v>
      </c>
      <c r="D4553">
        <f>_xlfn.XLOOKUP($A4553,Load!$B:$B,Load!E:E,0,)</f>
        <v>0</v>
      </c>
      <c r="E4553">
        <f>_xlfn.XLOOKUP($A4553,Load!$B:$B,Load!F:F,0,)</f>
        <v>0</v>
      </c>
      <c r="F4553">
        <f>_xlfn.XLOOKUP($A4553,Load!$B:$B,Load!G:G,0,)</f>
        <v>0</v>
      </c>
      <c r="G4553">
        <f>_xlfn.XLOOKUP($A4553,Load!$B:$B,Load!H:H,0,)</f>
        <v>0</v>
      </c>
      <c r="H4553">
        <f>_xlfn.XLOOKUP($A4553,Load!$B:$B,Load!I:I,0,)</f>
        <v>0</v>
      </c>
      <c r="I4553">
        <f>_xlfn.XLOOKUP($A4553,Load!$B:$B,Load!J:J,0,)</f>
        <v>0</v>
      </c>
      <c r="J4553">
        <f>_xlfn.XLOOKUP($A4553,Load!$B:$B,Load!K:K,0,)</f>
        <v>0</v>
      </c>
      <c r="K4553">
        <f>_xlfn.XLOOKUP($A4553,Load!$B:$B,Load!L:L,0,)</f>
        <v>0</v>
      </c>
      <c r="L4553">
        <f>_xlfn.XLOOKUP($A4553,Load!$B:$B,Load!M:M,0,)</f>
        <v>0</v>
      </c>
    </row>
    <row r="4554" spans="1:12" x14ac:dyDescent="0.25">
      <c r="B4554">
        <f>_xlfn.XLOOKUP($A4554,Load!$B:$B,Load!C:C,0,)</f>
        <v>0</v>
      </c>
      <c r="C4554">
        <f>_xlfn.XLOOKUP($A4554,Load!$B:$B,Load!D:D,0,)</f>
        <v>0</v>
      </c>
      <c r="D4554">
        <f>_xlfn.XLOOKUP($A4554,Load!$B:$B,Load!E:E,0,)</f>
        <v>0</v>
      </c>
      <c r="E4554">
        <f>_xlfn.XLOOKUP($A4554,Load!$B:$B,Load!F:F,0,)</f>
        <v>0</v>
      </c>
      <c r="F4554">
        <f>_xlfn.XLOOKUP($A4554,Load!$B:$B,Load!G:G,0,)</f>
        <v>0</v>
      </c>
      <c r="G4554">
        <f>_xlfn.XLOOKUP($A4554,Load!$B:$B,Load!H:H,0,)</f>
        <v>0</v>
      </c>
      <c r="H4554">
        <f>_xlfn.XLOOKUP($A4554,Load!$B:$B,Load!I:I,0,)</f>
        <v>0</v>
      </c>
      <c r="I4554">
        <f>_xlfn.XLOOKUP($A4554,Load!$B:$B,Load!J:J,0,)</f>
        <v>0</v>
      </c>
      <c r="J4554">
        <f>_xlfn.XLOOKUP($A4554,Load!$B:$B,Load!K:K,0,)</f>
        <v>0</v>
      </c>
      <c r="K4554">
        <f>_xlfn.XLOOKUP($A4554,Load!$B:$B,Load!L:L,0,)</f>
        <v>0</v>
      </c>
      <c r="L4554">
        <f>_xlfn.XLOOKUP($A4554,Load!$B:$B,Load!M:M,0,)</f>
        <v>0</v>
      </c>
    </row>
    <row r="4555" spans="1:12" x14ac:dyDescent="0.25">
      <c r="B4555">
        <f>_xlfn.XLOOKUP($A4555,Load!$B:$B,Load!C:C,0,)</f>
        <v>0</v>
      </c>
      <c r="C4555">
        <f>_xlfn.XLOOKUP($A4555,Load!$B:$B,Load!D:D,0,)</f>
        <v>0</v>
      </c>
      <c r="D4555">
        <f>_xlfn.XLOOKUP($A4555,Load!$B:$B,Load!E:E,0,)</f>
        <v>0</v>
      </c>
      <c r="E4555">
        <f>_xlfn.XLOOKUP($A4555,Load!$B:$B,Load!F:F,0,)</f>
        <v>0</v>
      </c>
      <c r="F4555">
        <f>_xlfn.XLOOKUP($A4555,Load!$B:$B,Load!G:G,0,)</f>
        <v>0</v>
      </c>
      <c r="G4555">
        <f>_xlfn.XLOOKUP($A4555,Load!$B:$B,Load!H:H,0,)</f>
        <v>0</v>
      </c>
      <c r="H4555">
        <f>_xlfn.XLOOKUP($A4555,Load!$B:$B,Load!I:I,0,)</f>
        <v>0</v>
      </c>
      <c r="I4555">
        <f>_xlfn.XLOOKUP($A4555,Load!$B:$B,Load!J:J,0,)</f>
        <v>0</v>
      </c>
      <c r="J4555">
        <f>_xlfn.XLOOKUP($A4555,Load!$B:$B,Load!K:K,0,)</f>
        <v>0</v>
      </c>
      <c r="K4555">
        <f>_xlfn.XLOOKUP($A4555,Load!$B:$B,Load!L:L,0,)</f>
        <v>0</v>
      </c>
      <c r="L4555">
        <f>_xlfn.XLOOKUP($A4555,Load!$B:$B,Load!M:M,0,)</f>
        <v>0</v>
      </c>
    </row>
    <row r="4556" spans="1:12" x14ac:dyDescent="0.25">
      <c r="A4556" t="s">
        <v>236</v>
      </c>
      <c r="B4556" t="str">
        <f>_xlfn.XLOOKUP($A4556,Load!$B:$B,Load!C:C,0,)</f>
        <v>Nerds</v>
      </c>
      <c r="C4556" t="str">
        <f>_xlfn.XLOOKUP($A4556,Load!$B:$B,Load!D:D,0,)</f>
        <v>Non-Chocolate Candy Only</v>
      </c>
      <c r="D4556" t="str">
        <f>_xlfn.XLOOKUP($A4556,Load!$B:$B,Load!E:E,0,)</f>
        <v>Variety / Mixed Flavors (Fruity, Sour, Seasonal Flavors)</v>
      </c>
      <c r="E4556" t="str">
        <f>_xlfn.XLOOKUP($A4556,Load!$B:$B,Load!F:F,0,)</f>
        <v>Candy Pieces / Bites</v>
      </c>
      <c r="F4556" t="str">
        <f>_xlfn.XLOOKUP($A4556,Load!$B:$B,Load!G:G,0,)</f>
        <v>Medium Multipack (40–80 ct)</v>
      </c>
      <c r="G4556" t="str">
        <f>_xlfn.XLOOKUP($A4556,Load!$B:$B,Load!H:H,0,)</f>
        <v>Stand-Up Bag</v>
      </c>
      <c r="H4556" t="str">
        <f>_xlfn.XLOOKUP($A4556,Load!$B:$B,Load!I:I,0,)</f>
        <v>Everyday Candy Shapes (like Original, Gummy bear, Fruit, Jewels, etc.)</v>
      </c>
      <c r="I4556" t="str">
        <f>_xlfn.XLOOKUP($A4556,Load!$B:$B,Load!J:J,0,)</f>
        <v>Seasonal Graphics (Like Bat, Ghost, Pumpkin, Fall Leaves, Eyeballs, etc.)</v>
      </c>
      <c r="J4556" t="str">
        <f>_xlfn.XLOOKUP($A4556,Load!$B:$B,Load!K:K,0,)</f>
        <v>Small Pieces (Tiny bite size candies)</v>
      </c>
      <c r="K4556" t="str">
        <f>_xlfn.XLOOKUP($A4556,Load!$B:$B,Load!L:L,0,)</f>
        <v>Unwrapped</v>
      </c>
      <c r="L4556" t="str">
        <f>_xlfn.XLOOKUP($A4556,Load!$B:$B,Load!M:M,0,)</f>
        <v>Single Brand / Variety Flavors or Form</v>
      </c>
    </row>
    <row r="4557" spans="1:12" x14ac:dyDescent="0.25">
      <c r="B4557">
        <f>_xlfn.XLOOKUP($A4557,Load!$B:$B,Load!C:C,0,)</f>
        <v>0</v>
      </c>
      <c r="C4557">
        <f>_xlfn.XLOOKUP($A4557,Load!$B:$B,Load!D:D,0,)</f>
        <v>0</v>
      </c>
      <c r="D4557">
        <f>_xlfn.XLOOKUP($A4557,Load!$B:$B,Load!E:E,0,)</f>
        <v>0</v>
      </c>
      <c r="E4557">
        <f>_xlfn.XLOOKUP($A4557,Load!$B:$B,Load!F:F,0,)</f>
        <v>0</v>
      </c>
      <c r="F4557">
        <f>_xlfn.XLOOKUP($A4557,Load!$B:$B,Load!G:G,0,)</f>
        <v>0</v>
      </c>
      <c r="G4557">
        <f>_xlfn.XLOOKUP($A4557,Load!$B:$B,Load!H:H,0,)</f>
        <v>0</v>
      </c>
      <c r="H4557">
        <f>_xlfn.XLOOKUP($A4557,Load!$B:$B,Load!I:I,0,)</f>
        <v>0</v>
      </c>
      <c r="I4557">
        <f>_xlfn.XLOOKUP($A4557,Load!$B:$B,Load!J:J,0,)</f>
        <v>0</v>
      </c>
      <c r="J4557">
        <f>_xlfn.XLOOKUP($A4557,Load!$B:$B,Load!K:K,0,)</f>
        <v>0</v>
      </c>
      <c r="K4557">
        <f>_xlfn.XLOOKUP($A4557,Load!$B:$B,Load!L:L,0,)</f>
        <v>0</v>
      </c>
      <c r="L4557">
        <f>_xlfn.XLOOKUP($A4557,Load!$B:$B,Load!M:M,0,)</f>
        <v>0</v>
      </c>
    </row>
    <row r="4558" spans="1:12" x14ac:dyDescent="0.25">
      <c r="A4558" t="s">
        <v>71</v>
      </c>
      <c r="B4558" t="str">
        <f>_xlfn.XLOOKUP($A4558,Load!$B:$B,Load!C:C,0,)</f>
        <v>Dum Dums</v>
      </c>
      <c r="C4558" t="str">
        <f>_xlfn.XLOOKUP($A4558,Load!$B:$B,Load!D:D,0,)</f>
        <v>Non-Chocolate Candy Only</v>
      </c>
      <c r="D4558" t="str">
        <f>_xlfn.XLOOKUP($A4558,Load!$B:$B,Load!E:E,0,)</f>
        <v>Sweet</v>
      </c>
      <c r="E4558" t="str">
        <f>_xlfn.XLOOKUP($A4558,Load!$B:$B,Load!F:F,0,)</f>
        <v>Lollipop (regular or lollipop rings)</v>
      </c>
      <c r="F4558" t="str">
        <f>_xlfn.XLOOKUP($A4558,Load!$B:$B,Load!G:G,0,)</f>
        <v>Large Multipack (More than 80 ct)</v>
      </c>
      <c r="G4558" t="str">
        <f>_xlfn.XLOOKUP($A4558,Load!$B:$B,Load!H:H,0,)</f>
        <v>Stand-Up Bag</v>
      </c>
      <c r="H4558" t="str">
        <f>_xlfn.XLOOKUP($A4558,Load!$B:$B,Load!I:I,0,)</f>
        <v>Everyday Candy Shapes (like Original, Gummy bear, Fruit, Jewels, etc.)</v>
      </c>
      <c r="I4558" t="str">
        <f>_xlfn.XLOOKUP($A4558,Load!$B:$B,Load!J:J,0,)</f>
        <v>Seasonal Graphics (Like Bat, Ghost, Pumpkin, Fall Leaves, Eyeballs, etc.)</v>
      </c>
      <c r="J4558" t="str">
        <f>_xlfn.XLOOKUP($A4558,Load!$B:$B,Load!K:K,0,)</f>
        <v>Regular Lollipop size (on sticks or rings)</v>
      </c>
      <c r="K4558" t="str">
        <f>_xlfn.XLOOKUP($A4558,Load!$B:$B,Load!L:L,0,)</f>
        <v>Regular/Original Wrapping</v>
      </c>
      <c r="L4558" t="str">
        <f>_xlfn.XLOOKUP($A4558,Load!$B:$B,Load!M:M,0,)</f>
        <v>Multiple Brands / Variety Flavors or Form</v>
      </c>
    </row>
    <row r="4559" spans="1:12" x14ac:dyDescent="0.25">
      <c r="A4559" t="s">
        <v>112</v>
      </c>
      <c r="B4559" t="str">
        <f>_xlfn.XLOOKUP($A4559,Load!$B:$B,Load!C:C,0,)</f>
        <v>Frankford</v>
      </c>
      <c r="C4559" t="str">
        <f>_xlfn.XLOOKUP($A4559,Load!$B:$B,Load!D:D,0,)</f>
        <v>Non-Chocolate Candy Only</v>
      </c>
      <c r="D4559" t="str">
        <f>_xlfn.XLOOKUP($A4559,Load!$B:$B,Load!E:E,0,)</f>
        <v>Sour</v>
      </c>
      <c r="E4559" t="str">
        <f>_xlfn.XLOOKUP($A4559,Load!$B:$B,Load!F:F,0,)</f>
        <v>Mixed / Combo Packs (Gummy, Chewy, Taffy, etc.)</v>
      </c>
      <c r="F4559" t="str">
        <f>_xlfn.XLOOKUP($A4559,Load!$B:$B,Load!G:G,0,)</f>
        <v>Large Multipack (More than 80 ct)</v>
      </c>
      <c r="G4559" t="str">
        <f>_xlfn.XLOOKUP($A4559,Load!$B:$B,Load!H:H,0,)</f>
        <v>Laydown Bag</v>
      </c>
      <c r="H4559" t="str">
        <f>_xlfn.XLOOKUP($A4559,Load!$B:$B,Load!I:I,0,)</f>
        <v>Everyday Candy Shapes (like Original, Gummy bear, Fruit, Jewels, etc.)</v>
      </c>
      <c r="I4559" t="str">
        <f>_xlfn.XLOOKUP($A4559,Load!$B:$B,Load!J:J,0,)</f>
        <v>Seasonal Graphics (Like Bat, Ghost, Pumpkin, Fall Leaves, Eyeballs, etc.)</v>
      </c>
      <c r="J4559" t="str">
        <f>_xlfn.XLOOKUP($A4559,Load!$B:$B,Load!K:K,0,)</f>
        <v>Small Pieces (Tiny bite size candies)</v>
      </c>
      <c r="K4559" t="str">
        <f>_xlfn.XLOOKUP($A4559,Load!$B:$B,Load!L:L,0,)</f>
        <v>Regular/Original Wrapping</v>
      </c>
      <c r="L4559" t="str">
        <f>_xlfn.XLOOKUP($A4559,Load!$B:$B,Load!M:M,0,)</f>
        <v>Multiple Brands / Variety Flavors or Form</v>
      </c>
    </row>
    <row r="4560" spans="1:12" x14ac:dyDescent="0.25">
      <c r="A4560" t="s">
        <v>124</v>
      </c>
      <c r="B4560" t="str">
        <f>_xlfn.XLOOKUP($A4560,Load!$B:$B,Load!C:C,0,)</f>
        <v>HARIBO</v>
      </c>
      <c r="C4560" t="str">
        <f>_xlfn.XLOOKUP($A4560,Load!$B:$B,Load!D:D,0,)</f>
        <v>Non-Chocolate Candy Only</v>
      </c>
      <c r="D4560" t="str">
        <f>_xlfn.XLOOKUP($A4560,Load!$B:$B,Load!E:E,0,)</f>
        <v>Fruit Flavor (Cherry, Grape, Apple, Citrus, Tropical Fruit)</v>
      </c>
      <c r="E4560" t="str">
        <f>_xlfn.XLOOKUP($A4560,Load!$B:$B,Load!F:F,0,)</f>
        <v>Gummy</v>
      </c>
      <c r="F4560" t="str">
        <f>_xlfn.XLOOKUP($A4560,Load!$B:$B,Load!G:G,0,)</f>
        <v>Small Multipack (Less than 40 ct)</v>
      </c>
      <c r="G4560" t="str">
        <f>_xlfn.XLOOKUP($A4560,Load!$B:$B,Load!H:H,0,)</f>
        <v>Laydown Bag</v>
      </c>
      <c r="H4560" t="str">
        <f>_xlfn.XLOOKUP($A4560,Load!$B:$B,Load!I:I,0,)</f>
        <v>Everyday Candy Shapes (like Original, Gummy bear, Fruit, Jewels, etc.)</v>
      </c>
      <c r="I4560" t="str">
        <f>_xlfn.XLOOKUP($A4560,Load!$B:$B,Load!J:J,0,)</f>
        <v>Everyday Graphics</v>
      </c>
      <c r="J4560" t="str">
        <f>_xlfn.XLOOKUP($A4560,Load!$B:$B,Load!K:K,0,)</f>
        <v>Small Pieces (Tiny bite size candies)</v>
      </c>
      <c r="K4560" t="str">
        <f>_xlfn.XLOOKUP($A4560,Load!$B:$B,Load!L:L,0,)</f>
        <v>Regular/Original Wrapping</v>
      </c>
      <c r="L4560" t="str">
        <f>_xlfn.XLOOKUP($A4560,Load!$B:$B,Load!M:M,0,)</f>
        <v>Single Brand / Variety Flavors or Form</v>
      </c>
    </row>
    <row r="4561" spans="1:12" x14ac:dyDescent="0.25">
      <c r="B4561">
        <f>_xlfn.XLOOKUP($A4561,Load!$B:$B,Load!C:C,0,)</f>
        <v>0</v>
      </c>
      <c r="C4561">
        <f>_xlfn.XLOOKUP($A4561,Load!$B:$B,Load!D:D,0,)</f>
        <v>0</v>
      </c>
      <c r="D4561">
        <f>_xlfn.XLOOKUP($A4561,Load!$B:$B,Load!E:E,0,)</f>
        <v>0</v>
      </c>
      <c r="E4561">
        <f>_xlfn.XLOOKUP($A4561,Load!$B:$B,Load!F:F,0,)</f>
        <v>0</v>
      </c>
      <c r="F4561">
        <f>_xlfn.XLOOKUP($A4561,Load!$B:$B,Load!G:G,0,)</f>
        <v>0</v>
      </c>
      <c r="G4561">
        <f>_xlfn.XLOOKUP($A4561,Load!$B:$B,Load!H:H,0,)</f>
        <v>0</v>
      </c>
      <c r="H4561">
        <f>_xlfn.XLOOKUP($A4561,Load!$B:$B,Load!I:I,0,)</f>
        <v>0</v>
      </c>
      <c r="I4561">
        <f>_xlfn.XLOOKUP($A4561,Load!$B:$B,Load!J:J,0,)</f>
        <v>0</v>
      </c>
      <c r="J4561">
        <f>_xlfn.XLOOKUP($A4561,Load!$B:$B,Load!K:K,0,)</f>
        <v>0</v>
      </c>
      <c r="K4561">
        <f>_xlfn.XLOOKUP($A4561,Load!$B:$B,Load!L:L,0,)</f>
        <v>0</v>
      </c>
      <c r="L4561">
        <f>_xlfn.XLOOKUP($A4561,Load!$B:$B,Load!M:M,0,)</f>
        <v>0</v>
      </c>
    </row>
    <row r="4562" spans="1:12" x14ac:dyDescent="0.25">
      <c r="A4562" t="s">
        <v>260</v>
      </c>
      <c r="B4562" t="str">
        <f>_xlfn.XLOOKUP($A4562,Load!$B:$B,Load!C:C,0,)</f>
        <v>Skittles</v>
      </c>
      <c r="C4562" t="str">
        <f>_xlfn.XLOOKUP($A4562,Load!$B:$B,Load!D:D,0,)</f>
        <v>Non-Chocolate Candy Only</v>
      </c>
      <c r="D4562" t="str">
        <f>_xlfn.XLOOKUP($A4562,Load!$B:$B,Load!E:E,0,)</f>
        <v>Fruit Flavor (Cherry, Grape, Apple, Citrus, Tropical Fruit)</v>
      </c>
      <c r="E4562" t="str">
        <f>_xlfn.XLOOKUP($A4562,Load!$B:$B,Load!F:F,0,)</f>
        <v>Candy Pieces / Bites</v>
      </c>
      <c r="F4562" t="str">
        <f>_xlfn.XLOOKUP($A4562,Load!$B:$B,Load!G:G,0,)</f>
        <v>Single Pack</v>
      </c>
      <c r="G4562" t="str">
        <f>_xlfn.XLOOKUP($A4562,Load!$B:$B,Load!H:H,0,)</f>
        <v>Plastic Cup / Container</v>
      </c>
      <c r="H4562" t="str">
        <f>_xlfn.XLOOKUP($A4562,Load!$B:$B,Load!I:I,0,)</f>
        <v>Everyday Candy Shapes (like Original, Gummy bear, Fruit, Jewels, etc.)</v>
      </c>
      <c r="I4562" t="str">
        <f>_xlfn.XLOOKUP($A4562,Load!$B:$B,Load!J:J,0,)</f>
        <v>Seasonal Graphics (Like Bat, Ghost, Pumpkin, Fall Leaves, Eyeballs, etc.)</v>
      </c>
      <c r="J4562" t="str">
        <f>_xlfn.XLOOKUP($A4562,Load!$B:$B,Load!K:K,0,)</f>
        <v>Small Pieces (Tiny bite size candies)</v>
      </c>
      <c r="K4562" t="str">
        <f>_xlfn.XLOOKUP($A4562,Load!$B:$B,Load!L:L,0,)</f>
        <v>Unwrapped</v>
      </c>
      <c r="L4562" t="str">
        <f>_xlfn.XLOOKUP($A4562,Load!$B:$B,Load!M:M,0,)</f>
        <v>Single Brand / Single Flavor or Form</v>
      </c>
    </row>
    <row r="4563" spans="1:12" x14ac:dyDescent="0.25">
      <c r="B4563">
        <f>_xlfn.XLOOKUP($A4563,Load!$B:$B,Load!C:C,0,)</f>
        <v>0</v>
      </c>
      <c r="C4563">
        <f>_xlfn.XLOOKUP($A4563,Load!$B:$B,Load!D:D,0,)</f>
        <v>0</v>
      </c>
      <c r="D4563">
        <f>_xlfn.XLOOKUP($A4563,Load!$B:$B,Load!E:E,0,)</f>
        <v>0</v>
      </c>
      <c r="E4563">
        <f>_xlfn.XLOOKUP($A4563,Load!$B:$B,Load!F:F,0,)</f>
        <v>0</v>
      </c>
      <c r="F4563">
        <f>_xlfn.XLOOKUP($A4563,Load!$B:$B,Load!G:G,0,)</f>
        <v>0</v>
      </c>
      <c r="G4563">
        <f>_xlfn.XLOOKUP($A4563,Load!$B:$B,Load!H:H,0,)</f>
        <v>0</v>
      </c>
      <c r="H4563">
        <f>_xlfn.XLOOKUP($A4563,Load!$B:$B,Load!I:I,0,)</f>
        <v>0</v>
      </c>
      <c r="I4563">
        <f>_xlfn.XLOOKUP($A4563,Load!$B:$B,Load!J:J,0,)</f>
        <v>0</v>
      </c>
      <c r="J4563">
        <f>_xlfn.XLOOKUP($A4563,Load!$B:$B,Load!K:K,0,)</f>
        <v>0</v>
      </c>
      <c r="K4563">
        <f>_xlfn.XLOOKUP($A4563,Load!$B:$B,Load!L:L,0,)</f>
        <v>0</v>
      </c>
      <c r="L4563">
        <f>_xlfn.XLOOKUP($A4563,Load!$B:$B,Load!M:M,0,)</f>
        <v>0</v>
      </c>
    </row>
    <row r="4564" spans="1:12" x14ac:dyDescent="0.25">
      <c r="A4564" t="s">
        <v>327</v>
      </c>
      <c r="B4564" t="str">
        <f>_xlfn.XLOOKUP($A4564,Load!$B:$B,Load!C:C,0,)</f>
        <v>Googly Eyes</v>
      </c>
      <c r="C4564" t="str">
        <f>_xlfn.XLOOKUP($A4564,Load!$B:$B,Load!D:D,0,)</f>
        <v>Non-Chocolate Candy Only</v>
      </c>
      <c r="D4564" t="str">
        <f>_xlfn.XLOOKUP($A4564,Load!$B:$B,Load!E:E,0,)</f>
        <v>Variety / Mixed Flavors (Fruity, Sour, Seasonal Flavors)</v>
      </c>
      <c r="E4564" t="str">
        <f>_xlfn.XLOOKUP($A4564,Load!$B:$B,Load!F:F,0,)</f>
        <v>Candy Pieces / Bites</v>
      </c>
      <c r="F4564" t="str">
        <f>_xlfn.XLOOKUP($A4564,Load!$B:$B,Load!G:G,0,)</f>
        <v>Small Multipack (Less than 40 ct)</v>
      </c>
      <c r="G4564" t="str">
        <f>_xlfn.XLOOKUP($A4564,Load!$B:$B,Load!H:H,0,)</f>
        <v>Plastic Cup / Container</v>
      </c>
      <c r="H4564" t="str">
        <f>_xlfn.XLOOKUP($A4564,Load!$B:$B,Load!I:I,0,)</f>
        <v>Seasonal Shapes (like pumpkins, candy corn, ghost, bats, etc.)</v>
      </c>
      <c r="I4564" t="str">
        <f>_xlfn.XLOOKUP($A4564,Load!$B:$B,Load!J:J,0,)</f>
        <v>Seasonal Graphics (Like Bat, Ghost, Pumpkin, Fall Leaves, Eyeballs, etc.)</v>
      </c>
      <c r="J4564" t="str">
        <f>_xlfn.XLOOKUP($A4564,Load!$B:$B,Load!K:K,0,)</f>
        <v>Fun Size / Treat Size</v>
      </c>
      <c r="K4564" t="str">
        <f>_xlfn.XLOOKUP($A4564,Load!$B:$B,Load!L:L,0,)</f>
        <v>Regular/Original Wrapping</v>
      </c>
      <c r="L4564" t="str">
        <f>_xlfn.XLOOKUP($A4564,Load!$B:$B,Load!M:M,0,)</f>
        <v>Single Brand / Variety Flavors or Form</v>
      </c>
    </row>
    <row r="4565" spans="1:12" x14ac:dyDescent="0.25">
      <c r="A4565" t="s">
        <v>65</v>
      </c>
      <c r="B4565" t="str">
        <f>_xlfn.XLOOKUP($A4565,Load!$B:$B,Load!C:C,0,)</f>
        <v>Dots</v>
      </c>
      <c r="C4565" t="str">
        <f>_xlfn.XLOOKUP($A4565,Load!$B:$B,Load!D:D,0,)</f>
        <v>Non-Chocolate Candy Only</v>
      </c>
      <c r="D4565" t="str">
        <f>_xlfn.XLOOKUP($A4565,Load!$B:$B,Load!E:E,0,)</f>
        <v>Variety / Mixed Flavors (Fruity, Sour, Seasonal Flavors)</v>
      </c>
      <c r="E4565" t="str">
        <f>_xlfn.XLOOKUP($A4565,Load!$B:$B,Load!F:F,0,)</f>
        <v>Candy Pieces / Bites</v>
      </c>
      <c r="F4565" t="str">
        <f>_xlfn.XLOOKUP($A4565,Load!$B:$B,Load!G:G,0,)</f>
        <v>Medium Multipack (40–80 ct)</v>
      </c>
      <c r="G4565" t="str">
        <f>_xlfn.XLOOKUP($A4565,Load!$B:$B,Load!H:H,0,)</f>
        <v>Box (theatre box, gift box, carton)</v>
      </c>
      <c r="H4565" t="str">
        <f>_xlfn.XLOOKUP($A4565,Load!$B:$B,Load!I:I,0,)</f>
        <v>Seasonal Shapes (like pumpkins, candy corn, ghost, bats, etc.)</v>
      </c>
      <c r="I4565" t="str">
        <f>_xlfn.XLOOKUP($A4565,Load!$B:$B,Load!J:J,0,)</f>
        <v>Seasonal Graphics (Like Bat, Ghost, Pumpkin, Fall Leaves, Eyeballs, etc.)</v>
      </c>
      <c r="J4565" t="str">
        <f>_xlfn.XLOOKUP($A4565,Load!$B:$B,Load!K:K,0,)</f>
        <v>Fun Size / Treat Size</v>
      </c>
      <c r="K4565" t="str">
        <f>_xlfn.XLOOKUP($A4565,Load!$B:$B,Load!L:L,0,)</f>
        <v>Regular/Original Wrapping</v>
      </c>
      <c r="L4565" t="str">
        <f>_xlfn.XLOOKUP($A4565,Load!$B:$B,Load!M:M,0,)</f>
        <v>Single Brand / Variety Flavors or Form</v>
      </c>
    </row>
    <row r="4566" spans="1:12" x14ac:dyDescent="0.25">
      <c r="B4566">
        <f>_xlfn.XLOOKUP($A4566,Load!$B:$B,Load!C:C,0,)</f>
        <v>0</v>
      </c>
      <c r="C4566">
        <f>_xlfn.XLOOKUP($A4566,Load!$B:$B,Load!D:D,0,)</f>
        <v>0</v>
      </c>
      <c r="D4566">
        <f>_xlfn.XLOOKUP($A4566,Load!$B:$B,Load!E:E,0,)</f>
        <v>0</v>
      </c>
      <c r="E4566">
        <f>_xlfn.XLOOKUP($A4566,Load!$B:$B,Load!F:F,0,)</f>
        <v>0</v>
      </c>
      <c r="F4566">
        <f>_xlfn.XLOOKUP($A4566,Load!$B:$B,Load!G:G,0,)</f>
        <v>0</v>
      </c>
      <c r="G4566">
        <f>_xlfn.XLOOKUP($A4566,Load!$B:$B,Load!H:H,0,)</f>
        <v>0</v>
      </c>
      <c r="H4566">
        <f>_xlfn.XLOOKUP($A4566,Load!$B:$B,Load!I:I,0,)</f>
        <v>0</v>
      </c>
      <c r="I4566">
        <f>_xlfn.XLOOKUP($A4566,Load!$B:$B,Load!J:J,0,)</f>
        <v>0</v>
      </c>
      <c r="J4566">
        <f>_xlfn.XLOOKUP($A4566,Load!$B:$B,Load!K:K,0,)</f>
        <v>0</v>
      </c>
      <c r="K4566">
        <f>_xlfn.XLOOKUP($A4566,Load!$B:$B,Load!L:L,0,)</f>
        <v>0</v>
      </c>
      <c r="L4566">
        <f>_xlfn.XLOOKUP($A4566,Load!$B:$B,Load!M:M,0,)</f>
        <v>0</v>
      </c>
    </row>
    <row r="4567" spans="1:12" x14ac:dyDescent="0.25">
      <c r="B4567">
        <f>_xlfn.XLOOKUP($A4567,Load!$B:$B,Load!C:C,0,)</f>
        <v>0</v>
      </c>
      <c r="C4567">
        <f>_xlfn.XLOOKUP($A4567,Load!$B:$B,Load!D:D,0,)</f>
        <v>0</v>
      </c>
      <c r="D4567">
        <f>_xlfn.XLOOKUP($A4567,Load!$B:$B,Load!E:E,0,)</f>
        <v>0</v>
      </c>
      <c r="E4567">
        <f>_xlfn.XLOOKUP($A4567,Load!$B:$B,Load!F:F,0,)</f>
        <v>0</v>
      </c>
      <c r="F4567">
        <f>_xlfn.XLOOKUP($A4567,Load!$B:$B,Load!G:G,0,)</f>
        <v>0</v>
      </c>
      <c r="G4567">
        <f>_xlfn.XLOOKUP($A4567,Load!$B:$B,Load!H:H,0,)</f>
        <v>0</v>
      </c>
      <c r="H4567">
        <f>_xlfn.XLOOKUP($A4567,Load!$B:$B,Load!I:I,0,)</f>
        <v>0</v>
      </c>
      <c r="I4567">
        <f>_xlfn.XLOOKUP($A4567,Load!$B:$B,Load!J:J,0,)</f>
        <v>0</v>
      </c>
      <c r="J4567">
        <f>_xlfn.XLOOKUP($A4567,Load!$B:$B,Load!K:K,0,)</f>
        <v>0</v>
      </c>
      <c r="K4567">
        <f>_xlfn.XLOOKUP($A4567,Load!$B:$B,Load!L:L,0,)</f>
        <v>0</v>
      </c>
      <c r="L4567">
        <f>_xlfn.XLOOKUP($A4567,Load!$B:$B,Load!M:M,0,)</f>
        <v>0</v>
      </c>
    </row>
    <row r="4568" spans="1:12" x14ac:dyDescent="0.25">
      <c r="B4568">
        <f>_xlfn.XLOOKUP($A4568,Load!$B:$B,Load!C:C,0,)</f>
        <v>0</v>
      </c>
      <c r="C4568">
        <f>_xlfn.XLOOKUP($A4568,Load!$B:$B,Load!D:D,0,)</f>
        <v>0</v>
      </c>
      <c r="D4568">
        <f>_xlfn.XLOOKUP($A4568,Load!$B:$B,Load!E:E,0,)</f>
        <v>0</v>
      </c>
      <c r="E4568">
        <f>_xlfn.XLOOKUP($A4568,Load!$B:$B,Load!F:F,0,)</f>
        <v>0</v>
      </c>
      <c r="F4568">
        <f>_xlfn.XLOOKUP($A4568,Load!$B:$B,Load!G:G,0,)</f>
        <v>0</v>
      </c>
      <c r="G4568">
        <f>_xlfn.XLOOKUP($A4568,Load!$B:$B,Load!H:H,0,)</f>
        <v>0</v>
      </c>
      <c r="H4568">
        <f>_xlfn.XLOOKUP($A4568,Load!$B:$B,Load!I:I,0,)</f>
        <v>0</v>
      </c>
      <c r="I4568">
        <f>_xlfn.XLOOKUP($A4568,Load!$B:$B,Load!J:J,0,)</f>
        <v>0</v>
      </c>
      <c r="J4568">
        <f>_xlfn.XLOOKUP($A4568,Load!$B:$B,Load!K:K,0,)</f>
        <v>0</v>
      </c>
      <c r="K4568">
        <f>_xlfn.XLOOKUP($A4568,Load!$B:$B,Load!L:L,0,)</f>
        <v>0</v>
      </c>
      <c r="L4568">
        <f>_xlfn.XLOOKUP($A4568,Load!$B:$B,Load!M:M,0,)</f>
        <v>0</v>
      </c>
    </row>
    <row r="4569" spans="1:12" x14ac:dyDescent="0.25">
      <c r="B4569">
        <f>_xlfn.XLOOKUP($A4569,Load!$B:$B,Load!C:C,0,)</f>
        <v>0</v>
      </c>
      <c r="C4569">
        <f>_xlfn.XLOOKUP($A4569,Load!$B:$B,Load!D:D,0,)</f>
        <v>0</v>
      </c>
      <c r="D4569">
        <f>_xlfn.XLOOKUP($A4569,Load!$B:$B,Load!E:E,0,)</f>
        <v>0</v>
      </c>
      <c r="E4569">
        <f>_xlfn.XLOOKUP($A4569,Load!$B:$B,Load!F:F,0,)</f>
        <v>0</v>
      </c>
      <c r="F4569">
        <f>_xlfn.XLOOKUP($A4569,Load!$B:$B,Load!G:G,0,)</f>
        <v>0</v>
      </c>
      <c r="G4569">
        <f>_xlfn.XLOOKUP($A4569,Load!$B:$B,Load!H:H,0,)</f>
        <v>0</v>
      </c>
      <c r="H4569">
        <f>_xlfn.XLOOKUP($A4569,Load!$B:$B,Load!I:I,0,)</f>
        <v>0</v>
      </c>
      <c r="I4569">
        <f>_xlfn.XLOOKUP($A4569,Load!$B:$B,Load!J:J,0,)</f>
        <v>0</v>
      </c>
      <c r="J4569">
        <f>_xlfn.XLOOKUP($A4569,Load!$B:$B,Load!K:K,0,)</f>
        <v>0</v>
      </c>
      <c r="K4569">
        <f>_xlfn.XLOOKUP($A4569,Load!$B:$B,Load!L:L,0,)</f>
        <v>0</v>
      </c>
      <c r="L4569">
        <f>_xlfn.XLOOKUP($A4569,Load!$B:$B,Load!M:M,0,)</f>
        <v>0</v>
      </c>
    </row>
    <row r="4570" spans="1:12" x14ac:dyDescent="0.25">
      <c r="A4570" t="s">
        <v>58</v>
      </c>
      <c r="B4570" t="str">
        <f>_xlfn.XLOOKUP($A4570,Load!$B:$B,Load!C:C,0,)</f>
        <v>Charms</v>
      </c>
      <c r="C4570" t="str">
        <f>_xlfn.XLOOKUP($A4570,Load!$B:$B,Load!D:D,0,)</f>
        <v>Non-Chocolate Candy Only</v>
      </c>
      <c r="D4570" t="str">
        <f>_xlfn.XLOOKUP($A4570,Load!$B:$B,Load!E:E,0,)</f>
        <v>Variety / Mixed Flavors (Fruity, Sour, Seasonal Flavors)</v>
      </c>
      <c r="E4570" t="str">
        <f>_xlfn.XLOOKUP($A4570,Load!$B:$B,Load!F:F,0,)</f>
        <v>Lollipop (regular or lollipop rings)</v>
      </c>
      <c r="F4570" t="str">
        <f>_xlfn.XLOOKUP($A4570,Load!$B:$B,Load!G:G,0,)</f>
        <v>Small Multipack (Less than 40 ct)</v>
      </c>
      <c r="G4570" t="str">
        <f>_xlfn.XLOOKUP($A4570,Load!$B:$B,Load!H:H,0,)</f>
        <v>Laydown Bag</v>
      </c>
      <c r="H4570" t="str">
        <f>_xlfn.XLOOKUP($A4570,Load!$B:$B,Load!I:I,0,)</f>
        <v>Everyday Candy Shapes (like Original, Gummy bear, Fruit, Jewels, etc.)</v>
      </c>
      <c r="I4570" t="str">
        <f>_xlfn.XLOOKUP($A4570,Load!$B:$B,Load!J:J,0,)</f>
        <v>Seasonal Graphics (Like Bat, Ghost, Pumpkin, Fall Leaves, Eyeballs, etc.)</v>
      </c>
      <c r="J4570" t="str">
        <f>_xlfn.XLOOKUP($A4570,Load!$B:$B,Load!K:K,0,)</f>
        <v>Regular Lollipop size (on sticks or rings)</v>
      </c>
      <c r="K4570" t="str">
        <f>_xlfn.XLOOKUP($A4570,Load!$B:$B,Load!L:L,0,)</f>
        <v>Regular/Original Wrapping</v>
      </c>
      <c r="L4570" t="str">
        <f>_xlfn.XLOOKUP($A4570,Load!$B:$B,Load!M:M,0,)</f>
        <v>Single Brand / Variety Flavors or Form</v>
      </c>
    </row>
    <row r="4571" spans="1:12" x14ac:dyDescent="0.25">
      <c r="B4571">
        <f>_xlfn.XLOOKUP($A4571,Load!$B:$B,Load!C:C,0,)</f>
        <v>0</v>
      </c>
      <c r="C4571">
        <f>_xlfn.XLOOKUP($A4571,Load!$B:$B,Load!D:D,0,)</f>
        <v>0</v>
      </c>
      <c r="D4571">
        <f>_xlfn.XLOOKUP($A4571,Load!$B:$B,Load!E:E,0,)</f>
        <v>0</v>
      </c>
      <c r="E4571">
        <f>_xlfn.XLOOKUP($A4571,Load!$B:$B,Load!F:F,0,)</f>
        <v>0</v>
      </c>
      <c r="F4571">
        <f>_xlfn.XLOOKUP($A4571,Load!$B:$B,Load!G:G,0,)</f>
        <v>0</v>
      </c>
      <c r="G4571">
        <f>_xlfn.XLOOKUP($A4571,Load!$B:$B,Load!H:H,0,)</f>
        <v>0</v>
      </c>
      <c r="H4571">
        <f>_xlfn.XLOOKUP($A4571,Load!$B:$B,Load!I:I,0,)</f>
        <v>0</v>
      </c>
      <c r="I4571">
        <f>_xlfn.XLOOKUP($A4571,Load!$B:$B,Load!J:J,0,)</f>
        <v>0</v>
      </c>
      <c r="J4571">
        <f>_xlfn.XLOOKUP($A4571,Load!$B:$B,Load!K:K,0,)</f>
        <v>0</v>
      </c>
      <c r="K4571">
        <f>_xlfn.XLOOKUP($A4571,Load!$B:$B,Load!L:L,0,)</f>
        <v>0</v>
      </c>
      <c r="L4571">
        <f>_xlfn.XLOOKUP($A4571,Load!$B:$B,Load!M:M,0,)</f>
        <v>0</v>
      </c>
    </row>
    <row r="4572" spans="1:12" x14ac:dyDescent="0.25">
      <c r="A4572" t="s">
        <v>145</v>
      </c>
      <c r="B4572" t="str">
        <f>_xlfn.XLOOKUP($A4572,Load!$B:$B,Load!C:C,0,)</f>
        <v>Hershey's Variety Pack + Haribo</v>
      </c>
      <c r="C4572" t="str">
        <f>_xlfn.XLOOKUP($A4572,Load!$B:$B,Load!D:D,0,)</f>
        <v>Non-Chocolate Candy Only</v>
      </c>
      <c r="D4572" t="str">
        <f>_xlfn.XLOOKUP($A4572,Load!$B:$B,Load!E:E,0,)</f>
        <v>Variety / Mixed Flavors (Fruity, Sour, Seasonal Flavors)</v>
      </c>
      <c r="E4572" t="str">
        <f>_xlfn.XLOOKUP($A4572,Load!$B:$B,Load!F:F,0,)</f>
        <v>Mixed / Combo Packs (Gummy, Chewy, Taffy, etc.)</v>
      </c>
      <c r="F4572" t="str">
        <f>_xlfn.XLOOKUP($A4572,Load!$B:$B,Load!G:G,0,)</f>
        <v>Large Multipack (More than 80 ct)</v>
      </c>
      <c r="G4572" t="str">
        <f>_xlfn.XLOOKUP($A4572,Load!$B:$B,Load!H:H,0,)</f>
        <v>Stand-Up Bag</v>
      </c>
      <c r="H4572" t="str">
        <f>_xlfn.XLOOKUP($A4572,Load!$B:$B,Load!I:I,0,)</f>
        <v>Everyday Candy Shapes (like Original, Gummy bear, Fruit, Jewels, etc.)</v>
      </c>
      <c r="I4572" t="str">
        <f>_xlfn.XLOOKUP($A4572,Load!$B:$B,Load!J:J,0,)</f>
        <v>Seasonal Graphics (Like Bat, Ghost, Pumpkin, Fall Leaves, Eyeballs, etc.)</v>
      </c>
      <c r="J4572" t="str">
        <f>_xlfn.XLOOKUP($A4572,Load!$B:$B,Load!K:K,0,)</f>
        <v xml:space="preserve">Variety Candy Sizes </v>
      </c>
      <c r="K4572" t="str">
        <f>_xlfn.XLOOKUP($A4572,Load!$B:$B,Load!L:L,0,)</f>
        <v>Regular/Original Wrapping</v>
      </c>
      <c r="L4572" t="str">
        <f>_xlfn.XLOOKUP($A4572,Load!$B:$B,Load!M:M,0,)</f>
        <v>Multiple Brands / Variety Flavors or Form</v>
      </c>
    </row>
    <row r="4573" spans="1:12" x14ac:dyDescent="0.25">
      <c r="A4573" t="s">
        <v>175</v>
      </c>
      <c r="B4573" t="str">
        <f>_xlfn.XLOOKUP($A4573,Load!$B:$B,Load!C:C,0,)</f>
        <v>Mars Variety Pack</v>
      </c>
      <c r="C4573" t="str">
        <f>_xlfn.XLOOKUP($A4573,Load!$B:$B,Load!D:D,0,)</f>
        <v>Mix of Chocolate and Non-Chocolate Candy</v>
      </c>
      <c r="D4573" t="str">
        <f>_xlfn.XLOOKUP($A4573,Load!$B:$B,Load!E:E,0,)</f>
        <v>Variety / Mixed Flavors (Fruity, Sour, Seasonal Flavors)</v>
      </c>
      <c r="E4573" t="str">
        <f>_xlfn.XLOOKUP($A4573,Load!$B:$B,Load!F:F,0,)</f>
        <v>Mixed / Combo Packs (Gummy, Chewy, Taffy, etc.)</v>
      </c>
      <c r="F4573" t="str">
        <f>_xlfn.XLOOKUP($A4573,Load!$B:$B,Load!G:G,0,)</f>
        <v>Large Multipack (More than 80 ct)</v>
      </c>
      <c r="G4573" t="str">
        <f>_xlfn.XLOOKUP($A4573,Load!$B:$B,Load!H:H,0,)</f>
        <v>Stand-Up Bag</v>
      </c>
      <c r="H4573" t="str">
        <f>_xlfn.XLOOKUP($A4573,Load!$B:$B,Load!I:I,0,)</f>
        <v>Everyday Candy Shapes (like Original, Gummy bear, Fruit, Jewels, etc.)</v>
      </c>
      <c r="I4573" t="str">
        <f>_xlfn.XLOOKUP($A4573,Load!$B:$B,Load!J:J,0,)</f>
        <v>Seasonal Graphics (Like Bat, Ghost, Pumpkin, Fall Leaves, Eyeballs, etc.)</v>
      </c>
      <c r="J4573" t="str">
        <f>_xlfn.XLOOKUP($A4573,Load!$B:$B,Load!K:K,0,)</f>
        <v xml:space="preserve">Variety Candy Sizes </v>
      </c>
      <c r="K4573" t="str">
        <f>_xlfn.XLOOKUP($A4573,Load!$B:$B,Load!L:L,0,)</f>
        <v>Regular/Original Wrapping</v>
      </c>
      <c r="L4573" t="str">
        <f>_xlfn.XLOOKUP($A4573,Load!$B:$B,Load!M:M,0,)</f>
        <v>Multiple Brands / Variety Flavors or Form</v>
      </c>
    </row>
    <row r="4574" spans="1:12" x14ac:dyDescent="0.25">
      <c r="B4574">
        <f>_xlfn.XLOOKUP($A4574,Load!$B:$B,Load!C:C,0,)</f>
        <v>0</v>
      </c>
      <c r="C4574">
        <f>_xlfn.XLOOKUP($A4574,Load!$B:$B,Load!D:D,0,)</f>
        <v>0</v>
      </c>
      <c r="D4574">
        <f>_xlfn.XLOOKUP($A4574,Load!$B:$B,Load!E:E,0,)</f>
        <v>0</v>
      </c>
      <c r="E4574">
        <f>_xlfn.XLOOKUP($A4574,Load!$B:$B,Load!F:F,0,)</f>
        <v>0</v>
      </c>
      <c r="F4574">
        <f>_xlfn.XLOOKUP($A4574,Load!$B:$B,Load!G:G,0,)</f>
        <v>0</v>
      </c>
      <c r="G4574">
        <f>_xlfn.XLOOKUP($A4574,Load!$B:$B,Load!H:H,0,)</f>
        <v>0</v>
      </c>
      <c r="H4574">
        <f>_xlfn.XLOOKUP($A4574,Load!$B:$B,Load!I:I,0,)</f>
        <v>0</v>
      </c>
      <c r="I4574">
        <f>_xlfn.XLOOKUP($A4574,Load!$B:$B,Load!J:J,0,)</f>
        <v>0</v>
      </c>
      <c r="J4574">
        <f>_xlfn.XLOOKUP($A4574,Load!$B:$B,Load!K:K,0,)</f>
        <v>0</v>
      </c>
      <c r="K4574">
        <f>_xlfn.XLOOKUP($A4574,Load!$B:$B,Load!L:L,0,)</f>
        <v>0</v>
      </c>
      <c r="L4574">
        <f>_xlfn.XLOOKUP($A4574,Load!$B:$B,Load!M:M,0,)</f>
        <v>0</v>
      </c>
    </row>
    <row r="4575" spans="1:12" x14ac:dyDescent="0.25">
      <c r="B4575">
        <f>_xlfn.XLOOKUP($A4575,Load!$B:$B,Load!C:C,0,)</f>
        <v>0</v>
      </c>
      <c r="C4575">
        <f>_xlfn.XLOOKUP($A4575,Load!$B:$B,Load!D:D,0,)</f>
        <v>0</v>
      </c>
      <c r="D4575">
        <f>_xlfn.XLOOKUP($A4575,Load!$B:$B,Load!E:E,0,)</f>
        <v>0</v>
      </c>
      <c r="E4575">
        <f>_xlfn.XLOOKUP($A4575,Load!$B:$B,Load!F:F,0,)</f>
        <v>0</v>
      </c>
      <c r="F4575">
        <f>_xlfn.XLOOKUP($A4575,Load!$B:$B,Load!G:G,0,)</f>
        <v>0</v>
      </c>
      <c r="G4575">
        <f>_xlfn.XLOOKUP($A4575,Load!$B:$B,Load!H:H,0,)</f>
        <v>0</v>
      </c>
      <c r="H4575">
        <f>_xlfn.XLOOKUP($A4575,Load!$B:$B,Load!I:I,0,)</f>
        <v>0</v>
      </c>
      <c r="I4575">
        <f>_xlfn.XLOOKUP($A4575,Load!$B:$B,Load!J:J,0,)</f>
        <v>0</v>
      </c>
      <c r="J4575">
        <f>_xlfn.XLOOKUP($A4575,Load!$B:$B,Load!K:K,0,)</f>
        <v>0</v>
      </c>
      <c r="K4575">
        <f>_xlfn.XLOOKUP($A4575,Load!$B:$B,Load!L:L,0,)</f>
        <v>0</v>
      </c>
      <c r="L4575">
        <f>_xlfn.XLOOKUP($A4575,Load!$B:$B,Load!M:M,0,)</f>
        <v>0</v>
      </c>
    </row>
    <row r="4576" spans="1:12" x14ac:dyDescent="0.25">
      <c r="A4576" t="s">
        <v>146</v>
      </c>
      <c r="B4576" t="str">
        <f>_xlfn.XLOOKUP($A4576,Load!$B:$B,Load!C:C,0,)</f>
        <v>Hi Chew</v>
      </c>
      <c r="C4576" t="str">
        <f>_xlfn.XLOOKUP($A4576,Load!$B:$B,Load!D:D,0,)</f>
        <v>Non-Chocolate Candy Only</v>
      </c>
      <c r="D4576" t="str">
        <f>_xlfn.XLOOKUP($A4576,Load!$B:$B,Load!E:E,0,)</f>
        <v>Fruit Flavor (Cherry, Grape, Apple, Citrus, Tropical Fruit)</v>
      </c>
      <c r="E4576" t="str">
        <f>_xlfn.XLOOKUP($A4576,Load!$B:$B,Load!F:F,0,)</f>
        <v>Gummy</v>
      </c>
      <c r="F4576" t="str">
        <f>_xlfn.XLOOKUP($A4576,Load!$B:$B,Load!G:G,0,)</f>
        <v>Medium Multipack (40–80 ct)</v>
      </c>
      <c r="G4576" t="str">
        <f>_xlfn.XLOOKUP($A4576,Load!$B:$B,Load!H:H,0,)</f>
        <v>Stand-Up Bag</v>
      </c>
      <c r="H4576" t="str">
        <f>_xlfn.XLOOKUP($A4576,Load!$B:$B,Load!I:I,0,)</f>
        <v>Everyday Candy Shapes (like Original, Gummy bear, Fruit, Jewels, etc.)</v>
      </c>
      <c r="I4576" t="str">
        <f>_xlfn.XLOOKUP($A4576,Load!$B:$B,Load!J:J,0,)</f>
        <v>Seasonal Graphics (Like Bat, Ghost, Pumpkin, Fall Leaves, Eyeballs, etc.)</v>
      </c>
      <c r="J4576" t="str">
        <f>_xlfn.XLOOKUP($A4576,Load!$B:$B,Load!K:K,0,)</f>
        <v>Fun Size / Treat Size</v>
      </c>
      <c r="K4576" t="str">
        <f>_xlfn.XLOOKUP($A4576,Load!$B:$B,Load!L:L,0,)</f>
        <v>Regular/Original Wrapping</v>
      </c>
      <c r="L4576" t="str">
        <f>_xlfn.XLOOKUP($A4576,Load!$B:$B,Load!M:M,0,)</f>
        <v>Multiple Brands / Variety Flavors or Form</v>
      </c>
    </row>
    <row r="4577" spans="1:12" x14ac:dyDescent="0.25">
      <c r="B4577">
        <f>_xlfn.XLOOKUP($A4577,Load!$B:$B,Load!C:C,0,)</f>
        <v>0</v>
      </c>
      <c r="C4577">
        <f>_xlfn.XLOOKUP($A4577,Load!$B:$B,Load!D:D,0,)</f>
        <v>0</v>
      </c>
      <c r="D4577">
        <f>_xlfn.XLOOKUP($A4577,Load!$B:$B,Load!E:E,0,)</f>
        <v>0</v>
      </c>
      <c r="E4577">
        <f>_xlfn.XLOOKUP($A4577,Load!$B:$B,Load!F:F,0,)</f>
        <v>0</v>
      </c>
      <c r="F4577">
        <f>_xlfn.XLOOKUP($A4577,Load!$B:$B,Load!G:G,0,)</f>
        <v>0</v>
      </c>
      <c r="G4577">
        <f>_xlfn.XLOOKUP($A4577,Load!$B:$B,Load!H:H,0,)</f>
        <v>0</v>
      </c>
      <c r="H4577">
        <f>_xlfn.XLOOKUP($A4577,Load!$B:$B,Load!I:I,0,)</f>
        <v>0</v>
      </c>
      <c r="I4577">
        <f>_xlfn.XLOOKUP($A4577,Load!$B:$B,Load!J:J,0,)</f>
        <v>0</v>
      </c>
      <c r="J4577">
        <f>_xlfn.XLOOKUP($A4577,Load!$B:$B,Load!K:K,0,)</f>
        <v>0</v>
      </c>
      <c r="K4577">
        <f>_xlfn.XLOOKUP($A4577,Load!$B:$B,Load!L:L,0,)</f>
        <v>0</v>
      </c>
      <c r="L4577">
        <f>_xlfn.XLOOKUP($A4577,Load!$B:$B,Load!M:M,0,)</f>
        <v>0</v>
      </c>
    </row>
    <row r="4578" spans="1:12" x14ac:dyDescent="0.25">
      <c r="A4578" t="s">
        <v>71</v>
      </c>
      <c r="B4578" t="str">
        <f>_xlfn.XLOOKUP($A4578,Load!$B:$B,Load!C:C,0,)</f>
        <v>Dum Dums</v>
      </c>
      <c r="C4578" t="str">
        <f>_xlfn.XLOOKUP($A4578,Load!$B:$B,Load!D:D,0,)</f>
        <v>Non-Chocolate Candy Only</v>
      </c>
      <c r="D4578" t="str">
        <f>_xlfn.XLOOKUP($A4578,Load!$B:$B,Load!E:E,0,)</f>
        <v>Sweet</v>
      </c>
      <c r="E4578" t="str">
        <f>_xlfn.XLOOKUP($A4578,Load!$B:$B,Load!F:F,0,)</f>
        <v>Lollipop (regular or lollipop rings)</v>
      </c>
      <c r="F4578" t="str">
        <f>_xlfn.XLOOKUP($A4578,Load!$B:$B,Load!G:G,0,)</f>
        <v>Large Multipack (More than 80 ct)</v>
      </c>
      <c r="G4578" t="str">
        <f>_xlfn.XLOOKUP($A4578,Load!$B:$B,Load!H:H,0,)</f>
        <v>Stand-Up Bag</v>
      </c>
      <c r="H4578" t="str">
        <f>_xlfn.XLOOKUP($A4578,Load!$B:$B,Load!I:I,0,)</f>
        <v>Everyday Candy Shapes (like Original, Gummy bear, Fruit, Jewels, etc.)</v>
      </c>
      <c r="I4578" t="str">
        <f>_xlfn.XLOOKUP($A4578,Load!$B:$B,Load!J:J,0,)</f>
        <v>Seasonal Graphics (Like Bat, Ghost, Pumpkin, Fall Leaves, Eyeballs, etc.)</v>
      </c>
      <c r="J4578" t="str">
        <f>_xlfn.XLOOKUP($A4578,Load!$B:$B,Load!K:K,0,)</f>
        <v>Regular Lollipop size (on sticks or rings)</v>
      </c>
      <c r="K4578" t="str">
        <f>_xlfn.XLOOKUP($A4578,Load!$B:$B,Load!L:L,0,)</f>
        <v>Regular/Original Wrapping</v>
      </c>
      <c r="L4578" t="str">
        <f>_xlfn.XLOOKUP($A4578,Load!$B:$B,Load!M:M,0,)</f>
        <v>Multiple Brands / Variety Flavors or Form</v>
      </c>
    </row>
    <row r="4579" spans="1:12" x14ac:dyDescent="0.25">
      <c r="A4579" t="s">
        <v>238</v>
      </c>
      <c r="B4579" t="str">
        <f>_xlfn.XLOOKUP($A4579,Load!$B:$B,Load!C:C,0,)</f>
        <v>Peeps</v>
      </c>
      <c r="C4579" t="str">
        <f>_xlfn.XLOOKUP($A4579,Load!$B:$B,Load!D:D,0,)</f>
        <v>Non-Chocolate Candy Only</v>
      </c>
      <c r="D4579" t="str">
        <f>_xlfn.XLOOKUP($A4579,Load!$B:$B,Load!E:E,0,)</f>
        <v>Sweet</v>
      </c>
      <c r="E4579" t="str">
        <f>_xlfn.XLOOKUP($A4579,Load!$B:$B,Load!F:F,0,)</f>
        <v>Foamy / Aerated / Freeze Dried</v>
      </c>
      <c r="F4579" t="str">
        <f>_xlfn.XLOOKUP($A4579,Load!$B:$B,Load!G:G,0,)</f>
        <v>Single Pack</v>
      </c>
      <c r="G4579" t="str">
        <f>_xlfn.XLOOKUP($A4579,Load!$B:$B,Load!H:H,0,)</f>
        <v>Box (theatre box, gift box, carton)</v>
      </c>
      <c r="H4579" t="str">
        <f>_xlfn.XLOOKUP($A4579,Load!$B:$B,Load!I:I,0,)</f>
        <v>Seasonal Shapes (like pumpkins, candy corn, ghost, bats, etc.)</v>
      </c>
      <c r="I4579" t="str">
        <f>_xlfn.XLOOKUP($A4579,Load!$B:$B,Load!J:J,0,)</f>
        <v>Seasonal Graphics (Like Bat, Ghost, Pumpkin, Fall Leaves, Eyeballs, etc.)</v>
      </c>
      <c r="J4579" t="str">
        <f>_xlfn.XLOOKUP($A4579,Load!$B:$B,Load!K:K,0,)</f>
        <v>Fun Size / Treat Size</v>
      </c>
      <c r="K4579" t="str">
        <f>_xlfn.XLOOKUP($A4579,Load!$B:$B,Load!L:L,0,)</f>
        <v>Unwrapped</v>
      </c>
      <c r="L4579" t="str">
        <f>_xlfn.XLOOKUP($A4579,Load!$B:$B,Load!M:M,0,)</f>
        <v>Single Brand / Single Flavor or Form</v>
      </c>
    </row>
    <row r="4580" spans="1:12" x14ac:dyDescent="0.25">
      <c r="A4580" t="s">
        <v>275</v>
      </c>
      <c r="B4580" t="str">
        <f>_xlfn.XLOOKUP($A4580,Load!$B:$B,Load!C:C,0,)</f>
        <v>Mondelez Variety Pack</v>
      </c>
      <c r="C4580" t="str">
        <f>_xlfn.XLOOKUP($A4580,Load!$B:$B,Load!D:D,0,)</f>
        <v>Non-Chocolate Candy Only</v>
      </c>
      <c r="D4580" t="str">
        <f>_xlfn.XLOOKUP($A4580,Load!$B:$B,Load!E:E,0,)</f>
        <v>Variety / Mixed Flavors (Fruity, Sour, Seasonal Flavors)</v>
      </c>
      <c r="E4580" t="str">
        <f>_xlfn.XLOOKUP($A4580,Load!$B:$B,Load!F:F,0,)</f>
        <v>Mixed / Combo Packs (Gummy, Chewy, Taffy, etc.)</v>
      </c>
      <c r="F4580" t="str">
        <f>_xlfn.XLOOKUP($A4580,Load!$B:$B,Load!G:G,0,)</f>
        <v>Small Multipack (Less than 40 ct)</v>
      </c>
      <c r="G4580" t="str">
        <f>_xlfn.XLOOKUP($A4580,Load!$B:$B,Load!H:H,0,)</f>
        <v>Box (theatre box, gift box, carton)</v>
      </c>
      <c r="H4580" t="str">
        <f>_xlfn.XLOOKUP($A4580,Load!$B:$B,Load!I:I,0,)</f>
        <v>Everyday Candy Shapes (like Original, Gummy bear, Fruit, Jewels, etc.)</v>
      </c>
      <c r="I4580" t="str">
        <f>_xlfn.XLOOKUP($A4580,Load!$B:$B,Load!J:J,0,)</f>
        <v>Seasonal Graphics (Like Bat, Ghost, Pumpkin, Fall Leaves, Eyeballs, etc.)</v>
      </c>
      <c r="J4580" t="str">
        <f>_xlfn.XLOOKUP($A4580,Load!$B:$B,Load!K:K,0,)</f>
        <v>Small Pieces (Tiny bite size candies)</v>
      </c>
      <c r="K4580" t="str">
        <f>_xlfn.XLOOKUP($A4580,Load!$B:$B,Load!L:L,0,)</f>
        <v>Regular/Original Wrapping</v>
      </c>
      <c r="L4580" t="str">
        <f>_xlfn.XLOOKUP($A4580,Load!$B:$B,Load!M:M,0,)</f>
        <v>Multiple Brands / Variety Flavors or Form</v>
      </c>
    </row>
    <row r="4581" spans="1:12" x14ac:dyDescent="0.25">
      <c r="B4581">
        <f>_xlfn.XLOOKUP($A4581,Load!$B:$B,Load!C:C,0,)</f>
        <v>0</v>
      </c>
      <c r="C4581">
        <f>_xlfn.XLOOKUP($A4581,Load!$B:$B,Load!D:D,0,)</f>
        <v>0</v>
      </c>
      <c r="D4581">
        <f>_xlfn.XLOOKUP($A4581,Load!$B:$B,Load!E:E,0,)</f>
        <v>0</v>
      </c>
      <c r="E4581">
        <f>_xlfn.XLOOKUP($A4581,Load!$B:$B,Load!F:F,0,)</f>
        <v>0</v>
      </c>
      <c r="F4581">
        <f>_xlfn.XLOOKUP($A4581,Load!$B:$B,Load!G:G,0,)</f>
        <v>0</v>
      </c>
      <c r="G4581">
        <f>_xlfn.XLOOKUP($A4581,Load!$B:$B,Load!H:H,0,)</f>
        <v>0</v>
      </c>
      <c r="H4581">
        <f>_xlfn.XLOOKUP($A4581,Load!$B:$B,Load!I:I,0,)</f>
        <v>0</v>
      </c>
      <c r="I4581">
        <f>_xlfn.XLOOKUP($A4581,Load!$B:$B,Load!J:J,0,)</f>
        <v>0</v>
      </c>
      <c r="J4581">
        <f>_xlfn.XLOOKUP($A4581,Load!$B:$B,Load!K:K,0,)</f>
        <v>0</v>
      </c>
      <c r="K4581">
        <f>_xlfn.XLOOKUP($A4581,Load!$B:$B,Load!L:L,0,)</f>
        <v>0</v>
      </c>
      <c r="L4581">
        <f>_xlfn.XLOOKUP($A4581,Load!$B:$B,Load!M:M,0,)</f>
        <v>0</v>
      </c>
    </row>
    <row r="4582" spans="1:12" x14ac:dyDescent="0.25">
      <c r="A4582" t="s">
        <v>64</v>
      </c>
      <c r="B4582" t="str">
        <f>_xlfn.XLOOKUP($A4582,Load!$B:$B,Load!C:C,0,)</f>
        <v>Cow Tails</v>
      </c>
      <c r="C4582" t="str">
        <f>_xlfn.XLOOKUP($A4582,Load!$B:$B,Load!D:D,0,)</f>
        <v>Non-Chocolate Candy Only</v>
      </c>
      <c r="D4582" t="str">
        <f>_xlfn.XLOOKUP($A4582,Load!$B:$B,Load!E:E,0,)</f>
        <v>Fall / Seasonal Flavors (pumpkin spice, caramel apple, candy corn)</v>
      </c>
      <c r="E4582" t="str">
        <f>_xlfn.XLOOKUP($A4582,Load!$B:$B,Load!F:F,0,)</f>
        <v>Chewy</v>
      </c>
      <c r="F4582" t="str">
        <f>_xlfn.XLOOKUP($A4582,Load!$B:$B,Load!G:G,0,)</f>
        <v>Single Pack</v>
      </c>
      <c r="G4582" t="str">
        <f>_xlfn.XLOOKUP($A4582,Load!$B:$B,Load!H:H,0,)</f>
        <v>Laydown Bag</v>
      </c>
      <c r="H4582" t="str">
        <f>_xlfn.XLOOKUP($A4582,Load!$B:$B,Load!I:I,0,)</f>
        <v>Everyday Candy Shapes (like Original, Gummy bear, Fruit, Jewels, etc.)</v>
      </c>
      <c r="I4582" t="str">
        <f>_xlfn.XLOOKUP($A4582,Load!$B:$B,Load!J:J,0,)</f>
        <v>Everyday Graphics</v>
      </c>
      <c r="J4582" t="str">
        <f>_xlfn.XLOOKUP($A4582,Load!$B:$B,Load!K:K,0,)</f>
        <v>Fun Size / Treat Size</v>
      </c>
      <c r="K4582" t="str">
        <f>_xlfn.XLOOKUP($A4582,Load!$B:$B,Load!L:L,0,)</f>
        <v>Regular/Original Wrapping</v>
      </c>
      <c r="L4582" t="str">
        <f>_xlfn.XLOOKUP($A4582,Load!$B:$B,Load!M:M,0,)</f>
        <v>Single Brand / Single Flavor or Form</v>
      </c>
    </row>
    <row r="4583" spans="1:12" x14ac:dyDescent="0.25">
      <c r="B4583">
        <f>_xlfn.XLOOKUP($A4583,Load!$B:$B,Load!C:C,0,)</f>
        <v>0</v>
      </c>
      <c r="C4583">
        <f>_xlfn.XLOOKUP($A4583,Load!$B:$B,Load!D:D,0,)</f>
        <v>0</v>
      </c>
      <c r="D4583">
        <f>_xlfn.XLOOKUP($A4583,Load!$B:$B,Load!E:E,0,)</f>
        <v>0</v>
      </c>
      <c r="E4583">
        <f>_xlfn.XLOOKUP($A4583,Load!$B:$B,Load!F:F,0,)</f>
        <v>0</v>
      </c>
      <c r="F4583">
        <f>_xlfn.XLOOKUP($A4583,Load!$B:$B,Load!G:G,0,)</f>
        <v>0</v>
      </c>
      <c r="G4583">
        <f>_xlfn.XLOOKUP($A4583,Load!$B:$B,Load!H:H,0,)</f>
        <v>0</v>
      </c>
      <c r="H4583">
        <f>_xlfn.XLOOKUP($A4583,Load!$B:$B,Load!I:I,0,)</f>
        <v>0</v>
      </c>
      <c r="I4583">
        <f>_xlfn.XLOOKUP($A4583,Load!$B:$B,Load!J:J,0,)</f>
        <v>0</v>
      </c>
      <c r="J4583">
        <f>_xlfn.XLOOKUP($A4583,Load!$B:$B,Load!K:K,0,)</f>
        <v>0</v>
      </c>
      <c r="K4583">
        <f>_xlfn.XLOOKUP($A4583,Load!$B:$B,Load!L:L,0,)</f>
        <v>0</v>
      </c>
      <c r="L4583">
        <f>_xlfn.XLOOKUP($A4583,Load!$B:$B,Load!M:M,0,)</f>
        <v>0</v>
      </c>
    </row>
    <row r="4584" spans="1:12" x14ac:dyDescent="0.25">
      <c r="A4584" t="s">
        <v>102</v>
      </c>
      <c r="B4584" t="str">
        <f>_xlfn.XLOOKUP($A4584,Load!$B:$B,Load!C:C,0,)</f>
        <v>Flix</v>
      </c>
      <c r="C4584" t="str">
        <f>_xlfn.XLOOKUP($A4584,Load!$B:$B,Load!D:D,0,)</f>
        <v>Non-Chocolate Candy Only</v>
      </c>
      <c r="D4584" t="str">
        <f>_xlfn.XLOOKUP($A4584,Load!$B:$B,Load!E:E,0,)</f>
        <v>Berry Based (Raspberry, Strawberry, Medley, etc.)</v>
      </c>
      <c r="E4584" t="str">
        <f>_xlfn.XLOOKUP($A4584,Load!$B:$B,Load!F:F,0,)</f>
        <v>Lollipop (regular or lollipop rings)</v>
      </c>
      <c r="F4584" t="str">
        <f>_xlfn.XLOOKUP($A4584,Load!$B:$B,Load!G:G,0,)</f>
        <v>Small Multipack (Less than 40 ct)</v>
      </c>
      <c r="G4584" t="str">
        <f>_xlfn.XLOOKUP($A4584,Load!$B:$B,Load!H:H,0,)</f>
        <v>Box (theatre box, gift box, carton)</v>
      </c>
      <c r="H4584" t="str">
        <f>_xlfn.XLOOKUP($A4584,Load!$B:$B,Load!I:I,0,)</f>
        <v>Seasonal Shapes (like pumpkins, candy corn, ghost, bats, etc.)</v>
      </c>
      <c r="I4584" t="str">
        <f>_xlfn.XLOOKUP($A4584,Load!$B:$B,Load!J:J,0,)</f>
        <v>Seasonal Graphics (Like Bat, Ghost, Pumpkin, Fall Leaves, Eyeballs, etc.)</v>
      </c>
      <c r="J4584" t="str">
        <f>_xlfn.XLOOKUP($A4584,Load!$B:$B,Load!K:K,0,)</f>
        <v>Regular Lollipop size (on sticks or rings)</v>
      </c>
      <c r="K4584" t="str">
        <f>_xlfn.XLOOKUP($A4584,Load!$B:$B,Load!L:L,0,)</f>
        <v>Regular/Original Wrapping</v>
      </c>
      <c r="L4584" t="str">
        <f>_xlfn.XLOOKUP($A4584,Load!$B:$B,Load!M:M,0,)</f>
        <v>Single Brand / Variety Flavors or Form</v>
      </c>
    </row>
    <row r="4585" spans="1:12" x14ac:dyDescent="0.25">
      <c r="B4585">
        <f>_xlfn.XLOOKUP($A4585,Load!$B:$B,Load!C:C,0,)</f>
        <v>0</v>
      </c>
      <c r="C4585">
        <f>_xlfn.XLOOKUP($A4585,Load!$B:$B,Load!D:D,0,)</f>
        <v>0</v>
      </c>
      <c r="D4585">
        <f>_xlfn.XLOOKUP($A4585,Load!$B:$B,Load!E:E,0,)</f>
        <v>0</v>
      </c>
      <c r="E4585">
        <f>_xlfn.XLOOKUP($A4585,Load!$B:$B,Load!F:F,0,)</f>
        <v>0</v>
      </c>
      <c r="F4585">
        <f>_xlfn.XLOOKUP($A4585,Load!$B:$B,Load!G:G,0,)</f>
        <v>0</v>
      </c>
      <c r="G4585">
        <f>_xlfn.XLOOKUP($A4585,Load!$B:$B,Load!H:H,0,)</f>
        <v>0</v>
      </c>
      <c r="H4585">
        <f>_xlfn.XLOOKUP($A4585,Load!$B:$B,Load!I:I,0,)</f>
        <v>0</v>
      </c>
      <c r="I4585">
        <f>_xlfn.XLOOKUP($A4585,Load!$B:$B,Load!J:J,0,)</f>
        <v>0</v>
      </c>
      <c r="J4585">
        <f>_xlfn.XLOOKUP($A4585,Load!$B:$B,Load!K:K,0,)</f>
        <v>0</v>
      </c>
      <c r="K4585">
        <f>_xlfn.XLOOKUP($A4585,Load!$B:$B,Load!L:L,0,)</f>
        <v>0</v>
      </c>
      <c r="L4585">
        <f>_xlfn.XLOOKUP($A4585,Load!$B:$B,Load!M:M,0,)</f>
        <v>0</v>
      </c>
    </row>
    <row r="4586" spans="1:12" x14ac:dyDescent="0.25">
      <c r="A4586" t="s">
        <v>283</v>
      </c>
      <c r="B4586" t="str">
        <f>_xlfn.XLOOKUP($A4586,Load!$B:$B,Load!C:C,0,)</f>
        <v>Sour Punch</v>
      </c>
      <c r="C4586" t="str">
        <f>_xlfn.XLOOKUP($A4586,Load!$B:$B,Load!D:D,0,)</f>
        <v>Non-Chocolate Candy Only</v>
      </c>
      <c r="D4586" t="str">
        <f>_xlfn.XLOOKUP($A4586,Load!$B:$B,Load!E:E,0,)</f>
        <v>Sour</v>
      </c>
      <c r="E4586" t="str">
        <f>_xlfn.XLOOKUP($A4586,Load!$B:$B,Load!F:F,0,)</f>
        <v>Chewy</v>
      </c>
      <c r="F4586" t="str">
        <f>_xlfn.XLOOKUP($A4586,Load!$B:$B,Load!G:G,0,)</f>
        <v>Large Multipack (More than 80 ct)</v>
      </c>
      <c r="G4586" t="str">
        <f>_xlfn.XLOOKUP($A4586,Load!$B:$B,Load!H:H,0,)</f>
        <v>Laydown Bag</v>
      </c>
      <c r="H4586" t="str">
        <f>_xlfn.XLOOKUP($A4586,Load!$B:$B,Load!I:I,0,)</f>
        <v>Seasonal Shapes (like pumpkins, candy corn, ghost, bats, etc.)</v>
      </c>
      <c r="I4586" t="str">
        <f>_xlfn.XLOOKUP($A4586,Load!$B:$B,Load!J:J,0,)</f>
        <v>Seasonal Graphics (Like Bat, Ghost, Pumpkin, Fall Leaves, Eyeballs, etc.)</v>
      </c>
      <c r="J4586" t="str">
        <f>_xlfn.XLOOKUP($A4586,Load!$B:$B,Load!K:K,0,)</f>
        <v>Small Pieces (Tiny bite size candies)</v>
      </c>
      <c r="K4586" t="str">
        <f>_xlfn.XLOOKUP($A4586,Load!$B:$B,Load!L:L,0,)</f>
        <v>Regular/Original Wrapping</v>
      </c>
      <c r="L4586" t="str">
        <f>_xlfn.XLOOKUP($A4586,Load!$B:$B,Load!M:M,0,)</f>
        <v>Single Brand / Variety Flavors or Form</v>
      </c>
    </row>
    <row r="4587" spans="1:12" x14ac:dyDescent="0.25">
      <c r="B4587">
        <f>_xlfn.XLOOKUP($A4587,Load!$B:$B,Load!C:C,0,)</f>
        <v>0</v>
      </c>
      <c r="C4587">
        <f>_xlfn.XLOOKUP($A4587,Load!$B:$B,Load!D:D,0,)</f>
        <v>0</v>
      </c>
      <c r="D4587">
        <f>_xlfn.XLOOKUP($A4587,Load!$B:$B,Load!E:E,0,)</f>
        <v>0</v>
      </c>
      <c r="E4587">
        <f>_xlfn.XLOOKUP($A4587,Load!$B:$B,Load!F:F,0,)</f>
        <v>0</v>
      </c>
      <c r="F4587">
        <f>_xlfn.XLOOKUP($A4587,Load!$B:$B,Load!G:G,0,)</f>
        <v>0</v>
      </c>
      <c r="G4587">
        <f>_xlfn.XLOOKUP($A4587,Load!$B:$B,Load!H:H,0,)</f>
        <v>0</v>
      </c>
      <c r="H4587">
        <f>_xlfn.XLOOKUP($A4587,Load!$B:$B,Load!I:I,0,)</f>
        <v>0</v>
      </c>
      <c r="I4587">
        <f>_xlfn.XLOOKUP($A4587,Load!$B:$B,Load!J:J,0,)</f>
        <v>0</v>
      </c>
      <c r="J4587">
        <f>_xlfn.XLOOKUP($A4587,Load!$B:$B,Load!K:K,0,)</f>
        <v>0</v>
      </c>
      <c r="K4587">
        <f>_xlfn.XLOOKUP($A4587,Load!$B:$B,Load!L:L,0,)</f>
        <v>0</v>
      </c>
      <c r="L4587">
        <f>_xlfn.XLOOKUP($A4587,Load!$B:$B,Load!M:M,0,)</f>
        <v>0</v>
      </c>
    </row>
    <row r="4588" spans="1:12" x14ac:dyDescent="0.25">
      <c r="A4588" t="s">
        <v>283</v>
      </c>
      <c r="B4588" t="str">
        <f>_xlfn.XLOOKUP($A4588,Load!$B:$B,Load!C:C,0,)</f>
        <v>Sour Punch</v>
      </c>
      <c r="C4588" t="str">
        <f>_xlfn.XLOOKUP($A4588,Load!$B:$B,Load!D:D,0,)</f>
        <v>Non-Chocolate Candy Only</v>
      </c>
      <c r="D4588" t="str">
        <f>_xlfn.XLOOKUP($A4588,Load!$B:$B,Load!E:E,0,)</f>
        <v>Sour</v>
      </c>
      <c r="E4588" t="str">
        <f>_xlfn.XLOOKUP($A4588,Load!$B:$B,Load!F:F,0,)</f>
        <v>Chewy</v>
      </c>
      <c r="F4588" t="str">
        <f>_xlfn.XLOOKUP($A4588,Load!$B:$B,Load!G:G,0,)</f>
        <v>Large Multipack (More than 80 ct)</v>
      </c>
      <c r="G4588" t="str">
        <f>_xlfn.XLOOKUP($A4588,Load!$B:$B,Load!H:H,0,)</f>
        <v>Laydown Bag</v>
      </c>
      <c r="H4588" t="str">
        <f>_xlfn.XLOOKUP($A4588,Load!$B:$B,Load!I:I,0,)</f>
        <v>Seasonal Shapes (like pumpkins, candy corn, ghost, bats, etc.)</v>
      </c>
      <c r="I4588" t="str">
        <f>_xlfn.XLOOKUP($A4588,Load!$B:$B,Load!J:J,0,)</f>
        <v>Seasonal Graphics (Like Bat, Ghost, Pumpkin, Fall Leaves, Eyeballs, etc.)</v>
      </c>
      <c r="J4588" t="str">
        <f>_xlfn.XLOOKUP($A4588,Load!$B:$B,Load!K:K,0,)</f>
        <v>Small Pieces (Tiny bite size candies)</v>
      </c>
      <c r="K4588" t="str">
        <f>_xlfn.XLOOKUP($A4588,Load!$B:$B,Load!L:L,0,)</f>
        <v>Regular/Original Wrapping</v>
      </c>
      <c r="L4588" t="str">
        <f>_xlfn.XLOOKUP($A4588,Load!$B:$B,Load!M:M,0,)</f>
        <v>Single Brand / Variety Flavors or Form</v>
      </c>
    </row>
    <row r="4589" spans="1:12" x14ac:dyDescent="0.25">
      <c r="A4589" t="s">
        <v>265</v>
      </c>
      <c r="B4589" t="str">
        <f>_xlfn.XLOOKUP($A4589,Load!$B:$B,Load!C:C,0,)</f>
        <v>Smarties</v>
      </c>
      <c r="C4589" t="str">
        <f>_xlfn.XLOOKUP($A4589,Load!$B:$B,Load!D:D,0,)</f>
        <v>Non-Chocolate Candy Only</v>
      </c>
      <c r="D4589" t="str">
        <f>_xlfn.XLOOKUP($A4589,Load!$B:$B,Load!E:E,0,)</f>
        <v>Fruit Flavor (Cherry, Grape, Apple, Citrus, Tropical Fruit)</v>
      </c>
      <c r="E4589" t="str">
        <f>_xlfn.XLOOKUP($A4589,Load!$B:$B,Load!F:F,0,)</f>
        <v>Powder / Chalky</v>
      </c>
      <c r="F4589" t="str">
        <f>_xlfn.XLOOKUP($A4589,Load!$B:$B,Load!G:G,0,)</f>
        <v>Large Multipack (More than 80 ct)</v>
      </c>
      <c r="G4589" t="str">
        <f>_xlfn.XLOOKUP($A4589,Load!$B:$B,Load!H:H,0,)</f>
        <v>Laydown Bag</v>
      </c>
      <c r="H4589" t="str">
        <f>_xlfn.XLOOKUP($A4589,Load!$B:$B,Load!I:I,0,)</f>
        <v>Seasonal Shapes (like pumpkins, candy corn, ghost, bats, etc.)</v>
      </c>
      <c r="I4589" t="str">
        <f>_xlfn.XLOOKUP($A4589,Load!$B:$B,Load!J:J,0,)</f>
        <v>Seasonal Graphics (Like Bat, Ghost, Pumpkin, Fall Leaves, Eyeballs, etc.)</v>
      </c>
      <c r="J4589" t="str">
        <f>_xlfn.XLOOKUP($A4589,Load!$B:$B,Load!K:K,0,)</f>
        <v>Small Pieces (Tiny bite size candies)</v>
      </c>
      <c r="K4589" t="str">
        <f>_xlfn.XLOOKUP($A4589,Load!$B:$B,Load!L:L,0,)</f>
        <v>Regular/Original Wrapping</v>
      </c>
      <c r="L4589" t="str">
        <f>_xlfn.XLOOKUP($A4589,Load!$B:$B,Load!M:M,0,)</f>
        <v>Single Brand / Single Flavor or Form</v>
      </c>
    </row>
    <row r="4590" spans="1:12" x14ac:dyDescent="0.25">
      <c r="A4590" t="s">
        <v>321</v>
      </c>
      <c r="B4590" t="str">
        <f>_xlfn.XLOOKUP($A4590,Load!$B:$B,Load!C:C,0,)</f>
        <v>Zachary</v>
      </c>
      <c r="C4590" t="str">
        <f>_xlfn.XLOOKUP($A4590,Load!$B:$B,Load!D:D,0,)</f>
        <v>Non-Chocolate Candy Only</v>
      </c>
      <c r="D4590" t="str">
        <f>_xlfn.XLOOKUP($A4590,Load!$B:$B,Load!E:E,0,)</f>
        <v>Fall / Seasonal Flavors (pumpkin spice, caramel apple, candy corn)</v>
      </c>
      <c r="E4590" t="str">
        <f>_xlfn.XLOOKUP($A4590,Load!$B:$B,Load!F:F,0,)</f>
        <v>Candy Pieces / Bites</v>
      </c>
      <c r="F4590" t="str">
        <f>_xlfn.XLOOKUP($A4590,Load!$B:$B,Load!G:G,0,)</f>
        <v>Single Pack</v>
      </c>
      <c r="G4590" t="str">
        <f>_xlfn.XLOOKUP($A4590,Load!$B:$B,Load!H:H,0,)</f>
        <v>Plastic Cup / Container</v>
      </c>
      <c r="H4590" t="str">
        <f>_xlfn.XLOOKUP($A4590,Load!$B:$B,Load!I:I,0,)</f>
        <v>Seasonal Shapes (like pumpkins, candy corn, ghost, bats, etc.)</v>
      </c>
      <c r="I4590" t="str">
        <f>_xlfn.XLOOKUP($A4590,Load!$B:$B,Load!J:J,0,)</f>
        <v>Seasonal Graphics (Like Bat, Ghost, Pumpkin, Fall Leaves, Eyeballs, etc.)</v>
      </c>
      <c r="J4590" t="str">
        <f>_xlfn.XLOOKUP($A4590,Load!$B:$B,Load!K:K,0,)</f>
        <v>Small Pieces (Tiny bite size candies)</v>
      </c>
      <c r="K4590" t="str">
        <f>_xlfn.XLOOKUP($A4590,Load!$B:$B,Load!L:L,0,)</f>
        <v>Unwrapped</v>
      </c>
      <c r="L4590" t="str">
        <f>_xlfn.XLOOKUP($A4590,Load!$B:$B,Load!M:M,0,)</f>
        <v>Single Brand / Single Flavor or Form</v>
      </c>
    </row>
    <row r="4591" spans="1:12" x14ac:dyDescent="0.25">
      <c r="B4591">
        <f>_xlfn.XLOOKUP($A4591,Load!$B:$B,Load!C:C,0,)</f>
        <v>0</v>
      </c>
      <c r="C4591">
        <f>_xlfn.XLOOKUP($A4591,Load!$B:$B,Load!D:D,0,)</f>
        <v>0</v>
      </c>
      <c r="D4591">
        <f>_xlfn.XLOOKUP($A4591,Load!$B:$B,Load!E:E,0,)</f>
        <v>0</v>
      </c>
      <c r="E4591">
        <f>_xlfn.XLOOKUP($A4591,Load!$B:$B,Load!F:F,0,)</f>
        <v>0</v>
      </c>
      <c r="F4591">
        <f>_xlfn.XLOOKUP($A4591,Load!$B:$B,Load!G:G,0,)</f>
        <v>0</v>
      </c>
      <c r="G4591">
        <f>_xlfn.XLOOKUP($A4591,Load!$B:$B,Load!H:H,0,)</f>
        <v>0</v>
      </c>
      <c r="H4591">
        <f>_xlfn.XLOOKUP($A4591,Load!$B:$B,Load!I:I,0,)</f>
        <v>0</v>
      </c>
      <c r="I4591">
        <f>_xlfn.XLOOKUP($A4591,Load!$B:$B,Load!J:J,0,)</f>
        <v>0</v>
      </c>
      <c r="J4591">
        <f>_xlfn.XLOOKUP($A4591,Load!$B:$B,Load!K:K,0,)</f>
        <v>0</v>
      </c>
      <c r="K4591">
        <f>_xlfn.XLOOKUP($A4591,Load!$B:$B,Load!L:L,0,)</f>
        <v>0</v>
      </c>
      <c r="L4591">
        <f>_xlfn.XLOOKUP($A4591,Load!$B:$B,Load!M:M,0,)</f>
        <v>0</v>
      </c>
    </row>
    <row r="4592" spans="1:12" x14ac:dyDescent="0.25">
      <c r="B4592">
        <f>_xlfn.XLOOKUP($A4592,Load!$B:$B,Load!C:C,0,)</f>
        <v>0</v>
      </c>
      <c r="C4592">
        <f>_xlfn.XLOOKUP($A4592,Load!$B:$B,Load!D:D,0,)</f>
        <v>0</v>
      </c>
      <c r="D4592">
        <f>_xlfn.XLOOKUP($A4592,Load!$B:$B,Load!E:E,0,)</f>
        <v>0</v>
      </c>
      <c r="E4592">
        <f>_xlfn.XLOOKUP($A4592,Load!$B:$B,Load!F:F,0,)</f>
        <v>0</v>
      </c>
      <c r="F4592">
        <f>_xlfn.XLOOKUP($A4592,Load!$B:$B,Load!G:G,0,)</f>
        <v>0</v>
      </c>
      <c r="G4592">
        <f>_xlfn.XLOOKUP($A4592,Load!$B:$B,Load!H:H,0,)</f>
        <v>0</v>
      </c>
      <c r="H4592">
        <f>_xlfn.XLOOKUP($A4592,Load!$B:$B,Load!I:I,0,)</f>
        <v>0</v>
      </c>
      <c r="I4592">
        <f>_xlfn.XLOOKUP($A4592,Load!$B:$B,Load!J:J,0,)</f>
        <v>0</v>
      </c>
      <c r="J4592">
        <f>_xlfn.XLOOKUP($A4592,Load!$B:$B,Load!K:K,0,)</f>
        <v>0</v>
      </c>
      <c r="K4592">
        <f>_xlfn.XLOOKUP($A4592,Load!$B:$B,Load!L:L,0,)</f>
        <v>0</v>
      </c>
      <c r="L4592">
        <f>_xlfn.XLOOKUP($A4592,Load!$B:$B,Load!M:M,0,)</f>
        <v>0</v>
      </c>
    </row>
    <row r="4593" spans="1:12" x14ac:dyDescent="0.25">
      <c r="B4593">
        <f>_xlfn.XLOOKUP($A4593,Load!$B:$B,Load!C:C,0,)</f>
        <v>0</v>
      </c>
      <c r="C4593">
        <f>_xlfn.XLOOKUP($A4593,Load!$B:$B,Load!D:D,0,)</f>
        <v>0</v>
      </c>
      <c r="D4593">
        <f>_xlfn.XLOOKUP($A4593,Load!$B:$B,Load!E:E,0,)</f>
        <v>0</v>
      </c>
      <c r="E4593">
        <f>_xlfn.XLOOKUP($A4593,Load!$B:$B,Load!F:F,0,)</f>
        <v>0</v>
      </c>
      <c r="F4593">
        <f>_xlfn.XLOOKUP($A4593,Load!$B:$B,Load!G:G,0,)</f>
        <v>0</v>
      </c>
      <c r="G4593">
        <f>_xlfn.XLOOKUP($A4593,Load!$B:$B,Load!H:H,0,)</f>
        <v>0</v>
      </c>
      <c r="H4593">
        <f>_xlfn.XLOOKUP($A4593,Load!$B:$B,Load!I:I,0,)</f>
        <v>0</v>
      </c>
      <c r="I4593">
        <f>_xlfn.XLOOKUP($A4593,Load!$B:$B,Load!J:J,0,)</f>
        <v>0</v>
      </c>
      <c r="J4593">
        <f>_xlfn.XLOOKUP($A4593,Load!$B:$B,Load!K:K,0,)</f>
        <v>0</v>
      </c>
      <c r="K4593">
        <f>_xlfn.XLOOKUP($A4593,Load!$B:$B,Load!L:L,0,)</f>
        <v>0</v>
      </c>
      <c r="L4593">
        <f>_xlfn.XLOOKUP($A4593,Load!$B:$B,Load!M:M,0,)</f>
        <v>0</v>
      </c>
    </row>
    <row r="4594" spans="1:12" x14ac:dyDescent="0.25">
      <c r="A4594" t="s">
        <v>283</v>
      </c>
      <c r="B4594" t="str">
        <f>_xlfn.XLOOKUP($A4594,Load!$B:$B,Load!C:C,0,)</f>
        <v>Sour Punch</v>
      </c>
      <c r="C4594" t="str">
        <f>_xlfn.XLOOKUP($A4594,Load!$B:$B,Load!D:D,0,)</f>
        <v>Non-Chocolate Candy Only</v>
      </c>
      <c r="D4594" t="str">
        <f>_xlfn.XLOOKUP($A4594,Load!$B:$B,Load!E:E,0,)</f>
        <v>Sour</v>
      </c>
      <c r="E4594" t="str">
        <f>_xlfn.XLOOKUP($A4594,Load!$B:$B,Load!F:F,0,)</f>
        <v>Chewy</v>
      </c>
      <c r="F4594" t="str">
        <f>_xlfn.XLOOKUP($A4594,Load!$B:$B,Load!G:G,0,)</f>
        <v>Large Multipack (More than 80 ct)</v>
      </c>
      <c r="G4594" t="str">
        <f>_xlfn.XLOOKUP($A4594,Load!$B:$B,Load!H:H,0,)</f>
        <v>Laydown Bag</v>
      </c>
      <c r="H4594" t="str">
        <f>_xlfn.XLOOKUP($A4594,Load!$B:$B,Load!I:I,0,)</f>
        <v>Seasonal Shapes (like pumpkins, candy corn, ghost, bats, etc.)</v>
      </c>
      <c r="I4594" t="str">
        <f>_xlfn.XLOOKUP($A4594,Load!$B:$B,Load!J:J,0,)</f>
        <v>Seasonal Graphics (Like Bat, Ghost, Pumpkin, Fall Leaves, Eyeballs, etc.)</v>
      </c>
      <c r="J4594" t="str">
        <f>_xlfn.XLOOKUP($A4594,Load!$B:$B,Load!K:K,0,)</f>
        <v>Small Pieces (Tiny bite size candies)</v>
      </c>
      <c r="K4594" t="str">
        <f>_xlfn.XLOOKUP($A4594,Load!$B:$B,Load!L:L,0,)</f>
        <v>Regular/Original Wrapping</v>
      </c>
      <c r="L4594" t="str">
        <f>_xlfn.XLOOKUP($A4594,Load!$B:$B,Load!M:M,0,)</f>
        <v>Single Brand / Variety Flavors or Form</v>
      </c>
    </row>
    <row r="4595" spans="1:12" x14ac:dyDescent="0.25">
      <c r="B4595">
        <f>_xlfn.XLOOKUP($A4595,Load!$B:$B,Load!C:C,0,)</f>
        <v>0</v>
      </c>
      <c r="C4595">
        <f>_xlfn.XLOOKUP($A4595,Load!$B:$B,Load!D:D,0,)</f>
        <v>0</v>
      </c>
      <c r="D4595">
        <f>_xlfn.XLOOKUP($A4595,Load!$B:$B,Load!E:E,0,)</f>
        <v>0</v>
      </c>
      <c r="E4595">
        <f>_xlfn.XLOOKUP($A4595,Load!$B:$B,Load!F:F,0,)</f>
        <v>0</v>
      </c>
      <c r="F4595">
        <f>_xlfn.XLOOKUP($A4595,Load!$B:$B,Load!G:G,0,)</f>
        <v>0</v>
      </c>
      <c r="G4595">
        <f>_xlfn.XLOOKUP($A4595,Load!$B:$B,Load!H:H,0,)</f>
        <v>0</v>
      </c>
      <c r="H4595">
        <f>_xlfn.XLOOKUP($A4595,Load!$B:$B,Load!I:I,0,)</f>
        <v>0</v>
      </c>
      <c r="I4595">
        <f>_xlfn.XLOOKUP($A4595,Load!$B:$B,Load!J:J,0,)</f>
        <v>0</v>
      </c>
      <c r="J4595">
        <f>_xlfn.XLOOKUP($A4595,Load!$B:$B,Load!K:K,0,)</f>
        <v>0</v>
      </c>
      <c r="K4595">
        <f>_xlfn.XLOOKUP($A4595,Load!$B:$B,Load!L:L,0,)</f>
        <v>0</v>
      </c>
      <c r="L4595">
        <f>_xlfn.XLOOKUP($A4595,Load!$B:$B,Load!M:M,0,)</f>
        <v>0</v>
      </c>
    </row>
    <row r="4596" spans="1:12" x14ac:dyDescent="0.25">
      <c r="B4596">
        <f>_xlfn.XLOOKUP($A4596,Load!$B:$B,Load!C:C,0,)</f>
        <v>0</v>
      </c>
      <c r="C4596">
        <f>_xlfn.XLOOKUP($A4596,Load!$B:$B,Load!D:D,0,)</f>
        <v>0</v>
      </c>
      <c r="D4596">
        <f>_xlfn.XLOOKUP($A4596,Load!$B:$B,Load!E:E,0,)</f>
        <v>0</v>
      </c>
      <c r="E4596">
        <f>_xlfn.XLOOKUP($A4596,Load!$B:$B,Load!F:F,0,)</f>
        <v>0</v>
      </c>
      <c r="F4596">
        <f>_xlfn.XLOOKUP($A4596,Load!$B:$B,Load!G:G,0,)</f>
        <v>0</v>
      </c>
      <c r="G4596">
        <f>_xlfn.XLOOKUP($A4596,Load!$B:$B,Load!H:H,0,)</f>
        <v>0</v>
      </c>
      <c r="H4596">
        <f>_xlfn.XLOOKUP($A4596,Load!$B:$B,Load!I:I,0,)</f>
        <v>0</v>
      </c>
      <c r="I4596">
        <f>_xlfn.XLOOKUP($A4596,Load!$B:$B,Load!J:J,0,)</f>
        <v>0</v>
      </c>
      <c r="J4596">
        <f>_xlfn.XLOOKUP($A4596,Load!$B:$B,Load!K:K,0,)</f>
        <v>0</v>
      </c>
      <c r="K4596">
        <f>_xlfn.XLOOKUP($A4596,Load!$B:$B,Load!L:L,0,)</f>
        <v>0</v>
      </c>
      <c r="L4596">
        <f>_xlfn.XLOOKUP($A4596,Load!$B:$B,Load!M:M,0,)</f>
        <v>0</v>
      </c>
    </row>
    <row r="4597" spans="1:12" x14ac:dyDescent="0.25">
      <c r="B4597">
        <f>_xlfn.XLOOKUP($A4597,Load!$B:$B,Load!C:C,0,)</f>
        <v>0</v>
      </c>
      <c r="C4597">
        <f>_xlfn.XLOOKUP($A4597,Load!$B:$B,Load!D:D,0,)</f>
        <v>0</v>
      </c>
      <c r="D4597">
        <f>_xlfn.XLOOKUP($A4597,Load!$B:$B,Load!E:E,0,)</f>
        <v>0</v>
      </c>
      <c r="E4597">
        <f>_xlfn.XLOOKUP($A4597,Load!$B:$B,Load!F:F,0,)</f>
        <v>0</v>
      </c>
      <c r="F4597">
        <f>_xlfn.XLOOKUP($A4597,Load!$B:$B,Load!G:G,0,)</f>
        <v>0</v>
      </c>
      <c r="G4597">
        <f>_xlfn.XLOOKUP($A4597,Load!$B:$B,Load!H:H,0,)</f>
        <v>0</v>
      </c>
      <c r="H4597">
        <f>_xlfn.XLOOKUP($A4597,Load!$B:$B,Load!I:I,0,)</f>
        <v>0</v>
      </c>
      <c r="I4597">
        <f>_xlfn.XLOOKUP($A4597,Load!$B:$B,Load!J:J,0,)</f>
        <v>0</v>
      </c>
      <c r="J4597">
        <f>_xlfn.XLOOKUP($A4597,Load!$B:$B,Load!K:K,0,)</f>
        <v>0</v>
      </c>
      <c r="K4597">
        <f>_xlfn.XLOOKUP($A4597,Load!$B:$B,Load!L:L,0,)</f>
        <v>0</v>
      </c>
      <c r="L4597">
        <f>_xlfn.XLOOKUP($A4597,Load!$B:$B,Load!M:M,0,)</f>
        <v>0</v>
      </c>
    </row>
    <row r="4598" spans="1:12" x14ac:dyDescent="0.25">
      <c r="A4598" t="s">
        <v>128</v>
      </c>
      <c r="B4598" t="str">
        <f>_xlfn.XLOOKUP($A4598,Load!$B:$B,Load!C:C,0,)</f>
        <v>HARIBO</v>
      </c>
      <c r="C4598" t="str">
        <f>_xlfn.XLOOKUP($A4598,Load!$B:$B,Load!D:D,0,)</f>
        <v>Non-Chocolate Candy Only</v>
      </c>
      <c r="D4598" t="str">
        <f>_xlfn.XLOOKUP($A4598,Load!$B:$B,Load!E:E,0,)</f>
        <v>Fruit Flavor (Cherry, Grape, Apple, Citrus, Tropical Fruit)</v>
      </c>
      <c r="E4598" t="str">
        <f>_xlfn.XLOOKUP($A4598,Load!$B:$B,Load!F:F,0,)</f>
        <v>Gummy</v>
      </c>
      <c r="F4598" t="str">
        <f>_xlfn.XLOOKUP($A4598,Load!$B:$B,Load!G:G,0,)</f>
        <v>Medium Multipack (40–80 ct)</v>
      </c>
      <c r="G4598" t="str">
        <f>_xlfn.XLOOKUP($A4598,Load!$B:$B,Load!H:H,0,)</f>
        <v>Plastic Cup / Container</v>
      </c>
      <c r="H4598" t="str">
        <f>_xlfn.XLOOKUP($A4598,Load!$B:$B,Load!I:I,0,)</f>
        <v>Everyday Candy Shapes (like Original, Gummy bear, Fruit, Jewels, etc.)</v>
      </c>
      <c r="I4598" t="str">
        <f>_xlfn.XLOOKUP($A4598,Load!$B:$B,Load!J:J,0,)</f>
        <v>Everyday Graphics</v>
      </c>
      <c r="J4598" t="str">
        <f>_xlfn.XLOOKUP($A4598,Load!$B:$B,Load!K:K,0,)</f>
        <v>Small Pieces (Tiny bite size candies)</v>
      </c>
      <c r="K4598" t="str">
        <f>_xlfn.XLOOKUP($A4598,Load!$B:$B,Load!L:L,0,)</f>
        <v>Regular/Original Wrapping</v>
      </c>
      <c r="L4598" t="str">
        <f>_xlfn.XLOOKUP($A4598,Load!$B:$B,Load!M:M,0,)</f>
        <v>Single Brand / Variety Flavors or Form</v>
      </c>
    </row>
    <row r="4599" spans="1:12" x14ac:dyDescent="0.25">
      <c r="A4599" t="s">
        <v>327</v>
      </c>
      <c r="B4599" t="str">
        <f>_xlfn.XLOOKUP($A4599,Load!$B:$B,Load!C:C,0,)</f>
        <v>Googly Eyes</v>
      </c>
      <c r="C4599" t="str">
        <f>_xlfn.XLOOKUP($A4599,Load!$B:$B,Load!D:D,0,)</f>
        <v>Non-Chocolate Candy Only</v>
      </c>
      <c r="D4599" t="str">
        <f>_xlfn.XLOOKUP($A4599,Load!$B:$B,Load!E:E,0,)</f>
        <v>Variety / Mixed Flavors (Fruity, Sour, Seasonal Flavors)</v>
      </c>
      <c r="E4599" t="str">
        <f>_xlfn.XLOOKUP($A4599,Load!$B:$B,Load!F:F,0,)</f>
        <v>Candy Pieces / Bites</v>
      </c>
      <c r="F4599" t="str">
        <f>_xlfn.XLOOKUP($A4599,Load!$B:$B,Load!G:G,0,)</f>
        <v>Small Multipack (Less than 40 ct)</v>
      </c>
      <c r="G4599" t="str">
        <f>_xlfn.XLOOKUP($A4599,Load!$B:$B,Load!H:H,0,)</f>
        <v>Plastic Cup / Container</v>
      </c>
      <c r="H4599" t="str">
        <f>_xlfn.XLOOKUP($A4599,Load!$B:$B,Load!I:I,0,)</f>
        <v>Seasonal Shapes (like pumpkins, candy corn, ghost, bats, etc.)</v>
      </c>
      <c r="I4599" t="str">
        <f>_xlfn.XLOOKUP($A4599,Load!$B:$B,Load!J:J,0,)</f>
        <v>Seasonal Graphics (Like Bat, Ghost, Pumpkin, Fall Leaves, Eyeballs, etc.)</v>
      </c>
      <c r="J4599" t="str">
        <f>_xlfn.XLOOKUP($A4599,Load!$B:$B,Load!K:K,0,)</f>
        <v>Fun Size / Treat Size</v>
      </c>
      <c r="K4599" t="str">
        <f>_xlfn.XLOOKUP($A4599,Load!$B:$B,Load!L:L,0,)</f>
        <v>Regular/Original Wrapping</v>
      </c>
      <c r="L4599" t="str">
        <f>_xlfn.XLOOKUP($A4599,Load!$B:$B,Load!M:M,0,)</f>
        <v>Single Brand / Variety Flavors or Form</v>
      </c>
    </row>
    <row r="4600" spans="1:12" x14ac:dyDescent="0.25">
      <c r="A4600" t="s">
        <v>290</v>
      </c>
      <c r="B4600" t="str">
        <f>_xlfn.XLOOKUP($A4600,Load!$B:$B,Load!C:C,0,)</f>
        <v>Tootsie</v>
      </c>
      <c r="C4600" t="str">
        <f>_xlfn.XLOOKUP($A4600,Load!$B:$B,Load!D:D,0,)</f>
        <v>Mix of Chocolate and Non-Chocolate Candy</v>
      </c>
      <c r="D4600" t="str">
        <f>_xlfn.XLOOKUP($A4600,Load!$B:$B,Load!E:E,0,)</f>
        <v>Variety / Mixed Flavors (Fruity, Sour, Seasonal Flavors)</v>
      </c>
      <c r="E4600" t="str">
        <f>_xlfn.XLOOKUP($A4600,Load!$B:$B,Load!F:F,0,)</f>
        <v>Mixed / Combo Packs (Gummy, Chewy, Taffy, etc.)</v>
      </c>
      <c r="F4600" t="str">
        <f>_xlfn.XLOOKUP($A4600,Load!$B:$B,Load!G:G,0,)</f>
        <v>Large Multipack (More than 80 ct)</v>
      </c>
      <c r="G4600" t="str">
        <f>_xlfn.XLOOKUP($A4600,Load!$B:$B,Load!H:H,0,)</f>
        <v>Laydown Bag</v>
      </c>
      <c r="H4600" t="str">
        <f>_xlfn.XLOOKUP($A4600,Load!$B:$B,Load!I:I,0,)</f>
        <v>Everyday Candy Shapes (like Original, Gummy bear, Fruit, Jewels, etc.)</v>
      </c>
      <c r="I4600" t="str">
        <f>_xlfn.XLOOKUP($A4600,Load!$B:$B,Load!J:J,0,)</f>
        <v>Everyday Graphics</v>
      </c>
      <c r="J4600" t="str">
        <f>_xlfn.XLOOKUP($A4600,Load!$B:$B,Load!K:K,0,)</f>
        <v>Fun Size / Treat Size</v>
      </c>
      <c r="K4600" t="str">
        <f>_xlfn.XLOOKUP($A4600,Load!$B:$B,Load!L:L,0,)</f>
        <v>Regular/Original Wrapping</v>
      </c>
      <c r="L4600" t="str">
        <f>_xlfn.XLOOKUP($A4600,Load!$B:$B,Load!M:M,0,)</f>
        <v>Single Brand / Variety Flavors or Form</v>
      </c>
    </row>
    <row r="4601" spans="1:12" x14ac:dyDescent="0.25">
      <c r="B4601">
        <f>_xlfn.XLOOKUP($A4601,Load!$B:$B,Load!C:C,0,)</f>
        <v>0</v>
      </c>
      <c r="C4601">
        <f>_xlfn.XLOOKUP($A4601,Load!$B:$B,Load!D:D,0,)</f>
        <v>0</v>
      </c>
      <c r="D4601">
        <f>_xlfn.XLOOKUP($A4601,Load!$B:$B,Load!E:E,0,)</f>
        <v>0</v>
      </c>
      <c r="E4601">
        <f>_xlfn.XLOOKUP($A4601,Load!$B:$B,Load!F:F,0,)</f>
        <v>0</v>
      </c>
      <c r="F4601">
        <f>_xlfn.XLOOKUP($A4601,Load!$B:$B,Load!G:G,0,)</f>
        <v>0</v>
      </c>
      <c r="G4601">
        <f>_xlfn.XLOOKUP($A4601,Load!$B:$B,Load!H:H,0,)</f>
        <v>0</v>
      </c>
      <c r="H4601">
        <f>_xlfn.XLOOKUP($A4601,Load!$B:$B,Load!I:I,0,)</f>
        <v>0</v>
      </c>
      <c r="I4601">
        <f>_xlfn.XLOOKUP($A4601,Load!$B:$B,Load!J:J,0,)</f>
        <v>0</v>
      </c>
      <c r="J4601">
        <f>_xlfn.XLOOKUP($A4601,Load!$B:$B,Load!K:K,0,)</f>
        <v>0</v>
      </c>
      <c r="K4601">
        <f>_xlfn.XLOOKUP($A4601,Load!$B:$B,Load!L:L,0,)</f>
        <v>0</v>
      </c>
      <c r="L4601">
        <f>_xlfn.XLOOKUP($A4601,Load!$B:$B,Load!M:M,0,)</f>
        <v>0</v>
      </c>
    </row>
    <row r="4602" spans="1:12" x14ac:dyDescent="0.25">
      <c r="A4602" t="s">
        <v>183</v>
      </c>
      <c r="B4602" t="str">
        <f>_xlfn.XLOOKUP($A4602,Load!$B:$B,Load!C:C,0,)</f>
        <v>Mars Variety Pack</v>
      </c>
      <c r="C4602" t="str">
        <f>_xlfn.XLOOKUP($A4602,Load!$B:$B,Load!D:D,0,)</f>
        <v>Non-Chocolate Candy Only</v>
      </c>
      <c r="D4602" t="str">
        <f>_xlfn.XLOOKUP($A4602,Load!$B:$B,Load!E:E,0,)</f>
        <v>Variety / Mixed Flavors (Fruity, Sour, Seasonal Flavors)</v>
      </c>
      <c r="E4602" t="str">
        <f>_xlfn.XLOOKUP($A4602,Load!$B:$B,Load!F:F,0,)</f>
        <v>Mixed / Combo Packs (Gummy, Chewy, Taffy, etc.)</v>
      </c>
      <c r="F4602" t="str">
        <f>_xlfn.XLOOKUP($A4602,Load!$B:$B,Load!G:G,0,)</f>
        <v>Large Multipack (More than 80 ct)</v>
      </c>
      <c r="G4602" t="str">
        <f>_xlfn.XLOOKUP($A4602,Load!$B:$B,Load!H:H,0,)</f>
        <v>Stand-Up Bag</v>
      </c>
      <c r="H4602" t="str">
        <f>_xlfn.XLOOKUP($A4602,Load!$B:$B,Load!I:I,0,)</f>
        <v>Seasonal Shapes (like pumpkins, candy corn, ghost, bats, etc.)</v>
      </c>
      <c r="I4602" t="str">
        <f>_xlfn.XLOOKUP($A4602,Load!$B:$B,Load!J:J,0,)</f>
        <v>Seasonal Graphics (Like Bat, Ghost, Pumpkin, Fall Leaves, Eyeballs, etc.)</v>
      </c>
      <c r="J4602" t="str">
        <f>_xlfn.XLOOKUP($A4602,Load!$B:$B,Load!K:K,0,)</f>
        <v xml:space="preserve">Variety Candy Sizes </v>
      </c>
      <c r="K4602" t="str">
        <f>_xlfn.XLOOKUP($A4602,Load!$B:$B,Load!L:L,0,)</f>
        <v>Regular/Original Wrapping</v>
      </c>
      <c r="L4602" t="str">
        <f>_xlfn.XLOOKUP($A4602,Load!$B:$B,Load!M:M,0,)</f>
        <v>Multiple Brands / Variety Flavors or Form</v>
      </c>
    </row>
    <row r="4603" spans="1:12" x14ac:dyDescent="0.25">
      <c r="A4603" t="s">
        <v>104</v>
      </c>
      <c r="B4603" t="str">
        <f>_xlfn.XLOOKUP($A4603,Load!$B:$B,Load!C:C,0,)</f>
        <v>Frankford</v>
      </c>
      <c r="C4603" t="str">
        <f>_xlfn.XLOOKUP($A4603,Load!$B:$B,Load!D:D,0,)</f>
        <v>Non-Chocolate Candy Only</v>
      </c>
      <c r="D4603" t="str">
        <f>_xlfn.XLOOKUP($A4603,Load!$B:$B,Load!E:E,0,)</f>
        <v>Variety / Mixed Flavors (Fruity, Sour, Seasonal Flavors)</v>
      </c>
      <c r="E4603" t="str">
        <f>_xlfn.XLOOKUP($A4603,Load!$B:$B,Load!F:F,0,)</f>
        <v>Mixed / Combo Packs (Gummy, Chewy, Taffy, etc.)</v>
      </c>
      <c r="F4603" t="str">
        <f>_xlfn.XLOOKUP($A4603,Load!$B:$B,Load!G:G,0,)</f>
        <v>Large Multipack (More than 80 ct)</v>
      </c>
      <c r="G4603" t="str">
        <f>_xlfn.XLOOKUP($A4603,Load!$B:$B,Load!H:H,0,)</f>
        <v>Stand-Up Bag</v>
      </c>
      <c r="H4603" t="str">
        <f>_xlfn.XLOOKUP($A4603,Load!$B:$B,Load!I:I,0,)</f>
        <v>Seasonal Shapes (like pumpkins, candy corn, ghost, bats, etc.)</v>
      </c>
      <c r="I4603" t="str">
        <f>_xlfn.XLOOKUP($A4603,Load!$B:$B,Load!J:J,0,)</f>
        <v>Seasonal Graphics (Like Bat, Ghost, Pumpkin, Fall Leaves, Eyeballs, etc.)</v>
      </c>
      <c r="J4603" t="str">
        <f>_xlfn.XLOOKUP($A4603,Load!$B:$B,Load!K:K,0,)</f>
        <v xml:space="preserve">Variety Candy Sizes </v>
      </c>
      <c r="K4603" t="str">
        <f>_xlfn.XLOOKUP($A4603,Load!$B:$B,Load!L:L,0,)</f>
        <v>Regular/Original Wrapping</v>
      </c>
      <c r="L4603" t="str">
        <f>_xlfn.XLOOKUP($A4603,Load!$B:$B,Load!M:M,0,)</f>
        <v>Multiple Brands / Variety Flavors or Form</v>
      </c>
    </row>
    <row r="4604" spans="1:12" x14ac:dyDescent="0.25">
      <c r="B4604">
        <f>_xlfn.XLOOKUP($A4604,Load!$B:$B,Load!C:C,0,)</f>
        <v>0</v>
      </c>
      <c r="C4604">
        <f>_xlfn.XLOOKUP($A4604,Load!$B:$B,Load!D:D,0,)</f>
        <v>0</v>
      </c>
      <c r="D4604">
        <f>_xlfn.XLOOKUP($A4604,Load!$B:$B,Load!E:E,0,)</f>
        <v>0</v>
      </c>
      <c r="E4604">
        <f>_xlfn.XLOOKUP($A4604,Load!$B:$B,Load!F:F,0,)</f>
        <v>0</v>
      </c>
      <c r="F4604">
        <f>_xlfn.XLOOKUP($A4604,Load!$B:$B,Load!G:G,0,)</f>
        <v>0</v>
      </c>
      <c r="G4604">
        <f>_xlfn.XLOOKUP($A4604,Load!$B:$B,Load!H:H,0,)</f>
        <v>0</v>
      </c>
      <c r="H4604">
        <f>_xlfn.XLOOKUP($A4604,Load!$B:$B,Load!I:I,0,)</f>
        <v>0</v>
      </c>
      <c r="I4604">
        <f>_xlfn.XLOOKUP($A4604,Load!$B:$B,Load!J:J,0,)</f>
        <v>0</v>
      </c>
      <c r="J4604">
        <f>_xlfn.XLOOKUP($A4604,Load!$B:$B,Load!K:K,0,)</f>
        <v>0</v>
      </c>
      <c r="K4604">
        <f>_xlfn.XLOOKUP($A4604,Load!$B:$B,Load!L:L,0,)</f>
        <v>0</v>
      </c>
      <c r="L4604">
        <f>_xlfn.XLOOKUP($A4604,Load!$B:$B,Load!M:M,0,)</f>
        <v>0</v>
      </c>
    </row>
    <row r="4605" spans="1:12" x14ac:dyDescent="0.25">
      <c r="B4605">
        <f>_xlfn.XLOOKUP($A4605,Load!$B:$B,Load!C:C,0,)</f>
        <v>0</v>
      </c>
      <c r="C4605">
        <f>_xlfn.XLOOKUP($A4605,Load!$B:$B,Load!D:D,0,)</f>
        <v>0</v>
      </c>
      <c r="D4605">
        <f>_xlfn.XLOOKUP($A4605,Load!$B:$B,Load!E:E,0,)</f>
        <v>0</v>
      </c>
      <c r="E4605">
        <f>_xlfn.XLOOKUP($A4605,Load!$B:$B,Load!F:F,0,)</f>
        <v>0</v>
      </c>
      <c r="F4605">
        <f>_xlfn.XLOOKUP($A4605,Load!$B:$B,Load!G:G,0,)</f>
        <v>0</v>
      </c>
      <c r="G4605">
        <f>_xlfn.XLOOKUP($A4605,Load!$B:$B,Load!H:H,0,)</f>
        <v>0</v>
      </c>
      <c r="H4605">
        <f>_xlfn.XLOOKUP($A4605,Load!$B:$B,Load!I:I,0,)</f>
        <v>0</v>
      </c>
      <c r="I4605">
        <f>_xlfn.XLOOKUP($A4605,Load!$B:$B,Load!J:J,0,)</f>
        <v>0</v>
      </c>
      <c r="J4605">
        <f>_xlfn.XLOOKUP($A4605,Load!$B:$B,Load!K:K,0,)</f>
        <v>0</v>
      </c>
      <c r="K4605">
        <f>_xlfn.XLOOKUP($A4605,Load!$B:$B,Load!L:L,0,)</f>
        <v>0</v>
      </c>
      <c r="L4605">
        <f>_xlfn.XLOOKUP($A4605,Load!$B:$B,Load!M:M,0,)</f>
        <v>0</v>
      </c>
    </row>
    <row r="4606" spans="1:12" x14ac:dyDescent="0.25">
      <c r="A4606" t="s">
        <v>273</v>
      </c>
      <c r="B4606" t="str">
        <f>_xlfn.XLOOKUP($A4606,Load!$B:$B,Load!C:C,0,)</f>
        <v>Sour Patch Kids</v>
      </c>
      <c r="C4606" t="str">
        <f>_xlfn.XLOOKUP($A4606,Load!$B:$B,Load!D:D,0,)</f>
        <v>Non-Chocolate Candy Only</v>
      </c>
      <c r="D4606" t="str">
        <f>_xlfn.XLOOKUP($A4606,Load!$B:$B,Load!E:E,0,)</f>
        <v>Sour</v>
      </c>
      <c r="E4606" t="str">
        <f>_xlfn.XLOOKUP($A4606,Load!$B:$B,Load!F:F,0,)</f>
        <v>Chewy</v>
      </c>
      <c r="F4606" t="str">
        <f>_xlfn.XLOOKUP($A4606,Load!$B:$B,Load!G:G,0,)</f>
        <v>Small Multipack (Less than 40 ct)</v>
      </c>
      <c r="G4606" t="str">
        <f>_xlfn.XLOOKUP($A4606,Load!$B:$B,Load!H:H,0,)</f>
        <v>Box (theatre box, gift box, carton)</v>
      </c>
      <c r="H4606" t="str">
        <f>_xlfn.XLOOKUP($A4606,Load!$B:$B,Load!I:I,0,)</f>
        <v>Everyday Candy Shapes (like Original, Gummy bear, Fruit, Jewels, etc.)</v>
      </c>
      <c r="I4606" t="str">
        <f>_xlfn.XLOOKUP($A4606,Load!$B:$B,Load!J:J,0,)</f>
        <v>Seasonal Graphics (Like Bat, Ghost, Pumpkin, Fall Leaves, Eyeballs, etc.)</v>
      </c>
      <c r="J4606" t="str">
        <f>_xlfn.XLOOKUP($A4606,Load!$B:$B,Load!K:K,0,)</f>
        <v>Small Pieces (Tiny bite size candies)</v>
      </c>
      <c r="K4606" t="str">
        <f>_xlfn.XLOOKUP($A4606,Load!$B:$B,Load!L:L,0,)</f>
        <v>Unwrapped</v>
      </c>
      <c r="L4606" t="str">
        <f>_xlfn.XLOOKUP($A4606,Load!$B:$B,Load!M:M,0,)</f>
        <v>Single Brand / Variety Flavors or Form</v>
      </c>
    </row>
    <row r="4607" spans="1:12" x14ac:dyDescent="0.25">
      <c r="B4607">
        <f>_xlfn.XLOOKUP($A4607,Load!$B:$B,Load!C:C,0,)</f>
        <v>0</v>
      </c>
      <c r="C4607">
        <f>_xlfn.XLOOKUP($A4607,Load!$B:$B,Load!D:D,0,)</f>
        <v>0</v>
      </c>
      <c r="D4607">
        <f>_xlfn.XLOOKUP($A4607,Load!$B:$B,Load!E:E,0,)</f>
        <v>0</v>
      </c>
      <c r="E4607">
        <f>_xlfn.XLOOKUP($A4607,Load!$B:$B,Load!F:F,0,)</f>
        <v>0</v>
      </c>
      <c r="F4607">
        <f>_xlfn.XLOOKUP($A4607,Load!$B:$B,Load!G:G,0,)</f>
        <v>0</v>
      </c>
      <c r="G4607">
        <f>_xlfn.XLOOKUP($A4607,Load!$B:$B,Load!H:H,0,)</f>
        <v>0</v>
      </c>
      <c r="H4607">
        <f>_xlfn.XLOOKUP($A4607,Load!$B:$B,Load!I:I,0,)</f>
        <v>0</v>
      </c>
      <c r="I4607">
        <f>_xlfn.XLOOKUP($A4607,Load!$B:$B,Load!J:J,0,)</f>
        <v>0</v>
      </c>
      <c r="J4607">
        <f>_xlfn.XLOOKUP($A4607,Load!$B:$B,Load!K:K,0,)</f>
        <v>0</v>
      </c>
      <c r="K4607">
        <f>_xlfn.XLOOKUP($A4607,Load!$B:$B,Load!L:L,0,)</f>
        <v>0</v>
      </c>
      <c r="L4607">
        <f>_xlfn.XLOOKUP($A4607,Load!$B:$B,Load!M:M,0,)</f>
        <v>0</v>
      </c>
    </row>
    <row r="4608" spans="1:12" x14ac:dyDescent="0.25">
      <c r="A4608" t="s">
        <v>171</v>
      </c>
      <c r="B4608" t="str">
        <f>_xlfn.XLOOKUP($A4608,Load!$B:$B,Load!C:C,0,)</f>
        <v>Mamba</v>
      </c>
      <c r="C4608" t="str">
        <f>_xlfn.XLOOKUP($A4608,Load!$B:$B,Load!D:D,0,)</f>
        <v>Non-Chocolate Candy Only</v>
      </c>
      <c r="D4608" t="str">
        <f>_xlfn.XLOOKUP($A4608,Load!$B:$B,Load!E:E,0,)</f>
        <v>Fruit Flavor (Cherry, Grape, Apple, Citrus, Tropical Fruit)</v>
      </c>
      <c r="E4608" t="str">
        <f>_xlfn.XLOOKUP($A4608,Load!$B:$B,Load!F:F,0,)</f>
        <v>Chewy</v>
      </c>
      <c r="F4608" t="str">
        <f>_xlfn.XLOOKUP($A4608,Load!$B:$B,Load!G:G,0,)</f>
        <v>Large Multipack (More than 80 ct)</v>
      </c>
      <c r="G4608" t="str">
        <f>_xlfn.XLOOKUP($A4608,Load!$B:$B,Load!H:H,0,)</f>
        <v>Stand-Up Bag</v>
      </c>
      <c r="H4608" t="str">
        <f>_xlfn.XLOOKUP($A4608,Load!$B:$B,Load!I:I,0,)</f>
        <v>Seasonal Shapes (like pumpkins, candy corn, ghost, bats, etc.)</v>
      </c>
      <c r="I4608" t="str">
        <f>_xlfn.XLOOKUP($A4608,Load!$B:$B,Load!J:J,0,)</f>
        <v>Seasonal Graphics (Like Bat, Ghost, Pumpkin, Fall Leaves, Eyeballs, etc.)</v>
      </c>
      <c r="J4608" t="str">
        <f>_xlfn.XLOOKUP($A4608,Load!$B:$B,Load!K:K,0,)</f>
        <v>Fun Size / Treat Size</v>
      </c>
      <c r="K4608" t="str">
        <f>_xlfn.XLOOKUP($A4608,Load!$B:$B,Load!L:L,0,)</f>
        <v>Regular/Original Wrapping</v>
      </c>
      <c r="L4608" t="str">
        <f>_xlfn.XLOOKUP($A4608,Load!$B:$B,Load!M:M,0,)</f>
        <v>Single Brand / Variety Flavors or Form</v>
      </c>
    </row>
    <row r="4609" spans="1:12" x14ac:dyDescent="0.25">
      <c r="B4609">
        <f>_xlfn.XLOOKUP($A4609,Load!$B:$B,Load!C:C,0,)</f>
        <v>0</v>
      </c>
      <c r="C4609">
        <f>_xlfn.XLOOKUP($A4609,Load!$B:$B,Load!D:D,0,)</f>
        <v>0</v>
      </c>
      <c r="D4609">
        <f>_xlfn.XLOOKUP($A4609,Load!$B:$B,Load!E:E,0,)</f>
        <v>0</v>
      </c>
      <c r="E4609">
        <f>_xlfn.XLOOKUP($A4609,Load!$B:$B,Load!F:F,0,)</f>
        <v>0</v>
      </c>
      <c r="F4609">
        <f>_xlfn.XLOOKUP($A4609,Load!$B:$B,Load!G:G,0,)</f>
        <v>0</v>
      </c>
      <c r="G4609">
        <f>_xlfn.XLOOKUP($A4609,Load!$B:$B,Load!H:H,0,)</f>
        <v>0</v>
      </c>
      <c r="H4609">
        <f>_xlfn.XLOOKUP($A4609,Load!$B:$B,Load!I:I,0,)</f>
        <v>0</v>
      </c>
      <c r="I4609">
        <f>_xlfn.XLOOKUP($A4609,Load!$B:$B,Load!J:J,0,)</f>
        <v>0</v>
      </c>
      <c r="J4609">
        <f>_xlfn.XLOOKUP($A4609,Load!$B:$B,Load!K:K,0,)</f>
        <v>0</v>
      </c>
      <c r="K4609">
        <f>_xlfn.XLOOKUP($A4609,Load!$B:$B,Load!L:L,0,)</f>
        <v>0</v>
      </c>
      <c r="L4609">
        <f>_xlfn.XLOOKUP($A4609,Load!$B:$B,Load!M:M,0,)</f>
        <v>0</v>
      </c>
    </row>
    <row r="4610" spans="1:12" x14ac:dyDescent="0.25">
      <c r="A4610" t="s">
        <v>230</v>
      </c>
      <c r="B4610" t="str">
        <f>_xlfn.XLOOKUP($A4610,Load!$B:$B,Load!C:C,0,)</f>
        <v>Nerds</v>
      </c>
      <c r="C4610" t="str">
        <f>_xlfn.XLOOKUP($A4610,Load!$B:$B,Load!D:D,0,)</f>
        <v>Non-Chocolate Candy Only</v>
      </c>
      <c r="D4610" t="str">
        <f>_xlfn.XLOOKUP($A4610,Load!$B:$B,Load!E:E,0,)</f>
        <v>Sweet</v>
      </c>
      <c r="E4610" t="str">
        <f>_xlfn.XLOOKUP($A4610,Load!$B:$B,Load!F:F,0,)</f>
        <v>Chewy</v>
      </c>
      <c r="F4610" t="str">
        <f>_xlfn.XLOOKUP($A4610,Load!$B:$B,Load!G:G,0,)</f>
        <v>Single Pack</v>
      </c>
      <c r="G4610" t="str">
        <f>_xlfn.XLOOKUP($A4610,Load!$B:$B,Load!H:H,0,)</f>
        <v>Laydown Bag</v>
      </c>
      <c r="H4610" t="str">
        <f>_xlfn.XLOOKUP($A4610,Load!$B:$B,Load!I:I,0,)</f>
        <v>Everyday Candy Shapes (like Original, Gummy bear, Fruit, Jewels, etc.)</v>
      </c>
      <c r="I4610" t="str">
        <f>_xlfn.XLOOKUP($A4610,Load!$B:$B,Load!J:J,0,)</f>
        <v>Seasonal Graphics (Like Bat, Ghost, Pumpkin, Fall Leaves, Eyeballs, etc.)</v>
      </c>
      <c r="J4610" t="str">
        <f>_xlfn.XLOOKUP($A4610,Load!$B:$B,Load!K:K,0,)</f>
        <v>Fun Size / Treat Size</v>
      </c>
      <c r="K4610" t="str">
        <f>_xlfn.XLOOKUP($A4610,Load!$B:$B,Load!L:L,0,)</f>
        <v>Regular/Original Wrapping</v>
      </c>
      <c r="L4610" t="str">
        <f>_xlfn.XLOOKUP($A4610,Load!$B:$B,Load!M:M,0,)</f>
        <v>Single Brand / Single Flavor or Form</v>
      </c>
    </row>
    <row r="4611" spans="1:12" x14ac:dyDescent="0.25">
      <c r="A4611" t="s">
        <v>342</v>
      </c>
      <c r="B4611" t="str">
        <f>_xlfn.XLOOKUP($A4611,Load!$B:$B,Load!C:C,0,)</f>
        <v>Your Store Brand</v>
      </c>
      <c r="C4611" t="str">
        <f>_xlfn.XLOOKUP($A4611,Load!$B:$B,Load!D:D,0,)</f>
        <v>Non-Chocolate Candy Only</v>
      </c>
      <c r="D4611" t="str">
        <f>_xlfn.XLOOKUP($A4611,Load!$B:$B,Load!E:E,0,)</f>
        <v>Sweet</v>
      </c>
      <c r="E4611" t="str">
        <f>_xlfn.XLOOKUP($A4611,Load!$B:$B,Load!F:F,0,)</f>
        <v>Gummy</v>
      </c>
      <c r="F4611" t="str">
        <f>_xlfn.XLOOKUP($A4611,Load!$B:$B,Load!G:G,0,)</f>
        <v>Single Pack</v>
      </c>
      <c r="G4611" t="str">
        <f>_xlfn.XLOOKUP($A4611,Load!$B:$B,Load!H:H,0,)</f>
        <v>Peg Bag</v>
      </c>
      <c r="H4611" t="str">
        <f>_xlfn.XLOOKUP($A4611,Load!$B:$B,Load!I:I,0,)</f>
        <v>Seasonal Shapes (like pumpkins, candy corn, ghost, bats, etc.)</v>
      </c>
      <c r="I4611" t="str">
        <f>_xlfn.XLOOKUP($A4611,Load!$B:$B,Load!J:J,0,)</f>
        <v>Everyday Graphics</v>
      </c>
      <c r="J4611" t="str">
        <f>_xlfn.XLOOKUP($A4611,Load!$B:$B,Load!K:K,0,)</f>
        <v>Small Pieces (Tiny bite size candies)</v>
      </c>
      <c r="K4611" t="str">
        <f>_xlfn.XLOOKUP($A4611,Load!$B:$B,Load!L:L,0,)</f>
        <v>Unwrapped</v>
      </c>
      <c r="L4611" t="str">
        <f>_xlfn.XLOOKUP($A4611,Load!$B:$B,Load!M:M,0,)</f>
        <v>Single Brand / Single Flavor or Form</v>
      </c>
    </row>
    <row r="4612" spans="1:12" x14ac:dyDescent="0.25">
      <c r="A4612" t="s">
        <v>33</v>
      </c>
      <c r="B4612" t="str">
        <f>_xlfn.XLOOKUP($A4612,Load!$B:$B,Load!C:C,0,)</f>
        <v>Bazooka Brands</v>
      </c>
      <c r="C4612" t="str">
        <f>_xlfn.XLOOKUP($A4612,Load!$B:$B,Load!D:D,0,)</f>
        <v>Non-Chocolate Candy Only</v>
      </c>
      <c r="D4612" t="str">
        <f>_xlfn.XLOOKUP($A4612,Load!$B:$B,Load!E:E,0,)</f>
        <v>Variety / Mixed Flavors (Fruity, Sour, Seasonal Flavors)</v>
      </c>
      <c r="E4612" t="str">
        <f>_xlfn.XLOOKUP($A4612,Load!$B:$B,Load!F:F,0,)</f>
        <v>Mixed / Combo Packs (Gummy, Chewy, Taffy, etc.)</v>
      </c>
      <c r="F4612" t="str">
        <f>_xlfn.XLOOKUP($A4612,Load!$B:$B,Load!G:G,0,)</f>
        <v>Small Multipack (Less than 40 ct)</v>
      </c>
      <c r="G4612" t="str">
        <f>_xlfn.XLOOKUP($A4612,Load!$B:$B,Load!H:H,0,)</f>
        <v>Box (theatre box, gift box, carton)</v>
      </c>
      <c r="H4612" t="str">
        <f>_xlfn.XLOOKUP($A4612,Load!$B:$B,Load!I:I,0,)</f>
        <v>Seasonal Shapes (like pumpkins, candy corn, ghost, bats, etc.)</v>
      </c>
      <c r="I4612" t="str">
        <f>_xlfn.XLOOKUP($A4612,Load!$B:$B,Load!J:J,0,)</f>
        <v>Seasonal Graphics (Like Bat, Ghost, Pumpkin, Fall Leaves, Eyeballs, etc.)</v>
      </c>
      <c r="J4612" t="str">
        <f>_xlfn.XLOOKUP($A4612,Load!$B:$B,Load!K:K,0,)</f>
        <v>Small Pieces (Tiny bite size candies)</v>
      </c>
      <c r="K4612" t="str">
        <f>_xlfn.XLOOKUP($A4612,Load!$B:$B,Load!L:L,0,)</f>
        <v>Regular/Original Wrapping</v>
      </c>
      <c r="L4612" t="str">
        <f>_xlfn.XLOOKUP($A4612,Load!$B:$B,Load!M:M,0,)</f>
        <v>Single Brand / Variety Flavors or Form</v>
      </c>
    </row>
    <row r="4613" spans="1:12" x14ac:dyDescent="0.25">
      <c r="B4613">
        <f>_xlfn.XLOOKUP($A4613,Load!$B:$B,Load!C:C,0,)</f>
        <v>0</v>
      </c>
      <c r="C4613">
        <f>_xlfn.XLOOKUP($A4613,Load!$B:$B,Load!D:D,0,)</f>
        <v>0</v>
      </c>
      <c r="D4613">
        <f>_xlfn.XLOOKUP($A4613,Load!$B:$B,Load!E:E,0,)</f>
        <v>0</v>
      </c>
      <c r="E4613">
        <f>_xlfn.XLOOKUP($A4613,Load!$B:$B,Load!F:F,0,)</f>
        <v>0</v>
      </c>
      <c r="F4613">
        <f>_xlfn.XLOOKUP($A4613,Load!$B:$B,Load!G:G,0,)</f>
        <v>0</v>
      </c>
      <c r="G4613">
        <f>_xlfn.XLOOKUP($A4613,Load!$B:$B,Load!H:H,0,)</f>
        <v>0</v>
      </c>
      <c r="H4613">
        <f>_xlfn.XLOOKUP($A4613,Load!$B:$B,Load!I:I,0,)</f>
        <v>0</v>
      </c>
      <c r="I4613">
        <f>_xlfn.XLOOKUP($A4613,Load!$B:$B,Load!J:J,0,)</f>
        <v>0</v>
      </c>
      <c r="J4613">
        <f>_xlfn.XLOOKUP($A4613,Load!$B:$B,Load!K:K,0,)</f>
        <v>0</v>
      </c>
      <c r="K4613">
        <f>_xlfn.XLOOKUP($A4613,Load!$B:$B,Load!L:L,0,)</f>
        <v>0</v>
      </c>
      <c r="L4613">
        <f>_xlfn.XLOOKUP($A4613,Load!$B:$B,Load!M:M,0,)</f>
        <v>0</v>
      </c>
    </row>
    <row r="4614" spans="1:12" x14ac:dyDescent="0.25">
      <c r="B4614">
        <f>_xlfn.XLOOKUP($A4614,Load!$B:$B,Load!C:C,0,)</f>
        <v>0</v>
      </c>
      <c r="C4614">
        <f>_xlfn.XLOOKUP($A4614,Load!$B:$B,Load!D:D,0,)</f>
        <v>0</v>
      </c>
      <c r="D4614">
        <f>_xlfn.XLOOKUP($A4614,Load!$B:$B,Load!E:E,0,)</f>
        <v>0</v>
      </c>
      <c r="E4614">
        <f>_xlfn.XLOOKUP($A4614,Load!$B:$B,Load!F:F,0,)</f>
        <v>0</v>
      </c>
      <c r="F4614">
        <f>_xlfn.XLOOKUP($A4614,Load!$B:$B,Load!G:G,0,)</f>
        <v>0</v>
      </c>
      <c r="G4614">
        <f>_xlfn.XLOOKUP($A4614,Load!$B:$B,Load!H:H,0,)</f>
        <v>0</v>
      </c>
      <c r="H4614">
        <f>_xlfn.XLOOKUP($A4614,Load!$B:$B,Load!I:I,0,)</f>
        <v>0</v>
      </c>
      <c r="I4614">
        <f>_xlfn.XLOOKUP($A4614,Load!$B:$B,Load!J:J,0,)</f>
        <v>0</v>
      </c>
      <c r="J4614">
        <f>_xlfn.XLOOKUP($A4614,Load!$B:$B,Load!K:K,0,)</f>
        <v>0</v>
      </c>
      <c r="K4614">
        <f>_xlfn.XLOOKUP($A4614,Load!$B:$B,Load!L:L,0,)</f>
        <v>0</v>
      </c>
      <c r="L4614">
        <f>_xlfn.XLOOKUP($A4614,Load!$B:$B,Load!M:M,0,)</f>
        <v>0</v>
      </c>
    </row>
    <row r="4615" spans="1:12" x14ac:dyDescent="0.25">
      <c r="B4615">
        <f>_xlfn.XLOOKUP($A4615,Load!$B:$B,Load!C:C,0,)</f>
        <v>0</v>
      </c>
      <c r="C4615">
        <f>_xlfn.XLOOKUP($A4615,Load!$B:$B,Load!D:D,0,)</f>
        <v>0</v>
      </c>
      <c r="D4615">
        <f>_xlfn.XLOOKUP($A4615,Load!$B:$B,Load!E:E,0,)</f>
        <v>0</v>
      </c>
      <c r="E4615">
        <f>_xlfn.XLOOKUP($A4615,Load!$B:$B,Load!F:F,0,)</f>
        <v>0</v>
      </c>
      <c r="F4615">
        <f>_xlfn.XLOOKUP($A4615,Load!$B:$B,Load!G:G,0,)</f>
        <v>0</v>
      </c>
      <c r="G4615">
        <f>_xlfn.XLOOKUP($A4615,Load!$B:$B,Load!H:H,0,)</f>
        <v>0</v>
      </c>
      <c r="H4615">
        <f>_xlfn.XLOOKUP($A4615,Load!$B:$B,Load!I:I,0,)</f>
        <v>0</v>
      </c>
      <c r="I4615">
        <f>_xlfn.XLOOKUP($A4615,Load!$B:$B,Load!J:J,0,)</f>
        <v>0</v>
      </c>
      <c r="J4615">
        <f>_xlfn.XLOOKUP($A4615,Load!$B:$B,Load!K:K,0,)</f>
        <v>0</v>
      </c>
      <c r="K4615">
        <f>_xlfn.XLOOKUP($A4615,Load!$B:$B,Load!L:L,0,)</f>
        <v>0</v>
      </c>
      <c r="L4615">
        <f>_xlfn.XLOOKUP($A4615,Load!$B:$B,Load!M:M,0,)</f>
        <v>0</v>
      </c>
    </row>
    <row r="4616" spans="1:12" x14ac:dyDescent="0.25">
      <c r="A4616" t="s">
        <v>299</v>
      </c>
      <c r="B4616" t="str">
        <f>_xlfn.XLOOKUP($A4616,Load!$B:$B,Load!C:C,0,)</f>
        <v>Twizzlers</v>
      </c>
      <c r="C4616" t="str">
        <f>_xlfn.XLOOKUP($A4616,Load!$B:$B,Load!D:D,0,)</f>
        <v>Non-Chocolate Candy Only</v>
      </c>
      <c r="D4616" t="str">
        <f>_xlfn.XLOOKUP($A4616,Load!$B:$B,Load!E:E,0,)</f>
        <v>Fruit Flavor (Cherry, Grape, Apple, Citrus, Tropical Fruit)</v>
      </c>
      <c r="E4616" t="str">
        <f>_xlfn.XLOOKUP($A4616,Load!$B:$B,Load!F:F,0,)</f>
        <v>Chewy</v>
      </c>
      <c r="F4616" t="str">
        <f>_xlfn.XLOOKUP($A4616,Load!$B:$B,Load!G:G,0,)</f>
        <v>Single Pack</v>
      </c>
      <c r="G4616" t="str">
        <f>_xlfn.XLOOKUP($A4616,Load!$B:$B,Load!H:H,0,)</f>
        <v>Stand-Up Bag</v>
      </c>
      <c r="H4616" t="str">
        <f>_xlfn.XLOOKUP($A4616,Load!$B:$B,Load!I:I,0,)</f>
        <v>Seasonal Shapes (like pumpkins, candy corn, ghost, bats, etc.)</v>
      </c>
      <c r="I4616" t="str">
        <f>_xlfn.XLOOKUP($A4616,Load!$B:$B,Load!J:J,0,)</f>
        <v>Seasonal Graphics (Like Bat, Ghost, Pumpkin, Fall Leaves, Eyeballs, etc.)</v>
      </c>
      <c r="J4616" t="str">
        <f>_xlfn.XLOOKUP($A4616,Load!$B:$B,Load!K:K,0,)</f>
        <v>Fun Size / Treat Size</v>
      </c>
      <c r="K4616" t="str">
        <f>_xlfn.XLOOKUP($A4616,Load!$B:$B,Load!L:L,0,)</f>
        <v>Unwrapped</v>
      </c>
      <c r="L4616" t="str">
        <f>_xlfn.XLOOKUP($A4616,Load!$B:$B,Load!M:M,0,)</f>
        <v>Single Brand / Single Flavor or Form</v>
      </c>
    </row>
    <row r="4617" spans="1:12" x14ac:dyDescent="0.25">
      <c r="B4617">
        <f>_xlfn.XLOOKUP($A4617,Load!$B:$B,Load!C:C,0,)</f>
        <v>0</v>
      </c>
      <c r="C4617">
        <f>_xlfn.XLOOKUP($A4617,Load!$B:$B,Load!D:D,0,)</f>
        <v>0</v>
      </c>
      <c r="D4617">
        <f>_xlfn.XLOOKUP($A4617,Load!$B:$B,Load!E:E,0,)</f>
        <v>0</v>
      </c>
      <c r="E4617">
        <f>_xlfn.XLOOKUP($A4617,Load!$B:$B,Load!F:F,0,)</f>
        <v>0</v>
      </c>
      <c r="F4617">
        <f>_xlfn.XLOOKUP($A4617,Load!$B:$B,Load!G:G,0,)</f>
        <v>0</v>
      </c>
      <c r="G4617">
        <f>_xlfn.XLOOKUP($A4617,Load!$B:$B,Load!H:H,0,)</f>
        <v>0</v>
      </c>
      <c r="H4617">
        <f>_xlfn.XLOOKUP($A4617,Load!$B:$B,Load!I:I,0,)</f>
        <v>0</v>
      </c>
      <c r="I4617">
        <f>_xlfn.XLOOKUP($A4617,Load!$B:$B,Load!J:J,0,)</f>
        <v>0</v>
      </c>
      <c r="J4617">
        <f>_xlfn.XLOOKUP($A4617,Load!$B:$B,Load!K:K,0,)</f>
        <v>0</v>
      </c>
      <c r="K4617">
        <f>_xlfn.XLOOKUP($A4617,Load!$B:$B,Load!L:L,0,)</f>
        <v>0</v>
      </c>
      <c r="L4617">
        <f>_xlfn.XLOOKUP($A4617,Load!$B:$B,Load!M:M,0,)</f>
        <v>0</v>
      </c>
    </row>
    <row r="4618" spans="1:12" x14ac:dyDescent="0.25">
      <c r="B4618">
        <f>_xlfn.XLOOKUP($A4618,Load!$B:$B,Load!C:C,0,)</f>
        <v>0</v>
      </c>
      <c r="C4618">
        <f>_xlfn.XLOOKUP($A4618,Load!$B:$B,Load!D:D,0,)</f>
        <v>0</v>
      </c>
      <c r="D4618">
        <f>_xlfn.XLOOKUP($A4618,Load!$B:$B,Load!E:E,0,)</f>
        <v>0</v>
      </c>
      <c r="E4618">
        <f>_xlfn.XLOOKUP($A4618,Load!$B:$B,Load!F:F,0,)</f>
        <v>0</v>
      </c>
      <c r="F4618">
        <f>_xlfn.XLOOKUP($A4618,Load!$B:$B,Load!G:G,0,)</f>
        <v>0</v>
      </c>
      <c r="G4618">
        <f>_xlfn.XLOOKUP($A4618,Load!$B:$B,Load!H:H,0,)</f>
        <v>0</v>
      </c>
      <c r="H4618">
        <f>_xlfn.XLOOKUP($A4618,Load!$B:$B,Load!I:I,0,)</f>
        <v>0</v>
      </c>
      <c r="I4618">
        <f>_xlfn.XLOOKUP($A4618,Load!$B:$B,Load!J:J,0,)</f>
        <v>0</v>
      </c>
      <c r="J4618">
        <f>_xlfn.XLOOKUP($A4618,Load!$B:$B,Load!K:K,0,)</f>
        <v>0</v>
      </c>
      <c r="K4618">
        <f>_xlfn.XLOOKUP($A4618,Load!$B:$B,Load!L:L,0,)</f>
        <v>0</v>
      </c>
      <c r="L4618">
        <f>_xlfn.XLOOKUP($A4618,Load!$B:$B,Load!M:M,0,)</f>
        <v>0</v>
      </c>
    </row>
    <row r="4619" spans="1:12" x14ac:dyDescent="0.25">
      <c r="B4619">
        <f>_xlfn.XLOOKUP($A4619,Load!$B:$B,Load!C:C,0,)</f>
        <v>0</v>
      </c>
      <c r="C4619">
        <f>_xlfn.XLOOKUP($A4619,Load!$B:$B,Load!D:D,0,)</f>
        <v>0</v>
      </c>
      <c r="D4619">
        <f>_xlfn.XLOOKUP($A4619,Load!$B:$B,Load!E:E,0,)</f>
        <v>0</v>
      </c>
      <c r="E4619">
        <f>_xlfn.XLOOKUP($A4619,Load!$B:$B,Load!F:F,0,)</f>
        <v>0</v>
      </c>
      <c r="F4619">
        <f>_xlfn.XLOOKUP($A4619,Load!$B:$B,Load!G:G,0,)</f>
        <v>0</v>
      </c>
      <c r="G4619">
        <f>_xlfn.XLOOKUP($A4619,Load!$B:$B,Load!H:H,0,)</f>
        <v>0</v>
      </c>
      <c r="H4619">
        <f>_xlfn.XLOOKUP($A4619,Load!$B:$B,Load!I:I,0,)</f>
        <v>0</v>
      </c>
      <c r="I4619">
        <f>_xlfn.XLOOKUP($A4619,Load!$B:$B,Load!J:J,0,)</f>
        <v>0</v>
      </c>
      <c r="J4619">
        <f>_xlfn.XLOOKUP($A4619,Load!$B:$B,Load!K:K,0,)</f>
        <v>0</v>
      </c>
      <c r="K4619">
        <f>_xlfn.XLOOKUP($A4619,Load!$B:$B,Load!L:L,0,)</f>
        <v>0</v>
      </c>
      <c r="L4619">
        <f>_xlfn.XLOOKUP($A4619,Load!$B:$B,Load!M:M,0,)</f>
        <v>0</v>
      </c>
    </row>
    <row r="4620" spans="1:12" x14ac:dyDescent="0.25">
      <c r="B4620">
        <f>_xlfn.XLOOKUP($A4620,Load!$B:$B,Load!C:C,0,)</f>
        <v>0</v>
      </c>
      <c r="C4620">
        <f>_xlfn.XLOOKUP($A4620,Load!$B:$B,Load!D:D,0,)</f>
        <v>0</v>
      </c>
      <c r="D4620">
        <f>_xlfn.XLOOKUP($A4620,Load!$B:$B,Load!E:E,0,)</f>
        <v>0</v>
      </c>
      <c r="E4620">
        <f>_xlfn.XLOOKUP($A4620,Load!$B:$B,Load!F:F,0,)</f>
        <v>0</v>
      </c>
      <c r="F4620">
        <f>_xlfn.XLOOKUP($A4620,Load!$B:$B,Load!G:G,0,)</f>
        <v>0</v>
      </c>
      <c r="G4620">
        <f>_xlfn.XLOOKUP($A4620,Load!$B:$B,Load!H:H,0,)</f>
        <v>0</v>
      </c>
      <c r="H4620">
        <f>_xlfn.XLOOKUP($A4620,Load!$B:$B,Load!I:I,0,)</f>
        <v>0</v>
      </c>
      <c r="I4620">
        <f>_xlfn.XLOOKUP($A4620,Load!$B:$B,Load!J:J,0,)</f>
        <v>0</v>
      </c>
      <c r="J4620">
        <f>_xlfn.XLOOKUP($A4620,Load!$B:$B,Load!K:K,0,)</f>
        <v>0</v>
      </c>
      <c r="K4620">
        <f>_xlfn.XLOOKUP($A4620,Load!$B:$B,Load!L:L,0,)</f>
        <v>0</v>
      </c>
      <c r="L4620">
        <f>_xlfn.XLOOKUP($A4620,Load!$B:$B,Load!M:M,0,)</f>
        <v>0</v>
      </c>
    </row>
    <row r="4621" spans="1:12" x14ac:dyDescent="0.25">
      <c r="B4621">
        <f>_xlfn.XLOOKUP($A4621,Load!$B:$B,Load!C:C,0,)</f>
        <v>0</v>
      </c>
      <c r="C4621">
        <f>_xlfn.XLOOKUP($A4621,Load!$B:$B,Load!D:D,0,)</f>
        <v>0</v>
      </c>
      <c r="D4621">
        <f>_xlfn.XLOOKUP($A4621,Load!$B:$B,Load!E:E,0,)</f>
        <v>0</v>
      </c>
      <c r="E4621">
        <f>_xlfn.XLOOKUP($A4621,Load!$B:$B,Load!F:F,0,)</f>
        <v>0</v>
      </c>
      <c r="F4621">
        <f>_xlfn.XLOOKUP($A4621,Load!$B:$B,Load!G:G,0,)</f>
        <v>0</v>
      </c>
      <c r="G4621">
        <f>_xlfn.XLOOKUP($A4621,Load!$B:$B,Load!H:H,0,)</f>
        <v>0</v>
      </c>
      <c r="H4621">
        <f>_xlfn.XLOOKUP($A4621,Load!$B:$B,Load!I:I,0,)</f>
        <v>0</v>
      </c>
      <c r="I4621">
        <f>_xlfn.XLOOKUP($A4621,Load!$B:$B,Load!J:J,0,)</f>
        <v>0</v>
      </c>
      <c r="J4621">
        <f>_xlfn.XLOOKUP($A4621,Load!$B:$B,Load!K:K,0,)</f>
        <v>0</v>
      </c>
      <c r="K4621">
        <f>_xlfn.XLOOKUP($A4621,Load!$B:$B,Load!L:L,0,)</f>
        <v>0</v>
      </c>
      <c r="L4621">
        <f>_xlfn.XLOOKUP($A4621,Load!$B:$B,Load!M:M,0,)</f>
        <v>0</v>
      </c>
    </row>
    <row r="4622" spans="1:12" x14ac:dyDescent="0.25">
      <c r="B4622">
        <f>_xlfn.XLOOKUP($A4622,Load!$B:$B,Load!C:C,0,)</f>
        <v>0</v>
      </c>
      <c r="C4622">
        <f>_xlfn.XLOOKUP($A4622,Load!$B:$B,Load!D:D,0,)</f>
        <v>0</v>
      </c>
      <c r="D4622">
        <f>_xlfn.XLOOKUP($A4622,Load!$B:$B,Load!E:E,0,)</f>
        <v>0</v>
      </c>
      <c r="E4622">
        <f>_xlfn.XLOOKUP($A4622,Load!$B:$B,Load!F:F,0,)</f>
        <v>0</v>
      </c>
      <c r="F4622">
        <f>_xlfn.XLOOKUP($A4622,Load!$B:$B,Load!G:G,0,)</f>
        <v>0</v>
      </c>
      <c r="G4622">
        <f>_xlfn.XLOOKUP($A4622,Load!$B:$B,Load!H:H,0,)</f>
        <v>0</v>
      </c>
      <c r="H4622">
        <f>_xlfn.XLOOKUP($A4622,Load!$B:$B,Load!I:I,0,)</f>
        <v>0</v>
      </c>
      <c r="I4622">
        <f>_xlfn.XLOOKUP($A4622,Load!$B:$B,Load!J:J,0,)</f>
        <v>0</v>
      </c>
      <c r="J4622">
        <f>_xlfn.XLOOKUP($A4622,Load!$B:$B,Load!K:K,0,)</f>
        <v>0</v>
      </c>
      <c r="K4622">
        <f>_xlfn.XLOOKUP($A4622,Load!$B:$B,Load!L:L,0,)</f>
        <v>0</v>
      </c>
      <c r="L4622">
        <f>_xlfn.XLOOKUP($A4622,Load!$B:$B,Load!M:M,0,)</f>
        <v>0</v>
      </c>
    </row>
    <row r="4623" spans="1:12" x14ac:dyDescent="0.25">
      <c r="B4623">
        <f>_xlfn.XLOOKUP($A4623,Load!$B:$B,Load!C:C,0,)</f>
        <v>0</v>
      </c>
      <c r="C4623">
        <f>_xlfn.XLOOKUP($A4623,Load!$B:$B,Load!D:D,0,)</f>
        <v>0</v>
      </c>
      <c r="D4623">
        <f>_xlfn.XLOOKUP($A4623,Load!$B:$B,Load!E:E,0,)</f>
        <v>0</v>
      </c>
      <c r="E4623">
        <f>_xlfn.XLOOKUP($A4623,Load!$B:$B,Load!F:F,0,)</f>
        <v>0</v>
      </c>
      <c r="F4623">
        <f>_xlfn.XLOOKUP($A4623,Load!$B:$B,Load!G:G,0,)</f>
        <v>0</v>
      </c>
      <c r="G4623">
        <f>_xlfn.XLOOKUP($A4623,Load!$B:$B,Load!H:H,0,)</f>
        <v>0</v>
      </c>
      <c r="H4623">
        <f>_xlfn.XLOOKUP($A4623,Load!$B:$B,Load!I:I,0,)</f>
        <v>0</v>
      </c>
      <c r="I4623">
        <f>_xlfn.XLOOKUP($A4623,Load!$B:$B,Load!J:J,0,)</f>
        <v>0</v>
      </c>
      <c r="J4623">
        <f>_xlfn.XLOOKUP($A4623,Load!$B:$B,Load!K:K,0,)</f>
        <v>0</v>
      </c>
      <c r="K4623">
        <f>_xlfn.XLOOKUP($A4623,Load!$B:$B,Load!L:L,0,)</f>
        <v>0</v>
      </c>
      <c r="L4623">
        <f>_xlfn.XLOOKUP($A4623,Load!$B:$B,Load!M:M,0,)</f>
        <v>0</v>
      </c>
    </row>
    <row r="4624" spans="1:12" x14ac:dyDescent="0.25">
      <c r="A4624" t="s">
        <v>262</v>
      </c>
      <c r="B4624" t="str">
        <f>_xlfn.XLOOKUP($A4624,Load!$B:$B,Load!C:C,0,)</f>
        <v>Smart Sweets</v>
      </c>
      <c r="C4624" t="str">
        <f>_xlfn.XLOOKUP($A4624,Load!$B:$B,Load!D:D,0,)</f>
        <v>Non-Chocolate Candy Only</v>
      </c>
      <c r="D4624" t="str">
        <f>_xlfn.XLOOKUP($A4624,Load!$B:$B,Load!E:E,0,)</f>
        <v>Berry Based (Raspberry, Strawberry, Medley, etc.)</v>
      </c>
      <c r="E4624" t="str">
        <f>_xlfn.XLOOKUP($A4624,Load!$B:$B,Load!F:F,0,)</f>
        <v>Lollipop (regular or lollipop rings)</v>
      </c>
      <c r="F4624" t="str">
        <f>_xlfn.XLOOKUP($A4624,Load!$B:$B,Load!G:G,0,)</f>
        <v>Single Pack</v>
      </c>
      <c r="G4624" t="str">
        <f>_xlfn.XLOOKUP($A4624,Load!$B:$B,Load!H:H,0,)</f>
        <v>Peg Bag</v>
      </c>
      <c r="H4624" t="str">
        <f>_xlfn.XLOOKUP($A4624,Load!$B:$B,Load!I:I,0,)</f>
        <v>Everyday Candy Shapes (like Original, Gummy bear, Fruit, Jewels, etc.)</v>
      </c>
      <c r="I4624" t="str">
        <f>_xlfn.XLOOKUP($A4624,Load!$B:$B,Load!J:J,0,)</f>
        <v>Seasonal Graphics (Like Bat, Ghost, Pumpkin, Fall Leaves, Eyeballs, etc.)</v>
      </c>
      <c r="J4624" t="str">
        <f>_xlfn.XLOOKUP($A4624,Load!$B:$B,Load!K:K,0,)</f>
        <v>Regular Lollipop size (on sticks or rings)</v>
      </c>
      <c r="K4624" t="str">
        <f>_xlfn.XLOOKUP($A4624,Load!$B:$B,Load!L:L,0,)</f>
        <v>Regular/Original Wrapping</v>
      </c>
      <c r="L4624" t="str">
        <f>_xlfn.XLOOKUP($A4624,Load!$B:$B,Load!M:M,0,)</f>
        <v>Single Brand / Variety Flavors or Form</v>
      </c>
    </row>
    <row r="4625" spans="1:12" x14ac:dyDescent="0.25">
      <c r="B4625">
        <f>_xlfn.XLOOKUP($A4625,Load!$B:$B,Load!C:C,0,)</f>
        <v>0</v>
      </c>
      <c r="C4625">
        <f>_xlfn.XLOOKUP($A4625,Load!$B:$B,Load!D:D,0,)</f>
        <v>0</v>
      </c>
      <c r="D4625">
        <f>_xlfn.XLOOKUP($A4625,Load!$B:$B,Load!E:E,0,)</f>
        <v>0</v>
      </c>
      <c r="E4625">
        <f>_xlfn.XLOOKUP($A4625,Load!$B:$B,Load!F:F,0,)</f>
        <v>0</v>
      </c>
      <c r="F4625">
        <f>_xlfn.XLOOKUP($A4625,Load!$B:$B,Load!G:G,0,)</f>
        <v>0</v>
      </c>
      <c r="G4625">
        <f>_xlfn.XLOOKUP($A4625,Load!$B:$B,Load!H:H,0,)</f>
        <v>0</v>
      </c>
      <c r="H4625">
        <f>_xlfn.XLOOKUP($A4625,Load!$B:$B,Load!I:I,0,)</f>
        <v>0</v>
      </c>
      <c r="I4625">
        <f>_xlfn.XLOOKUP($A4625,Load!$B:$B,Load!J:J,0,)</f>
        <v>0</v>
      </c>
      <c r="J4625">
        <f>_xlfn.XLOOKUP($A4625,Load!$B:$B,Load!K:K,0,)</f>
        <v>0</v>
      </c>
      <c r="K4625">
        <f>_xlfn.XLOOKUP($A4625,Load!$B:$B,Load!L:L,0,)</f>
        <v>0</v>
      </c>
      <c r="L4625">
        <f>_xlfn.XLOOKUP($A4625,Load!$B:$B,Load!M:M,0,)</f>
        <v>0</v>
      </c>
    </row>
    <row r="4626" spans="1:12" x14ac:dyDescent="0.25">
      <c r="A4626" t="s">
        <v>267</v>
      </c>
      <c r="B4626" t="str">
        <f>_xlfn.XLOOKUP($A4626,Load!$B:$B,Load!C:C,0,)</f>
        <v>Sour Patch Kids</v>
      </c>
      <c r="C4626" t="str">
        <f>_xlfn.XLOOKUP($A4626,Load!$B:$B,Load!D:D,0,)</f>
        <v>Non-Chocolate Candy Only</v>
      </c>
      <c r="D4626" t="str">
        <f>_xlfn.XLOOKUP($A4626,Load!$B:$B,Load!E:E,0,)</f>
        <v>Sour</v>
      </c>
      <c r="E4626" t="str">
        <f>_xlfn.XLOOKUP($A4626,Load!$B:$B,Load!F:F,0,)</f>
        <v>Chewy</v>
      </c>
      <c r="F4626" t="str">
        <f>_xlfn.XLOOKUP($A4626,Load!$B:$B,Load!G:G,0,)</f>
        <v>Small Multipack (Less than 40 ct)</v>
      </c>
      <c r="G4626" t="str">
        <f>_xlfn.XLOOKUP($A4626,Load!$B:$B,Load!H:H,0,)</f>
        <v>Laydown Bag</v>
      </c>
      <c r="H4626" t="str">
        <f>_xlfn.XLOOKUP($A4626,Load!$B:$B,Load!I:I,0,)</f>
        <v>Everyday Candy Shapes (like Original, Gummy bear, Fruit, Jewels, etc.)</v>
      </c>
      <c r="I4626" t="str">
        <f>_xlfn.XLOOKUP($A4626,Load!$B:$B,Load!J:J,0,)</f>
        <v>Seasonal Graphics (Like Bat, Ghost, Pumpkin, Fall Leaves, Eyeballs, etc.)</v>
      </c>
      <c r="J4626" t="str">
        <f>_xlfn.XLOOKUP($A4626,Load!$B:$B,Load!K:K,0,)</f>
        <v>Small Pieces (Tiny bite size candies)</v>
      </c>
      <c r="K4626" t="str">
        <f>_xlfn.XLOOKUP($A4626,Load!$B:$B,Load!L:L,0,)</f>
        <v>Regular/Original Wrapping</v>
      </c>
      <c r="L4626" t="str">
        <f>_xlfn.XLOOKUP($A4626,Load!$B:$B,Load!M:M,0,)</f>
        <v>Single Brand / Variety Flavors or Form</v>
      </c>
    </row>
    <row r="4627" spans="1:12" x14ac:dyDescent="0.25">
      <c r="A4627" t="s">
        <v>278</v>
      </c>
      <c r="B4627" t="str">
        <f>_xlfn.XLOOKUP($A4627,Load!$B:$B,Load!C:C,0,)</f>
        <v>Sour Patch Kids</v>
      </c>
      <c r="C4627" t="str">
        <f>_xlfn.XLOOKUP($A4627,Load!$B:$B,Load!D:D,0,)</f>
        <v>Non-Chocolate Candy Only</v>
      </c>
      <c r="D4627" t="str">
        <f>_xlfn.XLOOKUP($A4627,Load!$B:$B,Load!E:E,0,)</f>
        <v>Sour</v>
      </c>
      <c r="E4627" t="str">
        <f>_xlfn.XLOOKUP($A4627,Load!$B:$B,Load!F:F,0,)</f>
        <v>Chewy</v>
      </c>
      <c r="F4627" t="str">
        <f>_xlfn.XLOOKUP($A4627,Load!$B:$B,Load!G:G,0,)</f>
        <v>Single Pack</v>
      </c>
      <c r="G4627" t="str">
        <f>_xlfn.XLOOKUP($A4627,Load!$B:$B,Load!H:H,0,)</f>
        <v>Peg Bag</v>
      </c>
      <c r="H4627" t="str">
        <f>_xlfn.XLOOKUP($A4627,Load!$B:$B,Load!I:I,0,)</f>
        <v>Everyday Candy Shapes (like Original, Gummy bear, Fruit, Jewels, etc.)</v>
      </c>
      <c r="I4627" t="str">
        <f>_xlfn.XLOOKUP($A4627,Load!$B:$B,Load!J:J,0,)</f>
        <v>Seasonal Graphics (Like Bat, Ghost, Pumpkin, Fall Leaves, Eyeballs, etc.)</v>
      </c>
      <c r="J4627" t="str">
        <f>_xlfn.XLOOKUP($A4627,Load!$B:$B,Load!K:K,0,)</f>
        <v>Small Pieces (Tiny bite size candies)</v>
      </c>
      <c r="K4627" t="str">
        <f>_xlfn.XLOOKUP($A4627,Load!$B:$B,Load!L:L,0,)</f>
        <v>Regular/Original Wrapping</v>
      </c>
      <c r="L4627" t="str">
        <f>_xlfn.XLOOKUP($A4627,Load!$B:$B,Load!M:M,0,)</f>
        <v>Single Brand / Variety Flavors or Form</v>
      </c>
    </row>
    <row r="4628" spans="1:12" x14ac:dyDescent="0.25">
      <c r="A4628" t="s">
        <v>136</v>
      </c>
      <c r="B4628" t="str">
        <f>_xlfn.XLOOKUP($A4628,Load!$B:$B,Load!C:C,0,)</f>
        <v>Hershey's Variety Pack + Haribo</v>
      </c>
      <c r="C4628" t="str">
        <f>_xlfn.XLOOKUP($A4628,Load!$B:$B,Load!D:D,0,)</f>
        <v>Non-Chocolate Candy Only</v>
      </c>
      <c r="D4628" t="str">
        <f>_xlfn.XLOOKUP($A4628,Load!$B:$B,Load!E:E,0,)</f>
        <v>Variety / Mixed Flavors (Fruity, Sour, Seasonal Flavors)</v>
      </c>
      <c r="E4628" t="str">
        <f>_xlfn.XLOOKUP($A4628,Load!$B:$B,Load!F:F,0,)</f>
        <v>Mixed / Combo Packs (Gummy, Chewy, Taffy, etc.)</v>
      </c>
      <c r="F4628" t="str">
        <f>_xlfn.XLOOKUP($A4628,Load!$B:$B,Load!G:G,0,)</f>
        <v>Medium Multipack (40–80 ct)</v>
      </c>
      <c r="G4628" t="str">
        <f>_xlfn.XLOOKUP($A4628,Load!$B:$B,Load!H:H,0,)</f>
        <v>Laydown Bag</v>
      </c>
      <c r="H4628" t="str">
        <f>_xlfn.XLOOKUP($A4628,Load!$B:$B,Load!I:I,0,)</f>
        <v>Everyday Candy Shapes (like Original, Gummy bear, Fruit, Jewels, etc.)</v>
      </c>
      <c r="I4628" t="str">
        <f>_xlfn.XLOOKUP($A4628,Load!$B:$B,Load!J:J,0,)</f>
        <v>Seasonal Graphics (Like Bat, Ghost, Pumpkin, Fall Leaves, Eyeballs, etc.)</v>
      </c>
      <c r="J4628" t="str">
        <f>_xlfn.XLOOKUP($A4628,Load!$B:$B,Load!K:K,0,)</f>
        <v xml:space="preserve">Variety Candy Sizes </v>
      </c>
      <c r="K4628" t="str">
        <f>_xlfn.XLOOKUP($A4628,Load!$B:$B,Load!L:L,0,)</f>
        <v>Regular/Original Wrapping</v>
      </c>
      <c r="L4628" t="str">
        <f>_xlfn.XLOOKUP($A4628,Load!$B:$B,Load!M:M,0,)</f>
        <v>Multiple Brands / Variety Flavors or Form</v>
      </c>
    </row>
    <row r="4629" spans="1:12" x14ac:dyDescent="0.25">
      <c r="B4629">
        <f>_xlfn.XLOOKUP($A4629,Load!$B:$B,Load!C:C,0,)</f>
        <v>0</v>
      </c>
      <c r="C4629">
        <f>_xlfn.XLOOKUP($A4629,Load!$B:$B,Load!D:D,0,)</f>
        <v>0</v>
      </c>
      <c r="D4629">
        <f>_xlfn.XLOOKUP($A4629,Load!$B:$B,Load!E:E,0,)</f>
        <v>0</v>
      </c>
      <c r="E4629">
        <f>_xlfn.XLOOKUP($A4629,Load!$B:$B,Load!F:F,0,)</f>
        <v>0</v>
      </c>
      <c r="F4629">
        <f>_xlfn.XLOOKUP($A4629,Load!$B:$B,Load!G:G,0,)</f>
        <v>0</v>
      </c>
      <c r="G4629">
        <f>_xlfn.XLOOKUP($A4629,Load!$B:$B,Load!H:H,0,)</f>
        <v>0</v>
      </c>
      <c r="H4629">
        <f>_xlfn.XLOOKUP($A4629,Load!$B:$B,Load!I:I,0,)</f>
        <v>0</v>
      </c>
      <c r="I4629">
        <f>_xlfn.XLOOKUP($A4629,Load!$B:$B,Load!J:J,0,)</f>
        <v>0</v>
      </c>
      <c r="J4629">
        <f>_xlfn.XLOOKUP($A4629,Load!$B:$B,Load!K:K,0,)</f>
        <v>0</v>
      </c>
      <c r="K4629">
        <f>_xlfn.XLOOKUP($A4629,Load!$B:$B,Load!L:L,0,)</f>
        <v>0</v>
      </c>
      <c r="L4629">
        <f>_xlfn.XLOOKUP($A4629,Load!$B:$B,Load!M:M,0,)</f>
        <v>0</v>
      </c>
    </row>
    <row r="4630" spans="1:12" x14ac:dyDescent="0.25">
      <c r="B4630">
        <f>_xlfn.XLOOKUP($A4630,Load!$B:$B,Load!C:C,0,)</f>
        <v>0</v>
      </c>
      <c r="C4630">
        <f>_xlfn.XLOOKUP($A4630,Load!$B:$B,Load!D:D,0,)</f>
        <v>0</v>
      </c>
      <c r="D4630">
        <f>_xlfn.XLOOKUP($A4630,Load!$B:$B,Load!E:E,0,)</f>
        <v>0</v>
      </c>
      <c r="E4630">
        <f>_xlfn.XLOOKUP($A4630,Load!$B:$B,Load!F:F,0,)</f>
        <v>0</v>
      </c>
      <c r="F4630">
        <f>_xlfn.XLOOKUP($A4630,Load!$B:$B,Load!G:G,0,)</f>
        <v>0</v>
      </c>
      <c r="G4630">
        <f>_xlfn.XLOOKUP($A4630,Load!$B:$B,Load!H:H,0,)</f>
        <v>0</v>
      </c>
      <c r="H4630">
        <f>_xlfn.XLOOKUP($A4630,Load!$B:$B,Load!I:I,0,)</f>
        <v>0</v>
      </c>
      <c r="I4630">
        <f>_xlfn.XLOOKUP($A4630,Load!$B:$B,Load!J:J,0,)</f>
        <v>0</v>
      </c>
      <c r="J4630">
        <f>_xlfn.XLOOKUP($A4630,Load!$B:$B,Load!K:K,0,)</f>
        <v>0</v>
      </c>
      <c r="K4630">
        <f>_xlfn.XLOOKUP($A4630,Load!$B:$B,Load!L:L,0,)</f>
        <v>0</v>
      </c>
      <c r="L4630">
        <f>_xlfn.XLOOKUP($A4630,Load!$B:$B,Load!M:M,0,)</f>
        <v>0</v>
      </c>
    </row>
    <row r="4631" spans="1:12" x14ac:dyDescent="0.25">
      <c r="B4631">
        <f>_xlfn.XLOOKUP($A4631,Load!$B:$B,Load!C:C,0,)</f>
        <v>0</v>
      </c>
      <c r="C4631">
        <f>_xlfn.XLOOKUP($A4631,Load!$B:$B,Load!D:D,0,)</f>
        <v>0</v>
      </c>
      <c r="D4631">
        <f>_xlfn.XLOOKUP($A4631,Load!$B:$B,Load!E:E,0,)</f>
        <v>0</v>
      </c>
      <c r="E4631">
        <f>_xlfn.XLOOKUP($A4631,Load!$B:$B,Load!F:F,0,)</f>
        <v>0</v>
      </c>
      <c r="F4631">
        <f>_xlfn.XLOOKUP($A4631,Load!$B:$B,Load!G:G,0,)</f>
        <v>0</v>
      </c>
      <c r="G4631">
        <f>_xlfn.XLOOKUP($A4631,Load!$B:$B,Load!H:H,0,)</f>
        <v>0</v>
      </c>
      <c r="H4631">
        <f>_xlfn.XLOOKUP($A4631,Load!$B:$B,Load!I:I,0,)</f>
        <v>0</v>
      </c>
      <c r="I4631">
        <f>_xlfn.XLOOKUP($A4631,Load!$B:$B,Load!J:J,0,)</f>
        <v>0</v>
      </c>
      <c r="J4631">
        <f>_xlfn.XLOOKUP($A4631,Load!$B:$B,Load!K:K,0,)</f>
        <v>0</v>
      </c>
      <c r="K4631">
        <f>_xlfn.XLOOKUP($A4631,Load!$B:$B,Load!L:L,0,)</f>
        <v>0</v>
      </c>
      <c r="L4631">
        <f>_xlfn.XLOOKUP($A4631,Load!$B:$B,Load!M:M,0,)</f>
        <v>0</v>
      </c>
    </row>
    <row r="4632" spans="1:12" x14ac:dyDescent="0.25">
      <c r="A4632" t="s">
        <v>6</v>
      </c>
      <c r="B4632" t="str">
        <f>_xlfn.XLOOKUP($A4632,Load!$B:$B,Load!C:C,0,)</f>
        <v>Airheads</v>
      </c>
      <c r="C4632" t="str">
        <f>_xlfn.XLOOKUP($A4632,Load!$B:$B,Load!D:D,0,)</f>
        <v>Non-Chocolate Candy Only</v>
      </c>
      <c r="D4632" t="str">
        <f>_xlfn.XLOOKUP($A4632,Load!$B:$B,Load!E:E,0,)</f>
        <v>Sour</v>
      </c>
      <c r="E4632" t="str">
        <f>_xlfn.XLOOKUP($A4632,Load!$B:$B,Load!F:F,0,)</f>
        <v>Taffy</v>
      </c>
      <c r="F4632" t="str">
        <f>_xlfn.XLOOKUP($A4632,Load!$B:$B,Load!G:G,0,)</f>
        <v>Large Multipack (More than 80 ct)</v>
      </c>
      <c r="G4632" t="str">
        <f>_xlfn.XLOOKUP($A4632,Load!$B:$B,Load!H:H,0,)</f>
        <v>Laydown Bag</v>
      </c>
      <c r="H4632" t="str">
        <f>_xlfn.XLOOKUP($A4632,Load!$B:$B,Load!I:I,0,)</f>
        <v>Everyday Candy Shapes (like Original, Gummy bear, Fruit, Jewels, etc.)</v>
      </c>
      <c r="I4632" t="str">
        <f>_xlfn.XLOOKUP($A4632,Load!$B:$B,Load!J:J,0,)</f>
        <v>Everyday Graphics</v>
      </c>
      <c r="J4632" t="str">
        <f>_xlfn.XLOOKUP($A4632,Load!$B:$B,Load!K:K,0,)</f>
        <v>Fun Size / Treat Size</v>
      </c>
      <c r="K4632" t="str">
        <f>_xlfn.XLOOKUP($A4632,Load!$B:$B,Load!L:L,0,)</f>
        <v>Regular/Original Wrapping</v>
      </c>
      <c r="L4632" t="str">
        <f>_xlfn.XLOOKUP($A4632,Load!$B:$B,Load!M:M,0,)</f>
        <v>Single Brand / Variety Flavors or Form</v>
      </c>
    </row>
    <row r="4633" spans="1:12" x14ac:dyDescent="0.25">
      <c r="A4633" t="s">
        <v>112</v>
      </c>
      <c r="B4633" t="str">
        <f>_xlfn.XLOOKUP($A4633,Load!$B:$B,Load!C:C,0,)</f>
        <v>Frankford</v>
      </c>
      <c r="C4633" t="str">
        <f>_xlfn.XLOOKUP($A4633,Load!$B:$B,Load!D:D,0,)</f>
        <v>Non-Chocolate Candy Only</v>
      </c>
      <c r="D4633" t="str">
        <f>_xlfn.XLOOKUP($A4633,Load!$B:$B,Load!E:E,0,)</f>
        <v>Sour</v>
      </c>
      <c r="E4633" t="str">
        <f>_xlfn.XLOOKUP($A4633,Load!$B:$B,Load!F:F,0,)</f>
        <v>Mixed / Combo Packs (Gummy, Chewy, Taffy, etc.)</v>
      </c>
      <c r="F4633" t="str">
        <f>_xlfn.XLOOKUP($A4633,Load!$B:$B,Load!G:G,0,)</f>
        <v>Large Multipack (More than 80 ct)</v>
      </c>
      <c r="G4633" t="str">
        <f>_xlfn.XLOOKUP($A4633,Load!$B:$B,Load!H:H,0,)</f>
        <v>Laydown Bag</v>
      </c>
      <c r="H4633" t="str">
        <f>_xlfn.XLOOKUP($A4633,Load!$B:$B,Load!I:I,0,)</f>
        <v>Everyday Candy Shapes (like Original, Gummy bear, Fruit, Jewels, etc.)</v>
      </c>
      <c r="I4633" t="str">
        <f>_xlfn.XLOOKUP($A4633,Load!$B:$B,Load!J:J,0,)</f>
        <v>Seasonal Graphics (Like Bat, Ghost, Pumpkin, Fall Leaves, Eyeballs, etc.)</v>
      </c>
      <c r="J4633" t="str">
        <f>_xlfn.XLOOKUP($A4633,Load!$B:$B,Load!K:K,0,)</f>
        <v>Small Pieces (Tiny bite size candies)</v>
      </c>
      <c r="K4633" t="str">
        <f>_xlfn.XLOOKUP($A4633,Load!$B:$B,Load!L:L,0,)</f>
        <v>Regular/Original Wrapping</v>
      </c>
      <c r="L4633" t="str">
        <f>_xlfn.XLOOKUP($A4633,Load!$B:$B,Load!M:M,0,)</f>
        <v>Multiple Brands / Variety Flavors or Form</v>
      </c>
    </row>
    <row r="4634" spans="1:12" x14ac:dyDescent="0.25">
      <c r="A4634" t="s">
        <v>204</v>
      </c>
      <c r="B4634" t="str">
        <f>_xlfn.XLOOKUP($A4634,Load!$B:$B,Load!C:C,0,)</f>
        <v>Mars Variety Pack</v>
      </c>
      <c r="C4634" t="str">
        <f>_xlfn.XLOOKUP($A4634,Load!$B:$B,Load!D:D,0,)</f>
        <v>Mix of Chocolate and Non-Chocolate Candy</v>
      </c>
      <c r="D4634" t="str">
        <f>_xlfn.XLOOKUP($A4634,Load!$B:$B,Load!E:E,0,)</f>
        <v>Variety / Mixed Flavors (Fruity, Sour, Seasonal Flavors)</v>
      </c>
      <c r="E4634" t="str">
        <f>_xlfn.XLOOKUP($A4634,Load!$B:$B,Load!F:F,0,)</f>
        <v>Mixed / Combo Packs (Gummy, Chewy, Taffy, etc.)</v>
      </c>
      <c r="F4634" t="str">
        <f>_xlfn.XLOOKUP($A4634,Load!$B:$B,Load!G:G,0,)</f>
        <v>Medium Multipack (40–80 ct)</v>
      </c>
      <c r="G4634" t="str">
        <f>_xlfn.XLOOKUP($A4634,Load!$B:$B,Load!H:H,0,)</f>
        <v>Stand-Up Bag</v>
      </c>
      <c r="H4634" t="str">
        <f>_xlfn.XLOOKUP($A4634,Load!$B:$B,Load!I:I,0,)</f>
        <v>Everyday Candy Shapes (like Original, Gummy bear, Fruit, Jewels, etc.)</v>
      </c>
      <c r="I4634" t="str">
        <f>_xlfn.XLOOKUP($A4634,Load!$B:$B,Load!J:J,0,)</f>
        <v>Everyday Graphics</v>
      </c>
      <c r="J4634" t="str">
        <f>_xlfn.XLOOKUP($A4634,Load!$B:$B,Load!K:K,0,)</f>
        <v>Fun Size / Treat Size</v>
      </c>
      <c r="K4634" t="str">
        <f>_xlfn.XLOOKUP($A4634,Load!$B:$B,Load!L:L,0,)</f>
        <v>Regular/Original Wrapping</v>
      </c>
      <c r="L4634" t="str">
        <f>_xlfn.XLOOKUP($A4634,Load!$B:$B,Load!M:M,0,)</f>
        <v>Multiple Brands / Variety Flavors or Form</v>
      </c>
    </row>
    <row r="4635" spans="1:12" x14ac:dyDescent="0.25">
      <c r="A4635" t="s">
        <v>174</v>
      </c>
      <c r="B4635" t="str">
        <f>_xlfn.XLOOKUP($A4635,Load!$B:$B,Load!C:C,0,)</f>
        <v>Mars Variety Pack</v>
      </c>
      <c r="C4635" t="str">
        <f>_xlfn.XLOOKUP($A4635,Load!$B:$B,Load!D:D,0,)</f>
        <v>Non-Chocolate Candy Only</v>
      </c>
      <c r="D4635" t="str">
        <f>_xlfn.XLOOKUP($A4635,Load!$B:$B,Load!E:E,0,)</f>
        <v>Variety / Mixed Flavors (Fruity, Sour, Seasonal Flavors)</v>
      </c>
      <c r="E4635" t="str">
        <f>_xlfn.XLOOKUP($A4635,Load!$B:$B,Load!F:F,0,)</f>
        <v>Mixed / Combo Packs (Gummy, Chewy, Taffy, etc.)</v>
      </c>
      <c r="F4635" t="str">
        <f>_xlfn.XLOOKUP($A4635,Load!$B:$B,Load!G:G,0,)</f>
        <v>Medium Multipack (40–80 ct)</v>
      </c>
      <c r="G4635" t="str">
        <f>_xlfn.XLOOKUP($A4635,Load!$B:$B,Load!H:H,0,)</f>
        <v>Stand-Up Bag</v>
      </c>
      <c r="H4635" t="str">
        <f>_xlfn.XLOOKUP($A4635,Load!$B:$B,Load!I:I,0,)</f>
        <v>Everyday Candy Shapes (like Original, Gummy bear, Fruit, Jewels, etc.)</v>
      </c>
      <c r="I4635" t="str">
        <f>_xlfn.XLOOKUP($A4635,Load!$B:$B,Load!J:J,0,)</f>
        <v>Seasonal Graphics (Like Bat, Ghost, Pumpkin, Fall Leaves, Eyeballs, etc.)</v>
      </c>
      <c r="J4635" t="str">
        <f>_xlfn.XLOOKUP($A4635,Load!$B:$B,Load!K:K,0,)</f>
        <v>Fun Size / Treat Size</v>
      </c>
      <c r="K4635" t="str">
        <f>_xlfn.XLOOKUP($A4635,Load!$B:$B,Load!L:L,0,)</f>
        <v>Regular/Original Wrapping</v>
      </c>
      <c r="L4635" t="str">
        <f>_xlfn.XLOOKUP($A4635,Load!$B:$B,Load!M:M,0,)</f>
        <v>Multiple Brands / Variety Flavors or Form</v>
      </c>
    </row>
    <row r="4636" spans="1:12" x14ac:dyDescent="0.25">
      <c r="B4636">
        <f>_xlfn.XLOOKUP($A4636,Load!$B:$B,Load!C:C,0,)</f>
        <v>0</v>
      </c>
      <c r="C4636">
        <f>_xlfn.XLOOKUP($A4636,Load!$B:$B,Load!D:D,0,)</f>
        <v>0</v>
      </c>
      <c r="D4636">
        <f>_xlfn.XLOOKUP($A4636,Load!$B:$B,Load!E:E,0,)</f>
        <v>0</v>
      </c>
      <c r="E4636">
        <f>_xlfn.XLOOKUP($A4636,Load!$B:$B,Load!F:F,0,)</f>
        <v>0</v>
      </c>
      <c r="F4636">
        <f>_xlfn.XLOOKUP($A4636,Load!$B:$B,Load!G:G,0,)</f>
        <v>0</v>
      </c>
      <c r="G4636">
        <f>_xlfn.XLOOKUP($A4636,Load!$B:$B,Load!H:H,0,)</f>
        <v>0</v>
      </c>
      <c r="H4636">
        <f>_xlfn.XLOOKUP($A4636,Load!$B:$B,Load!I:I,0,)</f>
        <v>0</v>
      </c>
      <c r="I4636">
        <f>_xlfn.XLOOKUP($A4636,Load!$B:$B,Load!J:J,0,)</f>
        <v>0</v>
      </c>
      <c r="J4636">
        <f>_xlfn.XLOOKUP($A4636,Load!$B:$B,Load!K:K,0,)</f>
        <v>0</v>
      </c>
      <c r="K4636">
        <f>_xlfn.XLOOKUP($A4636,Load!$B:$B,Load!L:L,0,)</f>
        <v>0</v>
      </c>
      <c r="L4636">
        <f>_xlfn.XLOOKUP($A4636,Load!$B:$B,Load!M:M,0,)</f>
        <v>0</v>
      </c>
    </row>
    <row r="4637" spans="1:12" x14ac:dyDescent="0.25">
      <c r="B4637">
        <f>_xlfn.XLOOKUP($A4637,Load!$B:$B,Load!C:C,0,)</f>
        <v>0</v>
      </c>
      <c r="C4637">
        <f>_xlfn.XLOOKUP($A4637,Load!$B:$B,Load!D:D,0,)</f>
        <v>0</v>
      </c>
      <c r="D4637">
        <f>_xlfn.XLOOKUP($A4637,Load!$B:$B,Load!E:E,0,)</f>
        <v>0</v>
      </c>
      <c r="E4637">
        <f>_xlfn.XLOOKUP($A4637,Load!$B:$B,Load!F:F,0,)</f>
        <v>0</v>
      </c>
      <c r="F4637">
        <f>_xlfn.XLOOKUP($A4637,Load!$B:$B,Load!G:G,0,)</f>
        <v>0</v>
      </c>
      <c r="G4637">
        <f>_xlfn.XLOOKUP($A4637,Load!$B:$B,Load!H:H,0,)</f>
        <v>0</v>
      </c>
      <c r="H4637">
        <f>_xlfn.XLOOKUP($A4637,Load!$B:$B,Load!I:I,0,)</f>
        <v>0</v>
      </c>
      <c r="I4637">
        <f>_xlfn.XLOOKUP($A4637,Load!$B:$B,Load!J:J,0,)</f>
        <v>0</v>
      </c>
      <c r="J4637">
        <f>_xlfn.XLOOKUP($A4637,Load!$B:$B,Load!K:K,0,)</f>
        <v>0</v>
      </c>
      <c r="K4637">
        <f>_xlfn.XLOOKUP($A4637,Load!$B:$B,Load!L:L,0,)</f>
        <v>0</v>
      </c>
      <c r="L4637">
        <f>_xlfn.XLOOKUP($A4637,Load!$B:$B,Load!M:M,0,)</f>
        <v>0</v>
      </c>
    </row>
    <row r="4638" spans="1:12" x14ac:dyDescent="0.25">
      <c r="A4638" t="s">
        <v>232</v>
      </c>
      <c r="B4638" t="str">
        <f>_xlfn.XLOOKUP($A4638,Load!$B:$B,Load!C:C,0,)</f>
        <v>Nerds</v>
      </c>
      <c r="C4638" t="str">
        <f>_xlfn.XLOOKUP($A4638,Load!$B:$B,Load!D:D,0,)</f>
        <v>Non-Chocolate Candy Only</v>
      </c>
      <c r="D4638" t="str">
        <f>_xlfn.XLOOKUP($A4638,Load!$B:$B,Load!E:E,0,)</f>
        <v>Berry Based (Raspberry, Strawberry, Medley, etc.)</v>
      </c>
      <c r="E4638" t="str">
        <f>_xlfn.XLOOKUP($A4638,Load!$B:$B,Load!F:F,0,)</f>
        <v>Candy Pieces / Bites</v>
      </c>
      <c r="F4638" t="str">
        <f>_xlfn.XLOOKUP($A4638,Load!$B:$B,Load!G:G,0,)</f>
        <v>Single Pack</v>
      </c>
      <c r="G4638" t="str">
        <f>_xlfn.XLOOKUP($A4638,Load!$B:$B,Load!H:H,0,)</f>
        <v>Laydown Bag</v>
      </c>
      <c r="H4638" t="str">
        <f>_xlfn.XLOOKUP($A4638,Load!$B:$B,Load!I:I,0,)</f>
        <v>Everyday Candy Shapes (like Original, Gummy bear, Fruit, Jewels, etc.)</v>
      </c>
      <c r="I4638" t="str">
        <f>_xlfn.XLOOKUP($A4638,Load!$B:$B,Load!J:J,0,)</f>
        <v>Seasonal Graphics (Like Bat, Ghost, Pumpkin, Fall Leaves, Eyeballs, etc.)</v>
      </c>
      <c r="J4638" t="str">
        <f>_xlfn.XLOOKUP($A4638,Load!$B:$B,Load!K:K,0,)</f>
        <v>Small Pieces (Tiny bite size candies)</v>
      </c>
      <c r="K4638" t="str">
        <f>_xlfn.XLOOKUP($A4638,Load!$B:$B,Load!L:L,0,)</f>
        <v>Unwrapped</v>
      </c>
      <c r="L4638" t="str">
        <f>_xlfn.XLOOKUP($A4638,Load!$B:$B,Load!M:M,0,)</f>
        <v>Single Brand / Variety Flavors or Form</v>
      </c>
    </row>
    <row r="4639" spans="1:12" x14ac:dyDescent="0.25">
      <c r="A4639" t="s">
        <v>250</v>
      </c>
      <c r="B4639" t="str">
        <f>_xlfn.XLOOKUP($A4639,Load!$B:$B,Load!C:C,0,)</f>
        <v>Rolling Pin</v>
      </c>
      <c r="C4639" t="str">
        <f>_xlfn.XLOOKUP($A4639,Load!$B:$B,Load!D:D,0,)</f>
        <v>Non-Chocolate Candy Only</v>
      </c>
      <c r="D4639" t="str">
        <f>_xlfn.XLOOKUP($A4639,Load!$B:$B,Load!E:E,0,)</f>
        <v>Fall / Seasonal Flavors (pumpkin spice, caramel apple, candy corn)</v>
      </c>
      <c r="E4639" t="str">
        <f>_xlfn.XLOOKUP($A4639,Load!$B:$B,Load!F:F,0,)</f>
        <v>Candy Pieces / Bites</v>
      </c>
      <c r="F4639" t="str">
        <f>_xlfn.XLOOKUP($A4639,Load!$B:$B,Load!G:G,0,)</f>
        <v>Small Multipack (Less than 40 ct)</v>
      </c>
      <c r="G4639" t="str">
        <f>_xlfn.XLOOKUP($A4639,Load!$B:$B,Load!H:H,0,)</f>
        <v>Stand-Up Bag</v>
      </c>
      <c r="H4639" t="str">
        <f>_xlfn.XLOOKUP($A4639,Load!$B:$B,Load!I:I,0,)</f>
        <v>Seasonal Shapes (like pumpkins, candy corn, ghost, bats, etc.)</v>
      </c>
      <c r="I4639" t="str">
        <f>_xlfn.XLOOKUP($A4639,Load!$B:$B,Load!J:J,0,)</f>
        <v>Seasonal Graphics (Like Bat, Ghost, Pumpkin, Fall Leaves, Eyeballs, etc.)</v>
      </c>
      <c r="J4639" t="str">
        <f>_xlfn.XLOOKUP($A4639,Load!$B:$B,Load!K:K,0,)</f>
        <v>Small Pieces (Tiny bite size candies)</v>
      </c>
      <c r="K4639" t="str">
        <f>_xlfn.XLOOKUP($A4639,Load!$B:$B,Load!L:L,0,)</f>
        <v>Unwrapped</v>
      </c>
      <c r="L4639" t="str">
        <f>_xlfn.XLOOKUP($A4639,Load!$B:$B,Load!M:M,0,)</f>
        <v>Single Brand / Variety Flavors or Form</v>
      </c>
    </row>
    <row r="4640" spans="1:12" x14ac:dyDescent="0.25">
      <c r="A4640" t="s">
        <v>342</v>
      </c>
      <c r="B4640" t="str">
        <f>_xlfn.XLOOKUP($A4640,Load!$B:$B,Load!C:C,0,)</f>
        <v>Your Store Brand</v>
      </c>
      <c r="C4640" t="str">
        <f>_xlfn.XLOOKUP($A4640,Load!$B:$B,Load!D:D,0,)</f>
        <v>Non-Chocolate Candy Only</v>
      </c>
      <c r="D4640" t="str">
        <f>_xlfn.XLOOKUP($A4640,Load!$B:$B,Load!E:E,0,)</f>
        <v>Sweet</v>
      </c>
      <c r="E4640" t="str">
        <f>_xlfn.XLOOKUP($A4640,Load!$B:$B,Load!F:F,0,)</f>
        <v>Gummy</v>
      </c>
      <c r="F4640" t="str">
        <f>_xlfn.XLOOKUP($A4640,Load!$B:$B,Load!G:G,0,)</f>
        <v>Single Pack</v>
      </c>
      <c r="G4640" t="str">
        <f>_xlfn.XLOOKUP($A4640,Load!$B:$B,Load!H:H,0,)</f>
        <v>Peg Bag</v>
      </c>
      <c r="H4640" t="str">
        <f>_xlfn.XLOOKUP($A4640,Load!$B:$B,Load!I:I,0,)</f>
        <v>Seasonal Shapes (like pumpkins, candy corn, ghost, bats, etc.)</v>
      </c>
      <c r="I4640" t="str">
        <f>_xlfn.XLOOKUP($A4640,Load!$B:$B,Load!J:J,0,)</f>
        <v>Everyday Graphics</v>
      </c>
      <c r="J4640" t="str">
        <f>_xlfn.XLOOKUP($A4640,Load!$B:$B,Load!K:K,0,)</f>
        <v>Small Pieces (Tiny bite size candies)</v>
      </c>
      <c r="K4640" t="str">
        <f>_xlfn.XLOOKUP($A4640,Load!$B:$B,Load!L:L,0,)</f>
        <v>Unwrapped</v>
      </c>
      <c r="L4640" t="str">
        <f>_xlfn.XLOOKUP($A4640,Load!$B:$B,Load!M:M,0,)</f>
        <v>Single Brand / Single Flavor or Form</v>
      </c>
    </row>
    <row r="4641" spans="1:12" x14ac:dyDescent="0.25">
      <c r="B4641">
        <f>_xlfn.XLOOKUP($A4641,Load!$B:$B,Load!C:C,0,)</f>
        <v>0</v>
      </c>
      <c r="C4641">
        <f>_xlfn.XLOOKUP($A4641,Load!$B:$B,Load!D:D,0,)</f>
        <v>0</v>
      </c>
      <c r="D4641">
        <f>_xlfn.XLOOKUP($A4641,Load!$B:$B,Load!E:E,0,)</f>
        <v>0</v>
      </c>
      <c r="E4641">
        <f>_xlfn.XLOOKUP($A4641,Load!$B:$B,Load!F:F,0,)</f>
        <v>0</v>
      </c>
      <c r="F4641">
        <f>_xlfn.XLOOKUP($A4641,Load!$B:$B,Load!G:G,0,)</f>
        <v>0</v>
      </c>
      <c r="G4641">
        <f>_xlfn.XLOOKUP($A4641,Load!$B:$B,Load!H:H,0,)</f>
        <v>0</v>
      </c>
      <c r="H4641">
        <f>_xlfn.XLOOKUP($A4641,Load!$B:$B,Load!I:I,0,)</f>
        <v>0</v>
      </c>
      <c r="I4641">
        <f>_xlfn.XLOOKUP($A4641,Load!$B:$B,Load!J:J,0,)</f>
        <v>0</v>
      </c>
      <c r="J4641">
        <f>_xlfn.XLOOKUP($A4641,Load!$B:$B,Load!K:K,0,)</f>
        <v>0</v>
      </c>
      <c r="K4641">
        <f>_xlfn.XLOOKUP($A4641,Load!$B:$B,Load!L:L,0,)</f>
        <v>0</v>
      </c>
      <c r="L4641">
        <f>_xlfn.XLOOKUP($A4641,Load!$B:$B,Load!M:M,0,)</f>
        <v>0</v>
      </c>
    </row>
    <row r="4642" spans="1:12" x14ac:dyDescent="0.25">
      <c r="A4642" t="s">
        <v>188</v>
      </c>
      <c r="B4642" t="str">
        <f>_xlfn.XLOOKUP($A4642,Load!$B:$B,Load!C:C,0,)</f>
        <v>Mars Variety Pack</v>
      </c>
      <c r="C4642" t="str">
        <f>_xlfn.XLOOKUP($A4642,Load!$B:$B,Load!D:D,0,)</f>
        <v>Non-Chocolate Candy Only</v>
      </c>
      <c r="D4642" t="str">
        <f>_xlfn.XLOOKUP($A4642,Load!$B:$B,Load!E:E,0,)</f>
        <v>Variety / Mixed Flavors (Fruity, Sour, Seasonal Flavors)</v>
      </c>
      <c r="E4642" t="str">
        <f>_xlfn.XLOOKUP($A4642,Load!$B:$B,Load!F:F,0,)</f>
        <v>Mixed / Combo Packs (Gummy, Chewy, Taffy, etc.)</v>
      </c>
      <c r="F4642" t="str">
        <f>_xlfn.XLOOKUP($A4642,Load!$B:$B,Load!G:G,0,)</f>
        <v>Large Multipack (More than 80 ct)</v>
      </c>
      <c r="G4642" t="str">
        <f>_xlfn.XLOOKUP($A4642,Load!$B:$B,Load!H:H,0,)</f>
        <v>Laydown Bag</v>
      </c>
      <c r="H4642" t="str">
        <f>_xlfn.XLOOKUP($A4642,Load!$B:$B,Load!I:I,0,)</f>
        <v>Everyday Candy Shapes (like Original, Gummy bear, Fruit, Jewels, etc.)</v>
      </c>
      <c r="I4642" t="str">
        <f>_xlfn.XLOOKUP($A4642,Load!$B:$B,Load!J:J,0,)</f>
        <v>Everyday Graphics</v>
      </c>
      <c r="J4642" t="str">
        <f>_xlfn.XLOOKUP($A4642,Load!$B:$B,Load!K:K,0,)</f>
        <v>Small Pieces (Tiny bite size candies)</v>
      </c>
      <c r="K4642" t="str">
        <f>_xlfn.XLOOKUP($A4642,Load!$B:$B,Load!L:L,0,)</f>
        <v>Regular/Original Wrapping</v>
      </c>
      <c r="L4642" t="str">
        <f>_xlfn.XLOOKUP($A4642,Load!$B:$B,Load!M:M,0,)</f>
        <v>Multiple Brands / Variety Flavors or Form</v>
      </c>
    </row>
    <row r="4643" spans="1:12" x14ac:dyDescent="0.25">
      <c r="B4643">
        <f>_xlfn.XLOOKUP($A4643,Load!$B:$B,Load!C:C,0,)</f>
        <v>0</v>
      </c>
      <c r="C4643">
        <f>_xlfn.XLOOKUP($A4643,Load!$B:$B,Load!D:D,0,)</f>
        <v>0</v>
      </c>
      <c r="D4643">
        <f>_xlfn.XLOOKUP($A4643,Load!$B:$B,Load!E:E,0,)</f>
        <v>0</v>
      </c>
      <c r="E4643">
        <f>_xlfn.XLOOKUP($A4643,Load!$B:$B,Load!F:F,0,)</f>
        <v>0</v>
      </c>
      <c r="F4643">
        <f>_xlfn.XLOOKUP($A4643,Load!$B:$B,Load!G:G,0,)</f>
        <v>0</v>
      </c>
      <c r="G4643">
        <f>_xlfn.XLOOKUP($A4643,Load!$B:$B,Load!H:H,0,)</f>
        <v>0</v>
      </c>
      <c r="H4643">
        <f>_xlfn.XLOOKUP($A4643,Load!$B:$B,Load!I:I,0,)</f>
        <v>0</v>
      </c>
      <c r="I4643">
        <f>_xlfn.XLOOKUP($A4643,Load!$B:$B,Load!J:J,0,)</f>
        <v>0</v>
      </c>
      <c r="J4643">
        <f>_xlfn.XLOOKUP($A4643,Load!$B:$B,Load!K:K,0,)</f>
        <v>0</v>
      </c>
      <c r="K4643">
        <f>_xlfn.XLOOKUP($A4643,Load!$B:$B,Load!L:L,0,)</f>
        <v>0</v>
      </c>
      <c r="L4643">
        <f>_xlfn.XLOOKUP($A4643,Load!$B:$B,Load!M:M,0,)</f>
        <v>0</v>
      </c>
    </row>
    <row r="4644" spans="1:12" x14ac:dyDescent="0.25">
      <c r="A4644" t="s">
        <v>66</v>
      </c>
      <c r="B4644" t="str">
        <f>_xlfn.XLOOKUP($A4644,Load!$B:$B,Load!C:C,0,)</f>
        <v>Dots</v>
      </c>
      <c r="C4644" t="str">
        <f>_xlfn.XLOOKUP($A4644,Load!$B:$B,Load!D:D,0,)</f>
        <v>Non-Chocolate Candy Only</v>
      </c>
      <c r="D4644" t="str">
        <f>_xlfn.XLOOKUP($A4644,Load!$B:$B,Load!E:E,0,)</f>
        <v>Variety / Mixed Flavors (Fruity, Sour, Seasonal Flavors)</v>
      </c>
      <c r="E4644" t="str">
        <f>_xlfn.XLOOKUP($A4644,Load!$B:$B,Load!F:F,0,)</f>
        <v>Candy Pieces / Bites</v>
      </c>
      <c r="F4644" t="str">
        <f>_xlfn.XLOOKUP($A4644,Load!$B:$B,Load!G:G,0,)</f>
        <v>Small Multipack (Less than 40 ct)</v>
      </c>
      <c r="G4644" t="str">
        <f>_xlfn.XLOOKUP($A4644,Load!$B:$B,Load!H:H,0,)</f>
        <v>Stand-Up Bag</v>
      </c>
      <c r="H4644" t="str">
        <f>_xlfn.XLOOKUP($A4644,Load!$B:$B,Load!I:I,0,)</f>
        <v>Seasonal Shapes (like pumpkins, candy corn, ghost, bats, etc.)</v>
      </c>
      <c r="I4644" t="str">
        <f>_xlfn.XLOOKUP($A4644,Load!$B:$B,Load!J:J,0,)</f>
        <v>Seasonal Graphics (Like Bat, Ghost, Pumpkin, Fall Leaves, Eyeballs, etc.)</v>
      </c>
      <c r="J4644" t="str">
        <f>_xlfn.XLOOKUP($A4644,Load!$B:$B,Load!K:K,0,)</f>
        <v>Fun Size / Treat Size</v>
      </c>
      <c r="K4644" t="str">
        <f>_xlfn.XLOOKUP($A4644,Load!$B:$B,Load!L:L,0,)</f>
        <v>Regular/Original Wrapping</v>
      </c>
      <c r="L4644" t="str">
        <f>_xlfn.XLOOKUP($A4644,Load!$B:$B,Load!M:M,0,)</f>
        <v>Single Brand / Variety Flavors or Form</v>
      </c>
    </row>
    <row r="4645" spans="1:12" x14ac:dyDescent="0.25">
      <c r="A4645" t="s">
        <v>222</v>
      </c>
      <c r="B4645" t="str">
        <f>_xlfn.XLOOKUP($A4645,Load!$B:$B,Load!C:C,0,)</f>
        <v>Nerds</v>
      </c>
      <c r="C4645" t="str">
        <f>_xlfn.XLOOKUP($A4645,Load!$B:$B,Load!D:D,0,)</f>
        <v>Non-Chocolate Candy Only</v>
      </c>
      <c r="D4645" t="str">
        <f>_xlfn.XLOOKUP($A4645,Load!$B:$B,Load!E:E,0,)</f>
        <v>Sweet</v>
      </c>
      <c r="E4645" t="str">
        <f>_xlfn.XLOOKUP($A4645,Load!$B:$B,Load!F:F,0,)</f>
        <v>Gummy</v>
      </c>
      <c r="F4645" t="str">
        <f>_xlfn.XLOOKUP($A4645,Load!$B:$B,Load!G:G,0,)</f>
        <v>Small Multipack (Less than 40 ct)</v>
      </c>
      <c r="G4645" t="str">
        <f>_xlfn.XLOOKUP($A4645,Load!$B:$B,Load!H:H,0,)</f>
        <v>Stand-Up Bag</v>
      </c>
      <c r="H4645" t="str">
        <f>_xlfn.XLOOKUP($A4645,Load!$B:$B,Load!I:I,0,)</f>
        <v>Everyday Candy Shapes (like Original, Gummy bear, Fruit, Jewels, etc.)</v>
      </c>
      <c r="I4645" t="str">
        <f>_xlfn.XLOOKUP($A4645,Load!$B:$B,Load!J:J,0,)</f>
        <v>Seasonal Graphics (Like Bat, Ghost, Pumpkin, Fall Leaves, Eyeballs, etc.)</v>
      </c>
      <c r="J4645" t="str">
        <f>_xlfn.XLOOKUP($A4645,Load!$B:$B,Load!K:K,0,)</f>
        <v>Fun Size / Treat Size</v>
      </c>
      <c r="K4645" t="str">
        <f>_xlfn.XLOOKUP($A4645,Load!$B:$B,Load!L:L,0,)</f>
        <v>Regular/Original Wrapping</v>
      </c>
      <c r="L4645" t="str">
        <f>_xlfn.XLOOKUP($A4645,Load!$B:$B,Load!M:M,0,)</f>
        <v>Single Brand / Variety Flavors or Form</v>
      </c>
    </row>
    <row r="4646" spans="1:12" x14ac:dyDescent="0.25">
      <c r="A4646" t="s">
        <v>89</v>
      </c>
      <c r="B4646" t="str">
        <f>_xlfn.XLOOKUP($A4646,Load!$B:$B,Load!C:C,0,)</f>
        <v>Ferrara Variety Pack</v>
      </c>
      <c r="C4646" t="str">
        <f>_xlfn.XLOOKUP($A4646,Load!$B:$B,Load!D:D,0,)</f>
        <v>Non-Chocolate Candy Only</v>
      </c>
      <c r="D4646" t="str">
        <f>_xlfn.XLOOKUP($A4646,Load!$B:$B,Load!E:E,0,)</f>
        <v>Variety / Mixed Flavors (Fruity, Sour, Seasonal Flavors)</v>
      </c>
      <c r="E4646" t="str">
        <f>_xlfn.XLOOKUP($A4646,Load!$B:$B,Load!F:F,0,)</f>
        <v>Mixed / Combo Packs (Gummy, Chewy, Taffy, etc.)</v>
      </c>
      <c r="F4646" t="str">
        <f>_xlfn.XLOOKUP($A4646,Load!$B:$B,Load!G:G,0,)</f>
        <v>Medium Multipack (40–80 ct)</v>
      </c>
      <c r="G4646" t="str">
        <f>_xlfn.XLOOKUP($A4646,Load!$B:$B,Load!H:H,0,)</f>
        <v>Stand-Up Bag</v>
      </c>
      <c r="H4646" t="str">
        <f>_xlfn.XLOOKUP($A4646,Load!$B:$B,Load!I:I,0,)</f>
        <v>Everyday Candy Shapes (like Original, Gummy bear, Fruit, Jewels, etc.)</v>
      </c>
      <c r="I4646" t="str">
        <f>_xlfn.XLOOKUP($A4646,Load!$B:$B,Load!J:J,0,)</f>
        <v>Seasonal Graphics (Like Bat, Ghost, Pumpkin, Fall Leaves, Eyeballs, etc.)</v>
      </c>
      <c r="J4646" t="str">
        <f>_xlfn.XLOOKUP($A4646,Load!$B:$B,Load!K:K,0,)</f>
        <v xml:space="preserve">Variety Candy Sizes </v>
      </c>
      <c r="K4646" t="str">
        <f>_xlfn.XLOOKUP($A4646,Load!$B:$B,Load!L:L,0,)</f>
        <v>Regular/Original Wrapping</v>
      </c>
      <c r="L4646" t="str">
        <f>_xlfn.XLOOKUP($A4646,Load!$B:$B,Load!M:M,0,)</f>
        <v>Multiple Brands / Variety Flavors or Form</v>
      </c>
    </row>
    <row r="4647" spans="1:12" x14ac:dyDescent="0.25">
      <c r="A4647" t="s">
        <v>120</v>
      </c>
      <c r="B4647" t="str">
        <f>_xlfn.XLOOKUP($A4647,Load!$B:$B,Load!C:C,0,)</f>
        <v>HARIBO</v>
      </c>
      <c r="C4647" t="str">
        <f>_xlfn.XLOOKUP($A4647,Load!$B:$B,Load!D:D,0,)</f>
        <v>Non-Chocolate Candy Only</v>
      </c>
      <c r="D4647" t="str">
        <f>_xlfn.XLOOKUP($A4647,Load!$B:$B,Load!E:E,0,)</f>
        <v>Variety / Mixed Flavors (Fruity, Sour, Seasonal Flavors)</v>
      </c>
      <c r="E4647" t="str">
        <f>_xlfn.XLOOKUP($A4647,Load!$B:$B,Load!F:F,0,)</f>
        <v>Mixed / Combo Packs (Gummy, Chewy, Taffy, etc.)</v>
      </c>
      <c r="F4647" t="str">
        <f>_xlfn.XLOOKUP($A4647,Load!$B:$B,Load!G:G,0,)</f>
        <v>Medium Multipack (40–80 ct)</v>
      </c>
      <c r="G4647" t="str">
        <f>_xlfn.XLOOKUP($A4647,Load!$B:$B,Load!H:H,0,)</f>
        <v>Laydown Bag</v>
      </c>
      <c r="H4647" t="str">
        <f>_xlfn.XLOOKUP($A4647,Load!$B:$B,Load!I:I,0,)</f>
        <v>Seasonal Shapes (like pumpkins, candy corn, ghost, bats, etc.)</v>
      </c>
      <c r="I4647" t="str">
        <f>_xlfn.XLOOKUP($A4647,Load!$B:$B,Load!J:J,0,)</f>
        <v>Seasonal Graphics (Like Bat, Ghost, Pumpkin, Fall Leaves, Eyeballs, etc.)</v>
      </c>
      <c r="J4647" t="str">
        <f>_xlfn.XLOOKUP($A4647,Load!$B:$B,Load!K:K,0,)</f>
        <v>Small Pieces (Tiny bite size candies)</v>
      </c>
      <c r="K4647" t="str">
        <f>_xlfn.XLOOKUP($A4647,Load!$B:$B,Load!L:L,0,)</f>
        <v>Regular/Original Wrapping</v>
      </c>
      <c r="L4647" t="str">
        <f>_xlfn.XLOOKUP($A4647,Load!$B:$B,Load!M:M,0,)</f>
        <v>Single Brand / Variety Flavors or Form</v>
      </c>
    </row>
    <row r="4648" spans="1:12" x14ac:dyDescent="0.25">
      <c r="A4648" t="s">
        <v>204</v>
      </c>
      <c r="B4648" t="str">
        <f>_xlfn.XLOOKUP($A4648,Load!$B:$B,Load!C:C,0,)</f>
        <v>Mars Variety Pack</v>
      </c>
      <c r="C4648" t="str">
        <f>_xlfn.XLOOKUP($A4648,Load!$B:$B,Load!D:D,0,)</f>
        <v>Mix of Chocolate and Non-Chocolate Candy</v>
      </c>
      <c r="D4648" t="str">
        <f>_xlfn.XLOOKUP($A4648,Load!$B:$B,Load!E:E,0,)</f>
        <v>Variety / Mixed Flavors (Fruity, Sour, Seasonal Flavors)</v>
      </c>
      <c r="E4648" t="str">
        <f>_xlfn.XLOOKUP($A4648,Load!$B:$B,Load!F:F,0,)</f>
        <v>Mixed / Combo Packs (Gummy, Chewy, Taffy, etc.)</v>
      </c>
      <c r="F4648" t="str">
        <f>_xlfn.XLOOKUP($A4648,Load!$B:$B,Load!G:G,0,)</f>
        <v>Medium Multipack (40–80 ct)</v>
      </c>
      <c r="G4648" t="str">
        <f>_xlfn.XLOOKUP($A4648,Load!$B:$B,Load!H:H,0,)</f>
        <v>Stand-Up Bag</v>
      </c>
      <c r="H4648" t="str">
        <f>_xlfn.XLOOKUP($A4648,Load!$B:$B,Load!I:I,0,)</f>
        <v>Everyday Candy Shapes (like Original, Gummy bear, Fruit, Jewels, etc.)</v>
      </c>
      <c r="I4648" t="str">
        <f>_xlfn.XLOOKUP($A4648,Load!$B:$B,Load!J:J,0,)</f>
        <v>Everyday Graphics</v>
      </c>
      <c r="J4648" t="str">
        <f>_xlfn.XLOOKUP($A4648,Load!$B:$B,Load!K:K,0,)</f>
        <v>Fun Size / Treat Size</v>
      </c>
      <c r="K4648" t="str">
        <f>_xlfn.XLOOKUP($A4648,Load!$B:$B,Load!L:L,0,)</f>
        <v>Regular/Original Wrapping</v>
      </c>
      <c r="L4648" t="str">
        <f>_xlfn.XLOOKUP($A4648,Load!$B:$B,Load!M:M,0,)</f>
        <v>Multiple Brands / Variety Flavors or Form</v>
      </c>
    </row>
    <row r="4649" spans="1:12" x14ac:dyDescent="0.25">
      <c r="B4649">
        <f>_xlfn.XLOOKUP($A4649,Load!$B:$B,Load!C:C,0,)</f>
        <v>0</v>
      </c>
      <c r="C4649">
        <f>_xlfn.XLOOKUP($A4649,Load!$B:$B,Load!D:D,0,)</f>
        <v>0</v>
      </c>
      <c r="D4649">
        <f>_xlfn.XLOOKUP($A4649,Load!$B:$B,Load!E:E,0,)</f>
        <v>0</v>
      </c>
      <c r="E4649">
        <f>_xlfn.XLOOKUP($A4649,Load!$B:$B,Load!F:F,0,)</f>
        <v>0</v>
      </c>
      <c r="F4649">
        <f>_xlfn.XLOOKUP($A4649,Load!$B:$B,Load!G:G,0,)</f>
        <v>0</v>
      </c>
      <c r="G4649">
        <f>_xlfn.XLOOKUP($A4649,Load!$B:$B,Load!H:H,0,)</f>
        <v>0</v>
      </c>
      <c r="H4649">
        <f>_xlfn.XLOOKUP($A4649,Load!$B:$B,Load!I:I,0,)</f>
        <v>0</v>
      </c>
      <c r="I4649">
        <f>_xlfn.XLOOKUP($A4649,Load!$B:$B,Load!J:J,0,)</f>
        <v>0</v>
      </c>
      <c r="J4649">
        <f>_xlfn.XLOOKUP($A4649,Load!$B:$B,Load!K:K,0,)</f>
        <v>0</v>
      </c>
      <c r="K4649">
        <f>_xlfn.XLOOKUP($A4649,Load!$B:$B,Load!L:L,0,)</f>
        <v>0</v>
      </c>
      <c r="L4649">
        <f>_xlfn.XLOOKUP($A4649,Load!$B:$B,Load!M:M,0,)</f>
        <v>0</v>
      </c>
    </row>
    <row r="4650" spans="1:12" x14ac:dyDescent="0.25">
      <c r="A4650" t="s">
        <v>217</v>
      </c>
      <c r="B4650" t="str">
        <f>_xlfn.XLOOKUP($A4650,Load!$B:$B,Load!C:C,0,)</f>
        <v>Mondelez Variety Pack</v>
      </c>
      <c r="C4650" t="str">
        <f>_xlfn.XLOOKUP($A4650,Load!$B:$B,Load!D:D,0,)</f>
        <v>Non-Chocolate Candy Only</v>
      </c>
      <c r="D4650" t="str">
        <f>_xlfn.XLOOKUP($A4650,Load!$B:$B,Load!E:E,0,)</f>
        <v>Sour</v>
      </c>
      <c r="E4650" t="str">
        <f>_xlfn.XLOOKUP($A4650,Load!$B:$B,Load!F:F,0,)</f>
        <v>Chewy</v>
      </c>
      <c r="F4650" t="str">
        <f>_xlfn.XLOOKUP($A4650,Load!$B:$B,Load!G:G,0,)</f>
        <v>Small Multipack (Less than 40 ct)</v>
      </c>
      <c r="G4650" t="str">
        <f>_xlfn.XLOOKUP($A4650,Load!$B:$B,Load!H:H,0,)</f>
        <v>Laydown Bag</v>
      </c>
      <c r="H4650" t="str">
        <f>_xlfn.XLOOKUP($A4650,Load!$B:$B,Load!I:I,0,)</f>
        <v>Seasonal Shapes (like pumpkins, candy corn, ghost, bats, etc.)</v>
      </c>
      <c r="I4650" t="str">
        <f>_xlfn.XLOOKUP($A4650,Load!$B:$B,Load!J:J,0,)</f>
        <v>Seasonal Graphics (Like Bat, Ghost, Pumpkin, Fall Leaves, Eyeballs, etc.)</v>
      </c>
      <c r="J4650" t="str">
        <f>_xlfn.XLOOKUP($A4650,Load!$B:$B,Load!K:K,0,)</f>
        <v>Small Pieces (Tiny bite size candies)</v>
      </c>
      <c r="K4650" t="str">
        <f>_xlfn.XLOOKUP($A4650,Load!$B:$B,Load!L:L,0,)</f>
        <v>Regular/Original Wrapping</v>
      </c>
      <c r="L4650" t="str">
        <f>_xlfn.XLOOKUP($A4650,Load!$B:$B,Load!M:M,0,)</f>
        <v>Multiple Brands / Variety Flavors or Form</v>
      </c>
    </row>
    <row r="4651" spans="1:12" x14ac:dyDescent="0.25">
      <c r="B4651">
        <f>_xlfn.XLOOKUP($A4651,Load!$B:$B,Load!C:C,0,)</f>
        <v>0</v>
      </c>
      <c r="C4651">
        <f>_xlfn.XLOOKUP($A4651,Load!$B:$B,Load!D:D,0,)</f>
        <v>0</v>
      </c>
      <c r="D4651">
        <f>_xlfn.XLOOKUP($A4651,Load!$B:$B,Load!E:E,0,)</f>
        <v>0</v>
      </c>
      <c r="E4651">
        <f>_xlfn.XLOOKUP($A4651,Load!$B:$B,Load!F:F,0,)</f>
        <v>0</v>
      </c>
      <c r="F4651">
        <f>_xlfn.XLOOKUP($A4651,Load!$B:$B,Load!G:G,0,)</f>
        <v>0</v>
      </c>
      <c r="G4651">
        <f>_xlfn.XLOOKUP($A4651,Load!$B:$B,Load!H:H,0,)</f>
        <v>0</v>
      </c>
      <c r="H4651">
        <f>_xlfn.XLOOKUP($A4651,Load!$B:$B,Load!I:I,0,)</f>
        <v>0</v>
      </c>
      <c r="I4651">
        <f>_xlfn.XLOOKUP($A4651,Load!$B:$B,Load!J:J,0,)</f>
        <v>0</v>
      </c>
      <c r="J4651">
        <f>_xlfn.XLOOKUP($A4651,Load!$B:$B,Load!K:K,0,)</f>
        <v>0</v>
      </c>
      <c r="K4651">
        <f>_xlfn.XLOOKUP($A4651,Load!$B:$B,Load!L:L,0,)</f>
        <v>0</v>
      </c>
      <c r="L4651">
        <f>_xlfn.XLOOKUP($A4651,Load!$B:$B,Load!M:M,0,)</f>
        <v>0</v>
      </c>
    </row>
    <row r="4652" spans="1:12" x14ac:dyDescent="0.25">
      <c r="A4652" t="s">
        <v>125</v>
      </c>
      <c r="B4652" t="str">
        <f>_xlfn.XLOOKUP($A4652,Load!$B:$B,Load!C:C,0,)</f>
        <v>HARIBO</v>
      </c>
      <c r="C4652" t="str">
        <f>_xlfn.XLOOKUP($A4652,Load!$B:$B,Load!D:D,0,)</f>
        <v>Non-Chocolate Candy Only</v>
      </c>
      <c r="D4652" t="str">
        <f>_xlfn.XLOOKUP($A4652,Load!$B:$B,Load!E:E,0,)</f>
        <v>Berry Based (Raspberry, Strawberry, Medley, etc.)</v>
      </c>
      <c r="E4652" t="str">
        <f>_xlfn.XLOOKUP($A4652,Load!$B:$B,Load!F:F,0,)</f>
        <v>Gummy</v>
      </c>
      <c r="F4652" t="str">
        <f>_xlfn.XLOOKUP($A4652,Load!$B:$B,Load!G:G,0,)</f>
        <v>Small Multipack (Less than 40 ct)</v>
      </c>
      <c r="G4652" t="str">
        <f>_xlfn.XLOOKUP($A4652,Load!$B:$B,Load!H:H,0,)</f>
        <v>Laydown Bag</v>
      </c>
      <c r="H4652" t="str">
        <f>_xlfn.XLOOKUP($A4652,Load!$B:$B,Load!I:I,0,)</f>
        <v>Everyday Candy Shapes (like Original, Gummy bear, Fruit, Jewels, etc.)</v>
      </c>
      <c r="I4652" t="str">
        <f>_xlfn.XLOOKUP($A4652,Load!$B:$B,Load!J:J,0,)</f>
        <v>Everyday Graphics</v>
      </c>
      <c r="J4652" t="str">
        <f>_xlfn.XLOOKUP($A4652,Load!$B:$B,Load!K:K,0,)</f>
        <v>Small Pieces (Tiny bite size candies)</v>
      </c>
      <c r="K4652" t="str">
        <f>_xlfn.XLOOKUP($A4652,Load!$B:$B,Load!L:L,0,)</f>
        <v>Regular/Original Wrapping</v>
      </c>
      <c r="L4652" t="str">
        <f>_xlfn.XLOOKUP($A4652,Load!$B:$B,Load!M:M,0,)</f>
        <v>Single Brand / Variety Flavors or Form</v>
      </c>
    </row>
    <row r="4653" spans="1:12" x14ac:dyDescent="0.25">
      <c r="A4653" t="s">
        <v>232</v>
      </c>
      <c r="B4653" t="str">
        <f>_xlfn.XLOOKUP($A4653,Load!$B:$B,Load!C:C,0,)</f>
        <v>Nerds</v>
      </c>
      <c r="C4653" t="str">
        <f>_xlfn.XLOOKUP($A4653,Load!$B:$B,Load!D:D,0,)</f>
        <v>Non-Chocolate Candy Only</v>
      </c>
      <c r="D4653" t="str">
        <f>_xlfn.XLOOKUP($A4653,Load!$B:$B,Load!E:E,0,)</f>
        <v>Berry Based (Raspberry, Strawberry, Medley, etc.)</v>
      </c>
      <c r="E4653" t="str">
        <f>_xlfn.XLOOKUP($A4653,Load!$B:$B,Load!F:F,0,)</f>
        <v>Candy Pieces / Bites</v>
      </c>
      <c r="F4653" t="str">
        <f>_xlfn.XLOOKUP($A4653,Load!$B:$B,Load!G:G,0,)</f>
        <v>Single Pack</v>
      </c>
      <c r="G4653" t="str">
        <f>_xlfn.XLOOKUP($A4653,Load!$B:$B,Load!H:H,0,)</f>
        <v>Laydown Bag</v>
      </c>
      <c r="H4653" t="str">
        <f>_xlfn.XLOOKUP($A4653,Load!$B:$B,Load!I:I,0,)</f>
        <v>Everyday Candy Shapes (like Original, Gummy bear, Fruit, Jewels, etc.)</v>
      </c>
      <c r="I4653" t="str">
        <f>_xlfn.XLOOKUP($A4653,Load!$B:$B,Load!J:J,0,)</f>
        <v>Seasonal Graphics (Like Bat, Ghost, Pumpkin, Fall Leaves, Eyeballs, etc.)</v>
      </c>
      <c r="J4653" t="str">
        <f>_xlfn.XLOOKUP($A4653,Load!$B:$B,Load!K:K,0,)</f>
        <v>Small Pieces (Tiny bite size candies)</v>
      </c>
      <c r="K4653" t="str">
        <f>_xlfn.XLOOKUP($A4653,Load!$B:$B,Load!L:L,0,)</f>
        <v>Unwrapped</v>
      </c>
      <c r="L4653" t="str">
        <f>_xlfn.XLOOKUP($A4653,Load!$B:$B,Load!M:M,0,)</f>
        <v>Single Brand / Variety Flavors or Form</v>
      </c>
    </row>
    <row r="4654" spans="1:12" x14ac:dyDescent="0.25">
      <c r="A4654" t="s">
        <v>25</v>
      </c>
      <c r="B4654" t="str">
        <f>_xlfn.XLOOKUP($A4654,Load!$B:$B,Load!C:C,0,)</f>
        <v>Albert's Candy Company</v>
      </c>
      <c r="C4654" t="str">
        <f>_xlfn.XLOOKUP($A4654,Load!$B:$B,Load!D:D,0,)</f>
        <v>Non-Chocolate Candy Only</v>
      </c>
      <c r="D4654" t="str">
        <f>_xlfn.XLOOKUP($A4654,Load!$B:$B,Load!E:E,0,)</f>
        <v>Fruit Flavor (Cherry, Grape, Apple, Citrus, Tropical Fruit)</v>
      </c>
      <c r="E4654" t="str">
        <f>_xlfn.XLOOKUP($A4654,Load!$B:$B,Load!F:F,0,)</f>
        <v>Chewy</v>
      </c>
      <c r="F4654" t="str">
        <f>_xlfn.XLOOKUP($A4654,Load!$B:$B,Load!G:G,0,)</f>
        <v>Large Multipack (More than 80 ct)</v>
      </c>
      <c r="G4654" t="str">
        <f>_xlfn.XLOOKUP($A4654,Load!$B:$B,Load!H:H,0,)</f>
        <v>Laydown Bag</v>
      </c>
      <c r="H4654" t="str">
        <f>_xlfn.XLOOKUP($A4654,Load!$B:$B,Load!I:I,0,)</f>
        <v>Everyday Candy Shapes (like Original, Gummy bear, Fruit, Jewels, etc.)</v>
      </c>
      <c r="I4654" t="str">
        <f>_xlfn.XLOOKUP($A4654,Load!$B:$B,Load!J:J,0,)</f>
        <v>Seasonal Graphics (Like Bat, Ghost, Pumpkin, Fall Leaves, Eyeballs, etc.)</v>
      </c>
      <c r="J4654" t="str">
        <f>_xlfn.XLOOKUP($A4654,Load!$B:$B,Load!K:K,0,)</f>
        <v>Small Pieces (Tiny bite size candies)</v>
      </c>
      <c r="K4654" t="str">
        <f>_xlfn.XLOOKUP($A4654,Load!$B:$B,Load!L:L,0,)</f>
        <v>Regular/Original Wrapping</v>
      </c>
      <c r="L4654" t="str">
        <f>_xlfn.XLOOKUP($A4654,Load!$B:$B,Load!M:M,0,)</f>
        <v>Single Brand / Variety Flavors or Form</v>
      </c>
    </row>
    <row r="4655" spans="1:12" x14ac:dyDescent="0.25">
      <c r="A4655" t="s">
        <v>26</v>
      </c>
      <c r="B4655" t="str">
        <f>_xlfn.XLOOKUP($A4655,Load!$B:$B,Load!C:C,0,)</f>
        <v>Albert's Candy Company</v>
      </c>
      <c r="C4655" t="str">
        <f>_xlfn.XLOOKUP($A4655,Load!$B:$B,Load!D:D,0,)</f>
        <v>Non-Chocolate Candy Only</v>
      </c>
      <c r="D4655" t="str">
        <f>_xlfn.XLOOKUP($A4655,Load!$B:$B,Load!E:E,0,)</f>
        <v>Fruit Flavor (Cherry, Grape, Apple, Citrus, Tropical Fruit)</v>
      </c>
      <c r="E4655" t="str">
        <f>_xlfn.XLOOKUP($A4655,Load!$B:$B,Load!F:F,0,)</f>
        <v>Chewy</v>
      </c>
      <c r="F4655" t="str">
        <f>_xlfn.XLOOKUP($A4655,Load!$B:$B,Load!G:G,0,)</f>
        <v>Large Multipack (More than 80 ct)</v>
      </c>
      <c r="G4655" t="str">
        <f>_xlfn.XLOOKUP($A4655,Load!$B:$B,Load!H:H,0,)</f>
        <v>Laydown Bag</v>
      </c>
      <c r="H4655" t="str">
        <f>_xlfn.XLOOKUP($A4655,Load!$B:$B,Load!I:I,0,)</f>
        <v>Everyday Candy Shapes (like Original, Gummy bear, Fruit, Jewels, etc.)</v>
      </c>
      <c r="I4655" t="str">
        <f>_xlfn.XLOOKUP($A4655,Load!$B:$B,Load!J:J,0,)</f>
        <v>Seasonal Graphics (Like Bat, Ghost, Pumpkin, Fall Leaves, Eyeballs, etc.)</v>
      </c>
      <c r="J4655" t="str">
        <f>_xlfn.XLOOKUP($A4655,Load!$B:$B,Load!K:K,0,)</f>
        <v>Small Pieces (Tiny bite size candies)</v>
      </c>
      <c r="K4655" t="str">
        <f>_xlfn.XLOOKUP($A4655,Load!$B:$B,Load!L:L,0,)</f>
        <v>Regular/Original Wrapping</v>
      </c>
      <c r="L4655" t="str">
        <f>_xlfn.XLOOKUP($A4655,Load!$B:$B,Load!M:M,0,)</f>
        <v>Single Brand / Variety Flavors or Form</v>
      </c>
    </row>
    <row r="4656" spans="1:12" x14ac:dyDescent="0.25">
      <c r="B4656">
        <f>_xlfn.XLOOKUP($A4656,Load!$B:$B,Load!C:C,0,)</f>
        <v>0</v>
      </c>
      <c r="C4656">
        <f>_xlfn.XLOOKUP($A4656,Load!$B:$B,Load!D:D,0,)</f>
        <v>0</v>
      </c>
      <c r="D4656">
        <f>_xlfn.XLOOKUP($A4656,Load!$B:$B,Load!E:E,0,)</f>
        <v>0</v>
      </c>
      <c r="E4656">
        <f>_xlfn.XLOOKUP($A4656,Load!$B:$B,Load!F:F,0,)</f>
        <v>0</v>
      </c>
      <c r="F4656">
        <f>_xlfn.XLOOKUP($A4656,Load!$B:$B,Load!G:G,0,)</f>
        <v>0</v>
      </c>
      <c r="G4656">
        <f>_xlfn.XLOOKUP($A4656,Load!$B:$B,Load!H:H,0,)</f>
        <v>0</v>
      </c>
      <c r="H4656">
        <f>_xlfn.XLOOKUP($A4656,Load!$B:$B,Load!I:I,0,)</f>
        <v>0</v>
      </c>
      <c r="I4656">
        <f>_xlfn.XLOOKUP($A4656,Load!$B:$B,Load!J:J,0,)</f>
        <v>0</v>
      </c>
      <c r="J4656">
        <f>_xlfn.XLOOKUP($A4656,Load!$B:$B,Load!K:K,0,)</f>
        <v>0</v>
      </c>
      <c r="K4656">
        <f>_xlfn.XLOOKUP($A4656,Load!$B:$B,Load!L:L,0,)</f>
        <v>0</v>
      </c>
      <c r="L4656">
        <f>_xlfn.XLOOKUP($A4656,Load!$B:$B,Load!M:M,0,)</f>
        <v>0</v>
      </c>
    </row>
    <row r="4657" spans="1:12" x14ac:dyDescent="0.25">
      <c r="B4657">
        <f>_xlfn.XLOOKUP($A4657,Load!$B:$B,Load!C:C,0,)</f>
        <v>0</v>
      </c>
      <c r="C4657">
        <f>_xlfn.XLOOKUP($A4657,Load!$B:$B,Load!D:D,0,)</f>
        <v>0</v>
      </c>
      <c r="D4657">
        <f>_xlfn.XLOOKUP($A4657,Load!$B:$B,Load!E:E,0,)</f>
        <v>0</v>
      </c>
      <c r="E4657">
        <f>_xlfn.XLOOKUP($A4657,Load!$B:$B,Load!F:F,0,)</f>
        <v>0</v>
      </c>
      <c r="F4657">
        <f>_xlfn.XLOOKUP($A4657,Load!$B:$B,Load!G:G,0,)</f>
        <v>0</v>
      </c>
      <c r="G4657">
        <f>_xlfn.XLOOKUP($A4657,Load!$B:$B,Load!H:H,0,)</f>
        <v>0</v>
      </c>
      <c r="H4657">
        <f>_xlfn.XLOOKUP($A4657,Load!$B:$B,Load!I:I,0,)</f>
        <v>0</v>
      </c>
      <c r="I4657">
        <f>_xlfn.XLOOKUP($A4657,Load!$B:$B,Load!J:J,0,)</f>
        <v>0</v>
      </c>
      <c r="J4657">
        <f>_xlfn.XLOOKUP($A4657,Load!$B:$B,Load!K:K,0,)</f>
        <v>0</v>
      </c>
      <c r="K4657">
        <f>_xlfn.XLOOKUP($A4657,Load!$B:$B,Load!L:L,0,)</f>
        <v>0</v>
      </c>
      <c r="L4657">
        <f>_xlfn.XLOOKUP($A4657,Load!$B:$B,Load!M:M,0,)</f>
        <v>0</v>
      </c>
    </row>
    <row r="4658" spans="1:12" x14ac:dyDescent="0.25">
      <c r="A4658" t="s">
        <v>174</v>
      </c>
      <c r="B4658" t="str">
        <f>_xlfn.XLOOKUP($A4658,Load!$B:$B,Load!C:C,0,)</f>
        <v>Mars Variety Pack</v>
      </c>
      <c r="C4658" t="str">
        <f>_xlfn.XLOOKUP($A4658,Load!$B:$B,Load!D:D,0,)</f>
        <v>Non-Chocolate Candy Only</v>
      </c>
      <c r="D4658" t="str">
        <f>_xlfn.XLOOKUP($A4658,Load!$B:$B,Load!E:E,0,)</f>
        <v>Variety / Mixed Flavors (Fruity, Sour, Seasonal Flavors)</v>
      </c>
      <c r="E4658" t="str">
        <f>_xlfn.XLOOKUP($A4658,Load!$B:$B,Load!F:F,0,)</f>
        <v>Mixed / Combo Packs (Gummy, Chewy, Taffy, etc.)</v>
      </c>
      <c r="F4658" t="str">
        <f>_xlfn.XLOOKUP($A4658,Load!$B:$B,Load!G:G,0,)</f>
        <v>Medium Multipack (40–80 ct)</v>
      </c>
      <c r="G4658" t="str">
        <f>_xlfn.XLOOKUP($A4658,Load!$B:$B,Load!H:H,0,)</f>
        <v>Stand-Up Bag</v>
      </c>
      <c r="H4658" t="str">
        <f>_xlfn.XLOOKUP($A4658,Load!$B:$B,Load!I:I,0,)</f>
        <v>Everyday Candy Shapes (like Original, Gummy bear, Fruit, Jewels, etc.)</v>
      </c>
      <c r="I4658" t="str">
        <f>_xlfn.XLOOKUP($A4658,Load!$B:$B,Load!J:J,0,)</f>
        <v>Seasonal Graphics (Like Bat, Ghost, Pumpkin, Fall Leaves, Eyeballs, etc.)</v>
      </c>
      <c r="J4658" t="str">
        <f>_xlfn.XLOOKUP($A4658,Load!$B:$B,Load!K:K,0,)</f>
        <v>Fun Size / Treat Size</v>
      </c>
      <c r="K4658" t="str">
        <f>_xlfn.XLOOKUP($A4658,Load!$B:$B,Load!L:L,0,)</f>
        <v>Regular/Original Wrapping</v>
      </c>
      <c r="L4658" t="str">
        <f>_xlfn.XLOOKUP($A4658,Load!$B:$B,Load!M:M,0,)</f>
        <v>Multiple Brands / Variety Flavors or Form</v>
      </c>
    </row>
    <row r="4659" spans="1:12" x14ac:dyDescent="0.25">
      <c r="A4659" t="s">
        <v>203</v>
      </c>
      <c r="B4659" t="str">
        <f>_xlfn.XLOOKUP($A4659,Load!$B:$B,Load!C:C,0,)</f>
        <v>Mars Variety Pack</v>
      </c>
      <c r="C4659" t="str">
        <f>_xlfn.XLOOKUP($A4659,Load!$B:$B,Load!D:D,0,)</f>
        <v>Mix of Chocolate and Non-Chocolate Candy</v>
      </c>
      <c r="D4659" t="str">
        <f>_xlfn.XLOOKUP($A4659,Load!$B:$B,Load!E:E,0,)</f>
        <v>Variety / Mixed Flavors (Fruity, Sour, Seasonal Flavors)</v>
      </c>
      <c r="E4659" t="str">
        <f>_xlfn.XLOOKUP($A4659,Load!$B:$B,Load!F:F,0,)</f>
        <v>Mixed / Combo Packs (Gummy, Chewy, Taffy, etc.)</v>
      </c>
      <c r="F4659" t="str">
        <f>_xlfn.XLOOKUP($A4659,Load!$B:$B,Load!G:G,0,)</f>
        <v>Small Multipack (Less than 40 ct)</v>
      </c>
      <c r="G4659" t="str">
        <f>_xlfn.XLOOKUP($A4659,Load!$B:$B,Load!H:H,0,)</f>
        <v>Box (theatre box, gift box, carton)</v>
      </c>
      <c r="H4659" t="str">
        <f>_xlfn.XLOOKUP($A4659,Load!$B:$B,Load!I:I,0,)</f>
        <v>Everyday Candy Shapes (like Original, Gummy bear, Fruit, Jewels, etc.)</v>
      </c>
      <c r="I4659" t="str">
        <f>_xlfn.XLOOKUP($A4659,Load!$B:$B,Load!J:J,0,)</f>
        <v>Everyday Graphics</v>
      </c>
      <c r="J4659" t="str">
        <f>_xlfn.XLOOKUP($A4659,Load!$B:$B,Load!K:K,0,)</f>
        <v>Fun Size / Treat Size</v>
      </c>
      <c r="K4659" t="str">
        <f>_xlfn.XLOOKUP($A4659,Load!$B:$B,Load!L:L,0,)</f>
        <v>Regular/Original Wrapping</v>
      </c>
      <c r="L4659" t="str">
        <f>_xlfn.XLOOKUP($A4659,Load!$B:$B,Load!M:M,0,)</f>
        <v>Multiple Brands / Variety Flavors or Form</v>
      </c>
    </row>
    <row r="4660" spans="1:12" x14ac:dyDescent="0.25">
      <c r="B4660">
        <f>_xlfn.XLOOKUP($A4660,Load!$B:$B,Load!C:C,0,)</f>
        <v>0</v>
      </c>
      <c r="C4660">
        <f>_xlfn.XLOOKUP($A4660,Load!$B:$B,Load!D:D,0,)</f>
        <v>0</v>
      </c>
      <c r="D4660">
        <f>_xlfn.XLOOKUP($A4660,Load!$B:$B,Load!E:E,0,)</f>
        <v>0</v>
      </c>
      <c r="E4660">
        <f>_xlfn.XLOOKUP($A4660,Load!$B:$B,Load!F:F,0,)</f>
        <v>0</v>
      </c>
      <c r="F4660">
        <f>_xlfn.XLOOKUP($A4660,Load!$B:$B,Load!G:G,0,)</f>
        <v>0</v>
      </c>
      <c r="G4660">
        <f>_xlfn.XLOOKUP($A4660,Load!$B:$B,Load!H:H,0,)</f>
        <v>0</v>
      </c>
      <c r="H4660">
        <f>_xlfn.XLOOKUP($A4660,Load!$B:$B,Load!I:I,0,)</f>
        <v>0</v>
      </c>
      <c r="I4660">
        <f>_xlfn.XLOOKUP($A4660,Load!$B:$B,Load!J:J,0,)</f>
        <v>0</v>
      </c>
      <c r="J4660">
        <f>_xlfn.XLOOKUP($A4660,Load!$B:$B,Load!K:K,0,)</f>
        <v>0</v>
      </c>
      <c r="K4660">
        <f>_xlfn.XLOOKUP($A4660,Load!$B:$B,Load!L:L,0,)</f>
        <v>0</v>
      </c>
      <c r="L4660">
        <f>_xlfn.XLOOKUP($A4660,Load!$B:$B,Load!M:M,0,)</f>
        <v>0</v>
      </c>
    </row>
    <row r="4661" spans="1:12" x14ac:dyDescent="0.25">
      <c r="B4661">
        <f>_xlfn.XLOOKUP($A4661,Load!$B:$B,Load!C:C,0,)</f>
        <v>0</v>
      </c>
      <c r="C4661">
        <f>_xlfn.XLOOKUP($A4661,Load!$B:$B,Load!D:D,0,)</f>
        <v>0</v>
      </c>
      <c r="D4661">
        <f>_xlfn.XLOOKUP($A4661,Load!$B:$B,Load!E:E,0,)</f>
        <v>0</v>
      </c>
      <c r="E4661">
        <f>_xlfn.XLOOKUP($A4661,Load!$B:$B,Load!F:F,0,)</f>
        <v>0</v>
      </c>
      <c r="F4661">
        <f>_xlfn.XLOOKUP($A4661,Load!$B:$B,Load!G:G,0,)</f>
        <v>0</v>
      </c>
      <c r="G4661">
        <f>_xlfn.XLOOKUP($A4661,Load!$B:$B,Load!H:H,0,)</f>
        <v>0</v>
      </c>
      <c r="H4661">
        <f>_xlfn.XLOOKUP($A4661,Load!$B:$B,Load!I:I,0,)</f>
        <v>0</v>
      </c>
      <c r="I4661">
        <f>_xlfn.XLOOKUP($A4661,Load!$B:$B,Load!J:J,0,)</f>
        <v>0</v>
      </c>
      <c r="J4661">
        <f>_xlfn.XLOOKUP($A4661,Load!$B:$B,Load!K:K,0,)</f>
        <v>0</v>
      </c>
      <c r="K4661">
        <f>_xlfn.XLOOKUP($A4661,Load!$B:$B,Load!L:L,0,)</f>
        <v>0</v>
      </c>
      <c r="L4661">
        <f>_xlfn.XLOOKUP($A4661,Load!$B:$B,Load!M:M,0,)</f>
        <v>0</v>
      </c>
    </row>
    <row r="4662" spans="1:12" x14ac:dyDescent="0.25">
      <c r="A4662" t="s">
        <v>138</v>
      </c>
      <c r="B4662" t="str">
        <f>_xlfn.XLOOKUP($A4662,Load!$B:$B,Load!C:C,0,)</f>
        <v>Hershey's Variety Pack + Haribo</v>
      </c>
      <c r="C4662" t="str">
        <f>_xlfn.XLOOKUP($A4662,Load!$B:$B,Load!D:D,0,)</f>
        <v>Non-Chocolate Candy Only</v>
      </c>
      <c r="D4662" t="str">
        <f>_xlfn.XLOOKUP($A4662,Load!$B:$B,Load!E:E,0,)</f>
        <v>Variety / Mixed Flavors (Fruity, Sour, Seasonal Flavors)</v>
      </c>
      <c r="E4662" t="str">
        <f>_xlfn.XLOOKUP($A4662,Load!$B:$B,Load!F:F,0,)</f>
        <v>Mixed / Combo Packs (Gummy, Chewy, Taffy, etc.)</v>
      </c>
      <c r="F4662" t="str">
        <f>_xlfn.XLOOKUP($A4662,Load!$B:$B,Load!G:G,0,)</f>
        <v>Medium Multipack (40–80 ct)</v>
      </c>
      <c r="G4662" t="str">
        <f>_xlfn.XLOOKUP($A4662,Load!$B:$B,Load!H:H,0,)</f>
        <v>Laydown Bag</v>
      </c>
      <c r="H4662" t="str">
        <f>_xlfn.XLOOKUP($A4662,Load!$B:$B,Load!I:I,0,)</f>
        <v>Everyday Candy Shapes (like Original, Gummy bear, Fruit, Jewels, etc.)</v>
      </c>
      <c r="I4662" t="str">
        <f>_xlfn.XLOOKUP($A4662,Load!$B:$B,Load!J:J,0,)</f>
        <v>Seasonal Graphics (Like Bat, Ghost, Pumpkin, Fall Leaves, Eyeballs, etc.)</v>
      </c>
      <c r="J4662" t="str">
        <f>_xlfn.XLOOKUP($A4662,Load!$B:$B,Load!K:K,0,)</f>
        <v>Fun Size / Treat Size</v>
      </c>
      <c r="K4662" t="str">
        <f>_xlfn.XLOOKUP($A4662,Load!$B:$B,Load!L:L,0,)</f>
        <v>Regular/Original Wrapping</v>
      </c>
      <c r="L4662" t="str">
        <f>_xlfn.XLOOKUP($A4662,Load!$B:$B,Load!M:M,0,)</f>
        <v>Multiple Brands / Variety Flavors or Form</v>
      </c>
    </row>
    <row r="4663" spans="1:12" x14ac:dyDescent="0.25">
      <c r="A4663" t="s">
        <v>96</v>
      </c>
      <c r="B4663" t="str">
        <f>_xlfn.XLOOKUP($A4663,Load!$B:$B,Load!C:C,0,)</f>
        <v>Ferrero Variety Pack</v>
      </c>
      <c r="C4663" t="str">
        <f>_xlfn.XLOOKUP($A4663,Load!$B:$B,Load!D:D,0,)</f>
        <v>Mix of Chocolate and Non-Chocolate Candy</v>
      </c>
      <c r="D4663" t="str">
        <f>_xlfn.XLOOKUP($A4663,Load!$B:$B,Load!E:E,0,)</f>
        <v>Variety / Mixed Flavors (Fruity, Sour, Seasonal Flavors)</v>
      </c>
      <c r="E4663" t="str">
        <f>_xlfn.XLOOKUP($A4663,Load!$B:$B,Load!F:F,0,)</f>
        <v>Mixed / Combo Packs (Gummy, Chewy, Taffy, etc.)</v>
      </c>
      <c r="F4663" t="str">
        <f>_xlfn.XLOOKUP($A4663,Load!$B:$B,Load!G:G,0,)</f>
        <v>Large Multipack (More than 80 ct)</v>
      </c>
      <c r="G4663" t="str">
        <f>_xlfn.XLOOKUP($A4663,Load!$B:$B,Load!H:H,0,)</f>
        <v>Stand-Up Bag</v>
      </c>
      <c r="H4663" t="str">
        <f>_xlfn.XLOOKUP($A4663,Load!$B:$B,Load!I:I,0,)</f>
        <v>Everyday Candy Shapes (like Original, Gummy bear, Fruit, Jewels, etc.)</v>
      </c>
      <c r="I4663" t="str">
        <f>_xlfn.XLOOKUP($A4663,Load!$B:$B,Load!J:J,0,)</f>
        <v>Seasonal Graphics (Like Bat, Ghost, Pumpkin, Fall Leaves, Eyeballs, etc.)</v>
      </c>
      <c r="J4663" t="str">
        <f>_xlfn.XLOOKUP($A4663,Load!$B:$B,Load!K:K,0,)</f>
        <v>Fun Size / Treat Size</v>
      </c>
      <c r="K4663" t="str">
        <f>_xlfn.XLOOKUP($A4663,Load!$B:$B,Load!L:L,0,)</f>
        <v>Regular/Original Wrapping</v>
      </c>
      <c r="L4663" t="str">
        <f>_xlfn.XLOOKUP($A4663,Load!$B:$B,Load!M:M,0,)</f>
        <v>Multiple Brands / Variety Flavors or Form</v>
      </c>
    </row>
    <row r="4664" spans="1:12" x14ac:dyDescent="0.25">
      <c r="B4664">
        <f>_xlfn.XLOOKUP($A4664,Load!$B:$B,Load!C:C,0,)</f>
        <v>0</v>
      </c>
      <c r="C4664">
        <f>_xlfn.XLOOKUP($A4664,Load!$B:$B,Load!D:D,0,)</f>
        <v>0</v>
      </c>
      <c r="D4664">
        <f>_xlfn.XLOOKUP($A4664,Load!$B:$B,Load!E:E,0,)</f>
        <v>0</v>
      </c>
      <c r="E4664">
        <f>_xlfn.XLOOKUP($A4664,Load!$B:$B,Load!F:F,0,)</f>
        <v>0</v>
      </c>
      <c r="F4664">
        <f>_xlfn.XLOOKUP($A4664,Load!$B:$B,Load!G:G,0,)</f>
        <v>0</v>
      </c>
      <c r="G4664">
        <f>_xlfn.XLOOKUP($A4664,Load!$B:$B,Load!H:H,0,)</f>
        <v>0</v>
      </c>
      <c r="H4664">
        <f>_xlfn.XLOOKUP($A4664,Load!$B:$B,Load!I:I,0,)</f>
        <v>0</v>
      </c>
      <c r="I4664">
        <f>_xlfn.XLOOKUP($A4664,Load!$B:$B,Load!J:J,0,)</f>
        <v>0</v>
      </c>
      <c r="J4664">
        <f>_xlfn.XLOOKUP($A4664,Load!$B:$B,Load!K:K,0,)</f>
        <v>0</v>
      </c>
      <c r="K4664">
        <f>_xlfn.XLOOKUP($A4664,Load!$B:$B,Load!L:L,0,)</f>
        <v>0</v>
      </c>
      <c r="L4664">
        <f>_xlfn.XLOOKUP($A4664,Load!$B:$B,Load!M:M,0,)</f>
        <v>0</v>
      </c>
    </row>
    <row r="4665" spans="1:12" x14ac:dyDescent="0.25">
      <c r="B4665">
        <f>_xlfn.XLOOKUP($A4665,Load!$B:$B,Load!C:C,0,)</f>
        <v>0</v>
      </c>
      <c r="C4665">
        <f>_xlfn.XLOOKUP($A4665,Load!$B:$B,Load!D:D,0,)</f>
        <v>0</v>
      </c>
      <c r="D4665">
        <f>_xlfn.XLOOKUP($A4665,Load!$B:$B,Load!E:E,0,)</f>
        <v>0</v>
      </c>
      <c r="E4665">
        <f>_xlfn.XLOOKUP($A4665,Load!$B:$B,Load!F:F,0,)</f>
        <v>0</v>
      </c>
      <c r="F4665">
        <f>_xlfn.XLOOKUP($A4665,Load!$B:$B,Load!G:G,0,)</f>
        <v>0</v>
      </c>
      <c r="G4665">
        <f>_xlfn.XLOOKUP($A4665,Load!$B:$B,Load!H:H,0,)</f>
        <v>0</v>
      </c>
      <c r="H4665">
        <f>_xlfn.XLOOKUP($A4665,Load!$B:$B,Load!I:I,0,)</f>
        <v>0</v>
      </c>
      <c r="I4665">
        <f>_xlfn.XLOOKUP($A4665,Load!$B:$B,Load!J:J,0,)</f>
        <v>0</v>
      </c>
      <c r="J4665">
        <f>_xlfn.XLOOKUP($A4665,Load!$B:$B,Load!K:K,0,)</f>
        <v>0</v>
      </c>
      <c r="K4665">
        <f>_xlfn.XLOOKUP($A4665,Load!$B:$B,Load!L:L,0,)</f>
        <v>0</v>
      </c>
      <c r="L4665">
        <f>_xlfn.XLOOKUP($A4665,Load!$B:$B,Load!M:M,0,)</f>
        <v>0</v>
      </c>
    </row>
    <row r="4666" spans="1:12" x14ac:dyDescent="0.25">
      <c r="A4666" t="s">
        <v>253</v>
      </c>
      <c r="B4666" t="str">
        <f>_xlfn.XLOOKUP($A4666,Load!$B:$B,Load!C:C,0,)</f>
        <v>Skittles</v>
      </c>
      <c r="C4666" t="str">
        <f>_xlfn.XLOOKUP($A4666,Load!$B:$B,Load!D:D,0,)</f>
        <v>Non-Chocolate Candy Only</v>
      </c>
      <c r="D4666" t="str">
        <f>_xlfn.XLOOKUP($A4666,Load!$B:$B,Load!E:E,0,)</f>
        <v>Variety / Mixed Flavors (Fruity, Sour, Seasonal Flavors)</v>
      </c>
      <c r="E4666" t="str">
        <f>_xlfn.XLOOKUP($A4666,Load!$B:$B,Load!F:F,0,)</f>
        <v>Mixed / Combo Packs (Gummy, Chewy, Taffy, etc.)</v>
      </c>
      <c r="F4666" t="str">
        <f>_xlfn.XLOOKUP($A4666,Load!$B:$B,Load!G:G,0,)</f>
        <v>Medium Multipack (40–80 ct)</v>
      </c>
      <c r="G4666" t="str">
        <f>_xlfn.XLOOKUP($A4666,Load!$B:$B,Load!H:H,0,)</f>
        <v>Stand-Up Bag</v>
      </c>
      <c r="H4666" t="str">
        <f>_xlfn.XLOOKUP($A4666,Load!$B:$B,Load!I:I,0,)</f>
        <v>Everyday Candy Shapes (like Original, Gummy bear, Fruit, Jewels, etc.)</v>
      </c>
      <c r="I4666" t="str">
        <f>_xlfn.XLOOKUP($A4666,Load!$B:$B,Load!J:J,0,)</f>
        <v>Seasonal Graphics (Like Bat, Ghost, Pumpkin, Fall Leaves, Eyeballs, etc.)</v>
      </c>
      <c r="J4666" t="str">
        <f>_xlfn.XLOOKUP($A4666,Load!$B:$B,Load!K:K,0,)</f>
        <v>Small Pieces (Tiny bite size candies)</v>
      </c>
      <c r="K4666" t="str">
        <f>_xlfn.XLOOKUP($A4666,Load!$B:$B,Load!L:L,0,)</f>
        <v>Regular/Original Wrapping</v>
      </c>
      <c r="L4666" t="str">
        <f>_xlfn.XLOOKUP($A4666,Load!$B:$B,Load!M:M,0,)</f>
        <v>Single Brand / Variety Flavors or Form</v>
      </c>
    </row>
    <row r="4667" spans="1:12" x14ac:dyDescent="0.25">
      <c r="B4667">
        <f>_xlfn.XLOOKUP($A4667,Load!$B:$B,Load!C:C,0,)</f>
        <v>0</v>
      </c>
      <c r="C4667">
        <f>_xlfn.XLOOKUP($A4667,Load!$B:$B,Load!D:D,0,)</f>
        <v>0</v>
      </c>
      <c r="D4667">
        <f>_xlfn.XLOOKUP($A4667,Load!$B:$B,Load!E:E,0,)</f>
        <v>0</v>
      </c>
      <c r="E4667">
        <f>_xlfn.XLOOKUP($A4667,Load!$B:$B,Load!F:F,0,)</f>
        <v>0</v>
      </c>
      <c r="F4667">
        <f>_xlfn.XLOOKUP($A4667,Load!$B:$B,Load!G:G,0,)</f>
        <v>0</v>
      </c>
      <c r="G4667">
        <f>_xlfn.XLOOKUP($A4667,Load!$B:$B,Load!H:H,0,)</f>
        <v>0</v>
      </c>
      <c r="H4667">
        <f>_xlfn.XLOOKUP($A4667,Load!$B:$B,Load!I:I,0,)</f>
        <v>0</v>
      </c>
      <c r="I4667">
        <f>_xlfn.XLOOKUP($A4667,Load!$B:$B,Load!J:J,0,)</f>
        <v>0</v>
      </c>
      <c r="J4667">
        <f>_xlfn.XLOOKUP($A4667,Load!$B:$B,Load!K:K,0,)</f>
        <v>0</v>
      </c>
      <c r="K4667">
        <f>_xlfn.XLOOKUP($A4667,Load!$B:$B,Load!L:L,0,)</f>
        <v>0</v>
      </c>
      <c r="L4667">
        <f>_xlfn.XLOOKUP($A4667,Load!$B:$B,Load!M:M,0,)</f>
        <v>0</v>
      </c>
    </row>
    <row r="4668" spans="1:12" x14ac:dyDescent="0.25">
      <c r="A4668" t="s">
        <v>246</v>
      </c>
      <c r="B4668" t="str">
        <f>_xlfn.XLOOKUP($A4668,Load!$B:$B,Load!C:C,0,)</f>
        <v>Ring Pop</v>
      </c>
      <c r="C4668" t="str">
        <f>_xlfn.XLOOKUP($A4668,Load!$B:$B,Load!D:D,0,)</f>
        <v>Non-Chocolate Candy Only</v>
      </c>
      <c r="D4668" t="str">
        <f>_xlfn.XLOOKUP($A4668,Load!$B:$B,Load!E:E,0,)</f>
        <v>Variety / Mixed Flavors (Fruity, Sour, Seasonal Flavors)</v>
      </c>
      <c r="E4668" t="str">
        <f>_xlfn.XLOOKUP($A4668,Load!$B:$B,Load!F:F,0,)</f>
        <v>Lollipop (regular or lollipop rings)</v>
      </c>
      <c r="F4668" t="str">
        <f>_xlfn.XLOOKUP($A4668,Load!$B:$B,Load!G:G,0,)</f>
        <v>Single Pack</v>
      </c>
      <c r="G4668" t="str">
        <f>_xlfn.XLOOKUP($A4668,Load!$B:$B,Load!H:H,0,)</f>
        <v>Laydown Bag</v>
      </c>
      <c r="H4668" t="str">
        <f>_xlfn.XLOOKUP($A4668,Load!$B:$B,Load!I:I,0,)</f>
        <v>Everyday Candy Shapes (like Original, Gummy bear, Fruit, Jewels, etc.)</v>
      </c>
      <c r="I4668" t="str">
        <f>_xlfn.XLOOKUP($A4668,Load!$B:$B,Load!J:J,0,)</f>
        <v>Seasonal Graphics (Like Bat, Ghost, Pumpkin, Fall Leaves, Eyeballs, etc.)</v>
      </c>
      <c r="J4668" t="str">
        <f>_xlfn.XLOOKUP($A4668,Load!$B:$B,Load!K:K,0,)</f>
        <v>Regular Lollipop size (on sticks or rings)</v>
      </c>
      <c r="K4668" t="str">
        <f>_xlfn.XLOOKUP($A4668,Load!$B:$B,Load!L:L,0,)</f>
        <v>Regular/Original Wrapping</v>
      </c>
      <c r="L4668" t="str">
        <f>_xlfn.XLOOKUP($A4668,Load!$B:$B,Load!M:M,0,)</f>
        <v>Single Brand / Variety Flavors or Form</v>
      </c>
    </row>
    <row r="4669" spans="1:12" x14ac:dyDescent="0.25">
      <c r="A4669" t="s">
        <v>75</v>
      </c>
      <c r="B4669" t="str">
        <f>_xlfn.XLOOKUP($A4669,Load!$B:$B,Load!C:C,0,)</f>
        <v>Dum Dums</v>
      </c>
      <c r="C4669" t="str">
        <f>_xlfn.XLOOKUP($A4669,Load!$B:$B,Load!D:D,0,)</f>
        <v>Non-Chocolate Candy Only</v>
      </c>
      <c r="D4669" t="str">
        <f>_xlfn.XLOOKUP($A4669,Load!$B:$B,Load!E:E,0,)</f>
        <v>Variety / Mixed Flavors (Fruity, Sour, Seasonal Flavors)</v>
      </c>
      <c r="E4669" t="str">
        <f>_xlfn.XLOOKUP($A4669,Load!$B:$B,Load!F:F,0,)</f>
        <v>Lollipop (regular or lollipop rings)</v>
      </c>
      <c r="F4669" t="str">
        <f>_xlfn.XLOOKUP($A4669,Load!$B:$B,Load!G:G,0,)</f>
        <v>Single Pack</v>
      </c>
      <c r="G4669" t="str">
        <f>_xlfn.XLOOKUP($A4669,Load!$B:$B,Load!H:H,0,)</f>
        <v>Laydown Bag</v>
      </c>
      <c r="H4669" t="str">
        <f>_xlfn.XLOOKUP($A4669,Load!$B:$B,Load!I:I,0,)</f>
        <v>Everyday Candy Shapes (like Original, Gummy bear, Fruit, Jewels, etc.)</v>
      </c>
      <c r="I4669" t="str">
        <f>_xlfn.XLOOKUP($A4669,Load!$B:$B,Load!J:J,0,)</f>
        <v>Everyday Graphics</v>
      </c>
      <c r="J4669" t="str">
        <f>_xlfn.XLOOKUP($A4669,Load!$B:$B,Load!K:K,0,)</f>
        <v>Regular Lollipop size (on sticks or rings)</v>
      </c>
      <c r="K4669" t="str">
        <f>_xlfn.XLOOKUP($A4669,Load!$B:$B,Load!L:L,0,)</f>
        <v>Regular/Original Wrapping</v>
      </c>
      <c r="L4669" t="str">
        <f>_xlfn.XLOOKUP($A4669,Load!$B:$B,Load!M:M,0,)</f>
        <v>Single Brand / Variety Flavors or Form</v>
      </c>
    </row>
    <row r="4670" spans="1:12" x14ac:dyDescent="0.25">
      <c r="B4670">
        <f>_xlfn.XLOOKUP($A4670,Load!$B:$B,Load!C:C,0,)</f>
        <v>0</v>
      </c>
      <c r="C4670">
        <f>_xlfn.XLOOKUP($A4670,Load!$B:$B,Load!D:D,0,)</f>
        <v>0</v>
      </c>
      <c r="D4670">
        <f>_xlfn.XLOOKUP($A4670,Load!$B:$B,Load!E:E,0,)</f>
        <v>0</v>
      </c>
      <c r="E4670">
        <f>_xlfn.XLOOKUP($A4670,Load!$B:$B,Load!F:F,0,)</f>
        <v>0</v>
      </c>
      <c r="F4670">
        <f>_xlfn.XLOOKUP($A4670,Load!$B:$B,Load!G:G,0,)</f>
        <v>0</v>
      </c>
      <c r="G4670">
        <f>_xlfn.XLOOKUP($A4670,Load!$B:$B,Load!H:H,0,)</f>
        <v>0</v>
      </c>
      <c r="H4670">
        <f>_xlfn.XLOOKUP($A4670,Load!$B:$B,Load!I:I,0,)</f>
        <v>0</v>
      </c>
      <c r="I4670">
        <f>_xlfn.XLOOKUP($A4670,Load!$B:$B,Load!J:J,0,)</f>
        <v>0</v>
      </c>
      <c r="J4670">
        <f>_xlfn.XLOOKUP($A4670,Load!$B:$B,Load!K:K,0,)</f>
        <v>0</v>
      </c>
      <c r="K4670">
        <f>_xlfn.XLOOKUP($A4670,Load!$B:$B,Load!L:L,0,)</f>
        <v>0</v>
      </c>
      <c r="L4670">
        <f>_xlfn.XLOOKUP($A4670,Load!$B:$B,Load!M:M,0,)</f>
        <v>0</v>
      </c>
    </row>
    <row r="4671" spans="1:12" x14ac:dyDescent="0.25">
      <c r="B4671">
        <f>_xlfn.XLOOKUP($A4671,Load!$B:$B,Load!C:C,0,)</f>
        <v>0</v>
      </c>
      <c r="C4671">
        <f>_xlfn.XLOOKUP($A4671,Load!$B:$B,Load!D:D,0,)</f>
        <v>0</v>
      </c>
      <c r="D4671">
        <f>_xlfn.XLOOKUP($A4671,Load!$B:$B,Load!E:E,0,)</f>
        <v>0</v>
      </c>
      <c r="E4671">
        <f>_xlfn.XLOOKUP($A4671,Load!$B:$B,Load!F:F,0,)</f>
        <v>0</v>
      </c>
      <c r="F4671">
        <f>_xlfn.XLOOKUP($A4671,Load!$B:$B,Load!G:G,0,)</f>
        <v>0</v>
      </c>
      <c r="G4671">
        <f>_xlfn.XLOOKUP($A4671,Load!$B:$B,Load!H:H,0,)</f>
        <v>0</v>
      </c>
      <c r="H4671">
        <f>_xlfn.XLOOKUP($A4671,Load!$B:$B,Load!I:I,0,)</f>
        <v>0</v>
      </c>
      <c r="I4671">
        <f>_xlfn.XLOOKUP($A4671,Load!$B:$B,Load!J:J,0,)</f>
        <v>0</v>
      </c>
      <c r="J4671">
        <f>_xlfn.XLOOKUP($A4671,Load!$B:$B,Load!K:K,0,)</f>
        <v>0</v>
      </c>
      <c r="K4671">
        <f>_xlfn.XLOOKUP($A4671,Load!$B:$B,Load!L:L,0,)</f>
        <v>0</v>
      </c>
      <c r="L4671">
        <f>_xlfn.XLOOKUP($A4671,Load!$B:$B,Load!M:M,0,)</f>
        <v>0</v>
      </c>
    </row>
    <row r="4672" spans="1:12" x14ac:dyDescent="0.25">
      <c r="B4672">
        <f>_xlfn.XLOOKUP($A4672,Load!$B:$B,Load!C:C,0,)</f>
        <v>0</v>
      </c>
      <c r="C4672">
        <f>_xlfn.XLOOKUP($A4672,Load!$B:$B,Load!D:D,0,)</f>
        <v>0</v>
      </c>
      <c r="D4672">
        <f>_xlfn.XLOOKUP($A4672,Load!$B:$B,Load!E:E,0,)</f>
        <v>0</v>
      </c>
      <c r="E4672">
        <f>_xlfn.XLOOKUP($A4672,Load!$B:$B,Load!F:F,0,)</f>
        <v>0</v>
      </c>
      <c r="F4672">
        <f>_xlfn.XLOOKUP($A4672,Load!$B:$B,Load!G:G,0,)</f>
        <v>0</v>
      </c>
      <c r="G4672">
        <f>_xlfn.XLOOKUP($A4672,Load!$B:$B,Load!H:H,0,)</f>
        <v>0</v>
      </c>
      <c r="H4672">
        <f>_xlfn.XLOOKUP($A4672,Load!$B:$B,Load!I:I,0,)</f>
        <v>0</v>
      </c>
      <c r="I4672">
        <f>_xlfn.XLOOKUP($A4672,Load!$B:$B,Load!J:J,0,)</f>
        <v>0</v>
      </c>
      <c r="J4672">
        <f>_xlfn.XLOOKUP($A4672,Load!$B:$B,Load!K:K,0,)</f>
        <v>0</v>
      </c>
      <c r="K4672">
        <f>_xlfn.XLOOKUP($A4672,Load!$B:$B,Load!L:L,0,)</f>
        <v>0</v>
      </c>
      <c r="L4672">
        <f>_xlfn.XLOOKUP($A4672,Load!$B:$B,Load!M:M,0,)</f>
        <v>0</v>
      </c>
    </row>
    <row r="4673" spans="1:12" x14ac:dyDescent="0.25">
      <c r="B4673">
        <f>_xlfn.XLOOKUP($A4673,Load!$B:$B,Load!C:C,0,)</f>
        <v>0</v>
      </c>
      <c r="C4673">
        <f>_xlfn.XLOOKUP($A4673,Load!$B:$B,Load!D:D,0,)</f>
        <v>0</v>
      </c>
      <c r="D4673">
        <f>_xlfn.XLOOKUP($A4673,Load!$B:$B,Load!E:E,0,)</f>
        <v>0</v>
      </c>
      <c r="E4673">
        <f>_xlfn.XLOOKUP($A4673,Load!$B:$B,Load!F:F,0,)</f>
        <v>0</v>
      </c>
      <c r="F4673">
        <f>_xlfn.XLOOKUP($A4673,Load!$B:$B,Load!G:G,0,)</f>
        <v>0</v>
      </c>
      <c r="G4673">
        <f>_xlfn.XLOOKUP($A4673,Load!$B:$B,Load!H:H,0,)</f>
        <v>0</v>
      </c>
      <c r="H4673">
        <f>_xlfn.XLOOKUP($A4673,Load!$B:$B,Load!I:I,0,)</f>
        <v>0</v>
      </c>
      <c r="I4673">
        <f>_xlfn.XLOOKUP($A4673,Load!$B:$B,Load!J:J,0,)</f>
        <v>0</v>
      </c>
      <c r="J4673">
        <f>_xlfn.XLOOKUP($A4673,Load!$B:$B,Load!K:K,0,)</f>
        <v>0</v>
      </c>
      <c r="K4673">
        <f>_xlfn.XLOOKUP($A4673,Load!$B:$B,Load!L:L,0,)</f>
        <v>0</v>
      </c>
      <c r="L4673">
        <f>_xlfn.XLOOKUP($A4673,Load!$B:$B,Load!M:M,0,)</f>
        <v>0</v>
      </c>
    </row>
    <row r="4674" spans="1:12" x14ac:dyDescent="0.25">
      <c r="A4674" t="s">
        <v>214</v>
      </c>
      <c r="B4674" t="str">
        <f>_xlfn.XLOOKUP($A4674,Load!$B:$B,Load!C:C,0,)</f>
        <v>Mars Variety Pack</v>
      </c>
      <c r="C4674" t="str">
        <f>_xlfn.XLOOKUP($A4674,Load!$B:$B,Load!D:D,0,)</f>
        <v>Mix of Chocolate and Non-Chocolate Candy</v>
      </c>
      <c r="D4674" t="str">
        <f>_xlfn.XLOOKUP($A4674,Load!$B:$B,Load!E:E,0,)</f>
        <v>Variety / Mixed Flavors (Fruity, Sour, Seasonal Flavors)</v>
      </c>
      <c r="E4674" t="str">
        <f>_xlfn.XLOOKUP($A4674,Load!$B:$B,Load!F:F,0,)</f>
        <v>Mixed / Combo Packs (Gummy, Chewy, Taffy, etc.)</v>
      </c>
      <c r="F4674" t="str">
        <f>_xlfn.XLOOKUP($A4674,Load!$B:$B,Load!G:G,0,)</f>
        <v>Large Multipack (More than 80 ct)</v>
      </c>
      <c r="G4674" t="str">
        <f>_xlfn.XLOOKUP($A4674,Load!$B:$B,Load!H:H,0,)</f>
        <v>Stand-Up Bag</v>
      </c>
      <c r="H4674" t="str">
        <f>_xlfn.XLOOKUP($A4674,Load!$B:$B,Load!I:I,0,)</f>
        <v>Everyday Candy Shapes (like Original, Gummy bear, Fruit, Jewels, etc.)</v>
      </c>
      <c r="I4674" t="str">
        <f>_xlfn.XLOOKUP($A4674,Load!$B:$B,Load!J:J,0,)</f>
        <v>Seasonal Graphics (Like Bat, Ghost, Pumpkin, Fall Leaves, Eyeballs, etc.)</v>
      </c>
      <c r="J4674" t="str">
        <f>_xlfn.XLOOKUP($A4674,Load!$B:$B,Load!K:K,0,)</f>
        <v>Fun Size / Treat Size</v>
      </c>
      <c r="K4674" t="str">
        <f>_xlfn.XLOOKUP($A4674,Load!$B:$B,Load!L:L,0,)</f>
        <v>Regular/Original Wrapping</v>
      </c>
      <c r="L4674" t="str">
        <f>_xlfn.XLOOKUP($A4674,Load!$B:$B,Load!M:M,0,)</f>
        <v>Multiple Brands / Variety Flavors or Form</v>
      </c>
    </row>
    <row r="4675" spans="1:12" x14ac:dyDescent="0.25">
      <c r="A4675" t="s">
        <v>173</v>
      </c>
      <c r="B4675" t="str">
        <f>_xlfn.XLOOKUP($A4675,Load!$B:$B,Load!C:C,0,)</f>
        <v>Mars Variety Pack</v>
      </c>
      <c r="C4675" t="str">
        <f>_xlfn.XLOOKUP($A4675,Load!$B:$B,Load!D:D,0,)</f>
        <v>Mix of Chocolate and Non-Chocolate Candy</v>
      </c>
      <c r="D4675" t="str">
        <f>_xlfn.XLOOKUP($A4675,Load!$B:$B,Load!E:E,0,)</f>
        <v>Variety / Mixed Flavors (Fruity, Sour, Seasonal Flavors)</v>
      </c>
      <c r="E4675" t="str">
        <f>_xlfn.XLOOKUP($A4675,Load!$B:$B,Load!F:F,0,)</f>
        <v>Mixed / Combo Packs (Gummy, Chewy, Taffy, etc.)</v>
      </c>
      <c r="F4675" t="str">
        <f>_xlfn.XLOOKUP($A4675,Load!$B:$B,Load!G:G,0,)</f>
        <v>Large Multipack (More than 80 ct)</v>
      </c>
      <c r="G4675" t="str">
        <f>_xlfn.XLOOKUP($A4675,Load!$B:$B,Load!H:H,0,)</f>
        <v>Stand-Up Bag</v>
      </c>
      <c r="H4675" t="str">
        <f>_xlfn.XLOOKUP($A4675,Load!$B:$B,Load!I:I,0,)</f>
        <v>Everyday Candy Shapes (like Original, Gummy bear, Fruit, Jewels, etc.)</v>
      </c>
      <c r="I4675" t="str">
        <f>_xlfn.XLOOKUP($A4675,Load!$B:$B,Load!J:J,0,)</f>
        <v>Seasonal Graphics (Like Bat, Ghost, Pumpkin, Fall Leaves, Eyeballs, etc.)</v>
      </c>
      <c r="J4675" t="str">
        <f>_xlfn.XLOOKUP($A4675,Load!$B:$B,Load!K:K,0,)</f>
        <v>Fun Size / Treat Size</v>
      </c>
      <c r="K4675" t="str">
        <f>_xlfn.XLOOKUP($A4675,Load!$B:$B,Load!L:L,0,)</f>
        <v>Regular/Original Wrapping</v>
      </c>
      <c r="L4675" t="str">
        <f>_xlfn.XLOOKUP($A4675,Load!$B:$B,Load!M:M,0,)</f>
        <v>Multiple Brands / Variety Flavors or Form</v>
      </c>
    </row>
    <row r="4676" spans="1:12" x14ac:dyDescent="0.25">
      <c r="A4676" t="s">
        <v>132</v>
      </c>
      <c r="B4676" t="str">
        <f>_xlfn.XLOOKUP($A4676,Load!$B:$B,Load!C:C,0,)</f>
        <v>Hershey's</v>
      </c>
      <c r="C4676" t="str">
        <f>_xlfn.XLOOKUP($A4676,Load!$B:$B,Load!D:D,0,)</f>
        <v>Mix of Chocolate and Non-Chocolate Candy</v>
      </c>
      <c r="D4676" t="str">
        <f>_xlfn.XLOOKUP($A4676,Load!$B:$B,Load!E:E,0,)</f>
        <v>Variety / Mixed Flavors (Fruity, Sour, Seasonal Flavors)</v>
      </c>
      <c r="E4676" t="str">
        <f>_xlfn.XLOOKUP($A4676,Load!$B:$B,Load!F:F,0,)</f>
        <v>Mixed / Combo Packs (Gummy, Chewy, Taffy, etc.)</v>
      </c>
      <c r="F4676" t="str">
        <f>_xlfn.XLOOKUP($A4676,Load!$B:$B,Load!G:G,0,)</f>
        <v>Small Multipack (Less than 40 ct)</v>
      </c>
      <c r="G4676" t="str">
        <f>_xlfn.XLOOKUP($A4676,Load!$B:$B,Load!H:H,0,)</f>
        <v>Laydown Bag</v>
      </c>
      <c r="H4676" t="str">
        <f>_xlfn.XLOOKUP($A4676,Load!$B:$B,Load!I:I,0,)</f>
        <v>Everyday Candy Shapes (like Original, Gummy bear, Fruit, Jewels, etc.)</v>
      </c>
      <c r="I4676" t="str">
        <f>_xlfn.XLOOKUP($A4676,Load!$B:$B,Load!J:J,0,)</f>
        <v>Seasonal Graphics (Like Bat, Ghost, Pumpkin, Fall Leaves, Eyeballs, etc.)</v>
      </c>
      <c r="J4676" t="str">
        <f>_xlfn.XLOOKUP($A4676,Load!$B:$B,Load!K:K,0,)</f>
        <v xml:space="preserve">Variety Candy Sizes </v>
      </c>
      <c r="K4676" t="str">
        <f>_xlfn.XLOOKUP($A4676,Load!$B:$B,Load!L:L,0,)</f>
        <v>Regular/Original Wrapping</v>
      </c>
      <c r="L4676" t="str">
        <f>_xlfn.XLOOKUP($A4676,Load!$B:$B,Load!M:M,0,)</f>
        <v>Multiple Brands / Variety Flavors or Form</v>
      </c>
    </row>
    <row r="4677" spans="1:12" x14ac:dyDescent="0.25">
      <c r="B4677">
        <f>_xlfn.XLOOKUP($A4677,Load!$B:$B,Load!C:C,0,)</f>
        <v>0</v>
      </c>
      <c r="C4677">
        <f>_xlfn.XLOOKUP($A4677,Load!$B:$B,Load!D:D,0,)</f>
        <v>0</v>
      </c>
      <c r="D4677">
        <f>_xlfn.XLOOKUP($A4677,Load!$B:$B,Load!E:E,0,)</f>
        <v>0</v>
      </c>
      <c r="E4677">
        <f>_xlfn.XLOOKUP($A4677,Load!$B:$B,Load!F:F,0,)</f>
        <v>0</v>
      </c>
      <c r="F4677">
        <f>_xlfn.XLOOKUP($A4677,Load!$B:$B,Load!G:G,0,)</f>
        <v>0</v>
      </c>
      <c r="G4677">
        <f>_xlfn.XLOOKUP($A4677,Load!$B:$B,Load!H:H,0,)</f>
        <v>0</v>
      </c>
      <c r="H4677">
        <f>_xlfn.XLOOKUP($A4677,Load!$B:$B,Load!I:I,0,)</f>
        <v>0</v>
      </c>
      <c r="I4677">
        <f>_xlfn.XLOOKUP($A4677,Load!$B:$B,Load!J:J,0,)</f>
        <v>0</v>
      </c>
      <c r="J4677">
        <f>_xlfn.XLOOKUP($A4677,Load!$B:$B,Load!K:K,0,)</f>
        <v>0</v>
      </c>
      <c r="K4677">
        <f>_xlfn.XLOOKUP($A4677,Load!$B:$B,Load!L:L,0,)</f>
        <v>0</v>
      </c>
      <c r="L4677">
        <f>_xlfn.XLOOKUP($A4677,Load!$B:$B,Load!M:M,0,)</f>
        <v>0</v>
      </c>
    </row>
    <row r="4678" spans="1:12" x14ac:dyDescent="0.25">
      <c r="A4678" t="s">
        <v>222</v>
      </c>
      <c r="B4678" t="str">
        <f>_xlfn.XLOOKUP($A4678,Load!$B:$B,Load!C:C,0,)</f>
        <v>Nerds</v>
      </c>
      <c r="C4678" t="str">
        <f>_xlfn.XLOOKUP($A4678,Load!$B:$B,Load!D:D,0,)</f>
        <v>Non-Chocolate Candy Only</v>
      </c>
      <c r="D4678" t="str">
        <f>_xlfn.XLOOKUP($A4678,Load!$B:$B,Load!E:E,0,)</f>
        <v>Sweet</v>
      </c>
      <c r="E4678" t="str">
        <f>_xlfn.XLOOKUP($A4678,Load!$B:$B,Load!F:F,0,)</f>
        <v>Gummy</v>
      </c>
      <c r="F4678" t="str">
        <f>_xlfn.XLOOKUP($A4678,Load!$B:$B,Load!G:G,0,)</f>
        <v>Small Multipack (Less than 40 ct)</v>
      </c>
      <c r="G4678" t="str">
        <f>_xlfn.XLOOKUP($A4678,Load!$B:$B,Load!H:H,0,)</f>
        <v>Stand-Up Bag</v>
      </c>
      <c r="H4678" t="str">
        <f>_xlfn.XLOOKUP($A4678,Load!$B:$B,Load!I:I,0,)</f>
        <v>Everyday Candy Shapes (like Original, Gummy bear, Fruit, Jewels, etc.)</v>
      </c>
      <c r="I4678" t="str">
        <f>_xlfn.XLOOKUP($A4678,Load!$B:$B,Load!J:J,0,)</f>
        <v>Seasonal Graphics (Like Bat, Ghost, Pumpkin, Fall Leaves, Eyeballs, etc.)</v>
      </c>
      <c r="J4678" t="str">
        <f>_xlfn.XLOOKUP($A4678,Load!$B:$B,Load!K:K,0,)</f>
        <v>Fun Size / Treat Size</v>
      </c>
      <c r="K4678" t="str">
        <f>_xlfn.XLOOKUP($A4678,Load!$B:$B,Load!L:L,0,)</f>
        <v>Regular/Original Wrapping</v>
      </c>
      <c r="L4678" t="str">
        <f>_xlfn.XLOOKUP($A4678,Load!$B:$B,Load!M:M,0,)</f>
        <v>Single Brand / Variety Flavors or Form</v>
      </c>
    </row>
    <row r="4679" spans="1:12" x14ac:dyDescent="0.25">
      <c r="B4679">
        <f>_xlfn.XLOOKUP($A4679,Load!$B:$B,Load!C:C,0,)</f>
        <v>0</v>
      </c>
      <c r="C4679">
        <f>_xlfn.XLOOKUP($A4679,Load!$B:$B,Load!D:D,0,)</f>
        <v>0</v>
      </c>
      <c r="D4679">
        <f>_xlfn.XLOOKUP($A4679,Load!$B:$B,Load!E:E,0,)</f>
        <v>0</v>
      </c>
      <c r="E4679">
        <f>_xlfn.XLOOKUP($A4679,Load!$B:$B,Load!F:F,0,)</f>
        <v>0</v>
      </c>
      <c r="F4679">
        <f>_xlfn.XLOOKUP($A4679,Load!$B:$B,Load!G:G,0,)</f>
        <v>0</v>
      </c>
      <c r="G4679">
        <f>_xlfn.XLOOKUP($A4679,Load!$B:$B,Load!H:H,0,)</f>
        <v>0</v>
      </c>
      <c r="H4679">
        <f>_xlfn.XLOOKUP($A4679,Load!$B:$B,Load!I:I,0,)</f>
        <v>0</v>
      </c>
      <c r="I4679">
        <f>_xlfn.XLOOKUP($A4679,Load!$B:$B,Load!J:J,0,)</f>
        <v>0</v>
      </c>
      <c r="J4679">
        <f>_xlfn.XLOOKUP($A4679,Load!$B:$B,Load!K:K,0,)</f>
        <v>0</v>
      </c>
      <c r="K4679">
        <f>_xlfn.XLOOKUP($A4679,Load!$B:$B,Load!L:L,0,)</f>
        <v>0</v>
      </c>
      <c r="L4679">
        <f>_xlfn.XLOOKUP($A4679,Load!$B:$B,Load!M:M,0,)</f>
        <v>0</v>
      </c>
    </row>
    <row r="4680" spans="1:12" x14ac:dyDescent="0.25">
      <c r="A4680" t="s">
        <v>60</v>
      </c>
      <c r="B4680" t="str">
        <f>_xlfn.XLOOKUP($A4680,Load!$B:$B,Load!C:C,0,)</f>
        <v>Charms</v>
      </c>
      <c r="C4680" t="str">
        <f>_xlfn.XLOOKUP($A4680,Load!$B:$B,Load!D:D,0,)</f>
        <v>Non-Chocolate Candy Only</v>
      </c>
      <c r="D4680" t="str">
        <f>_xlfn.XLOOKUP($A4680,Load!$B:$B,Load!E:E,0,)</f>
        <v>Variety / Mixed Flavors (Fruity, Sour, Seasonal Flavors)</v>
      </c>
      <c r="E4680" t="str">
        <f>_xlfn.XLOOKUP($A4680,Load!$B:$B,Load!F:F,0,)</f>
        <v>Lollipop (regular or lollipop rings)</v>
      </c>
      <c r="F4680" t="str">
        <f>_xlfn.XLOOKUP($A4680,Load!$B:$B,Load!G:G,0,)</f>
        <v>Single Pack</v>
      </c>
      <c r="G4680" t="str">
        <f>_xlfn.XLOOKUP($A4680,Load!$B:$B,Load!H:H,0,)</f>
        <v>Stand-Up Bag</v>
      </c>
      <c r="H4680" t="str">
        <f>_xlfn.XLOOKUP($A4680,Load!$B:$B,Load!I:I,0,)</f>
        <v>Everyday Candy Shapes (like Original, Gummy bear, Fruit, Jewels, etc.)</v>
      </c>
      <c r="I4680" t="str">
        <f>_xlfn.XLOOKUP($A4680,Load!$B:$B,Load!J:J,0,)</f>
        <v>Seasonal Graphics (Like Bat, Ghost, Pumpkin, Fall Leaves, Eyeballs, etc.)</v>
      </c>
      <c r="J4680" t="str">
        <f>_xlfn.XLOOKUP($A4680,Load!$B:$B,Load!K:K,0,)</f>
        <v>Regular Lollipop size (on sticks or rings)</v>
      </c>
      <c r="K4680" t="str">
        <f>_xlfn.XLOOKUP($A4680,Load!$B:$B,Load!L:L,0,)</f>
        <v>Regular/Original Wrapping</v>
      </c>
      <c r="L4680" t="str">
        <f>_xlfn.XLOOKUP($A4680,Load!$B:$B,Load!M:M,0,)</f>
        <v>Single Brand / Variety Flavors or Form</v>
      </c>
    </row>
    <row r="4681" spans="1:12" x14ac:dyDescent="0.25">
      <c r="A4681" t="s">
        <v>246</v>
      </c>
      <c r="B4681" t="str">
        <f>_xlfn.XLOOKUP($A4681,Load!$B:$B,Load!C:C,0,)</f>
        <v>Ring Pop</v>
      </c>
      <c r="C4681" t="str">
        <f>_xlfn.XLOOKUP($A4681,Load!$B:$B,Load!D:D,0,)</f>
        <v>Non-Chocolate Candy Only</v>
      </c>
      <c r="D4681" t="str">
        <f>_xlfn.XLOOKUP($A4681,Load!$B:$B,Load!E:E,0,)</f>
        <v>Variety / Mixed Flavors (Fruity, Sour, Seasonal Flavors)</v>
      </c>
      <c r="E4681" t="str">
        <f>_xlfn.XLOOKUP($A4681,Load!$B:$B,Load!F:F,0,)</f>
        <v>Lollipop (regular or lollipop rings)</v>
      </c>
      <c r="F4681" t="str">
        <f>_xlfn.XLOOKUP($A4681,Load!$B:$B,Load!G:G,0,)</f>
        <v>Single Pack</v>
      </c>
      <c r="G4681" t="str">
        <f>_xlfn.XLOOKUP($A4681,Load!$B:$B,Load!H:H,0,)</f>
        <v>Laydown Bag</v>
      </c>
      <c r="H4681" t="str">
        <f>_xlfn.XLOOKUP($A4681,Load!$B:$B,Load!I:I,0,)</f>
        <v>Everyday Candy Shapes (like Original, Gummy bear, Fruit, Jewels, etc.)</v>
      </c>
      <c r="I4681" t="str">
        <f>_xlfn.XLOOKUP($A4681,Load!$B:$B,Load!J:J,0,)</f>
        <v>Seasonal Graphics (Like Bat, Ghost, Pumpkin, Fall Leaves, Eyeballs, etc.)</v>
      </c>
      <c r="J4681" t="str">
        <f>_xlfn.XLOOKUP($A4681,Load!$B:$B,Load!K:K,0,)</f>
        <v>Regular Lollipop size (on sticks or rings)</v>
      </c>
      <c r="K4681" t="str">
        <f>_xlfn.XLOOKUP($A4681,Load!$B:$B,Load!L:L,0,)</f>
        <v>Regular/Original Wrapping</v>
      </c>
      <c r="L4681" t="str">
        <f>_xlfn.XLOOKUP($A4681,Load!$B:$B,Load!M:M,0,)</f>
        <v>Single Brand / Variety Flavors or Form</v>
      </c>
    </row>
    <row r="4682" spans="1:12" x14ac:dyDescent="0.25">
      <c r="A4682" t="s">
        <v>97</v>
      </c>
      <c r="B4682" t="str">
        <f>_xlfn.XLOOKUP($A4682,Load!$B:$B,Load!C:C,0,)</f>
        <v>Ferrero Variety Pack</v>
      </c>
      <c r="C4682" t="str">
        <f>_xlfn.XLOOKUP($A4682,Load!$B:$B,Load!D:D,0,)</f>
        <v>Mix of Chocolate and Non-Chocolate Candy</v>
      </c>
      <c r="D4682" t="str">
        <f>_xlfn.XLOOKUP($A4682,Load!$B:$B,Load!E:E,0,)</f>
        <v>Variety / Mixed Flavors (Fruity, Sour, Seasonal Flavors)</v>
      </c>
      <c r="E4682" t="str">
        <f>_xlfn.XLOOKUP($A4682,Load!$B:$B,Load!F:F,0,)</f>
        <v>Mixed / Combo Packs (Gummy, Chewy, Taffy, etc.)</v>
      </c>
      <c r="F4682" t="str">
        <f>_xlfn.XLOOKUP($A4682,Load!$B:$B,Load!G:G,0,)</f>
        <v>Large Multipack (More than 80 ct)</v>
      </c>
      <c r="G4682" t="str">
        <f>_xlfn.XLOOKUP($A4682,Load!$B:$B,Load!H:H,0,)</f>
        <v>Stand-Up Bag</v>
      </c>
      <c r="H4682" t="str">
        <f>_xlfn.XLOOKUP($A4682,Load!$B:$B,Load!I:I,0,)</f>
        <v>Everyday Candy Shapes (like Original, Gummy bear, Fruit, Jewels, etc.)</v>
      </c>
      <c r="I4682" t="str">
        <f>_xlfn.XLOOKUP($A4682,Load!$B:$B,Load!J:J,0,)</f>
        <v>Seasonal Graphics (Like Bat, Ghost, Pumpkin, Fall Leaves, Eyeballs, etc.)</v>
      </c>
      <c r="J4682" t="str">
        <f>_xlfn.XLOOKUP($A4682,Load!$B:$B,Load!K:K,0,)</f>
        <v>Fun Size / Treat Size</v>
      </c>
      <c r="K4682" t="str">
        <f>_xlfn.XLOOKUP($A4682,Load!$B:$B,Load!L:L,0,)</f>
        <v>Regular/Original Wrapping</v>
      </c>
      <c r="L4682" t="str">
        <f>_xlfn.XLOOKUP($A4682,Load!$B:$B,Load!M:M,0,)</f>
        <v>Multiple Brands / Variety Flavors or Form</v>
      </c>
    </row>
    <row r="4683" spans="1:12" x14ac:dyDescent="0.25">
      <c r="A4683" t="s">
        <v>137</v>
      </c>
      <c r="B4683" t="str">
        <f>_xlfn.XLOOKUP($A4683,Load!$B:$B,Load!C:C,0,)</f>
        <v>Hershey's Variety Pack + Haribo</v>
      </c>
      <c r="C4683" t="str">
        <f>_xlfn.XLOOKUP($A4683,Load!$B:$B,Load!D:D,0,)</f>
        <v>Non-Chocolate Candy Only</v>
      </c>
      <c r="D4683" t="str">
        <f>_xlfn.XLOOKUP($A4683,Load!$B:$B,Load!E:E,0,)</f>
        <v>Variety / Mixed Flavors (Fruity, Sour, Seasonal Flavors)</v>
      </c>
      <c r="E4683" t="str">
        <f>_xlfn.XLOOKUP($A4683,Load!$B:$B,Load!F:F,0,)</f>
        <v>Mixed / Combo Packs (Gummy, Chewy, Taffy, etc.)</v>
      </c>
      <c r="F4683" t="str">
        <f>_xlfn.XLOOKUP($A4683,Load!$B:$B,Load!G:G,0,)</f>
        <v>Large Multipack (More than 80 ct)</v>
      </c>
      <c r="G4683" t="str">
        <f>_xlfn.XLOOKUP($A4683,Load!$B:$B,Load!H:H,0,)</f>
        <v>Stand-Up Bag</v>
      </c>
      <c r="H4683" t="str">
        <f>_xlfn.XLOOKUP($A4683,Load!$B:$B,Load!I:I,0,)</f>
        <v>Everyday Candy Shapes (like Original, Gummy bear, Fruit, Jewels, etc.)</v>
      </c>
      <c r="I4683" t="str">
        <f>_xlfn.XLOOKUP($A4683,Load!$B:$B,Load!J:J,0,)</f>
        <v>Seasonal Graphics (Like Bat, Ghost, Pumpkin, Fall Leaves, Eyeballs, etc.)</v>
      </c>
      <c r="J4683" t="str">
        <f>_xlfn.XLOOKUP($A4683,Load!$B:$B,Load!K:K,0,)</f>
        <v xml:space="preserve">Variety Candy Sizes </v>
      </c>
      <c r="K4683" t="str">
        <f>_xlfn.XLOOKUP($A4683,Load!$B:$B,Load!L:L,0,)</f>
        <v>Regular/Original Wrapping</v>
      </c>
      <c r="L4683" t="str">
        <f>_xlfn.XLOOKUP($A4683,Load!$B:$B,Load!M:M,0,)</f>
        <v>Multiple Brands / Variety Flavors or Form</v>
      </c>
    </row>
    <row r="4684" spans="1:12" x14ac:dyDescent="0.25">
      <c r="A4684" t="s">
        <v>203</v>
      </c>
      <c r="B4684" t="str">
        <f>_xlfn.XLOOKUP($A4684,Load!$B:$B,Load!C:C,0,)</f>
        <v>Mars Variety Pack</v>
      </c>
      <c r="C4684" t="str">
        <f>_xlfn.XLOOKUP($A4684,Load!$B:$B,Load!D:D,0,)</f>
        <v>Mix of Chocolate and Non-Chocolate Candy</v>
      </c>
      <c r="D4684" t="str">
        <f>_xlfn.XLOOKUP($A4684,Load!$B:$B,Load!E:E,0,)</f>
        <v>Variety / Mixed Flavors (Fruity, Sour, Seasonal Flavors)</v>
      </c>
      <c r="E4684" t="str">
        <f>_xlfn.XLOOKUP($A4684,Load!$B:$B,Load!F:F,0,)</f>
        <v>Mixed / Combo Packs (Gummy, Chewy, Taffy, etc.)</v>
      </c>
      <c r="F4684" t="str">
        <f>_xlfn.XLOOKUP($A4684,Load!$B:$B,Load!G:G,0,)</f>
        <v>Small Multipack (Less than 40 ct)</v>
      </c>
      <c r="G4684" t="str">
        <f>_xlfn.XLOOKUP($A4684,Load!$B:$B,Load!H:H,0,)</f>
        <v>Box (theatre box, gift box, carton)</v>
      </c>
      <c r="H4684" t="str">
        <f>_xlfn.XLOOKUP($A4684,Load!$B:$B,Load!I:I,0,)</f>
        <v>Everyday Candy Shapes (like Original, Gummy bear, Fruit, Jewels, etc.)</v>
      </c>
      <c r="I4684" t="str">
        <f>_xlfn.XLOOKUP($A4684,Load!$B:$B,Load!J:J,0,)</f>
        <v>Everyday Graphics</v>
      </c>
      <c r="J4684" t="str">
        <f>_xlfn.XLOOKUP($A4684,Load!$B:$B,Load!K:K,0,)</f>
        <v>Fun Size / Treat Size</v>
      </c>
      <c r="K4684" t="str">
        <f>_xlfn.XLOOKUP($A4684,Load!$B:$B,Load!L:L,0,)</f>
        <v>Regular/Original Wrapping</v>
      </c>
      <c r="L4684" t="str">
        <f>_xlfn.XLOOKUP($A4684,Load!$B:$B,Load!M:M,0,)</f>
        <v>Multiple Brands / Variety Flavors or Form</v>
      </c>
    </row>
    <row r="4685" spans="1:12" x14ac:dyDescent="0.25">
      <c r="B4685">
        <f>_xlfn.XLOOKUP($A4685,Load!$B:$B,Load!C:C,0,)</f>
        <v>0</v>
      </c>
      <c r="C4685">
        <f>_xlfn.XLOOKUP($A4685,Load!$B:$B,Load!D:D,0,)</f>
        <v>0</v>
      </c>
      <c r="D4685">
        <f>_xlfn.XLOOKUP($A4685,Load!$B:$B,Load!E:E,0,)</f>
        <v>0</v>
      </c>
      <c r="E4685">
        <f>_xlfn.XLOOKUP($A4685,Load!$B:$B,Load!F:F,0,)</f>
        <v>0</v>
      </c>
      <c r="F4685">
        <f>_xlfn.XLOOKUP($A4685,Load!$B:$B,Load!G:G,0,)</f>
        <v>0</v>
      </c>
      <c r="G4685">
        <f>_xlfn.XLOOKUP($A4685,Load!$B:$B,Load!H:H,0,)</f>
        <v>0</v>
      </c>
      <c r="H4685">
        <f>_xlfn.XLOOKUP($A4685,Load!$B:$B,Load!I:I,0,)</f>
        <v>0</v>
      </c>
      <c r="I4685">
        <f>_xlfn.XLOOKUP($A4685,Load!$B:$B,Load!J:J,0,)</f>
        <v>0</v>
      </c>
      <c r="J4685">
        <f>_xlfn.XLOOKUP($A4685,Load!$B:$B,Load!K:K,0,)</f>
        <v>0</v>
      </c>
      <c r="K4685">
        <f>_xlfn.XLOOKUP($A4685,Load!$B:$B,Load!L:L,0,)</f>
        <v>0</v>
      </c>
      <c r="L4685">
        <f>_xlfn.XLOOKUP($A4685,Load!$B:$B,Load!M:M,0,)</f>
        <v>0</v>
      </c>
    </row>
    <row r="4686" spans="1:12" x14ac:dyDescent="0.25">
      <c r="B4686">
        <f>_xlfn.XLOOKUP($A4686,Load!$B:$B,Load!C:C,0,)</f>
        <v>0</v>
      </c>
      <c r="C4686">
        <f>_xlfn.XLOOKUP($A4686,Load!$B:$B,Load!D:D,0,)</f>
        <v>0</v>
      </c>
      <c r="D4686">
        <f>_xlfn.XLOOKUP($A4686,Load!$B:$B,Load!E:E,0,)</f>
        <v>0</v>
      </c>
      <c r="E4686">
        <f>_xlfn.XLOOKUP($A4686,Load!$B:$B,Load!F:F,0,)</f>
        <v>0</v>
      </c>
      <c r="F4686">
        <f>_xlfn.XLOOKUP($A4686,Load!$B:$B,Load!G:G,0,)</f>
        <v>0</v>
      </c>
      <c r="G4686">
        <f>_xlfn.XLOOKUP($A4686,Load!$B:$B,Load!H:H,0,)</f>
        <v>0</v>
      </c>
      <c r="H4686">
        <f>_xlfn.XLOOKUP($A4686,Load!$B:$B,Load!I:I,0,)</f>
        <v>0</v>
      </c>
      <c r="I4686">
        <f>_xlfn.XLOOKUP($A4686,Load!$B:$B,Load!J:J,0,)</f>
        <v>0</v>
      </c>
      <c r="J4686">
        <f>_xlfn.XLOOKUP($A4686,Load!$B:$B,Load!K:K,0,)</f>
        <v>0</v>
      </c>
      <c r="K4686">
        <f>_xlfn.XLOOKUP($A4686,Load!$B:$B,Load!L:L,0,)</f>
        <v>0</v>
      </c>
      <c r="L4686">
        <f>_xlfn.XLOOKUP($A4686,Load!$B:$B,Load!M:M,0,)</f>
        <v>0</v>
      </c>
    </row>
    <row r="4687" spans="1:12" x14ac:dyDescent="0.25">
      <c r="B4687">
        <f>_xlfn.XLOOKUP($A4687,Load!$B:$B,Load!C:C,0,)</f>
        <v>0</v>
      </c>
      <c r="C4687">
        <f>_xlfn.XLOOKUP($A4687,Load!$B:$B,Load!D:D,0,)</f>
        <v>0</v>
      </c>
      <c r="D4687">
        <f>_xlfn.XLOOKUP($A4687,Load!$B:$B,Load!E:E,0,)</f>
        <v>0</v>
      </c>
      <c r="E4687">
        <f>_xlfn.XLOOKUP($A4687,Load!$B:$B,Load!F:F,0,)</f>
        <v>0</v>
      </c>
      <c r="F4687">
        <f>_xlfn.XLOOKUP($A4687,Load!$B:$B,Load!G:G,0,)</f>
        <v>0</v>
      </c>
      <c r="G4687">
        <f>_xlfn.XLOOKUP($A4687,Load!$B:$B,Load!H:H,0,)</f>
        <v>0</v>
      </c>
      <c r="H4687">
        <f>_xlfn.XLOOKUP($A4687,Load!$B:$B,Load!I:I,0,)</f>
        <v>0</v>
      </c>
      <c r="I4687">
        <f>_xlfn.XLOOKUP($A4687,Load!$B:$B,Load!J:J,0,)</f>
        <v>0</v>
      </c>
      <c r="J4687">
        <f>_xlfn.XLOOKUP($A4687,Load!$B:$B,Load!K:K,0,)</f>
        <v>0</v>
      </c>
      <c r="K4687">
        <f>_xlfn.XLOOKUP($A4687,Load!$B:$B,Load!L:L,0,)</f>
        <v>0</v>
      </c>
      <c r="L4687">
        <f>_xlfn.XLOOKUP($A4687,Load!$B:$B,Load!M:M,0,)</f>
        <v>0</v>
      </c>
    </row>
    <row r="4688" spans="1:12" x14ac:dyDescent="0.25">
      <c r="A4688" t="s">
        <v>255</v>
      </c>
      <c r="B4688" t="str">
        <f>_xlfn.XLOOKUP($A4688,Load!$B:$B,Load!C:C,0,)</f>
        <v>Skittles</v>
      </c>
      <c r="C4688" t="str">
        <f>_xlfn.XLOOKUP($A4688,Load!$B:$B,Load!D:D,0,)</f>
        <v>Non-Chocolate Candy Only</v>
      </c>
      <c r="D4688" t="str">
        <f>_xlfn.XLOOKUP($A4688,Load!$B:$B,Load!E:E,0,)</f>
        <v>Variety / Mixed Flavors (Fruity, Sour, Seasonal Flavors)</v>
      </c>
      <c r="E4688" t="str">
        <f>_xlfn.XLOOKUP($A4688,Load!$B:$B,Load!F:F,0,)</f>
        <v>Gummy</v>
      </c>
      <c r="F4688" t="str">
        <f>_xlfn.XLOOKUP($A4688,Load!$B:$B,Load!G:G,0,)</f>
        <v>Large Multipack (More than 80 ct)</v>
      </c>
      <c r="G4688" t="str">
        <f>_xlfn.XLOOKUP($A4688,Load!$B:$B,Load!H:H,0,)</f>
        <v>Stand-Up Bag</v>
      </c>
      <c r="H4688" t="str">
        <f>_xlfn.XLOOKUP($A4688,Load!$B:$B,Load!I:I,0,)</f>
        <v>Everyday Candy Shapes (like Original, Gummy bear, Fruit, Jewels, etc.)</v>
      </c>
      <c r="I4688" t="str">
        <f>_xlfn.XLOOKUP($A4688,Load!$B:$B,Load!J:J,0,)</f>
        <v>Everyday Graphics</v>
      </c>
      <c r="J4688" t="str">
        <f>_xlfn.XLOOKUP($A4688,Load!$B:$B,Load!K:K,0,)</f>
        <v>Fun Size / Treat Size</v>
      </c>
      <c r="K4688" t="str">
        <f>_xlfn.XLOOKUP($A4688,Load!$B:$B,Load!L:L,0,)</f>
        <v>Regular/Original Wrapping</v>
      </c>
      <c r="L4688" t="str">
        <f>_xlfn.XLOOKUP($A4688,Load!$B:$B,Load!M:M,0,)</f>
        <v>Single Brand / Variety Flavors or Form</v>
      </c>
    </row>
    <row r="4689" spans="1:12" x14ac:dyDescent="0.25">
      <c r="A4689" t="s">
        <v>161</v>
      </c>
      <c r="B4689" t="str">
        <f>_xlfn.XLOOKUP($A4689,Load!$B:$B,Load!C:C,0,)</f>
        <v>Jolly Rancher</v>
      </c>
      <c r="C4689" t="str">
        <f>_xlfn.XLOOKUP($A4689,Load!$B:$B,Load!D:D,0,)</f>
        <v>Non-Chocolate Candy Only</v>
      </c>
      <c r="D4689" t="str">
        <f>_xlfn.XLOOKUP($A4689,Load!$B:$B,Load!E:E,0,)</f>
        <v>Variety / Mixed Flavors (Fruity, Sour, Seasonal Flavors)</v>
      </c>
      <c r="E4689" t="str">
        <f>_xlfn.XLOOKUP($A4689,Load!$B:$B,Load!F:F,0,)</f>
        <v>Mixed / Combo Packs (Gummy, Chewy, Taffy, etc.)</v>
      </c>
      <c r="F4689" t="str">
        <f>_xlfn.XLOOKUP($A4689,Load!$B:$B,Load!G:G,0,)</f>
        <v>Large Multipack (More than 80 ct)</v>
      </c>
      <c r="G4689" t="str">
        <f>_xlfn.XLOOKUP($A4689,Load!$B:$B,Load!H:H,0,)</f>
        <v>Stand-Up Bag</v>
      </c>
      <c r="H4689" t="str">
        <f>_xlfn.XLOOKUP($A4689,Load!$B:$B,Load!I:I,0,)</f>
        <v>Everyday Candy Shapes (like Original, Gummy bear, Fruit, Jewels, etc.)</v>
      </c>
      <c r="I4689" t="str">
        <f>_xlfn.XLOOKUP($A4689,Load!$B:$B,Load!J:J,0,)</f>
        <v>Seasonal Graphics (Like Bat, Ghost, Pumpkin, Fall Leaves, Eyeballs, etc.)</v>
      </c>
      <c r="J4689" t="str">
        <f>_xlfn.XLOOKUP($A4689,Load!$B:$B,Load!K:K,0,)</f>
        <v xml:space="preserve">Variety Candy Sizes </v>
      </c>
      <c r="K4689" t="str">
        <f>_xlfn.XLOOKUP($A4689,Load!$B:$B,Load!L:L,0,)</f>
        <v>Regular/Original Wrapping</v>
      </c>
      <c r="L4689" t="str">
        <f>_xlfn.XLOOKUP($A4689,Load!$B:$B,Load!M:M,0,)</f>
        <v>Single Brand / Variety Flavors or Form</v>
      </c>
    </row>
    <row r="4690" spans="1:12" x14ac:dyDescent="0.25">
      <c r="A4690" t="s">
        <v>32</v>
      </c>
      <c r="B4690" t="str">
        <f>_xlfn.XLOOKUP($A4690,Load!$B:$B,Load!C:C,0,)</f>
        <v>Bazooka Brands</v>
      </c>
      <c r="C4690" t="str">
        <f>_xlfn.XLOOKUP($A4690,Load!$B:$B,Load!D:D,0,)</f>
        <v>Non-Chocolate Candy Only</v>
      </c>
      <c r="D4690" t="str">
        <f>_xlfn.XLOOKUP($A4690,Load!$B:$B,Load!E:E,0,)</f>
        <v>Sweet</v>
      </c>
      <c r="E4690" t="str">
        <f>_xlfn.XLOOKUP($A4690,Load!$B:$B,Load!F:F,0,)</f>
        <v>Gummy</v>
      </c>
      <c r="F4690" t="str">
        <f>_xlfn.XLOOKUP($A4690,Load!$B:$B,Load!G:G,0,)</f>
        <v>Small Multipack (Less than 40 ct)</v>
      </c>
      <c r="G4690" t="str">
        <f>_xlfn.XLOOKUP($A4690,Load!$B:$B,Load!H:H,0,)</f>
        <v>Stand-Up Bag</v>
      </c>
      <c r="H4690" t="str">
        <f>_xlfn.XLOOKUP($A4690,Load!$B:$B,Load!I:I,0,)</f>
        <v>Seasonal Shapes (like pumpkins, candy corn, ghost, bats, etc.)</v>
      </c>
      <c r="I4690" t="str">
        <f>_xlfn.XLOOKUP($A4690,Load!$B:$B,Load!J:J,0,)</f>
        <v>Seasonal Graphics (Like Bat, Ghost, Pumpkin, Fall Leaves, Eyeballs, etc.)</v>
      </c>
      <c r="J4690" t="str">
        <f>_xlfn.XLOOKUP($A4690,Load!$B:$B,Load!K:K,0,)</f>
        <v>Fun Size / Treat Size</v>
      </c>
      <c r="K4690" t="str">
        <f>_xlfn.XLOOKUP($A4690,Load!$B:$B,Load!L:L,0,)</f>
        <v>Regular/Original Wrapping</v>
      </c>
      <c r="L4690" t="str">
        <f>_xlfn.XLOOKUP($A4690,Load!$B:$B,Load!M:M,0,)</f>
        <v>Multiple Brands / Variety Flavors or Form</v>
      </c>
    </row>
    <row r="4691" spans="1:12" x14ac:dyDescent="0.25">
      <c r="A4691" t="s">
        <v>121</v>
      </c>
      <c r="B4691" t="str">
        <f>_xlfn.XLOOKUP($A4691,Load!$B:$B,Load!C:C,0,)</f>
        <v>HARIBO</v>
      </c>
      <c r="C4691" t="str">
        <f>_xlfn.XLOOKUP($A4691,Load!$B:$B,Load!D:D,0,)</f>
        <v>Non-Chocolate Candy Only</v>
      </c>
      <c r="D4691" t="str">
        <f>_xlfn.XLOOKUP($A4691,Load!$B:$B,Load!E:E,0,)</f>
        <v>Variety / Mixed Flavors (Fruity, Sour, Seasonal Flavors)</v>
      </c>
      <c r="E4691" t="str">
        <f>_xlfn.XLOOKUP($A4691,Load!$B:$B,Load!F:F,0,)</f>
        <v>Gummy</v>
      </c>
      <c r="F4691" t="str">
        <f>_xlfn.XLOOKUP($A4691,Load!$B:$B,Load!G:G,0,)</f>
        <v>Large Multipack (More than 80 ct)</v>
      </c>
      <c r="G4691" t="str">
        <f>_xlfn.XLOOKUP($A4691,Load!$B:$B,Load!H:H,0,)</f>
        <v>Stand-Up Bag</v>
      </c>
      <c r="H4691" t="str">
        <f>_xlfn.XLOOKUP($A4691,Load!$B:$B,Load!I:I,0,)</f>
        <v>Seasonal Shapes (like pumpkins, candy corn, ghost, bats, etc.)</v>
      </c>
      <c r="I4691" t="str">
        <f>_xlfn.XLOOKUP($A4691,Load!$B:$B,Load!J:J,0,)</f>
        <v>Seasonal Graphics (Like Bat, Ghost, Pumpkin, Fall Leaves, Eyeballs, etc.)</v>
      </c>
      <c r="J4691" t="str">
        <f>_xlfn.XLOOKUP($A4691,Load!$B:$B,Load!K:K,0,)</f>
        <v>Fun Size / Treat Size</v>
      </c>
      <c r="K4691" t="str">
        <f>_xlfn.XLOOKUP($A4691,Load!$B:$B,Load!L:L,0,)</f>
        <v>Regular/Original Wrapping</v>
      </c>
      <c r="L4691" t="str">
        <f>_xlfn.XLOOKUP($A4691,Load!$B:$B,Load!M:M,0,)</f>
        <v>Multiple Brands / Variety Flavors or Form</v>
      </c>
    </row>
    <row r="4692" spans="1:12" x14ac:dyDescent="0.25">
      <c r="B4692">
        <f>_xlfn.XLOOKUP($A4692,Load!$B:$B,Load!C:C,0,)</f>
        <v>0</v>
      </c>
      <c r="C4692">
        <f>_xlfn.XLOOKUP($A4692,Load!$B:$B,Load!D:D,0,)</f>
        <v>0</v>
      </c>
      <c r="D4692">
        <f>_xlfn.XLOOKUP($A4692,Load!$B:$B,Load!E:E,0,)</f>
        <v>0</v>
      </c>
      <c r="E4692">
        <f>_xlfn.XLOOKUP($A4692,Load!$B:$B,Load!F:F,0,)</f>
        <v>0</v>
      </c>
      <c r="F4692">
        <f>_xlfn.XLOOKUP($A4692,Load!$B:$B,Load!G:G,0,)</f>
        <v>0</v>
      </c>
      <c r="G4692">
        <f>_xlfn.XLOOKUP($A4692,Load!$B:$B,Load!H:H,0,)</f>
        <v>0</v>
      </c>
      <c r="H4692">
        <f>_xlfn.XLOOKUP($A4692,Load!$B:$B,Load!I:I,0,)</f>
        <v>0</v>
      </c>
      <c r="I4692">
        <f>_xlfn.XLOOKUP($A4692,Load!$B:$B,Load!J:J,0,)</f>
        <v>0</v>
      </c>
      <c r="J4692">
        <f>_xlfn.XLOOKUP($A4692,Load!$B:$B,Load!K:K,0,)</f>
        <v>0</v>
      </c>
      <c r="K4692">
        <f>_xlfn.XLOOKUP($A4692,Load!$B:$B,Load!L:L,0,)</f>
        <v>0</v>
      </c>
      <c r="L4692">
        <f>_xlfn.XLOOKUP($A4692,Load!$B:$B,Load!M:M,0,)</f>
        <v>0</v>
      </c>
    </row>
    <row r="4693" spans="1:12" x14ac:dyDescent="0.25">
      <c r="B4693">
        <f>_xlfn.XLOOKUP($A4693,Load!$B:$B,Load!C:C,0,)</f>
        <v>0</v>
      </c>
      <c r="C4693">
        <f>_xlfn.XLOOKUP($A4693,Load!$B:$B,Load!D:D,0,)</f>
        <v>0</v>
      </c>
      <c r="D4693">
        <f>_xlfn.XLOOKUP($A4693,Load!$B:$B,Load!E:E,0,)</f>
        <v>0</v>
      </c>
      <c r="E4693">
        <f>_xlfn.XLOOKUP($A4693,Load!$B:$B,Load!F:F,0,)</f>
        <v>0</v>
      </c>
      <c r="F4693">
        <f>_xlfn.XLOOKUP($A4693,Load!$B:$B,Load!G:G,0,)</f>
        <v>0</v>
      </c>
      <c r="G4693">
        <f>_xlfn.XLOOKUP($A4693,Load!$B:$B,Load!H:H,0,)</f>
        <v>0</v>
      </c>
      <c r="H4693">
        <f>_xlfn.XLOOKUP($A4693,Load!$B:$B,Load!I:I,0,)</f>
        <v>0</v>
      </c>
      <c r="I4693">
        <f>_xlfn.XLOOKUP($A4693,Load!$B:$B,Load!J:J,0,)</f>
        <v>0</v>
      </c>
      <c r="J4693">
        <f>_xlfn.XLOOKUP($A4693,Load!$B:$B,Load!K:K,0,)</f>
        <v>0</v>
      </c>
      <c r="K4693">
        <f>_xlfn.XLOOKUP($A4693,Load!$B:$B,Load!L:L,0,)</f>
        <v>0</v>
      </c>
      <c r="L4693">
        <f>_xlfn.XLOOKUP($A4693,Load!$B:$B,Load!M:M,0,)</f>
        <v>0</v>
      </c>
    </row>
    <row r="4694" spans="1:12" x14ac:dyDescent="0.25">
      <c r="A4694" t="s">
        <v>95</v>
      </c>
      <c r="B4694" t="str">
        <f>_xlfn.XLOOKUP($A4694,Load!$B:$B,Load!C:C,0,)</f>
        <v>Ferrara Variety Pack</v>
      </c>
      <c r="C4694" t="str">
        <f>_xlfn.XLOOKUP($A4694,Load!$B:$B,Load!D:D,0,)</f>
        <v>Non-Chocolate Candy Only</v>
      </c>
      <c r="D4694" t="str">
        <f>_xlfn.XLOOKUP($A4694,Load!$B:$B,Load!E:E,0,)</f>
        <v>Variety / Mixed Flavors (Fruity, Sour, Seasonal Flavors)</v>
      </c>
      <c r="E4694" t="str">
        <f>_xlfn.XLOOKUP($A4694,Load!$B:$B,Load!F:F,0,)</f>
        <v>Mixed / Combo Packs (Gummy, Chewy, Taffy, etc.)</v>
      </c>
      <c r="F4694" t="str">
        <f>_xlfn.XLOOKUP($A4694,Load!$B:$B,Load!G:G,0,)</f>
        <v>Medium Multipack (40–80 ct)</v>
      </c>
      <c r="G4694" t="str">
        <f>_xlfn.XLOOKUP($A4694,Load!$B:$B,Load!H:H,0,)</f>
        <v>Stand-Up Bag</v>
      </c>
      <c r="H4694" t="str">
        <f>_xlfn.XLOOKUP($A4694,Load!$B:$B,Load!I:I,0,)</f>
        <v>Everyday Candy Shapes (like Original, Gummy bear, Fruit, Jewels, etc.)</v>
      </c>
      <c r="I4694" t="str">
        <f>_xlfn.XLOOKUP($A4694,Load!$B:$B,Load!J:J,0,)</f>
        <v>Seasonal Graphics (Like Bat, Ghost, Pumpkin, Fall Leaves, Eyeballs, etc.)</v>
      </c>
      <c r="J4694" t="str">
        <f>_xlfn.XLOOKUP($A4694,Load!$B:$B,Load!K:K,0,)</f>
        <v xml:space="preserve">Variety Candy Sizes </v>
      </c>
      <c r="K4694" t="str">
        <f>_xlfn.XLOOKUP($A4694,Load!$B:$B,Load!L:L,0,)</f>
        <v>Regular/Original Wrapping</v>
      </c>
      <c r="L4694" t="str">
        <f>_xlfn.XLOOKUP($A4694,Load!$B:$B,Load!M:M,0,)</f>
        <v>Multiple Brands / Variety Flavors or Form</v>
      </c>
    </row>
    <row r="4695" spans="1:12" x14ac:dyDescent="0.25">
      <c r="A4695" t="s">
        <v>191</v>
      </c>
      <c r="B4695" t="str">
        <f>_xlfn.XLOOKUP($A4695,Load!$B:$B,Load!C:C,0,)</f>
        <v>Mars Variety Pack</v>
      </c>
      <c r="C4695" t="str">
        <f>_xlfn.XLOOKUP($A4695,Load!$B:$B,Load!D:D,0,)</f>
        <v>Mix of Chocolate and Non-Chocolate Candy</v>
      </c>
      <c r="D4695" t="str">
        <f>_xlfn.XLOOKUP($A4695,Load!$B:$B,Load!E:E,0,)</f>
        <v>Variety / Mixed Flavors (Fruity, Sour, Seasonal Flavors)</v>
      </c>
      <c r="E4695" t="str">
        <f>_xlfn.XLOOKUP($A4695,Load!$B:$B,Load!F:F,0,)</f>
        <v>Mixed / Combo Packs (Gummy, Chewy, Taffy, etc.)</v>
      </c>
      <c r="F4695" t="str">
        <f>_xlfn.XLOOKUP($A4695,Load!$B:$B,Load!G:G,0,)</f>
        <v>Medium Multipack (40–80 ct)</v>
      </c>
      <c r="G4695" t="str">
        <f>_xlfn.XLOOKUP($A4695,Load!$B:$B,Load!H:H,0,)</f>
        <v>Stand-Up Bag</v>
      </c>
      <c r="H4695" t="str">
        <f>_xlfn.XLOOKUP($A4695,Load!$B:$B,Load!I:I,0,)</f>
        <v>Everyday Candy Shapes (like Original, Gummy bear, Fruit, Jewels, etc.)</v>
      </c>
      <c r="I4695" t="str">
        <f>_xlfn.XLOOKUP($A4695,Load!$B:$B,Load!J:J,0,)</f>
        <v>Seasonal Graphics (Like Bat, Ghost, Pumpkin, Fall Leaves, Eyeballs, etc.)</v>
      </c>
      <c r="J4695" t="str">
        <f>_xlfn.XLOOKUP($A4695,Load!$B:$B,Load!K:K,0,)</f>
        <v xml:space="preserve">Variety Candy Sizes </v>
      </c>
      <c r="K4695" t="str">
        <f>_xlfn.XLOOKUP($A4695,Load!$B:$B,Load!L:L,0,)</f>
        <v>Regular/Original Wrapping</v>
      </c>
      <c r="L4695" t="str">
        <f>_xlfn.XLOOKUP($A4695,Load!$B:$B,Load!M:M,0,)</f>
        <v>Multiple Brands / Variety Flavors or Form</v>
      </c>
    </row>
    <row r="4696" spans="1:12" x14ac:dyDescent="0.25">
      <c r="A4696" t="s">
        <v>2</v>
      </c>
      <c r="B4696" t="str">
        <f>_xlfn.XLOOKUP($A4696,Load!$B:$B,Load!C:C,0,)</f>
        <v>Airheads</v>
      </c>
      <c r="C4696" t="str">
        <f>_xlfn.XLOOKUP($A4696,Load!$B:$B,Load!D:D,0,)</f>
        <v>Non-Chocolate Candy Only</v>
      </c>
      <c r="D4696" t="str">
        <f>_xlfn.XLOOKUP($A4696,Load!$B:$B,Load!E:E,0,)</f>
        <v>Variety / Mixed Flavors (Fruity, Sour, Seasonal Flavors)</v>
      </c>
      <c r="E4696" t="str">
        <f>_xlfn.XLOOKUP($A4696,Load!$B:$B,Load!F:F,0,)</f>
        <v>Chewy</v>
      </c>
      <c r="F4696" t="str">
        <f>_xlfn.XLOOKUP($A4696,Load!$B:$B,Load!G:G,0,)</f>
        <v>Medium Multipack (40–80 ct)</v>
      </c>
      <c r="G4696" t="str">
        <f>_xlfn.XLOOKUP($A4696,Load!$B:$B,Load!H:H,0,)</f>
        <v>Box (theatre box, gift box, carton)</v>
      </c>
      <c r="H4696" t="str">
        <f>_xlfn.XLOOKUP($A4696,Load!$B:$B,Load!I:I,0,)</f>
        <v>Everyday Candy Shapes (like Original, Gummy bear, Fruit, Jewels, etc.)</v>
      </c>
      <c r="I4696" t="str">
        <f>_xlfn.XLOOKUP($A4696,Load!$B:$B,Load!J:J,0,)</f>
        <v>Seasonal Graphics (Like Bat, Ghost, Pumpkin, Fall Leaves, Eyeballs, etc.)</v>
      </c>
      <c r="J4696" t="str">
        <f>_xlfn.XLOOKUP($A4696,Load!$B:$B,Load!K:K,0,)</f>
        <v>Fun Size / Treat Size</v>
      </c>
      <c r="K4696" t="str">
        <f>_xlfn.XLOOKUP($A4696,Load!$B:$B,Load!L:L,0,)</f>
        <v>Regular/Original Wrapping</v>
      </c>
      <c r="L4696" t="str">
        <f>_xlfn.XLOOKUP($A4696,Load!$B:$B,Load!M:M,0,)</f>
        <v>Single Brand / Variety Flavors or Form</v>
      </c>
    </row>
    <row r="4697" spans="1:12" x14ac:dyDescent="0.25">
      <c r="A4697" t="s">
        <v>4</v>
      </c>
      <c r="B4697" t="str">
        <f>_xlfn.XLOOKUP($A4697,Load!$B:$B,Load!C:C,0,)</f>
        <v>Airheads</v>
      </c>
      <c r="C4697" t="str">
        <f>_xlfn.XLOOKUP($A4697,Load!$B:$B,Load!D:D,0,)</f>
        <v>Non-Chocolate Candy Only</v>
      </c>
      <c r="D4697" t="str">
        <f>_xlfn.XLOOKUP($A4697,Load!$B:$B,Load!E:E,0,)</f>
        <v>Variety / Mixed Flavors (Fruity, Sour, Seasonal Flavors)</v>
      </c>
      <c r="E4697" t="str">
        <f>_xlfn.XLOOKUP($A4697,Load!$B:$B,Load!F:F,0,)</f>
        <v>Chewy</v>
      </c>
      <c r="F4697" t="str">
        <f>_xlfn.XLOOKUP($A4697,Load!$B:$B,Load!G:G,0,)</f>
        <v>Large Multipack (More than 80 ct)</v>
      </c>
      <c r="G4697" t="str">
        <f>_xlfn.XLOOKUP($A4697,Load!$B:$B,Load!H:H,0,)</f>
        <v>Box (theatre box, gift box, carton)</v>
      </c>
      <c r="H4697" t="str">
        <f>_xlfn.XLOOKUP($A4697,Load!$B:$B,Load!I:I,0,)</f>
        <v>Everyday Candy Shapes (like Original, Gummy bear, Fruit, Jewels, etc.)</v>
      </c>
      <c r="I4697" t="str">
        <f>_xlfn.XLOOKUP($A4697,Load!$B:$B,Load!J:J,0,)</f>
        <v>Seasonal Graphics (Like Bat, Ghost, Pumpkin, Fall Leaves, Eyeballs, etc.)</v>
      </c>
      <c r="J4697" t="str">
        <f>_xlfn.XLOOKUP($A4697,Load!$B:$B,Load!K:K,0,)</f>
        <v>Fun Size / Treat Size</v>
      </c>
      <c r="K4697" t="str">
        <f>_xlfn.XLOOKUP($A4697,Load!$B:$B,Load!L:L,0,)</f>
        <v>Regular/Original Wrapping</v>
      </c>
      <c r="L4697" t="str">
        <f>_xlfn.XLOOKUP($A4697,Load!$B:$B,Load!M:M,0,)</f>
        <v>Single Brand / Variety Flavors or Form</v>
      </c>
    </row>
    <row r="4698" spans="1:12" x14ac:dyDescent="0.25">
      <c r="B4698">
        <f>_xlfn.XLOOKUP($A4698,Load!$B:$B,Load!C:C,0,)</f>
        <v>0</v>
      </c>
      <c r="C4698">
        <f>_xlfn.XLOOKUP($A4698,Load!$B:$B,Load!D:D,0,)</f>
        <v>0</v>
      </c>
      <c r="D4698">
        <f>_xlfn.XLOOKUP($A4698,Load!$B:$B,Load!E:E,0,)</f>
        <v>0</v>
      </c>
      <c r="E4698">
        <f>_xlfn.XLOOKUP($A4698,Load!$B:$B,Load!F:F,0,)</f>
        <v>0</v>
      </c>
      <c r="F4698">
        <f>_xlfn.XLOOKUP($A4698,Load!$B:$B,Load!G:G,0,)</f>
        <v>0</v>
      </c>
      <c r="G4698">
        <f>_xlfn.XLOOKUP($A4698,Load!$B:$B,Load!H:H,0,)</f>
        <v>0</v>
      </c>
      <c r="H4698">
        <f>_xlfn.XLOOKUP($A4698,Load!$B:$B,Load!I:I,0,)</f>
        <v>0</v>
      </c>
      <c r="I4698">
        <f>_xlfn.XLOOKUP($A4698,Load!$B:$B,Load!J:J,0,)</f>
        <v>0</v>
      </c>
      <c r="J4698">
        <f>_xlfn.XLOOKUP($A4698,Load!$B:$B,Load!K:K,0,)</f>
        <v>0</v>
      </c>
      <c r="K4698">
        <f>_xlfn.XLOOKUP($A4698,Load!$B:$B,Load!L:L,0,)</f>
        <v>0</v>
      </c>
      <c r="L4698">
        <f>_xlfn.XLOOKUP($A4698,Load!$B:$B,Load!M:M,0,)</f>
        <v>0</v>
      </c>
    </row>
    <row r="4699" spans="1:12" x14ac:dyDescent="0.25">
      <c r="B4699">
        <f>_xlfn.XLOOKUP($A4699,Load!$B:$B,Load!C:C,0,)</f>
        <v>0</v>
      </c>
      <c r="C4699">
        <f>_xlfn.XLOOKUP($A4699,Load!$B:$B,Load!D:D,0,)</f>
        <v>0</v>
      </c>
      <c r="D4699">
        <f>_xlfn.XLOOKUP($A4699,Load!$B:$B,Load!E:E,0,)</f>
        <v>0</v>
      </c>
      <c r="E4699">
        <f>_xlfn.XLOOKUP($A4699,Load!$B:$B,Load!F:F,0,)</f>
        <v>0</v>
      </c>
      <c r="F4699">
        <f>_xlfn.XLOOKUP($A4699,Load!$B:$B,Load!G:G,0,)</f>
        <v>0</v>
      </c>
      <c r="G4699">
        <f>_xlfn.XLOOKUP($A4699,Load!$B:$B,Load!H:H,0,)</f>
        <v>0</v>
      </c>
      <c r="H4699">
        <f>_xlfn.XLOOKUP($A4699,Load!$B:$B,Load!I:I,0,)</f>
        <v>0</v>
      </c>
      <c r="I4699">
        <f>_xlfn.XLOOKUP($A4699,Load!$B:$B,Load!J:J,0,)</f>
        <v>0</v>
      </c>
      <c r="J4699">
        <f>_xlfn.XLOOKUP($A4699,Load!$B:$B,Load!K:K,0,)</f>
        <v>0</v>
      </c>
      <c r="K4699">
        <f>_xlfn.XLOOKUP($A4699,Load!$B:$B,Load!L:L,0,)</f>
        <v>0</v>
      </c>
      <c r="L4699">
        <f>_xlfn.XLOOKUP($A4699,Load!$B:$B,Load!M:M,0,)</f>
        <v>0</v>
      </c>
    </row>
    <row r="4700" spans="1:12" x14ac:dyDescent="0.25">
      <c r="A4700" t="s">
        <v>66</v>
      </c>
      <c r="B4700" t="str">
        <f>_xlfn.XLOOKUP($A4700,Load!$B:$B,Load!C:C,0,)</f>
        <v>Dots</v>
      </c>
      <c r="C4700" t="str">
        <f>_xlfn.XLOOKUP($A4700,Load!$B:$B,Load!D:D,0,)</f>
        <v>Non-Chocolate Candy Only</v>
      </c>
      <c r="D4700" t="str">
        <f>_xlfn.XLOOKUP($A4700,Load!$B:$B,Load!E:E,0,)</f>
        <v>Variety / Mixed Flavors (Fruity, Sour, Seasonal Flavors)</v>
      </c>
      <c r="E4700" t="str">
        <f>_xlfn.XLOOKUP($A4700,Load!$B:$B,Load!F:F,0,)</f>
        <v>Candy Pieces / Bites</v>
      </c>
      <c r="F4700" t="str">
        <f>_xlfn.XLOOKUP($A4700,Load!$B:$B,Load!G:G,0,)</f>
        <v>Small Multipack (Less than 40 ct)</v>
      </c>
      <c r="G4700" t="str">
        <f>_xlfn.XLOOKUP($A4700,Load!$B:$B,Load!H:H,0,)</f>
        <v>Stand-Up Bag</v>
      </c>
      <c r="H4700" t="str">
        <f>_xlfn.XLOOKUP($A4700,Load!$B:$B,Load!I:I,0,)</f>
        <v>Seasonal Shapes (like pumpkins, candy corn, ghost, bats, etc.)</v>
      </c>
      <c r="I4700" t="str">
        <f>_xlfn.XLOOKUP($A4700,Load!$B:$B,Load!J:J,0,)</f>
        <v>Seasonal Graphics (Like Bat, Ghost, Pumpkin, Fall Leaves, Eyeballs, etc.)</v>
      </c>
      <c r="J4700" t="str">
        <f>_xlfn.XLOOKUP($A4700,Load!$B:$B,Load!K:K,0,)</f>
        <v>Fun Size / Treat Size</v>
      </c>
      <c r="K4700" t="str">
        <f>_xlfn.XLOOKUP($A4700,Load!$B:$B,Load!L:L,0,)</f>
        <v>Regular/Original Wrapping</v>
      </c>
      <c r="L4700" t="str">
        <f>_xlfn.XLOOKUP($A4700,Load!$B:$B,Load!M:M,0,)</f>
        <v>Single Brand / Variety Flavors or Form</v>
      </c>
    </row>
    <row r="4701" spans="1:12" x14ac:dyDescent="0.25">
      <c r="B4701">
        <f>_xlfn.XLOOKUP($A4701,Load!$B:$B,Load!C:C,0,)</f>
        <v>0</v>
      </c>
      <c r="C4701">
        <f>_xlfn.XLOOKUP($A4701,Load!$B:$B,Load!D:D,0,)</f>
        <v>0</v>
      </c>
      <c r="D4701">
        <f>_xlfn.XLOOKUP($A4701,Load!$B:$B,Load!E:E,0,)</f>
        <v>0</v>
      </c>
      <c r="E4701">
        <f>_xlfn.XLOOKUP($A4701,Load!$B:$B,Load!F:F,0,)</f>
        <v>0</v>
      </c>
      <c r="F4701">
        <f>_xlfn.XLOOKUP($A4701,Load!$B:$B,Load!G:G,0,)</f>
        <v>0</v>
      </c>
      <c r="G4701">
        <f>_xlfn.XLOOKUP($A4701,Load!$B:$B,Load!H:H,0,)</f>
        <v>0</v>
      </c>
      <c r="H4701">
        <f>_xlfn.XLOOKUP($A4701,Load!$B:$B,Load!I:I,0,)</f>
        <v>0</v>
      </c>
      <c r="I4701">
        <f>_xlfn.XLOOKUP($A4701,Load!$B:$B,Load!J:J,0,)</f>
        <v>0</v>
      </c>
      <c r="J4701">
        <f>_xlfn.XLOOKUP($A4701,Load!$B:$B,Load!K:K,0,)</f>
        <v>0</v>
      </c>
      <c r="K4701">
        <f>_xlfn.XLOOKUP($A4701,Load!$B:$B,Load!L:L,0,)</f>
        <v>0</v>
      </c>
      <c r="L4701">
        <f>_xlfn.XLOOKUP($A4701,Load!$B:$B,Load!M:M,0,)</f>
        <v>0</v>
      </c>
    </row>
    <row r="4702" spans="1:12" x14ac:dyDescent="0.25">
      <c r="A4702" t="s">
        <v>119</v>
      </c>
      <c r="B4702" t="str">
        <f>_xlfn.XLOOKUP($A4702,Load!$B:$B,Load!C:C,0,)</f>
        <v>Great Value</v>
      </c>
      <c r="C4702" t="str">
        <f>_xlfn.XLOOKUP($A4702,Load!$B:$B,Load!D:D,0,)</f>
        <v>Non-Chocolate Candy Only</v>
      </c>
      <c r="D4702" t="str">
        <f>_xlfn.XLOOKUP($A4702,Load!$B:$B,Load!E:E,0,)</f>
        <v>Fall / Seasonal Flavors (pumpkin spice, caramel apple, candy corn)</v>
      </c>
      <c r="E4702" t="str">
        <f>_xlfn.XLOOKUP($A4702,Load!$B:$B,Load!F:F,0,)</f>
        <v>Candy Pieces / Bites</v>
      </c>
      <c r="F4702" t="str">
        <f>_xlfn.XLOOKUP($A4702,Load!$B:$B,Load!G:G,0,)</f>
        <v>Single Pack</v>
      </c>
      <c r="G4702" t="str">
        <f>_xlfn.XLOOKUP($A4702,Load!$B:$B,Load!H:H,0,)</f>
        <v>Laydown Bag</v>
      </c>
      <c r="H4702" t="str">
        <f>_xlfn.XLOOKUP($A4702,Load!$B:$B,Load!I:I,0,)</f>
        <v>Seasonal Shapes (like pumpkins, candy corn, ghost, bats, etc.)</v>
      </c>
      <c r="I4702" t="str">
        <f>_xlfn.XLOOKUP($A4702,Load!$B:$B,Load!J:J,0,)</f>
        <v>Seasonal Graphics (Like Bat, Ghost, Pumpkin, Fall Leaves, Eyeballs, etc.)</v>
      </c>
      <c r="J4702" t="str">
        <f>_xlfn.XLOOKUP($A4702,Load!$B:$B,Load!K:K,0,)</f>
        <v>Small Pieces (Tiny bite size candies)</v>
      </c>
      <c r="K4702" t="str">
        <f>_xlfn.XLOOKUP($A4702,Load!$B:$B,Load!L:L,0,)</f>
        <v>Unwrapped</v>
      </c>
      <c r="L4702" t="str">
        <f>_xlfn.XLOOKUP($A4702,Load!$B:$B,Load!M:M,0,)</f>
        <v>Single Brand / Variety Flavors or Form</v>
      </c>
    </row>
    <row r="4703" spans="1:12" x14ac:dyDescent="0.25">
      <c r="B4703">
        <f>_xlfn.XLOOKUP($A4703,Load!$B:$B,Load!C:C,0,)</f>
        <v>0</v>
      </c>
      <c r="C4703">
        <f>_xlfn.XLOOKUP($A4703,Load!$B:$B,Load!D:D,0,)</f>
        <v>0</v>
      </c>
      <c r="D4703">
        <f>_xlfn.XLOOKUP($A4703,Load!$B:$B,Load!E:E,0,)</f>
        <v>0</v>
      </c>
      <c r="E4703">
        <f>_xlfn.XLOOKUP($A4703,Load!$B:$B,Load!F:F,0,)</f>
        <v>0</v>
      </c>
      <c r="F4703">
        <f>_xlfn.XLOOKUP($A4703,Load!$B:$B,Load!G:G,0,)</f>
        <v>0</v>
      </c>
      <c r="G4703">
        <f>_xlfn.XLOOKUP($A4703,Load!$B:$B,Load!H:H,0,)</f>
        <v>0</v>
      </c>
      <c r="H4703">
        <f>_xlfn.XLOOKUP($A4703,Load!$B:$B,Load!I:I,0,)</f>
        <v>0</v>
      </c>
      <c r="I4703">
        <f>_xlfn.XLOOKUP($A4703,Load!$B:$B,Load!J:J,0,)</f>
        <v>0</v>
      </c>
      <c r="J4703">
        <f>_xlfn.XLOOKUP($A4703,Load!$B:$B,Load!K:K,0,)</f>
        <v>0</v>
      </c>
      <c r="K4703">
        <f>_xlfn.XLOOKUP($A4703,Load!$B:$B,Load!L:L,0,)</f>
        <v>0</v>
      </c>
      <c r="L4703">
        <f>_xlfn.XLOOKUP($A4703,Load!$B:$B,Load!M:M,0,)</f>
        <v>0</v>
      </c>
    </row>
    <row r="4704" spans="1:12" x14ac:dyDescent="0.25">
      <c r="A4704" t="s">
        <v>180</v>
      </c>
      <c r="B4704" t="str">
        <f>_xlfn.XLOOKUP($A4704,Load!$B:$B,Load!C:C,0,)</f>
        <v>Mars Variety Pack</v>
      </c>
      <c r="C4704" t="str">
        <f>_xlfn.XLOOKUP($A4704,Load!$B:$B,Load!D:D,0,)</f>
        <v>Mix of Chocolate and Non-Chocolate Candy</v>
      </c>
      <c r="D4704" t="str">
        <f>_xlfn.XLOOKUP($A4704,Load!$B:$B,Load!E:E,0,)</f>
        <v>Variety / Mixed Flavors (Fruity, Sour, Seasonal Flavors)</v>
      </c>
      <c r="E4704" t="str">
        <f>_xlfn.XLOOKUP($A4704,Load!$B:$B,Load!F:F,0,)</f>
        <v>Mixed / Combo Packs (Gummy, Chewy, Taffy, etc.)</v>
      </c>
      <c r="F4704" t="str">
        <f>_xlfn.XLOOKUP($A4704,Load!$B:$B,Load!G:G,0,)</f>
        <v>Large Multipack (More than 80 ct)</v>
      </c>
      <c r="G4704" t="str">
        <f>_xlfn.XLOOKUP($A4704,Load!$B:$B,Load!H:H,0,)</f>
        <v>Stand-Up Bag</v>
      </c>
      <c r="H4704" t="str">
        <f>_xlfn.XLOOKUP($A4704,Load!$B:$B,Load!I:I,0,)</f>
        <v>Everyday Candy Shapes (like Original, Gummy bear, Fruit, Jewels, etc.)</v>
      </c>
      <c r="I4704" t="str">
        <f>_xlfn.XLOOKUP($A4704,Load!$B:$B,Load!J:J,0,)</f>
        <v>Seasonal Graphics (Like Bat, Ghost, Pumpkin, Fall Leaves, Eyeballs, etc.)</v>
      </c>
      <c r="J4704" t="str">
        <f>_xlfn.XLOOKUP($A4704,Load!$B:$B,Load!K:K,0,)</f>
        <v>Fun Size / Treat Size</v>
      </c>
      <c r="K4704" t="str">
        <f>_xlfn.XLOOKUP($A4704,Load!$B:$B,Load!L:L,0,)</f>
        <v>Regular/Original Wrapping</v>
      </c>
      <c r="L4704" t="str">
        <f>_xlfn.XLOOKUP($A4704,Load!$B:$B,Load!M:M,0,)</f>
        <v>Multiple Brands / Variety Flavors or Form</v>
      </c>
    </row>
    <row r="4705" spans="1:12" x14ac:dyDescent="0.25">
      <c r="A4705" t="s">
        <v>209</v>
      </c>
      <c r="B4705" t="str">
        <f>_xlfn.XLOOKUP($A4705,Load!$B:$B,Load!C:C,0,)</f>
        <v>Mars Variety Pack</v>
      </c>
      <c r="C4705" t="str">
        <f>_xlfn.XLOOKUP($A4705,Load!$B:$B,Load!D:D,0,)</f>
        <v>Non-Chocolate Candy Only</v>
      </c>
      <c r="D4705" t="str">
        <f>_xlfn.XLOOKUP($A4705,Load!$B:$B,Load!E:E,0,)</f>
        <v>Variety / Mixed Flavors (Fruity, Sour, Seasonal Flavors)</v>
      </c>
      <c r="E4705" t="str">
        <f>_xlfn.XLOOKUP($A4705,Load!$B:$B,Load!F:F,0,)</f>
        <v>Mixed / Combo Packs (Gummy, Chewy, Taffy, etc.)</v>
      </c>
      <c r="F4705" t="str">
        <f>_xlfn.XLOOKUP($A4705,Load!$B:$B,Load!G:G,0,)</f>
        <v>Large Multipack (More than 80 ct)</v>
      </c>
      <c r="G4705" t="str">
        <f>_xlfn.XLOOKUP($A4705,Load!$B:$B,Load!H:H,0,)</f>
        <v>Stand-Up Bag</v>
      </c>
      <c r="H4705" t="str">
        <f>_xlfn.XLOOKUP($A4705,Load!$B:$B,Load!I:I,0,)</f>
        <v>Everyday Candy Shapes (like Original, Gummy bear, Fruit, Jewels, etc.)</v>
      </c>
      <c r="I4705" t="str">
        <f>_xlfn.XLOOKUP($A4705,Load!$B:$B,Load!J:J,0,)</f>
        <v>Seasonal Graphics (Like Bat, Ghost, Pumpkin, Fall Leaves, Eyeballs, etc.)</v>
      </c>
      <c r="J4705" t="str">
        <f>_xlfn.XLOOKUP($A4705,Load!$B:$B,Load!K:K,0,)</f>
        <v>Fun Size / Treat Size</v>
      </c>
      <c r="K4705" t="str">
        <f>_xlfn.XLOOKUP($A4705,Load!$B:$B,Load!L:L,0,)</f>
        <v>Regular/Original Wrapping</v>
      </c>
      <c r="L4705" t="str">
        <f>_xlfn.XLOOKUP($A4705,Load!$B:$B,Load!M:M,0,)</f>
        <v>Multiple Brands / Variety Flavors or Form</v>
      </c>
    </row>
    <row r="4706" spans="1:12" x14ac:dyDescent="0.25">
      <c r="A4706" t="s">
        <v>254</v>
      </c>
      <c r="B4706" t="str">
        <f>_xlfn.XLOOKUP($A4706,Load!$B:$B,Load!C:C,0,)</f>
        <v>Skittles</v>
      </c>
      <c r="C4706" t="str">
        <f>_xlfn.XLOOKUP($A4706,Load!$B:$B,Load!D:D,0,)</f>
        <v>Non-Chocolate Candy Only</v>
      </c>
      <c r="D4706" t="str">
        <f>_xlfn.XLOOKUP($A4706,Load!$B:$B,Load!E:E,0,)</f>
        <v>Variety / Mixed Flavors (Fruity, Sour, Seasonal Flavors)</v>
      </c>
      <c r="E4706" t="str">
        <f>_xlfn.XLOOKUP($A4706,Load!$B:$B,Load!F:F,0,)</f>
        <v>Candy Pieces / Bites</v>
      </c>
      <c r="F4706" t="str">
        <f>_xlfn.XLOOKUP($A4706,Load!$B:$B,Load!G:G,0,)</f>
        <v>Medium Multipack (40–80 ct)</v>
      </c>
      <c r="G4706" t="str">
        <f>_xlfn.XLOOKUP($A4706,Load!$B:$B,Load!H:H,0,)</f>
        <v>Stand-Up Bag</v>
      </c>
      <c r="H4706" t="str">
        <f>_xlfn.XLOOKUP($A4706,Load!$B:$B,Load!I:I,0,)</f>
        <v>Everyday Candy Shapes (like Original, Gummy bear, Fruit, Jewels, etc.)</v>
      </c>
      <c r="I4706" t="str">
        <f>_xlfn.XLOOKUP($A4706,Load!$B:$B,Load!J:J,0,)</f>
        <v>Everyday Graphics</v>
      </c>
      <c r="J4706" t="str">
        <f>_xlfn.XLOOKUP($A4706,Load!$B:$B,Load!K:K,0,)</f>
        <v>Small Pieces (Tiny bite size candies)</v>
      </c>
      <c r="K4706" t="str">
        <f>_xlfn.XLOOKUP($A4706,Load!$B:$B,Load!L:L,0,)</f>
        <v>Regular/Original Wrapping</v>
      </c>
      <c r="L4706" t="str">
        <f>_xlfn.XLOOKUP($A4706,Load!$B:$B,Load!M:M,0,)</f>
        <v>Single Brand / Variety Flavors or Form</v>
      </c>
    </row>
    <row r="4707" spans="1:12" x14ac:dyDescent="0.25">
      <c r="B4707">
        <f>_xlfn.XLOOKUP($A4707,Load!$B:$B,Load!C:C,0,)</f>
        <v>0</v>
      </c>
      <c r="C4707">
        <f>_xlfn.XLOOKUP($A4707,Load!$B:$B,Load!D:D,0,)</f>
        <v>0</v>
      </c>
      <c r="D4707">
        <f>_xlfn.XLOOKUP($A4707,Load!$B:$B,Load!E:E,0,)</f>
        <v>0</v>
      </c>
      <c r="E4707">
        <f>_xlfn.XLOOKUP($A4707,Load!$B:$B,Load!F:F,0,)</f>
        <v>0</v>
      </c>
      <c r="F4707">
        <f>_xlfn.XLOOKUP($A4707,Load!$B:$B,Load!G:G,0,)</f>
        <v>0</v>
      </c>
      <c r="G4707">
        <f>_xlfn.XLOOKUP($A4707,Load!$B:$B,Load!H:H,0,)</f>
        <v>0</v>
      </c>
      <c r="H4707">
        <f>_xlfn.XLOOKUP($A4707,Load!$B:$B,Load!I:I,0,)</f>
        <v>0</v>
      </c>
      <c r="I4707">
        <f>_xlfn.XLOOKUP($A4707,Load!$B:$B,Load!J:J,0,)</f>
        <v>0</v>
      </c>
      <c r="J4707">
        <f>_xlfn.XLOOKUP($A4707,Load!$B:$B,Load!K:K,0,)</f>
        <v>0</v>
      </c>
      <c r="K4707">
        <f>_xlfn.XLOOKUP($A4707,Load!$B:$B,Load!L:L,0,)</f>
        <v>0</v>
      </c>
      <c r="L4707">
        <f>_xlfn.XLOOKUP($A4707,Load!$B:$B,Load!M:M,0,)</f>
        <v>0</v>
      </c>
    </row>
    <row r="4708" spans="1:12" x14ac:dyDescent="0.25">
      <c r="A4708" t="s">
        <v>170</v>
      </c>
      <c r="B4708" t="str">
        <f>_xlfn.XLOOKUP($A4708,Load!$B:$B,Load!C:C,0,)</f>
        <v>Laffy Taffy</v>
      </c>
      <c r="C4708" t="str">
        <f>_xlfn.XLOOKUP($A4708,Load!$B:$B,Load!D:D,0,)</f>
        <v>Non-Chocolate Candy Only</v>
      </c>
      <c r="D4708" t="str">
        <f>_xlfn.XLOOKUP($A4708,Load!$B:$B,Load!E:E,0,)</f>
        <v>Fruit Flavor (Cherry, Grape, Apple, Citrus, Tropical Fruit)</v>
      </c>
      <c r="E4708" t="str">
        <f>_xlfn.XLOOKUP($A4708,Load!$B:$B,Load!F:F,0,)</f>
        <v>Taffy</v>
      </c>
      <c r="F4708" t="str">
        <f>_xlfn.XLOOKUP($A4708,Load!$B:$B,Load!G:G,0,)</f>
        <v>Large Multipack (More than 80 ct)</v>
      </c>
      <c r="G4708" t="str">
        <f>_xlfn.XLOOKUP($A4708,Load!$B:$B,Load!H:H,0,)</f>
        <v>Stand-Up Bag</v>
      </c>
      <c r="H4708" t="str">
        <f>_xlfn.XLOOKUP($A4708,Load!$B:$B,Load!I:I,0,)</f>
        <v>Everyday Candy Shapes (like Original, Gummy bear, Fruit, Jewels, etc.)</v>
      </c>
      <c r="I4708" t="str">
        <f>_xlfn.XLOOKUP($A4708,Load!$B:$B,Load!J:J,0,)</f>
        <v>Everyday Graphics</v>
      </c>
      <c r="J4708" t="str">
        <f>_xlfn.XLOOKUP($A4708,Load!$B:$B,Load!K:K,0,)</f>
        <v>Fun Size / Treat Size</v>
      </c>
      <c r="K4708" t="str">
        <f>_xlfn.XLOOKUP($A4708,Load!$B:$B,Load!L:L,0,)</f>
        <v>Regular/Original Wrapping</v>
      </c>
      <c r="L4708" t="str">
        <f>_xlfn.XLOOKUP($A4708,Load!$B:$B,Load!M:M,0,)</f>
        <v>Single Brand / Variety Flavors or Form</v>
      </c>
    </row>
    <row r="4709" spans="1:12" x14ac:dyDescent="0.25">
      <c r="B4709">
        <f>_xlfn.XLOOKUP($A4709,Load!$B:$B,Load!C:C,0,)</f>
        <v>0</v>
      </c>
      <c r="C4709">
        <f>_xlfn.XLOOKUP($A4709,Load!$B:$B,Load!D:D,0,)</f>
        <v>0</v>
      </c>
      <c r="D4709">
        <f>_xlfn.XLOOKUP($A4709,Load!$B:$B,Load!E:E,0,)</f>
        <v>0</v>
      </c>
      <c r="E4709">
        <f>_xlfn.XLOOKUP($A4709,Load!$B:$B,Load!F:F,0,)</f>
        <v>0</v>
      </c>
      <c r="F4709">
        <f>_xlfn.XLOOKUP($A4709,Load!$B:$B,Load!G:G,0,)</f>
        <v>0</v>
      </c>
      <c r="G4709">
        <f>_xlfn.XLOOKUP($A4709,Load!$B:$B,Load!H:H,0,)</f>
        <v>0</v>
      </c>
      <c r="H4709">
        <f>_xlfn.XLOOKUP($A4709,Load!$B:$B,Load!I:I,0,)</f>
        <v>0</v>
      </c>
      <c r="I4709">
        <f>_xlfn.XLOOKUP($A4709,Load!$B:$B,Load!J:J,0,)</f>
        <v>0</v>
      </c>
      <c r="J4709">
        <f>_xlfn.XLOOKUP($A4709,Load!$B:$B,Load!K:K,0,)</f>
        <v>0</v>
      </c>
      <c r="K4709">
        <f>_xlfn.XLOOKUP($A4709,Load!$B:$B,Load!L:L,0,)</f>
        <v>0</v>
      </c>
      <c r="L4709">
        <f>_xlfn.XLOOKUP($A4709,Load!$B:$B,Load!M:M,0,)</f>
        <v>0</v>
      </c>
    </row>
    <row r="4710" spans="1:12" x14ac:dyDescent="0.25">
      <c r="A4710" t="s">
        <v>293</v>
      </c>
      <c r="B4710" t="str">
        <f>_xlfn.XLOOKUP($A4710,Load!$B:$B,Load!C:C,0,)</f>
        <v>Tootsie</v>
      </c>
      <c r="C4710" t="str">
        <f>_xlfn.XLOOKUP($A4710,Load!$B:$B,Load!D:D,0,)</f>
        <v>Mix of Chocolate and Non-Chocolate Candy</v>
      </c>
      <c r="D4710" t="str">
        <f>_xlfn.XLOOKUP($A4710,Load!$B:$B,Load!E:E,0,)</f>
        <v>Sweet</v>
      </c>
      <c r="E4710" t="str">
        <f>_xlfn.XLOOKUP($A4710,Load!$B:$B,Load!F:F,0,)</f>
        <v>Lollipop (regular or lollipop rings)</v>
      </c>
      <c r="F4710" t="str">
        <f>_xlfn.XLOOKUP($A4710,Load!$B:$B,Load!G:G,0,)</f>
        <v>Large Multipack (More than 80 ct)</v>
      </c>
      <c r="G4710" t="str">
        <f>_xlfn.XLOOKUP($A4710,Load!$B:$B,Load!H:H,0,)</f>
        <v>Laydown Bag</v>
      </c>
      <c r="H4710" t="str">
        <f>_xlfn.XLOOKUP($A4710,Load!$B:$B,Load!I:I,0,)</f>
        <v>Everyday Candy Shapes (like Original, Gummy bear, Fruit, Jewels, etc.)</v>
      </c>
      <c r="I4710" t="str">
        <f>_xlfn.XLOOKUP($A4710,Load!$B:$B,Load!J:J,0,)</f>
        <v>Everyday Graphics</v>
      </c>
      <c r="J4710" t="str">
        <f>_xlfn.XLOOKUP($A4710,Load!$B:$B,Load!K:K,0,)</f>
        <v>Regular Lollipop size (on sticks or rings)</v>
      </c>
      <c r="K4710" t="str">
        <f>_xlfn.XLOOKUP($A4710,Load!$B:$B,Load!L:L,0,)</f>
        <v>Regular/Original Wrapping</v>
      </c>
      <c r="L4710" t="str">
        <f>_xlfn.XLOOKUP($A4710,Load!$B:$B,Load!M:M,0,)</f>
        <v>Single Brand / Single Flavor or Form</v>
      </c>
    </row>
    <row r="4711" spans="1:12" x14ac:dyDescent="0.25">
      <c r="A4711" t="s">
        <v>109</v>
      </c>
      <c r="B4711" t="str">
        <f>_xlfn.XLOOKUP($A4711,Load!$B:$B,Load!C:C,0,)</f>
        <v>Frankford</v>
      </c>
      <c r="C4711" t="str">
        <f>_xlfn.XLOOKUP($A4711,Load!$B:$B,Load!D:D,0,)</f>
        <v>Non-Chocolate Candy Only</v>
      </c>
      <c r="D4711" t="str">
        <f>_xlfn.XLOOKUP($A4711,Load!$B:$B,Load!E:E,0,)</f>
        <v>Sour</v>
      </c>
      <c r="E4711" t="str">
        <f>_xlfn.XLOOKUP($A4711,Load!$B:$B,Load!F:F,0,)</f>
        <v>Mixed / Combo Packs (Gummy, Chewy, Taffy, etc.)</v>
      </c>
      <c r="F4711" t="str">
        <f>_xlfn.XLOOKUP($A4711,Load!$B:$B,Load!G:G,0,)</f>
        <v>Large Multipack (More than 80 ct)</v>
      </c>
      <c r="G4711" t="str">
        <f>_xlfn.XLOOKUP($A4711,Load!$B:$B,Load!H:H,0,)</f>
        <v>Laydown Bag</v>
      </c>
      <c r="H4711" t="str">
        <f>_xlfn.XLOOKUP($A4711,Load!$B:$B,Load!I:I,0,)</f>
        <v>Everyday Candy Shapes (like Original, Gummy bear, Fruit, Jewels, etc.)</v>
      </c>
      <c r="I4711" t="str">
        <f>_xlfn.XLOOKUP($A4711,Load!$B:$B,Load!J:J,0,)</f>
        <v>Seasonal Graphics (Like Bat, Ghost, Pumpkin, Fall Leaves, Eyeballs, etc.)</v>
      </c>
      <c r="J4711" t="str">
        <f>_xlfn.XLOOKUP($A4711,Load!$B:$B,Load!K:K,0,)</f>
        <v>Small Pieces (Tiny bite size candies)</v>
      </c>
      <c r="K4711" t="str">
        <f>_xlfn.XLOOKUP($A4711,Load!$B:$B,Load!L:L,0,)</f>
        <v>Regular/Original Wrapping</v>
      </c>
      <c r="L4711" t="str">
        <f>_xlfn.XLOOKUP($A4711,Load!$B:$B,Load!M:M,0,)</f>
        <v>Multiple Brands / Variety Flavors or Form</v>
      </c>
    </row>
    <row r="4712" spans="1:12" x14ac:dyDescent="0.25">
      <c r="A4712" t="s">
        <v>35</v>
      </c>
      <c r="B4712" t="str">
        <f>_xlfn.XLOOKUP($A4712,Load!$B:$B,Load!C:C,0,)</f>
        <v>bettergoods</v>
      </c>
      <c r="C4712" t="str">
        <f>_xlfn.XLOOKUP($A4712,Load!$B:$B,Load!D:D,0,)</f>
        <v>Non-Chocolate Candy Only</v>
      </c>
      <c r="D4712" t="str">
        <f>_xlfn.XLOOKUP($A4712,Load!$B:$B,Load!E:E,0,)</f>
        <v>Sour</v>
      </c>
      <c r="E4712" t="str">
        <f>_xlfn.XLOOKUP($A4712,Load!$B:$B,Load!F:F,0,)</f>
        <v>Gummy</v>
      </c>
      <c r="F4712" t="str">
        <f>_xlfn.XLOOKUP($A4712,Load!$B:$B,Load!G:G,0,)</f>
        <v>Single Pack</v>
      </c>
      <c r="G4712" t="str">
        <f>_xlfn.XLOOKUP($A4712,Load!$B:$B,Load!H:H,0,)</f>
        <v>Laydown Bag</v>
      </c>
      <c r="H4712" t="str">
        <f>_xlfn.XLOOKUP($A4712,Load!$B:$B,Load!I:I,0,)</f>
        <v>Seasonal Shapes (like pumpkins, candy corn, ghost, bats, etc.)</v>
      </c>
      <c r="I4712" t="str">
        <f>_xlfn.XLOOKUP($A4712,Load!$B:$B,Load!J:J,0,)</f>
        <v>Seasonal Graphics (Like Bat, Ghost, Pumpkin, Fall Leaves, Eyeballs, etc.)</v>
      </c>
      <c r="J4712" t="str">
        <f>_xlfn.XLOOKUP($A4712,Load!$B:$B,Load!K:K,0,)</f>
        <v>Small Pieces (Tiny bite size candies)</v>
      </c>
      <c r="K4712" t="str">
        <f>_xlfn.XLOOKUP($A4712,Load!$B:$B,Load!L:L,0,)</f>
        <v>Unwrapped</v>
      </c>
      <c r="L4712" t="str">
        <f>_xlfn.XLOOKUP($A4712,Load!$B:$B,Load!M:M,0,)</f>
        <v>Single Brand / Variety Flavors or Form</v>
      </c>
    </row>
    <row r="4713" spans="1:12" x14ac:dyDescent="0.25">
      <c r="B4713">
        <f>_xlfn.XLOOKUP($A4713,Load!$B:$B,Load!C:C,0,)</f>
        <v>0</v>
      </c>
      <c r="C4713">
        <f>_xlfn.XLOOKUP($A4713,Load!$B:$B,Load!D:D,0,)</f>
        <v>0</v>
      </c>
      <c r="D4713">
        <f>_xlfn.XLOOKUP($A4713,Load!$B:$B,Load!E:E,0,)</f>
        <v>0</v>
      </c>
      <c r="E4713">
        <f>_xlfn.XLOOKUP($A4713,Load!$B:$B,Load!F:F,0,)</f>
        <v>0</v>
      </c>
      <c r="F4713">
        <f>_xlfn.XLOOKUP($A4713,Load!$B:$B,Load!G:G,0,)</f>
        <v>0</v>
      </c>
      <c r="G4713">
        <f>_xlfn.XLOOKUP($A4713,Load!$B:$B,Load!H:H,0,)</f>
        <v>0</v>
      </c>
      <c r="H4713">
        <f>_xlfn.XLOOKUP($A4713,Load!$B:$B,Load!I:I,0,)</f>
        <v>0</v>
      </c>
      <c r="I4713">
        <f>_xlfn.XLOOKUP($A4713,Load!$B:$B,Load!J:J,0,)</f>
        <v>0</v>
      </c>
      <c r="J4713">
        <f>_xlfn.XLOOKUP($A4713,Load!$B:$B,Load!K:K,0,)</f>
        <v>0</v>
      </c>
      <c r="K4713">
        <f>_xlfn.XLOOKUP($A4713,Load!$B:$B,Load!L:L,0,)</f>
        <v>0</v>
      </c>
      <c r="L4713">
        <f>_xlfn.XLOOKUP($A4713,Load!$B:$B,Load!M:M,0,)</f>
        <v>0</v>
      </c>
    </row>
    <row r="4714" spans="1:12" x14ac:dyDescent="0.25">
      <c r="A4714" t="s">
        <v>204</v>
      </c>
      <c r="B4714" t="str">
        <f>_xlfn.XLOOKUP($A4714,Load!$B:$B,Load!C:C,0,)</f>
        <v>Mars Variety Pack</v>
      </c>
      <c r="C4714" t="str">
        <f>_xlfn.XLOOKUP($A4714,Load!$B:$B,Load!D:D,0,)</f>
        <v>Mix of Chocolate and Non-Chocolate Candy</v>
      </c>
      <c r="D4714" t="str">
        <f>_xlfn.XLOOKUP($A4714,Load!$B:$B,Load!E:E,0,)</f>
        <v>Variety / Mixed Flavors (Fruity, Sour, Seasonal Flavors)</v>
      </c>
      <c r="E4714" t="str">
        <f>_xlfn.XLOOKUP($A4714,Load!$B:$B,Load!F:F,0,)</f>
        <v>Mixed / Combo Packs (Gummy, Chewy, Taffy, etc.)</v>
      </c>
      <c r="F4714" t="str">
        <f>_xlfn.XLOOKUP($A4714,Load!$B:$B,Load!G:G,0,)</f>
        <v>Medium Multipack (40–80 ct)</v>
      </c>
      <c r="G4714" t="str">
        <f>_xlfn.XLOOKUP($A4714,Load!$B:$B,Load!H:H,0,)</f>
        <v>Stand-Up Bag</v>
      </c>
      <c r="H4714" t="str">
        <f>_xlfn.XLOOKUP($A4714,Load!$B:$B,Load!I:I,0,)</f>
        <v>Everyday Candy Shapes (like Original, Gummy bear, Fruit, Jewels, etc.)</v>
      </c>
      <c r="I4714" t="str">
        <f>_xlfn.XLOOKUP($A4714,Load!$B:$B,Load!J:J,0,)</f>
        <v>Everyday Graphics</v>
      </c>
      <c r="J4714" t="str">
        <f>_xlfn.XLOOKUP($A4714,Load!$B:$B,Load!K:K,0,)</f>
        <v>Fun Size / Treat Size</v>
      </c>
      <c r="K4714" t="str">
        <f>_xlfn.XLOOKUP($A4714,Load!$B:$B,Load!L:L,0,)</f>
        <v>Regular/Original Wrapping</v>
      </c>
      <c r="L4714" t="str">
        <f>_xlfn.XLOOKUP($A4714,Load!$B:$B,Load!M:M,0,)</f>
        <v>Multiple Brands / Variety Flavors or Form</v>
      </c>
    </row>
    <row r="4715" spans="1:12" x14ac:dyDescent="0.25">
      <c r="A4715" t="s">
        <v>211</v>
      </c>
      <c r="B4715" t="str">
        <f>_xlfn.XLOOKUP($A4715,Load!$B:$B,Load!C:C,0,)</f>
        <v>Mars Variety Pack</v>
      </c>
      <c r="C4715" t="str">
        <f>_xlfn.XLOOKUP($A4715,Load!$B:$B,Load!D:D,0,)</f>
        <v>Mix of Chocolate and Non-Chocolate Candy</v>
      </c>
      <c r="D4715" t="str">
        <f>_xlfn.XLOOKUP($A4715,Load!$B:$B,Load!E:E,0,)</f>
        <v>Variety / Mixed Flavors (Fruity, Sour, Seasonal Flavors)</v>
      </c>
      <c r="E4715" t="str">
        <f>_xlfn.XLOOKUP($A4715,Load!$B:$B,Load!F:F,0,)</f>
        <v>Mixed / Combo Packs (Gummy, Chewy, Taffy, etc.)</v>
      </c>
      <c r="F4715" t="str">
        <f>_xlfn.XLOOKUP($A4715,Load!$B:$B,Load!G:G,0,)</f>
        <v>Medium Multipack (40–80 ct)</v>
      </c>
      <c r="G4715" t="str">
        <f>_xlfn.XLOOKUP($A4715,Load!$B:$B,Load!H:H,0,)</f>
        <v>Laydown Bag</v>
      </c>
      <c r="H4715" t="str">
        <f>_xlfn.XLOOKUP($A4715,Load!$B:$B,Load!I:I,0,)</f>
        <v>Everyday Candy Shapes (like Original, Gummy bear, Fruit, Jewels, etc.)</v>
      </c>
      <c r="I4715" t="str">
        <f>_xlfn.XLOOKUP($A4715,Load!$B:$B,Load!J:J,0,)</f>
        <v>Seasonal Graphics (Like Bat, Ghost, Pumpkin, Fall Leaves, Eyeballs, etc.)</v>
      </c>
      <c r="J4715" t="str">
        <f>_xlfn.XLOOKUP($A4715,Load!$B:$B,Load!K:K,0,)</f>
        <v>Fun Size / Treat Size</v>
      </c>
      <c r="K4715" t="str">
        <f>_xlfn.XLOOKUP($A4715,Load!$B:$B,Load!L:L,0,)</f>
        <v>Regular/Original Wrapping</v>
      </c>
      <c r="L4715" t="str">
        <f>_xlfn.XLOOKUP($A4715,Load!$B:$B,Load!M:M,0,)</f>
        <v>Multiple Brands / Variety Flavors or Form</v>
      </c>
    </row>
    <row r="4716" spans="1:12" x14ac:dyDescent="0.25">
      <c r="B4716">
        <f>_xlfn.XLOOKUP($A4716,Load!$B:$B,Load!C:C,0,)</f>
        <v>0</v>
      </c>
      <c r="C4716">
        <f>_xlfn.XLOOKUP($A4716,Load!$B:$B,Load!D:D,0,)</f>
        <v>0</v>
      </c>
      <c r="D4716">
        <f>_xlfn.XLOOKUP($A4716,Load!$B:$B,Load!E:E,0,)</f>
        <v>0</v>
      </c>
      <c r="E4716">
        <f>_xlfn.XLOOKUP($A4716,Load!$B:$B,Load!F:F,0,)</f>
        <v>0</v>
      </c>
      <c r="F4716">
        <f>_xlfn.XLOOKUP($A4716,Load!$B:$B,Load!G:G,0,)</f>
        <v>0</v>
      </c>
      <c r="G4716">
        <f>_xlfn.XLOOKUP($A4716,Load!$B:$B,Load!H:H,0,)</f>
        <v>0</v>
      </c>
      <c r="H4716">
        <f>_xlfn.XLOOKUP($A4716,Load!$B:$B,Load!I:I,0,)</f>
        <v>0</v>
      </c>
      <c r="I4716">
        <f>_xlfn.XLOOKUP($A4716,Load!$B:$B,Load!J:J,0,)</f>
        <v>0</v>
      </c>
      <c r="J4716">
        <f>_xlfn.XLOOKUP($A4716,Load!$B:$B,Load!K:K,0,)</f>
        <v>0</v>
      </c>
      <c r="K4716">
        <f>_xlfn.XLOOKUP($A4716,Load!$B:$B,Load!L:L,0,)</f>
        <v>0</v>
      </c>
      <c r="L4716">
        <f>_xlfn.XLOOKUP($A4716,Load!$B:$B,Load!M:M,0,)</f>
        <v>0</v>
      </c>
    </row>
    <row r="4717" spans="1:12" x14ac:dyDescent="0.25">
      <c r="B4717">
        <f>_xlfn.XLOOKUP($A4717,Load!$B:$B,Load!C:C,0,)</f>
        <v>0</v>
      </c>
      <c r="C4717">
        <f>_xlfn.XLOOKUP($A4717,Load!$B:$B,Load!D:D,0,)</f>
        <v>0</v>
      </c>
      <c r="D4717">
        <f>_xlfn.XLOOKUP($A4717,Load!$B:$B,Load!E:E,0,)</f>
        <v>0</v>
      </c>
      <c r="E4717">
        <f>_xlfn.XLOOKUP($A4717,Load!$B:$B,Load!F:F,0,)</f>
        <v>0</v>
      </c>
      <c r="F4717">
        <f>_xlfn.XLOOKUP($A4717,Load!$B:$B,Load!G:G,0,)</f>
        <v>0</v>
      </c>
      <c r="G4717">
        <f>_xlfn.XLOOKUP($A4717,Load!$B:$B,Load!H:H,0,)</f>
        <v>0</v>
      </c>
      <c r="H4717">
        <f>_xlfn.XLOOKUP($A4717,Load!$B:$B,Load!I:I,0,)</f>
        <v>0</v>
      </c>
      <c r="I4717">
        <f>_xlfn.XLOOKUP($A4717,Load!$B:$B,Load!J:J,0,)</f>
        <v>0</v>
      </c>
      <c r="J4717">
        <f>_xlfn.XLOOKUP($A4717,Load!$B:$B,Load!K:K,0,)</f>
        <v>0</v>
      </c>
      <c r="K4717">
        <f>_xlfn.XLOOKUP($A4717,Load!$B:$B,Load!L:L,0,)</f>
        <v>0</v>
      </c>
      <c r="L4717">
        <f>_xlfn.XLOOKUP($A4717,Load!$B:$B,Load!M:M,0,)</f>
        <v>0</v>
      </c>
    </row>
    <row r="4718" spans="1:12" x14ac:dyDescent="0.25">
      <c r="A4718" t="s">
        <v>133</v>
      </c>
      <c r="B4718" t="str">
        <f>_xlfn.XLOOKUP($A4718,Load!$B:$B,Load!C:C,0,)</f>
        <v>Hershey's</v>
      </c>
      <c r="C4718" t="str">
        <f>_xlfn.XLOOKUP($A4718,Load!$B:$B,Load!D:D,0,)</f>
        <v>Non-Chocolate Candy Only</v>
      </c>
      <c r="D4718" t="str">
        <f>_xlfn.XLOOKUP($A4718,Load!$B:$B,Load!E:E,0,)</f>
        <v>Variety / Mixed Flavors (Fruity, Sour, Seasonal Flavors)</v>
      </c>
      <c r="E4718" t="str">
        <f>_xlfn.XLOOKUP($A4718,Load!$B:$B,Load!F:F,0,)</f>
        <v>Mixed / Combo Packs (Gummy, Chewy, Taffy, etc.)</v>
      </c>
      <c r="F4718" t="str">
        <f>_xlfn.XLOOKUP($A4718,Load!$B:$B,Load!G:G,0,)</f>
        <v>Large Multipack (More than 80 ct)</v>
      </c>
      <c r="G4718" t="str">
        <f>_xlfn.XLOOKUP($A4718,Load!$B:$B,Load!H:H,0,)</f>
        <v>Stand-Up Bag</v>
      </c>
      <c r="H4718" t="str">
        <f>_xlfn.XLOOKUP($A4718,Load!$B:$B,Load!I:I,0,)</f>
        <v>Everyday Candy Shapes (like Original, Gummy bear, Fruit, Jewels, etc.)</v>
      </c>
      <c r="I4718" t="str">
        <f>_xlfn.XLOOKUP($A4718,Load!$B:$B,Load!J:J,0,)</f>
        <v>Seasonal Graphics (Like Bat, Ghost, Pumpkin, Fall Leaves, Eyeballs, etc.)</v>
      </c>
      <c r="J4718" t="str">
        <f>_xlfn.XLOOKUP($A4718,Load!$B:$B,Load!K:K,0,)</f>
        <v>Fun Size / Treat Size</v>
      </c>
      <c r="K4718" t="str">
        <f>_xlfn.XLOOKUP($A4718,Load!$B:$B,Load!L:L,0,)</f>
        <v>Regular/Original Wrapping</v>
      </c>
      <c r="L4718" t="str">
        <f>_xlfn.XLOOKUP($A4718,Load!$B:$B,Load!M:M,0,)</f>
        <v>Multiple Brands / Variety Flavors or Form</v>
      </c>
    </row>
    <row r="4719" spans="1:12" x14ac:dyDescent="0.25">
      <c r="B4719">
        <f>_xlfn.XLOOKUP($A4719,Load!$B:$B,Load!C:C,0,)</f>
        <v>0</v>
      </c>
      <c r="C4719">
        <f>_xlfn.XLOOKUP($A4719,Load!$B:$B,Load!D:D,0,)</f>
        <v>0</v>
      </c>
      <c r="D4719">
        <f>_xlfn.XLOOKUP($A4719,Load!$B:$B,Load!E:E,0,)</f>
        <v>0</v>
      </c>
      <c r="E4719">
        <f>_xlfn.XLOOKUP($A4719,Load!$B:$B,Load!F:F,0,)</f>
        <v>0</v>
      </c>
      <c r="F4719">
        <f>_xlfn.XLOOKUP($A4719,Load!$B:$B,Load!G:G,0,)</f>
        <v>0</v>
      </c>
      <c r="G4719">
        <f>_xlfn.XLOOKUP($A4719,Load!$B:$B,Load!H:H,0,)</f>
        <v>0</v>
      </c>
      <c r="H4719">
        <f>_xlfn.XLOOKUP($A4719,Load!$B:$B,Load!I:I,0,)</f>
        <v>0</v>
      </c>
      <c r="I4719">
        <f>_xlfn.XLOOKUP($A4719,Load!$B:$B,Load!J:J,0,)</f>
        <v>0</v>
      </c>
      <c r="J4719">
        <f>_xlfn.XLOOKUP($A4719,Load!$B:$B,Load!K:K,0,)</f>
        <v>0</v>
      </c>
      <c r="K4719">
        <f>_xlfn.XLOOKUP($A4719,Load!$B:$B,Load!L:L,0,)</f>
        <v>0</v>
      </c>
      <c r="L4719">
        <f>_xlfn.XLOOKUP($A4719,Load!$B:$B,Load!M:M,0,)</f>
        <v>0</v>
      </c>
    </row>
    <row r="4720" spans="1:12" x14ac:dyDescent="0.25">
      <c r="A4720" t="s">
        <v>223</v>
      </c>
      <c r="B4720" t="str">
        <f>_xlfn.XLOOKUP($A4720,Load!$B:$B,Load!C:C,0,)</f>
        <v>Nerds</v>
      </c>
      <c r="C4720" t="str">
        <f>_xlfn.XLOOKUP($A4720,Load!$B:$B,Load!D:D,0,)</f>
        <v>Non-Chocolate Candy Only</v>
      </c>
      <c r="D4720" t="str">
        <f>_xlfn.XLOOKUP($A4720,Load!$B:$B,Load!E:E,0,)</f>
        <v>Sweet</v>
      </c>
      <c r="E4720" t="str">
        <f>_xlfn.XLOOKUP($A4720,Load!$B:$B,Load!F:F,0,)</f>
        <v>Gummy</v>
      </c>
      <c r="F4720" t="str">
        <f>_xlfn.XLOOKUP($A4720,Load!$B:$B,Load!G:G,0,)</f>
        <v>Small Multipack (Less than 40 ct)</v>
      </c>
      <c r="G4720" t="str">
        <f>_xlfn.XLOOKUP($A4720,Load!$B:$B,Load!H:H,0,)</f>
        <v>Laydown Bag</v>
      </c>
      <c r="H4720" t="str">
        <f>_xlfn.XLOOKUP($A4720,Load!$B:$B,Load!I:I,0,)</f>
        <v>Everyday Candy Shapes (like Original, Gummy bear, Fruit, Jewels, etc.)</v>
      </c>
      <c r="I4720" t="str">
        <f>_xlfn.XLOOKUP($A4720,Load!$B:$B,Load!J:J,0,)</f>
        <v>Seasonal Graphics (Like Bat, Ghost, Pumpkin, Fall Leaves, Eyeballs, etc.)</v>
      </c>
      <c r="J4720" t="str">
        <f>_xlfn.XLOOKUP($A4720,Load!$B:$B,Load!K:K,0,)</f>
        <v>Small Pieces (Tiny bite size candies)</v>
      </c>
      <c r="K4720" t="str">
        <f>_xlfn.XLOOKUP($A4720,Load!$B:$B,Load!L:L,0,)</f>
        <v>Regular/Original Wrapping</v>
      </c>
      <c r="L4720" t="str">
        <f>_xlfn.XLOOKUP($A4720,Load!$B:$B,Load!M:M,0,)</f>
        <v>Single Brand / Variety Flavors or Form</v>
      </c>
    </row>
    <row r="4721" spans="1:12" x14ac:dyDescent="0.25">
      <c r="B4721">
        <f>_xlfn.XLOOKUP($A4721,Load!$B:$B,Load!C:C,0,)</f>
        <v>0</v>
      </c>
      <c r="C4721">
        <f>_xlfn.XLOOKUP($A4721,Load!$B:$B,Load!D:D,0,)</f>
        <v>0</v>
      </c>
      <c r="D4721">
        <f>_xlfn.XLOOKUP($A4721,Load!$B:$B,Load!E:E,0,)</f>
        <v>0</v>
      </c>
      <c r="E4721">
        <f>_xlfn.XLOOKUP($A4721,Load!$B:$B,Load!F:F,0,)</f>
        <v>0</v>
      </c>
      <c r="F4721">
        <f>_xlfn.XLOOKUP($A4721,Load!$B:$B,Load!G:G,0,)</f>
        <v>0</v>
      </c>
      <c r="G4721">
        <f>_xlfn.XLOOKUP($A4721,Load!$B:$B,Load!H:H,0,)</f>
        <v>0</v>
      </c>
      <c r="H4721">
        <f>_xlfn.XLOOKUP($A4721,Load!$B:$B,Load!I:I,0,)</f>
        <v>0</v>
      </c>
      <c r="I4721">
        <f>_xlfn.XLOOKUP($A4721,Load!$B:$B,Load!J:J,0,)</f>
        <v>0</v>
      </c>
      <c r="J4721">
        <f>_xlfn.XLOOKUP($A4721,Load!$B:$B,Load!K:K,0,)</f>
        <v>0</v>
      </c>
      <c r="K4721">
        <f>_xlfn.XLOOKUP($A4721,Load!$B:$B,Load!L:L,0,)</f>
        <v>0</v>
      </c>
      <c r="L4721">
        <f>_xlfn.XLOOKUP($A4721,Load!$B:$B,Load!M:M,0,)</f>
        <v>0</v>
      </c>
    </row>
    <row r="4722" spans="1:12" x14ac:dyDescent="0.25">
      <c r="B4722">
        <f>_xlfn.XLOOKUP($A4722,Load!$B:$B,Load!C:C,0,)</f>
        <v>0</v>
      </c>
      <c r="C4722">
        <f>_xlfn.XLOOKUP($A4722,Load!$B:$B,Load!D:D,0,)</f>
        <v>0</v>
      </c>
      <c r="D4722">
        <f>_xlfn.XLOOKUP($A4722,Load!$B:$B,Load!E:E,0,)</f>
        <v>0</v>
      </c>
      <c r="E4722">
        <f>_xlfn.XLOOKUP($A4722,Load!$B:$B,Load!F:F,0,)</f>
        <v>0</v>
      </c>
      <c r="F4722">
        <f>_xlfn.XLOOKUP($A4722,Load!$B:$B,Load!G:G,0,)</f>
        <v>0</v>
      </c>
      <c r="G4722">
        <f>_xlfn.XLOOKUP($A4722,Load!$B:$B,Load!H:H,0,)</f>
        <v>0</v>
      </c>
      <c r="H4722">
        <f>_xlfn.XLOOKUP($A4722,Load!$B:$B,Load!I:I,0,)</f>
        <v>0</v>
      </c>
      <c r="I4722">
        <f>_xlfn.XLOOKUP($A4722,Load!$B:$B,Load!J:J,0,)</f>
        <v>0</v>
      </c>
      <c r="J4722">
        <f>_xlfn.XLOOKUP($A4722,Load!$B:$B,Load!K:K,0,)</f>
        <v>0</v>
      </c>
      <c r="K4722">
        <f>_xlfn.XLOOKUP($A4722,Load!$B:$B,Load!L:L,0,)</f>
        <v>0</v>
      </c>
      <c r="L4722">
        <f>_xlfn.XLOOKUP($A4722,Load!$B:$B,Load!M:M,0,)</f>
        <v>0</v>
      </c>
    </row>
    <row r="4723" spans="1:12" x14ac:dyDescent="0.25">
      <c r="B4723">
        <f>_xlfn.XLOOKUP($A4723,Load!$B:$B,Load!C:C,0,)</f>
        <v>0</v>
      </c>
      <c r="C4723">
        <f>_xlfn.XLOOKUP($A4723,Load!$B:$B,Load!D:D,0,)</f>
        <v>0</v>
      </c>
      <c r="D4723">
        <f>_xlfn.XLOOKUP($A4723,Load!$B:$B,Load!E:E,0,)</f>
        <v>0</v>
      </c>
      <c r="E4723">
        <f>_xlfn.XLOOKUP($A4723,Load!$B:$B,Load!F:F,0,)</f>
        <v>0</v>
      </c>
      <c r="F4723">
        <f>_xlfn.XLOOKUP($A4723,Load!$B:$B,Load!G:G,0,)</f>
        <v>0</v>
      </c>
      <c r="G4723">
        <f>_xlfn.XLOOKUP($A4723,Load!$B:$B,Load!H:H,0,)</f>
        <v>0</v>
      </c>
      <c r="H4723">
        <f>_xlfn.XLOOKUP($A4723,Load!$B:$B,Load!I:I,0,)</f>
        <v>0</v>
      </c>
      <c r="I4723">
        <f>_xlfn.XLOOKUP($A4723,Load!$B:$B,Load!J:J,0,)</f>
        <v>0</v>
      </c>
      <c r="J4723">
        <f>_xlfn.XLOOKUP($A4723,Load!$B:$B,Load!K:K,0,)</f>
        <v>0</v>
      </c>
      <c r="K4723">
        <f>_xlfn.XLOOKUP($A4723,Load!$B:$B,Load!L:L,0,)</f>
        <v>0</v>
      </c>
      <c r="L4723">
        <f>_xlfn.XLOOKUP($A4723,Load!$B:$B,Load!M:M,0,)</f>
        <v>0</v>
      </c>
    </row>
    <row r="4724" spans="1:12" x14ac:dyDescent="0.25">
      <c r="A4724" t="s">
        <v>202</v>
      </c>
      <c r="B4724" t="str">
        <f>_xlfn.XLOOKUP($A4724,Load!$B:$B,Load!C:C,0,)</f>
        <v>Mars Variety Pack</v>
      </c>
      <c r="C4724" t="str">
        <f>_xlfn.XLOOKUP($A4724,Load!$B:$B,Load!D:D,0,)</f>
        <v>Mix of Chocolate and Non-Chocolate Candy</v>
      </c>
      <c r="D4724" t="str">
        <f>_xlfn.XLOOKUP($A4724,Load!$B:$B,Load!E:E,0,)</f>
        <v>Variety / Mixed Flavors (Fruity, Sour, Seasonal Flavors)</v>
      </c>
      <c r="E4724" t="str">
        <f>_xlfn.XLOOKUP($A4724,Load!$B:$B,Load!F:F,0,)</f>
        <v>Mixed / Combo Packs (Gummy, Chewy, Taffy, etc.)</v>
      </c>
      <c r="F4724" t="str">
        <f>_xlfn.XLOOKUP($A4724,Load!$B:$B,Load!G:G,0,)</f>
        <v>Large Multipack (More than 80 ct)</v>
      </c>
      <c r="G4724" t="str">
        <f>_xlfn.XLOOKUP($A4724,Load!$B:$B,Load!H:H,0,)</f>
        <v>Stand-Up Bag</v>
      </c>
      <c r="H4724" t="str">
        <f>_xlfn.XLOOKUP($A4724,Load!$B:$B,Load!I:I,0,)</f>
        <v>Everyday Candy Shapes (like Original, Gummy bear, Fruit, Jewels, etc.)</v>
      </c>
      <c r="I4724" t="str">
        <f>_xlfn.XLOOKUP($A4724,Load!$B:$B,Load!J:J,0,)</f>
        <v>Everyday Graphics</v>
      </c>
      <c r="J4724" t="str">
        <f>_xlfn.XLOOKUP($A4724,Load!$B:$B,Load!K:K,0,)</f>
        <v>Fun Size / Treat Size</v>
      </c>
      <c r="K4724" t="str">
        <f>_xlfn.XLOOKUP($A4724,Load!$B:$B,Load!L:L,0,)</f>
        <v>Regular/Original Wrapping</v>
      </c>
      <c r="L4724" t="str">
        <f>_xlfn.XLOOKUP($A4724,Load!$B:$B,Load!M:M,0,)</f>
        <v>Multiple Brands / Variety Flavors or Form</v>
      </c>
    </row>
    <row r="4725" spans="1:12" x14ac:dyDescent="0.25">
      <c r="B4725">
        <f>_xlfn.XLOOKUP($A4725,Load!$B:$B,Load!C:C,0,)</f>
        <v>0</v>
      </c>
      <c r="C4725">
        <f>_xlfn.XLOOKUP($A4725,Load!$B:$B,Load!D:D,0,)</f>
        <v>0</v>
      </c>
      <c r="D4725">
        <f>_xlfn.XLOOKUP($A4725,Load!$B:$B,Load!E:E,0,)</f>
        <v>0</v>
      </c>
      <c r="E4725">
        <f>_xlfn.XLOOKUP($A4725,Load!$B:$B,Load!F:F,0,)</f>
        <v>0</v>
      </c>
      <c r="F4725">
        <f>_xlfn.XLOOKUP($A4725,Load!$B:$B,Load!G:G,0,)</f>
        <v>0</v>
      </c>
      <c r="G4725">
        <f>_xlfn.XLOOKUP($A4725,Load!$B:$B,Load!H:H,0,)</f>
        <v>0</v>
      </c>
      <c r="H4725">
        <f>_xlfn.XLOOKUP($A4725,Load!$B:$B,Load!I:I,0,)</f>
        <v>0</v>
      </c>
      <c r="I4725">
        <f>_xlfn.XLOOKUP($A4725,Load!$B:$B,Load!J:J,0,)</f>
        <v>0</v>
      </c>
      <c r="J4725">
        <f>_xlfn.XLOOKUP($A4725,Load!$B:$B,Load!K:K,0,)</f>
        <v>0</v>
      </c>
      <c r="K4725">
        <f>_xlfn.XLOOKUP($A4725,Load!$B:$B,Load!L:L,0,)</f>
        <v>0</v>
      </c>
      <c r="L4725">
        <f>_xlfn.XLOOKUP($A4725,Load!$B:$B,Load!M:M,0,)</f>
        <v>0</v>
      </c>
    </row>
    <row r="4726" spans="1:12" x14ac:dyDescent="0.25">
      <c r="A4726" t="s">
        <v>146</v>
      </c>
      <c r="B4726" t="str">
        <f>_xlfn.XLOOKUP($A4726,Load!$B:$B,Load!C:C,0,)</f>
        <v>Hi Chew</v>
      </c>
      <c r="C4726" t="str">
        <f>_xlfn.XLOOKUP($A4726,Load!$B:$B,Load!D:D,0,)</f>
        <v>Non-Chocolate Candy Only</v>
      </c>
      <c r="D4726" t="str">
        <f>_xlfn.XLOOKUP($A4726,Load!$B:$B,Load!E:E,0,)</f>
        <v>Fruit Flavor (Cherry, Grape, Apple, Citrus, Tropical Fruit)</v>
      </c>
      <c r="E4726" t="str">
        <f>_xlfn.XLOOKUP($A4726,Load!$B:$B,Load!F:F,0,)</f>
        <v>Gummy</v>
      </c>
      <c r="F4726" t="str">
        <f>_xlfn.XLOOKUP($A4726,Load!$B:$B,Load!G:G,0,)</f>
        <v>Medium Multipack (40–80 ct)</v>
      </c>
      <c r="G4726" t="str">
        <f>_xlfn.XLOOKUP($A4726,Load!$B:$B,Load!H:H,0,)</f>
        <v>Stand-Up Bag</v>
      </c>
      <c r="H4726" t="str">
        <f>_xlfn.XLOOKUP($A4726,Load!$B:$B,Load!I:I,0,)</f>
        <v>Everyday Candy Shapes (like Original, Gummy bear, Fruit, Jewels, etc.)</v>
      </c>
      <c r="I4726" t="str">
        <f>_xlfn.XLOOKUP($A4726,Load!$B:$B,Load!J:J,0,)</f>
        <v>Seasonal Graphics (Like Bat, Ghost, Pumpkin, Fall Leaves, Eyeballs, etc.)</v>
      </c>
      <c r="J4726" t="str">
        <f>_xlfn.XLOOKUP($A4726,Load!$B:$B,Load!K:K,0,)</f>
        <v>Fun Size / Treat Size</v>
      </c>
      <c r="K4726" t="str">
        <f>_xlfn.XLOOKUP($A4726,Load!$B:$B,Load!L:L,0,)</f>
        <v>Regular/Original Wrapping</v>
      </c>
      <c r="L4726" t="str">
        <f>_xlfn.XLOOKUP($A4726,Load!$B:$B,Load!M:M,0,)</f>
        <v>Multiple Brands / Variety Flavors or Form</v>
      </c>
    </row>
    <row r="4727" spans="1:12" x14ac:dyDescent="0.25">
      <c r="B4727">
        <f>_xlfn.XLOOKUP($A4727,Load!$B:$B,Load!C:C,0,)</f>
        <v>0</v>
      </c>
      <c r="C4727">
        <f>_xlfn.XLOOKUP($A4727,Load!$B:$B,Load!D:D,0,)</f>
        <v>0</v>
      </c>
      <c r="D4727">
        <f>_xlfn.XLOOKUP($A4727,Load!$B:$B,Load!E:E,0,)</f>
        <v>0</v>
      </c>
      <c r="E4727">
        <f>_xlfn.XLOOKUP($A4727,Load!$B:$B,Load!F:F,0,)</f>
        <v>0</v>
      </c>
      <c r="F4727">
        <f>_xlfn.XLOOKUP($A4727,Load!$B:$B,Load!G:G,0,)</f>
        <v>0</v>
      </c>
      <c r="G4727">
        <f>_xlfn.XLOOKUP($A4727,Load!$B:$B,Load!H:H,0,)</f>
        <v>0</v>
      </c>
      <c r="H4727">
        <f>_xlfn.XLOOKUP($A4727,Load!$B:$B,Load!I:I,0,)</f>
        <v>0</v>
      </c>
      <c r="I4727">
        <f>_xlfn.XLOOKUP($A4727,Load!$B:$B,Load!J:J,0,)</f>
        <v>0</v>
      </c>
      <c r="J4727">
        <f>_xlfn.XLOOKUP($A4727,Load!$B:$B,Load!K:K,0,)</f>
        <v>0</v>
      </c>
      <c r="K4727">
        <f>_xlfn.XLOOKUP($A4727,Load!$B:$B,Load!L:L,0,)</f>
        <v>0</v>
      </c>
      <c r="L4727">
        <f>_xlfn.XLOOKUP($A4727,Load!$B:$B,Load!M:M,0,)</f>
        <v>0</v>
      </c>
    </row>
    <row r="4728" spans="1:12" x14ac:dyDescent="0.25">
      <c r="A4728" t="s">
        <v>346</v>
      </c>
      <c r="B4728" t="str">
        <f>_xlfn.XLOOKUP($A4728,Load!$B:$B,Load!C:C,0,)</f>
        <v>Your Store Brand</v>
      </c>
      <c r="C4728" t="str">
        <f>_xlfn.XLOOKUP($A4728,Load!$B:$B,Load!D:D,0,)</f>
        <v>Non-Chocolate Candy Only</v>
      </c>
      <c r="D4728" t="str">
        <f>_xlfn.XLOOKUP($A4728,Load!$B:$B,Load!E:E,0,)</f>
        <v>Fall / Seasonal Flavors (pumpkin spice, caramel apple, candy corn)</v>
      </c>
      <c r="E4728" t="str">
        <f>_xlfn.XLOOKUP($A4728,Load!$B:$B,Load!F:F,0,)</f>
        <v>Candy Pieces / Bites</v>
      </c>
      <c r="F4728" t="str">
        <f>_xlfn.XLOOKUP($A4728,Load!$B:$B,Load!G:G,0,)</f>
        <v>Single Pack</v>
      </c>
      <c r="G4728" t="str">
        <f>_xlfn.XLOOKUP($A4728,Load!$B:$B,Load!H:H,0,)</f>
        <v>Peg Bag</v>
      </c>
      <c r="H4728" t="str">
        <f>_xlfn.XLOOKUP($A4728,Load!$B:$B,Load!I:I,0,)</f>
        <v>Seasonal Shapes (like pumpkins, candy corn, ghost, bats, etc.)</v>
      </c>
      <c r="I4728" t="str">
        <f>_xlfn.XLOOKUP($A4728,Load!$B:$B,Load!J:J,0,)</f>
        <v>Seasonal Graphics (Like Bat, Ghost, Pumpkin, Fall Leaves, Eyeballs, etc.)</v>
      </c>
      <c r="J4728" t="str">
        <f>_xlfn.XLOOKUP($A4728,Load!$B:$B,Load!K:K,0,)</f>
        <v>Small Pieces (Tiny bite size candies)</v>
      </c>
      <c r="K4728" t="str">
        <f>_xlfn.XLOOKUP($A4728,Load!$B:$B,Load!L:L,0,)</f>
        <v>Unwrapped</v>
      </c>
      <c r="L4728" t="str">
        <f>_xlfn.XLOOKUP($A4728,Load!$B:$B,Load!M:M,0,)</f>
        <v>Single Brand / Single Flavor or Form</v>
      </c>
    </row>
    <row r="4729" spans="1:12" x14ac:dyDescent="0.25">
      <c r="B4729">
        <f>_xlfn.XLOOKUP($A4729,Load!$B:$B,Load!C:C,0,)</f>
        <v>0</v>
      </c>
      <c r="C4729">
        <f>_xlfn.XLOOKUP($A4729,Load!$B:$B,Load!D:D,0,)</f>
        <v>0</v>
      </c>
      <c r="D4729">
        <f>_xlfn.XLOOKUP($A4729,Load!$B:$B,Load!E:E,0,)</f>
        <v>0</v>
      </c>
      <c r="E4729">
        <f>_xlfn.XLOOKUP($A4729,Load!$B:$B,Load!F:F,0,)</f>
        <v>0</v>
      </c>
      <c r="F4729">
        <f>_xlfn.XLOOKUP($A4729,Load!$B:$B,Load!G:G,0,)</f>
        <v>0</v>
      </c>
      <c r="G4729">
        <f>_xlfn.XLOOKUP($A4729,Load!$B:$B,Load!H:H,0,)</f>
        <v>0</v>
      </c>
      <c r="H4729">
        <f>_xlfn.XLOOKUP($A4729,Load!$B:$B,Load!I:I,0,)</f>
        <v>0</v>
      </c>
      <c r="I4729">
        <f>_xlfn.XLOOKUP($A4729,Load!$B:$B,Load!J:J,0,)</f>
        <v>0</v>
      </c>
      <c r="J4729">
        <f>_xlfn.XLOOKUP($A4729,Load!$B:$B,Load!K:K,0,)</f>
        <v>0</v>
      </c>
      <c r="K4729">
        <f>_xlfn.XLOOKUP($A4729,Load!$B:$B,Load!L:L,0,)</f>
        <v>0</v>
      </c>
      <c r="L4729">
        <f>_xlfn.XLOOKUP($A4729,Load!$B:$B,Load!M:M,0,)</f>
        <v>0</v>
      </c>
    </row>
    <row r="4730" spans="1:12" x14ac:dyDescent="0.25">
      <c r="A4730" t="s">
        <v>8</v>
      </c>
      <c r="B4730" t="str">
        <f>_xlfn.XLOOKUP($A4730,Load!$B:$B,Load!C:C,0,)</f>
        <v>Airheads</v>
      </c>
      <c r="C4730" t="str">
        <f>_xlfn.XLOOKUP($A4730,Load!$B:$B,Load!D:D,0,)</f>
        <v>Non-Chocolate Candy Only</v>
      </c>
      <c r="D4730" t="str">
        <f>_xlfn.XLOOKUP($A4730,Load!$B:$B,Load!E:E,0,)</f>
        <v>Fruit Flavor (Cherry, Grape, Apple, Citrus, Tropical Fruit)</v>
      </c>
      <c r="E4730" t="str">
        <f>_xlfn.XLOOKUP($A4730,Load!$B:$B,Load!F:F,0,)</f>
        <v>Chewy</v>
      </c>
      <c r="F4730" t="str">
        <f>_xlfn.XLOOKUP($A4730,Load!$B:$B,Load!G:G,0,)</f>
        <v>Small Multipack (Less than 40 ct)</v>
      </c>
      <c r="G4730" t="str">
        <f>_xlfn.XLOOKUP($A4730,Load!$B:$B,Load!H:H,0,)</f>
        <v>Laydown Bag</v>
      </c>
      <c r="H4730" t="str">
        <f>_xlfn.XLOOKUP($A4730,Load!$B:$B,Load!I:I,0,)</f>
        <v>Everyday Candy Shapes (like Original, Gummy bear, Fruit, Jewels, etc.)</v>
      </c>
      <c r="I4730" t="str">
        <f>_xlfn.XLOOKUP($A4730,Load!$B:$B,Load!J:J,0,)</f>
        <v>Everyday Graphics</v>
      </c>
      <c r="J4730" t="str">
        <f>_xlfn.XLOOKUP($A4730,Load!$B:$B,Load!K:K,0,)</f>
        <v>Fun Size / Treat Size</v>
      </c>
      <c r="K4730" t="str">
        <f>_xlfn.XLOOKUP($A4730,Load!$B:$B,Load!L:L,0,)</f>
        <v>Regular/Original Wrapping</v>
      </c>
      <c r="L4730" t="str">
        <f>_xlfn.XLOOKUP($A4730,Load!$B:$B,Load!M:M,0,)</f>
        <v>Single Brand / Variety Flavors or Form</v>
      </c>
    </row>
    <row r="4731" spans="1:12" x14ac:dyDescent="0.25">
      <c r="A4731" t="s">
        <v>124</v>
      </c>
      <c r="B4731" t="str">
        <f>_xlfn.XLOOKUP($A4731,Load!$B:$B,Load!C:C,0,)</f>
        <v>HARIBO</v>
      </c>
      <c r="C4731" t="str">
        <f>_xlfn.XLOOKUP($A4731,Load!$B:$B,Load!D:D,0,)</f>
        <v>Non-Chocolate Candy Only</v>
      </c>
      <c r="D4731" t="str">
        <f>_xlfn.XLOOKUP($A4731,Load!$B:$B,Load!E:E,0,)</f>
        <v>Fruit Flavor (Cherry, Grape, Apple, Citrus, Tropical Fruit)</v>
      </c>
      <c r="E4731" t="str">
        <f>_xlfn.XLOOKUP($A4731,Load!$B:$B,Load!F:F,0,)</f>
        <v>Gummy</v>
      </c>
      <c r="F4731" t="str">
        <f>_xlfn.XLOOKUP($A4731,Load!$B:$B,Load!G:G,0,)</f>
        <v>Small Multipack (Less than 40 ct)</v>
      </c>
      <c r="G4731" t="str">
        <f>_xlfn.XLOOKUP($A4731,Load!$B:$B,Load!H:H,0,)</f>
        <v>Laydown Bag</v>
      </c>
      <c r="H4731" t="str">
        <f>_xlfn.XLOOKUP($A4731,Load!$B:$B,Load!I:I,0,)</f>
        <v>Everyday Candy Shapes (like Original, Gummy bear, Fruit, Jewels, etc.)</v>
      </c>
      <c r="I4731" t="str">
        <f>_xlfn.XLOOKUP($A4731,Load!$B:$B,Load!J:J,0,)</f>
        <v>Everyday Graphics</v>
      </c>
      <c r="J4731" t="str">
        <f>_xlfn.XLOOKUP($A4731,Load!$B:$B,Load!K:K,0,)</f>
        <v>Small Pieces (Tiny bite size candies)</v>
      </c>
      <c r="K4731" t="str">
        <f>_xlfn.XLOOKUP($A4731,Load!$B:$B,Load!L:L,0,)</f>
        <v>Regular/Original Wrapping</v>
      </c>
      <c r="L4731" t="str">
        <f>_xlfn.XLOOKUP($A4731,Load!$B:$B,Load!M:M,0,)</f>
        <v>Single Brand / Variety Flavors or Form</v>
      </c>
    </row>
    <row r="4732" spans="1:12" x14ac:dyDescent="0.25">
      <c r="A4732" t="s">
        <v>92</v>
      </c>
      <c r="B4732" t="str">
        <f>_xlfn.XLOOKUP($A4732,Load!$B:$B,Load!C:C,0,)</f>
        <v>Ferrara Variety Pack</v>
      </c>
      <c r="C4732" t="str">
        <f>_xlfn.XLOOKUP($A4732,Load!$B:$B,Load!D:D,0,)</f>
        <v>Non-Chocolate Candy Only</v>
      </c>
      <c r="D4732" t="str">
        <f>_xlfn.XLOOKUP($A4732,Load!$B:$B,Load!E:E,0,)</f>
        <v>Variety / Mixed Flavors (Fruity, Sour, Seasonal Flavors)</v>
      </c>
      <c r="E4732" t="str">
        <f>_xlfn.XLOOKUP($A4732,Load!$B:$B,Load!F:F,0,)</f>
        <v>Mixed / Combo Packs (Gummy, Chewy, Taffy, etc.)</v>
      </c>
      <c r="F4732" t="str">
        <f>_xlfn.XLOOKUP($A4732,Load!$B:$B,Load!G:G,0,)</f>
        <v>Large Multipack (More than 80 ct)</v>
      </c>
      <c r="G4732" t="str">
        <f>_xlfn.XLOOKUP($A4732,Load!$B:$B,Load!H:H,0,)</f>
        <v>Stand-Up Bag</v>
      </c>
      <c r="H4732" t="str">
        <f>_xlfn.XLOOKUP($A4732,Load!$B:$B,Load!I:I,0,)</f>
        <v>Everyday Candy Shapes (like Original, Gummy bear, Fruit, Jewels, etc.)</v>
      </c>
      <c r="I4732" t="str">
        <f>_xlfn.XLOOKUP($A4732,Load!$B:$B,Load!J:J,0,)</f>
        <v>Seasonal Graphics (Like Bat, Ghost, Pumpkin, Fall Leaves, Eyeballs, etc.)</v>
      </c>
      <c r="J4732" t="str">
        <f>_xlfn.XLOOKUP($A4732,Load!$B:$B,Load!K:K,0,)</f>
        <v xml:space="preserve">Variety Candy Sizes </v>
      </c>
      <c r="K4732" t="str">
        <f>_xlfn.XLOOKUP($A4732,Load!$B:$B,Load!L:L,0,)</f>
        <v>Regular/Original Wrapping</v>
      </c>
      <c r="L4732" t="str">
        <f>_xlfn.XLOOKUP($A4732,Load!$B:$B,Load!M:M,0,)</f>
        <v>Multiple Brands / Variety Flavors or Form</v>
      </c>
    </row>
    <row r="4733" spans="1:12" x14ac:dyDescent="0.25">
      <c r="A4733" t="s">
        <v>145</v>
      </c>
      <c r="B4733" t="str">
        <f>_xlfn.XLOOKUP($A4733,Load!$B:$B,Load!C:C,0,)</f>
        <v>Hershey's Variety Pack + Haribo</v>
      </c>
      <c r="C4733" t="str">
        <f>_xlfn.XLOOKUP($A4733,Load!$B:$B,Load!D:D,0,)</f>
        <v>Non-Chocolate Candy Only</v>
      </c>
      <c r="D4733" t="str">
        <f>_xlfn.XLOOKUP($A4733,Load!$B:$B,Load!E:E,0,)</f>
        <v>Variety / Mixed Flavors (Fruity, Sour, Seasonal Flavors)</v>
      </c>
      <c r="E4733" t="str">
        <f>_xlfn.XLOOKUP($A4733,Load!$B:$B,Load!F:F,0,)</f>
        <v>Mixed / Combo Packs (Gummy, Chewy, Taffy, etc.)</v>
      </c>
      <c r="F4733" t="str">
        <f>_xlfn.XLOOKUP($A4733,Load!$B:$B,Load!G:G,0,)</f>
        <v>Large Multipack (More than 80 ct)</v>
      </c>
      <c r="G4733" t="str">
        <f>_xlfn.XLOOKUP($A4733,Load!$B:$B,Load!H:H,0,)</f>
        <v>Stand-Up Bag</v>
      </c>
      <c r="H4733" t="str">
        <f>_xlfn.XLOOKUP($A4733,Load!$B:$B,Load!I:I,0,)</f>
        <v>Everyday Candy Shapes (like Original, Gummy bear, Fruit, Jewels, etc.)</v>
      </c>
      <c r="I4733" t="str">
        <f>_xlfn.XLOOKUP($A4733,Load!$B:$B,Load!J:J,0,)</f>
        <v>Seasonal Graphics (Like Bat, Ghost, Pumpkin, Fall Leaves, Eyeballs, etc.)</v>
      </c>
      <c r="J4733" t="str">
        <f>_xlfn.XLOOKUP($A4733,Load!$B:$B,Load!K:K,0,)</f>
        <v xml:space="preserve">Variety Candy Sizes </v>
      </c>
      <c r="K4733" t="str">
        <f>_xlfn.XLOOKUP($A4733,Load!$B:$B,Load!L:L,0,)</f>
        <v>Regular/Original Wrapping</v>
      </c>
      <c r="L4733" t="str">
        <f>_xlfn.XLOOKUP($A4733,Load!$B:$B,Load!M:M,0,)</f>
        <v>Multiple Brands / Variety Flavors or Form</v>
      </c>
    </row>
    <row r="4734" spans="1:12" x14ac:dyDescent="0.25">
      <c r="A4734" t="s">
        <v>201</v>
      </c>
      <c r="B4734" t="str">
        <f>_xlfn.XLOOKUP($A4734,Load!$B:$B,Load!C:C,0,)</f>
        <v>Mars Variety Pack</v>
      </c>
      <c r="C4734" t="str">
        <f>_xlfn.XLOOKUP($A4734,Load!$B:$B,Load!D:D,0,)</f>
        <v>Non-Chocolate Candy Only</v>
      </c>
      <c r="D4734" t="str">
        <f>_xlfn.XLOOKUP($A4734,Load!$B:$B,Load!E:E,0,)</f>
        <v>Variety / Mixed Flavors (Fruity, Sour, Seasonal Flavors)</v>
      </c>
      <c r="E4734" t="str">
        <f>_xlfn.XLOOKUP($A4734,Load!$B:$B,Load!F:F,0,)</f>
        <v>Mixed / Combo Packs (Gummy, Chewy, Taffy, etc.)</v>
      </c>
      <c r="F4734" t="str">
        <f>_xlfn.XLOOKUP($A4734,Load!$B:$B,Load!G:G,0,)</f>
        <v>Large Multipack (More than 80 ct)</v>
      </c>
      <c r="G4734" t="str">
        <f>_xlfn.XLOOKUP($A4734,Load!$B:$B,Load!H:H,0,)</f>
        <v>Stand-Up Bag</v>
      </c>
      <c r="H4734" t="str">
        <f>_xlfn.XLOOKUP($A4734,Load!$B:$B,Load!I:I,0,)</f>
        <v>Everyday Candy Shapes (like Original, Gummy bear, Fruit, Jewels, etc.)</v>
      </c>
      <c r="I4734" t="str">
        <f>_xlfn.XLOOKUP($A4734,Load!$B:$B,Load!J:J,0,)</f>
        <v>Everyday Graphics</v>
      </c>
      <c r="J4734" t="str">
        <f>_xlfn.XLOOKUP($A4734,Load!$B:$B,Load!K:K,0,)</f>
        <v>Fun Size / Treat Size</v>
      </c>
      <c r="K4734" t="str">
        <f>_xlfn.XLOOKUP($A4734,Load!$B:$B,Load!L:L,0,)</f>
        <v>Regular/Original Wrapping</v>
      </c>
      <c r="L4734" t="str">
        <f>_xlfn.XLOOKUP($A4734,Load!$B:$B,Load!M:M,0,)</f>
        <v>Multiple Brands / Variety Flavors or Form</v>
      </c>
    </row>
    <row r="4735" spans="1:12" x14ac:dyDescent="0.25">
      <c r="A4735" t="s">
        <v>93</v>
      </c>
      <c r="B4735" t="str">
        <f>_xlfn.XLOOKUP($A4735,Load!$B:$B,Load!C:C,0,)</f>
        <v>Ferrara Variety Pack</v>
      </c>
      <c r="C4735" t="str">
        <f>_xlfn.XLOOKUP($A4735,Load!$B:$B,Load!D:D,0,)</f>
        <v>Non-Chocolate Candy Only</v>
      </c>
      <c r="D4735" t="str">
        <f>_xlfn.XLOOKUP($A4735,Load!$B:$B,Load!E:E,0,)</f>
        <v>Variety / Mixed Flavors (Fruity, Sour, Seasonal Flavors)</v>
      </c>
      <c r="E4735" t="str">
        <f>_xlfn.XLOOKUP($A4735,Load!$B:$B,Load!F:F,0,)</f>
        <v>Mixed / Combo Packs (Gummy, Chewy, Taffy, etc.)</v>
      </c>
      <c r="F4735" t="str">
        <f>_xlfn.XLOOKUP($A4735,Load!$B:$B,Load!G:G,0,)</f>
        <v>Large Multipack (More than 80 ct)</v>
      </c>
      <c r="G4735" t="str">
        <f>_xlfn.XLOOKUP($A4735,Load!$B:$B,Load!H:H,0,)</f>
        <v>Stand-Up Bag</v>
      </c>
      <c r="H4735" t="str">
        <f>_xlfn.XLOOKUP($A4735,Load!$B:$B,Load!I:I,0,)</f>
        <v>Everyday Candy Shapes (like Original, Gummy bear, Fruit, Jewels, etc.)</v>
      </c>
      <c r="I4735" t="str">
        <f>_xlfn.XLOOKUP($A4735,Load!$B:$B,Load!J:J,0,)</f>
        <v>Seasonal Graphics (Like Bat, Ghost, Pumpkin, Fall Leaves, Eyeballs, etc.)</v>
      </c>
      <c r="J4735" t="str">
        <f>_xlfn.XLOOKUP($A4735,Load!$B:$B,Load!K:K,0,)</f>
        <v xml:space="preserve">Variety Candy Sizes </v>
      </c>
      <c r="K4735" t="str">
        <f>_xlfn.XLOOKUP($A4735,Load!$B:$B,Load!L:L,0,)</f>
        <v>Regular/Original Wrapping</v>
      </c>
      <c r="L4735" t="str">
        <f>_xlfn.XLOOKUP($A4735,Load!$B:$B,Load!M:M,0,)</f>
        <v>Multiple Brands / Variety Flavors or Form</v>
      </c>
    </row>
    <row r="4736" spans="1:12" x14ac:dyDescent="0.25">
      <c r="A4736" t="s">
        <v>41</v>
      </c>
      <c r="B4736" t="str">
        <f>_xlfn.XLOOKUP($A4736,Load!$B:$B,Load!C:C,0,)</f>
        <v>Brach's</v>
      </c>
      <c r="C4736" t="str">
        <f>_xlfn.XLOOKUP($A4736,Load!$B:$B,Load!D:D,0,)</f>
        <v>Non-Chocolate Candy Only</v>
      </c>
      <c r="D4736" t="str">
        <f>_xlfn.XLOOKUP($A4736,Load!$B:$B,Load!E:E,0,)</f>
        <v>Fall / Seasonal Flavors (pumpkin spice, caramel apple, candy corn)</v>
      </c>
      <c r="E4736" t="str">
        <f>_xlfn.XLOOKUP($A4736,Load!$B:$B,Load!F:F,0,)</f>
        <v>Candy Pieces / Bites</v>
      </c>
      <c r="F4736" t="str">
        <f>_xlfn.XLOOKUP($A4736,Load!$B:$B,Load!G:G,0,)</f>
        <v>Single Pack</v>
      </c>
      <c r="G4736" t="str">
        <f>_xlfn.XLOOKUP($A4736,Load!$B:$B,Load!H:H,0,)</f>
        <v>Stand-Up Bag</v>
      </c>
      <c r="H4736" t="str">
        <f>_xlfn.XLOOKUP($A4736,Load!$B:$B,Load!I:I,0,)</f>
        <v>Seasonal Shapes (like pumpkins, candy corn, ghost, bats, etc.)</v>
      </c>
      <c r="I4736" t="str">
        <f>_xlfn.XLOOKUP($A4736,Load!$B:$B,Load!J:J,0,)</f>
        <v>Seasonal Graphics (Like Bat, Ghost, Pumpkin, Fall Leaves, Eyeballs, etc.)</v>
      </c>
      <c r="J4736" t="str">
        <f>_xlfn.XLOOKUP($A4736,Load!$B:$B,Load!K:K,0,)</f>
        <v>Small Pieces (Tiny bite size candies)</v>
      </c>
      <c r="K4736" t="str">
        <f>_xlfn.XLOOKUP($A4736,Load!$B:$B,Load!L:L,0,)</f>
        <v>Unwrapped</v>
      </c>
      <c r="L4736" t="str">
        <f>_xlfn.XLOOKUP($A4736,Load!$B:$B,Load!M:M,0,)</f>
        <v>Single Brand / Variety Flavors or Form</v>
      </c>
    </row>
    <row r="4737" spans="1:12" x14ac:dyDescent="0.25">
      <c r="B4737">
        <f>_xlfn.XLOOKUP($A4737,Load!$B:$B,Load!C:C,0,)</f>
        <v>0</v>
      </c>
      <c r="C4737">
        <f>_xlfn.XLOOKUP($A4737,Load!$B:$B,Load!D:D,0,)</f>
        <v>0</v>
      </c>
      <c r="D4737">
        <f>_xlfn.XLOOKUP($A4737,Load!$B:$B,Load!E:E,0,)</f>
        <v>0</v>
      </c>
      <c r="E4737">
        <f>_xlfn.XLOOKUP($A4737,Load!$B:$B,Load!F:F,0,)</f>
        <v>0</v>
      </c>
      <c r="F4737">
        <f>_xlfn.XLOOKUP($A4737,Load!$B:$B,Load!G:G,0,)</f>
        <v>0</v>
      </c>
      <c r="G4737">
        <f>_xlfn.XLOOKUP($A4737,Load!$B:$B,Load!H:H,0,)</f>
        <v>0</v>
      </c>
      <c r="H4737">
        <f>_xlfn.XLOOKUP($A4737,Load!$B:$B,Load!I:I,0,)</f>
        <v>0</v>
      </c>
      <c r="I4737">
        <f>_xlfn.XLOOKUP($A4737,Load!$B:$B,Load!J:J,0,)</f>
        <v>0</v>
      </c>
      <c r="J4737">
        <f>_xlfn.XLOOKUP($A4737,Load!$B:$B,Load!K:K,0,)</f>
        <v>0</v>
      </c>
      <c r="K4737">
        <f>_xlfn.XLOOKUP($A4737,Load!$B:$B,Load!L:L,0,)</f>
        <v>0</v>
      </c>
      <c r="L4737">
        <f>_xlfn.XLOOKUP($A4737,Load!$B:$B,Load!M:M,0,)</f>
        <v>0</v>
      </c>
    </row>
    <row r="4738" spans="1:12" x14ac:dyDescent="0.25">
      <c r="A4738" t="s">
        <v>100</v>
      </c>
      <c r="B4738" t="str">
        <f>_xlfn.XLOOKUP($A4738,Load!$B:$B,Load!C:C,0,)</f>
        <v>Flix</v>
      </c>
      <c r="C4738" t="str">
        <f>_xlfn.XLOOKUP($A4738,Load!$B:$B,Load!D:D,0,)</f>
        <v>Non-Chocolate Candy Only</v>
      </c>
      <c r="D4738" t="str">
        <f>_xlfn.XLOOKUP($A4738,Load!$B:$B,Load!E:E,0,)</f>
        <v>Berry Based (Raspberry, Strawberry, Medley, etc.)</v>
      </c>
      <c r="E4738" t="str">
        <f>_xlfn.XLOOKUP($A4738,Load!$B:$B,Load!F:F,0,)</f>
        <v>Gummy</v>
      </c>
      <c r="F4738" t="str">
        <f>_xlfn.XLOOKUP($A4738,Load!$B:$B,Load!G:G,0,)</f>
        <v>Small Multipack (Less than 40 ct)</v>
      </c>
      <c r="G4738" t="str">
        <f>_xlfn.XLOOKUP($A4738,Load!$B:$B,Load!H:H,0,)</f>
        <v>Box (theatre box, gift box, carton)</v>
      </c>
      <c r="H4738" t="str">
        <f>_xlfn.XLOOKUP($A4738,Load!$B:$B,Load!I:I,0,)</f>
        <v>Seasonal Shapes (like pumpkins, candy corn, ghost, bats, etc.)</v>
      </c>
      <c r="I4738" t="str">
        <f>_xlfn.XLOOKUP($A4738,Load!$B:$B,Load!J:J,0,)</f>
        <v>Seasonal Graphics (Like Bat, Ghost, Pumpkin, Fall Leaves, Eyeballs, etc.)</v>
      </c>
      <c r="J4738" t="str">
        <f>_xlfn.XLOOKUP($A4738,Load!$B:$B,Load!K:K,0,)</f>
        <v xml:space="preserve">Variety Candy Sizes </v>
      </c>
      <c r="K4738" t="str">
        <f>_xlfn.XLOOKUP($A4738,Load!$B:$B,Load!L:L,0,)</f>
        <v>Unwrapped</v>
      </c>
      <c r="L4738" t="str">
        <f>_xlfn.XLOOKUP($A4738,Load!$B:$B,Load!M:M,0,)</f>
        <v>Single Brand / Variety Flavors or Form</v>
      </c>
    </row>
    <row r="4739" spans="1:12" x14ac:dyDescent="0.25">
      <c r="B4739">
        <f>_xlfn.XLOOKUP($A4739,Load!$B:$B,Load!C:C,0,)</f>
        <v>0</v>
      </c>
      <c r="C4739">
        <f>_xlfn.XLOOKUP($A4739,Load!$B:$B,Load!D:D,0,)</f>
        <v>0</v>
      </c>
      <c r="D4739">
        <f>_xlfn.XLOOKUP($A4739,Load!$B:$B,Load!E:E,0,)</f>
        <v>0</v>
      </c>
      <c r="E4739">
        <f>_xlfn.XLOOKUP($A4739,Load!$B:$B,Load!F:F,0,)</f>
        <v>0</v>
      </c>
      <c r="F4739">
        <f>_xlfn.XLOOKUP($A4739,Load!$B:$B,Load!G:G,0,)</f>
        <v>0</v>
      </c>
      <c r="G4739">
        <f>_xlfn.XLOOKUP($A4739,Load!$B:$B,Load!H:H,0,)</f>
        <v>0</v>
      </c>
      <c r="H4739">
        <f>_xlfn.XLOOKUP($A4739,Load!$B:$B,Load!I:I,0,)</f>
        <v>0</v>
      </c>
      <c r="I4739">
        <f>_xlfn.XLOOKUP($A4739,Load!$B:$B,Load!J:J,0,)</f>
        <v>0</v>
      </c>
      <c r="J4739">
        <f>_xlfn.XLOOKUP($A4739,Load!$B:$B,Load!K:K,0,)</f>
        <v>0</v>
      </c>
      <c r="K4739">
        <f>_xlfn.XLOOKUP($A4739,Load!$B:$B,Load!L:L,0,)</f>
        <v>0</v>
      </c>
      <c r="L4739">
        <f>_xlfn.XLOOKUP($A4739,Load!$B:$B,Load!M:M,0,)</f>
        <v>0</v>
      </c>
    </row>
    <row r="4740" spans="1:12" x14ac:dyDescent="0.25">
      <c r="A4740" t="s">
        <v>137</v>
      </c>
      <c r="B4740" t="str">
        <f>_xlfn.XLOOKUP($A4740,Load!$B:$B,Load!C:C,0,)</f>
        <v>Hershey's Variety Pack + Haribo</v>
      </c>
      <c r="C4740" t="str">
        <f>_xlfn.XLOOKUP($A4740,Load!$B:$B,Load!D:D,0,)</f>
        <v>Non-Chocolate Candy Only</v>
      </c>
      <c r="D4740" t="str">
        <f>_xlfn.XLOOKUP($A4740,Load!$B:$B,Load!E:E,0,)</f>
        <v>Variety / Mixed Flavors (Fruity, Sour, Seasonal Flavors)</v>
      </c>
      <c r="E4740" t="str">
        <f>_xlfn.XLOOKUP($A4740,Load!$B:$B,Load!F:F,0,)</f>
        <v>Mixed / Combo Packs (Gummy, Chewy, Taffy, etc.)</v>
      </c>
      <c r="F4740" t="str">
        <f>_xlfn.XLOOKUP($A4740,Load!$B:$B,Load!G:G,0,)</f>
        <v>Large Multipack (More than 80 ct)</v>
      </c>
      <c r="G4740" t="str">
        <f>_xlfn.XLOOKUP($A4740,Load!$B:$B,Load!H:H,0,)</f>
        <v>Stand-Up Bag</v>
      </c>
      <c r="H4740" t="str">
        <f>_xlfn.XLOOKUP($A4740,Load!$B:$B,Load!I:I,0,)</f>
        <v>Everyday Candy Shapes (like Original, Gummy bear, Fruit, Jewels, etc.)</v>
      </c>
      <c r="I4740" t="str">
        <f>_xlfn.XLOOKUP($A4740,Load!$B:$B,Load!J:J,0,)</f>
        <v>Seasonal Graphics (Like Bat, Ghost, Pumpkin, Fall Leaves, Eyeballs, etc.)</v>
      </c>
      <c r="J4740" t="str">
        <f>_xlfn.XLOOKUP($A4740,Load!$B:$B,Load!K:K,0,)</f>
        <v xml:space="preserve">Variety Candy Sizes </v>
      </c>
      <c r="K4740" t="str">
        <f>_xlfn.XLOOKUP($A4740,Load!$B:$B,Load!L:L,0,)</f>
        <v>Regular/Original Wrapping</v>
      </c>
      <c r="L4740" t="str">
        <f>_xlfn.XLOOKUP($A4740,Load!$B:$B,Load!M:M,0,)</f>
        <v>Multiple Brands / Variety Flavors or Form</v>
      </c>
    </row>
    <row r="4741" spans="1:12" x14ac:dyDescent="0.25">
      <c r="B4741">
        <f>_xlfn.XLOOKUP($A4741,Load!$B:$B,Load!C:C,0,)</f>
        <v>0</v>
      </c>
      <c r="C4741">
        <f>_xlfn.XLOOKUP($A4741,Load!$B:$B,Load!D:D,0,)</f>
        <v>0</v>
      </c>
      <c r="D4741">
        <f>_xlfn.XLOOKUP($A4741,Load!$B:$B,Load!E:E,0,)</f>
        <v>0</v>
      </c>
      <c r="E4741">
        <f>_xlfn.XLOOKUP($A4741,Load!$B:$B,Load!F:F,0,)</f>
        <v>0</v>
      </c>
      <c r="F4741">
        <f>_xlfn.XLOOKUP($A4741,Load!$B:$B,Load!G:G,0,)</f>
        <v>0</v>
      </c>
      <c r="G4741">
        <f>_xlfn.XLOOKUP($A4741,Load!$B:$B,Load!H:H,0,)</f>
        <v>0</v>
      </c>
      <c r="H4741">
        <f>_xlfn.XLOOKUP($A4741,Load!$B:$B,Load!I:I,0,)</f>
        <v>0</v>
      </c>
      <c r="I4741">
        <f>_xlfn.XLOOKUP($A4741,Load!$B:$B,Load!J:J,0,)</f>
        <v>0</v>
      </c>
      <c r="J4741">
        <f>_xlfn.XLOOKUP($A4741,Load!$B:$B,Load!K:K,0,)</f>
        <v>0</v>
      </c>
      <c r="K4741">
        <f>_xlfn.XLOOKUP($A4741,Load!$B:$B,Load!L:L,0,)</f>
        <v>0</v>
      </c>
      <c r="L4741">
        <f>_xlfn.XLOOKUP($A4741,Load!$B:$B,Load!M:M,0,)</f>
        <v>0</v>
      </c>
    </row>
    <row r="4742" spans="1:12" x14ac:dyDescent="0.25">
      <c r="B4742">
        <f>_xlfn.XLOOKUP($A4742,Load!$B:$B,Load!C:C,0,)</f>
        <v>0</v>
      </c>
      <c r="C4742">
        <f>_xlfn.XLOOKUP($A4742,Load!$B:$B,Load!D:D,0,)</f>
        <v>0</v>
      </c>
      <c r="D4742">
        <f>_xlfn.XLOOKUP($A4742,Load!$B:$B,Load!E:E,0,)</f>
        <v>0</v>
      </c>
      <c r="E4742">
        <f>_xlfn.XLOOKUP($A4742,Load!$B:$B,Load!F:F,0,)</f>
        <v>0</v>
      </c>
      <c r="F4742">
        <f>_xlfn.XLOOKUP($A4742,Load!$B:$B,Load!G:G,0,)</f>
        <v>0</v>
      </c>
      <c r="G4742">
        <f>_xlfn.XLOOKUP($A4742,Load!$B:$B,Load!H:H,0,)</f>
        <v>0</v>
      </c>
      <c r="H4742">
        <f>_xlfn.XLOOKUP($A4742,Load!$B:$B,Load!I:I,0,)</f>
        <v>0</v>
      </c>
      <c r="I4742">
        <f>_xlfn.XLOOKUP($A4742,Load!$B:$B,Load!J:J,0,)</f>
        <v>0</v>
      </c>
      <c r="J4742">
        <f>_xlfn.XLOOKUP($A4742,Load!$B:$B,Load!K:K,0,)</f>
        <v>0</v>
      </c>
      <c r="K4742">
        <f>_xlfn.XLOOKUP($A4742,Load!$B:$B,Load!L:L,0,)</f>
        <v>0</v>
      </c>
      <c r="L4742">
        <f>_xlfn.XLOOKUP($A4742,Load!$B:$B,Load!M:M,0,)</f>
        <v>0</v>
      </c>
    </row>
    <row r="4743" spans="1:12" x14ac:dyDescent="0.25">
      <c r="B4743">
        <f>_xlfn.XLOOKUP($A4743,Load!$B:$B,Load!C:C,0,)</f>
        <v>0</v>
      </c>
      <c r="C4743">
        <f>_xlfn.XLOOKUP($A4743,Load!$B:$B,Load!D:D,0,)</f>
        <v>0</v>
      </c>
      <c r="D4743">
        <f>_xlfn.XLOOKUP($A4743,Load!$B:$B,Load!E:E,0,)</f>
        <v>0</v>
      </c>
      <c r="E4743">
        <f>_xlfn.XLOOKUP($A4743,Load!$B:$B,Load!F:F,0,)</f>
        <v>0</v>
      </c>
      <c r="F4743">
        <f>_xlfn.XLOOKUP($A4743,Load!$B:$B,Load!G:G,0,)</f>
        <v>0</v>
      </c>
      <c r="G4743">
        <f>_xlfn.XLOOKUP($A4743,Load!$B:$B,Load!H:H,0,)</f>
        <v>0</v>
      </c>
      <c r="H4743">
        <f>_xlfn.XLOOKUP($A4743,Load!$B:$B,Load!I:I,0,)</f>
        <v>0</v>
      </c>
      <c r="I4743">
        <f>_xlfn.XLOOKUP($A4743,Load!$B:$B,Load!J:J,0,)</f>
        <v>0</v>
      </c>
      <c r="J4743">
        <f>_xlfn.XLOOKUP($A4743,Load!$B:$B,Load!K:K,0,)</f>
        <v>0</v>
      </c>
      <c r="K4743">
        <f>_xlfn.XLOOKUP($A4743,Load!$B:$B,Load!L:L,0,)</f>
        <v>0</v>
      </c>
      <c r="L4743">
        <f>_xlfn.XLOOKUP($A4743,Load!$B:$B,Load!M:M,0,)</f>
        <v>0</v>
      </c>
    </row>
    <row r="4744" spans="1:12" x14ac:dyDescent="0.25">
      <c r="A4744" t="s">
        <v>290</v>
      </c>
      <c r="B4744" t="str">
        <f>_xlfn.XLOOKUP($A4744,Load!$B:$B,Load!C:C,0,)</f>
        <v>Tootsie</v>
      </c>
      <c r="C4744" t="str">
        <f>_xlfn.XLOOKUP($A4744,Load!$B:$B,Load!D:D,0,)</f>
        <v>Mix of Chocolate and Non-Chocolate Candy</v>
      </c>
      <c r="D4744" t="str">
        <f>_xlfn.XLOOKUP($A4744,Load!$B:$B,Load!E:E,0,)</f>
        <v>Variety / Mixed Flavors (Fruity, Sour, Seasonal Flavors)</v>
      </c>
      <c r="E4744" t="str">
        <f>_xlfn.XLOOKUP($A4744,Load!$B:$B,Load!F:F,0,)</f>
        <v>Mixed / Combo Packs (Gummy, Chewy, Taffy, etc.)</v>
      </c>
      <c r="F4744" t="str">
        <f>_xlfn.XLOOKUP($A4744,Load!$B:$B,Load!G:G,0,)</f>
        <v>Large Multipack (More than 80 ct)</v>
      </c>
      <c r="G4744" t="str">
        <f>_xlfn.XLOOKUP($A4744,Load!$B:$B,Load!H:H,0,)</f>
        <v>Laydown Bag</v>
      </c>
      <c r="H4744" t="str">
        <f>_xlfn.XLOOKUP($A4744,Load!$B:$B,Load!I:I,0,)</f>
        <v>Everyday Candy Shapes (like Original, Gummy bear, Fruit, Jewels, etc.)</v>
      </c>
      <c r="I4744" t="str">
        <f>_xlfn.XLOOKUP($A4744,Load!$B:$B,Load!J:J,0,)</f>
        <v>Everyday Graphics</v>
      </c>
      <c r="J4744" t="str">
        <f>_xlfn.XLOOKUP($A4744,Load!$B:$B,Load!K:K,0,)</f>
        <v>Fun Size / Treat Size</v>
      </c>
      <c r="K4744" t="str">
        <f>_xlfn.XLOOKUP($A4744,Load!$B:$B,Load!L:L,0,)</f>
        <v>Regular/Original Wrapping</v>
      </c>
      <c r="L4744" t="str">
        <f>_xlfn.XLOOKUP($A4744,Load!$B:$B,Load!M:M,0,)</f>
        <v>Single Brand / Variety Flavors or Form</v>
      </c>
    </row>
    <row r="4745" spans="1:12" x14ac:dyDescent="0.25">
      <c r="B4745">
        <f>_xlfn.XLOOKUP($A4745,Load!$B:$B,Load!C:C,0,)</f>
        <v>0</v>
      </c>
      <c r="C4745">
        <f>_xlfn.XLOOKUP($A4745,Load!$B:$B,Load!D:D,0,)</f>
        <v>0</v>
      </c>
      <c r="D4745">
        <f>_xlfn.XLOOKUP($A4745,Load!$B:$B,Load!E:E,0,)</f>
        <v>0</v>
      </c>
      <c r="E4745">
        <f>_xlfn.XLOOKUP($A4745,Load!$B:$B,Load!F:F,0,)</f>
        <v>0</v>
      </c>
      <c r="F4745">
        <f>_xlfn.XLOOKUP($A4745,Load!$B:$B,Load!G:G,0,)</f>
        <v>0</v>
      </c>
      <c r="G4745">
        <f>_xlfn.XLOOKUP($A4745,Load!$B:$B,Load!H:H,0,)</f>
        <v>0</v>
      </c>
      <c r="H4745">
        <f>_xlfn.XLOOKUP($A4745,Load!$B:$B,Load!I:I,0,)</f>
        <v>0</v>
      </c>
      <c r="I4745">
        <f>_xlfn.XLOOKUP($A4745,Load!$B:$B,Load!J:J,0,)</f>
        <v>0</v>
      </c>
      <c r="J4745">
        <f>_xlfn.XLOOKUP($A4745,Load!$B:$B,Load!K:K,0,)</f>
        <v>0</v>
      </c>
      <c r="K4745">
        <f>_xlfn.XLOOKUP($A4745,Load!$B:$B,Load!L:L,0,)</f>
        <v>0</v>
      </c>
      <c r="L4745">
        <f>_xlfn.XLOOKUP($A4745,Load!$B:$B,Load!M:M,0,)</f>
        <v>0</v>
      </c>
    </row>
    <row r="4746" spans="1:12" x14ac:dyDescent="0.25">
      <c r="A4746" t="s">
        <v>167</v>
      </c>
      <c r="B4746" t="str">
        <f>_xlfn.XLOOKUP($A4746,Load!$B:$B,Load!C:C,0,)</f>
        <v>Kraft</v>
      </c>
      <c r="C4746" t="str">
        <f>_xlfn.XLOOKUP($A4746,Load!$B:$B,Load!D:D,0,)</f>
        <v>Non-Chocolate Candy Only</v>
      </c>
      <c r="D4746" t="str">
        <f>_xlfn.XLOOKUP($A4746,Load!$B:$B,Load!E:E,0,)</f>
        <v>Fall / Seasonal Flavors (pumpkin spice, caramel apple, candy corn)</v>
      </c>
      <c r="E4746" t="str">
        <f>_xlfn.XLOOKUP($A4746,Load!$B:$B,Load!F:F,0,)</f>
        <v>Lollipop (regular or lollipop rings)</v>
      </c>
      <c r="F4746" t="str">
        <f>_xlfn.XLOOKUP($A4746,Load!$B:$B,Load!G:G,0,)</f>
        <v>Single Pack</v>
      </c>
      <c r="G4746" t="str">
        <f>_xlfn.XLOOKUP($A4746,Load!$B:$B,Load!H:H,0,)</f>
        <v>Laydown Bag</v>
      </c>
      <c r="H4746" t="str">
        <f>_xlfn.XLOOKUP($A4746,Load!$B:$B,Load!I:I,0,)</f>
        <v>Everyday Candy Shapes (like Original, Gummy bear, Fruit, Jewels, etc.)</v>
      </c>
      <c r="I4746" t="str">
        <f>_xlfn.XLOOKUP($A4746,Load!$B:$B,Load!J:J,0,)</f>
        <v>Everyday Graphics</v>
      </c>
      <c r="J4746" t="str">
        <f>_xlfn.XLOOKUP($A4746,Load!$B:$B,Load!K:K,0,)</f>
        <v>Small Pieces (Tiny bite size candies)</v>
      </c>
      <c r="K4746" t="str">
        <f>_xlfn.XLOOKUP($A4746,Load!$B:$B,Load!L:L,0,)</f>
        <v>Regular/Original Wrapping</v>
      </c>
      <c r="L4746" t="str">
        <f>_xlfn.XLOOKUP($A4746,Load!$B:$B,Load!M:M,0,)</f>
        <v>Single Brand / Single Flavor or Form</v>
      </c>
    </row>
    <row r="4747" spans="1:12" x14ac:dyDescent="0.25">
      <c r="B4747">
        <f>_xlfn.XLOOKUP($A4747,Load!$B:$B,Load!C:C,0,)</f>
        <v>0</v>
      </c>
      <c r="C4747">
        <f>_xlfn.XLOOKUP($A4747,Load!$B:$B,Load!D:D,0,)</f>
        <v>0</v>
      </c>
      <c r="D4747">
        <f>_xlfn.XLOOKUP($A4747,Load!$B:$B,Load!E:E,0,)</f>
        <v>0</v>
      </c>
      <c r="E4747">
        <f>_xlfn.XLOOKUP($A4747,Load!$B:$B,Load!F:F,0,)</f>
        <v>0</v>
      </c>
      <c r="F4747">
        <f>_xlfn.XLOOKUP($A4747,Load!$B:$B,Load!G:G,0,)</f>
        <v>0</v>
      </c>
      <c r="G4747">
        <f>_xlfn.XLOOKUP($A4747,Load!$B:$B,Load!H:H,0,)</f>
        <v>0</v>
      </c>
      <c r="H4747">
        <f>_xlfn.XLOOKUP($A4747,Load!$B:$B,Load!I:I,0,)</f>
        <v>0</v>
      </c>
      <c r="I4747">
        <f>_xlfn.XLOOKUP($A4747,Load!$B:$B,Load!J:J,0,)</f>
        <v>0</v>
      </c>
      <c r="J4747">
        <f>_xlfn.XLOOKUP($A4747,Load!$B:$B,Load!K:K,0,)</f>
        <v>0</v>
      </c>
      <c r="K4747">
        <f>_xlfn.XLOOKUP($A4747,Load!$B:$B,Load!L:L,0,)</f>
        <v>0</v>
      </c>
      <c r="L4747">
        <f>_xlfn.XLOOKUP($A4747,Load!$B:$B,Load!M:M,0,)</f>
        <v>0</v>
      </c>
    </row>
    <row r="4748" spans="1:12" x14ac:dyDescent="0.25">
      <c r="A4748" t="s">
        <v>225</v>
      </c>
      <c r="B4748" t="str">
        <f>_xlfn.XLOOKUP($A4748,Load!$B:$B,Load!C:C,0,)</f>
        <v>Nerds</v>
      </c>
      <c r="C4748" t="str">
        <f>_xlfn.XLOOKUP($A4748,Load!$B:$B,Load!D:D,0,)</f>
        <v>Non-Chocolate Candy Only</v>
      </c>
      <c r="D4748" t="str">
        <f>_xlfn.XLOOKUP($A4748,Load!$B:$B,Load!E:E,0,)</f>
        <v>Sweet</v>
      </c>
      <c r="E4748" t="str">
        <f>_xlfn.XLOOKUP($A4748,Load!$B:$B,Load!F:F,0,)</f>
        <v>Gummy</v>
      </c>
      <c r="F4748" t="str">
        <f>_xlfn.XLOOKUP($A4748,Load!$B:$B,Load!G:G,0,)</f>
        <v>Single Pack</v>
      </c>
      <c r="G4748" t="str">
        <f>_xlfn.XLOOKUP($A4748,Load!$B:$B,Load!H:H,0,)</f>
        <v>Peg Bag</v>
      </c>
      <c r="H4748" t="str">
        <f>_xlfn.XLOOKUP($A4748,Load!$B:$B,Load!I:I,0,)</f>
        <v>Seasonal Shapes (like pumpkins, candy corn, ghost, bats, etc.)</v>
      </c>
      <c r="I4748" t="str">
        <f>_xlfn.XLOOKUP($A4748,Load!$B:$B,Load!J:J,0,)</f>
        <v>Seasonal Graphics (Like Bat, Ghost, Pumpkin, Fall Leaves, Eyeballs, etc.)</v>
      </c>
      <c r="J4748" t="str">
        <f>_xlfn.XLOOKUP($A4748,Load!$B:$B,Load!K:K,0,)</f>
        <v>Fun Size / Treat Size</v>
      </c>
      <c r="K4748" t="str">
        <f>_xlfn.XLOOKUP($A4748,Load!$B:$B,Load!L:L,0,)</f>
        <v>Unwrapped</v>
      </c>
      <c r="L4748" t="str">
        <f>_xlfn.XLOOKUP($A4748,Load!$B:$B,Load!M:M,0,)</f>
        <v>Single Brand / Variety Flavors or Form</v>
      </c>
    </row>
    <row r="4749" spans="1:12" x14ac:dyDescent="0.25">
      <c r="A4749" t="s">
        <v>223</v>
      </c>
      <c r="B4749" t="str">
        <f>_xlfn.XLOOKUP($A4749,Load!$B:$B,Load!C:C,0,)</f>
        <v>Nerds</v>
      </c>
      <c r="C4749" t="str">
        <f>_xlfn.XLOOKUP($A4749,Load!$B:$B,Load!D:D,0,)</f>
        <v>Non-Chocolate Candy Only</v>
      </c>
      <c r="D4749" t="str">
        <f>_xlfn.XLOOKUP($A4749,Load!$B:$B,Load!E:E,0,)</f>
        <v>Sweet</v>
      </c>
      <c r="E4749" t="str">
        <f>_xlfn.XLOOKUP($A4749,Load!$B:$B,Load!F:F,0,)</f>
        <v>Gummy</v>
      </c>
      <c r="F4749" t="str">
        <f>_xlfn.XLOOKUP($A4749,Load!$B:$B,Load!G:G,0,)</f>
        <v>Small Multipack (Less than 40 ct)</v>
      </c>
      <c r="G4749" t="str">
        <f>_xlfn.XLOOKUP($A4749,Load!$B:$B,Load!H:H,0,)</f>
        <v>Laydown Bag</v>
      </c>
      <c r="H4749" t="str">
        <f>_xlfn.XLOOKUP($A4749,Load!$B:$B,Load!I:I,0,)</f>
        <v>Everyday Candy Shapes (like Original, Gummy bear, Fruit, Jewels, etc.)</v>
      </c>
      <c r="I4749" t="str">
        <f>_xlfn.XLOOKUP($A4749,Load!$B:$B,Load!J:J,0,)</f>
        <v>Seasonal Graphics (Like Bat, Ghost, Pumpkin, Fall Leaves, Eyeballs, etc.)</v>
      </c>
      <c r="J4749" t="str">
        <f>_xlfn.XLOOKUP($A4749,Load!$B:$B,Load!K:K,0,)</f>
        <v>Small Pieces (Tiny bite size candies)</v>
      </c>
      <c r="K4749" t="str">
        <f>_xlfn.XLOOKUP($A4749,Load!$B:$B,Load!L:L,0,)</f>
        <v>Regular/Original Wrapping</v>
      </c>
      <c r="L4749" t="str">
        <f>_xlfn.XLOOKUP($A4749,Load!$B:$B,Load!M:M,0,)</f>
        <v>Single Brand / Variety Flavors or Form</v>
      </c>
    </row>
    <row r="4750" spans="1:12" x14ac:dyDescent="0.25">
      <c r="A4750" t="s">
        <v>265</v>
      </c>
      <c r="B4750" t="str">
        <f>_xlfn.XLOOKUP($A4750,Load!$B:$B,Load!C:C,0,)</f>
        <v>Smarties</v>
      </c>
      <c r="C4750" t="str">
        <f>_xlfn.XLOOKUP($A4750,Load!$B:$B,Load!D:D,0,)</f>
        <v>Non-Chocolate Candy Only</v>
      </c>
      <c r="D4750" t="str">
        <f>_xlfn.XLOOKUP($A4750,Load!$B:$B,Load!E:E,0,)</f>
        <v>Fruit Flavor (Cherry, Grape, Apple, Citrus, Tropical Fruit)</v>
      </c>
      <c r="E4750" t="str">
        <f>_xlfn.XLOOKUP($A4750,Load!$B:$B,Load!F:F,0,)</f>
        <v>Powder / Chalky</v>
      </c>
      <c r="F4750" t="str">
        <f>_xlfn.XLOOKUP($A4750,Load!$B:$B,Load!G:G,0,)</f>
        <v>Large Multipack (More than 80 ct)</v>
      </c>
      <c r="G4750" t="str">
        <f>_xlfn.XLOOKUP($A4750,Load!$B:$B,Load!H:H,0,)</f>
        <v>Laydown Bag</v>
      </c>
      <c r="H4750" t="str">
        <f>_xlfn.XLOOKUP($A4750,Load!$B:$B,Load!I:I,0,)</f>
        <v>Seasonal Shapes (like pumpkins, candy corn, ghost, bats, etc.)</v>
      </c>
      <c r="I4750" t="str">
        <f>_xlfn.XLOOKUP($A4750,Load!$B:$B,Load!J:J,0,)</f>
        <v>Seasonal Graphics (Like Bat, Ghost, Pumpkin, Fall Leaves, Eyeballs, etc.)</v>
      </c>
      <c r="J4750" t="str">
        <f>_xlfn.XLOOKUP($A4750,Load!$B:$B,Load!K:K,0,)</f>
        <v>Small Pieces (Tiny bite size candies)</v>
      </c>
      <c r="K4750" t="str">
        <f>_xlfn.XLOOKUP($A4750,Load!$B:$B,Load!L:L,0,)</f>
        <v>Regular/Original Wrapping</v>
      </c>
      <c r="L4750" t="str">
        <f>_xlfn.XLOOKUP($A4750,Load!$B:$B,Load!M:M,0,)</f>
        <v>Single Brand / Single Flavor or Form</v>
      </c>
    </row>
    <row r="4751" spans="1:12" x14ac:dyDescent="0.25">
      <c r="B4751">
        <f>_xlfn.XLOOKUP($A4751,Load!$B:$B,Load!C:C,0,)</f>
        <v>0</v>
      </c>
      <c r="C4751">
        <f>_xlfn.XLOOKUP($A4751,Load!$B:$B,Load!D:D,0,)</f>
        <v>0</v>
      </c>
      <c r="D4751">
        <f>_xlfn.XLOOKUP($A4751,Load!$B:$B,Load!E:E,0,)</f>
        <v>0</v>
      </c>
      <c r="E4751">
        <f>_xlfn.XLOOKUP($A4751,Load!$B:$B,Load!F:F,0,)</f>
        <v>0</v>
      </c>
      <c r="F4751">
        <f>_xlfn.XLOOKUP($A4751,Load!$B:$B,Load!G:G,0,)</f>
        <v>0</v>
      </c>
      <c r="G4751">
        <f>_xlfn.XLOOKUP($A4751,Load!$B:$B,Load!H:H,0,)</f>
        <v>0</v>
      </c>
      <c r="H4751">
        <f>_xlfn.XLOOKUP($A4751,Load!$B:$B,Load!I:I,0,)</f>
        <v>0</v>
      </c>
      <c r="I4751">
        <f>_xlfn.XLOOKUP($A4751,Load!$B:$B,Load!J:J,0,)</f>
        <v>0</v>
      </c>
      <c r="J4751">
        <f>_xlfn.XLOOKUP($A4751,Load!$B:$B,Load!K:K,0,)</f>
        <v>0</v>
      </c>
      <c r="K4751">
        <f>_xlfn.XLOOKUP($A4751,Load!$B:$B,Load!L:L,0,)</f>
        <v>0</v>
      </c>
      <c r="L4751">
        <f>_xlfn.XLOOKUP($A4751,Load!$B:$B,Load!M:M,0,)</f>
        <v>0</v>
      </c>
    </row>
    <row r="4752" spans="1:12" x14ac:dyDescent="0.25">
      <c r="A4752" t="s">
        <v>234</v>
      </c>
      <c r="B4752" t="str">
        <f>_xlfn.XLOOKUP($A4752,Load!$B:$B,Load!C:C,0,)</f>
        <v>Nerds</v>
      </c>
      <c r="C4752" t="str">
        <f>_xlfn.XLOOKUP($A4752,Load!$B:$B,Load!D:D,0,)</f>
        <v>Non-Chocolate Candy Only</v>
      </c>
      <c r="D4752" t="str">
        <f>_xlfn.XLOOKUP($A4752,Load!$B:$B,Load!E:E,0,)</f>
        <v>Variety / Mixed Flavors (Fruity, Sour, Seasonal Flavors)</v>
      </c>
      <c r="E4752" t="str">
        <f>_xlfn.XLOOKUP($A4752,Load!$B:$B,Load!F:F,0,)</f>
        <v>Mixed / Combo Packs (Gummy, Chewy, Taffy, etc.)</v>
      </c>
      <c r="F4752" t="str">
        <f>_xlfn.XLOOKUP($A4752,Load!$B:$B,Load!G:G,0,)</f>
        <v>Large Multipack (More than 80 ct)</v>
      </c>
      <c r="G4752" t="str">
        <f>_xlfn.XLOOKUP($A4752,Load!$B:$B,Load!H:H,0,)</f>
        <v>Stand-Up Bag</v>
      </c>
      <c r="H4752" t="str">
        <f>_xlfn.XLOOKUP($A4752,Load!$B:$B,Load!I:I,0,)</f>
        <v>Everyday Candy Shapes (like Original, Gummy bear, Fruit, Jewels, etc.)</v>
      </c>
      <c r="I4752" t="str">
        <f>_xlfn.XLOOKUP($A4752,Load!$B:$B,Load!J:J,0,)</f>
        <v>Everyday Graphics</v>
      </c>
      <c r="J4752" t="str">
        <f>_xlfn.XLOOKUP($A4752,Load!$B:$B,Load!K:K,0,)</f>
        <v>Fun Size / Treat Size</v>
      </c>
      <c r="K4752" t="str">
        <f>_xlfn.XLOOKUP($A4752,Load!$B:$B,Load!L:L,0,)</f>
        <v>Regular/Original Wrapping</v>
      </c>
      <c r="L4752" t="str">
        <f>_xlfn.XLOOKUP($A4752,Load!$B:$B,Load!M:M,0,)</f>
        <v>Single Brand / Variety Flavors or Form</v>
      </c>
    </row>
    <row r="4753" spans="1:12" x14ac:dyDescent="0.25">
      <c r="A4753" t="s">
        <v>474</v>
      </c>
      <c r="B4753" t="str">
        <f>_xlfn.XLOOKUP($A4753,Load!$B:$B,Load!C:C,0,)</f>
        <v>Smarties</v>
      </c>
      <c r="C4753" t="str">
        <f>_xlfn.XLOOKUP($A4753,Load!$B:$B,Load!D:D,0,)</f>
        <v>Non-Chocolate Candy Only</v>
      </c>
      <c r="D4753" t="str">
        <f>_xlfn.XLOOKUP($A4753,Load!$B:$B,Load!E:E,0,)</f>
        <v>Variety / Mixed Flavors (Fruity, Sour, Seasonal Flavors)</v>
      </c>
      <c r="E4753" t="str">
        <f>_xlfn.XLOOKUP($A4753,Load!$B:$B,Load!F:F,0,)</f>
        <v>Powder / Chalky</v>
      </c>
      <c r="F4753" t="str">
        <f>_xlfn.XLOOKUP($A4753,Load!$B:$B,Load!G:G,0,)</f>
        <v>Single Pack</v>
      </c>
      <c r="G4753" t="str">
        <f>_xlfn.XLOOKUP($A4753,Load!$B:$B,Load!H:H,0,)</f>
        <v>Laydown Bag</v>
      </c>
      <c r="H4753" t="str">
        <f>_xlfn.XLOOKUP($A4753,Load!$B:$B,Load!I:I,0,)</f>
        <v>Everyday Candy Shapes (like Original, Gummy bear, Fruit, Jewels, etc.)</v>
      </c>
      <c r="I4753" t="str">
        <f>_xlfn.XLOOKUP($A4753,Load!$B:$B,Load!J:J,0,)</f>
        <v>Everyday Graphics</v>
      </c>
      <c r="J4753" t="str">
        <f>_xlfn.XLOOKUP($A4753,Load!$B:$B,Load!K:K,0,)</f>
        <v>Fun Size / Treat Size</v>
      </c>
      <c r="K4753" t="str">
        <f>_xlfn.XLOOKUP($A4753,Load!$B:$B,Load!L:L,0,)</f>
        <v>Regular/Original Wrapping</v>
      </c>
      <c r="L4753" t="str">
        <f>_xlfn.XLOOKUP($A4753,Load!$B:$B,Load!M:M,0,)</f>
        <v>Single Brand / Variety Flavors or Form</v>
      </c>
    </row>
    <row r="4754" spans="1:12" x14ac:dyDescent="0.25">
      <c r="A4754" t="s">
        <v>474</v>
      </c>
      <c r="B4754" t="str">
        <f>_xlfn.XLOOKUP($A4754,Load!$B:$B,Load!C:C,0,)</f>
        <v>Smarties</v>
      </c>
      <c r="C4754" t="str">
        <f>_xlfn.XLOOKUP($A4754,Load!$B:$B,Load!D:D,0,)</f>
        <v>Non-Chocolate Candy Only</v>
      </c>
      <c r="D4754" t="str">
        <f>_xlfn.XLOOKUP($A4754,Load!$B:$B,Load!E:E,0,)</f>
        <v>Variety / Mixed Flavors (Fruity, Sour, Seasonal Flavors)</v>
      </c>
      <c r="E4754" t="str">
        <f>_xlfn.XLOOKUP($A4754,Load!$B:$B,Load!F:F,0,)</f>
        <v>Powder / Chalky</v>
      </c>
      <c r="F4754" t="str">
        <f>_xlfn.XLOOKUP($A4754,Load!$B:$B,Load!G:G,0,)</f>
        <v>Single Pack</v>
      </c>
      <c r="G4754" t="str">
        <f>_xlfn.XLOOKUP($A4754,Load!$B:$B,Load!H:H,0,)</f>
        <v>Laydown Bag</v>
      </c>
      <c r="H4754" t="str">
        <f>_xlfn.XLOOKUP($A4754,Load!$B:$B,Load!I:I,0,)</f>
        <v>Everyday Candy Shapes (like Original, Gummy bear, Fruit, Jewels, etc.)</v>
      </c>
      <c r="I4754" t="str">
        <f>_xlfn.XLOOKUP($A4754,Load!$B:$B,Load!J:J,0,)</f>
        <v>Everyday Graphics</v>
      </c>
      <c r="J4754" t="str">
        <f>_xlfn.XLOOKUP($A4754,Load!$B:$B,Load!K:K,0,)</f>
        <v>Fun Size / Treat Size</v>
      </c>
      <c r="K4754" t="str">
        <f>_xlfn.XLOOKUP($A4754,Load!$B:$B,Load!L:L,0,)</f>
        <v>Regular/Original Wrapping</v>
      </c>
      <c r="L4754" t="str">
        <f>_xlfn.XLOOKUP($A4754,Load!$B:$B,Load!M:M,0,)</f>
        <v>Single Brand / Variety Flavors or Form</v>
      </c>
    </row>
    <row r="4755" spans="1:12" x14ac:dyDescent="0.25">
      <c r="B4755">
        <f>_xlfn.XLOOKUP($A4755,Load!$B:$B,Load!C:C,0,)</f>
        <v>0</v>
      </c>
      <c r="C4755">
        <f>_xlfn.XLOOKUP($A4755,Load!$B:$B,Load!D:D,0,)</f>
        <v>0</v>
      </c>
      <c r="D4755">
        <f>_xlfn.XLOOKUP($A4755,Load!$B:$B,Load!E:E,0,)</f>
        <v>0</v>
      </c>
      <c r="E4755">
        <f>_xlfn.XLOOKUP($A4755,Load!$B:$B,Load!F:F,0,)</f>
        <v>0</v>
      </c>
      <c r="F4755">
        <f>_xlfn.XLOOKUP($A4755,Load!$B:$B,Load!G:G,0,)</f>
        <v>0</v>
      </c>
      <c r="G4755">
        <f>_xlfn.XLOOKUP($A4755,Load!$B:$B,Load!H:H,0,)</f>
        <v>0</v>
      </c>
      <c r="H4755">
        <f>_xlfn.XLOOKUP($A4755,Load!$B:$B,Load!I:I,0,)</f>
        <v>0</v>
      </c>
      <c r="I4755">
        <f>_xlfn.XLOOKUP($A4755,Load!$B:$B,Load!J:J,0,)</f>
        <v>0</v>
      </c>
      <c r="J4755">
        <f>_xlfn.XLOOKUP($A4755,Load!$B:$B,Load!K:K,0,)</f>
        <v>0</v>
      </c>
      <c r="K4755">
        <f>_xlfn.XLOOKUP($A4755,Load!$B:$B,Load!L:L,0,)</f>
        <v>0</v>
      </c>
      <c r="L4755">
        <f>_xlfn.XLOOKUP($A4755,Load!$B:$B,Load!M:M,0,)</f>
        <v>0</v>
      </c>
    </row>
    <row r="4756" spans="1:12" x14ac:dyDescent="0.25">
      <c r="A4756" t="s">
        <v>161</v>
      </c>
      <c r="B4756" t="str">
        <f>_xlfn.XLOOKUP($A4756,Load!$B:$B,Load!C:C,0,)</f>
        <v>Jolly Rancher</v>
      </c>
      <c r="C4756" t="str">
        <f>_xlfn.XLOOKUP($A4756,Load!$B:$B,Load!D:D,0,)</f>
        <v>Non-Chocolate Candy Only</v>
      </c>
      <c r="D4756" t="str">
        <f>_xlfn.XLOOKUP($A4756,Load!$B:$B,Load!E:E,0,)</f>
        <v>Variety / Mixed Flavors (Fruity, Sour, Seasonal Flavors)</v>
      </c>
      <c r="E4756" t="str">
        <f>_xlfn.XLOOKUP($A4756,Load!$B:$B,Load!F:F,0,)</f>
        <v>Mixed / Combo Packs (Gummy, Chewy, Taffy, etc.)</v>
      </c>
      <c r="F4756" t="str">
        <f>_xlfn.XLOOKUP($A4756,Load!$B:$B,Load!G:G,0,)</f>
        <v>Large Multipack (More than 80 ct)</v>
      </c>
      <c r="G4756" t="str">
        <f>_xlfn.XLOOKUP($A4756,Load!$B:$B,Load!H:H,0,)</f>
        <v>Stand-Up Bag</v>
      </c>
      <c r="H4756" t="str">
        <f>_xlfn.XLOOKUP($A4756,Load!$B:$B,Load!I:I,0,)</f>
        <v>Everyday Candy Shapes (like Original, Gummy bear, Fruit, Jewels, etc.)</v>
      </c>
      <c r="I4756" t="str">
        <f>_xlfn.XLOOKUP($A4756,Load!$B:$B,Load!J:J,0,)</f>
        <v>Seasonal Graphics (Like Bat, Ghost, Pumpkin, Fall Leaves, Eyeballs, etc.)</v>
      </c>
      <c r="J4756" t="str">
        <f>_xlfn.XLOOKUP($A4756,Load!$B:$B,Load!K:K,0,)</f>
        <v xml:space="preserve">Variety Candy Sizes </v>
      </c>
      <c r="K4756" t="str">
        <f>_xlfn.XLOOKUP($A4756,Load!$B:$B,Load!L:L,0,)</f>
        <v>Regular/Original Wrapping</v>
      </c>
      <c r="L4756" t="str">
        <f>_xlfn.XLOOKUP($A4756,Load!$B:$B,Load!M:M,0,)</f>
        <v>Single Brand / Variety Flavors or Form</v>
      </c>
    </row>
    <row r="4757" spans="1:12" x14ac:dyDescent="0.25">
      <c r="A4757" t="s">
        <v>121</v>
      </c>
      <c r="B4757" t="str">
        <f>_xlfn.XLOOKUP($A4757,Load!$B:$B,Load!C:C,0,)</f>
        <v>HARIBO</v>
      </c>
      <c r="C4757" t="str">
        <f>_xlfn.XLOOKUP($A4757,Load!$B:$B,Load!D:D,0,)</f>
        <v>Non-Chocolate Candy Only</v>
      </c>
      <c r="D4757" t="str">
        <f>_xlfn.XLOOKUP($A4757,Load!$B:$B,Load!E:E,0,)</f>
        <v>Variety / Mixed Flavors (Fruity, Sour, Seasonal Flavors)</v>
      </c>
      <c r="E4757" t="str">
        <f>_xlfn.XLOOKUP($A4757,Load!$B:$B,Load!F:F,0,)</f>
        <v>Gummy</v>
      </c>
      <c r="F4757" t="str">
        <f>_xlfn.XLOOKUP($A4757,Load!$B:$B,Load!G:G,0,)</f>
        <v>Large Multipack (More than 80 ct)</v>
      </c>
      <c r="G4757" t="str">
        <f>_xlfn.XLOOKUP($A4757,Load!$B:$B,Load!H:H,0,)</f>
        <v>Stand-Up Bag</v>
      </c>
      <c r="H4757" t="str">
        <f>_xlfn.XLOOKUP($A4757,Load!$B:$B,Load!I:I,0,)</f>
        <v>Seasonal Shapes (like pumpkins, candy corn, ghost, bats, etc.)</v>
      </c>
      <c r="I4757" t="str">
        <f>_xlfn.XLOOKUP($A4757,Load!$B:$B,Load!J:J,0,)</f>
        <v>Seasonal Graphics (Like Bat, Ghost, Pumpkin, Fall Leaves, Eyeballs, etc.)</v>
      </c>
      <c r="J4757" t="str">
        <f>_xlfn.XLOOKUP($A4757,Load!$B:$B,Load!K:K,0,)</f>
        <v>Fun Size / Treat Size</v>
      </c>
      <c r="K4757" t="str">
        <f>_xlfn.XLOOKUP($A4757,Load!$B:$B,Load!L:L,0,)</f>
        <v>Regular/Original Wrapping</v>
      </c>
      <c r="L4757" t="str">
        <f>_xlfn.XLOOKUP($A4757,Load!$B:$B,Load!M:M,0,)</f>
        <v>Multiple Brands / Variety Flavors or Form</v>
      </c>
    </row>
    <row r="4758" spans="1:12" x14ac:dyDescent="0.25">
      <c r="A4758" t="s">
        <v>224</v>
      </c>
      <c r="B4758" t="str">
        <f>_xlfn.XLOOKUP($A4758,Load!$B:$B,Load!C:C,0,)</f>
        <v>Nerds</v>
      </c>
      <c r="C4758" t="str">
        <f>_xlfn.XLOOKUP($A4758,Load!$B:$B,Load!D:D,0,)</f>
        <v>Non-Chocolate Candy Only</v>
      </c>
      <c r="D4758" t="str">
        <f>_xlfn.XLOOKUP($A4758,Load!$B:$B,Load!E:E,0,)</f>
        <v>Sweet</v>
      </c>
      <c r="E4758" t="str">
        <f>_xlfn.XLOOKUP($A4758,Load!$B:$B,Load!F:F,0,)</f>
        <v>Mixed / Combo Packs (Gummy, Chewy, Taffy, etc.)</v>
      </c>
      <c r="F4758" t="str">
        <f>_xlfn.XLOOKUP($A4758,Load!$B:$B,Load!G:G,0,)</f>
        <v>Medium Multipack (40–80 ct)</v>
      </c>
      <c r="G4758" t="str">
        <f>_xlfn.XLOOKUP($A4758,Load!$B:$B,Load!H:H,0,)</f>
        <v>Stand-Up Bag</v>
      </c>
      <c r="H4758" t="str">
        <f>_xlfn.XLOOKUP($A4758,Load!$B:$B,Load!I:I,0,)</f>
        <v>Everyday Candy Shapes (like Original, Gummy bear, Fruit, Jewels, etc.)</v>
      </c>
      <c r="I4758" t="str">
        <f>_xlfn.XLOOKUP($A4758,Load!$B:$B,Load!J:J,0,)</f>
        <v>Seasonal Graphics (Like Bat, Ghost, Pumpkin, Fall Leaves, Eyeballs, etc.)</v>
      </c>
      <c r="J4758" t="str">
        <f>_xlfn.XLOOKUP($A4758,Load!$B:$B,Load!K:K,0,)</f>
        <v xml:space="preserve">Variety Candy Sizes </v>
      </c>
      <c r="K4758" t="str">
        <f>_xlfn.XLOOKUP($A4758,Load!$B:$B,Load!L:L,0,)</f>
        <v>Regular/Original Wrapping</v>
      </c>
      <c r="L4758" t="str">
        <f>_xlfn.XLOOKUP($A4758,Load!$B:$B,Load!M:M,0,)</f>
        <v>Single Brand / Variety Flavors or Form</v>
      </c>
    </row>
    <row r="4759" spans="1:12" x14ac:dyDescent="0.25">
      <c r="A4759" t="s">
        <v>222</v>
      </c>
      <c r="B4759" t="str">
        <f>_xlfn.XLOOKUP($A4759,Load!$B:$B,Load!C:C,0,)</f>
        <v>Nerds</v>
      </c>
      <c r="C4759" t="str">
        <f>_xlfn.XLOOKUP($A4759,Load!$B:$B,Load!D:D,0,)</f>
        <v>Non-Chocolate Candy Only</v>
      </c>
      <c r="D4759" t="str">
        <f>_xlfn.XLOOKUP($A4759,Load!$B:$B,Load!E:E,0,)</f>
        <v>Sweet</v>
      </c>
      <c r="E4759" t="str">
        <f>_xlfn.XLOOKUP($A4759,Load!$B:$B,Load!F:F,0,)</f>
        <v>Gummy</v>
      </c>
      <c r="F4759" t="str">
        <f>_xlfn.XLOOKUP($A4759,Load!$B:$B,Load!G:G,0,)</f>
        <v>Small Multipack (Less than 40 ct)</v>
      </c>
      <c r="G4759" t="str">
        <f>_xlfn.XLOOKUP($A4759,Load!$B:$B,Load!H:H,0,)</f>
        <v>Stand-Up Bag</v>
      </c>
      <c r="H4759" t="str">
        <f>_xlfn.XLOOKUP($A4759,Load!$B:$B,Load!I:I,0,)</f>
        <v>Everyday Candy Shapes (like Original, Gummy bear, Fruit, Jewels, etc.)</v>
      </c>
      <c r="I4759" t="str">
        <f>_xlfn.XLOOKUP($A4759,Load!$B:$B,Load!J:J,0,)</f>
        <v>Seasonal Graphics (Like Bat, Ghost, Pumpkin, Fall Leaves, Eyeballs, etc.)</v>
      </c>
      <c r="J4759" t="str">
        <f>_xlfn.XLOOKUP($A4759,Load!$B:$B,Load!K:K,0,)</f>
        <v>Fun Size / Treat Size</v>
      </c>
      <c r="K4759" t="str">
        <f>_xlfn.XLOOKUP($A4759,Load!$B:$B,Load!L:L,0,)</f>
        <v>Regular/Original Wrapping</v>
      </c>
      <c r="L4759" t="str">
        <f>_xlfn.XLOOKUP($A4759,Load!$B:$B,Load!M:M,0,)</f>
        <v>Single Brand / Variety Flavors or Form</v>
      </c>
    </row>
    <row r="4760" spans="1:12" x14ac:dyDescent="0.25">
      <c r="A4760" t="s">
        <v>469</v>
      </c>
      <c r="B4760" t="str">
        <f>_xlfn.XLOOKUP($A4760,Load!$B:$B,Load!C:C,0,)</f>
        <v>Zachary</v>
      </c>
      <c r="C4760" t="str">
        <f>_xlfn.XLOOKUP($A4760,Load!$B:$B,Load!D:D,0,)</f>
        <v>Non-Chocolate Candy Only</v>
      </c>
      <c r="D4760" t="str">
        <f>_xlfn.XLOOKUP($A4760,Load!$B:$B,Load!E:E,0,)</f>
        <v>Fall / Seasonal Flavors (pumpkin spice, caramel apple, candy corn)</v>
      </c>
      <c r="E4760" t="str">
        <f>_xlfn.XLOOKUP($A4760,Load!$B:$B,Load!F:F,0,)</f>
        <v>Candy Pieces / Bites</v>
      </c>
      <c r="F4760" t="str">
        <f>_xlfn.XLOOKUP($A4760,Load!$B:$B,Load!G:G,0,)</f>
        <v>Single Pack</v>
      </c>
      <c r="G4760" t="str">
        <f>_xlfn.XLOOKUP($A4760,Load!$B:$B,Load!H:H,0,)</f>
        <v>Plastic Cup / Container</v>
      </c>
      <c r="H4760" t="str">
        <f>_xlfn.XLOOKUP($A4760,Load!$B:$B,Load!I:I,0,)</f>
        <v>Seasonal Shapes (like pumpkins, candy corn, ghost, bats, etc.)</v>
      </c>
      <c r="I4760" t="str">
        <f>_xlfn.XLOOKUP($A4760,Load!$B:$B,Load!J:J,0,)</f>
        <v>Seasonal Graphics (Like Bat, Ghost, Pumpkin, Fall Leaves, Eyeballs, etc.)</v>
      </c>
      <c r="J4760" t="str">
        <f>_xlfn.XLOOKUP($A4760,Load!$B:$B,Load!K:K,0,)</f>
        <v>Small Pieces (Tiny bite size candies)</v>
      </c>
      <c r="K4760" t="str">
        <f>_xlfn.XLOOKUP($A4760,Load!$B:$B,Load!L:L,0,)</f>
        <v>Unwrapped</v>
      </c>
      <c r="L4760" t="str">
        <f>_xlfn.XLOOKUP($A4760,Load!$B:$B,Load!M:M,0,)</f>
        <v>Single Brand / Single Flavor or Form</v>
      </c>
    </row>
    <row r="4761" spans="1:12" x14ac:dyDescent="0.25">
      <c r="A4761" t="s">
        <v>50</v>
      </c>
      <c r="B4761" t="str">
        <f>_xlfn.XLOOKUP($A4761,Load!$B:$B,Load!C:C,0,)</f>
        <v>Brach's</v>
      </c>
      <c r="C4761" t="str">
        <f>_xlfn.XLOOKUP($A4761,Load!$B:$B,Load!D:D,0,)</f>
        <v>Non-Chocolate Candy Only</v>
      </c>
      <c r="D4761" t="str">
        <f>_xlfn.XLOOKUP($A4761,Load!$B:$B,Load!E:E,0,)</f>
        <v>Fall / Seasonal Flavors (pumpkin spice, caramel apple, candy corn)</v>
      </c>
      <c r="E4761" t="str">
        <f>_xlfn.XLOOKUP($A4761,Load!$B:$B,Load!F:F,0,)</f>
        <v>Candy Pieces / Bites</v>
      </c>
      <c r="F4761" t="str">
        <f>_xlfn.XLOOKUP($A4761,Load!$B:$B,Load!G:G,0,)</f>
        <v>Small Multipack (Less than 40 ct)</v>
      </c>
      <c r="G4761" t="str">
        <f>_xlfn.XLOOKUP($A4761,Load!$B:$B,Load!H:H,0,)</f>
        <v>Laydown Bag</v>
      </c>
      <c r="H4761" t="str">
        <f>_xlfn.XLOOKUP($A4761,Load!$B:$B,Load!I:I,0,)</f>
        <v>Seasonal Shapes (like pumpkins, candy corn, ghost, bats, etc.)</v>
      </c>
      <c r="I4761" t="str">
        <f>_xlfn.XLOOKUP($A4761,Load!$B:$B,Load!J:J,0,)</f>
        <v>Seasonal Graphics (Like Bat, Ghost, Pumpkin, Fall Leaves, Eyeballs, etc.)</v>
      </c>
      <c r="J4761" t="str">
        <f>_xlfn.XLOOKUP($A4761,Load!$B:$B,Load!K:K,0,)</f>
        <v>Small Pieces (Tiny bite size candies)</v>
      </c>
      <c r="K4761" t="str">
        <f>_xlfn.XLOOKUP($A4761,Load!$B:$B,Load!L:L,0,)</f>
        <v>Unwrapped</v>
      </c>
      <c r="L4761" t="str">
        <f>_xlfn.XLOOKUP($A4761,Load!$B:$B,Load!M:M,0,)</f>
        <v>Single Brand / Single Flavor or Form</v>
      </c>
    </row>
    <row r="4762" spans="1:12" x14ac:dyDescent="0.25">
      <c r="A4762" t="s">
        <v>326</v>
      </c>
      <c r="B4762" t="str">
        <f>_xlfn.XLOOKUP($A4762,Load!$B:$B,Load!C:C,0,)</f>
        <v>Mondelez Variety Pack</v>
      </c>
      <c r="C4762" t="str">
        <f>_xlfn.XLOOKUP($A4762,Load!$B:$B,Load!D:D,0,)</f>
        <v>Mix of Chocolate and Non-Chocolate Candy</v>
      </c>
      <c r="D4762" t="str">
        <f>_xlfn.XLOOKUP($A4762,Load!$B:$B,Load!E:E,0,)</f>
        <v>Variety / Mixed Flavors (Fruity, Sour, Seasonal Flavors)</v>
      </c>
      <c r="E4762" t="str">
        <f>_xlfn.XLOOKUP($A4762,Load!$B:$B,Load!F:F,0,)</f>
        <v>Mixed / Combo Packs (Gummy, Chewy, Taffy, etc.)</v>
      </c>
      <c r="F4762" t="str">
        <f>_xlfn.XLOOKUP($A4762,Load!$B:$B,Load!G:G,0,)</f>
        <v>Medium Multipack (40–80 ct)</v>
      </c>
      <c r="G4762" t="str">
        <f>_xlfn.XLOOKUP($A4762,Load!$B:$B,Load!H:H,0,)</f>
        <v>Stand-Up Bag</v>
      </c>
      <c r="H4762" t="str">
        <f>_xlfn.XLOOKUP($A4762,Load!$B:$B,Load!I:I,0,)</f>
        <v>Everyday Candy Shapes (like Original, Gummy bear, Fruit, Jewels, etc.)</v>
      </c>
      <c r="I4762" t="str">
        <f>_xlfn.XLOOKUP($A4762,Load!$B:$B,Load!J:J,0,)</f>
        <v>Seasonal Graphics (Like Bat, Ghost, Pumpkin, Fall Leaves, Eyeballs, etc.)</v>
      </c>
      <c r="J4762" t="str">
        <f>_xlfn.XLOOKUP($A4762,Load!$B:$B,Load!K:K,0,)</f>
        <v xml:space="preserve">Variety Candy Sizes </v>
      </c>
      <c r="K4762" t="str">
        <f>_xlfn.XLOOKUP($A4762,Load!$B:$B,Load!L:L,0,)</f>
        <v>Regular/Original Wrapping</v>
      </c>
      <c r="L4762" t="str">
        <f>_xlfn.XLOOKUP($A4762,Load!$B:$B,Load!M:M,0,)</f>
        <v>Multiple Brands / Variety Flavors or Form</v>
      </c>
    </row>
    <row r="4763" spans="1:12" x14ac:dyDescent="0.25">
      <c r="B4763">
        <f>_xlfn.XLOOKUP($A4763,Load!$B:$B,Load!C:C,0,)</f>
        <v>0</v>
      </c>
      <c r="C4763">
        <f>_xlfn.XLOOKUP($A4763,Load!$B:$B,Load!D:D,0,)</f>
        <v>0</v>
      </c>
      <c r="D4763">
        <f>_xlfn.XLOOKUP($A4763,Load!$B:$B,Load!E:E,0,)</f>
        <v>0</v>
      </c>
      <c r="E4763">
        <f>_xlfn.XLOOKUP($A4763,Load!$B:$B,Load!F:F,0,)</f>
        <v>0</v>
      </c>
      <c r="F4763">
        <f>_xlfn.XLOOKUP($A4763,Load!$B:$B,Load!G:G,0,)</f>
        <v>0</v>
      </c>
      <c r="G4763">
        <f>_xlfn.XLOOKUP($A4763,Load!$B:$B,Load!H:H,0,)</f>
        <v>0</v>
      </c>
      <c r="H4763">
        <f>_xlfn.XLOOKUP($A4763,Load!$B:$B,Load!I:I,0,)</f>
        <v>0</v>
      </c>
      <c r="I4763">
        <f>_xlfn.XLOOKUP($A4763,Load!$B:$B,Load!J:J,0,)</f>
        <v>0</v>
      </c>
      <c r="J4763">
        <f>_xlfn.XLOOKUP($A4763,Load!$B:$B,Load!K:K,0,)</f>
        <v>0</v>
      </c>
      <c r="K4763">
        <f>_xlfn.XLOOKUP($A4763,Load!$B:$B,Load!L:L,0,)</f>
        <v>0</v>
      </c>
      <c r="L4763">
        <f>_xlfn.XLOOKUP($A4763,Load!$B:$B,Load!M:M,0,)</f>
        <v>0</v>
      </c>
    </row>
    <row r="4764" spans="1:12" x14ac:dyDescent="0.25">
      <c r="A4764" t="s">
        <v>145</v>
      </c>
      <c r="B4764" t="str">
        <f>_xlfn.XLOOKUP($A4764,Load!$B:$B,Load!C:C,0,)</f>
        <v>Hershey's Variety Pack + Haribo</v>
      </c>
      <c r="C4764" t="str">
        <f>_xlfn.XLOOKUP($A4764,Load!$B:$B,Load!D:D,0,)</f>
        <v>Non-Chocolate Candy Only</v>
      </c>
      <c r="D4764" t="str">
        <f>_xlfn.XLOOKUP($A4764,Load!$B:$B,Load!E:E,0,)</f>
        <v>Variety / Mixed Flavors (Fruity, Sour, Seasonal Flavors)</v>
      </c>
      <c r="E4764" t="str">
        <f>_xlfn.XLOOKUP($A4764,Load!$B:$B,Load!F:F,0,)</f>
        <v>Mixed / Combo Packs (Gummy, Chewy, Taffy, etc.)</v>
      </c>
      <c r="F4764" t="str">
        <f>_xlfn.XLOOKUP($A4764,Load!$B:$B,Load!G:G,0,)</f>
        <v>Large Multipack (More than 80 ct)</v>
      </c>
      <c r="G4764" t="str">
        <f>_xlfn.XLOOKUP($A4764,Load!$B:$B,Load!H:H,0,)</f>
        <v>Stand-Up Bag</v>
      </c>
      <c r="H4764" t="str">
        <f>_xlfn.XLOOKUP($A4764,Load!$B:$B,Load!I:I,0,)</f>
        <v>Everyday Candy Shapes (like Original, Gummy bear, Fruit, Jewels, etc.)</v>
      </c>
      <c r="I4764" t="str">
        <f>_xlfn.XLOOKUP($A4764,Load!$B:$B,Load!J:J,0,)</f>
        <v>Seasonal Graphics (Like Bat, Ghost, Pumpkin, Fall Leaves, Eyeballs, etc.)</v>
      </c>
      <c r="J4764" t="str">
        <f>_xlfn.XLOOKUP($A4764,Load!$B:$B,Load!K:K,0,)</f>
        <v xml:space="preserve">Variety Candy Sizes </v>
      </c>
      <c r="K4764" t="str">
        <f>_xlfn.XLOOKUP($A4764,Load!$B:$B,Load!L:L,0,)</f>
        <v>Regular/Original Wrapping</v>
      </c>
      <c r="L4764" t="str">
        <f>_xlfn.XLOOKUP($A4764,Load!$B:$B,Load!M:M,0,)</f>
        <v>Multiple Brands / Variety Flavors or Form</v>
      </c>
    </row>
    <row r="4765" spans="1:12" x14ac:dyDescent="0.25">
      <c r="A4765" t="s">
        <v>133</v>
      </c>
      <c r="B4765" t="str">
        <f>_xlfn.XLOOKUP($A4765,Load!$B:$B,Load!C:C,0,)</f>
        <v>Hershey's</v>
      </c>
      <c r="C4765" t="str">
        <f>_xlfn.XLOOKUP($A4765,Load!$B:$B,Load!D:D,0,)</f>
        <v>Non-Chocolate Candy Only</v>
      </c>
      <c r="D4765" t="str">
        <f>_xlfn.XLOOKUP($A4765,Load!$B:$B,Load!E:E,0,)</f>
        <v>Variety / Mixed Flavors (Fruity, Sour, Seasonal Flavors)</v>
      </c>
      <c r="E4765" t="str">
        <f>_xlfn.XLOOKUP($A4765,Load!$B:$B,Load!F:F,0,)</f>
        <v>Mixed / Combo Packs (Gummy, Chewy, Taffy, etc.)</v>
      </c>
      <c r="F4765" t="str">
        <f>_xlfn.XLOOKUP($A4765,Load!$B:$B,Load!G:G,0,)</f>
        <v>Large Multipack (More than 80 ct)</v>
      </c>
      <c r="G4765" t="str">
        <f>_xlfn.XLOOKUP($A4765,Load!$B:$B,Load!H:H,0,)</f>
        <v>Stand-Up Bag</v>
      </c>
      <c r="H4765" t="str">
        <f>_xlfn.XLOOKUP($A4765,Load!$B:$B,Load!I:I,0,)</f>
        <v>Everyday Candy Shapes (like Original, Gummy bear, Fruit, Jewels, etc.)</v>
      </c>
      <c r="I4765" t="str">
        <f>_xlfn.XLOOKUP($A4765,Load!$B:$B,Load!J:J,0,)</f>
        <v>Seasonal Graphics (Like Bat, Ghost, Pumpkin, Fall Leaves, Eyeballs, etc.)</v>
      </c>
      <c r="J4765" t="str">
        <f>_xlfn.XLOOKUP($A4765,Load!$B:$B,Load!K:K,0,)</f>
        <v>Fun Size / Treat Size</v>
      </c>
      <c r="K4765" t="str">
        <f>_xlfn.XLOOKUP($A4765,Load!$B:$B,Load!L:L,0,)</f>
        <v>Regular/Original Wrapping</v>
      </c>
      <c r="L4765" t="str">
        <f>_xlfn.XLOOKUP($A4765,Load!$B:$B,Load!M:M,0,)</f>
        <v>Multiple Brands / Variety Flavors or Form</v>
      </c>
    </row>
    <row r="4766" spans="1:12" x14ac:dyDescent="0.25">
      <c r="A4766" t="s">
        <v>191</v>
      </c>
      <c r="B4766" t="str">
        <f>_xlfn.XLOOKUP($A4766,Load!$B:$B,Load!C:C,0,)</f>
        <v>Mars Variety Pack</v>
      </c>
      <c r="C4766" t="str">
        <f>_xlfn.XLOOKUP($A4766,Load!$B:$B,Load!D:D,0,)</f>
        <v>Mix of Chocolate and Non-Chocolate Candy</v>
      </c>
      <c r="D4766" t="str">
        <f>_xlfn.XLOOKUP($A4766,Load!$B:$B,Load!E:E,0,)</f>
        <v>Variety / Mixed Flavors (Fruity, Sour, Seasonal Flavors)</v>
      </c>
      <c r="E4766" t="str">
        <f>_xlfn.XLOOKUP($A4766,Load!$B:$B,Load!F:F,0,)</f>
        <v>Mixed / Combo Packs (Gummy, Chewy, Taffy, etc.)</v>
      </c>
      <c r="F4766" t="str">
        <f>_xlfn.XLOOKUP($A4766,Load!$B:$B,Load!G:G,0,)</f>
        <v>Medium Multipack (40–80 ct)</v>
      </c>
      <c r="G4766" t="str">
        <f>_xlfn.XLOOKUP($A4766,Load!$B:$B,Load!H:H,0,)</f>
        <v>Stand-Up Bag</v>
      </c>
      <c r="H4766" t="str">
        <f>_xlfn.XLOOKUP($A4766,Load!$B:$B,Load!I:I,0,)</f>
        <v>Everyday Candy Shapes (like Original, Gummy bear, Fruit, Jewels, etc.)</v>
      </c>
      <c r="I4766" t="str">
        <f>_xlfn.XLOOKUP($A4766,Load!$B:$B,Load!J:J,0,)</f>
        <v>Seasonal Graphics (Like Bat, Ghost, Pumpkin, Fall Leaves, Eyeballs, etc.)</v>
      </c>
      <c r="J4766" t="str">
        <f>_xlfn.XLOOKUP($A4766,Load!$B:$B,Load!K:K,0,)</f>
        <v xml:space="preserve">Variety Candy Sizes </v>
      </c>
      <c r="K4766" t="str">
        <f>_xlfn.XLOOKUP($A4766,Load!$B:$B,Load!L:L,0,)</f>
        <v>Regular/Original Wrapping</v>
      </c>
      <c r="L4766" t="str">
        <f>_xlfn.XLOOKUP($A4766,Load!$B:$B,Load!M:M,0,)</f>
        <v>Multiple Brands / Variety Flavors or Form</v>
      </c>
    </row>
    <row r="4767" spans="1:12" x14ac:dyDescent="0.25">
      <c r="B4767">
        <f>_xlfn.XLOOKUP($A4767,Load!$B:$B,Load!C:C,0,)</f>
        <v>0</v>
      </c>
      <c r="C4767">
        <f>_xlfn.XLOOKUP($A4767,Load!$B:$B,Load!D:D,0,)</f>
        <v>0</v>
      </c>
      <c r="D4767">
        <f>_xlfn.XLOOKUP($A4767,Load!$B:$B,Load!E:E,0,)</f>
        <v>0</v>
      </c>
      <c r="E4767">
        <f>_xlfn.XLOOKUP($A4767,Load!$B:$B,Load!F:F,0,)</f>
        <v>0</v>
      </c>
      <c r="F4767">
        <f>_xlfn.XLOOKUP($A4767,Load!$B:$B,Load!G:G,0,)</f>
        <v>0</v>
      </c>
      <c r="G4767">
        <f>_xlfn.XLOOKUP($A4767,Load!$B:$B,Load!H:H,0,)</f>
        <v>0</v>
      </c>
      <c r="H4767">
        <f>_xlfn.XLOOKUP($A4767,Load!$B:$B,Load!I:I,0,)</f>
        <v>0</v>
      </c>
      <c r="I4767">
        <f>_xlfn.XLOOKUP($A4767,Load!$B:$B,Load!J:J,0,)</f>
        <v>0</v>
      </c>
      <c r="J4767">
        <f>_xlfn.XLOOKUP($A4767,Load!$B:$B,Load!K:K,0,)</f>
        <v>0</v>
      </c>
      <c r="K4767">
        <f>_xlfn.XLOOKUP($A4767,Load!$B:$B,Load!L:L,0,)</f>
        <v>0</v>
      </c>
      <c r="L4767">
        <f>_xlfn.XLOOKUP($A4767,Load!$B:$B,Load!M:M,0,)</f>
        <v>0</v>
      </c>
    </row>
    <row r="4768" spans="1:12" x14ac:dyDescent="0.25">
      <c r="A4768" t="s">
        <v>230</v>
      </c>
      <c r="B4768" t="str">
        <f>_xlfn.XLOOKUP($A4768,Load!$B:$B,Load!C:C,0,)</f>
        <v>Nerds</v>
      </c>
      <c r="C4768" t="str">
        <f>_xlfn.XLOOKUP($A4768,Load!$B:$B,Load!D:D,0,)</f>
        <v>Non-Chocolate Candy Only</v>
      </c>
      <c r="D4768" t="str">
        <f>_xlfn.XLOOKUP($A4768,Load!$B:$B,Load!E:E,0,)</f>
        <v>Sweet</v>
      </c>
      <c r="E4768" t="str">
        <f>_xlfn.XLOOKUP($A4768,Load!$B:$B,Load!F:F,0,)</f>
        <v>Chewy</v>
      </c>
      <c r="F4768" t="str">
        <f>_xlfn.XLOOKUP($A4768,Load!$B:$B,Load!G:G,0,)</f>
        <v>Single Pack</v>
      </c>
      <c r="G4768" t="str">
        <f>_xlfn.XLOOKUP($A4768,Load!$B:$B,Load!H:H,0,)</f>
        <v>Laydown Bag</v>
      </c>
      <c r="H4768" t="str">
        <f>_xlfn.XLOOKUP($A4768,Load!$B:$B,Load!I:I,0,)</f>
        <v>Everyday Candy Shapes (like Original, Gummy bear, Fruit, Jewels, etc.)</v>
      </c>
      <c r="I4768" t="str">
        <f>_xlfn.XLOOKUP($A4768,Load!$B:$B,Load!J:J,0,)</f>
        <v>Seasonal Graphics (Like Bat, Ghost, Pumpkin, Fall Leaves, Eyeballs, etc.)</v>
      </c>
      <c r="J4768" t="str">
        <f>_xlfn.XLOOKUP($A4768,Load!$B:$B,Load!K:K,0,)</f>
        <v>Fun Size / Treat Size</v>
      </c>
      <c r="K4768" t="str">
        <f>_xlfn.XLOOKUP($A4768,Load!$B:$B,Load!L:L,0,)</f>
        <v>Regular/Original Wrapping</v>
      </c>
      <c r="L4768" t="str">
        <f>_xlfn.XLOOKUP($A4768,Load!$B:$B,Load!M:M,0,)</f>
        <v>Single Brand / Single Flavor or Form</v>
      </c>
    </row>
    <row r="4769" spans="1:12" x14ac:dyDescent="0.25">
      <c r="A4769" t="s">
        <v>223</v>
      </c>
      <c r="B4769" t="str">
        <f>_xlfn.XLOOKUP($A4769,Load!$B:$B,Load!C:C,0,)</f>
        <v>Nerds</v>
      </c>
      <c r="C4769" t="str">
        <f>_xlfn.XLOOKUP($A4769,Load!$B:$B,Load!D:D,0,)</f>
        <v>Non-Chocolate Candy Only</v>
      </c>
      <c r="D4769" t="str">
        <f>_xlfn.XLOOKUP($A4769,Load!$B:$B,Load!E:E,0,)</f>
        <v>Sweet</v>
      </c>
      <c r="E4769" t="str">
        <f>_xlfn.XLOOKUP($A4769,Load!$B:$B,Load!F:F,0,)</f>
        <v>Gummy</v>
      </c>
      <c r="F4769" t="str">
        <f>_xlfn.XLOOKUP($A4769,Load!$B:$B,Load!G:G,0,)</f>
        <v>Small Multipack (Less than 40 ct)</v>
      </c>
      <c r="G4769" t="str">
        <f>_xlfn.XLOOKUP($A4769,Load!$B:$B,Load!H:H,0,)</f>
        <v>Laydown Bag</v>
      </c>
      <c r="H4769" t="str">
        <f>_xlfn.XLOOKUP($A4769,Load!$B:$B,Load!I:I,0,)</f>
        <v>Everyday Candy Shapes (like Original, Gummy bear, Fruit, Jewels, etc.)</v>
      </c>
      <c r="I4769" t="str">
        <f>_xlfn.XLOOKUP($A4769,Load!$B:$B,Load!J:J,0,)</f>
        <v>Seasonal Graphics (Like Bat, Ghost, Pumpkin, Fall Leaves, Eyeballs, etc.)</v>
      </c>
      <c r="J4769" t="str">
        <f>_xlfn.XLOOKUP($A4769,Load!$B:$B,Load!K:K,0,)</f>
        <v>Small Pieces (Tiny bite size candies)</v>
      </c>
      <c r="K4769" t="str">
        <f>_xlfn.XLOOKUP($A4769,Load!$B:$B,Load!L:L,0,)</f>
        <v>Regular/Original Wrapping</v>
      </c>
      <c r="L4769" t="str">
        <f>_xlfn.XLOOKUP($A4769,Load!$B:$B,Load!M:M,0,)</f>
        <v>Single Brand / Variety Flavors or Form</v>
      </c>
    </row>
    <row r="4770" spans="1:12" x14ac:dyDescent="0.25">
      <c r="B4770">
        <f>_xlfn.XLOOKUP($A4770,Load!$B:$B,Load!C:C,0,)</f>
        <v>0</v>
      </c>
      <c r="C4770">
        <f>_xlfn.XLOOKUP($A4770,Load!$B:$B,Load!D:D,0,)</f>
        <v>0</v>
      </c>
      <c r="D4770">
        <f>_xlfn.XLOOKUP($A4770,Load!$B:$B,Load!E:E,0,)</f>
        <v>0</v>
      </c>
      <c r="E4770">
        <f>_xlfn.XLOOKUP($A4770,Load!$B:$B,Load!F:F,0,)</f>
        <v>0</v>
      </c>
      <c r="F4770">
        <f>_xlfn.XLOOKUP($A4770,Load!$B:$B,Load!G:G,0,)</f>
        <v>0</v>
      </c>
      <c r="G4770">
        <f>_xlfn.XLOOKUP($A4770,Load!$B:$B,Load!H:H,0,)</f>
        <v>0</v>
      </c>
      <c r="H4770">
        <f>_xlfn.XLOOKUP($A4770,Load!$B:$B,Load!I:I,0,)</f>
        <v>0</v>
      </c>
      <c r="I4770">
        <f>_xlfn.XLOOKUP($A4770,Load!$B:$B,Load!J:J,0,)</f>
        <v>0</v>
      </c>
      <c r="J4770">
        <f>_xlfn.XLOOKUP($A4770,Load!$B:$B,Load!K:K,0,)</f>
        <v>0</v>
      </c>
      <c r="K4770">
        <f>_xlfn.XLOOKUP($A4770,Load!$B:$B,Load!L:L,0,)</f>
        <v>0</v>
      </c>
      <c r="L4770">
        <f>_xlfn.XLOOKUP($A4770,Load!$B:$B,Load!M:M,0,)</f>
        <v>0</v>
      </c>
    </row>
    <row r="4771" spans="1:12" x14ac:dyDescent="0.25">
      <c r="B4771">
        <f>_xlfn.XLOOKUP($A4771,Load!$B:$B,Load!C:C,0,)</f>
        <v>0</v>
      </c>
      <c r="C4771">
        <f>_xlfn.XLOOKUP($A4771,Load!$B:$B,Load!D:D,0,)</f>
        <v>0</v>
      </c>
      <c r="D4771">
        <f>_xlfn.XLOOKUP($A4771,Load!$B:$B,Load!E:E,0,)</f>
        <v>0</v>
      </c>
      <c r="E4771">
        <f>_xlfn.XLOOKUP($A4771,Load!$B:$B,Load!F:F,0,)</f>
        <v>0</v>
      </c>
      <c r="F4771">
        <f>_xlfn.XLOOKUP($A4771,Load!$B:$B,Load!G:G,0,)</f>
        <v>0</v>
      </c>
      <c r="G4771">
        <f>_xlfn.XLOOKUP($A4771,Load!$B:$B,Load!H:H,0,)</f>
        <v>0</v>
      </c>
      <c r="H4771">
        <f>_xlfn.XLOOKUP($A4771,Load!$B:$B,Load!I:I,0,)</f>
        <v>0</v>
      </c>
      <c r="I4771">
        <f>_xlfn.XLOOKUP($A4771,Load!$B:$B,Load!J:J,0,)</f>
        <v>0</v>
      </c>
      <c r="J4771">
        <f>_xlfn.XLOOKUP($A4771,Load!$B:$B,Load!K:K,0,)</f>
        <v>0</v>
      </c>
      <c r="K4771">
        <f>_xlfn.XLOOKUP($A4771,Load!$B:$B,Load!L:L,0,)</f>
        <v>0</v>
      </c>
      <c r="L4771">
        <f>_xlfn.XLOOKUP($A4771,Load!$B:$B,Load!M:M,0,)</f>
        <v>0</v>
      </c>
    </row>
    <row r="4772" spans="1:12" x14ac:dyDescent="0.25">
      <c r="A4772" t="s">
        <v>288</v>
      </c>
      <c r="B4772" t="str">
        <f>_xlfn.XLOOKUP($A4772,Load!$B:$B,Load!C:C,0,)</f>
        <v>SweeTARTS</v>
      </c>
      <c r="C4772" t="str">
        <f>_xlfn.XLOOKUP($A4772,Load!$B:$B,Load!D:D,0,)</f>
        <v>Non-Chocolate Candy Only</v>
      </c>
      <c r="D4772" t="str">
        <f>_xlfn.XLOOKUP($A4772,Load!$B:$B,Load!E:E,0,)</f>
        <v>Variety / Mixed Flavors (Fruity, Sour, Seasonal Flavors)</v>
      </c>
      <c r="E4772" t="str">
        <f>_xlfn.XLOOKUP($A4772,Load!$B:$B,Load!F:F,0,)</f>
        <v>Mixed / Combo Packs (Gummy, Chewy, Taffy, etc.)</v>
      </c>
      <c r="F4772" t="str">
        <f>_xlfn.XLOOKUP($A4772,Load!$B:$B,Load!G:G,0,)</f>
        <v>Medium Multipack (40–80 ct)</v>
      </c>
      <c r="G4772" t="str">
        <f>_xlfn.XLOOKUP($A4772,Load!$B:$B,Load!H:H,0,)</f>
        <v>Stand-Up Bag</v>
      </c>
      <c r="H4772" t="str">
        <f>_xlfn.XLOOKUP($A4772,Load!$B:$B,Load!I:I,0,)</f>
        <v>Everyday Candy Shapes (like Original, Gummy bear, Fruit, Jewels, etc.)</v>
      </c>
      <c r="I4772" t="str">
        <f>_xlfn.XLOOKUP($A4772,Load!$B:$B,Load!J:J,0,)</f>
        <v>Seasonal Graphics (Like Bat, Ghost, Pumpkin, Fall Leaves, Eyeballs, etc.)</v>
      </c>
      <c r="J4772" t="str">
        <f>_xlfn.XLOOKUP($A4772,Load!$B:$B,Load!K:K,0,)</f>
        <v>Small Pieces (Tiny bite size candies)</v>
      </c>
      <c r="K4772" t="str">
        <f>_xlfn.XLOOKUP($A4772,Load!$B:$B,Load!L:L,0,)</f>
        <v>Regular/Original Wrapping</v>
      </c>
      <c r="L4772" t="str">
        <f>_xlfn.XLOOKUP($A4772,Load!$B:$B,Load!M:M,0,)</f>
        <v>Single Brand / Variety Flavors or Form</v>
      </c>
    </row>
    <row r="4773" spans="1:12" x14ac:dyDescent="0.25">
      <c r="B4773">
        <f>_xlfn.XLOOKUP($A4773,Load!$B:$B,Load!C:C,0,)</f>
        <v>0</v>
      </c>
      <c r="C4773">
        <f>_xlfn.XLOOKUP($A4773,Load!$B:$B,Load!D:D,0,)</f>
        <v>0</v>
      </c>
      <c r="D4773">
        <f>_xlfn.XLOOKUP($A4773,Load!$B:$B,Load!E:E,0,)</f>
        <v>0</v>
      </c>
      <c r="E4773">
        <f>_xlfn.XLOOKUP($A4773,Load!$B:$B,Load!F:F,0,)</f>
        <v>0</v>
      </c>
      <c r="F4773">
        <f>_xlfn.XLOOKUP($A4773,Load!$B:$B,Load!G:G,0,)</f>
        <v>0</v>
      </c>
      <c r="G4773">
        <f>_xlfn.XLOOKUP($A4773,Load!$B:$B,Load!H:H,0,)</f>
        <v>0</v>
      </c>
      <c r="H4773">
        <f>_xlfn.XLOOKUP($A4773,Load!$B:$B,Load!I:I,0,)</f>
        <v>0</v>
      </c>
      <c r="I4773">
        <f>_xlfn.XLOOKUP($A4773,Load!$B:$B,Load!J:J,0,)</f>
        <v>0</v>
      </c>
      <c r="J4773">
        <f>_xlfn.XLOOKUP($A4773,Load!$B:$B,Load!K:K,0,)</f>
        <v>0</v>
      </c>
      <c r="K4773">
        <f>_xlfn.XLOOKUP($A4773,Load!$B:$B,Load!L:L,0,)</f>
        <v>0</v>
      </c>
      <c r="L4773">
        <f>_xlfn.XLOOKUP($A4773,Load!$B:$B,Load!M:M,0,)</f>
        <v>0</v>
      </c>
    </row>
    <row r="4774" spans="1:12" x14ac:dyDescent="0.25">
      <c r="A4774" t="s">
        <v>288</v>
      </c>
      <c r="B4774" t="str">
        <f>_xlfn.XLOOKUP($A4774,Load!$B:$B,Load!C:C,0,)</f>
        <v>SweeTARTS</v>
      </c>
      <c r="C4774" t="str">
        <f>_xlfn.XLOOKUP($A4774,Load!$B:$B,Load!D:D,0,)</f>
        <v>Non-Chocolate Candy Only</v>
      </c>
      <c r="D4774" t="str">
        <f>_xlfn.XLOOKUP($A4774,Load!$B:$B,Load!E:E,0,)</f>
        <v>Variety / Mixed Flavors (Fruity, Sour, Seasonal Flavors)</v>
      </c>
      <c r="E4774" t="str">
        <f>_xlfn.XLOOKUP($A4774,Load!$B:$B,Load!F:F,0,)</f>
        <v>Mixed / Combo Packs (Gummy, Chewy, Taffy, etc.)</v>
      </c>
      <c r="F4774" t="str">
        <f>_xlfn.XLOOKUP($A4774,Load!$B:$B,Load!G:G,0,)</f>
        <v>Medium Multipack (40–80 ct)</v>
      </c>
      <c r="G4774" t="str">
        <f>_xlfn.XLOOKUP($A4774,Load!$B:$B,Load!H:H,0,)</f>
        <v>Stand-Up Bag</v>
      </c>
      <c r="H4774" t="str">
        <f>_xlfn.XLOOKUP($A4774,Load!$B:$B,Load!I:I,0,)</f>
        <v>Everyday Candy Shapes (like Original, Gummy bear, Fruit, Jewels, etc.)</v>
      </c>
      <c r="I4774" t="str">
        <f>_xlfn.XLOOKUP($A4774,Load!$B:$B,Load!J:J,0,)</f>
        <v>Seasonal Graphics (Like Bat, Ghost, Pumpkin, Fall Leaves, Eyeballs, etc.)</v>
      </c>
      <c r="J4774" t="str">
        <f>_xlfn.XLOOKUP($A4774,Load!$B:$B,Load!K:K,0,)</f>
        <v>Small Pieces (Tiny bite size candies)</v>
      </c>
      <c r="K4774" t="str">
        <f>_xlfn.XLOOKUP($A4774,Load!$B:$B,Load!L:L,0,)</f>
        <v>Regular/Original Wrapping</v>
      </c>
      <c r="L4774" t="str">
        <f>_xlfn.XLOOKUP($A4774,Load!$B:$B,Load!M:M,0,)</f>
        <v>Single Brand / Variety Flavors or Form</v>
      </c>
    </row>
    <row r="4775" spans="1:12" x14ac:dyDescent="0.25">
      <c r="B4775">
        <f>_xlfn.XLOOKUP($A4775,Load!$B:$B,Load!C:C,0,)</f>
        <v>0</v>
      </c>
      <c r="C4775">
        <f>_xlfn.XLOOKUP($A4775,Load!$B:$B,Load!D:D,0,)</f>
        <v>0</v>
      </c>
      <c r="D4775">
        <f>_xlfn.XLOOKUP($A4775,Load!$B:$B,Load!E:E,0,)</f>
        <v>0</v>
      </c>
      <c r="E4775">
        <f>_xlfn.XLOOKUP($A4775,Load!$B:$B,Load!F:F,0,)</f>
        <v>0</v>
      </c>
      <c r="F4775">
        <f>_xlfn.XLOOKUP($A4775,Load!$B:$B,Load!G:G,0,)</f>
        <v>0</v>
      </c>
      <c r="G4775">
        <f>_xlfn.XLOOKUP($A4775,Load!$B:$B,Load!H:H,0,)</f>
        <v>0</v>
      </c>
      <c r="H4775">
        <f>_xlfn.XLOOKUP($A4775,Load!$B:$B,Load!I:I,0,)</f>
        <v>0</v>
      </c>
      <c r="I4775">
        <f>_xlfn.XLOOKUP($A4775,Load!$B:$B,Load!J:J,0,)</f>
        <v>0</v>
      </c>
      <c r="J4775">
        <f>_xlfn.XLOOKUP($A4775,Load!$B:$B,Load!K:K,0,)</f>
        <v>0</v>
      </c>
      <c r="K4775">
        <f>_xlfn.XLOOKUP($A4775,Load!$B:$B,Load!L:L,0,)</f>
        <v>0</v>
      </c>
      <c r="L4775">
        <f>_xlfn.XLOOKUP($A4775,Load!$B:$B,Load!M:M,0,)</f>
        <v>0</v>
      </c>
    </row>
    <row r="4776" spans="1:12" x14ac:dyDescent="0.25">
      <c r="A4776" t="s">
        <v>290</v>
      </c>
      <c r="B4776" t="str">
        <f>_xlfn.XLOOKUP($A4776,Load!$B:$B,Load!C:C,0,)</f>
        <v>Tootsie</v>
      </c>
      <c r="C4776" t="str">
        <f>_xlfn.XLOOKUP($A4776,Load!$B:$B,Load!D:D,0,)</f>
        <v>Mix of Chocolate and Non-Chocolate Candy</v>
      </c>
      <c r="D4776" t="str">
        <f>_xlfn.XLOOKUP($A4776,Load!$B:$B,Load!E:E,0,)</f>
        <v>Variety / Mixed Flavors (Fruity, Sour, Seasonal Flavors)</v>
      </c>
      <c r="E4776" t="str">
        <f>_xlfn.XLOOKUP($A4776,Load!$B:$B,Load!F:F,0,)</f>
        <v>Mixed / Combo Packs (Gummy, Chewy, Taffy, etc.)</v>
      </c>
      <c r="F4776" t="str">
        <f>_xlfn.XLOOKUP($A4776,Load!$B:$B,Load!G:G,0,)</f>
        <v>Large Multipack (More than 80 ct)</v>
      </c>
      <c r="G4776" t="str">
        <f>_xlfn.XLOOKUP($A4776,Load!$B:$B,Load!H:H,0,)</f>
        <v>Laydown Bag</v>
      </c>
      <c r="H4776" t="str">
        <f>_xlfn.XLOOKUP($A4776,Load!$B:$B,Load!I:I,0,)</f>
        <v>Everyday Candy Shapes (like Original, Gummy bear, Fruit, Jewels, etc.)</v>
      </c>
      <c r="I4776" t="str">
        <f>_xlfn.XLOOKUP($A4776,Load!$B:$B,Load!J:J,0,)</f>
        <v>Everyday Graphics</v>
      </c>
      <c r="J4776" t="str">
        <f>_xlfn.XLOOKUP($A4776,Load!$B:$B,Load!K:K,0,)</f>
        <v>Fun Size / Treat Size</v>
      </c>
      <c r="K4776" t="str">
        <f>_xlfn.XLOOKUP($A4776,Load!$B:$B,Load!L:L,0,)</f>
        <v>Regular/Original Wrapping</v>
      </c>
      <c r="L4776" t="str">
        <f>_xlfn.XLOOKUP($A4776,Load!$B:$B,Load!M:M,0,)</f>
        <v>Single Brand / Variety Flavors or Form</v>
      </c>
    </row>
    <row r="4777" spans="1:12" x14ac:dyDescent="0.25">
      <c r="A4777" t="s">
        <v>289</v>
      </c>
      <c r="B4777" t="str">
        <f>_xlfn.XLOOKUP($A4777,Load!$B:$B,Load!C:C,0,)</f>
        <v>Tootsie</v>
      </c>
      <c r="C4777" t="str">
        <f>_xlfn.XLOOKUP($A4777,Load!$B:$B,Load!D:D,0,)</f>
        <v>Mix of Chocolate and Non-Chocolate Candy</v>
      </c>
      <c r="D4777" t="str">
        <f>_xlfn.XLOOKUP($A4777,Load!$B:$B,Load!E:E,0,)</f>
        <v>Variety / Mixed Flavors (Fruity, Sour, Seasonal Flavors)</v>
      </c>
      <c r="E4777" t="str">
        <f>_xlfn.XLOOKUP($A4777,Load!$B:$B,Load!F:F,0,)</f>
        <v>Mixed / Combo Packs (Gummy, Chewy, Taffy, etc.)</v>
      </c>
      <c r="F4777" t="str">
        <f>_xlfn.XLOOKUP($A4777,Load!$B:$B,Load!G:G,0,)</f>
        <v>Large Multipack (More than 80 ct)</v>
      </c>
      <c r="G4777" t="str">
        <f>_xlfn.XLOOKUP($A4777,Load!$B:$B,Load!H:H,0,)</f>
        <v>Laydown Bag</v>
      </c>
      <c r="H4777" t="str">
        <f>_xlfn.XLOOKUP($A4777,Load!$B:$B,Load!I:I,0,)</f>
        <v>Everyday Candy Shapes (like Original, Gummy bear, Fruit, Jewels, etc.)</v>
      </c>
      <c r="I4777" t="str">
        <f>_xlfn.XLOOKUP($A4777,Load!$B:$B,Load!J:J,0,)</f>
        <v>Everyday Graphics</v>
      </c>
      <c r="J4777" t="str">
        <f>_xlfn.XLOOKUP($A4777,Load!$B:$B,Load!K:K,0,)</f>
        <v xml:space="preserve">Variety Candy Sizes </v>
      </c>
      <c r="K4777" t="str">
        <f>_xlfn.XLOOKUP($A4777,Load!$B:$B,Load!L:L,0,)</f>
        <v>Regular/Original Wrapping</v>
      </c>
      <c r="L4777" t="str">
        <f>_xlfn.XLOOKUP($A4777,Load!$B:$B,Load!M:M,0,)</f>
        <v>Single Brand / Variety Flavors or Form</v>
      </c>
    </row>
    <row r="4778" spans="1:12" x14ac:dyDescent="0.25">
      <c r="A4778" t="s">
        <v>271</v>
      </c>
      <c r="B4778" t="str">
        <f>_xlfn.XLOOKUP($A4778,Load!$B:$B,Load!C:C,0,)</f>
        <v>Sour Patch Kids</v>
      </c>
      <c r="C4778" t="str">
        <f>_xlfn.XLOOKUP($A4778,Load!$B:$B,Load!D:D,0,)</f>
        <v>Non-Chocolate Candy Only</v>
      </c>
      <c r="D4778" t="str">
        <f>_xlfn.XLOOKUP($A4778,Load!$B:$B,Load!E:E,0,)</f>
        <v>Sour</v>
      </c>
      <c r="E4778" t="str">
        <f>_xlfn.XLOOKUP($A4778,Load!$B:$B,Load!F:F,0,)</f>
        <v>Chewy</v>
      </c>
      <c r="F4778" t="str">
        <f>_xlfn.XLOOKUP($A4778,Load!$B:$B,Load!G:G,0,)</f>
        <v>Medium Multipack (40–80 ct)</v>
      </c>
      <c r="G4778" t="str">
        <f>_xlfn.XLOOKUP($A4778,Load!$B:$B,Load!H:H,0,)</f>
        <v>Laydown Bag</v>
      </c>
      <c r="H4778" t="str">
        <f>_xlfn.XLOOKUP($A4778,Load!$B:$B,Load!I:I,0,)</f>
        <v>Everyday Candy Shapes (like Original, Gummy bear, Fruit, Jewels, etc.)</v>
      </c>
      <c r="I4778" t="str">
        <f>_xlfn.XLOOKUP($A4778,Load!$B:$B,Load!J:J,0,)</f>
        <v>Seasonal Graphics (Like Bat, Ghost, Pumpkin, Fall Leaves, Eyeballs, etc.)</v>
      </c>
      <c r="J4778" t="str">
        <f>_xlfn.XLOOKUP($A4778,Load!$B:$B,Load!K:K,0,)</f>
        <v>Small Pieces (Tiny bite size candies)</v>
      </c>
      <c r="K4778" t="str">
        <f>_xlfn.XLOOKUP($A4778,Load!$B:$B,Load!L:L,0,)</f>
        <v>Regular/Original Wrapping</v>
      </c>
      <c r="L4778" t="str">
        <f>_xlfn.XLOOKUP($A4778,Load!$B:$B,Load!M:M,0,)</f>
        <v>Single Brand / Variety Flavors or Form</v>
      </c>
    </row>
    <row r="4779" spans="1:12" x14ac:dyDescent="0.25">
      <c r="B4779">
        <f>_xlfn.XLOOKUP($A4779,Load!$B:$B,Load!C:C,0,)</f>
        <v>0</v>
      </c>
      <c r="C4779">
        <f>_xlfn.XLOOKUP($A4779,Load!$B:$B,Load!D:D,0,)</f>
        <v>0</v>
      </c>
      <c r="D4779">
        <f>_xlfn.XLOOKUP($A4779,Load!$B:$B,Load!E:E,0,)</f>
        <v>0</v>
      </c>
      <c r="E4779">
        <f>_xlfn.XLOOKUP($A4779,Load!$B:$B,Load!F:F,0,)</f>
        <v>0</v>
      </c>
      <c r="F4779">
        <f>_xlfn.XLOOKUP($A4779,Load!$B:$B,Load!G:G,0,)</f>
        <v>0</v>
      </c>
      <c r="G4779">
        <f>_xlfn.XLOOKUP($A4779,Load!$B:$B,Load!H:H,0,)</f>
        <v>0</v>
      </c>
      <c r="H4779">
        <f>_xlfn.XLOOKUP($A4779,Load!$B:$B,Load!I:I,0,)</f>
        <v>0</v>
      </c>
      <c r="I4779">
        <f>_xlfn.XLOOKUP($A4779,Load!$B:$B,Load!J:J,0,)</f>
        <v>0</v>
      </c>
      <c r="J4779">
        <f>_xlfn.XLOOKUP($A4779,Load!$B:$B,Load!K:K,0,)</f>
        <v>0</v>
      </c>
      <c r="K4779">
        <f>_xlfn.XLOOKUP($A4779,Load!$B:$B,Load!L:L,0,)</f>
        <v>0</v>
      </c>
      <c r="L4779">
        <f>_xlfn.XLOOKUP($A4779,Load!$B:$B,Load!M:M,0,)</f>
        <v>0</v>
      </c>
    </row>
    <row r="4780" spans="1:12" x14ac:dyDescent="0.25">
      <c r="A4780" t="s">
        <v>134</v>
      </c>
      <c r="B4780" t="str">
        <f>_xlfn.XLOOKUP($A4780,Load!$B:$B,Load!C:C,0,)</f>
        <v>Hershey's Variety Pack</v>
      </c>
      <c r="C4780" t="str">
        <f>_xlfn.XLOOKUP($A4780,Load!$B:$B,Load!D:D,0,)</f>
        <v>Non-Chocolate Candy Only</v>
      </c>
      <c r="D4780" t="str">
        <f>_xlfn.XLOOKUP($A4780,Load!$B:$B,Load!E:E,0,)</f>
        <v>Variety / Mixed Flavors (Fruity, Sour, Seasonal Flavors)</v>
      </c>
      <c r="E4780" t="str">
        <f>_xlfn.XLOOKUP($A4780,Load!$B:$B,Load!F:F,0,)</f>
        <v>Mixed / Combo Packs (Gummy, Chewy, Taffy, etc.)</v>
      </c>
      <c r="F4780" t="str">
        <f>_xlfn.XLOOKUP($A4780,Load!$B:$B,Load!G:G,0,)</f>
        <v>Large Multipack (More than 80 ct)</v>
      </c>
      <c r="G4780" t="str">
        <f>_xlfn.XLOOKUP($A4780,Load!$B:$B,Load!H:H,0,)</f>
        <v>Stand-Up Bag</v>
      </c>
      <c r="H4780" t="str">
        <f>_xlfn.XLOOKUP($A4780,Load!$B:$B,Load!I:I,0,)</f>
        <v>Everyday Candy Shapes (like Original, Gummy bear, Fruit, Jewels, etc.)</v>
      </c>
      <c r="I4780" t="str">
        <f>_xlfn.XLOOKUP($A4780,Load!$B:$B,Load!J:J,0,)</f>
        <v>Seasonal Graphics (Like Bat, Ghost, Pumpkin, Fall Leaves, Eyeballs, etc.)</v>
      </c>
      <c r="J4780" t="str">
        <f>_xlfn.XLOOKUP($A4780,Load!$B:$B,Load!K:K,0,)</f>
        <v xml:space="preserve">Variety Candy Sizes </v>
      </c>
      <c r="K4780" t="str">
        <f>_xlfn.XLOOKUP($A4780,Load!$B:$B,Load!L:L,0,)</f>
        <v>Regular/Original Wrapping</v>
      </c>
      <c r="L4780" t="str">
        <f>_xlfn.XLOOKUP($A4780,Load!$B:$B,Load!M:M,0,)</f>
        <v>Multiple Brands / Variety Flavors or Form</v>
      </c>
    </row>
    <row r="4781" spans="1:12" x14ac:dyDescent="0.25">
      <c r="B4781">
        <f>_xlfn.XLOOKUP($A4781,Load!$B:$B,Load!C:C,0,)</f>
        <v>0</v>
      </c>
      <c r="C4781">
        <f>_xlfn.XLOOKUP($A4781,Load!$B:$B,Load!D:D,0,)</f>
        <v>0</v>
      </c>
      <c r="D4781">
        <f>_xlfn.XLOOKUP($A4781,Load!$B:$B,Load!E:E,0,)</f>
        <v>0</v>
      </c>
      <c r="E4781">
        <f>_xlfn.XLOOKUP($A4781,Load!$B:$B,Load!F:F,0,)</f>
        <v>0</v>
      </c>
      <c r="F4781">
        <f>_xlfn.XLOOKUP($A4781,Load!$B:$B,Load!G:G,0,)</f>
        <v>0</v>
      </c>
      <c r="G4781">
        <f>_xlfn.XLOOKUP($A4781,Load!$B:$B,Load!H:H,0,)</f>
        <v>0</v>
      </c>
      <c r="H4781">
        <f>_xlfn.XLOOKUP($A4781,Load!$B:$B,Load!I:I,0,)</f>
        <v>0</v>
      </c>
      <c r="I4781">
        <f>_xlfn.XLOOKUP($A4781,Load!$B:$B,Load!J:J,0,)</f>
        <v>0</v>
      </c>
      <c r="J4781">
        <f>_xlfn.XLOOKUP($A4781,Load!$B:$B,Load!K:K,0,)</f>
        <v>0</v>
      </c>
      <c r="K4781">
        <f>_xlfn.XLOOKUP($A4781,Load!$B:$B,Load!L:L,0,)</f>
        <v>0</v>
      </c>
      <c r="L4781">
        <f>_xlfn.XLOOKUP($A4781,Load!$B:$B,Load!M:M,0,)</f>
        <v>0</v>
      </c>
    </row>
    <row r="4782" spans="1:12" x14ac:dyDescent="0.25">
      <c r="B4782">
        <f>_xlfn.XLOOKUP($A4782,Load!$B:$B,Load!C:C,0,)</f>
        <v>0</v>
      </c>
      <c r="C4782">
        <f>_xlfn.XLOOKUP($A4782,Load!$B:$B,Load!D:D,0,)</f>
        <v>0</v>
      </c>
      <c r="D4782">
        <f>_xlfn.XLOOKUP($A4782,Load!$B:$B,Load!E:E,0,)</f>
        <v>0</v>
      </c>
      <c r="E4782">
        <f>_xlfn.XLOOKUP($A4782,Load!$B:$B,Load!F:F,0,)</f>
        <v>0</v>
      </c>
      <c r="F4782">
        <f>_xlfn.XLOOKUP($A4782,Load!$B:$B,Load!G:G,0,)</f>
        <v>0</v>
      </c>
      <c r="G4782">
        <f>_xlfn.XLOOKUP($A4782,Load!$B:$B,Load!H:H,0,)</f>
        <v>0</v>
      </c>
      <c r="H4782">
        <f>_xlfn.XLOOKUP($A4782,Load!$B:$B,Load!I:I,0,)</f>
        <v>0</v>
      </c>
      <c r="I4782">
        <f>_xlfn.XLOOKUP($A4782,Load!$B:$B,Load!J:J,0,)</f>
        <v>0</v>
      </c>
      <c r="J4782">
        <f>_xlfn.XLOOKUP($A4782,Load!$B:$B,Load!K:K,0,)</f>
        <v>0</v>
      </c>
      <c r="K4782">
        <f>_xlfn.XLOOKUP($A4782,Load!$B:$B,Load!L:L,0,)</f>
        <v>0</v>
      </c>
      <c r="L4782">
        <f>_xlfn.XLOOKUP($A4782,Load!$B:$B,Load!M:M,0,)</f>
        <v>0</v>
      </c>
    </row>
    <row r="4783" spans="1:12" x14ac:dyDescent="0.25">
      <c r="B4783">
        <f>_xlfn.XLOOKUP($A4783,Load!$B:$B,Load!C:C,0,)</f>
        <v>0</v>
      </c>
      <c r="C4783">
        <f>_xlfn.XLOOKUP($A4783,Load!$B:$B,Load!D:D,0,)</f>
        <v>0</v>
      </c>
      <c r="D4783">
        <f>_xlfn.XLOOKUP($A4783,Load!$B:$B,Load!E:E,0,)</f>
        <v>0</v>
      </c>
      <c r="E4783">
        <f>_xlfn.XLOOKUP($A4783,Load!$B:$B,Load!F:F,0,)</f>
        <v>0</v>
      </c>
      <c r="F4783">
        <f>_xlfn.XLOOKUP($A4783,Load!$B:$B,Load!G:G,0,)</f>
        <v>0</v>
      </c>
      <c r="G4783">
        <f>_xlfn.XLOOKUP($A4783,Load!$B:$B,Load!H:H,0,)</f>
        <v>0</v>
      </c>
      <c r="H4783">
        <f>_xlfn.XLOOKUP($A4783,Load!$B:$B,Load!I:I,0,)</f>
        <v>0</v>
      </c>
      <c r="I4783">
        <f>_xlfn.XLOOKUP($A4783,Load!$B:$B,Load!J:J,0,)</f>
        <v>0</v>
      </c>
      <c r="J4783">
        <f>_xlfn.XLOOKUP($A4783,Load!$B:$B,Load!K:K,0,)</f>
        <v>0</v>
      </c>
      <c r="K4783">
        <f>_xlfn.XLOOKUP($A4783,Load!$B:$B,Load!L:L,0,)</f>
        <v>0</v>
      </c>
      <c r="L4783">
        <f>_xlfn.XLOOKUP($A4783,Load!$B:$B,Load!M:M,0,)</f>
        <v>0</v>
      </c>
    </row>
    <row r="4784" spans="1:12" x14ac:dyDescent="0.25">
      <c r="A4784" t="s">
        <v>327</v>
      </c>
      <c r="B4784" t="str">
        <f>_xlfn.XLOOKUP($A4784,Load!$B:$B,Load!C:C,0,)</f>
        <v>Googly Eyes</v>
      </c>
      <c r="C4784" t="str">
        <f>_xlfn.XLOOKUP($A4784,Load!$B:$B,Load!D:D,0,)</f>
        <v>Non-Chocolate Candy Only</v>
      </c>
      <c r="D4784" t="str">
        <f>_xlfn.XLOOKUP($A4784,Load!$B:$B,Load!E:E,0,)</f>
        <v>Variety / Mixed Flavors (Fruity, Sour, Seasonal Flavors)</v>
      </c>
      <c r="E4784" t="str">
        <f>_xlfn.XLOOKUP($A4784,Load!$B:$B,Load!F:F,0,)</f>
        <v>Candy Pieces / Bites</v>
      </c>
      <c r="F4784" t="str">
        <f>_xlfn.XLOOKUP($A4784,Load!$B:$B,Load!G:G,0,)</f>
        <v>Small Multipack (Less than 40 ct)</v>
      </c>
      <c r="G4784" t="str">
        <f>_xlfn.XLOOKUP($A4784,Load!$B:$B,Load!H:H,0,)</f>
        <v>Plastic Cup / Container</v>
      </c>
      <c r="H4784" t="str">
        <f>_xlfn.XLOOKUP($A4784,Load!$B:$B,Load!I:I,0,)</f>
        <v>Seasonal Shapes (like pumpkins, candy corn, ghost, bats, etc.)</v>
      </c>
      <c r="I4784" t="str">
        <f>_xlfn.XLOOKUP($A4784,Load!$B:$B,Load!J:J,0,)</f>
        <v>Seasonal Graphics (Like Bat, Ghost, Pumpkin, Fall Leaves, Eyeballs, etc.)</v>
      </c>
      <c r="J4784" t="str">
        <f>_xlfn.XLOOKUP($A4784,Load!$B:$B,Load!K:K,0,)</f>
        <v>Fun Size / Treat Size</v>
      </c>
      <c r="K4784" t="str">
        <f>_xlfn.XLOOKUP($A4784,Load!$B:$B,Load!L:L,0,)</f>
        <v>Regular/Original Wrapping</v>
      </c>
      <c r="L4784" t="str">
        <f>_xlfn.XLOOKUP($A4784,Load!$B:$B,Load!M:M,0,)</f>
        <v>Single Brand / Variety Flavors or Form</v>
      </c>
    </row>
    <row r="4785" spans="1:12" x14ac:dyDescent="0.25">
      <c r="A4785" t="s">
        <v>147</v>
      </c>
      <c r="B4785" t="str">
        <f>_xlfn.XLOOKUP($A4785,Load!$B:$B,Load!C:C,0,)</f>
        <v>Jelly Belly</v>
      </c>
      <c r="C4785" t="str">
        <f>_xlfn.XLOOKUP($A4785,Load!$B:$B,Load!D:D,0,)</f>
        <v>Non-Chocolate Candy Only</v>
      </c>
      <c r="D4785" t="str">
        <f>_xlfn.XLOOKUP($A4785,Load!$B:$B,Load!E:E,0,)</f>
        <v>Variety / Mixed Flavors (Fruity, Sour, Seasonal Flavors)</v>
      </c>
      <c r="E4785" t="str">
        <f>_xlfn.XLOOKUP($A4785,Load!$B:$B,Load!F:F,0,)</f>
        <v>Candy Pieces / Bites</v>
      </c>
      <c r="F4785" t="str">
        <f>_xlfn.XLOOKUP($A4785,Load!$B:$B,Load!G:G,0,)</f>
        <v>Medium Multipack (40–80 ct)</v>
      </c>
      <c r="G4785" t="str">
        <f>_xlfn.XLOOKUP($A4785,Load!$B:$B,Load!H:H,0,)</f>
        <v>Box (theatre box, gift box, carton)</v>
      </c>
      <c r="H4785" t="str">
        <f>_xlfn.XLOOKUP($A4785,Load!$B:$B,Load!I:I,0,)</f>
        <v>Everyday Candy Shapes (like Original, Gummy bear, Fruit, Jewels, etc.)</v>
      </c>
      <c r="I4785" t="str">
        <f>_xlfn.XLOOKUP($A4785,Load!$B:$B,Load!J:J,0,)</f>
        <v>Everyday Graphics</v>
      </c>
      <c r="J4785" t="str">
        <f>_xlfn.XLOOKUP($A4785,Load!$B:$B,Load!K:K,0,)</f>
        <v>Small Pieces (Tiny bite size candies)</v>
      </c>
      <c r="K4785" t="str">
        <f>_xlfn.XLOOKUP($A4785,Load!$B:$B,Load!L:L,0,)</f>
        <v>Regular/Original Wrapping</v>
      </c>
      <c r="L4785" t="str">
        <f>_xlfn.XLOOKUP($A4785,Load!$B:$B,Load!M:M,0,)</f>
        <v>Single Brand / Variety Flavors or Form</v>
      </c>
    </row>
    <row r="4786" spans="1:12" x14ac:dyDescent="0.25">
      <c r="A4786" t="s">
        <v>88</v>
      </c>
      <c r="B4786" t="str">
        <f>_xlfn.XLOOKUP($A4786,Load!$B:$B,Load!C:C,0,)</f>
        <v>Ferrara Variety Pack</v>
      </c>
      <c r="C4786" t="str">
        <f>_xlfn.XLOOKUP($A4786,Load!$B:$B,Load!D:D,0,)</f>
        <v>Non-Chocolate Candy Only</v>
      </c>
      <c r="D4786" t="str">
        <f>_xlfn.XLOOKUP($A4786,Load!$B:$B,Load!E:E,0,)</f>
        <v>Variety / Mixed Flavors (Fruity, Sour, Seasonal Flavors)</v>
      </c>
      <c r="E4786" t="str">
        <f>_xlfn.XLOOKUP($A4786,Load!$B:$B,Load!F:F,0,)</f>
        <v>Mixed / Combo Packs (Gummy, Chewy, Taffy, etc.)</v>
      </c>
      <c r="F4786" t="str">
        <f>_xlfn.XLOOKUP($A4786,Load!$B:$B,Load!G:G,0,)</f>
        <v>Small Multipack (Less than 40 ct)</v>
      </c>
      <c r="G4786" t="str">
        <f>_xlfn.XLOOKUP($A4786,Load!$B:$B,Load!H:H,0,)</f>
        <v>Laydown Bag</v>
      </c>
      <c r="H4786" t="str">
        <f>_xlfn.XLOOKUP($A4786,Load!$B:$B,Load!I:I,0,)</f>
        <v>Seasonal Shapes (like pumpkins, candy corn, ghost, bats, etc.)</v>
      </c>
      <c r="I4786" t="str">
        <f>_xlfn.XLOOKUP($A4786,Load!$B:$B,Load!J:J,0,)</f>
        <v>Seasonal Graphics (Like Bat, Ghost, Pumpkin, Fall Leaves, Eyeballs, etc.)</v>
      </c>
      <c r="J4786" t="str">
        <f>_xlfn.XLOOKUP($A4786,Load!$B:$B,Load!K:K,0,)</f>
        <v>Fun Size / Treat Size</v>
      </c>
      <c r="K4786" t="str">
        <f>_xlfn.XLOOKUP($A4786,Load!$B:$B,Load!L:L,0,)</f>
        <v>Regular/Original Wrapping</v>
      </c>
      <c r="L4786" t="str">
        <f>_xlfn.XLOOKUP($A4786,Load!$B:$B,Load!M:M,0,)</f>
        <v>Multiple Brands / Variety Flavors or Form</v>
      </c>
    </row>
    <row r="4787" spans="1:12" x14ac:dyDescent="0.25">
      <c r="B4787">
        <f>_xlfn.XLOOKUP($A4787,Load!$B:$B,Load!C:C,0,)</f>
        <v>0</v>
      </c>
      <c r="C4787">
        <f>_xlfn.XLOOKUP($A4787,Load!$B:$B,Load!D:D,0,)</f>
        <v>0</v>
      </c>
      <c r="D4787">
        <f>_xlfn.XLOOKUP($A4787,Load!$B:$B,Load!E:E,0,)</f>
        <v>0</v>
      </c>
      <c r="E4787">
        <f>_xlfn.XLOOKUP($A4787,Load!$B:$B,Load!F:F,0,)</f>
        <v>0</v>
      </c>
      <c r="F4787">
        <f>_xlfn.XLOOKUP($A4787,Load!$B:$B,Load!G:G,0,)</f>
        <v>0</v>
      </c>
      <c r="G4787">
        <f>_xlfn.XLOOKUP($A4787,Load!$B:$B,Load!H:H,0,)</f>
        <v>0</v>
      </c>
      <c r="H4787">
        <f>_xlfn.XLOOKUP($A4787,Load!$B:$B,Load!I:I,0,)</f>
        <v>0</v>
      </c>
      <c r="I4787">
        <f>_xlfn.XLOOKUP($A4787,Load!$B:$B,Load!J:J,0,)</f>
        <v>0</v>
      </c>
      <c r="J4787">
        <f>_xlfn.XLOOKUP($A4787,Load!$B:$B,Load!K:K,0,)</f>
        <v>0</v>
      </c>
      <c r="K4787">
        <f>_xlfn.XLOOKUP($A4787,Load!$B:$B,Load!L:L,0,)</f>
        <v>0</v>
      </c>
      <c r="L4787">
        <f>_xlfn.XLOOKUP($A4787,Load!$B:$B,Load!M:M,0,)</f>
        <v>0</v>
      </c>
    </row>
    <row r="4788" spans="1:12" x14ac:dyDescent="0.25">
      <c r="A4788" t="s">
        <v>190</v>
      </c>
      <c r="B4788" t="str">
        <f>_xlfn.XLOOKUP($A4788,Load!$B:$B,Load!C:C,0,)</f>
        <v>Mars Variety Pack</v>
      </c>
      <c r="C4788" t="str">
        <f>_xlfn.XLOOKUP($A4788,Load!$B:$B,Load!D:D,0,)</f>
        <v>Non-Chocolate Candy Only</v>
      </c>
      <c r="D4788" t="str">
        <f>_xlfn.XLOOKUP($A4788,Load!$B:$B,Load!E:E,0,)</f>
        <v>Variety / Mixed Flavors (Fruity, Sour, Seasonal Flavors)</v>
      </c>
      <c r="E4788" t="str">
        <f>_xlfn.XLOOKUP($A4788,Load!$B:$B,Load!F:F,0,)</f>
        <v>Mixed / Combo Packs (Gummy, Chewy, Taffy, etc.)</v>
      </c>
      <c r="F4788" t="str">
        <f>_xlfn.XLOOKUP($A4788,Load!$B:$B,Load!G:G,0,)</f>
        <v>Medium Multipack (40–80 ct)</v>
      </c>
      <c r="G4788" t="str">
        <f>_xlfn.XLOOKUP($A4788,Load!$B:$B,Load!H:H,0,)</f>
        <v>Stand-Up Bag</v>
      </c>
      <c r="H4788" t="str">
        <f>_xlfn.XLOOKUP($A4788,Load!$B:$B,Load!I:I,0,)</f>
        <v>Everyday Candy Shapes (like Original, Gummy bear, Fruit, Jewels, etc.)</v>
      </c>
      <c r="I4788" t="str">
        <f>_xlfn.XLOOKUP($A4788,Load!$B:$B,Load!J:J,0,)</f>
        <v>Everyday Graphics</v>
      </c>
      <c r="J4788" t="str">
        <f>_xlfn.XLOOKUP($A4788,Load!$B:$B,Load!K:K,0,)</f>
        <v>Fun Size / Treat Size</v>
      </c>
      <c r="K4788" t="str">
        <f>_xlfn.XLOOKUP($A4788,Load!$B:$B,Load!L:L,0,)</f>
        <v>Regular/Original Wrapping</v>
      </c>
      <c r="L4788" t="str">
        <f>_xlfn.XLOOKUP($A4788,Load!$B:$B,Load!M:M,0,)</f>
        <v>Multiple Brands / Variety Flavors or Form</v>
      </c>
    </row>
    <row r="4789" spans="1:12" x14ac:dyDescent="0.25">
      <c r="B4789">
        <f>_xlfn.XLOOKUP($A4789,Load!$B:$B,Load!C:C,0,)</f>
        <v>0</v>
      </c>
      <c r="C4789">
        <f>_xlfn.XLOOKUP($A4789,Load!$B:$B,Load!D:D,0,)</f>
        <v>0</v>
      </c>
      <c r="D4789">
        <f>_xlfn.XLOOKUP($A4789,Load!$B:$B,Load!E:E,0,)</f>
        <v>0</v>
      </c>
      <c r="E4789">
        <f>_xlfn.XLOOKUP($A4789,Load!$B:$B,Load!F:F,0,)</f>
        <v>0</v>
      </c>
      <c r="F4789">
        <f>_xlfn.XLOOKUP($A4789,Load!$B:$B,Load!G:G,0,)</f>
        <v>0</v>
      </c>
      <c r="G4789">
        <f>_xlfn.XLOOKUP($A4789,Load!$B:$B,Load!H:H,0,)</f>
        <v>0</v>
      </c>
      <c r="H4789">
        <f>_xlfn.XLOOKUP($A4789,Load!$B:$B,Load!I:I,0,)</f>
        <v>0</v>
      </c>
      <c r="I4789">
        <f>_xlfn.XLOOKUP($A4789,Load!$B:$B,Load!J:J,0,)</f>
        <v>0</v>
      </c>
      <c r="J4789">
        <f>_xlfn.XLOOKUP($A4789,Load!$B:$B,Load!K:K,0,)</f>
        <v>0</v>
      </c>
      <c r="K4789">
        <f>_xlfn.XLOOKUP($A4789,Load!$B:$B,Load!L:L,0,)</f>
        <v>0</v>
      </c>
      <c r="L4789">
        <f>_xlfn.XLOOKUP($A4789,Load!$B:$B,Load!M:M,0,)</f>
        <v>0</v>
      </c>
    </row>
    <row r="4790" spans="1:12" x14ac:dyDescent="0.25">
      <c r="A4790" t="s">
        <v>249</v>
      </c>
      <c r="B4790" t="str">
        <f>_xlfn.XLOOKUP($A4790,Load!$B:$B,Load!C:C,0,)</f>
        <v>Rolling Pin</v>
      </c>
      <c r="C4790" t="str">
        <f>_xlfn.XLOOKUP($A4790,Load!$B:$B,Load!D:D,0,)</f>
        <v>Non-Chocolate Candy Only</v>
      </c>
      <c r="D4790" t="str">
        <f>_xlfn.XLOOKUP($A4790,Load!$B:$B,Load!E:E,0,)</f>
        <v>Fall / Seasonal Flavors (pumpkin spice, caramel apple, candy corn)</v>
      </c>
      <c r="E4790" t="str">
        <f>_xlfn.XLOOKUP($A4790,Load!$B:$B,Load!F:F,0,)</f>
        <v>Candy Pieces / Bites</v>
      </c>
      <c r="F4790" t="str">
        <f>_xlfn.XLOOKUP($A4790,Load!$B:$B,Load!G:G,0,)</f>
        <v>Small Multipack (Less than 40 ct)</v>
      </c>
      <c r="G4790" t="str">
        <f>_xlfn.XLOOKUP($A4790,Load!$B:$B,Load!H:H,0,)</f>
        <v>Stand-Up Bag</v>
      </c>
      <c r="H4790" t="str">
        <f>_xlfn.XLOOKUP($A4790,Load!$B:$B,Load!I:I,0,)</f>
        <v>Seasonal Shapes (like pumpkins, candy corn, ghost, bats, etc.)</v>
      </c>
      <c r="I4790" t="str">
        <f>_xlfn.XLOOKUP($A4790,Load!$B:$B,Load!J:J,0,)</f>
        <v>Seasonal Graphics (Like Bat, Ghost, Pumpkin, Fall Leaves, Eyeballs, etc.)</v>
      </c>
      <c r="J4790" t="str">
        <f>_xlfn.XLOOKUP($A4790,Load!$B:$B,Load!K:K,0,)</f>
        <v>Small Pieces (Tiny bite size candies)</v>
      </c>
      <c r="K4790" t="str">
        <f>_xlfn.XLOOKUP($A4790,Load!$B:$B,Load!L:L,0,)</f>
        <v>Unwrapped</v>
      </c>
      <c r="L4790" t="str">
        <f>_xlfn.XLOOKUP($A4790,Load!$B:$B,Load!M:M,0,)</f>
        <v>Single Brand / Single Flavor or Form</v>
      </c>
    </row>
    <row r="4791" spans="1:12" x14ac:dyDescent="0.25">
      <c r="A4791" t="s">
        <v>200</v>
      </c>
      <c r="B4791" t="str">
        <f>_xlfn.XLOOKUP($A4791,Load!$B:$B,Load!C:C,0,)</f>
        <v>Mars Variety Pack</v>
      </c>
      <c r="C4791" t="str">
        <f>_xlfn.XLOOKUP($A4791,Load!$B:$B,Load!D:D,0,)</f>
        <v>Non-Chocolate Candy Only</v>
      </c>
      <c r="D4791" t="str">
        <f>_xlfn.XLOOKUP($A4791,Load!$B:$B,Load!E:E,0,)</f>
        <v>Variety / Mixed Flavors (Fruity, Sour, Seasonal Flavors)</v>
      </c>
      <c r="E4791" t="str">
        <f>_xlfn.XLOOKUP($A4791,Load!$B:$B,Load!F:F,0,)</f>
        <v>Mixed / Combo Packs (Gummy, Chewy, Taffy, etc.)</v>
      </c>
      <c r="F4791" t="str">
        <f>_xlfn.XLOOKUP($A4791,Load!$B:$B,Load!G:G,0,)</f>
        <v>Small Multipack (Less than 40 ct)</v>
      </c>
      <c r="G4791" t="str">
        <f>_xlfn.XLOOKUP($A4791,Load!$B:$B,Load!H:H,0,)</f>
        <v>Box (theatre box, gift box, carton)</v>
      </c>
      <c r="H4791" t="str">
        <f>_xlfn.XLOOKUP($A4791,Load!$B:$B,Load!I:I,0,)</f>
        <v>Everyday Candy Shapes (like Original, Gummy bear, Fruit, Jewels, etc.)</v>
      </c>
      <c r="I4791" t="str">
        <f>_xlfn.XLOOKUP($A4791,Load!$B:$B,Load!J:J,0,)</f>
        <v>Seasonal Graphics (Like Bat, Ghost, Pumpkin, Fall Leaves, Eyeballs, etc.)</v>
      </c>
      <c r="J4791" t="str">
        <f>_xlfn.XLOOKUP($A4791,Load!$B:$B,Load!K:K,0,)</f>
        <v>Small Pieces (Tiny bite size candies)</v>
      </c>
      <c r="K4791" t="str">
        <f>_xlfn.XLOOKUP($A4791,Load!$B:$B,Load!L:L,0,)</f>
        <v>Regular/Original Wrapping</v>
      </c>
      <c r="L4791" t="str">
        <f>_xlfn.XLOOKUP($A4791,Load!$B:$B,Load!M:M,0,)</f>
        <v>Multiple Brands / Variety Flavors or Form</v>
      </c>
    </row>
    <row r="4792" spans="1:12" x14ac:dyDescent="0.25">
      <c r="A4792" t="s">
        <v>298</v>
      </c>
      <c r="B4792" t="str">
        <f>_xlfn.XLOOKUP($A4792,Load!$B:$B,Load!C:C,0,)</f>
        <v>Trolli</v>
      </c>
      <c r="C4792" t="str">
        <f>_xlfn.XLOOKUP($A4792,Load!$B:$B,Load!D:D,0,)</f>
        <v>Non-Chocolate Candy Only</v>
      </c>
      <c r="D4792" t="str">
        <f>_xlfn.XLOOKUP($A4792,Load!$B:$B,Load!E:E,0,)</f>
        <v>Variety / Mixed Flavors (Fruity, Sour, Seasonal Flavors)</v>
      </c>
      <c r="E4792" t="str">
        <f>_xlfn.XLOOKUP($A4792,Load!$B:$B,Load!F:F,0,)</f>
        <v>Gummy</v>
      </c>
      <c r="F4792" t="str">
        <f>_xlfn.XLOOKUP($A4792,Load!$B:$B,Load!G:G,0,)</f>
        <v>Small Multipack (Less than 40 ct)</v>
      </c>
      <c r="G4792" t="str">
        <f>_xlfn.XLOOKUP($A4792,Load!$B:$B,Load!H:H,0,)</f>
        <v>Laydown Bag</v>
      </c>
      <c r="H4792" t="str">
        <f>_xlfn.XLOOKUP($A4792,Load!$B:$B,Load!I:I,0,)</f>
        <v>Everyday Candy Shapes (like Original, Gummy bear, Fruit, Jewels, etc.)</v>
      </c>
      <c r="I4792" t="str">
        <f>_xlfn.XLOOKUP($A4792,Load!$B:$B,Load!J:J,0,)</f>
        <v>Seasonal Graphics (Like Bat, Ghost, Pumpkin, Fall Leaves, Eyeballs, etc.)</v>
      </c>
      <c r="J4792" t="str">
        <f>_xlfn.XLOOKUP($A4792,Load!$B:$B,Load!K:K,0,)</f>
        <v>Small Pieces (Tiny bite size candies)</v>
      </c>
      <c r="K4792" t="str">
        <f>_xlfn.XLOOKUP($A4792,Load!$B:$B,Load!L:L,0,)</f>
        <v>Unwrapped</v>
      </c>
      <c r="L4792" t="str">
        <f>_xlfn.XLOOKUP($A4792,Load!$B:$B,Load!M:M,0,)</f>
        <v>Single Brand / Variety Flavors or Form</v>
      </c>
    </row>
    <row r="4793" spans="1:12" x14ac:dyDescent="0.25">
      <c r="A4793" t="s">
        <v>261</v>
      </c>
      <c r="B4793" t="str">
        <f>_xlfn.XLOOKUP($A4793,Load!$B:$B,Load!C:C,0,)</f>
        <v>Skittles</v>
      </c>
      <c r="C4793" t="str">
        <f>_xlfn.XLOOKUP($A4793,Load!$B:$B,Load!D:D,0,)</f>
        <v>Non-Chocolate Candy Only</v>
      </c>
      <c r="D4793" t="str">
        <f>_xlfn.XLOOKUP($A4793,Load!$B:$B,Load!E:E,0,)</f>
        <v>Fruit Flavor (Cherry, Grape, Apple, Citrus, Tropical Fruit)</v>
      </c>
      <c r="E4793" t="str">
        <f>_xlfn.XLOOKUP($A4793,Load!$B:$B,Load!F:F,0,)</f>
        <v>Candy Pieces / Bites</v>
      </c>
      <c r="F4793" t="str">
        <f>_xlfn.XLOOKUP($A4793,Load!$B:$B,Load!G:G,0,)</f>
        <v>Single Pack</v>
      </c>
      <c r="G4793" t="str">
        <f>_xlfn.XLOOKUP($A4793,Load!$B:$B,Load!H:H,0,)</f>
        <v>Laydown Bag</v>
      </c>
      <c r="H4793" t="str">
        <f>_xlfn.XLOOKUP($A4793,Load!$B:$B,Load!I:I,0,)</f>
        <v>Everyday Candy Shapes (like Original, Gummy bear, Fruit, Jewels, etc.)</v>
      </c>
      <c r="I4793" t="str">
        <f>_xlfn.XLOOKUP($A4793,Load!$B:$B,Load!J:J,0,)</f>
        <v>Everyday Graphics</v>
      </c>
      <c r="J4793" t="str">
        <f>_xlfn.XLOOKUP($A4793,Load!$B:$B,Load!K:K,0,)</f>
        <v>Small Pieces (Tiny bite size candies)</v>
      </c>
      <c r="K4793" t="str">
        <f>_xlfn.XLOOKUP($A4793,Load!$B:$B,Load!L:L,0,)</f>
        <v>Unwrapped</v>
      </c>
      <c r="L4793" t="str">
        <f>_xlfn.XLOOKUP($A4793,Load!$B:$B,Load!M:M,0,)</f>
        <v>Single Brand / Single Flavor or Form</v>
      </c>
    </row>
    <row r="4794" spans="1:12" x14ac:dyDescent="0.25">
      <c r="A4794" t="s">
        <v>113</v>
      </c>
      <c r="B4794" t="str">
        <f>_xlfn.XLOOKUP($A4794,Load!$B:$B,Load!C:C,0,)</f>
        <v>Fun Dip</v>
      </c>
      <c r="C4794" t="str">
        <f>_xlfn.XLOOKUP($A4794,Load!$B:$B,Load!D:D,0,)</f>
        <v>Non-Chocolate Candy Only</v>
      </c>
      <c r="D4794" t="str">
        <f>_xlfn.XLOOKUP($A4794,Load!$B:$B,Load!E:E,0,)</f>
        <v>Variety / Mixed Flavors (Fruity, Sour, Seasonal Flavors)</v>
      </c>
      <c r="E4794" t="str">
        <f>_xlfn.XLOOKUP($A4794,Load!$B:$B,Load!F:F,0,)</f>
        <v>Powder / Chalky</v>
      </c>
      <c r="F4794" t="str">
        <f>_xlfn.XLOOKUP($A4794,Load!$B:$B,Load!G:G,0,)</f>
        <v>Medium Multipack (40–80 ct)</v>
      </c>
      <c r="G4794" t="str">
        <f>_xlfn.XLOOKUP($A4794,Load!$B:$B,Load!H:H,0,)</f>
        <v>Box (theatre box, gift box, carton)</v>
      </c>
      <c r="H4794" t="str">
        <f>_xlfn.XLOOKUP($A4794,Load!$B:$B,Load!I:I,0,)</f>
        <v>Everyday Candy Shapes (like Original, Gummy bear, Fruit, Jewels, etc.)</v>
      </c>
      <c r="I4794" t="str">
        <f>_xlfn.XLOOKUP($A4794,Load!$B:$B,Load!J:J,0,)</f>
        <v>Seasonal Graphics (Like Bat, Ghost, Pumpkin, Fall Leaves, Eyeballs, etc.)</v>
      </c>
      <c r="J4794" t="str">
        <f>_xlfn.XLOOKUP($A4794,Load!$B:$B,Load!K:K,0,)</f>
        <v>Fun Size / Treat Size</v>
      </c>
      <c r="K4794" t="str">
        <f>_xlfn.XLOOKUP($A4794,Load!$B:$B,Load!L:L,0,)</f>
        <v>Regular/Original Wrapping</v>
      </c>
      <c r="L4794" t="str">
        <f>_xlfn.XLOOKUP($A4794,Load!$B:$B,Load!M:M,0,)</f>
        <v>Single Brand / Variety Flavors or Form</v>
      </c>
    </row>
    <row r="4795" spans="1:12" x14ac:dyDescent="0.25">
      <c r="B4795">
        <f>_xlfn.XLOOKUP($A4795,Load!$B:$B,Load!C:C,0,)</f>
        <v>0</v>
      </c>
      <c r="C4795">
        <f>_xlfn.XLOOKUP($A4795,Load!$B:$B,Load!D:D,0,)</f>
        <v>0</v>
      </c>
      <c r="D4795">
        <f>_xlfn.XLOOKUP($A4795,Load!$B:$B,Load!E:E,0,)</f>
        <v>0</v>
      </c>
      <c r="E4795">
        <f>_xlfn.XLOOKUP($A4795,Load!$B:$B,Load!F:F,0,)</f>
        <v>0</v>
      </c>
      <c r="F4795">
        <f>_xlfn.XLOOKUP($A4795,Load!$B:$B,Load!G:G,0,)</f>
        <v>0</v>
      </c>
      <c r="G4795">
        <f>_xlfn.XLOOKUP($A4795,Load!$B:$B,Load!H:H,0,)</f>
        <v>0</v>
      </c>
      <c r="H4795">
        <f>_xlfn.XLOOKUP($A4795,Load!$B:$B,Load!I:I,0,)</f>
        <v>0</v>
      </c>
      <c r="I4795">
        <f>_xlfn.XLOOKUP($A4795,Load!$B:$B,Load!J:J,0,)</f>
        <v>0</v>
      </c>
      <c r="J4795">
        <f>_xlfn.XLOOKUP($A4795,Load!$B:$B,Load!K:K,0,)</f>
        <v>0</v>
      </c>
      <c r="K4795">
        <f>_xlfn.XLOOKUP($A4795,Load!$B:$B,Load!L:L,0,)</f>
        <v>0</v>
      </c>
      <c r="L4795">
        <f>_xlfn.XLOOKUP($A4795,Load!$B:$B,Load!M:M,0,)</f>
        <v>0</v>
      </c>
    </row>
    <row r="4796" spans="1:12" x14ac:dyDescent="0.25">
      <c r="A4796" t="s">
        <v>8</v>
      </c>
      <c r="B4796" t="str">
        <f>_xlfn.XLOOKUP($A4796,Load!$B:$B,Load!C:C,0,)</f>
        <v>Airheads</v>
      </c>
      <c r="C4796" t="str">
        <f>_xlfn.XLOOKUP($A4796,Load!$B:$B,Load!D:D,0,)</f>
        <v>Non-Chocolate Candy Only</v>
      </c>
      <c r="D4796" t="str">
        <f>_xlfn.XLOOKUP($A4796,Load!$B:$B,Load!E:E,0,)</f>
        <v>Fruit Flavor (Cherry, Grape, Apple, Citrus, Tropical Fruit)</v>
      </c>
      <c r="E4796" t="str">
        <f>_xlfn.XLOOKUP($A4796,Load!$B:$B,Load!F:F,0,)</f>
        <v>Chewy</v>
      </c>
      <c r="F4796" t="str">
        <f>_xlfn.XLOOKUP($A4796,Load!$B:$B,Load!G:G,0,)</f>
        <v>Small Multipack (Less than 40 ct)</v>
      </c>
      <c r="G4796" t="str">
        <f>_xlfn.XLOOKUP($A4796,Load!$B:$B,Load!H:H,0,)</f>
        <v>Laydown Bag</v>
      </c>
      <c r="H4796" t="str">
        <f>_xlfn.XLOOKUP($A4796,Load!$B:$B,Load!I:I,0,)</f>
        <v>Everyday Candy Shapes (like Original, Gummy bear, Fruit, Jewels, etc.)</v>
      </c>
      <c r="I4796" t="str">
        <f>_xlfn.XLOOKUP($A4796,Load!$B:$B,Load!J:J,0,)</f>
        <v>Everyday Graphics</v>
      </c>
      <c r="J4796" t="str">
        <f>_xlfn.XLOOKUP($A4796,Load!$B:$B,Load!K:K,0,)</f>
        <v>Fun Size / Treat Size</v>
      </c>
      <c r="K4796" t="str">
        <f>_xlfn.XLOOKUP($A4796,Load!$B:$B,Load!L:L,0,)</f>
        <v>Regular/Original Wrapping</v>
      </c>
      <c r="L4796" t="str">
        <f>_xlfn.XLOOKUP($A4796,Load!$B:$B,Load!M:M,0,)</f>
        <v>Single Brand / Variety Flavors or Form</v>
      </c>
    </row>
    <row r="4797" spans="1:12" x14ac:dyDescent="0.25">
      <c r="A4797" t="s">
        <v>288</v>
      </c>
      <c r="B4797" t="str">
        <f>_xlfn.XLOOKUP($A4797,Load!$B:$B,Load!C:C,0,)</f>
        <v>SweeTARTS</v>
      </c>
      <c r="C4797" t="str">
        <f>_xlfn.XLOOKUP($A4797,Load!$B:$B,Load!D:D,0,)</f>
        <v>Non-Chocolate Candy Only</v>
      </c>
      <c r="D4797" t="str">
        <f>_xlfn.XLOOKUP($A4797,Load!$B:$B,Load!E:E,0,)</f>
        <v>Variety / Mixed Flavors (Fruity, Sour, Seasonal Flavors)</v>
      </c>
      <c r="E4797" t="str">
        <f>_xlfn.XLOOKUP($A4797,Load!$B:$B,Load!F:F,0,)</f>
        <v>Mixed / Combo Packs (Gummy, Chewy, Taffy, etc.)</v>
      </c>
      <c r="F4797" t="str">
        <f>_xlfn.XLOOKUP($A4797,Load!$B:$B,Load!G:G,0,)</f>
        <v>Medium Multipack (40–80 ct)</v>
      </c>
      <c r="G4797" t="str">
        <f>_xlfn.XLOOKUP($A4797,Load!$B:$B,Load!H:H,0,)</f>
        <v>Stand-Up Bag</v>
      </c>
      <c r="H4797" t="str">
        <f>_xlfn.XLOOKUP($A4797,Load!$B:$B,Load!I:I,0,)</f>
        <v>Everyday Candy Shapes (like Original, Gummy bear, Fruit, Jewels, etc.)</v>
      </c>
      <c r="I4797" t="str">
        <f>_xlfn.XLOOKUP($A4797,Load!$B:$B,Load!J:J,0,)</f>
        <v>Seasonal Graphics (Like Bat, Ghost, Pumpkin, Fall Leaves, Eyeballs, etc.)</v>
      </c>
      <c r="J4797" t="str">
        <f>_xlfn.XLOOKUP($A4797,Load!$B:$B,Load!K:K,0,)</f>
        <v>Small Pieces (Tiny bite size candies)</v>
      </c>
      <c r="K4797" t="str">
        <f>_xlfn.XLOOKUP($A4797,Load!$B:$B,Load!L:L,0,)</f>
        <v>Regular/Original Wrapping</v>
      </c>
      <c r="L4797" t="str">
        <f>_xlfn.XLOOKUP($A4797,Load!$B:$B,Load!M:M,0,)</f>
        <v>Single Brand / Variety Flavors or Form</v>
      </c>
    </row>
    <row r="4798" spans="1:12" x14ac:dyDescent="0.25">
      <c r="A4798" t="s">
        <v>187</v>
      </c>
      <c r="B4798" t="str">
        <f>_xlfn.XLOOKUP($A4798,Load!$B:$B,Load!C:C,0,)</f>
        <v>Mars Variety Pack</v>
      </c>
      <c r="C4798" t="str">
        <f>_xlfn.XLOOKUP($A4798,Load!$B:$B,Load!D:D,0,)</f>
        <v>Mix of Chocolate and Non-Chocolate Candy</v>
      </c>
      <c r="D4798" t="str">
        <f>_xlfn.XLOOKUP($A4798,Load!$B:$B,Load!E:E,0,)</f>
        <v>Variety / Mixed Flavors (Fruity, Sour, Seasonal Flavors)</v>
      </c>
      <c r="E4798" t="str">
        <f>_xlfn.XLOOKUP($A4798,Load!$B:$B,Load!F:F,0,)</f>
        <v>Mixed / Combo Packs (Gummy, Chewy, Taffy, etc.)</v>
      </c>
      <c r="F4798" t="str">
        <f>_xlfn.XLOOKUP($A4798,Load!$B:$B,Load!G:G,0,)</f>
        <v>Medium Multipack (40–80 ct)</v>
      </c>
      <c r="G4798" t="str">
        <f>_xlfn.XLOOKUP($A4798,Load!$B:$B,Load!H:H,0,)</f>
        <v>Stand-Up Bag</v>
      </c>
      <c r="H4798" t="str">
        <f>_xlfn.XLOOKUP($A4798,Load!$B:$B,Load!I:I,0,)</f>
        <v>Everyday Candy Shapes (like Original, Gummy bear, Fruit, Jewels, etc.)</v>
      </c>
      <c r="I4798" t="str">
        <f>_xlfn.XLOOKUP($A4798,Load!$B:$B,Load!J:J,0,)</f>
        <v>Seasonal Graphics (Like Bat, Ghost, Pumpkin, Fall Leaves, Eyeballs, etc.)</v>
      </c>
      <c r="J4798" t="str">
        <f>_xlfn.XLOOKUP($A4798,Load!$B:$B,Load!K:K,0,)</f>
        <v>Fun Size / Treat Size</v>
      </c>
      <c r="K4798" t="str">
        <f>_xlfn.XLOOKUP($A4798,Load!$B:$B,Load!L:L,0,)</f>
        <v>Regular/Original Wrapping</v>
      </c>
      <c r="L4798" t="str">
        <f>_xlfn.XLOOKUP($A4798,Load!$B:$B,Load!M:M,0,)</f>
        <v>Multiple Brands / Variety Flavors or Form</v>
      </c>
    </row>
    <row r="4799" spans="1:12" x14ac:dyDescent="0.25">
      <c r="B4799">
        <f>_xlfn.XLOOKUP($A4799,Load!$B:$B,Load!C:C,0,)</f>
        <v>0</v>
      </c>
      <c r="C4799">
        <f>_xlfn.XLOOKUP($A4799,Load!$B:$B,Load!D:D,0,)</f>
        <v>0</v>
      </c>
      <c r="D4799">
        <f>_xlfn.XLOOKUP($A4799,Load!$B:$B,Load!E:E,0,)</f>
        <v>0</v>
      </c>
      <c r="E4799">
        <f>_xlfn.XLOOKUP($A4799,Load!$B:$B,Load!F:F,0,)</f>
        <v>0</v>
      </c>
      <c r="F4799">
        <f>_xlfn.XLOOKUP($A4799,Load!$B:$B,Load!G:G,0,)</f>
        <v>0</v>
      </c>
      <c r="G4799">
        <f>_xlfn.XLOOKUP($A4799,Load!$B:$B,Load!H:H,0,)</f>
        <v>0</v>
      </c>
      <c r="H4799">
        <f>_xlfn.XLOOKUP($A4799,Load!$B:$B,Load!I:I,0,)</f>
        <v>0</v>
      </c>
      <c r="I4799">
        <f>_xlfn.XLOOKUP($A4799,Load!$B:$B,Load!J:J,0,)</f>
        <v>0</v>
      </c>
      <c r="J4799">
        <f>_xlfn.XLOOKUP($A4799,Load!$B:$B,Load!K:K,0,)</f>
        <v>0</v>
      </c>
      <c r="K4799">
        <f>_xlfn.XLOOKUP($A4799,Load!$B:$B,Load!L:L,0,)</f>
        <v>0</v>
      </c>
      <c r="L4799">
        <f>_xlfn.XLOOKUP($A4799,Load!$B:$B,Load!M:M,0,)</f>
        <v>0</v>
      </c>
    </row>
    <row r="4800" spans="1:12" x14ac:dyDescent="0.25">
      <c r="A4800" t="s">
        <v>2</v>
      </c>
      <c r="B4800" t="str">
        <f>_xlfn.XLOOKUP($A4800,Load!$B:$B,Load!C:C,0,)</f>
        <v>Airheads</v>
      </c>
      <c r="C4800" t="str">
        <f>_xlfn.XLOOKUP($A4800,Load!$B:$B,Load!D:D,0,)</f>
        <v>Non-Chocolate Candy Only</v>
      </c>
      <c r="D4800" t="str">
        <f>_xlfn.XLOOKUP($A4800,Load!$B:$B,Load!E:E,0,)</f>
        <v>Variety / Mixed Flavors (Fruity, Sour, Seasonal Flavors)</v>
      </c>
      <c r="E4800" t="str">
        <f>_xlfn.XLOOKUP($A4800,Load!$B:$B,Load!F:F,0,)</f>
        <v>Chewy</v>
      </c>
      <c r="F4800" t="str">
        <f>_xlfn.XLOOKUP($A4800,Load!$B:$B,Load!G:G,0,)</f>
        <v>Medium Multipack (40–80 ct)</v>
      </c>
      <c r="G4800" t="str">
        <f>_xlfn.XLOOKUP($A4800,Load!$B:$B,Load!H:H,0,)</f>
        <v>Box (theatre box, gift box, carton)</v>
      </c>
      <c r="H4800" t="str">
        <f>_xlfn.XLOOKUP($A4800,Load!$B:$B,Load!I:I,0,)</f>
        <v>Everyday Candy Shapes (like Original, Gummy bear, Fruit, Jewels, etc.)</v>
      </c>
      <c r="I4800" t="str">
        <f>_xlfn.XLOOKUP($A4800,Load!$B:$B,Load!J:J,0,)</f>
        <v>Seasonal Graphics (Like Bat, Ghost, Pumpkin, Fall Leaves, Eyeballs, etc.)</v>
      </c>
      <c r="J4800" t="str">
        <f>_xlfn.XLOOKUP($A4800,Load!$B:$B,Load!K:K,0,)</f>
        <v>Fun Size / Treat Size</v>
      </c>
      <c r="K4800" t="str">
        <f>_xlfn.XLOOKUP($A4800,Load!$B:$B,Load!L:L,0,)</f>
        <v>Regular/Original Wrapping</v>
      </c>
      <c r="L4800" t="str">
        <f>_xlfn.XLOOKUP($A4800,Load!$B:$B,Load!M:M,0,)</f>
        <v>Single Brand / Variety Flavors or Form</v>
      </c>
    </row>
    <row r="4801" spans="1:12" x14ac:dyDescent="0.25">
      <c r="B4801">
        <f>_xlfn.XLOOKUP($A4801,Load!$B:$B,Load!C:C,0,)</f>
        <v>0</v>
      </c>
      <c r="C4801">
        <f>_xlfn.XLOOKUP($A4801,Load!$B:$B,Load!D:D,0,)</f>
        <v>0</v>
      </c>
      <c r="D4801">
        <f>_xlfn.XLOOKUP($A4801,Load!$B:$B,Load!E:E,0,)</f>
        <v>0</v>
      </c>
      <c r="E4801">
        <f>_xlfn.XLOOKUP($A4801,Load!$B:$B,Load!F:F,0,)</f>
        <v>0</v>
      </c>
      <c r="F4801">
        <f>_xlfn.XLOOKUP($A4801,Load!$B:$B,Load!G:G,0,)</f>
        <v>0</v>
      </c>
      <c r="G4801">
        <f>_xlfn.XLOOKUP($A4801,Load!$B:$B,Load!H:H,0,)</f>
        <v>0</v>
      </c>
      <c r="H4801">
        <f>_xlfn.XLOOKUP($A4801,Load!$B:$B,Load!I:I,0,)</f>
        <v>0</v>
      </c>
      <c r="I4801">
        <f>_xlfn.XLOOKUP($A4801,Load!$B:$B,Load!J:J,0,)</f>
        <v>0</v>
      </c>
      <c r="J4801">
        <f>_xlfn.XLOOKUP($A4801,Load!$B:$B,Load!K:K,0,)</f>
        <v>0</v>
      </c>
      <c r="K4801">
        <f>_xlfn.XLOOKUP($A4801,Load!$B:$B,Load!L:L,0,)</f>
        <v>0</v>
      </c>
      <c r="L4801">
        <f>_xlfn.XLOOKUP($A4801,Load!$B:$B,Load!M:M,0,)</f>
        <v>0</v>
      </c>
    </row>
    <row r="4802" spans="1:12" x14ac:dyDescent="0.25">
      <c r="B4802">
        <f>_xlfn.XLOOKUP($A4802,Load!$B:$B,Load!C:C,0,)</f>
        <v>0</v>
      </c>
      <c r="C4802">
        <f>_xlfn.XLOOKUP($A4802,Load!$B:$B,Load!D:D,0,)</f>
        <v>0</v>
      </c>
      <c r="D4802">
        <f>_xlfn.XLOOKUP($A4802,Load!$B:$B,Load!E:E,0,)</f>
        <v>0</v>
      </c>
      <c r="E4802">
        <f>_xlfn.XLOOKUP($A4802,Load!$B:$B,Load!F:F,0,)</f>
        <v>0</v>
      </c>
      <c r="F4802">
        <f>_xlfn.XLOOKUP($A4802,Load!$B:$B,Load!G:G,0,)</f>
        <v>0</v>
      </c>
      <c r="G4802">
        <f>_xlfn.XLOOKUP($A4802,Load!$B:$B,Load!H:H,0,)</f>
        <v>0</v>
      </c>
      <c r="H4802">
        <f>_xlfn.XLOOKUP($A4802,Load!$B:$B,Load!I:I,0,)</f>
        <v>0</v>
      </c>
      <c r="I4802">
        <f>_xlfn.XLOOKUP($A4802,Load!$B:$B,Load!J:J,0,)</f>
        <v>0</v>
      </c>
      <c r="J4802">
        <f>_xlfn.XLOOKUP($A4802,Load!$B:$B,Load!K:K,0,)</f>
        <v>0</v>
      </c>
      <c r="K4802">
        <f>_xlfn.XLOOKUP($A4802,Load!$B:$B,Load!L:L,0,)</f>
        <v>0</v>
      </c>
      <c r="L4802">
        <f>_xlfn.XLOOKUP($A4802,Load!$B:$B,Load!M:M,0,)</f>
        <v>0</v>
      </c>
    </row>
    <row r="4803" spans="1:12" x14ac:dyDescent="0.25">
      <c r="B4803">
        <f>_xlfn.XLOOKUP($A4803,Load!$B:$B,Load!C:C,0,)</f>
        <v>0</v>
      </c>
      <c r="C4803">
        <f>_xlfn.XLOOKUP($A4803,Load!$B:$B,Load!D:D,0,)</f>
        <v>0</v>
      </c>
      <c r="D4803">
        <f>_xlfn.XLOOKUP($A4803,Load!$B:$B,Load!E:E,0,)</f>
        <v>0</v>
      </c>
      <c r="E4803">
        <f>_xlfn.XLOOKUP($A4803,Load!$B:$B,Load!F:F,0,)</f>
        <v>0</v>
      </c>
      <c r="F4803">
        <f>_xlfn.XLOOKUP($A4803,Load!$B:$B,Load!G:G,0,)</f>
        <v>0</v>
      </c>
      <c r="G4803">
        <f>_xlfn.XLOOKUP($A4803,Load!$B:$B,Load!H:H,0,)</f>
        <v>0</v>
      </c>
      <c r="H4803">
        <f>_xlfn.XLOOKUP($A4803,Load!$B:$B,Load!I:I,0,)</f>
        <v>0</v>
      </c>
      <c r="I4803">
        <f>_xlfn.XLOOKUP($A4803,Load!$B:$B,Load!J:J,0,)</f>
        <v>0</v>
      </c>
      <c r="J4803">
        <f>_xlfn.XLOOKUP($A4803,Load!$B:$B,Load!K:K,0,)</f>
        <v>0</v>
      </c>
      <c r="K4803">
        <f>_xlfn.XLOOKUP($A4803,Load!$B:$B,Load!L:L,0,)</f>
        <v>0</v>
      </c>
      <c r="L4803">
        <f>_xlfn.XLOOKUP($A4803,Load!$B:$B,Load!M:M,0,)</f>
        <v>0</v>
      </c>
    </row>
    <row r="4804" spans="1:12" x14ac:dyDescent="0.25">
      <c r="A4804" t="s">
        <v>130</v>
      </c>
      <c r="B4804" t="str">
        <f>_xlfn.XLOOKUP($A4804,Load!$B:$B,Load!C:C,0,)</f>
        <v>Hershey's</v>
      </c>
      <c r="C4804" t="str">
        <f>_xlfn.XLOOKUP($A4804,Load!$B:$B,Load!D:D,0,)</f>
        <v>Non-Chocolate Candy Only</v>
      </c>
      <c r="D4804" t="str">
        <f>_xlfn.XLOOKUP($A4804,Load!$B:$B,Load!E:E,0,)</f>
        <v>Variety / Mixed Flavors (Fruity, Sour, Seasonal Flavors)</v>
      </c>
      <c r="E4804" t="str">
        <f>_xlfn.XLOOKUP($A4804,Load!$B:$B,Load!F:F,0,)</f>
        <v>Mixed / Combo Packs (Gummy, Chewy, Taffy, etc.)</v>
      </c>
      <c r="F4804" t="str">
        <f>_xlfn.XLOOKUP($A4804,Load!$B:$B,Load!G:G,0,)</f>
        <v>Medium Multipack (40–80 ct)</v>
      </c>
      <c r="G4804" t="str">
        <f>_xlfn.XLOOKUP($A4804,Load!$B:$B,Load!H:H,0,)</f>
        <v>Laydown Bag</v>
      </c>
      <c r="H4804" t="str">
        <f>_xlfn.XLOOKUP($A4804,Load!$B:$B,Load!I:I,0,)</f>
        <v>Everyday Candy Shapes (like Original, Gummy bear, Fruit, Jewels, etc.)</v>
      </c>
      <c r="I4804" t="str">
        <f>_xlfn.XLOOKUP($A4804,Load!$B:$B,Load!J:J,0,)</f>
        <v>Seasonal Graphics (Like Bat, Ghost, Pumpkin, Fall Leaves, Eyeballs, etc.)</v>
      </c>
      <c r="J4804" t="str">
        <f>_xlfn.XLOOKUP($A4804,Load!$B:$B,Load!K:K,0,)</f>
        <v xml:space="preserve">Variety Candy Sizes </v>
      </c>
      <c r="K4804" t="str">
        <f>_xlfn.XLOOKUP($A4804,Load!$B:$B,Load!L:L,0,)</f>
        <v>Regular/Original Wrapping</v>
      </c>
      <c r="L4804" t="str">
        <f>_xlfn.XLOOKUP($A4804,Load!$B:$B,Load!M:M,0,)</f>
        <v>Multiple Brands / Variety Flavors or Form</v>
      </c>
    </row>
    <row r="4805" spans="1:12" x14ac:dyDescent="0.25">
      <c r="B4805">
        <f>_xlfn.XLOOKUP($A4805,Load!$B:$B,Load!C:C,0,)</f>
        <v>0</v>
      </c>
      <c r="C4805">
        <f>_xlfn.XLOOKUP($A4805,Load!$B:$B,Load!D:D,0,)</f>
        <v>0</v>
      </c>
      <c r="D4805">
        <f>_xlfn.XLOOKUP($A4805,Load!$B:$B,Load!E:E,0,)</f>
        <v>0</v>
      </c>
      <c r="E4805">
        <f>_xlfn.XLOOKUP($A4805,Load!$B:$B,Load!F:F,0,)</f>
        <v>0</v>
      </c>
      <c r="F4805">
        <f>_xlfn.XLOOKUP($A4805,Load!$B:$B,Load!G:G,0,)</f>
        <v>0</v>
      </c>
      <c r="G4805">
        <f>_xlfn.XLOOKUP($A4805,Load!$B:$B,Load!H:H,0,)</f>
        <v>0</v>
      </c>
      <c r="H4805">
        <f>_xlfn.XLOOKUP($A4805,Load!$B:$B,Load!I:I,0,)</f>
        <v>0</v>
      </c>
      <c r="I4805">
        <f>_xlfn.XLOOKUP($A4805,Load!$B:$B,Load!J:J,0,)</f>
        <v>0</v>
      </c>
      <c r="J4805">
        <f>_xlfn.XLOOKUP($A4805,Load!$B:$B,Load!K:K,0,)</f>
        <v>0</v>
      </c>
      <c r="K4805">
        <f>_xlfn.XLOOKUP($A4805,Load!$B:$B,Load!L:L,0,)</f>
        <v>0</v>
      </c>
      <c r="L4805">
        <f>_xlfn.XLOOKUP($A4805,Load!$B:$B,Load!M:M,0,)</f>
        <v>0</v>
      </c>
    </row>
    <row r="4806" spans="1:12" x14ac:dyDescent="0.25">
      <c r="A4806" t="s">
        <v>148</v>
      </c>
      <c r="B4806" t="str">
        <f>_xlfn.XLOOKUP($A4806,Load!$B:$B,Load!C:C,0,)</f>
        <v>Jelly Belly</v>
      </c>
      <c r="C4806" t="str">
        <f>_xlfn.XLOOKUP($A4806,Load!$B:$B,Load!D:D,0,)</f>
        <v>Non-Chocolate Candy Only</v>
      </c>
      <c r="D4806" t="str">
        <f>_xlfn.XLOOKUP($A4806,Load!$B:$B,Load!E:E,0,)</f>
        <v>Variety / Mixed Flavors (Fruity, Sour, Seasonal Flavors)</v>
      </c>
      <c r="E4806" t="str">
        <f>_xlfn.XLOOKUP($A4806,Load!$B:$B,Load!F:F,0,)</f>
        <v>Candy Pieces / Bites</v>
      </c>
      <c r="F4806" t="str">
        <f>_xlfn.XLOOKUP($A4806,Load!$B:$B,Load!G:G,0,)</f>
        <v>Single Pack</v>
      </c>
      <c r="G4806" t="str">
        <f>_xlfn.XLOOKUP($A4806,Load!$B:$B,Load!H:H,0,)</f>
        <v>Stand-Up Bag</v>
      </c>
      <c r="H4806" t="str">
        <f>_xlfn.XLOOKUP($A4806,Load!$B:$B,Load!I:I,0,)</f>
        <v>Everyday Candy Shapes (like Original, Gummy bear, Fruit, Jewels, etc.)</v>
      </c>
      <c r="I4806" t="str">
        <f>_xlfn.XLOOKUP($A4806,Load!$B:$B,Load!J:J,0,)</f>
        <v>Seasonal Graphics (Like Bat, Ghost, Pumpkin, Fall Leaves, Eyeballs, etc.)</v>
      </c>
      <c r="J4806" t="str">
        <f>_xlfn.XLOOKUP($A4806,Load!$B:$B,Load!K:K,0,)</f>
        <v>Small Pieces (Tiny bite size candies)</v>
      </c>
      <c r="K4806" t="str">
        <f>_xlfn.XLOOKUP($A4806,Load!$B:$B,Load!L:L,0,)</f>
        <v>Unwrapped</v>
      </c>
      <c r="L4806" t="str">
        <f>_xlfn.XLOOKUP($A4806,Load!$B:$B,Load!M:M,0,)</f>
        <v>Single Brand / Variety Flavors or Form</v>
      </c>
    </row>
    <row r="4807" spans="1:12" x14ac:dyDescent="0.25">
      <c r="B4807">
        <f>_xlfn.XLOOKUP($A4807,Load!$B:$B,Load!C:C,0,)</f>
        <v>0</v>
      </c>
      <c r="C4807">
        <f>_xlfn.XLOOKUP($A4807,Load!$B:$B,Load!D:D,0,)</f>
        <v>0</v>
      </c>
      <c r="D4807">
        <f>_xlfn.XLOOKUP($A4807,Load!$B:$B,Load!E:E,0,)</f>
        <v>0</v>
      </c>
      <c r="E4807">
        <f>_xlfn.XLOOKUP($A4807,Load!$B:$B,Load!F:F,0,)</f>
        <v>0</v>
      </c>
      <c r="F4807">
        <f>_xlfn.XLOOKUP($A4807,Load!$B:$B,Load!G:G,0,)</f>
        <v>0</v>
      </c>
      <c r="G4807">
        <f>_xlfn.XLOOKUP($A4807,Load!$B:$B,Load!H:H,0,)</f>
        <v>0</v>
      </c>
      <c r="H4807">
        <f>_xlfn.XLOOKUP($A4807,Load!$B:$B,Load!I:I,0,)</f>
        <v>0</v>
      </c>
      <c r="I4807">
        <f>_xlfn.XLOOKUP($A4807,Load!$B:$B,Load!J:J,0,)</f>
        <v>0</v>
      </c>
      <c r="J4807">
        <f>_xlfn.XLOOKUP($A4807,Load!$B:$B,Load!K:K,0,)</f>
        <v>0</v>
      </c>
      <c r="K4807">
        <f>_xlfn.XLOOKUP($A4807,Load!$B:$B,Load!L:L,0,)</f>
        <v>0</v>
      </c>
      <c r="L4807">
        <f>_xlfn.XLOOKUP($A4807,Load!$B:$B,Load!M:M,0,)</f>
        <v>0</v>
      </c>
    </row>
    <row r="4808" spans="1:12" x14ac:dyDescent="0.25">
      <c r="A4808" t="s">
        <v>90</v>
      </c>
      <c r="B4808" t="str">
        <f>_xlfn.XLOOKUP($A4808,Load!$B:$B,Load!C:C,0,)</f>
        <v>Ferrara Variety Pack</v>
      </c>
      <c r="C4808" t="str">
        <f>_xlfn.XLOOKUP($A4808,Load!$B:$B,Load!D:D,0,)</f>
        <v>Non-Chocolate Candy Only</v>
      </c>
      <c r="D4808" t="str">
        <f>_xlfn.XLOOKUP($A4808,Load!$B:$B,Load!E:E,0,)</f>
        <v>Variety / Mixed Flavors (Fruity, Sour, Seasonal Flavors)</v>
      </c>
      <c r="E4808" t="str">
        <f>_xlfn.XLOOKUP($A4808,Load!$B:$B,Load!F:F,0,)</f>
        <v>Mixed / Combo Packs (Gummy, Chewy, Taffy, etc.)</v>
      </c>
      <c r="F4808" t="str">
        <f>_xlfn.XLOOKUP($A4808,Load!$B:$B,Load!G:G,0,)</f>
        <v>Large Multipack (More than 80 ct)</v>
      </c>
      <c r="G4808" t="str">
        <f>_xlfn.XLOOKUP($A4808,Load!$B:$B,Load!H:H,0,)</f>
        <v>Stand-Up Bag</v>
      </c>
      <c r="H4808" t="str">
        <f>_xlfn.XLOOKUP($A4808,Load!$B:$B,Load!I:I,0,)</f>
        <v>Everyday Candy Shapes (like Original, Gummy bear, Fruit, Jewels, etc.)</v>
      </c>
      <c r="I4808" t="str">
        <f>_xlfn.XLOOKUP($A4808,Load!$B:$B,Load!J:J,0,)</f>
        <v>Seasonal Graphics (Like Bat, Ghost, Pumpkin, Fall Leaves, Eyeballs, etc.)</v>
      </c>
      <c r="J4808" t="str">
        <f>_xlfn.XLOOKUP($A4808,Load!$B:$B,Load!K:K,0,)</f>
        <v xml:space="preserve">Variety Candy Sizes </v>
      </c>
      <c r="K4808" t="str">
        <f>_xlfn.XLOOKUP($A4808,Load!$B:$B,Load!L:L,0,)</f>
        <v>Regular/Original Wrapping</v>
      </c>
      <c r="L4808" t="str">
        <f>_xlfn.XLOOKUP($A4808,Load!$B:$B,Load!M:M,0,)</f>
        <v>Multiple Brands / Variety Flavors or Form</v>
      </c>
    </row>
    <row r="4809" spans="1:12" x14ac:dyDescent="0.25">
      <c r="A4809" t="s">
        <v>220</v>
      </c>
      <c r="B4809" t="str">
        <f>_xlfn.XLOOKUP($A4809,Load!$B:$B,Load!C:C,0,)</f>
        <v>Mondelez Variety Pack</v>
      </c>
      <c r="C4809" t="str">
        <f>_xlfn.XLOOKUP($A4809,Load!$B:$B,Load!D:D,0,)</f>
        <v>Non-Chocolate Candy Only</v>
      </c>
      <c r="D4809" t="str">
        <f>_xlfn.XLOOKUP($A4809,Load!$B:$B,Load!E:E,0,)</f>
        <v>Variety / Mixed Flavors (Fruity, Sour, Seasonal Flavors)</v>
      </c>
      <c r="E4809" t="str">
        <f>_xlfn.XLOOKUP($A4809,Load!$B:$B,Load!F:F,0,)</f>
        <v>Chewy</v>
      </c>
      <c r="F4809" t="str">
        <f>_xlfn.XLOOKUP($A4809,Load!$B:$B,Load!G:G,0,)</f>
        <v>Large Multipack (More than 80 ct)</v>
      </c>
      <c r="G4809" t="str">
        <f>_xlfn.XLOOKUP($A4809,Load!$B:$B,Load!H:H,0,)</f>
        <v>Stand-Up Bag</v>
      </c>
      <c r="H4809" t="str">
        <f>_xlfn.XLOOKUP($A4809,Load!$B:$B,Load!I:I,0,)</f>
        <v>Seasonal Shapes (like pumpkins, candy corn, ghost, bats, etc.)</v>
      </c>
      <c r="I4809" t="str">
        <f>_xlfn.XLOOKUP($A4809,Load!$B:$B,Load!J:J,0,)</f>
        <v>Seasonal Graphics (Like Bat, Ghost, Pumpkin, Fall Leaves, Eyeballs, etc.)</v>
      </c>
      <c r="J4809" t="str">
        <f>_xlfn.XLOOKUP($A4809,Load!$B:$B,Load!K:K,0,)</f>
        <v>Small Pieces (Tiny bite size candies)</v>
      </c>
      <c r="K4809" t="str">
        <f>_xlfn.XLOOKUP($A4809,Load!$B:$B,Load!L:L,0,)</f>
        <v>Regular/Original Wrapping</v>
      </c>
      <c r="L4809" t="str">
        <f>_xlfn.XLOOKUP($A4809,Load!$B:$B,Load!M:M,0,)</f>
        <v>Single Brand / Variety Flavors or Form</v>
      </c>
    </row>
    <row r="4810" spans="1:12" x14ac:dyDescent="0.25">
      <c r="A4810" t="s">
        <v>95</v>
      </c>
      <c r="B4810" t="str">
        <f>_xlfn.XLOOKUP($A4810,Load!$B:$B,Load!C:C,0,)</f>
        <v>Ferrara Variety Pack</v>
      </c>
      <c r="C4810" t="str">
        <f>_xlfn.XLOOKUP($A4810,Load!$B:$B,Load!D:D,0,)</f>
        <v>Non-Chocolate Candy Only</v>
      </c>
      <c r="D4810" t="str">
        <f>_xlfn.XLOOKUP($A4810,Load!$B:$B,Load!E:E,0,)</f>
        <v>Variety / Mixed Flavors (Fruity, Sour, Seasonal Flavors)</v>
      </c>
      <c r="E4810" t="str">
        <f>_xlfn.XLOOKUP($A4810,Load!$B:$B,Load!F:F,0,)</f>
        <v>Mixed / Combo Packs (Gummy, Chewy, Taffy, etc.)</v>
      </c>
      <c r="F4810" t="str">
        <f>_xlfn.XLOOKUP($A4810,Load!$B:$B,Load!G:G,0,)</f>
        <v>Medium Multipack (40–80 ct)</v>
      </c>
      <c r="G4810" t="str">
        <f>_xlfn.XLOOKUP($A4810,Load!$B:$B,Load!H:H,0,)</f>
        <v>Stand-Up Bag</v>
      </c>
      <c r="H4810" t="str">
        <f>_xlfn.XLOOKUP($A4810,Load!$B:$B,Load!I:I,0,)</f>
        <v>Everyday Candy Shapes (like Original, Gummy bear, Fruit, Jewels, etc.)</v>
      </c>
      <c r="I4810" t="str">
        <f>_xlfn.XLOOKUP($A4810,Load!$B:$B,Load!J:J,0,)</f>
        <v>Seasonal Graphics (Like Bat, Ghost, Pumpkin, Fall Leaves, Eyeballs, etc.)</v>
      </c>
      <c r="J4810" t="str">
        <f>_xlfn.XLOOKUP($A4810,Load!$B:$B,Load!K:K,0,)</f>
        <v xml:space="preserve">Variety Candy Sizes </v>
      </c>
      <c r="K4810" t="str">
        <f>_xlfn.XLOOKUP($A4810,Load!$B:$B,Load!L:L,0,)</f>
        <v>Regular/Original Wrapping</v>
      </c>
      <c r="L4810" t="str">
        <f>_xlfn.XLOOKUP($A4810,Load!$B:$B,Load!M:M,0,)</f>
        <v>Multiple Brands / Variety Flavors or Form</v>
      </c>
    </row>
    <row r="4811" spans="1:12" x14ac:dyDescent="0.25">
      <c r="A4811" t="s">
        <v>84</v>
      </c>
      <c r="B4811" t="str">
        <f>_xlfn.XLOOKUP($A4811,Load!$B:$B,Load!C:C,0,)</f>
        <v>Ferrara Variety Pack</v>
      </c>
      <c r="C4811" t="str">
        <f>_xlfn.XLOOKUP($A4811,Load!$B:$B,Load!D:D,0,)</f>
        <v>Non-Chocolate Candy Only</v>
      </c>
      <c r="D4811" t="str">
        <f>_xlfn.XLOOKUP($A4811,Load!$B:$B,Load!E:E,0,)</f>
        <v>Variety / Mixed Flavors (Fruity, Sour, Seasonal Flavors)</v>
      </c>
      <c r="E4811" t="str">
        <f>_xlfn.XLOOKUP($A4811,Load!$B:$B,Load!F:F,0,)</f>
        <v>Mixed / Combo Packs (Gummy, Chewy, Taffy, etc.)</v>
      </c>
      <c r="F4811" t="str">
        <f>_xlfn.XLOOKUP($A4811,Load!$B:$B,Load!G:G,0,)</f>
        <v>Large Multipack (More than 80 ct)</v>
      </c>
      <c r="G4811" t="str">
        <f>_xlfn.XLOOKUP($A4811,Load!$B:$B,Load!H:H,0,)</f>
        <v>Stand-Up Bag</v>
      </c>
      <c r="H4811" t="str">
        <f>_xlfn.XLOOKUP($A4811,Load!$B:$B,Load!I:I,0,)</f>
        <v>Everyday Candy Shapes (like Original, Gummy bear, Fruit, Jewels, etc.)</v>
      </c>
      <c r="I4811" t="str">
        <f>_xlfn.XLOOKUP($A4811,Load!$B:$B,Load!J:J,0,)</f>
        <v>Seasonal Graphics (Like Bat, Ghost, Pumpkin, Fall Leaves, Eyeballs, etc.)</v>
      </c>
      <c r="J4811" t="str">
        <f>_xlfn.XLOOKUP($A4811,Load!$B:$B,Load!K:K,0,)</f>
        <v xml:space="preserve">Variety Candy Sizes </v>
      </c>
      <c r="K4811" t="str">
        <f>_xlfn.XLOOKUP($A4811,Load!$B:$B,Load!L:L,0,)</f>
        <v>Regular/Original Wrapping</v>
      </c>
      <c r="L4811" t="str">
        <f>_xlfn.XLOOKUP($A4811,Load!$B:$B,Load!M:M,0,)</f>
        <v>Multiple Brands / Variety Flavors or Form</v>
      </c>
    </row>
    <row r="4812" spans="1:12" x14ac:dyDescent="0.25">
      <c r="A4812" t="s">
        <v>261</v>
      </c>
      <c r="B4812" t="str">
        <f>_xlfn.XLOOKUP($A4812,Load!$B:$B,Load!C:C,0,)</f>
        <v>Skittles</v>
      </c>
      <c r="C4812" t="str">
        <f>_xlfn.XLOOKUP($A4812,Load!$B:$B,Load!D:D,0,)</f>
        <v>Non-Chocolate Candy Only</v>
      </c>
      <c r="D4812" t="str">
        <f>_xlfn.XLOOKUP($A4812,Load!$B:$B,Load!E:E,0,)</f>
        <v>Fruit Flavor (Cherry, Grape, Apple, Citrus, Tropical Fruit)</v>
      </c>
      <c r="E4812" t="str">
        <f>_xlfn.XLOOKUP($A4812,Load!$B:$B,Load!F:F,0,)</f>
        <v>Candy Pieces / Bites</v>
      </c>
      <c r="F4812" t="str">
        <f>_xlfn.XLOOKUP($A4812,Load!$B:$B,Load!G:G,0,)</f>
        <v>Single Pack</v>
      </c>
      <c r="G4812" t="str">
        <f>_xlfn.XLOOKUP($A4812,Load!$B:$B,Load!H:H,0,)</f>
        <v>Laydown Bag</v>
      </c>
      <c r="H4812" t="str">
        <f>_xlfn.XLOOKUP($A4812,Load!$B:$B,Load!I:I,0,)</f>
        <v>Everyday Candy Shapes (like Original, Gummy bear, Fruit, Jewels, etc.)</v>
      </c>
      <c r="I4812" t="str">
        <f>_xlfn.XLOOKUP($A4812,Load!$B:$B,Load!J:J,0,)</f>
        <v>Everyday Graphics</v>
      </c>
      <c r="J4812" t="str">
        <f>_xlfn.XLOOKUP($A4812,Load!$B:$B,Load!K:K,0,)</f>
        <v>Small Pieces (Tiny bite size candies)</v>
      </c>
      <c r="K4812" t="str">
        <f>_xlfn.XLOOKUP($A4812,Load!$B:$B,Load!L:L,0,)</f>
        <v>Unwrapped</v>
      </c>
      <c r="L4812" t="str">
        <f>_xlfn.XLOOKUP($A4812,Load!$B:$B,Load!M:M,0,)</f>
        <v>Single Brand / Single Flavor or Form</v>
      </c>
    </row>
    <row r="4813" spans="1:12" x14ac:dyDescent="0.25">
      <c r="A4813" t="s">
        <v>10</v>
      </c>
      <c r="B4813" t="str">
        <f>_xlfn.XLOOKUP($A4813,Load!$B:$B,Load!C:C,0,)</f>
        <v>Airheads</v>
      </c>
      <c r="C4813" t="str">
        <f>_xlfn.XLOOKUP($A4813,Load!$B:$B,Load!D:D,0,)</f>
        <v>Non-Chocolate Candy Only</v>
      </c>
      <c r="D4813" t="str">
        <f>_xlfn.XLOOKUP($A4813,Load!$B:$B,Load!E:E,0,)</f>
        <v>Fruit Flavor (Cherry, Grape, Apple, Citrus, Tropical Fruit)</v>
      </c>
      <c r="E4813" t="str">
        <f>_xlfn.XLOOKUP($A4813,Load!$B:$B,Load!F:F,0,)</f>
        <v>Chewy</v>
      </c>
      <c r="F4813" t="str">
        <f>_xlfn.XLOOKUP($A4813,Load!$B:$B,Load!G:G,0,)</f>
        <v>Small Multipack (Less than 40 ct)</v>
      </c>
      <c r="G4813" t="str">
        <f>_xlfn.XLOOKUP($A4813,Load!$B:$B,Load!H:H,0,)</f>
        <v>Laydown Bag</v>
      </c>
      <c r="H4813" t="str">
        <f>_xlfn.XLOOKUP($A4813,Load!$B:$B,Load!I:I,0,)</f>
        <v>Everyday Candy Shapes (like Original, Gummy bear, Fruit, Jewels, etc.)</v>
      </c>
      <c r="I4813" t="str">
        <f>_xlfn.XLOOKUP($A4813,Load!$B:$B,Load!J:J,0,)</f>
        <v>Everyday Graphics</v>
      </c>
      <c r="J4813" t="str">
        <f>_xlfn.XLOOKUP($A4813,Load!$B:$B,Load!K:K,0,)</f>
        <v>Fun Size / Treat Size</v>
      </c>
      <c r="K4813" t="str">
        <f>_xlfn.XLOOKUP($A4813,Load!$B:$B,Load!L:L,0,)</f>
        <v>Regular/Original Wrapping</v>
      </c>
      <c r="L4813" t="str">
        <f>_xlfn.XLOOKUP($A4813,Load!$B:$B,Load!M:M,0,)</f>
        <v>Single Brand / Variety Flavors or Form</v>
      </c>
    </row>
    <row r="4814" spans="1:12" x14ac:dyDescent="0.25">
      <c r="A4814" t="s">
        <v>72</v>
      </c>
      <c r="B4814" t="str">
        <f>_xlfn.XLOOKUP($A4814,Load!$B:$B,Load!C:C,0,)</f>
        <v>Dum Dums</v>
      </c>
      <c r="C4814" t="str">
        <f>_xlfn.XLOOKUP($A4814,Load!$B:$B,Load!D:D,0,)</f>
        <v>Non-Chocolate Candy Only</v>
      </c>
      <c r="D4814" t="str">
        <f>_xlfn.XLOOKUP($A4814,Load!$B:$B,Load!E:E,0,)</f>
        <v>Variety / Mixed Flavors (Fruity, Sour, Seasonal Flavors)</v>
      </c>
      <c r="E4814" t="str">
        <f>_xlfn.XLOOKUP($A4814,Load!$B:$B,Load!F:F,0,)</f>
        <v>Lollipop (regular or lollipop rings)</v>
      </c>
      <c r="F4814" t="str">
        <f>_xlfn.XLOOKUP($A4814,Load!$B:$B,Load!G:G,0,)</f>
        <v>Single Pack</v>
      </c>
      <c r="G4814" t="str">
        <f>_xlfn.XLOOKUP($A4814,Load!$B:$B,Load!H:H,0,)</f>
        <v>Laydown Bag</v>
      </c>
      <c r="H4814" t="str">
        <f>_xlfn.XLOOKUP($A4814,Load!$B:$B,Load!I:I,0,)</f>
        <v>Everyday Candy Shapes (like Original, Gummy bear, Fruit, Jewels, etc.)</v>
      </c>
      <c r="I4814" t="str">
        <f>_xlfn.XLOOKUP($A4814,Load!$B:$B,Load!J:J,0,)</f>
        <v>Seasonal Graphics (Like Bat, Ghost, Pumpkin, Fall Leaves, Eyeballs, etc.)</v>
      </c>
      <c r="J4814" t="str">
        <f>_xlfn.XLOOKUP($A4814,Load!$B:$B,Load!K:K,0,)</f>
        <v>Regular Lollipop size (on sticks or rings)</v>
      </c>
      <c r="K4814" t="str">
        <f>_xlfn.XLOOKUP($A4814,Load!$B:$B,Load!L:L,0,)</f>
        <v>Regular/Original Wrapping</v>
      </c>
      <c r="L4814" t="str">
        <f>_xlfn.XLOOKUP($A4814,Load!$B:$B,Load!M:M,0,)</f>
        <v>Single Brand / Variety Flavors or Form</v>
      </c>
    </row>
    <row r="4815" spans="1:12" x14ac:dyDescent="0.25">
      <c r="A4815" t="s">
        <v>22</v>
      </c>
      <c r="B4815" t="str">
        <f>_xlfn.XLOOKUP($A4815,Load!$B:$B,Load!C:C,0,)</f>
        <v>Albanese</v>
      </c>
      <c r="C4815" t="str">
        <f>_xlfn.XLOOKUP($A4815,Load!$B:$B,Load!D:D,0,)</f>
        <v>Non-Chocolate Candy Only</v>
      </c>
      <c r="D4815" t="str">
        <f>_xlfn.XLOOKUP($A4815,Load!$B:$B,Load!E:E,0,)</f>
        <v>Variety / Mixed Flavors (Fruity, Sour, Seasonal Flavors)</v>
      </c>
      <c r="E4815" t="str">
        <f>_xlfn.XLOOKUP($A4815,Load!$B:$B,Load!F:F,0,)</f>
        <v>Gummy</v>
      </c>
      <c r="F4815" t="str">
        <f>_xlfn.XLOOKUP($A4815,Load!$B:$B,Load!G:G,0,)</f>
        <v>Single Pack</v>
      </c>
      <c r="G4815" t="str">
        <f>_xlfn.XLOOKUP($A4815,Load!$B:$B,Load!H:H,0,)</f>
        <v>Laydown Bag</v>
      </c>
      <c r="H4815" t="str">
        <f>_xlfn.XLOOKUP($A4815,Load!$B:$B,Load!I:I,0,)</f>
        <v>Everyday Candy Shapes (like Original, Gummy bear, Fruit, Jewels, etc.)</v>
      </c>
      <c r="I4815" t="str">
        <f>_xlfn.XLOOKUP($A4815,Load!$B:$B,Load!J:J,0,)</f>
        <v>Seasonal Graphics (Like Bat, Ghost, Pumpkin, Fall Leaves, Eyeballs, etc.)</v>
      </c>
      <c r="J4815" t="str">
        <f>_xlfn.XLOOKUP($A4815,Load!$B:$B,Load!K:K,0,)</f>
        <v>Small Pieces (Tiny bite size candies)</v>
      </c>
      <c r="K4815" t="str">
        <f>_xlfn.XLOOKUP($A4815,Load!$B:$B,Load!L:L,0,)</f>
        <v>Regular/Original Wrapping</v>
      </c>
      <c r="L4815" t="str">
        <f>_xlfn.XLOOKUP($A4815,Load!$B:$B,Load!M:M,0,)</f>
        <v>Single Brand / Variety Flavors or Form</v>
      </c>
    </row>
    <row r="4816" spans="1:12" x14ac:dyDescent="0.25">
      <c r="A4816" t="s">
        <v>75</v>
      </c>
      <c r="B4816" t="str">
        <f>_xlfn.XLOOKUP($A4816,Load!$B:$B,Load!C:C,0,)</f>
        <v>Dum Dums</v>
      </c>
      <c r="C4816" t="str">
        <f>_xlfn.XLOOKUP($A4816,Load!$B:$B,Load!D:D,0,)</f>
        <v>Non-Chocolate Candy Only</v>
      </c>
      <c r="D4816" t="str">
        <f>_xlfn.XLOOKUP($A4816,Load!$B:$B,Load!E:E,0,)</f>
        <v>Variety / Mixed Flavors (Fruity, Sour, Seasonal Flavors)</v>
      </c>
      <c r="E4816" t="str">
        <f>_xlfn.XLOOKUP($A4816,Load!$B:$B,Load!F:F,0,)</f>
        <v>Lollipop (regular or lollipop rings)</v>
      </c>
      <c r="F4816" t="str">
        <f>_xlfn.XLOOKUP($A4816,Load!$B:$B,Load!G:G,0,)</f>
        <v>Single Pack</v>
      </c>
      <c r="G4816" t="str">
        <f>_xlfn.XLOOKUP($A4816,Load!$B:$B,Load!H:H,0,)</f>
        <v>Laydown Bag</v>
      </c>
      <c r="H4816" t="str">
        <f>_xlfn.XLOOKUP($A4816,Load!$B:$B,Load!I:I,0,)</f>
        <v>Everyday Candy Shapes (like Original, Gummy bear, Fruit, Jewels, etc.)</v>
      </c>
      <c r="I4816" t="str">
        <f>_xlfn.XLOOKUP($A4816,Load!$B:$B,Load!J:J,0,)</f>
        <v>Everyday Graphics</v>
      </c>
      <c r="J4816" t="str">
        <f>_xlfn.XLOOKUP($A4816,Load!$B:$B,Load!K:K,0,)</f>
        <v>Regular Lollipop size (on sticks or rings)</v>
      </c>
      <c r="K4816" t="str">
        <f>_xlfn.XLOOKUP($A4816,Load!$B:$B,Load!L:L,0,)</f>
        <v>Regular/Original Wrapping</v>
      </c>
      <c r="L4816" t="str">
        <f>_xlfn.XLOOKUP($A4816,Load!$B:$B,Load!M:M,0,)</f>
        <v>Single Brand / Variety Flavors or Form</v>
      </c>
    </row>
    <row r="4817" spans="1:12" x14ac:dyDescent="0.25">
      <c r="A4817" t="s">
        <v>55</v>
      </c>
      <c r="B4817" t="str">
        <f>_xlfn.XLOOKUP($A4817,Load!$B:$B,Load!C:C,0,)</f>
        <v>Brach's</v>
      </c>
      <c r="C4817" t="str">
        <f>_xlfn.XLOOKUP($A4817,Load!$B:$B,Load!D:D,0,)</f>
        <v>Non-Chocolate Candy Only</v>
      </c>
      <c r="D4817" t="str">
        <f>_xlfn.XLOOKUP($A4817,Load!$B:$B,Load!E:E,0,)</f>
        <v>Fall / Seasonal Flavors (pumpkin spice, caramel apple, candy corn)</v>
      </c>
      <c r="E4817" t="str">
        <f>_xlfn.XLOOKUP($A4817,Load!$B:$B,Load!F:F,0,)</f>
        <v>Candy Pieces / Bites</v>
      </c>
      <c r="F4817" t="str">
        <f>_xlfn.XLOOKUP($A4817,Load!$B:$B,Load!G:G,0,)</f>
        <v>Single Pack</v>
      </c>
      <c r="G4817" t="str">
        <f>_xlfn.XLOOKUP($A4817,Load!$B:$B,Load!H:H,0,)</f>
        <v>Peg Bag</v>
      </c>
      <c r="H4817" t="str">
        <f>_xlfn.XLOOKUP($A4817,Load!$B:$B,Load!I:I,0,)</f>
        <v>Seasonal Shapes (like pumpkins, candy corn, ghost, bats, etc.)</v>
      </c>
      <c r="I4817" t="str">
        <f>_xlfn.XLOOKUP($A4817,Load!$B:$B,Load!J:J,0,)</f>
        <v>Seasonal Graphics (Like Bat, Ghost, Pumpkin, Fall Leaves, Eyeballs, etc.)</v>
      </c>
      <c r="J4817" t="str">
        <f>_xlfn.XLOOKUP($A4817,Load!$B:$B,Load!K:K,0,)</f>
        <v>Small Pieces (Tiny bite size candies)</v>
      </c>
      <c r="K4817" t="str">
        <f>_xlfn.XLOOKUP($A4817,Load!$B:$B,Load!L:L,0,)</f>
        <v>Unwrapped</v>
      </c>
      <c r="L4817" t="str">
        <f>_xlfn.XLOOKUP($A4817,Load!$B:$B,Load!M:M,0,)</f>
        <v>Single Brand / Single Flavor or Form</v>
      </c>
    </row>
    <row r="4818" spans="1:12" x14ac:dyDescent="0.25">
      <c r="A4818" t="s">
        <v>121</v>
      </c>
      <c r="B4818" t="str">
        <f>_xlfn.XLOOKUP($A4818,Load!$B:$B,Load!C:C,0,)</f>
        <v>HARIBO</v>
      </c>
      <c r="C4818" t="str">
        <f>_xlfn.XLOOKUP($A4818,Load!$B:$B,Load!D:D,0,)</f>
        <v>Non-Chocolate Candy Only</v>
      </c>
      <c r="D4818" t="str">
        <f>_xlfn.XLOOKUP($A4818,Load!$B:$B,Load!E:E,0,)</f>
        <v>Variety / Mixed Flavors (Fruity, Sour, Seasonal Flavors)</v>
      </c>
      <c r="E4818" t="str">
        <f>_xlfn.XLOOKUP($A4818,Load!$B:$B,Load!F:F,0,)</f>
        <v>Gummy</v>
      </c>
      <c r="F4818" t="str">
        <f>_xlfn.XLOOKUP($A4818,Load!$B:$B,Load!G:G,0,)</f>
        <v>Large Multipack (More than 80 ct)</v>
      </c>
      <c r="G4818" t="str">
        <f>_xlfn.XLOOKUP($A4818,Load!$B:$B,Load!H:H,0,)</f>
        <v>Stand-Up Bag</v>
      </c>
      <c r="H4818" t="str">
        <f>_xlfn.XLOOKUP($A4818,Load!$B:$B,Load!I:I,0,)</f>
        <v>Seasonal Shapes (like pumpkins, candy corn, ghost, bats, etc.)</v>
      </c>
      <c r="I4818" t="str">
        <f>_xlfn.XLOOKUP($A4818,Load!$B:$B,Load!J:J,0,)</f>
        <v>Seasonal Graphics (Like Bat, Ghost, Pumpkin, Fall Leaves, Eyeballs, etc.)</v>
      </c>
      <c r="J4818" t="str">
        <f>_xlfn.XLOOKUP($A4818,Load!$B:$B,Load!K:K,0,)</f>
        <v>Fun Size / Treat Size</v>
      </c>
      <c r="K4818" t="str">
        <f>_xlfn.XLOOKUP($A4818,Load!$B:$B,Load!L:L,0,)</f>
        <v>Regular/Original Wrapping</v>
      </c>
      <c r="L4818" t="str">
        <f>_xlfn.XLOOKUP($A4818,Load!$B:$B,Load!M:M,0,)</f>
        <v>Multiple Brands / Variety Flavors or Form</v>
      </c>
    </row>
    <row r="4819" spans="1:12" x14ac:dyDescent="0.25">
      <c r="A4819" t="s">
        <v>220</v>
      </c>
      <c r="B4819" t="str">
        <f>_xlfn.XLOOKUP($A4819,Load!$B:$B,Load!C:C,0,)</f>
        <v>Mondelez Variety Pack</v>
      </c>
      <c r="C4819" t="str">
        <f>_xlfn.XLOOKUP($A4819,Load!$B:$B,Load!D:D,0,)</f>
        <v>Non-Chocolate Candy Only</v>
      </c>
      <c r="D4819" t="str">
        <f>_xlfn.XLOOKUP($A4819,Load!$B:$B,Load!E:E,0,)</f>
        <v>Variety / Mixed Flavors (Fruity, Sour, Seasonal Flavors)</v>
      </c>
      <c r="E4819" t="str">
        <f>_xlfn.XLOOKUP($A4819,Load!$B:$B,Load!F:F,0,)</f>
        <v>Chewy</v>
      </c>
      <c r="F4819" t="str">
        <f>_xlfn.XLOOKUP($A4819,Load!$B:$B,Load!G:G,0,)</f>
        <v>Large Multipack (More than 80 ct)</v>
      </c>
      <c r="G4819" t="str">
        <f>_xlfn.XLOOKUP($A4819,Load!$B:$B,Load!H:H,0,)</f>
        <v>Stand-Up Bag</v>
      </c>
      <c r="H4819" t="str">
        <f>_xlfn.XLOOKUP($A4819,Load!$B:$B,Load!I:I,0,)</f>
        <v>Seasonal Shapes (like pumpkins, candy corn, ghost, bats, etc.)</v>
      </c>
      <c r="I4819" t="str">
        <f>_xlfn.XLOOKUP($A4819,Load!$B:$B,Load!J:J,0,)</f>
        <v>Seasonal Graphics (Like Bat, Ghost, Pumpkin, Fall Leaves, Eyeballs, etc.)</v>
      </c>
      <c r="J4819" t="str">
        <f>_xlfn.XLOOKUP($A4819,Load!$B:$B,Load!K:K,0,)</f>
        <v>Small Pieces (Tiny bite size candies)</v>
      </c>
      <c r="K4819" t="str">
        <f>_xlfn.XLOOKUP($A4819,Load!$B:$B,Load!L:L,0,)</f>
        <v>Regular/Original Wrapping</v>
      </c>
      <c r="L4819" t="str">
        <f>_xlfn.XLOOKUP($A4819,Load!$B:$B,Load!M:M,0,)</f>
        <v>Single Brand / Variety Flavors or Form</v>
      </c>
    </row>
    <row r="4820" spans="1:12" x14ac:dyDescent="0.25">
      <c r="A4820" t="s">
        <v>32</v>
      </c>
      <c r="B4820" t="str">
        <f>_xlfn.XLOOKUP($A4820,Load!$B:$B,Load!C:C,0,)</f>
        <v>Bazooka Brands</v>
      </c>
      <c r="C4820" t="str">
        <f>_xlfn.XLOOKUP($A4820,Load!$B:$B,Load!D:D,0,)</f>
        <v>Non-Chocolate Candy Only</v>
      </c>
      <c r="D4820" t="str">
        <f>_xlfn.XLOOKUP($A4820,Load!$B:$B,Load!E:E,0,)</f>
        <v>Sweet</v>
      </c>
      <c r="E4820" t="str">
        <f>_xlfn.XLOOKUP($A4820,Load!$B:$B,Load!F:F,0,)</f>
        <v>Gummy</v>
      </c>
      <c r="F4820" t="str">
        <f>_xlfn.XLOOKUP($A4820,Load!$B:$B,Load!G:G,0,)</f>
        <v>Small Multipack (Less than 40 ct)</v>
      </c>
      <c r="G4820" t="str">
        <f>_xlfn.XLOOKUP($A4820,Load!$B:$B,Load!H:H,0,)</f>
        <v>Stand-Up Bag</v>
      </c>
      <c r="H4820" t="str">
        <f>_xlfn.XLOOKUP($A4820,Load!$B:$B,Load!I:I,0,)</f>
        <v>Seasonal Shapes (like pumpkins, candy corn, ghost, bats, etc.)</v>
      </c>
      <c r="I4820" t="str">
        <f>_xlfn.XLOOKUP($A4820,Load!$B:$B,Load!J:J,0,)</f>
        <v>Seasonal Graphics (Like Bat, Ghost, Pumpkin, Fall Leaves, Eyeballs, etc.)</v>
      </c>
      <c r="J4820" t="str">
        <f>_xlfn.XLOOKUP($A4820,Load!$B:$B,Load!K:K,0,)</f>
        <v>Fun Size / Treat Size</v>
      </c>
      <c r="K4820" t="str">
        <f>_xlfn.XLOOKUP($A4820,Load!$B:$B,Load!L:L,0,)</f>
        <v>Regular/Original Wrapping</v>
      </c>
      <c r="L4820" t="str">
        <f>_xlfn.XLOOKUP($A4820,Load!$B:$B,Load!M:M,0,)</f>
        <v>Multiple Brands / Variety Flavors or Form</v>
      </c>
    </row>
    <row r="4821" spans="1:12" x14ac:dyDescent="0.25">
      <c r="B4821">
        <f>_xlfn.XLOOKUP($A4821,Load!$B:$B,Load!C:C,0,)</f>
        <v>0</v>
      </c>
      <c r="C4821">
        <f>_xlfn.XLOOKUP($A4821,Load!$B:$B,Load!D:D,0,)</f>
        <v>0</v>
      </c>
      <c r="D4821">
        <f>_xlfn.XLOOKUP($A4821,Load!$B:$B,Load!E:E,0,)</f>
        <v>0</v>
      </c>
      <c r="E4821">
        <f>_xlfn.XLOOKUP($A4821,Load!$B:$B,Load!F:F,0,)</f>
        <v>0</v>
      </c>
      <c r="F4821">
        <f>_xlfn.XLOOKUP($A4821,Load!$B:$B,Load!G:G,0,)</f>
        <v>0</v>
      </c>
      <c r="G4821">
        <f>_xlfn.XLOOKUP($A4821,Load!$B:$B,Load!H:H,0,)</f>
        <v>0</v>
      </c>
      <c r="H4821">
        <f>_xlfn.XLOOKUP($A4821,Load!$B:$B,Load!I:I,0,)</f>
        <v>0</v>
      </c>
      <c r="I4821">
        <f>_xlfn.XLOOKUP($A4821,Load!$B:$B,Load!J:J,0,)</f>
        <v>0</v>
      </c>
      <c r="J4821">
        <f>_xlfn.XLOOKUP($A4821,Load!$B:$B,Load!K:K,0,)</f>
        <v>0</v>
      </c>
      <c r="K4821">
        <f>_xlfn.XLOOKUP($A4821,Load!$B:$B,Load!L:L,0,)</f>
        <v>0</v>
      </c>
      <c r="L4821">
        <f>_xlfn.XLOOKUP($A4821,Load!$B:$B,Load!M:M,0,)</f>
        <v>0</v>
      </c>
    </row>
    <row r="4822" spans="1:12" x14ac:dyDescent="0.25">
      <c r="A4822" t="s">
        <v>102</v>
      </c>
      <c r="B4822" t="str">
        <f>_xlfn.XLOOKUP($A4822,Load!$B:$B,Load!C:C,0,)</f>
        <v>Flix</v>
      </c>
      <c r="C4822" t="str">
        <f>_xlfn.XLOOKUP($A4822,Load!$B:$B,Load!D:D,0,)</f>
        <v>Non-Chocolate Candy Only</v>
      </c>
      <c r="D4822" t="str">
        <f>_xlfn.XLOOKUP($A4822,Load!$B:$B,Load!E:E,0,)</f>
        <v>Berry Based (Raspberry, Strawberry, Medley, etc.)</v>
      </c>
      <c r="E4822" t="str">
        <f>_xlfn.XLOOKUP($A4822,Load!$B:$B,Load!F:F,0,)</f>
        <v>Lollipop (regular or lollipop rings)</v>
      </c>
      <c r="F4822" t="str">
        <f>_xlfn.XLOOKUP($A4822,Load!$B:$B,Load!G:G,0,)</f>
        <v>Small Multipack (Less than 40 ct)</v>
      </c>
      <c r="G4822" t="str">
        <f>_xlfn.XLOOKUP($A4822,Load!$B:$B,Load!H:H,0,)</f>
        <v>Box (theatre box, gift box, carton)</v>
      </c>
      <c r="H4822" t="str">
        <f>_xlfn.XLOOKUP($A4822,Load!$B:$B,Load!I:I,0,)</f>
        <v>Seasonal Shapes (like pumpkins, candy corn, ghost, bats, etc.)</v>
      </c>
      <c r="I4822" t="str">
        <f>_xlfn.XLOOKUP($A4822,Load!$B:$B,Load!J:J,0,)</f>
        <v>Seasonal Graphics (Like Bat, Ghost, Pumpkin, Fall Leaves, Eyeballs, etc.)</v>
      </c>
      <c r="J4822" t="str">
        <f>_xlfn.XLOOKUP($A4822,Load!$B:$B,Load!K:K,0,)</f>
        <v>Regular Lollipop size (on sticks or rings)</v>
      </c>
      <c r="K4822" t="str">
        <f>_xlfn.XLOOKUP($A4822,Load!$B:$B,Load!L:L,0,)</f>
        <v>Regular/Original Wrapping</v>
      </c>
      <c r="L4822" t="str">
        <f>_xlfn.XLOOKUP($A4822,Load!$B:$B,Load!M:M,0,)</f>
        <v>Single Brand / Variety Flavors or Form</v>
      </c>
    </row>
    <row r="4823" spans="1:12" x14ac:dyDescent="0.25">
      <c r="A4823" t="s">
        <v>215</v>
      </c>
      <c r="B4823" t="str">
        <f>_xlfn.XLOOKUP($A4823,Load!$B:$B,Load!C:C,0,)</f>
        <v>Maud Borup</v>
      </c>
      <c r="C4823" t="str">
        <f>_xlfn.XLOOKUP($A4823,Load!$B:$B,Load!D:D,0,)</f>
        <v>Non-Chocolate Candy Only</v>
      </c>
      <c r="D4823" t="str">
        <f>_xlfn.XLOOKUP($A4823,Load!$B:$B,Load!E:E,0,)</f>
        <v>Berry Based (Raspberry, Strawberry, Medley, etc.)</v>
      </c>
      <c r="E4823" t="str">
        <f>_xlfn.XLOOKUP($A4823,Load!$B:$B,Load!F:F,0,)</f>
        <v>Gummy</v>
      </c>
      <c r="F4823" t="str">
        <f>_xlfn.XLOOKUP($A4823,Load!$B:$B,Load!G:G,0,)</f>
        <v>Single Pack</v>
      </c>
      <c r="G4823" t="str">
        <f>_xlfn.XLOOKUP($A4823,Load!$B:$B,Load!H:H,0,)</f>
        <v>Peg Bag</v>
      </c>
      <c r="H4823" t="str">
        <f>_xlfn.XLOOKUP($A4823,Load!$B:$B,Load!I:I,0,)</f>
        <v>Seasonal Shapes (like pumpkins, candy corn, ghost, bats, etc.)</v>
      </c>
      <c r="I4823" t="str">
        <f>_xlfn.XLOOKUP($A4823,Load!$B:$B,Load!J:J,0,)</f>
        <v>Seasonal Graphics (Like Bat, Ghost, Pumpkin, Fall Leaves, Eyeballs, etc.)</v>
      </c>
      <c r="J4823" t="str">
        <f>_xlfn.XLOOKUP($A4823,Load!$B:$B,Load!K:K,0,)</f>
        <v>Fun Size / Treat Size</v>
      </c>
      <c r="K4823" t="str">
        <f>_xlfn.XLOOKUP($A4823,Load!$B:$B,Load!L:L,0,)</f>
        <v>Unwrapped</v>
      </c>
      <c r="L4823" t="str">
        <f>_xlfn.XLOOKUP($A4823,Load!$B:$B,Load!M:M,0,)</f>
        <v>Single Brand / Single Flavor or Form</v>
      </c>
    </row>
    <row r="4824" spans="1:12" x14ac:dyDescent="0.25">
      <c r="B4824">
        <f>_xlfn.XLOOKUP($A4824,Load!$B:$B,Load!C:C,0,)</f>
        <v>0</v>
      </c>
      <c r="C4824">
        <f>_xlfn.XLOOKUP($A4824,Load!$B:$B,Load!D:D,0,)</f>
        <v>0</v>
      </c>
      <c r="D4824">
        <f>_xlfn.XLOOKUP($A4824,Load!$B:$B,Load!E:E,0,)</f>
        <v>0</v>
      </c>
      <c r="E4824">
        <f>_xlfn.XLOOKUP($A4824,Load!$B:$B,Load!F:F,0,)</f>
        <v>0</v>
      </c>
      <c r="F4824">
        <f>_xlfn.XLOOKUP($A4824,Load!$B:$B,Load!G:G,0,)</f>
        <v>0</v>
      </c>
      <c r="G4824">
        <f>_xlfn.XLOOKUP($A4824,Load!$B:$B,Load!H:H,0,)</f>
        <v>0</v>
      </c>
      <c r="H4824">
        <f>_xlfn.XLOOKUP($A4824,Load!$B:$B,Load!I:I,0,)</f>
        <v>0</v>
      </c>
      <c r="I4824">
        <f>_xlfn.XLOOKUP($A4824,Load!$B:$B,Load!J:J,0,)</f>
        <v>0</v>
      </c>
      <c r="J4824">
        <f>_xlfn.XLOOKUP($A4824,Load!$B:$B,Load!K:K,0,)</f>
        <v>0</v>
      </c>
      <c r="K4824">
        <f>_xlfn.XLOOKUP($A4824,Load!$B:$B,Load!L:L,0,)</f>
        <v>0</v>
      </c>
      <c r="L4824">
        <f>_xlfn.XLOOKUP($A4824,Load!$B:$B,Load!M:M,0,)</f>
        <v>0</v>
      </c>
    </row>
    <row r="4825" spans="1:12" x14ac:dyDescent="0.25">
      <c r="B4825">
        <f>_xlfn.XLOOKUP($A4825,Load!$B:$B,Load!C:C,0,)</f>
        <v>0</v>
      </c>
      <c r="C4825">
        <f>_xlfn.XLOOKUP($A4825,Load!$B:$B,Load!D:D,0,)</f>
        <v>0</v>
      </c>
      <c r="D4825">
        <f>_xlfn.XLOOKUP($A4825,Load!$B:$B,Load!E:E,0,)</f>
        <v>0</v>
      </c>
      <c r="E4825">
        <f>_xlfn.XLOOKUP($A4825,Load!$B:$B,Load!F:F,0,)</f>
        <v>0</v>
      </c>
      <c r="F4825">
        <f>_xlfn.XLOOKUP($A4825,Load!$B:$B,Load!G:G,0,)</f>
        <v>0</v>
      </c>
      <c r="G4825">
        <f>_xlfn.XLOOKUP($A4825,Load!$B:$B,Load!H:H,0,)</f>
        <v>0</v>
      </c>
      <c r="H4825">
        <f>_xlfn.XLOOKUP($A4825,Load!$B:$B,Load!I:I,0,)</f>
        <v>0</v>
      </c>
      <c r="I4825">
        <f>_xlfn.XLOOKUP($A4825,Load!$B:$B,Load!J:J,0,)</f>
        <v>0</v>
      </c>
      <c r="J4825">
        <f>_xlfn.XLOOKUP($A4825,Load!$B:$B,Load!K:K,0,)</f>
        <v>0</v>
      </c>
      <c r="K4825">
        <f>_xlfn.XLOOKUP($A4825,Load!$B:$B,Load!L:L,0,)</f>
        <v>0</v>
      </c>
      <c r="L4825">
        <f>_xlfn.XLOOKUP($A4825,Load!$B:$B,Load!M:M,0,)</f>
        <v>0</v>
      </c>
    </row>
    <row r="4826" spans="1:12" x14ac:dyDescent="0.25">
      <c r="A4826" t="s">
        <v>132</v>
      </c>
      <c r="B4826" t="str">
        <f>_xlfn.XLOOKUP($A4826,Load!$B:$B,Load!C:C,0,)</f>
        <v>Hershey's</v>
      </c>
      <c r="C4826" t="str">
        <f>_xlfn.XLOOKUP($A4826,Load!$B:$B,Load!D:D,0,)</f>
        <v>Mix of Chocolate and Non-Chocolate Candy</v>
      </c>
      <c r="D4826" t="str">
        <f>_xlfn.XLOOKUP($A4826,Load!$B:$B,Load!E:E,0,)</f>
        <v>Variety / Mixed Flavors (Fruity, Sour, Seasonal Flavors)</v>
      </c>
      <c r="E4826" t="str">
        <f>_xlfn.XLOOKUP($A4826,Load!$B:$B,Load!F:F,0,)</f>
        <v>Mixed / Combo Packs (Gummy, Chewy, Taffy, etc.)</v>
      </c>
      <c r="F4826" t="str">
        <f>_xlfn.XLOOKUP($A4826,Load!$B:$B,Load!G:G,0,)</f>
        <v>Small Multipack (Less than 40 ct)</v>
      </c>
      <c r="G4826" t="str">
        <f>_xlfn.XLOOKUP($A4826,Load!$B:$B,Load!H:H,0,)</f>
        <v>Laydown Bag</v>
      </c>
      <c r="H4826" t="str">
        <f>_xlfn.XLOOKUP($A4826,Load!$B:$B,Load!I:I,0,)</f>
        <v>Everyday Candy Shapes (like Original, Gummy bear, Fruit, Jewels, etc.)</v>
      </c>
      <c r="I4826" t="str">
        <f>_xlfn.XLOOKUP($A4826,Load!$B:$B,Load!J:J,0,)</f>
        <v>Seasonal Graphics (Like Bat, Ghost, Pumpkin, Fall Leaves, Eyeballs, etc.)</v>
      </c>
      <c r="J4826" t="str">
        <f>_xlfn.XLOOKUP($A4826,Load!$B:$B,Load!K:K,0,)</f>
        <v xml:space="preserve">Variety Candy Sizes </v>
      </c>
      <c r="K4826" t="str">
        <f>_xlfn.XLOOKUP($A4826,Load!$B:$B,Load!L:L,0,)</f>
        <v>Regular/Original Wrapping</v>
      </c>
      <c r="L4826" t="str">
        <f>_xlfn.XLOOKUP($A4826,Load!$B:$B,Load!M:M,0,)</f>
        <v>Multiple Brands / Variety Flavors or Form</v>
      </c>
    </row>
    <row r="4827" spans="1:12" x14ac:dyDescent="0.25">
      <c r="A4827" t="s">
        <v>194</v>
      </c>
      <c r="B4827" t="str">
        <f>_xlfn.XLOOKUP($A4827,Load!$B:$B,Load!C:C,0,)</f>
        <v>Mars Variety Pack</v>
      </c>
      <c r="C4827" t="str">
        <f>_xlfn.XLOOKUP($A4827,Load!$B:$B,Load!D:D,0,)</f>
        <v>Mix of Chocolate and Non-Chocolate Candy</v>
      </c>
      <c r="D4827" t="str">
        <f>_xlfn.XLOOKUP($A4827,Load!$B:$B,Load!E:E,0,)</f>
        <v>Variety / Mixed Flavors (Fruity, Sour, Seasonal Flavors)</v>
      </c>
      <c r="E4827" t="str">
        <f>_xlfn.XLOOKUP($A4827,Load!$B:$B,Load!F:F,0,)</f>
        <v>Mixed / Combo Packs (Gummy, Chewy, Taffy, etc.)</v>
      </c>
      <c r="F4827" t="str">
        <f>_xlfn.XLOOKUP($A4827,Load!$B:$B,Load!G:G,0,)</f>
        <v>Small Multipack (Less than 40 ct)</v>
      </c>
      <c r="G4827" t="str">
        <f>_xlfn.XLOOKUP($A4827,Load!$B:$B,Load!H:H,0,)</f>
        <v>Laydown Bag</v>
      </c>
      <c r="H4827" t="str">
        <f>_xlfn.XLOOKUP($A4827,Load!$B:$B,Load!I:I,0,)</f>
        <v>Everyday Candy Shapes (like Original, Gummy bear, Fruit, Jewels, etc.)</v>
      </c>
      <c r="I4827" t="str">
        <f>_xlfn.XLOOKUP($A4827,Load!$B:$B,Load!J:J,0,)</f>
        <v>Seasonal Graphics (Like Bat, Ghost, Pumpkin, Fall Leaves, Eyeballs, etc.)</v>
      </c>
      <c r="J4827" t="str">
        <f>_xlfn.XLOOKUP($A4827,Load!$B:$B,Load!K:K,0,)</f>
        <v>Fun Size / Treat Size</v>
      </c>
      <c r="K4827" t="str">
        <f>_xlfn.XLOOKUP($A4827,Load!$B:$B,Load!L:L,0,)</f>
        <v>Regular/Original Wrapping</v>
      </c>
      <c r="L4827" t="str">
        <f>_xlfn.XLOOKUP($A4827,Load!$B:$B,Load!M:M,0,)</f>
        <v>Multiple Brands / Variety Flavors or Form</v>
      </c>
    </row>
    <row r="4828" spans="1:12" x14ac:dyDescent="0.25">
      <c r="A4828" t="s">
        <v>121</v>
      </c>
      <c r="B4828" t="str">
        <f>_xlfn.XLOOKUP($A4828,Load!$B:$B,Load!C:C,0,)</f>
        <v>HARIBO</v>
      </c>
      <c r="C4828" t="str">
        <f>_xlfn.XLOOKUP($A4828,Load!$B:$B,Load!D:D,0,)</f>
        <v>Non-Chocolate Candy Only</v>
      </c>
      <c r="D4828" t="str">
        <f>_xlfn.XLOOKUP($A4828,Load!$B:$B,Load!E:E,0,)</f>
        <v>Variety / Mixed Flavors (Fruity, Sour, Seasonal Flavors)</v>
      </c>
      <c r="E4828" t="str">
        <f>_xlfn.XLOOKUP($A4828,Load!$B:$B,Load!F:F,0,)</f>
        <v>Gummy</v>
      </c>
      <c r="F4828" t="str">
        <f>_xlfn.XLOOKUP($A4828,Load!$B:$B,Load!G:G,0,)</f>
        <v>Large Multipack (More than 80 ct)</v>
      </c>
      <c r="G4828" t="str">
        <f>_xlfn.XLOOKUP($A4828,Load!$B:$B,Load!H:H,0,)</f>
        <v>Stand-Up Bag</v>
      </c>
      <c r="H4828" t="str">
        <f>_xlfn.XLOOKUP($A4828,Load!$B:$B,Load!I:I,0,)</f>
        <v>Seasonal Shapes (like pumpkins, candy corn, ghost, bats, etc.)</v>
      </c>
      <c r="I4828" t="str">
        <f>_xlfn.XLOOKUP($A4828,Load!$B:$B,Load!J:J,0,)</f>
        <v>Seasonal Graphics (Like Bat, Ghost, Pumpkin, Fall Leaves, Eyeballs, etc.)</v>
      </c>
      <c r="J4828" t="str">
        <f>_xlfn.XLOOKUP($A4828,Load!$B:$B,Load!K:K,0,)</f>
        <v>Fun Size / Treat Size</v>
      </c>
      <c r="K4828" t="str">
        <f>_xlfn.XLOOKUP($A4828,Load!$B:$B,Load!L:L,0,)</f>
        <v>Regular/Original Wrapping</v>
      </c>
      <c r="L4828" t="str">
        <f>_xlfn.XLOOKUP($A4828,Load!$B:$B,Load!M:M,0,)</f>
        <v>Multiple Brands / Variety Flavors or Form</v>
      </c>
    </row>
    <row r="4829" spans="1:12" x14ac:dyDescent="0.25">
      <c r="B4829">
        <f>_xlfn.XLOOKUP($A4829,Load!$B:$B,Load!C:C,0,)</f>
        <v>0</v>
      </c>
      <c r="C4829">
        <f>_xlfn.XLOOKUP($A4829,Load!$B:$B,Load!D:D,0,)</f>
        <v>0</v>
      </c>
      <c r="D4829">
        <f>_xlfn.XLOOKUP($A4829,Load!$B:$B,Load!E:E,0,)</f>
        <v>0</v>
      </c>
      <c r="E4829">
        <f>_xlfn.XLOOKUP($A4829,Load!$B:$B,Load!F:F,0,)</f>
        <v>0</v>
      </c>
      <c r="F4829">
        <f>_xlfn.XLOOKUP($A4829,Load!$B:$B,Load!G:G,0,)</f>
        <v>0</v>
      </c>
      <c r="G4829">
        <f>_xlfn.XLOOKUP($A4829,Load!$B:$B,Load!H:H,0,)</f>
        <v>0</v>
      </c>
      <c r="H4829">
        <f>_xlfn.XLOOKUP($A4829,Load!$B:$B,Load!I:I,0,)</f>
        <v>0</v>
      </c>
      <c r="I4829">
        <f>_xlfn.XLOOKUP($A4829,Load!$B:$B,Load!J:J,0,)</f>
        <v>0</v>
      </c>
      <c r="J4829">
        <f>_xlfn.XLOOKUP($A4829,Load!$B:$B,Load!K:K,0,)</f>
        <v>0</v>
      </c>
      <c r="K4829">
        <f>_xlfn.XLOOKUP($A4829,Load!$B:$B,Load!L:L,0,)</f>
        <v>0</v>
      </c>
      <c r="L4829">
        <f>_xlfn.XLOOKUP($A4829,Load!$B:$B,Load!M:M,0,)</f>
        <v>0</v>
      </c>
    </row>
    <row r="4830" spans="1:12" x14ac:dyDescent="0.25">
      <c r="A4830" t="s">
        <v>220</v>
      </c>
      <c r="B4830" t="str">
        <f>_xlfn.XLOOKUP($A4830,Load!$B:$B,Load!C:C,0,)</f>
        <v>Mondelez Variety Pack</v>
      </c>
      <c r="C4830" t="str">
        <f>_xlfn.XLOOKUP($A4830,Load!$B:$B,Load!D:D,0,)</f>
        <v>Non-Chocolate Candy Only</v>
      </c>
      <c r="D4830" t="str">
        <f>_xlfn.XLOOKUP($A4830,Load!$B:$B,Load!E:E,0,)</f>
        <v>Variety / Mixed Flavors (Fruity, Sour, Seasonal Flavors)</v>
      </c>
      <c r="E4830" t="str">
        <f>_xlfn.XLOOKUP($A4830,Load!$B:$B,Load!F:F,0,)</f>
        <v>Chewy</v>
      </c>
      <c r="F4830" t="str">
        <f>_xlfn.XLOOKUP($A4830,Load!$B:$B,Load!G:G,0,)</f>
        <v>Large Multipack (More than 80 ct)</v>
      </c>
      <c r="G4830" t="str">
        <f>_xlfn.XLOOKUP($A4830,Load!$B:$B,Load!H:H,0,)</f>
        <v>Stand-Up Bag</v>
      </c>
      <c r="H4830" t="str">
        <f>_xlfn.XLOOKUP($A4830,Load!$B:$B,Load!I:I,0,)</f>
        <v>Seasonal Shapes (like pumpkins, candy corn, ghost, bats, etc.)</v>
      </c>
      <c r="I4830" t="str">
        <f>_xlfn.XLOOKUP($A4830,Load!$B:$B,Load!J:J,0,)</f>
        <v>Seasonal Graphics (Like Bat, Ghost, Pumpkin, Fall Leaves, Eyeballs, etc.)</v>
      </c>
      <c r="J4830" t="str">
        <f>_xlfn.XLOOKUP($A4830,Load!$B:$B,Load!K:K,0,)</f>
        <v>Small Pieces (Tiny bite size candies)</v>
      </c>
      <c r="K4830" t="str">
        <f>_xlfn.XLOOKUP($A4830,Load!$B:$B,Load!L:L,0,)</f>
        <v>Regular/Original Wrapping</v>
      </c>
      <c r="L4830" t="str">
        <f>_xlfn.XLOOKUP($A4830,Load!$B:$B,Load!M:M,0,)</f>
        <v>Single Brand / Variety Flavors or Form</v>
      </c>
    </row>
    <row r="4831" spans="1:12" x14ac:dyDescent="0.25">
      <c r="A4831" t="s">
        <v>270</v>
      </c>
      <c r="B4831" t="str">
        <f>_xlfn.XLOOKUP($A4831,Load!$B:$B,Load!C:C,0,)</f>
        <v>Sour Patch Kids</v>
      </c>
      <c r="C4831" t="str">
        <f>_xlfn.XLOOKUP($A4831,Load!$B:$B,Load!D:D,0,)</f>
        <v>Non-Chocolate Candy Only</v>
      </c>
      <c r="D4831" t="str">
        <f>_xlfn.XLOOKUP($A4831,Load!$B:$B,Load!E:E,0,)</f>
        <v>Fruit Flavor (Cherry, Grape, Apple, Citrus, Tropical Fruit)</v>
      </c>
      <c r="E4831" t="str">
        <f>_xlfn.XLOOKUP($A4831,Load!$B:$B,Load!F:F,0,)</f>
        <v>Chewy</v>
      </c>
      <c r="F4831" t="str">
        <f>_xlfn.XLOOKUP($A4831,Load!$B:$B,Load!G:G,0,)</f>
        <v>Small Multipack (Less than 40 ct)</v>
      </c>
      <c r="G4831" t="str">
        <f>_xlfn.XLOOKUP($A4831,Load!$B:$B,Load!H:H,0,)</f>
        <v>Box (theatre box, gift box, carton)</v>
      </c>
      <c r="H4831" t="str">
        <f>_xlfn.XLOOKUP($A4831,Load!$B:$B,Load!I:I,0,)</f>
        <v>Everyday Candy Shapes (like Original, Gummy bear, Fruit, Jewels, etc.)</v>
      </c>
      <c r="I4831" t="str">
        <f>_xlfn.XLOOKUP($A4831,Load!$B:$B,Load!J:J,0,)</f>
        <v>Seasonal Graphics (Like Bat, Ghost, Pumpkin, Fall Leaves, Eyeballs, etc.)</v>
      </c>
      <c r="J4831" t="str">
        <f>_xlfn.XLOOKUP($A4831,Load!$B:$B,Load!K:K,0,)</f>
        <v>Small Pieces (Tiny bite size candies)</v>
      </c>
      <c r="K4831" t="str">
        <f>_xlfn.XLOOKUP($A4831,Load!$B:$B,Load!L:L,0,)</f>
        <v>Unwrapped</v>
      </c>
      <c r="L4831" t="str">
        <f>_xlfn.XLOOKUP($A4831,Load!$B:$B,Load!M:M,0,)</f>
        <v>Single Brand / Variety Flavors or Form</v>
      </c>
    </row>
    <row r="4832" spans="1:12" x14ac:dyDescent="0.25">
      <c r="B4832">
        <f>_xlfn.XLOOKUP($A4832,Load!$B:$B,Load!C:C,0,)</f>
        <v>0</v>
      </c>
      <c r="C4832">
        <f>_xlfn.XLOOKUP($A4832,Load!$B:$B,Load!D:D,0,)</f>
        <v>0</v>
      </c>
      <c r="D4832">
        <f>_xlfn.XLOOKUP($A4832,Load!$B:$B,Load!E:E,0,)</f>
        <v>0</v>
      </c>
      <c r="E4832">
        <f>_xlfn.XLOOKUP($A4832,Load!$B:$B,Load!F:F,0,)</f>
        <v>0</v>
      </c>
      <c r="F4832">
        <f>_xlfn.XLOOKUP($A4832,Load!$B:$B,Load!G:G,0,)</f>
        <v>0</v>
      </c>
      <c r="G4832">
        <f>_xlfn.XLOOKUP($A4832,Load!$B:$B,Load!H:H,0,)</f>
        <v>0</v>
      </c>
      <c r="H4832">
        <f>_xlfn.XLOOKUP($A4832,Load!$B:$B,Load!I:I,0,)</f>
        <v>0</v>
      </c>
      <c r="I4832">
        <f>_xlfn.XLOOKUP($A4832,Load!$B:$B,Load!J:J,0,)</f>
        <v>0</v>
      </c>
      <c r="J4832">
        <f>_xlfn.XLOOKUP($A4832,Load!$B:$B,Load!K:K,0,)</f>
        <v>0</v>
      </c>
      <c r="K4832">
        <f>_xlfn.XLOOKUP($A4832,Load!$B:$B,Load!L:L,0,)</f>
        <v>0</v>
      </c>
      <c r="L4832">
        <f>_xlfn.XLOOKUP($A4832,Load!$B:$B,Load!M:M,0,)</f>
        <v>0</v>
      </c>
    </row>
    <row r="4833" spans="1:12" x14ac:dyDescent="0.25">
      <c r="B4833">
        <f>_xlfn.XLOOKUP($A4833,Load!$B:$B,Load!C:C,0,)</f>
        <v>0</v>
      </c>
      <c r="C4833">
        <f>_xlfn.XLOOKUP($A4833,Load!$B:$B,Load!D:D,0,)</f>
        <v>0</v>
      </c>
      <c r="D4833">
        <f>_xlfn.XLOOKUP($A4833,Load!$B:$B,Load!E:E,0,)</f>
        <v>0</v>
      </c>
      <c r="E4833">
        <f>_xlfn.XLOOKUP($A4833,Load!$B:$B,Load!F:F,0,)</f>
        <v>0</v>
      </c>
      <c r="F4833">
        <f>_xlfn.XLOOKUP($A4833,Load!$B:$B,Load!G:G,0,)</f>
        <v>0</v>
      </c>
      <c r="G4833">
        <f>_xlfn.XLOOKUP($A4833,Load!$B:$B,Load!H:H,0,)</f>
        <v>0</v>
      </c>
      <c r="H4833">
        <f>_xlfn.XLOOKUP($A4833,Load!$B:$B,Load!I:I,0,)</f>
        <v>0</v>
      </c>
      <c r="I4833">
        <f>_xlfn.XLOOKUP($A4833,Load!$B:$B,Load!J:J,0,)</f>
        <v>0</v>
      </c>
      <c r="J4833">
        <f>_xlfn.XLOOKUP($A4833,Load!$B:$B,Load!K:K,0,)</f>
        <v>0</v>
      </c>
      <c r="K4833">
        <f>_xlfn.XLOOKUP($A4833,Load!$B:$B,Load!L:L,0,)</f>
        <v>0</v>
      </c>
      <c r="L4833">
        <f>_xlfn.XLOOKUP($A4833,Load!$B:$B,Load!M:M,0,)</f>
        <v>0</v>
      </c>
    </row>
    <row r="4834" spans="1:12" x14ac:dyDescent="0.25">
      <c r="A4834" t="s">
        <v>173</v>
      </c>
      <c r="B4834" t="str">
        <f>_xlfn.XLOOKUP($A4834,Load!$B:$B,Load!C:C,0,)</f>
        <v>Mars Variety Pack</v>
      </c>
      <c r="C4834" t="str">
        <f>_xlfn.XLOOKUP($A4834,Load!$B:$B,Load!D:D,0,)</f>
        <v>Mix of Chocolate and Non-Chocolate Candy</v>
      </c>
      <c r="D4834" t="str">
        <f>_xlfn.XLOOKUP($A4834,Load!$B:$B,Load!E:E,0,)</f>
        <v>Variety / Mixed Flavors (Fruity, Sour, Seasonal Flavors)</v>
      </c>
      <c r="E4834" t="str">
        <f>_xlfn.XLOOKUP($A4834,Load!$B:$B,Load!F:F,0,)</f>
        <v>Mixed / Combo Packs (Gummy, Chewy, Taffy, etc.)</v>
      </c>
      <c r="F4834" t="str">
        <f>_xlfn.XLOOKUP($A4834,Load!$B:$B,Load!G:G,0,)</f>
        <v>Large Multipack (More than 80 ct)</v>
      </c>
      <c r="G4834" t="str">
        <f>_xlfn.XLOOKUP($A4834,Load!$B:$B,Load!H:H,0,)</f>
        <v>Stand-Up Bag</v>
      </c>
      <c r="H4834" t="str">
        <f>_xlfn.XLOOKUP($A4834,Load!$B:$B,Load!I:I,0,)</f>
        <v>Everyday Candy Shapes (like Original, Gummy bear, Fruit, Jewels, etc.)</v>
      </c>
      <c r="I4834" t="str">
        <f>_xlfn.XLOOKUP($A4834,Load!$B:$B,Load!J:J,0,)</f>
        <v>Seasonal Graphics (Like Bat, Ghost, Pumpkin, Fall Leaves, Eyeballs, etc.)</v>
      </c>
      <c r="J4834" t="str">
        <f>_xlfn.XLOOKUP($A4834,Load!$B:$B,Load!K:K,0,)</f>
        <v>Fun Size / Treat Size</v>
      </c>
      <c r="K4834" t="str">
        <f>_xlfn.XLOOKUP($A4834,Load!$B:$B,Load!L:L,0,)</f>
        <v>Regular/Original Wrapping</v>
      </c>
      <c r="L4834" t="str">
        <f>_xlfn.XLOOKUP($A4834,Load!$B:$B,Load!M:M,0,)</f>
        <v>Multiple Brands / Variety Flavors or Form</v>
      </c>
    </row>
    <row r="4835" spans="1:12" x14ac:dyDescent="0.25">
      <c r="A4835" t="s">
        <v>221</v>
      </c>
      <c r="B4835" t="str">
        <f>_xlfn.XLOOKUP($A4835,Load!$B:$B,Load!C:C,0,)</f>
        <v>Hershey's Variety Pack + Haribo</v>
      </c>
      <c r="C4835" t="str">
        <f>_xlfn.XLOOKUP($A4835,Load!$B:$B,Load!D:D,0,)</f>
        <v>Mix of Chocolate and Non-Chocolate Candy</v>
      </c>
      <c r="D4835" t="str">
        <f>_xlfn.XLOOKUP($A4835,Load!$B:$B,Load!E:E,0,)</f>
        <v>Variety / Mixed Flavors (Fruity, Sour, Seasonal Flavors)</v>
      </c>
      <c r="E4835" t="str">
        <f>_xlfn.XLOOKUP($A4835,Load!$B:$B,Load!F:F,0,)</f>
        <v>Mixed / Combo Packs (Gummy, Chewy, Taffy, etc.)</v>
      </c>
      <c r="F4835" t="str">
        <f>_xlfn.XLOOKUP($A4835,Load!$B:$B,Load!G:G,0,)</f>
        <v>Large Multipack (More than 80 ct)</v>
      </c>
      <c r="G4835" t="str">
        <f>_xlfn.XLOOKUP($A4835,Load!$B:$B,Load!H:H,0,)</f>
        <v>Stand-Up Bag</v>
      </c>
      <c r="H4835" t="str">
        <f>_xlfn.XLOOKUP($A4835,Load!$B:$B,Load!I:I,0,)</f>
        <v>Everyday Candy Shapes (like Original, Gummy bear, Fruit, Jewels, etc.)</v>
      </c>
      <c r="I4835" t="str">
        <f>_xlfn.XLOOKUP($A4835,Load!$B:$B,Load!J:J,0,)</f>
        <v>Seasonal Graphics (Like Bat, Ghost, Pumpkin, Fall Leaves, Eyeballs, etc.)</v>
      </c>
      <c r="J4835" t="str">
        <f>_xlfn.XLOOKUP($A4835,Load!$B:$B,Load!K:K,0,)</f>
        <v xml:space="preserve">Variety Candy Sizes </v>
      </c>
      <c r="K4835" t="str">
        <f>_xlfn.XLOOKUP($A4835,Load!$B:$B,Load!L:L,0,)</f>
        <v>Regular/Original Wrapping</v>
      </c>
      <c r="L4835" t="str">
        <f>_xlfn.XLOOKUP($A4835,Load!$B:$B,Load!M:M,0,)</f>
        <v>Multiple Brands / Variety Flavors or Form</v>
      </c>
    </row>
    <row r="4836" spans="1:12" x14ac:dyDescent="0.25">
      <c r="A4836" t="s">
        <v>187</v>
      </c>
      <c r="B4836" t="str">
        <f>_xlfn.XLOOKUP($A4836,Load!$B:$B,Load!C:C,0,)</f>
        <v>Mars Variety Pack</v>
      </c>
      <c r="C4836" t="str">
        <f>_xlfn.XLOOKUP($A4836,Load!$B:$B,Load!D:D,0,)</f>
        <v>Mix of Chocolate and Non-Chocolate Candy</v>
      </c>
      <c r="D4836" t="str">
        <f>_xlfn.XLOOKUP($A4836,Load!$B:$B,Load!E:E,0,)</f>
        <v>Variety / Mixed Flavors (Fruity, Sour, Seasonal Flavors)</v>
      </c>
      <c r="E4836" t="str">
        <f>_xlfn.XLOOKUP($A4836,Load!$B:$B,Load!F:F,0,)</f>
        <v>Mixed / Combo Packs (Gummy, Chewy, Taffy, etc.)</v>
      </c>
      <c r="F4836" t="str">
        <f>_xlfn.XLOOKUP($A4836,Load!$B:$B,Load!G:G,0,)</f>
        <v>Medium Multipack (40–80 ct)</v>
      </c>
      <c r="G4836" t="str">
        <f>_xlfn.XLOOKUP($A4836,Load!$B:$B,Load!H:H,0,)</f>
        <v>Stand-Up Bag</v>
      </c>
      <c r="H4836" t="str">
        <f>_xlfn.XLOOKUP($A4836,Load!$B:$B,Load!I:I,0,)</f>
        <v>Everyday Candy Shapes (like Original, Gummy bear, Fruit, Jewels, etc.)</v>
      </c>
      <c r="I4836" t="str">
        <f>_xlfn.XLOOKUP($A4836,Load!$B:$B,Load!J:J,0,)</f>
        <v>Seasonal Graphics (Like Bat, Ghost, Pumpkin, Fall Leaves, Eyeballs, etc.)</v>
      </c>
      <c r="J4836" t="str">
        <f>_xlfn.XLOOKUP($A4836,Load!$B:$B,Load!K:K,0,)</f>
        <v>Fun Size / Treat Size</v>
      </c>
      <c r="K4836" t="str">
        <f>_xlfn.XLOOKUP($A4836,Load!$B:$B,Load!L:L,0,)</f>
        <v>Regular/Original Wrapping</v>
      </c>
      <c r="L4836" t="str">
        <f>_xlfn.XLOOKUP($A4836,Load!$B:$B,Load!M:M,0,)</f>
        <v>Multiple Brands / Variety Flavors or Form</v>
      </c>
    </row>
    <row r="4837" spans="1:12" x14ac:dyDescent="0.25">
      <c r="A4837" t="s">
        <v>184</v>
      </c>
      <c r="B4837" t="str">
        <f>_xlfn.XLOOKUP($A4837,Load!$B:$B,Load!C:C,0,)</f>
        <v>Mars Variety Pack</v>
      </c>
      <c r="C4837" t="str">
        <f>_xlfn.XLOOKUP($A4837,Load!$B:$B,Load!D:D,0,)</f>
        <v>Mix of Chocolate and Non-Chocolate Candy</v>
      </c>
      <c r="D4837" t="str">
        <f>_xlfn.XLOOKUP($A4837,Load!$B:$B,Load!E:E,0,)</f>
        <v>Variety / Mixed Flavors (Fruity, Sour, Seasonal Flavors)</v>
      </c>
      <c r="E4837" t="str">
        <f>_xlfn.XLOOKUP($A4837,Load!$B:$B,Load!F:F,0,)</f>
        <v>Mixed / Combo Packs (Gummy, Chewy, Taffy, etc.)</v>
      </c>
      <c r="F4837" t="str">
        <f>_xlfn.XLOOKUP($A4837,Load!$B:$B,Load!G:G,0,)</f>
        <v>Large Multipack (More than 80 ct)</v>
      </c>
      <c r="G4837" t="str">
        <f>_xlfn.XLOOKUP($A4837,Load!$B:$B,Load!H:H,0,)</f>
        <v>Stand-Up Bag</v>
      </c>
      <c r="H4837" t="str">
        <f>_xlfn.XLOOKUP($A4837,Load!$B:$B,Load!I:I,0,)</f>
        <v>Everyday Candy Shapes (like Original, Gummy bear, Fruit, Jewels, etc.)</v>
      </c>
      <c r="I4837" t="str">
        <f>_xlfn.XLOOKUP($A4837,Load!$B:$B,Load!J:J,0,)</f>
        <v>Seasonal Graphics (Like Bat, Ghost, Pumpkin, Fall Leaves, Eyeballs, etc.)</v>
      </c>
      <c r="J4837" t="str">
        <f>_xlfn.XLOOKUP($A4837,Load!$B:$B,Load!K:K,0,)</f>
        <v>Fun Size / Treat Size</v>
      </c>
      <c r="K4837" t="str">
        <f>_xlfn.XLOOKUP($A4837,Load!$B:$B,Load!L:L,0,)</f>
        <v>Regular/Original Wrapping</v>
      </c>
      <c r="L4837" t="str">
        <f>_xlfn.XLOOKUP($A4837,Load!$B:$B,Load!M:M,0,)</f>
        <v>Multiple Brands / Variety Flavors or Form</v>
      </c>
    </row>
    <row r="4838" spans="1:12" x14ac:dyDescent="0.25">
      <c r="A4838" t="s">
        <v>241</v>
      </c>
      <c r="B4838" t="str">
        <f>_xlfn.XLOOKUP($A4838,Load!$B:$B,Load!C:C,0,)</f>
        <v>Peeps</v>
      </c>
      <c r="C4838" t="str">
        <f>_xlfn.XLOOKUP($A4838,Load!$B:$B,Load!D:D,0,)</f>
        <v>Non-Chocolate Candy Only</v>
      </c>
      <c r="D4838" t="str">
        <f>_xlfn.XLOOKUP($A4838,Load!$B:$B,Load!E:E,0,)</f>
        <v>Sweet</v>
      </c>
      <c r="E4838" t="str">
        <f>_xlfn.XLOOKUP($A4838,Load!$B:$B,Load!F:F,0,)</f>
        <v>Foamy / Aerated / Freeze Dried</v>
      </c>
      <c r="F4838" t="str">
        <f>_xlfn.XLOOKUP($A4838,Load!$B:$B,Load!G:G,0,)</f>
        <v>Single Pack</v>
      </c>
      <c r="G4838" t="str">
        <f>_xlfn.XLOOKUP($A4838,Load!$B:$B,Load!H:H,0,)</f>
        <v>Box (theatre box, gift box, carton)</v>
      </c>
      <c r="H4838" t="str">
        <f>_xlfn.XLOOKUP($A4838,Load!$B:$B,Load!I:I,0,)</f>
        <v>Seasonal Shapes (like pumpkins, candy corn, ghost, bats, etc.)</v>
      </c>
      <c r="I4838" t="str">
        <f>_xlfn.XLOOKUP($A4838,Load!$B:$B,Load!J:J,0,)</f>
        <v>Seasonal Graphics (Like Bat, Ghost, Pumpkin, Fall Leaves, Eyeballs, etc.)</v>
      </c>
      <c r="J4838" t="str">
        <f>_xlfn.XLOOKUP($A4838,Load!$B:$B,Load!K:K,0,)</f>
        <v>Fun Size / Treat Size</v>
      </c>
      <c r="K4838" t="str">
        <f>_xlfn.XLOOKUP($A4838,Load!$B:$B,Load!L:L,0,)</f>
        <v>Unwrapped</v>
      </c>
      <c r="L4838" t="str">
        <f>_xlfn.XLOOKUP($A4838,Load!$B:$B,Load!M:M,0,)</f>
        <v>Single Brand / Single Flavor or Form</v>
      </c>
    </row>
    <row r="4839" spans="1:12" x14ac:dyDescent="0.25">
      <c r="B4839">
        <f>_xlfn.XLOOKUP($A4839,Load!$B:$B,Load!C:C,0,)</f>
        <v>0</v>
      </c>
      <c r="C4839">
        <f>_xlfn.XLOOKUP($A4839,Load!$B:$B,Load!D:D,0,)</f>
        <v>0</v>
      </c>
      <c r="D4839">
        <f>_xlfn.XLOOKUP($A4839,Load!$B:$B,Load!E:E,0,)</f>
        <v>0</v>
      </c>
      <c r="E4839">
        <f>_xlfn.XLOOKUP($A4839,Load!$B:$B,Load!F:F,0,)</f>
        <v>0</v>
      </c>
      <c r="F4839">
        <f>_xlfn.XLOOKUP($A4839,Load!$B:$B,Load!G:G,0,)</f>
        <v>0</v>
      </c>
      <c r="G4839">
        <f>_xlfn.XLOOKUP($A4839,Load!$B:$B,Load!H:H,0,)</f>
        <v>0</v>
      </c>
      <c r="H4839">
        <f>_xlfn.XLOOKUP($A4839,Load!$B:$B,Load!I:I,0,)</f>
        <v>0</v>
      </c>
      <c r="I4839">
        <f>_xlfn.XLOOKUP($A4839,Load!$B:$B,Load!J:J,0,)</f>
        <v>0</v>
      </c>
      <c r="J4839">
        <f>_xlfn.XLOOKUP($A4839,Load!$B:$B,Load!K:K,0,)</f>
        <v>0</v>
      </c>
      <c r="K4839">
        <f>_xlfn.XLOOKUP($A4839,Load!$B:$B,Load!L:L,0,)</f>
        <v>0</v>
      </c>
      <c r="L4839">
        <f>_xlfn.XLOOKUP($A4839,Load!$B:$B,Load!M:M,0,)</f>
        <v>0</v>
      </c>
    </row>
    <row r="4840" spans="1:12" x14ac:dyDescent="0.25">
      <c r="B4840">
        <f>_xlfn.XLOOKUP($A4840,Load!$B:$B,Load!C:C,0,)</f>
        <v>0</v>
      </c>
      <c r="C4840">
        <f>_xlfn.XLOOKUP($A4840,Load!$B:$B,Load!D:D,0,)</f>
        <v>0</v>
      </c>
      <c r="D4840">
        <f>_xlfn.XLOOKUP($A4840,Load!$B:$B,Load!E:E,0,)</f>
        <v>0</v>
      </c>
      <c r="E4840">
        <f>_xlfn.XLOOKUP($A4840,Load!$B:$B,Load!F:F,0,)</f>
        <v>0</v>
      </c>
      <c r="F4840">
        <f>_xlfn.XLOOKUP($A4840,Load!$B:$B,Load!G:G,0,)</f>
        <v>0</v>
      </c>
      <c r="G4840">
        <f>_xlfn.XLOOKUP($A4840,Load!$B:$B,Load!H:H,0,)</f>
        <v>0</v>
      </c>
      <c r="H4840">
        <f>_xlfn.XLOOKUP($A4840,Load!$B:$B,Load!I:I,0,)</f>
        <v>0</v>
      </c>
      <c r="I4840">
        <f>_xlfn.XLOOKUP($A4840,Load!$B:$B,Load!J:J,0,)</f>
        <v>0</v>
      </c>
      <c r="J4840">
        <f>_xlfn.XLOOKUP($A4840,Load!$B:$B,Load!K:K,0,)</f>
        <v>0</v>
      </c>
      <c r="K4840">
        <f>_xlfn.XLOOKUP($A4840,Load!$B:$B,Load!L:L,0,)</f>
        <v>0</v>
      </c>
      <c r="L4840">
        <f>_xlfn.XLOOKUP($A4840,Load!$B:$B,Load!M:M,0,)</f>
        <v>0</v>
      </c>
    </row>
    <row r="4841" spans="1:12" x14ac:dyDescent="0.25">
      <c r="B4841">
        <f>_xlfn.XLOOKUP($A4841,Load!$B:$B,Load!C:C,0,)</f>
        <v>0</v>
      </c>
      <c r="C4841">
        <f>_xlfn.XLOOKUP($A4841,Load!$B:$B,Load!D:D,0,)</f>
        <v>0</v>
      </c>
      <c r="D4841">
        <f>_xlfn.XLOOKUP($A4841,Load!$B:$B,Load!E:E,0,)</f>
        <v>0</v>
      </c>
      <c r="E4841">
        <f>_xlfn.XLOOKUP($A4841,Load!$B:$B,Load!F:F,0,)</f>
        <v>0</v>
      </c>
      <c r="F4841">
        <f>_xlfn.XLOOKUP($A4841,Load!$B:$B,Load!G:G,0,)</f>
        <v>0</v>
      </c>
      <c r="G4841">
        <f>_xlfn.XLOOKUP($A4841,Load!$B:$B,Load!H:H,0,)</f>
        <v>0</v>
      </c>
      <c r="H4841">
        <f>_xlfn.XLOOKUP($A4841,Load!$B:$B,Load!I:I,0,)</f>
        <v>0</v>
      </c>
      <c r="I4841">
        <f>_xlfn.XLOOKUP($A4841,Load!$B:$B,Load!J:J,0,)</f>
        <v>0</v>
      </c>
      <c r="J4841">
        <f>_xlfn.XLOOKUP($A4841,Load!$B:$B,Load!K:K,0,)</f>
        <v>0</v>
      </c>
      <c r="K4841">
        <f>_xlfn.XLOOKUP($A4841,Load!$B:$B,Load!L:L,0,)</f>
        <v>0</v>
      </c>
      <c r="L4841">
        <f>_xlfn.XLOOKUP($A4841,Load!$B:$B,Load!M:M,0,)</f>
        <v>0</v>
      </c>
    </row>
    <row r="4842" spans="1:12" x14ac:dyDescent="0.25">
      <c r="A4842" t="s">
        <v>220</v>
      </c>
      <c r="B4842" t="str">
        <f>_xlfn.XLOOKUP($A4842,Load!$B:$B,Load!C:C,0,)</f>
        <v>Mondelez Variety Pack</v>
      </c>
      <c r="C4842" t="str">
        <f>_xlfn.XLOOKUP($A4842,Load!$B:$B,Load!D:D,0,)</f>
        <v>Non-Chocolate Candy Only</v>
      </c>
      <c r="D4842" t="str">
        <f>_xlfn.XLOOKUP($A4842,Load!$B:$B,Load!E:E,0,)</f>
        <v>Variety / Mixed Flavors (Fruity, Sour, Seasonal Flavors)</v>
      </c>
      <c r="E4842" t="str">
        <f>_xlfn.XLOOKUP($A4842,Load!$B:$B,Load!F:F,0,)</f>
        <v>Chewy</v>
      </c>
      <c r="F4842" t="str">
        <f>_xlfn.XLOOKUP($A4842,Load!$B:$B,Load!G:G,0,)</f>
        <v>Large Multipack (More than 80 ct)</v>
      </c>
      <c r="G4842" t="str">
        <f>_xlfn.XLOOKUP($A4842,Load!$B:$B,Load!H:H,0,)</f>
        <v>Stand-Up Bag</v>
      </c>
      <c r="H4842" t="str">
        <f>_xlfn.XLOOKUP($A4842,Load!$B:$B,Load!I:I,0,)</f>
        <v>Seasonal Shapes (like pumpkins, candy corn, ghost, bats, etc.)</v>
      </c>
      <c r="I4842" t="str">
        <f>_xlfn.XLOOKUP($A4842,Load!$B:$B,Load!J:J,0,)</f>
        <v>Seasonal Graphics (Like Bat, Ghost, Pumpkin, Fall Leaves, Eyeballs, etc.)</v>
      </c>
      <c r="J4842" t="str">
        <f>_xlfn.XLOOKUP($A4842,Load!$B:$B,Load!K:K,0,)</f>
        <v>Small Pieces (Tiny bite size candies)</v>
      </c>
      <c r="K4842" t="str">
        <f>_xlfn.XLOOKUP($A4842,Load!$B:$B,Load!L:L,0,)</f>
        <v>Regular/Original Wrapping</v>
      </c>
      <c r="L4842" t="str">
        <f>_xlfn.XLOOKUP($A4842,Load!$B:$B,Load!M:M,0,)</f>
        <v>Single Brand / Variety Flavors or Form</v>
      </c>
    </row>
    <row r="4843" spans="1:12" x14ac:dyDescent="0.25">
      <c r="A4843" t="s">
        <v>286</v>
      </c>
      <c r="B4843" t="str">
        <f>_xlfn.XLOOKUP($A4843,Load!$B:$B,Load!C:C,0,)</f>
        <v>SweeTARTS</v>
      </c>
      <c r="C4843" t="str">
        <f>_xlfn.XLOOKUP($A4843,Load!$B:$B,Load!D:D,0,)</f>
        <v>Non-Chocolate Candy Only</v>
      </c>
      <c r="D4843" t="str">
        <f>_xlfn.XLOOKUP($A4843,Load!$B:$B,Load!E:E,0,)</f>
        <v>Variety / Mixed Flavors (Fruity, Sour, Seasonal Flavors)</v>
      </c>
      <c r="E4843" t="str">
        <f>_xlfn.XLOOKUP($A4843,Load!$B:$B,Load!F:F,0,)</f>
        <v>Chewy</v>
      </c>
      <c r="F4843" t="str">
        <f>_xlfn.XLOOKUP($A4843,Load!$B:$B,Load!G:G,0,)</f>
        <v>Small Multipack (Less than 40 ct)</v>
      </c>
      <c r="G4843" t="str">
        <f>_xlfn.XLOOKUP($A4843,Load!$B:$B,Load!H:H,0,)</f>
        <v>Stand-Up Bag</v>
      </c>
      <c r="H4843" t="str">
        <f>_xlfn.XLOOKUP($A4843,Load!$B:$B,Load!I:I,0,)</f>
        <v>Everyday Candy Shapes (like Original, Gummy bear, Fruit, Jewels, etc.)</v>
      </c>
      <c r="I4843" t="str">
        <f>_xlfn.XLOOKUP($A4843,Load!$B:$B,Load!J:J,0,)</f>
        <v>Seasonal Graphics (Like Bat, Ghost, Pumpkin, Fall Leaves, Eyeballs, etc.)</v>
      </c>
      <c r="J4843" t="str">
        <f>_xlfn.XLOOKUP($A4843,Load!$B:$B,Load!K:K,0,)</f>
        <v>Fun Size / Treat Size</v>
      </c>
      <c r="K4843" t="str">
        <f>_xlfn.XLOOKUP($A4843,Load!$B:$B,Load!L:L,0,)</f>
        <v>Regular/Original Wrapping</v>
      </c>
      <c r="L4843" t="str">
        <f>_xlfn.XLOOKUP($A4843,Load!$B:$B,Load!M:M,0,)</f>
        <v>Single Brand / Variety Flavors or Form</v>
      </c>
    </row>
    <row r="4844" spans="1:12" x14ac:dyDescent="0.25">
      <c r="A4844" t="s">
        <v>140</v>
      </c>
      <c r="B4844" t="str">
        <f>_xlfn.XLOOKUP($A4844,Load!$B:$B,Load!C:C,0,)</f>
        <v>Hershey's Variety Pack + Haribo</v>
      </c>
      <c r="C4844" t="str">
        <f>_xlfn.XLOOKUP($A4844,Load!$B:$B,Load!D:D,0,)</f>
        <v>Mix of Chocolate and Non-Chocolate Candy</v>
      </c>
      <c r="D4844" t="str">
        <f>_xlfn.XLOOKUP($A4844,Load!$B:$B,Load!E:E,0,)</f>
        <v>Variety / Mixed Flavors (Fruity, Sour, Seasonal Flavors)</v>
      </c>
      <c r="E4844" t="str">
        <f>_xlfn.XLOOKUP($A4844,Load!$B:$B,Load!F:F,0,)</f>
        <v>Mixed / Combo Packs (Gummy, Chewy, Taffy, etc.)</v>
      </c>
      <c r="F4844" t="str">
        <f>_xlfn.XLOOKUP($A4844,Load!$B:$B,Load!G:G,0,)</f>
        <v>Large Multipack (More than 80 ct)</v>
      </c>
      <c r="G4844" t="str">
        <f>_xlfn.XLOOKUP($A4844,Load!$B:$B,Load!H:H,0,)</f>
        <v>Stand-Up Bag</v>
      </c>
      <c r="H4844" t="str">
        <f>_xlfn.XLOOKUP($A4844,Load!$B:$B,Load!I:I,0,)</f>
        <v>Everyday Candy Shapes (like Original, Gummy bear, Fruit, Jewels, etc.)</v>
      </c>
      <c r="I4844" t="str">
        <f>_xlfn.XLOOKUP($A4844,Load!$B:$B,Load!J:J,0,)</f>
        <v>Seasonal Graphics (Like Bat, Ghost, Pumpkin, Fall Leaves, Eyeballs, etc.)</v>
      </c>
      <c r="J4844" t="str">
        <f>_xlfn.XLOOKUP($A4844,Load!$B:$B,Load!K:K,0,)</f>
        <v xml:space="preserve">Variety Candy Sizes </v>
      </c>
      <c r="K4844" t="str">
        <f>_xlfn.XLOOKUP($A4844,Load!$B:$B,Load!L:L,0,)</f>
        <v>Regular/Original Wrapping</v>
      </c>
      <c r="L4844" t="str">
        <f>_xlfn.XLOOKUP($A4844,Load!$B:$B,Load!M:M,0,)</f>
        <v>Multiple Brands / Variety Flavors or Form</v>
      </c>
    </row>
    <row r="4845" spans="1:12" x14ac:dyDescent="0.25">
      <c r="A4845" t="s">
        <v>175</v>
      </c>
      <c r="B4845" t="str">
        <f>_xlfn.XLOOKUP($A4845,Load!$B:$B,Load!C:C,0,)</f>
        <v>Mars Variety Pack</v>
      </c>
      <c r="C4845" t="str">
        <f>_xlfn.XLOOKUP($A4845,Load!$B:$B,Load!D:D,0,)</f>
        <v>Mix of Chocolate and Non-Chocolate Candy</v>
      </c>
      <c r="D4845" t="str">
        <f>_xlfn.XLOOKUP($A4845,Load!$B:$B,Load!E:E,0,)</f>
        <v>Variety / Mixed Flavors (Fruity, Sour, Seasonal Flavors)</v>
      </c>
      <c r="E4845" t="str">
        <f>_xlfn.XLOOKUP($A4845,Load!$B:$B,Load!F:F,0,)</f>
        <v>Mixed / Combo Packs (Gummy, Chewy, Taffy, etc.)</v>
      </c>
      <c r="F4845" t="str">
        <f>_xlfn.XLOOKUP($A4845,Load!$B:$B,Load!G:G,0,)</f>
        <v>Large Multipack (More than 80 ct)</v>
      </c>
      <c r="G4845" t="str">
        <f>_xlfn.XLOOKUP($A4845,Load!$B:$B,Load!H:H,0,)</f>
        <v>Stand-Up Bag</v>
      </c>
      <c r="H4845" t="str">
        <f>_xlfn.XLOOKUP($A4845,Load!$B:$B,Load!I:I,0,)</f>
        <v>Everyday Candy Shapes (like Original, Gummy bear, Fruit, Jewels, etc.)</v>
      </c>
      <c r="I4845" t="str">
        <f>_xlfn.XLOOKUP($A4845,Load!$B:$B,Load!J:J,0,)</f>
        <v>Seasonal Graphics (Like Bat, Ghost, Pumpkin, Fall Leaves, Eyeballs, etc.)</v>
      </c>
      <c r="J4845" t="str">
        <f>_xlfn.XLOOKUP($A4845,Load!$B:$B,Load!K:K,0,)</f>
        <v xml:space="preserve">Variety Candy Sizes </v>
      </c>
      <c r="K4845" t="str">
        <f>_xlfn.XLOOKUP($A4845,Load!$B:$B,Load!L:L,0,)</f>
        <v>Regular/Original Wrapping</v>
      </c>
      <c r="L4845" t="str">
        <f>_xlfn.XLOOKUP($A4845,Load!$B:$B,Load!M:M,0,)</f>
        <v>Multiple Brands / Variety Flavors or Form</v>
      </c>
    </row>
    <row r="4846" spans="1:12" x14ac:dyDescent="0.25">
      <c r="B4846">
        <f>_xlfn.XLOOKUP($A4846,Load!$B:$B,Load!C:C,0,)</f>
        <v>0</v>
      </c>
      <c r="C4846">
        <f>_xlfn.XLOOKUP($A4846,Load!$B:$B,Load!D:D,0,)</f>
        <v>0</v>
      </c>
      <c r="D4846">
        <f>_xlfn.XLOOKUP($A4846,Load!$B:$B,Load!E:E,0,)</f>
        <v>0</v>
      </c>
      <c r="E4846">
        <f>_xlfn.XLOOKUP($A4846,Load!$B:$B,Load!F:F,0,)</f>
        <v>0</v>
      </c>
      <c r="F4846">
        <f>_xlfn.XLOOKUP($A4846,Load!$B:$B,Load!G:G,0,)</f>
        <v>0</v>
      </c>
      <c r="G4846">
        <f>_xlfn.XLOOKUP($A4846,Load!$B:$B,Load!H:H,0,)</f>
        <v>0</v>
      </c>
      <c r="H4846">
        <f>_xlfn.XLOOKUP($A4846,Load!$B:$B,Load!I:I,0,)</f>
        <v>0</v>
      </c>
      <c r="I4846">
        <f>_xlfn.XLOOKUP($A4846,Load!$B:$B,Load!J:J,0,)</f>
        <v>0</v>
      </c>
      <c r="J4846">
        <f>_xlfn.XLOOKUP($A4846,Load!$B:$B,Load!K:K,0,)</f>
        <v>0</v>
      </c>
      <c r="K4846">
        <f>_xlfn.XLOOKUP($A4846,Load!$B:$B,Load!L:L,0,)</f>
        <v>0</v>
      </c>
      <c r="L4846">
        <f>_xlfn.XLOOKUP($A4846,Load!$B:$B,Load!M:M,0,)</f>
        <v>0</v>
      </c>
    </row>
    <row r="4847" spans="1:12" x14ac:dyDescent="0.25">
      <c r="B4847">
        <f>_xlfn.XLOOKUP($A4847,Load!$B:$B,Load!C:C,0,)</f>
        <v>0</v>
      </c>
      <c r="C4847">
        <f>_xlfn.XLOOKUP($A4847,Load!$B:$B,Load!D:D,0,)</f>
        <v>0</v>
      </c>
      <c r="D4847">
        <f>_xlfn.XLOOKUP($A4847,Load!$B:$B,Load!E:E,0,)</f>
        <v>0</v>
      </c>
      <c r="E4847">
        <f>_xlfn.XLOOKUP($A4847,Load!$B:$B,Load!F:F,0,)</f>
        <v>0</v>
      </c>
      <c r="F4847">
        <f>_xlfn.XLOOKUP($A4847,Load!$B:$B,Load!G:G,0,)</f>
        <v>0</v>
      </c>
      <c r="G4847">
        <f>_xlfn.XLOOKUP($A4847,Load!$B:$B,Load!H:H,0,)</f>
        <v>0</v>
      </c>
      <c r="H4847">
        <f>_xlfn.XLOOKUP($A4847,Load!$B:$B,Load!I:I,0,)</f>
        <v>0</v>
      </c>
      <c r="I4847">
        <f>_xlfn.XLOOKUP($A4847,Load!$B:$B,Load!J:J,0,)</f>
        <v>0</v>
      </c>
      <c r="J4847">
        <f>_xlfn.XLOOKUP($A4847,Load!$B:$B,Load!K:K,0,)</f>
        <v>0</v>
      </c>
      <c r="K4847">
        <f>_xlfn.XLOOKUP($A4847,Load!$B:$B,Load!L:L,0,)</f>
        <v>0</v>
      </c>
      <c r="L4847">
        <f>_xlfn.XLOOKUP($A4847,Load!$B:$B,Load!M:M,0,)</f>
        <v>0</v>
      </c>
    </row>
    <row r="4848" spans="1:12" x14ac:dyDescent="0.25">
      <c r="A4848" t="s">
        <v>96</v>
      </c>
      <c r="B4848" t="str">
        <f>_xlfn.XLOOKUP($A4848,Load!$B:$B,Load!C:C,0,)</f>
        <v>Ferrero Variety Pack</v>
      </c>
      <c r="C4848" t="str">
        <f>_xlfn.XLOOKUP($A4848,Load!$B:$B,Load!D:D,0,)</f>
        <v>Mix of Chocolate and Non-Chocolate Candy</v>
      </c>
      <c r="D4848" t="str">
        <f>_xlfn.XLOOKUP($A4848,Load!$B:$B,Load!E:E,0,)</f>
        <v>Variety / Mixed Flavors (Fruity, Sour, Seasonal Flavors)</v>
      </c>
      <c r="E4848" t="str">
        <f>_xlfn.XLOOKUP($A4848,Load!$B:$B,Load!F:F,0,)</f>
        <v>Mixed / Combo Packs (Gummy, Chewy, Taffy, etc.)</v>
      </c>
      <c r="F4848" t="str">
        <f>_xlfn.XLOOKUP($A4848,Load!$B:$B,Load!G:G,0,)</f>
        <v>Large Multipack (More than 80 ct)</v>
      </c>
      <c r="G4848" t="str">
        <f>_xlfn.XLOOKUP($A4848,Load!$B:$B,Load!H:H,0,)</f>
        <v>Stand-Up Bag</v>
      </c>
      <c r="H4848" t="str">
        <f>_xlfn.XLOOKUP($A4848,Load!$B:$B,Load!I:I,0,)</f>
        <v>Everyday Candy Shapes (like Original, Gummy bear, Fruit, Jewels, etc.)</v>
      </c>
      <c r="I4848" t="str">
        <f>_xlfn.XLOOKUP($A4848,Load!$B:$B,Load!J:J,0,)</f>
        <v>Seasonal Graphics (Like Bat, Ghost, Pumpkin, Fall Leaves, Eyeballs, etc.)</v>
      </c>
      <c r="J4848" t="str">
        <f>_xlfn.XLOOKUP($A4848,Load!$B:$B,Load!K:K,0,)</f>
        <v>Fun Size / Treat Size</v>
      </c>
      <c r="K4848" t="str">
        <f>_xlfn.XLOOKUP($A4848,Load!$B:$B,Load!L:L,0,)</f>
        <v>Regular/Original Wrapping</v>
      </c>
      <c r="L4848" t="str">
        <f>_xlfn.XLOOKUP($A4848,Load!$B:$B,Load!M:M,0,)</f>
        <v>Multiple Brands / Variety Flavors or Form</v>
      </c>
    </row>
    <row r="4849" spans="1:12" x14ac:dyDescent="0.25">
      <c r="A4849" t="s">
        <v>139</v>
      </c>
      <c r="B4849" t="str">
        <f>_xlfn.XLOOKUP($A4849,Load!$B:$B,Load!C:C,0,)</f>
        <v>Hershey's Variety Pack + Haribo</v>
      </c>
      <c r="C4849" t="str">
        <f>_xlfn.XLOOKUP($A4849,Load!$B:$B,Load!D:D,0,)</f>
        <v>Mix of Chocolate and Non-Chocolate Candy</v>
      </c>
      <c r="D4849" t="str">
        <f>_xlfn.XLOOKUP($A4849,Load!$B:$B,Load!E:E,0,)</f>
        <v>Variety / Mixed Flavors (Fruity, Sour, Seasonal Flavors)</v>
      </c>
      <c r="E4849" t="str">
        <f>_xlfn.XLOOKUP($A4849,Load!$B:$B,Load!F:F,0,)</f>
        <v>Mixed / Combo Packs (Gummy, Chewy, Taffy, etc.)</v>
      </c>
      <c r="F4849" t="str">
        <f>_xlfn.XLOOKUP($A4849,Load!$B:$B,Load!G:G,0,)</f>
        <v>Large Multipack (More than 80 ct)</v>
      </c>
      <c r="G4849" t="str">
        <f>_xlfn.XLOOKUP($A4849,Load!$B:$B,Load!H:H,0,)</f>
        <v>Stand-Up Bag</v>
      </c>
      <c r="H4849" t="str">
        <f>_xlfn.XLOOKUP($A4849,Load!$B:$B,Load!I:I,0,)</f>
        <v>Everyday Candy Shapes (like Original, Gummy bear, Fruit, Jewels, etc.)</v>
      </c>
      <c r="I4849" t="str">
        <f>_xlfn.XLOOKUP($A4849,Load!$B:$B,Load!J:J,0,)</f>
        <v>Seasonal Graphics (Like Bat, Ghost, Pumpkin, Fall Leaves, Eyeballs, etc.)</v>
      </c>
      <c r="J4849" t="str">
        <f>_xlfn.XLOOKUP($A4849,Load!$B:$B,Load!K:K,0,)</f>
        <v>Fun Size / Treat Size</v>
      </c>
      <c r="K4849" t="str">
        <f>_xlfn.XLOOKUP($A4849,Load!$B:$B,Load!L:L,0,)</f>
        <v>Regular/Original Wrapping</v>
      </c>
      <c r="L4849" t="str">
        <f>_xlfn.XLOOKUP($A4849,Load!$B:$B,Load!M:M,0,)</f>
        <v>Multiple Brands / Variety Flavors or Form</v>
      </c>
    </row>
    <row r="4850" spans="1:12" x14ac:dyDescent="0.25">
      <c r="A4850" t="s">
        <v>169</v>
      </c>
      <c r="B4850" t="str">
        <f>_xlfn.XLOOKUP($A4850,Load!$B:$B,Load!C:C,0,)</f>
        <v>Laffy Taffy</v>
      </c>
      <c r="C4850" t="str">
        <f>_xlfn.XLOOKUP($A4850,Load!$B:$B,Load!D:D,0,)</f>
        <v>Non-Chocolate Candy Only</v>
      </c>
      <c r="D4850" t="str">
        <f>_xlfn.XLOOKUP($A4850,Load!$B:$B,Load!E:E,0,)</f>
        <v>Fruit Flavor (Cherry, Grape, Apple, Citrus, Tropical Fruit)</v>
      </c>
      <c r="E4850" t="str">
        <f>_xlfn.XLOOKUP($A4850,Load!$B:$B,Load!F:F,0,)</f>
        <v>Taffy</v>
      </c>
      <c r="F4850" t="str">
        <f>_xlfn.XLOOKUP($A4850,Load!$B:$B,Load!G:G,0,)</f>
        <v>Small Multipack (Less than 40 ct)</v>
      </c>
      <c r="G4850" t="str">
        <f>_xlfn.XLOOKUP($A4850,Load!$B:$B,Load!H:H,0,)</f>
        <v>Laydown Bag</v>
      </c>
      <c r="H4850" t="str">
        <f>_xlfn.XLOOKUP($A4850,Load!$B:$B,Load!I:I,0,)</f>
        <v>Everyday Candy Shapes (like Original, Gummy bear, Fruit, Jewels, etc.)</v>
      </c>
      <c r="I4850" t="str">
        <f>_xlfn.XLOOKUP($A4850,Load!$B:$B,Load!J:J,0,)</f>
        <v>Everyday Graphics</v>
      </c>
      <c r="J4850" t="str">
        <f>_xlfn.XLOOKUP($A4850,Load!$B:$B,Load!K:K,0,)</f>
        <v>Fun Size / Treat Size</v>
      </c>
      <c r="K4850" t="str">
        <f>_xlfn.XLOOKUP($A4850,Load!$B:$B,Load!L:L,0,)</f>
        <v>Regular/Original Wrapping</v>
      </c>
      <c r="L4850" t="str">
        <f>_xlfn.XLOOKUP($A4850,Load!$B:$B,Load!M:M,0,)</f>
        <v>Single Brand / Variety Flavors or Form</v>
      </c>
    </row>
    <row r="4851" spans="1:12" x14ac:dyDescent="0.25">
      <c r="A4851" t="s">
        <v>146</v>
      </c>
      <c r="B4851" t="str">
        <f>_xlfn.XLOOKUP($A4851,Load!$B:$B,Load!C:C,0,)</f>
        <v>Hi Chew</v>
      </c>
      <c r="C4851" t="str">
        <f>_xlfn.XLOOKUP($A4851,Load!$B:$B,Load!D:D,0,)</f>
        <v>Non-Chocolate Candy Only</v>
      </c>
      <c r="D4851" t="str">
        <f>_xlfn.XLOOKUP($A4851,Load!$B:$B,Load!E:E,0,)</f>
        <v>Fruit Flavor (Cherry, Grape, Apple, Citrus, Tropical Fruit)</v>
      </c>
      <c r="E4851" t="str">
        <f>_xlfn.XLOOKUP($A4851,Load!$B:$B,Load!F:F,0,)</f>
        <v>Gummy</v>
      </c>
      <c r="F4851" t="str">
        <f>_xlfn.XLOOKUP($A4851,Load!$B:$B,Load!G:G,0,)</f>
        <v>Medium Multipack (40–80 ct)</v>
      </c>
      <c r="G4851" t="str">
        <f>_xlfn.XLOOKUP($A4851,Load!$B:$B,Load!H:H,0,)</f>
        <v>Stand-Up Bag</v>
      </c>
      <c r="H4851" t="str">
        <f>_xlfn.XLOOKUP($A4851,Load!$B:$B,Load!I:I,0,)</f>
        <v>Everyday Candy Shapes (like Original, Gummy bear, Fruit, Jewels, etc.)</v>
      </c>
      <c r="I4851" t="str">
        <f>_xlfn.XLOOKUP($A4851,Load!$B:$B,Load!J:J,0,)</f>
        <v>Seasonal Graphics (Like Bat, Ghost, Pumpkin, Fall Leaves, Eyeballs, etc.)</v>
      </c>
      <c r="J4851" t="str">
        <f>_xlfn.XLOOKUP($A4851,Load!$B:$B,Load!K:K,0,)</f>
        <v>Fun Size / Treat Size</v>
      </c>
      <c r="K4851" t="str">
        <f>_xlfn.XLOOKUP($A4851,Load!$B:$B,Load!L:L,0,)</f>
        <v>Regular/Original Wrapping</v>
      </c>
      <c r="L4851" t="str">
        <f>_xlfn.XLOOKUP($A4851,Load!$B:$B,Load!M:M,0,)</f>
        <v>Multiple Brands / Variety Flavors or Form</v>
      </c>
    </row>
    <row r="4852" spans="1:12" x14ac:dyDescent="0.25">
      <c r="A4852" t="s">
        <v>89</v>
      </c>
      <c r="B4852" t="str">
        <f>_xlfn.XLOOKUP($A4852,Load!$B:$B,Load!C:C,0,)</f>
        <v>Ferrara Variety Pack</v>
      </c>
      <c r="C4852" t="str">
        <f>_xlfn.XLOOKUP($A4852,Load!$B:$B,Load!D:D,0,)</f>
        <v>Non-Chocolate Candy Only</v>
      </c>
      <c r="D4852" t="str">
        <f>_xlfn.XLOOKUP($A4852,Load!$B:$B,Load!E:E,0,)</f>
        <v>Variety / Mixed Flavors (Fruity, Sour, Seasonal Flavors)</v>
      </c>
      <c r="E4852" t="str">
        <f>_xlfn.XLOOKUP($A4852,Load!$B:$B,Load!F:F,0,)</f>
        <v>Mixed / Combo Packs (Gummy, Chewy, Taffy, etc.)</v>
      </c>
      <c r="F4852" t="str">
        <f>_xlfn.XLOOKUP($A4852,Load!$B:$B,Load!G:G,0,)</f>
        <v>Medium Multipack (40–80 ct)</v>
      </c>
      <c r="G4852" t="str">
        <f>_xlfn.XLOOKUP($A4852,Load!$B:$B,Load!H:H,0,)</f>
        <v>Stand-Up Bag</v>
      </c>
      <c r="H4852" t="str">
        <f>_xlfn.XLOOKUP($A4852,Load!$B:$B,Load!I:I,0,)</f>
        <v>Everyday Candy Shapes (like Original, Gummy bear, Fruit, Jewels, etc.)</v>
      </c>
      <c r="I4852" t="str">
        <f>_xlfn.XLOOKUP($A4852,Load!$B:$B,Load!J:J,0,)</f>
        <v>Seasonal Graphics (Like Bat, Ghost, Pumpkin, Fall Leaves, Eyeballs, etc.)</v>
      </c>
      <c r="J4852" t="str">
        <f>_xlfn.XLOOKUP($A4852,Load!$B:$B,Load!K:K,0,)</f>
        <v xml:space="preserve">Variety Candy Sizes </v>
      </c>
      <c r="K4852" t="str">
        <f>_xlfn.XLOOKUP($A4852,Load!$B:$B,Load!L:L,0,)</f>
        <v>Regular/Original Wrapping</v>
      </c>
      <c r="L4852" t="str">
        <f>_xlfn.XLOOKUP($A4852,Load!$B:$B,Load!M:M,0,)</f>
        <v>Multiple Brands / Variety Flavors or Form</v>
      </c>
    </row>
    <row r="4853" spans="1:12" x14ac:dyDescent="0.25">
      <c r="B4853">
        <f>_xlfn.XLOOKUP($A4853,Load!$B:$B,Load!C:C,0,)</f>
        <v>0</v>
      </c>
      <c r="C4853">
        <f>_xlfn.XLOOKUP($A4853,Load!$B:$B,Load!D:D,0,)</f>
        <v>0</v>
      </c>
      <c r="D4853">
        <f>_xlfn.XLOOKUP($A4853,Load!$B:$B,Load!E:E,0,)</f>
        <v>0</v>
      </c>
      <c r="E4853">
        <f>_xlfn.XLOOKUP($A4853,Load!$B:$B,Load!F:F,0,)</f>
        <v>0</v>
      </c>
      <c r="F4853">
        <f>_xlfn.XLOOKUP($A4853,Load!$B:$B,Load!G:G,0,)</f>
        <v>0</v>
      </c>
      <c r="G4853">
        <f>_xlfn.XLOOKUP($A4853,Load!$B:$B,Load!H:H,0,)</f>
        <v>0</v>
      </c>
      <c r="H4853">
        <f>_xlfn.XLOOKUP($A4853,Load!$B:$B,Load!I:I,0,)</f>
        <v>0</v>
      </c>
      <c r="I4853">
        <f>_xlfn.XLOOKUP($A4853,Load!$B:$B,Load!J:J,0,)</f>
        <v>0</v>
      </c>
      <c r="J4853">
        <f>_xlfn.XLOOKUP($A4853,Load!$B:$B,Load!K:K,0,)</f>
        <v>0</v>
      </c>
      <c r="K4853">
        <f>_xlfn.XLOOKUP($A4853,Load!$B:$B,Load!L:L,0,)</f>
        <v>0</v>
      </c>
      <c r="L4853">
        <f>_xlfn.XLOOKUP($A4853,Load!$B:$B,Load!M:M,0,)</f>
        <v>0</v>
      </c>
    </row>
    <row r="4854" spans="1:12" x14ac:dyDescent="0.25">
      <c r="A4854" t="s">
        <v>222</v>
      </c>
      <c r="B4854" t="str">
        <f>_xlfn.XLOOKUP($A4854,Load!$B:$B,Load!C:C,0,)</f>
        <v>Nerds</v>
      </c>
      <c r="C4854" t="str">
        <f>_xlfn.XLOOKUP($A4854,Load!$B:$B,Load!D:D,0,)</f>
        <v>Non-Chocolate Candy Only</v>
      </c>
      <c r="D4854" t="str">
        <f>_xlfn.XLOOKUP($A4854,Load!$B:$B,Load!E:E,0,)</f>
        <v>Sweet</v>
      </c>
      <c r="E4854" t="str">
        <f>_xlfn.XLOOKUP($A4854,Load!$B:$B,Load!F:F,0,)</f>
        <v>Gummy</v>
      </c>
      <c r="F4854" t="str">
        <f>_xlfn.XLOOKUP($A4854,Load!$B:$B,Load!G:G,0,)</f>
        <v>Small Multipack (Less than 40 ct)</v>
      </c>
      <c r="G4854" t="str">
        <f>_xlfn.XLOOKUP($A4854,Load!$B:$B,Load!H:H,0,)</f>
        <v>Stand-Up Bag</v>
      </c>
      <c r="H4854" t="str">
        <f>_xlfn.XLOOKUP($A4854,Load!$B:$B,Load!I:I,0,)</f>
        <v>Everyday Candy Shapes (like Original, Gummy bear, Fruit, Jewels, etc.)</v>
      </c>
      <c r="I4854" t="str">
        <f>_xlfn.XLOOKUP($A4854,Load!$B:$B,Load!J:J,0,)</f>
        <v>Seasonal Graphics (Like Bat, Ghost, Pumpkin, Fall Leaves, Eyeballs, etc.)</v>
      </c>
      <c r="J4854" t="str">
        <f>_xlfn.XLOOKUP($A4854,Load!$B:$B,Load!K:K,0,)</f>
        <v>Fun Size / Treat Size</v>
      </c>
      <c r="K4854" t="str">
        <f>_xlfn.XLOOKUP($A4854,Load!$B:$B,Load!L:L,0,)</f>
        <v>Regular/Original Wrapping</v>
      </c>
      <c r="L4854" t="str">
        <f>_xlfn.XLOOKUP($A4854,Load!$B:$B,Load!M:M,0,)</f>
        <v>Single Brand / Variety Flavors or Form</v>
      </c>
    </row>
    <row r="4855" spans="1:12" x14ac:dyDescent="0.25">
      <c r="A4855" t="s">
        <v>14</v>
      </c>
      <c r="B4855" t="str">
        <f>_xlfn.XLOOKUP($A4855,Load!$B:$B,Load!C:C,0,)</f>
        <v>Airheads</v>
      </c>
      <c r="C4855" t="str">
        <f>_xlfn.XLOOKUP($A4855,Load!$B:$B,Load!D:D,0,)</f>
        <v>Non-Chocolate Candy Only</v>
      </c>
      <c r="D4855" t="str">
        <f>_xlfn.XLOOKUP($A4855,Load!$B:$B,Load!E:E,0,)</f>
        <v>Variety / Mixed Flavors (Fruity, Sour, Seasonal Flavors)</v>
      </c>
      <c r="E4855" t="str">
        <f>_xlfn.XLOOKUP($A4855,Load!$B:$B,Load!F:F,0,)</f>
        <v>Chewy</v>
      </c>
      <c r="F4855" t="str">
        <f>_xlfn.XLOOKUP($A4855,Load!$B:$B,Load!G:G,0,)</f>
        <v>Small Multipack (Less than 40 ct)</v>
      </c>
      <c r="G4855" t="str">
        <f>_xlfn.XLOOKUP($A4855,Load!$B:$B,Load!H:H,0,)</f>
        <v>Stand-Up Bag</v>
      </c>
      <c r="H4855" t="str">
        <f>_xlfn.XLOOKUP($A4855,Load!$B:$B,Load!I:I,0,)</f>
        <v>Everyday Candy Shapes (like Original, Gummy bear, Fruit, Jewels, etc.)</v>
      </c>
      <c r="I4855" t="str">
        <f>_xlfn.XLOOKUP($A4855,Load!$B:$B,Load!J:J,0,)</f>
        <v>Everyday Graphics</v>
      </c>
      <c r="J4855" t="str">
        <f>_xlfn.XLOOKUP($A4855,Load!$B:$B,Load!K:K,0,)</f>
        <v>Fun Size / Treat Size</v>
      </c>
      <c r="K4855" t="str">
        <f>_xlfn.XLOOKUP($A4855,Load!$B:$B,Load!L:L,0,)</f>
        <v>Regular/Original Wrapping</v>
      </c>
      <c r="L4855" t="str">
        <f>_xlfn.XLOOKUP($A4855,Load!$B:$B,Load!M:M,0,)</f>
        <v>Single Brand / Variety Flavors or Form</v>
      </c>
    </row>
    <row r="4856" spans="1:12" x14ac:dyDescent="0.25">
      <c r="B4856">
        <f>_xlfn.XLOOKUP($A4856,Load!$B:$B,Load!C:C,0,)</f>
        <v>0</v>
      </c>
      <c r="C4856">
        <f>_xlfn.XLOOKUP($A4856,Load!$B:$B,Load!D:D,0,)</f>
        <v>0</v>
      </c>
      <c r="D4856">
        <f>_xlfn.XLOOKUP($A4856,Load!$B:$B,Load!E:E,0,)</f>
        <v>0</v>
      </c>
      <c r="E4856">
        <f>_xlfn.XLOOKUP($A4856,Load!$B:$B,Load!F:F,0,)</f>
        <v>0</v>
      </c>
      <c r="F4856">
        <f>_xlfn.XLOOKUP($A4856,Load!$B:$B,Load!G:G,0,)</f>
        <v>0</v>
      </c>
      <c r="G4856">
        <f>_xlfn.XLOOKUP($A4856,Load!$B:$B,Load!H:H,0,)</f>
        <v>0</v>
      </c>
      <c r="H4856">
        <f>_xlfn.XLOOKUP($A4856,Load!$B:$B,Load!I:I,0,)</f>
        <v>0</v>
      </c>
      <c r="I4856">
        <f>_xlfn.XLOOKUP($A4856,Load!$B:$B,Load!J:J,0,)</f>
        <v>0</v>
      </c>
      <c r="J4856">
        <f>_xlfn.XLOOKUP($A4856,Load!$B:$B,Load!K:K,0,)</f>
        <v>0</v>
      </c>
      <c r="K4856">
        <f>_xlfn.XLOOKUP($A4856,Load!$B:$B,Load!L:L,0,)</f>
        <v>0</v>
      </c>
      <c r="L4856">
        <f>_xlfn.XLOOKUP($A4856,Load!$B:$B,Load!M:M,0,)</f>
        <v>0</v>
      </c>
    </row>
    <row r="4857" spans="1:12" x14ac:dyDescent="0.25">
      <c r="B4857">
        <f>_xlfn.XLOOKUP($A4857,Load!$B:$B,Load!C:C,0,)</f>
        <v>0</v>
      </c>
      <c r="C4857">
        <f>_xlfn.XLOOKUP($A4857,Load!$B:$B,Load!D:D,0,)</f>
        <v>0</v>
      </c>
      <c r="D4857">
        <f>_xlfn.XLOOKUP($A4857,Load!$B:$B,Load!E:E,0,)</f>
        <v>0</v>
      </c>
      <c r="E4857">
        <f>_xlfn.XLOOKUP($A4857,Load!$B:$B,Load!F:F,0,)</f>
        <v>0</v>
      </c>
      <c r="F4857">
        <f>_xlfn.XLOOKUP($A4857,Load!$B:$B,Load!G:G,0,)</f>
        <v>0</v>
      </c>
      <c r="G4857">
        <f>_xlfn.XLOOKUP($A4857,Load!$B:$B,Load!H:H,0,)</f>
        <v>0</v>
      </c>
      <c r="H4857">
        <f>_xlfn.XLOOKUP($A4857,Load!$B:$B,Load!I:I,0,)</f>
        <v>0</v>
      </c>
      <c r="I4857">
        <f>_xlfn.XLOOKUP($A4857,Load!$B:$B,Load!J:J,0,)</f>
        <v>0</v>
      </c>
      <c r="J4857">
        <f>_xlfn.XLOOKUP($A4857,Load!$B:$B,Load!K:K,0,)</f>
        <v>0</v>
      </c>
      <c r="K4857">
        <f>_xlfn.XLOOKUP($A4857,Load!$B:$B,Load!L:L,0,)</f>
        <v>0</v>
      </c>
      <c r="L4857">
        <f>_xlfn.XLOOKUP($A4857,Load!$B:$B,Load!M:M,0,)</f>
        <v>0</v>
      </c>
    </row>
    <row r="4858" spans="1:12" x14ac:dyDescent="0.25">
      <c r="A4858" t="s">
        <v>275</v>
      </c>
      <c r="B4858" t="str">
        <f>_xlfn.XLOOKUP($A4858,Load!$B:$B,Load!C:C,0,)</f>
        <v>Mondelez Variety Pack</v>
      </c>
      <c r="C4858" t="str">
        <f>_xlfn.XLOOKUP($A4858,Load!$B:$B,Load!D:D,0,)</f>
        <v>Non-Chocolate Candy Only</v>
      </c>
      <c r="D4858" t="str">
        <f>_xlfn.XLOOKUP($A4858,Load!$B:$B,Load!E:E,0,)</f>
        <v>Variety / Mixed Flavors (Fruity, Sour, Seasonal Flavors)</v>
      </c>
      <c r="E4858" t="str">
        <f>_xlfn.XLOOKUP($A4858,Load!$B:$B,Load!F:F,0,)</f>
        <v>Mixed / Combo Packs (Gummy, Chewy, Taffy, etc.)</v>
      </c>
      <c r="F4858" t="str">
        <f>_xlfn.XLOOKUP($A4858,Load!$B:$B,Load!G:G,0,)</f>
        <v>Small Multipack (Less than 40 ct)</v>
      </c>
      <c r="G4858" t="str">
        <f>_xlfn.XLOOKUP($A4858,Load!$B:$B,Load!H:H,0,)</f>
        <v>Box (theatre box, gift box, carton)</v>
      </c>
      <c r="H4858" t="str">
        <f>_xlfn.XLOOKUP($A4858,Load!$B:$B,Load!I:I,0,)</f>
        <v>Everyday Candy Shapes (like Original, Gummy bear, Fruit, Jewels, etc.)</v>
      </c>
      <c r="I4858" t="str">
        <f>_xlfn.XLOOKUP($A4858,Load!$B:$B,Load!J:J,0,)</f>
        <v>Seasonal Graphics (Like Bat, Ghost, Pumpkin, Fall Leaves, Eyeballs, etc.)</v>
      </c>
      <c r="J4858" t="str">
        <f>_xlfn.XLOOKUP($A4858,Load!$B:$B,Load!K:K,0,)</f>
        <v>Small Pieces (Tiny bite size candies)</v>
      </c>
      <c r="K4858" t="str">
        <f>_xlfn.XLOOKUP($A4858,Load!$B:$B,Load!L:L,0,)</f>
        <v>Regular/Original Wrapping</v>
      </c>
      <c r="L4858" t="str">
        <f>_xlfn.XLOOKUP($A4858,Load!$B:$B,Load!M:M,0,)</f>
        <v>Multiple Brands / Variety Flavors or Form</v>
      </c>
    </row>
    <row r="4859" spans="1:12" x14ac:dyDescent="0.25">
      <c r="B4859">
        <f>_xlfn.XLOOKUP($A4859,Load!$B:$B,Load!C:C,0,)</f>
        <v>0</v>
      </c>
      <c r="C4859">
        <f>_xlfn.XLOOKUP($A4859,Load!$B:$B,Load!D:D,0,)</f>
        <v>0</v>
      </c>
      <c r="D4859">
        <f>_xlfn.XLOOKUP($A4859,Load!$B:$B,Load!E:E,0,)</f>
        <v>0</v>
      </c>
      <c r="E4859">
        <f>_xlfn.XLOOKUP($A4859,Load!$B:$B,Load!F:F,0,)</f>
        <v>0</v>
      </c>
      <c r="F4859">
        <f>_xlfn.XLOOKUP($A4859,Load!$B:$B,Load!G:G,0,)</f>
        <v>0</v>
      </c>
      <c r="G4859">
        <f>_xlfn.XLOOKUP($A4859,Load!$B:$B,Load!H:H,0,)</f>
        <v>0</v>
      </c>
      <c r="H4859">
        <f>_xlfn.XLOOKUP($A4859,Load!$B:$B,Load!I:I,0,)</f>
        <v>0</v>
      </c>
      <c r="I4859">
        <f>_xlfn.XLOOKUP($A4859,Load!$B:$B,Load!J:J,0,)</f>
        <v>0</v>
      </c>
      <c r="J4859">
        <f>_xlfn.XLOOKUP($A4859,Load!$B:$B,Load!K:K,0,)</f>
        <v>0</v>
      </c>
      <c r="K4859">
        <f>_xlfn.XLOOKUP($A4859,Load!$B:$B,Load!L:L,0,)</f>
        <v>0</v>
      </c>
      <c r="L4859">
        <f>_xlfn.XLOOKUP($A4859,Load!$B:$B,Load!M:M,0,)</f>
        <v>0</v>
      </c>
    </row>
    <row r="4860" spans="1:12" x14ac:dyDescent="0.25">
      <c r="A4860" t="s">
        <v>228</v>
      </c>
      <c r="B4860" t="str">
        <f>_xlfn.XLOOKUP($A4860,Load!$B:$B,Load!C:C,0,)</f>
        <v>Nerds</v>
      </c>
      <c r="C4860" t="str">
        <f>_xlfn.XLOOKUP($A4860,Load!$B:$B,Load!D:D,0,)</f>
        <v>Non-Chocolate Candy Only</v>
      </c>
      <c r="D4860" t="str">
        <f>_xlfn.XLOOKUP($A4860,Load!$B:$B,Load!E:E,0,)</f>
        <v>Berry Based (Raspberry, Strawberry, Medley, etc.)</v>
      </c>
      <c r="E4860" t="str">
        <f>_xlfn.XLOOKUP($A4860,Load!$B:$B,Load!F:F,0,)</f>
        <v>Hard Candy</v>
      </c>
      <c r="F4860" t="str">
        <f>_xlfn.XLOOKUP($A4860,Load!$B:$B,Load!G:G,0,)</f>
        <v>Single Pack</v>
      </c>
      <c r="G4860" t="str">
        <f>_xlfn.XLOOKUP($A4860,Load!$B:$B,Load!H:H,0,)</f>
        <v>Laydown Bag</v>
      </c>
      <c r="H4860" t="str">
        <f>_xlfn.XLOOKUP($A4860,Load!$B:$B,Load!I:I,0,)</f>
        <v>Everyday Candy Shapes (like Original, Gummy bear, Fruit, Jewels, etc.)</v>
      </c>
      <c r="I4860" t="str">
        <f>_xlfn.XLOOKUP($A4860,Load!$B:$B,Load!J:J,0,)</f>
        <v>Seasonal Graphics (Like Bat, Ghost, Pumpkin, Fall Leaves, Eyeballs, etc.)</v>
      </c>
      <c r="J4860" t="str">
        <f>_xlfn.XLOOKUP($A4860,Load!$B:$B,Load!K:K,0,)</f>
        <v>Small Pieces (Tiny bite size candies)</v>
      </c>
      <c r="K4860" t="str">
        <f>_xlfn.XLOOKUP($A4860,Load!$B:$B,Load!L:L,0,)</f>
        <v>Unwrapped</v>
      </c>
      <c r="L4860" t="str">
        <f>_xlfn.XLOOKUP($A4860,Load!$B:$B,Load!M:M,0,)</f>
        <v>Single Brand / Variety Flavors or Form</v>
      </c>
    </row>
    <row r="4861" spans="1:12" x14ac:dyDescent="0.25">
      <c r="B4861">
        <f>_xlfn.XLOOKUP($A4861,Load!$B:$B,Load!C:C,0,)</f>
        <v>0</v>
      </c>
      <c r="C4861">
        <f>_xlfn.XLOOKUP($A4861,Load!$B:$B,Load!D:D,0,)</f>
        <v>0</v>
      </c>
      <c r="D4861">
        <f>_xlfn.XLOOKUP($A4861,Load!$B:$B,Load!E:E,0,)</f>
        <v>0</v>
      </c>
      <c r="E4861">
        <f>_xlfn.XLOOKUP($A4861,Load!$B:$B,Load!F:F,0,)</f>
        <v>0</v>
      </c>
      <c r="F4861">
        <f>_xlfn.XLOOKUP($A4861,Load!$B:$B,Load!G:G,0,)</f>
        <v>0</v>
      </c>
      <c r="G4861">
        <f>_xlfn.XLOOKUP($A4861,Load!$B:$B,Load!H:H,0,)</f>
        <v>0</v>
      </c>
      <c r="H4861">
        <f>_xlfn.XLOOKUP($A4861,Load!$B:$B,Load!I:I,0,)</f>
        <v>0</v>
      </c>
      <c r="I4861">
        <f>_xlfn.XLOOKUP($A4861,Load!$B:$B,Load!J:J,0,)</f>
        <v>0</v>
      </c>
      <c r="J4861">
        <f>_xlfn.XLOOKUP($A4861,Load!$B:$B,Load!K:K,0,)</f>
        <v>0</v>
      </c>
      <c r="K4861">
        <f>_xlfn.XLOOKUP($A4861,Load!$B:$B,Load!L:L,0,)</f>
        <v>0</v>
      </c>
      <c r="L4861">
        <f>_xlfn.XLOOKUP($A4861,Load!$B:$B,Load!M:M,0,)</f>
        <v>0</v>
      </c>
    </row>
    <row r="4862" spans="1:12" x14ac:dyDescent="0.25">
      <c r="A4862" t="s">
        <v>175</v>
      </c>
      <c r="B4862" t="str">
        <f>_xlfn.XLOOKUP($A4862,Load!$B:$B,Load!C:C,0,)</f>
        <v>Mars Variety Pack</v>
      </c>
      <c r="C4862" t="str">
        <f>_xlfn.XLOOKUP($A4862,Load!$B:$B,Load!D:D,0,)</f>
        <v>Mix of Chocolate and Non-Chocolate Candy</v>
      </c>
      <c r="D4862" t="str">
        <f>_xlfn.XLOOKUP($A4862,Load!$B:$B,Load!E:E,0,)</f>
        <v>Variety / Mixed Flavors (Fruity, Sour, Seasonal Flavors)</v>
      </c>
      <c r="E4862" t="str">
        <f>_xlfn.XLOOKUP($A4862,Load!$B:$B,Load!F:F,0,)</f>
        <v>Mixed / Combo Packs (Gummy, Chewy, Taffy, etc.)</v>
      </c>
      <c r="F4862" t="str">
        <f>_xlfn.XLOOKUP($A4862,Load!$B:$B,Load!G:G,0,)</f>
        <v>Large Multipack (More than 80 ct)</v>
      </c>
      <c r="G4862" t="str">
        <f>_xlfn.XLOOKUP($A4862,Load!$B:$B,Load!H:H,0,)</f>
        <v>Stand-Up Bag</v>
      </c>
      <c r="H4862" t="str">
        <f>_xlfn.XLOOKUP($A4862,Load!$B:$B,Load!I:I,0,)</f>
        <v>Everyday Candy Shapes (like Original, Gummy bear, Fruit, Jewels, etc.)</v>
      </c>
      <c r="I4862" t="str">
        <f>_xlfn.XLOOKUP($A4862,Load!$B:$B,Load!J:J,0,)</f>
        <v>Seasonal Graphics (Like Bat, Ghost, Pumpkin, Fall Leaves, Eyeballs, etc.)</v>
      </c>
      <c r="J4862" t="str">
        <f>_xlfn.XLOOKUP($A4862,Load!$B:$B,Load!K:K,0,)</f>
        <v xml:space="preserve">Variety Candy Sizes </v>
      </c>
      <c r="K4862" t="str">
        <f>_xlfn.XLOOKUP($A4862,Load!$B:$B,Load!L:L,0,)</f>
        <v>Regular/Original Wrapping</v>
      </c>
      <c r="L4862" t="str">
        <f>_xlfn.XLOOKUP($A4862,Load!$B:$B,Load!M:M,0,)</f>
        <v>Multiple Brands / Variety Flavors or Form</v>
      </c>
    </row>
    <row r="4863" spans="1:12" x14ac:dyDescent="0.25">
      <c r="A4863" t="s">
        <v>183</v>
      </c>
      <c r="B4863" t="str">
        <f>_xlfn.XLOOKUP($A4863,Load!$B:$B,Load!C:C,0,)</f>
        <v>Mars Variety Pack</v>
      </c>
      <c r="C4863" t="str">
        <f>_xlfn.XLOOKUP($A4863,Load!$B:$B,Load!D:D,0,)</f>
        <v>Non-Chocolate Candy Only</v>
      </c>
      <c r="D4863" t="str">
        <f>_xlfn.XLOOKUP($A4863,Load!$B:$B,Load!E:E,0,)</f>
        <v>Variety / Mixed Flavors (Fruity, Sour, Seasonal Flavors)</v>
      </c>
      <c r="E4863" t="str">
        <f>_xlfn.XLOOKUP($A4863,Load!$B:$B,Load!F:F,0,)</f>
        <v>Mixed / Combo Packs (Gummy, Chewy, Taffy, etc.)</v>
      </c>
      <c r="F4863" t="str">
        <f>_xlfn.XLOOKUP($A4863,Load!$B:$B,Load!G:G,0,)</f>
        <v>Large Multipack (More than 80 ct)</v>
      </c>
      <c r="G4863" t="str">
        <f>_xlfn.XLOOKUP($A4863,Load!$B:$B,Load!H:H,0,)</f>
        <v>Stand-Up Bag</v>
      </c>
      <c r="H4863" t="str">
        <f>_xlfn.XLOOKUP($A4863,Load!$B:$B,Load!I:I,0,)</f>
        <v>Seasonal Shapes (like pumpkins, candy corn, ghost, bats, etc.)</v>
      </c>
      <c r="I4863" t="str">
        <f>_xlfn.XLOOKUP($A4863,Load!$B:$B,Load!J:J,0,)</f>
        <v>Seasonal Graphics (Like Bat, Ghost, Pumpkin, Fall Leaves, Eyeballs, etc.)</v>
      </c>
      <c r="J4863" t="str">
        <f>_xlfn.XLOOKUP($A4863,Load!$B:$B,Load!K:K,0,)</f>
        <v xml:space="preserve">Variety Candy Sizes </v>
      </c>
      <c r="K4863" t="str">
        <f>_xlfn.XLOOKUP($A4863,Load!$B:$B,Load!L:L,0,)</f>
        <v>Regular/Original Wrapping</v>
      </c>
      <c r="L4863" t="str">
        <f>_xlfn.XLOOKUP($A4863,Load!$B:$B,Load!M:M,0,)</f>
        <v>Multiple Brands / Variety Flavors or Form</v>
      </c>
    </row>
    <row r="4864" spans="1:12" x14ac:dyDescent="0.25">
      <c r="A4864" t="s">
        <v>232</v>
      </c>
      <c r="B4864" t="str">
        <f>_xlfn.XLOOKUP($A4864,Load!$B:$B,Load!C:C,0,)</f>
        <v>Nerds</v>
      </c>
      <c r="C4864" t="str">
        <f>_xlfn.XLOOKUP($A4864,Load!$B:$B,Load!D:D,0,)</f>
        <v>Non-Chocolate Candy Only</v>
      </c>
      <c r="D4864" t="str">
        <f>_xlfn.XLOOKUP($A4864,Load!$B:$B,Load!E:E,0,)</f>
        <v>Berry Based (Raspberry, Strawberry, Medley, etc.)</v>
      </c>
      <c r="E4864" t="str">
        <f>_xlfn.XLOOKUP($A4864,Load!$B:$B,Load!F:F,0,)</f>
        <v>Candy Pieces / Bites</v>
      </c>
      <c r="F4864" t="str">
        <f>_xlfn.XLOOKUP($A4864,Load!$B:$B,Load!G:G,0,)</f>
        <v>Single Pack</v>
      </c>
      <c r="G4864" t="str">
        <f>_xlfn.XLOOKUP($A4864,Load!$B:$B,Load!H:H,0,)</f>
        <v>Laydown Bag</v>
      </c>
      <c r="H4864" t="str">
        <f>_xlfn.XLOOKUP($A4864,Load!$B:$B,Load!I:I,0,)</f>
        <v>Everyday Candy Shapes (like Original, Gummy bear, Fruit, Jewels, etc.)</v>
      </c>
      <c r="I4864" t="str">
        <f>_xlfn.XLOOKUP($A4864,Load!$B:$B,Load!J:J,0,)</f>
        <v>Seasonal Graphics (Like Bat, Ghost, Pumpkin, Fall Leaves, Eyeballs, etc.)</v>
      </c>
      <c r="J4864" t="str">
        <f>_xlfn.XLOOKUP($A4864,Load!$B:$B,Load!K:K,0,)</f>
        <v>Small Pieces (Tiny bite size candies)</v>
      </c>
      <c r="K4864" t="str">
        <f>_xlfn.XLOOKUP($A4864,Load!$B:$B,Load!L:L,0,)</f>
        <v>Unwrapped</v>
      </c>
      <c r="L4864" t="str">
        <f>_xlfn.XLOOKUP($A4864,Load!$B:$B,Load!M:M,0,)</f>
        <v>Single Brand / Variety Flavors or Form</v>
      </c>
    </row>
    <row r="4865" spans="1:12" x14ac:dyDescent="0.25">
      <c r="A4865" t="s">
        <v>252</v>
      </c>
      <c r="B4865" t="str">
        <f>_xlfn.XLOOKUP($A4865,Load!$B:$B,Load!C:C,0,)</f>
        <v>Skittles</v>
      </c>
      <c r="C4865" t="str">
        <f>_xlfn.XLOOKUP($A4865,Load!$B:$B,Load!D:D,0,)</f>
        <v>Non-Chocolate Candy Only</v>
      </c>
      <c r="D4865" t="str">
        <f>_xlfn.XLOOKUP($A4865,Load!$B:$B,Load!E:E,0,)</f>
        <v>Sour</v>
      </c>
      <c r="E4865" t="str">
        <f>_xlfn.XLOOKUP($A4865,Load!$B:$B,Load!F:F,0,)</f>
        <v>Candy Pieces / Bites</v>
      </c>
      <c r="F4865" t="str">
        <f>_xlfn.XLOOKUP($A4865,Load!$B:$B,Load!G:G,0,)</f>
        <v>Single Pack</v>
      </c>
      <c r="G4865" t="str">
        <f>_xlfn.XLOOKUP($A4865,Load!$B:$B,Load!H:H,0,)</f>
        <v>Laydown Bag</v>
      </c>
      <c r="H4865" t="str">
        <f>_xlfn.XLOOKUP($A4865,Load!$B:$B,Load!I:I,0,)</f>
        <v>Everyday Candy Shapes (like Original, Gummy bear, Fruit, Jewels, etc.)</v>
      </c>
      <c r="I4865" t="str">
        <f>_xlfn.XLOOKUP($A4865,Load!$B:$B,Load!J:J,0,)</f>
        <v>Seasonal Graphics (Like Bat, Ghost, Pumpkin, Fall Leaves, Eyeballs, etc.)</v>
      </c>
      <c r="J4865" t="str">
        <f>_xlfn.XLOOKUP($A4865,Load!$B:$B,Load!K:K,0,)</f>
        <v>Small Pieces (Tiny bite size candies)</v>
      </c>
      <c r="K4865" t="str">
        <f>_xlfn.XLOOKUP($A4865,Load!$B:$B,Load!L:L,0,)</f>
        <v>Unwrapped</v>
      </c>
      <c r="L4865" t="str">
        <f>_xlfn.XLOOKUP($A4865,Load!$B:$B,Load!M:M,0,)</f>
        <v>Single Brand / Variety Flavors or Form</v>
      </c>
    </row>
    <row r="4866" spans="1:12" x14ac:dyDescent="0.25">
      <c r="A4866" t="s">
        <v>266</v>
      </c>
      <c r="B4866" t="str">
        <f>_xlfn.XLOOKUP($A4866,Load!$B:$B,Load!C:C,0,)</f>
        <v>Smarties</v>
      </c>
      <c r="C4866" t="str">
        <f>_xlfn.XLOOKUP($A4866,Load!$B:$B,Load!D:D,0,)</f>
        <v>Non-Chocolate Candy Only</v>
      </c>
      <c r="D4866" t="str">
        <f>_xlfn.XLOOKUP($A4866,Load!$B:$B,Load!E:E,0,)</f>
        <v>Fruit Flavor (Cherry, Grape, Apple, Citrus, Tropical Fruit)</v>
      </c>
      <c r="E4866" t="str">
        <f>_xlfn.XLOOKUP($A4866,Load!$B:$B,Load!F:F,0,)</f>
        <v>Powder / Chalky</v>
      </c>
      <c r="F4866" t="str">
        <f>_xlfn.XLOOKUP($A4866,Load!$B:$B,Load!G:G,0,)</f>
        <v>Small Multipack (Less than 40 ct)</v>
      </c>
      <c r="G4866" t="str">
        <f>_xlfn.XLOOKUP($A4866,Load!$B:$B,Load!H:H,0,)</f>
        <v>Laydown Bag</v>
      </c>
      <c r="H4866" t="str">
        <f>_xlfn.XLOOKUP($A4866,Load!$B:$B,Load!I:I,0,)</f>
        <v>Everyday Candy Shapes (like Original, Gummy bear, Fruit, Jewels, etc.)</v>
      </c>
      <c r="I4866" t="str">
        <f>_xlfn.XLOOKUP($A4866,Load!$B:$B,Load!J:J,0,)</f>
        <v>Seasonal Graphics (Like Bat, Ghost, Pumpkin, Fall Leaves, Eyeballs, etc.)</v>
      </c>
      <c r="J4866" t="str">
        <f>_xlfn.XLOOKUP($A4866,Load!$B:$B,Load!K:K,0,)</f>
        <v>Small Pieces (Tiny bite size candies)</v>
      </c>
      <c r="K4866" t="str">
        <f>_xlfn.XLOOKUP($A4866,Load!$B:$B,Load!L:L,0,)</f>
        <v>Regular/Original Wrapping</v>
      </c>
      <c r="L4866" t="str">
        <f>_xlfn.XLOOKUP($A4866,Load!$B:$B,Load!M:M,0,)</f>
        <v>Single Brand / Single Flavor or Form</v>
      </c>
    </row>
    <row r="4867" spans="1:12" x14ac:dyDescent="0.25">
      <c r="B4867">
        <f>_xlfn.XLOOKUP($A4867,Load!$B:$B,Load!C:C,0,)</f>
        <v>0</v>
      </c>
      <c r="C4867">
        <f>_xlfn.XLOOKUP($A4867,Load!$B:$B,Load!D:D,0,)</f>
        <v>0</v>
      </c>
      <c r="D4867">
        <f>_xlfn.XLOOKUP($A4867,Load!$B:$B,Load!E:E,0,)</f>
        <v>0</v>
      </c>
      <c r="E4867">
        <f>_xlfn.XLOOKUP($A4867,Load!$B:$B,Load!F:F,0,)</f>
        <v>0</v>
      </c>
      <c r="F4867">
        <f>_xlfn.XLOOKUP($A4867,Load!$B:$B,Load!G:G,0,)</f>
        <v>0</v>
      </c>
      <c r="G4867">
        <f>_xlfn.XLOOKUP($A4867,Load!$B:$B,Load!H:H,0,)</f>
        <v>0</v>
      </c>
      <c r="H4867">
        <f>_xlfn.XLOOKUP($A4867,Load!$B:$B,Load!I:I,0,)</f>
        <v>0</v>
      </c>
      <c r="I4867">
        <f>_xlfn.XLOOKUP($A4867,Load!$B:$B,Load!J:J,0,)</f>
        <v>0</v>
      </c>
      <c r="J4867">
        <f>_xlfn.XLOOKUP($A4867,Load!$B:$B,Load!K:K,0,)</f>
        <v>0</v>
      </c>
      <c r="K4867">
        <f>_xlfn.XLOOKUP($A4867,Load!$B:$B,Load!L:L,0,)</f>
        <v>0</v>
      </c>
      <c r="L4867">
        <f>_xlfn.XLOOKUP($A4867,Load!$B:$B,Load!M:M,0,)</f>
        <v>0</v>
      </c>
    </row>
    <row r="4868" spans="1:12" x14ac:dyDescent="0.25">
      <c r="A4868" t="s">
        <v>80</v>
      </c>
      <c r="B4868" t="str">
        <f>_xlfn.XLOOKUP($A4868,Load!$B:$B,Load!C:C,0,)</f>
        <v>Ferrara Variety Pack</v>
      </c>
      <c r="C4868" t="str">
        <f>_xlfn.XLOOKUP($A4868,Load!$B:$B,Load!D:D,0,)</f>
        <v>Non-Chocolate Candy Only</v>
      </c>
      <c r="D4868" t="str">
        <f>_xlfn.XLOOKUP($A4868,Load!$B:$B,Load!E:E,0,)</f>
        <v>Variety / Mixed Flavors (Fruity, Sour, Seasonal Flavors)</v>
      </c>
      <c r="E4868" t="str">
        <f>_xlfn.XLOOKUP($A4868,Load!$B:$B,Load!F:F,0,)</f>
        <v>Mixed / Combo Packs (Gummy, Chewy, Taffy, etc.)</v>
      </c>
      <c r="F4868" t="str">
        <f>_xlfn.XLOOKUP($A4868,Load!$B:$B,Load!G:G,0,)</f>
        <v>Large Multipack (More than 80 ct)</v>
      </c>
      <c r="G4868" t="str">
        <f>_xlfn.XLOOKUP($A4868,Load!$B:$B,Load!H:H,0,)</f>
        <v>Stand-Up Bag</v>
      </c>
      <c r="H4868" t="str">
        <f>_xlfn.XLOOKUP($A4868,Load!$B:$B,Load!I:I,0,)</f>
        <v>Everyday Candy Shapes (like Original, Gummy bear, Fruit, Jewels, etc.)</v>
      </c>
      <c r="I4868" t="str">
        <f>_xlfn.XLOOKUP($A4868,Load!$B:$B,Load!J:J,0,)</f>
        <v>Seasonal Graphics (Like Bat, Ghost, Pumpkin, Fall Leaves, Eyeballs, etc.)</v>
      </c>
      <c r="J4868" t="str">
        <f>_xlfn.XLOOKUP($A4868,Load!$B:$B,Load!K:K,0,)</f>
        <v xml:space="preserve">Variety Candy Sizes </v>
      </c>
      <c r="K4868" t="str">
        <f>_xlfn.XLOOKUP($A4868,Load!$B:$B,Load!L:L,0,)</f>
        <v>Regular/Original Wrapping</v>
      </c>
      <c r="L4868" t="str">
        <f>_xlfn.XLOOKUP($A4868,Load!$B:$B,Load!M:M,0,)</f>
        <v>Multiple Brands / Variety Flavors or Form</v>
      </c>
    </row>
    <row r="4869" spans="1:12" x14ac:dyDescent="0.25">
      <c r="A4869" t="s">
        <v>133</v>
      </c>
      <c r="B4869" t="str">
        <f>_xlfn.XLOOKUP($A4869,Load!$B:$B,Load!C:C,0,)</f>
        <v>Hershey's</v>
      </c>
      <c r="C4869" t="str">
        <f>_xlfn.XLOOKUP($A4869,Load!$B:$B,Load!D:D,0,)</f>
        <v>Non-Chocolate Candy Only</v>
      </c>
      <c r="D4869" t="str">
        <f>_xlfn.XLOOKUP($A4869,Load!$B:$B,Load!E:E,0,)</f>
        <v>Variety / Mixed Flavors (Fruity, Sour, Seasonal Flavors)</v>
      </c>
      <c r="E4869" t="str">
        <f>_xlfn.XLOOKUP($A4869,Load!$B:$B,Load!F:F,0,)</f>
        <v>Mixed / Combo Packs (Gummy, Chewy, Taffy, etc.)</v>
      </c>
      <c r="F4869" t="str">
        <f>_xlfn.XLOOKUP($A4869,Load!$B:$B,Load!G:G,0,)</f>
        <v>Large Multipack (More than 80 ct)</v>
      </c>
      <c r="G4869" t="str">
        <f>_xlfn.XLOOKUP($A4869,Load!$B:$B,Load!H:H,0,)</f>
        <v>Stand-Up Bag</v>
      </c>
      <c r="H4869" t="str">
        <f>_xlfn.XLOOKUP($A4869,Load!$B:$B,Load!I:I,0,)</f>
        <v>Everyday Candy Shapes (like Original, Gummy bear, Fruit, Jewels, etc.)</v>
      </c>
      <c r="I4869" t="str">
        <f>_xlfn.XLOOKUP($A4869,Load!$B:$B,Load!J:J,0,)</f>
        <v>Seasonal Graphics (Like Bat, Ghost, Pumpkin, Fall Leaves, Eyeballs, etc.)</v>
      </c>
      <c r="J4869" t="str">
        <f>_xlfn.XLOOKUP($A4869,Load!$B:$B,Load!K:K,0,)</f>
        <v>Fun Size / Treat Size</v>
      </c>
      <c r="K4869" t="str">
        <f>_xlfn.XLOOKUP($A4869,Load!$B:$B,Load!L:L,0,)</f>
        <v>Regular/Original Wrapping</v>
      </c>
      <c r="L4869" t="str">
        <f>_xlfn.XLOOKUP($A4869,Load!$B:$B,Load!M:M,0,)</f>
        <v>Multiple Brands / Variety Flavors or Form</v>
      </c>
    </row>
    <row r="4870" spans="1:12" x14ac:dyDescent="0.25">
      <c r="A4870" t="s">
        <v>229</v>
      </c>
      <c r="B4870" t="str">
        <f>_xlfn.XLOOKUP($A4870,Load!$B:$B,Load!C:C,0,)</f>
        <v>Nerds</v>
      </c>
      <c r="C4870" t="str">
        <f>_xlfn.XLOOKUP($A4870,Load!$B:$B,Load!D:D,0,)</f>
        <v>Non-Chocolate Candy Only</v>
      </c>
      <c r="D4870" t="str">
        <f>_xlfn.XLOOKUP($A4870,Load!$B:$B,Load!E:E,0,)</f>
        <v>Variety / Mixed Flavors (Fruity, Sour, Seasonal Flavors)</v>
      </c>
      <c r="E4870" t="str">
        <f>_xlfn.XLOOKUP($A4870,Load!$B:$B,Load!F:F,0,)</f>
        <v>Gummy</v>
      </c>
      <c r="F4870" t="str">
        <f>_xlfn.XLOOKUP($A4870,Load!$B:$B,Load!G:G,0,)</f>
        <v>Medium Multipack (40–80 ct)</v>
      </c>
      <c r="G4870" t="str">
        <f>_xlfn.XLOOKUP($A4870,Load!$B:$B,Load!H:H,0,)</f>
        <v>Stand-Up Bag</v>
      </c>
      <c r="H4870" t="str">
        <f>_xlfn.XLOOKUP($A4870,Load!$B:$B,Load!I:I,0,)</f>
        <v>Seasonal Shapes (like pumpkins, candy corn, ghost, bats, etc.)</v>
      </c>
      <c r="I4870" t="str">
        <f>_xlfn.XLOOKUP($A4870,Load!$B:$B,Load!J:J,0,)</f>
        <v>Seasonal Graphics (Like Bat, Ghost, Pumpkin, Fall Leaves, Eyeballs, etc.)</v>
      </c>
      <c r="J4870" t="str">
        <f>_xlfn.XLOOKUP($A4870,Load!$B:$B,Load!K:K,0,)</f>
        <v>Fun Size / Treat Size</v>
      </c>
      <c r="K4870" t="str">
        <f>_xlfn.XLOOKUP($A4870,Load!$B:$B,Load!L:L,0,)</f>
        <v>Regular/Original Wrapping</v>
      </c>
      <c r="L4870" t="str">
        <f>_xlfn.XLOOKUP($A4870,Load!$B:$B,Load!M:M,0,)</f>
        <v>Single Brand / Variety Flavors or Form</v>
      </c>
    </row>
    <row r="4871" spans="1:12" x14ac:dyDescent="0.25">
      <c r="A4871" t="s">
        <v>184</v>
      </c>
      <c r="B4871" t="str">
        <f>_xlfn.XLOOKUP($A4871,Load!$B:$B,Load!C:C,0,)</f>
        <v>Mars Variety Pack</v>
      </c>
      <c r="C4871" t="str">
        <f>_xlfn.XLOOKUP($A4871,Load!$B:$B,Load!D:D,0,)</f>
        <v>Mix of Chocolate and Non-Chocolate Candy</v>
      </c>
      <c r="D4871" t="str">
        <f>_xlfn.XLOOKUP($A4871,Load!$B:$B,Load!E:E,0,)</f>
        <v>Variety / Mixed Flavors (Fruity, Sour, Seasonal Flavors)</v>
      </c>
      <c r="E4871" t="str">
        <f>_xlfn.XLOOKUP($A4871,Load!$B:$B,Load!F:F,0,)</f>
        <v>Mixed / Combo Packs (Gummy, Chewy, Taffy, etc.)</v>
      </c>
      <c r="F4871" t="str">
        <f>_xlfn.XLOOKUP($A4871,Load!$B:$B,Load!G:G,0,)</f>
        <v>Large Multipack (More than 80 ct)</v>
      </c>
      <c r="G4871" t="str">
        <f>_xlfn.XLOOKUP($A4871,Load!$B:$B,Load!H:H,0,)</f>
        <v>Stand-Up Bag</v>
      </c>
      <c r="H4871" t="str">
        <f>_xlfn.XLOOKUP($A4871,Load!$B:$B,Load!I:I,0,)</f>
        <v>Everyday Candy Shapes (like Original, Gummy bear, Fruit, Jewels, etc.)</v>
      </c>
      <c r="I4871" t="str">
        <f>_xlfn.XLOOKUP($A4871,Load!$B:$B,Load!J:J,0,)</f>
        <v>Seasonal Graphics (Like Bat, Ghost, Pumpkin, Fall Leaves, Eyeballs, etc.)</v>
      </c>
      <c r="J4871" t="str">
        <f>_xlfn.XLOOKUP($A4871,Load!$B:$B,Load!K:K,0,)</f>
        <v>Fun Size / Treat Size</v>
      </c>
      <c r="K4871" t="str">
        <f>_xlfn.XLOOKUP($A4871,Load!$B:$B,Load!L:L,0,)</f>
        <v>Regular/Original Wrapping</v>
      </c>
      <c r="L4871" t="str">
        <f>_xlfn.XLOOKUP($A4871,Load!$B:$B,Load!M:M,0,)</f>
        <v>Multiple Brands / Variety Flavors or Form</v>
      </c>
    </row>
    <row r="4872" spans="1:12" x14ac:dyDescent="0.25">
      <c r="A4872" t="s">
        <v>467</v>
      </c>
      <c r="B4872" t="str">
        <f>_xlfn.XLOOKUP($A4872,Load!$B:$B,Load!C:C,0,)</f>
        <v>Trolli</v>
      </c>
      <c r="C4872" t="str">
        <f>_xlfn.XLOOKUP($A4872,Load!$B:$B,Load!D:D,0,)</f>
        <v>Non-Chocolate Candy Only</v>
      </c>
      <c r="D4872" t="str">
        <f>_xlfn.XLOOKUP($A4872,Load!$B:$B,Load!E:E,0,)</f>
        <v>Sour</v>
      </c>
      <c r="E4872" t="str">
        <f>_xlfn.XLOOKUP($A4872,Load!$B:$B,Load!F:F,0,)</f>
        <v>Gummy</v>
      </c>
      <c r="F4872" t="str">
        <f>_xlfn.XLOOKUP($A4872,Load!$B:$B,Load!G:G,0,)</f>
        <v>Small Multipack (Less than 40 ct)</v>
      </c>
      <c r="G4872" t="str">
        <f>_xlfn.XLOOKUP($A4872,Load!$B:$B,Load!H:H,0,)</f>
        <v>Laydown Bag</v>
      </c>
      <c r="H4872" t="str">
        <f>_xlfn.XLOOKUP($A4872,Load!$B:$B,Load!I:I,0,)</f>
        <v>Seasonal Shapes (like pumpkins, candy corn, ghost, bats, etc.)</v>
      </c>
      <c r="I4872" t="str">
        <f>_xlfn.XLOOKUP($A4872,Load!$B:$B,Load!J:J,0,)</f>
        <v>Seasonal Graphics (Like Bat, Ghost, Pumpkin, Fall Leaves, Eyeballs, etc.)</v>
      </c>
      <c r="J4872" t="str">
        <f>_xlfn.XLOOKUP($A4872,Load!$B:$B,Load!K:K,0,)</f>
        <v>Fun Size / Treat Size</v>
      </c>
      <c r="K4872" t="str">
        <f>_xlfn.XLOOKUP($A4872,Load!$B:$B,Load!L:L,0,)</f>
        <v>Regular/Original Wrapping</v>
      </c>
      <c r="L4872" t="str">
        <f>_xlfn.XLOOKUP($A4872,Load!$B:$B,Load!M:M,0,)</f>
        <v>Single Brand / Variety Flavors or Form</v>
      </c>
    </row>
    <row r="4873" spans="1:12" x14ac:dyDescent="0.25">
      <c r="A4873" t="s">
        <v>146</v>
      </c>
      <c r="B4873" t="str">
        <f>_xlfn.XLOOKUP($A4873,Load!$B:$B,Load!C:C,0,)</f>
        <v>Hi Chew</v>
      </c>
      <c r="C4873" t="str">
        <f>_xlfn.XLOOKUP($A4873,Load!$B:$B,Load!D:D,0,)</f>
        <v>Non-Chocolate Candy Only</v>
      </c>
      <c r="D4873" t="str">
        <f>_xlfn.XLOOKUP($A4873,Load!$B:$B,Load!E:E,0,)</f>
        <v>Fruit Flavor (Cherry, Grape, Apple, Citrus, Tropical Fruit)</v>
      </c>
      <c r="E4873" t="str">
        <f>_xlfn.XLOOKUP($A4873,Load!$B:$B,Load!F:F,0,)</f>
        <v>Gummy</v>
      </c>
      <c r="F4873" t="str">
        <f>_xlfn.XLOOKUP($A4873,Load!$B:$B,Load!G:G,0,)</f>
        <v>Medium Multipack (40–80 ct)</v>
      </c>
      <c r="G4873" t="str">
        <f>_xlfn.XLOOKUP($A4873,Load!$B:$B,Load!H:H,0,)</f>
        <v>Stand-Up Bag</v>
      </c>
      <c r="H4873" t="str">
        <f>_xlfn.XLOOKUP($A4873,Load!$B:$B,Load!I:I,0,)</f>
        <v>Everyday Candy Shapes (like Original, Gummy bear, Fruit, Jewels, etc.)</v>
      </c>
      <c r="I4873" t="str">
        <f>_xlfn.XLOOKUP($A4873,Load!$B:$B,Load!J:J,0,)</f>
        <v>Seasonal Graphics (Like Bat, Ghost, Pumpkin, Fall Leaves, Eyeballs, etc.)</v>
      </c>
      <c r="J4873" t="str">
        <f>_xlfn.XLOOKUP($A4873,Load!$B:$B,Load!K:K,0,)</f>
        <v>Fun Size / Treat Size</v>
      </c>
      <c r="K4873" t="str">
        <f>_xlfn.XLOOKUP($A4873,Load!$B:$B,Load!L:L,0,)</f>
        <v>Regular/Original Wrapping</v>
      </c>
      <c r="L4873" t="str">
        <f>_xlfn.XLOOKUP($A4873,Load!$B:$B,Load!M:M,0,)</f>
        <v>Multiple Brands / Variety Flavors or Form</v>
      </c>
    </row>
    <row r="4874" spans="1:12" x14ac:dyDescent="0.25">
      <c r="A4874" t="s">
        <v>294</v>
      </c>
      <c r="B4874" t="str">
        <f>_xlfn.XLOOKUP($A4874,Load!$B:$B,Load!C:C,0,)</f>
        <v>Tootsie</v>
      </c>
      <c r="C4874" t="str">
        <f>_xlfn.XLOOKUP($A4874,Load!$B:$B,Load!D:D,0,)</f>
        <v>Non-Chocolate Candy Only</v>
      </c>
      <c r="D4874" t="str">
        <f>_xlfn.XLOOKUP($A4874,Load!$B:$B,Load!E:E,0,)</f>
        <v>Sweet</v>
      </c>
      <c r="E4874" t="str">
        <f>_xlfn.XLOOKUP($A4874,Load!$B:$B,Load!F:F,0,)</f>
        <v>Lollipop (regular or lollipop rings)</v>
      </c>
      <c r="F4874" t="str">
        <f>_xlfn.XLOOKUP($A4874,Load!$B:$B,Load!G:G,0,)</f>
        <v>Large Multipack (More than 80 ct)</v>
      </c>
      <c r="G4874" t="str">
        <f>_xlfn.XLOOKUP($A4874,Load!$B:$B,Load!H:H,0,)</f>
        <v>Laydown Bag</v>
      </c>
      <c r="H4874" t="str">
        <f>_xlfn.XLOOKUP($A4874,Load!$B:$B,Load!I:I,0,)</f>
        <v>Everyday Candy Shapes (like Original, Gummy bear, Fruit, Jewels, etc.)</v>
      </c>
      <c r="I4874" t="str">
        <f>_xlfn.XLOOKUP($A4874,Load!$B:$B,Load!J:J,0,)</f>
        <v>Everyday Graphics</v>
      </c>
      <c r="J4874" t="str">
        <f>_xlfn.XLOOKUP($A4874,Load!$B:$B,Load!K:K,0,)</f>
        <v>Regular Lollipop size (on sticks or rings)</v>
      </c>
      <c r="K4874" t="str">
        <f>_xlfn.XLOOKUP($A4874,Load!$B:$B,Load!L:L,0,)</f>
        <v>Regular/Original Wrapping</v>
      </c>
      <c r="L4874" t="str">
        <f>_xlfn.XLOOKUP($A4874,Load!$B:$B,Load!M:M,0,)</f>
        <v>Single Brand / Single Flavor or Form</v>
      </c>
    </row>
    <row r="4875" spans="1:12" x14ac:dyDescent="0.25">
      <c r="A4875" t="s">
        <v>69</v>
      </c>
      <c r="B4875" t="str">
        <f>_xlfn.XLOOKUP($A4875,Load!$B:$B,Load!C:C,0,)</f>
        <v>Dum Dums</v>
      </c>
      <c r="C4875" t="str">
        <f>_xlfn.XLOOKUP($A4875,Load!$B:$B,Load!D:D,0,)</f>
        <v>Non-Chocolate Candy Only</v>
      </c>
      <c r="D4875" t="str">
        <f>_xlfn.XLOOKUP($A4875,Load!$B:$B,Load!E:E,0,)</f>
        <v>Sweet</v>
      </c>
      <c r="E4875" t="str">
        <f>_xlfn.XLOOKUP($A4875,Load!$B:$B,Load!F:F,0,)</f>
        <v>Lollipop (regular or lollipop rings)</v>
      </c>
      <c r="F4875" t="str">
        <f>_xlfn.XLOOKUP($A4875,Load!$B:$B,Load!G:G,0,)</f>
        <v>Single Pack</v>
      </c>
      <c r="G4875" t="str">
        <f>_xlfn.XLOOKUP($A4875,Load!$B:$B,Load!H:H,0,)</f>
        <v>Laydown Bag</v>
      </c>
      <c r="H4875" t="str">
        <f>_xlfn.XLOOKUP($A4875,Load!$B:$B,Load!I:I,0,)</f>
        <v>Seasonal Shapes (like pumpkins, candy corn, ghost, bats, etc.)</v>
      </c>
      <c r="I4875" t="str">
        <f>_xlfn.XLOOKUP($A4875,Load!$B:$B,Load!J:J,0,)</f>
        <v>Seasonal Graphics (Like Bat, Ghost, Pumpkin, Fall Leaves, Eyeballs, etc.)</v>
      </c>
      <c r="J4875" t="str">
        <f>_xlfn.XLOOKUP($A4875,Load!$B:$B,Load!K:K,0,)</f>
        <v>Regular Lollipop size (on sticks or rings)</v>
      </c>
      <c r="K4875" t="str">
        <f>_xlfn.XLOOKUP($A4875,Load!$B:$B,Load!L:L,0,)</f>
        <v>Regular/Original Wrapping</v>
      </c>
      <c r="L4875" t="str">
        <f>_xlfn.XLOOKUP($A4875,Load!$B:$B,Load!M:M,0,)</f>
        <v>Single Brand / Variety Flavors or Form</v>
      </c>
    </row>
    <row r="4876" spans="1:12" x14ac:dyDescent="0.25">
      <c r="A4876" t="s">
        <v>91</v>
      </c>
      <c r="B4876" t="str">
        <f>_xlfn.XLOOKUP($A4876,Load!$B:$B,Load!C:C,0,)</f>
        <v>Ferrara Variety Pack</v>
      </c>
      <c r="C4876" t="str">
        <f>_xlfn.XLOOKUP($A4876,Load!$B:$B,Load!D:D,0,)</f>
        <v>Non-Chocolate Candy Only</v>
      </c>
      <c r="D4876" t="str">
        <f>_xlfn.XLOOKUP($A4876,Load!$B:$B,Load!E:E,0,)</f>
        <v>Variety / Mixed Flavors (Fruity, Sour, Seasonal Flavors)</v>
      </c>
      <c r="E4876" t="str">
        <f>_xlfn.XLOOKUP($A4876,Load!$B:$B,Load!F:F,0,)</f>
        <v>Mixed / Combo Packs (Gummy, Chewy, Taffy, etc.)</v>
      </c>
      <c r="F4876" t="str">
        <f>_xlfn.XLOOKUP($A4876,Load!$B:$B,Load!G:G,0,)</f>
        <v>Large Multipack (More than 80 ct)</v>
      </c>
      <c r="G4876" t="str">
        <f>_xlfn.XLOOKUP($A4876,Load!$B:$B,Load!H:H,0,)</f>
        <v>Stand-Up Bag</v>
      </c>
      <c r="H4876" t="str">
        <f>_xlfn.XLOOKUP($A4876,Load!$B:$B,Load!I:I,0,)</f>
        <v>Everyday Candy Shapes (like Original, Gummy bear, Fruit, Jewels, etc.)</v>
      </c>
      <c r="I4876" t="str">
        <f>_xlfn.XLOOKUP($A4876,Load!$B:$B,Load!J:J,0,)</f>
        <v>Seasonal Graphics (Like Bat, Ghost, Pumpkin, Fall Leaves, Eyeballs, etc.)</v>
      </c>
      <c r="J4876" t="str">
        <f>_xlfn.XLOOKUP($A4876,Load!$B:$B,Load!K:K,0,)</f>
        <v xml:space="preserve">Variety Candy Sizes </v>
      </c>
      <c r="K4876" t="str">
        <f>_xlfn.XLOOKUP($A4876,Load!$B:$B,Load!L:L,0,)</f>
        <v>Regular/Original Wrapping</v>
      </c>
      <c r="L4876" t="str">
        <f>_xlfn.XLOOKUP($A4876,Load!$B:$B,Load!M:M,0,)</f>
        <v>Multiple Brands / Variety Flavors or Form</v>
      </c>
    </row>
    <row r="4877" spans="1:12" x14ac:dyDescent="0.25">
      <c r="A4877" t="s">
        <v>93</v>
      </c>
      <c r="B4877" t="str">
        <f>_xlfn.XLOOKUP($A4877,Load!$B:$B,Load!C:C,0,)</f>
        <v>Ferrara Variety Pack</v>
      </c>
      <c r="C4877" t="str">
        <f>_xlfn.XLOOKUP($A4877,Load!$B:$B,Load!D:D,0,)</f>
        <v>Non-Chocolate Candy Only</v>
      </c>
      <c r="D4877" t="str">
        <f>_xlfn.XLOOKUP($A4877,Load!$B:$B,Load!E:E,0,)</f>
        <v>Variety / Mixed Flavors (Fruity, Sour, Seasonal Flavors)</v>
      </c>
      <c r="E4877" t="str">
        <f>_xlfn.XLOOKUP($A4877,Load!$B:$B,Load!F:F,0,)</f>
        <v>Mixed / Combo Packs (Gummy, Chewy, Taffy, etc.)</v>
      </c>
      <c r="F4877" t="str">
        <f>_xlfn.XLOOKUP($A4877,Load!$B:$B,Load!G:G,0,)</f>
        <v>Large Multipack (More than 80 ct)</v>
      </c>
      <c r="G4877" t="str">
        <f>_xlfn.XLOOKUP($A4877,Load!$B:$B,Load!H:H,0,)</f>
        <v>Stand-Up Bag</v>
      </c>
      <c r="H4877" t="str">
        <f>_xlfn.XLOOKUP($A4877,Load!$B:$B,Load!I:I,0,)</f>
        <v>Everyday Candy Shapes (like Original, Gummy bear, Fruit, Jewels, etc.)</v>
      </c>
      <c r="I4877" t="str">
        <f>_xlfn.XLOOKUP($A4877,Load!$B:$B,Load!J:J,0,)</f>
        <v>Seasonal Graphics (Like Bat, Ghost, Pumpkin, Fall Leaves, Eyeballs, etc.)</v>
      </c>
      <c r="J4877" t="str">
        <f>_xlfn.XLOOKUP($A4877,Load!$B:$B,Load!K:K,0,)</f>
        <v xml:space="preserve">Variety Candy Sizes </v>
      </c>
      <c r="K4877" t="str">
        <f>_xlfn.XLOOKUP($A4877,Load!$B:$B,Load!L:L,0,)</f>
        <v>Regular/Original Wrapping</v>
      </c>
      <c r="L4877" t="str">
        <f>_xlfn.XLOOKUP($A4877,Load!$B:$B,Load!M:M,0,)</f>
        <v>Multiple Brands / Variety Flavors or Form</v>
      </c>
    </row>
    <row r="4878" spans="1:12" x14ac:dyDescent="0.25">
      <c r="A4878" t="s">
        <v>327</v>
      </c>
      <c r="B4878" t="str">
        <f>_xlfn.XLOOKUP($A4878,Load!$B:$B,Load!C:C,0,)</f>
        <v>Googly Eyes</v>
      </c>
      <c r="C4878" t="str">
        <f>_xlfn.XLOOKUP($A4878,Load!$B:$B,Load!D:D,0,)</f>
        <v>Non-Chocolate Candy Only</v>
      </c>
      <c r="D4878" t="str">
        <f>_xlfn.XLOOKUP($A4878,Load!$B:$B,Load!E:E,0,)</f>
        <v>Variety / Mixed Flavors (Fruity, Sour, Seasonal Flavors)</v>
      </c>
      <c r="E4878" t="str">
        <f>_xlfn.XLOOKUP($A4878,Load!$B:$B,Load!F:F,0,)</f>
        <v>Candy Pieces / Bites</v>
      </c>
      <c r="F4878" t="str">
        <f>_xlfn.XLOOKUP($A4878,Load!$B:$B,Load!G:G,0,)</f>
        <v>Small Multipack (Less than 40 ct)</v>
      </c>
      <c r="G4878" t="str">
        <f>_xlfn.XLOOKUP($A4878,Load!$B:$B,Load!H:H,0,)</f>
        <v>Plastic Cup / Container</v>
      </c>
      <c r="H4878" t="str">
        <f>_xlfn.XLOOKUP($A4878,Load!$B:$B,Load!I:I,0,)</f>
        <v>Seasonal Shapes (like pumpkins, candy corn, ghost, bats, etc.)</v>
      </c>
      <c r="I4878" t="str">
        <f>_xlfn.XLOOKUP($A4878,Load!$B:$B,Load!J:J,0,)</f>
        <v>Seasonal Graphics (Like Bat, Ghost, Pumpkin, Fall Leaves, Eyeballs, etc.)</v>
      </c>
      <c r="J4878" t="str">
        <f>_xlfn.XLOOKUP($A4878,Load!$B:$B,Load!K:K,0,)</f>
        <v>Fun Size / Treat Size</v>
      </c>
      <c r="K4878" t="str">
        <f>_xlfn.XLOOKUP($A4878,Load!$B:$B,Load!L:L,0,)</f>
        <v>Regular/Original Wrapping</v>
      </c>
      <c r="L4878" t="str">
        <f>_xlfn.XLOOKUP($A4878,Load!$B:$B,Load!M:M,0,)</f>
        <v>Single Brand / Variety Flavors or Form</v>
      </c>
    </row>
    <row r="4879" spans="1:12" x14ac:dyDescent="0.25">
      <c r="B4879">
        <f>_xlfn.XLOOKUP($A4879,Load!$B:$B,Load!C:C,0,)</f>
        <v>0</v>
      </c>
      <c r="C4879">
        <f>_xlfn.XLOOKUP($A4879,Load!$B:$B,Load!D:D,0,)</f>
        <v>0</v>
      </c>
      <c r="D4879">
        <f>_xlfn.XLOOKUP($A4879,Load!$B:$B,Load!E:E,0,)</f>
        <v>0</v>
      </c>
      <c r="E4879">
        <f>_xlfn.XLOOKUP($A4879,Load!$B:$B,Load!F:F,0,)</f>
        <v>0</v>
      </c>
      <c r="F4879">
        <f>_xlfn.XLOOKUP($A4879,Load!$B:$B,Load!G:G,0,)</f>
        <v>0</v>
      </c>
      <c r="G4879">
        <f>_xlfn.XLOOKUP($A4879,Load!$B:$B,Load!H:H,0,)</f>
        <v>0</v>
      </c>
      <c r="H4879">
        <f>_xlfn.XLOOKUP($A4879,Load!$B:$B,Load!I:I,0,)</f>
        <v>0</v>
      </c>
      <c r="I4879">
        <f>_xlfn.XLOOKUP($A4879,Load!$B:$B,Load!J:J,0,)</f>
        <v>0</v>
      </c>
      <c r="J4879">
        <f>_xlfn.XLOOKUP($A4879,Load!$B:$B,Load!K:K,0,)</f>
        <v>0</v>
      </c>
      <c r="K4879">
        <f>_xlfn.XLOOKUP($A4879,Load!$B:$B,Load!L:L,0,)</f>
        <v>0</v>
      </c>
      <c r="L4879">
        <f>_xlfn.XLOOKUP($A4879,Load!$B:$B,Load!M:M,0,)</f>
        <v>0</v>
      </c>
    </row>
    <row r="4880" spans="1:12" x14ac:dyDescent="0.25">
      <c r="A4880" t="s">
        <v>144</v>
      </c>
      <c r="B4880" t="str">
        <f>_xlfn.XLOOKUP($A4880,Load!$B:$B,Load!C:C,0,)</f>
        <v>Hershey's Variety Pack + Haribo</v>
      </c>
      <c r="C4880" t="str">
        <f>_xlfn.XLOOKUP($A4880,Load!$B:$B,Load!D:D,0,)</f>
        <v>Mix of Chocolate and Non-Chocolate Candy</v>
      </c>
      <c r="D4880" t="str">
        <f>_xlfn.XLOOKUP($A4880,Load!$B:$B,Load!E:E,0,)</f>
        <v>Variety / Mixed Flavors (Fruity, Sour, Seasonal Flavors)</v>
      </c>
      <c r="E4880" t="str">
        <f>_xlfn.XLOOKUP($A4880,Load!$B:$B,Load!F:F,0,)</f>
        <v>Mixed / Combo Packs (Gummy, Chewy, Taffy, etc.)</v>
      </c>
      <c r="F4880" t="str">
        <f>_xlfn.XLOOKUP($A4880,Load!$B:$B,Load!G:G,0,)</f>
        <v>Large Multipack (More than 80 ct)</v>
      </c>
      <c r="G4880" t="str">
        <f>_xlfn.XLOOKUP($A4880,Load!$B:$B,Load!H:H,0,)</f>
        <v>Stand-Up Bag</v>
      </c>
      <c r="H4880" t="str">
        <f>_xlfn.XLOOKUP($A4880,Load!$B:$B,Load!I:I,0,)</f>
        <v>Everyday Candy Shapes (like Original, Gummy bear, Fruit, Jewels, etc.)</v>
      </c>
      <c r="I4880" t="str">
        <f>_xlfn.XLOOKUP($A4880,Load!$B:$B,Load!J:J,0,)</f>
        <v>Seasonal Graphics (Like Bat, Ghost, Pumpkin, Fall Leaves, Eyeballs, etc.)</v>
      </c>
      <c r="J4880" t="str">
        <f>_xlfn.XLOOKUP($A4880,Load!$B:$B,Load!K:K,0,)</f>
        <v>Fun Size / Treat Size</v>
      </c>
      <c r="K4880" t="str">
        <f>_xlfn.XLOOKUP($A4880,Load!$B:$B,Load!L:L,0,)</f>
        <v>Regular/Original Wrapping</v>
      </c>
      <c r="L4880" t="str">
        <f>_xlfn.XLOOKUP($A4880,Load!$B:$B,Load!M:M,0,)</f>
        <v>Multiple Brands / Variety Flavors or Form</v>
      </c>
    </row>
    <row r="4881" spans="1:12" x14ac:dyDescent="0.25">
      <c r="A4881" t="s">
        <v>25</v>
      </c>
      <c r="B4881" t="str">
        <f>_xlfn.XLOOKUP($A4881,Load!$B:$B,Load!C:C,0,)</f>
        <v>Albert's Candy Company</v>
      </c>
      <c r="C4881" t="str">
        <f>_xlfn.XLOOKUP($A4881,Load!$B:$B,Load!D:D,0,)</f>
        <v>Non-Chocolate Candy Only</v>
      </c>
      <c r="D4881" t="str">
        <f>_xlfn.XLOOKUP($A4881,Load!$B:$B,Load!E:E,0,)</f>
        <v>Fruit Flavor (Cherry, Grape, Apple, Citrus, Tropical Fruit)</v>
      </c>
      <c r="E4881" t="str">
        <f>_xlfn.XLOOKUP($A4881,Load!$B:$B,Load!F:F,0,)</f>
        <v>Chewy</v>
      </c>
      <c r="F4881" t="str">
        <f>_xlfn.XLOOKUP($A4881,Load!$B:$B,Load!G:G,0,)</f>
        <v>Large Multipack (More than 80 ct)</v>
      </c>
      <c r="G4881" t="str">
        <f>_xlfn.XLOOKUP($A4881,Load!$B:$B,Load!H:H,0,)</f>
        <v>Laydown Bag</v>
      </c>
      <c r="H4881" t="str">
        <f>_xlfn.XLOOKUP($A4881,Load!$B:$B,Load!I:I,0,)</f>
        <v>Everyday Candy Shapes (like Original, Gummy bear, Fruit, Jewels, etc.)</v>
      </c>
      <c r="I4881" t="str">
        <f>_xlfn.XLOOKUP($A4881,Load!$B:$B,Load!J:J,0,)</f>
        <v>Seasonal Graphics (Like Bat, Ghost, Pumpkin, Fall Leaves, Eyeballs, etc.)</v>
      </c>
      <c r="J4881" t="str">
        <f>_xlfn.XLOOKUP($A4881,Load!$B:$B,Load!K:K,0,)</f>
        <v>Small Pieces (Tiny bite size candies)</v>
      </c>
      <c r="K4881" t="str">
        <f>_xlfn.XLOOKUP($A4881,Load!$B:$B,Load!L:L,0,)</f>
        <v>Regular/Original Wrapping</v>
      </c>
      <c r="L4881" t="str">
        <f>_xlfn.XLOOKUP($A4881,Load!$B:$B,Load!M:M,0,)</f>
        <v>Single Brand / Variety Flavors or Form</v>
      </c>
    </row>
    <row r="4882" spans="1:12" x14ac:dyDescent="0.25">
      <c r="A4882" t="s">
        <v>264</v>
      </c>
      <c r="B4882" t="str">
        <f>_xlfn.XLOOKUP($A4882,Load!$B:$B,Load!C:C,0,)</f>
        <v>Smarties</v>
      </c>
      <c r="C4882" t="str">
        <f>_xlfn.XLOOKUP($A4882,Load!$B:$B,Load!D:D,0,)</f>
        <v>Non-Chocolate Candy Only</v>
      </c>
      <c r="D4882" t="str">
        <f>_xlfn.XLOOKUP($A4882,Load!$B:$B,Load!E:E,0,)</f>
        <v>Fruit Flavor (Cherry, Grape, Apple, Citrus, Tropical Fruit)</v>
      </c>
      <c r="E4882" t="str">
        <f>_xlfn.XLOOKUP($A4882,Load!$B:$B,Load!F:F,0,)</f>
        <v>Powder / Chalky</v>
      </c>
      <c r="F4882" t="str">
        <f>_xlfn.XLOOKUP($A4882,Load!$B:$B,Load!G:G,0,)</f>
        <v>Single Pack</v>
      </c>
      <c r="G4882" t="str">
        <f>_xlfn.XLOOKUP($A4882,Load!$B:$B,Load!H:H,0,)</f>
        <v>Laydown Bag</v>
      </c>
      <c r="H4882" t="str">
        <f>_xlfn.XLOOKUP($A4882,Load!$B:$B,Load!I:I,0,)</f>
        <v>Everyday Candy Shapes (like Original, Gummy bear, Fruit, Jewels, etc.)</v>
      </c>
      <c r="I4882" t="str">
        <f>_xlfn.XLOOKUP($A4882,Load!$B:$B,Load!J:J,0,)</f>
        <v>Everyday Graphics</v>
      </c>
      <c r="J4882" t="str">
        <f>_xlfn.XLOOKUP($A4882,Load!$B:$B,Load!K:K,0,)</f>
        <v>Small Pieces (Tiny bite size candies)</v>
      </c>
      <c r="K4882" t="str">
        <f>_xlfn.XLOOKUP($A4882,Load!$B:$B,Load!L:L,0,)</f>
        <v>Regular/Original Wrapping</v>
      </c>
      <c r="L4882" t="str">
        <f>_xlfn.XLOOKUP($A4882,Load!$B:$B,Load!M:M,0,)</f>
        <v>Single Brand / Single Flavor or Form</v>
      </c>
    </row>
    <row r="4883" spans="1:12" x14ac:dyDescent="0.25">
      <c r="A4883" t="s">
        <v>285</v>
      </c>
      <c r="B4883" t="str">
        <f>_xlfn.XLOOKUP($A4883,Load!$B:$B,Load!C:C,0,)</f>
        <v>Starburst</v>
      </c>
      <c r="C4883" t="str">
        <f>_xlfn.XLOOKUP($A4883,Load!$B:$B,Load!D:D,0,)</f>
        <v>Non-Chocolate Candy Only</v>
      </c>
      <c r="D4883" t="str">
        <f>_xlfn.XLOOKUP($A4883,Load!$B:$B,Load!E:E,0,)</f>
        <v>Fruit Flavor (Cherry, Grape, Apple, Citrus, Tropical Fruit)</v>
      </c>
      <c r="E4883" t="str">
        <f>_xlfn.XLOOKUP($A4883,Load!$B:$B,Load!F:F,0,)</f>
        <v>Chewy</v>
      </c>
      <c r="F4883" t="str">
        <f>_xlfn.XLOOKUP($A4883,Load!$B:$B,Load!G:G,0,)</f>
        <v>Small Multipack (Less than 40 ct)</v>
      </c>
      <c r="G4883" t="str">
        <f>_xlfn.XLOOKUP($A4883,Load!$B:$B,Load!H:H,0,)</f>
        <v>Laydown Bag</v>
      </c>
      <c r="H4883" t="str">
        <f>_xlfn.XLOOKUP($A4883,Load!$B:$B,Load!I:I,0,)</f>
        <v>Everyday Candy Shapes (like Original, Gummy bear, Fruit, Jewels, etc.)</v>
      </c>
      <c r="I4883" t="str">
        <f>_xlfn.XLOOKUP($A4883,Load!$B:$B,Load!J:J,0,)</f>
        <v>Everyday Graphics</v>
      </c>
      <c r="J4883" t="str">
        <f>_xlfn.XLOOKUP($A4883,Load!$B:$B,Load!K:K,0,)</f>
        <v>Small Pieces (Tiny bite size candies)</v>
      </c>
      <c r="K4883" t="str">
        <f>_xlfn.XLOOKUP($A4883,Load!$B:$B,Load!L:L,0,)</f>
        <v>Regular/Original Wrapping</v>
      </c>
      <c r="L4883" t="str">
        <f>_xlfn.XLOOKUP($A4883,Load!$B:$B,Load!M:M,0,)</f>
        <v>Single Brand / Variety Flavors or Form</v>
      </c>
    </row>
    <row r="4884" spans="1:12" x14ac:dyDescent="0.25">
      <c r="A4884" t="s">
        <v>158</v>
      </c>
      <c r="B4884" t="str">
        <f>_xlfn.XLOOKUP($A4884,Load!$B:$B,Load!C:C,0,)</f>
        <v>Jolly Rancher</v>
      </c>
      <c r="C4884" t="str">
        <f>_xlfn.XLOOKUP($A4884,Load!$B:$B,Load!D:D,0,)</f>
        <v>Non-Chocolate Candy Only</v>
      </c>
      <c r="D4884" t="str">
        <f>_xlfn.XLOOKUP($A4884,Load!$B:$B,Load!E:E,0,)</f>
        <v>Sweet</v>
      </c>
      <c r="E4884" t="str">
        <f>_xlfn.XLOOKUP($A4884,Load!$B:$B,Load!F:F,0,)</f>
        <v>Hard Candy</v>
      </c>
      <c r="F4884" t="str">
        <f>_xlfn.XLOOKUP($A4884,Load!$B:$B,Load!G:G,0,)</f>
        <v>Single Pack</v>
      </c>
      <c r="G4884" t="str">
        <f>_xlfn.XLOOKUP($A4884,Load!$B:$B,Load!H:H,0,)</f>
        <v>Peg Bag</v>
      </c>
      <c r="H4884" t="str">
        <f>_xlfn.XLOOKUP($A4884,Load!$B:$B,Load!I:I,0,)</f>
        <v>Everyday Candy Shapes (like Original, Gummy bear, Fruit, Jewels, etc.)</v>
      </c>
      <c r="I4884" t="str">
        <f>_xlfn.XLOOKUP($A4884,Load!$B:$B,Load!J:J,0,)</f>
        <v>Everyday Graphics</v>
      </c>
      <c r="J4884" t="str">
        <f>_xlfn.XLOOKUP($A4884,Load!$B:$B,Load!K:K,0,)</f>
        <v>Small Pieces (Tiny bite size candies)</v>
      </c>
      <c r="K4884" t="str">
        <f>_xlfn.XLOOKUP($A4884,Load!$B:$B,Load!L:L,0,)</f>
        <v>Regular/Original Wrapping</v>
      </c>
      <c r="L4884" t="str">
        <f>_xlfn.XLOOKUP($A4884,Load!$B:$B,Load!M:M,0,)</f>
        <v>Single Brand / Variety Flavors or Form</v>
      </c>
    </row>
    <row r="4885" spans="1:12" x14ac:dyDescent="0.25">
      <c r="B4885">
        <f>_xlfn.XLOOKUP($A4885,Load!$B:$B,Load!C:C,0,)</f>
        <v>0</v>
      </c>
      <c r="C4885">
        <f>_xlfn.XLOOKUP($A4885,Load!$B:$B,Load!D:D,0,)</f>
        <v>0</v>
      </c>
      <c r="D4885">
        <f>_xlfn.XLOOKUP($A4885,Load!$B:$B,Load!E:E,0,)</f>
        <v>0</v>
      </c>
      <c r="E4885">
        <f>_xlfn.XLOOKUP($A4885,Load!$B:$B,Load!F:F,0,)</f>
        <v>0</v>
      </c>
      <c r="F4885">
        <f>_xlfn.XLOOKUP($A4885,Load!$B:$B,Load!G:G,0,)</f>
        <v>0</v>
      </c>
      <c r="G4885">
        <f>_xlfn.XLOOKUP($A4885,Load!$B:$B,Load!H:H,0,)</f>
        <v>0</v>
      </c>
      <c r="H4885">
        <f>_xlfn.XLOOKUP($A4885,Load!$B:$B,Load!I:I,0,)</f>
        <v>0</v>
      </c>
      <c r="I4885">
        <f>_xlfn.XLOOKUP($A4885,Load!$B:$B,Load!J:J,0,)</f>
        <v>0</v>
      </c>
      <c r="J4885">
        <f>_xlfn.XLOOKUP($A4885,Load!$B:$B,Load!K:K,0,)</f>
        <v>0</v>
      </c>
      <c r="K4885">
        <f>_xlfn.XLOOKUP($A4885,Load!$B:$B,Load!L:L,0,)</f>
        <v>0</v>
      </c>
      <c r="L4885">
        <f>_xlfn.XLOOKUP($A4885,Load!$B:$B,Load!M:M,0,)</f>
        <v>0</v>
      </c>
    </row>
    <row r="4886" spans="1:12" x14ac:dyDescent="0.25">
      <c r="B4886">
        <f>_xlfn.XLOOKUP($A4886,Load!$B:$B,Load!C:C,0,)</f>
        <v>0</v>
      </c>
      <c r="C4886">
        <f>_xlfn.XLOOKUP($A4886,Load!$B:$B,Load!D:D,0,)</f>
        <v>0</v>
      </c>
      <c r="D4886">
        <f>_xlfn.XLOOKUP($A4886,Load!$B:$B,Load!E:E,0,)</f>
        <v>0</v>
      </c>
      <c r="E4886">
        <f>_xlfn.XLOOKUP($A4886,Load!$B:$B,Load!F:F,0,)</f>
        <v>0</v>
      </c>
      <c r="F4886">
        <f>_xlfn.XLOOKUP($A4886,Load!$B:$B,Load!G:G,0,)</f>
        <v>0</v>
      </c>
      <c r="G4886">
        <f>_xlfn.XLOOKUP($A4886,Load!$B:$B,Load!H:H,0,)</f>
        <v>0</v>
      </c>
      <c r="H4886">
        <f>_xlfn.XLOOKUP($A4886,Load!$B:$B,Load!I:I,0,)</f>
        <v>0</v>
      </c>
      <c r="I4886">
        <f>_xlfn.XLOOKUP($A4886,Load!$B:$B,Load!J:J,0,)</f>
        <v>0</v>
      </c>
      <c r="J4886">
        <f>_xlfn.XLOOKUP($A4886,Load!$B:$B,Load!K:K,0,)</f>
        <v>0</v>
      </c>
      <c r="K4886">
        <f>_xlfn.XLOOKUP($A4886,Load!$B:$B,Load!L:L,0,)</f>
        <v>0</v>
      </c>
      <c r="L4886">
        <f>_xlfn.XLOOKUP($A4886,Load!$B:$B,Load!M:M,0,)</f>
        <v>0</v>
      </c>
    </row>
    <row r="4887" spans="1:12" x14ac:dyDescent="0.25">
      <c r="B4887">
        <f>_xlfn.XLOOKUP($A4887,Load!$B:$B,Load!C:C,0,)</f>
        <v>0</v>
      </c>
      <c r="C4887">
        <f>_xlfn.XLOOKUP($A4887,Load!$B:$B,Load!D:D,0,)</f>
        <v>0</v>
      </c>
      <c r="D4887">
        <f>_xlfn.XLOOKUP($A4887,Load!$B:$B,Load!E:E,0,)</f>
        <v>0</v>
      </c>
      <c r="E4887">
        <f>_xlfn.XLOOKUP($A4887,Load!$B:$B,Load!F:F,0,)</f>
        <v>0</v>
      </c>
      <c r="F4887">
        <f>_xlfn.XLOOKUP($A4887,Load!$B:$B,Load!G:G,0,)</f>
        <v>0</v>
      </c>
      <c r="G4887">
        <f>_xlfn.XLOOKUP($A4887,Load!$B:$B,Load!H:H,0,)</f>
        <v>0</v>
      </c>
      <c r="H4887">
        <f>_xlfn.XLOOKUP($A4887,Load!$B:$B,Load!I:I,0,)</f>
        <v>0</v>
      </c>
      <c r="I4887">
        <f>_xlfn.XLOOKUP($A4887,Load!$B:$B,Load!J:J,0,)</f>
        <v>0</v>
      </c>
      <c r="J4887">
        <f>_xlfn.XLOOKUP($A4887,Load!$B:$B,Load!K:K,0,)</f>
        <v>0</v>
      </c>
      <c r="K4887">
        <f>_xlfn.XLOOKUP($A4887,Load!$B:$B,Load!L:L,0,)</f>
        <v>0</v>
      </c>
      <c r="L4887">
        <f>_xlfn.XLOOKUP($A4887,Load!$B:$B,Load!M:M,0,)</f>
        <v>0</v>
      </c>
    </row>
    <row r="4888" spans="1:12" x14ac:dyDescent="0.25">
      <c r="A4888" t="s">
        <v>90</v>
      </c>
      <c r="B4888" t="str">
        <f>_xlfn.XLOOKUP($A4888,Load!$B:$B,Load!C:C,0,)</f>
        <v>Ferrara Variety Pack</v>
      </c>
      <c r="C4888" t="str">
        <f>_xlfn.XLOOKUP($A4888,Load!$B:$B,Load!D:D,0,)</f>
        <v>Non-Chocolate Candy Only</v>
      </c>
      <c r="D4888" t="str">
        <f>_xlfn.XLOOKUP($A4888,Load!$B:$B,Load!E:E,0,)</f>
        <v>Variety / Mixed Flavors (Fruity, Sour, Seasonal Flavors)</v>
      </c>
      <c r="E4888" t="str">
        <f>_xlfn.XLOOKUP($A4888,Load!$B:$B,Load!F:F,0,)</f>
        <v>Mixed / Combo Packs (Gummy, Chewy, Taffy, etc.)</v>
      </c>
      <c r="F4888" t="str">
        <f>_xlfn.XLOOKUP($A4888,Load!$B:$B,Load!G:G,0,)</f>
        <v>Large Multipack (More than 80 ct)</v>
      </c>
      <c r="G4888" t="str">
        <f>_xlfn.XLOOKUP($A4888,Load!$B:$B,Load!H:H,0,)</f>
        <v>Stand-Up Bag</v>
      </c>
      <c r="H4888" t="str">
        <f>_xlfn.XLOOKUP($A4888,Load!$B:$B,Load!I:I,0,)</f>
        <v>Everyday Candy Shapes (like Original, Gummy bear, Fruit, Jewels, etc.)</v>
      </c>
      <c r="I4888" t="str">
        <f>_xlfn.XLOOKUP($A4888,Load!$B:$B,Load!J:J,0,)</f>
        <v>Seasonal Graphics (Like Bat, Ghost, Pumpkin, Fall Leaves, Eyeballs, etc.)</v>
      </c>
      <c r="J4888" t="str">
        <f>_xlfn.XLOOKUP($A4888,Load!$B:$B,Load!K:K,0,)</f>
        <v xml:space="preserve">Variety Candy Sizes </v>
      </c>
      <c r="K4888" t="str">
        <f>_xlfn.XLOOKUP($A4888,Load!$B:$B,Load!L:L,0,)</f>
        <v>Regular/Original Wrapping</v>
      </c>
      <c r="L4888" t="str">
        <f>_xlfn.XLOOKUP($A4888,Load!$B:$B,Load!M:M,0,)</f>
        <v>Multiple Brands / Variety Flavors or Form</v>
      </c>
    </row>
    <row r="4889" spans="1:12" x14ac:dyDescent="0.25">
      <c r="A4889" t="s">
        <v>4</v>
      </c>
      <c r="B4889" t="str">
        <f>_xlfn.XLOOKUP($A4889,Load!$B:$B,Load!C:C,0,)</f>
        <v>Airheads</v>
      </c>
      <c r="C4889" t="str">
        <f>_xlfn.XLOOKUP($A4889,Load!$B:$B,Load!D:D,0,)</f>
        <v>Non-Chocolate Candy Only</v>
      </c>
      <c r="D4889" t="str">
        <f>_xlfn.XLOOKUP($A4889,Load!$B:$B,Load!E:E,0,)</f>
        <v>Variety / Mixed Flavors (Fruity, Sour, Seasonal Flavors)</v>
      </c>
      <c r="E4889" t="str">
        <f>_xlfn.XLOOKUP($A4889,Load!$B:$B,Load!F:F,0,)</f>
        <v>Chewy</v>
      </c>
      <c r="F4889" t="str">
        <f>_xlfn.XLOOKUP($A4889,Load!$B:$B,Load!G:G,0,)</f>
        <v>Large Multipack (More than 80 ct)</v>
      </c>
      <c r="G4889" t="str">
        <f>_xlfn.XLOOKUP($A4889,Load!$B:$B,Load!H:H,0,)</f>
        <v>Box (theatre box, gift box, carton)</v>
      </c>
      <c r="H4889" t="str">
        <f>_xlfn.XLOOKUP($A4889,Load!$B:$B,Load!I:I,0,)</f>
        <v>Everyday Candy Shapes (like Original, Gummy bear, Fruit, Jewels, etc.)</v>
      </c>
      <c r="I4889" t="str">
        <f>_xlfn.XLOOKUP($A4889,Load!$B:$B,Load!J:J,0,)</f>
        <v>Seasonal Graphics (Like Bat, Ghost, Pumpkin, Fall Leaves, Eyeballs, etc.)</v>
      </c>
      <c r="J4889" t="str">
        <f>_xlfn.XLOOKUP($A4889,Load!$B:$B,Load!K:K,0,)</f>
        <v>Fun Size / Treat Size</v>
      </c>
      <c r="K4889" t="str">
        <f>_xlfn.XLOOKUP($A4889,Load!$B:$B,Load!L:L,0,)</f>
        <v>Regular/Original Wrapping</v>
      </c>
      <c r="L4889" t="str">
        <f>_xlfn.XLOOKUP($A4889,Load!$B:$B,Load!M:M,0,)</f>
        <v>Single Brand / Variety Flavors or Form</v>
      </c>
    </row>
    <row r="4890" spans="1:12" x14ac:dyDescent="0.25">
      <c r="A4890" t="s">
        <v>307</v>
      </c>
      <c r="B4890" t="str">
        <f>_xlfn.XLOOKUP($A4890,Load!$B:$B,Load!C:C,0,)</f>
        <v>Werther's Original</v>
      </c>
      <c r="C4890" t="str">
        <f>_xlfn.XLOOKUP($A4890,Load!$B:$B,Load!D:D,0,)</f>
        <v>Non-Chocolate Candy Only</v>
      </c>
      <c r="D4890" t="str">
        <f>_xlfn.XLOOKUP($A4890,Load!$B:$B,Load!E:E,0,)</f>
        <v>Fall / Seasonal Flavors (pumpkin spice, caramel apple, candy corn)</v>
      </c>
      <c r="E4890" t="str">
        <f>_xlfn.XLOOKUP($A4890,Load!$B:$B,Load!F:F,0,)</f>
        <v>Hard Candy</v>
      </c>
      <c r="F4890" t="str">
        <f>_xlfn.XLOOKUP($A4890,Load!$B:$B,Load!G:G,0,)</f>
        <v>Single Pack</v>
      </c>
      <c r="G4890" t="str">
        <f>_xlfn.XLOOKUP($A4890,Load!$B:$B,Load!H:H,0,)</f>
        <v>Stand-Up Bag</v>
      </c>
      <c r="H4890" t="str">
        <f>_xlfn.XLOOKUP($A4890,Load!$B:$B,Load!I:I,0,)</f>
        <v>Everyday Candy Shapes (like Original, Gummy bear, Fruit, Jewels, etc.)</v>
      </c>
      <c r="I4890" t="str">
        <f>_xlfn.XLOOKUP($A4890,Load!$B:$B,Load!J:J,0,)</f>
        <v>Seasonal Graphics (Like Bat, Ghost, Pumpkin, Fall Leaves, Eyeballs, etc.)</v>
      </c>
      <c r="J4890" t="str">
        <f>_xlfn.XLOOKUP($A4890,Load!$B:$B,Load!K:K,0,)</f>
        <v>Fun Size / Treat Size</v>
      </c>
      <c r="K4890" t="str">
        <f>_xlfn.XLOOKUP($A4890,Load!$B:$B,Load!L:L,0,)</f>
        <v>Regular/Original Wrapping</v>
      </c>
      <c r="L4890" t="str">
        <f>_xlfn.XLOOKUP($A4890,Load!$B:$B,Load!M:M,0,)</f>
        <v>Single Brand / Single Flavor or Form</v>
      </c>
    </row>
    <row r="4891" spans="1:12" x14ac:dyDescent="0.25">
      <c r="B4891">
        <f>_xlfn.XLOOKUP($A4891,Load!$B:$B,Load!C:C,0,)</f>
        <v>0</v>
      </c>
      <c r="C4891">
        <f>_xlfn.XLOOKUP($A4891,Load!$B:$B,Load!D:D,0,)</f>
        <v>0</v>
      </c>
      <c r="D4891">
        <f>_xlfn.XLOOKUP($A4891,Load!$B:$B,Load!E:E,0,)</f>
        <v>0</v>
      </c>
      <c r="E4891">
        <f>_xlfn.XLOOKUP($A4891,Load!$B:$B,Load!F:F,0,)</f>
        <v>0</v>
      </c>
      <c r="F4891">
        <f>_xlfn.XLOOKUP($A4891,Load!$B:$B,Load!G:G,0,)</f>
        <v>0</v>
      </c>
      <c r="G4891">
        <f>_xlfn.XLOOKUP($A4891,Load!$B:$B,Load!H:H,0,)</f>
        <v>0</v>
      </c>
      <c r="H4891">
        <f>_xlfn.XLOOKUP($A4891,Load!$B:$B,Load!I:I,0,)</f>
        <v>0</v>
      </c>
      <c r="I4891">
        <f>_xlfn.XLOOKUP($A4891,Load!$B:$B,Load!J:J,0,)</f>
        <v>0</v>
      </c>
      <c r="J4891">
        <f>_xlfn.XLOOKUP($A4891,Load!$B:$B,Load!K:K,0,)</f>
        <v>0</v>
      </c>
      <c r="K4891">
        <f>_xlfn.XLOOKUP($A4891,Load!$B:$B,Load!L:L,0,)</f>
        <v>0</v>
      </c>
      <c r="L4891">
        <f>_xlfn.XLOOKUP($A4891,Load!$B:$B,Load!M:M,0,)</f>
        <v>0</v>
      </c>
    </row>
    <row r="4892" spans="1:12" x14ac:dyDescent="0.25">
      <c r="A4892" t="s">
        <v>75</v>
      </c>
      <c r="B4892" t="str">
        <f>_xlfn.XLOOKUP($A4892,Load!$B:$B,Load!C:C,0,)</f>
        <v>Dum Dums</v>
      </c>
      <c r="C4892" t="str">
        <f>_xlfn.XLOOKUP($A4892,Load!$B:$B,Load!D:D,0,)</f>
        <v>Non-Chocolate Candy Only</v>
      </c>
      <c r="D4892" t="str">
        <f>_xlfn.XLOOKUP($A4892,Load!$B:$B,Load!E:E,0,)</f>
        <v>Variety / Mixed Flavors (Fruity, Sour, Seasonal Flavors)</v>
      </c>
      <c r="E4892" t="str">
        <f>_xlfn.XLOOKUP($A4892,Load!$B:$B,Load!F:F,0,)</f>
        <v>Lollipop (regular or lollipop rings)</v>
      </c>
      <c r="F4892" t="str">
        <f>_xlfn.XLOOKUP($A4892,Load!$B:$B,Load!G:G,0,)</f>
        <v>Single Pack</v>
      </c>
      <c r="G4892" t="str">
        <f>_xlfn.XLOOKUP($A4892,Load!$B:$B,Load!H:H,0,)</f>
        <v>Laydown Bag</v>
      </c>
      <c r="H4892" t="str">
        <f>_xlfn.XLOOKUP($A4892,Load!$B:$B,Load!I:I,0,)</f>
        <v>Everyday Candy Shapes (like Original, Gummy bear, Fruit, Jewels, etc.)</v>
      </c>
      <c r="I4892" t="str">
        <f>_xlfn.XLOOKUP($A4892,Load!$B:$B,Load!J:J,0,)</f>
        <v>Everyday Graphics</v>
      </c>
      <c r="J4892" t="str">
        <f>_xlfn.XLOOKUP($A4892,Load!$B:$B,Load!K:K,0,)</f>
        <v>Regular Lollipop size (on sticks or rings)</v>
      </c>
      <c r="K4892" t="str">
        <f>_xlfn.XLOOKUP($A4892,Load!$B:$B,Load!L:L,0,)</f>
        <v>Regular/Original Wrapping</v>
      </c>
      <c r="L4892" t="str">
        <f>_xlfn.XLOOKUP($A4892,Load!$B:$B,Load!M:M,0,)</f>
        <v>Single Brand / Variety Flavors or Form</v>
      </c>
    </row>
    <row r="4893" spans="1:12" x14ac:dyDescent="0.25">
      <c r="A4893" t="s">
        <v>292</v>
      </c>
      <c r="B4893" t="str">
        <f>_xlfn.XLOOKUP($A4893,Load!$B:$B,Load!C:C,0,)</f>
        <v>Tootsie</v>
      </c>
      <c r="C4893" t="str">
        <f>_xlfn.XLOOKUP($A4893,Load!$B:$B,Load!D:D,0,)</f>
        <v>Non-Chocolate Candy Only</v>
      </c>
      <c r="D4893" t="str">
        <f>_xlfn.XLOOKUP($A4893,Load!$B:$B,Load!E:E,0,)</f>
        <v>Fall / Seasonal Flavors (pumpkin spice, caramel apple, candy corn)</v>
      </c>
      <c r="E4893" t="str">
        <f>_xlfn.XLOOKUP($A4893,Load!$B:$B,Load!F:F,0,)</f>
        <v>Lollipop (regular or lollipop rings)</v>
      </c>
      <c r="F4893" t="str">
        <f>_xlfn.XLOOKUP($A4893,Load!$B:$B,Load!G:G,0,)</f>
        <v>Single Pack</v>
      </c>
      <c r="G4893" t="str">
        <f>_xlfn.XLOOKUP($A4893,Load!$B:$B,Load!H:H,0,)</f>
        <v>Laydown Bag</v>
      </c>
      <c r="H4893" t="str">
        <f>_xlfn.XLOOKUP($A4893,Load!$B:$B,Load!I:I,0,)</f>
        <v>Everyday Candy Shapes (like Original, Gummy bear, Fruit, Jewels, etc.)</v>
      </c>
      <c r="I4893" t="str">
        <f>_xlfn.XLOOKUP($A4893,Load!$B:$B,Load!J:J,0,)</f>
        <v>Seasonal Graphics (Like Bat, Ghost, Pumpkin, Fall Leaves, Eyeballs, etc.)</v>
      </c>
      <c r="J4893" t="str">
        <f>_xlfn.XLOOKUP($A4893,Load!$B:$B,Load!K:K,0,)</f>
        <v>Regular Lollipop size (on sticks or rings)</v>
      </c>
      <c r="K4893" t="str">
        <f>_xlfn.XLOOKUP($A4893,Load!$B:$B,Load!L:L,0,)</f>
        <v>Regular/Original Wrapping</v>
      </c>
      <c r="L4893" t="str">
        <f>_xlfn.XLOOKUP($A4893,Load!$B:$B,Load!M:M,0,)</f>
        <v>Single Brand / Single Flavor or Form</v>
      </c>
    </row>
    <row r="4894" spans="1:12" x14ac:dyDescent="0.25">
      <c r="A4894" t="s">
        <v>133</v>
      </c>
      <c r="B4894" t="str">
        <f>_xlfn.XLOOKUP($A4894,Load!$B:$B,Load!C:C,0,)</f>
        <v>Hershey's</v>
      </c>
      <c r="C4894" t="str">
        <f>_xlfn.XLOOKUP($A4894,Load!$B:$B,Load!D:D,0,)</f>
        <v>Non-Chocolate Candy Only</v>
      </c>
      <c r="D4894" t="str">
        <f>_xlfn.XLOOKUP($A4894,Load!$B:$B,Load!E:E,0,)</f>
        <v>Variety / Mixed Flavors (Fruity, Sour, Seasonal Flavors)</v>
      </c>
      <c r="E4894" t="str">
        <f>_xlfn.XLOOKUP($A4894,Load!$B:$B,Load!F:F,0,)</f>
        <v>Mixed / Combo Packs (Gummy, Chewy, Taffy, etc.)</v>
      </c>
      <c r="F4894" t="str">
        <f>_xlfn.XLOOKUP($A4894,Load!$B:$B,Load!G:G,0,)</f>
        <v>Large Multipack (More than 80 ct)</v>
      </c>
      <c r="G4894" t="str">
        <f>_xlfn.XLOOKUP($A4894,Load!$B:$B,Load!H:H,0,)</f>
        <v>Stand-Up Bag</v>
      </c>
      <c r="H4894" t="str">
        <f>_xlfn.XLOOKUP($A4894,Load!$B:$B,Load!I:I,0,)</f>
        <v>Everyday Candy Shapes (like Original, Gummy bear, Fruit, Jewels, etc.)</v>
      </c>
      <c r="I4894" t="str">
        <f>_xlfn.XLOOKUP($A4894,Load!$B:$B,Load!J:J,0,)</f>
        <v>Seasonal Graphics (Like Bat, Ghost, Pumpkin, Fall Leaves, Eyeballs, etc.)</v>
      </c>
      <c r="J4894" t="str">
        <f>_xlfn.XLOOKUP($A4894,Load!$B:$B,Load!K:K,0,)</f>
        <v>Fun Size / Treat Size</v>
      </c>
      <c r="K4894" t="str">
        <f>_xlfn.XLOOKUP($A4894,Load!$B:$B,Load!L:L,0,)</f>
        <v>Regular/Original Wrapping</v>
      </c>
      <c r="L4894" t="str">
        <f>_xlfn.XLOOKUP($A4894,Load!$B:$B,Load!M:M,0,)</f>
        <v>Multiple Brands / Variety Flavors or Form</v>
      </c>
    </row>
    <row r="4895" spans="1:12" x14ac:dyDescent="0.25">
      <c r="A4895" t="s">
        <v>107</v>
      </c>
      <c r="B4895" t="str">
        <f>_xlfn.XLOOKUP($A4895,Load!$B:$B,Load!C:C,0,)</f>
        <v>Frankford</v>
      </c>
      <c r="C4895" t="str">
        <f>_xlfn.XLOOKUP($A4895,Load!$B:$B,Load!D:D,0,)</f>
        <v>Non-Chocolate Candy Only</v>
      </c>
      <c r="D4895" t="str">
        <f>_xlfn.XLOOKUP($A4895,Load!$B:$B,Load!E:E,0,)</f>
        <v>Variety / Mixed Flavors (Fruity, Sour, Seasonal Flavors)</v>
      </c>
      <c r="E4895" t="str">
        <f>_xlfn.XLOOKUP($A4895,Load!$B:$B,Load!F:F,0,)</f>
        <v>Mixed / Combo Packs (Gummy, Chewy, Taffy, etc.)</v>
      </c>
      <c r="F4895" t="str">
        <f>_xlfn.XLOOKUP($A4895,Load!$B:$B,Load!G:G,0,)</f>
        <v>Large Multipack (More than 80 ct)</v>
      </c>
      <c r="G4895" t="str">
        <f>_xlfn.XLOOKUP($A4895,Load!$B:$B,Load!H:H,0,)</f>
        <v>Laydown Bag</v>
      </c>
      <c r="H4895" t="str">
        <f>_xlfn.XLOOKUP($A4895,Load!$B:$B,Load!I:I,0,)</f>
        <v>Everyday Candy Shapes (like Original, Gummy bear, Fruit, Jewels, etc.)</v>
      </c>
      <c r="I4895" t="str">
        <f>_xlfn.XLOOKUP($A4895,Load!$B:$B,Load!J:J,0,)</f>
        <v>Seasonal Graphics (Like Bat, Ghost, Pumpkin, Fall Leaves, Eyeballs, etc.)</v>
      </c>
      <c r="J4895" t="str">
        <f>_xlfn.XLOOKUP($A4895,Load!$B:$B,Load!K:K,0,)</f>
        <v xml:space="preserve">Variety Candy Sizes </v>
      </c>
      <c r="K4895" t="str">
        <f>_xlfn.XLOOKUP($A4895,Load!$B:$B,Load!L:L,0,)</f>
        <v>Regular/Original Wrapping</v>
      </c>
      <c r="L4895" t="str">
        <f>_xlfn.XLOOKUP($A4895,Load!$B:$B,Load!M:M,0,)</f>
        <v>Multiple Brands / Variety Flavors or Form</v>
      </c>
    </row>
    <row r="4896" spans="1:12" x14ac:dyDescent="0.25">
      <c r="A4896" t="s">
        <v>138</v>
      </c>
      <c r="B4896" t="str">
        <f>_xlfn.XLOOKUP($A4896,Load!$B:$B,Load!C:C,0,)</f>
        <v>Hershey's Variety Pack + Haribo</v>
      </c>
      <c r="C4896" t="str">
        <f>_xlfn.XLOOKUP($A4896,Load!$B:$B,Load!D:D,0,)</f>
        <v>Non-Chocolate Candy Only</v>
      </c>
      <c r="D4896" t="str">
        <f>_xlfn.XLOOKUP($A4896,Load!$B:$B,Load!E:E,0,)</f>
        <v>Variety / Mixed Flavors (Fruity, Sour, Seasonal Flavors)</v>
      </c>
      <c r="E4896" t="str">
        <f>_xlfn.XLOOKUP($A4896,Load!$B:$B,Load!F:F,0,)</f>
        <v>Mixed / Combo Packs (Gummy, Chewy, Taffy, etc.)</v>
      </c>
      <c r="F4896" t="str">
        <f>_xlfn.XLOOKUP($A4896,Load!$B:$B,Load!G:G,0,)</f>
        <v>Medium Multipack (40–80 ct)</v>
      </c>
      <c r="G4896" t="str">
        <f>_xlfn.XLOOKUP($A4896,Load!$B:$B,Load!H:H,0,)</f>
        <v>Laydown Bag</v>
      </c>
      <c r="H4896" t="str">
        <f>_xlfn.XLOOKUP($A4896,Load!$B:$B,Load!I:I,0,)</f>
        <v>Everyday Candy Shapes (like Original, Gummy bear, Fruit, Jewels, etc.)</v>
      </c>
      <c r="I4896" t="str">
        <f>_xlfn.XLOOKUP($A4896,Load!$B:$B,Load!J:J,0,)</f>
        <v>Seasonal Graphics (Like Bat, Ghost, Pumpkin, Fall Leaves, Eyeballs, etc.)</v>
      </c>
      <c r="J4896" t="str">
        <f>_xlfn.XLOOKUP($A4896,Load!$B:$B,Load!K:K,0,)</f>
        <v>Fun Size / Treat Size</v>
      </c>
      <c r="K4896" t="str">
        <f>_xlfn.XLOOKUP($A4896,Load!$B:$B,Load!L:L,0,)</f>
        <v>Regular/Original Wrapping</v>
      </c>
      <c r="L4896" t="str">
        <f>_xlfn.XLOOKUP($A4896,Load!$B:$B,Load!M:M,0,)</f>
        <v>Multiple Brands / Variety Flavors or Form</v>
      </c>
    </row>
    <row r="4897" spans="1:12" x14ac:dyDescent="0.25">
      <c r="A4897" t="s">
        <v>301</v>
      </c>
      <c r="B4897" t="str">
        <f>_xlfn.XLOOKUP($A4897,Load!$B:$B,Load!C:C,0,)</f>
        <v>Twizzlers</v>
      </c>
      <c r="C4897" t="str">
        <f>_xlfn.XLOOKUP($A4897,Load!$B:$B,Load!D:D,0,)</f>
        <v>Non-Chocolate Candy Only</v>
      </c>
      <c r="D4897" t="str">
        <f>_xlfn.XLOOKUP($A4897,Load!$B:$B,Load!E:E,0,)</f>
        <v>Variety / Mixed Flavors (Fruity, Sour, Seasonal Flavors)</v>
      </c>
      <c r="E4897" t="str">
        <f>_xlfn.XLOOKUP($A4897,Load!$B:$B,Load!F:F,0,)</f>
        <v>Mixed / Combo Packs (Gummy, Chewy, Taffy, etc.)</v>
      </c>
      <c r="F4897" t="str">
        <f>_xlfn.XLOOKUP($A4897,Load!$B:$B,Load!G:G,0,)</f>
        <v>Medium Multipack (40–80 ct)</v>
      </c>
      <c r="G4897" t="str">
        <f>_xlfn.XLOOKUP($A4897,Load!$B:$B,Load!H:H,0,)</f>
        <v>Laydown Bag</v>
      </c>
      <c r="H4897" t="str">
        <f>_xlfn.XLOOKUP($A4897,Load!$B:$B,Load!I:I,0,)</f>
        <v>Everyday Candy Shapes (like Original, Gummy bear, Fruit, Jewels, etc.)</v>
      </c>
      <c r="I4897" t="str">
        <f>_xlfn.XLOOKUP($A4897,Load!$B:$B,Load!J:J,0,)</f>
        <v>Seasonal Graphics (Like Bat, Ghost, Pumpkin, Fall Leaves, Eyeballs, etc.)</v>
      </c>
      <c r="J4897" t="str">
        <f>_xlfn.XLOOKUP($A4897,Load!$B:$B,Load!K:K,0,)</f>
        <v>Fun Size / Treat Size</v>
      </c>
      <c r="K4897" t="str">
        <f>_xlfn.XLOOKUP($A4897,Load!$B:$B,Load!L:L,0,)</f>
        <v>Regular/Original Wrapping</v>
      </c>
      <c r="L4897" t="str">
        <f>_xlfn.XLOOKUP($A4897,Load!$B:$B,Load!M:M,0,)</f>
        <v>Single Brand / Variety Flavors or Form</v>
      </c>
    </row>
    <row r="4898" spans="1:12" x14ac:dyDescent="0.25">
      <c r="A4898" t="s">
        <v>110</v>
      </c>
      <c r="B4898" t="str">
        <f>_xlfn.XLOOKUP($A4898,Load!$B:$B,Load!C:C,0,)</f>
        <v>Frankford</v>
      </c>
      <c r="C4898" t="str">
        <f>_xlfn.XLOOKUP($A4898,Load!$B:$B,Load!D:D,0,)</f>
        <v>Non-Chocolate Candy Only</v>
      </c>
      <c r="D4898" t="str">
        <f>_xlfn.XLOOKUP($A4898,Load!$B:$B,Load!E:E,0,)</f>
        <v>Fruit Flavor (Cherry, Grape, Apple, Citrus, Tropical Fruit)</v>
      </c>
      <c r="E4898" t="str">
        <f>_xlfn.XLOOKUP($A4898,Load!$B:$B,Load!F:F,0,)</f>
        <v>Gummy</v>
      </c>
      <c r="F4898" t="str">
        <f>_xlfn.XLOOKUP($A4898,Load!$B:$B,Load!G:G,0,)</f>
        <v>Single Pack</v>
      </c>
      <c r="G4898" t="str">
        <f>_xlfn.XLOOKUP($A4898,Load!$B:$B,Load!H:H,0,)</f>
        <v>Plastic Cup / Container</v>
      </c>
      <c r="H4898" t="str">
        <f>_xlfn.XLOOKUP($A4898,Load!$B:$B,Load!I:I,0,)</f>
        <v>Seasonal Shapes (like pumpkins, candy corn, ghost, bats, etc.)</v>
      </c>
      <c r="I4898" t="str">
        <f>_xlfn.XLOOKUP($A4898,Load!$B:$B,Load!J:J,0,)</f>
        <v>Seasonal Graphics (Like Bat, Ghost, Pumpkin, Fall Leaves, Eyeballs, etc.)</v>
      </c>
      <c r="J4898" t="str">
        <f>_xlfn.XLOOKUP($A4898,Load!$B:$B,Load!K:K,0,)</f>
        <v>Fun Size / Treat Size</v>
      </c>
      <c r="K4898" t="str">
        <f>_xlfn.XLOOKUP($A4898,Load!$B:$B,Load!L:L,0,)</f>
        <v>Unwrapped</v>
      </c>
      <c r="L4898" t="str">
        <f>_xlfn.XLOOKUP($A4898,Load!$B:$B,Load!M:M,0,)</f>
        <v>Single Brand / Variety Flavors or Form</v>
      </c>
    </row>
    <row r="4899" spans="1:12" x14ac:dyDescent="0.25">
      <c r="B4899">
        <f>_xlfn.XLOOKUP($A4899,Load!$B:$B,Load!C:C,0,)</f>
        <v>0</v>
      </c>
      <c r="C4899">
        <f>_xlfn.XLOOKUP($A4899,Load!$B:$B,Load!D:D,0,)</f>
        <v>0</v>
      </c>
      <c r="D4899">
        <f>_xlfn.XLOOKUP($A4899,Load!$B:$B,Load!E:E,0,)</f>
        <v>0</v>
      </c>
      <c r="E4899">
        <f>_xlfn.XLOOKUP($A4899,Load!$B:$B,Load!F:F,0,)</f>
        <v>0</v>
      </c>
      <c r="F4899">
        <f>_xlfn.XLOOKUP($A4899,Load!$B:$B,Load!G:G,0,)</f>
        <v>0</v>
      </c>
      <c r="G4899">
        <f>_xlfn.XLOOKUP($A4899,Load!$B:$B,Load!H:H,0,)</f>
        <v>0</v>
      </c>
      <c r="H4899">
        <f>_xlfn.XLOOKUP($A4899,Load!$B:$B,Load!I:I,0,)</f>
        <v>0</v>
      </c>
      <c r="I4899">
        <f>_xlfn.XLOOKUP($A4899,Load!$B:$B,Load!J:J,0,)</f>
        <v>0</v>
      </c>
      <c r="J4899">
        <f>_xlfn.XLOOKUP($A4899,Load!$B:$B,Load!K:K,0,)</f>
        <v>0</v>
      </c>
      <c r="K4899">
        <f>_xlfn.XLOOKUP($A4899,Load!$B:$B,Load!L:L,0,)</f>
        <v>0</v>
      </c>
      <c r="L4899">
        <f>_xlfn.XLOOKUP($A4899,Load!$B:$B,Load!M:M,0,)</f>
        <v>0</v>
      </c>
    </row>
    <row r="4900" spans="1:12" x14ac:dyDescent="0.25">
      <c r="A4900" t="s">
        <v>187</v>
      </c>
      <c r="B4900" t="str">
        <f>_xlfn.XLOOKUP($A4900,Load!$B:$B,Load!C:C,0,)</f>
        <v>Mars Variety Pack</v>
      </c>
      <c r="C4900" t="str">
        <f>_xlfn.XLOOKUP($A4900,Load!$B:$B,Load!D:D,0,)</f>
        <v>Mix of Chocolate and Non-Chocolate Candy</v>
      </c>
      <c r="D4900" t="str">
        <f>_xlfn.XLOOKUP($A4900,Load!$B:$B,Load!E:E,0,)</f>
        <v>Variety / Mixed Flavors (Fruity, Sour, Seasonal Flavors)</v>
      </c>
      <c r="E4900" t="str">
        <f>_xlfn.XLOOKUP($A4900,Load!$B:$B,Load!F:F,0,)</f>
        <v>Mixed / Combo Packs (Gummy, Chewy, Taffy, etc.)</v>
      </c>
      <c r="F4900" t="str">
        <f>_xlfn.XLOOKUP($A4900,Load!$B:$B,Load!G:G,0,)</f>
        <v>Medium Multipack (40–80 ct)</v>
      </c>
      <c r="G4900" t="str">
        <f>_xlfn.XLOOKUP($A4900,Load!$B:$B,Load!H:H,0,)</f>
        <v>Stand-Up Bag</v>
      </c>
      <c r="H4900" t="str">
        <f>_xlfn.XLOOKUP($A4900,Load!$B:$B,Load!I:I,0,)</f>
        <v>Everyday Candy Shapes (like Original, Gummy bear, Fruit, Jewels, etc.)</v>
      </c>
      <c r="I4900" t="str">
        <f>_xlfn.XLOOKUP($A4900,Load!$B:$B,Load!J:J,0,)</f>
        <v>Seasonal Graphics (Like Bat, Ghost, Pumpkin, Fall Leaves, Eyeballs, etc.)</v>
      </c>
      <c r="J4900" t="str">
        <f>_xlfn.XLOOKUP($A4900,Load!$B:$B,Load!K:K,0,)</f>
        <v>Fun Size / Treat Size</v>
      </c>
      <c r="K4900" t="str">
        <f>_xlfn.XLOOKUP($A4900,Load!$B:$B,Load!L:L,0,)</f>
        <v>Regular/Original Wrapping</v>
      </c>
      <c r="L4900" t="str">
        <f>_xlfn.XLOOKUP($A4900,Load!$B:$B,Load!M:M,0,)</f>
        <v>Multiple Brands / Variety Flavors or Form</v>
      </c>
    </row>
    <row r="4901" spans="1:12" x14ac:dyDescent="0.25">
      <c r="B4901">
        <f>_xlfn.XLOOKUP($A4901,Load!$B:$B,Load!C:C,0,)</f>
        <v>0</v>
      </c>
      <c r="C4901">
        <f>_xlfn.XLOOKUP($A4901,Load!$B:$B,Load!D:D,0,)</f>
        <v>0</v>
      </c>
      <c r="D4901">
        <f>_xlfn.XLOOKUP($A4901,Load!$B:$B,Load!E:E,0,)</f>
        <v>0</v>
      </c>
      <c r="E4901">
        <f>_xlfn.XLOOKUP($A4901,Load!$B:$B,Load!F:F,0,)</f>
        <v>0</v>
      </c>
      <c r="F4901">
        <f>_xlfn.XLOOKUP($A4901,Load!$B:$B,Load!G:G,0,)</f>
        <v>0</v>
      </c>
      <c r="G4901">
        <f>_xlfn.XLOOKUP($A4901,Load!$B:$B,Load!H:H,0,)</f>
        <v>0</v>
      </c>
      <c r="H4901">
        <f>_xlfn.XLOOKUP($A4901,Load!$B:$B,Load!I:I,0,)</f>
        <v>0</v>
      </c>
      <c r="I4901">
        <f>_xlfn.XLOOKUP($A4901,Load!$B:$B,Load!J:J,0,)</f>
        <v>0</v>
      </c>
      <c r="J4901">
        <f>_xlfn.XLOOKUP($A4901,Load!$B:$B,Load!K:K,0,)</f>
        <v>0</v>
      </c>
      <c r="K4901">
        <f>_xlfn.XLOOKUP($A4901,Load!$B:$B,Load!L:L,0,)</f>
        <v>0</v>
      </c>
      <c r="L4901">
        <f>_xlfn.XLOOKUP($A4901,Load!$B:$B,Load!M:M,0,)</f>
        <v>0</v>
      </c>
    </row>
    <row r="4902" spans="1:12" x14ac:dyDescent="0.25">
      <c r="A4902" t="s">
        <v>276</v>
      </c>
      <c r="B4902" t="str">
        <f>_xlfn.XLOOKUP($A4902,Load!$B:$B,Load!C:C,0,)</f>
        <v>Sour Patch Kids</v>
      </c>
      <c r="C4902" t="str">
        <f>_xlfn.XLOOKUP($A4902,Load!$B:$B,Load!D:D,0,)</f>
        <v>Non-Chocolate Candy Only</v>
      </c>
      <c r="D4902" t="str">
        <f>_xlfn.XLOOKUP($A4902,Load!$B:$B,Load!E:E,0,)</f>
        <v>Sour</v>
      </c>
      <c r="E4902" t="str">
        <f>_xlfn.XLOOKUP($A4902,Load!$B:$B,Load!F:F,0,)</f>
        <v>Chewy</v>
      </c>
      <c r="F4902" t="str">
        <f>_xlfn.XLOOKUP($A4902,Load!$B:$B,Load!G:G,0,)</f>
        <v>Small Multipack (Less than 40 ct)</v>
      </c>
      <c r="G4902" t="str">
        <f>_xlfn.XLOOKUP($A4902,Load!$B:$B,Load!H:H,0,)</f>
        <v>Stand-Up Bag</v>
      </c>
      <c r="H4902" t="str">
        <f>_xlfn.XLOOKUP($A4902,Load!$B:$B,Load!I:I,0,)</f>
        <v>Everyday Candy Shapes (like Original, Gummy bear, Fruit, Jewels, etc.)</v>
      </c>
      <c r="I4902" t="str">
        <f>_xlfn.XLOOKUP($A4902,Load!$B:$B,Load!J:J,0,)</f>
        <v>Seasonal Graphics (Like Bat, Ghost, Pumpkin, Fall Leaves, Eyeballs, etc.)</v>
      </c>
      <c r="J4902" t="str">
        <f>_xlfn.XLOOKUP($A4902,Load!$B:$B,Load!K:K,0,)</f>
        <v>Small Pieces (Tiny bite size candies)</v>
      </c>
      <c r="K4902" t="str">
        <f>_xlfn.XLOOKUP($A4902,Load!$B:$B,Load!L:L,0,)</f>
        <v>Unwrapped</v>
      </c>
      <c r="L4902" t="str">
        <f>_xlfn.XLOOKUP($A4902,Load!$B:$B,Load!M:M,0,)</f>
        <v>Single Brand / Single Flavor or Form</v>
      </c>
    </row>
    <row r="4903" spans="1:12" x14ac:dyDescent="0.25">
      <c r="B4903">
        <f>_xlfn.XLOOKUP($A4903,Load!$B:$B,Load!C:C,0,)</f>
        <v>0</v>
      </c>
      <c r="C4903">
        <f>_xlfn.XLOOKUP($A4903,Load!$B:$B,Load!D:D,0,)</f>
        <v>0</v>
      </c>
      <c r="D4903">
        <f>_xlfn.XLOOKUP($A4903,Load!$B:$B,Load!E:E,0,)</f>
        <v>0</v>
      </c>
      <c r="E4903">
        <f>_xlfn.XLOOKUP($A4903,Load!$B:$B,Load!F:F,0,)</f>
        <v>0</v>
      </c>
      <c r="F4903">
        <f>_xlfn.XLOOKUP($A4903,Load!$B:$B,Load!G:G,0,)</f>
        <v>0</v>
      </c>
      <c r="G4903">
        <f>_xlfn.XLOOKUP($A4903,Load!$B:$B,Load!H:H,0,)</f>
        <v>0</v>
      </c>
      <c r="H4903">
        <f>_xlfn.XLOOKUP($A4903,Load!$B:$B,Load!I:I,0,)</f>
        <v>0</v>
      </c>
      <c r="I4903">
        <f>_xlfn.XLOOKUP($A4903,Load!$B:$B,Load!J:J,0,)</f>
        <v>0</v>
      </c>
      <c r="J4903">
        <f>_xlfn.XLOOKUP($A4903,Load!$B:$B,Load!K:K,0,)</f>
        <v>0</v>
      </c>
      <c r="K4903">
        <f>_xlfn.XLOOKUP($A4903,Load!$B:$B,Load!L:L,0,)</f>
        <v>0</v>
      </c>
      <c r="L4903">
        <f>_xlfn.XLOOKUP($A4903,Load!$B:$B,Load!M:M,0,)</f>
        <v>0</v>
      </c>
    </row>
    <row r="4904" spans="1:12" x14ac:dyDescent="0.25">
      <c r="A4904" t="s">
        <v>132</v>
      </c>
      <c r="B4904" t="str">
        <f>_xlfn.XLOOKUP($A4904,Load!$B:$B,Load!C:C,0,)</f>
        <v>Hershey's</v>
      </c>
      <c r="C4904" t="str">
        <f>_xlfn.XLOOKUP($A4904,Load!$B:$B,Load!D:D,0,)</f>
        <v>Mix of Chocolate and Non-Chocolate Candy</v>
      </c>
      <c r="D4904" t="str">
        <f>_xlfn.XLOOKUP($A4904,Load!$B:$B,Load!E:E,0,)</f>
        <v>Variety / Mixed Flavors (Fruity, Sour, Seasonal Flavors)</v>
      </c>
      <c r="E4904" t="str">
        <f>_xlfn.XLOOKUP($A4904,Load!$B:$B,Load!F:F,0,)</f>
        <v>Mixed / Combo Packs (Gummy, Chewy, Taffy, etc.)</v>
      </c>
      <c r="F4904" t="str">
        <f>_xlfn.XLOOKUP($A4904,Load!$B:$B,Load!G:G,0,)</f>
        <v>Small Multipack (Less than 40 ct)</v>
      </c>
      <c r="G4904" t="str">
        <f>_xlfn.XLOOKUP($A4904,Load!$B:$B,Load!H:H,0,)</f>
        <v>Laydown Bag</v>
      </c>
      <c r="H4904" t="str">
        <f>_xlfn.XLOOKUP($A4904,Load!$B:$B,Load!I:I,0,)</f>
        <v>Everyday Candy Shapes (like Original, Gummy bear, Fruit, Jewels, etc.)</v>
      </c>
      <c r="I4904" t="str">
        <f>_xlfn.XLOOKUP($A4904,Load!$B:$B,Load!J:J,0,)</f>
        <v>Seasonal Graphics (Like Bat, Ghost, Pumpkin, Fall Leaves, Eyeballs, etc.)</v>
      </c>
      <c r="J4904" t="str">
        <f>_xlfn.XLOOKUP($A4904,Load!$B:$B,Load!K:K,0,)</f>
        <v xml:space="preserve">Variety Candy Sizes </v>
      </c>
      <c r="K4904" t="str">
        <f>_xlfn.XLOOKUP($A4904,Load!$B:$B,Load!L:L,0,)</f>
        <v>Regular/Original Wrapping</v>
      </c>
      <c r="L4904" t="str">
        <f>_xlfn.XLOOKUP($A4904,Load!$B:$B,Load!M:M,0,)</f>
        <v>Multiple Brands / Variety Flavors or Form</v>
      </c>
    </row>
    <row r="4905" spans="1:12" x14ac:dyDescent="0.25">
      <c r="B4905">
        <f>_xlfn.XLOOKUP($A4905,Load!$B:$B,Load!C:C,0,)</f>
        <v>0</v>
      </c>
      <c r="C4905">
        <f>_xlfn.XLOOKUP($A4905,Load!$B:$B,Load!D:D,0,)</f>
        <v>0</v>
      </c>
      <c r="D4905">
        <f>_xlfn.XLOOKUP($A4905,Load!$B:$B,Load!E:E,0,)</f>
        <v>0</v>
      </c>
      <c r="E4905">
        <f>_xlfn.XLOOKUP($A4905,Load!$B:$B,Load!F:F,0,)</f>
        <v>0</v>
      </c>
      <c r="F4905">
        <f>_xlfn.XLOOKUP($A4905,Load!$B:$B,Load!G:G,0,)</f>
        <v>0</v>
      </c>
      <c r="G4905">
        <f>_xlfn.XLOOKUP($A4905,Load!$B:$B,Load!H:H,0,)</f>
        <v>0</v>
      </c>
      <c r="H4905">
        <f>_xlfn.XLOOKUP($A4905,Load!$B:$B,Load!I:I,0,)</f>
        <v>0</v>
      </c>
      <c r="I4905">
        <f>_xlfn.XLOOKUP($A4905,Load!$B:$B,Load!J:J,0,)</f>
        <v>0</v>
      </c>
      <c r="J4905">
        <f>_xlfn.XLOOKUP($A4905,Load!$B:$B,Load!K:K,0,)</f>
        <v>0</v>
      </c>
      <c r="K4905">
        <f>_xlfn.XLOOKUP($A4905,Load!$B:$B,Load!L:L,0,)</f>
        <v>0</v>
      </c>
      <c r="L4905">
        <f>_xlfn.XLOOKUP($A4905,Load!$B:$B,Load!M:M,0,)</f>
        <v>0</v>
      </c>
    </row>
    <row r="4906" spans="1:12" x14ac:dyDescent="0.25">
      <c r="A4906" t="s">
        <v>157</v>
      </c>
      <c r="B4906" t="str">
        <f>_xlfn.XLOOKUP($A4906,Load!$B:$B,Load!C:C,0,)</f>
        <v>Jolly Rancher</v>
      </c>
      <c r="C4906" t="str">
        <f>_xlfn.XLOOKUP($A4906,Load!$B:$B,Load!D:D,0,)</f>
        <v>Non-Chocolate Candy Only</v>
      </c>
      <c r="D4906" t="str">
        <f>_xlfn.XLOOKUP($A4906,Load!$B:$B,Load!E:E,0,)</f>
        <v>Fruit Flavor (Cherry, Grape, Apple, Citrus, Tropical Fruit)</v>
      </c>
      <c r="E4906" t="str">
        <f>_xlfn.XLOOKUP($A4906,Load!$B:$B,Load!F:F,0,)</f>
        <v>Hard Candy</v>
      </c>
      <c r="F4906" t="str">
        <f>_xlfn.XLOOKUP($A4906,Load!$B:$B,Load!G:G,0,)</f>
        <v>Single Pack</v>
      </c>
      <c r="G4906" t="str">
        <f>_xlfn.XLOOKUP($A4906,Load!$B:$B,Load!H:H,0,)</f>
        <v>Laydown Bag</v>
      </c>
      <c r="H4906" t="str">
        <f>_xlfn.XLOOKUP($A4906,Load!$B:$B,Load!I:I,0,)</f>
        <v>Everyday Candy Shapes (like Original, Gummy bear, Fruit, Jewels, etc.)</v>
      </c>
      <c r="I4906" t="str">
        <f>_xlfn.XLOOKUP($A4906,Load!$B:$B,Load!J:J,0,)</f>
        <v>Everyday Graphics</v>
      </c>
      <c r="J4906" t="str">
        <f>_xlfn.XLOOKUP($A4906,Load!$B:$B,Load!K:K,0,)</f>
        <v>Small Pieces (Tiny bite size candies)</v>
      </c>
      <c r="K4906" t="str">
        <f>_xlfn.XLOOKUP($A4906,Load!$B:$B,Load!L:L,0,)</f>
        <v>Regular/Original Wrapping</v>
      </c>
      <c r="L4906" t="str">
        <f>_xlfn.XLOOKUP($A4906,Load!$B:$B,Load!M:M,0,)</f>
        <v>Single Brand / Variety Flavors or Form</v>
      </c>
    </row>
    <row r="4907" spans="1:12" x14ac:dyDescent="0.25">
      <c r="A4907" t="s">
        <v>129</v>
      </c>
      <c r="B4907" t="str">
        <f>_xlfn.XLOOKUP($A4907,Load!$B:$B,Load!C:C,0,)</f>
        <v>HARIBO</v>
      </c>
      <c r="C4907" t="str">
        <f>_xlfn.XLOOKUP($A4907,Load!$B:$B,Load!D:D,0,)</f>
        <v>Non-Chocolate Candy Only</v>
      </c>
      <c r="D4907" t="str">
        <f>_xlfn.XLOOKUP($A4907,Load!$B:$B,Load!E:E,0,)</f>
        <v>Fruit Flavor (Cherry, Grape, Apple, Citrus, Tropical Fruit)</v>
      </c>
      <c r="E4907" t="str">
        <f>_xlfn.XLOOKUP($A4907,Load!$B:$B,Load!F:F,0,)</f>
        <v>Gummy</v>
      </c>
      <c r="F4907" t="str">
        <f>_xlfn.XLOOKUP($A4907,Load!$B:$B,Load!G:G,0,)</f>
        <v>Single Pack</v>
      </c>
      <c r="G4907" t="str">
        <f>_xlfn.XLOOKUP($A4907,Load!$B:$B,Load!H:H,0,)</f>
        <v>Peg Bag</v>
      </c>
      <c r="H4907" t="str">
        <f>_xlfn.XLOOKUP($A4907,Load!$B:$B,Load!I:I,0,)</f>
        <v>Everyday Candy Shapes (like Original, Gummy bear, Fruit, Jewels, etc.)</v>
      </c>
      <c r="I4907" t="str">
        <f>_xlfn.XLOOKUP($A4907,Load!$B:$B,Load!J:J,0,)</f>
        <v>Everyday Graphics</v>
      </c>
      <c r="J4907" t="str">
        <f>_xlfn.XLOOKUP($A4907,Load!$B:$B,Load!K:K,0,)</f>
        <v>Small Pieces (Tiny bite size candies)</v>
      </c>
      <c r="K4907" t="str">
        <f>_xlfn.XLOOKUP($A4907,Load!$B:$B,Load!L:L,0,)</f>
        <v>Regular/Original Wrapping</v>
      </c>
      <c r="L4907" t="str">
        <f>_xlfn.XLOOKUP($A4907,Load!$B:$B,Load!M:M,0,)</f>
        <v>Single Brand / Variety Flavors or Form</v>
      </c>
    </row>
    <row r="4908" spans="1:12" x14ac:dyDescent="0.25">
      <c r="B4908">
        <f>_xlfn.XLOOKUP($A4908,Load!$B:$B,Load!C:C,0,)</f>
        <v>0</v>
      </c>
      <c r="C4908">
        <f>_xlfn.XLOOKUP($A4908,Load!$B:$B,Load!D:D,0,)</f>
        <v>0</v>
      </c>
      <c r="D4908">
        <f>_xlfn.XLOOKUP($A4908,Load!$B:$B,Load!E:E,0,)</f>
        <v>0</v>
      </c>
      <c r="E4908">
        <f>_xlfn.XLOOKUP($A4908,Load!$B:$B,Load!F:F,0,)</f>
        <v>0</v>
      </c>
      <c r="F4908">
        <f>_xlfn.XLOOKUP($A4908,Load!$B:$B,Load!G:G,0,)</f>
        <v>0</v>
      </c>
      <c r="G4908">
        <f>_xlfn.XLOOKUP($A4908,Load!$B:$B,Load!H:H,0,)</f>
        <v>0</v>
      </c>
      <c r="H4908">
        <f>_xlfn.XLOOKUP($A4908,Load!$B:$B,Load!I:I,0,)</f>
        <v>0</v>
      </c>
      <c r="I4908">
        <f>_xlfn.XLOOKUP($A4908,Load!$B:$B,Load!J:J,0,)</f>
        <v>0</v>
      </c>
      <c r="J4908">
        <f>_xlfn.XLOOKUP($A4908,Load!$B:$B,Load!K:K,0,)</f>
        <v>0</v>
      </c>
      <c r="K4908">
        <f>_xlfn.XLOOKUP($A4908,Load!$B:$B,Load!L:L,0,)</f>
        <v>0</v>
      </c>
      <c r="L4908">
        <f>_xlfn.XLOOKUP($A4908,Load!$B:$B,Load!M:M,0,)</f>
        <v>0</v>
      </c>
    </row>
    <row r="4909" spans="1:12" x14ac:dyDescent="0.25">
      <c r="B4909">
        <f>_xlfn.XLOOKUP($A4909,Load!$B:$B,Load!C:C,0,)</f>
        <v>0</v>
      </c>
      <c r="C4909">
        <f>_xlfn.XLOOKUP($A4909,Load!$B:$B,Load!D:D,0,)</f>
        <v>0</v>
      </c>
      <c r="D4909">
        <f>_xlfn.XLOOKUP($A4909,Load!$B:$B,Load!E:E,0,)</f>
        <v>0</v>
      </c>
      <c r="E4909">
        <f>_xlfn.XLOOKUP($A4909,Load!$B:$B,Load!F:F,0,)</f>
        <v>0</v>
      </c>
      <c r="F4909">
        <f>_xlfn.XLOOKUP($A4909,Load!$B:$B,Load!G:G,0,)</f>
        <v>0</v>
      </c>
      <c r="G4909">
        <f>_xlfn.XLOOKUP($A4909,Load!$B:$B,Load!H:H,0,)</f>
        <v>0</v>
      </c>
      <c r="H4909">
        <f>_xlfn.XLOOKUP($A4909,Load!$B:$B,Load!I:I,0,)</f>
        <v>0</v>
      </c>
      <c r="I4909">
        <f>_xlfn.XLOOKUP($A4909,Load!$B:$B,Load!J:J,0,)</f>
        <v>0</v>
      </c>
      <c r="J4909">
        <f>_xlfn.XLOOKUP($A4909,Load!$B:$B,Load!K:K,0,)</f>
        <v>0</v>
      </c>
      <c r="K4909">
        <f>_xlfn.XLOOKUP($A4909,Load!$B:$B,Load!L:L,0,)</f>
        <v>0</v>
      </c>
      <c r="L4909">
        <f>_xlfn.XLOOKUP($A4909,Load!$B:$B,Load!M:M,0,)</f>
        <v>0</v>
      </c>
    </row>
    <row r="4910" spans="1:12" x14ac:dyDescent="0.25">
      <c r="A4910" t="s">
        <v>326</v>
      </c>
      <c r="B4910" t="str">
        <f>_xlfn.XLOOKUP($A4910,Load!$B:$B,Load!C:C,0,)</f>
        <v>Mondelez Variety Pack</v>
      </c>
      <c r="C4910" t="str">
        <f>_xlfn.XLOOKUP($A4910,Load!$B:$B,Load!D:D,0,)</f>
        <v>Mix of Chocolate and Non-Chocolate Candy</v>
      </c>
      <c r="D4910" t="str">
        <f>_xlfn.XLOOKUP($A4910,Load!$B:$B,Load!E:E,0,)</f>
        <v>Variety / Mixed Flavors (Fruity, Sour, Seasonal Flavors)</v>
      </c>
      <c r="E4910" t="str">
        <f>_xlfn.XLOOKUP($A4910,Load!$B:$B,Load!F:F,0,)</f>
        <v>Mixed / Combo Packs (Gummy, Chewy, Taffy, etc.)</v>
      </c>
      <c r="F4910" t="str">
        <f>_xlfn.XLOOKUP($A4910,Load!$B:$B,Load!G:G,0,)</f>
        <v>Medium Multipack (40–80 ct)</v>
      </c>
      <c r="G4910" t="str">
        <f>_xlfn.XLOOKUP($A4910,Load!$B:$B,Load!H:H,0,)</f>
        <v>Stand-Up Bag</v>
      </c>
      <c r="H4910" t="str">
        <f>_xlfn.XLOOKUP($A4910,Load!$B:$B,Load!I:I,0,)</f>
        <v>Everyday Candy Shapes (like Original, Gummy bear, Fruit, Jewels, etc.)</v>
      </c>
      <c r="I4910" t="str">
        <f>_xlfn.XLOOKUP($A4910,Load!$B:$B,Load!J:J,0,)</f>
        <v>Seasonal Graphics (Like Bat, Ghost, Pumpkin, Fall Leaves, Eyeballs, etc.)</v>
      </c>
      <c r="J4910" t="str">
        <f>_xlfn.XLOOKUP($A4910,Load!$B:$B,Load!K:K,0,)</f>
        <v xml:space="preserve">Variety Candy Sizes </v>
      </c>
      <c r="K4910" t="str">
        <f>_xlfn.XLOOKUP($A4910,Load!$B:$B,Load!L:L,0,)</f>
        <v>Regular/Original Wrapping</v>
      </c>
      <c r="L4910" t="str">
        <f>_xlfn.XLOOKUP($A4910,Load!$B:$B,Load!M:M,0,)</f>
        <v>Multiple Brands / Variety Flavors or Form</v>
      </c>
    </row>
    <row r="4911" spans="1:12" x14ac:dyDescent="0.25">
      <c r="A4911" t="s">
        <v>463</v>
      </c>
      <c r="B4911" t="str">
        <f>_xlfn.XLOOKUP($A4911,Load!$B:$B,Load!C:C,0,)</f>
        <v>Mars Variety Pack</v>
      </c>
      <c r="C4911" t="str">
        <f>_xlfn.XLOOKUP($A4911,Load!$B:$B,Load!D:D,0,)</f>
        <v>Mix of Chocolate and Non-Chocolate Candy</v>
      </c>
      <c r="D4911" t="str">
        <f>_xlfn.XLOOKUP($A4911,Load!$B:$B,Load!E:E,0,)</f>
        <v>Variety / Mixed Flavors (Fruity, Sour, Seasonal Flavors)</v>
      </c>
      <c r="E4911" t="str">
        <f>_xlfn.XLOOKUP($A4911,Load!$B:$B,Load!F:F,0,)</f>
        <v>Mixed / Combo Packs (Gummy, Chewy, Taffy, etc.)</v>
      </c>
      <c r="F4911" t="str">
        <f>_xlfn.XLOOKUP($A4911,Load!$B:$B,Load!G:G,0,)</f>
        <v>Medium Multipack (40–80 ct)</v>
      </c>
      <c r="G4911" t="str">
        <f>_xlfn.XLOOKUP($A4911,Load!$B:$B,Load!H:H,0,)</f>
        <v>Stand-Up Bag</v>
      </c>
      <c r="H4911" t="str">
        <f>_xlfn.XLOOKUP($A4911,Load!$B:$B,Load!I:I,0,)</f>
        <v>Everyday Candy Shapes (like Original, Gummy bear, Fruit, Jewels, etc.)</v>
      </c>
      <c r="I4911" t="str">
        <f>_xlfn.XLOOKUP($A4911,Load!$B:$B,Load!J:J,0,)</f>
        <v>Seasonal Graphics (Like Bat, Ghost, Pumpkin, Fall Leaves, Eyeballs, etc.)</v>
      </c>
      <c r="J4911" t="str">
        <f>_xlfn.XLOOKUP($A4911,Load!$B:$B,Load!K:K,0,)</f>
        <v>Fun Size / Treat Size</v>
      </c>
      <c r="K4911" t="str">
        <f>_xlfn.XLOOKUP($A4911,Load!$B:$B,Load!L:L,0,)</f>
        <v>Regular/Original Wrapping</v>
      </c>
      <c r="L4911" t="str">
        <f>_xlfn.XLOOKUP($A4911,Load!$B:$B,Load!M:M,0,)</f>
        <v>Multiple Brands / Variety Flavors or Form</v>
      </c>
    </row>
    <row r="4912" spans="1:12" x14ac:dyDescent="0.25">
      <c r="A4912" t="s">
        <v>116</v>
      </c>
      <c r="B4912" t="str">
        <f>_xlfn.XLOOKUP($A4912,Load!$B:$B,Load!C:C,0,)</f>
        <v>George Howe</v>
      </c>
      <c r="C4912" t="str">
        <f>_xlfn.XLOOKUP($A4912,Load!$B:$B,Load!D:D,0,)</f>
        <v>Mix of Chocolate and Non-Chocolate Candy</v>
      </c>
      <c r="D4912" t="str">
        <f>_xlfn.XLOOKUP($A4912,Load!$B:$B,Load!E:E,0,)</f>
        <v>Fall / Seasonal Flavors (pumpkin spice, caramel apple, candy corn)</v>
      </c>
      <c r="E4912" t="str">
        <f>_xlfn.XLOOKUP($A4912,Load!$B:$B,Load!F:F,0,)</f>
        <v>Candy Pieces / Bites</v>
      </c>
      <c r="F4912" t="str">
        <f>_xlfn.XLOOKUP($A4912,Load!$B:$B,Load!G:G,0,)</f>
        <v>Single Pack</v>
      </c>
      <c r="G4912" t="str">
        <f>_xlfn.XLOOKUP($A4912,Load!$B:$B,Load!H:H,0,)</f>
        <v>Laydown Bag</v>
      </c>
      <c r="H4912" t="str">
        <f>_xlfn.XLOOKUP($A4912,Load!$B:$B,Load!I:I,0,)</f>
        <v>Seasonal Shapes (like pumpkins, candy corn, ghost, bats, etc.)</v>
      </c>
      <c r="I4912" t="str">
        <f>_xlfn.XLOOKUP($A4912,Load!$B:$B,Load!J:J,0,)</f>
        <v>Everyday Graphics</v>
      </c>
      <c r="J4912" t="str">
        <f>_xlfn.XLOOKUP($A4912,Load!$B:$B,Load!K:K,0,)</f>
        <v>Small Pieces (Tiny bite size candies)</v>
      </c>
      <c r="K4912" t="str">
        <f>_xlfn.XLOOKUP($A4912,Load!$B:$B,Load!L:L,0,)</f>
        <v>Unwrapped</v>
      </c>
      <c r="L4912" t="str">
        <f>_xlfn.XLOOKUP($A4912,Load!$B:$B,Load!M:M,0,)</f>
        <v>Single Brand / Variety Flavors or Form</v>
      </c>
    </row>
    <row r="4913" spans="1:12" x14ac:dyDescent="0.25">
      <c r="B4913">
        <f>_xlfn.XLOOKUP($A4913,Load!$B:$B,Load!C:C,0,)</f>
        <v>0</v>
      </c>
      <c r="C4913">
        <f>_xlfn.XLOOKUP($A4913,Load!$B:$B,Load!D:D,0,)</f>
        <v>0</v>
      </c>
      <c r="D4913">
        <f>_xlfn.XLOOKUP($A4913,Load!$B:$B,Load!E:E,0,)</f>
        <v>0</v>
      </c>
      <c r="E4913">
        <f>_xlfn.XLOOKUP($A4913,Load!$B:$B,Load!F:F,0,)</f>
        <v>0</v>
      </c>
      <c r="F4913">
        <f>_xlfn.XLOOKUP($A4913,Load!$B:$B,Load!G:G,0,)</f>
        <v>0</v>
      </c>
      <c r="G4913">
        <f>_xlfn.XLOOKUP($A4913,Load!$B:$B,Load!H:H,0,)</f>
        <v>0</v>
      </c>
      <c r="H4913">
        <f>_xlfn.XLOOKUP($A4913,Load!$B:$B,Load!I:I,0,)</f>
        <v>0</v>
      </c>
      <c r="I4913">
        <f>_xlfn.XLOOKUP($A4913,Load!$B:$B,Load!J:J,0,)</f>
        <v>0</v>
      </c>
      <c r="J4913">
        <f>_xlfn.XLOOKUP($A4913,Load!$B:$B,Load!K:K,0,)</f>
        <v>0</v>
      </c>
      <c r="K4913">
        <f>_xlfn.XLOOKUP($A4913,Load!$B:$B,Load!L:L,0,)</f>
        <v>0</v>
      </c>
      <c r="L4913">
        <f>_xlfn.XLOOKUP($A4913,Load!$B:$B,Load!M:M,0,)</f>
        <v>0</v>
      </c>
    </row>
    <row r="4914" spans="1:12" x14ac:dyDescent="0.25">
      <c r="B4914">
        <f>_xlfn.XLOOKUP($A4914,Load!$B:$B,Load!C:C,0,)</f>
        <v>0</v>
      </c>
      <c r="C4914">
        <f>_xlfn.XLOOKUP($A4914,Load!$B:$B,Load!D:D,0,)</f>
        <v>0</v>
      </c>
      <c r="D4914">
        <f>_xlfn.XLOOKUP($A4914,Load!$B:$B,Load!E:E,0,)</f>
        <v>0</v>
      </c>
      <c r="E4914">
        <f>_xlfn.XLOOKUP($A4914,Load!$B:$B,Load!F:F,0,)</f>
        <v>0</v>
      </c>
      <c r="F4914">
        <f>_xlfn.XLOOKUP($A4914,Load!$B:$B,Load!G:G,0,)</f>
        <v>0</v>
      </c>
      <c r="G4914">
        <f>_xlfn.XLOOKUP($A4914,Load!$B:$B,Load!H:H,0,)</f>
        <v>0</v>
      </c>
      <c r="H4914">
        <f>_xlfn.XLOOKUP($A4914,Load!$B:$B,Load!I:I,0,)</f>
        <v>0</v>
      </c>
      <c r="I4914">
        <f>_xlfn.XLOOKUP($A4914,Load!$B:$B,Load!J:J,0,)</f>
        <v>0</v>
      </c>
      <c r="J4914">
        <f>_xlfn.XLOOKUP($A4914,Load!$B:$B,Load!K:K,0,)</f>
        <v>0</v>
      </c>
      <c r="K4914">
        <f>_xlfn.XLOOKUP($A4914,Load!$B:$B,Load!L:L,0,)</f>
        <v>0</v>
      </c>
      <c r="L4914">
        <f>_xlfn.XLOOKUP($A4914,Load!$B:$B,Load!M:M,0,)</f>
        <v>0</v>
      </c>
    </row>
    <row r="4915" spans="1:12" x14ac:dyDescent="0.25">
      <c r="B4915">
        <f>_xlfn.XLOOKUP($A4915,Load!$B:$B,Load!C:C,0,)</f>
        <v>0</v>
      </c>
      <c r="C4915">
        <f>_xlfn.XLOOKUP($A4915,Load!$B:$B,Load!D:D,0,)</f>
        <v>0</v>
      </c>
      <c r="D4915">
        <f>_xlfn.XLOOKUP($A4915,Load!$B:$B,Load!E:E,0,)</f>
        <v>0</v>
      </c>
      <c r="E4915">
        <f>_xlfn.XLOOKUP($A4915,Load!$B:$B,Load!F:F,0,)</f>
        <v>0</v>
      </c>
      <c r="F4915">
        <f>_xlfn.XLOOKUP($A4915,Load!$B:$B,Load!G:G,0,)</f>
        <v>0</v>
      </c>
      <c r="G4915">
        <f>_xlfn.XLOOKUP($A4915,Load!$B:$B,Load!H:H,0,)</f>
        <v>0</v>
      </c>
      <c r="H4915">
        <f>_xlfn.XLOOKUP($A4915,Load!$B:$B,Load!I:I,0,)</f>
        <v>0</v>
      </c>
      <c r="I4915">
        <f>_xlfn.XLOOKUP($A4915,Load!$B:$B,Load!J:J,0,)</f>
        <v>0</v>
      </c>
      <c r="J4915">
        <f>_xlfn.XLOOKUP($A4915,Load!$B:$B,Load!K:K,0,)</f>
        <v>0</v>
      </c>
      <c r="K4915">
        <f>_xlfn.XLOOKUP($A4915,Load!$B:$B,Load!L:L,0,)</f>
        <v>0</v>
      </c>
      <c r="L4915">
        <f>_xlfn.XLOOKUP($A4915,Load!$B:$B,Load!M:M,0,)</f>
        <v>0</v>
      </c>
    </row>
    <row r="4916" spans="1:12" x14ac:dyDescent="0.25">
      <c r="A4916" t="s">
        <v>188</v>
      </c>
      <c r="B4916" t="str">
        <f>_xlfn.XLOOKUP($A4916,Load!$B:$B,Load!C:C,0,)</f>
        <v>Mars Variety Pack</v>
      </c>
      <c r="C4916" t="str">
        <f>_xlfn.XLOOKUP($A4916,Load!$B:$B,Load!D:D,0,)</f>
        <v>Non-Chocolate Candy Only</v>
      </c>
      <c r="D4916" t="str">
        <f>_xlfn.XLOOKUP($A4916,Load!$B:$B,Load!E:E,0,)</f>
        <v>Variety / Mixed Flavors (Fruity, Sour, Seasonal Flavors)</v>
      </c>
      <c r="E4916" t="str">
        <f>_xlfn.XLOOKUP($A4916,Load!$B:$B,Load!F:F,0,)</f>
        <v>Mixed / Combo Packs (Gummy, Chewy, Taffy, etc.)</v>
      </c>
      <c r="F4916" t="str">
        <f>_xlfn.XLOOKUP($A4916,Load!$B:$B,Load!G:G,0,)</f>
        <v>Large Multipack (More than 80 ct)</v>
      </c>
      <c r="G4916" t="str">
        <f>_xlfn.XLOOKUP($A4916,Load!$B:$B,Load!H:H,0,)</f>
        <v>Laydown Bag</v>
      </c>
      <c r="H4916" t="str">
        <f>_xlfn.XLOOKUP($A4916,Load!$B:$B,Load!I:I,0,)</f>
        <v>Everyday Candy Shapes (like Original, Gummy bear, Fruit, Jewels, etc.)</v>
      </c>
      <c r="I4916" t="str">
        <f>_xlfn.XLOOKUP($A4916,Load!$B:$B,Load!J:J,0,)</f>
        <v>Everyday Graphics</v>
      </c>
      <c r="J4916" t="str">
        <f>_xlfn.XLOOKUP($A4916,Load!$B:$B,Load!K:K,0,)</f>
        <v>Small Pieces (Tiny bite size candies)</v>
      </c>
      <c r="K4916" t="str">
        <f>_xlfn.XLOOKUP($A4916,Load!$B:$B,Load!L:L,0,)</f>
        <v>Regular/Original Wrapping</v>
      </c>
      <c r="L4916" t="str">
        <f>_xlfn.XLOOKUP($A4916,Load!$B:$B,Load!M:M,0,)</f>
        <v>Multiple Brands / Variety Flavors or Form</v>
      </c>
    </row>
    <row r="4917" spans="1:12" x14ac:dyDescent="0.25">
      <c r="B4917">
        <f>_xlfn.XLOOKUP($A4917,Load!$B:$B,Load!C:C,0,)</f>
        <v>0</v>
      </c>
      <c r="C4917">
        <f>_xlfn.XLOOKUP($A4917,Load!$B:$B,Load!D:D,0,)</f>
        <v>0</v>
      </c>
      <c r="D4917">
        <f>_xlfn.XLOOKUP($A4917,Load!$B:$B,Load!E:E,0,)</f>
        <v>0</v>
      </c>
      <c r="E4917">
        <f>_xlfn.XLOOKUP($A4917,Load!$B:$B,Load!F:F,0,)</f>
        <v>0</v>
      </c>
      <c r="F4917">
        <f>_xlfn.XLOOKUP($A4917,Load!$B:$B,Load!G:G,0,)</f>
        <v>0</v>
      </c>
      <c r="G4917">
        <f>_xlfn.XLOOKUP($A4917,Load!$B:$B,Load!H:H,0,)</f>
        <v>0</v>
      </c>
      <c r="H4917">
        <f>_xlfn.XLOOKUP($A4917,Load!$B:$B,Load!I:I,0,)</f>
        <v>0</v>
      </c>
      <c r="I4917">
        <f>_xlfn.XLOOKUP($A4917,Load!$B:$B,Load!J:J,0,)</f>
        <v>0</v>
      </c>
      <c r="J4917">
        <f>_xlfn.XLOOKUP($A4917,Load!$B:$B,Load!K:K,0,)</f>
        <v>0</v>
      </c>
      <c r="K4917">
        <f>_xlfn.XLOOKUP($A4917,Load!$B:$B,Load!L:L,0,)</f>
        <v>0</v>
      </c>
      <c r="L4917">
        <f>_xlfn.XLOOKUP($A4917,Load!$B:$B,Load!M:M,0,)</f>
        <v>0</v>
      </c>
    </row>
    <row r="4918" spans="1:12" x14ac:dyDescent="0.25">
      <c r="A4918" t="s">
        <v>318</v>
      </c>
      <c r="B4918" t="str">
        <f>_xlfn.XLOOKUP($A4918,Load!$B:$B,Load!C:C,0,)</f>
        <v>YumEarth</v>
      </c>
      <c r="C4918" t="str">
        <f>_xlfn.XLOOKUP($A4918,Load!$B:$B,Load!D:D,0,)</f>
        <v>Non-Chocolate Candy Only</v>
      </c>
      <c r="D4918" t="str">
        <f>_xlfn.XLOOKUP($A4918,Load!$B:$B,Load!E:E,0,)</f>
        <v>Variety / Mixed Flavors (Fruity, Sour, Seasonal Flavors)</v>
      </c>
      <c r="E4918" t="str">
        <f>_xlfn.XLOOKUP($A4918,Load!$B:$B,Load!F:F,0,)</f>
        <v>Chewy</v>
      </c>
      <c r="F4918" t="str">
        <f>_xlfn.XLOOKUP($A4918,Load!$B:$B,Load!G:G,0,)</f>
        <v>Small Multipack (Less than 40 ct)</v>
      </c>
      <c r="G4918" t="str">
        <f>_xlfn.XLOOKUP($A4918,Load!$B:$B,Load!H:H,0,)</f>
        <v>Box (theatre box, gift box, carton)</v>
      </c>
      <c r="H4918" t="str">
        <f>_xlfn.XLOOKUP($A4918,Load!$B:$B,Load!I:I,0,)</f>
        <v>Everyday Candy Shapes (like Original, Gummy bear, Fruit, Jewels, etc.)</v>
      </c>
      <c r="I4918" t="str">
        <f>_xlfn.XLOOKUP($A4918,Load!$B:$B,Load!J:J,0,)</f>
        <v>Everyday Graphics</v>
      </c>
      <c r="J4918" t="str">
        <f>_xlfn.XLOOKUP($A4918,Load!$B:$B,Load!K:K,0,)</f>
        <v>Small Pieces (Tiny bite size candies)</v>
      </c>
      <c r="K4918" t="str">
        <f>_xlfn.XLOOKUP($A4918,Load!$B:$B,Load!L:L,0,)</f>
        <v>Regular/Original Wrapping</v>
      </c>
      <c r="L4918" t="str">
        <f>_xlfn.XLOOKUP($A4918,Load!$B:$B,Load!M:M,0,)</f>
        <v>Single Brand / Variety Flavors or Form</v>
      </c>
    </row>
    <row r="4919" spans="1:12" x14ac:dyDescent="0.25">
      <c r="A4919" t="s">
        <v>302</v>
      </c>
      <c r="B4919" t="str">
        <f>_xlfn.XLOOKUP($A4919,Load!$B:$B,Load!C:C,0,)</f>
        <v>Twizzlers</v>
      </c>
      <c r="C4919" t="str">
        <f>_xlfn.XLOOKUP($A4919,Load!$B:$B,Load!D:D,0,)</f>
        <v>Non-Chocolate Candy Only</v>
      </c>
      <c r="D4919" t="str">
        <f>_xlfn.XLOOKUP($A4919,Load!$B:$B,Load!E:E,0,)</f>
        <v>Berry Based (Raspberry, Strawberry, Medley, etc.)</v>
      </c>
      <c r="E4919" t="str">
        <f>_xlfn.XLOOKUP($A4919,Load!$B:$B,Load!F:F,0,)</f>
        <v>Chewy</v>
      </c>
      <c r="F4919" t="str">
        <f>_xlfn.XLOOKUP($A4919,Load!$B:$B,Load!G:G,0,)</f>
        <v>Single Pack</v>
      </c>
      <c r="G4919" t="str">
        <f>_xlfn.XLOOKUP($A4919,Load!$B:$B,Load!H:H,0,)</f>
        <v>Laydown Bag</v>
      </c>
      <c r="H4919" t="str">
        <f>_xlfn.XLOOKUP($A4919,Load!$B:$B,Load!I:I,0,)</f>
        <v>Everyday Candy Shapes (like Original, Gummy bear, Fruit, Jewels, etc.)</v>
      </c>
      <c r="I4919" t="str">
        <f>_xlfn.XLOOKUP($A4919,Load!$B:$B,Load!J:J,0,)</f>
        <v>Seasonal Graphics (Like Bat, Ghost, Pumpkin, Fall Leaves, Eyeballs, etc.)</v>
      </c>
      <c r="J4919" t="str">
        <f>_xlfn.XLOOKUP($A4919,Load!$B:$B,Load!K:K,0,)</f>
        <v>Small Pieces (Tiny bite size candies)</v>
      </c>
      <c r="K4919" t="str">
        <f>_xlfn.XLOOKUP($A4919,Load!$B:$B,Load!L:L,0,)</f>
        <v>unwrapped</v>
      </c>
      <c r="L4919" t="str">
        <f>_xlfn.XLOOKUP($A4919,Load!$B:$B,Load!M:M,0,)</f>
        <v>Single Brand / Single Flavor or Form</v>
      </c>
    </row>
    <row r="4920" spans="1:12" x14ac:dyDescent="0.25">
      <c r="A4920" t="s">
        <v>85</v>
      </c>
      <c r="B4920" t="str">
        <f>_xlfn.XLOOKUP($A4920,Load!$B:$B,Load!C:C,0,)</f>
        <v>Ferrara Variety Pack</v>
      </c>
      <c r="C4920" t="str">
        <f>_xlfn.XLOOKUP($A4920,Load!$B:$B,Load!D:D,0,)</f>
        <v>Non-Chocolate Candy Only</v>
      </c>
      <c r="D4920" t="str">
        <f>_xlfn.XLOOKUP($A4920,Load!$B:$B,Load!E:E,0,)</f>
        <v>Variety / Mixed Flavors (Fruity, Sour, Seasonal Flavors)</v>
      </c>
      <c r="E4920" t="str">
        <f>_xlfn.XLOOKUP($A4920,Load!$B:$B,Load!F:F,0,)</f>
        <v>Mixed / Combo Packs (Gummy, Chewy, Taffy, etc.)</v>
      </c>
      <c r="F4920" t="str">
        <f>_xlfn.XLOOKUP($A4920,Load!$B:$B,Load!G:G,0,)</f>
        <v>Large Multipack (More than 80 ct)</v>
      </c>
      <c r="G4920" t="str">
        <f>_xlfn.XLOOKUP($A4920,Load!$B:$B,Load!H:H,0,)</f>
        <v>Stand-Up Bag</v>
      </c>
      <c r="H4920" t="str">
        <f>_xlfn.XLOOKUP($A4920,Load!$B:$B,Load!I:I,0,)</f>
        <v>Seasonal Shapes (like pumpkins, candy corn, ghost, bats, etc.)</v>
      </c>
      <c r="I4920" t="str">
        <f>_xlfn.XLOOKUP($A4920,Load!$B:$B,Load!J:J,0,)</f>
        <v>Seasonal Graphics (Like Bat, Ghost, Pumpkin, Fall Leaves, Eyeballs, etc.)</v>
      </c>
      <c r="J4920" t="str">
        <f>_xlfn.XLOOKUP($A4920,Load!$B:$B,Load!K:K,0,)</f>
        <v>Fun Size / Treat Size</v>
      </c>
      <c r="K4920" t="str">
        <f>_xlfn.XLOOKUP($A4920,Load!$B:$B,Load!L:L,0,)</f>
        <v>Regular/Original Wrapping</v>
      </c>
      <c r="L4920" t="str">
        <f>_xlfn.XLOOKUP($A4920,Load!$B:$B,Load!M:M,0,)</f>
        <v>Multiple Brands / Variety Flavors or Form</v>
      </c>
    </row>
    <row r="4921" spans="1:12" x14ac:dyDescent="0.25">
      <c r="B4921">
        <f>_xlfn.XLOOKUP($A4921,Load!$B:$B,Load!C:C,0,)</f>
        <v>0</v>
      </c>
      <c r="C4921">
        <f>_xlfn.XLOOKUP($A4921,Load!$B:$B,Load!D:D,0,)</f>
        <v>0</v>
      </c>
      <c r="D4921">
        <f>_xlfn.XLOOKUP($A4921,Load!$B:$B,Load!E:E,0,)</f>
        <v>0</v>
      </c>
      <c r="E4921">
        <f>_xlfn.XLOOKUP($A4921,Load!$B:$B,Load!F:F,0,)</f>
        <v>0</v>
      </c>
      <c r="F4921">
        <f>_xlfn.XLOOKUP($A4921,Load!$B:$B,Load!G:G,0,)</f>
        <v>0</v>
      </c>
      <c r="G4921">
        <f>_xlfn.XLOOKUP($A4921,Load!$B:$B,Load!H:H,0,)</f>
        <v>0</v>
      </c>
      <c r="H4921">
        <f>_xlfn.XLOOKUP($A4921,Load!$B:$B,Load!I:I,0,)</f>
        <v>0</v>
      </c>
      <c r="I4921">
        <f>_xlfn.XLOOKUP($A4921,Load!$B:$B,Load!J:J,0,)</f>
        <v>0</v>
      </c>
      <c r="J4921">
        <f>_xlfn.XLOOKUP($A4921,Load!$B:$B,Load!K:K,0,)</f>
        <v>0</v>
      </c>
      <c r="K4921">
        <f>_xlfn.XLOOKUP($A4921,Load!$B:$B,Load!L:L,0,)</f>
        <v>0</v>
      </c>
      <c r="L4921">
        <f>_xlfn.XLOOKUP($A4921,Load!$B:$B,Load!M:M,0,)</f>
        <v>0</v>
      </c>
    </row>
    <row r="4922" spans="1:12" x14ac:dyDescent="0.25">
      <c r="A4922" t="s">
        <v>78</v>
      </c>
      <c r="B4922" t="str">
        <f>_xlfn.XLOOKUP($A4922,Load!$B:$B,Load!C:C,0,)</f>
        <v>Ferrara Variety Pack</v>
      </c>
      <c r="C4922" t="str">
        <f>_xlfn.XLOOKUP($A4922,Load!$B:$B,Load!D:D,0,)</f>
        <v>Non-Chocolate Candy Only</v>
      </c>
      <c r="D4922" t="str">
        <f>_xlfn.XLOOKUP($A4922,Load!$B:$B,Load!E:E,0,)</f>
        <v>Variety / Mixed Flavors (Fruity, Sour, Seasonal Flavors)</v>
      </c>
      <c r="E4922" t="str">
        <f>_xlfn.XLOOKUP($A4922,Load!$B:$B,Load!F:F,0,)</f>
        <v>Mixed / Combo Packs (Gummy, Chewy, Taffy, etc.)</v>
      </c>
      <c r="F4922" t="str">
        <f>_xlfn.XLOOKUP($A4922,Load!$B:$B,Load!G:G,0,)</f>
        <v>Large Multipack (More than 80 ct)</v>
      </c>
      <c r="G4922" t="str">
        <f>_xlfn.XLOOKUP($A4922,Load!$B:$B,Load!H:H,0,)</f>
        <v>Stand-Up Bag</v>
      </c>
      <c r="H4922" t="str">
        <f>_xlfn.XLOOKUP($A4922,Load!$B:$B,Load!I:I,0,)</f>
        <v>Everyday Candy Shapes (like Original, Gummy bear, Fruit, Jewels, etc.)</v>
      </c>
      <c r="I4922" t="str">
        <f>_xlfn.XLOOKUP($A4922,Load!$B:$B,Load!J:J,0,)</f>
        <v>Seasonal Graphics (Like Bat, Ghost, Pumpkin, Fall Leaves, Eyeballs, etc.)</v>
      </c>
      <c r="J4922" t="str">
        <f>_xlfn.XLOOKUP($A4922,Load!$B:$B,Load!K:K,0,)</f>
        <v xml:space="preserve">Variety Candy Sizes </v>
      </c>
      <c r="K4922" t="str">
        <f>_xlfn.XLOOKUP($A4922,Load!$B:$B,Load!L:L,0,)</f>
        <v>Regular/Original Wrapping</v>
      </c>
      <c r="L4922" t="str">
        <f>_xlfn.XLOOKUP($A4922,Load!$B:$B,Load!M:M,0,)</f>
        <v>Multiple Brands / Variety Flavors or Form</v>
      </c>
    </row>
    <row r="4923" spans="1:12" x14ac:dyDescent="0.25">
      <c r="A4923" t="s">
        <v>139</v>
      </c>
      <c r="B4923" t="str">
        <f>_xlfn.XLOOKUP($A4923,Load!$B:$B,Load!C:C,0,)</f>
        <v>Hershey's Variety Pack + Haribo</v>
      </c>
      <c r="C4923" t="str">
        <f>_xlfn.XLOOKUP($A4923,Load!$B:$B,Load!D:D,0,)</f>
        <v>Mix of Chocolate and Non-Chocolate Candy</v>
      </c>
      <c r="D4923" t="str">
        <f>_xlfn.XLOOKUP($A4923,Load!$B:$B,Load!E:E,0,)</f>
        <v>Variety / Mixed Flavors (Fruity, Sour, Seasonal Flavors)</v>
      </c>
      <c r="E4923" t="str">
        <f>_xlfn.XLOOKUP($A4923,Load!$B:$B,Load!F:F,0,)</f>
        <v>Mixed / Combo Packs (Gummy, Chewy, Taffy, etc.)</v>
      </c>
      <c r="F4923" t="str">
        <f>_xlfn.XLOOKUP($A4923,Load!$B:$B,Load!G:G,0,)</f>
        <v>Large Multipack (More than 80 ct)</v>
      </c>
      <c r="G4923" t="str">
        <f>_xlfn.XLOOKUP($A4923,Load!$B:$B,Load!H:H,0,)</f>
        <v>Stand-Up Bag</v>
      </c>
      <c r="H4923" t="str">
        <f>_xlfn.XLOOKUP($A4923,Load!$B:$B,Load!I:I,0,)</f>
        <v>Everyday Candy Shapes (like Original, Gummy bear, Fruit, Jewels, etc.)</v>
      </c>
      <c r="I4923" t="str">
        <f>_xlfn.XLOOKUP($A4923,Load!$B:$B,Load!J:J,0,)</f>
        <v>Seasonal Graphics (Like Bat, Ghost, Pumpkin, Fall Leaves, Eyeballs, etc.)</v>
      </c>
      <c r="J4923" t="str">
        <f>_xlfn.XLOOKUP($A4923,Load!$B:$B,Load!K:K,0,)</f>
        <v>Fun Size / Treat Size</v>
      </c>
      <c r="K4923" t="str">
        <f>_xlfn.XLOOKUP($A4923,Load!$B:$B,Load!L:L,0,)</f>
        <v>Regular/Original Wrapping</v>
      </c>
      <c r="L4923" t="str">
        <f>_xlfn.XLOOKUP($A4923,Load!$B:$B,Load!M:M,0,)</f>
        <v>Multiple Brands / Variety Flavors or Form</v>
      </c>
    </row>
    <row r="4924" spans="1:12" x14ac:dyDescent="0.25">
      <c r="A4924" t="s">
        <v>92</v>
      </c>
      <c r="B4924" t="str">
        <f>_xlfn.XLOOKUP($A4924,Load!$B:$B,Load!C:C,0,)</f>
        <v>Ferrara Variety Pack</v>
      </c>
      <c r="C4924" t="str">
        <f>_xlfn.XLOOKUP($A4924,Load!$B:$B,Load!D:D,0,)</f>
        <v>Non-Chocolate Candy Only</v>
      </c>
      <c r="D4924" t="str">
        <f>_xlfn.XLOOKUP($A4924,Load!$B:$B,Load!E:E,0,)</f>
        <v>Variety / Mixed Flavors (Fruity, Sour, Seasonal Flavors)</v>
      </c>
      <c r="E4924" t="str">
        <f>_xlfn.XLOOKUP($A4924,Load!$B:$B,Load!F:F,0,)</f>
        <v>Mixed / Combo Packs (Gummy, Chewy, Taffy, etc.)</v>
      </c>
      <c r="F4924" t="str">
        <f>_xlfn.XLOOKUP($A4924,Load!$B:$B,Load!G:G,0,)</f>
        <v>Large Multipack (More than 80 ct)</v>
      </c>
      <c r="G4924" t="str">
        <f>_xlfn.XLOOKUP($A4924,Load!$B:$B,Load!H:H,0,)</f>
        <v>Stand-Up Bag</v>
      </c>
      <c r="H4924" t="str">
        <f>_xlfn.XLOOKUP($A4924,Load!$B:$B,Load!I:I,0,)</f>
        <v>Everyday Candy Shapes (like Original, Gummy bear, Fruit, Jewels, etc.)</v>
      </c>
      <c r="I4924" t="str">
        <f>_xlfn.XLOOKUP($A4924,Load!$B:$B,Load!J:J,0,)</f>
        <v>Seasonal Graphics (Like Bat, Ghost, Pumpkin, Fall Leaves, Eyeballs, etc.)</v>
      </c>
      <c r="J4924" t="str">
        <f>_xlfn.XLOOKUP($A4924,Load!$B:$B,Load!K:K,0,)</f>
        <v xml:space="preserve">Variety Candy Sizes </v>
      </c>
      <c r="K4924" t="str">
        <f>_xlfn.XLOOKUP($A4924,Load!$B:$B,Load!L:L,0,)</f>
        <v>Regular/Original Wrapping</v>
      </c>
      <c r="L4924" t="str">
        <f>_xlfn.XLOOKUP($A4924,Load!$B:$B,Load!M:M,0,)</f>
        <v>Multiple Brands / Variety Flavors or Form</v>
      </c>
    </row>
    <row r="4925" spans="1:12" x14ac:dyDescent="0.25">
      <c r="A4925" t="s">
        <v>137</v>
      </c>
      <c r="B4925" t="str">
        <f>_xlfn.XLOOKUP($A4925,Load!$B:$B,Load!C:C,0,)</f>
        <v>Hershey's Variety Pack + Haribo</v>
      </c>
      <c r="C4925" t="str">
        <f>_xlfn.XLOOKUP($A4925,Load!$B:$B,Load!D:D,0,)</f>
        <v>Non-Chocolate Candy Only</v>
      </c>
      <c r="D4925" t="str">
        <f>_xlfn.XLOOKUP($A4925,Load!$B:$B,Load!E:E,0,)</f>
        <v>Variety / Mixed Flavors (Fruity, Sour, Seasonal Flavors)</v>
      </c>
      <c r="E4925" t="str">
        <f>_xlfn.XLOOKUP($A4925,Load!$B:$B,Load!F:F,0,)</f>
        <v>Mixed / Combo Packs (Gummy, Chewy, Taffy, etc.)</v>
      </c>
      <c r="F4925" t="str">
        <f>_xlfn.XLOOKUP($A4925,Load!$B:$B,Load!G:G,0,)</f>
        <v>Large Multipack (More than 80 ct)</v>
      </c>
      <c r="G4925" t="str">
        <f>_xlfn.XLOOKUP($A4925,Load!$B:$B,Load!H:H,0,)</f>
        <v>Stand-Up Bag</v>
      </c>
      <c r="H4925" t="str">
        <f>_xlfn.XLOOKUP($A4925,Load!$B:$B,Load!I:I,0,)</f>
        <v>Everyday Candy Shapes (like Original, Gummy bear, Fruit, Jewels, etc.)</v>
      </c>
      <c r="I4925" t="str">
        <f>_xlfn.XLOOKUP($A4925,Load!$B:$B,Load!J:J,0,)</f>
        <v>Seasonal Graphics (Like Bat, Ghost, Pumpkin, Fall Leaves, Eyeballs, etc.)</v>
      </c>
      <c r="J4925" t="str">
        <f>_xlfn.XLOOKUP($A4925,Load!$B:$B,Load!K:K,0,)</f>
        <v xml:space="preserve">Variety Candy Sizes </v>
      </c>
      <c r="K4925" t="str">
        <f>_xlfn.XLOOKUP($A4925,Load!$B:$B,Load!L:L,0,)</f>
        <v>Regular/Original Wrapping</v>
      </c>
      <c r="L4925" t="str">
        <f>_xlfn.XLOOKUP($A4925,Load!$B:$B,Load!M:M,0,)</f>
        <v>Multiple Brands / Variety Flavors or Form</v>
      </c>
    </row>
    <row r="4926" spans="1:12" x14ac:dyDescent="0.25">
      <c r="A4926" t="s">
        <v>144</v>
      </c>
      <c r="B4926" t="str">
        <f>_xlfn.XLOOKUP($A4926,Load!$B:$B,Load!C:C,0,)</f>
        <v>Hershey's Variety Pack + Haribo</v>
      </c>
      <c r="C4926" t="str">
        <f>_xlfn.XLOOKUP($A4926,Load!$B:$B,Load!D:D,0,)</f>
        <v>Mix of Chocolate and Non-Chocolate Candy</v>
      </c>
      <c r="D4926" t="str">
        <f>_xlfn.XLOOKUP($A4926,Load!$B:$B,Load!E:E,0,)</f>
        <v>Variety / Mixed Flavors (Fruity, Sour, Seasonal Flavors)</v>
      </c>
      <c r="E4926" t="str">
        <f>_xlfn.XLOOKUP($A4926,Load!$B:$B,Load!F:F,0,)</f>
        <v>Mixed / Combo Packs (Gummy, Chewy, Taffy, etc.)</v>
      </c>
      <c r="F4926" t="str">
        <f>_xlfn.XLOOKUP($A4926,Load!$B:$B,Load!G:G,0,)</f>
        <v>Large Multipack (More than 80 ct)</v>
      </c>
      <c r="G4926" t="str">
        <f>_xlfn.XLOOKUP($A4926,Load!$B:$B,Load!H:H,0,)</f>
        <v>Stand-Up Bag</v>
      </c>
      <c r="H4926" t="str">
        <f>_xlfn.XLOOKUP($A4926,Load!$B:$B,Load!I:I,0,)</f>
        <v>Everyday Candy Shapes (like Original, Gummy bear, Fruit, Jewels, etc.)</v>
      </c>
      <c r="I4926" t="str">
        <f>_xlfn.XLOOKUP($A4926,Load!$B:$B,Load!J:J,0,)</f>
        <v>Seasonal Graphics (Like Bat, Ghost, Pumpkin, Fall Leaves, Eyeballs, etc.)</v>
      </c>
      <c r="J4926" t="str">
        <f>_xlfn.XLOOKUP($A4926,Load!$B:$B,Load!K:K,0,)</f>
        <v>Fun Size / Treat Size</v>
      </c>
      <c r="K4926" t="str">
        <f>_xlfn.XLOOKUP($A4926,Load!$B:$B,Load!L:L,0,)</f>
        <v>Regular/Original Wrapping</v>
      </c>
      <c r="L4926" t="str">
        <f>_xlfn.XLOOKUP($A4926,Load!$B:$B,Load!M:M,0,)</f>
        <v>Multiple Brands / Variety Flavors or Form</v>
      </c>
    </row>
    <row r="4927" spans="1:12" x14ac:dyDescent="0.25">
      <c r="B4927">
        <f>_xlfn.XLOOKUP($A4927,Load!$B:$B,Load!C:C,0,)</f>
        <v>0</v>
      </c>
      <c r="C4927">
        <f>_xlfn.XLOOKUP($A4927,Load!$B:$B,Load!D:D,0,)</f>
        <v>0</v>
      </c>
      <c r="D4927">
        <f>_xlfn.XLOOKUP($A4927,Load!$B:$B,Load!E:E,0,)</f>
        <v>0</v>
      </c>
      <c r="E4927">
        <f>_xlfn.XLOOKUP($A4927,Load!$B:$B,Load!F:F,0,)</f>
        <v>0</v>
      </c>
      <c r="F4927">
        <f>_xlfn.XLOOKUP($A4927,Load!$B:$B,Load!G:G,0,)</f>
        <v>0</v>
      </c>
      <c r="G4927">
        <f>_xlfn.XLOOKUP($A4927,Load!$B:$B,Load!H:H,0,)</f>
        <v>0</v>
      </c>
      <c r="H4927">
        <f>_xlfn.XLOOKUP($A4927,Load!$B:$B,Load!I:I,0,)</f>
        <v>0</v>
      </c>
      <c r="I4927">
        <f>_xlfn.XLOOKUP($A4927,Load!$B:$B,Load!J:J,0,)</f>
        <v>0</v>
      </c>
      <c r="J4927">
        <f>_xlfn.XLOOKUP($A4927,Load!$B:$B,Load!K:K,0,)</f>
        <v>0</v>
      </c>
      <c r="K4927">
        <f>_xlfn.XLOOKUP($A4927,Load!$B:$B,Load!L:L,0,)</f>
        <v>0</v>
      </c>
      <c r="L4927">
        <f>_xlfn.XLOOKUP($A4927,Load!$B:$B,Load!M:M,0,)</f>
        <v>0</v>
      </c>
    </row>
    <row r="4928" spans="1:12" x14ac:dyDescent="0.25">
      <c r="A4928" t="s">
        <v>339</v>
      </c>
      <c r="B4928" t="str">
        <f>_xlfn.XLOOKUP($A4928,Load!$B:$B,Load!C:C,0,)</f>
        <v>Favorite Day</v>
      </c>
      <c r="C4928" t="str">
        <f>_xlfn.XLOOKUP($A4928,Load!$B:$B,Load!D:D,0,)</f>
        <v>Non-Chocolate Candy Only</v>
      </c>
      <c r="D4928" t="str">
        <f>_xlfn.XLOOKUP($A4928,Load!$B:$B,Load!E:E,0,)</f>
        <v>Variety / Mixed Flavors (Fruity, Sour, Seasonal Flavors)</v>
      </c>
      <c r="E4928" t="str">
        <f>_xlfn.XLOOKUP($A4928,Load!$B:$B,Load!F:F,0,)</f>
        <v>Gummy</v>
      </c>
      <c r="F4928" t="str">
        <f>_xlfn.XLOOKUP($A4928,Load!$B:$B,Load!G:G,0,)</f>
        <v>Single Pack</v>
      </c>
      <c r="G4928" t="str">
        <f>_xlfn.XLOOKUP($A4928,Load!$B:$B,Load!H:H,0,)</f>
        <v>Plastic Cup / Container</v>
      </c>
      <c r="H4928" t="str">
        <f>_xlfn.XLOOKUP($A4928,Load!$B:$B,Load!I:I,0,)</f>
        <v>Seasonal Shapes (like pumpkins, candy corn, ghost, bats, etc.)</v>
      </c>
      <c r="I4928" t="str">
        <f>_xlfn.XLOOKUP($A4928,Load!$B:$B,Load!J:J,0,)</f>
        <v>Seasonal Graphics (Like Bat, Ghost, Pumpkin, Fall Leaves, Eyeballs, etc.)</v>
      </c>
      <c r="J4928" t="str">
        <f>_xlfn.XLOOKUP($A4928,Load!$B:$B,Load!K:K,0,)</f>
        <v>Small Pieces (Tiny bite size candies)</v>
      </c>
      <c r="K4928" t="str">
        <f>_xlfn.XLOOKUP($A4928,Load!$B:$B,Load!L:L,0,)</f>
        <v>Unwrapped</v>
      </c>
      <c r="L4928" t="str">
        <f>_xlfn.XLOOKUP($A4928,Load!$B:$B,Load!M:M,0,)</f>
        <v>Single Brand / Single Flavor or Form</v>
      </c>
    </row>
    <row r="4929" spans="1:12" x14ac:dyDescent="0.25">
      <c r="B4929">
        <f>_xlfn.XLOOKUP($A4929,Load!$B:$B,Load!C:C,0,)</f>
        <v>0</v>
      </c>
      <c r="C4929">
        <f>_xlfn.XLOOKUP($A4929,Load!$B:$B,Load!D:D,0,)</f>
        <v>0</v>
      </c>
      <c r="D4929">
        <f>_xlfn.XLOOKUP($A4929,Load!$B:$B,Load!E:E,0,)</f>
        <v>0</v>
      </c>
      <c r="E4929">
        <f>_xlfn.XLOOKUP($A4929,Load!$B:$B,Load!F:F,0,)</f>
        <v>0</v>
      </c>
      <c r="F4929">
        <f>_xlfn.XLOOKUP($A4929,Load!$B:$B,Load!G:G,0,)</f>
        <v>0</v>
      </c>
      <c r="G4929">
        <f>_xlfn.XLOOKUP($A4929,Load!$B:$B,Load!H:H,0,)</f>
        <v>0</v>
      </c>
      <c r="H4929">
        <f>_xlfn.XLOOKUP($A4929,Load!$B:$B,Load!I:I,0,)</f>
        <v>0</v>
      </c>
      <c r="I4929">
        <f>_xlfn.XLOOKUP($A4929,Load!$B:$B,Load!J:J,0,)</f>
        <v>0</v>
      </c>
      <c r="J4929">
        <f>_xlfn.XLOOKUP($A4929,Load!$B:$B,Load!K:K,0,)</f>
        <v>0</v>
      </c>
      <c r="K4929">
        <f>_xlfn.XLOOKUP($A4929,Load!$B:$B,Load!L:L,0,)</f>
        <v>0</v>
      </c>
      <c r="L4929">
        <f>_xlfn.XLOOKUP($A4929,Load!$B:$B,Load!M:M,0,)</f>
        <v>0</v>
      </c>
    </row>
    <row r="4930" spans="1:12" x14ac:dyDescent="0.25">
      <c r="A4930" t="s">
        <v>88</v>
      </c>
      <c r="B4930" t="str">
        <f>_xlfn.XLOOKUP($A4930,Load!$B:$B,Load!C:C,0,)</f>
        <v>Ferrara Variety Pack</v>
      </c>
      <c r="C4930" t="str">
        <f>_xlfn.XLOOKUP($A4930,Load!$B:$B,Load!D:D,0,)</f>
        <v>Non-Chocolate Candy Only</v>
      </c>
      <c r="D4930" t="str">
        <f>_xlfn.XLOOKUP($A4930,Load!$B:$B,Load!E:E,0,)</f>
        <v>Variety / Mixed Flavors (Fruity, Sour, Seasonal Flavors)</v>
      </c>
      <c r="E4930" t="str">
        <f>_xlfn.XLOOKUP($A4930,Load!$B:$B,Load!F:F,0,)</f>
        <v>Mixed / Combo Packs (Gummy, Chewy, Taffy, etc.)</v>
      </c>
      <c r="F4930" t="str">
        <f>_xlfn.XLOOKUP($A4930,Load!$B:$B,Load!G:G,0,)</f>
        <v>Small Multipack (Less than 40 ct)</v>
      </c>
      <c r="G4930" t="str">
        <f>_xlfn.XLOOKUP($A4930,Load!$B:$B,Load!H:H,0,)</f>
        <v>Laydown Bag</v>
      </c>
      <c r="H4930" t="str">
        <f>_xlfn.XLOOKUP($A4930,Load!$B:$B,Load!I:I,0,)</f>
        <v>Seasonal Shapes (like pumpkins, candy corn, ghost, bats, etc.)</v>
      </c>
      <c r="I4930" t="str">
        <f>_xlfn.XLOOKUP($A4930,Load!$B:$B,Load!J:J,0,)</f>
        <v>Seasonal Graphics (Like Bat, Ghost, Pumpkin, Fall Leaves, Eyeballs, etc.)</v>
      </c>
      <c r="J4930" t="str">
        <f>_xlfn.XLOOKUP($A4930,Load!$B:$B,Load!K:K,0,)</f>
        <v>Fun Size / Treat Size</v>
      </c>
      <c r="K4930" t="str">
        <f>_xlfn.XLOOKUP($A4930,Load!$B:$B,Load!L:L,0,)</f>
        <v>Regular/Original Wrapping</v>
      </c>
      <c r="L4930" t="str">
        <f>_xlfn.XLOOKUP($A4930,Load!$B:$B,Load!M:M,0,)</f>
        <v>Multiple Brands / Variety Flavors or Form</v>
      </c>
    </row>
    <row r="4931" spans="1:12" x14ac:dyDescent="0.25">
      <c r="B4931">
        <f>_xlfn.XLOOKUP($A4931,Load!$B:$B,Load!C:C,0,)</f>
        <v>0</v>
      </c>
      <c r="C4931">
        <f>_xlfn.XLOOKUP($A4931,Load!$B:$B,Load!D:D,0,)</f>
        <v>0</v>
      </c>
      <c r="D4931">
        <f>_xlfn.XLOOKUP($A4931,Load!$B:$B,Load!E:E,0,)</f>
        <v>0</v>
      </c>
      <c r="E4931">
        <f>_xlfn.XLOOKUP($A4931,Load!$B:$B,Load!F:F,0,)</f>
        <v>0</v>
      </c>
      <c r="F4931">
        <f>_xlfn.XLOOKUP($A4931,Load!$B:$B,Load!G:G,0,)</f>
        <v>0</v>
      </c>
      <c r="G4931">
        <f>_xlfn.XLOOKUP($A4931,Load!$B:$B,Load!H:H,0,)</f>
        <v>0</v>
      </c>
      <c r="H4931">
        <f>_xlfn.XLOOKUP($A4931,Load!$B:$B,Load!I:I,0,)</f>
        <v>0</v>
      </c>
      <c r="I4931">
        <f>_xlfn.XLOOKUP($A4931,Load!$B:$B,Load!J:J,0,)</f>
        <v>0</v>
      </c>
      <c r="J4931">
        <f>_xlfn.XLOOKUP($A4931,Load!$B:$B,Load!K:K,0,)</f>
        <v>0</v>
      </c>
      <c r="K4931">
        <f>_xlfn.XLOOKUP($A4931,Load!$B:$B,Load!L:L,0,)</f>
        <v>0</v>
      </c>
      <c r="L4931">
        <f>_xlfn.XLOOKUP($A4931,Load!$B:$B,Load!M:M,0,)</f>
        <v>0</v>
      </c>
    </row>
    <row r="4932" spans="1:12" x14ac:dyDescent="0.25">
      <c r="A4932" t="s">
        <v>255</v>
      </c>
      <c r="B4932" t="str">
        <f>_xlfn.XLOOKUP($A4932,Load!$B:$B,Load!C:C,0,)</f>
        <v>Skittles</v>
      </c>
      <c r="C4932" t="str">
        <f>_xlfn.XLOOKUP($A4932,Load!$B:$B,Load!D:D,0,)</f>
        <v>Non-Chocolate Candy Only</v>
      </c>
      <c r="D4932" t="str">
        <f>_xlfn.XLOOKUP($A4932,Load!$B:$B,Load!E:E,0,)</f>
        <v>Variety / Mixed Flavors (Fruity, Sour, Seasonal Flavors)</v>
      </c>
      <c r="E4932" t="str">
        <f>_xlfn.XLOOKUP($A4932,Load!$B:$B,Load!F:F,0,)</f>
        <v>Gummy</v>
      </c>
      <c r="F4932" t="str">
        <f>_xlfn.XLOOKUP($A4932,Load!$B:$B,Load!G:G,0,)</f>
        <v>Large Multipack (More than 80 ct)</v>
      </c>
      <c r="G4932" t="str">
        <f>_xlfn.XLOOKUP($A4932,Load!$B:$B,Load!H:H,0,)</f>
        <v>Stand-Up Bag</v>
      </c>
      <c r="H4932" t="str">
        <f>_xlfn.XLOOKUP($A4932,Load!$B:$B,Load!I:I,0,)</f>
        <v>Everyday Candy Shapes (like Original, Gummy bear, Fruit, Jewels, etc.)</v>
      </c>
      <c r="I4932" t="str">
        <f>_xlfn.XLOOKUP($A4932,Load!$B:$B,Load!J:J,0,)</f>
        <v>Everyday Graphics</v>
      </c>
      <c r="J4932" t="str">
        <f>_xlfn.XLOOKUP($A4932,Load!$B:$B,Load!K:K,0,)</f>
        <v>Fun Size / Treat Size</v>
      </c>
      <c r="K4932" t="str">
        <f>_xlfn.XLOOKUP($A4932,Load!$B:$B,Load!L:L,0,)</f>
        <v>Regular/Original Wrapping</v>
      </c>
      <c r="L4932" t="str">
        <f>_xlfn.XLOOKUP($A4932,Load!$B:$B,Load!M:M,0,)</f>
        <v>Single Brand / Variety Flavors or Form</v>
      </c>
    </row>
    <row r="4933" spans="1:12" x14ac:dyDescent="0.25">
      <c r="B4933">
        <f>_xlfn.XLOOKUP($A4933,Load!$B:$B,Load!C:C,0,)</f>
        <v>0</v>
      </c>
      <c r="C4933">
        <f>_xlfn.XLOOKUP($A4933,Load!$B:$B,Load!D:D,0,)</f>
        <v>0</v>
      </c>
      <c r="D4933">
        <f>_xlfn.XLOOKUP($A4933,Load!$B:$B,Load!E:E,0,)</f>
        <v>0</v>
      </c>
      <c r="E4933">
        <f>_xlfn.XLOOKUP($A4933,Load!$B:$B,Load!F:F,0,)</f>
        <v>0</v>
      </c>
      <c r="F4933">
        <f>_xlfn.XLOOKUP($A4933,Load!$B:$B,Load!G:G,0,)</f>
        <v>0</v>
      </c>
      <c r="G4933">
        <f>_xlfn.XLOOKUP($A4933,Load!$B:$B,Load!H:H,0,)</f>
        <v>0</v>
      </c>
      <c r="H4933">
        <f>_xlfn.XLOOKUP($A4933,Load!$B:$B,Load!I:I,0,)</f>
        <v>0</v>
      </c>
      <c r="I4933">
        <f>_xlfn.XLOOKUP($A4933,Load!$B:$B,Load!J:J,0,)</f>
        <v>0</v>
      </c>
      <c r="J4933">
        <f>_xlfn.XLOOKUP($A4933,Load!$B:$B,Load!K:K,0,)</f>
        <v>0</v>
      </c>
      <c r="K4933">
        <f>_xlfn.XLOOKUP($A4933,Load!$B:$B,Load!L:L,0,)</f>
        <v>0</v>
      </c>
      <c r="L4933">
        <f>_xlfn.XLOOKUP($A4933,Load!$B:$B,Load!M:M,0,)</f>
        <v>0</v>
      </c>
    </row>
    <row r="4934" spans="1:12" x14ac:dyDescent="0.25">
      <c r="A4934" t="s">
        <v>82</v>
      </c>
      <c r="B4934" t="str">
        <f>_xlfn.XLOOKUP($A4934,Load!$B:$B,Load!C:C,0,)</f>
        <v>Ferrara Variety Pack</v>
      </c>
      <c r="C4934" t="str">
        <f>_xlfn.XLOOKUP($A4934,Load!$B:$B,Load!D:D,0,)</f>
        <v>Non-Chocolate Candy Only</v>
      </c>
      <c r="D4934" t="str">
        <f>_xlfn.XLOOKUP($A4934,Load!$B:$B,Load!E:E,0,)</f>
        <v>Variety / Mixed Flavors (Fruity, Sour, Seasonal Flavors)</v>
      </c>
      <c r="E4934" t="str">
        <f>_xlfn.XLOOKUP($A4934,Load!$B:$B,Load!F:F,0,)</f>
        <v>Mixed / Combo Packs (Gummy, Chewy, Taffy, etc.)</v>
      </c>
      <c r="F4934" t="str">
        <f>_xlfn.XLOOKUP($A4934,Load!$B:$B,Load!G:G,0,)</f>
        <v>Large Multipack (More than 80 ct)</v>
      </c>
      <c r="G4934" t="str">
        <f>_xlfn.XLOOKUP($A4934,Load!$B:$B,Load!H:H,0,)</f>
        <v>Stand-Up Bag</v>
      </c>
      <c r="H4934" t="str">
        <f>_xlfn.XLOOKUP($A4934,Load!$B:$B,Load!I:I,0,)</f>
        <v>Everyday Candy Shapes (like Original, Gummy bear, Fruit, Jewels, etc.)</v>
      </c>
      <c r="I4934" t="str">
        <f>_xlfn.XLOOKUP($A4934,Load!$B:$B,Load!J:J,0,)</f>
        <v>Seasonal Graphics (Like Bat, Ghost, Pumpkin, Fall Leaves, Eyeballs, etc.)</v>
      </c>
      <c r="J4934" t="str">
        <f>_xlfn.XLOOKUP($A4934,Load!$B:$B,Load!K:K,0,)</f>
        <v xml:space="preserve">Variety Candy Sizes </v>
      </c>
      <c r="K4934" t="str">
        <f>_xlfn.XLOOKUP($A4934,Load!$B:$B,Load!L:L,0,)</f>
        <v>Regular/Original Wrapping</v>
      </c>
      <c r="L4934" t="str">
        <f>_xlfn.XLOOKUP($A4934,Load!$B:$B,Load!M:M,0,)</f>
        <v>Multiple Brands / Variety Flavors or Form</v>
      </c>
    </row>
    <row r="4935" spans="1:12" x14ac:dyDescent="0.25">
      <c r="B4935">
        <f>_xlfn.XLOOKUP($A4935,Load!$B:$B,Load!C:C,0,)</f>
        <v>0</v>
      </c>
      <c r="C4935">
        <f>_xlfn.XLOOKUP($A4935,Load!$B:$B,Load!D:D,0,)</f>
        <v>0</v>
      </c>
      <c r="D4935">
        <f>_xlfn.XLOOKUP($A4935,Load!$B:$B,Load!E:E,0,)</f>
        <v>0</v>
      </c>
      <c r="E4935">
        <f>_xlfn.XLOOKUP($A4935,Load!$B:$B,Load!F:F,0,)</f>
        <v>0</v>
      </c>
      <c r="F4935">
        <f>_xlfn.XLOOKUP($A4935,Load!$B:$B,Load!G:G,0,)</f>
        <v>0</v>
      </c>
      <c r="G4935">
        <f>_xlfn.XLOOKUP($A4935,Load!$B:$B,Load!H:H,0,)</f>
        <v>0</v>
      </c>
      <c r="H4935">
        <f>_xlfn.XLOOKUP($A4935,Load!$B:$B,Load!I:I,0,)</f>
        <v>0</v>
      </c>
      <c r="I4935">
        <f>_xlfn.XLOOKUP($A4935,Load!$B:$B,Load!J:J,0,)</f>
        <v>0</v>
      </c>
      <c r="J4935">
        <f>_xlfn.XLOOKUP($A4935,Load!$B:$B,Load!K:K,0,)</f>
        <v>0</v>
      </c>
      <c r="K4935">
        <f>_xlfn.XLOOKUP($A4935,Load!$B:$B,Load!L:L,0,)</f>
        <v>0</v>
      </c>
      <c r="L4935">
        <f>_xlfn.XLOOKUP($A4935,Load!$B:$B,Load!M:M,0,)</f>
        <v>0</v>
      </c>
    </row>
    <row r="4936" spans="1:12" x14ac:dyDescent="0.25">
      <c r="A4936" t="s">
        <v>253</v>
      </c>
      <c r="B4936" t="str">
        <f>_xlfn.XLOOKUP($A4936,Load!$B:$B,Load!C:C,0,)</f>
        <v>Skittles</v>
      </c>
      <c r="C4936" t="str">
        <f>_xlfn.XLOOKUP($A4936,Load!$B:$B,Load!D:D,0,)</f>
        <v>Non-Chocolate Candy Only</v>
      </c>
      <c r="D4936" t="str">
        <f>_xlfn.XLOOKUP($A4936,Load!$B:$B,Load!E:E,0,)</f>
        <v>Variety / Mixed Flavors (Fruity, Sour, Seasonal Flavors)</v>
      </c>
      <c r="E4936" t="str">
        <f>_xlfn.XLOOKUP($A4936,Load!$B:$B,Load!F:F,0,)</f>
        <v>Mixed / Combo Packs (Gummy, Chewy, Taffy, etc.)</v>
      </c>
      <c r="F4936" t="str">
        <f>_xlfn.XLOOKUP($A4936,Load!$B:$B,Load!G:G,0,)</f>
        <v>Medium Multipack (40–80 ct)</v>
      </c>
      <c r="G4936" t="str">
        <f>_xlfn.XLOOKUP($A4936,Load!$B:$B,Load!H:H,0,)</f>
        <v>Stand-Up Bag</v>
      </c>
      <c r="H4936" t="str">
        <f>_xlfn.XLOOKUP($A4936,Load!$B:$B,Load!I:I,0,)</f>
        <v>Everyday Candy Shapes (like Original, Gummy bear, Fruit, Jewels, etc.)</v>
      </c>
      <c r="I4936" t="str">
        <f>_xlfn.XLOOKUP($A4936,Load!$B:$B,Load!J:J,0,)</f>
        <v>Seasonal Graphics (Like Bat, Ghost, Pumpkin, Fall Leaves, Eyeballs, etc.)</v>
      </c>
      <c r="J4936" t="str">
        <f>_xlfn.XLOOKUP($A4936,Load!$B:$B,Load!K:K,0,)</f>
        <v>Small Pieces (Tiny bite size candies)</v>
      </c>
      <c r="K4936" t="str">
        <f>_xlfn.XLOOKUP($A4936,Load!$B:$B,Load!L:L,0,)</f>
        <v>Regular/Original Wrapping</v>
      </c>
      <c r="L4936" t="str">
        <f>_xlfn.XLOOKUP($A4936,Load!$B:$B,Load!M:M,0,)</f>
        <v>Single Brand / Variety Flavors or Form</v>
      </c>
    </row>
    <row r="4937" spans="1:12" x14ac:dyDescent="0.25">
      <c r="A4937" t="s">
        <v>111</v>
      </c>
      <c r="B4937" t="str">
        <f>_xlfn.XLOOKUP($A4937,Load!$B:$B,Load!C:C,0,)</f>
        <v>Frankford</v>
      </c>
      <c r="C4937" t="str">
        <f>_xlfn.XLOOKUP($A4937,Load!$B:$B,Load!D:D,0,)</f>
        <v>Non-Chocolate Candy Only</v>
      </c>
      <c r="D4937" t="str">
        <f>_xlfn.XLOOKUP($A4937,Load!$B:$B,Load!E:E,0,)</f>
        <v>Variety / Mixed Flavors (Fruity, Sour, Seasonal Flavors)</v>
      </c>
      <c r="E4937" t="str">
        <f>_xlfn.XLOOKUP($A4937,Load!$B:$B,Load!F:F,0,)</f>
        <v>Gummy</v>
      </c>
      <c r="F4937" t="str">
        <f>_xlfn.XLOOKUP($A4937,Load!$B:$B,Load!G:G,0,)</f>
        <v>Medium Multipack (40–80 ct)</v>
      </c>
      <c r="G4937" t="str">
        <f>_xlfn.XLOOKUP($A4937,Load!$B:$B,Load!H:H,0,)</f>
        <v>Stand-Up Bag</v>
      </c>
      <c r="H4937" t="str">
        <f>_xlfn.XLOOKUP($A4937,Load!$B:$B,Load!I:I,0,)</f>
        <v>Seasonal Shapes (like pumpkins, candy corn, ghost, bats, etc.)</v>
      </c>
      <c r="I4937" t="str">
        <f>_xlfn.XLOOKUP($A4937,Load!$B:$B,Load!J:J,0,)</f>
        <v>Seasonal Graphics (Like Bat, Ghost, Pumpkin, Fall Leaves, Eyeballs, etc.)</v>
      </c>
      <c r="J4937" t="str">
        <f>_xlfn.XLOOKUP($A4937,Load!$B:$B,Load!K:K,0,)</f>
        <v>Fun Size / Treat Size</v>
      </c>
      <c r="K4937" t="str">
        <f>_xlfn.XLOOKUP($A4937,Load!$B:$B,Load!L:L,0,)</f>
        <v>Regular/Original Wrapping</v>
      </c>
      <c r="L4937" t="str">
        <f>_xlfn.XLOOKUP($A4937,Load!$B:$B,Load!M:M,0,)</f>
        <v>Single Brand / Variety Flavors or Form</v>
      </c>
    </row>
    <row r="4938" spans="1:12" x14ac:dyDescent="0.25">
      <c r="B4938">
        <f>_xlfn.XLOOKUP($A4938,Load!$B:$B,Load!C:C,0,)</f>
        <v>0</v>
      </c>
      <c r="C4938">
        <f>_xlfn.XLOOKUP($A4938,Load!$B:$B,Load!D:D,0,)</f>
        <v>0</v>
      </c>
      <c r="D4938">
        <f>_xlfn.XLOOKUP($A4938,Load!$B:$B,Load!E:E,0,)</f>
        <v>0</v>
      </c>
      <c r="E4938">
        <f>_xlfn.XLOOKUP($A4938,Load!$B:$B,Load!F:F,0,)</f>
        <v>0</v>
      </c>
      <c r="F4938">
        <f>_xlfn.XLOOKUP($A4938,Load!$B:$B,Load!G:G,0,)</f>
        <v>0</v>
      </c>
      <c r="G4938">
        <f>_xlfn.XLOOKUP($A4938,Load!$B:$B,Load!H:H,0,)</f>
        <v>0</v>
      </c>
      <c r="H4938">
        <f>_xlfn.XLOOKUP($A4938,Load!$B:$B,Load!I:I,0,)</f>
        <v>0</v>
      </c>
      <c r="I4938">
        <f>_xlfn.XLOOKUP($A4938,Load!$B:$B,Load!J:J,0,)</f>
        <v>0</v>
      </c>
      <c r="J4938">
        <f>_xlfn.XLOOKUP($A4938,Load!$B:$B,Load!K:K,0,)</f>
        <v>0</v>
      </c>
      <c r="K4938">
        <f>_xlfn.XLOOKUP($A4938,Load!$B:$B,Load!L:L,0,)</f>
        <v>0</v>
      </c>
      <c r="L4938">
        <f>_xlfn.XLOOKUP($A4938,Load!$B:$B,Load!M:M,0,)</f>
        <v>0</v>
      </c>
    </row>
    <row r="4939" spans="1:12" x14ac:dyDescent="0.25">
      <c r="B4939">
        <f>_xlfn.XLOOKUP($A4939,Load!$B:$B,Load!C:C,0,)</f>
        <v>0</v>
      </c>
      <c r="C4939">
        <f>_xlfn.XLOOKUP($A4939,Load!$B:$B,Load!D:D,0,)</f>
        <v>0</v>
      </c>
      <c r="D4939">
        <f>_xlfn.XLOOKUP($A4939,Load!$B:$B,Load!E:E,0,)</f>
        <v>0</v>
      </c>
      <c r="E4939">
        <f>_xlfn.XLOOKUP($A4939,Load!$B:$B,Load!F:F,0,)</f>
        <v>0</v>
      </c>
      <c r="F4939">
        <f>_xlfn.XLOOKUP($A4939,Load!$B:$B,Load!G:G,0,)</f>
        <v>0</v>
      </c>
      <c r="G4939">
        <f>_xlfn.XLOOKUP($A4939,Load!$B:$B,Load!H:H,0,)</f>
        <v>0</v>
      </c>
      <c r="H4939">
        <f>_xlfn.XLOOKUP($A4939,Load!$B:$B,Load!I:I,0,)</f>
        <v>0</v>
      </c>
      <c r="I4939">
        <f>_xlfn.XLOOKUP($A4939,Load!$B:$B,Load!J:J,0,)</f>
        <v>0</v>
      </c>
      <c r="J4939">
        <f>_xlfn.XLOOKUP($A4939,Load!$B:$B,Load!K:K,0,)</f>
        <v>0</v>
      </c>
      <c r="K4939">
        <f>_xlfn.XLOOKUP($A4939,Load!$B:$B,Load!L:L,0,)</f>
        <v>0</v>
      </c>
      <c r="L4939">
        <f>_xlfn.XLOOKUP($A4939,Load!$B:$B,Load!M:M,0,)</f>
        <v>0</v>
      </c>
    </row>
    <row r="4940" spans="1:12" x14ac:dyDescent="0.25">
      <c r="A4940" t="s">
        <v>220</v>
      </c>
      <c r="B4940" t="str">
        <f>_xlfn.XLOOKUP($A4940,Load!$B:$B,Load!C:C,0,)</f>
        <v>Mondelez Variety Pack</v>
      </c>
      <c r="C4940" t="str">
        <f>_xlfn.XLOOKUP($A4940,Load!$B:$B,Load!D:D,0,)</f>
        <v>Non-Chocolate Candy Only</v>
      </c>
      <c r="D4940" t="str">
        <f>_xlfn.XLOOKUP($A4940,Load!$B:$B,Load!E:E,0,)</f>
        <v>Variety / Mixed Flavors (Fruity, Sour, Seasonal Flavors)</v>
      </c>
      <c r="E4940" t="str">
        <f>_xlfn.XLOOKUP($A4940,Load!$B:$B,Load!F:F,0,)</f>
        <v>Chewy</v>
      </c>
      <c r="F4940" t="str">
        <f>_xlfn.XLOOKUP($A4940,Load!$B:$B,Load!G:G,0,)</f>
        <v>Large Multipack (More than 80 ct)</v>
      </c>
      <c r="G4940" t="str">
        <f>_xlfn.XLOOKUP($A4940,Load!$B:$B,Load!H:H,0,)</f>
        <v>Stand-Up Bag</v>
      </c>
      <c r="H4940" t="str">
        <f>_xlfn.XLOOKUP($A4940,Load!$B:$B,Load!I:I,0,)</f>
        <v>Seasonal Shapes (like pumpkins, candy corn, ghost, bats, etc.)</v>
      </c>
      <c r="I4940" t="str">
        <f>_xlfn.XLOOKUP($A4940,Load!$B:$B,Load!J:J,0,)</f>
        <v>Seasonal Graphics (Like Bat, Ghost, Pumpkin, Fall Leaves, Eyeballs, etc.)</v>
      </c>
      <c r="J4940" t="str">
        <f>_xlfn.XLOOKUP($A4940,Load!$B:$B,Load!K:K,0,)</f>
        <v>Small Pieces (Tiny bite size candies)</v>
      </c>
      <c r="K4940" t="str">
        <f>_xlfn.XLOOKUP($A4940,Load!$B:$B,Load!L:L,0,)</f>
        <v>Regular/Original Wrapping</v>
      </c>
      <c r="L4940" t="str">
        <f>_xlfn.XLOOKUP($A4940,Load!$B:$B,Load!M:M,0,)</f>
        <v>Single Brand / Variety Flavors or Form</v>
      </c>
    </row>
    <row r="4941" spans="1:12" x14ac:dyDescent="0.25">
      <c r="A4941" t="s">
        <v>171</v>
      </c>
      <c r="B4941" t="str">
        <f>_xlfn.XLOOKUP($A4941,Load!$B:$B,Load!C:C,0,)</f>
        <v>Mamba</v>
      </c>
      <c r="C4941" t="str">
        <f>_xlfn.XLOOKUP($A4941,Load!$B:$B,Load!D:D,0,)</f>
        <v>Non-Chocolate Candy Only</v>
      </c>
      <c r="D4941" t="str">
        <f>_xlfn.XLOOKUP($A4941,Load!$B:$B,Load!E:E,0,)</f>
        <v>Fruit Flavor (Cherry, Grape, Apple, Citrus, Tropical Fruit)</v>
      </c>
      <c r="E4941" t="str">
        <f>_xlfn.XLOOKUP($A4941,Load!$B:$B,Load!F:F,0,)</f>
        <v>Chewy</v>
      </c>
      <c r="F4941" t="str">
        <f>_xlfn.XLOOKUP($A4941,Load!$B:$B,Load!G:G,0,)</f>
        <v>Large Multipack (More than 80 ct)</v>
      </c>
      <c r="G4941" t="str">
        <f>_xlfn.XLOOKUP($A4941,Load!$B:$B,Load!H:H,0,)</f>
        <v>Stand-Up Bag</v>
      </c>
      <c r="H4941" t="str">
        <f>_xlfn.XLOOKUP($A4941,Load!$B:$B,Load!I:I,0,)</f>
        <v>Seasonal Shapes (like pumpkins, candy corn, ghost, bats, etc.)</v>
      </c>
      <c r="I4941" t="str">
        <f>_xlfn.XLOOKUP($A4941,Load!$B:$B,Load!J:J,0,)</f>
        <v>Seasonal Graphics (Like Bat, Ghost, Pumpkin, Fall Leaves, Eyeballs, etc.)</v>
      </c>
      <c r="J4941" t="str">
        <f>_xlfn.XLOOKUP($A4941,Load!$B:$B,Load!K:K,0,)</f>
        <v>Fun Size / Treat Size</v>
      </c>
      <c r="K4941" t="str">
        <f>_xlfn.XLOOKUP($A4941,Load!$B:$B,Load!L:L,0,)</f>
        <v>Regular/Original Wrapping</v>
      </c>
      <c r="L4941" t="str">
        <f>_xlfn.XLOOKUP($A4941,Load!$B:$B,Load!M:M,0,)</f>
        <v>Single Brand / Variety Flavors or Form</v>
      </c>
    </row>
    <row r="4942" spans="1:12" x14ac:dyDescent="0.25">
      <c r="A4942" t="s">
        <v>206</v>
      </c>
      <c r="B4942" t="str">
        <f>_xlfn.XLOOKUP($A4942,Load!$B:$B,Load!C:C,0,)</f>
        <v>Mars Variety Pack</v>
      </c>
      <c r="C4942" t="str">
        <f>_xlfn.XLOOKUP($A4942,Load!$B:$B,Load!D:D,0,)</f>
        <v>Non-Chocolate Candy Only</v>
      </c>
      <c r="D4942" t="str">
        <f>_xlfn.XLOOKUP($A4942,Load!$B:$B,Load!E:E,0,)</f>
        <v>Variety / Mixed Flavors (Fruity, Sour, Seasonal Flavors)</v>
      </c>
      <c r="E4942" t="str">
        <f>_xlfn.XLOOKUP($A4942,Load!$B:$B,Load!F:F,0,)</f>
        <v>Mixed / Combo Packs (Gummy, Chewy, Taffy, etc.)</v>
      </c>
      <c r="F4942" t="str">
        <f>_xlfn.XLOOKUP($A4942,Load!$B:$B,Load!G:G,0,)</f>
        <v>Large Multipack (More than 80 ct)</v>
      </c>
      <c r="G4942" t="str">
        <f>_xlfn.XLOOKUP($A4942,Load!$B:$B,Load!H:H,0,)</f>
        <v>Stand-Up Bag</v>
      </c>
      <c r="H4942" t="str">
        <f>_xlfn.XLOOKUP($A4942,Load!$B:$B,Load!I:I,0,)</f>
        <v>Everyday Candy Shapes (like Original, Gummy bear, Fruit, Jewels, etc.)</v>
      </c>
      <c r="I4942" t="str">
        <f>_xlfn.XLOOKUP($A4942,Load!$B:$B,Load!J:J,0,)</f>
        <v>Seasonal Graphics (Like Bat, Ghost, Pumpkin, Fall Leaves, Eyeballs, etc.)</v>
      </c>
      <c r="J4942" t="str">
        <f>_xlfn.XLOOKUP($A4942,Load!$B:$B,Load!K:K,0,)</f>
        <v>Fun Size / Treat Size</v>
      </c>
      <c r="K4942" t="str">
        <f>_xlfn.XLOOKUP($A4942,Load!$B:$B,Load!L:L,0,)</f>
        <v>Regular/Original Wrapping</v>
      </c>
      <c r="L4942" t="str">
        <f>_xlfn.XLOOKUP($A4942,Load!$B:$B,Load!M:M,0,)</f>
        <v>Multiple Brands / Variety Flavors or Form</v>
      </c>
    </row>
    <row r="4943" spans="1:12" x14ac:dyDescent="0.25">
      <c r="A4943" t="s">
        <v>190</v>
      </c>
      <c r="B4943" t="str">
        <f>_xlfn.XLOOKUP($A4943,Load!$B:$B,Load!C:C,0,)</f>
        <v>Mars Variety Pack</v>
      </c>
      <c r="C4943" t="str">
        <f>_xlfn.XLOOKUP($A4943,Load!$B:$B,Load!D:D,0,)</f>
        <v>Non-Chocolate Candy Only</v>
      </c>
      <c r="D4943" t="str">
        <f>_xlfn.XLOOKUP($A4943,Load!$B:$B,Load!E:E,0,)</f>
        <v>Variety / Mixed Flavors (Fruity, Sour, Seasonal Flavors)</v>
      </c>
      <c r="E4943" t="str">
        <f>_xlfn.XLOOKUP($A4943,Load!$B:$B,Load!F:F,0,)</f>
        <v>Mixed / Combo Packs (Gummy, Chewy, Taffy, etc.)</v>
      </c>
      <c r="F4943" t="str">
        <f>_xlfn.XLOOKUP($A4943,Load!$B:$B,Load!G:G,0,)</f>
        <v>Medium Multipack (40–80 ct)</v>
      </c>
      <c r="G4943" t="str">
        <f>_xlfn.XLOOKUP($A4943,Load!$B:$B,Load!H:H,0,)</f>
        <v>Stand-Up Bag</v>
      </c>
      <c r="H4943" t="str">
        <f>_xlfn.XLOOKUP($A4943,Load!$B:$B,Load!I:I,0,)</f>
        <v>Everyday Candy Shapes (like Original, Gummy bear, Fruit, Jewels, etc.)</v>
      </c>
      <c r="I4943" t="str">
        <f>_xlfn.XLOOKUP($A4943,Load!$B:$B,Load!J:J,0,)</f>
        <v>Everyday Graphics</v>
      </c>
      <c r="J4943" t="str">
        <f>_xlfn.XLOOKUP($A4943,Load!$B:$B,Load!K:K,0,)</f>
        <v>Fun Size / Treat Size</v>
      </c>
      <c r="K4943" t="str">
        <f>_xlfn.XLOOKUP($A4943,Load!$B:$B,Load!L:L,0,)</f>
        <v>Regular/Original Wrapping</v>
      </c>
      <c r="L4943" t="str">
        <f>_xlfn.XLOOKUP($A4943,Load!$B:$B,Load!M:M,0,)</f>
        <v>Multiple Brands / Variety Flavors or Form</v>
      </c>
    </row>
    <row r="4944" spans="1:12" x14ac:dyDescent="0.25">
      <c r="A4944" t="s">
        <v>66</v>
      </c>
      <c r="B4944" t="str">
        <f>_xlfn.XLOOKUP($A4944,Load!$B:$B,Load!C:C,0,)</f>
        <v>Dots</v>
      </c>
      <c r="C4944" t="str">
        <f>_xlfn.XLOOKUP($A4944,Load!$B:$B,Load!D:D,0,)</f>
        <v>Non-Chocolate Candy Only</v>
      </c>
      <c r="D4944" t="str">
        <f>_xlfn.XLOOKUP($A4944,Load!$B:$B,Load!E:E,0,)</f>
        <v>Variety / Mixed Flavors (Fruity, Sour, Seasonal Flavors)</v>
      </c>
      <c r="E4944" t="str">
        <f>_xlfn.XLOOKUP($A4944,Load!$B:$B,Load!F:F,0,)</f>
        <v>Candy Pieces / Bites</v>
      </c>
      <c r="F4944" t="str">
        <f>_xlfn.XLOOKUP($A4944,Load!$B:$B,Load!G:G,0,)</f>
        <v>Small Multipack (Less than 40 ct)</v>
      </c>
      <c r="G4944" t="str">
        <f>_xlfn.XLOOKUP($A4944,Load!$B:$B,Load!H:H,0,)</f>
        <v>Stand-Up Bag</v>
      </c>
      <c r="H4944" t="str">
        <f>_xlfn.XLOOKUP($A4944,Load!$B:$B,Load!I:I,0,)</f>
        <v>Seasonal Shapes (like pumpkins, candy corn, ghost, bats, etc.)</v>
      </c>
      <c r="I4944" t="str">
        <f>_xlfn.XLOOKUP($A4944,Load!$B:$B,Load!J:J,0,)</f>
        <v>Seasonal Graphics (Like Bat, Ghost, Pumpkin, Fall Leaves, Eyeballs, etc.)</v>
      </c>
      <c r="J4944" t="str">
        <f>_xlfn.XLOOKUP($A4944,Load!$B:$B,Load!K:K,0,)</f>
        <v>Fun Size / Treat Size</v>
      </c>
      <c r="K4944" t="str">
        <f>_xlfn.XLOOKUP($A4944,Load!$B:$B,Load!L:L,0,)</f>
        <v>Regular/Original Wrapping</v>
      </c>
      <c r="L4944" t="str">
        <f>_xlfn.XLOOKUP($A4944,Load!$B:$B,Load!M:M,0,)</f>
        <v>Single Brand / Variety Flavors or Form</v>
      </c>
    </row>
    <row r="4945" spans="1:12" x14ac:dyDescent="0.25">
      <c r="B4945">
        <f>_xlfn.XLOOKUP($A4945,Load!$B:$B,Load!C:C,0,)</f>
        <v>0</v>
      </c>
      <c r="C4945">
        <f>_xlfn.XLOOKUP($A4945,Load!$B:$B,Load!D:D,0,)</f>
        <v>0</v>
      </c>
      <c r="D4945">
        <f>_xlfn.XLOOKUP($A4945,Load!$B:$B,Load!E:E,0,)</f>
        <v>0</v>
      </c>
      <c r="E4945">
        <f>_xlfn.XLOOKUP($A4945,Load!$B:$B,Load!F:F,0,)</f>
        <v>0</v>
      </c>
      <c r="F4945">
        <f>_xlfn.XLOOKUP($A4945,Load!$B:$B,Load!G:G,0,)</f>
        <v>0</v>
      </c>
      <c r="G4945">
        <f>_xlfn.XLOOKUP($A4945,Load!$B:$B,Load!H:H,0,)</f>
        <v>0</v>
      </c>
      <c r="H4945">
        <f>_xlfn.XLOOKUP($A4945,Load!$B:$B,Load!I:I,0,)</f>
        <v>0</v>
      </c>
      <c r="I4945">
        <f>_xlfn.XLOOKUP($A4945,Load!$B:$B,Load!J:J,0,)</f>
        <v>0</v>
      </c>
      <c r="J4945">
        <f>_xlfn.XLOOKUP($A4945,Load!$B:$B,Load!K:K,0,)</f>
        <v>0</v>
      </c>
      <c r="K4945">
        <f>_xlfn.XLOOKUP($A4945,Load!$B:$B,Load!L:L,0,)</f>
        <v>0</v>
      </c>
      <c r="L4945">
        <f>_xlfn.XLOOKUP($A4945,Load!$B:$B,Load!M:M,0,)</f>
        <v>0</v>
      </c>
    </row>
    <row r="4946" spans="1:12" x14ac:dyDescent="0.25">
      <c r="A4946" t="s">
        <v>71</v>
      </c>
      <c r="B4946" t="str">
        <f>_xlfn.XLOOKUP($A4946,Load!$B:$B,Load!C:C,0,)</f>
        <v>Dum Dums</v>
      </c>
      <c r="C4946" t="str">
        <f>_xlfn.XLOOKUP($A4946,Load!$B:$B,Load!D:D,0,)</f>
        <v>Non-Chocolate Candy Only</v>
      </c>
      <c r="D4946" t="str">
        <f>_xlfn.XLOOKUP($A4946,Load!$B:$B,Load!E:E,0,)</f>
        <v>Sweet</v>
      </c>
      <c r="E4946" t="str">
        <f>_xlfn.XLOOKUP($A4946,Load!$B:$B,Load!F:F,0,)</f>
        <v>Lollipop (regular or lollipop rings)</v>
      </c>
      <c r="F4946" t="str">
        <f>_xlfn.XLOOKUP($A4946,Load!$B:$B,Load!G:G,0,)</f>
        <v>Large Multipack (More than 80 ct)</v>
      </c>
      <c r="G4946" t="str">
        <f>_xlfn.XLOOKUP($A4946,Load!$B:$B,Load!H:H,0,)</f>
        <v>Stand-Up Bag</v>
      </c>
      <c r="H4946" t="str">
        <f>_xlfn.XLOOKUP($A4946,Load!$B:$B,Load!I:I,0,)</f>
        <v>Everyday Candy Shapes (like Original, Gummy bear, Fruit, Jewels, etc.)</v>
      </c>
      <c r="I4946" t="str">
        <f>_xlfn.XLOOKUP($A4946,Load!$B:$B,Load!J:J,0,)</f>
        <v>Seasonal Graphics (Like Bat, Ghost, Pumpkin, Fall Leaves, Eyeballs, etc.)</v>
      </c>
      <c r="J4946" t="str">
        <f>_xlfn.XLOOKUP($A4946,Load!$B:$B,Load!K:K,0,)</f>
        <v>Regular Lollipop size (on sticks or rings)</v>
      </c>
      <c r="K4946" t="str">
        <f>_xlfn.XLOOKUP($A4946,Load!$B:$B,Load!L:L,0,)</f>
        <v>Regular/Original Wrapping</v>
      </c>
      <c r="L4946" t="str">
        <f>_xlfn.XLOOKUP($A4946,Load!$B:$B,Load!M:M,0,)</f>
        <v>Multiple Brands / Variety Flavors or Form</v>
      </c>
    </row>
    <row r="4947" spans="1:12" x14ac:dyDescent="0.25">
      <c r="B4947">
        <f>_xlfn.XLOOKUP($A4947,Load!$B:$B,Load!C:C,0,)</f>
        <v>0</v>
      </c>
      <c r="C4947">
        <f>_xlfn.XLOOKUP($A4947,Load!$B:$B,Load!D:D,0,)</f>
        <v>0</v>
      </c>
      <c r="D4947">
        <f>_xlfn.XLOOKUP($A4947,Load!$B:$B,Load!E:E,0,)</f>
        <v>0</v>
      </c>
      <c r="E4947">
        <f>_xlfn.XLOOKUP($A4947,Load!$B:$B,Load!F:F,0,)</f>
        <v>0</v>
      </c>
      <c r="F4947">
        <f>_xlfn.XLOOKUP($A4947,Load!$B:$B,Load!G:G,0,)</f>
        <v>0</v>
      </c>
      <c r="G4947">
        <f>_xlfn.XLOOKUP($A4947,Load!$B:$B,Load!H:H,0,)</f>
        <v>0</v>
      </c>
      <c r="H4947">
        <f>_xlfn.XLOOKUP($A4947,Load!$B:$B,Load!I:I,0,)</f>
        <v>0</v>
      </c>
      <c r="I4947">
        <f>_xlfn.XLOOKUP($A4947,Load!$B:$B,Load!J:J,0,)</f>
        <v>0</v>
      </c>
      <c r="J4947">
        <f>_xlfn.XLOOKUP($A4947,Load!$B:$B,Load!K:K,0,)</f>
        <v>0</v>
      </c>
      <c r="K4947">
        <f>_xlfn.XLOOKUP($A4947,Load!$B:$B,Load!L:L,0,)</f>
        <v>0</v>
      </c>
      <c r="L4947">
        <f>_xlfn.XLOOKUP($A4947,Load!$B:$B,Load!M:M,0,)</f>
        <v>0</v>
      </c>
    </row>
    <row r="4948" spans="1:12" x14ac:dyDescent="0.25">
      <c r="A4948" t="s">
        <v>176</v>
      </c>
      <c r="B4948" t="str">
        <f>_xlfn.XLOOKUP($A4948,Load!$B:$B,Load!C:C,0,)</f>
        <v>Mars Variety Pack</v>
      </c>
      <c r="C4948" t="str">
        <f>_xlfn.XLOOKUP($A4948,Load!$B:$B,Load!D:D,0,)</f>
        <v>Non-Chocolate Candy Only</v>
      </c>
      <c r="D4948" t="str">
        <f>_xlfn.XLOOKUP($A4948,Load!$B:$B,Load!E:E,0,)</f>
        <v>Variety / Mixed Flavors (Fruity, Sour, Seasonal Flavors)</v>
      </c>
      <c r="E4948" t="str">
        <f>_xlfn.XLOOKUP($A4948,Load!$B:$B,Load!F:F,0,)</f>
        <v>Mixed / Combo Packs (Gummy, Chewy, Taffy, etc.)</v>
      </c>
      <c r="F4948" t="str">
        <f>_xlfn.XLOOKUP($A4948,Load!$B:$B,Load!G:G,0,)</f>
        <v>Large Multipack (More than 80 ct)</v>
      </c>
      <c r="G4948" t="str">
        <f>_xlfn.XLOOKUP($A4948,Load!$B:$B,Load!H:H,0,)</f>
        <v>Stand-Up Bag</v>
      </c>
      <c r="H4948" t="str">
        <f>_xlfn.XLOOKUP($A4948,Load!$B:$B,Load!I:I,0,)</f>
        <v>Everyday Candy Shapes (like Original, Gummy bear, Fruit, Jewels, etc.)</v>
      </c>
      <c r="I4948" t="str">
        <f>_xlfn.XLOOKUP($A4948,Load!$B:$B,Load!J:J,0,)</f>
        <v>Seasonal Graphics (Like Bat, Ghost, Pumpkin, Fall Leaves, Eyeballs, etc.)</v>
      </c>
      <c r="J4948" t="str">
        <f>_xlfn.XLOOKUP($A4948,Load!$B:$B,Load!K:K,0,)</f>
        <v>Fun Size / Treat Size</v>
      </c>
      <c r="K4948" t="str">
        <f>_xlfn.XLOOKUP($A4948,Load!$B:$B,Load!L:L,0,)</f>
        <v>Regular/Original Wrapping</v>
      </c>
      <c r="L4948" t="str">
        <f>_xlfn.XLOOKUP($A4948,Load!$B:$B,Load!M:M,0,)</f>
        <v>Multiple Brands / Variety Flavors or Form</v>
      </c>
    </row>
    <row r="4949" spans="1:12" x14ac:dyDescent="0.25">
      <c r="A4949" t="s">
        <v>173</v>
      </c>
      <c r="B4949" t="str">
        <f>_xlfn.XLOOKUP($A4949,Load!$B:$B,Load!C:C,0,)</f>
        <v>Mars Variety Pack</v>
      </c>
      <c r="C4949" t="str">
        <f>_xlfn.XLOOKUP($A4949,Load!$B:$B,Load!D:D,0,)</f>
        <v>Mix of Chocolate and Non-Chocolate Candy</v>
      </c>
      <c r="D4949" t="str">
        <f>_xlfn.XLOOKUP($A4949,Load!$B:$B,Load!E:E,0,)</f>
        <v>Variety / Mixed Flavors (Fruity, Sour, Seasonal Flavors)</v>
      </c>
      <c r="E4949" t="str">
        <f>_xlfn.XLOOKUP($A4949,Load!$B:$B,Load!F:F,0,)</f>
        <v>Mixed / Combo Packs (Gummy, Chewy, Taffy, etc.)</v>
      </c>
      <c r="F4949" t="str">
        <f>_xlfn.XLOOKUP($A4949,Load!$B:$B,Load!G:G,0,)</f>
        <v>Large Multipack (More than 80 ct)</v>
      </c>
      <c r="G4949" t="str">
        <f>_xlfn.XLOOKUP($A4949,Load!$B:$B,Load!H:H,0,)</f>
        <v>Stand-Up Bag</v>
      </c>
      <c r="H4949" t="str">
        <f>_xlfn.XLOOKUP($A4949,Load!$B:$B,Load!I:I,0,)</f>
        <v>Everyday Candy Shapes (like Original, Gummy bear, Fruit, Jewels, etc.)</v>
      </c>
      <c r="I4949" t="str">
        <f>_xlfn.XLOOKUP($A4949,Load!$B:$B,Load!J:J,0,)</f>
        <v>Seasonal Graphics (Like Bat, Ghost, Pumpkin, Fall Leaves, Eyeballs, etc.)</v>
      </c>
      <c r="J4949" t="str">
        <f>_xlfn.XLOOKUP($A4949,Load!$B:$B,Load!K:K,0,)</f>
        <v>Fun Size / Treat Size</v>
      </c>
      <c r="K4949" t="str">
        <f>_xlfn.XLOOKUP($A4949,Load!$B:$B,Load!L:L,0,)</f>
        <v>Regular/Original Wrapping</v>
      </c>
      <c r="L4949" t="str">
        <f>_xlfn.XLOOKUP($A4949,Load!$B:$B,Load!M:M,0,)</f>
        <v>Multiple Brands / Variety Flavors or Form</v>
      </c>
    </row>
    <row r="4950" spans="1:12" x14ac:dyDescent="0.25">
      <c r="A4950" t="s">
        <v>220</v>
      </c>
      <c r="B4950" t="str">
        <f>_xlfn.XLOOKUP($A4950,Load!$B:$B,Load!C:C,0,)</f>
        <v>Mondelez Variety Pack</v>
      </c>
      <c r="C4950" t="str">
        <f>_xlfn.XLOOKUP($A4950,Load!$B:$B,Load!D:D,0,)</f>
        <v>Non-Chocolate Candy Only</v>
      </c>
      <c r="D4950" t="str">
        <f>_xlfn.XLOOKUP($A4950,Load!$B:$B,Load!E:E,0,)</f>
        <v>Variety / Mixed Flavors (Fruity, Sour, Seasonal Flavors)</v>
      </c>
      <c r="E4950" t="str">
        <f>_xlfn.XLOOKUP($A4950,Load!$B:$B,Load!F:F,0,)</f>
        <v>Chewy</v>
      </c>
      <c r="F4950" t="str">
        <f>_xlfn.XLOOKUP($A4950,Load!$B:$B,Load!G:G,0,)</f>
        <v>Large Multipack (More than 80 ct)</v>
      </c>
      <c r="G4950" t="str">
        <f>_xlfn.XLOOKUP($A4950,Load!$B:$B,Load!H:H,0,)</f>
        <v>Stand-Up Bag</v>
      </c>
      <c r="H4950" t="str">
        <f>_xlfn.XLOOKUP($A4950,Load!$B:$B,Load!I:I,0,)</f>
        <v>Seasonal Shapes (like pumpkins, candy corn, ghost, bats, etc.)</v>
      </c>
      <c r="I4950" t="str">
        <f>_xlfn.XLOOKUP($A4950,Load!$B:$B,Load!J:J,0,)</f>
        <v>Seasonal Graphics (Like Bat, Ghost, Pumpkin, Fall Leaves, Eyeballs, etc.)</v>
      </c>
      <c r="J4950" t="str">
        <f>_xlfn.XLOOKUP($A4950,Load!$B:$B,Load!K:K,0,)</f>
        <v>Small Pieces (Tiny bite size candies)</v>
      </c>
      <c r="K4950" t="str">
        <f>_xlfn.XLOOKUP($A4950,Load!$B:$B,Load!L:L,0,)</f>
        <v>Regular/Original Wrapping</v>
      </c>
      <c r="L4950" t="str">
        <f>_xlfn.XLOOKUP($A4950,Load!$B:$B,Load!M:M,0,)</f>
        <v>Single Brand / Variety Flavors or Form</v>
      </c>
    </row>
    <row r="4951" spans="1:12" x14ac:dyDescent="0.25">
      <c r="B4951">
        <f>_xlfn.XLOOKUP($A4951,Load!$B:$B,Load!C:C,0,)</f>
        <v>0</v>
      </c>
      <c r="C4951">
        <f>_xlfn.XLOOKUP($A4951,Load!$B:$B,Load!D:D,0,)</f>
        <v>0</v>
      </c>
      <c r="D4951">
        <f>_xlfn.XLOOKUP($A4951,Load!$B:$B,Load!E:E,0,)</f>
        <v>0</v>
      </c>
      <c r="E4951">
        <f>_xlfn.XLOOKUP($A4951,Load!$B:$B,Load!F:F,0,)</f>
        <v>0</v>
      </c>
      <c r="F4951">
        <f>_xlfn.XLOOKUP($A4951,Load!$B:$B,Load!G:G,0,)</f>
        <v>0</v>
      </c>
      <c r="G4951">
        <f>_xlfn.XLOOKUP($A4951,Load!$B:$B,Load!H:H,0,)</f>
        <v>0</v>
      </c>
      <c r="H4951">
        <f>_xlfn.XLOOKUP($A4951,Load!$B:$B,Load!I:I,0,)</f>
        <v>0</v>
      </c>
      <c r="I4951">
        <f>_xlfn.XLOOKUP($A4951,Load!$B:$B,Load!J:J,0,)</f>
        <v>0</v>
      </c>
      <c r="J4951">
        <f>_xlfn.XLOOKUP($A4951,Load!$B:$B,Load!K:K,0,)</f>
        <v>0</v>
      </c>
      <c r="K4951">
        <f>_xlfn.XLOOKUP($A4951,Load!$B:$B,Load!L:L,0,)</f>
        <v>0</v>
      </c>
      <c r="L4951">
        <f>_xlfn.XLOOKUP($A4951,Load!$B:$B,Load!M:M,0,)</f>
        <v>0</v>
      </c>
    </row>
    <row r="4952" spans="1:12" x14ac:dyDescent="0.25">
      <c r="A4952" t="s">
        <v>65</v>
      </c>
      <c r="B4952" t="str">
        <f>_xlfn.XLOOKUP($A4952,Load!$B:$B,Load!C:C,0,)</f>
        <v>Dots</v>
      </c>
      <c r="C4952" t="str">
        <f>_xlfn.XLOOKUP($A4952,Load!$B:$B,Load!D:D,0,)</f>
        <v>Non-Chocolate Candy Only</v>
      </c>
      <c r="D4952" t="str">
        <f>_xlfn.XLOOKUP($A4952,Load!$B:$B,Load!E:E,0,)</f>
        <v>Variety / Mixed Flavors (Fruity, Sour, Seasonal Flavors)</v>
      </c>
      <c r="E4952" t="str">
        <f>_xlfn.XLOOKUP($A4952,Load!$B:$B,Load!F:F,0,)</f>
        <v>Candy Pieces / Bites</v>
      </c>
      <c r="F4952" t="str">
        <f>_xlfn.XLOOKUP($A4952,Load!$B:$B,Load!G:G,0,)</f>
        <v>Medium Multipack (40–80 ct)</v>
      </c>
      <c r="G4952" t="str">
        <f>_xlfn.XLOOKUP($A4952,Load!$B:$B,Load!H:H,0,)</f>
        <v>Box (theatre box, gift box, carton)</v>
      </c>
      <c r="H4952" t="str">
        <f>_xlfn.XLOOKUP($A4952,Load!$B:$B,Load!I:I,0,)</f>
        <v>Seasonal Shapes (like pumpkins, candy corn, ghost, bats, etc.)</v>
      </c>
      <c r="I4952" t="str">
        <f>_xlfn.XLOOKUP($A4952,Load!$B:$B,Load!J:J,0,)</f>
        <v>Seasonal Graphics (Like Bat, Ghost, Pumpkin, Fall Leaves, Eyeballs, etc.)</v>
      </c>
      <c r="J4952" t="str">
        <f>_xlfn.XLOOKUP($A4952,Load!$B:$B,Load!K:K,0,)</f>
        <v>Fun Size / Treat Size</v>
      </c>
      <c r="K4952" t="str">
        <f>_xlfn.XLOOKUP($A4952,Load!$B:$B,Load!L:L,0,)</f>
        <v>Regular/Original Wrapping</v>
      </c>
      <c r="L4952" t="str">
        <f>_xlfn.XLOOKUP($A4952,Load!$B:$B,Load!M:M,0,)</f>
        <v>Single Brand / Variety Flavors or Form</v>
      </c>
    </row>
    <row r="4953" spans="1:12" x14ac:dyDescent="0.25">
      <c r="A4953" t="s">
        <v>57</v>
      </c>
      <c r="B4953" t="str">
        <f>_xlfn.XLOOKUP($A4953,Load!$B:$B,Load!C:C,0,)</f>
        <v>Brach's</v>
      </c>
      <c r="C4953" t="str">
        <f>_xlfn.XLOOKUP($A4953,Load!$B:$B,Load!D:D,0,)</f>
        <v>Non-Chocolate Candy Only</v>
      </c>
      <c r="D4953" t="str">
        <f>_xlfn.XLOOKUP($A4953,Load!$B:$B,Load!E:E,0,)</f>
        <v>Fall / Seasonal Flavors (pumpkin spice, caramel apple, candy corn)</v>
      </c>
      <c r="E4953" t="str">
        <f>_xlfn.XLOOKUP($A4953,Load!$B:$B,Load!F:F,0,)</f>
        <v>Candy Pieces / Bites</v>
      </c>
      <c r="F4953" t="str">
        <f>_xlfn.XLOOKUP($A4953,Load!$B:$B,Load!G:G,0,)</f>
        <v>Medium Multipack (40–80 ct)</v>
      </c>
      <c r="G4953" t="str">
        <f>_xlfn.XLOOKUP($A4953,Load!$B:$B,Load!H:H,0,)</f>
        <v>Laydown Bag</v>
      </c>
      <c r="H4953" t="str">
        <f>_xlfn.XLOOKUP($A4953,Load!$B:$B,Load!I:I,0,)</f>
        <v>Seasonal Shapes (like pumpkins, candy corn, ghost, bats, etc.)</v>
      </c>
      <c r="I4953" t="str">
        <f>_xlfn.XLOOKUP($A4953,Load!$B:$B,Load!J:J,0,)</f>
        <v>Seasonal Graphics (Like Bat, Ghost, Pumpkin, Fall Leaves, Eyeballs, etc.)</v>
      </c>
      <c r="J4953" t="str">
        <f>_xlfn.XLOOKUP($A4953,Load!$B:$B,Load!K:K,0,)</f>
        <v>Small Pieces (Tiny bite size candies)</v>
      </c>
      <c r="K4953" t="str">
        <f>_xlfn.XLOOKUP($A4953,Load!$B:$B,Load!L:L,0,)</f>
        <v>Unwrapped</v>
      </c>
      <c r="L4953" t="str">
        <f>_xlfn.XLOOKUP($A4953,Load!$B:$B,Load!M:M,0,)</f>
        <v>Single Brand / Single Flavor or Form</v>
      </c>
    </row>
    <row r="4954" spans="1:12" x14ac:dyDescent="0.25">
      <c r="A4954" t="s">
        <v>120</v>
      </c>
      <c r="B4954" t="str">
        <f>_xlfn.XLOOKUP($A4954,Load!$B:$B,Load!C:C,0,)</f>
        <v>HARIBO</v>
      </c>
      <c r="C4954" t="str">
        <f>_xlfn.XLOOKUP($A4954,Load!$B:$B,Load!D:D,0,)</f>
        <v>Non-Chocolate Candy Only</v>
      </c>
      <c r="D4954" t="str">
        <f>_xlfn.XLOOKUP($A4954,Load!$B:$B,Load!E:E,0,)</f>
        <v>Variety / Mixed Flavors (Fruity, Sour, Seasonal Flavors)</v>
      </c>
      <c r="E4954" t="str">
        <f>_xlfn.XLOOKUP($A4954,Load!$B:$B,Load!F:F,0,)</f>
        <v>Mixed / Combo Packs (Gummy, Chewy, Taffy, etc.)</v>
      </c>
      <c r="F4954" t="str">
        <f>_xlfn.XLOOKUP($A4954,Load!$B:$B,Load!G:G,0,)</f>
        <v>Medium Multipack (40–80 ct)</v>
      </c>
      <c r="G4954" t="str">
        <f>_xlfn.XLOOKUP($A4954,Load!$B:$B,Load!H:H,0,)</f>
        <v>Laydown Bag</v>
      </c>
      <c r="H4954" t="str">
        <f>_xlfn.XLOOKUP($A4954,Load!$B:$B,Load!I:I,0,)</f>
        <v>Seasonal Shapes (like pumpkins, candy corn, ghost, bats, etc.)</v>
      </c>
      <c r="I4954" t="str">
        <f>_xlfn.XLOOKUP($A4954,Load!$B:$B,Load!J:J,0,)</f>
        <v>Seasonal Graphics (Like Bat, Ghost, Pumpkin, Fall Leaves, Eyeballs, etc.)</v>
      </c>
      <c r="J4954" t="str">
        <f>_xlfn.XLOOKUP($A4954,Load!$B:$B,Load!K:K,0,)</f>
        <v>Small Pieces (Tiny bite size candies)</v>
      </c>
      <c r="K4954" t="str">
        <f>_xlfn.XLOOKUP($A4954,Load!$B:$B,Load!L:L,0,)</f>
        <v>Regular/Original Wrapping</v>
      </c>
      <c r="L4954" t="str">
        <f>_xlfn.XLOOKUP($A4954,Load!$B:$B,Load!M:M,0,)</f>
        <v>Single Brand / Variety Flavors or Form</v>
      </c>
    </row>
    <row r="4955" spans="1:12" x14ac:dyDescent="0.25">
      <c r="B4955">
        <f>_xlfn.XLOOKUP($A4955,Load!$B:$B,Load!C:C,0,)</f>
        <v>0</v>
      </c>
      <c r="C4955">
        <f>_xlfn.XLOOKUP($A4955,Load!$B:$B,Load!D:D,0,)</f>
        <v>0</v>
      </c>
      <c r="D4955">
        <f>_xlfn.XLOOKUP($A4955,Load!$B:$B,Load!E:E,0,)</f>
        <v>0</v>
      </c>
      <c r="E4955">
        <f>_xlfn.XLOOKUP($A4955,Load!$B:$B,Load!F:F,0,)</f>
        <v>0</v>
      </c>
      <c r="F4955">
        <f>_xlfn.XLOOKUP($A4955,Load!$B:$B,Load!G:G,0,)</f>
        <v>0</v>
      </c>
      <c r="G4955">
        <f>_xlfn.XLOOKUP($A4955,Load!$B:$B,Load!H:H,0,)</f>
        <v>0</v>
      </c>
      <c r="H4955">
        <f>_xlfn.XLOOKUP($A4955,Load!$B:$B,Load!I:I,0,)</f>
        <v>0</v>
      </c>
      <c r="I4955">
        <f>_xlfn.XLOOKUP($A4955,Load!$B:$B,Load!J:J,0,)</f>
        <v>0</v>
      </c>
      <c r="J4955">
        <f>_xlfn.XLOOKUP($A4955,Load!$B:$B,Load!K:K,0,)</f>
        <v>0</v>
      </c>
      <c r="K4955">
        <f>_xlfn.XLOOKUP($A4955,Load!$B:$B,Load!L:L,0,)</f>
        <v>0</v>
      </c>
      <c r="L4955">
        <f>_xlfn.XLOOKUP($A4955,Load!$B:$B,Load!M:M,0,)</f>
        <v>0</v>
      </c>
    </row>
    <row r="4956" spans="1:12" x14ac:dyDescent="0.25">
      <c r="B4956">
        <f>_xlfn.XLOOKUP($A4956,Load!$B:$B,Load!C:C,0,)</f>
        <v>0</v>
      </c>
      <c r="C4956">
        <f>_xlfn.XLOOKUP($A4956,Load!$B:$B,Load!D:D,0,)</f>
        <v>0</v>
      </c>
      <c r="D4956">
        <f>_xlfn.XLOOKUP($A4956,Load!$B:$B,Load!E:E,0,)</f>
        <v>0</v>
      </c>
      <c r="E4956">
        <f>_xlfn.XLOOKUP($A4956,Load!$B:$B,Load!F:F,0,)</f>
        <v>0</v>
      </c>
      <c r="F4956">
        <f>_xlfn.XLOOKUP($A4956,Load!$B:$B,Load!G:G,0,)</f>
        <v>0</v>
      </c>
      <c r="G4956">
        <f>_xlfn.XLOOKUP($A4956,Load!$B:$B,Load!H:H,0,)</f>
        <v>0</v>
      </c>
      <c r="H4956">
        <f>_xlfn.XLOOKUP($A4956,Load!$B:$B,Load!I:I,0,)</f>
        <v>0</v>
      </c>
      <c r="I4956">
        <f>_xlfn.XLOOKUP($A4956,Load!$B:$B,Load!J:J,0,)</f>
        <v>0</v>
      </c>
      <c r="J4956">
        <f>_xlfn.XLOOKUP($A4956,Load!$B:$B,Load!K:K,0,)</f>
        <v>0</v>
      </c>
      <c r="K4956">
        <f>_xlfn.XLOOKUP($A4956,Load!$B:$B,Load!L:L,0,)</f>
        <v>0</v>
      </c>
      <c r="L4956">
        <f>_xlfn.XLOOKUP($A4956,Load!$B:$B,Load!M:M,0,)</f>
        <v>0</v>
      </c>
    </row>
    <row r="4957" spans="1:12" x14ac:dyDescent="0.25">
      <c r="B4957">
        <f>_xlfn.XLOOKUP($A4957,Load!$B:$B,Load!C:C,0,)</f>
        <v>0</v>
      </c>
      <c r="C4957">
        <f>_xlfn.XLOOKUP($A4957,Load!$B:$B,Load!D:D,0,)</f>
        <v>0</v>
      </c>
      <c r="D4957">
        <f>_xlfn.XLOOKUP($A4957,Load!$B:$B,Load!E:E,0,)</f>
        <v>0</v>
      </c>
      <c r="E4957">
        <f>_xlfn.XLOOKUP($A4957,Load!$B:$B,Load!F:F,0,)</f>
        <v>0</v>
      </c>
      <c r="F4957">
        <f>_xlfn.XLOOKUP($A4957,Load!$B:$B,Load!G:G,0,)</f>
        <v>0</v>
      </c>
      <c r="G4957">
        <f>_xlfn.XLOOKUP($A4957,Load!$B:$B,Load!H:H,0,)</f>
        <v>0</v>
      </c>
      <c r="H4957">
        <f>_xlfn.XLOOKUP($A4957,Load!$B:$B,Load!I:I,0,)</f>
        <v>0</v>
      </c>
      <c r="I4957">
        <f>_xlfn.XLOOKUP($A4957,Load!$B:$B,Load!J:J,0,)</f>
        <v>0</v>
      </c>
      <c r="J4957">
        <f>_xlfn.XLOOKUP($A4957,Load!$B:$B,Load!K:K,0,)</f>
        <v>0</v>
      </c>
      <c r="K4957">
        <f>_xlfn.XLOOKUP($A4957,Load!$B:$B,Load!L:L,0,)</f>
        <v>0</v>
      </c>
      <c r="L4957">
        <f>_xlfn.XLOOKUP($A4957,Load!$B:$B,Load!M:M,0,)</f>
        <v>0</v>
      </c>
    </row>
    <row r="4958" spans="1:12" x14ac:dyDescent="0.25">
      <c r="A4958" t="s">
        <v>43</v>
      </c>
      <c r="B4958" t="str">
        <f>_xlfn.XLOOKUP($A4958,Load!$B:$B,Load!C:C,0,)</f>
        <v>Brach's</v>
      </c>
      <c r="C4958" t="str">
        <f>_xlfn.XLOOKUP($A4958,Load!$B:$B,Load!D:D,0,)</f>
        <v>Non-Chocolate Candy Only</v>
      </c>
      <c r="D4958" t="str">
        <f>_xlfn.XLOOKUP($A4958,Load!$B:$B,Load!E:E,0,)</f>
        <v>Fall / Seasonal Flavors (pumpkin spice, caramel apple, candy corn)</v>
      </c>
      <c r="E4958" t="str">
        <f>_xlfn.XLOOKUP($A4958,Load!$B:$B,Load!F:F,0,)</f>
        <v>Candy Pieces / Bites</v>
      </c>
      <c r="F4958" t="str">
        <f>_xlfn.XLOOKUP($A4958,Load!$B:$B,Load!G:G,0,)</f>
        <v>Single Pack</v>
      </c>
      <c r="G4958" t="str">
        <f>_xlfn.XLOOKUP($A4958,Load!$B:$B,Load!H:H,0,)</f>
        <v>Laydown Bag</v>
      </c>
      <c r="H4958" t="str">
        <f>_xlfn.XLOOKUP($A4958,Load!$B:$B,Load!I:I,0,)</f>
        <v>Seasonal Shapes (like pumpkins, candy corn, ghost, bats, etc.)</v>
      </c>
      <c r="I4958" t="str">
        <f>_xlfn.XLOOKUP($A4958,Load!$B:$B,Load!J:J,0,)</f>
        <v>Seasonal Graphics (Like Bat, Ghost, Pumpkin, Fall Leaves, Eyeballs, etc.)</v>
      </c>
      <c r="J4958" t="str">
        <f>_xlfn.XLOOKUP($A4958,Load!$B:$B,Load!K:K,0,)</f>
        <v>Small Pieces (Tiny bite size candies)</v>
      </c>
      <c r="K4958" t="str">
        <f>_xlfn.XLOOKUP($A4958,Load!$B:$B,Load!L:L,0,)</f>
        <v>Unwrapped</v>
      </c>
      <c r="L4958" t="str">
        <f>_xlfn.XLOOKUP($A4958,Load!$B:$B,Load!M:M,0,)</f>
        <v>Single Brand / Single Flavor or Form</v>
      </c>
    </row>
    <row r="4959" spans="1:12" x14ac:dyDescent="0.25">
      <c r="A4959" t="s">
        <v>249</v>
      </c>
      <c r="B4959" t="str">
        <f>_xlfn.XLOOKUP($A4959,Load!$B:$B,Load!C:C,0,)</f>
        <v>Rolling Pin</v>
      </c>
      <c r="C4959" t="str">
        <f>_xlfn.XLOOKUP($A4959,Load!$B:$B,Load!D:D,0,)</f>
        <v>Non-Chocolate Candy Only</v>
      </c>
      <c r="D4959" t="str">
        <f>_xlfn.XLOOKUP($A4959,Load!$B:$B,Load!E:E,0,)</f>
        <v>Fall / Seasonal Flavors (pumpkin spice, caramel apple, candy corn)</v>
      </c>
      <c r="E4959" t="str">
        <f>_xlfn.XLOOKUP($A4959,Load!$B:$B,Load!F:F,0,)</f>
        <v>Candy Pieces / Bites</v>
      </c>
      <c r="F4959" t="str">
        <f>_xlfn.XLOOKUP($A4959,Load!$B:$B,Load!G:G,0,)</f>
        <v>Small Multipack (Less than 40 ct)</v>
      </c>
      <c r="G4959" t="str">
        <f>_xlfn.XLOOKUP($A4959,Load!$B:$B,Load!H:H,0,)</f>
        <v>Stand-Up Bag</v>
      </c>
      <c r="H4959" t="str">
        <f>_xlfn.XLOOKUP($A4959,Load!$B:$B,Load!I:I,0,)</f>
        <v>Seasonal Shapes (like pumpkins, candy corn, ghost, bats, etc.)</v>
      </c>
      <c r="I4959" t="str">
        <f>_xlfn.XLOOKUP($A4959,Load!$B:$B,Load!J:J,0,)</f>
        <v>Seasonal Graphics (Like Bat, Ghost, Pumpkin, Fall Leaves, Eyeballs, etc.)</v>
      </c>
      <c r="J4959" t="str">
        <f>_xlfn.XLOOKUP($A4959,Load!$B:$B,Load!K:K,0,)</f>
        <v>Small Pieces (Tiny bite size candies)</v>
      </c>
      <c r="K4959" t="str">
        <f>_xlfn.XLOOKUP($A4959,Load!$B:$B,Load!L:L,0,)</f>
        <v>Unwrapped</v>
      </c>
      <c r="L4959" t="str">
        <f>_xlfn.XLOOKUP($A4959,Load!$B:$B,Load!M:M,0,)</f>
        <v>Single Brand / Single Flavor or Form</v>
      </c>
    </row>
    <row r="4960" spans="1:12" x14ac:dyDescent="0.25">
      <c r="A4960" t="s">
        <v>192</v>
      </c>
      <c r="B4960" t="str">
        <f>_xlfn.XLOOKUP($A4960,Load!$B:$B,Load!C:C,0,)</f>
        <v>Mars Variety Pack</v>
      </c>
      <c r="C4960" t="str">
        <f>_xlfn.XLOOKUP($A4960,Load!$B:$B,Load!D:D,0,)</f>
        <v>Non-Chocolate Candy Only</v>
      </c>
      <c r="D4960" t="str">
        <f>_xlfn.XLOOKUP($A4960,Load!$B:$B,Load!E:E,0,)</f>
        <v>Variety / Mixed Flavors (Fruity, Sour, Seasonal Flavors)</v>
      </c>
      <c r="E4960" t="str">
        <f>_xlfn.XLOOKUP($A4960,Load!$B:$B,Load!F:F,0,)</f>
        <v>Mixed / Combo Packs (Gummy, Chewy, Taffy, etc.)</v>
      </c>
      <c r="F4960" t="str">
        <f>_xlfn.XLOOKUP($A4960,Load!$B:$B,Load!G:G,0,)</f>
        <v>Medium Multipack (40–80 ct)</v>
      </c>
      <c r="G4960" t="str">
        <f>_xlfn.XLOOKUP($A4960,Load!$B:$B,Load!H:H,0,)</f>
        <v>Stand-Up Bag</v>
      </c>
      <c r="H4960" t="str">
        <f>_xlfn.XLOOKUP($A4960,Load!$B:$B,Load!I:I,0,)</f>
        <v>Everyday Candy Shapes (like Original, Gummy bear, Fruit, Jewels, etc.)</v>
      </c>
      <c r="I4960" t="str">
        <f>_xlfn.XLOOKUP($A4960,Load!$B:$B,Load!J:J,0,)</f>
        <v>Seasonal Graphics (Like Bat, Ghost, Pumpkin, Fall Leaves, Eyeballs, etc.)</v>
      </c>
      <c r="J4960" t="str">
        <f>_xlfn.XLOOKUP($A4960,Load!$B:$B,Load!K:K,0,)</f>
        <v>Fun Size / Treat Size</v>
      </c>
      <c r="K4960" t="str">
        <f>_xlfn.XLOOKUP($A4960,Load!$B:$B,Load!L:L,0,)</f>
        <v>Regular/Original Wrapping</v>
      </c>
      <c r="L4960" t="str">
        <f>_xlfn.XLOOKUP($A4960,Load!$B:$B,Load!M:M,0,)</f>
        <v>Multiple Brands / Variety Flavors or Form</v>
      </c>
    </row>
    <row r="4961" spans="1:12" x14ac:dyDescent="0.25">
      <c r="A4961" t="s">
        <v>288</v>
      </c>
      <c r="B4961" t="str">
        <f>_xlfn.XLOOKUP($A4961,Load!$B:$B,Load!C:C,0,)</f>
        <v>SweeTARTS</v>
      </c>
      <c r="C4961" t="str">
        <f>_xlfn.XLOOKUP($A4961,Load!$B:$B,Load!D:D,0,)</f>
        <v>Non-Chocolate Candy Only</v>
      </c>
      <c r="D4961" t="str">
        <f>_xlfn.XLOOKUP($A4961,Load!$B:$B,Load!E:E,0,)</f>
        <v>Variety / Mixed Flavors (Fruity, Sour, Seasonal Flavors)</v>
      </c>
      <c r="E4961" t="str">
        <f>_xlfn.XLOOKUP($A4961,Load!$B:$B,Load!F:F,0,)</f>
        <v>Mixed / Combo Packs (Gummy, Chewy, Taffy, etc.)</v>
      </c>
      <c r="F4961" t="str">
        <f>_xlfn.XLOOKUP($A4961,Load!$B:$B,Load!G:G,0,)</f>
        <v>Medium Multipack (40–80 ct)</v>
      </c>
      <c r="G4961" t="str">
        <f>_xlfn.XLOOKUP($A4961,Load!$B:$B,Load!H:H,0,)</f>
        <v>Stand-Up Bag</v>
      </c>
      <c r="H4961" t="str">
        <f>_xlfn.XLOOKUP($A4961,Load!$B:$B,Load!I:I,0,)</f>
        <v>Everyday Candy Shapes (like Original, Gummy bear, Fruit, Jewels, etc.)</v>
      </c>
      <c r="I4961" t="str">
        <f>_xlfn.XLOOKUP($A4961,Load!$B:$B,Load!J:J,0,)</f>
        <v>Seasonal Graphics (Like Bat, Ghost, Pumpkin, Fall Leaves, Eyeballs, etc.)</v>
      </c>
      <c r="J4961" t="str">
        <f>_xlfn.XLOOKUP($A4961,Load!$B:$B,Load!K:K,0,)</f>
        <v>Small Pieces (Tiny bite size candies)</v>
      </c>
      <c r="K4961" t="str">
        <f>_xlfn.XLOOKUP($A4961,Load!$B:$B,Load!L:L,0,)</f>
        <v>Regular/Original Wrapping</v>
      </c>
      <c r="L4961" t="str">
        <f>_xlfn.XLOOKUP($A4961,Load!$B:$B,Load!M:M,0,)</f>
        <v>Single Brand / Variety Flavors or Form</v>
      </c>
    </row>
    <row r="4962" spans="1:12" x14ac:dyDescent="0.25">
      <c r="A4962" t="s">
        <v>75</v>
      </c>
      <c r="B4962" t="str">
        <f>_xlfn.XLOOKUP($A4962,Load!$B:$B,Load!C:C,0,)</f>
        <v>Dum Dums</v>
      </c>
      <c r="C4962" t="str">
        <f>_xlfn.XLOOKUP($A4962,Load!$B:$B,Load!D:D,0,)</f>
        <v>Non-Chocolate Candy Only</v>
      </c>
      <c r="D4962" t="str">
        <f>_xlfn.XLOOKUP($A4962,Load!$B:$B,Load!E:E,0,)</f>
        <v>Variety / Mixed Flavors (Fruity, Sour, Seasonal Flavors)</v>
      </c>
      <c r="E4962" t="str">
        <f>_xlfn.XLOOKUP($A4962,Load!$B:$B,Load!F:F,0,)</f>
        <v>Lollipop (regular or lollipop rings)</v>
      </c>
      <c r="F4962" t="str">
        <f>_xlfn.XLOOKUP($A4962,Load!$B:$B,Load!G:G,0,)</f>
        <v>Single Pack</v>
      </c>
      <c r="G4962" t="str">
        <f>_xlfn.XLOOKUP($A4962,Load!$B:$B,Load!H:H,0,)</f>
        <v>Laydown Bag</v>
      </c>
      <c r="H4962" t="str">
        <f>_xlfn.XLOOKUP($A4962,Load!$B:$B,Load!I:I,0,)</f>
        <v>Everyday Candy Shapes (like Original, Gummy bear, Fruit, Jewels, etc.)</v>
      </c>
      <c r="I4962" t="str">
        <f>_xlfn.XLOOKUP($A4962,Load!$B:$B,Load!J:J,0,)</f>
        <v>Everyday Graphics</v>
      </c>
      <c r="J4962" t="str">
        <f>_xlfn.XLOOKUP($A4962,Load!$B:$B,Load!K:K,0,)</f>
        <v>Regular Lollipop size (on sticks or rings)</v>
      </c>
      <c r="K4962" t="str">
        <f>_xlfn.XLOOKUP($A4962,Load!$B:$B,Load!L:L,0,)</f>
        <v>Regular/Original Wrapping</v>
      </c>
      <c r="L4962" t="str">
        <f>_xlfn.XLOOKUP($A4962,Load!$B:$B,Load!M:M,0,)</f>
        <v>Single Brand / Variety Flavors or Form</v>
      </c>
    </row>
    <row r="4963" spans="1:12" x14ac:dyDescent="0.25">
      <c r="B4963">
        <f>_xlfn.XLOOKUP($A4963,Load!$B:$B,Load!C:C,0,)</f>
        <v>0</v>
      </c>
      <c r="C4963">
        <f>_xlfn.XLOOKUP($A4963,Load!$B:$B,Load!D:D,0,)</f>
        <v>0</v>
      </c>
      <c r="D4963">
        <f>_xlfn.XLOOKUP($A4963,Load!$B:$B,Load!E:E,0,)</f>
        <v>0</v>
      </c>
      <c r="E4963">
        <f>_xlfn.XLOOKUP($A4963,Load!$B:$B,Load!F:F,0,)</f>
        <v>0</v>
      </c>
      <c r="F4963">
        <f>_xlfn.XLOOKUP($A4963,Load!$B:$B,Load!G:G,0,)</f>
        <v>0</v>
      </c>
      <c r="G4963">
        <f>_xlfn.XLOOKUP($A4963,Load!$B:$B,Load!H:H,0,)</f>
        <v>0</v>
      </c>
      <c r="H4963">
        <f>_xlfn.XLOOKUP($A4963,Load!$B:$B,Load!I:I,0,)</f>
        <v>0</v>
      </c>
      <c r="I4963">
        <f>_xlfn.XLOOKUP($A4963,Load!$B:$B,Load!J:J,0,)</f>
        <v>0</v>
      </c>
      <c r="J4963">
        <f>_xlfn.XLOOKUP($A4963,Load!$B:$B,Load!K:K,0,)</f>
        <v>0</v>
      </c>
      <c r="K4963">
        <f>_xlfn.XLOOKUP($A4963,Load!$B:$B,Load!L:L,0,)</f>
        <v>0</v>
      </c>
      <c r="L4963">
        <f>_xlfn.XLOOKUP($A4963,Load!$B:$B,Load!M:M,0,)</f>
        <v>0</v>
      </c>
    </row>
    <row r="4964" spans="1:12" x14ac:dyDescent="0.25">
      <c r="A4964" t="s">
        <v>157</v>
      </c>
      <c r="B4964" t="str">
        <f>_xlfn.XLOOKUP($A4964,Load!$B:$B,Load!C:C,0,)</f>
        <v>Jolly Rancher</v>
      </c>
      <c r="C4964" t="str">
        <f>_xlfn.XLOOKUP($A4964,Load!$B:$B,Load!D:D,0,)</f>
        <v>Non-Chocolate Candy Only</v>
      </c>
      <c r="D4964" t="str">
        <f>_xlfn.XLOOKUP($A4964,Load!$B:$B,Load!E:E,0,)</f>
        <v>Fruit Flavor (Cherry, Grape, Apple, Citrus, Tropical Fruit)</v>
      </c>
      <c r="E4964" t="str">
        <f>_xlfn.XLOOKUP($A4964,Load!$B:$B,Load!F:F,0,)</f>
        <v>Hard Candy</v>
      </c>
      <c r="F4964" t="str">
        <f>_xlfn.XLOOKUP($A4964,Load!$B:$B,Load!G:G,0,)</f>
        <v>Single Pack</v>
      </c>
      <c r="G4964" t="str">
        <f>_xlfn.XLOOKUP($A4964,Load!$B:$B,Load!H:H,0,)</f>
        <v>Laydown Bag</v>
      </c>
      <c r="H4964" t="str">
        <f>_xlfn.XLOOKUP($A4964,Load!$B:$B,Load!I:I,0,)</f>
        <v>Everyday Candy Shapes (like Original, Gummy bear, Fruit, Jewels, etc.)</v>
      </c>
      <c r="I4964" t="str">
        <f>_xlfn.XLOOKUP($A4964,Load!$B:$B,Load!J:J,0,)</f>
        <v>Everyday Graphics</v>
      </c>
      <c r="J4964" t="str">
        <f>_xlfn.XLOOKUP($A4964,Load!$B:$B,Load!K:K,0,)</f>
        <v>Small Pieces (Tiny bite size candies)</v>
      </c>
      <c r="K4964" t="str">
        <f>_xlfn.XLOOKUP($A4964,Load!$B:$B,Load!L:L,0,)</f>
        <v>Regular/Original Wrapping</v>
      </c>
      <c r="L4964" t="str">
        <f>_xlfn.XLOOKUP($A4964,Load!$B:$B,Load!M:M,0,)</f>
        <v>Single Brand / Variety Flavors or Form</v>
      </c>
    </row>
    <row r="4965" spans="1:12" x14ac:dyDescent="0.25">
      <c r="A4965" t="s">
        <v>252</v>
      </c>
      <c r="B4965" t="str">
        <f>_xlfn.XLOOKUP($A4965,Load!$B:$B,Load!C:C,0,)</f>
        <v>Skittles</v>
      </c>
      <c r="C4965" t="str">
        <f>_xlfn.XLOOKUP($A4965,Load!$B:$B,Load!D:D,0,)</f>
        <v>Non-Chocolate Candy Only</v>
      </c>
      <c r="D4965" t="str">
        <f>_xlfn.XLOOKUP($A4965,Load!$B:$B,Load!E:E,0,)</f>
        <v>Sour</v>
      </c>
      <c r="E4965" t="str">
        <f>_xlfn.XLOOKUP($A4965,Load!$B:$B,Load!F:F,0,)</f>
        <v>Candy Pieces / Bites</v>
      </c>
      <c r="F4965" t="str">
        <f>_xlfn.XLOOKUP($A4965,Load!$B:$B,Load!G:G,0,)</f>
        <v>Single Pack</v>
      </c>
      <c r="G4965" t="str">
        <f>_xlfn.XLOOKUP($A4965,Load!$B:$B,Load!H:H,0,)</f>
        <v>Laydown Bag</v>
      </c>
      <c r="H4965" t="str">
        <f>_xlfn.XLOOKUP($A4965,Load!$B:$B,Load!I:I,0,)</f>
        <v>Everyday Candy Shapes (like Original, Gummy bear, Fruit, Jewels, etc.)</v>
      </c>
      <c r="I4965" t="str">
        <f>_xlfn.XLOOKUP($A4965,Load!$B:$B,Load!J:J,0,)</f>
        <v>Seasonal Graphics (Like Bat, Ghost, Pumpkin, Fall Leaves, Eyeballs, etc.)</v>
      </c>
      <c r="J4965" t="str">
        <f>_xlfn.XLOOKUP($A4965,Load!$B:$B,Load!K:K,0,)</f>
        <v>Small Pieces (Tiny bite size candies)</v>
      </c>
      <c r="K4965" t="str">
        <f>_xlfn.XLOOKUP($A4965,Load!$B:$B,Load!L:L,0,)</f>
        <v>Unwrapped</v>
      </c>
      <c r="L4965" t="str">
        <f>_xlfn.XLOOKUP($A4965,Load!$B:$B,Load!M:M,0,)</f>
        <v>Single Brand / Variety Flavors or Form</v>
      </c>
    </row>
    <row r="4966" spans="1:12" x14ac:dyDescent="0.25">
      <c r="A4966" t="s">
        <v>319</v>
      </c>
      <c r="B4966" t="str">
        <f>_xlfn.XLOOKUP($A4966,Load!$B:$B,Load!C:C,0,)</f>
        <v>YumEarth</v>
      </c>
      <c r="C4966" t="str">
        <f>_xlfn.XLOOKUP($A4966,Load!$B:$B,Load!D:D,0,)</f>
        <v>Non-Chocolate Candy Only</v>
      </c>
      <c r="D4966" t="str">
        <f>_xlfn.XLOOKUP($A4966,Load!$B:$B,Load!E:E,0,)</f>
        <v>Fruit Flavor (Cherry, Grape, Apple, Citrus, Tropical Fruit)</v>
      </c>
      <c r="E4966" t="str">
        <f>_xlfn.XLOOKUP($A4966,Load!$B:$B,Load!F:F,0,)</f>
        <v>Gummy</v>
      </c>
      <c r="F4966" t="str">
        <f>_xlfn.XLOOKUP($A4966,Load!$B:$B,Load!G:G,0,)</f>
        <v>Small Multipack (Less than 40 ct)</v>
      </c>
      <c r="G4966" t="str">
        <f>_xlfn.XLOOKUP($A4966,Load!$B:$B,Load!H:H,0,)</f>
        <v>Laydown Bag</v>
      </c>
      <c r="H4966" t="str">
        <f>_xlfn.XLOOKUP($A4966,Load!$B:$B,Load!I:I,0,)</f>
        <v>Seasonal Shapes (like pumpkins, candy corn, ghost, bats, etc.)</v>
      </c>
      <c r="I4966" t="str">
        <f>_xlfn.XLOOKUP($A4966,Load!$B:$B,Load!J:J,0,)</f>
        <v>Seasonal Graphics (Like Bat, Ghost, Pumpkin, Fall Leaves, Eyeballs, etc.)</v>
      </c>
      <c r="J4966" t="str">
        <f>_xlfn.XLOOKUP($A4966,Load!$B:$B,Load!K:K,0,)</f>
        <v>Small Pieces (Tiny bite size candies)</v>
      </c>
      <c r="K4966" t="str">
        <f>_xlfn.XLOOKUP($A4966,Load!$B:$B,Load!L:L,0,)</f>
        <v>Regular/Original Wrapping</v>
      </c>
      <c r="L4966" t="str">
        <f>_xlfn.XLOOKUP($A4966,Load!$B:$B,Load!M:M,0,)</f>
        <v>Single Brand / Variety Flavors or Form</v>
      </c>
    </row>
    <row r="4967" spans="1:12" x14ac:dyDescent="0.25">
      <c r="B4967">
        <f>_xlfn.XLOOKUP($A4967,Load!$B:$B,Load!C:C,0,)</f>
        <v>0</v>
      </c>
      <c r="C4967">
        <f>_xlfn.XLOOKUP($A4967,Load!$B:$B,Load!D:D,0,)</f>
        <v>0</v>
      </c>
      <c r="D4967">
        <f>_xlfn.XLOOKUP($A4967,Load!$B:$B,Load!E:E,0,)</f>
        <v>0</v>
      </c>
      <c r="E4967">
        <f>_xlfn.XLOOKUP($A4967,Load!$B:$B,Load!F:F,0,)</f>
        <v>0</v>
      </c>
      <c r="F4967">
        <f>_xlfn.XLOOKUP($A4967,Load!$B:$B,Load!G:G,0,)</f>
        <v>0</v>
      </c>
      <c r="G4967">
        <f>_xlfn.XLOOKUP($A4967,Load!$B:$B,Load!H:H,0,)</f>
        <v>0</v>
      </c>
      <c r="H4967">
        <f>_xlfn.XLOOKUP($A4967,Load!$B:$B,Load!I:I,0,)</f>
        <v>0</v>
      </c>
      <c r="I4967">
        <f>_xlfn.XLOOKUP($A4967,Load!$B:$B,Load!J:J,0,)</f>
        <v>0</v>
      </c>
      <c r="J4967">
        <f>_xlfn.XLOOKUP($A4967,Load!$B:$B,Load!K:K,0,)</f>
        <v>0</v>
      </c>
      <c r="K4967">
        <f>_xlfn.XLOOKUP($A4967,Load!$B:$B,Load!L:L,0,)</f>
        <v>0</v>
      </c>
      <c r="L4967">
        <f>_xlfn.XLOOKUP($A4967,Load!$B:$B,Load!M:M,0,)</f>
        <v>0</v>
      </c>
    </row>
    <row r="4968" spans="1:12" x14ac:dyDescent="0.25">
      <c r="B4968">
        <f>_xlfn.XLOOKUP($A4968,Load!$B:$B,Load!C:C,0,)</f>
        <v>0</v>
      </c>
      <c r="C4968">
        <f>_xlfn.XLOOKUP($A4968,Load!$B:$B,Load!D:D,0,)</f>
        <v>0</v>
      </c>
      <c r="D4968">
        <f>_xlfn.XLOOKUP($A4968,Load!$B:$B,Load!E:E,0,)</f>
        <v>0</v>
      </c>
      <c r="E4968">
        <f>_xlfn.XLOOKUP($A4968,Load!$B:$B,Load!F:F,0,)</f>
        <v>0</v>
      </c>
      <c r="F4968">
        <f>_xlfn.XLOOKUP($A4968,Load!$B:$B,Load!G:G,0,)</f>
        <v>0</v>
      </c>
      <c r="G4968">
        <f>_xlfn.XLOOKUP($A4968,Load!$B:$B,Load!H:H,0,)</f>
        <v>0</v>
      </c>
      <c r="H4968">
        <f>_xlfn.XLOOKUP($A4968,Load!$B:$B,Load!I:I,0,)</f>
        <v>0</v>
      </c>
      <c r="I4968">
        <f>_xlfn.XLOOKUP($A4968,Load!$B:$B,Load!J:J,0,)</f>
        <v>0</v>
      </c>
      <c r="J4968">
        <f>_xlfn.XLOOKUP($A4968,Load!$B:$B,Load!K:K,0,)</f>
        <v>0</v>
      </c>
      <c r="K4968">
        <f>_xlfn.XLOOKUP($A4968,Load!$B:$B,Load!L:L,0,)</f>
        <v>0</v>
      </c>
      <c r="L4968">
        <f>_xlfn.XLOOKUP($A4968,Load!$B:$B,Load!M:M,0,)</f>
        <v>0</v>
      </c>
    </row>
    <row r="4969" spans="1:12" x14ac:dyDescent="0.25">
      <c r="B4969">
        <f>_xlfn.XLOOKUP($A4969,Load!$B:$B,Load!C:C,0,)</f>
        <v>0</v>
      </c>
      <c r="C4969">
        <f>_xlfn.XLOOKUP($A4969,Load!$B:$B,Load!D:D,0,)</f>
        <v>0</v>
      </c>
      <c r="D4969">
        <f>_xlfn.XLOOKUP($A4969,Load!$B:$B,Load!E:E,0,)</f>
        <v>0</v>
      </c>
      <c r="E4969">
        <f>_xlfn.XLOOKUP($A4969,Load!$B:$B,Load!F:F,0,)</f>
        <v>0</v>
      </c>
      <c r="F4969">
        <f>_xlfn.XLOOKUP($A4969,Load!$B:$B,Load!G:G,0,)</f>
        <v>0</v>
      </c>
      <c r="G4969">
        <f>_xlfn.XLOOKUP($A4969,Load!$B:$B,Load!H:H,0,)</f>
        <v>0</v>
      </c>
      <c r="H4969">
        <f>_xlfn.XLOOKUP($A4969,Load!$B:$B,Load!I:I,0,)</f>
        <v>0</v>
      </c>
      <c r="I4969">
        <f>_xlfn.XLOOKUP($A4969,Load!$B:$B,Load!J:J,0,)</f>
        <v>0</v>
      </c>
      <c r="J4969">
        <f>_xlfn.XLOOKUP($A4969,Load!$B:$B,Load!K:K,0,)</f>
        <v>0</v>
      </c>
      <c r="K4969">
        <f>_xlfn.XLOOKUP($A4969,Load!$B:$B,Load!L:L,0,)</f>
        <v>0</v>
      </c>
      <c r="L4969">
        <f>_xlfn.XLOOKUP($A4969,Load!$B:$B,Load!M:M,0,)</f>
        <v>0</v>
      </c>
    </row>
    <row r="4970" spans="1:12" x14ac:dyDescent="0.25">
      <c r="B4970">
        <f>_xlfn.XLOOKUP($A4970,Load!$B:$B,Load!C:C,0,)</f>
        <v>0</v>
      </c>
      <c r="C4970">
        <f>_xlfn.XLOOKUP($A4970,Load!$B:$B,Load!D:D,0,)</f>
        <v>0</v>
      </c>
      <c r="D4970">
        <f>_xlfn.XLOOKUP($A4970,Load!$B:$B,Load!E:E,0,)</f>
        <v>0</v>
      </c>
      <c r="E4970">
        <f>_xlfn.XLOOKUP($A4970,Load!$B:$B,Load!F:F,0,)</f>
        <v>0</v>
      </c>
      <c r="F4970">
        <f>_xlfn.XLOOKUP($A4970,Load!$B:$B,Load!G:G,0,)</f>
        <v>0</v>
      </c>
      <c r="G4970">
        <f>_xlfn.XLOOKUP($A4970,Load!$B:$B,Load!H:H,0,)</f>
        <v>0</v>
      </c>
      <c r="H4970">
        <f>_xlfn.XLOOKUP($A4970,Load!$B:$B,Load!I:I,0,)</f>
        <v>0</v>
      </c>
      <c r="I4970">
        <f>_xlfn.XLOOKUP($A4970,Load!$B:$B,Load!J:J,0,)</f>
        <v>0</v>
      </c>
      <c r="J4970">
        <f>_xlfn.XLOOKUP($A4970,Load!$B:$B,Load!K:K,0,)</f>
        <v>0</v>
      </c>
      <c r="K4970">
        <f>_xlfn.XLOOKUP($A4970,Load!$B:$B,Load!L:L,0,)</f>
        <v>0</v>
      </c>
      <c r="L4970">
        <f>_xlfn.XLOOKUP($A4970,Load!$B:$B,Load!M:M,0,)</f>
        <v>0</v>
      </c>
    </row>
    <row r="4971" spans="1:12" x14ac:dyDescent="0.25">
      <c r="B4971">
        <f>_xlfn.XLOOKUP($A4971,Load!$B:$B,Load!C:C,0,)</f>
        <v>0</v>
      </c>
      <c r="C4971">
        <f>_xlfn.XLOOKUP($A4971,Load!$B:$B,Load!D:D,0,)</f>
        <v>0</v>
      </c>
      <c r="D4971">
        <f>_xlfn.XLOOKUP($A4971,Load!$B:$B,Load!E:E,0,)</f>
        <v>0</v>
      </c>
      <c r="E4971">
        <f>_xlfn.XLOOKUP($A4971,Load!$B:$B,Load!F:F,0,)</f>
        <v>0</v>
      </c>
      <c r="F4971">
        <f>_xlfn.XLOOKUP($A4971,Load!$B:$B,Load!G:G,0,)</f>
        <v>0</v>
      </c>
      <c r="G4971">
        <f>_xlfn.XLOOKUP($A4971,Load!$B:$B,Load!H:H,0,)</f>
        <v>0</v>
      </c>
      <c r="H4971">
        <f>_xlfn.XLOOKUP($A4971,Load!$B:$B,Load!I:I,0,)</f>
        <v>0</v>
      </c>
      <c r="I4971">
        <f>_xlfn.XLOOKUP($A4971,Load!$B:$B,Load!J:J,0,)</f>
        <v>0</v>
      </c>
      <c r="J4971">
        <f>_xlfn.XLOOKUP($A4971,Load!$B:$B,Load!K:K,0,)</f>
        <v>0</v>
      </c>
      <c r="K4971">
        <f>_xlfn.XLOOKUP($A4971,Load!$B:$B,Load!L:L,0,)</f>
        <v>0</v>
      </c>
      <c r="L4971">
        <f>_xlfn.XLOOKUP($A4971,Load!$B:$B,Load!M:M,0,)</f>
        <v>0</v>
      </c>
    </row>
    <row r="4972" spans="1:12" x14ac:dyDescent="0.25">
      <c r="A4972" t="s">
        <v>133</v>
      </c>
      <c r="B4972" t="str">
        <f>_xlfn.XLOOKUP($A4972,Load!$B:$B,Load!C:C,0,)</f>
        <v>Hershey's</v>
      </c>
      <c r="C4972" t="str">
        <f>_xlfn.XLOOKUP($A4972,Load!$B:$B,Load!D:D,0,)</f>
        <v>Non-Chocolate Candy Only</v>
      </c>
      <c r="D4972" t="str">
        <f>_xlfn.XLOOKUP($A4972,Load!$B:$B,Load!E:E,0,)</f>
        <v>Variety / Mixed Flavors (Fruity, Sour, Seasonal Flavors)</v>
      </c>
      <c r="E4972" t="str">
        <f>_xlfn.XLOOKUP($A4972,Load!$B:$B,Load!F:F,0,)</f>
        <v>Mixed / Combo Packs (Gummy, Chewy, Taffy, etc.)</v>
      </c>
      <c r="F4972" t="str">
        <f>_xlfn.XLOOKUP($A4972,Load!$B:$B,Load!G:G,0,)</f>
        <v>Large Multipack (More than 80 ct)</v>
      </c>
      <c r="G4972" t="str">
        <f>_xlfn.XLOOKUP($A4972,Load!$B:$B,Load!H:H,0,)</f>
        <v>Stand-Up Bag</v>
      </c>
      <c r="H4972" t="str">
        <f>_xlfn.XLOOKUP($A4972,Load!$B:$B,Load!I:I,0,)</f>
        <v>Everyday Candy Shapes (like Original, Gummy bear, Fruit, Jewels, etc.)</v>
      </c>
      <c r="I4972" t="str">
        <f>_xlfn.XLOOKUP($A4972,Load!$B:$B,Load!J:J,0,)</f>
        <v>Seasonal Graphics (Like Bat, Ghost, Pumpkin, Fall Leaves, Eyeballs, etc.)</v>
      </c>
      <c r="J4972" t="str">
        <f>_xlfn.XLOOKUP($A4972,Load!$B:$B,Load!K:K,0,)</f>
        <v>Fun Size / Treat Size</v>
      </c>
      <c r="K4972" t="str">
        <f>_xlfn.XLOOKUP($A4972,Load!$B:$B,Load!L:L,0,)</f>
        <v>Regular/Original Wrapping</v>
      </c>
      <c r="L4972" t="str">
        <f>_xlfn.XLOOKUP($A4972,Load!$B:$B,Load!M:M,0,)</f>
        <v>Multiple Brands / Variety Flavors or Form</v>
      </c>
    </row>
    <row r="4973" spans="1:12" x14ac:dyDescent="0.25">
      <c r="A4973" t="s">
        <v>221</v>
      </c>
      <c r="B4973" t="str">
        <f>_xlfn.XLOOKUP($A4973,Load!$B:$B,Load!C:C,0,)</f>
        <v>Hershey's Variety Pack + Haribo</v>
      </c>
      <c r="C4973" t="str">
        <f>_xlfn.XLOOKUP($A4973,Load!$B:$B,Load!D:D,0,)</f>
        <v>Mix of Chocolate and Non-Chocolate Candy</v>
      </c>
      <c r="D4973" t="str">
        <f>_xlfn.XLOOKUP($A4973,Load!$B:$B,Load!E:E,0,)</f>
        <v>Variety / Mixed Flavors (Fruity, Sour, Seasonal Flavors)</v>
      </c>
      <c r="E4973" t="str">
        <f>_xlfn.XLOOKUP($A4973,Load!$B:$B,Load!F:F,0,)</f>
        <v>Mixed / Combo Packs (Gummy, Chewy, Taffy, etc.)</v>
      </c>
      <c r="F4973" t="str">
        <f>_xlfn.XLOOKUP($A4973,Load!$B:$B,Load!G:G,0,)</f>
        <v>Large Multipack (More than 80 ct)</v>
      </c>
      <c r="G4973" t="str">
        <f>_xlfn.XLOOKUP($A4973,Load!$B:$B,Load!H:H,0,)</f>
        <v>Stand-Up Bag</v>
      </c>
      <c r="H4973" t="str">
        <f>_xlfn.XLOOKUP($A4973,Load!$B:$B,Load!I:I,0,)</f>
        <v>Everyday Candy Shapes (like Original, Gummy bear, Fruit, Jewels, etc.)</v>
      </c>
      <c r="I4973" t="str">
        <f>_xlfn.XLOOKUP($A4973,Load!$B:$B,Load!J:J,0,)</f>
        <v>Seasonal Graphics (Like Bat, Ghost, Pumpkin, Fall Leaves, Eyeballs, etc.)</v>
      </c>
      <c r="J4973" t="str">
        <f>_xlfn.XLOOKUP($A4973,Load!$B:$B,Load!K:K,0,)</f>
        <v xml:space="preserve">Variety Candy Sizes </v>
      </c>
      <c r="K4973" t="str">
        <f>_xlfn.XLOOKUP($A4973,Load!$B:$B,Load!L:L,0,)</f>
        <v>Regular/Original Wrapping</v>
      </c>
      <c r="L4973" t="str">
        <f>_xlfn.XLOOKUP($A4973,Load!$B:$B,Load!M:M,0,)</f>
        <v>Multiple Brands / Variety Flavors or Form</v>
      </c>
    </row>
    <row r="4974" spans="1:12" x14ac:dyDescent="0.25">
      <c r="A4974" t="s">
        <v>257</v>
      </c>
      <c r="B4974" t="str">
        <f>_xlfn.XLOOKUP($A4974,Load!$B:$B,Load!C:C,0,)</f>
        <v>Skittles</v>
      </c>
      <c r="C4974" t="str">
        <f>_xlfn.XLOOKUP($A4974,Load!$B:$B,Load!D:D,0,)</f>
        <v>Non-Chocolate Candy Only</v>
      </c>
      <c r="D4974" t="str">
        <f>_xlfn.XLOOKUP($A4974,Load!$B:$B,Load!E:E,0,)</f>
        <v>Sour</v>
      </c>
      <c r="E4974" t="str">
        <f>_xlfn.XLOOKUP($A4974,Load!$B:$B,Load!F:F,0,)</f>
        <v>Chewy</v>
      </c>
      <c r="F4974" t="str">
        <f>_xlfn.XLOOKUP($A4974,Load!$B:$B,Load!G:G,0,)</f>
        <v>Single Pack</v>
      </c>
      <c r="G4974" t="str">
        <f>_xlfn.XLOOKUP($A4974,Load!$B:$B,Load!H:H,0,)</f>
        <v>Laydown Bag</v>
      </c>
      <c r="H4974" t="str">
        <f>_xlfn.XLOOKUP($A4974,Load!$B:$B,Load!I:I,0,)</f>
        <v>Everyday Candy Shapes (like Original, Gummy bear, Fruit, Jewels, etc.)</v>
      </c>
      <c r="I4974" t="str">
        <f>_xlfn.XLOOKUP($A4974,Load!$B:$B,Load!J:J,0,)</f>
        <v>Seasonal Graphics (Like Bat, Ghost, Pumpkin, Fall Leaves, Eyeballs, etc.)</v>
      </c>
      <c r="J4974" t="str">
        <f>_xlfn.XLOOKUP($A4974,Load!$B:$B,Load!K:K,0,)</f>
        <v>Small Pieces (Tiny bite size candies)</v>
      </c>
      <c r="K4974" t="str">
        <f>_xlfn.XLOOKUP($A4974,Load!$B:$B,Load!L:L,0,)</f>
        <v>Regular/Original Wrapping</v>
      </c>
      <c r="L4974" t="str">
        <f>_xlfn.XLOOKUP($A4974,Load!$B:$B,Load!M:M,0,)</f>
        <v>Single Brand / Variety Flavors or Form</v>
      </c>
    </row>
    <row r="4975" spans="1:12" x14ac:dyDescent="0.25">
      <c r="A4975" t="s">
        <v>256</v>
      </c>
      <c r="B4975" t="str">
        <f>_xlfn.XLOOKUP($A4975,Load!$B:$B,Load!C:C,0,)</f>
        <v>Skittles</v>
      </c>
      <c r="C4975" t="str">
        <f>_xlfn.XLOOKUP($A4975,Load!$B:$B,Load!D:D,0,)</f>
        <v>Non-Chocolate Candy Only</v>
      </c>
      <c r="D4975" t="str">
        <f>_xlfn.XLOOKUP($A4975,Load!$B:$B,Load!E:E,0,)</f>
        <v>Sour</v>
      </c>
      <c r="E4975" t="str">
        <f>_xlfn.XLOOKUP($A4975,Load!$B:$B,Load!F:F,0,)</f>
        <v>Chewy</v>
      </c>
      <c r="F4975" t="str">
        <f>_xlfn.XLOOKUP($A4975,Load!$B:$B,Load!G:G,0,)</f>
        <v>Single Pack</v>
      </c>
      <c r="G4975" t="str">
        <f>_xlfn.XLOOKUP($A4975,Load!$B:$B,Load!H:H,0,)</f>
        <v>Laydown Bag</v>
      </c>
      <c r="H4975" t="str">
        <f>_xlfn.XLOOKUP($A4975,Load!$B:$B,Load!I:I,0,)</f>
        <v>Seasonal Shapes (like pumpkins, candy corn, ghost, bats, etc.)</v>
      </c>
      <c r="I4975" t="str">
        <f>_xlfn.XLOOKUP($A4975,Load!$B:$B,Load!J:J,0,)</f>
        <v>Seasonal Graphics (Like Bat, Ghost, Pumpkin, Fall Leaves, Eyeballs, etc.)</v>
      </c>
      <c r="J4975" t="str">
        <f>_xlfn.XLOOKUP($A4975,Load!$B:$B,Load!K:K,0,)</f>
        <v>Small Pieces (Tiny bite size candies)</v>
      </c>
      <c r="K4975" t="str">
        <f>_xlfn.XLOOKUP($A4975,Load!$B:$B,Load!L:L,0,)</f>
        <v>Regular/Original Wrapping</v>
      </c>
      <c r="L4975" t="str">
        <f>_xlfn.XLOOKUP($A4975,Load!$B:$B,Load!M:M,0,)</f>
        <v>Single Brand / Variety Flavors or Form</v>
      </c>
    </row>
    <row r="4976" spans="1:12" x14ac:dyDescent="0.25">
      <c r="A4976" t="s">
        <v>199</v>
      </c>
      <c r="B4976" t="str">
        <f>_xlfn.XLOOKUP($A4976,Load!$B:$B,Load!C:C,0,)</f>
        <v>Mars Variety Pack</v>
      </c>
      <c r="C4976" t="str">
        <f>_xlfn.XLOOKUP($A4976,Load!$B:$B,Load!D:D,0,)</f>
        <v>Non-Chocolate Candy Only</v>
      </c>
      <c r="D4976" t="str">
        <f>_xlfn.XLOOKUP($A4976,Load!$B:$B,Load!E:E,0,)</f>
        <v>Variety / Mixed Flavors (Fruity, Sour, Seasonal Flavors)</v>
      </c>
      <c r="E4976" t="str">
        <f>_xlfn.XLOOKUP($A4976,Load!$B:$B,Load!F:F,0,)</f>
        <v>Mixed / Combo Packs (Gummy, Chewy, Taffy, etc.)</v>
      </c>
      <c r="F4976" t="str">
        <f>_xlfn.XLOOKUP($A4976,Load!$B:$B,Load!G:G,0,)</f>
        <v>Small Multipack (Less than 40 ct)</v>
      </c>
      <c r="G4976" t="str">
        <f>_xlfn.XLOOKUP($A4976,Load!$B:$B,Load!H:H,0,)</f>
        <v>Laydown Bag</v>
      </c>
      <c r="H4976" t="str">
        <f>_xlfn.XLOOKUP($A4976,Load!$B:$B,Load!I:I,0,)</f>
        <v>Everyday Candy Shapes (like Original, Gummy bear, Fruit, Jewels, etc.)</v>
      </c>
      <c r="I4976" t="str">
        <f>_xlfn.XLOOKUP($A4976,Load!$B:$B,Load!J:J,0,)</f>
        <v>Seasonal Graphics (Like Bat, Ghost, Pumpkin, Fall Leaves, Eyeballs, etc.)</v>
      </c>
      <c r="J4976" t="str">
        <f>_xlfn.XLOOKUP($A4976,Load!$B:$B,Load!K:K,0,)</f>
        <v>Fun Size / Treat Size</v>
      </c>
      <c r="K4976" t="str">
        <f>_xlfn.XLOOKUP($A4976,Load!$B:$B,Load!L:L,0,)</f>
        <v>Regular/Original Wrapping</v>
      </c>
      <c r="L4976" t="str">
        <f>_xlfn.XLOOKUP($A4976,Load!$B:$B,Load!M:M,0,)</f>
        <v>Multiple Brands / Variety Flavors or Form</v>
      </c>
    </row>
    <row r="4977" spans="1:12" x14ac:dyDescent="0.25">
      <c r="B4977">
        <f>_xlfn.XLOOKUP($A4977,Load!$B:$B,Load!C:C,0,)</f>
        <v>0</v>
      </c>
      <c r="C4977">
        <f>_xlfn.XLOOKUP($A4977,Load!$B:$B,Load!D:D,0,)</f>
        <v>0</v>
      </c>
      <c r="D4977">
        <f>_xlfn.XLOOKUP($A4977,Load!$B:$B,Load!E:E,0,)</f>
        <v>0</v>
      </c>
      <c r="E4977">
        <f>_xlfn.XLOOKUP($A4977,Load!$B:$B,Load!F:F,0,)</f>
        <v>0</v>
      </c>
      <c r="F4977">
        <f>_xlfn.XLOOKUP($A4977,Load!$B:$B,Load!G:G,0,)</f>
        <v>0</v>
      </c>
      <c r="G4977">
        <f>_xlfn.XLOOKUP($A4977,Load!$B:$B,Load!H:H,0,)</f>
        <v>0</v>
      </c>
      <c r="H4977">
        <f>_xlfn.XLOOKUP($A4977,Load!$B:$B,Load!I:I,0,)</f>
        <v>0</v>
      </c>
      <c r="I4977">
        <f>_xlfn.XLOOKUP($A4977,Load!$B:$B,Load!J:J,0,)</f>
        <v>0</v>
      </c>
      <c r="J4977">
        <f>_xlfn.XLOOKUP($A4977,Load!$B:$B,Load!K:K,0,)</f>
        <v>0</v>
      </c>
      <c r="K4977">
        <f>_xlfn.XLOOKUP($A4977,Load!$B:$B,Load!L:L,0,)</f>
        <v>0</v>
      </c>
      <c r="L4977">
        <f>_xlfn.XLOOKUP($A4977,Load!$B:$B,Load!M:M,0,)</f>
        <v>0</v>
      </c>
    </row>
    <row r="4978" spans="1:12" x14ac:dyDescent="0.25">
      <c r="A4978" t="s">
        <v>186</v>
      </c>
      <c r="B4978" t="str">
        <f>_xlfn.XLOOKUP($A4978,Load!$B:$B,Load!C:C,0,)</f>
        <v>Mars Variety Pack</v>
      </c>
      <c r="C4978" t="str">
        <f>_xlfn.XLOOKUP($A4978,Load!$B:$B,Load!D:D,0,)</f>
        <v>Mix of Chocolate and Non-Chocolate Candy</v>
      </c>
      <c r="D4978" t="str">
        <f>_xlfn.XLOOKUP($A4978,Load!$B:$B,Load!E:E,0,)</f>
        <v>Variety / Mixed Flavors (Fruity, Sour, Seasonal Flavors)</v>
      </c>
      <c r="E4978" t="str">
        <f>_xlfn.XLOOKUP($A4978,Load!$B:$B,Load!F:F,0,)</f>
        <v>Mixed / Combo Packs (Gummy, Chewy, Taffy, etc.)</v>
      </c>
      <c r="F4978" t="str">
        <f>_xlfn.XLOOKUP($A4978,Load!$B:$B,Load!G:G,0,)</f>
        <v>Large Multipack (More than 80 ct)</v>
      </c>
      <c r="G4978" t="str">
        <f>_xlfn.XLOOKUP($A4978,Load!$B:$B,Load!H:H,0,)</f>
        <v>Stand-Up Bag</v>
      </c>
      <c r="H4978" t="str">
        <f>_xlfn.XLOOKUP($A4978,Load!$B:$B,Load!I:I,0,)</f>
        <v>Everyday Candy Shapes (like Original, Gummy bear, Fruit, Jewels, etc.)</v>
      </c>
      <c r="I4978" t="str">
        <f>_xlfn.XLOOKUP($A4978,Load!$B:$B,Load!J:J,0,)</f>
        <v>Seasonal Graphics (Like Bat, Ghost, Pumpkin, Fall Leaves, Eyeballs, etc.)</v>
      </c>
      <c r="J4978" t="str">
        <f>_xlfn.XLOOKUP($A4978,Load!$B:$B,Load!K:K,0,)</f>
        <v>Fun Size / Treat Size</v>
      </c>
      <c r="K4978" t="str">
        <f>_xlfn.XLOOKUP($A4978,Load!$B:$B,Load!L:L,0,)</f>
        <v>Regular/Original Wrapping</v>
      </c>
      <c r="L4978" t="str">
        <f>_xlfn.XLOOKUP($A4978,Load!$B:$B,Load!M:M,0,)</f>
        <v>Multiple Brands / Variety Flavors or Form</v>
      </c>
    </row>
    <row r="4979" spans="1:12" x14ac:dyDescent="0.25">
      <c r="A4979" t="s">
        <v>184</v>
      </c>
      <c r="B4979" t="str">
        <f>_xlfn.XLOOKUP($A4979,Load!$B:$B,Load!C:C,0,)</f>
        <v>Mars Variety Pack</v>
      </c>
      <c r="C4979" t="str">
        <f>_xlfn.XLOOKUP($A4979,Load!$B:$B,Load!D:D,0,)</f>
        <v>Mix of Chocolate and Non-Chocolate Candy</v>
      </c>
      <c r="D4979" t="str">
        <f>_xlfn.XLOOKUP($A4979,Load!$B:$B,Load!E:E,0,)</f>
        <v>Variety / Mixed Flavors (Fruity, Sour, Seasonal Flavors)</v>
      </c>
      <c r="E4979" t="str">
        <f>_xlfn.XLOOKUP($A4979,Load!$B:$B,Load!F:F,0,)</f>
        <v>Mixed / Combo Packs (Gummy, Chewy, Taffy, etc.)</v>
      </c>
      <c r="F4979" t="str">
        <f>_xlfn.XLOOKUP($A4979,Load!$B:$B,Load!G:G,0,)</f>
        <v>Large Multipack (More than 80 ct)</v>
      </c>
      <c r="G4979" t="str">
        <f>_xlfn.XLOOKUP($A4979,Load!$B:$B,Load!H:H,0,)</f>
        <v>Stand-Up Bag</v>
      </c>
      <c r="H4979" t="str">
        <f>_xlfn.XLOOKUP($A4979,Load!$B:$B,Load!I:I,0,)</f>
        <v>Everyday Candy Shapes (like Original, Gummy bear, Fruit, Jewels, etc.)</v>
      </c>
      <c r="I4979" t="str">
        <f>_xlfn.XLOOKUP($A4979,Load!$B:$B,Load!J:J,0,)</f>
        <v>Seasonal Graphics (Like Bat, Ghost, Pumpkin, Fall Leaves, Eyeballs, etc.)</v>
      </c>
      <c r="J4979" t="str">
        <f>_xlfn.XLOOKUP($A4979,Load!$B:$B,Load!K:K,0,)</f>
        <v>Fun Size / Treat Size</v>
      </c>
      <c r="K4979" t="str">
        <f>_xlfn.XLOOKUP($A4979,Load!$B:$B,Load!L:L,0,)</f>
        <v>Regular/Original Wrapping</v>
      </c>
      <c r="L4979" t="str">
        <f>_xlfn.XLOOKUP($A4979,Load!$B:$B,Load!M:M,0,)</f>
        <v>Multiple Brands / Variety Flavors or Form</v>
      </c>
    </row>
    <row r="4980" spans="1:12" x14ac:dyDescent="0.25">
      <c r="A4980" t="s">
        <v>185</v>
      </c>
      <c r="B4980" t="str">
        <f>_xlfn.XLOOKUP($A4980,Load!$B:$B,Load!C:C,0,)</f>
        <v>Mars Variety Pack</v>
      </c>
      <c r="C4980" t="str">
        <f>_xlfn.XLOOKUP($A4980,Load!$B:$B,Load!D:D,0,)</f>
        <v>Mix of Chocolate and Non-Chocolate Candy</v>
      </c>
      <c r="D4980" t="str">
        <f>_xlfn.XLOOKUP($A4980,Load!$B:$B,Load!E:E,0,)</f>
        <v>Variety / Mixed Flavors (Fruity, Sour, Seasonal Flavors)</v>
      </c>
      <c r="E4980" t="str">
        <f>_xlfn.XLOOKUP($A4980,Load!$B:$B,Load!F:F,0,)</f>
        <v>Mixed / Combo Packs (Gummy, Chewy, Taffy, etc.)</v>
      </c>
      <c r="F4980" t="str">
        <f>_xlfn.XLOOKUP($A4980,Load!$B:$B,Load!G:G,0,)</f>
        <v>Large Multipack (More than 80 ct)</v>
      </c>
      <c r="G4980" t="str">
        <f>_xlfn.XLOOKUP($A4980,Load!$B:$B,Load!H:H,0,)</f>
        <v>Stand-Up Bag</v>
      </c>
      <c r="H4980" t="str">
        <f>_xlfn.XLOOKUP($A4980,Load!$B:$B,Load!I:I,0,)</f>
        <v>Everyday Candy Shapes (like Original, Gummy bear, Fruit, Jewels, etc.)</v>
      </c>
      <c r="I4980" t="str">
        <f>_xlfn.XLOOKUP($A4980,Load!$B:$B,Load!J:J,0,)</f>
        <v>Seasonal Graphics (Like Bat, Ghost, Pumpkin, Fall Leaves, Eyeballs, etc.)</v>
      </c>
      <c r="J4980" t="str">
        <f>_xlfn.XLOOKUP($A4980,Load!$B:$B,Load!K:K,0,)</f>
        <v>Fun Size / Treat Size</v>
      </c>
      <c r="K4980" t="str">
        <f>_xlfn.XLOOKUP($A4980,Load!$B:$B,Load!L:L,0,)</f>
        <v>Regular/Original Wrapping</v>
      </c>
      <c r="L4980" t="str">
        <f>_xlfn.XLOOKUP($A4980,Load!$B:$B,Load!M:M,0,)</f>
        <v>Multiple Brands / Variety Flavors or Form</v>
      </c>
    </row>
    <row r="4981" spans="1:12" x14ac:dyDescent="0.25">
      <c r="A4981" t="s">
        <v>135</v>
      </c>
      <c r="B4981" t="str">
        <f>_xlfn.XLOOKUP($A4981,Load!$B:$B,Load!C:C,0,)</f>
        <v>Hershey's Variety Pack</v>
      </c>
      <c r="C4981" t="str">
        <f>_xlfn.XLOOKUP($A4981,Load!$B:$B,Load!D:D,0,)</f>
        <v>Non-Chocolate Candy Only</v>
      </c>
      <c r="D4981" t="str">
        <f>_xlfn.XLOOKUP($A4981,Load!$B:$B,Load!E:E,0,)</f>
        <v>Variety / Mixed Flavors (Fruity, Sour, Seasonal Flavors)</v>
      </c>
      <c r="E4981" t="str">
        <f>_xlfn.XLOOKUP($A4981,Load!$B:$B,Load!F:F,0,)</f>
        <v>Mixed / Combo Packs (Gummy, Chewy, Taffy, etc.)</v>
      </c>
      <c r="F4981" t="str">
        <f>_xlfn.XLOOKUP($A4981,Load!$B:$B,Load!G:G,0,)</f>
        <v>Large Multipack (More than 80 ct)</v>
      </c>
      <c r="G4981" t="str">
        <f>_xlfn.XLOOKUP($A4981,Load!$B:$B,Load!H:H,0,)</f>
        <v>Stand-Up Bag</v>
      </c>
      <c r="H4981" t="str">
        <f>_xlfn.XLOOKUP($A4981,Load!$B:$B,Load!I:I,0,)</f>
        <v>Everyday Candy Shapes (like Original, Gummy bear, Fruit, Jewels, etc.)</v>
      </c>
      <c r="I4981" t="str">
        <f>_xlfn.XLOOKUP($A4981,Load!$B:$B,Load!J:J,0,)</f>
        <v>Everyday Graphics</v>
      </c>
      <c r="J4981" t="str">
        <f>_xlfn.XLOOKUP($A4981,Load!$B:$B,Load!K:K,0,)</f>
        <v xml:space="preserve">Variety Candy Sizes </v>
      </c>
      <c r="K4981" t="str">
        <f>_xlfn.XLOOKUP($A4981,Load!$B:$B,Load!L:L,0,)</f>
        <v>Regular/Original Wrapping</v>
      </c>
      <c r="L4981" t="str">
        <f>_xlfn.XLOOKUP($A4981,Load!$B:$B,Load!M:M,0,)</f>
        <v>Multiple Brands / Variety Flavors or Form</v>
      </c>
    </row>
    <row r="4982" spans="1:12" x14ac:dyDescent="0.25">
      <c r="A4982" t="s">
        <v>33</v>
      </c>
      <c r="B4982" t="str">
        <f>_xlfn.XLOOKUP($A4982,Load!$B:$B,Load!C:C,0,)</f>
        <v>Bazooka Brands</v>
      </c>
      <c r="C4982" t="str">
        <f>_xlfn.XLOOKUP($A4982,Load!$B:$B,Load!D:D,0,)</f>
        <v>Non-Chocolate Candy Only</v>
      </c>
      <c r="D4982" t="str">
        <f>_xlfn.XLOOKUP($A4982,Load!$B:$B,Load!E:E,0,)</f>
        <v>Variety / Mixed Flavors (Fruity, Sour, Seasonal Flavors)</v>
      </c>
      <c r="E4982" t="str">
        <f>_xlfn.XLOOKUP($A4982,Load!$B:$B,Load!F:F,0,)</f>
        <v>Mixed / Combo Packs (Gummy, Chewy, Taffy, etc.)</v>
      </c>
      <c r="F4982" t="str">
        <f>_xlfn.XLOOKUP($A4982,Load!$B:$B,Load!G:G,0,)</f>
        <v>Small Multipack (Less than 40 ct)</v>
      </c>
      <c r="G4982" t="str">
        <f>_xlfn.XLOOKUP($A4982,Load!$B:$B,Load!H:H,0,)</f>
        <v>Box (theatre box, gift box, carton)</v>
      </c>
      <c r="H4982" t="str">
        <f>_xlfn.XLOOKUP($A4982,Load!$B:$B,Load!I:I,0,)</f>
        <v>Seasonal Shapes (like pumpkins, candy corn, ghost, bats, etc.)</v>
      </c>
      <c r="I4982" t="str">
        <f>_xlfn.XLOOKUP($A4982,Load!$B:$B,Load!J:J,0,)</f>
        <v>Seasonal Graphics (Like Bat, Ghost, Pumpkin, Fall Leaves, Eyeballs, etc.)</v>
      </c>
      <c r="J4982" t="str">
        <f>_xlfn.XLOOKUP($A4982,Load!$B:$B,Load!K:K,0,)</f>
        <v>Small Pieces (Tiny bite size candies)</v>
      </c>
      <c r="K4982" t="str">
        <f>_xlfn.XLOOKUP($A4982,Load!$B:$B,Load!L:L,0,)</f>
        <v>Regular/Original Wrapping</v>
      </c>
      <c r="L4982" t="str">
        <f>_xlfn.XLOOKUP($A4982,Load!$B:$B,Load!M:M,0,)</f>
        <v>Single Brand / Variety Flavors or Form</v>
      </c>
    </row>
    <row r="4983" spans="1:12" x14ac:dyDescent="0.25">
      <c r="A4983" t="s">
        <v>32</v>
      </c>
      <c r="B4983" t="str">
        <f>_xlfn.XLOOKUP($A4983,Load!$B:$B,Load!C:C,0,)</f>
        <v>Bazooka Brands</v>
      </c>
      <c r="C4983" t="str">
        <f>_xlfn.XLOOKUP($A4983,Load!$B:$B,Load!D:D,0,)</f>
        <v>Non-Chocolate Candy Only</v>
      </c>
      <c r="D4983" t="str">
        <f>_xlfn.XLOOKUP($A4983,Load!$B:$B,Load!E:E,0,)</f>
        <v>Sweet</v>
      </c>
      <c r="E4983" t="str">
        <f>_xlfn.XLOOKUP($A4983,Load!$B:$B,Load!F:F,0,)</f>
        <v>Gummy</v>
      </c>
      <c r="F4983" t="str">
        <f>_xlfn.XLOOKUP($A4983,Load!$B:$B,Load!G:G,0,)</f>
        <v>Small Multipack (Less than 40 ct)</v>
      </c>
      <c r="G4983" t="str">
        <f>_xlfn.XLOOKUP($A4983,Load!$B:$B,Load!H:H,0,)</f>
        <v>Stand-Up Bag</v>
      </c>
      <c r="H4983" t="str">
        <f>_xlfn.XLOOKUP($A4983,Load!$B:$B,Load!I:I,0,)</f>
        <v>Seasonal Shapes (like pumpkins, candy corn, ghost, bats, etc.)</v>
      </c>
      <c r="I4983" t="str">
        <f>_xlfn.XLOOKUP($A4983,Load!$B:$B,Load!J:J,0,)</f>
        <v>Seasonal Graphics (Like Bat, Ghost, Pumpkin, Fall Leaves, Eyeballs, etc.)</v>
      </c>
      <c r="J4983" t="str">
        <f>_xlfn.XLOOKUP($A4983,Load!$B:$B,Load!K:K,0,)</f>
        <v>Fun Size / Treat Size</v>
      </c>
      <c r="K4983" t="str">
        <f>_xlfn.XLOOKUP($A4983,Load!$B:$B,Load!L:L,0,)</f>
        <v>Regular/Original Wrapping</v>
      </c>
      <c r="L4983" t="str">
        <f>_xlfn.XLOOKUP($A4983,Load!$B:$B,Load!M:M,0,)</f>
        <v>Multiple Brands / Variety Flavors or Form</v>
      </c>
    </row>
    <row r="4984" spans="1:12" x14ac:dyDescent="0.25">
      <c r="A4984" t="s">
        <v>175</v>
      </c>
      <c r="B4984" t="str">
        <f>_xlfn.XLOOKUP($A4984,Load!$B:$B,Load!C:C,0,)</f>
        <v>Mars Variety Pack</v>
      </c>
      <c r="C4984" t="str">
        <f>_xlfn.XLOOKUP($A4984,Load!$B:$B,Load!D:D,0,)</f>
        <v>Mix of Chocolate and Non-Chocolate Candy</v>
      </c>
      <c r="D4984" t="str">
        <f>_xlfn.XLOOKUP($A4984,Load!$B:$B,Load!E:E,0,)</f>
        <v>Variety / Mixed Flavors (Fruity, Sour, Seasonal Flavors)</v>
      </c>
      <c r="E4984" t="str">
        <f>_xlfn.XLOOKUP($A4984,Load!$B:$B,Load!F:F,0,)</f>
        <v>Mixed / Combo Packs (Gummy, Chewy, Taffy, etc.)</v>
      </c>
      <c r="F4984" t="str">
        <f>_xlfn.XLOOKUP($A4984,Load!$B:$B,Load!G:G,0,)</f>
        <v>Large Multipack (More than 80 ct)</v>
      </c>
      <c r="G4984" t="str">
        <f>_xlfn.XLOOKUP($A4984,Load!$B:$B,Load!H:H,0,)</f>
        <v>Stand-Up Bag</v>
      </c>
      <c r="H4984" t="str">
        <f>_xlfn.XLOOKUP($A4984,Load!$B:$B,Load!I:I,0,)</f>
        <v>Everyday Candy Shapes (like Original, Gummy bear, Fruit, Jewels, etc.)</v>
      </c>
      <c r="I4984" t="str">
        <f>_xlfn.XLOOKUP($A4984,Load!$B:$B,Load!J:J,0,)</f>
        <v>Seasonal Graphics (Like Bat, Ghost, Pumpkin, Fall Leaves, Eyeballs, etc.)</v>
      </c>
      <c r="J4984" t="str">
        <f>_xlfn.XLOOKUP($A4984,Load!$B:$B,Load!K:K,0,)</f>
        <v xml:space="preserve">Variety Candy Sizes </v>
      </c>
      <c r="K4984" t="str">
        <f>_xlfn.XLOOKUP($A4984,Load!$B:$B,Load!L:L,0,)</f>
        <v>Regular/Original Wrapping</v>
      </c>
      <c r="L4984" t="str">
        <f>_xlfn.XLOOKUP($A4984,Load!$B:$B,Load!M:M,0,)</f>
        <v>Multiple Brands / Variety Flavors or Form</v>
      </c>
    </row>
    <row r="4985" spans="1:12" x14ac:dyDescent="0.25">
      <c r="A4985" t="s">
        <v>139</v>
      </c>
      <c r="B4985" t="str">
        <f>_xlfn.XLOOKUP($A4985,Load!$B:$B,Load!C:C,0,)</f>
        <v>Hershey's Variety Pack + Haribo</v>
      </c>
      <c r="C4985" t="str">
        <f>_xlfn.XLOOKUP($A4985,Load!$B:$B,Load!D:D,0,)</f>
        <v>Mix of Chocolate and Non-Chocolate Candy</v>
      </c>
      <c r="D4985" t="str">
        <f>_xlfn.XLOOKUP($A4985,Load!$B:$B,Load!E:E,0,)</f>
        <v>Variety / Mixed Flavors (Fruity, Sour, Seasonal Flavors)</v>
      </c>
      <c r="E4985" t="str">
        <f>_xlfn.XLOOKUP($A4985,Load!$B:$B,Load!F:F,0,)</f>
        <v>Mixed / Combo Packs (Gummy, Chewy, Taffy, etc.)</v>
      </c>
      <c r="F4985" t="str">
        <f>_xlfn.XLOOKUP($A4985,Load!$B:$B,Load!G:G,0,)</f>
        <v>Large Multipack (More than 80 ct)</v>
      </c>
      <c r="G4985" t="str">
        <f>_xlfn.XLOOKUP($A4985,Load!$B:$B,Load!H:H,0,)</f>
        <v>Stand-Up Bag</v>
      </c>
      <c r="H4985" t="str">
        <f>_xlfn.XLOOKUP($A4985,Load!$B:$B,Load!I:I,0,)</f>
        <v>Everyday Candy Shapes (like Original, Gummy bear, Fruit, Jewels, etc.)</v>
      </c>
      <c r="I4985" t="str">
        <f>_xlfn.XLOOKUP($A4985,Load!$B:$B,Load!J:J,0,)</f>
        <v>Seasonal Graphics (Like Bat, Ghost, Pumpkin, Fall Leaves, Eyeballs, etc.)</v>
      </c>
      <c r="J4985" t="str">
        <f>_xlfn.XLOOKUP($A4985,Load!$B:$B,Load!K:K,0,)</f>
        <v>Fun Size / Treat Size</v>
      </c>
      <c r="K4985" t="str">
        <f>_xlfn.XLOOKUP($A4985,Load!$B:$B,Load!L:L,0,)</f>
        <v>Regular/Original Wrapping</v>
      </c>
      <c r="L4985" t="str">
        <f>_xlfn.XLOOKUP($A4985,Load!$B:$B,Load!M:M,0,)</f>
        <v>Multiple Brands / Variety Flavors or Form</v>
      </c>
    </row>
    <row r="4986" spans="1:12" x14ac:dyDescent="0.25">
      <c r="A4986" t="s">
        <v>144</v>
      </c>
      <c r="B4986" t="str">
        <f>_xlfn.XLOOKUP($A4986,Load!$B:$B,Load!C:C,0,)</f>
        <v>Hershey's Variety Pack + Haribo</v>
      </c>
      <c r="C4986" t="str">
        <f>_xlfn.XLOOKUP($A4986,Load!$B:$B,Load!D:D,0,)</f>
        <v>Mix of Chocolate and Non-Chocolate Candy</v>
      </c>
      <c r="D4986" t="str">
        <f>_xlfn.XLOOKUP($A4986,Load!$B:$B,Load!E:E,0,)</f>
        <v>Variety / Mixed Flavors (Fruity, Sour, Seasonal Flavors)</v>
      </c>
      <c r="E4986" t="str">
        <f>_xlfn.XLOOKUP($A4986,Load!$B:$B,Load!F:F,0,)</f>
        <v>Mixed / Combo Packs (Gummy, Chewy, Taffy, etc.)</v>
      </c>
      <c r="F4986" t="str">
        <f>_xlfn.XLOOKUP($A4986,Load!$B:$B,Load!G:G,0,)</f>
        <v>Large Multipack (More than 80 ct)</v>
      </c>
      <c r="G4986" t="str">
        <f>_xlfn.XLOOKUP($A4986,Load!$B:$B,Load!H:H,0,)</f>
        <v>Stand-Up Bag</v>
      </c>
      <c r="H4986" t="str">
        <f>_xlfn.XLOOKUP($A4986,Load!$B:$B,Load!I:I,0,)</f>
        <v>Everyday Candy Shapes (like Original, Gummy bear, Fruit, Jewels, etc.)</v>
      </c>
      <c r="I4986" t="str">
        <f>_xlfn.XLOOKUP($A4986,Load!$B:$B,Load!J:J,0,)</f>
        <v>Seasonal Graphics (Like Bat, Ghost, Pumpkin, Fall Leaves, Eyeballs, etc.)</v>
      </c>
      <c r="J4986" t="str">
        <f>_xlfn.XLOOKUP($A4986,Load!$B:$B,Load!K:K,0,)</f>
        <v>Fun Size / Treat Size</v>
      </c>
      <c r="K4986" t="str">
        <f>_xlfn.XLOOKUP($A4986,Load!$B:$B,Load!L:L,0,)</f>
        <v>Regular/Original Wrapping</v>
      </c>
      <c r="L4986" t="str">
        <f>_xlfn.XLOOKUP($A4986,Load!$B:$B,Load!M:M,0,)</f>
        <v>Multiple Brands / Variety Flavors or Form</v>
      </c>
    </row>
    <row r="4987" spans="1:12" x14ac:dyDescent="0.25">
      <c r="A4987" t="s">
        <v>132</v>
      </c>
      <c r="B4987" t="str">
        <f>_xlfn.XLOOKUP($A4987,Load!$B:$B,Load!C:C,0,)</f>
        <v>Hershey's</v>
      </c>
      <c r="C4987" t="str">
        <f>_xlfn.XLOOKUP($A4987,Load!$B:$B,Load!D:D,0,)</f>
        <v>Mix of Chocolate and Non-Chocolate Candy</v>
      </c>
      <c r="D4987" t="str">
        <f>_xlfn.XLOOKUP($A4987,Load!$B:$B,Load!E:E,0,)</f>
        <v>Variety / Mixed Flavors (Fruity, Sour, Seasonal Flavors)</v>
      </c>
      <c r="E4987" t="str">
        <f>_xlfn.XLOOKUP($A4987,Load!$B:$B,Load!F:F,0,)</f>
        <v>Mixed / Combo Packs (Gummy, Chewy, Taffy, etc.)</v>
      </c>
      <c r="F4987" t="str">
        <f>_xlfn.XLOOKUP($A4987,Load!$B:$B,Load!G:G,0,)</f>
        <v>Small Multipack (Less than 40 ct)</v>
      </c>
      <c r="G4987" t="str">
        <f>_xlfn.XLOOKUP($A4987,Load!$B:$B,Load!H:H,0,)</f>
        <v>Laydown Bag</v>
      </c>
      <c r="H4987" t="str">
        <f>_xlfn.XLOOKUP($A4987,Load!$B:$B,Load!I:I,0,)</f>
        <v>Everyday Candy Shapes (like Original, Gummy bear, Fruit, Jewels, etc.)</v>
      </c>
      <c r="I4987" t="str">
        <f>_xlfn.XLOOKUP($A4987,Load!$B:$B,Load!J:J,0,)</f>
        <v>Seasonal Graphics (Like Bat, Ghost, Pumpkin, Fall Leaves, Eyeballs, etc.)</v>
      </c>
      <c r="J4987" t="str">
        <f>_xlfn.XLOOKUP($A4987,Load!$B:$B,Load!K:K,0,)</f>
        <v xml:space="preserve">Variety Candy Sizes </v>
      </c>
      <c r="K4987" t="str">
        <f>_xlfn.XLOOKUP($A4987,Load!$B:$B,Load!L:L,0,)</f>
        <v>Regular/Original Wrapping</v>
      </c>
      <c r="L4987" t="str">
        <f>_xlfn.XLOOKUP($A4987,Load!$B:$B,Load!M:M,0,)</f>
        <v>Multiple Brands / Variety Flavors or Form</v>
      </c>
    </row>
    <row r="4988" spans="1:12" x14ac:dyDescent="0.25">
      <c r="A4988" t="s">
        <v>188</v>
      </c>
      <c r="B4988" t="str">
        <f>_xlfn.XLOOKUP($A4988,Load!$B:$B,Load!C:C,0,)</f>
        <v>Mars Variety Pack</v>
      </c>
      <c r="C4988" t="str">
        <f>_xlfn.XLOOKUP($A4988,Load!$B:$B,Load!D:D,0,)</f>
        <v>Non-Chocolate Candy Only</v>
      </c>
      <c r="D4988" t="str">
        <f>_xlfn.XLOOKUP($A4988,Load!$B:$B,Load!E:E,0,)</f>
        <v>Variety / Mixed Flavors (Fruity, Sour, Seasonal Flavors)</v>
      </c>
      <c r="E4988" t="str">
        <f>_xlfn.XLOOKUP($A4988,Load!$B:$B,Load!F:F,0,)</f>
        <v>Mixed / Combo Packs (Gummy, Chewy, Taffy, etc.)</v>
      </c>
      <c r="F4988" t="str">
        <f>_xlfn.XLOOKUP($A4988,Load!$B:$B,Load!G:G,0,)</f>
        <v>Large Multipack (More than 80 ct)</v>
      </c>
      <c r="G4988" t="str">
        <f>_xlfn.XLOOKUP($A4988,Load!$B:$B,Load!H:H,0,)</f>
        <v>Laydown Bag</v>
      </c>
      <c r="H4988" t="str">
        <f>_xlfn.XLOOKUP($A4988,Load!$B:$B,Load!I:I,0,)</f>
        <v>Everyday Candy Shapes (like Original, Gummy bear, Fruit, Jewels, etc.)</v>
      </c>
      <c r="I4988" t="str">
        <f>_xlfn.XLOOKUP($A4988,Load!$B:$B,Load!J:J,0,)</f>
        <v>Everyday Graphics</v>
      </c>
      <c r="J4988" t="str">
        <f>_xlfn.XLOOKUP($A4988,Load!$B:$B,Load!K:K,0,)</f>
        <v>Small Pieces (Tiny bite size candies)</v>
      </c>
      <c r="K4988" t="str">
        <f>_xlfn.XLOOKUP($A4988,Load!$B:$B,Load!L:L,0,)</f>
        <v>Regular/Original Wrapping</v>
      </c>
      <c r="L4988" t="str">
        <f>_xlfn.XLOOKUP($A4988,Load!$B:$B,Load!M:M,0,)</f>
        <v>Multiple Brands / Variety Flavors or Form</v>
      </c>
    </row>
    <row r="4989" spans="1:12" x14ac:dyDescent="0.25">
      <c r="B4989">
        <f>_xlfn.XLOOKUP($A4989,Load!$B:$B,Load!C:C,0,)</f>
        <v>0</v>
      </c>
      <c r="C4989">
        <f>_xlfn.XLOOKUP($A4989,Load!$B:$B,Load!D:D,0,)</f>
        <v>0</v>
      </c>
      <c r="D4989">
        <f>_xlfn.XLOOKUP($A4989,Load!$B:$B,Load!E:E,0,)</f>
        <v>0</v>
      </c>
      <c r="E4989">
        <f>_xlfn.XLOOKUP($A4989,Load!$B:$B,Load!F:F,0,)</f>
        <v>0</v>
      </c>
      <c r="F4989">
        <f>_xlfn.XLOOKUP($A4989,Load!$B:$B,Load!G:G,0,)</f>
        <v>0</v>
      </c>
      <c r="G4989">
        <f>_xlfn.XLOOKUP($A4989,Load!$B:$B,Load!H:H,0,)</f>
        <v>0</v>
      </c>
      <c r="H4989">
        <f>_xlfn.XLOOKUP($A4989,Load!$B:$B,Load!I:I,0,)</f>
        <v>0</v>
      </c>
      <c r="I4989">
        <f>_xlfn.XLOOKUP($A4989,Load!$B:$B,Load!J:J,0,)</f>
        <v>0</v>
      </c>
      <c r="J4989">
        <f>_xlfn.XLOOKUP($A4989,Load!$B:$B,Load!K:K,0,)</f>
        <v>0</v>
      </c>
      <c r="K4989">
        <f>_xlfn.XLOOKUP($A4989,Load!$B:$B,Load!L:L,0,)</f>
        <v>0</v>
      </c>
      <c r="L4989">
        <f>_xlfn.XLOOKUP($A4989,Load!$B:$B,Load!M:M,0,)</f>
        <v>0</v>
      </c>
    </row>
    <row r="4990" spans="1:12" x14ac:dyDescent="0.25">
      <c r="A4990" t="s">
        <v>286</v>
      </c>
      <c r="B4990" t="str">
        <f>_xlfn.XLOOKUP($A4990,Load!$B:$B,Load!C:C,0,)</f>
        <v>SweeTARTS</v>
      </c>
      <c r="C4990" t="str">
        <f>_xlfn.XLOOKUP($A4990,Load!$B:$B,Load!D:D,0,)</f>
        <v>Non-Chocolate Candy Only</v>
      </c>
      <c r="D4990" t="str">
        <f>_xlfn.XLOOKUP($A4990,Load!$B:$B,Load!E:E,0,)</f>
        <v>Variety / Mixed Flavors (Fruity, Sour, Seasonal Flavors)</v>
      </c>
      <c r="E4990" t="str">
        <f>_xlfn.XLOOKUP($A4990,Load!$B:$B,Load!F:F,0,)</f>
        <v>Chewy</v>
      </c>
      <c r="F4990" t="str">
        <f>_xlfn.XLOOKUP($A4990,Load!$B:$B,Load!G:G,0,)</f>
        <v>Small Multipack (Less than 40 ct)</v>
      </c>
      <c r="G4990" t="str">
        <f>_xlfn.XLOOKUP($A4990,Load!$B:$B,Load!H:H,0,)</f>
        <v>Stand-Up Bag</v>
      </c>
      <c r="H4990" t="str">
        <f>_xlfn.XLOOKUP($A4990,Load!$B:$B,Load!I:I,0,)</f>
        <v>Everyday Candy Shapes (like Original, Gummy bear, Fruit, Jewels, etc.)</v>
      </c>
      <c r="I4990" t="str">
        <f>_xlfn.XLOOKUP($A4990,Load!$B:$B,Load!J:J,0,)</f>
        <v>Seasonal Graphics (Like Bat, Ghost, Pumpkin, Fall Leaves, Eyeballs, etc.)</v>
      </c>
      <c r="J4990" t="str">
        <f>_xlfn.XLOOKUP($A4990,Load!$B:$B,Load!K:K,0,)</f>
        <v>Fun Size / Treat Size</v>
      </c>
      <c r="K4990" t="str">
        <f>_xlfn.XLOOKUP($A4990,Load!$B:$B,Load!L:L,0,)</f>
        <v>Regular/Original Wrapping</v>
      </c>
      <c r="L4990" t="str">
        <f>_xlfn.XLOOKUP($A4990,Load!$B:$B,Load!M:M,0,)</f>
        <v>Single Brand / Variety Flavors or Form</v>
      </c>
    </row>
    <row r="4991" spans="1:12" x14ac:dyDescent="0.25">
      <c r="B4991">
        <f>_xlfn.XLOOKUP($A4991,Load!$B:$B,Load!C:C,0,)</f>
        <v>0</v>
      </c>
      <c r="C4991">
        <f>_xlfn.XLOOKUP($A4991,Load!$B:$B,Load!D:D,0,)</f>
        <v>0</v>
      </c>
      <c r="D4991">
        <f>_xlfn.XLOOKUP($A4991,Load!$B:$B,Load!E:E,0,)</f>
        <v>0</v>
      </c>
      <c r="E4991">
        <f>_xlfn.XLOOKUP($A4991,Load!$B:$B,Load!F:F,0,)</f>
        <v>0</v>
      </c>
      <c r="F4991">
        <f>_xlfn.XLOOKUP($A4991,Load!$B:$B,Load!G:G,0,)</f>
        <v>0</v>
      </c>
      <c r="G4991">
        <f>_xlfn.XLOOKUP($A4991,Load!$B:$B,Load!H:H,0,)</f>
        <v>0</v>
      </c>
      <c r="H4991">
        <f>_xlfn.XLOOKUP($A4991,Load!$B:$B,Load!I:I,0,)</f>
        <v>0</v>
      </c>
      <c r="I4991">
        <f>_xlfn.XLOOKUP($A4991,Load!$B:$B,Load!J:J,0,)</f>
        <v>0</v>
      </c>
      <c r="J4991">
        <f>_xlfn.XLOOKUP($A4991,Load!$B:$B,Load!K:K,0,)</f>
        <v>0</v>
      </c>
      <c r="K4991">
        <f>_xlfn.XLOOKUP($A4991,Load!$B:$B,Load!L:L,0,)</f>
        <v>0</v>
      </c>
      <c r="L4991">
        <f>_xlfn.XLOOKUP($A4991,Load!$B:$B,Load!M:M,0,)</f>
        <v>0</v>
      </c>
    </row>
    <row r="4992" spans="1:12" x14ac:dyDescent="0.25">
      <c r="A4992" t="s">
        <v>462</v>
      </c>
      <c r="B4992" t="str">
        <f>_xlfn.XLOOKUP($A4992,Load!$B:$B,Load!C:C,0,)</f>
        <v>Trolli</v>
      </c>
      <c r="C4992" t="str">
        <f>_xlfn.XLOOKUP($A4992,Load!$B:$B,Load!D:D,0,)</f>
        <v>Non-Chocolate Candy Only</v>
      </c>
      <c r="D4992" t="str">
        <f>_xlfn.XLOOKUP($A4992,Load!$B:$B,Load!E:E,0,)</f>
        <v>Sour</v>
      </c>
      <c r="E4992" t="str">
        <f>_xlfn.XLOOKUP($A4992,Load!$B:$B,Load!F:F,0,)</f>
        <v>Gummy</v>
      </c>
      <c r="F4992" t="str">
        <f>_xlfn.XLOOKUP($A4992,Load!$B:$B,Load!G:G,0,)</f>
        <v>Small Multipack (Less than 40 ct)</v>
      </c>
      <c r="G4992" t="str">
        <f>_xlfn.XLOOKUP($A4992,Load!$B:$B,Load!H:H,0,)</f>
        <v>Laydown Bag</v>
      </c>
      <c r="H4992" t="str">
        <f>_xlfn.XLOOKUP($A4992,Load!$B:$B,Load!I:I,0,)</f>
        <v>Seasonal Shapes (like pumpkins, candy corn, ghost, bats, etc.)</v>
      </c>
      <c r="I4992" t="str">
        <f>_xlfn.XLOOKUP($A4992,Load!$B:$B,Load!J:J,0,)</f>
        <v>Seasonal Graphics (Like Bat, Ghost, Pumpkin, Fall Leaves, Eyeballs, etc.)</v>
      </c>
      <c r="J4992" t="str">
        <f>_xlfn.XLOOKUP($A4992,Load!$B:$B,Load!K:K,0,)</f>
        <v>Fun Size / Treat Size</v>
      </c>
      <c r="K4992" t="str">
        <f>_xlfn.XLOOKUP($A4992,Load!$B:$B,Load!L:L,0,)</f>
        <v>Regular/Original Wrapping</v>
      </c>
      <c r="L4992" t="str">
        <f>_xlfn.XLOOKUP($A4992,Load!$B:$B,Load!M:M,0,)</f>
        <v>Single Brand / Variety Flavors or Form</v>
      </c>
    </row>
    <row r="4993" spans="1:12" x14ac:dyDescent="0.25">
      <c r="B4993">
        <f>_xlfn.XLOOKUP($A4993,Load!$B:$B,Load!C:C,0,)</f>
        <v>0</v>
      </c>
      <c r="C4993">
        <f>_xlfn.XLOOKUP($A4993,Load!$B:$B,Load!D:D,0,)</f>
        <v>0</v>
      </c>
      <c r="D4993">
        <f>_xlfn.XLOOKUP($A4993,Load!$B:$B,Load!E:E,0,)</f>
        <v>0</v>
      </c>
      <c r="E4993">
        <f>_xlfn.XLOOKUP($A4993,Load!$B:$B,Load!F:F,0,)</f>
        <v>0</v>
      </c>
      <c r="F4993">
        <f>_xlfn.XLOOKUP($A4993,Load!$B:$B,Load!G:G,0,)</f>
        <v>0</v>
      </c>
      <c r="G4993">
        <f>_xlfn.XLOOKUP($A4993,Load!$B:$B,Load!H:H,0,)</f>
        <v>0</v>
      </c>
      <c r="H4993">
        <f>_xlfn.XLOOKUP($A4993,Load!$B:$B,Load!I:I,0,)</f>
        <v>0</v>
      </c>
      <c r="I4993">
        <f>_xlfn.XLOOKUP($A4993,Load!$B:$B,Load!J:J,0,)</f>
        <v>0</v>
      </c>
      <c r="J4993">
        <f>_xlfn.XLOOKUP($A4993,Load!$B:$B,Load!K:K,0,)</f>
        <v>0</v>
      </c>
      <c r="K4993">
        <f>_xlfn.XLOOKUP($A4993,Load!$B:$B,Load!L:L,0,)</f>
        <v>0</v>
      </c>
      <c r="L4993">
        <f>_xlfn.XLOOKUP($A4993,Load!$B:$B,Load!M:M,0,)</f>
        <v>0</v>
      </c>
    </row>
    <row r="4994" spans="1:12" x14ac:dyDescent="0.25">
      <c r="A4994" t="s">
        <v>192</v>
      </c>
      <c r="B4994" t="str">
        <f>_xlfn.XLOOKUP($A4994,Load!$B:$B,Load!C:C,0,)</f>
        <v>Mars Variety Pack</v>
      </c>
      <c r="C4994" t="str">
        <f>_xlfn.XLOOKUP($A4994,Load!$B:$B,Load!D:D,0,)</f>
        <v>Non-Chocolate Candy Only</v>
      </c>
      <c r="D4994" t="str">
        <f>_xlfn.XLOOKUP($A4994,Load!$B:$B,Load!E:E,0,)</f>
        <v>Variety / Mixed Flavors (Fruity, Sour, Seasonal Flavors)</v>
      </c>
      <c r="E4994" t="str">
        <f>_xlfn.XLOOKUP($A4994,Load!$B:$B,Load!F:F,0,)</f>
        <v>Mixed / Combo Packs (Gummy, Chewy, Taffy, etc.)</v>
      </c>
      <c r="F4994" t="str">
        <f>_xlfn.XLOOKUP($A4994,Load!$B:$B,Load!G:G,0,)</f>
        <v>Medium Multipack (40–80 ct)</v>
      </c>
      <c r="G4994" t="str">
        <f>_xlfn.XLOOKUP($A4994,Load!$B:$B,Load!H:H,0,)</f>
        <v>Stand-Up Bag</v>
      </c>
      <c r="H4994" t="str">
        <f>_xlfn.XLOOKUP($A4994,Load!$B:$B,Load!I:I,0,)</f>
        <v>Everyday Candy Shapes (like Original, Gummy bear, Fruit, Jewels, etc.)</v>
      </c>
      <c r="I4994" t="str">
        <f>_xlfn.XLOOKUP($A4994,Load!$B:$B,Load!J:J,0,)</f>
        <v>Seasonal Graphics (Like Bat, Ghost, Pumpkin, Fall Leaves, Eyeballs, etc.)</v>
      </c>
      <c r="J4994" t="str">
        <f>_xlfn.XLOOKUP($A4994,Load!$B:$B,Load!K:K,0,)</f>
        <v>Fun Size / Treat Size</v>
      </c>
      <c r="K4994" t="str">
        <f>_xlfn.XLOOKUP($A4994,Load!$B:$B,Load!L:L,0,)</f>
        <v>Regular/Original Wrapping</v>
      </c>
      <c r="L4994" t="str">
        <f>_xlfn.XLOOKUP($A4994,Load!$B:$B,Load!M:M,0,)</f>
        <v>Multiple Brands / Variety Flavors or Form</v>
      </c>
    </row>
    <row r="4995" spans="1:12" x14ac:dyDescent="0.25">
      <c r="A4995" t="s">
        <v>193</v>
      </c>
      <c r="B4995" t="str">
        <f>_xlfn.XLOOKUP($A4995,Load!$B:$B,Load!C:C,0,)</f>
        <v>Mars Variety Pack</v>
      </c>
      <c r="C4995" t="str">
        <f>_xlfn.XLOOKUP($A4995,Load!$B:$B,Load!D:D,0,)</f>
        <v>Mix of Chocolate and Non-Chocolate Candy</v>
      </c>
      <c r="D4995" t="str">
        <f>_xlfn.XLOOKUP($A4995,Load!$B:$B,Load!E:E,0,)</f>
        <v>Variety / Mixed Flavors (Fruity, Sour, Seasonal Flavors)</v>
      </c>
      <c r="E4995" t="str">
        <f>_xlfn.XLOOKUP($A4995,Load!$B:$B,Load!F:F,0,)</f>
        <v>Mixed / Combo Packs (Gummy, Chewy, Taffy, etc.)</v>
      </c>
      <c r="F4995" t="str">
        <f>_xlfn.XLOOKUP($A4995,Load!$B:$B,Load!G:G,0,)</f>
        <v>Medium Multipack (40–80 ct)</v>
      </c>
      <c r="G4995" t="str">
        <f>_xlfn.XLOOKUP($A4995,Load!$B:$B,Load!H:H,0,)</f>
        <v>Laydown Bag</v>
      </c>
      <c r="H4995" t="str">
        <f>_xlfn.XLOOKUP($A4995,Load!$B:$B,Load!I:I,0,)</f>
        <v>Everyday Candy Shapes (like Original, Gummy bear, Fruit, Jewels, etc.)</v>
      </c>
      <c r="I4995" t="str">
        <f>_xlfn.XLOOKUP($A4995,Load!$B:$B,Load!J:J,0,)</f>
        <v>Seasonal Graphics (Like Bat, Ghost, Pumpkin, Fall Leaves, Eyeballs, etc.)</v>
      </c>
      <c r="J4995" t="str">
        <f>_xlfn.XLOOKUP($A4995,Load!$B:$B,Load!K:K,0,)</f>
        <v>Fun Size / Treat Size</v>
      </c>
      <c r="K4995" t="str">
        <f>_xlfn.XLOOKUP($A4995,Load!$B:$B,Load!L:L,0,)</f>
        <v>Regular/Original Wrapping</v>
      </c>
      <c r="L4995" t="str">
        <f>_xlfn.XLOOKUP($A4995,Load!$B:$B,Load!M:M,0,)</f>
        <v>Multiple Brands / Variety Flavors or Form</v>
      </c>
    </row>
    <row r="4996" spans="1:12" x14ac:dyDescent="0.25">
      <c r="A4996" t="s">
        <v>326</v>
      </c>
      <c r="B4996" t="str">
        <f>_xlfn.XLOOKUP($A4996,Load!$B:$B,Load!C:C,0,)</f>
        <v>Mondelez Variety Pack</v>
      </c>
      <c r="C4996" t="str">
        <f>_xlfn.XLOOKUP($A4996,Load!$B:$B,Load!D:D,0,)</f>
        <v>Mix of Chocolate and Non-Chocolate Candy</v>
      </c>
      <c r="D4996" t="str">
        <f>_xlfn.XLOOKUP($A4996,Load!$B:$B,Load!E:E,0,)</f>
        <v>Variety / Mixed Flavors (Fruity, Sour, Seasonal Flavors)</v>
      </c>
      <c r="E4996" t="str">
        <f>_xlfn.XLOOKUP($A4996,Load!$B:$B,Load!F:F,0,)</f>
        <v>Mixed / Combo Packs (Gummy, Chewy, Taffy, etc.)</v>
      </c>
      <c r="F4996" t="str">
        <f>_xlfn.XLOOKUP($A4996,Load!$B:$B,Load!G:G,0,)</f>
        <v>Medium Multipack (40–80 ct)</v>
      </c>
      <c r="G4996" t="str">
        <f>_xlfn.XLOOKUP($A4996,Load!$B:$B,Load!H:H,0,)</f>
        <v>Stand-Up Bag</v>
      </c>
      <c r="H4996" t="str">
        <f>_xlfn.XLOOKUP($A4996,Load!$B:$B,Load!I:I,0,)</f>
        <v>Everyday Candy Shapes (like Original, Gummy bear, Fruit, Jewels, etc.)</v>
      </c>
      <c r="I4996" t="str">
        <f>_xlfn.XLOOKUP($A4996,Load!$B:$B,Load!J:J,0,)</f>
        <v>Seasonal Graphics (Like Bat, Ghost, Pumpkin, Fall Leaves, Eyeballs, etc.)</v>
      </c>
      <c r="J4996" t="str">
        <f>_xlfn.XLOOKUP($A4996,Load!$B:$B,Load!K:K,0,)</f>
        <v xml:space="preserve">Variety Candy Sizes </v>
      </c>
      <c r="K4996" t="str">
        <f>_xlfn.XLOOKUP($A4996,Load!$B:$B,Load!L:L,0,)</f>
        <v>Regular/Original Wrapping</v>
      </c>
      <c r="L4996" t="str">
        <f>_xlfn.XLOOKUP($A4996,Load!$B:$B,Load!M:M,0,)</f>
        <v>Multiple Brands / Variety Flavors or Form</v>
      </c>
    </row>
    <row r="4997" spans="1:12" x14ac:dyDescent="0.25">
      <c r="B4997">
        <f>_xlfn.XLOOKUP($A4997,Load!$B:$B,Load!C:C,0,)</f>
        <v>0</v>
      </c>
      <c r="C4997">
        <f>_xlfn.XLOOKUP($A4997,Load!$B:$B,Load!D:D,0,)</f>
        <v>0</v>
      </c>
      <c r="D4997">
        <f>_xlfn.XLOOKUP($A4997,Load!$B:$B,Load!E:E,0,)</f>
        <v>0</v>
      </c>
      <c r="E4997">
        <f>_xlfn.XLOOKUP($A4997,Load!$B:$B,Load!F:F,0,)</f>
        <v>0</v>
      </c>
      <c r="F4997">
        <f>_xlfn.XLOOKUP($A4997,Load!$B:$B,Load!G:G,0,)</f>
        <v>0</v>
      </c>
      <c r="G4997">
        <f>_xlfn.XLOOKUP($A4997,Load!$B:$B,Load!H:H,0,)</f>
        <v>0</v>
      </c>
      <c r="H4997">
        <f>_xlfn.XLOOKUP($A4997,Load!$B:$B,Load!I:I,0,)</f>
        <v>0</v>
      </c>
      <c r="I4997">
        <f>_xlfn.XLOOKUP($A4997,Load!$B:$B,Load!J:J,0,)</f>
        <v>0</v>
      </c>
      <c r="J4997">
        <f>_xlfn.XLOOKUP($A4997,Load!$B:$B,Load!K:K,0,)</f>
        <v>0</v>
      </c>
      <c r="K4997">
        <f>_xlfn.XLOOKUP($A4997,Load!$B:$B,Load!L:L,0,)</f>
        <v>0</v>
      </c>
      <c r="L4997">
        <f>_xlfn.XLOOKUP($A4997,Load!$B:$B,Load!M:M,0,)</f>
        <v>0</v>
      </c>
    </row>
    <row r="4998" spans="1:12" x14ac:dyDescent="0.25">
      <c r="A4998" t="s">
        <v>316</v>
      </c>
      <c r="B4998" t="str">
        <f>_xlfn.XLOOKUP($A4998,Load!$B:$B,Load!C:C,0,)</f>
        <v>YumEarth</v>
      </c>
      <c r="C4998" t="str">
        <f>_xlfn.XLOOKUP($A4998,Load!$B:$B,Load!D:D,0,)</f>
        <v>Non-Chocolate Candy Only</v>
      </c>
      <c r="D4998" t="str">
        <f>_xlfn.XLOOKUP($A4998,Load!$B:$B,Load!E:E,0,)</f>
        <v>Variety / Mixed Flavors (Fruity, Sour, Seasonal Flavors)</v>
      </c>
      <c r="E4998" t="str">
        <f>_xlfn.XLOOKUP($A4998,Load!$B:$B,Load!F:F,0,)</f>
        <v>Lollipop (regular or lollipop rings)</v>
      </c>
      <c r="F4998" t="str">
        <f>_xlfn.XLOOKUP($A4998,Load!$B:$B,Load!G:G,0,)</f>
        <v>Medium Multipack (40–80 ct)</v>
      </c>
      <c r="G4998" t="str">
        <f>_xlfn.XLOOKUP($A4998,Load!$B:$B,Load!H:H,0,)</f>
        <v>Box (theatre box, gift box, carton)</v>
      </c>
      <c r="H4998" t="str">
        <f>_xlfn.XLOOKUP($A4998,Load!$B:$B,Load!I:I,0,)</f>
        <v>Everyday Candy Shapes (like Original, Gummy bear, Fruit, Jewels, etc.)</v>
      </c>
      <c r="I4998" t="str">
        <f>_xlfn.XLOOKUP($A4998,Load!$B:$B,Load!J:J,0,)</f>
        <v>Seasonal Graphics (Like Bat, Ghost, Pumpkin, Fall Leaves, Eyeballs, etc.)</v>
      </c>
      <c r="J4998" t="str">
        <f>_xlfn.XLOOKUP($A4998,Load!$B:$B,Load!K:K,0,)</f>
        <v>Regular Lollipop size (on sticks or rings)</v>
      </c>
      <c r="K4998" t="str">
        <f>_xlfn.XLOOKUP($A4998,Load!$B:$B,Load!L:L,0,)</f>
        <v>Regular/Original Wrapping</v>
      </c>
      <c r="L4998" t="str">
        <f>_xlfn.XLOOKUP($A4998,Load!$B:$B,Load!M:M,0,)</f>
        <v>Single Brand / Variety Flavors or Form</v>
      </c>
    </row>
    <row r="4999" spans="1:12" x14ac:dyDescent="0.25">
      <c r="A4999" t="s">
        <v>254</v>
      </c>
      <c r="B4999" t="str">
        <f>_xlfn.XLOOKUP($A4999,Load!$B:$B,Load!C:C,0,)</f>
        <v>Skittles</v>
      </c>
      <c r="C4999" t="str">
        <f>_xlfn.XLOOKUP($A4999,Load!$B:$B,Load!D:D,0,)</f>
        <v>Non-Chocolate Candy Only</v>
      </c>
      <c r="D4999" t="str">
        <f>_xlfn.XLOOKUP($A4999,Load!$B:$B,Load!E:E,0,)</f>
        <v>Variety / Mixed Flavors (Fruity, Sour, Seasonal Flavors)</v>
      </c>
      <c r="E4999" t="str">
        <f>_xlfn.XLOOKUP($A4999,Load!$B:$B,Load!F:F,0,)</f>
        <v>Candy Pieces / Bites</v>
      </c>
      <c r="F4999" t="str">
        <f>_xlfn.XLOOKUP($A4999,Load!$B:$B,Load!G:G,0,)</f>
        <v>Medium Multipack (40–80 ct)</v>
      </c>
      <c r="G4999" t="str">
        <f>_xlfn.XLOOKUP($A4999,Load!$B:$B,Load!H:H,0,)</f>
        <v>Stand-Up Bag</v>
      </c>
      <c r="H4999" t="str">
        <f>_xlfn.XLOOKUP($A4999,Load!$B:$B,Load!I:I,0,)</f>
        <v>Everyday Candy Shapes (like Original, Gummy bear, Fruit, Jewels, etc.)</v>
      </c>
      <c r="I4999" t="str">
        <f>_xlfn.XLOOKUP($A4999,Load!$B:$B,Load!J:J,0,)</f>
        <v>Everyday Graphics</v>
      </c>
      <c r="J4999" t="str">
        <f>_xlfn.XLOOKUP($A4999,Load!$B:$B,Load!K:K,0,)</f>
        <v>Small Pieces (Tiny bite size candies)</v>
      </c>
      <c r="K4999" t="str">
        <f>_xlfn.XLOOKUP($A4999,Load!$B:$B,Load!L:L,0,)</f>
        <v>Regular/Original Wrapping</v>
      </c>
      <c r="L4999" t="str">
        <f>_xlfn.XLOOKUP($A4999,Load!$B:$B,Load!M:M,0,)</f>
        <v>Single Brand / Variety Flavors or Form</v>
      </c>
    </row>
    <row r="5000" spans="1:12" x14ac:dyDescent="0.25">
      <c r="A5000" t="s">
        <v>201</v>
      </c>
      <c r="B5000" t="str">
        <f>_xlfn.XLOOKUP($A5000,Load!$B:$B,Load!C:C,0,)</f>
        <v>Mars Variety Pack</v>
      </c>
      <c r="C5000" t="str">
        <f>_xlfn.XLOOKUP($A5000,Load!$B:$B,Load!D:D,0,)</f>
        <v>Non-Chocolate Candy Only</v>
      </c>
      <c r="D5000" t="str">
        <f>_xlfn.XLOOKUP($A5000,Load!$B:$B,Load!E:E,0,)</f>
        <v>Variety / Mixed Flavors (Fruity, Sour, Seasonal Flavors)</v>
      </c>
      <c r="E5000" t="str">
        <f>_xlfn.XLOOKUP($A5000,Load!$B:$B,Load!F:F,0,)</f>
        <v>Mixed / Combo Packs (Gummy, Chewy, Taffy, etc.)</v>
      </c>
      <c r="F5000" t="str">
        <f>_xlfn.XLOOKUP($A5000,Load!$B:$B,Load!G:G,0,)</f>
        <v>Large Multipack (More than 80 ct)</v>
      </c>
      <c r="G5000" t="str">
        <f>_xlfn.XLOOKUP($A5000,Load!$B:$B,Load!H:H,0,)</f>
        <v>Stand-Up Bag</v>
      </c>
      <c r="H5000" t="str">
        <f>_xlfn.XLOOKUP($A5000,Load!$B:$B,Load!I:I,0,)</f>
        <v>Everyday Candy Shapes (like Original, Gummy bear, Fruit, Jewels, etc.)</v>
      </c>
      <c r="I5000" t="str">
        <f>_xlfn.XLOOKUP($A5000,Load!$B:$B,Load!J:J,0,)</f>
        <v>Everyday Graphics</v>
      </c>
      <c r="J5000" t="str">
        <f>_xlfn.XLOOKUP($A5000,Load!$B:$B,Load!K:K,0,)</f>
        <v>Fun Size / Treat Size</v>
      </c>
      <c r="K5000" t="str">
        <f>_xlfn.XLOOKUP($A5000,Load!$B:$B,Load!L:L,0,)</f>
        <v>Regular/Original Wrapping</v>
      </c>
      <c r="L5000" t="str">
        <f>_xlfn.XLOOKUP($A5000,Load!$B:$B,Load!M:M,0,)</f>
        <v>Multiple Brands / Variety Flavors or Form</v>
      </c>
    </row>
    <row r="5001" spans="1:12" x14ac:dyDescent="0.25">
      <c r="A5001" t="s">
        <v>180</v>
      </c>
      <c r="B5001" t="str">
        <f>_xlfn.XLOOKUP($A5001,Load!$B:$B,Load!C:C,0,)</f>
        <v>Mars Variety Pack</v>
      </c>
      <c r="C5001" t="str">
        <f>_xlfn.XLOOKUP($A5001,Load!$B:$B,Load!D:D,0,)</f>
        <v>Mix of Chocolate and Non-Chocolate Candy</v>
      </c>
      <c r="D5001" t="str">
        <f>_xlfn.XLOOKUP($A5001,Load!$B:$B,Load!E:E,0,)</f>
        <v>Variety / Mixed Flavors (Fruity, Sour, Seasonal Flavors)</v>
      </c>
      <c r="E5001" t="str">
        <f>_xlfn.XLOOKUP($A5001,Load!$B:$B,Load!F:F,0,)</f>
        <v>Mixed / Combo Packs (Gummy, Chewy, Taffy, etc.)</v>
      </c>
      <c r="F5001" t="str">
        <f>_xlfn.XLOOKUP($A5001,Load!$B:$B,Load!G:G,0,)</f>
        <v>Large Multipack (More than 80 ct)</v>
      </c>
      <c r="G5001" t="str">
        <f>_xlfn.XLOOKUP($A5001,Load!$B:$B,Load!H:H,0,)</f>
        <v>Stand-Up Bag</v>
      </c>
      <c r="H5001" t="str">
        <f>_xlfn.XLOOKUP($A5001,Load!$B:$B,Load!I:I,0,)</f>
        <v>Everyday Candy Shapes (like Original, Gummy bear, Fruit, Jewels, etc.)</v>
      </c>
      <c r="I5001" t="str">
        <f>_xlfn.XLOOKUP($A5001,Load!$B:$B,Load!J:J,0,)</f>
        <v>Seasonal Graphics (Like Bat, Ghost, Pumpkin, Fall Leaves, Eyeballs, etc.)</v>
      </c>
      <c r="J5001" t="str">
        <f>_xlfn.XLOOKUP($A5001,Load!$B:$B,Load!K:K,0,)</f>
        <v>Fun Size / Treat Size</v>
      </c>
      <c r="K5001" t="str">
        <f>_xlfn.XLOOKUP($A5001,Load!$B:$B,Load!L:L,0,)</f>
        <v>Regular/Original Wrapping</v>
      </c>
      <c r="L5001" t="str">
        <f>_xlfn.XLOOKUP($A5001,Load!$B:$B,Load!M:M,0,)</f>
        <v>Multiple Brands / Variety Flavors or Form</v>
      </c>
    </row>
    <row r="5002" spans="1:12" x14ac:dyDescent="0.25">
      <c r="A5002" t="s">
        <v>230</v>
      </c>
      <c r="B5002" t="str">
        <f>_xlfn.XLOOKUP($A5002,Load!$B:$B,Load!C:C,0,)</f>
        <v>Nerds</v>
      </c>
      <c r="C5002" t="str">
        <f>_xlfn.XLOOKUP($A5002,Load!$B:$B,Load!D:D,0,)</f>
        <v>Non-Chocolate Candy Only</v>
      </c>
      <c r="D5002" t="str">
        <f>_xlfn.XLOOKUP($A5002,Load!$B:$B,Load!E:E,0,)</f>
        <v>Sweet</v>
      </c>
      <c r="E5002" t="str">
        <f>_xlfn.XLOOKUP($A5002,Load!$B:$B,Load!F:F,0,)</f>
        <v>Chewy</v>
      </c>
      <c r="F5002" t="str">
        <f>_xlfn.XLOOKUP($A5002,Load!$B:$B,Load!G:G,0,)</f>
        <v>Single Pack</v>
      </c>
      <c r="G5002" t="str">
        <f>_xlfn.XLOOKUP($A5002,Load!$B:$B,Load!H:H,0,)</f>
        <v>Laydown Bag</v>
      </c>
      <c r="H5002" t="str">
        <f>_xlfn.XLOOKUP($A5002,Load!$B:$B,Load!I:I,0,)</f>
        <v>Everyday Candy Shapes (like Original, Gummy bear, Fruit, Jewels, etc.)</v>
      </c>
      <c r="I5002" t="str">
        <f>_xlfn.XLOOKUP($A5002,Load!$B:$B,Load!J:J,0,)</f>
        <v>Seasonal Graphics (Like Bat, Ghost, Pumpkin, Fall Leaves, Eyeballs, etc.)</v>
      </c>
      <c r="J5002" t="str">
        <f>_xlfn.XLOOKUP($A5002,Load!$B:$B,Load!K:K,0,)</f>
        <v>Fun Size / Treat Size</v>
      </c>
      <c r="K5002" t="str">
        <f>_xlfn.XLOOKUP($A5002,Load!$B:$B,Load!L:L,0,)</f>
        <v>Regular/Original Wrapping</v>
      </c>
      <c r="L5002" t="str">
        <f>_xlfn.XLOOKUP($A5002,Load!$B:$B,Load!M:M,0,)</f>
        <v>Single Brand / Single Flavor or Form</v>
      </c>
    </row>
    <row r="5003" spans="1:12" x14ac:dyDescent="0.25">
      <c r="B5003">
        <f>_xlfn.XLOOKUP($A5003,Load!$B:$B,Load!C:C,0,)</f>
        <v>0</v>
      </c>
      <c r="C5003">
        <f>_xlfn.XLOOKUP($A5003,Load!$B:$B,Load!D:D,0,)</f>
        <v>0</v>
      </c>
      <c r="D5003">
        <f>_xlfn.XLOOKUP($A5003,Load!$B:$B,Load!E:E,0,)</f>
        <v>0</v>
      </c>
      <c r="E5003">
        <f>_xlfn.XLOOKUP($A5003,Load!$B:$B,Load!F:F,0,)</f>
        <v>0</v>
      </c>
      <c r="F5003">
        <f>_xlfn.XLOOKUP($A5003,Load!$B:$B,Load!G:G,0,)</f>
        <v>0</v>
      </c>
      <c r="G5003">
        <f>_xlfn.XLOOKUP($A5003,Load!$B:$B,Load!H:H,0,)</f>
        <v>0</v>
      </c>
      <c r="H5003">
        <f>_xlfn.XLOOKUP($A5003,Load!$B:$B,Load!I:I,0,)</f>
        <v>0</v>
      </c>
      <c r="I5003">
        <f>_xlfn.XLOOKUP($A5003,Load!$B:$B,Load!J:J,0,)</f>
        <v>0</v>
      </c>
      <c r="J5003">
        <f>_xlfn.XLOOKUP($A5003,Load!$B:$B,Load!K:K,0,)</f>
        <v>0</v>
      </c>
      <c r="K5003">
        <f>_xlfn.XLOOKUP($A5003,Load!$B:$B,Load!L:L,0,)</f>
        <v>0</v>
      </c>
      <c r="L5003">
        <f>_xlfn.XLOOKUP($A5003,Load!$B:$B,Load!M:M,0,)</f>
        <v>0</v>
      </c>
    </row>
    <row r="5004" spans="1:12" x14ac:dyDescent="0.25">
      <c r="A5004" t="s">
        <v>139</v>
      </c>
      <c r="B5004" t="str">
        <f>_xlfn.XLOOKUP($A5004,Load!$B:$B,Load!C:C,0,)</f>
        <v>Hershey's Variety Pack + Haribo</v>
      </c>
      <c r="C5004" t="str">
        <f>_xlfn.XLOOKUP($A5004,Load!$B:$B,Load!D:D,0,)</f>
        <v>Mix of Chocolate and Non-Chocolate Candy</v>
      </c>
      <c r="D5004" t="str">
        <f>_xlfn.XLOOKUP($A5004,Load!$B:$B,Load!E:E,0,)</f>
        <v>Variety / Mixed Flavors (Fruity, Sour, Seasonal Flavors)</v>
      </c>
      <c r="E5004" t="str">
        <f>_xlfn.XLOOKUP($A5004,Load!$B:$B,Load!F:F,0,)</f>
        <v>Mixed / Combo Packs (Gummy, Chewy, Taffy, etc.)</v>
      </c>
      <c r="F5004" t="str">
        <f>_xlfn.XLOOKUP($A5004,Load!$B:$B,Load!G:G,0,)</f>
        <v>Large Multipack (More than 80 ct)</v>
      </c>
      <c r="G5004" t="str">
        <f>_xlfn.XLOOKUP($A5004,Load!$B:$B,Load!H:H,0,)</f>
        <v>Stand-Up Bag</v>
      </c>
      <c r="H5004" t="str">
        <f>_xlfn.XLOOKUP($A5004,Load!$B:$B,Load!I:I,0,)</f>
        <v>Everyday Candy Shapes (like Original, Gummy bear, Fruit, Jewels, etc.)</v>
      </c>
      <c r="I5004" t="str">
        <f>_xlfn.XLOOKUP($A5004,Load!$B:$B,Load!J:J,0,)</f>
        <v>Seasonal Graphics (Like Bat, Ghost, Pumpkin, Fall Leaves, Eyeballs, etc.)</v>
      </c>
      <c r="J5004" t="str">
        <f>_xlfn.XLOOKUP($A5004,Load!$B:$B,Load!K:K,0,)</f>
        <v>Fun Size / Treat Size</v>
      </c>
      <c r="K5004" t="str">
        <f>_xlfn.XLOOKUP($A5004,Load!$B:$B,Load!L:L,0,)</f>
        <v>Regular/Original Wrapping</v>
      </c>
      <c r="L5004" t="str">
        <f>_xlfn.XLOOKUP($A5004,Load!$B:$B,Load!M:M,0,)</f>
        <v>Multiple Brands / Variety Flavors or Form</v>
      </c>
    </row>
    <row r="5005" spans="1:12" x14ac:dyDescent="0.25">
      <c r="A5005" t="s">
        <v>131</v>
      </c>
      <c r="B5005" t="str">
        <f>_xlfn.XLOOKUP($A5005,Load!$B:$B,Load!C:C,0,)</f>
        <v>Hershey's</v>
      </c>
      <c r="C5005" t="str">
        <f>_xlfn.XLOOKUP($A5005,Load!$B:$B,Load!D:D,0,)</f>
        <v>Mix of Chocolate and Non-Chocolate Candy</v>
      </c>
      <c r="D5005" t="str">
        <f>_xlfn.XLOOKUP($A5005,Load!$B:$B,Load!E:E,0,)</f>
        <v>Variety / Mixed Flavors (Fruity, Sour, Seasonal Flavors)</v>
      </c>
      <c r="E5005" t="str">
        <f>_xlfn.XLOOKUP($A5005,Load!$B:$B,Load!F:F,0,)</f>
        <v>Mixed / Combo Packs (Gummy, Chewy, Taffy, etc.)</v>
      </c>
      <c r="F5005" t="str">
        <f>_xlfn.XLOOKUP($A5005,Load!$B:$B,Load!G:G,0,)</f>
        <v>Large Multipack (More than 80 ct)</v>
      </c>
      <c r="G5005" t="str">
        <f>_xlfn.XLOOKUP($A5005,Load!$B:$B,Load!H:H,0,)</f>
        <v>Stand-Up Bag</v>
      </c>
      <c r="H5005" t="str">
        <f>_xlfn.XLOOKUP($A5005,Load!$B:$B,Load!I:I,0,)</f>
        <v>Everyday Candy Shapes (like Original, Gummy bear, Fruit, Jewels, etc.)</v>
      </c>
      <c r="I5005" t="str">
        <f>_xlfn.XLOOKUP($A5005,Load!$B:$B,Load!J:J,0,)</f>
        <v>Seasonal Graphics (Like Bat, Ghost, Pumpkin, Fall Leaves, Eyeballs, etc.)</v>
      </c>
      <c r="J5005" t="str">
        <f>_xlfn.XLOOKUP($A5005,Load!$B:$B,Load!K:K,0,)</f>
        <v>Fun Size / Treat Size</v>
      </c>
      <c r="K5005" t="str">
        <f>_xlfn.XLOOKUP($A5005,Load!$B:$B,Load!L:L,0,)</f>
        <v>Regular/Original Wrapping</v>
      </c>
      <c r="L5005" t="str">
        <f>_xlfn.XLOOKUP($A5005,Load!$B:$B,Load!M:M,0,)</f>
        <v>Multiple Brands / Variety Flavors or Form</v>
      </c>
    </row>
    <row r="5006" spans="1:12" x14ac:dyDescent="0.25">
      <c r="A5006" t="s">
        <v>255</v>
      </c>
      <c r="B5006" t="str">
        <f>_xlfn.XLOOKUP($A5006,Load!$B:$B,Load!C:C,0,)</f>
        <v>Skittles</v>
      </c>
      <c r="C5006" t="str">
        <f>_xlfn.XLOOKUP($A5006,Load!$B:$B,Load!D:D,0,)</f>
        <v>Non-Chocolate Candy Only</v>
      </c>
      <c r="D5006" t="str">
        <f>_xlfn.XLOOKUP($A5006,Load!$B:$B,Load!E:E,0,)</f>
        <v>Variety / Mixed Flavors (Fruity, Sour, Seasonal Flavors)</v>
      </c>
      <c r="E5006" t="str">
        <f>_xlfn.XLOOKUP($A5006,Load!$B:$B,Load!F:F,0,)</f>
        <v>Gummy</v>
      </c>
      <c r="F5006" t="str">
        <f>_xlfn.XLOOKUP($A5006,Load!$B:$B,Load!G:G,0,)</f>
        <v>Large Multipack (More than 80 ct)</v>
      </c>
      <c r="G5006" t="str">
        <f>_xlfn.XLOOKUP($A5006,Load!$B:$B,Load!H:H,0,)</f>
        <v>Stand-Up Bag</v>
      </c>
      <c r="H5006" t="str">
        <f>_xlfn.XLOOKUP($A5006,Load!$B:$B,Load!I:I,0,)</f>
        <v>Everyday Candy Shapes (like Original, Gummy bear, Fruit, Jewels, etc.)</v>
      </c>
      <c r="I5006" t="str">
        <f>_xlfn.XLOOKUP($A5006,Load!$B:$B,Load!J:J,0,)</f>
        <v>Everyday Graphics</v>
      </c>
      <c r="J5006" t="str">
        <f>_xlfn.XLOOKUP($A5006,Load!$B:$B,Load!K:K,0,)</f>
        <v>Fun Size / Treat Size</v>
      </c>
      <c r="K5006" t="str">
        <f>_xlfn.XLOOKUP($A5006,Load!$B:$B,Load!L:L,0,)</f>
        <v>Regular/Original Wrapping</v>
      </c>
      <c r="L5006" t="str">
        <f>_xlfn.XLOOKUP($A5006,Load!$B:$B,Load!M:M,0,)</f>
        <v>Single Brand / Variety Flavors or Form</v>
      </c>
    </row>
    <row r="5007" spans="1:12" x14ac:dyDescent="0.25">
      <c r="B5007">
        <f>_xlfn.XLOOKUP($A5007,Load!$B:$B,Load!C:C,0,)</f>
        <v>0</v>
      </c>
      <c r="C5007">
        <f>_xlfn.XLOOKUP($A5007,Load!$B:$B,Load!D:D,0,)</f>
        <v>0</v>
      </c>
      <c r="D5007">
        <f>_xlfn.XLOOKUP($A5007,Load!$B:$B,Load!E:E,0,)</f>
        <v>0</v>
      </c>
      <c r="E5007">
        <f>_xlfn.XLOOKUP($A5007,Load!$B:$B,Load!F:F,0,)</f>
        <v>0</v>
      </c>
      <c r="F5007">
        <f>_xlfn.XLOOKUP($A5007,Load!$B:$B,Load!G:G,0,)</f>
        <v>0</v>
      </c>
      <c r="G5007">
        <f>_xlfn.XLOOKUP($A5007,Load!$B:$B,Load!H:H,0,)</f>
        <v>0</v>
      </c>
      <c r="H5007">
        <f>_xlfn.XLOOKUP($A5007,Load!$B:$B,Load!I:I,0,)</f>
        <v>0</v>
      </c>
      <c r="I5007">
        <f>_xlfn.XLOOKUP($A5007,Load!$B:$B,Load!J:J,0,)</f>
        <v>0</v>
      </c>
      <c r="J5007">
        <f>_xlfn.XLOOKUP($A5007,Load!$B:$B,Load!K:K,0,)</f>
        <v>0</v>
      </c>
      <c r="K5007">
        <f>_xlfn.XLOOKUP($A5007,Load!$B:$B,Load!L:L,0,)</f>
        <v>0</v>
      </c>
      <c r="L5007">
        <f>_xlfn.XLOOKUP($A5007,Load!$B:$B,Load!M:M,0,)</f>
        <v>0</v>
      </c>
    </row>
    <row r="5008" spans="1:12" x14ac:dyDescent="0.25">
      <c r="A5008" t="s">
        <v>224</v>
      </c>
      <c r="B5008" t="str">
        <f>_xlfn.XLOOKUP($A5008,Load!$B:$B,Load!C:C,0,)</f>
        <v>Nerds</v>
      </c>
      <c r="C5008" t="str">
        <f>_xlfn.XLOOKUP($A5008,Load!$B:$B,Load!D:D,0,)</f>
        <v>Non-Chocolate Candy Only</v>
      </c>
      <c r="D5008" t="str">
        <f>_xlfn.XLOOKUP($A5008,Load!$B:$B,Load!E:E,0,)</f>
        <v>Sweet</v>
      </c>
      <c r="E5008" t="str">
        <f>_xlfn.XLOOKUP($A5008,Load!$B:$B,Load!F:F,0,)</f>
        <v>Mixed / Combo Packs (Gummy, Chewy, Taffy, etc.)</v>
      </c>
      <c r="F5008" t="str">
        <f>_xlfn.XLOOKUP($A5008,Load!$B:$B,Load!G:G,0,)</f>
        <v>Medium Multipack (40–80 ct)</v>
      </c>
      <c r="G5008" t="str">
        <f>_xlfn.XLOOKUP($A5008,Load!$B:$B,Load!H:H,0,)</f>
        <v>Stand-Up Bag</v>
      </c>
      <c r="H5008" t="str">
        <f>_xlfn.XLOOKUP($A5008,Load!$B:$B,Load!I:I,0,)</f>
        <v>Everyday Candy Shapes (like Original, Gummy bear, Fruit, Jewels, etc.)</v>
      </c>
      <c r="I5008" t="str">
        <f>_xlfn.XLOOKUP($A5008,Load!$B:$B,Load!J:J,0,)</f>
        <v>Seasonal Graphics (Like Bat, Ghost, Pumpkin, Fall Leaves, Eyeballs, etc.)</v>
      </c>
      <c r="J5008" t="str">
        <f>_xlfn.XLOOKUP($A5008,Load!$B:$B,Load!K:K,0,)</f>
        <v xml:space="preserve">Variety Candy Sizes </v>
      </c>
      <c r="K5008" t="str">
        <f>_xlfn.XLOOKUP($A5008,Load!$B:$B,Load!L:L,0,)</f>
        <v>Regular/Original Wrapping</v>
      </c>
      <c r="L5008" t="str">
        <f>_xlfn.XLOOKUP($A5008,Load!$B:$B,Load!M:M,0,)</f>
        <v>Single Brand / Variety Flavors or Form</v>
      </c>
    </row>
    <row r="5009" spans="1:12" x14ac:dyDescent="0.25">
      <c r="A5009" t="s">
        <v>463</v>
      </c>
      <c r="B5009" t="str">
        <f>_xlfn.XLOOKUP($A5009,Load!$B:$B,Load!C:C,0,)</f>
        <v>Mars Variety Pack</v>
      </c>
      <c r="C5009" t="str">
        <f>_xlfn.XLOOKUP($A5009,Load!$B:$B,Load!D:D,0,)</f>
        <v>Mix of Chocolate and Non-Chocolate Candy</v>
      </c>
      <c r="D5009" t="str">
        <f>_xlfn.XLOOKUP($A5009,Load!$B:$B,Load!E:E,0,)</f>
        <v>Variety / Mixed Flavors (Fruity, Sour, Seasonal Flavors)</v>
      </c>
      <c r="E5009" t="str">
        <f>_xlfn.XLOOKUP($A5009,Load!$B:$B,Load!F:F,0,)</f>
        <v>Mixed / Combo Packs (Gummy, Chewy, Taffy, etc.)</v>
      </c>
      <c r="F5009" t="str">
        <f>_xlfn.XLOOKUP($A5009,Load!$B:$B,Load!G:G,0,)</f>
        <v>Medium Multipack (40–80 ct)</v>
      </c>
      <c r="G5009" t="str">
        <f>_xlfn.XLOOKUP($A5009,Load!$B:$B,Load!H:H,0,)</f>
        <v>Stand-Up Bag</v>
      </c>
      <c r="H5009" t="str">
        <f>_xlfn.XLOOKUP($A5009,Load!$B:$B,Load!I:I,0,)</f>
        <v>Everyday Candy Shapes (like Original, Gummy bear, Fruit, Jewels, etc.)</v>
      </c>
      <c r="I5009" t="str">
        <f>_xlfn.XLOOKUP($A5009,Load!$B:$B,Load!J:J,0,)</f>
        <v>Seasonal Graphics (Like Bat, Ghost, Pumpkin, Fall Leaves, Eyeballs, etc.)</v>
      </c>
      <c r="J5009" t="str">
        <f>_xlfn.XLOOKUP($A5009,Load!$B:$B,Load!K:K,0,)</f>
        <v>Fun Size / Treat Size</v>
      </c>
      <c r="K5009" t="str">
        <f>_xlfn.XLOOKUP($A5009,Load!$B:$B,Load!L:L,0,)</f>
        <v>Regular/Original Wrapping</v>
      </c>
      <c r="L5009" t="str">
        <f>_xlfn.XLOOKUP($A5009,Load!$B:$B,Load!M:M,0,)</f>
        <v>Multiple Brands / Variety Flavors or Form</v>
      </c>
    </row>
    <row r="5010" spans="1:12" x14ac:dyDescent="0.25">
      <c r="A5010" t="s">
        <v>139</v>
      </c>
      <c r="B5010" t="str">
        <f>_xlfn.XLOOKUP($A5010,Load!$B:$B,Load!C:C,0,)</f>
        <v>Hershey's Variety Pack + Haribo</v>
      </c>
      <c r="C5010" t="str">
        <f>_xlfn.XLOOKUP($A5010,Load!$B:$B,Load!D:D,0,)</f>
        <v>Mix of Chocolate and Non-Chocolate Candy</v>
      </c>
      <c r="D5010" t="str">
        <f>_xlfn.XLOOKUP($A5010,Load!$B:$B,Load!E:E,0,)</f>
        <v>Variety / Mixed Flavors (Fruity, Sour, Seasonal Flavors)</v>
      </c>
      <c r="E5010" t="str">
        <f>_xlfn.XLOOKUP($A5010,Load!$B:$B,Load!F:F,0,)</f>
        <v>Mixed / Combo Packs (Gummy, Chewy, Taffy, etc.)</v>
      </c>
      <c r="F5010" t="str">
        <f>_xlfn.XLOOKUP($A5010,Load!$B:$B,Load!G:G,0,)</f>
        <v>Large Multipack (More than 80 ct)</v>
      </c>
      <c r="G5010" t="str">
        <f>_xlfn.XLOOKUP($A5010,Load!$B:$B,Load!H:H,0,)</f>
        <v>Stand-Up Bag</v>
      </c>
      <c r="H5010" t="str">
        <f>_xlfn.XLOOKUP($A5010,Load!$B:$B,Load!I:I,0,)</f>
        <v>Everyday Candy Shapes (like Original, Gummy bear, Fruit, Jewels, etc.)</v>
      </c>
      <c r="I5010" t="str">
        <f>_xlfn.XLOOKUP($A5010,Load!$B:$B,Load!J:J,0,)</f>
        <v>Seasonal Graphics (Like Bat, Ghost, Pumpkin, Fall Leaves, Eyeballs, etc.)</v>
      </c>
      <c r="J5010" t="str">
        <f>_xlfn.XLOOKUP($A5010,Load!$B:$B,Load!K:K,0,)</f>
        <v>Fun Size / Treat Size</v>
      </c>
      <c r="K5010" t="str">
        <f>_xlfn.XLOOKUP($A5010,Load!$B:$B,Load!L:L,0,)</f>
        <v>Regular/Original Wrapping</v>
      </c>
      <c r="L5010" t="str">
        <f>_xlfn.XLOOKUP($A5010,Load!$B:$B,Load!M:M,0,)</f>
        <v>Multiple Brands / Variety Flavors or Form</v>
      </c>
    </row>
    <row r="5011" spans="1:12" x14ac:dyDescent="0.25">
      <c r="B5011">
        <f>_xlfn.XLOOKUP($A5011,Load!$B:$B,Load!C:C,0,)</f>
        <v>0</v>
      </c>
      <c r="C5011">
        <f>_xlfn.XLOOKUP($A5011,Load!$B:$B,Load!D:D,0,)</f>
        <v>0</v>
      </c>
      <c r="D5011">
        <f>_xlfn.XLOOKUP($A5011,Load!$B:$B,Load!E:E,0,)</f>
        <v>0</v>
      </c>
      <c r="E5011">
        <f>_xlfn.XLOOKUP($A5011,Load!$B:$B,Load!F:F,0,)</f>
        <v>0</v>
      </c>
      <c r="F5011">
        <f>_xlfn.XLOOKUP($A5011,Load!$B:$B,Load!G:G,0,)</f>
        <v>0</v>
      </c>
      <c r="G5011">
        <f>_xlfn.XLOOKUP($A5011,Load!$B:$B,Load!H:H,0,)</f>
        <v>0</v>
      </c>
      <c r="H5011">
        <f>_xlfn.XLOOKUP($A5011,Load!$B:$B,Load!I:I,0,)</f>
        <v>0</v>
      </c>
      <c r="I5011">
        <f>_xlfn.XLOOKUP($A5011,Load!$B:$B,Load!J:J,0,)</f>
        <v>0</v>
      </c>
      <c r="J5011">
        <f>_xlfn.XLOOKUP($A5011,Load!$B:$B,Load!K:K,0,)</f>
        <v>0</v>
      </c>
      <c r="K5011">
        <f>_xlfn.XLOOKUP($A5011,Load!$B:$B,Load!L:L,0,)</f>
        <v>0</v>
      </c>
      <c r="L5011">
        <f>_xlfn.XLOOKUP($A5011,Load!$B:$B,Load!M:M,0,)</f>
        <v>0</v>
      </c>
    </row>
    <row r="5012" spans="1:12" x14ac:dyDescent="0.25">
      <c r="A5012" t="s">
        <v>45</v>
      </c>
      <c r="B5012" t="str">
        <f>_xlfn.XLOOKUP($A5012,Load!$B:$B,Load!C:C,0,)</f>
        <v>Brach's</v>
      </c>
      <c r="C5012" t="str">
        <f>_xlfn.XLOOKUP($A5012,Load!$B:$B,Load!D:D,0,)</f>
        <v>Non-Chocolate Candy Only</v>
      </c>
      <c r="D5012" t="str">
        <f>_xlfn.XLOOKUP($A5012,Load!$B:$B,Load!E:E,0,)</f>
        <v>Fall / Seasonal Flavors (pumpkin spice, caramel apple, candy corn)</v>
      </c>
      <c r="E5012" t="str">
        <f>_xlfn.XLOOKUP($A5012,Load!$B:$B,Load!F:F,0,)</f>
        <v>Candy Pieces / Bites</v>
      </c>
      <c r="F5012" t="str">
        <f>_xlfn.XLOOKUP($A5012,Load!$B:$B,Load!G:G,0,)</f>
        <v>Single Pack</v>
      </c>
      <c r="G5012" t="str">
        <f>_xlfn.XLOOKUP($A5012,Load!$B:$B,Load!H:H,0,)</f>
        <v>Laydown Bag</v>
      </c>
      <c r="H5012" t="str">
        <f>_xlfn.XLOOKUP($A5012,Load!$B:$B,Load!I:I,0,)</f>
        <v>Seasonal Shapes (like pumpkins, candy corn, ghost, bats, etc.)</v>
      </c>
      <c r="I5012" t="str">
        <f>_xlfn.XLOOKUP($A5012,Load!$B:$B,Load!J:J,0,)</f>
        <v>Seasonal Graphics (Like Bat, Ghost, Pumpkin, Fall Leaves, Eyeballs, etc.)</v>
      </c>
      <c r="J5012" t="str">
        <f>_xlfn.XLOOKUP($A5012,Load!$B:$B,Load!K:K,0,)</f>
        <v>Small Pieces (Tiny bite size candies)</v>
      </c>
      <c r="K5012" t="str">
        <f>_xlfn.XLOOKUP($A5012,Load!$B:$B,Load!L:L,0,)</f>
        <v>Unwrapped</v>
      </c>
      <c r="L5012" t="str">
        <f>_xlfn.XLOOKUP($A5012,Load!$B:$B,Load!M:M,0,)</f>
        <v>Single Brand / Single Flavor or Form</v>
      </c>
    </row>
    <row r="5013" spans="1:12" x14ac:dyDescent="0.25">
      <c r="A5013" t="s">
        <v>464</v>
      </c>
      <c r="B5013" t="str">
        <f>_xlfn.XLOOKUP($A5013,Load!$B:$B,Load!C:C,0,)</f>
        <v>Zachary</v>
      </c>
      <c r="C5013" t="str">
        <f>_xlfn.XLOOKUP($A5013,Load!$B:$B,Load!D:D,0,)</f>
        <v>Non-Chocolate Candy Only</v>
      </c>
      <c r="D5013" t="str">
        <f>_xlfn.XLOOKUP($A5013,Load!$B:$B,Load!E:E,0,)</f>
        <v>Fruit Flavor (Cherry, Grape, Apple, Citrus, Tropical Fruit)</v>
      </c>
      <c r="E5013" t="str">
        <f>_xlfn.XLOOKUP($A5013,Load!$B:$B,Load!F:F,0,)</f>
        <v>Candy Pieces / Bites</v>
      </c>
      <c r="F5013" t="str">
        <f>_xlfn.XLOOKUP($A5013,Load!$B:$B,Load!G:G,0,)</f>
        <v>Single Pack</v>
      </c>
      <c r="G5013" t="str">
        <f>_xlfn.XLOOKUP($A5013,Load!$B:$B,Load!H:H,0,)</f>
        <v>Plastic Cup / Container</v>
      </c>
      <c r="H5013" t="str">
        <f>_xlfn.XLOOKUP($A5013,Load!$B:$B,Load!I:I,0,)</f>
        <v>Seasonal Shapes (like pumpkins, candy corn, ghost, bats, etc.)</v>
      </c>
      <c r="I5013" t="str">
        <f>_xlfn.XLOOKUP($A5013,Load!$B:$B,Load!J:J,0,)</f>
        <v>Seasonal Graphics (Like Bat, Ghost, Pumpkin, Fall Leaves, Eyeballs, etc.)</v>
      </c>
      <c r="J5013" t="str">
        <f>_xlfn.XLOOKUP($A5013,Load!$B:$B,Load!K:K,0,)</f>
        <v>Small Pieces (Tiny bite size candies)</v>
      </c>
      <c r="K5013" t="str">
        <f>_xlfn.XLOOKUP($A5013,Load!$B:$B,Load!L:L,0,)</f>
        <v>Unwrapped</v>
      </c>
      <c r="L5013" t="str">
        <f>_xlfn.XLOOKUP($A5013,Load!$B:$B,Load!M:M,0,)</f>
        <v>Single Brand / Single Flavor or Form</v>
      </c>
    </row>
    <row r="5014" spans="1:12" x14ac:dyDescent="0.25">
      <c r="A5014" t="s">
        <v>213</v>
      </c>
      <c r="B5014" t="str">
        <f>_xlfn.XLOOKUP($A5014,Load!$B:$B,Load!C:C,0,)</f>
        <v>Mars Variety Pack</v>
      </c>
      <c r="C5014" t="str">
        <f>_xlfn.XLOOKUP($A5014,Load!$B:$B,Load!D:D,0,)</f>
        <v>Mix of Chocolate and Non-Chocolate Candy</v>
      </c>
      <c r="D5014" t="str">
        <f>_xlfn.XLOOKUP($A5014,Load!$B:$B,Load!E:E,0,)</f>
        <v>Variety / Mixed Flavors (Fruity, Sour, Seasonal Flavors)</v>
      </c>
      <c r="E5014" t="str">
        <f>_xlfn.XLOOKUP($A5014,Load!$B:$B,Load!F:F,0,)</f>
        <v>Mixed / Combo Packs (Gummy, Chewy, Taffy, etc.)</v>
      </c>
      <c r="F5014" t="str">
        <f>_xlfn.XLOOKUP($A5014,Load!$B:$B,Load!G:G,0,)</f>
        <v>Medium Multipack (40–80 ct)</v>
      </c>
      <c r="G5014" t="str">
        <f>_xlfn.XLOOKUP($A5014,Load!$B:$B,Load!H:H,0,)</f>
        <v>Stand-Up Bag</v>
      </c>
      <c r="H5014" t="str">
        <f>_xlfn.XLOOKUP($A5014,Load!$B:$B,Load!I:I,0,)</f>
        <v>Everyday Candy Shapes (like Original, Gummy bear, Fruit, Jewels, etc.)</v>
      </c>
      <c r="I5014" t="str">
        <f>_xlfn.XLOOKUP($A5014,Load!$B:$B,Load!J:J,0,)</f>
        <v>Seasonal Graphics (Like Bat, Ghost, Pumpkin, Fall Leaves, Eyeballs, etc.)</v>
      </c>
      <c r="J5014" t="str">
        <f>_xlfn.XLOOKUP($A5014,Load!$B:$B,Load!K:K,0,)</f>
        <v>Fun Size / Treat Size</v>
      </c>
      <c r="K5014" t="str">
        <f>_xlfn.XLOOKUP($A5014,Load!$B:$B,Load!L:L,0,)</f>
        <v>Regular/Original Wrapping</v>
      </c>
      <c r="L5014" t="str">
        <f>_xlfn.XLOOKUP($A5014,Load!$B:$B,Load!M:M,0,)</f>
        <v>Multiple Brands / Variety Flavors or Form</v>
      </c>
    </row>
    <row r="5015" spans="1:12" x14ac:dyDescent="0.25">
      <c r="A5015" t="s">
        <v>146</v>
      </c>
      <c r="B5015" t="str">
        <f>_xlfn.XLOOKUP($A5015,Load!$B:$B,Load!C:C,0,)</f>
        <v>Hi Chew</v>
      </c>
      <c r="C5015" t="str">
        <f>_xlfn.XLOOKUP($A5015,Load!$B:$B,Load!D:D,0,)</f>
        <v>Non-Chocolate Candy Only</v>
      </c>
      <c r="D5015" t="str">
        <f>_xlfn.XLOOKUP($A5015,Load!$B:$B,Load!E:E,0,)</f>
        <v>Fruit Flavor (Cherry, Grape, Apple, Citrus, Tropical Fruit)</v>
      </c>
      <c r="E5015" t="str">
        <f>_xlfn.XLOOKUP($A5015,Load!$B:$B,Load!F:F,0,)</f>
        <v>Gummy</v>
      </c>
      <c r="F5015" t="str">
        <f>_xlfn.XLOOKUP($A5015,Load!$B:$B,Load!G:G,0,)</f>
        <v>Medium Multipack (40–80 ct)</v>
      </c>
      <c r="G5015" t="str">
        <f>_xlfn.XLOOKUP($A5015,Load!$B:$B,Load!H:H,0,)</f>
        <v>Stand-Up Bag</v>
      </c>
      <c r="H5015" t="str">
        <f>_xlfn.XLOOKUP($A5015,Load!$B:$B,Load!I:I,0,)</f>
        <v>Everyday Candy Shapes (like Original, Gummy bear, Fruit, Jewels, etc.)</v>
      </c>
      <c r="I5015" t="str">
        <f>_xlfn.XLOOKUP($A5015,Load!$B:$B,Load!J:J,0,)</f>
        <v>Seasonal Graphics (Like Bat, Ghost, Pumpkin, Fall Leaves, Eyeballs, etc.)</v>
      </c>
      <c r="J5015" t="str">
        <f>_xlfn.XLOOKUP($A5015,Load!$B:$B,Load!K:K,0,)</f>
        <v>Fun Size / Treat Size</v>
      </c>
      <c r="K5015" t="str">
        <f>_xlfn.XLOOKUP($A5015,Load!$B:$B,Load!L:L,0,)</f>
        <v>Regular/Original Wrapping</v>
      </c>
      <c r="L5015" t="str">
        <f>_xlfn.XLOOKUP($A5015,Load!$B:$B,Load!M:M,0,)</f>
        <v>Multiple Brands / Variety Flavors or Form</v>
      </c>
    </row>
    <row r="5016" spans="1:12" x14ac:dyDescent="0.25">
      <c r="A5016" t="s">
        <v>326</v>
      </c>
      <c r="B5016" t="str">
        <f>_xlfn.XLOOKUP($A5016,Load!$B:$B,Load!C:C,0,)</f>
        <v>Mondelez Variety Pack</v>
      </c>
      <c r="C5016" t="str">
        <f>_xlfn.XLOOKUP($A5016,Load!$B:$B,Load!D:D,0,)</f>
        <v>Mix of Chocolate and Non-Chocolate Candy</v>
      </c>
      <c r="D5016" t="str">
        <f>_xlfn.XLOOKUP($A5016,Load!$B:$B,Load!E:E,0,)</f>
        <v>Variety / Mixed Flavors (Fruity, Sour, Seasonal Flavors)</v>
      </c>
      <c r="E5016" t="str">
        <f>_xlfn.XLOOKUP($A5016,Load!$B:$B,Load!F:F,0,)</f>
        <v>Mixed / Combo Packs (Gummy, Chewy, Taffy, etc.)</v>
      </c>
      <c r="F5016" t="str">
        <f>_xlfn.XLOOKUP($A5016,Load!$B:$B,Load!G:G,0,)</f>
        <v>Medium Multipack (40–80 ct)</v>
      </c>
      <c r="G5016" t="str">
        <f>_xlfn.XLOOKUP($A5016,Load!$B:$B,Load!H:H,0,)</f>
        <v>Stand-Up Bag</v>
      </c>
      <c r="H5016" t="str">
        <f>_xlfn.XLOOKUP($A5016,Load!$B:$B,Load!I:I,0,)</f>
        <v>Everyday Candy Shapes (like Original, Gummy bear, Fruit, Jewels, etc.)</v>
      </c>
      <c r="I5016" t="str">
        <f>_xlfn.XLOOKUP($A5016,Load!$B:$B,Load!J:J,0,)</f>
        <v>Seasonal Graphics (Like Bat, Ghost, Pumpkin, Fall Leaves, Eyeballs, etc.)</v>
      </c>
      <c r="J5016" t="str">
        <f>_xlfn.XLOOKUP($A5016,Load!$B:$B,Load!K:K,0,)</f>
        <v xml:space="preserve">Variety Candy Sizes </v>
      </c>
      <c r="K5016" t="str">
        <f>_xlfn.XLOOKUP($A5016,Load!$B:$B,Load!L:L,0,)</f>
        <v>Regular/Original Wrapping</v>
      </c>
      <c r="L5016" t="str">
        <f>_xlfn.XLOOKUP($A5016,Load!$B:$B,Load!M:M,0,)</f>
        <v>Multiple Brands / Variety Flavors or Form</v>
      </c>
    </row>
    <row r="5017" spans="1:12" x14ac:dyDescent="0.25">
      <c r="A5017" t="s">
        <v>193</v>
      </c>
      <c r="B5017" t="str">
        <f>_xlfn.XLOOKUP($A5017,Load!$B:$B,Load!C:C,0,)</f>
        <v>Mars Variety Pack</v>
      </c>
      <c r="C5017" t="str">
        <f>_xlfn.XLOOKUP($A5017,Load!$B:$B,Load!D:D,0,)</f>
        <v>Mix of Chocolate and Non-Chocolate Candy</v>
      </c>
      <c r="D5017" t="str">
        <f>_xlfn.XLOOKUP($A5017,Load!$B:$B,Load!E:E,0,)</f>
        <v>Variety / Mixed Flavors (Fruity, Sour, Seasonal Flavors)</v>
      </c>
      <c r="E5017" t="str">
        <f>_xlfn.XLOOKUP($A5017,Load!$B:$B,Load!F:F,0,)</f>
        <v>Mixed / Combo Packs (Gummy, Chewy, Taffy, etc.)</v>
      </c>
      <c r="F5017" t="str">
        <f>_xlfn.XLOOKUP($A5017,Load!$B:$B,Load!G:G,0,)</f>
        <v>Medium Multipack (40–80 ct)</v>
      </c>
      <c r="G5017" t="str">
        <f>_xlfn.XLOOKUP($A5017,Load!$B:$B,Load!H:H,0,)</f>
        <v>Laydown Bag</v>
      </c>
      <c r="H5017" t="str">
        <f>_xlfn.XLOOKUP($A5017,Load!$B:$B,Load!I:I,0,)</f>
        <v>Everyday Candy Shapes (like Original, Gummy bear, Fruit, Jewels, etc.)</v>
      </c>
      <c r="I5017" t="str">
        <f>_xlfn.XLOOKUP($A5017,Load!$B:$B,Load!J:J,0,)</f>
        <v>Seasonal Graphics (Like Bat, Ghost, Pumpkin, Fall Leaves, Eyeballs, etc.)</v>
      </c>
      <c r="J5017" t="str">
        <f>_xlfn.XLOOKUP($A5017,Load!$B:$B,Load!K:K,0,)</f>
        <v>Fun Size / Treat Size</v>
      </c>
      <c r="K5017" t="str">
        <f>_xlfn.XLOOKUP($A5017,Load!$B:$B,Load!L:L,0,)</f>
        <v>Regular/Original Wrapping</v>
      </c>
      <c r="L5017" t="str">
        <f>_xlfn.XLOOKUP($A5017,Load!$B:$B,Load!M:M,0,)</f>
        <v>Multiple Brands / Variety Flavors or Form</v>
      </c>
    </row>
    <row r="5018" spans="1:12" x14ac:dyDescent="0.25">
      <c r="B5018">
        <f>_xlfn.XLOOKUP($A5018,Load!$B:$B,Load!C:C,0,)</f>
        <v>0</v>
      </c>
      <c r="C5018">
        <f>_xlfn.XLOOKUP($A5018,Load!$B:$B,Load!D:D,0,)</f>
        <v>0</v>
      </c>
      <c r="D5018">
        <f>_xlfn.XLOOKUP($A5018,Load!$B:$B,Load!E:E,0,)</f>
        <v>0</v>
      </c>
      <c r="E5018">
        <f>_xlfn.XLOOKUP($A5018,Load!$B:$B,Load!F:F,0,)</f>
        <v>0</v>
      </c>
      <c r="F5018">
        <f>_xlfn.XLOOKUP($A5018,Load!$B:$B,Load!G:G,0,)</f>
        <v>0</v>
      </c>
      <c r="G5018">
        <f>_xlfn.XLOOKUP($A5018,Load!$B:$B,Load!H:H,0,)</f>
        <v>0</v>
      </c>
      <c r="H5018">
        <f>_xlfn.XLOOKUP($A5018,Load!$B:$B,Load!I:I,0,)</f>
        <v>0</v>
      </c>
      <c r="I5018">
        <f>_xlfn.XLOOKUP($A5018,Load!$B:$B,Load!J:J,0,)</f>
        <v>0</v>
      </c>
      <c r="J5018">
        <f>_xlfn.XLOOKUP($A5018,Load!$B:$B,Load!K:K,0,)</f>
        <v>0</v>
      </c>
      <c r="K5018">
        <f>_xlfn.XLOOKUP($A5018,Load!$B:$B,Load!L:L,0,)</f>
        <v>0</v>
      </c>
      <c r="L5018">
        <f>_xlfn.XLOOKUP($A5018,Load!$B:$B,Load!M:M,0,)</f>
        <v>0</v>
      </c>
    </row>
    <row r="5019" spans="1:12" x14ac:dyDescent="0.25">
      <c r="B5019">
        <f>_xlfn.XLOOKUP($A5019,Load!$B:$B,Load!C:C,0,)</f>
        <v>0</v>
      </c>
      <c r="C5019">
        <f>_xlfn.XLOOKUP($A5019,Load!$B:$B,Load!D:D,0,)</f>
        <v>0</v>
      </c>
      <c r="D5019">
        <f>_xlfn.XLOOKUP($A5019,Load!$B:$B,Load!E:E,0,)</f>
        <v>0</v>
      </c>
      <c r="E5019">
        <f>_xlfn.XLOOKUP($A5019,Load!$B:$B,Load!F:F,0,)</f>
        <v>0</v>
      </c>
      <c r="F5019">
        <f>_xlfn.XLOOKUP($A5019,Load!$B:$B,Load!G:G,0,)</f>
        <v>0</v>
      </c>
      <c r="G5019">
        <f>_xlfn.XLOOKUP($A5019,Load!$B:$B,Load!H:H,0,)</f>
        <v>0</v>
      </c>
      <c r="H5019">
        <f>_xlfn.XLOOKUP($A5019,Load!$B:$B,Load!I:I,0,)</f>
        <v>0</v>
      </c>
      <c r="I5019">
        <f>_xlfn.XLOOKUP($A5019,Load!$B:$B,Load!J:J,0,)</f>
        <v>0</v>
      </c>
      <c r="J5019">
        <f>_xlfn.XLOOKUP($A5019,Load!$B:$B,Load!K:K,0,)</f>
        <v>0</v>
      </c>
      <c r="K5019">
        <f>_xlfn.XLOOKUP($A5019,Load!$B:$B,Load!L:L,0,)</f>
        <v>0</v>
      </c>
      <c r="L5019">
        <f>_xlfn.XLOOKUP($A5019,Load!$B:$B,Load!M:M,0,)</f>
        <v>0</v>
      </c>
    </row>
    <row r="5020" spans="1:12" x14ac:dyDescent="0.25">
      <c r="B5020">
        <f>_xlfn.XLOOKUP($A5020,Load!$B:$B,Load!C:C,0,)</f>
        <v>0</v>
      </c>
      <c r="C5020">
        <f>_xlfn.XLOOKUP($A5020,Load!$B:$B,Load!D:D,0,)</f>
        <v>0</v>
      </c>
      <c r="D5020">
        <f>_xlfn.XLOOKUP($A5020,Load!$B:$B,Load!E:E,0,)</f>
        <v>0</v>
      </c>
      <c r="E5020">
        <f>_xlfn.XLOOKUP($A5020,Load!$B:$B,Load!F:F,0,)</f>
        <v>0</v>
      </c>
      <c r="F5020">
        <f>_xlfn.XLOOKUP($A5020,Load!$B:$B,Load!G:G,0,)</f>
        <v>0</v>
      </c>
      <c r="G5020">
        <f>_xlfn.XLOOKUP($A5020,Load!$B:$B,Load!H:H,0,)</f>
        <v>0</v>
      </c>
      <c r="H5020">
        <f>_xlfn.XLOOKUP($A5020,Load!$B:$B,Load!I:I,0,)</f>
        <v>0</v>
      </c>
      <c r="I5020">
        <f>_xlfn.XLOOKUP($A5020,Load!$B:$B,Load!J:J,0,)</f>
        <v>0</v>
      </c>
      <c r="J5020">
        <f>_xlfn.XLOOKUP($A5020,Load!$B:$B,Load!K:K,0,)</f>
        <v>0</v>
      </c>
      <c r="K5020">
        <f>_xlfn.XLOOKUP($A5020,Load!$B:$B,Load!L:L,0,)</f>
        <v>0</v>
      </c>
      <c r="L5020">
        <f>_xlfn.XLOOKUP($A5020,Load!$B:$B,Load!M:M,0,)</f>
        <v>0</v>
      </c>
    </row>
    <row r="5021" spans="1:12" x14ac:dyDescent="0.25">
      <c r="B5021">
        <f>_xlfn.XLOOKUP($A5021,Load!$B:$B,Load!C:C,0,)</f>
        <v>0</v>
      </c>
      <c r="C5021">
        <f>_xlfn.XLOOKUP($A5021,Load!$B:$B,Load!D:D,0,)</f>
        <v>0</v>
      </c>
      <c r="D5021">
        <f>_xlfn.XLOOKUP($A5021,Load!$B:$B,Load!E:E,0,)</f>
        <v>0</v>
      </c>
      <c r="E5021">
        <f>_xlfn.XLOOKUP($A5021,Load!$B:$B,Load!F:F,0,)</f>
        <v>0</v>
      </c>
      <c r="F5021">
        <f>_xlfn.XLOOKUP($A5021,Load!$B:$B,Load!G:G,0,)</f>
        <v>0</v>
      </c>
      <c r="G5021">
        <f>_xlfn.XLOOKUP($A5021,Load!$B:$B,Load!H:H,0,)</f>
        <v>0</v>
      </c>
      <c r="H5021">
        <f>_xlfn.XLOOKUP($A5021,Load!$B:$B,Load!I:I,0,)</f>
        <v>0</v>
      </c>
      <c r="I5021">
        <f>_xlfn.XLOOKUP($A5021,Load!$B:$B,Load!J:J,0,)</f>
        <v>0</v>
      </c>
      <c r="J5021">
        <f>_xlfn.XLOOKUP($A5021,Load!$B:$B,Load!K:K,0,)</f>
        <v>0</v>
      </c>
      <c r="K5021">
        <f>_xlfn.XLOOKUP($A5021,Load!$B:$B,Load!L:L,0,)</f>
        <v>0</v>
      </c>
      <c r="L5021">
        <f>_xlfn.XLOOKUP($A5021,Load!$B:$B,Load!M:M,0,)</f>
        <v>0</v>
      </c>
    </row>
    <row r="5022" spans="1:12" x14ac:dyDescent="0.25">
      <c r="A5022" t="s">
        <v>94</v>
      </c>
      <c r="B5022" t="str">
        <f>_xlfn.XLOOKUP($A5022,Load!$B:$B,Load!C:C,0,)</f>
        <v>Ferrara Variety Pack</v>
      </c>
      <c r="C5022" t="str">
        <f>_xlfn.XLOOKUP($A5022,Load!$B:$B,Load!D:D,0,)</f>
        <v>Non-Chocolate Candy Only</v>
      </c>
      <c r="D5022" t="str">
        <f>_xlfn.XLOOKUP($A5022,Load!$B:$B,Load!E:E,0,)</f>
        <v>Variety / Mixed Flavors (Fruity, Sour, Seasonal Flavors)</v>
      </c>
      <c r="E5022" t="str">
        <f>_xlfn.XLOOKUP($A5022,Load!$B:$B,Load!F:F,0,)</f>
        <v>Mixed / Combo Packs (Gummy, Chewy, Taffy, etc.)</v>
      </c>
      <c r="F5022" t="str">
        <f>_xlfn.XLOOKUP($A5022,Load!$B:$B,Load!G:G,0,)</f>
        <v>Large Multipack (More than 80 ct)</v>
      </c>
      <c r="G5022" t="str">
        <f>_xlfn.XLOOKUP($A5022,Load!$B:$B,Load!H:H,0,)</f>
        <v>Stand-Up Bag</v>
      </c>
      <c r="H5022" t="str">
        <f>_xlfn.XLOOKUP($A5022,Load!$B:$B,Load!I:I,0,)</f>
        <v>Everyday Candy Shapes (like Original, Gummy bear, Fruit, Jewels, etc.)</v>
      </c>
      <c r="I5022" t="str">
        <f>_xlfn.XLOOKUP($A5022,Load!$B:$B,Load!J:J,0,)</f>
        <v>Seasonal Graphics (Like Bat, Ghost, Pumpkin, Fall Leaves, Eyeballs, etc.)</v>
      </c>
      <c r="J5022" t="str">
        <f>_xlfn.XLOOKUP($A5022,Load!$B:$B,Load!K:K,0,)</f>
        <v xml:space="preserve">Variety Candy Sizes </v>
      </c>
      <c r="K5022" t="str">
        <f>_xlfn.XLOOKUP($A5022,Load!$B:$B,Load!L:L,0,)</f>
        <v>Regular/Original Wrapping</v>
      </c>
      <c r="L5022" t="str">
        <f>_xlfn.XLOOKUP($A5022,Load!$B:$B,Load!M:M,0,)</f>
        <v>Multiple Brands / Variety Flavors or Form</v>
      </c>
    </row>
    <row r="5023" spans="1:12" x14ac:dyDescent="0.25">
      <c r="A5023" t="s">
        <v>131</v>
      </c>
      <c r="B5023" t="str">
        <f>_xlfn.XLOOKUP($A5023,Load!$B:$B,Load!C:C,0,)</f>
        <v>Hershey's</v>
      </c>
      <c r="C5023" t="str">
        <f>_xlfn.XLOOKUP($A5023,Load!$B:$B,Load!D:D,0,)</f>
        <v>Mix of Chocolate and Non-Chocolate Candy</v>
      </c>
      <c r="D5023" t="str">
        <f>_xlfn.XLOOKUP($A5023,Load!$B:$B,Load!E:E,0,)</f>
        <v>Variety / Mixed Flavors (Fruity, Sour, Seasonal Flavors)</v>
      </c>
      <c r="E5023" t="str">
        <f>_xlfn.XLOOKUP($A5023,Load!$B:$B,Load!F:F,0,)</f>
        <v>Mixed / Combo Packs (Gummy, Chewy, Taffy, etc.)</v>
      </c>
      <c r="F5023" t="str">
        <f>_xlfn.XLOOKUP($A5023,Load!$B:$B,Load!G:G,0,)</f>
        <v>Large Multipack (More than 80 ct)</v>
      </c>
      <c r="G5023" t="str">
        <f>_xlfn.XLOOKUP($A5023,Load!$B:$B,Load!H:H,0,)</f>
        <v>Stand-Up Bag</v>
      </c>
      <c r="H5023" t="str">
        <f>_xlfn.XLOOKUP($A5023,Load!$B:$B,Load!I:I,0,)</f>
        <v>Everyday Candy Shapes (like Original, Gummy bear, Fruit, Jewels, etc.)</v>
      </c>
      <c r="I5023" t="str">
        <f>_xlfn.XLOOKUP($A5023,Load!$B:$B,Load!J:J,0,)</f>
        <v>Seasonal Graphics (Like Bat, Ghost, Pumpkin, Fall Leaves, Eyeballs, etc.)</v>
      </c>
      <c r="J5023" t="str">
        <f>_xlfn.XLOOKUP($A5023,Load!$B:$B,Load!K:K,0,)</f>
        <v>Fun Size / Treat Size</v>
      </c>
      <c r="K5023" t="str">
        <f>_xlfn.XLOOKUP($A5023,Load!$B:$B,Load!L:L,0,)</f>
        <v>Regular/Original Wrapping</v>
      </c>
      <c r="L5023" t="str">
        <f>_xlfn.XLOOKUP($A5023,Load!$B:$B,Load!M:M,0,)</f>
        <v>Multiple Brands / Variety Flavors or Form</v>
      </c>
    </row>
    <row r="5024" spans="1:12" x14ac:dyDescent="0.25">
      <c r="B5024">
        <f>_xlfn.XLOOKUP($A5024,Load!$B:$B,Load!C:C,0,)</f>
        <v>0</v>
      </c>
      <c r="C5024">
        <f>_xlfn.XLOOKUP($A5024,Load!$B:$B,Load!D:D,0,)</f>
        <v>0</v>
      </c>
      <c r="D5024">
        <f>_xlfn.XLOOKUP($A5024,Load!$B:$B,Load!E:E,0,)</f>
        <v>0</v>
      </c>
      <c r="E5024">
        <f>_xlfn.XLOOKUP($A5024,Load!$B:$B,Load!F:F,0,)</f>
        <v>0</v>
      </c>
      <c r="F5024">
        <f>_xlfn.XLOOKUP($A5024,Load!$B:$B,Load!G:G,0,)</f>
        <v>0</v>
      </c>
      <c r="G5024">
        <f>_xlfn.XLOOKUP($A5024,Load!$B:$B,Load!H:H,0,)</f>
        <v>0</v>
      </c>
      <c r="H5024">
        <f>_xlfn.XLOOKUP($A5024,Load!$B:$B,Load!I:I,0,)</f>
        <v>0</v>
      </c>
      <c r="I5024">
        <f>_xlfn.XLOOKUP($A5024,Load!$B:$B,Load!J:J,0,)</f>
        <v>0</v>
      </c>
      <c r="J5024">
        <f>_xlfn.XLOOKUP($A5024,Load!$B:$B,Load!K:K,0,)</f>
        <v>0</v>
      </c>
      <c r="K5024">
        <f>_xlfn.XLOOKUP($A5024,Load!$B:$B,Load!L:L,0,)</f>
        <v>0</v>
      </c>
      <c r="L5024">
        <f>_xlfn.XLOOKUP($A5024,Load!$B:$B,Load!M:M,0,)</f>
        <v>0</v>
      </c>
    </row>
    <row r="5025" spans="1:12" x14ac:dyDescent="0.25">
      <c r="B5025">
        <f>_xlfn.XLOOKUP($A5025,Load!$B:$B,Load!C:C,0,)</f>
        <v>0</v>
      </c>
      <c r="C5025">
        <f>_xlfn.XLOOKUP($A5025,Load!$B:$B,Load!D:D,0,)</f>
        <v>0</v>
      </c>
      <c r="D5025">
        <f>_xlfn.XLOOKUP($A5025,Load!$B:$B,Load!E:E,0,)</f>
        <v>0</v>
      </c>
      <c r="E5025">
        <f>_xlfn.XLOOKUP($A5025,Load!$B:$B,Load!F:F,0,)</f>
        <v>0</v>
      </c>
      <c r="F5025">
        <f>_xlfn.XLOOKUP($A5025,Load!$B:$B,Load!G:G,0,)</f>
        <v>0</v>
      </c>
      <c r="G5025">
        <f>_xlfn.XLOOKUP($A5025,Load!$B:$B,Load!H:H,0,)</f>
        <v>0</v>
      </c>
      <c r="H5025">
        <f>_xlfn.XLOOKUP($A5025,Load!$B:$B,Load!I:I,0,)</f>
        <v>0</v>
      </c>
      <c r="I5025">
        <f>_xlfn.XLOOKUP($A5025,Load!$B:$B,Load!J:J,0,)</f>
        <v>0</v>
      </c>
      <c r="J5025">
        <f>_xlfn.XLOOKUP($A5025,Load!$B:$B,Load!K:K,0,)</f>
        <v>0</v>
      </c>
      <c r="K5025">
        <f>_xlfn.XLOOKUP($A5025,Load!$B:$B,Load!L:L,0,)</f>
        <v>0</v>
      </c>
      <c r="L5025">
        <f>_xlfn.XLOOKUP($A5025,Load!$B:$B,Load!M:M,0,)</f>
        <v>0</v>
      </c>
    </row>
    <row r="5026" spans="1:12" x14ac:dyDescent="0.25">
      <c r="A5026" t="s">
        <v>129</v>
      </c>
      <c r="B5026" t="str">
        <f>_xlfn.XLOOKUP($A5026,Load!$B:$B,Load!C:C,0,)</f>
        <v>HARIBO</v>
      </c>
      <c r="C5026" t="str">
        <f>_xlfn.XLOOKUP($A5026,Load!$B:$B,Load!D:D,0,)</f>
        <v>Non-Chocolate Candy Only</v>
      </c>
      <c r="D5026" t="str">
        <f>_xlfn.XLOOKUP($A5026,Load!$B:$B,Load!E:E,0,)</f>
        <v>Fruit Flavor (Cherry, Grape, Apple, Citrus, Tropical Fruit)</v>
      </c>
      <c r="E5026" t="str">
        <f>_xlfn.XLOOKUP($A5026,Load!$B:$B,Load!F:F,0,)</f>
        <v>Gummy</v>
      </c>
      <c r="F5026" t="str">
        <f>_xlfn.XLOOKUP($A5026,Load!$B:$B,Load!G:G,0,)</f>
        <v>Single Pack</v>
      </c>
      <c r="G5026" t="str">
        <f>_xlfn.XLOOKUP($A5026,Load!$B:$B,Load!H:H,0,)</f>
        <v>Peg Bag</v>
      </c>
      <c r="H5026" t="str">
        <f>_xlfn.XLOOKUP($A5026,Load!$B:$B,Load!I:I,0,)</f>
        <v>Everyday Candy Shapes (like Original, Gummy bear, Fruit, Jewels, etc.)</v>
      </c>
      <c r="I5026" t="str">
        <f>_xlfn.XLOOKUP($A5026,Load!$B:$B,Load!J:J,0,)</f>
        <v>Everyday Graphics</v>
      </c>
      <c r="J5026" t="str">
        <f>_xlfn.XLOOKUP($A5026,Load!$B:$B,Load!K:K,0,)</f>
        <v>Small Pieces (Tiny bite size candies)</v>
      </c>
      <c r="K5026" t="str">
        <f>_xlfn.XLOOKUP($A5026,Load!$B:$B,Load!L:L,0,)</f>
        <v>Regular/Original Wrapping</v>
      </c>
      <c r="L5026" t="str">
        <f>_xlfn.XLOOKUP($A5026,Load!$B:$B,Load!M:M,0,)</f>
        <v>Single Brand / Variety Flavors or Form</v>
      </c>
    </row>
    <row r="5027" spans="1:12" x14ac:dyDescent="0.25">
      <c r="A5027" t="s">
        <v>8</v>
      </c>
      <c r="B5027" t="str">
        <f>_xlfn.XLOOKUP($A5027,Load!$B:$B,Load!C:C,0,)</f>
        <v>Airheads</v>
      </c>
      <c r="C5027" t="str">
        <f>_xlfn.XLOOKUP($A5027,Load!$B:$B,Load!D:D,0,)</f>
        <v>Non-Chocolate Candy Only</v>
      </c>
      <c r="D5027" t="str">
        <f>_xlfn.XLOOKUP($A5027,Load!$B:$B,Load!E:E,0,)</f>
        <v>Fruit Flavor (Cherry, Grape, Apple, Citrus, Tropical Fruit)</v>
      </c>
      <c r="E5027" t="str">
        <f>_xlfn.XLOOKUP($A5027,Load!$B:$B,Load!F:F,0,)</f>
        <v>Chewy</v>
      </c>
      <c r="F5027" t="str">
        <f>_xlfn.XLOOKUP($A5027,Load!$B:$B,Load!G:G,0,)</f>
        <v>Small Multipack (Less than 40 ct)</v>
      </c>
      <c r="G5027" t="str">
        <f>_xlfn.XLOOKUP($A5027,Load!$B:$B,Load!H:H,0,)</f>
        <v>Laydown Bag</v>
      </c>
      <c r="H5027" t="str">
        <f>_xlfn.XLOOKUP($A5027,Load!$B:$B,Load!I:I,0,)</f>
        <v>Everyday Candy Shapes (like Original, Gummy bear, Fruit, Jewels, etc.)</v>
      </c>
      <c r="I5027" t="str">
        <f>_xlfn.XLOOKUP($A5027,Load!$B:$B,Load!J:J,0,)</f>
        <v>Everyday Graphics</v>
      </c>
      <c r="J5027" t="str">
        <f>_xlfn.XLOOKUP($A5027,Load!$B:$B,Load!K:K,0,)</f>
        <v>Fun Size / Treat Size</v>
      </c>
      <c r="K5027" t="str">
        <f>_xlfn.XLOOKUP($A5027,Load!$B:$B,Load!L:L,0,)</f>
        <v>Regular/Original Wrapping</v>
      </c>
      <c r="L5027" t="str">
        <f>_xlfn.XLOOKUP($A5027,Load!$B:$B,Load!M:M,0,)</f>
        <v>Single Brand / Variety Flavors or Form</v>
      </c>
    </row>
    <row r="5028" spans="1:12" x14ac:dyDescent="0.25">
      <c r="A5028" t="s">
        <v>80</v>
      </c>
      <c r="B5028" t="str">
        <f>_xlfn.XLOOKUP($A5028,Load!$B:$B,Load!C:C,0,)</f>
        <v>Ferrara Variety Pack</v>
      </c>
      <c r="C5028" t="str">
        <f>_xlfn.XLOOKUP($A5028,Load!$B:$B,Load!D:D,0,)</f>
        <v>Non-Chocolate Candy Only</v>
      </c>
      <c r="D5028" t="str">
        <f>_xlfn.XLOOKUP($A5028,Load!$B:$B,Load!E:E,0,)</f>
        <v>Variety / Mixed Flavors (Fruity, Sour, Seasonal Flavors)</v>
      </c>
      <c r="E5028" t="str">
        <f>_xlfn.XLOOKUP($A5028,Load!$B:$B,Load!F:F,0,)</f>
        <v>Mixed / Combo Packs (Gummy, Chewy, Taffy, etc.)</v>
      </c>
      <c r="F5028" t="str">
        <f>_xlfn.XLOOKUP($A5028,Load!$B:$B,Load!G:G,0,)</f>
        <v>Large Multipack (More than 80 ct)</v>
      </c>
      <c r="G5028" t="str">
        <f>_xlfn.XLOOKUP($A5028,Load!$B:$B,Load!H:H,0,)</f>
        <v>Stand-Up Bag</v>
      </c>
      <c r="H5028" t="str">
        <f>_xlfn.XLOOKUP($A5028,Load!$B:$B,Load!I:I,0,)</f>
        <v>Everyday Candy Shapes (like Original, Gummy bear, Fruit, Jewels, etc.)</v>
      </c>
      <c r="I5028" t="str">
        <f>_xlfn.XLOOKUP($A5028,Load!$B:$B,Load!J:J,0,)</f>
        <v>Seasonal Graphics (Like Bat, Ghost, Pumpkin, Fall Leaves, Eyeballs, etc.)</v>
      </c>
      <c r="J5028" t="str">
        <f>_xlfn.XLOOKUP($A5028,Load!$B:$B,Load!K:K,0,)</f>
        <v xml:space="preserve">Variety Candy Sizes </v>
      </c>
      <c r="K5028" t="str">
        <f>_xlfn.XLOOKUP($A5028,Load!$B:$B,Load!L:L,0,)</f>
        <v>Regular/Original Wrapping</v>
      </c>
      <c r="L5028" t="str">
        <f>_xlfn.XLOOKUP($A5028,Load!$B:$B,Load!M:M,0,)</f>
        <v>Multiple Brands / Variety Flavors or Form</v>
      </c>
    </row>
    <row r="5029" spans="1:12" x14ac:dyDescent="0.25">
      <c r="A5029" t="s">
        <v>79</v>
      </c>
      <c r="B5029" t="str">
        <f>_xlfn.XLOOKUP($A5029,Load!$B:$B,Load!C:C,0,)</f>
        <v>Ferrara Variety Pack</v>
      </c>
      <c r="C5029" t="str">
        <f>_xlfn.XLOOKUP($A5029,Load!$B:$B,Load!D:D,0,)</f>
        <v>Non-Chocolate Candy Only</v>
      </c>
      <c r="D5029" t="str">
        <f>_xlfn.XLOOKUP($A5029,Load!$B:$B,Load!E:E,0,)</f>
        <v>Variety / Mixed Flavors (Fruity, Sour, Seasonal Flavors)</v>
      </c>
      <c r="E5029" t="str">
        <f>_xlfn.XLOOKUP($A5029,Load!$B:$B,Load!F:F,0,)</f>
        <v>Mixed / Combo Packs (Gummy, Chewy, Taffy, etc.)</v>
      </c>
      <c r="F5029" t="str">
        <f>_xlfn.XLOOKUP($A5029,Load!$B:$B,Load!G:G,0,)</f>
        <v>Large Multipack (More than 80 ct)</v>
      </c>
      <c r="G5029" t="str">
        <f>_xlfn.XLOOKUP($A5029,Load!$B:$B,Load!H:H,0,)</f>
        <v>Stand-Up Bag</v>
      </c>
      <c r="H5029" t="str">
        <f>_xlfn.XLOOKUP($A5029,Load!$B:$B,Load!I:I,0,)</f>
        <v>Everyday Candy Shapes (like Original, Gummy bear, Fruit, Jewels, etc.)</v>
      </c>
      <c r="I5029" t="str">
        <f>_xlfn.XLOOKUP($A5029,Load!$B:$B,Load!J:J,0,)</f>
        <v>Seasonal Graphics (Like Bat, Ghost, Pumpkin, Fall Leaves, Eyeballs, etc.)</v>
      </c>
      <c r="J5029" t="str">
        <f>_xlfn.XLOOKUP($A5029,Load!$B:$B,Load!K:K,0,)</f>
        <v xml:space="preserve">Variety Candy Sizes </v>
      </c>
      <c r="K5029" t="str">
        <f>_xlfn.XLOOKUP($A5029,Load!$B:$B,Load!L:L,0,)</f>
        <v>Regular/Original Wrapping</v>
      </c>
      <c r="L5029" t="str">
        <f>_xlfn.XLOOKUP($A5029,Load!$B:$B,Load!M:M,0,)</f>
        <v>Multiple Brands / Variety Flavors or Form</v>
      </c>
    </row>
    <row r="5030" spans="1:12" x14ac:dyDescent="0.25">
      <c r="A5030" t="s">
        <v>187</v>
      </c>
      <c r="B5030" t="str">
        <f>_xlfn.XLOOKUP($A5030,Load!$B:$B,Load!C:C,0,)</f>
        <v>Mars Variety Pack</v>
      </c>
      <c r="C5030" t="str">
        <f>_xlfn.XLOOKUP($A5030,Load!$B:$B,Load!D:D,0,)</f>
        <v>Mix of Chocolate and Non-Chocolate Candy</v>
      </c>
      <c r="D5030" t="str">
        <f>_xlfn.XLOOKUP($A5030,Load!$B:$B,Load!E:E,0,)</f>
        <v>Variety / Mixed Flavors (Fruity, Sour, Seasonal Flavors)</v>
      </c>
      <c r="E5030" t="str">
        <f>_xlfn.XLOOKUP($A5030,Load!$B:$B,Load!F:F,0,)</f>
        <v>Mixed / Combo Packs (Gummy, Chewy, Taffy, etc.)</v>
      </c>
      <c r="F5030" t="str">
        <f>_xlfn.XLOOKUP($A5030,Load!$B:$B,Load!G:G,0,)</f>
        <v>Medium Multipack (40–80 ct)</v>
      </c>
      <c r="G5030" t="str">
        <f>_xlfn.XLOOKUP($A5030,Load!$B:$B,Load!H:H,0,)</f>
        <v>Stand-Up Bag</v>
      </c>
      <c r="H5030" t="str">
        <f>_xlfn.XLOOKUP($A5030,Load!$B:$B,Load!I:I,0,)</f>
        <v>Everyday Candy Shapes (like Original, Gummy bear, Fruit, Jewels, etc.)</v>
      </c>
      <c r="I5030" t="str">
        <f>_xlfn.XLOOKUP($A5030,Load!$B:$B,Load!J:J,0,)</f>
        <v>Seasonal Graphics (Like Bat, Ghost, Pumpkin, Fall Leaves, Eyeballs, etc.)</v>
      </c>
      <c r="J5030" t="str">
        <f>_xlfn.XLOOKUP($A5030,Load!$B:$B,Load!K:K,0,)</f>
        <v>Fun Size / Treat Size</v>
      </c>
      <c r="K5030" t="str">
        <f>_xlfn.XLOOKUP($A5030,Load!$B:$B,Load!L:L,0,)</f>
        <v>Regular/Original Wrapping</v>
      </c>
      <c r="L5030" t="str">
        <f>_xlfn.XLOOKUP($A5030,Load!$B:$B,Load!M:M,0,)</f>
        <v>Multiple Brands / Variety Flavors or Form</v>
      </c>
    </row>
    <row r="5031" spans="1:12" x14ac:dyDescent="0.25">
      <c r="A5031" t="s">
        <v>180</v>
      </c>
      <c r="B5031" t="str">
        <f>_xlfn.XLOOKUP($A5031,Load!$B:$B,Load!C:C,0,)</f>
        <v>Mars Variety Pack</v>
      </c>
      <c r="C5031" t="str">
        <f>_xlfn.XLOOKUP($A5031,Load!$B:$B,Load!D:D,0,)</f>
        <v>Mix of Chocolate and Non-Chocolate Candy</v>
      </c>
      <c r="D5031" t="str">
        <f>_xlfn.XLOOKUP($A5031,Load!$B:$B,Load!E:E,0,)</f>
        <v>Variety / Mixed Flavors (Fruity, Sour, Seasonal Flavors)</v>
      </c>
      <c r="E5031" t="str">
        <f>_xlfn.XLOOKUP($A5031,Load!$B:$B,Load!F:F,0,)</f>
        <v>Mixed / Combo Packs (Gummy, Chewy, Taffy, etc.)</v>
      </c>
      <c r="F5031" t="str">
        <f>_xlfn.XLOOKUP($A5031,Load!$B:$B,Load!G:G,0,)</f>
        <v>Large Multipack (More than 80 ct)</v>
      </c>
      <c r="G5031" t="str">
        <f>_xlfn.XLOOKUP($A5031,Load!$B:$B,Load!H:H,0,)</f>
        <v>Stand-Up Bag</v>
      </c>
      <c r="H5031" t="str">
        <f>_xlfn.XLOOKUP($A5031,Load!$B:$B,Load!I:I,0,)</f>
        <v>Everyday Candy Shapes (like Original, Gummy bear, Fruit, Jewels, etc.)</v>
      </c>
      <c r="I5031" t="str">
        <f>_xlfn.XLOOKUP($A5031,Load!$B:$B,Load!J:J,0,)</f>
        <v>Seasonal Graphics (Like Bat, Ghost, Pumpkin, Fall Leaves, Eyeballs, etc.)</v>
      </c>
      <c r="J5031" t="str">
        <f>_xlfn.XLOOKUP($A5031,Load!$B:$B,Load!K:K,0,)</f>
        <v>Fun Size / Treat Size</v>
      </c>
      <c r="K5031" t="str">
        <f>_xlfn.XLOOKUP($A5031,Load!$B:$B,Load!L:L,0,)</f>
        <v>Regular/Original Wrapping</v>
      </c>
      <c r="L5031" t="str">
        <f>_xlfn.XLOOKUP($A5031,Load!$B:$B,Load!M:M,0,)</f>
        <v>Multiple Brands / Variety Flavors or Form</v>
      </c>
    </row>
    <row r="5032" spans="1:12" x14ac:dyDescent="0.25">
      <c r="A5032" t="s">
        <v>272</v>
      </c>
      <c r="B5032" t="str">
        <f>_xlfn.XLOOKUP($A5032,Load!$B:$B,Load!C:C,0,)</f>
        <v>Sour Patch Kids</v>
      </c>
      <c r="C5032" t="str">
        <f>_xlfn.XLOOKUP($A5032,Load!$B:$B,Load!D:D,0,)</f>
        <v>Non-Chocolate Candy Only</v>
      </c>
      <c r="D5032" t="str">
        <f>_xlfn.XLOOKUP($A5032,Load!$B:$B,Load!E:E,0,)</f>
        <v>Sour</v>
      </c>
      <c r="E5032" t="str">
        <f>_xlfn.XLOOKUP($A5032,Load!$B:$B,Load!F:F,0,)</f>
        <v>Chewy</v>
      </c>
      <c r="F5032" t="str">
        <f>_xlfn.XLOOKUP($A5032,Load!$B:$B,Load!G:G,0,)</f>
        <v>Medium Multipack (40–80 ct)</v>
      </c>
      <c r="G5032" t="str">
        <f>_xlfn.XLOOKUP($A5032,Load!$B:$B,Load!H:H,0,)</f>
        <v>Peg Bag</v>
      </c>
      <c r="H5032" t="str">
        <f>_xlfn.XLOOKUP($A5032,Load!$B:$B,Load!I:I,0,)</f>
        <v>Everyday Candy Shapes (like Original, Gummy bear, Fruit, Jewels, etc.)</v>
      </c>
      <c r="I5032" t="str">
        <f>_xlfn.XLOOKUP($A5032,Load!$B:$B,Load!J:J,0,)</f>
        <v>Seasonal Graphics (Like Bat, Ghost, Pumpkin, Fall Leaves, Eyeballs, etc.)</v>
      </c>
      <c r="J5032" t="str">
        <f>_xlfn.XLOOKUP($A5032,Load!$B:$B,Load!K:K,0,)</f>
        <v>Small Pieces (Tiny bite size candies)</v>
      </c>
      <c r="K5032" t="str">
        <f>_xlfn.XLOOKUP($A5032,Load!$B:$B,Load!L:L,0,)</f>
        <v>Unwrapped</v>
      </c>
      <c r="L5032" t="str">
        <f>_xlfn.XLOOKUP($A5032,Load!$B:$B,Load!M:M,0,)</f>
        <v>Single Brand / Single Flavor or Form</v>
      </c>
    </row>
    <row r="5033" spans="1:12" x14ac:dyDescent="0.25">
      <c r="B5033">
        <f>_xlfn.XLOOKUP($A5033,Load!$B:$B,Load!C:C,0,)</f>
        <v>0</v>
      </c>
      <c r="C5033">
        <f>_xlfn.XLOOKUP($A5033,Load!$B:$B,Load!D:D,0,)</f>
        <v>0</v>
      </c>
      <c r="D5033">
        <f>_xlfn.XLOOKUP($A5033,Load!$B:$B,Load!E:E,0,)</f>
        <v>0</v>
      </c>
      <c r="E5033">
        <f>_xlfn.XLOOKUP($A5033,Load!$B:$B,Load!F:F,0,)</f>
        <v>0</v>
      </c>
      <c r="F5033">
        <f>_xlfn.XLOOKUP($A5033,Load!$B:$B,Load!G:G,0,)</f>
        <v>0</v>
      </c>
      <c r="G5033">
        <f>_xlfn.XLOOKUP($A5033,Load!$B:$B,Load!H:H,0,)</f>
        <v>0</v>
      </c>
      <c r="H5033">
        <f>_xlfn.XLOOKUP($A5033,Load!$B:$B,Load!I:I,0,)</f>
        <v>0</v>
      </c>
      <c r="I5033">
        <f>_xlfn.XLOOKUP($A5033,Load!$B:$B,Load!J:J,0,)</f>
        <v>0</v>
      </c>
      <c r="J5033">
        <f>_xlfn.XLOOKUP($A5033,Load!$B:$B,Load!K:K,0,)</f>
        <v>0</v>
      </c>
      <c r="K5033">
        <f>_xlfn.XLOOKUP($A5033,Load!$B:$B,Load!L:L,0,)</f>
        <v>0</v>
      </c>
      <c r="L5033">
        <f>_xlfn.XLOOKUP($A5033,Load!$B:$B,Load!M:M,0,)</f>
        <v>0</v>
      </c>
    </row>
    <row r="5034" spans="1:12" x14ac:dyDescent="0.25">
      <c r="A5034" t="s">
        <v>474</v>
      </c>
      <c r="B5034" t="str">
        <f>_xlfn.XLOOKUP($A5034,Load!$B:$B,Load!C:C,0,)</f>
        <v>Smarties</v>
      </c>
      <c r="C5034" t="str">
        <f>_xlfn.XLOOKUP($A5034,Load!$B:$B,Load!D:D,0,)</f>
        <v>Non-Chocolate Candy Only</v>
      </c>
      <c r="D5034" t="str">
        <f>_xlfn.XLOOKUP($A5034,Load!$B:$B,Load!E:E,0,)</f>
        <v>Variety / Mixed Flavors (Fruity, Sour, Seasonal Flavors)</v>
      </c>
      <c r="E5034" t="str">
        <f>_xlfn.XLOOKUP($A5034,Load!$B:$B,Load!F:F,0,)</f>
        <v>Powder / Chalky</v>
      </c>
      <c r="F5034" t="str">
        <f>_xlfn.XLOOKUP($A5034,Load!$B:$B,Load!G:G,0,)</f>
        <v>Single Pack</v>
      </c>
      <c r="G5034" t="str">
        <f>_xlfn.XLOOKUP($A5034,Load!$B:$B,Load!H:H,0,)</f>
        <v>Laydown Bag</v>
      </c>
      <c r="H5034" t="str">
        <f>_xlfn.XLOOKUP($A5034,Load!$B:$B,Load!I:I,0,)</f>
        <v>Everyday Candy Shapes (like Original, Gummy bear, Fruit, Jewels, etc.)</v>
      </c>
      <c r="I5034" t="str">
        <f>_xlfn.XLOOKUP($A5034,Load!$B:$B,Load!J:J,0,)</f>
        <v>Everyday Graphics</v>
      </c>
      <c r="J5034" t="str">
        <f>_xlfn.XLOOKUP($A5034,Load!$B:$B,Load!K:K,0,)</f>
        <v>Fun Size / Treat Size</v>
      </c>
      <c r="K5034" t="str">
        <f>_xlfn.XLOOKUP($A5034,Load!$B:$B,Load!L:L,0,)</f>
        <v>Regular/Original Wrapping</v>
      </c>
      <c r="L5034" t="str">
        <f>_xlfn.XLOOKUP($A5034,Load!$B:$B,Load!M:M,0,)</f>
        <v>Single Brand / Variety Flavors or Form</v>
      </c>
    </row>
    <row r="5035" spans="1:12" x14ac:dyDescent="0.25">
      <c r="A5035" t="s">
        <v>96</v>
      </c>
      <c r="B5035" t="str">
        <f>_xlfn.XLOOKUP($A5035,Load!$B:$B,Load!C:C,0,)</f>
        <v>Ferrero Variety Pack</v>
      </c>
      <c r="C5035" t="str">
        <f>_xlfn.XLOOKUP($A5035,Load!$B:$B,Load!D:D,0,)</f>
        <v>Mix of Chocolate and Non-Chocolate Candy</v>
      </c>
      <c r="D5035" t="str">
        <f>_xlfn.XLOOKUP($A5035,Load!$B:$B,Load!E:E,0,)</f>
        <v>Variety / Mixed Flavors (Fruity, Sour, Seasonal Flavors)</v>
      </c>
      <c r="E5035" t="str">
        <f>_xlfn.XLOOKUP($A5035,Load!$B:$B,Load!F:F,0,)</f>
        <v>Mixed / Combo Packs (Gummy, Chewy, Taffy, etc.)</v>
      </c>
      <c r="F5035" t="str">
        <f>_xlfn.XLOOKUP($A5035,Load!$B:$B,Load!G:G,0,)</f>
        <v>Large Multipack (More than 80 ct)</v>
      </c>
      <c r="G5035" t="str">
        <f>_xlfn.XLOOKUP($A5035,Load!$B:$B,Load!H:H,0,)</f>
        <v>Stand-Up Bag</v>
      </c>
      <c r="H5035" t="str">
        <f>_xlfn.XLOOKUP($A5035,Load!$B:$B,Load!I:I,0,)</f>
        <v>Everyday Candy Shapes (like Original, Gummy bear, Fruit, Jewels, etc.)</v>
      </c>
      <c r="I5035" t="str">
        <f>_xlfn.XLOOKUP($A5035,Load!$B:$B,Load!J:J,0,)</f>
        <v>Seasonal Graphics (Like Bat, Ghost, Pumpkin, Fall Leaves, Eyeballs, etc.)</v>
      </c>
      <c r="J5035" t="str">
        <f>_xlfn.XLOOKUP($A5035,Load!$B:$B,Load!K:K,0,)</f>
        <v>Fun Size / Treat Size</v>
      </c>
      <c r="K5035" t="str">
        <f>_xlfn.XLOOKUP($A5035,Load!$B:$B,Load!L:L,0,)</f>
        <v>Regular/Original Wrapping</v>
      </c>
      <c r="L5035" t="str">
        <f>_xlfn.XLOOKUP($A5035,Load!$B:$B,Load!M:M,0,)</f>
        <v>Multiple Brands / Variety Flavors or Form</v>
      </c>
    </row>
    <row r="5036" spans="1:12" x14ac:dyDescent="0.25">
      <c r="B5036">
        <f>_xlfn.XLOOKUP($A5036,Load!$B:$B,Load!C:C,0,)</f>
        <v>0</v>
      </c>
      <c r="C5036">
        <f>_xlfn.XLOOKUP($A5036,Load!$B:$B,Load!D:D,0,)</f>
        <v>0</v>
      </c>
      <c r="D5036">
        <f>_xlfn.XLOOKUP($A5036,Load!$B:$B,Load!E:E,0,)</f>
        <v>0</v>
      </c>
      <c r="E5036">
        <f>_xlfn.XLOOKUP($A5036,Load!$B:$B,Load!F:F,0,)</f>
        <v>0</v>
      </c>
      <c r="F5036">
        <f>_xlfn.XLOOKUP($A5036,Load!$B:$B,Load!G:G,0,)</f>
        <v>0</v>
      </c>
      <c r="G5036">
        <f>_xlfn.XLOOKUP($A5036,Load!$B:$B,Load!H:H,0,)</f>
        <v>0</v>
      </c>
      <c r="H5036">
        <f>_xlfn.XLOOKUP($A5036,Load!$B:$B,Load!I:I,0,)</f>
        <v>0</v>
      </c>
      <c r="I5036">
        <f>_xlfn.XLOOKUP($A5036,Load!$B:$B,Load!J:J,0,)</f>
        <v>0</v>
      </c>
      <c r="J5036">
        <f>_xlfn.XLOOKUP($A5036,Load!$B:$B,Load!K:K,0,)</f>
        <v>0</v>
      </c>
      <c r="K5036">
        <f>_xlfn.XLOOKUP($A5036,Load!$B:$B,Load!L:L,0,)</f>
        <v>0</v>
      </c>
      <c r="L5036">
        <f>_xlfn.XLOOKUP($A5036,Load!$B:$B,Load!M:M,0,)</f>
        <v>0</v>
      </c>
    </row>
    <row r="5037" spans="1:12" x14ac:dyDescent="0.25">
      <c r="B5037">
        <f>_xlfn.XLOOKUP($A5037,Load!$B:$B,Load!C:C,0,)</f>
        <v>0</v>
      </c>
      <c r="C5037">
        <f>_xlfn.XLOOKUP($A5037,Load!$B:$B,Load!D:D,0,)</f>
        <v>0</v>
      </c>
      <c r="D5037">
        <f>_xlfn.XLOOKUP($A5037,Load!$B:$B,Load!E:E,0,)</f>
        <v>0</v>
      </c>
      <c r="E5037">
        <f>_xlfn.XLOOKUP($A5037,Load!$B:$B,Load!F:F,0,)</f>
        <v>0</v>
      </c>
      <c r="F5037">
        <f>_xlfn.XLOOKUP($A5037,Load!$B:$B,Load!G:G,0,)</f>
        <v>0</v>
      </c>
      <c r="G5037">
        <f>_xlfn.XLOOKUP($A5037,Load!$B:$B,Load!H:H,0,)</f>
        <v>0</v>
      </c>
      <c r="H5037">
        <f>_xlfn.XLOOKUP($A5037,Load!$B:$B,Load!I:I,0,)</f>
        <v>0</v>
      </c>
      <c r="I5037">
        <f>_xlfn.XLOOKUP($A5037,Load!$B:$B,Load!J:J,0,)</f>
        <v>0</v>
      </c>
      <c r="J5037">
        <f>_xlfn.XLOOKUP($A5037,Load!$B:$B,Load!K:K,0,)</f>
        <v>0</v>
      </c>
      <c r="K5037">
        <f>_xlfn.XLOOKUP($A5037,Load!$B:$B,Load!L:L,0,)</f>
        <v>0</v>
      </c>
      <c r="L5037">
        <f>_xlfn.XLOOKUP($A5037,Load!$B:$B,Load!M:M,0,)</f>
        <v>0</v>
      </c>
    </row>
    <row r="5038" spans="1:12" x14ac:dyDescent="0.25">
      <c r="B5038">
        <f>_xlfn.XLOOKUP($A5038,Load!$B:$B,Load!C:C,0,)</f>
        <v>0</v>
      </c>
      <c r="C5038">
        <f>_xlfn.XLOOKUP($A5038,Load!$B:$B,Load!D:D,0,)</f>
        <v>0</v>
      </c>
      <c r="D5038">
        <f>_xlfn.XLOOKUP($A5038,Load!$B:$B,Load!E:E,0,)</f>
        <v>0</v>
      </c>
      <c r="E5038">
        <f>_xlfn.XLOOKUP($A5038,Load!$B:$B,Load!F:F,0,)</f>
        <v>0</v>
      </c>
      <c r="F5038">
        <f>_xlfn.XLOOKUP($A5038,Load!$B:$B,Load!G:G,0,)</f>
        <v>0</v>
      </c>
      <c r="G5038">
        <f>_xlfn.XLOOKUP($A5038,Load!$B:$B,Load!H:H,0,)</f>
        <v>0</v>
      </c>
      <c r="H5038">
        <f>_xlfn.XLOOKUP($A5038,Load!$B:$B,Load!I:I,0,)</f>
        <v>0</v>
      </c>
      <c r="I5038">
        <f>_xlfn.XLOOKUP($A5038,Load!$B:$B,Load!J:J,0,)</f>
        <v>0</v>
      </c>
      <c r="J5038">
        <f>_xlfn.XLOOKUP($A5038,Load!$B:$B,Load!K:K,0,)</f>
        <v>0</v>
      </c>
      <c r="K5038">
        <f>_xlfn.XLOOKUP($A5038,Load!$B:$B,Load!L:L,0,)</f>
        <v>0</v>
      </c>
      <c r="L5038">
        <f>_xlfn.XLOOKUP($A5038,Load!$B:$B,Load!M:M,0,)</f>
        <v>0</v>
      </c>
    </row>
    <row r="5039" spans="1:12" x14ac:dyDescent="0.25">
      <c r="B5039">
        <f>_xlfn.XLOOKUP($A5039,Load!$B:$B,Load!C:C,0,)</f>
        <v>0</v>
      </c>
      <c r="C5039">
        <f>_xlfn.XLOOKUP($A5039,Load!$B:$B,Load!D:D,0,)</f>
        <v>0</v>
      </c>
      <c r="D5039">
        <f>_xlfn.XLOOKUP($A5039,Load!$B:$B,Load!E:E,0,)</f>
        <v>0</v>
      </c>
      <c r="E5039">
        <f>_xlfn.XLOOKUP($A5039,Load!$B:$B,Load!F:F,0,)</f>
        <v>0</v>
      </c>
      <c r="F5039">
        <f>_xlfn.XLOOKUP($A5039,Load!$B:$B,Load!G:G,0,)</f>
        <v>0</v>
      </c>
      <c r="G5039">
        <f>_xlfn.XLOOKUP($A5039,Load!$B:$B,Load!H:H,0,)</f>
        <v>0</v>
      </c>
      <c r="H5039">
        <f>_xlfn.XLOOKUP($A5039,Load!$B:$B,Load!I:I,0,)</f>
        <v>0</v>
      </c>
      <c r="I5039">
        <f>_xlfn.XLOOKUP($A5039,Load!$B:$B,Load!J:J,0,)</f>
        <v>0</v>
      </c>
      <c r="J5039">
        <f>_xlfn.XLOOKUP($A5039,Load!$B:$B,Load!K:K,0,)</f>
        <v>0</v>
      </c>
      <c r="K5039">
        <f>_xlfn.XLOOKUP($A5039,Load!$B:$B,Load!L:L,0,)</f>
        <v>0</v>
      </c>
      <c r="L5039">
        <f>_xlfn.XLOOKUP($A5039,Load!$B:$B,Load!M:M,0,)</f>
        <v>0</v>
      </c>
    </row>
    <row r="5040" spans="1:12" x14ac:dyDescent="0.25">
      <c r="B5040">
        <f>_xlfn.XLOOKUP($A5040,Load!$B:$B,Load!C:C,0,)</f>
        <v>0</v>
      </c>
      <c r="C5040">
        <f>_xlfn.XLOOKUP($A5040,Load!$B:$B,Load!D:D,0,)</f>
        <v>0</v>
      </c>
      <c r="D5040">
        <f>_xlfn.XLOOKUP($A5040,Load!$B:$B,Load!E:E,0,)</f>
        <v>0</v>
      </c>
      <c r="E5040">
        <f>_xlfn.XLOOKUP($A5040,Load!$B:$B,Load!F:F,0,)</f>
        <v>0</v>
      </c>
      <c r="F5040">
        <f>_xlfn.XLOOKUP($A5040,Load!$B:$B,Load!G:G,0,)</f>
        <v>0</v>
      </c>
      <c r="G5040">
        <f>_xlfn.XLOOKUP($A5040,Load!$B:$B,Load!H:H,0,)</f>
        <v>0</v>
      </c>
      <c r="H5040">
        <f>_xlfn.XLOOKUP($A5040,Load!$B:$B,Load!I:I,0,)</f>
        <v>0</v>
      </c>
      <c r="I5040">
        <f>_xlfn.XLOOKUP($A5040,Load!$B:$B,Load!J:J,0,)</f>
        <v>0</v>
      </c>
      <c r="J5040">
        <f>_xlfn.XLOOKUP($A5040,Load!$B:$B,Load!K:K,0,)</f>
        <v>0</v>
      </c>
      <c r="K5040">
        <f>_xlfn.XLOOKUP($A5040,Load!$B:$B,Load!L:L,0,)</f>
        <v>0</v>
      </c>
      <c r="L5040">
        <f>_xlfn.XLOOKUP($A5040,Load!$B:$B,Load!M:M,0,)</f>
        <v>0</v>
      </c>
    </row>
    <row r="5041" spans="1:12" x14ac:dyDescent="0.25">
      <c r="B5041">
        <f>_xlfn.XLOOKUP($A5041,Load!$B:$B,Load!C:C,0,)</f>
        <v>0</v>
      </c>
      <c r="C5041">
        <f>_xlfn.XLOOKUP($A5041,Load!$B:$B,Load!D:D,0,)</f>
        <v>0</v>
      </c>
      <c r="D5041">
        <f>_xlfn.XLOOKUP($A5041,Load!$B:$B,Load!E:E,0,)</f>
        <v>0</v>
      </c>
      <c r="E5041">
        <f>_xlfn.XLOOKUP($A5041,Load!$B:$B,Load!F:F,0,)</f>
        <v>0</v>
      </c>
      <c r="F5041">
        <f>_xlfn.XLOOKUP($A5041,Load!$B:$B,Load!G:G,0,)</f>
        <v>0</v>
      </c>
      <c r="G5041">
        <f>_xlfn.XLOOKUP($A5041,Load!$B:$B,Load!H:H,0,)</f>
        <v>0</v>
      </c>
      <c r="H5041">
        <f>_xlfn.XLOOKUP($A5041,Load!$B:$B,Load!I:I,0,)</f>
        <v>0</v>
      </c>
      <c r="I5041">
        <f>_xlfn.XLOOKUP($A5041,Load!$B:$B,Load!J:J,0,)</f>
        <v>0</v>
      </c>
      <c r="J5041">
        <f>_xlfn.XLOOKUP($A5041,Load!$B:$B,Load!K:K,0,)</f>
        <v>0</v>
      </c>
      <c r="K5041">
        <f>_xlfn.XLOOKUP($A5041,Load!$B:$B,Load!L:L,0,)</f>
        <v>0</v>
      </c>
      <c r="L5041">
        <f>_xlfn.XLOOKUP($A5041,Load!$B:$B,Load!M:M,0,)</f>
        <v>0</v>
      </c>
    </row>
    <row r="5042" spans="1:12" x14ac:dyDescent="0.25">
      <c r="A5042" t="s">
        <v>157</v>
      </c>
      <c r="B5042" t="str">
        <f>_xlfn.XLOOKUP($A5042,Load!$B:$B,Load!C:C,0,)</f>
        <v>Jolly Rancher</v>
      </c>
      <c r="C5042" t="str">
        <f>_xlfn.XLOOKUP($A5042,Load!$B:$B,Load!D:D,0,)</f>
        <v>Non-Chocolate Candy Only</v>
      </c>
      <c r="D5042" t="str">
        <f>_xlfn.XLOOKUP($A5042,Load!$B:$B,Load!E:E,0,)</f>
        <v>Fruit Flavor (Cherry, Grape, Apple, Citrus, Tropical Fruit)</v>
      </c>
      <c r="E5042" t="str">
        <f>_xlfn.XLOOKUP($A5042,Load!$B:$B,Load!F:F,0,)</f>
        <v>Hard Candy</v>
      </c>
      <c r="F5042" t="str">
        <f>_xlfn.XLOOKUP($A5042,Load!$B:$B,Load!G:G,0,)</f>
        <v>Single Pack</v>
      </c>
      <c r="G5042" t="str">
        <f>_xlfn.XLOOKUP($A5042,Load!$B:$B,Load!H:H,0,)</f>
        <v>Laydown Bag</v>
      </c>
      <c r="H5042" t="str">
        <f>_xlfn.XLOOKUP($A5042,Load!$B:$B,Load!I:I,0,)</f>
        <v>Everyday Candy Shapes (like Original, Gummy bear, Fruit, Jewels, etc.)</v>
      </c>
      <c r="I5042" t="str">
        <f>_xlfn.XLOOKUP($A5042,Load!$B:$B,Load!J:J,0,)</f>
        <v>Everyday Graphics</v>
      </c>
      <c r="J5042" t="str">
        <f>_xlfn.XLOOKUP($A5042,Load!$B:$B,Load!K:K,0,)</f>
        <v>Small Pieces (Tiny bite size candies)</v>
      </c>
      <c r="K5042" t="str">
        <f>_xlfn.XLOOKUP($A5042,Load!$B:$B,Load!L:L,0,)</f>
        <v>Regular/Original Wrapping</v>
      </c>
      <c r="L5042" t="str">
        <f>_xlfn.XLOOKUP($A5042,Load!$B:$B,Load!M:M,0,)</f>
        <v>Single Brand / Variety Flavors or Form</v>
      </c>
    </row>
    <row r="5043" spans="1:12" x14ac:dyDescent="0.25">
      <c r="B5043">
        <f>_xlfn.XLOOKUP($A5043,Load!$B:$B,Load!C:C,0,)</f>
        <v>0</v>
      </c>
      <c r="C5043">
        <f>_xlfn.XLOOKUP($A5043,Load!$B:$B,Load!D:D,0,)</f>
        <v>0</v>
      </c>
      <c r="D5043">
        <f>_xlfn.XLOOKUP($A5043,Load!$B:$B,Load!E:E,0,)</f>
        <v>0</v>
      </c>
      <c r="E5043">
        <f>_xlfn.XLOOKUP($A5043,Load!$B:$B,Load!F:F,0,)</f>
        <v>0</v>
      </c>
      <c r="F5043">
        <f>_xlfn.XLOOKUP($A5043,Load!$B:$B,Load!G:G,0,)</f>
        <v>0</v>
      </c>
      <c r="G5043">
        <f>_xlfn.XLOOKUP($A5043,Load!$B:$B,Load!H:H,0,)</f>
        <v>0</v>
      </c>
      <c r="H5043">
        <f>_xlfn.XLOOKUP($A5043,Load!$B:$B,Load!I:I,0,)</f>
        <v>0</v>
      </c>
      <c r="I5043">
        <f>_xlfn.XLOOKUP($A5043,Load!$B:$B,Load!J:J,0,)</f>
        <v>0</v>
      </c>
      <c r="J5043">
        <f>_xlfn.XLOOKUP($A5043,Load!$B:$B,Load!K:K,0,)</f>
        <v>0</v>
      </c>
      <c r="K5043">
        <f>_xlfn.XLOOKUP($A5043,Load!$B:$B,Load!L:L,0,)</f>
        <v>0</v>
      </c>
      <c r="L5043">
        <f>_xlfn.XLOOKUP($A5043,Load!$B:$B,Load!M:M,0,)</f>
        <v>0</v>
      </c>
    </row>
    <row r="5044" spans="1:12" x14ac:dyDescent="0.25">
      <c r="B5044">
        <f>_xlfn.XLOOKUP($A5044,Load!$B:$B,Load!C:C,0,)</f>
        <v>0</v>
      </c>
      <c r="C5044">
        <f>_xlfn.XLOOKUP($A5044,Load!$B:$B,Load!D:D,0,)</f>
        <v>0</v>
      </c>
      <c r="D5044">
        <f>_xlfn.XLOOKUP($A5044,Load!$B:$B,Load!E:E,0,)</f>
        <v>0</v>
      </c>
      <c r="E5044">
        <f>_xlfn.XLOOKUP($A5044,Load!$B:$B,Load!F:F,0,)</f>
        <v>0</v>
      </c>
      <c r="F5044">
        <f>_xlfn.XLOOKUP($A5044,Load!$B:$B,Load!G:G,0,)</f>
        <v>0</v>
      </c>
      <c r="G5044">
        <f>_xlfn.XLOOKUP($A5044,Load!$B:$B,Load!H:H,0,)</f>
        <v>0</v>
      </c>
      <c r="H5044">
        <f>_xlfn.XLOOKUP($A5044,Load!$B:$B,Load!I:I,0,)</f>
        <v>0</v>
      </c>
      <c r="I5044">
        <f>_xlfn.XLOOKUP($A5044,Load!$B:$B,Load!J:J,0,)</f>
        <v>0</v>
      </c>
      <c r="J5044">
        <f>_xlfn.XLOOKUP($A5044,Load!$B:$B,Load!K:K,0,)</f>
        <v>0</v>
      </c>
      <c r="K5044">
        <f>_xlfn.XLOOKUP($A5044,Load!$B:$B,Load!L:L,0,)</f>
        <v>0</v>
      </c>
      <c r="L5044">
        <f>_xlfn.XLOOKUP($A5044,Load!$B:$B,Load!M:M,0,)</f>
        <v>0</v>
      </c>
    </row>
    <row r="5045" spans="1:12" x14ac:dyDescent="0.25">
      <c r="B5045">
        <f>_xlfn.XLOOKUP($A5045,Load!$B:$B,Load!C:C,0,)</f>
        <v>0</v>
      </c>
      <c r="C5045">
        <f>_xlfn.XLOOKUP($A5045,Load!$B:$B,Load!D:D,0,)</f>
        <v>0</v>
      </c>
      <c r="D5045">
        <f>_xlfn.XLOOKUP($A5045,Load!$B:$B,Load!E:E,0,)</f>
        <v>0</v>
      </c>
      <c r="E5045">
        <f>_xlfn.XLOOKUP($A5045,Load!$B:$B,Load!F:F,0,)</f>
        <v>0</v>
      </c>
      <c r="F5045">
        <f>_xlfn.XLOOKUP($A5045,Load!$B:$B,Load!G:G,0,)</f>
        <v>0</v>
      </c>
      <c r="G5045">
        <f>_xlfn.XLOOKUP($A5045,Load!$B:$B,Load!H:H,0,)</f>
        <v>0</v>
      </c>
      <c r="H5045">
        <f>_xlfn.XLOOKUP($A5045,Load!$B:$B,Load!I:I,0,)</f>
        <v>0</v>
      </c>
      <c r="I5045">
        <f>_xlfn.XLOOKUP($A5045,Load!$B:$B,Load!J:J,0,)</f>
        <v>0</v>
      </c>
      <c r="J5045">
        <f>_xlfn.XLOOKUP($A5045,Load!$B:$B,Load!K:K,0,)</f>
        <v>0</v>
      </c>
      <c r="K5045">
        <f>_xlfn.XLOOKUP($A5045,Load!$B:$B,Load!L:L,0,)</f>
        <v>0</v>
      </c>
      <c r="L5045">
        <f>_xlfn.XLOOKUP($A5045,Load!$B:$B,Load!M:M,0,)</f>
        <v>0</v>
      </c>
    </row>
    <row r="5046" spans="1:12" x14ac:dyDescent="0.25">
      <c r="A5046" t="s">
        <v>71</v>
      </c>
      <c r="B5046" t="str">
        <f>_xlfn.XLOOKUP($A5046,Load!$B:$B,Load!C:C,0,)</f>
        <v>Dum Dums</v>
      </c>
      <c r="C5046" t="str">
        <f>_xlfn.XLOOKUP($A5046,Load!$B:$B,Load!D:D,0,)</f>
        <v>Non-Chocolate Candy Only</v>
      </c>
      <c r="D5046" t="str">
        <f>_xlfn.XLOOKUP($A5046,Load!$B:$B,Load!E:E,0,)</f>
        <v>Sweet</v>
      </c>
      <c r="E5046" t="str">
        <f>_xlfn.XLOOKUP($A5046,Load!$B:$B,Load!F:F,0,)</f>
        <v>Lollipop (regular or lollipop rings)</v>
      </c>
      <c r="F5046" t="str">
        <f>_xlfn.XLOOKUP($A5046,Load!$B:$B,Load!G:G,0,)</f>
        <v>Large Multipack (More than 80 ct)</v>
      </c>
      <c r="G5046" t="str">
        <f>_xlfn.XLOOKUP($A5046,Load!$B:$B,Load!H:H,0,)</f>
        <v>Stand-Up Bag</v>
      </c>
      <c r="H5046" t="str">
        <f>_xlfn.XLOOKUP($A5046,Load!$B:$B,Load!I:I,0,)</f>
        <v>Everyday Candy Shapes (like Original, Gummy bear, Fruit, Jewels, etc.)</v>
      </c>
      <c r="I5046" t="str">
        <f>_xlfn.XLOOKUP($A5046,Load!$B:$B,Load!J:J,0,)</f>
        <v>Seasonal Graphics (Like Bat, Ghost, Pumpkin, Fall Leaves, Eyeballs, etc.)</v>
      </c>
      <c r="J5046" t="str">
        <f>_xlfn.XLOOKUP($A5046,Load!$B:$B,Load!K:K,0,)</f>
        <v>Regular Lollipop size (on sticks or rings)</v>
      </c>
      <c r="K5046" t="str">
        <f>_xlfn.XLOOKUP($A5046,Load!$B:$B,Load!L:L,0,)</f>
        <v>Regular/Original Wrapping</v>
      </c>
      <c r="L5046" t="str">
        <f>_xlfn.XLOOKUP($A5046,Load!$B:$B,Load!M:M,0,)</f>
        <v>Multiple Brands / Variety Flavors or Form</v>
      </c>
    </row>
    <row r="5047" spans="1:12" x14ac:dyDescent="0.25">
      <c r="A5047" t="s">
        <v>183</v>
      </c>
      <c r="B5047" t="str">
        <f>_xlfn.XLOOKUP($A5047,Load!$B:$B,Load!C:C,0,)</f>
        <v>Mars Variety Pack</v>
      </c>
      <c r="C5047" t="str">
        <f>_xlfn.XLOOKUP($A5047,Load!$B:$B,Load!D:D,0,)</f>
        <v>Non-Chocolate Candy Only</v>
      </c>
      <c r="D5047" t="str">
        <f>_xlfn.XLOOKUP($A5047,Load!$B:$B,Load!E:E,0,)</f>
        <v>Variety / Mixed Flavors (Fruity, Sour, Seasonal Flavors)</v>
      </c>
      <c r="E5047" t="str">
        <f>_xlfn.XLOOKUP($A5047,Load!$B:$B,Load!F:F,0,)</f>
        <v>Mixed / Combo Packs (Gummy, Chewy, Taffy, etc.)</v>
      </c>
      <c r="F5047" t="str">
        <f>_xlfn.XLOOKUP($A5047,Load!$B:$B,Load!G:G,0,)</f>
        <v>Large Multipack (More than 80 ct)</v>
      </c>
      <c r="G5047" t="str">
        <f>_xlfn.XLOOKUP($A5047,Load!$B:$B,Load!H:H,0,)</f>
        <v>Stand-Up Bag</v>
      </c>
      <c r="H5047" t="str">
        <f>_xlfn.XLOOKUP($A5047,Load!$B:$B,Load!I:I,0,)</f>
        <v>Seasonal Shapes (like pumpkins, candy corn, ghost, bats, etc.)</v>
      </c>
      <c r="I5047" t="str">
        <f>_xlfn.XLOOKUP($A5047,Load!$B:$B,Load!J:J,0,)</f>
        <v>Seasonal Graphics (Like Bat, Ghost, Pumpkin, Fall Leaves, Eyeballs, etc.)</v>
      </c>
      <c r="J5047" t="str">
        <f>_xlfn.XLOOKUP($A5047,Load!$B:$B,Load!K:K,0,)</f>
        <v xml:space="preserve">Variety Candy Sizes </v>
      </c>
      <c r="K5047" t="str">
        <f>_xlfn.XLOOKUP($A5047,Load!$B:$B,Load!L:L,0,)</f>
        <v>Regular/Original Wrapping</v>
      </c>
      <c r="L5047" t="str">
        <f>_xlfn.XLOOKUP($A5047,Load!$B:$B,Load!M:M,0,)</f>
        <v>Multiple Brands / Variety Flavors or Form</v>
      </c>
    </row>
    <row r="5048" spans="1:12" x14ac:dyDescent="0.25">
      <c r="A5048" t="s">
        <v>144</v>
      </c>
      <c r="B5048" t="str">
        <f>_xlfn.XLOOKUP($A5048,Load!$B:$B,Load!C:C,0,)</f>
        <v>Hershey's Variety Pack + Haribo</v>
      </c>
      <c r="C5048" t="str">
        <f>_xlfn.XLOOKUP($A5048,Load!$B:$B,Load!D:D,0,)</f>
        <v>Mix of Chocolate and Non-Chocolate Candy</v>
      </c>
      <c r="D5048" t="str">
        <f>_xlfn.XLOOKUP($A5048,Load!$B:$B,Load!E:E,0,)</f>
        <v>Variety / Mixed Flavors (Fruity, Sour, Seasonal Flavors)</v>
      </c>
      <c r="E5048" t="str">
        <f>_xlfn.XLOOKUP($A5048,Load!$B:$B,Load!F:F,0,)</f>
        <v>Mixed / Combo Packs (Gummy, Chewy, Taffy, etc.)</v>
      </c>
      <c r="F5048" t="str">
        <f>_xlfn.XLOOKUP($A5048,Load!$B:$B,Load!G:G,0,)</f>
        <v>Large Multipack (More than 80 ct)</v>
      </c>
      <c r="G5048" t="str">
        <f>_xlfn.XLOOKUP($A5048,Load!$B:$B,Load!H:H,0,)</f>
        <v>Stand-Up Bag</v>
      </c>
      <c r="H5048" t="str">
        <f>_xlfn.XLOOKUP($A5048,Load!$B:$B,Load!I:I,0,)</f>
        <v>Everyday Candy Shapes (like Original, Gummy bear, Fruit, Jewels, etc.)</v>
      </c>
      <c r="I5048" t="str">
        <f>_xlfn.XLOOKUP($A5048,Load!$B:$B,Load!J:J,0,)</f>
        <v>Seasonal Graphics (Like Bat, Ghost, Pumpkin, Fall Leaves, Eyeballs, etc.)</v>
      </c>
      <c r="J5048" t="str">
        <f>_xlfn.XLOOKUP($A5048,Load!$B:$B,Load!K:K,0,)</f>
        <v>Fun Size / Treat Size</v>
      </c>
      <c r="K5048" t="str">
        <f>_xlfn.XLOOKUP($A5048,Load!$B:$B,Load!L:L,0,)</f>
        <v>Regular/Original Wrapping</v>
      </c>
      <c r="L5048" t="str">
        <f>_xlfn.XLOOKUP($A5048,Load!$B:$B,Load!M:M,0,)</f>
        <v>Multiple Brands / Variety Flavors or Form</v>
      </c>
    </row>
    <row r="5049" spans="1:12" x14ac:dyDescent="0.25">
      <c r="B5049">
        <f>_xlfn.XLOOKUP($A5049,Load!$B:$B,Load!C:C,0,)</f>
        <v>0</v>
      </c>
      <c r="C5049">
        <f>_xlfn.XLOOKUP($A5049,Load!$B:$B,Load!D:D,0,)</f>
        <v>0</v>
      </c>
      <c r="D5049">
        <f>_xlfn.XLOOKUP($A5049,Load!$B:$B,Load!E:E,0,)</f>
        <v>0</v>
      </c>
      <c r="E5049">
        <f>_xlfn.XLOOKUP($A5049,Load!$B:$B,Load!F:F,0,)</f>
        <v>0</v>
      </c>
      <c r="F5049">
        <f>_xlfn.XLOOKUP($A5049,Load!$B:$B,Load!G:G,0,)</f>
        <v>0</v>
      </c>
      <c r="G5049">
        <f>_xlfn.XLOOKUP($A5049,Load!$B:$B,Load!H:H,0,)</f>
        <v>0</v>
      </c>
      <c r="H5049">
        <f>_xlfn.XLOOKUP($A5049,Load!$B:$B,Load!I:I,0,)</f>
        <v>0</v>
      </c>
      <c r="I5049">
        <f>_xlfn.XLOOKUP($A5049,Load!$B:$B,Load!J:J,0,)</f>
        <v>0</v>
      </c>
      <c r="J5049">
        <f>_xlfn.XLOOKUP($A5049,Load!$B:$B,Load!K:K,0,)</f>
        <v>0</v>
      </c>
      <c r="K5049">
        <f>_xlfn.XLOOKUP($A5049,Load!$B:$B,Load!L:L,0,)</f>
        <v>0</v>
      </c>
      <c r="L5049">
        <f>_xlfn.XLOOKUP($A5049,Load!$B:$B,Load!M:M,0,)</f>
        <v>0</v>
      </c>
    </row>
    <row r="5050" spans="1:12" x14ac:dyDescent="0.25">
      <c r="B5050">
        <f>_xlfn.XLOOKUP($A5050,Load!$B:$B,Load!C:C,0,)</f>
        <v>0</v>
      </c>
      <c r="C5050">
        <f>_xlfn.XLOOKUP($A5050,Load!$B:$B,Load!D:D,0,)</f>
        <v>0</v>
      </c>
      <c r="D5050">
        <f>_xlfn.XLOOKUP($A5050,Load!$B:$B,Load!E:E,0,)</f>
        <v>0</v>
      </c>
      <c r="E5050">
        <f>_xlfn.XLOOKUP($A5050,Load!$B:$B,Load!F:F,0,)</f>
        <v>0</v>
      </c>
      <c r="F5050">
        <f>_xlfn.XLOOKUP($A5050,Load!$B:$B,Load!G:G,0,)</f>
        <v>0</v>
      </c>
      <c r="G5050">
        <f>_xlfn.XLOOKUP($A5050,Load!$B:$B,Load!H:H,0,)</f>
        <v>0</v>
      </c>
      <c r="H5050">
        <f>_xlfn.XLOOKUP($A5050,Load!$B:$B,Load!I:I,0,)</f>
        <v>0</v>
      </c>
      <c r="I5050">
        <f>_xlfn.XLOOKUP($A5050,Load!$B:$B,Load!J:J,0,)</f>
        <v>0</v>
      </c>
      <c r="J5050">
        <f>_xlfn.XLOOKUP($A5050,Load!$B:$B,Load!K:K,0,)</f>
        <v>0</v>
      </c>
      <c r="K5050">
        <f>_xlfn.XLOOKUP($A5050,Load!$B:$B,Load!L:L,0,)</f>
        <v>0</v>
      </c>
      <c r="L5050">
        <f>_xlfn.XLOOKUP($A5050,Load!$B:$B,Load!M:M,0,)</f>
        <v>0</v>
      </c>
    </row>
    <row r="5051" spans="1:12" x14ac:dyDescent="0.25">
      <c r="B5051">
        <f>_xlfn.XLOOKUP($A5051,Load!$B:$B,Load!C:C,0,)</f>
        <v>0</v>
      </c>
      <c r="C5051">
        <f>_xlfn.XLOOKUP($A5051,Load!$B:$B,Load!D:D,0,)</f>
        <v>0</v>
      </c>
      <c r="D5051">
        <f>_xlfn.XLOOKUP($A5051,Load!$B:$B,Load!E:E,0,)</f>
        <v>0</v>
      </c>
      <c r="E5051">
        <f>_xlfn.XLOOKUP($A5051,Load!$B:$B,Load!F:F,0,)</f>
        <v>0</v>
      </c>
      <c r="F5051">
        <f>_xlfn.XLOOKUP($A5051,Load!$B:$B,Load!G:G,0,)</f>
        <v>0</v>
      </c>
      <c r="G5051">
        <f>_xlfn.XLOOKUP($A5051,Load!$B:$B,Load!H:H,0,)</f>
        <v>0</v>
      </c>
      <c r="H5051">
        <f>_xlfn.XLOOKUP($A5051,Load!$B:$B,Load!I:I,0,)</f>
        <v>0</v>
      </c>
      <c r="I5051">
        <f>_xlfn.XLOOKUP($A5051,Load!$B:$B,Load!J:J,0,)</f>
        <v>0</v>
      </c>
      <c r="J5051">
        <f>_xlfn.XLOOKUP($A5051,Load!$B:$B,Load!K:K,0,)</f>
        <v>0</v>
      </c>
      <c r="K5051">
        <f>_xlfn.XLOOKUP($A5051,Load!$B:$B,Load!L:L,0,)</f>
        <v>0</v>
      </c>
      <c r="L5051">
        <f>_xlfn.XLOOKUP($A5051,Load!$B:$B,Load!M:M,0,)</f>
        <v>0</v>
      </c>
    </row>
    <row r="5052" spans="1:12" x14ac:dyDescent="0.25">
      <c r="A5052" t="s">
        <v>289</v>
      </c>
      <c r="B5052" t="str">
        <f>_xlfn.XLOOKUP($A5052,Load!$B:$B,Load!C:C,0,)</f>
        <v>Tootsie</v>
      </c>
      <c r="C5052" t="str">
        <f>_xlfn.XLOOKUP($A5052,Load!$B:$B,Load!D:D,0,)</f>
        <v>Mix of Chocolate and Non-Chocolate Candy</v>
      </c>
      <c r="D5052" t="str">
        <f>_xlfn.XLOOKUP($A5052,Load!$B:$B,Load!E:E,0,)</f>
        <v>Variety / Mixed Flavors (Fruity, Sour, Seasonal Flavors)</v>
      </c>
      <c r="E5052" t="str">
        <f>_xlfn.XLOOKUP($A5052,Load!$B:$B,Load!F:F,0,)</f>
        <v>Mixed / Combo Packs (Gummy, Chewy, Taffy, etc.)</v>
      </c>
      <c r="F5052" t="str">
        <f>_xlfn.XLOOKUP($A5052,Load!$B:$B,Load!G:G,0,)</f>
        <v>Large Multipack (More than 80 ct)</v>
      </c>
      <c r="G5052" t="str">
        <f>_xlfn.XLOOKUP($A5052,Load!$B:$B,Load!H:H,0,)</f>
        <v>Laydown Bag</v>
      </c>
      <c r="H5052" t="str">
        <f>_xlfn.XLOOKUP($A5052,Load!$B:$B,Load!I:I,0,)</f>
        <v>Everyday Candy Shapes (like Original, Gummy bear, Fruit, Jewels, etc.)</v>
      </c>
      <c r="I5052" t="str">
        <f>_xlfn.XLOOKUP($A5052,Load!$B:$B,Load!J:J,0,)</f>
        <v>Everyday Graphics</v>
      </c>
      <c r="J5052" t="str">
        <f>_xlfn.XLOOKUP($A5052,Load!$B:$B,Load!K:K,0,)</f>
        <v xml:space="preserve">Variety Candy Sizes </v>
      </c>
      <c r="K5052" t="str">
        <f>_xlfn.XLOOKUP($A5052,Load!$B:$B,Load!L:L,0,)</f>
        <v>Regular/Original Wrapping</v>
      </c>
      <c r="L5052" t="str">
        <f>_xlfn.XLOOKUP($A5052,Load!$B:$B,Load!M:M,0,)</f>
        <v>Single Brand / Variety Flavors or Form</v>
      </c>
    </row>
    <row r="5053" spans="1:12" x14ac:dyDescent="0.25">
      <c r="A5053" t="s">
        <v>175</v>
      </c>
      <c r="B5053" t="str">
        <f>_xlfn.XLOOKUP($A5053,Load!$B:$B,Load!C:C,0,)</f>
        <v>Mars Variety Pack</v>
      </c>
      <c r="C5053" t="str">
        <f>_xlfn.XLOOKUP($A5053,Load!$B:$B,Load!D:D,0,)</f>
        <v>Mix of Chocolate and Non-Chocolate Candy</v>
      </c>
      <c r="D5053" t="str">
        <f>_xlfn.XLOOKUP($A5053,Load!$B:$B,Load!E:E,0,)</f>
        <v>Variety / Mixed Flavors (Fruity, Sour, Seasonal Flavors)</v>
      </c>
      <c r="E5053" t="str">
        <f>_xlfn.XLOOKUP($A5053,Load!$B:$B,Load!F:F,0,)</f>
        <v>Mixed / Combo Packs (Gummy, Chewy, Taffy, etc.)</v>
      </c>
      <c r="F5053" t="str">
        <f>_xlfn.XLOOKUP($A5053,Load!$B:$B,Load!G:G,0,)</f>
        <v>Large Multipack (More than 80 ct)</v>
      </c>
      <c r="G5053" t="str">
        <f>_xlfn.XLOOKUP($A5053,Load!$B:$B,Load!H:H,0,)</f>
        <v>Stand-Up Bag</v>
      </c>
      <c r="H5053" t="str">
        <f>_xlfn.XLOOKUP($A5053,Load!$B:$B,Load!I:I,0,)</f>
        <v>Everyday Candy Shapes (like Original, Gummy bear, Fruit, Jewels, etc.)</v>
      </c>
      <c r="I5053" t="str">
        <f>_xlfn.XLOOKUP($A5053,Load!$B:$B,Load!J:J,0,)</f>
        <v>Seasonal Graphics (Like Bat, Ghost, Pumpkin, Fall Leaves, Eyeballs, etc.)</v>
      </c>
      <c r="J5053" t="str">
        <f>_xlfn.XLOOKUP($A5053,Load!$B:$B,Load!K:K,0,)</f>
        <v xml:space="preserve">Variety Candy Sizes </v>
      </c>
      <c r="K5053" t="str">
        <f>_xlfn.XLOOKUP($A5053,Load!$B:$B,Load!L:L,0,)</f>
        <v>Regular/Original Wrapping</v>
      </c>
      <c r="L5053" t="str">
        <f>_xlfn.XLOOKUP($A5053,Load!$B:$B,Load!M:M,0,)</f>
        <v>Multiple Brands / Variety Flavors or Form</v>
      </c>
    </row>
    <row r="5054" spans="1:12" x14ac:dyDescent="0.25">
      <c r="B5054">
        <f>_xlfn.XLOOKUP($A5054,Load!$B:$B,Load!C:C,0,)</f>
        <v>0</v>
      </c>
      <c r="C5054">
        <f>_xlfn.XLOOKUP($A5054,Load!$B:$B,Load!D:D,0,)</f>
        <v>0</v>
      </c>
      <c r="D5054">
        <f>_xlfn.XLOOKUP($A5054,Load!$B:$B,Load!E:E,0,)</f>
        <v>0</v>
      </c>
      <c r="E5054">
        <f>_xlfn.XLOOKUP($A5054,Load!$B:$B,Load!F:F,0,)</f>
        <v>0</v>
      </c>
      <c r="F5054">
        <f>_xlfn.XLOOKUP($A5054,Load!$B:$B,Load!G:G,0,)</f>
        <v>0</v>
      </c>
      <c r="G5054">
        <f>_xlfn.XLOOKUP($A5054,Load!$B:$B,Load!H:H,0,)</f>
        <v>0</v>
      </c>
      <c r="H5054">
        <f>_xlfn.XLOOKUP($A5054,Load!$B:$B,Load!I:I,0,)</f>
        <v>0</v>
      </c>
      <c r="I5054">
        <f>_xlfn.XLOOKUP($A5054,Load!$B:$B,Load!J:J,0,)</f>
        <v>0</v>
      </c>
      <c r="J5054">
        <f>_xlfn.XLOOKUP($A5054,Load!$B:$B,Load!K:K,0,)</f>
        <v>0</v>
      </c>
      <c r="K5054">
        <f>_xlfn.XLOOKUP($A5054,Load!$B:$B,Load!L:L,0,)</f>
        <v>0</v>
      </c>
      <c r="L5054">
        <f>_xlfn.XLOOKUP($A5054,Load!$B:$B,Load!M:M,0,)</f>
        <v>0</v>
      </c>
    </row>
    <row r="5055" spans="1:12" x14ac:dyDescent="0.25">
      <c r="B5055">
        <f>_xlfn.XLOOKUP($A5055,Load!$B:$B,Load!C:C,0,)</f>
        <v>0</v>
      </c>
      <c r="C5055">
        <f>_xlfn.XLOOKUP($A5055,Load!$B:$B,Load!D:D,0,)</f>
        <v>0</v>
      </c>
      <c r="D5055">
        <f>_xlfn.XLOOKUP($A5055,Load!$B:$B,Load!E:E,0,)</f>
        <v>0</v>
      </c>
      <c r="E5055">
        <f>_xlfn.XLOOKUP($A5055,Load!$B:$B,Load!F:F,0,)</f>
        <v>0</v>
      </c>
      <c r="F5055">
        <f>_xlfn.XLOOKUP($A5055,Load!$B:$B,Load!G:G,0,)</f>
        <v>0</v>
      </c>
      <c r="G5055">
        <f>_xlfn.XLOOKUP($A5055,Load!$B:$B,Load!H:H,0,)</f>
        <v>0</v>
      </c>
      <c r="H5055">
        <f>_xlfn.XLOOKUP($A5055,Load!$B:$B,Load!I:I,0,)</f>
        <v>0</v>
      </c>
      <c r="I5055">
        <f>_xlfn.XLOOKUP($A5055,Load!$B:$B,Load!J:J,0,)</f>
        <v>0</v>
      </c>
      <c r="J5055">
        <f>_xlfn.XLOOKUP($A5055,Load!$B:$B,Load!K:K,0,)</f>
        <v>0</v>
      </c>
      <c r="K5055">
        <f>_xlfn.XLOOKUP($A5055,Load!$B:$B,Load!L:L,0,)</f>
        <v>0</v>
      </c>
      <c r="L5055">
        <f>_xlfn.XLOOKUP($A5055,Load!$B:$B,Load!M:M,0,)</f>
        <v>0</v>
      </c>
    </row>
    <row r="5056" spans="1:12" x14ac:dyDescent="0.25">
      <c r="A5056" t="s">
        <v>102</v>
      </c>
      <c r="B5056" t="str">
        <f>_xlfn.XLOOKUP($A5056,Load!$B:$B,Load!C:C,0,)</f>
        <v>Flix</v>
      </c>
      <c r="C5056" t="str">
        <f>_xlfn.XLOOKUP($A5056,Load!$B:$B,Load!D:D,0,)</f>
        <v>Non-Chocolate Candy Only</v>
      </c>
      <c r="D5056" t="str">
        <f>_xlfn.XLOOKUP($A5056,Load!$B:$B,Load!E:E,0,)</f>
        <v>Berry Based (Raspberry, Strawberry, Medley, etc.)</v>
      </c>
      <c r="E5056" t="str">
        <f>_xlfn.XLOOKUP($A5056,Load!$B:$B,Load!F:F,0,)</f>
        <v>Lollipop (regular or lollipop rings)</v>
      </c>
      <c r="F5056" t="str">
        <f>_xlfn.XLOOKUP($A5056,Load!$B:$B,Load!G:G,0,)</f>
        <v>Small Multipack (Less than 40 ct)</v>
      </c>
      <c r="G5056" t="str">
        <f>_xlfn.XLOOKUP($A5056,Load!$B:$B,Load!H:H,0,)</f>
        <v>Box (theatre box, gift box, carton)</v>
      </c>
      <c r="H5056" t="str">
        <f>_xlfn.XLOOKUP($A5056,Load!$B:$B,Load!I:I,0,)</f>
        <v>Seasonal Shapes (like pumpkins, candy corn, ghost, bats, etc.)</v>
      </c>
      <c r="I5056" t="str">
        <f>_xlfn.XLOOKUP($A5056,Load!$B:$B,Load!J:J,0,)</f>
        <v>Seasonal Graphics (Like Bat, Ghost, Pumpkin, Fall Leaves, Eyeballs, etc.)</v>
      </c>
      <c r="J5056" t="str">
        <f>_xlfn.XLOOKUP($A5056,Load!$B:$B,Load!K:K,0,)</f>
        <v>Regular Lollipop size (on sticks or rings)</v>
      </c>
      <c r="K5056" t="str">
        <f>_xlfn.XLOOKUP($A5056,Load!$B:$B,Load!L:L,0,)</f>
        <v>Regular/Original Wrapping</v>
      </c>
      <c r="L5056" t="str">
        <f>_xlfn.XLOOKUP($A5056,Load!$B:$B,Load!M:M,0,)</f>
        <v>Single Brand / Variety Flavors or Form</v>
      </c>
    </row>
    <row r="5057" spans="1:12" x14ac:dyDescent="0.25">
      <c r="A5057" t="s">
        <v>28</v>
      </c>
      <c r="B5057" t="str">
        <f>_xlfn.XLOOKUP($A5057,Load!$B:$B,Load!C:C,0,)</f>
        <v>AMOS</v>
      </c>
      <c r="C5057" t="str">
        <f>_xlfn.XLOOKUP($A5057,Load!$B:$B,Load!D:D,0,)</f>
        <v>Non-Chocolate Candy Only</v>
      </c>
      <c r="D5057" t="str">
        <f>_xlfn.XLOOKUP($A5057,Load!$B:$B,Load!E:E,0,)</f>
        <v>Sour</v>
      </c>
      <c r="E5057" t="str">
        <f>_xlfn.XLOOKUP($A5057,Load!$B:$B,Load!F:F,0,)</f>
        <v>Gummy</v>
      </c>
      <c r="F5057" t="str">
        <f>_xlfn.XLOOKUP($A5057,Load!$B:$B,Load!G:G,0,)</f>
        <v>Small Multipack (Less than 40 ct)</v>
      </c>
      <c r="G5057" t="str">
        <f>_xlfn.XLOOKUP($A5057,Load!$B:$B,Load!H:H,0,)</f>
        <v>Box (theatre box, gift box, carton)</v>
      </c>
      <c r="H5057" t="str">
        <f>_xlfn.XLOOKUP($A5057,Load!$B:$B,Load!I:I,0,)</f>
        <v>Seasonal Shapes (like pumpkins, candy corn, ghost, bats, etc.)</v>
      </c>
      <c r="I5057" t="str">
        <f>_xlfn.XLOOKUP($A5057,Load!$B:$B,Load!J:J,0,)</f>
        <v>Seasonal Graphics (Like Bat, Ghost, Pumpkin, Fall Leaves, Eyeballs, etc.)</v>
      </c>
      <c r="J5057" t="str">
        <f>_xlfn.XLOOKUP($A5057,Load!$B:$B,Load!K:K,0,)</f>
        <v>Small Pieces (Tiny bite size candies)</v>
      </c>
      <c r="K5057" t="str">
        <f>_xlfn.XLOOKUP($A5057,Load!$B:$B,Load!L:L,0,)</f>
        <v>Unwrapped</v>
      </c>
      <c r="L5057" t="str">
        <f>_xlfn.XLOOKUP($A5057,Load!$B:$B,Load!M:M,0,)</f>
        <v>Single Brand / Variety Flavors or Form</v>
      </c>
    </row>
    <row r="5058" spans="1:12" x14ac:dyDescent="0.25">
      <c r="A5058" t="s">
        <v>134</v>
      </c>
      <c r="B5058" t="str">
        <f>_xlfn.XLOOKUP($A5058,Load!$B:$B,Load!C:C,0,)</f>
        <v>Hershey's Variety Pack</v>
      </c>
      <c r="C5058" t="str">
        <f>_xlfn.XLOOKUP($A5058,Load!$B:$B,Load!D:D,0,)</f>
        <v>Non-Chocolate Candy Only</v>
      </c>
      <c r="D5058" t="str">
        <f>_xlfn.XLOOKUP($A5058,Load!$B:$B,Load!E:E,0,)</f>
        <v>Variety / Mixed Flavors (Fruity, Sour, Seasonal Flavors)</v>
      </c>
      <c r="E5058" t="str">
        <f>_xlfn.XLOOKUP($A5058,Load!$B:$B,Load!F:F,0,)</f>
        <v>Mixed / Combo Packs (Gummy, Chewy, Taffy, etc.)</v>
      </c>
      <c r="F5058" t="str">
        <f>_xlfn.XLOOKUP($A5058,Load!$B:$B,Load!G:G,0,)</f>
        <v>Large Multipack (More than 80 ct)</v>
      </c>
      <c r="G5058" t="str">
        <f>_xlfn.XLOOKUP($A5058,Load!$B:$B,Load!H:H,0,)</f>
        <v>Stand-Up Bag</v>
      </c>
      <c r="H5058" t="str">
        <f>_xlfn.XLOOKUP($A5058,Load!$B:$B,Load!I:I,0,)</f>
        <v>Everyday Candy Shapes (like Original, Gummy bear, Fruit, Jewels, etc.)</v>
      </c>
      <c r="I5058" t="str">
        <f>_xlfn.XLOOKUP($A5058,Load!$B:$B,Load!J:J,0,)</f>
        <v>Seasonal Graphics (Like Bat, Ghost, Pumpkin, Fall Leaves, Eyeballs, etc.)</v>
      </c>
      <c r="J5058" t="str">
        <f>_xlfn.XLOOKUP($A5058,Load!$B:$B,Load!K:K,0,)</f>
        <v xml:space="preserve">Variety Candy Sizes </v>
      </c>
      <c r="K5058" t="str">
        <f>_xlfn.XLOOKUP($A5058,Load!$B:$B,Load!L:L,0,)</f>
        <v>Regular/Original Wrapping</v>
      </c>
      <c r="L5058" t="str">
        <f>_xlfn.XLOOKUP($A5058,Load!$B:$B,Load!M:M,0,)</f>
        <v>Multiple Brands / Variety Flavors or Form</v>
      </c>
    </row>
    <row r="5059" spans="1:12" x14ac:dyDescent="0.25">
      <c r="B5059">
        <f>_xlfn.XLOOKUP($A5059,Load!$B:$B,Load!C:C,0,)</f>
        <v>0</v>
      </c>
      <c r="C5059">
        <f>_xlfn.XLOOKUP($A5059,Load!$B:$B,Load!D:D,0,)</f>
        <v>0</v>
      </c>
      <c r="D5059">
        <f>_xlfn.XLOOKUP($A5059,Load!$B:$B,Load!E:E,0,)</f>
        <v>0</v>
      </c>
      <c r="E5059">
        <f>_xlfn.XLOOKUP($A5059,Load!$B:$B,Load!F:F,0,)</f>
        <v>0</v>
      </c>
      <c r="F5059">
        <f>_xlfn.XLOOKUP($A5059,Load!$B:$B,Load!G:G,0,)</f>
        <v>0</v>
      </c>
      <c r="G5059">
        <f>_xlfn.XLOOKUP($A5059,Load!$B:$B,Load!H:H,0,)</f>
        <v>0</v>
      </c>
      <c r="H5059">
        <f>_xlfn.XLOOKUP($A5059,Load!$B:$B,Load!I:I,0,)</f>
        <v>0</v>
      </c>
      <c r="I5059">
        <f>_xlfn.XLOOKUP($A5059,Load!$B:$B,Load!J:J,0,)</f>
        <v>0</v>
      </c>
      <c r="J5059">
        <f>_xlfn.XLOOKUP($A5059,Load!$B:$B,Load!K:K,0,)</f>
        <v>0</v>
      </c>
      <c r="K5059">
        <f>_xlfn.XLOOKUP($A5059,Load!$B:$B,Load!L:L,0,)</f>
        <v>0</v>
      </c>
      <c r="L5059">
        <f>_xlfn.XLOOKUP($A5059,Load!$B:$B,Load!M:M,0,)</f>
        <v>0</v>
      </c>
    </row>
    <row r="5060" spans="1:12" x14ac:dyDescent="0.25">
      <c r="A5060" t="s">
        <v>47</v>
      </c>
      <c r="B5060" t="str">
        <f>_xlfn.XLOOKUP($A5060,Load!$B:$B,Load!C:C,0,)</f>
        <v>Brach's</v>
      </c>
      <c r="C5060" t="str">
        <f>_xlfn.XLOOKUP($A5060,Load!$B:$B,Load!D:D,0,)</f>
        <v>Non-Chocolate Candy Only</v>
      </c>
      <c r="D5060" t="str">
        <f>_xlfn.XLOOKUP($A5060,Load!$B:$B,Load!E:E,0,)</f>
        <v>Fall / Seasonal Flavors (pumpkin spice, caramel apple, candy corn)</v>
      </c>
      <c r="E5060" t="str">
        <f>_xlfn.XLOOKUP($A5060,Load!$B:$B,Load!F:F,0,)</f>
        <v>Candy Pieces / Bites</v>
      </c>
      <c r="F5060" t="str">
        <f>_xlfn.XLOOKUP($A5060,Load!$B:$B,Load!G:G,0,)</f>
        <v>Single Pack</v>
      </c>
      <c r="G5060" t="str">
        <f>_xlfn.XLOOKUP($A5060,Load!$B:$B,Load!H:H,0,)</f>
        <v>Stand-Up Bag</v>
      </c>
      <c r="H5060" t="str">
        <f>_xlfn.XLOOKUP($A5060,Load!$B:$B,Load!I:I,0,)</f>
        <v>Seasonal Shapes (like pumpkins, candy corn, ghost, bats, etc.)</v>
      </c>
      <c r="I5060" t="str">
        <f>_xlfn.XLOOKUP($A5060,Load!$B:$B,Load!J:J,0,)</f>
        <v>Seasonal Graphics (Like Bat, Ghost, Pumpkin, Fall Leaves, Eyeballs, etc.)</v>
      </c>
      <c r="J5060" t="str">
        <f>_xlfn.XLOOKUP($A5060,Load!$B:$B,Load!K:K,0,)</f>
        <v>Small Pieces (Tiny bite size candies)</v>
      </c>
      <c r="K5060" t="str">
        <f>_xlfn.XLOOKUP($A5060,Load!$B:$B,Load!L:L,0,)</f>
        <v>Unwrapped</v>
      </c>
      <c r="L5060" t="str">
        <f>_xlfn.XLOOKUP($A5060,Load!$B:$B,Load!M:M,0,)</f>
        <v>Single Brand / Variety Flavors or Form</v>
      </c>
    </row>
    <row r="5061" spans="1:12" x14ac:dyDescent="0.25">
      <c r="B5061">
        <f>_xlfn.XLOOKUP($A5061,Load!$B:$B,Load!C:C,0,)</f>
        <v>0</v>
      </c>
      <c r="C5061">
        <f>_xlfn.XLOOKUP($A5061,Load!$B:$B,Load!D:D,0,)</f>
        <v>0</v>
      </c>
      <c r="D5061">
        <f>_xlfn.XLOOKUP($A5061,Load!$B:$B,Load!E:E,0,)</f>
        <v>0</v>
      </c>
      <c r="E5061">
        <f>_xlfn.XLOOKUP($A5061,Load!$B:$B,Load!F:F,0,)</f>
        <v>0</v>
      </c>
      <c r="F5061">
        <f>_xlfn.XLOOKUP($A5061,Load!$B:$B,Load!G:G,0,)</f>
        <v>0</v>
      </c>
      <c r="G5061">
        <f>_xlfn.XLOOKUP($A5061,Load!$B:$B,Load!H:H,0,)</f>
        <v>0</v>
      </c>
      <c r="H5061">
        <f>_xlfn.XLOOKUP($A5061,Load!$B:$B,Load!I:I,0,)</f>
        <v>0</v>
      </c>
      <c r="I5061">
        <f>_xlfn.XLOOKUP($A5061,Load!$B:$B,Load!J:J,0,)</f>
        <v>0</v>
      </c>
      <c r="J5061">
        <f>_xlfn.XLOOKUP($A5061,Load!$B:$B,Load!K:K,0,)</f>
        <v>0</v>
      </c>
      <c r="K5061">
        <f>_xlfn.XLOOKUP($A5061,Load!$B:$B,Load!L:L,0,)</f>
        <v>0</v>
      </c>
      <c r="L5061">
        <f>_xlfn.XLOOKUP($A5061,Load!$B:$B,Load!M:M,0,)</f>
        <v>0</v>
      </c>
    </row>
    <row r="5062" spans="1:12" x14ac:dyDescent="0.25">
      <c r="A5062" t="s">
        <v>235</v>
      </c>
      <c r="B5062" t="str">
        <f>_xlfn.XLOOKUP($A5062,Load!$B:$B,Load!C:C,0,)</f>
        <v>Nerds</v>
      </c>
      <c r="C5062" t="str">
        <f>_xlfn.XLOOKUP($A5062,Load!$B:$B,Load!D:D,0,)</f>
        <v>Non-Chocolate Candy Only</v>
      </c>
      <c r="D5062" t="str">
        <f>_xlfn.XLOOKUP($A5062,Load!$B:$B,Load!E:E,0,)</f>
        <v>Variety / Mixed Flavors (Fruity, Sour, Seasonal Flavors)</v>
      </c>
      <c r="E5062" t="str">
        <f>_xlfn.XLOOKUP($A5062,Load!$B:$B,Load!F:F,0,)</f>
        <v>Candy Pieces / Bites</v>
      </c>
      <c r="F5062" t="str">
        <f>_xlfn.XLOOKUP($A5062,Load!$B:$B,Load!G:G,0,)</f>
        <v>Small Multipack (Less than 40 ct)</v>
      </c>
      <c r="G5062" t="str">
        <f>_xlfn.XLOOKUP($A5062,Load!$B:$B,Load!H:H,0,)</f>
        <v>Peg Bag</v>
      </c>
      <c r="H5062" t="str">
        <f>_xlfn.XLOOKUP($A5062,Load!$B:$B,Load!I:I,0,)</f>
        <v>Everyday Candy Shapes (like Original, Gummy bear, Fruit, Jewels, etc.)</v>
      </c>
      <c r="I5062" t="str">
        <f>_xlfn.XLOOKUP($A5062,Load!$B:$B,Load!J:J,0,)</f>
        <v>Everyday Graphics</v>
      </c>
      <c r="J5062" t="str">
        <f>_xlfn.XLOOKUP($A5062,Load!$B:$B,Load!K:K,0,)</f>
        <v>Small Pieces (Tiny bite size candies)</v>
      </c>
      <c r="K5062" t="str">
        <f>_xlfn.XLOOKUP($A5062,Load!$B:$B,Load!L:L,0,)</f>
        <v>Unwrapped</v>
      </c>
      <c r="L5062" t="str">
        <f>_xlfn.XLOOKUP($A5062,Load!$B:$B,Load!M:M,0,)</f>
        <v>Single Brand / Variety Flavors or Form</v>
      </c>
    </row>
    <row r="5063" spans="1:12" x14ac:dyDescent="0.25">
      <c r="B5063">
        <f>_xlfn.XLOOKUP($A5063,Load!$B:$B,Load!C:C,0,)</f>
        <v>0</v>
      </c>
      <c r="C5063">
        <f>_xlfn.XLOOKUP($A5063,Load!$B:$B,Load!D:D,0,)</f>
        <v>0</v>
      </c>
      <c r="D5063">
        <f>_xlfn.XLOOKUP($A5063,Load!$B:$B,Load!E:E,0,)</f>
        <v>0</v>
      </c>
      <c r="E5063">
        <f>_xlfn.XLOOKUP($A5063,Load!$B:$B,Load!F:F,0,)</f>
        <v>0</v>
      </c>
      <c r="F5063">
        <f>_xlfn.XLOOKUP($A5063,Load!$B:$B,Load!G:G,0,)</f>
        <v>0</v>
      </c>
      <c r="G5063">
        <f>_xlfn.XLOOKUP($A5063,Load!$B:$B,Load!H:H,0,)</f>
        <v>0</v>
      </c>
      <c r="H5063">
        <f>_xlfn.XLOOKUP($A5063,Load!$B:$B,Load!I:I,0,)</f>
        <v>0</v>
      </c>
      <c r="I5063">
        <f>_xlfn.XLOOKUP($A5063,Load!$B:$B,Load!J:J,0,)</f>
        <v>0</v>
      </c>
      <c r="J5063">
        <f>_xlfn.XLOOKUP($A5063,Load!$B:$B,Load!K:K,0,)</f>
        <v>0</v>
      </c>
      <c r="K5063">
        <f>_xlfn.XLOOKUP($A5063,Load!$B:$B,Load!L:L,0,)</f>
        <v>0</v>
      </c>
      <c r="L5063">
        <f>_xlfn.XLOOKUP($A5063,Load!$B:$B,Load!M:M,0,)</f>
        <v>0</v>
      </c>
    </row>
    <row r="5064" spans="1:12" x14ac:dyDescent="0.25">
      <c r="A5064" t="s">
        <v>31</v>
      </c>
      <c r="B5064" t="str">
        <f>_xlfn.XLOOKUP($A5064,Load!$B:$B,Load!C:C,0,)</f>
        <v>AMOS</v>
      </c>
      <c r="C5064" t="str">
        <f>_xlfn.XLOOKUP($A5064,Load!$B:$B,Load!D:D,0,)</f>
        <v>Non-Chocolate Candy Only</v>
      </c>
      <c r="D5064" t="str">
        <f>_xlfn.XLOOKUP($A5064,Load!$B:$B,Load!E:E,0,)</f>
        <v>Berry Based (Raspberry, Strawberry, Medley, etc.)</v>
      </c>
      <c r="E5064" t="str">
        <f>_xlfn.XLOOKUP($A5064,Load!$B:$B,Load!F:F,0,)</f>
        <v>Gummy</v>
      </c>
      <c r="F5064" t="str">
        <f>_xlfn.XLOOKUP($A5064,Load!$B:$B,Load!G:G,0,)</f>
        <v>Medium Multipack (40–80 ct)</v>
      </c>
      <c r="G5064" t="str">
        <f>_xlfn.XLOOKUP($A5064,Load!$B:$B,Load!H:H,0,)</f>
        <v>Laydown Bag</v>
      </c>
      <c r="H5064" t="str">
        <f>_xlfn.XLOOKUP($A5064,Load!$B:$B,Load!I:I,0,)</f>
        <v>Seasonal Shapes (like pumpkins, candy corn, ghost, bats, etc.)</v>
      </c>
      <c r="I5064" t="str">
        <f>_xlfn.XLOOKUP($A5064,Load!$B:$B,Load!J:J,0,)</f>
        <v>Seasonal Graphics (Like Bat, Ghost, Pumpkin, Fall Leaves, Eyeballs, etc.)</v>
      </c>
      <c r="J5064" t="str">
        <f>_xlfn.XLOOKUP($A5064,Load!$B:$B,Load!K:K,0,)</f>
        <v>Small Pieces (Tiny bite size candies)</v>
      </c>
      <c r="K5064" t="str">
        <f>_xlfn.XLOOKUP($A5064,Load!$B:$B,Load!L:L,0,)</f>
        <v>Unwrapped</v>
      </c>
      <c r="L5064" t="str">
        <f>_xlfn.XLOOKUP($A5064,Load!$B:$B,Load!M:M,0,)</f>
        <v>Single Brand / Variety Flavors or Form</v>
      </c>
    </row>
    <row r="5065" spans="1:12" x14ac:dyDescent="0.25">
      <c r="B5065">
        <f>_xlfn.XLOOKUP($A5065,Load!$B:$B,Load!C:C,0,)</f>
        <v>0</v>
      </c>
      <c r="C5065">
        <f>_xlfn.XLOOKUP($A5065,Load!$B:$B,Load!D:D,0,)</f>
        <v>0</v>
      </c>
      <c r="D5065">
        <f>_xlfn.XLOOKUP($A5065,Load!$B:$B,Load!E:E,0,)</f>
        <v>0</v>
      </c>
      <c r="E5065">
        <f>_xlfn.XLOOKUP($A5065,Load!$B:$B,Load!F:F,0,)</f>
        <v>0</v>
      </c>
      <c r="F5065">
        <f>_xlfn.XLOOKUP($A5065,Load!$B:$B,Load!G:G,0,)</f>
        <v>0</v>
      </c>
      <c r="G5065">
        <f>_xlfn.XLOOKUP($A5065,Load!$B:$B,Load!H:H,0,)</f>
        <v>0</v>
      </c>
      <c r="H5065">
        <f>_xlfn.XLOOKUP($A5065,Load!$B:$B,Load!I:I,0,)</f>
        <v>0</v>
      </c>
      <c r="I5065">
        <f>_xlfn.XLOOKUP($A5065,Load!$B:$B,Load!J:J,0,)</f>
        <v>0</v>
      </c>
      <c r="J5065">
        <f>_xlfn.XLOOKUP($A5065,Load!$B:$B,Load!K:K,0,)</f>
        <v>0</v>
      </c>
      <c r="K5065">
        <f>_xlfn.XLOOKUP($A5065,Load!$B:$B,Load!L:L,0,)</f>
        <v>0</v>
      </c>
      <c r="L5065">
        <f>_xlfn.XLOOKUP($A5065,Load!$B:$B,Load!M:M,0,)</f>
        <v>0</v>
      </c>
    </row>
    <row r="5066" spans="1:12" x14ac:dyDescent="0.25">
      <c r="A5066" t="s">
        <v>2</v>
      </c>
      <c r="B5066" t="str">
        <f>_xlfn.XLOOKUP($A5066,Load!$B:$B,Load!C:C,0,)</f>
        <v>Airheads</v>
      </c>
      <c r="C5066" t="str">
        <f>_xlfn.XLOOKUP($A5066,Load!$B:$B,Load!D:D,0,)</f>
        <v>Non-Chocolate Candy Only</v>
      </c>
      <c r="D5066" t="str">
        <f>_xlfn.XLOOKUP($A5066,Load!$B:$B,Load!E:E,0,)</f>
        <v>Variety / Mixed Flavors (Fruity, Sour, Seasonal Flavors)</v>
      </c>
      <c r="E5066" t="str">
        <f>_xlfn.XLOOKUP($A5066,Load!$B:$B,Load!F:F,0,)</f>
        <v>Chewy</v>
      </c>
      <c r="F5066" t="str">
        <f>_xlfn.XLOOKUP($A5066,Load!$B:$B,Load!G:G,0,)</f>
        <v>Medium Multipack (40–80 ct)</v>
      </c>
      <c r="G5066" t="str">
        <f>_xlfn.XLOOKUP($A5066,Load!$B:$B,Load!H:H,0,)</f>
        <v>Box (theatre box, gift box, carton)</v>
      </c>
      <c r="H5066" t="str">
        <f>_xlfn.XLOOKUP($A5066,Load!$B:$B,Load!I:I,0,)</f>
        <v>Everyday Candy Shapes (like Original, Gummy bear, Fruit, Jewels, etc.)</v>
      </c>
      <c r="I5066" t="str">
        <f>_xlfn.XLOOKUP($A5066,Load!$B:$B,Load!J:J,0,)</f>
        <v>Seasonal Graphics (Like Bat, Ghost, Pumpkin, Fall Leaves, Eyeballs, etc.)</v>
      </c>
      <c r="J5066" t="str">
        <f>_xlfn.XLOOKUP($A5066,Load!$B:$B,Load!K:K,0,)</f>
        <v>Fun Size / Treat Size</v>
      </c>
      <c r="K5066" t="str">
        <f>_xlfn.XLOOKUP($A5066,Load!$B:$B,Load!L:L,0,)</f>
        <v>Regular/Original Wrapping</v>
      </c>
      <c r="L5066" t="str">
        <f>_xlfn.XLOOKUP($A5066,Load!$B:$B,Load!M:M,0,)</f>
        <v>Single Brand / Variety Flavors or Form</v>
      </c>
    </row>
    <row r="5067" spans="1:12" x14ac:dyDescent="0.25">
      <c r="A5067" t="s">
        <v>200</v>
      </c>
      <c r="B5067" t="str">
        <f>_xlfn.XLOOKUP($A5067,Load!$B:$B,Load!C:C,0,)</f>
        <v>Mars Variety Pack</v>
      </c>
      <c r="C5067" t="str">
        <f>_xlfn.XLOOKUP($A5067,Load!$B:$B,Load!D:D,0,)</f>
        <v>Non-Chocolate Candy Only</v>
      </c>
      <c r="D5067" t="str">
        <f>_xlfn.XLOOKUP($A5067,Load!$B:$B,Load!E:E,0,)</f>
        <v>Variety / Mixed Flavors (Fruity, Sour, Seasonal Flavors)</v>
      </c>
      <c r="E5067" t="str">
        <f>_xlfn.XLOOKUP($A5067,Load!$B:$B,Load!F:F,0,)</f>
        <v>Mixed / Combo Packs (Gummy, Chewy, Taffy, etc.)</v>
      </c>
      <c r="F5067" t="str">
        <f>_xlfn.XLOOKUP($A5067,Load!$B:$B,Load!G:G,0,)</f>
        <v>Small Multipack (Less than 40 ct)</v>
      </c>
      <c r="G5067" t="str">
        <f>_xlfn.XLOOKUP($A5067,Load!$B:$B,Load!H:H,0,)</f>
        <v>Box (theatre box, gift box, carton)</v>
      </c>
      <c r="H5067" t="str">
        <f>_xlfn.XLOOKUP($A5067,Load!$B:$B,Load!I:I,0,)</f>
        <v>Everyday Candy Shapes (like Original, Gummy bear, Fruit, Jewels, etc.)</v>
      </c>
      <c r="I5067" t="str">
        <f>_xlfn.XLOOKUP($A5067,Load!$B:$B,Load!J:J,0,)</f>
        <v>Seasonal Graphics (Like Bat, Ghost, Pumpkin, Fall Leaves, Eyeballs, etc.)</v>
      </c>
      <c r="J5067" t="str">
        <f>_xlfn.XLOOKUP($A5067,Load!$B:$B,Load!K:K,0,)</f>
        <v>Small Pieces (Tiny bite size candies)</v>
      </c>
      <c r="K5067" t="str">
        <f>_xlfn.XLOOKUP($A5067,Load!$B:$B,Load!L:L,0,)</f>
        <v>Regular/Original Wrapping</v>
      </c>
      <c r="L5067" t="str">
        <f>_xlfn.XLOOKUP($A5067,Load!$B:$B,Load!M:M,0,)</f>
        <v>Multiple Brands / Variety Flavors or Form</v>
      </c>
    </row>
    <row r="5068" spans="1:12" x14ac:dyDescent="0.25">
      <c r="A5068" t="s">
        <v>232</v>
      </c>
      <c r="B5068" t="str">
        <f>_xlfn.XLOOKUP($A5068,Load!$B:$B,Load!C:C,0,)</f>
        <v>Nerds</v>
      </c>
      <c r="C5068" t="str">
        <f>_xlfn.XLOOKUP($A5068,Load!$B:$B,Load!D:D,0,)</f>
        <v>Non-Chocolate Candy Only</v>
      </c>
      <c r="D5068" t="str">
        <f>_xlfn.XLOOKUP($A5068,Load!$B:$B,Load!E:E,0,)</f>
        <v>Berry Based (Raspberry, Strawberry, Medley, etc.)</v>
      </c>
      <c r="E5068" t="str">
        <f>_xlfn.XLOOKUP($A5068,Load!$B:$B,Load!F:F,0,)</f>
        <v>Candy Pieces / Bites</v>
      </c>
      <c r="F5068" t="str">
        <f>_xlfn.XLOOKUP($A5068,Load!$B:$B,Load!G:G,0,)</f>
        <v>Single Pack</v>
      </c>
      <c r="G5068" t="str">
        <f>_xlfn.XLOOKUP($A5068,Load!$B:$B,Load!H:H,0,)</f>
        <v>Laydown Bag</v>
      </c>
      <c r="H5068" t="str">
        <f>_xlfn.XLOOKUP($A5068,Load!$B:$B,Load!I:I,0,)</f>
        <v>Everyday Candy Shapes (like Original, Gummy bear, Fruit, Jewels, etc.)</v>
      </c>
      <c r="I5068" t="str">
        <f>_xlfn.XLOOKUP($A5068,Load!$B:$B,Load!J:J,0,)</f>
        <v>Seasonal Graphics (Like Bat, Ghost, Pumpkin, Fall Leaves, Eyeballs, etc.)</v>
      </c>
      <c r="J5068" t="str">
        <f>_xlfn.XLOOKUP($A5068,Load!$B:$B,Load!K:K,0,)</f>
        <v>Small Pieces (Tiny bite size candies)</v>
      </c>
      <c r="K5068" t="str">
        <f>_xlfn.XLOOKUP($A5068,Load!$B:$B,Load!L:L,0,)</f>
        <v>Unwrapped</v>
      </c>
      <c r="L5068" t="str">
        <f>_xlfn.XLOOKUP($A5068,Load!$B:$B,Load!M:M,0,)</f>
        <v>Single Brand / Variety Flavors or Form</v>
      </c>
    </row>
    <row r="5069" spans="1:12" x14ac:dyDescent="0.25">
      <c r="A5069" t="s">
        <v>462</v>
      </c>
      <c r="B5069" t="str">
        <f>_xlfn.XLOOKUP($A5069,Load!$B:$B,Load!C:C,0,)</f>
        <v>Trolli</v>
      </c>
      <c r="C5069" t="str">
        <f>_xlfn.XLOOKUP($A5069,Load!$B:$B,Load!D:D,0,)</f>
        <v>Non-Chocolate Candy Only</v>
      </c>
      <c r="D5069" t="str">
        <f>_xlfn.XLOOKUP($A5069,Load!$B:$B,Load!E:E,0,)</f>
        <v>Sour</v>
      </c>
      <c r="E5069" t="str">
        <f>_xlfn.XLOOKUP($A5069,Load!$B:$B,Load!F:F,0,)</f>
        <v>Gummy</v>
      </c>
      <c r="F5069" t="str">
        <f>_xlfn.XLOOKUP($A5069,Load!$B:$B,Load!G:G,0,)</f>
        <v>Small Multipack (Less than 40 ct)</v>
      </c>
      <c r="G5069" t="str">
        <f>_xlfn.XLOOKUP($A5069,Load!$B:$B,Load!H:H,0,)</f>
        <v>Laydown Bag</v>
      </c>
      <c r="H5069" t="str">
        <f>_xlfn.XLOOKUP($A5069,Load!$B:$B,Load!I:I,0,)</f>
        <v>Seasonal Shapes (like pumpkins, candy corn, ghost, bats, etc.)</v>
      </c>
      <c r="I5069" t="str">
        <f>_xlfn.XLOOKUP($A5069,Load!$B:$B,Load!J:J,0,)</f>
        <v>Seasonal Graphics (Like Bat, Ghost, Pumpkin, Fall Leaves, Eyeballs, etc.)</v>
      </c>
      <c r="J5069" t="str">
        <f>_xlfn.XLOOKUP($A5069,Load!$B:$B,Load!K:K,0,)</f>
        <v>Fun Size / Treat Size</v>
      </c>
      <c r="K5069" t="str">
        <f>_xlfn.XLOOKUP($A5069,Load!$B:$B,Load!L:L,0,)</f>
        <v>Regular/Original Wrapping</v>
      </c>
      <c r="L5069" t="str">
        <f>_xlfn.XLOOKUP($A5069,Load!$B:$B,Load!M:M,0,)</f>
        <v>Single Brand / Variety Flavors or Form</v>
      </c>
    </row>
    <row r="5070" spans="1:12" x14ac:dyDescent="0.25">
      <c r="A5070" t="s">
        <v>50</v>
      </c>
      <c r="B5070" t="str">
        <f>_xlfn.XLOOKUP($A5070,Load!$B:$B,Load!C:C,0,)</f>
        <v>Brach's</v>
      </c>
      <c r="C5070" t="str">
        <f>_xlfn.XLOOKUP($A5070,Load!$B:$B,Load!D:D,0,)</f>
        <v>Non-Chocolate Candy Only</v>
      </c>
      <c r="D5070" t="str">
        <f>_xlfn.XLOOKUP($A5070,Load!$B:$B,Load!E:E,0,)</f>
        <v>Fall / Seasonal Flavors (pumpkin spice, caramel apple, candy corn)</v>
      </c>
      <c r="E5070" t="str">
        <f>_xlfn.XLOOKUP($A5070,Load!$B:$B,Load!F:F,0,)</f>
        <v>Candy Pieces / Bites</v>
      </c>
      <c r="F5070" t="str">
        <f>_xlfn.XLOOKUP($A5070,Load!$B:$B,Load!G:G,0,)</f>
        <v>Small Multipack (Less than 40 ct)</v>
      </c>
      <c r="G5070" t="str">
        <f>_xlfn.XLOOKUP($A5070,Load!$B:$B,Load!H:H,0,)</f>
        <v>Laydown Bag</v>
      </c>
      <c r="H5070" t="str">
        <f>_xlfn.XLOOKUP($A5070,Load!$B:$B,Load!I:I,0,)</f>
        <v>Seasonal Shapes (like pumpkins, candy corn, ghost, bats, etc.)</v>
      </c>
      <c r="I5070" t="str">
        <f>_xlfn.XLOOKUP($A5070,Load!$B:$B,Load!J:J,0,)</f>
        <v>Seasonal Graphics (Like Bat, Ghost, Pumpkin, Fall Leaves, Eyeballs, etc.)</v>
      </c>
      <c r="J5070" t="str">
        <f>_xlfn.XLOOKUP($A5070,Load!$B:$B,Load!K:K,0,)</f>
        <v>Small Pieces (Tiny bite size candies)</v>
      </c>
      <c r="K5070" t="str">
        <f>_xlfn.XLOOKUP($A5070,Load!$B:$B,Load!L:L,0,)</f>
        <v>Unwrapped</v>
      </c>
      <c r="L5070" t="str">
        <f>_xlfn.XLOOKUP($A5070,Load!$B:$B,Load!M:M,0,)</f>
        <v>Single Brand / Single Flavor or Form</v>
      </c>
    </row>
    <row r="5071" spans="1:12" x14ac:dyDescent="0.25">
      <c r="A5071" t="s">
        <v>243</v>
      </c>
      <c r="B5071" t="str">
        <f>_xlfn.XLOOKUP($A5071,Load!$B:$B,Load!C:C,0,)</f>
        <v>Peeps</v>
      </c>
      <c r="C5071" t="str">
        <f>_xlfn.XLOOKUP($A5071,Load!$B:$B,Load!D:D,0,)</f>
        <v>Non-Chocolate Candy Only</v>
      </c>
      <c r="D5071" t="str">
        <f>_xlfn.XLOOKUP($A5071,Load!$B:$B,Load!E:E,0,)</f>
        <v>Fall / Seasonal Flavors (pumpkin spice, caramel apple, candy corn)</v>
      </c>
      <c r="E5071" t="str">
        <f>_xlfn.XLOOKUP($A5071,Load!$B:$B,Load!F:F,0,)</f>
        <v>Foamy / Aerated / Freeze Dried</v>
      </c>
      <c r="F5071" t="str">
        <f>_xlfn.XLOOKUP($A5071,Load!$B:$B,Load!G:G,0,)</f>
        <v>Single Pack</v>
      </c>
      <c r="G5071" t="str">
        <f>_xlfn.XLOOKUP($A5071,Load!$B:$B,Load!H:H,0,)</f>
        <v>Box (theatre box, gift box, carton)</v>
      </c>
      <c r="H5071" t="str">
        <f>_xlfn.XLOOKUP($A5071,Load!$B:$B,Load!I:I,0,)</f>
        <v>Seasonal Shapes (like pumpkins, candy corn, ghost, bats, etc.)</v>
      </c>
      <c r="I5071" t="str">
        <f>_xlfn.XLOOKUP($A5071,Load!$B:$B,Load!J:J,0,)</f>
        <v>Seasonal Graphics (Like Bat, Ghost, Pumpkin, Fall Leaves, Eyeballs, etc.)</v>
      </c>
      <c r="J5071" t="str">
        <f>_xlfn.XLOOKUP($A5071,Load!$B:$B,Load!K:K,0,)</f>
        <v>Fun Size / Treat Size</v>
      </c>
      <c r="K5071" t="str">
        <f>_xlfn.XLOOKUP($A5071,Load!$B:$B,Load!L:L,0,)</f>
        <v>Unwrapped</v>
      </c>
      <c r="L5071" t="str">
        <f>_xlfn.XLOOKUP($A5071,Load!$B:$B,Load!M:M,0,)</f>
        <v>Single Brand / Single Flavor or Form</v>
      </c>
    </row>
    <row r="5072" spans="1:12" x14ac:dyDescent="0.25">
      <c r="A5072" t="s">
        <v>246</v>
      </c>
      <c r="B5072" t="str">
        <f>_xlfn.XLOOKUP($A5072,Load!$B:$B,Load!C:C,0,)</f>
        <v>Ring Pop</v>
      </c>
      <c r="C5072" t="str">
        <f>_xlfn.XLOOKUP($A5072,Load!$B:$B,Load!D:D,0,)</f>
        <v>Non-Chocolate Candy Only</v>
      </c>
      <c r="D5072" t="str">
        <f>_xlfn.XLOOKUP($A5072,Load!$B:$B,Load!E:E,0,)</f>
        <v>Variety / Mixed Flavors (Fruity, Sour, Seasonal Flavors)</v>
      </c>
      <c r="E5072" t="str">
        <f>_xlfn.XLOOKUP($A5072,Load!$B:$B,Load!F:F,0,)</f>
        <v>Lollipop (regular or lollipop rings)</v>
      </c>
      <c r="F5072" t="str">
        <f>_xlfn.XLOOKUP($A5072,Load!$B:$B,Load!G:G,0,)</f>
        <v>Single Pack</v>
      </c>
      <c r="G5072" t="str">
        <f>_xlfn.XLOOKUP($A5072,Load!$B:$B,Load!H:H,0,)</f>
        <v>Laydown Bag</v>
      </c>
      <c r="H5072" t="str">
        <f>_xlfn.XLOOKUP($A5072,Load!$B:$B,Load!I:I,0,)</f>
        <v>Everyday Candy Shapes (like Original, Gummy bear, Fruit, Jewels, etc.)</v>
      </c>
      <c r="I5072" t="str">
        <f>_xlfn.XLOOKUP($A5072,Load!$B:$B,Load!J:J,0,)</f>
        <v>Seasonal Graphics (Like Bat, Ghost, Pumpkin, Fall Leaves, Eyeballs, etc.)</v>
      </c>
      <c r="J5072" t="str">
        <f>_xlfn.XLOOKUP($A5072,Load!$B:$B,Load!K:K,0,)</f>
        <v>Regular Lollipop size (on sticks or rings)</v>
      </c>
      <c r="K5072" t="str">
        <f>_xlfn.XLOOKUP($A5072,Load!$B:$B,Load!L:L,0,)</f>
        <v>Regular/Original Wrapping</v>
      </c>
      <c r="L5072" t="str">
        <f>_xlfn.XLOOKUP($A5072,Load!$B:$B,Load!M:M,0,)</f>
        <v>Single Brand / Variety Flavors or Form</v>
      </c>
    </row>
    <row r="5073" spans="1:12" x14ac:dyDescent="0.25">
      <c r="B5073">
        <f>_xlfn.XLOOKUP($A5073,Load!$B:$B,Load!C:C,0,)</f>
        <v>0</v>
      </c>
      <c r="C5073">
        <f>_xlfn.XLOOKUP($A5073,Load!$B:$B,Load!D:D,0,)</f>
        <v>0</v>
      </c>
      <c r="D5073">
        <f>_xlfn.XLOOKUP($A5073,Load!$B:$B,Load!E:E,0,)</f>
        <v>0</v>
      </c>
      <c r="E5073">
        <f>_xlfn.XLOOKUP($A5073,Load!$B:$B,Load!F:F,0,)</f>
        <v>0</v>
      </c>
      <c r="F5073">
        <f>_xlfn.XLOOKUP($A5073,Load!$B:$B,Load!G:G,0,)</f>
        <v>0</v>
      </c>
      <c r="G5073">
        <f>_xlfn.XLOOKUP($A5073,Load!$B:$B,Load!H:H,0,)</f>
        <v>0</v>
      </c>
      <c r="H5073">
        <f>_xlfn.XLOOKUP($A5073,Load!$B:$B,Load!I:I,0,)</f>
        <v>0</v>
      </c>
      <c r="I5073">
        <f>_xlfn.XLOOKUP($A5073,Load!$B:$B,Load!J:J,0,)</f>
        <v>0</v>
      </c>
      <c r="J5073">
        <f>_xlfn.XLOOKUP($A5073,Load!$B:$B,Load!K:K,0,)</f>
        <v>0</v>
      </c>
      <c r="K5073">
        <f>_xlfn.XLOOKUP($A5073,Load!$B:$B,Load!L:L,0,)</f>
        <v>0</v>
      </c>
      <c r="L5073">
        <f>_xlfn.XLOOKUP($A5073,Load!$B:$B,Load!M:M,0,)</f>
        <v>0</v>
      </c>
    </row>
    <row r="5074" spans="1:12" x14ac:dyDescent="0.25">
      <c r="A5074" t="s">
        <v>249</v>
      </c>
      <c r="B5074" t="str">
        <f>_xlfn.XLOOKUP($A5074,Load!$B:$B,Load!C:C,0,)</f>
        <v>Rolling Pin</v>
      </c>
      <c r="C5074" t="str">
        <f>_xlfn.XLOOKUP($A5074,Load!$B:$B,Load!D:D,0,)</f>
        <v>Non-Chocolate Candy Only</v>
      </c>
      <c r="D5074" t="str">
        <f>_xlfn.XLOOKUP($A5074,Load!$B:$B,Load!E:E,0,)</f>
        <v>Fall / Seasonal Flavors (pumpkin spice, caramel apple, candy corn)</v>
      </c>
      <c r="E5074" t="str">
        <f>_xlfn.XLOOKUP($A5074,Load!$B:$B,Load!F:F,0,)</f>
        <v>Candy Pieces / Bites</v>
      </c>
      <c r="F5074" t="str">
        <f>_xlfn.XLOOKUP($A5074,Load!$B:$B,Load!G:G,0,)</f>
        <v>Small Multipack (Less than 40 ct)</v>
      </c>
      <c r="G5074" t="str">
        <f>_xlfn.XLOOKUP($A5074,Load!$B:$B,Load!H:H,0,)</f>
        <v>Stand-Up Bag</v>
      </c>
      <c r="H5074" t="str">
        <f>_xlfn.XLOOKUP($A5074,Load!$B:$B,Load!I:I,0,)</f>
        <v>Seasonal Shapes (like pumpkins, candy corn, ghost, bats, etc.)</v>
      </c>
      <c r="I5074" t="str">
        <f>_xlfn.XLOOKUP($A5074,Load!$B:$B,Load!J:J,0,)</f>
        <v>Seasonal Graphics (Like Bat, Ghost, Pumpkin, Fall Leaves, Eyeballs, etc.)</v>
      </c>
      <c r="J5074" t="str">
        <f>_xlfn.XLOOKUP($A5074,Load!$B:$B,Load!K:K,0,)</f>
        <v>Small Pieces (Tiny bite size candies)</v>
      </c>
      <c r="K5074" t="str">
        <f>_xlfn.XLOOKUP($A5074,Load!$B:$B,Load!L:L,0,)</f>
        <v>Unwrapped</v>
      </c>
      <c r="L5074" t="str">
        <f>_xlfn.XLOOKUP($A5074,Load!$B:$B,Load!M:M,0,)</f>
        <v>Single Brand / Single Flavor or Form</v>
      </c>
    </row>
    <row r="5075" spans="1:12" x14ac:dyDescent="0.25">
      <c r="B5075">
        <f>_xlfn.XLOOKUP($A5075,Load!$B:$B,Load!C:C,0,)</f>
        <v>0</v>
      </c>
      <c r="C5075">
        <f>_xlfn.XLOOKUP($A5075,Load!$B:$B,Load!D:D,0,)</f>
        <v>0</v>
      </c>
      <c r="D5075">
        <f>_xlfn.XLOOKUP($A5075,Load!$B:$B,Load!E:E,0,)</f>
        <v>0</v>
      </c>
      <c r="E5075">
        <f>_xlfn.XLOOKUP($A5075,Load!$B:$B,Load!F:F,0,)</f>
        <v>0</v>
      </c>
      <c r="F5075">
        <f>_xlfn.XLOOKUP($A5075,Load!$B:$B,Load!G:G,0,)</f>
        <v>0</v>
      </c>
      <c r="G5075">
        <f>_xlfn.XLOOKUP($A5075,Load!$B:$B,Load!H:H,0,)</f>
        <v>0</v>
      </c>
      <c r="H5075">
        <f>_xlfn.XLOOKUP($A5075,Load!$B:$B,Load!I:I,0,)</f>
        <v>0</v>
      </c>
      <c r="I5075">
        <f>_xlfn.XLOOKUP($A5075,Load!$B:$B,Load!J:J,0,)</f>
        <v>0</v>
      </c>
      <c r="J5075">
        <f>_xlfn.XLOOKUP($A5075,Load!$B:$B,Load!K:K,0,)</f>
        <v>0</v>
      </c>
      <c r="K5075">
        <f>_xlfn.XLOOKUP($A5075,Load!$B:$B,Load!L:L,0,)</f>
        <v>0</v>
      </c>
      <c r="L5075">
        <f>_xlfn.XLOOKUP($A5075,Load!$B:$B,Load!M:M,0,)</f>
        <v>0</v>
      </c>
    </row>
    <row r="5076" spans="1:12" x14ac:dyDescent="0.25">
      <c r="A5076" t="s">
        <v>271</v>
      </c>
      <c r="B5076" t="str">
        <f>_xlfn.XLOOKUP($A5076,Load!$B:$B,Load!C:C,0,)</f>
        <v>Sour Patch Kids</v>
      </c>
      <c r="C5076" t="str">
        <f>_xlfn.XLOOKUP($A5076,Load!$B:$B,Load!D:D,0,)</f>
        <v>Non-Chocolate Candy Only</v>
      </c>
      <c r="D5076" t="str">
        <f>_xlfn.XLOOKUP($A5076,Load!$B:$B,Load!E:E,0,)</f>
        <v>Sour</v>
      </c>
      <c r="E5076" t="str">
        <f>_xlfn.XLOOKUP($A5076,Load!$B:$B,Load!F:F,0,)</f>
        <v>Chewy</v>
      </c>
      <c r="F5076" t="str">
        <f>_xlfn.XLOOKUP($A5076,Load!$B:$B,Load!G:G,0,)</f>
        <v>Medium Multipack (40–80 ct)</v>
      </c>
      <c r="G5076" t="str">
        <f>_xlfn.XLOOKUP($A5076,Load!$B:$B,Load!H:H,0,)</f>
        <v>Laydown Bag</v>
      </c>
      <c r="H5076" t="str">
        <f>_xlfn.XLOOKUP($A5076,Load!$B:$B,Load!I:I,0,)</f>
        <v>Everyday Candy Shapes (like Original, Gummy bear, Fruit, Jewels, etc.)</v>
      </c>
      <c r="I5076" t="str">
        <f>_xlfn.XLOOKUP($A5076,Load!$B:$B,Load!J:J,0,)</f>
        <v>Seasonal Graphics (Like Bat, Ghost, Pumpkin, Fall Leaves, Eyeballs, etc.)</v>
      </c>
      <c r="J5076" t="str">
        <f>_xlfn.XLOOKUP($A5076,Load!$B:$B,Load!K:K,0,)</f>
        <v>Small Pieces (Tiny bite size candies)</v>
      </c>
      <c r="K5076" t="str">
        <f>_xlfn.XLOOKUP($A5076,Load!$B:$B,Load!L:L,0,)</f>
        <v>Regular/Original Wrapping</v>
      </c>
      <c r="L5076" t="str">
        <f>_xlfn.XLOOKUP($A5076,Load!$B:$B,Load!M:M,0,)</f>
        <v>Single Brand / Variety Flavors or Form</v>
      </c>
    </row>
    <row r="5077" spans="1:12" x14ac:dyDescent="0.25">
      <c r="A5077" t="s">
        <v>269</v>
      </c>
      <c r="B5077" t="str">
        <f>_xlfn.XLOOKUP($A5077,Load!$B:$B,Load!C:C,0,)</f>
        <v>Sour Patch Kids</v>
      </c>
      <c r="C5077" t="str">
        <f>_xlfn.XLOOKUP($A5077,Load!$B:$B,Load!D:D,0,)</f>
        <v>Non-Chocolate Candy Only</v>
      </c>
      <c r="D5077" t="str">
        <f>_xlfn.XLOOKUP($A5077,Load!$B:$B,Load!E:E,0,)</f>
        <v>Sour</v>
      </c>
      <c r="E5077" t="str">
        <f>_xlfn.XLOOKUP($A5077,Load!$B:$B,Load!F:F,0,)</f>
        <v>Chewy</v>
      </c>
      <c r="F5077" t="str">
        <f>_xlfn.XLOOKUP($A5077,Load!$B:$B,Load!G:G,0,)</f>
        <v>Small Multipack (Less than 40 ct)</v>
      </c>
      <c r="G5077" t="str">
        <f>_xlfn.XLOOKUP($A5077,Load!$B:$B,Load!H:H,0,)</f>
        <v>Laydown Bag</v>
      </c>
      <c r="H5077" t="str">
        <f>_xlfn.XLOOKUP($A5077,Load!$B:$B,Load!I:I,0,)</f>
        <v>Everyday Candy Shapes (like Original, Gummy bear, Fruit, Jewels, etc.)</v>
      </c>
      <c r="I5077" t="str">
        <f>_xlfn.XLOOKUP($A5077,Load!$B:$B,Load!J:J,0,)</f>
        <v>Seasonal Graphics (Like Bat, Ghost, Pumpkin, Fall Leaves, Eyeballs, etc.)</v>
      </c>
      <c r="J5077" t="str">
        <f>_xlfn.XLOOKUP($A5077,Load!$B:$B,Load!K:K,0,)</f>
        <v>Small Pieces (Tiny bite size candies)</v>
      </c>
      <c r="K5077" t="str">
        <f>_xlfn.XLOOKUP($A5077,Load!$B:$B,Load!L:L,0,)</f>
        <v>Regular/Original Wrapping</v>
      </c>
      <c r="L5077" t="str">
        <f>_xlfn.XLOOKUP($A5077,Load!$B:$B,Load!M:M,0,)</f>
        <v>Single Brand / Variety Flavors or Form</v>
      </c>
    </row>
    <row r="5078" spans="1:12" x14ac:dyDescent="0.25">
      <c r="A5078" t="s">
        <v>16</v>
      </c>
      <c r="B5078" t="str">
        <f>_xlfn.XLOOKUP($A5078,Load!$B:$B,Load!C:C,0,)</f>
        <v>Airheads</v>
      </c>
      <c r="C5078" t="str">
        <f>_xlfn.XLOOKUP($A5078,Load!$B:$B,Load!D:D,0,)</f>
        <v>Non-Chocolate Candy Only</v>
      </c>
      <c r="D5078" t="str">
        <f>_xlfn.XLOOKUP($A5078,Load!$B:$B,Load!E:E,0,)</f>
        <v>Fruit Flavor (Cherry, Grape, Apple, Citrus, Tropical Fruit)</v>
      </c>
      <c r="E5078" t="str">
        <f>_xlfn.XLOOKUP($A5078,Load!$B:$B,Load!F:F,0,)</f>
        <v>Candy Pieces / Bites</v>
      </c>
      <c r="F5078" t="str">
        <f>_xlfn.XLOOKUP($A5078,Load!$B:$B,Load!G:G,0,)</f>
        <v>Small Multipack (Less than 40 ct)</v>
      </c>
      <c r="G5078" t="str">
        <f>_xlfn.XLOOKUP($A5078,Load!$B:$B,Load!H:H,0,)</f>
        <v>Laydown Bag</v>
      </c>
      <c r="H5078" t="str">
        <f>_xlfn.XLOOKUP($A5078,Load!$B:$B,Load!I:I,0,)</f>
        <v>Everyday Candy Shapes (like Original, Gummy bear, Fruit, Jewels, etc.)</v>
      </c>
      <c r="I5078" t="str">
        <f>_xlfn.XLOOKUP($A5078,Load!$B:$B,Load!J:J,0,)</f>
        <v>Everyday Graphics</v>
      </c>
      <c r="J5078" t="str">
        <f>_xlfn.XLOOKUP($A5078,Load!$B:$B,Load!K:K,0,)</f>
        <v>Small Pieces (Tiny bite size candies)</v>
      </c>
      <c r="K5078" t="str">
        <f>_xlfn.XLOOKUP($A5078,Load!$B:$B,Load!L:L,0,)</f>
        <v>Unwrapped</v>
      </c>
      <c r="L5078" t="str">
        <f>_xlfn.XLOOKUP($A5078,Load!$B:$B,Load!M:M,0,)</f>
        <v>Single Brand / Variety Flavors or Form</v>
      </c>
    </row>
    <row r="5079" spans="1:12" x14ac:dyDescent="0.25">
      <c r="B5079">
        <f>_xlfn.XLOOKUP($A5079,Load!$B:$B,Load!C:C,0,)</f>
        <v>0</v>
      </c>
      <c r="C5079">
        <f>_xlfn.XLOOKUP($A5079,Load!$B:$B,Load!D:D,0,)</f>
        <v>0</v>
      </c>
      <c r="D5079">
        <f>_xlfn.XLOOKUP($A5079,Load!$B:$B,Load!E:E,0,)</f>
        <v>0</v>
      </c>
      <c r="E5079">
        <f>_xlfn.XLOOKUP($A5079,Load!$B:$B,Load!F:F,0,)</f>
        <v>0</v>
      </c>
      <c r="F5079">
        <f>_xlfn.XLOOKUP($A5079,Load!$B:$B,Load!G:G,0,)</f>
        <v>0</v>
      </c>
      <c r="G5079">
        <f>_xlfn.XLOOKUP($A5079,Load!$B:$B,Load!H:H,0,)</f>
        <v>0</v>
      </c>
      <c r="H5079">
        <f>_xlfn.XLOOKUP($A5079,Load!$B:$B,Load!I:I,0,)</f>
        <v>0</v>
      </c>
      <c r="I5079">
        <f>_xlfn.XLOOKUP($A5079,Load!$B:$B,Load!J:J,0,)</f>
        <v>0</v>
      </c>
      <c r="J5079">
        <f>_xlfn.XLOOKUP($A5079,Load!$B:$B,Load!K:K,0,)</f>
        <v>0</v>
      </c>
      <c r="K5079">
        <f>_xlfn.XLOOKUP($A5079,Load!$B:$B,Load!L:L,0,)</f>
        <v>0</v>
      </c>
      <c r="L5079">
        <f>_xlfn.XLOOKUP($A5079,Load!$B:$B,Load!M:M,0,)</f>
        <v>0</v>
      </c>
    </row>
    <row r="5080" spans="1:12" x14ac:dyDescent="0.25">
      <c r="A5080" t="s">
        <v>150</v>
      </c>
      <c r="B5080" t="str">
        <f>_xlfn.XLOOKUP($A5080,Load!$B:$B,Load!C:C,0,)</f>
        <v>Jolly Rancher</v>
      </c>
      <c r="C5080" t="str">
        <f>_xlfn.XLOOKUP($A5080,Load!$B:$B,Load!D:D,0,)</f>
        <v>Non-Chocolate Candy Only</v>
      </c>
      <c r="D5080" t="str">
        <f>_xlfn.XLOOKUP($A5080,Load!$B:$B,Load!E:E,0,)</f>
        <v>Variety / Mixed Flavors (Fruity, Sour, Seasonal Flavors)</v>
      </c>
      <c r="E5080" t="str">
        <f>_xlfn.XLOOKUP($A5080,Load!$B:$B,Load!F:F,0,)</f>
        <v>Gummy</v>
      </c>
      <c r="F5080" t="str">
        <f>_xlfn.XLOOKUP($A5080,Load!$B:$B,Load!G:G,0,)</f>
        <v>Small Multipack (Less than 40 ct)</v>
      </c>
      <c r="G5080" t="str">
        <f>_xlfn.XLOOKUP($A5080,Load!$B:$B,Load!H:H,0,)</f>
        <v>Laydown Bag</v>
      </c>
      <c r="H5080" t="str">
        <f>_xlfn.XLOOKUP($A5080,Load!$B:$B,Load!I:I,0,)</f>
        <v>Everyday Candy Shapes (like Original, Gummy bear, Fruit, Jewels, etc.)</v>
      </c>
      <c r="I5080" t="str">
        <f>_xlfn.XLOOKUP($A5080,Load!$B:$B,Load!J:J,0,)</f>
        <v>Everyday Graphics</v>
      </c>
      <c r="J5080" t="str">
        <f>_xlfn.XLOOKUP($A5080,Load!$B:$B,Load!K:K,0,)</f>
        <v>Small Pieces (Tiny bite size candies)</v>
      </c>
      <c r="K5080" t="str">
        <f>_xlfn.XLOOKUP($A5080,Load!$B:$B,Load!L:L,0,)</f>
        <v>Regular/Original Wrapping</v>
      </c>
      <c r="L5080" t="str">
        <f>_xlfn.XLOOKUP($A5080,Load!$B:$B,Load!M:M,0,)</f>
        <v>Single Brand / Variety Flavors or Form</v>
      </c>
    </row>
    <row r="5081" spans="1:12" x14ac:dyDescent="0.25">
      <c r="A5081" t="s">
        <v>158</v>
      </c>
      <c r="B5081" t="str">
        <f>_xlfn.XLOOKUP($A5081,Load!$B:$B,Load!C:C,0,)</f>
        <v>Jolly Rancher</v>
      </c>
      <c r="C5081" t="str">
        <f>_xlfn.XLOOKUP($A5081,Load!$B:$B,Load!D:D,0,)</f>
        <v>Non-Chocolate Candy Only</v>
      </c>
      <c r="D5081" t="str">
        <f>_xlfn.XLOOKUP($A5081,Load!$B:$B,Load!E:E,0,)</f>
        <v>Sweet</v>
      </c>
      <c r="E5081" t="str">
        <f>_xlfn.XLOOKUP($A5081,Load!$B:$B,Load!F:F,0,)</f>
        <v>Hard Candy</v>
      </c>
      <c r="F5081" t="str">
        <f>_xlfn.XLOOKUP($A5081,Load!$B:$B,Load!G:G,0,)</f>
        <v>Single Pack</v>
      </c>
      <c r="G5081" t="str">
        <f>_xlfn.XLOOKUP($A5081,Load!$B:$B,Load!H:H,0,)</f>
        <v>Peg Bag</v>
      </c>
      <c r="H5081" t="str">
        <f>_xlfn.XLOOKUP($A5081,Load!$B:$B,Load!I:I,0,)</f>
        <v>Everyday Candy Shapes (like Original, Gummy bear, Fruit, Jewels, etc.)</v>
      </c>
      <c r="I5081" t="str">
        <f>_xlfn.XLOOKUP($A5081,Load!$B:$B,Load!J:J,0,)</f>
        <v>Everyday Graphics</v>
      </c>
      <c r="J5081" t="str">
        <f>_xlfn.XLOOKUP($A5081,Load!$B:$B,Load!K:K,0,)</f>
        <v>Small Pieces (Tiny bite size candies)</v>
      </c>
      <c r="K5081" t="str">
        <f>_xlfn.XLOOKUP($A5081,Load!$B:$B,Load!L:L,0,)</f>
        <v>Regular/Original Wrapping</v>
      </c>
      <c r="L5081" t="str">
        <f>_xlfn.XLOOKUP($A5081,Load!$B:$B,Load!M:M,0,)</f>
        <v>Single Brand / Variety Flavors or Form</v>
      </c>
    </row>
    <row r="5082" spans="1:12" x14ac:dyDescent="0.25">
      <c r="A5082" t="s">
        <v>10</v>
      </c>
      <c r="B5082" t="str">
        <f>_xlfn.XLOOKUP($A5082,Load!$B:$B,Load!C:C,0,)</f>
        <v>Airheads</v>
      </c>
      <c r="C5082" t="str">
        <f>_xlfn.XLOOKUP($A5082,Load!$B:$B,Load!D:D,0,)</f>
        <v>Non-Chocolate Candy Only</v>
      </c>
      <c r="D5082" t="str">
        <f>_xlfn.XLOOKUP($A5082,Load!$B:$B,Load!E:E,0,)</f>
        <v>Fruit Flavor (Cherry, Grape, Apple, Citrus, Tropical Fruit)</v>
      </c>
      <c r="E5082" t="str">
        <f>_xlfn.XLOOKUP($A5082,Load!$B:$B,Load!F:F,0,)</f>
        <v>Chewy</v>
      </c>
      <c r="F5082" t="str">
        <f>_xlfn.XLOOKUP($A5082,Load!$B:$B,Load!G:G,0,)</f>
        <v>Small Multipack (Less than 40 ct)</v>
      </c>
      <c r="G5082" t="str">
        <f>_xlfn.XLOOKUP($A5082,Load!$B:$B,Load!H:H,0,)</f>
        <v>Laydown Bag</v>
      </c>
      <c r="H5082" t="str">
        <f>_xlfn.XLOOKUP($A5082,Load!$B:$B,Load!I:I,0,)</f>
        <v>Everyday Candy Shapes (like Original, Gummy bear, Fruit, Jewels, etc.)</v>
      </c>
      <c r="I5082" t="str">
        <f>_xlfn.XLOOKUP($A5082,Load!$B:$B,Load!J:J,0,)</f>
        <v>Everyday Graphics</v>
      </c>
      <c r="J5082" t="str">
        <f>_xlfn.XLOOKUP($A5082,Load!$B:$B,Load!K:K,0,)</f>
        <v>Fun Size / Treat Size</v>
      </c>
      <c r="K5082" t="str">
        <f>_xlfn.XLOOKUP($A5082,Load!$B:$B,Load!L:L,0,)</f>
        <v>Regular/Original Wrapping</v>
      </c>
      <c r="L5082" t="str">
        <f>_xlfn.XLOOKUP($A5082,Load!$B:$B,Load!M:M,0,)</f>
        <v>Single Brand / Variety Flavors or Form</v>
      </c>
    </row>
    <row r="5083" spans="1:12" x14ac:dyDescent="0.25">
      <c r="A5083" t="s">
        <v>285</v>
      </c>
      <c r="B5083" t="str">
        <f>_xlfn.XLOOKUP($A5083,Load!$B:$B,Load!C:C,0,)</f>
        <v>Starburst</v>
      </c>
      <c r="C5083" t="str">
        <f>_xlfn.XLOOKUP($A5083,Load!$B:$B,Load!D:D,0,)</f>
        <v>Non-Chocolate Candy Only</v>
      </c>
      <c r="D5083" t="str">
        <f>_xlfn.XLOOKUP($A5083,Load!$B:$B,Load!E:E,0,)</f>
        <v>Fruit Flavor (Cherry, Grape, Apple, Citrus, Tropical Fruit)</v>
      </c>
      <c r="E5083" t="str">
        <f>_xlfn.XLOOKUP($A5083,Load!$B:$B,Load!F:F,0,)</f>
        <v>Chewy</v>
      </c>
      <c r="F5083" t="str">
        <f>_xlfn.XLOOKUP($A5083,Load!$B:$B,Load!G:G,0,)</f>
        <v>Small Multipack (Less than 40 ct)</v>
      </c>
      <c r="G5083" t="str">
        <f>_xlfn.XLOOKUP($A5083,Load!$B:$B,Load!H:H,0,)</f>
        <v>Laydown Bag</v>
      </c>
      <c r="H5083" t="str">
        <f>_xlfn.XLOOKUP($A5083,Load!$B:$B,Load!I:I,0,)</f>
        <v>Everyday Candy Shapes (like Original, Gummy bear, Fruit, Jewels, etc.)</v>
      </c>
      <c r="I5083" t="str">
        <f>_xlfn.XLOOKUP($A5083,Load!$B:$B,Load!J:J,0,)</f>
        <v>Everyday Graphics</v>
      </c>
      <c r="J5083" t="str">
        <f>_xlfn.XLOOKUP($A5083,Load!$B:$B,Load!K:K,0,)</f>
        <v>Small Pieces (Tiny bite size candies)</v>
      </c>
      <c r="K5083" t="str">
        <f>_xlfn.XLOOKUP($A5083,Load!$B:$B,Load!L:L,0,)</f>
        <v>Regular/Original Wrapping</v>
      </c>
      <c r="L5083" t="str">
        <f>_xlfn.XLOOKUP($A5083,Load!$B:$B,Load!M:M,0,)</f>
        <v>Single Brand / Variety Flavors or Form</v>
      </c>
    </row>
    <row r="5084" spans="1:12" x14ac:dyDescent="0.25">
      <c r="A5084" t="s">
        <v>116</v>
      </c>
      <c r="B5084" t="str">
        <f>_xlfn.XLOOKUP($A5084,Load!$B:$B,Load!C:C,0,)</f>
        <v>George Howe</v>
      </c>
      <c r="C5084" t="str">
        <f>_xlfn.XLOOKUP($A5084,Load!$B:$B,Load!D:D,0,)</f>
        <v>Mix of Chocolate and Non-Chocolate Candy</v>
      </c>
      <c r="D5084" t="str">
        <f>_xlfn.XLOOKUP($A5084,Load!$B:$B,Load!E:E,0,)</f>
        <v>Fall / Seasonal Flavors (pumpkin spice, caramel apple, candy corn)</v>
      </c>
      <c r="E5084" t="str">
        <f>_xlfn.XLOOKUP($A5084,Load!$B:$B,Load!F:F,0,)</f>
        <v>Candy Pieces / Bites</v>
      </c>
      <c r="F5084" t="str">
        <f>_xlfn.XLOOKUP($A5084,Load!$B:$B,Load!G:G,0,)</f>
        <v>Single Pack</v>
      </c>
      <c r="G5084" t="str">
        <f>_xlfn.XLOOKUP($A5084,Load!$B:$B,Load!H:H,0,)</f>
        <v>Laydown Bag</v>
      </c>
      <c r="H5084" t="str">
        <f>_xlfn.XLOOKUP($A5084,Load!$B:$B,Load!I:I,0,)</f>
        <v>Seasonal Shapes (like pumpkins, candy corn, ghost, bats, etc.)</v>
      </c>
      <c r="I5084" t="str">
        <f>_xlfn.XLOOKUP($A5084,Load!$B:$B,Load!J:J,0,)</f>
        <v>Everyday Graphics</v>
      </c>
      <c r="J5084" t="str">
        <f>_xlfn.XLOOKUP($A5084,Load!$B:$B,Load!K:K,0,)</f>
        <v>Small Pieces (Tiny bite size candies)</v>
      </c>
      <c r="K5084" t="str">
        <f>_xlfn.XLOOKUP($A5084,Load!$B:$B,Load!L:L,0,)</f>
        <v>Unwrapped</v>
      </c>
      <c r="L5084" t="str">
        <f>_xlfn.XLOOKUP($A5084,Load!$B:$B,Load!M:M,0,)</f>
        <v>Single Brand / Variety Flavors or Form</v>
      </c>
    </row>
    <row r="5085" spans="1:12" x14ac:dyDescent="0.25">
      <c r="A5085" t="s">
        <v>107</v>
      </c>
      <c r="B5085" t="str">
        <f>_xlfn.XLOOKUP($A5085,Load!$B:$B,Load!C:C,0,)</f>
        <v>Frankford</v>
      </c>
      <c r="C5085" t="str">
        <f>_xlfn.XLOOKUP($A5085,Load!$B:$B,Load!D:D,0,)</f>
        <v>Non-Chocolate Candy Only</v>
      </c>
      <c r="D5085" t="str">
        <f>_xlfn.XLOOKUP($A5085,Load!$B:$B,Load!E:E,0,)</f>
        <v>Variety / Mixed Flavors (Fruity, Sour, Seasonal Flavors)</v>
      </c>
      <c r="E5085" t="str">
        <f>_xlfn.XLOOKUP($A5085,Load!$B:$B,Load!F:F,0,)</f>
        <v>Mixed / Combo Packs (Gummy, Chewy, Taffy, etc.)</v>
      </c>
      <c r="F5085" t="str">
        <f>_xlfn.XLOOKUP($A5085,Load!$B:$B,Load!G:G,0,)</f>
        <v>Large Multipack (More than 80 ct)</v>
      </c>
      <c r="G5085" t="str">
        <f>_xlfn.XLOOKUP($A5085,Load!$B:$B,Load!H:H,0,)</f>
        <v>Laydown Bag</v>
      </c>
      <c r="H5085" t="str">
        <f>_xlfn.XLOOKUP($A5085,Load!$B:$B,Load!I:I,0,)</f>
        <v>Everyday Candy Shapes (like Original, Gummy bear, Fruit, Jewels, etc.)</v>
      </c>
      <c r="I5085" t="str">
        <f>_xlfn.XLOOKUP($A5085,Load!$B:$B,Load!J:J,0,)</f>
        <v>Seasonal Graphics (Like Bat, Ghost, Pumpkin, Fall Leaves, Eyeballs, etc.)</v>
      </c>
      <c r="J5085" t="str">
        <f>_xlfn.XLOOKUP($A5085,Load!$B:$B,Load!K:K,0,)</f>
        <v xml:space="preserve">Variety Candy Sizes </v>
      </c>
      <c r="K5085" t="str">
        <f>_xlfn.XLOOKUP($A5085,Load!$B:$B,Load!L:L,0,)</f>
        <v>Regular/Original Wrapping</v>
      </c>
      <c r="L5085" t="str">
        <f>_xlfn.XLOOKUP($A5085,Load!$B:$B,Load!M:M,0,)</f>
        <v>Multiple Brands / Variety Flavors or Form</v>
      </c>
    </row>
    <row r="5086" spans="1:12" x14ac:dyDescent="0.25">
      <c r="A5086" t="s">
        <v>116</v>
      </c>
      <c r="B5086" t="str">
        <f>_xlfn.XLOOKUP($A5086,Load!$B:$B,Load!C:C,0,)</f>
        <v>George Howe</v>
      </c>
      <c r="C5086" t="str">
        <f>_xlfn.XLOOKUP($A5086,Load!$B:$B,Load!D:D,0,)</f>
        <v>Mix of Chocolate and Non-Chocolate Candy</v>
      </c>
      <c r="D5086" t="str">
        <f>_xlfn.XLOOKUP($A5086,Load!$B:$B,Load!E:E,0,)</f>
        <v>Fall / Seasonal Flavors (pumpkin spice, caramel apple, candy corn)</v>
      </c>
      <c r="E5086" t="str">
        <f>_xlfn.XLOOKUP($A5086,Load!$B:$B,Load!F:F,0,)</f>
        <v>Candy Pieces / Bites</v>
      </c>
      <c r="F5086" t="str">
        <f>_xlfn.XLOOKUP($A5086,Load!$B:$B,Load!G:G,0,)</f>
        <v>Single Pack</v>
      </c>
      <c r="G5086" t="str">
        <f>_xlfn.XLOOKUP($A5086,Load!$B:$B,Load!H:H,0,)</f>
        <v>Laydown Bag</v>
      </c>
      <c r="H5086" t="str">
        <f>_xlfn.XLOOKUP($A5086,Load!$B:$B,Load!I:I,0,)</f>
        <v>Seasonal Shapes (like pumpkins, candy corn, ghost, bats, etc.)</v>
      </c>
      <c r="I5086" t="str">
        <f>_xlfn.XLOOKUP($A5086,Load!$B:$B,Load!J:J,0,)</f>
        <v>Everyday Graphics</v>
      </c>
      <c r="J5086" t="str">
        <f>_xlfn.XLOOKUP($A5086,Load!$B:$B,Load!K:K,0,)</f>
        <v>Small Pieces (Tiny bite size candies)</v>
      </c>
      <c r="K5086" t="str">
        <f>_xlfn.XLOOKUP($A5086,Load!$B:$B,Load!L:L,0,)</f>
        <v>Unwrapped</v>
      </c>
      <c r="L5086" t="str">
        <f>_xlfn.XLOOKUP($A5086,Load!$B:$B,Load!M:M,0,)</f>
        <v>Single Brand / Variety Flavors or Form</v>
      </c>
    </row>
    <row r="5087" spans="1:12" x14ac:dyDescent="0.25">
      <c r="B5087">
        <f>_xlfn.XLOOKUP($A5087,Load!$B:$B,Load!C:C,0,)</f>
        <v>0</v>
      </c>
      <c r="C5087">
        <f>_xlfn.XLOOKUP($A5087,Load!$B:$B,Load!D:D,0,)</f>
        <v>0</v>
      </c>
      <c r="D5087">
        <f>_xlfn.XLOOKUP($A5087,Load!$B:$B,Load!E:E,0,)</f>
        <v>0</v>
      </c>
      <c r="E5087">
        <f>_xlfn.XLOOKUP($A5087,Load!$B:$B,Load!F:F,0,)</f>
        <v>0</v>
      </c>
      <c r="F5087">
        <f>_xlfn.XLOOKUP($A5087,Load!$B:$B,Load!G:G,0,)</f>
        <v>0</v>
      </c>
      <c r="G5087">
        <f>_xlfn.XLOOKUP($A5087,Load!$B:$B,Load!H:H,0,)</f>
        <v>0</v>
      </c>
      <c r="H5087">
        <f>_xlfn.XLOOKUP($A5087,Load!$B:$B,Load!I:I,0,)</f>
        <v>0</v>
      </c>
      <c r="I5087">
        <f>_xlfn.XLOOKUP($A5087,Load!$B:$B,Load!J:J,0,)</f>
        <v>0</v>
      </c>
      <c r="J5087">
        <f>_xlfn.XLOOKUP($A5087,Load!$B:$B,Load!K:K,0,)</f>
        <v>0</v>
      </c>
      <c r="K5087">
        <f>_xlfn.XLOOKUP($A5087,Load!$B:$B,Load!L:L,0,)</f>
        <v>0</v>
      </c>
      <c r="L5087">
        <f>_xlfn.XLOOKUP($A5087,Load!$B:$B,Load!M:M,0,)</f>
        <v>0</v>
      </c>
    </row>
    <row r="5088" spans="1:12" x14ac:dyDescent="0.25">
      <c r="A5088" t="s">
        <v>217</v>
      </c>
      <c r="B5088" t="str">
        <f>_xlfn.XLOOKUP($A5088,Load!$B:$B,Load!C:C,0,)</f>
        <v>Mondelez Variety Pack</v>
      </c>
      <c r="C5088" t="str">
        <f>_xlfn.XLOOKUP($A5088,Load!$B:$B,Load!D:D,0,)</f>
        <v>Non-Chocolate Candy Only</v>
      </c>
      <c r="D5088" t="str">
        <f>_xlfn.XLOOKUP($A5088,Load!$B:$B,Load!E:E,0,)</f>
        <v>Sour</v>
      </c>
      <c r="E5088" t="str">
        <f>_xlfn.XLOOKUP($A5088,Load!$B:$B,Load!F:F,0,)</f>
        <v>Chewy</v>
      </c>
      <c r="F5088" t="str">
        <f>_xlfn.XLOOKUP($A5088,Load!$B:$B,Load!G:G,0,)</f>
        <v>Small Multipack (Less than 40 ct)</v>
      </c>
      <c r="G5088" t="str">
        <f>_xlfn.XLOOKUP($A5088,Load!$B:$B,Load!H:H,0,)</f>
        <v>Laydown Bag</v>
      </c>
      <c r="H5088" t="str">
        <f>_xlfn.XLOOKUP($A5088,Load!$B:$B,Load!I:I,0,)</f>
        <v>Seasonal Shapes (like pumpkins, candy corn, ghost, bats, etc.)</v>
      </c>
      <c r="I5088" t="str">
        <f>_xlfn.XLOOKUP($A5088,Load!$B:$B,Load!J:J,0,)</f>
        <v>Seasonal Graphics (Like Bat, Ghost, Pumpkin, Fall Leaves, Eyeballs, etc.)</v>
      </c>
      <c r="J5088" t="str">
        <f>_xlfn.XLOOKUP($A5088,Load!$B:$B,Load!K:K,0,)</f>
        <v>Small Pieces (Tiny bite size candies)</v>
      </c>
      <c r="K5088" t="str">
        <f>_xlfn.XLOOKUP($A5088,Load!$B:$B,Load!L:L,0,)</f>
        <v>Regular/Original Wrapping</v>
      </c>
      <c r="L5088" t="str">
        <f>_xlfn.XLOOKUP($A5088,Load!$B:$B,Load!M:M,0,)</f>
        <v>Multiple Brands / Variety Flavors or Form</v>
      </c>
    </row>
    <row r="5089" spans="1:12" x14ac:dyDescent="0.25">
      <c r="A5089" t="s">
        <v>219</v>
      </c>
      <c r="B5089" t="str">
        <f>_xlfn.XLOOKUP($A5089,Load!$B:$B,Load!C:C,0,)</f>
        <v>Mondelez Variety Pack</v>
      </c>
      <c r="C5089" t="str">
        <f>_xlfn.XLOOKUP($A5089,Load!$B:$B,Load!D:D,0,)</f>
        <v>Non-Chocolate Candy Only</v>
      </c>
      <c r="D5089" t="str">
        <f>_xlfn.XLOOKUP($A5089,Load!$B:$B,Load!E:E,0,)</f>
        <v>Sour</v>
      </c>
      <c r="E5089" t="str">
        <f>_xlfn.XLOOKUP($A5089,Load!$B:$B,Load!F:F,0,)</f>
        <v>Chewy</v>
      </c>
      <c r="F5089" t="str">
        <f>_xlfn.XLOOKUP($A5089,Load!$B:$B,Load!G:G,0,)</f>
        <v>Medium Multipack (40–80 ct)</v>
      </c>
      <c r="G5089" t="str">
        <f>_xlfn.XLOOKUP($A5089,Load!$B:$B,Load!H:H,0,)</f>
        <v>Stand-Up Bag</v>
      </c>
      <c r="H5089" t="str">
        <f>_xlfn.XLOOKUP($A5089,Load!$B:$B,Load!I:I,0,)</f>
        <v>Everyday Candy Shapes (like Original, Gummy bear, Fruit, Jewels, etc.)</v>
      </c>
      <c r="I5089" t="str">
        <f>_xlfn.XLOOKUP($A5089,Load!$B:$B,Load!J:J,0,)</f>
        <v>Seasonal Graphics (Like Bat, Ghost, Pumpkin, Fall Leaves, Eyeballs, etc.)</v>
      </c>
      <c r="J5089" t="str">
        <f>_xlfn.XLOOKUP($A5089,Load!$B:$B,Load!K:K,0,)</f>
        <v>Small Pieces (Tiny bite size candies)</v>
      </c>
      <c r="K5089" t="str">
        <f>_xlfn.XLOOKUP($A5089,Load!$B:$B,Load!L:L,0,)</f>
        <v>Regular/Original Wrapping</v>
      </c>
      <c r="L5089" t="str">
        <f>_xlfn.XLOOKUP($A5089,Load!$B:$B,Load!M:M,0,)</f>
        <v>Multiple Brands / Variety Flavors or Form</v>
      </c>
    </row>
    <row r="5090" spans="1:12" x14ac:dyDescent="0.25">
      <c r="A5090" t="s">
        <v>121</v>
      </c>
      <c r="B5090" t="str">
        <f>_xlfn.XLOOKUP($A5090,Load!$B:$B,Load!C:C,0,)</f>
        <v>HARIBO</v>
      </c>
      <c r="C5090" t="str">
        <f>_xlfn.XLOOKUP($A5090,Load!$B:$B,Load!D:D,0,)</f>
        <v>Non-Chocolate Candy Only</v>
      </c>
      <c r="D5090" t="str">
        <f>_xlfn.XLOOKUP($A5090,Load!$B:$B,Load!E:E,0,)</f>
        <v>Variety / Mixed Flavors (Fruity, Sour, Seasonal Flavors)</v>
      </c>
      <c r="E5090" t="str">
        <f>_xlfn.XLOOKUP($A5090,Load!$B:$B,Load!F:F,0,)</f>
        <v>Gummy</v>
      </c>
      <c r="F5090" t="str">
        <f>_xlfn.XLOOKUP($A5090,Load!$B:$B,Load!G:G,0,)</f>
        <v>Large Multipack (More than 80 ct)</v>
      </c>
      <c r="G5090" t="str">
        <f>_xlfn.XLOOKUP($A5090,Load!$B:$B,Load!H:H,0,)</f>
        <v>Stand-Up Bag</v>
      </c>
      <c r="H5090" t="str">
        <f>_xlfn.XLOOKUP($A5090,Load!$B:$B,Load!I:I,0,)</f>
        <v>Seasonal Shapes (like pumpkins, candy corn, ghost, bats, etc.)</v>
      </c>
      <c r="I5090" t="str">
        <f>_xlfn.XLOOKUP($A5090,Load!$B:$B,Load!J:J,0,)</f>
        <v>Seasonal Graphics (Like Bat, Ghost, Pumpkin, Fall Leaves, Eyeballs, etc.)</v>
      </c>
      <c r="J5090" t="str">
        <f>_xlfn.XLOOKUP($A5090,Load!$B:$B,Load!K:K,0,)</f>
        <v>Fun Size / Treat Size</v>
      </c>
      <c r="K5090" t="str">
        <f>_xlfn.XLOOKUP($A5090,Load!$B:$B,Load!L:L,0,)</f>
        <v>Regular/Original Wrapping</v>
      </c>
      <c r="L5090" t="str">
        <f>_xlfn.XLOOKUP($A5090,Load!$B:$B,Load!M:M,0,)</f>
        <v>Multiple Brands / Variety Flavors or Form</v>
      </c>
    </row>
    <row r="5091" spans="1:12" x14ac:dyDescent="0.25">
      <c r="A5091" t="s">
        <v>76</v>
      </c>
      <c r="B5091" t="str">
        <f>_xlfn.XLOOKUP($A5091,Load!$B:$B,Load!C:C,0,)</f>
        <v>Dum Dums</v>
      </c>
      <c r="C5091" t="str">
        <f>_xlfn.XLOOKUP($A5091,Load!$B:$B,Load!D:D,0,)</f>
        <v>Non-Chocolate Candy Only</v>
      </c>
      <c r="D5091" t="str">
        <f>_xlfn.XLOOKUP($A5091,Load!$B:$B,Load!E:E,0,)</f>
        <v>Variety / Mixed Flavors (Fruity, Sour, Seasonal Flavors)</v>
      </c>
      <c r="E5091" t="str">
        <f>_xlfn.XLOOKUP($A5091,Load!$B:$B,Load!F:F,0,)</f>
        <v>Lollipop (regular or lollipop rings)</v>
      </c>
      <c r="F5091" t="str">
        <f>_xlfn.XLOOKUP($A5091,Load!$B:$B,Load!G:G,0,)</f>
        <v>Large Multipack (More than 80 ct)</v>
      </c>
      <c r="G5091" t="str">
        <f>_xlfn.XLOOKUP($A5091,Load!$B:$B,Load!H:H,0,)</f>
        <v>Stand-Up Bag</v>
      </c>
      <c r="H5091" t="str">
        <f>_xlfn.XLOOKUP($A5091,Load!$B:$B,Load!I:I,0,)</f>
        <v>Everyday Candy Shapes (like Original, Gummy bear, Fruit, Jewels, etc.)</v>
      </c>
      <c r="I5091" t="str">
        <f>_xlfn.XLOOKUP($A5091,Load!$B:$B,Load!J:J,0,)</f>
        <v>Everyday Graphics</v>
      </c>
      <c r="J5091" t="str">
        <f>_xlfn.XLOOKUP($A5091,Load!$B:$B,Load!K:K,0,)</f>
        <v>Regular Lollipop size (on sticks or rings)</v>
      </c>
      <c r="K5091" t="str">
        <f>_xlfn.XLOOKUP($A5091,Load!$B:$B,Load!L:L,0,)</f>
        <v>Regular/Original Wrapping</v>
      </c>
      <c r="L5091" t="str">
        <f>_xlfn.XLOOKUP($A5091,Load!$B:$B,Load!M:M,0,)</f>
        <v>Single Brand / Variety Flavors or Form</v>
      </c>
    </row>
    <row r="5092" spans="1:12" x14ac:dyDescent="0.25">
      <c r="A5092" t="s">
        <v>25</v>
      </c>
      <c r="B5092" t="str">
        <f>_xlfn.XLOOKUP($A5092,Load!$B:$B,Load!C:C,0,)</f>
        <v>Albert's Candy Company</v>
      </c>
      <c r="C5092" t="str">
        <f>_xlfn.XLOOKUP($A5092,Load!$B:$B,Load!D:D,0,)</f>
        <v>Non-Chocolate Candy Only</v>
      </c>
      <c r="D5092" t="str">
        <f>_xlfn.XLOOKUP($A5092,Load!$B:$B,Load!E:E,0,)</f>
        <v>Fruit Flavor (Cherry, Grape, Apple, Citrus, Tropical Fruit)</v>
      </c>
      <c r="E5092" t="str">
        <f>_xlfn.XLOOKUP($A5092,Load!$B:$B,Load!F:F,0,)</f>
        <v>Chewy</v>
      </c>
      <c r="F5092" t="str">
        <f>_xlfn.XLOOKUP($A5092,Load!$B:$B,Load!G:G,0,)</f>
        <v>Large Multipack (More than 80 ct)</v>
      </c>
      <c r="G5092" t="str">
        <f>_xlfn.XLOOKUP($A5092,Load!$B:$B,Load!H:H,0,)</f>
        <v>Laydown Bag</v>
      </c>
      <c r="H5092" t="str">
        <f>_xlfn.XLOOKUP($A5092,Load!$B:$B,Load!I:I,0,)</f>
        <v>Everyday Candy Shapes (like Original, Gummy bear, Fruit, Jewels, etc.)</v>
      </c>
      <c r="I5092" t="str">
        <f>_xlfn.XLOOKUP($A5092,Load!$B:$B,Load!J:J,0,)</f>
        <v>Seasonal Graphics (Like Bat, Ghost, Pumpkin, Fall Leaves, Eyeballs, etc.)</v>
      </c>
      <c r="J5092" t="str">
        <f>_xlfn.XLOOKUP($A5092,Load!$B:$B,Load!K:K,0,)</f>
        <v>Small Pieces (Tiny bite size candies)</v>
      </c>
      <c r="K5092" t="str">
        <f>_xlfn.XLOOKUP($A5092,Load!$B:$B,Load!L:L,0,)</f>
        <v>Regular/Original Wrapping</v>
      </c>
      <c r="L5092" t="str">
        <f>_xlfn.XLOOKUP($A5092,Load!$B:$B,Load!M:M,0,)</f>
        <v>Single Brand / Variety Flavors or Form</v>
      </c>
    </row>
    <row r="5093" spans="1:12" x14ac:dyDescent="0.25">
      <c r="A5093" t="s">
        <v>304</v>
      </c>
      <c r="B5093" t="str">
        <f>_xlfn.XLOOKUP($A5093,Load!$B:$B,Load!C:C,0,)</f>
        <v>Warheads</v>
      </c>
      <c r="C5093" t="str">
        <f>_xlfn.XLOOKUP($A5093,Load!$B:$B,Load!D:D,0,)</f>
        <v>Non-Chocolate Candy Only</v>
      </c>
      <c r="D5093" t="str">
        <f>_xlfn.XLOOKUP($A5093,Load!$B:$B,Load!E:E,0,)</f>
        <v>Sour</v>
      </c>
      <c r="E5093" t="str">
        <f>_xlfn.XLOOKUP($A5093,Load!$B:$B,Load!F:F,0,)</f>
        <v>Chewy</v>
      </c>
      <c r="F5093" t="str">
        <f>_xlfn.XLOOKUP($A5093,Load!$B:$B,Load!G:G,0,)</f>
        <v>Medium Multipack (40–80 ct)</v>
      </c>
      <c r="G5093" t="str">
        <f>_xlfn.XLOOKUP($A5093,Load!$B:$B,Load!H:H,0,)</f>
        <v>Laydown Bag</v>
      </c>
      <c r="H5093" t="str">
        <f>_xlfn.XLOOKUP($A5093,Load!$B:$B,Load!I:I,0,)</f>
        <v>Everyday Candy Shapes (like Original, Gummy bear, Fruit, Jewels, etc.)</v>
      </c>
      <c r="I5093" t="str">
        <f>_xlfn.XLOOKUP($A5093,Load!$B:$B,Load!J:J,0,)</f>
        <v>Seasonal Graphics (Like Bat, Ghost, Pumpkin, Fall Leaves, Eyeballs, etc.)</v>
      </c>
      <c r="J5093" t="str">
        <f>_xlfn.XLOOKUP($A5093,Load!$B:$B,Load!K:K,0,)</f>
        <v>Fun Size / Treat Size</v>
      </c>
      <c r="K5093" t="str">
        <f>_xlfn.XLOOKUP($A5093,Load!$B:$B,Load!L:L,0,)</f>
        <v>Regular/Original Wrapping</v>
      </c>
      <c r="L5093" t="str">
        <f>_xlfn.XLOOKUP($A5093,Load!$B:$B,Load!M:M,0,)</f>
        <v>Single Brand / Single Flavor or Form</v>
      </c>
    </row>
    <row r="5094" spans="1:12" x14ac:dyDescent="0.25">
      <c r="A5094" t="s">
        <v>129</v>
      </c>
      <c r="B5094" t="str">
        <f>_xlfn.XLOOKUP($A5094,Load!$B:$B,Load!C:C,0,)</f>
        <v>HARIBO</v>
      </c>
      <c r="C5094" t="str">
        <f>_xlfn.XLOOKUP($A5094,Load!$B:$B,Load!D:D,0,)</f>
        <v>Non-Chocolate Candy Only</v>
      </c>
      <c r="D5094" t="str">
        <f>_xlfn.XLOOKUP($A5094,Load!$B:$B,Load!E:E,0,)</f>
        <v>Fruit Flavor (Cherry, Grape, Apple, Citrus, Tropical Fruit)</v>
      </c>
      <c r="E5094" t="str">
        <f>_xlfn.XLOOKUP($A5094,Load!$B:$B,Load!F:F,0,)</f>
        <v>Gummy</v>
      </c>
      <c r="F5094" t="str">
        <f>_xlfn.XLOOKUP($A5094,Load!$B:$B,Load!G:G,0,)</f>
        <v>Single Pack</v>
      </c>
      <c r="G5094" t="str">
        <f>_xlfn.XLOOKUP($A5094,Load!$B:$B,Load!H:H,0,)</f>
        <v>Peg Bag</v>
      </c>
      <c r="H5094" t="str">
        <f>_xlfn.XLOOKUP($A5094,Load!$B:$B,Load!I:I,0,)</f>
        <v>Everyday Candy Shapes (like Original, Gummy bear, Fruit, Jewels, etc.)</v>
      </c>
      <c r="I5094" t="str">
        <f>_xlfn.XLOOKUP($A5094,Load!$B:$B,Load!J:J,0,)</f>
        <v>Everyday Graphics</v>
      </c>
      <c r="J5094" t="str">
        <f>_xlfn.XLOOKUP($A5094,Load!$B:$B,Load!K:K,0,)</f>
        <v>Small Pieces (Tiny bite size candies)</v>
      </c>
      <c r="K5094" t="str">
        <f>_xlfn.XLOOKUP($A5094,Load!$B:$B,Load!L:L,0,)</f>
        <v>Regular/Original Wrapping</v>
      </c>
      <c r="L5094" t="str">
        <f>_xlfn.XLOOKUP($A5094,Load!$B:$B,Load!M:M,0,)</f>
        <v>Single Brand / Variety Flavors or Form</v>
      </c>
    </row>
    <row r="5095" spans="1:12" x14ac:dyDescent="0.25">
      <c r="A5095" t="s">
        <v>148</v>
      </c>
      <c r="B5095" t="str">
        <f>_xlfn.XLOOKUP($A5095,Load!$B:$B,Load!C:C,0,)</f>
        <v>Jelly Belly</v>
      </c>
      <c r="C5095" t="str">
        <f>_xlfn.XLOOKUP($A5095,Load!$B:$B,Load!D:D,0,)</f>
        <v>Non-Chocolate Candy Only</v>
      </c>
      <c r="D5095" t="str">
        <f>_xlfn.XLOOKUP($A5095,Load!$B:$B,Load!E:E,0,)</f>
        <v>Variety / Mixed Flavors (Fruity, Sour, Seasonal Flavors)</v>
      </c>
      <c r="E5095" t="str">
        <f>_xlfn.XLOOKUP($A5095,Load!$B:$B,Load!F:F,0,)</f>
        <v>Candy Pieces / Bites</v>
      </c>
      <c r="F5095" t="str">
        <f>_xlfn.XLOOKUP($A5095,Load!$B:$B,Load!G:G,0,)</f>
        <v>Single Pack</v>
      </c>
      <c r="G5095" t="str">
        <f>_xlfn.XLOOKUP($A5095,Load!$B:$B,Load!H:H,0,)</f>
        <v>Stand-Up Bag</v>
      </c>
      <c r="H5095" t="str">
        <f>_xlfn.XLOOKUP($A5095,Load!$B:$B,Load!I:I,0,)</f>
        <v>Everyday Candy Shapes (like Original, Gummy bear, Fruit, Jewels, etc.)</v>
      </c>
      <c r="I5095" t="str">
        <f>_xlfn.XLOOKUP($A5095,Load!$B:$B,Load!J:J,0,)</f>
        <v>Seasonal Graphics (Like Bat, Ghost, Pumpkin, Fall Leaves, Eyeballs, etc.)</v>
      </c>
      <c r="J5095" t="str">
        <f>_xlfn.XLOOKUP($A5095,Load!$B:$B,Load!K:K,0,)</f>
        <v>Small Pieces (Tiny bite size candies)</v>
      </c>
      <c r="K5095" t="str">
        <f>_xlfn.XLOOKUP($A5095,Load!$B:$B,Load!L:L,0,)</f>
        <v>Unwrapped</v>
      </c>
      <c r="L5095" t="str">
        <f>_xlfn.XLOOKUP($A5095,Load!$B:$B,Load!M:M,0,)</f>
        <v>Single Brand / Variety Flavors or Form</v>
      </c>
    </row>
    <row r="5096" spans="1:12" x14ac:dyDescent="0.25">
      <c r="A5096" t="s">
        <v>88</v>
      </c>
      <c r="B5096" t="str">
        <f>_xlfn.XLOOKUP($A5096,Load!$B:$B,Load!C:C,0,)</f>
        <v>Ferrara Variety Pack</v>
      </c>
      <c r="C5096" t="str">
        <f>_xlfn.XLOOKUP($A5096,Load!$B:$B,Load!D:D,0,)</f>
        <v>Non-Chocolate Candy Only</v>
      </c>
      <c r="D5096" t="str">
        <f>_xlfn.XLOOKUP($A5096,Load!$B:$B,Load!E:E,0,)</f>
        <v>Variety / Mixed Flavors (Fruity, Sour, Seasonal Flavors)</v>
      </c>
      <c r="E5096" t="str">
        <f>_xlfn.XLOOKUP($A5096,Load!$B:$B,Load!F:F,0,)</f>
        <v>Mixed / Combo Packs (Gummy, Chewy, Taffy, etc.)</v>
      </c>
      <c r="F5096" t="str">
        <f>_xlfn.XLOOKUP($A5096,Load!$B:$B,Load!G:G,0,)</f>
        <v>Small Multipack (Less than 40 ct)</v>
      </c>
      <c r="G5096" t="str">
        <f>_xlfn.XLOOKUP($A5096,Load!$B:$B,Load!H:H,0,)</f>
        <v>Laydown Bag</v>
      </c>
      <c r="H5096" t="str">
        <f>_xlfn.XLOOKUP($A5096,Load!$B:$B,Load!I:I,0,)</f>
        <v>Seasonal Shapes (like pumpkins, candy corn, ghost, bats, etc.)</v>
      </c>
      <c r="I5096" t="str">
        <f>_xlfn.XLOOKUP($A5096,Load!$B:$B,Load!J:J,0,)</f>
        <v>Seasonal Graphics (Like Bat, Ghost, Pumpkin, Fall Leaves, Eyeballs, etc.)</v>
      </c>
      <c r="J5096" t="str">
        <f>_xlfn.XLOOKUP($A5096,Load!$B:$B,Load!K:K,0,)</f>
        <v>Fun Size / Treat Size</v>
      </c>
      <c r="K5096" t="str">
        <f>_xlfn.XLOOKUP($A5096,Load!$B:$B,Load!L:L,0,)</f>
        <v>Regular/Original Wrapping</v>
      </c>
      <c r="L5096" t="str">
        <f>_xlfn.XLOOKUP($A5096,Load!$B:$B,Load!M:M,0,)</f>
        <v>Multiple Brands / Variety Flavors or Form</v>
      </c>
    </row>
    <row r="5097" spans="1:12" x14ac:dyDescent="0.25">
      <c r="A5097" t="s">
        <v>196</v>
      </c>
      <c r="B5097" t="str">
        <f>_xlfn.XLOOKUP($A5097,Load!$B:$B,Load!C:C,0,)</f>
        <v>Mars Variety Pack</v>
      </c>
      <c r="C5097" t="str">
        <f>_xlfn.XLOOKUP($A5097,Load!$B:$B,Load!D:D,0,)</f>
        <v>Non-Chocolate Candy Only</v>
      </c>
      <c r="D5097" t="str">
        <f>_xlfn.XLOOKUP($A5097,Load!$B:$B,Load!E:E,0,)</f>
        <v>Variety / Mixed Flavors (Fruity, Sour, Seasonal Flavors)</v>
      </c>
      <c r="E5097" t="str">
        <f>_xlfn.XLOOKUP($A5097,Load!$B:$B,Load!F:F,0,)</f>
        <v>Mixed / Combo Packs (Gummy, Chewy, Taffy, etc.)</v>
      </c>
      <c r="F5097" t="str">
        <f>_xlfn.XLOOKUP($A5097,Load!$B:$B,Load!G:G,0,)</f>
        <v>Small Multipack (Less than 40 ct)</v>
      </c>
      <c r="G5097" t="str">
        <f>_xlfn.XLOOKUP($A5097,Load!$B:$B,Load!H:H,0,)</f>
        <v>Stand-Up Bag</v>
      </c>
      <c r="H5097" t="str">
        <f>_xlfn.XLOOKUP($A5097,Load!$B:$B,Load!I:I,0,)</f>
        <v>Everyday Candy Shapes (like Original, Gummy bear, Fruit, Jewels, etc.)</v>
      </c>
      <c r="I5097" t="str">
        <f>_xlfn.XLOOKUP($A5097,Load!$B:$B,Load!J:J,0,)</f>
        <v>Seasonal Graphics (Like Bat, Ghost, Pumpkin, Fall Leaves, Eyeballs, etc.)</v>
      </c>
      <c r="J5097" t="str">
        <f>_xlfn.XLOOKUP($A5097,Load!$B:$B,Load!K:K,0,)</f>
        <v>Fun Size / Treat Size</v>
      </c>
      <c r="K5097" t="str">
        <f>_xlfn.XLOOKUP($A5097,Load!$B:$B,Load!L:L,0,)</f>
        <v>Regular/Original Wrapping</v>
      </c>
      <c r="L5097" t="str">
        <f>_xlfn.XLOOKUP($A5097,Load!$B:$B,Load!M:M,0,)</f>
        <v>Multiple Brands / Variety Flavors or Form</v>
      </c>
    </row>
    <row r="5098" spans="1:12" x14ac:dyDescent="0.25">
      <c r="B5098">
        <f>_xlfn.XLOOKUP($A5098,Load!$B:$B,Load!C:C,0,)</f>
        <v>0</v>
      </c>
      <c r="C5098">
        <f>_xlfn.XLOOKUP($A5098,Load!$B:$B,Load!D:D,0,)</f>
        <v>0</v>
      </c>
      <c r="D5098">
        <f>_xlfn.XLOOKUP($A5098,Load!$B:$B,Load!E:E,0,)</f>
        <v>0</v>
      </c>
      <c r="E5098">
        <f>_xlfn.XLOOKUP($A5098,Load!$B:$B,Load!F:F,0,)</f>
        <v>0</v>
      </c>
      <c r="F5098">
        <f>_xlfn.XLOOKUP($A5098,Load!$B:$B,Load!G:G,0,)</f>
        <v>0</v>
      </c>
      <c r="G5098">
        <f>_xlfn.XLOOKUP($A5098,Load!$B:$B,Load!H:H,0,)</f>
        <v>0</v>
      </c>
      <c r="H5098">
        <f>_xlfn.XLOOKUP($A5098,Load!$B:$B,Load!I:I,0,)</f>
        <v>0</v>
      </c>
      <c r="I5098">
        <f>_xlfn.XLOOKUP($A5098,Load!$B:$B,Load!J:J,0,)</f>
        <v>0</v>
      </c>
      <c r="J5098">
        <f>_xlfn.XLOOKUP($A5098,Load!$B:$B,Load!K:K,0,)</f>
        <v>0</v>
      </c>
      <c r="K5098">
        <f>_xlfn.XLOOKUP($A5098,Load!$B:$B,Load!L:L,0,)</f>
        <v>0</v>
      </c>
      <c r="L5098">
        <f>_xlfn.XLOOKUP($A5098,Load!$B:$B,Load!M:M,0,)</f>
        <v>0</v>
      </c>
    </row>
    <row r="5099" spans="1:12" x14ac:dyDescent="0.25">
      <c r="B5099">
        <f>_xlfn.XLOOKUP($A5099,Load!$B:$B,Load!C:C,0,)</f>
        <v>0</v>
      </c>
      <c r="C5099">
        <f>_xlfn.XLOOKUP($A5099,Load!$B:$B,Load!D:D,0,)</f>
        <v>0</v>
      </c>
      <c r="D5099">
        <f>_xlfn.XLOOKUP($A5099,Load!$B:$B,Load!E:E,0,)</f>
        <v>0</v>
      </c>
      <c r="E5099">
        <f>_xlfn.XLOOKUP($A5099,Load!$B:$B,Load!F:F,0,)</f>
        <v>0</v>
      </c>
      <c r="F5099">
        <f>_xlfn.XLOOKUP($A5099,Load!$B:$B,Load!G:G,0,)</f>
        <v>0</v>
      </c>
      <c r="G5099">
        <f>_xlfn.XLOOKUP($A5099,Load!$B:$B,Load!H:H,0,)</f>
        <v>0</v>
      </c>
      <c r="H5099">
        <f>_xlfn.XLOOKUP($A5099,Load!$B:$B,Load!I:I,0,)</f>
        <v>0</v>
      </c>
      <c r="I5099">
        <f>_xlfn.XLOOKUP($A5099,Load!$B:$B,Load!J:J,0,)</f>
        <v>0</v>
      </c>
      <c r="J5099">
        <f>_xlfn.XLOOKUP($A5099,Load!$B:$B,Load!K:K,0,)</f>
        <v>0</v>
      </c>
      <c r="K5099">
        <f>_xlfn.XLOOKUP($A5099,Load!$B:$B,Load!L:L,0,)</f>
        <v>0</v>
      </c>
      <c r="L5099">
        <f>_xlfn.XLOOKUP($A5099,Load!$B:$B,Load!M:M,0,)</f>
        <v>0</v>
      </c>
    </row>
    <row r="5100" spans="1:12" x14ac:dyDescent="0.25">
      <c r="A5100" t="s">
        <v>305</v>
      </c>
      <c r="B5100" t="str">
        <f>_xlfn.XLOOKUP($A5100,Load!$B:$B,Load!C:C,0,)</f>
        <v>Werther's Original</v>
      </c>
      <c r="C5100" t="str">
        <f>_xlfn.XLOOKUP($A5100,Load!$B:$B,Load!D:D,0,)</f>
        <v>Non-Chocolate Candy Only</v>
      </c>
      <c r="D5100" t="str">
        <f>_xlfn.XLOOKUP($A5100,Load!$B:$B,Load!E:E,0,)</f>
        <v>Fall / Seasonal Flavors (pumpkin spice, caramel apple, candy corn)</v>
      </c>
      <c r="E5100" t="str">
        <f>_xlfn.XLOOKUP($A5100,Load!$B:$B,Load!F:F,0,)</f>
        <v>Chewy</v>
      </c>
      <c r="F5100" t="str">
        <f>_xlfn.XLOOKUP($A5100,Load!$B:$B,Load!G:G,0,)</f>
        <v>Single Pack</v>
      </c>
      <c r="G5100" t="str">
        <f>_xlfn.XLOOKUP($A5100,Load!$B:$B,Load!H:H,0,)</f>
        <v>Stand-Up Bag</v>
      </c>
      <c r="H5100" t="str">
        <f>_xlfn.XLOOKUP($A5100,Load!$B:$B,Load!I:I,0,)</f>
        <v>Everyday Candy Shapes (like Original, Gummy bear, Fruit, Jewels, etc.)</v>
      </c>
      <c r="I5100" t="str">
        <f>_xlfn.XLOOKUP($A5100,Load!$B:$B,Load!J:J,0,)</f>
        <v>Seasonal Graphics (Like Bat, Ghost, Pumpkin, Fall Leaves, Eyeballs, etc.)</v>
      </c>
      <c r="J5100" t="str">
        <f>_xlfn.XLOOKUP($A5100,Load!$B:$B,Load!K:K,0,)</f>
        <v>Fun Size / Treat Size</v>
      </c>
      <c r="K5100" t="str">
        <f>_xlfn.XLOOKUP($A5100,Load!$B:$B,Load!L:L,0,)</f>
        <v>Regular/Original Wrapping</v>
      </c>
      <c r="L5100" t="str">
        <f>_xlfn.XLOOKUP($A5100,Load!$B:$B,Load!M:M,0,)</f>
        <v>Single Brand / Single Flavor or Form</v>
      </c>
    </row>
    <row r="5101" spans="1:12" x14ac:dyDescent="0.25">
      <c r="A5101" t="s">
        <v>307</v>
      </c>
      <c r="B5101" t="str">
        <f>_xlfn.XLOOKUP($A5101,Load!$B:$B,Load!C:C,0,)</f>
        <v>Werther's Original</v>
      </c>
      <c r="C5101" t="str">
        <f>_xlfn.XLOOKUP($A5101,Load!$B:$B,Load!D:D,0,)</f>
        <v>Non-Chocolate Candy Only</v>
      </c>
      <c r="D5101" t="str">
        <f>_xlfn.XLOOKUP($A5101,Load!$B:$B,Load!E:E,0,)</f>
        <v>Fall / Seasonal Flavors (pumpkin spice, caramel apple, candy corn)</v>
      </c>
      <c r="E5101" t="str">
        <f>_xlfn.XLOOKUP($A5101,Load!$B:$B,Load!F:F,0,)</f>
        <v>Hard Candy</v>
      </c>
      <c r="F5101" t="str">
        <f>_xlfn.XLOOKUP($A5101,Load!$B:$B,Load!G:G,0,)</f>
        <v>Single Pack</v>
      </c>
      <c r="G5101" t="str">
        <f>_xlfn.XLOOKUP($A5101,Load!$B:$B,Load!H:H,0,)</f>
        <v>Stand-Up Bag</v>
      </c>
      <c r="H5101" t="str">
        <f>_xlfn.XLOOKUP($A5101,Load!$B:$B,Load!I:I,0,)</f>
        <v>Everyday Candy Shapes (like Original, Gummy bear, Fruit, Jewels, etc.)</v>
      </c>
      <c r="I5101" t="str">
        <f>_xlfn.XLOOKUP($A5101,Load!$B:$B,Load!J:J,0,)</f>
        <v>Seasonal Graphics (Like Bat, Ghost, Pumpkin, Fall Leaves, Eyeballs, etc.)</v>
      </c>
      <c r="J5101" t="str">
        <f>_xlfn.XLOOKUP($A5101,Load!$B:$B,Load!K:K,0,)</f>
        <v>Fun Size / Treat Size</v>
      </c>
      <c r="K5101" t="str">
        <f>_xlfn.XLOOKUP($A5101,Load!$B:$B,Load!L:L,0,)</f>
        <v>Regular/Original Wrapping</v>
      </c>
      <c r="L5101" t="str">
        <f>_xlfn.XLOOKUP($A5101,Load!$B:$B,Load!M:M,0,)</f>
        <v>Single Brand / Single Flavor or Form</v>
      </c>
    </row>
    <row r="5102" spans="1:12" x14ac:dyDescent="0.25">
      <c r="A5102" t="s">
        <v>69</v>
      </c>
      <c r="B5102" t="str">
        <f>_xlfn.XLOOKUP($A5102,Load!$B:$B,Load!C:C,0,)</f>
        <v>Dum Dums</v>
      </c>
      <c r="C5102" t="str">
        <f>_xlfn.XLOOKUP($A5102,Load!$B:$B,Load!D:D,0,)</f>
        <v>Non-Chocolate Candy Only</v>
      </c>
      <c r="D5102" t="str">
        <f>_xlfn.XLOOKUP($A5102,Load!$B:$B,Load!E:E,0,)</f>
        <v>Sweet</v>
      </c>
      <c r="E5102" t="str">
        <f>_xlfn.XLOOKUP($A5102,Load!$B:$B,Load!F:F,0,)</f>
        <v>Lollipop (regular or lollipop rings)</v>
      </c>
      <c r="F5102" t="str">
        <f>_xlfn.XLOOKUP($A5102,Load!$B:$B,Load!G:G,0,)</f>
        <v>Single Pack</v>
      </c>
      <c r="G5102" t="str">
        <f>_xlfn.XLOOKUP($A5102,Load!$B:$B,Load!H:H,0,)</f>
        <v>Laydown Bag</v>
      </c>
      <c r="H5102" t="str">
        <f>_xlfn.XLOOKUP($A5102,Load!$B:$B,Load!I:I,0,)</f>
        <v>Seasonal Shapes (like pumpkins, candy corn, ghost, bats, etc.)</v>
      </c>
      <c r="I5102" t="str">
        <f>_xlfn.XLOOKUP($A5102,Load!$B:$B,Load!J:J,0,)</f>
        <v>Seasonal Graphics (Like Bat, Ghost, Pumpkin, Fall Leaves, Eyeballs, etc.)</v>
      </c>
      <c r="J5102" t="str">
        <f>_xlfn.XLOOKUP($A5102,Load!$B:$B,Load!K:K,0,)</f>
        <v>Regular Lollipop size (on sticks or rings)</v>
      </c>
      <c r="K5102" t="str">
        <f>_xlfn.XLOOKUP($A5102,Load!$B:$B,Load!L:L,0,)</f>
        <v>Regular/Original Wrapping</v>
      </c>
      <c r="L5102" t="str">
        <f>_xlfn.XLOOKUP($A5102,Load!$B:$B,Load!M:M,0,)</f>
        <v>Single Brand / Variety Flavors or Form</v>
      </c>
    </row>
    <row r="5103" spans="1:12" x14ac:dyDescent="0.25">
      <c r="A5103" t="s">
        <v>246</v>
      </c>
      <c r="B5103" t="str">
        <f>_xlfn.XLOOKUP($A5103,Load!$B:$B,Load!C:C,0,)</f>
        <v>Ring Pop</v>
      </c>
      <c r="C5103" t="str">
        <f>_xlfn.XLOOKUP($A5103,Load!$B:$B,Load!D:D,0,)</f>
        <v>Non-Chocolate Candy Only</v>
      </c>
      <c r="D5103" t="str">
        <f>_xlfn.XLOOKUP($A5103,Load!$B:$B,Load!E:E,0,)</f>
        <v>Variety / Mixed Flavors (Fruity, Sour, Seasonal Flavors)</v>
      </c>
      <c r="E5103" t="str">
        <f>_xlfn.XLOOKUP($A5103,Load!$B:$B,Load!F:F,0,)</f>
        <v>Lollipop (regular or lollipop rings)</v>
      </c>
      <c r="F5103" t="str">
        <f>_xlfn.XLOOKUP($A5103,Load!$B:$B,Load!G:G,0,)</f>
        <v>Single Pack</v>
      </c>
      <c r="G5103" t="str">
        <f>_xlfn.XLOOKUP($A5103,Load!$B:$B,Load!H:H,0,)</f>
        <v>Laydown Bag</v>
      </c>
      <c r="H5103" t="str">
        <f>_xlfn.XLOOKUP($A5103,Load!$B:$B,Load!I:I,0,)</f>
        <v>Everyday Candy Shapes (like Original, Gummy bear, Fruit, Jewels, etc.)</v>
      </c>
      <c r="I5103" t="str">
        <f>_xlfn.XLOOKUP($A5103,Load!$B:$B,Load!J:J,0,)</f>
        <v>Seasonal Graphics (Like Bat, Ghost, Pumpkin, Fall Leaves, Eyeballs, etc.)</v>
      </c>
      <c r="J5103" t="str">
        <f>_xlfn.XLOOKUP($A5103,Load!$B:$B,Load!K:K,0,)</f>
        <v>Regular Lollipop size (on sticks or rings)</v>
      </c>
      <c r="K5103" t="str">
        <f>_xlfn.XLOOKUP($A5103,Load!$B:$B,Load!L:L,0,)</f>
        <v>Regular/Original Wrapping</v>
      </c>
      <c r="L5103" t="str">
        <f>_xlfn.XLOOKUP($A5103,Load!$B:$B,Load!M:M,0,)</f>
        <v>Single Brand / Variety Flavors or Form</v>
      </c>
    </row>
    <row r="5104" spans="1:12" x14ac:dyDescent="0.25">
      <c r="A5104" t="s">
        <v>246</v>
      </c>
      <c r="B5104" t="str">
        <f>_xlfn.XLOOKUP($A5104,Load!$B:$B,Load!C:C,0,)</f>
        <v>Ring Pop</v>
      </c>
      <c r="C5104" t="str">
        <f>_xlfn.XLOOKUP($A5104,Load!$B:$B,Load!D:D,0,)</f>
        <v>Non-Chocolate Candy Only</v>
      </c>
      <c r="D5104" t="str">
        <f>_xlfn.XLOOKUP($A5104,Load!$B:$B,Load!E:E,0,)</f>
        <v>Variety / Mixed Flavors (Fruity, Sour, Seasonal Flavors)</v>
      </c>
      <c r="E5104" t="str">
        <f>_xlfn.XLOOKUP($A5104,Load!$B:$B,Load!F:F,0,)</f>
        <v>Lollipop (regular or lollipop rings)</v>
      </c>
      <c r="F5104" t="str">
        <f>_xlfn.XLOOKUP($A5104,Load!$B:$B,Load!G:G,0,)</f>
        <v>Single Pack</v>
      </c>
      <c r="G5104" t="str">
        <f>_xlfn.XLOOKUP($A5104,Load!$B:$B,Load!H:H,0,)</f>
        <v>Laydown Bag</v>
      </c>
      <c r="H5104" t="str">
        <f>_xlfn.XLOOKUP($A5104,Load!$B:$B,Load!I:I,0,)</f>
        <v>Everyday Candy Shapes (like Original, Gummy bear, Fruit, Jewels, etc.)</v>
      </c>
      <c r="I5104" t="str">
        <f>_xlfn.XLOOKUP($A5104,Load!$B:$B,Load!J:J,0,)</f>
        <v>Seasonal Graphics (Like Bat, Ghost, Pumpkin, Fall Leaves, Eyeballs, etc.)</v>
      </c>
      <c r="J5104" t="str">
        <f>_xlfn.XLOOKUP($A5104,Load!$B:$B,Load!K:K,0,)</f>
        <v>Regular Lollipop size (on sticks or rings)</v>
      </c>
      <c r="K5104" t="str">
        <f>_xlfn.XLOOKUP($A5104,Load!$B:$B,Load!L:L,0,)</f>
        <v>Regular/Original Wrapping</v>
      </c>
      <c r="L5104" t="str">
        <f>_xlfn.XLOOKUP($A5104,Load!$B:$B,Load!M:M,0,)</f>
        <v>Single Brand / Variety Flavors or Form</v>
      </c>
    </row>
    <row r="5105" spans="1:12" x14ac:dyDescent="0.25">
      <c r="A5105" t="s">
        <v>150</v>
      </c>
      <c r="B5105" t="str">
        <f>_xlfn.XLOOKUP($A5105,Load!$B:$B,Load!C:C,0,)</f>
        <v>Jolly Rancher</v>
      </c>
      <c r="C5105" t="str">
        <f>_xlfn.XLOOKUP($A5105,Load!$B:$B,Load!D:D,0,)</f>
        <v>Non-Chocolate Candy Only</v>
      </c>
      <c r="D5105" t="str">
        <f>_xlfn.XLOOKUP($A5105,Load!$B:$B,Load!E:E,0,)</f>
        <v>Variety / Mixed Flavors (Fruity, Sour, Seasonal Flavors)</v>
      </c>
      <c r="E5105" t="str">
        <f>_xlfn.XLOOKUP($A5105,Load!$B:$B,Load!F:F,0,)</f>
        <v>Gummy</v>
      </c>
      <c r="F5105" t="str">
        <f>_xlfn.XLOOKUP($A5105,Load!$B:$B,Load!G:G,0,)</f>
        <v>Small Multipack (Less than 40 ct)</v>
      </c>
      <c r="G5105" t="str">
        <f>_xlfn.XLOOKUP($A5105,Load!$B:$B,Load!H:H,0,)</f>
        <v>Laydown Bag</v>
      </c>
      <c r="H5105" t="str">
        <f>_xlfn.XLOOKUP($A5105,Load!$B:$B,Load!I:I,0,)</f>
        <v>Everyday Candy Shapes (like Original, Gummy bear, Fruit, Jewels, etc.)</v>
      </c>
      <c r="I5105" t="str">
        <f>_xlfn.XLOOKUP($A5105,Load!$B:$B,Load!J:J,0,)</f>
        <v>Everyday Graphics</v>
      </c>
      <c r="J5105" t="str">
        <f>_xlfn.XLOOKUP($A5105,Load!$B:$B,Load!K:K,0,)</f>
        <v>Small Pieces (Tiny bite size candies)</v>
      </c>
      <c r="K5105" t="str">
        <f>_xlfn.XLOOKUP($A5105,Load!$B:$B,Load!L:L,0,)</f>
        <v>Regular/Original Wrapping</v>
      </c>
      <c r="L5105" t="str">
        <f>_xlfn.XLOOKUP($A5105,Load!$B:$B,Load!M:M,0,)</f>
        <v>Single Brand / Variety Flavors or Form</v>
      </c>
    </row>
    <row r="5106" spans="1:12" x14ac:dyDescent="0.25">
      <c r="A5106" t="s">
        <v>297</v>
      </c>
      <c r="B5106" t="str">
        <f>_xlfn.XLOOKUP($A5106,Load!$B:$B,Load!C:C,0,)</f>
        <v>Trolli</v>
      </c>
      <c r="C5106" t="str">
        <f>_xlfn.XLOOKUP($A5106,Load!$B:$B,Load!D:D,0,)</f>
        <v>Non-Chocolate Candy Only</v>
      </c>
      <c r="D5106" t="str">
        <f>_xlfn.XLOOKUP($A5106,Load!$B:$B,Load!E:E,0,)</f>
        <v>Sour</v>
      </c>
      <c r="E5106" t="str">
        <f>_xlfn.XLOOKUP($A5106,Load!$B:$B,Load!F:F,0,)</f>
        <v>Gummy</v>
      </c>
      <c r="F5106" t="str">
        <f>_xlfn.XLOOKUP($A5106,Load!$B:$B,Load!G:G,0,)</f>
        <v>Small Multipack (Less than 40 ct)</v>
      </c>
      <c r="G5106" t="str">
        <f>_xlfn.XLOOKUP($A5106,Load!$B:$B,Load!H:H,0,)</f>
        <v>Peg Bag</v>
      </c>
      <c r="H5106" t="str">
        <f>_xlfn.XLOOKUP($A5106,Load!$B:$B,Load!I:I,0,)</f>
        <v>Everyday Candy Shapes (like Original, Gummy bear, Fruit, Jewels, etc.)</v>
      </c>
      <c r="I5106" t="str">
        <f>_xlfn.XLOOKUP($A5106,Load!$B:$B,Load!J:J,0,)</f>
        <v>Everyday Graphics</v>
      </c>
      <c r="J5106" t="str">
        <f>_xlfn.XLOOKUP($A5106,Load!$B:$B,Load!K:K,0,)</f>
        <v>Fun Size / Treat Size</v>
      </c>
      <c r="K5106" t="str">
        <f>_xlfn.XLOOKUP($A5106,Load!$B:$B,Load!L:L,0,)</f>
        <v>Unwrapped</v>
      </c>
      <c r="L5106" t="str">
        <f>_xlfn.XLOOKUP($A5106,Load!$B:$B,Load!M:M,0,)</f>
        <v>Single Brand / Variety Flavors or Form</v>
      </c>
    </row>
    <row r="5107" spans="1:12" x14ac:dyDescent="0.25">
      <c r="B5107">
        <f>_xlfn.XLOOKUP($A5107,Load!$B:$B,Load!C:C,0,)</f>
        <v>0</v>
      </c>
      <c r="C5107">
        <f>_xlfn.XLOOKUP($A5107,Load!$B:$B,Load!D:D,0,)</f>
        <v>0</v>
      </c>
      <c r="D5107">
        <f>_xlfn.XLOOKUP($A5107,Load!$B:$B,Load!E:E,0,)</f>
        <v>0</v>
      </c>
      <c r="E5107">
        <f>_xlfn.XLOOKUP($A5107,Load!$B:$B,Load!F:F,0,)</f>
        <v>0</v>
      </c>
      <c r="F5107">
        <f>_xlfn.XLOOKUP($A5107,Load!$B:$B,Load!G:G,0,)</f>
        <v>0</v>
      </c>
      <c r="G5107">
        <f>_xlfn.XLOOKUP($A5107,Load!$B:$B,Load!H:H,0,)</f>
        <v>0</v>
      </c>
      <c r="H5107">
        <f>_xlfn.XLOOKUP($A5107,Load!$B:$B,Load!I:I,0,)</f>
        <v>0</v>
      </c>
      <c r="I5107">
        <f>_xlfn.XLOOKUP($A5107,Load!$B:$B,Load!J:J,0,)</f>
        <v>0</v>
      </c>
      <c r="J5107">
        <f>_xlfn.XLOOKUP($A5107,Load!$B:$B,Load!K:K,0,)</f>
        <v>0</v>
      </c>
      <c r="K5107">
        <f>_xlfn.XLOOKUP($A5107,Load!$B:$B,Load!L:L,0,)</f>
        <v>0</v>
      </c>
      <c r="L5107">
        <f>_xlfn.XLOOKUP($A5107,Load!$B:$B,Load!M:M,0,)</f>
        <v>0</v>
      </c>
    </row>
    <row r="5108" spans="1:12" x14ac:dyDescent="0.25">
      <c r="A5108" t="s">
        <v>472</v>
      </c>
      <c r="B5108" t="str">
        <f>_xlfn.XLOOKUP($A5108,Load!$B:$B,Load!C:C,0,)</f>
        <v>SweeTARTS</v>
      </c>
      <c r="C5108" t="str">
        <f>_xlfn.XLOOKUP($A5108,Load!$B:$B,Load!D:D,0,)</f>
        <v>Non-Chocolate Candy Only</v>
      </c>
      <c r="D5108" t="str">
        <f>_xlfn.XLOOKUP($A5108,Load!$B:$B,Load!E:E,0,)</f>
        <v>Fruit Flavor (Cherry, Grape, Apple, Citrus, Tropical Fruit)</v>
      </c>
      <c r="E5108" t="str">
        <f>_xlfn.XLOOKUP($A5108,Load!$B:$B,Load!F:F,0,)</f>
        <v>Chewy</v>
      </c>
      <c r="F5108" t="str">
        <f>_xlfn.XLOOKUP($A5108,Load!$B:$B,Load!G:G,0,)</f>
        <v>Small Multipack (Less than 40 ct)</v>
      </c>
      <c r="G5108" t="str">
        <f>_xlfn.XLOOKUP($A5108,Load!$B:$B,Load!H:H,0,)</f>
        <v>Laydown Bag</v>
      </c>
      <c r="H5108" t="str">
        <f>_xlfn.XLOOKUP($A5108,Load!$B:$B,Load!I:I,0,)</f>
        <v>Everyday Candy Shapes (like Original, Gummy bear, Fruit, Jewels, etc.)</v>
      </c>
      <c r="I5108" t="str">
        <f>_xlfn.XLOOKUP($A5108,Load!$B:$B,Load!J:J,0,)</f>
        <v>Everyday Graphics</v>
      </c>
      <c r="J5108" t="str">
        <f>_xlfn.XLOOKUP($A5108,Load!$B:$B,Load!K:K,0,)</f>
        <v>Small Pieces (Tiny bite size candies)</v>
      </c>
      <c r="K5108" t="str">
        <f>_xlfn.XLOOKUP($A5108,Load!$B:$B,Load!L:L,0,)</f>
        <v>unwrapped</v>
      </c>
      <c r="L5108" t="str">
        <f>_xlfn.XLOOKUP($A5108,Load!$B:$B,Load!M:M,0,)</f>
        <v>Single Brand / Single Flavor or Form</v>
      </c>
    </row>
    <row r="5109" spans="1:12" x14ac:dyDescent="0.25">
      <c r="A5109" t="s">
        <v>471</v>
      </c>
      <c r="B5109" t="str">
        <f>_xlfn.XLOOKUP($A5109,Load!$B:$B,Load!C:C,0,)</f>
        <v>Airheads</v>
      </c>
      <c r="C5109" t="str">
        <f>_xlfn.XLOOKUP($A5109,Load!$B:$B,Load!D:D,0,)</f>
        <v>Non-Chocolate Candy Only</v>
      </c>
      <c r="D5109" t="str">
        <f>_xlfn.XLOOKUP($A5109,Load!$B:$B,Load!E:E,0,)</f>
        <v>Fruit Flavor (Cherry, Grape, Apple, Citrus, Tropical Fruit)</v>
      </c>
      <c r="E5109" t="str">
        <f>_xlfn.XLOOKUP($A5109,Load!$B:$B,Load!F:F,0,)</f>
        <v>Candy Pieces / Bites</v>
      </c>
      <c r="F5109" t="str">
        <f>_xlfn.XLOOKUP($A5109,Load!$B:$B,Load!G:G,0,)</f>
        <v>Small Multipack (Less than 40 ct)</v>
      </c>
      <c r="G5109" t="str">
        <f>_xlfn.XLOOKUP($A5109,Load!$B:$B,Load!H:H,0,)</f>
        <v>Box (theatre box, gift box, carton)</v>
      </c>
      <c r="H5109" t="str">
        <f>_xlfn.XLOOKUP($A5109,Load!$B:$B,Load!I:I,0,)</f>
        <v>Everyday Candy Shapes (like Original, Gummy bear, Fruit, Jewels, etc.)</v>
      </c>
      <c r="I5109" t="str">
        <f>_xlfn.XLOOKUP($A5109,Load!$B:$B,Load!J:J,0,)</f>
        <v>Everyday Graphics</v>
      </c>
      <c r="J5109" t="str">
        <f>_xlfn.XLOOKUP($A5109,Load!$B:$B,Load!K:K,0,)</f>
        <v>Small Pieces (Tiny bite size candies)</v>
      </c>
      <c r="K5109" t="str">
        <f>_xlfn.XLOOKUP($A5109,Load!$B:$B,Load!L:L,0,)</f>
        <v>Regular/Original Wrapping</v>
      </c>
      <c r="L5109" t="str">
        <f>_xlfn.XLOOKUP($A5109,Load!$B:$B,Load!M:M,0,)</f>
        <v>Single Brand / Variety Flavors or Form</v>
      </c>
    </row>
    <row r="5110" spans="1:12" x14ac:dyDescent="0.25">
      <c r="A5110" t="s">
        <v>183</v>
      </c>
      <c r="B5110" t="str">
        <f>_xlfn.XLOOKUP($A5110,Load!$B:$B,Load!C:C,0,)</f>
        <v>Mars Variety Pack</v>
      </c>
      <c r="C5110" t="str">
        <f>_xlfn.XLOOKUP($A5110,Load!$B:$B,Load!D:D,0,)</f>
        <v>Non-Chocolate Candy Only</v>
      </c>
      <c r="D5110" t="str">
        <f>_xlfn.XLOOKUP($A5110,Load!$B:$B,Load!E:E,0,)</f>
        <v>Variety / Mixed Flavors (Fruity, Sour, Seasonal Flavors)</v>
      </c>
      <c r="E5110" t="str">
        <f>_xlfn.XLOOKUP($A5110,Load!$B:$B,Load!F:F,0,)</f>
        <v>Mixed / Combo Packs (Gummy, Chewy, Taffy, etc.)</v>
      </c>
      <c r="F5110" t="str">
        <f>_xlfn.XLOOKUP($A5110,Load!$B:$B,Load!G:G,0,)</f>
        <v>Large Multipack (More than 80 ct)</v>
      </c>
      <c r="G5110" t="str">
        <f>_xlfn.XLOOKUP($A5110,Load!$B:$B,Load!H:H,0,)</f>
        <v>Stand-Up Bag</v>
      </c>
      <c r="H5110" t="str">
        <f>_xlfn.XLOOKUP($A5110,Load!$B:$B,Load!I:I,0,)</f>
        <v>Seasonal Shapes (like pumpkins, candy corn, ghost, bats, etc.)</v>
      </c>
      <c r="I5110" t="str">
        <f>_xlfn.XLOOKUP($A5110,Load!$B:$B,Load!J:J,0,)</f>
        <v>Seasonal Graphics (Like Bat, Ghost, Pumpkin, Fall Leaves, Eyeballs, etc.)</v>
      </c>
      <c r="J5110" t="str">
        <f>_xlfn.XLOOKUP($A5110,Load!$B:$B,Load!K:K,0,)</f>
        <v xml:space="preserve">Variety Candy Sizes </v>
      </c>
      <c r="K5110" t="str">
        <f>_xlfn.XLOOKUP($A5110,Load!$B:$B,Load!L:L,0,)</f>
        <v>Regular/Original Wrapping</v>
      </c>
      <c r="L5110" t="str">
        <f>_xlfn.XLOOKUP($A5110,Load!$B:$B,Load!M:M,0,)</f>
        <v>Multiple Brands / Variety Flavors or Form</v>
      </c>
    </row>
    <row r="5111" spans="1:12" x14ac:dyDescent="0.25">
      <c r="A5111" t="s">
        <v>85</v>
      </c>
      <c r="B5111" t="str">
        <f>_xlfn.XLOOKUP($A5111,Load!$B:$B,Load!C:C,0,)</f>
        <v>Ferrara Variety Pack</v>
      </c>
      <c r="C5111" t="str">
        <f>_xlfn.XLOOKUP($A5111,Load!$B:$B,Load!D:D,0,)</f>
        <v>Non-Chocolate Candy Only</v>
      </c>
      <c r="D5111" t="str">
        <f>_xlfn.XLOOKUP($A5111,Load!$B:$B,Load!E:E,0,)</f>
        <v>Variety / Mixed Flavors (Fruity, Sour, Seasonal Flavors)</v>
      </c>
      <c r="E5111" t="str">
        <f>_xlfn.XLOOKUP($A5111,Load!$B:$B,Load!F:F,0,)</f>
        <v>Mixed / Combo Packs (Gummy, Chewy, Taffy, etc.)</v>
      </c>
      <c r="F5111" t="str">
        <f>_xlfn.XLOOKUP($A5111,Load!$B:$B,Load!G:G,0,)</f>
        <v>Large Multipack (More than 80 ct)</v>
      </c>
      <c r="G5111" t="str">
        <f>_xlfn.XLOOKUP($A5111,Load!$B:$B,Load!H:H,0,)</f>
        <v>Stand-Up Bag</v>
      </c>
      <c r="H5111" t="str">
        <f>_xlfn.XLOOKUP($A5111,Load!$B:$B,Load!I:I,0,)</f>
        <v>Seasonal Shapes (like pumpkins, candy corn, ghost, bats, etc.)</v>
      </c>
      <c r="I5111" t="str">
        <f>_xlfn.XLOOKUP($A5111,Load!$B:$B,Load!J:J,0,)</f>
        <v>Seasonal Graphics (Like Bat, Ghost, Pumpkin, Fall Leaves, Eyeballs, etc.)</v>
      </c>
      <c r="J5111" t="str">
        <f>_xlfn.XLOOKUP($A5111,Load!$B:$B,Load!K:K,0,)</f>
        <v>Fun Size / Treat Size</v>
      </c>
      <c r="K5111" t="str">
        <f>_xlfn.XLOOKUP($A5111,Load!$B:$B,Load!L:L,0,)</f>
        <v>Regular/Original Wrapping</v>
      </c>
      <c r="L5111" t="str">
        <f>_xlfn.XLOOKUP($A5111,Load!$B:$B,Load!M:M,0,)</f>
        <v>Multiple Brands / Variety Flavors or Form</v>
      </c>
    </row>
    <row r="5112" spans="1:12" x14ac:dyDescent="0.25">
      <c r="B5112">
        <f>_xlfn.XLOOKUP($A5112,Load!$B:$B,Load!C:C,0,)</f>
        <v>0</v>
      </c>
      <c r="C5112">
        <f>_xlfn.XLOOKUP($A5112,Load!$B:$B,Load!D:D,0,)</f>
        <v>0</v>
      </c>
      <c r="D5112">
        <f>_xlfn.XLOOKUP($A5112,Load!$B:$B,Load!E:E,0,)</f>
        <v>0</v>
      </c>
      <c r="E5112">
        <f>_xlfn.XLOOKUP($A5112,Load!$B:$B,Load!F:F,0,)</f>
        <v>0</v>
      </c>
      <c r="F5112">
        <f>_xlfn.XLOOKUP($A5112,Load!$B:$B,Load!G:G,0,)</f>
        <v>0</v>
      </c>
      <c r="G5112">
        <f>_xlfn.XLOOKUP($A5112,Load!$B:$B,Load!H:H,0,)</f>
        <v>0</v>
      </c>
      <c r="H5112">
        <f>_xlfn.XLOOKUP($A5112,Load!$B:$B,Load!I:I,0,)</f>
        <v>0</v>
      </c>
      <c r="I5112">
        <f>_xlfn.XLOOKUP($A5112,Load!$B:$B,Load!J:J,0,)</f>
        <v>0</v>
      </c>
      <c r="J5112">
        <f>_xlfn.XLOOKUP($A5112,Load!$B:$B,Load!K:K,0,)</f>
        <v>0</v>
      </c>
      <c r="K5112">
        <f>_xlfn.XLOOKUP($A5112,Load!$B:$B,Load!L:L,0,)</f>
        <v>0</v>
      </c>
      <c r="L5112">
        <f>_xlfn.XLOOKUP($A5112,Load!$B:$B,Load!M:M,0,)</f>
        <v>0</v>
      </c>
    </row>
    <row r="5113" spans="1:12" x14ac:dyDescent="0.25">
      <c r="B5113">
        <f>_xlfn.XLOOKUP($A5113,Load!$B:$B,Load!C:C,0,)</f>
        <v>0</v>
      </c>
      <c r="C5113">
        <f>_xlfn.XLOOKUP($A5113,Load!$B:$B,Load!D:D,0,)</f>
        <v>0</v>
      </c>
      <c r="D5113">
        <f>_xlfn.XLOOKUP($A5113,Load!$B:$B,Load!E:E,0,)</f>
        <v>0</v>
      </c>
      <c r="E5113">
        <f>_xlfn.XLOOKUP($A5113,Load!$B:$B,Load!F:F,0,)</f>
        <v>0</v>
      </c>
      <c r="F5113">
        <f>_xlfn.XLOOKUP($A5113,Load!$B:$B,Load!G:G,0,)</f>
        <v>0</v>
      </c>
      <c r="G5113">
        <f>_xlfn.XLOOKUP($A5113,Load!$B:$B,Load!H:H,0,)</f>
        <v>0</v>
      </c>
      <c r="H5113">
        <f>_xlfn.XLOOKUP($A5113,Load!$B:$B,Load!I:I,0,)</f>
        <v>0</v>
      </c>
      <c r="I5113">
        <f>_xlfn.XLOOKUP($A5113,Load!$B:$B,Load!J:J,0,)</f>
        <v>0</v>
      </c>
      <c r="J5113">
        <f>_xlfn.XLOOKUP($A5113,Load!$B:$B,Load!K:K,0,)</f>
        <v>0</v>
      </c>
      <c r="K5113">
        <f>_xlfn.XLOOKUP($A5113,Load!$B:$B,Load!L:L,0,)</f>
        <v>0</v>
      </c>
      <c r="L5113">
        <f>_xlfn.XLOOKUP($A5113,Load!$B:$B,Load!M:M,0,)</f>
        <v>0</v>
      </c>
    </row>
    <row r="5114" spans="1:12" x14ac:dyDescent="0.25">
      <c r="B5114">
        <f>_xlfn.XLOOKUP($A5114,Load!$B:$B,Load!C:C,0,)</f>
        <v>0</v>
      </c>
      <c r="C5114">
        <f>_xlfn.XLOOKUP($A5114,Load!$B:$B,Load!D:D,0,)</f>
        <v>0</v>
      </c>
      <c r="D5114">
        <f>_xlfn.XLOOKUP($A5114,Load!$B:$B,Load!E:E,0,)</f>
        <v>0</v>
      </c>
      <c r="E5114">
        <f>_xlfn.XLOOKUP($A5114,Load!$B:$B,Load!F:F,0,)</f>
        <v>0</v>
      </c>
      <c r="F5114">
        <f>_xlfn.XLOOKUP($A5114,Load!$B:$B,Load!G:G,0,)</f>
        <v>0</v>
      </c>
      <c r="G5114">
        <f>_xlfn.XLOOKUP($A5114,Load!$B:$B,Load!H:H,0,)</f>
        <v>0</v>
      </c>
      <c r="H5114">
        <f>_xlfn.XLOOKUP($A5114,Load!$B:$B,Load!I:I,0,)</f>
        <v>0</v>
      </c>
      <c r="I5114">
        <f>_xlfn.XLOOKUP($A5114,Load!$B:$B,Load!J:J,0,)</f>
        <v>0</v>
      </c>
      <c r="J5114">
        <f>_xlfn.XLOOKUP($A5114,Load!$B:$B,Load!K:K,0,)</f>
        <v>0</v>
      </c>
      <c r="K5114">
        <f>_xlfn.XLOOKUP($A5114,Load!$B:$B,Load!L:L,0,)</f>
        <v>0</v>
      </c>
      <c r="L5114">
        <f>_xlfn.XLOOKUP($A5114,Load!$B:$B,Load!M:M,0,)</f>
        <v>0</v>
      </c>
    </row>
    <row r="5115" spans="1:12" x14ac:dyDescent="0.25">
      <c r="B5115">
        <f>_xlfn.XLOOKUP($A5115,Load!$B:$B,Load!C:C,0,)</f>
        <v>0</v>
      </c>
      <c r="C5115">
        <f>_xlfn.XLOOKUP($A5115,Load!$B:$B,Load!D:D,0,)</f>
        <v>0</v>
      </c>
      <c r="D5115">
        <f>_xlfn.XLOOKUP($A5115,Load!$B:$B,Load!E:E,0,)</f>
        <v>0</v>
      </c>
      <c r="E5115">
        <f>_xlfn.XLOOKUP($A5115,Load!$B:$B,Load!F:F,0,)</f>
        <v>0</v>
      </c>
      <c r="F5115">
        <f>_xlfn.XLOOKUP($A5115,Load!$B:$B,Load!G:G,0,)</f>
        <v>0</v>
      </c>
      <c r="G5115">
        <f>_xlfn.XLOOKUP($A5115,Load!$B:$B,Load!H:H,0,)</f>
        <v>0</v>
      </c>
      <c r="H5115">
        <f>_xlfn.XLOOKUP($A5115,Load!$B:$B,Load!I:I,0,)</f>
        <v>0</v>
      </c>
      <c r="I5115">
        <f>_xlfn.XLOOKUP($A5115,Load!$B:$B,Load!J:J,0,)</f>
        <v>0</v>
      </c>
      <c r="J5115">
        <f>_xlfn.XLOOKUP($A5115,Load!$B:$B,Load!K:K,0,)</f>
        <v>0</v>
      </c>
      <c r="K5115">
        <f>_xlfn.XLOOKUP($A5115,Load!$B:$B,Load!L:L,0,)</f>
        <v>0</v>
      </c>
      <c r="L5115">
        <f>_xlfn.XLOOKUP($A5115,Load!$B:$B,Load!M:M,0,)</f>
        <v>0</v>
      </c>
    </row>
    <row r="5116" spans="1:12" x14ac:dyDescent="0.25">
      <c r="A5116" t="s">
        <v>180</v>
      </c>
      <c r="B5116" t="str">
        <f>_xlfn.XLOOKUP($A5116,Load!$B:$B,Load!C:C,0,)</f>
        <v>Mars Variety Pack</v>
      </c>
      <c r="C5116" t="str">
        <f>_xlfn.XLOOKUP($A5116,Load!$B:$B,Load!D:D,0,)</f>
        <v>Mix of Chocolate and Non-Chocolate Candy</v>
      </c>
      <c r="D5116" t="str">
        <f>_xlfn.XLOOKUP($A5116,Load!$B:$B,Load!E:E,0,)</f>
        <v>Variety / Mixed Flavors (Fruity, Sour, Seasonal Flavors)</v>
      </c>
      <c r="E5116" t="str">
        <f>_xlfn.XLOOKUP($A5116,Load!$B:$B,Load!F:F,0,)</f>
        <v>Mixed / Combo Packs (Gummy, Chewy, Taffy, etc.)</v>
      </c>
      <c r="F5116" t="str">
        <f>_xlfn.XLOOKUP($A5116,Load!$B:$B,Load!G:G,0,)</f>
        <v>Large Multipack (More than 80 ct)</v>
      </c>
      <c r="G5116" t="str">
        <f>_xlfn.XLOOKUP($A5116,Load!$B:$B,Load!H:H,0,)</f>
        <v>Stand-Up Bag</v>
      </c>
      <c r="H5116" t="str">
        <f>_xlfn.XLOOKUP($A5116,Load!$B:$B,Load!I:I,0,)</f>
        <v>Everyday Candy Shapes (like Original, Gummy bear, Fruit, Jewels, etc.)</v>
      </c>
      <c r="I5116" t="str">
        <f>_xlfn.XLOOKUP($A5116,Load!$B:$B,Load!J:J,0,)</f>
        <v>Seasonal Graphics (Like Bat, Ghost, Pumpkin, Fall Leaves, Eyeballs, etc.)</v>
      </c>
      <c r="J5116" t="str">
        <f>_xlfn.XLOOKUP($A5116,Load!$B:$B,Load!K:K,0,)</f>
        <v>Fun Size / Treat Size</v>
      </c>
      <c r="K5116" t="str">
        <f>_xlfn.XLOOKUP($A5116,Load!$B:$B,Load!L:L,0,)</f>
        <v>Regular/Original Wrapping</v>
      </c>
      <c r="L5116" t="str">
        <f>_xlfn.XLOOKUP($A5116,Load!$B:$B,Load!M:M,0,)</f>
        <v>Multiple Brands / Variety Flavors or Form</v>
      </c>
    </row>
    <row r="5117" spans="1:12" x14ac:dyDescent="0.25">
      <c r="A5117" t="s">
        <v>82</v>
      </c>
      <c r="B5117" t="str">
        <f>_xlfn.XLOOKUP($A5117,Load!$B:$B,Load!C:C,0,)</f>
        <v>Ferrara Variety Pack</v>
      </c>
      <c r="C5117" t="str">
        <f>_xlfn.XLOOKUP($A5117,Load!$B:$B,Load!D:D,0,)</f>
        <v>Non-Chocolate Candy Only</v>
      </c>
      <c r="D5117" t="str">
        <f>_xlfn.XLOOKUP($A5117,Load!$B:$B,Load!E:E,0,)</f>
        <v>Variety / Mixed Flavors (Fruity, Sour, Seasonal Flavors)</v>
      </c>
      <c r="E5117" t="str">
        <f>_xlfn.XLOOKUP($A5117,Load!$B:$B,Load!F:F,0,)</f>
        <v>Mixed / Combo Packs (Gummy, Chewy, Taffy, etc.)</v>
      </c>
      <c r="F5117" t="str">
        <f>_xlfn.XLOOKUP($A5117,Load!$B:$B,Load!G:G,0,)</f>
        <v>Large Multipack (More than 80 ct)</v>
      </c>
      <c r="G5117" t="str">
        <f>_xlfn.XLOOKUP($A5117,Load!$B:$B,Load!H:H,0,)</f>
        <v>Stand-Up Bag</v>
      </c>
      <c r="H5117" t="str">
        <f>_xlfn.XLOOKUP($A5117,Load!$B:$B,Load!I:I,0,)</f>
        <v>Everyday Candy Shapes (like Original, Gummy bear, Fruit, Jewels, etc.)</v>
      </c>
      <c r="I5117" t="str">
        <f>_xlfn.XLOOKUP($A5117,Load!$B:$B,Load!J:J,0,)</f>
        <v>Seasonal Graphics (Like Bat, Ghost, Pumpkin, Fall Leaves, Eyeballs, etc.)</v>
      </c>
      <c r="J5117" t="str">
        <f>_xlfn.XLOOKUP($A5117,Load!$B:$B,Load!K:K,0,)</f>
        <v xml:space="preserve">Variety Candy Sizes </v>
      </c>
      <c r="K5117" t="str">
        <f>_xlfn.XLOOKUP($A5117,Load!$B:$B,Load!L:L,0,)</f>
        <v>Regular/Original Wrapping</v>
      </c>
      <c r="L5117" t="str">
        <f>_xlfn.XLOOKUP($A5117,Load!$B:$B,Load!M:M,0,)</f>
        <v>Multiple Brands / Variety Flavors or Form</v>
      </c>
    </row>
    <row r="5118" spans="1:12" x14ac:dyDescent="0.25">
      <c r="B5118">
        <f>_xlfn.XLOOKUP($A5118,Load!$B:$B,Load!C:C,0,)</f>
        <v>0</v>
      </c>
      <c r="C5118">
        <f>_xlfn.XLOOKUP($A5118,Load!$B:$B,Load!D:D,0,)</f>
        <v>0</v>
      </c>
      <c r="D5118">
        <f>_xlfn.XLOOKUP($A5118,Load!$B:$B,Load!E:E,0,)</f>
        <v>0</v>
      </c>
      <c r="E5118">
        <f>_xlfn.XLOOKUP($A5118,Load!$B:$B,Load!F:F,0,)</f>
        <v>0</v>
      </c>
      <c r="F5118">
        <f>_xlfn.XLOOKUP($A5118,Load!$B:$B,Load!G:G,0,)</f>
        <v>0</v>
      </c>
      <c r="G5118">
        <f>_xlfn.XLOOKUP($A5118,Load!$B:$B,Load!H:H,0,)</f>
        <v>0</v>
      </c>
      <c r="H5118">
        <f>_xlfn.XLOOKUP($A5118,Load!$B:$B,Load!I:I,0,)</f>
        <v>0</v>
      </c>
      <c r="I5118">
        <f>_xlfn.XLOOKUP($A5118,Load!$B:$B,Load!J:J,0,)</f>
        <v>0</v>
      </c>
      <c r="J5118">
        <f>_xlfn.XLOOKUP($A5118,Load!$B:$B,Load!K:K,0,)</f>
        <v>0</v>
      </c>
      <c r="K5118">
        <f>_xlfn.XLOOKUP($A5118,Load!$B:$B,Load!L:L,0,)</f>
        <v>0</v>
      </c>
      <c r="L5118">
        <f>_xlfn.XLOOKUP($A5118,Load!$B:$B,Load!M:M,0,)</f>
        <v>0</v>
      </c>
    </row>
    <row r="5119" spans="1:12" x14ac:dyDescent="0.25">
      <c r="B5119">
        <f>_xlfn.XLOOKUP($A5119,Load!$B:$B,Load!C:C,0,)</f>
        <v>0</v>
      </c>
      <c r="C5119">
        <f>_xlfn.XLOOKUP($A5119,Load!$B:$B,Load!D:D,0,)</f>
        <v>0</v>
      </c>
      <c r="D5119">
        <f>_xlfn.XLOOKUP($A5119,Load!$B:$B,Load!E:E,0,)</f>
        <v>0</v>
      </c>
      <c r="E5119">
        <f>_xlfn.XLOOKUP($A5119,Load!$B:$B,Load!F:F,0,)</f>
        <v>0</v>
      </c>
      <c r="F5119">
        <f>_xlfn.XLOOKUP($A5119,Load!$B:$B,Load!G:G,0,)</f>
        <v>0</v>
      </c>
      <c r="G5119">
        <f>_xlfn.XLOOKUP($A5119,Load!$B:$B,Load!H:H,0,)</f>
        <v>0</v>
      </c>
      <c r="H5119">
        <f>_xlfn.XLOOKUP($A5119,Load!$B:$B,Load!I:I,0,)</f>
        <v>0</v>
      </c>
      <c r="I5119">
        <f>_xlfn.XLOOKUP($A5119,Load!$B:$B,Load!J:J,0,)</f>
        <v>0</v>
      </c>
      <c r="J5119">
        <f>_xlfn.XLOOKUP($A5119,Load!$B:$B,Load!K:K,0,)</f>
        <v>0</v>
      </c>
      <c r="K5119">
        <f>_xlfn.XLOOKUP($A5119,Load!$B:$B,Load!L:L,0,)</f>
        <v>0</v>
      </c>
      <c r="L5119">
        <f>_xlfn.XLOOKUP($A5119,Load!$B:$B,Load!M:M,0,)</f>
        <v>0</v>
      </c>
    </row>
    <row r="5120" spans="1:12" x14ac:dyDescent="0.25">
      <c r="A5120" t="s">
        <v>195</v>
      </c>
      <c r="B5120" t="str">
        <f>_xlfn.XLOOKUP($A5120,Load!$B:$B,Load!C:C,0,)</f>
        <v>Mars Variety Pack</v>
      </c>
      <c r="C5120" t="str">
        <f>_xlfn.XLOOKUP($A5120,Load!$B:$B,Load!D:D,0,)</f>
        <v>Mix of Chocolate and Non-Chocolate Candy</v>
      </c>
      <c r="D5120" t="str">
        <f>_xlfn.XLOOKUP($A5120,Load!$B:$B,Load!E:E,0,)</f>
        <v>Variety / Mixed Flavors (Fruity, Sour, Seasonal Flavors)</v>
      </c>
      <c r="E5120" t="str">
        <f>_xlfn.XLOOKUP($A5120,Load!$B:$B,Load!F:F,0,)</f>
        <v>Mixed / Combo Packs (Gummy, Chewy, Taffy, etc.)</v>
      </c>
      <c r="F5120" t="str">
        <f>_xlfn.XLOOKUP($A5120,Load!$B:$B,Load!G:G,0,)</f>
        <v>Small Multipack (Less than 40 ct)</v>
      </c>
      <c r="G5120" t="str">
        <f>_xlfn.XLOOKUP($A5120,Load!$B:$B,Load!H:H,0,)</f>
        <v>Laydown Bag</v>
      </c>
      <c r="H5120" t="str">
        <f>_xlfn.XLOOKUP($A5120,Load!$B:$B,Load!I:I,0,)</f>
        <v>Everyday Candy Shapes (like Original, Gummy bear, Fruit, Jewels, etc.)</v>
      </c>
      <c r="I5120" t="str">
        <f>_xlfn.XLOOKUP($A5120,Load!$B:$B,Load!J:J,0,)</f>
        <v>Everyday Graphics</v>
      </c>
      <c r="J5120" t="str">
        <f>_xlfn.XLOOKUP($A5120,Load!$B:$B,Load!K:K,0,)</f>
        <v>Fun Size / Treat Size</v>
      </c>
      <c r="K5120" t="str">
        <f>_xlfn.XLOOKUP($A5120,Load!$B:$B,Load!L:L,0,)</f>
        <v>Regular/Original Wrapping</v>
      </c>
      <c r="L5120" t="str">
        <f>_xlfn.XLOOKUP($A5120,Load!$B:$B,Load!M:M,0,)</f>
        <v>Multiple Brands / Variety Flavors or Form</v>
      </c>
    </row>
    <row r="5121" spans="1:12" x14ac:dyDescent="0.25">
      <c r="A5121" t="s">
        <v>326</v>
      </c>
      <c r="B5121" t="str">
        <f>_xlfn.XLOOKUP($A5121,Load!$B:$B,Load!C:C,0,)</f>
        <v>Mondelez Variety Pack</v>
      </c>
      <c r="C5121" t="str">
        <f>_xlfn.XLOOKUP($A5121,Load!$B:$B,Load!D:D,0,)</f>
        <v>Mix of Chocolate and Non-Chocolate Candy</v>
      </c>
      <c r="D5121" t="str">
        <f>_xlfn.XLOOKUP($A5121,Load!$B:$B,Load!E:E,0,)</f>
        <v>Variety / Mixed Flavors (Fruity, Sour, Seasonal Flavors)</v>
      </c>
      <c r="E5121" t="str">
        <f>_xlfn.XLOOKUP($A5121,Load!$B:$B,Load!F:F,0,)</f>
        <v>Mixed / Combo Packs (Gummy, Chewy, Taffy, etc.)</v>
      </c>
      <c r="F5121" t="str">
        <f>_xlfn.XLOOKUP($A5121,Load!$B:$B,Load!G:G,0,)</f>
        <v>Medium Multipack (40–80 ct)</v>
      </c>
      <c r="G5121" t="str">
        <f>_xlfn.XLOOKUP($A5121,Load!$B:$B,Load!H:H,0,)</f>
        <v>Stand-Up Bag</v>
      </c>
      <c r="H5121" t="str">
        <f>_xlfn.XLOOKUP($A5121,Load!$B:$B,Load!I:I,0,)</f>
        <v>Everyday Candy Shapes (like Original, Gummy bear, Fruit, Jewels, etc.)</v>
      </c>
      <c r="I5121" t="str">
        <f>_xlfn.XLOOKUP($A5121,Load!$B:$B,Load!J:J,0,)</f>
        <v>Seasonal Graphics (Like Bat, Ghost, Pumpkin, Fall Leaves, Eyeballs, etc.)</v>
      </c>
      <c r="J5121" t="str">
        <f>_xlfn.XLOOKUP($A5121,Load!$B:$B,Load!K:K,0,)</f>
        <v xml:space="preserve">Variety Candy Sizes </v>
      </c>
      <c r="K5121" t="str">
        <f>_xlfn.XLOOKUP($A5121,Load!$B:$B,Load!L:L,0,)</f>
        <v>Regular/Original Wrapping</v>
      </c>
      <c r="L5121" t="str">
        <f>_xlfn.XLOOKUP($A5121,Load!$B:$B,Load!M:M,0,)</f>
        <v>Multiple Brands / Variety Flavors or Form</v>
      </c>
    </row>
    <row r="5122" spans="1:12" x14ac:dyDescent="0.25">
      <c r="A5122" t="s">
        <v>25</v>
      </c>
      <c r="B5122" t="str">
        <f>_xlfn.XLOOKUP($A5122,Load!$B:$B,Load!C:C,0,)</f>
        <v>Albert's Candy Company</v>
      </c>
      <c r="C5122" t="str">
        <f>_xlfn.XLOOKUP($A5122,Load!$B:$B,Load!D:D,0,)</f>
        <v>Non-Chocolate Candy Only</v>
      </c>
      <c r="D5122" t="str">
        <f>_xlfn.XLOOKUP($A5122,Load!$B:$B,Load!E:E,0,)</f>
        <v>Fruit Flavor (Cherry, Grape, Apple, Citrus, Tropical Fruit)</v>
      </c>
      <c r="E5122" t="str">
        <f>_xlfn.XLOOKUP($A5122,Load!$B:$B,Load!F:F,0,)</f>
        <v>Chewy</v>
      </c>
      <c r="F5122" t="str">
        <f>_xlfn.XLOOKUP($A5122,Load!$B:$B,Load!G:G,0,)</f>
        <v>Large Multipack (More than 80 ct)</v>
      </c>
      <c r="G5122" t="str">
        <f>_xlfn.XLOOKUP($A5122,Load!$B:$B,Load!H:H,0,)</f>
        <v>Laydown Bag</v>
      </c>
      <c r="H5122" t="str">
        <f>_xlfn.XLOOKUP($A5122,Load!$B:$B,Load!I:I,0,)</f>
        <v>Everyday Candy Shapes (like Original, Gummy bear, Fruit, Jewels, etc.)</v>
      </c>
      <c r="I5122" t="str">
        <f>_xlfn.XLOOKUP($A5122,Load!$B:$B,Load!J:J,0,)</f>
        <v>Seasonal Graphics (Like Bat, Ghost, Pumpkin, Fall Leaves, Eyeballs, etc.)</v>
      </c>
      <c r="J5122" t="str">
        <f>_xlfn.XLOOKUP($A5122,Load!$B:$B,Load!K:K,0,)</f>
        <v>Small Pieces (Tiny bite size candies)</v>
      </c>
      <c r="K5122" t="str">
        <f>_xlfn.XLOOKUP($A5122,Load!$B:$B,Load!L:L,0,)</f>
        <v>Regular/Original Wrapping</v>
      </c>
      <c r="L5122" t="str">
        <f>_xlfn.XLOOKUP($A5122,Load!$B:$B,Load!M:M,0,)</f>
        <v>Single Brand / Variety Flavors or Form</v>
      </c>
    </row>
    <row r="5123" spans="1:12" x14ac:dyDescent="0.25">
      <c r="B5123">
        <f>_xlfn.XLOOKUP($A5123,Load!$B:$B,Load!C:C,0,)</f>
        <v>0</v>
      </c>
      <c r="C5123">
        <f>_xlfn.XLOOKUP($A5123,Load!$B:$B,Load!D:D,0,)</f>
        <v>0</v>
      </c>
      <c r="D5123">
        <f>_xlfn.XLOOKUP($A5123,Load!$B:$B,Load!E:E,0,)</f>
        <v>0</v>
      </c>
      <c r="E5123">
        <f>_xlfn.XLOOKUP($A5123,Load!$B:$B,Load!F:F,0,)</f>
        <v>0</v>
      </c>
      <c r="F5123">
        <f>_xlfn.XLOOKUP($A5123,Load!$B:$B,Load!G:G,0,)</f>
        <v>0</v>
      </c>
      <c r="G5123">
        <f>_xlfn.XLOOKUP($A5123,Load!$B:$B,Load!H:H,0,)</f>
        <v>0</v>
      </c>
      <c r="H5123">
        <f>_xlfn.XLOOKUP($A5123,Load!$B:$B,Load!I:I,0,)</f>
        <v>0</v>
      </c>
      <c r="I5123">
        <f>_xlfn.XLOOKUP($A5123,Load!$B:$B,Load!J:J,0,)</f>
        <v>0</v>
      </c>
      <c r="J5123">
        <f>_xlfn.XLOOKUP($A5123,Load!$B:$B,Load!K:K,0,)</f>
        <v>0</v>
      </c>
      <c r="K5123">
        <f>_xlfn.XLOOKUP($A5123,Load!$B:$B,Load!L:L,0,)</f>
        <v>0</v>
      </c>
      <c r="L5123">
        <f>_xlfn.XLOOKUP($A5123,Load!$B:$B,Load!M:M,0,)</f>
        <v>0</v>
      </c>
    </row>
    <row r="5124" spans="1:12" x14ac:dyDescent="0.25">
      <c r="A5124" t="s">
        <v>236</v>
      </c>
      <c r="B5124" t="str">
        <f>_xlfn.XLOOKUP($A5124,Load!$B:$B,Load!C:C,0,)</f>
        <v>Nerds</v>
      </c>
      <c r="C5124" t="str">
        <f>_xlfn.XLOOKUP($A5124,Load!$B:$B,Load!D:D,0,)</f>
        <v>Non-Chocolate Candy Only</v>
      </c>
      <c r="D5124" t="str">
        <f>_xlfn.XLOOKUP($A5124,Load!$B:$B,Load!E:E,0,)</f>
        <v>Variety / Mixed Flavors (Fruity, Sour, Seasonal Flavors)</v>
      </c>
      <c r="E5124" t="str">
        <f>_xlfn.XLOOKUP($A5124,Load!$B:$B,Load!F:F,0,)</f>
        <v>Candy Pieces / Bites</v>
      </c>
      <c r="F5124" t="str">
        <f>_xlfn.XLOOKUP($A5124,Load!$B:$B,Load!G:G,0,)</f>
        <v>Medium Multipack (40–80 ct)</v>
      </c>
      <c r="G5124" t="str">
        <f>_xlfn.XLOOKUP($A5124,Load!$B:$B,Load!H:H,0,)</f>
        <v>Stand-Up Bag</v>
      </c>
      <c r="H5124" t="str">
        <f>_xlfn.XLOOKUP($A5124,Load!$B:$B,Load!I:I,0,)</f>
        <v>Everyday Candy Shapes (like Original, Gummy bear, Fruit, Jewels, etc.)</v>
      </c>
      <c r="I5124" t="str">
        <f>_xlfn.XLOOKUP($A5124,Load!$B:$B,Load!J:J,0,)</f>
        <v>Seasonal Graphics (Like Bat, Ghost, Pumpkin, Fall Leaves, Eyeballs, etc.)</v>
      </c>
      <c r="J5124" t="str">
        <f>_xlfn.XLOOKUP($A5124,Load!$B:$B,Load!K:K,0,)</f>
        <v>Small Pieces (Tiny bite size candies)</v>
      </c>
      <c r="K5124" t="str">
        <f>_xlfn.XLOOKUP($A5124,Load!$B:$B,Load!L:L,0,)</f>
        <v>Unwrapped</v>
      </c>
      <c r="L5124" t="str">
        <f>_xlfn.XLOOKUP($A5124,Load!$B:$B,Load!M:M,0,)</f>
        <v>Single Brand / Variety Flavors or Form</v>
      </c>
    </row>
    <row r="5125" spans="1:12" x14ac:dyDescent="0.25">
      <c r="A5125" t="s">
        <v>100</v>
      </c>
      <c r="B5125" t="str">
        <f>_xlfn.XLOOKUP($A5125,Load!$B:$B,Load!C:C,0,)</f>
        <v>Flix</v>
      </c>
      <c r="C5125" t="str">
        <f>_xlfn.XLOOKUP($A5125,Load!$B:$B,Load!D:D,0,)</f>
        <v>Non-Chocolate Candy Only</v>
      </c>
      <c r="D5125" t="str">
        <f>_xlfn.XLOOKUP($A5125,Load!$B:$B,Load!E:E,0,)</f>
        <v>Berry Based (Raspberry, Strawberry, Medley, etc.)</v>
      </c>
      <c r="E5125" t="str">
        <f>_xlfn.XLOOKUP($A5125,Load!$B:$B,Load!F:F,0,)</f>
        <v>Gummy</v>
      </c>
      <c r="F5125" t="str">
        <f>_xlfn.XLOOKUP($A5125,Load!$B:$B,Load!G:G,0,)</f>
        <v>Small Multipack (Less than 40 ct)</v>
      </c>
      <c r="G5125" t="str">
        <f>_xlfn.XLOOKUP($A5125,Load!$B:$B,Load!H:H,0,)</f>
        <v>Box (theatre box, gift box, carton)</v>
      </c>
      <c r="H5125" t="str">
        <f>_xlfn.XLOOKUP($A5125,Load!$B:$B,Load!I:I,0,)</f>
        <v>Seasonal Shapes (like pumpkins, candy corn, ghost, bats, etc.)</v>
      </c>
      <c r="I5125" t="str">
        <f>_xlfn.XLOOKUP($A5125,Load!$B:$B,Load!J:J,0,)</f>
        <v>Seasonal Graphics (Like Bat, Ghost, Pumpkin, Fall Leaves, Eyeballs, etc.)</v>
      </c>
      <c r="J5125" t="str">
        <f>_xlfn.XLOOKUP($A5125,Load!$B:$B,Load!K:K,0,)</f>
        <v xml:space="preserve">Variety Candy Sizes </v>
      </c>
      <c r="K5125" t="str">
        <f>_xlfn.XLOOKUP($A5125,Load!$B:$B,Load!L:L,0,)</f>
        <v>Unwrapped</v>
      </c>
      <c r="L5125" t="str">
        <f>_xlfn.XLOOKUP($A5125,Load!$B:$B,Load!M:M,0,)</f>
        <v>Single Brand / Variety Flavors or Form</v>
      </c>
    </row>
    <row r="5126" spans="1:12" x14ac:dyDescent="0.25">
      <c r="B5126">
        <f>_xlfn.XLOOKUP($A5126,Load!$B:$B,Load!C:C,0,)</f>
        <v>0</v>
      </c>
      <c r="C5126">
        <f>_xlfn.XLOOKUP($A5126,Load!$B:$B,Load!D:D,0,)</f>
        <v>0</v>
      </c>
      <c r="D5126">
        <f>_xlfn.XLOOKUP($A5126,Load!$B:$B,Load!E:E,0,)</f>
        <v>0</v>
      </c>
      <c r="E5126">
        <f>_xlfn.XLOOKUP($A5126,Load!$B:$B,Load!F:F,0,)</f>
        <v>0</v>
      </c>
      <c r="F5126">
        <f>_xlfn.XLOOKUP($A5126,Load!$B:$B,Load!G:G,0,)</f>
        <v>0</v>
      </c>
      <c r="G5126">
        <f>_xlfn.XLOOKUP($A5126,Load!$B:$B,Load!H:H,0,)</f>
        <v>0</v>
      </c>
      <c r="H5126">
        <f>_xlfn.XLOOKUP($A5126,Load!$B:$B,Load!I:I,0,)</f>
        <v>0</v>
      </c>
      <c r="I5126">
        <f>_xlfn.XLOOKUP($A5126,Load!$B:$B,Load!J:J,0,)</f>
        <v>0</v>
      </c>
      <c r="J5126">
        <f>_xlfn.XLOOKUP($A5126,Load!$B:$B,Load!K:K,0,)</f>
        <v>0</v>
      </c>
      <c r="K5126">
        <f>_xlfn.XLOOKUP($A5126,Load!$B:$B,Load!L:L,0,)</f>
        <v>0</v>
      </c>
      <c r="L5126">
        <f>_xlfn.XLOOKUP($A5126,Load!$B:$B,Load!M:M,0,)</f>
        <v>0</v>
      </c>
    </row>
    <row r="5127" spans="1:12" x14ac:dyDescent="0.25">
      <c r="B5127">
        <f>_xlfn.XLOOKUP($A5127,Load!$B:$B,Load!C:C,0,)</f>
        <v>0</v>
      </c>
      <c r="C5127">
        <f>_xlfn.XLOOKUP($A5127,Load!$B:$B,Load!D:D,0,)</f>
        <v>0</v>
      </c>
      <c r="D5127">
        <f>_xlfn.XLOOKUP($A5127,Load!$B:$B,Load!E:E,0,)</f>
        <v>0</v>
      </c>
      <c r="E5127">
        <f>_xlfn.XLOOKUP($A5127,Load!$B:$B,Load!F:F,0,)</f>
        <v>0</v>
      </c>
      <c r="F5127">
        <f>_xlfn.XLOOKUP($A5127,Load!$B:$B,Load!G:G,0,)</f>
        <v>0</v>
      </c>
      <c r="G5127">
        <f>_xlfn.XLOOKUP($A5127,Load!$B:$B,Load!H:H,0,)</f>
        <v>0</v>
      </c>
      <c r="H5127">
        <f>_xlfn.XLOOKUP($A5127,Load!$B:$B,Load!I:I,0,)</f>
        <v>0</v>
      </c>
      <c r="I5127">
        <f>_xlfn.XLOOKUP($A5127,Load!$B:$B,Load!J:J,0,)</f>
        <v>0</v>
      </c>
      <c r="J5127">
        <f>_xlfn.XLOOKUP($A5127,Load!$B:$B,Load!K:K,0,)</f>
        <v>0</v>
      </c>
      <c r="K5127">
        <f>_xlfn.XLOOKUP($A5127,Load!$B:$B,Load!L:L,0,)</f>
        <v>0</v>
      </c>
      <c r="L5127">
        <f>_xlfn.XLOOKUP($A5127,Load!$B:$B,Load!M:M,0,)</f>
        <v>0</v>
      </c>
    </row>
    <row r="5128" spans="1:12" x14ac:dyDescent="0.25">
      <c r="A5128" t="s">
        <v>125</v>
      </c>
      <c r="B5128" t="str">
        <f>_xlfn.XLOOKUP($A5128,Load!$B:$B,Load!C:C,0,)</f>
        <v>HARIBO</v>
      </c>
      <c r="C5128" t="str">
        <f>_xlfn.XLOOKUP($A5128,Load!$B:$B,Load!D:D,0,)</f>
        <v>Non-Chocolate Candy Only</v>
      </c>
      <c r="D5128" t="str">
        <f>_xlfn.XLOOKUP($A5128,Load!$B:$B,Load!E:E,0,)</f>
        <v>Berry Based (Raspberry, Strawberry, Medley, etc.)</v>
      </c>
      <c r="E5128" t="str">
        <f>_xlfn.XLOOKUP($A5128,Load!$B:$B,Load!F:F,0,)</f>
        <v>Gummy</v>
      </c>
      <c r="F5128" t="str">
        <f>_xlfn.XLOOKUP($A5128,Load!$B:$B,Load!G:G,0,)</f>
        <v>Small Multipack (Less than 40 ct)</v>
      </c>
      <c r="G5128" t="str">
        <f>_xlfn.XLOOKUP($A5128,Load!$B:$B,Load!H:H,0,)</f>
        <v>Laydown Bag</v>
      </c>
      <c r="H5128" t="str">
        <f>_xlfn.XLOOKUP($A5128,Load!$B:$B,Load!I:I,0,)</f>
        <v>Everyday Candy Shapes (like Original, Gummy bear, Fruit, Jewels, etc.)</v>
      </c>
      <c r="I5128" t="str">
        <f>_xlfn.XLOOKUP($A5128,Load!$B:$B,Load!J:J,0,)</f>
        <v>Everyday Graphics</v>
      </c>
      <c r="J5128" t="str">
        <f>_xlfn.XLOOKUP($A5128,Load!$B:$B,Load!K:K,0,)</f>
        <v>Small Pieces (Tiny bite size candies)</v>
      </c>
      <c r="K5128" t="str">
        <f>_xlfn.XLOOKUP($A5128,Load!$B:$B,Load!L:L,0,)</f>
        <v>Regular/Original Wrapping</v>
      </c>
      <c r="L5128" t="str">
        <f>_xlfn.XLOOKUP($A5128,Load!$B:$B,Load!M:M,0,)</f>
        <v>Single Brand / Variety Flavors or Form</v>
      </c>
    </row>
    <row r="5129" spans="1:12" x14ac:dyDescent="0.25">
      <c r="A5129" t="s">
        <v>287</v>
      </c>
      <c r="B5129" t="str">
        <f>_xlfn.XLOOKUP($A5129,Load!$B:$B,Load!C:C,0,)</f>
        <v>SweeTARTS</v>
      </c>
      <c r="C5129" t="str">
        <f>_xlfn.XLOOKUP($A5129,Load!$B:$B,Load!D:D,0,)</f>
        <v>Non-Chocolate Candy Only</v>
      </c>
      <c r="D5129" t="str">
        <f>_xlfn.XLOOKUP($A5129,Load!$B:$B,Load!E:E,0,)</f>
        <v>Berry Based (Raspberry, Strawberry, Medley, etc.)</v>
      </c>
      <c r="E5129" t="str">
        <f>_xlfn.XLOOKUP($A5129,Load!$B:$B,Load!F:F,0,)</f>
        <v>Chewy</v>
      </c>
      <c r="F5129" t="str">
        <f>_xlfn.XLOOKUP($A5129,Load!$B:$B,Load!G:G,0,)</f>
        <v>Small Multipack (Less than 40 ct)</v>
      </c>
      <c r="G5129" t="str">
        <f>_xlfn.XLOOKUP($A5129,Load!$B:$B,Load!H:H,0,)</f>
        <v>Laydown Bag</v>
      </c>
      <c r="H5129" t="str">
        <f>_xlfn.XLOOKUP($A5129,Load!$B:$B,Load!I:I,0,)</f>
        <v>Everyday Candy Shapes (like Original, Gummy bear, Fruit, Jewels, etc.)</v>
      </c>
      <c r="I5129" t="str">
        <f>_xlfn.XLOOKUP($A5129,Load!$B:$B,Load!J:J,0,)</f>
        <v>Everyday Graphics</v>
      </c>
      <c r="J5129" t="str">
        <f>_xlfn.XLOOKUP($A5129,Load!$B:$B,Load!K:K,0,)</f>
        <v>Fun Size / Treat Size</v>
      </c>
      <c r="K5129" t="str">
        <f>_xlfn.XLOOKUP($A5129,Load!$B:$B,Load!L:L,0,)</f>
        <v>Unwrapped</v>
      </c>
      <c r="L5129" t="str">
        <f>_xlfn.XLOOKUP($A5129,Load!$B:$B,Load!M:M,0,)</f>
        <v>Single Brand / Single Flavor or Form</v>
      </c>
    </row>
    <row r="5130" spans="1:12" x14ac:dyDescent="0.25">
      <c r="A5130" t="s">
        <v>280</v>
      </c>
      <c r="B5130" t="str">
        <f>_xlfn.XLOOKUP($A5130,Load!$B:$B,Load!C:C,0,)</f>
        <v>Sour Patch Kids</v>
      </c>
      <c r="C5130" t="str">
        <f>_xlfn.XLOOKUP($A5130,Load!$B:$B,Load!D:D,0,)</f>
        <v>Non-Chocolate Candy Only</v>
      </c>
      <c r="D5130" t="str">
        <f>_xlfn.XLOOKUP($A5130,Load!$B:$B,Load!E:E,0,)</f>
        <v>Sour</v>
      </c>
      <c r="E5130" t="str">
        <f>_xlfn.XLOOKUP($A5130,Load!$B:$B,Load!F:F,0,)</f>
        <v>Chewy</v>
      </c>
      <c r="F5130" t="str">
        <f>_xlfn.XLOOKUP($A5130,Load!$B:$B,Load!G:G,0,)</f>
        <v>Medium Multipack (40–80 ct)</v>
      </c>
      <c r="G5130" t="str">
        <f>_xlfn.XLOOKUP($A5130,Load!$B:$B,Load!H:H,0,)</f>
        <v>Laydown Bag</v>
      </c>
      <c r="H5130" t="str">
        <f>_xlfn.XLOOKUP($A5130,Load!$B:$B,Load!I:I,0,)</f>
        <v>Seasonal Shapes (like pumpkins, candy corn, ghost, bats, etc.)</v>
      </c>
      <c r="I5130" t="str">
        <f>_xlfn.XLOOKUP($A5130,Load!$B:$B,Load!J:J,0,)</f>
        <v>Seasonal Graphics (Like Bat, Ghost, Pumpkin, Fall Leaves, Eyeballs, etc.)</v>
      </c>
      <c r="J5130" t="str">
        <f>_xlfn.XLOOKUP($A5130,Load!$B:$B,Load!K:K,0,)</f>
        <v>Small Pieces (Tiny bite size candies)</v>
      </c>
      <c r="K5130" t="str">
        <f>_xlfn.XLOOKUP($A5130,Load!$B:$B,Load!L:L,0,)</f>
        <v>Regular/Original Wrapping</v>
      </c>
      <c r="L5130" t="str">
        <f>_xlfn.XLOOKUP($A5130,Load!$B:$B,Load!M:M,0,)</f>
        <v>Single Brand / Variety Flavors or Form</v>
      </c>
    </row>
    <row r="5131" spans="1:12" x14ac:dyDescent="0.25">
      <c r="A5131" t="s">
        <v>267</v>
      </c>
      <c r="B5131" t="str">
        <f>_xlfn.XLOOKUP($A5131,Load!$B:$B,Load!C:C,0,)</f>
        <v>Sour Patch Kids</v>
      </c>
      <c r="C5131" t="str">
        <f>_xlfn.XLOOKUP($A5131,Load!$B:$B,Load!D:D,0,)</f>
        <v>Non-Chocolate Candy Only</v>
      </c>
      <c r="D5131" t="str">
        <f>_xlfn.XLOOKUP($A5131,Load!$B:$B,Load!E:E,0,)</f>
        <v>Sour</v>
      </c>
      <c r="E5131" t="str">
        <f>_xlfn.XLOOKUP($A5131,Load!$B:$B,Load!F:F,0,)</f>
        <v>Chewy</v>
      </c>
      <c r="F5131" t="str">
        <f>_xlfn.XLOOKUP($A5131,Load!$B:$B,Load!G:G,0,)</f>
        <v>Small Multipack (Less than 40 ct)</v>
      </c>
      <c r="G5131" t="str">
        <f>_xlfn.XLOOKUP($A5131,Load!$B:$B,Load!H:H,0,)</f>
        <v>Laydown Bag</v>
      </c>
      <c r="H5131" t="str">
        <f>_xlfn.XLOOKUP($A5131,Load!$B:$B,Load!I:I,0,)</f>
        <v>Everyday Candy Shapes (like Original, Gummy bear, Fruit, Jewels, etc.)</v>
      </c>
      <c r="I5131" t="str">
        <f>_xlfn.XLOOKUP($A5131,Load!$B:$B,Load!J:J,0,)</f>
        <v>Seasonal Graphics (Like Bat, Ghost, Pumpkin, Fall Leaves, Eyeballs, etc.)</v>
      </c>
      <c r="J5131" t="str">
        <f>_xlfn.XLOOKUP($A5131,Load!$B:$B,Load!K:K,0,)</f>
        <v>Small Pieces (Tiny bite size candies)</v>
      </c>
      <c r="K5131" t="str">
        <f>_xlfn.XLOOKUP($A5131,Load!$B:$B,Load!L:L,0,)</f>
        <v>Regular/Original Wrapping</v>
      </c>
      <c r="L5131" t="str">
        <f>_xlfn.XLOOKUP($A5131,Load!$B:$B,Load!M:M,0,)</f>
        <v>Single Brand / Variety Flavors or Form</v>
      </c>
    </row>
    <row r="5132" spans="1:12" x14ac:dyDescent="0.25">
      <c r="A5132" t="s">
        <v>25</v>
      </c>
      <c r="B5132" t="str">
        <f>_xlfn.XLOOKUP($A5132,Load!$B:$B,Load!C:C,0,)</f>
        <v>Albert's Candy Company</v>
      </c>
      <c r="C5132" t="str">
        <f>_xlfn.XLOOKUP($A5132,Load!$B:$B,Load!D:D,0,)</f>
        <v>Non-Chocolate Candy Only</v>
      </c>
      <c r="D5132" t="str">
        <f>_xlfn.XLOOKUP($A5132,Load!$B:$B,Load!E:E,0,)</f>
        <v>Fruit Flavor (Cherry, Grape, Apple, Citrus, Tropical Fruit)</v>
      </c>
      <c r="E5132" t="str">
        <f>_xlfn.XLOOKUP($A5132,Load!$B:$B,Load!F:F,0,)</f>
        <v>Chewy</v>
      </c>
      <c r="F5132" t="str">
        <f>_xlfn.XLOOKUP($A5132,Load!$B:$B,Load!G:G,0,)</f>
        <v>Large Multipack (More than 80 ct)</v>
      </c>
      <c r="G5132" t="str">
        <f>_xlfn.XLOOKUP($A5132,Load!$B:$B,Load!H:H,0,)</f>
        <v>Laydown Bag</v>
      </c>
      <c r="H5132" t="str">
        <f>_xlfn.XLOOKUP($A5132,Load!$B:$B,Load!I:I,0,)</f>
        <v>Everyday Candy Shapes (like Original, Gummy bear, Fruit, Jewels, etc.)</v>
      </c>
      <c r="I5132" t="str">
        <f>_xlfn.XLOOKUP($A5132,Load!$B:$B,Load!J:J,0,)</f>
        <v>Seasonal Graphics (Like Bat, Ghost, Pumpkin, Fall Leaves, Eyeballs, etc.)</v>
      </c>
      <c r="J5132" t="str">
        <f>_xlfn.XLOOKUP($A5132,Load!$B:$B,Load!K:K,0,)</f>
        <v>Small Pieces (Tiny bite size candies)</v>
      </c>
      <c r="K5132" t="str">
        <f>_xlfn.XLOOKUP($A5132,Load!$B:$B,Load!L:L,0,)</f>
        <v>Regular/Original Wrapping</v>
      </c>
      <c r="L5132" t="str">
        <f>_xlfn.XLOOKUP($A5132,Load!$B:$B,Load!M:M,0,)</f>
        <v>Single Brand / Variety Flavors or Form</v>
      </c>
    </row>
    <row r="5133" spans="1:12" x14ac:dyDescent="0.25">
      <c r="B5133">
        <f>_xlfn.XLOOKUP($A5133,Load!$B:$B,Load!C:C,0,)</f>
        <v>0</v>
      </c>
      <c r="C5133">
        <f>_xlfn.XLOOKUP($A5133,Load!$B:$B,Load!D:D,0,)</f>
        <v>0</v>
      </c>
      <c r="D5133">
        <f>_xlfn.XLOOKUP($A5133,Load!$B:$B,Load!E:E,0,)</f>
        <v>0</v>
      </c>
      <c r="E5133">
        <f>_xlfn.XLOOKUP($A5133,Load!$B:$B,Load!F:F,0,)</f>
        <v>0</v>
      </c>
      <c r="F5133">
        <f>_xlfn.XLOOKUP($A5133,Load!$B:$B,Load!G:G,0,)</f>
        <v>0</v>
      </c>
      <c r="G5133">
        <f>_xlfn.XLOOKUP($A5133,Load!$B:$B,Load!H:H,0,)</f>
        <v>0</v>
      </c>
      <c r="H5133">
        <f>_xlfn.XLOOKUP($A5133,Load!$B:$B,Load!I:I,0,)</f>
        <v>0</v>
      </c>
      <c r="I5133">
        <f>_xlfn.XLOOKUP($A5133,Load!$B:$B,Load!J:J,0,)</f>
        <v>0</v>
      </c>
      <c r="J5133">
        <f>_xlfn.XLOOKUP($A5133,Load!$B:$B,Load!K:K,0,)</f>
        <v>0</v>
      </c>
      <c r="K5133">
        <f>_xlfn.XLOOKUP($A5133,Load!$B:$B,Load!L:L,0,)</f>
        <v>0</v>
      </c>
      <c r="L5133">
        <f>_xlfn.XLOOKUP($A5133,Load!$B:$B,Load!M:M,0,)</f>
        <v>0</v>
      </c>
    </row>
    <row r="5134" spans="1:12" x14ac:dyDescent="0.25">
      <c r="A5134" t="s">
        <v>8</v>
      </c>
      <c r="B5134" t="str">
        <f>_xlfn.XLOOKUP($A5134,Load!$B:$B,Load!C:C,0,)</f>
        <v>Airheads</v>
      </c>
      <c r="C5134" t="str">
        <f>_xlfn.XLOOKUP($A5134,Load!$B:$B,Load!D:D,0,)</f>
        <v>Non-Chocolate Candy Only</v>
      </c>
      <c r="D5134" t="str">
        <f>_xlfn.XLOOKUP($A5134,Load!$B:$B,Load!E:E,0,)</f>
        <v>Fruit Flavor (Cherry, Grape, Apple, Citrus, Tropical Fruit)</v>
      </c>
      <c r="E5134" t="str">
        <f>_xlfn.XLOOKUP($A5134,Load!$B:$B,Load!F:F,0,)</f>
        <v>Chewy</v>
      </c>
      <c r="F5134" t="str">
        <f>_xlfn.XLOOKUP($A5134,Load!$B:$B,Load!G:G,0,)</f>
        <v>Small Multipack (Less than 40 ct)</v>
      </c>
      <c r="G5134" t="str">
        <f>_xlfn.XLOOKUP($A5134,Load!$B:$B,Load!H:H,0,)</f>
        <v>Laydown Bag</v>
      </c>
      <c r="H5134" t="str">
        <f>_xlfn.XLOOKUP($A5134,Load!$B:$B,Load!I:I,0,)</f>
        <v>Everyday Candy Shapes (like Original, Gummy bear, Fruit, Jewels, etc.)</v>
      </c>
      <c r="I5134" t="str">
        <f>_xlfn.XLOOKUP($A5134,Load!$B:$B,Load!J:J,0,)</f>
        <v>Everyday Graphics</v>
      </c>
      <c r="J5134" t="str">
        <f>_xlfn.XLOOKUP($A5134,Load!$B:$B,Load!K:K,0,)</f>
        <v>Fun Size / Treat Size</v>
      </c>
      <c r="K5134" t="str">
        <f>_xlfn.XLOOKUP($A5134,Load!$B:$B,Load!L:L,0,)</f>
        <v>Regular/Original Wrapping</v>
      </c>
      <c r="L5134" t="str">
        <f>_xlfn.XLOOKUP($A5134,Load!$B:$B,Load!M:M,0,)</f>
        <v>Single Brand / Variety Flavors or Form</v>
      </c>
    </row>
    <row r="5135" spans="1:12" x14ac:dyDescent="0.25">
      <c r="A5135" t="s">
        <v>106</v>
      </c>
      <c r="B5135" t="str">
        <f>_xlfn.XLOOKUP($A5135,Load!$B:$B,Load!C:C,0,)</f>
        <v>Frankford</v>
      </c>
      <c r="C5135" t="str">
        <f>_xlfn.XLOOKUP($A5135,Load!$B:$B,Load!D:D,0,)</f>
        <v>Non-Chocolate Candy Only</v>
      </c>
      <c r="D5135" t="str">
        <f>_xlfn.XLOOKUP($A5135,Load!$B:$B,Load!E:E,0,)</f>
        <v>Fruit Flavor (Cherry, Grape, Apple, Citrus, Tropical Fruit)</v>
      </c>
      <c r="E5135" t="str">
        <f>_xlfn.XLOOKUP($A5135,Load!$B:$B,Load!F:F,0,)</f>
        <v>Powder / Chalky</v>
      </c>
      <c r="F5135" t="str">
        <f>_xlfn.XLOOKUP($A5135,Load!$B:$B,Load!G:G,0,)</f>
        <v>Small Multipack (Less than 40 ct)</v>
      </c>
      <c r="G5135" t="str">
        <f>_xlfn.XLOOKUP($A5135,Load!$B:$B,Load!H:H,0,)</f>
        <v>Laydown Bag</v>
      </c>
      <c r="H5135" t="str">
        <f>_xlfn.XLOOKUP($A5135,Load!$B:$B,Load!I:I,0,)</f>
        <v>Everyday Candy Shapes (like Original, Gummy bear, Fruit, Jewels, etc.)</v>
      </c>
      <c r="I5135" t="str">
        <f>_xlfn.XLOOKUP($A5135,Load!$B:$B,Load!J:J,0,)</f>
        <v>Seasonal Graphics (Like Bat, Ghost, Pumpkin, Fall Leaves, Eyeballs, etc.)</v>
      </c>
      <c r="J5135" t="str">
        <f>_xlfn.XLOOKUP($A5135,Load!$B:$B,Load!K:K,0,)</f>
        <v>Fun Size / Treat Size</v>
      </c>
      <c r="K5135" t="str">
        <f>_xlfn.XLOOKUP($A5135,Load!$B:$B,Load!L:L,0,)</f>
        <v>Regular/Original Wrapping</v>
      </c>
      <c r="L5135" t="str">
        <f>_xlfn.XLOOKUP($A5135,Load!$B:$B,Load!M:M,0,)</f>
        <v>Single Brand / Variety Flavors or Form</v>
      </c>
    </row>
    <row r="5136" spans="1:12" x14ac:dyDescent="0.25">
      <c r="A5136" t="s">
        <v>118</v>
      </c>
      <c r="B5136" t="str">
        <f>_xlfn.XLOOKUP($A5136,Load!$B:$B,Load!C:C,0,)</f>
        <v>Great Value</v>
      </c>
      <c r="C5136" t="str">
        <f>_xlfn.XLOOKUP($A5136,Load!$B:$B,Load!D:D,0,)</f>
        <v>Non-Chocolate Candy Only</v>
      </c>
      <c r="D5136" t="str">
        <f>_xlfn.XLOOKUP($A5136,Load!$B:$B,Load!E:E,0,)</f>
        <v>Fall / Seasonal Flavors (pumpkin spice, caramel apple, candy corn)</v>
      </c>
      <c r="E5136" t="str">
        <f>_xlfn.XLOOKUP($A5136,Load!$B:$B,Load!F:F,0,)</f>
        <v>Candy Pieces / Bites</v>
      </c>
      <c r="F5136" t="str">
        <f>_xlfn.XLOOKUP($A5136,Load!$B:$B,Load!G:G,0,)</f>
        <v>Single Pack</v>
      </c>
      <c r="G5136" t="str">
        <f>_xlfn.XLOOKUP($A5136,Load!$B:$B,Load!H:H,0,)</f>
        <v>Laydown Bag</v>
      </c>
      <c r="H5136" t="str">
        <f>_xlfn.XLOOKUP($A5136,Load!$B:$B,Load!I:I,0,)</f>
        <v>Everyday Candy Shapes (like Original, Gummy bear, Fruit, Jewels, etc.)</v>
      </c>
      <c r="I5136" t="str">
        <f>_xlfn.XLOOKUP($A5136,Load!$B:$B,Load!J:J,0,)</f>
        <v>Seasonal Graphics (Like Bat, Ghost, Pumpkin, Fall Leaves, Eyeballs, etc.)</v>
      </c>
      <c r="J5136" t="str">
        <f>_xlfn.XLOOKUP($A5136,Load!$B:$B,Load!K:K,0,)</f>
        <v>Small Pieces (Tiny bite size candies)</v>
      </c>
      <c r="K5136" t="str">
        <f>_xlfn.XLOOKUP($A5136,Load!$B:$B,Load!L:L,0,)</f>
        <v>Unwrapped</v>
      </c>
      <c r="L5136" t="str">
        <f>_xlfn.XLOOKUP($A5136,Load!$B:$B,Load!M:M,0,)</f>
        <v>Single Brand / Single Flavor or Form</v>
      </c>
    </row>
    <row r="5137" spans="1:12" x14ac:dyDescent="0.25">
      <c r="B5137">
        <f>_xlfn.XLOOKUP($A5137,Load!$B:$B,Load!C:C,0,)</f>
        <v>0</v>
      </c>
      <c r="C5137">
        <f>_xlfn.XLOOKUP($A5137,Load!$B:$B,Load!D:D,0,)</f>
        <v>0</v>
      </c>
      <c r="D5137">
        <f>_xlfn.XLOOKUP($A5137,Load!$B:$B,Load!E:E,0,)</f>
        <v>0</v>
      </c>
      <c r="E5137">
        <f>_xlfn.XLOOKUP($A5137,Load!$B:$B,Load!F:F,0,)</f>
        <v>0</v>
      </c>
      <c r="F5137">
        <f>_xlfn.XLOOKUP($A5137,Load!$B:$B,Load!G:G,0,)</f>
        <v>0</v>
      </c>
      <c r="G5137">
        <f>_xlfn.XLOOKUP($A5137,Load!$B:$B,Load!H:H,0,)</f>
        <v>0</v>
      </c>
      <c r="H5137">
        <f>_xlfn.XLOOKUP($A5137,Load!$B:$B,Load!I:I,0,)</f>
        <v>0</v>
      </c>
      <c r="I5137">
        <f>_xlfn.XLOOKUP($A5137,Load!$B:$B,Load!J:J,0,)</f>
        <v>0</v>
      </c>
      <c r="J5137">
        <f>_xlfn.XLOOKUP($A5137,Load!$B:$B,Load!K:K,0,)</f>
        <v>0</v>
      </c>
      <c r="K5137">
        <f>_xlfn.XLOOKUP($A5137,Load!$B:$B,Load!L:L,0,)</f>
        <v>0</v>
      </c>
      <c r="L5137">
        <f>_xlfn.XLOOKUP($A5137,Load!$B:$B,Load!M:M,0,)</f>
        <v>0</v>
      </c>
    </row>
    <row r="5138" spans="1:12" x14ac:dyDescent="0.25">
      <c r="B5138">
        <f>_xlfn.XLOOKUP($A5138,Load!$B:$B,Load!C:C,0,)</f>
        <v>0</v>
      </c>
      <c r="C5138">
        <f>_xlfn.XLOOKUP($A5138,Load!$B:$B,Load!D:D,0,)</f>
        <v>0</v>
      </c>
      <c r="D5138">
        <f>_xlfn.XLOOKUP($A5138,Load!$B:$B,Load!E:E,0,)</f>
        <v>0</v>
      </c>
      <c r="E5138">
        <f>_xlfn.XLOOKUP($A5138,Load!$B:$B,Load!F:F,0,)</f>
        <v>0</v>
      </c>
      <c r="F5138">
        <f>_xlfn.XLOOKUP($A5138,Load!$B:$B,Load!G:G,0,)</f>
        <v>0</v>
      </c>
      <c r="G5138">
        <f>_xlfn.XLOOKUP($A5138,Load!$B:$B,Load!H:H,0,)</f>
        <v>0</v>
      </c>
      <c r="H5138">
        <f>_xlfn.XLOOKUP($A5138,Load!$B:$B,Load!I:I,0,)</f>
        <v>0</v>
      </c>
      <c r="I5138">
        <f>_xlfn.XLOOKUP($A5138,Load!$B:$B,Load!J:J,0,)</f>
        <v>0</v>
      </c>
      <c r="J5138">
        <f>_xlfn.XLOOKUP($A5138,Load!$B:$B,Load!K:K,0,)</f>
        <v>0</v>
      </c>
      <c r="K5138">
        <f>_xlfn.XLOOKUP($A5138,Load!$B:$B,Load!L:L,0,)</f>
        <v>0</v>
      </c>
      <c r="L5138">
        <f>_xlfn.XLOOKUP($A5138,Load!$B:$B,Load!M:M,0,)</f>
        <v>0</v>
      </c>
    </row>
    <row r="5139" spans="1:12" x14ac:dyDescent="0.25">
      <c r="B5139">
        <f>_xlfn.XLOOKUP($A5139,Load!$B:$B,Load!C:C,0,)</f>
        <v>0</v>
      </c>
      <c r="C5139">
        <f>_xlfn.XLOOKUP($A5139,Load!$B:$B,Load!D:D,0,)</f>
        <v>0</v>
      </c>
      <c r="D5139">
        <f>_xlfn.XLOOKUP($A5139,Load!$B:$B,Load!E:E,0,)</f>
        <v>0</v>
      </c>
      <c r="E5139">
        <f>_xlfn.XLOOKUP($A5139,Load!$B:$B,Load!F:F,0,)</f>
        <v>0</v>
      </c>
      <c r="F5139">
        <f>_xlfn.XLOOKUP($A5139,Load!$B:$B,Load!G:G,0,)</f>
        <v>0</v>
      </c>
      <c r="G5139">
        <f>_xlfn.XLOOKUP($A5139,Load!$B:$B,Load!H:H,0,)</f>
        <v>0</v>
      </c>
      <c r="H5139">
        <f>_xlfn.XLOOKUP($A5139,Load!$B:$B,Load!I:I,0,)</f>
        <v>0</v>
      </c>
      <c r="I5139">
        <f>_xlfn.XLOOKUP($A5139,Load!$B:$B,Load!J:J,0,)</f>
        <v>0</v>
      </c>
      <c r="J5139">
        <f>_xlfn.XLOOKUP($A5139,Load!$B:$B,Load!K:K,0,)</f>
        <v>0</v>
      </c>
      <c r="K5139">
        <f>_xlfn.XLOOKUP($A5139,Load!$B:$B,Load!L:L,0,)</f>
        <v>0</v>
      </c>
      <c r="L5139">
        <f>_xlfn.XLOOKUP($A5139,Load!$B:$B,Load!M:M,0,)</f>
        <v>0</v>
      </c>
    </row>
    <row r="5140" spans="1:12" x14ac:dyDescent="0.25">
      <c r="B5140">
        <f>_xlfn.XLOOKUP($A5140,Load!$B:$B,Load!C:C,0,)</f>
        <v>0</v>
      </c>
      <c r="C5140">
        <f>_xlfn.XLOOKUP($A5140,Load!$B:$B,Load!D:D,0,)</f>
        <v>0</v>
      </c>
      <c r="D5140">
        <f>_xlfn.XLOOKUP($A5140,Load!$B:$B,Load!E:E,0,)</f>
        <v>0</v>
      </c>
      <c r="E5140">
        <f>_xlfn.XLOOKUP($A5140,Load!$B:$B,Load!F:F,0,)</f>
        <v>0</v>
      </c>
      <c r="F5140">
        <f>_xlfn.XLOOKUP($A5140,Load!$B:$B,Load!G:G,0,)</f>
        <v>0</v>
      </c>
      <c r="G5140">
        <f>_xlfn.XLOOKUP($A5140,Load!$B:$B,Load!H:H,0,)</f>
        <v>0</v>
      </c>
      <c r="H5140">
        <f>_xlfn.XLOOKUP($A5140,Load!$B:$B,Load!I:I,0,)</f>
        <v>0</v>
      </c>
      <c r="I5140">
        <f>_xlfn.XLOOKUP($A5140,Load!$B:$B,Load!J:J,0,)</f>
        <v>0</v>
      </c>
      <c r="J5140">
        <f>_xlfn.XLOOKUP($A5140,Load!$B:$B,Load!K:K,0,)</f>
        <v>0</v>
      </c>
      <c r="K5140">
        <f>_xlfn.XLOOKUP($A5140,Load!$B:$B,Load!L:L,0,)</f>
        <v>0</v>
      </c>
      <c r="L5140">
        <f>_xlfn.XLOOKUP($A5140,Load!$B:$B,Load!M:M,0,)</f>
        <v>0</v>
      </c>
    </row>
    <row r="5141" spans="1:12" x14ac:dyDescent="0.25">
      <c r="B5141">
        <f>_xlfn.XLOOKUP($A5141,Load!$B:$B,Load!C:C,0,)</f>
        <v>0</v>
      </c>
      <c r="C5141">
        <f>_xlfn.XLOOKUP($A5141,Load!$B:$B,Load!D:D,0,)</f>
        <v>0</v>
      </c>
      <c r="D5141">
        <f>_xlfn.XLOOKUP($A5141,Load!$B:$B,Load!E:E,0,)</f>
        <v>0</v>
      </c>
      <c r="E5141">
        <f>_xlfn.XLOOKUP($A5141,Load!$B:$B,Load!F:F,0,)</f>
        <v>0</v>
      </c>
      <c r="F5141">
        <f>_xlfn.XLOOKUP($A5141,Load!$B:$B,Load!G:G,0,)</f>
        <v>0</v>
      </c>
      <c r="G5141">
        <f>_xlfn.XLOOKUP($A5141,Load!$B:$B,Load!H:H,0,)</f>
        <v>0</v>
      </c>
      <c r="H5141">
        <f>_xlfn.XLOOKUP($A5141,Load!$B:$B,Load!I:I,0,)</f>
        <v>0</v>
      </c>
      <c r="I5141">
        <f>_xlfn.XLOOKUP($A5141,Load!$B:$B,Load!J:J,0,)</f>
        <v>0</v>
      </c>
      <c r="J5141">
        <f>_xlfn.XLOOKUP($A5141,Load!$B:$B,Load!K:K,0,)</f>
        <v>0</v>
      </c>
      <c r="K5141">
        <f>_xlfn.XLOOKUP($A5141,Load!$B:$B,Load!L:L,0,)</f>
        <v>0</v>
      </c>
      <c r="L5141">
        <f>_xlfn.XLOOKUP($A5141,Load!$B:$B,Load!M:M,0,)</f>
        <v>0</v>
      </c>
    </row>
    <row r="5142" spans="1:12" x14ac:dyDescent="0.25">
      <c r="A5142" t="s">
        <v>188</v>
      </c>
      <c r="B5142" t="str">
        <f>_xlfn.XLOOKUP($A5142,Load!$B:$B,Load!C:C,0,)</f>
        <v>Mars Variety Pack</v>
      </c>
      <c r="C5142" t="str">
        <f>_xlfn.XLOOKUP($A5142,Load!$B:$B,Load!D:D,0,)</f>
        <v>Non-Chocolate Candy Only</v>
      </c>
      <c r="D5142" t="str">
        <f>_xlfn.XLOOKUP($A5142,Load!$B:$B,Load!E:E,0,)</f>
        <v>Variety / Mixed Flavors (Fruity, Sour, Seasonal Flavors)</v>
      </c>
      <c r="E5142" t="str">
        <f>_xlfn.XLOOKUP($A5142,Load!$B:$B,Load!F:F,0,)</f>
        <v>Mixed / Combo Packs (Gummy, Chewy, Taffy, etc.)</v>
      </c>
      <c r="F5142" t="str">
        <f>_xlfn.XLOOKUP($A5142,Load!$B:$B,Load!G:G,0,)</f>
        <v>Large Multipack (More than 80 ct)</v>
      </c>
      <c r="G5142" t="str">
        <f>_xlfn.XLOOKUP($A5142,Load!$B:$B,Load!H:H,0,)</f>
        <v>Laydown Bag</v>
      </c>
      <c r="H5142" t="str">
        <f>_xlfn.XLOOKUP($A5142,Load!$B:$B,Load!I:I,0,)</f>
        <v>Everyday Candy Shapes (like Original, Gummy bear, Fruit, Jewels, etc.)</v>
      </c>
      <c r="I5142" t="str">
        <f>_xlfn.XLOOKUP($A5142,Load!$B:$B,Load!J:J,0,)</f>
        <v>Everyday Graphics</v>
      </c>
      <c r="J5142" t="str">
        <f>_xlfn.XLOOKUP($A5142,Load!$B:$B,Load!K:K,0,)</f>
        <v>Small Pieces (Tiny bite size candies)</v>
      </c>
      <c r="K5142" t="str">
        <f>_xlfn.XLOOKUP($A5142,Load!$B:$B,Load!L:L,0,)</f>
        <v>Regular/Original Wrapping</v>
      </c>
      <c r="L5142" t="str">
        <f>_xlfn.XLOOKUP($A5142,Load!$B:$B,Load!M:M,0,)</f>
        <v>Multiple Brands / Variety Flavors or Form</v>
      </c>
    </row>
    <row r="5143" spans="1:12" x14ac:dyDescent="0.25">
      <c r="B5143">
        <f>_xlfn.XLOOKUP($A5143,Load!$B:$B,Load!C:C,0,)</f>
        <v>0</v>
      </c>
      <c r="C5143">
        <f>_xlfn.XLOOKUP($A5143,Load!$B:$B,Load!D:D,0,)</f>
        <v>0</v>
      </c>
      <c r="D5143">
        <f>_xlfn.XLOOKUP($A5143,Load!$B:$B,Load!E:E,0,)</f>
        <v>0</v>
      </c>
      <c r="E5143">
        <f>_xlfn.XLOOKUP($A5143,Load!$B:$B,Load!F:F,0,)</f>
        <v>0</v>
      </c>
      <c r="F5143">
        <f>_xlfn.XLOOKUP($A5143,Load!$B:$B,Load!G:G,0,)</f>
        <v>0</v>
      </c>
      <c r="G5143">
        <f>_xlfn.XLOOKUP($A5143,Load!$B:$B,Load!H:H,0,)</f>
        <v>0</v>
      </c>
      <c r="H5143">
        <f>_xlfn.XLOOKUP($A5143,Load!$B:$B,Load!I:I,0,)</f>
        <v>0</v>
      </c>
      <c r="I5143">
        <f>_xlfn.XLOOKUP($A5143,Load!$B:$B,Load!J:J,0,)</f>
        <v>0</v>
      </c>
      <c r="J5143">
        <f>_xlfn.XLOOKUP($A5143,Load!$B:$B,Load!K:K,0,)</f>
        <v>0</v>
      </c>
      <c r="K5143">
        <f>_xlfn.XLOOKUP($A5143,Load!$B:$B,Load!L:L,0,)</f>
        <v>0</v>
      </c>
      <c r="L5143">
        <f>_xlfn.XLOOKUP($A5143,Load!$B:$B,Load!M:M,0,)</f>
        <v>0</v>
      </c>
    </row>
    <row r="5144" spans="1:12" x14ac:dyDescent="0.25">
      <c r="A5144" t="s">
        <v>126</v>
      </c>
      <c r="B5144" t="str">
        <f>_xlfn.XLOOKUP($A5144,Load!$B:$B,Load!C:C,0,)</f>
        <v>HARIBO</v>
      </c>
      <c r="C5144" t="str">
        <f>_xlfn.XLOOKUP($A5144,Load!$B:$B,Load!D:D,0,)</f>
        <v>Non-Chocolate Candy Only</v>
      </c>
      <c r="D5144" t="str">
        <f>_xlfn.XLOOKUP($A5144,Load!$B:$B,Load!E:E,0,)</f>
        <v>Sweet</v>
      </c>
      <c r="E5144" t="str">
        <f>_xlfn.XLOOKUP($A5144,Load!$B:$B,Load!F:F,0,)</f>
        <v>Gummy</v>
      </c>
      <c r="F5144" t="str">
        <f>_xlfn.XLOOKUP($A5144,Load!$B:$B,Load!G:G,0,)</f>
        <v>Single Pack</v>
      </c>
      <c r="G5144" t="str">
        <f>_xlfn.XLOOKUP($A5144,Load!$B:$B,Load!H:H,0,)</f>
        <v>Laydown Bag</v>
      </c>
      <c r="H5144" t="str">
        <f>_xlfn.XLOOKUP($A5144,Load!$B:$B,Load!I:I,0,)</f>
        <v>Seasonal Shapes (like pumpkins, candy corn, ghost, bats, etc.)</v>
      </c>
      <c r="I5144" t="str">
        <f>_xlfn.XLOOKUP($A5144,Load!$B:$B,Load!J:J,0,)</f>
        <v>Seasonal Graphics (Like Bat, Ghost, Pumpkin, Fall Leaves, Eyeballs, etc.)</v>
      </c>
      <c r="J5144" t="str">
        <f>_xlfn.XLOOKUP($A5144,Load!$B:$B,Load!K:K,0,)</f>
        <v>Small Pieces (Tiny bite size candies)</v>
      </c>
      <c r="K5144" t="str">
        <f>_xlfn.XLOOKUP($A5144,Load!$B:$B,Load!L:L,0,)</f>
        <v>Unwrapped</v>
      </c>
      <c r="L5144" t="str">
        <f>_xlfn.XLOOKUP($A5144,Load!$B:$B,Load!M:M,0,)</f>
        <v>Single Brand / Variety Flavors or Form</v>
      </c>
    </row>
    <row r="5145" spans="1:12" x14ac:dyDescent="0.25">
      <c r="A5145" t="s">
        <v>123</v>
      </c>
      <c r="B5145" t="str">
        <f>_xlfn.XLOOKUP($A5145,Load!$B:$B,Load!C:C,0,)</f>
        <v>HARIBO</v>
      </c>
      <c r="C5145" t="str">
        <f>_xlfn.XLOOKUP($A5145,Load!$B:$B,Load!D:D,0,)</f>
        <v>Non-Chocolate Candy Only</v>
      </c>
      <c r="D5145" t="str">
        <f>_xlfn.XLOOKUP($A5145,Load!$B:$B,Load!E:E,0,)</f>
        <v>Sour</v>
      </c>
      <c r="E5145" t="str">
        <f>_xlfn.XLOOKUP($A5145,Load!$B:$B,Load!F:F,0,)</f>
        <v>Gummy</v>
      </c>
      <c r="F5145" t="str">
        <f>_xlfn.XLOOKUP($A5145,Load!$B:$B,Load!G:G,0,)</f>
        <v>Single Pack</v>
      </c>
      <c r="G5145" t="str">
        <f>_xlfn.XLOOKUP($A5145,Load!$B:$B,Load!H:H,0,)</f>
        <v>Laydown Bag</v>
      </c>
      <c r="H5145" t="str">
        <f>_xlfn.XLOOKUP($A5145,Load!$B:$B,Load!I:I,0,)</f>
        <v>Seasonal Shapes (like pumpkins, candy corn, ghost, bats, etc.)</v>
      </c>
      <c r="I5145" t="str">
        <f>_xlfn.XLOOKUP($A5145,Load!$B:$B,Load!J:J,0,)</f>
        <v>Seasonal Graphics (Like Bat, Ghost, Pumpkin, Fall Leaves, Eyeballs, etc.)</v>
      </c>
      <c r="J5145" t="str">
        <f>_xlfn.XLOOKUP($A5145,Load!$B:$B,Load!K:K,0,)</f>
        <v>Small Pieces (Tiny bite size candies)</v>
      </c>
      <c r="K5145" t="str">
        <f>_xlfn.XLOOKUP($A5145,Load!$B:$B,Load!L:L,0,)</f>
        <v>Unwrapped</v>
      </c>
      <c r="L5145" t="str">
        <f>_xlfn.XLOOKUP($A5145,Load!$B:$B,Load!M:M,0,)</f>
        <v>Single Brand / Variety Flavors or Form</v>
      </c>
    </row>
    <row r="5146" spans="1:12" x14ac:dyDescent="0.25">
      <c r="A5146" t="s">
        <v>160</v>
      </c>
      <c r="B5146" t="str">
        <f>_xlfn.XLOOKUP($A5146,Load!$B:$B,Load!C:C,0,)</f>
        <v>Jolly Rancher</v>
      </c>
      <c r="C5146" t="str">
        <f>_xlfn.XLOOKUP($A5146,Load!$B:$B,Load!D:D,0,)</f>
        <v>Non-Chocolate Candy Only</v>
      </c>
      <c r="D5146" t="str">
        <f>_xlfn.XLOOKUP($A5146,Load!$B:$B,Load!E:E,0,)</f>
        <v>Sour</v>
      </c>
      <c r="E5146" t="str">
        <f>_xlfn.XLOOKUP($A5146,Load!$B:$B,Load!F:F,0,)</f>
        <v>Gummy</v>
      </c>
      <c r="F5146" t="str">
        <f>_xlfn.XLOOKUP($A5146,Load!$B:$B,Load!G:G,0,)</f>
        <v>Single Pack</v>
      </c>
      <c r="G5146" t="str">
        <f>_xlfn.XLOOKUP($A5146,Load!$B:$B,Load!H:H,0,)</f>
        <v>Laydown Bag</v>
      </c>
      <c r="H5146" t="str">
        <f>_xlfn.XLOOKUP($A5146,Load!$B:$B,Load!I:I,0,)</f>
        <v>Seasonal Shapes (like pumpkins, candy corn, ghost, bats, etc.)</v>
      </c>
      <c r="I5146" t="str">
        <f>_xlfn.XLOOKUP($A5146,Load!$B:$B,Load!J:J,0,)</f>
        <v>Seasonal Graphics (Like Bat, Ghost, Pumpkin, Fall Leaves, Eyeballs, etc.)</v>
      </c>
      <c r="J5146" t="str">
        <f>_xlfn.XLOOKUP($A5146,Load!$B:$B,Load!K:K,0,)</f>
        <v>Small Pieces (Tiny bite size candies)</v>
      </c>
      <c r="K5146" t="str">
        <f>_xlfn.XLOOKUP($A5146,Load!$B:$B,Load!L:L,0,)</f>
        <v>Unwrapped</v>
      </c>
      <c r="L5146" t="str">
        <f>_xlfn.XLOOKUP($A5146,Load!$B:$B,Load!M:M,0,)</f>
        <v>Single Brand / Variety Flavors or Form</v>
      </c>
    </row>
    <row r="5147" spans="1:12" x14ac:dyDescent="0.25">
      <c r="A5147" t="s">
        <v>38</v>
      </c>
      <c r="B5147" t="str">
        <f>_xlfn.XLOOKUP($A5147,Load!$B:$B,Load!C:C,0,)</f>
        <v>Brach's</v>
      </c>
      <c r="C5147" t="str">
        <f>_xlfn.XLOOKUP($A5147,Load!$B:$B,Load!D:D,0,)</f>
        <v>Non-Chocolate Candy Only</v>
      </c>
      <c r="D5147" t="str">
        <f>_xlfn.XLOOKUP($A5147,Load!$B:$B,Load!E:E,0,)</f>
        <v>Fall / Seasonal Flavors (pumpkin spice, caramel apple, candy corn)</v>
      </c>
      <c r="E5147" t="str">
        <f>_xlfn.XLOOKUP($A5147,Load!$B:$B,Load!F:F,0,)</f>
        <v>Candy Pieces / Bites</v>
      </c>
      <c r="F5147" t="str">
        <f>_xlfn.XLOOKUP($A5147,Load!$B:$B,Load!G:G,0,)</f>
        <v>Single Pack</v>
      </c>
      <c r="G5147" t="str">
        <f>_xlfn.XLOOKUP($A5147,Load!$B:$B,Load!H:H,0,)</f>
        <v>Laydown Bag</v>
      </c>
      <c r="H5147" t="str">
        <f>_xlfn.XLOOKUP($A5147,Load!$B:$B,Load!I:I,0,)</f>
        <v>Seasonal Shapes (like pumpkins, candy corn, ghost, bats, etc.)</v>
      </c>
      <c r="I5147" t="str">
        <f>_xlfn.XLOOKUP($A5147,Load!$B:$B,Load!J:J,0,)</f>
        <v>Seasonal Graphics (Like Bat, Ghost, Pumpkin, Fall Leaves, Eyeballs, etc.)</v>
      </c>
      <c r="J5147" t="str">
        <f>_xlfn.XLOOKUP($A5147,Load!$B:$B,Load!K:K,0,)</f>
        <v>Small Pieces (Tiny bite size candies)</v>
      </c>
      <c r="K5147" t="str">
        <f>_xlfn.XLOOKUP($A5147,Load!$B:$B,Load!L:L,0,)</f>
        <v>Unwrapped</v>
      </c>
      <c r="L5147" t="str">
        <f>_xlfn.XLOOKUP($A5147,Load!$B:$B,Load!M:M,0,)</f>
        <v>Single Brand / Variety Flavors or Form</v>
      </c>
    </row>
    <row r="5148" spans="1:12" x14ac:dyDescent="0.25">
      <c r="A5148" t="s">
        <v>294</v>
      </c>
      <c r="B5148" t="str">
        <f>_xlfn.XLOOKUP($A5148,Load!$B:$B,Load!C:C,0,)</f>
        <v>Tootsie</v>
      </c>
      <c r="C5148" t="str">
        <f>_xlfn.XLOOKUP($A5148,Load!$B:$B,Load!D:D,0,)</f>
        <v>Non-Chocolate Candy Only</v>
      </c>
      <c r="D5148" t="str">
        <f>_xlfn.XLOOKUP($A5148,Load!$B:$B,Load!E:E,0,)</f>
        <v>Sweet</v>
      </c>
      <c r="E5148" t="str">
        <f>_xlfn.XLOOKUP($A5148,Load!$B:$B,Load!F:F,0,)</f>
        <v>Lollipop (regular or lollipop rings)</v>
      </c>
      <c r="F5148" t="str">
        <f>_xlfn.XLOOKUP($A5148,Load!$B:$B,Load!G:G,0,)</f>
        <v>Large Multipack (More than 80 ct)</v>
      </c>
      <c r="G5148" t="str">
        <f>_xlfn.XLOOKUP($A5148,Load!$B:$B,Load!H:H,0,)</f>
        <v>Laydown Bag</v>
      </c>
      <c r="H5148" t="str">
        <f>_xlfn.XLOOKUP($A5148,Load!$B:$B,Load!I:I,0,)</f>
        <v>Everyday Candy Shapes (like Original, Gummy bear, Fruit, Jewels, etc.)</v>
      </c>
      <c r="I5148" t="str">
        <f>_xlfn.XLOOKUP($A5148,Load!$B:$B,Load!J:J,0,)</f>
        <v>Everyday Graphics</v>
      </c>
      <c r="J5148" t="str">
        <f>_xlfn.XLOOKUP($A5148,Load!$B:$B,Load!K:K,0,)</f>
        <v>Regular Lollipop size (on sticks or rings)</v>
      </c>
      <c r="K5148" t="str">
        <f>_xlfn.XLOOKUP($A5148,Load!$B:$B,Load!L:L,0,)</f>
        <v>Regular/Original Wrapping</v>
      </c>
      <c r="L5148" t="str">
        <f>_xlfn.XLOOKUP($A5148,Load!$B:$B,Load!M:M,0,)</f>
        <v>Single Brand / Single Flavor or Form</v>
      </c>
    </row>
    <row r="5149" spans="1:12" x14ac:dyDescent="0.25">
      <c r="B5149">
        <f>_xlfn.XLOOKUP($A5149,Load!$B:$B,Load!C:C,0,)</f>
        <v>0</v>
      </c>
      <c r="C5149">
        <f>_xlfn.XLOOKUP($A5149,Load!$B:$B,Load!D:D,0,)</f>
        <v>0</v>
      </c>
      <c r="D5149">
        <f>_xlfn.XLOOKUP($A5149,Load!$B:$B,Load!E:E,0,)</f>
        <v>0</v>
      </c>
      <c r="E5149">
        <f>_xlfn.XLOOKUP($A5149,Load!$B:$B,Load!F:F,0,)</f>
        <v>0</v>
      </c>
      <c r="F5149">
        <f>_xlfn.XLOOKUP($A5149,Load!$B:$B,Load!G:G,0,)</f>
        <v>0</v>
      </c>
      <c r="G5149">
        <f>_xlfn.XLOOKUP($A5149,Load!$B:$B,Load!H:H,0,)</f>
        <v>0</v>
      </c>
      <c r="H5149">
        <f>_xlfn.XLOOKUP($A5149,Load!$B:$B,Load!I:I,0,)</f>
        <v>0</v>
      </c>
      <c r="I5149">
        <f>_xlfn.XLOOKUP($A5149,Load!$B:$B,Load!J:J,0,)</f>
        <v>0</v>
      </c>
      <c r="J5149">
        <f>_xlfn.XLOOKUP($A5149,Load!$B:$B,Load!K:K,0,)</f>
        <v>0</v>
      </c>
      <c r="K5149">
        <f>_xlfn.XLOOKUP($A5149,Load!$B:$B,Load!L:L,0,)</f>
        <v>0</v>
      </c>
      <c r="L5149">
        <f>_xlfn.XLOOKUP($A5149,Load!$B:$B,Load!M:M,0,)</f>
        <v>0</v>
      </c>
    </row>
    <row r="5150" spans="1:12" x14ac:dyDescent="0.25">
      <c r="A5150" t="s">
        <v>264</v>
      </c>
      <c r="B5150" t="str">
        <f>_xlfn.XLOOKUP($A5150,Load!$B:$B,Load!C:C,0,)</f>
        <v>Smarties</v>
      </c>
      <c r="C5150" t="str">
        <f>_xlfn.XLOOKUP($A5150,Load!$B:$B,Load!D:D,0,)</f>
        <v>Non-Chocolate Candy Only</v>
      </c>
      <c r="D5150" t="str">
        <f>_xlfn.XLOOKUP($A5150,Load!$B:$B,Load!E:E,0,)</f>
        <v>Fruit Flavor (Cherry, Grape, Apple, Citrus, Tropical Fruit)</v>
      </c>
      <c r="E5150" t="str">
        <f>_xlfn.XLOOKUP($A5150,Load!$B:$B,Load!F:F,0,)</f>
        <v>Powder / Chalky</v>
      </c>
      <c r="F5150" t="str">
        <f>_xlfn.XLOOKUP($A5150,Load!$B:$B,Load!G:G,0,)</f>
        <v>Single Pack</v>
      </c>
      <c r="G5150" t="str">
        <f>_xlfn.XLOOKUP($A5150,Load!$B:$B,Load!H:H,0,)</f>
        <v>Laydown Bag</v>
      </c>
      <c r="H5150" t="str">
        <f>_xlfn.XLOOKUP($A5150,Load!$B:$B,Load!I:I,0,)</f>
        <v>Everyday Candy Shapes (like Original, Gummy bear, Fruit, Jewels, etc.)</v>
      </c>
      <c r="I5150" t="str">
        <f>_xlfn.XLOOKUP($A5150,Load!$B:$B,Load!J:J,0,)</f>
        <v>Everyday Graphics</v>
      </c>
      <c r="J5150" t="str">
        <f>_xlfn.XLOOKUP($A5150,Load!$B:$B,Load!K:K,0,)</f>
        <v>Small Pieces (Tiny bite size candies)</v>
      </c>
      <c r="K5150" t="str">
        <f>_xlfn.XLOOKUP($A5150,Load!$B:$B,Load!L:L,0,)</f>
        <v>Regular/Original Wrapping</v>
      </c>
      <c r="L5150" t="str">
        <f>_xlfn.XLOOKUP($A5150,Load!$B:$B,Load!M:M,0,)</f>
        <v>Single Brand / Single Flavor or Form</v>
      </c>
    </row>
    <row r="5151" spans="1:12" x14ac:dyDescent="0.25">
      <c r="B5151">
        <f>_xlfn.XLOOKUP($A5151,Load!$B:$B,Load!C:C,0,)</f>
        <v>0</v>
      </c>
      <c r="C5151">
        <f>_xlfn.XLOOKUP($A5151,Load!$B:$B,Load!D:D,0,)</f>
        <v>0</v>
      </c>
      <c r="D5151">
        <f>_xlfn.XLOOKUP($A5151,Load!$B:$B,Load!E:E,0,)</f>
        <v>0</v>
      </c>
      <c r="E5151">
        <f>_xlfn.XLOOKUP($A5151,Load!$B:$B,Load!F:F,0,)</f>
        <v>0</v>
      </c>
      <c r="F5151">
        <f>_xlfn.XLOOKUP($A5151,Load!$B:$B,Load!G:G,0,)</f>
        <v>0</v>
      </c>
      <c r="G5151">
        <f>_xlfn.XLOOKUP($A5151,Load!$B:$B,Load!H:H,0,)</f>
        <v>0</v>
      </c>
      <c r="H5151">
        <f>_xlfn.XLOOKUP($A5151,Load!$B:$B,Load!I:I,0,)</f>
        <v>0</v>
      </c>
      <c r="I5151">
        <f>_xlfn.XLOOKUP($A5151,Load!$B:$B,Load!J:J,0,)</f>
        <v>0</v>
      </c>
      <c r="J5151">
        <f>_xlfn.XLOOKUP($A5151,Load!$B:$B,Load!K:K,0,)</f>
        <v>0</v>
      </c>
      <c r="K5151">
        <f>_xlfn.XLOOKUP($A5151,Load!$B:$B,Load!L:L,0,)</f>
        <v>0</v>
      </c>
      <c r="L5151">
        <f>_xlfn.XLOOKUP($A5151,Load!$B:$B,Load!M:M,0,)</f>
        <v>0</v>
      </c>
    </row>
    <row r="5152" spans="1:12" x14ac:dyDescent="0.25">
      <c r="A5152" t="s">
        <v>170</v>
      </c>
      <c r="B5152" t="str">
        <f>_xlfn.XLOOKUP($A5152,Load!$B:$B,Load!C:C,0,)</f>
        <v>Laffy Taffy</v>
      </c>
      <c r="C5152" t="str">
        <f>_xlfn.XLOOKUP($A5152,Load!$B:$B,Load!D:D,0,)</f>
        <v>Non-Chocolate Candy Only</v>
      </c>
      <c r="D5152" t="str">
        <f>_xlfn.XLOOKUP($A5152,Load!$B:$B,Load!E:E,0,)</f>
        <v>Fruit Flavor (Cherry, Grape, Apple, Citrus, Tropical Fruit)</v>
      </c>
      <c r="E5152" t="str">
        <f>_xlfn.XLOOKUP($A5152,Load!$B:$B,Load!F:F,0,)</f>
        <v>Taffy</v>
      </c>
      <c r="F5152" t="str">
        <f>_xlfn.XLOOKUP($A5152,Load!$B:$B,Load!G:G,0,)</f>
        <v>Large Multipack (More than 80 ct)</v>
      </c>
      <c r="G5152" t="str">
        <f>_xlfn.XLOOKUP($A5152,Load!$B:$B,Load!H:H,0,)</f>
        <v>Stand-Up Bag</v>
      </c>
      <c r="H5152" t="str">
        <f>_xlfn.XLOOKUP($A5152,Load!$B:$B,Load!I:I,0,)</f>
        <v>Everyday Candy Shapes (like Original, Gummy bear, Fruit, Jewels, etc.)</v>
      </c>
      <c r="I5152" t="str">
        <f>_xlfn.XLOOKUP($A5152,Load!$B:$B,Load!J:J,0,)</f>
        <v>Everyday Graphics</v>
      </c>
      <c r="J5152" t="str">
        <f>_xlfn.XLOOKUP($A5152,Load!$B:$B,Load!K:K,0,)</f>
        <v>Fun Size / Treat Size</v>
      </c>
      <c r="K5152" t="str">
        <f>_xlfn.XLOOKUP($A5152,Load!$B:$B,Load!L:L,0,)</f>
        <v>Regular/Original Wrapping</v>
      </c>
      <c r="L5152" t="str">
        <f>_xlfn.XLOOKUP($A5152,Load!$B:$B,Load!M:M,0,)</f>
        <v>Single Brand / Variety Flavors or Form</v>
      </c>
    </row>
    <row r="5153" spans="1:12" x14ac:dyDescent="0.25">
      <c r="B5153">
        <f>_xlfn.XLOOKUP($A5153,Load!$B:$B,Load!C:C,0,)</f>
        <v>0</v>
      </c>
      <c r="C5153">
        <f>_xlfn.XLOOKUP($A5153,Load!$B:$B,Load!D:D,0,)</f>
        <v>0</v>
      </c>
      <c r="D5153">
        <f>_xlfn.XLOOKUP($A5153,Load!$B:$B,Load!E:E,0,)</f>
        <v>0</v>
      </c>
      <c r="E5153">
        <f>_xlfn.XLOOKUP($A5153,Load!$B:$B,Load!F:F,0,)</f>
        <v>0</v>
      </c>
      <c r="F5153">
        <f>_xlfn.XLOOKUP($A5153,Load!$B:$B,Load!G:G,0,)</f>
        <v>0</v>
      </c>
      <c r="G5153">
        <f>_xlfn.XLOOKUP($A5153,Load!$B:$B,Load!H:H,0,)</f>
        <v>0</v>
      </c>
      <c r="H5153">
        <f>_xlfn.XLOOKUP($A5153,Load!$B:$B,Load!I:I,0,)</f>
        <v>0</v>
      </c>
      <c r="I5153">
        <f>_xlfn.XLOOKUP($A5153,Load!$B:$B,Load!J:J,0,)</f>
        <v>0</v>
      </c>
      <c r="J5153">
        <f>_xlfn.XLOOKUP($A5153,Load!$B:$B,Load!K:K,0,)</f>
        <v>0</v>
      </c>
      <c r="K5153">
        <f>_xlfn.XLOOKUP($A5153,Load!$B:$B,Load!L:L,0,)</f>
        <v>0</v>
      </c>
      <c r="L5153">
        <f>_xlfn.XLOOKUP($A5153,Load!$B:$B,Load!M:M,0,)</f>
        <v>0</v>
      </c>
    </row>
    <row r="5154" spans="1:12" x14ac:dyDescent="0.25">
      <c r="A5154" t="s">
        <v>235</v>
      </c>
      <c r="B5154" t="str">
        <f>_xlfn.XLOOKUP($A5154,Load!$B:$B,Load!C:C,0,)</f>
        <v>Nerds</v>
      </c>
      <c r="C5154" t="str">
        <f>_xlfn.XLOOKUP($A5154,Load!$B:$B,Load!D:D,0,)</f>
        <v>Non-Chocolate Candy Only</v>
      </c>
      <c r="D5154" t="str">
        <f>_xlfn.XLOOKUP($A5154,Load!$B:$B,Load!E:E,0,)</f>
        <v>Variety / Mixed Flavors (Fruity, Sour, Seasonal Flavors)</v>
      </c>
      <c r="E5154" t="str">
        <f>_xlfn.XLOOKUP($A5154,Load!$B:$B,Load!F:F,0,)</f>
        <v>Candy Pieces / Bites</v>
      </c>
      <c r="F5154" t="str">
        <f>_xlfn.XLOOKUP($A5154,Load!$B:$B,Load!G:G,0,)</f>
        <v>Small Multipack (Less than 40 ct)</v>
      </c>
      <c r="G5154" t="str">
        <f>_xlfn.XLOOKUP($A5154,Load!$B:$B,Load!H:H,0,)</f>
        <v>Peg Bag</v>
      </c>
      <c r="H5154" t="str">
        <f>_xlfn.XLOOKUP($A5154,Load!$B:$B,Load!I:I,0,)</f>
        <v>Everyday Candy Shapes (like Original, Gummy bear, Fruit, Jewels, etc.)</v>
      </c>
      <c r="I5154" t="str">
        <f>_xlfn.XLOOKUP($A5154,Load!$B:$B,Load!J:J,0,)</f>
        <v>Everyday Graphics</v>
      </c>
      <c r="J5154" t="str">
        <f>_xlfn.XLOOKUP($A5154,Load!$B:$B,Load!K:K,0,)</f>
        <v>Small Pieces (Tiny bite size candies)</v>
      </c>
      <c r="K5154" t="str">
        <f>_xlfn.XLOOKUP($A5154,Load!$B:$B,Load!L:L,0,)</f>
        <v>Unwrapped</v>
      </c>
      <c r="L5154" t="str">
        <f>_xlfn.XLOOKUP($A5154,Load!$B:$B,Load!M:M,0,)</f>
        <v>Single Brand / Variety Flavors or Form</v>
      </c>
    </row>
    <row r="5155" spans="1:12" x14ac:dyDescent="0.25">
      <c r="B5155">
        <f>_xlfn.XLOOKUP($A5155,Load!$B:$B,Load!C:C,0,)</f>
        <v>0</v>
      </c>
      <c r="C5155">
        <f>_xlfn.XLOOKUP($A5155,Load!$B:$B,Load!D:D,0,)</f>
        <v>0</v>
      </c>
      <c r="D5155">
        <f>_xlfn.XLOOKUP($A5155,Load!$B:$B,Load!E:E,0,)</f>
        <v>0</v>
      </c>
      <c r="E5155">
        <f>_xlfn.XLOOKUP($A5155,Load!$B:$B,Load!F:F,0,)</f>
        <v>0</v>
      </c>
      <c r="F5155">
        <f>_xlfn.XLOOKUP($A5155,Load!$B:$B,Load!G:G,0,)</f>
        <v>0</v>
      </c>
      <c r="G5155">
        <f>_xlfn.XLOOKUP($A5155,Load!$B:$B,Load!H:H,0,)</f>
        <v>0</v>
      </c>
      <c r="H5155">
        <f>_xlfn.XLOOKUP($A5155,Load!$B:$B,Load!I:I,0,)</f>
        <v>0</v>
      </c>
      <c r="I5155">
        <f>_xlfn.XLOOKUP($A5155,Load!$B:$B,Load!J:J,0,)</f>
        <v>0</v>
      </c>
      <c r="J5155">
        <f>_xlfn.XLOOKUP($A5155,Load!$B:$B,Load!K:K,0,)</f>
        <v>0</v>
      </c>
      <c r="K5155">
        <f>_xlfn.XLOOKUP($A5155,Load!$B:$B,Load!L:L,0,)</f>
        <v>0</v>
      </c>
      <c r="L5155">
        <f>_xlfn.XLOOKUP($A5155,Load!$B:$B,Load!M:M,0,)</f>
        <v>0</v>
      </c>
    </row>
    <row r="5156" spans="1:12" x14ac:dyDescent="0.25">
      <c r="A5156" t="s">
        <v>264</v>
      </c>
      <c r="B5156" t="str">
        <f>_xlfn.XLOOKUP($A5156,Load!$B:$B,Load!C:C,0,)</f>
        <v>Smarties</v>
      </c>
      <c r="C5156" t="str">
        <f>_xlfn.XLOOKUP($A5156,Load!$B:$B,Load!D:D,0,)</f>
        <v>Non-Chocolate Candy Only</v>
      </c>
      <c r="D5156" t="str">
        <f>_xlfn.XLOOKUP($A5156,Load!$B:$B,Load!E:E,0,)</f>
        <v>Fruit Flavor (Cherry, Grape, Apple, Citrus, Tropical Fruit)</v>
      </c>
      <c r="E5156" t="str">
        <f>_xlfn.XLOOKUP($A5156,Load!$B:$B,Load!F:F,0,)</f>
        <v>Powder / Chalky</v>
      </c>
      <c r="F5156" t="str">
        <f>_xlfn.XLOOKUP($A5156,Load!$B:$B,Load!G:G,0,)</f>
        <v>Single Pack</v>
      </c>
      <c r="G5156" t="str">
        <f>_xlfn.XLOOKUP($A5156,Load!$B:$B,Load!H:H,0,)</f>
        <v>Laydown Bag</v>
      </c>
      <c r="H5156" t="str">
        <f>_xlfn.XLOOKUP($A5156,Load!$B:$B,Load!I:I,0,)</f>
        <v>Everyday Candy Shapes (like Original, Gummy bear, Fruit, Jewels, etc.)</v>
      </c>
      <c r="I5156" t="str">
        <f>_xlfn.XLOOKUP($A5156,Load!$B:$B,Load!J:J,0,)</f>
        <v>Everyday Graphics</v>
      </c>
      <c r="J5156" t="str">
        <f>_xlfn.XLOOKUP($A5156,Load!$B:$B,Load!K:K,0,)</f>
        <v>Small Pieces (Tiny bite size candies)</v>
      </c>
      <c r="K5156" t="str">
        <f>_xlfn.XLOOKUP($A5156,Load!$B:$B,Load!L:L,0,)</f>
        <v>Regular/Original Wrapping</v>
      </c>
      <c r="L5156" t="str">
        <f>_xlfn.XLOOKUP($A5156,Load!$B:$B,Load!M:M,0,)</f>
        <v>Single Brand / Single Flavor or Form</v>
      </c>
    </row>
    <row r="5157" spans="1:12" x14ac:dyDescent="0.25">
      <c r="B5157">
        <f>_xlfn.XLOOKUP($A5157,Load!$B:$B,Load!C:C,0,)</f>
        <v>0</v>
      </c>
      <c r="C5157">
        <f>_xlfn.XLOOKUP($A5157,Load!$B:$B,Load!D:D,0,)</f>
        <v>0</v>
      </c>
      <c r="D5157">
        <f>_xlfn.XLOOKUP($A5157,Load!$B:$B,Load!E:E,0,)</f>
        <v>0</v>
      </c>
      <c r="E5157">
        <f>_xlfn.XLOOKUP($A5157,Load!$B:$B,Load!F:F,0,)</f>
        <v>0</v>
      </c>
      <c r="F5157">
        <f>_xlfn.XLOOKUP($A5157,Load!$B:$B,Load!G:G,0,)</f>
        <v>0</v>
      </c>
      <c r="G5157">
        <f>_xlfn.XLOOKUP($A5157,Load!$B:$B,Load!H:H,0,)</f>
        <v>0</v>
      </c>
      <c r="H5157">
        <f>_xlfn.XLOOKUP($A5157,Load!$B:$B,Load!I:I,0,)</f>
        <v>0</v>
      </c>
      <c r="I5157">
        <f>_xlfn.XLOOKUP($A5157,Load!$B:$B,Load!J:J,0,)</f>
        <v>0</v>
      </c>
      <c r="J5157">
        <f>_xlfn.XLOOKUP($A5157,Load!$B:$B,Load!K:K,0,)</f>
        <v>0</v>
      </c>
      <c r="K5157">
        <f>_xlfn.XLOOKUP($A5157,Load!$B:$B,Load!L:L,0,)</f>
        <v>0</v>
      </c>
      <c r="L5157">
        <f>_xlfn.XLOOKUP($A5157,Load!$B:$B,Load!M:M,0,)</f>
        <v>0</v>
      </c>
    </row>
    <row r="5158" spans="1:12" x14ac:dyDescent="0.25">
      <c r="B5158">
        <f>_xlfn.XLOOKUP($A5158,Load!$B:$B,Load!C:C,0,)</f>
        <v>0</v>
      </c>
      <c r="C5158">
        <f>_xlfn.XLOOKUP($A5158,Load!$B:$B,Load!D:D,0,)</f>
        <v>0</v>
      </c>
      <c r="D5158">
        <f>_xlfn.XLOOKUP($A5158,Load!$B:$B,Load!E:E,0,)</f>
        <v>0</v>
      </c>
      <c r="E5158">
        <f>_xlfn.XLOOKUP($A5158,Load!$B:$B,Load!F:F,0,)</f>
        <v>0</v>
      </c>
      <c r="F5158">
        <f>_xlfn.XLOOKUP($A5158,Load!$B:$B,Load!G:G,0,)</f>
        <v>0</v>
      </c>
      <c r="G5158">
        <f>_xlfn.XLOOKUP($A5158,Load!$B:$B,Load!H:H,0,)</f>
        <v>0</v>
      </c>
      <c r="H5158">
        <f>_xlfn.XLOOKUP($A5158,Load!$B:$B,Load!I:I,0,)</f>
        <v>0</v>
      </c>
      <c r="I5158">
        <f>_xlfn.XLOOKUP($A5158,Load!$B:$B,Load!J:J,0,)</f>
        <v>0</v>
      </c>
      <c r="J5158">
        <f>_xlfn.XLOOKUP($A5158,Load!$B:$B,Load!K:K,0,)</f>
        <v>0</v>
      </c>
      <c r="K5158">
        <f>_xlfn.XLOOKUP($A5158,Load!$B:$B,Load!L:L,0,)</f>
        <v>0</v>
      </c>
      <c r="L5158">
        <f>_xlfn.XLOOKUP($A5158,Load!$B:$B,Load!M:M,0,)</f>
        <v>0</v>
      </c>
    </row>
    <row r="5159" spans="1:12" x14ac:dyDescent="0.25">
      <c r="B5159">
        <f>_xlfn.XLOOKUP($A5159,Load!$B:$B,Load!C:C,0,)</f>
        <v>0</v>
      </c>
      <c r="C5159">
        <f>_xlfn.XLOOKUP($A5159,Load!$B:$B,Load!D:D,0,)</f>
        <v>0</v>
      </c>
      <c r="D5159">
        <f>_xlfn.XLOOKUP($A5159,Load!$B:$B,Load!E:E,0,)</f>
        <v>0</v>
      </c>
      <c r="E5159">
        <f>_xlfn.XLOOKUP($A5159,Load!$B:$B,Load!F:F,0,)</f>
        <v>0</v>
      </c>
      <c r="F5159">
        <f>_xlfn.XLOOKUP($A5159,Load!$B:$B,Load!G:G,0,)</f>
        <v>0</v>
      </c>
      <c r="G5159">
        <f>_xlfn.XLOOKUP($A5159,Load!$B:$B,Load!H:H,0,)</f>
        <v>0</v>
      </c>
      <c r="H5159">
        <f>_xlfn.XLOOKUP($A5159,Load!$B:$B,Load!I:I,0,)</f>
        <v>0</v>
      </c>
      <c r="I5159">
        <f>_xlfn.XLOOKUP($A5159,Load!$B:$B,Load!J:J,0,)</f>
        <v>0</v>
      </c>
      <c r="J5159">
        <f>_xlfn.XLOOKUP($A5159,Load!$B:$B,Load!K:K,0,)</f>
        <v>0</v>
      </c>
      <c r="K5159">
        <f>_xlfn.XLOOKUP($A5159,Load!$B:$B,Load!L:L,0,)</f>
        <v>0</v>
      </c>
      <c r="L5159">
        <f>_xlfn.XLOOKUP($A5159,Load!$B:$B,Load!M:M,0,)</f>
        <v>0</v>
      </c>
    </row>
    <row r="5160" spans="1:12" x14ac:dyDescent="0.25">
      <c r="A5160" t="s">
        <v>294</v>
      </c>
      <c r="B5160" t="str">
        <f>_xlfn.XLOOKUP($A5160,Load!$B:$B,Load!C:C,0,)</f>
        <v>Tootsie</v>
      </c>
      <c r="C5160" t="str">
        <f>_xlfn.XLOOKUP($A5160,Load!$B:$B,Load!D:D,0,)</f>
        <v>Non-Chocolate Candy Only</v>
      </c>
      <c r="D5160" t="str">
        <f>_xlfn.XLOOKUP($A5160,Load!$B:$B,Load!E:E,0,)</f>
        <v>Sweet</v>
      </c>
      <c r="E5160" t="str">
        <f>_xlfn.XLOOKUP($A5160,Load!$B:$B,Load!F:F,0,)</f>
        <v>Lollipop (regular or lollipop rings)</v>
      </c>
      <c r="F5160" t="str">
        <f>_xlfn.XLOOKUP($A5160,Load!$B:$B,Load!G:G,0,)</f>
        <v>Large Multipack (More than 80 ct)</v>
      </c>
      <c r="G5160" t="str">
        <f>_xlfn.XLOOKUP($A5160,Load!$B:$B,Load!H:H,0,)</f>
        <v>Laydown Bag</v>
      </c>
      <c r="H5160" t="str">
        <f>_xlfn.XLOOKUP($A5160,Load!$B:$B,Load!I:I,0,)</f>
        <v>Everyday Candy Shapes (like Original, Gummy bear, Fruit, Jewels, etc.)</v>
      </c>
      <c r="I5160" t="str">
        <f>_xlfn.XLOOKUP($A5160,Load!$B:$B,Load!J:J,0,)</f>
        <v>Everyday Graphics</v>
      </c>
      <c r="J5160" t="str">
        <f>_xlfn.XLOOKUP($A5160,Load!$B:$B,Load!K:K,0,)</f>
        <v>Regular Lollipop size (on sticks or rings)</v>
      </c>
      <c r="K5160" t="str">
        <f>_xlfn.XLOOKUP($A5160,Load!$B:$B,Load!L:L,0,)</f>
        <v>Regular/Original Wrapping</v>
      </c>
      <c r="L5160" t="str">
        <f>_xlfn.XLOOKUP($A5160,Load!$B:$B,Load!M:M,0,)</f>
        <v>Single Brand / Single Flavor or Form</v>
      </c>
    </row>
    <row r="5161" spans="1:12" x14ac:dyDescent="0.25">
      <c r="B5161">
        <f>_xlfn.XLOOKUP($A5161,Load!$B:$B,Load!C:C,0,)</f>
        <v>0</v>
      </c>
      <c r="C5161">
        <f>_xlfn.XLOOKUP($A5161,Load!$B:$B,Load!D:D,0,)</f>
        <v>0</v>
      </c>
      <c r="D5161">
        <f>_xlfn.XLOOKUP($A5161,Load!$B:$B,Load!E:E,0,)</f>
        <v>0</v>
      </c>
      <c r="E5161">
        <f>_xlfn.XLOOKUP($A5161,Load!$B:$B,Load!F:F,0,)</f>
        <v>0</v>
      </c>
      <c r="F5161">
        <f>_xlfn.XLOOKUP($A5161,Load!$B:$B,Load!G:G,0,)</f>
        <v>0</v>
      </c>
      <c r="G5161">
        <f>_xlfn.XLOOKUP($A5161,Load!$B:$B,Load!H:H,0,)</f>
        <v>0</v>
      </c>
      <c r="H5161">
        <f>_xlfn.XLOOKUP($A5161,Load!$B:$B,Load!I:I,0,)</f>
        <v>0</v>
      </c>
      <c r="I5161">
        <f>_xlfn.XLOOKUP($A5161,Load!$B:$B,Load!J:J,0,)</f>
        <v>0</v>
      </c>
      <c r="J5161">
        <f>_xlfn.XLOOKUP($A5161,Load!$B:$B,Load!K:K,0,)</f>
        <v>0</v>
      </c>
      <c r="K5161">
        <f>_xlfn.XLOOKUP($A5161,Load!$B:$B,Load!L:L,0,)</f>
        <v>0</v>
      </c>
      <c r="L5161">
        <f>_xlfn.XLOOKUP($A5161,Load!$B:$B,Load!M:M,0,)</f>
        <v>0</v>
      </c>
    </row>
    <row r="5162" spans="1:12" x14ac:dyDescent="0.25">
      <c r="A5162" t="s">
        <v>192</v>
      </c>
      <c r="B5162" t="str">
        <f>_xlfn.XLOOKUP($A5162,Load!$B:$B,Load!C:C,0,)</f>
        <v>Mars Variety Pack</v>
      </c>
      <c r="C5162" t="str">
        <f>_xlfn.XLOOKUP($A5162,Load!$B:$B,Load!D:D,0,)</f>
        <v>Non-Chocolate Candy Only</v>
      </c>
      <c r="D5162" t="str">
        <f>_xlfn.XLOOKUP($A5162,Load!$B:$B,Load!E:E,0,)</f>
        <v>Variety / Mixed Flavors (Fruity, Sour, Seasonal Flavors)</v>
      </c>
      <c r="E5162" t="str">
        <f>_xlfn.XLOOKUP($A5162,Load!$B:$B,Load!F:F,0,)</f>
        <v>Mixed / Combo Packs (Gummy, Chewy, Taffy, etc.)</v>
      </c>
      <c r="F5162" t="str">
        <f>_xlfn.XLOOKUP($A5162,Load!$B:$B,Load!G:G,0,)</f>
        <v>Medium Multipack (40–80 ct)</v>
      </c>
      <c r="G5162" t="str">
        <f>_xlfn.XLOOKUP($A5162,Load!$B:$B,Load!H:H,0,)</f>
        <v>Stand-Up Bag</v>
      </c>
      <c r="H5162" t="str">
        <f>_xlfn.XLOOKUP($A5162,Load!$B:$B,Load!I:I,0,)</f>
        <v>Everyday Candy Shapes (like Original, Gummy bear, Fruit, Jewels, etc.)</v>
      </c>
      <c r="I5162" t="str">
        <f>_xlfn.XLOOKUP($A5162,Load!$B:$B,Load!J:J,0,)</f>
        <v>Seasonal Graphics (Like Bat, Ghost, Pumpkin, Fall Leaves, Eyeballs, etc.)</v>
      </c>
      <c r="J5162" t="str">
        <f>_xlfn.XLOOKUP($A5162,Load!$B:$B,Load!K:K,0,)</f>
        <v>Fun Size / Treat Size</v>
      </c>
      <c r="K5162" t="str">
        <f>_xlfn.XLOOKUP($A5162,Load!$B:$B,Load!L:L,0,)</f>
        <v>Regular/Original Wrapping</v>
      </c>
      <c r="L5162" t="str">
        <f>_xlfn.XLOOKUP($A5162,Load!$B:$B,Load!M:M,0,)</f>
        <v>Multiple Brands / Variety Flavors or Form</v>
      </c>
    </row>
    <row r="5163" spans="1:12" x14ac:dyDescent="0.25">
      <c r="B5163">
        <f>_xlfn.XLOOKUP($A5163,Load!$B:$B,Load!C:C,0,)</f>
        <v>0</v>
      </c>
      <c r="C5163">
        <f>_xlfn.XLOOKUP($A5163,Load!$B:$B,Load!D:D,0,)</f>
        <v>0</v>
      </c>
      <c r="D5163">
        <f>_xlfn.XLOOKUP($A5163,Load!$B:$B,Load!E:E,0,)</f>
        <v>0</v>
      </c>
      <c r="E5163">
        <f>_xlfn.XLOOKUP($A5163,Load!$B:$B,Load!F:F,0,)</f>
        <v>0</v>
      </c>
      <c r="F5163">
        <f>_xlfn.XLOOKUP($A5163,Load!$B:$B,Load!G:G,0,)</f>
        <v>0</v>
      </c>
      <c r="G5163">
        <f>_xlfn.XLOOKUP($A5163,Load!$B:$B,Load!H:H,0,)</f>
        <v>0</v>
      </c>
      <c r="H5163">
        <f>_xlfn.XLOOKUP($A5163,Load!$B:$B,Load!I:I,0,)</f>
        <v>0</v>
      </c>
      <c r="I5163">
        <f>_xlfn.XLOOKUP($A5163,Load!$B:$B,Load!J:J,0,)</f>
        <v>0</v>
      </c>
      <c r="J5163">
        <f>_xlfn.XLOOKUP($A5163,Load!$B:$B,Load!K:K,0,)</f>
        <v>0</v>
      </c>
      <c r="K5163">
        <f>_xlfn.XLOOKUP($A5163,Load!$B:$B,Load!L:L,0,)</f>
        <v>0</v>
      </c>
      <c r="L5163">
        <f>_xlfn.XLOOKUP($A5163,Load!$B:$B,Load!M:M,0,)</f>
        <v>0</v>
      </c>
    </row>
    <row r="5164" spans="1:12" x14ac:dyDescent="0.25">
      <c r="A5164" t="s">
        <v>285</v>
      </c>
      <c r="B5164" t="str">
        <f>_xlfn.XLOOKUP($A5164,Load!$B:$B,Load!C:C,0,)</f>
        <v>Starburst</v>
      </c>
      <c r="C5164" t="str">
        <f>_xlfn.XLOOKUP($A5164,Load!$B:$B,Load!D:D,0,)</f>
        <v>Non-Chocolate Candy Only</v>
      </c>
      <c r="D5164" t="str">
        <f>_xlfn.XLOOKUP($A5164,Load!$B:$B,Load!E:E,0,)</f>
        <v>Fruit Flavor (Cherry, Grape, Apple, Citrus, Tropical Fruit)</v>
      </c>
      <c r="E5164" t="str">
        <f>_xlfn.XLOOKUP($A5164,Load!$B:$B,Load!F:F,0,)</f>
        <v>Chewy</v>
      </c>
      <c r="F5164" t="str">
        <f>_xlfn.XLOOKUP($A5164,Load!$B:$B,Load!G:G,0,)</f>
        <v>Small Multipack (Less than 40 ct)</v>
      </c>
      <c r="G5164" t="str">
        <f>_xlfn.XLOOKUP($A5164,Load!$B:$B,Load!H:H,0,)</f>
        <v>Laydown Bag</v>
      </c>
      <c r="H5164" t="str">
        <f>_xlfn.XLOOKUP($A5164,Load!$B:$B,Load!I:I,0,)</f>
        <v>Everyday Candy Shapes (like Original, Gummy bear, Fruit, Jewels, etc.)</v>
      </c>
      <c r="I5164" t="str">
        <f>_xlfn.XLOOKUP($A5164,Load!$B:$B,Load!J:J,0,)</f>
        <v>Everyday Graphics</v>
      </c>
      <c r="J5164" t="str">
        <f>_xlfn.XLOOKUP($A5164,Load!$B:$B,Load!K:K,0,)</f>
        <v>Small Pieces (Tiny bite size candies)</v>
      </c>
      <c r="K5164" t="str">
        <f>_xlfn.XLOOKUP($A5164,Load!$B:$B,Load!L:L,0,)</f>
        <v>Regular/Original Wrapping</v>
      </c>
      <c r="L5164" t="str">
        <f>_xlfn.XLOOKUP($A5164,Load!$B:$B,Load!M:M,0,)</f>
        <v>Single Brand / Variety Flavors or Form</v>
      </c>
    </row>
    <row r="5165" spans="1:12" x14ac:dyDescent="0.25">
      <c r="A5165" t="s">
        <v>191</v>
      </c>
      <c r="B5165" t="str">
        <f>_xlfn.XLOOKUP($A5165,Load!$B:$B,Load!C:C,0,)</f>
        <v>Mars Variety Pack</v>
      </c>
      <c r="C5165" t="str">
        <f>_xlfn.XLOOKUP($A5165,Load!$B:$B,Load!D:D,0,)</f>
        <v>Mix of Chocolate and Non-Chocolate Candy</v>
      </c>
      <c r="D5165" t="str">
        <f>_xlfn.XLOOKUP($A5165,Load!$B:$B,Load!E:E,0,)</f>
        <v>Variety / Mixed Flavors (Fruity, Sour, Seasonal Flavors)</v>
      </c>
      <c r="E5165" t="str">
        <f>_xlfn.XLOOKUP($A5165,Load!$B:$B,Load!F:F,0,)</f>
        <v>Mixed / Combo Packs (Gummy, Chewy, Taffy, etc.)</v>
      </c>
      <c r="F5165" t="str">
        <f>_xlfn.XLOOKUP($A5165,Load!$B:$B,Load!G:G,0,)</f>
        <v>Medium Multipack (40–80 ct)</v>
      </c>
      <c r="G5165" t="str">
        <f>_xlfn.XLOOKUP($A5165,Load!$B:$B,Load!H:H,0,)</f>
        <v>Stand-Up Bag</v>
      </c>
      <c r="H5165" t="str">
        <f>_xlfn.XLOOKUP($A5165,Load!$B:$B,Load!I:I,0,)</f>
        <v>Everyday Candy Shapes (like Original, Gummy bear, Fruit, Jewels, etc.)</v>
      </c>
      <c r="I5165" t="str">
        <f>_xlfn.XLOOKUP($A5165,Load!$B:$B,Load!J:J,0,)</f>
        <v>Seasonal Graphics (Like Bat, Ghost, Pumpkin, Fall Leaves, Eyeballs, etc.)</v>
      </c>
      <c r="J5165" t="str">
        <f>_xlfn.XLOOKUP($A5165,Load!$B:$B,Load!K:K,0,)</f>
        <v xml:space="preserve">Variety Candy Sizes </v>
      </c>
      <c r="K5165" t="str">
        <f>_xlfn.XLOOKUP($A5165,Load!$B:$B,Load!L:L,0,)</f>
        <v>Regular/Original Wrapping</v>
      </c>
      <c r="L5165" t="str">
        <f>_xlfn.XLOOKUP($A5165,Load!$B:$B,Load!M:M,0,)</f>
        <v>Multiple Brands / Variety Flavors or Form</v>
      </c>
    </row>
    <row r="5166" spans="1:12" x14ac:dyDescent="0.25">
      <c r="A5166" t="s">
        <v>71</v>
      </c>
      <c r="B5166" t="str">
        <f>_xlfn.XLOOKUP($A5166,Load!$B:$B,Load!C:C,0,)</f>
        <v>Dum Dums</v>
      </c>
      <c r="C5166" t="str">
        <f>_xlfn.XLOOKUP($A5166,Load!$B:$B,Load!D:D,0,)</f>
        <v>Non-Chocolate Candy Only</v>
      </c>
      <c r="D5166" t="str">
        <f>_xlfn.XLOOKUP($A5166,Load!$B:$B,Load!E:E,0,)</f>
        <v>Sweet</v>
      </c>
      <c r="E5166" t="str">
        <f>_xlfn.XLOOKUP($A5166,Load!$B:$B,Load!F:F,0,)</f>
        <v>Lollipop (regular or lollipop rings)</v>
      </c>
      <c r="F5166" t="str">
        <f>_xlfn.XLOOKUP($A5166,Load!$B:$B,Load!G:G,0,)</f>
        <v>Large Multipack (More than 80 ct)</v>
      </c>
      <c r="G5166" t="str">
        <f>_xlfn.XLOOKUP($A5166,Load!$B:$B,Load!H:H,0,)</f>
        <v>Stand-Up Bag</v>
      </c>
      <c r="H5166" t="str">
        <f>_xlfn.XLOOKUP($A5166,Load!$B:$B,Load!I:I,0,)</f>
        <v>Everyday Candy Shapes (like Original, Gummy bear, Fruit, Jewels, etc.)</v>
      </c>
      <c r="I5166" t="str">
        <f>_xlfn.XLOOKUP($A5166,Load!$B:$B,Load!J:J,0,)</f>
        <v>Seasonal Graphics (Like Bat, Ghost, Pumpkin, Fall Leaves, Eyeballs, etc.)</v>
      </c>
      <c r="J5166" t="str">
        <f>_xlfn.XLOOKUP($A5166,Load!$B:$B,Load!K:K,0,)</f>
        <v>Regular Lollipop size (on sticks or rings)</v>
      </c>
      <c r="K5166" t="str">
        <f>_xlfn.XLOOKUP($A5166,Load!$B:$B,Load!L:L,0,)</f>
        <v>Regular/Original Wrapping</v>
      </c>
      <c r="L5166" t="str">
        <f>_xlfn.XLOOKUP($A5166,Load!$B:$B,Load!M:M,0,)</f>
        <v>Multiple Brands / Variety Flavors or Form</v>
      </c>
    </row>
    <row r="5167" spans="1:12" x14ac:dyDescent="0.25">
      <c r="B5167">
        <f>_xlfn.XLOOKUP($A5167,Load!$B:$B,Load!C:C,0,)</f>
        <v>0</v>
      </c>
      <c r="C5167">
        <f>_xlfn.XLOOKUP($A5167,Load!$B:$B,Load!D:D,0,)</f>
        <v>0</v>
      </c>
      <c r="D5167">
        <f>_xlfn.XLOOKUP($A5167,Load!$B:$B,Load!E:E,0,)</f>
        <v>0</v>
      </c>
      <c r="E5167">
        <f>_xlfn.XLOOKUP($A5167,Load!$B:$B,Load!F:F,0,)</f>
        <v>0</v>
      </c>
      <c r="F5167">
        <f>_xlfn.XLOOKUP($A5167,Load!$B:$B,Load!G:G,0,)</f>
        <v>0</v>
      </c>
      <c r="G5167">
        <f>_xlfn.XLOOKUP($A5167,Load!$B:$B,Load!H:H,0,)</f>
        <v>0</v>
      </c>
      <c r="H5167">
        <f>_xlfn.XLOOKUP($A5167,Load!$B:$B,Load!I:I,0,)</f>
        <v>0</v>
      </c>
      <c r="I5167">
        <f>_xlfn.XLOOKUP($A5167,Load!$B:$B,Load!J:J,0,)</f>
        <v>0</v>
      </c>
      <c r="J5167">
        <f>_xlfn.XLOOKUP($A5167,Load!$B:$B,Load!K:K,0,)</f>
        <v>0</v>
      </c>
      <c r="K5167">
        <f>_xlfn.XLOOKUP($A5167,Load!$B:$B,Load!L:L,0,)</f>
        <v>0</v>
      </c>
      <c r="L5167">
        <f>_xlfn.XLOOKUP($A5167,Load!$B:$B,Load!M:M,0,)</f>
        <v>0</v>
      </c>
    </row>
    <row r="5168" spans="1:12" x14ac:dyDescent="0.25">
      <c r="A5168" t="s">
        <v>134</v>
      </c>
      <c r="B5168" t="str">
        <f>_xlfn.XLOOKUP($A5168,Load!$B:$B,Load!C:C,0,)</f>
        <v>Hershey's Variety Pack</v>
      </c>
      <c r="C5168" t="str">
        <f>_xlfn.XLOOKUP($A5168,Load!$B:$B,Load!D:D,0,)</f>
        <v>Non-Chocolate Candy Only</v>
      </c>
      <c r="D5168" t="str">
        <f>_xlfn.XLOOKUP($A5168,Load!$B:$B,Load!E:E,0,)</f>
        <v>Variety / Mixed Flavors (Fruity, Sour, Seasonal Flavors)</v>
      </c>
      <c r="E5168" t="str">
        <f>_xlfn.XLOOKUP($A5168,Load!$B:$B,Load!F:F,0,)</f>
        <v>Mixed / Combo Packs (Gummy, Chewy, Taffy, etc.)</v>
      </c>
      <c r="F5168" t="str">
        <f>_xlfn.XLOOKUP($A5168,Load!$B:$B,Load!G:G,0,)</f>
        <v>Large Multipack (More than 80 ct)</v>
      </c>
      <c r="G5168" t="str">
        <f>_xlfn.XLOOKUP($A5168,Load!$B:$B,Load!H:H,0,)</f>
        <v>Stand-Up Bag</v>
      </c>
      <c r="H5168" t="str">
        <f>_xlfn.XLOOKUP($A5168,Load!$B:$B,Load!I:I,0,)</f>
        <v>Everyday Candy Shapes (like Original, Gummy bear, Fruit, Jewels, etc.)</v>
      </c>
      <c r="I5168" t="str">
        <f>_xlfn.XLOOKUP($A5168,Load!$B:$B,Load!J:J,0,)</f>
        <v>Seasonal Graphics (Like Bat, Ghost, Pumpkin, Fall Leaves, Eyeballs, etc.)</v>
      </c>
      <c r="J5168" t="str">
        <f>_xlfn.XLOOKUP($A5168,Load!$B:$B,Load!K:K,0,)</f>
        <v xml:space="preserve">Variety Candy Sizes </v>
      </c>
      <c r="K5168" t="str">
        <f>_xlfn.XLOOKUP($A5168,Load!$B:$B,Load!L:L,0,)</f>
        <v>Regular/Original Wrapping</v>
      </c>
      <c r="L5168" t="str">
        <f>_xlfn.XLOOKUP($A5168,Load!$B:$B,Load!M:M,0,)</f>
        <v>Multiple Brands / Variety Flavors or Form</v>
      </c>
    </row>
    <row r="5169" spans="1:12" x14ac:dyDescent="0.25">
      <c r="B5169">
        <f>_xlfn.XLOOKUP($A5169,Load!$B:$B,Load!C:C,0,)</f>
        <v>0</v>
      </c>
      <c r="C5169">
        <f>_xlfn.XLOOKUP($A5169,Load!$B:$B,Load!D:D,0,)</f>
        <v>0</v>
      </c>
      <c r="D5169">
        <f>_xlfn.XLOOKUP($A5169,Load!$B:$B,Load!E:E,0,)</f>
        <v>0</v>
      </c>
      <c r="E5169">
        <f>_xlfn.XLOOKUP($A5169,Load!$B:$B,Load!F:F,0,)</f>
        <v>0</v>
      </c>
      <c r="F5169">
        <f>_xlfn.XLOOKUP($A5169,Load!$B:$B,Load!G:G,0,)</f>
        <v>0</v>
      </c>
      <c r="G5169">
        <f>_xlfn.XLOOKUP($A5169,Load!$B:$B,Load!H:H,0,)</f>
        <v>0</v>
      </c>
      <c r="H5169">
        <f>_xlfn.XLOOKUP($A5169,Load!$B:$B,Load!I:I,0,)</f>
        <v>0</v>
      </c>
      <c r="I5169">
        <f>_xlfn.XLOOKUP($A5169,Load!$B:$B,Load!J:J,0,)</f>
        <v>0</v>
      </c>
      <c r="J5169">
        <f>_xlfn.XLOOKUP($A5169,Load!$B:$B,Load!K:K,0,)</f>
        <v>0</v>
      </c>
      <c r="K5169">
        <f>_xlfn.XLOOKUP($A5169,Load!$B:$B,Load!L:L,0,)</f>
        <v>0</v>
      </c>
      <c r="L5169">
        <f>_xlfn.XLOOKUP($A5169,Load!$B:$B,Load!M:M,0,)</f>
        <v>0</v>
      </c>
    </row>
    <row r="5170" spans="1:12" x14ac:dyDescent="0.25">
      <c r="B5170">
        <f>_xlfn.XLOOKUP($A5170,Load!$B:$B,Load!C:C,0,)</f>
        <v>0</v>
      </c>
      <c r="C5170">
        <f>_xlfn.XLOOKUP($A5170,Load!$B:$B,Load!D:D,0,)</f>
        <v>0</v>
      </c>
      <c r="D5170">
        <f>_xlfn.XLOOKUP($A5170,Load!$B:$B,Load!E:E,0,)</f>
        <v>0</v>
      </c>
      <c r="E5170">
        <f>_xlfn.XLOOKUP($A5170,Load!$B:$B,Load!F:F,0,)</f>
        <v>0</v>
      </c>
      <c r="F5170">
        <f>_xlfn.XLOOKUP($A5170,Load!$B:$B,Load!G:G,0,)</f>
        <v>0</v>
      </c>
      <c r="G5170">
        <f>_xlfn.XLOOKUP($A5170,Load!$B:$B,Load!H:H,0,)</f>
        <v>0</v>
      </c>
      <c r="H5170">
        <f>_xlfn.XLOOKUP($A5170,Load!$B:$B,Load!I:I,0,)</f>
        <v>0</v>
      </c>
      <c r="I5170">
        <f>_xlfn.XLOOKUP($A5170,Load!$B:$B,Load!J:J,0,)</f>
        <v>0</v>
      </c>
      <c r="J5170">
        <f>_xlfn.XLOOKUP($A5170,Load!$B:$B,Load!K:K,0,)</f>
        <v>0</v>
      </c>
      <c r="K5170">
        <f>_xlfn.XLOOKUP($A5170,Load!$B:$B,Load!L:L,0,)</f>
        <v>0</v>
      </c>
      <c r="L5170">
        <f>_xlfn.XLOOKUP($A5170,Load!$B:$B,Load!M:M,0,)</f>
        <v>0</v>
      </c>
    </row>
    <row r="5171" spans="1:12" x14ac:dyDescent="0.25">
      <c r="B5171">
        <f>_xlfn.XLOOKUP($A5171,Load!$B:$B,Load!C:C,0,)</f>
        <v>0</v>
      </c>
      <c r="C5171">
        <f>_xlfn.XLOOKUP($A5171,Load!$B:$B,Load!D:D,0,)</f>
        <v>0</v>
      </c>
      <c r="D5171">
        <f>_xlfn.XLOOKUP($A5171,Load!$B:$B,Load!E:E,0,)</f>
        <v>0</v>
      </c>
      <c r="E5171">
        <f>_xlfn.XLOOKUP($A5171,Load!$B:$B,Load!F:F,0,)</f>
        <v>0</v>
      </c>
      <c r="F5171">
        <f>_xlfn.XLOOKUP($A5171,Load!$B:$B,Load!G:G,0,)</f>
        <v>0</v>
      </c>
      <c r="G5171">
        <f>_xlfn.XLOOKUP($A5171,Load!$B:$B,Load!H:H,0,)</f>
        <v>0</v>
      </c>
      <c r="H5171">
        <f>_xlfn.XLOOKUP($A5171,Load!$B:$B,Load!I:I,0,)</f>
        <v>0</v>
      </c>
      <c r="I5171">
        <f>_xlfn.XLOOKUP($A5171,Load!$B:$B,Load!J:J,0,)</f>
        <v>0</v>
      </c>
      <c r="J5171">
        <f>_xlfn.XLOOKUP($A5171,Load!$B:$B,Load!K:K,0,)</f>
        <v>0</v>
      </c>
      <c r="K5171">
        <f>_xlfn.XLOOKUP($A5171,Load!$B:$B,Load!L:L,0,)</f>
        <v>0</v>
      </c>
      <c r="L5171">
        <f>_xlfn.XLOOKUP($A5171,Load!$B:$B,Load!M:M,0,)</f>
        <v>0</v>
      </c>
    </row>
    <row r="5172" spans="1:12" x14ac:dyDescent="0.25">
      <c r="A5172" t="s">
        <v>227</v>
      </c>
      <c r="B5172" t="str">
        <f>_xlfn.XLOOKUP($A5172,Load!$B:$B,Load!C:C,0,)</f>
        <v>Nerds</v>
      </c>
      <c r="C5172" t="str">
        <f>_xlfn.XLOOKUP($A5172,Load!$B:$B,Load!D:D,0,)</f>
        <v>Non-Chocolate Candy Only</v>
      </c>
      <c r="D5172" t="str">
        <f>_xlfn.XLOOKUP($A5172,Load!$B:$B,Load!E:E,0,)</f>
        <v>Sweet</v>
      </c>
      <c r="E5172" t="str">
        <f>_xlfn.XLOOKUP($A5172,Load!$B:$B,Load!F:F,0,)</f>
        <v>Chewy</v>
      </c>
      <c r="F5172" t="str">
        <f>_xlfn.XLOOKUP($A5172,Load!$B:$B,Load!G:G,0,)</f>
        <v>Single Pack</v>
      </c>
      <c r="G5172" t="str">
        <f>_xlfn.XLOOKUP($A5172,Load!$B:$B,Load!H:H,0,)</f>
        <v>Laydown Bag</v>
      </c>
      <c r="H5172" t="str">
        <f>_xlfn.XLOOKUP($A5172,Load!$B:$B,Load!I:I,0,)</f>
        <v>Seasonal Shapes (like pumpkins, candy corn, ghost, bats, etc.)</v>
      </c>
      <c r="I5172" t="str">
        <f>_xlfn.XLOOKUP($A5172,Load!$B:$B,Load!J:J,0,)</f>
        <v>Seasonal Graphics (Like Bat, Ghost, Pumpkin, Fall Leaves, Eyeballs, etc.)</v>
      </c>
      <c r="J5172" t="str">
        <f>_xlfn.XLOOKUP($A5172,Load!$B:$B,Load!K:K,0,)</f>
        <v>Small Pieces (Tiny bite size candies)</v>
      </c>
      <c r="K5172" t="str">
        <f>_xlfn.XLOOKUP($A5172,Load!$B:$B,Load!L:L,0,)</f>
        <v>Unwrapped</v>
      </c>
      <c r="L5172" t="str">
        <f>_xlfn.XLOOKUP($A5172,Load!$B:$B,Load!M:M,0,)</f>
        <v>Single Brand / Variety Flavors or Form</v>
      </c>
    </row>
    <row r="5173" spans="1:12" x14ac:dyDescent="0.25">
      <c r="B5173">
        <f>_xlfn.XLOOKUP($A5173,Load!$B:$B,Load!C:C,0,)</f>
        <v>0</v>
      </c>
      <c r="C5173">
        <f>_xlfn.XLOOKUP($A5173,Load!$B:$B,Load!D:D,0,)</f>
        <v>0</v>
      </c>
      <c r="D5173">
        <f>_xlfn.XLOOKUP($A5173,Load!$B:$B,Load!E:E,0,)</f>
        <v>0</v>
      </c>
      <c r="E5173">
        <f>_xlfn.XLOOKUP($A5173,Load!$B:$B,Load!F:F,0,)</f>
        <v>0</v>
      </c>
      <c r="F5173">
        <f>_xlfn.XLOOKUP($A5173,Load!$B:$B,Load!G:G,0,)</f>
        <v>0</v>
      </c>
      <c r="G5173">
        <f>_xlfn.XLOOKUP($A5173,Load!$B:$B,Load!H:H,0,)</f>
        <v>0</v>
      </c>
      <c r="H5173">
        <f>_xlfn.XLOOKUP($A5173,Load!$B:$B,Load!I:I,0,)</f>
        <v>0</v>
      </c>
      <c r="I5173">
        <f>_xlfn.XLOOKUP($A5173,Load!$B:$B,Load!J:J,0,)</f>
        <v>0</v>
      </c>
      <c r="J5173">
        <f>_xlfn.XLOOKUP($A5173,Load!$B:$B,Load!K:K,0,)</f>
        <v>0</v>
      </c>
      <c r="K5173">
        <f>_xlfn.XLOOKUP($A5173,Load!$B:$B,Load!L:L,0,)</f>
        <v>0</v>
      </c>
      <c r="L5173">
        <f>_xlfn.XLOOKUP($A5173,Load!$B:$B,Load!M:M,0,)</f>
        <v>0</v>
      </c>
    </row>
    <row r="5174" spans="1:12" x14ac:dyDescent="0.25">
      <c r="A5174" t="s">
        <v>178</v>
      </c>
      <c r="B5174" t="str">
        <f>_xlfn.XLOOKUP($A5174,Load!$B:$B,Load!C:C,0,)</f>
        <v>Mars Variety Pack</v>
      </c>
      <c r="C5174" t="str">
        <f>_xlfn.XLOOKUP($A5174,Load!$B:$B,Load!D:D,0,)</f>
        <v>Mix of Chocolate and Non-Chocolate Candy</v>
      </c>
      <c r="D5174" t="str">
        <f>_xlfn.XLOOKUP($A5174,Load!$B:$B,Load!E:E,0,)</f>
        <v>Variety / Mixed Flavors (Fruity, Sour, Seasonal Flavors)</v>
      </c>
      <c r="E5174" t="str">
        <f>_xlfn.XLOOKUP($A5174,Load!$B:$B,Load!F:F,0,)</f>
        <v>Mixed / Combo Packs (Gummy, Chewy, Taffy, etc.)</v>
      </c>
      <c r="F5174" t="str">
        <f>_xlfn.XLOOKUP($A5174,Load!$B:$B,Load!G:G,0,)</f>
        <v>Small Multipack (Less than 40 ct)</v>
      </c>
      <c r="G5174" t="str">
        <f>_xlfn.XLOOKUP($A5174,Load!$B:$B,Load!H:H,0,)</f>
        <v>Laydown Bag</v>
      </c>
      <c r="H5174" t="str">
        <f>_xlfn.XLOOKUP($A5174,Load!$B:$B,Load!I:I,0,)</f>
        <v>Everyday Candy Shapes (like Original, Gummy bear, Fruit, Jewels, etc.)</v>
      </c>
      <c r="I5174" t="str">
        <f>_xlfn.XLOOKUP($A5174,Load!$B:$B,Load!J:J,0,)</f>
        <v>Seasonal Graphics (Like Bat, Ghost, Pumpkin, Fall Leaves, Eyeballs, etc.)</v>
      </c>
      <c r="J5174" t="str">
        <f>_xlfn.XLOOKUP($A5174,Load!$B:$B,Load!K:K,0,)</f>
        <v xml:space="preserve">Variety Candy Sizes </v>
      </c>
      <c r="K5174" t="str">
        <f>_xlfn.XLOOKUP($A5174,Load!$B:$B,Load!L:L,0,)</f>
        <v>Regular/Original Wrapping</v>
      </c>
      <c r="L5174" t="str">
        <f>_xlfn.XLOOKUP($A5174,Load!$B:$B,Load!M:M,0,)</f>
        <v>Multiple Brands / Variety Flavors or Form</v>
      </c>
    </row>
    <row r="5175" spans="1:12" x14ac:dyDescent="0.25">
      <c r="B5175">
        <f>_xlfn.XLOOKUP($A5175,Load!$B:$B,Load!C:C,0,)</f>
        <v>0</v>
      </c>
      <c r="C5175">
        <f>_xlfn.XLOOKUP($A5175,Load!$B:$B,Load!D:D,0,)</f>
        <v>0</v>
      </c>
      <c r="D5175">
        <f>_xlfn.XLOOKUP($A5175,Load!$B:$B,Load!E:E,0,)</f>
        <v>0</v>
      </c>
      <c r="E5175">
        <f>_xlfn.XLOOKUP($A5175,Load!$B:$B,Load!F:F,0,)</f>
        <v>0</v>
      </c>
      <c r="F5175">
        <f>_xlfn.XLOOKUP($A5175,Load!$B:$B,Load!G:G,0,)</f>
        <v>0</v>
      </c>
      <c r="G5175">
        <f>_xlfn.XLOOKUP($A5175,Load!$B:$B,Load!H:H,0,)</f>
        <v>0</v>
      </c>
      <c r="H5175">
        <f>_xlfn.XLOOKUP($A5175,Load!$B:$B,Load!I:I,0,)</f>
        <v>0</v>
      </c>
      <c r="I5175">
        <f>_xlfn.XLOOKUP($A5175,Load!$B:$B,Load!J:J,0,)</f>
        <v>0</v>
      </c>
      <c r="J5175">
        <f>_xlfn.XLOOKUP($A5175,Load!$B:$B,Load!K:K,0,)</f>
        <v>0</v>
      </c>
      <c r="K5175">
        <f>_xlfn.XLOOKUP($A5175,Load!$B:$B,Load!L:L,0,)</f>
        <v>0</v>
      </c>
      <c r="L5175">
        <f>_xlfn.XLOOKUP($A5175,Load!$B:$B,Load!M:M,0,)</f>
        <v>0</v>
      </c>
    </row>
    <row r="5176" spans="1:12" x14ac:dyDescent="0.25">
      <c r="A5176" t="s">
        <v>97</v>
      </c>
      <c r="B5176" t="str">
        <f>_xlfn.XLOOKUP($A5176,Load!$B:$B,Load!C:C,0,)</f>
        <v>Ferrero Variety Pack</v>
      </c>
      <c r="C5176" t="str">
        <f>_xlfn.XLOOKUP($A5176,Load!$B:$B,Load!D:D,0,)</f>
        <v>Mix of Chocolate and Non-Chocolate Candy</v>
      </c>
      <c r="D5176" t="str">
        <f>_xlfn.XLOOKUP($A5176,Load!$B:$B,Load!E:E,0,)</f>
        <v>Variety / Mixed Flavors (Fruity, Sour, Seasonal Flavors)</v>
      </c>
      <c r="E5176" t="str">
        <f>_xlfn.XLOOKUP($A5176,Load!$B:$B,Load!F:F,0,)</f>
        <v>Mixed / Combo Packs (Gummy, Chewy, Taffy, etc.)</v>
      </c>
      <c r="F5176" t="str">
        <f>_xlfn.XLOOKUP($A5176,Load!$B:$B,Load!G:G,0,)</f>
        <v>Large Multipack (More than 80 ct)</v>
      </c>
      <c r="G5176" t="str">
        <f>_xlfn.XLOOKUP($A5176,Load!$B:$B,Load!H:H,0,)</f>
        <v>Stand-Up Bag</v>
      </c>
      <c r="H5176" t="str">
        <f>_xlfn.XLOOKUP($A5176,Load!$B:$B,Load!I:I,0,)</f>
        <v>Everyday Candy Shapes (like Original, Gummy bear, Fruit, Jewels, etc.)</v>
      </c>
      <c r="I5176" t="str">
        <f>_xlfn.XLOOKUP($A5176,Load!$B:$B,Load!J:J,0,)</f>
        <v>Seasonal Graphics (Like Bat, Ghost, Pumpkin, Fall Leaves, Eyeballs, etc.)</v>
      </c>
      <c r="J5176" t="str">
        <f>_xlfn.XLOOKUP($A5176,Load!$B:$B,Load!K:K,0,)</f>
        <v>Fun Size / Treat Size</v>
      </c>
      <c r="K5176" t="str">
        <f>_xlfn.XLOOKUP($A5176,Load!$B:$B,Load!L:L,0,)</f>
        <v>Regular/Original Wrapping</v>
      </c>
      <c r="L5176" t="str">
        <f>_xlfn.XLOOKUP($A5176,Load!$B:$B,Load!M:M,0,)</f>
        <v>Multiple Brands / Variety Flavors or Form</v>
      </c>
    </row>
    <row r="5177" spans="1:12" x14ac:dyDescent="0.25">
      <c r="A5177" t="s">
        <v>96</v>
      </c>
      <c r="B5177" t="str">
        <f>_xlfn.XLOOKUP($A5177,Load!$B:$B,Load!C:C,0,)</f>
        <v>Ferrero Variety Pack</v>
      </c>
      <c r="C5177" t="str">
        <f>_xlfn.XLOOKUP($A5177,Load!$B:$B,Load!D:D,0,)</f>
        <v>Mix of Chocolate and Non-Chocolate Candy</v>
      </c>
      <c r="D5177" t="str">
        <f>_xlfn.XLOOKUP($A5177,Load!$B:$B,Load!E:E,0,)</f>
        <v>Variety / Mixed Flavors (Fruity, Sour, Seasonal Flavors)</v>
      </c>
      <c r="E5177" t="str">
        <f>_xlfn.XLOOKUP($A5177,Load!$B:$B,Load!F:F,0,)</f>
        <v>Mixed / Combo Packs (Gummy, Chewy, Taffy, etc.)</v>
      </c>
      <c r="F5177" t="str">
        <f>_xlfn.XLOOKUP($A5177,Load!$B:$B,Load!G:G,0,)</f>
        <v>Large Multipack (More than 80 ct)</v>
      </c>
      <c r="G5177" t="str">
        <f>_xlfn.XLOOKUP($A5177,Load!$B:$B,Load!H:H,0,)</f>
        <v>Stand-Up Bag</v>
      </c>
      <c r="H5177" t="str">
        <f>_xlfn.XLOOKUP($A5177,Load!$B:$B,Load!I:I,0,)</f>
        <v>Everyday Candy Shapes (like Original, Gummy bear, Fruit, Jewels, etc.)</v>
      </c>
      <c r="I5177" t="str">
        <f>_xlfn.XLOOKUP($A5177,Load!$B:$B,Load!J:J,0,)</f>
        <v>Seasonal Graphics (Like Bat, Ghost, Pumpkin, Fall Leaves, Eyeballs, etc.)</v>
      </c>
      <c r="J5177" t="str">
        <f>_xlfn.XLOOKUP($A5177,Load!$B:$B,Load!K:K,0,)</f>
        <v>Fun Size / Treat Size</v>
      </c>
      <c r="K5177" t="str">
        <f>_xlfn.XLOOKUP($A5177,Load!$B:$B,Load!L:L,0,)</f>
        <v>Regular/Original Wrapping</v>
      </c>
      <c r="L5177" t="str">
        <f>_xlfn.XLOOKUP($A5177,Load!$B:$B,Load!M:M,0,)</f>
        <v>Multiple Brands / Variety Flavors or Form</v>
      </c>
    </row>
    <row r="5178" spans="1:12" x14ac:dyDescent="0.25">
      <c r="A5178" t="s">
        <v>106</v>
      </c>
      <c r="B5178" t="str">
        <f>_xlfn.XLOOKUP($A5178,Load!$B:$B,Load!C:C,0,)</f>
        <v>Frankford</v>
      </c>
      <c r="C5178" t="str">
        <f>_xlfn.XLOOKUP($A5178,Load!$B:$B,Load!D:D,0,)</f>
        <v>Non-Chocolate Candy Only</v>
      </c>
      <c r="D5178" t="str">
        <f>_xlfn.XLOOKUP($A5178,Load!$B:$B,Load!E:E,0,)</f>
        <v>Fruit Flavor (Cherry, Grape, Apple, Citrus, Tropical Fruit)</v>
      </c>
      <c r="E5178" t="str">
        <f>_xlfn.XLOOKUP($A5178,Load!$B:$B,Load!F:F,0,)</f>
        <v>Powder / Chalky</v>
      </c>
      <c r="F5178" t="str">
        <f>_xlfn.XLOOKUP($A5178,Load!$B:$B,Load!G:G,0,)</f>
        <v>Small Multipack (Less than 40 ct)</v>
      </c>
      <c r="G5178" t="str">
        <f>_xlfn.XLOOKUP($A5178,Load!$B:$B,Load!H:H,0,)</f>
        <v>Laydown Bag</v>
      </c>
      <c r="H5178" t="str">
        <f>_xlfn.XLOOKUP($A5178,Load!$B:$B,Load!I:I,0,)</f>
        <v>Everyday Candy Shapes (like Original, Gummy bear, Fruit, Jewels, etc.)</v>
      </c>
      <c r="I5178" t="str">
        <f>_xlfn.XLOOKUP($A5178,Load!$B:$B,Load!J:J,0,)</f>
        <v>Seasonal Graphics (Like Bat, Ghost, Pumpkin, Fall Leaves, Eyeballs, etc.)</v>
      </c>
      <c r="J5178" t="str">
        <f>_xlfn.XLOOKUP($A5178,Load!$B:$B,Load!K:K,0,)</f>
        <v>Fun Size / Treat Size</v>
      </c>
      <c r="K5178" t="str">
        <f>_xlfn.XLOOKUP($A5178,Load!$B:$B,Load!L:L,0,)</f>
        <v>Regular/Original Wrapping</v>
      </c>
      <c r="L5178" t="str">
        <f>_xlfn.XLOOKUP($A5178,Load!$B:$B,Load!M:M,0,)</f>
        <v>Single Brand / Variety Flavors or Form</v>
      </c>
    </row>
    <row r="5179" spans="1:12" x14ac:dyDescent="0.25">
      <c r="B5179">
        <f>_xlfn.XLOOKUP($A5179,Load!$B:$B,Load!C:C,0,)</f>
        <v>0</v>
      </c>
      <c r="C5179">
        <f>_xlfn.XLOOKUP($A5179,Load!$B:$B,Load!D:D,0,)</f>
        <v>0</v>
      </c>
      <c r="D5179">
        <f>_xlfn.XLOOKUP($A5179,Load!$B:$B,Load!E:E,0,)</f>
        <v>0</v>
      </c>
      <c r="E5179">
        <f>_xlfn.XLOOKUP($A5179,Load!$B:$B,Load!F:F,0,)</f>
        <v>0</v>
      </c>
      <c r="F5179">
        <f>_xlfn.XLOOKUP($A5179,Load!$B:$B,Load!G:G,0,)</f>
        <v>0</v>
      </c>
      <c r="G5179">
        <f>_xlfn.XLOOKUP($A5179,Load!$B:$B,Load!H:H,0,)</f>
        <v>0</v>
      </c>
      <c r="H5179">
        <f>_xlfn.XLOOKUP($A5179,Load!$B:$B,Load!I:I,0,)</f>
        <v>0</v>
      </c>
      <c r="I5179">
        <f>_xlfn.XLOOKUP($A5179,Load!$B:$B,Load!J:J,0,)</f>
        <v>0</v>
      </c>
      <c r="J5179">
        <f>_xlfn.XLOOKUP($A5179,Load!$B:$B,Load!K:K,0,)</f>
        <v>0</v>
      </c>
      <c r="K5179">
        <f>_xlfn.XLOOKUP($A5179,Load!$B:$B,Load!L:L,0,)</f>
        <v>0</v>
      </c>
      <c r="L5179">
        <f>_xlfn.XLOOKUP($A5179,Load!$B:$B,Load!M:M,0,)</f>
        <v>0</v>
      </c>
    </row>
    <row r="5180" spans="1:12" x14ac:dyDescent="0.25">
      <c r="A5180" t="s">
        <v>129</v>
      </c>
      <c r="B5180" t="str">
        <f>_xlfn.XLOOKUP($A5180,Load!$B:$B,Load!C:C,0,)</f>
        <v>HARIBO</v>
      </c>
      <c r="C5180" t="str">
        <f>_xlfn.XLOOKUP($A5180,Load!$B:$B,Load!D:D,0,)</f>
        <v>Non-Chocolate Candy Only</v>
      </c>
      <c r="D5180" t="str">
        <f>_xlfn.XLOOKUP($A5180,Load!$B:$B,Load!E:E,0,)</f>
        <v>Fruit Flavor (Cherry, Grape, Apple, Citrus, Tropical Fruit)</v>
      </c>
      <c r="E5180" t="str">
        <f>_xlfn.XLOOKUP($A5180,Load!$B:$B,Load!F:F,0,)</f>
        <v>Gummy</v>
      </c>
      <c r="F5180" t="str">
        <f>_xlfn.XLOOKUP($A5180,Load!$B:$B,Load!G:G,0,)</f>
        <v>Single Pack</v>
      </c>
      <c r="G5180" t="str">
        <f>_xlfn.XLOOKUP($A5180,Load!$B:$B,Load!H:H,0,)</f>
        <v>Peg Bag</v>
      </c>
      <c r="H5180" t="str">
        <f>_xlfn.XLOOKUP($A5180,Load!$B:$B,Load!I:I,0,)</f>
        <v>Everyday Candy Shapes (like Original, Gummy bear, Fruit, Jewels, etc.)</v>
      </c>
      <c r="I5180" t="str">
        <f>_xlfn.XLOOKUP($A5180,Load!$B:$B,Load!J:J,0,)</f>
        <v>Everyday Graphics</v>
      </c>
      <c r="J5180" t="str">
        <f>_xlfn.XLOOKUP($A5180,Load!$B:$B,Load!K:K,0,)</f>
        <v>Small Pieces (Tiny bite size candies)</v>
      </c>
      <c r="K5180" t="str">
        <f>_xlfn.XLOOKUP($A5180,Load!$B:$B,Load!L:L,0,)</f>
        <v>Regular/Original Wrapping</v>
      </c>
      <c r="L5180" t="str">
        <f>_xlfn.XLOOKUP($A5180,Load!$B:$B,Load!M:M,0,)</f>
        <v>Single Brand / Variety Flavors or Form</v>
      </c>
    </row>
    <row r="5181" spans="1:12" x14ac:dyDescent="0.25">
      <c r="B5181">
        <f>_xlfn.XLOOKUP($A5181,Load!$B:$B,Load!C:C,0,)</f>
        <v>0</v>
      </c>
      <c r="C5181">
        <f>_xlfn.XLOOKUP($A5181,Load!$B:$B,Load!D:D,0,)</f>
        <v>0</v>
      </c>
      <c r="D5181">
        <f>_xlfn.XLOOKUP($A5181,Load!$B:$B,Load!E:E,0,)</f>
        <v>0</v>
      </c>
      <c r="E5181">
        <f>_xlfn.XLOOKUP($A5181,Load!$B:$B,Load!F:F,0,)</f>
        <v>0</v>
      </c>
      <c r="F5181">
        <f>_xlfn.XLOOKUP($A5181,Load!$B:$B,Load!G:G,0,)</f>
        <v>0</v>
      </c>
      <c r="G5181">
        <f>_xlfn.XLOOKUP($A5181,Load!$B:$B,Load!H:H,0,)</f>
        <v>0</v>
      </c>
      <c r="H5181">
        <f>_xlfn.XLOOKUP($A5181,Load!$B:$B,Load!I:I,0,)</f>
        <v>0</v>
      </c>
      <c r="I5181">
        <f>_xlfn.XLOOKUP($A5181,Load!$B:$B,Load!J:J,0,)</f>
        <v>0</v>
      </c>
      <c r="J5181">
        <f>_xlfn.XLOOKUP($A5181,Load!$B:$B,Load!K:K,0,)</f>
        <v>0</v>
      </c>
      <c r="K5181">
        <f>_xlfn.XLOOKUP($A5181,Load!$B:$B,Load!L:L,0,)</f>
        <v>0</v>
      </c>
      <c r="L5181">
        <f>_xlfn.XLOOKUP($A5181,Load!$B:$B,Load!M:M,0,)</f>
        <v>0</v>
      </c>
    </row>
    <row r="5182" spans="1:12" x14ac:dyDescent="0.25">
      <c r="A5182" t="s">
        <v>218</v>
      </c>
      <c r="B5182" t="str">
        <f>_xlfn.XLOOKUP($A5182,Load!$B:$B,Load!C:C,0,)</f>
        <v>Mondelez Variety Pack</v>
      </c>
      <c r="C5182" t="str">
        <f>_xlfn.XLOOKUP($A5182,Load!$B:$B,Load!D:D,0,)</f>
        <v>Non-Chocolate Candy Only</v>
      </c>
      <c r="D5182" t="str">
        <f>_xlfn.XLOOKUP($A5182,Load!$B:$B,Load!E:E,0,)</f>
        <v>Sour</v>
      </c>
      <c r="E5182" t="str">
        <f>_xlfn.XLOOKUP($A5182,Load!$B:$B,Load!F:F,0,)</f>
        <v>Mixed / Combo Packs (Gummy, Chewy, Taffy, etc.)</v>
      </c>
      <c r="F5182" t="str">
        <f>_xlfn.XLOOKUP($A5182,Load!$B:$B,Load!G:G,0,)</f>
        <v>Large Multipack (More than 80 ct)</v>
      </c>
      <c r="G5182" t="str">
        <f>_xlfn.XLOOKUP($A5182,Load!$B:$B,Load!H:H,0,)</f>
        <v>Stand-Up Bag</v>
      </c>
      <c r="H5182" t="str">
        <f>_xlfn.XLOOKUP($A5182,Load!$B:$B,Load!I:I,0,)</f>
        <v>Seasonal Shapes (like pumpkins, candy corn, ghost, bats, etc.)</v>
      </c>
      <c r="I5182" t="str">
        <f>_xlfn.XLOOKUP($A5182,Load!$B:$B,Load!J:J,0,)</f>
        <v>Seasonal Graphics (Like Bat, Ghost, Pumpkin, Fall Leaves, Eyeballs, etc.)</v>
      </c>
      <c r="J5182" t="str">
        <f>_xlfn.XLOOKUP($A5182,Load!$B:$B,Load!K:K,0,)</f>
        <v>Small Pieces (Tiny bite size candies)</v>
      </c>
      <c r="K5182" t="str">
        <f>_xlfn.XLOOKUP($A5182,Load!$B:$B,Load!L:L,0,)</f>
        <v>Regular/Original Wrapping</v>
      </c>
      <c r="L5182" t="str">
        <f>_xlfn.XLOOKUP($A5182,Load!$B:$B,Load!M:M,0,)</f>
        <v>Multiple Brands / Variety Flavors or Form</v>
      </c>
    </row>
    <row r="5183" spans="1:12" x14ac:dyDescent="0.25">
      <c r="B5183">
        <f>_xlfn.XLOOKUP($A5183,Load!$B:$B,Load!C:C,0,)</f>
        <v>0</v>
      </c>
      <c r="C5183">
        <f>_xlfn.XLOOKUP($A5183,Load!$B:$B,Load!D:D,0,)</f>
        <v>0</v>
      </c>
      <c r="D5183">
        <f>_xlfn.XLOOKUP($A5183,Load!$B:$B,Load!E:E,0,)</f>
        <v>0</v>
      </c>
      <c r="E5183">
        <f>_xlfn.XLOOKUP($A5183,Load!$B:$B,Load!F:F,0,)</f>
        <v>0</v>
      </c>
      <c r="F5183">
        <f>_xlfn.XLOOKUP($A5183,Load!$B:$B,Load!G:G,0,)</f>
        <v>0</v>
      </c>
      <c r="G5183">
        <f>_xlfn.XLOOKUP($A5183,Load!$B:$B,Load!H:H,0,)</f>
        <v>0</v>
      </c>
      <c r="H5183">
        <f>_xlfn.XLOOKUP($A5183,Load!$B:$B,Load!I:I,0,)</f>
        <v>0</v>
      </c>
      <c r="I5183">
        <f>_xlfn.XLOOKUP($A5183,Load!$B:$B,Load!J:J,0,)</f>
        <v>0</v>
      </c>
      <c r="J5183">
        <f>_xlfn.XLOOKUP($A5183,Load!$B:$B,Load!K:K,0,)</f>
        <v>0</v>
      </c>
      <c r="K5183">
        <f>_xlfn.XLOOKUP($A5183,Load!$B:$B,Load!L:L,0,)</f>
        <v>0</v>
      </c>
      <c r="L5183">
        <f>_xlfn.XLOOKUP($A5183,Load!$B:$B,Load!M:M,0,)</f>
        <v>0</v>
      </c>
    </row>
    <row r="5184" spans="1:12" x14ac:dyDescent="0.25">
      <c r="A5184" t="s">
        <v>66</v>
      </c>
      <c r="B5184" t="str">
        <f>_xlfn.XLOOKUP($A5184,Load!$B:$B,Load!C:C,0,)</f>
        <v>Dots</v>
      </c>
      <c r="C5184" t="str">
        <f>_xlfn.XLOOKUP($A5184,Load!$B:$B,Load!D:D,0,)</f>
        <v>Non-Chocolate Candy Only</v>
      </c>
      <c r="D5184" t="str">
        <f>_xlfn.XLOOKUP($A5184,Load!$B:$B,Load!E:E,0,)</f>
        <v>Variety / Mixed Flavors (Fruity, Sour, Seasonal Flavors)</v>
      </c>
      <c r="E5184" t="str">
        <f>_xlfn.XLOOKUP($A5184,Load!$B:$B,Load!F:F,0,)</f>
        <v>Candy Pieces / Bites</v>
      </c>
      <c r="F5184" t="str">
        <f>_xlfn.XLOOKUP($A5184,Load!$B:$B,Load!G:G,0,)</f>
        <v>Small Multipack (Less than 40 ct)</v>
      </c>
      <c r="G5184" t="str">
        <f>_xlfn.XLOOKUP($A5184,Load!$B:$B,Load!H:H,0,)</f>
        <v>Stand-Up Bag</v>
      </c>
      <c r="H5184" t="str">
        <f>_xlfn.XLOOKUP($A5184,Load!$B:$B,Load!I:I,0,)</f>
        <v>Seasonal Shapes (like pumpkins, candy corn, ghost, bats, etc.)</v>
      </c>
      <c r="I5184" t="str">
        <f>_xlfn.XLOOKUP($A5184,Load!$B:$B,Load!J:J,0,)</f>
        <v>Seasonal Graphics (Like Bat, Ghost, Pumpkin, Fall Leaves, Eyeballs, etc.)</v>
      </c>
      <c r="J5184" t="str">
        <f>_xlfn.XLOOKUP($A5184,Load!$B:$B,Load!K:K,0,)</f>
        <v>Fun Size / Treat Size</v>
      </c>
      <c r="K5184" t="str">
        <f>_xlfn.XLOOKUP($A5184,Load!$B:$B,Load!L:L,0,)</f>
        <v>Regular/Original Wrapping</v>
      </c>
      <c r="L5184" t="str">
        <f>_xlfn.XLOOKUP($A5184,Load!$B:$B,Load!M:M,0,)</f>
        <v>Single Brand / Variety Flavors or Form</v>
      </c>
    </row>
    <row r="5185" spans="1:12" x14ac:dyDescent="0.25">
      <c r="B5185">
        <f>_xlfn.XLOOKUP($A5185,Load!$B:$B,Load!C:C,0,)</f>
        <v>0</v>
      </c>
      <c r="C5185">
        <f>_xlfn.XLOOKUP($A5185,Load!$B:$B,Load!D:D,0,)</f>
        <v>0</v>
      </c>
      <c r="D5185">
        <f>_xlfn.XLOOKUP($A5185,Load!$B:$B,Load!E:E,0,)</f>
        <v>0</v>
      </c>
      <c r="E5185">
        <f>_xlfn.XLOOKUP($A5185,Load!$B:$B,Load!F:F,0,)</f>
        <v>0</v>
      </c>
      <c r="F5185">
        <f>_xlfn.XLOOKUP($A5185,Load!$B:$B,Load!G:G,0,)</f>
        <v>0</v>
      </c>
      <c r="G5185">
        <f>_xlfn.XLOOKUP($A5185,Load!$B:$B,Load!H:H,0,)</f>
        <v>0</v>
      </c>
      <c r="H5185">
        <f>_xlfn.XLOOKUP($A5185,Load!$B:$B,Load!I:I,0,)</f>
        <v>0</v>
      </c>
      <c r="I5185">
        <f>_xlfn.XLOOKUP($A5185,Load!$B:$B,Load!J:J,0,)</f>
        <v>0</v>
      </c>
      <c r="J5185">
        <f>_xlfn.XLOOKUP($A5185,Load!$B:$B,Load!K:K,0,)</f>
        <v>0</v>
      </c>
      <c r="K5185">
        <f>_xlfn.XLOOKUP($A5185,Load!$B:$B,Load!L:L,0,)</f>
        <v>0</v>
      </c>
      <c r="L5185">
        <f>_xlfn.XLOOKUP($A5185,Load!$B:$B,Load!M:M,0,)</f>
        <v>0</v>
      </c>
    </row>
    <row r="5186" spans="1:12" x14ac:dyDescent="0.25">
      <c r="B5186">
        <f>_xlfn.XLOOKUP($A5186,Load!$B:$B,Load!C:C,0,)</f>
        <v>0</v>
      </c>
      <c r="C5186">
        <f>_xlfn.XLOOKUP($A5186,Load!$B:$B,Load!D:D,0,)</f>
        <v>0</v>
      </c>
      <c r="D5186">
        <f>_xlfn.XLOOKUP($A5186,Load!$B:$B,Load!E:E,0,)</f>
        <v>0</v>
      </c>
      <c r="E5186">
        <f>_xlfn.XLOOKUP($A5186,Load!$B:$B,Load!F:F,0,)</f>
        <v>0</v>
      </c>
      <c r="F5186">
        <f>_xlfn.XLOOKUP($A5186,Load!$B:$B,Load!G:G,0,)</f>
        <v>0</v>
      </c>
      <c r="G5186">
        <f>_xlfn.XLOOKUP($A5186,Load!$B:$B,Load!H:H,0,)</f>
        <v>0</v>
      </c>
      <c r="H5186">
        <f>_xlfn.XLOOKUP($A5186,Load!$B:$B,Load!I:I,0,)</f>
        <v>0</v>
      </c>
      <c r="I5186">
        <f>_xlfn.XLOOKUP($A5186,Load!$B:$B,Load!J:J,0,)</f>
        <v>0</v>
      </c>
      <c r="J5186">
        <f>_xlfn.XLOOKUP($A5186,Load!$B:$B,Load!K:K,0,)</f>
        <v>0</v>
      </c>
      <c r="K5186">
        <f>_xlfn.XLOOKUP($A5186,Load!$B:$B,Load!L:L,0,)</f>
        <v>0</v>
      </c>
      <c r="L5186">
        <f>_xlfn.XLOOKUP($A5186,Load!$B:$B,Load!M:M,0,)</f>
        <v>0</v>
      </c>
    </row>
    <row r="5187" spans="1:12" x14ac:dyDescent="0.25">
      <c r="B5187">
        <f>_xlfn.XLOOKUP($A5187,Load!$B:$B,Load!C:C,0,)</f>
        <v>0</v>
      </c>
      <c r="C5187">
        <f>_xlfn.XLOOKUP($A5187,Load!$B:$B,Load!D:D,0,)</f>
        <v>0</v>
      </c>
      <c r="D5187">
        <f>_xlfn.XLOOKUP($A5187,Load!$B:$B,Load!E:E,0,)</f>
        <v>0</v>
      </c>
      <c r="E5187">
        <f>_xlfn.XLOOKUP($A5187,Load!$B:$B,Load!F:F,0,)</f>
        <v>0</v>
      </c>
      <c r="F5187">
        <f>_xlfn.XLOOKUP($A5187,Load!$B:$B,Load!G:G,0,)</f>
        <v>0</v>
      </c>
      <c r="G5187">
        <f>_xlfn.XLOOKUP($A5187,Load!$B:$B,Load!H:H,0,)</f>
        <v>0</v>
      </c>
      <c r="H5187">
        <f>_xlfn.XLOOKUP($A5187,Load!$B:$B,Load!I:I,0,)</f>
        <v>0</v>
      </c>
      <c r="I5187">
        <f>_xlfn.XLOOKUP($A5187,Load!$B:$B,Load!J:J,0,)</f>
        <v>0</v>
      </c>
      <c r="J5187">
        <f>_xlfn.XLOOKUP($A5187,Load!$B:$B,Load!K:K,0,)</f>
        <v>0</v>
      </c>
      <c r="K5187">
        <f>_xlfn.XLOOKUP($A5187,Load!$B:$B,Load!L:L,0,)</f>
        <v>0</v>
      </c>
      <c r="L5187">
        <f>_xlfn.XLOOKUP($A5187,Load!$B:$B,Load!M:M,0,)</f>
        <v>0</v>
      </c>
    </row>
    <row r="5188" spans="1:12" x14ac:dyDescent="0.25">
      <c r="A5188" t="s">
        <v>246</v>
      </c>
      <c r="B5188" t="str">
        <f>_xlfn.XLOOKUP($A5188,Load!$B:$B,Load!C:C,0,)</f>
        <v>Ring Pop</v>
      </c>
      <c r="C5188" t="str">
        <f>_xlfn.XLOOKUP($A5188,Load!$B:$B,Load!D:D,0,)</f>
        <v>Non-Chocolate Candy Only</v>
      </c>
      <c r="D5188" t="str">
        <f>_xlfn.XLOOKUP($A5188,Load!$B:$B,Load!E:E,0,)</f>
        <v>Variety / Mixed Flavors (Fruity, Sour, Seasonal Flavors)</v>
      </c>
      <c r="E5188" t="str">
        <f>_xlfn.XLOOKUP($A5188,Load!$B:$B,Load!F:F,0,)</f>
        <v>Lollipop (regular or lollipop rings)</v>
      </c>
      <c r="F5188" t="str">
        <f>_xlfn.XLOOKUP($A5188,Load!$B:$B,Load!G:G,0,)</f>
        <v>Single Pack</v>
      </c>
      <c r="G5188" t="str">
        <f>_xlfn.XLOOKUP($A5188,Load!$B:$B,Load!H:H,0,)</f>
        <v>Laydown Bag</v>
      </c>
      <c r="H5188" t="str">
        <f>_xlfn.XLOOKUP($A5188,Load!$B:$B,Load!I:I,0,)</f>
        <v>Everyday Candy Shapes (like Original, Gummy bear, Fruit, Jewels, etc.)</v>
      </c>
      <c r="I5188" t="str">
        <f>_xlfn.XLOOKUP($A5188,Load!$B:$B,Load!J:J,0,)</f>
        <v>Seasonal Graphics (Like Bat, Ghost, Pumpkin, Fall Leaves, Eyeballs, etc.)</v>
      </c>
      <c r="J5188" t="str">
        <f>_xlfn.XLOOKUP($A5188,Load!$B:$B,Load!K:K,0,)</f>
        <v>Regular Lollipop size (on sticks or rings)</v>
      </c>
      <c r="K5188" t="str">
        <f>_xlfn.XLOOKUP($A5188,Load!$B:$B,Load!L:L,0,)</f>
        <v>Regular/Original Wrapping</v>
      </c>
      <c r="L5188" t="str">
        <f>_xlfn.XLOOKUP($A5188,Load!$B:$B,Load!M:M,0,)</f>
        <v>Single Brand / Variety Flavors or Form</v>
      </c>
    </row>
    <row r="5189" spans="1:12" x14ac:dyDescent="0.25">
      <c r="A5189" t="s">
        <v>232</v>
      </c>
      <c r="B5189" t="str">
        <f>_xlfn.XLOOKUP($A5189,Load!$B:$B,Load!C:C,0,)</f>
        <v>Nerds</v>
      </c>
      <c r="C5189" t="str">
        <f>_xlfn.XLOOKUP($A5189,Load!$B:$B,Load!D:D,0,)</f>
        <v>Non-Chocolate Candy Only</v>
      </c>
      <c r="D5189" t="str">
        <f>_xlfn.XLOOKUP($A5189,Load!$B:$B,Load!E:E,0,)</f>
        <v>Berry Based (Raspberry, Strawberry, Medley, etc.)</v>
      </c>
      <c r="E5189" t="str">
        <f>_xlfn.XLOOKUP($A5189,Load!$B:$B,Load!F:F,0,)</f>
        <v>Candy Pieces / Bites</v>
      </c>
      <c r="F5189" t="str">
        <f>_xlfn.XLOOKUP($A5189,Load!$B:$B,Load!G:G,0,)</f>
        <v>Single Pack</v>
      </c>
      <c r="G5189" t="str">
        <f>_xlfn.XLOOKUP($A5189,Load!$B:$B,Load!H:H,0,)</f>
        <v>Laydown Bag</v>
      </c>
      <c r="H5189" t="str">
        <f>_xlfn.XLOOKUP($A5189,Load!$B:$B,Load!I:I,0,)</f>
        <v>Everyday Candy Shapes (like Original, Gummy bear, Fruit, Jewels, etc.)</v>
      </c>
      <c r="I5189" t="str">
        <f>_xlfn.XLOOKUP($A5189,Load!$B:$B,Load!J:J,0,)</f>
        <v>Seasonal Graphics (Like Bat, Ghost, Pumpkin, Fall Leaves, Eyeballs, etc.)</v>
      </c>
      <c r="J5189" t="str">
        <f>_xlfn.XLOOKUP($A5189,Load!$B:$B,Load!K:K,0,)</f>
        <v>Small Pieces (Tiny bite size candies)</v>
      </c>
      <c r="K5189" t="str">
        <f>_xlfn.XLOOKUP($A5189,Load!$B:$B,Load!L:L,0,)</f>
        <v>Unwrapped</v>
      </c>
      <c r="L5189" t="str">
        <f>_xlfn.XLOOKUP($A5189,Load!$B:$B,Load!M:M,0,)</f>
        <v>Single Brand / Variety Flavors or Form</v>
      </c>
    </row>
    <row r="5190" spans="1:12" x14ac:dyDescent="0.25">
      <c r="B5190">
        <f>_xlfn.XLOOKUP($A5190,Load!$B:$B,Load!C:C,0,)</f>
        <v>0</v>
      </c>
      <c r="C5190">
        <f>_xlfn.XLOOKUP($A5190,Load!$B:$B,Load!D:D,0,)</f>
        <v>0</v>
      </c>
      <c r="D5190">
        <f>_xlfn.XLOOKUP($A5190,Load!$B:$B,Load!E:E,0,)</f>
        <v>0</v>
      </c>
      <c r="E5190">
        <f>_xlfn.XLOOKUP($A5190,Load!$B:$B,Load!F:F,0,)</f>
        <v>0</v>
      </c>
      <c r="F5190">
        <f>_xlfn.XLOOKUP($A5190,Load!$B:$B,Load!G:G,0,)</f>
        <v>0</v>
      </c>
      <c r="G5190">
        <f>_xlfn.XLOOKUP($A5190,Load!$B:$B,Load!H:H,0,)</f>
        <v>0</v>
      </c>
      <c r="H5190">
        <f>_xlfn.XLOOKUP($A5190,Load!$B:$B,Load!I:I,0,)</f>
        <v>0</v>
      </c>
      <c r="I5190">
        <f>_xlfn.XLOOKUP($A5190,Load!$B:$B,Load!J:J,0,)</f>
        <v>0</v>
      </c>
      <c r="J5190">
        <f>_xlfn.XLOOKUP($A5190,Load!$B:$B,Load!K:K,0,)</f>
        <v>0</v>
      </c>
      <c r="K5190">
        <f>_xlfn.XLOOKUP($A5190,Load!$B:$B,Load!L:L,0,)</f>
        <v>0</v>
      </c>
      <c r="L5190">
        <f>_xlfn.XLOOKUP($A5190,Load!$B:$B,Load!M:M,0,)</f>
        <v>0</v>
      </c>
    </row>
    <row r="5191" spans="1:12" x14ac:dyDescent="0.25">
      <c r="B5191">
        <f>_xlfn.XLOOKUP($A5191,Load!$B:$B,Load!C:C,0,)</f>
        <v>0</v>
      </c>
      <c r="C5191">
        <f>_xlfn.XLOOKUP($A5191,Load!$B:$B,Load!D:D,0,)</f>
        <v>0</v>
      </c>
      <c r="D5191">
        <f>_xlfn.XLOOKUP($A5191,Load!$B:$B,Load!E:E,0,)</f>
        <v>0</v>
      </c>
      <c r="E5191">
        <f>_xlfn.XLOOKUP($A5191,Load!$B:$B,Load!F:F,0,)</f>
        <v>0</v>
      </c>
      <c r="F5191">
        <f>_xlfn.XLOOKUP($A5191,Load!$B:$B,Load!G:G,0,)</f>
        <v>0</v>
      </c>
      <c r="G5191">
        <f>_xlfn.XLOOKUP($A5191,Load!$B:$B,Load!H:H,0,)</f>
        <v>0</v>
      </c>
      <c r="H5191">
        <f>_xlfn.XLOOKUP($A5191,Load!$B:$B,Load!I:I,0,)</f>
        <v>0</v>
      </c>
      <c r="I5191">
        <f>_xlfn.XLOOKUP($A5191,Load!$B:$B,Load!J:J,0,)</f>
        <v>0</v>
      </c>
      <c r="J5191">
        <f>_xlfn.XLOOKUP($A5191,Load!$B:$B,Load!K:K,0,)</f>
        <v>0</v>
      </c>
      <c r="K5191">
        <f>_xlfn.XLOOKUP($A5191,Load!$B:$B,Load!L:L,0,)</f>
        <v>0</v>
      </c>
      <c r="L5191">
        <f>_xlfn.XLOOKUP($A5191,Load!$B:$B,Load!M:M,0,)</f>
        <v>0</v>
      </c>
    </row>
    <row r="5192" spans="1:12" x14ac:dyDescent="0.25">
      <c r="B5192">
        <f>_xlfn.XLOOKUP($A5192,Load!$B:$B,Load!C:C,0,)</f>
        <v>0</v>
      </c>
      <c r="C5192">
        <f>_xlfn.XLOOKUP($A5192,Load!$B:$B,Load!D:D,0,)</f>
        <v>0</v>
      </c>
      <c r="D5192">
        <f>_xlfn.XLOOKUP($A5192,Load!$B:$B,Load!E:E,0,)</f>
        <v>0</v>
      </c>
      <c r="E5192">
        <f>_xlfn.XLOOKUP($A5192,Load!$B:$B,Load!F:F,0,)</f>
        <v>0</v>
      </c>
      <c r="F5192">
        <f>_xlfn.XLOOKUP($A5192,Load!$B:$B,Load!G:G,0,)</f>
        <v>0</v>
      </c>
      <c r="G5192">
        <f>_xlfn.XLOOKUP($A5192,Load!$B:$B,Load!H:H,0,)</f>
        <v>0</v>
      </c>
      <c r="H5192">
        <f>_xlfn.XLOOKUP($A5192,Load!$B:$B,Load!I:I,0,)</f>
        <v>0</v>
      </c>
      <c r="I5192">
        <f>_xlfn.XLOOKUP($A5192,Load!$B:$B,Load!J:J,0,)</f>
        <v>0</v>
      </c>
      <c r="J5192">
        <f>_xlfn.XLOOKUP($A5192,Load!$B:$B,Load!K:K,0,)</f>
        <v>0</v>
      </c>
      <c r="K5192">
        <f>_xlfn.XLOOKUP($A5192,Load!$B:$B,Load!L:L,0,)</f>
        <v>0</v>
      </c>
      <c r="L5192">
        <f>_xlfn.XLOOKUP($A5192,Load!$B:$B,Load!M:M,0,)</f>
        <v>0</v>
      </c>
    </row>
    <row r="5193" spans="1:12" x14ac:dyDescent="0.25">
      <c r="B5193">
        <f>_xlfn.XLOOKUP($A5193,Load!$B:$B,Load!C:C,0,)</f>
        <v>0</v>
      </c>
      <c r="C5193">
        <f>_xlfn.XLOOKUP($A5193,Load!$B:$B,Load!D:D,0,)</f>
        <v>0</v>
      </c>
      <c r="D5193">
        <f>_xlfn.XLOOKUP($A5193,Load!$B:$B,Load!E:E,0,)</f>
        <v>0</v>
      </c>
      <c r="E5193">
        <f>_xlfn.XLOOKUP($A5193,Load!$B:$B,Load!F:F,0,)</f>
        <v>0</v>
      </c>
      <c r="F5193">
        <f>_xlfn.XLOOKUP($A5193,Load!$B:$B,Load!G:G,0,)</f>
        <v>0</v>
      </c>
      <c r="G5193">
        <f>_xlfn.XLOOKUP($A5193,Load!$B:$B,Load!H:H,0,)</f>
        <v>0</v>
      </c>
      <c r="H5193">
        <f>_xlfn.XLOOKUP($A5193,Load!$B:$B,Load!I:I,0,)</f>
        <v>0</v>
      </c>
      <c r="I5193">
        <f>_xlfn.XLOOKUP($A5193,Load!$B:$B,Load!J:J,0,)</f>
        <v>0</v>
      </c>
      <c r="J5193">
        <f>_xlfn.XLOOKUP($A5193,Load!$B:$B,Load!K:K,0,)</f>
        <v>0</v>
      </c>
      <c r="K5193">
        <f>_xlfn.XLOOKUP($A5193,Load!$B:$B,Load!L:L,0,)</f>
        <v>0</v>
      </c>
      <c r="L5193">
        <f>_xlfn.XLOOKUP($A5193,Load!$B:$B,Load!M:M,0,)</f>
        <v>0</v>
      </c>
    </row>
    <row r="5194" spans="1:12" x14ac:dyDescent="0.25">
      <c r="A5194" t="s">
        <v>123</v>
      </c>
      <c r="B5194" t="str">
        <f>_xlfn.XLOOKUP($A5194,Load!$B:$B,Load!C:C,0,)</f>
        <v>HARIBO</v>
      </c>
      <c r="C5194" t="str">
        <f>_xlfn.XLOOKUP($A5194,Load!$B:$B,Load!D:D,0,)</f>
        <v>Non-Chocolate Candy Only</v>
      </c>
      <c r="D5194" t="str">
        <f>_xlfn.XLOOKUP($A5194,Load!$B:$B,Load!E:E,0,)</f>
        <v>Sour</v>
      </c>
      <c r="E5194" t="str">
        <f>_xlfn.XLOOKUP($A5194,Load!$B:$B,Load!F:F,0,)</f>
        <v>Gummy</v>
      </c>
      <c r="F5194" t="str">
        <f>_xlfn.XLOOKUP($A5194,Load!$B:$B,Load!G:G,0,)</f>
        <v>Single Pack</v>
      </c>
      <c r="G5194" t="str">
        <f>_xlfn.XLOOKUP($A5194,Load!$B:$B,Load!H:H,0,)</f>
        <v>Laydown Bag</v>
      </c>
      <c r="H5194" t="str">
        <f>_xlfn.XLOOKUP($A5194,Load!$B:$B,Load!I:I,0,)</f>
        <v>Seasonal Shapes (like pumpkins, candy corn, ghost, bats, etc.)</v>
      </c>
      <c r="I5194" t="str">
        <f>_xlfn.XLOOKUP($A5194,Load!$B:$B,Load!J:J,0,)</f>
        <v>Seasonal Graphics (Like Bat, Ghost, Pumpkin, Fall Leaves, Eyeballs, etc.)</v>
      </c>
      <c r="J5194" t="str">
        <f>_xlfn.XLOOKUP($A5194,Load!$B:$B,Load!K:K,0,)</f>
        <v>Small Pieces (Tiny bite size candies)</v>
      </c>
      <c r="K5194" t="str">
        <f>_xlfn.XLOOKUP($A5194,Load!$B:$B,Load!L:L,0,)</f>
        <v>Unwrapped</v>
      </c>
      <c r="L5194" t="str">
        <f>_xlfn.XLOOKUP($A5194,Load!$B:$B,Load!M:M,0,)</f>
        <v>Single Brand / Variety Flavors or Form</v>
      </c>
    </row>
    <row r="5195" spans="1:12" x14ac:dyDescent="0.25">
      <c r="A5195" t="s">
        <v>126</v>
      </c>
      <c r="B5195" t="str">
        <f>_xlfn.XLOOKUP($A5195,Load!$B:$B,Load!C:C,0,)</f>
        <v>HARIBO</v>
      </c>
      <c r="C5195" t="str">
        <f>_xlfn.XLOOKUP($A5195,Load!$B:$B,Load!D:D,0,)</f>
        <v>Non-Chocolate Candy Only</v>
      </c>
      <c r="D5195" t="str">
        <f>_xlfn.XLOOKUP($A5195,Load!$B:$B,Load!E:E,0,)</f>
        <v>Sweet</v>
      </c>
      <c r="E5195" t="str">
        <f>_xlfn.XLOOKUP($A5195,Load!$B:$B,Load!F:F,0,)</f>
        <v>Gummy</v>
      </c>
      <c r="F5195" t="str">
        <f>_xlfn.XLOOKUP($A5195,Load!$B:$B,Load!G:G,0,)</f>
        <v>Single Pack</v>
      </c>
      <c r="G5195" t="str">
        <f>_xlfn.XLOOKUP($A5195,Load!$B:$B,Load!H:H,0,)</f>
        <v>Laydown Bag</v>
      </c>
      <c r="H5195" t="str">
        <f>_xlfn.XLOOKUP($A5195,Load!$B:$B,Load!I:I,0,)</f>
        <v>Seasonal Shapes (like pumpkins, candy corn, ghost, bats, etc.)</v>
      </c>
      <c r="I5195" t="str">
        <f>_xlfn.XLOOKUP($A5195,Load!$B:$B,Load!J:J,0,)</f>
        <v>Seasonal Graphics (Like Bat, Ghost, Pumpkin, Fall Leaves, Eyeballs, etc.)</v>
      </c>
      <c r="J5195" t="str">
        <f>_xlfn.XLOOKUP($A5195,Load!$B:$B,Load!K:K,0,)</f>
        <v>Small Pieces (Tiny bite size candies)</v>
      </c>
      <c r="K5195" t="str">
        <f>_xlfn.XLOOKUP($A5195,Load!$B:$B,Load!L:L,0,)</f>
        <v>Unwrapped</v>
      </c>
      <c r="L5195" t="str">
        <f>_xlfn.XLOOKUP($A5195,Load!$B:$B,Load!M:M,0,)</f>
        <v>Single Brand / Variety Flavors or Form</v>
      </c>
    </row>
    <row r="5196" spans="1:12" x14ac:dyDescent="0.25">
      <c r="A5196" t="s">
        <v>224</v>
      </c>
      <c r="B5196" t="str">
        <f>_xlfn.XLOOKUP($A5196,Load!$B:$B,Load!C:C,0,)</f>
        <v>Nerds</v>
      </c>
      <c r="C5196" t="str">
        <f>_xlfn.XLOOKUP($A5196,Load!$B:$B,Load!D:D,0,)</f>
        <v>Non-Chocolate Candy Only</v>
      </c>
      <c r="D5196" t="str">
        <f>_xlfn.XLOOKUP($A5196,Load!$B:$B,Load!E:E,0,)</f>
        <v>Sweet</v>
      </c>
      <c r="E5196" t="str">
        <f>_xlfn.XLOOKUP($A5196,Load!$B:$B,Load!F:F,0,)</f>
        <v>Mixed / Combo Packs (Gummy, Chewy, Taffy, etc.)</v>
      </c>
      <c r="F5196" t="str">
        <f>_xlfn.XLOOKUP($A5196,Load!$B:$B,Load!G:G,0,)</f>
        <v>Medium Multipack (40–80 ct)</v>
      </c>
      <c r="G5196" t="str">
        <f>_xlfn.XLOOKUP($A5196,Load!$B:$B,Load!H:H,0,)</f>
        <v>Stand-Up Bag</v>
      </c>
      <c r="H5196" t="str">
        <f>_xlfn.XLOOKUP($A5196,Load!$B:$B,Load!I:I,0,)</f>
        <v>Everyday Candy Shapes (like Original, Gummy bear, Fruit, Jewels, etc.)</v>
      </c>
      <c r="I5196" t="str">
        <f>_xlfn.XLOOKUP($A5196,Load!$B:$B,Load!J:J,0,)</f>
        <v>Seasonal Graphics (Like Bat, Ghost, Pumpkin, Fall Leaves, Eyeballs, etc.)</v>
      </c>
      <c r="J5196" t="str">
        <f>_xlfn.XLOOKUP($A5196,Load!$B:$B,Load!K:K,0,)</f>
        <v xml:space="preserve">Variety Candy Sizes </v>
      </c>
      <c r="K5196" t="str">
        <f>_xlfn.XLOOKUP($A5196,Load!$B:$B,Load!L:L,0,)</f>
        <v>Regular/Original Wrapping</v>
      </c>
      <c r="L5196" t="str">
        <f>_xlfn.XLOOKUP($A5196,Load!$B:$B,Load!M:M,0,)</f>
        <v>Single Brand / Variety Flavors or Form</v>
      </c>
    </row>
    <row r="5197" spans="1:12" x14ac:dyDescent="0.25">
      <c r="B5197">
        <f>_xlfn.XLOOKUP($A5197,Load!$B:$B,Load!C:C,0,)</f>
        <v>0</v>
      </c>
      <c r="C5197">
        <f>_xlfn.XLOOKUP($A5197,Load!$B:$B,Load!D:D,0,)</f>
        <v>0</v>
      </c>
      <c r="D5197">
        <f>_xlfn.XLOOKUP($A5197,Load!$B:$B,Load!E:E,0,)</f>
        <v>0</v>
      </c>
      <c r="E5197">
        <f>_xlfn.XLOOKUP($A5197,Load!$B:$B,Load!F:F,0,)</f>
        <v>0</v>
      </c>
      <c r="F5197">
        <f>_xlfn.XLOOKUP($A5197,Load!$B:$B,Load!G:G,0,)</f>
        <v>0</v>
      </c>
      <c r="G5197">
        <f>_xlfn.XLOOKUP($A5197,Load!$B:$B,Load!H:H,0,)</f>
        <v>0</v>
      </c>
      <c r="H5197">
        <f>_xlfn.XLOOKUP($A5197,Load!$B:$B,Load!I:I,0,)</f>
        <v>0</v>
      </c>
      <c r="I5197">
        <f>_xlfn.XLOOKUP($A5197,Load!$B:$B,Load!J:J,0,)</f>
        <v>0</v>
      </c>
      <c r="J5197">
        <f>_xlfn.XLOOKUP($A5197,Load!$B:$B,Load!K:K,0,)</f>
        <v>0</v>
      </c>
      <c r="K5197">
        <f>_xlfn.XLOOKUP($A5197,Load!$B:$B,Load!L:L,0,)</f>
        <v>0</v>
      </c>
      <c r="L5197">
        <f>_xlfn.XLOOKUP($A5197,Load!$B:$B,Load!M:M,0,)</f>
        <v>0</v>
      </c>
    </row>
    <row r="5198" spans="1:12" x14ac:dyDescent="0.25">
      <c r="A5198" t="s">
        <v>192</v>
      </c>
      <c r="B5198" t="str">
        <f>_xlfn.XLOOKUP($A5198,Load!$B:$B,Load!C:C,0,)</f>
        <v>Mars Variety Pack</v>
      </c>
      <c r="C5198" t="str">
        <f>_xlfn.XLOOKUP($A5198,Load!$B:$B,Load!D:D,0,)</f>
        <v>Non-Chocolate Candy Only</v>
      </c>
      <c r="D5198" t="str">
        <f>_xlfn.XLOOKUP($A5198,Load!$B:$B,Load!E:E,0,)</f>
        <v>Variety / Mixed Flavors (Fruity, Sour, Seasonal Flavors)</v>
      </c>
      <c r="E5198" t="str">
        <f>_xlfn.XLOOKUP($A5198,Load!$B:$B,Load!F:F,0,)</f>
        <v>Mixed / Combo Packs (Gummy, Chewy, Taffy, etc.)</v>
      </c>
      <c r="F5198" t="str">
        <f>_xlfn.XLOOKUP($A5198,Load!$B:$B,Load!G:G,0,)</f>
        <v>Medium Multipack (40–80 ct)</v>
      </c>
      <c r="G5198" t="str">
        <f>_xlfn.XLOOKUP($A5198,Load!$B:$B,Load!H:H,0,)</f>
        <v>Stand-Up Bag</v>
      </c>
      <c r="H5198" t="str">
        <f>_xlfn.XLOOKUP($A5198,Load!$B:$B,Load!I:I,0,)</f>
        <v>Everyday Candy Shapes (like Original, Gummy bear, Fruit, Jewels, etc.)</v>
      </c>
      <c r="I5198" t="str">
        <f>_xlfn.XLOOKUP($A5198,Load!$B:$B,Load!J:J,0,)</f>
        <v>Seasonal Graphics (Like Bat, Ghost, Pumpkin, Fall Leaves, Eyeballs, etc.)</v>
      </c>
      <c r="J5198" t="str">
        <f>_xlfn.XLOOKUP($A5198,Load!$B:$B,Load!K:K,0,)</f>
        <v>Fun Size / Treat Size</v>
      </c>
      <c r="K5198" t="str">
        <f>_xlfn.XLOOKUP($A5198,Load!$B:$B,Load!L:L,0,)</f>
        <v>Regular/Original Wrapping</v>
      </c>
      <c r="L5198" t="str">
        <f>_xlfn.XLOOKUP($A5198,Load!$B:$B,Load!M:M,0,)</f>
        <v>Multiple Brands / Variety Flavors or Form</v>
      </c>
    </row>
    <row r="5199" spans="1:12" x14ac:dyDescent="0.25">
      <c r="A5199" t="s">
        <v>86</v>
      </c>
      <c r="B5199" t="str">
        <f>_xlfn.XLOOKUP($A5199,Load!$B:$B,Load!C:C,0,)</f>
        <v>Ferrara Variety Pack</v>
      </c>
      <c r="C5199" t="str">
        <f>_xlfn.XLOOKUP($A5199,Load!$B:$B,Load!D:D,0,)</f>
        <v>Non-Chocolate Candy Only</v>
      </c>
      <c r="D5199" t="str">
        <f>_xlfn.XLOOKUP($A5199,Load!$B:$B,Load!E:E,0,)</f>
        <v>Variety / Mixed Flavors (Fruity, Sour, Seasonal Flavors)</v>
      </c>
      <c r="E5199" t="str">
        <f>_xlfn.XLOOKUP($A5199,Load!$B:$B,Load!F:F,0,)</f>
        <v>Mixed / Combo Packs (Gummy, Chewy, Taffy, etc.)</v>
      </c>
      <c r="F5199" t="str">
        <f>_xlfn.XLOOKUP($A5199,Load!$B:$B,Load!G:G,0,)</f>
        <v>Small Multipack (Less than 40 ct)</v>
      </c>
      <c r="G5199" t="str">
        <f>_xlfn.XLOOKUP($A5199,Load!$B:$B,Load!H:H,0,)</f>
        <v>Laydown Bag</v>
      </c>
      <c r="H5199" t="str">
        <f>_xlfn.XLOOKUP($A5199,Load!$B:$B,Load!I:I,0,)</f>
        <v>Seasonal Shapes (like pumpkins, candy corn, ghost, bats, etc.)</v>
      </c>
      <c r="I5199" t="str">
        <f>_xlfn.XLOOKUP($A5199,Load!$B:$B,Load!J:J,0,)</f>
        <v>Seasonal Graphics (Like Bat, Ghost, Pumpkin, Fall Leaves, Eyeballs, etc.)</v>
      </c>
      <c r="J5199" t="str">
        <f>_xlfn.XLOOKUP($A5199,Load!$B:$B,Load!K:K,0,)</f>
        <v xml:space="preserve">Variety Candy Sizes </v>
      </c>
      <c r="K5199" t="str">
        <f>_xlfn.XLOOKUP($A5199,Load!$B:$B,Load!L:L,0,)</f>
        <v>Regular/Original Wrapping</v>
      </c>
      <c r="L5199" t="str">
        <f>_xlfn.XLOOKUP($A5199,Load!$B:$B,Load!M:M,0,)</f>
        <v>Multiple Brands / Variety Flavors or Form</v>
      </c>
    </row>
    <row r="5200" spans="1:12" x14ac:dyDescent="0.25">
      <c r="A5200" t="s">
        <v>2</v>
      </c>
      <c r="B5200" t="str">
        <f>_xlfn.XLOOKUP($A5200,Load!$B:$B,Load!C:C,0,)</f>
        <v>Airheads</v>
      </c>
      <c r="C5200" t="str">
        <f>_xlfn.XLOOKUP($A5200,Load!$B:$B,Load!D:D,0,)</f>
        <v>Non-Chocolate Candy Only</v>
      </c>
      <c r="D5200" t="str">
        <f>_xlfn.XLOOKUP($A5200,Load!$B:$B,Load!E:E,0,)</f>
        <v>Variety / Mixed Flavors (Fruity, Sour, Seasonal Flavors)</v>
      </c>
      <c r="E5200" t="str">
        <f>_xlfn.XLOOKUP($A5200,Load!$B:$B,Load!F:F,0,)</f>
        <v>Chewy</v>
      </c>
      <c r="F5200" t="str">
        <f>_xlfn.XLOOKUP($A5200,Load!$B:$B,Load!G:G,0,)</f>
        <v>Medium Multipack (40–80 ct)</v>
      </c>
      <c r="G5200" t="str">
        <f>_xlfn.XLOOKUP($A5200,Load!$B:$B,Load!H:H,0,)</f>
        <v>Box (theatre box, gift box, carton)</v>
      </c>
      <c r="H5200" t="str">
        <f>_xlfn.XLOOKUP($A5200,Load!$B:$B,Load!I:I,0,)</f>
        <v>Everyday Candy Shapes (like Original, Gummy bear, Fruit, Jewels, etc.)</v>
      </c>
      <c r="I5200" t="str">
        <f>_xlfn.XLOOKUP($A5200,Load!$B:$B,Load!J:J,0,)</f>
        <v>Seasonal Graphics (Like Bat, Ghost, Pumpkin, Fall Leaves, Eyeballs, etc.)</v>
      </c>
      <c r="J5200" t="str">
        <f>_xlfn.XLOOKUP($A5200,Load!$B:$B,Load!K:K,0,)</f>
        <v>Fun Size / Treat Size</v>
      </c>
      <c r="K5200" t="str">
        <f>_xlfn.XLOOKUP($A5200,Load!$B:$B,Load!L:L,0,)</f>
        <v>Regular/Original Wrapping</v>
      </c>
      <c r="L5200" t="str">
        <f>_xlfn.XLOOKUP($A5200,Load!$B:$B,Load!M:M,0,)</f>
        <v>Single Brand / Variety Flavors or Form</v>
      </c>
    </row>
    <row r="5201" spans="1:12" x14ac:dyDescent="0.25">
      <c r="B5201">
        <f>_xlfn.XLOOKUP($A5201,Load!$B:$B,Load!C:C,0,)</f>
        <v>0</v>
      </c>
      <c r="C5201">
        <f>_xlfn.XLOOKUP($A5201,Load!$B:$B,Load!D:D,0,)</f>
        <v>0</v>
      </c>
      <c r="D5201">
        <f>_xlfn.XLOOKUP($A5201,Load!$B:$B,Load!E:E,0,)</f>
        <v>0</v>
      </c>
      <c r="E5201">
        <f>_xlfn.XLOOKUP($A5201,Load!$B:$B,Load!F:F,0,)</f>
        <v>0</v>
      </c>
      <c r="F5201">
        <f>_xlfn.XLOOKUP($A5201,Load!$B:$B,Load!G:G,0,)</f>
        <v>0</v>
      </c>
      <c r="G5201">
        <f>_xlfn.XLOOKUP($A5201,Load!$B:$B,Load!H:H,0,)</f>
        <v>0</v>
      </c>
      <c r="H5201">
        <f>_xlfn.XLOOKUP($A5201,Load!$B:$B,Load!I:I,0,)</f>
        <v>0</v>
      </c>
      <c r="I5201">
        <f>_xlfn.XLOOKUP($A5201,Load!$B:$B,Load!J:J,0,)</f>
        <v>0</v>
      </c>
      <c r="J5201">
        <f>_xlfn.XLOOKUP($A5201,Load!$B:$B,Load!K:K,0,)</f>
        <v>0</v>
      </c>
      <c r="K5201">
        <f>_xlfn.XLOOKUP($A5201,Load!$B:$B,Load!L:L,0,)</f>
        <v>0</v>
      </c>
      <c r="L5201">
        <f>_xlfn.XLOOKUP($A5201,Load!$B:$B,Load!M:M,0,)</f>
        <v>0</v>
      </c>
    </row>
    <row r="5202" spans="1:12" x14ac:dyDescent="0.25">
      <c r="B5202">
        <f>_xlfn.XLOOKUP($A5202,Load!$B:$B,Load!C:C,0,)</f>
        <v>0</v>
      </c>
      <c r="C5202">
        <f>_xlfn.XLOOKUP($A5202,Load!$B:$B,Load!D:D,0,)</f>
        <v>0</v>
      </c>
      <c r="D5202">
        <f>_xlfn.XLOOKUP($A5202,Load!$B:$B,Load!E:E,0,)</f>
        <v>0</v>
      </c>
      <c r="E5202">
        <f>_xlfn.XLOOKUP($A5202,Load!$B:$B,Load!F:F,0,)</f>
        <v>0</v>
      </c>
      <c r="F5202">
        <f>_xlfn.XLOOKUP($A5202,Load!$B:$B,Load!G:G,0,)</f>
        <v>0</v>
      </c>
      <c r="G5202">
        <f>_xlfn.XLOOKUP($A5202,Load!$B:$B,Load!H:H,0,)</f>
        <v>0</v>
      </c>
      <c r="H5202">
        <f>_xlfn.XLOOKUP($A5202,Load!$B:$B,Load!I:I,0,)</f>
        <v>0</v>
      </c>
      <c r="I5202">
        <f>_xlfn.XLOOKUP($A5202,Load!$B:$B,Load!J:J,0,)</f>
        <v>0</v>
      </c>
      <c r="J5202">
        <f>_xlfn.XLOOKUP($A5202,Load!$B:$B,Load!K:K,0,)</f>
        <v>0</v>
      </c>
      <c r="K5202">
        <f>_xlfn.XLOOKUP($A5202,Load!$B:$B,Load!L:L,0,)</f>
        <v>0</v>
      </c>
      <c r="L5202">
        <f>_xlfn.XLOOKUP($A5202,Load!$B:$B,Load!M:M,0,)</f>
        <v>0</v>
      </c>
    </row>
    <row r="5203" spans="1:12" x14ac:dyDescent="0.25">
      <c r="B5203">
        <f>_xlfn.XLOOKUP($A5203,Load!$B:$B,Load!C:C,0,)</f>
        <v>0</v>
      </c>
      <c r="C5203">
        <f>_xlfn.XLOOKUP($A5203,Load!$B:$B,Load!D:D,0,)</f>
        <v>0</v>
      </c>
      <c r="D5203">
        <f>_xlfn.XLOOKUP($A5203,Load!$B:$B,Load!E:E,0,)</f>
        <v>0</v>
      </c>
      <c r="E5203">
        <f>_xlfn.XLOOKUP($A5203,Load!$B:$B,Load!F:F,0,)</f>
        <v>0</v>
      </c>
      <c r="F5203">
        <f>_xlfn.XLOOKUP($A5203,Load!$B:$B,Load!G:G,0,)</f>
        <v>0</v>
      </c>
      <c r="G5203">
        <f>_xlfn.XLOOKUP($A5203,Load!$B:$B,Load!H:H,0,)</f>
        <v>0</v>
      </c>
      <c r="H5203">
        <f>_xlfn.XLOOKUP($A5203,Load!$B:$B,Load!I:I,0,)</f>
        <v>0</v>
      </c>
      <c r="I5203">
        <f>_xlfn.XLOOKUP($A5203,Load!$B:$B,Load!J:J,0,)</f>
        <v>0</v>
      </c>
      <c r="J5203">
        <f>_xlfn.XLOOKUP($A5203,Load!$B:$B,Load!K:K,0,)</f>
        <v>0</v>
      </c>
      <c r="K5203">
        <f>_xlfn.XLOOKUP($A5203,Load!$B:$B,Load!L:L,0,)</f>
        <v>0</v>
      </c>
      <c r="L5203">
        <f>_xlfn.XLOOKUP($A5203,Load!$B:$B,Load!M:M,0,)</f>
        <v>0</v>
      </c>
    </row>
    <row r="5204" spans="1:12" x14ac:dyDescent="0.25">
      <c r="B5204">
        <f>_xlfn.XLOOKUP($A5204,Load!$B:$B,Load!C:C,0,)</f>
        <v>0</v>
      </c>
      <c r="C5204">
        <f>_xlfn.XLOOKUP($A5204,Load!$B:$B,Load!D:D,0,)</f>
        <v>0</v>
      </c>
      <c r="D5204">
        <f>_xlfn.XLOOKUP($A5204,Load!$B:$B,Load!E:E,0,)</f>
        <v>0</v>
      </c>
      <c r="E5204">
        <f>_xlfn.XLOOKUP($A5204,Load!$B:$B,Load!F:F,0,)</f>
        <v>0</v>
      </c>
      <c r="F5204">
        <f>_xlfn.XLOOKUP($A5204,Load!$B:$B,Load!G:G,0,)</f>
        <v>0</v>
      </c>
      <c r="G5204">
        <f>_xlfn.XLOOKUP($A5204,Load!$B:$B,Load!H:H,0,)</f>
        <v>0</v>
      </c>
      <c r="H5204">
        <f>_xlfn.XLOOKUP($A5204,Load!$B:$B,Load!I:I,0,)</f>
        <v>0</v>
      </c>
      <c r="I5204">
        <f>_xlfn.XLOOKUP($A5204,Load!$B:$B,Load!J:J,0,)</f>
        <v>0</v>
      </c>
      <c r="J5204">
        <f>_xlfn.XLOOKUP($A5204,Load!$B:$B,Load!K:K,0,)</f>
        <v>0</v>
      </c>
      <c r="K5204">
        <f>_xlfn.XLOOKUP($A5204,Load!$B:$B,Load!L:L,0,)</f>
        <v>0</v>
      </c>
      <c r="L5204">
        <f>_xlfn.XLOOKUP($A5204,Load!$B:$B,Load!M:M,0,)</f>
        <v>0</v>
      </c>
    </row>
    <row r="5205" spans="1:12" x14ac:dyDescent="0.25">
      <c r="B5205">
        <f>_xlfn.XLOOKUP($A5205,Load!$B:$B,Load!C:C,0,)</f>
        <v>0</v>
      </c>
      <c r="C5205">
        <f>_xlfn.XLOOKUP($A5205,Load!$B:$B,Load!D:D,0,)</f>
        <v>0</v>
      </c>
      <c r="D5205">
        <f>_xlfn.XLOOKUP($A5205,Load!$B:$B,Load!E:E,0,)</f>
        <v>0</v>
      </c>
      <c r="E5205">
        <f>_xlfn.XLOOKUP($A5205,Load!$B:$B,Load!F:F,0,)</f>
        <v>0</v>
      </c>
      <c r="F5205">
        <f>_xlfn.XLOOKUP($A5205,Load!$B:$B,Load!G:G,0,)</f>
        <v>0</v>
      </c>
      <c r="G5205">
        <f>_xlfn.XLOOKUP($A5205,Load!$B:$B,Load!H:H,0,)</f>
        <v>0</v>
      </c>
      <c r="H5205">
        <f>_xlfn.XLOOKUP($A5205,Load!$B:$B,Load!I:I,0,)</f>
        <v>0</v>
      </c>
      <c r="I5205">
        <f>_xlfn.XLOOKUP($A5205,Load!$B:$B,Load!J:J,0,)</f>
        <v>0</v>
      </c>
      <c r="J5205">
        <f>_xlfn.XLOOKUP($A5205,Load!$B:$B,Load!K:K,0,)</f>
        <v>0</v>
      </c>
      <c r="K5205">
        <f>_xlfn.XLOOKUP($A5205,Load!$B:$B,Load!L:L,0,)</f>
        <v>0</v>
      </c>
      <c r="L5205">
        <f>_xlfn.XLOOKUP($A5205,Load!$B:$B,Load!M:M,0,)</f>
        <v>0</v>
      </c>
    </row>
    <row r="5206" spans="1:12" x14ac:dyDescent="0.25">
      <c r="B5206">
        <f>_xlfn.XLOOKUP($A5206,Load!$B:$B,Load!C:C,0,)</f>
        <v>0</v>
      </c>
      <c r="C5206">
        <f>_xlfn.XLOOKUP($A5206,Load!$B:$B,Load!D:D,0,)</f>
        <v>0</v>
      </c>
      <c r="D5206">
        <f>_xlfn.XLOOKUP($A5206,Load!$B:$B,Load!E:E,0,)</f>
        <v>0</v>
      </c>
      <c r="E5206">
        <f>_xlfn.XLOOKUP($A5206,Load!$B:$B,Load!F:F,0,)</f>
        <v>0</v>
      </c>
      <c r="F5206">
        <f>_xlfn.XLOOKUP($A5206,Load!$B:$B,Load!G:G,0,)</f>
        <v>0</v>
      </c>
      <c r="G5206">
        <f>_xlfn.XLOOKUP($A5206,Load!$B:$B,Load!H:H,0,)</f>
        <v>0</v>
      </c>
      <c r="H5206">
        <f>_xlfn.XLOOKUP($A5206,Load!$B:$B,Load!I:I,0,)</f>
        <v>0</v>
      </c>
      <c r="I5206">
        <f>_xlfn.XLOOKUP($A5206,Load!$B:$B,Load!J:J,0,)</f>
        <v>0</v>
      </c>
      <c r="J5206">
        <f>_xlfn.XLOOKUP($A5206,Load!$B:$B,Load!K:K,0,)</f>
        <v>0</v>
      </c>
      <c r="K5206">
        <f>_xlfn.XLOOKUP($A5206,Load!$B:$B,Load!L:L,0,)</f>
        <v>0</v>
      </c>
      <c r="L5206">
        <f>_xlfn.XLOOKUP($A5206,Load!$B:$B,Load!M:M,0,)</f>
        <v>0</v>
      </c>
    </row>
    <row r="5207" spans="1:12" x14ac:dyDescent="0.25">
      <c r="B5207">
        <f>_xlfn.XLOOKUP($A5207,Load!$B:$B,Load!C:C,0,)</f>
        <v>0</v>
      </c>
      <c r="C5207">
        <f>_xlfn.XLOOKUP($A5207,Load!$B:$B,Load!D:D,0,)</f>
        <v>0</v>
      </c>
      <c r="D5207">
        <f>_xlfn.XLOOKUP($A5207,Load!$B:$B,Load!E:E,0,)</f>
        <v>0</v>
      </c>
      <c r="E5207">
        <f>_xlfn.XLOOKUP($A5207,Load!$B:$B,Load!F:F,0,)</f>
        <v>0</v>
      </c>
      <c r="F5207">
        <f>_xlfn.XLOOKUP($A5207,Load!$B:$B,Load!G:G,0,)</f>
        <v>0</v>
      </c>
      <c r="G5207">
        <f>_xlfn.XLOOKUP($A5207,Load!$B:$B,Load!H:H,0,)</f>
        <v>0</v>
      </c>
      <c r="H5207">
        <f>_xlfn.XLOOKUP($A5207,Load!$B:$B,Load!I:I,0,)</f>
        <v>0</v>
      </c>
      <c r="I5207">
        <f>_xlfn.XLOOKUP($A5207,Load!$B:$B,Load!J:J,0,)</f>
        <v>0</v>
      </c>
      <c r="J5207">
        <f>_xlfn.XLOOKUP($A5207,Load!$B:$B,Load!K:K,0,)</f>
        <v>0</v>
      </c>
      <c r="K5207">
        <f>_xlfn.XLOOKUP($A5207,Load!$B:$B,Load!L:L,0,)</f>
        <v>0</v>
      </c>
      <c r="L5207">
        <f>_xlfn.XLOOKUP($A5207,Load!$B:$B,Load!M:M,0,)</f>
        <v>0</v>
      </c>
    </row>
    <row r="5208" spans="1:12" x14ac:dyDescent="0.25">
      <c r="B5208">
        <f>_xlfn.XLOOKUP($A5208,Load!$B:$B,Load!C:C,0,)</f>
        <v>0</v>
      </c>
      <c r="C5208">
        <f>_xlfn.XLOOKUP($A5208,Load!$B:$B,Load!D:D,0,)</f>
        <v>0</v>
      </c>
      <c r="D5208">
        <f>_xlfn.XLOOKUP($A5208,Load!$B:$B,Load!E:E,0,)</f>
        <v>0</v>
      </c>
      <c r="E5208">
        <f>_xlfn.XLOOKUP($A5208,Load!$B:$B,Load!F:F,0,)</f>
        <v>0</v>
      </c>
      <c r="F5208">
        <f>_xlfn.XLOOKUP($A5208,Load!$B:$B,Load!G:G,0,)</f>
        <v>0</v>
      </c>
      <c r="G5208">
        <f>_xlfn.XLOOKUP($A5208,Load!$B:$B,Load!H:H,0,)</f>
        <v>0</v>
      </c>
      <c r="H5208">
        <f>_xlfn.XLOOKUP($A5208,Load!$B:$B,Load!I:I,0,)</f>
        <v>0</v>
      </c>
      <c r="I5208">
        <f>_xlfn.XLOOKUP($A5208,Load!$B:$B,Load!J:J,0,)</f>
        <v>0</v>
      </c>
      <c r="J5208">
        <f>_xlfn.XLOOKUP($A5208,Load!$B:$B,Load!K:K,0,)</f>
        <v>0</v>
      </c>
      <c r="K5208">
        <f>_xlfn.XLOOKUP($A5208,Load!$B:$B,Load!L:L,0,)</f>
        <v>0</v>
      </c>
      <c r="L5208">
        <f>_xlfn.XLOOKUP($A5208,Load!$B:$B,Load!M:M,0,)</f>
        <v>0</v>
      </c>
    </row>
    <row r="5209" spans="1:12" x14ac:dyDescent="0.25">
      <c r="B5209">
        <f>_xlfn.XLOOKUP($A5209,Load!$B:$B,Load!C:C,0,)</f>
        <v>0</v>
      </c>
      <c r="C5209">
        <f>_xlfn.XLOOKUP($A5209,Load!$B:$B,Load!D:D,0,)</f>
        <v>0</v>
      </c>
      <c r="D5209">
        <f>_xlfn.XLOOKUP($A5209,Load!$B:$B,Load!E:E,0,)</f>
        <v>0</v>
      </c>
      <c r="E5209">
        <f>_xlfn.XLOOKUP($A5209,Load!$B:$B,Load!F:F,0,)</f>
        <v>0</v>
      </c>
      <c r="F5209">
        <f>_xlfn.XLOOKUP($A5209,Load!$B:$B,Load!G:G,0,)</f>
        <v>0</v>
      </c>
      <c r="G5209">
        <f>_xlfn.XLOOKUP($A5209,Load!$B:$B,Load!H:H,0,)</f>
        <v>0</v>
      </c>
      <c r="H5209">
        <f>_xlfn.XLOOKUP($A5209,Load!$B:$B,Load!I:I,0,)</f>
        <v>0</v>
      </c>
      <c r="I5209">
        <f>_xlfn.XLOOKUP($A5209,Load!$B:$B,Load!J:J,0,)</f>
        <v>0</v>
      </c>
      <c r="J5209">
        <f>_xlfn.XLOOKUP($A5209,Load!$B:$B,Load!K:K,0,)</f>
        <v>0</v>
      </c>
      <c r="K5209">
        <f>_xlfn.XLOOKUP($A5209,Load!$B:$B,Load!L:L,0,)</f>
        <v>0</v>
      </c>
      <c r="L5209">
        <f>_xlfn.XLOOKUP($A5209,Load!$B:$B,Load!M:M,0,)</f>
        <v>0</v>
      </c>
    </row>
    <row r="5210" spans="1:12" x14ac:dyDescent="0.25">
      <c r="A5210" t="s">
        <v>169</v>
      </c>
      <c r="B5210" t="str">
        <f>_xlfn.XLOOKUP($A5210,Load!$B:$B,Load!C:C,0,)</f>
        <v>Laffy Taffy</v>
      </c>
      <c r="C5210" t="str">
        <f>_xlfn.XLOOKUP($A5210,Load!$B:$B,Load!D:D,0,)</f>
        <v>Non-Chocolate Candy Only</v>
      </c>
      <c r="D5210" t="str">
        <f>_xlfn.XLOOKUP($A5210,Load!$B:$B,Load!E:E,0,)</f>
        <v>Fruit Flavor (Cherry, Grape, Apple, Citrus, Tropical Fruit)</v>
      </c>
      <c r="E5210" t="str">
        <f>_xlfn.XLOOKUP($A5210,Load!$B:$B,Load!F:F,0,)</f>
        <v>Taffy</v>
      </c>
      <c r="F5210" t="str">
        <f>_xlfn.XLOOKUP($A5210,Load!$B:$B,Load!G:G,0,)</f>
        <v>Small Multipack (Less than 40 ct)</v>
      </c>
      <c r="G5210" t="str">
        <f>_xlfn.XLOOKUP($A5210,Load!$B:$B,Load!H:H,0,)</f>
        <v>Laydown Bag</v>
      </c>
      <c r="H5210" t="str">
        <f>_xlfn.XLOOKUP($A5210,Load!$B:$B,Load!I:I,0,)</f>
        <v>Everyday Candy Shapes (like Original, Gummy bear, Fruit, Jewels, etc.)</v>
      </c>
      <c r="I5210" t="str">
        <f>_xlfn.XLOOKUP($A5210,Load!$B:$B,Load!J:J,0,)</f>
        <v>Everyday Graphics</v>
      </c>
      <c r="J5210" t="str">
        <f>_xlfn.XLOOKUP($A5210,Load!$B:$B,Load!K:K,0,)</f>
        <v>Fun Size / Treat Size</v>
      </c>
      <c r="K5210" t="str">
        <f>_xlfn.XLOOKUP($A5210,Load!$B:$B,Load!L:L,0,)</f>
        <v>Regular/Original Wrapping</v>
      </c>
      <c r="L5210" t="str">
        <f>_xlfn.XLOOKUP($A5210,Load!$B:$B,Load!M:M,0,)</f>
        <v>Single Brand / Variety Flavors or Form</v>
      </c>
    </row>
    <row r="5211" spans="1:12" x14ac:dyDescent="0.25">
      <c r="B5211">
        <f>_xlfn.XLOOKUP($A5211,Load!$B:$B,Load!C:C,0,)</f>
        <v>0</v>
      </c>
      <c r="C5211">
        <f>_xlfn.XLOOKUP($A5211,Load!$B:$B,Load!D:D,0,)</f>
        <v>0</v>
      </c>
      <c r="D5211">
        <f>_xlfn.XLOOKUP($A5211,Load!$B:$B,Load!E:E,0,)</f>
        <v>0</v>
      </c>
      <c r="E5211">
        <f>_xlfn.XLOOKUP($A5211,Load!$B:$B,Load!F:F,0,)</f>
        <v>0</v>
      </c>
      <c r="F5211">
        <f>_xlfn.XLOOKUP($A5211,Load!$B:$B,Load!G:G,0,)</f>
        <v>0</v>
      </c>
      <c r="G5211">
        <f>_xlfn.XLOOKUP($A5211,Load!$B:$B,Load!H:H,0,)</f>
        <v>0</v>
      </c>
      <c r="H5211">
        <f>_xlfn.XLOOKUP($A5211,Load!$B:$B,Load!I:I,0,)</f>
        <v>0</v>
      </c>
      <c r="I5211">
        <f>_xlfn.XLOOKUP($A5211,Load!$B:$B,Load!J:J,0,)</f>
        <v>0</v>
      </c>
      <c r="J5211">
        <f>_xlfn.XLOOKUP($A5211,Load!$B:$B,Load!K:K,0,)</f>
        <v>0</v>
      </c>
      <c r="K5211">
        <f>_xlfn.XLOOKUP($A5211,Load!$B:$B,Load!L:L,0,)</f>
        <v>0</v>
      </c>
      <c r="L5211">
        <f>_xlfn.XLOOKUP($A5211,Load!$B:$B,Load!M:M,0,)</f>
        <v>0</v>
      </c>
    </row>
    <row r="5212" spans="1:12" x14ac:dyDescent="0.25">
      <c r="A5212" t="s">
        <v>104</v>
      </c>
      <c r="B5212" t="str">
        <f>_xlfn.XLOOKUP($A5212,Load!$B:$B,Load!C:C,0,)</f>
        <v>Frankford</v>
      </c>
      <c r="C5212" t="str">
        <f>_xlfn.XLOOKUP($A5212,Load!$B:$B,Load!D:D,0,)</f>
        <v>Non-Chocolate Candy Only</v>
      </c>
      <c r="D5212" t="str">
        <f>_xlfn.XLOOKUP($A5212,Load!$B:$B,Load!E:E,0,)</f>
        <v>Variety / Mixed Flavors (Fruity, Sour, Seasonal Flavors)</v>
      </c>
      <c r="E5212" t="str">
        <f>_xlfn.XLOOKUP($A5212,Load!$B:$B,Load!F:F,0,)</f>
        <v>Mixed / Combo Packs (Gummy, Chewy, Taffy, etc.)</v>
      </c>
      <c r="F5212" t="str">
        <f>_xlfn.XLOOKUP($A5212,Load!$B:$B,Load!G:G,0,)</f>
        <v>Large Multipack (More than 80 ct)</v>
      </c>
      <c r="G5212" t="str">
        <f>_xlfn.XLOOKUP($A5212,Load!$B:$B,Load!H:H,0,)</f>
        <v>Stand-Up Bag</v>
      </c>
      <c r="H5212" t="str">
        <f>_xlfn.XLOOKUP($A5212,Load!$B:$B,Load!I:I,0,)</f>
        <v>Seasonal Shapes (like pumpkins, candy corn, ghost, bats, etc.)</v>
      </c>
      <c r="I5212" t="str">
        <f>_xlfn.XLOOKUP($A5212,Load!$B:$B,Load!J:J,0,)</f>
        <v>Seasonal Graphics (Like Bat, Ghost, Pumpkin, Fall Leaves, Eyeballs, etc.)</v>
      </c>
      <c r="J5212" t="str">
        <f>_xlfn.XLOOKUP($A5212,Load!$B:$B,Load!K:K,0,)</f>
        <v xml:space="preserve">Variety Candy Sizes </v>
      </c>
      <c r="K5212" t="str">
        <f>_xlfn.XLOOKUP($A5212,Load!$B:$B,Load!L:L,0,)</f>
        <v>Regular/Original Wrapping</v>
      </c>
      <c r="L5212" t="str">
        <f>_xlfn.XLOOKUP($A5212,Load!$B:$B,Load!M:M,0,)</f>
        <v>Multiple Brands / Variety Flavors or Form</v>
      </c>
    </row>
    <row r="5213" spans="1:12" x14ac:dyDescent="0.25">
      <c r="A5213" t="s">
        <v>183</v>
      </c>
      <c r="B5213" t="str">
        <f>_xlfn.XLOOKUP($A5213,Load!$B:$B,Load!C:C,0,)</f>
        <v>Mars Variety Pack</v>
      </c>
      <c r="C5213" t="str">
        <f>_xlfn.XLOOKUP($A5213,Load!$B:$B,Load!D:D,0,)</f>
        <v>Non-Chocolate Candy Only</v>
      </c>
      <c r="D5213" t="str">
        <f>_xlfn.XLOOKUP($A5213,Load!$B:$B,Load!E:E,0,)</f>
        <v>Variety / Mixed Flavors (Fruity, Sour, Seasonal Flavors)</v>
      </c>
      <c r="E5213" t="str">
        <f>_xlfn.XLOOKUP($A5213,Load!$B:$B,Load!F:F,0,)</f>
        <v>Mixed / Combo Packs (Gummy, Chewy, Taffy, etc.)</v>
      </c>
      <c r="F5213" t="str">
        <f>_xlfn.XLOOKUP($A5213,Load!$B:$B,Load!G:G,0,)</f>
        <v>Large Multipack (More than 80 ct)</v>
      </c>
      <c r="G5213" t="str">
        <f>_xlfn.XLOOKUP($A5213,Load!$B:$B,Load!H:H,0,)</f>
        <v>Stand-Up Bag</v>
      </c>
      <c r="H5213" t="str">
        <f>_xlfn.XLOOKUP($A5213,Load!$B:$B,Load!I:I,0,)</f>
        <v>Seasonal Shapes (like pumpkins, candy corn, ghost, bats, etc.)</v>
      </c>
      <c r="I5213" t="str">
        <f>_xlfn.XLOOKUP($A5213,Load!$B:$B,Load!J:J,0,)</f>
        <v>Seasonal Graphics (Like Bat, Ghost, Pumpkin, Fall Leaves, Eyeballs, etc.)</v>
      </c>
      <c r="J5213" t="str">
        <f>_xlfn.XLOOKUP($A5213,Load!$B:$B,Load!K:K,0,)</f>
        <v xml:space="preserve">Variety Candy Sizes </v>
      </c>
      <c r="K5213" t="str">
        <f>_xlfn.XLOOKUP($A5213,Load!$B:$B,Load!L:L,0,)</f>
        <v>Regular/Original Wrapping</v>
      </c>
      <c r="L5213" t="str">
        <f>_xlfn.XLOOKUP($A5213,Load!$B:$B,Load!M:M,0,)</f>
        <v>Multiple Brands / Variety Flavors or Form</v>
      </c>
    </row>
    <row r="5214" spans="1:12" x14ac:dyDescent="0.25">
      <c r="B5214">
        <f>_xlfn.XLOOKUP($A5214,Load!$B:$B,Load!C:C,0,)</f>
        <v>0</v>
      </c>
      <c r="C5214">
        <f>_xlfn.XLOOKUP($A5214,Load!$B:$B,Load!D:D,0,)</f>
        <v>0</v>
      </c>
      <c r="D5214">
        <f>_xlfn.XLOOKUP($A5214,Load!$B:$B,Load!E:E,0,)</f>
        <v>0</v>
      </c>
      <c r="E5214">
        <f>_xlfn.XLOOKUP($A5214,Load!$B:$B,Load!F:F,0,)</f>
        <v>0</v>
      </c>
      <c r="F5214">
        <f>_xlfn.XLOOKUP($A5214,Load!$B:$B,Load!G:G,0,)</f>
        <v>0</v>
      </c>
      <c r="G5214">
        <f>_xlfn.XLOOKUP($A5214,Load!$B:$B,Load!H:H,0,)</f>
        <v>0</v>
      </c>
      <c r="H5214">
        <f>_xlfn.XLOOKUP($A5214,Load!$B:$B,Load!I:I,0,)</f>
        <v>0</v>
      </c>
      <c r="I5214">
        <f>_xlfn.XLOOKUP($A5214,Load!$B:$B,Load!J:J,0,)</f>
        <v>0</v>
      </c>
      <c r="J5214">
        <f>_xlfn.XLOOKUP($A5214,Load!$B:$B,Load!K:K,0,)</f>
        <v>0</v>
      </c>
      <c r="K5214">
        <f>_xlfn.XLOOKUP($A5214,Load!$B:$B,Load!L:L,0,)</f>
        <v>0</v>
      </c>
      <c r="L5214">
        <f>_xlfn.XLOOKUP($A5214,Load!$B:$B,Load!M:M,0,)</f>
        <v>0</v>
      </c>
    </row>
    <row r="5215" spans="1:12" x14ac:dyDescent="0.25">
      <c r="B5215">
        <f>_xlfn.XLOOKUP($A5215,Load!$B:$B,Load!C:C,0,)</f>
        <v>0</v>
      </c>
      <c r="C5215">
        <f>_xlfn.XLOOKUP($A5215,Load!$B:$B,Load!D:D,0,)</f>
        <v>0</v>
      </c>
      <c r="D5215">
        <f>_xlfn.XLOOKUP($A5215,Load!$B:$B,Load!E:E,0,)</f>
        <v>0</v>
      </c>
      <c r="E5215">
        <f>_xlfn.XLOOKUP($A5215,Load!$B:$B,Load!F:F,0,)</f>
        <v>0</v>
      </c>
      <c r="F5215">
        <f>_xlfn.XLOOKUP($A5215,Load!$B:$B,Load!G:G,0,)</f>
        <v>0</v>
      </c>
      <c r="G5215">
        <f>_xlfn.XLOOKUP($A5215,Load!$B:$B,Load!H:H,0,)</f>
        <v>0</v>
      </c>
      <c r="H5215">
        <f>_xlfn.XLOOKUP($A5215,Load!$B:$B,Load!I:I,0,)</f>
        <v>0</v>
      </c>
      <c r="I5215">
        <f>_xlfn.XLOOKUP($A5215,Load!$B:$B,Load!J:J,0,)</f>
        <v>0</v>
      </c>
      <c r="J5215">
        <f>_xlfn.XLOOKUP($A5215,Load!$B:$B,Load!K:K,0,)</f>
        <v>0</v>
      </c>
      <c r="K5215">
        <f>_xlfn.XLOOKUP($A5215,Load!$B:$B,Load!L:L,0,)</f>
        <v>0</v>
      </c>
      <c r="L5215">
        <f>_xlfn.XLOOKUP($A5215,Load!$B:$B,Load!M:M,0,)</f>
        <v>0</v>
      </c>
    </row>
    <row r="5216" spans="1:12" x14ac:dyDescent="0.25">
      <c r="B5216">
        <f>_xlfn.XLOOKUP($A5216,Load!$B:$B,Load!C:C,0,)</f>
        <v>0</v>
      </c>
      <c r="C5216">
        <f>_xlfn.XLOOKUP($A5216,Load!$B:$B,Load!D:D,0,)</f>
        <v>0</v>
      </c>
      <c r="D5216">
        <f>_xlfn.XLOOKUP($A5216,Load!$B:$B,Load!E:E,0,)</f>
        <v>0</v>
      </c>
      <c r="E5216">
        <f>_xlfn.XLOOKUP($A5216,Load!$B:$B,Load!F:F,0,)</f>
        <v>0</v>
      </c>
      <c r="F5216">
        <f>_xlfn.XLOOKUP($A5216,Load!$B:$B,Load!G:G,0,)</f>
        <v>0</v>
      </c>
      <c r="G5216">
        <f>_xlfn.XLOOKUP($A5216,Load!$B:$B,Load!H:H,0,)</f>
        <v>0</v>
      </c>
      <c r="H5216">
        <f>_xlfn.XLOOKUP($A5216,Load!$B:$B,Load!I:I,0,)</f>
        <v>0</v>
      </c>
      <c r="I5216">
        <f>_xlfn.XLOOKUP($A5216,Load!$B:$B,Load!J:J,0,)</f>
        <v>0</v>
      </c>
      <c r="J5216">
        <f>_xlfn.XLOOKUP($A5216,Load!$B:$B,Load!K:K,0,)</f>
        <v>0</v>
      </c>
      <c r="K5216">
        <f>_xlfn.XLOOKUP($A5216,Load!$B:$B,Load!L:L,0,)</f>
        <v>0</v>
      </c>
      <c r="L5216">
        <f>_xlfn.XLOOKUP($A5216,Load!$B:$B,Load!M:M,0,)</f>
        <v>0</v>
      </c>
    </row>
    <row r="5217" spans="1:12" x14ac:dyDescent="0.25">
      <c r="B5217">
        <f>_xlfn.XLOOKUP($A5217,Load!$B:$B,Load!C:C,0,)</f>
        <v>0</v>
      </c>
      <c r="C5217">
        <f>_xlfn.XLOOKUP($A5217,Load!$B:$B,Load!D:D,0,)</f>
        <v>0</v>
      </c>
      <c r="D5217">
        <f>_xlfn.XLOOKUP($A5217,Load!$B:$B,Load!E:E,0,)</f>
        <v>0</v>
      </c>
      <c r="E5217">
        <f>_xlfn.XLOOKUP($A5217,Load!$B:$B,Load!F:F,0,)</f>
        <v>0</v>
      </c>
      <c r="F5217">
        <f>_xlfn.XLOOKUP($A5217,Load!$B:$B,Load!G:G,0,)</f>
        <v>0</v>
      </c>
      <c r="G5217">
        <f>_xlfn.XLOOKUP($A5217,Load!$B:$B,Load!H:H,0,)</f>
        <v>0</v>
      </c>
      <c r="H5217">
        <f>_xlfn.XLOOKUP($A5217,Load!$B:$B,Load!I:I,0,)</f>
        <v>0</v>
      </c>
      <c r="I5217">
        <f>_xlfn.XLOOKUP($A5217,Load!$B:$B,Load!J:J,0,)</f>
        <v>0</v>
      </c>
      <c r="J5217">
        <f>_xlfn.XLOOKUP($A5217,Load!$B:$B,Load!K:K,0,)</f>
        <v>0</v>
      </c>
      <c r="K5217">
        <f>_xlfn.XLOOKUP($A5217,Load!$B:$B,Load!L:L,0,)</f>
        <v>0</v>
      </c>
      <c r="L5217">
        <f>_xlfn.XLOOKUP($A5217,Load!$B:$B,Load!M:M,0,)</f>
        <v>0</v>
      </c>
    </row>
    <row r="5218" spans="1:12" x14ac:dyDescent="0.25">
      <c r="A5218" t="s">
        <v>261</v>
      </c>
      <c r="B5218" t="str">
        <f>_xlfn.XLOOKUP($A5218,Load!$B:$B,Load!C:C,0,)</f>
        <v>Skittles</v>
      </c>
      <c r="C5218" t="str">
        <f>_xlfn.XLOOKUP($A5218,Load!$B:$B,Load!D:D,0,)</f>
        <v>Non-Chocolate Candy Only</v>
      </c>
      <c r="D5218" t="str">
        <f>_xlfn.XLOOKUP($A5218,Load!$B:$B,Load!E:E,0,)</f>
        <v>Fruit Flavor (Cherry, Grape, Apple, Citrus, Tropical Fruit)</v>
      </c>
      <c r="E5218" t="str">
        <f>_xlfn.XLOOKUP($A5218,Load!$B:$B,Load!F:F,0,)</f>
        <v>Candy Pieces / Bites</v>
      </c>
      <c r="F5218" t="str">
        <f>_xlfn.XLOOKUP($A5218,Load!$B:$B,Load!G:G,0,)</f>
        <v>Single Pack</v>
      </c>
      <c r="G5218" t="str">
        <f>_xlfn.XLOOKUP($A5218,Load!$B:$B,Load!H:H,0,)</f>
        <v>Laydown Bag</v>
      </c>
      <c r="H5218" t="str">
        <f>_xlfn.XLOOKUP($A5218,Load!$B:$B,Load!I:I,0,)</f>
        <v>Everyday Candy Shapes (like Original, Gummy bear, Fruit, Jewels, etc.)</v>
      </c>
      <c r="I5218" t="str">
        <f>_xlfn.XLOOKUP($A5218,Load!$B:$B,Load!J:J,0,)</f>
        <v>Everyday Graphics</v>
      </c>
      <c r="J5218" t="str">
        <f>_xlfn.XLOOKUP($A5218,Load!$B:$B,Load!K:K,0,)</f>
        <v>Small Pieces (Tiny bite size candies)</v>
      </c>
      <c r="K5218" t="str">
        <f>_xlfn.XLOOKUP($A5218,Load!$B:$B,Load!L:L,0,)</f>
        <v>Unwrapped</v>
      </c>
      <c r="L5218" t="str">
        <f>_xlfn.XLOOKUP($A5218,Load!$B:$B,Load!M:M,0,)</f>
        <v>Single Brand / Single Flavor or Form</v>
      </c>
    </row>
    <row r="5219" spans="1:12" x14ac:dyDescent="0.25">
      <c r="A5219" t="s">
        <v>260</v>
      </c>
      <c r="B5219" t="str">
        <f>_xlfn.XLOOKUP($A5219,Load!$B:$B,Load!C:C,0,)</f>
        <v>Skittles</v>
      </c>
      <c r="C5219" t="str">
        <f>_xlfn.XLOOKUP($A5219,Load!$B:$B,Load!D:D,0,)</f>
        <v>Non-Chocolate Candy Only</v>
      </c>
      <c r="D5219" t="str">
        <f>_xlfn.XLOOKUP($A5219,Load!$B:$B,Load!E:E,0,)</f>
        <v>Fruit Flavor (Cherry, Grape, Apple, Citrus, Tropical Fruit)</v>
      </c>
      <c r="E5219" t="str">
        <f>_xlfn.XLOOKUP($A5219,Load!$B:$B,Load!F:F,0,)</f>
        <v>Candy Pieces / Bites</v>
      </c>
      <c r="F5219" t="str">
        <f>_xlfn.XLOOKUP($A5219,Load!$B:$B,Load!G:G,0,)</f>
        <v>Single Pack</v>
      </c>
      <c r="G5219" t="str">
        <f>_xlfn.XLOOKUP($A5219,Load!$B:$B,Load!H:H,0,)</f>
        <v>Plastic Cup / Container</v>
      </c>
      <c r="H5219" t="str">
        <f>_xlfn.XLOOKUP($A5219,Load!$B:$B,Load!I:I,0,)</f>
        <v>Everyday Candy Shapes (like Original, Gummy bear, Fruit, Jewels, etc.)</v>
      </c>
      <c r="I5219" t="str">
        <f>_xlfn.XLOOKUP($A5219,Load!$B:$B,Load!J:J,0,)</f>
        <v>Seasonal Graphics (Like Bat, Ghost, Pumpkin, Fall Leaves, Eyeballs, etc.)</v>
      </c>
      <c r="J5219" t="str">
        <f>_xlfn.XLOOKUP($A5219,Load!$B:$B,Load!K:K,0,)</f>
        <v>Small Pieces (Tiny bite size candies)</v>
      </c>
      <c r="K5219" t="str">
        <f>_xlfn.XLOOKUP($A5219,Load!$B:$B,Load!L:L,0,)</f>
        <v>Unwrapped</v>
      </c>
      <c r="L5219" t="str">
        <f>_xlfn.XLOOKUP($A5219,Load!$B:$B,Load!M:M,0,)</f>
        <v>Single Brand / Single Flavor or Form</v>
      </c>
    </row>
    <row r="5220" spans="1:12" x14ac:dyDescent="0.25">
      <c r="B5220">
        <f>_xlfn.XLOOKUP($A5220,Load!$B:$B,Load!C:C,0,)</f>
        <v>0</v>
      </c>
      <c r="C5220">
        <f>_xlfn.XLOOKUP($A5220,Load!$B:$B,Load!D:D,0,)</f>
        <v>0</v>
      </c>
      <c r="D5220">
        <f>_xlfn.XLOOKUP($A5220,Load!$B:$B,Load!E:E,0,)</f>
        <v>0</v>
      </c>
      <c r="E5220">
        <f>_xlfn.XLOOKUP($A5220,Load!$B:$B,Load!F:F,0,)</f>
        <v>0</v>
      </c>
      <c r="F5220">
        <f>_xlfn.XLOOKUP($A5220,Load!$B:$B,Load!G:G,0,)</f>
        <v>0</v>
      </c>
      <c r="G5220">
        <f>_xlfn.XLOOKUP($A5220,Load!$B:$B,Load!H:H,0,)</f>
        <v>0</v>
      </c>
      <c r="H5220">
        <f>_xlfn.XLOOKUP($A5220,Load!$B:$B,Load!I:I,0,)</f>
        <v>0</v>
      </c>
      <c r="I5220">
        <f>_xlfn.XLOOKUP($A5220,Load!$B:$B,Load!J:J,0,)</f>
        <v>0</v>
      </c>
      <c r="J5220">
        <f>_xlfn.XLOOKUP($A5220,Load!$B:$B,Load!K:K,0,)</f>
        <v>0</v>
      </c>
      <c r="K5220">
        <f>_xlfn.XLOOKUP($A5220,Load!$B:$B,Load!L:L,0,)</f>
        <v>0</v>
      </c>
      <c r="L5220">
        <f>_xlfn.XLOOKUP($A5220,Load!$B:$B,Load!M:M,0,)</f>
        <v>0</v>
      </c>
    </row>
    <row r="5221" spans="1:12" x14ac:dyDescent="0.25">
      <c r="B5221">
        <f>_xlfn.XLOOKUP($A5221,Load!$B:$B,Load!C:C,0,)</f>
        <v>0</v>
      </c>
      <c r="C5221">
        <f>_xlfn.XLOOKUP($A5221,Load!$B:$B,Load!D:D,0,)</f>
        <v>0</v>
      </c>
      <c r="D5221">
        <f>_xlfn.XLOOKUP($A5221,Load!$B:$B,Load!E:E,0,)</f>
        <v>0</v>
      </c>
      <c r="E5221">
        <f>_xlfn.XLOOKUP($A5221,Load!$B:$B,Load!F:F,0,)</f>
        <v>0</v>
      </c>
      <c r="F5221">
        <f>_xlfn.XLOOKUP($A5221,Load!$B:$B,Load!G:G,0,)</f>
        <v>0</v>
      </c>
      <c r="G5221">
        <f>_xlfn.XLOOKUP($A5221,Load!$B:$B,Load!H:H,0,)</f>
        <v>0</v>
      </c>
      <c r="H5221">
        <f>_xlfn.XLOOKUP($A5221,Load!$B:$B,Load!I:I,0,)</f>
        <v>0</v>
      </c>
      <c r="I5221">
        <f>_xlfn.XLOOKUP($A5221,Load!$B:$B,Load!J:J,0,)</f>
        <v>0</v>
      </c>
      <c r="J5221">
        <f>_xlfn.XLOOKUP($A5221,Load!$B:$B,Load!K:K,0,)</f>
        <v>0</v>
      </c>
      <c r="K5221">
        <f>_xlfn.XLOOKUP($A5221,Load!$B:$B,Load!L:L,0,)</f>
        <v>0</v>
      </c>
      <c r="L5221">
        <f>_xlfn.XLOOKUP($A5221,Load!$B:$B,Load!M:M,0,)</f>
        <v>0</v>
      </c>
    </row>
    <row r="5222" spans="1:12" x14ac:dyDescent="0.25">
      <c r="B5222">
        <f>_xlfn.XLOOKUP($A5222,Load!$B:$B,Load!C:C,0,)</f>
        <v>0</v>
      </c>
      <c r="C5222">
        <f>_xlfn.XLOOKUP($A5222,Load!$B:$B,Load!D:D,0,)</f>
        <v>0</v>
      </c>
      <c r="D5222">
        <f>_xlfn.XLOOKUP($A5222,Load!$B:$B,Load!E:E,0,)</f>
        <v>0</v>
      </c>
      <c r="E5222">
        <f>_xlfn.XLOOKUP($A5222,Load!$B:$B,Load!F:F,0,)</f>
        <v>0</v>
      </c>
      <c r="F5222">
        <f>_xlfn.XLOOKUP($A5222,Load!$B:$B,Load!G:G,0,)</f>
        <v>0</v>
      </c>
      <c r="G5222">
        <f>_xlfn.XLOOKUP($A5222,Load!$B:$B,Load!H:H,0,)</f>
        <v>0</v>
      </c>
      <c r="H5222">
        <f>_xlfn.XLOOKUP($A5222,Load!$B:$B,Load!I:I,0,)</f>
        <v>0</v>
      </c>
      <c r="I5222">
        <f>_xlfn.XLOOKUP($A5222,Load!$B:$B,Load!J:J,0,)</f>
        <v>0</v>
      </c>
      <c r="J5222">
        <f>_xlfn.XLOOKUP($A5222,Load!$B:$B,Load!K:K,0,)</f>
        <v>0</v>
      </c>
      <c r="K5222">
        <f>_xlfn.XLOOKUP($A5222,Load!$B:$B,Load!L:L,0,)</f>
        <v>0</v>
      </c>
      <c r="L5222">
        <f>_xlfn.XLOOKUP($A5222,Load!$B:$B,Load!M:M,0,)</f>
        <v>0</v>
      </c>
    </row>
    <row r="5223" spans="1:12" x14ac:dyDescent="0.25">
      <c r="B5223">
        <f>_xlfn.XLOOKUP($A5223,Load!$B:$B,Load!C:C,0,)</f>
        <v>0</v>
      </c>
      <c r="C5223">
        <f>_xlfn.XLOOKUP($A5223,Load!$B:$B,Load!D:D,0,)</f>
        <v>0</v>
      </c>
      <c r="D5223">
        <f>_xlfn.XLOOKUP($A5223,Load!$B:$B,Load!E:E,0,)</f>
        <v>0</v>
      </c>
      <c r="E5223">
        <f>_xlfn.XLOOKUP($A5223,Load!$B:$B,Load!F:F,0,)</f>
        <v>0</v>
      </c>
      <c r="F5223">
        <f>_xlfn.XLOOKUP($A5223,Load!$B:$B,Load!G:G,0,)</f>
        <v>0</v>
      </c>
      <c r="G5223">
        <f>_xlfn.XLOOKUP($A5223,Load!$B:$B,Load!H:H,0,)</f>
        <v>0</v>
      </c>
      <c r="H5223">
        <f>_xlfn.XLOOKUP($A5223,Load!$B:$B,Load!I:I,0,)</f>
        <v>0</v>
      </c>
      <c r="I5223">
        <f>_xlfn.XLOOKUP($A5223,Load!$B:$B,Load!J:J,0,)</f>
        <v>0</v>
      </c>
      <c r="J5223">
        <f>_xlfn.XLOOKUP($A5223,Load!$B:$B,Load!K:K,0,)</f>
        <v>0</v>
      </c>
      <c r="K5223">
        <f>_xlfn.XLOOKUP($A5223,Load!$B:$B,Load!L:L,0,)</f>
        <v>0</v>
      </c>
      <c r="L5223">
        <f>_xlfn.XLOOKUP($A5223,Load!$B:$B,Load!M:M,0,)</f>
        <v>0</v>
      </c>
    </row>
    <row r="5224" spans="1:12" x14ac:dyDescent="0.25">
      <c r="B5224">
        <f>_xlfn.XLOOKUP($A5224,Load!$B:$B,Load!C:C,0,)</f>
        <v>0</v>
      </c>
      <c r="C5224">
        <f>_xlfn.XLOOKUP($A5224,Load!$B:$B,Load!D:D,0,)</f>
        <v>0</v>
      </c>
      <c r="D5224">
        <f>_xlfn.XLOOKUP($A5224,Load!$B:$B,Load!E:E,0,)</f>
        <v>0</v>
      </c>
      <c r="E5224">
        <f>_xlfn.XLOOKUP($A5224,Load!$B:$B,Load!F:F,0,)</f>
        <v>0</v>
      </c>
      <c r="F5224">
        <f>_xlfn.XLOOKUP($A5224,Load!$B:$B,Load!G:G,0,)</f>
        <v>0</v>
      </c>
      <c r="G5224">
        <f>_xlfn.XLOOKUP($A5224,Load!$B:$B,Load!H:H,0,)</f>
        <v>0</v>
      </c>
      <c r="H5224">
        <f>_xlfn.XLOOKUP($A5224,Load!$B:$B,Load!I:I,0,)</f>
        <v>0</v>
      </c>
      <c r="I5224">
        <f>_xlfn.XLOOKUP($A5224,Load!$B:$B,Load!J:J,0,)</f>
        <v>0</v>
      </c>
      <c r="J5224">
        <f>_xlfn.XLOOKUP($A5224,Load!$B:$B,Load!K:K,0,)</f>
        <v>0</v>
      </c>
      <c r="K5224">
        <f>_xlfn.XLOOKUP($A5224,Load!$B:$B,Load!L:L,0,)</f>
        <v>0</v>
      </c>
      <c r="L5224">
        <f>_xlfn.XLOOKUP($A5224,Load!$B:$B,Load!M:M,0,)</f>
        <v>0</v>
      </c>
    </row>
    <row r="5225" spans="1:12" x14ac:dyDescent="0.25">
      <c r="B5225">
        <f>_xlfn.XLOOKUP($A5225,Load!$B:$B,Load!C:C,0,)</f>
        <v>0</v>
      </c>
      <c r="C5225">
        <f>_xlfn.XLOOKUP($A5225,Load!$B:$B,Load!D:D,0,)</f>
        <v>0</v>
      </c>
      <c r="D5225">
        <f>_xlfn.XLOOKUP($A5225,Load!$B:$B,Load!E:E,0,)</f>
        <v>0</v>
      </c>
      <c r="E5225">
        <f>_xlfn.XLOOKUP($A5225,Load!$B:$B,Load!F:F,0,)</f>
        <v>0</v>
      </c>
      <c r="F5225">
        <f>_xlfn.XLOOKUP($A5225,Load!$B:$B,Load!G:G,0,)</f>
        <v>0</v>
      </c>
      <c r="G5225">
        <f>_xlfn.XLOOKUP($A5225,Load!$B:$B,Load!H:H,0,)</f>
        <v>0</v>
      </c>
      <c r="H5225">
        <f>_xlfn.XLOOKUP($A5225,Load!$B:$B,Load!I:I,0,)</f>
        <v>0</v>
      </c>
      <c r="I5225">
        <f>_xlfn.XLOOKUP($A5225,Load!$B:$B,Load!J:J,0,)</f>
        <v>0</v>
      </c>
      <c r="J5225">
        <f>_xlfn.XLOOKUP($A5225,Load!$B:$B,Load!K:K,0,)</f>
        <v>0</v>
      </c>
      <c r="K5225">
        <f>_xlfn.XLOOKUP($A5225,Load!$B:$B,Load!L:L,0,)</f>
        <v>0</v>
      </c>
      <c r="L5225">
        <f>_xlfn.XLOOKUP($A5225,Load!$B:$B,Load!M:M,0,)</f>
        <v>0</v>
      </c>
    </row>
    <row r="5226" spans="1:12" x14ac:dyDescent="0.25">
      <c r="A5226" t="s">
        <v>184</v>
      </c>
      <c r="B5226" t="str">
        <f>_xlfn.XLOOKUP($A5226,Load!$B:$B,Load!C:C,0,)</f>
        <v>Mars Variety Pack</v>
      </c>
      <c r="C5226" t="str">
        <f>_xlfn.XLOOKUP($A5226,Load!$B:$B,Load!D:D,0,)</f>
        <v>Mix of Chocolate and Non-Chocolate Candy</v>
      </c>
      <c r="D5226" t="str">
        <f>_xlfn.XLOOKUP($A5226,Load!$B:$B,Load!E:E,0,)</f>
        <v>Variety / Mixed Flavors (Fruity, Sour, Seasonal Flavors)</v>
      </c>
      <c r="E5226" t="str">
        <f>_xlfn.XLOOKUP($A5226,Load!$B:$B,Load!F:F,0,)</f>
        <v>Mixed / Combo Packs (Gummy, Chewy, Taffy, etc.)</v>
      </c>
      <c r="F5226" t="str">
        <f>_xlfn.XLOOKUP($A5226,Load!$B:$B,Load!G:G,0,)</f>
        <v>Large Multipack (More than 80 ct)</v>
      </c>
      <c r="G5226" t="str">
        <f>_xlfn.XLOOKUP($A5226,Load!$B:$B,Load!H:H,0,)</f>
        <v>Stand-Up Bag</v>
      </c>
      <c r="H5226" t="str">
        <f>_xlfn.XLOOKUP($A5226,Load!$B:$B,Load!I:I,0,)</f>
        <v>Everyday Candy Shapes (like Original, Gummy bear, Fruit, Jewels, etc.)</v>
      </c>
      <c r="I5226" t="str">
        <f>_xlfn.XLOOKUP($A5226,Load!$B:$B,Load!J:J,0,)</f>
        <v>Seasonal Graphics (Like Bat, Ghost, Pumpkin, Fall Leaves, Eyeballs, etc.)</v>
      </c>
      <c r="J5226" t="str">
        <f>_xlfn.XLOOKUP($A5226,Load!$B:$B,Load!K:K,0,)</f>
        <v>Fun Size / Treat Size</v>
      </c>
      <c r="K5226" t="str">
        <f>_xlfn.XLOOKUP($A5226,Load!$B:$B,Load!L:L,0,)</f>
        <v>Regular/Original Wrapping</v>
      </c>
      <c r="L5226" t="str">
        <f>_xlfn.XLOOKUP($A5226,Load!$B:$B,Load!M:M,0,)</f>
        <v>Multiple Brands / Variety Flavors or Form</v>
      </c>
    </row>
    <row r="5227" spans="1:12" x14ac:dyDescent="0.25">
      <c r="A5227" t="s">
        <v>131</v>
      </c>
      <c r="B5227" t="str">
        <f>_xlfn.XLOOKUP($A5227,Load!$B:$B,Load!C:C,0,)</f>
        <v>Hershey's</v>
      </c>
      <c r="C5227" t="str">
        <f>_xlfn.XLOOKUP($A5227,Load!$B:$B,Load!D:D,0,)</f>
        <v>Mix of Chocolate and Non-Chocolate Candy</v>
      </c>
      <c r="D5227" t="str">
        <f>_xlfn.XLOOKUP($A5227,Load!$B:$B,Load!E:E,0,)</f>
        <v>Variety / Mixed Flavors (Fruity, Sour, Seasonal Flavors)</v>
      </c>
      <c r="E5227" t="str">
        <f>_xlfn.XLOOKUP($A5227,Load!$B:$B,Load!F:F,0,)</f>
        <v>Mixed / Combo Packs (Gummy, Chewy, Taffy, etc.)</v>
      </c>
      <c r="F5227" t="str">
        <f>_xlfn.XLOOKUP($A5227,Load!$B:$B,Load!G:G,0,)</f>
        <v>Large Multipack (More than 80 ct)</v>
      </c>
      <c r="G5227" t="str">
        <f>_xlfn.XLOOKUP($A5227,Load!$B:$B,Load!H:H,0,)</f>
        <v>Stand-Up Bag</v>
      </c>
      <c r="H5227" t="str">
        <f>_xlfn.XLOOKUP($A5227,Load!$B:$B,Load!I:I,0,)</f>
        <v>Everyday Candy Shapes (like Original, Gummy bear, Fruit, Jewels, etc.)</v>
      </c>
      <c r="I5227" t="str">
        <f>_xlfn.XLOOKUP($A5227,Load!$B:$B,Load!J:J,0,)</f>
        <v>Seasonal Graphics (Like Bat, Ghost, Pumpkin, Fall Leaves, Eyeballs, etc.)</v>
      </c>
      <c r="J5227" t="str">
        <f>_xlfn.XLOOKUP($A5227,Load!$B:$B,Load!K:K,0,)</f>
        <v>Fun Size / Treat Size</v>
      </c>
      <c r="K5227" t="str">
        <f>_xlfn.XLOOKUP($A5227,Load!$B:$B,Load!L:L,0,)</f>
        <v>Regular/Original Wrapping</v>
      </c>
      <c r="L5227" t="str">
        <f>_xlfn.XLOOKUP($A5227,Load!$B:$B,Load!M:M,0,)</f>
        <v>Multiple Brands / Variety Flavors or Form</v>
      </c>
    </row>
    <row r="5228" spans="1:12" x14ac:dyDescent="0.25">
      <c r="A5228" t="s">
        <v>236</v>
      </c>
      <c r="B5228" t="str">
        <f>_xlfn.XLOOKUP($A5228,Load!$B:$B,Load!C:C,0,)</f>
        <v>Nerds</v>
      </c>
      <c r="C5228" t="str">
        <f>_xlfn.XLOOKUP($A5228,Load!$B:$B,Load!D:D,0,)</f>
        <v>Non-Chocolate Candy Only</v>
      </c>
      <c r="D5228" t="str">
        <f>_xlfn.XLOOKUP($A5228,Load!$B:$B,Load!E:E,0,)</f>
        <v>Variety / Mixed Flavors (Fruity, Sour, Seasonal Flavors)</v>
      </c>
      <c r="E5228" t="str">
        <f>_xlfn.XLOOKUP($A5228,Load!$B:$B,Load!F:F,0,)</f>
        <v>Candy Pieces / Bites</v>
      </c>
      <c r="F5228" t="str">
        <f>_xlfn.XLOOKUP($A5228,Load!$B:$B,Load!G:G,0,)</f>
        <v>Medium Multipack (40–80 ct)</v>
      </c>
      <c r="G5228" t="str">
        <f>_xlfn.XLOOKUP($A5228,Load!$B:$B,Load!H:H,0,)</f>
        <v>Stand-Up Bag</v>
      </c>
      <c r="H5228" t="str">
        <f>_xlfn.XLOOKUP($A5228,Load!$B:$B,Load!I:I,0,)</f>
        <v>Everyday Candy Shapes (like Original, Gummy bear, Fruit, Jewels, etc.)</v>
      </c>
      <c r="I5228" t="str">
        <f>_xlfn.XLOOKUP($A5228,Load!$B:$B,Load!J:J,0,)</f>
        <v>Seasonal Graphics (Like Bat, Ghost, Pumpkin, Fall Leaves, Eyeballs, etc.)</v>
      </c>
      <c r="J5228" t="str">
        <f>_xlfn.XLOOKUP($A5228,Load!$B:$B,Load!K:K,0,)</f>
        <v>Small Pieces (Tiny bite size candies)</v>
      </c>
      <c r="K5228" t="str">
        <f>_xlfn.XLOOKUP($A5228,Load!$B:$B,Load!L:L,0,)</f>
        <v>Unwrapped</v>
      </c>
      <c r="L5228" t="str">
        <f>_xlfn.XLOOKUP($A5228,Load!$B:$B,Load!M:M,0,)</f>
        <v>Single Brand / Variety Flavors or Form</v>
      </c>
    </row>
    <row r="5229" spans="1:12" x14ac:dyDescent="0.25">
      <c r="A5229" t="s">
        <v>57</v>
      </c>
      <c r="B5229" t="str">
        <f>_xlfn.XLOOKUP($A5229,Load!$B:$B,Load!C:C,0,)</f>
        <v>Brach's</v>
      </c>
      <c r="C5229" t="str">
        <f>_xlfn.XLOOKUP($A5229,Load!$B:$B,Load!D:D,0,)</f>
        <v>Non-Chocolate Candy Only</v>
      </c>
      <c r="D5229" t="str">
        <f>_xlfn.XLOOKUP($A5229,Load!$B:$B,Load!E:E,0,)</f>
        <v>Fall / Seasonal Flavors (pumpkin spice, caramel apple, candy corn)</v>
      </c>
      <c r="E5229" t="str">
        <f>_xlfn.XLOOKUP($A5229,Load!$B:$B,Load!F:F,0,)</f>
        <v>Candy Pieces / Bites</v>
      </c>
      <c r="F5229" t="str">
        <f>_xlfn.XLOOKUP($A5229,Load!$B:$B,Load!G:G,0,)</f>
        <v>Medium Multipack (40–80 ct)</v>
      </c>
      <c r="G5229" t="str">
        <f>_xlfn.XLOOKUP($A5229,Load!$B:$B,Load!H:H,0,)</f>
        <v>Laydown Bag</v>
      </c>
      <c r="H5229" t="str">
        <f>_xlfn.XLOOKUP($A5229,Load!$B:$B,Load!I:I,0,)</f>
        <v>Seasonal Shapes (like pumpkins, candy corn, ghost, bats, etc.)</v>
      </c>
      <c r="I5229" t="str">
        <f>_xlfn.XLOOKUP($A5229,Load!$B:$B,Load!J:J,0,)</f>
        <v>Seasonal Graphics (Like Bat, Ghost, Pumpkin, Fall Leaves, Eyeballs, etc.)</v>
      </c>
      <c r="J5229" t="str">
        <f>_xlfn.XLOOKUP($A5229,Load!$B:$B,Load!K:K,0,)</f>
        <v>Small Pieces (Tiny bite size candies)</v>
      </c>
      <c r="K5229" t="str">
        <f>_xlfn.XLOOKUP($A5229,Load!$B:$B,Load!L:L,0,)</f>
        <v>Unwrapped</v>
      </c>
      <c r="L5229" t="str">
        <f>_xlfn.XLOOKUP($A5229,Load!$B:$B,Load!M:M,0,)</f>
        <v>Single Brand / Single Flavor or Form</v>
      </c>
    </row>
    <row r="5230" spans="1:12" x14ac:dyDescent="0.25">
      <c r="B5230">
        <f>_xlfn.XLOOKUP($A5230,Load!$B:$B,Load!C:C,0,)</f>
        <v>0</v>
      </c>
      <c r="C5230">
        <f>_xlfn.XLOOKUP($A5230,Load!$B:$B,Load!D:D,0,)</f>
        <v>0</v>
      </c>
      <c r="D5230">
        <f>_xlfn.XLOOKUP($A5230,Load!$B:$B,Load!E:E,0,)</f>
        <v>0</v>
      </c>
      <c r="E5230">
        <f>_xlfn.XLOOKUP($A5230,Load!$B:$B,Load!F:F,0,)</f>
        <v>0</v>
      </c>
      <c r="F5230">
        <f>_xlfn.XLOOKUP($A5230,Load!$B:$B,Load!G:G,0,)</f>
        <v>0</v>
      </c>
      <c r="G5230">
        <f>_xlfn.XLOOKUP($A5230,Load!$B:$B,Load!H:H,0,)</f>
        <v>0</v>
      </c>
      <c r="H5230">
        <f>_xlfn.XLOOKUP($A5230,Load!$B:$B,Load!I:I,0,)</f>
        <v>0</v>
      </c>
      <c r="I5230">
        <f>_xlfn.XLOOKUP($A5230,Load!$B:$B,Load!J:J,0,)</f>
        <v>0</v>
      </c>
      <c r="J5230">
        <f>_xlfn.XLOOKUP($A5230,Load!$B:$B,Load!K:K,0,)</f>
        <v>0</v>
      </c>
      <c r="K5230">
        <f>_xlfn.XLOOKUP($A5230,Load!$B:$B,Load!L:L,0,)</f>
        <v>0</v>
      </c>
      <c r="L5230">
        <f>_xlfn.XLOOKUP($A5230,Load!$B:$B,Load!M:M,0,)</f>
        <v>0</v>
      </c>
    </row>
    <row r="5231" spans="1:12" x14ac:dyDescent="0.25">
      <c r="B5231">
        <f>_xlfn.XLOOKUP($A5231,Load!$B:$B,Load!C:C,0,)</f>
        <v>0</v>
      </c>
      <c r="C5231">
        <f>_xlfn.XLOOKUP($A5231,Load!$B:$B,Load!D:D,0,)</f>
        <v>0</v>
      </c>
      <c r="D5231">
        <f>_xlfn.XLOOKUP($A5231,Load!$B:$B,Load!E:E,0,)</f>
        <v>0</v>
      </c>
      <c r="E5231">
        <f>_xlfn.XLOOKUP($A5231,Load!$B:$B,Load!F:F,0,)</f>
        <v>0</v>
      </c>
      <c r="F5231">
        <f>_xlfn.XLOOKUP($A5231,Load!$B:$B,Load!G:G,0,)</f>
        <v>0</v>
      </c>
      <c r="G5231">
        <f>_xlfn.XLOOKUP($A5231,Load!$B:$B,Load!H:H,0,)</f>
        <v>0</v>
      </c>
      <c r="H5231">
        <f>_xlfn.XLOOKUP($A5231,Load!$B:$B,Load!I:I,0,)</f>
        <v>0</v>
      </c>
      <c r="I5231">
        <f>_xlfn.XLOOKUP($A5231,Load!$B:$B,Load!J:J,0,)</f>
        <v>0</v>
      </c>
      <c r="J5231">
        <f>_xlfn.XLOOKUP($A5231,Load!$B:$B,Load!K:K,0,)</f>
        <v>0</v>
      </c>
      <c r="K5231">
        <f>_xlfn.XLOOKUP($A5231,Load!$B:$B,Load!L:L,0,)</f>
        <v>0</v>
      </c>
      <c r="L5231">
        <f>_xlfn.XLOOKUP($A5231,Load!$B:$B,Load!M:M,0,)</f>
        <v>0</v>
      </c>
    </row>
    <row r="5232" spans="1:12" x14ac:dyDescent="0.25">
      <c r="A5232" t="s">
        <v>146</v>
      </c>
      <c r="B5232" t="str">
        <f>_xlfn.XLOOKUP($A5232,Load!$B:$B,Load!C:C,0,)</f>
        <v>Hi Chew</v>
      </c>
      <c r="C5232" t="str">
        <f>_xlfn.XLOOKUP($A5232,Load!$B:$B,Load!D:D,0,)</f>
        <v>Non-Chocolate Candy Only</v>
      </c>
      <c r="D5232" t="str">
        <f>_xlfn.XLOOKUP($A5232,Load!$B:$B,Load!E:E,0,)</f>
        <v>Fruit Flavor (Cherry, Grape, Apple, Citrus, Tropical Fruit)</v>
      </c>
      <c r="E5232" t="str">
        <f>_xlfn.XLOOKUP($A5232,Load!$B:$B,Load!F:F,0,)</f>
        <v>Gummy</v>
      </c>
      <c r="F5232" t="str">
        <f>_xlfn.XLOOKUP($A5232,Load!$B:$B,Load!G:G,0,)</f>
        <v>Medium Multipack (40–80 ct)</v>
      </c>
      <c r="G5232" t="str">
        <f>_xlfn.XLOOKUP($A5232,Load!$B:$B,Load!H:H,0,)</f>
        <v>Stand-Up Bag</v>
      </c>
      <c r="H5232" t="str">
        <f>_xlfn.XLOOKUP($A5232,Load!$B:$B,Load!I:I,0,)</f>
        <v>Everyday Candy Shapes (like Original, Gummy bear, Fruit, Jewels, etc.)</v>
      </c>
      <c r="I5232" t="str">
        <f>_xlfn.XLOOKUP($A5232,Load!$B:$B,Load!J:J,0,)</f>
        <v>Seasonal Graphics (Like Bat, Ghost, Pumpkin, Fall Leaves, Eyeballs, etc.)</v>
      </c>
      <c r="J5232" t="str">
        <f>_xlfn.XLOOKUP($A5232,Load!$B:$B,Load!K:K,0,)</f>
        <v>Fun Size / Treat Size</v>
      </c>
      <c r="K5232" t="str">
        <f>_xlfn.XLOOKUP($A5232,Load!$B:$B,Load!L:L,0,)</f>
        <v>Regular/Original Wrapping</v>
      </c>
      <c r="L5232" t="str">
        <f>_xlfn.XLOOKUP($A5232,Load!$B:$B,Load!M:M,0,)</f>
        <v>Multiple Brands / Variety Flavors or Form</v>
      </c>
    </row>
    <row r="5233" spans="1:12" x14ac:dyDescent="0.25">
      <c r="A5233" t="s">
        <v>120</v>
      </c>
      <c r="B5233" t="str">
        <f>_xlfn.XLOOKUP($A5233,Load!$B:$B,Load!C:C,0,)</f>
        <v>HARIBO</v>
      </c>
      <c r="C5233" t="str">
        <f>_xlfn.XLOOKUP($A5233,Load!$B:$B,Load!D:D,0,)</f>
        <v>Non-Chocolate Candy Only</v>
      </c>
      <c r="D5233" t="str">
        <f>_xlfn.XLOOKUP($A5233,Load!$B:$B,Load!E:E,0,)</f>
        <v>Variety / Mixed Flavors (Fruity, Sour, Seasonal Flavors)</v>
      </c>
      <c r="E5233" t="str">
        <f>_xlfn.XLOOKUP($A5233,Load!$B:$B,Load!F:F,0,)</f>
        <v>Mixed / Combo Packs (Gummy, Chewy, Taffy, etc.)</v>
      </c>
      <c r="F5233" t="str">
        <f>_xlfn.XLOOKUP($A5233,Load!$B:$B,Load!G:G,0,)</f>
        <v>Medium Multipack (40–80 ct)</v>
      </c>
      <c r="G5233" t="str">
        <f>_xlfn.XLOOKUP($A5233,Load!$B:$B,Load!H:H,0,)</f>
        <v>Laydown Bag</v>
      </c>
      <c r="H5233" t="str">
        <f>_xlfn.XLOOKUP($A5233,Load!$B:$B,Load!I:I,0,)</f>
        <v>Seasonal Shapes (like pumpkins, candy corn, ghost, bats, etc.)</v>
      </c>
      <c r="I5233" t="str">
        <f>_xlfn.XLOOKUP($A5233,Load!$B:$B,Load!J:J,0,)</f>
        <v>Seasonal Graphics (Like Bat, Ghost, Pumpkin, Fall Leaves, Eyeballs, etc.)</v>
      </c>
      <c r="J5233" t="str">
        <f>_xlfn.XLOOKUP($A5233,Load!$B:$B,Load!K:K,0,)</f>
        <v>Small Pieces (Tiny bite size candies)</v>
      </c>
      <c r="K5233" t="str">
        <f>_xlfn.XLOOKUP($A5233,Load!$B:$B,Load!L:L,0,)</f>
        <v>Regular/Original Wrapping</v>
      </c>
      <c r="L5233" t="str">
        <f>_xlfn.XLOOKUP($A5233,Load!$B:$B,Load!M:M,0,)</f>
        <v>Single Brand / Variety Flavors or Form</v>
      </c>
    </row>
    <row r="5234" spans="1:12" x14ac:dyDescent="0.25">
      <c r="A5234" t="s">
        <v>186</v>
      </c>
      <c r="B5234" t="str">
        <f>_xlfn.XLOOKUP($A5234,Load!$B:$B,Load!C:C,0,)</f>
        <v>Mars Variety Pack</v>
      </c>
      <c r="C5234" t="str">
        <f>_xlfn.XLOOKUP($A5234,Load!$B:$B,Load!D:D,0,)</f>
        <v>Mix of Chocolate and Non-Chocolate Candy</v>
      </c>
      <c r="D5234" t="str">
        <f>_xlfn.XLOOKUP($A5234,Load!$B:$B,Load!E:E,0,)</f>
        <v>Variety / Mixed Flavors (Fruity, Sour, Seasonal Flavors)</v>
      </c>
      <c r="E5234" t="str">
        <f>_xlfn.XLOOKUP($A5234,Load!$B:$B,Load!F:F,0,)</f>
        <v>Mixed / Combo Packs (Gummy, Chewy, Taffy, etc.)</v>
      </c>
      <c r="F5234" t="str">
        <f>_xlfn.XLOOKUP($A5234,Load!$B:$B,Load!G:G,0,)</f>
        <v>Large Multipack (More than 80 ct)</v>
      </c>
      <c r="G5234" t="str">
        <f>_xlfn.XLOOKUP($A5234,Load!$B:$B,Load!H:H,0,)</f>
        <v>Stand-Up Bag</v>
      </c>
      <c r="H5234" t="str">
        <f>_xlfn.XLOOKUP($A5234,Load!$B:$B,Load!I:I,0,)</f>
        <v>Everyday Candy Shapes (like Original, Gummy bear, Fruit, Jewels, etc.)</v>
      </c>
      <c r="I5234" t="str">
        <f>_xlfn.XLOOKUP($A5234,Load!$B:$B,Load!J:J,0,)</f>
        <v>Seasonal Graphics (Like Bat, Ghost, Pumpkin, Fall Leaves, Eyeballs, etc.)</v>
      </c>
      <c r="J5234" t="str">
        <f>_xlfn.XLOOKUP($A5234,Load!$B:$B,Load!K:K,0,)</f>
        <v>Fun Size / Treat Size</v>
      </c>
      <c r="K5234" t="str">
        <f>_xlfn.XLOOKUP($A5234,Load!$B:$B,Load!L:L,0,)</f>
        <v>Regular/Original Wrapping</v>
      </c>
      <c r="L5234" t="str">
        <f>_xlfn.XLOOKUP($A5234,Load!$B:$B,Load!M:M,0,)</f>
        <v>Multiple Brands / Variety Flavors or Form</v>
      </c>
    </row>
    <row r="5235" spans="1:12" x14ac:dyDescent="0.25">
      <c r="A5235" t="s">
        <v>175</v>
      </c>
      <c r="B5235" t="str">
        <f>_xlfn.XLOOKUP($A5235,Load!$B:$B,Load!C:C,0,)</f>
        <v>Mars Variety Pack</v>
      </c>
      <c r="C5235" t="str">
        <f>_xlfn.XLOOKUP($A5235,Load!$B:$B,Load!D:D,0,)</f>
        <v>Mix of Chocolate and Non-Chocolate Candy</v>
      </c>
      <c r="D5235" t="str">
        <f>_xlfn.XLOOKUP($A5235,Load!$B:$B,Load!E:E,0,)</f>
        <v>Variety / Mixed Flavors (Fruity, Sour, Seasonal Flavors)</v>
      </c>
      <c r="E5235" t="str">
        <f>_xlfn.XLOOKUP($A5235,Load!$B:$B,Load!F:F,0,)</f>
        <v>Mixed / Combo Packs (Gummy, Chewy, Taffy, etc.)</v>
      </c>
      <c r="F5235" t="str">
        <f>_xlfn.XLOOKUP($A5235,Load!$B:$B,Load!G:G,0,)</f>
        <v>Large Multipack (More than 80 ct)</v>
      </c>
      <c r="G5235" t="str">
        <f>_xlfn.XLOOKUP($A5235,Load!$B:$B,Load!H:H,0,)</f>
        <v>Stand-Up Bag</v>
      </c>
      <c r="H5235" t="str">
        <f>_xlfn.XLOOKUP($A5235,Load!$B:$B,Load!I:I,0,)</f>
        <v>Everyday Candy Shapes (like Original, Gummy bear, Fruit, Jewels, etc.)</v>
      </c>
      <c r="I5235" t="str">
        <f>_xlfn.XLOOKUP($A5235,Load!$B:$B,Load!J:J,0,)</f>
        <v>Seasonal Graphics (Like Bat, Ghost, Pumpkin, Fall Leaves, Eyeballs, etc.)</v>
      </c>
      <c r="J5235" t="str">
        <f>_xlfn.XLOOKUP($A5235,Load!$B:$B,Load!K:K,0,)</f>
        <v xml:space="preserve">Variety Candy Sizes </v>
      </c>
      <c r="K5235" t="str">
        <f>_xlfn.XLOOKUP($A5235,Load!$B:$B,Load!L:L,0,)</f>
        <v>Regular/Original Wrapping</v>
      </c>
      <c r="L5235" t="str">
        <f>_xlfn.XLOOKUP($A5235,Load!$B:$B,Load!M:M,0,)</f>
        <v>Multiple Brands / Variety Flavors or Form</v>
      </c>
    </row>
    <row r="5236" spans="1:12" x14ac:dyDescent="0.25">
      <c r="A5236" t="s">
        <v>139</v>
      </c>
      <c r="B5236" t="str">
        <f>_xlfn.XLOOKUP($A5236,Load!$B:$B,Load!C:C,0,)</f>
        <v>Hershey's Variety Pack + Haribo</v>
      </c>
      <c r="C5236" t="str">
        <f>_xlfn.XLOOKUP($A5236,Load!$B:$B,Load!D:D,0,)</f>
        <v>Mix of Chocolate and Non-Chocolate Candy</v>
      </c>
      <c r="D5236" t="str">
        <f>_xlfn.XLOOKUP($A5236,Load!$B:$B,Load!E:E,0,)</f>
        <v>Variety / Mixed Flavors (Fruity, Sour, Seasonal Flavors)</v>
      </c>
      <c r="E5236" t="str">
        <f>_xlfn.XLOOKUP($A5236,Load!$B:$B,Load!F:F,0,)</f>
        <v>Mixed / Combo Packs (Gummy, Chewy, Taffy, etc.)</v>
      </c>
      <c r="F5236" t="str">
        <f>_xlfn.XLOOKUP($A5236,Load!$B:$B,Load!G:G,0,)</f>
        <v>Large Multipack (More than 80 ct)</v>
      </c>
      <c r="G5236" t="str">
        <f>_xlfn.XLOOKUP($A5236,Load!$B:$B,Load!H:H,0,)</f>
        <v>Stand-Up Bag</v>
      </c>
      <c r="H5236" t="str">
        <f>_xlfn.XLOOKUP($A5236,Load!$B:$B,Load!I:I,0,)</f>
        <v>Everyday Candy Shapes (like Original, Gummy bear, Fruit, Jewels, etc.)</v>
      </c>
      <c r="I5236" t="str">
        <f>_xlfn.XLOOKUP($A5236,Load!$B:$B,Load!J:J,0,)</f>
        <v>Seasonal Graphics (Like Bat, Ghost, Pumpkin, Fall Leaves, Eyeballs, etc.)</v>
      </c>
      <c r="J5236" t="str">
        <f>_xlfn.XLOOKUP($A5236,Load!$B:$B,Load!K:K,0,)</f>
        <v>Fun Size / Treat Size</v>
      </c>
      <c r="K5236" t="str">
        <f>_xlfn.XLOOKUP($A5236,Load!$B:$B,Load!L:L,0,)</f>
        <v>Regular/Original Wrapping</v>
      </c>
      <c r="L5236" t="str">
        <f>_xlfn.XLOOKUP($A5236,Load!$B:$B,Load!M:M,0,)</f>
        <v>Multiple Brands / Variety Flavors or Form</v>
      </c>
    </row>
    <row r="5237" spans="1:12" x14ac:dyDescent="0.25">
      <c r="B5237">
        <f>_xlfn.XLOOKUP($A5237,Load!$B:$B,Load!C:C,0,)</f>
        <v>0</v>
      </c>
      <c r="C5237">
        <f>_xlfn.XLOOKUP($A5237,Load!$B:$B,Load!D:D,0,)</f>
        <v>0</v>
      </c>
      <c r="D5237">
        <f>_xlfn.XLOOKUP($A5237,Load!$B:$B,Load!E:E,0,)</f>
        <v>0</v>
      </c>
      <c r="E5237">
        <f>_xlfn.XLOOKUP($A5237,Load!$B:$B,Load!F:F,0,)</f>
        <v>0</v>
      </c>
      <c r="F5237">
        <f>_xlfn.XLOOKUP($A5237,Load!$B:$B,Load!G:G,0,)</f>
        <v>0</v>
      </c>
      <c r="G5237">
        <f>_xlfn.XLOOKUP($A5237,Load!$B:$B,Load!H:H,0,)</f>
        <v>0</v>
      </c>
      <c r="H5237">
        <f>_xlfn.XLOOKUP($A5237,Load!$B:$B,Load!I:I,0,)</f>
        <v>0</v>
      </c>
      <c r="I5237">
        <f>_xlfn.XLOOKUP($A5237,Load!$B:$B,Load!J:J,0,)</f>
        <v>0</v>
      </c>
      <c r="J5237">
        <f>_xlfn.XLOOKUP($A5237,Load!$B:$B,Load!K:K,0,)</f>
        <v>0</v>
      </c>
      <c r="K5237">
        <f>_xlfn.XLOOKUP($A5237,Load!$B:$B,Load!L:L,0,)</f>
        <v>0</v>
      </c>
      <c r="L5237">
        <f>_xlfn.XLOOKUP($A5237,Load!$B:$B,Load!M:M,0,)</f>
        <v>0</v>
      </c>
    </row>
    <row r="5238" spans="1:12" x14ac:dyDescent="0.25">
      <c r="B5238">
        <f>_xlfn.XLOOKUP($A5238,Load!$B:$B,Load!C:C,0,)</f>
        <v>0</v>
      </c>
      <c r="C5238">
        <f>_xlfn.XLOOKUP($A5238,Load!$B:$B,Load!D:D,0,)</f>
        <v>0</v>
      </c>
      <c r="D5238">
        <f>_xlfn.XLOOKUP($A5238,Load!$B:$B,Load!E:E,0,)</f>
        <v>0</v>
      </c>
      <c r="E5238">
        <f>_xlfn.XLOOKUP($A5238,Load!$B:$B,Load!F:F,0,)</f>
        <v>0</v>
      </c>
      <c r="F5238">
        <f>_xlfn.XLOOKUP($A5238,Load!$B:$B,Load!G:G,0,)</f>
        <v>0</v>
      </c>
      <c r="G5238">
        <f>_xlfn.XLOOKUP($A5238,Load!$B:$B,Load!H:H,0,)</f>
        <v>0</v>
      </c>
      <c r="H5238">
        <f>_xlfn.XLOOKUP($A5238,Load!$B:$B,Load!I:I,0,)</f>
        <v>0</v>
      </c>
      <c r="I5238">
        <f>_xlfn.XLOOKUP($A5238,Load!$B:$B,Load!J:J,0,)</f>
        <v>0</v>
      </c>
      <c r="J5238">
        <f>_xlfn.XLOOKUP($A5238,Load!$B:$B,Load!K:K,0,)</f>
        <v>0</v>
      </c>
      <c r="K5238">
        <f>_xlfn.XLOOKUP($A5238,Load!$B:$B,Load!L:L,0,)</f>
        <v>0</v>
      </c>
      <c r="L5238">
        <f>_xlfn.XLOOKUP($A5238,Load!$B:$B,Load!M:M,0,)</f>
        <v>0</v>
      </c>
    </row>
    <row r="5239" spans="1:12" x14ac:dyDescent="0.25">
      <c r="B5239">
        <f>_xlfn.XLOOKUP($A5239,Load!$B:$B,Load!C:C,0,)</f>
        <v>0</v>
      </c>
      <c r="C5239">
        <f>_xlfn.XLOOKUP($A5239,Load!$B:$B,Load!D:D,0,)</f>
        <v>0</v>
      </c>
      <c r="D5239">
        <f>_xlfn.XLOOKUP($A5239,Load!$B:$B,Load!E:E,0,)</f>
        <v>0</v>
      </c>
      <c r="E5239">
        <f>_xlfn.XLOOKUP($A5239,Load!$B:$B,Load!F:F,0,)</f>
        <v>0</v>
      </c>
      <c r="F5239">
        <f>_xlfn.XLOOKUP($A5239,Load!$B:$B,Load!G:G,0,)</f>
        <v>0</v>
      </c>
      <c r="G5239">
        <f>_xlfn.XLOOKUP($A5239,Load!$B:$B,Load!H:H,0,)</f>
        <v>0</v>
      </c>
      <c r="H5239">
        <f>_xlfn.XLOOKUP($A5239,Load!$B:$B,Load!I:I,0,)</f>
        <v>0</v>
      </c>
      <c r="I5239">
        <f>_xlfn.XLOOKUP($A5239,Load!$B:$B,Load!J:J,0,)</f>
        <v>0</v>
      </c>
      <c r="J5239">
        <f>_xlfn.XLOOKUP($A5239,Load!$B:$B,Load!K:K,0,)</f>
        <v>0</v>
      </c>
      <c r="K5239">
        <f>_xlfn.XLOOKUP($A5239,Load!$B:$B,Load!L:L,0,)</f>
        <v>0</v>
      </c>
      <c r="L5239">
        <f>_xlfn.XLOOKUP($A5239,Load!$B:$B,Load!M:M,0,)</f>
        <v>0</v>
      </c>
    </row>
    <row r="5240" spans="1:12" x14ac:dyDescent="0.25">
      <c r="A5240" t="s">
        <v>306</v>
      </c>
      <c r="B5240" t="str">
        <f>_xlfn.XLOOKUP($A5240,Load!$B:$B,Load!C:C,0,)</f>
        <v>Werther's Original</v>
      </c>
      <c r="C5240" t="str">
        <f>_xlfn.XLOOKUP($A5240,Load!$B:$B,Load!D:D,0,)</f>
        <v>Non-Chocolate Candy Only</v>
      </c>
      <c r="D5240" t="str">
        <f>_xlfn.XLOOKUP($A5240,Load!$B:$B,Load!E:E,0,)</f>
        <v>Fall / Seasonal Flavors (pumpkin spice, caramel apple, candy corn)</v>
      </c>
      <c r="E5240" t="str">
        <f>_xlfn.XLOOKUP($A5240,Load!$B:$B,Load!F:F,0,)</f>
        <v>Chewy</v>
      </c>
      <c r="F5240" t="str">
        <f>_xlfn.XLOOKUP($A5240,Load!$B:$B,Load!G:G,0,)</f>
        <v>Single Pack</v>
      </c>
      <c r="G5240" t="str">
        <f>_xlfn.XLOOKUP($A5240,Load!$B:$B,Load!H:H,0,)</f>
        <v>Stand-Up Bag</v>
      </c>
      <c r="H5240" t="str">
        <f>_xlfn.XLOOKUP($A5240,Load!$B:$B,Load!I:I,0,)</f>
        <v>Seasonal Shapes (like pumpkins, candy corn, ghost, bats, etc.)</v>
      </c>
      <c r="I5240" t="str">
        <f>_xlfn.XLOOKUP($A5240,Load!$B:$B,Load!J:J,0,)</f>
        <v>Seasonal Graphics (Like Bat, Ghost, Pumpkin, Fall Leaves, Eyeballs, etc.)</v>
      </c>
      <c r="J5240" t="str">
        <f>_xlfn.XLOOKUP($A5240,Load!$B:$B,Load!K:K,0,)</f>
        <v>Fun Size / Treat Size</v>
      </c>
      <c r="K5240" t="str">
        <f>_xlfn.XLOOKUP($A5240,Load!$B:$B,Load!L:L,0,)</f>
        <v>Regular/Original Wrapping</v>
      </c>
      <c r="L5240" t="str">
        <f>_xlfn.XLOOKUP($A5240,Load!$B:$B,Load!M:M,0,)</f>
        <v>Single Brand / Single Flavor or Form</v>
      </c>
    </row>
    <row r="5241" spans="1:12" x14ac:dyDescent="0.25">
      <c r="A5241" t="s">
        <v>305</v>
      </c>
      <c r="B5241" t="str">
        <f>_xlfn.XLOOKUP($A5241,Load!$B:$B,Load!C:C,0,)</f>
        <v>Werther's Original</v>
      </c>
      <c r="C5241" t="str">
        <f>_xlfn.XLOOKUP($A5241,Load!$B:$B,Load!D:D,0,)</f>
        <v>Non-Chocolate Candy Only</v>
      </c>
      <c r="D5241" t="str">
        <f>_xlfn.XLOOKUP($A5241,Load!$B:$B,Load!E:E,0,)</f>
        <v>Fall / Seasonal Flavors (pumpkin spice, caramel apple, candy corn)</v>
      </c>
      <c r="E5241" t="str">
        <f>_xlfn.XLOOKUP($A5241,Load!$B:$B,Load!F:F,0,)</f>
        <v>Chewy</v>
      </c>
      <c r="F5241" t="str">
        <f>_xlfn.XLOOKUP($A5241,Load!$B:$B,Load!G:G,0,)</f>
        <v>Single Pack</v>
      </c>
      <c r="G5241" t="str">
        <f>_xlfn.XLOOKUP($A5241,Load!$B:$B,Load!H:H,0,)</f>
        <v>Stand-Up Bag</v>
      </c>
      <c r="H5241" t="str">
        <f>_xlfn.XLOOKUP($A5241,Load!$B:$B,Load!I:I,0,)</f>
        <v>Everyday Candy Shapes (like Original, Gummy bear, Fruit, Jewels, etc.)</v>
      </c>
      <c r="I5241" t="str">
        <f>_xlfn.XLOOKUP($A5241,Load!$B:$B,Load!J:J,0,)</f>
        <v>Seasonal Graphics (Like Bat, Ghost, Pumpkin, Fall Leaves, Eyeballs, etc.)</v>
      </c>
      <c r="J5241" t="str">
        <f>_xlfn.XLOOKUP($A5241,Load!$B:$B,Load!K:K,0,)</f>
        <v>Fun Size / Treat Size</v>
      </c>
      <c r="K5241" t="str">
        <f>_xlfn.XLOOKUP($A5241,Load!$B:$B,Load!L:L,0,)</f>
        <v>Regular/Original Wrapping</v>
      </c>
      <c r="L5241" t="str">
        <f>_xlfn.XLOOKUP($A5241,Load!$B:$B,Load!M:M,0,)</f>
        <v>Single Brand / Single Flavor or Form</v>
      </c>
    </row>
    <row r="5242" spans="1:12" x14ac:dyDescent="0.25">
      <c r="A5242" t="s">
        <v>281</v>
      </c>
      <c r="B5242" t="str">
        <f>_xlfn.XLOOKUP($A5242,Load!$B:$B,Load!C:C,0,)</f>
        <v>Sour Punch</v>
      </c>
      <c r="C5242" t="str">
        <f>_xlfn.XLOOKUP($A5242,Load!$B:$B,Load!D:D,0,)</f>
        <v>Non-Chocolate Candy Only</v>
      </c>
      <c r="D5242" t="str">
        <f>_xlfn.XLOOKUP($A5242,Load!$B:$B,Load!E:E,0,)</f>
        <v>Sour</v>
      </c>
      <c r="E5242" t="str">
        <f>_xlfn.XLOOKUP($A5242,Load!$B:$B,Load!F:F,0,)</f>
        <v>Chewy</v>
      </c>
      <c r="F5242" t="str">
        <f>_xlfn.XLOOKUP($A5242,Load!$B:$B,Load!G:G,0,)</f>
        <v>Single Pack</v>
      </c>
      <c r="G5242" t="str">
        <f>_xlfn.XLOOKUP($A5242,Load!$B:$B,Load!H:H,0,)</f>
        <v>Laydown Bag</v>
      </c>
      <c r="H5242" t="str">
        <f>_xlfn.XLOOKUP($A5242,Load!$B:$B,Load!I:I,0,)</f>
        <v>Everyday Candy Shapes (like Original, Gummy bear, Fruit, Jewels, etc.)</v>
      </c>
      <c r="I5242" t="str">
        <f>_xlfn.XLOOKUP($A5242,Load!$B:$B,Load!J:J,0,)</f>
        <v>Seasonal Graphics (Like Bat, Ghost, Pumpkin, Fall Leaves, Eyeballs, etc.)</v>
      </c>
      <c r="J5242" t="str">
        <f>_xlfn.XLOOKUP($A5242,Load!$B:$B,Load!K:K,0,)</f>
        <v>Fun Size / Treat Size</v>
      </c>
      <c r="K5242" t="str">
        <f>_xlfn.XLOOKUP($A5242,Load!$B:$B,Load!L:L,0,)</f>
        <v>Unwrapped</v>
      </c>
      <c r="L5242" t="str">
        <f>_xlfn.XLOOKUP($A5242,Load!$B:$B,Load!M:M,0,)</f>
        <v>Single Brand / Variety Flavors or Form</v>
      </c>
    </row>
    <row r="5243" spans="1:12" x14ac:dyDescent="0.25">
      <c r="A5243" t="s">
        <v>12</v>
      </c>
      <c r="B5243" t="str">
        <f>_xlfn.XLOOKUP($A5243,Load!$B:$B,Load!C:C,0,)</f>
        <v>Airheads</v>
      </c>
      <c r="C5243" t="str">
        <f>_xlfn.XLOOKUP($A5243,Load!$B:$B,Load!D:D,0,)</f>
        <v>Non-Chocolate Candy Only</v>
      </c>
      <c r="D5243" t="str">
        <f>_xlfn.XLOOKUP($A5243,Load!$B:$B,Load!E:E,0,)</f>
        <v>Berry Based (Raspberry, Strawberry, Medley, etc.)</v>
      </c>
      <c r="E5243" t="str">
        <f>_xlfn.XLOOKUP($A5243,Load!$B:$B,Load!F:F,0,)</f>
        <v>Chewy</v>
      </c>
      <c r="F5243" t="str">
        <f>_xlfn.XLOOKUP($A5243,Load!$B:$B,Load!G:G,0,)</f>
        <v>Single Pack</v>
      </c>
      <c r="G5243" t="str">
        <f>_xlfn.XLOOKUP($A5243,Load!$B:$B,Load!H:H,0,)</f>
        <v>Laydown Bag</v>
      </c>
      <c r="H5243" t="str">
        <f>_xlfn.XLOOKUP($A5243,Load!$B:$B,Load!I:I,0,)</f>
        <v>Everyday Candy Shapes (like Original, Gummy bear, Fruit, Jewels, etc.)</v>
      </c>
      <c r="I5243" t="str">
        <f>_xlfn.XLOOKUP($A5243,Load!$B:$B,Load!J:J,0,)</f>
        <v>Everyday Graphics</v>
      </c>
      <c r="J5243" t="str">
        <f>_xlfn.XLOOKUP($A5243,Load!$B:$B,Load!K:K,0,)</f>
        <v>Fun Size / Treat Size</v>
      </c>
      <c r="K5243" t="str">
        <f>_xlfn.XLOOKUP($A5243,Load!$B:$B,Load!L:L,0,)</f>
        <v>Unwrapped</v>
      </c>
      <c r="L5243" t="str">
        <f>_xlfn.XLOOKUP($A5243,Load!$B:$B,Load!M:M,0,)</f>
        <v>Single Brand / Single Flavor or Form</v>
      </c>
    </row>
    <row r="5244" spans="1:12" x14ac:dyDescent="0.25">
      <c r="B5244">
        <f>_xlfn.XLOOKUP($A5244,Load!$B:$B,Load!C:C,0,)</f>
        <v>0</v>
      </c>
      <c r="C5244">
        <f>_xlfn.XLOOKUP($A5244,Load!$B:$B,Load!D:D,0,)</f>
        <v>0</v>
      </c>
      <c r="D5244">
        <f>_xlfn.XLOOKUP($A5244,Load!$B:$B,Load!E:E,0,)</f>
        <v>0</v>
      </c>
      <c r="E5244">
        <f>_xlfn.XLOOKUP($A5244,Load!$B:$B,Load!F:F,0,)</f>
        <v>0</v>
      </c>
      <c r="F5244">
        <f>_xlfn.XLOOKUP($A5244,Load!$B:$B,Load!G:G,0,)</f>
        <v>0</v>
      </c>
      <c r="G5244">
        <f>_xlfn.XLOOKUP($A5244,Load!$B:$B,Load!H:H,0,)</f>
        <v>0</v>
      </c>
      <c r="H5244">
        <f>_xlfn.XLOOKUP($A5244,Load!$B:$B,Load!I:I,0,)</f>
        <v>0</v>
      </c>
      <c r="I5244">
        <f>_xlfn.XLOOKUP($A5244,Load!$B:$B,Load!J:J,0,)</f>
        <v>0</v>
      </c>
      <c r="J5244">
        <f>_xlfn.XLOOKUP($A5244,Load!$B:$B,Load!K:K,0,)</f>
        <v>0</v>
      </c>
      <c r="K5244">
        <f>_xlfn.XLOOKUP($A5244,Load!$B:$B,Load!L:L,0,)</f>
        <v>0</v>
      </c>
      <c r="L5244">
        <f>_xlfn.XLOOKUP($A5244,Load!$B:$B,Load!M:M,0,)</f>
        <v>0</v>
      </c>
    </row>
    <row r="5245" spans="1:12" x14ac:dyDescent="0.25">
      <c r="B5245">
        <f>_xlfn.XLOOKUP($A5245,Load!$B:$B,Load!C:C,0,)</f>
        <v>0</v>
      </c>
      <c r="C5245">
        <f>_xlfn.XLOOKUP($A5245,Load!$B:$B,Load!D:D,0,)</f>
        <v>0</v>
      </c>
      <c r="D5245">
        <f>_xlfn.XLOOKUP($A5245,Load!$B:$B,Load!E:E,0,)</f>
        <v>0</v>
      </c>
      <c r="E5245">
        <f>_xlfn.XLOOKUP($A5245,Load!$B:$B,Load!F:F,0,)</f>
        <v>0</v>
      </c>
      <c r="F5245">
        <f>_xlfn.XLOOKUP($A5245,Load!$B:$B,Load!G:G,0,)</f>
        <v>0</v>
      </c>
      <c r="G5245">
        <f>_xlfn.XLOOKUP($A5245,Load!$B:$B,Load!H:H,0,)</f>
        <v>0</v>
      </c>
      <c r="H5245">
        <f>_xlfn.XLOOKUP($A5245,Load!$B:$B,Load!I:I,0,)</f>
        <v>0</v>
      </c>
      <c r="I5245">
        <f>_xlfn.XLOOKUP($A5245,Load!$B:$B,Load!J:J,0,)</f>
        <v>0</v>
      </c>
      <c r="J5245">
        <f>_xlfn.XLOOKUP($A5245,Load!$B:$B,Load!K:K,0,)</f>
        <v>0</v>
      </c>
      <c r="K5245">
        <f>_xlfn.XLOOKUP($A5245,Load!$B:$B,Load!L:L,0,)</f>
        <v>0</v>
      </c>
      <c r="L5245">
        <f>_xlfn.XLOOKUP($A5245,Load!$B:$B,Load!M:M,0,)</f>
        <v>0</v>
      </c>
    </row>
    <row r="5246" spans="1:12" x14ac:dyDescent="0.25">
      <c r="A5246" t="s">
        <v>184</v>
      </c>
      <c r="B5246" t="str">
        <f>_xlfn.XLOOKUP($A5246,Load!$B:$B,Load!C:C,0,)</f>
        <v>Mars Variety Pack</v>
      </c>
      <c r="C5246" t="str">
        <f>_xlfn.XLOOKUP($A5246,Load!$B:$B,Load!D:D,0,)</f>
        <v>Mix of Chocolate and Non-Chocolate Candy</v>
      </c>
      <c r="D5246" t="str">
        <f>_xlfn.XLOOKUP($A5246,Load!$B:$B,Load!E:E,0,)</f>
        <v>Variety / Mixed Flavors (Fruity, Sour, Seasonal Flavors)</v>
      </c>
      <c r="E5246" t="str">
        <f>_xlfn.XLOOKUP($A5246,Load!$B:$B,Load!F:F,0,)</f>
        <v>Mixed / Combo Packs (Gummy, Chewy, Taffy, etc.)</v>
      </c>
      <c r="F5246" t="str">
        <f>_xlfn.XLOOKUP($A5246,Load!$B:$B,Load!G:G,0,)</f>
        <v>Large Multipack (More than 80 ct)</v>
      </c>
      <c r="G5246" t="str">
        <f>_xlfn.XLOOKUP($A5246,Load!$B:$B,Load!H:H,0,)</f>
        <v>Stand-Up Bag</v>
      </c>
      <c r="H5246" t="str">
        <f>_xlfn.XLOOKUP($A5246,Load!$B:$B,Load!I:I,0,)</f>
        <v>Everyday Candy Shapes (like Original, Gummy bear, Fruit, Jewels, etc.)</v>
      </c>
      <c r="I5246" t="str">
        <f>_xlfn.XLOOKUP($A5246,Load!$B:$B,Load!J:J,0,)</f>
        <v>Seasonal Graphics (Like Bat, Ghost, Pumpkin, Fall Leaves, Eyeballs, etc.)</v>
      </c>
      <c r="J5246" t="str">
        <f>_xlfn.XLOOKUP($A5246,Load!$B:$B,Load!K:K,0,)</f>
        <v>Fun Size / Treat Size</v>
      </c>
      <c r="K5246" t="str">
        <f>_xlfn.XLOOKUP($A5246,Load!$B:$B,Load!L:L,0,)</f>
        <v>Regular/Original Wrapping</v>
      </c>
      <c r="L5246" t="str">
        <f>_xlfn.XLOOKUP($A5246,Load!$B:$B,Load!M:M,0,)</f>
        <v>Multiple Brands / Variety Flavors or Form</v>
      </c>
    </row>
    <row r="5247" spans="1:12" x14ac:dyDescent="0.25">
      <c r="A5247" t="s">
        <v>198</v>
      </c>
      <c r="B5247" t="str">
        <f>_xlfn.XLOOKUP($A5247,Load!$B:$B,Load!C:C,0,)</f>
        <v>Mars Variety Pack</v>
      </c>
      <c r="C5247" t="str">
        <f>_xlfn.XLOOKUP($A5247,Load!$B:$B,Load!D:D,0,)</f>
        <v>Non-Chocolate Candy Only</v>
      </c>
      <c r="D5247" t="str">
        <f>_xlfn.XLOOKUP($A5247,Load!$B:$B,Load!E:E,0,)</f>
        <v>Variety / Mixed Flavors (Fruity, Sour, Seasonal Flavors)</v>
      </c>
      <c r="E5247" t="str">
        <f>_xlfn.XLOOKUP($A5247,Load!$B:$B,Load!F:F,0,)</f>
        <v>Mixed / Combo Packs (Gummy, Chewy, Taffy, etc.)</v>
      </c>
      <c r="F5247" t="str">
        <f>_xlfn.XLOOKUP($A5247,Load!$B:$B,Load!G:G,0,)</f>
        <v>Large Multipack (More than 80 ct)</v>
      </c>
      <c r="G5247" t="str">
        <f>_xlfn.XLOOKUP($A5247,Load!$B:$B,Load!H:H,0,)</f>
        <v>Stand-Up Bag</v>
      </c>
      <c r="H5247" t="str">
        <f>_xlfn.XLOOKUP($A5247,Load!$B:$B,Load!I:I,0,)</f>
        <v>Everyday Candy Shapes (like Original, Gummy bear, Fruit, Jewels, etc.)</v>
      </c>
      <c r="I5247" t="str">
        <f>_xlfn.XLOOKUP($A5247,Load!$B:$B,Load!J:J,0,)</f>
        <v>Seasonal Graphics (Like Bat, Ghost, Pumpkin, Fall Leaves, Eyeballs, etc.)</v>
      </c>
      <c r="J5247" t="str">
        <f>_xlfn.XLOOKUP($A5247,Load!$B:$B,Load!K:K,0,)</f>
        <v>Fun Size / Treat Size</v>
      </c>
      <c r="K5247" t="str">
        <f>_xlfn.XLOOKUP($A5247,Load!$B:$B,Load!L:L,0,)</f>
        <v>Regular/Original Wrapping</v>
      </c>
      <c r="L5247" t="str">
        <f>_xlfn.XLOOKUP($A5247,Load!$B:$B,Load!M:M,0,)</f>
        <v>Multiple Brands / Variety Flavors or Form</v>
      </c>
    </row>
    <row r="5248" spans="1:12" x14ac:dyDescent="0.25">
      <c r="A5248" t="s">
        <v>301</v>
      </c>
      <c r="B5248" t="str">
        <f>_xlfn.XLOOKUP($A5248,Load!$B:$B,Load!C:C,0,)</f>
        <v>Twizzlers</v>
      </c>
      <c r="C5248" t="str">
        <f>_xlfn.XLOOKUP($A5248,Load!$B:$B,Load!D:D,0,)</f>
        <v>Non-Chocolate Candy Only</v>
      </c>
      <c r="D5248" t="str">
        <f>_xlfn.XLOOKUP($A5248,Load!$B:$B,Load!E:E,0,)</f>
        <v>Variety / Mixed Flavors (Fruity, Sour, Seasonal Flavors)</v>
      </c>
      <c r="E5248" t="str">
        <f>_xlfn.XLOOKUP($A5248,Load!$B:$B,Load!F:F,0,)</f>
        <v>Mixed / Combo Packs (Gummy, Chewy, Taffy, etc.)</v>
      </c>
      <c r="F5248" t="str">
        <f>_xlfn.XLOOKUP($A5248,Load!$B:$B,Load!G:G,0,)</f>
        <v>Medium Multipack (40–80 ct)</v>
      </c>
      <c r="G5248" t="str">
        <f>_xlfn.XLOOKUP($A5248,Load!$B:$B,Load!H:H,0,)</f>
        <v>Laydown Bag</v>
      </c>
      <c r="H5248" t="str">
        <f>_xlfn.XLOOKUP($A5248,Load!$B:$B,Load!I:I,0,)</f>
        <v>Everyday Candy Shapes (like Original, Gummy bear, Fruit, Jewels, etc.)</v>
      </c>
      <c r="I5248" t="str">
        <f>_xlfn.XLOOKUP($A5248,Load!$B:$B,Load!J:J,0,)</f>
        <v>Seasonal Graphics (Like Bat, Ghost, Pumpkin, Fall Leaves, Eyeballs, etc.)</v>
      </c>
      <c r="J5248" t="str">
        <f>_xlfn.XLOOKUP($A5248,Load!$B:$B,Load!K:K,0,)</f>
        <v>Fun Size / Treat Size</v>
      </c>
      <c r="K5248" t="str">
        <f>_xlfn.XLOOKUP($A5248,Load!$B:$B,Load!L:L,0,)</f>
        <v>Regular/Original Wrapping</v>
      </c>
      <c r="L5248" t="str">
        <f>_xlfn.XLOOKUP($A5248,Load!$B:$B,Load!M:M,0,)</f>
        <v>Single Brand / Variety Flavors or Form</v>
      </c>
    </row>
    <row r="5249" spans="1:12" x14ac:dyDescent="0.25">
      <c r="A5249" t="s">
        <v>285</v>
      </c>
      <c r="B5249" t="str">
        <f>_xlfn.XLOOKUP($A5249,Load!$B:$B,Load!C:C,0,)</f>
        <v>Starburst</v>
      </c>
      <c r="C5249" t="str">
        <f>_xlfn.XLOOKUP($A5249,Load!$B:$B,Load!D:D,0,)</f>
        <v>Non-Chocolate Candy Only</v>
      </c>
      <c r="D5249" t="str">
        <f>_xlfn.XLOOKUP($A5249,Load!$B:$B,Load!E:E,0,)</f>
        <v>Fruit Flavor (Cherry, Grape, Apple, Citrus, Tropical Fruit)</v>
      </c>
      <c r="E5249" t="str">
        <f>_xlfn.XLOOKUP($A5249,Load!$B:$B,Load!F:F,0,)</f>
        <v>Chewy</v>
      </c>
      <c r="F5249" t="str">
        <f>_xlfn.XLOOKUP($A5249,Load!$B:$B,Load!G:G,0,)</f>
        <v>Small Multipack (Less than 40 ct)</v>
      </c>
      <c r="G5249" t="str">
        <f>_xlfn.XLOOKUP($A5249,Load!$B:$B,Load!H:H,0,)</f>
        <v>Laydown Bag</v>
      </c>
      <c r="H5249" t="str">
        <f>_xlfn.XLOOKUP($A5249,Load!$B:$B,Load!I:I,0,)</f>
        <v>Everyday Candy Shapes (like Original, Gummy bear, Fruit, Jewels, etc.)</v>
      </c>
      <c r="I5249" t="str">
        <f>_xlfn.XLOOKUP($A5249,Load!$B:$B,Load!J:J,0,)</f>
        <v>Everyday Graphics</v>
      </c>
      <c r="J5249" t="str">
        <f>_xlfn.XLOOKUP($A5249,Load!$B:$B,Load!K:K,0,)</f>
        <v>Small Pieces (Tiny bite size candies)</v>
      </c>
      <c r="K5249" t="str">
        <f>_xlfn.XLOOKUP($A5249,Load!$B:$B,Load!L:L,0,)</f>
        <v>Regular/Original Wrapping</v>
      </c>
      <c r="L5249" t="str">
        <f>_xlfn.XLOOKUP($A5249,Load!$B:$B,Load!M:M,0,)</f>
        <v>Single Brand / Variety Flavors or Form</v>
      </c>
    </row>
    <row r="5250" spans="1:12" x14ac:dyDescent="0.25">
      <c r="B5250">
        <f>_xlfn.XLOOKUP($A5250,Load!$B:$B,Load!C:C,0,)</f>
        <v>0</v>
      </c>
      <c r="C5250">
        <f>_xlfn.XLOOKUP($A5250,Load!$B:$B,Load!D:D,0,)</f>
        <v>0</v>
      </c>
      <c r="D5250">
        <f>_xlfn.XLOOKUP($A5250,Load!$B:$B,Load!E:E,0,)</f>
        <v>0</v>
      </c>
      <c r="E5250">
        <f>_xlfn.XLOOKUP($A5250,Load!$B:$B,Load!F:F,0,)</f>
        <v>0</v>
      </c>
      <c r="F5250">
        <f>_xlfn.XLOOKUP($A5250,Load!$B:$B,Load!G:G,0,)</f>
        <v>0</v>
      </c>
      <c r="G5250">
        <f>_xlfn.XLOOKUP($A5250,Load!$B:$B,Load!H:H,0,)</f>
        <v>0</v>
      </c>
      <c r="H5250">
        <f>_xlfn.XLOOKUP($A5250,Load!$B:$B,Load!I:I,0,)</f>
        <v>0</v>
      </c>
      <c r="I5250">
        <f>_xlfn.XLOOKUP($A5250,Load!$B:$B,Load!J:J,0,)</f>
        <v>0</v>
      </c>
      <c r="J5250">
        <f>_xlfn.XLOOKUP($A5250,Load!$B:$B,Load!K:K,0,)</f>
        <v>0</v>
      </c>
      <c r="K5250">
        <f>_xlfn.XLOOKUP($A5250,Load!$B:$B,Load!L:L,0,)</f>
        <v>0</v>
      </c>
      <c r="L5250">
        <f>_xlfn.XLOOKUP($A5250,Load!$B:$B,Load!M:M,0,)</f>
        <v>0</v>
      </c>
    </row>
    <row r="5251" spans="1:12" x14ac:dyDescent="0.25">
      <c r="B5251">
        <f>_xlfn.XLOOKUP($A5251,Load!$B:$B,Load!C:C,0,)</f>
        <v>0</v>
      </c>
      <c r="C5251">
        <f>_xlfn.XLOOKUP($A5251,Load!$B:$B,Load!D:D,0,)</f>
        <v>0</v>
      </c>
      <c r="D5251">
        <f>_xlfn.XLOOKUP($A5251,Load!$B:$B,Load!E:E,0,)</f>
        <v>0</v>
      </c>
      <c r="E5251">
        <f>_xlfn.XLOOKUP($A5251,Load!$B:$B,Load!F:F,0,)</f>
        <v>0</v>
      </c>
      <c r="F5251">
        <f>_xlfn.XLOOKUP($A5251,Load!$B:$B,Load!G:G,0,)</f>
        <v>0</v>
      </c>
      <c r="G5251">
        <f>_xlfn.XLOOKUP($A5251,Load!$B:$B,Load!H:H,0,)</f>
        <v>0</v>
      </c>
      <c r="H5251">
        <f>_xlfn.XLOOKUP($A5251,Load!$B:$B,Load!I:I,0,)</f>
        <v>0</v>
      </c>
      <c r="I5251">
        <f>_xlfn.XLOOKUP($A5251,Load!$B:$B,Load!J:J,0,)</f>
        <v>0</v>
      </c>
      <c r="J5251">
        <f>_xlfn.XLOOKUP($A5251,Load!$B:$B,Load!K:K,0,)</f>
        <v>0</v>
      </c>
      <c r="K5251">
        <f>_xlfn.XLOOKUP($A5251,Load!$B:$B,Load!L:L,0,)</f>
        <v>0</v>
      </c>
      <c r="L5251">
        <f>_xlfn.XLOOKUP($A5251,Load!$B:$B,Load!M:M,0,)</f>
        <v>0</v>
      </c>
    </row>
    <row r="5252" spans="1:12" x14ac:dyDescent="0.25">
      <c r="A5252" t="s">
        <v>139</v>
      </c>
      <c r="B5252" t="str">
        <f>_xlfn.XLOOKUP($A5252,Load!$B:$B,Load!C:C,0,)</f>
        <v>Hershey's Variety Pack + Haribo</v>
      </c>
      <c r="C5252" t="str">
        <f>_xlfn.XLOOKUP($A5252,Load!$B:$B,Load!D:D,0,)</f>
        <v>Mix of Chocolate and Non-Chocolate Candy</v>
      </c>
      <c r="D5252" t="str">
        <f>_xlfn.XLOOKUP($A5252,Load!$B:$B,Load!E:E,0,)</f>
        <v>Variety / Mixed Flavors (Fruity, Sour, Seasonal Flavors)</v>
      </c>
      <c r="E5252" t="str">
        <f>_xlfn.XLOOKUP($A5252,Load!$B:$B,Load!F:F,0,)</f>
        <v>Mixed / Combo Packs (Gummy, Chewy, Taffy, etc.)</v>
      </c>
      <c r="F5252" t="str">
        <f>_xlfn.XLOOKUP($A5252,Load!$B:$B,Load!G:G,0,)</f>
        <v>Large Multipack (More than 80 ct)</v>
      </c>
      <c r="G5252" t="str">
        <f>_xlfn.XLOOKUP($A5252,Load!$B:$B,Load!H:H,0,)</f>
        <v>Stand-Up Bag</v>
      </c>
      <c r="H5252" t="str">
        <f>_xlfn.XLOOKUP($A5252,Load!$B:$B,Load!I:I,0,)</f>
        <v>Everyday Candy Shapes (like Original, Gummy bear, Fruit, Jewels, etc.)</v>
      </c>
      <c r="I5252" t="str">
        <f>_xlfn.XLOOKUP($A5252,Load!$B:$B,Load!J:J,0,)</f>
        <v>Seasonal Graphics (Like Bat, Ghost, Pumpkin, Fall Leaves, Eyeballs, etc.)</v>
      </c>
      <c r="J5252" t="str">
        <f>_xlfn.XLOOKUP($A5252,Load!$B:$B,Load!K:K,0,)</f>
        <v>Fun Size / Treat Size</v>
      </c>
      <c r="K5252" t="str">
        <f>_xlfn.XLOOKUP($A5252,Load!$B:$B,Load!L:L,0,)</f>
        <v>Regular/Original Wrapping</v>
      </c>
      <c r="L5252" t="str">
        <f>_xlfn.XLOOKUP($A5252,Load!$B:$B,Load!M:M,0,)</f>
        <v>Multiple Brands / Variety Flavors or Form</v>
      </c>
    </row>
    <row r="5253" spans="1:12" x14ac:dyDescent="0.25">
      <c r="B5253">
        <f>_xlfn.XLOOKUP($A5253,Load!$B:$B,Load!C:C,0,)</f>
        <v>0</v>
      </c>
      <c r="C5253">
        <f>_xlfn.XLOOKUP($A5253,Load!$B:$B,Load!D:D,0,)</f>
        <v>0</v>
      </c>
      <c r="D5253">
        <f>_xlfn.XLOOKUP($A5253,Load!$B:$B,Load!E:E,0,)</f>
        <v>0</v>
      </c>
      <c r="E5253">
        <f>_xlfn.XLOOKUP($A5253,Load!$B:$B,Load!F:F,0,)</f>
        <v>0</v>
      </c>
      <c r="F5253">
        <f>_xlfn.XLOOKUP($A5253,Load!$B:$B,Load!G:G,0,)</f>
        <v>0</v>
      </c>
      <c r="G5253">
        <f>_xlfn.XLOOKUP($A5253,Load!$B:$B,Load!H:H,0,)</f>
        <v>0</v>
      </c>
      <c r="H5253">
        <f>_xlfn.XLOOKUP($A5253,Load!$B:$B,Load!I:I,0,)</f>
        <v>0</v>
      </c>
      <c r="I5253">
        <f>_xlfn.XLOOKUP($A5253,Load!$B:$B,Load!J:J,0,)</f>
        <v>0</v>
      </c>
      <c r="J5253">
        <f>_xlfn.XLOOKUP($A5253,Load!$B:$B,Load!K:K,0,)</f>
        <v>0</v>
      </c>
      <c r="K5253">
        <f>_xlfn.XLOOKUP($A5253,Load!$B:$B,Load!L:L,0,)</f>
        <v>0</v>
      </c>
      <c r="L5253">
        <f>_xlfn.XLOOKUP($A5253,Load!$B:$B,Load!M:M,0,)</f>
        <v>0</v>
      </c>
    </row>
    <row r="5254" spans="1:12" x14ac:dyDescent="0.25">
      <c r="A5254" t="s">
        <v>66</v>
      </c>
      <c r="B5254" t="str">
        <f>_xlfn.XLOOKUP($A5254,Load!$B:$B,Load!C:C,0,)</f>
        <v>Dots</v>
      </c>
      <c r="C5254" t="str">
        <f>_xlfn.XLOOKUP($A5254,Load!$B:$B,Load!D:D,0,)</f>
        <v>Non-Chocolate Candy Only</v>
      </c>
      <c r="D5254" t="str">
        <f>_xlfn.XLOOKUP($A5254,Load!$B:$B,Load!E:E,0,)</f>
        <v>Variety / Mixed Flavors (Fruity, Sour, Seasonal Flavors)</v>
      </c>
      <c r="E5254" t="str">
        <f>_xlfn.XLOOKUP($A5254,Load!$B:$B,Load!F:F,0,)</f>
        <v>Candy Pieces / Bites</v>
      </c>
      <c r="F5254" t="str">
        <f>_xlfn.XLOOKUP($A5254,Load!$B:$B,Load!G:G,0,)</f>
        <v>Small Multipack (Less than 40 ct)</v>
      </c>
      <c r="G5254" t="str">
        <f>_xlfn.XLOOKUP($A5254,Load!$B:$B,Load!H:H,0,)</f>
        <v>Stand-Up Bag</v>
      </c>
      <c r="H5254" t="str">
        <f>_xlfn.XLOOKUP($A5254,Load!$B:$B,Load!I:I,0,)</f>
        <v>Seasonal Shapes (like pumpkins, candy corn, ghost, bats, etc.)</v>
      </c>
      <c r="I5254" t="str">
        <f>_xlfn.XLOOKUP($A5254,Load!$B:$B,Load!J:J,0,)</f>
        <v>Seasonal Graphics (Like Bat, Ghost, Pumpkin, Fall Leaves, Eyeballs, etc.)</v>
      </c>
      <c r="J5254" t="str">
        <f>_xlfn.XLOOKUP($A5254,Load!$B:$B,Load!K:K,0,)</f>
        <v>Fun Size / Treat Size</v>
      </c>
      <c r="K5254" t="str">
        <f>_xlfn.XLOOKUP($A5254,Load!$B:$B,Load!L:L,0,)</f>
        <v>Regular/Original Wrapping</v>
      </c>
      <c r="L5254" t="str">
        <f>_xlfn.XLOOKUP($A5254,Load!$B:$B,Load!M:M,0,)</f>
        <v>Single Brand / Variety Flavors or Form</v>
      </c>
    </row>
    <row r="5255" spans="1:12" x14ac:dyDescent="0.25">
      <c r="B5255">
        <f>_xlfn.XLOOKUP($A5255,Load!$B:$B,Load!C:C,0,)</f>
        <v>0</v>
      </c>
      <c r="C5255">
        <f>_xlfn.XLOOKUP($A5255,Load!$B:$B,Load!D:D,0,)</f>
        <v>0</v>
      </c>
      <c r="D5255">
        <f>_xlfn.XLOOKUP($A5255,Load!$B:$B,Load!E:E,0,)</f>
        <v>0</v>
      </c>
      <c r="E5255">
        <f>_xlfn.XLOOKUP($A5255,Load!$B:$B,Load!F:F,0,)</f>
        <v>0</v>
      </c>
      <c r="F5255">
        <f>_xlfn.XLOOKUP($A5255,Load!$B:$B,Load!G:G,0,)</f>
        <v>0</v>
      </c>
      <c r="G5255">
        <f>_xlfn.XLOOKUP($A5255,Load!$B:$B,Load!H:H,0,)</f>
        <v>0</v>
      </c>
      <c r="H5255">
        <f>_xlfn.XLOOKUP($A5255,Load!$B:$B,Load!I:I,0,)</f>
        <v>0</v>
      </c>
      <c r="I5255">
        <f>_xlfn.XLOOKUP($A5255,Load!$B:$B,Load!J:J,0,)</f>
        <v>0</v>
      </c>
      <c r="J5255">
        <f>_xlfn.XLOOKUP($A5255,Load!$B:$B,Load!K:K,0,)</f>
        <v>0</v>
      </c>
      <c r="K5255">
        <f>_xlfn.XLOOKUP($A5255,Load!$B:$B,Load!L:L,0,)</f>
        <v>0</v>
      </c>
      <c r="L5255">
        <f>_xlfn.XLOOKUP($A5255,Load!$B:$B,Load!M:M,0,)</f>
        <v>0</v>
      </c>
    </row>
    <row r="5256" spans="1:12" x14ac:dyDescent="0.25">
      <c r="A5256" t="s">
        <v>175</v>
      </c>
      <c r="B5256" t="str">
        <f>_xlfn.XLOOKUP($A5256,Load!$B:$B,Load!C:C,0,)</f>
        <v>Mars Variety Pack</v>
      </c>
      <c r="C5256" t="str">
        <f>_xlfn.XLOOKUP($A5256,Load!$B:$B,Load!D:D,0,)</f>
        <v>Mix of Chocolate and Non-Chocolate Candy</v>
      </c>
      <c r="D5256" t="str">
        <f>_xlfn.XLOOKUP($A5256,Load!$B:$B,Load!E:E,0,)</f>
        <v>Variety / Mixed Flavors (Fruity, Sour, Seasonal Flavors)</v>
      </c>
      <c r="E5256" t="str">
        <f>_xlfn.XLOOKUP($A5256,Load!$B:$B,Load!F:F,0,)</f>
        <v>Mixed / Combo Packs (Gummy, Chewy, Taffy, etc.)</v>
      </c>
      <c r="F5256" t="str">
        <f>_xlfn.XLOOKUP($A5256,Load!$B:$B,Load!G:G,0,)</f>
        <v>Large Multipack (More than 80 ct)</v>
      </c>
      <c r="G5256" t="str">
        <f>_xlfn.XLOOKUP($A5256,Load!$B:$B,Load!H:H,0,)</f>
        <v>Stand-Up Bag</v>
      </c>
      <c r="H5256" t="str">
        <f>_xlfn.XLOOKUP($A5256,Load!$B:$B,Load!I:I,0,)</f>
        <v>Everyday Candy Shapes (like Original, Gummy bear, Fruit, Jewels, etc.)</v>
      </c>
      <c r="I5256" t="str">
        <f>_xlfn.XLOOKUP($A5256,Load!$B:$B,Load!J:J,0,)</f>
        <v>Seasonal Graphics (Like Bat, Ghost, Pumpkin, Fall Leaves, Eyeballs, etc.)</v>
      </c>
      <c r="J5256" t="str">
        <f>_xlfn.XLOOKUP($A5256,Load!$B:$B,Load!K:K,0,)</f>
        <v xml:space="preserve">Variety Candy Sizes </v>
      </c>
      <c r="K5256" t="str">
        <f>_xlfn.XLOOKUP($A5256,Load!$B:$B,Load!L:L,0,)</f>
        <v>Regular/Original Wrapping</v>
      </c>
      <c r="L5256" t="str">
        <f>_xlfn.XLOOKUP($A5256,Load!$B:$B,Load!M:M,0,)</f>
        <v>Multiple Brands / Variety Flavors or Form</v>
      </c>
    </row>
    <row r="5257" spans="1:12" x14ac:dyDescent="0.25">
      <c r="A5257" t="s">
        <v>180</v>
      </c>
      <c r="B5257" t="str">
        <f>_xlfn.XLOOKUP($A5257,Load!$B:$B,Load!C:C,0,)</f>
        <v>Mars Variety Pack</v>
      </c>
      <c r="C5257" t="str">
        <f>_xlfn.XLOOKUP($A5257,Load!$B:$B,Load!D:D,0,)</f>
        <v>Mix of Chocolate and Non-Chocolate Candy</v>
      </c>
      <c r="D5257" t="str">
        <f>_xlfn.XLOOKUP($A5257,Load!$B:$B,Load!E:E,0,)</f>
        <v>Variety / Mixed Flavors (Fruity, Sour, Seasonal Flavors)</v>
      </c>
      <c r="E5257" t="str">
        <f>_xlfn.XLOOKUP($A5257,Load!$B:$B,Load!F:F,0,)</f>
        <v>Mixed / Combo Packs (Gummy, Chewy, Taffy, etc.)</v>
      </c>
      <c r="F5257" t="str">
        <f>_xlfn.XLOOKUP($A5257,Load!$B:$B,Load!G:G,0,)</f>
        <v>Large Multipack (More than 80 ct)</v>
      </c>
      <c r="G5257" t="str">
        <f>_xlfn.XLOOKUP($A5257,Load!$B:$B,Load!H:H,0,)</f>
        <v>Stand-Up Bag</v>
      </c>
      <c r="H5257" t="str">
        <f>_xlfn.XLOOKUP($A5257,Load!$B:$B,Load!I:I,0,)</f>
        <v>Everyday Candy Shapes (like Original, Gummy bear, Fruit, Jewels, etc.)</v>
      </c>
      <c r="I5257" t="str">
        <f>_xlfn.XLOOKUP($A5257,Load!$B:$B,Load!J:J,0,)</f>
        <v>Seasonal Graphics (Like Bat, Ghost, Pumpkin, Fall Leaves, Eyeballs, etc.)</v>
      </c>
      <c r="J5257" t="str">
        <f>_xlfn.XLOOKUP($A5257,Load!$B:$B,Load!K:K,0,)</f>
        <v>Fun Size / Treat Size</v>
      </c>
      <c r="K5257" t="str">
        <f>_xlfn.XLOOKUP($A5257,Load!$B:$B,Load!L:L,0,)</f>
        <v>Regular/Original Wrapping</v>
      </c>
      <c r="L5257" t="str">
        <f>_xlfn.XLOOKUP($A5257,Load!$B:$B,Load!M:M,0,)</f>
        <v>Multiple Brands / Variety Flavors or Form</v>
      </c>
    </row>
    <row r="5258" spans="1:12" x14ac:dyDescent="0.25">
      <c r="B5258">
        <f>_xlfn.XLOOKUP($A5258,Load!$B:$B,Load!C:C,0,)</f>
        <v>0</v>
      </c>
      <c r="C5258">
        <f>_xlfn.XLOOKUP($A5258,Load!$B:$B,Load!D:D,0,)</f>
        <v>0</v>
      </c>
      <c r="D5258">
        <f>_xlfn.XLOOKUP($A5258,Load!$B:$B,Load!E:E,0,)</f>
        <v>0</v>
      </c>
      <c r="E5258">
        <f>_xlfn.XLOOKUP($A5258,Load!$B:$B,Load!F:F,0,)</f>
        <v>0</v>
      </c>
      <c r="F5258">
        <f>_xlfn.XLOOKUP($A5258,Load!$B:$B,Load!G:G,0,)</f>
        <v>0</v>
      </c>
      <c r="G5258">
        <f>_xlfn.XLOOKUP($A5258,Load!$B:$B,Load!H:H,0,)</f>
        <v>0</v>
      </c>
      <c r="H5258">
        <f>_xlfn.XLOOKUP($A5258,Load!$B:$B,Load!I:I,0,)</f>
        <v>0</v>
      </c>
      <c r="I5258">
        <f>_xlfn.XLOOKUP($A5258,Load!$B:$B,Load!J:J,0,)</f>
        <v>0</v>
      </c>
      <c r="J5258">
        <f>_xlfn.XLOOKUP($A5258,Load!$B:$B,Load!K:K,0,)</f>
        <v>0</v>
      </c>
      <c r="K5258">
        <f>_xlfn.XLOOKUP($A5258,Load!$B:$B,Load!L:L,0,)</f>
        <v>0</v>
      </c>
      <c r="L5258">
        <f>_xlfn.XLOOKUP($A5258,Load!$B:$B,Load!M:M,0,)</f>
        <v>0</v>
      </c>
    </row>
    <row r="5259" spans="1:12" x14ac:dyDescent="0.25">
      <c r="B5259">
        <f>_xlfn.XLOOKUP($A5259,Load!$B:$B,Load!C:C,0,)</f>
        <v>0</v>
      </c>
      <c r="C5259">
        <f>_xlfn.XLOOKUP($A5259,Load!$B:$B,Load!D:D,0,)</f>
        <v>0</v>
      </c>
      <c r="D5259">
        <f>_xlfn.XLOOKUP($A5259,Load!$B:$B,Load!E:E,0,)</f>
        <v>0</v>
      </c>
      <c r="E5259">
        <f>_xlfn.XLOOKUP($A5259,Load!$B:$B,Load!F:F,0,)</f>
        <v>0</v>
      </c>
      <c r="F5259">
        <f>_xlfn.XLOOKUP($A5259,Load!$B:$B,Load!G:G,0,)</f>
        <v>0</v>
      </c>
      <c r="G5259">
        <f>_xlfn.XLOOKUP($A5259,Load!$B:$B,Load!H:H,0,)</f>
        <v>0</v>
      </c>
      <c r="H5259">
        <f>_xlfn.XLOOKUP($A5259,Load!$B:$B,Load!I:I,0,)</f>
        <v>0</v>
      </c>
      <c r="I5259">
        <f>_xlfn.XLOOKUP($A5259,Load!$B:$B,Load!J:J,0,)</f>
        <v>0</v>
      </c>
      <c r="J5259">
        <f>_xlfn.XLOOKUP($A5259,Load!$B:$B,Load!K:K,0,)</f>
        <v>0</v>
      </c>
      <c r="K5259">
        <f>_xlfn.XLOOKUP($A5259,Load!$B:$B,Load!L:L,0,)</f>
        <v>0</v>
      </c>
      <c r="L5259">
        <f>_xlfn.XLOOKUP($A5259,Load!$B:$B,Load!M:M,0,)</f>
        <v>0</v>
      </c>
    </row>
    <row r="5260" spans="1:12" x14ac:dyDescent="0.25">
      <c r="A5260" t="s">
        <v>54</v>
      </c>
      <c r="B5260" t="str">
        <f>_xlfn.XLOOKUP($A5260,Load!$B:$B,Load!C:C,0,)</f>
        <v>Brach's</v>
      </c>
      <c r="C5260" t="str">
        <f>_xlfn.XLOOKUP($A5260,Load!$B:$B,Load!D:D,0,)</f>
        <v>Non-Chocolate Candy Only</v>
      </c>
      <c r="D5260" t="str">
        <f>_xlfn.XLOOKUP($A5260,Load!$B:$B,Load!E:E,0,)</f>
        <v>Fall / Seasonal Flavors (pumpkin spice, caramel apple, candy corn)</v>
      </c>
      <c r="E5260" t="str">
        <f>_xlfn.XLOOKUP($A5260,Load!$B:$B,Load!F:F,0,)</f>
        <v>Candy Pieces / Bites</v>
      </c>
      <c r="F5260" t="str">
        <f>_xlfn.XLOOKUP($A5260,Load!$B:$B,Load!G:G,0,)</f>
        <v>Single Pack</v>
      </c>
      <c r="G5260" t="str">
        <f>_xlfn.XLOOKUP($A5260,Load!$B:$B,Load!H:H,0,)</f>
        <v>Peg Bag</v>
      </c>
      <c r="H5260" t="str">
        <f>_xlfn.XLOOKUP($A5260,Load!$B:$B,Load!I:I,0,)</f>
        <v>Seasonal Shapes (like pumpkins, candy corn, ghost, bats, etc.)</v>
      </c>
      <c r="I5260" t="str">
        <f>_xlfn.XLOOKUP($A5260,Load!$B:$B,Load!J:J,0,)</f>
        <v>Seasonal Graphics (Like Bat, Ghost, Pumpkin, Fall Leaves, Eyeballs, etc.)</v>
      </c>
      <c r="J5260" t="str">
        <f>_xlfn.XLOOKUP($A5260,Load!$B:$B,Load!K:K,0,)</f>
        <v>Small Pieces (Tiny bite size candies)</v>
      </c>
      <c r="K5260" t="str">
        <f>_xlfn.XLOOKUP($A5260,Load!$B:$B,Load!L:L,0,)</f>
        <v>Unwrapped</v>
      </c>
      <c r="L5260" t="str">
        <f>_xlfn.XLOOKUP($A5260,Load!$B:$B,Load!M:M,0,)</f>
        <v>Single Brand / Single Flavor or Form</v>
      </c>
    </row>
    <row r="5261" spans="1:12" x14ac:dyDescent="0.25">
      <c r="B5261">
        <f>_xlfn.XLOOKUP($A5261,Load!$B:$B,Load!C:C,0,)</f>
        <v>0</v>
      </c>
      <c r="C5261">
        <f>_xlfn.XLOOKUP($A5261,Load!$B:$B,Load!D:D,0,)</f>
        <v>0</v>
      </c>
      <c r="D5261">
        <f>_xlfn.XLOOKUP($A5261,Load!$B:$B,Load!E:E,0,)</f>
        <v>0</v>
      </c>
      <c r="E5261">
        <f>_xlfn.XLOOKUP($A5261,Load!$B:$B,Load!F:F,0,)</f>
        <v>0</v>
      </c>
      <c r="F5261">
        <f>_xlfn.XLOOKUP($A5261,Load!$B:$B,Load!G:G,0,)</f>
        <v>0</v>
      </c>
      <c r="G5261">
        <f>_xlfn.XLOOKUP($A5261,Load!$B:$B,Load!H:H,0,)</f>
        <v>0</v>
      </c>
      <c r="H5261">
        <f>_xlfn.XLOOKUP($A5261,Load!$B:$B,Load!I:I,0,)</f>
        <v>0</v>
      </c>
      <c r="I5261">
        <f>_xlfn.XLOOKUP($A5261,Load!$B:$B,Load!J:J,0,)</f>
        <v>0</v>
      </c>
      <c r="J5261">
        <f>_xlfn.XLOOKUP($A5261,Load!$B:$B,Load!K:K,0,)</f>
        <v>0</v>
      </c>
      <c r="K5261">
        <f>_xlfn.XLOOKUP($A5261,Load!$B:$B,Load!L:L,0,)</f>
        <v>0</v>
      </c>
      <c r="L5261">
        <f>_xlfn.XLOOKUP($A5261,Load!$B:$B,Load!M:M,0,)</f>
        <v>0</v>
      </c>
    </row>
    <row r="5262" spans="1:12" x14ac:dyDescent="0.25">
      <c r="A5262" t="s">
        <v>241</v>
      </c>
      <c r="B5262" t="str">
        <f>_xlfn.XLOOKUP($A5262,Load!$B:$B,Load!C:C,0,)</f>
        <v>Peeps</v>
      </c>
      <c r="C5262" t="str">
        <f>_xlfn.XLOOKUP($A5262,Load!$B:$B,Load!D:D,0,)</f>
        <v>Non-Chocolate Candy Only</v>
      </c>
      <c r="D5262" t="str">
        <f>_xlfn.XLOOKUP($A5262,Load!$B:$B,Load!E:E,0,)</f>
        <v>Sweet</v>
      </c>
      <c r="E5262" t="str">
        <f>_xlfn.XLOOKUP($A5262,Load!$B:$B,Load!F:F,0,)</f>
        <v>Foamy / Aerated / Freeze Dried</v>
      </c>
      <c r="F5262" t="str">
        <f>_xlfn.XLOOKUP($A5262,Load!$B:$B,Load!G:G,0,)</f>
        <v>Single Pack</v>
      </c>
      <c r="G5262" t="str">
        <f>_xlfn.XLOOKUP($A5262,Load!$B:$B,Load!H:H,0,)</f>
        <v>Box (theatre box, gift box, carton)</v>
      </c>
      <c r="H5262" t="str">
        <f>_xlfn.XLOOKUP($A5262,Load!$B:$B,Load!I:I,0,)</f>
        <v>Seasonal Shapes (like pumpkins, candy corn, ghost, bats, etc.)</v>
      </c>
      <c r="I5262" t="str">
        <f>_xlfn.XLOOKUP($A5262,Load!$B:$B,Load!J:J,0,)</f>
        <v>Seasonal Graphics (Like Bat, Ghost, Pumpkin, Fall Leaves, Eyeballs, etc.)</v>
      </c>
      <c r="J5262" t="str">
        <f>_xlfn.XLOOKUP($A5262,Load!$B:$B,Load!K:K,0,)</f>
        <v>Fun Size / Treat Size</v>
      </c>
      <c r="K5262" t="str">
        <f>_xlfn.XLOOKUP($A5262,Load!$B:$B,Load!L:L,0,)</f>
        <v>Unwrapped</v>
      </c>
      <c r="L5262" t="str">
        <f>_xlfn.XLOOKUP($A5262,Load!$B:$B,Load!M:M,0,)</f>
        <v>Single Brand / Single Flavor or Form</v>
      </c>
    </row>
    <row r="5263" spans="1:12" x14ac:dyDescent="0.25">
      <c r="A5263" t="s">
        <v>2</v>
      </c>
      <c r="B5263" t="str">
        <f>_xlfn.XLOOKUP($A5263,Load!$B:$B,Load!C:C,0,)</f>
        <v>Airheads</v>
      </c>
      <c r="C5263" t="str">
        <f>_xlfn.XLOOKUP($A5263,Load!$B:$B,Load!D:D,0,)</f>
        <v>Non-Chocolate Candy Only</v>
      </c>
      <c r="D5263" t="str">
        <f>_xlfn.XLOOKUP($A5263,Load!$B:$B,Load!E:E,0,)</f>
        <v>Variety / Mixed Flavors (Fruity, Sour, Seasonal Flavors)</v>
      </c>
      <c r="E5263" t="str">
        <f>_xlfn.XLOOKUP($A5263,Load!$B:$B,Load!F:F,0,)</f>
        <v>Chewy</v>
      </c>
      <c r="F5263" t="str">
        <f>_xlfn.XLOOKUP($A5263,Load!$B:$B,Load!G:G,0,)</f>
        <v>Medium Multipack (40–80 ct)</v>
      </c>
      <c r="G5263" t="str">
        <f>_xlfn.XLOOKUP($A5263,Load!$B:$B,Load!H:H,0,)</f>
        <v>Box (theatre box, gift box, carton)</v>
      </c>
      <c r="H5263" t="str">
        <f>_xlfn.XLOOKUP($A5263,Load!$B:$B,Load!I:I,0,)</f>
        <v>Everyday Candy Shapes (like Original, Gummy bear, Fruit, Jewels, etc.)</v>
      </c>
      <c r="I5263" t="str">
        <f>_xlfn.XLOOKUP($A5263,Load!$B:$B,Load!J:J,0,)</f>
        <v>Seasonal Graphics (Like Bat, Ghost, Pumpkin, Fall Leaves, Eyeballs, etc.)</v>
      </c>
      <c r="J5263" t="str">
        <f>_xlfn.XLOOKUP($A5263,Load!$B:$B,Load!K:K,0,)</f>
        <v>Fun Size / Treat Size</v>
      </c>
      <c r="K5263" t="str">
        <f>_xlfn.XLOOKUP($A5263,Load!$B:$B,Load!L:L,0,)</f>
        <v>Regular/Original Wrapping</v>
      </c>
      <c r="L5263" t="str">
        <f>_xlfn.XLOOKUP($A5263,Load!$B:$B,Load!M:M,0,)</f>
        <v>Single Brand / Variety Flavors or Form</v>
      </c>
    </row>
    <row r="5264" spans="1:12" x14ac:dyDescent="0.25">
      <c r="A5264" t="s">
        <v>79</v>
      </c>
      <c r="B5264" t="str">
        <f>_xlfn.XLOOKUP($A5264,Load!$B:$B,Load!C:C,0,)</f>
        <v>Ferrara Variety Pack</v>
      </c>
      <c r="C5264" t="str">
        <f>_xlfn.XLOOKUP($A5264,Load!$B:$B,Load!D:D,0,)</f>
        <v>Non-Chocolate Candy Only</v>
      </c>
      <c r="D5264" t="str">
        <f>_xlfn.XLOOKUP($A5264,Load!$B:$B,Load!E:E,0,)</f>
        <v>Variety / Mixed Flavors (Fruity, Sour, Seasonal Flavors)</v>
      </c>
      <c r="E5264" t="str">
        <f>_xlfn.XLOOKUP($A5264,Load!$B:$B,Load!F:F,0,)</f>
        <v>Mixed / Combo Packs (Gummy, Chewy, Taffy, etc.)</v>
      </c>
      <c r="F5264" t="str">
        <f>_xlfn.XLOOKUP($A5264,Load!$B:$B,Load!G:G,0,)</f>
        <v>Large Multipack (More than 80 ct)</v>
      </c>
      <c r="G5264" t="str">
        <f>_xlfn.XLOOKUP($A5264,Load!$B:$B,Load!H:H,0,)</f>
        <v>Stand-Up Bag</v>
      </c>
      <c r="H5264" t="str">
        <f>_xlfn.XLOOKUP($A5264,Load!$B:$B,Load!I:I,0,)</f>
        <v>Everyday Candy Shapes (like Original, Gummy bear, Fruit, Jewels, etc.)</v>
      </c>
      <c r="I5264" t="str">
        <f>_xlfn.XLOOKUP($A5264,Load!$B:$B,Load!J:J,0,)</f>
        <v>Seasonal Graphics (Like Bat, Ghost, Pumpkin, Fall Leaves, Eyeballs, etc.)</v>
      </c>
      <c r="J5264" t="str">
        <f>_xlfn.XLOOKUP($A5264,Load!$B:$B,Load!K:K,0,)</f>
        <v xml:space="preserve">Variety Candy Sizes </v>
      </c>
      <c r="K5264" t="str">
        <f>_xlfn.XLOOKUP($A5264,Load!$B:$B,Load!L:L,0,)</f>
        <v>Regular/Original Wrapping</v>
      </c>
      <c r="L5264" t="str">
        <f>_xlfn.XLOOKUP($A5264,Load!$B:$B,Load!M:M,0,)</f>
        <v>Multiple Brands / Variety Flavors or Form</v>
      </c>
    </row>
    <row r="5265" spans="1:12" x14ac:dyDescent="0.25">
      <c r="A5265" t="s">
        <v>221</v>
      </c>
      <c r="B5265" t="str">
        <f>_xlfn.XLOOKUP($A5265,Load!$B:$B,Load!C:C,0,)</f>
        <v>Hershey's Variety Pack + Haribo</v>
      </c>
      <c r="C5265" t="str">
        <f>_xlfn.XLOOKUP($A5265,Load!$B:$B,Load!D:D,0,)</f>
        <v>Mix of Chocolate and Non-Chocolate Candy</v>
      </c>
      <c r="D5265" t="str">
        <f>_xlfn.XLOOKUP($A5265,Load!$B:$B,Load!E:E,0,)</f>
        <v>Variety / Mixed Flavors (Fruity, Sour, Seasonal Flavors)</v>
      </c>
      <c r="E5265" t="str">
        <f>_xlfn.XLOOKUP($A5265,Load!$B:$B,Load!F:F,0,)</f>
        <v>Mixed / Combo Packs (Gummy, Chewy, Taffy, etc.)</v>
      </c>
      <c r="F5265" t="str">
        <f>_xlfn.XLOOKUP($A5265,Load!$B:$B,Load!G:G,0,)</f>
        <v>Large Multipack (More than 80 ct)</v>
      </c>
      <c r="G5265" t="str">
        <f>_xlfn.XLOOKUP($A5265,Load!$B:$B,Load!H:H,0,)</f>
        <v>Stand-Up Bag</v>
      </c>
      <c r="H5265" t="str">
        <f>_xlfn.XLOOKUP($A5265,Load!$B:$B,Load!I:I,0,)</f>
        <v>Everyday Candy Shapes (like Original, Gummy bear, Fruit, Jewels, etc.)</v>
      </c>
      <c r="I5265" t="str">
        <f>_xlfn.XLOOKUP($A5265,Load!$B:$B,Load!J:J,0,)</f>
        <v>Seasonal Graphics (Like Bat, Ghost, Pumpkin, Fall Leaves, Eyeballs, etc.)</v>
      </c>
      <c r="J5265" t="str">
        <f>_xlfn.XLOOKUP($A5265,Load!$B:$B,Load!K:K,0,)</f>
        <v xml:space="preserve">Variety Candy Sizes </v>
      </c>
      <c r="K5265" t="str">
        <f>_xlfn.XLOOKUP($A5265,Load!$B:$B,Load!L:L,0,)</f>
        <v>Regular/Original Wrapping</v>
      </c>
      <c r="L5265" t="str">
        <f>_xlfn.XLOOKUP($A5265,Load!$B:$B,Load!M:M,0,)</f>
        <v>Multiple Brands / Variety Flavors or Form</v>
      </c>
    </row>
    <row r="5266" spans="1:12" x14ac:dyDescent="0.25">
      <c r="B5266">
        <f>_xlfn.XLOOKUP($A5266,Load!$B:$B,Load!C:C,0,)</f>
        <v>0</v>
      </c>
      <c r="C5266">
        <f>_xlfn.XLOOKUP($A5266,Load!$B:$B,Load!D:D,0,)</f>
        <v>0</v>
      </c>
      <c r="D5266">
        <f>_xlfn.XLOOKUP($A5266,Load!$B:$B,Load!E:E,0,)</f>
        <v>0</v>
      </c>
      <c r="E5266">
        <f>_xlfn.XLOOKUP($A5266,Load!$B:$B,Load!F:F,0,)</f>
        <v>0</v>
      </c>
      <c r="F5266">
        <f>_xlfn.XLOOKUP($A5266,Load!$B:$B,Load!G:G,0,)</f>
        <v>0</v>
      </c>
      <c r="G5266">
        <f>_xlfn.XLOOKUP($A5266,Load!$B:$B,Load!H:H,0,)</f>
        <v>0</v>
      </c>
      <c r="H5266">
        <f>_xlfn.XLOOKUP($A5266,Load!$B:$B,Load!I:I,0,)</f>
        <v>0</v>
      </c>
      <c r="I5266">
        <f>_xlfn.XLOOKUP($A5266,Load!$B:$B,Load!J:J,0,)</f>
        <v>0</v>
      </c>
      <c r="J5266">
        <f>_xlfn.XLOOKUP($A5266,Load!$B:$B,Load!K:K,0,)</f>
        <v>0</v>
      </c>
      <c r="K5266">
        <f>_xlfn.XLOOKUP($A5266,Load!$B:$B,Load!L:L,0,)</f>
        <v>0</v>
      </c>
      <c r="L5266">
        <f>_xlfn.XLOOKUP($A5266,Load!$B:$B,Load!M:M,0,)</f>
        <v>0</v>
      </c>
    </row>
    <row r="5267" spans="1:12" x14ac:dyDescent="0.25">
      <c r="B5267">
        <f>_xlfn.XLOOKUP($A5267,Load!$B:$B,Load!C:C,0,)</f>
        <v>0</v>
      </c>
      <c r="C5267">
        <f>_xlfn.XLOOKUP($A5267,Load!$B:$B,Load!D:D,0,)</f>
        <v>0</v>
      </c>
      <c r="D5267">
        <f>_xlfn.XLOOKUP($A5267,Load!$B:$B,Load!E:E,0,)</f>
        <v>0</v>
      </c>
      <c r="E5267">
        <f>_xlfn.XLOOKUP($A5267,Load!$B:$B,Load!F:F,0,)</f>
        <v>0</v>
      </c>
      <c r="F5267">
        <f>_xlfn.XLOOKUP($A5267,Load!$B:$B,Load!G:G,0,)</f>
        <v>0</v>
      </c>
      <c r="G5267">
        <f>_xlfn.XLOOKUP($A5267,Load!$B:$B,Load!H:H,0,)</f>
        <v>0</v>
      </c>
      <c r="H5267">
        <f>_xlfn.XLOOKUP($A5267,Load!$B:$B,Load!I:I,0,)</f>
        <v>0</v>
      </c>
      <c r="I5267">
        <f>_xlfn.XLOOKUP($A5267,Load!$B:$B,Load!J:J,0,)</f>
        <v>0</v>
      </c>
      <c r="J5267">
        <f>_xlfn.XLOOKUP($A5267,Load!$B:$B,Load!K:K,0,)</f>
        <v>0</v>
      </c>
      <c r="K5267">
        <f>_xlfn.XLOOKUP($A5267,Load!$B:$B,Load!L:L,0,)</f>
        <v>0</v>
      </c>
      <c r="L5267">
        <f>_xlfn.XLOOKUP($A5267,Load!$B:$B,Load!M:M,0,)</f>
        <v>0</v>
      </c>
    </row>
    <row r="5268" spans="1:12" x14ac:dyDescent="0.25">
      <c r="A5268" t="s">
        <v>69</v>
      </c>
      <c r="B5268" t="str">
        <f>_xlfn.XLOOKUP($A5268,Load!$B:$B,Load!C:C,0,)</f>
        <v>Dum Dums</v>
      </c>
      <c r="C5268" t="str">
        <f>_xlfn.XLOOKUP($A5268,Load!$B:$B,Load!D:D,0,)</f>
        <v>Non-Chocolate Candy Only</v>
      </c>
      <c r="D5268" t="str">
        <f>_xlfn.XLOOKUP($A5268,Load!$B:$B,Load!E:E,0,)</f>
        <v>Sweet</v>
      </c>
      <c r="E5268" t="str">
        <f>_xlfn.XLOOKUP($A5268,Load!$B:$B,Load!F:F,0,)</f>
        <v>Lollipop (regular or lollipop rings)</v>
      </c>
      <c r="F5268" t="str">
        <f>_xlfn.XLOOKUP($A5268,Load!$B:$B,Load!G:G,0,)</f>
        <v>Single Pack</v>
      </c>
      <c r="G5268" t="str">
        <f>_xlfn.XLOOKUP($A5268,Load!$B:$B,Load!H:H,0,)</f>
        <v>Laydown Bag</v>
      </c>
      <c r="H5268" t="str">
        <f>_xlfn.XLOOKUP($A5268,Load!$B:$B,Load!I:I,0,)</f>
        <v>Seasonal Shapes (like pumpkins, candy corn, ghost, bats, etc.)</v>
      </c>
      <c r="I5268" t="str">
        <f>_xlfn.XLOOKUP($A5268,Load!$B:$B,Load!J:J,0,)</f>
        <v>Seasonal Graphics (Like Bat, Ghost, Pumpkin, Fall Leaves, Eyeballs, etc.)</v>
      </c>
      <c r="J5268" t="str">
        <f>_xlfn.XLOOKUP($A5268,Load!$B:$B,Load!K:K,0,)</f>
        <v>Regular Lollipop size (on sticks or rings)</v>
      </c>
      <c r="K5268" t="str">
        <f>_xlfn.XLOOKUP($A5268,Load!$B:$B,Load!L:L,0,)</f>
        <v>Regular/Original Wrapping</v>
      </c>
      <c r="L5268" t="str">
        <f>_xlfn.XLOOKUP($A5268,Load!$B:$B,Load!M:M,0,)</f>
        <v>Single Brand / Variety Flavors or Form</v>
      </c>
    </row>
    <row r="5269" spans="1:12" x14ac:dyDescent="0.25">
      <c r="A5269" t="s">
        <v>169</v>
      </c>
      <c r="B5269" t="str">
        <f>_xlfn.XLOOKUP($A5269,Load!$B:$B,Load!C:C,0,)</f>
        <v>Laffy Taffy</v>
      </c>
      <c r="C5269" t="str">
        <f>_xlfn.XLOOKUP($A5269,Load!$B:$B,Load!D:D,0,)</f>
        <v>Non-Chocolate Candy Only</v>
      </c>
      <c r="D5269" t="str">
        <f>_xlfn.XLOOKUP($A5269,Load!$B:$B,Load!E:E,0,)</f>
        <v>Fruit Flavor (Cherry, Grape, Apple, Citrus, Tropical Fruit)</v>
      </c>
      <c r="E5269" t="str">
        <f>_xlfn.XLOOKUP($A5269,Load!$B:$B,Load!F:F,0,)</f>
        <v>Taffy</v>
      </c>
      <c r="F5269" t="str">
        <f>_xlfn.XLOOKUP($A5269,Load!$B:$B,Load!G:G,0,)</f>
        <v>Small Multipack (Less than 40 ct)</v>
      </c>
      <c r="G5269" t="str">
        <f>_xlfn.XLOOKUP($A5269,Load!$B:$B,Load!H:H,0,)</f>
        <v>Laydown Bag</v>
      </c>
      <c r="H5269" t="str">
        <f>_xlfn.XLOOKUP($A5269,Load!$B:$B,Load!I:I,0,)</f>
        <v>Everyday Candy Shapes (like Original, Gummy bear, Fruit, Jewels, etc.)</v>
      </c>
      <c r="I5269" t="str">
        <f>_xlfn.XLOOKUP($A5269,Load!$B:$B,Load!J:J,0,)</f>
        <v>Everyday Graphics</v>
      </c>
      <c r="J5269" t="str">
        <f>_xlfn.XLOOKUP($A5269,Load!$B:$B,Load!K:K,0,)</f>
        <v>Fun Size / Treat Size</v>
      </c>
      <c r="K5269" t="str">
        <f>_xlfn.XLOOKUP($A5269,Load!$B:$B,Load!L:L,0,)</f>
        <v>Regular/Original Wrapping</v>
      </c>
      <c r="L5269" t="str">
        <f>_xlfn.XLOOKUP($A5269,Load!$B:$B,Load!M:M,0,)</f>
        <v>Single Brand / Variety Flavors or Form</v>
      </c>
    </row>
    <row r="5270" spans="1:12" x14ac:dyDescent="0.25">
      <c r="A5270" t="s">
        <v>311</v>
      </c>
      <c r="B5270" t="str">
        <f>_xlfn.XLOOKUP($A5270,Load!$B:$B,Load!C:C,0,)</f>
        <v>Werther's Original</v>
      </c>
      <c r="C5270" t="str">
        <f>_xlfn.XLOOKUP($A5270,Load!$B:$B,Load!D:D,0,)</f>
        <v>Non-Chocolate Candy Only</v>
      </c>
      <c r="D5270" t="str">
        <f>_xlfn.XLOOKUP($A5270,Load!$B:$B,Load!E:E,0,)</f>
        <v>Fall / Seasonal Flavors (pumpkin spice, caramel apple, candy corn)</v>
      </c>
      <c r="E5270" t="str">
        <f>_xlfn.XLOOKUP($A5270,Load!$B:$B,Load!F:F,0,)</f>
        <v>Chewy</v>
      </c>
      <c r="F5270" t="str">
        <f>_xlfn.XLOOKUP($A5270,Load!$B:$B,Load!G:G,0,)</f>
        <v>Single Pack</v>
      </c>
      <c r="G5270" t="str">
        <f>_xlfn.XLOOKUP($A5270,Load!$B:$B,Load!H:H,0,)</f>
        <v>Stand-Up Bag</v>
      </c>
      <c r="H5270" t="str">
        <f>_xlfn.XLOOKUP($A5270,Load!$B:$B,Load!I:I,0,)</f>
        <v>Everyday Candy Shapes (like Original, Gummy bear, Fruit, Jewels, etc.)</v>
      </c>
      <c r="I5270" t="str">
        <f>_xlfn.XLOOKUP($A5270,Load!$B:$B,Load!J:J,0,)</f>
        <v>Seasonal Graphics (Like Bat, Ghost, Pumpkin, Fall Leaves, Eyeballs, etc.)</v>
      </c>
      <c r="J5270" t="str">
        <f>_xlfn.XLOOKUP($A5270,Load!$B:$B,Load!K:K,0,)</f>
        <v>Fun Size / Treat Size</v>
      </c>
      <c r="K5270" t="str">
        <f>_xlfn.XLOOKUP($A5270,Load!$B:$B,Load!L:L,0,)</f>
        <v>Regular/Original Wrapping</v>
      </c>
      <c r="L5270" t="str">
        <f>_xlfn.XLOOKUP($A5270,Load!$B:$B,Load!M:M,0,)</f>
        <v>Single Brand / Variety Flavors or Form</v>
      </c>
    </row>
    <row r="5271" spans="1:12" x14ac:dyDescent="0.25">
      <c r="B5271">
        <f>_xlfn.XLOOKUP($A5271,Load!$B:$B,Load!C:C,0,)</f>
        <v>0</v>
      </c>
      <c r="C5271">
        <f>_xlfn.XLOOKUP($A5271,Load!$B:$B,Load!D:D,0,)</f>
        <v>0</v>
      </c>
      <c r="D5271">
        <f>_xlfn.XLOOKUP($A5271,Load!$B:$B,Load!E:E,0,)</f>
        <v>0</v>
      </c>
      <c r="E5271">
        <f>_xlfn.XLOOKUP($A5271,Load!$B:$B,Load!F:F,0,)</f>
        <v>0</v>
      </c>
      <c r="F5271">
        <f>_xlfn.XLOOKUP($A5271,Load!$B:$B,Load!G:G,0,)</f>
        <v>0</v>
      </c>
      <c r="G5271">
        <f>_xlfn.XLOOKUP($A5271,Load!$B:$B,Load!H:H,0,)</f>
        <v>0</v>
      </c>
      <c r="H5271">
        <f>_xlfn.XLOOKUP($A5271,Load!$B:$B,Load!I:I,0,)</f>
        <v>0</v>
      </c>
      <c r="I5271">
        <f>_xlfn.XLOOKUP($A5271,Load!$B:$B,Load!J:J,0,)</f>
        <v>0</v>
      </c>
      <c r="J5271">
        <f>_xlfn.XLOOKUP($A5271,Load!$B:$B,Load!K:K,0,)</f>
        <v>0</v>
      </c>
      <c r="K5271">
        <f>_xlfn.XLOOKUP($A5271,Load!$B:$B,Load!L:L,0,)</f>
        <v>0</v>
      </c>
      <c r="L5271">
        <f>_xlfn.XLOOKUP($A5271,Load!$B:$B,Load!M:M,0,)</f>
        <v>0</v>
      </c>
    </row>
    <row r="5272" spans="1:12" x14ac:dyDescent="0.25">
      <c r="A5272" t="s">
        <v>82</v>
      </c>
      <c r="B5272" t="str">
        <f>_xlfn.XLOOKUP($A5272,Load!$B:$B,Load!C:C,0,)</f>
        <v>Ferrara Variety Pack</v>
      </c>
      <c r="C5272" t="str">
        <f>_xlfn.XLOOKUP($A5272,Load!$B:$B,Load!D:D,0,)</f>
        <v>Non-Chocolate Candy Only</v>
      </c>
      <c r="D5272" t="str">
        <f>_xlfn.XLOOKUP($A5272,Load!$B:$B,Load!E:E,0,)</f>
        <v>Variety / Mixed Flavors (Fruity, Sour, Seasonal Flavors)</v>
      </c>
      <c r="E5272" t="str">
        <f>_xlfn.XLOOKUP($A5272,Load!$B:$B,Load!F:F,0,)</f>
        <v>Mixed / Combo Packs (Gummy, Chewy, Taffy, etc.)</v>
      </c>
      <c r="F5272" t="str">
        <f>_xlfn.XLOOKUP($A5272,Load!$B:$B,Load!G:G,0,)</f>
        <v>Large Multipack (More than 80 ct)</v>
      </c>
      <c r="G5272" t="str">
        <f>_xlfn.XLOOKUP($A5272,Load!$B:$B,Load!H:H,0,)</f>
        <v>Stand-Up Bag</v>
      </c>
      <c r="H5272" t="str">
        <f>_xlfn.XLOOKUP($A5272,Load!$B:$B,Load!I:I,0,)</f>
        <v>Everyday Candy Shapes (like Original, Gummy bear, Fruit, Jewels, etc.)</v>
      </c>
      <c r="I5272" t="str">
        <f>_xlfn.XLOOKUP($A5272,Load!$B:$B,Load!J:J,0,)</f>
        <v>Seasonal Graphics (Like Bat, Ghost, Pumpkin, Fall Leaves, Eyeballs, etc.)</v>
      </c>
      <c r="J5272" t="str">
        <f>_xlfn.XLOOKUP($A5272,Load!$B:$B,Load!K:K,0,)</f>
        <v xml:space="preserve">Variety Candy Sizes </v>
      </c>
      <c r="K5272" t="str">
        <f>_xlfn.XLOOKUP($A5272,Load!$B:$B,Load!L:L,0,)</f>
        <v>Regular/Original Wrapping</v>
      </c>
      <c r="L5272" t="str">
        <f>_xlfn.XLOOKUP($A5272,Load!$B:$B,Load!M:M,0,)</f>
        <v>Multiple Brands / Variety Flavors or Form</v>
      </c>
    </row>
    <row r="5273" spans="1:12" x14ac:dyDescent="0.25">
      <c r="B5273">
        <f>_xlfn.XLOOKUP($A5273,Load!$B:$B,Load!C:C,0,)</f>
        <v>0</v>
      </c>
      <c r="C5273">
        <f>_xlfn.XLOOKUP($A5273,Load!$B:$B,Load!D:D,0,)</f>
        <v>0</v>
      </c>
      <c r="D5273">
        <f>_xlfn.XLOOKUP($A5273,Load!$B:$B,Load!E:E,0,)</f>
        <v>0</v>
      </c>
      <c r="E5273">
        <f>_xlfn.XLOOKUP($A5273,Load!$B:$B,Load!F:F,0,)</f>
        <v>0</v>
      </c>
      <c r="F5273">
        <f>_xlfn.XLOOKUP($A5273,Load!$B:$B,Load!G:G,0,)</f>
        <v>0</v>
      </c>
      <c r="G5273">
        <f>_xlfn.XLOOKUP($A5273,Load!$B:$B,Load!H:H,0,)</f>
        <v>0</v>
      </c>
      <c r="H5273">
        <f>_xlfn.XLOOKUP($A5273,Load!$B:$B,Load!I:I,0,)</f>
        <v>0</v>
      </c>
      <c r="I5273">
        <f>_xlfn.XLOOKUP($A5273,Load!$B:$B,Load!J:J,0,)</f>
        <v>0</v>
      </c>
      <c r="J5273">
        <f>_xlfn.XLOOKUP($A5273,Load!$B:$B,Load!K:K,0,)</f>
        <v>0</v>
      </c>
      <c r="K5273">
        <f>_xlfn.XLOOKUP($A5273,Load!$B:$B,Load!L:L,0,)</f>
        <v>0</v>
      </c>
      <c r="L5273">
        <f>_xlfn.XLOOKUP($A5273,Load!$B:$B,Load!M:M,0,)</f>
        <v>0</v>
      </c>
    </row>
    <row r="5274" spans="1:12" x14ac:dyDescent="0.25">
      <c r="B5274">
        <f>_xlfn.XLOOKUP($A5274,Load!$B:$B,Load!C:C,0,)</f>
        <v>0</v>
      </c>
      <c r="C5274">
        <f>_xlfn.XLOOKUP($A5274,Load!$B:$B,Load!D:D,0,)</f>
        <v>0</v>
      </c>
      <c r="D5274">
        <f>_xlfn.XLOOKUP($A5274,Load!$B:$B,Load!E:E,0,)</f>
        <v>0</v>
      </c>
      <c r="E5274">
        <f>_xlfn.XLOOKUP($A5274,Load!$B:$B,Load!F:F,0,)</f>
        <v>0</v>
      </c>
      <c r="F5274">
        <f>_xlfn.XLOOKUP($A5274,Load!$B:$B,Load!G:G,0,)</f>
        <v>0</v>
      </c>
      <c r="G5274">
        <f>_xlfn.XLOOKUP($A5274,Load!$B:$B,Load!H:H,0,)</f>
        <v>0</v>
      </c>
      <c r="H5274">
        <f>_xlfn.XLOOKUP($A5274,Load!$B:$B,Load!I:I,0,)</f>
        <v>0</v>
      </c>
      <c r="I5274">
        <f>_xlfn.XLOOKUP($A5274,Load!$B:$B,Load!J:J,0,)</f>
        <v>0</v>
      </c>
      <c r="J5274">
        <f>_xlfn.XLOOKUP($A5274,Load!$B:$B,Load!K:K,0,)</f>
        <v>0</v>
      </c>
      <c r="K5274">
        <f>_xlfn.XLOOKUP($A5274,Load!$B:$B,Load!L:L,0,)</f>
        <v>0</v>
      </c>
      <c r="L5274">
        <f>_xlfn.XLOOKUP($A5274,Load!$B:$B,Load!M:M,0,)</f>
        <v>0</v>
      </c>
    </row>
    <row r="5275" spans="1:12" x14ac:dyDescent="0.25">
      <c r="B5275">
        <f>_xlfn.XLOOKUP($A5275,Load!$B:$B,Load!C:C,0,)</f>
        <v>0</v>
      </c>
      <c r="C5275">
        <f>_xlfn.XLOOKUP($A5275,Load!$B:$B,Load!D:D,0,)</f>
        <v>0</v>
      </c>
      <c r="D5275">
        <f>_xlfn.XLOOKUP($A5275,Load!$B:$B,Load!E:E,0,)</f>
        <v>0</v>
      </c>
      <c r="E5275">
        <f>_xlfn.XLOOKUP($A5275,Load!$B:$B,Load!F:F,0,)</f>
        <v>0</v>
      </c>
      <c r="F5275">
        <f>_xlfn.XLOOKUP($A5275,Load!$B:$B,Load!G:G,0,)</f>
        <v>0</v>
      </c>
      <c r="G5275">
        <f>_xlfn.XLOOKUP($A5275,Load!$B:$B,Load!H:H,0,)</f>
        <v>0</v>
      </c>
      <c r="H5275">
        <f>_xlfn.XLOOKUP($A5275,Load!$B:$B,Load!I:I,0,)</f>
        <v>0</v>
      </c>
      <c r="I5275">
        <f>_xlfn.XLOOKUP($A5275,Load!$B:$B,Load!J:J,0,)</f>
        <v>0</v>
      </c>
      <c r="J5275">
        <f>_xlfn.XLOOKUP($A5275,Load!$B:$B,Load!K:K,0,)</f>
        <v>0</v>
      </c>
      <c r="K5275">
        <f>_xlfn.XLOOKUP($A5275,Load!$B:$B,Load!L:L,0,)</f>
        <v>0</v>
      </c>
      <c r="L5275">
        <f>_xlfn.XLOOKUP($A5275,Load!$B:$B,Load!M:M,0,)</f>
        <v>0</v>
      </c>
    </row>
    <row r="5276" spans="1:12" x14ac:dyDescent="0.25">
      <c r="A5276" t="s">
        <v>12</v>
      </c>
      <c r="B5276" t="str">
        <f>_xlfn.XLOOKUP($A5276,Load!$B:$B,Load!C:C,0,)</f>
        <v>Airheads</v>
      </c>
      <c r="C5276" t="str">
        <f>_xlfn.XLOOKUP($A5276,Load!$B:$B,Load!D:D,0,)</f>
        <v>Non-Chocolate Candy Only</v>
      </c>
      <c r="D5276" t="str">
        <f>_xlfn.XLOOKUP($A5276,Load!$B:$B,Load!E:E,0,)</f>
        <v>Berry Based (Raspberry, Strawberry, Medley, etc.)</v>
      </c>
      <c r="E5276" t="str">
        <f>_xlfn.XLOOKUP($A5276,Load!$B:$B,Load!F:F,0,)</f>
        <v>Chewy</v>
      </c>
      <c r="F5276" t="str">
        <f>_xlfn.XLOOKUP($A5276,Load!$B:$B,Load!G:G,0,)</f>
        <v>Single Pack</v>
      </c>
      <c r="G5276" t="str">
        <f>_xlfn.XLOOKUP($A5276,Load!$B:$B,Load!H:H,0,)</f>
        <v>Laydown Bag</v>
      </c>
      <c r="H5276" t="str">
        <f>_xlfn.XLOOKUP($A5276,Load!$B:$B,Load!I:I,0,)</f>
        <v>Everyday Candy Shapes (like Original, Gummy bear, Fruit, Jewels, etc.)</v>
      </c>
      <c r="I5276" t="str">
        <f>_xlfn.XLOOKUP($A5276,Load!$B:$B,Load!J:J,0,)</f>
        <v>Everyday Graphics</v>
      </c>
      <c r="J5276" t="str">
        <f>_xlfn.XLOOKUP($A5276,Load!$B:$B,Load!K:K,0,)</f>
        <v>Fun Size / Treat Size</v>
      </c>
      <c r="K5276" t="str">
        <f>_xlfn.XLOOKUP($A5276,Load!$B:$B,Load!L:L,0,)</f>
        <v>Unwrapped</v>
      </c>
      <c r="L5276" t="str">
        <f>_xlfn.XLOOKUP($A5276,Load!$B:$B,Load!M:M,0,)</f>
        <v>Single Brand / Single Flavor or Form</v>
      </c>
    </row>
    <row r="5277" spans="1:12" x14ac:dyDescent="0.25">
      <c r="A5277" t="s">
        <v>277</v>
      </c>
      <c r="B5277" t="str">
        <f>_xlfn.XLOOKUP($A5277,Load!$B:$B,Load!C:C,0,)</f>
        <v>Sour Patch Kids</v>
      </c>
      <c r="C5277" t="str">
        <f>_xlfn.XLOOKUP($A5277,Load!$B:$B,Load!D:D,0,)</f>
        <v>Non-Chocolate Candy Only</v>
      </c>
      <c r="D5277" t="str">
        <f>_xlfn.XLOOKUP($A5277,Load!$B:$B,Load!E:E,0,)</f>
        <v>Sour</v>
      </c>
      <c r="E5277" t="str">
        <f>_xlfn.XLOOKUP($A5277,Load!$B:$B,Load!F:F,0,)</f>
        <v>Chewy</v>
      </c>
      <c r="F5277" t="str">
        <f>_xlfn.XLOOKUP($A5277,Load!$B:$B,Load!G:G,0,)</f>
        <v>Single Pack</v>
      </c>
      <c r="G5277" t="str">
        <f>_xlfn.XLOOKUP($A5277,Load!$B:$B,Load!H:H,0,)</f>
        <v>Peg Bag</v>
      </c>
      <c r="H5277" t="str">
        <f>_xlfn.XLOOKUP($A5277,Load!$B:$B,Load!I:I,0,)</f>
        <v>Everyday Candy Shapes (like Original, Gummy bear, Fruit, Jewels, etc.)</v>
      </c>
      <c r="I5277" t="str">
        <f>_xlfn.XLOOKUP($A5277,Load!$B:$B,Load!J:J,0,)</f>
        <v>Seasonal Graphics (Like Bat, Ghost, Pumpkin, Fall Leaves, Eyeballs, etc.)</v>
      </c>
      <c r="J5277" t="str">
        <f>_xlfn.XLOOKUP($A5277,Load!$B:$B,Load!K:K,0,)</f>
        <v>Small Pieces (Tiny bite size candies)</v>
      </c>
      <c r="K5277" t="str">
        <f>_xlfn.XLOOKUP($A5277,Load!$B:$B,Load!L:L,0,)</f>
        <v>Unwrapped</v>
      </c>
      <c r="L5277" t="str">
        <f>_xlfn.XLOOKUP($A5277,Load!$B:$B,Load!M:M,0,)</f>
        <v>Single Brand / Variety Flavors or Form</v>
      </c>
    </row>
    <row r="5278" spans="1:12" x14ac:dyDescent="0.25">
      <c r="B5278">
        <f>_xlfn.XLOOKUP($A5278,Load!$B:$B,Load!C:C,0,)</f>
        <v>0</v>
      </c>
      <c r="C5278">
        <f>_xlfn.XLOOKUP($A5278,Load!$B:$B,Load!D:D,0,)</f>
        <v>0</v>
      </c>
      <c r="D5278">
        <f>_xlfn.XLOOKUP($A5278,Load!$B:$B,Load!E:E,0,)</f>
        <v>0</v>
      </c>
      <c r="E5278">
        <f>_xlfn.XLOOKUP($A5278,Load!$B:$B,Load!F:F,0,)</f>
        <v>0</v>
      </c>
      <c r="F5278">
        <f>_xlfn.XLOOKUP($A5278,Load!$B:$B,Load!G:G,0,)</f>
        <v>0</v>
      </c>
      <c r="G5278">
        <f>_xlfn.XLOOKUP($A5278,Load!$B:$B,Load!H:H,0,)</f>
        <v>0</v>
      </c>
      <c r="H5278">
        <f>_xlfn.XLOOKUP($A5278,Load!$B:$B,Load!I:I,0,)</f>
        <v>0</v>
      </c>
      <c r="I5278">
        <f>_xlfn.XLOOKUP($A5278,Load!$B:$B,Load!J:J,0,)</f>
        <v>0</v>
      </c>
      <c r="J5278">
        <f>_xlfn.XLOOKUP($A5278,Load!$B:$B,Load!K:K,0,)</f>
        <v>0</v>
      </c>
      <c r="K5278">
        <f>_xlfn.XLOOKUP($A5278,Load!$B:$B,Load!L:L,0,)</f>
        <v>0</v>
      </c>
      <c r="L5278">
        <f>_xlfn.XLOOKUP($A5278,Load!$B:$B,Load!M:M,0,)</f>
        <v>0</v>
      </c>
    </row>
    <row r="5279" spans="1:12" x14ac:dyDescent="0.25">
      <c r="B5279">
        <f>_xlfn.XLOOKUP($A5279,Load!$B:$B,Load!C:C,0,)</f>
        <v>0</v>
      </c>
      <c r="C5279">
        <f>_xlfn.XLOOKUP($A5279,Load!$B:$B,Load!D:D,0,)</f>
        <v>0</v>
      </c>
      <c r="D5279">
        <f>_xlfn.XLOOKUP($A5279,Load!$B:$B,Load!E:E,0,)</f>
        <v>0</v>
      </c>
      <c r="E5279">
        <f>_xlfn.XLOOKUP($A5279,Load!$B:$B,Load!F:F,0,)</f>
        <v>0</v>
      </c>
      <c r="F5279">
        <f>_xlfn.XLOOKUP($A5279,Load!$B:$B,Load!G:G,0,)</f>
        <v>0</v>
      </c>
      <c r="G5279">
        <f>_xlfn.XLOOKUP($A5279,Load!$B:$B,Load!H:H,0,)</f>
        <v>0</v>
      </c>
      <c r="H5279">
        <f>_xlfn.XLOOKUP($A5279,Load!$B:$B,Load!I:I,0,)</f>
        <v>0</v>
      </c>
      <c r="I5279">
        <f>_xlfn.XLOOKUP($A5279,Load!$B:$B,Load!J:J,0,)</f>
        <v>0</v>
      </c>
      <c r="J5279">
        <f>_xlfn.XLOOKUP($A5279,Load!$B:$B,Load!K:K,0,)</f>
        <v>0</v>
      </c>
      <c r="K5279">
        <f>_xlfn.XLOOKUP($A5279,Load!$B:$B,Load!L:L,0,)</f>
        <v>0</v>
      </c>
      <c r="L5279">
        <f>_xlfn.XLOOKUP($A5279,Load!$B:$B,Load!M:M,0,)</f>
        <v>0</v>
      </c>
    </row>
    <row r="5280" spans="1:12" x14ac:dyDescent="0.25">
      <c r="A5280" t="s">
        <v>143</v>
      </c>
      <c r="B5280" t="str">
        <f>_xlfn.XLOOKUP($A5280,Load!$B:$B,Load!C:C,0,)</f>
        <v>Hershey's Variety Pack + Haribo</v>
      </c>
      <c r="C5280" t="str">
        <f>_xlfn.XLOOKUP($A5280,Load!$B:$B,Load!D:D,0,)</f>
        <v>Non-Chocolate Candy Only</v>
      </c>
      <c r="D5280" t="str">
        <f>_xlfn.XLOOKUP($A5280,Load!$B:$B,Load!E:E,0,)</f>
        <v>Variety / Mixed Flavors (Fruity, Sour, Seasonal Flavors)</v>
      </c>
      <c r="E5280" t="str">
        <f>_xlfn.XLOOKUP($A5280,Load!$B:$B,Load!F:F,0,)</f>
        <v>Mixed / Combo Packs (Gummy, Chewy, Taffy, etc.)</v>
      </c>
      <c r="F5280" t="str">
        <f>_xlfn.XLOOKUP($A5280,Load!$B:$B,Load!G:G,0,)</f>
        <v>Small Multipack (Less than 40 ct)</v>
      </c>
      <c r="G5280" t="str">
        <f>_xlfn.XLOOKUP($A5280,Load!$B:$B,Load!H:H,0,)</f>
        <v>Laydown Bag</v>
      </c>
      <c r="H5280" t="str">
        <f>_xlfn.XLOOKUP($A5280,Load!$B:$B,Load!I:I,0,)</f>
        <v>Seasonal Shapes (like pumpkins, candy corn, ghost, bats, etc.)</v>
      </c>
      <c r="I5280" t="str">
        <f>_xlfn.XLOOKUP($A5280,Load!$B:$B,Load!J:J,0,)</f>
        <v>Seasonal Graphics (Like Bat, Ghost, Pumpkin, Fall Leaves, Eyeballs, etc.)</v>
      </c>
      <c r="J5280" t="str">
        <f>_xlfn.XLOOKUP($A5280,Load!$B:$B,Load!K:K,0,)</f>
        <v>Fun Size / Treat Size</v>
      </c>
      <c r="K5280" t="str">
        <f>_xlfn.XLOOKUP($A5280,Load!$B:$B,Load!L:L,0,)</f>
        <v>Regular/Original Wrapping</v>
      </c>
      <c r="L5280" t="str">
        <f>_xlfn.XLOOKUP($A5280,Load!$B:$B,Load!M:M,0,)</f>
        <v>Multiple Brands / Variety Flavors or Form</v>
      </c>
    </row>
    <row r="5281" spans="1:12" x14ac:dyDescent="0.25">
      <c r="B5281">
        <f>_xlfn.XLOOKUP($A5281,Load!$B:$B,Load!C:C,0,)</f>
        <v>0</v>
      </c>
      <c r="C5281">
        <f>_xlfn.XLOOKUP($A5281,Load!$B:$B,Load!D:D,0,)</f>
        <v>0</v>
      </c>
      <c r="D5281">
        <f>_xlfn.XLOOKUP($A5281,Load!$B:$B,Load!E:E,0,)</f>
        <v>0</v>
      </c>
      <c r="E5281">
        <f>_xlfn.XLOOKUP($A5281,Load!$B:$B,Load!F:F,0,)</f>
        <v>0</v>
      </c>
      <c r="F5281">
        <f>_xlfn.XLOOKUP($A5281,Load!$B:$B,Load!G:G,0,)</f>
        <v>0</v>
      </c>
      <c r="G5281">
        <f>_xlfn.XLOOKUP($A5281,Load!$B:$B,Load!H:H,0,)</f>
        <v>0</v>
      </c>
      <c r="H5281">
        <f>_xlfn.XLOOKUP($A5281,Load!$B:$B,Load!I:I,0,)</f>
        <v>0</v>
      </c>
      <c r="I5281">
        <f>_xlfn.XLOOKUP($A5281,Load!$B:$B,Load!J:J,0,)</f>
        <v>0</v>
      </c>
      <c r="J5281">
        <f>_xlfn.XLOOKUP($A5281,Load!$B:$B,Load!K:K,0,)</f>
        <v>0</v>
      </c>
      <c r="K5281">
        <f>_xlfn.XLOOKUP($A5281,Load!$B:$B,Load!L:L,0,)</f>
        <v>0</v>
      </c>
      <c r="L5281">
        <f>_xlfn.XLOOKUP($A5281,Load!$B:$B,Load!M:M,0,)</f>
        <v>0</v>
      </c>
    </row>
    <row r="5282" spans="1:12" x14ac:dyDescent="0.25">
      <c r="B5282">
        <f>_xlfn.XLOOKUP($A5282,Load!$B:$B,Load!C:C,0,)</f>
        <v>0</v>
      </c>
      <c r="C5282">
        <f>_xlfn.XLOOKUP($A5282,Load!$B:$B,Load!D:D,0,)</f>
        <v>0</v>
      </c>
      <c r="D5282">
        <f>_xlfn.XLOOKUP($A5282,Load!$B:$B,Load!E:E,0,)</f>
        <v>0</v>
      </c>
      <c r="E5282">
        <f>_xlfn.XLOOKUP($A5282,Load!$B:$B,Load!F:F,0,)</f>
        <v>0</v>
      </c>
      <c r="F5282">
        <f>_xlfn.XLOOKUP($A5282,Load!$B:$B,Load!G:G,0,)</f>
        <v>0</v>
      </c>
      <c r="G5282">
        <f>_xlfn.XLOOKUP($A5282,Load!$B:$B,Load!H:H,0,)</f>
        <v>0</v>
      </c>
      <c r="H5282">
        <f>_xlfn.XLOOKUP($A5282,Load!$B:$B,Load!I:I,0,)</f>
        <v>0</v>
      </c>
      <c r="I5282">
        <f>_xlfn.XLOOKUP($A5282,Load!$B:$B,Load!J:J,0,)</f>
        <v>0</v>
      </c>
      <c r="J5282">
        <f>_xlfn.XLOOKUP($A5282,Load!$B:$B,Load!K:K,0,)</f>
        <v>0</v>
      </c>
      <c r="K5282">
        <f>_xlfn.XLOOKUP($A5282,Load!$B:$B,Load!L:L,0,)</f>
        <v>0</v>
      </c>
      <c r="L5282">
        <f>_xlfn.XLOOKUP($A5282,Load!$B:$B,Load!M:M,0,)</f>
        <v>0</v>
      </c>
    </row>
    <row r="5283" spans="1:12" x14ac:dyDescent="0.25">
      <c r="B5283">
        <f>_xlfn.XLOOKUP($A5283,Load!$B:$B,Load!C:C,0,)</f>
        <v>0</v>
      </c>
      <c r="C5283">
        <f>_xlfn.XLOOKUP($A5283,Load!$B:$B,Load!D:D,0,)</f>
        <v>0</v>
      </c>
      <c r="D5283">
        <f>_xlfn.XLOOKUP($A5283,Load!$B:$B,Load!E:E,0,)</f>
        <v>0</v>
      </c>
      <c r="E5283">
        <f>_xlfn.XLOOKUP($A5283,Load!$B:$B,Load!F:F,0,)</f>
        <v>0</v>
      </c>
      <c r="F5283">
        <f>_xlfn.XLOOKUP($A5283,Load!$B:$B,Load!G:G,0,)</f>
        <v>0</v>
      </c>
      <c r="G5283">
        <f>_xlfn.XLOOKUP($A5283,Load!$B:$B,Load!H:H,0,)</f>
        <v>0</v>
      </c>
      <c r="H5283">
        <f>_xlfn.XLOOKUP($A5283,Load!$B:$B,Load!I:I,0,)</f>
        <v>0</v>
      </c>
      <c r="I5283">
        <f>_xlfn.XLOOKUP($A5283,Load!$B:$B,Load!J:J,0,)</f>
        <v>0</v>
      </c>
      <c r="J5283">
        <f>_xlfn.XLOOKUP($A5283,Load!$B:$B,Load!K:K,0,)</f>
        <v>0</v>
      </c>
      <c r="K5283">
        <f>_xlfn.XLOOKUP($A5283,Load!$B:$B,Load!L:L,0,)</f>
        <v>0</v>
      </c>
      <c r="L5283">
        <f>_xlfn.XLOOKUP($A5283,Load!$B:$B,Load!M:M,0,)</f>
        <v>0</v>
      </c>
    </row>
    <row r="5284" spans="1:12" x14ac:dyDescent="0.25">
      <c r="A5284" t="s">
        <v>474</v>
      </c>
      <c r="B5284" t="str">
        <f>_xlfn.XLOOKUP($A5284,Load!$B:$B,Load!C:C,0,)</f>
        <v>Smarties</v>
      </c>
      <c r="C5284" t="str">
        <f>_xlfn.XLOOKUP($A5284,Load!$B:$B,Load!D:D,0,)</f>
        <v>Non-Chocolate Candy Only</v>
      </c>
      <c r="D5284" t="str">
        <f>_xlfn.XLOOKUP($A5284,Load!$B:$B,Load!E:E,0,)</f>
        <v>Variety / Mixed Flavors (Fruity, Sour, Seasonal Flavors)</v>
      </c>
      <c r="E5284" t="str">
        <f>_xlfn.XLOOKUP($A5284,Load!$B:$B,Load!F:F,0,)</f>
        <v>Powder / Chalky</v>
      </c>
      <c r="F5284" t="str">
        <f>_xlfn.XLOOKUP($A5284,Load!$B:$B,Load!G:G,0,)</f>
        <v>Single Pack</v>
      </c>
      <c r="G5284" t="str">
        <f>_xlfn.XLOOKUP($A5284,Load!$B:$B,Load!H:H,0,)</f>
        <v>Laydown Bag</v>
      </c>
      <c r="H5284" t="str">
        <f>_xlfn.XLOOKUP($A5284,Load!$B:$B,Load!I:I,0,)</f>
        <v>Everyday Candy Shapes (like Original, Gummy bear, Fruit, Jewels, etc.)</v>
      </c>
      <c r="I5284" t="str">
        <f>_xlfn.XLOOKUP($A5284,Load!$B:$B,Load!J:J,0,)</f>
        <v>Everyday Graphics</v>
      </c>
      <c r="J5284" t="str">
        <f>_xlfn.XLOOKUP($A5284,Load!$B:$B,Load!K:K,0,)</f>
        <v>Fun Size / Treat Size</v>
      </c>
      <c r="K5284" t="str">
        <f>_xlfn.XLOOKUP($A5284,Load!$B:$B,Load!L:L,0,)</f>
        <v>Regular/Original Wrapping</v>
      </c>
      <c r="L5284" t="str">
        <f>_xlfn.XLOOKUP($A5284,Load!$B:$B,Load!M:M,0,)</f>
        <v>Single Brand / Variety Flavors or Form</v>
      </c>
    </row>
    <row r="5285" spans="1:12" x14ac:dyDescent="0.25">
      <c r="B5285">
        <f>_xlfn.XLOOKUP($A5285,Load!$B:$B,Load!C:C,0,)</f>
        <v>0</v>
      </c>
      <c r="C5285">
        <f>_xlfn.XLOOKUP($A5285,Load!$B:$B,Load!D:D,0,)</f>
        <v>0</v>
      </c>
      <c r="D5285">
        <f>_xlfn.XLOOKUP($A5285,Load!$B:$B,Load!E:E,0,)</f>
        <v>0</v>
      </c>
      <c r="E5285">
        <f>_xlfn.XLOOKUP($A5285,Load!$B:$B,Load!F:F,0,)</f>
        <v>0</v>
      </c>
      <c r="F5285">
        <f>_xlfn.XLOOKUP($A5285,Load!$B:$B,Load!G:G,0,)</f>
        <v>0</v>
      </c>
      <c r="G5285">
        <f>_xlfn.XLOOKUP($A5285,Load!$B:$B,Load!H:H,0,)</f>
        <v>0</v>
      </c>
      <c r="H5285">
        <f>_xlfn.XLOOKUP($A5285,Load!$B:$B,Load!I:I,0,)</f>
        <v>0</v>
      </c>
      <c r="I5285">
        <f>_xlfn.XLOOKUP($A5285,Load!$B:$B,Load!J:J,0,)</f>
        <v>0</v>
      </c>
      <c r="J5285">
        <f>_xlfn.XLOOKUP($A5285,Load!$B:$B,Load!K:K,0,)</f>
        <v>0</v>
      </c>
      <c r="K5285">
        <f>_xlfn.XLOOKUP($A5285,Load!$B:$B,Load!L:L,0,)</f>
        <v>0</v>
      </c>
      <c r="L5285">
        <f>_xlfn.XLOOKUP($A5285,Load!$B:$B,Load!M:M,0,)</f>
        <v>0</v>
      </c>
    </row>
    <row r="5286" spans="1:12" x14ac:dyDescent="0.25">
      <c r="A5286" t="s">
        <v>70</v>
      </c>
      <c r="B5286" t="str">
        <f>_xlfn.XLOOKUP($A5286,Load!$B:$B,Load!C:C,0,)</f>
        <v>Dum Dums</v>
      </c>
      <c r="C5286" t="str">
        <f>_xlfn.XLOOKUP($A5286,Load!$B:$B,Load!D:D,0,)</f>
        <v>Non-Chocolate Candy Only</v>
      </c>
      <c r="D5286" t="str">
        <f>_xlfn.XLOOKUP($A5286,Load!$B:$B,Load!E:E,0,)</f>
        <v>Fall / Seasonal Flavors (pumpkin spice, caramel apple, candy corn)</v>
      </c>
      <c r="E5286" t="str">
        <f>_xlfn.XLOOKUP($A5286,Load!$B:$B,Load!F:F,0,)</f>
        <v>Lollipop (regular or lollipop rings)</v>
      </c>
      <c r="F5286" t="str">
        <f>_xlfn.XLOOKUP($A5286,Load!$B:$B,Load!G:G,0,)</f>
        <v>Single Pack</v>
      </c>
      <c r="G5286" t="str">
        <f>_xlfn.XLOOKUP($A5286,Load!$B:$B,Load!H:H,0,)</f>
        <v>Laydown Bag</v>
      </c>
      <c r="H5286" t="str">
        <f>_xlfn.XLOOKUP($A5286,Load!$B:$B,Load!I:I,0,)</f>
        <v>Everyday Candy Shapes (like Original, Gummy bear, Fruit, Jewels, etc.)</v>
      </c>
      <c r="I5286" t="str">
        <f>_xlfn.XLOOKUP($A5286,Load!$B:$B,Load!J:J,0,)</f>
        <v>Seasonal Graphics (Like Bat, Ghost, Pumpkin, Fall Leaves, Eyeballs, etc.)</v>
      </c>
      <c r="J5286" t="str">
        <f>_xlfn.XLOOKUP($A5286,Load!$B:$B,Load!K:K,0,)</f>
        <v>Regular Lollipop size (on sticks or rings)</v>
      </c>
      <c r="K5286" t="str">
        <f>_xlfn.XLOOKUP($A5286,Load!$B:$B,Load!L:L,0,)</f>
        <v>Regular/Original Wrapping</v>
      </c>
      <c r="L5286" t="str">
        <f>_xlfn.XLOOKUP($A5286,Load!$B:$B,Load!M:M,0,)</f>
        <v>Single Brand / Variety Flavors or Form</v>
      </c>
    </row>
    <row r="5287" spans="1:12" x14ac:dyDescent="0.25">
      <c r="A5287" t="s">
        <v>61</v>
      </c>
      <c r="B5287" t="str">
        <f>_xlfn.XLOOKUP($A5287,Load!$B:$B,Load!C:C,0,)</f>
        <v>Charms</v>
      </c>
      <c r="C5287" t="str">
        <f>_xlfn.XLOOKUP($A5287,Load!$B:$B,Load!D:D,0,)</f>
        <v>Non-Chocolate Candy Only</v>
      </c>
      <c r="D5287" t="str">
        <f>_xlfn.XLOOKUP($A5287,Load!$B:$B,Load!E:E,0,)</f>
        <v>Fruit Flavor (Cherry, Grape, Apple, Citrus, Tropical Fruit)</v>
      </c>
      <c r="E5287" t="str">
        <f>_xlfn.XLOOKUP($A5287,Load!$B:$B,Load!F:F,0,)</f>
        <v>Lollipop (regular or lollipop rings)</v>
      </c>
      <c r="F5287" t="str">
        <f>_xlfn.XLOOKUP($A5287,Load!$B:$B,Load!G:G,0,)</f>
        <v>Single Pack</v>
      </c>
      <c r="G5287" t="str">
        <f>_xlfn.XLOOKUP($A5287,Load!$B:$B,Load!H:H,0,)</f>
        <v>Laydown Bag</v>
      </c>
      <c r="H5287" t="str">
        <f>_xlfn.XLOOKUP($A5287,Load!$B:$B,Load!I:I,0,)</f>
        <v>Everyday Candy Shapes (like Original, Gummy bear, Fruit, Jewels, etc.)</v>
      </c>
      <c r="I5287" t="str">
        <f>_xlfn.XLOOKUP($A5287,Load!$B:$B,Load!J:J,0,)</f>
        <v>Seasonal Graphics (Like Bat, Ghost, Pumpkin, Fall Leaves, Eyeballs, etc.)</v>
      </c>
      <c r="J5287" t="str">
        <f>_xlfn.XLOOKUP($A5287,Load!$B:$B,Load!K:K,0,)</f>
        <v>Regular Lollipop size (on sticks or rings)</v>
      </c>
      <c r="K5287" t="str">
        <f>_xlfn.XLOOKUP($A5287,Load!$B:$B,Load!L:L,0,)</f>
        <v>Regular/Original Wrapping</v>
      </c>
      <c r="L5287" t="str">
        <f>_xlfn.XLOOKUP($A5287,Load!$B:$B,Load!M:M,0,)</f>
        <v>Single Brand / Variety Flavors or Form</v>
      </c>
    </row>
    <row r="5288" spans="1:12" x14ac:dyDescent="0.25">
      <c r="A5288" t="s">
        <v>213</v>
      </c>
      <c r="B5288" t="str">
        <f>_xlfn.XLOOKUP($A5288,Load!$B:$B,Load!C:C,0,)</f>
        <v>Mars Variety Pack</v>
      </c>
      <c r="C5288" t="str">
        <f>_xlfn.XLOOKUP($A5288,Load!$B:$B,Load!D:D,0,)</f>
        <v>Mix of Chocolate and Non-Chocolate Candy</v>
      </c>
      <c r="D5288" t="str">
        <f>_xlfn.XLOOKUP($A5288,Load!$B:$B,Load!E:E,0,)</f>
        <v>Variety / Mixed Flavors (Fruity, Sour, Seasonal Flavors)</v>
      </c>
      <c r="E5288" t="str">
        <f>_xlfn.XLOOKUP($A5288,Load!$B:$B,Load!F:F,0,)</f>
        <v>Mixed / Combo Packs (Gummy, Chewy, Taffy, etc.)</v>
      </c>
      <c r="F5288" t="str">
        <f>_xlfn.XLOOKUP($A5288,Load!$B:$B,Load!G:G,0,)</f>
        <v>Medium Multipack (40–80 ct)</v>
      </c>
      <c r="G5288" t="str">
        <f>_xlfn.XLOOKUP($A5288,Load!$B:$B,Load!H:H,0,)</f>
        <v>Stand-Up Bag</v>
      </c>
      <c r="H5288" t="str">
        <f>_xlfn.XLOOKUP($A5288,Load!$B:$B,Load!I:I,0,)</f>
        <v>Everyday Candy Shapes (like Original, Gummy bear, Fruit, Jewels, etc.)</v>
      </c>
      <c r="I5288" t="str">
        <f>_xlfn.XLOOKUP($A5288,Load!$B:$B,Load!J:J,0,)</f>
        <v>Seasonal Graphics (Like Bat, Ghost, Pumpkin, Fall Leaves, Eyeballs, etc.)</v>
      </c>
      <c r="J5288" t="str">
        <f>_xlfn.XLOOKUP($A5288,Load!$B:$B,Load!K:K,0,)</f>
        <v>Fun Size / Treat Size</v>
      </c>
      <c r="K5288" t="str">
        <f>_xlfn.XLOOKUP($A5288,Load!$B:$B,Load!L:L,0,)</f>
        <v>Regular/Original Wrapping</v>
      </c>
      <c r="L5288" t="str">
        <f>_xlfn.XLOOKUP($A5288,Load!$B:$B,Load!M:M,0,)</f>
        <v>Multiple Brands / Variety Flavors or Form</v>
      </c>
    </row>
    <row r="5289" spans="1:12" x14ac:dyDescent="0.25">
      <c r="B5289">
        <f>_xlfn.XLOOKUP($A5289,Load!$B:$B,Load!C:C,0,)</f>
        <v>0</v>
      </c>
      <c r="C5289">
        <f>_xlfn.XLOOKUP($A5289,Load!$B:$B,Load!D:D,0,)</f>
        <v>0</v>
      </c>
      <c r="D5289">
        <f>_xlfn.XLOOKUP($A5289,Load!$B:$B,Load!E:E,0,)</f>
        <v>0</v>
      </c>
      <c r="E5289">
        <f>_xlfn.XLOOKUP($A5289,Load!$B:$B,Load!F:F,0,)</f>
        <v>0</v>
      </c>
      <c r="F5289">
        <f>_xlfn.XLOOKUP($A5289,Load!$B:$B,Load!G:G,0,)</f>
        <v>0</v>
      </c>
      <c r="G5289">
        <f>_xlfn.XLOOKUP($A5289,Load!$B:$B,Load!H:H,0,)</f>
        <v>0</v>
      </c>
      <c r="H5289">
        <f>_xlfn.XLOOKUP($A5289,Load!$B:$B,Load!I:I,0,)</f>
        <v>0</v>
      </c>
      <c r="I5289">
        <f>_xlfn.XLOOKUP($A5289,Load!$B:$B,Load!J:J,0,)</f>
        <v>0</v>
      </c>
      <c r="J5289">
        <f>_xlfn.XLOOKUP($A5289,Load!$B:$B,Load!K:K,0,)</f>
        <v>0</v>
      </c>
      <c r="K5289">
        <f>_xlfn.XLOOKUP($A5289,Load!$B:$B,Load!L:L,0,)</f>
        <v>0</v>
      </c>
      <c r="L5289">
        <f>_xlfn.XLOOKUP($A5289,Load!$B:$B,Load!M:M,0,)</f>
        <v>0</v>
      </c>
    </row>
    <row r="5290" spans="1:12" x14ac:dyDescent="0.25">
      <c r="A5290" t="s">
        <v>171</v>
      </c>
      <c r="B5290" t="str">
        <f>_xlfn.XLOOKUP($A5290,Load!$B:$B,Load!C:C,0,)</f>
        <v>Mamba</v>
      </c>
      <c r="C5290" t="str">
        <f>_xlfn.XLOOKUP($A5290,Load!$B:$B,Load!D:D,0,)</f>
        <v>Non-Chocolate Candy Only</v>
      </c>
      <c r="D5290" t="str">
        <f>_xlfn.XLOOKUP($A5290,Load!$B:$B,Load!E:E,0,)</f>
        <v>Fruit Flavor (Cherry, Grape, Apple, Citrus, Tropical Fruit)</v>
      </c>
      <c r="E5290" t="str">
        <f>_xlfn.XLOOKUP($A5290,Load!$B:$B,Load!F:F,0,)</f>
        <v>Chewy</v>
      </c>
      <c r="F5290" t="str">
        <f>_xlfn.XLOOKUP($A5290,Load!$B:$B,Load!G:G,0,)</f>
        <v>Large Multipack (More than 80 ct)</v>
      </c>
      <c r="G5290" t="str">
        <f>_xlfn.XLOOKUP($A5290,Load!$B:$B,Load!H:H,0,)</f>
        <v>Stand-Up Bag</v>
      </c>
      <c r="H5290" t="str">
        <f>_xlfn.XLOOKUP($A5290,Load!$B:$B,Load!I:I,0,)</f>
        <v>Seasonal Shapes (like pumpkins, candy corn, ghost, bats, etc.)</v>
      </c>
      <c r="I5290" t="str">
        <f>_xlfn.XLOOKUP($A5290,Load!$B:$B,Load!J:J,0,)</f>
        <v>Seasonal Graphics (Like Bat, Ghost, Pumpkin, Fall Leaves, Eyeballs, etc.)</v>
      </c>
      <c r="J5290" t="str">
        <f>_xlfn.XLOOKUP($A5290,Load!$B:$B,Load!K:K,0,)</f>
        <v>Fun Size / Treat Size</v>
      </c>
      <c r="K5290" t="str">
        <f>_xlfn.XLOOKUP($A5290,Load!$B:$B,Load!L:L,0,)</f>
        <v>Regular/Original Wrapping</v>
      </c>
      <c r="L5290" t="str">
        <f>_xlfn.XLOOKUP($A5290,Load!$B:$B,Load!M:M,0,)</f>
        <v>Single Brand / Variety Flavors or Form</v>
      </c>
    </row>
    <row r="5291" spans="1:12" x14ac:dyDescent="0.25">
      <c r="B5291">
        <f>_xlfn.XLOOKUP($A5291,Load!$B:$B,Load!C:C,0,)</f>
        <v>0</v>
      </c>
      <c r="C5291">
        <f>_xlfn.XLOOKUP($A5291,Load!$B:$B,Load!D:D,0,)</f>
        <v>0</v>
      </c>
      <c r="D5291">
        <f>_xlfn.XLOOKUP($A5291,Load!$B:$B,Load!E:E,0,)</f>
        <v>0</v>
      </c>
      <c r="E5291">
        <f>_xlfn.XLOOKUP($A5291,Load!$B:$B,Load!F:F,0,)</f>
        <v>0</v>
      </c>
      <c r="F5291">
        <f>_xlfn.XLOOKUP($A5291,Load!$B:$B,Load!G:G,0,)</f>
        <v>0</v>
      </c>
      <c r="G5291">
        <f>_xlfn.XLOOKUP($A5291,Load!$B:$B,Load!H:H,0,)</f>
        <v>0</v>
      </c>
      <c r="H5291">
        <f>_xlfn.XLOOKUP($A5291,Load!$B:$B,Load!I:I,0,)</f>
        <v>0</v>
      </c>
      <c r="I5291">
        <f>_xlfn.XLOOKUP($A5291,Load!$B:$B,Load!J:J,0,)</f>
        <v>0</v>
      </c>
      <c r="J5291">
        <f>_xlfn.XLOOKUP($A5291,Load!$B:$B,Load!K:K,0,)</f>
        <v>0</v>
      </c>
      <c r="K5291">
        <f>_xlfn.XLOOKUP($A5291,Load!$B:$B,Load!L:L,0,)</f>
        <v>0</v>
      </c>
      <c r="L5291">
        <f>_xlfn.XLOOKUP($A5291,Load!$B:$B,Load!M:M,0,)</f>
        <v>0</v>
      </c>
    </row>
    <row r="5292" spans="1:12" x14ac:dyDescent="0.25">
      <c r="A5292" t="s">
        <v>65</v>
      </c>
      <c r="B5292" t="str">
        <f>_xlfn.XLOOKUP($A5292,Load!$B:$B,Load!C:C,0,)</f>
        <v>Dots</v>
      </c>
      <c r="C5292" t="str">
        <f>_xlfn.XLOOKUP($A5292,Load!$B:$B,Load!D:D,0,)</f>
        <v>Non-Chocolate Candy Only</v>
      </c>
      <c r="D5292" t="str">
        <f>_xlfn.XLOOKUP($A5292,Load!$B:$B,Load!E:E,0,)</f>
        <v>Variety / Mixed Flavors (Fruity, Sour, Seasonal Flavors)</v>
      </c>
      <c r="E5292" t="str">
        <f>_xlfn.XLOOKUP($A5292,Load!$B:$B,Load!F:F,0,)</f>
        <v>Candy Pieces / Bites</v>
      </c>
      <c r="F5292" t="str">
        <f>_xlfn.XLOOKUP($A5292,Load!$B:$B,Load!G:G,0,)</f>
        <v>Medium Multipack (40–80 ct)</v>
      </c>
      <c r="G5292" t="str">
        <f>_xlfn.XLOOKUP($A5292,Load!$B:$B,Load!H:H,0,)</f>
        <v>Box (theatre box, gift box, carton)</v>
      </c>
      <c r="H5292" t="str">
        <f>_xlfn.XLOOKUP($A5292,Load!$B:$B,Load!I:I,0,)</f>
        <v>Seasonal Shapes (like pumpkins, candy corn, ghost, bats, etc.)</v>
      </c>
      <c r="I5292" t="str">
        <f>_xlfn.XLOOKUP($A5292,Load!$B:$B,Load!J:J,0,)</f>
        <v>Seasonal Graphics (Like Bat, Ghost, Pumpkin, Fall Leaves, Eyeballs, etc.)</v>
      </c>
      <c r="J5292" t="str">
        <f>_xlfn.XLOOKUP($A5292,Load!$B:$B,Load!K:K,0,)</f>
        <v>Fun Size / Treat Size</v>
      </c>
      <c r="K5292" t="str">
        <f>_xlfn.XLOOKUP($A5292,Load!$B:$B,Load!L:L,0,)</f>
        <v>Regular/Original Wrapping</v>
      </c>
      <c r="L5292" t="str">
        <f>_xlfn.XLOOKUP($A5292,Load!$B:$B,Load!M:M,0,)</f>
        <v>Single Brand / Variety Flavors or Form</v>
      </c>
    </row>
    <row r="5293" spans="1:12" x14ac:dyDescent="0.25">
      <c r="A5293" t="s">
        <v>226</v>
      </c>
      <c r="B5293" t="str">
        <f>_xlfn.XLOOKUP($A5293,Load!$B:$B,Load!C:C,0,)</f>
        <v>Nerds</v>
      </c>
      <c r="C5293" t="str">
        <f>_xlfn.XLOOKUP($A5293,Load!$B:$B,Load!D:D,0,)</f>
        <v>Non-Chocolate Candy Only</v>
      </c>
      <c r="D5293" t="str">
        <f>_xlfn.XLOOKUP($A5293,Load!$B:$B,Load!E:E,0,)</f>
        <v>Sweet</v>
      </c>
      <c r="E5293" t="str">
        <f>_xlfn.XLOOKUP($A5293,Load!$B:$B,Load!F:F,0,)</f>
        <v>Gummy</v>
      </c>
      <c r="F5293" t="str">
        <f>_xlfn.XLOOKUP($A5293,Load!$B:$B,Load!G:G,0,)</f>
        <v>Single Pack</v>
      </c>
      <c r="G5293" t="str">
        <f>_xlfn.XLOOKUP($A5293,Load!$B:$B,Load!H:H,0,)</f>
        <v>Laydown Bag</v>
      </c>
      <c r="H5293" t="str">
        <f>_xlfn.XLOOKUP($A5293,Load!$B:$B,Load!I:I,0,)</f>
        <v>Seasonal Shapes (like pumpkins, candy corn, ghost, bats, etc.)</v>
      </c>
      <c r="I5293" t="str">
        <f>_xlfn.XLOOKUP($A5293,Load!$B:$B,Load!J:J,0,)</f>
        <v>Seasonal Graphics (Like Bat, Ghost, Pumpkin, Fall Leaves, Eyeballs, etc.)</v>
      </c>
      <c r="J5293" t="str">
        <f>_xlfn.XLOOKUP($A5293,Load!$B:$B,Load!K:K,0,)</f>
        <v>Fun Size / Treat Size</v>
      </c>
      <c r="K5293" t="str">
        <f>_xlfn.XLOOKUP($A5293,Load!$B:$B,Load!L:L,0,)</f>
        <v>Unwrapped</v>
      </c>
      <c r="L5293" t="str">
        <f>_xlfn.XLOOKUP($A5293,Load!$B:$B,Load!M:M,0,)</f>
        <v>Single Brand / Single Flavor or Form</v>
      </c>
    </row>
    <row r="5294" spans="1:12" x14ac:dyDescent="0.25">
      <c r="B5294">
        <f>_xlfn.XLOOKUP($A5294,Load!$B:$B,Load!C:C,0,)</f>
        <v>0</v>
      </c>
      <c r="C5294">
        <f>_xlfn.XLOOKUP($A5294,Load!$B:$B,Load!D:D,0,)</f>
        <v>0</v>
      </c>
      <c r="D5294">
        <f>_xlfn.XLOOKUP($A5294,Load!$B:$B,Load!E:E,0,)</f>
        <v>0</v>
      </c>
      <c r="E5294">
        <f>_xlfn.XLOOKUP($A5294,Load!$B:$B,Load!F:F,0,)</f>
        <v>0</v>
      </c>
      <c r="F5294">
        <f>_xlfn.XLOOKUP($A5294,Load!$B:$B,Load!G:G,0,)</f>
        <v>0</v>
      </c>
      <c r="G5294">
        <f>_xlfn.XLOOKUP($A5294,Load!$B:$B,Load!H:H,0,)</f>
        <v>0</v>
      </c>
      <c r="H5294">
        <f>_xlfn.XLOOKUP($A5294,Load!$B:$B,Load!I:I,0,)</f>
        <v>0</v>
      </c>
      <c r="I5294">
        <f>_xlfn.XLOOKUP($A5294,Load!$B:$B,Load!J:J,0,)</f>
        <v>0</v>
      </c>
      <c r="J5294">
        <f>_xlfn.XLOOKUP($A5294,Load!$B:$B,Load!K:K,0,)</f>
        <v>0</v>
      </c>
      <c r="K5294">
        <f>_xlfn.XLOOKUP($A5294,Load!$B:$B,Load!L:L,0,)</f>
        <v>0</v>
      </c>
      <c r="L5294">
        <f>_xlfn.XLOOKUP($A5294,Load!$B:$B,Load!M:M,0,)</f>
        <v>0</v>
      </c>
    </row>
    <row r="5295" spans="1:12" x14ac:dyDescent="0.25">
      <c r="B5295">
        <f>_xlfn.XLOOKUP($A5295,Load!$B:$B,Load!C:C,0,)</f>
        <v>0</v>
      </c>
      <c r="C5295">
        <f>_xlfn.XLOOKUP($A5295,Load!$B:$B,Load!D:D,0,)</f>
        <v>0</v>
      </c>
      <c r="D5295">
        <f>_xlfn.XLOOKUP($A5295,Load!$B:$B,Load!E:E,0,)</f>
        <v>0</v>
      </c>
      <c r="E5295">
        <f>_xlfn.XLOOKUP($A5295,Load!$B:$B,Load!F:F,0,)</f>
        <v>0</v>
      </c>
      <c r="F5295">
        <f>_xlfn.XLOOKUP($A5295,Load!$B:$B,Load!G:G,0,)</f>
        <v>0</v>
      </c>
      <c r="G5295">
        <f>_xlfn.XLOOKUP($A5295,Load!$B:$B,Load!H:H,0,)</f>
        <v>0</v>
      </c>
      <c r="H5295">
        <f>_xlfn.XLOOKUP($A5295,Load!$B:$B,Load!I:I,0,)</f>
        <v>0</v>
      </c>
      <c r="I5295">
        <f>_xlfn.XLOOKUP($A5295,Load!$B:$B,Load!J:J,0,)</f>
        <v>0</v>
      </c>
      <c r="J5295">
        <f>_xlfn.XLOOKUP($A5295,Load!$B:$B,Load!K:K,0,)</f>
        <v>0</v>
      </c>
      <c r="K5295">
        <f>_xlfn.XLOOKUP($A5295,Load!$B:$B,Load!L:L,0,)</f>
        <v>0</v>
      </c>
      <c r="L5295">
        <f>_xlfn.XLOOKUP($A5295,Load!$B:$B,Load!M:M,0,)</f>
        <v>0</v>
      </c>
    </row>
    <row r="5296" spans="1:12" x14ac:dyDescent="0.25">
      <c r="A5296" t="s">
        <v>214</v>
      </c>
      <c r="B5296" t="str">
        <f>_xlfn.XLOOKUP($A5296,Load!$B:$B,Load!C:C,0,)</f>
        <v>Mars Variety Pack</v>
      </c>
      <c r="C5296" t="str">
        <f>_xlfn.XLOOKUP($A5296,Load!$B:$B,Load!D:D,0,)</f>
        <v>Mix of Chocolate and Non-Chocolate Candy</v>
      </c>
      <c r="D5296" t="str">
        <f>_xlfn.XLOOKUP($A5296,Load!$B:$B,Load!E:E,0,)</f>
        <v>Variety / Mixed Flavors (Fruity, Sour, Seasonal Flavors)</v>
      </c>
      <c r="E5296" t="str">
        <f>_xlfn.XLOOKUP($A5296,Load!$B:$B,Load!F:F,0,)</f>
        <v>Mixed / Combo Packs (Gummy, Chewy, Taffy, etc.)</v>
      </c>
      <c r="F5296" t="str">
        <f>_xlfn.XLOOKUP($A5296,Load!$B:$B,Load!G:G,0,)</f>
        <v>Large Multipack (More than 80 ct)</v>
      </c>
      <c r="G5296" t="str">
        <f>_xlfn.XLOOKUP($A5296,Load!$B:$B,Load!H:H,0,)</f>
        <v>Stand-Up Bag</v>
      </c>
      <c r="H5296" t="str">
        <f>_xlfn.XLOOKUP($A5296,Load!$B:$B,Load!I:I,0,)</f>
        <v>Everyday Candy Shapes (like Original, Gummy bear, Fruit, Jewels, etc.)</v>
      </c>
      <c r="I5296" t="str">
        <f>_xlfn.XLOOKUP($A5296,Load!$B:$B,Load!J:J,0,)</f>
        <v>Seasonal Graphics (Like Bat, Ghost, Pumpkin, Fall Leaves, Eyeballs, etc.)</v>
      </c>
      <c r="J5296" t="str">
        <f>_xlfn.XLOOKUP($A5296,Load!$B:$B,Load!K:K,0,)</f>
        <v>Fun Size / Treat Size</v>
      </c>
      <c r="K5296" t="str">
        <f>_xlfn.XLOOKUP($A5296,Load!$B:$B,Load!L:L,0,)</f>
        <v>Regular/Original Wrapping</v>
      </c>
      <c r="L5296" t="str">
        <f>_xlfn.XLOOKUP($A5296,Load!$B:$B,Load!M:M,0,)</f>
        <v>Multiple Brands / Variety Flavors or Form</v>
      </c>
    </row>
    <row r="5297" spans="1:12" x14ac:dyDescent="0.25">
      <c r="A5297" t="s">
        <v>201</v>
      </c>
      <c r="B5297" t="str">
        <f>_xlfn.XLOOKUP($A5297,Load!$B:$B,Load!C:C,0,)</f>
        <v>Mars Variety Pack</v>
      </c>
      <c r="C5297" t="str">
        <f>_xlfn.XLOOKUP($A5297,Load!$B:$B,Load!D:D,0,)</f>
        <v>Non-Chocolate Candy Only</v>
      </c>
      <c r="D5297" t="str">
        <f>_xlfn.XLOOKUP($A5297,Load!$B:$B,Load!E:E,0,)</f>
        <v>Variety / Mixed Flavors (Fruity, Sour, Seasonal Flavors)</v>
      </c>
      <c r="E5297" t="str">
        <f>_xlfn.XLOOKUP($A5297,Load!$B:$B,Load!F:F,0,)</f>
        <v>Mixed / Combo Packs (Gummy, Chewy, Taffy, etc.)</v>
      </c>
      <c r="F5297" t="str">
        <f>_xlfn.XLOOKUP($A5297,Load!$B:$B,Load!G:G,0,)</f>
        <v>Large Multipack (More than 80 ct)</v>
      </c>
      <c r="G5297" t="str">
        <f>_xlfn.XLOOKUP($A5297,Load!$B:$B,Load!H:H,0,)</f>
        <v>Stand-Up Bag</v>
      </c>
      <c r="H5297" t="str">
        <f>_xlfn.XLOOKUP($A5297,Load!$B:$B,Load!I:I,0,)</f>
        <v>Everyday Candy Shapes (like Original, Gummy bear, Fruit, Jewels, etc.)</v>
      </c>
      <c r="I5297" t="str">
        <f>_xlfn.XLOOKUP($A5297,Load!$B:$B,Load!J:J,0,)</f>
        <v>Everyday Graphics</v>
      </c>
      <c r="J5297" t="str">
        <f>_xlfn.XLOOKUP($A5297,Load!$B:$B,Load!K:K,0,)</f>
        <v>Fun Size / Treat Size</v>
      </c>
      <c r="K5297" t="str">
        <f>_xlfn.XLOOKUP($A5297,Load!$B:$B,Load!L:L,0,)</f>
        <v>Regular/Original Wrapping</v>
      </c>
      <c r="L5297" t="str">
        <f>_xlfn.XLOOKUP($A5297,Load!$B:$B,Load!M:M,0,)</f>
        <v>Multiple Brands / Variety Flavors or Form</v>
      </c>
    </row>
    <row r="5298" spans="1:12" x14ac:dyDescent="0.25">
      <c r="A5298" t="s">
        <v>136</v>
      </c>
      <c r="B5298" t="str">
        <f>_xlfn.XLOOKUP($A5298,Load!$B:$B,Load!C:C,0,)</f>
        <v>Hershey's Variety Pack + Haribo</v>
      </c>
      <c r="C5298" t="str">
        <f>_xlfn.XLOOKUP($A5298,Load!$B:$B,Load!D:D,0,)</f>
        <v>Non-Chocolate Candy Only</v>
      </c>
      <c r="D5298" t="str">
        <f>_xlfn.XLOOKUP($A5298,Load!$B:$B,Load!E:E,0,)</f>
        <v>Variety / Mixed Flavors (Fruity, Sour, Seasonal Flavors)</v>
      </c>
      <c r="E5298" t="str">
        <f>_xlfn.XLOOKUP($A5298,Load!$B:$B,Load!F:F,0,)</f>
        <v>Mixed / Combo Packs (Gummy, Chewy, Taffy, etc.)</v>
      </c>
      <c r="F5298" t="str">
        <f>_xlfn.XLOOKUP($A5298,Load!$B:$B,Load!G:G,0,)</f>
        <v>Medium Multipack (40–80 ct)</v>
      </c>
      <c r="G5298" t="str">
        <f>_xlfn.XLOOKUP($A5298,Load!$B:$B,Load!H:H,0,)</f>
        <v>Laydown Bag</v>
      </c>
      <c r="H5298" t="str">
        <f>_xlfn.XLOOKUP($A5298,Load!$B:$B,Load!I:I,0,)</f>
        <v>Everyday Candy Shapes (like Original, Gummy bear, Fruit, Jewels, etc.)</v>
      </c>
      <c r="I5298" t="str">
        <f>_xlfn.XLOOKUP($A5298,Load!$B:$B,Load!J:J,0,)</f>
        <v>Seasonal Graphics (Like Bat, Ghost, Pumpkin, Fall Leaves, Eyeballs, etc.)</v>
      </c>
      <c r="J5298" t="str">
        <f>_xlfn.XLOOKUP($A5298,Load!$B:$B,Load!K:K,0,)</f>
        <v xml:space="preserve">Variety Candy Sizes </v>
      </c>
      <c r="K5298" t="str">
        <f>_xlfn.XLOOKUP($A5298,Load!$B:$B,Load!L:L,0,)</f>
        <v>Regular/Original Wrapping</v>
      </c>
      <c r="L5298" t="str">
        <f>_xlfn.XLOOKUP($A5298,Load!$B:$B,Load!M:M,0,)</f>
        <v>Multiple Brands / Variety Flavors or Form</v>
      </c>
    </row>
    <row r="5299" spans="1:12" x14ac:dyDescent="0.25">
      <c r="A5299" t="s">
        <v>122</v>
      </c>
      <c r="B5299" t="str">
        <f>_xlfn.XLOOKUP($A5299,Load!$B:$B,Load!C:C,0,)</f>
        <v>HARIBO</v>
      </c>
      <c r="C5299" t="str">
        <f>_xlfn.XLOOKUP($A5299,Load!$B:$B,Load!D:D,0,)</f>
        <v>Non-Chocolate Candy Only</v>
      </c>
      <c r="D5299" t="str">
        <f>_xlfn.XLOOKUP($A5299,Load!$B:$B,Load!E:E,0,)</f>
        <v>Variety / Mixed Flavors (Fruity, Sour, Seasonal Flavors)</v>
      </c>
      <c r="E5299" t="str">
        <f>_xlfn.XLOOKUP($A5299,Load!$B:$B,Load!F:F,0,)</f>
        <v>Gummy</v>
      </c>
      <c r="F5299" t="str">
        <f>_xlfn.XLOOKUP($A5299,Load!$B:$B,Load!G:G,0,)</f>
        <v>Medium Multipack (40–80 ct)</v>
      </c>
      <c r="G5299" t="str">
        <f>_xlfn.XLOOKUP($A5299,Load!$B:$B,Load!H:H,0,)</f>
        <v>Laydown Bag</v>
      </c>
      <c r="H5299" t="str">
        <f>_xlfn.XLOOKUP($A5299,Load!$B:$B,Load!I:I,0,)</f>
        <v>Seasonal Shapes (like pumpkins, candy corn, ghost, bats, etc.)</v>
      </c>
      <c r="I5299" t="str">
        <f>_xlfn.XLOOKUP($A5299,Load!$B:$B,Load!J:J,0,)</f>
        <v>Seasonal Graphics (Like Bat, Ghost, Pumpkin, Fall Leaves, Eyeballs, etc.)</v>
      </c>
      <c r="J5299" t="str">
        <f>_xlfn.XLOOKUP($A5299,Load!$B:$B,Load!K:K,0,)</f>
        <v>Small Pieces (Tiny bite size candies)</v>
      </c>
      <c r="K5299" t="str">
        <f>_xlfn.XLOOKUP($A5299,Load!$B:$B,Load!L:L,0,)</f>
        <v>Regular/Original Wrapping</v>
      </c>
      <c r="L5299" t="str">
        <f>_xlfn.XLOOKUP($A5299,Load!$B:$B,Load!M:M,0,)</f>
        <v>Multiple Brands / Variety Flavors or Form</v>
      </c>
    </row>
    <row r="5300" spans="1:12" x14ac:dyDescent="0.25">
      <c r="A5300" t="s">
        <v>295</v>
      </c>
      <c r="B5300" t="str">
        <f>_xlfn.XLOOKUP($A5300,Load!$B:$B,Load!C:C,0,)</f>
        <v>Tootsie</v>
      </c>
      <c r="C5300" t="str">
        <f>_xlfn.XLOOKUP($A5300,Load!$B:$B,Load!D:D,0,)</f>
        <v>Non-Chocolate Candy Only</v>
      </c>
      <c r="D5300" t="str">
        <f>_xlfn.XLOOKUP($A5300,Load!$B:$B,Load!E:E,0,)</f>
        <v>Sweet</v>
      </c>
      <c r="E5300" t="str">
        <f>_xlfn.XLOOKUP($A5300,Load!$B:$B,Load!F:F,0,)</f>
        <v>Lollipop (regular or lollipop rings)</v>
      </c>
      <c r="F5300" t="str">
        <f>_xlfn.XLOOKUP($A5300,Load!$B:$B,Load!G:G,0,)</f>
        <v>Single Pack</v>
      </c>
      <c r="G5300" t="str">
        <f>_xlfn.XLOOKUP($A5300,Load!$B:$B,Load!H:H,0,)</f>
        <v>Laydown Bag</v>
      </c>
      <c r="H5300" t="str">
        <f>_xlfn.XLOOKUP($A5300,Load!$B:$B,Load!I:I,0,)</f>
        <v>Everyday Candy Shapes (like Original, Gummy bear, Fruit, Jewels, etc.)</v>
      </c>
      <c r="I5300" t="str">
        <f>_xlfn.XLOOKUP($A5300,Load!$B:$B,Load!J:J,0,)</f>
        <v>Everyday Graphics</v>
      </c>
      <c r="J5300" t="str">
        <f>_xlfn.XLOOKUP($A5300,Load!$B:$B,Load!K:K,0,)</f>
        <v>Regular Lollipop size (on sticks or rings)</v>
      </c>
      <c r="K5300" t="str">
        <f>_xlfn.XLOOKUP($A5300,Load!$B:$B,Load!L:L,0,)</f>
        <v>Regular/Original Wrapping</v>
      </c>
      <c r="L5300" t="str">
        <f>_xlfn.XLOOKUP($A5300,Load!$B:$B,Load!M:M,0,)</f>
        <v>Single Brand / Single Flavor or Form</v>
      </c>
    </row>
    <row r="5301" spans="1:12" x14ac:dyDescent="0.25">
      <c r="B5301">
        <f>_xlfn.XLOOKUP($A5301,Load!$B:$B,Load!C:C,0,)</f>
        <v>0</v>
      </c>
      <c r="C5301">
        <f>_xlfn.XLOOKUP($A5301,Load!$B:$B,Load!D:D,0,)</f>
        <v>0</v>
      </c>
      <c r="D5301">
        <f>_xlfn.XLOOKUP($A5301,Load!$B:$B,Load!E:E,0,)</f>
        <v>0</v>
      </c>
      <c r="E5301">
        <f>_xlfn.XLOOKUP($A5301,Load!$B:$B,Load!F:F,0,)</f>
        <v>0</v>
      </c>
      <c r="F5301">
        <f>_xlfn.XLOOKUP($A5301,Load!$B:$B,Load!G:G,0,)</f>
        <v>0</v>
      </c>
      <c r="G5301">
        <f>_xlfn.XLOOKUP($A5301,Load!$B:$B,Load!H:H,0,)</f>
        <v>0</v>
      </c>
      <c r="H5301">
        <f>_xlfn.XLOOKUP($A5301,Load!$B:$B,Load!I:I,0,)</f>
        <v>0</v>
      </c>
      <c r="I5301">
        <f>_xlfn.XLOOKUP($A5301,Load!$B:$B,Load!J:J,0,)</f>
        <v>0</v>
      </c>
      <c r="J5301">
        <f>_xlfn.XLOOKUP($A5301,Load!$B:$B,Load!K:K,0,)</f>
        <v>0</v>
      </c>
      <c r="K5301">
        <f>_xlfn.XLOOKUP($A5301,Load!$B:$B,Load!L:L,0,)</f>
        <v>0</v>
      </c>
      <c r="L5301">
        <f>_xlfn.XLOOKUP($A5301,Load!$B:$B,Load!M:M,0,)</f>
        <v>0</v>
      </c>
    </row>
    <row r="5302" spans="1:12" x14ac:dyDescent="0.25">
      <c r="B5302">
        <f>_xlfn.XLOOKUP($A5302,Load!$B:$B,Load!C:C,0,)</f>
        <v>0</v>
      </c>
      <c r="C5302">
        <f>_xlfn.XLOOKUP($A5302,Load!$B:$B,Load!D:D,0,)</f>
        <v>0</v>
      </c>
      <c r="D5302">
        <f>_xlfn.XLOOKUP($A5302,Load!$B:$B,Load!E:E,0,)</f>
        <v>0</v>
      </c>
      <c r="E5302">
        <f>_xlfn.XLOOKUP($A5302,Load!$B:$B,Load!F:F,0,)</f>
        <v>0</v>
      </c>
      <c r="F5302">
        <f>_xlfn.XLOOKUP($A5302,Load!$B:$B,Load!G:G,0,)</f>
        <v>0</v>
      </c>
      <c r="G5302">
        <f>_xlfn.XLOOKUP($A5302,Load!$B:$B,Load!H:H,0,)</f>
        <v>0</v>
      </c>
      <c r="H5302">
        <f>_xlfn.XLOOKUP($A5302,Load!$B:$B,Load!I:I,0,)</f>
        <v>0</v>
      </c>
      <c r="I5302">
        <f>_xlfn.XLOOKUP($A5302,Load!$B:$B,Load!J:J,0,)</f>
        <v>0</v>
      </c>
      <c r="J5302">
        <f>_xlfn.XLOOKUP($A5302,Load!$B:$B,Load!K:K,0,)</f>
        <v>0</v>
      </c>
      <c r="K5302">
        <f>_xlfn.XLOOKUP($A5302,Load!$B:$B,Load!L:L,0,)</f>
        <v>0</v>
      </c>
      <c r="L5302">
        <f>_xlfn.XLOOKUP($A5302,Load!$B:$B,Load!M:M,0,)</f>
        <v>0</v>
      </c>
    </row>
    <row r="5303" spans="1:12" x14ac:dyDescent="0.25">
      <c r="B5303">
        <f>_xlfn.XLOOKUP($A5303,Load!$B:$B,Load!C:C,0,)</f>
        <v>0</v>
      </c>
      <c r="C5303">
        <f>_xlfn.XLOOKUP($A5303,Load!$B:$B,Load!D:D,0,)</f>
        <v>0</v>
      </c>
      <c r="D5303">
        <f>_xlfn.XLOOKUP($A5303,Load!$B:$B,Load!E:E,0,)</f>
        <v>0</v>
      </c>
      <c r="E5303">
        <f>_xlfn.XLOOKUP($A5303,Load!$B:$B,Load!F:F,0,)</f>
        <v>0</v>
      </c>
      <c r="F5303">
        <f>_xlfn.XLOOKUP($A5303,Load!$B:$B,Load!G:G,0,)</f>
        <v>0</v>
      </c>
      <c r="G5303">
        <f>_xlfn.XLOOKUP($A5303,Load!$B:$B,Load!H:H,0,)</f>
        <v>0</v>
      </c>
      <c r="H5303">
        <f>_xlfn.XLOOKUP($A5303,Load!$B:$B,Load!I:I,0,)</f>
        <v>0</v>
      </c>
      <c r="I5303">
        <f>_xlfn.XLOOKUP($A5303,Load!$B:$B,Load!J:J,0,)</f>
        <v>0</v>
      </c>
      <c r="J5303">
        <f>_xlfn.XLOOKUP($A5303,Load!$B:$B,Load!K:K,0,)</f>
        <v>0</v>
      </c>
      <c r="K5303">
        <f>_xlfn.XLOOKUP($A5303,Load!$B:$B,Load!L:L,0,)</f>
        <v>0</v>
      </c>
      <c r="L5303">
        <f>_xlfn.XLOOKUP($A5303,Load!$B:$B,Load!M:M,0,)</f>
        <v>0</v>
      </c>
    </row>
    <row r="5304" spans="1:12" x14ac:dyDescent="0.25">
      <c r="A5304" t="s">
        <v>178</v>
      </c>
      <c r="B5304" t="str">
        <f>_xlfn.XLOOKUP($A5304,Load!$B:$B,Load!C:C,0,)</f>
        <v>Mars Variety Pack</v>
      </c>
      <c r="C5304" t="str">
        <f>_xlfn.XLOOKUP($A5304,Load!$B:$B,Load!D:D,0,)</f>
        <v>Mix of Chocolate and Non-Chocolate Candy</v>
      </c>
      <c r="D5304" t="str">
        <f>_xlfn.XLOOKUP($A5304,Load!$B:$B,Load!E:E,0,)</f>
        <v>Variety / Mixed Flavors (Fruity, Sour, Seasonal Flavors)</v>
      </c>
      <c r="E5304" t="str">
        <f>_xlfn.XLOOKUP($A5304,Load!$B:$B,Load!F:F,0,)</f>
        <v>Mixed / Combo Packs (Gummy, Chewy, Taffy, etc.)</v>
      </c>
      <c r="F5304" t="str">
        <f>_xlfn.XLOOKUP($A5304,Load!$B:$B,Load!G:G,0,)</f>
        <v>Small Multipack (Less than 40 ct)</v>
      </c>
      <c r="G5304" t="str">
        <f>_xlfn.XLOOKUP($A5304,Load!$B:$B,Load!H:H,0,)</f>
        <v>Laydown Bag</v>
      </c>
      <c r="H5304" t="str">
        <f>_xlfn.XLOOKUP($A5304,Load!$B:$B,Load!I:I,0,)</f>
        <v>Everyday Candy Shapes (like Original, Gummy bear, Fruit, Jewels, etc.)</v>
      </c>
      <c r="I5304" t="str">
        <f>_xlfn.XLOOKUP($A5304,Load!$B:$B,Load!J:J,0,)</f>
        <v>Seasonal Graphics (Like Bat, Ghost, Pumpkin, Fall Leaves, Eyeballs, etc.)</v>
      </c>
      <c r="J5304" t="str">
        <f>_xlfn.XLOOKUP($A5304,Load!$B:$B,Load!K:K,0,)</f>
        <v xml:space="preserve">Variety Candy Sizes </v>
      </c>
      <c r="K5304" t="str">
        <f>_xlfn.XLOOKUP($A5304,Load!$B:$B,Load!L:L,0,)</f>
        <v>Regular/Original Wrapping</v>
      </c>
      <c r="L5304" t="str">
        <f>_xlfn.XLOOKUP($A5304,Load!$B:$B,Load!M:M,0,)</f>
        <v>Multiple Brands / Variety Flavors or Form</v>
      </c>
    </row>
    <row r="5305" spans="1:12" x14ac:dyDescent="0.25">
      <c r="B5305">
        <f>_xlfn.XLOOKUP($A5305,Load!$B:$B,Load!C:C,0,)</f>
        <v>0</v>
      </c>
      <c r="C5305">
        <f>_xlfn.XLOOKUP($A5305,Load!$B:$B,Load!D:D,0,)</f>
        <v>0</v>
      </c>
      <c r="D5305">
        <f>_xlfn.XLOOKUP($A5305,Load!$B:$B,Load!E:E,0,)</f>
        <v>0</v>
      </c>
      <c r="E5305">
        <f>_xlfn.XLOOKUP($A5305,Load!$B:$B,Load!F:F,0,)</f>
        <v>0</v>
      </c>
      <c r="F5305">
        <f>_xlfn.XLOOKUP($A5305,Load!$B:$B,Load!G:G,0,)</f>
        <v>0</v>
      </c>
      <c r="G5305">
        <f>_xlfn.XLOOKUP($A5305,Load!$B:$B,Load!H:H,0,)</f>
        <v>0</v>
      </c>
      <c r="H5305">
        <f>_xlfn.XLOOKUP($A5305,Load!$B:$B,Load!I:I,0,)</f>
        <v>0</v>
      </c>
      <c r="I5305">
        <f>_xlfn.XLOOKUP($A5305,Load!$B:$B,Load!J:J,0,)</f>
        <v>0</v>
      </c>
      <c r="J5305">
        <f>_xlfn.XLOOKUP($A5305,Load!$B:$B,Load!K:K,0,)</f>
        <v>0</v>
      </c>
      <c r="K5305">
        <f>_xlfn.XLOOKUP($A5305,Load!$B:$B,Load!L:L,0,)</f>
        <v>0</v>
      </c>
      <c r="L5305">
        <f>_xlfn.XLOOKUP($A5305,Load!$B:$B,Load!M:M,0,)</f>
        <v>0</v>
      </c>
    </row>
    <row r="5306" spans="1:12" x14ac:dyDescent="0.25">
      <c r="A5306" t="s">
        <v>467</v>
      </c>
      <c r="B5306" t="str">
        <f>_xlfn.XLOOKUP($A5306,Load!$B:$B,Load!C:C,0,)</f>
        <v>Trolli</v>
      </c>
      <c r="C5306" t="str">
        <f>_xlfn.XLOOKUP($A5306,Load!$B:$B,Load!D:D,0,)</f>
        <v>Non-Chocolate Candy Only</v>
      </c>
      <c r="D5306" t="str">
        <f>_xlfn.XLOOKUP($A5306,Load!$B:$B,Load!E:E,0,)</f>
        <v>Sour</v>
      </c>
      <c r="E5306" t="str">
        <f>_xlfn.XLOOKUP($A5306,Load!$B:$B,Load!F:F,0,)</f>
        <v>Gummy</v>
      </c>
      <c r="F5306" t="str">
        <f>_xlfn.XLOOKUP($A5306,Load!$B:$B,Load!G:G,0,)</f>
        <v>Small Multipack (Less than 40 ct)</v>
      </c>
      <c r="G5306" t="str">
        <f>_xlfn.XLOOKUP($A5306,Load!$B:$B,Load!H:H,0,)</f>
        <v>Laydown Bag</v>
      </c>
      <c r="H5306" t="str">
        <f>_xlfn.XLOOKUP($A5306,Load!$B:$B,Load!I:I,0,)</f>
        <v>Seasonal Shapes (like pumpkins, candy corn, ghost, bats, etc.)</v>
      </c>
      <c r="I5306" t="str">
        <f>_xlfn.XLOOKUP($A5306,Load!$B:$B,Load!J:J,0,)</f>
        <v>Seasonal Graphics (Like Bat, Ghost, Pumpkin, Fall Leaves, Eyeballs, etc.)</v>
      </c>
      <c r="J5306" t="str">
        <f>_xlfn.XLOOKUP($A5306,Load!$B:$B,Load!K:K,0,)</f>
        <v>Fun Size / Treat Size</v>
      </c>
      <c r="K5306" t="str">
        <f>_xlfn.XLOOKUP($A5306,Load!$B:$B,Load!L:L,0,)</f>
        <v>Regular/Original Wrapping</v>
      </c>
      <c r="L5306" t="str">
        <f>_xlfn.XLOOKUP($A5306,Load!$B:$B,Load!M:M,0,)</f>
        <v>Single Brand / Variety Flavors or Form</v>
      </c>
    </row>
    <row r="5307" spans="1:12" x14ac:dyDescent="0.25">
      <c r="B5307">
        <f>_xlfn.XLOOKUP($A5307,Load!$B:$B,Load!C:C,0,)</f>
        <v>0</v>
      </c>
      <c r="C5307">
        <f>_xlfn.XLOOKUP($A5307,Load!$B:$B,Load!D:D,0,)</f>
        <v>0</v>
      </c>
      <c r="D5307">
        <f>_xlfn.XLOOKUP($A5307,Load!$B:$B,Load!E:E,0,)</f>
        <v>0</v>
      </c>
      <c r="E5307">
        <f>_xlfn.XLOOKUP($A5307,Load!$B:$B,Load!F:F,0,)</f>
        <v>0</v>
      </c>
      <c r="F5307">
        <f>_xlfn.XLOOKUP($A5307,Load!$B:$B,Load!G:G,0,)</f>
        <v>0</v>
      </c>
      <c r="G5307">
        <f>_xlfn.XLOOKUP($A5307,Load!$B:$B,Load!H:H,0,)</f>
        <v>0</v>
      </c>
      <c r="H5307">
        <f>_xlfn.XLOOKUP($A5307,Load!$B:$B,Load!I:I,0,)</f>
        <v>0</v>
      </c>
      <c r="I5307">
        <f>_xlfn.XLOOKUP($A5307,Load!$B:$B,Load!J:J,0,)</f>
        <v>0</v>
      </c>
      <c r="J5307">
        <f>_xlfn.XLOOKUP($A5307,Load!$B:$B,Load!K:K,0,)</f>
        <v>0</v>
      </c>
      <c r="K5307">
        <f>_xlfn.XLOOKUP($A5307,Load!$B:$B,Load!L:L,0,)</f>
        <v>0</v>
      </c>
      <c r="L5307">
        <f>_xlfn.XLOOKUP($A5307,Load!$B:$B,Load!M:M,0,)</f>
        <v>0</v>
      </c>
    </row>
    <row r="5308" spans="1:12" x14ac:dyDescent="0.25">
      <c r="B5308">
        <f>_xlfn.XLOOKUP($A5308,Load!$B:$B,Load!C:C,0,)</f>
        <v>0</v>
      </c>
      <c r="C5308">
        <f>_xlfn.XLOOKUP($A5308,Load!$B:$B,Load!D:D,0,)</f>
        <v>0</v>
      </c>
      <c r="D5308">
        <f>_xlfn.XLOOKUP($A5308,Load!$B:$B,Load!E:E,0,)</f>
        <v>0</v>
      </c>
      <c r="E5308">
        <f>_xlfn.XLOOKUP($A5308,Load!$B:$B,Load!F:F,0,)</f>
        <v>0</v>
      </c>
      <c r="F5308">
        <f>_xlfn.XLOOKUP($A5308,Load!$B:$B,Load!G:G,0,)</f>
        <v>0</v>
      </c>
      <c r="G5308">
        <f>_xlfn.XLOOKUP($A5308,Load!$B:$B,Load!H:H,0,)</f>
        <v>0</v>
      </c>
      <c r="H5308">
        <f>_xlfn.XLOOKUP($A5308,Load!$B:$B,Load!I:I,0,)</f>
        <v>0</v>
      </c>
      <c r="I5308">
        <f>_xlfn.XLOOKUP($A5308,Load!$B:$B,Load!J:J,0,)</f>
        <v>0</v>
      </c>
      <c r="J5308">
        <f>_xlfn.XLOOKUP($A5308,Load!$B:$B,Load!K:K,0,)</f>
        <v>0</v>
      </c>
      <c r="K5308">
        <f>_xlfn.XLOOKUP($A5308,Load!$B:$B,Load!L:L,0,)</f>
        <v>0</v>
      </c>
      <c r="L5308">
        <f>_xlfn.XLOOKUP($A5308,Load!$B:$B,Load!M:M,0,)</f>
        <v>0</v>
      </c>
    </row>
    <row r="5309" spans="1:12" x14ac:dyDescent="0.25">
      <c r="B5309">
        <f>_xlfn.XLOOKUP($A5309,Load!$B:$B,Load!C:C,0,)</f>
        <v>0</v>
      </c>
      <c r="C5309">
        <f>_xlfn.XLOOKUP($A5309,Load!$B:$B,Load!D:D,0,)</f>
        <v>0</v>
      </c>
      <c r="D5309">
        <f>_xlfn.XLOOKUP($A5309,Load!$B:$B,Load!E:E,0,)</f>
        <v>0</v>
      </c>
      <c r="E5309">
        <f>_xlfn.XLOOKUP($A5309,Load!$B:$B,Load!F:F,0,)</f>
        <v>0</v>
      </c>
      <c r="F5309">
        <f>_xlfn.XLOOKUP($A5309,Load!$B:$B,Load!G:G,0,)</f>
        <v>0</v>
      </c>
      <c r="G5309">
        <f>_xlfn.XLOOKUP($A5309,Load!$B:$B,Load!H:H,0,)</f>
        <v>0</v>
      </c>
      <c r="H5309">
        <f>_xlfn.XLOOKUP($A5309,Load!$B:$B,Load!I:I,0,)</f>
        <v>0</v>
      </c>
      <c r="I5309">
        <f>_xlfn.XLOOKUP($A5309,Load!$B:$B,Load!J:J,0,)</f>
        <v>0</v>
      </c>
      <c r="J5309">
        <f>_xlfn.XLOOKUP($A5309,Load!$B:$B,Load!K:K,0,)</f>
        <v>0</v>
      </c>
      <c r="K5309">
        <f>_xlfn.XLOOKUP($A5309,Load!$B:$B,Load!L:L,0,)</f>
        <v>0</v>
      </c>
      <c r="L5309">
        <f>_xlfn.XLOOKUP($A5309,Load!$B:$B,Load!M:M,0,)</f>
        <v>0</v>
      </c>
    </row>
    <row r="5310" spans="1:12" x14ac:dyDescent="0.25">
      <c r="A5310" t="s">
        <v>124</v>
      </c>
      <c r="B5310" t="str">
        <f>_xlfn.XLOOKUP($A5310,Load!$B:$B,Load!C:C,0,)</f>
        <v>HARIBO</v>
      </c>
      <c r="C5310" t="str">
        <f>_xlfn.XLOOKUP($A5310,Load!$B:$B,Load!D:D,0,)</f>
        <v>Non-Chocolate Candy Only</v>
      </c>
      <c r="D5310" t="str">
        <f>_xlfn.XLOOKUP($A5310,Load!$B:$B,Load!E:E,0,)</f>
        <v>Fruit Flavor (Cherry, Grape, Apple, Citrus, Tropical Fruit)</v>
      </c>
      <c r="E5310" t="str">
        <f>_xlfn.XLOOKUP($A5310,Load!$B:$B,Load!F:F,0,)</f>
        <v>Gummy</v>
      </c>
      <c r="F5310" t="str">
        <f>_xlfn.XLOOKUP($A5310,Load!$B:$B,Load!G:G,0,)</f>
        <v>Small Multipack (Less than 40 ct)</v>
      </c>
      <c r="G5310" t="str">
        <f>_xlfn.XLOOKUP($A5310,Load!$B:$B,Load!H:H,0,)</f>
        <v>Laydown Bag</v>
      </c>
      <c r="H5310" t="str">
        <f>_xlfn.XLOOKUP($A5310,Load!$B:$B,Load!I:I,0,)</f>
        <v>Everyday Candy Shapes (like Original, Gummy bear, Fruit, Jewels, etc.)</v>
      </c>
      <c r="I5310" t="str">
        <f>_xlfn.XLOOKUP($A5310,Load!$B:$B,Load!J:J,0,)</f>
        <v>Everyday Graphics</v>
      </c>
      <c r="J5310" t="str">
        <f>_xlfn.XLOOKUP($A5310,Load!$B:$B,Load!K:K,0,)</f>
        <v>Small Pieces (Tiny bite size candies)</v>
      </c>
      <c r="K5310" t="str">
        <f>_xlfn.XLOOKUP($A5310,Load!$B:$B,Load!L:L,0,)</f>
        <v>Regular/Original Wrapping</v>
      </c>
      <c r="L5310" t="str">
        <f>_xlfn.XLOOKUP($A5310,Load!$B:$B,Load!M:M,0,)</f>
        <v>Single Brand / Variety Flavors or Form</v>
      </c>
    </row>
    <row r="5311" spans="1:12" x14ac:dyDescent="0.25">
      <c r="B5311">
        <f>_xlfn.XLOOKUP($A5311,Load!$B:$B,Load!C:C,0,)</f>
        <v>0</v>
      </c>
      <c r="C5311">
        <f>_xlfn.XLOOKUP($A5311,Load!$B:$B,Load!D:D,0,)</f>
        <v>0</v>
      </c>
      <c r="D5311">
        <f>_xlfn.XLOOKUP($A5311,Load!$B:$B,Load!E:E,0,)</f>
        <v>0</v>
      </c>
      <c r="E5311">
        <f>_xlfn.XLOOKUP($A5311,Load!$B:$B,Load!F:F,0,)</f>
        <v>0</v>
      </c>
      <c r="F5311">
        <f>_xlfn.XLOOKUP($A5311,Load!$B:$B,Load!G:G,0,)</f>
        <v>0</v>
      </c>
      <c r="G5311">
        <f>_xlfn.XLOOKUP($A5311,Load!$B:$B,Load!H:H,0,)</f>
        <v>0</v>
      </c>
      <c r="H5311">
        <f>_xlfn.XLOOKUP($A5311,Load!$B:$B,Load!I:I,0,)</f>
        <v>0</v>
      </c>
      <c r="I5311">
        <f>_xlfn.XLOOKUP($A5311,Load!$B:$B,Load!J:J,0,)</f>
        <v>0</v>
      </c>
      <c r="J5311">
        <f>_xlfn.XLOOKUP($A5311,Load!$B:$B,Load!K:K,0,)</f>
        <v>0</v>
      </c>
      <c r="K5311">
        <f>_xlfn.XLOOKUP($A5311,Load!$B:$B,Load!L:L,0,)</f>
        <v>0</v>
      </c>
      <c r="L5311">
        <f>_xlfn.XLOOKUP($A5311,Load!$B:$B,Load!M:M,0,)</f>
        <v>0</v>
      </c>
    </row>
    <row r="5312" spans="1:12" x14ac:dyDescent="0.25">
      <c r="A5312" t="s">
        <v>125</v>
      </c>
      <c r="B5312" t="str">
        <f>_xlfn.XLOOKUP($A5312,Load!$B:$B,Load!C:C,0,)</f>
        <v>HARIBO</v>
      </c>
      <c r="C5312" t="str">
        <f>_xlfn.XLOOKUP($A5312,Load!$B:$B,Load!D:D,0,)</f>
        <v>Non-Chocolate Candy Only</v>
      </c>
      <c r="D5312" t="str">
        <f>_xlfn.XLOOKUP($A5312,Load!$B:$B,Load!E:E,0,)</f>
        <v>Berry Based (Raspberry, Strawberry, Medley, etc.)</v>
      </c>
      <c r="E5312" t="str">
        <f>_xlfn.XLOOKUP($A5312,Load!$B:$B,Load!F:F,0,)</f>
        <v>Gummy</v>
      </c>
      <c r="F5312" t="str">
        <f>_xlfn.XLOOKUP($A5312,Load!$B:$B,Load!G:G,0,)</f>
        <v>Small Multipack (Less than 40 ct)</v>
      </c>
      <c r="G5312" t="str">
        <f>_xlfn.XLOOKUP($A5312,Load!$B:$B,Load!H:H,0,)</f>
        <v>Laydown Bag</v>
      </c>
      <c r="H5312" t="str">
        <f>_xlfn.XLOOKUP($A5312,Load!$B:$B,Load!I:I,0,)</f>
        <v>Everyday Candy Shapes (like Original, Gummy bear, Fruit, Jewels, etc.)</v>
      </c>
      <c r="I5312" t="str">
        <f>_xlfn.XLOOKUP($A5312,Load!$B:$B,Load!J:J,0,)</f>
        <v>Everyday Graphics</v>
      </c>
      <c r="J5312" t="str">
        <f>_xlfn.XLOOKUP($A5312,Load!$B:$B,Load!K:K,0,)</f>
        <v>Small Pieces (Tiny bite size candies)</v>
      </c>
      <c r="K5312" t="str">
        <f>_xlfn.XLOOKUP($A5312,Load!$B:$B,Load!L:L,0,)</f>
        <v>Regular/Original Wrapping</v>
      </c>
      <c r="L5312" t="str">
        <f>_xlfn.XLOOKUP($A5312,Load!$B:$B,Load!M:M,0,)</f>
        <v>Single Brand / Variety Flavors or Form</v>
      </c>
    </row>
    <row r="5313" spans="1:12" x14ac:dyDescent="0.25">
      <c r="B5313">
        <f>_xlfn.XLOOKUP($A5313,Load!$B:$B,Load!C:C,0,)</f>
        <v>0</v>
      </c>
      <c r="C5313">
        <f>_xlfn.XLOOKUP($A5313,Load!$B:$B,Load!D:D,0,)</f>
        <v>0</v>
      </c>
      <c r="D5313">
        <f>_xlfn.XLOOKUP($A5313,Load!$B:$B,Load!E:E,0,)</f>
        <v>0</v>
      </c>
      <c r="E5313">
        <f>_xlfn.XLOOKUP($A5313,Load!$B:$B,Load!F:F,0,)</f>
        <v>0</v>
      </c>
      <c r="F5313">
        <f>_xlfn.XLOOKUP($A5313,Load!$B:$B,Load!G:G,0,)</f>
        <v>0</v>
      </c>
      <c r="G5313">
        <f>_xlfn.XLOOKUP($A5313,Load!$B:$B,Load!H:H,0,)</f>
        <v>0</v>
      </c>
      <c r="H5313">
        <f>_xlfn.XLOOKUP($A5313,Load!$B:$B,Load!I:I,0,)</f>
        <v>0</v>
      </c>
      <c r="I5313">
        <f>_xlfn.XLOOKUP($A5313,Load!$B:$B,Load!J:J,0,)</f>
        <v>0</v>
      </c>
      <c r="J5313">
        <f>_xlfn.XLOOKUP($A5313,Load!$B:$B,Load!K:K,0,)</f>
        <v>0</v>
      </c>
      <c r="K5313">
        <f>_xlfn.XLOOKUP($A5313,Load!$B:$B,Load!L:L,0,)</f>
        <v>0</v>
      </c>
      <c r="L5313">
        <f>_xlfn.XLOOKUP($A5313,Load!$B:$B,Load!M:M,0,)</f>
        <v>0</v>
      </c>
    </row>
    <row r="5314" spans="1:12" x14ac:dyDescent="0.25">
      <c r="A5314" t="s">
        <v>220</v>
      </c>
      <c r="B5314" t="str">
        <f>_xlfn.XLOOKUP($A5314,Load!$B:$B,Load!C:C,0,)</f>
        <v>Mondelez Variety Pack</v>
      </c>
      <c r="C5314" t="str">
        <f>_xlfn.XLOOKUP($A5314,Load!$B:$B,Load!D:D,0,)</f>
        <v>Non-Chocolate Candy Only</v>
      </c>
      <c r="D5314" t="str">
        <f>_xlfn.XLOOKUP($A5314,Load!$B:$B,Load!E:E,0,)</f>
        <v>Variety / Mixed Flavors (Fruity, Sour, Seasonal Flavors)</v>
      </c>
      <c r="E5314" t="str">
        <f>_xlfn.XLOOKUP($A5314,Load!$B:$B,Load!F:F,0,)</f>
        <v>Chewy</v>
      </c>
      <c r="F5314" t="str">
        <f>_xlfn.XLOOKUP($A5314,Load!$B:$B,Load!G:G,0,)</f>
        <v>Large Multipack (More than 80 ct)</v>
      </c>
      <c r="G5314" t="str">
        <f>_xlfn.XLOOKUP($A5314,Load!$B:$B,Load!H:H,0,)</f>
        <v>Stand-Up Bag</v>
      </c>
      <c r="H5314" t="str">
        <f>_xlfn.XLOOKUP($A5314,Load!$B:$B,Load!I:I,0,)</f>
        <v>Seasonal Shapes (like pumpkins, candy corn, ghost, bats, etc.)</v>
      </c>
      <c r="I5314" t="str">
        <f>_xlfn.XLOOKUP($A5314,Load!$B:$B,Load!J:J,0,)</f>
        <v>Seasonal Graphics (Like Bat, Ghost, Pumpkin, Fall Leaves, Eyeballs, etc.)</v>
      </c>
      <c r="J5314" t="str">
        <f>_xlfn.XLOOKUP($A5314,Load!$B:$B,Load!K:K,0,)</f>
        <v>Small Pieces (Tiny bite size candies)</v>
      </c>
      <c r="K5314" t="str">
        <f>_xlfn.XLOOKUP($A5314,Load!$B:$B,Load!L:L,0,)</f>
        <v>Regular/Original Wrapping</v>
      </c>
      <c r="L5314" t="str">
        <f>_xlfn.XLOOKUP($A5314,Load!$B:$B,Load!M:M,0,)</f>
        <v>Single Brand / Variety Flavors or Form</v>
      </c>
    </row>
    <row r="5315" spans="1:12" x14ac:dyDescent="0.25">
      <c r="B5315">
        <f>_xlfn.XLOOKUP($A5315,Load!$B:$B,Load!C:C,0,)</f>
        <v>0</v>
      </c>
      <c r="C5315">
        <f>_xlfn.XLOOKUP($A5315,Load!$B:$B,Load!D:D,0,)</f>
        <v>0</v>
      </c>
      <c r="D5315">
        <f>_xlfn.XLOOKUP($A5315,Load!$B:$B,Load!E:E,0,)</f>
        <v>0</v>
      </c>
      <c r="E5315">
        <f>_xlfn.XLOOKUP($A5315,Load!$B:$B,Load!F:F,0,)</f>
        <v>0</v>
      </c>
      <c r="F5315">
        <f>_xlfn.XLOOKUP($A5315,Load!$B:$B,Load!G:G,0,)</f>
        <v>0</v>
      </c>
      <c r="G5315">
        <f>_xlfn.XLOOKUP($A5315,Load!$B:$B,Load!H:H,0,)</f>
        <v>0</v>
      </c>
      <c r="H5315">
        <f>_xlfn.XLOOKUP($A5315,Load!$B:$B,Load!I:I,0,)</f>
        <v>0</v>
      </c>
      <c r="I5315">
        <f>_xlfn.XLOOKUP($A5315,Load!$B:$B,Load!J:J,0,)</f>
        <v>0</v>
      </c>
      <c r="J5315">
        <f>_xlfn.XLOOKUP($A5315,Load!$B:$B,Load!K:K,0,)</f>
        <v>0</v>
      </c>
      <c r="K5315">
        <f>_xlfn.XLOOKUP($A5315,Load!$B:$B,Load!L:L,0,)</f>
        <v>0</v>
      </c>
      <c r="L5315">
        <f>_xlfn.XLOOKUP($A5315,Load!$B:$B,Load!M:M,0,)</f>
        <v>0</v>
      </c>
    </row>
    <row r="5316" spans="1:12" x14ac:dyDescent="0.25">
      <c r="B5316">
        <f>_xlfn.XLOOKUP($A5316,Load!$B:$B,Load!C:C,0,)</f>
        <v>0</v>
      </c>
      <c r="C5316">
        <f>_xlfn.XLOOKUP($A5316,Load!$B:$B,Load!D:D,0,)</f>
        <v>0</v>
      </c>
      <c r="D5316">
        <f>_xlfn.XLOOKUP($A5316,Load!$B:$B,Load!E:E,0,)</f>
        <v>0</v>
      </c>
      <c r="E5316">
        <f>_xlfn.XLOOKUP($A5316,Load!$B:$B,Load!F:F,0,)</f>
        <v>0</v>
      </c>
      <c r="F5316">
        <f>_xlfn.XLOOKUP($A5316,Load!$B:$B,Load!G:G,0,)</f>
        <v>0</v>
      </c>
      <c r="G5316">
        <f>_xlfn.XLOOKUP($A5316,Load!$B:$B,Load!H:H,0,)</f>
        <v>0</v>
      </c>
      <c r="H5316">
        <f>_xlfn.XLOOKUP($A5316,Load!$B:$B,Load!I:I,0,)</f>
        <v>0</v>
      </c>
      <c r="I5316">
        <f>_xlfn.XLOOKUP($A5316,Load!$B:$B,Load!J:J,0,)</f>
        <v>0</v>
      </c>
      <c r="J5316">
        <f>_xlfn.XLOOKUP($A5316,Load!$B:$B,Load!K:K,0,)</f>
        <v>0</v>
      </c>
      <c r="K5316">
        <f>_xlfn.XLOOKUP($A5316,Load!$B:$B,Load!L:L,0,)</f>
        <v>0</v>
      </c>
      <c r="L5316">
        <f>_xlfn.XLOOKUP($A5316,Load!$B:$B,Load!M:M,0,)</f>
        <v>0</v>
      </c>
    </row>
    <row r="5317" spans="1:12" x14ac:dyDescent="0.25">
      <c r="B5317">
        <f>_xlfn.XLOOKUP($A5317,Load!$B:$B,Load!C:C,0,)</f>
        <v>0</v>
      </c>
      <c r="C5317">
        <f>_xlfn.XLOOKUP($A5317,Load!$B:$B,Load!D:D,0,)</f>
        <v>0</v>
      </c>
      <c r="D5317">
        <f>_xlfn.XLOOKUP($A5317,Load!$B:$B,Load!E:E,0,)</f>
        <v>0</v>
      </c>
      <c r="E5317">
        <f>_xlfn.XLOOKUP($A5317,Load!$B:$B,Load!F:F,0,)</f>
        <v>0</v>
      </c>
      <c r="F5317">
        <f>_xlfn.XLOOKUP($A5317,Load!$B:$B,Load!G:G,0,)</f>
        <v>0</v>
      </c>
      <c r="G5317">
        <f>_xlfn.XLOOKUP($A5317,Load!$B:$B,Load!H:H,0,)</f>
        <v>0</v>
      </c>
      <c r="H5317">
        <f>_xlfn.XLOOKUP($A5317,Load!$B:$B,Load!I:I,0,)</f>
        <v>0</v>
      </c>
      <c r="I5317">
        <f>_xlfn.XLOOKUP($A5317,Load!$B:$B,Load!J:J,0,)</f>
        <v>0</v>
      </c>
      <c r="J5317">
        <f>_xlfn.XLOOKUP($A5317,Load!$B:$B,Load!K:K,0,)</f>
        <v>0</v>
      </c>
      <c r="K5317">
        <f>_xlfn.XLOOKUP($A5317,Load!$B:$B,Load!L:L,0,)</f>
        <v>0</v>
      </c>
      <c r="L5317">
        <f>_xlfn.XLOOKUP($A5317,Load!$B:$B,Load!M:M,0,)</f>
        <v>0</v>
      </c>
    </row>
    <row r="5318" spans="1:12" x14ac:dyDescent="0.25">
      <c r="A5318" t="s">
        <v>65</v>
      </c>
      <c r="B5318" t="str">
        <f>_xlfn.XLOOKUP($A5318,Load!$B:$B,Load!C:C,0,)</f>
        <v>Dots</v>
      </c>
      <c r="C5318" t="str">
        <f>_xlfn.XLOOKUP($A5318,Load!$B:$B,Load!D:D,0,)</f>
        <v>Non-Chocolate Candy Only</v>
      </c>
      <c r="D5318" t="str">
        <f>_xlfn.XLOOKUP($A5318,Load!$B:$B,Load!E:E,0,)</f>
        <v>Variety / Mixed Flavors (Fruity, Sour, Seasonal Flavors)</v>
      </c>
      <c r="E5318" t="str">
        <f>_xlfn.XLOOKUP($A5318,Load!$B:$B,Load!F:F,0,)</f>
        <v>Candy Pieces / Bites</v>
      </c>
      <c r="F5318" t="str">
        <f>_xlfn.XLOOKUP($A5318,Load!$B:$B,Load!G:G,0,)</f>
        <v>Medium Multipack (40–80 ct)</v>
      </c>
      <c r="G5318" t="str">
        <f>_xlfn.XLOOKUP($A5318,Load!$B:$B,Load!H:H,0,)</f>
        <v>Box (theatre box, gift box, carton)</v>
      </c>
      <c r="H5318" t="str">
        <f>_xlfn.XLOOKUP($A5318,Load!$B:$B,Load!I:I,0,)</f>
        <v>Seasonal Shapes (like pumpkins, candy corn, ghost, bats, etc.)</v>
      </c>
      <c r="I5318" t="str">
        <f>_xlfn.XLOOKUP($A5318,Load!$B:$B,Load!J:J,0,)</f>
        <v>Seasonal Graphics (Like Bat, Ghost, Pumpkin, Fall Leaves, Eyeballs, etc.)</v>
      </c>
      <c r="J5318" t="str">
        <f>_xlfn.XLOOKUP($A5318,Load!$B:$B,Load!K:K,0,)</f>
        <v>Fun Size / Treat Size</v>
      </c>
      <c r="K5318" t="str">
        <f>_xlfn.XLOOKUP($A5318,Load!$B:$B,Load!L:L,0,)</f>
        <v>Regular/Original Wrapping</v>
      </c>
      <c r="L5318" t="str">
        <f>_xlfn.XLOOKUP($A5318,Load!$B:$B,Load!M:M,0,)</f>
        <v>Single Brand / Variety Flavors or Form</v>
      </c>
    </row>
    <row r="5319" spans="1:12" x14ac:dyDescent="0.25">
      <c r="A5319" t="s">
        <v>328</v>
      </c>
      <c r="B5319" t="str">
        <f>_xlfn.XLOOKUP($A5319,Load!$B:$B,Load!C:C,0,)</f>
        <v>Googly Eyes</v>
      </c>
      <c r="C5319" t="str">
        <f>_xlfn.XLOOKUP($A5319,Load!$B:$B,Load!D:D,0,)</f>
        <v>Non-Chocolate Candy Only</v>
      </c>
      <c r="D5319" t="str">
        <f>_xlfn.XLOOKUP($A5319,Load!$B:$B,Load!E:E,0,)</f>
        <v>Variety / Mixed Flavors (Fruity, Sour, Seasonal Flavors)</v>
      </c>
      <c r="E5319" t="str">
        <f>_xlfn.XLOOKUP($A5319,Load!$B:$B,Load!F:F,0,)</f>
        <v>Candy Pieces / Bites</v>
      </c>
      <c r="F5319" t="str">
        <f>_xlfn.XLOOKUP($A5319,Load!$B:$B,Load!G:G,0,)</f>
        <v>Single Pack</v>
      </c>
      <c r="G5319" t="str">
        <f>_xlfn.XLOOKUP($A5319,Load!$B:$B,Load!H:H,0,)</f>
        <v>Plastic Cup / Container</v>
      </c>
      <c r="H5319" t="str">
        <f>_xlfn.XLOOKUP($A5319,Load!$B:$B,Load!I:I,0,)</f>
        <v>Seasonal Shapes (like pumpkins, candy corn, ghost, bats, etc.)</v>
      </c>
      <c r="I5319" t="str">
        <f>_xlfn.XLOOKUP($A5319,Load!$B:$B,Load!J:J,0,)</f>
        <v>Seasonal Graphics (Like Bat, Ghost, Pumpkin, Fall Leaves, Eyeballs, etc.)</v>
      </c>
      <c r="J5319" t="str">
        <f>_xlfn.XLOOKUP($A5319,Load!$B:$B,Load!K:K,0,)</f>
        <v>Fun Size / Treat Size</v>
      </c>
      <c r="K5319" t="str">
        <f>_xlfn.XLOOKUP($A5319,Load!$B:$B,Load!L:L,0,)</f>
        <v>Regular/Original Wrapping</v>
      </c>
      <c r="L5319" t="str">
        <f>_xlfn.XLOOKUP($A5319,Load!$B:$B,Load!M:M,0,)</f>
        <v>Single Brand / Variety Flavors or Form</v>
      </c>
    </row>
    <row r="5320" spans="1:12" x14ac:dyDescent="0.25">
      <c r="B5320">
        <f>_xlfn.XLOOKUP($A5320,Load!$B:$B,Load!C:C,0,)</f>
        <v>0</v>
      </c>
      <c r="C5320">
        <f>_xlfn.XLOOKUP($A5320,Load!$B:$B,Load!D:D,0,)</f>
        <v>0</v>
      </c>
      <c r="D5320">
        <f>_xlfn.XLOOKUP($A5320,Load!$B:$B,Load!E:E,0,)</f>
        <v>0</v>
      </c>
      <c r="E5320">
        <f>_xlfn.XLOOKUP($A5320,Load!$B:$B,Load!F:F,0,)</f>
        <v>0</v>
      </c>
      <c r="F5320">
        <f>_xlfn.XLOOKUP($A5320,Load!$B:$B,Load!G:G,0,)</f>
        <v>0</v>
      </c>
      <c r="G5320">
        <f>_xlfn.XLOOKUP($A5320,Load!$B:$B,Load!H:H,0,)</f>
        <v>0</v>
      </c>
      <c r="H5320">
        <f>_xlfn.XLOOKUP($A5320,Load!$B:$B,Load!I:I,0,)</f>
        <v>0</v>
      </c>
      <c r="I5320">
        <f>_xlfn.XLOOKUP($A5320,Load!$B:$B,Load!J:J,0,)</f>
        <v>0</v>
      </c>
      <c r="J5320">
        <f>_xlfn.XLOOKUP($A5320,Load!$B:$B,Load!K:K,0,)</f>
        <v>0</v>
      </c>
      <c r="K5320">
        <f>_xlfn.XLOOKUP($A5320,Load!$B:$B,Load!L:L,0,)</f>
        <v>0</v>
      </c>
      <c r="L5320">
        <f>_xlfn.XLOOKUP($A5320,Load!$B:$B,Load!M:M,0,)</f>
        <v>0</v>
      </c>
    </row>
    <row r="5321" spans="1:12" x14ac:dyDescent="0.25">
      <c r="B5321">
        <f>_xlfn.XLOOKUP($A5321,Load!$B:$B,Load!C:C,0,)</f>
        <v>0</v>
      </c>
      <c r="C5321">
        <f>_xlfn.XLOOKUP($A5321,Load!$B:$B,Load!D:D,0,)</f>
        <v>0</v>
      </c>
      <c r="D5321">
        <f>_xlfn.XLOOKUP($A5321,Load!$B:$B,Load!E:E,0,)</f>
        <v>0</v>
      </c>
      <c r="E5321">
        <f>_xlfn.XLOOKUP($A5321,Load!$B:$B,Load!F:F,0,)</f>
        <v>0</v>
      </c>
      <c r="F5321">
        <f>_xlfn.XLOOKUP($A5321,Load!$B:$B,Load!G:G,0,)</f>
        <v>0</v>
      </c>
      <c r="G5321">
        <f>_xlfn.XLOOKUP($A5321,Load!$B:$B,Load!H:H,0,)</f>
        <v>0</v>
      </c>
      <c r="H5321">
        <f>_xlfn.XLOOKUP($A5321,Load!$B:$B,Load!I:I,0,)</f>
        <v>0</v>
      </c>
      <c r="I5321">
        <f>_xlfn.XLOOKUP($A5321,Load!$B:$B,Load!J:J,0,)</f>
        <v>0</v>
      </c>
      <c r="J5321">
        <f>_xlfn.XLOOKUP($A5321,Load!$B:$B,Load!K:K,0,)</f>
        <v>0</v>
      </c>
      <c r="K5321">
        <f>_xlfn.XLOOKUP($A5321,Load!$B:$B,Load!L:L,0,)</f>
        <v>0</v>
      </c>
      <c r="L5321">
        <f>_xlfn.XLOOKUP($A5321,Load!$B:$B,Load!M:M,0,)</f>
        <v>0</v>
      </c>
    </row>
    <row r="5322" spans="1:12" x14ac:dyDescent="0.25">
      <c r="B5322">
        <f>_xlfn.XLOOKUP($A5322,Load!$B:$B,Load!C:C,0,)</f>
        <v>0</v>
      </c>
      <c r="C5322">
        <f>_xlfn.XLOOKUP($A5322,Load!$B:$B,Load!D:D,0,)</f>
        <v>0</v>
      </c>
      <c r="D5322">
        <f>_xlfn.XLOOKUP($A5322,Load!$B:$B,Load!E:E,0,)</f>
        <v>0</v>
      </c>
      <c r="E5322">
        <f>_xlfn.XLOOKUP($A5322,Load!$B:$B,Load!F:F,0,)</f>
        <v>0</v>
      </c>
      <c r="F5322">
        <f>_xlfn.XLOOKUP($A5322,Load!$B:$B,Load!G:G,0,)</f>
        <v>0</v>
      </c>
      <c r="G5322">
        <f>_xlfn.XLOOKUP($A5322,Load!$B:$B,Load!H:H,0,)</f>
        <v>0</v>
      </c>
      <c r="H5322">
        <f>_xlfn.XLOOKUP($A5322,Load!$B:$B,Load!I:I,0,)</f>
        <v>0</v>
      </c>
      <c r="I5322">
        <f>_xlfn.XLOOKUP($A5322,Load!$B:$B,Load!J:J,0,)</f>
        <v>0</v>
      </c>
      <c r="J5322">
        <f>_xlfn.XLOOKUP($A5322,Load!$B:$B,Load!K:K,0,)</f>
        <v>0</v>
      </c>
      <c r="K5322">
        <f>_xlfn.XLOOKUP($A5322,Load!$B:$B,Load!L:L,0,)</f>
        <v>0</v>
      </c>
      <c r="L5322">
        <f>_xlfn.XLOOKUP($A5322,Load!$B:$B,Load!M:M,0,)</f>
        <v>0</v>
      </c>
    </row>
    <row r="5323" spans="1:12" x14ac:dyDescent="0.25">
      <c r="B5323">
        <f>_xlfn.XLOOKUP($A5323,Load!$B:$B,Load!C:C,0,)</f>
        <v>0</v>
      </c>
      <c r="C5323">
        <f>_xlfn.XLOOKUP($A5323,Load!$B:$B,Load!D:D,0,)</f>
        <v>0</v>
      </c>
      <c r="D5323">
        <f>_xlfn.XLOOKUP($A5323,Load!$B:$B,Load!E:E,0,)</f>
        <v>0</v>
      </c>
      <c r="E5323">
        <f>_xlfn.XLOOKUP($A5323,Load!$B:$B,Load!F:F,0,)</f>
        <v>0</v>
      </c>
      <c r="F5323">
        <f>_xlfn.XLOOKUP($A5323,Load!$B:$B,Load!G:G,0,)</f>
        <v>0</v>
      </c>
      <c r="G5323">
        <f>_xlfn.XLOOKUP($A5323,Load!$B:$B,Load!H:H,0,)</f>
        <v>0</v>
      </c>
      <c r="H5323">
        <f>_xlfn.XLOOKUP($A5323,Load!$B:$B,Load!I:I,0,)</f>
        <v>0</v>
      </c>
      <c r="I5323">
        <f>_xlfn.XLOOKUP($A5323,Load!$B:$B,Load!J:J,0,)</f>
        <v>0</v>
      </c>
      <c r="J5323">
        <f>_xlfn.XLOOKUP($A5323,Load!$B:$B,Load!K:K,0,)</f>
        <v>0</v>
      </c>
      <c r="K5323">
        <f>_xlfn.XLOOKUP($A5323,Load!$B:$B,Load!L:L,0,)</f>
        <v>0</v>
      </c>
      <c r="L5323">
        <f>_xlfn.XLOOKUP($A5323,Load!$B:$B,Load!M:M,0,)</f>
        <v>0</v>
      </c>
    </row>
    <row r="5324" spans="1:12" x14ac:dyDescent="0.25">
      <c r="B5324">
        <f>_xlfn.XLOOKUP($A5324,Load!$B:$B,Load!C:C,0,)</f>
        <v>0</v>
      </c>
      <c r="C5324">
        <f>_xlfn.XLOOKUP($A5324,Load!$B:$B,Load!D:D,0,)</f>
        <v>0</v>
      </c>
      <c r="D5324">
        <f>_xlfn.XLOOKUP($A5324,Load!$B:$B,Load!E:E,0,)</f>
        <v>0</v>
      </c>
      <c r="E5324">
        <f>_xlfn.XLOOKUP($A5324,Load!$B:$B,Load!F:F,0,)</f>
        <v>0</v>
      </c>
      <c r="F5324">
        <f>_xlfn.XLOOKUP($A5324,Load!$B:$B,Load!G:G,0,)</f>
        <v>0</v>
      </c>
      <c r="G5324">
        <f>_xlfn.XLOOKUP($A5324,Load!$B:$B,Load!H:H,0,)</f>
        <v>0</v>
      </c>
      <c r="H5324">
        <f>_xlfn.XLOOKUP($A5324,Load!$B:$B,Load!I:I,0,)</f>
        <v>0</v>
      </c>
      <c r="I5324">
        <f>_xlfn.XLOOKUP($A5324,Load!$B:$B,Load!J:J,0,)</f>
        <v>0</v>
      </c>
      <c r="J5324">
        <f>_xlfn.XLOOKUP($A5324,Load!$B:$B,Load!K:K,0,)</f>
        <v>0</v>
      </c>
      <c r="K5324">
        <f>_xlfn.XLOOKUP($A5324,Load!$B:$B,Load!L:L,0,)</f>
        <v>0</v>
      </c>
      <c r="L5324">
        <f>_xlfn.XLOOKUP($A5324,Load!$B:$B,Load!M:M,0,)</f>
        <v>0</v>
      </c>
    </row>
    <row r="5325" spans="1:12" x14ac:dyDescent="0.25">
      <c r="B5325">
        <f>_xlfn.XLOOKUP($A5325,Load!$B:$B,Load!C:C,0,)</f>
        <v>0</v>
      </c>
      <c r="C5325">
        <f>_xlfn.XLOOKUP($A5325,Load!$B:$B,Load!D:D,0,)</f>
        <v>0</v>
      </c>
      <c r="D5325">
        <f>_xlfn.XLOOKUP($A5325,Load!$B:$B,Load!E:E,0,)</f>
        <v>0</v>
      </c>
      <c r="E5325">
        <f>_xlfn.XLOOKUP($A5325,Load!$B:$B,Load!F:F,0,)</f>
        <v>0</v>
      </c>
      <c r="F5325">
        <f>_xlfn.XLOOKUP($A5325,Load!$B:$B,Load!G:G,0,)</f>
        <v>0</v>
      </c>
      <c r="G5325">
        <f>_xlfn.XLOOKUP($A5325,Load!$B:$B,Load!H:H,0,)</f>
        <v>0</v>
      </c>
      <c r="H5325">
        <f>_xlfn.XLOOKUP($A5325,Load!$B:$B,Load!I:I,0,)</f>
        <v>0</v>
      </c>
      <c r="I5325">
        <f>_xlfn.XLOOKUP($A5325,Load!$B:$B,Load!J:J,0,)</f>
        <v>0</v>
      </c>
      <c r="J5325">
        <f>_xlfn.XLOOKUP($A5325,Load!$B:$B,Load!K:K,0,)</f>
        <v>0</v>
      </c>
      <c r="K5325">
        <f>_xlfn.XLOOKUP($A5325,Load!$B:$B,Load!L:L,0,)</f>
        <v>0</v>
      </c>
      <c r="L5325">
        <f>_xlfn.XLOOKUP($A5325,Load!$B:$B,Load!M:M,0,)</f>
        <v>0</v>
      </c>
    </row>
    <row r="5326" spans="1:12" x14ac:dyDescent="0.25">
      <c r="B5326">
        <f>_xlfn.XLOOKUP($A5326,Load!$B:$B,Load!C:C,0,)</f>
        <v>0</v>
      </c>
      <c r="C5326">
        <f>_xlfn.XLOOKUP($A5326,Load!$B:$B,Load!D:D,0,)</f>
        <v>0</v>
      </c>
      <c r="D5326">
        <f>_xlfn.XLOOKUP($A5326,Load!$B:$B,Load!E:E,0,)</f>
        <v>0</v>
      </c>
      <c r="E5326">
        <f>_xlfn.XLOOKUP($A5326,Load!$B:$B,Load!F:F,0,)</f>
        <v>0</v>
      </c>
      <c r="F5326">
        <f>_xlfn.XLOOKUP($A5326,Load!$B:$B,Load!G:G,0,)</f>
        <v>0</v>
      </c>
      <c r="G5326">
        <f>_xlfn.XLOOKUP($A5326,Load!$B:$B,Load!H:H,0,)</f>
        <v>0</v>
      </c>
      <c r="H5326">
        <f>_xlfn.XLOOKUP($A5326,Load!$B:$B,Load!I:I,0,)</f>
        <v>0</v>
      </c>
      <c r="I5326">
        <f>_xlfn.XLOOKUP($A5326,Load!$B:$B,Load!J:J,0,)</f>
        <v>0</v>
      </c>
      <c r="J5326">
        <f>_xlfn.XLOOKUP($A5326,Load!$B:$B,Load!K:K,0,)</f>
        <v>0</v>
      </c>
      <c r="K5326">
        <f>_xlfn.XLOOKUP($A5326,Load!$B:$B,Load!L:L,0,)</f>
        <v>0</v>
      </c>
      <c r="L5326">
        <f>_xlfn.XLOOKUP($A5326,Load!$B:$B,Load!M:M,0,)</f>
        <v>0</v>
      </c>
    </row>
    <row r="5327" spans="1:12" x14ac:dyDescent="0.25">
      <c r="B5327">
        <f>_xlfn.XLOOKUP($A5327,Load!$B:$B,Load!C:C,0,)</f>
        <v>0</v>
      </c>
      <c r="C5327">
        <f>_xlfn.XLOOKUP($A5327,Load!$B:$B,Load!D:D,0,)</f>
        <v>0</v>
      </c>
      <c r="D5327">
        <f>_xlfn.XLOOKUP($A5327,Load!$B:$B,Load!E:E,0,)</f>
        <v>0</v>
      </c>
      <c r="E5327">
        <f>_xlfn.XLOOKUP($A5327,Load!$B:$B,Load!F:F,0,)</f>
        <v>0</v>
      </c>
      <c r="F5327">
        <f>_xlfn.XLOOKUP($A5327,Load!$B:$B,Load!G:G,0,)</f>
        <v>0</v>
      </c>
      <c r="G5327">
        <f>_xlfn.XLOOKUP($A5327,Load!$B:$B,Load!H:H,0,)</f>
        <v>0</v>
      </c>
      <c r="H5327">
        <f>_xlfn.XLOOKUP($A5327,Load!$B:$B,Load!I:I,0,)</f>
        <v>0</v>
      </c>
      <c r="I5327">
        <f>_xlfn.XLOOKUP($A5327,Load!$B:$B,Load!J:J,0,)</f>
        <v>0</v>
      </c>
      <c r="J5327">
        <f>_xlfn.XLOOKUP($A5327,Load!$B:$B,Load!K:K,0,)</f>
        <v>0</v>
      </c>
      <c r="K5327">
        <f>_xlfn.XLOOKUP($A5327,Load!$B:$B,Load!L:L,0,)</f>
        <v>0</v>
      </c>
      <c r="L5327">
        <f>_xlfn.XLOOKUP($A5327,Load!$B:$B,Load!M:M,0,)</f>
        <v>0</v>
      </c>
    </row>
    <row r="5328" spans="1:12" x14ac:dyDescent="0.25">
      <c r="B5328">
        <f>_xlfn.XLOOKUP($A5328,Load!$B:$B,Load!C:C,0,)</f>
        <v>0</v>
      </c>
      <c r="C5328">
        <f>_xlfn.XLOOKUP($A5328,Load!$B:$B,Load!D:D,0,)</f>
        <v>0</v>
      </c>
      <c r="D5328">
        <f>_xlfn.XLOOKUP($A5328,Load!$B:$B,Load!E:E,0,)</f>
        <v>0</v>
      </c>
      <c r="E5328">
        <f>_xlfn.XLOOKUP($A5328,Load!$B:$B,Load!F:F,0,)</f>
        <v>0</v>
      </c>
      <c r="F5328">
        <f>_xlfn.XLOOKUP($A5328,Load!$B:$B,Load!G:G,0,)</f>
        <v>0</v>
      </c>
      <c r="G5328">
        <f>_xlfn.XLOOKUP($A5328,Load!$B:$B,Load!H:H,0,)</f>
        <v>0</v>
      </c>
      <c r="H5328">
        <f>_xlfn.XLOOKUP($A5328,Load!$B:$B,Load!I:I,0,)</f>
        <v>0</v>
      </c>
      <c r="I5328">
        <f>_xlfn.XLOOKUP($A5328,Load!$B:$B,Load!J:J,0,)</f>
        <v>0</v>
      </c>
      <c r="J5328">
        <f>_xlfn.XLOOKUP($A5328,Load!$B:$B,Load!K:K,0,)</f>
        <v>0</v>
      </c>
      <c r="K5328">
        <f>_xlfn.XLOOKUP($A5328,Load!$B:$B,Load!L:L,0,)</f>
        <v>0</v>
      </c>
      <c r="L5328">
        <f>_xlfn.XLOOKUP($A5328,Load!$B:$B,Load!M:M,0,)</f>
        <v>0</v>
      </c>
    </row>
    <row r="5329" spans="1:12" x14ac:dyDescent="0.25">
      <c r="B5329">
        <f>_xlfn.XLOOKUP($A5329,Load!$B:$B,Load!C:C,0,)</f>
        <v>0</v>
      </c>
      <c r="C5329">
        <f>_xlfn.XLOOKUP($A5329,Load!$B:$B,Load!D:D,0,)</f>
        <v>0</v>
      </c>
      <c r="D5329">
        <f>_xlfn.XLOOKUP($A5329,Load!$B:$B,Load!E:E,0,)</f>
        <v>0</v>
      </c>
      <c r="E5329">
        <f>_xlfn.XLOOKUP($A5329,Load!$B:$B,Load!F:F,0,)</f>
        <v>0</v>
      </c>
      <c r="F5329">
        <f>_xlfn.XLOOKUP($A5329,Load!$B:$B,Load!G:G,0,)</f>
        <v>0</v>
      </c>
      <c r="G5329">
        <f>_xlfn.XLOOKUP($A5329,Load!$B:$B,Load!H:H,0,)</f>
        <v>0</v>
      </c>
      <c r="H5329">
        <f>_xlfn.XLOOKUP($A5329,Load!$B:$B,Load!I:I,0,)</f>
        <v>0</v>
      </c>
      <c r="I5329">
        <f>_xlfn.XLOOKUP($A5329,Load!$B:$B,Load!J:J,0,)</f>
        <v>0</v>
      </c>
      <c r="J5329">
        <f>_xlfn.XLOOKUP($A5329,Load!$B:$B,Load!K:K,0,)</f>
        <v>0</v>
      </c>
      <c r="K5329">
        <f>_xlfn.XLOOKUP($A5329,Load!$B:$B,Load!L:L,0,)</f>
        <v>0</v>
      </c>
      <c r="L5329">
        <f>_xlfn.XLOOKUP($A5329,Load!$B:$B,Load!M:M,0,)</f>
        <v>0</v>
      </c>
    </row>
    <row r="5330" spans="1:12" x14ac:dyDescent="0.25">
      <c r="A5330" t="s">
        <v>90</v>
      </c>
      <c r="B5330" t="str">
        <f>_xlfn.XLOOKUP($A5330,Load!$B:$B,Load!C:C,0,)</f>
        <v>Ferrara Variety Pack</v>
      </c>
      <c r="C5330" t="str">
        <f>_xlfn.XLOOKUP($A5330,Load!$B:$B,Load!D:D,0,)</f>
        <v>Non-Chocolate Candy Only</v>
      </c>
      <c r="D5330" t="str">
        <f>_xlfn.XLOOKUP($A5330,Load!$B:$B,Load!E:E,0,)</f>
        <v>Variety / Mixed Flavors (Fruity, Sour, Seasonal Flavors)</v>
      </c>
      <c r="E5330" t="str">
        <f>_xlfn.XLOOKUP($A5330,Load!$B:$B,Load!F:F,0,)</f>
        <v>Mixed / Combo Packs (Gummy, Chewy, Taffy, etc.)</v>
      </c>
      <c r="F5330" t="str">
        <f>_xlfn.XLOOKUP($A5330,Load!$B:$B,Load!G:G,0,)</f>
        <v>Large Multipack (More than 80 ct)</v>
      </c>
      <c r="G5330" t="str">
        <f>_xlfn.XLOOKUP($A5330,Load!$B:$B,Load!H:H,0,)</f>
        <v>Stand-Up Bag</v>
      </c>
      <c r="H5330" t="str">
        <f>_xlfn.XLOOKUP($A5330,Load!$B:$B,Load!I:I,0,)</f>
        <v>Everyday Candy Shapes (like Original, Gummy bear, Fruit, Jewels, etc.)</v>
      </c>
      <c r="I5330" t="str">
        <f>_xlfn.XLOOKUP($A5330,Load!$B:$B,Load!J:J,0,)</f>
        <v>Seasonal Graphics (Like Bat, Ghost, Pumpkin, Fall Leaves, Eyeballs, etc.)</v>
      </c>
      <c r="J5330" t="str">
        <f>_xlfn.XLOOKUP($A5330,Load!$B:$B,Load!K:K,0,)</f>
        <v xml:space="preserve">Variety Candy Sizes </v>
      </c>
      <c r="K5330" t="str">
        <f>_xlfn.XLOOKUP($A5330,Load!$B:$B,Load!L:L,0,)</f>
        <v>Regular/Original Wrapping</v>
      </c>
      <c r="L5330" t="str">
        <f>_xlfn.XLOOKUP($A5330,Load!$B:$B,Load!M:M,0,)</f>
        <v>Multiple Brands / Variety Flavors or Form</v>
      </c>
    </row>
    <row r="5331" spans="1:12" x14ac:dyDescent="0.25">
      <c r="A5331" t="s">
        <v>104</v>
      </c>
      <c r="B5331" t="str">
        <f>_xlfn.XLOOKUP($A5331,Load!$B:$B,Load!C:C,0,)</f>
        <v>Frankford</v>
      </c>
      <c r="C5331" t="str">
        <f>_xlfn.XLOOKUP($A5331,Load!$B:$B,Load!D:D,0,)</f>
        <v>Non-Chocolate Candy Only</v>
      </c>
      <c r="D5331" t="str">
        <f>_xlfn.XLOOKUP($A5331,Load!$B:$B,Load!E:E,0,)</f>
        <v>Variety / Mixed Flavors (Fruity, Sour, Seasonal Flavors)</v>
      </c>
      <c r="E5331" t="str">
        <f>_xlfn.XLOOKUP($A5331,Load!$B:$B,Load!F:F,0,)</f>
        <v>Mixed / Combo Packs (Gummy, Chewy, Taffy, etc.)</v>
      </c>
      <c r="F5331" t="str">
        <f>_xlfn.XLOOKUP($A5331,Load!$B:$B,Load!G:G,0,)</f>
        <v>Large Multipack (More than 80 ct)</v>
      </c>
      <c r="G5331" t="str">
        <f>_xlfn.XLOOKUP($A5331,Load!$B:$B,Load!H:H,0,)</f>
        <v>Stand-Up Bag</v>
      </c>
      <c r="H5331" t="str">
        <f>_xlfn.XLOOKUP($A5331,Load!$B:$B,Load!I:I,0,)</f>
        <v>Seasonal Shapes (like pumpkins, candy corn, ghost, bats, etc.)</v>
      </c>
      <c r="I5331" t="str">
        <f>_xlfn.XLOOKUP($A5331,Load!$B:$B,Load!J:J,0,)</f>
        <v>Seasonal Graphics (Like Bat, Ghost, Pumpkin, Fall Leaves, Eyeballs, etc.)</v>
      </c>
      <c r="J5331" t="str">
        <f>_xlfn.XLOOKUP($A5331,Load!$B:$B,Load!K:K,0,)</f>
        <v xml:space="preserve">Variety Candy Sizes </v>
      </c>
      <c r="K5331" t="str">
        <f>_xlfn.XLOOKUP($A5331,Load!$B:$B,Load!L:L,0,)</f>
        <v>Regular/Original Wrapping</v>
      </c>
      <c r="L5331" t="str">
        <f>_xlfn.XLOOKUP($A5331,Load!$B:$B,Load!M:M,0,)</f>
        <v>Multiple Brands / Variety Flavors or Form</v>
      </c>
    </row>
    <row r="5332" spans="1:12" x14ac:dyDescent="0.25">
      <c r="A5332" t="s">
        <v>285</v>
      </c>
      <c r="B5332" t="str">
        <f>_xlfn.XLOOKUP($A5332,Load!$B:$B,Load!C:C,0,)</f>
        <v>Starburst</v>
      </c>
      <c r="C5332" t="str">
        <f>_xlfn.XLOOKUP($A5332,Load!$B:$B,Load!D:D,0,)</f>
        <v>Non-Chocolate Candy Only</v>
      </c>
      <c r="D5332" t="str">
        <f>_xlfn.XLOOKUP($A5332,Load!$B:$B,Load!E:E,0,)</f>
        <v>Fruit Flavor (Cherry, Grape, Apple, Citrus, Tropical Fruit)</v>
      </c>
      <c r="E5332" t="str">
        <f>_xlfn.XLOOKUP($A5332,Load!$B:$B,Load!F:F,0,)</f>
        <v>Chewy</v>
      </c>
      <c r="F5332" t="str">
        <f>_xlfn.XLOOKUP($A5332,Load!$B:$B,Load!G:G,0,)</f>
        <v>Small Multipack (Less than 40 ct)</v>
      </c>
      <c r="G5332" t="str">
        <f>_xlfn.XLOOKUP($A5332,Load!$B:$B,Load!H:H,0,)</f>
        <v>Laydown Bag</v>
      </c>
      <c r="H5332" t="str">
        <f>_xlfn.XLOOKUP($A5332,Load!$B:$B,Load!I:I,0,)</f>
        <v>Everyday Candy Shapes (like Original, Gummy bear, Fruit, Jewels, etc.)</v>
      </c>
      <c r="I5332" t="str">
        <f>_xlfn.XLOOKUP($A5332,Load!$B:$B,Load!J:J,0,)</f>
        <v>Everyday Graphics</v>
      </c>
      <c r="J5332" t="str">
        <f>_xlfn.XLOOKUP($A5332,Load!$B:$B,Load!K:K,0,)</f>
        <v>Small Pieces (Tiny bite size candies)</v>
      </c>
      <c r="K5332" t="str">
        <f>_xlfn.XLOOKUP($A5332,Load!$B:$B,Load!L:L,0,)</f>
        <v>Regular/Original Wrapping</v>
      </c>
      <c r="L5332" t="str">
        <f>_xlfn.XLOOKUP($A5332,Load!$B:$B,Load!M:M,0,)</f>
        <v>Single Brand / Variety Flavors or Form</v>
      </c>
    </row>
    <row r="5333" spans="1:12" x14ac:dyDescent="0.25">
      <c r="B5333">
        <f>_xlfn.XLOOKUP($A5333,Load!$B:$B,Load!C:C,0,)</f>
        <v>0</v>
      </c>
      <c r="C5333">
        <f>_xlfn.XLOOKUP($A5333,Load!$B:$B,Load!D:D,0,)</f>
        <v>0</v>
      </c>
      <c r="D5333">
        <f>_xlfn.XLOOKUP($A5333,Load!$B:$B,Load!E:E,0,)</f>
        <v>0</v>
      </c>
      <c r="E5333">
        <f>_xlfn.XLOOKUP($A5333,Load!$B:$B,Load!F:F,0,)</f>
        <v>0</v>
      </c>
      <c r="F5333">
        <f>_xlfn.XLOOKUP($A5333,Load!$B:$B,Load!G:G,0,)</f>
        <v>0</v>
      </c>
      <c r="G5333">
        <f>_xlfn.XLOOKUP($A5333,Load!$B:$B,Load!H:H,0,)</f>
        <v>0</v>
      </c>
      <c r="H5333">
        <f>_xlfn.XLOOKUP($A5333,Load!$B:$B,Load!I:I,0,)</f>
        <v>0</v>
      </c>
      <c r="I5333">
        <f>_xlfn.XLOOKUP($A5333,Load!$B:$B,Load!J:J,0,)</f>
        <v>0</v>
      </c>
      <c r="J5333">
        <f>_xlfn.XLOOKUP($A5333,Load!$B:$B,Load!K:K,0,)</f>
        <v>0</v>
      </c>
      <c r="K5333">
        <f>_xlfn.XLOOKUP($A5333,Load!$B:$B,Load!L:L,0,)</f>
        <v>0</v>
      </c>
      <c r="L5333">
        <f>_xlfn.XLOOKUP($A5333,Load!$B:$B,Load!M:M,0,)</f>
        <v>0</v>
      </c>
    </row>
    <row r="5334" spans="1:12" x14ac:dyDescent="0.25">
      <c r="A5334" t="s">
        <v>291</v>
      </c>
      <c r="B5334" t="str">
        <f>_xlfn.XLOOKUP($A5334,Load!$B:$B,Load!C:C,0,)</f>
        <v>Tootsie</v>
      </c>
      <c r="C5334" t="str">
        <f>_xlfn.XLOOKUP($A5334,Load!$B:$B,Load!D:D,0,)</f>
        <v>Non-Chocolate Candy Only</v>
      </c>
      <c r="D5334" t="str">
        <f>_xlfn.XLOOKUP($A5334,Load!$B:$B,Load!E:E,0,)</f>
        <v>Fall / Seasonal Flavors (pumpkin spice, caramel apple, candy corn)</v>
      </c>
      <c r="E5334" t="str">
        <f>_xlfn.XLOOKUP($A5334,Load!$B:$B,Load!F:F,0,)</f>
        <v>Lollipop (regular or lollipop rings)</v>
      </c>
      <c r="F5334" t="str">
        <f>_xlfn.XLOOKUP($A5334,Load!$B:$B,Load!G:G,0,)</f>
        <v>Single Pack</v>
      </c>
      <c r="G5334" t="str">
        <f>_xlfn.XLOOKUP($A5334,Load!$B:$B,Load!H:H,0,)</f>
        <v>Laydown Bag</v>
      </c>
      <c r="H5334" t="str">
        <f>_xlfn.XLOOKUP($A5334,Load!$B:$B,Load!I:I,0,)</f>
        <v>Seasonal Shapes (like pumpkins, candy corn, ghost, bats, etc.)</v>
      </c>
      <c r="I5334" t="str">
        <f>_xlfn.XLOOKUP($A5334,Load!$B:$B,Load!J:J,0,)</f>
        <v>Seasonal Graphics (Like Bat, Ghost, Pumpkin, Fall Leaves, Eyeballs, etc.)</v>
      </c>
      <c r="J5334" t="str">
        <f>_xlfn.XLOOKUP($A5334,Load!$B:$B,Load!K:K,0,)</f>
        <v>Regular Lollipop size (on sticks or rings)</v>
      </c>
      <c r="K5334" t="str">
        <f>_xlfn.XLOOKUP($A5334,Load!$B:$B,Load!L:L,0,)</f>
        <v>Regular/Original Wrapping</v>
      </c>
      <c r="L5334" t="str">
        <f>_xlfn.XLOOKUP($A5334,Load!$B:$B,Load!M:M,0,)</f>
        <v>Single Brand / Single Flavor or Form</v>
      </c>
    </row>
    <row r="5335" spans="1:12" x14ac:dyDescent="0.25">
      <c r="B5335">
        <f>_xlfn.XLOOKUP($A5335,Load!$B:$B,Load!C:C,0,)</f>
        <v>0</v>
      </c>
      <c r="C5335">
        <f>_xlfn.XLOOKUP($A5335,Load!$B:$B,Load!D:D,0,)</f>
        <v>0</v>
      </c>
      <c r="D5335">
        <f>_xlfn.XLOOKUP($A5335,Load!$B:$B,Load!E:E,0,)</f>
        <v>0</v>
      </c>
      <c r="E5335">
        <f>_xlfn.XLOOKUP($A5335,Load!$B:$B,Load!F:F,0,)</f>
        <v>0</v>
      </c>
      <c r="F5335">
        <f>_xlfn.XLOOKUP($A5335,Load!$B:$B,Load!G:G,0,)</f>
        <v>0</v>
      </c>
      <c r="G5335">
        <f>_xlfn.XLOOKUP($A5335,Load!$B:$B,Load!H:H,0,)</f>
        <v>0</v>
      </c>
      <c r="H5335">
        <f>_xlfn.XLOOKUP($A5335,Load!$B:$B,Load!I:I,0,)</f>
        <v>0</v>
      </c>
      <c r="I5335">
        <f>_xlfn.XLOOKUP($A5335,Load!$B:$B,Load!J:J,0,)</f>
        <v>0</v>
      </c>
      <c r="J5335">
        <f>_xlfn.XLOOKUP($A5335,Load!$B:$B,Load!K:K,0,)</f>
        <v>0</v>
      </c>
      <c r="K5335">
        <f>_xlfn.XLOOKUP($A5335,Load!$B:$B,Load!L:L,0,)</f>
        <v>0</v>
      </c>
      <c r="L5335">
        <f>_xlfn.XLOOKUP($A5335,Load!$B:$B,Load!M:M,0,)</f>
        <v>0</v>
      </c>
    </row>
    <row r="5336" spans="1:12" x14ac:dyDescent="0.25">
      <c r="A5336" t="s">
        <v>202</v>
      </c>
      <c r="B5336" t="str">
        <f>_xlfn.XLOOKUP($A5336,Load!$B:$B,Load!C:C,0,)</f>
        <v>Mars Variety Pack</v>
      </c>
      <c r="C5336" t="str">
        <f>_xlfn.XLOOKUP($A5336,Load!$B:$B,Load!D:D,0,)</f>
        <v>Mix of Chocolate and Non-Chocolate Candy</v>
      </c>
      <c r="D5336" t="str">
        <f>_xlfn.XLOOKUP($A5336,Load!$B:$B,Load!E:E,0,)</f>
        <v>Variety / Mixed Flavors (Fruity, Sour, Seasonal Flavors)</v>
      </c>
      <c r="E5336" t="str">
        <f>_xlfn.XLOOKUP($A5336,Load!$B:$B,Load!F:F,0,)</f>
        <v>Mixed / Combo Packs (Gummy, Chewy, Taffy, etc.)</v>
      </c>
      <c r="F5336" t="str">
        <f>_xlfn.XLOOKUP($A5336,Load!$B:$B,Load!G:G,0,)</f>
        <v>Large Multipack (More than 80 ct)</v>
      </c>
      <c r="G5336" t="str">
        <f>_xlfn.XLOOKUP($A5336,Load!$B:$B,Load!H:H,0,)</f>
        <v>Stand-Up Bag</v>
      </c>
      <c r="H5336" t="str">
        <f>_xlfn.XLOOKUP($A5336,Load!$B:$B,Load!I:I,0,)</f>
        <v>Everyday Candy Shapes (like Original, Gummy bear, Fruit, Jewels, etc.)</v>
      </c>
      <c r="I5336" t="str">
        <f>_xlfn.XLOOKUP($A5336,Load!$B:$B,Load!J:J,0,)</f>
        <v>Everyday Graphics</v>
      </c>
      <c r="J5336" t="str">
        <f>_xlfn.XLOOKUP($A5336,Load!$B:$B,Load!K:K,0,)</f>
        <v>Fun Size / Treat Size</v>
      </c>
      <c r="K5336" t="str">
        <f>_xlfn.XLOOKUP($A5336,Load!$B:$B,Load!L:L,0,)</f>
        <v>Regular/Original Wrapping</v>
      </c>
      <c r="L5336" t="str">
        <f>_xlfn.XLOOKUP($A5336,Load!$B:$B,Load!M:M,0,)</f>
        <v>Multiple Brands / Variety Flavors or Form</v>
      </c>
    </row>
    <row r="5337" spans="1:12" x14ac:dyDescent="0.25">
      <c r="A5337" t="s">
        <v>209</v>
      </c>
      <c r="B5337" t="str">
        <f>_xlfn.XLOOKUP($A5337,Load!$B:$B,Load!C:C,0,)</f>
        <v>Mars Variety Pack</v>
      </c>
      <c r="C5337" t="str">
        <f>_xlfn.XLOOKUP($A5337,Load!$B:$B,Load!D:D,0,)</f>
        <v>Non-Chocolate Candy Only</v>
      </c>
      <c r="D5337" t="str">
        <f>_xlfn.XLOOKUP($A5337,Load!$B:$B,Load!E:E,0,)</f>
        <v>Variety / Mixed Flavors (Fruity, Sour, Seasonal Flavors)</v>
      </c>
      <c r="E5337" t="str">
        <f>_xlfn.XLOOKUP($A5337,Load!$B:$B,Load!F:F,0,)</f>
        <v>Mixed / Combo Packs (Gummy, Chewy, Taffy, etc.)</v>
      </c>
      <c r="F5337" t="str">
        <f>_xlfn.XLOOKUP($A5337,Load!$B:$B,Load!G:G,0,)</f>
        <v>Large Multipack (More than 80 ct)</v>
      </c>
      <c r="G5337" t="str">
        <f>_xlfn.XLOOKUP($A5337,Load!$B:$B,Load!H:H,0,)</f>
        <v>Stand-Up Bag</v>
      </c>
      <c r="H5337" t="str">
        <f>_xlfn.XLOOKUP($A5337,Load!$B:$B,Load!I:I,0,)</f>
        <v>Everyday Candy Shapes (like Original, Gummy bear, Fruit, Jewels, etc.)</v>
      </c>
      <c r="I5337" t="str">
        <f>_xlfn.XLOOKUP($A5337,Load!$B:$B,Load!J:J,0,)</f>
        <v>Seasonal Graphics (Like Bat, Ghost, Pumpkin, Fall Leaves, Eyeballs, etc.)</v>
      </c>
      <c r="J5337" t="str">
        <f>_xlfn.XLOOKUP($A5337,Load!$B:$B,Load!K:K,0,)</f>
        <v>Fun Size / Treat Size</v>
      </c>
      <c r="K5337" t="str">
        <f>_xlfn.XLOOKUP($A5337,Load!$B:$B,Load!L:L,0,)</f>
        <v>Regular/Original Wrapping</v>
      </c>
      <c r="L5337" t="str">
        <f>_xlfn.XLOOKUP($A5337,Load!$B:$B,Load!M:M,0,)</f>
        <v>Multiple Brands / Variety Flavors or Form</v>
      </c>
    </row>
    <row r="5338" spans="1:12" x14ac:dyDescent="0.25">
      <c r="B5338">
        <f>_xlfn.XLOOKUP($A5338,Load!$B:$B,Load!C:C,0,)</f>
        <v>0</v>
      </c>
      <c r="C5338">
        <f>_xlfn.XLOOKUP($A5338,Load!$B:$B,Load!D:D,0,)</f>
        <v>0</v>
      </c>
      <c r="D5338">
        <f>_xlfn.XLOOKUP($A5338,Load!$B:$B,Load!E:E,0,)</f>
        <v>0</v>
      </c>
      <c r="E5338">
        <f>_xlfn.XLOOKUP($A5338,Load!$B:$B,Load!F:F,0,)</f>
        <v>0</v>
      </c>
      <c r="F5338">
        <f>_xlfn.XLOOKUP($A5338,Load!$B:$B,Load!G:G,0,)</f>
        <v>0</v>
      </c>
      <c r="G5338">
        <f>_xlfn.XLOOKUP($A5338,Load!$B:$B,Load!H:H,0,)</f>
        <v>0</v>
      </c>
      <c r="H5338">
        <f>_xlfn.XLOOKUP($A5338,Load!$B:$B,Load!I:I,0,)</f>
        <v>0</v>
      </c>
      <c r="I5338">
        <f>_xlfn.XLOOKUP($A5338,Load!$B:$B,Load!J:J,0,)</f>
        <v>0</v>
      </c>
      <c r="J5338">
        <f>_xlfn.XLOOKUP($A5338,Load!$B:$B,Load!K:K,0,)</f>
        <v>0</v>
      </c>
      <c r="K5338">
        <f>_xlfn.XLOOKUP($A5338,Load!$B:$B,Load!L:L,0,)</f>
        <v>0</v>
      </c>
      <c r="L5338">
        <f>_xlfn.XLOOKUP($A5338,Load!$B:$B,Load!M:M,0,)</f>
        <v>0</v>
      </c>
    </row>
    <row r="5339" spans="1:12" x14ac:dyDescent="0.25">
      <c r="B5339">
        <f>_xlfn.XLOOKUP($A5339,Load!$B:$B,Load!C:C,0,)</f>
        <v>0</v>
      </c>
      <c r="C5339">
        <f>_xlfn.XLOOKUP($A5339,Load!$B:$B,Load!D:D,0,)</f>
        <v>0</v>
      </c>
      <c r="D5339">
        <f>_xlfn.XLOOKUP($A5339,Load!$B:$B,Load!E:E,0,)</f>
        <v>0</v>
      </c>
      <c r="E5339">
        <f>_xlfn.XLOOKUP($A5339,Load!$B:$B,Load!F:F,0,)</f>
        <v>0</v>
      </c>
      <c r="F5339">
        <f>_xlfn.XLOOKUP($A5339,Load!$B:$B,Load!G:G,0,)</f>
        <v>0</v>
      </c>
      <c r="G5339">
        <f>_xlfn.XLOOKUP($A5339,Load!$B:$B,Load!H:H,0,)</f>
        <v>0</v>
      </c>
      <c r="H5339">
        <f>_xlfn.XLOOKUP($A5339,Load!$B:$B,Load!I:I,0,)</f>
        <v>0</v>
      </c>
      <c r="I5339">
        <f>_xlfn.XLOOKUP($A5339,Load!$B:$B,Load!J:J,0,)</f>
        <v>0</v>
      </c>
      <c r="J5339">
        <f>_xlfn.XLOOKUP($A5339,Load!$B:$B,Load!K:K,0,)</f>
        <v>0</v>
      </c>
      <c r="K5339">
        <f>_xlfn.XLOOKUP($A5339,Load!$B:$B,Load!L:L,0,)</f>
        <v>0</v>
      </c>
      <c r="L5339">
        <f>_xlfn.XLOOKUP($A5339,Load!$B:$B,Load!M:M,0,)</f>
        <v>0</v>
      </c>
    </row>
    <row r="5340" spans="1:12" x14ac:dyDescent="0.25">
      <c r="A5340" t="s">
        <v>122</v>
      </c>
      <c r="B5340" t="str">
        <f>_xlfn.XLOOKUP($A5340,Load!$B:$B,Load!C:C,0,)</f>
        <v>HARIBO</v>
      </c>
      <c r="C5340" t="str">
        <f>_xlfn.XLOOKUP($A5340,Load!$B:$B,Load!D:D,0,)</f>
        <v>Non-Chocolate Candy Only</v>
      </c>
      <c r="D5340" t="str">
        <f>_xlfn.XLOOKUP($A5340,Load!$B:$B,Load!E:E,0,)</f>
        <v>Variety / Mixed Flavors (Fruity, Sour, Seasonal Flavors)</v>
      </c>
      <c r="E5340" t="str">
        <f>_xlfn.XLOOKUP($A5340,Load!$B:$B,Load!F:F,0,)</f>
        <v>Gummy</v>
      </c>
      <c r="F5340" t="str">
        <f>_xlfn.XLOOKUP($A5340,Load!$B:$B,Load!G:G,0,)</f>
        <v>Medium Multipack (40–80 ct)</v>
      </c>
      <c r="G5340" t="str">
        <f>_xlfn.XLOOKUP($A5340,Load!$B:$B,Load!H:H,0,)</f>
        <v>Laydown Bag</v>
      </c>
      <c r="H5340" t="str">
        <f>_xlfn.XLOOKUP($A5340,Load!$B:$B,Load!I:I,0,)</f>
        <v>Seasonal Shapes (like pumpkins, candy corn, ghost, bats, etc.)</v>
      </c>
      <c r="I5340" t="str">
        <f>_xlfn.XLOOKUP($A5340,Load!$B:$B,Load!J:J,0,)</f>
        <v>Seasonal Graphics (Like Bat, Ghost, Pumpkin, Fall Leaves, Eyeballs, etc.)</v>
      </c>
      <c r="J5340" t="str">
        <f>_xlfn.XLOOKUP($A5340,Load!$B:$B,Load!K:K,0,)</f>
        <v>Small Pieces (Tiny bite size candies)</v>
      </c>
      <c r="K5340" t="str">
        <f>_xlfn.XLOOKUP($A5340,Load!$B:$B,Load!L:L,0,)</f>
        <v>Regular/Original Wrapping</v>
      </c>
      <c r="L5340" t="str">
        <f>_xlfn.XLOOKUP($A5340,Load!$B:$B,Load!M:M,0,)</f>
        <v>Multiple Brands / Variety Flavors or Form</v>
      </c>
    </row>
    <row r="5341" spans="1:12" x14ac:dyDescent="0.25">
      <c r="A5341" t="s">
        <v>467</v>
      </c>
      <c r="B5341" t="str">
        <f>_xlfn.XLOOKUP($A5341,Load!$B:$B,Load!C:C,0,)</f>
        <v>Trolli</v>
      </c>
      <c r="C5341" t="str">
        <f>_xlfn.XLOOKUP($A5341,Load!$B:$B,Load!D:D,0,)</f>
        <v>Non-Chocolate Candy Only</v>
      </c>
      <c r="D5341" t="str">
        <f>_xlfn.XLOOKUP($A5341,Load!$B:$B,Load!E:E,0,)</f>
        <v>Sour</v>
      </c>
      <c r="E5341" t="str">
        <f>_xlfn.XLOOKUP($A5341,Load!$B:$B,Load!F:F,0,)</f>
        <v>Gummy</v>
      </c>
      <c r="F5341" t="str">
        <f>_xlfn.XLOOKUP($A5341,Load!$B:$B,Load!G:G,0,)</f>
        <v>Small Multipack (Less than 40 ct)</v>
      </c>
      <c r="G5341" t="str">
        <f>_xlfn.XLOOKUP($A5341,Load!$B:$B,Load!H:H,0,)</f>
        <v>Laydown Bag</v>
      </c>
      <c r="H5341" t="str">
        <f>_xlfn.XLOOKUP($A5341,Load!$B:$B,Load!I:I,0,)</f>
        <v>Seasonal Shapes (like pumpkins, candy corn, ghost, bats, etc.)</v>
      </c>
      <c r="I5341" t="str">
        <f>_xlfn.XLOOKUP($A5341,Load!$B:$B,Load!J:J,0,)</f>
        <v>Seasonal Graphics (Like Bat, Ghost, Pumpkin, Fall Leaves, Eyeballs, etc.)</v>
      </c>
      <c r="J5341" t="str">
        <f>_xlfn.XLOOKUP($A5341,Load!$B:$B,Load!K:K,0,)</f>
        <v>Fun Size / Treat Size</v>
      </c>
      <c r="K5341" t="str">
        <f>_xlfn.XLOOKUP($A5341,Load!$B:$B,Load!L:L,0,)</f>
        <v>Regular/Original Wrapping</v>
      </c>
      <c r="L5341" t="str">
        <f>_xlfn.XLOOKUP($A5341,Load!$B:$B,Load!M:M,0,)</f>
        <v>Single Brand / Variety Flavors or Form</v>
      </c>
    </row>
    <row r="5342" spans="1:12" x14ac:dyDescent="0.25">
      <c r="B5342">
        <f>_xlfn.XLOOKUP($A5342,Load!$B:$B,Load!C:C,0,)</f>
        <v>0</v>
      </c>
      <c r="C5342">
        <f>_xlfn.XLOOKUP($A5342,Load!$B:$B,Load!D:D,0,)</f>
        <v>0</v>
      </c>
      <c r="D5342">
        <f>_xlfn.XLOOKUP($A5342,Load!$B:$B,Load!E:E,0,)</f>
        <v>0</v>
      </c>
      <c r="E5342">
        <f>_xlfn.XLOOKUP($A5342,Load!$B:$B,Load!F:F,0,)</f>
        <v>0</v>
      </c>
      <c r="F5342">
        <f>_xlfn.XLOOKUP($A5342,Load!$B:$B,Load!G:G,0,)</f>
        <v>0</v>
      </c>
      <c r="G5342">
        <f>_xlfn.XLOOKUP($A5342,Load!$B:$B,Load!H:H,0,)</f>
        <v>0</v>
      </c>
      <c r="H5342">
        <f>_xlfn.XLOOKUP($A5342,Load!$B:$B,Load!I:I,0,)</f>
        <v>0</v>
      </c>
      <c r="I5342">
        <f>_xlfn.XLOOKUP($A5342,Load!$B:$B,Load!J:J,0,)</f>
        <v>0</v>
      </c>
      <c r="J5342">
        <f>_xlfn.XLOOKUP($A5342,Load!$B:$B,Load!K:K,0,)</f>
        <v>0</v>
      </c>
      <c r="K5342">
        <f>_xlfn.XLOOKUP($A5342,Load!$B:$B,Load!L:L,0,)</f>
        <v>0</v>
      </c>
      <c r="L5342">
        <f>_xlfn.XLOOKUP($A5342,Load!$B:$B,Load!M:M,0,)</f>
        <v>0</v>
      </c>
    </row>
    <row r="5343" spans="1:12" x14ac:dyDescent="0.25">
      <c r="B5343">
        <f>_xlfn.XLOOKUP($A5343,Load!$B:$B,Load!C:C,0,)</f>
        <v>0</v>
      </c>
      <c r="C5343">
        <f>_xlfn.XLOOKUP($A5343,Load!$B:$B,Load!D:D,0,)</f>
        <v>0</v>
      </c>
      <c r="D5343">
        <f>_xlfn.XLOOKUP($A5343,Load!$B:$B,Load!E:E,0,)</f>
        <v>0</v>
      </c>
      <c r="E5343">
        <f>_xlfn.XLOOKUP($A5343,Load!$B:$B,Load!F:F,0,)</f>
        <v>0</v>
      </c>
      <c r="F5343">
        <f>_xlfn.XLOOKUP($A5343,Load!$B:$B,Load!G:G,0,)</f>
        <v>0</v>
      </c>
      <c r="G5343">
        <f>_xlfn.XLOOKUP($A5343,Load!$B:$B,Load!H:H,0,)</f>
        <v>0</v>
      </c>
      <c r="H5343">
        <f>_xlfn.XLOOKUP($A5343,Load!$B:$B,Load!I:I,0,)</f>
        <v>0</v>
      </c>
      <c r="I5343">
        <f>_xlfn.XLOOKUP($A5343,Load!$B:$B,Load!J:J,0,)</f>
        <v>0</v>
      </c>
      <c r="J5343">
        <f>_xlfn.XLOOKUP($A5343,Load!$B:$B,Load!K:K,0,)</f>
        <v>0</v>
      </c>
      <c r="K5343">
        <f>_xlfn.XLOOKUP($A5343,Load!$B:$B,Load!L:L,0,)</f>
        <v>0</v>
      </c>
      <c r="L5343">
        <f>_xlfn.XLOOKUP($A5343,Load!$B:$B,Load!M:M,0,)</f>
        <v>0</v>
      </c>
    </row>
    <row r="5344" spans="1:12" x14ac:dyDescent="0.25">
      <c r="A5344" t="s">
        <v>145</v>
      </c>
      <c r="B5344" t="str">
        <f>_xlfn.XLOOKUP($A5344,Load!$B:$B,Load!C:C,0,)</f>
        <v>Hershey's Variety Pack + Haribo</v>
      </c>
      <c r="C5344" t="str">
        <f>_xlfn.XLOOKUP($A5344,Load!$B:$B,Load!D:D,0,)</f>
        <v>Non-Chocolate Candy Only</v>
      </c>
      <c r="D5344" t="str">
        <f>_xlfn.XLOOKUP($A5344,Load!$B:$B,Load!E:E,0,)</f>
        <v>Variety / Mixed Flavors (Fruity, Sour, Seasonal Flavors)</v>
      </c>
      <c r="E5344" t="str">
        <f>_xlfn.XLOOKUP($A5344,Load!$B:$B,Load!F:F,0,)</f>
        <v>Mixed / Combo Packs (Gummy, Chewy, Taffy, etc.)</v>
      </c>
      <c r="F5344" t="str">
        <f>_xlfn.XLOOKUP($A5344,Load!$B:$B,Load!G:G,0,)</f>
        <v>Large Multipack (More than 80 ct)</v>
      </c>
      <c r="G5344" t="str">
        <f>_xlfn.XLOOKUP($A5344,Load!$B:$B,Load!H:H,0,)</f>
        <v>Stand-Up Bag</v>
      </c>
      <c r="H5344" t="str">
        <f>_xlfn.XLOOKUP($A5344,Load!$B:$B,Load!I:I,0,)</f>
        <v>Everyday Candy Shapes (like Original, Gummy bear, Fruit, Jewels, etc.)</v>
      </c>
      <c r="I5344" t="str">
        <f>_xlfn.XLOOKUP($A5344,Load!$B:$B,Load!J:J,0,)</f>
        <v>Seasonal Graphics (Like Bat, Ghost, Pumpkin, Fall Leaves, Eyeballs, etc.)</v>
      </c>
      <c r="J5344" t="str">
        <f>_xlfn.XLOOKUP($A5344,Load!$B:$B,Load!K:K,0,)</f>
        <v xml:space="preserve">Variety Candy Sizes </v>
      </c>
      <c r="K5344" t="str">
        <f>_xlfn.XLOOKUP($A5344,Load!$B:$B,Load!L:L,0,)</f>
        <v>Regular/Original Wrapping</v>
      </c>
      <c r="L5344" t="str">
        <f>_xlfn.XLOOKUP($A5344,Load!$B:$B,Load!M:M,0,)</f>
        <v>Multiple Brands / Variety Flavors or Form</v>
      </c>
    </row>
    <row r="5345" spans="1:12" x14ac:dyDescent="0.25">
      <c r="A5345" t="s">
        <v>137</v>
      </c>
      <c r="B5345" t="str">
        <f>_xlfn.XLOOKUP($A5345,Load!$B:$B,Load!C:C,0,)</f>
        <v>Hershey's Variety Pack + Haribo</v>
      </c>
      <c r="C5345" t="str">
        <f>_xlfn.XLOOKUP($A5345,Load!$B:$B,Load!D:D,0,)</f>
        <v>Non-Chocolate Candy Only</v>
      </c>
      <c r="D5345" t="str">
        <f>_xlfn.XLOOKUP($A5345,Load!$B:$B,Load!E:E,0,)</f>
        <v>Variety / Mixed Flavors (Fruity, Sour, Seasonal Flavors)</v>
      </c>
      <c r="E5345" t="str">
        <f>_xlfn.XLOOKUP($A5345,Load!$B:$B,Load!F:F,0,)</f>
        <v>Mixed / Combo Packs (Gummy, Chewy, Taffy, etc.)</v>
      </c>
      <c r="F5345" t="str">
        <f>_xlfn.XLOOKUP($A5345,Load!$B:$B,Load!G:G,0,)</f>
        <v>Large Multipack (More than 80 ct)</v>
      </c>
      <c r="G5345" t="str">
        <f>_xlfn.XLOOKUP($A5345,Load!$B:$B,Load!H:H,0,)</f>
        <v>Stand-Up Bag</v>
      </c>
      <c r="H5345" t="str">
        <f>_xlfn.XLOOKUP($A5345,Load!$B:$B,Load!I:I,0,)</f>
        <v>Everyday Candy Shapes (like Original, Gummy bear, Fruit, Jewels, etc.)</v>
      </c>
      <c r="I5345" t="str">
        <f>_xlfn.XLOOKUP($A5345,Load!$B:$B,Load!J:J,0,)</f>
        <v>Seasonal Graphics (Like Bat, Ghost, Pumpkin, Fall Leaves, Eyeballs, etc.)</v>
      </c>
      <c r="J5345" t="str">
        <f>_xlfn.XLOOKUP($A5345,Load!$B:$B,Load!K:K,0,)</f>
        <v xml:space="preserve">Variety Candy Sizes </v>
      </c>
      <c r="K5345" t="str">
        <f>_xlfn.XLOOKUP($A5345,Load!$B:$B,Load!L:L,0,)</f>
        <v>Regular/Original Wrapping</v>
      </c>
      <c r="L5345" t="str">
        <f>_xlfn.XLOOKUP($A5345,Load!$B:$B,Load!M:M,0,)</f>
        <v>Multiple Brands / Variety Flavors or Form</v>
      </c>
    </row>
    <row r="5346" spans="1:12" x14ac:dyDescent="0.25">
      <c r="A5346" t="s">
        <v>60</v>
      </c>
      <c r="B5346" t="str">
        <f>_xlfn.XLOOKUP($A5346,Load!$B:$B,Load!C:C,0,)</f>
        <v>Charms</v>
      </c>
      <c r="C5346" t="str">
        <f>_xlfn.XLOOKUP($A5346,Load!$B:$B,Load!D:D,0,)</f>
        <v>Non-Chocolate Candy Only</v>
      </c>
      <c r="D5346" t="str">
        <f>_xlfn.XLOOKUP($A5346,Load!$B:$B,Load!E:E,0,)</f>
        <v>Variety / Mixed Flavors (Fruity, Sour, Seasonal Flavors)</v>
      </c>
      <c r="E5346" t="str">
        <f>_xlfn.XLOOKUP($A5346,Load!$B:$B,Load!F:F,0,)</f>
        <v>Lollipop (regular or lollipop rings)</v>
      </c>
      <c r="F5346" t="str">
        <f>_xlfn.XLOOKUP($A5346,Load!$B:$B,Load!G:G,0,)</f>
        <v>Single Pack</v>
      </c>
      <c r="G5346" t="str">
        <f>_xlfn.XLOOKUP($A5346,Load!$B:$B,Load!H:H,0,)</f>
        <v>Stand-Up Bag</v>
      </c>
      <c r="H5346" t="str">
        <f>_xlfn.XLOOKUP($A5346,Load!$B:$B,Load!I:I,0,)</f>
        <v>Everyday Candy Shapes (like Original, Gummy bear, Fruit, Jewels, etc.)</v>
      </c>
      <c r="I5346" t="str">
        <f>_xlfn.XLOOKUP($A5346,Load!$B:$B,Load!J:J,0,)</f>
        <v>Seasonal Graphics (Like Bat, Ghost, Pumpkin, Fall Leaves, Eyeballs, etc.)</v>
      </c>
      <c r="J5346" t="str">
        <f>_xlfn.XLOOKUP($A5346,Load!$B:$B,Load!K:K,0,)</f>
        <v>Regular Lollipop size (on sticks or rings)</v>
      </c>
      <c r="K5346" t="str">
        <f>_xlfn.XLOOKUP($A5346,Load!$B:$B,Load!L:L,0,)</f>
        <v>Regular/Original Wrapping</v>
      </c>
      <c r="L5346" t="str">
        <f>_xlfn.XLOOKUP($A5346,Load!$B:$B,Load!M:M,0,)</f>
        <v>Single Brand / Variety Flavors or Form</v>
      </c>
    </row>
    <row r="5347" spans="1:12" x14ac:dyDescent="0.25">
      <c r="B5347">
        <f>_xlfn.XLOOKUP($A5347,Load!$B:$B,Load!C:C,0,)</f>
        <v>0</v>
      </c>
      <c r="C5347">
        <f>_xlfn.XLOOKUP($A5347,Load!$B:$B,Load!D:D,0,)</f>
        <v>0</v>
      </c>
      <c r="D5347">
        <f>_xlfn.XLOOKUP($A5347,Load!$B:$B,Load!E:E,0,)</f>
        <v>0</v>
      </c>
      <c r="E5347">
        <f>_xlfn.XLOOKUP($A5347,Load!$B:$B,Load!F:F,0,)</f>
        <v>0</v>
      </c>
      <c r="F5347">
        <f>_xlfn.XLOOKUP($A5347,Load!$B:$B,Load!G:G,0,)</f>
        <v>0</v>
      </c>
      <c r="G5347">
        <f>_xlfn.XLOOKUP($A5347,Load!$B:$B,Load!H:H,0,)</f>
        <v>0</v>
      </c>
      <c r="H5347">
        <f>_xlfn.XLOOKUP($A5347,Load!$B:$B,Load!I:I,0,)</f>
        <v>0</v>
      </c>
      <c r="I5347">
        <f>_xlfn.XLOOKUP($A5347,Load!$B:$B,Load!J:J,0,)</f>
        <v>0</v>
      </c>
      <c r="J5347">
        <f>_xlfn.XLOOKUP($A5347,Load!$B:$B,Load!K:K,0,)</f>
        <v>0</v>
      </c>
      <c r="K5347">
        <f>_xlfn.XLOOKUP($A5347,Load!$B:$B,Load!L:L,0,)</f>
        <v>0</v>
      </c>
      <c r="L5347">
        <f>_xlfn.XLOOKUP($A5347,Load!$B:$B,Load!M:M,0,)</f>
        <v>0</v>
      </c>
    </row>
    <row r="5348" spans="1:12" x14ac:dyDescent="0.25">
      <c r="B5348">
        <f>_xlfn.XLOOKUP($A5348,Load!$B:$B,Load!C:C,0,)</f>
        <v>0</v>
      </c>
      <c r="C5348">
        <f>_xlfn.XLOOKUP($A5348,Load!$B:$B,Load!D:D,0,)</f>
        <v>0</v>
      </c>
      <c r="D5348">
        <f>_xlfn.XLOOKUP($A5348,Load!$B:$B,Load!E:E,0,)</f>
        <v>0</v>
      </c>
      <c r="E5348">
        <f>_xlfn.XLOOKUP($A5348,Load!$B:$B,Load!F:F,0,)</f>
        <v>0</v>
      </c>
      <c r="F5348">
        <f>_xlfn.XLOOKUP($A5348,Load!$B:$B,Load!G:G,0,)</f>
        <v>0</v>
      </c>
      <c r="G5348">
        <f>_xlfn.XLOOKUP($A5348,Load!$B:$B,Load!H:H,0,)</f>
        <v>0</v>
      </c>
      <c r="H5348">
        <f>_xlfn.XLOOKUP($A5348,Load!$B:$B,Load!I:I,0,)</f>
        <v>0</v>
      </c>
      <c r="I5348">
        <f>_xlfn.XLOOKUP($A5348,Load!$B:$B,Load!J:J,0,)</f>
        <v>0</v>
      </c>
      <c r="J5348">
        <f>_xlfn.XLOOKUP($A5348,Load!$B:$B,Load!K:K,0,)</f>
        <v>0</v>
      </c>
      <c r="K5348">
        <f>_xlfn.XLOOKUP($A5348,Load!$B:$B,Load!L:L,0,)</f>
        <v>0</v>
      </c>
      <c r="L5348">
        <f>_xlfn.XLOOKUP($A5348,Load!$B:$B,Load!M:M,0,)</f>
        <v>0</v>
      </c>
    </row>
    <row r="5349" spans="1:12" x14ac:dyDescent="0.25">
      <c r="B5349">
        <f>_xlfn.XLOOKUP($A5349,Load!$B:$B,Load!C:C,0,)</f>
        <v>0</v>
      </c>
      <c r="C5349">
        <f>_xlfn.XLOOKUP($A5349,Load!$B:$B,Load!D:D,0,)</f>
        <v>0</v>
      </c>
      <c r="D5349">
        <f>_xlfn.XLOOKUP($A5349,Load!$B:$B,Load!E:E,0,)</f>
        <v>0</v>
      </c>
      <c r="E5349">
        <f>_xlfn.XLOOKUP($A5349,Load!$B:$B,Load!F:F,0,)</f>
        <v>0</v>
      </c>
      <c r="F5349">
        <f>_xlfn.XLOOKUP($A5349,Load!$B:$B,Load!G:G,0,)</f>
        <v>0</v>
      </c>
      <c r="G5349">
        <f>_xlfn.XLOOKUP($A5349,Load!$B:$B,Load!H:H,0,)</f>
        <v>0</v>
      </c>
      <c r="H5349">
        <f>_xlfn.XLOOKUP($A5349,Load!$B:$B,Load!I:I,0,)</f>
        <v>0</v>
      </c>
      <c r="I5349">
        <f>_xlfn.XLOOKUP($A5349,Load!$B:$B,Load!J:J,0,)</f>
        <v>0</v>
      </c>
      <c r="J5349">
        <f>_xlfn.XLOOKUP($A5349,Load!$B:$B,Load!K:K,0,)</f>
        <v>0</v>
      </c>
      <c r="K5349">
        <f>_xlfn.XLOOKUP($A5349,Load!$B:$B,Load!L:L,0,)</f>
        <v>0</v>
      </c>
      <c r="L5349">
        <f>_xlfn.XLOOKUP($A5349,Load!$B:$B,Load!M:M,0,)</f>
        <v>0</v>
      </c>
    </row>
    <row r="5350" spans="1:12" x14ac:dyDescent="0.25">
      <c r="A5350" t="s">
        <v>116</v>
      </c>
      <c r="B5350" t="str">
        <f>_xlfn.XLOOKUP($A5350,Load!$B:$B,Load!C:C,0,)</f>
        <v>George Howe</v>
      </c>
      <c r="C5350" t="str">
        <f>_xlfn.XLOOKUP($A5350,Load!$B:$B,Load!D:D,0,)</f>
        <v>Mix of Chocolate and Non-Chocolate Candy</v>
      </c>
      <c r="D5350" t="str">
        <f>_xlfn.XLOOKUP($A5350,Load!$B:$B,Load!E:E,0,)</f>
        <v>Fall / Seasonal Flavors (pumpkin spice, caramel apple, candy corn)</v>
      </c>
      <c r="E5350" t="str">
        <f>_xlfn.XLOOKUP($A5350,Load!$B:$B,Load!F:F,0,)</f>
        <v>Candy Pieces / Bites</v>
      </c>
      <c r="F5350" t="str">
        <f>_xlfn.XLOOKUP($A5350,Load!$B:$B,Load!G:G,0,)</f>
        <v>Single Pack</v>
      </c>
      <c r="G5350" t="str">
        <f>_xlfn.XLOOKUP($A5350,Load!$B:$B,Load!H:H,0,)</f>
        <v>Laydown Bag</v>
      </c>
      <c r="H5350" t="str">
        <f>_xlfn.XLOOKUP($A5350,Load!$B:$B,Load!I:I,0,)</f>
        <v>Seasonal Shapes (like pumpkins, candy corn, ghost, bats, etc.)</v>
      </c>
      <c r="I5350" t="str">
        <f>_xlfn.XLOOKUP($A5350,Load!$B:$B,Load!J:J,0,)</f>
        <v>Everyday Graphics</v>
      </c>
      <c r="J5350" t="str">
        <f>_xlfn.XLOOKUP($A5350,Load!$B:$B,Load!K:K,0,)</f>
        <v>Small Pieces (Tiny bite size candies)</v>
      </c>
      <c r="K5350" t="str">
        <f>_xlfn.XLOOKUP($A5350,Load!$B:$B,Load!L:L,0,)</f>
        <v>Unwrapped</v>
      </c>
      <c r="L5350" t="str">
        <f>_xlfn.XLOOKUP($A5350,Load!$B:$B,Load!M:M,0,)</f>
        <v>Single Brand / Variety Flavors or Form</v>
      </c>
    </row>
    <row r="5351" spans="1:12" x14ac:dyDescent="0.25">
      <c r="B5351">
        <f>_xlfn.XLOOKUP($A5351,Load!$B:$B,Load!C:C,0,)</f>
        <v>0</v>
      </c>
      <c r="C5351">
        <f>_xlfn.XLOOKUP($A5351,Load!$B:$B,Load!D:D,0,)</f>
        <v>0</v>
      </c>
      <c r="D5351">
        <f>_xlfn.XLOOKUP($A5351,Load!$B:$B,Load!E:E,0,)</f>
        <v>0</v>
      </c>
      <c r="E5351">
        <f>_xlfn.XLOOKUP($A5351,Load!$B:$B,Load!F:F,0,)</f>
        <v>0</v>
      </c>
      <c r="F5351">
        <f>_xlfn.XLOOKUP($A5351,Load!$B:$B,Load!G:G,0,)</f>
        <v>0</v>
      </c>
      <c r="G5351">
        <f>_xlfn.XLOOKUP($A5351,Load!$B:$B,Load!H:H,0,)</f>
        <v>0</v>
      </c>
      <c r="H5351">
        <f>_xlfn.XLOOKUP($A5351,Load!$B:$B,Load!I:I,0,)</f>
        <v>0</v>
      </c>
      <c r="I5351">
        <f>_xlfn.XLOOKUP($A5351,Load!$B:$B,Load!J:J,0,)</f>
        <v>0</v>
      </c>
      <c r="J5351">
        <f>_xlfn.XLOOKUP($A5351,Load!$B:$B,Load!K:K,0,)</f>
        <v>0</v>
      </c>
      <c r="K5351">
        <f>_xlfn.XLOOKUP($A5351,Load!$B:$B,Load!L:L,0,)</f>
        <v>0</v>
      </c>
      <c r="L5351">
        <f>_xlfn.XLOOKUP($A5351,Load!$B:$B,Load!M:M,0,)</f>
        <v>0</v>
      </c>
    </row>
    <row r="5352" spans="1:12" x14ac:dyDescent="0.25">
      <c r="A5352" t="s">
        <v>235</v>
      </c>
      <c r="B5352" t="str">
        <f>_xlfn.XLOOKUP($A5352,Load!$B:$B,Load!C:C,0,)</f>
        <v>Nerds</v>
      </c>
      <c r="C5352" t="str">
        <f>_xlfn.XLOOKUP($A5352,Load!$B:$B,Load!D:D,0,)</f>
        <v>Non-Chocolate Candy Only</v>
      </c>
      <c r="D5352" t="str">
        <f>_xlfn.XLOOKUP($A5352,Load!$B:$B,Load!E:E,0,)</f>
        <v>Variety / Mixed Flavors (Fruity, Sour, Seasonal Flavors)</v>
      </c>
      <c r="E5352" t="str">
        <f>_xlfn.XLOOKUP($A5352,Load!$B:$B,Load!F:F,0,)</f>
        <v>Candy Pieces / Bites</v>
      </c>
      <c r="F5352" t="str">
        <f>_xlfn.XLOOKUP($A5352,Load!$B:$B,Load!G:G,0,)</f>
        <v>Small Multipack (Less than 40 ct)</v>
      </c>
      <c r="G5352" t="str">
        <f>_xlfn.XLOOKUP($A5352,Load!$B:$B,Load!H:H,0,)</f>
        <v>Peg Bag</v>
      </c>
      <c r="H5352" t="str">
        <f>_xlfn.XLOOKUP($A5352,Load!$B:$B,Load!I:I,0,)</f>
        <v>Everyday Candy Shapes (like Original, Gummy bear, Fruit, Jewels, etc.)</v>
      </c>
      <c r="I5352" t="str">
        <f>_xlfn.XLOOKUP($A5352,Load!$B:$B,Load!J:J,0,)</f>
        <v>Everyday Graphics</v>
      </c>
      <c r="J5352" t="str">
        <f>_xlfn.XLOOKUP($A5352,Load!$B:$B,Load!K:K,0,)</f>
        <v>Small Pieces (Tiny bite size candies)</v>
      </c>
      <c r="K5352" t="str">
        <f>_xlfn.XLOOKUP($A5352,Load!$B:$B,Load!L:L,0,)</f>
        <v>Unwrapped</v>
      </c>
      <c r="L5352" t="str">
        <f>_xlfn.XLOOKUP($A5352,Load!$B:$B,Load!M:M,0,)</f>
        <v>Single Brand / Variety Flavors or Form</v>
      </c>
    </row>
    <row r="5353" spans="1:12" x14ac:dyDescent="0.25">
      <c r="B5353">
        <f>_xlfn.XLOOKUP($A5353,Load!$B:$B,Load!C:C,0,)</f>
        <v>0</v>
      </c>
      <c r="C5353">
        <f>_xlfn.XLOOKUP($A5353,Load!$B:$B,Load!D:D,0,)</f>
        <v>0</v>
      </c>
      <c r="D5353">
        <f>_xlfn.XLOOKUP($A5353,Load!$B:$B,Load!E:E,0,)</f>
        <v>0</v>
      </c>
      <c r="E5353">
        <f>_xlfn.XLOOKUP($A5353,Load!$B:$B,Load!F:F,0,)</f>
        <v>0</v>
      </c>
      <c r="F5353">
        <f>_xlfn.XLOOKUP($A5353,Load!$B:$B,Load!G:G,0,)</f>
        <v>0</v>
      </c>
      <c r="G5353">
        <f>_xlfn.XLOOKUP($A5353,Load!$B:$B,Load!H:H,0,)</f>
        <v>0</v>
      </c>
      <c r="H5353">
        <f>_xlfn.XLOOKUP($A5353,Load!$B:$B,Load!I:I,0,)</f>
        <v>0</v>
      </c>
      <c r="I5353">
        <f>_xlfn.XLOOKUP($A5353,Load!$B:$B,Load!J:J,0,)</f>
        <v>0</v>
      </c>
      <c r="J5353">
        <f>_xlfn.XLOOKUP($A5353,Load!$B:$B,Load!K:K,0,)</f>
        <v>0</v>
      </c>
      <c r="K5353">
        <f>_xlfn.XLOOKUP($A5353,Load!$B:$B,Load!L:L,0,)</f>
        <v>0</v>
      </c>
      <c r="L5353">
        <f>_xlfn.XLOOKUP($A5353,Load!$B:$B,Load!M:M,0,)</f>
        <v>0</v>
      </c>
    </row>
    <row r="5354" spans="1:12" x14ac:dyDescent="0.25">
      <c r="B5354">
        <f>_xlfn.XLOOKUP($A5354,Load!$B:$B,Load!C:C,0,)</f>
        <v>0</v>
      </c>
      <c r="C5354">
        <f>_xlfn.XLOOKUP($A5354,Load!$B:$B,Load!D:D,0,)</f>
        <v>0</v>
      </c>
      <c r="D5354">
        <f>_xlfn.XLOOKUP($A5354,Load!$B:$B,Load!E:E,0,)</f>
        <v>0</v>
      </c>
      <c r="E5354">
        <f>_xlfn.XLOOKUP($A5354,Load!$B:$B,Load!F:F,0,)</f>
        <v>0</v>
      </c>
      <c r="F5354">
        <f>_xlfn.XLOOKUP($A5354,Load!$B:$B,Load!G:G,0,)</f>
        <v>0</v>
      </c>
      <c r="G5354">
        <f>_xlfn.XLOOKUP($A5354,Load!$B:$B,Load!H:H,0,)</f>
        <v>0</v>
      </c>
      <c r="H5354">
        <f>_xlfn.XLOOKUP($A5354,Load!$B:$B,Load!I:I,0,)</f>
        <v>0</v>
      </c>
      <c r="I5354">
        <f>_xlfn.XLOOKUP($A5354,Load!$B:$B,Load!J:J,0,)</f>
        <v>0</v>
      </c>
      <c r="J5354">
        <f>_xlfn.XLOOKUP($A5354,Load!$B:$B,Load!K:K,0,)</f>
        <v>0</v>
      </c>
      <c r="K5354">
        <f>_xlfn.XLOOKUP($A5354,Load!$B:$B,Load!L:L,0,)</f>
        <v>0</v>
      </c>
      <c r="L5354">
        <f>_xlfn.XLOOKUP($A5354,Load!$B:$B,Load!M:M,0,)</f>
        <v>0</v>
      </c>
    </row>
    <row r="5355" spans="1:12" x14ac:dyDescent="0.25">
      <c r="B5355">
        <f>_xlfn.XLOOKUP($A5355,Load!$B:$B,Load!C:C,0,)</f>
        <v>0</v>
      </c>
      <c r="C5355">
        <f>_xlfn.XLOOKUP($A5355,Load!$B:$B,Load!D:D,0,)</f>
        <v>0</v>
      </c>
      <c r="D5355">
        <f>_xlfn.XLOOKUP($A5355,Load!$B:$B,Load!E:E,0,)</f>
        <v>0</v>
      </c>
      <c r="E5355">
        <f>_xlfn.XLOOKUP($A5355,Load!$B:$B,Load!F:F,0,)</f>
        <v>0</v>
      </c>
      <c r="F5355">
        <f>_xlfn.XLOOKUP($A5355,Load!$B:$B,Load!G:G,0,)</f>
        <v>0</v>
      </c>
      <c r="G5355">
        <f>_xlfn.XLOOKUP($A5355,Load!$B:$B,Load!H:H,0,)</f>
        <v>0</v>
      </c>
      <c r="H5355">
        <f>_xlfn.XLOOKUP($A5355,Load!$B:$B,Load!I:I,0,)</f>
        <v>0</v>
      </c>
      <c r="I5355">
        <f>_xlfn.XLOOKUP($A5355,Load!$B:$B,Load!J:J,0,)</f>
        <v>0</v>
      </c>
      <c r="J5355">
        <f>_xlfn.XLOOKUP($A5355,Load!$B:$B,Load!K:K,0,)</f>
        <v>0</v>
      </c>
      <c r="K5355">
        <f>_xlfn.XLOOKUP($A5355,Load!$B:$B,Load!L:L,0,)</f>
        <v>0</v>
      </c>
      <c r="L5355">
        <f>_xlfn.XLOOKUP($A5355,Load!$B:$B,Load!M:M,0,)</f>
        <v>0</v>
      </c>
    </row>
    <row r="5356" spans="1:12" x14ac:dyDescent="0.25">
      <c r="A5356" t="s">
        <v>223</v>
      </c>
      <c r="B5356" t="str">
        <f>_xlfn.XLOOKUP($A5356,Load!$B:$B,Load!C:C,0,)</f>
        <v>Nerds</v>
      </c>
      <c r="C5356" t="str">
        <f>_xlfn.XLOOKUP($A5356,Load!$B:$B,Load!D:D,0,)</f>
        <v>Non-Chocolate Candy Only</v>
      </c>
      <c r="D5356" t="str">
        <f>_xlfn.XLOOKUP($A5356,Load!$B:$B,Load!E:E,0,)</f>
        <v>Sweet</v>
      </c>
      <c r="E5356" t="str">
        <f>_xlfn.XLOOKUP($A5356,Load!$B:$B,Load!F:F,0,)</f>
        <v>Gummy</v>
      </c>
      <c r="F5356" t="str">
        <f>_xlfn.XLOOKUP($A5356,Load!$B:$B,Load!G:G,0,)</f>
        <v>Small Multipack (Less than 40 ct)</v>
      </c>
      <c r="G5356" t="str">
        <f>_xlfn.XLOOKUP($A5356,Load!$B:$B,Load!H:H,0,)</f>
        <v>Laydown Bag</v>
      </c>
      <c r="H5356" t="str">
        <f>_xlfn.XLOOKUP($A5356,Load!$B:$B,Load!I:I,0,)</f>
        <v>Everyday Candy Shapes (like Original, Gummy bear, Fruit, Jewels, etc.)</v>
      </c>
      <c r="I5356" t="str">
        <f>_xlfn.XLOOKUP($A5356,Load!$B:$B,Load!J:J,0,)</f>
        <v>Seasonal Graphics (Like Bat, Ghost, Pumpkin, Fall Leaves, Eyeballs, etc.)</v>
      </c>
      <c r="J5356" t="str">
        <f>_xlfn.XLOOKUP($A5356,Load!$B:$B,Load!K:K,0,)</f>
        <v>Small Pieces (Tiny bite size candies)</v>
      </c>
      <c r="K5356" t="str">
        <f>_xlfn.XLOOKUP($A5356,Load!$B:$B,Load!L:L,0,)</f>
        <v>Regular/Original Wrapping</v>
      </c>
      <c r="L5356" t="str">
        <f>_xlfn.XLOOKUP($A5356,Load!$B:$B,Load!M:M,0,)</f>
        <v>Single Brand / Variety Flavors or Form</v>
      </c>
    </row>
    <row r="5357" spans="1:12" x14ac:dyDescent="0.25">
      <c r="A5357" t="s">
        <v>246</v>
      </c>
      <c r="B5357" t="str">
        <f>_xlfn.XLOOKUP($A5357,Load!$B:$B,Load!C:C,0,)</f>
        <v>Ring Pop</v>
      </c>
      <c r="C5357" t="str">
        <f>_xlfn.XLOOKUP($A5357,Load!$B:$B,Load!D:D,0,)</f>
        <v>Non-Chocolate Candy Only</v>
      </c>
      <c r="D5357" t="str">
        <f>_xlfn.XLOOKUP($A5357,Load!$B:$B,Load!E:E,0,)</f>
        <v>Variety / Mixed Flavors (Fruity, Sour, Seasonal Flavors)</v>
      </c>
      <c r="E5357" t="str">
        <f>_xlfn.XLOOKUP($A5357,Load!$B:$B,Load!F:F,0,)</f>
        <v>Lollipop (regular or lollipop rings)</v>
      </c>
      <c r="F5357" t="str">
        <f>_xlfn.XLOOKUP($A5357,Load!$B:$B,Load!G:G,0,)</f>
        <v>Single Pack</v>
      </c>
      <c r="G5357" t="str">
        <f>_xlfn.XLOOKUP($A5357,Load!$B:$B,Load!H:H,0,)</f>
        <v>Laydown Bag</v>
      </c>
      <c r="H5357" t="str">
        <f>_xlfn.XLOOKUP($A5357,Load!$B:$B,Load!I:I,0,)</f>
        <v>Everyday Candy Shapes (like Original, Gummy bear, Fruit, Jewels, etc.)</v>
      </c>
      <c r="I5357" t="str">
        <f>_xlfn.XLOOKUP($A5357,Load!$B:$B,Load!J:J,0,)</f>
        <v>Seasonal Graphics (Like Bat, Ghost, Pumpkin, Fall Leaves, Eyeballs, etc.)</v>
      </c>
      <c r="J5357" t="str">
        <f>_xlfn.XLOOKUP($A5357,Load!$B:$B,Load!K:K,0,)</f>
        <v>Regular Lollipop size (on sticks or rings)</v>
      </c>
      <c r="K5357" t="str">
        <f>_xlfn.XLOOKUP($A5357,Load!$B:$B,Load!L:L,0,)</f>
        <v>Regular/Original Wrapping</v>
      </c>
      <c r="L5357" t="str">
        <f>_xlfn.XLOOKUP($A5357,Load!$B:$B,Load!M:M,0,)</f>
        <v>Single Brand / Variety Flavors or Form</v>
      </c>
    </row>
    <row r="5358" spans="1:12" x14ac:dyDescent="0.25">
      <c r="A5358" t="s">
        <v>121</v>
      </c>
      <c r="B5358" t="str">
        <f>_xlfn.XLOOKUP($A5358,Load!$B:$B,Load!C:C,0,)</f>
        <v>HARIBO</v>
      </c>
      <c r="C5358" t="str">
        <f>_xlfn.XLOOKUP($A5358,Load!$B:$B,Load!D:D,0,)</f>
        <v>Non-Chocolate Candy Only</v>
      </c>
      <c r="D5358" t="str">
        <f>_xlfn.XLOOKUP($A5358,Load!$B:$B,Load!E:E,0,)</f>
        <v>Variety / Mixed Flavors (Fruity, Sour, Seasonal Flavors)</v>
      </c>
      <c r="E5358" t="str">
        <f>_xlfn.XLOOKUP($A5358,Load!$B:$B,Load!F:F,0,)</f>
        <v>Gummy</v>
      </c>
      <c r="F5358" t="str">
        <f>_xlfn.XLOOKUP($A5358,Load!$B:$B,Load!G:G,0,)</f>
        <v>Large Multipack (More than 80 ct)</v>
      </c>
      <c r="G5358" t="str">
        <f>_xlfn.XLOOKUP($A5358,Load!$B:$B,Load!H:H,0,)</f>
        <v>Stand-Up Bag</v>
      </c>
      <c r="H5358" t="str">
        <f>_xlfn.XLOOKUP($A5358,Load!$B:$B,Load!I:I,0,)</f>
        <v>Seasonal Shapes (like pumpkins, candy corn, ghost, bats, etc.)</v>
      </c>
      <c r="I5358" t="str">
        <f>_xlfn.XLOOKUP($A5358,Load!$B:$B,Load!J:J,0,)</f>
        <v>Seasonal Graphics (Like Bat, Ghost, Pumpkin, Fall Leaves, Eyeballs, etc.)</v>
      </c>
      <c r="J5358" t="str">
        <f>_xlfn.XLOOKUP($A5358,Load!$B:$B,Load!K:K,0,)</f>
        <v>Fun Size / Treat Size</v>
      </c>
      <c r="K5358" t="str">
        <f>_xlfn.XLOOKUP($A5358,Load!$B:$B,Load!L:L,0,)</f>
        <v>Regular/Original Wrapping</v>
      </c>
      <c r="L5358" t="str">
        <f>_xlfn.XLOOKUP($A5358,Load!$B:$B,Load!M:M,0,)</f>
        <v>Multiple Brands / Variety Flavors or Form</v>
      </c>
    </row>
    <row r="5359" spans="1:12" x14ac:dyDescent="0.25">
      <c r="A5359" t="s">
        <v>71</v>
      </c>
      <c r="B5359" t="str">
        <f>_xlfn.XLOOKUP($A5359,Load!$B:$B,Load!C:C,0,)</f>
        <v>Dum Dums</v>
      </c>
      <c r="C5359" t="str">
        <f>_xlfn.XLOOKUP($A5359,Load!$B:$B,Load!D:D,0,)</f>
        <v>Non-Chocolate Candy Only</v>
      </c>
      <c r="D5359" t="str">
        <f>_xlfn.XLOOKUP($A5359,Load!$B:$B,Load!E:E,0,)</f>
        <v>Sweet</v>
      </c>
      <c r="E5359" t="str">
        <f>_xlfn.XLOOKUP($A5359,Load!$B:$B,Load!F:F,0,)</f>
        <v>Lollipop (regular or lollipop rings)</v>
      </c>
      <c r="F5359" t="str">
        <f>_xlfn.XLOOKUP($A5359,Load!$B:$B,Load!G:G,0,)</f>
        <v>Large Multipack (More than 80 ct)</v>
      </c>
      <c r="G5359" t="str">
        <f>_xlfn.XLOOKUP($A5359,Load!$B:$B,Load!H:H,0,)</f>
        <v>Stand-Up Bag</v>
      </c>
      <c r="H5359" t="str">
        <f>_xlfn.XLOOKUP($A5359,Load!$B:$B,Load!I:I,0,)</f>
        <v>Everyday Candy Shapes (like Original, Gummy bear, Fruit, Jewels, etc.)</v>
      </c>
      <c r="I5359" t="str">
        <f>_xlfn.XLOOKUP($A5359,Load!$B:$B,Load!J:J,0,)</f>
        <v>Seasonal Graphics (Like Bat, Ghost, Pumpkin, Fall Leaves, Eyeballs, etc.)</v>
      </c>
      <c r="J5359" t="str">
        <f>_xlfn.XLOOKUP($A5359,Load!$B:$B,Load!K:K,0,)</f>
        <v>Regular Lollipop size (on sticks or rings)</v>
      </c>
      <c r="K5359" t="str">
        <f>_xlfn.XLOOKUP($A5359,Load!$B:$B,Load!L:L,0,)</f>
        <v>Regular/Original Wrapping</v>
      </c>
      <c r="L5359" t="str">
        <f>_xlfn.XLOOKUP($A5359,Load!$B:$B,Load!M:M,0,)</f>
        <v>Multiple Brands / Variety Flavors or Form</v>
      </c>
    </row>
    <row r="5360" spans="1:12" x14ac:dyDescent="0.25">
      <c r="A5360" t="s">
        <v>57</v>
      </c>
      <c r="B5360" t="str">
        <f>_xlfn.XLOOKUP($A5360,Load!$B:$B,Load!C:C,0,)</f>
        <v>Brach's</v>
      </c>
      <c r="C5360" t="str">
        <f>_xlfn.XLOOKUP($A5360,Load!$B:$B,Load!D:D,0,)</f>
        <v>Non-Chocolate Candy Only</v>
      </c>
      <c r="D5360" t="str">
        <f>_xlfn.XLOOKUP($A5360,Load!$B:$B,Load!E:E,0,)</f>
        <v>Fall / Seasonal Flavors (pumpkin spice, caramel apple, candy corn)</v>
      </c>
      <c r="E5360" t="str">
        <f>_xlfn.XLOOKUP($A5360,Load!$B:$B,Load!F:F,0,)</f>
        <v>Candy Pieces / Bites</v>
      </c>
      <c r="F5360" t="str">
        <f>_xlfn.XLOOKUP($A5360,Load!$B:$B,Load!G:G,0,)</f>
        <v>Medium Multipack (40–80 ct)</v>
      </c>
      <c r="G5360" t="str">
        <f>_xlfn.XLOOKUP($A5360,Load!$B:$B,Load!H:H,0,)</f>
        <v>Laydown Bag</v>
      </c>
      <c r="H5360" t="str">
        <f>_xlfn.XLOOKUP($A5360,Load!$B:$B,Load!I:I,0,)</f>
        <v>Seasonal Shapes (like pumpkins, candy corn, ghost, bats, etc.)</v>
      </c>
      <c r="I5360" t="str">
        <f>_xlfn.XLOOKUP($A5360,Load!$B:$B,Load!J:J,0,)</f>
        <v>Seasonal Graphics (Like Bat, Ghost, Pumpkin, Fall Leaves, Eyeballs, etc.)</v>
      </c>
      <c r="J5360" t="str">
        <f>_xlfn.XLOOKUP($A5360,Load!$B:$B,Load!K:K,0,)</f>
        <v>Small Pieces (Tiny bite size candies)</v>
      </c>
      <c r="K5360" t="str">
        <f>_xlfn.XLOOKUP($A5360,Load!$B:$B,Load!L:L,0,)</f>
        <v>Unwrapped</v>
      </c>
      <c r="L5360" t="str">
        <f>_xlfn.XLOOKUP($A5360,Load!$B:$B,Load!M:M,0,)</f>
        <v>Single Brand / Single Flavor or Form</v>
      </c>
    </row>
    <row r="5361" spans="1:12" x14ac:dyDescent="0.25">
      <c r="B5361">
        <f>_xlfn.XLOOKUP($A5361,Load!$B:$B,Load!C:C,0,)</f>
        <v>0</v>
      </c>
      <c r="C5361">
        <f>_xlfn.XLOOKUP($A5361,Load!$B:$B,Load!D:D,0,)</f>
        <v>0</v>
      </c>
      <c r="D5361">
        <f>_xlfn.XLOOKUP($A5361,Load!$B:$B,Load!E:E,0,)</f>
        <v>0</v>
      </c>
      <c r="E5361">
        <f>_xlfn.XLOOKUP($A5361,Load!$B:$B,Load!F:F,0,)</f>
        <v>0</v>
      </c>
      <c r="F5361">
        <f>_xlfn.XLOOKUP($A5361,Load!$B:$B,Load!G:G,0,)</f>
        <v>0</v>
      </c>
      <c r="G5361">
        <f>_xlfn.XLOOKUP($A5361,Load!$B:$B,Load!H:H,0,)</f>
        <v>0</v>
      </c>
      <c r="H5361">
        <f>_xlfn.XLOOKUP($A5361,Load!$B:$B,Load!I:I,0,)</f>
        <v>0</v>
      </c>
      <c r="I5361">
        <f>_xlfn.XLOOKUP($A5361,Load!$B:$B,Load!J:J,0,)</f>
        <v>0</v>
      </c>
      <c r="J5361">
        <f>_xlfn.XLOOKUP($A5361,Load!$B:$B,Load!K:K,0,)</f>
        <v>0</v>
      </c>
      <c r="K5361">
        <f>_xlfn.XLOOKUP($A5361,Load!$B:$B,Load!L:L,0,)</f>
        <v>0</v>
      </c>
      <c r="L5361">
        <f>_xlfn.XLOOKUP($A5361,Load!$B:$B,Load!M:M,0,)</f>
        <v>0</v>
      </c>
    </row>
    <row r="5362" spans="1:12" x14ac:dyDescent="0.25">
      <c r="A5362" t="s">
        <v>136</v>
      </c>
      <c r="B5362" t="str">
        <f>_xlfn.XLOOKUP($A5362,Load!$B:$B,Load!C:C,0,)</f>
        <v>Hershey's Variety Pack + Haribo</v>
      </c>
      <c r="C5362" t="str">
        <f>_xlfn.XLOOKUP($A5362,Load!$B:$B,Load!D:D,0,)</f>
        <v>Non-Chocolate Candy Only</v>
      </c>
      <c r="D5362" t="str">
        <f>_xlfn.XLOOKUP($A5362,Load!$B:$B,Load!E:E,0,)</f>
        <v>Variety / Mixed Flavors (Fruity, Sour, Seasonal Flavors)</v>
      </c>
      <c r="E5362" t="str">
        <f>_xlfn.XLOOKUP($A5362,Load!$B:$B,Load!F:F,0,)</f>
        <v>Mixed / Combo Packs (Gummy, Chewy, Taffy, etc.)</v>
      </c>
      <c r="F5362" t="str">
        <f>_xlfn.XLOOKUP($A5362,Load!$B:$B,Load!G:G,0,)</f>
        <v>Medium Multipack (40–80 ct)</v>
      </c>
      <c r="G5362" t="str">
        <f>_xlfn.XLOOKUP($A5362,Load!$B:$B,Load!H:H,0,)</f>
        <v>Laydown Bag</v>
      </c>
      <c r="H5362" t="str">
        <f>_xlfn.XLOOKUP($A5362,Load!$B:$B,Load!I:I,0,)</f>
        <v>Everyday Candy Shapes (like Original, Gummy bear, Fruit, Jewels, etc.)</v>
      </c>
      <c r="I5362" t="str">
        <f>_xlfn.XLOOKUP($A5362,Load!$B:$B,Load!J:J,0,)</f>
        <v>Seasonal Graphics (Like Bat, Ghost, Pumpkin, Fall Leaves, Eyeballs, etc.)</v>
      </c>
      <c r="J5362" t="str">
        <f>_xlfn.XLOOKUP($A5362,Load!$B:$B,Load!K:K,0,)</f>
        <v xml:space="preserve">Variety Candy Sizes </v>
      </c>
      <c r="K5362" t="str">
        <f>_xlfn.XLOOKUP($A5362,Load!$B:$B,Load!L:L,0,)</f>
        <v>Regular/Original Wrapping</v>
      </c>
      <c r="L5362" t="str">
        <f>_xlfn.XLOOKUP($A5362,Load!$B:$B,Load!M:M,0,)</f>
        <v>Multiple Brands / Variety Flavors or Form</v>
      </c>
    </row>
    <row r="5363" spans="1:12" x14ac:dyDescent="0.25">
      <c r="A5363" t="s">
        <v>265</v>
      </c>
      <c r="B5363" t="str">
        <f>_xlfn.XLOOKUP($A5363,Load!$B:$B,Load!C:C,0,)</f>
        <v>Smarties</v>
      </c>
      <c r="C5363" t="str">
        <f>_xlfn.XLOOKUP($A5363,Load!$B:$B,Load!D:D,0,)</f>
        <v>Non-Chocolate Candy Only</v>
      </c>
      <c r="D5363" t="str">
        <f>_xlfn.XLOOKUP($A5363,Load!$B:$B,Load!E:E,0,)</f>
        <v>Fruit Flavor (Cherry, Grape, Apple, Citrus, Tropical Fruit)</v>
      </c>
      <c r="E5363" t="str">
        <f>_xlfn.XLOOKUP($A5363,Load!$B:$B,Load!F:F,0,)</f>
        <v>Powder / Chalky</v>
      </c>
      <c r="F5363" t="str">
        <f>_xlfn.XLOOKUP($A5363,Load!$B:$B,Load!G:G,0,)</f>
        <v>Large Multipack (More than 80 ct)</v>
      </c>
      <c r="G5363" t="str">
        <f>_xlfn.XLOOKUP($A5363,Load!$B:$B,Load!H:H,0,)</f>
        <v>Laydown Bag</v>
      </c>
      <c r="H5363" t="str">
        <f>_xlfn.XLOOKUP($A5363,Load!$B:$B,Load!I:I,0,)</f>
        <v>Seasonal Shapes (like pumpkins, candy corn, ghost, bats, etc.)</v>
      </c>
      <c r="I5363" t="str">
        <f>_xlfn.XLOOKUP($A5363,Load!$B:$B,Load!J:J,0,)</f>
        <v>Seasonal Graphics (Like Bat, Ghost, Pumpkin, Fall Leaves, Eyeballs, etc.)</v>
      </c>
      <c r="J5363" t="str">
        <f>_xlfn.XLOOKUP($A5363,Load!$B:$B,Load!K:K,0,)</f>
        <v>Small Pieces (Tiny bite size candies)</v>
      </c>
      <c r="K5363" t="str">
        <f>_xlfn.XLOOKUP($A5363,Load!$B:$B,Load!L:L,0,)</f>
        <v>Regular/Original Wrapping</v>
      </c>
      <c r="L5363" t="str">
        <f>_xlfn.XLOOKUP($A5363,Load!$B:$B,Load!M:M,0,)</f>
        <v>Single Brand / Single Flavor or Form</v>
      </c>
    </row>
    <row r="5364" spans="1:12" x14ac:dyDescent="0.25">
      <c r="A5364" t="s">
        <v>165</v>
      </c>
      <c r="B5364" t="str">
        <f>_xlfn.XLOOKUP($A5364,Load!$B:$B,Load!C:C,0,)</f>
        <v>JOYRIDE</v>
      </c>
      <c r="C5364" t="str">
        <f>_xlfn.XLOOKUP($A5364,Load!$B:$B,Load!D:D,0,)</f>
        <v>Non-Chocolate Candy Only</v>
      </c>
      <c r="D5364" t="str">
        <f>_xlfn.XLOOKUP($A5364,Load!$B:$B,Load!E:E,0,)</f>
        <v>Sour</v>
      </c>
      <c r="E5364" t="str">
        <f>_xlfn.XLOOKUP($A5364,Load!$B:$B,Load!F:F,0,)</f>
        <v>Chewy</v>
      </c>
      <c r="F5364" t="str">
        <f>_xlfn.XLOOKUP($A5364,Load!$B:$B,Load!G:G,0,)</f>
        <v>Single Pack</v>
      </c>
      <c r="G5364" t="str">
        <f>_xlfn.XLOOKUP($A5364,Load!$B:$B,Load!H:H,0,)</f>
        <v>Peg Bag</v>
      </c>
      <c r="H5364" t="str">
        <f>_xlfn.XLOOKUP($A5364,Load!$B:$B,Load!I:I,0,)</f>
        <v>Seasonal Shapes (like pumpkins, candy corn, ghost, bats, etc.)</v>
      </c>
      <c r="I5364" t="str">
        <f>_xlfn.XLOOKUP($A5364,Load!$B:$B,Load!J:J,0,)</f>
        <v>Seasonal Graphics (Like Bat, Ghost, Pumpkin, Fall Leaves, Eyeballs, etc.)</v>
      </c>
      <c r="J5364" t="str">
        <f>_xlfn.XLOOKUP($A5364,Load!$B:$B,Load!K:K,0,)</f>
        <v>Small Pieces (Tiny bite size candies)</v>
      </c>
      <c r="K5364" t="str">
        <f>_xlfn.XLOOKUP($A5364,Load!$B:$B,Load!L:L,0,)</f>
        <v>Regular/Original Wrapping</v>
      </c>
      <c r="L5364" t="str">
        <f>_xlfn.XLOOKUP($A5364,Load!$B:$B,Load!M:M,0,)</f>
        <v>Single Brand / Single Flavor or Form</v>
      </c>
    </row>
    <row r="5365" spans="1:12" x14ac:dyDescent="0.25">
      <c r="A5365" t="s">
        <v>219</v>
      </c>
      <c r="B5365" t="str">
        <f>_xlfn.XLOOKUP($A5365,Load!$B:$B,Load!C:C,0,)</f>
        <v>Mondelez Variety Pack</v>
      </c>
      <c r="C5365" t="str">
        <f>_xlfn.XLOOKUP($A5365,Load!$B:$B,Load!D:D,0,)</f>
        <v>Non-Chocolate Candy Only</v>
      </c>
      <c r="D5365" t="str">
        <f>_xlfn.XLOOKUP($A5365,Load!$B:$B,Load!E:E,0,)</f>
        <v>Sour</v>
      </c>
      <c r="E5365" t="str">
        <f>_xlfn.XLOOKUP($A5365,Load!$B:$B,Load!F:F,0,)</f>
        <v>Chewy</v>
      </c>
      <c r="F5365" t="str">
        <f>_xlfn.XLOOKUP($A5365,Load!$B:$B,Load!G:G,0,)</f>
        <v>Medium Multipack (40–80 ct)</v>
      </c>
      <c r="G5365" t="str">
        <f>_xlfn.XLOOKUP($A5365,Load!$B:$B,Load!H:H,0,)</f>
        <v>Stand-Up Bag</v>
      </c>
      <c r="H5365" t="str">
        <f>_xlfn.XLOOKUP($A5365,Load!$B:$B,Load!I:I,0,)</f>
        <v>Everyday Candy Shapes (like Original, Gummy bear, Fruit, Jewels, etc.)</v>
      </c>
      <c r="I5365" t="str">
        <f>_xlfn.XLOOKUP($A5365,Load!$B:$B,Load!J:J,0,)</f>
        <v>Seasonal Graphics (Like Bat, Ghost, Pumpkin, Fall Leaves, Eyeballs, etc.)</v>
      </c>
      <c r="J5365" t="str">
        <f>_xlfn.XLOOKUP($A5365,Load!$B:$B,Load!K:K,0,)</f>
        <v>Small Pieces (Tiny bite size candies)</v>
      </c>
      <c r="K5365" t="str">
        <f>_xlfn.XLOOKUP($A5365,Load!$B:$B,Load!L:L,0,)</f>
        <v>Regular/Original Wrapping</v>
      </c>
      <c r="L5365" t="str">
        <f>_xlfn.XLOOKUP($A5365,Load!$B:$B,Load!M:M,0,)</f>
        <v>Multiple Brands / Variety Flavors or Form</v>
      </c>
    </row>
    <row r="5366" spans="1:12" x14ac:dyDescent="0.25">
      <c r="A5366" t="s">
        <v>222</v>
      </c>
      <c r="B5366" t="str">
        <f>_xlfn.XLOOKUP($A5366,Load!$B:$B,Load!C:C,0,)</f>
        <v>Nerds</v>
      </c>
      <c r="C5366" t="str">
        <f>_xlfn.XLOOKUP($A5366,Load!$B:$B,Load!D:D,0,)</f>
        <v>Non-Chocolate Candy Only</v>
      </c>
      <c r="D5366" t="str">
        <f>_xlfn.XLOOKUP($A5366,Load!$B:$B,Load!E:E,0,)</f>
        <v>Sweet</v>
      </c>
      <c r="E5366" t="str">
        <f>_xlfn.XLOOKUP($A5366,Load!$B:$B,Load!F:F,0,)</f>
        <v>Gummy</v>
      </c>
      <c r="F5366" t="str">
        <f>_xlfn.XLOOKUP($A5366,Load!$B:$B,Load!G:G,0,)</f>
        <v>Small Multipack (Less than 40 ct)</v>
      </c>
      <c r="G5366" t="str">
        <f>_xlfn.XLOOKUP($A5366,Load!$B:$B,Load!H:H,0,)</f>
        <v>Stand-Up Bag</v>
      </c>
      <c r="H5366" t="str">
        <f>_xlfn.XLOOKUP($A5366,Load!$B:$B,Load!I:I,0,)</f>
        <v>Everyday Candy Shapes (like Original, Gummy bear, Fruit, Jewels, etc.)</v>
      </c>
      <c r="I5366" t="str">
        <f>_xlfn.XLOOKUP($A5366,Load!$B:$B,Load!J:J,0,)</f>
        <v>Seasonal Graphics (Like Bat, Ghost, Pumpkin, Fall Leaves, Eyeballs, etc.)</v>
      </c>
      <c r="J5366" t="str">
        <f>_xlfn.XLOOKUP($A5366,Load!$B:$B,Load!K:K,0,)</f>
        <v>Fun Size / Treat Size</v>
      </c>
      <c r="K5366" t="str">
        <f>_xlfn.XLOOKUP($A5366,Load!$B:$B,Load!L:L,0,)</f>
        <v>Regular/Original Wrapping</v>
      </c>
      <c r="L5366" t="str">
        <f>_xlfn.XLOOKUP($A5366,Load!$B:$B,Load!M:M,0,)</f>
        <v>Single Brand / Variety Flavors or Form</v>
      </c>
    </row>
    <row r="5367" spans="1:12" x14ac:dyDescent="0.25">
      <c r="B5367">
        <f>_xlfn.XLOOKUP($A5367,Load!$B:$B,Load!C:C,0,)</f>
        <v>0</v>
      </c>
      <c r="C5367">
        <f>_xlfn.XLOOKUP($A5367,Load!$B:$B,Load!D:D,0,)</f>
        <v>0</v>
      </c>
      <c r="D5367">
        <f>_xlfn.XLOOKUP($A5367,Load!$B:$B,Load!E:E,0,)</f>
        <v>0</v>
      </c>
      <c r="E5367">
        <f>_xlfn.XLOOKUP($A5367,Load!$B:$B,Load!F:F,0,)</f>
        <v>0</v>
      </c>
      <c r="F5367">
        <f>_xlfn.XLOOKUP($A5367,Load!$B:$B,Load!G:G,0,)</f>
        <v>0</v>
      </c>
      <c r="G5367">
        <f>_xlfn.XLOOKUP($A5367,Load!$B:$B,Load!H:H,0,)</f>
        <v>0</v>
      </c>
      <c r="H5367">
        <f>_xlfn.XLOOKUP($A5367,Load!$B:$B,Load!I:I,0,)</f>
        <v>0</v>
      </c>
      <c r="I5367">
        <f>_xlfn.XLOOKUP($A5367,Load!$B:$B,Load!J:J,0,)</f>
        <v>0</v>
      </c>
      <c r="J5367">
        <f>_xlfn.XLOOKUP($A5367,Load!$B:$B,Load!K:K,0,)</f>
        <v>0</v>
      </c>
      <c r="K5367">
        <f>_xlfn.XLOOKUP($A5367,Load!$B:$B,Load!L:L,0,)</f>
        <v>0</v>
      </c>
      <c r="L5367">
        <f>_xlfn.XLOOKUP($A5367,Load!$B:$B,Load!M:M,0,)</f>
        <v>0</v>
      </c>
    </row>
    <row r="5368" spans="1:12" x14ac:dyDescent="0.25">
      <c r="A5368" t="s">
        <v>188</v>
      </c>
      <c r="B5368" t="str">
        <f>_xlfn.XLOOKUP($A5368,Load!$B:$B,Load!C:C,0,)</f>
        <v>Mars Variety Pack</v>
      </c>
      <c r="C5368" t="str">
        <f>_xlfn.XLOOKUP($A5368,Load!$B:$B,Load!D:D,0,)</f>
        <v>Non-Chocolate Candy Only</v>
      </c>
      <c r="D5368" t="str">
        <f>_xlfn.XLOOKUP($A5368,Load!$B:$B,Load!E:E,0,)</f>
        <v>Variety / Mixed Flavors (Fruity, Sour, Seasonal Flavors)</v>
      </c>
      <c r="E5368" t="str">
        <f>_xlfn.XLOOKUP($A5368,Load!$B:$B,Load!F:F,0,)</f>
        <v>Mixed / Combo Packs (Gummy, Chewy, Taffy, etc.)</v>
      </c>
      <c r="F5368" t="str">
        <f>_xlfn.XLOOKUP($A5368,Load!$B:$B,Load!G:G,0,)</f>
        <v>Large Multipack (More than 80 ct)</v>
      </c>
      <c r="G5368" t="str">
        <f>_xlfn.XLOOKUP($A5368,Load!$B:$B,Load!H:H,0,)</f>
        <v>Laydown Bag</v>
      </c>
      <c r="H5368" t="str">
        <f>_xlfn.XLOOKUP($A5368,Load!$B:$B,Load!I:I,0,)</f>
        <v>Everyday Candy Shapes (like Original, Gummy bear, Fruit, Jewels, etc.)</v>
      </c>
      <c r="I5368" t="str">
        <f>_xlfn.XLOOKUP($A5368,Load!$B:$B,Load!J:J,0,)</f>
        <v>Everyday Graphics</v>
      </c>
      <c r="J5368" t="str">
        <f>_xlfn.XLOOKUP($A5368,Load!$B:$B,Load!K:K,0,)</f>
        <v>Small Pieces (Tiny bite size candies)</v>
      </c>
      <c r="K5368" t="str">
        <f>_xlfn.XLOOKUP($A5368,Load!$B:$B,Load!L:L,0,)</f>
        <v>Regular/Original Wrapping</v>
      </c>
      <c r="L5368" t="str">
        <f>_xlfn.XLOOKUP($A5368,Load!$B:$B,Load!M:M,0,)</f>
        <v>Multiple Brands / Variety Flavors or Form</v>
      </c>
    </row>
    <row r="5369" spans="1:12" x14ac:dyDescent="0.25">
      <c r="B5369">
        <f>_xlfn.XLOOKUP($A5369,Load!$B:$B,Load!C:C,0,)</f>
        <v>0</v>
      </c>
      <c r="C5369">
        <f>_xlfn.XLOOKUP($A5369,Load!$B:$B,Load!D:D,0,)</f>
        <v>0</v>
      </c>
      <c r="D5369">
        <f>_xlfn.XLOOKUP($A5369,Load!$B:$B,Load!E:E,0,)</f>
        <v>0</v>
      </c>
      <c r="E5369">
        <f>_xlfn.XLOOKUP($A5369,Load!$B:$B,Load!F:F,0,)</f>
        <v>0</v>
      </c>
      <c r="F5369">
        <f>_xlfn.XLOOKUP($A5369,Load!$B:$B,Load!G:G,0,)</f>
        <v>0</v>
      </c>
      <c r="G5369">
        <f>_xlfn.XLOOKUP($A5369,Load!$B:$B,Load!H:H,0,)</f>
        <v>0</v>
      </c>
      <c r="H5369">
        <f>_xlfn.XLOOKUP($A5369,Load!$B:$B,Load!I:I,0,)</f>
        <v>0</v>
      </c>
      <c r="I5369">
        <f>_xlfn.XLOOKUP($A5369,Load!$B:$B,Load!J:J,0,)</f>
        <v>0</v>
      </c>
      <c r="J5369">
        <f>_xlfn.XLOOKUP($A5369,Load!$B:$B,Load!K:K,0,)</f>
        <v>0</v>
      </c>
      <c r="K5369">
        <f>_xlfn.XLOOKUP($A5369,Load!$B:$B,Load!L:L,0,)</f>
        <v>0</v>
      </c>
      <c r="L5369">
        <f>_xlfn.XLOOKUP($A5369,Load!$B:$B,Load!M:M,0,)</f>
        <v>0</v>
      </c>
    </row>
    <row r="5370" spans="1:12" x14ac:dyDescent="0.25">
      <c r="A5370" t="s">
        <v>327</v>
      </c>
      <c r="B5370" t="str">
        <f>_xlfn.XLOOKUP($A5370,Load!$B:$B,Load!C:C,0,)</f>
        <v>Googly Eyes</v>
      </c>
      <c r="C5370" t="str">
        <f>_xlfn.XLOOKUP($A5370,Load!$B:$B,Load!D:D,0,)</f>
        <v>Non-Chocolate Candy Only</v>
      </c>
      <c r="D5370" t="str">
        <f>_xlfn.XLOOKUP($A5370,Load!$B:$B,Load!E:E,0,)</f>
        <v>Variety / Mixed Flavors (Fruity, Sour, Seasonal Flavors)</v>
      </c>
      <c r="E5370" t="str">
        <f>_xlfn.XLOOKUP($A5370,Load!$B:$B,Load!F:F,0,)</f>
        <v>Candy Pieces / Bites</v>
      </c>
      <c r="F5370" t="str">
        <f>_xlfn.XLOOKUP($A5370,Load!$B:$B,Load!G:G,0,)</f>
        <v>Small Multipack (Less than 40 ct)</v>
      </c>
      <c r="G5370" t="str">
        <f>_xlfn.XLOOKUP($A5370,Load!$B:$B,Load!H:H,0,)</f>
        <v>Plastic Cup / Container</v>
      </c>
      <c r="H5370" t="str">
        <f>_xlfn.XLOOKUP($A5370,Load!$B:$B,Load!I:I,0,)</f>
        <v>Seasonal Shapes (like pumpkins, candy corn, ghost, bats, etc.)</v>
      </c>
      <c r="I5370" t="str">
        <f>_xlfn.XLOOKUP($A5370,Load!$B:$B,Load!J:J,0,)</f>
        <v>Seasonal Graphics (Like Bat, Ghost, Pumpkin, Fall Leaves, Eyeballs, etc.)</v>
      </c>
      <c r="J5370" t="str">
        <f>_xlfn.XLOOKUP($A5370,Load!$B:$B,Load!K:K,0,)</f>
        <v>Fun Size / Treat Size</v>
      </c>
      <c r="K5370" t="str">
        <f>_xlfn.XLOOKUP($A5370,Load!$B:$B,Load!L:L,0,)</f>
        <v>Regular/Original Wrapping</v>
      </c>
      <c r="L5370" t="str">
        <f>_xlfn.XLOOKUP($A5370,Load!$B:$B,Load!M:M,0,)</f>
        <v>Single Brand / Variety Flavors or Form</v>
      </c>
    </row>
    <row r="5371" spans="1:12" x14ac:dyDescent="0.25">
      <c r="B5371">
        <f>_xlfn.XLOOKUP($A5371,Load!$B:$B,Load!C:C,0,)</f>
        <v>0</v>
      </c>
      <c r="C5371">
        <f>_xlfn.XLOOKUP($A5371,Load!$B:$B,Load!D:D,0,)</f>
        <v>0</v>
      </c>
      <c r="D5371">
        <f>_xlfn.XLOOKUP($A5371,Load!$B:$B,Load!E:E,0,)</f>
        <v>0</v>
      </c>
      <c r="E5371">
        <f>_xlfn.XLOOKUP($A5371,Load!$B:$B,Load!F:F,0,)</f>
        <v>0</v>
      </c>
      <c r="F5371">
        <f>_xlfn.XLOOKUP($A5371,Load!$B:$B,Load!G:G,0,)</f>
        <v>0</v>
      </c>
      <c r="G5371">
        <f>_xlfn.XLOOKUP($A5371,Load!$B:$B,Load!H:H,0,)</f>
        <v>0</v>
      </c>
      <c r="H5371">
        <f>_xlfn.XLOOKUP($A5371,Load!$B:$B,Load!I:I,0,)</f>
        <v>0</v>
      </c>
      <c r="I5371">
        <f>_xlfn.XLOOKUP($A5371,Load!$B:$B,Load!J:J,0,)</f>
        <v>0</v>
      </c>
      <c r="J5371">
        <f>_xlfn.XLOOKUP($A5371,Load!$B:$B,Load!K:K,0,)</f>
        <v>0</v>
      </c>
      <c r="K5371">
        <f>_xlfn.XLOOKUP($A5371,Load!$B:$B,Load!L:L,0,)</f>
        <v>0</v>
      </c>
      <c r="L5371">
        <f>_xlfn.XLOOKUP($A5371,Load!$B:$B,Load!M:M,0,)</f>
        <v>0</v>
      </c>
    </row>
    <row r="5372" spans="1:12" x14ac:dyDescent="0.25">
      <c r="A5372" t="s">
        <v>326</v>
      </c>
      <c r="B5372" t="str">
        <f>_xlfn.XLOOKUP($A5372,Load!$B:$B,Load!C:C,0,)</f>
        <v>Mondelez Variety Pack</v>
      </c>
      <c r="C5372" t="str">
        <f>_xlfn.XLOOKUP($A5372,Load!$B:$B,Load!D:D,0,)</f>
        <v>Mix of Chocolate and Non-Chocolate Candy</v>
      </c>
      <c r="D5372" t="str">
        <f>_xlfn.XLOOKUP($A5372,Load!$B:$B,Load!E:E,0,)</f>
        <v>Variety / Mixed Flavors (Fruity, Sour, Seasonal Flavors)</v>
      </c>
      <c r="E5372" t="str">
        <f>_xlfn.XLOOKUP($A5372,Load!$B:$B,Load!F:F,0,)</f>
        <v>Mixed / Combo Packs (Gummy, Chewy, Taffy, etc.)</v>
      </c>
      <c r="F5372" t="str">
        <f>_xlfn.XLOOKUP($A5372,Load!$B:$B,Load!G:G,0,)</f>
        <v>Medium Multipack (40–80 ct)</v>
      </c>
      <c r="G5372" t="str">
        <f>_xlfn.XLOOKUP($A5372,Load!$B:$B,Load!H:H,0,)</f>
        <v>Stand-Up Bag</v>
      </c>
      <c r="H5372" t="str">
        <f>_xlfn.XLOOKUP($A5372,Load!$B:$B,Load!I:I,0,)</f>
        <v>Everyday Candy Shapes (like Original, Gummy bear, Fruit, Jewels, etc.)</v>
      </c>
      <c r="I5372" t="str">
        <f>_xlfn.XLOOKUP($A5372,Load!$B:$B,Load!J:J,0,)</f>
        <v>Seasonal Graphics (Like Bat, Ghost, Pumpkin, Fall Leaves, Eyeballs, etc.)</v>
      </c>
      <c r="J5372" t="str">
        <f>_xlfn.XLOOKUP($A5372,Load!$B:$B,Load!K:K,0,)</f>
        <v xml:space="preserve">Variety Candy Sizes </v>
      </c>
      <c r="K5372" t="str">
        <f>_xlfn.XLOOKUP($A5372,Load!$B:$B,Load!L:L,0,)</f>
        <v>Regular/Original Wrapping</v>
      </c>
      <c r="L5372" t="str">
        <f>_xlfn.XLOOKUP($A5372,Load!$B:$B,Load!M:M,0,)</f>
        <v>Multiple Brands / Variety Flavors or Form</v>
      </c>
    </row>
    <row r="5373" spans="1:12" x14ac:dyDescent="0.25">
      <c r="B5373">
        <f>_xlfn.XLOOKUP($A5373,Load!$B:$B,Load!C:C,0,)</f>
        <v>0</v>
      </c>
      <c r="C5373">
        <f>_xlfn.XLOOKUP($A5373,Load!$B:$B,Load!D:D,0,)</f>
        <v>0</v>
      </c>
      <c r="D5373">
        <f>_xlfn.XLOOKUP($A5373,Load!$B:$B,Load!E:E,0,)</f>
        <v>0</v>
      </c>
      <c r="E5373">
        <f>_xlfn.XLOOKUP($A5373,Load!$B:$B,Load!F:F,0,)</f>
        <v>0</v>
      </c>
      <c r="F5373">
        <f>_xlfn.XLOOKUP($A5373,Load!$B:$B,Load!G:G,0,)</f>
        <v>0</v>
      </c>
      <c r="G5373">
        <f>_xlfn.XLOOKUP($A5373,Load!$B:$B,Load!H:H,0,)</f>
        <v>0</v>
      </c>
      <c r="H5373">
        <f>_xlfn.XLOOKUP($A5373,Load!$B:$B,Load!I:I,0,)</f>
        <v>0</v>
      </c>
      <c r="I5373">
        <f>_xlfn.XLOOKUP($A5373,Load!$B:$B,Load!J:J,0,)</f>
        <v>0</v>
      </c>
      <c r="J5373">
        <f>_xlfn.XLOOKUP($A5373,Load!$B:$B,Load!K:K,0,)</f>
        <v>0</v>
      </c>
      <c r="K5373">
        <f>_xlfn.XLOOKUP($A5373,Load!$B:$B,Load!L:L,0,)</f>
        <v>0</v>
      </c>
      <c r="L5373">
        <f>_xlfn.XLOOKUP($A5373,Load!$B:$B,Load!M:M,0,)</f>
        <v>0</v>
      </c>
    </row>
    <row r="5374" spans="1:12" x14ac:dyDescent="0.25">
      <c r="A5374" t="s">
        <v>102</v>
      </c>
      <c r="B5374" t="str">
        <f>_xlfn.XLOOKUP($A5374,Load!$B:$B,Load!C:C,0,)</f>
        <v>Flix</v>
      </c>
      <c r="C5374" t="str">
        <f>_xlfn.XLOOKUP($A5374,Load!$B:$B,Load!D:D,0,)</f>
        <v>Non-Chocolate Candy Only</v>
      </c>
      <c r="D5374" t="str">
        <f>_xlfn.XLOOKUP($A5374,Load!$B:$B,Load!E:E,0,)</f>
        <v>Berry Based (Raspberry, Strawberry, Medley, etc.)</v>
      </c>
      <c r="E5374" t="str">
        <f>_xlfn.XLOOKUP($A5374,Load!$B:$B,Load!F:F,0,)</f>
        <v>Lollipop (regular or lollipop rings)</v>
      </c>
      <c r="F5374" t="str">
        <f>_xlfn.XLOOKUP($A5374,Load!$B:$B,Load!G:G,0,)</f>
        <v>Small Multipack (Less than 40 ct)</v>
      </c>
      <c r="G5374" t="str">
        <f>_xlfn.XLOOKUP($A5374,Load!$B:$B,Load!H:H,0,)</f>
        <v>Box (theatre box, gift box, carton)</v>
      </c>
      <c r="H5374" t="str">
        <f>_xlfn.XLOOKUP($A5374,Load!$B:$B,Load!I:I,0,)</f>
        <v>Seasonal Shapes (like pumpkins, candy corn, ghost, bats, etc.)</v>
      </c>
      <c r="I5374" t="str">
        <f>_xlfn.XLOOKUP($A5374,Load!$B:$B,Load!J:J,0,)</f>
        <v>Seasonal Graphics (Like Bat, Ghost, Pumpkin, Fall Leaves, Eyeballs, etc.)</v>
      </c>
      <c r="J5374" t="str">
        <f>_xlfn.XLOOKUP($A5374,Load!$B:$B,Load!K:K,0,)</f>
        <v>Regular Lollipop size (on sticks or rings)</v>
      </c>
      <c r="K5374" t="str">
        <f>_xlfn.XLOOKUP($A5374,Load!$B:$B,Load!L:L,0,)</f>
        <v>Regular/Original Wrapping</v>
      </c>
      <c r="L5374" t="str">
        <f>_xlfn.XLOOKUP($A5374,Load!$B:$B,Load!M:M,0,)</f>
        <v>Single Brand / Variety Flavors or Form</v>
      </c>
    </row>
    <row r="5375" spans="1:12" x14ac:dyDescent="0.25">
      <c r="B5375">
        <f>_xlfn.XLOOKUP($A5375,Load!$B:$B,Load!C:C,0,)</f>
        <v>0</v>
      </c>
      <c r="C5375">
        <f>_xlfn.XLOOKUP($A5375,Load!$B:$B,Load!D:D,0,)</f>
        <v>0</v>
      </c>
      <c r="D5375">
        <f>_xlfn.XLOOKUP($A5375,Load!$B:$B,Load!E:E,0,)</f>
        <v>0</v>
      </c>
      <c r="E5375">
        <f>_xlfn.XLOOKUP($A5375,Load!$B:$B,Load!F:F,0,)</f>
        <v>0</v>
      </c>
      <c r="F5375">
        <f>_xlfn.XLOOKUP($A5375,Load!$B:$B,Load!G:G,0,)</f>
        <v>0</v>
      </c>
      <c r="G5375">
        <f>_xlfn.XLOOKUP($A5375,Load!$B:$B,Load!H:H,0,)</f>
        <v>0</v>
      </c>
      <c r="H5375">
        <f>_xlfn.XLOOKUP($A5375,Load!$B:$B,Load!I:I,0,)</f>
        <v>0</v>
      </c>
      <c r="I5375">
        <f>_xlfn.XLOOKUP($A5375,Load!$B:$B,Load!J:J,0,)</f>
        <v>0</v>
      </c>
      <c r="J5375">
        <f>_xlfn.XLOOKUP($A5375,Load!$B:$B,Load!K:K,0,)</f>
        <v>0</v>
      </c>
      <c r="K5375">
        <f>_xlfn.XLOOKUP($A5375,Load!$B:$B,Load!L:L,0,)</f>
        <v>0</v>
      </c>
      <c r="L5375">
        <f>_xlfn.XLOOKUP($A5375,Load!$B:$B,Load!M:M,0,)</f>
        <v>0</v>
      </c>
    </row>
    <row r="5376" spans="1:12" x14ac:dyDescent="0.25">
      <c r="A5376" t="s">
        <v>121</v>
      </c>
      <c r="B5376" t="str">
        <f>_xlfn.XLOOKUP($A5376,Load!$B:$B,Load!C:C,0,)</f>
        <v>HARIBO</v>
      </c>
      <c r="C5376" t="str">
        <f>_xlfn.XLOOKUP($A5376,Load!$B:$B,Load!D:D,0,)</f>
        <v>Non-Chocolate Candy Only</v>
      </c>
      <c r="D5376" t="str">
        <f>_xlfn.XLOOKUP($A5376,Load!$B:$B,Load!E:E,0,)</f>
        <v>Variety / Mixed Flavors (Fruity, Sour, Seasonal Flavors)</v>
      </c>
      <c r="E5376" t="str">
        <f>_xlfn.XLOOKUP($A5376,Load!$B:$B,Load!F:F,0,)</f>
        <v>Gummy</v>
      </c>
      <c r="F5376" t="str">
        <f>_xlfn.XLOOKUP($A5376,Load!$B:$B,Load!G:G,0,)</f>
        <v>Large Multipack (More than 80 ct)</v>
      </c>
      <c r="G5376" t="str">
        <f>_xlfn.XLOOKUP($A5376,Load!$B:$B,Load!H:H,0,)</f>
        <v>Stand-Up Bag</v>
      </c>
      <c r="H5376" t="str">
        <f>_xlfn.XLOOKUP($A5376,Load!$B:$B,Load!I:I,0,)</f>
        <v>Seasonal Shapes (like pumpkins, candy corn, ghost, bats, etc.)</v>
      </c>
      <c r="I5376" t="str">
        <f>_xlfn.XLOOKUP($A5376,Load!$B:$B,Load!J:J,0,)</f>
        <v>Seasonal Graphics (Like Bat, Ghost, Pumpkin, Fall Leaves, Eyeballs, etc.)</v>
      </c>
      <c r="J5376" t="str">
        <f>_xlfn.XLOOKUP($A5376,Load!$B:$B,Load!K:K,0,)</f>
        <v>Fun Size / Treat Size</v>
      </c>
      <c r="K5376" t="str">
        <f>_xlfn.XLOOKUP($A5376,Load!$B:$B,Load!L:L,0,)</f>
        <v>Regular/Original Wrapping</v>
      </c>
      <c r="L5376" t="str">
        <f>_xlfn.XLOOKUP($A5376,Load!$B:$B,Load!M:M,0,)</f>
        <v>Multiple Brands / Variety Flavors or Form</v>
      </c>
    </row>
    <row r="5377" spans="1:12" x14ac:dyDescent="0.25">
      <c r="B5377">
        <f>_xlfn.XLOOKUP($A5377,Load!$B:$B,Load!C:C,0,)</f>
        <v>0</v>
      </c>
      <c r="C5377">
        <f>_xlfn.XLOOKUP($A5377,Load!$B:$B,Load!D:D,0,)</f>
        <v>0</v>
      </c>
      <c r="D5377">
        <f>_xlfn.XLOOKUP($A5377,Load!$B:$B,Load!E:E,0,)</f>
        <v>0</v>
      </c>
      <c r="E5377">
        <f>_xlfn.XLOOKUP($A5377,Load!$B:$B,Load!F:F,0,)</f>
        <v>0</v>
      </c>
      <c r="F5377">
        <f>_xlfn.XLOOKUP($A5377,Load!$B:$B,Load!G:G,0,)</f>
        <v>0</v>
      </c>
      <c r="G5377">
        <f>_xlfn.XLOOKUP($A5377,Load!$B:$B,Load!H:H,0,)</f>
        <v>0</v>
      </c>
      <c r="H5377">
        <f>_xlfn.XLOOKUP($A5377,Load!$B:$B,Load!I:I,0,)</f>
        <v>0</v>
      </c>
      <c r="I5377">
        <f>_xlfn.XLOOKUP($A5377,Load!$B:$B,Load!J:J,0,)</f>
        <v>0</v>
      </c>
      <c r="J5377">
        <f>_xlfn.XLOOKUP($A5377,Load!$B:$B,Load!K:K,0,)</f>
        <v>0</v>
      </c>
      <c r="K5377">
        <f>_xlfn.XLOOKUP($A5377,Load!$B:$B,Load!L:L,0,)</f>
        <v>0</v>
      </c>
      <c r="L5377">
        <f>_xlfn.XLOOKUP($A5377,Load!$B:$B,Load!M:M,0,)</f>
        <v>0</v>
      </c>
    </row>
    <row r="5378" spans="1:12" x14ac:dyDescent="0.25">
      <c r="A5378" t="s">
        <v>326</v>
      </c>
      <c r="B5378" t="str">
        <f>_xlfn.XLOOKUP($A5378,Load!$B:$B,Load!C:C,0,)</f>
        <v>Mondelez Variety Pack</v>
      </c>
      <c r="C5378" t="str">
        <f>_xlfn.XLOOKUP($A5378,Load!$B:$B,Load!D:D,0,)</f>
        <v>Mix of Chocolate and Non-Chocolate Candy</v>
      </c>
      <c r="D5378" t="str">
        <f>_xlfn.XLOOKUP($A5378,Load!$B:$B,Load!E:E,0,)</f>
        <v>Variety / Mixed Flavors (Fruity, Sour, Seasonal Flavors)</v>
      </c>
      <c r="E5378" t="str">
        <f>_xlfn.XLOOKUP($A5378,Load!$B:$B,Load!F:F,0,)</f>
        <v>Mixed / Combo Packs (Gummy, Chewy, Taffy, etc.)</v>
      </c>
      <c r="F5378" t="str">
        <f>_xlfn.XLOOKUP($A5378,Load!$B:$B,Load!G:G,0,)</f>
        <v>Medium Multipack (40–80 ct)</v>
      </c>
      <c r="G5378" t="str">
        <f>_xlfn.XLOOKUP($A5378,Load!$B:$B,Load!H:H,0,)</f>
        <v>Stand-Up Bag</v>
      </c>
      <c r="H5378" t="str">
        <f>_xlfn.XLOOKUP($A5378,Load!$B:$B,Load!I:I,0,)</f>
        <v>Everyday Candy Shapes (like Original, Gummy bear, Fruit, Jewels, etc.)</v>
      </c>
      <c r="I5378" t="str">
        <f>_xlfn.XLOOKUP($A5378,Load!$B:$B,Load!J:J,0,)</f>
        <v>Seasonal Graphics (Like Bat, Ghost, Pumpkin, Fall Leaves, Eyeballs, etc.)</v>
      </c>
      <c r="J5378" t="str">
        <f>_xlfn.XLOOKUP($A5378,Load!$B:$B,Load!K:K,0,)</f>
        <v xml:space="preserve">Variety Candy Sizes </v>
      </c>
      <c r="K5378" t="str">
        <f>_xlfn.XLOOKUP($A5378,Load!$B:$B,Load!L:L,0,)</f>
        <v>Regular/Original Wrapping</v>
      </c>
      <c r="L5378" t="str">
        <f>_xlfn.XLOOKUP($A5378,Load!$B:$B,Load!M:M,0,)</f>
        <v>Multiple Brands / Variety Flavors or Form</v>
      </c>
    </row>
    <row r="5379" spans="1:12" x14ac:dyDescent="0.25">
      <c r="A5379" t="s">
        <v>175</v>
      </c>
      <c r="B5379" t="str">
        <f>_xlfn.XLOOKUP($A5379,Load!$B:$B,Load!C:C,0,)</f>
        <v>Mars Variety Pack</v>
      </c>
      <c r="C5379" t="str">
        <f>_xlfn.XLOOKUP($A5379,Load!$B:$B,Load!D:D,0,)</f>
        <v>Mix of Chocolate and Non-Chocolate Candy</v>
      </c>
      <c r="D5379" t="str">
        <f>_xlfn.XLOOKUP($A5379,Load!$B:$B,Load!E:E,0,)</f>
        <v>Variety / Mixed Flavors (Fruity, Sour, Seasonal Flavors)</v>
      </c>
      <c r="E5379" t="str">
        <f>_xlfn.XLOOKUP($A5379,Load!$B:$B,Load!F:F,0,)</f>
        <v>Mixed / Combo Packs (Gummy, Chewy, Taffy, etc.)</v>
      </c>
      <c r="F5379" t="str">
        <f>_xlfn.XLOOKUP($A5379,Load!$B:$B,Load!G:G,0,)</f>
        <v>Large Multipack (More than 80 ct)</v>
      </c>
      <c r="G5379" t="str">
        <f>_xlfn.XLOOKUP($A5379,Load!$B:$B,Load!H:H,0,)</f>
        <v>Stand-Up Bag</v>
      </c>
      <c r="H5379" t="str">
        <f>_xlfn.XLOOKUP($A5379,Load!$B:$B,Load!I:I,0,)</f>
        <v>Everyday Candy Shapes (like Original, Gummy bear, Fruit, Jewels, etc.)</v>
      </c>
      <c r="I5379" t="str">
        <f>_xlfn.XLOOKUP($A5379,Load!$B:$B,Load!J:J,0,)</f>
        <v>Seasonal Graphics (Like Bat, Ghost, Pumpkin, Fall Leaves, Eyeballs, etc.)</v>
      </c>
      <c r="J5379" t="str">
        <f>_xlfn.XLOOKUP($A5379,Load!$B:$B,Load!K:K,0,)</f>
        <v xml:space="preserve">Variety Candy Sizes </v>
      </c>
      <c r="K5379" t="str">
        <f>_xlfn.XLOOKUP($A5379,Load!$B:$B,Load!L:L,0,)</f>
        <v>Regular/Original Wrapping</v>
      </c>
      <c r="L5379" t="str">
        <f>_xlfn.XLOOKUP($A5379,Load!$B:$B,Load!M:M,0,)</f>
        <v>Multiple Brands / Variety Flavors or Form</v>
      </c>
    </row>
    <row r="5380" spans="1:12" x14ac:dyDescent="0.25">
      <c r="A5380" t="s">
        <v>237</v>
      </c>
      <c r="B5380" t="str">
        <f>_xlfn.XLOOKUP($A5380,Load!$B:$B,Load!C:C,0,)</f>
        <v>Now &amp; Later</v>
      </c>
      <c r="C5380" t="str">
        <f>_xlfn.XLOOKUP($A5380,Load!$B:$B,Load!D:D,0,)</f>
        <v>Non-Chocolate Candy Only</v>
      </c>
      <c r="D5380" t="str">
        <f>_xlfn.XLOOKUP($A5380,Load!$B:$B,Load!E:E,0,)</f>
        <v>Fruit Flavor (Cherry, Grape, Apple, Citrus, Tropical Fruit)</v>
      </c>
      <c r="E5380" t="str">
        <f>_xlfn.XLOOKUP($A5380,Load!$B:$B,Load!F:F,0,)</f>
        <v>Chewy</v>
      </c>
      <c r="F5380" t="str">
        <f>_xlfn.XLOOKUP($A5380,Load!$B:$B,Load!G:G,0,)</f>
        <v>Medium Multipack (40–80 ct)</v>
      </c>
      <c r="G5380" t="str">
        <f>_xlfn.XLOOKUP($A5380,Load!$B:$B,Load!H:H,0,)</f>
        <v>Laydown Bag</v>
      </c>
      <c r="H5380" t="str">
        <f>_xlfn.XLOOKUP($A5380,Load!$B:$B,Load!I:I,0,)</f>
        <v>Everyday Candy Shapes (like Original, Gummy bear, Fruit, Jewels, etc.)</v>
      </c>
      <c r="I5380" t="str">
        <f>_xlfn.XLOOKUP($A5380,Load!$B:$B,Load!J:J,0,)</f>
        <v>Seasonal Graphics (Like Bat, Ghost, Pumpkin, Fall Leaves, Eyeballs, etc.)</v>
      </c>
      <c r="J5380" t="str">
        <f>_xlfn.XLOOKUP($A5380,Load!$B:$B,Load!K:K,0,)</f>
        <v>Small Pieces (Tiny bite size candies)</v>
      </c>
      <c r="K5380" t="str">
        <f>_xlfn.XLOOKUP($A5380,Load!$B:$B,Load!L:L,0,)</f>
        <v>Regular/Original Wrapping</v>
      </c>
      <c r="L5380" t="str">
        <f>_xlfn.XLOOKUP($A5380,Load!$B:$B,Load!M:M,0,)</f>
        <v>Single Brand / Variety Flavors or Form</v>
      </c>
    </row>
    <row r="5381" spans="1:12" x14ac:dyDescent="0.25">
      <c r="A5381" t="s">
        <v>88</v>
      </c>
      <c r="B5381" t="str">
        <f>_xlfn.XLOOKUP($A5381,Load!$B:$B,Load!C:C,0,)</f>
        <v>Ferrara Variety Pack</v>
      </c>
      <c r="C5381" t="str">
        <f>_xlfn.XLOOKUP($A5381,Load!$B:$B,Load!D:D,0,)</f>
        <v>Non-Chocolate Candy Only</v>
      </c>
      <c r="D5381" t="str">
        <f>_xlfn.XLOOKUP($A5381,Load!$B:$B,Load!E:E,0,)</f>
        <v>Variety / Mixed Flavors (Fruity, Sour, Seasonal Flavors)</v>
      </c>
      <c r="E5381" t="str">
        <f>_xlfn.XLOOKUP($A5381,Load!$B:$B,Load!F:F,0,)</f>
        <v>Mixed / Combo Packs (Gummy, Chewy, Taffy, etc.)</v>
      </c>
      <c r="F5381" t="str">
        <f>_xlfn.XLOOKUP($A5381,Load!$B:$B,Load!G:G,0,)</f>
        <v>Small Multipack (Less than 40 ct)</v>
      </c>
      <c r="G5381" t="str">
        <f>_xlfn.XLOOKUP($A5381,Load!$B:$B,Load!H:H,0,)</f>
        <v>Laydown Bag</v>
      </c>
      <c r="H5381" t="str">
        <f>_xlfn.XLOOKUP($A5381,Load!$B:$B,Load!I:I,0,)</f>
        <v>Seasonal Shapes (like pumpkins, candy corn, ghost, bats, etc.)</v>
      </c>
      <c r="I5381" t="str">
        <f>_xlfn.XLOOKUP($A5381,Load!$B:$B,Load!J:J,0,)</f>
        <v>Seasonal Graphics (Like Bat, Ghost, Pumpkin, Fall Leaves, Eyeballs, etc.)</v>
      </c>
      <c r="J5381" t="str">
        <f>_xlfn.XLOOKUP($A5381,Load!$B:$B,Load!K:K,0,)</f>
        <v>Fun Size / Treat Size</v>
      </c>
      <c r="K5381" t="str">
        <f>_xlfn.XLOOKUP($A5381,Load!$B:$B,Load!L:L,0,)</f>
        <v>Regular/Original Wrapping</v>
      </c>
      <c r="L5381" t="str">
        <f>_xlfn.XLOOKUP($A5381,Load!$B:$B,Load!M:M,0,)</f>
        <v>Multiple Brands / Variety Flavors or Form</v>
      </c>
    </row>
    <row r="5382" spans="1:12" x14ac:dyDescent="0.25">
      <c r="A5382" t="s">
        <v>275</v>
      </c>
      <c r="B5382" t="str">
        <f>_xlfn.XLOOKUP($A5382,Load!$B:$B,Load!C:C,0,)</f>
        <v>Mondelez Variety Pack</v>
      </c>
      <c r="C5382" t="str">
        <f>_xlfn.XLOOKUP($A5382,Load!$B:$B,Load!D:D,0,)</f>
        <v>Non-Chocolate Candy Only</v>
      </c>
      <c r="D5382" t="str">
        <f>_xlfn.XLOOKUP($A5382,Load!$B:$B,Load!E:E,0,)</f>
        <v>Variety / Mixed Flavors (Fruity, Sour, Seasonal Flavors)</v>
      </c>
      <c r="E5382" t="str">
        <f>_xlfn.XLOOKUP($A5382,Load!$B:$B,Load!F:F,0,)</f>
        <v>Mixed / Combo Packs (Gummy, Chewy, Taffy, etc.)</v>
      </c>
      <c r="F5382" t="str">
        <f>_xlfn.XLOOKUP($A5382,Load!$B:$B,Load!G:G,0,)</f>
        <v>Small Multipack (Less than 40 ct)</v>
      </c>
      <c r="G5382" t="str">
        <f>_xlfn.XLOOKUP($A5382,Load!$B:$B,Load!H:H,0,)</f>
        <v>Box (theatre box, gift box, carton)</v>
      </c>
      <c r="H5382" t="str">
        <f>_xlfn.XLOOKUP($A5382,Load!$B:$B,Load!I:I,0,)</f>
        <v>Everyday Candy Shapes (like Original, Gummy bear, Fruit, Jewels, etc.)</v>
      </c>
      <c r="I5382" t="str">
        <f>_xlfn.XLOOKUP($A5382,Load!$B:$B,Load!J:J,0,)</f>
        <v>Seasonal Graphics (Like Bat, Ghost, Pumpkin, Fall Leaves, Eyeballs, etc.)</v>
      </c>
      <c r="J5382" t="str">
        <f>_xlfn.XLOOKUP($A5382,Load!$B:$B,Load!K:K,0,)</f>
        <v>Small Pieces (Tiny bite size candies)</v>
      </c>
      <c r="K5382" t="str">
        <f>_xlfn.XLOOKUP($A5382,Load!$B:$B,Load!L:L,0,)</f>
        <v>Regular/Original Wrapping</v>
      </c>
      <c r="L5382" t="str">
        <f>_xlfn.XLOOKUP($A5382,Load!$B:$B,Load!M:M,0,)</f>
        <v>Multiple Brands / Variety Flavors or Form</v>
      </c>
    </row>
    <row r="5383" spans="1:12" x14ac:dyDescent="0.25">
      <c r="B5383">
        <f>_xlfn.XLOOKUP($A5383,Load!$B:$B,Load!C:C,0,)</f>
        <v>0</v>
      </c>
      <c r="C5383">
        <f>_xlfn.XLOOKUP($A5383,Load!$B:$B,Load!D:D,0,)</f>
        <v>0</v>
      </c>
      <c r="D5383">
        <f>_xlfn.XLOOKUP($A5383,Load!$B:$B,Load!E:E,0,)</f>
        <v>0</v>
      </c>
      <c r="E5383">
        <f>_xlfn.XLOOKUP($A5383,Load!$B:$B,Load!F:F,0,)</f>
        <v>0</v>
      </c>
      <c r="F5383">
        <f>_xlfn.XLOOKUP($A5383,Load!$B:$B,Load!G:G,0,)</f>
        <v>0</v>
      </c>
      <c r="G5383">
        <f>_xlfn.XLOOKUP($A5383,Load!$B:$B,Load!H:H,0,)</f>
        <v>0</v>
      </c>
      <c r="H5383">
        <f>_xlfn.XLOOKUP($A5383,Load!$B:$B,Load!I:I,0,)</f>
        <v>0</v>
      </c>
      <c r="I5383">
        <f>_xlfn.XLOOKUP($A5383,Load!$B:$B,Load!J:J,0,)</f>
        <v>0</v>
      </c>
      <c r="J5383">
        <f>_xlfn.XLOOKUP($A5383,Load!$B:$B,Load!K:K,0,)</f>
        <v>0</v>
      </c>
      <c r="K5383">
        <f>_xlfn.XLOOKUP($A5383,Load!$B:$B,Load!L:L,0,)</f>
        <v>0</v>
      </c>
      <c r="L5383">
        <f>_xlfn.XLOOKUP($A5383,Load!$B:$B,Load!M:M,0,)</f>
        <v>0</v>
      </c>
    </row>
    <row r="5384" spans="1:12" x14ac:dyDescent="0.25">
      <c r="A5384" t="s">
        <v>289</v>
      </c>
      <c r="B5384" t="str">
        <f>_xlfn.XLOOKUP($A5384,Load!$B:$B,Load!C:C,0,)</f>
        <v>Tootsie</v>
      </c>
      <c r="C5384" t="str">
        <f>_xlfn.XLOOKUP($A5384,Load!$B:$B,Load!D:D,0,)</f>
        <v>Mix of Chocolate and Non-Chocolate Candy</v>
      </c>
      <c r="D5384" t="str">
        <f>_xlfn.XLOOKUP($A5384,Load!$B:$B,Load!E:E,0,)</f>
        <v>Variety / Mixed Flavors (Fruity, Sour, Seasonal Flavors)</v>
      </c>
      <c r="E5384" t="str">
        <f>_xlfn.XLOOKUP($A5384,Load!$B:$B,Load!F:F,0,)</f>
        <v>Mixed / Combo Packs (Gummy, Chewy, Taffy, etc.)</v>
      </c>
      <c r="F5384" t="str">
        <f>_xlfn.XLOOKUP($A5384,Load!$B:$B,Load!G:G,0,)</f>
        <v>Large Multipack (More than 80 ct)</v>
      </c>
      <c r="G5384" t="str">
        <f>_xlfn.XLOOKUP($A5384,Load!$B:$B,Load!H:H,0,)</f>
        <v>Laydown Bag</v>
      </c>
      <c r="H5384" t="str">
        <f>_xlfn.XLOOKUP($A5384,Load!$B:$B,Load!I:I,0,)</f>
        <v>Everyday Candy Shapes (like Original, Gummy bear, Fruit, Jewels, etc.)</v>
      </c>
      <c r="I5384" t="str">
        <f>_xlfn.XLOOKUP($A5384,Load!$B:$B,Load!J:J,0,)</f>
        <v>Everyday Graphics</v>
      </c>
      <c r="J5384" t="str">
        <f>_xlfn.XLOOKUP($A5384,Load!$B:$B,Load!K:K,0,)</f>
        <v xml:space="preserve">Variety Candy Sizes </v>
      </c>
      <c r="K5384" t="str">
        <f>_xlfn.XLOOKUP($A5384,Load!$B:$B,Load!L:L,0,)</f>
        <v>Regular/Original Wrapping</v>
      </c>
      <c r="L5384" t="str">
        <f>_xlfn.XLOOKUP($A5384,Load!$B:$B,Load!M:M,0,)</f>
        <v>Single Brand / Variety Flavors or Form</v>
      </c>
    </row>
    <row r="5385" spans="1:12" x14ac:dyDescent="0.25">
      <c r="A5385" t="s">
        <v>175</v>
      </c>
      <c r="B5385" t="str">
        <f>_xlfn.XLOOKUP($A5385,Load!$B:$B,Load!C:C,0,)</f>
        <v>Mars Variety Pack</v>
      </c>
      <c r="C5385" t="str">
        <f>_xlfn.XLOOKUP($A5385,Load!$B:$B,Load!D:D,0,)</f>
        <v>Mix of Chocolate and Non-Chocolate Candy</v>
      </c>
      <c r="D5385" t="str">
        <f>_xlfn.XLOOKUP($A5385,Load!$B:$B,Load!E:E,0,)</f>
        <v>Variety / Mixed Flavors (Fruity, Sour, Seasonal Flavors)</v>
      </c>
      <c r="E5385" t="str">
        <f>_xlfn.XLOOKUP($A5385,Load!$B:$B,Load!F:F,0,)</f>
        <v>Mixed / Combo Packs (Gummy, Chewy, Taffy, etc.)</v>
      </c>
      <c r="F5385" t="str">
        <f>_xlfn.XLOOKUP($A5385,Load!$B:$B,Load!G:G,0,)</f>
        <v>Large Multipack (More than 80 ct)</v>
      </c>
      <c r="G5385" t="str">
        <f>_xlfn.XLOOKUP($A5385,Load!$B:$B,Load!H:H,0,)</f>
        <v>Stand-Up Bag</v>
      </c>
      <c r="H5385" t="str">
        <f>_xlfn.XLOOKUP($A5385,Load!$B:$B,Load!I:I,0,)</f>
        <v>Everyday Candy Shapes (like Original, Gummy bear, Fruit, Jewels, etc.)</v>
      </c>
      <c r="I5385" t="str">
        <f>_xlfn.XLOOKUP($A5385,Load!$B:$B,Load!J:J,0,)</f>
        <v>Seasonal Graphics (Like Bat, Ghost, Pumpkin, Fall Leaves, Eyeballs, etc.)</v>
      </c>
      <c r="J5385" t="str">
        <f>_xlfn.XLOOKUP($A5385,Load!$B:$B,Load!K:K,0,)</f>
        <v xml:space="preserve">Variety Candy Sizes </v>
      </c>
      <c r="K5385" t="str">
        <f>_xlfn.XLOOKUP($A5385,Load!$B:$B,Load!L:L,0,)</f>
        <v>Regular/Original Wrapping</v>
      </c>
      <c r="L5385" t="str">
        <f>_xlfn.XLOOKUP($A5385,Load!$B:$B,Load!M:M,0,)</f>
        <v>Multiple Brands / Variety Flavors or Form</v>
      </c>
    </row>
    <row r="5386" spans="1:12" x14ac:dyDescent="0.25">
      <c r="B5386">
        <f>_xlfn.XLOOKUP($A5386,Load!$B:$B,Load!C:C,0,)</f>
        <v>0</v>
      </c>
      <c r="C5386">
        <f>_xlfn.XLOOKUP($A5386,Load!$B:$B,Load!D:D,0,)</f>
        <v>0</v>
      </c>
      <c r="D5386">
        <f>_xlfn.XLOOKUP($A5386,Load!$B:$B,Load!E:E,0,)</f>
        <v>0</v>
      </c>
      <c r="E5386">
        <f>_xlfn.XLOOKUP($A5386,Load!$B:$B,Load!F:F,0,)</f>
        <v>0</v>
      </c>
      <c r="F5386">
        <f>_xlfn.XLOOKUP($A5386,Load!$B:$B,Load!G:G,0,)</f>
        <v>0</v>
      </c>
      <c r="G5386">
        <f>_xlfn.XLOOKUP($A5386,Load!$B:$B,Load!H:H,0,)</f>
        <v>0</v>
      </c>
      <c r="H5386">
        <f>_xlfn.XLOOKUP($A5386,Load!$B:$B,Load!I:I,0,)</f>
        <v>0</v>
      </c>
      <c r="I5386">
        <f>_xlfn.XLOOKUP($A5386,Load!$B:$B,Load!J:J,0,)</f>
        <v>0</v>
      </c>
      <c r="J5386">
        <f>_xlfn.XLOOKUP($A5386,Load!$B:$B,Load!K:K,0,)</f>
        <v>0</v>
      </c>
      <c r="K5386">
        <f>_xlfn.XLOOKUP($A5386,Load!$B:$B,Load!L:L,0,)</f>
        <v>0</v>
      </c>
      <c r="L5386">
        <f>_xlfn.XLOOKUP($A5386,Load!$B:$B,Load!M:M,0,)</f>
        <v>0</v>
      </c>
    </row>
    <row r="5387" spans="1:12" x14ac:dyDescent="0.25">
      <c r="B5387">
        <f>_xlfn.XLOOKUP($A5387,Load!$B:$B,Load!C:C,0,)</f>
        <v>0</v>
      </c>
      <c r="C5387">
        <f>_xlfn.XLOOKUP($A5387,Load!$B:$B,Load!D:D,0,)</f>
        <v>0</v>
      </c>
      <c r="D5387">
        <f>_xlfn.XLOOKUP($A5387,Load!$B:$B,Load!E:E,0,)</f>
        <v>0</v>
      </c>
      <c r="E5387">
        <f>_xlfn.XLOOKUP($A5387,Load!$B:$B,Load!F:F,0,)</f>
        <v>0</v>
      </c>
      <c r="F5387">
        <f>_xlfn.XLOOKUP($A5387,Load!$B:$B,Load!G:G,0,)</f>
        <v>0</v>
      </c>
      <c r="G5387">
        <f>_xlfn.XLOOKUP($A5387,Load!$B:$B,Load!H:H,0,)</f>
        <v>0</v>
      </c>
      <c r="H5387">
        <f>_xlfn.XLOOKUP($A5387,Load!$B:$B,Load!I:I,0,)</f>
        <v>0</v>
      </c>
      <c r="I5387">
        <f>_xlfn.XLOOKUP($A5387,Load!$B:$B,Load!J:J,0,)</f>
        <v>0</v>
      </c>
      <c r="J5387">
        <f>_xlfn.XLOOKUP($A5387,Load!$B:$B,Load!K:K,0,)</f>
        <v>0</v>
      </c>
      <c r="K5387">
        <f>_xlfn.XLOOKUP($A5387,Load!$B:$B,Load!L:L,0,)</f>
        <v>0</v>
      </c>
      <c r="L5387">
        <f>_xlfn.XLOOKUP($A5387,Load!$B:$B,Load!M:M,0,)</f>
        <v>0</v>
      </c>
    </row>
    <row r="5388" spans="1:12" x14ac:dyDescent="0.25">
      <c r="A5388" t="s">
        <v>277</v>
      </c>
      <c r="B5388" t="str">
        <f>_xlfn.XLOOKUP($A5388,Load!$B:$B,Load!C:C,0,)</f>
        <v>Sour Patch Kids</v>
      </c>
      <c r="C5388" t="str">
        <f>_xlfn.XLOOKUP($A5388,Load!$B:$B,Load!D:D,0,)</f>
        <v>Non-Chocolate Candy Only</v>
      </c>
      <c r="D5388" t="str">
        <f>_xlfn.XLOOKUP($A5388,Load!$B:$B,Load!E:E,0,)</f>
        <v>Sour</v>
      </c>
      <c r="E5388" t="str">
        <f>_xlfn.XLOOKUP($A5388,Load!$B:$B,Load!F:F,0,)</f>
        <v>Chewy</v>
      </c>
      <c r="F5388" t="str">
        <f>_xlfn.XLOOKUP($A5388,Load!$B:$B,Load!G:G,0,)</f>
        <v>Single Pack</v>
      </c>
      <c r="G5388" t="str">
        <f>_xlfn.XLOOKUP($A5388,Load!$B:$B,Load!H:H,0,)</f>
        <v>Peg Bag</v>
      </c>
      <c r="H5388" t="str">
        <f>_xlfn.XLOOKUP($A5388,Load!$B:$B,Load!I:I,0,)</f>
        <v>Everyday Candy Shapes (like Original, Gummy bear, Fruit, Jewels, etc.)</v>
      </c>
      <c r="I5388" t="str">
        <f>_xlfn.XLOOKUP($A5388,Load!$B:$B,Load!J:J,0,)</f>
        <v>Seasonal Graphics (Like Bat, Ghost, Pumpkin, Fall Leaves, Eyeballs, etc.)</v>
      </c>
      <c r="J5388" t="str">
        <f>_xlfn.XLOOKUP($A5388,Load!$B:$B,Load!K:K,0,)</f>
        <v>Small Pieces (Tiny bite size candies)</v>
      </c>
      <c r="K5388" t="str">
        <f>_xlfn.XLOOKUP($A5388,Load!$B:$B,Load!L:L,0,)</f>
        <v>Unwrapped</v>
      </c>
      <c r="L5388" t="str">
        <f>_xlfn.XLOOKUP($A5388,Load!$B:$B,Load!M:M,0,)</f>
        <v>Single Brand / Variety Flavors or Form</v>
      </c>
    </row>
    <row r="5389" spans="1:12" x14ac:dyDescent="0.25">
      <c r="A5389" t="s">
        <v>279</v>
      </c>
      <c r="B5389" t="str">
        <f>_xlfn.XLOOKUP($A5389,Load!$B:$B,Load!C:C,0,)</f>
        <v>Sour Patch Kids</v>
      </c>
      <c r="C5389" t="str">
        <f>_xlfn.XLOOKUP($A5389,Load!$B:$B,Load!D:D,0,)</f>
        <v>Non-Chocolate Candy Only</v>
      </c>
      <c r="D5389" t="str">
        <f>_xlfn.XLOOKUP($A5389,Load!$B:$B,Load!E:E,0,)</f>
        <v>Sour</v>
      </c>
      <c r="E5389" t="str">
        <f>_xlfn.XLOOKUP($A5389,Load!$B:$B,Load!F:F,0,)</f>
        <v>Chewy</v>
      </c>
      <c r="F5389" t="str">
        <f>_xlfn.XLOOKUP($A5389,Load!$B:$B,Load!G:G,0,)</f>
        <v>Single Pack</v>
      </c>
      <c r="G5389" t="str">
        <f>_xlfn.XLOOKUP($A5389,Load!$B:$B,Load!H:H,0,)</f>
        <v>Peg Bag</v>
      </c>
      <c r="H5389" t="str">
        <f>_xlfn.XLOOKUP($A5389,Load!$B:$B,Load!I:I,0,)</f>
        <v>Seasonal Shapes (like pumpkins, candy corn, ghost, bats, etc.)</v>
      </c>
      <c r="I5389" t="str">
        <f>_xlfn.XLOOKUP($A5389,Load!$B:$B,Load!J:J,0,)</f>
        <v>Seasonal Graphics (Like Bat, Ghost, Pumpkin, Fall Leaves, Eyeballs, etc.)</v>
      </c>
      <c r="J5389" t="str">
        <f>_xlfn.XLOOKUP($A5389,Load!$B:$B,Load!K:K,0,)</f>
        <v>Small Pieces (Tiny bite size candies)</v>
      </c>
      <c r="K5389" t="str">
        <f>_xlfn.XLOOKUP($A5389,Load!$B:$B,Load!L:L,0,)</f>
        <v>Regular/Original Wrapping</v>
      </c>
      <c r="L5389" t="str">
        <f>_xlfn.XLOOKUP($A5389,Load!$B:$B,Load!M:M,0,)</f>
        <v>Single Brand / Variety Flavors or Form</v>
      </c>
    </row>
    <row r="5390" spans="1:12" x14ac:dyDescent="0.25">
      <c r="A5390" t="s">
        <v>467</v>
      </c>
      <c r="B5390" t="str">
        <f>_xlfn.XLOOKUP($A5390,Load!$B:$B,Load!C:C,0,)</f>
        <v>Trolli</v>
      </c>
      <c r="C5390" t="str">
        <f>_xlfn.XLOOKUP($A5390,Load!$B:$B,Load!D:D,0,)</f>
        <v>Non-Chocolate Candy Only</v>
      </c>
      <c r="D5390" t="str">
        <f>_xlfn.XLOOKUP($A5390,Load!$B:$B,Load!E:E,0,)</f>
        <v>Sour</v>
      </c>
      <c r="E5390" t="str">
        <f>_xlfn.XLOOKUP($A5390,Load!$B:$B,Load!F:F,0,)</f>
        <v>Gummy</v>
      </c>
      <c r="F5390" t="str">
        <f>_xlfn.XLOOKUP($A5390,Load!$B:$B,Load!G:G,0,)</f>
        <v>Small Multipack (Less than 40 ct)</v>
      </c>
      <c r="G5390" t="str">
        <f>_xlfn.XLOOKUP($A5390,Load!$B:$B,Load!H:H,0,)</f>
        <v>Laydown Bag</v>
      </c>
      <c r="H5390" t="str">
        <f>_xlfn.XLOOKUP($A5390,Load!$B:$B,Load!I:I,0,)</f>
        <v>Seasonal Shapes (like pumpkins, candy corn, ghost, bats, etc.)</v>
      </c>
      <c r="I5390" t="str">
        <f>_xlfn.XLOOKUP($A5390,Load!$B:$B,Load!J:J,0,)</f>
        <v>Seasonal Graphics (Like Bat, Ghost, Pumpkin, Fall Leaves, Eyeballs, etc.)</v>
      </c>
      <c r="J5390" t="str">
        <f>_xlfn.XLOOKUP($A5390,Load!$B:$B,Load!K:K,0,)</f>
        <v>Fun Size / Treat Size</v>
      </c>
      <c r="K5390" t="str">
        <f>_xlfn.XLOOKUP($A5390,Load!$B:$B,Load!L:L,0,)</f>
        <v>Regular/Original Wrapping</v>
      </c>
      <c r="L5390" t="str">
        <f>_xlfn.XLOOKUP($A5390,Load!$B:$B,Load!M:M,0,)</f>
        <v>Single Brand / Variety Flavors or Form</v>
      </c>
    </row>
    <row r="5391" spans="1:12" x14ac:dyDescent="0.25">
      <c r="A5391" t="s">
        <v>226</v>
      </c>
      <c r="B5391" t="str">
        <f>_xlfn.XLOOKUP($A5391,Load!$B:$B,Load!C:C,0,)</f>
        <v>Nerds</v>
      </c>
      <c r="C5391" t="str">
        <f>_xlfn.XLOOKUP($A5391,Load!$B:$B,Load!D:D,0,)</f>
        <v>Non-Chocolate Candy Only</v>
      </c>
      <c r="D5391" t="str">
        <f>_xlfn.XLOOKUP($A5391,Load!$B:$B,Load!E:E,0,)</f>
        <v>Sweet</v>
      </c>
      <c r="E5391" t="str">
        <f>_xlfn.XLOOKUP($A5391,Load!$B:$B,Load!F:F,0,)</f>
        <v>Gummy</v>
      </c>
      <c r="F5391" t="str">
        <f>_xlfn.XLOOKUP($A5391,Load!$B:$B,Load!G:G,0,)</f>
        <v>Single Pack</v>
      </c>
      <c r="G5391" t="str">
        <f>_xlfn.XLOOKUP($A5391,Load!$B:$B,Load!H:H,0,)</f>
        <v>Laydown Bag</v>
      </c>
      <c r="H5391" t="str">
        <f>_xlfn.XLOOKUP($A5391,Load!$B:$B,Load!I:I,0,)</f>
        <v>Seasonal Shapes (like pumpkins, candy corn, ghost, bats, etc.)</v>
      </c>
      <c r="I5391" t="str">
        <f>_xlfn.XLOOKUP($A5391,Load!$B:$B,Load!J:J,0,)</f>
        <v>Seasonal Graphics (Like Bat, Ghost, Pumpkin, Fall Leaves, Eyeballs, etc.)</v>
      </c>
      <c r="J5391" t="str">
        <f>_xlfn.XLOOKUP($A5391,Load!$B:$B,Load!K:K,0,)</f>
        <v>Fun Size / Treat Size</v>
      </c>
      <c r="K5391" t="str">
        <f>_xlfn.XLOOKUP($A5391,Load!$B:$B,Load!L:L,0,)</f>
        <v>Unwrapped</v>
      </c>
      <c r="L5391" t="str">
        <f>_xlfn.XLOOKUP($A5391,Load!$B:$B,Load!M:M,0,)</f>
        <v>Single Brand / Single Flavor or Form</v>
      </c>
    </row>
    <row r="5392" spans="1:12" x14ac:dyDescent="0.25">
      <c r="A5392" t="s">
        <v>33</v>
      </c>
      <c r="B5392" t="str">
        <f>_xlfn.XLOOKUP($A5392,Load!$B:$B,Load!C:C,0,)</f>
        <v>Bazooka Brands</v>
      </c>
      <c r="C5392" t="str">
        <f>_xlfn.XLOOKUP($A5392,Load!$B:$B,Load!D:D,0,)</f>
        <v>Non-Chocolate Candy Only</v>
      </c>
      <c r="D5392" t="str">
        <f>_xlfn.XLOOKUP($A5392,Load!$B:$B,Load!E:E,0,)</f>
        <v>Variety / Mixed Flavors (Fruity, Sour, Seasonal Flavors)</v>
      </c>
      <c r="E5392" t="str">
        <f>_xlfn.XLOOKUP($A5392,Load!$B:$B,Load!F:F,0,)</f>
        <v>Mixed / Combo Packs (Gummy, Chewy, Taffy, etc.)</v>
      </c>
      <c r="F5392" t="str">
        <f>_xlfn.XLOOKUP($A5392,Load!$B:$B,Load!G:G,0,)</f>
        <v>Small Multipack (Less than 40 ct)</v>
      </c>
      <c r="G5392" t="str">
        <f>_xlfn.XLOOKUP($A5392,Load!$B:$B,Load!H:H,0,)</f>
        <v>Box (theatre box, gift box, carton)</v>
      </c>
      <c r="H5392" t="str">
        <f>_xlfn.XLOOKUP($A5392,Load!$B:$B,Load!I:I,0,)</f>
        <v>Seasonal Shapes (like pumpkins, candy corn, ghost, bats, etc.)</v>
      </c>
      <c r="I5392" t="str">
        <f>_xlfn.XLOOKUP($A5392,Load!$B:$B,Load!J:J,0,)</f>
        <v>Seasonal Graphics (Like Bat, Ghost, Pumpkin, Fall Leaves, Eyeballs, etc.)</v>
      </c>
      <c r="J5392" t="str">
        <f>_xlfn.XLOOKUP($A5392,Load!$B:$B,Load!K:K,0,)</f>
        <v>Small Pieces (Tiny bite size candies)</v>
      </c>
      <c r="K5392" t="str">
        <f>_xlfn.XLOOKUP($A5392,Load!$B:$B,Load!L:L,0,)</f>
        <v>Regular/Original Wrapping</v>
      </c>
      <c r="L5392" t="str">
        <f>_xlfn.XLOOKUP($A5392,Load!$B:$B,Load!M:M,0,)</f>
        <v>Single Brand / Variety Flavors or Form</v>
      </c>
    </row>
    <row r="5393" spans="1:12" x14ac:dyDescent="0.25">
      <c r="A5393" t="s">
        <v>126</v>
      </c>
      <c r="B5393" t="str">
        <f>_xlfn.XLOOKUP($A5393,Load!$B:$B,Load!C:C,0,)</f>
        <v>HARIBO</v>
      </c>
      <c r="C5393" t="str">
        <f>_xlfn.XLOOKUP($A5393,Load!$B:$B,Load!D:D,0,)</f>
        <v>Non-Chocolate Candy Only</v>
      </c>
      <c r="D5393" t="str">
        <f>_xlfn.XLOOKUP($A5393,Load!$B:$B,Load!E:E,0,)</f>
        <v>Sweet</v>
      </c>
      <c r="E5393" t="str">
        <f>_xlfn.XLOOKUP($A5393,Load!$B:$B,Load!F:F,0,)</f>
        <v>Gummy</v>
      </c>
      <c r="F5393" t="str">
        <f>_xlfn.XLOOKUP($A5393,Load!$B:$B,Load!G:G,0,)</f>
        <v>Single Pack</v>
      </c>
      <c r="G5393" t="str">
        <f>_xlfn.XLOOKUP($A5393,Load!$B:$B,Load!H:H,0,)</f>
        <v>Laydown Bag</v>
      </c>
      <c r="H5393" t="str">
        <f>_xlfn.XLOOKUP($A5393,Load!$B:$B,Load!I:I,0,)</f>
        <v>Seasonal Shapes (like pumpkins, candy corn, ghost, bats, etc.)</v>
      </c>
      <c r="I5393" t="str">
        <f>_xlfn.XLOOKUP($A5393,Load!$B:$B,Load!J:J,0,)</f>
        <v>Seasonal Graphics (Like Bat, Ghost, Pumpkin, Fall Leaves, Eyeballs, etc.)</v>
      </c>
      <c r="J5393" t="str">
        <f>_xlfn.XLOOKUP($A5393,Load!$B:$B,Load!K:K,0,)</f>
        <v>Small Pieces (Tiny bite size candies)</v>
      </c>
      <c r="K5393" t="str">
        <f>_xlfn.XLOOKUP($A5393,Load!$B:$B,Load!L:L,0,)</f>
        <v>Unwrapped</v>
      </c>
      <c r="L5393" t="str">
        <f>_xlfn.XLOOKUP($A5393,Load!$B:$B,Load!M:M,0,)</f>
        <v>Single Brand / Variety Flavors or Form</v>
      </c>
    </row>
    <row r="5394" spans="1:12" x14ac:dyDescent="0.25">
      <c r="B5394">
        <f>_xlfn.XLOOKUP($A5394,Load!$B:$B,Load!C:C,0,)</f>
        <v>0</v>
      </c>
      <c r="C5394">
        <f>_xlfn.XLOOKUP($A5394,Load!$B:$B,Load!D:D,0,)</f>
        <v>0</v>
      </c>
      <c r="D5394">
        <f>_xlfn.XLOOKUP($A5394,Load!$B:$B,Load!E:E,0,)</f>
        <v>0</v>
      </c>
      <c r="E5394">
        <f>_xlfn.XLOOKUP($A5394,Load!$B:$B,Load!F:F,0,)</f>
        <v>0</v>
      </c>
      <c r="F5394">
        <f>_xlfn.XLOOKUP($A5394,Load!$B:$B,Load!G:G,0,)</f>
        <v>0</v>
      </c>
      <c r="G5394">
        <f>_xlfn.XLOOKUP($A5394,Load!$B:$B,Load!H:H,0,)</f>
        <v>0</v>
      </c>
      <c r="H5394">
        <f>_xlfn.XLOOKUP($A5394,Load!$B:$B,Load!I:I,0,)</f>
        <v>0</v>
      </c>
      <c r="I5394">
        <f>_xlfn.XLOOKUP($A5394,Load!$B:$B,Load!J:J,0,)</f>
        <v>0</v>
      </c>
      <c r="J5394">
        <f>_xlfn.XLOOKUP($A5394,Load!$B:$B,Load!K:K,0,)</f>
        <v>0</v>
      </c>
      <c r="K5394">
        <f>_xlfn.XLOOKUP($A5394,Load!$B:$B,Load!L:L,0,)</f>
        <v>0</v>
      </c>
      <c r="L5394">
        <f>_xlfn.XLOOKUP($A5394,Load!$B:$B,Load!M:M,0,)</f>
        <v>0</v>
      </c>
    </row>
    <row r="5395" spans="1:12" x14ac:dyDescent="0.25">
      <c r="B5395">
        <f>_xlfn.XLOOKUP($A5395,Load!$B:$B,Load!C:C,0,)</f>
        <v>0</v>
      </c>
      <c r="C5395">
        <f>_xlfn.XLOOKUP($A5395,Load!$B:$B,Load!D:D,0,)</f>
        <v>0</v>
      </c>
      <c r="D5395">
        <f>_xlfn.XLOOKUP($A5395,Load!$B:$B,Load!E:E,0,)</f>
        <v>0</v>
      </c>
      <c r="E5395">
        <f>_xlfn.XLOOKUP($A5395,Load!$B:$B,Load!F:F,0,)</f>
        <v>0</v>
      </c>
      <c r="F5395">
        <f>_xlfn.XLOOKUP($A5395,Load!$B:$B,Load!G:G,0,)</f>
        <v>0</v>
      </c>
      <c r="G5395">
        <f>_xlfn.XLOOKUP($A5395,Load!$B:$B,Load!H:H,0,)</f>
        <v>0</v>
      </c>
      <c r="H5395">
        <f>_xlfn.XLOOKUP($A5395,Load!$B:$B,Load!I:I,0,)</f>
        <v>0</v>
      </c>
      <c r="I5395">
        <f>_xlfn.XLOOKUP($A5395,Load!$B:$B,Load!J:J,0,)</f>
        <v>0</v>
      </c>
      <c r="J5395">
        <f>_xlfn.XLOOKUP($A5395,Load!$B:$B,Load!K:K,0,)</f>
        <v>0</v>
      </c>
      <c r="K5395">
        <f>_xlfn.XLOOKUP($A5395,Load!$B:$B,Load!L:L,0,)</f>
        <v>0</v>
      </c>
      <c r="L5395">
        <f>_xlfn.XLOOKUP($A5395,Load!$B:$B,Load!M:M,0,)</f>
        <v>0</v>
      </c>
    </row>
    <row r="5396" spans="1:12" x14ac:dyDescent="0.25">
      <c r="A5396" t="s">
        <v>218</v>
      </c>
      <c r="B5396" t="str">
        <f>_xlfn.XLOOKUP($A5396,Load!$B:$B,Load!C:C,0,)</f>
        <v>Mondelez Variety Pack</v>
      </c>
      <c r="C5396" t="str">
        <f>_xlfn.XLOOKUP($A5396,Load!$B:$B,Load!D:D,0,)</f>
        <v>Non-Chocolate Candy Only</v>
      </c>
      <c r="D5396" t="str">
        <f>_xlfn.XLOOKUP($A5396,Load!$B:$B,Load!E:E,0,)</f>
        <v>Sour</v>
      </c>
      <c r="E5396" t="str">
        <f>_xlfn.XLOOKUP($A5396,Load!$B:$B,Load!F:F,0,)</f>
        <v>Mixed / Combo Packs (Gummy, Chewy, Taffy, etc.)</v>
      </c>
      <c r="F5396" t="str">
        <f>_xlfn.XLOOKUP($A5396,Load!$B:$B,Load!G:G,0,)</f>
        <v>Large Multipack (More than 80 ct)</v>
      </c>
      <c r="G5396" t="str">
        <f>_xlfn.XLOOKUP($A5396,Load!$B:$B,Load!H:H,0,)</f>
        <v>Stand-Up Bag</v>
      </c>
      <c r="H5396" t="str">
        <f>_xlfn.XLOOKUP($A5396,Load!$B:$B,Load!I:I,0,)</f>
        <v>Seasonal Shapes (like pumpkins, candy corn, ghost, bats, etc.)</v>
      </c>
      <c r="I5396" t="str">
        <f>_xlfn.XLOOKUP($A5396,Load!$B:$B,Load!J:J,0,)</f>
        <v>Seasonal Graphics (Like Bat, Ghost, Pumpkin, Fall Leaves, Eyeballs, etc.)</v>
      </c>
      <c r="J5396" t="str">
        <f>_xlfn.XLOOKUP($A5396,Load!$B:$B,Load!K:K,0,)</f>
        <v>Small Pieces (Tiny bite size candies)</v>
      </c>
      <c r="K5396" t="str">
        <f>_xlfn.XLOOKUP($A5396,Load!$B:$B,Load!L:L,0,)</f>
        <v>Regular/Original Wrapping</v>
      </c>
      <c r="L5396" t="str">
        <f>_xlfn.XLOOKUP($A5396,Load!$B:$B,Load!M:M,0,)</f>
        <v>Multiple Brands / Variety Flavors or Form</v>
      </c>
    </row>
    <row r="5397" spans="1:12" x14ac:dyDescent="0.25">
      <c r="B5397">
        <f>_xlfn.XLOOKUP($A5397,Load!$B:$B,Load!C:C,0,)</f>
        <v>0</v>
      </c>
      <c r="C5397">
        <f>_xlfn.XLOOKUP($A5397,Load!$B:$B,Load!D:D,0,)</f>
        <v>0</v>
      </c>
      <c r="D5397">
        <f>_xlfn.XLOOKUP($A5397,Load!$B:$B,Load!E:E,0,)</f>
        <v>0</v>
      </c>
      <c r="E5397">
        <f>_xlfn.XLOOKUP($A5397,Load!$B:$B,Load!F:F,0,)</f>
        <v>0</v>
      </c>
      <c r="F5397">
        <f>_xlfn.XLOOKUP($A5397,Load!$B:$B,Load!G:G,0,)</f>
        <v>0</v>
      </c>
      <c r="G5397">
        <f>_xlfn.XLOOKUP($A5397,Load!$B:$B,Load!H:H,0,)</f>
        <v>0</v>
      </c>
      <c r="H5397">
        <f>_xlfn.XLOOKUP($A5397,Load!$B:$B,Load!I:I,0,)</f>
        <v>0</v>
      </c>
      <c r="I5397">
        <f>_xlfn.XLOOKUP($A5397,Load!$B:$B,Load!J:J,0,)</f>
        <v>0</v>
      </c>
      <c r="J5397">
        <f>_xlfn.XLOOKUP($A5397,Load!$B:$B,Load!K:K,0,)</f>
        <v>0</v>
      </c>
      <c r="K5397">
        <f>_xlfn.XLOOKUP($A5397,Load!$B:$B,Load!L:L,0,)</f>
        <v>0</v>
      </c>
      <c r="L5397">
        <f>_xlfn.XLOOKUP($A5397,Load!$B:$B,Load!M:M,0,)</f>
        <v>0</v>
      </c>
    </row>
    <row r="5398" spans="1:12" x14ac:dyDescent="0.25">
      <c r="A5398" t="s">
        <v>463</v>
      </c>
      <c r="B5398" t="str">
        <f>_xlfn.XLOOKUP($A5398,Load!$B:$B,Load!C:C,0,)</f>
        <v>Mars Variety Pack</v>
      </c>
      <c r="C5398" t="str">
        <f>_xlfn.XLOOKUP($A5398,Load!$B:$B,Load!D:D,0,)</f>
        <v>Mix of Chocolate and Non-Chocolate Candy</v>
      </c>
      <c r="D5398" t="str">
        <f>_xlfn.XLOOKUP($A5398,Load!$B:$B,Load!E:E,0,)</f>
        <v>Variety / Mixed Flavors (Fruity, Sour, Seasonal Flavors)</v>
      </c>
      <c r="E5398" t="str">
        <f>_xlfn.XLOOKUP($A5398,Load!$B:$B,Load!F:F,0,)</f>
        <v>Mixed / Combo Packs (Gummy, Chewy, Taffy, etc.)</v>
      </c>
      <c r="F5398" t="str">
        <f>_xlfn.XLOOKUP($A5398,Load!$B:$B,Load!G:G,0,)</f>
        <v>Medium Multipack (40–80 ct)</v>
      </c>
      <c r="G5398" t="str">
        <f>_xlfn.XLOOKUP($A5398,Load!$B:$B,Load!H:H,0,)</f>
        <v>Stand-Up Bag</v>
      </c>
      <c r="H5398" t="str">
        <f>_xlfn.XLOOKUP($A5398,Load!$B:$B,Load!I:I,0,)</f>
        <v>Everyday Candy Shapes (like Original, Gummy bear, Fruit, Jewels, etc.)</v>
      </c>
      <c r="I5398" t="str">
        <f>_xlfn.XLOOKUP($A5398,Load!$B:$B,Load!J:J,0,)</f>
        <v>Seasonal Graphics (Like Bat, Ghost, Pumpkin, Fall Leaves, Eyeballs, etc.)</v>
      </c>
      <c r="J5398" t="str">
        <f>_xlfn.XLOOKUP($A5398,Load!$B:$B,Load!K:K,0,)</f>
        <v>Fun Size / Treat Size</v>
      </c>
      <c r="K5398" t="str">
        <f>_xlfn.XLOOKUP($A5398,Load!$B:$B,Load!L:L,0,)</f>
        <v>Regular/Original Wrapping</v>
      </c>
      <c r="L5398" t="str">
        <f>_xlfn.XLOOKUP($A5398,Load!$B:$B,Load!M:M,0,)</f>
        <v>Multiple Brands / Variety Flavors or Form</v>
      </c>
    </row>
    <row r="5399" spans="1:12" x14ac:dyDescent="0.25">
      <c r="B5399">
        <f>_xlfn.XLOOKUP($A5399,Load!$B:$B,Load!C:C,0,)</f>
        <v>0</v>
      </c>
      <c r="C5399">
        <f>_xlfn.XLOOKUP($A5399,Load!$B:$B,Load!D:D,0,)</f>
        <v>0</v>
      </c>
      <c r="D5399">
        <f>_xlfn.XLOOKUP($A5399,Load!$B:$B,Load!E:E,0,)</f>
        <v>0</v>
      </c>
      <c r="E5399">
        <f>_xlfn.XLOOKUP($A5399,Load!$B:$B,Load!F:F,0,)</f>
        <v>0</v>
      </c>
      <c r="F5399">
        <f>_xlfn.XLOOKUP($A5399,Load!$B:$B,Load!G:G,0,)</f>
        <v>0</v>
      </c>
      <c r="G5399">
        <f>_xlfn.XLOOKUP($A5399,Load!$B:$B,Load!H:H,0,)</f>
        <v>0</v>
      </c>
      <c r="H5399">
        <f>_xlfn.XLOOKUP($A5399,Load!$B:$B,Load!I:I,0,)</f>
        <v>0</v>
      </c>
      <c r="I5399">
        <f>_xlfn.XLOOKUP($A5399,Load!$B:$B,Load!J:J,0,)</f>
        <v>0</v>
      </c>
      <c r="J5399">
        <f>_xlfn.XLOOKUP($A5399,Load!$B:$B,Load!K:K,0,)</f>
        <v>0</v>
      </c>
      <c r="K5399">
        <f>_xlfn.XLOOKUP($A5399,Load!$B:$B,Load!L:L,0,)</f>
        <v>0</v>
      </c>
      <c r="L5399">
        <f>_xlfn.XLOOKUP($A5399,Load!$B:$B,Load!M:M,0,)</f>
        <v>0</v>
      </c>
    </row>
    <row r="5400" spans="1:12" x14ac:dyDescent="0.25">
      <c r="B5400">
        <f>_xlfn.XLOOKUP($A5400,Load!$B:$B,Load!C:C,0,)</f>
        <v>0</v>
      </c>
      <c r="C5400">
        <f>_xlfn.XLOOKUP($A5400,Load!$B:$B,Load!D:D,0,)</f>
        <v>0</v>
      </c>
      <c r="D5400">
        <f>_xlfn.XLOOKUP($A5400,Load!$B:$B,Load!E:E,0,)</f>
        <v>0</v>
      </c>
      <c r="E5400">
        <f>_xlfn.XLOOKUP($A5400,Load!$B:$B,Load!F:F,0,)</f>
        <v>0</v>
      </c>
      <c r="F5400">
        <f>_xlfn.XLOOKUP($A5400,Load!$B:$B,Load!G:G,0,)</f>
        <v>0</v>
      </c>
      <c r="G5400">
        <f>_xlfn.XLOOKUP($A5400,Load!$B:$B,Load!H:H,0,)</f>
        <v>0</v>
      </c>
      <c r="H5400">
        <f>_xlfn.XLOOKUP($A5400,Load!$B:$B,Load!I:I,0,)</f>
        <v>0</v>
      </c>
      <c r="I5400">
        <f>_xlfn.XLOOKUP($A5400,Load!$B:$B,Load!J:J,0,)</f>
        <v>0</v>
      </c>
      <c r="J5400">
        <f>_xlfn.XLOOKUP($A5400,Load!$B:$B,Load!K:K,0,)</f>
        <v>0</v>
      </c>
      <c r="K5400">
        <f>_xlfn.XLOOKUP($A5400,Load!$B:$B,Load!L:L,0,)</f>
        <v>0</v>
      </c>
      <c r="L5400">
        <f>_xlfn.XLOOKUP($A5400,Load!$B:$B,Load!M:M,0,)</f>
        <v>0</v>
      </c>
    </row>
    <row r="5401" spans="1:12" x14ac:dyDescent="0.25">
      <c r="B5401">
        <f>_xlfn.XLOOKUP($A5401,Load!$B:$B,Load!C:C,0,)</f>
        <v>0</v>
      </c>
      <c r="C5401">
        <f>_xlfn.XLOOKUP($A5401,Load!$B:$B,Load!D:D,0,)</f>
        <v>0</v>
      </c>
      <c r="D5401">
        <f>_xlfn.XLOOKUP($A5401,Load!$B:$B,Load!E:E,0,)</f>
        <v>0</v>
      </c>
      <c r="E5401">
        <f>_xlfn.XLOOKUP($A5401,Load!$B:$B,Load!F:F,0,)</f>
        <v>0</v>
      </c>
      <c r="F5401">
        <f>_xlfn.XLOOKUP($A5401,Load!$B:$B,Load!G:G,0,)</f>
        <v>0</v>
      </c>
      <c r="G5401">
        <f>_xlfn.XLOOKUP($A5401,Load!$B:$B,Load!H:H,0,)</f>
        <v>0</v>
      </c>
      <c r="H5401">
        <f>_xlfn.XLOOKUP($A5401,Load!$B:$B,Load!I:I,0,)</f>
        <v>0</v>
      </c>
      <c r="I5401">
        <f>_xlfn.XLOOKUP($A5401,Load!$B:$B,Load!J:J,0,)</f>
        <v>0</v>
      </c>
      <c r="J5401">
        <f>_xlfn.XLOOKUP($A5401,Load!$B:$B,Load!K:K,0,)</f>
        <v>0</v>
      </c>
      <c r="K5401">
        <f>_xlfn.XLOOKUP($A5401,Load!$B:$B,Load!L:L,0,)</f>
        <v>0</v>
      </c>
      <c r="L5401">
        <f>_xlfn.XLOOKUP($A5401,Load!$B:$B,Load!M:M,0,)</f>
        <v>0</v>
      </c>
    </row>
    <row r="5402" spans="1:12" x14ac:dyDescent="0.25">
      <c r="A5402" t="s">
        <v>282</v>
      </c>
      <c r="B5402" t="str">
        <f>_xlfn.XLOOKUP($A5402,Load!$B:$B,Load!C:C,0,)</f>
        <v>Sour Punch</v>
      </c>
      <c r="C5402" t="str">
        <f>_xlfn.XLOOKUP($A5402,Load!$B:$B,Load!D:D,0,)</f>
        <v>Non-Chocolate Candy Only</v>
      </c>
      <c r="D5402" t="str">
        <f>_xlfn.XLOOKUP($A5402,Load!$B:$B,Load!E:E,0,)</f>
        <v>Sour</v>
      </c>
      <c r="E5402" t="str">
        <f>_xlfn.XLOOKUP($A5402,Load!$B:$B,Load!F:F,0,)</f>
        <v>Chewy</v>
      </c>
      <c r="F5402" t="str">
        <f>_xlfn.XLOOKUP($A5402,Load!$B:$B,Load!G:G,0,)</f>
        <v>Single Pack</v>
      </c>
      <c r="G5402" t="str">
        <f>_xlfn.XLOOKUP($A5402,Load!$B:$B,Load!H:H,0,)</f>
        <v>Laydown Bag</v>
      </c>
      <c r="H5402" t="str">
        <f>_xlfn.XLOOKUP($A5402,Load!$B:$B,Load!I:I,0,)</f>
        <v>Everyday Candy Shapes (like Original, Gummy bear, Fruit, Jewels, etc.)</v>
      </c>
      <c r="I5402" t="str">
        <f>_xlfn.XLOOKUP($A5402,Load!$B:$B,Load!J:J,0,)</f>
        <v>Seasonal Graphics (Like Bat, Ghost, Pumpkin, Fall Leaves, Eyeballs, etc.)</v>
      </c>
      <c r="J5402" t="str">
        <f>_xlfn.XLOOKUP($A5402,Load!$B:$B,Load!K:K,0,)</f>
        <v>Fun Size / Treat Size</v>
      </c>
      <c r="K5402" t="str">
        <f>_xlfn.XLOOKUP($A5402,Load!$B:$B,Load!L:L,0,)</f>
        <v>Unwrapped</v>
      </c>
      <c r="L5402" t="str">
        <f>_xlfn.XLOOKUP($A5402,Load!$B:$B,Load!M:M,0,)</f>
        <v>Single Brand / Variety Flavors or Form</v>
      </c>
    </row>
    <row r="5403" spans="1:12" x14ac:dyDescent="0.25">
      <c r="B5403">
        <f>_xlfn.XLOOKUP($A5403,Load!$B:$B,Load!C:C,0,)</f>
        <v>0</v>
      </c>
      <c r="C5403">
        <f>_xlfn.XLOOKUP($A5403,Load!$B:$B,Load!D:D,0,)</f>
        <v>0</v>
      </c>
      <c r="D5403">
        <f>_xlfn.XLOOKUP($A5403,Load!$B:$B,Load!E:E,0,)</f>
        <v>0</v>
      </c>
      <c r="E5403">
        <f>_xlfn.XLOOKUP($A5403,Load!$B:$B,Load!F:F,0,)</f>
        <v>0</v>
      </c>
      <c r="F5403">
        <f>_xlfn.XLOOKUP($A5403,Load!$B:$B,Load!G:G,0,)</f>
        <v>0</v>
      </c>
      <c r="G5403">
        <f>_xlfn.XLOOKUP($A5403,Load!$B:$B,Load!H:H,0,)</f>
        <v>0</v>
      </c>
      <c r="H5403">
        <f>_xlfn.XLOOKUP($A5403,Load!$B:$B,Load!I:I,0,)</f>
        <v>0</v>
      </c>
      <c r="I5403">
        <f>_xlfn.XLOOKUP($A5403,Load!$B:$B,Load!J:J,0,)</f>
        <v>0</v>
      </c>
      <c r="J5403">
        <f>_xlfn.XLOOKUP($A5403,Load!$B:$B,Load!K:K,0,)</f>
        <v>0</v>
      </c>
      <c r="K5403">
        <f>_xlfn.XLOOKUP($A5403,Load!$B:$B,Load!L:L,0,)</f>
        <v>0</v>
      </c>
      <c r="L5403">
        <f>_xlfn.XLOOKUP($A5403,Load!$B:$B,Load!M:M,0,)</f>
        <v>0</v>
      </c>
    </row>
    <row r="5404" spans="1:12" x14ac:dyDescent="0.25">
      <c r="A5404" t="s">
        <v>144</v>
      </c>
      <c r="B5404" t="str">
        <f>_xlfn.XLOOKUP($A5404,Load!$B:$B,Load!C:C,0,)</f>
        <v>Hershey's Variety Pack + Haribo</v>
      </c>
      <c r="C5404" t="str">
        <f>_xlfn.XLOOKUP($A5404,Load!$B:$B,Load!D:D,0,)</f>
        <v>Mix of Chocolate and Non-Chocolate Candy</v>
      </c>
      <c r="D5404" t="str">
        <f>_xlfn.XLOOKUP($A5404,Load!$B:$B,Load!E:E,0,)</f>
        <v>Variety / Mixed Flavors (Fruity, Sour, Seasonal Flavors)</v>
      </c>
      <c r="E5404" t="str">
        <f>_xlfn.XLOOKUP($A5404,Load!$B:$B,Load!F:F,0,)</f>
        <v>Mixed / Combo Packs (Gummy, Chewy, Taffy, etc.)</v>
      </c>
      <c r="F5404" t="str">
        <f>_xlfn.XLOOKUP($A5404,Load!$B:$B,Load!G:G,0,)</f>
        <v>Large Multipack (More than 80 ct)</v>
      </c>
      <c r="G5404" t="str">
        <f>_xlfn.XLOOKUP($A5404,Load!$B:$B,Load!H:H,0,)</f>
        <v>Stand-Up Bag</v>
      </c>
      <c r="H5404" t="str">
        <f>_xlfn.XLOOKUP($A5404,Load!$B:$B,Load!I:I,0,)</f>
        <v>Everyday Candy Shapes (like Original, Gummy bear, Fruit, Jewels, etc.)</v>
      </c>
      <c r="I5404" t="str">
        <f>_xlfn.XLOOKUP($A5404,Load!$B:$B,Load!J:J,0,)</f>
        <v>Seasonal Graphics (Like Bat, Ghost, Pumpkin, Fall Leaves, Eyeballs, etc.)</v>
      </c>
      <c r="J5404" t="str">
        <f>_xlfn.XLOOKUP($A5404,Load!$B:$B,Load!K:K,0,)</f>
        <v>Fun Size / Treat Size</v>
      </c>
      <c r="K5404" t="str">
        <f>_xlfn.XLOOKUP($A5404,Load!$B:$B,Load!L:L,0,)</f>
        <v>Regular/Original Wrapping</v>
      </c>
      <c r="L5404" t="str">
        <f>_xlfn.XLOOKUP($A5404,Load!$B:$B,Load!M:M,0,)</f>
        <v>Multiple Brands / Variety Flavors or Form</v>
      </c>
    </row>
    <row r="5405" spans="1:12" x14ac:dyDescent="0.25">
      <c r="B5405">
        <f>_xlfn.XLOOKUP($A5405,Load!$B:$B,Load!C:C,0,)</f>
        <v>0</v>
      </c>
      <c r="C5405">
        <f>_xlfn.XLOOKUP($A5405,Load!$B:$B,Load!D:D,0,)</f>
        <v>0</v>
      </c>
      <c r="D5405">
        <f>_xlfn.XLOOKUP($A5405,Load!$B:$B,Load!E:E,0,)</f>
        <v>0</v>
      </c>
      <c r="E5405">
        <f>_xlfn.XLOOKUP($A5405,Load!$B:$B,Load!F:F,0,)</f>
        <v>0</v>
      </c>
      <c r="F5405">
        <f>_xlfn.XLOOKUP($A5405,Load!$B:$B,Load!G:G,0,)</f>
        <v>0</v>
      </c>
      <c r="G5405">
        <f>_xlfn.XLOOKUP($A5405,Load!$B:$B,Load!H:H,0,)</f>
        <v>0</v>
      </c>
      <c r="H5405">
        <f>_xlfn.XLOOKUP($A5405,Load!$B:$B,Load!I:I,0,)</f>
        <v>0</v>
      </c>
      <c r="I5405">
        <f>_xlfn.XLOOKUP($A5405,Load!$B:$B,Load!J:J,0,)</f>
        <v>0</v>
      </c>
      <c r="J5405">
        <f>_xlfn.XLOOKUP($A5405,Load!$B:$B,Load!K:K,0,)</f>
        <v>0</v>
      </c>
      <c r="K5405">
        <f>_xlfn.XLOOKUP($A5405,Load!$B:$B,Load!L:L,0,)</f>
        <v>0</v>
      </c>
      <c r="L5405">
        <f>_xlfn.XLOOKUP($A5405,Load!$B:$B,Load!M:M,0,)</f>
        <v>0</v>
      </c>
    </row>
    <row r="5406" spans="1:12" x14ac:dyDescent="0.25">
      <c r="A5406" t="s">
        <v>144</v>
      </c>
      <c r="B5406" t="str">
        <f>_xlfn.XLOOKUP($A5406,Load!$B:$B,Load!C:C,0,)</f>
        <v>Hershey's Variety Pack + Haribo</v>
      </c>
      <c r="C5406" t="str">
        <f>_xlfn.XLOOKUP($A5406,Load!$B:$B,Load!D:D,0,)</f>
        <v>Mix of Chocolate and Non-Chocolate Candy</v>
      </c>
      <c r="D5406" t="str">
        <f>_xlfn.XLOOKUP($A5406,Load!$B:$B,Load!E:E,0,)</f>
        <v>Variety / Mixed Flavors (Fruity, Sour, Seasonal Flavors)</v>
      </c>
      <c r="E5406" t="str">
        <f>_xlfn.XLOOKUP($A5406,Load!$B:$B,Load!F:F,0,)</f>
        <v>Mixed / Combo Packs (Gummy, Chewy, Taffy, etc.)</v>
      </c>
      <c r="F5406" t="str">
        <f>_xlfn.XLOOKUP($A5406,Load!$B:$B,Load!G:G,0,)</f>
        <v>Large Multipack (More than 80 ct)</v>
      </c>
      <c r="G5406" t="str">
        <f>_xlfn.XLOOKUP($A5406,Load!$B:$B,Load!H:H,0,)</f>
        <v>Stand-Up Bag</v>
      </c>
      <c r="H5406" t="str">
        <f>_xlfn.XLOOKUP($A5406,Load!$B:$B,Load!I:I,0,)</f>
        <v>Everyday Candy Shapes (like Original, Gummy bear, Fruit, Jewels, etc.)</v>
      </c>
      <c r="I5406" t="str">
        <f>_xlfn.XLOOKUP($A5406,Load!$B:$B,Load!J:J,0,)</f>
        <v>Seasonal Graphics (Like Bat, Ghost, Pumpkin, Fall Leaves, Eyeballs, etc.)</v>
      </c>
      <c r="J5406" t="str">
        <f>_xlfn.XLOOKUP($A5406,Load!$B:$B,Load!K:K,0,)</f>
        <v>Fun Size / Treat Size</v>
      </c>
      <c r="K5406" t="str">
        <f>_xlfn.XLOOKUP($A5406,Load!$B:$B,Load!L:L,0,)</f>
        <v>Regular/Original Wrapping</v>
      </c>
      <c r="L5406" t="str">
        <f>_xlfn.XLOOKUP($A5406,Load!$B:$B,Load!M:M,0,)</f>
        <v>Multiple Brands / Variety Flavors or Form</v>
      </c>
    </row>
    <row r="5407" spans="1:12" x14ac:dyDescent="0.25">
      <c r="B5407">
        <f>_xlfn.XLOOKUP($A5407,Load!$B:$B,Load!C:C,0,)</f>
        <v>0</v>
      </c>
      <c r="C5407">
        <f>_xlfn.XLOOKUP($A5407,Load!$B:$B,Load!D:D,0,)</f>
        <v>0</v>
      </c>
      <c r="D5407">
        <f>_xlfn.XLOOKUP($A5407,Load!$B:$B,Load!E:E,0,)</f>
        <v>0</v>
      </c>
      <c r="E5407">
        <f>_xlfn.XLOOKUP($A5407,Load!$B:$B,Load!F:F,0,)</f>
        <v>0</v>
      </c>
      <c r="F5407">
        <f>_xlfn.XLOOKUP($A5407,Load!$B:$B,Load!G:G,0,)</f>
        <v>0</v>
      </c>
      <c r="G5407">
        <f>_xlfn.XLOOKUP($A5407,Load!$B:$B,Load!H:H,0,)</f>
        <v>0</v>
      </c>
      <c r="H5407">
        <f>_xlfn.XLOOKUP($A5407,Load!$B:$B,Load!I:I,0,)</f>
        <v>0</v>
      </c>
      <c r="I5407">
        <f>_xlfn.XLOOKUP($A5407,Load!$B:$B,Load!J:J,0,)</f>
        <v>0</v>
      </c>
      <c r="J5407">
        <f>_xlfn.XLOOKUP($A5407,Load!$B:$B,Load!K:K,0,)</f>
        <v>0</v>
      </c>
      <c r="K5407">
        <f>_xlfn.XLOOKUP($A5407,Load!$B:$B,Load!L:L,0,)</f>
        <v>0</v>
      </c>
      <c r="L5407">
        <f>_xlfn.XLOOKUP($A5407,Load!$B:$B,Load!M:M,0,)</f>
        <v>0</v>
      </c>
    </row>
    <row r="5408" spans="1:12" x14ac:dyDescent="0.25">
      <c r="B5408">
        <f>_xlfn.XLOOKUP($A5408,Load!$B:$B,Load!C:C,0,)</f>
        <v>0</v>
      </c>
      <c r="C5408">
        <f>_xlfn.XLOOKUP($A5408,Load!$B:$B,Load!D:D,0,)</f>
        <v>0</v>
      </c>
      <c r="D5408">
        <f>_xlfn.XLOOKUP($A5408,Load!$B:$B,Load!E:E,0,)</f>
        <v>0</v>
      </c>
      <c r="E5408">
        <f>_xlfn.XLOOKUP($A5408,Load!$B:$B,Load!F:F,0,)</f>
        <v>0</v>
      </c>
      <c r="F5408">
        <f>_xlfn.XLOOKUP($A5408,Load!$B:$B,Load!G:G,0,)</f>
        <v>0</v>
      </c>
      <c r="G5408">
        <f>_xlfn.XLOOKUP($A5408,Load!$B:$B,Load!H:H,0,)</f>
        <v>0</v>
      </c>
      <c r="H5408">
        <f>_xlfn.XLOOKUP($A5408,Load!$B:$B,Load!I:I,0,)</f>
        <v>0</v>
      </c>
      <c r="I5408">
        <f>_xlfn.XLOOKUP($A5408,Load!$B:$B,Load!J:J,0,)</f>
        <v>0</v>
      </c>
      <c r="J5408">
        <f>_xlfn.XLOOKUP($A5408,Load!$B:$B,Load!K:K,0,)</f>
        <v>0</v>
      </c>
      <c r="K5408">
        <f>_xlfn.XLOOKUP($A5408,Load!$B:$B,Load!L:L,0,)</f>
        <v>0</v>
      </c>
      <c r="L5408">
        <f>_xlfn.XLOOKUP($A5408,Load!$B:$B,Load!M:M,0,)</f>
        <v>0</v>
      </c>
    </row>
    <row r="5409" spans="1:12" x14ac:dyDescent="0.25">
      <c r="B5409">
        <f>_xlfn.XLOOKUP($A5409,Load!$B:$B,Load!C:C,0,)</f>
        <v>0</v>
      </c>
      <c r="C5409">
        <f>_xlfn.XLOOKUP($A5409,Load!$B:$B,Load!D:D,0,)</f>
        <v>0</v>
      </c>
      <c r="D5409">
        <f>_xlfn.XLOOKUP($A5409,Load!$B:$B,Load!E:E,0,)</f>
        <v>0</v>
      </c>
      <c r="E5409">
        <f>_xlfn.XLOOKUP($A5409,Load!$B:$B,Load!F:F,0,)</f>
        <v>0</v>
      </c>
      <c r="F5409">
        <f>_xlfn.XLOOKUP($A5409,Load!$B:$B,Load!G:G,0,)</f>
        <v>0</v>
      </c>
      <c r="G5409">
        <f>_xlfn.XLOOKUP($A5409,Load!$B:$B,Load!H:H,0,)</f>
        <v>0</v>
      </c>
      <c r="H5409">
        <f>_xlfn.XLOOKUP($A5409,Load!$B:$B,Load!I:I,0,)</f>
        <v>0</v>
      </c>
      <c r="I5409">
        <f>_xlfn.XLOOKUP($A5409,Load!$B:$B,Load!J:J,0,)</f>
        <v>0</v>
      </c>
      <c r="J5409">
        <f>_xlfn.XLOOKUP($A5409,Load!$B:$B,Load!K:K,0,)</f>
        <v>0</v>
      </c>
      <c r="K5409">
        <f>_xlfn.XLOOKUP($A5409,Load!$B:$B,Load!L:L,0,)</f>
        <v>0</v>
      </c>
      <c r="L5409">
        <f>_xlfn.XLOOKUP($A5409,Load!$B:$B,Load!M:M,0,)</f>
        <v>0</v>
      </c>
    </row>
    <row r="5410" spans="1:12" x14ac:dyDescent="0.25">
      <c r="A5410" t="s">
        <v>151</v>
      </c>
      <c r="B5410" t="str">
        <f>_xlfn.XLOOKUP($A5410,Load!$B:$B,Load!C:C,0,)</f>
        <v>Jolly Rancher</v>
      </c>
      <c r="C5410" t="str">
        <f>_xlfn.XLOOKUP($A5410,Load!$B:$B,Load!D:D,0,)</f>
        <v>Non-Chocolate Candy Only</v>
      </c>
      <c r="D5410" t="str">
        <f>_xlfn.XLOOKUP($A5410,Load!$B:$B,Load!E:E,0,)</f>
        <v>Variety / Mixed Flavors (Fruity, Sour, Seasonal Flavors)</v>
      </c>
      <c r="E5410" t="str">
        <f>_xlfn.XLOOKUP($A5410,Load!$B:$B,Load!F:F,0,)</f>
        <v>Gummy</v>
      </c>
      <c r="F5410" t="str">
        <f>_xlfn.XLOOKUP($A5410,Load!$B:$B,Load!G:G,0,)</f>
        <v>Small Multipack (Less than 40 ct)</v>
      </c>
      <c r="G5410" t="str">
        <f>_xlfn.XLOOKUP($A5410,Load!$B:$B,Load!H:H,0,)</f>
        <v>Laydown Bag</v>
      </c>
      <c r="H5410" t="str">
        <f>_xlfn.XLOOKUP($A5410,Load!$B:$B,Load!I:I,0,)</f>
        <v>Everyday Candy Shapes (like Original, Gummy bear, Fruit, Jewels, etc.)</v>
      </c>
      <c r="I5410" t="str">
        <f>_xlfn.XLOOKUP($A5410,Load!$B:$B,Load!J:J,0,)</f>
        <v>Everyday Graphics</v>
      </c>
      <c r="J5410" t="str">
        <f>_xlfn.XLOOKUP($A5410,Load!$B:$B,Load!K:K,0,)</f>
        <v>Small Pieces (Tiny bite size candies)</v>
      </c>
      <c r="K5410" t="str">
        <f>_xlfn.XLOOKUP($A5410,Load!$B:$B,Load!L:L,0,)</f>
        <v>Regular/Original Wrapping</v>
      </c>
      <c r="L5410" t="str">
        <f>_xlfn.XLOOKUP($A5410,Load!$B:$B,Load!M:M,0,)</f>
        <v>Single Brand / Variety Flavors or Form</v>
      </c>
    </row>
    <row r="5411" spans="1:12" x14ac:dyDescent="0.25">
      <c r="B5411">
        <f>_xlfn.XLOOKUP($A5411,Load!$B:$B,Load!C:C,0,)</f>
        <v>0</v>
      </c>
      <c r="C5411">
        <f>_xlfn.XLOOKUP($A5411,Load!$B:$B,Load!D:D,0,)</f>
        <v>0</v>
      </c>
      <c r="D5411">
        <f>_xlfn.XLOOKUP($A5411,Load!$B:$B,Load!E:E,0,)</f>
        <v>0</v>
      </c>
      <c r="E5411">
        <f>_xlfn.XLOOKUP($A5411,Load!$B:$B,Load!F:F,0,)</f>
        <v>0</v>
      </c>
      <c r="F5411">
        <f>_xlfn.XLOOKUP($A5411,Load!$B:$B,Load!G:G,0,)</f>
        <v>0</v>
      </c>
      <c r="G5411">
        <f>_xlfn.XLOOKUP($A5411,Load!$B:$B,Load!H:H,0,)</f>
        <v>0</v>
      </c>
      <c r="H5411">
        <f>_xlfn.XLOOKUP($A5411,Load!$B:$B,Load!I:I,0,)</f>
        <v>0</v>
      </c>
      <c r="I5411">
        <f>_xlfn.XLOOKUP($A5411,Load!$B:$B,Load!J:J,0,)</f>
        <v>0</v>
      </c>
      <c r="J5411">
        <f>_xlfn.XLOOKUP($A5411,Load!$B:$B,Load!K:K,0,)</f>
        <v>0</v>
      </c>
      <c r="K5411">
        <f>_xlfn.XLOOKUP($A5411,Load!$B:$B,Load!L:L,0,)</f>
        <v>0</v>
      </c>
      <c r="L5411">
        <f>_xlfn.XLOOKUP($A5411,Load!$B:$B,Load!M:M,0,)</f>
        <v>0</v>
      </c>
    </row>
    <row r="5412" spans="1:12" x14ac:dyDescent="0.25">
      <c r="A5412" t="s">
        <v>129</v>
      </c>
      <c r="B5412" t="str">
        <f>_xlfn.XLOOKUP($A5412,Load!$B:$B,Load!C:C,0,)</f>
        <v>HARIBO</v>
      </c>
      <c r="C5412" t="str">
        <f>_xlfn.XLOOKUP($A5412,Load!$B:$B,Load!D:D,0,)</f>
        <v>Non-Chocolate Candy Only</v>
      </c>
      <c r="D5412" t="str">
        <f>_xlfn.XLOOKUP($A5412,Load!$B:$B,Load!E:E,0,)</f>
        <v>Fruit Flavor (Cherry, Grape, Apple, Citrus, Tropical Fruit)</v>
      </c>
      <c r="E5412" t="str">
        <f>_xlfn.XLOOKUP($A5412,Load!$B:$B,Load!F:F,0,)</f>
        <v>Gummy</v>
      </c>
      <c r="F5412" t="str">
        <f>_xlfn.XLOOKUP($A5412,Load!$B:$B,Load!G:G,0,)</f>
        <v>Single Pack</v>
      </c>
      <c r="G5412" t="str">
        <f>_xlfn.XLOOKUP($A5412,Load!$B:$B,Load!H:H,0,)</f>
        <v>Peg Bag</v>
      </c>
      <c r="H5412" t="str">
        <f>_xlfn.XLOOKUP($A5412,Load!$B:$B,Load!I:I,0,)</f>
        <v>Everyday Candy Shapes (like Original, Gummy bear, Fruit, Jewels, etc.)</v>
      </c>
      <c r="I5412" t="str">
        <f>_xlfn.XLOOKUP($A5412,Load!$B:$B,Load!J:J,0,)</f>
        <v>Everyday Graphics</v>
      </c>
      <c r="J5412" t="str">
        <f>_xlfn.XLOOKUP($A5412,Load!$B:$B,Load!K:K,0,)</f>
        <v>Small Pieces (Tiny bite size candies)</v>
      </c>
      <c r="K5412" t="str">
        <f>_xlfn.XLOOKUP($A5412,Load!$B:$B,Load!L:L,0,)</f>
        <v>Regular/Original Wrapping</v>
      </c>
      <c r="L5412" t="str">
        <f>_xlfn.XLOOKUP($A5412,Load!$B:$B,Load!M:M,0,)</f>
        <v>Single Brand / Variety Flavors or Form</v>
      </c>
    </row>
    <row r="5413" spans="1:12" x14ac:dyDescent="0.25">
      <c r="A5413" t="s">
        <v>285</v>
      </c>
      <c r="B5413" t="str">
        <f>_xlfn.XLOOKUP($A5413,Load!$B:$B,Load!C:C,0,)</f>
        <v>Starburst</v>
      </c>
      <c r="C5413" t="str">
        <f>_xlfn.XLOOKUP($A5413,Load!$B:$B,Load!D:D,0,)</f>
        <v>Non-Chocolate Candy Only</v>
      </c>
      <c r="D5413" t="str">
        <f>_xlfn.XLOOKUP($A5413,Load!$B:$B,Load!E:E,0,)</f>
        <v>Fruit Flavor (Cherry, Grape, Apple, Citrus, Tropical Fruit)</v>
      </c>
      <c r="E5413" t="str">
        <f>_xlfn.XLOOKUP($A5413,Load!$B:$B,Load!F:F,0,)</f>
        <v>Chewy</v>
      </c>
      <c r="F5413" t="str">
        <f>_xlfn.XLOOKUP($A5413,Load!$B:$B,Load!G:G,0,)</f>
        <v>Small Multipack (Less than 40 ct)</v>
      </c>
      <c r="G5413" t="str">
        <f>_xlfn.XLOOKUP($A5413,Load!$B:$B,Load!H:H,0,)</f>
        <v>Laydown Bag</v>
      </c>
      <c r="H5413" t="str">
        <f>_xlfn.XLOOKUP($A5413,Load!$B:$B,Load!I:I,0,)</f>
        <v>Everyday Candy Shapes (like Original, Gummy bear, Fruit, Jewels, etc.)</v>
      </c>
      <c r="I5413" t="str">
        <f>_xlfn.XLOOKUP($A5413,Load!$B:$B,Load!J:J,0,)</f>
        <v>Everyday Graphics</v>
      </c>
      <c r="J5413" t="str">
        <f>_xlfn.XLOOKUP($A5413,Load!$B:$B,Load!K:K,0,)</f>
        <v>Small Pieces (Tiny bite size candies)</v>
      </c>
      <c r="K5413" t="str">
        <f>_xlfn.XLOOKUP($A5413,Load!$B:$B,Load!L:L,0,)</f>
        <v>Regular/Original Wrapping</v>
      </c>
      <c r="L5413" t="str">
        <f>_xlfn.XLOOKUP($A5413,Load!$B:$B,Load!M:M,0,)</f>
        <v>Single Brand / Variety Flavors or Form</v>
      </c>
    </row>
    <row r="5414" spans="1:12" x14ac:dyDescent="0.25">
      <c r="B5414">
        <f>_xlfn.XLOOKUP($A5414,Load!$B:$B,Load!C:C,0,)</f>
        <v>0</v>
      </c>
      <c r="C5414">
        <f>_xlfn.XLOOKUP($A5414,Load!$B:$B,Load!D:D,0,)</f>
        <v>0</v>
      </c>
      <c r="D5414">
        <f>_xlfn.XLOOKUP($A5414,Load!$B:$B,Load!E:E,0,)</f>
        <v>0</v>
      </c>
      <c r="E5414">
        <f>_xlfn.XLOOKUP($A5414,Load!$B:$B,Load!F:F,0,)</f>
        <v>0</v>
      </c>
      <c r="F5414">
        <f>_xlfn.XLOOKUP($A5414,Load!$B:$B,Load!G:G,0,)</f>
        <v>0</v>
      </c>
      <c r="G5414">
        <f>_xlfn.XLOOKUP($A5414,Load!$B:$B,Load!H:H,0,)</f>
        <v>0</v>
      </c>
      <c r="H5414">
        <f>_xlfn.XLOOKUP($A5414,Load!$B:$B,Load!I:I,0,)</f>
        <v>0</v>
      </c>
      <c r="I5414">
        <f>_xlfn.XLOOKUP($A5414,Load!$B:$B,Load!J:J,0,)</f>
        <v>0</v>
      </c>
      <c r="J5414">
        <f>_xlfn.XLOOKUP($A5414,Load!$B:$B,Load!K:K,0,)</f>
        <v>0</v>
      </c>
      <c r="K5414">
        <f>_xlfn.XLOOKUP($A5414,Load!$B:$B,Load!L:L,0,)</f>
        <v>0</v>
      </c>
      <c r="L5414">
        <f>_xlfn.XLOOKUP($A5414,Load!$B:$B,Load!M:M,0,)</f>
        <v>0</v>
      </c>
    </row>
    <row r="5415" spans="1:12" x14ac:dyDescent="0.25">
      <c r="B5415">
        <f>_xlfn.XLOOKUP($A5415,Load!$B:$B,Load!C:C,0,)</f>
        <v>0</v>
      </c>
      <c r="C5415">
        <f>_xlfn.XLOOKUP($A5415,Load!$B:$B,Load!D:D,0,)</f>
        <v>0</v>
      </c>
      <c r="D5415">
        <f>_xlfn.XLOOKUP($A5415,Load!$B:$B,Load!E:E,0,)</f>
        <v>0</v>
      </c>
      <c r="E5415">
        <f>_xlfn.XLOOKUP($A5415,Load!$B:$B,Load!F:F,0,)</f>
        <v>0</v>
      </c>
      <c r="F5415">
        <f>_xlfn.XLOOKUP($A5415,Load!$B:$B,Load!G:G,0,)</f>
        <v>0</v>
      </c>
      <c r="G5415">
        <f>_xlfn.XLOOKUP($A5415,Load!$B:$B,Load!H:H,0,)</f>
        <v>0</v>
      </c>
      <c r="H5415">
        <f>_xlfn.XLOOKUP($A5415,Load!$B:$B,Load!I:I,0,)</f>
        <v>0</v>
      </c>
      <c r="I5415">
        <f>_xlfn.XLOOKUP($A5415,Load!$B:$B,Load!J:J,0,)</f>
        <v>0</v>
      </c>
      <c r="J5415">
        <f>_xlfn.XLOOKUP($A5415,Load!$B:$B,Load!K:K,0,)</f>
        <v>0</v>
      </c>
      <c r="K5415">
        <f>_xlfn.XLOOKUP($A5415,Load!$B:$B,Load!L:L,0,)</f>
        <v>0</v>
      </c>
      <c r="L5415">
        <f>_xlfn.XLOOKUP($A5415,Load!$B:$B,Load!M:M,0,)</f>
        <v>0</v>
      </c>
    </row>
    <row r="5416" spans="1:12" x14ac:dyDescent="0.25">
      <c r="A5416" t="s">
        <v>139</v>
      </c>
      <c r="B5416" t="str">
        <f>_xlfn.XLOOKUP($A5416,Load!$B:$B,Load!C:C,0,)</f>
        <v>Hershey's Variety Pack + Haribo</v>
      </c>
      <c r="C5416" t="str">
        <f>_xlfn.XLOOKUP($A5416,Load!$B:$B,Load!D:D,0,)</f>
        <v>Mix of Chocolate and Non-Chocolate Candy</v>
      </c>
      <c r="D5416" t="str">
        <f>_xlfn.XLOOKUP($A5416,Load!$B:$B,Load!E:E,0,)</f>
        <v>Variety / Mixed Flavors (Fruity, Sour, Seasonal Flavors)</v>
      </c>
      <c r="E5416" t="str">
        <f>_xlfn.XLOOKUP($A5416,Load!$B:$B,Load!F:F,0,)</f>
        <v>Mixed / Combo Packs (Gummy, Chewy, Taffy, etc.)</v>
      </c>
      <c r="F5416" t="str">
        <f>_xlfn.XLOOKUP($A5416,Load!$B:$B,Load!G:G,0,)</f>
        <v>Large Multipack (More than 80 ct)</v>
      </c>
      <c r="G5416" t="str">
        <f>_xlfn.XLOOKUP($A5416,Load!$B:$B,Load!H:H,0,)</f>
        <v>Stand-Up Bag</v>
      </c>
      <c r="H5416" t="str">
        <f>_xlfn.XLOOKUP($A5416,Load!$B:$B,Load!I:I,0,)</f>
        <v>Everyday Candy Shapes (like Original, Gummy bear, Fruit, Jewels, etc.)</v>
      </c>
      <c r="I5416" t="str">
        <f>_xlfn.XLOOKUP($A5416,Load!$B:$B,Load!J:J,0,)</f>
        <v>Seasonal Graphics (Like Bat, Ghost, Pumpkin, Fall Leaves, Eyeballs, etc.)</v>
      </c>
      <c r="J5416" t="str">
        <f>_xlfn.XLOOKUP($A5416,Load!$B:$B,Load!K:K,0,)</f>
        <v>Fun Size / Treat Size</v>
      </c>
      <c r="K5416" t="str">
        <f>_xlfn.XLOOKUP($A5416,Load!$B:$B,Load!L:L,0,)</f>
        <v>Regular/Original Wrapping</v>
      </c>
      <c r="L5416" t="str">
        <f>_xlfn.XLOOKUP($A5416,Load!$B:$B,Load!M:M,0,)</f>
        <v>Multiple Brands / Variety Flavors or Form</v>
      </c>
    </row>
    <row r="5417" spans="1:12" x14ac:dyDescent="0.25">
      <c r="A5417" t="s">
        <v>188</v>
      </c>
      <c r="B5417" t="str">
        <f>_xlfn.XLOOKUP($A5417,Load!$B:$B,Load!C:C,0,)</f>
        <v>Mars Variety Pack</v>
      </c>
      <c r="C5417" t="str">
        <f>_xlfn.XLOOKUP($A5417,Load!$B:$B,Load!D:D,0,)</f>
        <v>Non-Chocolate Candy Only</v>
      </c>
      <c r="D5417" t="str">
        <f>_xlfn.XLOOKUP($A5417,Load!$B:$B,Load!E:E,0,)</f>
        <v>Variety / Mixed Flavors (Fruity, Sour, Seasonal Flavors)</v>
      </c>
      <c r="E5417" t="str">
        <f>_xlfn.XLOOKUP($A5417,Load!$B:$B,Load!F:F,0,)</f>
        <v>Mixed / Combo Packs (Gummy, Chewy, Taffy, etc.)</v>
      </c>
      <c r="F5417" t="str">
        <f>_xlfn.XLOOKUP($A5417,Load!$B:$B,Load!G:G,0,)</f>
        <v>Large Multipack (More than 80 ct)</v>
      </c>
      <c r="G5417" t="str">
        <f>_xlfn.XLOOKUP($A5417,Load!$B:$B,Load!H:H,0,)</f>
        <v>Laydown Bag</v>
      </c>
      <c r="H5417" t="str">
        <f>_xlfn.XLOOKUP($A5417,Load!$B:$B,Load!I:I,0,)</f>
        <v>Everyday Candy Shapes (like Original, Gummy bear, Fruit, Jewels, etc.)</v>
      </c>
      <c r="I5417" t="str">
        <f>_xlfn.XLOOKUP($A5417,Load!$B:$B,Load!J:J,0,)</f>
        <v>Everyday Graphics</v>
      </c>
      <c r="J5417" t="str">
        <f>_xlfn.XLOOKUP($A5417,Load!$B:$B,Load!K:K,0,)</f>
        <v>Small Pieces (Tiny bite size candies)</v>
      </c>
      <c r="K5417" t="str">
        <f>_xlfn.XLOOKUP($A5417,Load!$B:$B,Load!L:L,0,)</f>
        <v>Regular/Original Wrapping</v>
      </c>
      <c r="L5417" t="str">
        <f>_xlfn.XLOOKUP($A5417,Load!$B:$B,Load!M:M,0,)</f>
        <v>Multiple Brands / Variety Flavors or Form</v>
      </c>
    </row>
    <row r="5418" spans="1:12" x14ac:dyDescent="0.25">
      <c r="A5418" t="s">
        <v>138</v>
      </c>
      <c r="B5418" t="str">
        <f>_xlfn.XLOOKUP($A5418,Load!$B:$B,Load!C:C,0,)</f>
        <v>Hershey's Variety Pack + Haribo</v>
      </c>
      <c r="C5418" t="str">
        <f>_xlfn.XLOOKUP($A5418,Load!$B:$B,Load!D:D,0,)</f>
        <v>Non-Chocolate Candy Only</v>
      </c>
      <c r="D5418" t="str">
        <f>_xlfn.XLOOKUP($A5418,Load!$B:$B,Load!E:E,0,)</f>
        <v>Variety / Mixed Flavors (Fruity, Sour, Seasonal Flavors)</v>
      </c>
      <c r="E5418" t="str">
        <f>_xlfn.XLOOKUP($A5418,Load!$B:$B,Load!F:F,0,)</f>
        <v>Mixed / Combo Packs (Gummy, Chewy, Taffy, etc.)</v>
      </c>
      <c r="F5418" t="str">
        <f>_xlfn.XLOOKUP($A5418,Load!$B:$B,Load!G:G,0,)</f>
        <v>Medium Multipack (40–80 ct)</v>
      </c>
      <c r="G5418" t="str">
        <f>_xlfn.XLOOKUP($A5418,Load!$B:$B,Load!H:H,0,)</f>
        <v>Laydown Bag</v>
      </c>
      <c r="H5418" t="str">
        <f>_xlfn.XLOOKUP($A5418,Load!$B:$B,Load!I:I,0,)</f>
        <v>Everyday Candy Shapes (like Original, Gummy bear, Fruit, Jewels, etc.)</v>
      </c>
      <c r="I5418" t="str">
        <f>_xlfn.XLOOKUP($A5418,Load!$B:$B,Load!J:J,0,)</f>
        <v>Seasonal Graphics (Like Bat, Ghost, Pumpkin, Fall Leaves, Eyeballs, etc.)</v>
      </c>
      <c r="J5418" t="str">
        <f>_xlfn.XLOOKUP($A5418,Load!$B:$B,Load!K:K,0,)</f>
        <v>Fun Size / Treat Size</v>
      </c>
      <c r="K5418" t="str">
        <f>_xlfn.XLOOKUP($A5418,Load!$B:$B,Load!L:L,0,)</f>
        <v>Regular/Original Wrapping</v>
      </c>
      <c r="L5418" t="str">
        <f>_xlfn.XLOOKUP($A5418,Load!$B:$B,Load!M:M,0,)</f>
        <v>Multiple Brands / Variety Flavors or Form</v>
      </c>
    </row>
    <row r="5419" spans="1:12" x14ac:dyDescent="0.25">
      <c r="B5419">
        <f>_xlfn.XLOOKUP($A5419,Load!$B:$B,Load!C:C,0,)</f>
        <v>0</v>
      </c>
      <c r="C5419">
        <f>_xlfn.XLOOKUP($A5419,Load!$B:$B,Load!D:D,0,)</f>
        <v>0</v>
      </c>
      <c r="D5419">
        <f>_xlfn.XLOOKUP($A5419,Load!$B:$B,Load!E:E,0,)</f>
        <v>0</v>
      </c>
      <c r="E5419">
        <f>_xlfn.XLOOKUP($A5419,Load!$B:$B,Load!F:F,0,)</f>
        <v>0</v>
      </c>
      <c r="F5419">
        <f>_xlfn.XLOOKUP($A5419,Load!$B:$B,Load!G:G,0,)</f>
        <v>0</v>
      </c>
      <c r="G5419">
        <f>_xlfn.XLOOKUP($A5419,Load!$B:$B,Load!H:H,0,)</f>
        <v>0</v>
      </c>
      <c r="H5419">
        <f>_xlfn.XLOOKUP($A5419,Load!$B:$B,Load!I:I,0,)</f>
        <v>0</v>
      </c>
      <c r="I5419">
        <f>_xlfn.XLOOKUP($A5419,Load!$B:$B,Load!J:J,0,)</f>
        <v>0</v>
      </c>
      <c r="J5419">
        <f>_xlfn.XLOOKUP($A5419,Load!$B:$B,Load!K:K,0,)</f>
        <v>0</v>
      </c>
      <c r="K5419">
        <f>_xlfn.XLOOKUP($A5419,Load!$B:$B,Load!L:L,0,)</f>
        <v>0</v>
      </c>
      <c r="L5419">
        <f>_xlfn.XLOOKUP($A5419,Load!$B:$B,Load!M:M,0,)</f>
        <v>0</v>
      </c>
    </row>
    <row r="5420" spans="1:12" x14ac:dyDescent="0.25">
      <c r="A5420" t="s">
        <v>180</v>
      </c>
      <c r="B5420" t="str">
        <f>_xlfn.XLOOKUP($A5420,Load!$B:$B,Load!C:C,0,)</f>
        <v>Mars Variety Pack</v>
      </c>
      <c r="C5420" t="str">
        <f>_xlfn.XLOOKUP($A5420,Load!$B:$B,Load!D:D,0,)</f>
        <v>Mix of Chocolate and Non-Chocolate Candy</v>
      </c>
      <c r="D5420" t="str">
        <f>_xlfn.XLOOKUP($A5420,Load!$B:$B,Load!E:E,0,)</f>
        <v>Variety / Mixed Flavors (Fruity, Sour, Seasonal Flavors)</v>
      </c>
      <c r="E5420" t="str">
        <f>_xlfn.XLOOKUP($A5420,Load!$B:$B,Load!F:F,0,)</f>
        <v>Mixed / Combo Packs (Gummy, Chewy, Taffy, etc.)</v>
      </c>
      <c r="F5420" t="str">
        <f>_xlfn.XLOOKUP($A5420,Load!$B:$B,Load!G:G,0,)</f>
        <v>Large Multipack (More than 80 ct)</v>
      </c>
      <c r="G5420" t="str">
        <f>_xlfn.XLOOKUP($A5420,Load!$B:$B,Load!H:H,0,)</f>
        <v>Stand-Up Bag</v>
      </c>
      <c r="H5420" t="str">
        <f>_xlfn.XLOOKUP($A5420,Load!$B:$B,Load!I:I,0,)</f>
        <v>Everyday Candy Shapes (like Original, Gummy bear, Fruit, Jewels, etc.)</v>
      </c>
      <c r="I5420" t="str">
        <f>_xlfn.XLOOKUP($A5420,Load!$B:$B,Load!J:J,0,)</f>
        <v>Seasonal Graphics (Like Bat, Ghost, Pumpkin, Fall Leaves, Eyeballs, etc.)</v>
      </c>
      <c r="J5420" t="str">
        <f>_xlfn.XLOOKUP($A5420,Load!$B:$B,Load!K:K,0,)</f>
        <v>Fun Size / Treat Size</v>
      </c>
      <c r="K5420" t="str">
        <f>_xlfn.XLOOKUP($A5420,Load!$B:$B,Load!L:L,0,)</f>
        <v>Regular/Original Wrapping</v>
      </c>
      <c r="L5420" t="str">
        <f>_xlfn.XLOOKUP($A5420,Load!$B:$B,Load!M:M,0,)</f>
        <v>Multiple Brands / Variety Flavors or Form</v>
      </c>
    </row>
    <row r="5421" spans="1:12" x14ac:dyDescent="0.25">
      <c r="A5421" t="s">
        <v>96</v>
      </c>
      <c r="B5421" t="str">
        <f>_xlfn.XLOOKUP($A5421,Load!$B:$B,Load!C:C,0,)</f>
        <v>Ferrero Variety Pack</v>
      </c>
      <c r="C5421" t="str">
        <f>_xlfn.XLOOKUP($A5421,Load!$B:$B,Load!D:D,0,)</f>
        <v>Mix of Chocolate and Non-Chocolate Candy</v>
      </c>
      <c r="D5421" t="str">
        <f>_xlfn.XLOOKUP($A5421,Load!$B:$B,Load!E:E,0,)</f>
        <v>Variety / Mixed Flavors (Fruity, Sour, Seasonal Flavors)</v>
      </c>
      <c r="E5421" t="str">
        <f>_xlfn.XLOOKUP($A5421,Load!$B:$B,Load!F:F,0,)</f>
        <v>Mixed / Combo Packs (Gummy, Chewy, Taffy, etc.)</v>
      </c>
      <c r="F5421" t="str">
        <f>_xlfn.XLOOKUP($A5421,Load!$B:$B,Load!G:G,0,)</f>
        <v>Large Multipack (More than 80 ct)</v>
      </c>
      <c r="G5421" t="str">
        <f>_xlfn.XLOOKUP($A5421,Load!$B:$B,Load!H:H,0,)</f>
        <v>Stand-Up Bag</v>
      </c>
      <c r="H5421" t="str">
        <f>_xlfn.XLOOKUP($A5421,Load!$B:$B,Load!I:I,0,)</f>
        <v>Everyday Candy Shapes (like Original, Gummy bear, Fruit, Jewels, etc.)</v>
      </c>
      <c r="I5421" t="str">
        <f>_xlfn.XLOOKUP($A5421,Load!$B:$B,Load!J:J,0,)</f>
        <v>Seasonal Graphics (Like Bat, Ghost, Pumpkin, Fall Leaves, Eyeballs, etc.)</v>
      </c>
      <c r="J5421" t="str">
        <f>_xlfn.XLOOKUP($A5421,Load!$B:$B,Load!K:K,0,)</f>
        <v>Fun Size / Treat Size</v>
      </c>
      <c r="K5421" t="str">
        <f>_xlfn.XLOOKUP($A5421,Load!$B:$B,Load!L:L,0,)</f>
        <v>Regular/Original Wrapping</v>
      </c>
      <c r="L5421" t="str">
        <f>_xlfn.XLOOKUP($A5421,Load!$B:$B,Load!M:M,0,)</f>
        <v>Multiple Brands / Variety Flavors or Form</v>
      </c>
    </row>
    <row r="5422" spans="1:12" x14ac:dyDescent="0.25">
      <c r="A5422" t="s">
        <v>246</v>
      </c>
      <c r="B5422" t="str">
        <f>_xlfn.XLOOKUP($A5422,Load!$B:$B,Load!C:C,0,)</f>
        <v>Ring Pop</v>
      </c>
      <c r="C5422" t="str">
        <f>_xlfn.XLOOKUP($A5422,Load!$B:$B,Load!D:D,0,)</f>
        <v>Non-Chocolate Candy Only</v>
      </c>
      <c r="D5422" t="str">
        <f>_xlfn.XLOOKUP($A5422,Load!$B:$B,Load!E:E,0,)</f>
        <v>Variety / Mixed Flavors (Fruity, Sour, Seasonal Flavors)</v>
      </c>
      <c r="E5422" t="str">
        <f>_xlfn.XLOOKUP($A5422,Load!$B:$B,Load!F:F,0,)</f>
        <v>Lollipop (regular or lollipop rings)</v>
      </c>
      <c r="F5422" t="str">
        <f>_xlfn.XLOOKUP($A5422,Load!$B:$B,Load!G:G,0,)</f>
        <v>Single Pack</v>
      </c>
      <c r="G5422" t="str">
        <f>_xlfn.XLOOKUP($A5422,Load!$B:$B,Load!H:H,0,)</f>
        <v>Laydown Bag</v>
      </c>
      <c r="H5422" t="str">
        <f>_xlfn.XLOOKUP($A5422,Load!$B:$B,Load!I:I,0,)</f>
        <v>Everyday Candy Shapes (like Original, Gummy bear, Fruit, Jewels, etc.)</v>
      </c>
      <c r="I5422" t="str">
        <f>_xlfn.XLOOKUP($A5422,Load!$B:$B,Load!J:J,0,)</f>
        <v>Seasonal Graphics (Like Bat, Ghost, Pumpkin, Fall Leaves, Eyeballs, etc.)</v>
      </c>
      <c r="J5422" t="str">
        <f>_xlfn.XLOOKUP($A5422,Load!$B:$B,Load!K:K,0,)</f>
        <v>Regular Lollipop size (on sticks or rings)</v>
      </c>
      <c r="K5422" t="str">
        <f>_xlfn.XLOOKUP($A5422,Load!$B:$B,Load!L:L,0,)</f>
        <v>Regular/Original Wrapping</v>
      </c>
      <c r="L5422" t="str">
        <f>_xlfn.XLOOKUP($A5422,Load!$B:$B,Load!M:M,0,)</f>
        <v>Single Brand / Variety Flavors or Form</v>
      </c>
    </row>
    <row r="5423" spans="1:12" x14ac:dyDescent="0.25">
      <c r="A5423" t="s">
        <v>74</v>
      </c>
      <c r="B5423" t="str">
        <f>_xlfn.XLOOKUP($A5423,Load!$B:$B,Load!C:C,0,)</f>
        <v>Dum Dums</v>
      </c>
      <c r="C5423" t="str">
        <f>_xlfn.XLOOKUP($A5423,Load!$B:$B,Load!D:D,0,)</f>
        <v>Non-Chocolate Candy Only</v>
      </c>
      <c r="D5423" t="str">
        <f>_xlfn.XLOOKUP($A5423,Load!$B:$B,Load!E:E,0,)</f>
        <v>Variety / Mixed Flavors (Fruity, Sour, Seasonal Flavors)</v>
      </c>
      <c r="E5423" t="str">
        <f>_xlfn.XLOOKUP($A5423,Load!$B:$B,Load!F:F,0,)</f>
        <v>Lollipop (regular or lollipop rings)</v>
      </c>
      <c r="F5423" t="str">
        <f>_xlfn.XLOOKUP($A5423,Load!$B:$B,Load!G:G,0,)</f>
        <v>Single Pack</v>
      </c>
      <c r="G5423" t="str">
        <f>_xlfn.XLOOKUP($A5423,Load!$B:$B,Load!H:H,0,)</f>
        <v>Laydown Bag</v>
      </c>
      <c r="H5423" t="str">
        <f>_xlfn.XLOOKUP($A5423,Load!$B:$B,Load!I:I,0,)</f>
        <v>Everyday Candy Shapes (like Original, Gummy bear, Fruit, Jewels, etc.)</v>
      </c>
      <c r="I5423" t="str">
        <f>_xlfn.XLOOKUP($A5423,Load!$B:$B,Load!J:J,0,)</f>
        <v>Seasonal Graphics (Like Bat, Ghost, Pumpkin, Fall Leaves, Eyeballs, etc.)</v>
      </c>
      <c r="J5423" t="str">
        <f>_xlfn.XLOOKUP($A5423,Load!$B:$B,Load!K:K,0,)</f>
        <v>Regular Lollipop size (on sticks or rings)</v>
      </c>
      <c r="K5423" t="str">
        <f>_xlfn.XLOOKUP($A5423,Load!$B:$B,Load!L:L,0,)</f>
        <v>Regular/Original Wrapping</v>
      </c>
      <c r="L5423" t="str">
        <f>_xlfn.XLOOKUP($A5423,Load!$B:$B,Load!M:M,0,)</f>
        <v>Single Brand / Variety Flavors or Form</v>
      </c>
    </row>
    <row r="5424" spans="1:12" x14ac:dyDescent="0.25">
      <c r="A5424" t="s">
        <v>247</v>
      </c>
      <c r="B5424" t="str">
        <f>_xlfn.XLOOKUP($A5424,Load!$B:$B,Load!C:C,0,)</f>
        <v>Rolling Pin</v>
      </c>
      <c r="C5424" t="str">
        <f>_xlfn.XLOOKUP($A5424,Load!$B:$B,Load!D:D,0,)</f>
        <v>Non-Chocolate Candy Only</v>
      </c>
      <c r="D5424" t="str">
        <f>_xlfn.XLOOKUP($A5424,Load!$B:$B,Load!E:E,0,)</f>
        <v>Fruit Flavor (Cherry, Grape, Apple, Citrus, Tropical Fruit)</v>
      </c>
      <c r="E5424" t="str">
        <f>_xlfn.XLOOKUP($A5424,Load!$B:$B,Load!F:F,0,)</f>
        <v>Gummy</v>
      </c>
      <c r="F5424" t="str">
        <f>_xlfn.XLOOKUP($A5424,Load!$B:$B,Load!G:G,0,)</f>
        <v>Single Pack</v>
      </c>
      <c r="G5424" t="str">
        <f>_xlfn.XLOOKUP($A5424,Load!$B:$B,Load!H:H,0,)</f>
        <v>Peg Bag</v>
      </c>
      <c r="H5424" t="str">
        <f>_xlfn.XLOOKUP($A5424,Load!$B:$B,Load!I:I,0,)</f>
        <v>Seasonal Shapes (like pumpkins, candy corn, ghost, bats, etc.)</v>
      </c>
      <c r="I5424" t="str">
        <f>_xlfn.XLOOKUP($A5424,Load!$B:$B,Load!J:J,0,)</f>
        <v>Seasonal Graphics (Like Bat, Ghost, Pumpkin, Fall Leaves, Eyeballs, etc.)</v>
      </c>
      <c r="J5424" t="str">
        <f>_xlfn.XLOOKUP($A5424,Load!$B:$B,Load!K:K,0,)</f>
        <v>Small Pieces (Tiny bite size candies)</v>
      </c>
      <c r="K5424" t="str">
        <f>_xlfn.XLOOKUP($A5424,Load!$B:$B,Load!L:L,0,)</f>
        <v>Unwrapped</v>
      </c>
      <c r="L5424" t="str">
        <f>_xlfn.XLOOKUP($A5424,Load!$B:$B,Load!M:M,0,)</f>
        <v>Single Brand / Single Flavor or Form</v>
      </c>
    </row>
    <row r="5425" spans="1:12" x14ac:dyDescent="0.25">
      <c r="B5425">
        <f>_xlfn.XLOOKUP($A5425,Load!$B:$B,Load!C:C,0,)</f>
        <v>0</v>
      </c>
      <c r="C5425">
        <f>_xlfn.XLOOKUP($A5425,Load!$B:$B,Load!D:D,0,)</f>
        <v>0</v>
      </c>
      <c r="D5425">
        <f>_xlfn.XLOOKUP($A5425,Load!$B:$B,Load!E:E,0,)</f>
        <v>0</v>
      </c>
      <c r="E5425">
        <f>_xlfn.XLOOKUP($A5425,Load!$B:$B,Load!F:F,0,)</f>
        <v>0</v>
      </c>
      <c r="F5425">
        <f>_xlfn.XLOOKUP($A5425,Load!$B:$B,Load!G:G,0,)</f>
        <v>0</v>
      </c>
      <c r="G5425">
        <f>_xlfn.XLOOKUP($A5425,Load!$B:$B,Load!H:H,0,)</f>
        <v>0</v>
      </c>
      <c r="H5425">
        <f>_xlfn.XLOOKUP($A5425,Load!$B:$B,Load!I:I,0,)</f>
        <v>0</v>
      </c>
      <c r="I5425">
        <f>_xlfn.XLOOKUP($A5425,Load!$B:$B,Load!J:J,0,)</f>
        <v>0</v>
      </c>
      <c r="J5425">
        <f>_xlfn.XLOOKUP($A5425,Load!$B:$B,Load!K:K,0,)</f>
        <v>0</v>
      </c>
      <c r="K5425">
        <f>_xlfn.XLOOKUP($A5425,Load!$B:$B,Load!L:L,0,)</f>
        <v>0</v>
      </c>
      <c r="L5425">
        <f>_xlfn.XLOOKUP($A5425,Load!$B:$B,Load!M:M,0,)</f>
        <v>0</v>
      </c>
    </row>
    <row r="5426" spans="1:12" x14ac:dyDescent="0.25">
      <c r="A5426" t="s">
        <v>120</v>
      </c>
      <c r="B5426" t="str">
        <f>_xlfn.XLOOKUP($A5426,Load!$B:$B,Load!C:C,0,)</f>
        <v>HARIBO</v>
      </c>
      <c r="C5426" t="str">
        <f>_xlfn.XLOOKUP($A5426,Load!$B:$B,Load!D:D,0,)</f>
        <v>Non-Chocolate Candy Only</v>
      </c>
      <c r="D5426" t="str">
        <f>_xlfn.XLOOKUP($A5426,Load!$B:$B,Load!E:E,0,)</f>
        <v>Variety / Mixed Flavors (Fruity, Sour, Seasonal Flavors)</v>
      </c>
      <c r="E5426" t="str">
        <f>_xlfn.XLOOKUP($A5426,Load!$B:$B,Load!F:F,0,)</f>
        <v>Mixed / Combo Packs (Gummy, Chewy, Taffy, etc.)</v>
      </c>
      <c r="F5426" t="str">
        <f>_xlfn.XLOOKUP($A5426,Load!$B:$B,Load!G:G,0,)</f>
        <v>Medium Multipack (40–80 ct)</v>
      </c>
      <c r="G5426" t="str">
        <f>_xlfn.XLOOKUP($A5426,Load!$B:$B,Load!H:H,0,)</f>
        <v>Laydown Bag</v>
      </c>
      <c r="H5426" t="str">
        <f>_xlfn.XLOOKUP($A5426,Load!$B:$B,Load!I:I,0,)</f>
        <v>Seasonal Shapes (like pumpkins, candy corn, ghost, bats, etc.)</v>
      </c>
      <c r="I5426" t="str">
        <f>_xlfn.XLOOKUP($A5426,Load!$B:$B,Load!J:J,0,)</f>
        <v>Seasonal Graphics (Like Bat, Ghost, Pumpkin, Fall Leaves, Eyeballs, etc.)</v>
      </c>
      <c r="J5426" t="str">
        <f>_xlfn.XLOOKUP($A5426,Load!$B:$B,Load!K:K,0,)</f>
        <v>Small Pieces (Tiny bite size candies)</v>
      </c>
      <c r="K5426" t="str">
        <f>_xlfn.XLOOKUP($A5426,Load!$B:$B,Load!L:L,0,)</f>
        <v>Regular/Original Wrapping</v>
      </c>
      <c r="L5426" t="str">
        <f>_xlfn.XLOOKUP($A5426,Load!$B:$B,Load!M:M,0,)</f>
        <v>Single Brand / Variety Flavors or Form</v>
      </c>
    </row>
    <row r="5427" spans="1:12" x14ac:dyDescent="0.25">
      <c r="B5427">
        <f>_xlfn.XLOOKUP($A5427,Load!$B:$B,Load!C:C,0,)</f>
        <v>0</v>
      </c>
      <c r="C5427">
        <f>_xlfn.XLOOKUP($A5427,Load!$B:$B,Load!D:D,0,)</f>
        <v>0</v>
      </c>
      <c r="D5427">
        <f>_xlfn.XLOOKUP($A5427,Load!$B:$B,Load!E:E,0,)</f>
        <v>0</v>
      </c>
      <c r="E5427">
        <f>_xlfn.XLOOKUP($A5427,Load!$B:$B,Load!F:F,0,)</f>
        <v>0</v>
      </c>
      <c r="F5427">
        <f>_xlfn.XLOOKUP($A5427,Load!$B:$B,Load!G:G,0,)</f>
        <v>0</v>
      </c>
      <c r="G5427">
        <f>_xlfn.XLOOKUP($A5427,Load!$B:$B,Load!H:H,0,)</f>
        <v>0</v>
      </c>
      <c r="H5427">
        <f>_xlfn.XLOOKUP($A5427,Load!$B:$B,Load!I:I,0,)</f>
        <v>0</v>
      </c>
      <c r="I5427">
        <f>_xlfn.XLOOKUP($A5427,Load!$B:$B,Load!J:J,0,)</f>
        <v>0</v>
      </c>
      <c r="J5427">
        <f>_xlfn.XLOOKUP($A5427,Load!$B:$B,Load!K:K,0,)</f>
        <v>0</v>
      </c>
      <c r="K5427">
        <f>_xlfn.XLOOKUP($A5427,Load!$B:$B,Load!L:L,0,)</f>
        <v>0</v>
      </c>
      <c r="L5427">
        <f>_xlfn.XLOOKUP($A5427,Load!$B:$B,Load!M:M,0,)</f>
        <v>0</v>
      </c>
    </row>
    <row r="5428" spans="1:12" x14ac:dyDescent="0.25">
      <c r="A5428" t="s">
        <v>172</v>
      </c>
      <c r="B5428" t="str">
        <f>_xlfn.XLOOKUP($A5428,Load!$B:$B,Load!C:C,0,)</f>
        <v>Mars Variety Pack</v>
      </c>
      <c r="C5428" t="str">
        <f>_xlfn.XLOOKUP($A5428,Load!$B:$B,Load!D:D,0,)</f>
        <v>Non-Chocolate Candy Only</v>
      </c>
      <c r="D5428" t="str">
        <f>_xlfn.XLOOKUP($A5428,Load!$B:$B,Load!E:E,0,)</f>
        <v>Variety / Mixed Flavors (Fruity, Sour, Seasonal Flavors)</v>
      </c>
      <c r="E5428" t="str">
        <f>_xlfn.XLOOKUP($A5428,Load!$B:$B,Load!F:F,0,)</f>
        <v>Mixed / Combo Packs (Gummy, Chewy, Taffy, etc.)</v>
      </c>
      <c r="F5428" t="str">
        <f>_xlfn.XLOOKUP($A5428,Load!$B:$B,Load!G:G,0,)</f>
        <v>Small Multipack (Less than 40 ct)</v>
      </c>
      <c r="G5428" t="str">
        <f>_xlfn.XLOOKUP($A5428,Load!$B:$B,Load!H:H,0,)</f>
        <v>Laydown Bag</v>
      </c>
      <c r="H5428" t="str">
        <f>_xlfn.XLOOKUP($A5428,Load!$B:$B,Load!I:I,0,)</f>
        <v>Everyday Candy Shapes (like Original, Gummy bear, Fruit, Jewels, etc.)</v>
      </c>
      <c r="I5428" t="str">
        <f>_xlfn.XLOOKUP($A5428,Load!$B:$B,Load!J:J,0,)</f>
        <v>Seasonal Graphics (Like Bat, Ghost, Pumpkin, Fall Leaves, Eyeballs, etc.)</v>
      </c>
      <c r="J5428" t="str">
        <f>_xlfn.XLOOKUP($A5428,Load!$B:$B,Load!K:K,0,)</f>
        <v>Fun Size / Treat Size</v>
      </c>
      <c r="K5428" t="str">
        <f>_xlfn.XLOOKUP($A5428,Load!$B:$B,Load!L:L,0,)</f>
        <v>Regular/Original Wrapping</v>
      </c>
      <c r="L5428" t="str">
        <f>_xlfn.XLOOKUP($A5428,Load!$B:$B,Load!M:M,0,)</f>
        <v>Multiple Brands / Variety Flavors or Form</v>
      </c>
    </row>
    <row r="5429" spans="1:12" x14ac:dyDescent="0.25">
      <c r="B5429">
        <f>_xlfn.XLOOKUP($A5429,Load!$B:$B,Load!C:C,0,)</f>
        <v>0</v>
      </c>
      <c r="C5429">
        <f>_xlfn.XLOOKUP($A5429,Load!$B:$B,Load!D:D,0,)</f>
        <v>0</v>
      </c>
      <c r="D5429">
        <f>_xlfn.XLOOKUP($A5429,Load!$B:$B,Load!E:E,0,)</f>
        <v>0</v>
      </c>
      <c r="E5429">
        <f>_xlfn.XLOOKUP($A5429,Load!$B:$B,Load!F:F,0,)</f>
        <v>0</v>
      </c>
      <c r="F5429">
        <f>_xlfn.XLOOKUP($A5429,Load!$B:$B,Load!G:G,0,)</f>
        <v>0</v>
      </c>
      <c r="G5429">
        <f>_xlfn.XLOOKUP($A5429,Load!$B:$B,Load!H:H,0,)</f>
        <v>0</v>
      </c>
      <c r="H5429">
        <f>_xlfn.XLOOKUP($A5429,Load!$B:$B,Load!I:I,0,)</f>
        <v>0</v>
      </c>
      <c r="I5429">
        <f>_xlfn.XLOOKUP($A5429,Load!$B:$B,Load!J:J,0,)</f>
        <v>0</v>
      </c>
      <c r="J5429">
        <f>_xlfn.XLOOKUP($A5429,Load!$B:$B,Load!K:K,0,)</f>
        <v>0</v>
      </c>
      <c r="K5429">
        <f>_xlfn.XLOOKUP($A5429,Load!$B:$B,Load!L:L,0,)</f>
        <v>0</v>
      </c>
      <c r="L5429">
        <f>_xlfn.XLOOKUP($A5429,Load!$B:$B,Load!M:M,0,)</f>
        <v>0</v>
      </c>
    </row>
    <row r="5430" spans="1:12" x14ac:dyDescent="0.25">
      <c r="A5430" t="s">
        <v>92</v>
      </c>
      <c r="B5430" t="str">
        <f>_xlfn.XLOOKUP($A5430,Load!$B:$B,Load!C:C,0,)</f>
        <v>Ferrara Variety Pack</v>
      </c>
      <c r="C5430" t="str">
        <f>_xlfn.XLOOKUP($A5430,Load!$B:$B,Load!D:D,0,)</f>
        <v>Non-Chocolate Candy Only</v>
      </c>
      <c r="D5430" t="str">
        <f>_xlfn.XLOOKUP($A5430,Load!$B:$B,Load!E:E,0,)</f>
        <v>Variety / Mixed Flavors (Fruity, Sour, Seasonal Flavors)</v>
      </c>
      <c r="E5430" t="str">
        <f>_xlfn.XLOOKUP($A5430,Load!$B:$B,Load!F:F,0,)</f>
        <v>Mixed / Combo Packs (Gummy, Chewy, Taffy, etc.)</v>
      </c>
      <c r="F5430" t="str">
        <f>_xlfn.XLOOKUP($A5430,Load!$B:$B,Load!G:G,0,)</f>
        <v>Large Multipack (More than 80 ct)</v>
      </c>
      <c r="G5430" t="str">
        <f>_xlfn.XLOOKUP($A5430,Load!$B:$B,Load!H:H,0,)</f>
        <v>Stand-Up Bag</v>
      </c>
      <c r="H5430" t="str">
        <f>_xlfn.XLOOKUP($A5430,Load!$B:$B,Load!I:I,0,)</f>
        <v>Everyday Candy Shapes (like Original, Gummy bear, Fruit, Jewels, etc.)</v>
      </c>
      <c r="I5430" t="str">
        <f>_xlfn.XLOOKUP($A5430,Load!$B:$B,Load!J:J,0,)</f>
        <v>Seasonal Graphics (Like Bat, Ghost, Pumpkin, Fall Leaves, Eyeballs, etc.)</v>
      </c>
      <c r="J5430" t="str">
        <f>_xlfn.XLOOKUP($A5430,Load!$B:$B,Load!K:K,0,)</f>
        <v xml:space="preserve">Variety Candy Sizes </v>
      </c>
      <c r="K5430" t="str">
        <f>_xlfn.XLOOKUP($A5430,Load!$B:$B,Load!L:L,0,)</f>
        <v>Regular/Original Wrapping</v>
      </c>
      <c r="L5430" t="str">
        <f>_xlfn.XLOOKUP($A5430,Load!$B:$B,Load!M:M,0,)</f>
        <v>Multiple Brands / Variety Flavors or Form</v>
      </c>
    </row>
    <row r="5431" spans="1:12" x14ac:dyDescent="0.25">
      <c r="A5431" t="s">
        <v>201</v>
      </c>
      <c r="B5431" t="str">
        <f>_xlfn.XLOOKUP($A5431,Load!$B:$B,Load!C:C,0,)</f>
        <v>Mars Variety Pack</v>
      </c>
      <c r="C5431" t="str">
        <f>_xlfn.XLOOKUP($A5431,Load!$B:$B,Load!D:D,0,)</f>
        <v>Non-Chocolate Candy Only</v>
      </c>
      <c r="D5431" t="str">
        <f>_xlfn.XLOOKUP($A5431,Load!$B:$B,Load!E:E,0,)</f>
        <v>Variety / Mixed Flavors (Fruity, Sour, Seasonal Flavors)</v>
      </c>
      <c r="E5431" t="str">
        <f>_xlfn.XLOOKUP($A5431,Load!$B:$B,Load!F:F,0,)</f>
        <v>Mixed / Combo Packs (Gummy, Chewy, Taffy, etc.)</v>
      </c>
      <c r="F5431" t="str">
        <f>_xlfn.XLOOKUP($A5431,Load!$B:$B,Load!G:G,0,)</f>
        <v>Large Multipack (More than 80 ct)</v>
      </c>
      <c r="G5431" t="str">
        <f>_xlfn.XLOOKUP($A5431,Load!$B:$B,Load!H:H,0,)</f>
        <v>Stand-Up Bag</v>
      </c>
      <c r="H5431" t="str">
        <f>_xlfn.XLOOKUP($A5431,Load!$B:$B,Load!I:I,0,)</f>
        <v>Everyday Candy Shapes (like Original, Gummy bear, Fruit, Jewels, etc.)</v>
      </c>
      <c r="I5431" t="str">
        <f>_xlfn.XLOOKUP($A5431,Load!$B:$B,Load!J:J,0,)</f>
        <v>Everyday Graphics</v>
      </c>
      <c r="J5431" t="str">
        <f>_xlfn.XLOOKUP($A5431,Load!$B:$B,Load!K:K,0,)</f>
        <v>Fun Size / Treat Size</v>
      </c>
      <c r="K5431" t="str">
        <f>_xlfn.XLOOKUP($A5431,Load!$B:$B,Load!L:L,0,)</f>
        <v>Regular/Original Wrapping</v>
      </c>
      <c r="L5431" t="str">
        <f>_xlfn.XLOOKUP($A5431,Load!$B:$B,Load!M:M,0,)</f>
        <v>Multiple Brands / Variety Flavors or Form</v>
      </c>
    </row>
    <row r="5432" spans="1:12" x14ac:dyDescent="0.25">
      <c r="A5432" t="s">
        <v>115</v>
      </c>
      <c r="B5432" t="str">
        <f>_xlfn.XLOOKUP($A5432,Load!$B:$B,Load!C:C,0,)</f>
        <v>George Howe</v>
      </c>
      <c r="C5432" t="str">
        <f>_xlfn.XLOOKUP($A5432,Load!$B:$B,Load!D:D,0,)</f>
        <v>Non-Chocolate Candy Only</v>
      </c>
      <c r="D5432" t="str">
        <f>_xlfn.XLOOKUP($A5432,Load!$B:$B,Load!E:E,0,)</f>
        <v>Fall / Seasonal Flavors (pumpkin spice, caramel apple, candy corn)</v>
      </c>
      <c r="E5432" t="str">
        <f>_xlfn.XLOOKUP($A5432,Load!$B:$B,Load!F:F,0,)</f>
        <v>Candy Pieces / Bites</v>
      </c>
      <c r="F5432" t="str">
        <f>_xlfn.XLOOKUP($A5432,Load!$B:$B,Load!G:G,0,)</f>
        <v>Single Pack</v>
      </c>
      <c r="G5432" t="str">
        <f>_xlfn.XLOOKUP($A5432,Load!$B:$B,Load!H:H,0,)</f>
        <v>Laydown Bag</v>
      </c>
      <c r="H5432" t="str">
        <f>_xlfn.XLOOKUP($A5432,Load!$B:$B,Load!I:I,0,)</f>
        <v>Seasonal Shapes (like pumpkins, candy corn, ghost, bats, etc.)</v>
      </c>
      <c r="I5432" t="str">
        <f>_xlfn.XLOOKUP($A5432,Load!$B:$B,Load!J:J,0,)</f>
        <v>Everyday Graphics</v>
      </c>
      <c r="J5432" t="str">
        <f>_xlfn.XLOOKUP($A5432,Load!$B:$B,Load!K:K,0,)</f>
        <v>Small Pieces (Tiny bite size candies)</v>
      </c>
      <c r="K5432" t="str">
        <f>_xlfn.XLOOKUP($A5432,Load!$B:$B,Load!L:L,0,)</f>
        <v>Unwrapped</v>
      </c>
      <c r="L5432" t="str">
        <f>_xlfn.XLOOKUP($A5432,Load!$B:$B,Load!M:M,0,)</f>
        <v>Single Brand / Single Flavor or Form</v>
      </c>
    </row>
    <row r="5433" spans="1:12" x14ac:dyDescent="0.25">
      <c r="A5433" t="s">
        <v>308</v>
      </c>
      <c r="B5433" t="str">
        <f>_xlfn.XLOOKUP($A5433,Load!$B:$B,Load!C:C,0,)</f>
        <v>Werther's Original</v>
      </c>
      <c r="C5433" t="str">
        <f>_xlfn.XLOOKUP($A5433,Load!$B:$B,Load!D:D,0,)</f>
        <v>Non-Chocolate Candy Only</v>
      </c>
      <c r="D5433" t="str">
        <f>_xlfn.XLOOKUP($A5433,Load!$B:$B,Load!E:E,0,)</f>
        <v>Fall / Seasonal Flavors (pumpkin spice, caramel apple, candy corn)</v>
      </c>
      <c r="E5433" t="str">
        <f>_xlfn.XLOOKUP($A5433,Load!$B:$B,Load!F:F,0,)</f>
        <v>Chewy</v>
      </c>
      <c r="F5433" t="str">
        <f>_xlfn.XLOOKUP($A5433,Load!$B:$B,Load!G:G,0,)</f>
        <v>Single Pack</v>
      </c>
      <c r="G5433" t="str">
        <f>_xlfn.XLOOKUP($A5433,Load!$B:$B,Load!H:H,0,)</f>
        <v>Laydown Bag</v>
      </c>
      <c r="H5433" t="str">
        <f>_xlfn.XLOOKUP($A5433,Load!$B:$B,Load!I:I,0,)</f>
        <v>Everyday Candy Shapes (like Original, Gummy bear, Fruit, Jewels, etc.)</v>
      </c>
      <c r="I5433" t="str">
        <f>_xlfn.XLOOKUP($A5433,Load!$B:$B,Load!J:J,0,)</f>
        <v>Everyday Graphics</v>
      </c>
      <c r="J5433" t="str">
        <f>_xlfn.XLOOKUP($A5433,Load!$B:$B,Load!K:K,0,)</f>
        <v>Fun Size / Treat Size</v>
      </c>
      <c r="K5433" t="str">
        <f>_xlfn.XLOOKUP($A5433,Load!$B:$B,Load!L:L,0,)</f>
        <v>Regular/Original Wrapping</v>
      </c>
      <c r="L5433" t="str">
        <f>_xlfn.XLOOKUP($A5433,Load!$B:$B,Load!M:M,0,)</f>
        <v>Single Brand / Single Flavor or Form</v>
      </c>
    </row>
    <row r="5434" spans="1:12" x14ac:dyDescent="0.25">
      <c r="A5434" t="s">
        <v>207</v>
      </c>
      <c r="B5434" t="str">
        <f>_xlfn.XLOOKUP($A5434,Load!$B:$B,Load!C:C,0,)</f>
        <v>Mars Variety Pack</v>
      </c>
      <c r="C5434" t="str">
        <f>_xlfn.XLOOKUP($A5434,Load!$B:$B,Load!D:D,0,)</f>
        <v>Mix of Chocolate and Non-Chocolate Candy</v>
      </c>
      <c r="D5434" t="str">
        <f>_xlfn.XLOOKUP($A5434,Load!$B:$B,Load!E:E,0,)</f>
        <v>Variety / Mixed Flavors (Fruity, Sour, Seasonal Flavors)</v>
      </c>
      <c r="E5434" t="str">
        <f>_xlfn.XLOOKUP($A5434,Load!$B:$B,Load!F:F,0,)</f>
        <v>Mixed / Combo Packs (Gummy, Chewy, Taffy, etc.)</v>
      </c>
      <c r="F5434" t="str">
        <f>_xlfn.XLOOKUP($A5434,Load!$B:$B,Load!G:G,0,)</f>
        <v>Large Multipack (More than 80 ct)</v>
      </c>
      <c r="G5434" t="str">
        <f>_xlfn.XLOOKUP($A5434,Load!$B:$B,Load!H:H,0,)</f>
        <v>Stand-Up Bag</v>
      </c>
      <c r="H5434" t="str">
        <f>_xlfn.XLOOKUP($A5434,Load!$B:$B,Load!I:I,0,)</f>
        <v>Everyday Candy Shapes (like Original, Gummy bear, Fruit, Jewels, etc.)</v>
      </c>
      <c r="I5434" t="str">
        <f>_xlfn.XLOOKUP($A5434,Load!$B:$B,Load!J:J,0,)</f>
        <v>Everyday Graphics</v>
      </c>
      <c r="J5434" t="str">
        <f>_xlfn.XLOOKUP($A5434,Load!$B:$B,Load!K:K,0,)</f>
        <v>Fun Size / Treat Size</v>
      </c>
      <c r="K5434" t="str">
        <f>_xlfn.XLOOKUP($A5434,Load!$B:$B,Load!L:L,0,)</f>
        <v>Regular/Original Wrapping</v>
      </c>
      <c r="L5434" t="str">
        <f>_xlfn.XLOOKUP($A5434,Load!$B:$B,Load!M:M,0,)</f>
        <v>Multiple Brands / Variety Flavors or Form</v>
      </c>
    </row>
    <row r="5435" spans="1:12" x14ac:dyDescent="0.25">
      <c r="A5435" t="s">
        <v>288</v>
      </c>
      <c r="B5435" t="str">
        <f>_xlfn.XLOOKUP($A5435,Load!$B:$B,Load!C:C,0,)</f>
        <v>SweeTARTS</v>
      </c>
      <c r="C5435" t="str">
        <f>_xlfn.XLOOKUP($A5435,Load!$B:$B,Load!D:D,0,)</f>
        <v>Non-Chocolate Candy Only</v>
      </c>
      <c r="D5435" t="str">
        <f>_xlfn.XLOOKUP($A5435,Load!$B:$B,Load!E:E,0,)</f>
        <v>Variety / Mixed Flavors (Fruity, Sour, Seasonal Flavors)</v>
      </c>
      <c r="E5435" t="str">
        <f>_xlfn.XLOOKUP($A5435,Load!$B:$B,Load!F:F,0,)</f>
        <v>Mixed / Combo Packs (Gummy, Chewy, Taffy, etc.)</v>
      </c>
      <c r="F5435" t="str">
        <f>_xlfn.XLOOKUP($A5435,Load!$B:$B,Load!G:G,0,)</f>
        <v>Medium Multipack (40–80 ct)</v>
      </c>
      <c r="G5435" t="str">
        <f>_xlfn.XLOOKUP($A5435,Load!$B:$B,Load!H:H,0,)</f>
        <v>Stand-Up Bag</v>
      </c>
      <c r="H5435" t="str">
        <f>_xlfn.XLOOKUP($A5435,Load!$B:$B,Load!I:I,0,)</f>
        <v>Everyday Candy Shapes (like Original, Gummy bear, Fruit, Jewels, etc.)</v>
      </c>
      <c r="I5435" t="str">
        <f>_xlfn.XLOOKUP($A5435,Load!$B:$B,Load!J:J,0,)</f>
        <v>Seasonal Graphics (Like Bat, Ghost, Pumpkin, Fall Leaves, Eyeballs, etc.)</v>
      </c>
      <c r="J5435" t="str">
        <f>_xlfn.XLOOKUP($A5435,Load!$B:$B,Load!K:K,0,)</f>
        <v>Small Pieces (Tiny bite size candies)</v>
      </c>
      <c r="K5435" t="str">
        <f>_xlfn.XLOOKUP($A5435,Load!$B:$B,Load!L:L,0,)</f>
        <v>Regular/Original Wrapping</v>
      </c>
      <c r="L5435" t="str">
        <f>_xlfn.XLOOKUP($A5435,Load!$B:$B,Load!M:M,0,)</f>
        <v>Single Brand / Variety Flavors or Form</v>
      </c>
    </row>
    <row r="5436" spans="1:12" x14ac:dyDescent="0.25">
      <c r="A5436" t="s">
        <v>65</v>
      </c>
      <c r="B5436" t="str">
        <f>_xlfn.XLOOKUP($A5436,Load!$B:$B,Load!C:C,0,)</f>
        <v>Dots</v>
      </c>
      <c r="C5436" t="str">
        <f>_xlfn.XLOOKUP($A5436,Load!$B:$B,Load!D:D,0,)</f>
        <v>Non-Chocolate Candy Only</v>
      </c>
      <c r="D5436" t="str">
        <f>_xlfn.XLOOKUP($A5436,Load!$B:$B,Load!E:E,0,)</f>
        <v>Variety / Mixed Flavors (Fruity, Sour, Seasonal Flavors)</v>
      </c>
      <c r="E5436" t="str">
        <f>_xlfn.XLOOKUP($A5436,Load!$B:$B,Load!F:F,0,)</f>
        <v>Candy Pieces / Bites</v>
      </c>
      <c r="F5436" t="str">
        <f>_xlfn.XLOOKUP($A5436,Load!$B:$B,Load!G:G,0,)</f>
        <v>Medium Multipack (40–80 ct)</v>
      </c>
      <c r="G5436" t="str">
        <f>_xlfn.XLOOKUP($A5436,Load!$B:$B,Load!H:H,0,)</f>
        <v>Box (theatre box, gift box, carton)</v>
      </c>
      <c r="H5436" t="str">
        <f>_xlfn.XLOOKUP($A5436,Load!$B:$B,Load!I:I,0,)</f>
        <v>Seasonal Shapes (like pumpkins, candy corn, ghost, bats, etc.)</v>
      </c>
      <c r="I5436" t="str">
        <f>_xlfn.XLOOKUP($A5436,Load!$B:$B,Load!J:J,0,)</f>
        <v>Seasonal Graphics (Like Bat, Ghost, Pumpkin, Fall Leaves, Eyeballs, etc.)</v>
      </c>
      <c r="J5436" t="str">
        <f>_xlfn.XLOOKUP($A5436,Load!$B:$B,Load!K:K,0,)</f>
        <v>Fun Size / Treat Size</v>
      </c>
      <c r="K5436" t="str">
        <f>_xlfn.XLOOKUP($A5436,Load!$B:$B,Load!L:L,0,)</f>
        <v>Regular/Original Wrapping</v>
      </c>
      <c r="L5436" t="str">
        <f>_xlfn.XLOOKUP($A5436,Load!$B:$B,Load!M:M,0,)</f>
        <v>Single Brand / Variety Flavors or Form</v>
      </c>
    </row>
    <row r="5437" spans="1:12" x14ac:dyDescent="0.25">
      <c r="A5437" t="s">
        <v>471</v>
      </c>
      <c r="B5437" t="str">
        <f>_xlfn.XLOOKUP($A5437,Load!$B:$B,Load!C:C,0,)</f>
        <v>Airheads</v>
      </c>
      <c r="C5437" t="str">
        <f>_xlfn.XLOOKUP($A5437,Load!$B:$B,Load!D:D,0,)</f>
        <v>Non-Chocolate Candy Only</v>
      </c>
      <c r="D5437" t="str">
        <f>_xlfn.XLOOKUP($A5437,Load!$B:$B,Load!E:E,0,)</f>
        <v>Fruit Flavor (Cherry, Grape, Apple, Citrus, Tropical Fruit)</v>
      </c>
      <c r="E5437" t="str">
        <f>_xlfn.XLOOKUP($A5437,Load!$B:$B,Load!F:F,0,)</f>
        <v>Candy Pieces / Bites</v>
      </c>
      <c r="F5437" t="str">
        <f>_xlfn.XLOOKUP($A5437,Load!$B:$B,Load!G:G,0,)</f>
        <v>Small Multipack (Less than 40 ct)</v>
      </c>
      <c r="G5437" t="str">
        <f>_xlfn.XLOOKUP($A5437,Load!$B:$B,Load!H:H,0,)</f>
        <v>Box (theatre box, gift box, carton)</v>
      </c>
      <c r="H5437" t="str">
        <f>_xlfn.XLOOKUP($A5437,Load!$B:$B,Load!I:I,0,)</f>
        <v>Everyday Candy Shapes (like Original, Gummy bear, Fruit, Jewels, etc.)</v>
      </c>
      <c r="I5437" t="str">
        <f>_xlfn.XLOOKUP($A5437,Load!$B:$B,Load!J:J,0,)</f>
        <v>Everyday Graphics</v>
      </c>
      <c r="J5437" t="str">
        <f>_xlfn.XLOOKUP($A5437,Load!$B:$B,Load!K:K,0,)</f>
        <v>Small Pieces (Tiny bite size candies)</v>
      </c>
      <c r="K5437" t="str">
        <f>_xlfn.XLOOKUP($A5437,Load!$B:$B,Load!L:L,0,)</f>
        <v>Regular/Original Wrapping</v>
      </c>
      <c r="L5437" t="str">
        <f>_xlfn.XLOOKUP($A5437,Load!$B:$B,Load!M:M,0,)</f>
        <v>Single Brand / Variety Flavors or Form</v>
      </c>
    </row>
    <row r="5438" spans="1:12" x14ac:dyDescent="0.25">
      <c r="B5438">
        <f>_xlfn.XLOOKUP($A5438,Load!$B:$B,Load!C:C,0,)</f>
        <v>0</v>
      </c>
      <c r="C5438">
        <f>_xlfn.XLOOKUP($A5438,Load!$B:$B,Load!D:D,0,)</f>
        <v>0</v>
      </c>
      <c r="D5438">
        <f>_xlfn.XLOOKUP($A5438,Load!$B:$B,Load!E:E,0,)</f>
        <v>0</v>
      </c>
      <c r="E5438">
        <f>_xlfn.XLOOKUP($A5438,Load!$B:$B,Load!F:F,0,)</f>
        <v>0</v>
      </c>
      <c r="F5438">
        <f>_xlfn.XLOOKUP($A5438,Load!$B:$B,Load!G:G,0,)</f>
        <v>0</v>
      </c>
      <c r="G5438">
        <f>_xlfn.XLOOKUP($A5438,Load!$B:$B,Load!H:H,0,)</f>
        <v>0</v>
      </c>
      <c r="H5438">
        <f>_xlfn.XLOOKUP($A5438,Load!$B:$B,Load!I:I,0,)</f>
        <v>0</v>
      </c>
      <c r="I5438">
        <f>_xlfn.XLOOKUP($A5438,Load!$B:$B,Load!J:J,0,)</f>
        <v>0</v>
      </c>
      <c r="J5438">
        <f>_xlfn.XLOOKUP($A5438,Load!$B:$B,Load!K:K,0,)</f>
        <v>0</v>
      </c>
      <c r="K5438">
        <f>_xlfn.XLOOKUP($A5438,Load!$B:$B,Load!L:L,0,)</f>
        <v>0</v>
      </c>
      <c r="L5438">
        <f>_xlfn.XLOOKUP($A5438,Load!$B:$B,Load!M:M,0,)</f>
        <v>0</v>
      </c>
    </row>
    <row r="5439" spans="1:12" x14ac:dyDescent="0.25">
      <c r="B5439">
        <f>_xlfn.XLOOKUP($A5439,Load!$B:$B,Load!C:C,0,)</f>
        <v>0</v>
      </c>
      <c r="C5439">
        <f>_xlfn.XLOOKUP($A5439,Load!$B:$B,Load!D:D,0,)</f>
        <v>0</v>
      </c>
      <c r="D5439">
        <f>_xlfn.XLOOKUP($A5439,Load!$B:$B,Load!E:E,0,)</f>
        <v>0</v>
      </c>
      <c r="E5439">
        <f>_xlfn.XLOOKUP($A5439,Load!$B:$B,Load!F:F,0,)</f>
        <v>0</v>
      </c>
      <c r="F5439">
        <f>_xlfn.XLOOKUP($A5439,Load!$B:$B,Load!G:G,0,)</f>
        <v>0</v>
      </c>
      <c r="G5439">
        <f>_xlfn.XLOOKUP($A5439,Load!$B:$B,Load!H:H,0,)</f>
        <v>0</v>
      </c>
      <c r="H5439">
        <f>_xlfn.XLOOKUP($A5439,Load!$B:$B,Load!I:I,0,)</f>
        <v>0</v>
      </c>
      <c r="I5439">
        <f>_xlfn.XLOOKUP($A5439,Load!$B:$B,Load!J:J,0,)</f>
        <v>0</v>
      </c>
      <c r="J5439">
        <f>_xlfn.XLOOKUP($A5439,Load!$B:$B,Load!K:K,0,)</f>
        <v>0</v>
      </c>
      <c r="K5439">
        <f>_xlfn.XLOOKUP($A5439,Load!$B:$B,Load!L:L,0,)</f>
        <v>0</v>
      </c>
      <c r="L5439">
        <f>_xlfn.XLOOKUP($A5439,Load!$B:$B,Load!M:M,0,)</f>
        <v>0</v>
      </c>
    </row>
    <row r="5440" spans="1:12" x14ac:dyDescent="0.25">
      <c r="A5440" t="s">
        <v>234</v>
      </c>
      <c r="B5440" t="str">
        <f>_xlfn.XLOOKUP($A5440,Load!$B:$B,Load!C:C,0,)</f>
        <v>Nerds</v>
      </c>
      <c r="C5440" t="str">
        <f>_xlfn.XLOOKUP($A5440,Load!$B:$B,Load!D:D,0,)</f>
        <v>Non-Chocolate Candy Only</v>
      </c>
      <c r="D5440" t="str">
        <f>_xlfn.XLOOKUP($A5440,Load!$B:$B,Load!E:E,0,)</f>
        <v>Variety / Mixed Flavors (Fruity, Sour, Seasonal Flavors)</v>
      </c>
      <c r="E5440" t="str">
        <f>_xlfn.XLOOKUP($A5440,Load!$B:$B,Load!F:F,0,)</f>
        <v>Mixed / Combo Packs (Gummy, Chewy, Taffy, etc.)</v>
      </c>
      <c r="F5440" t="str">
        <f>_xlfn.XLOOKUP($A5440,Load!$B:$B,Load!G:G,0,)</f>
        <v>Large Multipack (More than 80 ct)</v>
      </c>
      <c r="G5440" t="str">
        <f>_xlfn.XLOOKUP($A5440,Load!$B:$B,Load!H:H,0,)</f>
        <v>Stand-Up Bag</v>
      </c>
      <c r="H5440" t="str">
        <f>_xlfn.XLOOKUP($A5440,Load!$B:$B,Load!I:I,0,)</f>
        <v>Everyday Candy Shapes (like Original, Gummy bear, Fruit, Jewels, etc.)</v>
      </c>
      <c r="I5440" t="str">
        <f>_xlfn.XLOOKUP($A5440,Load!$B:$B,Load!J:J,0,)</f>
        <v>Everyday Graphics</v>
      </c>
      <c r="J5440" t="str">
        <f>_xlfn.XLOOKUP($A5440,Load!$B:$B,Load!K:K,0,)</f>
        <v>Fun Size / Treat Size</v>
      </c>
      <c r="K5440" t="str">
        <f>_xlfn.XLOOKUP($A5440,Load!$B:$B,Load!L:L,0,)</f>
        <v>Regular/Original Wrapping</v>
      </c>
      <c r="L5440" t="str">
        <f>_xlfn.XLOOKUP($A5440,Load!$B:$B,Load!M:M,0,)</f>
        <v>Single Brand / Variety Flavors or Form</v>
      </c>
    </row>
    <row r="5441" spans="1:12" x14ac:dyDescent="0.25">
      <c r="B5441">
        <f>_xlfn.XLOOKUP($A5441,Load!$B:$B,Load!C:C,0,)</f>
        <v>0</v>
      </c>
      <c r="C5441">
        <f>_xlfn.XLOOKUP($A5441,Load!$B:$B,Load!D:D,0,)</f>
        <v>0</v>
      </c>
      <c r="D5441">
        <f>_xlfn.XLOOKUP($A5441,Load!$B:$B,Load!E:E,0,)</f>
        <v>0</v>
      </c>
      <c r="E5441">
        <f>_xlfn.XLOOKUP($A5441,Load!$B:$B,Load!F:F,0,)</f>
        <v>0</v>
      </c>
      <c r="F5441">
        <f>_xlfn.XLOOKUP($A5441,Load!$B:$B,Load!G:G,0,)</f>
        <v>0</v>
      </c>
      <c r="G5441">
        <f>_xlfn.XLOOKUP($A5441,Load!$B:$B,Load!H:H,0,)</f>
        <v>0</v>
      </c>
      <c r="H5441">
        <f>_xlfn.XLOOKUP($A5441,Load!$B:$B,Load!I:I,0,)</f>
        <v>0</v>
      </c>
      <c r="I5441">
        <f>_xlfn.XLOOKUP($A5441,Load!$B:$B,Load!J:J,0,)</f>
        <v>0</v>
      </c>
      <c r="J5441">
        <f>_xlfn.XLOOKUP($A5441,Load!$B:$B,Load!K:K,0,)</f>
        <v>0</v>
      </c>
      <c r="K5441">
        <f>_xlfn.XLOOKUP($A5441,Load!$B:$B,Load!L:L,0,)</f>
        <v>0</v>
      </c>
      <c r="L5441">
        <f>_xlfn.XLOOKUP($A5441,Load!$B:$B,Load!M:M,0,)</f>
        <v>0</v>
      </c>
    </row>
    <row r="5442" spans="1:12" x14ac:dyDescent="0.25">
      <c r="A5442" t="s">
        <v>161</v>
      </c>
      <c r="B5442" t="str">
        <f>_xlfn.XLOOKUP($A5442,Load!$B:$B,Load!C:C,0,)</f>
        <v>Jolly Rancher</v>
      </c>
      <c r="C5442" t="str">
        <f>_xlfn.XLOOKUP($A5442,Load!$B:$B,Load!D:D,0,)</f>
        <v>Non-Chocolate Candy Only</v>
      </c>
      <c r="D5442" t="str">
        <f>_xlfn.XLOOKUP($A5442,Load!$B:$B,Load!E:E,0,)</f>
        <v>Variety / Mixed Flavors (Fruity, Sour, Seasonal Flavors)</v>
      </c>
      <c r="E5442" t="str">
        <f>_xlfn.XLOOKUP($A5442,Load!$B:$B,Load!F:F,0,)</f>
        <v>Mixed / Combo Packs (Gummy, Chewy, Taffy, etc.)</v>
      </c>
      <c r="F5442" t="str">
        <f>_xlfn.XLOOKUP($A5442,Load!$B:$B,Load!G:G,0,)</f>
        <v>Large Multipack (More than 80 ct)</v>
      </c>
      <c r="G5442" t="str">
        <f>_xlfn.XLOOKUP($A5442,Load!$B:$B,Load!H:H,0,)</f>
        <v>Stand-Up Bag</v>
      </c>
      <c r="H5442" t="str">
        <f>_xlfn.XLOOKUP($A5442,Load!$B:$B,Load!I:I,0,)</f>
        <v>Everyday Candy Shapes (like Original, Gummy bear, Fruit, Jewels, etc.)</v>
      </c>
      <c r="I5442" t="str">
        <f>_xlfn.XLOOKUP($A5442,Load!$B:$B,Load!J:J,0,)</f>
        <v>Seasonal Graphics (Like Bat, Ghost, Pumpkin, Fall Leaves, Eyeballs, etc.)</v>
      </c>
      <c r="J5442" t="str">
        <f>_xlfn.XLOOKUP($A5442,Load!$B:$B,Load!K:K,0,)</f>
        <v xml:space="preserve">Variety Candy Sizes </v>
      </c>
      <c r="K5442" t="str">
        <f>_xlfn.XLOOKUP($A5442,Load!$B:$B,Load!L:L,0,)</f>
        <v>Regular/Original Wrapping</v>
      </c>
      <c r="L5442" t="str">
        <f>_xlfn.XLOOKUP($A5442,Load!$B:$B,Load!M:M,0,)</f>
        <v>Single Brand / Variety Flavors or Form</v>
      </c>
    </row>
    <row r="5443" spans="1:12" x14ac:dyDescent="0.25">
      <c r="A5443" t="s">
        <v>234</v>
      </c>
      <c r="B5443" t="str">
        <f>_xlfn.XLOOKUP($A5443,Load!$B:$B,Load!C:C,0,)</f>
        <v>Nerds</v>
      </c>
      <c r="C5443" t="str">
        <f>_xlfn.XLOOKUP($A5443,Load!$B:$B,Load!D:D,0,)</f>
        <v>Non-Chocolate Candy Only</v>
      </c>
      <c r="D5443" t="str">
        <f>_xlfn.XLOOKUP($A5443,Load!$B:$B,Load!E:E,0,)</f>
        <v>Variety / Mixed Flavors (Fruity, Sour, Seasonal Flavors)</v>
      </c>
      <c r="E5443" t="str">
        <f>_xlfn.XLOOKUP($A5443,Load!$B:$B,Load!F:F,0,)</f>
        <v>Mixed / Combo Packs (Gummy, Chewy, Taffy, etc.)</v>
      </c>
      <c r="F5443" t="str">
        <f>_xlfn.XLOOKUP($A5443,Load!$B:$B,Load!G:G,0,)</f>
        <v>Large Multipack (More than 80 ct)</v>
      </c>
      <c r="G5443" t="str">
        <f>_xlfn.XLOOKUP($A5443,Load!$B:$B,Load!H:H,0,)</f>
        <v>Stand-Up Bag</v>
      </c>
      <c r="H5443" t="str">
        <f>_xlfn.XLOOKUP($A5443,Load!$B:$B,Load!I:I,0,)</f>
        <v>Everyday Candy Shapes (like Original, Gummy bear, Fruit, Jewels, etc.)</v>
      </c>
      <c r="I5443" t="str">
        <f>_xlfn.XLOOKUP($A5443,Load!$B:$B,Load!J:J,0,)</f>
        <v>Everyday Graphics</v>
      </c>
      <c r="J5443" t="str">
        <f>_xlfn.XLOOKUP($A5443,Load!$B:$B,Load!K:K,0,)</f>
        <v>Fun Size / Treat Size</v>
      </c>
      <c r="K5443" t="str">
        <f>_xlfn.XLOOKUP($A5443,Load!$B:$B,Load!L:L,0,)</f>
        <v>Regular/Original Wrapping</v>
      </c>
      <c r="L5443" t="str">
        <f>_xlfn.XLOOKUP($A5443,Load!$B:$B,Load!M:M,0,)</f>
        <v>Single Brand / Variety Flavors or Form</v>
      </c>
    </row>
    <row r="5444" spans="1:12" x14ac:dyDescent="0.25">
      <c r="A5444" t="s">
        <v>174</v>
      </c>
      <c r="B5444" t="str">
        <f>_xlfn.XLOOKUP($A5444,Load!$B:$B,Load!C:C,0,)</f>
        <v>Mars Variety Pack</v>
      </c>
      <c r="C5444" t="str">
        <f>_xlfn.XLOOKUP($A5444,Load!$B:$B,Load!D:D,0,)</f>
        <v>Non-Chocolate Candy Only</v>
      </c>
      <c r="D5444" t="str">
        <f>_xlfn.XLOOKUP($A5444,Load!$B:$B,Load!E:E,0,)</f>
        <v>Variety / Mixed Flavors (Fruity, Sour, Seasonal Flavors)</v>
      </c>
      <c r="E5444" t="str">
        <f>_xlfn.XLOOKUP($A5444,Load!$B:$B,Load!F:F,0,)</f>
        <v>Mixed / Combo Packs (Gummy, Chewy, Taffy, etc.)</v>
      </c>
      <c r="F5444" t="str">
        <f>_xlfn.XLOOKUP($A5444,Load!$B:$B,Load!G:G,0,)</f>
        <v>Medium Multipack (40–80 ct)</v>
      </c>
      <c r="G5444" t="str">
        <f>_xlfn.XLOOKUP($A5444,Load!$B:$B,Load!H:H,0,)</f>
        <v>Stand-Up Bag</v>
      </c>
      <c r="H5444" t="str">
        <f>_xlfn.XLOOKUP($A5444,Load!$B:$B,Load!I:I,0,)</f>
        <v>Everyday Candy Shapes (like Original, Gummy bear, Fruit, Jewels, etc.)</v>
      </c>
      <c r="I5444" t="str">
        <f>_xlfn.XLOOKUP($A5444,Load!$B:$B,Load!J:J,0,)</f>
        <v>Seasonal Graphics (Like Bat, Ghost, Pumpkin, Fall Leaves, Eyeballs, etc.)</v>
      </c>
      <c r="J5444" t="str">
        <f>_xlfn.XLOOKUP($A5444,Load!$B:$B,Load!K:K,0,)</f>
        <v>Fun Size / Treat Size</v>
      </c>
      <c r="K5444" t="str">
        <f>_xlfn.XLOOKUP($A5444,Load!$B:$B,Load!L:L,0,)</f>
        <v>Regular/Original Wrapping</v>
      </c>
      <c r="L5444" t="str">
        <f>_xlfn.XLOOKUP($A5444,Load!$B:$B,Load!M:M,0,)</f>
        <v>Multiple Brands / Variety Flavors or Form</v>
      </c>
    </row>
    <row r="5445" spans="1:12" x14ac:dyDescent="0.25">
      <c r="B5445">
        <f>_xlfn.XLOOKUP($A5445,Load!$B:$B,Load!C:C,0,)</f>
        <v>0</v>
      </c>
      <c r="C5445">
        <f>_xlfn.XLOOKUP($A5445,Load!$B:$B,Load!D:D,0,)</f>
        <v>0</v>
      </c>
      <c r="D5445">
        <f>_xlfn.XLOOKUP($A5445,Load!$B:$B,Load!E:E,0,)</f>
        <v>0</v>
      </c>
      <c r="E5445">
        <f>_xlfn.XLOOKUP($A5445,Load!$B:$B,Load!F:F,0,)</f>
        <v>0</v>
      </c>
      <c r="F5445">
        <f>_xlfn.XLOOKUP($A5445,Load!$B:$B,Load!G:G,0,)</f>
        <v>0</v>
      </c>
      <c r="G5445">
        <f>_xlfn.XLOOKUP($A5445,Load!$B:$B,Load!H:H,0,)</f>
        <v>0</v>
      </c>
      <c r="H5445">
        <f>_xlfn.XLOOKUP($A5445,Load!$B:$B,Load!I:I,0,)</f>
        <v>0</v>
      </c>
      <c r="I5445">
        <f>_xlfn.XLOOKUP($A5445,Load!$B:$B,Load!J:J,0,)</f>
        <v>0</v>
      </c>
      <c r="J5445">
        <f>_xlfn.XLOOKUP($A5445,Load!$B:$B,Load!K:K,0,)</f>
        <v>0</v>
      </c>
      <c r="K5445">
        <f>_xlfn.XLOOKUP($A5445,Load!$B:$B,Load!L:L,0,)</f>
        <v>0</v>
      </c>
      <c r="L5445">
        <f>_xlfn.XLOOKUP($A5445,Load!$B:$B,Load!M:M,0,)</f>
        <v>0</v>
      </c>
    </row>
    <row r="5446" spans="1:12" x14ac:dyDescent="0.25">
      <c r="A5446" t="s">
        <v>58</v>
      </c>
      <c r="B5446" t="str">
        <f>_xlfn.XLOOKUP($A5446,Load!$B:$B,Load!C:C,0,)</f>
        <v>Charms</v>
      </c>
      <c r="C5446" t="str">
        <f>_xlfn.XLOOKUP($A5446,Load!$B:$B,Load!D:D,0,)</f>
        <v>Non-Chocolate Candy Only</v>
      </c>
      <c r="D5446" t="str">
        <f>_xlfn.XLOOKUP($A5446,Load!$B:$B,Load!E:E,0,)</f>
        <v>Variety / Mixed Flavors (Fruity, Sour, Seasonal Flavors)</v>
      </c>
      <c r="E5446" t="str">
        <f>_xlfn.XLOOKUP($A5446,Load!$B:$B,Load!F:F,0,)</f>
        <v>Lollipop (regular or lollipop rings)</v>
      </c>
      <c r="F5446" t="str">
        <f>_xlfn.XLOOKUP($A5446,Load!$B:$B,Load!G:G,0,)</f>
        <v>Small Multipack (Less than 40 ct)</v>
      </c>
      <c r="G5446" t="str">
        <f>_xlfn.XLOOKUP($A5446,Load!$B:$B,Load!H:H,0,)</f>
        <v>Laydown Bag</v>
      </c>
      <c r="H5446" t="str">
        <f>_xlfn.XLOOKUP($A5446,Load!$B:$B,Load!I:I,0,)</f>
        <v>Everyday Candy Shapes (like Original, Gummy bear, Fruit, Jewels, etc.)</v>
      </c>
      <c r="I5446" t="str">
        <f>_xlfn.XLOOKUP($A5446,Load!$B:$B,Load!J:J,0,)</f>
        <v>Seasonal Graphics (Like Bat, Ghost, Pumpkin, Fall Leaves, Eyeballs, etc.)</v>
      </c>
      <c r="J5446" t="str">
        <f>_xlfn.XLOOKUP($A5446,Load!$B:$B,Load!K:K,0,)</f>
        <v>Regular Lollipop size (on sticks or rings)</v>
      </c>
      <c r="K5446" t="str">
        <f>_xlfn.XLOOKUP($A5446,Load!$B:$B,Load!L:L,0,)</f>
        <v>Regular/Original Wrapping</v>
      </c>
      <c r="L5446" t="str">
        <f>_xlfn.XLOOKUP($A5446,Load!$B:$B,Load!M:M,0,)</f>
        <v>Single Brand / Variety Flavors or Form</v>
      </c>
    </row>
    <row r="5447" spans="1:12" x14ac:dyDescent="0.25">
      <c r="A5447" t="s">
        <v>65</v>
      </c>
      <c r="B5447" t="str">
        <f>_xlfn.XLOOKUP($A5447,Load!$B:$B,Load!C:C,0,)</f>
        <v>Dots</v>
      </c>
      <c r="C5447" t="str">
        <f>_xlfn.XLOOKUP($A5447,Load!$B:$B,Load!D:D,0,)</f>
        <v>Non-Chocolate Candy Only</v>
      </c>
      <c r="D5447" t="str">
        <f>_xlfn.XLOOKUP($A5447,Load!$B:$B,Load!E:E,0,)</f>
        <v>Variety / Mixed Flavors (Fruity, Sour, Seasonal Flavors)</v>
      </c>
      <c r="E5447" t="str">
        <f>_xlfn.XLOOKUP($A5447,Load!$B:$B,Load!F:F,0,)</f>
        <v>Candy Pieces / Bites</v>
      </c>
      <c r="F5447" t="str">
        <f>_xlfn.XLOOKUP($A5447,Load!$B:$B,Load!G:G,0,)</f>
        <v>Medium Multipack (40–80 ct)</v>
      </c>
      <c r="G5447" t="str">
        <f>_xlfn.XLOOKUP($A5447,Load!$B:$B,Load!H:H,0,)</f>
        <v>Box (theatre box, gift box, carton)</v>
      </c>
      <c r="H5447" t="str">
        <f>_xlfn.XLOOKUP($A5447,Load!$B:$B,Load!I:I,0,)</f>
        <v>Seasonal Shapes (like pumpkins, candy corn, ghost, bats, etc.)</v>
      </c>
      <c r="I5447" t="str">
        <f>_xlfn.XLOOKUP($A5447,Load!$B:$B,Load!J:J,0,)</f>
        <v>Seasonal Graphics (Like Bat, Ghost, Pumpkin, Fall Leaves, Eyeballs, etc.)</v>
      </c>
      <c r="J5447" t="str">
        <f>_xlfn.XLOOKUP($A5447,Load!$B:$B,Load!K:K,0,)</f>
        <v>Fun Size / Treat Size</v>
      </c>
      <c r="K5447" t="str">
        <f>_xlfn.XLOOKUP($A5447,Load!$B:$B,Load!L:L,0,)</f>
        <v>Regular/Original Wrapping</v>
      </c>
      <c r="L5447" t="str">
        <f>_xlfn.XLOOKUP($A5447,Load!$B:$B,Load!M:M,0,)</f>
        <v>Single Brand / Variety Flavors or Form</v>
      </c>
    </row>
    <row r="5448" spans="1:12" x14ac:dyDescent="0.25">
      <c r="A5448" t="s">
        <v>221</v>
      </c>
      <c r="B5448" t="str">
        <f>_xlfn.XLOOKUP($A5448,Load!$B:$B,Load!C:C,0,)</f>
        <v>Hershey's Variety Pack + Haribo</v>
      </c>
      <c r="C5448" t="str">
        <f>_xlfn.XLOOKUP($A5448,Load!$B:$B,Load!D:D,0,)</f>
        <v>Mix of Chocolate and Non-Chocolate Candy</v>
      </c>
      <c r="D5448" t="str">
        <f>_xlfn.XLOOKUP($A5448,Load!$B:$B,Load!E:E,0,)</f>
        <v>Variety / Mixed Flavors (Fruity, Sour, Seasonal Flavors)</v>
      </c>
      <c r="E5448" t="str">
        <f>_xlfn.XLOOKUP($A5448,Load!$B:$B,Load!F:F,0,)</f>
        <v>Mixed / Combo Packs (Gummy, Chewy, Taffy, etc.)</v>
      </c>
      <c r="F5448" t="str">
        <f>_xlfn.XLOOKUP($A5448,Load!$B:$B,Load!G:G,0,)</f>
        <v>Large Multipack (More than 80 ct)</v>
      </c>
      <c r="G5448" t="str">
        <f>_xlfn.XLOOKUP($A5448,Load!$B:$B,Load!H:H,0,)</f>
        <v>Stand-Up Bag</v>
      </c>
      <c r="H5448" t="str">
        <f>_xlfn.XLOOKUP($A5448,Load!$B:$B,Load!I:I,0,)</f>
        <v>Everyday Candy Shapes (like Original, Gummy bear, Fruit, Jewels, etc.)</v>
      </c>
      <c r="I5448" t="str">
        <f>_xlfn.XLOOKUP($A5448,Load!$B:$B,Load!J:J,0,)</f>
        <v>Seasonal Graphics (Like Bat, Ghost, Pumpkin, Fall Leaves, Eyeballs, etc.)</v>
      </c>
      <c r="J5448" t="str">
        <f>_xlfn.XLOOKUP($A5448,Load!$B:$B,Load!K:K,0,)</f>
        <v xml:space="preserve">Variety Candy Sizes </v>
      </c>
      <c r="K5448" t="str">
        <f>_xlfn.XLOOKUP($A5448,Load!$B:$B,Load!L:L,0,)</f>
        <v>Regular/Original Wrapping</v>
      </c>
      <c r="L5448" t="str">
        <f>_xlfn.XLOOKUP($A5448,Load!$B:$B,Load!M:M,0,)</f>
        <v>Multiple Brands / Variety Flavors or Form</v>
      </c>
    </row>
    <row r="5449" spans="1:12" x14ac:dyDescent="0.25">
      <c r="A5449" t="s">
        <v>91</v>
      </c>
      <c r="B5449" t="str">
        <f>_xlfn.XLOOKUP($A5449,Load!$B:$B,Load!C:C,0,)</f>
        <v>Ferrara Variety Pack</v>
      </c>
      <c r="C5449" t="str">
        <f>_xlfn.XLOOKUP($A5449,Load!$B:$B,Load!D:D,0,)</f>
        <v>Non-Chocolate Candy Only</v>
      </c>
      <c r="D5449" t="str">
        <f>_xlfn.XLOOKUP($A5449,Load!$B:$B,Load!E:E,0,)</f>
        <v>Variety / Mixed Flavors (Fruity, Sour, Seasonal Flavors)</v>
      </c>
      <c r="E5449" t="str">
        <f>_xlfn.XLOOKUP($A5449,Load!$B:$B,Load!F:F,0,)</f>
        <v>Mixed / Combo Packs (Gummy, Chewy, Taffy, etc.)</v>
      </c>
      <c r="F5449" t="str">
        <f>_xlfn.XLOOKUP($A5449,Load!$B:$B,Load!G:G,0,)</f>
        <v>Large Multipack (More than 80 ct)</v>
      </c>
      <c r="G5449" t="str">
        <f>_xlfn.XLOOKUP($A5449,Load!$B:$B,Load!H:H,0,)</f>
        <v>Stand-Up Bag</v>
      </c>
      <c r="H5449" t="str">
        <f>_xlfn.XLOOKUP($A5449,Load!$B:$B,Load!I:I,0,)</f>
        <v>Everyday Candy Shapes (like Original, Gummy bear, Fruit, Jewels, etc.)</v>
      </c>
      <c r="I5449" t="str">
        <f>_xlfn.XLOOKUP($A5449,Load!$B:$B,Load!J:J,0,)</f>
        <v>Seasonal Graphics (Like Bat, Ghost, Pumpkin, Fall Leaves, Eyeballs, etc.)</v>
      </c>
      <c r="J5449" t="str">
        <f>_xlfn.XLOOKUP($A5449,Load!$B:$B,Load!K:K,0,)</f>
        <v xml:space="preserve">Variety Candy Sizes </v>
      </c>
      <c r="K5449" t="str">
        <f>_xlfn.XLOOKUP($A5449,Load!$B:$B,Load!L:L,0,)</f>
        <v>Regular/Original Wrapping</v>
      </c>
      <c r="L5449" t="str">
        <f>_xlfn.XLOOKUP($A5449,Load!$B:$B,Load!M:M,0,)</f>
        <v>Multiple Brands / Variety Flavors or Form</v>
      </c>
    </row>
    <row r="5450" spans="1:12" x14ac:dyDescent="0.25">
      <c r="A5450" t="s">
        <v>99</v>
      </c>
      <c r="B5450" t="str">
        <f>_xlfn.XLOOKUP($A5450,Load!$B:$B,Load!C:C,0,)</f>
        <v>Flix</v>
      </c>
      <c r="C5450" t="str">
        <f>_xlfn.XLOOKUP($A5450,Load!$B:$B,Load!D:D,0,)</f>
        <v>Non-Chocolate Candy Only</v>
      </c>
      <c r="D5450" t="str">
        <f>_xlfn.XLOOKUP($A5450,Load!$B:$B,Load!E:E,0,)</f>
        <v>Sour</v>
      </c>
      <c r="E5450" t="str">
        <f>_xlfn.XLOOKUP($A5450,Load!$B:$B,Load!F:F,0,)</f>
        <v>Gummy</v>
      </c>
      <c r="F5450" t="str">
        <f>_xlfn.XLOOKUP($A5450,Load!$B:$B,Load!G:G,0,)</f>
        <v>Small Multipack (Less than 40 ct)</v>
      </c>
      <c r="G5450" t="str">
        <f>_xlfn.XLOOKUP($A5450,Load!$B:$B,Load!H:H,0,)</f>
        <v>Box (theatre box, gift box, carton)</v>
      </c>
      <c r="H5450" t="str">
        <f>_xlfn.XLOOKUP($A5450,Load!$B:$B,Load!I:I,0,)</f>
        <v>Seasonal Shapes (like pumpkins, candy corn, ghost, bats, etc.)</v>
      </c>
      <c r="I5450" t="str">
        <f>_xlfn.XLOOKUP($A5450,Load!$B:$B,Load!J:J,0,)</f>
        <v>Seasonal Graphics (Like Bat, Ghost, Pumpkin, Fall Leaves, Eyeballs, etc.)</v>
      </c>
      <c r="J5450" t="str">
        <f>_xlfn.XLOOKUP($A5450,Load!$B:$B,Load!K:K,0,)</f>
        <v>Small Pieces (Tiny bite size candies)</v>
      </c>
      <c r="K5450" t="str">
        <f>_xlfn.XLOOKUP($A5450,Load!$B:$B,Load!L:L,0,)</f>
        <v>Unwrapped</v>
      </c>
      <c r="L5450" t="str">
        <f>_xlfn.XLOOKUP($A5450,Load!$B:$B,Load!M:M,0,)</f>
        <v>Single Brand / Variety Flavors or Form</v>
      </c>
    </row>
    <row r="5451" spans="1:12" x14ac:dyDescent="0.25">
      <c r="B5451">
        <f>_xlfn.XLOOKUP($A5451,Load!$B:$B,Load!C:C,0,)</f>
        <v>0</v>
      </c>
      <c r="C5451">
        <f>_xlfn.XLOOKUP($A5451,Load!$B:$B,Load!D:D,0,)</f>
        <v>0</v>
      </c>
      <c r="D5451">
        <f>_xlfn.XLOOKUP($A5451,Load!$B:$B,Load!E:E,0,)</f>
        <v>0</v>
      </c>
      <c r="E5451">
        <f>_xlfn.XLOOKUP($A5451,Load!$B:$B,Load!F:F,0,)</f>
        <v>0</v>
      </c>
      <c r="F5451">
        <f>_xlfn.XLOOKUP($A5451,Load!$B:$B,Load!G:G,0,)</f>
        <v>0</v>
      </c>
      <c r="G5451">
        <f>_xlfn.XLOOKUP($A5451,Load!$B:$B,Load!H:H,0,)</f>
        <v>0</v>
      </c>
      <c r="H5451">
        <f>_xlfn.XLOOKUP($A5451,Load!$B:$B,Load!I:I,0,)</f>
        <v>0</v>
      </c>
      <c r="I5451">
        <f>_xlfn.XLOOKUP($A5451,Load!$B:$B,Load!J:J,0,)</f>
        <v>0</v>
      </c>
      <c r="J5451">
        <f>_xlfn.XLOOKUP($A5451,Load!$B:$B,Load!K:K,0,)</f>
        <v>0</v>
      </c>
      <c r="K5451">
        <f>_xlfn.XLOOKUP($A5451,Load!$B:$B,Load!L:L,0,)</f>
        <v>0</v>
      </c>
      <c r="L5451">
        <f>_xlfn.XLOOKUP($A5451,Load!$B:$B,Load!M:M,0,)</f>
        <v>0</v>
      </c>
    </row>
    <row r="5452" spans="1:12" x14ac:dyDescent="0.25">
      <c r="A5452" t="s">
        <v>232</v>
      </c>
      <c r="B5452" t="str">
        <f>_xlfn.XLOOKUP($A5452,Load!$B:$B,Load!C:C,0,)</f>
        <v>Nerds</v>
      </c>
      <c r="C5452" t="str">
        <f>_xlfn.XLOOKUP($A5452,Load!$B:$B,Load!D:D,0,)</f>
        <v>Non-Chocolate Candy Only</v>
      </c>
      <c r="D5452" t="str">
        <f>_xlfn.XLOOKUP($A5452,Load!$B:$B,Load!E:E,0,)</f>
        <v>Berry Based (Raspberry, Strawberry, Medley, etc.)</v>
      </c>
      <c r="E5452" t="str">
        <f>_xlfn.XLOOKUP($A5452,Load!$B:$B,Load!F:F,0,)</f>
        <v>Candy Pieces / Bites</v>
      </c>
      <c r="F5452" t="str">
        <f>_xlfn.XLOOKUP($A5452,Load!$B:$B,Load!G:G,0,)</f>
        <v>Single Pack</v>
      </c>
      <c r="G5452" t="str">
        <f>_xlfn.XLOOKUP($A5452,Load!$B:$B,Load!H:H,0,)</f>
        <v>Laydown Bag</v>
      </c>
      <c r="H5452" t="str">
        <f>_xlfn.XLOOKUP($A5452,Load!$B:$B,Load!I:I,0,)</f>
        <v>Everyday Candy Shapes (like Original, Gummy bear, Fruit, Jewels, etc.)</v>
      </c>
      <c r="I5452" t="str">
        <f>_xlfn.XLOOKUP($A5452,Load!$B:$B,Load!J:J,0,)</f>
        <v>Seasonal Graphics (Like Bat, Ghost, Pumpkin, Fall Leaves, Eyeballs, etc.)</v>
      </c>
      <c r="J5452" t="str">
        <f>_xlfn.XLOOKUP($A5452,Load!$B:$B,Load!K:K,0,)</f>
        <v>Small Pieces (Tiny bite size candies)</v>
      </c>
      <c r="K5452" t="str">
        <f>_xlfn.XLOOKUP($A5452,Load!$B:$B,Load!L:L,0,)</f>
        <v>Unwrapped</v>
      </c>
      <c r="L5452" t="str">
        <f>_xlfn.XLOOKUP($A5452,Load!$B:$B,Load!M:M,0,)</f>
        <v>Single Brand / Variety Flavors or Form</v>
      </c>
    </row>
    <row r="5453" spans="1:12" x14ac:dyDescent="0.25">
      <c r="B5453">
        <f>_xlfn.XLOOKUP($A5453,Load!$B:$B,Load!C:C,0,)</f>
        <v>0</v>
      </c>
      <c r="C5453">
        <f>_xlfn.XLOOKUP($A5453,Load!$B:$B,Load!D:D,0,)</f>
        <v>0</v>
      </c>
      <c r="D5453">
        <f>_xlfn.XLOOKUP($A5453,Load!$B:$B,Load!E:E,0,)</f>
        <v>0</v>
      </c>
      <c r="E5453">
        <f>_xlfn.XLOOKUP($A5453,Load!$B:$B,Load!F:F,0,)</f>
        <v>0</v>
      </c>
      <c r="F5453">
        <f>_xlfn.XLOOKUP($A5453,Load!$B:$B,Load!G:G,0,)</f>
        <v>0</v>
      </c>
      <c r="G5453">
        <f>_xlfn.XLOOKUP($A5453,Load!$B:$B,Load!H:H,0,)</f>
        <v>0</v>
      </c>
      <c r="H5453">
        <f>_xlfn.XLOOKUP($A5453,Load!$B:$B,Load!I:I,0,)</f>
        <v>0</v>
      </c>
      <c r="I5453">
        <f>_xlfn.XLOOKUP($A5453,Load!$B:$B,Load!J:J,0,)</f>
        <v>0</v>
      </c>
      <c r="J5453">
        <f>_xlfn.XLOOKUP($A5453,Load!$B:$B,Load!K:K,0,)</f>
        <v>0</v>
      </c>
      <c r="K5453">
        <f>_xlfn.XLOOKUP($A5453,Load!$B:$B,Load!L:L,0,)</f>
        <v>0</v>
      </c>
      <c r="L5453">
        <f>_xlfn.XLOOKUP($A5453,Load!$B:$B,Load!M:M,0,)</f>
        <v>0</v>
      </c>
    </row>
    <row r="5454" spans="1:12" x14ac:dyDescent="0.25">
      <c r="A5454" t="s">
        <v>124</v>
      </c>
      <c r="B5454" t="str">
        <f>_xlfn.XLOOKUP($A5454,Load!$B:$B,Load!C:C,0,)</f>
        <v>HARIBO</v>
      </c>
      <c r="C5454" t="str">
        <f>_xlfn.XLOOKUP($A5454,Load!$B:$B,Load!D:D,0,)</f>
        <v>Non-Chocolate Candy Only</v>
      </c>
      <c r="D5454" t="str">
        <f>_xlfn.XLOOKUP($A5454,Load!$B:$B,Load!E:E,0,)</f>
        <v>Fruit Flavor (Cherry, Grape, Apple, Citrus, Tropical Fruit)</v>
      </c>
      <c r="E5454" t="str">
        <f>_xlfn.XLOOKUP($A5454,Load!$B:$B,Load!F:F,0,)</f>
        <v>Gummy</v>
      </c>
      <c r="F5454" t="str">
        <f>_xlfn.XLOOKUP($A5454,Load!$B:$B,Load!G:G,0,)</f>
        <v>Small Multipack (Less than 40 ct)</v>
      </c>
      <c r="G5454" t="str">
        <f>_xlfn.XLOOKUP($A5454,Load!$B:$B,Load!H:H,0,)</f>
        <v>Laydown Bag</v>
      </c>
      <c r="H5454" t="str">
        <f>_xlfn.XLOOKUP($A5454,Load!$B:$B,Load!I:I,0,)</f>
        <v>Everyday Candy Shapes (like Original, Gummy bear, Fruit, Jewels, etc.)</v>
      </c>
      <c r="I5454" t="str">
        <f>_xlfn.XLOOKUP($A5454,Load!$B:$B,Load!J:J,0,)</f>
        <v>Everyday Graphics</v>
      </c>
      <c r="J5454" t="str">
        <f>_xlfn.XLOOKUP($A5454,Load!$B:$B,Load!K:K,0,)</f>
        <v>Small Pieces (Tiny bite size candies)</v>
      </c>
      <c r="K5454" t="str">
        <f>_xlfn.XLOOKUP($A5454,Load!$B:$B,Load!L:L,0,)</f>
        <v>Regular/Original Wrapping</v>
      </c>
      <c r="L5454" t="str">
        <f>_xlfn.XLOOKUP($A5454,Load!$B:$B,Load!M:M,0,)</f>
        <v>Single Brand / Variety Flavors or Form</v>
      </c>
    </row>
    <row r="5455" spans="1:12" x14ac:dyDescent="0.25">
      <c r="B5455">
        <f>_xlfn.XLOOKUP($A5455,Load!$B:$B,Load!C:C,0,)</f>
        <v>0</v>
      </c>
      <c r="C5455">
        <f>_xlfn.XLOOKUP($A5455,Load!$B:$B,Load!D:D,0,)</f>
        <v>0</v>
      </c>
      <c r="D5455">
        <f>_xlfn.XLOOKUP($A5455,Load!$B:$B,Load!E:E,0,)</f>
        <v>0</v>
      </c>
      <c r="E5455">
        <f>_xlfn.XLOOKUP($A5455,Load!$B:$B,Load!F:F,0,)</f>
        <v>0</v>
      </c>
      <c r="F5455">
        <f>_xlfn.XLOOKUP($A5455,Load!$B:$B,Load!G:G,0,)</f>
        <v>0</v>
      </c>
      <c r="G5455">
        <f>_xlfn.XLOOKUP($A5455,Load!$B:$B,Load!H:H,0,)</f>
        <v>0</v>
      </c>
      <c r="H5455">
        <f>_xlfn.XLOOKUP($A5455,Load!$B:$B,Load!I:I,0,)</f>
        <v>0</v>
      </c>
      <c r="I5455">
        <f>_xlfn.XLOOKUP($A5455,Load!$B:$B,Load!J:J,0,)</f>
        <v>0</v>
      </c>
      <c r="J5455">
        <f>_xlfn.XLOOKUP($A5455,Load!$B:$B,Load!K:K,0,)</f>
        <v>0</v>
      </c>
      <c r="K5455">
        <f>_xlfn.XLOOKUP($A5455,Load!$B:$B,Load!L:L,0,)</f>
        <v>0</v>
      </c>
      <c r="L5455">
        <f>_xlfn.XLOOKUP($A5455,Load!$B:$B,Load!M:M,0,)</f>
        <v>0</v>
      </c>
    </row>
    <row r="5456" spans="1:12" x14ac:dyDescent="0.25">
      <c r="A5456" t="s">
        <v>4</v>
      </c>
      <c r="B5456" t="str">
        <f>_xlfn.XLOOKUP($A5456,Load!$B:$B,Load!C:C,0,)</f>
        <v>Airheads</v>
      </c>
      <c r="C5456" t="str">
        <f>_xlfn.XLOOKUP($A5456,Load!$B:$B,Load!D:D,0,)</f>
        <v>Non-Chocolate Candy Only</v>
      </c>
      <c r="D5456" t="str">
        <f>_xlfn.XLOOKUP($A5456,Load!$B:$B,Load!E:E,0,)</f>
        <v>Variety / Mixed Flavors (Fruity, Sour, Seasonal Flavors)</v>
      </c>
      <c r="E5456" t="str">
        <f>_xlfn.XLOOKUP($A5456,Load!$B:$B,Load!F:F,0,)</f>
        <v>Chewy</v>
      </c>
      <c r="F5456" t="str">
        <f>_xlfn.XLOOKUP($A5456,Load!$B:$B,Load!G:G,0,)</f>
        <v>Large Multipack (More than 80 ct)</v>
      </c>
      <c r="G5456" t="str">
        <f>_xlfn.XLOOKUP($A5456,Load!$B:$B,Load!H:H,0,)</f>
        <v>Box (theatre box, gift box, carton)</v>
      </c>
      <c r="H5456" t="str">
        <f>_xlfn.XLOOKUP($A5456,Load!$B:$B,Load!I:I,0,)</f>
        <v>Everyday Candy Shapes (like Original, Gummy bear, Fruit, Jewels, etc.)</v>
      </c>
      <c r="I5456" t="str">
        <f>_xlfn.XLOOKUP($A5456,Load!$B:$B,Load!J:J,0,)</f>
        <v>Seasonal Graphics (Like Bat, Ghost, Pumpkin, Fall Leaves, Eyeballs, etc.)</v>
      </c>
      <c r="J5456" t="str">
        <f>_xlfn.XLOOKUP($A5456,Load!$B:$B,Load!K:K,0,)</f>
        <v>Fun Size / Treat Size</v>
      </c>
      <c r="K5456" t="str">
        <f>_xlfn.XLOOKUP($A5456,Load!$B:$B,Load!L:L,0,)</f>
        <v>Regular/Original Wrapping</v>
      </c>
      <c r="L5456" t="str">
        <f>_xlfn.XLOOKUP($A5456,Load!$B:$B,Load!M:M,0,)</f>
        <v>Single Brand / Variety Flavors or Form</v>
      </c>
    </row>
    <row r="5457" spans="1:12" x14ac:dyDescent="0.25">
      <c r="B5457">
        <f>_xlfn.XLOOKUP($A5457,Load!$B:$B,Load!C:C,0,)</f>
        <v>0</v>
      </c>
      <c r="C5457">
        <f>_xlfn.XLOOKUP($A5457,Load!$B:$B,Load!D:D,0,)</f>
        <v>0</v>
      </c>
      <c r="D5457">
        <f>_xlfn.XLOOKUP($A5457,Load!$B:$B,Load!E:E,0,)</f>
        <v>0</v>
      </c>
      <c r="E5457">
        <f>_xlfn.XLOOKUP($A5457,Load!$B:$B,Load!F:F,0,)</f>
        <v>0</v>
      </c>
      <c r="F5457">
        <f>_xlfn.XLOOKUP($A5457,Load!$B:$B,Load!G:G,0,)</f>
        <v>0</v>
      </c>
      <c r="G5457">
        <f>_xlfn.XLOOKUP($A5457,Load!$B:$B,Load!H:H,0,)</f>
        <v>0</v>
      </c>
      <c r="H5457">
        <f>_xlfn.XLOOKUP($A5457,Load!$B:$B,Load!I:I,0,)</f>
        <v>0</v>
      </c>
      <c r="I5457">
        <f>_xlfn.XLOOKUP($A5457,Load!$B:$B,Load!J:J,0,)</f>
        <v>0</v>
      </c>
      <c r="J5457">
        <f>_xlfn.XLOOKUP($A5457,Load!$B:$B,Load!K:K,0,)</f>
        <v>0</v>
      </c>
      <c r="K5457">
        <f>_xlfn.XLOOKUP($A5457,Load!$B:$B,Load!L:L,0,)</f>
        <v>0</v>
      </c>
      <c r="L5457">
        <f>_xlfn.XLOOKUP($A5457,Load!$B:$B,Load!M:M,0,)</f>
        <v>0</v>
      </c>
    </row>
    <row r="5458" spans="1:12" x14ac:dyDescent="0.25">
      <c r="A5458" t="s">
        <v>103</v>
      </c>
      <c r="B5458" t="str">
        <f>_xlfn.XLOOKUP($A5458,Load!$B:$B,Load!C:C,0,)</f>
        <v>Frankford</v>
      </c>
      <c r="C5458" t="str">
        <f>_xlfn.XLOOKUP($A5458,Load!$B:$B,Load!D:D,0,)</f>
        <v>Non-Chocolate Candy Only</v>
      </c>
      <c r="D5458" t="str">
        <f>_xlfn.XLOOKUP($A5458,Load!$B:$B,Load!E:E,0,)</f>
        <v>Sweet</v>
      </c>
      <c r="E5458" t="str">
        <f>_xlfn.XLOOKUP($A5458,Load!$B:$B,Load!F:F,0,)</f>
        <v>Gummy</v>
      </c>
      <c r="F5458" t="str">
        <f>_xlfn.XLOOKUP($A5458,Load!$B:$B,Load!G:G,0,)</f>
        <v>Medium Multipack (40–80 ct)</v>
      </c>
      <c r="G5458" t="str">
        <f>_xlfn.XLOOKUP($A5458,Load!$B:$B,Load!H:H,0,)</f>
        <v>Stand-Up Bag</v>
      </c>
      <c r="H5458" t="str">
        <f>_xlfn.XLOOKUP($A5458,Load!$B:$B,Load!I:I,0,)</f>
        <v>Seasonal Shapes (like pumpkins, candy corn, ghost, bats, etc.)</v>
      </c>
      <c r="I5458" t="str">
        <f>_xlfn.XLOOKUP($A5458,Load!$B:$B,Load!J:J,0,)</f>
        <v>Seasonal Graphics (Like Bat, Ghost, Pumpkin, Fall Leaves, Eyeballs, etc.)</v>
      </c>
      <c r="J5458" t="str">
        <f>_xlfn.XLOOKUP($A5458,Load!$B:$B,Load!K:K,0,)</f>
        <v>Fun Size / Treat Size</v>
      </c>
      <c r="K5458" t="str">
        <f>_xlfn.XLOOKUP($A5458,Load!$B:$B,Load!L:L,0,)</f>
        <v>Regular/Original Wrapping</v>
      </c>
      <c r="L5458" t="str">
        <f>_xlfn.XLOOKUP($A5458,Load!$B:$B,Load!M:M,0,)</f>
        <v>Single Brand / Variety Flavors or Form</v>
      </c>
    </row>
    <row r="5459" spans="1:12" x14ac:dyDescent="0.25">
      <c r="B5459">
        <f>_xlfn.XLOOKUP($A5459,Load!$B:$B,Load!C:C,0,)</f>
        <v>0</v>
      </c>
      <c r="C5459">
        <f>_xlfn.XLOOKUP($A5459,Load!$B:$B,Load!D:D,0,)</f>
        <v>0</v>
      </c>
      <c r="D5459">
        <f>_xlfn.XLOOKUP($A5459,Load!$B:$B,Load!E:E,0,)</f>
        <v>0</v>
      </c>
      <c r="E5459">
        <f>_xlfn.XLOOKUP($A5459,Load!$B:$B,Load!F:F,0,)</f>
        <v>0</v>
      </c>
      <c r="F5459">
        <f>_xlfn.XLOOKUP($A5459,Load!$B:$B,Load!G:G,0,)</f>
        <v>0</v>
      </c>
      <c r="G5459">
        <f>_xlfn.XLOOKUP($A5459,Load!$B:$B,Load!H:H,0,)</f>
        <v>0</v>
      </c>
      <c r="H5459">
        <f>_xlfn.XLOOKUP($A5459,Load!$B:$B,Load!I:I,0,)</f>
        <v>0</v>
      </c>
      <c r="I5459">
        <f>_xlfn.XLOOKUP($A5459,Load!$B:$B,Load!J:J,0,)</f>
        <v>0</v>
      </c>
      <c r="J5459">
        <f>_xlfn.XLOOKUP($A5459,Load!$B:$B,Load!K:K,0,)</f>
        <v>0</v>
      </c>
      <c r="K5459">
        <f>_xlfn.XLOOKUP($A5459,Load!$B:$B,Load!L:L,0,)</f>
        <v>0</v>
      </c>
      <c r="L5459">
        <f>_xlfn.XLOOKUP($A5459,Load!$B:$B,Load!M:M,0,)</f>
        <v>0</v>
      </c>
    </row>
    <row r="5460" spans="1:12" x14ac:dyDescent="0.25">
      <c r="A5460" t="s">
        <v>121</v>
      </c>
      <c r="B5460" t="str">
        <f>_xlfn.XLOOKUP($A5460,Load!$B:$B,Load!C:C,0,)</f>
        <v>HARIBO</v>
      </c>
      <c r="C5460" t="str">
        <f>_xlfn.XLOOKUP($A5460,Load!$B:$B,Load!D:D,0,)</f>
        <v>Non-Chocolate Candy Only</v>
      </c>
      <c r="D5460" t="str">
        <f>_xlfn.XLOOKUP($A5460,Load!$B:$B,Load!E:E,0,)</f>
        <v>Variety / Mixed Flavors (Fruity, Sour, Seasonal Flavors)</v>
      </c>
      <c r="E5460" t="str">
        <f>_xlfn.XLOOKUP($A5460,Load!$B:$B,Load!F:F,0,)</f>
        <v>Gummy</v>
      </c>
      <c r="F5460" t="str">
        <f>_xlfn.XLOOKUP($A5460,Load!$B:$B,Load!G:G,0,)</f>
        <v>Large Multipack (More than 80 ct)</v>
      </c>
      <c r="G5460" t="str">
        <f>_xlfn.XLOOKUP($A5460,Load!$B:$B,Load!H:H,0,)</f>
        <v>Stand-Up Bag</v>
      </c>
      <c r="H5460" t="str">
        <f>_xlfn.XLOOKUP($A5460,Load!$B:$B,Load!I:I,0,)</f>
        <v>Seasonal Shapes (like pumpkins, candy corn, ghost, bats, etc.)</v>
      </c>
      <c r="I5460" t="str">
        <f>_xlfn.XLOOKUP($A5460,Load!$B:$B,Load!J:J,0,)</f>
        <v>Seasonal Graphics (Like Bat, Ghost, Pumpkin, Fall Leaves, Eyeballs, etc.)</v>
      </c>
      <c r="J5460" t="str">
        <f>_xlfn.XLOOKUP($A5460,Load!$B:$B,Load!K:K,0,)</f>
        <v>Fun Size / Treat Size</v>
      </c>
      <c r="K5460" t="str">
        <f>_xlfn.XLOOKUP($A5460,Load!$B:$B,Load!L:L,0,)</f>
        <v>Regular/Original Wrapping</v>
      </c>
      <c r="L5460" t="str">
        <f>_xlfn.XLOOKUP($A5460,Load!$B:$B,Load!M:M,0,)</f>
        <v>Multiple Brands / Variety Flavors or Form</v>
      </c>
    </row>
    <row r="5461" spans="1:12" x14ac:dyDescent="0.25">
      <c r="B5461">
        <f>_xlfn.XLOOKUP($A5461,Load!$B:$B,Load!C:C,0,)</f>
        <v>0</v>
      </c>
      <c r="C5461">
        <f>_xlfn.XLOOKUP($A5461,Load!$B:$B,Load!D:D,0,)</f>
        <v>0</v>
      </c>
      <c r="D5461">
        <f>_xlfn.XLOOKUP($A5461,Load!$B:$B,Load!E:E,0,)</f>
        <v>0</v>
      </c>
      <c r="E5461">
        <f>_xlfn.XLOOKUP($A5461,Load!$B:$B,Load!F:F,0,)</f>
        <v>0</v>
      </c>
      <c r="F5461">
        <f>_xlfn.XLOOKUP($A5461,Load!$B:$B,Load!G:G,0,)</f>
        <v>0</v>
      </c>
      <c r="G5461">
        <f>_xlfn.XLOOKUP($A5461,Load!$B:$B,Load!H:H,0,)</f>
        <v>0</v>
      </c>
      <c r="H5461">
        <f>_xlfn.XLOOKUP($A5461,Load!$B:$B,Load!I:I,0,)</f>
        <v>0</v>
      </c>
      <c r="I5461">
        <f>_xlfn.XLOOKUP($A5461,Load!$B:$B,Load!J:J,0,)</f>
        <v>0</v>
      </c>
      <c r="J5461">
        <f>_xlfn.XLOOKUP($A5461,Load!$B:$B,Load!K:K,0,)</f>
        <v>0</v>
      </c>
      <c r="K5461">
        <f>_xlfn.XLOOKUP($A5461,Load!$B:$B,Load!L:L,0,)</f>
        <v>0</v>
      </c>
      <c r="L5461">
        <f>_xlfn.XLOOKUP($A5461,Load!$B:$B,Load!M:M,0,)</f>
        <v>0</v>
      </c>
    </row>
    <row r="5462" spans="1:12" x14ac:dyDescent="0.25">
      <c r="A5462" t="s">
        <v>134</v>
      </c>
      <c r="B5462" t="str">
        <f>_xlfn.XLOOKUP($A5462,Load!$B:$B,Load!C:C,0,)</f>
        <v>Hershey's Variety Pack</v>
      </c>
      <c r="C5462" t="str">
        <f>_xlfn.XLOOKUP($A5462,Load!$B:$B,Load!D:D,0,)</f>
        <v>Non-Chocolate Candy Only</v>
      </c>
      <c r="D5462" t="str">
        <f>_xlfn.XLOOKUP($A5462,Load!$B:$B,Load!E:E,0,)</f>
        <v>Variety / Mixed Flavors (Fruity, Sour, Seasonal Flavors)</v>
      </c>
      <c r="E5462" t="str">
        <f>_xlfn.XLOOKUP($A5462,Load!$B:$B,Load!F:F,0,)</f>
        <v>Mixed / Combo Packs (Gummy, Chewy, Taffy, etc.)</v>
      </c>
      <c r="F5462" t="str">
        <f>_xlfn.XLOOKUP($A5462,Load!$B:$B,Load!G:G,0,)</f>
        <v>Large Multipack (More than 80 ct)</v>
      </c>
      <c r="G5462" t="str">
        <f>_xlfn.XLOOKUP($A5462,Load!$B:$B,Load!H:H,0,)</f>
        <v>Stand-Up Bag</v>
      </c>
      <c r="H5462" t="str">
        <f>_xlfn.XLOOKUP($A5462,Load!$B:$B,Load!I:I,0,)</f>
        <v>Everyday Candy Shapes (like Original, Gummy bear, Fruit, Jewels, etc.)</v>
      </c>
      <c r="I5462" t="str">
        <f>_xlfn.XLOOKUP($A5462,Load!$B:$B,Load!J:J,0,)</f>
        <v>Seasonal Graphics (Like Bat, Ghost, Pumpkin, Fall Leaves, Eyeballs, etc.)</v>
      </c>
      <c r="J5462" t="str">
        <f>_xlfn.XLOOKUP($A5462,Load!$B:$B,Load!K:K,0,)</f>
        <v xml:space="preserve">Variety Candy Sizes </v>
      </c>
      <c r="K5462" t="str">
        <f>_xlfn.XLOOKUP($A5462,Load!$B:$B,Load!L:L,0,)</f>
        <v>Regular/Original Wrapping</v>
      </c>
      <c r="L5462" t="str">
        <f>_xlfn.XLOOKUP($A5462,Load!$B:$B,Load!M:M,0,)</f>
        <v>Multiple Brands / Variety Flavors or Form</v>
      </c>
    </row>
    <row r="5463" spans="1:12" x14ac:dyDescent="0.25">
      <c r="B5463">
        <f>_xlfn.XLOOKUP($A5463,Load!$B:$B,Load!C:C,0,)</f>
        <v>0</v>
      </c>
      <c r="C5463">
        <f>_xlfn.XLOOKUP($A5463,Load!$B:$B,Load!D:D,0,)</f>
        <v>0</v>
      </c>
      <c r="D5463">
        <f>_xlfn.XLOOKUP($A5463,Load!$B:$B,Load!E:E,0,)</f>
        <v>0</v>
      </c>
      <c r="E5463">
        <f>_xlfn.XLOOKUP($A5463,Load!$B:$B,Load!F:F,0,)</f>
        <v>0</v>
      </c>
      <c r="F5463">
        <f>_xlfn.XLOOKUP($A5463,Load!$B:$B,Load!G:G,0,)</f>
        <v>0</v>
      </c>
      <c r="G5463">
        <f>_xlfn.XLOOKUP($A5463,Load!$B:$B,Load!H:H,0,)</f>
        <v>0</v>
      </c>
      <c r="H5463">
        <f>_xlfn.XLOOKUP($A5463,Load!$B:$B,Load!I:I,0,)</f>
        <v>0</v>
      </c>
      <c r="I5463">
        <f>_xlfn.XLOOKUP($A5463,Load!$B:$B,Load!J:J,0,)</f>
        <v>0</v>
      </c>
      <c r="J5463">
        <f>_xlfn.XLOOKUP($A5463,Load!$B:$B,Load!K:K,0,)</f>
        <v>0</v>
      </c>
      <c r="K5463">
        <f>_xlfn.XLOOKUP($A5463,Load!$B:$B,Load!L:L,0,)</f>
        <v>0</v>
      </c>
      <c r="L5463">
        <f>_xlfn.XLOOKUP($A5463,Load!$B:$B,Load!M:M,0,)</f>
        <v>0</v>
      </c>
    </row>
    <row r="5464" spans="1:12" x14ac:dyDescent="0.25">
      <c r="A5464" t="s">
        <v>224</v>
      </c>
      <c r="B5464" t="str">
        <f>_xlfn.XLOOKUP($A5464,Load!$B:$B,Load!C:C,0,)</f>
        <v>Nerds</v>
      </c>
      <c r="C5464" t="str">
        <f>_xlfn.XLOOKUP($A5464,Load!$B:$B,Load!D:D,0,)</f>
        <v>Non-Chocolate Candy Only</v>
      </c>
      <c r="D5464" t="str">
        <f>_xlfn.XLOOKUP($A5464,Load!$B:$B,Load!E:E,0,)</f>
        <v>Sweet</v>
      </c>
      <c r="E5464" t="str">
        <f>_xlfn.XLOOKUP($A5464,Load!$B:$B,Load!F:F,0,)</f>
        <v>Mixed / Combo Packs (Gummy, Chewy, Taffy, etc.)</v>
      </c>
      <c r="F5464" t="str">
        <f>_xlfn.XLOOKUP($A5464,Load!$B:$B,Load!G:G,0,)</f>
        <v>Medium Multipack (40–80 ct)</v>
      </c>
      <c r="G5464" t="str">
        <f>_xlfn.XLOOKUP($A5464,Load!$B:$B,Load!H:H,0,)</f>
        <v>Stand-Up Bag</v>
      </c>
      <c r="H5464" t="str">
        <f>_xlfn.XLOOKUP($A5464,Load!$B:$B,Load!I:I,0,)</f>
        <v>Everyday Candy Shapes (like Original, Gummy bear, Fruit, Jewels, etc.)</v>
      </c>
      <c r="I5464" t="str">
        <f>_xlfn.XLOOKUP($A5464,Load!$B:$B,Load!J:J,0,)</f>
        <v>Seasonal Graphics (Like Bat, Ghost, Pumpkin, Fall Leaves, Eyeballs, etc.)</v>
      </c>
      <c r="J5464" t="str">
        <f>_xlfn.XLOOKUP($A5464,Load!$B:$B,Load!K:K,0,)</f>
        <v xml:space="preserve">Variety Candy Sizes </v>
      </c>
      <c r="K5464" t="str">
        <f>_xlfn.XLOOKUP($A5464,Load!$B:$B,Load!L:L,0,)</f>
        <v>Regular/Original Wrapping</v>
      </c>
      <c r="L5464" t="str">
        <f>_xlfn.XLOOKUP($A5464,Load!$B:$B,Load!M:M,0,)</f>
        <v>Single Brand / Variety Flavors or Form</v>
      </c>
    </row>
    <row r="5465" spans="1:12" x14ac:dyDescent="0.25">
      <c r="B5465">
        <f>_xlfn.XLOOKUP($A5465,Load!$B:$B,Load!C:C,0,)</f>
        <v>0</v>
      </c>
      <c r="C5465">
        <f>_xlfn.XLOOKUP($A5465,Load!$B:$B,Load!D:D,0,)</f>
        <v>0</v>
      </c>
      <c r="D5465">
        <f>_xlfn.XLOOKUP($A5465,Load!$B:$B,Load!E:E,0,)</f>
        <v>0</v>
      </c>
      <c r="E5465">
        <f>_xlfn.XLOOKUP($A5465,Load!$B:$B,Load!F:F,0,)</f>
        <v>0</v>
      </c>
      <c r="F5465">
        <f>_xlfn.XLOOKUP($A5465,Load!$B:$B,Load!G:G,0,)</f>
        <v>0</v>
      </c>
      <c r="G5465">
        <f>_xlfn.XLOOKUP($A5465,Load!$B:$B,Load!H:H,0,)</f>
        <v>0</v>
      </c>
      <c r="H5465">
        <f>_xlfn.XLOOKUP($A5465,Load!$B:$B,Load!I:I,0,)</f>
        <v>0</v>
      </c>
      <c r="I5465">
        <f>_xlfn.XLOOKUP($A5465,Load!$B:$B,Load!J:J,0,)</f>
        <v>0</v>
      </c>
      <c r="J5465">
        <f>_xlfn.XLOOKUP($A5465,Load!$B:$B,Load!K:K,0,)</f>
        <v>0</v>
      </c>
      <c r="K5465">
        <f>_xlfn.XLOOKUP($A5465,Load!$B:$B,Load!L:L,0,)</f>
        <v>0</v>
      </c>
      <c r="L5465">
        <f>_xlfn.XLOOKUP($A5465,Load!$B:$B,Load!M:M,0,)</f>
        <v>0</v>
      </c>
    </row>
    <row r="5466" spans="1:12" x14ac:dyDescent="0.25">
      <c r="A5466" t="s">
        <v>78</v>
      </c>
      <c r="B5466" t="str">
        <f>_xlfn.XLOOKUP($A5466,Load!$B:$B,Load!C:C,0,)</f>
        <v>Ferrara Variety Pack</v>
      </c>
      <c r="C5466" t="str">
        <f>_xlfn.XLOOKUP($A5466,Load!$B:$B,Load!D:D,0,)</f>
        <v>Non-Chocolate Candy Only</v>
      </c>
      <c r="D5466" t="str">
        <f>_xlfn.XLOOKUP($A5466,Load!$B:$B,Load!E:E,0,)</f>
        <v>Variety / Mixed Flavors (Fruity, Sour, Seasonal Flavors)</v>
      </c>
      <c r="E5466" t="str">
        <f>_xlfn.XLOOKUP($A5466,Load!$B:$B,Load!F:F,0,)</f>
        <v>Mixed / Combo Packs (Gummy, Chewy, Taffy, etc.)</v>
      </c>
      <c r="F5466" t="str">
        <f>_xlfn.XLOOKUP($A5466,Load!$B:$B,Load!G:G,0,)</f>
        <v>Large Multipack (More than 80 ct)</v>
      </c>
      <c r="G5466" t="str">
        <f>_xlfn.XLOOKUP($A5466,Load!$B:$B,Load!H:H,0,)</f>
        <v>Stand-Up Bag</v>
      </c>
      <c r="H5466" t="str">
        <f>_xlfn.XLOOKUP($A5466,Load!$B:$B,Load!I:I,0,)</f>
        <v>Everyday Candy Shapes (like Original, Gummy bear, Fruit, Jewels, etc.)</v>
      </c>
      <c r="I5466" t="str">
        <f>_xlfn.XLOOKUP($A5466,Load!$B:$B,Load!J:J,0,)</f>
        <v>Seasonal Graphics (Like Bat, Ghost, Pumpkin, Fall Leaves, Eyeballs, etc.)</v>
      </c>
      <c r="J5466" t="str">
        <f>_xlfn.XLOOKUP($A5466,Load!$B:$B,Load!K:K,0,)</f>
        <v xml:space="preserve">Variety Candy Sizes </v>
      </c>
      <c r="K5466" t="str">
        <f>_xlfn.XLOOKUP($A5466,Load!$B:$B,Load!L:L,0,)</f>
        <v>Regular/Original Wrapping</v>
      </c>
      <c r="L5466" t="str">
        <f>_xlfn.XLOOKUP($A5466,Load!$B:$B,Load!M:M,0,)</f>
        <v>Multiple Brands / Variety Flavors or Form</v>
      </c>
    </row>
    <row r="5467" spans="1:12" x14ac:dyDescent="0.25">
      <c r="A5467" t="s">
        <v>206</v>
      </c>
      <c r="B5467" t="str">
        <f>_xlfn.XLOOKUP($A5467,Load!$B:$B,Load!C:C,0,)</f>
        <v>Mars Variety Pack</v>
      </c>
      <c r="C5467" t="str">
        <f>_xlfn.XLOOKUP($A5467,Load!$B:$B,Load!D:D,0,)</f>
        <v>Non-Chocolate Candy Only</v>
      </c>
      <c r="D5467" t="str">
        <f>_xlfn.XLOOKUP($A5467,Load!$B:$B,Load!E:E,0,)</f>
        <v>Variety / Mixed Flavors (Fruity, Sour, Seasonal Flavors)</v>
      </c>
      <c r="E5467" t="str">
        <f>_xlfn.XLOOKUP($A5467,Load!$B:$B,Load!F:F,0,)</f>
        <v>Mixed / Combo Packs (Gummy, Chewy, Taffy, etc.)</v>
      </c>
      <c r="F5467" t="str">
        <f>_xlfn.XLOOKUP($A5467,Load!$B:$B,Load!G:G,0,)</f>
        <v>Large Multipack (More than 80 ct)</v>
      </c>
      <c r="G5467" t="str">
        <f>_xlfn.XLOOKUP($A5467,Load!$B:$B,Load!H:H,0,)</f>
        <v>Stand-Up Bag</v>
      </c>
      <c r="H5467" t="str">
        <f>_xlfn.XLOOKUP($A5467,Load!$B:$B,Load!I:I,0,)</f>
        <v>Everyday Candy Shapes (like Original, Gummy bear, Fruit, Jewels, etc.)</v>
      </c>
      <c r="I5467" t="str">
        <f>_xlfn.XLOOKUP($A5467,Load!$B:$B,Load!J:J,0,)</f>
        <v>Seasonal Graphics (Like Bat, Ghost, Pumpkin, Fall Leaves, Eyeballs, etc.)</v>
      </c>
      <c r="J5467" t="str">
        <f>_xlfn.XLOOKUP($A5467,Load!$B:$B,Load!K:K,0,)</f>
        <v>Fun Size / Treat Size</v>
      </c>
      <c r="K5467" t="str">
        <f>_xlfn.XLOOKUP($A5467,Load!$B:$B,Load!L:L,0,)</f>
        <v>Regular/Original Wrapping</v>
      </c>
      <c r="L5467" t="str">
        <f>_xlfn.XLOOKUP($A5467,Load!$B:$B,Load!M:M,0,)</f>
        <v>Multiple Brands / Variety Flavors or Form</v>
      </c>
    </row>
    <row r="5468" spans="1:12" x14ac:dyDescent="0.25">
      <c r="A5468" t="s">
        <v>6</v>
      </c>
      <c r="B5468" t="str">
        <f>_xlfn.XLOOKUP($A5468,Load!$B:$B,Load!C:C,0,)</f>
        <v>Airheads</v>
      </c>
      <c r="C5468" t="str">
        <f>_xlfn.XLOOKUP($A5468,Load!$B:$B,Load!D:D,0,)</f>
        <v>Non-Chocolate Candy Only</v>
      </c>
      <c r="D5468" t="str">
        <f>_xlfn.XLOOKUP($A5468,Load!$B:$B,Load!E:E,0,)</f>
        <v>Sour</v>
      </c>
      <c r="E5468" t="str">
        <f>_xlfn.XLOOKUP($A5468,Load!$B:$B,Load!F:F,0,)</f>
        <v>Taffy</v>
      </c>
      <c r="F5468" t="str">
        <f>_xlfn.XLOOKUP($A5468,Load!$B:$B,Load!G:G,0,)</f>
        <v>Large Multipack (More than 80 ct)</v>
      </c>
      <c r="G5468" t="str">
        <f>_xlfn.XLOOKUP($A5468,Load!$B:$B,Load!H:H,0,)</f>
        <v>Laydown Bag</v>
      </c>
      <c r="H5468" t="str">
        <f>_xlfn.XLOOKUP($A5468,Load!$B:$B,Load!I:I,0,)</f>
        <v>Everyday Candy Shapes (like Original, Gummy bear, Fruit, Jewels, etc.)</v>
      </c>
      <c r="I5468" t="str">
        <f>_xlfn.XLOOKUP($A5468,Load!$B:$B,Load!J:J,0,)</f>
        <v>Everyday Graphics</v>
      </c>
      <c r="J5468" t="str">
        <f>_xlfn.XLOOKUP($A5468,Load!$B:$B,Load!K:K,0,)</f>
        <v>Fun Size / Treat Size</v>
      </c>
      <c r="K5468" t="str">
        <f>_xlfn.XLOOKUP($A5468,Load!$B:$B,Load!L:L,0,)</f>
        <v>Regular/Original Wrapping</v>
      </c>
      <c r="L5468" t="str">
        <f>_xlfn.XLOOKUP($A5468,Load!$B:$B,Load!M:M,0,)</f>
        <v>Single Brand / Variety Flavors or Form</v>
      </c>
    </row>
    <row r="5469" spans="1:12" x14ac:dyDescent="0.25">
      <c r="B5469">
        <f>_xlfn.XLOOKUP($A5469,Load!$B:$B,Load!C:C,0,)</f>
        <v>0</v>
      </c>
      <c r="C5469">
        <f>_xlfn.XLOOKUP($A5469,Load!$B:$B,Load!D:D,0,)</f>
        <v>0</v>
      </c>
      <c r="D5469">
        <f>_xlfn.XLOOKUP($A5469,Load!$B:$B,Load!E:E,0,)</f>
        <v>0</v>
      </c>
      <c r="E5469">
        <f>_xlfn.XLOOKUP($A5469,Load!$B:$B,Load!F:F,0,)</f>
        <v>0</v>
      </c>
      <c r="F5469">
        <f>_xlfn.XLOOKUP($A5469,Load!$B:$B,Load!G:G,0,)</f>
        <v>0</v>
      </c>
      <c r="G5469">
        <f>_xlfn.XLOOKUP($A5469,Load!$B:$B,Load!H:H,0,)</f>
        <v>0</v>
      </c>
      <c r="H5469">
        <f>_xlfn.XLOOKUP($A5469,Load!$B:$B,Load!I:I,0,)</f>
        <v>0</v>
      </c>
      <c r="I5469">
        <f>_xlfn.XLOOKUP($A5469,Load!$B:$B,Load!J:J,0,)</f>
        <v>0</v>
      </c>
      <c r="J5469">
        <f>_xlfn.XLOOKUP($A5469,Load!$B:$B,Load!K:K,0,)</f>
        <v>0</v>
      </c>
      <c r="K5469">
        <f>_xlfn.XLOOKUP($A5469,Load!$B:$B,Load!L:L,0,)</f>
        <v>0</v>
      </c>
      <c r="L5469">
        <f>_xlfn.XLOOKUP($A5469,Load!$B:$B,Load!M:M,0,)</f>
        <v>0</v>
      </c>
    </row>
    <row r="5470" spans="1:12" x14ac:dyDescent="0.25">
      <c r="A5470" t="s">
        <v>183</v>
      </c>
      <c r="B5470" t="str">
        <f>_xlfn.XLOOKUP($A5470,Load!$B:$B,Load!C:C,0,)</f>
        <v>Mars Variety Pack</v>
      </c>
      <c r="C5470" t="str">
        <f>_xlfn.XLOOKUP($A5470,Load!$B:$B,Load!D:D,0,)</f>
        <v>Non-Chocolate Candy Only</v>
      </c>
      <c r="D5470" t="str">
        <f>_xlfn.XLOOKUP($A5470,Load!$B:$B,Load!E:E,0,)</f>
        <v>Variety / Mixed Flavors (Fruity, Sour, Seasonal Flavors)</v>
      </c>
      <c r="E5470" t="str">
        <f>_xlfn.XLOOKUP($A5470,Load!$B:$B,Load!F:F,0,)</f>
        <v>Mixed / Combo Packs (Gummy, Chewy, Taffy, etc.)</v>
      </c>
      <c r="F5470" t="str">
        <f>_xlfn.XLOOKUP($A5470,Load!$B:$B,Load!G:G,0,)</f>
        <v>Large Multipack (More than 80 ct)</v>
      </c>
      <c r="G5470" t="str">
        <f>_xlfn.XLOOKUP($A5470,Load!$B:$B,Load!H:H,0,)</f>
        <v>Stand-Up Bag</v>
      </c>
      <c r="H5470" t="str">
        <f>_xlfn.XLOOKUP($A5470,Load!$B:$B,Load!I:I,0,)</f>
        <v>Seasonal Shapes (like pumpkins, candy corn, ghost, bats, etc.)</v>
      </c>
      <c r="I5470" t="str">
        <f>_xlfn.XLOOKUP($A5470,Load!$B:$B,Load!J:J,0,)</f>
        <v>Seasonal Graphics (Like Bat, Ghost, Pumpkin, Fall Leaves, Eyeballs, etc.)</v>
      </c>
      <c r="J5470" t="str">
        <f>_xlfn.XLOOKUP($A5470,Load!$B:$B,Load!K:K,0,)</f>
        <v xml:space="preserve">Variety Candy Sizes </v>
      </c>
      <c r="K5470" t="str">
        <f>_xlfn.XLOOKUP($A5470,Load!$B:$B,Load!L:L,0,)</f>
        <v>Regular/Original Wrapping</v>
      </c>
      <c r="L5470" t="str">
        <f>_xlfn.XLOOKUP($A5470,Load!$B:$B,Load!M:M,0,)</f>
        <v>Multiple Brands / Variety Flavors or Form</v>
      </c>
    </row>
    <row r="5471" spans="1:12" x14ac:dyDescent="0.25">
      <c r="B5471">
        <f>_xlfn.XLOOKUP($A5471,Load!$B:$B,Load!C:C,0,)</f>
        <v>0</v>
      </c>
      <c r="C5471">
        <f>_xlfn.XLOOKUP($A5471,Load!$B:$B,Load!D:D,0,)</f>
        <v>0</v>
      </c>
      <c r="D5471">
        <f>_xlfn.XLOOKUP($A5471,Load!$B:$B,Load!E:E,0,)</f>
        <v>0</v>
      </c>
      <c r="E5471">
        <f>_xlfn.XLOOKUP($A5471,Load!$B:$B,Load!F:F,0,)</f>
        <v>0</v>
      </c>
      <c r="F5471">
        <f>_xlfn.XLOOKUP($A5471,Load!$B:$B,Load!G:G,0,)</f>
        <v>0</v>
      </c>
      <c r="G5471">
        <f>_xlfn.XLOOKUP($A5471,Load!$B:$B,Load!H:H,0,)</f>
        <v>0</v>
      </c>
      <c r="H5471">
        <f>_xlfn.XLOOKUP($A5471,Load!$B:$B,Load!I:I,0,)</f>
        <v>0</v>
      </c>
      <c r="I5471">
        <f>_xlfn.XLOOKUP($A5471,Load!$B:$B,Load!J:J,0,)</f>
        <v>0</v>
      </c>
      <c r="J5471">
        <f>_xlfn.XLOOKUP($A5471,Load!$B:$B,Load!K:K,0,)</f>
        <v>0</v>
      </c>
      <c r="K5471">
        <f>_xlfn.XLOOKUP($A5471,Load!$B:$B,Load!L:L,0,)</f>
        <v>0</v>
      </c>
      <c r="L5471">
        <f>_xlfn.XLOOKUP($A5471,Load!$B:$B,Load!M:M,0,)</f>
        <v>0</v>
      </c>
    </row>
    <row r="5472" spans="1:12" x14ac:dyDescent="0.25">
      <c r="A5472" t="s">
        <v>116</v>
      </c>
      <c r="B5472" t="str">
        <f>_xlfn.XLOOKUP($A5472,Load!$B:$B,Load!C:C,0,)</f>
        <v>George Howe</v>
      </c>
      <c r="C5472" t="str">
        <f>_xlfn.XLOOKUP($A5472,Load!$B:$B,Load!D:D,0,)</f>
        <v>Mix of Chocolate and Non-Chocolate Candy</v>
      </c>
      <c r="D5472" t="str">
        <f>_xlfn.XLOOKUP($A5472,Load!$B:$B,Load!E:E,0,)</f>
        <v>Fall / Seasonal Flavors (pumpkin spice, caramel apple, candy corn)</v>
      </c>
      <c r="E5472" t="str">
        <f>_xlfn.XLOOKUP($A5472,Load!$B:$B,Load!F:F,0,)</f>
        <v>Candy Pieces / Bites</v>
      </c>
      <c r="F5472" t="str">
        <f>_xlfn.XLOOKUP($A5472,Load!$B:$B,Load!G:G,0,)</f>
        <v>Single Pack</v>
      </c>
      <c r="G5472" t="str">
        <f>_xlfn.XLOOKUP($A5472,Load!$B:$B,Load!H:H,0,)</f>
        <v>Laydown Bag</v>
      </c>
      <c r="H5472" t="str">
        <f>_xlfn.XLOOKUP($A5472,Load!$B:$B,Load!I:I,0,)</f>
        <v>Seasonal Shapes (like pumpkins, candy corn, ghost, bats, etc.)</v>
      </c>
      <c r="I5472" t="str">
        <f>_xlfn.XLOOKUP($A5472,Load!$B:$B,Load!J:J,0,)</f>
        <v>Everyday Graphics</v>
      </c>
      <c r="J5472" t="str">
        <f>_xlfn.XLOOKUP($A5472,Load!$B:$B,Load!K:K,0,)</f>
        <v>Small Pieces (Tiny bite size candies)</v>
      </c>
      <c r="K5472" t="str">
        <f>_xlfn.XLOOKUP($A5472,Load!$B:$B,Load!L:L,0,)</f>
        <v>Unwrapped</v>
      </c>
      <c r="L5472" t="str">
        <f>_xlfn.XLOOKUP($A5472,Load!$B:$B,Load!M:M,0,)</f>
        <v>Single Brand / Variety Flavors or Form</v>
      </c>
    </row>
    <row r="5473" spans="1:12" x14ac:dyDescent="0.25">
      <c r="A5473" t="s">
        <v>324</v>
      </c>
      <c r="B5473" t="str">
        <f>_xlfn.XLOOKUP($A5473,Load!$B:$B,Load!C:C,0,)</f>
        <v>Zachary</v>
      </c>
      <c r="C5473" t="str">
        <f>_xlfn.XLOOKUP($A5473,Load!$B:$B,Load!D:D,0,)</f>
        <v>Non-Chocolate Candy Only</v>
      </c>
      <c r="D5473" t="str">
        <f>_xlfn.XLOOKUP($A5473,Load!$B:$B,Load!E:E,0,)</f>
        <v>Fall / Seasonal Flavors (pumpkin spice, caramel apple, candy corn)</v>
      </c>
      <c r="E5473" t="str">
        <f>_xlfn.XLOOKUP($A5473,Load!$B:$B,Load!F:F,0,)</f>
        <v>Candy Pieces / Bites</v>
      </c>
      <c r="F5473" t="str">
        <f>_xlfn.XLOOKUP($A5473,Load!$B:$B,Load!G:G,0,)</f>
        <v>Single Pack</v>
      </c>
      <c r="G5473" t="str">
        <f>_xlfn.XLOOKUP($A5473,Load!$B:$B,Load!H:H,0,)</f>
        <v>Laydown Bag</v>
      </c>
      <c r="H5473" t="str">
        <f>_xlfn.XLOOKUP($A5473,Load!$B:$B,Load!I:I,0,)</f>
        <v>Seasonal Shapes (like pumpkins, candy corn, ghost, bats, etc.)</v>
      </c>
      <c r="I5473" t="str">
        <f>_xlfn.XLOOKUP($A5473,Load!$B:$B,Load!J:J,0,)</f>
        <v>Seasonal Graphics (Like Bat, Ghost, Pumpkin, Fall Leaves, Eyeballs, etc.)</v>
      </c>
      <c r="J5473" t="str">
        <f>_xlfn.XLOOKUP($A5473,Load!$B:$B,Load!K:K,0,)</f>
        <v>Small Pieces (Tiny bite size candies)</v>
      </c>
      <c r="K5473" t="str">
        <f>_xlfn.XLOOKUP($A5473,Load!$B:$B,Load!L:L,0,)</f>
        <v>Unwrapped</v>
      </c>
      <c r="L5473" t="str">
        <f>_xlfn.XLOOKUP($A5473,Load!$B:$B,Load!M:M,0,)</f>
        <v>Single Brand / Single Flavor or Form</v>
      </c>
    </row>
    <row r="5474" spans="1:12" x14ac:dyDescent="0.25">
      <c r="A5474" t="s">
        <v>220</v>
      </c>
      <c r="B5474" t="str">
        <f>_xlfn.XLOOKUP($A5474,Load!$B:$B,Load!C:C,0,)</f>
        <v>Mondelez Variety Pack</v>
      </c>
      <c r="C5474" t="str">
        <f>_xlfn.XLOOKUP($A5474,Load!$B:$B,Load!D:D,0,)</f>
        <v>Non-Chocolate Candy Only</v>
      </c>
      <c r="D5474" t="str">
        <f>_xlfn.XLOOKUP($A5474,Load!$B:$B,Load!E:E,0,)</f>
        <v>Variety / Mixed Flavors (Fruity, Sour, Seasonal Flavors)</v>
      </c>
      <c r="E5474" t="str">
        <f>_xlfn.XLOOKUP($A5474,Load!$B:$B,Load!F:F,0,)</f>
        <v>Chewy</v>
      </c>
      <c r="F5474" t="str">
        <f>_xlfn.XLOOKUP($A5474,Load!$B:$B,Load!G:G,0,)</f>
        <v>Large Multipack (More than 80 ct)</v>
      </c>
      <c r="G5474" t="str">
        <f>_xlfn.XLOOKUP($A5474,Load!$B:$B,Load!H:H,0,)</f>
        <v>Stand-Up Bag</v>
      </c>
      <c r="H5474" t="str">
        <f>_xlfn.XLOOKUP($A5474,Load!$B:$B,Load!I:I,0,)</f>
        <v>Seasonal Shapes (like pumpkins, candy corn, ghost, bats, etc.)</v>
      </c>
      <c r="I5474" t="str">
        <f>_xlfn.XLOOKUP($A5474,Load!$B:$B,Load!J:J,0,)</f>
        <v>Seasonal Graphics (Like Bat, Ghost, Pumpkin, Fall Leaves, Eyeballs, etc.)</v>
      </c>
      <c r="J5474" t="str">
        <f>_xlfn.XLOOKUP($A5474,Load!$B:$B,Load!K:K,0,)</f>
        <v>Small Pieces (Tiny bite size candies)</v>
      </c>
      <c r="K5474" t="str">
        <f>_xlfn.XLOOKUP($A5474,Load!$B:$B,Load!L:L,0,)</f>
        <v>Regular/Original Wrapping</v>
      </c>
      <c r="L5474" t="str">
        <f>_xlfn.XLOOKUP($A5474,Load!$B:$B,Load!M:M,0,)</f>
        <v>Single Brand / Variety Flavors or Form</v>
      </c>
    </row>
    <row r="5475" spans="1:12" x14ac:dyDescent="0.25">
      <c r="B5475">
        <f>_xlfn.XLOOKUP($A5475,Load!$B:$B,Load!C:C,0,)</f>
        <v>0</v>
      </c>
      <c r="C5475">
        <f>_xlfn.XLOOKUP($A5475,Load!$B:$B,Load!D:D,0,)</f>
        <v>0</v>
      </c>
      <c r="D5475">
        <f>_xlfn.XLOOKUP($A5475,Load!$B:$B,Load!E:E,0,)</f>
        <v>0</v>
      </c>
      <c r="E5475">
        <f>_xlfn.XLOOKUP($A5475,Load!$B:$B,Load!F:F,0,)</f>
        <v>0</v>
      </c>
      <c r="F5475">
        <f>_xlfn.XLOOKUP($A5475,Load!$B:$B,Load!G:G,0,)</f>
        <v>0</v>
      </c>
      <c r="G5475">
        <f>_xlfn.XLOOKUP($A5475,Load!$B:$B,Load!H:H,0,)</f>
        <v>0</v>
      </c>
      <c r="H5475">
        <f>_xlfn.XLOOKUP($A5475,Load!$B:$B,Load!I:I,0,)</f>
        <v>0</v>
      </c>
      <c r="I5475">
        <f>_xlfn.XLOOKUP($A5475,Load!$B:$B,Load!J:J,0,)</f>
        <v>0</v>
      </c>
      <c r="J5475">
        <f>_xlfn.XLOOKUP($A5475,Load!$B:$B,Load!K:K,0,)</f>
        <v>0</v>
      </c>
      <c r="K5475">
        <f>_xlfn.XLOOKUP($A5475,Load!$B:$B,Load!L:L,0,)</f>
        <v>0</v>
      </c>
      <c r="L5475">
        <f>_xlfn.XLOOKUP($A5475,Load!$B:$B,Load!M:M,0,)</f>
        <v>0</v>
      </c>
    </row>
    <row r="5476" spans="1:12" x14ac:dyDescent="0.25">
      <c r="A5476" t="s">
        <v>54</v>
      </c>
      <c r="B5476" t="str">
        <f>_xlfn.XLOOKUP($A5476,Load!$B:$B,Load!C:C,0,)</f>
        <v>Brach's</v>
      </c>
      <c r="C5476" t="str">
        <f>_xlfn.XLOOKUP($A5476,Load!$B:$B,Load!D:D,0,)</f>
        <v>Non-Chocolate Candy Only</v>
      </c>
      <c r="D5476" t="str">
        <f>_xlfn.XLOOKUP($A5476,Load!$B:$B,Load!E:E,0,)</f>
        <v>Fall / Seasonal Flavors (pumpkin spice, caramel apple, candy corn)</v>
      </c>
      <c r="E5476" t="str">
        <f>_xlfn.XLOOKUP($A5476,Load!$B:$B,Load!F:F,0,)</f>
        <v>Candy Pieces / Bites</v>
      </c>
      <c r="F5476" t="str">
        <f>_xlfn.XLOOKUP($A5476,Load!$B:$B,Load!G:G,0,)</f>
        <v>Single Pack</v>
      </c>
      <c r="G5476" t="str">
        <f>_xlfn.XLOOKUP($A5476,Load!$B:$B,Load!H:H,0,)</f>
        <v>Peg Bag</v>
      </c>
      <c r="H5476" t="str">
        <f>_xlfn.XLOOKUP($A5476,Load!$B:$B,Load!I:I,0,)</f>
        <v>Seasonal Shapes (like pumpkins, candy corn, ghost, bats, etc.)</v>
      </c>
      <c r="I5476" t="str">
        <f>_xlfn.XLOOKUP($A5476,Load!$B:$B,Load!J:J,0,)</f>
        <v>Seasonal Graphics (Like Bat, Ghost, Pumpkin, Fall Leaves, Eyeballs, etc.)</v>
      </c>
      <c r="J5476" t="str">
        <f>_xlfn.XLOOKUP($A5476,Load!$B:$B,Load!K:K,0,)</f>
        <v>Small Pieces (Tiny bite size candies)</v>
      </c>
      <c r="K5476" t="str">
        <f>_xlfn.XLOOKUP($A5476,Load!$B:$B,Load!L:L,0,)</f>
        <v>Unwrapped</v>
      </c>
      <c r="L5476" t="str">
        <f>_xlfn.XLOOKUP($A5476,Load!$B:$B,Load!M:M,0,)</f>
        <v>Single Brand / Single Flavor or Form</v>
      </c>
    </row>
    <row r="5477" spans="1:12" x14ac:dyDescent="0.25">
      <c r="A5477" t="s">
        <v>468</v>
      </c>
      <c r="B5477" t="str">
        <f>_xlfn.XLOOKUP($A5477,Load!$B:$B,Load!C:C,0,)</f>
        <v>Brach's</v>
      </c>
      <c r="C5477" t="str">
        <f>_xlfn.XLOOKUP($A5477,Load!$B:$B,Load!D:D,0,)</f>
        <v>Non-Chocolate Candy Only</v>
      </c>
      <c r="D5477" t="str">
        <f>_xlfn.XLOOKUP($A5477,Load!$B:$B,Load!E:E,0,)</f>
        <v>Fall / Seasonal Flavors (pumpkin spice, caramel apple, candy corn)</v>
      </c>
      <c r="E5477" t="str">
        <f>_xlfn.XLOOKUP($A5477,Load!$B:$B,Load!F:F,0,)</f>
        <v>Candy Pieces / Bites</v>
      </c>
      <c r="F5477" t="str">
        <f>_xlfn.XLOOKUP($A5477,Load!$B:$B,Load!G:G,0,)</f>
        <v>Single Pack</v>
      </c>
      <c r="G5477" t="str">
        <f>_xlfn.XLOOKUP($A5477,Load!$B:$B,Load!H:H,0,)</f>
        <v>Laydown Bag</v>
      </c>
      <c r="H5477" t="str">
        <f>_xlfn.XLOOKUP($A5477,Load!$B:$B,Load!I:I,0,)</f>
        <v>Seasonal Shapes (like pumpkins, candy corn, ghost, bats, etc.)</v>
      </c>
      <c r="I5477" t="str">
        <f>_xlfn.XLOOKUP($A5477,Load!$B:$B,Load!J:J,0,)</f>
        <v>Seasonal Graphics (Like Bat, Ghost, Pumpkin, Fall Leaves, Eyeballs, etc.)</v>
      </c>
      <c r="J5477" t="str">
        <f>_xlfn.XLOOKUP($A5477,Load!$B:$B,Load!K:K,0,)</f>
        <v>Small Pieces (Tiny bite size candies)</v>
      </c>
      <c r="K5477" t="str">
        <f>_xlfn.XLOOKUP($A5477,Load!$B:$B,Load!L:L,0,)</f>
        <v>Unwrapped</v>
      </c>
      <c r="L5477" t="str">
        <f>_xlfn.XLOOKUP($A5477,Load!$B:$B,Load!M:M,0,)</f>
        <v>Single Brand / Single Flavor or Form</v>
      </c>
    </row>
    <row r="5478" spans="1:12" x14ac:dyDescent="0.25">
      <c r="A5478" t="s">
        <v>128</v>
      </c>
      <c r="B5478" t="str">
        <f>_xlfn.XLOOKUP($A5478,Load!$B:$B,Load!C:C,0,)</f>
        <v>HARIBO</v>
      </c>
      <c r="C5478" t="str">
        <f>_xlfn.XLOOKUP($A5478,Load!$B:$B,Load!D:D,0,)</f>
        <v>Non-Chocolate Candy Only</v>
      </c>
      <c r="D5478" t="str">
        <f>_xlfn.XLOOKUP($A5478,Load!$B:$B,Load!E:E,0,)</f>
        <v>Fruit Flavor (Cherry, Grape, Apple, Citrus, Tropical Fruit)</v>
      </c>
      <c r="E5478" t="str">
        <f>_xlfn.XLOOKUP($A5478,Load!$B:$B,Load!F:F,0,)</f>
        <v>Gummy</v>
      </c>
      <c r="F5478" t="str">
        <f>_xlfn.XLOOKUP($A5478,Load!$B:$B,Load!G:G,0,)</f>
        <v>Medium Multipack (40–80 ct)</v>
      </c>
      <c r="G5478" t="str">
        <f>_xlfn.XLOOKUP($A5478,Load!$B:$B,Load!H:H,0,)</f>
        <v>Plastic Cup / Container</v>
      </c>
      <c r="H5478" t="str">
        <f>_xlfn.XLOOKUP($A5478,Load!$B:$B,Load!I:I,0,)</f>
        <v>Everyday Candy Shapes (like Original, Gummy bear, Fruit, Jewels, etc.)</v>
      </c>
      <c r="I5478" t="str">
        <f>_xlfn.XLOOKUP($A5478,Load!$B:$B,Load!J:J,0,)</f>
        <v>Everyday Graphics</v>
      </c>
      <c r="J5478" t="str">
        <f>_xlfn.XLOOKUP($A5478,Load!$B:$B,Load!K:K,0,)</f>
        <v>Small Pieces (Tiny bite size candies)</v>
      </c>
      <c r="K5478" t="str">
        <f>_xlfn.XLOOKUP($A5478,Load!$B:$B,Load!L:L,0,)</f>
        <v>Regular/Original Wrapping</v>
      </c>
      <c r="L5478" t="str">
        <f>_xlfn.XLOOKUP($A5478,Load!$B:$B,Load!M:M,0,)</f>
        <v>Single Brand / Variety Flavors or Form</v>
      </c>
    </row>
    <row r="5479" spans="1:12" x14ac:dyDescent="0.25">
      <c r="A5479" t="s">
        <v>101</v>
      </c>
      <c r="B5479" t="str">
        <f>_xlfn.XLOOKUP($A5479,Load!$B:$B,Load!C:C,0,)</f>
        <v>Flix</v>
      </c>
      <c r="C5479" t="str">
        <f>_xlfn.XLOOKUP($A5479,Load!$B:$B,Load!D:D,0,)</f>
        <v>Non-Chocolate Candy Only</v>
      </c>
      <c r="D5479" t="str">
        <f>_xlfn.XLOOKUP($A5479,Load!$B:$B,Load!E:E,0,)</f>
        <v>Fruit Flavor (Cherry, Grape, Apple, Citrus, Tropical Fruit)</v>
      </c>
      <c r="E5479" t="str">
        <f>_xlfn.XLOOKUP($A5479,Load!$B:$B,Load!F:F,0,)</f>
        <v>Gummy</v>
      </c>
      <c r="F5479" t="str">
        <f>_xlfn.XLOOKUP($A5479,Load!$B:$B,Load!G:G,0,)</f>
        <v>Small Multipack (Less than 40 ct)</v>
      </c>
      <c r="G5479" t="str">
        <f>_xlfn.XLOOKUP($A5479,Load!$B:$B,Load!H:H,0,)</f>
        <v>Laydown Bag</v>
      </c>
      <c r="H5479" t="str">
        <f>_xlfn.XLOOKUP($A5479,Load!$B:$B,Load!I:I,0,)</f>
        <v>Seasonal Shapes (like pumpkins, candy corn, ghost, bats, etc.)</v>
      </c>
      <c r="I5479" t="str">
        <f>_xlfn.XLOOKUP($A5479,Load!$B:$B,Load!J:J,0,)</f>
        <v>Seasonal Graphics (Like Bat, Ghost, Pumpkin, Fall Leaves, Eyeballs, etc.)</v>
      </c>
      <c r="J5479" t="str">
        <f>_xlfn.XLOOKUP($A5479,Load!$B:$B,Load!K:K,0,)</f>
        <v>Small Pieces (Tiny bite size candies)</v>
      </c>
      <c r="K5479" t="str">
        <f>_xlfn.XLOOKUP($A5479,Load!$B:$B,Load!L:L,0,)</f>
        <v>Regular/Original Wrapping</v>
      </c>
      <c r="L5479" t="str">
        <f>_xlfn.XLOOKUP($A5479,Load!$B:$B,Load!M:M,0,)</f>
        <v>Single Brand / Variety Flavors or Form</v>
      </c>
    </row>
    <row r="5480" spans="1:12" x14ac:dyDescent="0.25">
      <c r="A5480" t="s">
        <v>147</v>
      </c>
      <c r="B5480" t="str">
        <f>_xlfn.XLOOKUP($A5480,Load!$B:$B,Load!C:C,0,)</f>
        <v>Jelly Belly</v>
      </c>
      <c r="C5480" t="str">
        <f>_xlfn.XLOOKUP($A5480,Load!$B:$B,Load!D:D,0,)</f>
        <v>Non-Chocolate Candy Only</v>
      </c>
      <c r="D5480" t="str">
        <f>_xlfn.XLOOKUP($A5480,Load!$B:$B,Load!E:E,0,)</f>
        <v>Variety / Mixed Flavors (Fruity, Sour, Seasonal Flavors)</v>
      </c>
      <c r="E5480" t="str">
        <f>_xlfn.XLOOKUP($A5480,Load!$B:$B,Load!F:F,0,)</f>
        <v>Candy Pieces / Bites</v>
      </c>
      <c r="F5480" t="str">
        <f>_xlfn.XLOOKUP($A5480,Load!$B:$B,Load!G:G,0,)</f>
        <v>Medium Multipack (40–80 ct)</v>
      </c>
      <c r="G5480" t="str">
        <f>_xlfn.XLOOKUP($A5480,Load!$B:$B,Load!H:H,0,)</f>
        <v>Box (theatre box, gift box, carton)</v>
      </c>
      <c r="H5480" t="str">
        <f>_xlfn.XLOOKUP($A5480,Load!$B:$B,Load!I:I,0,)</f>
        <v>Everyday Candy Shapes (like Original, Gummy bear, Fruit, Jewels, etc.)</v>
      </c>
      <c r="I5480" t="str">
        <f>_xlfn.XLOOKUP($A5480,Load!$B:$B,Load!J:J,0,)</f>
        <v>Everyday Graphics</v>
      </c>
      <c r="J5480" t="str">
        <f>_xlfn.XLOOKUP($A5480,Load!$B:$B,Load!K:K,0,)</f>
        <v>Small Pieces (Tiny bite size candies)</v>
      </c>
      <c r="K5480" t="str">
        <f>_xlfn.XLOOKUP($A5480,Load!$B:$B,Load!L:L,0,)</f>
        <v>Regular/Original Wrapping</v>
      </c>
      <c r="L5480" t="str">
        <f>_xlfn.XLOOKUP($A5480,Load!$B:$B,Load!M:M,0,)</f>
        <v>Single Brand / Variety Flavors or Form</v>
      </c>
    </row>
    <row r="5481" spans="1:12" x14ac:dyDescent="0.25">
      <c r="A5481" t="s">
        <v>66</v>
      </c>
      <c r="B5481" t="str">
        <f>_xlfn.XLOOKUP($A5481,Load!$B:$B,Load!C:C,0,)</f>
        <v>Dots</v>
      </c>
      <c r="C5481" t="str">
        <f>_xlfn.XLOOKUP($A5481,Load!$B:$B,Load!D:D,0,)</f>
        <v>Non-Chocolate Candy Only</v>
      </c>
      <c r="D5481" t="str">
        <f>_xlfn.XLOOKUP($A5481,Load!$B:$B,Load!E:E,0,)</f>
        <v>Variety / Mixed Flavors (Fruity, Sour, Seasonal Flavors)</v>
      </c>
      <c r="E5481" t="str">
        <f>_xlfn.XLOOKUP($A5481,Load!$B:$B,Load!F:F,0,)</f>
        <v>Candy Pieces / Bites</v>
      </c>
      <c r="F5481" t="str">
        <f>_xlfn.XLOOKUP($A5481,Load!$B:$B,Load!G:G,0,)</f>
        <v>Small Multipack (Less than 40 ct)</v>
      </c>
      <c r="G5481" t="str">
        <f>_xlfn.XLOOKUP($A5481,Load!$B:$B,Load!H:H,0,)</f>
        <v>Stand-Up Bag</v>
      </c>
      <c r="H5481" t="str">
        <f>_xlfn.XLOOKUP($A5481,Load!$B:$B,Load!I:I,0,)</f>
        <v>Seasonal Shapes (like pumpkins, candy corn, ghost, bats, etc.)</v>
      </c>
      <c r="I5481" t="str">
        <f>_xlfn.XLOOKUP($A5481,Load!$B:$B,Load!J:J,0,)</f>
        <v>Seasonal Graphics (Like Bat, Ghost, Pumpkin, Fall Leaves, Eyeballs, etc.)</v>
      </c>
      <c r="J5481" t="str">
        <f>_xlfn.XLOOKUP($A5481,Load!$B:$B,Load!K:K,0,)</f>
        <v>Fun Size / Treat Size</v>
      </c>
      <c r="K5481" t="str">
        <f>_xlfn.XLOOKUP($A5481,Load!$B:$B,Load!L:L,0,)</f>
        <v>Regular/Original Wrapping</v>
      </c>
      <c r="L5481" t="str">
        <f>_xlfn.XLOOKUP($A5481,Load!$B:$B,Load!M:M,0,)</f>
        <v>Single Brand / Variety Flavors or Form</v>
      </c>
    </row>
    <row r="5482" spans="1:12" x14ac:dyDescent="0.25">
      <c r="A5482" t="s">
        <v>189</v>
      </c>
      <c r="B5482" t="str">
        <f>_xlfn.XLOOKUP($A5482,Load!$B:$B,Load!C:C,0,)</f>
        <v>Mars Variety Pack</v>
      </c>
      <c r="C5482" t="str">
        <f>_xlfn.XLOOKUP($A5482,Load!$B:$B,Load!D:D,0,)</f>
        <v>Non-Chocolate Candy Only</v>
      </c>
      <c r="D5482" t="str">
        <f>_xlfn.XLOOKUP($A5482,Load!$B:$B,Load!E:E,0,)</f>
        <v>Variety / Mixed Flavors (Fruity, Sour, Seasonal Flavors)</v>
      </c>
      <c r="E5482" t="str">
        <f>_xlfn.XLOOKUP($A5482,Load!$B:$B,Load!F:F,0,)</f>
        <v>Mixed / Combo Packs (Gummy, Chewy, Taffy, etc.)</v>
      </c>
      <c r="F5482" t="str">
        <f>_xlfn.XLOOKUP($A5482,Load!$B:$B,Load!G:G,0,)</f>
        <v>Small Multipack (Less than 40 ct)</v>
      </c>
      <c r="G5482" t="str">
        <f>_xlfn.XLOOKUP($A5482,Load!$B:$B,Load!H:H,0,)</f>
        <v>Box (theatre box, gift box, carton)</v>
      </c>
      <c r="H5482" t="str">
        <f>_xlfn.XLOOKUP($A5482,Load!$B:$B,Load!I:I,0,)</f>
        <v>Everyday Candy Shapes (like Original, Gummy bear, Fruit, Jewels, etc.)</v>
      </c>
      <c r="I5482" t="str">
        <f>_xlfn.XLOOKUP($A5482,Load!$B:$B,Load!J:J,0,)</f>
        <v>Everyday Graphics</v>
      </c>
      <c r="J5482" t="str">
        <f>_xlfn.XLOOKUP($A5482,Load!$B:$B,Load!K:K,0,)</f>
        <v>Small Pieces (Tiny bite size candies)</v>
      </c>
      <c r="K5482" t="str">
        <f>_xlfn.XLOOKUP($A5482,Load!$B:$B,Load!L:L,0,)</f>
        <v>Regular/Original Wrapping</v>
      </c>
      <c r="L5482" t="str">
        <f>_xlfn.XLOOKUP($A5482,Load!$B:$B,Load!M:M,0,)</f>
        <v>Multiple Brands / Variety Flavors or Form</v>
      </c>
    </row>
    <row r="5483" spans="1:12" x14ac:dyDescent="0.25">
      <c r="B5483">
        <f>_xlfn.XLOOKUP($A5483,Load!$B:$B,Load!C:C,0,)</f>
        <v>0</v>
      </c>
      <c r="C5483">
        <f>_xlfn.XLOOKUP($A5483,Load!$B:$B,Load!D:D,0,)</f>
        <v>0</v>
      </c>
      <c r="D5483">
        <f>_xlfn.XLOOKUP($A5483,Load!$B:$B,Load!E:E,0,)</f>
        <v>0</v>
      </c>
      <c r="E5483">
        <f>_xlfn.XLOOKUP($A5483,Load!$B:$B,Load!F:F,0,)</f>
        <v>0</v>
      </c>
      <c r="F5483">
        <f>_xlfn.XLOOKUP($A5483,Load!$B:$B,Load!G:G,0,)</f>
        <v>0</v>
      </c>
      <c r="G5483">
        <f>_xlfn.XLOOKUP($A5483,Load!$B:$B,Load!H:H,0,)</f>
        <v>0</v>
      </c>
      <c r="H5483">
        <f>_xlfn.XLOOKUP($A5483,Load!$B:$B,Load!I:I,0,)</f>
        <v>0</v>
      </c>
      <c r="I5483">
        <f>_xlfn.XLOOKUP($A5483,Load!$B:$B,Load!J:J,0,)</f>
        <v>0</v>
      </c>
      <c r="J5483">
        <f>_xlfn.XLOOKUP($A5483,Load!$B:$B,Load!K:K,0,)</f>
        <v>0</v>
      </c>
      <c r="K5483">
        <f>_xlfn.XLOOKUP($A5483,Load!$B:$B,Load!L:L,0,)</f>
        <v>0</v>
      </c>
      <c r="L5483">
        <f>_xlfn.XLOOKUP($A5483,Load!$B:$B,Load!M:M,0,)</f>
        <v>0</v>
      </c>
    </row>
    <row r="5484" spans="1:12" x14ac:dyDescent="0.25">
      <c r="A5484" t="s">
        <v>8</v>
      </c>
      <c r="B5484" t="str">
        <f>_xlfn.XLOOKUP($A5484,Load!$B:$B,Load!C:C,0,)</f>
        <v>Airheads</v>
      </c>
      <c r="C5484" t="str">
        <f>_xlfn.XLOOKUP($A5484,Load!$B:$B,Load!D:D,0,)</f>
        <v>Non-Chocolate Candy Only</v>
      </c>
      <c r="D5484" t="str">
        <f>_xlfn.XLOOKUP($A5484,Load!$B:$B,Load!E:E,0,)</f>
        <v>Fruit Flavor (Cherry, Grape, Apple, Citrus, Tropical Fruit)</v>
      </c>
      <c r="E5484" t="str">
        <f>_xlfn.XLOOKUP($A5484,Load!$B:$B,Load!F:F,0,)</f>
        <v>Chewy</v>
      </c>
      <c r="F5484" t="str">
        <f>_xlfn.XLOOKUP($A5484,Load!$B:$B,Load!G:G,0,)</f>
        <v>Small Multipack (Less than 40 ct)</v>
      </c>
      <c r="G5484" t="str">
        <f>_xlfn.XLOOKUP($A5484,Load!$B:$B,Load!H:H,0,)</f>
        <v>Laydown Bag</v>
      </c>
      <c r="H5484" t="str">
        <f>_xlfn.XLOOKUP($A5484,Load!$B:$B,Load!I:I,0,)</f>
        <v>Everyday Candy Shapes (like Original, Gummy bear, Fruit, Jewels, etc.)</v>
      </c>
      <c r="I5484" t="str">
        <f>_xlfn.XLOOKUP($A5484,Load!$B:$B,Load!J:J,0,)</f>
        <v>Everyday Graphics</v>
      </c>
      <c r="J5484" t="str">
        <f>_xlfn.XLOOKUP($A5484,Load!$B:$B,Load!K:K,0,)</f>
        <v>Fun Size / Treat Size</v>
      </c>
      <c r="K5484" t="str">
        <f>_xlfn.XLOOKUP($A5484,Load!$B:$B,Load!L:L,0,)</f>
        <v>Regular/Original Wrapping</v>
      </c>
      <c r="L5484" t="str">
        <f>_xlfn.XLOOKUP($A5484,Load!$B:$B,Load!M:M,0,)</f>
        <v>Single Brand / Variety Flavors or Form</v>
      </c>
    </row>
    <row r="5485" spans="1:12" x14ac:dyDescent="0.25">
      <c r="A5485" t="s">
        <v>149</v>
      </c>
      <c r="B5485" t="str">
        <f>_xlfn.XLOOKUP($A5485,Load!$B:$B,Load!C:C,0,)</f>
        <v>Jolly Rancher</v>
      </c>
      <c r="C5485" t="str">
        <f>_xlfn.XLOOKUP($A5485,Load!$B:$B,Load!D:D,0,)</f>
        <v>Non-Chocolate Candy Only</v>
      </c>
      <c r="D5485" t="str">
        <f>_xlfn.XLOOKUP($A5485,Load!$B:$B,Load!E:E,0,)</f>
        <v>Fruit Flavor (Cherry, Grape, Apple, Citrus, Tropical Fruit)</v>
      </c>
      <c r="E5485" t="str">
        <f>_xlfn.XLOOKUP($A5485,Load!$B:$B,Load!F:F,0,)</f>
        <v>Gummy</v>
      </c>
      <c r="F5485" t="str">
        <f>_xlfn.XLOOKUP($A5485,Load!$B:$B,Load!G:G,0,)</f>
        <v>Small Multipack (Less than 40 ct)</v>
      </c>
      <c r="G5485" t="str">
        <f>_xlfn.XLOOKUP($A5485,Load!$B:$B,Load!H:H,0,)</f>
        <v>Laydown Bag</v>
      </c>
      <c r="H5485" t="str">
        <f>_xlfn.XLOOKUP($A5485,Load!$B:$B,Load!I:I,0,)</f>
        <v>Everyday Candy Shapes (like Original, Gummy bear, Fruit, Jewels, etc.)</v>
      </c>
      <c r="I5485" t="str">
        <f>_xlfn.XLOOKUP($A5485,Load!$B:$B,Load!J:J,0,)</f>
        <v>Everyday Graphics</v>
      </c>
      <c r="J5485" t="str">
        <f>_xlfn.XLOOKUP($A5485,Load!$B:$B,Load!K:K,0,)</f>
        <v>Fun Size / Treat Size</v>
      </c>
      <c r="K5485" t="str">
        <f>_xlfn.XLOOKUP($A5485,Load!$B:$B,Load!L:L,0,)</f>
        <v>Regular/Original Wrapping</v>
      </c>
      <c r="L5485" t="str">
        <f>_xlfn.XLOOKUP($A5485,Load!$B:$B,Load!M:M,0,)</f>
        <v>Single Brand / Variety Flavors or Form</v>
      </c>
    </row>
    <row r="5486" spans="1:12" x14ac:dyDescent="0.25">
      <c r="A5486" t="s">
        <v>463</v>
      </c>
      <c r="B5486" t="str">
        <f>_xlfn.XLOOKUP($A5486,Load!$B:$B,Load!C:C,0,)</f>
        <v>Mars Variety Pack</v>
      </c>
      <c r="C5486" t="str">
        <f>_xlfn.XLOOKUP($A5486,Load!$B:$B,Load!D:D,0,)</f>
        <v>Mix of Chocolate and Non-Chocolate Candy</v>
      </c>
      <c r="D5486" t="str">
        <f>_xlfn.XLOOKUP($A5486,Load!$B:$B,Load!E:E,0,)</f>
        <v>Variety / Mixed Flavors (Fruity, Sour, Seasonal Flavors)</v>
      </c>
      <c r="E5486" t="str">
        <f>_xlfn.XLOOKUP($A5486,Load!$B:$B,Load!F:F,0,)</f>
        <v>Mixed / Combo Packs (Gummy, Chewy, Taffy, etc.)</v>
      </c>
      <c r="F5486" t="str">
        <f>_xlfn.XLOOKUP($A5486,Load!$B:$B,Load!G:G,0,)</f>
        <v>Medium Multipack (40–80 ct)</v>
      </c>
      <c r="G5486" t="str">
        <f>_xlfn.XLOOKUP($A5486,Load!$B:$B,Load!H:H,0,)</f>
        <v>Stand-Up Bag</v>
      </c>
      <c r="H5486" t="str">
        <f>_xlfn.XLOOKUP($A5486,Load!$B:$B,Load!I:I,0,)</f>
        <v>Everyday Candy Shapes (like Original, Gummy bear, Fruit, Jewels, etc.)</v>
      </c>
      <c r="I5486" t="str">
        <f>_xlfn.XLOOKUP($A5486,Load!$B:$B,Load!J:J,0,)</f>
        <v>Seasonal Graphics (Like Bat, Ghost, Pumpkin, Fall Leaves, Eyeballs, etc.)</v>
      </c>
      <c r="J5486" t="str">
        <f>_xlfn.XLOOKUP($A5486,Load!$B:$B,Load!K:K,0,)</f>
        <v>Fun Size / Treat Size</v>
      </c>
      <c r="K5486" t="str">
        <f>_xlfn.XLOOKUP($A5486,Load!$B:$B,Load!L:L,0,)</f>
        <v>Regular/Original Wrapping</v>
      </c>
      <c r="L5486" t="str">
        <f>_xlfn.XLOOKUP($A5486,Load!$B:$B,Load!M:M,0,)</f>
        <v>Multiple Brands / Variety Flavors or Form</v>
      </c>
    </row>
    <row r="5487" spans="1:12" x14ac:dyDescent="0.25">
      <c r="B5487">
        <f>_xlfn.XLOOKUP($A5487,Load!$B:$B,Load!C:C,0,)</f>
        <v>0</v>
      </c>
      <c r="C5487">
        <f>_xlfn.XLOOKUP($A5487,Load!$B:$B,Load!D:D,0,)</f>
        <v>0</v>
      </c>
      <c r="D5487">
        <f>_xlfn.XLOOKUP($A5487,Load!$B:$B,Load!E:E,0,)</f>
        <v>0</v>
      </c>
      <c r="E5487">
        <f>_xlfn.XLOOKUP($A5487,Load!$B:$B,Load!F:F,0,)</f>
        <v>0</v>
      </c>
      <c r="F5487">
        <f>_xlfn.XLOOKUP($A5487,Load!$B:$B,Load!G:G,0,)</f>
        <v>0</v>
      </c>
      <c r="G5487">
        <f>_xlfn.XLOOKUP($A5487,Load!$B:$B,Load!H:H,0,)</f>
        <v>0</v>
      </c>
      <c r="H5487">
        <f>_xlfn.XLOOKUP($A5487,Load!$B:$B,Load!I:I,0,)</f>
        <v>0</v>
      </c>
      <c r="I5487">
        <f>_xlfn.XLOOKUP($A5487,Load!$B:$B,Load!J:J,0,)</f>
        <v>0</v>
      </c>
      <c r="J5487">
        <f>_xlfn.XLOOKUP($A5487,Load!$B:$B,Load!K:K,0,)</f>
        <v>0</v>
      </c>
      <c r="K5487">
        <f>_xlfn.XLOOKUP($A5487,Load!$B:$B,Load!L:L,0,)</f>
        <v>0</v>
      </c>
      <c r="L5487">
        <f>_xlfn.XLOOKUP($A5487,Load!$B:$B,Load!M:M,0,)</f>
        <v>0</v>
      </c>
    </row>
    <row r="5488" spans="1:12" x14ac:dyDescent="0.25">
      <c r="A5488" t="s">
        <v>287</v>
      </c>
      <c r="B5488" t="str">
        <f>_xlfn.XLOOKUP($A5488,Load!$B:$B,Load!C:C,0,)</f>
        <v>SweeTARTS</v>
      </c>
      <c r="C5488" t="str">
        <f>_xlfn.XLOOKUP($A5488,Load!$B:$B,Load!D:D,0,)</f>
        <v>Non-Chocolate Candy Only</v>
      </c>
      <c r="D5488" t="str">
        <f>_xlfn.XLOOKUP($A5488,Load!$B:$B,Load!E:E,0,)</f>
        <v>Berry Based (Raspberry, Strawberry, Medley, etc.)</v>
      </c>
      <c r="E5488" t="str">
        <f>_xlfn.XLOOKUP($A5488,Load!$B:$B,Load!F:F,0,)</f>
        <v>Chewy</v>
      </c>
      <c r="F5488" t="str">
        <f>_xlfn.XLOOKUP($A5488,Load!$B:$B,Load!G:G,0,)</f>
        <v>Small Multipack (Less than 40 ct)</v>
      </c>
      <c r="G5488" t="str">
        <f>_xlfn.XLOOKUP($A5488,Load!$B:$B,Load!H:H,0,)</f>
        <v>Laydown Bag</v>
      </c>
      <c r="H5488" t="str">
        <f>_xlfn.XLOOKUP($A5488,Load!$B:$B,Load!I:I,0,)</f>
        <v>Everyday Candy Shapes (like Original, Gummy bear, Fruit, Jewels, etc.)</v>
      </c>
      <c r="I5488" t="str">
        <f>_xlfn.XLOOKUP($A5488,Load!$B:$B,Load!J:J,0,)</f>
        <v>Everyday Graphics</v>
      </c>
      <c r="J5488" t="str">
        <f>_xlfn.XLOOKUP($A5488,Load!$B:$B,Load!K:K,0,)</f>
        <v>Fun Size / Treat Size</v>
      </c>
      <c r="K5488" t="str">
        <f>_xlfn.XLOOKUP($A5488,Load!$B:$B,Load!L:L,0,)</f>
        <v>Unwrapped</v>
      </c>
      <c r="L5488" t="str">
        <f>_xlfn.XLOOKUP($A5488,Load!$B:$B,Load!M:M,0,)</f>
        <v>Single Brand / Single Flavor or Form</v>
      </c>
    </row>
    <row r="5489" spans="1:12" x14ac:dyDescent="0.25">
      <c r="B5489">
        <f>_xlfn.XLOOKUP($A5489,Load!$B:$B,Load!C:C,0,)</f>
        <v>0</v>
      </c>
      <c r="C5489">
        <f>_xlfn.XLOOKUP($A5489,Load!$B:$B,Load!D:D,0,)</f>
        <v>0</v>
      </c>
      <c r="D5489">
        <f>_xlfn.XLOOKUP($A5489,Load!$B:$B,Load!E:E,0,)</f>
        <v>0</v>
      </c>
      <c r="E5489">
        <f>_xlfn.XLOOKUP($A5489,Load!$B:$B,Load!F:F,0,)</f>
        <v>0</v>
      </c>
      <c r="F5489">
        <f>_xlfn.XLOOKUP($A5489,Load!$B:$B,Load!G:G,0,)</f>
        <v>0</v>
      </c>
      <c r="G5489">
        <f>_xlfn.XLOOKUP($A5489,Load!$B:$B,Load!H:H,0,)</f>
        <v>0</v>
      </c>
      <c r="H5489">
        <f>_xlfn.XLOOKUP($A5489,Load!$B:$B,Load!I:I,0,)</f>
        <v>0</v>
      </c>
      <c r="I5489">
        <f>_xlfn.XLOOKUP($A5489,Load!$B:$B,Load!J:J,0,)</f>
        <v>0</v>
      </c>
      <c r="J5489">
        <f>_xlfn.XLOOKUP($A5489,Load!$B:$B,Load!K:K,0,)</f>
        <v>0</v>
      </c>
      <c r="K5489">
        <f>_xlfn.XLOOKUP($A5489,Load!$B:$B,Load!L:L,0,)</f>
        <v>0</v>
      </c>
      <c r="L5489">
        <f>_xlfn.XLOOKUP($A5489,Load!$B:$B,Load!M:M,0,)</f>
        <v>0</v>
      </c>
    </row>
    <row r="5490" spans="1:12" x14ac:dyDescent="0.25">
      <c r="A5490" t="s">
        <v>187</v>
      </c>
      <c r="B5490" t="str">
        <f>_xlfn.XLOOKUP($A5490,Load!$B:$B,Load!C:C,0,)</f>
        <v>Mars Variety Pack</v>
      </c>
      <c r="C5490" t="str">
        <f>_xlfn.XLOOKUP($A5490,Load!$B:$B,Load!D:D,0,)</f>
        <v>Mix of Chocolate and Non-Chocolate Candy</v>
      </c>
      <c r="D5490" t="str">
        <f>_xlfn.XLOOKUP($A5490,Load!$B:$B,Load!E:E,0,)</f>
        <v>Variety / Mixed Flavors (Fruity, Sour, Seasonal Flavors)</v>
      </c>
      <c r="E5490" t="str">
        <f>_xlfn.XLOOKUP($A5490,Load!$B:$B,Load!F:F,0,)</f>
        <v>Mixed / Combo Packs (Gummy, Chewy, Taffy, etc.)</v>
      </c>
      <c r="F5490" t="str">
        <f>_xlfn.XLOOKUP($A5490,Load!$B:$B,Load!G:G,0,)</f>
        <v>Medium Multipack (40–80 ct)</v>
      </c>
      <c r="G5490" t="str">
        <f>_xlfn.XLOOKUP($A5490,Load!$B:$B,Load!H:H,0,)</f>
        <v>Stand-Up Bag</v>
      </c>
      <c r="H5490" t="str">
        <f>_xlfn.XLOOKUP($A5490,Load!$B:$B,Load!I:I,0,)</f>
        <v>Everyday Candy Shapes (like Original, Gummy bear, Fruit, Jewels, etc.)</v>
      </c>
      <c r="I5490" t="str">
        <f>_xlfn.XLOOKUP($A5490,Load!$B:$B,Load!J:J,0,)</f>
        <v>Seasonal Graphics (Like Bat, Ghost, Pumpkin, Fall Leaves, Eyeballs, etc.)</v>
      </c>
      <c r="J5490" t="str">
        <f>_xlfn.XLOOKUP($A5490,Load!$B:$B,Load!K:K,0,)</f>
        <v>Fun Size / Treat Size</v>
      </c>
      <c r="K5490" t="str">
        <f>_xlfn.XLOOKUP($A5490,Load!$B:$B,Load!L:L,0,)</f>
        <v>Regular/Original Wrapping</v>
      </c>
      <c r="L5490" t="str">
        <f>_xlfn.XLOOKUP($A5490,Load!$B:$B,Load!M:M,0,)</f>
        <v>Multiple Brands / Variety Flavors or Form</v>
      </c>
    </row>
    <row r="5491" spans="1:12" x14ac:dyDescent="0.25">
      <c r="B5491">
        <f>_xlfn.XLOOKUP($A5491,Load!$B:$B,Load!C:C,0,)</f>
        <v>0</v>
      </c>
      <c r="C5491">
        <f>_xlfn.XLOOKUP($A5491,Load!$B:$B,Load!D:D,0,)</f>
        <v>0</v>
      </c>
      <c r="D5491">
        <f>_xlfn.XLOOKUP($A5491,Load!$B:$B,Load!E:E,0,)</f>
        <v>0</v>
      </c>
      <c r="E5491">
        <f>_xlfn.XLOOKUP($A5491,Load!$B:$B,Load!F:F,0,)</f>
        <v>0</v>
      </c>
      <c r="F5491">
        <f>_xlfn.XLOOKUP($A5491,Load!$B:$B,Load!G:G,0,)</f>
        <v>0</v>
      </c>
      <c r="G5491">
        <f>_xlfn.XLOOKUP($A5491,Load!$B:$B,Load!H:H,0,)</f>
        <v>0</v>
      </c>
      <c r="H5491">
        <f>_xlfn.XLOOKUP($A5491,Load!$B:$B,Load!I:I,0,)</f>
        <v>0</v>
      </c>
      <c r="I5491">
        <f>_xlfn.XLOOKUP($A5491,Load!$B:$B,Load!J:J,0,)</f>
        <v>0</v>
      </c>
      <c r="J5491">
        <f>_xlfn.XLOOKUP($A5491,Load!$B:$B,Load!K:K,0,)</f>
        <v>0</v>
      </c>
      <c r="K5491">
        <f>_xlfn.XLOOKUP($A5491,Load!$B:$B,Load!L:L,0,)</f>
        <v>0</v>
      </c>
      <c r="L5491">
        <f>_xlfn.XLOOKUP($A5491,Load!$B:$B,Load!M:M,0,)</f>
        <v>0</v>
      </c>
    </row>
    <row r="5492" spans="1:12" x14ac:dyDescent="0.25">
      <c r="A5492" t="s">
        <v>72</v>
      </c>
      <c r="B5492" t="str">
        <f>_xlfn.XLOOKUP($A5492,Load!$B:$B,Load!C:C,0,)</f>
        <v>Dum Dums</v>
      </c>
      <c r="C5492" t="str">
        <f>_xlfn.XLOOKUP($A5492,Load!$B:$B,Load!D:D,0,)</f>
        <v>Non-Chocolate Candy Only</v>
      </c>
      <c r="D5492" t="str">
        <f>_xlfn.XLOOKUP($A5492,Load!$B:$B,Load!E:E,0,)</f>
        <v>Variety / Mixed Flavors (Fruity, Sour, Seasonal Flavors)</v>
      </c>
      <c r="E5492" t="str">
        <f>_xlfn.XLOOKUP($A5492,Load!$B:$B,Load!F:F,0,)</f>
        <v>Lollipop (regular or lollipop rings)</v>
      </c>
      <c r="F5492" t="str">
        <f>_xlfn.XLOOKUP($A5492,Load!$B:$B,Load!G:G,0,)</f>
        <v>Single Pack</v>
      </c>
      <c r="G5492" t="str">
        <f>_xlfn.XLOOKUP($A5492,Load!$B:$B,Load!H:H,0,)</f>
        <v>Laydown Bag</v>
      </c>
      <c r="H5492" t="str">
        <f>_xlfn.XLOOKUP($A5492,Load!$B:$B,Load!I:I,0,)</f>
        <v>Everyday Candy Shapes (like Original, Gummy bear, Fruit, Jewels, etc.)</v>
      </c>
      <c r="I5492" t="str">
        <f>_xlfn.XLOOKUP($A5492,Load!$B:$B,Load!J:J,0,)</f>
        <v>Seasonal Graphics (Like Bat, Ghost, Pumpkin, Fall Leaves, Eyeballs, etc.)</v>
      </c>
      <c r="J5492" t="str">
        <f>_xlfn.XLOOKUP($A5492,Load!$B:$B,Load!K:K,0,)</f>
        <v>Regular Lollipop size (on sticks or rings)</v>
      </c>
      <c r="K5492" t="str">
        <f>_xlfn.XLOOKUP($A5492,Load!$B:$B,Load!L:L,0,)</f>
        <v>Regular/Original Wrapping</v>
      </c>
      <c r="L5492" t="str">
        <f>_xlfn.XLOOKUP($A5492,Load!$B:$B,Load!M:M,0,)</f>
        <v>Single Brand / Variety Flavors or Form</v>
      </c>
    </row>
    <row r="5493" spans="1:12" x14ac:dyDescent="0.25">
      <c r="A5493" t="s">
        <v>58</v>
      </c>
      <c r="B5493" t="str">
        <f>_xlfn.XLOOKUP($A5493,Load!$B:$B,Load!C:C,0,)</f>
        <v>Charms</v>
      </c>
      <c r="C5493" t="str">
        <f>_xlfn.XLOOKUP($A5493,Load!$B:$B,Load!D:D,0,)</f>
        <v>Non-Chocolate Candy Only</v>
      </c>
      <c r="D5493" t="str">
        <f>_xlfn.XLOOKUP($A5493,Load!$B:$B,Load!E:E,0,)</f>
        <v>Variety / Mixed Flavors (Fruity, Sour, Seasonal Flavors)</v>
      </c>
      <c r="E5493" t="str">
        <f>_xlfn.XLOOKUP($A5493,Load!$B:$B,Load!F:F,0,)</f>
        <v>Lollipop (regular or lollipop rings)</v>
      </c>
      <c r="F5493" t="str">
        <f>_xlfn.XLOOKUP($A5493,Load!$B:$B,Load!G:G,0,)</f>
        <v>Small Multipack (Less than 40 ct)</v>
      </c>
      <c r="G5493" t="str">
        <f>_xlfn.XLOOKUP($A5493,Load!$B:$B,Load!H:H,0,)</f>
        <v>Laydown Bag</v>
      </c>
      <c r="H5493" t="str">
        <f>_xlfn.XLOOKUP($A5493,Load!$B:$B,Load!I:I,0,)</f>
        <v>Everyday Candy Shapes (like Original, Gummy bear, Fruit, Jewels, etc.)</v>
      </c>
      <c r="I5493" t="str">
        <f>_xlfn.XLOOKUP($A5493,Load!$B:$B,Load!J:J,0,)</f>
        <v>Seasonal Graphics (Like Bat, Ghost, Pumpkin, Fall Leaves, Eyeballs, etc.)</v>
      </c>
      <c r="J5493" t="str">
        <f>_xlfn.XLOOKUP($A5493,Load!$B:$B,Load!K:K,0,)</f>
        <v>Regular Lollipop size (on sticks or rings)</v>
      </c>
      <c r="K5493" t="str">
        <f>_xlfn.XLOOKUP($A5493,Load!$B:$B,Load!L:L,0,)</f>
        <v>Regular/Original Wrapping</v>
      </c>
      <c r="L5493" t="str">
        <f>_xlfn.XLOOKUP($A5493,Load!$B:$B,Load!M:M,0,)</f>
        <v>Single Brand / Variety Flavors or Form</v>
      </c>
    </row>
    <row r="5494" spans="1:12" x14ac:dyDescent="0.25">
      <c r="A5494" t="s">
        <v>150</v>
      </c>
      <c r="B5494" t="str">
        <f>_xlfn.XLOOKUP($A5494,Load!$B:$B,Load!C:C,0,)</f>
        <v>Jolly Rancher</v>
      </c>
      <c r="C5494" t="str">
        <f>_xlfn.XLOOKUP($A5494,Load!$B:$B,Load!D:D,0,)</f>
        <v>Non-Chocolate Candy Only</v>
      </c>
      <c r="D5494" t="str">
        <f>_xlfn.XLOOKUP($A5494,Load!$B:$B,Load!E:E,0,)</f>
        <v>Variety / Mixed Flavors (Fruity, Sour, Seasonal Flavors)</v>
      </c>
      <c r="E5494" t="str">
        <f>_xlfn.XLOOKUP($A5494,Load!$B:$B,Load!F:F,0,)</f>
        <v>Gummy</v>
      </c>
      <c r="F5494" t="str">
        <f>_xlfn.XLOOKUP($A5494,Load!$B:$B,Load!G:G,0,)</f>
        <v>Small Multipack (Less than 40 ct)</v>
      </c>
      <c r="G5494" t="str">
        <f>_xlfn.XLOOKUP($A5494,Load!$B:$B,Load!H:H,0,)</f>
        <v>Laydown Bag</v>
      </c>
      <c r="H5494" t="str">
        <f>_xlfn.XLOOKUP($A5494,Load!$B:$B,Load!I:I,0,)</f>
        <v>Everyday Candy Shapes (like Original, Gummy bear, Fruit, Jewels, etc.)</v>
      </c>
      <c r="I5494" t="str">
        <f>_xlfn.XLOOKUP($A5494,Load!$B:$B,Load!J:J,0,)</f>
        <v>Everyday Graphics</v>
      </c>
      <c r="J5494" t="str">
        <f>_xlfn.XLOOKUP($A5494,Load!$B:$B,Load!K:K,0,)</f>
        <v>Small Pieces (Tiny bite size candies)</v>
      </c>
      <c r="K5494" t="str">
        <f>_xlfn.XLOOKUP($A5494,Load!$B:$B,Load!L:L,0,)</f>
        <v>Regular/Original Wrapping</v>
      </c>
      <c r="L5494" t="str">
        <f>_xlfn.XLOOKUP($A5494,Load!$B:$B,Load!M:M,0,)</f>
        <v>Single Brand / Variety Flavors or Form</v>
      </c>
    </row>
    <row r="5495" spans="1:12" x14ac:dyDescent="0.25">
      <c r="B5495">
        <f>_xlfn.XLOOKUP($A5495,Load!$B:$B,Load!C:C,0,)</f>
        <v>0</v>
      </c>
      <c r="C5495">
        <f>_xlfn.XLOOKUP($A5495,Load!$B:$B,Load!D:D,0,)</f>
        <v>0</v>
      </c>
      <c r="D5495">
        <f>_xlfn.XLOOKUP($A5495,Load!$B:$B,Load!E:E,0,)</f>
        <v>0</v>
      </c>
      <c r="E5495">
        <f>_xlfn.XLOOKUP($A5495,Load!$B:$B,Load!F:F,0,)</f>
        <v>0</v>
      </c>
      <c r="F5495">
        <f>_xlfn.XLOOKUP($A5495,Load!$B:$B,Load!G:G,0,)</f>
        <v>0</v>
      </c>
      <c r="G5495">
        <f>_xlfn.XLOOKUP($A5495,Load!$B:$B,Load!H:H,0,)</f>
        <v>0</v>
      </c>
      <c r="H5495">
        <f>_xlfn.XLOOKUP($A5495,Load!$B:$B,Load!I:I,0,)</f>
        <v>0</v>
      </c>
      <c r="I5495">
        <f>_xlfn.XLOOKUP($A5495,Load!$B:$B,Load!J:J,0,)</f>
        <v>0</v>
      </c>
      <c r="J5495">
        <f>_xlfn.XLOOKUP($A5495,Load!$B:$B,Load!K:K,0,)</f>
        <v>0</v>
      </c>
      <c r="K5495">
        <f>_xlfn.XLOOKUP($A5495,Load!$B:$B,Load!L:L,0,)</f>
        <v>0</v>
      </c>
      <c r="L5495">
        <f>_xlfn.XLOOKUP($A5495,Load!$B:$B,Load!M:M,0,)</f>
        <v>0</v>
      </c>
    </row>
    <row r="5496" spans="1:12" x14ac:dyDescent="0.25">
      <c r="A5496" t="s">
        <v>255</v>
      </c>
      <c r="B5496" t="str">
        <f>_xlfn.XLOOKUP($A5496,Load!$B:$B,Load!C:C,0,)</f>
        <v>Skittles</v>
      </c>
      <c r="C5496" t="str">
        <f>_xlfn.XLOOKUP($A5496,Load!$B:$B,Load!D:D,0,)</f>
        <v>Non-Chocolate Candy Only</v>
      </c>
      <c r="D5496" t="str">
        <f>_xlfn.XLOOKUP($A5496,Load!$B:$B,Load!E:E,0,)</f>
        <v>Variety / Mixed Flavors (Fruity, Sour, Seasonal Flavors)</v>
      </c>
      <c r="E5496" t="str">
        <f>_xlfn.XLOOKUP($A5496,Load!$B:$B,Load!F:F,0,)</f>
        <v>Gummy</v>
      </c>
      <c r="F5496" t="str">
        <f>_xlfn.XLOOKUP($A5496,Load!$B:$B,Load!G:G,0,)</f>
        <v>Large Multipack (More than 80 ct)</v>
      </c>
      <c r="G5496" t="str">
        <f>_xlfn.XLOOKUP($A5496,Load!$B:$B,Load!H:H,0,)</f>
        <v>Stand-Up Bag</v>
      </c>
      <c r="H5496" t="str">
        <f>_xlfn.XLOOKUP($A5496,Load!$B:$B,Load!I:I,0,)</f>
        <v>Everyday Candy Shapes (like Original, Gummy bear, Fruit, Jewels, etc.)</v>
      </c>
      <c r="I5496" t="str">
        <f>_xlfn.XLOOKUP($A5496,Load!$B:$B,Load!J:J,0,)</f>
        <v>Everyday Graphics</v>
      </c>
      <c r="J5496" t="str">
        <f>_xlfn.XLOOKUP($A5496,Load!$B:$B,Load!K:K,0,)</f>
        <v>Fun Size / Treat Size</v>
      </c>
      <c r="K5496" t="str">
        <f>_xlfn.XLOOKUP($A5496,Load!$B:$B,Load!L:L,0,)</f>
        <v>Regular/Original Wrapping</v>
      </c>
      <c r="L5496" t="str">
        <f>_xlfn.XLOOKUP($A5496,Load!$B:$B,Load!M:M,0,)</f>
        <v>Single Brand / Variety Flavors or Form</v>
      </c>
    </row>
    <row r="5497" spans="1:12" x14ac:dyDescent="0.25">
      <c r="B5497">
        <f>_xlfn.XLOOKUP($A5497,Load!$B:$B,Load!C:C,0,)</f>
        <v>0</v>
      </c>
      <c r="C5497">
        <f>_xlfn.XLOOKUP($A5497,Load!$B:$B,Load!D:D,0,)</f>
        <v>0</v>
      </c>
      <c r="D5497">
        <f>_xlfn.XLOOKUP($A5497,Load!$B:$B,Load!E:E,0,)</f>
        <v>0</v>
      </c>
      <c r="E5497">
        <f>_xlfn.XLOOKUP($A5497,Load!$B:$B,Load!F:F,0,)</f>
        <v>0</v>
      </c>
      <c r="F5497">
        <f>_xlfn.XLOOKUP($A5497,Load!$B:$B,Load!G:G,0,)</f>
        <v>0</v>
      </c>
      <c r="G5497">
        <f>_xlfn.XLOOKUP($A5497,Load!$B:$B,Load!H:H,0,)</f>
        <v>0</v>
      </c>
      <c r="H5497">
        <f>_xlfn.XLOOKUP($A5497,Load!$B:$B,Load!I:I,0,)</f>
        <v>0</v>
      </c>
      <c r="I5497">
        <f>_xlfn.XLOOKUP($A5497,Load!$B:$B,Load!J:J,0,)</f>
        <v>0</v>
      </c>
      <c r="J5497">
        <f>_xlfn.XLOOKUP($A5497,Load!$B:$B,Load!K:K,0,)</f>
        <v>0</v>
      </c>
      <c r="K5497">
        <f>_xlfn.XLOOKUP($A5497,Load!$B:$B,Load!L:L,0,)</f>
        <v>0</v>
      </c>
      <c r="L5497">
        <f>_xlfn.XLOOKUP($A5497,Load!$B:$B,Load!M:M,0,)</f>
        <v>0</v>
      </c>
    </row>
    <row r="5498" spans="1:12" x14ac:dyDescent="0.25">
      <c r="A5498" t="s">
        <v>107</v>
      </c>
      <c r="B5498" t="str">
        <f>_xlfn.XLOOKUP($A5498,Load!$B:$B,Load!C:C,0,)</f>
        <v>Frankford</v>
      </c>
      <c r="C5498" t="str">
        <f>_xlfn.XLOOKUP($A5498,Load!$B:$B,Load!D:D,0,)</f>
        <v>Non-Chocolate Candy Only</v>
      </c>
      <c r="D5498" t="str">
        <f>_xlfn.XLOOKUP($A5498,Load!$B:$B,Load!E:E,0,)</f>
        <v>Variety / Mixed Flavors (Fruity, Sour, Seasonal Flavors)</v>
      </c>
      <c r="E5498" t="str">
        <f>_xlfn.XLOOKUP($A5498,Load!$B:$B,Load!F:F,0,)</f>
        <v>Mixed / Combo Packs (Gummy, Chewy, Taffy, etc.)</v>
      </c>
      <c r="F5498" t="str">
        <f>_xlfn.XLOOKUP($A5498,Load!$B:$B,Load!G:G,0,)</f>
        <v>Large Multipack (More than 80 ct)</v>
      </c>
      <c r="G5498" t="str">
        <f>_xlfn.XLOOKUP($A5498,Load!$B:$B,Load!H:H,0,)</f>
        <v>Laydown Bag</v>
      </c>
      <c r="H5498" t="str">
        <f>_xlfn.XLOOKUP($A5498,Load!$B:$B,Load!I:I,0,)</f>
        <v>Everyday Candy Shapes (like Original, Gummy bear, Fruit, Jewels, etc.)</v>
      </c>
      <c r="I5498" t="str">
        <f>_xlfn.XLOOKUP($A5498,Load!$B:$B,Load!J:J,0,)</f>
        <v>Seasonal Graphics (Like Bat, Ghost, Pumpkin, Fall Leaves, Eyeballs, etc.)</v>
      </c>
      <c r="J5498" t="str">
        <f>_xlfn.XLOOKUP($A5498,Load!$B:$B,Load!K:K,0,)</f>
        <v xml:space="preserve">Variety Candy Sizes </v>
      </c>
      <c r="K5498" t="str">
        <f>_xlfn.XLOOKUP($A5498,Load!$B:$B,Load!L:L,0,)</f>
        <v>Regular/Original Wrapping</v>
      </c>
      <c r="L5498" t="str">
        <f>_xlfn.XLOOKUP($A5498,Load!$B:$B,Load!M:M,0,)</f>
        <v>Multiple Brands / Variety Flavors or Form</v>
      </c>
    </row>
    <row r="5499" spans="1:12" x14ac:dyDescent="0.25">
      <c r="A5499" t="s">
        <v>178</v>
      </c>
      <c r="B5499" t="str">
        <f>_xlfn.XLOOKUP($A5499,Load!$B:$B,Load!C:C,0,)</f>
        <v>Mars Variety Pack</v>
      </c>
      <c r="C5499" t="str">
        <f>_xlfn.XLOOKUP($A5499,Load!$B:$B,Load!D:D,0,)</f>
        <v>Mix of Chocolate and Non-Chocolate Candy</v>
      </c>
      <c r="D5499" t="str">
        <f>_xlfn.XLOOKUP($A5499,Load!$B:$B,Load!E:E,0,)</f>
        <v>Variety / Mixed Flavors (Fruity, Sour, Seasonal Flavors)</v>
      </c>
      <c r="E5499" t="str">
        <f>_xlfn.XLOOKUP($A5499,Load!$B:$B,Load!F:F,0,)</f>
        <v>Mixed / Combo Packs (Gummy, Chewy, Taffy, etc.)</v>
      </c>
      <c r="F5499" t="str">
        <f>_xlfn.XLOOKUP($A5499,Load!$B:$B,Load!G:G,0,)</f>
        <v>Small Multipack (Less than 40 ct)</v>
      </c>
      <c r="G5499" t="str">
        <f>_xlfn.XLOOKUP($A5499,Load!$B:$B,Load!H:H,0,)</f>
        <v>Laydown Bag</v>
      </c>
      <c r="H5499" t="str">
        <f>_xlfn.XLOOKUP($A5499,Load!$B:$B,Load!I:I,0,)</f>
        <v>Everyday Candy Shapes (like Original, Gummy bear, Fruit, Jewels, etc.)</v>
      </c>
      <c r="I5499" t="str">
        <f>_xlfn.XLOOKUP($A5499,Load!$B:$B,Load!J:J,0,)</f>
        <v>Seasonal Graphics (Like Bat, Ghost, Pumpkin, Fall Leaves, Eyeballs, etc.)</v>
      </c>
      <c r="J5499" t="str">
        <f>_xlfn.XLOOKUP($A5499,Load!$B:$B,Load!K:K,0,)</f>
        <v xml:space="preserve">Variety Candy Sizes </v>
      </c>
      <c r="K5499" t="str">
        <f>_xlfn.XLOOKUP($A5499,Load!$B:$B,Load!L:L,0,)</f>
        <v>Regular/Original Wrapping</v>
      </c>
      <c r="L5499" t="str">
        <f>_xlfn.XLOOKUP($A5499,Load!$B:$B,Load!M:M,0,)</f>
        <v>Multiple Brands / Variety Flavors or Form</v>
      </c>
    </row>
    <row r="5500" spans="1:12" x14ac:dyDescent="0.25">
      <c r="A5500" t="s">
        <v>217</v>
      </c>
      <c r="B5500" t="str">
        <f>_xlfn.XLOOKUP($A5500,Load!$B:$B,Load!C:C,0,)</f>
        <v>Mondelez Variety Pack</v>
      </c>
      <c r="C5500" t="str">
        <f>_xlfn.XLOOKUP($A5500,Load!$B:$B,Load!D:D,0,)</f>
        <v>Non-Chocolate Candy Only</v>
      </c>
      <c r="D5500" t="str">
        <f>_xlfn.XLOOKUP($A5500,Load!$B:$B,Load!E:E,0,)</f>
        <v>Sour</v>
      </c>
      <c r="E5500" t="str">
        <f>_xlfn.XLOOKUP($A5500,Load!$B:$B,Load!F:F,0,)</f>
        <v>Chewy</v>
      </c>
      <c r="F5500" t="str">
        <f>_xlfn.XLOOKUP($A5500,Load!$B:$B,Load!G:G,0,)</f>
        <v>Small Multipack (Less than 40 ct)</v>
      </c>
      <c r="G5500" t="str">
        <f>_xlfn.XLOOKUP($A5500,Load!$B:$B,Load!H:H,0,)</f>
        <v>Laydown Bag</v>
      </c>
      <c r="H5500" t="str">
        <f>_xlfn.XLOOKUP($A5500,Load!$B:$B,Load!I:I,0,)</f>
        <v>Seasonal Shapes (like pumpkins, candy corn, ghost, bats, etc.)</v>
      </c>
      <c r="I5500" t="str">
        <f>_xlfn.XLOOKUP($A5500,Load!$B:$B,Load!J:J,0,)</f>
        <v>Seasonal Graphics (Like Bat, Ghost, Pumpkin, Fall Leaves, Eyeballs, etc.)</v>
      </c>
      <c r="J5500" t="str">
        <f>_xlfn.XLOOKUP($A5500,Load!$B:$B,Load!K:K,0,)</f>
        <v>Small Pieces (Tiny bite size candies)</v>
      </c>
      <c r="K5500" t="str">
        <f>_xlfn.XLOOKUP($A5500,Load!$B:$B,Load!L:L,0,)</f>
        <v>Regular/Original Wrapping</v>
      </c>
      <c r="L5500" t="str">
        <f>_xlfn.XLOOKUP($A5500,Load!$B:$B,Load!M:M,0,)</f>
        <v>Multiple Brands / Variety Flavors or Form</v>
      </c>
    </row>
    <row r="5501" spans="1:12" x14ac:dyDescent="0.25">
      <c r="B5501">
        <f>_xlfn.XLOOKUP($A5501,Load!$B:$B,Load!C:C,0,)</f>
        <v>0</v>
      </c>
      <c r="C5501">
        <f>_xlfn.XLOOKUP($A5501,Load!$B:$B,Load!D:D,0,)</f>
        <v>0</v>
      </c>
      <c r="D5501">
        <f>_xlfn.XLOOKUP($A5501,Load!$B:$B,Load!E:E,0,)</f>
        <v>0</v>
      </c>
      <c r="E5501">
        <f>_xlfn.XLOOKUP($A5501,Load!$B:$B,Load!F:F,0,)</f>
        <v>0</v>
      </c>
      <c r="F5501">
        <f>_xlfn.XLOOKUP($A5501,Load!$B:$B,Load!G:G,0,)</f>
        <v>0</v>
      </c>
      <c r="G5501">
        <f>_xlfn.XLOOKUP($A5501,Load!$B:$B,Load!H:H,0,)</f>
        <v>0</v>
      </c>
      <c r="H5501">
        <f>_xlfn.XLOOKUP($A5501,Load!$B:$B,Load!I:I,0,)</f>
        <v>0</v>
      </c>
      <c r="I5501">
        <f>_xlfn.XLOOKUP($A5501,Load!$B:$B,Load!J:J,0,)</f>
        <v>0</v>
      </c>
      <c r="J5501">
        <f>_xlfn.XLOOKUP($A5501,Load!$B:$B,Load!K:K,0,)</f>
        <v>0</v>
      </c>
      <c r="K5501">
        <f>_xlfn.XLOOKUP($A5501,Load!$B:$B,Load!L:L,0,)</f>
        <v>0</v>
      </c>
      <c r="L5501">
        <f>_xlfn.XLOOKUP($A5501,Load!$B:$B,Load!M:M,0,)</f>
        <v>0</v>
      </c>
    </row>
    <row r="5502" spans="1:12" x14ac:dyDescent="0.25">
      <c r="A5502" t="s">
        <v>326</v>
      </c>
      <c r="B5502" t="str">
        <f>_xlfn.XLOOKUP($A5502,Load!$B:$B,Load!C:C,0,)</f>
        <v>Mondelez Variety Pack</v>
      </c>
      <c r="C5502" t="str">
        <f>_xlfn.XLOOKUP($A5502,Load!$B:$B,Load!D:D,0,)</f>
        <v>Mix of Chocolate and Non-Chocolate Candy</v>
      </c>
      <c r="D5502" t="str">
        <f>_xlfn.XLOOKUP($A5502,Load!$B:$B,Load!E:E,0,)</f>
        <v>Variety / Mixed Flavors (Fruity, Sour, Seasonal Flavors)</v>
      </c>
      <c r="E5502" t="str">
        <f>_xlfn.XLOOKUP($A5502,Load!$B:$B,Load!F:F,0,)</f>
        <v>Mixed / Combo Packs (Gummy, Chewy, Taffy, etc.)</v>
      </c>
      <c r="F5502" t="str">
        <f>_xlfn.XLOOKUP($A5502,Load!$B:$B,Load!G:G,0,)</f>
        <v>Medium Multipack (40–80 ct)</v>
      </c>
      <c r="G5502" t="str">
        <f>_xlfn.XLOOKUP($A5502,Load!$B:$B,Load!H:H,0,)</f>
        <v>Stand-Up Bag</v>
      </c>
      <c r="H5502" t="str">
        <f>_xlfn.XLOOKUP($A5502,Load!$B:$B,Load!I:I,0,)</f>
        <v>Everyday Candy Shapes (like Original, Gummy bear, Fruit, Jewels, etc.)</v>
      </c>
      <c r="I5502" t="str">
        <f>_xlfn.XLOOKUP($A5502,Load!$B:$B,Load!J:J,0,)</f>
        <v>Seasonal Graphics (Like Bat, Ghost, Pumpkin, Fall Leaves, Eyeballs, etc.)</v>
      </c>
      <c r="J5502" t="str">
        <f>_xlfn.XLOOKUP($A5502,Load!$B:$B,Load!K:K,0,)</f>
        <v xml:space="preserve">Variety Candy Sizes </v>
      </c>
      <c r="K5502" t="str">
        <f>_xlfn.XLOOKUP($A5502,Load!$B:$B,Load!L:L,0,)</f>
        <v>Regular/Original Wrapping</v>
      </c>
      <c r="L5502" t="str">
        <f>_xlfn.XLOOKUP($A5502,Load!$B:$B,Load!M:M,0,)</f>
        <v>Multiple Brands / Variety Flavors or Form</v>
      </c>
    </row>
    <row r="5503" spans="1:12" x14ac:dyDescent="0.25">
      <c r="B5503">
        <f>_xlfn.XLOOKUP($A5503,Load!$B:$B,Load!C:C,0,)</f>
        <v>0</v>
      </c>
      <c r="C5503">
        <f>_xlfn.XLOOKUP($A5503,Load!$B:$B,Load!D:D,0,)</f>
        <v>0</v>
      </c>
      <c r="D5503">
        <f>_xlfn.XLOOKUP($A5503,Load!$B:$B,Load!E:E,0,)</f>
        <v>0</v>
      </c>
      <c r="E5503">
        <f>_xlfn.XLOOKUP($A5503,Load!$B:$B,Load!F:F,0,)</f>
        <v>0</v>
      </c>
      <c r="F5503">
        <f>_xlfn.XLOOKUP($A5503,Load!$B:$B,Load!G:G,0,)</f>
        <v>0</v>
      </c>
      <c r="G5503">
        <f>_xlfn.XLOOKUP($A5503,Load!$B:$B,Load!H:H,0,)</f>
        <v>0</v>
      </c>
      <c r="H5503">
        <f>_xlfn.XLOOKUP($A5503,Load!$B:$B,Load!I:I,0,)</f>
        <v>0</v>
      </c>
      <c r="I5503">
        <f>_xlfn.XLOOKUP($A5503,Load!$B:$B,Load!J:J,0,)</f>
        <v>0</v>
      </c>
      <c r="J5503">
        <f>_xlfn.XLOOKUP($A5503,Load!$B:$B,Load!K:K,0,)</f>
        <v>0</v>
      </c>
      <c r="K5503">
        <f>_xlfn.XLOOKUP($A5503,Load!$B:$B,Load!L:L,0,)</f>
        <v>0</v>
      </c>
      <c r="L5503">
        <f>_xlfn.XLOOKUP($A5503,Load!$B:$B,Load!M:M,0,)</f>
        <v>0</v>
      </c>
    </row>
    <row r="5504" spans="1:12" x14ac:dyDescent="0.25">
      <c r="A5504" t="s">
        <v>236</v>
      </c>
      <c r="B5504" t="str">
        <f>_xlfn.XLOOKUP($A5504,Load!$B:$B,Load!C:C,0,)</f>
        <v>Nerds</v>
      </c>
      <c r="C5504" t="str">
        <f>_xlfn.XLOOKUP($A5504,Load!$B:$B,Load!D:D,0,)</f>
        <v>Non-Chocolate Candy Only</v>
      </c>
      <c r="D5504" t="str">
        <f>_xlfn.XLOOKUP($A5504,Load!$B:$B,Load!E:E,0,)</f>
        <v>Variety / Mixed Flavors (Fruity, Sour, Seasonal Flavors)</v>
      </c>
      <c r="E5504" t="str">
        <f>_xlfn.XLOOKUP($A5504,Load!$B:$B,Load!F:F,0,)</f>
        <v>Candy Pieces / Bites</v>
      </c>
      <c r="F5504" t="str">
        <f>_xlfn.XLOOKUP($A5504,Load!$B:$B,Load!G:G,0,)</f>
        <v>Medium Multipack (40–80 ct)</v>
      </c>
      <c r="G5504" t="str">
        <f>_xlfn.XLOOKUP($A5504,Load!$B:$B,Load!H:H,0,)</f>
        <v>Stand-Up Bag</v>
      </c>
      <c r="H5504" t="str">
        <f>_xlfn.XLOOKUP($A5504,Load!$B:$B,Load!I:I,0,)</f>
        <v>Everyday Candy Shapes (like Original, Gummy bear, Fruit, Jewels, etc.)</v>
      </c>
      <c r="I5504" t="str">
        <f>_xlfn.XLOOKUP($A5504,Load!$B:$B,Load!J:J,0,)</f>
        <v>Seasonal Graphics (Like Bat, Ghost, Pumpkin, Fall Leaves, Eyeballs, etc.)</v>
      </c>
      <c r="J5504" t="str">
        <f>_xlfn.XLOOKUP($A5504,Load!$B:$B,Load!K:K,0,)</f>
        <v>Small Pieces (Tiny bite size candies)</v>
      </c>
      <c r="K5504" t="str">
        <f>_xlfn.XLOOKUP($A5504,Load!$B:$B,Load!L:L,0,)</f>
        <v>Unwrapped</v>
      </c>
      <c r="L5504" t="str">
        <f>_xlfn.XLOOKUP($A5504,Load!$B:$B,Load!M:M,0,)</f>
        <v>Single Brand / Variety Flavors or Form</v>
      </c>
    </row>
    <row r="5505" spans="1:12" x14ac:dyDescent="0.25">
      <c r="A5505" t="s">
        <v>66</v>
      </c>
      <c r="B5505" t="str">
        <f>_xlfn.XLOOKUP($A5505,Load!$B:$B,Load!C:C,0,)</f>
        <v>Dots</v>
      </c>
      <c r="C5505" t="str">
        <f>_xlfn.XLOOKUP($A5505,Load!$B:$B,Load!D:D,0,)</f>
        <v>Non-Chocolate Candy Only</v>
      </c>
      <c r="D5505" t="str">
        <f>_xlfn.XLOOKUP($A5505,Load!$B:$B,Load!E:E,0,)</f>
        <v>Variety / Mixed Flavors (Fruity, Sour, Seasonal Flavors)</v>
      </c>
      <c r="E5505" t="str">
        <f>_xlfn.XLOOKUP($A5505,Load!$B:$B,Load!F:F,0,)</f>
        <v>Candy Pieces / Bites</v>
      </c>
      <c r="F5505" t="str">
        <f>_xlfn.XLOOKUP($A5505,Load!$B:$B,Load!G:G,0,)</f>
        <v>Small Multipack (Less than 40 ct)</v>
      </c>
      <c r="G5505" t="str">
        <f>_xlfn.XLOOKUP($A5505,Load!$B:$B,Load!H:H,0,)</f>
        <v>Stand-Up Bag</v>
      </c>
      <c r="H5505" t="str">
        <f>_xlfn.XLOOKUP($A5505,Load!$B:$B,Load!I:I,0,)</f>
        <v>Seasonal Shapes (like pumpkins, candy corn, ghost, bats, etc.)</v>
      </c>
      <c r="I5505" t="str">
        <f>_xlfn.XLOOKUP($A5505,Load!$B:$B,Load!J:J,0,)</f>
        <v>Seasonal Graphics (Like Bat, Ghost, Pumpkin, Fall Leaves, Eyeballs, etc.)</v>
      </c>
      <c r="J5505" t="str">
        <f>_xlfn.XLOOKUP($A5505,Load!$B:$B,Load!K:K,0,)</f>
        <v>Fun Size / Treat Size</v>
      </c>
      <c r="K5505" t="str">
        <f>_xlfn.XLOOKUP($A5505,Load!$B:$B,Load!L:L,0,)</f>
        <v>Regular/Original Wrapping</v>
      </c>
      <c r="L5505" t="str">
        <f>_xlfn.XLOOKUP($A5505,Load!$B:$B,Load!M:M,0,)</f>
        <v>Single Brand / Variety Flavors or Form</v>
      </c>
    </row>
    <row r="5506" spans="1:12" x14ac:dyDescent="0.25">
      <c r="A5506" t="s">
        <v>76</v>
      </c>
      <c r="B5506" t="str">
        <f>_xlfn.XLOOKUP($A5506,Load!$B:$B,Load!C:C,0,)</f>
        <v>Dum Dums</v>
      </c>
      <c r="C5506" t="str">
        <f>_xlfn.XLOOKUP($A5506,Load!$B:$B,Load!D:D,0,)</f>
        <v>Non-Chocolate Candy Only</v>
      </c>
      <c r="D5506" t="str">
        <f>_xlfn.XLOOKUP($A5506,Load!$B:$B,Load!E:E,0,)</f>
        <v>Variety / Mixed Flavors (Fruity, Sour, Seasonal Flavors)</v>
      </c>
      <c r="E5506" t="str">
        <f>_xlfn.XLOOKUP($A5506,Load!$B:$B,Load!F:F,0,)</f>
        <v>Lollipop (regular or lollipop rings)</v>
      </c>
      <c r="F5506" t="str">
        <f>_xlfn.XLOOKUP($A5506,Load!$B:$B,Load!G:G,0,)</f>
        <v>Large Multipack (More than 80 ct)</v>
      </c>
      <c r="G5506" t="str">
        <f>_xlfn.XLOOKUP($A5506,Load!$B:$B,Load!H:H,0,)</f>
        <v>Stand-Up Bag</v>
      </c>
      <c r="H5506" t="str">
        <f>_xlfn.XLOOKUP($A5506,Load!$B:$B,Load!I:I,0,)</f>
        <v>Everyday Candy Shapes (like Original, Gummy bear, Fruit, Jewels, etc.)</v>
      </c>
      <c r="I5506" t="str">
        <f>_xlfn.XLOOKUP($A5506,Load!$B:$B,Load!J:J,0,)</f>
        <v>Everyday Graphics</v>
      </c>
      <c r="J5506" t="str">
        <f>_xlfn.XLOOKUP($A5506,Load!$B:$B,Load!K:K,0,)</f>
        <v>Regular Lollipop size (on sticks or rings)</v>
      </c>
      <c r="K5506" t="str">
        <f>_xlfn.XLOOKUP($A5506,Load!$B:$B,Load!L:L,0,)</f>
        <v>Regular/Original Wrapping</v>
      </c>
      <c r="L5506" t="str">
        <f>_xlfn.XLOOKUP($A5506,Load!$B:$B,Load!M:M,0,)</f>
        <v>Single Brand / Variety Flavors or Form</v>
      </c>
    </row>
    <row r="5507" spans="1:12" x14ac:dyDescent="0.25">
      <c r="B5507">
        <f>_xlfn.XLOOKUP($A5507,Load!$B:$B,Load!C:C,0,)</f>
        <v>0</v>
      </c>
      <c r="C5507">
        <f>_xlfn.XLOOKUP($A5507,Load!$B:$B,Load!D:D,0,)</f>
        <v>0</v>
      </c>
      <c r="D5507">
        <f>_xlfn.XLOOKUP($A5507,Load!$B:$B,Load!E:E,0,)</f>
        <v>0</v>
      </c>
      <c r="E5507">
        <f>_xlfn.XLOOKUP($A5507,Load!$B:$B,Load!F:F,0,)</f>
        <v>0</v>
      </c>
      <c r="F5507">
        <f>_xlfn.XLOOKUP($A5507,Load!$B:$B,Load!G:G,0,)</f>
        <v>0</v>
      </c>
      <c r="G5507">
        <f>_xlfn.XLOOKUP($A5507,Load!$B:$B,Load!H:H,0,)</f>
        <v>0</v>
      </c>
      <c r="H5507">
        <f>_xlfn.XLOOKUP($A5507,Load!$B:$B,Load!I:I,0,)</f>
        <v>0</v>
      </c>
      <c r="I5507">
        <f>_xlfn.XLOOKUP($A5507,Load!$B:$B,Load!J:J,0,)</f>
        <v>0</v>
      </c>
      <c r="J5507">
        <f>_xlfn.XLOOKUP($A5507,Load!$B:$B,Load!K:K,0,)</f>
        <v>0</v>
      </c>
      <c r="K5507">
        <f>_xlfn.XLOOKUP($A5507,Load!$B:$B,Load!L:L,0,)</f>
        <v>0</v>
      </c>
      <c r="L5507">
        <f>_xlfn.XLOOKUP($A5507,Load!$B:$B,Load!M:M,0,)</f>
        <v>0</v>
      </c>
    </row>
    <row r="5508" spans="1:12" x14ac:dyDescent="0.25">
      <c r="A5508" t="s">
        <v>35</v>
      </c>
      <c r="B5508" t="str">
        <f>_xlfn.XLOOKUP($A5508,Load!$B:$B,Load!C:C,0,)</f>
        <v>bettergoods</v>
      </c>
      <c r="C5508" t="str">
        <f>_xlfn.XLOOKUP($A5508,Load!$B:$B,Load!D:D,0,)</f>
        <v>Non-Chocolate Candy Only</v>
      </c>
      <c r="D5508" t="str">
        <f>_xlfn.XLOOKUP($A5508,Load!$B:$B,Load!E:E,0,)</f>
        <v>Sour</v>
      </c>
      <c r="E5508" t="str">
        <f>_xlfn.XLOOKUP($A5508,Load!$B:$B,Load!F:F,0,)</f>
        <v>Gummy</v>
      </c>
      <c r="F5508" t="str">
        <f>_xlfn.XLOOKUP($A5508,Load!$B:$B,Load!G:G,0,)</f>
        <v>Single Pack</v>
      </c>
      <c r="G5508" t="str">
        <f>_xlfn.XLOOKUP($A5508,Load!$B:$B,Load!H:H,0,)</f>
        <v>Laydown Bag</v>
      </c>
      <c r="H5508" t="str">
        <f>_xlfn.XLOOKUP($A5508,Load!$B:$B,Load!I:I,0,)</f>
        <v>Seasonal Shapes (like pumpkins, candy corn, ghost, bats, etc.)</v>
      </c>
      <c r="I5508" t="str">
        <f>_xlfn.XLOOKUP($A5508,Load!$B:$B,Load!J:J,0,)</f>
        <v>Seasonal Graphics (Like Bat, Ghost, Pumpkin, Fall Leaves, Eyeballs, etc.)</v>
      </c>
      <c r="J5508" t="str">
        <f>_xlfn.XLOOKUP($A5508,Load!$B:$B,Load!K:K,0,)</f>
        <v>Small Pieces (Tiny bite size candies)</v>
      </c>
      <c r="K5508" t="str">
        <f>_xlfn.XLOOKUP($A5508,Load!$B:$B,Load!L:L,0,)</f>
        <v>Unwrapped</v>
      </c>
      <c r="L5508" t="str">
        <f>_xlfn.XLOOKUP($A5508,Load!$B:$B,Load!M:M,0,)</f>
        <v>Single Brand / Variety Flavors or Form</v>
      </c>
    </row>
    <row r="5509" spans="1:12" x14ac:dyDescent="0.25">
      <c r="A5509" t="s">
        <v>24</v>
      </c>
      <c r="B5509" t="str">
        <f>_xlfn.XLOOKUP($A5509,Load!$B:$B,Load!C:C,0,)</f>
        <v>Albanese</v>
      </c>
      <c r="C5509" t="str">
        <f>_xlfn.XLOOKUP($A5509,Load!$B:$B,Load!D:D,0,)</f>
        <v>Non-Chocolate Candy Only</v>
      </c>
      <c r="D5509" t="str">
        <f>_xlfn.XLOOKUP($A5509,Load!$B:$B,Load!E:E,0,)</f>
        <v>Fruit Flavor (Cherry, Grape, Apple, Citrus, Tropical Fruit)</v>
      </c>
      <c r="E5509" t="str">
        <f>_xlfn.XLOOKUP($A5509,Load!$B:$B,Load!F:F,0,)</f>
        <v>Gummy</v>
      </c>
      <c r="F5509" t="str">
        <f>_xlfn.XLOOKUP($A5509,Load!$B:$B,Load!G:G,0,)</f>
        <v>Small Multipack (Less than 40 ct)</v>
      </c>
      <c r="G5509" t="str">
        <f>_xlfn.XLOOKUP($A5509,Load!$B:$B,Load!H:H,0,)</f>
        <v>Stand-Up Bag</v>
      </c>
      <c r="H5509" t="str">
        <f>_xlfn.XLOOKUP($A5509,Load!$B:$B,Load!I:I,0,)</f>
        <v>Seasonal Shapes (like pumpkins, candy corn, ghost, bats, etc.)</v>
      </c>
      <c r="I5509" t="str">
        <f>_xlfn.XLOOKUP($A5509,Load!$B:$B,Load!J:J,0,)</f>
        <v>Seasonal Graphics (Like Bat, Ghost, Pumpkin, Fall Leaves, Eyeballs, etc.)</v>
      </c>
      <c r="J5509" t="str">
        <f>_xlfn.XLOOKUP($A5509,Load!$B:$B,Load!K:K,0,)</f>
        <v>Small Pieces (Tiny bite size candies)</v>
      </c>
      <c r="K5509" t="str">
        <f>_xlfn.XLOOKUP($A5509,Load!$B:$B,Load!L:L,0,)</f>
        <v>unwrapped</v>
      </c>
      <c r="L5509" t="str">
        <f>_xlfn.XLOOKUP($A5509,Load!$B:$B,Load!M:M,0,)</f>
        <v>Single Brand / Variety Flavors or Form</v>
      </c>
    </row>
    <row r="5510" spans="1:12" x14ac:dyDescent="0.25">
      <c r="A5510" t="s">
        <v>218</v>
      </c>
      <c r="B5510" t="str">
        <f>_xlfn.XLOOKUP($A5510,Load!$B:$B,Load!C:C,0,)</f>
        <v>Mondelez Variety Pack</v>
      </c>
      <c r="C5510" t="str">
        <f>_xlfn.XLOOKUP($A5510,Load!$B:$B,Load!D:D,0,)</f>
        <v>Non-Chocolate Candy Only</v>
      </c>
      <c r="D5510" t="str">
        <f>_xlfn.XLOOKUP($A5510,Load!$B:$B,Load!E:E,0,)</f>
        <v>Sour</v>
      </c>
      <c r="E5510" t="str">
        <f>_xlfn.XLOOKUP($A5510,Load!$B:$B,Load!F:F,0,)</f>
        <v>Mixed / Combo Packs (Gummy, Chewy, Taffy, etc.)</v>
      </c>
      <c r="F5510" t="str">
        <f>_xlfn.XLOOKUP($A5510,Load!$B:$B,Load!G:G,0,)</f>
        <v>Large Multipack (More than 80 ct)</v>
      </c>
      <c r="G5510" t="str">
        <f>_xlfn.XLOOKUP($A5510,Load!$B:$B,Load!H:H,0,)</f>
        <v>Stand-Up Bag</v>
      </c>
      <c r="H5510" t="str">
        <f>_xlfn.XLOOKUP($A5510,Load!$B:$B,Load!I:I,0,)</f>
        <v>Seasonal Shapes (like pumpkins, candy corn, ghost, bats, etc.)</v>
      </c>
      <c r="I5510" t="str">
        <f>_xlfn.XLOOKUP($A5510,Load!$B:$B,Load!J:J,0,)</f>
        <v>Seasonal Graphics (Like Bat, Ghost, Pumpkin, Fall Leaves, Eyeballs, etc.)</v>
      </c>
      <c r="J5510" t="str">
        <f>_xlfn.XLOOKUP($A5510,Load!$B:$B,Load!K:K,0,)</f>
        <v>Small Pieces (Tiny bite size candies)</v>
      </c>
      <c r="K5510" t="str">
        <f>_xlfn.XLOOKUP($A5510,Load!$B:$B,Load!L:L,0,)</f>
        <v>Regular/Original Wrapping</v>
      </c>
      <c r="L5510" t="str">
        <f>_xlfn.XLOOKUP($A5510,Load!$B:$B,Load!M:M,0,)</f>
        <v>Multiple Brands / Variety Flavors or Form</v>
      </c>
    </row>
    <row r="5511" spans="1:12" x14ac:dyDescent="0.25">
      <c r="B5511">
        <f>_xlfn.XLOOKUP($A5511,Load!$B:$B,Load!C:C,0,)</f>
        <v>0</v>
      </c>
      <c r="C5511">
        <f>_xlfn.XLOOKUP($A5511,Load!$B:$B,Load!D:D,0,)</f>
        <v>0</v>
      </c>
      <c r="D5511">
        <f>_xlfn.XLOOKUP($A5511,Load!$B:$B,Load!E:E,0,)</f>
        <v>0</v>
      </c>
      <c r="E5511">
        <f>_xlfn.XLOOKUP($A5511,Load!$B:$B,Load!F:F,0,)</f>
        <v>0</v>
      </c>
      <c r="F5511">
        <f>_xlfn.XLOOKUP($A5511,Load!$B:$B,Load!G:G,0,)</f>
        <v>0</v>
      </c>
      <c r="G5511">
        <f>_xlfn.XLOOKUP($A5511,Load!$B:$B,Load!H:H,0,)</f>
        <v>0</v>
      </c>
      <c r="H5511">
        <f>_xlfn.XLOOKUP($A5511,Load!$B:$B,Load!I:I,0,)</f>
        <v>0</v>
      </c>
      <c r="I5511">
        <f>_xlfn.XLOOKUP($A5511,Load!$B:$B,Load!J:J,0,)</f>
        <v>0</v>
      </c>
      <c r="J5511">
        <f>_xlfn.XLOOKUP($A5511,Load!$B:$B,Load!K:K,0,)</f>
        <v>0</v>
      </c>
      <c r="K5511">
        <f>_xlfn.XLOOKUP($A5511,Load!$B:$B,Load!L:L,0,)</f>
        <v>0</v>
      </c>
      <c r="L5511">
        <f>_xlfn.XLOOKUP($A5511,Load!$B:$B,Load!M:M,0,)</f>
        <v>0</v>
      </c>
    </row>
    <row r="5512" spans="1:12" x14ac:dyDescent="0.25">
      <c r="A5512" t="s">
        <v>6</v>
      </c>
      <c r="B5512" t="str">
        <f>_xlfn.XLOOKUP($A5512,Load!$B:$B,Load!C:C,0,)</f>
        <v>Airheads</v>
      </c>
      <c r="C5512" t="str">
        <f>_xlfn.XLOOKUP($A5512,Load!$B:$B,Load!D:D,0,)</f>
        <v>Non-Chocolate Candy Only</v>
      </c>
      <c r="D5512" t="str">
        <f>_xlfn.XLOOKUP($A5512,Load!$B:$B,Load!E:E,0,)</f>
        <v>Sour</v>
      </c>
      <c r="E5512" t="str">
        <f>_xlfn.XLOOKUP($A5512,Load!$B:$B,Load!F:F,0,)</f>
        <v>Taffy</v>
      </c>
      <c r="F5512" t="str">
        <f>_xlfn.XLOOKUP($A5512,Load!$B:$B,Load!G:G,0,)</f>
        <v>Large Multipack (More than 80 ct)</v>
      </c>
      <c r="G5512" t="str">
        <f>_xlfn.XLOOKUP($A5512,Load!$B:$B,Load!H:H,0,)</f>
        <v>Laydown Bag</v>
      </c>
      <c r="H5512" t="str">
        <f>_xlfn.XLOOKUP($A5512,Load!$B:$B,Load!I:I,0,)</f>
        <v>Everyday Candy Shapes (like Original, Gummy bear, Fruit, Jewels, etc.)</v>
      </c>
      <c r="I5512" t="str">
        <f>_xlfn.XLOOKUP($A5512,Load!$B:$B,Load!J:J,0,)</f>
        <v>Everyday Graphics</v>
      </c>
      <c r="J5512" t="str">
        <f>_xlfn.XLOOKUP($A5512,Load!$B:$B,Load!K:K,0,)</f>
        <v>Fun Size / Treat Size</v>
      </c>
      <c r="K5512" t="str">
        <f>_xlfn.XLOOKUP($A5512,Load!$B:$B,Load!L:L,0,)</f>
        <v>Regular/Original Wrapping</v>
      </c>
      <c r="L5512" t="str">
        <f>_xlfn.XLOOKUP($A5512,Load!$B:$B,Load!M:M,0,)</f>
        <v>Single Brand / Variety Flavors or Form</v>
      </c>
    </row>
    <row r="5513" spans="1:12" x14ac:dyDescent="0.25">
      <c r="B5513">
        <f>_xlfn.XLOOKUP($A5513,Load!$B:$B,Load!C:C,0,)</f>
        <v>0</v>
      </c>
      <c r="C5513">
        <f>_xlfn.XLOOKUP($A5513,Load!$B:$B,Load!D:D,0,)</f>
        <v>0</v>
      </c>
      <c r="D5513">
        <f>_xlfn.XLOOKUP($A5513,Load!$B:$B,Load!E:E,0,)</f>
        <v>0</v>
      </c>
      <c r="E5513">
        <f>_xlfn.XLOOKUP($A5513,Load!$B:$B,Load!F:F,0,)</f>
        <v>0</v>
      </c>
      <c r="F5513">
        <f>_xlfn.XLOOKUP($A5513,Load!$B:$B,Load!G:G,0,)</f>
        <v>0</v>
      </c>
      <c r="G5513">
        <f>_xlfn.XLOOKUP($A5513,Load!$B:$B,Load!H:H,0,)</f>
        <v>0</v>
      </c>
      <c r="H5513">
        <f>_xlfn.XLOOKUP($A5513,Load!$B:$B,Load!I:I,0,)</f>
        <v>0</v>
      </c>
      <c r="I5513">
        <f>_xlfn.XLOOKUP($A5513,Load!$B:$B,Load!J:J,0,)</f>
        <v>0</v>
      </c>
      <c r="J5513">
        <f>_xlfn.XLOOKUP($A5513,Load!$B:$B,Load!K:K,0,)</f>
        <v>0</v>
      </c>
      <c r="K5513">
        <f>_xlfn.XLOOKUP($A5513,Load!$B:$B,Load!L:L,0,)</f>
        <v>0</v>
      </c>
      <c r="L5513">
        <f>_xlfn.XLOOKUP($A5513,Load!$B:$B,Load!M:M,0,)</f>
        <v>0</v>
      </c>
    </row>
    <row r="5514" spans="1:12" x14ac:dyDescent="0.25">
      <c r="A5514" t="s">
        <v>144</v>
      </c>
      <c r="B5514" t="str">
        <f>_xlfn.XLOOKUP($A5514,Load!$B:$B,Load!C:C,0,)</f>
        <v>Hershey's Variety Pack + Haribo</v>
      </c>
      <c r="C5514" t="str">
        <f>_xlfn.XLOOKUP($A5514,Load!$B:$B,Load!D:D,0,)</f>
        <v>Mix of Chocolate and Non-Chocolate Candy</v>
      </c>
      <c r="D5514" t="str">
        <f>_xlfn.XLOOKUP($A5514,Load!$B:$B,Load!E:E,0,)</f>
        <v>Variety / Mixed Flavors (Fruity, Sour, Seasonal Flavors)</v>
      </c>
      <c r="E5514" t="str">
        <f>_xlfn.XLOOKUP($A5514,Load!$B:$B,Load!F:F,0,)</f>
        <v>Mixed / Combo Packs (Gummy, Chewy, Taffy, etc.)</v>
      </c>
      <c r="F5514" t="str">
        <f>_xlfn.XLOOKUP($A5514,Load!$B:$B,Load!G:G,0,)</f>
        <v>Large Multipack (More than 80 ct)</v>
      </c>
      <c r="G5514" t="str">
        <f>_xlfn.XLOOKUP($A5514,Load!$B:$B,Load!H:H,0,)</f>
        <v>Stand-Up Bag</v>
      </c>
      <c r="H5514" t="str">
        <f>_xlfn.XLOOKUP($A5514,Load!$B:$B,Load!I:I,0,)</f>
        <v>Everyday Candy Shapes (like Original, Gummy bear, Fruit, Jewels, etc.)</v>
      </c>
      <c r="I5514" t="str">
        <f>_xlfn.XLOOKUP($A5514,Load!$B:$B,Load!J:J,0,)</f>
        <v>Seasonal Graphics (Like Bat, Ghost, Pumpkin, Fall Leaves, Eyeballs, etc.)</v>
      </c>
      <c r="J5514" t="str">
        <f>_xlfn.XLOOKUP($A5514,Load!$B:$B,Load!K:K,0,)</f>
        <v>Fun Size / Treat Size</v>
      </c>
      <c r="K5514" t="str">
        <f>_xlfn.XLOOKUP($A5514,Load!$B:$B,Load!L:L,0,)</f>
        <v>Regular/Original Wrapping</v>
      </c>
      <c r="L5514" t="str">
        <f>_xlfn.XLOOKUP($A5514,Load!$B:$B,Load!M:M,0,)</f>
        <v>Multiple Brands / Variety Flavors or Form</v>
      </c>
    </row>
    <row r="5515" spans="1:12" x14ac:dyDescent="0.25">
      <c r="B5515">
        <f>_xlfn.XLOOKUP($A5515,Load!$B:$B,Load!C:C,0,)</f>
        <v>0</v>
      </c>
      <c r="C5515">
        <f>_xlfn.XLOOKUP($A5515,Load!$B:$B,Load!D:D,0,)</f>
        <v>0</v>
      </c>
      <c r="D5515">
        <f>_xlfn.XLOOKUP($A5515,Load!$B:$B,Load!E:E,0,)</f>
        <v>0</v>
      </c>
      <c r="E5515">
        <f>_xlfn.XLOOKUP($A5515,Load!$B:$B,Load!F:F,0,)</f>
        <v>0</v>
      </c>
      <c r="F5515">
        <f>_xlfn.XLOOKUP($A5515,Load!$B:$B,Load!G:G,0,)</f>
        <v>0</v>
      </c>
      <c r="G5515">
        <f>_xlfn.XLOOKUP($A5515,Load!$B:$B,Load!H:H,0,)</f>
        <v>0</v>
      </c>
      <c r="H5515">
        <f>_xlfn.XLOOKUP($A5515,Load!$B:$B,Load!I:I,0,)</f>
        <v>0</v>
      </c>
      <c r="I5515">
        <f>_xlfn.XLOOKUP($A5515,Load!$B:$B,Load!J:J,0,)</f>
        <v>0</v>
      </c>
      <c r="J5515">
        <f>_xlfn.XLOOKUP($A5515,Load!$B:$B,Load!K:K,0,)</f>
        <v>0</v>
      </c>
      <c r="K5515">
        <f>_xlfn.XLOOKUP($A5515,Load!$B:$B,Load!L:L,0,)</f>
        <v>0</v>
      </c>
      <c r="L5515">
        <f>_xlfn.XLOOKUP($A5515,Load!$B:$B,Load!M:M,0,)</f>
        <v>0</v>
      </c>
    </row>
    <row r="5516" spans="1:12" x14ac:dyDescent="0.25">
      <c r="A5516" t="s">
        <v>90</v>
      </c>
      <c r="B5516" t="str">
        <f>_xlfn.XLOOKUP($A5516,Load!$B:$B,Load!C:C,0,)</f>
        <v>Ferrara Variety Pack</v>
      </c>
      <c r="C5516" t="str">
        <f>_xlfn.XLOOKUP($A5516,Load!$B:$B,Load!D:D,0,)</f>
        <v>Non-Chocolate Candy Only</v>
      </c>
      <c r="D5516" t="str">
        <f>_xlfn.XLOOKUP($A5516,Load!$B:$B,Load!E:E,0,)</f>
        <v>Variety / Mixed Flavors (Fruity, Sour, Seasonal Flavors)</v>
      </c>
      <c r="E5516" t="str">
        <f>_xlfn.XLOOKUP($A5516,Load!$B:$B,Load!F:F,0,)</f>
        <v>Mixed / Combo Packs (Gummy, Chewy, Taffy, etc.)</v>
      </c>
      <c r="F5516" t="str">
        <f>_xlfn.XLOOKUP($A5516,Load!$B:$B,Load!G:G,0,)</f>
        <v>Large Multipack (More than 80 ct)</v>
      </c>
      <c r="G5516" t="str">
        <f>_xlfn.XLOOKUP($A5516,Load!$B:$B,Load!H:H,0,)</f>
        <v>Stand-Up Bag</v>
      </c>
      <c r="H5516" t="str">
        <f>_xlfn.XLOOKUP($A5516,Load!$B:$B,Load!I:I,0,)</f>
        <v>Everyday Candy Shapes (like Original, Gummy bear, Fruit, Jewels, etc.)</v>
      </c>
      <c r="I5516" t="str">
        <f>_xlfn.XLOOKUP($A5516,Load!$B:$B,Load!J:J,0,)</f>
        <v>Seasonal Graphics (Like Bat, Ghost, Pumpkin, Fall Leaves, Eyeballs, etc.)</v>
      </c>
      <c r="J5516" t="str">
        <f>_xlfn.XLOOKUP($A5516,Load!$B:$B,Load!K:K,0,)</f>
        <v xml:space="preserve">Variety Candy Sizes </v>
      </c>
      <c r="K5516" t="str">
        <f>_xlfn.XLOOKUP($A5516,Load!$B:$B,Load!L:L,0,)</f>
        <v>Regular/Original Wrapping</v>
      </c>
      <c r="L5516" t="str">
        <f>_xlfn.XLOOKUP($A5516,Load!$B:$B,Load!M:M,0,)</f>
        <v>Multiple Brands / Variety Flavors or Form</v>
      </c>
    </row>
    <row r="5517" spans="1:12" x14ac:dyDescent="0.25">
      <c r="A5517" t="s">
        <v>175</v>
      </c>
      <c r="B5517" t="str">
        <f>_xlfn.XLOOKUP($A5517,Load!$B:$B,Load!C:C,0,)</f>
        <v>Mars Variety Pack</v>
      </c>
      <c r="C5517" t="str">
        <f>_xlfn.XLOOKUP($A5517,Load!$B:$B,Load!D:D,0,)</f>
        <v>Mix of Chocolate and Non-Chocolate Candy</v>
      </c>
      <c r="D5517" t="str">
        <f>_xlfn.XLOOKUP($A5517,Load!$B:$B,Load!E:E,0,)</f>
        <v>Variety / Mixed Flavors (Fruity, Sour, Seasonal Flavors)</v>
      </c>
      <c r="E5517" t="str">
        <f>_xlfn.XLOOKUP($A5517,Load!$B:$B,Load!F:F,0,)</f>
        <v>Mixed / Combo Packs (Gummy, Chewy, Taffy, etc.)</v>
      </c>
      <c r="F5517" t="str">
        <f>_xlfn.XLOOKUP($A5517,Load!$B:$B,Load!G:G,0,)</f>
        <v>Large Multipack (More than 80 ct)</v>
      </c>
      <c r="G5517" t="str">
        <f>_xlfn.XLOOKUP($A5517,Load!$B:$B,Load!H:H,0,)</f>
        <v>Stand-Up Bag</v>
      </c>
      <c r="H5517" t="str">
        <f>_xlfn.XLOOKUP($A5517,Load!$B:$B,Load!I:I,0,)</f>
        <v>Everyday Candy Shapes (like Original, Gummy bear, Fruit, Jewels, etc.)</v>
      </c>
      <c r="I5517" t="str">
        <f>_xlfn.XLOOKUP($A5517,Load!$B:$B,Load!J:J,0,)</f>
        <v>Seasonal Graphics (Like Bat, Ghost, Pumpkin, Fall Leaves, Eyeballs, etc.)</v>
      </c>
      <c r="J5517" t="str">
        <f>_xlfn.XLOOKUP($A5517,Load!$B:$B,Load!K:K,0,)</f>
        <v xml:space="preserve">Variety Candy Sizes </v>
      </c>
      <c r="K5517" t="str">
        <f>_xlfn.XLOOKUP($A5517,Load!$B:$B,Load!L:L,0,)</f>
        <v>Regular/Original Wrapping</v>
      </c>
      <c r="L5517" t="str">
        <f>_xlfn.XLOOKUP($A5517,Load!$B:$B,Load!M:M,0,)</f>
        <v>Multiple Brands / Variety Flavors or Form</v>
      </c>
    </row>
    <row r="5518" spans="1:12" x14ac:dyDescent="0.25">
      <c r="A5518" t="s">
        <v>43</v>
      </c>
      <c r="B5518" t="str">
        <f>_xlfn.XLOOKUP($A5518,Load!$B:$B,Load!C:C,0,)</f>
        <v>Brach's</v>
      </c>
      <c r="C5518" t="str">
        <f>_xlfn.XLOOKUP($A5518,Load!$B:$B,Load!D:D,0,)</f>
        <v>Non-Chocolate Candy Only</v>
      </c>
      <c r="D5518" t="str">
        <f>_xlfn.XLOOKUP($A5518,Load!$B:$B,Load!E:E,0,)</f>
        <v>Fall / Seasonal Flavors (pumpkin spice, caramel apple, candy corn)</v>
      </c>
      <c r="E5518" t="str">
        <f>_xlfn.XLOOKUP($A5518,Load!$B:$B,Load!F:F,0,)</f>
        <v>Candy Pieces / Bites</v>
      </c>
      <c r="F5518" t="str">
        <f>_xlfn.XLOOKUP($A5518,Load!$B:$B,Load!G:G,0,)</f>
        <v>Single Pack</v>
      </c>
      <c r="G5518" t="str">
        <f>_xlfn.XLOOKUP($A5518,Load!$B:$B,Load!H:H,0,)</f>
        <v>Laydown Bag</v>
      </c>
      <c r="H5518" t="str">
        <f>_xlfn.XLOOKUP($A5518,Load!$B:$B,Load!I:I,0,)</f>
        <v>Seasonal Shapes (like pumpkins, candy corn, ghost, bats, etc.)</v>
      </c>
      <c r="I5518" t="str">
        <f>_xlfn.XLOOKUP($A5518,Load!$B:$B,Load!J:J,0,)</f>
        <v>Seasonal Graphics (Like Bat, Ghost, Pumpkin, Fall Leaves, Eyeballs, etc.)</v>
      </c>
      <c r="J5518" t="str">
        <f>_xlfn.XLOOKUP($A5518,Load!$B:$B,Load!K:K,0,)</f>
        <v>Small Pieces (Tiny bite size candies)</v>
      </c>
      <c r="K5518" t="str">
        <f>_xlfn.XLOOKUP($A5518,Load!$B:$B,Load!L:L,0,)</f>
        <v>Unwrapped</v>
      </c>
      <c r="L5518" t="str">
        <f>_xlfn.XLOOKUP($A5518,Load!$B:$B,Load!M:M,0,)</f>
        <v>Single Brand / Single Flavor or Form</v>
      </c>
    </row>
    <row r="5519" spans="1:12" x14ac:dyDescent="0.25">
      <c r="A5519" t="s">
        <v>51</v>
      </c>
      <c r="B5519" t="str">
        <f>_xlfn.XLOOKUP($A5519,Load!$B:$B,Load!C:C,0,)</f>
        <v>Brach's</v>
      </c>
      <c r="C5519" t="str">
        <f>_xlfn.XLOOKUP($A5519,Load!$B:$B,Load!D:D,0,)</f>
        <v>Non-Chocolate Candy Only</v>
      </c>
      <c r="D5519" t="str">
        <f>_xlfn.XLOOKUP($A5519,Load!$B:$B,Load!E:E,0,)</f>
        <v>Fall / Seasonal Flavors (pumpkin spice, caramel apple, candy corn)</v>
      </c>
      <c r="E5519" t="str">
        <f>_xlfn.XLOOKUP($A5519,Load!$B:$B,Load!F:F,0,)</f>
        <v>Candy Pieces / Bites</v>
      </c>
      <c r="F5519" t="str">
        <f>_xlfn.XLOOKUP($A5519,Load!$B:$B,Load!G:G,0,)</f>
        <v>Single Pack</v>
      </c>
      <c r="G5519" t="str">
        <f>_xlfn.XLOOKUP($A5519,Load!$B:$B,Load!H:H,0,)</f>
        <v>Laydown Bag</v>
      </c>
      <c r="H5519" t="str">
        <f>_xlfn.XLOOKUP($A5519,Load!$B:$B,Load!I:I,0,)</f>
        <v>Seasonal Shapes (like pumpkins, candy corn, ghost, bats, etc.)</v>
      </c>
      <c r="I5519" t="str">
        <f>_xlfn.XLOOKUP($A5519,Load!$B:$B,Load!J:J,0,)</f>
        <v>Seasonal Graphics (Like Bat, Ghost, Pumpkin, Fall Leaves, Eyeballs, etc.)</v>
      </c>
      <c r="J5519" t="str">
        <f>_xlfn.XLOOKUP($A5519,Load!$B:$B,Load!K:K,0,)</f>
        <v>Small Pieces (Tiny bite size candies)</v>
      </c>
      <c r="K5519" t="str">
        <f>_xlfn.XLOOKUP($A5519,Load!$B:$B,Load!L:L,0,)</f>
        <v>Unwrapped</v>
      </c>
      <c r="L5519" t="str">
        <f>_xlfn.XLOOKUP($A5519,Load!$B:$B,Load!M:M,0,)</f>
        <v>Single Brand / Single Flavor or Form</v>
      </c>
    </row>
    <row r="5520" spans="1:12" x14ac:dyDescent="0.25">
      <c r="A5520" t="s">
        <v>289</v>
      </c>
      <c r="B5520" t="str">
        <f>_xlfn.XLOOKUP($A5520,Load!$B:$B,Load!C:C,0,)</f>
        <v>Tootsie</v>
      </c>
      <c r="C5520" t="str">
        <f>_xlfn.XLOOKUP($A5520,Load!$B:$B,Load!D:D,0,)</f>
        <v>Mix of Chocolate and Non-Chocolate Candy</v>
      </c>
      <c r="D5520" t="str">
        <f>_xlfn.XLOOKUP($A5520,Load!$B:$B,Load!E:E,0,)</f>
        <v>Variety / Mixed Flavors (Fruity, Sour, Seasonal Flavors)</v>
      </c>
      <c r="E5520" t="str">
        <f>_xlfn.XLOOKUP($A5520,Load!$B:$B,Load!F:F,0,)</f>
        <v>Mixed / Combo Packs (Gummy, Chewy, Taffy, etc.)</v>
      </c>
      <c r="F5520" t="str">
        <f>_xlfn.XLOOKUP($A5520,Load!$B:$B,Load!G:G,0,)</f>
        <v>Large Multipack (More than 80 ct)</v>
      </c>
      <c r="G5520" t="str">
        <f>_xlfn.XLOOKUP($A5520,Load!$B:$B,Load!H:H,0,)</f>
        <v>Laydown Bag</v>
      </c>
      <c r="H5520" t="str">
        <f>_xlfn.XLOOKUP($A5520,Load!$B:$B,Load!I:I,0,)</f>
        <v>Everyday Candy Shapes (like Original, Gummy bear, Fruit, Jewels, etc.)</v>
      </c>
      <c r="I5520" t="str">
        <f>_xlfn.XLOOKUP($A5520,Load!$B:$B,Load!J:J,0,)</f>
        <v>Everyday Graphics</v>
      </c>
      <c r="J5520" t="str">
        <f>_xlfn.XLOOKUP($A5520,Load!$B:$B,Load!K:K,0,)</f>
        <v xml:space="preserve">Variety Candy Sizes </v>
      </c>
      <c r="K5520" t="str">
        <f>_xlfn.XLOOKUP($A5520,Load!$B:$B,Load!L:L,0,)</f>
        <v>Regular/Original Wrapping</v>
      </c>
      <c r="L5520" t="str">
        <f>_xlfn.XLOOKUP($A5520,Load!$B:$B,Load!M:M,0,)</f>
        <v>Single Brand / Variety Flavors or Form</v>
      </c>
    </row>
    <row r="5521" spans="1:12" x14ac:dyDescent="0.25">
      <c r="B5521">
        <f>_xlfn.XLOOKUP($A5521,Load!$B:$B,Load!C:C,0,)</f>
        <v>0</v>
      </c>
      <c r="C5521">
        <f>_xlfn.XLOOKUP($A5521,Load!$B:$B,Load!D:D,0,)</f>
        <v>0</v>
      </c>
      <c r="D5521">
        <f>_xlfn.XLOOKUP($A5521,Load!$B:$B,Load!E:E,0,)</f>
        <v>0</v>
      </c>
      <c r="E5521">
        <f>_xlfn.XLOOKUP($A5521,Load!$B:$B,Load!F:F,0,)</f>
        <v>0</v>
      </c>
      <c r="F5521">
        <f>_xlfn.XLOOKUP($A5521,Load!$B:$B,Load!G:G,0,)</f>
        <v>0</v>
      </c>
      <c r="G5521">
        <f>_xlfn.XLOOKUP($A5521,Load!$B:$B,Load!H:H,0,)</f>
        <v>0</v>
      </c>
      <c r="H5521">
        <f>_xlfn.XLOOKUP($A5521,Load!$B:$B,Load!I:I,0,)</f>
        <v>0</v>
      </c>
      <c r="I5521">
        <f>_xlfn.XLOOKUP($A5521,Load!$B:$B,Load!J:J,0,)</f>
        <v>0</v>
      </c>
      <c r="J5521">
        <f>_xlfn.XLOOKUP($A5521,Load!$B:$B,Load!K:K,0,)</f>
        <v>0</v>
      </c>
      <c r="K5521">
        <f>_xlfn.XLOOKUP($A5521,Load!$B:$B,Load!L:L,0,)</f>
        <v>0</v>
      </c>
      <c r="L5521">
        <f>_xlfn.XLOOKUP($A5521,Load!$B:$B,Load!M:M,0,)</f>
        <v>0</v>
      </c>
    </row>
    <row r="5522" spans="1:12" x14ac:dyDescent="0.25">
      <c r="A5522" t="s">
        <v>347</v>
      </c>
      <c r="B5522" t="str">
        <f>_xlfn.XLOOKUP($A5522,Load!$B:$B,Load!C:C,0,)</f>
        <v>Your Store Brand</v>
      </c>
      <c r="C5522" t="str">
        <f>_xlfn.XLOOKUP($A5522,Load!$B:$B,Load!D:D,0,)</f>
        <v>Non-Chocolate Candy Only</v>
      </c>
      <c r="D5522" t="str">
        <f>_xlfn.XLOOKUP($A5522,Load!$B:$B,Load!E:E,0,)</f>
        <v>Variety / Mixed Flavors (Fruity, Sour, Seasonal Flavors)</v>
      </c>
      <c r="E5522" t="str">
        <f>_xlfn.XLOOKUP($A5522,Load!$B:$B,Load!F:F,0,)</f>
        <v>Candy Pieces / Bites</v>
      </c>
      <c r="F5522" t="str">
        <f>_xlfn.XLOOKUP($A5522,Load!$B:$B,Load!G:G,0,)</f>
        <v>Single Pack</v>
      </c>
      <c r="G5522" t="str">
        <f>_xlfn.XLOOKUP($A5522,Load!$B:$B,Load!H:H,0,)</f>
        <v>Peg Bag</v>
      </c>
      <c r="H5522" t="str">
        <f>_xlfn.XLOOKUP($A5522,Load!$B:$B,Load!I:I,0,)</f>
        <v>Seasonal Shapes (like pumpkins, candy corn, ghost, bats, etc.)</v>
      </c>
      <c r="I5522" t="str">
        <f>_xlfn.XLOOKUP($A5522,Load!$B:$B,Load!J:J,0,)</f>
        <v>Seasonal Graphics (Like Bat, Ghost, Pumpkin, Fall Leaves, Eyeballs, etc.)</v>
      </c>
      <c r="J5522" t="str">
        <f>_xlfn.XLOOKUP($A5522,Load!$B:$B,Load!K:K,0,)</f>
        <v>Small Pieces (Tiny bite size candies)</v>
      </c>
      <c r="K5522" t="str">
        <f>_xlfn.XLOOKUP($A5522,Load!$B:$B,Load!L:L,0,)</f>
        <v>Unwrapped</v>
      </c>
      <c r="L5522" t="str">
        <f>_xlfn.XLOOKUP($A5522,Load!$B:$B,Load!M:M,0,)</f>
        <v>Single Brand / Single Flavor or Form</v>
      </c>
    </row>
    <row r="5523" spans="1:12" x14ac:dyDescent="0.25">
      <c r="B5523">
        <f>_xlfn.XLOOKUP($A5523,Load!$B:$B,Load!C:C,0,)</f>
        <v>0</v>
      </c>
      <c r="C5523">
        <f>_xlfn.XLOOKUP($A5523,Load!$B:$B,Load!D:D,0,)</f>
        <v>0</v>
      </c>
      <c r="D5523">
        <f>_xlfn.XLOOKUP($A5523,Load!$B:$B,Load!E:E,0,)</f>
        <v>0</v>
      </c>
      <c r="E5523">
        <f>_xlfn.XLOOKUP($A5523,Load!$B:$B,Load!F:F,0,)</f>
        <v>0</v>
      </c>
      <c r="F5523">
        <f>_xlfn.XLOOKUP($A5523,Load!$B:$B,Load!G:G,0,)</f>
        <v>0</v>
      </c>
      <c r="G5523">
        <f>_xlfn.XLOOKUP($A5523,Load!$B:$B,Load!H:H,0,)</f>
        <v>0</v>
      </c>
      <c r="H5523">
        <f>_xlfn.XLOOKUP($A5523,Load!$B:$B,Load!I:I,0,)</f>
        <v>0</v>
      </c>
      <c r="I5523">
        <f>_xlfn.XLOOKUP($A5523,Load!$B:$B,Load!J:J,0,)</f>
        <v>0</v>
      </c>
      <c r="J5523">
        <f>_xlfn.XLOOKUP($A5523,Load!$B:$B,Load!K:K,0,)</f>
        <v>0</v>
      </c>
      <c r="K5523">
        <f>_xlfn.XLOOKUP($A5523,Load!$B:$B,Load!L:L,0,)</f>
        <v>0</v>
      </c>
      <c r="L5523">
        <f>_xlfn.XLOOKUP($A5523,Load!$B:$B,Load!M:M,0,)</f>
        <v>0</v>
      </c>
    </row>
    <row r="5524" spans="1:12" x14ac:dyDescent="0.25">
      <c r="A5524" t="s">
        <v>263</v>
      </c>
      <c r="B5524" t="str">
        <f>_xlfn.XLOOKUP($A5524,Load!$B:$B,Load!C:C,0,)</f>
        <v>Smarties</v>
      </c>
      <c r="C5524" t="str">
        <f>_xlfn.XLOOKUP($A5524,Load!$B:$B,Load!D:D,0,)</f>
        <v>Non-Chocolate Candy Only</v>
      </c>
      <c r="D5524" t="str">
        <f>_xlfn.XLOOKUP($A5524,Load!$B:$B,Load!E:E,0,)</f>
        <v>Fruit Flavor (Cherry, Grape, Apple, Citrus, Tropical Fruit)</v>
      </c>
      <c r="E5524" t="str">
        <f>_xlfn.XLOOKUP($A5524,Load!$B:$B,Load!F:F,0,)</f>
        <v>Powder / Chalky</v>
      </c>
      <c r="F5524" t="str">
        <f>_xlfn.XLOOKUP($A5524,Load!$B:$B,Load!G:G,0,)</f>
        <v>Single Pack</v>
      </c>
      <c r="G5524" t="str">
        <f>_xlfn.XLOOKUP($A5524,Load!$B:$B,Load!H:H,0,)</f>
        <v>Laydown Bag</v>
      </c>
      <c r="H5524" t="str">
        <f>_xlfn.XLOOKUP($A5524,Load!$B:$B,Load!I:I,0,)</f>
        <v>Everyday Candy Shapes (like Original, Gummy bear, Fruit, Jewels, etc.)</v>
      </c>
      <c r="I5524" t="str">
        <f>_xlfn.XLOOKUP($A5524,Load!$B:$B,Load!J:J,0,)</f>
        <v>Everyday Graphics</v>
      </c>
      <c r="J5524" t="str">
        <f>_xlfn.XLOOKUP($A5524,Load!$B:$B,Load!K:K,0,)</f>
        <v>Small Pieces (Tiny bite size candies)</v>
      </c>
      <c r="K5524" t="str">
        <f>_xlfn.XLOOKUP($A5524,Load!$B:$B,Load!L:L,0,)</f>
        <v>Regular/Original Wrapping</v>
      </c>
      <c r="L5524" t="str">
        <f>_xlfn.XLOOKUP($A5524,Load!$B:$B,Load!M:M,0,)</f>
        <v>Single Brand / Single Flavor or Form</v>
      </c>
    </row>
    <row r="5525" spans="1:12" x14ac:dyDescent="0.25">
      <c r="A5525" t="s">
        <v>474</v>
      </c>
      <c r="B5525" t="str">
        <f>_xlfn.XLOOKUP($A5525,Load!$B:$B,Load!C:C,0,)</f>
        <v>Smarties</v>
      </c>
      <c r="C5525" t="str">
        <f>_xlfn.XLOOKUP($A5525,Load!$B:$B,Load!D:D,0,)</f>
        <v>Non-Chocolate Candy Only</v>
      </c>
      <c r="D5525" t="str">
        <f>_xlfn.XLOOKUP($A5525,Load!$B:$B,Load!E:E,0,)</f>
        <v>Variety / Mixed Flavors (Fruity, Sour, Seasonal Flavors)</v>
      </c>
      <c r="E5525" t="str">
        <f>_xlfn.XLOOKUP($A5525,Load!$B:$B,Load!F:F,0,)</f>
        <v>Powder / Chalky</v>
      </c>
      <c r="F5525" t="str">
        <f>_xlfn.XLOOKUP($A5525,Load!$B:$B,Load!G:G,0,)</f>
        <v>Single Pack</v>
      </c>
      <c r="G5525" t="str">
        <f>_xlfn.XLOOKUP($A5525,Load!$B:$B,Load!H:H,0,)</f>
        <v>Laydown Bag</v>
      </c>
      <c r="H5525" t="str">
        <f>_xlfn.XLOOKUP($A5525,Load!$B:$B,Load!I:I,0,)</f>
        <v>Everyday Candy Shapes (like Original, Gummy bear, Fruit, Jewels, etc.)</v>
      </c>
      <c r="I5525" t="str">
        <f>_xlfn.XLOOKUP($A5525,Load!$B:$B,Load!J:J,0,)</f>
        <v>Everyday Graphics</v>
      </c>
      <c r="J5525" t="str">
        <f>_xlfn.XLOOKUP($A5525,Load!$B:$B,Load!K:K,0,)</f>
        <v>Fun Size / Treat Size</v>
      </c>
      <c r="K5525" t="str">
        <f>_xlfn.XLOOKUP($A5525,Load!$B:$B,Load!L:L,0,)</f>
        <v>Regular/Original Wrapping</v>
      </c>
      <c r="L5525" t="str">
        <f>_xlfn.XLOOKUP($A5525,Load!$B:$B,Load!M:M,0,)</f>
        <v>Single Brand / Variety Flavors or Form</v>
      </c>
    </row>
    <row r="5526" spans="1:12" x14ac:dyDescent="0.25">
      <c r="A5526" t="s">
        <v>185</v>
      </c>
      <c r="B5526" t="str">
        <f>_xlfn.XLOOKUP($A5526,Load!$B:$B,Load!C:C,0,)</f>
        <v>Mars Variety Pack</v>
      </c>
      <c r="C5526" t="str">
        <f>_xlfn.XLOOKUP($A5526,Load!$B:$B,Load!D:D,0,)</f>
        <v>Mix of Chocolate and Non-Chocolate Candy</v>
      </c>
      <c r="D5526" t="str">
        <f>_xlfn.XLOOKUP($A5526,Load!$B:$B,Load!E:E,0,)</f>
        <v>Variety / Mixed Flavors (Fruity, Sour, Seasonal Flavors)</v>
      </c>
      <c r="E5526" t="str">
        <f>_xlfn.XLOOKUP($A5526,Load!$B:$B,Load!F:F,0,)</f>
        <v>Mixed / Combo Packs (Gummy, Chewy, Taffy, etc.)</v>
      </c>
      <c r="F5526" t="str">
        <f>_xlfn.XLOOKUP($A5526,Load!$B:$B,Load!G:G,0,)</f>
        <v>Large Multipack (More than 80 ct)</v>
      </c>
      <c r="G5526" t="str">
        <f>_xlfn.XLOOKUP($A5526,Load!$B:$B,Load!H:H,0,)</f>
        <v>Stand-Up Bag</v>
      </c>
      <c r="H5526" t="str">
        <f>_xlfn.XLOOKUP($A5526,Load!$B:$B,Load!I:I,0,)</f>
        <v>Everyday Candy Shapes (like Original, Gummy bear, Fruit, Jewels, etc.)</v>
      </c>
      <c r="I5526" t="str">
        <f>_xlfn.XLOOKUP($A5526,Load!$B:$B,Load!J:J,0,)</f>
        <v>Seasonal Graphics (Like Bat, Ghost, Pumpkin, Fall Leaves, Eyeballs, etc.)</v>
      </c>
      <c r="J5526" t="str">
        <f>_xlfn.XLOOKUP($A5526,Load!$B:$B,Load!K:K,0,)</f>
        <v>Fun Size / Treat Size</v>
      </c>
      <c r="K5526" t="str">
        <f>_xlfn.XLOOKUP($A5526,Load!$B:$B,Load!L:L,0,)</f>
        <v>Regular/Original Wrapping</v>
      </c>
      <c r="L5526" t="str">
        <f>_xlfn.XLOOKUP($A5526,Load!$B:$B,Load!M:M,0,)</f>
        <v>Multiple Brands / Variety Flavors or Form</v>
      </c>
    </row>
    <row r="5527" spans="1:12" x14ac:dyDescent="0.25">
      <c r="B5527">
        <f>_xlfn.XLOOKUP($A5527,Load!$B:$B,Load!C:C,0,)</f>
        <v>0</v>
      </c>
      <c r="C5527">
        <f>_xlfn.XLOOKUP($A5527,Load!$B:$B,Load!D:D,0,)</f>
        <v>0</v>
      </c>
      <c r="D5527">
        <f>_xlfn.XLOOKUP($A5527,Load!$B:$B,Load!E:E,0,)</f>
        <v>0</v>
      </c>
      <c r="E5527">
        <f>_xlfn.XLOOKUP($A5527,Load!$B:$B,Load!F:F,0,)</f>
        <v>0</v>
      </c>
      <c r="F5527">
        <f>_xlfn.XLOOKUP($A5527,Load!$B:$B,Load!G:G,0,)</f>
        <v>0</v>
      </c>
      <c r="G5527">
        <f>_xlfn.XLOOKUP($A5527,Load!$B:$B,Load!H:H,0,)</f>
        <v>0</v>
      </c>
      <c r="H5527">
        <f>_xlfn.XLOOKUP($A5527,Load!$B:$B,Load!I:I,0,)</f>
        <v>0</v>
      </c>
      <c r="I5527">
        <f>_xlfn.XLOOKUP($A5527,Load!$B:$B,Load!J:J,0,)</f>
        <v>0</v>
      </c>
      <c r="J5527">
        <f>_xlfn.XLOOKUP($A5527,Load!$B:$B,Load!K:K,0,)</f>
        <v>0</v>
      </c>
      <c r="K5527">
        <f>_xlfn.XLOOKUP($A5527,Load!$B:$B,Load!L:L,0,)</f>
        <v>0</v>
      </c>
      <c r="L5527">
        <f>_xlfn.XLOOKUP($A5527,Load!$B:$B,Load!M:M,0,)</f>
        <v>0</v>
      </c>
    </row>
    <row r="5528" spans="1:12" x14ac:dyDescent="0.25">
      <c r="A5528" t="s">
        <v>161</v>
      </c>
      <c r="B5528" t="str">
        <f>_xlfn.XLOOKUP($A5528,Load!$B:$B,Load!C:C,0,)</f>
        <v>Jolly Rancher</v>
      </c>
      <c r="C5528" t="str">
        <f>_xlfn.XLOOKUP($A5528,Load!$B:$B,Load!D:D,0,)</f>
        <v>Non-Chocolate Candy Only</v>
      </c>
      <c r="D5528" t="str">
        <f>_xlfn.XLOOKUP($A5528,Load!$B:$B,Load!E:E,0,)</f>
        <v>Variety / Mixed Flavors (Fruity, Sour, Seasonal Flavors)</v>
      </c>
      <c r="E5528" t="str">
        <f>_xlfn.XLOOKUP($A5528,Load!$B:$B,Load!F:F,0,)</f>
        <v>Mixed / Combo Packs (Gummy, Chewy, Taffy, etc.)</v>
      </c>
      <c r="F5528" t="str">
        <f>_xlfn.XLOOKUP($A5528,Load!$B:$B,Load!G:G,0,)</f>
        <v>Large Multipack (More than 80 ct)</v>
      </c>
      <c r="G5528" t="str">
        <f>_xlfn.XLOOKUP($A5528,Load!$B:$B,Load!H:H,0,)</f>
        <v>Stand-Up Bag</v>
      </c>
      <c r="H5528" t="str">
        <f>_xlfn.XLOOKUP($A5528,Load!$B:$B,Load!I:I,0,)</f>
        <v>Everyday Candy Shapes (like Original, Gummy bear, Fruit, Jewels, etc.)</v>
      </c>
      <c r="I5528" t="str">
        <f>_xlfn.XLOOKUP($A5528,Load!$B:$B,Load!J:J,0,)</f>
        <v>Seasonal Graphics (Like Bat, Ghost, Pumpkin, Fall Leaves, Eyeballs, etc.)</v>
      </c>
      <c r="J5528" t="str">
        <f>_xlfn.XLOOKUP($A5528,Load!$B:$B,Load!K:K,0,)</f>
        <v xml:space="preserve">Variety Candy Sizes </v>
      </c>
      <c r="K5528" t="str">
        <f>_xlfn.XLOOKUP($A5528,Load!$B:$B,Load!L:L,0,)</f>
        <v>Regular/Original Wrapping</v>
      </c>
      <c r="L5528" t="str">
        <f>_xlfn.XLOOKUP($A5528,Load!$B:$B,Load!M:M,0,)</f>
        <v>Single Brand / Variety Flavors or Form</v>
      </c>
    </row>
    <row r="5529" spans="1:12" x14ac:dyDescent="0.25">
      <c r="B5529">
        <f>_xlfn.XLOOKUP($A5529,Load!$B:$B,Load!C:C,0,)</f>
        <v>0</v>
      </c>
      <c r="C5529">
        <f>_xlfn.XLOOKUP($A5529,Load!$B:$B,Load!D:D,0,)</f>
        <v>0</v>
      </c>
      <c r="D5529">
        <f>_xlfn.XLOOKUP($A5529,Load!$B:$B,Load!E:E,0,)</f>
        <v>0</v>
      </c>
      <c r="E5529">
        <f>_xlfn.XLOOKUP($A5529,Load!$B:$B,Load!F:F,0,)</f>
        <v>0</v>
      </c>
      <c r="F5529">
        <f>_xlfn.XLOOKUP($A5529,Load!$B:$B,Load!G:G,0,)</f>
        <v>0</v>
      </c>
      <c r="G5529">
        <f>_xlfn.XLOOKUP($A5529,Load!$B:$B,Load!H:H,0,)</f>
        <v>0</v>
      </c>
      <c r="H5529">
        <f>_xlfn.XLOOKUP($A5529,Load!$B:$B,Load!I:I,0,)</f>
        <v>0</v>
      </c>
      <c r="I5529">
        <f>_xlfn.XLOOKUP($A5529,Load!$B:$B,Load!J:J,0,)</f>
        <v>0</v>
      </c>
      <c r="J5529">
        <f>_xlfn.XLOOKUP($A5529,Load!$B:$B,Load!K:K,0,)</f>
        <v>0</v>
      </c>
      <c r="K5529">
        <f>_xlfn.XLOOKUP($A5529,Load!$B:$B,Load!L:L,0,)</f>
        <v>0</v>
      </c>
      <c r="L5529">
        <f>_xlfn.XLOOKUP($A5529,Load!$B:$B,Load!M:M,0,)</f>
        <v>0</v>
      </c>
    </row>
    <row r="5530" spans="1:12" x14ac:dyDescent="0.25">
      <c r="A5530" t="s">
        <v>213</v>
      </c>
      <c r="B5530" t="str">
        <f>_xlfn.XLOOKUP($A5530,Load!$B:$B,Load!C:C,0,)</f>
        <v>Mars Variety Pack</v>
      </c>
      <c r="C5530" t="str">
        <f>_xlfn.XLOOKUP($A5530,Load!$B:$B,Load!D:D,0,)</f>
        <v>Mix of Chocolate and Non-Chocolate Candy</v>
      </c>
      <c r="D5530" t="str">
        <f>_xlfn.XLOOKUP($A5530,Load!$B:$B,Load!E:E,0,)</f>
        <v>Variety / Mixed Flavors (Fruity, Sour, Seasonal Flavors)</v>
      </c>
      <c r="E5530" t="str">
        <f>_xlfn.XLOOKUP($A5530,Load!$B:$B,Load!F:F,0,)</f>
        <v>Mixed / Combo Packs (Gummy, Chewy, Taffy, etc.)</v>
      </c>
      <c r="F5530" t="str">
        <f>_xlfn.XLOOKUP($A5530,Load!$B:$B,Load!G:G,0,)</f>
        <v>Medium Multipack (40–80 ct)</v>
      </c>
      <c r="G5530" t="str">
        <f>_xlfn.XLOOKUP($A5530,Load!$B:$B,Load!H:H,0,)</f>
        <v>Stand-Up Bag</v>
      </c>
      <c r="H5530" t="str">
        <f>_xlfn.XLOOKUP($A5530,Load!$B:$B,Load!I:I,0,)</f>
        <v>Everyday Candy Shapes (like Original, Gummy bear, Fruit, Jewels, etc.)</v>
      </c>
      <c r="I5530" t="str">
        <f>_xlfn.XLOOKUP($A5530,Load!$B:$B,Load!J:J,0,)</f>
        <v>Seasonal Graphics (Like Bat, Ghost, Pumpkin, Fall Leaves, Eyeballs, etc.)</v>
      </c>
      <c r="J5530" t="str">
        <f>_xlfn.XLOOKUP($A5530,Load!$B:$B,Load!K:K,0,)</f>
        <v>Fun Size / Treat Size</v>
      </c>
      <c r="K5530" t="str">
        <f>_xlfn.XLOOKUP($A5530,Load!$B:$B,Load!L:L,0,)</f>
        <v>Regular/Original Wrapping</v>
      </c>
      <c r="L5530" t="str">
        <f>_xlfn.XLOOKUP($A5530,Load!$B:$B,Load!M:M,0,)</f>
        <v>Multiple Brands / Variety Flavors or Form</v>
      </c>
    </row>
    <row r="5531" spans="1:12" x14ac:dyDescent="0.25">
      <c r="A5531" t="s">
        <v>204</v>
      </c>
      <c r="B5531" t="str">
        <f>_xlfn.XLOOKUP($A5531,Load!$B:$B,Load!C:C,0,)</f>
        <v>Mars Variety Pack</v>
      </c>
      <c r="C5531" t="str">
        <f>_xlfn.XLOOKUP($A5531,Load!$B:$B,Load!D:D,0,)</f>
        <v>Mix of Chocolate and Non-Chocolate Candy</v>
      </c>
      <c r="D5531" t="str">
        <f>_xlfn.XLOOKUP($A5531,Load!$B:$B,Load!E:E,0,)</f>
        <v>Variety / Mixed Flavors (Fruity, Sour, Seasonal Flavors)</v>
      </c>
      <c r="E5531" t="str">
        <f>_xlfn.XLOOKUP($A5531,Load!$B:$B,Load!F:F,0,)</f>
        <v>Mixed / Combo Packs (Gummy, Chewy, Taffy, etc.)</v>
      </c>
      <c r="F5531" t="str">
        <f>_xlfn.XLOOKUP($A5531,Load!$B:$B,Load!G:G,0,)</f>
        <v>Medium Multipack (40–80 ct)</v>
      </c>
      <c r="G5531" t="str">
        <f>_xlfn.XLOOKUP($A5531,Load!$B:$B,Load!H:H,0,)</f>
        <v>Stand-Up Bag</v>
      </c>
      <c r="H5531" t="str">
        <f>_xlfn.XLOOKUP($A5531,Load!$B:$B,Load!I:I,0,)</f>
        <v>Everyday Candy Shapes (like Original, Gummy bear, Fruit, Jewels, etc.)</v>
      </c>
      <c r="I5531" t="str">
        <f>_xlfn.XLOOKUP($A5531,Load!$B:$B,Load!J:J,0,)</f>
        <v>Everyday Graphics</v>
      </c>
      <c r="J5531" t="str">
        <f>_xlfn.XLOOKUP($A5531,Load!$B:$B,Load!K:K,0,)</f>
        <v>Fun Size / Treat Size</v>
      </c>
      <c r="K5531" t="str">
        <f>_xlfn.XLOOKUP($A5531,Load!$B:$B,Load!L:L,0,)</f>
        <v>Regular/Original Wrapping</v>
      </c>
      <c r="L5531" t="str">
        <f>_xlfn.XLOOKUP($A5531,Load!$B:$B,Load!M:M,0,)</f>
        <v>Multiple Brands / Variety Flavors or Form</v>
      </c>
    </row>
    <row r="5532" spans="1:12" x14ac:dyDescent="0.25">
      <c r="A5532" t="s">
        <v>236</v>
      </c>
      <c r="B5532" t="str">
        <f>_xlfn.XLOOKUP($A5532,Load!$B:$B,Load!C:C,0,)</f>
        <v>Nerds</v>
      </c>
      <c r="C5532" t="str">
        <f>_xlfn.XLOOKUP($A5532,Load!$B:$B,Load!D:D,0,)</f>
        <v>Non-Chocolate Candy Only</v>
      </c>
      <c r="D5532" t="str">
        <f>_xlfn.XLOOKUP($A5532,Load!$B:$B,Load!E:E,0,)</f>
        <v>Variety / Mixed Flavors (Fruity, Sour, Seasonal Flavors)</v>
      </c>
      <c r="E5532" t="str">
        <f>_xlfn.XLOOKUP($A5532,Load!$B:$B,Load!F:F,0,)</f>
        <v>Candy Pieces / Bites</v>
      </c>
      <c r="F5532" t="str">
        <f>_xlfn.XLOOKUP($A5532,Load!$B:$B,Load!G:G,0,)</f>
        <v>Medium Multipack (40–80 ct)</v>
      </c>
      <c r="G5532" t="str">
        <f>_xlfn.XLOOKUP($A5532,Load!$B:$B,Load!H:H,0,)</f>
        <v>Stand-Up Bag</v>
      </c>
      <c r="H5532" t="str">
        <f>_xlfn.XLOOKUP($A5532,Load!$B:$B,Load!I:I,0,)</f>
        <v>Everyday Candy Shapes (like Original, Gummy bear, Fruit, Jewels, etc.)</v>
      </c>
      <c r="I5532" t="str">
        <f>_xlfn.XLOOKUP($A5532,Load!$B:$B,Load!J:J,0,)</f>
        <v>Seasonal Graphics (Like Bat, Ghost, Pumpkin, Fall Leaves, Eyeballs, etc.)</v>
      </c>
      <c r="J5532" t="str">
        <f>_xlfn.XLOOKUP($A5532,Load!$B:$B,Load!K:K,0,)</f>
        <v>Small Pieces (Tiny bite size candies)</v>
      </c>
      <c r="K5532" t="str">
        <f>_xlfn.XLOOKUP($A5532,Load!$B:$B,Load!L:L,0,)</f>
        <v>Unwrapped</v>
      </c>
      <c r="L5532" t="str">
        <f>_xlfn.XLOOKUP($A5532,Load!$B:$B,Load!M:M,0,)</f>
        <v>Single Brand / Variety Flavors or Form</v>
      </c>
    </row>
    <row r="5533" spans="1:12" x14ac:dyDescent="0.25">
      <c r="A5533" t="s">
        <v>146</v>
      </c>
      <c r="B5533" t="str">
        <f>_xlfn.XLOOKUP($A5533,Load!$B:$B,Load!C:C,0,)</f>
        <v>Hi Chew</v>
      </c>
      <c r="C5533" t="str">
        <f>_xlfn.XLOOKUP($A5533,Load!$B:$B,Load!D:D,0,)</f>
        <v>Non-Chocolate Candy Only</v>
      </c>
      <c r="D5533" t="str">
        <f>_xlfn.XLOOKUP($A5533,Load!$B:$B,Load!E:E,0,)</f>
        <v>Fruit Flavor (Cherry, Grape, Apple, Citrus, Tropical Fruit)</v>
      </c>
      <c r="E5533" t="str">
        <f>_xlfn.XLOOKUP($A5533,Load!$B:$B,Load!F:F,0,)</f>
        <v>Gummy</v>
      </c>
      <c r="F5533" t="str">
        <f>_xlfn.XLOOKUP($A5533,Load!$B:$B,Load!G:G,0,)</f>
        <v>Medium Multipack (40–80 ct)</v>
      </c>
      <c r="G5533" t="str">
        <f>_xlfn.XLOOKUP($A5533,Load!$B:$B,Load!H:H,0,)</f>
        <v>Stand-Up Bag</v>
      </c>
      <c r="H5533" t="str">
        <f>_xlfn.XLOOKUP($A5533,Load!$B:$B,Load!I:I,0,)</f>
        <v>Everyday Candy Shapes (like Original, Gummy bear, Fruit, Jewels, etc.)</v>
      </c>
      <c r="I5533" t="str">
        <f>_xlfn.XLOOKUP($A5533,Load!$B:$B,Load!J:J,0,)</f>
        <v>Seasonal Graphics (Like Bat, Ghost, Pumpkin, Fall Leaves, Eyeballs, etc.)</v>
      </c>
      <c r="J5533" t="str">
        <f>_xlfn.XLOOKUP($A5533,Load!$B:$B,Load!K:K,0,)</f>
        <v>Fun Size / Treat Size</v>
      </c>
      <c r="K5533" t="str">
        <f>_xlfn.XLOOKUP($A5533,Load!$B:$B,Load!L:L,0,)</f>
        <v>Regular/Original Wrapping</v>
      </c>
      <c r="L5533" t="str">
        <f>_xlfn.XLOOKUP($A5533,Load!$B:$B,Load!M:M,0,)</f>
        <v>Multiple Brands / Variety Flavors or Form</v>
      </c>
    </row>
    <row r="5534" spans="1:12" x14ac:dyDescent="0.25">
      <c r="A5534" t="s">
        <v>207</v>
      </c>
      <c r="B5534" t="str">
        <f>_xlfn.XLOOKUP($A5534,Load!$B:$B,Load!C:C,0,)</f>
        <v>Mars Variety Pack</v>
      </c>
      <c r="C5534" t="str">
        <f>_xlfn.XLOOKUP($A5534,Load!$B:$B,Load!D:D,0,)</f>
        <v>Mix of Chocolate and Non-Chocolate Candy</v>
      </c>
      <c r="D5534" t="str">
        <f>_xlfn.XLOOKUP($A5534,Load!$B:$B,Load!E:E,0,)</f>
        <v>Variety / Mixed Flavors (Fruity, Sour, Seasonal Flavors)</v>
      </c>
      <c r="E5534" t="str">
        <f>_xlfn.XLOOKUP($A5534,Load!$B:$B,Load!F:F,0,)</f>
        <v>Mixed / Combo Packs (Gummy, Chewy, Taffy, etc.)</v>
      </c>
      <c r="F5534" t="str">
        <f>_xlfn.XLOOKUP($A5534,Load!$B:$B,Load!G:G,0,)</f>
        <v>Large Multipack (More than 80 ct)</v>
      </c>
      <c r="G5534" t="str">
        <f>_xlfn.XLOOKUP($A5534,Load!$B:$B,Load!H:H,0,)</f>
        <v>Stand-Up Bag</v>
      </c>
      <c r="H5534" t="str">
        <f>_xlfn.XLOOKUP($A5534,Load!$B:$B,Load!I:I,0,)</f>
        <v>Everyday Candy Shapes (like Original, Gummy bear, Fruit, Jewels, etc.)</v>
      </c>
      <c r="I5534" t="str">
        <f>_xlfn.XLOOKUP($A5534,Load!$B:$B,Load!J:J,0,)</f>
        <v>Everyday Graphics</v>
      </c>
      <c r="J5534" t="str">
        <f>_xlfn.XLOOKUP($A5534,Load!$B:$B,Load!K:K,0,)</f>
        <v>Fun Size / Treat Size</v>
      </c>
      <c r="K5534" t="str">
        <f>_xlfn.XLOOKUP($A5534,Load!$B:$B,Load!L:L,0,)</f>
        <v>Regular/Original Wrapping</v>
      </c>
      <c r="L5534" t="str">
        <f>_xlfn.XLOOKUP($A5534,Load!$B:$B,Load!M:M,0,)</f>
        <v>Multiple Brands / Variety Flavors or Form</v>
      </c>
    </row>
    <row r="5535" spans="1:12" x14ac:dyDescent="0.25">
      <c r="B5535">
        <f>_xlfn.XLOOKUP($A5535,Load!$B:$B,Load!C:C,0,)</f>
        <v>0</v>
      </c>
      <c r="C5535">
        <f>_xlfn.XLOOKUP($A5535,Load!$B:$B,Load!D:D,0,)</f>
        <v>0</v>
      </c>
      <c r="D5535">
        <f>_xlfn.XLOOKUP($A5535,Load!$B:$B,Load!E:E,0,)</f>
        <v>0</v>
      </c>
      <c r="E5535">
        <f>_xlfn.XLOOKUP($A5535,Load!$B:$B,Load!F:F,0,)</f>
        <v>0</v>
      </c>
      <c r="F5535">
        <f>_xlfn.XLOOKUP($A5535,Load!$B:$B,Load!G:G,0,)</f>
        <v>0</v>
      </c>
      <c r="G5535">
        <f>_xlfn.XLOOKUP($A5535,Load!$B:$B,Load!H:H,0,)</f>
        <v>0</v>
      </c>
      <c r="H5535">
        <f>_xlfn.XLOOKUP($A5535,Load!$B:$B,Load!I:I,0,)</f>
        <v>0</v>
      </c>
      <c r="I5535">
        <f>_xlfn.XLOOKUP($A5535,Load!$B:$B,Load!J:J,0,)</f>
        <v>0</v>
      </c>
      <c r="J5535">
        <f>_xlfn.XLOOKUP($A5535,Load!$B:$B,Load!K:K,0,)</f>
        <v>0</v>
      </c>
      <c r="K5535">
        <f>_xlfn.XLOOKUP($A5535,Load!$B:$B,Load!L:L,0,)</f>
        <v>0</v>
      </c>
      <c r="L5535">
        <f>_xlfn.XLOOKUP($A5535,Load!$B:$B,Load!M:M,0,)</f>
        <v>0</v>
      </c>
    </row>
    <row r="5536" spans="1:12" x14ac:dyDescent="0.25">
      <c r="A5536" t="s">
        <v>16</v>
      </c>
      <c r="B5536" t="str">
        <f>_xlfn.XLOOKUP($A5536,Load!$B:$B,Load!C:C,0,)</f>
        <v>Airheads</v>
      </c>
      <c r="C5536" t="str">
        <f>_xlfn.XLOOKUP($A5536,Load!$B:$B,Load!D:D,0,)</f>
        <v>Non-Chocolate Candy Only</v>
      </c>
      <c r="D5536" t="str">
        <f>_xlfn.XLOOKUP($A5536,Load!$B:$B,Load!E:E,0,)</f>
        <v>Fruit Flavor (Cherry, Grape, Apple, Citrus, Tropical Fruit)</v>
      </c>
      <c r="E5536" t="str">
        <f>_xlfn.XLOOKUP($A5536,Load!$B:$B,Load!F:F,0,)</f>
        <v>Candy Pieces / Bites</v>
      </c>
      <c r="F5536" t="str">
        <f>_xlfn.XLOOKUP($A5536,Load!$B:$B,Load!G:G,0,)</f>
        <v>Small Multipack (Less than 40 ct)</v>
      </c>
      <c r="G5536" t="str">
        <f>_xlfn.XLOOKUP($A5536,Load!$B:$B,Load!H:H,0,)</f>
        <v>Laydown Bag</v>
      </c>
      <c r="H5536" t="str">
        <f>_xlfn.XLOOKUP($A5536,Load!$B:$B,Load!I:I,0,)</f>
        <v>Everyday Candy Shapes (like Original, Gummy bear, Fruit, Jewels, etc.)</v>
      </c>
      <c r="I5536" t="str">
        <f>_xlfn.XLOOKUP($A5536,Load!$B:$B,Load!J:J,0,)</f>
        <v>Everyday Graphics</v>
      </c>
      <c r="J5536" t="str">
        <f>_xlfn.XLOOKUP($A5536,Load!$B:$B,Load!K:K,0,)</f>
        <v>Small Pieces (Tiny bite size candies)</v>
      </c>
      <c r="K5536" t="str">
        <f>_xlfn.XLOOKUP($A5536,Load!$B:$B,Load!L:L,0,)</f>
        <v>Unwrapped</v>
      </c>
      <c r="L5536" t="str">
        <f>_xlfn.XLOOKUP($A5536,Load!$B:$B,Load!M:M,0,)</f>
        <v>Single Brand / Variety Flavors or Form</v>
      </c>
    </row>
    <row r="5537" spans="1:12" x14ac:dyDescent="0.25">
      <c r="B5537">
        <f>_xlfn.XLOOKUP($A5537,Load!$B:$B,Load!C:C,0,)</f>
        <v>0</v>
      </c>
      <c r="C5537">
        <f>_xlfn.XLOOKUP($A5537,Load!$B:$B,Load!D:D,0,)</f>
        <v>0</v>
      </c>
      <c r="D5537">
        <f>_xlfn.XLOOKUP($A5537,Load!$B:$B,Load!E:E,0,)</f>
        <v>0</v>
      </c>
      <c r="E5537">
        <f>_xlfn.XLOOKUP($A5537,Load!$B:$B,Load!F:F,0,)</f>
        <v>0</v>
      </c>
      <c r="F5537">
        <f>_xlfn.XLOOKUP($A5537,Load!$B:$B,Load!G:G,0,)</f>
        <v>0</v>
      </c>
      <c r="G5537">
        <f>_xlfn.XLOOKUP($A5537,Load!$B:$B,Load!H:H,0,)</f>
        <v>0</v>
      </c>
      <c r="H5537">
        <f>_xlfn.XLOOKUP($A5537,Load!$B:$B,Load!I:I,0,)</f>
        <v>0</v>
      </c>
      <c r="I5537">
        <f>_xlfn.XLOOKUP($A5537,Load!$B:$B,Load!J:J,0,)</f>
        <v>0</v>
      </c>
      <c r="J5537">
        <f>_xlfn.XLOOKUP($A5537,Load!$B:$B,Load!K:K,0,)</f>
        <v>0</v>
      </c>
      <c r="K5537">
        <f>_xlfn.XLOOKUP($A5537,Load!$B:$B,Load!L:L,0,)</f>
        <v>0</v>
      </c>
      <c r="L5537">
        <f>_xlfn.XLOOKUP($A5537,Load!$B:$B,Load!M:M,0,)</f>
        <v>0</v>
      </c>
    </row>
    <row r="5538" spans="1:12" x14ac:dyDescent="0.25">
      <c r="A5538" t="s">
        <v>173</v>
      </c>
      <c r="B5538" t="str">
        <f>_xlfn.XLOOKUP($A5538,Load!$B:$B,Load!C:C,0,)</f>
        <v>Mars Variety Pack</v>
      </c>
      <c r="C5538" t="str">
        <f>_xlfn.XLOOKUP($A5538,Load!$B:$B,Load!D:D,0,)</f>
        <v>Mix of Chocolate and Non-Chocolate Candy</v>
      </c>
      <c r="D5538" t="str">
        <f>_xlfn.XLOOKUP($A5538,Load!$B:$B,Load!E:E,0,)</f>
        <v>Variety / Mixed Flavors (Fruity, Sour, Seasonal Flavors)</v>
      </c>
      <c r="E5538" t="str">
        <f>_xlfn.XLOOKUP($A5538,Load!$B:$B,Load!F:F,0,)</f>
        <v>Mixed / Combo Packs (Gummy, Chewy, Taffy, etc.)</v>
      </c>
      <c r="F5538" t="str">
        <f>_xlfn.XLOOKUP($A5538,Load!$B:$B,Load!G:G,0,)</f>
        <v>Large Multipack (More than 80 ct)</v>
      </c>
      <c r="G5538" t="str">
        <f>_xlfn.XLOOKUP($A5538,Load!$B:$B,Load!H:H,0,)</f>
        <v>Stand-Up Bag</v>
      </c>
      <c r="H5538" t="str">
        <f>_xlfn.XLOOKUP($A5538,Load!$B:$B,Load!I:I,0,)</f>
        <v>Everyday Candy Shapes (like Original, Gummy bear, Fruit, Jewels, etc.)</v>
      </c>
      <c r="I5538" t="str">
        <f>_xlfn.XLOOKUP($A5538,Load!$B:$B,Load!J:J,0,)</f>
        <v>Seasonal Graphics (Like Bat, Ghost, Pumpkin, Fall Leaves, Eyeballs, etc.)</v>
      </c>
      <c r="J5538" t="str">
        <f>_xlfn.XLOOKUP($A5538,Load!$B:$B,Load!K:K,0,)</f>
        <v>Fun Size / Treat Size</v>
      </c>
      <c r="K5538" t="str">
        <f>_xlfn.XLOOKUP($A5538,Load!$B:$B,Load!L:L,0,)</f>
        <v>Regular/Original Wrapping</v>
      </c>
      <c r="L5538" t="str">
        <f>_xlfn.XLOOKUP($A5538,Load!$B:$B,Load!M:M,0,)</f>
        <v>Multiple Brands / Variety Flavors or Form</v>
      </c>
    </row>
    <row r="5539" spans="1:12" x14ac:dyDescent="0.25">
      <c r="A5539" t="s">
        <v>181</v>
      </c>
      <c r="B5539" t="str">
        <f>_xlfn.XLOOKUP($A5539,Load!$B:$B,Load!C:C,0,)</f>
        <v>Mars Variety Pack</v>
      </c>
      <c r="C5539" t="str">
        <f>_xlfn.XLOOKUP($A5539,Load!$B:$B,Load!D:D,0,)</f>
        <v>Mix of Chocolate and Non-Chocolate Candy</v>
      </c>
      <c r="D5539" t="str">
        <f>_xlfn.XLOOKUP($A5539,Load!$B:$B,Load!E:E,0,)</f>
        <v>Variety / Mixed Flavors (Fruity, Sour, Seasonal Flavors)</v>
      </c>
      <c r="E5539" t="str">
        <f>_xlfn.XLOOKUP($A5539,Load!$B:$B,Load!F:F,0,)</f>
        <v>Mixed / Combo Packs (Gummy, Chewy, Taffy, etc.)</v>
      </c>
      <c r="F5539" t="str">
        <f>_xlfn.XLOOKUP($A5539,Load!$B:$B,Load!G:G,0,)</f>
        <v>Large Multipack (More than 80 ct)</v>
      </c>
      <c r="G5539" t="str">
        <f>_xlfn.XLOOKUP($A5539,Load!$B:$B,Load!H:H,0,)</f>
        <v>Stand-Up Bag</v>
      </c>
      <c r="H5539" t="str">
        <f>_xlfn.XLOOKUP($A5539,Load!$B:$B,Load!I:I,0,)</f>
        <v>Everyday Candy Shapes (like Original, Gummy bear, Fruit, Jewels, etc.)</v>
      </c>
      <c r="I5539" t="str">
        <f>_xlfn.XLOOKUP($A5539,Load!$B:$B,Load!J:J,0,)</f>
        <v>Seasonal Graphics (Like Bat, Ghost, Pumpkin, Fall Leaves, Eyeballs, etc.)</v>
      </c>
      <c r="J5539" t="str">
        <f>_xlfn.XLOOKUP($A5539,Load!$B:$B,Load!K:K,0,)</f>
        <v>Fun Size / Treat Size</v>
      </c>
      <c r="K5539" t="str">
        <f>_xlfn.XLOOKUP($A5539,Load!$B:$B,Load!L:L,0,)</f>
        <v>Regular/Original Wrapping</v>
      </c>
      <c r="L5539" t="str">
        <f>_xlfn.XLOOKUP($A5539,Load!$B:$B,Load!M:M,0,)</f>
        <v>Multiple Brands / Variety Flavors or Form</v>
      </c>
    </row>
    <row r="5540" spans="1:12" x14ac:dyDescent="0.25">
      <c r="A5540" t="s">
        <v>249</v>
      </c>
      <c r="B5540" t="str">
        <f>_xlfn.XLOOKUP($A5540,Load!$B:$B,Load!C:C,0,)</f>
        <v>Rolling Pin</v>
      </c>
      <c r="C5540" t="str">
        <f>_xlfn.XLOOKUP($A5540,Load!$B:$B,Load!D:D,0,)</f>
        <v>Non-Chocolate Candy Only</v>
      </c>
      <c r="D5540" t="str">
        <f>_xlfn.XLOOKUP($A5540,Load!$B:$B,Load!E:E,0,)</f>
        <v>Fall / Seasonal Flavors (pumpkin spice, caramel apple, candy corn)</v>
      </c>
      <c r="E5540" t="str">
        <f>_xlfn.XLOOKUP($A5540,Load!$B:$B,Load!F:F,0,)</f>
        <v>Candy Pieces / Bites</v>
      </c>
      <c r="F5540" t="str">
        <f>_xlfn.XLOOKUP($A5540,Load!$B:$B,Load!G:G,0,)</f>
        <v>Small Multipack (Less than 40 ct)</v>
      </c>
      <c r="G5540" t="str">
        <f>_xlfn.XLOOKUP($A5540,Load!$B:$B,Load!H:H,0,)</f>
        <v>Stand-Up Bag</v>
      </c>
      <c r="H5540" t="str">
        <f>_xlfn.XLOOKUP($A5540,Load!$B:$B,Load!I:I,0,)</f>
        <v>Seasonal Shapes (like pumpkins, candy corn, ghost, bats, etc.)</v>
      </c>
      <c r="I5540" t="str">
        <f>_xlfn.XLOOKUP($A5540,Load!$B:$B,Load!J:J,0,)</f>
        <v>Seasonal Graphics (Like Bat, Ghost, Pumpkin, Fall Leaves, Eyeballs, etc.)</v>
      </c>
      <c r="J5540" t="str">
        <f>_xlfn.XLOOKUP($A5540,Load!$B:$B,Load!K:K,0,)</f>
        <v>Small Pieces (Tiny bite size candies)</v>
      </c>
      <c r="K5540" t="str">
        <f>_xlfn.XLOOKUP($A5540,Load!$B:$B,Load!L:L,0,)</f>
        <v>Unwrapped</v>
      </c>
      <c r="L5540" t="str">
        <f>_xlfn.XLOOKUP($A5540,Load!$B:$B,Load!M:M,0,)</f>
        <v>Single Brand / Single Flavor or Form</v>
      </c>
    </row>
    <row r="5541" spans="1:12" x14ac:dyDescent="0.25">
      <c r="A5541" t="s">
        <v>250</v>
      </c>
      <c r="B5541" t="str">
        <f>_xlfn.XLOOKUP($A5541,Load!$B:$B,Load!C:C,0,)</f>
        <v>Rolling Pin</v>
      </c>
      <c r="C5541" t="str">
        <f>_xlfn.XLOOKUP($A5541,Load!$B:$B,Load!D:D,0,)</f>
        <v>Non-Chocolate Candy Only</v>
      </c>
      <c r="D5541" t="str">
        <f>_xlfn.XLOOKUP($A5541,Load!$B:$B,Load!E:E,0,)</f>
        <v>Fall / Seasonal Flavors (pumpkin spice, caramel apple, candy corn)</v>
      </c>
      <c r="E5541" t="str">
        <f>_xlfn.XLOOKUP($A5541,Load!$B:$B,Load!F:F,0,)</f>
        <v>Candy Pieces / Bites</v>
      </c>
      <c r="F5541" t="str">
        <f>_xlfn.XLOOKUP($A5541,Load!$B:$B,Load!G:G,0,)</f>
        <v>Small Multipack (Less than 40 ct)</v>
      </c>
      <c r="G5541" t="str">
        <f>_xlfn.XLOOKUP($A5541,Load!$B:$B,Load!H:H,0,)</f>
        <v>Stand-Up Bag</v>
      </c>
      <c r="H5541" t="str">
        <f>_xlfn.XLOOKUP($A5541,Load!$B:$B,Load!I:I,0,)</f>
        <v>Seasonal Shapes (like pumpkins, candy corn, ghost, bats, etc.)</v>
      </c>
      <c r="I5541" t="str">
        <f>_xlfn.XLOOKUP($A5541,Load!$B:$B,Load!J:J,0,)</f>
        <v>Seasonal Graphics (Like Bat, Ghost, Pumpkin, Fall Leaves, Eyeballs, etc.)</v>
      </c>
      <c r="J5541" t="str">
        <f>_xlfn.XLOOKUP($A5541,Load!$B:$B,Load!K:K,0,)</f>
        <v>Small Pieces (Tiny bite size candies)</v>
      </c>
      <c r="K5541" t="str">
        <f>_xlfn.XLOOKUP($A5541,Load!$B:$B,Load!L:L,0,)</f>
        <v>Unwrapped</v>
      </c>
      <c r="L5541" t="str">
        <f>_xlfn.XLOOKUP($A5541,Load!$B:$B,Load!M:M,0,)</f>
        <v>Single Brand / Variety Flavors or Form</v>
      </c>
    </row>
    <row r="5542" spans="1:12" x14ac:dyDescent="0.25">
      <c r="A5542" t="s">
        <v>58</v>
      </c>
      <c r="B5542" t="str">
        <f>_xlfn.XLOOKUP($A5542,Load!$B:$B,Load!C:C,0,)</f>
        <v>Charms</v>
      </c>
      <c r="C5542" t="str">
        <f>_xlfn.XLOOKUP($A5542,Load!$B:$B,Load!D:D,0,)</f>
        <v>Non-Chocolate Candy Only</v>
      </c>
      <c r="D5542" t="str">
        <f>_xlfn.XLOOKUP($A5542,Load!$B:$B,Load!E:E,0,)</f>
        <v>Variety / Mixed Flavors (Fruity, Sour, Seasonal Flavors)</v>
      </c>
      <c r="E5542" t="str">
        <f>_xlfn.XLOOKUP($A5542,Load!$B:$B,Load!F:F,0,)</f>
        <v>Lollipop (regular or lollipop rings)</v>
      </c>
      <c r="F5542" t="str">
        <f>_xlfn.XLOOKUP($A5542,Load!$B:$B,Load!G:G,0,)</f>
        <v>Small Multipack (Less than 40 ct)</v>
      </c>
      <c r="G5542" t="str">
        <f>_xlfn.XLOOKUP($A5542,Load!$B:$B,Load!H:H,0,)</f>
        <v>Laydown Bag</v>
      </c>
      <c r="H5542" t="str">
        <f>_xlfn.XLOOKUP($A5542,Load!$B:$B,Load!I:I,0,)</f>
        <v>Everyday Candy Shapes (like Original, Gummy bear, Fruit, Jewels, etc.)</v>
      </c>
      <c r="I5542" t="str">
        <f>_xlfn.XLOOKUP($A5542,Load!$B:$B,Load!J:J,0,)</f>
        <v>Seasonal Graphics (Like Bat, Ghost, Pumpkin, Fall Leaves, Eyeballs, etc.)</v>
      </c>
      <c r="J5542" t="str">
        <f>_xlfn.XLOOKUP($A5542,Load!$B:$B,Load!K:K,0,)</f>
        <v>Regular Lollipop size (on sticks or rings)</v>
      </c>
      <c r="K5542" t="str">
        <f>_xlfn.XLOOKUP($A5542,Load!$B:$B,Load!L:L,0,)</f>
        <v>Regular/Original Wrapping</v>
      </c>
      <c r="L5542" t="str">
        <f>_xlfn.XLOOKUP($A5542,Load!$B:$B,Load!M:M,0,)</f>
        <v>Single Brand / Variety Flavors or Form</v>
      </c>
    </row>
    <row r="5543" spans="1:12" x14ac:dyDescent="0.25">
      <c r="A5543" t="s">
        <v>262</v>
      </c>
      <c r="B5543" t="str">
        <f>_xlfn.XLOOKUP($A5543,Load!$B:$B,Load!C:C,0,)</f>
        <v>Smart Sweets</v>
      </c>
      <c r="C5543" t="str">
        <f>_xlfn.XLOOKUP($A5543,Load!$B:$B,Load!D:D,0,)</f>
        <v>Non-Chocolate Candy Only</v>
      </c>
      <c r="D5543" t="str">
        <f>_xlfn.XLOOKUP($A5543,Load!$B:$B,Load!E:E,0,)</f>
        <v>Berry Based (Raspberry, Strawberry, Medley, etc.)</v>
      </c>
      <c r="E5543" t="str">
        <f>_xlfn.XLOOKUP($A5543,Load!$B:$B,Load!F:F,0,)</f>
        <v>Lollipop (regular or lollipop rings)</v>
      </c>
      <c r="F5543" t="str">
        <f>_xlfn.XLOOKUP($A5543,Load!$B:$B,Load!G:G,0,)</f>
        <v>Single Pack</v>
      </c>
      <c r="G5543" t="str">
        <f>_xlfn.XLOOKUP($A5543,Load!$B:$B,Load!H:H,0,)</f>
        <v>Peg Bag</v>
      </c>
      <c r="H5543" t="str">
        <f>_xlfn.XLOOKUP($A5543,Load!$B:$B,Load!I:I,0,)</f>
        <v>Everyday Candy Shapes (like Original, Gummy bear, Fruit, Jewels, etc.)</v>
      </c>
      <c r="I5543" t="str">
        <f>_xlfn.XLOOKUP($A5543,Load!$B:$B,Load!J:J,0,)</f>
        <v>Seasonal Graphics (Like Bat, Ghost, Pumpkin, Fall Leaves, Eyeballs, etc.)</v>
      </c>
      <c r="J5543" t="str">
        <f>_xlfn.XLOOKUP($A5543,Load!$B:$B,Load!K:K,0,)</f>
        <v>Regular Lollipop size (on sticks or rings)</v>
      </c>
      <c r="K5543" t="str">
        <f>_xlfn.XLOOKUP($A5543,Load!$B:$B,Load!L:L,0,)</f>
        <v>Regular/Original Wrapping</v>
      </c>
      <c r="L5543" t="str">
        <f>_xlfn.XLOOKUP($A5543,Load!$B:$B,Load!M:M,0,)</f>
        <v>Single Brand / Variety Flavors or Form</v>
      </c>
    </row>
    <row r="5544" spans="1:12" x14ac:dyDescent="0.25">
      <c r="A5544" t="s">
        <v>2</v>
      </c>
      <c r="B5544" t="str">
        <f>_xlfn.XLOOKUP($A5544,Load!$B:$B,Load!C:C,0,)</f>
        <v>Airheads</v>
      </c>
      <c r="C5544" t="str">
        <f>_xlfn.XLOOKUP($A5544,Load!$B:$B,Load!D:D,0,)</f>
        <v>Non-Chocolate Candy Only</v>
      </c>
      <c r="D5544" t="str">
        <f>_xlfn.XLOOKUP($A5544,Load!$B:$B,Load!E:E,0,)</f>
        <v>Variety / Mixed Flavors (Fruity, Sour, Seasonal Flavors)</v>
      </c>
      <c r="E5544" t="str">
        <f>_xlfn.XLOOKUP($A5544,Load!$B:$B,Load!F:F,0,)</f>
        <v>Chewy</v>
      </c>
      <c r="F5544" t="str">
        <f>_xlfn.XLOOKUP($A5544,Load!$B:$B,Load!G:G,0,)</f>
        <v>Medium Multipack (40–80 ct)</v>
      </c>
      <c r="G5544" t="str">
        <f>_xlfn.XLOOKUP($A5544,Load!$B:$B,Load!H:H,0,)</f>
        <v>Box (theatre box, gift box, carton)</v>
      </c>
      <c r="H5544" t="str">
        <f>_xlfn.XLOOKUP($A5544,Load!$B:$B,Load!I:I,0,)</f>
        <v>Everyday Candy Shapes (like Original, Gummy bear, Fruit, Jewels, etc.)</v>
      </c>
      <c r="I5544" t="str">
        <f>_xlfn.XLOOKUP($A5544,Load!$B:$B,Load!J:J,0,)</f>
        <v>Seasonal Graphics (Like Bat, Ghost, Pumpkin, Fall Leaves, Eyeballs, etc.)</v>
      </c>
      <c r="J5544" t="str">
        <f>_xlfn.XLOOKUP($A5544,Load!$B:$B,Load!K:K,0,)</f>
        <v>Fun Size / Treat Size</v>
      </c>
      <c r="K5544" t="str">
        <f>_xlfn.XLOOKUP($A5544,Load!$B:$B,Load!L:L,0,)</f>
        <v>Regular/Original Wrapping</v>
      </c>
      <c r="L5544" t="str">
        <f>_xlfn.XLOOKUP($A5544,Load!$B:$B,Load!M:M,0,)</f>
        <v>Single Brand / Variety Flavors or Form</v>
      </c>
    </row>
    <row r="5545" spans="1:12" x14ac:dyDescent="0.25">
      <c r="B5545">
        <f>_xlfn.XLOOKUP($A5545,Load!$B:$B,Load!C:C,0,)</f>
        <v>0</v>
      </c>
      <c r="C5545">
        <f>_xlfn.XLOOKUP($A5545,Load!$B:$B,Load!D:D,0,)</f>
        <v>0</v>
      </c>
      <c r="D5545">
        <f>_xlfn.XLOOKUP($A5545,Load!$B:$B,Load!E:E,0,)</f>
        <v>0</v>
      </c>
      <c r="E5545">
        <f>_xlfn.XLOOKUP($A5545,Load!$B:$B,Load!F:F,0,)</f>
        <v>0</v>
      </c>
      <c r="F5545">
        <f>_xlfn.XLOOKUP($A5545,Load!$B:$B,Load!G:G,0,)</f>
        <v>0</v>
      </c>
      <c r="G5545">
        <f>_xlfn.XLOOKUP($A5545,Load!$B:$B,Load!H:H,0,)</f>
        <v>0</v>
      </c>
      <c r="H5545">
        <f>_xlfn.XLOOKUP($A5545,Load!$B:$B,Load!I:I,0,)</f>
        <v>0</v>
      </c>
      <c r="I5545">
        <f>_xlfn.XLOOKUP($A5545,Load!$B:$B,Load!J:J,0,)</f>
        <v>0</v>
      </c>
      <c r="J5545">
        <f>_xlfn.XLOOKUP($A5545,Load!$B:$B,Load!K:K,0,)</f>
        <v>0</v>
      </c>
      <c r="K5545">
        <f>_xlfn.XLOOKUP($A5545,Load!$B:$B,Load!L:L,0,)</f>
        <v>0</v>
      </c>
      <c r="L5545">
        <f>_xlfn.XLOOKUP($A5545,Load!$B:$B,Load!M:M,0,)</f>
        <v>0</v>
      </c>
    </row>
    <row r="5546" spans="1:12" x14ac:dyDescent="0.25">
      <c r="A5546" t="s">
        <v>10</v>
      </c>
      <c r="B5546" t="str">
        <f>_xlfn.XLOOKUP($A5546,Load!$B:$B,Load!C:C,0,)</f>
        <v>Airheads</v>
      </c>
      <c r="C5546" t="str">
        <f>_xlfn.XLOOKUP($A5546,Load!$B:$B,Load!D:D,0,)</f>
        <v>Non-Chocolate Candy Only</v>
      </c>
      <c r="D5546" t="str">
        <f>_xlfn.XLOOKUP($A5546,Load!$B:$B,Load!E:E,0,)</f>
        <v>Fruit Flavor (Cherry, Grape, Apple, Citrus, Tropical Fruit)</v>
      </c>
      <c r="E5546" t="str">
        <f>_xlfn.XLOOKUP($A5546,Load!$B:$B,Load!F:F,0,)</f>
        <v>Chewy</v>
      </c>
      <c r="F5546" t="str">
        <f>_xlfn.XLOOKUP($A5546,Load!$B:$B,Load!G:G,0,)</f>
        <v>Small Multipack (Less than 40 ct)</v>
      </c>
      <c r="G5546" t="str">
        <f>_xlfn.XLOOKUP($A5546,Load!$B:$B,Load!H:H,0,)</f>
        <v>Laydown Bag</v>
      </c>
      <c r="H5546" t="str">
        <f>_xlfn.XLOOKUP($A5546,Load!$B:$B,Load!I:I,0,)</f>
        <v>Everyday Candy Shapes (like Original, Gummy bear, Fruit, Jewels, etc.)</v>
      </c>
      <c r="I5546" t="str">
        <f>_xlfn.XLOOKUP($A5546,Load!$B:$B,Load!J:J,0,)</f>
        <v>Everyday Graphics</v>
      </c>
      <c r="J5546" t="str">
        <f>_xlfn.XLOOKUP($A5546,Load!$B:$B,Load!K:K,0,)</f>
        <v>Fun Size / Treat Size</v>
      </c>
      <c r="K5546" t="str">
        <f>_xlfn.XLOOKUP($A5546,Load!$B:$B,Load!L:L,0,)</f>
        <v>Regular/Original Wrapping</v>
      </c>
      <c r="L5546" t="str">
        <f>_xlfn.XLOOKUP($A5546,Load!$B:$B,Load!M:M,0,)</f>
        <v>Single Brand / Variety Flavors or Form</v>
      </c>
    </row>
    <row r="5547" spans="1:12" x14ac:dyDescent="0.25">
      <c r="A5547" t="s">
        <v>171</v>
      </c>
      <c r="B5547" t="str">
        <f>_xlfn.XLOOKUP($A5547,Load!$B:$B,Load!C:C,0,)</f>
        <v>Mamba</v>
      </c>
      <c r="C5547" t="str">
        <f>_xlfn.XLOOKUP($A5547,Load!$B:$B,Load!D:D,0,)</f>
        <v>Non-Chocolate Candy Only</v>
      </c>
      <c r="D5547" t="str">
        <f>_xlfn.XLOOKUP($A5547,Load!$B:$B,Load!E:E,0,)</f>
        <v>Fruit Flavor (Cherry, Grape, Apple, Citrus, Tropical Fruit)</v>
      </c>
      <c r="E5547" t="str">
        <f>_xlfn.XLOOKUP($A5547,Load!$B:$B,Load!F:F,0,)</f>
        <v>Chewy</v>
      </c>
      <c r="F5547" t="str">
        <f>_xlfn.XLOOKUP($A5547,Load!$B:$B,Load!G:G,0,)</f>
        <v>Large Multipack (More than 80 ct)</v>
      </c>
      <c r="G5547" t="str">
        <f>_xlfn.XLOOKUP($A5547,Load!$B:$B,Load!H:H,0,)</f>
        <v>Stand-Up Bag</v>
      </c>
      <c r="H5547" t="str">
        <f>_xlfn.XLOOKUP($A5547,Load!$B:$B,Load!I:I,0,)</f>
        <v>Seasonal Shapes (like pumpkins, candy corn, ghost, bats, etc.)</v>
      </c>
      <c r="I5547" t="str">
        <f>_xlfn.XLOOKUP($A5547,Load!$B:$B,Load!J:J,0,)</f>
        <v>Seasonal Graphics (Like Bat, Ghost, Pumpkin, Fall Leaves, Eyeballs, etc.)</v>
      </c>
      <c r="J5547" t="str">
        <f>_xlfn.XLOOKUP($A5547,Load!$B:$B,Load!K:K,0,)</f>
        <v>Fun Size / Treat Size</v>
      </c>
      <c r="K5547" t="str">
        <f>_xlfn.XLOOKUP($A5547,Load!$B:$B,Load!L:L,0,)</f>
        <v>Regular/Original Wrapping</v>
      </c>
      <c r="L5547" t="str">
        <f>_xlfn.XLOOKUP($A5547,Load!$B:$B,Load!M:M,0,)</f>
        <v>Single Brand / Variety Flavors or Form</v>
      </c>
    </row>
    <row r="5548" spans="1:12" x14ac:dyDescent="0.25">
      <c r="A5548" t="s">
        <v>288</v>
      </c>
      <c r="B5548" t="str">
        <f>_xlfn.XLOOKUP($A5548,Load!$B:$B,Load!C:C,0,)</f>
        <v>SweeTARTS</v>
      </c>
      <c r="C5548" t="str">
        <f>_xlfn.XLOOKUP($A5548,Load!$B:$B,Load!D:D,0,)</f>
        <v>Non-Chocolate Candy Only</v>
      </c>
      <c r="D5548" t="str">
        <f>_xlfn.XLOOKUP($A5548,Load!$B:$B,Load!E:E,0,)</f>
        <v>Variety / Mixed Flavors (Fruity, Sour, Seasonal Flavors)</v>
      </c>
      <c r="E5548" t="str">
        <f>_xlfn.XLOOKUP($A5548,Load!$B:$B,Load!F:F,0,)</f>
        <v>Mixed / Combo Packs (Gummy, Chewy, Taffy, etc.)</v>
      </c>
      <c r="F5548" t="str">
        <f>_xlfn.XLOOKUP($A5548,Load!$B:$B,Load!G:G,0,)</f>
        <v>Medium Multipack (40–80 ct)</v>
      </c>
      <c r="G5548" t="str">
        <f>_xlfn.XLOOKUP($A5548,Load!$B:$B,Load!H:H,0,)</f>
        <v>Stand-Up Bag</v>
      </c>
      <c r="H5548" t="str">
        <f>_xlfn.XLOOKUP($A5548,Load!$B:$B,Load!I:I,0,)</f>
        <v>Everyday Candy Shapes (like Original, Gummy bear, Fruit, Jewels, etc.)</v>
      </c>
      <c r="I5548" t="str">
        <f>_xlfn.XLOOKUP($A5548,Load!$B:$B,Load!J:J,0,)</f>
        <v>Seasonal Graphics (Like Bat, Ghost, Pumpkin, Fall Leaves, Eyeballs, etc.)</v>
      </c>
      <c r="J5548" t="str">
        <f>_xlfn.XLOOKUP($A5548,Load!$B:$B,Load!K:K,0,)</f>
        <v>Small Pieces (Tiny bite size candies)</v>
      </c>
      <c r="K5548" t="str">
        <f>_xlfn.XLOOKUP($A5548,Load!$B:$B,Load!L:L,0,)</f>
        <v>Regular/Original Wrapping</v>
      </c>
      <c r="L5548" t="str">
        <f>_xlfn.XLOOKUP($A5548,Load!$B:$B,Load!M:M,0,)</f>
        <v>Single Brand / Variety Flavors or Form</v>
      </c>
    </row>
    <row r="5549" spans="1:12" x14ac:dyDescent="0.25">
      <c r="A5549" t="s">
        <v>224</v>
      </c>
      <c r="B5549" t="str">
        <f>_xlfn.XLOOKUP($A5549,Load!$B:$B,Load!C:C,0,)</f>
        <v>Nerds</v>
      </c>
      <c r="C5549" t="str">
        <f>_xlfn.XLOOKUP($A5549,Load!$B:$B,Load!D:D,0,)</f>
        <v>Non-Chocolate Candy Only</v>
      </c>
      <c r="D5549" t="str">
        <f>_xlfn.XLOOKUP($A5549,Load!$B:$B,Load!E:E,0,)</f>
        <v>Sweet</v>
      </c>
      <c r="E5549" t="str">
        <f>_xlfn.XLOOKUP($A5549,Load!$B:$B,Load!F:F,0,)</f>
        <v>Mixed / Combo Packs (Gummy, Chewy, Taffy, etc.)</v>
      </c>
      <c r="F5549" t="str">
        <f>_xlfn.XLOOKUP($A5549,Load!$B:$B,Load!G:G,0,)</f>
        <v>Medium Multipack (40–80 ct)</v>
      </c>
      <c r="G5549" t="str">
        <f>_xlfn.XLOOKUP($A5549,Load!$B:$B,Load!H:H,0,)</f>
        <v>Stand-Up Bag</v>
      </c>
      <c r="H5549" t="str">
        <f>_xlfn.XLOOKUP($A5549,Load!$B:$B,Load!I:I,0,)</f>
        <v>Everyday Candy Shapes (like Original, Gummy bear, Fruit, Jewels, etc.)</v>
      </c>
      <c r="I5549" t="str">
        <f>_xlfn.XLOOKUP($A5549,Load!$B:$B,Load!J:J,0,)</f>
        <v>Seasonal Graphics (Like Bat, Ghost, Pumpkin, Fall Leaves, Eyeballs, etc.)</v>
      </c>
      <c r="J5549" t="str">
        <f>_xlfn.XLOOKUP($A5549,Load!$B:$B,Load!K:K,0,)</f>
        <v xml:space="preserve">Variety Candy Sizes </v>
      </c>
      <c r="K5549" t="str">
        <f>_xlfn.XLOOKUP($A5549,Load!$B:$B,Load!L:L,0,)</f>
        <v>Regular/Original Wrapping</v>
      </c>
      <c r="L5549" t="str">
        <f>_xlfn.XLOOKUP($A5549,Load!$B:$B,Load!M:M,0,)</f>
        <v>Single Brand / Variety Flavors or Form</v>
      </c>
    </row>
    <row r="5550" spans="1:12" x14ac:dyDescent="0.25">
      <c r="A5550" t="s">
        <v>262</v>
      </c>
      <c r="B5550" t="str">
        <f>_xlfn.XLOOKUP($A5550,Load!$B:$B,Load!C:C,0,)</f>
        <v>Smart Sweets</v>
      </c>
      <c r="C5550" t="str">
        <f>_xlfn.XLOOKUP($A5550,Load!$B:$B,Load!D:D,0,)</f>
        <v>Non-Chocolate Candy Only</v>
      </c>
      <c r="D5550" t="str">
        <f>_xlfn.XLOOKUP($A5550,Load!$B:$B,Load!E:E,0,)</f>
        <v>Berry Based (Raspberry, Strawberry, Medley, etc.)</v>
      </c>
      <c r="E5550" t="str">
        <f>_xlfn.XLOOKUP($A5550,Load!$B:$B,Load!F:F,0,)</f>
        <v>Lollipop (regular or lollipop rings)</v>
      </c>
      <c r="F5550" t="str">
        <f>_xlfn.XLOOKUP($A5550,Load!$B:$B,Load!G:G,0,)</f>
        <v>Single Pack</v>
      </c>
      <c r="G5550" t="str">
        <f>_xlfn.XLOOKUP($A5550,Load!$B:$B,Load!H:H,0,)</f>
        <v>Peg Bag</v>
      </c>
      <c r="H5550" t="str">
        <f>_xlfn.XLOOKUP($A5550,Load!$B:$B,Load!I:I,0,)</f>
        <v>Everyday Candy Shapes (like Original, Gummy bear, Fruit, Jewels, etc.)</v>
      </c>
      <c r="I5550" t="str">
        <f>_xlfn.XLOOKUP($A5550,Load!$B:$B,Load!J:J,0,)</f>
        <v>Seasonal Graphics (Like Bat, Ghost, Pumpkin, Fall Leaves, Eyeballs, etc.)</v>
      </c>
      <c r="J5550" t="str">
        <f>_xlfn.XLOOKUP($A5550,Load!$B:$B,Load!K:K,0,)</f>
        <v>Regular Lollipop size (on sticks or rings)</v>
      </c>
      <c r="K5550" t="str">
        <f>_xlfn.XLOOKUP($A5550,Load!$B:$B,Load!L:L,0,)</f>
        <v>Regular/Original Wrapping</v>
      </c>
      <c r="L5550" t="str">
        <f>_xlfn.XLOOKUP($A5550,Load!$B:$B,Load!M:M,0,)</f>
        <v>Single Brand / Variety Flavors or Form</v>
      </c>
    </row>
    <row r="5551" spans="1:12" x14ac:dyDescent="0.25">
      <c r="A5551" t="s">
        <v>244</v>
      </c>
      <c r="B5551" t="str">
        <f>_xlfn.XLOOKUP($A5551,Load!$B:$B,Load!C:C,0,)</f>
        <v>Pez</v>
      </c>
      <c r="C5551" t="str">
        <f>_xlfn.XLOOKUP($A5551,Load!$B:$B,Load!D:D,0,)</f>
        <v>Non-Chocolate Candy Only</v>
      </c>
      <c r="D5551" t="str">
        <f>_xlfn.XLOOKUP($A5551,Load!$B:$B,Load!E:E,0,)</f>
        <v>Fruit Flavor (Cherry, Grape, Apple, Citrus, Tropical Fruit)</v>
      </c>
      <c r="E5551" t="str">
        <f>_xlfn.XLOOKUP($A5551,Load!$B:$B,Load!F:F,0,)</f>
        <v>Hard Candy</v>
      </c>
      <c r="F5551" t="str">
        <f>_xlfn.XLOOKUP($A5551,Load!$B:$B,Load!G:G,0,)</f>
        <v>Single Pack</v>
      </c>
      <c r="G5551" t="str">
        <f>_xlfn.XLOOKUP($A5551,Load!$B:$B,Load!H:H,0,)</f>
        <v>Peg Bag</v>
      </c>
      <c r="H5551" t="str">
        <f>_xlfn.XLOOKUP($A5551,Load!$B:$B,Load!I:I,0,)</f>
        <v>Everyday Candy Shapes (like Original, Gummy bear, Fruit, Jewels, etc.)</v>
      </c>
      <c r="I5551" t="str">
        <f>_xlfn.XLOOKUP($A5551,Load!$B:$B,Load!J:J,0,)</f>
        <v>Seasonal Graphics (Like Bat, Ghost, Pumpkin, Fall Leaves, Eyeballs, etc.)</v>
      </c>
      <c r="J5551" t="str">
        <f>_xlfn.XLOOKUP($A5551,Load!$B:$B,Load!K:K,0,)</f>
        <v>Small Pieces (Tiny bite size candies)</v>
      </c>
      <c r="K5551" t="str">
        <f>_xlfn.XLOOKUP($A5551,Load!$B:$B,Load!L:L,0,)</f>
        <v>Regular/Original Wrapping</v>
      </c>
      <c r="L5551" t="str">
        <f>_xlfn.XLOOKUP($A5551,Load!$B:$B,Load!M:M,0,)</f>
        <v>Single Brand / Variety Flavors or Form</v>
      </c>
    </row>
    <row r="5552" spans="1:12" x14ac:dyDescent="0.25">
      <c r="A5552" t="s">
        <v>125</v>
      </c>
      <c r="B5552" t="str">
        <f>_xlfn.XLOOKUP($A5552,Load!$B:$B,Load!C:C,0,)</f>
        <v>HARIBO</v>
      </c>
      <c r="C5552" t="str">
        <f>_xlfn.XLOOKUP($A5552,Load!$B:$B,Load!D:D,0,)</f>
        <v>Non-Chocolate Candy Only</v>
      </c>
      <c r="D5552" t="str">
        <f>_xlfn.XLOOKUP($A5552,Load!$B:$B,Load!E:E,0,)</f>
        <v>Berry Based (Raspberry, Strawberry, Medley, etc.)</v>
      </c>
      <c r="E5552" t="str">
        <f>_xlfn.XLOOKUP($A5552,Load!$B:$B,Load!F:F,0,)</f>
        <v>Gummy</v>
      </c>
      <c r="F5552" t="str">
        <f>_xlfn.XLOOKUP($A5552,Load!$B:$B,Load!G:G,0,)</f>
        <v>Small Multipack (Less than 40 ct)</v>
      </c>
      <c r="G5552" t="str">
        <f>_xlfn.XLOOKUP($A5552,Load!$B:$B,Load!H:H,0,)</f>
        <v>Laydown Bag</v>
      </c>
      <c r="H5552" t="str">
        <f>_xlfn.XLOOKUP($A5552,Load!$B:$B,Load!I:I,0,)</f>
        <v>Everyday Candy Shapes (like Original, Gummy bear, Fruit, Jewels, etc.)</v>
      </c>
      <c r="I5552" t="str">
        <f>_xlfn.XLOOKUP($A5552,Load!$B:$B,Load!J:J,0,)</f>
        <v>Everyday Graphics</v>
      </c>
      <c r="J5552" t="str">
        <f>_xlfn.XLOOKUP($A5552,Load!$B:$B,Load!K:K,0,)</f>
        <v>Small Pieces (Tiny bite size candies)</v>
      </c>
      <c r="K5552" t="str">
        <f>_xlfn.XLOOKUP($A5552,Load!$B:$B,Load!L:L,0,)</f>
        <v>Regular/Original Wrapping</v>
      </c>
      <c r="L5552" t="str">
        <f>_xlfn.XLOOKUP($A5552,Load!$B:$B,Load!M:M,0,)</f>
        <v>Single Brand / Variety Flavors or Form</v>
      </c>
    </row>
    <row r="5553" spans="1:12" x14ac:dyDescent="0.25">
      <c r="B5553">
        <f>_xlfn.XLOOKUP($A5553,Load!$B:$B,Load!C:C,0,)</f>
        <v>0</v>
      </c>
      <c r="C5553">
        <f>_xlfn.XLOOKUP($A5553,Load!$B:$B,Load!D:D,0,)</f>
        <v>0</v>
      </c>
      <c r="D5553">
        <f>_xlfn.XLOOKUP($A5553,Load!$B:$B,Load!E:E,0,)</f>
        <v>0</v>
      </c>
      <c r="E5553">
        <f>_xlfn.XLOOKUP($A5553,Load!$B:$B,Load!F:F,0,)</f>
        <v>0</v>
      </c>
      <c r="F5553">
        <f>_xlfn.XLOOKUP($A5553,Load!$B:$B,Load!G:G,0,)</f>
        <v>0</v>
      </c>
      <c r="G5553">
        <f>_xlfn.XLOOKUP($A5553,Load!$B:$B,Load!H:H,0,)</f>
        <v>0</v>
      </c>
      <c r="H5553">
        <f>_xlfn.XLOOKUP($A5553,Load!$B:$B,Load!I:I,0,)</f>
        <v>0</v>
      </c>
      <c r="I5553">
        <f>_xlfn.XLOOKUP($A5553,Load!$B:$B,Load!J:J,0,)</f>
        <v>0</v>
      </c>
      <c r="J5553">
        <f>_xlfn.XLOOKUP($A5553,Load!$B:$B,Load!K:K,0,)</f>
        <v>0</v>
      </c>
      <c r="K5553">
        <f>_xlfn.XLOOKUP($A5553,Load!$B:$B,Load!L:L,0,)</f>
        <v>0</v>
      </c>
      <c r="L5553">
        <f>_xlfn.XLOOKUP($A5553,Load!$B:$B,Load!M:M,0,)</f>
        <v>0</v>
      </c>
    </row>
    <row r="5554" spans="1:12" x14ac:dyDescent="0.25">
      <c r="A5554" t="s">
        <v>125</v>
      </c>
      <c r="B5554" t="str">
        <f>_xlfn.XLOOKUP($A5554,Load!$B:$B,Load!C:C,0,)</f>
        <v>HARIBO</v>
      </c>
      <c r="C5554" t="str">
        <f>_xlfn.XLOOKUP($A5554,Load!$B:$B,Load!D:D,0,)</f>
        <v>Non-Chocolate Candy Only</v>
      </c>
      <c r="D5554" t="str">
        <f>_xlfn.XLOOKUP($A5554,Load!$B:$B,Load!E:E,0,)</f>
        <v>Berry Based (Raspberry, Strawberry, Medley, etc.)</v>
      </c>
      <c r="E5554" t="str">
        <f>_xlfn.XLOOKUP($A5554,Load!$B:$B,Load!F:F,0,)</f>
        <v>Gummy</v>
      </c>
      <c r="F5554" t="str">
        <f>_xlfn.XLOOKUP($A5554,Load!$B:$B,Load!G:G,0,)</f>
        <v>Small Multipack (Less than 40 ct)</v>
      </c>
      <c r="G5554" t="str">
        <f>_xlfn.XLOOKUP($A5554,Load!$B:$B,Load!H:H,0,)</f>
        <v>Laydown Bag</v>
      </c>
      <c r="H5554" t="str">
        <f>_xlfn.XLOOKUP($A5554,Load!$B:$B,Load!I:I,0,)</f>
        <v>Everyday Candy Shapes (like Original, Gummy bear, Fruit, Jewels, etc.)</v>
      </c>
      <c r="I5554" t="str">
        <f>_xlfn.XLOOKUP($A5554,Load!$B:$B,Load!J:J,0,)</f>
        <v>Everyday Graphics</v>
      </c>
      <c r="J5554" t="str">
        <f>_xlfn.XLOOKUP($A5554,Load!$B:$B,Load!K:K,0,)</f>
        <v>Small Pieces (Tiny bite size candies)</v>
      </c>
      <c r="K5554" t="str">
        <f>_xlfn.XLOOKUP($A5554,Load!$B:$B,Load!L:L,0,)</f>
        <v>Regular/Original Wrapping</v>
      </c>
      <c r="L5554" t="str">
        <f>_xlfn.XLOOKUP($A5554,Load!$B:$B,Load!M:M,0,)</f>
        <v>Single Brand / Variety Flavors or Form</v>
      </c>
    </row>
    <row r="5555" spans="1:12" x14ac:dyDescent="0.25">
      <c r="A5555" t="s">
        <v>262</v>
      </c>
      <c r="B5555" t="str">
        <f>_xlfn.XLOOKUP($A5555,Load!$B:$B,Load!C:C,0,)</f>
        <v>Smart Sweets</v>
      </c>
      <c r="C5555" t="str">
        <f>_xlfn.XLOOKUP($A5555,Load!$B:$B,Load!D:D,0,)</f>
        <v>Non-Chocolate Candy Only</v>
      </c>
      <c r="D5555" t="str">
        <f>_xlfn.XLOOKUP($A5555,Load!$B:$B,Load!E:E,0,)</f>
        <v>Berry Based (Raspberry, Strawberry, Medley, etc.)</v>
      </c>
      <c r="E5555" t="str">
        <f>_xlfn.XLOOKUP($A5555,Load!$B:$B,Load!F:F,0,)</f>
        <v>Lollipop (regular or lollipop rings)</v>
      </c>
      <c r="F5555" t="str">
        <f>_xlfn.XLOOKUP($A5555,Load!$B:$B,Load!G:G,0,)</f>
        <v>Single Pack</v>
      </c>
      <c r="G5555" t="str">
        <f>_xlfn.XLOOKUP($A5555,Load!$B:$B,Load!H:H,0,)</f>
        <v>Peg Bag</v>
      </c>
      <c r="H5555" t="str">
        <f>_xlfn.XLOOKUP($A5555,Load!$B:$B,Load!I:I,0,)</f>
        <v>Everyday Candy Shapes (like Original, Gummy bear, Fruit, Jewels, etc.)</v>
      </c>
      <c r="I5555" t="str">
        <f>_xlfn.XLOOKUP($A5555,Load!$B:$B,Load!J:J,0,)</f>
        <v>Seasonal Graphics (Like Bat, Ghost, Pumpkin, Fall Leaves, Eyeballs, etc.)</v>
      </c>
      <c r="J5555" t="str">
        <f>_xlfn.XLOOKUP($A5555,Load!$B:$B,Load!K:K,0,)</f>
        <v>Regular Lollipop size (on sticks or rings)</v>
      </c>
      <c r="K5555" t="str">
        <f>_xlfn.XLOOKUP($A5555,Load!$B:$B,Load!L:L,0,)</f>
        <v>Regular/Original Wrapping</v>
      </c>
      <c r="L5555" t="str">
        <f>_xlfn.XLOOKUP($A5555,Load!$B:$B,Load!M:M,0,)</f>
        <v>Single Brand / Variety Flavors or Form</v>
      </c>
    </row>
    <row r="5556" spans="1:12" x14ac:dyDescent="0.25">
      <c r="A5556" t="s">
        <v>245</v>
      </c>
      <c r="B5556" t="str">
        <f>_xlfn.XLOOKUP($A5556,Load!$B:$B,Load!C:C,0,)</f>
        <v>Ring Pop</v>
      </c>
      <c r="C5556" t="str">
        <f>_xlfn.XLOOKUP($A5556,Load!$B:$B,Load!D:D,0,)</f>
        <v>Non-Chocolate Candy Only</v>
      </c>
      <c r="D5556" t="str">
        <f>_xlfn.XLOOKUP($A5556,Load!$B:$B,Load!E:E,0,)</f>
        <v>Fruit Flavor (Cherry, Grape, Apple, Citrus, Tropical Fruit)</v>
      </c>
      <c r="E5556" t="str">
        <f>_xlfn.XLOOKUP($A5556,Load!$B:$B,Load!F:F,0,)</f>
        <v>Lollipop (regular or lollipop rings)</v>
      </c>
      <c r="F5556" t="str">
        <f>_xlfn.XLOOKUP($A5556,Load!$B:$B,Load!G:G,0,)</f>
        <v>Single Pack</v>
      </c>
      <c r="G5556" t="str">
        <f>_xlfn.XLOOKUP($A5556,Load!$B:$B,Load!H:H,0,)</f>
        <v>Box (theatre box, gift box, carton)</v>
      </c>
      <c r="H5556" t="str">
        <f>_xlfn.XLOOKUP($A5556,Load!$B:$B,Load!I:I,0,)</f>
        <v>Everyday Candy Shapes (like Original, Gummy bear, Fruit, Jewels, etc.)</v>
      </c>
      <c r="I5556" t="str">
        <f>_xlfn.XLOOKUP($A5556,Load!$B:$B,Load!J:J,0,)</f>
        <v>Seasonal Graphics (Like Bat, Ghost, Pumpkin, Fall Leaves, Eyeballs, etc.)</v>
      </c>
      <c r="J5556" t="str">
        <f>_xlfn.XLOOKUP($A5556,Load!$B:$B,Load!K:K,0,)</f>
        <v>Regular Lollipop size (on sticks or rings)</v>
      </c>
      <c r="K5556" t="str">
        <f>_xlfn.XLOOKUP($A5556,Load!$B:$B,Load!L:L,0,)</f>
        <v>Regular/Original Wrapping</v>
      </c>
      <c r="L5556" t="str">
        <f>_xlfn.XLOOKUP($A5556,Load!$B:$B,Load!M:M,0,)</f>
        <v>Single Brand / Single Flavor or Form</v>
      </c>
    </row>
    <row r="5557" spans="1:12" x14ac:dyDescent="0.25">
      <c r="B5557">
        <f>_xlfn.XLOOKUP($A5557,Load!$B:$B,Load!C:C,0,)</f>
        <v>0</v>
      </c>
      <c r="C5557">
        <f>_xlfn.XLOOKUP($A5557,Load!$B:$B,Load!D:D,0,)</f>
        <v>0</v>
      </c>
      <c r="D5557">
        <f>_xlfn.XLOOKUP($A5557,Load!$B:$B,Load!E:E,0,)</f>
        <v>0</v>
      </c>
      <c r="E5557">
        <f>_xlfn.XLOOKUP($A5557,Load!$B:$B,Load!F:F,0,)</f>
        <v>0</v>
      </c>
      <c r="F5557">
        <f>_xlfn.XLOOKUP($A5557,Load!$B:$B,Load!G:G,0,)</f>
        <v>0</v>
      </c>
      <c r="G5557">
        <f>_xlfn.XLOOKUP($A5557,Load!$B:$B,Load!H:H,0,)</f>
        <v>0</v>
      </c>
      <c r="H5557">
        <f>_xlfn.XLOOKUP($A5557,Load!$B:$B,Load!I:I,0,)</f>
        <v>0</v>
      </c>
      <c r="I5557">
        <f>_xlfn.XLOOKUP($A5557,Load!$B:$B,Load!J:J,0,)</f>
        <v>0</v>
      </c>
      <c r="J5557">
        <f>_xlfn.XLOOKUP($A5557,Load!$B:$B,Load!K:K,0,)</f>
        <v>0</v>
      </c>
      <c r="K5557">
        <f>_xlfn.XLOOKUP($A5557,Load!$B:$B,Load!L:L,0,)</f>
        <v>0</v>
      </c>
      <c r="L5557">
        <f>_xlfn.XLOOKUP($A5557,Load!$B:$B,Load!M:M,0,)</f>
        <v>0</v>
      </c>
    </row>
    <row r="5558" spans="1:12" x14ac:dyDescent="0.25">
      <c r="A5558" t="s">
        <v>271</v>
      </c>
      <c r="B5558" t="str">
        <f>_xlfn.XLOOKUP($A5558,Load!$B:$B,Load!C:C,0,)</f>
        <v>Sour Patch Kids</v>
      </c>
      <c r="C5558" t="str">
        <f>_xlfn.XLOOKUP($A5558,Load!$B:$B,Load!D:D,0,)</f>
        <v>Non-Chocolate Candy Only</v>
      </c>
      <c r="D5558" t="str">
        <f>_xlfn.XLOOKUP($A5558,Load!$B:$B,Load!E:E,0,)</f>
        <v>Sour</v>
      </c>
      <c r="E5558" t="str">
        <f>_xlfn.XLOOKUP($A5558,Load!$B:$B,Load!F:F,0,)</f>
        <v>Chewy</v>
      </c>
      <c r="F5558" t="str">
        <f>_xlfn.XLOOKUP($A5558,Load!$B:$B,Load!G:G,0,)</f>
        <v>Medium Multipack (40–80 ct)</v>
      </c>
      <c r="G5558" t="str">
        <f>_xlfn.XLOOKUP($A5558,Load!$B:$B,Load!H:H,0,)</f>
        <v>Laydown Bag</v>
      </c>
      <c r="H5558" t="str">
        <f>_xlfn.XLOOKUP($A5558,Load!$B:$B,Load!I:I,0,)</f>
        <v>Everyday Candy Shapes (like Original, Gummy bear, Fruit, Jewels, etc.)</v>
      </c>
      <c r="I5558" t="str">
        <f>_xlfn.XLOOKUP($A5558,Load!$B:$B,Load!J:J,0,)</f>
        <v>Seasonal Graphics (Like Bat, Ghost, Pumpkin, Fall Leaves, Eyeballs, etc.)</v>
      </c>
      <c r="J5558" t="str">
        <f>_xlfn.XLOOKUP($A5558,Load!$B:$B,Load!K:K,0,)</f>
        <v>Small Pieces (Tiny bite size candies)</v>
      </c>
      <c r="K5558" t="str">
        <f>_xlfn.XLOOKUP($A5558,Load!$B:$B,Load!L:L,0,)</f>
        <v>Regular/Original Wrapping</v>
      </c>
      <c r="L5558" t="str">
        <f>_xlfn.XLOOKUP($A5558,Load!$B:$B,Load!M:M,0,)</f>
        <v>Single Brand / Variety Flavors or Form</v>
      </c>
    </row>
    <row r="5559" spans="1:12" x14ac:dyDescent="0.25">
      <c r="A5559" t="s">
        <v>2</v>
      </c>
      <c r="B5559" t="str">
        <f>_xlfn.XLOOKUP($A5559,Load!$B:$B,Load!C:C,0,)</f>
        <v>Airheads</v>
      </c>
      <c r="C5559" t="str">
        <f>_xlfn.XLOOKUP($A5559,Load!$B:$B,Load!D:D,0,)</f>
        <v>Non-Chocolate Candy Only</v>
      </c>
      <c r="D5559" t="str">
        <f>_xlfn.XLOOKUP($A5559,Load!$B:$B,Load!E:E,0,)</f>
        <v>Variety / Mixed Flavors (Fruity, Sour, Seasonal Flavors)</v>
      </c>
      <c r="E5559" t="str">
        <f>_xlfn.XLOOKUP($A5559,Load!$B:$B,Load!F:F,0,)</f>
        <v>Chewy</v>
      </c>
      <c r="F5559" t="str">
        <f>_xlfn.XLOOKUP($A5559,Load!$B:$B,Load!G:G,0,)</f>
        <v>Medium Multipack (40–80 ct)</v>
      </c>
      <c r="G5559" t="str">
        <f>_xlfn.XLOOKUP($A5559,Load!$B:$B,Load!H:H,0,)</f>
        <v>Box (theatre box, gift box, carton)</v>
      </c>
      <c r="H5559" t="str">
        <f>_xlfn.XLOOKUP($A5559,Load!$B:$B,Load!I:I,0,)</f>
        <v>Everyday Candy Shapes (like Original, Gummy bear, Fruit, Jewels, etc.)</v>
      </c>
      <c r="I5559" t="str">
        <f>_xlfn.XLOOKUP($A5559,Load!$B:$B,Load!J:J,0,)</f>
        <v>Seasonal Graphics (Like Bat, Ghost, Pumpkin, Fall Leaves, Eyeballs, etc.)</v>
      </c>
      <c r="J5559" t="str">
        <f>_xlfn.XLOOKUP($A5559,Load!$B:$B,Load!K:K,0,)</f>
        <v>Fun Size / Treat Size</v>
      </c>
      <c r="K5559" t="str">
        <f>_xlfn.XLOOKUP($A5559,Load!$B:$B,Load!L:L,0,)</f>
        <v>Regular/Original Wrapping</v>
      </c>
      <c r="L5559" t="str">
        <f>_xlfn.XLOOKUP($A5559,Load!$B:$B,Load!M:M,0,)</f>
        <v>Single Brand / Variety Flavors or Form</v>
      </c>
    </row>
    <row r="5560" spans="1:12" x14ac:dyDescent="0.25">
      <c r="A5560" t="s">
        <v>326</v>
      </c>
      <c r="B5560" t="str">
        <f>_xlfn.XLOOKUP($A5560,Load!$B:$B,Load!C:C,0,)</f>
        <v>Mondelez Variety Pack</v>
      </c>
      <c r="C5560" t="str">
        <f>_xlfn.XLOOKUP($A5560,Load!$B:$B,Load!D:D,0,)</f>
        <v>Mix of Chocolate and Non-Chocolate Candy</v>
      </c>
      <c r="D5560" t="str">
        <f>_xlfn.XLOOKUP($A5560,Load!$B:$B,Load!E:E,0,)</f>
        <v>Variety / Mixed Flavors (Fruity, Sour, Seasonal Flavors)</v>
      </c>
      <c r="E5560" t="str">
        <f>_xlfn.XLOOKUP($A5560,Load!$B:$B,Load!F:F,0,)</f>
        <v>Mixed / Combo Packs (Gummy, Chewy, Taffy, etc.)</v>
      </c>
      <c r="F5560" t="str">
        <f>_xlfn.XLOOKUP($A5560,Load!$B:$B,Load!G:G,0,)</f>
        <v>Medium Multipack (40–80 ct)</v>
      </c>
      <c r="G5560" t="str">
        <f>_xlfn.XLOOKUP($A5560,Load!$B:$B,Load!H:H,0,)</f>
        <v>Stand-Up Bag</v>
      </c>
      <c r="H5560" t="str">
        <f>_xlfn.XLOOKUP($A5560,Load!$B:$B,Load!I:I,0,)</f>
        <v>Everyday Candy Shapes (like Original, Gummy bear, Fruit, Jewels, etc.)</v>
      </c>
      <c r="I5560" t="str">
        <f>_xlfn.XLOOKUP($A5560,Load!$B:$B,Load!J:J,0,)</f>
        <v>Seasonal Graphics (Like Bat, Ghost, Pumpkin, Fall Leaves, Eyeballs, etc.)</v>
      </c>
      <c r="J5560" t="str">
        <f>_xlfn.XLOOKUP($A5560,Load!$B:$B,Load!K:K,0,)</f>
        <v xml:space="preserve">Variety Candy Sizes </v>
      </c>
      <c r="K5560" t="str">
        <f>_xlfn.XLOOKUP($A5560,Load!$B:$B,Load!L:L,0,)</f>
        <v>Regular/Original Wrapping</v>
      </c>
      <c r="L5560" t="str">
        <f>_xlfn.XLOOKUP($A5560,Load!$B:$B,Load!M:M,0,)</f>
        <v>Multiple Brands / Variety Flavors or Form</v>
      </c>
    </row>
    <row r="5561" spans="1:12" x14ac:dyDescent="0.25">
      <c r="B5561">
        <f>_xlfn.XLOOKUP($A5561,Load!$B:$B,Load!C:C,0,)</f>
        <v>0</v>
      </c>
      <c r="C5561">
        <f>_xlfn.XLOOKUP($A5561,Load!$B:$B,Load!D:D,0,)</f>
        <v>0</v>
      </c>
      <c r="D5561">
        <f>_xlfn.XLOOKUP($A5561,Load!$B:$B,Load!E:E,0,)</f>
        <v>0</v>
      </c>
      <c r="E5561">
        <f>_xlfn.XLOOKUP($A5561,Load!$B:$B,Load!F:F,0,)</f>
        <v>0</v>
      </c>
      <c r="F5561">
        <f>_xlfn.XLOOKUP($A5561,Load!$B:$B,Load!G:G,0,)</f>
        <v>0</v>
      </c>
      <c r="G5561">
        <f>_xlfn.XLOOKUP($A5561,Load!$B:$B,Load!H:H,0,)</f>
        <v>0</v>
      </c>
      <c r="H5561">
        <f>_xlfn.XLOOKUP($A5561,Load!$B:$B,Load!I:I,0,)</f>
        <v>0</v>
      </c>
      <c r="I5561">
        <f>_xlfn.XLOOKUP($A5561,Load!$B:$B,Load!J:J,0,)</f>
        <v>0</v>
      </c>
      <c r="J5561">
        <f>_xlfn.XLOOKUP($A5561,Load!$B:$B,Load!K:K,0,)</f>
        <v>0</v>
      </c>
      <c r="K5561">
        <f>_xlfn.XLOOKUP($A5561,Load!$B:$B,Load!L:L,0,)</f>
        <v>0</v>
      </c>
      <c r="L5561">
        <f>_xlfn.XLOOKUP($A5561,Load!$B:$B,Load!M:M,0,)</f>
        <v>0</v>
      </c>
    </row>
    <row r="5562" spans="1:12" x14ac:dyDescent="0.25">
      <c r="A5562" t="s">
        <v>102</v>
      </c>
      <c r="B5562" t="str">
        <f>_xlfn.XLOOKUP($A5562,Load!$B:$B,Load!C:C,0,)</f>
        <v>Flix</v>
      </c>
      <c r="C5562" t="str">
        <f>_xlfn.XLOOKUP($A5562,Load!$B:$B,Load!D:D,0,)</f>
        <v>Non-Chocolate Candy Only</v>
      </c>
      <c r="D5562" t="str">
        <f>_xlfn.XLOOKUP($A5562,Load!$B:$B,Load!E:E,0,)</f>
        <v>Berry Based (Raspberry, Strawberry, Medley, etc.)</v>
      </c>
      <c r="E5562" t="str">
        <f>_xlfn.XLOOKUP($A5562,Load!$B:$B,Load!F:F,0,)</f>
        <v>Lollipop (regular or lollipop rings)</v>
      </c>
      <c r="F5562" t="str">
        <f>_xlfn.XLOOKUP($A5562,Load!$B:$B,Load!G:G,0,)</f>
        <v>Small Multipack (Less than 40 ct)</v>
      </c>
      <c r="G5562" t="str">
        <f>_xlfn.XLOOKUP($A5562,Load!$B:$B,Load!H:H,0,)</f>
        <v>Box (theatre box, gift box, carton)</v>
      </c>
      <c r="H5562" t="str">
        <f>_xlfn.XLOOKUP($A5562,Load!$B:$B,Load!I:I,0,)</f>
        <v>Seasonal Shapes (like pumpkins, candy corn, ghost, bats, etc.)</v>
      </c>
      <c r="I5562" t="str">
        <f>_xlfn.XLOOKUP($A5562,Load!$B:$B,Load!J:J,0,)</f>
        <v>Seasonal Graphics (Like Bat, Ghost, Pumpkin, Fall Leaves, Eyeballs, etc.)</v>
      </c>
      <c r="J5562" t="str">
        <f>_xlfn.XLOOKUP($A5562,Load!$B:$B,Load!K:K,0,)</f>
        <v>Regular Lollipop size (on sticks or rings)</v>
      </c>
      <c r="K5562" t="str">
        <f>_xlfn.XLOOKUP($A5562,Load!$B:$B,Load!L:L,0,)</f>
        <v>Regular/Original Wrapping</v>
      </c>
      <c r="L5562" t="str">
        <f>_xlfn.XLOOKUP($A5562,Load!$B:$B,Load!M:M,0,)</f>
        <v>Single Brand / Variety Flavors or Form</v>
      </c>
    </row>
    <row r="5563" spans="1:12" x14ac:dyDescent="0.25">
      <c r="B5563">
        <f>_xlfn.XLOOKUP($A5563,Load!$B:$B,Load!C:C,0,)</f>
        <v>0</v>
      </c>
      <c r="C5563">
        <f>_xlfn.XLOOKUP($A5563,Load!$B:$B,Load!D:D,0,)</f>
        <v>0</v>
      </c>
      <c r="D5563">
        <f>_xlfn.XLOOKUP($A5563,Load!$B:$B,Load!E:E,0,)</f>
        <v>0</v>
      </c>
      <c r="E5563">
        <f>_xlfn.XLOOKUP($A5563,Load!$B:$B,Load!F:F,0,)</f>
        <v>0</v>
      </c>
      <c r="F5563">
        <f>_xlfn.XLOOKUP($A5563,Load!$B:$B,Load!G:G,0,)</f>
        <v>0</v>
      </c>
      <c r="G5563">
        <f>_xlfn.XLOOKUP($A5563,Load!$B:$B,Load!H:H,0,)</f>
        <v>0</v>
      </c>
      <c r="H5563">
        <f>_xlfn.XLOOKUP($A5563,Load!$B:$B,Load!I:I,0,)</f>
        <v>0</v>
      </c>
      <c r="I5563">
        <f>_xlfn.XLOOKUP($A5563,Load!$B:$B,Load!J:J,0,)</f>
        <v>0</v>
      </c>
      <c r="J5563">
        <f>_xlfn.XLOOKUP($A5563,Load!$B:$B,Load!K:K,0,)</f>
        <v>0</v>
      </c>
      <c r="K5563">
        <f>_xlfn.XLOOKUP($A5563,Load!$B:$B,Load!L:L,0,)</f>
        <v>0</v>
      </c>
      <c r="L5563">
        <f>_xlfn.XLOOKUP($A5563,Load!$B:$B,Load!M:M,0,)</f>
        <v>0</v>
      </c>
    </row>
    <row r="5564" spans="1:12" x14ac:dyDescent="0.25">
      <c r="A5564" t="s">
        <v>8</v>
      </c>
      <c r="B5564" t="str">
        <f>_xlfn.XLOOKUP($A5564,Load!$B:$B,Load!C:C,0,)</f>
        <v>Airheads</v>
      </c>
      <c r="C5564" t="str">
        <f>_xlfn.XLOOKUP($A5564,Load!$B:$B,Load!D:D,0,)</f>
        <v>Non-Chocolate Candy Only</v>
      </c>
      <c r="D5564" t="str">
        <f>_xlfn.XLOOKUP($A5564,Load!$B:$B,Load!E:E,0,)</f>
        <v>Fruit Flavor (Cherry, Grape, Apple, Citrus, Tropical Fruit)</v>
      </c>
      <c r="E5564" t="str">
        <f>_xlfn.XLOOKUP($A5564,Load!$B:$B,Load!F:F,0,)</f>
        <v>Chewy</v>
      </c>
      <c r="F5564" t="str">
        <f>_xlfn.XLOOKUP($A5564,Load!$B:$B,Load!G:G,0,)</f>
        <v>Small Multipack (Less than 40 ct)</v>
      </c>
      <c r="G5564" t="str">
        <f>_xlfn.XLOOKUP($A5564,Load!$B:$B,Load!H:H,0,)</f>
        <v>Laydown Bag</v>
      </c>
      <c r="H5564" t="str">
        <f>_xlfn.XLOOKUP($A5564,Load!$B:$B,Load!I:I,0,)</f>
        <v>Everyday Candy Shapes (like Original, Gummy bear, Fruit, Jewels, etc.)</v>
      </c>
      <c r="I5564" t="str">
        <f>_xlfn.XLOOKUP($A5564,Load!$B:$B,Load!J:J,0,)</f>
        <v>Everyday Graphics</v>
      </c>
      <c r="J5564" t="str">
        <f>_xlfn.XLOOKUP($A5564,Load!$B:$B,Load!K:K,0,)</f>
        <v>Fun Size / Treat Size</v>
      </c>
      <c r="K5564" t="str">
        <f>_xlfn.XLOOKUP($A5564,Load!$B:$B,Load!L:L,0,)</f>
        <v>Regular/Original Wrapping</v>
      </c>
      <c r="L5564" t="str">
        <f>_xlfn.XLOOKUP($A5564,Load!$B:$B,Load!M:M,0,)</f>
        <v>Single Brand / Variety Flavors or Form</v>
      </c>
    </row>
    <row r="5565" spans="1:12" x14ac:dyDescent="0.25">
      <c r="A5565" t="s">
        <v>301</v>
      </c>
      <c r="B5565" t="str">
        <f>_xlfn.XLOOKUP($A5565,Load!$B:$B,Load!C:C,0,)</f>
        <v>Twizzlers</v>
      </c>
      <c r="C5565" t="str">
        <f>_xlfn.XLOOKUP($A5565,Load!$B:$B,Load!D:D,0,)</f>
        <v>Non-Chocolate Candy Only</v>
      </c>
      <c r="D5565" t="str">
        <f>_xlfn.XLOOKUP($A5565,Load!$B:$B,Load!E:E,0,)</f>
        <v>Variety / Mixed Flavors (Fruity, Sour, Seasonal Flavors)</v>
      </c>
      <c r="E5565" t="str">
        <f>_xlfn.XLOOKUP($A5565,Load!$B:$B,Load!F:F,0,)</f>
        <v>Mixed / Combo Packs (Gummy, Chewy, Taffy, etc.)</v>
      </c>
      <c r="F5565" t="str">
        <f>_xlfn.XLOOKUP($A5565,Load!$B:$B,Load!G:G,0,)</f>
        <v>Medium Multipack (40–80 ct)</v>
      </c>
      <c r="G5565" t="str">
        <f>_xlfn.XLOOKUP($A5565,Load!$B:$B,Load!H:H,0,)</f>
        <v>Laydown Bag</v>
      </c>
      <c r="H5565" t="str">
        <f>_xlfn.XLOOKUP($A5565,Load!$B:$B,Load!I:I,0,)</f>
        <v>Everyday Candy Shapes (like Original, Gummy bear, Fruit, Jewels, etc.)</v>
      </c>
      <c r="I5565" t="str">
        <f>_xlfn.XLOOKUP($A5565,Load!$B:$B,Load!J:J,0,)</f>
        <v>Seasonal Graphics (Like Bat, Ghost, Pumpkin, Fall Leaves, Eyeballs, etc.)</v>
      </c>
      <c r="J5565" t="str">
        <f>_xlfn.XLOOKUP($A5565,Load!$B:$B,Load!K:K,0,)</f>
        <v>Fun Size / Treat Size</v>
      </c>
      <c r="K5565" t="str">
        <f>_xlfn.XLOOKUP($A5565,Load!$B:$B,Load!L:L,0,)</f>
        <v>Regular/Original Wrapping</v>
      </c>
      <c r="L5565" t="str">
        <f>_xlfn.XLOOKUP($A5565,Load!$B:$B,Load!M:M,0,)</f>
        <v>Single Brand / Variety Flavors or Form</v>
      </c>
    </row>
    <row r="5566" spans="1:12" x14ac:dyDescent="0.25">
      <c r="A5566" t="s">
        <v>65</v>
      </c>
      <c r="B5566" t="str">
        <f>_xlfn.XLOOKUP($A5566,Load!$B:$B,Load!C:C,0,)</f>
        <v>Dots</v>
      </c>
      <c r="C5566" t="str">
        <f>_xlfn.XLOOKUP($A5566,Load!$B:$B,Load!D:D,0,)</f>
        <v>Non-Chocolate Candy Only</v>
      </c>
      <c r="D5566" t="str">
        <f>_xlfn.XLOOKUP($A5566,Load!$B:$B,Load!E:E,0,)</f>
        <v>Variety / Mixed Flavors (Fruity, Sour, Seasonal Flavors)</v>
      </c>
      <c r="E5566" t="str">
        <f>_xlfn.XLOOKUP($A5566,Load!$B:$B,Load!F:F,0,)</f>
        <v>Candy Pieces / Bites</v>
      </c>
      <c r="F5566" t="str">
        <f>_xlfn.XLOOKUP($A5566,Load!$B:$B,Load!G:G,0,)</f>
        <v>Medium Multipack (40–80 ct)</v>
      </c>
      <c r="G5566" t="str">
        <f>_xlfn.XLOOKUP($A5566,Load!$B:$B,Load!H:H,0,)</f>
        <v>Box (theatre box, gift box, carton)</v>
      </c>
      <c r="H5566" t="str">
        <f>_xlfn.XLOOKUP($A5566,Load!$B:$B,Load!I:I,0,)</f>
        <v>Seasonal Shapes (like pumpkins, candy corn, ghost, bats, etc.)</v>
      </c>
      <c r="I5566" t="str">
        <f>_xlfn.XLOOKUP($A5566,Load!$B:$B,Load!J:J,0,)</f>
        <v>Seasonal Graphics (Like Bat, Ghost, Pumpkin, Fall Leaves, Eyeballs, etc.)</v>
      </c>
      <c r="J5566" t="str">
        <f>_xlfn.XLOOKUP($A5566,Load!$B:$B,Load!K:K,0,)</f>
        <v>Fun Size / Treat Size</v>
      </c>
      <c r="K5566" t="str">
        <f>_xlfn.XLOOKUP($A5566,Load!$B:$B,Load!L:L,0,)</f>
        <v>Regular/Original Wrapping</v>
      </c>
      <c r="L5566" t="str">
        <f>_xlfn.XLOOKUP($A5566,Load!$B:$B,Load!M:M,0,)</f>
        <v>Single Brand / Variety Flavors or Form</v>
      </c>
    </row>
    <row r="5567" spans="1:12" x14ac:dyDescent="0.25">
      <c r="B5567">
        <f>_xlfn.XLOOKUP($A5567,Load!$B:$B,Load!C:C,0,)</f>
        <v>0</v>
      </c>
      <c r="C5567">
        <f>_xlfn.XLOOKUP($A5567,Load!$B:$B,Load!D:D,0,)</f>
        <v>0</v>
      </c>
      <c r="D5567">
        <f>_xlfn.XLOOKUP($A5567,Load!$B:$B,Load!E:E,0,)</f>
        <v>0</v>
      </c>
      <c r="E5567">
        <f>_xlfn.XLOOKUP($A5567,Load!$B:$B,Load!F:F,0,)</f>
        <v>0</v>
      </c>
      <c r="F5567">
        <f>_xlfn.XLOOKUP($A5567,Load!$B:$B,Load!G:G,0,)</f>
        <v>0</v>
      </c>
      <c r="G5567">
        <f>_xlfn.XLOOKUP($A5567,Load!$B:$B,Load!H:H,0,)</f>
        <v>0</v>
      </c>
      <c r="H5567">
        <f>_xlfn.XLOOKUP($A5567,Load!$B:$B,Load!I:I,0,)</f>
        <v>0</v>
      </c>
      <c r="I5567">
        <f>_xlfn.XLOOKUP($A5567,Load!$B:$B,Load!J:J,0,)</f>
        <v>0</v>
      </c>
      <c r="J5567">
        <f>_xlfn.XLOOKUP($A5567,Load!$B:$B,Load!K:K,0,)</f>
        <v>0</v>
      </c>
      <c r="K5567">
        <f>_xlfn.XLOOKUP($A5567,Load!$B:$B,Load!L:L,0,)</f>
        <v>0</v>
      </c>
      <c r="L5567">
        <f>_xlfn.XLOOKUP($A5567,Load!$B:$B,Load!M:M,0,)</f>
        <v>0</v>
      </c>
    </row>
    <row r="5568" spans="1:12" x14ac:dyDescent="0.25">
      <c r="A5568" t="s">
        <v>126</v>
      </c>
      <c r="B5568" t="str">
        <f>_xlfn.XLOOKUP($A5568,Load!$B:$B,Load!C:C,0,)</f>
        <v>HARIBO</v>
      </c>
      <c r="C5568" t="str">
        <f>_xlfn.XLOOKUP($A5568,Load!$B:$B,Load!D:D,0,)</f>
        <v>Non-Chocolate Candy Only</v>
      </c>
      <c r="D5568" t="str">
        <f>_xlfn.XLOOKUP($A5568,Load!$B:$B,Load!E:E,0,)</f>
        <v>Sweet</v>
      </c>
      <c r="E5568" t="str">
        <f>_xlfn.XLOOKUP($A5568,Load!$B:$B,Load!F:F,0,)</f>
        <v>Gummy</v>
      </c>
      <c r="F5568" t="str">
        <f>_xlfn.XLOOKUP($A5568,Load!$B:$B,Load!G:G,0,)</f>
        <v>Single Pack</v>
      </c>
      <c r="G5568" t="str">
        <f>_xlfn.XLOOKUP($A5568,Load!$B:$B,Load!H:H,0,)</f>
        <v>Laydown Bag</v>
      </c>
      <c r="H5568" t="str">
        <f>_xlfn.XLOOKUP($A5568,Load!$B:$B,Load!I:I,0,)</f>
        <v>Seasonal Shapes (like pumpkins, candy corn, ghost, bats, etc.)</v>
      </c>
      <c r="I5568" t="str">
        <f>_xlfn.XLOOKUP($A5568,Load!$B:$B,Load!J:J,0,)</f>
        <v>Seasonal Graphics (Like Bat, Ghost, Pumpkin, Fall Leaves, Eyeballs, etc.)</v>
      </c>
      <c r="J5568" t="str">
        <f>_xlfn.XLOOKUP($A5568,Load!$B:$B,Load!K:K,0,)</f>
        <v>Small Pieces (Tiny bite size candies)</v>
      </c>
      <c r="K5568" t="str">
        <f>_xlfn.XLOOKUP($A5568,Load!$B:$B,Load!L:L,0,)</f>
        <v>Unwrapped</v>
      </c>
      <c r="L5568" t="str">
        <f>_xlfn.XLOOKUP($A5568,Load!$B:$B,Load!M:M,0,)</f>
        <v>Single Brand / Variety Flavors or Form</v>
      </c>
    </row>
    <row r="5569" spans="1:12" x14ac:dyDescent="0.25">
      <c r="B5569">
        <f>_xlfn.XLOOKUP($A5569,Load!$B:$B,Load!C:C,0,)</f>
        <v>0</v>
      </c>
      <c r="C5569">
        <f>_xlfn.XLOOKUP($A5569,Load!$B:$B,Load!D:D,0,)</f>
        <v>0</v>
      </c>
      <c r="D5569">
        <f>_xlfn.XLOOKUP($A5569,Load!$B:$B,Load!E:E,0,)</f>
        <v>0</v>
      </c>
      <c r="E5569">
        <f>_xlfn.XLOOKUP($A5569,Load!$B:$B,Load!F:F,0,)</f>
        <v>0</v>
      </c>
      <c r="F5569">
        <f>_xlfn.XLOOKUP($A5569,Load!$B:$B,Load!G:G,0,)</f>
        <v>0</v>
      </c>
      <c r="G5569">
        <f>_xlfn.XLOOKUP($A5569,Load!$B:$B,Load!H:H,0,)</f>
        <v>0</v>
      </c>
      <c r="H5569">
        <f>_xlfn.XLOOKUP($A5569,Load!$B:$B,Load!I:I,0,)</f>
        <v>0</v>
      </c>
      <c r="I5569">
        <f>_xlfn.XLOOKUP($A5569,Load!$B:$B,Load!J:J,0,)</f>
        <v>0</v>
      </c>
      <c r="J5569">
        <f>_xlfn.XLOOKUP($A5569,Load!$B:$B,Load!K:K,0,)</f>
        <v>0</v>
      </c>
      <c r="K5569">
        <f>_xlfn.XLOOKUP($A5569,Load!$B:$B,Load!L:L,0,)</f>
        <v>0</v>
      </c>
      <c r="L5569">
        <f>_xlfn.XLOOKUP($A5569,Load!$B:$B,Load!M:M,0,)</f>
        <v>0</v>
      </c>
    </row>
    <row r="5570" spans="1:12" x14ac:dyDescent="0.25">
      <c r="A5570" t="s">
        <v>220</v>
      </c>
      <c r="B5570" t="str">
        <f>_xlfn.XLOOKUP($A5570,Load!$B:$B,Load!C:C,0,)</f>
        <v>Mondelez Variety Pack</v>
      </c>
      <c r="C5570" t="str">
        <f>_xlfn.XLOOKUP($A5570,Load!$B:$B,Load!D:D,0,)</f>
        <v>Non-Chocolate Candy Only</v>
      </c>
      <c r="D5570" t="str">
        <f>_xlfn.XLOOKUP($A5570,Load!$B:$B,Load!E:E,0,)</f>
        <v>Variety / Mixed Flavors (Fruity, Sour, Seasonal Flavors)</v>
      </c>
      <c r="E5570" t="str">
        <f>_xlfn.XLOOKUP($A5570,Load!$B:$B,Load!F:F,0,)</f>
        <v>Chewy</v>
      </c>
      <c r="F5570" t="str">
        <f>_xlfn.XLOOKUP($A5570,Load!$B:$B,Load!G:G,0,)</f>
        <v>Large Multipack (More than 80 ct)</v>
      </c>
      <c r="G5570" t="str">
        <f>_xlfn.XLOOKUP($A5570,Load!$B:$B,Load!H:H,0,)</f>
        <v>Stand-Up Bag</v>
      </c>
      <c r="H5570" t="str">
        <f>_xlfn.XLOOKUP($A5570,Load!$B:$B,Load!I:I,0,)</f>
        <v>Seasonal Shapes (like pumpkins, candy corn, ghost, bats, etc.)</v>
      </c>
      <c r="I5570" t="str">
        <f>_xlfn.XLOOKUP($A5570,Load!$B:$B,Load!J:J,0,)</f>
        <v>Seasonal Graphics (Like Bat, Ghost, Pumpkin, Fall Leaves, Eyeballs, etc.)</v>
      </c>
      <c r="J5570" t="str">
        <f>_xlfn.XLOOKUP($A5570,Load!$B:$B,Load!K:K,0,)</f>
        <v>Small Pieces (Tiny bite size candies)</v>
      </c>
      <c r="K5570" t="str">
        <f>_xlfn.XLOOKUP($A5570,Load!$B:$B,Load!L:L,0,)</f>
        <v>Regular/Original Wrapping</v>
      </c>
      <c r="L5570" t="str">
        <f>_xlfn.XLOOKUP($A5570,Load!$B:$B,Load!M:M,0,)</f>
        <v>Single Brand / Variety Flavors or Form</v>
      </c>
    </row>
    <row r="5571" spans="1:12" x14ac:dyDescent="0.25">
      <c r="A5571" t="s">
        <v>104</v>
      </c>
      <c r="B5571" t="str">
        <f>_xlfn.XLOOKUP($A5571,Load!$B:$B,Load!C:C,0,)</f>
        <v>Frankford</v>
      </c>
      <c r="C5571" t="str">
        <f>_xlfn.XLOOKUP($A5571,Load!$B:$B,Load!D:D,0,)</f>
        <v>Non-Chocolate Candy Only</v>
      </c>
      <c r="D5571" t="str">
        <f>_xlfn.XLOOKUP($A5571,Load!$B:$B,Load!E:E,0,)</f>
        <v>Variety / Mixed Flavors (Fruity, Sour, Seasonal Flavors)</v>
      </c>
      <c r="E5571" t="str">
        <f>_xlfn.XLOOKUP($A5571,Load!$B:$B,Load!F:F,0,)</f>
        <v>Mixed / Combo Packs (Gummy, Chewy, Taffy, etc.)</v>
      </c>
      <c r="F5571" t="str">
        <f>_xlfn.XLOOKUP($A5571,Load!$B:$B,Load!G:G,0,)</f>
        <v>Large Multipack (More than 80 ct)</v>
      </c>
      <c r="G5571" t="str">
        <f>_xlfn.XLOOKUP($A5571,Load!$B:$B,Load!H:H,0,)</f>
        <v>Stand-Up Bag</v>
      </c>
      <c r="H5571" t="str">
        <f>_xlfn.XLOOKUP($A5571,Load!$B:$B,Load!I:I,0,)</f>
        <v>Seasonal Shapes (like pumpkins, candy corn, ghost, bats, etc.)</v>
      </c>
      <c r="I5571" t="str">
        <f>_xlfn.XLOOKUP($A5571,Load!$B:$B,Load!J:J,0,)</f>
        <v>Seasonal Graphics (Like Bat, Ghost, Pumpkin, Fall Leaves, Eyeballs, etc.)</v>
      </c>
      <c r="J5571" t="str">
        <f>_xlfn.XLOOKUP($A5571,Load!$B:$B,Load!K:K,0,)</f>
        <v xml:space="preserve">Variety Candy Sizes </v>
      </c>
      <c r="K5571" t="str">
        <f>_xlfn.XLOOKUP($A5571,Load!$B:$B,Load!L:L,0,)</f>
        <v>Regular/Original Wrapping</v>
      </c>
      <c r="L5571" t="str">
        <f>_xlfn.XLOOKUP($A5571,Load!$B:$B,Load!M:M,0,)</f>
        <v>Multiple Brands / Variety Flavors or Form</v>
      </c>
    </row>
    <row r="5572" spans="1:12" x14ac:dyDescent="0.25">
      <c r="A5572" t="s">
        <v>235</v>
      </c>
      <c r="B5572" t="str">
        <f>_xlfn.XLOOKUP($A5572,Load!$B:$B,Load!C:C,0,)</f>
        <v>Nerds</v>
      </c>
      <c r="C5572" t="str">
        <f>_xlfn.XLOOKUP($A5572,Load!$B:$B,Load!D:D,0,)</f>
        <v>Non-Chocolate Candy Only</v>
      </c>
      <c r="D5572" t="str">
        <f>_xlfn.XLOOKUP($A5572,Load!$B:$B,Load!E:E,0,)</f>
        <v>Variety / Mixed Flavors (Fruity, Sour, Seasonal Flavors)</v>
      </c>
      <c r="E5572" t="str">
        <f>_xlfn.XLOOKUP($A5572,Load!$B:$B,Load!F:F,0,)</f>
        <v>Candy Pieces / Bites</v>
      </c>
      <c r="F5572" t="str">
        <f>_xlfn.XLOOKUP($A5572,Load!$B:$B,Load!G:G,0,)</f>
        <v>Small Multipack (Less than 40 ct)</v>
      </c>
      <c r="G5572" t="str">
        <f>_xlfn.XLOOKUP($A5572,Load!$B:$B,Load!H:H,0,)</f>
        <v>Peg Bag</v>
      </c>
      <c r="H5572" t="str">
        <f>_xlfn.XLOOKUP($A5572,Load!$B:$B,Load!I:I,0,)</f>
        <v>Everyday Candy Shapes (like Original, Gummy bear, Fruit, Jewels, etc.)</v>
      </c>
      <c r="I5572" t="str">
        <f>_xlfn.XLOOKUP($A5572,Load!$B:$B,Load!J:J,0,)</f>
        <v>Everyday Graphics</v>
      </c>
      <c r="J5572" t="str">
        <f>_xlfn.XLOOKUP($A5572,Load!$B:$B,Load!K:K,0,)</f>
        <v>Small Pieces (Tiny bite size candies)</v>
      </c>
      <c r="K5572" t="str">
        <f>_xlfn.XLOOKUP($A5572,Load!$B:$B,Load!L:L,0,)</f>
        <v>Unwrapped</v>
      </c>
      <c r="L5572" t="str">
        <f>_xlfn.XLOOKUP($A5572,Load!$B:$B,Load!M:M,0,)</f>
        <v>Single Brand / Variety Flavors or Form</v>
      </c>
    </row>
    <row r="5573" spans="1:12" x14ac:dyDescent="0.25">
      <c r="B5573">
        <f>_xlfn.XLOOKUP($A5573,Load!$B:$B,Load!C:C,0,)</f>
        <v>0</v>
      </c>
      <c r="C5573">
        <f>_xlfn.XLOOKUP($A5573,Load!$B:$B,Load!D:D,0,)</f>
        <v>0</v>
      </c>
      <c r="D5573">
        <f>_xlfn.XLOOKUP($A5573,Load!$B:$B,Load!E:E,0,)</f>
        <v>0</v>
      </c>
      <c r="E5573">
        <f>_xlfn.XLOOKUP($A5573,Load!$B:$B,Load!F:F,0,)</f>
        <v>0</v>
      </c>
      <c r="F5573">
        <f>_xlfn.XLOOKUP($A5573,Load!$B:$B,Load!G:G,0,)</f>
        <v>0</v>
      </c>
      <c r="G5573">
        <f>_xlfn.XLOOKUP($A5573,Load!$B:$B,Load!H:H,0,)</f>
        <v>0</v>
      </c>
      <c r="H5573">
        <f>_xlfn.XLOOKUP($A5573,Load!$B:$B,Load!I:I,0,)</f>
        <v>0</v>
      </c>
      <c r="I5573">
        <f>_xlfn.XLOOKUP($A5573,Load!$B:$B,Load!J:J,0,)</f>
        <v>0</v>
      </c>
      <c r="J5573">
        <f>_xlfn.XLOOKUP($A5573,Load!$B:$B,Load!K:K,0,)</f>
        <v>0</v>
      </c>
      <c r="K5573">
        <f>_xlfn.XLOOKUP($A5573,Load!$B:$B,Load!L:L,0,)</f>
        <v>0</v>
      </c>
      <c r="L5573">
        <f>_xlfn.XLOOKUP($A5573,Load!$B:$B,Load!M:M,0,)</f>
        <v>0</v>
      </c>
    </row>
    <row r="5574" spans="1:12" x14ac:dyDescent="0.25">
      <c r="A5574" t="s">
        <v>290</v>
      </c>
      <c r="B5574" t="str">
        <f>_xlfn.XLOOKUP($A5574,Load!$B:$B,Load!C:C,0,)</f>
        <v>Tootsie</v>
      </c>
      <c r="C5574" t="str">
        <f>_xlfn.XLOOKUP($A5574,Load!$B:$B,Load!D:D,0,)</f>
        <v>Mix of Chocolate and Non-Chocolate Candy</v>
      </c>
      <c r="D5574" t="str">
        <f>_xlfn.XLOOKUP($A5574,Load!$B:$B,Load!E:E,0,)</f>
        <v>Variety / Mixed Flavors (Fruity, Sour, Seasonal Flavors)</v>
      </c>
      <c r="E5574" t="str">
        <f>_xlfn.XLOOKUP($A5574,Load!$B:$B,Load!F:F,0,)</f>
        <v>Mixed / Combo Packs (Gummy, Chewy, Taffy, etc.)</v>
      </c>
      <c r="F5574" t="str">
        <f>_xlfn.XLOOKUP($A5574,Load!$B:$B,Load!G:G,0,)</f>
        <v>Large Multipack (More than 80 ct)</v>
      </c>
      <c r="G5574" t="str">
        <f>_xlfn.XLOOKUP($A5574,Load!$B:$B,Load!H:H,0,)</f>
        <v>Laydown Bag</v>
      </c>
      <c r="H5574" t="str">
        <f>_xlfn.XLOOKUP($A5574,Load!$B:$B,Load!I:I,0,)</f>
        <v>Everyday Candy Shapes (like Original, Gummy bear, Fruit, Jewels, etc.)</v>
      </c>
      <c r="I5574" t="str">
        <f>_xlfn.XLOOKUP($A5574,Load!$B:$B,Load!J:J,0,)</f>
        <v>Everyday Graphics</v>
      </c>
      <c r="J5574" t="str">
        <f>_xlfn.XLOOKUP($A5574,Load!$B:$B,Load!K:K,0,)</f>
        <v>Fun Size / Treat Size</v>
      </c>
      <c r="K5574" t="str">
        <f>_xlfn.XLOOKUP($A5574,Load!$B:$B,Load!L:L,0,)</f>
        <v>Regular/Original Wrapping</v>
      </c>
      <c r="L5574" t="str">
        <f>_xlfn.XLOOKUP($A5574,Load!$B:$B,Load!M:M,0,)</f>
        <v>Single Brand / Variety Flavors or Form</v>
      </c>
    </row>
    <row r="5575" spans="1:12" x14ac:dyDescent="0.25">
      <c r="B5575">
        <f>_xlfn.XLOOKUP($A5575,Load!$B:$B,Load!C:C,0,)</f>
        <v>0</v>
      </c>
      <c r="C5575">
        <f>_xlfn.XLOOKUP($A5575,Load!$B:$B,Load!D:D,0,)</f>
        <v>0</v>
      </c>
      <c r="D5575">
        <f>_xlfn.XLOOKUP($A5575,Load!$B:$B,Load!E:E,0,)</f>
        <v>0</v>
      </c>
      <c r="E5575">
        <f>_xlfn.XLOOKUP($A5575,Load!$B:$B,Load!F:F,0,)</f>
        <v>0</v>
      </c>
      <c r="F5575">
        <f>_xlfn.XLOOKUP($A5575,Load!$B:$B,Load!G:G,0,)</f>
        <v>0</v>
      </c>
      <c r="G5575">
        <f>_xlfn.XLOOKUP($A5575,Load!$B:$B,Load!H:H,0,)</f>
        <v>0</v>
      </c>
      <c r="H5575">
        <f>_xlfn.XLOOKUP($A5575,Load!$B:$B,Load!I:I,0,)</f>
        <v>0</v>
      </c>
      <c r="I5575">
        <f>_xlfn.XLOOKUP($A5575,Load!$B:$B,Load!J:J,0,)</f>
        <v>0</v>
      </c>
      <c r="J5575">
        <f>_xlfn.XLOOKUP($A5575,Load!$B:$B,Load!K:K,0,)</f>
        <v>0</v>
      </c>
      <c r="K5575">
        <f>_xlfn.XLOOKUP($A5575,Load!$B:$B,Load!L:L,0,)</f>
        <v>0</v>
      </c>
      <c r="L5575">
        <f>_xlfn.XLOOKUP($A5575,Load!$B:$B,Load!M:M,0,)</f>
        <v>0</v>
      </c>
    </row>
    <row r="5576" spans="1:12" x14ac:dyDescent="0.25">
      <c r="A5576" t="s">
        <v>289</v>
      </c>
      <c r="B5576" t="str">
        <f>_xlfn.XLOOKUP($A5576,Load!$B:$B,Load!C:C,0,)</f>
        <v>Tootsie</v>
      </c>
      <c r="C5576" t="str">
        <f>_xlfn.XLOOKUP($A5576,Load!$B:$B,Load!D:D,0,)</f>
        <v>Mix of Chocolate and Non-Chocolate Candy</v>
      </c>
      <c r="D5576" t="str">
        <f>_xlfn.XLOOKUP($A5576,Load!$B:$B,Load!E:E,0,)</f>
        <v>Variety / Mixed Flavors (Fruity, Sour, Seasonal Flavors)</v>
      </c>
      <c r="E5576" t="str">
        <f>_xlfn.XLOOKUP($A5576,Load!$B:$B,Load!F:F,0,)</f>
        <v>Mixed / Combo Packs (Gummy, Chewy, Taffy, etc.)</v>
      </c>
      <c r="F5576" t="str">
        <f>_xlfn.XLOOKUP($A5576,Load!$B:$B,Load!G:G,0,)</f>
        <v>Large Multipack (More than 80 ct)</v>
      </c>
      <c r="G5576" t="str">
        <f>_xlfn.XLOOKUP($A5576,Load!$B:$B,Load!H:H,0,)</f>
        <v>Laydown Bag</v>
      </c>
      <c r="H5576" t="str">
        <f>_xlfn.XLOOKUP($A5576,Load!$B:$B,Load!I:I,0,)</f>
        <v>Everyday Candy Shapes (like Original, Gummy bear, Fruit, Jewels, etc.)</v>
      </c>
      <c r="I5576" t="str">
        <f>_xlfn.XLOOKUP($A5576,Load!$B:$B,Load!J:J,0,)</f>
        <v>Everyday Graphics</v>
      </c>
      <c r="J5576" t="str">
        <f>_xlfn.XLOOKUP($A5576,Load!$B:$B,Load!K:K,0,)</f>
        <v xml:space="preserve">Variety Candy Sizes </v>
      </c>
      <c r="K5576" t="str">
        <f>_xlfn.XLOOKUP($A5576,Load!$B:$B,Load!L:L,0,)</f>
        <v>Regular/Original Wrapping</v>
      </c>
      <c r="L5576" t="str">
        <f>_xlfn.XLOOKUP($A5576,Load!$B:$B,Load!M:M,0,)</f>
        <v>Single Brand / Variety Flavors or Form</v>
      </c>
    </row>
    <row r="5577" spans="1:12" x14ac:dyDescent="0.25">
      <c r="A5577" t="s">
        <v>290</v>
      </c>
      <c r="B5577" t="str">
        <f>_xlfn.XLOOKUP($A5577,Load!$B:$B,Load!C:C,0,)</f>
        <v>Tootsie</v>
      </c>
      <c r="C5577" t="str">
        <f>_xlfn.XLOOKUP($A5577,Load!$B:$B,Load!D:D,0,)</f>
        <v>Mix of Chocolate and Non-Chocolate Candy</v>
      </c>
      <c r="D5577" t="str">
        <f>_xlfn.XLOOKUP($A5577,Load!$B:$B,Load!E:E,0,)</f>
        <v>Variety / Mixed Flavors (Fruity, Sour, Seasonal Flavors)</v>
      </c>
      <c r="E5577" t="str">
        <f>_xlfn.XLOOKUP($A5577,Load!$B:$B,Load!F:F,0,)</f>
        <v>Mixed / Combo Packs (Gummy, Chewy, Taffy, etc.)</v>
      </c>
      <c r="F5577" t="str">
        <f>_xlfn.XLOOKUP($A5577,Load!$B:$B,Load!G:G,0,)</f>
        <v>Large Multipack (More than 80 ct)</v>
      </c>
      <c r="G5577" t="str">
        <f>_xlfn.XLOOKUP($A5577,Load!$B:$B,Load!H:H,0,)</f>
        <v>Laydown Bag</v>
      </c>
      <c r="H5577" t="str">
        <f>_xlfn.XLOOKUP($A5577,Load!$B:$B,Load!I:I,0,)</f>
        <v>Everyday Candy Shapes (like Original, Gummy bear, Fruit, Jewels, etc.)</v>
      </c>
      <c r="I5577" t="str">
        <f>_xlfn.XLOOKUP($A5577,Load!$B:$B,Load!J:J,0,)</f>
        <v>Everyday Graphics</v>
      </c>
      <c r="J5577" t="str">
        <f>_xlfn.XLOOKUP($A5577,Load!$B:$B,Load!K:K,0,)</f>
        <v>Fun Size / Treat Size</v>
      </c>
      <c r="K5577" t="str">
        <f>_xlfn.XLOOKUP($A5577,Load!$B:$B,Load!L:L,0,)</f>
        <v>Regular/Original Wrapping</v>
      </c>
      <c r="L5577" t="str">
        <f>_xlfn.XLOOKUP($A5577,Load!$B:$B,Load!M:M,0,)</f>
        <v>Single Brand / Variety Flavors or Form</v>
      </c>
    </row>
    <row r="5578" spans="1:12" x14ac:dyDescent="0.25">
      <c r="A5578" t="s">
        <v>121</v>
      </c>
      <c r="B5578" t="str">
        <f>_xlfn.XLOOKUP($A5578,Load!$B:$B,Load!C:C,0,)</f>
        <v>HARIBO</v>
      </c>
      <c r="C5578" t="str">
        <f>_xlfn.XLOOKUP($A5578,Load!$B:$B,Load!D:D,0,)</f>
        <v>Non-Chocolate Candy Only</v>
      </c>
      <c r="D5578" t="str">
        <f>_xlfn.XLOOKUP($A5578,Load!$B:$B,Load!E:E,0,)</f>
        <v>Variety / Mixed Flavors (Fruity, Sour, Seasonal Flavors)</v>
      </c>
      <c r="E5578" t="str">
        <f>_xlfn.XLOOKUP($A5578,Load!$B:$B,Load!F:F,0,)</f>
        <v>Gummy</v>
      </c>
      <c r="F5578" t="str">
        <f>_xlfn.XLOOKUP($A5578,Load!$B:$B,Load!G:G,0,)</f>
        <v>Large Multipack (More than 80 ct)</v>
      </c>
      <c r="G5578" t="str">
        <f>_xlfn.XLOOKUP($A5578,Load!$B:$B,Load!H:H,0,)</f>
        <v>Stand-Up Bag</v>
      </c>
      <c r="H5578" t="str">
        <f>_xlfn.XLOOKUP($A5578,Load!$B:$B,Load!I:I,0,)</f>
        <v>Seasonal Shapes (like pumpkins, candy corn, ghost, bats, etc.)</v>
      </c>
      <c r="I5578" t="str">
        <f>_xlfn.XLOOKUP($A5578,Load!$B:$B,Load!J:J,0,)</f>
        <v>Seasonal Graphics (Like Bat, Ghost, Pumpkin, Fall Leaves, Eyeballs, etc.)</v>
      </c>
      <c r="J5578" t="str">
        <f>_xlfn.XLOOKUP($A5578,Load!$B:$B,Load!K:K,0,)</f>
        <v>Fun Size / Treat Size</v>
      </c>
      <c r="K5578" t="str">
        <f>_xlfn.XLOOKUP($A5578,Load!$B:$B,Load!L:L,0,)</f>
        <v>Regular/Original Wrapping</v>
      </c>
      <c r="L5578" t="str">
        <f>_xlfn.XLOOKUP($A5578,Load!$B:$B,Load!M:M,0,)</f>
        <v>Multiple Brands / Variety Flavors or Form</v>
      </c>
    </row>
    <row r="5579" spans="1:12" x14ac:dyDescent="0.25">
      <c r="B5579">
        <f>_xlfn.XLOOKUP($A5579,Load!$B:$B,Load!C:C,0,)</f>
        <v>0</v>
      </c>
      <c r="C5579">
        <f>_xlfn.XLOOKUP($A5579,Load!$B:$B,Load!D:D,0,)</f>
        <v>0</v>
      </c>
      <c r="D5579">
        <f>_xlfn.XLOOKUP($A5579,Load!$B:$B,Load!E:E,0,)</f>
        <v>0</v>
      </c>
      <c r="E5579">
        <f>_xlfn.XLOOKUP($A5579,Load!$B:$B,Load!F:F,0,)</f>
        <v>0</v>
      </c>
      <c r="F5579">
        <f>_xlfn.XLOOKUP($A5579,Load!$B:$B,Load!G:G,0,)</f>
        <v>0</v>
      </c>
      <c r="G5579">
        <f>_xlfn.XLOOKUP($A5579,Load!$B:$B,Load!H:H,0,)</f>
        <v>0</v>
      </c>
      <c r="H5579">
        <f>_xlfn.XLOOKUP($A5579,Load!$B:$B,Load!I:I,0,)</f>
        <v>0</v>
      </c>
      <c r="I5579">
        <f>_xlfn.XLOOKUP($A5579,Load!$B:$B,Load!J:J,0,)</f>
        <v>0</v>
      </c>
      <c r="J5579">
        <f>_xlfn.XLOOKUP($A5579,Load!$B:$B,Load!K:K,0,)</f>
        <v>0</v>
      </c>
      <c r="K5579">
        <f>_xlfn.XLOOKUP($A5579,Load!$B:$B,Load!L:L,0,)</f>
        <v>0</v>
      </c>
      <c r="L5579">
        <f>_xlfn.XLOOKUP($A5579,Load!$B:$B,Load!M:M,0,)</f>
        <v>0</v>
      </c>
    </row>
    <row r="5580" spans="1:12" x14ac:dyDescent="0.25">
      <c r="A5580" t="s">
        <v>285</v>
      </c>
      <c r="B5580" t="str">
        <f>_xlfn.XLOOKUP($A5580,Load!$B:$B,Load!C:C,0,)</f>
        <v>Starburst</v>
      </c>
      <c r="C5580" t="str">
        <f>_xlfn.XLOOKUP($A5580,Load!$B:$B,Load!D:D,0,)</f>
        <v>Non-Chocolate Candy Only</v>
      </c>
      <c r="D5580" t="str">
        <f>_xlfn.XLOOKUP($A5580,Load!$B:$B,Load!E:E,0,)</f>
        <v>Fruit Flavor (Cherry, Grape, Apple, Citrus, Tropical Fruit)</v>
      </c>
      <c r="E5580" t="str">
        <f>_xlfn.XLOOKUP($A5580,Load!$B:$B,Load!F:F,0,)</f>
        <v>Chewy</v>
      </c>
      <c r="F5580" t="str">
        <f>_xlfn.XLOOKUP($A5580,Load!$B:$B,Load!G:G,0,)</f>
        <v>Small Multipack (Less than 40 ct)</v>
      </c>
      <c r="G5580" t="str">
        <f>_xlfn.XLOOKUP($A5580,Load!$B:$B,Load!H:H,0,)</f>
        <v>Laydown Bag</v>
      </c>
      <c r="H5580" t="str">
        <f>_xlfn.XLOOKUP($A5580,Load!$B:$B,Load!I:I,0,)</f>
        <v>Everyday Candy Shapes (like Original, Gummy bear, Fruit, Jewels, etc.)</v>
      </c>
      <c r="I5580" t="str">
        <f>_xlfn.XLOOKUP($A5580,Load!$B:$B,Load!J:J,0,)</f>
        <v>Everyday Graphics</v>
      </c>
      <c r="J5580" t="str">
        <f>_xlfn.XLOOKUP($A5580,Load!$B:$B,Load!K:K,0,)</f>
        <v>Small Pieces (Tiny bite size candies)</v>
      </c>
      <c r="K5580" t="str">
        <f>_xlfn.XLOOKUP($A5580,Load!$B:$B,Load!L:L,0,)</f>
        <v>Regular/Original Wrapping</v>
      </c>
      <c r="L5580" t="str">
        <f>_xlfn.XLOOKUP($A5580,Load!$B:$B,Load!M:M,0,)</f>
        <v>Single Brand / Variety Flavors or Form</v>
      </c>
    </row>
    <row r="5581" spans="1:12" x14ac:dyDescent="0.25">
      <c r="A5581" t="s">
        <v>8</v>
      </c>
      <c r="B5581" t="str">
        <f>_xlfn.XLOOKUP($A5581,Load!$B:$B,Load!C:C,0,)</f>
        <v>Airheads</v>
      </c>
      <c r="C5581" t="str">
        <f>_xlfn.XLOOKUP($A5581,Load!$B:$B,Load!D:D,0,)</f>
        <v>Non-Chocolate Candy Only</v>
      </c>
      <c r="D5581" t="str">
        <f>_xlfn.XLOOKUP($A5581,Load!$B:$B,Load!E:E,0,)</f>
        <v>Fruit Flavor (Cherry, Grape, Apple, Citrus, Tropical Fruit)</v>
      </c>
      <c r="E5581" t="str">
        <f>_xlfn.XLOOKUP($A5581,Load!$B:$B,Load!F:F,0,)</f>
        <v>Chewy</v>
      </c>
      <c r="F5581" t="str">
        <f>_xlfn.XLOOKUP($A5581,Load!$B:$B,Load!G:G,0,)</f>
        <v>Small Multipack (Less than 40 ct)</v>
      </c>
      <c r="G5581" t="str">
        <f>_xlfn.XLOOKUP($A5581,Load!$B:$B,Load!H:H,0,)</f>
        <v>Laydown Bag</v>
      </c>
      <c r="H5581" t="str">
        <f>_xlfn.XLOOKUP($A5581,Load!$B:$B,Load!I:I,0,)</f>
        <v>Everyday Candy Shapes (like Original, Gummy bear, Fruit, Jewels, etc.)</v>
      </c>
      <c r="I5581" t="str">
        <f>_xlfn.XLOOKUP($A5581,Load!$B:$B,Load!J:J,0,)</f>
        <v>Everyday Graphics</v>
      </c>
      <c r="J5581" t="str">
        <f>_xlfn.XLOOKUP($A5581,Load!$B:$B,Load!K:K,0,)</f>
        <v>Fun Size / Treat Size</v>
      </c>
      <c r="K5581" t="str">
        <f>_xlfn.XLOOKUP($A5581,Load!$B:$B,Load!L:L,0,)</f>
        <v>Regular/Original Wrapping</v>
      </c>
      <c r="L5581" t="str">
        <f>_xlfn.XLOOKUP($A5581,Load!$B:$B,Load!M:M,0,)</f>
        <v>Single Brand / Variety Flavors or Form</v>
      </c>
    </row>
    <row r="5582" spans="1:12" x14ac:dyDescent="0.25">
      <c r="A5582" t="s">
        <v>287</v>
      </c>
      <c r="B5582" t="str">
        <f>_xlfn.XLOOKUP($A5582,Load!$B:$B,Load!C:C,0,)</f>
        <v>SweeTARTS</v>
      </c>
      <c r="C5582" t="str">
        <f>_xlfn.XLOOKUP($A5582,Load!$B:$B,Load!D:D,0,)</f>
        <v>Non-Chocolate Candy Only</v>
      </c>
      <c r="D5582" t="str">
        <f>_xlfn.XLOOKUP($A5582,Load!$B:$B,Load!E:E,0,)</f>
        <v>Berry Based (Raspberry, Strawberry, Medley, etc.)</v>
      </c>
      <c r="E5582" t="str">
        <f>_xlfn.XLOOKUP($A5582,Load!$B:$B,Load!F:F,0,)</f>
        <v>Chewy</v>
      </c>
      <c r="F5582" t="str">
        <f>_xlfn.XLOOKUP($A5582,Load!$B:$B,Load!G:G,0,)</f>
        <v>Small Multipack (Less than 40 ct)</v>
      </c>
      <c r="G5582" t="str">
        <f>_xlfn.XLOOKUP($A5582,Load!$B:$B,Load!H:H,0,)</f>
        <v>Laydown Bag</v>
      </c>
      <c r="H5582" t="str">
        <f>_xlfn.XLOOKUP($A5582,Load!$B:$B,Load!I:I,0,)</f>
        <v>Everyday Candy Shapes (like Original, Gummy bear, Fruit, Jewels, etc.)</v>
      </c>
      <c r="I5582" t="str">
        <f>_xlfn.XLOOKUP($A5582,Load!$B:$B,Load!J:J,0,)</f>
        <v>Everyday Graphics</v>
      </c>
      <c r="J5582" t="str">
        <f>_xlfn.XLOOKUP($A5582,Load!$B:$B,Load!K:K,0,)</f>
        <v>Fun Size / Treat Size</v>
      </c>
      <c r="K5582" t="str">
        <f>_xlfn.XLOOKUP($A5582,Load!$B:$B,Load!L:L,0,)</f>
        <v>Unwrapped</v>
      </c>
      <c r="L5582" t="str">
        <f>_xlfn.XLOOKUP($A5582,Load!$B:$B,Load!M:M,0,)</f>
        <v>Single Brand / Single Flavor or Form</v>
      </c>
    </row>
    <row r="5583" spans="1:12" x14ac:dyDescent="0.25">
      <c r="B5583">
        <f>_xlfn.XLOOKUP($A5583,Load!$B:$B,Load!C:C,0,)</f>
        <v>0</v>
      </c>
      <c r="C5583">
        <f>_xlfn.XLOOKUP($A5583,Load!$B:$B,Load!D:D,0,)</f>
        <v>0</v>
      </c>
      <c r="D5583">
        <f>_xlfn.XLOOKUP($A5583,Load!$B:$B,Load!E:E,0,)</f>
        <v>0</v>
      </c>
      <c r="E5583">
        <f>_xlfn.XLOOKUP($A5583,Load!$B:$B,Load!F:F,0,)</f>
        <v>0</v>
      </c>
      <c r="F5583">
        <f>_xlfn.XLOOKUP($A5583,Load!$B:$B,Load!G:G,0,)</f>
        <v>0</v>
      </c>
      <c r="G5583">
        <f>_xlfn.XLOOKUP($A5583,Load!$B:$B,Load!H:H,0,)</f>
        <v>0</v>
      </c>
      <c r="H5583">
        <f>_xlfn.XLOOKUP($A5583,Load!$B:$B,Load!I:I,0,)</f>
        <v>0</v>
      </c>
      <c r="I5583">
        <f>_xlfn.XLOOKUP($A5583,Load!$B:$B,Load!J:J,0,)</f>
        <v>0</v>
      </c>
      <c r="J5583">
        <f>_xlfn.XLOOKUP($A5583,Load!$B:$B,Load!K:K,0,)</f>
        <v>0</v>
      </c>
      <c r="K5583">
        <f>_xlfn.XLOOKUP($A5583,Load!$B:$B,Load!L:L,0,)</f>
        <v>0</v>
      </c>
      <c r="L5583">
        <f>_xlfn.XLOOKUP($A5583,Load!$B:$B,Load!M:M,0,)</f>
        <v>0</v>
      </c>
    </row>
    <row r="5584" spans="1:12" x14ac:dyDescent="0.25">
      <c r="A5584" t="s">
        <v>157</v>
      </c>
      <c r="B5584" t="str">
        <f>_xlfn.XLOOKUP($A5584,Load!$B:$B,Load!C:C,0,)</f>
        <v>Jolly Rancher</v>
      </c>
      <c r="C5584" t="str">
        <f>_xlfn.XLOOKUP($A5584,Load!$B:$B,Load!D:D,0,)</f>
        <v>Non-Chocolate Candy Only</v>
      </c>
      <c r="D5584" t="str">
        <f>_xlfn.XLOOKUP($A5584,Load!$B:$B,Load!E:E,0,)</f>
        <v>Fruit Flavor (Cherry, Grape, Apple, Citrus, Tropical Fruit)</v>
      </c>
      <c r="E5584" t="str">
        <f>_xlfn.XLOOKUP($A5584,Load!$B:$B,Load!F:F,0,)</f>
        <v>Hard Candy</v>
      </c>
      <c r="F5584" t="str">
        <f>_xlfn.XLOOKUP($A5584,Load!$B:$B,Load!G:G,0,)</f>
        <v>Single Pack</v>
      </c>
      <c r="G5584" t="str">
        <f>_xlfn.XLOOKUP($A5584,Load!$B:$B,Load!H:H,0,)</f>
        <v>Laydown Bag</v>
      </c>
      <c r="H5584" t="str">
        <f>_xlfn.XLOOKUP($A5584,Load!$B:$B,Load!I:I,0,)</f>
        <v>Everyday Candy Shapes (like Original, Gummy bear, Fruit, Jewels, etc.)</v>
      </c>
      <c r="I5584" t="str">
        <f>_xlfn.XLOOKUP($A5584,Load!$B:$B,Load!J:J,0,)</f>
        <v>Everyday Graphics</v>
      </c>
      <c r="J5584" t="str">
        <f>_xlfn.XLOOKUP($A5584,Load!$B:$B,Load!K:K,0,)</f>
        <v>Small Pieces (Tiny bite size candies)</v>
      </c>
      <c r="K5584" t="str">
        <f>_xlfn.XLOOKUP($A5584,Load!$B:$B,Load!L:L,0,)</f>
        <v>Regular/Original Wrapping</v>
      </c>
      <c r="L5584" t="str">
        <f>_xlfn.XLOOKUP($A5584,Load!$B:$B,Load!M:M,0,)</f>
        <v>Single Brand / Variety Flavors or Form</v>
      </c>
    </row>
    <row r="5585" spans="1:12" x14ac:dyDescent="0.25">
      <c r="A5585" t="s">
        <v>158</v>
      </c>
      <c r="B5585" t="str">
        <f>_xlfn.XLOOKUP($A5585,Load!$B:$B,Load!C:C,0,)</f>
        <v>Jolly Rancher</v>
      </c>
      <c r="C5585" t="str">
        <f>_xlfn.XLOOKUP($A5585,Load!$B:$B,Load!D:D,0,)</f>
        <v>Non-Chocolate Candy Only</v>
      </c>
      <c r="D5585" t="str">
        <f>_xlfn.XLOOKUP($A5585,Load!$B:$B,Load!E:E,0,)</f>
        <v>Sweet</v>
      </c>
      <c r="E5585" t="str">
        <f>_xlfn.XLOOKUP($A5585,Load!$B:$B,Load!F:F,0,)</f>
        <v>Hard Candy</v>
      </c>
      <c r="F5585" t="str">
        <f>_xlfn.XLOOKUP($A5585,Load!$B:$B,Load!G:G,0,)</f>
        <v>Single Pack</v>
      </c>
      <c r="G5585" t="str">
        <f>_xlfn.XLOOKUP($A5585,Load!$B:$B,Load!H:H,0,)</f>
        <v>Peg Bag</v>
      </c>
      <c r="H5585" t="str">
        <f>_xlfn.XLOOKUP($A5585,Load!$B:$B,Load!I:I,0,)</f>
        <v>Everyday Candy Shapes (like Original, Gummy bear, Fruit, Jewels, etc.)</v>
      </c>
      <c r="I5585" t="str">
        <f>_xlfn.XLOOKUP($A5585,Load!$B:$B,Load!J:J,0,)</f>
        <v>Everyday Graphics</v>
      </c>
      <c r="J5585" t="str">
        <f>_xlfn.XLOOKUP($A5585,Load!$B:$B,Load!K:K,0,)</f>
        <v>Small Pieces (Tiny bite size candies)</v>
      </c>
      <c r="K5585" t="str">
        <f>_xlfn.XLOOKUP($A5585,Load!$B:$B,Load!L:L,0,)</f>
        <v>Regular/Original Wrapping</v>
      </c>
      <c r="L5585" t="str">
        <f>_xlfn.XLOOKUP($A5585,Load!$B:$B,Load!M:M,0,)</f>
        <v>Single Brand / Variety Flavors or Form</v>
      </c>
    </row>
    <row r="5586" spans="1:12" x14ac:dyDescent="0.25">
      <c r="A5586" t="s">
        <v>173</v>
      </c>
      <c r="B5586" t="str">
        <f>_xlfn.XLOOKUP($A5586,Load!$B:$B,Load!C:C,0,)</f>
        <v>Mars Variety Pack</v>
      </c>
      <c r="C5586" t="str">
        <f>_xlfn.XLOOKUP($A5586,Load!$B:$B,Load!D:D,0,)</f>
        <v>Mix of Chocolate and Non-Chocolate Candy</v>
      </c>
      <c r="D5586" t="str">
        <f>_xlfn.XLOOKUP($A5586,Load!$B:$B,Load!E:E,0,)</f>
        <v>Variety / Mixed Flavors (Fruity, Sour, Seasonal Flavors)</v>
      </c>
      <c r="E5586" t="str">
        <f>_xlfn.XLOOKUP($A5586,Load!$B:$B,Load!F:F,0,)</f>
        <v>Mixed / Combo Packs (Gummy, Chewy, Taffy, etc.)</v>
      </c>
      <c r="F5586" t="str">
        <f>_xlfn.XLOOKUP($A5586,Load!$B:$B,Load!G:G,0,)</f>
        <v>Large Multipack (More than 80 ct)</v>
      </c>
      <c r="G5586" t="str">
        <f>_xlfn.XLOOKUP($A5586,Load!$B:$B,Load!H:H,0,)</f>
        <v>Stand-Up Bag</v>
      </c>
      <c r="H5586" t="str">
        <f>_xlfn.XLOOKUP($A5586,Load!$B:$B,Load!I:I,0,)</f>
        <v>Everyday Candy Shapes (like Original, Gummy bear, Fruit, Jewels, etc.)</v>
      </c>
      <c r="I5586" t="str">
        <f>_xlfn.XLOOKUP($A5586,Load!$B:$B,Load!J:J,0,)</f>
        <v>Seasonal Graphics (Like Bat, Ghost, Pumpkin, Fall Leaves, Eyeballs, etc.)</v>
      </c>
      <c r="J5586" t="str">
        <f>_xlfn.XLOOKUP($A5586,Load!$B:$B,Load!K:K,0,)</f>
        <v>Fun Size / Treat Size</v>
      </c>
      <c r="K5586" t="str">
        <f>_xlfn.XLOOKUP($A5586,Load!$B:$B,Load!L:L,0,)</f>
        <v>Regular/Original Wrapping</v>
      </c>
      <c r="L5586" t="str">
        <f>_xlfn.XLOOKUP($A5586,Load!$B:$B,Load!M:M,0,)</f>
        <v>Multiple Brands / Variety Flavors or Form</v>
      </c>
    </row>
    <row r="5587" spans="1:12" x14ac:dyDescent="0.25">
      <c r="A5587" t="s">
        <v>206</v>
      </c>
      <c r="B5587" t="str">
        <f>_xlfn.XLOOKUP($A5587,Load!$B:$B,Load!C:C,0,)</f>
        <v>Mars Variety Pack</v>
      </c>
      <c r="C5587" t="str">
        <f>_xlfn.XLOOKUP($A5587,Load!$B:$B,Load!D:D,0,)</f>
        <v>Non-Chocolate Candy Only</v>
      </c>
      <c r="D5587" t="str">
        <f>_xlfn.XLOOKUP($A5587,Load!$B:$B,Load!E:E,0,)</f>
        <v>Variety / Mixed Flavors (Fruity, Sour, Seasonal Flavors)</v>
      </c>
      <c r="E5587" t="str">
        <f>_xlfn.XLOOKUP($A5587,Load!$B:$B,Load!F:F,0,)</f>
        <v>Mixed / Combo Packs (Gummy, Chewy, Taffy, etc.)</v>
      </c>
      <c r="F5587" t="str">
        <f>_xlfn.XLOOKUP($A5587,Load!$B:$B,Load!G:G,0,)</f>
        <v>Large Multipack (More than 80 ct)</v>
      </c>
      <c r="G5587" t="str">
        <f>_xlfn.XLOOKUP($A5587,Load!$B:$B,Load!H:H,0,)</f>
        <v>Stand-Up Bag</v>
      </c>
      <c r="H5587" t="str">
        <f>_xlfn.XLOOKUP($A5587,Load!$B:$B,Load!I:I,0,)</f>
        <v>Everyday Candy Shapes (like Original, Gummy bear, Fruit, Jewels, etc.)</v>
      </c>
      <c r="I5587" t="str">
        <f>_xlfn.XLOOKUP($A5587,Load!$B:$B,Load!J:J,0,)</f>
        <v>Seasonal Graphics (Like Bat, Ghost, Pumpkin, Fall Leaves, Eyeballs, etc.)</v>
      </c>
      <c r="J5587" t="str">
        <f>_xlfn.XLOOKUP($A5587,Load!$B:$B,Load!K:K,0,)</f>
        <v>Fun Size / Treat Size</v>
      </c>
      <c r="K5587" t="str">
        <f>_xlfn.XLOOKUP($A5587,Load!$B:$B,Load!L:L,0,)</f>
        <v>Regular/Original Wrapping</v>
      </c>
      <c r="L5587" t="str">
        <f>_xlfn.XLOOKUP($A5587,Load!$B:$B,Load!M:M,0,)</f>
        <v>Multiple Brands / Variety Flavors or Form</v>
      </c>
    </row>
    <row r="5588" spans="1:12" x14ac:dyDescent="0.25">
      <c r="A5588" t="s">
        <v>71</v>
      </c>
      <c r="B5588" t="str">
        <f>_xlfn.XLOOKUP($A5588,Load!$B:$B,Load!C:C,0,)</f>
        <v>Dum Dums</v>
      </c>
      <c r="C5588" t="str">
        <f>_xlfn.XLOOKUP($A5588,Load!$B:$B,Load!D:D,0,)</f>
        <v>Non-Chocolate Candy Only</v>
      </c>
      <c r="D5588" t="str">
        <f>_xlfn.XLOOKUP($A5588,Load!$B:$B,Load!E:E,0,)</f>
        <v>Sweet</v>
      </c>
      <c r="E5588" t="str">
        <f>_xlfn.XLOOKUP($A5588,Load!$B:$B,Load!F:F,0,)</f>
        <v>Lollipop (regular or lollipop rings)</v>
      </c>
      <c r="F5588" t="str">
        <f>_xlfn.XLOOKUP($A5588,Load!$B:$B,Load!G:G,0,)</f>
        <v>Large Multipack (More than 80 ct)</v>
      </c>
      <c r="G5588" t="str">
        <f>_xlfn.XLOOKUP($A5588,Load!$B:$B,Load!H:H,0,)</f>
        <v>Stand-Up Bag</v>
      </c>
      <c r="H5588" t="str">
        <f>_xlfn.XLOOKUP($A5588,Load!$B:$B,Load!I:I,0,)</f>
        <v>Everyday Candy Shapes (like Original, Gummy bear, Fruit, Jewels, etc.)</v>
      </c>
      <c r="I5588" t="str">
        <f>_xlfn.XLOOKUP($A5588,Load!$B:$B,Load!J:J,0,)</f>
        <v>Seasonal Graphics (Like Bat, Ghost, Pumpkin, Fall Leaves, Eyeballs, etc.)</v>
      </c>
      <c r="J5588" t="str">
        <f>_xlfn.XLOOKUP($A5588,Load!$B:$B,Load!K:K,0,)</f>
        <v>Regular Lollipop size (on sticks or rings)</v>
      </c>
      <c r="K5588" t="str">
        <f>_xlfn.XLOOKUP($A5588,Load!$B:$B,Load!L:L,0,)</f>
        <v>Regular/Original Wrapping</v>
      </c>
      <c r="L5588" t="str">
        <f>_xlfn.XLOOKUP($A5588,Load!$B:$B,Load!M:M,0,)</f>
        <v>Multiple Brands / Variety Flavors or Form</v>
      </c>
    </row>
    <row r="5589" spans="1:12" x14ac:dyDescent="0.25">
      <c r="B5589">
        <f>_xlfn.XLOOKUP($A5589,Load!$B:$B,Load!C:C,0,)</f>
        <v>0</v>
      </c>
      <c r="C5589">
        <f>_xlfn.XLOOKUP($A5589,Load!$B:$B,Load!D:D,0,)</f>
        <v>0</v>
      </c>
      <c r="D5589">
        <f>_xlfn.XLOOKUP($A5589,Load!$B:$B,Load!E:E,0,)</f>
        <v>0</v>
      </c>
      <c r="E5589">
        <f>_xlfn.XLOOKUP($A5589,Load!$B:$B,Load!F:F,0,)</f>
        <v>0</v>
      </c>
      <c r="F5589">
        <f>_xlfn.XLOOKUP($A5589,Load!$B:$B,Load!G:G,0,)</f>
        <v>0</v>
      </c>
      <c r="G5589">
        <f>_xlfn.XLOOKUP($A5589,Load!$B:$B,Load!H:H,0,)</f>
        <v>0</v>
      </c>
      <c r="H5589">
        <f>_xlfn.XLOOKUP($A5589,Load!$B:$B,Load!I:I,0,)</f>
        <v>0</v>
      </c>
      <c r="I5589">
        <f>_xlfn.XLOOKUP($A5589,Load!$B:$B,Load!J:J,0,)</f>
        <v>0</v>
      </c>
      <c r="J5589">
        <f>_xlfn.XLOOKUP($A5589,Load!$B:$B,Load!K:K,0,)</f>
        <v>0</v>
      </c>
      <c r="K5589">
        <f>_xlfn.XLOOKUP($A5589,Load!$B:$B,Load!L:L,0,)</f>
        <v>0</v>
      </c>
      <c r="L5589">
        <f>_xlfn.XLOOKUP($A5589,Load!$B:$B,Load!M:M,0,)</f>
        <v>0</v>
      </c>
    </row>
    <row r="5590" spans="1:12" x14ac:dyDescent="0.25">
      <c r="A5590" t="s">
        <v>47</v>
      </c>
      <c r="B5590" t="str">
        <f>_xlfn.XLOOKUP($A5590,Load!$B:$B,Load!C:C,0,)</f>
        <v>Brach's</v>
      </c>
      <c r="C5590" t="str">
        <f>_xlfn.XLOOKUP($A5590,Load!$B:$B,Load!D:D,0,)</f>
        <v>Non-Chocolate Candy Only</v>
      </c>
      <c r="D5590" t="str">
        <f>_xlfn.XLOOKUP($A5590,Load!$B:$B,Load!E:E,0,)</f>
        <v>Fall / Seasonal Flavors (pumpkin spice, caramel apple, candy corn)</v>
      </c>
      <c r="E5590" t="str">
        <f>_xlfn.XLOOKUP($A5590,Load!$B:$B,Load!F:F,0,)</f>
        <v>Candy Pieces / Bites</v>
      </c>
      <c r="F5590" t="str">
        <f>_xlfn.XLOOKUP($A5590,Load!$B:$B,Load!G:G,0,)</f>
        <v>Single Pack</v>
      </c>
      <c r="G5590" t="str">
        <f>_xlfn.XLOOKUP($A5590,Load!$B:$B,Load!H:H,0,)</f>
        <v>Stand-Up Bag</v>
      </c>
      <c r="H5590" t="str">
        <f>_xlfn.XLOOKUP($A5590,Load!$B:$B,Load!I:I,0,)</f>
        <v>Seasonal Shapes (like pumpkins, candy corn, ghost, bats, etc.)</v>
      </c>
      <c r="I5590" t="str">
        <f>_xlfn.XLOOKUP($A5590,Load!$B:$B,Load!J:J,0,)</f>
        <v>Seasonal Graphics (Like Bat, Ghost, Pumpkin, Fall Leaves, Eyeballs, etc.)</v>
      </c>
      <c r="J5590" t="str">
        <f>_xlfn.XLOOKUP($A5590,Load!$B:$B,Load!K:K,0,)</f>
        <v>Small Pieces (Tiny bite size candies)</v>
      </c>
      <c r="K5590" t="str">
        <f>_xlfn.XLOOKUP($A5590,Load!$B:$B,Load!L:L,0,)</f>
        <v>Unwrapped</v>
      </c>
      <c r="L5590" t="str">
        <f>_xlfn.XLOOKUP($A5590,Load!$B:$B,Load!M:M,0,)</f>
        <v>Single Brand / Variety Flavors or Form</v>
      </c>
    </row>
    <row r="5591" spans="1:12" x14ac:dyDescent="0.25">
      <c r="A5591" t="s">
        <v>38</v>
      </c>
      <c r="B5591" t="str">
        <f>_xlfn.XLOOKUP($A5591,Load!$B:$B,Load!C:C,0,)</f>
        <v>Brach's</v>
      </c>
      <c r="C5591" t="str">
        <f>_xlfn.XLOOKUP($A5591,Load!$B:$B,Load!D:D,0,)</f>
        <v>Non-Chocolate Candy Only</v>
      </c>
      <c r="D5591" t="str">
        <f>_xlfn.XLOOKUP($A5591,Load!$B:$B,Load!E:E,0,)</f>
        <v>Fall / Seasonal Flavors (pumpkin spice, caramel apple, candy corn)</v>
      </c>
      <c r="E5591" t="str">
        <f>_xlfn.XLOOKUP($A5591,Load!$B:$B,Load!F:F,0,)</f>
        <v>Candy Pieces / Bites</v>
      </c>
      <c r="F5591" t="str">
        <f>_xlfn.XLOOKUP($A5591,Load!$B:$B,Load!G:G,0,)</f>
        <v>Single Pack</v>
      </c>
      <c r="G5591" t="str">
        <f>_xlfn.XLOOKUP($A5591,Load!$B:$B,Load!H:H,0,)</f>
        <v>Laydown Bag</v>
      </c>
      <c r="H5591" t="str">
        <f>_xlfn.XLOOKUP($A5591,Load!$B:$B,Load!I:I,0,)</f>
        <v>Seasonal Shapes (like pumpkins, candy corn, ghost, bats, etc.)</v>
      </c>
      <c r="I5591" t="str">
        <f>_xlfn.XLOOKUP($A5591,Load!$B:$B,Load!J:J,0,)</f>
        <v>Seasonal Graphics (Like Bat, Ghost, Pumpkin, Fall Leaves, Eyeballs, etc.)</v>
      </c>
      <c r="J5591" t="str">
        <f>_xlfn.XLOOKUP($A5591,Load!$B:$B,Load!K:K,0,)</f>
        <v>Small Pieces (Tiny bite size candies)</v>
      </c>
      <c r="K5591" t="str">
        <f>_xlfn.XLOOKUP($A5591,Load!$B:$B,Load!L:L,0,)</f>
        <v>Unwrapped</v>
      </c>
      <c r="L5591" t="str">
        <f>_xlfn.XLOOKUP($A5591,Load!$B:$B,Load!M:M,0,)</f>
        <v>Single Brand / Variety Flavors or Form</v>
      </c>
    </row>
    <row r="5592" spans="1:12" x14ac:dyDescent="0.25">
      <c r="A5592" t="s">
        <v>284</v>
      </c>
      <c r="B5592" t="str">
        <f>_xlfn.XLOOKUP($A5592,Load!$B:$B,Load!C:C,0,)</f>
        <v>Starburst</v>
      </c>
      <c r="C5592" t="str">
        <f>_xlfn.XLOOKUP($A5592,Load!$B:$B,Load!D:D,0,)</f>
        <v>Non-Chocolate Candy Only</v>
      </c>
      <c r="D5592" t="str">
        <f>_xlfn.XLOOKUP($A5592,Load!$B:$B,Load!E:E,0,)</f>
        <v>Fruit Flavor (Cherry, Grape, Apple, Citrus, Tropical Fruit)</v>
      </c>
      <c r="E5592" t="str">
        <f>_xlfn.XLOOKUP($A5592,Load!$B:$B,Load!F:F,0,)</f>
        <v>Lollipop (regular or lollipop rings)</v>
      </c>
      <c r="F5592" t="str">
        <f>_xlfn.XLOOKUP($A5592,Load!$B:$B,Load!G:G,0,)</f>
        <v>Single Pack</v>
      </c>
      <c r="G5592" t="str">
        <f>_xlfn.XLOOKUP($A5592,Load!$B:$B,Load!H:H,0,)</f>
        <v>Laydown Bag</v>
      </c>
      <c r="H5592" t="str">
        <f>_xlfn.XLOOKUP($A5592,Load!$B:$B,Load!I:I,0,)</f>
        <v>Everyday Candy Shapes (like Original, Gummy bear, Fruit, Jewels, etc.)</v>
      </c>
      <c r="I5592" t="str">
        <f>_xlfn.XLOOKUP($A5592,Load!$B:$B,Load!J:J,0,)</f>
        <v>Seasonal Graphics (Like Bat, Ghost, Pumpkin, Fall Leaves, Eyeballs, etc.)</v>
      </c>
      <c r="J5592" t="str">
        <f>_xlfn.XLOOKUP($A5592,Load!$B:$B,Load!K:K,0,)</f>
        <v>Regular Lollipop size (on sticks or rings)</v>
      </c>
      <c r="K5592" t="str">
        <f>_xlfn.XLOOKUP($A5592,Load!$B:$B,Load!L:L,0,)</f>
        <v>Regular/Original Wrapping</v>
      </c>
      <c r="L5592" t="str">
        <f>_xlfn.XLOOKUP($A5592,Load!$B:$B,Load!M:M,0,)</f>
        <v>Single Brand / Single Flavor or Form</v>
      </c>
    </row>
    <row r="5593" spans="1:12" x14ac:dyDescent="0.25">
      <c r="B5593">
        <f>_xlfn.XLOOKUP($A5593,Load!$B:$B,Load!C:C,0,)</f>
        <v>0</v>
      </c>
      <c r="C5593">
        <f>_xlfn.XLOOKUP($A5593,Load!$B:$B,Load!D:D,0,)</f>
        <v>0</v>
      </c>
      <c r="D5593">
        <f>_xlfn.XLOOKUP($A5593,Load!$B:$B,Load!E:E,0,)</f>
        <v>0</v>
      </c>
      <c r="E5593">
        <f>_xlfn.XLOOKUP($A5593,Load!$B:$B,Load!F:F,0,)</f>
        <v>0</v>
      </c>
      <c r="F5593">
        <f>_xlfn.XLOOKUP($A5593,Load!$B:$B,Load!G:G,0,)</f>
        <v>0</v>
      </c>
      <c r="G5593">
        <f>_xlfn.XLOOKUP($A5593,Load!$B:$B,Load!H:H,0,)</f>
        <v>0</v>
      </c>
      <c r="H5593">
        <f>_xlfn.XLOOKUP($A5593,Load!$B:$B,Load!I:I,0,)</f>
        <v>0</v>
      </c>
      <c r="I5593">
        <f>_xlfn.XLOOKUP($A5593,Load!$B:$B,Load!J:J,0,)</f>
        <v>0</v>
      </c>
      <c r="J5593">
        <f>_xlfn.XLOOKUP($A5593,Load!$B:$B,Load!K:K,0,)</f>
        <v>0</v>
      </c>
      <c r="K5593">
        <f>_xlfn.XLOOKUP($A5593,Load!$B:$B,Load!L:L,0,)</f>
        <v>0</v>
      </c>
      <c r="L5593">
        <f>_xlfn.XLOOKUP($A5593,Load!$B:$B,Load!M:M,0,)</f>
        <v>0</v>
      </c>
    </row>
    <row r="5594" spans="1:12" x14ac:dyDescent="0.25">
      <c r="A5594" t="s">
        <v>190</v>
      </c>
      <c r="B5594" t="str">
        <f>_xlfn.XLOOKUP($A5594,Load!$B:$B,Load!C:C,0,)</f>
        <v>Mars Variety Pack</v>
      </c>
      <c r="C5594" t="str">
        <f>_xlfn.XLOOKUP($A5594,Load!$B:$B,Load!D:D,0,)</f>
        <v>Non-Chocolate Candy Only</v>
      </c>
      <c r="D5594" t="str">
        <f>_xlfn.XLOOKUP($A5594,Load!$B:$B,Load!E:E,0,)</f>
        <v>Variety / Mixed Flavors (Fruity, Sour, Seasonal Flavors)</v>
      </c>
      <c r="E5594" t="str">
        <f>_xlfn.XLOOKUP($A5594,Load!$B:$B,Load!F:F,0,)</f>
        <v>Mixed / Combo Packs (Gummy, Chewy, Taffy, etc.)</v>
      </c>
      <c r="F5594" t="str">
        <f>_xlfn.XLOOKUP($A5594,Load!$B:$B,Load!G:G,0,)</f>
        <v>Medium Multipack (40–80 ct)</v>
      </c>
      <c r="G5594" t="str">
        <f>_xlfn.XLOOKUP($A5594,Load!$B:$B,Load!H:H,0,)</f>
        <v>Stand-Up Bag</v>
      </c>
      <c r="H5594" t="str">
        <f>_xlfn.XLOOKUP($A5594,Load!$B:$B,Load!I:I,0,)</f>
        <v>Everyday Candy Shapes (like Original, Gummy bear, Fruit, Jewels, etc.)</v>
      </c>
      <c r="I5594" t="str">
        <f>_xlfn.XLOOKUP($A5594,Load!$B:$B,Load!J:J,0,)</f>
        <v>Everyday Graphics</v>
      </c>
      <c r="J5594" t="str">
        <f>_xlfn.XLOOKUP($A5594,Load!$B:$B,Load!K:K,0,)</f>
        <v>Fun Size / Treat Size</v>
      </c>
      <c r="K5594" t="str">
        <f>_xlfn.XLOOKUP($A5594,Load!$B:$B,Load!L:L,0,)</f>
        <v>Regular/Original Wrapping</v>
      </c>
      <c r="L5594" t="str">
        <f>_xlfn.XLOOKUP($A5594,Load!$B:$B,Load!M:M,0,)</f>
        <v>Multiple Brands / Variety Flavors or Form</v>
      </c>
    </row>
    <row r="5595" spans="1:12" x14ac:dyDescent="0.25">
      <c r="B5595">
        <f>_xlfn.XLOOKUP($A5595,Load!$B:$B,Load!C:C,0,)</f>
        <v>0</v>
      </c>
      <c r="C5595">
        <f>_xlfn.XLOOKUP($A5595,Load!$B:$B,Load!D:D,0,)</f>
        <v>0</v>
      </c>
      <c r="D5595">
        <f>_xlfn.XLOOKUP($A5595,Load!$B:$B,Load!E:E,0,)</f>
        <v>0</v>
      </c>
      <c r="E5595">
        <f>_xlfn.XLOOKUP($A5595,Load!$B:$B,Load!F:F,0,)</f>
        <v>0</v>
      </c>
      <c r="F5595">
        <f>_xlfn.XLOOKUP($A5595,Load!$B:$B,Load!G:G,0,)</f>
        <v>0</v>
      </c>
      <c r="G5595">
        <f>_xlfn.XLOOKUP($A5595,Load!$B:$B,Load!H:H,0,)</f>
        <v>0</v>
      </c>
      <c r="H5595">
        <f>_xlfn.XLOOKUP($A5595,Load!$B:$B,Load!I:I,0,)</f>
        <v>0</v>
      </c>
      <c r="I5595">
        <f>_xlfn.XLOOKUP($A5595,Load!$B:$B,Load!J:J,0,)</f>
        <v>0</v>
      </c>
      <c r="J5595">
        <f>_xlfn.XLOOKUP($A5595,Load!$B:$B,Load!K:K,0,)</f>
        <v>0</v>
      </c>
      <c r="K5595">
        <f>_xlfn.XLOOKUP($A5595,Load!$B:$B,Load!L:L,0,)</f>
        <v>0</v>
      </c>
      <c r="L5595">
        <f>_xlfn.XLOOKUP($A5595,Load!$B:$B,Load!M:M,0,)</f>
        <v>0</v>
      </c>
    </row>
    <row r="5596" spans="1:12" x14ac:dyDescent="0.25">
      <c r="A5596" t="s">
        <v>468</v>
      </c>
      <c r="B5596" t="str">
        <f>_xlfn.XLOOKUP($A5596,Load!$B:$B,Load!C:C,0,)</f>
        <v>Brach's</v>
      </c>
      <c r="C5596" t="str">
        <f>_xlfn.XLOOKUP($A5596,Load!$B:$B,Load!D:D,0,)</f>
        <v>Non-Chocolate Candy Only</v>
      </c>
      <c r="D5596" t="str">
        <f>_xlfn.XLOOKUP($A5596,Load!$B:$B,Load!E:E,0,)</f>
        <v>Fall / Seasonal Flavors (pumpkin spice, caramel apple, candy corn)</v>
      </c>
      <c r="E5596" t="str">
        <f>_xlfn.XLOOKUP($A5596,Load!$B:$B,Load!F:F,0,)</f>
        <v>Candy Pieces / Bites</v>
      </c>
      <c r="F5596" t="str">
        <f>_xlfn.XLOOKUP($A5596,Load!$B:$B,Load!G:G,0,)</f>
        <v>Single Pack</v>
      </c>
      <c r="G5596" t="str">
        <f>_xlfn.XLOOKUP($A5596,Load!$B:$B,Load!H:H,0,)</f>
        <v>Laydown Bag</v>
      </c>
      <c r="H5596" t="str">
        <f>_xlfn.XLOOKUP($A5596,Load!$B:$B,Load!I:I,0,)</f>
        <v>Seasonal Shapes (like pumpkins, candy corn, ghost, bats, etc.)</v>
      </c>
      <c r="I5596" t="str">
        <f>_xlfn.XLOOKUP($A5596,Load!$B:$B,Load!J:J,0,)</f>
        <v>Seasonal Graphics (Like Bat, Ghost, Pumpkin, Fall Leaves, Eyeballs, etc.)</v>
      </c>
      <c r="J5596" t="str">
        <f>_xlfn.XLOOKUP($A5596,Load!$B:$B,Load!K:K,0,)</f>
        <v>Small Pieces (Tiny bite size candies)</v>
      </c>
      <c r="K5596" t="str">
        <f>_xlfn.XLOOKUP($A5596,Load!$B:$B,Load!L:L,0,)</f>
        <v>Unwrapped</v>
      </c>
      <c r="L5596" t="str">
        <f>_xlfn.XLOOKUP($A5596,Load!$B:$B,Load!M:M,0,)</f>
        <v>Single Brand / Single Flavor or Form</v>
      </c>
    </row>
    <row r="5597" spans="1:12" x14ac:dyDescent="0.25">
      <c r="A5597" t="s">
        <v>43</v>
      </c>
      <c r="B5597" t="str">
        <f>_xlfn.XLOOKUP($A5597,Load!$B:$B,Load!C:C,0,)</f>
        <v>Brach's</v>
      </c>
      <c r="C5597" t="str">
        <f>_xlfn.XLOOKUP($A5597,Load!$B:$B,Load!D:D,0,)</f>
        <v>Non-Chocolate Candy Only</v>
      </c>
      <c r="D5597" t="str">
        <f>_xlfn.XLOOKUP($A5597,Load!$B:$B,Load!E:E,0,)</f>
        <v>Fall / Seasonal Flavors (pumpkin spice, caramel apple, candy corn)</v>
      </c>
      <c r="E5597" t="str">
        <f>_xlfn.XLOOKUP($A5597,Load!$B:$B,Load!F:F,0,)</f>
        <v>Candy Pieces / Bites</v>
      </c>
      <c r="F5597" t="str">
        <f>_xlfn.XLOOKUP($A5597,Load!$B:$B,Load!G:G,0,)</f>
        <v>Single Pack</v>
      </c>
      <c r="G5597" t="str">
        <f>_xlfn.XLOOKUP($A5597,Load!$B:$B,Load!H:H,0,)</f>
        <v>Laydown Bag</v>
      </c>
      <c r="H5597" t="str">
        <f>_xlfn.XLOOKUP($A5597,Load!$B:$B,Load!I:I,0,)</f>
        <v>Seasonal Shapes (like pumpkins, candy corn, ghost, bats, etc.)</v>
      </c>
      <c r="I5597" t="str">
        <f>_xlfn.XLOOKUP($A5597,Load!$B:$B,Load!J:J,0,)</f>
        <v>Seasonal Graphics (Like Bat, Ghost, Pumpkin, Fall Leaves, Eyeballs, etc.)</v>
      </c>
      <c r="J5597" t="str">
        <f>_xlfn.XLOOKUP($A5597,Load!$B:$B,Load!K:K,0,)</f>
        <v>Small Pieces (Tiny bite size candies)</v>
      </c>
      <c r="K5597" t="str">
        <f>_xlfn.XLOOKUP($A5597,Load!$B:$B,Load!L:L,0,)</f>
        <v>Unwrapped</v>
      </c>
      <c r="L5597" t="str">
        <f>_xlfn.XLOOKUP($A5597,Load!$B:$B,Load!M:M,0,)</f>
        <v>Single Brand / Single Flavor or Form</v>
      </c>
    </row>
    <row r="5598" spans="1:12" x14ac:dyDescent="0.25">
      <c r="A5598" t="s">
        <v>2</v>
      </c>
      <c r="B5598" t="str">
        <f>_xlfn.XLOOKUP($A5598,Load!$B:$B,Load!C:C,0,)</f>
        <v>Airheads</v>
      </c>
      <c r="C5598" t="str">
        <f>_xlfn.XLOOKUP($A5598,Load!$B:$B,Load!D:D,0,)</f>
        <v>Non-Chocolate Candy Only</v>
      </c>
      <c r="D5598" t="str">
        <f>_xlfn.XLOOKUP($A5598,Load!$B:$B,Load!E:E,0,)</f>
        <v>Variety / Mixed Flavors (Fruity, Sour, Seasonal Flavors)</v>
      </c>
      <c r="E5598" t="str">
        <f>_xlfn.XLOOKUP($A5598,Load!$B:$B,Load!F:F,0,)</f>
        <v>Chewy</v>
      </c>
      <c r="F5598" t="str">
        <f>_xlfn.XLOOKUP($A5598,Load!$B:$B,Load!G:G,0,)</f>
        <v>Medium Multipack (40–80 ct)</v>
      </c>
      <c r="G5598" t="str">
        <f>_xlfn.XLOOKUP($A5598,Load!$B:$B,Load!H:H,0,)</f>
        <v>Box (theatre box, gift box, carton)</v>
      </c>
      <c r="H5598" t="str">
        <f>_xlfn.XLOOKUP($A5598,Load!$B:$B,Load!I:I,0,)</f>
        <v>Everyday Candy Shapes (like Original, Gummy bear, Fruit, Jewels, etc.)</v>
      </c>
      <c r="I5598" t="str">
        <f>_xlfn.XLOOKUP($A5598,Load!$B:$B,Load!J:J,0,)</f>
        <v>Seasonal Graphics (Like Bat, Ghost, Pumpkin, Fall Leaves, Eyeballs, etc.)</v>
      </c>
      <c r="J5598" t="str">
        <f>_xlfn.XLOOKUP($A5598,Load!$B:$B,Load!K:K,0,)</f>
        <v>Fun Size / Treat Size</v>
      </c>
      <c r="K5598" t="str">
        <f>_xlfn.XLOOKUP($A5598,Load!$B:$B,Load!L:L,0,)</f>
        <v>Regular/Original Wrapping</v>
      </c>
      <c r="L5598" t="str">
        <f>_xlfn.XLOOKUP($A5598,Load!$B:$B,Load!M:M,0,)</f>
        <v>Single Brand / Variety Flavors or Form</v>
      </c>
    </row>
    <row r="5599" spans="1:12" x14ac:dyDescent="0.25">
      <c r="A5599" t="s">
        <v>122</v>
      </c>
      <c r="B5599" t="str">
        <f>_xlfn.XLOOKUP($A5599,Load!$B:$B,Load!C:C,0,)</f>
        <v>HARIBO</v>
      </c>
      <c r="C5599" t="str">
        <f>_xlfn.XLOOKUP($A5599,Load!$B:$B,Load!D:D,0,)</f>
        <v>Non-Chocolate Candy Only</v>
      </c>
      <c r="D5599" t="str">
        <f>_xlfn.XLOOKUP($A5599,Load!$B:$B,Load!E:E,0,)</f>
        <v>Variety / Mixed Flavors (Fruity, Sour, Seasonal Flavors)</v>
      </c>
      <c r="E5599" t="str">
        <f>_xlfn.XLOOKUP($A5599,Load!$B:$B,Load!F:F,0,)</f>
        <v>Gummy</v>
      </c>
      <c r="F5599" t="str">
        <f>_xlfn.XLOOKUP($A5599,Load!$B:$B,Load!G:G,0,)</f>
        <v>Medium Multipack (40–80 ct)</v>
      </c>
      <c r="G5599" t="str">
        <f>_xlfn.XLOOKUP($A5599,Load!$B:$B,Load!H:H,0,)</f>
        <v>Laydown Bag</v>
      </c>
      <c r="H5599" t="str">
        <f>_xlfn.XLOOKUP($A5599,Load!$B:$B,Load!I:I,0,)</f>
        <v>Seasonal Shapes (like pumpkins, candy corn, ghost, bats, etc.)</v>
      </c>
      <c r="I5599" t="str">
        <f>_xlfn.XLOOKUP($A5599,Load!$B:$B,Load!J:J,0,)</f>
        <v>Seasonal Graphics (Like Bat, Ghost, Pumpkin, Fall Leaves, Eyeballs, etc.)</v>
      </c>
      <c r="J5599" t="str">
        <f>_xlfn.XLOOKUP($A5599,Load!$B:$B,Load!K:K,0,)</f>
        <v>Small Pieces (Tiny bite size candies)</v>
      </c>
      <c r="K5599" t="str">
        <f>_xlfn.XLOOKUP($A5599,Load!$B:$B,Load!L:L,0,)</f>
        <v>Regular/Original Wrapping</v>
      </c>
      <c r="L5599" t="str">
        <f>_xlfn.XLOOKUP($A5599,Load!$B:$B,Load!M:M,0,)</f>
        <v>Multiple Brands / Variety Flavors or Form</v>
      </c>
    </row>
    <row r="5600" spans="1:12" x14ac:dyDescent="0.25">
      <c r="A5600" t="s">
        <v>146</v>
      </c>
      <c r="B5600" t="str">
        <f>_xlfn.XLOOKUP($A5600,Load!$B:$B,Load!C:C,0,)</f>
        <v>Hi Chew</v>
      </c>
      <c r="C5600" t="str">
        <f>_xlfn.XLOOKUP($A5600,Load!$B:$B,Load!D:D,0,)</f>
        <v>Non-Chocolate Candy Only</v>
      </c>
      <c r="D5600" t="str">
        <f>_xlfn.XLOOKUP($A5600,Load!$B:$B,Load!E:E,0,)</f>
        <v>Fruit Flavor (Cherry, Grape, Apple, Citrus, Tropical Fruit)</v>
      </c>
      <c r="E5600" t="str">
        <f>_xlfn.XLOOKUP($A5600,Load!$B:$B,Load!F:F,0,)</f>
        <v>Gummy</v>
      </c>
      <c r="F5600" t="str">
        <f>_xlfn.XLOOKUP($A5600,Load!$B:$B,Load!G:G,0,)</f>
        <v>Medium Multipack (40–80 ct)</v>
      </c>
      <c r="G5600" t="str">
        <f>_xlfn.XLOOKUP($A5600,Load!$B:$B,Load!H:H,0,)</f>
        <v>Stand-Up Bag</v>
      </c>
      <c r="H5600" t="str">
        <f>_xlfn.XLOOKUP($A5600,Load!$B:$B,Load!I:I,0,)</f>
        <v>Everyday Candy Shapes (like Original, Gummy bear, Fruit, Jewels, etc.)</v>
      </c>
      <c r="I5600" t="str">
        <f>_xlfn.XLOOKUP($A5600,Load!$B:$B,Load!J:J,0,)</f>
        <v>Seasonal Graphics (Like Bat, Ghost, Pumpkin, Fall Leaves, Eyeballs, etc.)</v>
      </c>
      <c r="J5600" t="str">
        <f>_xlfn.XLOOKUP($A5600,Load!$B:$B,Load!K:K,0,)</f>
        <v>Fun Size / Treat Size</v>
      </c>
      <c r="K5600" t="str">
        <f>_xlfn.XLOOKUP($A5600,Load!$B:$B,Load!L:L,0,)</f>
        <v>Regular/Original Wrapping</v>
      </c>
      <c r="L5600" t="str">
        <f>_xlfn.XLOOKUP($A5600,Load!$B:$B,Load!M:M,0,)</f>
        <v>Multiple Brands / Variety Flavors or Form</v>
      </c>
    </row>
    <row r="5601" spans="1:12" x14ac:dyDescent="0.25">
      <c r="A5601" t="s">
        <v>301</v>
      </c>
      <c r="B5601" t="str">
        <f>_xlfn.XLOOKUP($A5601,Load!$B:$B,Load!C:C,0,)</f>
        <v>Twizzlers</v>
      </c>
      <c r="C5601" t="str">
        <f>_xlfn.XLOOKUP($A5601,Load!$B:$B,Load!D:D,0,)</f>
        <v>Non-Chocolate Candy Only</v>
      </c>
      <c r="D5601" t="str">
        <f>_xlfn.XLOOKUP($A5601,Load!$B:$B,Load!E:E,0,)</f>
        <v>Variety / Mixed Flavors (Fruity, Sour, Seasonal Flavors)</v>
      </c>
      <c r="E5601" t="str">
        <f>_xlfn.XLOOKUP($A5601,Load!$B:$B,Load!F:F,0,)</f>
        <v>Mixed / Combo Packs (Gummy, Chewy, Taffy, etc.)</v>
      </c>
      <c r="F5601" t="str">
        <f>_xlfn.XLOOKUP($A5601,Load!$B:$B,Load!G:G,0,)</f>
        <v>Medium Multipack (40–80 ct)</v>
      </c>
      <c r="G5601" t="str">
        <f>_xlfn.XLOOKUP($A5601,Load!$B:$B,Load!H:H,0,)</f>
        <v>Laydown Bag</v>
      </c>
      <c r="H5601" t="str">
        <f>_xlfn.XLOOKUP($A5601,Load!$B:$B,Load!I:I,0,)</f>
        <v>Everyday Candy Shapes (like Original, Gummy bear, Fruit, Jewels, etc.)</v>
      </c>
      <c r="I5601" t="str">
        <f>_xlfn.XLOOKUP($A5601,Load!$B:$B,Load!J:J,0,)</f>
        <v>Seasonal Graphics (Like Bat, Ghost, Pumpkin, Fall Leaves, Eyeballs, etc.)</v>
      </c>
      <c r="J5601" t="str">
        <f>_xlfn.XLOOKUP($A5601,Load!$B:$B,Load!K:K,0,)</f>
        <v>Fun Size / Treat Size</v>
      </c>
      <c r="K5601" t="str">
        <f>_xlfn.XLOOKUP($A5601,Load!$B:$B,Load!L:L,0,)</f>
        <v>Regular/Original Wrapping</v>
      </c>
      <c r="L5601" t="str">
        <f>_xlfn.XLOOKUP($A5601,Load!$B:$B,Load!M:M,0,)</f>
        <v>Single Brand / Variety Flavors or Form</v>
      </c>
    </row>
    <row r="5602" spans="1:12" x14ac:dyDescent="0.25">
      <c r="A5602" t="s">
        <v>263</v>
      </c>
      <c r="B5602" t="str">
        <f>_xlfn.XLOOKUP($A5602,Load!$B:$B,Load!C:C,0,)</f>
        <v>Smarties</v>
      </c>
      <c r="C5602" t="str">
        <f>_xlfn.XLOOKUP($A5602,Load!$B:$B,Load!D:D,0,)</f>
        <v>Non-Chocolate Candy Only</v>
      </c>
      <c r="D5602" t="str">
        <f>_xlfn.XLOOKUP($A5602,Load!$B:$B,Load!E:E,0,)</f>
        <v>Fruit Flavor (Cherry, Grape, Apple, Citrus, Tropical Fruit)</v>
      </c>
      <c r="E5602" t="str">
        <f>_xlfn.XLOOKUP($A5602,Load!$B:$B,Load!F:F,0,)</f>
        <v>Powder / Chalky</v>
      </c>
      <c r="F5602" t="str">
        <f>_xlfn.XLOOKUP($A5602,Load!$B:$B,Load!G:G,0,)</f>
        <v>Single Pack</v>
      </c>
      <c r="G5602" t="str">
        <f>_xlfn.XLOOKUP($A5602,Load!$B:$B,Load!H:H,0,)</f>
        <v>Laydown Bag</v>
      </c>
      <c r="H5602" t="str">
        <f>_xlfn.XLOOKUP($A5602,Load!$B:$B,Load!I:I,0,)</f>
        <v>Everyday Candy Shapes (like Original, Gummy bear, Fruit, Jewels, etc.)</v>
      </c>
      <c r="I5602" t="str">
        <f>_xlfn.XLOOKUP($A5602,Load!$B:$B,Load!J:J,0,)</f>
        <v>Everyday Graphics</v>
      </c>
      <c r="J5602" t="str">
        <f>_xlfn.XLOOKUP($A5602,Load!$B:$B,Load!K:K,0,)</f>
        <v>Small Pieces (Tiny bite size candies)</v>
      </c>
      <c r="K5602" t="str">
        <f>_xlfn.XLOOKUP($A5602,Load!$B:$B,Load!L:L,0,)</f>
        <v>Regular/Original Wrapping</v>
      </c>
      <c r="L5602" t="str">
        <f>_xlfn.XLOOKUP($A5602,Load!$B:$B,Load!M:M,0,)</f>
        <v>Single Brand / Single Flavor or Form</v>
      </c>
    </row>
    <row r="5603" spans="1:12" x14ac:dyDescent="0.25">
      <c r="A5603" t="s">
        <v>29</v>
      </c>
      <c r="B5603" t="str">
        <f>_xlfn.XLOOKUP($A5603,Load!$B:$B,Load!C:C,0,)</f>
        <v>AMOS</v>
      </c>
      <c r="C5603" t="str">
        <f>_xlfn.XLOOKUP($A5603,Load!$B:$B,Load!D:D,0,)</f>
        <v>Non-Chocolate Candy Only</v>
      </c>
      <c r="D5603" t="str">
        <f>_xlfn.XLOOKUP($A5603,Load!$B:$B,Load!E:E,0,)</f>
        <v>Fruit Flavor (Cherry, Grape, Apple, Citrus, Tropical Fruit)</v>
      </c>
      <c r="E5603" t="str">
        <f>_xlfn.XLOOKUP($A5603,Load!$B:$B,Load!F:F,0,)</f>
        <v>Gummy</v>
      </c>
      <c r="F5603" t="str">
        <f>_xlfn.XLOOKUP($A5603,Load!$B:$B,Load!G:G,0,)</f>
        <v>Single Pack</v>
      </c>
      <c r="G5603" t="str">
        <f>_xlfn.XLOOKUP($A5603,Load!$B:$B,Load!H:H,0,)</f>
        <v>Peg Bag</v>
      </c>
      <c r="H5603" t="str">
        <f>_xlfn.XLOOKUP($A5603,Load!$B:$B,Load!I:I,0,)</f>
        <v>Seasonal Shapes (like pumpkins, candy corn, ghost, bats, etc.)</v>
      </c>
      <c r="I5603" t="str">
        <f>_xlfn.XLOOKUP($A5603,Load!$B:$B,Load!J:J,0,)</f>
        <v>Seasonal Graphics (Like Bat, Ghost, Pumpkin, Fall Leaves, Eyeballs, etc.)</v>
      </c>
      <c r="J5603" t="str">
        <f>_xlfn.XLOOKUP($A5603,Load!$B:$B,Load!K:K,0,)</f>
        <v>Small Pieces (Tiny bite size candies)</v>
      </c>
      <c r="K5603" t="str">
        <f>_xlfn.XLOOKUP($A5603,Load!$B:$B,Load!L:L,0,)</f>
        <v>Unwrapped</v>
      </c>
      <c r="L5603" t="str">
        <f>_xlfn.XLOOKUP($A5603,Load!$B:$B,Load!M:M,0,)</f>
        <v>Single Brand / Single Flavor or Form</v>
      </c>
    </row>
    <row r="5604" spans="1:12" x14ac:dyDescent="0.25">
      <c r="A5604" t="s">
        <v>178</v>
      </c>
      <c r="B5604" t="str">
        <f>_xlfn.XLOOKUP($A5604,Load!$B:$B,Load!C:C,0,)</f>
        <v>Mars Variety Pack</v>
      </c>
      <c r="C5604" t="str">
        <f>_xlfn.XLOOKUP($A5604,Load!$B:$B,Load!D:D,0,)</f>
        <v>Mix of Chocolate and Non-Chocolate Candy</v>
      </c>
      <c r="D5604" t="str">
        <f>_xlfn.XLOOKUP($A5604,Load!$B:$B,Load!E:E,0,)</f>
        <v>Variety / Mixed Flavors (Fruity, Sour, Seasonal Flavors)</v>
      </c>
      <c r="E5604" t="str">
        <f>_xlfn.XLOOKUP($A5604,Load!$B:$B,Load!F:F,0,)</f>
        <v>Mixed / Combo Packs (Gummy, Chewy, Taffy, etc.)</v>
      </c>
      <c r="F5604" t="str">
        <f>_xlfn.XLOOKUP($A5604,Load!$B:$B,Load!G:G,0,)</f>
        <v>Small Multipack (Less than 40 ct)</v>
      </c>
      <c r="G5604" t="str">
        <f>_xlfn.XLOOKUP($A5604,Load!$B:$B,Load!H:H,0,)</f>
        <v>Laydown Bag</v>
      </c>
      <c r="H5604" t="str">
        <f>_xlfn.XLOOKUP($A5604,Load!$B:$B,Load!I:I,0,)</f>
        <v>Everyday Candy Shapes (like Original, Gummy bear, Fruit, Jewels, etc.)</v>
      </c>
      <c r="I5604" t="str">
        <f>_xlfn.XLOOKUP($A5604,Load!$B:$B,Load!J:J,0,)</f>
        <v>Seasonal Graphics (Like Bat, Ghost, Pumpkin, Fall Leaves, Eyeballs, etc.)</v>
      </c>
      <c r="J5604" t="str">
        <f>_xlfn.XLOOKUP($A5604,Load!$B:$B,Load!K:K,0,)</f>
        <v xml:space="preserve">Variety Candy Sizes </v>
      </c>
      <c r="K5604" t="str">
        <f>_xlfn.XLOOKUP($A5604,Load!$B:$B,Load!L:L,0,)</f>
        <v>Regular/Original Wrapping</v>
      </c>
      <c r="L5604" t="str">
        <f>_xlfn.XLOOKUP($A5604,Load!$B:$B,Load!M:M,0,)</f>
        <v>Multiple Brands / Variety Flavors or Form</v>
      </c>
    </row>
    <row r="5605" spans="1:12" x14ac:dyDescent="0.25">
      <c r="B5605">
        <f>_xlfn.XLOOKUP($A5605,Load!$B:$B,Load!C:C,0,)</f>
        <v>0</v>
      </c>
      <c r="C5605">
        <f>_xlfn.XLOOKUP($A5605,Load!$B:$B,Load!D:D,0,)</f>
        <v>0</v>
      </c>
      <c r="D5605">
        <f>_xlfn.XLOOKUP($A5605,Load!$B:$B,Load!E:E,0,)</f>
        <v>0</v>
      </c>
      <c r="E5605">
        <f>_xlfn.XLOOKUP($A5605,Load!$B:$B,Load!F:F,0,)</f>
        <v>0</v>
      </c>
      <c r="F5605">
        <f>_xlfn.XLOOKUP($A5605,Load!$B:$B,Load!G:G,0,)</f>
        <v>0</v>
      </c>
      <c r="G5605">
        <f>_xlfn.XLOOKUP($A5605,Load!$B:$B,Load!H:H,0,)</f>
        <v>0</v>
      </c>
      <c r="H5605">
        <f>_xlfn.XLOOKUP($A5605,Load!$B:$B,Load!I:I,0,)</f>
        <v>0</v>
      </c>
      <c r="I5605">
        <f>_xlfn.XLOOKUP($A5605,Load!$B:$B,Load!J:J,0,)</f>
        <v>0</v>
      </c>
      <c r="J5605">
        <f>_xlfn.XLOOKUP($A5605,Load!$B:$B,Load!K:K,0,)</f>
        <v>0</v>
      </c>
      <c r="K5605">
        <f>_xlfn.XLOOKUP($A5605,Load!$B:$B,Load!L:L,0,)</f>
        <v>0</v>
      </c>
      <c r="L5605">
        <f>_xlfn.XLOOKUP($A5605,Load!$B:$B,Load!M:M,0,)</f>
        <v>0</v>
      </c>
    </row>
    <row r="5606" spans="1:12" x14ac:dyDescent="0.25">
      <c r="A5606" t="s">
        <v>112</v>
      </c>
      <c r="B5606" t="str">
        <f>_xlfn.XLOOKUP($A5606,Load!$B:$B,Load!C:C,0,)</f>
        <v>Frankford</v>
      </c>
      <c r="C5606" t="str">
        <f>_xlfn.XLOOKUP($A5606,Load!$B:$B,Load!D:D,0,)</f>
        <v>Non-Chocolate Candy Only</v>
      </c>
      <c r="D5606" t="str">
        <f>_xlfn.XLOOKUP($A5606,Load!$B:$B,Load!E:E,0,)</f>
        <v>Sour</v>
      </c>
      <c r="E5606" t="str">
        <f>_xlfn.XLOOKUP($A5606,Load!$B:$B,Load!F:F,0,)</f>
        <v>Mixed / Combo Packs (Gummy, Chewy, Taffy, etc.)</v>
      </c>
      <c r="F5606" t="str">
        <f>_xlfn.XLOOKUP($A5606,Load!$B:$B,Load!G:G,0,)</f>
        <v>Large Multipack (More than 80 ct)</v>
      </c>
      <c r="G5606" t="str">
        <f>_xlfn.XLOOKUP($A5606,Load!$B:$B,Load!H:H,0,)</f>
        <v>Laydown Bag</v>
      </c>
      <c r="H5606" t="str">
        <f>_xlfn.XLOOKUP($A5606,Load!$B:$B,Load!I:I,0,)</f>
        <v>Everyday Candy Shapes (like Original, Gummy bear, Fruit, Jewels, etc.)</v>
      </c>
      <c r="I5606" t="str">
        <f>_xlfn.XLOOKUP($A5606,Load!$B:$B,Load!J:J,0,)</f>
        <v>Seasonal Graphics (Like Bat, Ghost, Pumpkin, Fall Leaves, Eyeballs, etc.)</v>
      </c>
      <c r="J5606" t="str">
        <f>_xlfn.XLOOKUP($A5606,Load!$B:$B,Load!K:K,0,)</f>
        <v>Small Pieces (Tiny bite size candies)</v>
      </c>
      <c r="K5606" t="str">
        <f>_xlfn.XLOOKUP($A5606,Load!$B:$B,Load!L:L,0,)</f>
        <v>Regular/Original Wrapping</v>
      </c>
      <c r="L5606" t="str">
        <f>_xlfn.XLOOKUP($A5606,Load!$B:$B,Load!M:M,0,)</f>
        <v>Multiple Brands / Variety Flavors or Form</v>
      </c>
    </row>
    <row r="5607" spans="1:12" x14ac:dyDescent="0.25">
      <c r="A5607" t="s">
        <v>107</v>
      </c>
      <c r="B5607" t="str">
        <f>_xlfn.XLOOKUP($A5607,Load!$B:$B,Load!C:C,0,)</f>
        <v>Frankford</v>
      </c>
      <c r="C5607" t="str">
        <f>_xlfn.XLOOKUP($A5607,Load!$B:$B,Load!D:D,0,)</f>
        <v>Non-Chocolate Candy Only</v>
      </c>
      <c r="D5607" t="str">
        <f>_xlfn.XLOOKUP($A5607,Load!$B:$B,Load!E:E,0,)</f>
        <v>Variety / Mixed Flavors (Fruity, Sour, Seasonal Flavors)</v>
      </c>
      <c r="E5607" t="str">
        <f>_xlfn.XLOOKUP($A5607,Load!$B:$B,Load!F:F,0,)</f>
        <v>Mixed / Combo Packs (Gummy, Chewy, Taffy, etc.)</v>
      </c>
      <c r="F5607" t="str">
        <f>_xlfn.XLOOKUP($A5607,Load!$B:$B,Load!G:G,0,)</f>
        <v>Large Multipack (More than 80 ct)</v>
      </c>
      <c r="G5607" t="str">
        <f>_xlfn.XLOOKUP($A5607,Load!$B:$B,Load!H:H,0,)</f>
        <v>Laydown Bag</v>
      </c>
      <c r="H5607" t="str">
        <f>_xlfn.XLOOKUP($A5607,Load!$B:$B,Load!I:I,0,)</f>
        <v>Everyday Candy Shapes (like Original, Gummy bear, Fruit, Jewels, etc.)</v>
      </c>
      <c r="I5607" t="str">
        <f>_xlfn.XLOOKUP($A5607,Load!$B:$B,Load!J:J,0,)</f>
        <v>Seasonal Graphics (Like Bat, Ghost, Pumpkin, Fall Leaves, Eyeballs, etc.)</v>
      </c>
      <c r="J5607" t="str">
        <f>_xlfn.XLOOKUP($A5607,Load!$B:$B,Load!K:K,0,)</f>
        <v xml:space="preserve">Variety Candy Sizes </v>
      </c>
      <c r="K5607" t="str">
        <f>_xlfn.XLOOKUP($A5607,Load!$B:$B,Load!L:L,0,)</f>
        <v>Regular/Original Wrapping</v>
      </c>
      <c r="L5607" t="str">
        <f>_xlfn.XLOOKUP($A5607,Load!$B:$B,Load!M:M,0,)</f>
        <v>Multiple Brands / Variety Flavors or Form</v>
      </c>
    </row>
    <row r="5608" spans="1:12" x14ac:dyDescent="0.25">
      <c r="A5608" t="s">
        <v>156</v>
      </c>
      <c r="B5608" t="str">
        <f>_xlfn.XLOOKUP($A5608,Load!$B:$B,Load!C:C,0,)</f>
        <v>Jolly Rancher</v>
      </c>
      <c r="C5608" t="str">
        <f>_xlfn.XLOOKUP($A5608,Load!$B:$B,Load!D:D,0,)</f>
        <v>Non-Chocolate Candy Only</v>
      </c>
      <c r="D5608" t="str">
        <f>_xlfn.XLOOKUP($A5608,Load!$B:$B,Load!E:E,0,)</f>
        <v>Fruit Flavor (Cherry, Grape, Apple, Citrus, Tropical Fruit)</v>
      </c>
      <c r="E5608" t="str">
        <f>_xlfn.XLOOKUP($A5608,Load!$B:$B,Load!F:F,0,)</f>
        <v>Gummy</v>
      </c>
      <c r="F5608" t="str">
        <f>_xlfn.XLOOKUP($A5608,Load!$B:$B,Load!G:G,0,)</f>
        <v>Single Pack</v>
      </c>
      <c r="G5608" t="str">
        <f>_xlfn.XLOOKUP($A5608,Load!$B:$B,Load!H:H,0,)</f>
        <v>Laydown Bag</v>
      </c>
      <c r="H5608" t="str">
        <f>_xlfn.XLOOKUP($A5608,Load!$B:$B,Load!I:I,0,)</f>
        <v>Everyday Candy Shapes (like Original, Gummy bear, Fruit, Jewels, etc.)</v>
      </c>
      <c r="I5608" t="str">
        <f>_xlfn.XLOOKUP($A5608,Load!$B:$B,Load!J:J,0,)</f>
        <v>Everyday Graphics</v>
      </c>
      <c r="J5608" t="str">
        <f>_xlfn.XLOOKUP($A5608,Load!$B:$B,Load!K:K,0,)</f>
        <v>Small Pieces (Tiny bite size candies)</v>
      </c>
      <c r="K5608" t="str">
        <f>_xlfn.XLOOKUP($A5608,Load!$B:$B,Load!L:L,0,)</f>
        <v>Unwrapped</v>
      </c>
      <c r="L5608" t="str">
        <f>_xlfn.XLOOKUP($A5608,Load!$B:$B,Load!M:M,0,)</f>
        <v>Single Brand / Variety Flavors or Form</v>
      </c>
    </row>
    <row r="5609" spans="1:12" x14ac:dyDescent="0.25">
      <c r="B5609">
        <f>_xlfn.XLOOKUP($A5609,Load!$B:$B,Load!C:C,0,)</f>
        <v>0</v>
      </c>
      <c r="C5609">
        <f>_xlfn.XLOOKUP($A5609,Load!$B:$B,Load!D:D,0,)</f>
        <v>0</v>
      </c>
      <c r="D5609">
        <f>_xlfn.XLOOKUP($A5609,Load!$B:$B,Load!E:E,0,)</f>
        <v>0</v>
      </c>
      <c r="E5609">
        <f>_xlfn.XLOOKUP($A5609,Load!$B:$B,Load!F:F,0,)</f>
        <v>0</v>
      </c>
      <c r="F5609">
        <f>_xlfn.XLOOKUP($A5609,Load!$B:$B,Load!G:G,0,)</f>
        <v>0</v>
      </c>
      <c r="G5609">
        <f>_xlfn.XLOOKUP($A5609,Load!$B:$B,Load!H:H,0,)</f>
        <v>0</v>
      </c>
      <c r="H5609">
        <f>_xlfn.XLOOKUP($A5609,Load!$B:$B,Load!I:I,0,)</f>
        <v>0</v>
      </c>
      <c r="I5609">
        <f>_xlfn.XLOOKUP($A5609,Load!$B:$B,Load!J:J,0,)</f>
        <v>0</v>
      </c>
      <c r="J5609">
        <f>_xlfn.XLOOKUP($A5609,Load!$B:$B,Load!K:K,0,)</f>
        <v>0</v>
      </c>
      <c r="K5609">
        <f>_xlfn.XLOOKUP($A5609,Load!$B:$B,Load!L:L,0,)</f>
        <v>0</v>
      </c>
      <c r="L5609">
        <f>_xlfn.XLOOKUP($A5609,Load!$B:$B,Load!M:M,0,)</f>
        <v>0</v>
      </c>
    </row>
    <row r="5610" spans="1:12" x14ac:dyDescent="0.25">
      <c r="A5610" t="s">
        <v>253</v>
      </c>
      <c r="B5610" t="str">
        <f>_xlfn.XLOOKUP($A5610,Load!$B:$B,Load!C:C,0,)</f>
        <v>Skittles</v>
      </c>
      <c r="C5610" t="str">
        <f>_xlfn.XLOOKUP($A5610,Load!$B:$B,Load!D:D,0,)</f>
        <v>Non-Chocolate Candy Only</v>
      </c>
      <c r="D5610" t="str">
        <f>_xlfn.XLOOKUP($A5610,Load!$B:$B,Load!E:E,0,)</f>
        <v>Variety / Mixed Flavors (Fruity, Sour, Seasonal Flavors)</v>
      </c>
      <c r="E5610" t="str">
        <f>_xlfn.XLOOKUP($A5610,Load!$B:$B,Load!F:F,0,)</f>
        <v>Mixed / Combo Packs (Gummy, Chewy, Taffy, etc.)</v>
      </c>
      <c r="F5610" t="str">
        <f>_xlfn.XLOOKUP($A5610,Load!$B:$B,Load!G:G,0,)</f>
        <v>Medium Multipack (40–80 ct)</v>
      </c>
      <c r="G5610" t="str">
        <f>_xlfn.XLOOKUP($A5610,Load!$B:$B,Load!H:H,0,)</f>
        <v>Stand-Up Bag</v>
      </c>
      <c r="H5610" t="str">
        <f>_xlfn.XLOOKUP($A5610,Load!$B:$B,Load!I:I,0,)</f>
        <v>Everyday Candy Shapes (like Original, Gummy bear, Fruit, Jewels, etc.)</v>
      </c>
      <c r="I5610" t="str">
        <f>_xlfn.XLOOKUP($A5610,Load!$B:$B,Load!J:J,0,)</f>
        <v>Seasonal Graphics (Like Bat, Ghost, Pumpkin, Fall Leaves, Eyeballs, etc.)</v>
      </c>
      <c r="J5610" t="str">
        <f>_xlfn.XLOOKUP($A5610,Load!$B:$B,Load!K:K,0,)</f>
        <v>Small Pieces (Tiny bite size candies)</v>
      </c>
      <c r="K5610" t="str">
        <f>_xlfn.XLOOKUP($A5610,Load!$B:$B,Load!L:L,0,)</f>
        <v>Regular/Original Wrapping</v>
      </c>
      <c r="L5610" t="str">
        <f>_xlfn.XLOOKUP($A5610,Load!$B:$B,Load!M:M,0,)</f>
        <v>Single Brand / Variety Flavors or Form</v>
      </c>
    </row>
    <row r="5611" spans="1:12" x14ac:dyDescent="0.25">
      <c r="A5611" t="s">
        <v>280</v>
      </c>
      <c r="B5611" t="str">
        <f>_xlfn.XLOOKUP($A5611,Load!$B:$B,Load!C:C,0,)</f>
        <v>Sour Patch Kids</v>
      </c>
      <c r="C5611" t="str">
        <f>_xlfn.XLOOKUP($A5611,Load!$B:$B,Load!D:D,0,)</f>
        <v>Non-Chocolate Candy Only</v>
      </c>
      <c r="D5611" t="str">
        <f>_xlfn.XLOOKUP($A5611,Load!$B:$B,Load!E:E,0,)</f>
        <v>Sour</v>
      </c>
      <c r="E5611" t="str">
        <f>_xlfn.XLOOKUP($A5611,Load!$B:$B,Load!F:F,0,)</f>
        <v>Chewy</v>
      </c>
      <c r="F5611" t="str">
        <f>_xlfn.XLOOKUP($A5611,Load!$B:$B,Load!G:G,0,)</f>
        <v>Medium Multipack (40–80 ct)</v>
      </c>
      <c r="G5611" t="str">
        <f>_xlfn.XLOOKUP($A5611,Load!$B:$B,Load!H:H,0,)</f>
        <v>Laydown Bag</v>
      </c>
      <c r="H5611" t="str">
        <f>_xlfn.XLOOKUP($A5611,Load!$B:$B,Load!I:I,0,)</f>
        <v>Seasonal Shapes (like pumpkins, candy corn, ghost, bats, etc.)</v>
      </c>
      <c r="I5611" t="str">
        <f>_xlfn.XLOOKUP($A5611,Load!$B:$B,Load!J:J,0,)</f>
        <v>Seasonal Graphics (Like Bat, Ghost, Pumpkin, Fall Leaves, Eyeballs, etc.)</v>
      </c>
      <c r="J5611" t="str">
        <f>_xlfn.XLOOKUP($A5611,Load!$B:$B,Load!K:K,0,)</f>
        <v>Small Pieces (Tiny bite size candies)</v>
      </c>
      <c r="K5611" t="str">
        <f>_xlfn.XLOOKUP($A5611,Load!$B:$B,Load!L:L,0,)</f>
        <v>Regular/Original Wrapping</v>
      </c>
      <c r="L5611" t="str">
        <f>_xlfn.XLOOKUP($A5611,Load!$B:$B,Load!M:M,0,)</f>
        <v>Single Brand / Variety Flavors or Form</v>
      </c>
    </row>
    <row r="5612" spans="1:12" x14ac:dyDescent="0.25">
      <c r="A5612" t="s">
        <v>131</v>
      </c>
      <c r="B5612" t="str">
        <f>_xlfn.XLOOKUP($A5612,Load!$B:$B,Load!C:C,0,)</f>
        <v>Hershey's</v>
      </c>
      <c r="C5612" t="str">
        <f>_xlfn.XLOOKUP($A5612,Load!$B:$B,Load!D:D,0,)</f>
        <v>Mix of Chocolate and Non-Chocolate Candy</v>
      </c>
      <c r="D5612" t="str">
        <f>_xlfn.XLOOKUP($A5612,Load!$B:$B,Load!E:E,0,)</f>
        <v>Variety / Mixed Flavors (Fruity, Sour, Seasonal Flavors)</v>
      </c>
      <c r="E5612" t="str">
        <f>_xlfn.XLOOKUP($A5612,Load!$B:$B,Load!F:F,0,)</f>
        <v>Mixed / Combo Packs (Gummy, Chewy, Taffy, etc.)</v>
      </c>
      <c r="F5612" t="str">
        <f>_xlfn.XLOOKUP($A5612,Load!$B:$B,Load!G:G,0,)</f>
        <v>Large Multipack (More than 80 ct)</v>
      </c>
      <c r="G5612" t="str">
        <f>_xlfn.XLOOKUP($A5612,Load!$B:$B,Load!H:H,0,)</f>
        <v>Stand-Up Bag</v>
      </c>
      <c r="H5612" t="str">
        <f>_xlfn.XLOOKUP($A5612,Load!$B:$B,Load!I:I,0,)</f>
        <v>Everyday Candy Shapes (like Original, Gummy bear, Fruit, Jewels, etc.)</v>
      </c>
      <c r="I5612" t="str">
        <f>_xlfn.XLOOKUP($A5612,Load!$B:$B,Load!J:J,0,)</f>
        <v>Seasonal Graphics (Like Bat, Ghost, Pumpkin, Fall Leaves, Eyeballs, etc.)</v>
      </c>
      <c r="J5612" t="str">
        <f>_xlfn.XLOOKUP($A5612,Load!$B:$B,Load!K:K,0,)</f>
        <v>Fun Size / Treat Size</v>
      </c>
      <c r="K5612" t="str">
        <f>_xlfn.XLOOKUP($A5612,Load!$B:$B,Load!L:L,0,)</f>
        <v>Regular/Original Wrapping</v>
      </c>
      <c r="L5612" t="str">
        <f>_xlfn.XLOOKUP($A5612,Load!$B:$B,Load!M:M,0,)</f>
        <v>Multiple Brands / Variety Flavors or Form</v>
      </c>
    </row>
    <row r="5613" spans="1:12" x14ac:dyDescent="0.25">
      <c r="A5613" t="s">
        <v>139</v>
      </c>
      <c r="B5613" t="str">
        <f>_xlfn.XLOOKUP($A5613,Load!$B:$B,Load!C:C,0,)</f>
        <v>Hershey's Variety Pack + Haribo</v>
      </c>
      <c r="C5613" t="str">
        <f>_xlfn.XLOOKUP($A5613,Load!$B:$B,Load!D:D,0,)</f>
        <v>Mix of Chocolate and Non-Chocolate Candy</v>
      </c>
      <c r="D5613" t="str">
        <f>_xlfn.XLOOKUP($A5613,Load!$B:$B,Load!E:E,0,)</f>
        <v>Variety / Mixed Flavors (Fruity, Sour, Seasonal Flavors)</v>
      </c>
      <c r="E5613" t="str">
        <f>_xlfn.XLOOKUP($A5613,Load!$B:$B,Load!F:F,0,)</f>
        <v>Mixed / Combo Packs (Gummy, Chewy, Taffy, etc.)</v>
      </c>
      <c r="F5613" t="str">
        <f>_xlfn.XLOOKUP($A5613,Load!$B:$B,Load!G:G,0,)</f>
        <v>Large Multipack (More than 80 ct)</v>
      </c>
      <c r="G5613" t="str">
        <f>_xlfn.XLOOKUP($A5613,Load!$B:$B,Load!H:H,0,)</f>
        <v>Stand-Up Bag</v>
      </c>
      <c r="H5613" t="str">
        <f>_xlfn.XLOOKUP($A5613,Load!$B:$B,Load!I:I,0,)</f>
        <v>Everyday Candy Shapes (like Original, Gummy bear, Fruit, Jewels, etc.)</v>
      </c>
      <c r="I5613" t="str">
        <f>_xlfn.XLOOKUP($A5613,Load!$B:$B,Load!J:J,0,)</f>
        <v>Seasonal Graphics (Like Bat, Ghost, Pumpkin, Fall Leaves, Eyeballs, etc.)</v>
      </c>
      <c r="J5613" t="str">
        <f>_xlfn.XLOOKUP($A5613,Load!$B:$B,Load!K:K,0,)</f>
        <v>Fun Size / Treat Size</v>
      </c>
      <c r="K5613" t="str">
        <f>_xlfn.XLOOKUP($A5613,Load!$B:$B,Load!L:L,0,)</f>
        <v>Regular/Original Wrapping</v>
      </c>
      <c r="L5613" t="str">
        <f>_xlfn.XLOOKUP($A5613,Load!$B:$B,Load!M:M,0,)</f>
        <v>Multiple Brands / Variety Flavors or Form</v>
      </c>
    </row>
    <row r="5614" spans="1:12" x14ac:dyDescent="0.25">
      <c r="A5614" t="s">
        <v>16</v>
      </c>
      <c r="B5614" t="str">
        <f>_xlfn.XLOOKUP($A5614,Load!$B:$B,Load!C:C,0,)</f>
        <v>Airheads</v>
      </c>
      <c r="C5614" t="str">
        <f>_xlfn.XLOOKUP($A5614,Load!$B:$B,Load!D:D,0,)</f>
        <v>Non-Chocolate Candy Only</v>
      </c>
      <c r="D5614" t="str">
        <f>_xlfn.XLOOKUP($A5614,Load!$B:$B,Load!E:E,0,)</f>
        <v>Fruit Flavor (Cherry, Grape, Apple, Citrus, Tropical Fruit)</v>
      </c>
      <c r="E5614" t="str">
        <f>_xlfn.XLOOKUP($A5614,Load!$B:$B,Load!F:F,0,)</f>
        <v>Candy Pieces / Bites</v>
      </c>
      <c r="F5614" t="str">
        <f>_xlfn.XLOOKUP($A5614,Load!$B:$B,Load!G:G,0,)</f>
        <v>Small Multipack (Less than 40 ct)</v>
      </c>
      <c r="G5614" t="str">
        <f>_xlfn.XLOOKUP($A5614,Load!$B:$B,Load!H:H,0,)</f>
        <v>Laydown Bag</v>
      </c>
      <c r="H5614" t="str">
        <f>_xlfn.XLOOKUP($A5614,Load!$B:$B,Load!I:I,0,)</f>
        <v>Everyday Candy Shapes (like Original, Gummy bear, Fruit, Jewels, etc.)</v>
      </c>
      <c r="I5614" t="str">
        <f>_xlfn.XLOOKUP($A5614,Load!$B:$B,Load!J:J,0,)</f>
        <v>Everyday Graphics</v>
      </c>
      <c r="J5614" t="str">
        <f>_xlfn.XLOOKUP($A5614,Load!$B:$B,Load!K:K,0,)</f>
        <v>Small Pieces (Tiny bite size candies)</v>
      </c>
      <c r="K5614" t="str">
        <f>_xlfn.XLOOKUP($A5614,Load!$B:$B,Load!L:L,0,)</f>
        <v>Unwrapped</v>
      </c>
      <c r="L5614" t="str">
        <f>_xlfn.XLOOKUP($A5614,Load!$B:$B,Load!M:M,0,)</f>
        <v>Single Brand / Variety Flavors or Form</v>
      </c>
    </row>
    <row r="5615" spans="1:12" x14ac:dyDescent="0.25">
      <c r="B5615">
        <f>_xlfn.XLOOKUP($A5615,Load!$B:$B,Load!C:C,0,)</f>
        <v>0</v>
      </c>
      <c r="C5615">
        <f>_xlfn.XLOOKUP($A5615,Load!$B:$B,Load!D:D,0,)</f>
        <v>0</v>
      </c>
      <c r="D5615">
        <f>_xlfn.XLOOKUP($A5615,Load!$B:$B,Load!E:E,0,)</f>
        <v>0</v>
      </c>
      <c r="E5615">
        <f>_xlfn.XLOOKUP($A5615,Load!$B:$B,Load!F:F,0,)</f>
        <v>0</v>
      </c>
      <c r="F5615">
        <f>_xlfn.XLOOKUP($A5615,Load!$B:$B,Load!G:G,0,)</f>
        <v>0</v>
      </c>
      <c r="G5615">
        <f>_xlfn.XLOOKUP($A5615,Load!$B:$B,Load!H:H,0,)</f>
        <v>0</v>
      </c>
      <c r="H5615">
        <f>_xlfn.XLOOKUP($A5615,Load!$B:$B,Load!I:I,0,)</f>
        <v>0</v>
      </c>
      <c r="I5615">
        <f>_xlfn.XLOOKUP($A5615,Load!$B:$B,Load!J:J,0,)</f>
        <v>0</v>
      </c>
      <c r="J5615">
        <f>_xlfn.XLOOKUP($A5615,Load!$B:$B,Load!K:K,0,)</f>
        <v>0</v>
      </c>
      <c r="K5615">
        <f>_xlfn.XLOOKUP($A5615,Load!$B:$B,Load!L:L,0,)</f>
        <v>0</v>
      </c>
      <c r="L5615">
        <f>_xlfn.XLOOKUP($A5615,Load!$B:$B,Load!M:M,0,)</f>
        <v>0</v>
      </c>
    </row>
    <row r="5616" spans="1:12" x14ac:dyDescent="0.25">
      <c r="A5616" t="s">
        <v>289</v>
      </c>
      <c r="B5616" t="str">
        <f>_xlfn.XLOOKUP($A5616,Load!$B:$B,Load!C:C,0,)</f>
        <v>Tootsie</v>
      </c>
      <c r="C5616" t="str">
        <f>_xlfn.XLOOKUP($A5616,Load!$B:$B,Load!D:D,0,)</f>
        <v>Mix of Chocolate and Non-Chocolate Candy</v>
      </c>
      <c r="D5616" t="str">
        <f>_xlfn.XLOOKUP($A5616,Load!$B:$B,Load!E:E,0,)</f>
        <v>Variety / Mixed Flavors (Fruity, Sour, Seasonal Flavors)</v>
      </c>
      <c r="E5616" t="str">
        <f>_xlfn.XLOOKUP($A5616,Load!$B:$B,Load!F:F,0,)</f>
        <v>Mixed / Combo Packs (Gummy, Chewy, Taffy, etc.)</v>
      </c>
      <c r="F5616" t="str">
        <f>_xlfn.XLOOKUP($A5616,Load!$B:$B,Load!G:G,0,)</f>
        <v>Large Multipack (More than 80 ct)</v>
      </c>
      <c r="G5616" t="str">
        <f>_xlfn.XLOOKUP($A5616,Load!$B:$B,Load!H:H,0,)</f>
        <v>Laydown Bag</v>
      </c>
      <c r="H5616" t="str">
        <f>_xlfn.XLOOKUP($A5616,Load!$B:$B,Load!I:I,0,)</f>
        <v>Everyday Candy Shapes (like Original, Gummy bear, Fruit, Jewels, etc.)</v>
      </c>
      <c r="I5616" t="str">
        <f>_xlfn.XLOOKUP($A5616,Load!$B:$B,Load!J:J,0,)</f>
        <v>Everyday Graphics</v>
      </c>
      <c r="J5616" t="str">
        <f>_xlfn.XLOOKUP($A5616,Load!$B:$B,Load!K:K,0,)</f>
        <v xml:space="preserve">Variety Candy Sizes </v>
      </c>
      <c r="K5616" t="str">
        <f>_xlfn.XLOOKUP($A5616,Load!$B:$B,Load!L:L,0,)</f>
        <v>Regular/Original Wrapping</v>
      </c>
      <c r="L5616" t="str">
        <f>_xlfn.XLOOKUP($A5616,Load!$B:$B,Load!M:M,0,)</f>
        <v>Single Brand / Variety Flavors or Form</v>
      </c>
    </row>
    <row r="5617" spans="1:12" x14ac:dyDescent="0.25">
      <c r="A5617" t="s">
        <v>234</v>
      </c>
      <c r="B5617" t="str">
        <f>_xlfn.XLOOKUP($A5617,Load!$B:$B,Load!C:C,0,)</f>
        <v>Nerds</v>
      </c>
      <c r="C5617" t="str">
        <f>_xlfn.XLOOKUP($A5617,Load!$B:$B,Load!D:D,0,)</f>
        <v>Non-Chocolate Candy Only</v>
      </c>
      <c r="D5617" t="str">
        <f>_xlfn.XLOOKUP($A5617,Load!$B:$B,Load!E:E,0,)</f>
        <v>Variety / Mixed Flavors (Fruity, Sour, Seasonal Flavors)</v>
      </c>
      <c r="E5617" t="str">
        <f>_xlfn.XLOOKUP($A5617,Load!$B:$B,Load!F:F,0,)</f>
        <v>Mixed / Combo Packs (Gummy, Chewy, Taffy, etc.)</v>
      </c>
      <c r="F5617" t="str">
        <f>_xlfn.XLOOKUP($A5617,Load!$B:$B,Load!G:G,0,)</f>
        <v>Large Multipack (More than 80 ct)</v>
      </c>
      <c r="G5617" t="str">
        <f>_xlfn.XLOOKUP($A5617,Load!$B:$B,Load!H:H,0,)</f>
        <v>Stand-Up Bag</v>
      </c>
      <c r="H5617" t="str">
        <f>_xlfn.XLOOKUP($A5617,Load!$B:$B,Load!I:I,0,)</f>
        <v>Everyday Candy Shapes (like Original, Gummy bear, Fruit, Jewels, etc.)</v>
      </c>
      <c r="I5617" t="str">
        <f>_xlfn.XLOOKUP($A5617,Load!$B:$B,Load!J:J,0,)</f>
        <v>Everyday Graphics</v>
      </c>
      <c r="J5617" t="str">
        <f>_xlfn.XLOOKUP($A5617,Load!$B:$B,Load!K:K,0,)</f>
        <v>Fun Size / Treat Size</v>
      </c>
      <c r="K5617" t="str">
        <f>_xlfn.XLOOKUP($A5617,Load!$B:$B,Load!L:L,0,)</f>
        <v>Regular/Original Wrapping</v>
      </c>
      <c r="L5617" t="str">
        <f>_xlfn.XLOOKUP($A5617,Load!$B:$B,Load!M:M,0,)</f>
        <v>Single Brand / Variety Flavors or Form</v>
      </c>
    </row>
    <row r="5618" spans="1:12" x14ac:dyDescent="0.25">
      <c r="A5618" t="s">
        <v>116</v>
      </c>
      <c r="B5618" t="str">
        <f>_xlfn.XLOOKUP($A5618,Load!$B:$B,Load!C:C,0,)</f>
        <v>George Howe</v>
      </c>
      <c r="C5618" t="str">
        <f>_xlfn.XLOOKUP($A5618,Load!$B:$B,Load!D:D,0,)</f>
        <v>Mix of Chocolate and Non-Chocolate Candy</v>
      </c>
      <c r="D5618" t="str">
        <f>_xlfn.XLOOKUP($A5618,Load!$B:$B,Load!E:E,0,)</f>
        <v>Fall / Seasonal Flavors (pumpkin spice, caramel apple, candy corn)</v>
      </c>
      <c r="E5618" t="str">
        <f>_xlfn.XLOOKUP($A5618,Load!$B:$B,Load!F:F,0,)</f>
        <v>Candy Pieces / Bites</v>
      </c>
      <c r="F5618" t="str">
        <f>_xlfn.XLOOKUP($A5618,Load!$B:$B,Load!G:G,0,)</f>
        <v>Single Pack</v>
      </c>
      <c r="G5618" t="str">
        <f>_xlfn.XLOOKUP($A5618,Load!$B:$B,Load!H:H,0,)</f>
        <v>Laydown Bag</v>
      </c>
      <c r="H5618" t="str">
        <f>_xlfn.XLOOKUP($A5618,Load!$B:$B,Load!I:I,0,)</f>
        <v>Seasonal Shapes (like pumpkins, candy corn, ghost, bats, etc.)</v>
      </c>
      <c r="I5618" t="str">
        <f>_xlfn.XLOOKUP($A5618,Load!$B:$B,Load!J:J,0,)</f>
        <v>Everyday Graphics</v>
      </c>
      <c r="J5618" t="str">
        <f>_xlfn.XLOOKUP($A5618,Load!$B:$B,Load!K:K,0,)</f>
        <v>Small Pieces (Tiny bite size candies)</v>
      </c>
      <c r="K5618" t="str">
        <f>_xlfn.XLOOKUP($A5618,Load!$B:$B,Load!L:L,0,)</f>
        <v>Unwrapped</v>
      </c>
      <c r="L5618" t="str">
        <f>_xlfn.XLOOKUP($A5618,Load!$B:$B,Load!M:M,0,)</f>
        <v>Single Brand / Variety Flavors or Form</v>
      </c>
    </row>
    <row r="5619" spans="1:12" x14ac:dyDescent="0.25">
      <c r="B5619">
        <f>_xlfn.XLOOKUP($A5619,Load!$B:$B,Load!C:C,0,)</f>
        <v>0</v>
      </c>
      <c r="C5619">
        <f>_xlfn.XLOOKUP($A5619,Load!$B:$B,Load!D:D,0,)</f>
        <v>0</v>
      </c>
      <c r="D5619">
        <f>_xlfn.XLOOKUP($A5619,Load!$B:$B,Load!E:E,0,)</f>
        <v>0</v>
      </c>
      <c r="E5619">
        <f>_xlfn.XLOOKUP($A5619,Load!$B:$B,Load!F:F,0,)</f>
        <v>0</v>
      </c>
      <c r="F5619">
        <f>_xlfn.XLOOKUP($A5619,Load!$B:$B,Load!G:G,0,)</f>
        <v>0</v>
      </c>
      <c r="G5619">
        <f>_xlfn.XLOOKUP($A5619,Load!$B:$B,Load!H:H,0,)</f>
        <v>0</v>
      </c>
      <c r="H5619">
        <f>_xlfn.XLOOKUP($A5619,Load!$B:$B,Load!I:I,0,)</f>
        <v>0</v>
      </c>
      <c r="I5619">
        <f>_xlfn.XLOOKUP($A5619,Load!$B:$B,Load!J:J,0,)</f>
        <v>0</v>
      </c>
      <c r="J5619">
        <f>_xlfn.XLOOKUP($A5619,Load!$B:$B,Load!K:K,0,)</f>
        <v>0</v>
      </c>
      <c r="K5619">
        <f>_xlfn.XLOOKUP($A5619,Load!$B:$B,Load!L:L,0,)</f>
        <v>0</v>
      </c>
      <c r="L5619">
        <f>_xlfn.XLOOKUP($A5619,Load!$B:$B,Load!M:M,0,)</f>
        <v>0</v>
      </c>
    </row>
    <row r="5620" spans="1:12" x14ac:dyDescent="0.25">
      <c r="A5620" t="s">
        <v>189</v>
      </c>
      <c r="B5620" t="str">
        <f>_xlfn.XLOOKUP($A5620,Load!$B:$B,Load!C:C,0,)</f>
        <v>Mars Variety Pack</v>
      </c>
      <c r="C5620" t="str">
        <f>_xlfn.XLOOKUP($A5620,Load!$B:$B,Load!D:D,0,)</f>
        <v>Non-Chocolate Candy Only</v>
      </c>
      <c r="D5620" t="str">
        <f>_xlfn.XLOOKUP($A5620,Load!$B:$B,Load!E:E,0,)</f>
        <v>Variety / Mixed Flavors (Fruity, Sour, Seasonal Flavors)</v>
      </c>
      <c r="E5620" t="str">
        <f>_xlfn.XLOOKUP($A5620,Load!$B:$B,Load!F:F,0,)</f>
        <v>Mixed / Combo Packs (Gummy, Chewy, Taffy, etc.)</v>
      </c>
      <c r="F5620" t="str">
        <f>_xlfn.XLOOKUP($A5620,Load!$B:$B,Load!G:G,0,)</f>
        <v>Small Multipack (Less than 40 ct)</v>
      </c>
      <c r="G5620" t="str">
        <f>_xlfn.XLOOKUP($A5620,Load!$B:$B,Load!H:H,0,)</f>
        <v>Box (theatre box, gift box, carton)</v>
      </c>
      <c r="H5620" t="str">
        <f>_xlfn.XLOOKUP($A5620,Load!$B:$B,Load!I:I,0,)</f>
        <v>Everyday Candy Shapes (like Original, Gummy bear, Fruit, Jewels, etc.)</v>
      </c>
      <c r="I5620" t="str">
        <f>_xlfn.XLOOKUP($A5620,Load!$B:$B,Load!J:J,0,)</f>
        <v>Everyday Graphics</v>
      </c>
      <c r="J5620" t="str">
        <f>_xlfn.XLOOKUP($A5620,Load!$B:$B,Load!K:K,0,)</f>
        <v>Small Pieces (Tiny bite size candies)</v>
      </c>
      <c r="K5620" t="str">
        <f>_xlfn.XLOOKUP($A5620,Load!$B:$B,Load!L:L,0,)</f>
        <v>Regular/Original Wrapping</v>
      </c>
      <c r="L5620" t="str">
        <f>_xlfn.XLOOKUP($A5620,Load!$B:$B,Load!M:M,0,)</f>
        <v>Multiple Brands / Variety Flavors or Form</v>
      </c>
    </row>
    <row r="5621" spans="1:12" x14ac:dyDescent="0.25">
      <c r="A5621" t="s">
        <v>176</v>
      </c>
      <c r="B5621" t="str">
        <f>_xlfn.XLOOKUP($A5621,Load!$B:$B,Load!C:C,0,)</f>
        <v>Mars Variety Pack</v>
      </c>
      <c r="C5621" t="str">
        <f>_xlfn.XLOOKUP($A5621,Load!$B:$B,Load!D:D,0,)</f>
        <v>Non-Chocolate Candy Only</v>
      </c>
      <c r="D5621" t="str">
        <f>_xlfn.XLOOKUP($A5621,Load!$B:$B,Load!E:E,0,)</f>
        <v>Variety / Mixed Flavors (Fruity, Sour, Seasonal Flavors)</v>
      </c>
      <c r="E5621" t="str">
        <f>_xlfn.XLOOKUP($A5621,Load!$B:$B,Load!F:F,0,)</f>
        <v>Mixed / Combo Packs (Gummy, Chewy, Taffy, etc.)</v>
      </c>
      <c r="F5621" t="str">
        <f>_xlfn.XLOOKUP($A5621,Load!$B:$B,Load!G:G,0,)</f>
        <v>Large Multipack (More than 80 ct)</v>
      </c>
      <c r="G5621" t="str">
        <f>_xlfn.XLOOKUP($A5621,Load!$B:$B,Load!H:H,0,)</f>
        <v>Stand-Up Bag</v>
      </c>
      <c r="H5621" t="str">
        <f>_xlfn.XLOOKUP($A5621,Load!$B:$B,Load!I:I,0,)</f>
        <v>Everyday Candy Shapes (like Original, Gummy bear, Fruit, Jewels, etc.)</v>
      </c>
      <c r="I5621" t="str">
        <f>_xlfn.XLOOKUP($A5621,Load!$B:$B,Load!J:J,0,)</f>
        <v>Seasonal Graphics (Like Bat, Ghost, Pumpkin, Fall Leaves, Eyeballs, etc.)</v>
      </c>
      <c r="J5621" t="str">
        <f>_xlfn.XLOOKUP($A5621,Load!$B:$B,Load!K:K,0,)</f>
        <v>Fun Size / Treat Size</v>
      </c>
      <c r="K5621" t="str">
        <f>_xlfn.XLOOKUP($A5621,Load!$B:$B,Load!L:L,0,)</f>
        <v>Regular/Original Wrapping</v>
      </c>
      <c r="L5621" t="str">
        <f>_xlfn.XLOOKUP($A5621,Load!$B:$B,Load!M:M,0,)</f>
        <v>Multiple Brands / Variety Flavors or Form</v>
      </c>
    </row>
    <row r="5622" spans="1:12" x14ac:dyDescent="0.25">
      <c r="A5622" t="s">
        <v>201</v>
      </c>
      <c r="B5622" t="str">
        <f>_xlfn.XLOOKUP($A5622,Load!$B:$B,Load!C:C,0,)</f>
        <v>Mars Variety Pack</v>
      </c>
      <c r="C5622" t="str">
        <f>_xlfn.XLOOKUP($A5622,Load!$B:$B,Load!D:D,0,)</f>
        <v>Non-Chocolate Candy Only</v>
      </c>
      <c r="D5622" t="str">
        <f>_xlfn.XLOOKUP($A5622,Load!$B:$B,Load!E:E,0,)</f>
        <v>Variety / Mixed Flavors (Fruity, Sour, Seasonal Flavors)</v>
      </c>
      <c r="E5622" t="str">
        <f>_xlfn.XLOOKUP($A5622,Load!$B:$B,Load!F:F,0,)</f>
        <v>Mixed / Combo Packs (Gummy, Chewy, Taffy, etc.)</v>
      </c>
      <c r="F5622" t="str">
        <f>_xlfn.XLOOKUP($A5622,Load!$B:$B,Load!G:G,0,)</f>
        <v>Large Multipack (More than 80 ct)</v>
      </c>
      <c r="G5622" t="str">
        <f>_xlfn.XLOOKUP($A5622,Load!$B:$B,Load!H:H,0,)</f>
        <v>Stand-Up Bag</v>
      </c>
      <c r="H5622" t="str">
        <f>_xlfn.XLOOKUP($A5622,Load!$B:$B,Load!I:I,0,)</f>
        <v>Everyday Candy Shapes (like Original, Gummy bear, Fruit, Jewels, etc.)</v>
      </c>
      <c r="I5622" t="str">
        <f>_xlfn.XLOOKUP($A5622,Load!$B:$B,Load!J:J,0,)</f>
        <v>Everyday Graphics</v>
      </c>
      <c r="J5622" t="str">
        <f>_xlfn.XLOOKUP($A5622,Load!$B:$B,Load!K:K,0,)</f>
        <v>Fun Size / Treat Size</v>
      </c>
      <c r="K5622" t="str">
        <f>_xlfn.XLOOKUP($A5622,Load!$B:$B,Load!L:L,0,)</f>
        <v>Regular/Original Wrapping</v>
      </c>
      <c r="L5622" t="str">
        <f>_xlfn.XLOOKUP($A5622,Load!$B:$B,Load!M:M,0,)</f>
        <v>Multiple Brands / Variety Flavors or Form</v>
      </c>
    </row>
    <row r="5623" spans="1:12" x14ac:dyDescent="0.25">
      <c r="A5623" t="s">
        <v>253</v>
      </c>
      <c r="B5623" t="str">
        <f>_xlfn.XLOOKUP($A5623,Load!$B:$B,Load!C:C,0,)</f>
        <v>Skittles</v>
      </c>
      <c r="C5623" t="str">
        <f>_xlfn.XLOOKUP($A5623,Load!$B:$B,Load!D:D,0,)</f>
        <v>Non-Chocolate Candy Only</v>
      </c>
      <c r="D5623" t="str">
        <f>_xlfn.XLOOKUP($A5623,Load!$B:$B,Load!E:E,0,)</f>
        <v>Variety / Mixed Flavors (Fruity, Sour, Seasonal Flavors)</v>
      </c>
      <c r="E5623" t="str">
        <f>_xlfn.XLOOKUP($A5623,Load!$B:$B,Load!F:F,0,)</f>
        <v>Mixed / Combo Packs (Gummy, Chewy, Taffy, etc.)</v>
      </c>
      <c r="F5623" t="str">
        <f>_xlfn.XLOOKUP($A5623,Load!$B:$B,Load!G:G,0,)</f>
        <v>Medium Multipack (40–80 ct)</v>
      </c>
      <c r="G5623" t="str">
        <f>_xlfn.XLOOKUP($A5623,Load!$B:$B,Load!H:H,0,)</f>
        <v>Stand-Up Bag</v>
      </c>
      <c r="H5623" t="str">
        <f>_xlfn.XLOOKUP($A5623,Load!$B:$B,Load!I:I,0,)</f>
        <v>Everyday Candy Shapes (like Original, Gummy bear, Fruit, Jewels, etc.)</v>
      </c>
      <c r="I5623" t="str">
        <f>_xlfn.XLOOKUP($A5623,Load!$B:$B,Load!J:J,0,)</f>
        <v>Seasonal Graphics (Like Bat, Ghost, Pumpkin, Fall Leaves, Eyeballs, etc.)</v>
      </c>
      <c r="J5623" t="str">
        <f>_xlfn.XLOOKUP($A5623,Load!$B:$B,Load!K:K,0,)</f>
        <v>Small Pieces (Tiny bite size candies)</v>
      </c>
      <c r="K5623" t="str">
        <f>_xlfn.XLOOKUP($A5623,Load!$B:$B,Load!L:L,0,)</f>
        <v>Regular/Original Wrapping</v>
      </c>
      <c r="L5623" t="str">
        <f>_xlfn.XLOOKUP($A5623,Load!$B:$B,Load!M:M,0,)</f>
        <v>Single Brand / Variety Flavors or Form</v>
      </c>
    </row>
    <row r="5624" spans="1:12" x14ac:dyDescent="0.25">
      <c r="A5624" t="s">
        <v>171</v>
      </c>
      <c r="B5624" t="str">
        <f>_xlfn.XLOOKUP($A5624,Load!$B:$B,Load!C:C,0,)</f>
        <v>Mamba</v>
      </c>
      <c r="C5624" t="str">
        <f>_xlfn.XLOOKUP($A5624,Load!$B:$B,Load!D:D,0,)</f>
        <v>Non-Chocolate Candy Only</v>
      </c>
      <c r="D5624" t="str">
        <f>_xlfn.XLOOKUP($A5624,Load!$B:$B,Load!E:E,0,)</f>
        <v>Fruit Flavor (Cherry, Grape, Apple, Citrus, Tropical Fruit)</v>
      </c>
      <c r="E5624" t="str">
        <f>_xlfn.XLOOKUP($A5624,Load!$B:$B,Load!F:F,0,)</f>
        <v>Chewy</v>
      </c>
      <c r="F5624" t="str">
        <f>_xlfn.XLOOKUP($A5624,Load!$B:$B,Load!G:G,0,)</f>
        <v>Large Multipack (More than 80 ct)</v>
      </c>
      <c r="G5624" t="str">
        <f>_xlfn.XLOOKUP($A5624,Load!$B:$B,Load!H:H,0,)</f>
        <v>Stand-Up Bag</v>
      </c>
      <c r="H5624" t="str">
        <f>_xlfn.XLOOKUP($A5624,Load!$B:$B,Load!I:I,0,)</f>
        <v>Seasonal Shapes (like pumpkins, candy corn, ghost, bats, etc.)</v>
      </c>
      <c r="I5624" t="str">
        <f>_xlfn.XLOOKUP($A5624,Load!$B:$B,Load!J:J,0,)</f>
        <v>Seasonal Graphics (Like Bat, Ghost, Pumpkin, Fall Leaves, Eyeballs, etc.)</v>
      </c>
      <c r="J5624" t="str">
        <f>_xlfn.XLOOKUP($A5624,Load!$B:$B,Load!K:K,0,)</f>
        <v>Fun Size / Treat Size</v>
      </c>
      <c r="K5624" t="str">
        <f>_xlfn.XLOOKUP($A5624,Load!$B:$B,Load!L:L,0,)</f>
        <v>Regular/Original Wrapping</v>
      </c>
      <c r="L5624" t="str">
        <f>_xlfn.XLOOKUP($A5624,Load!$B:$B,Load!M:M,0,)</f>
        <v>Single Brand / Variety Flavors or Form</v>
      </c>
    </row>
    <row r="5625" spans="1:12" x14ac:dyDescent="0.25">
      <c r="B5625">
        <f>_xlfn.XLOOKUP($A5625,Load!$B:$B,Load!C:C,0,)</f>
        <v>0</v>
      </c>
      <c r="C5625">
        <f>_xlfn.XLOOKUP($A5625,Load!$B:$B,Load!D:D,0,)</f>
        <v>0</v>
      </c>
      <c r="D5625">
        <f>_xlfn.XLOOKUP($A5625,Load!$B:$B,Load!E:E,0,)</f>
        <v>0</v>
      </c>
      <c r="E5625">
        <f>_xlfn.XLOOKUP($A5625,Load!$B:$B,Load!F:F,0,)</f>
        <v>0</v>
      </c>
      <c r="F5625">
        <f>_xlfn.XLOOKUP($A5625,Load!$B:$B,Load!G:G,0,)</f>
        <v>0</v>
      </c>
      <c r="G5625">
        <f>_xlfn.XLOOKUP($A5625,Load!$B:$B,Load!H:H,0,)</f>
        <v>0</v>
      </c>
      <c r="H5625">
        <f>_xlfn.XLOOKUP($A5625,Load!$B:$B,Load!I:I,0,)</f>
        <v>0</v>
      </c>
      <c r="I5625">
        <f>_xlfn.XLOOKUP($A5625,Load!$B:$B,Load!J:J,0,)</f>
        <v>0</v>
      </c>
      <c r="J5625">
        <f>_xlfn.XLOOKUP($A5625,Load!$B:$B,Load!K:K,0,)</f>
        <v>0</v>
      </c>
      <c r="K5625">
        <f>_xlfn.XLOOKUP($A5625,Load!$B:$B,Load!L:L,0,)</f>
        <v>0</v>
      </c>
      <c r="L5625">
        <f>_xlfn.XLOOKUP($A5625,Load!$B:$B,Load!M:M,0,)</f>
        <v>0</v>
      </c>
    </row>
    <row r="5626" spans="1:12" x14ac:dyDescent="0.25">
      <c r="A5626" t="s">
        <v>140</v>
      </c>
      <c r="B5626" t="str">
        <f>_xlfn.XLOOKUP($A5626,Load!$B:$B,Load!C:C,0,)</f>
        <v>Hershey's Variety Pack + Haribo</v>
      </c>
      <c r="C5626" t="str">
        <f>_xlfn.XLOOKUP($A5626,Load!$B:$B,Load!D:D,0,)</f>
        <v>Mix of Chocolate and Non-Chocolate Candy</v>
      </c>
      <c r="D5626" t="str">
        <f>_xlfn.XLOOKUP($A5626,Load!$B:$B,Load!E:E,0,)</f>
        <v>Variety / Mixed Flavors (Fruity, Sour, Seasonal Flavors)</v>
      </c>
      <c r="E5626" t="str">
        <f>_xlfn.XLOOKUP($A5626,Load!$B:$B,Load!F:F,0,)</f>
        <v>Mixed / Combo Packs (Gummy, Chewy, Taffy, etc.)</v>
      </c>
      <c r="F5626" t="str">
        <f>_xlfn.XLOOKUP($A5626,Load!$B:$B,Load!G:G,0,)</f>
        <v>Large Multipack (More than 80 ct)</v>
      </c>
      <c r="G5626" t="str">
        <f>_xlfn.XLOOKUP($A5626,Load!$B:$B,Load!H:H,0,)</f>
        <v>Stand-Up Bag</v>
      </c>
      <c r="H5626" t="str">
        <f>_xlfn.XLOOKUP($A5626,Load!$B:$B,Load!I:I,0,)</f>
        <v>Everyday Candy Shapes (like Original, Gummy bear, Fruit, Jewels, etc.)</v>
      </c>
      <c r="I5626" t="str">
        <f>_xlfn.XLOOKUP($A5626,Load!$B:$B,Load!J:J,0,)</f>
        <v>Seasonal Graphics (Like Bat, Ghost, Pumpkin, Fall Leaves, Eyeballs, etc.)</v>
      </c>
      <c r="J5626" t="str">
        <f>_xlfn.XLOOKUP($A5626,Load!$B:$B,Load!K:K,0,)</f>
        <v xml:space="preserve">Variety Candy Sizes </v>
      </c>
      <c r="K5626" t="str">
        <f>_xlfn.XLOOKUP($A5626,Load!$B:$B,Load!L:L,0,)</f>
        <v>Regular/Original Wrapping</v>
      </c>
      <c r="L5626" t="str">
        <f>_xlfn.XLOOKUP($A5626,Load!$B:$B,Load!M:M,0,)</f>
        <v>Multiple Brands / Variety Flavors or Form</v>
      </c>
    </row>
    <row r="5627" spans="1:12" x14ac:dyDescent="0.25">
      <c r="B5627">
        <f>_xlfn.XLOOKUP($A5627,Load!$B:$B,Load!C:C,0,)</f>
        <v>0</v>
      </c>
      <c r="C5627">
        <f>_xlfn.XLOOKUP($A5627,Load!$B:$B,Load!D:D,0,)</f>
        <v>0</v>
      </c>
      <c r="D5627">
        <f>_xlfn.XLOOKUP($A5627,Load!$B:$B,Load!E:E,0,)</f>
        <v>0</v>
      </c>
      <c r="E5627">
        <f>_xlfn.XLOOKUP($A5627,Load!$B:$B,Load!F:F,0,)</f>
        <v>0</v>
      </c>
      <c r="F5627">
        <f>_xlfn.XLOOKUP($A5627,Load!$B:$B,Load!G:G,0,)</f>
        <v>0</v>
      </c>
      <c r="G5627">
        <f>_xlfn.XLOOKUP($A5627,Load!$B:$B,Load!H:H,0,)</f>
        <v>0</v>
      </c>
      <c r="H5627">
        <f>_xlfn.XLOOKUP($A5627,Load!$B:$B,Load!I:I,0,)</f>
        <v>0</v>
      </c>
      <c r="I5627">
        <f>_xlfn.XLOOKUP($A5627,Load!$B:$B,Load!J:J,0,)</f>
        <v>0</v>
      </c>
      <c r="J5627">
        <f>_xlfn.XLOOKUP($A5627,Load!$B:$B,Load!K:K,0,)</f>
        <v>0</v>
      </c>
      <c r="K5627">
        <f>_xlfn.XLOOKUP($A5627,Load!$B:$B,Load!L:L,0,)</f>
        <v>0</v>
      </c>
      <c r="L5627">
        <f>_xlfn.XLOOKUP($A5627,Load!$B:$B,Load!M:M,0,)</f>
        <v>0</v>
      </c>
    </row>
    <row r="5628" spans="1:12" x14ac:dyDescent="0.25">
      <c r="A5628" t="s">
        <v>463</v>
      </c>
      <c r="B5628" t="str">
        <f>_xlfn.XLOOKUP($A5628,Load!$B:$B,Load!C:C,0,)</f>
        <v>Mars Variety Pack</v>
      </c>
      <c r="C5628" t="str">
        <f>_xlfn.XLOOKUP($A5628,Load!$B:$B,Load!D:D,0,)</f>
        <v>Mix of Chocolate and Non-Chocolate Candy</v>
      </c>
      <c r="D5628" t="str">
        <f>_xlfn.XLOOKUP($A5628,Load!$B:$B,Load!E:E,0,)</f>
        <v>Variety / Mixed Flavors (Fruity, Sour, Seasonal Flavors)</v>
      </c>
      <c r="E5628" t="str">
        <f>_xlfn.XLOOKUP($A5628,Load!$B:$B,Load!F:F,0,)</f>
        <v>Mixed / Combo Packs (Gummy, Chewy, Taffy, etc.)</v>
      </c>
      <c r="F5628" t="str">
        <f>_xlfn.XLOOKUP($A5628,Load!$B:$B,Load!G:G,0,)</f>
        <v>Medium Multipack (40–80 ct)</v>
      </c>
      <c r="G5628" t="str">
        <f>_xlfn.XLOOKUP($A5628,Load!$B:$B,Load!H:H,0,)</f>
        <v>Stand-Up Bag</v>
      </c>
      <c r="H5628" t="str">
        <f>_xlfn.XLOOKUP($A5628,Load!$B:$B,Load!I:I,0,)</f>
        <v>Everyday Candy Shapes (like Original, Gummy bear, Fruit, Jewels, etc.)</v>
      </c>
      <c r="I5628" t="str">
        <f>_xlfn.XLOOKUP($A5628,Load!$B:$B,Load!J:J,0,)</f>
        <v>Seasonal Graphics (Like Bat, Ghost, Pumpkin, Fall Leaves, Eyeballs, etc.)</v>
      </c>
      <c r="J5628" t="str">
        <f>_xlfn.XLOOKUP($A5628,Load!$B:$B,Load!K:K,0,)</f>
        <v>Fun Size / Treat Size</v>
      </c>
      <c r="K5628" t="str">
        <f>_xlfn.XLOOKUP($A5628,Load!$B:$B,Load!L:L,0,)</f>
        <v>Regular/Original Wrapping</v>
      </c>
      <c r="L5628" t="str">
        <f>_xlfn.XLOOKUP($A5628,Load!$B:$B,Load!M:M,0,)</f>
        <v>Multiple Brands / Variety Flavors or Form</v>
      </c>
    </row>
    <row r="5629" spans="1:12" x14ac:dyDescent="0.25">
      <c r="A5629" t="s">
        <v>286</v>
      </c>
      <c r="B5629" t="str">
        <f>_xlfn.XLOOKUP($A5629,Load!$B:$B,Load!C:C,0,)</f>
        <v>SweeTARTS</v>
      </c>
      <c r="C5629" t="str">
        <f>_xlfn.XLOOKUP($A5629,Load!$B:$B,Load!D:D,0,)</f>
        <v>Non-Chocolate Candy Only</v>
      </c>
      <c r="D5629" t="str">
        <f>_xlfn.XLOOKUP($A5629,Load!$B:$B,Load!E:E,0,)</f>
        <v>Variety / Mixed Flavors (Fruity, Sour, Seasonal Flavors)</v>
      </c>
      <c r="E5629" t="str">
        <f>_xlfn.XLOOKUP($A5629,Load!$B:$B,Load!F:F,0,)</f>
        <v>Chewy</v>
      </c>
      <c r="F5629" t="str">
        <f>_xlfn.XLOOKUP($A5629,Load!$B:$B,Load!G:G,0,)</f>
        <v>Small Multipack (Less than 40 ct)</v>
      </c>
      <c r="G5629" t="str">
        <f>_xlfn.XLOOKUP($A5629,Load!$B:$B,Load!H:H,0,)</f>
        <v>Stand-Up Bag</v>
      </c>
      <c r="H5629" t="str">
        <f>_xlfn.XLOOKUP($A5629,Load!$B:$B,Load!I:I,0,)</f>
        <v>Everyday Candy Shapes (like Original, Gummy bear, Fruit, Jewels, etc.)</v>
      </c>
      <c r="I5629" t="str">
        <f>_xlfn.XLOOKUP($A5629,Load!$B:$B,Load!J:J,0,)</f>
        <v>Seasonal Graphics (Like Bat, Ghost, Pumpkin, Fall Leaves, Eyeballs, etc.)</v>
      </c>
      <c r="J5629" t="str">
        <f>_xlfn.XLOOKUP($A5629,Load!$B:$B,Load!K:K,0,)</f>
        <v>Fun Size / Treat Size</v>
      </c>
      <c r="K5629" t="str">
        <f>_xlfn.XLOOKUP($A5629,Load!$B:$B,Load!L:L,0,)</f>
        <v>Regular/Original Wrapping</v>
      </c>
      <c r="L5629" t="str">
        <f>_xlfn.XLOOKUP($A5629,Load!$B:$B,Load!M:M,0,)</f>
        <v>Single Brand / Variety Flavors or Form</v>
      </c>
    </row>
    <row r="5630" spans="1:12" x14ac:dyDescent="0.25">
      <c r="A5630" t="s">
        <v>218</v>
      </c>
      <c r="B5630" t="str">
        <f>_xlfn.XLOOKUP($A5630,Load!$B:$B,Load!C:C,0,)</f>
        <v>Mondelez Variety Pack</v>
      </c>
      <c r="C5630" t="str">
        <f>_xlfn.XLOOKUP($A5630,Load!$B:$B,Load!D:D,0,)</f>
        <v>Non-Chocolate Candy Only</v>
      </c>
      <c r="D5630" t="str">
        <f>_xlfn.XLOOKUP($A5630,Load!$B:$B,Load!E:E,0,)</f>
        <v>Sour</v>
      </c>
      <c r="E5630" t="str">
        <f>_xlfn.XLOOKUP($A5630,Load!$B:$B,Load!F:F,0,)</f>
        <v>Mixed / Combo Packs (Gummy, Chewy, Taffy, etc.)</v>
      </c>
      <c r="F5630" t="str">
        <f>_xlfn.XLOOKUP($A5630,Load!$B:$B,Load!G:G,0,)</f>
        <v>Large Multipack (More than 80 ct)</v>
      </c>
      <c r="G5630" t="str">
        <f>_xlfn.XLOOKUP($A5630,Load!$B:$B,Load!H:H,0,)</f>
        <v>Stand-Up Bag</v>
      </c>
      <c r="H5630" t="str">
        <f>_xlfn.XLOOKUP($A5630,Load!$B:$B,Load!I:I,0,)</f>
        <v>Seasonal Shapes (like pumpkins, candy corn, ghost, bats, etc.)</v>
      </c>
      <c r="I5630" t="str">
        <f>_xlfn.XLOOKUP($A5630,Load!$B:$B,Load!J:J,0,)</f>
        <v>Seasonal Graphics (Like Bat, Ghost, Pumpkin, Fall Leaves, Eyeballs, etc.)</v>
      </c>
      <c r="J5630" t="str">
        <f>_xlfn.XLOOKUP($A5630,Load!$B:$B,Load!K:K,0,)</f>
        <v>Small Pieces (Tiny bite size candies)</v>
      </c>
      <c r="K5630" t="str">
        <f>_xlfn.XLOOKUP($A5630,Load!$B:$B,Load!L:L,0,)</f>
        <v>Regular/Original Wrapping</v>
      </c>
      <c r="L5630" t="str">
        <f>_xlfn.XLOOKUP($A5630,Load!$B:$B,Load!M:M,0,)</f>
        <v>Multiple Brands / Variety Flavors or Form</v>
      </c>
    </row>
    <row r="5631" spans="1:12" x14ac:dyDescent="0.25">
      <c r="B5631">
        <f>_xlfn.XLOOKUP($A5631,Load!$B:$B,Load!C:C,0,)</f>
        <v>0</v>
      </c>
      <c r="C5631">
        <f>_xlfn.XLOOKUP($A5631,Load!$B:$B,Load!D:D,0,)</f>
        <v>0</v>
      </c>
      <c r="D5631">
        <f>_xlfn.XLOOKUP($A5631,Load!$B:$B,Load!E:E,0,)</f>
        <v>0</v>
      </c>
      <c r="E5631">
        <f>_xlfn.XLOOKUP($A5631,Load!$B:$B,Load!F:F,0,)</f>
        <v>0</v>
      </c>
      <c r="F5631">
        <f>_xlfn.XLOOKUP($A5631,Load!$B:$B,Load!G:G,0,)</f>
        <v>0</v>
      </c>
      <c r="G5631">
        <f>_xlfn.XLOOKUP($A5631,Load!$B:$B,Load!H:H,0,)</f>
        <v>0</v>
      </c>
      <c r="H5631">
        <f>_xlfn.XLOOKUP($A5631,Load!$B:$B,Load!I:I,0,)</f>
        <v>0</v>
      </c>
      <c r="I5631">
        <f>_xlfn.XLOOKUP($A5631,Load!$B:$B,Load!J:J,0,)</f>
        <v>0</v>
      </c>
      <c r="J5631">
        <f>_xlfn.XLOOKUP($A5631,Load!$B:$B,Load!K:K,0,)</f>
        <v>0</v>
      </c>
      <c r="K5631">
        <f>_xlfn.XLOOKUP($A5631,Load!$B:$B,Load!L:L,0,)</f>
        <v>0</v>
      </c>
      <c r="L5631">
        <f>_xlfn.XLOOKUP($A5631,Load!$B:$B,Load!M:M,0,)</f>
        <v>0</v>
      </c>
    </row>
    <row r="5632" spans="1:12" x14ac:dyDescent="0.25">
      <c r="A5632" t="s">
        <v>157</v>
      </c>
      <c r="B5632" t="str">
        <f>_xlfn.XLOOKUP($A5632,Load!$B:$B,Load!C:C,0,)</f>
        <v>Jolly Rancher</v>
      </c>
      <c r="C5632" t="str">
        <f>_xlfn.XLOOKUP($A5632,Load!$B:$B,Load!D:D,0,)</f>
        <v>Non-Chocolate Candy Only</v>
      </c>
      <c r="D5632" t="str">
        <f>_xlfn.XLOOKUP($A5632,Load!$B:$B,Load!E:E,0,)</f>
        <v>Fruit Flavor (Cherry, Grape, Apple, Citrus, Tropical Fruit)</v>
      </c>
      <c r="E5632" t="str">
        <f>_xlfn.XLOOKUP($A5632,Load!$B:$B,Load!F:F,0,)</f>
        <v>Hard Candy</v>
      </c>
      <c r="F5632" t="str">
        <f>_xlfn.XLOOKUP($A5632,Load!$B:$B,Load!G:G,0,)</f>
        <v>Single Pack</v>
      </c>
      <c r="G5632" t="str">
        <f>_xlfn.XLOOKUP($A5632,Load!$B:$B,Load!H:H,0,)</f>
        <v>Laydown Bag</v>
      </c>
      <c r="H5632" t="str">
        <f>_xlfn.XLOOKUP($A5632,Load!$B:$B,Load!I:I,0,)</f>
        <v>Everyday Candy Shapes (like Original, Gummy bear, Fruit, Jewels, etc.)</v>
      </c>
      <c r="I5632" t="str">
        <f>_xlfn.XLOOKUP($A5632,Load!$B:$B,Load!J:J,0,)</f>
        <v>Everyday Graphics</v>
      </c>
      <c r="J5632" t="str">
        <f>_xlfn.XLOOKUP($A5632,Load!$B:$B,Load!K:K,0,)</f>
        <v>Small Pieces (Tiny bite size candies)</v>
      </c>
      <c r="K5632" t="str">
        <f>_xlfn.XLOOKUP($A5632,Load!$B:$B,Load!L:L,0,)</f>
        <v>Regular/Original Wrapping</v>
      </c>
      <c r="L5632" t="str">
        <f>_xlfn.XLOOKUP($A5632,Load!$B:$B,Load!M:M,0,)</f>
        <v>Single Brand / Variety Flavors or Form</v>
      </c>
    </row>
    <row r="5633" spans="1:12" x14ac:dyDescent="0.25">
      <c r="A5633" t="s">
        <v>69</v>
      </c>
      <c r="B5633" t="str">
        <f>_xlfn.XLOOKUP($A5633,Load!$B:$B,Load!C:C,0,)</f>
        <v>Dum Dums</v>
      </c>
      <c r="C5633" t="str">
        <f>_xlfn.XLOOKUP($A5633,Load!$B:$B,Load!D:D,0,)</f>
        <v>Non-Chocolate Candy Only</v>
      </c>
      <c r="D5633" t="str">
        <f>_xlfn.XLOOKUP($A5633,Load!$B:$B,Load!E:E,0,)</f>
        <v>Sweet</v>
      </c>
      <c r="E5633" t="str">
        <f>_xlfn.XLOOKUP($A5633,Load!$B:$B,Load!F:F,0,)</f>
        <v>Lollipop (regular or lollipop rings)</v>
      </c>
      <c r="F5633" t="str">
        <f>_xlfn.XLOOKUP($A5633,Load!$B:$B,Load!G:G,0,)</f>
        <v>Single Pack</v>
      </c>
      <c r="G5633" t="str">
        <f>_xlfn.XLOOKUP($A5633,Load!$B:$B,Load!H:H,0,)</f>
        <v>Laydown Bag</v>
      </c>
      <c r="H5633" t="str">
        <f>_xlfn.XLOOKUP($A5633,Load!$B:$B,Load!I:I,0,)</f>
        <v>Seasonal Shapes (like pumpkins, candy corn, ghost, bats, etc.)</v>
      </c>
      <c r="I5633" t="str">
        <f>_xlfn.XLOOKUP($A5633,Load!$B:$B,Load!J:J,0,)</f>
        <v>Seasonal Graphics (Like Bat, Ghost, Pumpkin, Fall Leaves, Eyeballs, etc.)</v>
      </c>
      <c r="J5633" t="str">
        <f>_xlfn.XLOOKUP($A5633,Load!$B:$B,Load!K:K,0,)</f>
        <v>Regular Lollipop size (on sticks or rings)</v>
      </c>
      <c r="K5633" t="str">
        <f>_xlfn.XLOOKUP($A5633,Load!$B:$B,Load!L:L,0,)</f>
        <v>Regular/Original Wrapping</v>
      </c>
      <c r="L5633" t="str">
        <f>_xlfn.XLOOKUP($A5633,Load!$B:$B,Load!M:M,0,)</f>
        <v>Single Brand / Variety Flavors or Form</v>
      </c>
    </row>
    <row r="5634" spans="1:12" x14ac:dyDescent="0.25">
      <c r="A5634" t="s">
        <v>134</v>
      </c>
      <c r="B5634" t="str">
        <f>_xlfn.XLOOKUP($A5634,Load!$B:$B,Load!C:C,0,)</f>
        <v>Hershey's Variety Pack</v>
      </c>
      <c r="C5634" t="str">
        <f>_xlfn.XLOOKUP($A5634,Load!$B:$B,Load!D:D,0,)</f>
        <v>Non-Chocolate Candy Only</v>
      </c>
      <c r="D5634" t="str">
        <f>_xlfn.XLOOKUP($A5634,Load!$B:$B,Load!E:E,0,)</f>
        <v>Variety / Mixed Flavors (Fruity, Sour, Seasonal Flavors)</v>
      </c>
      <c r="E5634" t="str">
        <f>_xlfn.XLOOKUP($A5634,Load!$B:$B,Load!F:F,0,)</f>
        <v>Mixed / Combo Packs (Gummy, Chewy, Taffy, etc.)</v>
      </c>
      <c r="F5634" t="str">
        <f>_xlfn.XLOOKUP($A5634,Load!$B:$B,Load!G:G,0,)</f>
        <v>Large Multipack (More than 80 ct)</v>
      </c>
      <c r="G5634" t="str">
        <f>_xlfn.XLOOKUP($A5634,Load!$B:$B,Load!H:H,0,)</f>
        <v>Stand-Up Bag</v>
      </c>
      <c r="H5634" t="str">
        <f>_xlfn.XLOOKUP($A5634,Load!$B:$B,Load!I:I,0,)</f>
        <v>Everyday Candy Shapes (like Original, Gummy bear, Fruit, Jewels, etc.)</v>
      </c>
      <c r="I5634" t="str">
        <f>_xlfn.XLOOKUP($A5634,Load!$B:$B,Load!J:J,0,)</f>
        <v>Seasonal Graphics (Like Bat, Ghost, Pumpkin, Fall Leaves, Eyeballs, etc.)</v>
      </c>
      <c r="J5634" t="str">
        <f>_xlfn.XLOOKUP($A5634,Load!$B:$B,Load!K:K,0,)</f>
        <v xml:space="preserve">Variety Candy Sizes </v>
      </c>
      <c r="K5634" t="str">
        <f>_xlfn.XLOOKUP($A5634,Load!$B:$B,Load!L:L,0,)</f>
        <v>Regular/Original Wrapping</v>
      </c>
      <c r="L5634" t="str">
        <f>_xlfn.XLOOKUP($A5634,Load!$B:$B,Load!M:M,0,)</f>
        <v>Multiple Brands / Variety Flavors or Form</v>
      </c>
    </row>
    <row r="5635" spans="1:12" x14ac:dyDescent="0.25">
      <c r="B5635">
        <f>_xlfn.XLOOKUP($A5635,Load!$B:$B,Load!C:C,0,)</f>
        <v>0</v>
      </c>
      <c r="C5635">
        <f>_xlfn.XLOOKUP($A5635,Load!$B:$B,Load!D:D,0,)</f>
        <v>0</v>
      </c>
      <c r="D5635">
        <f>_xlfn.XLOOKUP($A5635,Load!$B:$B,Load!E:E,0,)</f>
        <v>0</v>
      </c>
      <c r="E5635">
        <f>_xlfn.XLOOKUP($A5635,Load!$B:$B,Load!F:F,0,)</f>
        <v>0</v>
      </c>
      <c r="F5635">
        <f>_xlfn.XLOOKUP($A5635,Load!$B:$B,Load!G:G,0,)</f>
        <v>0</v>
      </c>
      <c r="G5635">
        <f>_xlfn.XLOOKUP($A5635,Load!$B:$B,Load!H:H,0,)</f>
        <v>0</v>
      </c>
      <c r="H5635">
        <f>_xlfn.XLOOKUP($A5635,Load!$B:$B,Load!I:I,0,)</f>
        <v>0</v>
      </c>
      <c r="I5635">
        <f>_xlfn.XLOOKUP($A5635,Load!$B:$B,Load!J:J,0,)</f>
        <v>0</v>
      </c>
      <c r="J5635">
        <f>_xlfn.XLOOKUP($A5635,Load!$B:$B,Load!K:K,0,)</f>
        <v>0</v>
      </c>
      <c r="K5635">
        <f>_xlfn.XLOOKUP($A5635,Load!$B:$B,Load!L:L,0,)</f>
        <v>0</v>
      </c>
      <c r="L5635">
        <f>_xlfn.XLOOKUP($A5635,Load!$B:$B,Load!M:M,0,)</f>
        <v>0</v>
      </c>
    </row>
    <row r="5636" spans="1:12" x14ac:dyDescent="0.25">
      <c r="A5636" t="s">
        <v>89</v>
      </c>
      <c r="B5636" t="str">
        <f>_xlfn.XLOOKUP($A5636,Load!$B:$B,Load!C:C,0,)</f>
        <v>Ferrara Variety Pack</v>
      </c>
      <c r="C5636" t="str">
        <f>_xlfn.XLOOKUP($A5636,Load!$B:$B,Load!D:D,0,)</f>
        <v>Non-Chocolate Candy Only</v>
      </c>
      <c r="D5636" t="str">
        <f>_xlfn.XLOOKUP($A5636,Load!$B:$B,Load!E:E,0,)</f>
        <v>Variety / Mixed Flavors (Fruity, Sour, Seasonal Flavors)</v>
      </c>
      <c r="E5636" t="str">
        <f>_xlfn.XLOOKUP($A5636,Load!$B:$B,Load!F:F,0,)</f>
        <v>Mixed / Combo Packs (Gummy, Chewy, Taffy, etc.)</v>
      </c>
      <c r="F5636" t="str">
        <f>_xlfn.XLOOKUP($A5636,Load!$B:$B,Load!G:G,0,)</f>
        <v>Medium Multipack (40–80 ct)</v>
      </c>
      <c r="G5636" t="str">
        <f>_xlfn.XLOOKUP($A5636,Load!$B:$B,Load!H:H,0,)</f>
        <v>Stand-Up Bag</v>
      </c>
      <c r="H5636" t="str">
        <f>_xlfn.XLOOKUP($A5636,Load!$B:$B,Load!I:I,0,)</f>
        <v>Everyday Candy Shapes (like Original, Gummy bear, Fruit, Jewels, etc.)</v>
      </c>
      <c r="I5636" t="str">
        <f>_xlfn.XLOOKUP($A5636,Load!$B:$B,Load!J:J,0,)</f>
        <v>Seasonal Graphics (Like Bat, Ghost, Pumpkin, Fall Leaves, Eyeballs, etc.)</v>
      </c>
      <c r="J5636" t="str">
        <f>_xlfn.XLOOKUP($A5636,Load!$B:$B,Load!K:K,0,)</f>
        <v xml:space="preserve">Variety Candy Sizes </v>
      </c>
      <c r="K5636" t="str">
        <f>_xlfn.XLOOKUP($A5636,Load!$B:$B,Load!L:L,0,)</f>
        <v>Regular/Original Wrapping</v>
      </c>
      <c r="L5636" t="str">
        <f>_xlfn.XLOOKUP($A5636,Load!$B:$B,Load!M:M,0,)</f>
        <v>Multiple Brands / Variety Flavors or Form</v>
      </c>
    </row>
    <row r="5637" spans="1:12" x14ac:dyDescent="0.25">
      <c r="A5637" t="s">
        <v>97</v>
      </c>
      <c r="B5637" t="str">
        <f>_xlfn.XLOOKUP($A5637,Load!$B:$B,Load!C:C,0,)</f>
        <v>Ferrero Variety Pack</v>
      </c>
      <c r="C5637" t="str">
        <f>_xlfn.XLOOKUP($A5637,Load!$B:$B,Load!D:D,0,)</f>
        <v>Mix of Chocolate and Non-Chocolate Candy</v>
      </c>
      <c r="D5637" t="str">
        <f>_xlfn.XLOOKUP($A5637,Load!$B:$B,Load!E:E,0,)</f>
        <v>Variety / Mixed Flavors (Fruity, Sour, Seasonal Flavors)</v>
      </c>
      <c r="E5637" t="str">
        <f>_xlfn.XLOOKUP($A5637,Load!$B:$B,Load!F:F,0,)</f>
        <v>Mixed / Combo Packs (Gummy, Chewy, Taffy, etc.)</v>
      </c>
      <c r="F5637" t="str">
        <f>_xlfn.XLOOKUP($A5637,Load!$B:$B,Load!G:G,0,)</f>
        <v>Large Multipack (More than 80 ct)</v>
      </c>
      <c r="G5637" t="str">
        <f>_xlfn.XLOOKUP($A5637,Load!$B:$B,Load!H:H,0,)</f>
        <v>Stand-Up Bag</v>
      </c>
      <c r="H5637" t="str">
        <f>_xlfn.XLOOKUP($A5637,Load!$B:$B,Load!I:I,0,)</f>
        <v>Everyday Candy Shapes (like Original, Gummy bear, Fruit, Jewels, etc.)</v>
      </c>
      <c r="I5637" t="str">
        <f>_xlfn.XLOOKUP($A5637,Load!$B:$B,Load!J:J,0,)</f>
        <v>Seasonal Graphics (Like Bat, Ghost, Pumpkin, Fall Leaves, Eyeballs, etc.)</v>
      </c>
      <c r="J5637" t="str">
        <f>_xlfn.XLOOKUP($A5637,Load!$B:$B,Load!K:K,0,)</f>
        <v>Fun Size / Treat Size</v>
      </c>
      <c r="K5637" t="str">
        <f>_xlfn.XLOOKUP($A5637,Load!$B:$B,Load!L:L,0,)</f>
        <v>Regular/Original Wrapping</v>
      </c>
      <c r="L5637" t="str">
        <f>_xlfn.XLOOKUP($A5637,Load!$B:$B,Load!M:M,0,)</f>
        <v>Multiple Brands / Variety Flavors or Form</v>
      </c>
    </row>
    <row r="5638" spans="1:12" x14ac:dyDescent="0.25">
      <c r="A5638" t="s">
        <v>223</v>
      </c>
      <c r="B5638" t="str">
        <f>_xlfn.XLOOKUP($A5638,Load!$B:$B,Load!C:C,0,)</f>
        <v>Nerds</v>
      </c>
      <c r="C5638" t="str">
        <f>_xlfn.XLOOKUP($A5638,Load!$B:$B,Load!D:D,0,)</f>
        <v>Non-Chocolate Candy Only</v>
      </c>
      <c r="D5638" t="str">
        <f>_xlfn.XLOOKUP($A5638,Load!$B:$B,Load!E:E,0,)</f>
        <v>Sweet</v>
      </c>
      <c r="E5638" t="str">
        <f>_xlfn.XLOOKUP($A5638,Load!$B:$B,Load!F:F,0,)</f>
        <v>Gummy</v>
      </c>
      <c r="F5638" t="str">
        <f>_xlfn.XLOOKUP($A5638,Load!$B:$B,Load!G:G,0,)</f>
        <v>Small Multipack (Less than 40 ct)</v>
      </c>
      <c r="G5638" t="str">
        <f>_xlfn.XLOOKUP($A5638,Load!$B:$B,Load!H:H,0,)</f>
        <v>Laydown Bag</v>
      </c>
      <c r="H5638" t="str">
        <f>_xlfn.XLOOKUP($A5638,Load!$B:$B,Load!I:I,0,)</f>
        <v>Everyday Candy Shapes (like Original, Gummy bear, Fruit, Jewels, etc.)</v>
      </c>
      <c r="I5638" t="str">
        <f>_xlfn.XLOOKUP($A5638,Load!$B:$B,Load!J:J,0,)</f>
        <v>Seasonal Graphics (Like Bat, Ghost, Pumpkin, Fall Leaves, Eyeballs, etc.)</v>
      </c>
      <c r="J5638" t="str">
        <f>_xlfn.XLOOKUP($A5638,Load!$B:$B,Load!K:K,0,)</f>
        <v>Small Pieces (Tiny bite size candies)</v>
      </c>
      <c r="K5638" t="str">
        <f>_xlfn.XLOOKUP($A5638,Load!$B:$B,Load!L:L,0,)</f>
        <v>Regular/Original Wrapping</v>
      </c>
      <c r="L5638" t="str">
        <f>_xlfn.XLOOKUP($A5638,Load!$B:$B,Load!M:M,0,)</f>
        <v>Single Brand / Variety Flavors or Form</v>
      </c>
    </row>
    <row r="5639" spans="1:12" x14ac:dyDescent="0.25">
      <c r="A5639" t="s">
        <v>320</v>
      </c>
      <c r="B5639" t="str">
        <f>_xlfn.XLOOKUP($A5639,Load!$B:$B,Load!C:C,0,)</f>
        <v>YumEarth</v>
      </c>
      <c r="C5639" t="str">
        <f>_xlfn.XLOOKUP($A5639,Load!$B:$B,Load!D:D,0,)</f>
        <v>Non-Chocolate Candy Only</v>
      </c>
      <c r="D5639" t="str">
        <f>_xlfn.XLOOKUP($A5639,Load!$B:$B,Load!E:E,0,)</f>
        <v>Sour</v>
      </c>
      <c r="E5639" t="str">
        <f>_xlfn.XLOOKUP($A5639,Load!$B:$B,Load!F:F,0,)</f>
        <v>Chewy</v>
      </c>
      <c r="F5639" t="str">
        <f>_xlfn.XLOOKUP($A5639,Load!$B:$B,Load!G:G,0,)</f>
        <v>Single Pack</v>
      </c>
      <c r="G5639" t="str">
        <f>_xlfn.XLOOKUP($A5639,Load!$B:$B,Load!H:H,0,)</f>
        <v>Laydown Bag</v>
      </c>
      <c r="H5639" t="str">
        <f>_xlfn.XLOOKUP($A5639,Load!$B:$B,Load!I:I,0,)</f>
        <v>Seasonal Shapes (like pumpkins, candy corn, ghost, bats, etc.)</v>
      </c>
      <c r="I5639" t="str">
        <f>_xlfn.XLOOKUP($A5639,Load!$B:$B,Load!J:J,0,)</f>
        <v>Seasonal Graphics (Like Bat, Ghost, Pumpkin, Fall Leaves, Eyeballs, etc.)</v>
      </c>
      <c r="J5639" t="str">
        <f>_xlfn.XLOOKUP($A5639,Load!$B:$B,Load!K:K,0,)</f>
        <v>Small Pieces (Tiny bite size candies)</v>
      </c>
      <c r="K5639" t="str">
        <f>_xlfn.XLOOKUP($A5639,Load!$B:$B,Load!L:L,0,)</f>
        <v>Regular/Original Wrapping</v>
      </c>
      <c r="L5639" t="str">
        <f>_xlfn.XLOOKUP($A5639,Load!$B:$B,Load!M:M,0,)</f>
        <v>Single Brand / Variety Flavors or Form</v>
      </c>
    </row>
    <row r="5640" spans="1:12" x14ac:dyDescent="0.25">
      <c r="A5640" t="s">
        <v>262</v>
      </c>
      <c r="B5640" t="str">
        <f>_xlfn.XLOOKUP($A5640,Load!$B:$B,Load!C:C,0,)</f>
        <v>Smart Sweets</v>
      </c>
      <c r="C5640" t="str">
        <f>_xlfn.XLOOKUP($A5640,Load!$B:$B,Load!D:D,0,)</f>
        <v>Non-Chocolate Candy Only</v>
      </c>
      <c r="D5640" t="str">
        <f>_xlfn.XLOOKUP($A5640,Load!$B:$B,Load!E:E,0,)</f>
        <v>Berry Based (Raspberry, Strawberry, Medley, etc.)</v>
      </c>
      <c r="E5640" t="str">
        <f>_xlfn.XLOOKUP($A5640,Load!$B:$B,Load!F:F,0,)</f>
        <v>Lollipop (regular or lollipop rings)</v>
      </c>
      <c r="F5640" t="str">
        <f>_xlfn.XLOOKUP($A5640,Load!$B:$B,Load!G:G,0,)</f>
        <v>Single Pack</v>
      </c>
      <c r="G5640" t="str">
        <f>_xlfn.XLOOKUP($A5640,Load!$B:$B,Load!H:H,0,)</f>
        <v>Peg Bag</v>
      </c>
      <c r="H5640" t="str">
        <f>_xlfn.XLOOKUP($A5640,Load!$B:$B,Load!I:I,0,)</f>
        <v>Everyday Candy Shapes (like Original, Gummy bear, Fruit, Jewels, etc.)</v>
      </c>
      <c r="I5640" t="str">
        <f>_xlfn.XLOOKUP($A5640,Load!$B:$B,Load!J:J,0,)</f>
        <v>Seasonal Graphics (Like Bat, Ghost, Pumpkin, Fall Leaves, Eyeballs, etc.)</v>
      </c>
      <c r="J5640" t="str">
        <f>_xlfn.XLOOKUP($A5640,Load!$B:$B,Load!K:K,0,)</f>
        <v>Regular Lollipop size (on sticks or rings)</v>
      </c>
      <c r="K5640" t="str">
        <f>_xlfn.XLOOKUP($A5640,Load!$B:$B,Load!L:L,0,)</f>
        <v>Regular/Original Wrapping</v>
      </c>
      <c r="L5640" t="str">
        <f>_xlfn.XLOOKUP($A5640,Load!$B:$B,Load!M:M,0,)</f>
        <v>Single Brand / Variety Flavors or Form</v>
      </c>
    </row>
    <row r="5641" spans="1:12" x14ac:dyDescent="0.25">
      <c r="B5641">
        <f>_xlfn.XLOOKUP($A5641,Load!$B:$B,Load!C:C,0,)</f>
        <v>0</v>
      </c>
      <c r="C5641">
        <f>_xlfn.XLOOKUP($A5641,Load!$B:$B,Load!D:D,0,)</f>
        <v>0</v>
      </c>
      <c r="D5641">
        <f>_xlfn.XLOOKUP($A5641,Load!$B:$B,Load!E:E,0,)</f>
        <v>0</v>
      </c>
      <c r="E5641">
        <f>_xlfn.XLOOKUP($A5641,Load!$B:$B,Load!F:F,0,)</f>
        <v>0</v>
      </c>
      <c r="F5641">
        <f>_xlfn.XLOOKUP($A5641,Load!$B:$B,Load!G:G,0,)</f>
        <v>0</v>
      </c>
      <c r="G5641">
        <f>_xlfn.XLOOKUP($A5641,Load!$B:$B,Load!H:H,0,)</f>
        <v>0</v>
      </c>
      <c r="H5641">
        <f>_xlfn.XLOOKUP($A5641,Load!$B:$B,Load!I:I,0,)</f>
        <v>0</v>
      </c>
      <c r="I5641">
        <f>_xlfn.XLOOKUP($A5641,Load!$B:$B,Load!J:J,0,)</f>
        <v>0</v>
      </c>
      <c r="J5641">
        <f>_xlfn.XLOOKUP($A5641,Load!$B:$B,Load!K:K,0,)</f>
        <v>0</v>
      </c>
      <c r="K5641">
        <f>_xlfn.XLOOKUP($A5641,Load!$B:$B,Load!L:L,0,)</f>
        <v>0</v>
      </c>
      <c r="L5641">
        <f>_xlfn.XLOOKUP($A5641,Load!$B:$B,Load!M:M,0,)</f>
        <v>0</v>
      </c>
    </row>
    <row r="5642" spans="1:12" x14ac:dyDescent="0.25">
      <c r="A5642" t="s">
        <v>167</v>
      </c>
      <c r="B5642" t="str">
        <f>_xlfn.XLOOKUP($A5642,Load!$B:$B,Load!C:C,0,)</f>
        <v>Kraft</v>
      </c>
      <c r="C5642" t="str">
        <f>_xlfn.XLOOKUP($A5642,Load!$B:$B,Load!D:D,0,)</f>
        <v>Non-Chocolate Candy Only</v>
      </c>
      <c r="D5642" t="str">
        <f>_xlfn.XLOOKUP($A5642,Load!$B:$B,Load!E:E,0,)</f>
        <v>Fall / Seasonal Flavors (pumpkin spice, caramel apple, candy corn)</v>
      </c>
      <c r="E5642" t="str">
        <f>_xlfn.XLOOKUP($A5642,Load!$B:$B,Load!F:F,0,)</f>
        <v>Lollipop (regular or lollipop rings)</v>
      </c>
      <c r="F5642" t="str">
        <f>_xlfn.XLOOKUP($A5642,Load!$B:$B,Load!G:G,0,)</f>
        <v>Single Pack</v>
      </c>
      <c r="G5642" t="str">
        <f>_xlfn.XLOOKUP($A5642,Load!$B:$B,Load!H:H,0,)</f>
        <v>Laydown Bag</v>
      </c>
      <c r="H5642" t="str">
        <f>_xlfn.XLOOKUP($A5642,Load!$B:$B,Load!I:I,0,)</f>
        <v>Everyday Candy Shapes (like Original, Gummy bear, Fruit, Jewels, etc.)</v>
      </c>
      <c r="I5642" t="str">
        <f>_xlfn.XLOOKUP($A5642,Load!$B:$B,Load!J:J,0,)</f>
        <v>Everyday Graphics</v>
      </c>
      <c r="J5642" t="str">
        <f>_xlfn.XLOOKUP($A5642,Load!$B:$B,Load!K:K,0,)</f>
        <v>Small Pieces (Tiny bite size candies)</v>
      </c>
      <c r="K5642" t="str">
        <f>_xlfn.XLOOKUP($A5642,Load!$B:$B,Load!L:L,0,)</f>
        <v>Regular/Original Wrapping</v>
      </c>
      <c r="L5642" t="str">
        <f>_xlfn.XLOOKUP($A5642,Load!$B:$B,Load!M:M,0,)</f>
        <v>Single Brand / Single Flavor or Form</v>
      </c>
    </row>
    <row r="5643" spans="1:12" x14ac:dyDescent="0.25">
      <c r="A5643" t="s">
        <v>166</v>
      </c>
      <c r="B5643" t="str">
        <f>_xlfn.XLOOKUP($A5643,Load!$B:$B,Load!C:C,0,)</f>
        <v>Kraft</v>
      </c>
      <c r="C5643" t="str">
        <f>_xlfn.XLOOKUP($A5643,Load!$B:$B,Load!D:D,0,)</f>
        <v>Non-Chocolate Candy Only</v>
      </c>
      <c r="D5643" t="str">
        <f>_xlfn.XLOOKUP($A5643,Load!$B:$B,Load!E:E,0,)</f>
        <v>Fall / Seasonal Flavors (pumpkin spice, caramel apple, candy corn)</v>
      </c>
      <c r="E5643" t="str">
        <f>_xlfn.XLOOKUP($A5643,Load!$B:$B,Load!F:F,0,)</f>
        <v>Lollipop (regular or lollipop rings)</v>
      </c>
      <c r="F5643" t="str">
        <f>_xlfn.XLOOKUP($A5643,Load!$B:$B,Load!G:G,0,)</f>
        <v>Single Pack</v>
      </c>
      <c r="G5643" t="str">
        <f>_xlfn.XLOOKUP($A5643,Load!$B:$B,Load!H:H,0,)</f>
        <v>Laydown Bag</v>
      </c>
      <c r="H5643" t="str">
        <f>_xlfn.XLOOKUP($A5643,Load!$B:$B,Load!I:I,0,)</f>
        <v>Everyday Candy Shapes (like Original, Gummy bear, Fruit, Jewels, etc.)</v>
      </c>
      <c r="I5643" t="str">
        <f>_xlfn.XLOOKUP($A5643,Load!$B:$B,Load!J:J,0,)</f>
        <v>Everyday Graphics</v>
      </c>
      <c r="J5643" t="str">
        <f>_xlfn.XLOOKUP($A5643,Load!$B:$B,Load!K:K,0,)</f>
        <v>Small Pieces (Tiny bite size candies)</v>
      </c>
      <c r="K5643" t="str">
        <f>_xlfn.XLOOKUP($A5643,Load!$B:$B,Load!L:L,0,)</f>
        <v>Regular/Original Wrapping</v>
      </c>
      <c r="L5643" t="str">
        <f>_xlfn.XLOOKUP($A5643,Load!$B:$B,Load!M:M,0,)</f>
        <v>Single Brand / Single Flavor or Form</v>
      </c>
    </row>
    <row r="5644" spans="1:12" x14ac:dyDescent="0.25">
      <c r="A5644" t="s">
        <v>65</v>
      </c>
      <c r="B5644" t="str">
        <f>_xlfn.XLOOKUP($A5644,Load!$B:$B,Load!C:C,0,)</f>
        <v>Dots</v>
      </c>
      <c r="C5644" t="str">
        <f>_xlfn.XLOOKUP($A5644,Load!$B:$B,Load!D:D,0,)</f>
        <v>Non-Chocolate Candy Only</v>
      </c>
      <c r="D5644" t="str">
        <f>_xlfn.XLOOKUP($A5644,Load!$B:$B,Load!E:E,0,)</f>
        <v>Variety / Mixed Flavors (Fruity, Sour, Seasonal Flavors)</v>
      </c>
      <c r="E5644" t="str">
        <f>_xlfn.XLOOKUP($A5644,Load!$B:$B,Load!F:F,0,)</f>
        <v>Candy Pieces / Bites</v>
      </c>
      <c r="F5644" t="str">
        <f>_xlfn.XLOOKUP($A5644,Load!$B:$B,Load!G:G,0,)</f>
        <v>Medium Multipack (40–80 ct)</v>
      </c>
      <c r="G5644" t="str">
        <f>_xlfn.XLOOKUP($A5644,Load!$B:$B,Load!H:H,0,)</f>
        <v>Box (theatre box, gift box, carton)</v>
      </c>
      <c r="H5644" t="str">
        <f>_xlfn.XLOOKUP($A5644,Load!$B:$B,Load!I:I,0,)</f>
        <v>Seasonal Shapes (like pumpkins, candy corn, ghost, bats, etc.)</v>
      </c>
      <c r="I5644" t="str">
        <f>_xlfn.XLOOKUP($A5644,Load!$B:$B,Load!J:J,0,)</f>
        <v>Seasonal Graphics (Like Bat, Ghost, Pumpkin, Fall Leaves, Eyeballs, etc.)</v>
      </c>
      <c r="J5644" t="str">
        <f>_xlfn.XLOOKUP($A5644,Load!$B:$B,Load!K:K,0,)</f>
        <v>Fun Size / Treat Size</v>
      </c>
      <c r="K5644" t="str">
        <f>_xlfn.XLOOKUP($A5644,Load!$B:$B,Load!L:L,0,)</f>
        <v>Regular/Original Wrapping</v>
      </c>
      <c r="L5644" t="str">
        <f>_xlfn.XLOOKUP($A5644,Load!$B:$B,Load!M:M,0,)</f>
        <v>Single Brand / Variety Flavors or Form</v>
      </c>
    </row>
    <row r="5645" spans="1:12" x14ac:dyDescent="0.25">
      <c r="A5645" t="s">
        <v>2</v>
      </c>
      <c r="B5645" t="str">
        <f>_xlfn.XLOOKUP($A5645,Load!$B:$B,Load!C:C,0,)</f>
        <v>Airheads</v>
      </c>
      <c r="C5645" t="str">
        <f>_xlfn.XLOOKUP($A5645,Load!$B:$B,Load!D:D,0,)</f>
        <v>Non-Chocolate Candy Only</v>
      </c>
      <c r="D5645" t="str">
        <f>_xlfn.XLOOKUP($A5645,Load!$B:$B,Load!E:E,0,)</f>
        <v>Variety / Mixed Flavors (Fruity, Sour, Seasonal Flavors)</v>
      </c>
      <c r="E5645" t="str">
        <f>_xlfn.XLOOKUP($A5645,Load!$B:$B,Load!F:F,0,)</f>
        <v>Chewy</v>
      </c>
      <c r="F5645" t="str">
        <f>_xlfn.XLOOKUP($A5645,Load!$B:$B,Load!G:G,0,)</f>
        <v>Medium Multipack (40–80 ct)</v>
      </c>
      <c r="G5645" t="str">
        <f>_xlfn.XLOOKUP($A5645,Load!$B:$B,Load!H:H,0,)</f>
        <v>Box (theatre box, gift box, carton)</v>
      </c>
      <c r="H5645" t="str">
        <f>_xlfn.XLOOKUP($A5645,Load!$B:$B,Load!I:I,0,)</f>
        <v>Everyday Candy Shapes (like Original, Gummy bear, Fruit, Jewels, etc.)</v>
      </c>
      <c r="I5645" t="str">
        <f>_xlfn.XLOOKUP($A5645,Load!$B:$B,Load!J:J,0,)</f>
        <v>Seasonal Graphics (Like Bat, Ghost, Pumpkin, Fall Leaves, Eyeballs, etc.)</v>
      </c>
      <c r="J5645" t="str">
        <f>_xlfn.XLOOKUP($A5645,Load!$B:$B,Load!K:K,0,)</f>
        <v>Fun Size / Treat Size</v>
      </c>
      <c r="K5645" t="str">
        <f>_xlfn.XLOOKUP($A5645,Load!$B:$B,Load!L:L,0,)</f>
        <v>Regular/Original Wrapping</v>
      </c>
      <c r="L5645" t="str">
        <f>_xlfn.XLOOKUP($A5645,Load!$B:$B,Load!M:M,0,)</f>
        <v>Single Brand / Variety Flavors or Form</v>
      </c>
    </row>
    <row r="5646" spans="1:12" x14ac:dyDescent="0.25">
      <c r="A5646" t="s">
        <v>139</v>
      </c>
      <c r="B5646" t="str">
        <f>_xlfn.XLOOKUP($A5646,Load!$B:$B,Load!C:C,0,)</f>
        <v>Hershey's Variety Pack + Haribo</v>
      </c>
      <c r="C5646" t="str">
        <f>_xlfn.XLOOKUP($A5646,Load!$B:$B,Load!D:D,0,)</f>
        <v>Mix of Chocolate and Non-Chocolate Candy</v>
      </c>
      <c r="D5646" t="str">
        <f>_xlfn.XLOOKUP($A5646,Load!$B:$B,Load!E:E,0,)</f>
        <v>Variety / Mixed Flavors (Fruity, Sour, Seasonal Flavors)</v>
      </c>
      <c r="E5646" t="str">
        <f>_xlfn.XLOOKUP($A5646,Load!$B:$B,Load!F:F,0,)</f>
        <v>Mixed / Combo Packs (Gummy, Chewy, Taffy, etc.)</v>
      </c>
      <c r="F5646" t="str">
        <f>_xlfn.XLOOKUP($A5646,Load!$B:$B,Load!G:G,0,)</f>
        <v>Large Multipack (More than 80 ct)</v>
      </c>
      <c r="G5646" t="str">
        <f>_xlfn.XLOOKUP($A5646,Load!$B:$B,Load!H:H,0,)</f>
        <v>Stand-Up Bag</v>
      </c>
      <c r="H5646" t="str">
        <f>_xlfn.XLOOKUP($A5646,Load!$B:$B,Load!I:I,0,)</f>
        <v>Everyday Candy Shapes (like Original, Gummy bear, Fruit, Jewels, etc.)</v>
      </c>
      <c r="I5646" t="str">
        <f>_xlfn.XLOOKUP($A5646,Load!$B:$B,Load!J:J,0,)</f>
        <v>Seasonal Graphics (Like Bat, Ghost, Pumpkin, Fall Leaves, Eyeballs, etc.)</v>
      </c>
      <c r="J5646" t="str">
        <f>_xlfn.XLOOKUP($A5646,Load!$B:$B,Load!K:K,0,)</f>
        <v>Fun Size / Treat Size</v>
      </c>
      <c r="K5646" t="str">
        <f>_xlfn.XLOOKUP($A5646,Load!$B:$B,Load!L:L,0,)</f>
        <v>Regular/Original Wrapping</v>
      </c>
      <c r="L5646" t="str">
        <f>_xlfn.XLOOKUP($A5646,Load!$B:$B,Load!M:M,0,)</f>
        <v>Multiple Brands / Variety Flavors or Form</v>
      </c>
    </row>
    <row r="5647" spans="1:12" x14ac:dyDescent="0.25">
      <c r="A5647" t="s">
        <v>326</v>
      </c>
      <c r="B5647" t="str">
        <f>_xlfn.XLOOKUP($A5647,Load!$B:$B,Load!C:C,0,)</f>
        <v>Mondelez Variety Pack</v>
      </c>
      <c r="C5647" t="str">
        <f>_xlfn.XLOOKUP($A5647,Load!$B:$B,Load!D:D,0,)</f>
        <v>Mix of Chocolate and Non-Chocolate Candy</v>
      </c>
      <c r="D5647" t="str">
        <f>_xlfn.XLOOKUP($A5647,Load!$B:$B,Load!E:E,0,)</f>
        <v>Variety / Mixed Flavors (Fruity, Sour, Seasonal Flavors)</v>
      </c>
      <c r="E5647" t="str">
        <f>_xlfn.XLOOKUP($A5647,Load!$B:$B,Load!F:F,0,)</f>
        <v>Mixed / Combo Packs (Gummy, Chewy, Taffy, etc.)</v>
      </c>
      <c r="F5647" t="str">
        <f>_xlfn.XLOOKUP($A5647,Load!$B:$B,Load!G:G,0,)</f>
        <v>Medium Multipack (40–80 ct)</v>
      </c>
      <c r="G5647" t="str">
        <f>_xlfn.XLOOKUP($A5647,Load!$B:$B,Load!H:H,0,)</f>
        <v>Stand-Up Bag</v>
      </c>
      <c r="H5647" t="str">
        <f>_xlfn.XLOOKUP($A5647,Load!$B:$B,Load!I:I,0,)</f>
        <v>Everyday Candy Shapes (like Original, Gummy bear, Fruit, Jewels, etc.)</v>
      </c>
      <c r="I5647" t="str">
        <f>_xlfn.XLOOKUP($A5647,Load!$B:$B,Load!J:J,0,)</f>
        <v>Seasonal Graphics (Like Bat, Ghost, Pumpkin, Fall Leaves, Eyeballs, etc.)</v>
      </c>
      <c r="J5647" t="str">
        <f>_xlfn.XLOOKUP($A5647,Load!$B:$B,Load!K:K,0,)</f>
        <v xml:space="preserve">Variety Candy Sizes </v>
      </c>
      <c r="K5647" t="str">
        <f>_xlfn.XLOOKUP($A5647,Load!$B:$B,Load!L:L,0,)</f>
        <v>Regular/Original Wrapping</v>
      </c>
      <c r="L5647" t="str">
        <f>_xlfn.XLOOKUP($A5647,Load!$B:$B,Load!M:M,0,)</f>
        <v>Multiple Brands / Variety Flavors or Form</v>
      </c>
    </row>
    <row r="5648" spans="1:12" x14ac:dyDescent="0.25">
      <c r="A5648" t="s">
        <v>183</v>
      </c>
      <c r="B5648" t="str">
        <f>_xlfn.XLOOKUP($A5648,Load!$B:$B,Load!C:C,0,)</f>
        <v>Mars Variety Pack</v>
      </c>
      <c r="C5648" t="str">
        <f>_xlfn.XLOOKUP($A5648,Load!$B:$B,Load!D:D,0,)</f>
        <v>Non-Chocolate Candy Only</v>
      </c>
      <c r="D5648" t="str">
        <f>_xlfn.XLOOKUP($A5648,Load!$B:$B,Load!E:E,0,)</f>
        <v>Variety / Mixed Flavors (Fruity, Sour, Seasonal Flavors)</v>
      </c>
      <c r="E5648" t="str">
        <f>_xlfn.XLOOKUP($A5648,Load!$B:$B,Load!F:F,0,)</f>
        <v>Mixed / Combo Packs (Gummy, Chewy, Taffy, etc.)</v>
      </c>
      <c r="F5648" t="str">
        <f>_xlfn.XLOOKUP($A5648,Load!$B:$B,Load!G:G,0,)</f>
        <v>Large Multipack (More than 80 ct)</v>
      </c>
      <c r="G5648" t="str">
        <f>_xlfn.XLOOKUP($A5648,Load!$B:$B,Load!H:H,0,)</f>
        <v>Stand-Up Bag</v>
      </c>
      <c r="H5648" t="str">
        <f>_xlfn.XLOOKUP($A5648,Load!$B:$B,Load!I:I,0,)</f>
        <v>Seasonal Shapes (like pumpkins, candy corn, ghost, bats, etc.)</v>
      </c>
      <c r="I5648" t="str">
        <f>_xlfn.XLOOKUP($A5648,Load!$B:$B,Load!J:J,0,)</f>
        <v>Seasonal Graphics (Like Bat, Ghost, Pumpkin, Fall Leaves, Eyeballs, etc.)</v>
      </c>
      <c r="J5648" t="str">
        <f>_xlfn.XLOOKUP($A5648,Load!$B:$B,Load!K:K,0,)</f>
        <v xml:space="preserve">Variety Candy Sizes </v>
      </c>
      <c r="K5648" t="str">
        <f>_xlfn.XLOOKUP($A5648,Load!$B:$B,Load!L:L,0,)</f>
        <v>Regular/Original Wrapping</v>
      </c>
      <c r="L5648" t="str">
        <f>_xlfn.XLOOKUP($A5648,Load!$B:$B,Load!M:M,0,)</f>
        <v>Multiple Brands / Variety Flavors or Form</v>
      </c>
    </row>
    <row r="5649" spans="1:12" x14ac:dyDescent="0.25">
      <c r="A5649" t="s">
        <v>202</v>
      </c>
      <c r="B5649" t="str">
        <f>_xlfn.XLOOKUP($A5649,Load!$B:$B,Load!C:C,0,)</f>
        <v>Mars Variety Pack</v>
      </c>
      <c r="C5649" t="str">
        <f>_xlfn.XLOOKUP($A5649,Load!$B:$B,Load!D:D,0,)</f>
        <v>Mix of Chocolate and Non-Chocolate Candy</v>
      </c>
      <c r="D5649" t="str">
        <f>_xlfn.XLOOKUP($A5649,Load!$B:$B,Load!E:E,0,)</f>
        <v>Variety / Mixed Flavors (Fruity, Sour, Seasonal Flavors)</v>
      </c>
      <c r="E5649" t="str">
        <f>_xlfn.XLOOKUP($A5649,Load!$B:$B,Load!F:F,0,)</f>
        <v>Mixed / Combo Packs (Gummy, Chewy, Taffy, etc.)</v>
      </c>
      <c r="F5649" t="str">
        <f>_xlfn.XLOOKUP($A5649,Load!$B:$B,Load!G:G,0,)</f>
        <v>Large Multipack (More than 80 ct)</v>
      </c>
      <c r="G5649" t="str">
        <f>_xlfn.XLOOKUP($A5649,Load!$B:$B,Load!H:H,0,)</f>
        <v>Stand-Up Bag</v>
      </c>
      <c r="H5649" t="str">
        <f>_xlfn.XLOOKUP($A5649,Load!$B:$B,Load!I:I,0,)</f>
        <v>Everyday Candy Shapes (like Original, Gummy bear, Fruit, Jewels, etc.)</v>
      </c>
      <c r="I5649" t="str">
        <f>_xlfn.XLOOKUP($A5649,Load!$B:$B,Load!J:J,0,)</f>
        <v>Everyday Graphics</v>
      </c>
      <c r="J5649" t="str">
        <f>_xlfn.XLOOKUP($A5649,Load!$B:$B,Load!K:K,0,)</f>
        <v>Fun Size / Treat Size</v>
      </c>
      <c r="K5649" t="str">
        <f>_xlfn.XLOOKUP($A5649,Load!$B:$B,Load!L:L,0,)</f>
        <v>Regular/Original Wrapping</v>
      </c>
      <c r="L5649" t="str">
        <f>_xlfn.XLOOKUP($A5649,Load!$B:$B,Load!M:M,0,)</f>
        <v>Multiple Brands / Variety Flavors or Form</v>
      </c>
    </row>
    <row r="5650" spans="1:12" x14ac:dyDescent="0.25">
      <c r="A5650" t="s">
        <v>307</v>
      </c>
      <c r="B5650" t="str">
        <f>_xlfn.XLOOKUP($A5650,Load!$B:$B,Load!C:C,0,)</f>
        <v>Werther's Original</v>
      </c>
      <c r="C5650" t="str">
        <f>_xlfn.XLOOKUP($A5650,Load!$B:$B,Load!D:D,0,)</f>
        <v>Non-Chocolate Candy Only</v>
      </c>
      <c r="D5650" t="str">
        <f>_xlfn.XLOOKUP($A5650,Load!$B:$B,Load!E:E,0,)</f>
        <v>Fall / Seasonal Flavors (pumpkin spice, caramel apple, candy corn)</v>
      </c>
      <c r="E5650" t="str">
        <f>_xlfn.XLOOKUP($A5650,Load!$B:$B,Load!F:F,0,)</f>
        <v>Hard Candy</v>
      </c>
      <c r="F5650" t="str">
        <f>_xlfn.XLOOKUP($A5650,Load!$B:$B,Load!G:G,0,)</f>
        <v>Single Pack</v>
      </c>
      <c r="G5650" t="str">
        <f>_xlfn.XLOOKUP($A5650,Load!$B:$B,Load!H:H,0,)</f>
        <v>Stand-Up Bag</v>
      </c>
      <c r="H5650" t="str">
        <f>_xlfn.XLOOKUP($A5650,Load!$B:$B,Load!I:I,0,)</f>
        <v>Everyday Candy Shapes (like Original, Gummy bear, Fruit, Jewels, etc.)</v>
      </c>
      <c r="I5650" t="str">
        <f>_xlfn.XLOOKUP($A5650,Load!$B:$B,Load!J:J,0,)</f>
        <v>Seasonal Graphics (Like Bat, Ghost, Pumpkin, Fall Leaves, Eyeballs, etc.)</v>
      </c>
      <c r="J5650" t="str">
        <f>_xlfn.XLOOKUP($A5650,Load!$B:$B,Load!K:K,0,)</f>
        <v>Fun Size / Treat Size</v>
      </c>
      <c r="K5650" t="str">
        <f>_xlfn.XLOOKUP($A5650,Load!$B:$B,Load!L:L,0,)</f>
        <v>Regular/Original Wrapping</v>
      </c>
      <c r="L5650" t="str">
        <f>_xlfn.XLOOKUP($A5650,Load!$B:$B,Load!M:M,0,)</f>
        <v>Single Brand / Single Flavor or Form</v>
      </c>
    </row>
    <row r="5651" spans="1:12" x14ac:dyDescent="0.25">
      <c r="A5651" t="s">
        <v>154</v>
      </c>
      <c r="B5651" t="str">
        <f>_xlfn.XLOOKUP($A5651,Load!$B:$B,Load!C:C,0,)</f>
        <v>Jolly Rancher</v>
      </c>
      <c r="C5651" t="str">
        <f>_xlfn.XLOOKUP($A5651,Load!$B:$B,Load!D:D,0,)</f>
        <v>Non-Chocolate Candy Only</v>
      </c>
      <c r="D5651" t="str">
        <f>_xlfn.XLOOKUP($A5651,Load!$B:$B,Load!E:E,0,)</f>
        <v>Fruit Flavor (Cherry, Grape, Apple, Citrus, Tropical Fruit)</v>
      </c>
      <c r="E5651" t="str">
        <f>_xlfn.XLOOKUP($A5651,Load!$B:$B,Load!F:F,0,)</f>
        <v>Hard Candy</v>
      </c>
      <c r="F5651" t="str">
        <f>_xlfn.XLOOKUP($A5651,Load!$B:$B,Load!G:G,0,)</f>
        <v>Small Multipack (Less than 40 ct)</v>
      </c>
      <c r="G5651" t="str">
        <f>_xlfn.XLOOKUP($A5651,Load!$B:$B,Load!H:H,0,)</f>
        <v>Stand-Up Bag</v>
      </c>
      <c r="H5651" t="str">
        <f>_xlfn.XLOOKUP($A5651,Load!$B:$B,Load!I:I,0,)</f>
        <v>Everyday Candy Shapes (like Original, Gummy bear, Fruit, Jewels, etc.)</v>
      </c>
      <c r="I5651" t="str">
        <f>_xlfn.XLOOKUP($A5651,Load!$B:$B,Load!J:J,0,)</f>
        <v>Everyday Graphics</v>
      </c>
      <c r="J5651" t="str">
        <f>_xlfn.XLOOKUP($A5651,Load!$B:$B,Load!K:K,0,)</f>
        <v>Small Pieces (Tiny bite size candies)</v>
      </c>
      <c r="K5651" t="str">
        <f>_xlfn.XLOOKUP($A5651,Load!$B:$B,Load!L:L,0,)</f>
        <v>Regular/Original Wrapping</v>
      </c>
      <c r="L5651" t="str">
        <f>_xlfn.XLOOKUP($A5651,Load!$B:$B,Load!M:M,0,)</f>
        <v>Single Brand / Variety Flavors or Form</v>
      </c>
    </row>
    <row r="5652" spans="1:12" x14ac:dyDescent="0.25">
      <c r="A5652" t="s">
        <v>159</v>
      </c>
      <c r="B5652" t="str">
        <f>_xlfn.XLOOKUP($A5652,Load!$B:$B,Load!C:C,0,)</f>
        <v>Jolly Rancher</v>
      </c>
      <c r="C5652" t="str">
        <f>_xlfn.XLOOKUP($A5652,Load!$B:$B,Load!D:D,0,)</f>
        <v>Non-Chocolate Candy Only</v>
      </c>
      <c r="D5652" t="str">
        <f>_xlfn.XLOOKUP($A5652,Load!$B:$B,Load!E:E,0,)</f>
        <v>Fruit Flavor (Cherry, Grape, Apple, Citrus, Tropical Fruit)</v>
      </c>
      <c r="E5652" t="str">
        <f>_xlfn.XLOOKUP($A5652,Load!$B:$B,Load!F:F,0,)</f>
        <v>Gummy</v>
      </c>
      <c r="F5652" t="str">
        <f>_xlfn.XLOOKUP($A5652,Load!$B:$B,Load!G:G,0,)</f>
        <v>Single Pack</v>
      </c>
      <c r="G5652" t="str">
        <f>_xlfn.XLOOKUP($A5652,Load!$B:$B,Load!H:H,0,)</f>
        <v>Laydown Bag</v>
      </c>
      <c r="H5652" t="str">
        <f>_xlfn.XLOOKUP($A5652,Load!$B:$B,Load!I:I,0,)</f>
        <v>Seasonal Shapes (like pumpkins, candy corn, ghost, bats, etc.)</v>
      </c>
      <c r="I5652" t="str">
        <f>_xlfn.XLOOKUP($A5652,Load!$B:$B,Load!J:J,0,)</f>
        <v>Everyday Graphics</v>
      </c>
      <c r="J5652" t="str">
        <f>_xlfn.XLOOKUP($A5652,Load!$B:$B,Load!K:K,0,)</f>
        <v>Small Pieces (Tiny bite size candies)</v>
      </c>
      <c r="K5652" t="str">
        <f>_xlfn.XLOOKUP($A5652,Load!$B:$B,Load!L:L,0,)</f>
        <v>Unwrapped</v>
      </c>
      <c r="L5652" t="str">
        <f>_xlfn.XLOOKUP($A5652,Load!$B:$B,Load!M:M,0,)</f>
        <v>Single Brand / Variety Flavors or Form</v>
      </c>
    </row>
    <row r="5653" spans="1:12" x14ac:dyDescent="0.25">
      <c r="A5653" t="s">
        <v>462</v>
      </c>
      <c r="B5653" t="str">
        <f>_xlfn.XLOOKUP($A5653,Load!$B:$B,Load!C:C,0,)</f>
        <v>Trolli</v>
      </c>
      <c r="C5653" t="str">
        <f>_xlfn.XLOOKUP($A5653,Load!$B:$B,Load!D:D,0,)</f>
        <v>Non-Chocolate Candy Only</v>
      </c>
      <c r="D5653" t="str">
        <f>_xlfn.XLOOKUP($A5653,Load!$B:$B,Load!E:E,0,)</f>
        <v>Sour</v>
      </c>
      <c r="E5653" t="str">
        <f>_xlfn.XLOOKUP($A5653,Load!$B:$B,Load!F:F,0,)</f>
        <v>Gummy</v>
      </c>
      <c r="F5653" t="str">
        <f>_xlfn.XLOOKUP($A5653,Load!$B:$B,Load!G:G,0,)</f>
        <v>Small Multipack (Less than 40 ct)</v>
      </c>
      <c r="G5653" t="str">
        <f>_xlfn.XLOOKUP($A5653,Load!$B:$B,Load!H:H,0,)</f>
        <v>Laydown Bag</v>
      </c>
      <c r="H5653" t="str">
        <f>_xlfn.XLOOKUP($A5653,Load!$B:$B,Load!I:I,0,)</f>
        <v>Seasonal Shapes (like pumpkins, candy corn, ghost, bats, etc.)</v>
      </c>
      <c r="I5653" t="str">
        <f>_xlfn.XLOOKUP($A5653,Load!$B:$B,Load!J:J,0,)</f>
        <v>Seasonal Graphics (Like Bat, Ghost, Pumpkin, Fall Leaves, Eyeballs, etc.)</v>
      </c>
      <c r="J5653" t="str">
        <f>_xlfn.XLOOKUP($A5653,Load!$B:$B,Load!K:K,0,)</f>
        <v>Fun Size / Treat Size</v>
      </c>
      <c r="K5653" t="str">
        <f>_xlfn.XLOOKUP($A5653,Load!$B:$B,Load!L:L,0,)</f>
        <v>Regular/Original Wrapping</v>
      </c>
      <c r="L5653" t="str">
        <f>_xlfn.XLOOKUP($A5653,Load!$B:$B,Load!M:M,0,)</f>
        <v>Single Brand / Variety Flavors or Form</v>
      </c>
    </row>
    <row r="5654" spans="1:12" x14ac:dyDescent="0.25">
      <c r="A5654" t="s">
        <v>140</v>
      </c>
      <c r="B5654" t="str">
        <f>_xlfn.XLOOKUP($A5654,Load!$B:$B,Load!C:C,0,)</f>
        <v>Hershey's Variety Pack + Haribo</v>
      </c>
      <c r="C5654" t="str">
        <f>_xlfn.XLOOKUP($A5654,Load!$B:$B,Load!D:D,0,)</f>
        <v>Mix of Chocolate and Non-Chocolate Candy</v>
      </c>
      <c r="D5654" t="str">
        <f>_xlfn.XLOOKUP($A5654,Load!$B:$B,Load!E:E,0,)</f>
        <v>Variety / Mixed Flavors (Fruity, Sour, Seasonal Flavors)</v>
      </c>
      <c r="E5654" t="str">
        <f>_xlfn.XLOOKUP($A5654,Load!$B:$B,Load!F:F,0,)</f>
        <v>Mixed / Combo Packs (Gummy, Chewy, Taffy, etc.)</v>
      </c>
      <c r="F5654" t="str">
        <f>_xlfn.XLOOKUP($A5654,Load!$B:$B,Load!G:G,0,)</f>
        <v>Large Multipack (More than 80 ct)</v>
      </c>
      <c r="G5654" t="str">
        <f>_xlfn.XLOOKUP($A5654,Load!$B:$B,Load!H:H,0,)</f>
        <v>Stand-Up Bag</v>
      </c>
      <c r="H5654" t="str">
        <f>_xlfn.XLOOKUP($A5654,Load!$B:$B,Load!I:I,0,)</f>
        <v>Everyday Candy Shapes (like Original, Gummy bear, Fruit, Jewels, etc.)</v>
      </c>
      <c r="I5654" t="str">
        <f>_xlfn.XLOOKUP($A5654,Load!$B:$B,Load!J:J,0,)</f>
        <v>Seasonal Graphics (Like Bat, Ghost, Pumpkin, Fall Leaves, Eyeballs, etc.)</v>
      </c>
      <c r="J5654" t="str">
        <f>_xlfn.XLOOKUP($A5654,Load!$B:$B,Load!K:K,0,)</f>
        <v xml:space="preserve">Variety Candy Sizes </v>
      </c>
      <c r="K5654" t="str">
        <f>_xlfn.XLOOKUP($A5654,Load!$B:$B,Load!L:L,0,)</f>
        <v>Regular/Original Wrapping</v>
      </c>
      <c r="L5654" t="str">
        <f>_xlfn.XLOOKUP($A5654,Load!$B:$B,Load!M:M,0,)</f>
        <v>Multiple Brands / Variety Flavors or Form</v>
      </c>
    </row>
    <row r="5655" spans="1:12" x14ac:dyDescent="0.25">
      <c r="B5655">
        <f>_xlfn.XLOOKUP($A5655,Load!$B:$B,Load!C:C,0,)</f>
        <v>0</v>
      </c>
      <c r="C5655">
        <f>_xlfn.XLOOKUP($A5655,Load!$B:$B,Load!D:D,0,)</f>
        <v>0</v>
      </c>
      <c r="D5655">
        <f>_xlfn.XLOOKUP($A5655,Load!$B:$B,Load!E:E,0,)</f>
        <v>0</v>
      </c>
      <c r="E5655">
        <f>_xlfn.XLOOKUP($A5655,Load!$B:$B,Load!F:F,0,)</f>
        <v>0</v>
      </c>
      <c r="F5655">
        <f>_xlfn.XLOOKUP($A5655,Load!$B:$B,Load!G:G,0,)</f>
        <v>0</v>
      </c>
      <c r="G5655">
        <f>_xlfn.XLOOKUP($A5655,Load!$B:$B,Load!H:H,0,)</f>
        <v>0</v>
      </c>
      <c r="H5655">
        <f>_xlfn.XLOOKUP($A5655,Load!$B:$B,Load!I:I,0,)</f>
        <v>0</v>
      </c>
      <c r="I5655">
        <f>_xlfn.XLOOKUP($A5655,Load!$B:$B,Load!J:J,0,)</f>
        <v>0</v>
      </c>
      <c r="J5655">
        <f>_xlfn.XLOOKUP($A5655,Load!$B:$B,Load!K:K,0,)</f>
        <v>0</v>
      </c>
      <c r="K5655">
        <f>_xlfn.XLOOKUP($A5655,Load!$B:$B,Load!L:L,0,)</f>
        <v>0</v>
      </c>
      <c r="L5655">
        <f>_xlfn.XLOOKUP($A5655,Load!$B:$B,Load!M:M,0,)</f>
        <v>0</v>
      </c>
    </row>
    <row r="5656" spans="1:12" x14ac:dyDescent="0.25">
      <c r="A5656" t="s">
        <v>280</v>
      </c>
      <c r="B5656" t="str">
        <f>_xlfn.XLOOKUP($A5656,Load!$B:$B,Load!C:C,0,)</f>
        <v>Sour Patch Kids</v>
      </c>
      <c r="C5656" t="str">
        <f>_xlfn.XLOOKUP($A5656,Load!$B:$B,Load!D:D,0,)</f>
        <v>Non-Chocolate Candy Only</v>
      </c>
      <c r="D5656" t="str">
        <f>_xlfn.XLOOKUP($A5656,Load!$B:$B,Load!E:E,0,)</f>
        <v>Sour</v>
      </c>
      <c r="E5656" t="str">
        <f>_xlfn.XLOOKUP($A5656,Load!$B:$B,Load!F:F,0,)</f>
        <v>Chewy</v>
      </c>
      <c r="F5656" t="str">
        <f>_xlfn.XLOOKUP($A5656,Load!$B:$B,Load!G:G,0,)</f>
        <v>Medium Multipack (40–80 ct)</v>
      </c>
      <c r="G5656" t="str">
        <f>_xlfn.XLOOKUP($A5656,Load!$B:$B,Load!H:H,0,)</f>
        <v>Laydown Bag</v>
      </c>
      <c r="H5656" t="str">
        <f>_xlfn.XLOOKUP($A5656,Load!$B:$B,Load!I:I,0,)</f>
        <v>Seasonal Shapes (like pumpkins, candy corn, ghost, bats, etc.)</v>
      </c>
      <c r="I5656" t="str">
        <f>_xlfn.XLOOKUP($A5656,Load!$B:$B,Load!J:J,0,)</f>
        <v>Seasonal Graphics (Like Bat, Ghost, Pumpkin, Fall Leaves, Eyeballs, etc.)</v>
      </c>
      <c r="J5656" t="str">
        <f>_xlfn.XLOOKUP($A5656,Load!$B:$B,Load!K:K,0,)</f>
        <v>Small Pieces (Tiny bite size candies)</v>
      </c>
      <c r="K5656" t="str">
        <f>_xlfn.XLOOKUP($A5656,Load!$B:$B,Load!L:L,0,)</f>
        <v>Regular/Original Wrapping</v>
      </c>
      <c r="L5656" t="str">
        <f>_xlfn.XLOOKUP($A5656,Load!$B:$B,Load!M:M,0,)</f>
        <v>Single Brand / Variety Flavors or Form</v>
      </c>
    </row>
    <row r="5657" spans="1:12" x14ac:dyDescent="0.25">
      <c r="A5657" t="s">
        <v>271</v>
      </c>
      <c r="B5657" t="str">
        <f>_xlfn.XLOOKUP($A5657,Load!$B:$B,Load!C:C,0,)</f>
        <v>Sour Patch Kids</v>
      </c>
      <c r="C5657" t="str">
        <f>_xlfn.XLOOKUP($A5657,Load!$B:$B,Load!D:D,0,)</f>
        <v>Non-Chocolate Candy Only</v>
      </c>
      <c r="D5657" t="str">
        <f>_xlfn.XLOOKUP($A5657,Load!$B:$B,Load!E:E,0,)</f>
        <v>Sour</v>
      </c>
      <c r="E5657" t="str">
        <f>_xlfn.XLOOKUP($A5657,Load!$B:$B,Load!F:F,0,)</f>
        <v>Chewy</v>
      </c>
      <c r="F5657" t="str">
        <f>_xlfn.XLOOKUP($A5657,Load!$B:$B,Load!G:G,0,)</f>
        <v>Medium Multipack (40–80 ct)</v>
      </c>
      <c r="G5657" t="str">
        <f>_xlfn.XLOOKUP($A5657,Load!$B:$B,Load!H:H,0,)</f>
        <v>Laydown Bag</v>
      </c>
      <c r="H5657" t="str">
        <f>_xlfn.XLOOKUP($A5657,Load!$B:$B,Load!I:I,0,)</f>
        <v>Everyday Candy Shapes (like Original, Gummy bear, Fruit, Jewels, etc.)</v>
      </c>
      <c r="I5657" t="str">
        <f>_xlfn.XLOOKUP($A5657,Load!$B:$B,Load!J:J,0,)</f>
        <v>Seasonal Graphics (Like Bat, Ghost, Pumpkin, Fall Leaves, Eyeballs, etc.)</v>
      </c>
      <c r="J5657" t="str">
        <f>_xlfn.XLOOKUP($A5657,Load!$B:$B,Load!K:K,0,)</f>
        <v>Small Pieces (Tiny bite size candies)</v>
      </c>
      <c r="K5657" t="str">
        <f>_xlfn.XLOOKUP($A5657,Load!$B:$B,Load!L:L,0,)</f>
        <v>Regular/Original Wrapping</v>
      </c>
      <c r="L5657" t="str">
        <f>_xlfn.XLOOKUP($A5657,Load!$B:$B,Load!M:M,0,)</f>
        <v>Single Brand / Variety Flavors or Form</v>
      </c>
    </row>
    <row r="5658" spans="1:12" x14ac:dyDescent="0.25">
      <c r="A5658" t="s">
        <v>302</v>
      </c>
      <c r="B5658" t="str">
        <f>_xlfn.XLOOKUP($A5658,Load!$B:$B,Load!C:C,0,)</f>
        <v>Twizzlers</v>
      </c>
      <c r="C5658" t="str">
        <f>_xlfn.XLOOKUP($A5658,Load!$B:$B,Load!D:D,0,)</f>
        <v>Non-Chocolate Candy Only</v>
      </c>
      <c r="D5658" t="str">
        <f>_xlfn.XLOOKUP($A5658,Load!$B:$B,Load!E:E,0,)</f>
        <v>Berry Based (Raspberry, Strawberry, Medley, etc.)</v>
      </c>
      <c r="E5658" t="str">
        <f>_xlfn.XLOOKUP($A5658,Load!$B:$B,Load!F:F,0,)</f>
        <v>Chewy</v>
      </c>
      <c r="F5658" t="str">
        <f>_xlfn.XLOOKUP($A5658,Load!$B:$B,Load!G:G,0,)</f>
        <v>Single Pack</v>
      </c>
      <c r="G5658" t="str">
        <f>_xlfn.XLOOKUP($A5658,Load!$B:$B,Load!H:H,0,)</f>
        <v>Laydown Bag</v>
      </c>
      <c r="H5658" t="str">
        <f>_xlfn.XLOOKUP($A5658,Load!$B:$B,Load!I:I,0,)</f>
        <v>Everyday Candy Shapes (like Original, Gummy bear, Fruit, Jewels, etc.)</v>
      </c>
      <c r="I5658" t="str">
        <f>_xlfn.XLOOKUP($A5658,Load!$B:$B,Load!J:J,0,)</f>
        <v>Seasonal Graphics (Like Bat, Ghost, Pumpkin, Fall Leaves, Eyeballs, etc.)</v>
      </c>
      <c r="J5658" t="str">
        <f>_xlfn.XLOOKUP($A5658,Load!$B:$B,Load!K:K,0,)</f>
        <v>Small Pieces (Tiny bite size candies)</v>
      </c>
      <c r="K5658" t="str">
        <f>_xlfn.XLOOKUP($A5658,Load!$B:$B,Load!L:L,0,)</f>
        <v>unwrapped</v>
      </c>
      <c r="L5658" t="str">
        <f>_xlfn.XLOOKUP($A5658,Load!$B:$B,Load!M:M,0,)</f>
        <v>Single Brand / Single Flavor or Form</v>
      </c>
    </row>
    <row r="5659" spans="1:12" x14ac:dyDescent="0.25">
      <c r="A5659" t="s">
        <v>215</v>
      </c>
      <c r="B5659" t="str">
        <f>_xlfn.XLOOKUP($A5659,Load!$B:$B,Load!C:C,0,)</f>
        <v>Maud Borup</v>
      </c>
      <c r="C5659" t="str">
        <f>_xlfn.XLOOKUP($A5659,Load!$B:$B,Load!D:D,0,)</f>
        <v>Non-Chocolate Candy Only</v>
      </c>
      <c r="D5659" t="str">
        <f>_xlfn.XLOOKUP($A5659,Load!$B:$B,Load!E:E,0,)</f>
        <v>Berry Based (Raspberry, Strawberry, Medley, etc.)</v>
      </c>
      <c r="E5659" t="str">
        <f>_xlfn.XLOOKUP($A5659,Load!$B:$B,Load!F:F,0,)</f>
        <v>Gummy</v>
      </c>
      <c r="F5659" t="str">
        <f>_xlfn.XLOOKUP($A5659,Load!$B:$B,Load!G:G,0,)</f>
        <v>Single Pack</v>
      </c>
      <c r="G5659" t="str">
        <f>_xlfn.XLOOKUP($A5659,Load!$B:$B,Load!H:H,0,)</f>
        <v>Peg Bag</v>
      </c>
      <c r="H5659" t="str">
        <f>_xlfn.XLOOKUP($A5659,Load!$B:$B,Load!I:I,0,)</f>
        <v>Seasonal Shapes (like pumpkins, candy corn, ghost, bats, etc.)</v>
      </c>
      <c r="I5659" t="str">
        <f>_xlfn.XLOOKUP($A5659,Load!$B:$B,Load!J:J,0,)</f>
        <v>Seasonal Graphics (Like Bat, Ghost, Pumpkin, Fall Leaves, Eyeballs, etc.)</v>
      </c>
      <c r="J5659" t="str">
        <f>_xlfn.XLOOKUP($A5659,Load!$B:$B,Load!K:K,0,)</f>
        <v>Fun Size / Treat Size</v>
      </c>
      <c r="K5659" t="str">
        <f>_xlfn.XLOOKUP($A5659,Load!$B:$B,Load!L:L,0,)</f>
        <v>Unwrapped</v>
      </c>
      <c r="L5659" t="str">
        <f>_xlfn.XLOOKUP($A5659,Load!$B:$B,Load!M:M,0,)</f>
        <v>Single Brand / Single Flavor or Form</v>
      </c>
    </row>
    <row r="5660" spans="1:12" x14ac:dyDescent="0.25">
      <c r="A5660" t="s">
        <v>328</v>
      </c>
      <c r="B5660" t="str">
        <f>_xlfn.XLOOKUP($A5660,Load!$B:$B,Load!C:C,0,)</f>
        <v>Googly Eyes</v>
      </c>
      <c r="C5660" t="str">
        <f>_xlfn.XLOOKUP($A5660,Load!$B:$B,Load!D:D,0,)</f>
        <v>Non-Chocolate Candy Only</v>
      </c>
      <c r="D5660" t="str">
        <f>_xlfn.XLOOKUP($A5660,Load!$B:$B,Load!E:E,0,)</f>
        <v>Variety / Mixed Flavors (Fruity, Sour, Seasonal Flavors)</v>
      </c>
      <c r="E5660" t="str">
        <f>_xlfn.XLOOKUP($A5660,Load!$B:$B,Load!F:F,0,)</f>
        <v>Candy Pieces / Bites</v>
      </c>
      <c r="F5660" t="str">
        <f>_xlfn.XLOOKUP($A5660,Load!$B:$B,Load!G:G,0,)</f>
        <v>Single Pack</v>
      </c>
      <c r="G5660" t="str">
        <f>_xlfn.XLOOKUP($A5660,Load!$B:$B,Load!H:H,0,)</f>
        <v>Plastic Cup / Container</v>
      </c>
      <c r="H5660" t="str">
        <f>_xlfn.XLOOKUP($A5660,Load!$B:$B,Load!I:I,0,)</f>
        <v>Seasonal Shapes (like pumpkins, candy corn, ghost, bats, etc.)</v>
      </c>
      <c r="I5660" t="str">
        <f>_xlfn.XLOOKUP($A5660,Load!$B:$B,Load!J:J,0,)</f>
        <v>Seasonal Graphics (Like Bat, Ghost, Pumpkin, Fall Leaves, Eyeballs, etc.)</v>
      </c>
      <c r="J5660" t="str">
        <f>_xlfn.XLOOKUP($A5660,Load!$B:$B,Load!K:K,0,)</f>
        <v>Fun Size / Treat Size</v>
      </c>
      <c r="K5660" t="str">
        <f>_xlfn.XLOOKUP($A5660,Load!$B:$B,Load!L:L,0,)</f>
        <v>Regular/Original Wrapping</v>
      </c>
      <c r="L5660" t="str">
        <f>_xlfn.XLOOKUP($A5660,Load!$B:$B,Load!M:M,0,)</f>
        <v>Single Brand / Variety Flavors or Form</v>
      </c>
    </row>
    <row r="5661" spans="1:12" x14ac:dyDescent="0.25">
      <c r="B5661">
        <f>_xlfn.XLOOKUP($A5661,Load!$B:$B,Load!C:C,0,)</f>
        <v>0</v>
      </c>
      <c r="C5661">
        <f>_xlfn.XLOOKUP($A5661,Load!$B:$B,Load!D:D,0,)</f>
        <v>0</v>
      </c>
      <c r="D5661">
        <f>_xlfn.XLOOKUP($A5661,Load!$B:$B,Load!E:E,0,)</f>
        <v>0</v>
      </c>
      <c r="E5661">
        <f>_xlfn.XLOOKUP($A5661,Load!$B:$B,Load!F:F,0,)</f>
        <v>0</v>
      </c>
      <c r="F5661">
        <f>_xlfn.XLOOKUP($A5661,Load!$B:$B,Load!G:G,0,)</f>
        <v>0</v>
      </c>
      <c r="G5661">
        <f>_xlfn.XLOOKUP($A5661,Load!$B:$B,Load!H:H,0,)</f>
        <v>0</v>
      </c>
      <c r="H5661">
        <f>_xlfn.XLOOKUP($A5661,Load!$B:$B,Load!I:I,0,)</f>
        <v>0</v>
      </c>
      <c r="I5661">
        <f>_xlfn.XLOOKUP($A5661,Load!$B:$B,Load!J:J,0,)</f>
        <v>0</v>
      </c>
      <c r="J5661">
        <f>_xlfn.XLOOKUP($A5661,Load!$B:$B,Load!K:K,0,)</f>
        <v>0</v>
      </c>
      <c r="K5661">
        <f>_xlfn.XLOOKUP($A5661,Load!$B:$B,Load!L:L,0,)</f>
        <v>0</v>
      </c>
      <c r="L5661">
        <f>_xlfn.XLOOKUP($A5661,Load!$B:$B,Load!M:M,0,)</f>
        <v>0</v>
      </c>
    </row>
    <row r="5662" spans="1:12" x14ac:dyDescent="0.25">
      <c r="A5662" t="s">
        <v>96</v>
      </c>
      <c r="B5662" t="str">
        <f>_xlfn.XLOOKUP($A5662,Load!$B:$B,Load!C:C,0,)</f>
        <v>Ferrero Variety Pack</v>
      </c>
      <c r="C5662" t="str">
        <f>_xlfn.XLOOKUP($A5662,Load!$B:$B,Load!D:D,0,)</f>
        <v>Mix of Chocolate and Non-Chocolate Candy</v>
      </c>
      <c r="D5662" t="str">
        <f>_xlfn.XLOOKUP($A5662,Load!$B:$B,Load!E:E,0,)</f>
        <v>Variety / Mixed Flavors (Fruity, Sour, Seasonal Flavors)</v>
      </c>
      <c r="E5662" t="str">
        <f>_xlfn.XLOOKUP($A5662,Load!$B:$B,Load!F:F,0,)</f>
        <v>Mixed / Combo Packs (Gummy, Chewy, Taffy, etc.)</v>
      </c>
      <c r="F5662" t="str">
        <f>_xlfn.XLOOKUP($A5662,Load!$B:$B,Load!G:G,0,)</f>
        <v>Large Multipack (More than 80 ct)</v>
      </c>
      <c r="G5662" t="str">
        <f>_xlfn.XLOOKUP($A5662,Load!$B:$B,Load!H:H,0,)</f>
        <v>Stand-Up Bag</v>
      </c>
      <c r="H5662" t="str">
        <f>_xlfn.XLOOKUP($A5662,Load!$B:$B,Load!I:I,0,)</f>
        <v>Everyday Candy Shapes (like Original, Gummy bear, Fruit, Jewels, etc.)</v>
      </c>
      <c r="I5662" t="str">
        <f>_xlfn.XLOOKUP($A5662,Load!$B:$B,Load!J:J,0,)</f>
        <v>Seasonal Graphics (Like Bat, Ghost, Pumpkin, Fall Leaves, Eyeballs, etc.)</v>
      </c>
      <c r="J5662" t="str">
        <f>_xlfn.XLOOKUP($A5662,Load!$B:$B,Load!K:K,0,)</f>
        <v>Fun Size / Treat Size</v>
      </c>
      <c r="K5662" t="str">
        <f>_xlfn.XLOOKUP($A5662,Load!$B:$B,Load!L:L,0,)</f>
        <v>Regular/Original Wrapping</v>
      </c>
      <c r="L5662" t="str">
        <f>_xlfn.XLOOKUP($A5662,Load!$B:$B,Load!M:M,0,)</f>
        <v>Multiple Brands / Variety Flavors or Form</v>
      </c>
    </row>
    <row r="5663" spans="1:12" x14ac:dyDescent="0.25">
      <c r="B5663">
        <f>_xlfn.XLOOKUP($A5663,Load!$B:$B,Load!C:C,0,)</f>
        <v>0</v>
      </c>
      <c r="C5663">
        <f>_xlfn.XLOOKUP($A5663,Load!$B:$B,Load!D:D,0,)</f>
        <v>0</v>
      </c>
      <c r="D5663">
        <f>_xlfn.XLOOKUP($A5663,Load!$B:$B,Load!E:E,0,)</f>
        <v>0</v>
      </c>
      <c r="E5663">
        <f>_xlfn.XLOOKUP($A5663,Load!$B:$B,Load!F:F,0,)</f>
        <v>0</v>
      </c>
      <c r="F5663">
        <f>_xlfn.XLOOKUP($A5663,Load!$B:$B,Load!G:G,0,)</f>
        <v>0</v>
      </c>
      <c r="G5663">
        <f>_xlfn.XLOOKUP($A5663,Load!$B:$B,Load!H:H,0,)</f>
        <v>0</v>
      </c>
      <c r="H5663">
        <f>_xlfn.XLOOKUP($A5663,Load!$B:$B,Load!I:I,0,)</f>
        <v>0</v>
      </c>
      <c r="I5663">
        <f>_xlfn.XLOOKUP($A5663,Load!$B:$B,Load!J:J,0,)</f>
        <v>0</v>
      </c>
      <c r="J5663">
        <f>_xlfn.XLOOKUP($A5663,Load!$B:$B,Load!K:K,0,)</f>
        <v>0</v>
      </c>
      <c r="K5663">
        <f>_xlfn.XLOOKUP($A5663,Load!$B:$B,Load!L:L,0,)</f>
        <v>0</v>
      </c>
      <c r="L5663">
        <f>_xlfn.XLOOKUP($A5663,Load!$B:$B,Load!M:M,0,)</f>
        <v>0</v>
      </c>
    </row>
    <row r="5664" spans="1:12" x14ac:dyDescent="0.25">
      <c r="A5664" t="s">
        <v>136</v>
      </c>
      <c r="B5664" t="str">
        <f>_xlfn.XLOOKUP($A5664,Load!$B:$B,Load!C:C,0,)</f>
        <v>Hershey's Variety Pack + Haribo</v>
      </c>
      <c r="C5664" t="str">
        <f>_xlfn.XLOOKUP($A5664,Load!$B:$B,Load!D:D,0,)</f>
        <v>Non-Chocolate Candy Only</v>
      </c>
      <c r="D5664" t="str">
        <f>_xlfn.XLOOKUP($A5664,Load!$B:$B,Load!E:E,0,)</f>
        <v>Variety / Mixed Flavors (Fruity, Sour, Seasonal Flavors)</v>
      </c>
      <c r="E5664" t="str">
        <f>_xlfn.XLOOKUP($A5664,Load!$B:$B,Load!F:F,0,)</f>
        <v>Mixed / Combo Packs (Gummy, Chewy, Taffy, etc.)</v>
      </c>
      <c r="F5664" t="str">
        <f>_xlfn.XLOOKUP($A5664,Load!$B:$B,Load!G:G,0,)</f>
        <v>Medium Multipack (40–80 ct)</v>
      </c>
      <c r="G5664" t="str">
        <f>_xlfn.XLOOKUP($A5664,Load!$B:$B,Load!H:H,0,)</f>
        <v>Laydown Bag</v>
      </c>
      <c r="H5664" t="str">
        <f>_xlfn.XLOOKUP($A5664,Load!$B:$B,Load!I:I,0,)</f>
        <v>Everyday Candy Shapes (like Original, Gummy bear, Fruit, Jewels, etc.)</v>
      </c>
      <c r="I5664" t="str">
        <f>_xlfn.XLOOKUP($A5664,Load!$B:$B,Load!J:J,0,)</f>
        <v>Seasonal Graphics (Like Bat, Ghost, Pumpkin, Fall Leaves, Eyeballs, etc.)</v>
      </c>
      <c r="J5664" t="str">
        <f>_xlfn.XLOOKUP($A5664,Load!$B:$B,Load!K:K,0,)</f>
        <v xml:space="preserve">Variety Candy Sizes </v>
      </c>
      <c r="K5664" t="str">
        <f>_xlfn.XLOOKUP($A5664,Load!$B:$B,Load!L:L,0,)</f>
        <v>Regular/Original Wrapping</v>
      </c>
      <c r="L5664" t="str">
        <f>_xlfn.XLOOKUP($A5664,Load!$B:$B,Load!M:M,0,)</f>
        <v>Multiple Brands / Variety Flavors or Form</v>
      </c>
    </row>
    <row r="5665" spans="1:12" x14ac:dyDescent="0.25">
      <c r="A5665" t="s">
        <v>174</v>
      </c>
      <c r="B5665" t="str">
        <f>_xlfn.XLOOKUP($A5665,Load!$B:$B,Load!C:C,0,)</f>
        <v>Mars Variety Pack</v>
      </c>
      <c r="C5665" t="str">
        <f>_xlfn.XLOOKUP($A5665,Load!$B:$B,Load!D:D,0,)</f>
        <v>Non-Chocolate Candy Only</v>
      </c>
      <c r="D5665" t="str">
        <f>_xlfn.XLOOKUP($A5665,Load!$B:$B,Load!E:E,0,)</f>
        <v>Variety / Mixed Flavors (Fruity, Sour, Seasonal Flavors)</v>
      </c>
      <c r="E5665" t="str">
        <f>_xlfn.XLOOKUP($A5665,Load!$B:$B,Load!F:F,0,)</f>
        <v>Mixed / Combo Packs (Gummy, Chewy, Taffy, etc.)</v>
      </c>
      <c r="F5665" t="str">
        <f>_xlfn.XLOOKUP($A5665,Load!$B:$B,Load!G:G,0,)</f>
        <v>Medium Multipack (40–80 ct)</v>
      </c>
      <c r="G5665" t="str">
        <f>_xlfn.XLOOKUP($A5665,Load!$B:$B,Load!H:H,0,)</f>
        <v>Stand-Up Bag</v>
      </c>
      <c r="H5665" t="str">
        <f>_xlfn.XLOOKUP($A5665,Load!$B:$B,Load!I:I,0,)</f>
        <v>Everyday Candy Shapes (like Original, Gummy bear, Fruit, Jewels, etc.)</v>
      </c>
      <c r="I5665" t="str">
        <f>_xlfn.XLOOKUP($A5665,Load!$B:$B,Load!J:J,0,)</f>
        <v>Seasonal Graphics (Like Bat, Ghost, Pumpkin, Fall Leaves, Eyeballs, etc.)</v>
      </c>
      <c r="J5665" t="str">
        <f>_xlfn.XLOOKUP($A5665,Load!$B:$B,Load!K:K,0,)</f>
        <v>Fun Size / Treat Size</v>
      </c>
      <c r="K5665" t="str">
        <f>_xlfn.XLOOKUP($A5665,Load!$B:$B,Load!L:L,0,)</f>
        <v>Regular/Original Wrapping</v>
      </c>
      <c r="L5665" t="str">
        <f>_xlfn.XLOOKUP($A5665,Load!$B:$B,Load!M:M,0,)</f>
        <v>Multiple Brands / Variety Flavors or Form</v>
      </c>
    </row>
    <row r="5666" spans="1:12" x14ac:dyDescent="0.25">
      <c r="A5666" t="s">
        <v>253</v>
      </c>
      <c r="B5666" t="str">
        <f>_xlfn.XLOOKUP($A5666,Load!$B:$B,Load!C:C,0,)</f>
        <v>Skittles</v>
      </c>
      <c r="C5666" t="str">
        <f>_xlfn.XLOOKUP($A5666,Load!$B:$B,Load!D:D,0,)</f>
        <v>Non-Chocolate Candy Only</v>
      </c>
      <c r="D5666" t="str">
        <f>_xlfn.XLOOKUP($A5666,Load!$B:$B,Load!E:E,0,)</f>
        <v>Variety / Mixed Flavors (Fruity, Sour, Seasonal Flavors)</v>
      </c>
      <c r="E5666" t="str">
        <f>_xlfn.XLOOKUP($A5666,Load!$B:$B,Load!F:F,0,)</f>
        <v>Mixed / Combo Packs (Gummy, Chewy, Taffy, etc.)</v>
      </c>
      <c r="F5666" t="str">
        <f>_xlfn.XLOOKUP($A5666,Load!$B:$B,Load!G:G,0,)</f>
        <v>Medium Multipack (40–80 ct)</v>
      </c>
      <c r="G5666" t="str">
        <f>_xlfn.XLOOKUP($A5666,Load!$B:$B,Load!H:H,0,)</f>
        <v>Stand-Up Bag</v>
      </c>
      <c r="H5666" t="str">
        <f>_xlfn.XLOOKUP($A5666,Load!$B:$B,Load!I:I,0,)</f>
        <v>Everyday Candy Shapes (like Original, Gummy bear, Fruit, Jewels, etc.)</v>
      </c>
      <c r="I5666" t="str">
        <f>_xlfn.XLOOKUP($A5666,Load!$B:$B,Load!J:J,0,)</f>
        <v>Seasonal Graphics (Like Bat, Ghost, Pumpkin, Fall Leaves, Eyeballs, etc.)</v>
      </c>
      <c r="J5666" t="str">
        <f>_xlfn.XLOOKUP($A5666,Load!$B:$B,Load!K:K,0,)</f>
        <v>Small Pieces (Tiny bite size candies)</v>
      </c>
      <c r="K5666" t="str">
        <f>_xlfn.XLOOKUP($A5666,Load!$B:$B,Load!L:L,0,)</f>
        <v>Regular/Original Wrapping</v>
      </c>
      <c r="L5666" t="str">
        <f>_xlfn.XLOOKUP($A5666,Load!$B:$B,Load!M:M,0,)</f>
        <v>Single Brand / Variety Flavors or Form</v>
      </c>
    </row>
    <row r="5667" spans="1:12" x14ac:dyDescent="0.25">
      <c r="A5667" t="s">
        <v>261</v>
      </c>
      <c r="B5667" t="str">
        <f>_xlfn.XLOOKUP($A5667,Load!$B:$B,Load!C:C,0,)</f>
        <v>Skittles</v>
      </c>
      <c r="C5667" t="str">
        <f>_xlfn.XLOOKUP($A5667,Load!$B:$B,Load!D:D,0,)</f>
        <v>Non-Chocolate Candy Only</v>
      </c>
      <c r="D5667" t="str">
        <f>_xlfn.XLOOKUP($A5667,Load!$B:$B,Load!E:E,0,)</f>
        <v>Fruit Flavor (Cherry, Grape, Apple, Citrus, Tropical Fruit)</v>
      </c>
      <c r="E5667" t="str">
        <f>_xlfn.XLOOKUP($A5667,Load!$B:$B,Load!F:F,0,)</f>
        <v>Candy Pieces / Bites</v>
      </c>
      <c r="F5667" t="str">
        <f>_xlfn.XLOOKUP($A5667,Load!$B:$B,Load!G:G,0,)</f>
        <v>Single Pack</v>
      </c>
      <c r="G5667" t="str">
        <f>_xlfn.XLOOKUP($A5667,Load!$B:$B,Load!H:H,0,)</f>
        <v>Laydown Bag</v>
      </c>
      <c r="H5667" t="str">
        <f>_xlfn.XLOOKUP($A5667,Load!$B:$B,Load!I:I,0,)</f>
        <v>Everyday Candy Shapes (like Original, Gummy bear, Fruit, Jewels, etc.)</v>
      </c>
      <c r="I5667" t="str">
        <f>_xlfn.XLOOKUP($A5667,Load!$B:$B,Load!J:J,0,)</f>
        <v>Everyday Graphics</v>
      </c>
      <c r="J5667" t="str">
        <f>_xlfn.XLOOKUP($A5667,Load!$B:$B,Load!K:K,0,)</f>
        <v>Small Pieces (Tiny bite size candies)</v>
      </c>
      <c r="K5667" t="str">
        <f>_xlfn.XLOOKUP($A5667,Load!$B:$B,Load!L:L,0,)</f>
        <v>Unwrapped</v>
      </c>
      <c r="L5667" t="str">
        <f>_xlfn.XLOOKUP($A5667,Load!$B:$B,Load!M:M,0,)</f>
        <v>Single Brand / Single Flavor or Form</v>
      </c>
    </row>
    <row r="5668" spans="1:12" x14ac:dyDescent="0.25">
      <c r="A5668" t="s">
        <v>182</v>
      </c>
      <c r="B5668" t="str">
        <f>_xlfn.XLOOKUP($A5668,Load!$B:$B,Load!C:C,0,)</f>
        <v>Mars Variety Pack</v>
      </c>
      <c r="C5668" t="str">
        <f>_xlfn.XLOOKUP($A5668,Load!$B:$B,Load!D:D,0,)</f>
        <v>Non-Chocolate Candy Only</v>
      </c>
      <c r="D5668" t="str">
        <f>_xlfn.XLOOKUP($A5668,Load!$B:$B,Load!E:E,0,)</f>
        <v>Variety / Mixed Flavors (Fruity, Sour, Seasonal Flavors)</v>
      </c>
      <c r="E5668" t="str">
        <f>_xlfn.XLOOKUP($A5668,Load!$B:$B,Load!F:F,0,)</f>
        <v>Mixed / Combo Packs (Gummy, Chewy, Taffy, etc.)</v>
      </c>
      <c r="F5668" t="str">
        <f>_xlfn.XLOOKUP($A5668,Load!$B:$B,Load!G:G,0,)</f>
        <v>Large Multipack (More than 80 ct)</v>
      </c>
      <c r="G5668" t="str">
        <f>_xlfn.XLOOKUP($A5668,Load!$B:$B,Load!H:H,0,)</f>
        <v>Stand-Up Bag</v>
      </c>
      <c r="H5668" t="str">
        <f>_xlfn.XLOOKUP($A5668,Load!$B:$B,Load!I:I,0,)</f>
        <v>Everyday Candy Shapes (like Original, Gummy bear, Fruit, Jewels, etc.)</v>
      </c>
      <c r="I5668" t="str">
        <f>_xlfn.XLOOKUP($A5668,Load!$B:$B,Load!J:J,0,)</f>
        <v>Seasonal Graphics (Like Bat, Ghost, Pumpkin, Fall Leaves, Eyeballs, etc.)</v>
      </c>
      <c r="J5668" t="str">
        <f>_xlfn.XLOOKUP($A5668,Load!$B:$B,Load!K:K,0,)</f>
        <v xml:space="preserve">Variety Candy Sizes </v>
      </c>
      <c r="K5668" t="str">
        <f>_xlfn.XLOOKUP($A5668,Load!$B:$B,Load!L:L,0,)</f>
        <v>Regular/Original Wrapping</v>
      </c>
      <c r="L5668" t="str">
        <f>_xlfn.XLOOKUP($A5668,Load!$B:$B,Load!M:M,0,)</f>
        <v>Multiple Brands / Variety Flavors or Form</v>
      </c>
    </row>
    <row r="5669" spans="1:12" x14ac:dyDescent="0.25">
      <c r="B5669">
        <f>_xlfn.XLOOKUP($A5669,Load!$B:$B,Load!C:C,0,)</f>
        <v>0</v>
      </c>
      <c r="C5669">
        <f>_xlfn.XLOOKUP($A5669,Load!$B:$B,Load!D:D,0,)</f>
        <v>0</v>
      </c>
      <c r="D5669">
        <f>_xlfn.XLOOKUP($A5669,Load!$B:$B,Load!E:E,0,)</f>
        <v>0</v>
      </c>
      <c r="E5669">
        <f>_xlfn.XLOOKUP($A5669,Load!$B:$B,Load!F:F,0,)</f>
        <v>0</v>
      </c>
      <c r="F5669">
        <f>_xlfn.XLOOKUP($A5669,Load!$B:$B,Load!G:G,0,)</f>
        <v>0</v>
      </c>
      <c r="G5669">
        <f>_xlfn.XLOOKUP($A5669,Load!$B:$B,Load!H:H,0,)</f>
        <v>0</v>
      </c>
      <c r="H5669">
        <f>_xlfn.XLOOKUP($A5669,Load!$B:$B,Load!I:I,0,)</f>
        <v>0</v>
      </c>
      <c r="I5669">
        <f>_xlfn.XLOOKUP($A5669,Load!$B:$B,Load!J:J,0,)</f>
        <v>0</v>
      </c>
      <c r="J5669">
        <f>_xlfn.XLOOKUP($A5669,Load!$B:$B,Load!K:K,0,)</f>
        <v>0</v>
      </c>
      <c r="K5669">
        <f>_xlfn.XLOOKUP($A5669,Load!$B:$B,Load!L:L,0,)</f>
        <v>0</v>
      </c>
      <c r="L5669">
        <f>_xlfn.XLOOKUP($A5669,Load!$B:$B,Load!M:M,0,)</f>
        <v>0</v>
      </c>
    </row>
    <row r="5670" spans="1:12" x14ac:dyDescent="0.25">
      <c r="A5670" t="s">
        <v>100</v>
      </c>
      <c r="B5670" t="str">
        <f>_xlfn.XLOOKUP($A5670,Load!$B:$B,Load!C:C,0,)</f>
        <v>Flix</v>
      </c>
      <c r="C5670" t="str">
        <f>_xlfn.XLOOKUP($A5670,Load!$B:$B,Load!D:D,0,)</f>
        <v>Non-Chocolate Candy Only</v>
      </c>
      <c r="D5670" t="str">
        <f>_xlfn.XLOOKUP($A5670,Load!$B:$B,Load!E:E,0,)</f>
        <v>Berry Based (Raspberry, Strawberry, Medley, etc.)</v>
      </c>
      <c r="E5670" t="str">
        <f>_xlfn.XLOOKUP($A5670,Load!$B:$B,Load!F:F,0,)</f>
        <v>Gummy</v>
      </c>
      <c r="F5670" t="str">
        <f>_xlfn.XLOOKUP($A5670,Load!$B:$B,Load!G:G,0,)</f>
        <v>Small Multipack (Less than 40 ct)</v>
      </c>
      <c r="G5670" t="str">
        <f>_xlfn.XLOOKUP($A5670,Load!$B:$B,Load!H:H,0,)</f>
        <v>Box (theatre box, gift box, carton)</v>
      </c>
      <c r="H5670" t="str">
        <f>_xlfn.XLOOKUP($A5670,Load!$B:$B,Load!I:I,0,)</f>
        <v>Seasonal Shapes (like pumpkins, candy corn, ghost, bats, etc.)</v>
      </c>
      <c r="I5670" t="str">
        <f>_xlfn.XLOOKUP($A5670,Load!$B:$B,Load!J:J,0,)</f>
        <v>Seasonal Graphics (Like Bat, Ghost, Pumpkin, Fall Leaves, Eyeballs, etc.)</v>
      </c>
      <c r="J5670" t="str">
        <f>_xlfn.XLOOKUP($A5670,Load!$B:$B,Load!K:K,0,)</f>
        <v xml:space="preserve">Variety Candy Sizes </v>
      </c>
      <c r="K5670" t="str">
        <f>_xlfn.XLOOKUP($A5670,Load!$B:$B,Load!L:L,0,)</f>
        <v>Unwrapped</v>
      </c>
      <c r="L5670" t="str">
        <f>_xlfn.XLOOKUP($A5670,Load!$B:$B,Load!M:M,0,)</f>
        <v>Single Brand / Variety Flavors or Form</v>
      </c>
    </row>
    <row r="5671" spans="1:12" x14ac:dyDescent="0.25">
      <c r="A5671" t="s">
        <v>228</v>
      </c>
      <c r="B5671" t="str">
        <f>_xlfn.XLOOKUP($A5671,Load!$B:$B,Load!C:C,0,)</f>
        <v>Nerds</v>
      </c>
      <c r="C5671" t="str">
        <f>_xlfn.XLOOKUP($A5671,Load!$B:$B,Load!D:D,0,)</f>
        <v>Non-Chocolate Candy Only</v>
      </c>
      <c r="D5671" t="str">
        <f>_xlfn.XLOOKUP($A5671,Load!$B:$B,Load!E:E,0,)</f>
        <v>Berry Based (Raspberry, Strawberry, Medley, etc.)</v>
      </c>
      <c r="E5671" t="str">
        <f>_xlfn.XLOOKUP($A5671,Load!$B:$B,Load!F:F,0,)</f>
        <v>Hard Candy</v>
      </c>
      <c r="F5671" t="str">
        <f>_xlfn.XLOOKUP($A5671,Load!$B:$B,Load!G:G,0,)</f>
        <v>Single Pack</v>
      </c>
      <c r="G5671" t="str">
        <f>_xlfn.XLOOKUP($A5671,Load!$B:$B,Load!H:H,0,)</f>
        <v>Laydown Bag</v>
      </c>
      <c r="H5671" t="str">
        <f>_xlfn.XLOOKUP($A5671,Load!$B:$B,Load!I:I,0,)</f>
        <v>Everyday Candy Shapes (like Original, Gummy bear, Fruit, Jewels, etc.)</v>
      </c>
      <c r="I5671" t="str">
        <f>_xlfn.XLOOKUP($A5671,Load!$B:$B,Load!J:J,0,)</f>
        <v>Seasonal Graphics (Like Bat, Ghost, Pumpkin, Fall Leaves, Eyeballs, etc.)</v>
      </c>
      <c r="J5671" t="str">
        <f>_xlfn.XLOOKUP($A5671,Load!$B:$B,Load!K:K,0,)</f>
        <v>Small Pieces (Tiny bite size candies)</v>
      </c>
      <c r="K5671" t="str">
        <f>_xlfn.XLOOKUP($A5671,Load!$B:$B,Load!L:L,0,)</f>
        <v>Unwrapped</v>
      </c>
      <c r="L5671" t="str">
        <f>_xlfn.XLOOKUP($A5671,Load!$B:$B,Load!M:M,0,)</f>
        <v>Single Brand / Variety Flavors or Form</v>
      </c>
    </row>
    <row r="5672" spans="1:12" x14ac:dyDescent="0.25">
      <c r="A5672" t="s">
        <v>181</v>
      </c>
      <c r="B5672" t="str">
        <f>_xlfn.XLOOKUP($A5672,Load!$B:$B,Load!C:C,0,)</f>
        <v>Mars Variety Pack</v>
      </c>
      <c r="C5672" t="str">
        <f>_xlfn.XLOOKUP($A5672,Load!$B:$B,Load!D:D,0,)</f>
        <v>Mix of Chocolate and Non-Chocolate Candy</v>
      </c>
      <c r="D5672" t="str">
        <f>_xlfn.XLOOKUP($A5672,Load!$B:$B,Load!E:E,0,)</f>
        <v>Variety / Mixed Flavors (Fruity, Sour, Seasonal Flavors)</v>
      </c>
      <c r="E5672" t="str">
        <f>_xlfn.XLOOKUP($A5672,Load!$B:$B,Load!F:F,0,)</f>
        <v>Mixed / Combo Packs (Gummy, Chewy, Taffy, etc.)</v>
      </c>
      <c r="F5672" t="str">
        <f>_xlfn.XLOOKUP($A5672,Load!$B:$B,Load!G:G,0,)</f>
        <v>Large Multipack (More than 80 ct)</v>
      </c>
      <c r="G5672" t="str">
        <f>_xlfn.XLOOKUP($A5672,Load!$B:$B,Load!H:H,0,)</f>
        <v>Stand-Up Bag</v>
      </c>
      <c r="H5672" t="str">
        <f>_xlfn.XLOOKUP($A5672,Load!$B:$B,Load!I:I,0,)</f>
        <v>Everyday Candy Shapes (like Original, Gummy bear, Fruit, Jewels, etc.)</v>
      </c>
      <c r="I5672" t="str">
        <f>_xlfn.XLOOKUP($A5672,Load!$B:$B,Load!J:J,0,)</f>
        <v>Seasonal Graphics (Like Bat, Ghost, Pumpkin, Fall Leaves, Eyeballs, etc.)</v>
      </c>
      <c r="J5672" t="str">
        <f>_xlfn.XLOOKUP($A5672,Load!$B:$B,Load!K:K,0,)</f>
        <v>Fun Size / Treat Size</v>
      </c>
      <c r="K5672" t="str">
        <f>_xlfn.XLOOKUP($A5672,Load!$B:$B,Load!L:L,0,)</f>
        <v>Regular/Original Wrapping</v>
      </c>
      <c r="L5672" t="str">
        <f>_xlfn.XLOOKUP($A5672,Load!$B:$B,Load!M:M,0,)</f>
        <v>Multiple Brands / Variety Flavors or Form</v>
      </c>
    </row>
    <row r="5673" spans="1:12" x14ac:dyDescent="0.25">
      <c r="A5673" t="s">
        <v>174</v>
      </c>
      <c r="B5673" t="str">
        <f>_xlfn.XLOOKUP($A5673,Load!$B:$B,Load!C:C,0,)</f>
        <v>Mars Variety Pack</v>
      </c>
      <c r="C5673" t="str">
        <f>_xlfn.XLOOKUP($A5673,Load!$B:$B,Load!D:D,0,)</f>
        <v>Non-Chocolate Candy Only</v>
      </c>
      <c r="D5673" t="str">
        <f>_xlfn.XLOOKUP($A5673,Load!$B:$B,Load!E:E,0,)</f>
        <v>Variety / Mixed Flavors (Fruity, Sour, Seasonal Flavors)</v>
      </c>
      <c r="E5673" t="str">
        <f>_xlfn.XLOOKUP($A5673,Load!$B:$B,Load!F:F,0,)</f>
        <v>Mixed / Combo Packs (Gummy, Chewy, Taffy, etc.)</v>
      </c>
      <c r="F5673" t="str">
        <f>_xlfn.XLOOKUP($A5673,Load!$B:$B,Load!G:G,0,)</f>
        <v>Medium Multipack (40–80 ct)</v>
      </c>
      <c r="G5673" t="str">
        <f>_xlfn.XLOOKUP($A5673,Load!$B:$B,Load!H:H,0,)</f>
        <v>Stand-Up Bag</v>
      </c>
      <c r="H5673" t="str">
        <f>_xlfn.XLOOKUP($A5673,Load!$B:$B,Load!I:I,0,)</f>
        <v>Everyday Candy Shapes (like Original, Gummy bear, Fruit, Jewels, etc.)</v>
      </c>
      <c r="I5673" t="str">
        <f>_xlfn.XLOOKUP($A5673,Load!$B:$B,Load!J:J,0,)</f>
        <v>Seasonal Graphics (Like Bat, Ghost, Pumpkin, Fall Leaves, Eyeballs, etc.)</v>
      </c>
      <c r="J5673" t="str">
        <f>_xlfn.XLOOKUP($A5673,Load!$B:$B,Load!K:K,0,)</f>
        <v>Fun Size / Treat Size</v>
      </c>
      <c r="K5673" t="str">
        <f>_xlfn.XLOOKUP($A5673,Load!$B:$B,Load!L:L,0,)</f>
        <v>Regular/Original Wrapping</v>
      </c>
      <c r="L5673" t="str">
        <f>_xlfn.XLOOKUP($A5673,Load!$B:$B,Load!M:M,0,)</f>
        <v>Multiple Brands / Variety Flavors or Form</v>
      </c>
    </row>
    <row r="5674" spans="1:12" x14ac:dyDescent="0.25">
      <c r="A5674" t="s">
        <v>191</v>
      </c>
      <c r="B5674" t="str">
        <f>_xlfn.XLOOKUP($A5674,Load!$B:$B,Load!C:C,0,)</f>
        <v>Mars Variety Pack</v>
      </c>
      <c r="C5674" t="str">
        <f>_xlfn.XLOOKUP($A5674,Load!$B:$B,Load!D:D,0,)</f>
        <v>Mix of Chocolate and Non-Chocolate Candy</v>
      </c>
      <c r="D5674" t="str">
        <f>_xlfn.XLOOKUP($A5674,Load!$B:$B,Load!E:E,0,)</f>
        <v>Variety / Mixed Flavors (Fruity, Sour, Seasonal Flavors)</v>
      </c>
      <c r="E5674" t="str">
        <f>_xlfn.XLOOKUP($A5674,Load!$B:$B,Load!F:F,0,)</f>
        <v>Mixed / Combo Packs (Gummy, Chewy, Taffy, etc.)</v>
      </c>
      <c r="F5674" t="str">
        <f>_xlfn.XLOOKUP($A5674,Load!$B:$B,Load!G:G,0,)</f>
        <v>Medium Multipack (40–80 ct)</v>
      </c>
      <c r="G5674" t="str">
        <f>_xlfn.XLOOKUP($A5674,Load!$B:$B,Load!H:H,0,)</f>
        <v>Stand-Up Bag</v>
      </c>
      <c r="H5674" t="str">
        <f>_xlfn.XLOOKUP($A5674,Load!$B:$B,Load!I:I,0,)</f>
        <v>Everyday Candy Shapes (like Original, Gummy bear, Fruit, Jewels, etc.)</v>
      </c>
      <c r="I5674" t="str">
        <f>_xlfn.XLOOKUP($A5674,Load!$B:$B,Load!J:J,0,)</f>
        <v>Seasonal Graphics (Like Bat, Ghost, Pumpkin, Fall Leaves, Eyeballs, etc.)</v>
      </c>
      <c r="J5674" t="str">
        <f>_xlfn.XLOOKUP($A5674,Load!$B:$B,Load!K:K,0,)</f>
        <v xml:space="preserve">Variety Candy Sizes </v>
      </c>
      <c r="K5674" t="str">
        <f>_xlfn.XLOOKUP($A5674,Load!$B:$B,Load!L:L,0,)</f>
        <v>Regular/Original Wrapping</v>
      </c>
      <c r="L5674" t="str">
        <f>_xlfn.XLOOKUP($A5674,Load!$B:$B,Load!M:M,0,)</f>
        <v>Multiple Brands / Variety Flavors or Form</v>
      </c>
    </row>
    <row r="5675" spans="1:12" x14ac:dyDescent="0.25">
      <c r="B5675">
        <f>_xlfn.XLOOKUP($A5675,Load!$B:$B,Load!C:C,0,)</f>
        <v>0</v>
      </c>
      <c r="C5675">
        <f>_xlfn.XLOOKUP($A5675,Load!$B:$B,Load!D:D,0,)</f>
        <v>0</v>
      </c>
      <c r="D5675">
        <f>_xlfn.XLOOKUP($A5675,Load!$B:$B,Load!E:E,0,)</f>
        <v>0</v>
      </c>
      <c r="E5675">
        <f>_xlfn.XLOOKUP($A5675,Load!$B:$B,Load!F:F,0,)</f>
        <v>0</v>
      </c>
      <c r="F5675">
        <f>_xlfn.XLOOKUP($A5675,Load!$B:$B,Load!G:G,0,)</f>
        <v>0</v>
      </c>
      <c r="G5675">
        <f>_xlfn.XLOOKUP($A5675,Load!$B:$B,Load!H:H,0,)</f>
        <v>0</v>
      </c>
      <c r="H5675">
        <f>_xlfn.XLOOKUP($A5675,Load!$B:$B,Load!I:I,0,)</f>
        <v>0</v>
      </c>
      <c r="I5675">
        <f>_xlfn.XLOOKUP($A5675,Load!$B:$B,Load!J:J,0,)</f>
        <v>0</v>
      </c>
      <c r="J5675">
        <f>_xlfn.XLOOKUP($A5675,Load!$B:$B,Load!K:K,0,)</f>
        <v>0</v>
      </c>
      <c r="K5675">
        <f>_xlfn.XLOOKUP($A5675,Load!$B:$B,Load!L:L,0,)</f>
        <v>0</v>
      </c>
      <c r="L5675">
        <f>_xlfn.XLOOKUP($A5675,Load!$B:$B,Load!M:M,0,)</f>
        <v>0</v>
      </c>
    </row>
    <row r="5676" spans="1:12" x14ac:dyDescent="0.25">
      <c r="A5676" t="s">
        <v>125</v>
      </c>
      <c r="B5676" t="str">
        <f>_xlfn.XLOOKUP($A5676,Load!$B:$B,Load!C:C,0,)</f>
        <v>HARIBO</v>
      </c>
      <c r="C5676" t="str">
        <f>_xlfn.XLOOKUP($A5676,Load!$B:$B,Load!D:D,0,)</f>
        <v>Non-Chocolate Candy Only</v>
      </c>
      <c r="D5676" t="str">
        <f>_xlfn.XLOOKUP($A5676,Load!$B:$B,Load!E:E,0,)</f>
        <v>Berry Based (Raspberry, Strawberry, Medley, etc.)</v>
      </c>
      <c r="E5676" t="str">
        <f>_xlfn.XLOOKUP($A5676,Load!$B:$B,Load!F:F,0,)</f>
        <v>Gummy</v>
      </c>
      <c r="F5676" t="str">
        <f>_xlfn.XLOOKUP($A5676,Load!$B:$B,Load!G:G,0,)</f>
        <v>Small Multipack (Less than 40 ct)</v>
      </c>
      <c r="G5676" t="str">
        <f>_xlfn.XLOOKUP($A5676,Load!$B:$B,Load!H:H,0,)</f>
        <v>Laydown Bag</v>
      </c>
      <c r="H5676" t="str">
        <f>_xlfn.XLOOKUP($A5676,Load!$B:$B,Load!I:I,0,)</f>
        <v>Everyday Candy Shapes (like Original, Gummy bear, Fruit, Jewels, etc.)</v>
      </c>
      <c r="I5676" t="str">
        <f>_xlfn.XLOOKUP($A5676,Load!$B:$B,Load!J:J,0,)</f>
        <v>Everyday Graphics</v>
      </c>
      <c r="J5676" t="str">
        <f>_xlfn.XLOOKUP($A5676,Load!$B:$B,Load!K:K,0,)</f>
        <v>Small Pieces (Tiny bite size candies)</v>
      </c>
      <c r="K5676" t="str">
        <f>_xlfn.XLOOKUP($A5676,Load!$B:$B,Load!L:L,0,)</f>
        <v>Regular/Original Wrapping</v>
      </c>
      <c r="L5676" t="str">
        <f>_xlfn.XLOOKUP($A5676,Load!$B:$B,Load!M:M,0,)</f>
        <v>Single Brand / Variety Flavors or Form</v>
      </c>
    </row>
    <row r="5677" spans="1:12" x14ac:dyDescent="0.25">
      <c r="B5677">
        <f>_xlfn.XLOOKUP($A5677,Load!$B:$B,Load!C:C,0,)</f>
        <v>0</v>
      </c>
      <c r="C5677">
        <f>_xlfn.XLOOKUP($A5677,Load!$B:$B,Load!D:D,0,)</f>
        <v>0</v>
      </c>
      <c r="D5677">
        <f>_xlfn.XLOOKUP($A5677,Load!$B:$B,Load!E:E,0,)</f>
        <v>0</v>
      </c>
      <c r="E5677">
        <f>_xlfn.XLOOKUP($A5677,Load!$B:$B,Load!F:F,0,)</f>
        <v>0</v>
      </c>
      <c r="F5677">
        <f>_xlfn.XLOOKUP($A5677,Load!$B:$B,Load!G:G,0,)</f>
        <v>0</v>
      </c>
      <c r="G5677">
        <f>_xlfn.XLOOKUP($A5677,Load!$B:$B,Load!H:H,0,)</f>
        <v>0</v>
      </c>
      <c r="H5677">
        <f>_xlfn.XLOOKUP($A5677,Load!$B:$B,Load!I:I,0,)</f>
        <v>0</v>
      </c>
      <c r="I5677">
        <f>_xlfn.XLOOKUP($A5677,Load!$B:$B,Load!J:J,0,)</f>
        <v>0</v>
      </c>
      <c r="J5677">
        <f>_xlfn.XLOOKUP($A5677,Load!$B:$B,Load!K:K,0,)</f>
        <v>0</v>
      </c>
      <c r="K5677">
        <f>_xlfn.XLOOKUP($A5677,Load!$B:$B,Load!L:L,0,)</f>
        <v>0</v>
      </c>
      <c r="L5677">
        <f>_xlfn.XLOOKUP($A5677,Load!$B:$B,Load!M:M,0,)</f>
        <v>0</v>
      </c>
    </row>
    <row r="5678" spans="1:12" x14ac:dyDescent="0.25">
      <c r="A5678" t="s">
        <v>305</v>
      </c>
      <c r="B5678" t="str">
        <f>_xlfn.XLOOKUP($A5678,Load!$B:$B,Load!C:C,0,)</f>
        <v>Werther's Original</v>
      </c>
      <c r="C5678" t="str">
        <f>_xlfn.XLOOKUP($A5678,Load!$B:$B,Load!D:D,0,)</f>
        <v>Non-Chocolate Candy Only</v>
      </c>
      <c r="D5678" t="str">
        <f>_xlfn.XLOOKUP($A5678,Load!$B:$B,Load!E:E,0,)</f>
        <v>Fall / Seasonal Flavors (pumpkin spice, caramel apple, candy corn)</v>
      </c>
      <c r="E5678" t="str">
        <f>_xlfn.XLOOKUP($A5678,Load!$B:$B,Load!F:F,0,)</f>
        <v>Chewy</v>
      </c>
      <c r="F5678" t="str">
        <f>_xlfn.XLOOKUP($A5678,Load!$B:$B,Load!G:G,0,)</f>
        <v>Single Pack</v>
      </c>
      <c r="G5678" t="str">
        <f>_xlfn.XLOOKUP($A5678,Load!$B:$B,Load!H:H,0,)</f>
        <v>Stand-Up Bag</v>
      </c>
      <c r="H5678" t="str">
        <f>_xlfn.XLOOKUP($A5678,Load!$B:$B,Load!I:I,0,)</f>
        <v>Everyday Candy Shapes (like Original, Gummy bear, Fruit, Jewels, etc.)</v>
      </c>
      <c r="I5678" t="str">
        <f>_xlfn.XLOOKUP($A5678,Load!$B:$B,Load!J:J,0,)</f>
        <v>Seasonal Graphics (Like Bat, Ghost, Pumpkin, Fall Leaves, Eyeballs, etc.)</v>
      </c>
      <c r="J5678" t="str">
        <f>_xlfn.XLOOKUP($A5678,Load!$B:$B,Load!K:K,0,)</f>
        <v>Fun Size / Treat Size</v>
      </c>
      <c r="K5678" t="str">
        <f>_xlfn.XLOOKUP($A5678,Load!$B:$B,Load!L:L,0,)</f>
        <v>Regular/Original Wrapping</v>
      </c>
      <c r="L5678" t="str">
        <f>_xlfn.XLOOKUP($A5678,Load!$B:$B,Load!M:M,0,)</f>
        <v>Single Brand / Single Flavor or Form</v>
      </c>
    </row>
    <row r="5679" spans="1:12" x14ac:dyDescent="0.25">
      <c r="A5679" t="s">
        <v>470</v>
      </c>
      <c r="B5679" t="str">
        <f>_xlfn.XLOOKUP($A5679,Load!$B:$B,Load!C:C,0,)</f>
        <v>Zachary</v>
      </c>
      <c r="C5679" t="str">
        <f>_xlfn.XLOOKUP($A5679,Load!$B:$B,Load!D:D,0,)</f>
        <v>Non-Chocolate Candy Only</v>
      </c>
      <c r="D5679" t="str">
        <f>_xlfn.XLOOKUP($A5679,Load!$B:$B,Load!E:E,0,)</f>
        <v>Fall / Seasonal Flavors (pumpkin spice, caramel apple, candy corn)</v>
      </c>
      <c r="E5679" t="str">
        <f>_xlfn.XLOOKUP($A5679,Load!$B:$B,Load!F:F,0,)</f>
        <v>Candy Pieces / Bites</v>
      </c>
      <c r="F5679" t="str">
        <f>_xlfn.XLOOKUP($A5679,Load!$B:$B,Load!G:G,0,)</f>
        <v>Single Pack</v>
      </c>
      <c r="G5679" t="str">
        <f>_xlfn.XLOOKUP($A5679,Load!$B:$B,Load!H:H,0,)</f>
        <v>Laydown Bag</v>
      </c>
      <c r="H5679" t="str">
        <f>_xlfn.XLOOKUP($A5679,Load!$B:$B,Load!I:I,0,)</f>
        <v>Seasonal Shapes (like pumpkins, candy corn, ghost, bats, etc.)</v>
      </c>
      <c r="I5679" t="str">
        <f>_xlfn.XLOOKUP($A5679,Load!$B:$B,Load!J:J,0,)</f>
        <v>Seasonal Graphics (Like Bat, Ghost, Pumpkin, Fall Leaves, Eyeballs, etc.)</v>
      </c>
      <c r="J5679" t="str">
        <f>_xlfn.XLOOKUP($A5679,Load!$B:$B,Load!K:K,0,)</f>
        <v>Small Pieces (Tiny bite size candies)</v>
      </c>
      <c r="K5679" t="str">
        <f>_xlfn.XLOOKUP($A5679,Load!$B:$B,Load!L:L,0,)</f>
        <v>Unwrapped</v>
      </c>
      <c r="L5679" t="str">
        <f>_xlfn.XLOOKUP($A5679,Load!$B:$B,Load!M:M,0,)</f>
        <v>Single Brand / Single Flavor or Form</v>
      </c>
    </row>
    <row r="5680" spans="1:12" x14ac:dyDescent="0.25">
      <c r="A5680" t="s">
        <v>67</v>
      </c>
      <c r="B5680" t="str">
        <f>_xlfn.XLOOKUP($A5680,Load!$B:$B,Load!C:C,0,)</f>
        <v>Dum Dums</v>
      </c>
      <c r="C5680" t="str">
        <f>_xlfn.XLOOKUP($A5680,Load!$B:$B,Load!D:D,0,)</f>
        <v>Non-Chocolate Candy Only</v>
      </c>
      <c r="D5680" t="str">
        <f>_xlfn.XLOOKUP($A5680,Load!$B:$B,Load!E:E,0,)</f>
        <v>Variety / Mixed Flavors (Fruity, Sour, Seasonal Flavors)</v>
      </c>
      <c r="E5680" t="str">
        <f>_xlfn.XLOOKUP($A5680,Load!$B:$B,Load!F:F,0,)</f>
        <v>Lollipop (regular or lollipop rings)</v>
      </c>
      <c r="F5680" t="str">
        <f>_xlfn.XLOOKUP($A5680,Load!$B:$B,Load!G:G,0,)</f>
        <v>Single Pack</v>
      </c>
      <c r="G5680" t="str">
        <f>_xlfn.XLOOKUP($A5680,Load!$B:$B,Load!H:H,0,)</f>
        <v>Laydown Bag</v>
      </c>
      <c r="H5680" t="str">
        <f>_xlfn.XLOOKUP($A5680,Load!$B:$B,Load!I:I,0,)</f>
        <v>Everyday Candy Shapes (like Original, Gummy bear, Fruit, Jewels, etc.)</v>
      </c>
      <c r="I5680" t="str">
        <f>_xlfn.XLOOKUP($A5680,Load!$B:$B,Load!J:J,0,)</f>
        <v>Seasonal Graphics (Like Bat, Ghost, Pumpkin, Fall Leaves, Eyeballs, etc.)</v>
      </c>
      <c r="J5680" t="str">
        <f>_xlfn.XLOOKUP($A5680,Load!$B:$B,Load!K:K,0,)</f>
        <v>Regular Lollipop size (on sticks or rings)</v>
      </c>
      <c r="K5680" t="str">
        <f>_xlfn.XLOOKUP($A5680,Load!$B:$B,Load!L:L,0,)</f>
        <v>Regular/Original Wrapping</v>
      </c>
      <c r="L5680" t="str">
        <f>_xlfn.XLOOKUP($A5680,Load!$B:$B,Load!M:M,0,)</f>
        <v>Single Brand / Variety Flavors or Form</v>
      </c>
    </row>
    <row r="5681" spans="1:12" x14ac:dyDescent="0.25">
      <c r="A5681" t="s">
        <v>246</v>
      </c>
      <c r="B5681" t="str">
        <f>_xlfn.XLOOKUP($A5681,Load!$B:$B,Load!C:C,0,)</f>
        <v>Ring Pop</v>
      </c>
      <c r="C5681" t="str">
        <f>_xlfn.XLOOKUP($A5681,Load!$B:$B,Load!D:D,0,)</f>
        <v>Non-Chocolate Candy Only</v>
      </c>
      <c r="D5681" t="str">
        <f>_xlfn.XLOOKUP($A5681,Load!$B:$B,Load!E:E,0,)</f>
        <v>Variety / Mixed Flavors (Fruity, Sour, Seasonal Flavors)</v>
      </c>
      <c r="E5681" t="str">
        <f>_xlfn.XLOOKUP($A5681,Load!$B:$B,Load!F:F,0,)</f>
        <v>Lollipop (regular or lollipop rings)</v>
      </c>
      <c r="F5681" t="str">
        <f>_xlfn.XLOOKUP($A5681,Load!$B:$B,Load!G:G,0,)</f>
        <v>Single Pack</v>
      </c>
      <c r="G5681" t="str">
        <f>_xlfn.XLOOKUP($A5681,Load!$B:$B,Load!H:H,0,)</f>
        <v>Laydown Bag</v>
      </c>
      <c r="H5681" t="str">
        <f>_xlfn.XLOOKUP($A5681,Load!$B:$B,Load!I:I,0,)</f>
        <v>Everyday Candy Shapes (like Original, Gummy bear, Fruit, Jewels, etc.)</v>
      </c>
      <c r="I5681" t="str">
        <f>_xlfn.XLOOKUP($A5681,Load!$B:$B,Load!J:J,0,)</f>
        <v>Seasonal Graphics (Like Bat, Ghost, Pumpkin, Fall Leaves, Eyeballs, etc.)</v>
      </c>
      <c r="J5681" t="str">
        <f>_xlfn.XLOOKUP($A5681,Load!$B:$B,Load!K:K,0,)</f>
        <v>Regular Lollipop size (on sticks or rings)</v>
      </c>
      <c r="K5681" t="str">
        <f>_xlfn.XLOOKUP($A5681,Load!$B:$B,Load!L:L,0,)</f>
        <v>Regular/Original Wrapping</v>
      </c>
      <c r="L5681" t="str">
        <f>_xlfn.XLOOKUP($A5681,Load!$B:$B,Load!M:M,0,)</f>
        <v>Single Brand / Variety Flavors or Form</v>
      </c>
    </row>
    <row r="5682" spans="1:12" x14ac:dyDescent="0.25">
      <c r="A5682" t="s">
        <v>18</v>
      </c>
      <c r="B5682" t="str">
        <f>_xlfn.XLOOKUP($A5682,Load!$B:$B,Load!C:C,0,)</f>
        <v>Airheads</v>
      </c>
      <c r="C5682" t="str">
        <f>_xlfn.XLOOKUP($A5682,Load!$B:$B,Load!D:D,0,)</f>
        <v>Non-Chocolate Candy Only</v>
      </c>
      <c r="D5682" t="str">
        <f>_xlfn.XLOOKUP($A5682,Load!$B:$B,Load!E:E,0,)</f>
        <v>Sour</v>
      </c>
      <c r="E5682" t="str">
        <f>_xlfn.XLOOKUP($A5682,Load!$B:$B,Load!F:F,0,)</f>
        <v>Chewy</v>
      </c>
      <c r="F5682" t="str">
        <f>_xlfn.XLOOKUP($A5682,Load!$B:$B,Load!G:G,0,)</f>
        <v>Small Multipack (Less than 40 ct)</v>
      </c>
      <c r="G5682" t="str">
        <f>_xlfn.XLOOKUP($A5682,Load!$B:$B,Load!H:H,0,)</f>
        <v>Laydown Bag</v>
      </c>
      <c r="H5682" t="str">
        <f>_xlfn.XLOOKUP($A5682,Load!$B:$B,Load!I:I,0,)</f>
        <v>Everyday Candy Shapes (like Original, Gummy bear, Fruit, Jewels, etc.)</v>
      </c>
      <c r="I5682" t="str">
        <f>_xlfn.XLOOKUP($A5682,Load!$B:$B,Load!J:J,0,)</f>
        <v>Everyday Graphics</v>
      </c>
      <c r="J5682" t="str">
        <f>_xlfn.XLOOKUP($A5682,Load!$B:$B,Load!K:K,0,)</f>
        <v>Fun Size / Treat Size</v>
      </c>
      <c r="K5682" t="str">
        <f>_xlfn.XLOOKUP($A5682,Load!$B:$B,Load!L:L,0,)</f>
        <v>Regular/Original Wrapping</v>
      </c>
      <c r="L5682" t="str">
        <f>_xlfn.XLOOKUP($A5682,Load!$B:$B,Load!M:M,0,)</f>
        <v>Single Brand / Variety Flavors or Form</v>
      </c>
    </row>
    <row r="5683" spans="1:12" x14ac:dyDescent="0.25">
      <c r="A5683" t="s">
        <v>10</v>
      </c>
      <c r="B5683" t="str">
        <f>_xlfn.XLOOKUP($A5683,Load!$B:$B,Load!C:C,0,)</f>
        <v>Airheads</v>
      </c>
      <c r="C5683" t="str">
        <f>_xlfn.XLOOKUP($A5683,Load!$B:$B,Load!D:D,0,)</f>
        <v>Non-Chocolate Candy Only</v>
      </c>
      <c r="D5683" t="str">
        <f>_xlfn.XLOOKUP($A5683,Load!$B:$B,Load!E:E,0,)</f>
        <v>Fruit Flavor (Cherry, Grape, Apple, Citrus, Tropical Fruit)</v>
      </c>
      <c r="E5683" t="str">
        <f>_xlfn.XLOOKUP($A5683,Load!$B:$B,Load!F:F,0,)</f>
        <v>Chewy</v>
      </c>
      <c r="F5683" t="str">
        <f>_xlfn.XLOOKUP($A5683,Load!$B:$B,Load!G:G,0,)</f>
        <v>Small Multipack (Less than 40 ct)</v>
      </c>
      <c r="G5683" t="str">
        <f>_xlfn.XLOOKUP($A5683,Load!$B:$B,Load!H:H,0,)</f>
        <v>Laydown Bag</v>
      </c>
      <c r="H5683" t="str">
        <f>_xlfn.XLOOKUP($A5683,Load!$B:$B,Load!I:I,0,)</f>
        <v>Everyday Candy Shapes (like Original, Gummy bear, Fruit, Jewels, etc.)</v>
      </c>
      <c r="I5683" t="str">
        <f>_xlfn.XLOOKUP($A5683,Load!$B:$B,Load!J:J,0,)</f>
        <v>Everyday Graphics</v>
      </c>
      <c r="J5683" t="str">
        <f>_xlfn.XLOOKUP($A5683,Load!$B:$B,Load!K:K,0,)</f>
        <v>Fun Size / Treat Size</v>
      </c>
      <c r="K5683" t="str">
        <f>_xlfn.XLOOKUP($A5683,Load!$B:$B,Load!L:L,0,)</f>
        <v>Regular/Original Wrapping</v>
      </c>
      <c r="L5683" t="str">
        <f>_xlfn.XLOOKUP($A5683,Load!$B:$B,Load!M:M,0,)</f>
        <v>Single Brand / Variety Flavors or Form</v>
      </c>
    </row>
    <row r="5684" spans="1:12" x14ac:dyDescent="0.25">
      <c r="A5684" t="s">
        <v>249</v>
      </c>
      <c r="B5684" t="str">
        <f>_xlfn.XLOOKUP($A5684,Load!$B:$B,Load!C:C,0,)</f>
        <v>Rolling Pin</v>
      </c>
      <c r="C5684" t="str">
        <f>_xlfn.XLOOKUP($A5684,Load!$B:$B,Load!D:D,0,)</f>
        <v>Non-Chocolate Candy Only</v>
      </c>
      <c r="D5684" t="str">
        <f>_xlfn.XLOOKUP($A5684,Load!$B:$B,Load!E:E,0,)</f>
        <v>Fall / Seasonal Flavors (pumpkin spice, caramel apple, candy corn)</v>
      </c>
      <c r="E5684" t="str">
        <f>_xlfn.XLOOKUP($A5684,Load!$B:$B,Load!F:F,0,)</f>
        <v>Candy Pieces / Bites</v>
      </c>
      <c r="F5684" t="str">
        <f>_xlfn.XLOOKUP($A5684,Load!$B:$B,Load!G:G,0,)</f>
        <v>Small Multipack (Less than 40 ct)</v>
      </c>
      <c r="G5684" t="str">
        <f>_xlfn.XLOOKUP($A5684,Load!$B:$B,Load!H:H,0,)</f>
        <v>Stand-Up Bag</v>
      </c>
      <c r="H5684" t="str">
        <f>_xlfn.XLOOKUP($A5684,Load!$B:$B,Load!I:I,0,)</f>
        <v>Seasonal Shapes (like pumpkins, candy corn, ghost, bats, etc.)</v>
      </c>
      <c r="I5684" t="str">
        <f>_xlfn.XLOOKUP($A5684,Load!$B:$B,Load!J:J,0,)</f>
        <v>Seasonal Graphics (Like Bat, Ghost, Pumpkin, Fall Leaves, Eyeballs, etc.)</v>
      </c>
      <c r="J5684" t="str">
        <f>_xlfn.XLOOKUP($A5684,Load!$B:$B,Load!K:K,0,)</f>
        <v>Small Pieces (Tiny bite size candies)</v>
      </c>
      <c r="K5684" t="str">
        <f>_xlfn.XLOOKUP($A5684,Load!$B:$B,Load!L:L,0,)</f>
        <v>Unwrapped</v>
      </c>
      <c r="L5684" t="str">
        <f>_xlfn.XLOOKUP($A5684,Load!$B:$B,Load!M:M,0,)</f>
        <v>Single Brand / Single Flavor or Form</v>
      </c>
    </row>
    <row r="5685" spans="1:12" x14ac:dyDescent="0.25">
      <c r="B5685">
        <f>_xlfn.XLOOKUP($A5685,Load!$B:$B,Load!C:C,0,)</f>
        <v>0</v>
      </c>
      <c r="C5685">
        <f>_xlfn.XLOOKUP($A5685,Load!$B:$B,Load!D:D,0,)</f>
        <v>0</v>
      </c>
      <c r="D5685">
        <f>_xlfn.XLOOKUP($A5685,Load!$B:$B,Load!E:E,0,)</f>
        <v>0</v>
      </c>
      <c r="E5685">
        <f>_xlfn.XLOOKUP($A5685,Load!$B:$B,Load!F:F,0,)</f>
        <v>0</v>
      </c>
      <c r="F5685">
        <f>_xlfn.XLOOKUP($A5685,Load!$B:$B,Load!G:G,0,)</f>
        <v>0</v>
      </c>
      <c r="G5685">
        <f>_xlfn.XLOOKUP($A5685,Load!$B:$B,Load!H:H,0,)</f>
        <v>0</v>
      </c>
      <c r="H5685">
        <f>_xlfn.XLOOKUP($A5685,Load!$B:$B,Load!I:I,0,)</f>
        <v>0</v>
      </c>
      <c r="I5685">
        <f>_xlfn.XLOOKUP($A5685,Load!$B:$B,Load!J:J,0,)</f>
        <v>0</v>
      </c>
      <c r="J5685">
        <f>_xlfn.XLOOKUP($A5685,Load!$B:$B,Load!K:K,0,)</f>
        <v>0</v>
      </c>
      <c r="K5685">
        <f>_xlfn.XLOOKUP($A5685,Load!$B:$B,Load!L:L,0,)</f>
        <v>0</v>
      </c>
      <c r="L5685">
        <f>_xlfn.XLOOKUP($A5685,Load!$B:$B,Load!M:M,0,)</f>
        <v>0</v>
      </c>
    </row>
    <row r="5686" spans="1:12" x14ac:dyDescent="0.25">
      <c r="A5686" t="s">
        <v>106</v>
      </c>
      <c r="B5686" t="str">
        <f>_xlfn.XLOOKUP($A5686,Load!$B:$B,Load!C:C,0,)</f>
        <v>Frankford</v>
      </c>
      <c r="C5686" t="str">
        <f>_xlfn.XLOOKUP($A5686,Load!$B:$B,Load!D:D,0,)</f>
        <v>Non-Chocolate Candy Only</v>
      </c>
      <c r="D5686" t="str">
        <f>_xlfn.XLOOKUP($A5686,Load!$B:$B,Load!E:E,0,)</f>
        <v>Fruit Flavor (Cherry, Grape, Apple, Citrus, Tropical Fruit)</v>
      </c>
      <c r="E5686" t="str">
        <f>_xlfn.XLOOKUP($A5686,Load!$B:$B,Load!F:F,0,)</f>
        <v>Powder / Chalky</v>
      </c>
      <c r="F5686" t="str">
        <f>_xlfn.XLOOKUP($A5686,Load!$B:$B,Load!G:G,0,)</f>
        <v>Small Multipack (Less than 40 ct)</v>
      </c>
      <c r="G5686" t="str">
        <f>_xlfn.XLOOKUP($A5686,Load!$B:$B,Load!H:H,0,)</f>
        <v>Laydown Bag</v>
      </c>
      <c r="H5686" t="str">
        <f>_xlfn.XLOOKUP($A5686,Load!$B:$B,Load!I:I,0,)</f>
        <v>Everyday Candy Shapes (like Original, Gummy bear, Fruit, Jewels, etc.)</v>
      </c>
      <c r="I5686" t="str">
        <f>_xlfn.XLOOKUP($A5686,Load!$B:$B,Load!J:J,0,)</f>
        <v>Seasonal Graphics (Like Bat, Ghost, Pumpkin, Fall Leaves, Eyeballs, etc.)</v>
      </c>
      <c r="J5686" t="str">
        <f>_xlfn.XLOOKUP($A5686,Load!$B:$B,Load!K:K,0,)</f>
        <v>Fun Size / Treat Size</v>
      </c>
      <c r="K5686" t="str">
        <f>_xlfn.XLOOKUP($A5686,Load!$B:$B,Load!L:L,0,)</f>
        <v>Regular/Original Wrapping</v>
      </c>
      <c r="L5686" t="str">
        <f>_xlfn.XLOOKUP($A5686,Load!$B:$B,Load!M:M,0,)</f>
        <v>Single Brand / Variety Flavors or Form</v>
      </c>
    </row>
    <row r="5687" spans="1:12" x14ac:dyDescent="0.25">
      <c r="B5687">
        <f>_xlfn.XLOOKUP($A5687,Load!$B:$B,Load!C:C,0,)</f>
        <v>0</v>
      </c>
      <c r="C5687">
        <f>_xlfn.XLOOKUP($A5687,Load!$B:$B,Load!D:D,0,)</f>
        <v>0</v>
      </c>
      <c r="D5687">
        <f>_xlfn.XLOOKUP($A5687,Load!$B:$B,Load!E:E,0,)</f>
        <v>0</v>
      </c>
      <c r="E5687">
        <f>_xlfn.XLOOKUP($A5687,Load!$B:$B,Load!F:F,0,)</f>
        <v>0</v>
      </c>
      <c r="F5687">
        <f>_xlfn.XLOOKUP($A5687,Load!$B:$B,Load!G:G,0,)</f>
        <v>0</v>
      </c>
      <c r="G5687">
        <f>_xlfn.XLOOKUP($A5687,Load!$B:$B,Load!H:H,0,)</f>
        <v>0</v>
      </c>
      <c r="H5687">
        <f>_xlfn.XLOOKUP($A5687,Load!$B:$B,Load!I:I,0,)</f>
        <v>0</v>
      </c>
      <c r="I5687">
        <f>_xlfn.XLOOKUP($A5687,Load!$B:$B,Load!J:J,0,)</f>
        <v>0</v>
      </c>
      <c r="J5687">
        <f>_xlfn.XLOOKUP($A5687,Load!$B:$B,Load!K:K,0,)</f>
        <v>0</v>
      </c>
      <c r="K5687">
        <f>_xlfn.XLOOKUP($A5687,Load!$B:$B,Load!L:L,0,)</f>
        <v>0</v>
      </c>
      <c r="L5687">
        <f>_xlfn.XLOOKUP($A5687,Load!$B:$B,Load!M:M,0,)</f>
        <v>0</v>
      </c>
    </row>
    <row r="5688" spans="1:12" x14ac:dyDescent="0.25">
      <c r="A5688" t="s">
        <v>255</v>
      </c>
      <c r="B5688" t="str">
        <f>_xlfn.XLOOKUP($A5688,Load!$B:$B,Load!C:C,0,)</f>
        <v>Skittles</v>
      </c>
      <c r="C5688" t="str">
        <f>_xlfn.XLOOKUP($A5688,Load!$B:$B,Load!D:D,0,)</f>
        <v>Non-Chocolate Candy Only</v>
      </c>
      <c r="D5688" t="str">
        <f>_xlfn.XLOOKUP($A5688,Load!$B:$B,Load!E:E,0,)</f>
        <v>Variety / Mixed Flavors (Fruity, Sour, Seasonal Flavors)</v>
      </c>
      <c r="E5688" t="str">
        <f>_xlfn.XLOOKUP($A5688,Load!$B:$B,Load!F:F,0,)</f>
        <v>Gummy</v>
      </c>
      <c r="F5688" t="str">
        <f>_xlfn.XLOOKUP($A5688,Load!$B:$B,Load!G:G,0,)</f>
        <v>Large Multipack (More than 80 ct)</v>
      </c>
      <c r="G5688" t="str">
        <f>_xlfn.XLOOKUP($A5688,Load!$B:$B,Load!H:H,0,)</f>
        <v>Stand-Up Bag</v>
      </c>
      <c r="H5688" t="str">
        <f>_xlfn.XLOOKUP($A5688,Load!$B:$B,Load!I:I,0,)</f>
        <v>Everyday Candy Shapes (like Original, Gummy bear, Fruit, Jewels, etc.)</v>
      </c>
      <c r="I5688" t="str">
        <f>_xlfn.XLOOKUP($A5688,Load!$B:$B,Load!J:J,0,)</f>
        <v>Everyday Graphics</v>
      </c>
      <c r="J5688" t="str">
        <f>_xlfn.XLOOKUP($A5688,Load!$B:$B,Load!K:K,0,)</f>
        <v>Fun Size / Treat Size</v>
      </c>
      <c r="K5688" t="str">
        <f>_xlfn.XLOOKUP($A5688,Load!$B:$B,Load!L:L,0,)</f>
        <v>Regular/Original Wrapping</v>
      </c>
      <c r="L5688" t="str">
        <f>_xlfn.XLOOKUP($A5688,Load!$B:$B,Load!M:M,0,)</f>
        <v>Single Brand / Variety Flavors or Form</v>
      </c>
    </row>
    <row r="5689" spans="1:12" x14ac:dyDescent="0.25">
      <c r="A5689" t="s">
        <v>229</v>
      </c>
      <c r="B5689" t="str">
        <f>_xlfn.XLOOKUP($A5689,Load!$B:$B,Load!C:C,0,)</f>
        <v>Nerds</v>
      </c>
      <c r="C5689" t="str">
        <f>_xlfn.XLOOKUP($A5689,Load!$B:$B,Load!D:D,0,)</f>
        <v>Non-Chocolate Candy Only</v>
      </c>
      <c r="D5689" t="str">
        <f>_xlfn.XLOOKUP($A5689,Load!$B:$B,Load!E:E,0,)</f>
        <v>Variety / Mixed Flavors (Fruity, Sour, Seasonal Flavors)</v>
      </c>
      <c r="E5689" t="str">
        <f>_xlfn.XLOOKUP($A5689,Load!$B:$B,Load!F:F,0,)</f>
        <v>Gummy</v>
      </c>
      <c r="F5689" t="str">
        <f>_xlfn.XLOOKUP($A5689,Load!$B:$B,Load!G:G,0,)</f>
        <v>Medium Multipack (40–80 ct)</v>
      </c>
      <c r="G5689" t="str">
        <f>_xlfn.XLOOKUP($A5689,Load!$B:$B,Load!H:H,0,)</f>
        <v>Stand-Up Bag</v>
      </c>
      <c r="H5689" t="str">
        <f>_xlfn.XLOOKUP($A5689,Load!$B:$B,Load!I:I,0,)</f>
        <v>Seasonal Shapes (like pumpkins, candy corn, ghost, bats, etc.)</v>
      </c>
      <c r="I5689" t="str">
        <f>_xlfn.XLOOKUP($A5689,Load!$B:$B,Load!J:J,0,)</f>
        <v>Seasonal Graphics (Like Bat, Ghost, Pumpkin, Fall Leaves, Eyeballs, etc.)</v>
      </c>
      <c r="J5689" t="str">
        <f>_xlfn.XLOOKUP($A5689,Load!$B:$B,Load!K:K,0,)</f>
        <v>Fun Size / Treat Size</v>
      </c>
      <c r="K5689" t="str">
        <f>_xlfn.XLOOKUP($A5689,Load!$B:$B,Load!L:L,0,)</f>
        <v>Regular/Original Wrapping</v>
      </c>
      <c r="L5689" t="str">
        <f>_xlfn.XLOOKUP($A5689,Load!$B:$B,Load!M:M,0,)</f>
        <v>Single Brand / Variety Flavors or Form</v>
      </c>
    </row>
    <row r="5690" spans="1:12" x14ac:dyDescent="0.25">
      <c r="A5690" t="s">
        <v>287</v>
      </c>
      <c r="B5690" t="str">
        <f>_xlfn.XLOOKUP($A5690,Load!$B:$B,Load!C:C,0,)</f>
        <v>SweeTARTS</v>
      </c>
      <c r="C5690" t="str">
        <f>_xlfn.XLOOKUP($A5690,Load!$B:$B,Load!D:D,0,)</f>
        <v>Non-Chocolate Candy Only</v>
      </c>
      <c r="D5690" t="str">
        <f>_xlfn.XLOOKUP($A5690,Load!$B:$B,Load!E:E,0,)</f>
        <v>Berry Based (Raspberry, Strawberry, Medley, etc.)</v>
      </c>
      <c r="E5690" t="str">
        <f>_xlfn.XLOOKUP($A5690,Load!$B:$B,Load!F:F,0,)</f>
        <v>Chewy</v>
      </c>
      <c r="F5690" t="str">
        <f>_xlfn.XLOOKUP($A5690,Load!$B:$B,Load!G:G,0,)</f>
        <v>Small Multipack (Less than 40 ct)</v>
      </c>
      <c r="G5690" t="str">
        <f>_xlfn.XLOOKUP($A5690,Load!$B:$B,Load!H:H,0,)</f>
        <v>Laydown Bag</v>
      </c>
      <c r="H5690" t="str">
        <f>_xlfn.XLOOKUP($A5690,Load!$B:$B,Load!I:I,0,)</f>
        <v>Everyday Candy Shapes (like Original, Gummy bear, Fruit, Jewels, etc.)</v>
      </c>
      <c r="I5690" t="str">
        <f>_xlfn.XLOOKUP($A5690,Load!$B:$B,Load!J:J,0,)</f>
        <v>Everyday Graphics</v>
      </c>
      <c r="J5690" t="str">
        <f>_xlfn.XLOOKUP($A5690,Load!$B:$B,Load!K:K,0,)</f>
        <v>Fun Size / Treat Size</v>
      </c>
      <c r="K5690" t="str">
        <f>_xlfn.XLOOKUP($A5690,Load!$B:$B,Load!L:L,0,)</f>
        <v>Unwrapped</v>
      </c>
      <c r="L5690" t="str">
        <f>_xlfn.XLOOKUP($A5690,Load!$B:$B,Load!M:M,0,)</f>
        <v>Single Brand / Single Flavor or Form</v>
      </c>
    </row>
    <row r="5691" spans="1:12" x14ac:dyDescent="0.25">
      <c r="B5691">
        <f>_xlfn.XLOOKUP($A5691,Load!$B:$B,Load!C:C,0,)</f>
        <v>0</v>
      </c>
      <c r="C5691">
        <f>_xlfn.XLOOKUP($A5691,Load!$B:$B,Load!D:D,0,)</f>
        <v>0</v>
      </c>
      <c r="D5691">
        <f>_xlfn.XLOOKUP($A5691,Load!$B:$B,Load!E:E,0,)</f>
        <v>0</v>
      </c>
      <c r="E5691">
        <f>_xlfn.XLOOKUP($A5691,Load!$B:$B,Load!F:F,0,)</f>
        <v>0</v>
      </c>
      <c r="F5691">
        <f>_xlfn.XLOOKUP($A5691,Load!$B:$B,Load!G:G,0,)</f>
        <v>0</v>
      </c>
      <c r="G5691">
        <f>_xlfn.XLOOKUP($A5691,Load!$B:$B,Load!H:H,0,)</f>
        <v>0</v>
      </c>
      <c r="H5691">
        <f>_xlfn.XLOOKUP($A5691,Load!$B:$B,Load!I:I,0,)</f>
        <v>0</v>
      </c>
      <c r="I5691">
        <f>_xlfn.XLOOKUP($A5691,Load!$B:$B,Load!J:J,0,)</f>
        <v>0</v>
      </c>
      <c r="J5691">
        <f>_xlfn.XLOOKUP($A5691,Load!$B:$B,Load!K:K,0,)</f>
        <v>0</v>
      </c>
      <c r="K5691">
        <f>_xlfn.XLOOKUP($A5691,Load!$B:$B,Load!L:L,0,)</f>
        <v>0</v>
      </c>
      <c r="L5691">
        <f>_xlfn.XLOOKUP($A5691,Load!$B:$B,Load!M:M,0,)</f>
        <v>0</v>
      </c>
    </row>
    <row r="5692" spans="1:12" x14ac:dyDescent="0.25">
      <c r="A5692" t="s">
        <v>283</v>
      </c>
      <c r="B5692" t="str">
        <f>_xlfn.XLOOKUP($A5692,Load!$B:$B,Load!C:C,0,)</f>
        <v>Sour Punch</v>
      </c>
      <c r="C5692" t="str">
        <f>_xlfn.XLOOKUP($A5692,Load!$B:$B,Load!D:D,0,)</f>
        <v>Non-Chocolate Candy Only</v>
      </c>
      <c r="D5692" t="str">
        <f>_xlfn.XLOOKUP($A5692,Load!$B:$B,Load!E:E,0,)</f>
        <v>Sour</v>
      </c>
      <c r="E5692" t="str">
        <f>_xlfn.XLOOKUP($A5692,Load!$B:$B,Load!F:F,0,)</f>
        <v>Chewy</v>
      </c>
      <c r="F5692" t="str">
        <f>_xlfn.XLOOKUP($A5692,Load!$B:$B,Load!G:G,0,)</f>
        <v>Large Multipack (More than 80 ct)</v>
      </c>
      <c r="G5692" t="str">
        <f>_xlfn.XLOOKUP($A5692,Load!$B:$B,Load!H:H,0,)</f>
        <v>Laydown Bag</v>
      </c>
      <c r="H5692" t="str">
        <f>_xlfn.XLOOKUP($A5692,Load!$B:$B,Load!I:I,0,)</f>
        <v>Seasonal Shapes (like pumpkins, candy corn, ghost, bats, etc.)</v>
      </c>
      <c r="I5692" t="str">
        <f>_xlfn.XLOOKUP($A5692,Load!$B:$B,Load!J:J,0,)</f>
        <v>Seasonal Graphics (Like Bat, Ghost, Pumpkin, Fall Leaves, Eyeballs, etc.)</v>
      </c>
      <c r="J5692" t="str">
        <f>_xlfn.XLOOKUP($A5692,Load!$B:$B,Load!K:K,0,)</f>
        <v>Small Pieces (Tiny bite size candies)</v>
      </c>
      <c r="K5692" t="str">
        <f>_xlfn.XLOOKUP($A5692,Load!$B:$B,Load!L:L,0,)</f>
        <v>Regular/Original Wrapping</v>
      </c>
      <c r="L5692" t="str">
        <f>_xlfn.XLOOKUP($A5692,Load!$B:$B,Load!M:M,0,)</f>
        <v>Single Brand / Variety Flavors or Form</v>
      </c>
    </row>
    <row r="5693" spans="1:12" x14ac:dyDescent="0.25">
      <c r="A5693" t="s">
        <v>76</v>
      </c>
      <c r="B5693" t="str">
        <f>_xlfn.XLOOKUP($A5693,Load!$B:$B,Load!C:C,0,)</f>
        <v>Dum Dums</v>
      </c>
      <c r="C5693" t="str">
        <f>_xlfn.XLOOKUP($A5693,Load!$B:$B,Load!D:D,0,)</f>
        <v>Non-Chocolate Candy Only</v>
      </c>
      <c r="D5693" t="str">
        <f>_xlfn.XLOOKUP($A5693,Load!$B:$B,Load!E:E,0,)</f>
        <v>Variety / Mixed Flavors (Fruity, Sour, Seasonal Flavors)</v>
      </c>
      <c r="E5693" t="str">
        <f>_xlfn.XLOOKUP($A5693,Load!$B:$B,Load!F:F,0,)</f>
        <v>Lollipop (regular or lollipop rings)</v>
      </c>
      <c r="F5693" t="str">
        <f>_xlfn.XLOOKUP($A5693,Load!$B:$B,Load!G:G,0,)</f>
        <v>Large Multipack (More than 80 ct)</v>
      </c>
      <c r="G5693" t="str">
        <f>_xlfn.XLOOKUP($A5693,Load!$B:$B,Load!H:H,0,)</f>
        <v>Stand-Up Bag</v>
      </c>
      <c r="H5693" t="str">
        <f>_xlfn.XLOOKUP($A5693,Load!$B:$B,Load!I:I,0,)</f>
        <v>Everyday Candy Shapes (like Original, Gummy bear, Fruit, Jewels, etc.)</v>
      </c>
      <c r="I5693" t="str">
        <f>_xlfn.XLOOKUP($A5693,Load!$B:$B,Load!J:J,0,)</f>
        <v>Everyday Graphics</v>
      </c>
      <c r="J5693" t="str">
        <f>_xlfn.XLOOKUP($A5693,Load!$B:$B,Load!K:K,0,)</f>
        <v>Regular Lollipop size (on sticks or rings)</v>
      </c>
      <c r="K5693" t="str">
        <f>_xlfn.XLOOKUP($A5693,Load!$B:$B,Load!L:L,0,)</f>
        <v>Regular/Original Wrapping</v>
      </c>
      <c r="L5693" t="str">
        <f>_xlfn.XLOOKUP($A5693,Load!$B:$B,Load!M:M,0,)</f>
        <v>Single Brand / Variety Flavors or Form</v>
      </c>
    </row>
    <row r="5694" spans="1:12" x14ac:dyDescent="0.25">
      <c r="A5694" t="s">
        <v>20</v>
      </c>
      <c r="B5694" t="str">
        <f>_xlfn.XLOOKUP($A5694,Load!$B:$B,Load!C:C,0,)</f>
        <v>Albanese</v>
      </c>
      <c r="C5694" t="str">
        <f>_xlfn.XLOOKUP($A5694,Load!$B:$B,Load!D:D,0,)</f>
        <v>Non-Chocolate Candy Only</v>
      </c>
      <c r="D5694" t="str">
        <f>_xlfn.XLOOKUP($A5694,Load!$B:$B,Load!E:E,0,)</f>
        <v>Sweet</v>
      </c>
      <c r="E5694" t="str">
        <f>_xlfn.XLOOKUP($A5694,Load!$B:$B,Load!F:F,0,)</f>
        <v>Gummy</v>
      </c>
      <c r="F5694" t="str">
        <f>_xlfn.XLOOKUP($A5694,Load!$B:$B,Load!G:G,0,)</f>
        <v>Single Pack</v>
      </c>
      <c r="G5694" t="str">
        <f>_xlfn.XLOOKUP($A5694,Load!$B:$B,Load!H:H,0,)</f>
        <v>Laydown Bag</v>
      </c>
      <c r="H5694" t="str">
        <f>_xlfn.XLOOKUP($A5694,Load!$B:$B,Load!I:I,0,)</f>
        <v>Everyday Candy Shapes (like Original, Gummy bear, Fruit, Jewels, etc.)</v>
      </c>
      <c r="I5694" t="str">
        <f>_xlfn.XLOOKUP($A5694,Load!$B:$B,Load!J:J,0,)</f>
        <v>Seasonal Graphics (Like Bat, Ghost, Pumpkin, Fall Leaves, Eyeballs, etc.)</v>
      </c>
      <c r="J5694" t="str">
        <f>_xlfn.XLOOKUP($A5694,Load!$B:$B,Load!K:K,0,)</f>
        <v>Small Pieces (Tiny bite size candies)</v>
      </c>
      <c r="K5694" t="str">
        <f>_xlfn.XLOOKUP($A5694,Load!$B:$B,Load!L:L,0,)</f>
        <v>Regular/Original Wrapping</v>
      </c>
      <c r="L5694" t="str">
        <f>_xlfn.XLOOKUP($A5694,Load!$B:$B,Load!M:M,0,)</f>
        <v>Single Brand / Variety Flavors or Form</v>
      </c>
    </row>
    <row r="5695" spans="1:12" x14ac:dyDescent="0.25">
      <c r="B5695">
        <f>_xlfn.XLOOKUP($A5695,Load!$B:$B,Load!C:C,0,)</f>
        <v>0</v>
      </c>
      <c r="C5695">
        <f>_xlfn.XLOOKUP($A5695,Load!$B:$B,Load!D:D,0,)</f>
        <v>0</v>
      </c>
      <c r="D5695">
        <f>_xlfn.XLOOKUP($A5695,Load!$B:$B,Load!E:E,0,)</f>
        <v>0</v>
      </c>
      <c r="E5695">
        <f>_xlfn.XLOOKUP($A5695,Load!$B:$B,Load!F:F,0,)</f>
        <v>0</v>
      </c>
      <c r="F5695">
        <f>_xlfn.XLOOKUP($A5695,Load!$B:$B,Load!G:G,0,)</f>
        <v>0</v>
      </c>
      <c r="G5695">
        <f>_xlfn.XLOOKUP($A5695,Load!$B:$B,Load!H:H,0,)</f>
        <v>0</v>
      </c>
      <c r="H5695">
        <f>_xlfn.XLOOKUP($A5695,Load!$B:$B,Load!I:I,0,)</f>
        <v>0</v>
      </c>
      <c r="I5695">
        <f>_xlfn.XLOOKUP($A5695,Load!$B:$B,Load!J:J,0,)</f>
        <v>0</v>
      </c>
      <c r="J5695">
        <f>_xlfn.XLOOKUP($A5695,Load!$B:$B,Load!K:K,0,)</f>
        <v>0</v>
      </c>
      <c r="K5695">
        <f>_xlfn.XLOOKUP($A5695,Load!$B:$B,Load!L:L,0,)</f>
        <v>0</v>
      </c>
      <c r="L5695">
        <f>_xlfn.XLOOKUP($A5695,Load!$B:$B,Load!M:M,0,)</f>
        <v>0</v>
      </c>
    </row>
    <row r="5696" spans="1:12" x14ac:dyDescent="0.25">
      <c r="A5696" t="s">
        <v>125</v>
      </c>
      <c r="B5696" t="str">
        <f>_xlfn.XLOOKUP($A5696,Load!$B:$B,Load!C:C,0,)</f>
        <v>HARIBO</v>
      </c>
      <c r="C5696" t="str">
        <f>_xlfn.XLOOKUP($A5696,Load!$B:$B,Load!D:D,0,)</f>
        <v>Non-Chocolate Candy Only</v>
      </c>
      <c r="D5696" t="str">
        <f>_xlfn.XLOOKUP($A5696,Load!$B:$B,Load!E:E,0,)</f>
        <v>Berry Based (Raspberry, Strawberry, Medley, etc.)</v>
      </c>
      <c r="E5696" t="str">
        <f>_xlfn.XLOOKUP($A5696,Load!$B:$B,Load!F:F,0,)</f>
        <v>Gummy</v>
      </c>
      <c r="F5696" t="str">
        <f>_xlfn.XLOOKUP($A5696,Load!$B:$B,Load!G:G,0,)</f>
        <v>Small Multipack (Less than 40 ct)</v>
      </c>
      <c r="G5696" t="str">
        <f>_xlfn.XLOOKUP($A5696,Load!$B:$B,Load!H:H,0,)</f>
        <v>Laydown Bag</v>
      </c>
      <c r="H5696" t="str">
        <f>_xlfn.XLOOKUP($A5696,Load!$B:$B,Load!I:I,0,)</f>
        <v>Everyday Candy Shapes (like Original, Gummy bear, Fruit, Jewels, etc.)</v>
      </c>
      <c r="I5696" t="str">
        <f>_xlfn.XLOOKUP($A5696,Load!$B:$B,Load!J:J,0,)</f>
        <v>Everyday Graphics</v>
      </c>
      <c r="J5696" t="str">
        <f>_xlfn.XLOOKUP($A5696,Load!$B:$B,Load!K:K,0,)</f>
        <v>Small Pieces (Tiny bite size candies)</v>
      </c>
      <c r="K5696" t="str">
        <f>_xlfn.XLOOKUP($A5696,Load!$B:$B,Load!L:L,0,)</f>
        <v>Regular/Original Wrapping</v>
      </c>
      <c r="L5696" t="str">
        <f>_xlfn.XLOOKUP($A5696,Load!$B:$B,Load!M:M,0,)</f>
        <v>Single Brand / Variety Flavors or Form</v>
      </c>
    </row>
    <row r="5697" spans="1:12" x14ac:dyDescent="0.25">
      <c r="A5697" t="s">
        <v>128</v>
      </c>
      <c r="B5697" t="str">
        <f>_xlfn.XLOOKUP($A5697,Load!$B:$B,Load!C:C,0,)</f>
        <v>HARIBO</v>
      </c>
      <c r="C5697" t="str">
        <f>_xlfn.XLOOKUP($A5697,Load!$B:$B,Load!D:D,0,)</f>
        <v>Non-Chocolate Candy Only</v>
      </c>
      <c r="D5697" t="str">
        <f>_xlfn.XLOOKUP($A5697,Load!$B:$B,Load!E:E,0,)</f>
        <v>Fruit Flavor (Cherry, Grape, Apple, Citrus, Tropical Fruit)</v>
      </c>
      <c r="E5697" t="str">
        <f>_xlfn.XLOOKUP($A5697,Load!$B:$B,Load!F:F,0,)</f>
        <v>Gummy</v>
      </c>
      <c r="F5697" t="str">
        <f>_xlfn.XLOOKUP($A5697,Load!$B:$B,Load!G:G,0,)</f>
        <v>Medium Multipack (40–80 ct)</v>
      </c>
      <c r="G5697" t="str">
        <f>_xlfn.XLOOKUP($A5697,Load!$B:$B,Load!H:H,0,)</f>
        <v>Plastic Cup / Container</v>
      </c>
      <c r="H5697" t="str">
        <f>_xlfn.XLOOKUP($A5697,Load!$B:$B,Load!I:I,0,)</f>
        <v>Everyday Candy Shapes (like Original, Gummy bear, Fruit, Jewels, etc.)</v>
      </c>
      <c r="I5697" t="str">
        <f>_xlfn.XLOOKUP($A5697,Load!$B:$B,Load!J:J,0,)</f>
        <v>Everyday Graphics</v>
      </c>
      <c r="J5697" t="str">
        <f>_xlfn.XLOOKUP($A5697,Load!$B:$B,Load!K:K,0,)</f>
        <v>Small Pieces (Tiny bite size candies)</v>
      </c>
      <c r="K5697" t="str">
        <f>_xlfn.XLOOKUP($A5697,Load!$B:$B,Load!L:L,0,)</f>
        <v>Regular/Original Wrapping</v>
      </c>
      <c r="L5697" t="str">
        <f>_xlfn.XLOOKUP($A5697,Load!$B:$B,Load!M:M,0,)</f>
        <v>Single Brand / Variety Flavors or Form</v>
      </c>
    </row>
    <row r="5698" spans="1:12" x14ac:dyDescent="0.25">
      <c r="A5698" t="s">
        <v>260</v>
      </c>
      <c r="B5698" t="str">
        <f>_xlfn.XLOOKUP($A5698,Load!$B:$B,Load!C:C,0,)</f>
        <v>Skittles</v>
      </c>
      <c r="C5698" t="str">
        <f>_xlfn.XLOOKUP($A5698,Load!$B:$B,Load!D:D,0,)</f>
        <v>Non-Chocolate Candy Only</v>
      </c>
      <c r="D5698" t="str">
        <f>_xlfn.XLOOKUP($A5698,Load!$B:$B,Load!E:E,0,)</f>
        <v>Fruit Flavor (Cherry, Grape, Apple, Citrus, Tropical Fruit)</v>
      </c>
      <c r="E5698" t="str">
        <f>_xlfn.XLOOKUP($A5698,Load!$B:$B,Load!F:F,0,)</f>
        <v>Candy Pieces / Bites</v>
      </c>
      <c r="F5698" t="str">
        <f>_xlfn.XLOOKUP($A5698,Load!$B:$B,Load!G:G,0,)</f>
        <v>Single Pack</v>
      </c>
      <c r="G5698" t="str">
        <f>_xlfn.XLOOKUP($A5698,Load!$B:$B,Load!H:H,0,)</f>
        <v>Plastic Cup / Container</v>
      </c>
      <c r="H5698" t="str">
        <f>_xlfn.XLOOKUP($A5698,Load!$B:$B,Load!I:I,0,)</f>
        <v>Everyday Candy Shapes (like Original, Gummy bear, Fruit, Jewels, etc.)</v>
      </c>
      <c r="I5698" t="str">
        <f>_xlfn.XLOOKUP($A5698,Load!$B:$B,Load!J:J,0,)</f>
        <v>Seasonal Graphics (Like Bat, Ghost, Pumpkin, Fall Leaves, Eyeballs, etc.)</v>
      </c>
      <c r="J5698" t="str">
        <f>_xlfn.XLOOKUP($A5698,Load!$B:$B,Load!K:K,0,)</f>
        <v>Small Pieces (Tiny bite size candies)</v>
      </c>
      <c r="K5698" t="str">
        <f>_xlfn.XLOOKUP($A5698,Load!$B:$B,Load!L:L,0,)</f>
        <v>Unwrapped</v>
      </c>
      <c r="L5698" t="str">
        <f>_xlfn.XLOOKUP($A5698,Load!$B:$B,Load!M:M,0,)</f>
        <v>Single Brand / Single Flavor or Form</v>
      </c>
    </row>
    <row r="5699" spans="1:12" x14ac:dyDescent="0.25">
      <c r="A5699" t="s">
        <v>245</v>
      </c>
      <c r="B5699" t="str">
        <f>_xlfn.XLOOKUP($A5699,Load!$B:$B,Load!C:C,0,)</f>
        <v>Ring Pop</v>
      </c>
      <c r="C5699" t="str">
        <f>_xlfn.XLOOKUP($A5699,Load!$B:$B,Load!D:D,0,)</f>
        <v>Non-Chocolate Candy Only</v>
      </c>
      <c r="D5699" t="str">
        <f>_xlfn.XLOOKUP($A5699,Load!$B:$B,Load!E:E,0,)</f>
        <v>Fruit Flavor (Cherry, Grape, Apple, Citrus, Tropical Fruit)</v>
      </c>
      <c r="E5699" t="str">
        <f>_xlfn.XLOOKUP($A5699,Load!$B:$B,Load!F:F,0,)</f>
        <v>Lollipop (regular or lollipop rings)</v>
      </c>
      <c r="F5699" t="str">
        <f>_xlfn.XLOOKUP($A5699,Load!$B:$B,Load!G:G,0,)</f>
        <v>Single Pack</v>
      </c>
      <c r="G5699" t="str">
        <f>_xlfn.XLOOKUP($A5699,Load!$B:$B,Load!H:H,0,)</f>
        <v>Box (theatre box, gift box, carton)</v>
      </c>
      <c r="H5699" t="str">
        <f>_xlfn.XLOOKUP($A5699,Load!$B:$B,Load!I:I,0,)</f>
        <v>Everyday Candy Shapes (like Original, Gummy bear, Fruit, Jewels, etc.)</v>
      </c>
      <c r="I5699" t="str">
        <f>_xlfn.XLOOKUP($A5699,Load!$B:$B,Load!J:J,0,)</f>
        <v>Seasonal Graphics (Like Bat, Ghost, Pumpkin, Fall Leaves, Eyeballs, etc.)</v>
      </c>
      <c r="J5699" t="str">
        <f>_xlfn.XLOOKUP($A5699,Load!$B:$B,Load!K:K,0,)</f>
        <v>Regular Lollipop size (on sticks or rings)</v>
      </c>
      <c r="K5699" t="str">
        <f>_xlfn.XLOOKUP($A5699,Load!$B:$B,Load!L:L,0,)</f>
        <v>Regular/Original Wrapping</v>
      </c>
      <c r="L5699" t="str">
        <f>_xlfn.XLOOKUP($A5699,Load!$B:$B,Load!M:M,0,)</f>
        <v>Single Brand / Single Flavor or Form</v>
      </c>
    </row>
    <row r="5700" spans="1:12" x14ac:dyDescent="0.25">
      <c r="A5700" t="s">
        <v>111</v>
      </c>
      <c r="B5700" t="str">
        <f>_xlfn.XLOOKUP($A5700,Load!$B:$B,Load!C:C,0,)</f>
        <v>Frankford</v>
      </c>
      <c r="C5700" t="str">
        <f>_xlfn.XLOOKUP($A5700,Load!$B:$B,Load!D:D,0,)</f>
        <v>Non-Chocolate Candy Only</v>
      </c>
      <c r="D5700" t="str">
        <f>_xlfn.XLOOKUP($A5700,Load!$B:$B,Load!E:E,0,)</f>
        <v>Variety / Mixed Flavors (Fruity, Sour, Seasonal Flavors)</v>
      </c>
      <c r="E5700" t="str">
        <f>_xlfn.XLOOKUP($A5700,Load!$B:$B,Load!F:F,0,)</f>
        <v>Gummy</v>
      </c>
      <c r="F5700" t="str">
        <f>_xlfn.XLOOKUP($A5700,Load!$B:$B,Load!G:G,0,)</f>
        <v>Medium Multipack (40–80 ct)</v>
      </c>
      <c r="G5700" t="str">
        <f>_xlfn.XLOOKUP($A5700,Load!$B:$B,Load!H:H,0,)</f>
        <v>Stand-Up Bag</v>
      </c>
      <c r="H5700" t="str">
        <f>_xlfn.XLOOKUP($A5700,Load!$B:$B,Load!I:I,0,)</f>
        <v>Seasonal Shapes (like pumpkins, candy corn, ghost, bats, etc.)</v>
      </c>
      <c r="I5700" t="str">
        <f>_xlfn.XLOOKUP($A5700,Load!$B:$B,Load!J:J,0,)</f>
        <v>Seasonal Graphics (Like Bat, Ghost, Pumpkin, Fall Leaves, Eyeballs, etc.)</v>
      </c>
      <c r="J5700" t="str">
        <f>_xlfn.XLOOKUP($A5700,Load!$B:$B,Load!K:K,0,)</f>
        <v>Fun Size / Treat Size</v>
      </c>
      <c r="K5700" t="str">
        <f>_xlfn.XLOOKUP($A5700,Load!$B:$B,Load!L:L,0,)</f>
        <v>Regular/Original Wrapping</v>
      </c>
      <c r="L5700" t="str">
        <f>_xlfn.XLOOKUP($A5700,Load!$B:$B,Load!M:M,0,)</f>
        <v>Single Brand / Variety Flavors or Form</v>
      </c>
    </row>
    <row r="5701" spans="1:12" x14ac:dyDescent="0.25">
      <c r="B5701">
        <f>_xlfn.XLOOKUP($A5701,Load!$B:$B,Load!C:C,0,)</f>
        <v>0</v>
      </c>
      <c r="C5701">
        <f>_xlfn.XLOOKUP($A5701,Load!$B:$B,Load!D:D,0,)</f>
        <v>0</v>
      </c>
      <c r="D5701">
        <f>_xlfn.XLOOKUP($A5701,Load!$B:$B,Load!E:E,0,)</f>
        <v>0</v>
      </c>
      <c r="E5701">
        <f>_xlfn.XLOOKUP($A5701,Load!$B:$B,Load!F:F,0,)</f>
        <v>0</v>
      </c>
      <c r="F5701">
        <f>_xlfn.XLOOKUP($A5701,Load!$B:$B,Load!G:G,0,)</f>
        <v>0</v>
      </c>
      <c r="G5701">
        <f>_xlfn.XLOOKUP($A5701,Load!$B:$B,Load!H:H,0,)</f>
        <v>0</v>
      </c>
      <c r="H5701">
        <f>_xlfn.XLOOKUP($A5701,Load!$B:$B,Load!I:I,0,)</f>
        <v>0</v>
      </c>
      <c r="I5701">
        <f>_xlfn.XLOOKUP($A5701,Load!$B:$B,Load!J:J,0,)</f>
        <v>0</v>
      </c>
      <c r="J5701">
        <f>_xlfn.XLOOKUP($A5701,Load!$B:$B,Load!K:K,0,)</f>
        <v>0</v>
      </c>
      <c r="K5701">
        <f>_xlfn.XLOOKUP($A5701,Load!$B:$B,Load!L:L,0,)</f>
        <v>0</v>
      </c>
      <c r="L5701">
        <f>_xlfn.XLOOKUP($A5701,Load!$B:$B,Load!M:M,0,)</f>
        <v>0</v>
      </c>
    </row>
    <row r="5702" spans="1:12" x14ac:dyDescent="0.25">
      <c r="A5702" t="s">
        <v>169</v>
      </c>
      <c r="B5702" t="str">
        <f>_xlfn.XLOOKUP($A5702,Load!$B:$B,Load!C:C,0,)</f>
        <v>Laffy Taffy</v>
      </c>
      <c r="C5702" t="str">
        <f>_xlfn.XLOOKUP($A5702,Load!$B:$B,Load!D:D,0,)</f>
        <v>Non-Chocolate Candy Only</v>
      </c>
      <c r="D5702" t="str">
        <f>_xlfn.XLOOKUP($A5702,Load!$B:$B,Load!E:E,0,)</f>
        <v>Fruit Flavor (Cherry, Grape, Apple, Citrus, Tropical Fruit)</v>
      </c>
      <c r="E5702" t="str">
        <f>_xlfn.XLOOKUP($A5702,Load!$B:$B,Load!F:F,0,)</f>
        <v>Taffy</v>
      </c>
      <c r="F5702" t="str">
        <f>_xlfn.XLOOKUP($A5702,Load!$B:$B,Load!G:G,0,)</f>
        <v>Small Multipack (Less than 40 ct)</v>
      </c>
      <c r="G5702" t="str">
        <f>_xlfn.XLOOKUP($A5702,Load!$B:$B,Load!H:H,0,)</f>
        <v>Laydown Bag</v>
      </c>
      <c r="H5702" t="str">
        <f>_xlfn.XLOOKUP($A5702,Load!$B:$B,Load!I:I,0,)</f>
        <v>Everyday Candy Shapes (like Original, Gummy bear, Fruit, Jewels, etc.)</v>
      </c>
      <c r="I5702" t="str">
        <f>_xlfn.XLOOKUP($A5702,Load!$B:$B,Load!J:J,0,)</f>
        <v>Everyday Graphics</v>
      </c>
      <c r="J5702" t="str">
        <f>_xlfn.XLOOKUP($A5702,Load!$B:$B,Load!K:K,0,)</f>
        <v>Fun Size / Treat Size</v>
      </c>
      <c r="K5702" t="str">
        <f>_xlfn.XLOOKUP($A5702,Load!$B:$B,Load!L:L,0,)</f>
        <v>Regular/Original Wrapping</v>
      </c>
      <c r="L5702" t="str">
        <f>_xlfn.XLOOKUP($A5702,Load!$B:$B,Load!M:M,0,)</f>
        <v>Single Brand / Variety Flavors or Form</v>
      </c>
    </row>
    <row r="5703" spans="1:12" x14ac:dyDescent="0.25">
      <c r="A5703" t="s">
        <v>157</v>
      </c>
      <c r="B5703" t="str">
        <f>_xlfn.XLOOKUP($A5703,Load!$B:$B,Load!C:C,0,)</f>
        <v>Jolly Rancher</v>
      </c>
      <c r="C5703" t="str">
        <f>_xlfn.XLOOKUP($A5703,Load!$B:$B,Load!D:D,0,)</f>
        <v>Non-Chocolate Candy Only</v>
      </c>
      <c r="D5703" t="str">
        <f>_xlfn.XLOOKUP($A5703,Load!$B:$B,Load!E:E,0,)</f>
        <v>Fruit Flavor (Cherry, Grape, Apple, Citrus, Tropical Fruit)</v>
      </c>
      <c r="E5703" t="str">
        <f>_xlfn.XLOOKUP($A5703,Load!$B:$B,Load!F:F,0,)</f>
        <v>Hard Candy</v>
      </c>
      <c r="F5703" t="str">
        <f>_xlfn.XLOOKUP($A5703,Load!$B:$B,Load!G:G,0,)</f>
        <v>Single Pack</v>
      </c>
      <c r="G5703" t="str">
        <f>_xlfn.XLOOKUP($A5703,Load!$B:$B,Load!H:H,0,)</f>
        <v>Laydown Bag</v>
      </c>
      <c r="H5703" t="str">
        <f>_xlfn.XLOOKUP($A5703,Load!$B:$B,Load!I:I,0,)</f>
        <v>Everyday Candy Shapes (like Original, Gummy bear, Fruit, Jewels, etc.)</v>
      </c>
      <c r="I5703" t="str">
        <f>_xlfn.XLOOKUP($A5703,Load!$B:$B,Load!J:J,0,)</f>
        <v>Everyday Graphics</v>
      </c>
      <c r="J5703" t="str">
        <f>_xlfn.XLOOKUP($A5703,Load!$B:$B,Load!K:K,0,)</f>
        <v>Small Pieces (Tiny bite size candies)</v>
      </c>
      <c r="K5703" t="str">
        <f>_xlfn.XLOOKUP($A5703,Load!$B:$B,Load!L:L,0,)</f>
        <v>Regular/Original Wrapping</v>
      </c>
      <c r="L5703" t="str">
        <f>_xlfn.XLOOKUP($A5703,Load!$B:$B,Load!M:M,0,)</f>
        <v>Single Brand / Variety Flavors or Form</v>
      </c>
    </row>
    <row r="5704" spans="1:12" x14ac:dyDescent="0.25">
      <c r="A5704" t="s">
        <v>148</v>
      </c>
      <c r="B5704" t="str">
        <f>_xlfn.XLOOKUP($A5704,Load!$B:$B,Load!C:C,0,)</f>
        <v>Jelly Belly</v>
      </c>
      <c r="C5704" t="str">
        <f>_xlfn.XLOOKUP($A5704,Load!$B:$B,Load!D:D,0,)</f>
        <v>Non-Chocolate Candy Only</v>
      </c>
      <c r="D5704" t="str">
        <f>_xlfn.XLOOKUP($A5704,Load!$B:$B,Load!E:E,0,)</f>
        <v>Variety / Mixed Flavors (Fruity, Sour, Seasonal Flavors)</v>
      </c>
      <c r="E5704" t="str">
        <f>_xlfn.XLOOKUP($A5704,Load!$B:$B,Load!F:F,0,)</f>
        <v>Candy Pieces / Bites</v>
      </c>
      <c r="F5704" t="str">
        <f>_xlfn.XLOOKUP($A5704,Load!$B:$B,Load!G:G,0,)</f>
        <v>Single Pack</v>
      </c>
      <c r="G5704" t="str">
        <f>_xlfn.XLOOKUP($A5704,Load!$B:$B,Load!H:H,0,)</f>
        <v>Stand-Up Bag</v>
      </c>
      <c r="H5704" t="str">
        <f>_xlfn.XLOOKUP($A5704,Load!$B:$B,Load!I:I,0,)</f>
        <v>Everyday Candy Shapes (like Original, Gummy bear, Fruit, Jewels, etc.)</v>
      </c>
      <c r="I5704" t="str">
        <f>_xlfn.XLOOKUP($A5704,Load!$B:$B,Load!J:J,0,)</f>
        <v>Seasonal Graphics (Like Bat, Ghost, Pumpkin, Fall Leaves, Eyeballs, etc.)</v>
      </c>
      <c r="J5704" t="str">
        <f>_xlfn.XLOOKUP($A5704,Load!$B:$B,Load!K:K,0,)</f>
        <v>Small Pieces (Tiny bite size candies)</v>
      </c>
      <c r="K5704" t="str">
        <f>_xlfn.XLOOKUP($A5704,Load!$B:$B,Load!L:L,0,)</f>
        <v>Unwrapped</v>
      </c>
      <c r="L5704" t="str">
        <f>_xlfn.XLOOKUP($A5704,Load!$B:$B,Load!M:M,0,)</f>
        <v>Single Brand / Variety Flavors or Form</v>
      </c>
    </row>
    <row r="5705" spans="1:12" x14ac:dyDescent="0.25">
      <c r="B5705">
        <f>_xlfn.XLOOKUP($A5705,Load!$B:$B,Load!C:C,0,)</f>
        <v>0</v>
      </c>
      <c r="C5705">
        <f>_xlfn.XLOOKUP($A5705,Load!$B:$B,Load!D:D,0,)</f>
        <v>0</v>
      </c>
      <c r="D5705">
        <f>_xlfn.XLOOKUP($A5705,Load!$B:$B,Load!E:E,0,)</f>
        <v>0</v>
      </c>
      <c r="E5705">
        <f>_xlfn.XLOOKUP($A5705,Load!$B:$B,Load!F:F,0,)</f>
        <v>0</v>
      </c>
      <c r="F5705">
        <f>_xlfn.XLOOKUP($A5705,Load!$B:$B,Load!G:G,0,)</f>
        <v>0</v>
      </c>
      <c r="G5705">
        <f>_xlfn.XLOOKUP($A5705,Load!$B:$B,Load!H:H,0,)</f>
        <v>0</v>
      </c>
      <c r="H5705">
        <f>_xlfn.XLOOKUP($A5705,Load!$B:$B,Load!I:I,0,)</f>
        <v>0</v>
      </c>
      <c r="I5705">
        <f>_xlfn.XLOOKUP($A5705,Load!$B:$B,Load!J:J,0,)</f>
        <v>0</v>
      </c>
      <c r="J5705">
        <f>_xlfn.XLOOKUP($A5705,Load!$B:$B,Load!K:K,0,)</f>
        <v>0</v>
      </c>
      <c r="K5705">
        <f>_xlfn.XLOOKUP($A5705,Load!$B:$B,Load!L:L,0,)</f>
        <v>0</v>
      </c>
      <c r="L5705">
        <f>_xlfn.XLOOKUP($A5705,Load!$B:$B,Load!M:M,0,)</f>
        <v>0</v>
      </c>
    </row>
    <row r="5706" spans="1:12" x14ac:dyDescent="0.25">
      <c r="A5706" t="s">
        <v>319</v>
      </c>
      <c r="B5706" t="str">
        <f>_xlfn.XLOOKUP($A5706,Load!$B:$B,Load!C:C,0,)</f>
        <v>YumEarth</v>
      </c>
      <c r="C5706" t="str">
        <f>_xlfn.XLOOKUP($A5706,Load!$B:$B,Load!D:D,0,)</f>
        <v>Non-Chocolate Candy Only</v>
      </c>
      <c r="D5706" t="str">
        <f>_xlfn.XLOOKUP($A5706,Load!$B:$B,Load!E:E,0,)</f>
        <v>Fruit Flavor (Cherry, Grape, Apple, Citrus, Tropical Fruit)</v>
      </c>
      <c r="E5706" t="str">
        <f>_xlfn.XLOOKUP($A5706,Load!$B:$B,Load!F:F,0,)</f>
        <v>Gummy</v>
      </c>
      <c r="F5706" t="str">
        <f>_xlfn.XLOOKUP($A5706,Load!$B:$B,Load!G:G,0,)</f>
        <v>Small Multipack (Less than 40 ct)</v>
      </c>
      <c r="G5706" t="str">
        <f>_xlfn.XLOOKUP($A5706,Load!$B:$B,Load!H:H,0,)</f>
        <v>Laydown Bag</v>
      </c>
      <c r="H5706" t="str">
        <f>_xlfn.XLOOKUP($A5706,Load!$B:$B,Load!I:I,0,)</f>
        <v>Seasonal Shapes (like pumpkins, candy corn, ghost, bats, etc.)</v>
      </c>
      <c r="I5706" t="str">
        <f>_xlfn.XLOOKUP($A5706,Load!$B:$B,Load!J:J,0,)</f>
        <v>Seasonal Graphics (Like Bat, Ghost, Pumpkin, Fall Leaves, Eyeballs, etc.)</v>
      </c>
      <c r="J5706" t="str">
        <f>_xlfn.XLOOKUP($A5706,Load!$B:$B,Load!K:K,0,)</f>
        <v>Small Pieces (Tiny bite size candies)</v>
      </c>
      <c r="K5706" t="str">
        <f>_xlfn.XLOOKUP($A5706,Load!$B:$B,Load!L:L,0,)</f>
        <v>Regular/Original Wrapping</v>
      </c>
      <c r="L5706" t="str">
        <f>_xlfn.XLOOKUP($A5706,Load!$B:$B,Load!M:M,0,)</f>
        <v>Single Brand / Variety Flavors or Form</v>
      </c>
    </row>
    <row r="5707" spans="1:12" x14ac:dyDescent="0.25">
      <c r="A5707" t="s">
        <v>199</v>
      </c>
      <c r="B5707" t="str">
        <f>_xlfn.XLOOKUP($A5707,Load!$B:$B,Load!C:C,0,)</f>
        <v>Mars Variety Pack</v>
      </c>
      <c r="C5707" t="str">
        <f>_xlfn.XLOOKUP($A5707,Load!$B:$B,Load!D:D,0,)</f>
        <v>Non-Chocolate Candy Only</v>
      </c>
      <c r="D5707" t="str">
        <f>_xlfn.XLOOKUP($A5707,Load!$B:$B,Load!E:E,0,)</f>
        <v>Variety / Mixed Flavors (Fruity, Sour, Seasonal Flavors)</v>
      </c>
      <c r="E5707" t="str">
        <f>_xlfn.XLOOKUP($A5707,Load!$B:$B,Load!F:F,0,)</f>
        <v>Mixed / Combo Packs (Gummy, Chewy, Taffy, etc.)</v>
      </c>
      <c r="F5707" t="str">
        <f>_xlfn.XLOOKUP($A5707,Load!$B:$B,Load!G:G,0,)</f>
        <v>Small Multipack (Less than 40 ct)</v>
      </c>
      <c r="G5707" t="str">
        <f>_xlfn.XLOOKUP($A5707,Load!$B:$B,Load!H:H,0,)</f>
        <v>Laydown Bag</v>
      </c>
      <c r="H5707" t="str">
        <f>_xlfn.XLOOKUP($A5707,Load!$B:$B,Load!I:I,0,)</f>
        <v>Everyday Candy Shapes (like Original, Gummy bear, Fruit, Jewels, etc.)</v>
      </c>
      <c r="I5707" t="str">
        <f>_xlfn.XLOOKUP($A5707,Load!$B:$B,Load!J:J,0,)</f>
        <v>Seasonal Graphics (Like Bat, Ghost, Pumpkin, Fall Leaves, Eyeballs, etc.)</v>
      </c>
      <c r="J5707" t="str">
        <f>_xlfn.XLOOKUP($A5707,Load!$B:$B,Load!K:K,0,)</f>
        <v>Fun Size / Treat Size</v>
      </c>
      <c r="K5707" t="str">
        <f>_xlfn.XLOOKUP($A5707,Load!$B:$B,Load!L:L,0,)</f>
        <v>Regular/Original Wrapping</v>
      </c>
      <c r="L5707" t="str">
        <f>_xlfn.XLOOKUP($A5707,Load!$B:$B,Load!M:M,0,)</f>
        <v>Multiple Brands / Variety Flavors or Form</v>
      </c>
    </row>
    <row r="5708" spans="1:12" x14ac:dyDescent="0.25">
      <c r="A5708" t="s">
        <v>226</v>
      </c>
      <c r="B5708" t="str">
        <f>_xlfn.XLOOKUP($A5708,Load!$B:$B,Load!C:C,0,)</f>
        <v>Nerds</v>
      </c>
      <c r="C5708" t="str">
        <f>_xlfn.XLOOKUP($A5708,Load!$B:$B,Load!D:D,0,)</f>
        <v>Non-Chocolate Candy Only</v>
      </c>
      <c r="D5708" t="str">
        <f>_xlfn.XLOOKUP($A5708,Load!$B:$B,Load!E:E,0,)</f>
        <v>Sweet</v>
      </c>
      <c r="E5708" t="str">
        <f>_xlfn.XLOOKUP($A5708,Load!$B:$B,Load!F:F,0,)</f>
        <v>Gummy</v>
      </c>
      <c r="F5708" t="str">
        <f>_xlfn.XLOOKUP($A5708,Load!$B:$B,Load!G:G,0,)</f>
        <v>Single Pack</v>
      </c>
      <c r="G5708" t="str">
        <f>_xlfn.XLOOKUP($A5708,Load!$B:$B,Load!H:H,0,)</f>
        <v>Laydown Bag</v>
      </c>
      <c r="H5708" t="str">
        <f>_xlfn.XLOOKUP($A5708,Load!$B:$B,Load!I:I,0,)</f>
        <v>Seasonal Shapes (like pumpkins, candy corn, ghost, bats, etc.)</v>
      </c>
      <c r="I5708" t="str">
        <f>_xlfn.XLOOKUP($A5708,Load!$B:$B,Load!J:J,0,)</f>
        <v>Seasonal Graphics (Like Bat, Ghost, Pumpkin, Fall Leaves, Eyeballs, etc.)</v>
      </c>
      <c r="J5708" t="str">
        <f>_xlfn.XLOOKUP($A5708,Load!$B:$B,Load!K:K,0,)</f>
        <v>Fun Size / Treat Size</v>
      </c>
      <c r="K5708" t="str">
        <f>_xlfn.XLOOKUP($A5708,Load!$B:$B,Load!L:L,0,)</f>
        <v>Unwrapped</v>
      </c>
      <c r="L5708" t="str">
        <f>_xlfn.XLOOKUP($A5708,Load!$B:$B,Load!M:M,0,)</f>
        <v>Single Brand / Single Flavor or Form</v>
      </c>
    </row>
    <row r="5709" spans="1:12" x14ac:dyDescent="0.25">
      <c r="B5709">
        <f>_xlfn.XLOOKUP($A5709,Load!$B:$B,Load!C:C,0,)</f>
        <v>0</v>
      </c>
      <c r="C5709">
        <f>_xlfn.XLOOKUP($A5709,Load!$B:$B,Load!D:D,0,)</f>
        <v>0</v>
      </c>
      <c r="D5709">
        <f>_xlfn.XLOOKUP($A5709,Load!$B:$B,Load!E:E,0,)</f>
        <v>0</v>
      </c>
      <c r="E5709">
        <f>_xlfn.XLOOKUP($A5709,Load!$B:$B,Load!F:F,0,)</f>
        <v>0</v>
      </c>
      <c r="F5709">
        <f>_xlfn.XLOOKUP($A5709,Load!$B:$B,Load!G:G,0,)</f>
        <v>0</v>
      </c>
      <c r="G5709">
        <f>_xlfn.XLOOKUP($A5709,Load!$B:$B,Load!H:H,0,)</f>
        <v>0</v>
      </c>
      <c r="H5709">
        <f>_xlfn.XLOOKUP($A5709,Load!$B:$B,Load!I:I,0,)</f>
        <v>0</v>
      </c>
      <c r="I5709">
        <f>_xlfn.XLOOKUP($A5709,Load!$B:$B,Load!J:J,0,)</f>
        <v>0</v>
      </c>
      <c r="J5709">
        <f>_xlfn.XLOOKUP($A5709,Load!$B:$B,Load!K:K,0,)</f>
        <v>0</v>
      </c>
      <c r="K5709">
        <f>_xlfn.XLOOKUP($A5709,Load!$B:$B,Load!L:L,0,)</f>
        <v>0</v>
      </c>
      <c r="L5709">
        <f>_xlfn.XLOOKUP($A5709,Load!$B:$B,Load!M:M,0,)</f>
        <v>0</v>
      </c>
    </row>
    <row r="5710" spans="1:12" x14ac:dyDescent="0.25">
      <c r="A5710" t="s">
        <v>301</v>
      </c>
      <c r="B5710" t="str">
        <f>_xlfn.XLOOKUP($A5710,Load!$B:$B,Load!C:C,0,)</f>
        <v>Twizzlers</v>
      </c>
      <c r="C5710" t="str">
        <f>_xlfn.XLOOKUP($A5710,Load!$B:$B,Load!D:D,0,)</f>
        <v>Non-Chocolate Candy Only</v>
      </c>
      <c r="D5710" t="str">
        <f>_xlfn.XLOOKUP($A5710,Load!$B:$B,Load!E:E,0,)</f>
        <v>Variety / Mixed Flavors (Fruity, Sour, Seasonal Flavors)</v>
      </c>
      <c r="E5710" t="str">
        <f>_xlfn.XLOOKUP($A5710,Load!$B:$B,Load!F:F,0,)</f>
        <v>Mixed / Combo Packs (Gummy, Chewy, Taffy, etc.)</v>
      </c>
      <c r="F5710" t="str">
        <f>_xlfn.XLOOKUP($A5710,Load!$B:$B,Load!G:G,0,)</f>
        <v>Medium Multipack (40–80 ct)</v>
      </c>
      <c r="G5710" t="str">
        <f>_xlfn.XLOOKUP($A5710,Load!$B:$B,Load!H:H,0,)</f>
        <v>Laydown Bag</v>
      </c>
      <c r="H5710" t="str">
        <f>_xlfn.XLOOKUP($A5710,Load!$B:$B,Load!I:I,0,)</f>
        <v>Everyday Candy Shapes (like Original, Gummy bear, Fruit, Jewels, etc.)</v>
      </c>
      <c r="I5710" t="str">
        <f>_xlfn.XLOOKUP($A5710,Load!$B:$B,Load!J:J,0,)</f>
        <v>Seasonal Graphics (Like Bat, Ghost, Pumpkin, Fall Leaves, Eyeballs, etc.)</v>
      </c>
      <c r="J5710" t="str">
        <f>_xlfn.XLOOKUP($A5710,Load!$B:$B,Load!K:K,0,)</f>
        <v>Fun Size / Treat Size</v>
      </c>
      <c r="K5710" t="str">
        <f>_xlfn.XLOOKUP($A5710,Load!$B:$B,Load!L:L,0,)</f>
        <v>Regular/Original Wrapping</v>
      </c>
      <c r="L5710" t="str">
        <f>_xlfn.XLOOKUP($A5710,Load!$B:$B,Load!M:M,0,)</f>
        <v>Single Brand / Variety Flavors or Form</v>
      </c>
    </row>
    <row r="5711" spans="1:12" x14ac:dyDescent="0.25">
      <c r="A5711" t="s">
        <v>234</v>
      </c>
      <c r="B5711" t="str">
        <f>_xlfn.XLOOKUP($A5711,Load!$B:$B,Load!C:C,0,)</f>
        <v>Nerds</v>
      </c>
      <c r="C5711" t="str">
        <f>_xlfn.XLOOKUP($A5711,Load!$B:$B,Load!D:D,0,)</f>
        <v>Non-Chocolate Candy Only</v>
      </c>
      <c r="D5711" t="str">
        <f>_xlfn.XLOOKUP($A5711,Load!$B:$B,Load!E:E,0,)</f>
        <v>Variety / Mixed Flavors (Fruity, Sour, Seasonal Flavors)</v>
      </c>
      <c r="E5711" t="str">
        <f>_xlfn.XLOOKUP($A5711,Load!$B:$B,Load!F:F,0,)</f>
        <v>Mixed / Combo Packs (Gummy, Chewy, Taffy, etc.)</v>
      </c>
      <c r="F5711" t="str">
        <f>_xlfn.XLOOKUP($A5711,Load!$B:$B,Load!G:G,0,)</f>
        <v>Large Multipack (More than 80 ct)</v>
      </c>
      <c r="G5711" t="str">
        <f>_xlfn.XLOOKUP($A5711,Load!$B:$B,Load!H:H,0,)</f>
        <v>Stand-Up Bag</v>
      </c>
      <c r="H5711" t="str">
        <f>_xlfn.XLOOKUP($A5711,Load!$B:$B,Load!I:I,0,)</f>
        <v>Everyday Candy Shapes (like Original, Gummy bear, Fruit, Jewels, etc.)</v>
      </c>
      <c r="I5711" t="str">
        <f>_xlfn.XLOOKUP($A5711,Load!$B:$B,Load!J:J,0,)</f>
        <v>Everyday Graphics</v>
      </c>
      <c r="J5711" t="str">
        <f>_xlfn.XLOOKUP($A5711,Load!$B:$B,Load!K:K,0,)</f>
        <v>Fun Size / Treat Size</v>
      </c>
      <c r="K5711" t="str">
        <f>_xlfn.XLOOKUP($A5711,Load!$B:$B,Load!L:L,0,)</f>
        <v>Regular/Original Wrapping</v>
      </c>
      <c r="L5711" t="str">
        <f>_xlfn.XLOOKUP($A5711,Load!$B:$B,Load!M:M,0,)</f>
        <v>Single Brand / Variety Flavors or Form</v>
      </c>
    </row>
    <row r="5712" spans="1:12" x14ac:dyDescent="0.25">
      <c r="A5712" t="s">
        <v>100</v>
      </c>
      <c r="B5712" t="str">
        <f>_xlfn.XLOOKUP($A5712,Load!$B:$B,Load!C:C,0,)</f>
        <v>Flix</v>
      </c>
      <c r="C5712" t="str">
        <f>_xlfn.XLOOKUP($A5712,Load!$B:$B,Load!D:D,0,)</f>
        <v>Non-Chocolate Candy Only</v>
      </c>
      <c r="D5712" t="str">
        <f>_xlfn.XLOOKUP($A5712,Load!$B:$B,Load!E:E,0,)</f>
        <v>Berry Based (Raspberry, Strawberry, Medley, etc.)</v>
      </c>
      <c r="E5712" t="str">
        <f>_xlfn.XLOOKUP($A5712,Load!$B:$B,Load!F:F,0,)</f>
        <v>Gummy</v>
      </c>
      <c r="F5712" t="str">
        <f>_xlfn.XLOOKUP($A5712,Load!$B:$B,Load!G:G,0,)</f>
        <v>Small Multipack (Less than 40 ct)</v>
      </c>
      <c r="G5712" t="str">
        <f>_xlfn.XLOOKUP($A5712,Load!$B:$B,Load!H:H,0,)</f>
        <v>Box (theatre box, gift box, carton)</v>
      </c>
      <c r="H5712" t="str">
        <f>_xlfn.XLOOKUP($A5712,Load!$B:$B,Load!I:I,0,)</f>
        <v>Seasonal Shapes (like pumpkins, candy corn, ghost, bats, etc.)</v>
      </c>
      <c r="I5712" t="str">
        <f>_xlfn.XLOOKUP($A5712,Load!$B:$B,Load!J:J,0,)</f>
        <v>Seasonal Graphics (Like Bat, Ghost, Pumpkin, Fall Leaves, Eyeballs, etc.)</v>
      </c>
      <c r="J5712" t="str">
        <f>_xlfn.XLOOKUP($A5712,Load!$B:$B,Load!K:K,0,)</f>
        <v xml:space="preserve">Variety Candy Sizes </v>
      </c>
      <c r="K5712" t="str">
        <f>_xlfn.XLOOKUP($A5712,Load!$B:$B,Load!L:L,0,)</f>
        <v>Unwrapped</v>
      </c>
      <c r="L5712" t="str">
        <f>_xlfn.XLOOKUP($A5712,Load!$B:$B,Load!M:M,0,)</f>
        <v>Single Brand / Variety Flavors or Form</v>
      </c>
    </row>
    <row r="5713" spans="1:12" x14ac:dyDescent="0.25">
      <c r="A5713" t="s">
        <v>31</v>
      </c>
      <c r="B5713" t="str">
        <f>_xlfn.XLOOKUP($A5713,Load!$B:$B,Load!C:C,0,)</f>
        <v>AMOS</v>
      </c>
      <c r="C5713" t="str">
        <f>_xlfn.XLOOKUP($A5713,Load!$B:$B,Load!D:D,0,)</f>
        <v>Non-Chocolate Candy Only</v>
      </c>
      <c r="D5713" t="str">
        <f>_xlfn.XLOOKUP($A5713,Load!$B:$B,Load!E:E,0,)</f>
        <v>Berry Based (Raspberry, Strawberry, Medley, etc.)</v>
      </c>
      <c r="E5713" t="str">
        <f>_xlfn.XLOOKUP($A5713,Load!$B:$B,Load!F:F,0,)</f>
        <v>Gummy</v>
      </c>
      <c r="F5713" t="str">
        <f>_xlfn.XLOOKUP($A5713,Load!$B:$B,Load!G:G,0,)</f>
        <v>Medium Multipack (40–80 ct)</v>
      </c>
      <c r="G5713" t="str">
        <f>_xlfn.XLOOKUP($A5713,Load!$B:$B,Load!H:H,0,)</f>
        <v>Laydown Bag</v>
      </c>
      <c r="H5713" t="str">
        <f>_xlfn.XLOOKUP($A5713,Load!$B:$B,Load!I:I,0,)</f>
        <v>Seasonal Shapes (like pumpkins, candy corn, ghost, bats, etc.)</v>
      </c>
      <c r="I5713" t="str">
        <f>_xlfn.XLOOKUP($A5713,Load!$B:$B,Load!J:J,0,)</f>
        <v>Seasonal Graphics (Like Bat, Ghost, Pumpkin, Fall Leaves, Eyeballs, etc.)</v>
      </c>
      <c r="J5713" t="str">
        <f>_xlfn.XLOOKUP($A5713,Load!$B:$B,Load!K:K,0,)</f>
        <v>Small Pieces (Tiny bite size candies)</v>
      </c>
      <c r="K5713" t="str">
        <f>_xlfn.XLOOKUP($A5713,Load!$B:$B,Load!L:L,0,)</f>
        <v>Unwrapped</v>
      </c>
      <c r="L5713" t="str">
        <f>_xlfn.XLOOKUP($A5713,Load!$B:$B,Load!M:M,0,)</f>
        <v>Single Brand / Variety Flavors or Form</v>
      </c>
    </row>
    <row r="5714" spans="1:12" x14ac:dyDescent="0.25">
      <c r="A5714" t="s">
        <v>312</v>
      </c>
      <c r="B5714" t="str">
        <f>_xlfn.XLOOKUP($A5714,Load!$B:$B,Load!C:C,0,)</f>
        <v>Werther's Original</v>
      </c>
      <c r="C5714" t="str">
        <f>_xlfn.XLOOKUP($A5714,Load!$B:$B,Load!D:D,0,)</f>
        <v>Non-Chocolate Candy Only</v>
      </c>
      <c r="D5714" t="str">
        <f>_xlfn.XLOOKUP($A5714,Load!$B:$B,Load!E:E,0,)</f>
        <v>Fall / Seasonal Flavors (pumpkin spice, caramel apple, candy corn)</v>
      </c>
      <c r="E5714" t="str">
        <f>_xlfn.XLOOKUP($A5714,Load!$B:$B,Load!F:F,0,)</f>
        <v>Chewy</v>
      </c>
      <c r="F5714" t="str">
        <f>_xlfn.XLOOKUP($A5714,Load!$B:$B,Load!G:G,0,)</f>
        <v>Single Pack</v>
      </c>
      <c r="G5714" t="str">
        <f>_xlfn.XLOOKUP($A5714,Load!$B:$B,Load!H:H,0,)</f>
        <v>Stand-Up Bag</v>
      </c>
      <c r="H5714" t="str">
        <f>_xlfn.XLOOKUP($A5714,Load!$B:$B,Load!I:I,0,)</f>
        <v>Everyday Candy Shapes (like Original, Gummy bear, Fruit, Jewels, etc.)</v>
      </c>
      <c r="I5714" t="str">
        <f>_xlfn.XLOOKUP($A5714,Load!$B:$B,Load!J:J,0,)</f>
        <v>Seasonal Graphics (Like Bat, Ghost, Pumpkin, Fall Leaves, Eyeballs, etc.)</v>
      </c>
      <c r="J5714" t="str">
        <f>_xlfn.XLOOKUP($A5714,Load!$B:$B,Load!K:K,0,)</f>
        <v>Fun Size / Treat Size</v>
      </c>
      <c r="K5714" t="str">
        <f>_xlfn.XLOOKUP($A5714,Load!$B:$B,Load!L:L,0,)</f>
        <v>Regular/Original Wrapping</v>
      </c>
      <c r="L5714" t="str">
        <f>_xlfn.XLOOKUP($A5714,Load!$B:$B,Load!M:M,0,)</f>
        <v>Single Brand / Single Flavor or Form</v>
      </c>
    </row>
    <row r="5715" spans="1:12" x14ac:dyDescent="0.25">
      <c r="A5715" t="s">
        <v>224</v>
      </c>
      <c r="B5715" t="str">
        <f>_xlfn.XLOOKUP($A5715,Load!$B:$B,Load!C:C,0,)</f>
        <v>Nerds</v>
      </c>
      <c r="C5715" t="str">
        <f>_xlfn.XLOOKUP($A5715,Load!$B:$B,Load!D:D,0,)</f>
        <v>Non-Chocolate Candy Only</v>
      </c>
      <c r="D5715" t="str">
        <f>_xlfn.XLOOKUP($A5715,Load!$B:$B,Load!E:E,0,)</f>
        <v>Sweet</v>
      </c>
      <c r="E5715" t="str">
        <f>_xlfn.XLOOKUP($A5715,Load!$B:$B,Load!F:F,0,)</f>
        <v>Mixed / Combo Packs (Gummy, Chewy, Taffy, etc.)</v>
      </c>
      <c r="F5715" t="str">
        <f>_xlfn.XLOOKUP($A5715,Load!$B:$B,Load!G:G,0,)</f>
        <v>Medium Multipack (40–80 ct)</v>
      </c>
      <c r="G5715" t="str">
        <f>_xlfn.XLOOKUP($A5715,Load!$B:$B,Load!H:H,0,)</f>
        <v>Stand-Up Bag</v>
      </c>
      <c r="H5715" t="str">
        <f>_xlfn.XLOOKUP($A5715,Load!$B:$B,Load!I:I,0,)</f>
        <v>Everyday Candy Shapes (like Original, Gummy bear, Fruit, Jewels, etc.)</v>
      </c>
      <c r="I5715" t="str">
        <f>_xlfn.XLOOKUP($A5715,Load!$B:$B,Load!J:J,0,)</f>
        <v>Seasonal Graphics (Like Bat, Ghost, Pumpkin, Fall Leaves, Eyeballs, etc.)</v>
      </c>
      <c r="J5715" t="str">
        <f>_xlfn.XLOOKUP($A5715,Load!$B:$B,Load!K:K,0,)</f>
        <v xml:space="preserve">Variety Candy Sizes </v>
      </c>
      <c r="K5715" t="str">
        <f>_xlfn.XLOOKUP($A5715,Load!$B:$B,Load!L:L,0,)</f>
        <v>Regular/Original Wrapping</v>
      </c>
      <c r="L5715" t="str">
        <f>_xlfn.XLOOKUP($A5715,Load!$B:$B,Load!M:M,0,)</f>
        <v>Single Brand / Variety Flavors or Form</v>
      </c>
    </row>
    <row r="5716" spans="1:12" x14ac:dyDescent="0.25">
      <c r="B5716">
        <f>_xlfn.XLOOKUP($A5716,Load!$B:$B,Load!C:C,0,)</f>
        <v>0</v>
      </c>
      <c r="C5716">
        <f>_xlfn.XLOOKUP($A5716,Load!$B:$B,Load!D:D,0,)</f>
        <v>0</v>
      </c>
      <c r="D5716">
        <f>_xlfn.XLOOKUP($A5716,Load!$B:$B,Load!E:E,0,)</f>
        <v>0</v>
      </c>
      <c r="E5716">
        <f>_xlfn.XLOOKUP($A5716,Load!$B:$B,Load!F:F,0,)</f>
        <v>0</v>
      </c>
      <c r="F5716">
        <f>_xlfn.XLOOKUP($A5716,Load!$B:$B,Load!G:G,0,)</f>
        <v>0</v>
      </c>
      <c r="G5716">
        <f>_xlfn.XLOOKUP($A5716,Load!$B:$B,Load!H:H,0,)</f>
        <v>0</v>
      </c>
      <c r="H5716">
        <f>_xlfn.XLOOKUP($A5716,Load!$B:$B,Load!I:I,0,)</f>
        <v>0</v>
      </c>
      <c r="I5716">
        <f>_xlfn.XLOOKUP($A5716,Load!$B:$B,Load!J:J,0,)</f>
        <v>0</v>
      </c>
      <c r="J5716">
        <f>_xlfn.XLOOKUP($A5716,Load!$B:$B,Load!K:K,0,)</f>
        <v>0</v>
      </c>
      <c r="K5716">
        <f>_xlfn.XLOOKUP($A5716,Load!$B:$B,Load!L:L,0,)</f>
        <v>0</v>
      </c>
      <c r="L5716">
        <f>_xlfn.XLOOKUP($A5716,Load!$B:$B,Load!M:M,0,)</f>
        <v>0</v>
      </c>
    </row>
    <row r="5717" spans="1:12" x14ac:dyDescent="0.25">
      <c r="B5717">
        <f>_xlfn.XLOOKUP($A5717,Load!$B:$B,Load!C:C,0,)</f>
        <v>0</v>
      </c>
      <c r="C5717">
        <f>_xlfn.XLOOKUP($A5717,Load!$B:$B,Load!D:D,0,)</f>
        <v>0</v>
      </c>
      <c r="D5717">
        <f>_xlfn.XLOOKUP($A5717,Load!$B:$B,Load!E:E,0,)</f>
        <v>0</v>
      </c>
      <c r="E5717">
        <f>_xlfn.XLOOKUP($A5717,Load!$B:$B,Load!F:F,0,)</f>
        <v>0</v>
      </c>
      <c r="F5717">
        <f>_xlfn.XLOOKUP($A5717,Load!$B:$B,Load!G:G,0,)</f>
        <v>0</v>
      </c>
      <c r="G5717">
        <f>_xlfn.XLOOKUP($A5717,Load!$B:$B,Load!H:H,0,)</f>
        <v>0</v>
      </c>
      <c r="H5717">
        <f>_xlfn.XLOOKUP($A5717,Load!$B:$B,Load!I:I,0,)</f>
        <v>0</v>
      </c>
      <c r="I5717">
        <f>_xlfn.XLOOKUP($A5717,Load!$B:$B,Load!J:J,0,)</f>
        <v>0</v>
      </c>
      <c r="J5717">
        <f>_xlfn.XLOOKUP($A5717,Load!$B:$B,Load!K:K,0,)</f>
        <v>0</v>
      </c>
      <c r="K5717">
        <f>_xlfn.XLOOKUP($A5717,Load!$B:$B,Load!L:L,0,)</f>
        <v>0</v>
      </c>
      <c r="L5717">
        <f>_xlfn.XLOOKUP($A5717,Load!$B:$B,Load!M:M,0,)</f>
        <v>0</v>
      </c>
    </row>
    <row r="5718" spans="1:12" x14ac:dyDescent="0.25">
      <c r="B5718">
        <f>_xlfn.XLOOKUP($A5718,Load!$B:$B,Load!C:C,0,)</f>
        <v>0</v>
      </c>
      <c r="C5718">
        <f>_xlfn.XLOOKUP($A5718,Load!$B:$B,Load!D:D,0,)</f>
        <v>0</v>
      </c>
      <c r="D5718">
        <f>_xlfn.XLOOKUP($A5718,Load!$B:$B,Load!E:E,0,)</f>
        <v>0</v>
      </c>
      <c r="E5718">
        <f>_xlfn.XLOOKUP($A5718,Load!$B:$B,Load!F:F,0,)</f>
        <v>0</v>
      </c>
      <c r="F5718">
        <f>_xlfn.XLOOKUP($A5718,Load!$B:$B,Load!G:G,0,)</f>
        <v>0</v>
      </c>
      <c r="G5718">
        <f>_xlfn.XLOOKUP($A5718,Load!$B:$B,Load!H:H,0,)</f>
        <v>0</v>
      </c>
      <c r="H5718">
        <f>_xlfn.XLOOKUP($A5718,Load!$B:$B,Load!I:I,0,)</f>
        <v>0</v>
      </c>
      <c r="I5718">
        <f>_xlfn.XLOOKUP($A5718,Load!$B:$B,Load!J:J,0,)</f>
        <v>0</v>
      </c>
      <c r="J5718">
        <f>_xlfn.XLOOKUP($A5718,Load!$B:$B,Load!K:K,0,)</f>
        <v>0</v>
      </c>
      <c r="K5718">
        <f>_xlfn.XLOOKUP($A5718,Load!$B:$B,Load!L:L,0,)</f>
        <v>0</v>
      </c>
      <c r="L5718">
        <f>_xlfn.XLOOKUP($A5718,Load!$B:$B,Load!M:M,0,)</f>
        <v>0</v>
      </c>
    </row>
    <row r="5719" spans="1:12" x14ac:dyDescent="0.25">
      <c r="B5719">
        <f>_xlfn.XLOOKUP($A5719,Load!$B:$B,Load!C:C,0,)</f>
        <v>0</v>
      </c>
      <c r="C5719">
        <f>_xlfn.XLOOKUP($A5719,Load!$B:$B,Load!D:D,0,)</f>
        <v>0</v>
      </c>
      <c r="D5719">
        <f>_xlfn.XLOOKUP($A5719,Load!$B:$B,Load!E:E,0,)</f>
        <v>0</v>
      </c>
      <c r="E5719">
        <f>_xlfn.XLOOKUP($A5719,Load!$B:$B,Load!F:F,0,)</f>
        <v>0</v>
      </c>
      <c r="F5719">
        <f>_xlfn.XLOOKUP($A5719,Load!$B:$B,Load!G:G,0,)</f>
        <v>0</v>
      </c>
      <c r="G5719">
        <f>_xlfn.XLOOKUP($A5719,Load!$B:$B,Load!H:H,0,)</f>
        <v>0</v>
      </c>
      <c r="H5719">
        <f>_xlfn.XLOOKUP($A5719,Load!$B:$B,Load!I:I,0,)</f>
        <v>0</v>
      </c>
      <c r="I5719">
        <f>_xlfn.XLOOKUP($A5719,Load!$B:$B,Load!J:J,0,)</f>
        <v>0</v>
      </c>
      <c r="J5719">
        <f>_xlfn.XLOOKUP($A5719,Load!$B:$B,Load!K:K,0,)</f>
        <v>0</v>
      </c>
      <c r="K5719">
        <f>_xlfn.XLOOKUP($A5719,Load!$B:$B,Load!L:L,0,)</f>
        <v>0</v>
      </c>
      <c r="L5719">
        <f>_xlfn.XLOOKUP($A5719,Load!$B:$B,Load!M:M,0,)</f>
        <v>0</v>
      </c>
    </row>
    <row r="5720" spans="1:12" x14ac:dyDescent="0.25">
      <c r="A5720" t="s">
        <v>203</v>
      </c>
      <c r="B5720" t="str">
        <f>_xlfn.XLOOKUP($A5720,Load!$B:$B,Load!C:C,0,)</f>
        <v>Mars Variety Pack</v>
      </c>
      <c r="C5720" t="str">
        <f>_xlfn.XLOOKUP($A5720,Load!$B:$B,Load!D:D,0,)</f>
        <v>Mix of Chocolate and Non-Chocolate Candy</v>
      </c>
      <c r="D5720" t="str">
        <f>_xlfn.XLOOKUP($A5720,Load!$B:$B,Load!E:E,0,)</f>
        <v>Variety / Mixed Flavors (Fruity, Sour, Seasonal Flavors)</v>
      </c>
      <c r="E5720" t="str">
        <f>_xlfn.XLOOKUP($A5720,Load!$B:$B,Load!F:F,0,)</f>
        <v>Mixed / Combo Packs (Gummy, Chewy, Taffy, etc.)</v>
      </c>
      <c r="F5720" t="str">
        <f>_xlfn.XLOOKUP($A5720,Load!$B:$B,Load!G:G,0,)</f>
        <v>Small Multipack (Less than 40 ct)</v>
      </c>
      <c r="G5720" t="str">
        <f>_xlfn.XLOOKUP($A5720,Load!$B:$B,Load!H:H,0,)</f>
        <v>Box (theatre box, gift box, carton)</v>
      </c>
      <c r="H5720" t="str">
        <f>_xlfn.XLOOKUP($A5720,Load!$B:$B,Load!I:I,0,)</f>
        <v>Everyday Candy Shapes (like Original, Gummy bear, Fruit, Jewels, etc.)</v>
      </c>
      <c r="I5720" t="str">
        <f>_xlfn.XLOOKUP($A5720,Load!$B:$B,Load!J:J,0,)</f>
        <v>Everyday Graphics</v>
      </c>
      <c r="J5720" t="str">
        <f>_xlfn.XLOOKUP($A5720,Load!$B:$B,Load!K:K,0,)</f>
        <v>Fun Size / Treat Size</v>
      </c>
      <c r="K5720" t="str">
        <f>_xlfn.XLOOKUP($A5720,Load!$B:$B,Load!L:L,0,)</f>
        <v>Regular/Original Wrapping</v>
      </c>
      <c r="L5720" t="str">
        <f>_xlfn.XLOOKUP($A5720,Load!$B:$B,Load!M:M,0,)</f>
        <v>Multiple Brands / Variety Flavors or Form</v>
      </c>
    </row>
    <row r="5721" spans="1:12" x14ac:dyDescent="0.25">
      <c r="B5721">
        <f>_xlfn.XLOOKUP($A5721,Load!$B:$B,Load!C:C,0,)</f>
        <v>0</v>
      </c>
      <c r="C5721">
        <f>_xlfn.XLOOKUP($A5721,Load!$B:$B,Load!D:D,0,)</f>
        <v>0</v>
      </c>
      <c r="D5721">
        <f>_xlfn.XLOOKUP($A5721,Load!$B:$B,Load!E:E,0,)</f>
        <v>0</v>
      </c>
      <c r="E5721">
        <f>_xlfn.XLOOKUP($A5721,Load!$B:$B,Load!F:F,0,)</f>
        <v>0</v>
      </c>
      <c r="F5721">
        <f>_xlfn.XLOOKUP($A5721,Load!$B:$B,Load!G:G,0,)</f>
        <v>0</v>
      </c>
      <c r="G5721">
        <f>_xlfn.XLOOKUP($A5721,Load!$B:$B,Load!H:H,0,)</f>
        <v>0</v>
      </c>
      <c r="H5721">
        <f>_xlfn.XLOOKUP($A5721,Load!$B:$B,Load!I:I,0,)</f>
        <v>0</v>
      </c>
      <c r="I5721">
        <f>_xlfn.XLOOKUP($A5721,Load!$B:$B,Load!J:J,0,)</f>
        <v>0</v>
      </c>
      <c r="J5721">
        <f>_xlfn.XLOOKUP($A5721,Load!$B:$B,Load!K:K,0,)</f>
        <v>0</v>
      </c>
      <c r="K5721">
        <f>_xlfn.XLOOKUP($A5721,Load!$B:$B,Load!L:L,0,)</f>
        <v>0</v>
      </c>
      <c r="L5721">
        <f>_xlfn.XLOOKUP($A5721,Load!$B:$B,Load!M:M,0,)</f>
        <v>0</v>
      </c>
    </row>
    <row r="5722" spans="1:12" x14ac:dyDescent="0.25">
      <c r="B5722">
        <f>_xlfn.XLOOKUP($A5722,Load!$B:$B,Load!C:C,0,)</f>
        <v>0</v>
      </c>
      <c r="C5722">
        <f>_xlfn.XLOOKUP($A5722,Load!$B:$B,Load!D:D,0,)</f>
        <v>0</v>
      </c>
      <c r="D5722">
        <f>_xlfn.XLOOKUP($A5722,Load!$B:$B,Load!E:E,0,)</f>
        <v>0</v>
      </c>
      <c r="E5722">
        <f>_xlfn.XLOOKUP($A5722,Load!$B:$B,Load!F:F,0,)</f>
        <v>0</v>
      </c>
      <c r="F5722">
        <f>_xlfn.XLOOKUP($A5722,Load!$B:$B,Load!G:G,0,)</f>
        <v>0</v>
      </c>
      <c r="G5722">
        <f>_xlfn.XLOOKUP($A5722,Load!$B:$B,Load!H:H,0,)</f>
        <v>0</v>
      </c>
      <c r="H5722">
        <f>_xlfn.XLOOKUP($A5722,Load!$B:$B,Load!I:I,0,)</f>
        <v>0</v>
      </c>
      <c r="I5722">
        <f>_xlfn.XLOOKUP($A5722,Load!$B:$B,Load!J:J,0,)</f>
        <v>0</v>
      </c>
      <c r="J5722">
        <f>_xlfn.XLOOKUP($A5722,Load!$B:$B,Load!K:K,0,)</f>
        <v>0</v>
      </c>
      <c r="K5722">
        <f>_xlfn.XLOOKUP($A5722,Load!$B:$B,Load!L:L,0,)</f>
        <v>0</v>
      </c>
      <c r="L5722">
        <f>_xlfn.XLOOKUP($A5722,Load!$B:$B,Load!M:M,0,)</f>
        <v>0</v>
      </c>
    </row>
    <row r="5723" spans="1:12" x14ac:dyDescent="0.25">
      <c r="B5723">
        <f>_xlfn.XLOOKUP($A5723,Load!$B:$B,Load!C:C,0,)</f>
        <v>0</v>
      </c>
      <c r="C5723">
        <f>_xlfn.XLOOKUP($A5723,Load!$B:$B,Load!D:D,0,)</f>
        <v>0</v>
      </c>
      <c r="D5723">
        <f>_xlfn.XLOOKUP($A5723,Load!$B:$B,Load!E:E,0,)</f>
        <v>0</v>
      </c>
      <c r="E5723">
        <f>_xlfn.XLOOKUP($A5723,Load!$B:$B,Load!F:F,0,)</f>
        <v>0</v>
      </c>
      <c r="F5723">
        <f>_xlfn.XLOOKUP($A5723,Load!$B:$B,Load!G:G,0,)</f>
        <v>0</v>
      </c>
      <c r="G5723">
        <f>_xlfn.XLOOKUP($A5723,Load!$B:$B,Load!H:H,0,)</f>
        <v>0</v>
      </c>
      <c r="H5723">
        <f>_xlfn.XLOOKUP($A5723,Load!$B:$B,Load!I:I,0,)</f>
        <v>0</v>
      </c>
      <c r="I5723">
        <f>_xlfn.XLOOKUP($A5723,Load!$B:$B,Load!J:J,0,)</f>
        <v>0</v>
      </c>
      <c r="J5723">
        <f>_xlfn.XLOOKUP($A5723,Load!$B:$B,Load!K:K,0,)</f>
        <v>0</v>
      </c>
      <c r="K5723">
        <f>_xlfn.XLOOKUP($A5723,Load!$B:$B,Load!L:L,0,)</f>
        <v>0</v>
      </c>
      <c r="L5723">
        <f>_xlfn.XLOOKUP($A5723,Load!$B:$B,Load!M:M,0,)</f>
        <v>0</v>
      </c>
    </row>
    <row r="5724" spans="1:12" x14ac:dyDescent="0.25">
      <c r="A5724" t="s">
        <v>66</v>
      </c>
      <c r="B5724" t="str">
        <f>_xlfn.XLOOKUP($A5724,Load!$B:$B,Load!C:C,0,)</f>
        <v>Dots</v>
      </c>
      <c r="C5724" t="str">
        <f>_xlfn.XLOOKUP($A5724,Load!$B:$B,Load!D:D,0,)</f>
        <v>Non-Chocolate Candy Only</v>
      </c>
      <c r="D5724" t="str">
        <f>_xlfn.XLOOKUP($A5724,Load!$B:$B,Load!E:E,0,)</f>
        <v>Variety / Mixed Flavors (Fruity, Sour, Seasonal Flavors)</v>
      </c>
      <c r="E5724" t="str">
        <f>_xlfn.XLOOKUP($A5724,Load!$B:$B,Load!F:F,0,)</f>
        <v>Candy Pieces / Bites</v>
      </c>
      <c r="F5724" t="str">
        <f>_xlfn.XLOOKUP($A5724,Load!$B:$B,Load!G:G,0,)</f>
        <v>Small Multipack (Less than 40 ct)</v>
      </c>
      <c r="G5724" t="str">
        <f>_xlfn.XLOOKUP($A5724,Load!$B:$B,Load!H:H,0,)</f>
        <v>Stand-Up Bag</v>
      </c>
      <c r="H5724" t="str">
        <f>_xlfn.XLOOKUP($A5724,Load!$B:$B,Load!I:I,0,)</f>
        <v>Seasonal Shapes (like pumpkins, candy corn, ghost, bats, etc.)</v>
      </c>
      <c r="I5724" t="str">
        <f>_xlfn.XLOOKUP($A5724,Load!$B:$B,Load!J:J,0,)</f>
        <v>Seasonal Graphics (Like Bat, Ghost, Pumpkin, Fall Leaves, Eyeballs, etc.)</v>
      </c>
      <c r="J5724" t="str">
        <f>_xlfn.XLOOKUP($A5724,Load!$B:$B,Load!K:K,0,)</f>
        <v>Fun Size / Treat Size</v>
      </c>
      <c r="K5724" t="str">
        <f>_xlfn.XLOOKUP($A5724,Load!$B:$B,Load!L:L,0,)</f>
        <v>Regular/Original Wrapping</v>
      </c>
      <c r="L5724" t="str">
        <f>_xlfn.XLOOKUP($A5724,Load!$B:$B,Load!M:M,0,)</f>
        <v>Single Brand / Variety Flavors or Form</v>
      </c>
    </row>
    <row r="5725" spans="1:12" x14ac:dyDescent="0.25">
      <c r="B5725">
        <f>_xlfn.XLOOKUP($A5725,Load!$B:$B,Load!C:C,0,)</f>
        <v>0</v>
      </c>
      <c r="C5725">
        <f>_xlfn.XLOOKUP($A5725,Load!$B:$B,Load!D:D,0,)</f>
        <v>0</v>
      </c>
      <c r="D5725">
        <f>_xlfn.XLOOKUP($A5725,Load!$B:$B,Load!E:E,0,)</f>
        <v>0</v>
      </c>
      <c r="E5725">
        <f>_xlfn.XLOOKUP($A5725,Load!$B:$B,Load!F:F,0,)</f>
        <v>0</v>
      </c>
      <c r="F5725">
        <f>_xlfn.XLOOKUP($A5725,Load!$B:$B,Load!G:G,0,)</f>
        <v>0</v>
      </c>
      <c r="G5725">
        <f>_xlfn.XLOOKUP($A5725,Load!$B:$B,Load!H:H,0,)</f>
        <v>0</v>
      </c>
      <c r="H5725">
        <f>_xlfn.XLOOKUP($A5725,Load!$B:$B,Load!I:I,0,)</f>
        <v>0</v>
      </c>
      <c r="I5725">
        <f>_xlfn.XLOOKUP($A5725,Load!$B:$B,Load!J:J,0,)</f>
        <v>0</v>
      </c>
      <c r="J5725">
        <f>_xlfn.XLOOKUP($A5725,Load!$B:$B,Load!K:K,0,)</f>
        <v>0</v>
      </c>
      <c r="K5725">
        <f>_xlfn.XLOOKUP($A5725,Load!$B:$B,Load!L:L,0,)</f>
        <v>0</v>
      </c>
      <c r="L5725">
        <f>_xlfn.XLOOKUP($A5725,Load!$B:$B,Load!M:M,0,)</f>
        <v>0</v>
      </c>
    </row>
    <row r="5726" spans="1:12" x14ac:dyDescent="0.25">
      <c r="A5726" t="s">
        <v>122</v>
      </c>
      <c r="B5726" t="str">
        <f>_xlfn.XLOOKUP($A5726,Load!$B:$B,Load!C:C,0,)</f>
        <v>HARIBO</v>
      </c>
      <c r="C5726" t="str">
        <f>_xlfn.XLOOKUP($A5726,Load!$B:$B,Load!D:D,0,)</f>
        <v>Non-Chocolate Candy Only</v>
      </c>
      <c r="D5726" t="str">
        <f>_xlfn.XLOOKUP($A5726,Load!$B:$B,Load!E:E,0,)</f>
        <v>Variety / Mixed Flavors (Fruity, Sour, Seasonal Flavors)</v>
      </c>
      <c r="E5726" t="str">
        <f>_xlfn.XLOOKUP($A5726,Load!$B:$B,Load!F:F,0,)</f>
        <v>Gummy</v>
      </c>
      <c r="F5726" t="str">
        <f>_xlfn.XLOOKUP($A5726,Load!$B:$B,Load!G:G,0,)</f>
        <v>Medium Multipack (40–80 ct)</v>
      </c>
      <c r="G5726" t="str">
        <f>_xlfn.XLOOKUP($A5726,Load!$B:$B,Load!H:H,0,)</f>
        <v>Laydown Bag</v>
      </c>
      <c r="H5726" t="str">
        <f>_xlfn.XLOOKUP($A5726,Load!$B:$B,Load!I:I,0,)</f>
        <v>Seasonal Shapes (like pumpkins, candy corn, ghost, bats, etc.)</v>
      </c>
      <c r="I5726" t="str">
        <f>_xlfn.XLOOKUP($A5726,Load!$B:$B,Load!J:J,0,)</f>
        <v>Seasonal Graphics (Like Bat, Ghost, Pumpkin, Fall Leaves, Eyeballs, etc.)</v>
      </c>
      <c r="J5726" t="str">
        <f>_xlfn.XLOOKUP($A5726,Load!$B:$B,Load!K:K,0,)</f>
        <v>Small Pieces (Tiny bite size candies)</v>
      </c>
      <c r="K5726" t="str">
        <f>_xlfn.XLOOKUP($A5726,Load!$B:$B,Load!L:L,0,)</f>
        <v>Regular/Original Wrapping</v>
      </c>
      <c r="L5726" t="str">
        <f>_xlfn.XLOOKUP($A5726,Load!$B:$B,Load!M:M,0,)</f>
        <v>Multiple Brands / Variety Flavors or Form</v>
      </c>
    </row>
    <row r="5727" spans="1:12" x14ac:dyDescent="0.25">
      <c r="B5727">
        <f>_xlfn.XLOOKUP($A5727,Load!$B:$B,Load!C:C,0,)</f>
        <v>0</v>
      </c>
      <c r="C5727">
        <f>_xlfn.XLOOKUP($A5727,Load!$B:$B,Load!D:D,0,)</f>
        <v>0</v>
      </c>
      <c r="D5727">
        <f>_xlfn.XLOOKUP($A5727,Load!$B:$B,Load!E:E,0,)</f>
        <v>0</v>
      </c>
      <c r="E5727">
        <f>_xlfn.XLOOKUP($A5727,Load!$B:$B,Load!F:F,0,)</f>
        <v>0</v>
      </c>
      <c r="F5727">
        <f>_xlfn.XLOOKUP($A5727,Load!$B:$B,Load!G:G,0,)</f>
        <v>0</v>
      </c>
      <c r="G5727">
        <f>_xlfn.XLOOKUP($A5727,Load!$B:$B,Load!H:H,0,)</f>
        <v>0</v>
      </c>
      <c r="H5727">
        <f>_xlfn.XLOOKUP($A5727,Load!$B:$B,Load!I:I,0,)</f>
        <v>0</v>
      </c>
      <c r="I5727">
        <f>_xlfn.XLOOKUP($A5727,Load!$B:$B,Load!J:J,0,)</f>
        <v>0</v>
      </c>
      <c r="J5727">
        <f>_xlfn.XLOOKUP($A5727,Load!$B:$B,Load!K:K,0,)</f>
        <v>0</v>
      </c>
      <c r="K5727">
        <f>_xlfn.XLOOKUP($A5727,Load!$B:$B,Load!L:L,0,)</f>
        <v>0</v>
      </c>
      <c r="L5727">
        <f>_xlfn.XLOOKUP($A5727,Load!$B:$B,Load!M:M,0,)</f>
        <v>0</v>
      </c>
    </row>
    <row r="5728" spans="1:12" x14ac:dyDescent="0.25">
      <c r="B5728">
        <f>_xlfn.XLOOKUP($A5728,Load!$B:$B,Load!C:C,0,)</f>
        <v>0</v>
      </c>
      <c r="C5728">
        <f>_xlfn.XLOOKUP($A5728,Load!$B:$B,Load!D:D,0,)</f>
        <v>0</v>
      </c>
      <c r="D5728">
        <f>_xlfn.XLOOKUP($A5728,Load!$B:$B,Load!E:E,0,)</f>
        <v>0</v>
      </c>
      <c r="E5728">
        <f>_xlfn.XLOOKUP($A5728,Load!$B:$B,Load!F:F,0,)</f>
        <v>0</v>
      </c>
      <c r="F5728">
        <f>_xlfn.XLOOKUP($A5728,Load!$B:$B,Load!G:G,0,)</f>
        <v>0</v>
      </c>
      <c r="G5728">
        <f>_xlfn.XLOOKUP($A5728,Load!$B:$B,Load!H:H,0,)</f>
        <v>0</v>
      </c>
      <c r="H5728">
        <f>_xlfn.XLOOKUP($A5728,Load!$B:$B,Load!I:I,0,)</f>
        <v>0</v>
      </c>
      <c r="I5728">
        <f>_xlfn.XLOOKUP($A5728,Load!$B:$B,Load!J:J,0,)</f>
        <v>0</v>
      </c>
      <c r="J5728">
        <f>_xlfn.XLOOKUP($A5728,Load!$B:$B,Load!K:K,0,)</f>
        <v>0</v>
      </c>
      <c r="K5728">
        <f>_xlfn.XLOOKUP($A5728,Load!$B:$B,Load!L:L,0,)</f>
        <v>0</v>
      </c>
      <c r="L5728">
        <f>_xlfn.XLOOKUP($A5728,Load!$B:$B,Load!M:M,0,)</f>
        <v>0</v>
      </c>
    </row>
    <row r="5729" spans="1:12" x14ac:dyDescent="0.25">
      <c r="B5729">
        <f>_xlfn.XLOOKUP($A5729,Load!$B:$B,Load!C:C,0,)</f>
        <v>0</v>
      </c>
      <c r="C5729">
        <f>_xlfn.XLOOKUP($A5729,Load!$B:$B,Load!D:D,0,)</f>
        <v>0</v>
      </c>
      <c r="D5729">
        <f>_xlfn.XLOOKUP($A5729,Load!$B:$B,Load!E:E,0,)</f>
        <v>0</v>
      </c>
      <c r="E5729">
        <f>_xlfn.XLOOKUP($A5729,Load!$B:$B,Load!F:F,0,)</f>
        <v>0</v>
      </c>
      <c r="F5729">
        <f>_xlfn.XLOOKUP($A5729,Load!$B:$B,Load!G:G,0,)</f>
        <v>0</v>
      </c>
      <c r="G5729">
        <f>_xlfn.XLOOKUP($A5729,Load!$B:$B,Load!H:H,0,)</f>
        <v>0</v>
      </c>
      <c r="H5729">
        <f>_xlfn.XLOOKUP($A5729,Load!$B:$B,Load!I:I,0,)</f>
        <v>0</v>
      </c>
      <c r="I5729">
        <f>_xlfn.XLOOKUP($A5729,Load!$B:$B,Load!J:J,0,)</f>
        <v>0</v>
      </c>
      <c r="J5729">
        <f>_xlfn.XLOOKUP($A5729,Load!$B:$B,Load!K:K,0,)</f>
        <v>0</v>
      </c>
      <c r="K5729">
        <f>_xlfn.XLOOKUP($A5729,Load!$B:$B,Load!L:L,0,)</f>
        <v>0</v>
      </c>
      <c r="L5729">
        <f>_xlfn.XLOOKUP($A5729,Load!$B:$B,Load!M:M,0,)</f>
        <v>0</v>
      </c>
    </row>
    <row r="5730" spans="1:12" x14ac:dyDescent="0.25">
      <c r="A5730" t="s">
        <v>187</v>
      </c>
      <c r="B5730" t="str">
        <f>_xlfn.XLOOKUP($A5730,Load!$B:$B,Load!C:C,0,)</f>
        <v>Mars Variety Pack</v>
      </c>
      <c r="C5730" t="str">
        <f>_xlfn.XLOOKUP($A5730,Load!$B:$B,Load!D:D,0,)</f>
        <v>Mix of Chocolate and Non-Chocolate Candy</v>
      </c>
      <c r="D5730" t="str">
        <f>_xlfn.XLOOKUP($A5730,Load!$B:$B,Load!E:E,0,)</f>
        <v>Variety / Mixed Flavors (Fruity, Sour, Seasonal Flavors)</v>
      </c>
      <c r="E5730" t="str">
        <f>_xlfn.XLOOKUP($A5730,Load!$B:$B,Load!F:F,0,)</f>
        <v>Mixed / Combo Packs (Gummy, Chewy, Taffy, etc.)</v>
      </c>
      <c r="F5730" t="str">
        <f>_xlfn.XLOOKUP($A5730,Load!$B:$B,Load!G:G,0,)</f>
        <v>Medium Multipack (40–80 ct)</v>
      </c>
      <c r="G5730" t="str">
        <f>_xlfn.XLOOKUP($A5730,Load!$B:$B,Load!H:H,0,)</f>
        <v>Stand-Up Bag</v>
      </c>
      <c r="H5730" t="str">
        <f>_xlfn.XLOOKUP($A5730,Load!$B:$B,Load!I:I,0,)</f>
        <v>Everyday Candy Shapes (like Original, Gummy bear, Fruit, Jewels, etc.)</v>
      </c>
      <c r="I5730" t="str">
        <f>_xlfn.XLOOKUP($A5730,Load!$B:$B,Load!J:J,0,)</f>
        <v>Seasonal Graphics (Like Bat, Ghost, Pumpkin, Fall Leaves, Eyeballs, etc.)</v>
      </c>
      <c r="J5730" t="str">
        <f>_xlfn.XLOOKUP($A5730,Load!$B:$B,Load!K:K,0,)</f>
        <v>Fun Size / Treat Size</v>
      </c>
      <c r="K5730" t="str">
        <f>_xlfn.XLOOKUP($A5730,Load!$B:$B,Load!L:L,0,)</f>
        <v>Regular/Original Wrapping</v>
      </c>
      <c r="L5730" t="str">
        <f>_xlfn.XLOOKUP($A5730,Load!$B:$B,Load!M:M,0,)</f>
        <v>Multiple Brands / Variety Flavors or Form</v>
      </c>
    </row>
    <row r="5731" spans="1:12" x14ac:dyDescent="0.25">
      <c r="B5731">
        <f>_xlfn.XLOOKUP($A5731,Load!$B:$B,Load!C:C,0,)</f>
        <v>0</v>
      </c>
      <c r="C5731">
        <f>_xlfn.XLOOKUP($A5731,Load!$B:$B,Load!D:D,0,)</f>
        <v>0</v>
      </c>
      <c r="D5731">
        <f>_xlfn.XLOOKUP($A5731,Load!$B:$B,Load!E:E,0,)</f>
        <v>0</v>
      </c>
      <c r="E5731">
        <f>_xlfn.XLOOKUP($A5731,Load!$B:$B,Load!F:F,0,)</f>
        <v>0</v>
      </c>
      <c r="F5731">
        <f>_xlfn.XLOOKUP($A5731,Load!$B:$B,Load!G:G,0,)</f>
        <v>0</v>
      </c>
      <c r="G5731">
        <f>_xlfn.XLOOKUP($A5731,Load!$B:$B,Load!H:H,0,)</f>
        <v>0</v>
      </c>
      <c r="H5731">
        <f>_xlfn.XLOOKUP($A5731,Load!$B:$B,Load!I:I,0,)</f>
        <v>0</v>
      </c>
      <c r="I5731">
        <f>_xlfn.XLOOKUP($A5731,Load!$B:$B,Load!J:J,0,)</f>
        <v>0</v>
      </c>
      <c r="J5731">
        <f>_xlfn.XLOOKUP($A5731,Load!$B:$B,Load!K:K,0,)</f>
        <v>0</v>
      </c>
      <c r="K5731">
        <f>_xlfn.XLOOKUP($A5731,Load!$B:$B,Load!L:L,0,)</f>
        <v>0</v>
      </c>
      <c r="L5731">
        <f>_xlfn.XLOOKUP($A5731,Load!$B:$B,Load!M:M,0,)</f>
        <v>0</v>
      </c>
    </row>
    <row r="5732" spans="1:12" x14ac:dyDescent="0.25">
      <c r="B5732">
        <f>_xlfn.XLOOKUP($A5732,Load!$B:$B,Load!C:C,0,)</f>
        <v>0</v>
      </c>
      <c r="C5732">
        <f>_xlfn.XLOOKUP($A5732,Load!$B:$B,Load!D:D,0,)</f>
        <v>0</v>
      </c>
      <c r="D5732">
        <f>_xlfn.XLOOKUP($A5732,Load!$B:$B,Load!E:E,0,)</f>
        <v>0</v>
      </c>
      <c r="E5732">
        <f>_xlfn.XLOOKUP($A5732,Load!$B:$B,Load!F:F,0,)</f>
        <v>0</v>
      </c>
      <c r="F5732">
        <f>_xlfn.XLOOKUP($A5732,Load!$B:$B,Load!G:G,0,)</f>
        <v>0</v>
      </c>
      <c r="G5732">
        <f>_xlfn.XLOOKUP($A5732,Load!$B:$B,Load!H:H,0,)</f>
        <v>0</v>
      </c>
      <c r="H5732">
        <f>_xlfn.XLOOKUP($A5732,Load!$B:$B,Load!I:I,0,)</f>
        <v>0</v>
      </c>
      <c r="I5732">
        <f>_xlfn.XLOOKUP($A5732,Load!$B:$B,Load!J:J,0,)</f>
        <v>0</v>
      </c>
      <c r="J5732">
        <f>_xlfn.XLOOKUP($A5732,Load!$B:$B,Load!K:K,0,)</f>
        <v>0</v>
      </c>
      <c r="K5732">
        <f>_xlfn.XLOOKUP($A5732,Load!$B:$B,Load!L:L,0,)</f>
        <v>0</v>
      </c>
      <c r="L5732">
        <f>_xlfn.XLOOKUP($A5732,Load!$B:$B,Load!M:M,0,)</f>
        <v>0</v>
      </c>
    </row>
    <row r="5733" spans="1:12" x14ac:dyDescent="0.25">
      <c r="B5733">
        <f>_xlfn.XLOOKUP($A5733,Load!$B:$B,Load!C:C,0,)</f>
        <v>0</v>
      </c>
      <c r="C5733">
        <f>_xlfn.XLOOKUP($A5733,Load!$B:$B,Load!D:D,0,)</f>
        <v>0</v>
      </c>
      <c r="D5733">
        <f>_xlfn.XLOOKUP($A5733,Load!$B:$B,Load!E:E,0,)</f>
        <v>0</v>
      </c>
      <c r="E5733">
        <f>_xlfn.XLOOKUP($A5733,Load!$B:$B,Load!F:F,0,)</f>
        <v>0</v>
      </c>
      <c r="F5733">
        <f>_xlfn.XLOOKUP($A5733,Load!$B:$B,Load!G:G,0,)</f>
        <v>0</v>
      </c>
      <c r="G5733">
        <f>_xlfn.XLOOKUP($A5733,Load!$B:$B,Load!H:H,0,)</f>
        <v>0</v>
      </c>
      <c r="H5733">
        <f>_xlfn.XLOOKUP($A5733,Load!$B:$B,Load!I:I,0,)</f>
        <v>0</v>
      </c>
      <c r="I5733">
        <f>_xlfn.XLOOKUP($A5733,Load!$B:$B,Load!J:J,0,)</f>
        <v>0</v>
      </c>
      <c r="J5733">
        <f>_xlfn.XLOOKUP($A5733,Load!$B:$B,Load!K:K,0,)</f>
        <v>0</v>
      </c>
      <c r="K5733">
        <f>_xlfn.XLOOKUP($A5733,Load!$B:$B,Load!L:L,0,)</f>
        <v>0</v>
      </c>
      <c r="L5733">
        <f>_xlfn.XLOOKUP($A5733,Load!$B:$B,Load!M:M,0,)</f>
        <v>0</v>
      </c>
    </row>
    <row r="5734" spans="1:12" x14ac:dyDescent="0.25">
      <c r="B5734">
        <f>_xlfn.XLOOKUP($A5734,Load!$B:$B,Load!C:C,0,)</f>
        <v>0</v>
      </c>
      <c r="C5734">
        <f>_xlfn.XLOOKUP($A5734,Load!$B:$B,Load!D:D,0,)</f>
        <v>0</v>
      </c>
      <c r="D5734">
        <f>_xlfn.XLOOKUP($A5734,Load!$B:$B,Load!E:E,0,)</f>
        <v>0</v>
      </c>
      <c r="E5734">
        <f>_xlfn.XLOOKUP($A5734,Load!$B:$B,Load!F:F,0,)</f>
        <v>0</v>
      </c>
      <c r="F5734">
        <f>_xlfn.XLOOKUP($A5734,Load!$B:$B,Load!G:G,0,)</f>
        <v>0</v>
      </c>
      <c r="G5734">
        <f>_xlfn.XLOOKUP($A5734,Load!$B:$B,Load!H:H,0,)</f>
        <v>0</v>
      </c>
      <c r="H5734">
        <f>_xlfn.XLOOKUP($A5734,Load!$B:$B,Load!I:I,0,)</f>
        <v>0</v>
      </c>
      <c r="I5734">
        <f>_xlfn.XLOOKUP($A5734,Load!$B:$B,Load!J:J,0,)</f>
        <v>0</v>
      </c>
      <c r="J5734">
        <f>_xlfn.XLOOKUP($A5734,Load!$B:$B,Load!K:K,0,)</f>
        <v>0</v>
      </c>
      <c r="K5734">
        <f>_xlfn.XLOOKUP($A5734,Load!$B:$B,Load!L:L,0,)</f>
        <v>0</v>
      </c>
      <c r="L5734">
        <f>_xlfn.XLOOKUP($A5734,Load!$B:$B,Load!M:M,0,)</f>
        <v>0</v>
      </c>
    </row>
    <row r="5735" spans="1:12" x14ac:dyDescent="0.25">
      <c r="B5735">
        <f>_xlfn.XLOOKUP($A5735,Load!$B:$B,Load!C:C,0,)</f>
        <v>0</v>
      </c>
      <c r="C5735">
        <f>_xlfn.XLOOKUP($A5735,Load!$B:$B,Load!D:D,0,)</f>
        <v>0</v>
      </c>
      <c r="D5735">
        <f>_xlfn.XLOOKUP($A5735,Load!$B:$B,Load!E:E,0,)</f>
        <v>0</v>
      </c>
      <c r="E5735">
        <f>_xlfn.XLOOKUP($A5735,Load!$B:$B,Load!F:F,0,)</f>
        <v>0</v>
      </c>
      <c r="F5735">
        <f>_xlfn.XLOOKUP($A5735,Load!$B:$B,Load!G:G,0,)</f>
        <v>0</v>
      </c>
      <c r="G5735">
        <f>_xlfn.XLOOKUP($A5735,Load!$B:$B,Load!H:H,0,)</f>
        <v>0</v>
      </c>
      <c r="H5735">
        <f>_xlfn.XLOOKUP($A5735,Load!$B:$B,Load!I:I,0,)</f>
        <v>0</v>
      </c>
      <c r="I5735">
        <f>_xlfn.XLOOKUP($A5735,Load!$B:$B,Load!J:J,0,)</f>
        <v>0</v>
      </c>
      <c r="J5735">
        <f>_xlfn.XLOOKUP($A5735,Load!$B:$B,Load!K:K,0,)</f>
        <v>0</v>
      </c>
      <c r="K5735">
        <f>_xlfn.XLOOKUP($A5735,Load!$B:$B,Load!L:L,0,)</f>
        <v>0</v>
      </c>
      <c r="L5735">
        <f>_xlfn.XLOOKUP($A5735,Load!$B:$B,Load!M:M,0,)</f>
        <v>0</v>
      </c>
    </row>
    <row r="5736" spans="1:12" x14ac:dyDescent="0.25">
      <c r="A5736" t="s">
        <v>286</v>
      </c>
      <c r="B5736" t="str">
        <f>_xlfn.XLOOKUP($A5736,Load!$B:$B,Load!C:C,0,)</f>
        <v>SweeTARTS</v>
      </c>
      <c r="C5736" t="str">
        <f>_xlfn.XLOOKUP($A5736,Load!$B:$B,Load!D:D,0,)</f>
        <v>Non-Chocolate Candy Only</v>
      </c>
      <c r="D5736" t="str">
        <f>_xlfn.XLOOKUP($A5736,Load!$B:$B,Load!E:E,0,)</f>
        <v>Variety / Mixed Flavors (Fruity, Sour, Seasonal Flavors)</v>
      </c>
      <c r="E5736" t="str">
        <f>_xlfn.XLOOKUP($A5736,Load!$B:$B,Load!F:F,0,)</f>
        <v>Chewy</v>
      </c>
      <c r="F5736" t="str">
        <f>_xlfn.XLOOKUP($A5736,Load!$B:$B,Load!G:G,0,)</f>
        <v>Small Multipack (Less than 40 ct)</v>
      </c>
      <c r="G5736" t="str">
        <f>_xlfn.XLOOKUP($A5736,Load!$B:$B,Load!H:H,0,)</f>
        <v>Stand-Up Bag</v>
      </c>
      <c r="H5736" t="str">
        <f>_xlfn.XLOOKUP($A5736,Load!$B:$B,Load!I:I,0,)</f>
        <v>Everyday Candy Shapes (like Original, Gummy bear, Fruit, Jewels, etc.)</v>
      </c>
      <c r="I5736" t="str">
        <f>_xlfn.XLOOKUP($A5736,Load!$B:$B,Load!J:J,0,)</f>
        <v>Seasonal Graphics (Like Bat, Ghost, Pumpkin, Fall Leaves, Eyeballs, etc.)</v>
      </c>
      <c r="J5736" t="str">
        <f>_xlfn.XLOOKUP($A5736,Load!$B:$B,Load!K:K,0,)</f>
        <v>Fun Size / Treat Size</v>
      </c>
      <c r="K5736" t="str">
        <f>_xlfn.XLOOKUP($A5736,Load!$B:$B,Load!L:L,0,)</f>
        <v>Regular/Original Wrapping</v>
      </c>
      <c r="L5736" t="str">
        <f>_xlfn.XLOOKUP($A5736,Load!$B:$B,Load!M:M,0,)</f>
        <v>Single Brand / Variety Flavors or Form</v>
      </c>
    </row>
    <row r="5737" spans="1:12" x14ac:dyDescent="0.25">
      <c r="A5737" t="s">
        <v>250</v>
      </c>
      <c r="B5737" t="str">
        <f>_xlfn.XLOOKUP($A5737,Load!$B:$B,Load!C:C,0,)</f>
        <v>Rolling Pin</v>
      </c>
      <c r="C5737" t="str">
        <f>_xlfn.XLOOKUP($A5737,Load!$B:$B,Load!D:D,0,)</f>
        <v>Non-Chocolate Candy Only</v>
      </c>
      <c r="D5737" t="str">
        <f>_xlfn.XLOOKUP($A5737,Load!$B:$B,Load!E:E,0,)</f>
        <v>Fall / Seasonal Flavors (pumpkin spice, caramel apple, candy corn)</v>
      </c>
      <c r="E5737" t="str">
        <f>_xlfn.XLOOKUP($A5737,Load!$B:$B,Load!F:F,0,)</f>
        <v>Candy Pieces / Bites</v>
      </c>
      <c r="F5737" t="str">
        <f>_xlfn.XLOOKUP($A5737,Load!$B:$B,Load!G:G,0,)</f>
        <v>Small Multipack (Less than 40 ct)</v>
      </c>
      <c r="G5737" t="str">
        <f>_xlfn.XLOOKUP($A5737,Load!$B:$B,Load!H:H,0,)</f>
        <v>Stand-Up Bag</v>
      </c>
      <c r="H5737" t="str">
        <f>_xlfn.XLOOKUP($A5737,Load!$B:$B,Load!I:I,0,)</f>
        <v>Seasonal Shapes (like pumpkins, candy corn, ghost, bats, etc.)</v>
      </c>
      <c r="I5737" t="str">
        <f>_xlfn.XLOOKUP($A5737,Load!$B:$B,Load!J:J,0,)</f>
        <v>Seasonal Graphics (Like Bat, Ghost, Pumpkin, Fall Leaves, Eyeballs, etc.)</v>
      </c>
      <c r="J5737" t="str">
        <f>_xlfn.XLOOKUP($A5737,Load!$B:$B,Load!K:K,0,)</f>
        <v>Small Pieces (Tiny bite size candies)</v>
      </c>
      <c r="K5737" t="str">
        <f>_xlfn.XLOOKUP($A5737,Load!$B:$B,Load!L:L,0,)</f>
        <v>Unwrapped</v>
      </c>
      <c r="L5737" t="str">
        <f>_xlfn.XLOOKUP($A5737,Load!$B:$B,Load!M:M,0,)</f>
        <v>Single Brand / Variety Flavors or Form</v>
      </c>
    </row>
    <row r="5738" spans="1:12" x14ac:dyDescent="0.25">
      <c r="A5738" t="s">
        <v>65</v>
      </c>
      <c r="B5738" t="str">
        <f>_xlfn.XLOOKUP($A5738,Load!$B:$B,Load!C:C,0,)</f>
        <v>Dots</v>
      </c>
      <c r="C5738" t="str">
        <f>_xlfn.XLOOKUP($A5738,Load!$B:$B,Load!D:D,0,)</f>
        <v>Non-Chocolate Candy Only</v>
      </c>
      <c r="D5738" t="str">
        <f>_xlfn.XLOOKUP($A5738,Load!$B:$B,Load!E:E,0,)</f>
        <v>Variety / Mixed Flavors (Fruity, Sour, Seasonal Flavors)</v>
      </c>
      <c r="E5738" t="str">
        <f>_xlfn.XLOOKUP($A5738,Load!$B:$B,Load!F:F,0,)</f>
        <v>Candy Pieces / Bites</v>
      </c>
      <c r="F5738" t="str">
        <f>_xlfn.XLOOKUP($A5738,Load!$B:$B,Load!G:G,0,)</f>
        <v>Medium Multipack (40–80 ct)</v>
      </c>
      <c r="G5738" t="str">
        <f>_xlfn.XLOOKUP($A5738,Load!$B:$B,Load!H:H,0,)</f>
        <v>Box (theatre box, gift box, carton)</v>
      </c>
      <c r="H5738" t="str">
        <f>_xlfn.XLOOKUP($A5738,Load!$B:$B,Load!I:I,0,)</f>
        <v>Seasonal Shapes (like pumpkins, candy corn, ghost, bats, etc.)</v>
      </c>
      <c r="I5738" t="str">
        <f>_xlfn.XLOOKUP($A5738,Load!$B:$B,Load!J:J,0,)</f>
        <v>Seasonal Graphics (Like Bat, Ghost, Pumpkin, Fall Leaves, Eyeballs, etc.)</v>
      </c>
      <c r="J5738" t="str">
        <f>_xlfn.XLOOKUP($A5738,Load!$B:$B,Load!K:K,0,)</f>
        <v>Fun Size / Treat Size</v>
      </c>
      <c r="K5738" t="str">
        <f>_xlfn.XLOOKUP($A5738,Load!$B:$B,Load!L:L,0,)</f>
        <v>Regular/Original Wrapping</v>
      </c>
      <c r="L5738" t="str">
        <f>_xlfn.XLOOKUP($A5738,Load!$B:$B,Load!M:M,0,)</f>
        <v>Single Brand / Variety Flavors or Form</v>
      </c>
    </row>
    <row r="5739" spans="1:12" x14ac:dyDescent="0.25">
      <c r="B5739">
        <f>_xlfn.XLOOKUP($A5739,Load!$B:$B,Load!C:C,0,)</f>
        <v>0</v>
      </c>
      <c r="C5739">
        <f>_xlfn.XLOOKUP($A5739,Load!$B:$B,Load!D:D,0,)</f>
        <v>0</v>
      </c>
      <c r="D5739">
        <f>_xlfn.XLOOKUP($A5739,Load!$B:$B,Load!E:E,0,)</f>
        <v>0</v>
      </c>
      <c r="E5739">
        <f>_xlfn.XLOOKUP($A5739,Load!$B:$B,Load!F:F,0,)</f>
        <v>0</v>
      </c>
      <c r="F5739">
        <f>_xlfn.XLOOKUP($A5739,Load!$B:$B,Load!G:G,0,)</f>
        <v>0</v>
      </c>
      <c r="G5739">
        <f>_xlfn.XLOOKUP($A5739,Load!$B:$B,Load!H:H,0,)</f>
        <v>0</v>
      </c>
      <c r="H5739">
        <f>_xlfn.XLOOKUP($A5739,Load!$B:$B,Load!I:I,0,)</f>
        <v>0</v>
      </c>
      <c r="I5739">
        <f>_xlfn.XLOOKUP($A5739,Load!$B:$B,Load!J:J,0,)</f>
        <v>0</v>
      </c>
      <c r="J5739">
        <f>_xlfn.XLOOKUP($A5739,Load!$B:$B,Load!K:K,0,)</f>
        <v>0</v>
      </c>
      <c r="K5739">
        <f>_xlfn.XLOOKUP($A5739,Load!$B:$B,Load!L:L,0,)</f>
        <v>0</v>
      </c>
      <c r="L5739">
        <f>_xlfn.XLOOKUP($A5739,Load!$B:$B,Load!M:M,0,)</f>
        <v>0</v>
      </c>
    </row>
    <row r="5740" spans="1:12" x14ac:dyDescent="0.25">
      <c r="B5740">
        <f>_xlfn.XLOOKUP($A5740,Load!$B:$B,Load!C:C,0,)</f>
        <v>0</v>
      </c>
      <c r="C5740">
        <f>_xlfn.XLOOKUP($A5740,Load!$B:$B,Load!D:D,0,)</f>
        <v>0</v>
      </c>
      <c r="D5740">
        <f>_xlfn.XLOOKUP($A5740,Load!$B:$B,Load!E:E,0,)</f>
        <v>0</v>
      </c>
      <c r="E5740">
        <f>_xlfn.XLOOKUP($A5740,Load!$B:$B,Load!F:F,0,)</f>
        <v>0</v>
      </c>
      <c r="F5740">
        <f>_xlfn.XLOOKUP($A5740,Load!$B:$B,Load!G:G,0,)</f>
        <v>0</v>
      </c>
      <c r="G5740">
        <f>_xlfn.XLOOKUP($A5740,Load!$B:$B,Load!H:H,0,)</f>
        <v>0</v>
      </c>
      <c r="H5740">
        <f>_xlfn.XLOOKUP($A5740,Load!$B:$B,Load!I:I,0,)</f>
        <v>0</v>
      </c>
      <c r="I5740">
        <f>_xlfn.XLOOKUP($A5740,Load!$B:$B,Load!J:J,0,)</f>
        <v>0</v>
      </c>
      <c r="J5740">
        <f>_xlfn.XLOOKUP($A5740,Load!$B:$B,Load!K:K,0,)</f>
        <v>0</v>
      </c>
      <c r="K5740">
        <f>_xlfn.XLOOKUP($A5740,Load!$B:$B,Load!L:L,0,)</f>
        <v>0</v>
      </c>
      <c r="L5740">
        <f>_xlfn.XLOOKUP($A5740,Load!$B:$B,Load!M:M,0,)</f>
        <v>0</v>
      </c>
    </row>
    <row r="5741" spans="1:12" x14ac:dyDescent="0.25">
      <c r="B5741">
        <f>_xlfn.XLOOKUP($A5741,Load!$B:$B,Load!C:C,0,)</f>
        <v>0</v>
      </c>
      <c r="C5741">
        <f>_xlfn.XLOOKUP($A5741,Load!$B:$B,Load!D:D,0,)</f>
        <v>0</v>
      </c>
      <c r="D5741">
        <f>_xlfn.XLOOKUP($A5741,Load!$B:$B,Load!E:E,0,)</f>
        <v>0</v>
      </c>
      <c r="E5741">
        <f>_xlfn.XLOOKUP($A5741,Load!$B:$B,Load!F:F,0,)</f>
        <v>0</v>
      </c>
      <c r="F5741">
        <f>_xlfn.XLOOKUP($A5741,Load!$B:$B,Load!G:G,0,)</f>
        <v>0</v>
      </c>
      <c r="G5741">
        <f>_xlfn.XLOOKUP($A5741,Load!$B:$B,Load!H:H,0,)</f>
        <v>0</v>
      </c>
      <c r="H5741">
        <f>_xlfn.XLOOKUP($A5741,Load!$B:$B,Load!I:I,0,)</f>
        <v>0</v>
      </c>
      <c r="I5741">
        <f>_xlfn.XLOOKUP($A5741,Load!$B:$B,Load!J:J,0,)</f>
        <v>0</v>
      </c>
      <c r="J5741">
        <f>_xlfn.XLOOKUP($A5741,Load!$B:$B,Load!K:K,0,)</f>
        <v>0</v>
      </c>
      <c r="K5741">
        <f>_xlfn.XLOOKUP($A5741,Load!$B:$B,Load!L:L,0,)</f>
        <v>0</v>
      </c>
      <c r="L5741">
        <f>_xlfn.XLOOKUP($A5741,Load!$B:$B,Load!M:M,0,)</f>
        <v>0</v>
      </c>
    </row>
    <row r="5742" spans="1:12" x14ac:dyDescent="0.25">
      <c r="A5742" t="s">
        <v>271</v>
      </c>
      <c r="B5742" t="str">
        <f>_xlfn.XLOOKUP($A5742,Load!$B:$B,Load!C:C,0,)</f>
        <v>Sour Patch Kids</v>
      </c>
      <c r="C5742" t="str">
        <f>_xlfn.XLOOKUP($A5742,Load!$B:$B,Load!D:D,0,)</f>
        <v>Non-Chocolate Candy Only</v>
      </c>
      <c r="D5742" t="str">
        <f>_xlfn.XLOOKUP($A5742,Load!$B:$B,Load!E:E,0,)</f>
        <v>Sour</v>
      </c>
      <c r="E5742" t="str">
        <f>_xlfn.XLOOKUP($A5742,Load!$B:$B,Load!F:F,0,)</f>
        <v>Chewy</v>
      </c>
      <c r="F5742" t="str">
        <f>_xlfn.XLOOKUP($A5742,Load!$B:$B,Load!G:G,0,)</f>
        <v>Medium Multipack (40–80 ct)</v>
      </c>
      <c r="G5742" t="str">
        <f>_xlfn.XLOOKUP($A5742,Load!$B:$B,Load!H:H,0,)</f>
        <v>Laydown Bag</v>
      </c>
      <c r="H5742" t="str">
        <f>_xlfn.XLOOKUP($A5742,Load!$B:$B,Load!I:I,0,)</f>
        <v>Everyday Candy Shapes (like Original, Gummy bear, Fruit, Jewels, etc.)</v>
      </c>
      <c r="I5742" t="str">
        <f>_xlfn.XLOOKUP($A5742,Load!$B:$B,Load!J:J,0,)</f>
        <v>Seasonal Graphics (Like Bat, Ghost, Pumpkin, Fall Leaves, Eyeballs, etc.)</v>
      </c>
      <c r="J5742" t="str">
        <f>_xlfn.XLOOKUP($A5742,Load!$B:$B,Load!K:K,0,)</f>
        <v>Small Pieces (Tiny bite size candies)</v>
      </c>
      <c r="K5742" t="str">
        <f>_xlfn.XLOOKUP($A5742,Load!$B:$B,Load!L:L,0,)</f>
        <v>Regular/Original Wrapping</v>
      </c>
      <c r="L5742" t="str">
        <f>_xlfn.XLOOKUP($A5742,Load!$B:$B,Load!M:M,0,)</f>
        <v>Single Brand / Variety Flavors or Form</v>
      </c>
    </row>
    <row r="5743" spans="1:12" x14ac:dyDescent="0.25">
      <c r="A5743" t="s">
        <v>2</v>
      </c>
      <c r="B5743" t="str">
        <f>_xlfn.XLOOKUP($A5743,Load!$B:$B,Load!C:C,0,)</f>
        <v>Airheads</v>
      </c>
      <c r="C5743" t="str">
        <f>_xlfn.XLOOKUP($A5743,Load!$B:$B,Load!D:D,0,)</f>
        <v>Non-Chocolate Candy Only</v>
      </c>
      <c r="D5743" t="str">
        <f>_xlfn.XLOOKUP($A5743,Load!$B:$B,Load!E:E,0,)</f>
        <v>Variety / Mixed Flavors (Fruity, Sour, Seasonal Flavors)</v>
      </c>
      <c r="E5743" t="str">
        <f>_xlfn.XLOOKUP($A5743,Load!$B:$B,Load!F:F,0,)</f>
        <v>Chewy</v>
      </c>
      <c r="F5743" t="str">
        <f>_xlfn.XLOOKUP($A5743,Load!$B:$B,Load!G:G,0,)</f>
        <v>Medium Multipack (40–80 ct)</v>
      </c>
      <c r="G5743" t="str">
        <f>_xlfn.XLOOKUP($A5743,Load!$B:$B,Load!H:H,0,)</f>
        <v>Box (theatre box, gift box, carton)</v>
      </c>
      <c r="H5743" t="str">
        <f>_xlfn.XLOOKUP($A5743,Load!$B:$B,Load!I:I,0,)</f>
        <v>Everyday Candy Shapes (like Original, Gummy bear, Fruit, Jewels, etc.)</v>
      </c>
      <c r="I5743" t="str">
        <f>_xlfn.XLOOKUP($A5743,Load!$B:$B,Load!J:J,0,)</f>
        <v>Seasonal Graphics (Like Bat, Ghost, Pumpkin, Fall Leaves, Eyeballs, etc.)</v>
      </c>
      <c r="J5743" t="str">
        <f>_xlfn.XLOOKUP($A5743,Load!$B:$B,Load!K:K,0,)</f>
        <v>Fun Size / Treat Size</v>
      </c>
      <c r="K5743" t="str">
        <f>_xlfn.XLOOKUP($A5743,Load!$B:$B,Load!L:L,0,)</f>
        <v>Regular/Original Wrapping</v>
      </c>
      <c r="L5743" t="str">
        <f>_xlfn.XLOOKUP($A5743,Load!$B:$B,Load!M:M,0,)</f>
        <v>Single Brand / Variety Flavors or Form</v>
      </c>
    </row>
    <row r="5744" spans="1:12" x14ac:dyDescent="0.25">
      <c r="A5744" t="s">
        <v>133</v>
      </c>
      <c r="B5744" t="str">
        <f>_xlfn.XLOOKUP($A5744,Load!$B:$B,Load!C:C,0,)</f>
        <v>Hershey's</v>
      </c>
      <c r="C5744" t="str">
        <f>_xlfn.XLOOKUP($A5744,Load!$B:$B,Load!D:D,0,)</f>
        <v>Non-Chocolate Candy Only</v>
      </c>
      <c r="D5744" t="str">
        <f>_xlfn.XLOOKUP($A5744,Load!$B:$B,Load!E:E,0,)</f>
        <v>Variety / Mixed Flavors (Fruity, Sour, Seasonal Flavors)</v>
      </c>
      <c r="E5744" t="str">
        <f>_xlfn.XLOOKUP($A5744,Load!$B:$B,Load!F:F,0,)</f>
        <v>Mixed / Combo Packs (Gummy, Chewy, Taffy, etc.)</v>
      </c>
      <c r="F5744" t="str">
        <f>_xlfn.XLOOKUP($A5744,Load!$B:$B,Load!G:G,0,)</f>
        <v>Large Multipack (More than 80 ct)</v>
      </c>
      <c r="G5744" t="str">
        <f>_xlfn.XLOOKUP($A5744,Load!$B:$B,Load!H:H,0,)</f>
        <v>Stand-Up Bag</v>
      </c>
      <c r="H5744" t="str">
        <f>_xlfn.XLOOKUP($A5744,Load!$B:$B,Load!I:I,0,)</f>
        <v>Everyday Candy Shapes (like Original, Gummy bear, Fruit, Jewels, etc.)</v>
      </c>
      <c r="I5744" t="str">
        <f>_xlfn.XLOOKUP($A5744,Load!$B:$B,Load!J:J,0,)</f>
        <v>Seasonal Graphics (Like Bat, Ghost, Pumpkin, Fall Leaves, Eyeballs, etc.)</v>
      </c>
      <c r="J5744" t="str">
        <f>_xlfn.XLOOKUP($A5744,Load!$B:$B,Load!K:K,0,)</f>
        <v>Fun Size / Treat Size</v>
      </c>
      <c r="K5744" t="str">
        <f>_xlfn.XLOOKUP($A5744,Load!$B:$B,Load!L:L,0,)</f>
        <v>Regular/Original Wrapping</v>
      </c>
      <c r="L5744" t="str">
        <f>_xlfn.XLOOKUP($A5744,Load!$B:$B,Load!M:M,0,)</f>
        <v>Multiple Brands / Variety Flavors or Form</v>
      </c>
    </row>
    <row r="5745" spans="1:12" x14ac:dyDescent="0.25">
      <c r="B5745">
        <f>_xlfn.XLOOKUP($A5745,Load!$B:$B,Load!C:C,0,)</f>
        <v>0</v>
      </c>
      <c r="C5745">
        <f>_xlfn.XLOOKUP($A5745,Load!$B:$B,Load!D:D,0,)</f>
        <v>0</v>
      </c>
      <c r="D5745">
        <f>_xlfn.XLOOKUP($A5745,Load!$B:$B,Load!E:E,0,)</f>
        <v>0</v>
      </c>
      <c r="E5745">
        <f>_xlfn.XLOOKUP($A5745,Load!$B:$B,Load!F:F,0,)</f>
        <v>0</v>
      </c>
      <c r="F5745">
        <f>_xlfn.XLOOKUP($A5745,Load!$B:$B,Load!G:G,0,)</f>
        <v>0</v>
      </c>
      <c r="G5745">
        <f>_xlfn.XLOOKUP($A5745,Load!$B:$B,Load!H:H,0,)</f>
        <v>0</v>
      </c>
      <c r="H5745">
        <f>_xlfn.XLOOKUP($A5745,Load!$B:$B,Load!I:I,0,)</f>
        <v>0</v>
      </c>
      <c r="I5745">
        <f>_xlfn.XLOOKUP($A5745,Load!$B:$B,Load!J:J,0,)</f>
        <v>0</v>
      </c>
      <c r="J5745">
        <f>_xlfn.XLOOKUP($A5745,Load!$B:$B,Load!K:K,0,)</f>
        <v>0</v>
      </c>
      <c r="K5745">
        <f>_xlfn.XLOOKUP($A5745,Load!$B:$B,Load!L:L,0,)</f>
        <v>0</v>
      </c>
      <c r="L5745">
        <f>_xlfn.XLOOKUP($A5745,Load!$B:$B,Load!M:M,0,)</f>
        <v>0</v>
      </c>
    </row>
    <row r="5746" spans="1:12" x14ac:dyDescent="0.25">
      <c r="A5746" t="s">
        <v>137</v>
      </c>
      <c r="B5746" t="str">
        <f>_xlfn.XLOOKUP($A5746,Load!$B:$B,Load!C:C,0,)</f>
        <v>Hershey's Variety Pack + Haribo</v>
      </c>
      <c r="C5746" t="str">
        <f>_xlfn.XLOOKUP($A5746,Load!$B:$B,Load!D:D,0,)</f>
        <v>Non-Chocolate Candy Only</v>
      </c>
      <c r="D5746" t="str">
        <f>_xlfn.XLOOKUP($A5746,Load!$B:$B,Load!E:E,0,)</f>
        <v>Variety / Mixed Flavors (Fruity, Sour, Seasonal Flavors)</v>
      </c>
      <c r="E5746" t="str">
        <f>_xlfn.XLOOKUP($A5746,Load!$B:$B,Load!F:F,0,)</f>
        <v>Mixed / Combo Packs (Gummy, Chewy, Taffy, etc.)</v>
      </c>
      <c r="F5746" t="str">
        <f>_xlfn.XLOOKUP($A5746,Load!$B:$B,Load!G:G,0,)</f>
        <v>Large Multipack (More than 80 ct)</v>
      </c>
      <c r="G5746" t="str">
        <f>_xlfn.XLOOKUP($A5746,Load!$B:$B,Load!H:H,0,)</f>
        <v>Stand-Up Bag</v>
      </c>
      <c r="H5746" t="str">
        <f>_xlfn.XLOOKUP($A5746,Load!$B:$B,Load!I:I,0,)</f>
        <v>Everyday Candy Shapes (like Original, Gummy bear, Fruit, Jewels, etc.)</v>
      </c>
      <c r="I5746" t="str">
        <f>_xlfn.XLOOKUP($A5746,Load!$B:$B,Load!J:J,0,)</f>
        <v>Seasonal Graphics (Like Bat, Ghost, Pumpkin, Fall Leaves, Eyeballs, etc.)</v>
      </c>
      <c r="J5746" t="str">
        <f>_xlfn.XLOOKUP($A5746,Load!$B:$B,Load!K:K,0,)</f>
        <v xml:space="preserve">Variety Candy Sizes </v>
      </c>
      <c r="K5746" t="str">
        <f>_xlfn.XLOOKUP($A5746,Load!$B:$B,Load!L:L,0,)</f>
        <v>Regular/Original Wrapping</v>
      </c>
      <c r="L5746" t="str">
        <f>_xlfn.XLOOKUP($A5746,Load!$B:$B,Load!M:M,0,)</f>
        <v>Multiple Brands / Variety Flavors or Form</v>
      </c>
    </row>
    <row r="5747" spans="1:12" x14ac:dyDescent="0.25">
      <c r="A5747" t="s">
        <v>139</v>
      </c>
      <c r="B5747" t="str">
        <f>_xlfn.XLOOKUP($A5747,Load!$B:$B,Load!C:C,0,)</f>
        <v>Hershey's Variety Pack + Haribo</v>
      </c>
      <c r="C5747" t="str">
        <f>_xlfn.XLOOKUP($A5747,Load!$B:$B,Load!D:D,0,)</f>
        <v>Mix of Chocolate and Non-Chocolate Candy</v>
      </c>
      <c r="D5747" t="str">
        <f>_xlfn.XLOOKUP($A5747,Load!$B:$B,Load!E:E,0,)</f>
        <v>Variety / Mixed Flavors (Fruity, Sour, Seasonal Flavors)</v>
      </c>
      <c r="E5747" t="str">
        <f>_xlfn.XLOOKUP($A5747,Load!$B:$B,Load!F:F,0,)</f>
        <v>Mixed / Combo Packs (Gummy, Chewy, Taffy, etc.)</v>
      </c>
      <c r="F5747" t="str">
        <f>_xlfn.XLOOKUP($A5747,Load!$B:$B,Load!G:G,0,)</f>
        <v>Large Multipack (More than 80 ct)</v>
      </c>
      <c r="G5747" t="str">
        <f>_xlfn.XLOOKUP($A5747,Load!$B:$B,Load!H:H,0,)</f>
        <v>Stand-Up Bag</v>
      </c>
      <c r="H5747" t="str">
        <f>_xlfn.XLOOKUP($A5747,Load!$B:$B,Load!I:I,0,)</f>
        <v>Everyday Candy Shapes (like Original, Gummy bear, Fruit, Jewels, etc.)</v>
      </c>
      <c r="I5747" t="str">
        <f>_xlfn.XLOOKUP($A5747,Load!$B:$B,Load!J:J,0,)</f>
        <v>Seasonal Graphics (Like Bat, Ghost, Pumpkin, Fall Leaves, Eyeballs, etc.)</v>
      </c>
      <c r="J5747" t="str">
        <f>_xlfn.XLOOKUP($A5747,Load!$B:$B,Load!K:K,0,)</f>
        <v>Fun Size / Treat Size</v>
      </c>
      <c r="K5747" t="str">
        <f>_xlfn.XLOOKUP($A5747,Load!$B:$B,Load!L:L,0,)</f>
        <v>Regular/Original Wrapping</v>
      </c>
      <c r="L5747" t="str">
        <f>_xlfn.XLOOKUP($A5747,Load!$B:$B,Load!M:M,0,)</f>
        <v>Multiple Brands / Variety Flavors or Form</v>
      </c>
    </row>
    <row r="5748" spans="1:12" x14ac:dyDescent="0.25">
      <c r="A5748" t="s">
        <v>64</v>
      </c>
      <c r="B5748" t="str">
        <f>_xlfn.XLOOKUP($A5748,Load!$B:$B,Load!C:C,0,)</f>
        <v>Cow Tails</v>
      </c>
      <c r="C5748" t="str">
        <f>_xlfn.XLOOKUP($A5748,Load!$B:$B,Load!D:D,0,)</f>
        <v>Non-Chocolate Candy Only</v>
      </c>
      <c r="D5748" t="str">
        <f>_xlfn.XLOOKUP($A5748,Load!$B:$B,Load!E:E,0,)</f>
        <v>Fall / Seasonal Flavors (pumpkin spice, caramel apple, candy corn)</v>
      </c>
      <c r="E5748" t="str">
        <f>_xlfn.XLOOKUP($A5748,Load!$B:$B,Load!F:F,0,)</f>
        <v>Chewy</v>
      </c>
      <c r="F5748" t="str">
        <f>_xlfn.XLOOKUP($A5748,Load!$B:$B,Load!G:G,0,)</f>
        <v>Single Pack</v>
      </c>
      <c r="G5748" t="str">
        <f>_xlfn.XLOOKUP($A5748,Load!$B:$B,Load!H:H,0,)</f>
        <v>Laydown Bag</v>
      </c>
      <c r="H5748" t="str">
        <f>_xlfn.XLOOKUP($A5748,Load!$B:$B,Load!I:I,0,)</f>
        <v>Everyday Candy Shapes (like Original, Gummy bear, Fruit, Jewels, etc.)</v>
      </c>
      <c r="I5748" t="str">
        <f>_xlfn.XLOOKUP($A5748,Load!$B:$B,Load!J:J,0,)</f>
        <v>Everyday Graphics</v>
      </c>
      <c r="J5748" t="str">
        <f>_xlfn.XLOOKUP($A5748,Load!$B:$B,Load!K:K,0,)</f>
        <v>Fun Size / Treat Size</v>
      </c>
      <c r="K5748" t="str">
        <f>_xlfn.XLOOKUP($A5748,Load!$B:$B,Load!L:L,0,)</f>
        <v>Regular/Original Wrapping</v>
      </c>
      <c r="L5748" t="str">
        <f>_xlfn.XLOOKUP($A5748,Load!$B:$B,Load!M:M,0,)</f>
        <v>Single Brand / Single Flavor or Form</v>
      </c>
    </row>
    <row r="5749" spans="1:12" x14ac:dyDescent="0.25">
      <c r="B5749">
        <f>_xlfn.XLOOKUP($A5749,Load!$B:$B,Load!C:C,0,)</f>
        <v>0</v>
      </c>
      <c r="C5749">
        <f>_xlfn.XLOOKUP($A5749,Load!$B:$B,Load!D:D,0,)</f>
        <v>0</v>
      </c>
      <c r="D5749">
        <f>_xlfn.XLOOKUP($A5749,Load!$B:$B,Load!E:E,0,)</f>
        <v>0</v>
      </c>
      <c r="E5749">
        <f>_xlfn.XLOOKUP($A5749,Load!$B:$B,Load!F:F,0,)</f>
        <v>0</v>
      </c>
      <c r="F5749">
        <f>_xlfn.XLOOKUP($A5749,Load!$B:$B,Load!G:G,0,)</f>
        <v>0</v>
      </c>
      <c r="G5749">
        <f>_xlfn.XLOOKUP($A5749,Load!$B:$B,Load!H:H,0,)</f>
        <v>0</v>
      </c>
      <c r="H5749">
        <f>_xlfn.XLOOKUP($A5749,Load!$B:$B,Load!I:I,0,)</f>
        <v>0</v>
      </c>
      <c r="I5749">
        <f>_xlfn.XLOOKUP($A5749,Load!$B:$B,Load!J:J,0,)</f>
        <v>0</v>
      </c>
      <c r="J5749">
        <f>_xlfn.XLOOKUP($A5749,Load!$B:$B,Load!K:K,0,)</f>
        <v>0</v>
      </c>
      <c r="K5749">
        <f>_xlfn.XLOOKUP($A5749,Load!$B:$B,Load!L:L,0,)</f>
        <v>0</v>
      </c>
      <c r="L5749">
        <f>_xlfn.XLOOKUP($A5749,Load!$B:$B,Load!M:M,0,)</f>
        <v>0</v>
      </c>
    </row>
    <row r="5750" spans="1:12" x14ac:dyDescent="0.25">
      <c r="A5750" t="s">
        <v>222</v>
      </c>
      <c r="B5750" t="str">
        <f>_xlfn.XLOOKUP($A5750,Load!$B:$B,Load!C:C,0,)</f>
        <v>Nerds</v>
      </c>
      <c r="C5750" t="str">
        <f>_xlfn.XLOOKUP($A5750,Load!$B:$B,Load!D:D,0,)</f>
        <v>Non-Chocolate Candy Only</v>
      </c>
      <c r="D5750" t="str">
        <f>_xlfn.XLOOKUP($A5750,Load!$B:$B,Load!E:E,0,)</f>
        <v>Sweet</v>
      </c>
      <c r="E5750" t="str">
        <f>_xlfn.XLOOKUP($A5750,Load!$B:$B,Load!F:F,0,)</f>
        <v>Gummy</v>
      </c>
      <c r="F5750" t="str">
        <f>_xlfn.XLOOKUP($A5750,Load!$B:$B,Load!G:G,0,)</f>
        <v>Small Multipack (Less than 40 ct)</v>
      </c>
      <c r="G5750" t="str">
        <f>_xlfn.XLOOKUP($A5750,Load!$B:$B,Load!H:H,0,)</f>
        <v>Stand-Up Bag</v>
      </c>
      <c r="H5750" t="str">
        <f>_xlfn.XLOOKUP($A5750,Load!$B:$B,Load!I:I,0,)</f>
        <v>Everyday Candy Shapes (like Original, Gummy bear, Fruit, Jewels, etc.)</v>
      </c>
      <c r="I5750" t="str">
        <f>_xlfn.XLOOKUP($A5750,Load!$B:$B,Load!J:J,0,)</f>
        <v>Seasonal Graphics (Like Bat, Ghost, Pumpkin, Fall Leaves, Eyeballs, etc.)</v>
      </c>
      <c r="J5750" t="str">
        <f>_xlfn.XLOOKUP($A5750,Load!$B:$B,Load!K:K,0,)</f>
        <v>Fun Size / Treat Size</v>
      </c>
      <c r="K5750" t="str">
        <f>_xlfn.XLOOKUP($A5750,Load!$B:$B,Load!L:L,0,)</f>
        <v>Regular/Original Wrapping</v>
      </c>
      <c r="L5750" t="str">
        <f>_xlfn.XLOOKUP($A5750,Load!$B:$B,Load!M:M,0,)</f>
        <v>Single Brand / Variety Flavors or Form</v>
      </c>
    </row>
    <row r="5751" spans="1:12" x14ac:dyDescent="0.25">
      <c r="B5751">
        <f>_xlfn.XLOOKUP($A5751,Load!$B:$B,Load!C:C,0,)</f>
        <v>0</v>
      </c>
      <c r="C5751">
        <f>_xlfn.XLOOKUP($A5751,Load!$B:$B,Load!D:D,0,)</f>
        <v>0</v>
      </c>
      <c r="D5751">
        <f>_xlfn.XLOOKUP($A5751,Load!$B:$B,Load!E:E,0,)</f>
        <v>0</v>
      </c>
      <c r="E5751">
        <f>_xlfn.XLOOKUP($A5751,Load!$B:$B,Load!F:F,0,)</f>
        <v>0</v>
      </c>
      <c r="F5751">
        <f>_xlfn.XLOOKUP($A5751,Load!$B:$B,Load!G:G,0,)</f>
        <v>0</v>
      </c>
      <c r="G5751">
        <f>_xlfn.XLOOKUP($A5751,Load!$B:$B,Load!H:H,0,)</f>
        <v>0</v>
      </c>
      <c r="H5751">
        <f>_xlfn.XLOOKUP($A5751,Load!$B:$B,Load!I:I,0,)</f>
        <v>0</v>
      </c>
      <c r="I5751">
        <f>_xlfn.XLOOKUP($A5751,Load!$B:$B,Load!J:J,0,)</f>
        <v>0</v>
      </c>
      <c r="J5751">
        <f>_xlfn.XLOOKUP($A5751,Load!$B:$B,Load!K:K,0,)</f>
        <v>0</v>
      </c>
      <c r="K5751">
        <f>_xlfn.XLOOKUP($A5751,Load!$B:$B,Load!L:L,0,)</f>
        <v>0</v>
      </c>
      <c r="L5751">
        <f>_xlfn.XLOOKUP($A5751,Load!$B:$B,Load!M:M,0,)</f>
        <v>0</v>
      </c>
    </row>
    <row r="5752" spans="1:12" x14ac:dyDescent="0.25">
      <c r="A5752" t="s">
        <v>39</v>
      </c>
      <c r="B5752" t="str">
        <f>_xlfn.XLOOKUP($A5752,Load!$B:$B,Load!C:C,0,)</f>
        <v>Brach's</v>
      </c>
      <c r="C5752" t="str">
        <f>_xlfn.XLOOKUP($A5752,Load!$B:$B,Load!D:D,0,)</f>
        <v>Non-Chocolate Candy Only</v>
      </c>
      <c r="D5752" t="str">
        <f>_xlfn.XLOOKUP($A5752,Load!$B:$B,Load!E:E,0,)</f>
        <v>Fall / Seasonal Flavors (pumpkin spice, caramel apple, candy corn)</v>
      </c>
      <c r="E5752" t="str">
        <f>_xlfn.XLOOKUP($A5752,Load!$B:$B,Load!F:F,0,)</f>
        <v>Candy Pieces / Bites</v>
      </c>
      <c r="F5752" t="str">
        <f>_xlfn.XLOOKUP($A5752,Load!$B:$B,Load!G:G,0,)</f>
        <v>Single Pack</v>
      </c>
      <c r="G5752" t="str">
        <f>_xlfn.XLOOKUP($A5752,Load!$B:$B,Load!H:H,0,)</f>
        <v>Stand-Up Bag</v>
      </c>
      <c r="H5752" t="str">
        <f>_xlfn.XLOOKUP($A5752,Load!$B:$B,Load!I:I,0,)</f>
        <v>Seasonal Shapes (like pumpkins, candy corn, ghost, bats, etc.)</v>
      </c>
      <c r="I5752" t="str">
        <f>_xlfn.XLOOKUP($A5752,Load!$B:$B,Load!J:J,0,)</f>
        <v>Seasonal Graphics (Like Bat, Ghost, Pumpkin, Fall Leaves, Eyeballs, etc.)</v>
      </c>
      <c r="J5752" t="str">
        <f>_xlfn.XLOOKUP($A5752,Load!$B:$B,Load!K:K,0,)</f>
        <v>Small Pieces (Tiny bite size candies)</v>
      </c>
      <c r="K5752" t="str">
        <f>_xlfn.XLOOKUP($A5752,Load!$B:$B,Load!L:L,0,)</f>
        <v>Unwrapped</v>
      </c>
      <c r="L5752" t="str">
        <f>_xlfn.XLOOKUP($A5752,Load!$B:$B,Load!M:M,0,)</f>
        <v>Single Brand / Single Flavor or Form</v>
      </c>
    </row>
    <row r="5753" spans="1:12" x14ac:dyDescent="0.25">
      <c r="B5753">
        <f>_xlfn.XLOOKUP($A5753,Load!$B:$B,Load!C:C,0,)</f>
        <v>0</v>
      </c>
      <c r="C5753">
        <f>_xlfn.XLOOKUP($A5753,Load!$B:$B,Load!D:D,0,)</f>
        <v>0</v>
      </c>
      <c r="D5753">
        <f>_xlfn.XLOOKUP($A5753,Load!$B:$B,Load!E:E,0,)</f>
        <v>0</v>
      </c>
      <c r="E5753">
        <f>_xlfn.XLOOKUP($A5753,Load!$B:$B,Load!F:F,0,)</f>
        <v>0</v>
      </c>
      <c r="F5753">
        <f>_xlfn.XLOOKUP($A5753,Load!$B:$B,Load!G:G,0,)</f>
        <v>0</v>
      </c>
      <c r="G5753">
        <f>_xlfn.XLOOKUP($A5753,Load!$B:$B,Load!H:H,0,)</f>
        <v>0</v>
      </c>
      <c r="H5753">
        <f>_xlfn.XLOOKUP($A5753,Load!$B:$B,Load!I:I,0,)</f>
        <v>0</v>
      </c>
      <c r="I5753">
        <f>_xlfn.XLOOKUP($A5753,Load!$B:$B,Load!J:J,0,)</f>
        <v>0</v>
      </c>
      <c r="J5753">
        <f>_xlfn.XLOOKUP($A5753,Load!$B:$B,Load!K:K,0,)</f>
        <v>0</v>
      </c>
      <c r="K5753">
        <f>_xlfn.XLOOKUP($A5753,Load!$B:$B,Load!L:L,0,)</f>
        <v>0</v>
      </c>
      <c r="L5753">
        <f>_xlfn.XLOOKUP($A5753,Load!$B:$B,Load!M:M,0,)</f>
        <v>0</v>
      </c>
    </row>
    <row r="5754" spans="1:12" x14ac:dyDescent="0.25">
      <c r="B5754">
        <f>_xlfn.XLOOKUP($A5754,Load!$B:$B,Load!C:C,0,)</f>
        <v>0</v>
      </c>
      <c r="C5754">
        <f>_xlfn.XLOOKUP($A5754,Load!$B:$B,Load!D:D,0,)</f>
        <v>0</v>
      </c>
      <c r="D5754">
        <f>_xlfn.XLOOKUP($A5754,Load!$B:$B,Load!E:E,0,)</f>
        <v>0</v>
      </c>
      <c r="E5754">
        <f>_xlfn.XLOOKUP($A5754,Load!$B:$B,Load!F:F,0,)</f>
        <v>0</v>
      </c>
      <c r="F5754">
        <f>_xlfn.XLOOKUP($A5754,Load!$B:$B,Load!G:G,0,)</f>
        <v>0</v>
      </c>
      <c r="G5754">
        <f>_xlfn.XLOOKUP($A5754,Load!$B:$B,Load!H:H,0,)</f>
        <v>0</v>
      </c>
      <c r="H5754">
        <f>_xlfn.XLOOKUP($A5754,Load!$B:$B,Load!I:I,0,)</f>
        <v>0</v>
      </c>
      <c r="I5754">
        <f>_xlfn.XLOOKUP($A5754,Load!$B:$B,Load!J:J,0,)</f>
        <v>0</v>
      </c>
      <c r="J5754">
        <f>_xlfn.XLOOKUP($A5754,Load!$B:$B,Load!K:K,0,)</f>
        <v>0</v>
      </c>
      <c r="K5754">
        <f>_xlfn.XLOOKUP($A5754,Load!$B:$B,Load!L:L,0,)</f>
        <v>0</v>
      </c>
      <c r="L5754">
        <f>_xlfn.XLOOKUP($A5754,Load!$B:$B,Load!M:M,0,)</f>
        <v>0</v>
      </c>
    </row>
    <row r="5755" spans="1:12" x14ac:dyDescent="0.25">
      <c r="B5755">
        <f>_xlfn.XLOOKUP($A5755,Load!$B:$B,Load!C:C,0,)</f>
        <v>0</v>
      </c>
      <c r="C5755">
        <f>_xlfn.XLOOKUP($A5755,Load!$B:$B,Load!D:D,0,)</f>
        <v>0</v>
      </c>
      <c r="D5755">
        <f>_xlfn.XLOOKUP($A5755,Load!$B:$B,Load!E:E,0,)</f>
        <v>0</v>
      </c>
      <c r="E5755">
        <f>_xlfn.XLOOKUP($A5755,Load!$B:$B,Load!F:F,0,)</f>
        <v>0</v>
      </c>
      <c r="F5755">
        <f>_xlfn.XLOOKUP($A5755,Load!$B:$B,Load!G:G,0,)</f>
        <v>0</v>
      </c>
      <c r="G5755">
        <f>_xlfn.XLOOKUP($A5755,Load!$B:$B,Load!H:H,0,)</f>
        <v>0</v>
      </c>
      <c r="H5755">
        <f>_xlfn.XLOOKUP($A5755,Load!$B:$B,Load!I:I,0,)</f>
        <v>0</v>
      </c>
      <c r="I5755">
        <f>_xlfn.XLOOKUP($A5755,Load!$B:$B,Load!J:J,0,)</f>
        <v>0</v>
      </c>
      <c r="J5755">
        <f>_xlfn.XLOOKUP($A5755,Load!$B:$B,Load!K:K,0,)</f>
        <v>0</v>
      </c>
      <c r="K5755">
        <f>_xlfn.XLOOKUP($A5755,Load!$B:$B,Load!L:L,0,)</f>
        <v>0</v>
      </c>
      <c r="L5755">
        <f>_xlfn.XLOOKUP($A5755,Load!$B:$B,Load!M:M,0,)</f>
        <v>0</v>
      </c>
    </row>
    <row r="5756" spans="1:12" x14ac:dyDescent="0.25">
      <c r="A5756" t="s">
        <v>223</v>
      </c>
      <c r="B5756" t="str">
        <f>_xlfn.XLOOKUP($A5756,Load!$B:$B,Load!C:C,0,)</f>
        <v>Nerds</v>
      </c>
      <c r="C5756" t="str">
        <f>_xlfn.XLOOKUP($A5756,Load!$B:$B,Load!D:D,0,)</f>
        <v>Non-Chocolate Candy Only</v>
      </c>
      <c r="D5756" t="str">
        <f>_xlfn.XLOOKUP($A5756,Load!$B:$B,Load!E:E,0,)</f>
        <v>Sweet</v>
      </c>
      <c r="E5756" t="str">
        <f>_xlfn.XLOOKUP($A5756,Load!$B:$B,Load!F:F,0,)</f>
        <v>Gummy</v>
      </c>
      <c r="F5756" t="str">
        <f>_xlfn.XLOOKUP($A5756,Load!$B:$B,Load!G:G,0,)</f>
        <v>Small Multipack (Less than 40 ct)</v>
      </c>
      <c r="G5756" t="str">
        <f>_xlfn.XLOOKUP($A5756,Load!$B:$B,Load!H:H,0,)</f>
        <v>Laydown Bag</v>
      </c>
      <c r="H5756" t="str">
        <f>_xlfn.XLOOKUP($A5756,Load!$B:$B,Load!I:I,0,)</f>
        <v>Everyday Candy Shapes (like Original, Gummy bear, Fruit, Jewels, etc.)</v>
      </c>
      <c r="I5756" t="str">
        <f>_xlfn.XLOOKUP($A5756,Load!$B:$B,Load!J:J,0,)</f>
        <v>Seasonal Graphics (Like Bat, Ghost, Pumpkin, Fall Leaves, Eyeballs, etc.)</v>
      </c>
      <c r="J5756" t="str">
        <f>_xlfn.XLOOKUP($A5756,Load!$B:$B,Load!K:K,0,)</f>
        <v>Small Pieces (Tiny bite size candies)</v>
      </c>
      <c r="K5756" t="str">
        <f>_xlfn.XLOOKUP($A5756,Load!$B:$B,Load!L:L,0,)</f>
        <v>Regular/Original Wrapping</v>
      </c>
      <c r="L5756" t="str">
        <f>_xlfn.XLOOKUP($A5756,Load!$B:$B,Load!M:M,0,)</f>
        <v>Single Brand / Variety Flavors or Form</v>
      </c>
    </row>
    <row r="5757" spans="1:12" x14ac:dyDescent="0.25">
      <c r="A5757" t="s">
        <v>299</v>
      </c>
      <c r="B5757" t="str">
        <f>_xlfn.XLOOKUP($A5757,Load!$B:$B,Load!C:C,0,)</f>
        <v>Twizzlers</v>
      </c>
      <c r="C5757" t="str">
        <f>_xlfn.XLOOKUP($A5757,Load!$B:$B,Load!D:D,0,)</f>
        <v>Non-Chocolate Candy Only</v>
      </c>
      <c r="D5757" t="str">
        <f>_xlfn.XLOOKUP($A5757,Load!$B:$B,Load!E:E,0,)</f>
        <v>Fruit Flavor (Cherry, Grape, Apple, Citrus, Tropical Fruit)</v>
      </c>
      <c r="E5757" t="str">
        <f>_xlfn.XLOOKUP($A5757,Load!$B:$B,Load!F:F,0,)</f>
        <v>Chewy</v>
      </c>
      <c r="F5757" t="str">
        <f>_xlfn.XLOOKUP($A5757,Load!$B:$B,Load!G:G,0,)</f>
        <v>Single Pack</v>
      </c>
      <c r="G5757" t="str">
        <f>_xlfn.XLOOKUP($A5757,Load!$B:$B,Load!H:H,0,)</f>
        <v>Stand-Up Bag</v>
      </c>
      <c r="H5757" t="str">
        <f>_xlfn.XLOOKUP($A5757,Load!$B:$B,Load!I:I,0,)</f>
        <v>Seasonal Shapes (like pumpkins, candy corn, ghost, bats, etc.)</v>
      </c>
      <c r="I5757" t="str">
        <f>_xlfn.XLOOKUP($A5757,Load!$B:$B,Load!J:J,0,)</f>
        <v>Seasonal Graphics (Like Bat, Ghost, Pumpkin, Fall Leaves, Eyeballs, etc.)</v>
      </c>
      <c r="J5757" t="str">
        <f>_xlfn.XLOOKUP($A5757,Load!$B:$B,Load!K:K,0,)</f>
        <v>Fun Size / Treat Size</v>
      </c>
      <c r="K5757" t="str">
        <f>_xlfn.XLOOKUP($A5757,Load!$B:$B,Load!L:L,0,)</f>
        <v>Unwrapped</v>
      </c>
      <c r="L5757" t="str">
        <f>_xlfn.XLOOKUP($A5757,Load!$B:$B,Load!M:M,0,)</f>
        <v>Single Brand / Single Flavor or Form</v>
      </c>
    </row>
    <row r="5758" spans="1:12" x14ac:dyDescent="0.25">
      <c r="B5758">
        <f>_xlfn.XLOOKUP($A5758,Load!$B:$B,Load!C:C,0,)</f>
        <v>0</v>
      </c>
      <c r="C5758">
        <f>_xlfn.XLOOKUP($A5758,Load!$B:$B,Load!D:D,0,)</f>
        <v>0</v>
      </c>
      <c r="D5758">
        <f>_xlfn.XLOOKUP($A5758,Load!$B:$B,Load!E:E,0,)</f>
        <v>0</v>
      </c>
      <c r="E5758">
        <f>_xlfn.XLOOKUP($A5758,Load!$B:$B,Load!F:F,0,)</f>
        <v>0</v>
      </c>
      <c r="F5758">
        <f>_xlfn.XLOOKUP($A5758,Load!$B:$B,Load!G:G,0,)</f>
        <v>0</v>
      </c>
      <c r="G5758">
        <f>_xlfn.XLOOKUP($A5758,Load!$B:$B,Load!H:H,0,)</f>
        <v>0</v>
      </c>
      <c r="H5758">
        <f>_xlfn.XLOOKUP($A5758,Load!$B:$B,Load!I:I,0,)</f>
        <v>0</v>
      </c>
      <c r="I5758">
        <f>_xlfn.XLOOKUP($A5758,Load!$B:$B,Load!J:J,0,)</f>
        <v>0</v>
      </c>
      <c r="J5758">
        <f>_xlfn.XLOOKUP($A5758,Load!$B:$B,Load!K:K,0,)</f>
        <v>0</v>
      </c>
      <c r="K5758">
        <f>_xlfn.XLOOKUP($A5758,Load!$B:$B,Load!L:L,0,)</f>
        <v>0</v>
      </c>
      <c r="L5758">
        <f>_xlfn.XLOOKUP($A5758,Load!$B:$B,Load!M:M,0,)</f>
        <v>0</v>
      </c>
    </row>
    <row r="5759" spans="1:12" x14ac:dyDescent="0.25">
      <c r="B5759">
        <f>_xlfn.XLOOKUP($A5759,Load!$B:$B,Load!C:C,0,)</f>
        <v>0</v>
      </c>
      <c r="C5759">
        <f>_xlfn.XLOOKUP($A5759,Load!$B:$B,Load!D:D,0,)</f>
        <v>0</v>
      </c>
      <c r="D5759">
        <f>_xlfn.XLOOKUP($A5759,Load!$B:$B,Load!E:E,0,)</f>
        <v>0</v>
      </c>
      <c r="E5759">
        <f>_xlfn.XLOOKUP($A5759,Load!$B:$B,Load!F:F,0,)</f>
        <v>0</v>
      </c>
      <c r="F5759">
        <f>_xlfn.XLOOKUP($A5759,Load!$B:$B,Load!G:G,0,)</f>
        <v>0</v>
      </c>
      <c r="G5759">
        <f>_xlfn.XLOOKUP($A5759,Load!$B:$B,Load!H:H,0,)</f>
        <v>0</v>
      </c>
      <c r="H5759">
        <f>_xlfn.XLOOKUP($A5759,Load!$B:$B,Load!I:I,0,)</f>
        <v>0</v>
      </c>
      <c r="I5759">
        <f>_xlfn.XLOOKUP($A5759,Load!$B:$B,Load!J:J,0,)</f>
        <v>0</v>
      </c>
      <c r="J5759">
        <f>_xlfn.XLOOKUP($A5759,Load!$B:$B,Load!K:K,0,)</f>
        <v>0</v>
      </c>
      <c r="K5759">
        <f>_xlfn.XLOOKUP($A5759,Load!$B:$B,Load!L:L,0,)</f>
        <v>0</v>
      </c>
      <c r="L5759">
        <f>_xlfn.XLOOKUP($A5759,Load!$B:$B,Load!M:M,0,)</f>
        <v>0</v>
      </c>
    </row>
    <row r="5760" spans="1:12" x14ac:dyDescent="0.25">
      <c r="A5760" t="s">
        <v>147</v>
      </c>
      <c r="B5760" t="str">
        <f>_xlfn.XLOOKUP($A5760,Load!$B:$B,Load!C:C,0,)</f>
        <v>Jelly Belly</v>
      </c>
      <c r="C5760" t="str">
        <f>_xlfn.XLOOKUP($A5760,Load!$B:$B,Load!D:D,0,)</f>
        <v>Non-Chocolate Candy Only</v>
      </c>
      <c r="D5760" t="str">
        <f>_xlfn.XLOOKUP($A5760,Load!$B:$B,Load!E:E,0,)</f>
        <v>Variety / Mixed Flavors (Fruity, Sour, Seasonal Flavors)</v>
      </c>
      <c r="E5760" t="str">
        <f>_xlfn.XLOOKUP($A5760,Load!$B:$B,Load!F:F,0,)</f>
        <v>Candy Pieces / Bites</v>
      </c>
      <c r="F5760" t="str">
        <f>_xlfn.XLOOKUP($A5760,Load!$B:$B,Load!G:G,0,)</f>
        <v>Medium Multipack (40–80 ct)</v>
      </c>
      <c r="G5760" t="str">
        <f>_xlfn.XLOOKUP($A5760,Load!$B:$B,Load!H:H,0,)</f>
        <v>Box (theatre box, gift box, carton)</v>
      </c>
      <c r="H5760" t="str">
        <f>_xlfn.XLOOKUP($A5760,Load!$B:$B,Load!I:I,0,)</f>
        <v>Everyday Candy Shapes (like Original, Gummy bear, Fruit, Jewels, etc.)</v>
      </c>
      <c r="I5760" t="str">
        <f>_xlfn.XLOOKUP($A5760,Load!$B:$B,Load!J:J,0,)</f>
        <v>Everyday Graphics</v>
      </c>
      <c r="J5760" t="str">
        <f>_xlfn.XLOOKUP($A5760,Load!$B:$B,Load!K:K,0,)</f>
        <v>Small Pieces (Tiny bite size candies)</v>
      </c>
      <c r="K5760" t="str">
        <f>_xlfn.XLOOKUP($A5760,Load!$B:$B,Load!L:L,0,)</f>
        <v>Regular/Original Wrapping</v>
      </c>
      <c r="L5760" t="str">
        <f>_xlfn.XLOOKUP($A5760,Load!$B:$B,Load!M:M,0,)</f>
        <v>Single Brand / Variety Flavors or Form</v>
      </c>
    </row>
    <row r="5761" spans="1:12" x14ac:dyDescent="0.25">
      <c r="B5761">
        <f>_xlfn.XLOOKUP($A5761,Load!$B:$B,Load!C:C,0,)</f>
        <v>0</v>
      </c>
      <c r="C5761">
        <f>_xlfn.XLOOKUP($A5761,Load!$B:$B,Load!D:D,0,)</f>
        <v>0</v>
      </c>
      <c r="D5761">
        <f>_xlfn.XLOOKUP($A5761,Load!$B:$B,Load!E:E,0,)</f>
        <v>0</v>
      </c>
      <c r="E5761">
        <f>_xlfn.XLOOKUP($A5761,Load!$B:$B,Load!F:F,0,)</f>
        <v>0</v>
      </c>
      <c r="F5761">
        <f>_xlfn.XLOOKUP($A5761,Load!$B:$B,Load!G:G,0,)</f>
        <v>0</v>
      </c>
      <c r="G5761">
        <f>_xlfn.XLOOKUP($A5761,Load!$B:$B,Load!H:H,0,)</f>
        <v>0</v>
      </c>
      <c r="H5761">
        <f>_xlfn.XLOOKUP($A5761,Load!$B:$B,Load!I:I,0,)</f>
        <v>0</v>
      </c>
      <c r="I5761">
        <f>_xlfn.XLOOKUP($A5761,Load!$B:$B,Load!J:J,0,)</f>
        <v>0</v>
      </c>
      <c r="J5761">
        <f>_xlfn.XLOOKUP($A5761,Load!$B:$B,Load!K:K,0,)</f>
        <v>0</v>
      </c>
      <c r="K5761">
        <f>_xlfn.XLOOKUP($A5761,Load!$B:$B,Load!L:L,0,)</f>
        <v>0</v>
      </c>
      <c r="L5761">
        <f>_xlfn.XLOOKUP($A5761,Load!$B:$B,Load!M:M,0,)</f>
        <v>0</v>
      </c>
    </row>
    <row r="5762" spans="1:12" x14ac:dyDescent="0.25">
      <c r="A5762" t="s">
        <v>57</v>
      </c>
      <c r="B5762" t="str">
        <f>_xlfn.XLOOKUP($A5762,Load!$B:$B,Load!C:C,0,)</f>
        <v>Brach's</v>
      </c>
      <c r="C5762" t="str">
        <f>_xlfn.XLOOKUP($A5762,Load!$B:$B,Load!D:D,0,)</f>
        <v>Non-Chocolate Candy Only</v>
      </c>
      <c r="D5762" t="str">
        <f>_xlfn.XLOOKUP($A5762,Load!$B:$B,Load!E:E,0,)</f>
        <v>Fall / Seasonal Flavors (pumpkin spice, caramel apple, candy corn)</v>
      </c>
      <c r="E5762" t="str">
        <f>_xlfn.XLOOKUP($A5762,Load!$B:$B,Load!F:F,0,)</f>
        <v>Candy Pieces / Bites</v>
      </c>
      <c r="F5762" t="str">
        <f>_xlfn.XLOOKUP($A5762,Load!$B:$B,Load!G:G,0,)</f>
        <v>Medium Multipack (40–80 ct)</v>
      </c>
      <c r="G5762" t="str">
        <f>_xlfn.XLOOKUP($A5762,Load!$B:$B,Load!H:H,0,)</f>
        <v>Laydown Bag</v>
      </c>
      <c r="H5762" t="str">
        <f>_xlfn.XLOOKUP($A5762,Load!$B:$B,Load!I:I,0,)</f>
        <v>Seasonal Shapes (like pumpkins, candy corn, ghost, bats, etc.)</v>
      </c>
      <c r="I5762" t="str">
        <f>_xlfn.XLOOKUP($A5762,Load!$B:$B,Load!J:J,0,)</f>
        <v>Seasonal Graphics (Like Bat, Ghost, Pumpkin, Fall Leaves, Eyeballs, etc.)</v>
      </c>
      <c r="J5762" t="str">
        <f>_xlfn.XLOOKUP($A5762,Load!$B:$B,Load!K:K,0,)</f>
        <v>Small Pieces (Tiny bite size candies)</v>
      </c>
      <c r="K5762" t="str">
        <f>_xlfn.XLOOKUP($A5762,Load!$B:$B,Load!L:L,0,)</f>
        <v>Unwrapped</v>
      </c>
      <c r="L5762" t="str">
        <f>_xlfn.XLOOKUP($A5762,Load!$B:$B,Load!M:M,0,)</f>
        <v>Single Brand / Single Flavor or Form</v>
      </c>
    </row>
    <row r="5763" spans="1:12" x14ac:dyDescent="0.25">
      <c r="B5763">
        <f>_xlfn.XLOOKUP($A5763,Load!$B:$B,Load!C:C,0,)</f>
        <v>0</v>
      </c>
      <c r="C5763">
        <f>_xlfn.XLOOKUP($A5763,Load!$B:$B,Load!D:D,0,)</f>
        <v>0</v>
      </c>
      <c r="D5763">
        <f>_xlfn.XLOOKUP($A5763,Load!$B:$B,Load!E:E,0,)</f>
        <v>0</v>
      </c>
      <c r="E5763">
        <f>_xlfn.XLOOKUP($A5763,Load!$B:$B,Load!F:F,0,)</f>
        <v>0</v>
      </c>
      <c r="F5763">
        <f>_xlfn.XLOOKUP($A5763,Load!$B:$B,Load!G:G,0,)</f>
        <v>0</v>
      </c>
      <c r="G5763">
        <f>_xlfn.XLOOKUP($A5763,Load!$B:$B,Load!H:H,0,)</f>
        <v>0</v>
      </c>
      <c r="H5763">
        <f>_xlfn.XLOOKUP($A5763,Load!$B:$B,Load!I:I,0,)</f>
        <v>0</v>
      </c>
      <c r="I5763">
        <f>_xlfn.XLOOKUP($A5763,Load!$B:$B,Load!J:J,0,)</f>
        <v>0</v>
      </c>
      <c r="J5763">
        <f>_xlfn.XLOOKUP($A5763,Load!$B:$B,Load!K:K,0,)</f>
        <v>0</v>
      </c>
      <c r="K5763">
        <f>_xlfn.XLOOKUP($A5763,Load!$B:$B,Load!L:L,0,)</f>
        <v>0</v>
      </c>
      <c r="L5763">
        <f>_xlfn.XLOOKUP($A5763,Load!$B:$B,Load!M:M,0,)</f>
        <v>0</v>
      </c>
    </row>
    <row r="5764" spans="1:12" x14ac:dyDescent="0.25">
      <c r="A5764" t="s">
        <v>180</v>
      </c>
      <c r="B5764" t="str">
        <f>_xlfn.XLOOKUP($A5764,Load!$B:$B,Load!C:C,0,)</f>
        <v>Mars Variety Pack</v>
      </c>
      <c r="C5764" t="str">
        <f>_xlfn.XLOOKUP($A5764,Load!$B:$B,Load!D:D,0,)</f>
        <v>Mix of Chocolate and Non-Chocolate Candy</v>
      </c>
      <c r="D5764" t="str">
        <f>_xlfn.XLOOKUP($A5764,Load!$B:$B,Load!E:E,0,)</f>
        <v>Variety / Mixed Flavors (Fruity, Sour, Seasonal Flavors)</v>
      </c>
      <c r="E5764" t="str">
        <f>_xlfn.XLOOKUP($A5764,Load!$B:$B,Load!F:F,0,)</f>
        <v>Mixed / Combo Packs (Gummy, Chewy, Taffy, etc.)</v>
      </c>
      <c r="F5764" t="str">
        <f>_xlfn.XLOOKUP($A5764,Load!$B:$B,Load!G:G,0,)</f>
        <v>Large Multipack (More than 80 ct)</v>
      </c>
      <c r="G5764" t="str">
        <f>_xlfn.XLOOKUP($A5764,Load!$B:$B,Load!H:H,0,)</f>
        <v>Stand-Up Bag</v>
      </c>
      <c r="H5764" t="str">
        <f>_xlfn.XLOOKUP($A5764,Load!$B:$B,Load!I:I,0,)</f>
        <v>Everyday Candy Shapes (like Original, Gummy bear, Fruit, Jewels, etc.)</v>
      </c>
      <c r="I5764" t="str">
        <f>_xlfn.XLOOKUP($A5764,Load!$B:$B,Load!J:J,0,)</f>
        <v>Seasonal Graphics (Like Bat, Ghost, Pumpkin, Fall Leaves, Eyeballs, etc.)</v>
      </c>
      <c r="J5764" t="str">
        <f>_xlfn.XLOOKUP($A5764,Load!$B:$B,Load!K:K,0,)</f>
        <v>Fun Size / Treat Size</v>
      </c>
      <c r="K5764" t="str">
        <f>_xlfn.XLOOKUP($A5764,Load!$B:$B,Load!L:L,0,)</f>
        <v>Regular/Original Wrapping</v>
      </c>
      <c r="L5764" t="str">
        <f>_xlfn.XLOOKUP($A5764,Load!$B:$B,Load!M:M,0,)</f>
        <v>Multiple Brands / Variety Flavors or Form</v>
      </c>
    </row>
    <row r="5765" spans="1:12" x14ac:dyDescent="0.25">
      <c r="A5765" t="s">
        <v>121</v>
      </c>
      <c r="B5765" t="str">
        <f>_xlfn.XLOOKUP($A5765,Load!$B:$B,Load!C:C,0,)</f>
        <v>HARIBO</v>
      </c>
      <c r="C5765" t="str">
        <f>_xlfn.XLOOKUP($A5765,Load!$B:$B,Load!D:D,0,)</f>
        <v>Non-Chocolate Candy Only</v>
      </c>
      <c r="D5765" t="str">
        <f>_xlfn.XLOOKUP($A5765,Load!$B:$B,Load!E:E,0,)</f>
        <v>Variety / Mixed Flavors (Fruity, Sour, Seasonal Flavors)</v>
      </c>
      <c r="E5765" t="str">
        <f>_xlfn.XLOOKUP($A5765,Load!$B:$B,Load!F:F,0,)</f>
        <v>Gummy</v>
      </c>
      <c r="F5765" t="str">
        <f>_xlfn.XLOOKUP($A5765,Load!$B:$B,Load!G:G,0,)</f>
        <v>Large Multipack (More than 80 ct)</v>
      </c>
      <c r="G5765" t="str">
        <f>_xlfn.XLOOKUP($A5765,Load!$B:$B,Load!H:H,0,)</f>
        <v>Stand-Up Bag</v>
      </c>
      <c r="H5765" t="str">
        <f>_xlfn.XLOOKUP($A5765,Load!$B:$B,Load!I:I,0,)</f>
        <v>Seasonal Shapes (like pumpkins, candy corn, ghost, bats, etc.)</v>
      </c>
      <c r="I5765" t="str">
        <f>_xlfn.XLOOKUP($A5765,Load!$B:$B,Load!J:J,0,)</f>
        <v>Seasonal Graphics (Like Bat, Ghost, Pumpkin, Fall Leaves, Eyeballs, etc.)</v>
      </c>
      <c r="J5765" t="str">
        <f>_xlfn.XLOOKUP($A5765,Load!$B:$B,Load!K:K,0,)</f>
        <v>Fun Size / Treat Size</v>
      </c>
      <c r="K5765" t="str">
        <f>_xlfn.XLOOKUP($A5765,Load!$B:$B,Load!L:L,0,)</f>
        <v>Regular/Original Wrapping</v>
      </c>
      <c r="L5765" t="str">
        <f>_xlfn.XLOOKUP($A5765,Load!$B:$B,Load!M:M,0,)</f>
        <v>Multiple Brands / Variety Flavors or Form</v>
      </c>
    </row>
    <row r="5766" spans="1:12" x14ac:dyDescent="0.25">
      <c r="A5766" t="s">
        <v>158</v>
      </c>
      <c r="B5766" t="str">
        <f>_xlfn.XLOOKUP($A5766,Load!$B:$B,Load!C:C,0,)</f>
        <v>Jolly Rancher</v>
      </c>
      <c r="C5766" t="str">
        <f>_xlfn.XLOOKUP($A5766,Load!$B:$B,Load!D:D,0,)</f>
        <v>Non-Chocolate Candy Only</v>
      </c>
      <c r="D5766" t="str">
        <f>_xlfn.XLOOKUP($A5766,Load!$B:$B,Load!E:E,0,)</f>
        <v>Sweet</v>
      </c>
      <c r="E5766" t="str">
        <f>_xlfn.XLOOKUP($A5766,Load!$B:$B,Load!F:F,0,)</f>
        <v>Hard Candy</v>
      </c>
      <c r="F5766" t="str">
        <f>_xlfn.XLOOKUP($A5766,Load!$B:$B,Load!G:G,0,)</f>
        <v>Single Pack</v>
      </c>
      <c r="G5766" t="str">
        <f>_xlfn.XLOOKUP($A5766,Load!$B:$B,Load!H:H,0,)</f>
        <v>Peg Bag</v>
      </c>
      <c r="H5766" t="str">
        <f>_xlfn.XLOOKUP($A5766,Load!$B:$B,Load!I:I,0,)</f>
        <v>Everyday Candy Shapes (like Original, Gummy bear, Fruit, Jewels, etc.)</v>
      </c>
      <c r="I5766" t="str">
        <f>_xlfn.XLOOKUP($A5766,Load!$B:$B,Load!J:J,0,)</f>
        <v>Everyday Graphics</v>
      </c>
      <c r="J5766" t="str">
        <f>_xlfn.XLOOKUP($A5766,Load!$B:$B,Load!K:K,0,)</f>
        <v>Small Pieces (Tiny bite size candies)</v>
      </c>
      <c r="K5766" t="str">
        <f>_xlfn.XLOOKUP($A5766,Load!$B:$B,Load!L:L,0,)</f>
        <v>Regular/Original Wrapping</v>
      </c>
      <c r="L5766" t="str">
        <f>_xlfn.XLOOKUP($A5766,Load!$B:$B,Load!M:M,0,)</f>
        <v>Single Brand / Variety Flavors or Form</v>
      </c>
    </row>
    <row r="5767" spans="1:12" x14ac:dyDescent="0.25">
      <c r="B5767">
        <f>_xlfn.XLOOKUP($A5767,Load!$B:$B,Load!C:C,0,)</f>
        <v>0</v>
      </c>
      <c r="C5767">
        <f>_xlfn.XLOOKUP($A5767,Load!$B:$B,Load!D:D,0,)</f>
        <v>0</v>
      </c>
      <c r="D5767">
        <f>_xlfn.XLOOKUP($A5767,Load!$B:$B,Load!E:E,0,)</f>
        <v>0</v>
      </c>
      <c r="E5767">
        <f>_xlfn.XLOOKUP($A5767,Load!$B:$B,Load!F:F,0,)</f>
        <v>0</v>
      </c>
      <c r="F5767">
        <f>_xlfn.XLOOKUP($A5767,Load!$B:$B,Load!G:G,0,)</f>
        <v>0</v>
      </c>
      <c r="G5767">
        <f>_xlfn.XLOOKUP($A5767,Load!$B:$B,Load!H:H,0,)</f>
        <v>0</v>
      </c>
      <c r="H5767">
        <f>_xlfn.XLOOKUP($A5767,Load!$B:$B,Load!I:I,0,)</f>
        <v>0</v>
      </c>
      <c r="I5767">
        <f>_xlfn.XLOOKUP($A5767,Load!$B:$B,Load!J:J,0,)</f>
        <v>0</v>
      </c>
      <c r="J5767">
        <f>_xlfn.XLOOKUP($A5767,Load!$B:$B,Load!K:K,0,)</f>
        <v>0</v>
      </c>
      <c r="K5767">
        <f>_xlfn.XLOOKUP($A5767,Load!$B:$B,Load!L:L,0,)</f>
        <v>0</v>
      </c>
      <c r="L5767">
        <f>_xlfn.XLOOKUP($A5767,Load!$B:$B,Load!M:M,0,)</f>
        <v>0</v>
      </c>
    </row>
    <row r="5768" spans="1:12" x14ac:dyDescent="0.25">
      <c r="A5768" t="s">
        <v>85</v>
      </c>
      <c r="B5768" t="str">
        <f>_xlfn.XLOOKUP($A5768,Load!$B:$B,Load!C:C,0,)</f>
        <v>Ferrara Variety Pack</v>
      </c>
      <c r="C5768" t="str">
        <f>_xlfn.XLOOKUP($A5768,Load!$B:$B,Load!D:D,0,)</f>
        <v>Non-Chocolate Candy Only</v>
      </c>
      <c r="D5768" t="str">
        <f>_xlfn.XLOOKUP($A5768,Load!$B:$B,Load!E:E,0,)</f>
        <v>Variety / Mixed Flavors (Fruity, Sour, Seasonal Flavors)</v>
      </c>
      <c r="E5768" t="str">
        <f>_xlfn.XLOOKUP($A5768,Load!$B:$B,Load!F:F,0,)</f>
        <v>Mixed / Combo Packs (Gummy, Chewy, Taffy, etc.)</v>
      </c>
      <c r="F5768" t="str">
        <f>_xlfn.XLOOKUP($A5768,Load!$B:$B,Load!G:G,0,)</f>
        <v>Large Multipack (More than 80 ct)</v>
      </c>
      <c r="G5768" t="str">
        <f>_xlfn.XLOOKUP($A5768,Load!$B:$B,Load!H:H,0,)</f>
        <v>Stand-Up Bag</v>
      </c>
      <c r="H5768" t="str">
        <f>_xlfn.XLOOKUP($A5768,Load!$B:$B,Load!I:I,0,)</f>
        <v>Seasonal Shapes (like pumpkins, candy corn, ghost, bats, etc.)</v>
      </c>
      <c r="I5768" t="str">
        <f>_xlfn.XLOOKUP($A5768,Load!$B:$B,Load!J:J,0,)</f>
        <v>Seasonal Graphics (Like Bat, Ghost, Pumpkin, Fall Leaves, Eyeballs, etc.)</v>
      </c>
      <c r="J5768" t="str">
        <f>_xlfn.XLOOKUP($A5768,Load!$B:$B,Load!K:K,0,)</f>
        <v>Fun Size / Treat Size</v>
      </c>
      <c r="K5768" t="str">
        <f>_xlfn.XLOOKUP($A5768,Load!$B:$B,Load!L:L,0,)</f>
        <v>Regular/Original Wrapping</v>
      </c>
      <c r="L5768" t="str">
        <f>_xlfn.XLOOKUP($A5768,Load!$B:$B,Load!M:M,0,)</f>
        <v>Multiple Brands / Variety Flavors or Form</v>
      </c>
    </row>
    <row r="5769" spans="1:12" x14ac:dyDescent="0.25">
      <c r="B5769">
        <f>_xlfn.XLOOKUP($A5769,Load!$B:$B,Load!C:C,0,)</f>
        <v>0</v>
      </c>
      <c r="C5769">
        <f>_xlfn.XLOOKUP($A5769,Load!$B:$B,Load!D:D,0,)</f>
        <v>0</v>
      </c>
      <c r="D5769">
        <f>_xlfn.XLOOKUP($A5769,Load!$B:$B,Load!E:E,0,)</f>
        <v>0</v>
      </c>
      <c r="E5769">
        <f>_xlfn.XLOOKUP($A5769,Load!$B:$B,Load!F:F,0,)</f>
        <v>0</v>
      </c>
      <c r="F5769">
        <f>_xlfn.XLOOKUP($A5769,Load!$B:$B,Load!G:G,0,)</f>
        <v>0</v>
      </c>
      <c r="G5769">
        <f>_xlfn.XLOOKUP($A5769,Load!$B:$B,Load!H:H,0,)</f>
        <v>0</v>
      </c>
      <c r="H5769">
        <f>_xlfn.XLOOKUP($A5769,Load!$B:$B,Load!I:I,0,)</f>
        <v>0</v>
      </c>
      <c r="I5769">
        <f>_xlfn.XLOOKUP($A5769,Load!$B:$B,Load!J:J,0,)</f>
        <v>0</v>
      </c>
      <c r="J5769">
        <f>_xlfn.XLOOKUP($A5769,Load!$B:$B,Load!K:K,0,)</f>
        <v>0</v>
      </c>
      <c r="K5769">
        <f>_xlfn.XLOOKUP($A5769,Load!$B:$B,Load!L:L,0,)</f>
        <v>0</v>
      </c>
      <c r="L5769">
        <f>_xlfn.XLOOKUP($A5769,Load!$B:$B,Load!M:M,0,)</f>
        <v>0</v>
      </c>
    </row>
    <row r="5770" spans="1:12" x14ac:dyDescent="0.25">
      <c r="B5770">
        <f>_xlfn.XLOOKUP($A5770,Load!$B:$B,Load!C:C,0,)</f>
        <v>0</v>
      </c>
      <c r="C5770">
        <f>_xlfn.XLOOKUP($A5770,Load!$B:$B,Load!D:D,0,)</f>
        <v>0</v>
      </c>
      <c r="D5770">
        <f>_xlfn.XLOOKUP($A5770,Load!$B:$B,Load!E:E,0,)</f>
        <v>0</v>
      </c>
      <c r="E5770">
        <f>_xlfn.XLOOKUP($A5770,Load!$B:$B,Load!F:F,0,)</f>
        <v>0</v>
      </c>
      <c r="F5770">
        <f>_xlfn.XLOOKUP($A5770,Load!$B:$B,Load!G:G,0,)</f>
        <v>0</v>
      </c>
      <c r="G5770">
        <f>_xlfn.XLOOKUP($A5770,Load!$B:$B,Load!H:H,0,)</f>
        <v>0</v>
      </c>
      <c r="H5770">
        <f>_xlfn.XLOOKUP($A5770,Load!$B:$B,Load!I:I,0,)</f>
        <v>0</v>
      </c>
      <c r="I5770">
        <f>_xlfn.XLOOKUP($A5770,Load!$B:$B,Load!J:J,0,)</f>
        <v>0</v>
      </c>
      <c r="J5770">
        <f>_xlfn.XLOOKUP($A5770,Load!$B:$B,Load!K:K,0,)</f>
        <v>0</v>
      </c>
      <c r="K5770">
        <f>_xlfn.XLOOKUP($A5770,Load!$B:$B,Load!L:L,0,)</f>
        <v>0</v>
      </c>
      <c r="L5770">
        <f>_xlfn.XLOOKUP($A5770,Load!$B:$B,Load!M:M,0,)</f>
        <v>0</v>
      </c>
    </row>
    <row r="5771" spans="1:12" x14ac:dyDescent="0.25">
      <c r="B5771">
        <f>_xlfn.XLOOKUP($A5771,Load!$B:$B,Load!C:C,0,)</f>
        <v>0</v>
      </c>
      <c r="C5771">
        <f>_xlfn.XLOOKUP($A5771,Load!$B:$B,Load!D:D,0,)</f>
        <v>0</v>
      </c>
      <c r="D5771">
        <f>_xlfn.XLOOKUP($A5771,Load!$B:$B,Load!E:E,0,)</f>
        <v>0</v>
      </c>
      <c r="E5771">
        <f>_xlfn.XLOOKUP($A5771,Load!$B:$B,Load!F:F,0,)</f>
        <v>0</v>
      </c>
      <c r="F5771">
        <f>_xlfn.XLOOKUP($A5771,Load!$B:$B,Load!G:G,0,)</f>
        <v>0</v>
      </c>
      <c r="G5771">
        <f>_xlfn.XLOOKUP($A5771,Load!$B:$B,Load!H:H,0,)</f>
        <v>0</v>
      </c>
      <c r="H5771">
        <f>_xlfn.XLOOKUP($A5771,Load!$B:$B,Load!I:I,0,)</f>
        <v>0</v>
      </c>
      <c r="I5771">
        <f>_xlfn.XLOOKUP($A5771,Load!$B:$B,Load!J:J,0,)</f>
        <v>0</v>
      </c>
      <c r="J5771">
        <f>_xlfn.XLOOKUP($A5771,Load!$B:$B,Load!K:K,0,)</f>
        <v>0</v>
      </c>
      <c r="K5771">
        <f>_xlfn.XLOOKUP($A5771,Load!$B:$B,Load!L:L,0,)</f>
        <v>0</v>
      </c>
      <c r="L5771">
        <f>_xlfn.XLOOKUP($A5771,Load!$B:$B,Load!M:M,0,)</f>
        <v>0</v>
      </c>
    </row>
    <row r="5772" spans="1:12" x14ac:dyDescent="0.25">
      <c r="B5772">
        <f>_xlfn.XLOOKUP($A5772,Load!$B:$B,Load!C:C,0,)</f>
        <v>0</v>
      </c>
      <c r="C5772">
        <f>_xlfn.XLOOKUP($A5772,Load!$B:$B,Load!D:D,0,)</f>
        <v>0</v>
      </c>
      <c r="D5772">
        <f>_xlfn.XLOOKUP($A5772,Load!$B:$B,Load!E:E,0,)</f>
        <v>0</v>
      </c>
      <c r="E5772">
        <f>_xlfn.XLOOKUP($A5772,Load!$B:$B,Load!F:F,0,)</f>
        <v>0</v>
      </c>
      <c r="F5772">
        <f>_xlfn.XLOOKUP($A5772,Load!$B:$B,Load!G:G,0,)</f>
        <v>0</v>
      </c>
      <c r="G5772">
        <f>_xlfn.XLOOKUP($A5772,Load!$B:$B,Load!H:H,0,)</f>
        <v>0</v>
      </c>
      <c r="H5772">
        <f>_xlfn.XLOOKUP($A5772,Load!$B:$B,Load!I:I,0,)</f>
        <v>0</v>
      </c>
      <c r="I5772">
        <f>_xlfn.XLOOKUP($A5772,Load!$B:$B,Load!J:J,0,)</f>
        <v>0</v>
      </c>
      <c r="J5772">
        <f>_xlfn.XLOOKUP($A5772,Load!$B:$B,Load!K:K,0,)</f>
        <v>0</v>
      </c>
      <c r="K5772">
        <f>_xlfn.XLOOKUP($A5772,Load!$B:$B,Load!L:L,0,)</f>
        <v>0</v>
      </c>
      <c r="L5772">
        <f>_xlfn.XLOOKUP($A5772,Load!$B:$B,Load!M:M,0,)</f>
        <v>0</v>
      </c>
    </row>
    <row r="5773" spans="1:12" x14ac:dyDescent="0.25">
      <c r="B5773">
        <f>_xlfn.XLOOKUP($A5773,Load!$B:$B,Load!C:C,0,)</f>
        <v>0</v>
      </c>
      <c r="C5773">
        <f>_xlfn.XLOOKUP($A5773,Load!$B:$B,Load!D:D,0,)</f>
        <v>0</v>
      </c>
      <c r="D5773">
        <f>_xlfn.XLOOKUP($A5773,Load!$B:$B,Load!E:E,0,)</f>
        <v>0</v>
      </c>
      <c r="E5773">
        <f>_xlfn.XLOOKUP($A5773,Load!$B:$B,Load!F:F,0,)</f>
        <v>0</v>
      </c>
      <c r="F5773">
        <f>_xlfn.XLOOKUP($A5773,Load!$B:$B,Load!G:G,0,)</f>
        <v>0</v>
      </c>
      <c r="G5773">
        <f>_xlfn.XLOOKUP($A5773,Load!$B:$B,Load!H:H,0,)</f>
        <v>0</v>
      </c>
      <c r="H5773">
        <f>_xlfn.XLOOKUP($A5773,Load!$B:$B,Load!I:I,0,)</f>
        <v>0</v>
      </c>
      <c r="I5773">
        <f>_xlfn.XLOOKUP($A5773,Load!$B:$B,Load!J:J,0,)</f>
        <v>0</v>
      </c>
      <c r="J5773">
        <f>_xlfn.XLOOKUP($A5773,Load!$B:$B,Load!K:K,0,)</f>
        <v>0</v>
      </c>
      <c r="K5773">
        <f>_xlfn.XLOOKUP($A5773,Load!$B:$B,Load!L:L,0,)</f>
        <v>0</v>
      </c>
      <c r="L5773">
        <f>_xlfn.XLOOKUP($A5773,Load!$B:$B,Load!M:M,0,)</f>
        <v>0</v>
      </c>
    </row>
    <row r="5774" spans="1:12" x14ac:dyDescent="0.25">
      <c r="A5774" t="s">
        <v>121</v>
      </c>
      <c r="B5774" t="str">
        <f>_xlfn.XLOOKUP($A5774,Load!$B:$B,Load!C:C,0,)</f>
        <v>HARIBO</v>
      </c>
      <c r="C5774" t="str">
        <f>_xlfn.XLOOKUP($A5774,Load!$B:$B,Load!D:D,0,)</f>
        <v>Non-Chocolate Candy Only</v>
      </c>
      <c r="D5774" t="str">
        <f>_xlfn.XLOOKUP($A5774,Load!$B:$B,Load!E:E,0,)</f>
        <v>Variety / Mixed Flavors (Fruity, Sour, Seasonal Flavors)</v>
      </c>
      <c r="E5774" t="str">
        <f>_xlfn.XLOOKUP($A5774,Load!$B:$B,Load!F:F,0,)</f>
        <v>Gummy</v>
      </c>
      <c r="F5774" t="str">
        <f>_xlfn.XLOOKUP($A5774,Load!$B:$B,Load!G:G,0,)</f>
        <v>Large Multipack (More than 80 ct)</v>
      </c>
      <c r="G5774" t="str">
        <f>_xlfn.XLOOKUP($A5774,Load!$B:$B,Load!H:H,0,)</f>
        <v>Stand-Up Bag</v>
      </c>
      <c r="H5774" t="str">
        <f>_xlfn.XLOOKUP($A5774,Load!$B:$B,Load!I:I,0,)</f>
        <v>Seasonal Shapes (like pumpkins, candy corn, ghost, bats, etc.)</v>
      </c>
      <c r="I5774" t="str">
        <f>_xlfn.XLOOKUP($A5774,Load!$B:$B,Load!J:J,0,)</f>
        <v>Seasonal Graphics (Like Bat, Ghost, Pumpkin, Fall Leaves, Eyeballs, etc.)</v>
      </c>
      <c r="J5774" t="str">
        <f>_xlfn.XLOOKUP($A5774,Load!$B:$B,Load!K:K,0,)</f>
        <v>Fun Size / Treat Size</v>
      </c>
      <c r="K5774" t="str">
        <f>_xlfn.XLOOKUP($A5774,Load!$B:$B,Load!L:L,0,)</f>
        <v>Regular/Original Wrapping</v>
      </c>
      <c r="L5774" t="str">
        <f>_xlfn.XLOOKUP($A5774,Load!$B:$B,Load!M:M,0,)</f>
        <v>Multiple Brands / Variety Flavors or Form</v>
      </c>
    </row>
    <row r="5775" spans="1:12" x14ac:dyDescent="0.25">
      <c r="B5775">
        <f>_xlfn.XLOOKUP($A5775,Load!$B:$B,Load!C:C,0,)</f>
        <v>0</v>
      </c>
      <c r="C5775">
        <f>_xlfn.XLOOKUP($A5775,Load!$B:$B,Load!D:D,0,)</f>
        <v>0</v>
      </c>
      <c r="D5775">
        <f>_xlfn.XLOOKUP($A5775,Load!$B:$B,Load!E:E,0,)</f>
        <v>0</v>
      </c>
      <c r="E5775">
        <f>_xlfn.XLOOKUP($A5775,Load!$B:$B,Load!F:F,0,)</f>
        <v>0</v>
      </c>
      <c r="F5775">
        <f>_xlfn.XLOOKUP($A5775,Load!$B:$B,Load!G:G,0,)</f>
        <v>0</v>
      </c>
      <c r="G5775">
        <f>_xlfn.XLOOKUP($A5775,Load!$B:$B,Load!H:H,0,)</f>
        <v>0</v>
      </c>
      <c r="H5775">
        <f>_xlfn.XLOOKUP($A5775,Load!$B:$B,Load!I:I,0,)</f>
        <v>0</v>
      </c>
      <c r="I5775">
        <f>_xlfn.XLOOKUP($A5775,Load!$B:$B,Load!J:J,0,)</f>
        <v>0</v>
      </c>
      <c r="J5775">
        <f>_xlfn.XLOOKUP($A5775,Load!$B:$B,Load!K:K,0,)</f>
        <v>0</v>
      </c>
      <c r="K5775">
        <f>_xlfn.XLOOKUP($A5775,Load!$B:$B,Load!L:L,0,)</f>
        <v>0</v>
      </c>
      <c r="L5775">
        <f>_xlfn.XLOOKUP($A5775,Load!$B:$B,Load!M:M,0,)</f>
        <v>0</v>
      </c>
    </row>
    <row r="5776" spans="1:12" x14ac:dyDescent="0.25">
      <c r="B5776">
        <f>_xlfn.XLOOKUP($A5776,Load!$B:$B,Load!C:C,0,)</f>
        <v>0</v>
      </c>
      <c r="C5776">
        <f>_xlfn.XLOOKUP($A5776,Load!$B:$B,Load!D:D,0,)</f>
        <v>0</v>
      </c>
      <c r="D5776">
        <f>_xlfn.XLOOKUP($A5776,Load!$B:$B,Load!E:E,0,)</f>
        <v>0</v>
      </c>
      <c r="E5776">
        <f>_xlfn.XLOOKUP($A5776,Load!$B:$B,Load!F:F,0,)</f>
        <v>0</v>
      </c>
      <c r="F5776">
        <f>_xlfn.XLOOKUP($A5776,Load!$B:$B,Load!G:G,0,)</f>
        <v>0</v>
      </c>
      <c r="G5776">
        <f>_xlfn.XLOOKUP($A5776,Load!$B:$B,Load!H:H,0,)</f>
        <v>0</v>
      </c>
      <c r="H5776">
        <f>_xlfn.XLOOKUP($A5776,Load!$B:$B,Load!I:I,0,)</f>
        <v>0</v>
      </c>
      <c r="I5776">
        <f>_xlfn.XLOOKUP($A5776,Load!$B:$B,Load!J:J,0,)</f>
        <v>0</v>
      </c>
      <c r="J5776">
        <f>_xlfn.XLOOKUP($A5776,Load!$B:$B,Load!K:K,0,)</f>
        <v>0</v>
      </c>
      <c r="K5776">
        <f>_xlfn.XLOOKUP($A5776,Load!$B:$B,Load!L:L,0,)</f>
        <v>0</v>
      </c>
      <c r="L5776">
        <f>_xlfn.XLOOKUP($A5776,Load!$B:$B,Load!M:M,0,)</f>
        <v>0</v>
      </c>
    </row>
    <row r="5777" spans="1:12" x14ac:dyDescent="0.25">
      <c r="B5777">
        <f>_xlfn.XLOOKUP($A5777,Load!$B:$B,Load!C:C,0,)</f>
        <v>0</v>
      </c>
      <c r="C5777">
        <f>_xlfn.XLOOKUP($A5777,Load!$B:$B,Load!D:D,0,)</f>
        <v>0</v>
      </c>
      <c r="D5777">
        <f>_xlfn.XLOOKUP($A5777,Load!$B:$B,Load!E:E,0,)</f>
        <v>0</v>
      </c>
      <c r="E5777">
        <f>_xlfn.XLOOKUP($A5777,Load!$B:$B,Load!F:F,0,)</f>
        <v>0</v>
      </c>
      <c r="F5777">
        <f>_xlfn.XLOOKUP($A5777,Load!$B:$B,Load!G:G,0,)</f>
        <v>0</v>
      </c>
      <c r="G5777">
        <f>_xlfn.XLOOKUP($A5777,Load!$B:$B,Load!H:H,0,)</f>
        <v>0</v>
      </c>
      <c r="H5777">
        <f>_xlfn.XLOOKUP($A5777,Load!$B:$B,Load!I:I,0,)</f>
        <v>0</v>
      </c>
      <c r="I5777">
        <f>_xlfn.XLOOKUP($A5777,Load!$B:$B,Load!J:J,0,)</f>
        <v>0</v>
      </c>
      <c r="J5777">
        <f>_xlfn.XLOOKUP($A5777,Load!$B:$B,Load!K:K,0,)</f>
        <v>0</v>
      </c>
      <c r="K5777">
        <f>_xlfn.XLOOKUP($A5777,Load!$B:$B,Load!L:L,0,)</f>
        <v>0</v>
      </c>
      <c r="L5777">
        <f>_xlfn.XLOOKUP($A5777,Load!$B:$B,Load!M:M,0,)</f>
        <v>0</v>
      </c>
    </row>
    <row r="5778" spans="1:12" x14ac:dyDescent="0.25">
      <c r="A5778" t="s">
        <v>89</v>
      </c>
      <c r="B5778" t="str">
        <f>_xlfn.XLOOKUP($A5778,Load!$B:$B,Load!C:C,0,)</f>
        <v>Ferrara Variety Pack</v>
      </c>
      <c r="C5778" t="str">
        <f>_xlfn.XLOOKUP($A5778,Load!$B:$B,Load!D:D,0,)</f>
        <v>Non-Chocolate Candy Only</v>
      </c>
      <c r="D5778" t="str">
        <f>_xlfn.XLOOKUP($A5778,Load!$B:$B,Load!E:E,0,)</f>
        <v>Variety / Mixed Flavors (Fruity, Sour, Seasonal Flavors)</v>
      </c>
      <c r="E5778" t="str">
        <f>_xlfn.XLOOKUP($A5778,Load!$B:$B,Load!F:F,0,)</f>
        <v>Mixed / Combo Packs (Gummy, Chewy, Taffy, etc.)</v>
      </c>
      <c r="F5778" t="str">
        <f>_xlfn.XLOOKUP($A5778,Load!$B:$B,Load!G:G,0,)</f>
        <v>Medium Multipack (40–80 ct)</v>
      </c>
      <c r="G5778" t="str">
        <f>_xlfn.XLOOKUP($A5778,Load!$B:$B,Load!H:H,0,)</f>
        <v>Stand-Up Bag</v>
      </c>
      <c r="H5778" t="str">
        <f>_xlfn.XLOOKUP($A5778,Load!$B:$B,Load!I:I,0,)</f>
        <v>Everyday Candy Shapes (like Original, Gummy bear, Fruit, Jewels, etc.)</v>
      </c>
      <c r="I5778" t="str">
        <f>_xlfn.XLOOKUP($A5778,Load!$B:$B,Load!J:J,0,)</f>
        <v>Seasonal Graphics (Like Bat, Ghost, Pumpkin, Fall Leaves, Eyeballs, etc.)</v>
      </c>
      <c r="J5778" t="str">
        <f>_xlfn.XLOOKUP($A5778,Load!$B:$B,Load!K:K,0,)</f>
        <v xml:space="preserve">Variety Candy Sizes </v>
      </c>
      <c r="K5778" t="str">
        <f>_xlfn.XLOOKUP($A5778,Load!$B:$B,Load!L:L,0,)</f>
        <v>Regular/Original Wrapping</v>
      </c>
      <c r="L5778" t="str">
        <f>_xlfn.XLOOKUP($A5778,Load!$B:$B,Load!M:M,0,)</f>
        <v>Multiple Brands / Variety Flavors or Form</v>
      </c>
    </row>
    <row r="5779" spans="1:12" x14ac:dyDescent="0.25">
      <c r="B5779">
        <f>_xlfn.XLOOKUP($A5779,Load!$B:$B,Load!C:C,0,)</f>
        <v>0</v>
      </c>
      <c r="C5779">
        <f>_xlfn.XLOOKUP($A5779,Load!$B:$B,Load!D:D,0,)</f>
        <v>0</v>
      </c>
      <c r="D5779">
        <f>_xlfn.XLOOKUP($A5779,Load!$B:$B,Load!E:E,0,)</f>
        <v>0</v>
      </c>
      <c r="E5779">
        <f>_xlfn.XLOOKUP($A5779,Load!$B:$B,Load!F:F,0,)</f>
        <v>0</v>
      </c>
      <c r="F5779">
        <f>_xlfn.XLOOKUP($A5779,Load!$B:$B,Load!G:G,0,)</f>
        <v>0</v>
      </c>
      <c r="G5779">
        <f>_xlfn.XLOOKUP($A5779,Load!$B:$B,Load!H:H,0,)</f>
        <v>0</v>
      </c>
      <c r="H5779">
        <f>_xlfn.XLOOKUP($A5779,Load!$B:$B,Load!I:I,0,)</f>
        <v>0</v>
      </c>
      <c r="I5779">
        <f>_xlfn.XLOOKUP($A5779,Load!$B:$B,Load!J:J,0,)</f>
        <v>0</v>
      </c>
      <c r="J5779">
        <f>_xlfn.XLOOKUP($A5779,Load!$B:$B,Load!K:K,0,)</f>
        <v>0</v>
      </c>
      <c r="K5779">
        <f>_xlfn.XLOOKUP($A5779,Load!$B:$B,Load!L:L,0,)</f>
        <v>0</v>
      </c>
      <c r="L5779">
        <f>_xlfn.XLOOKUP($A5779,Load!$B:$B,Load!M:M,0,)</f>
        <v>0</v>
      </c>
    </row>
    <row r="5780" spans="1:12" x14ac:dyDescent="0.25">
      <c r="A5780" t="s">
        <v>220</v>
      </c>
      <c r="B5780" t="str">
        <f>_xlfn.XLOOKUP($A5780,Load!$B:$B,Load!C:C,0,)</f>
        <v>Mondelez Variety Pack</v>
      </c>
      <c r="C5780" t="str">
        <f>_xlfn.XLOOKUP($A5780,Load!$B:$B,Load!D:D,0,)</f>
        <v>Non-Chocolate Candy Only</v>
      </c>
      <c r="D5780" t="str">
        <f>_xlfn.XLOOKUP($A5780,Load!$B:$B,Load!E:E,0,)</f>
        <v>Variety / Mixed Flavors (Fruity, Sour, Seasonal Flavors)</v>
      </c>
      <c r="E5780" t="str">
        <f>_xlfn.XLOOKUP($A5780,Load!$B:$B,Load!F:F,0,)</f>
        <v>Chewy</v>
      </c>
      <c r="F5780" t="str">
        <f>_xlfn.XLOOKUP($A5780,Load!$B:$B,Load!G:G,0,)</f>
        <v>Large Multipack (More than 80 ct)</v>
      </c>
      <c r="G5780" t="str">
        <f>_xlfn.XLOOKUP($A5780,Load!$B:$B,Load!H:H,0,)</f>
        <v>Stand-Up Bag</v>
      </c>
      <c r="H5780" t="str">
        <f>_xlfn.XLOOKUP($A5780,Load!$B:$B,Load!I:I,0,)</f>
        <v>Seasonal Shapes (like pumpkins, candy corn, ghost, bats, etc.)</v>
      </c>
      <c r="I5780" t="str">
        <f>_xlfn.XLOOKUP($A5780,Load!$B:$B,Load!J:J,0,)</f>
        <v>Seasonal Graphics (Like Bat, Ghost, Pumpkin, Fall Leaves, Eyeballs, etc.)</v>
      </c>
      <c r="J5780" t="str">
        <f>_xlfn.XLOOKUP($A5780,Load!$B:$B,Load!K:K,0,)</f>
        <v>Small Pieces (Tiny bite size candies)</v>
      </c>
      <c r="K5780" t="str">
        <f>_xlfn.XLOOKUP($A5780,Load!$B:$B,Load!L:L,0,)</f>
        <v>Regular/Original Wrapping</v>
      </c>
      <c r="L5780" t="str">
        <f>_xlfn.XLOOKUP($A5780,Load!$B:$B,Load!M:M,0,)</f>
        <v>Single Brand / Variety Flavors or Form</v>
      </c>
    </row>
    <row r="5781" spans="1:12" x14ac:dyDescent="0.25">
      <c r="B5781">
        <f>_xlfn.XLOOKUP($A5781,Load!$B:$B,Load!C:C,0,)</f>
        <v>0</v>
      </c>
      <c r="C5781">
        <f>_xlfn.XLOOKUP($A5781,Load!$B:$B,Load!D:D,0,)</f>
        <v>0</v>
      </c>
      <c r="D5781">
        <f>_xlfn.XLOOKUP($A5781,Load!$B:$B,Load!E:E,0,)</f>
        <v>0</v>
      </c>
      <c r="E5781">
        <f>_xlfn.XLOOKUP($A5781,Load!$B:$B,Load!F:F,0,)</f>
        <v>0</v>
      </c>
      <c r="F5781">
        <f>_xlfn.XLOOKUP($A5781,Load!$B:$B,Load!G:G,0,)</f>
        <v>0</v>
      </c>
      <c r="G5781">
        <f>_xlfn.XLOOKUP($A5781,Load!$B:$B,Load!H:H,0,)</f>
        <v>0</v>
      </c>
      <c r="H5781">
        <f>_xlfn.XLOOKUP($A5781,Load!$B:$B,Load!I:I,0,)</f>
        <v>0</v>
      </c>
      <c r="I5781">
        <f>_xlfn.XLOOKUP($A5781,Load!$B:$B,Load!J:J,0,)</f>
        <v>0</v>
      </c>
      <c r="J5781">
        <f>_xlfn.XLOOKUP($A5781,Load!$B:$B,Load!K:K,0,)</f>
        <v>0</v>
      </c>
      <c r="K5781">
        <f>_xlfn.XLOOKUP($A5781,Load!$B:$B,Load!L:L,0,)</f>
        <v>0</v>
      </c>
      <c r="L5781">
        <f>_xlfn.XLOOKUP($A5781,Load!$B:$B,Load!M:M,0,)</f>
        <v>0</v>
      </c>
    </row>
    <row r="5782" spans="1:12" x14ac:dyDescent="0.25">
      <c r="A5782" t="s">
        <v>69</v>
      </c>
      <c r="B5782" t="str">
        <f>_xlfn.XLOOKUP($A5782,Load!$B:$B,Load!C:C,0,)</f>
        <v>Dum Dums</v>
      </c>
      <c r="C5782" t="str">
        <f>_xlfn.XLOOKUP($A5782,Load!$B:$B,Load!D:D,0,)</f>
        <v>Non-Chocolate Candy Only</v>
      </c>
      <c r="D5782" t="str">
        <f>_xlfn.XLOOKUP($A5782,Load!$B:$B,Load!E:E,0,)</f>
        <v>Sweet</v>
      </c>
      <c r="E5782" t="str">
        <f>_xlfn.XLOOKUP($A5782,Load!$B:$B,Load!F:F,0,)</f>
        <v>Lollipop (regular or lollipop rings)</v>
      </c>
      <c r="F5782" t="str">
        <f>_xlfn.XLOOKUP($A5782,Load!$B:$B,Load!G:G,0,)</f>
        <v>Single Pack</v>
      </c>
      <c r="G5782" t="str">
        <f>_xlfn.XLOOKUP($A5782,Load!$B:$B,Load!H:H,0,)</f>
        <v>Laydown Bag</v>
      </c>
      <c r="H5782" t="str">
        <f>_xlfn.XLOOKUP($A5782,Load!$B:$B,Load!I:I,0,)</f>
        <v>Seasonal Shapes (like pumpkins, candy corn, ghost, bats, etc.)</v>
      </c>
      <c r="I5782" t="str">
        <f>_xlfn.XLOOKUP($A5782,Load!$B:$B,Load!J:J,0,)</f>
        <v>Seasonal Graphics (Like Bat, Ghost, Pumpkin, Fall Leaves, Eyeballs, etc.)</v>
      </c>
      <c r="J5782" t="str">
        <f>_xlfn.XLOOKUP($A5782,Load!$B:$B,Load!K:K,0,)</f>
        <v>Regular Lollipop size (on sticks or rings)</v>
      </c>
      <c r="K5782" t="str">
        <f>_xlfn.XLOOKUP($A5782,Load!$B:$B,Load!L:L,0,)</f>
        <v>Regular/Original Wrapping</v>
      </c>
      <c r="L5782" t="str">
        <f>_xlfn.XLOOKUP($A5782,Load!$B:$B,Load!M:M,0,)</f>
        <v>Single Brand / Variety Flavors or Form</v>
      </c>
    </row>
    <row r="5783" spans="1:12" x14ac:dyDescent="0.25">
      <c r="B5783">
        <f>_xlfn.XLOOKUP($A5783,Load!$B:$B,Load!C:C,0,)</f>
        <v>0</v>
      </c>
      <c r="C5783">
        <f>_xlfn.XLOOKUP($A5783,Load!$B:$B,Load!D:D,0,)</f>
        <v>0</v>
      </c>
      <c r="D5783">
        <f>_xlfn.XLOOKUP($A5783,Load!$B:$B,Load!E:E,0,)</f>
        <v>0</v>
      </c>
      <c r="E5783">
        <f>_xlfn.XLOOKUP($A5783,Load!$B:$B,Load!F:F,0,)</f>
        <v>0</v>
      </c>
      <c r="F5783">
        <f>_xlfn.XLOOKUP($A5783,Load!$B:$B,Load!G:G,0,)</f>
        <v>0</v>
      </c>
      <c r="G5783">
        <f>_xlfn.XLOOKUP($A5783,Load!$B:$B,Load!H:H,0,)</f>
        <v>0</v>
      </c>
      <c r="H5783">
        <f>_xlfn.XLOOKUP($A5783,Load!$B:$B,Load!I:I,0,)</f>
        <v>0</v>
      </c>
      <c r="I5783">
        <f>_xlfn.XLOOKUP($A5783,Load!$B:$B,Load!J:J,0,)</f>
        <v>0</v>
      </c>
      <c r="J5783">
        <f>_xlfn.XLOOKUP($A5783,Load!$B:$B,Load!K:K,0,)</f>
        <v>0</v>
      </c>
      <c r="K5783">
        <f>_xlfn.XLOOKUP($A5783,Load!$B:$B,Load!L:L,0,)</f>
        <v>0</v>
      </c>
      <c r="L5783">
        <f>_xlfn.XLOOKUP($A5783,Load!$B:$B,Load!M:M,0,)</f>
        <v>0</v>
      </c>
    </row>
    <row r="5784" spans="1:12" x14ac:dyDescent="0.25">
      <c r="A5784" t="s">
        <v>245</v>
      </c>
      <c r="B5784" t="str">
        <f>_xlfn.XLOOKUP($A5784,Load!$B:$B,Load!C:C,0,)</f>
        <v>Ring Pop</v>
      </c>
      <c r="C5784" t="str">
        <f>_xlfn.XLOOKUP($A5784,Load!$B:$B,Load!D:D,0,)</f>
        <v>Non-Chocolate Candy Only</v>
      </c>
      <c r="D5784" t="str">
        <f>_xlfn.XLOOKUP($A5784,Load!$B:$B,Load!E:E,0,)</f>
        <v>Fruit Flavor (Cherry, Grape, Apple, Citrus, Tropical Fruit)</v>
      </c>
      <c r="E5784" t="str">
        <f>_xlfn.XLOOKUP($A5784,Load!$B:$B,Load!F:F,0,)</f>
        <v>Lollipop (regular or lollipop rings)</v>
      </c>
      <c r="F5784" t="str">
        <f>_xlfn.XLOOKUP($A5784,Load!$B:$B,Load!G:G,0,)</f>
        <v>Single Pack</v>
      </c>
      <c r="G5784" t="str">
        <f>_xlfn.XLOOKUP($A5784,Load!$B:$B,Load!H:H,0,)</f>
        <v>Box (theatre box, gift box, carton)</v>
      </c>
      <c r="H5784" t="str">
        <f>_xlfn.XLOOKUP($A5784,Load!$B:$B,Load!I:I,0,)</f>
        <v>Everyday Candy Shapes (like Original, Gummy bear, Fruit, Jewels, etc.)</v>
      </c>
      <c r="I5784" t="str">
        <f>_xlfn.XLOOKUP($A5784,Load!$B:$B,Load!J:J,0,)</f>
        <v>Seasonal Graphics (Like Bat, Ghost, Pumpkin, Fall Leaves, Eyeballs, etc.)</v>
      </c>
      <c r="J5784" t="str">
        <f>_xlfn.XLOOKUP($A5784,Load!$B:$B,Load!K:K,0,)</f>
        <v>Regular Lollipop size (on sticks or rings)</v>
      </c>
      <c r="K5784" t="str">
        <f>_xlfn.XLOOKUP($A5784,Load!$B:$B,Load!L:L,0,)</f>
        <v>Regular/Original Wrapping</v>
      </c>
      <c r="L5784" t="str">
        <f>_xlfn.XLOOKUP($A5784,Load!$B:$B,Load!M:M,0,)</f>
        <v>Single Brand / Single Flavor or Form</v>
      </c>
    </row>
    <row r="5785" spans="1:12" x14ac:dyDescent="0.25">
      <c r="B5785">
        <f>_xlfn.XLOOKUP($A5785,Load!$B:$B,Load!C:C,0,)</f>
        <v>0</v>
      </c>
      <c r="C5785">
        <f>_xlfn.XLOOKUP($A5785,Load!$B:$B,Load!D:D,0,)</f>
        <v>0</v>
      </c>
      <c r="D5785">
        <f>_xlfn.XLOOKUP($A5785,Load!$B:$B,Load!E:E,0,)</f>
        <v>0</v>
      </c>
      <c r="E5785">
        <f>_xlfn.XLOOKUP($A5785,Load!$B:$B,Load!F:F,0,)</f>
        <v>0</v>
      </c>
      <c r="F5785">
        <f>_xlfn.XLOOKUP($A5785,Load!$B:$B,Load!G:G,0,)</f>
        <v>0</v>
      </c>
      <c r="G5785">
        <f>_xlfn.XLOOKUP($A5785,Load!$B:$B,Load!H:H,0,)</f>
        <v>0</v>
      </c>
      <c r="H5785">
        <f>_xlfn.XLOOKUP($A5785,Load!$B:$B,Load!I:I,0,)</f>
        <v>0</v>
      </c>
      <c r="I5785">
        <f>_xlfn.XLOOKUP($A5785,Load!$B:$B,Load!J:J,0,)</f>
        <v>0</v>
      </c>
      <c r="J5785">
        <f>_xlfn.XLOOKUP($A5785,Load!$B:$B,Load!K:K,0,)</f>
        <v>0</v>
      </c>
      <c r="K5785">
        <f>_xlfn.XLOOKUP($A5785,Load!$B:$B,Load!L:L,0,)</f>
        <v>0</v>
      </c>
      <c r="L5785">
        <f>_xlfn.XLOOKUP($A5785,Load!$B:$B,Load!M:M,0,)</f>
        <v>0</v>
      </c>
    </row>
    <row r="5786" spans="1:12" x14ac:dyDescent="0.25">
      <c r="B5786">
        <f>_xlfn.XLOOKUP($A5786,Load!$B:$B,Load!C:C,0,)</f>
        <v>0</v>
      </c>
      <c r="C5786">
        <f>_xlfn.XLOOKUP($A5786,Load!$B:$B,Load!D:D,0,)</f>
        <v>0</v>
      </c>
      <c r="D5786">
        <f>_xlfn.XLOOKUP($A5786,Load!$B:$B,Load!E:E,0,)</f>
        <v>0</v>
      </c>
      <c r="E5786">
        <f>_xlfn.XLOOKUP($A5786,Load!$B:$B,Load!F:F,0,)</f>
        <v>0</v>
      </c>
      <c r="F5786">
        <f>_xlfn.XLOOKUP($A5786,Load!$B:$B,Load!G:G,0,)</f>
        <v>0</v>
      </c>
      <c r="G5786">
        <f>_xlfn.XLOOKUP($A5786,Load!$B:$B,Load!H:H,0,)</f>
        <v>0</v>
      </c>
      <c r="H5786">
        <f>_xlfn.XLOOKUP($A5786,Load!$B:$B,Load!I:I,0,)</f>
        <v>0</v>
      </c>
      <c r="I5786">
        <f>_xlfn.XLOOKUP($A5786,Load!$B:$B,Load!J:J,0,)</f>
        <v>0</v>
      </c>
      <c r="J5786">
        <f>_xlfn.XLOOKUP($A5786,Load!$B:$B,Load!K:K,0,)</f>
        <v>0</v>
      </c>
      <c r="K5786">
        <f>_xlfn.XLOOKUP($A5786,Load!$B:$B,Load!L:L,0,)</f>
        <v>0</v>
      </c>
      <c r="L5786">
        <f>_xlfn.XLOOKUP($A5786,Load!$B:$B,Load!M:M,0,)</f>
        <v>0</v>
      </c>
    </row>
    <row r="5787" spans="1:12" x14ac:dyDescent="0.25">
      <c r="B5787">
        <f>_xlfn.XLOOKUP($A5787,Load!$B:$B,Load!C:C,0,)</f>
        <v>0</v>
      </c>
      <c r="C5787">
        <f>_xlfn.XLOOKUP($A5787,Load!$B:$B,Load!D:D,0,)</f>
        <v>0</v>
      </c>
      <c r="D5787">
        <f>_xlfn.XLOOKUP($A5787,Load!$B:$B,Load!E:E,0,)</f>
        <v>0</v>
      </c>
      <c r="E5787">
        <f>_xlfn.XLOOKUP($A5787,Load!$B:$B,Load!F:F,0,)</f>
        <v>0</v>
      </c>
      <c r="F5787">
        <f>_xlfn.XLOOKUP($A5787,Load!$B:$B,Load!G:G,0,)</f>
        <v>0</v>
      </c>
      <c r="G5787">
        <f>_xlfn.XLOOKUP($A5787,Load!$B:$B,Load!H:H,0,)</f>
        <v>0</v>
      </c>
      <c r="H5787">
        <f>_xlfn.XLOOKUP($A5787,Load!$B:$B,Load!I:I,0,)</f>
        <v>0</v>
      </c>
      <c r="I5787">
        <f>_xlfn.XLOOKUP($A5787,Load!$B:$B,Load!J:J,0,)</f>
        <v>0</v>
      </c>
      <c r="J5787">
        <f>_xlfn.XLOOKUP($A5787,Load!$B:$B,Load!K:K,0,)</f>
        <v>0</v>
      </c>
      <c r="K5787">
        <f>_xlfn.XLOOKUP($A5787,Load!$B:$B,Load!L:L,0,)</f>
        <v>0</v>
      </c>
      <c r="L5787">
        <f>_xlfn.XLOOKUP($A5787,Load!$B:$B,Load!M:M,0,)</f>
        <v>0</v>
      </c>
    </row>
    <row r="5788" spans="1:12" x14ac:dyDescent="0.25">
      <c r="A5788" t="s">
        <v>199</v>
      </c>
      <c r="B5788" t="str">
        <f>_xlfn.XLOOKUP($A5788,Load!$B:$B,Load!C:C,0,)</f>
        <v>Mars Variety Pack</v>
      </c>
      <c r="C5788" t="str">
        <f>_xlfn.XLOOKUP($A5788,Load!$B:$B,Load!D:D,0,)</f>
        <v>Non-Chocolate Candy Only</v>
      </c>
      <c r="D5788" t="str">
        <f>_xlfn.XLOOKUP($A5788,Load!$B:$B,Load!E:E,0,)</f>
        <v>Variety / Mixed Flavors (Fruity, Sour, Seasonal Flavors)</v>
      </c>
      <c r="E5788" t="str">
        <f>_xlfn.XLOOKUP($A5788,Load!$B:$B,Load!F:F,0,)</f>
        <v>Mixed / Combo Packs (Gummy, Chewy, Taffy, etc.)</v>
      </c>
      <c r="F5788" t="str">
        <f>_xlfn.XLOOKUP($A5788,Load!$B:$B,Load!G:G,0,)</f>
        <v>Small Multipack (Less than 40 ct)</v>
      </c>
      <c r="G5788" t="str">
        <f>_xlfn.XLOOKUP($A5788,Load!$B:$B,Load!H:H,0,)</f>
        <v>Laydown Bag</v>
      </c>
      <c r="H5788" t="str">
        <f>_xlfn.XLOOKUP($A5788,Load!$B:$B,Load!I:I,0,)</f>
        <v>Everyday Candy Shapes (like Original, Gummy bear, Fruit, Jewels, etc.)</v>
      </c>
      <c r="I5788" t="str">
        <f>_xlfn.XLOOKUP($A5788,Load!$B:$B,Load!J:J,0,)</f>
        <v>Seasonal Graphics (Like Bat, Ghost, Pumpkin, Fall Leaves, Eyeballs, etc.)</v>
      </c>
      <c r="J5788" t="str">
        <f>_xlfn.XLOOKUP($A5788,Load!$B:$B,Load!K:K,0,)</f>
        <v>Fun Size / Treat Size</v>
      </c>
      <c r="K5788" t="str">
        <f>_xlfn.XLOOKUP($A5788,Load!$B:$B,Load!L:L,0,)</f>
        <v>Regular/Original Wrapping</v>
      </c>
      <c r="L5788" t="str">
        <f>_xlfn.XLOOKUP($A5788,Load!$B:$B,Load!M:M,0,)</f>
        <v>Multiple Brands / Variety Flavors or Form</v>
      </c>
    </row>
    <row r="5789" spans="1:12" x14ac:dyDescent="0.25">
      <c r="A5789" t="s">
        <v>183</v>
      </c>
      <c r="B5789" t="str">
        <f>_xlfn.XLOOKUP($A5789,Load!$B:$B,Load!C:C,0,)</f>
        <v>Mars Variety Pack</v>
      </c>
      <c r="C5789" t="str">
        <f>_xlfn.XLOOKUP($A5789,Load!$B:$B,Load!D:D,0,)</f>
        <v>Non-Chocolate Candy Only</v>
      </c>
      <c r="D5789" t="str">
        <f>_xlfn.XLOOKUP($A5789,Load!$B:$B,Load!E:E,0,)</f>
        <v>Variety / Mixed Flavors (Fruity, Sour, Seasonal Flavors)</v>
      </c>
      <c r="E5789" t="str">
        <f>_xlfn.XLOOKUP($A5789,Load!$B:$B,Load!F:F,0,)</f>
        <v>Mixed / Combo Packs (Gummy, Chewy, Taffy, etc.)</v>
      </c>
      <c r="F5789" t="str">
        <f>_xlfn.XLOOKUP($A5789,Load!$B:$B,Load!G:G,0,)</f>
        <v>Large Multipack (More than 80 ct)</v>
      </c>
      <c r="G5789" t="str">
        <f>_xlfn.XLOOKUP($A5789,Load!$B:$B,Load!H:H,0,)</f>
        <v>Stand-Up Bag</v>
      </c>
      <c r="H5789" t="str">
        <f>_xlfn.XLOOKUP($A5789,Load!$B:$B,Load!I:I,0,)</f>
        <v>Seasonal Shapes (like pumpkins, candy corn, ghost, bats, etc.)</v>
      </c>
      <c r="I5789" t="str">
        <f>_xlfn.XLOOKUP($A5789,Load!$B:$B,Load!J:J,0,)</f>
        <v>Seasonal Graphics (Like Bat, Ghost, Pumpkin, Fall Leaves, Eyeballs, etc.)</v>
      </c>
      <c r="J5789" t="str">
        <f>_xlfn.XLOOKUP($A5789,Load!$B:$B,Load!K:K,0,)</f>
        <v xml:space="preserve">Variety Candy Sizes </v>
      </c>
      <c r="K5789" t="str">
        <f>_xlfn.XLOOKUP($A5789,Load!$B:$B,Load!L:L,0,)</f>
        <v>Regular/Original Wrapping</v>
      </c>
      <c r="L5789" t="str">
        <f>_xlfn.XLOOKUP($A5789,Load!$B:$B,Load!M:M,0,)</f>
        <v>Multiple Brands / Variety Flavors or Form</v>
      </c>
    </row>
    <row r="5790" spans="1:12" x14ac:dyDescent="0.25">
      <c r="A5790" t="s">
        <v>78</v>
      </c>
      <c r="B5790" t="str">
        <f>_xlfn.XLOOKUP($A5790,Load!$B:$B,Load!C:C,0,)</f>
        <v>Ferrara Variety Pack</v>
      </c>
      <c r="C5790" t="str">
        <f>_xlfn.XLOOKUP($A5790,Load!$B:$B,Load!D:D,0,)</f>
        <v>Non-Chocolate Candy Only</v>
      </c>
      <c r="D5790" t="str">
        <f>_xlfn.XLOOKUP($A5790,Load!$B:$B,Load!E:E,0,)</f>
        <v>Variety / Mixed Flavors (Fruity, Sour, Seasonal Flavors)</v>
      </c>
      <c r="E5790" t="str">
        <f>_xlfn.XLOOKUP($A5790,Load!$B:$B,Load!F:F,0,)</f>
        <v>Mixed / Combo Packs (Gummy, Chewy, Taffy, etc.)</v>
      </c>
      <c r="F5790" t="str">
        <f>_xlfn.XLOOKUP($A5790,Load!$B:$B,Load!G:G,0,)</f>
        <v>Large Multipack (More than 80 ct)</v>
      </c>
      <c r="G5790" t="str">
        <f>_xlfn.XLOOKUP($A5790,Load!$B:$B,Load!H:H,0,)</f>
        <v>Stand-Up Bag</v>
      </c>
      <c r="H5790" t="str">
        <f>_xlfn.XLOOKUP($A5790,Load!$B:$B,Load!I:I,0,)</f>
        <v>Everyday Candy Shapes (like Original, Gummy bear, Fruit, Jewels, etc.)</v>
      </c>
      <c r="I5790" t="str">
        <f>_xlfn.XLOOKUP($A5790,Load!$B:$B,Load!J:J,0,)</f>
        <v>Seasonal Graphics (Like Bat, Ghost, Pumpkin, Fall Leaves, Eyeballs, etc.)</v>
      </c>
      <c r="J5790" t="str">
        <f>_xlfn.XLOOKUP($A5790,Load!$B:$B,Load!K:K,0,)</f>
        <v xml:space="preserve">Variety Candy Sizes </v>
      </c>
      <c r="K5790" t="str">
        <f>_xlfn.XLOOKUP($A5790,Load!$B:$B,Load!L:L,0,)</f>
        <v>Regular/Original Wrapping</v>
      </c>
      <c r="L5790" t="str">
        <f>_xlfn.XLOOKUP($A5790,Load!$B:$B,Load!M:M,0,)</f>
        <v>Multiple Brands / Variety Flavors or Form</v>
      </c>
    </row>
    <row r="5791" spans="1:12" x14ac:dyDescent="0.25">
      <c r="B5791">
        <f>_xlfn.XLOOKUP($A5791,Load!$B:$B,Load!C:C,0,)</f>
        <v>0</v>
      </c>
      <c r="C5791">
        <f>_xlfn.XLOOKUP($A5791,Load!$B:$B,Load!D:D,0,)</f>
        <v>0</v>
      </c>
      <c r="D5791">
        <f>_xlfn.XLOOKUP($A5791,Load!$B:$B,Load!E:E,0,)</f>
        <v>0</v>
      </c>
      <c r="E5791">
        <f>_xlfn.XLOOKUP($A5791,Load!$B:$B,Load!F:F,0,)</f>
        <v>0</v>
      </c>
      <c r="F5791">
        <f>_xlfn.XLOOKUP($A5791,Load!$B:$B,Load!G:G,0,)</f>
        <v>0</v>
      </c>
      <c r="G5791">
        <f>_xlfn.XLOOKUP($A5791,Load!$B:$B,Load!H:H,0,)</f>
        <v>0</v>
      </c>
      <c r="H5791">
        <f>_xlfn.XLOOKUP($A5791,Load!$B:$B,Load!I:I,0,)</f>
        <v>0</v>
      </c>
      <c r="I5791">
        <f>_xlfn.XLOOKUP($A5791,Load!$B:$B,Load!J:J,0,)</f>
        <v>0</v>
      </c>
      <c r="J5791">
        <f>_xlfn.XLOOKUP($A5791,Load!$B:$B,Load!K:K,0,)</f>
        <v>0</v>
      </c>
      <c r="K5791">
        <f>_xlfn.XLOOKUP($A5791,Load!$B:$B,Load!L:L,0,)</f>
        <v>0</v>
      </c>
      <c r="L5791">
        <f>_xlfn.XLOOKUP($A5791,Load!$B:$B,Load!M:M,0,)</f>
        <v>0</v>
      </c>
    </row>
    <row r="5792" spans="1:12" x14ac:dyDescent="0.25">
      <c r="A5792" t="s">
        <v>71</v>
      </c>
      <c r="B5792" t="str">
        <f>_xlfn.XLOOKUP($A5792,Load!$B:$B,Load!C:C,0,)</f>
        <v>Dum Dums</v>
      </c>
      <c r="C5792" t="str">
        <f>_xlfn.XLOOKUP($A5792,Load!$B:$B,Load!D:D,0,)</f>
        <v>Non-Chocolate Candy Only</v>
      </c>
      <c r="D5792" t="str">
        <f>_xlfn.XLOOKUP($A5792,Load!$B:$B,Load!E:E,0,)</f>
        <v>Sweet</v>
      </c>
      <c r="E5792" t="str">
        <f>_xlfn.XLOOKUP($A5792,Load!$B:$B,Load!F:F,0,)</f>
        <v>Lollipop (regular or lollipop rings)</v>
      </c>
      <c r="F5792" t="str">
        <f>_xlfn.XLOOKUP($A5792,Load!$B:$B,Load!G:G,0,)</f>
        <v>Large Multipack (More than 80 ct)</v>
      </c>
      <c r="G5792" t="str">
        <f>_xlfn.XLOOKUP($A5792,Load!$B:$B,Load!H:H,0,)</f>
        <v>Stand-Up Bag</v>
      </c>
      <c r="H5792" t="str">
        <f>_xlfn.XLOOKUP($A5792,Load!$B:$B,Load!I:I,0,)</f>
        <v>Everyday Candy Shapes (like Original, Gummy bear, Fruit, Jewels, etc.)</v>
      </c>
      <c r="I5792" t="str">
        <f>_xlfn.XLOOKUP($A5792,Load!$B:$B,Load!J:J,0,)</f>
        <v>Seasonal Graphics (Like Bat, Ghost, Pumpkin, Fall Leaves, Eyeballs, etc.)</v>
      </c>
      <c r="J5792" t="str">
        <f>_xlfn.XLOOKUP($A5792,Load!$B:$B,Load!K:K,0,)</f>
        <v>Regular Lollipop size (on sticks or rings)</v>
      </c>
      <c r="K5792" t="str">
        <f>_xlfn.XLOOKUP($A5792,Load!$B:$B,Load!L:L,0,)</f>
        <v>Regular/Original Wrapping</v>
      </c>
      <c r="L5792" t="str">
        <f>_xlfn.XLOOKUP($A5792,Load!$B:$B,Load!M:M,0,)</f>
        <v>Multiple Brands / Variety Flavors or Form</v>
      </c>
    </row>
    <row r="5793" spans="1:12" x14ac:dyDescent="0.25">
      <c r="B5793">
        <f>_xlfn.XLOOKUP($A5793,Load!$B:$B,Load!C:C,0,)</f>
        <v>0</v>
      </c>
      <c r="C5793">
        <f>_xlfn.XLOOKUP($A5793,Load!$B:$B,Load!D:D,0,)</f>
        <v>0</v>
      </c>
      <c r="D5793">
        <f>_xlfn.XLOOKUP($A5793,Load!$B:$B,Load!E:E,0,)</f>
        <v>0</v>
      </c>
      <c r="E5793">
        <f>_xlfn.XLOOKUP($A5793,Load!$B:$B,Load!F:F,0,)</f>
        <v>0</v>
      </c>
      <c r="F5793">
        <f>_xlfn.XLOOKUP($A5793,Load!$B:$B,Load!G:G,0,)</f>
        <v>0</v>
      </c>
      <c r="G5793">
        <f>_xlfn.XLOOKUP($A5793,Load!$B:$B,Load!H:H,0,)</f>
        <v>0</v>
      </c>
      <c r="H5793">
        <f>_xlfn.XLOOKUP($A5793,Load!$B:$B,Load!I:I,0,)</f>
        <v>0</v>
      </c>
      <c r="I5793">
        <f>_xlfn.XLOOKUP($A5793,Load!$B:$B,Load!J:J,0,)</f>
        <v>0</v>
      </c>
      <c r="J5793">
        <f>_xlfn.XLOOKUP($A5793,Load!$B:$B,Load!K:K,0,)</f>
        <v>0</v>
      </c>
      <c r="K5793">
        <f>_xlfn.XLOOKUP($A5793,Load!$B:$B,Load!L:L,0,)</f>
        <v>0</v>
      </c>
      <c r="L5793">
        <f>_xlfn.XLOOKUP($A5793,Load!$B:$B,Load!M:M,0,)</f>
        <v>0</v>
      </c>
    </row>
    <row r="5794" spans="1:12" x14ac:dyDescent="0.25">
      <c r="A5794" t="s">
        <v>307</v>
      </c>
      <c r="B5794" t="str">
        <f>_xlfn.XLOOKUP($A5794,Load!$B:$B,Load!C:C,0,)</f>
        <v>Werther's Original</v>
      </c>
      <c r="C5794" t="str">
        <f>_xlfn.XLOOKUP($A5794,Load!$B:$B,Load!D:D,0,)</f>
        <v>Non-Chocolate Candy Only</v>
      </c>
      <c r="D5794" t="str">
        <f>_xlfn.XLOOKUP($A5794,Load!$B:$B,Load!E:E,0,)</f>
        <v>Fall / Seasonal Flavors (pumpkin spice, caramel apple, candy corn)</v>
      </c>
      <c r="E5794" t="str">
        <f>_xlfn.XLOOKUP($A5794,Load!$B:$B,Load!F:F,0,)</f>
        <v>Hard Candy</v>
      </c>
      <c r="F5794" t="str">
        <f>_xlfn.XLOOKUP($A5794,Load!$B:$B,Load!G:G,0,)</f>
        <v>Single Pack</v>
      </c>
      <c r="G5794" t="str">
        <f>_xlfn.XLOOKUP($A5794,Load!$B:$B,Load!H:H,0,)</f>
        <v>Stand-Up Bag</v>
      </c>
      <c r="H5794" t="str">
        <f>_xlfn.XLOOKUP($A5794,Load!$B:$B,Load!I:I,0,)</f>
        <v>Everyday Candy Shapes (like Original, Gummy bear, Fruit, Jewels, etc.)</v>
      </c>
      <c r="I5794" t="str">
        <f>_xlfn.XLOOKUP($A5794,Load!$B:$B,Load!J:J,0,)</f>
        <v>Seasonal Graphics (Like Bat, Ghost, Pumpkin, Fall Leaves, Eyeballs, etc.)</v>
      </c>
      <c r="J5794" t="str">
        <f>_xlfn.XLOOKUP($A5794,Load!$B:$B,Load!K:K,0,)</f>
        <v>Fun Size / Treat Size</v>
      </c>
      <c r="K5794" t="str">
        <f>_xlfn.XLOOKUP($A5794,Load!$B:$B,Load!L:L,0,)</f>
        <v>Regular/Original Wrapping</v>
      </c>
      <c r="L5794" t="str">
        <f>_xlfn.XLOOKUP($A5794,Load!$B:$B,Load!M:M,0,)</f>
        <v>Single Brand / Single Flavor or Form</v>
      </c>
    </row>
    <row r="5795" spans="1:12" x14ac:dyDescent="0.25">
      <c r="A5795" t="s">
        <v>466</v>
      </c>
      <c r="B5795" t="str">
        <f>_xlfn.XLOOKUP($A5795,Load!$B:$B,Load!C:C,0,)</f>
        <v>Pez</v>
      </c>
      <c r="C5795" t="str">
        <f>_xlfn.XLOOKUP($A5795,Load!$B:$B,Load!D:D,0,)</f>
        <v>Non-Chocolate Candy Only</v>
      </c>
      <c r="D5795" t="str">
        <f>_xlfn.XLOOKUP($A5795,Load!$B:$B,Load!E:E,0,)</f>
        <v>Fruit Flavor (Cherry, Grape, Apple, Citrus, Tropical Fruit)</v>
      </c>
      <c r="E5795" t="str">
        <f>_xlfn.XLOOKUP($A5795,Load!$B:$B,Load!F:F,0,)</f>
        <v>Hard Candy</v>
      </c>
      <c r="F5795" t="str">
        <f>_xlfn.XLOOKUP($A5795,Load!$B:$B,Load!G:G,0,)</f>
        <v>Single Pack</v>
      </c>
      <c r="G5795" t="str">
        <f>_xlfn.XLOOKUP($A5795,Load!$B:$B,Load!H:H,0,)</f>
        <v>Peg Bag</v>
      </c>
      <c r="H5795" t="str">
        <f>_xlfn.XLOOKUP($A5795,Load!$B:$B,Load!I:I,0,)</f>
        <v>Everyday Candy Shapes (like Original, Gummy bear, Fruit, Jewels, etc.)</v>
      </c>
      <c r="I5795" t="str">
        <f>_xlfn.XLOOKUP($A5795,Load!$B:$B,Load!J:J,0,)</f>
        <v>Seasonal Graphics (Like Bat, Ghost, Pumpkin, Fall Leaves, Eyeballs, etc.)</v>
      </c>
      <c r="J5795" t="str">
        <f>_xlfn.XLOOKUP($A5795,Load!$B:$B,Load!K:K,0,)</f>
        <v>Small Pieces (Tiny bite size candies)</v>
      </c>
      <c r="K5795" t="str">
        <f>_xlfn.XLOOKUP($A5795,Load!$B:$B,Load!L:L,0,)</f>
        <v>Regular/Original Wrapping</v>
      </c>
      <c r="L5795" t="str">
        <f>_xlfn.XLOOKUP($A5795,Load!$B:$B,Load!M:M,0,)</f>
        <v>Single Brand / Variety Flavors or Form</v>
      </c>
    </row>
    <row r="5796" spans="1:12" x14ac:dyDescent="0.25">
      <c r="A5796" t="s">
        <v>2</v>
      </c>
      <c r="B5796" t="str">
        <f>_xlfn.XLOOKUP($A5796,Load!$B:$B,Load!C:C,0,)</f>
        <v>Airheads</v>
      </c>
      <c r="C5796" t="str">
        <f>_xlfn.XLOOKUP($A5796,Load!$B:$B,Load!D:D,0,)</f>
        <v>Non-Chocolate Candy Only</v>
      </c>
      <c r="D5796" t="str">
        <f>_xlfn.XLOOKUP($A5796,Load!$B:$B,Load!E:E,0,)</f>
        <v>Variety / Mixed Flavors (Fruity, Sour, Seasonal Flavors)</v>
      </c>
      <c r="E5796" t="str">
        <f>_xlfn.XLOOKUP($A5796,Load!$B:$B,Load!F:F,0,)</f>
        <v>Chewy</v>
      </c>
      <c r="F5796" t="str">
        <f>_xlfn.XLOOKUP($A5796,Load!$B:$B,Load!G:G,0,)</f>
        <v>Medium Multipack (40–80 ct)</v>
      </c>
      <c r="G5796" t="str">
        <f>_xlfn.XLOOKUP($A5796,Load!$B:$B,Load!H:H,0,)</f>
        <v>Box (theatre box, gift box, carton)</v>
      </c>
      <c r="H5796" t="str">
        <f>_xlfn.XLOOKUP($A5796,Load!$B:$B,Load!I:I,0,)</f>
        <v>Everyday Candy Shapes (like Original, Gummy bear, Fruit, Jewels, etc.)</v>
      </c>
      <c r="I5796" t="str">
        <f>_xlfn.XLOOKUP($A5796,Load!$B:$B,Load!J:J,0,)</f>
        <v>Seasonal Graphics (Like Bat, Ghost, Pumpkin, Fall Leaves, Eyeballs, etc.)</v>
      </c>
      <c r="J5796" t="str">
        <f>_xlfn.XLOOKUP($A5796,Load!$B:$B,Load!K:K,0,)</f>
        <v>Fun Size / Treat Size</v>
      </c>
      <c r="K5796" t="str">
        <f>_xlfn.XLOOKUP($A5796,Load!$B:$B,Load!L:L,0,)</f>
        <v>Regular/Original Wrapping</v>
      </c>
      <c r="L5796" t="str">
        <f>_xlfn.XLOOKUP($A5796,Load!$B:$B,Load!M:M,0,)</f>
        <v>Single Brand / Variety Flavors or Form</v>
      </c>
    </row>
    <row r="5797" spans="1:12" x14ac:dyDescent="0.25">
      <c r="B5797">
        <f>_xlfn.XLOOKUP($A5797,Load!$B:$B,Load!C:C,0,)</f>
        <v>0</v>
      </c>
      <c r="C5797">
        <f>_xlfn.XLOOKUP($A5797,Load!$B:$B,Load!D:D,0,)</f>
        <v>0</v>
      </c>
      <c r="D5797">
        <f>_xlfn.XLOOKUP($A5797,Load!$B:$B,Load!E:E,0,)</f>
        <v>0</v>
      </c>
      <c r="E5797">
        <f>_xlfn.XLOOKUP($A5797,Load!$B:$B,Load!F:F,0,)</f>
        <v>0</v>
      </c>
      <c r="F5797">
        <f>_xlfn.XLOOKUP($A5797,Load!$B:$B,Load!G:G,0,)</f>
        <v>0</v>
      </c>
      <c r="G5797">
        <f>_xlfn.XLOOKUP($A5797,Load!$B:$B,Load!H:H,0,)</f>
        <v>0</v>
      </c>
      <c r="H5797">
        <f>_xlfn.XLOOKUP($A5797,Load!$B:$B,Load!I:I,0,)</f>
        <v>0</v>
      </c>
      <c r="I5797">
        <f>_xlfn.XLOOKUP($A5797,Load!$B:$B,Load!J:J,0,)</f>
        <v>0</v>
      </c>
      <c r="J5797">
        <f>_xlfn.XLOOKUP($A5797,Load!$B:$B,Load!K:K,0,)</f>
        <v>0</v>
      </c>
      <c r="K5797">
        <f>_xlfn.XLOOKUP($A5797,Load!$B:$B,Load!L:L,0,)</f>
        <v>0</v>
      </c>
      <c r="L5797">
        <f>_xlfn.XLOOKUP($A5797,Load!$B:$B,Load!M:M,0,)</f>
        <v>0</v>
      </c>
    </row>
    <row r="5798" spans="1:12" x14ac:dyDescent="0.25">
      <c r="A5798" t="s">
        <v>207</v>
      </c>
      <c r="B5798" t="str">
        <f>_xlfn.XLOOKUP($A5798,Load!$B:$B,Load!C:C,0,)</f>
        <v>Mars Variety Pack</v>
      </c>
      <c r="C5798" t="str">
        <f>_xlfn.XLOOKUP($A5798,Load!$B:$B,Load!D:D,0,)</f>
        <v>Mix of Chocolate and Non-Chocolate Candy</v>
      </c>
      <c r="D5798" t="str">
        <f>_xlfn.XLOOKUP($A5798,Load!$B:$B,Load!E:E,0,)</f>
        <v>Variety / Mixed Flavors (Fruity, Sour, Seasonal Flavors)</v>
      </c>
      <c r="E5798" t="str">
        <f>_xlfn.XLOOKUP($A5798,Load!$B:$B,Load!F:F,0,)</f>
        <v>Mixed / Combo Packs (Gummy, Chewy, Taffy, etc.)</v>
      </c>
      <c r="F5798" t="str">
        <f>_xlfn.XLOOKUP($A5798,Load!$B:$B,Load!G:G,0,)</f>
        <v>Large Multipack (More than 80 ct)</v>
      </c>
      <c r="G5798" t="str">
        <f>_xlfn.XLOOKUP($A5798,Load!$B:$B,Load!H:H,0,)</f>
        <v>Stand-Up Bag</v>
      </c>
      <c r="H5798" t="str">
        <f>_xlfn.XLOOKUP($A5798,Load!$B:$B,Load!I:I,0,)</f>
        <v>Everyday Candy Shapes (like Original, Gummy bear, Fruit, Jewels, etc.)</v>
      </c>
      <c r="I5798" t="str">
        <f>_xlfn.XLOOKUP($A5798,Load!$B:$B,Load!J:J,0,)</f>
        <v>Everyday Graphics</v>
      </c>
      <c r="J5798" t="str">
        <f>_xlfn.XLOOKUP($A5798,Load!$B:$B,Load!K:K,0,)</f>
        <v>Fun Size / Treat Size</v>
      </c>
      <c r="K5798" t="str">
        <f>_xlfn.XLOOKUP($A5798,Load!$B:$B,Load!L:L,0,)</f>
        <v>Regular/Original Wrapping</v>
      </c>
      <c r="L5798" t="str">
        <f>_xlfn.XLOOKUP($A5798,Load!$B:$B,Load!M:M,0,)</f>
        <v>Multiple Brands / Variety Flavors or Form</v>
      </c>
    </row>
    <row r="5799" spans="1:12" x14ac:dyDescent="0.25">
      <c r="A5799" t="s">
        <v>326</v>
      </c>
      <c r="B5799" t="str">
        <f>_xlfn.XLOOKUP($A5799,Load!$B:$B,Load!C:C,0,)</f>
        <v>Mondelez Variety Pack</v>
      </c>
      <c r="C5799" t="str">
        <f>_xlfn.XLOOKUP($A5799,Load!$B:$B,Load!D:D,0,)</f>
        <v>Mix of Chocolate and Non-Chocolate Candy</v>
      </c>
      <c r="D5799" t="str">
        <f>_xlfn.XLOOKUP($A5799,Load!$B:$B,Load!E:E,0,)</f>
        <v>Variety / Mixed Flavors (Fruity, Sour, Seasonal Flavors)</v>
      </c>
      <c r="E5799" t="str">
        <f>_xlfn.XLOOKUP($A5799,Load!$B:$B,Load!F:F,0,)</f>
        <v>Mixed / Combo Packs (Gummy, Chewy, Taffy, etc.)</v>
      </c>
      <c r="F5799" t="str">
        <f>_xlfn.XLOOKUP($A5799,Load!$B:$B,Load!G:G,0,)</f>
        <v>Medium Multipack (40–80 ct)</v>
      </c>
      <c r="G5799" t="str">
        <f>_xlfn.XLOOKUP($A5799,Load!$B:$B,Load!H:H,0,)</f>
        <v>Stand-Up Bag</v>
      </c>
      <c r="H5799" t="str">
        <f>_xlfn.XLOOKUP($A5799,Load!$B:$B,Load!I:I,0,)</f>
        <v>Everyday Candy Shapes (like Original, Gummy bear, Fruit, Jewels, etc.)</v>
      </c>
      <c r="I5799" t="str">
        <f>_xlfn.XLOOKUP($A5799,Load!$B:$B,Load!J:J,0,)</f>
        <v>Seasonal Graphics (Like Bat, Ghost, Pumpkin, Fall Leaves, Eyeballs, etc.)</v>
      </c>
      <c r="J5799" t="str">
        <f>_xlfn.XLOOKUP($A5799,Load!$B:$B,Load!K:K,0,)</f>
        <v xml:space="preserve">Variety Candy Sizes </v>
      </c>
      <c r="K5799" t="str">
        <f>_xlfn.XLOOKUP($A5799,Load!$B:$B,Load!L:L,0,)</f>
        <v>Regular/Original Wrapping</v>
      </c>
      <c r="L5799" t="str">
        <f>_xlfn.XLOOKUP($A5799,Load!$B:$B,Load!M:M,0,)</f>
        <v>Multiple Brands / Variety Flavors or Form</v>
      </c>
    </row>
    <row r="5800" spans="1:12" x14ac:dyDescent="0.25">
      <c r="A5800" t="s">
        <v>156</v>
      </c>
      <c r="B5800" t="str">
        <f>_xlfn.XLOOKUP($A5800,Load!$B:$B,Load!C:C,0,)</f>
        <v>Jolly Rancher</v>
      </c>
      <c r="C5800" t="str">
        <f>_xlfn.XLOOKUP($A5800,Load!$B:$B,Load!D:D,0,)</f>
        <v>Non-Chocolate Candy Only</v>
      </c>
      <c r="D5800" t="str">
        <f>_xlfn.XLOOKUP($A5800,Load!$B:$B,Load!E:E,0,)</f>
        <v>Fruit Flavor (Cherry, Grape, Apple, Citrus, Tropical Fruit)</v>
      </c>
      <c r="E5800" t="str">
        <f>_xlfn.XLOOKUP($A5800,Load!$B:$B,Load!F:F,0,)</f>
        <v>Gummy</v>
      </c>
      <c r="F5800" t="str">
        <f>_xlfn.XLOOKUP($A5800,Load!$B:$B,Load!G:G,0,)</f>
        <v>Single Pack</v>
      </c>
      <c r="G5800" t="str">
        <f>_xlfn.XLOOKUP($A5800,Load!$B:$B,Load!H:H,0,)</f>
        <v>Laydown Bag</v>
      </c>
      <c r="H5800" t="str">
        <f>_xlfn.XLOOKUP($A5800,Load!$B:$B,Load!I:I,0,)</f>
        <v>Everyday Candy Shapes (like Original, Gummy bear, Fruit, Jewels, etc.)</v>
      </c>
      <c r="I5800" t="str">
        <f>_xlfn.XLOOKUP($A5800,Load!$B:$B,Load!J:J,0,)</f>
        <v>Everyday Graphics</v>
      </c>
      <c r="J5800" t="str">
        <f>_xlfn.XLOOKUP($A5800,Load!$B:$B,Load!K:K,0,)</f>
        <v>Small Pieces (Tiny bite size candies)</v>
      </c>
      <c r="K5800" t="str">
        <f>_xlfn.XLOOKUP($A5800,Load!$B:$B,Load!L:L,0,)</f>
        <v>Unwrapped</v>
      </c>
      <c r="L5800" t="str">
        <f>_xlfn.XLOOKUP($A5800,Load!$B:$B,Load!M:M,0,)</f>
        <v>Single Brand / Variety Flavors or Form</v>
      </c>
    </row>
    <row r="5801" spans="1:12" x14ac:dyDescent="0.25">
      <c r="B5801">
        <f>_xlfn.XLOOKUP($A5801,Load!$B:$B,Load!C:C,0,)</f>
        <v>0</v>
      </c>
      <c r="C5801">
        <f>_xlfn.XLOOKUP($A5801,Load!$B:$B,Load!D:D,0,)</f>
        <v>0</v>
      </c>
      <c r="D5801">
        <f>_xlfn.XLOOKUP($A5801,Load!$B:$B,Load!E:E,0,)</f>
        <v>0</v>
      </c>
      <c r="E5801">
        <f>_xlfn.XLOOKUP($A5801,Load!$B:$B,Load!F:F,0,)</f>
        <v>0</v>
      </c>
      <c r="F5801">
        <f>_xlfn.XLOOKUP($A5801,Load!$B:$B,Load!G:G,0,)</f>
        <v>0</v>
      </c>
      <c r="G5801">
        <f>_xlfn.XLOOKUP($A5801,Load!$B:$B,Load!H:H,0,)</f>
        <v>0</v>
      </c>
      <c r="H5801">
        <f>_xlfn.XLOOKUP($A5801,Load!$B:$B,Load!I:I,0,)</f>
        <v>0</v>
      </c>
      <c r="I5801">
        <f>_xlfn.XLOOKUP($A5801,Load!$B:$B,Load!J:J,0,)</f>
        <v>0</v>
      </c>
      <c r="J5801">
        <f>_xlfn.XLOOKUP($A5801,Load!$B:$B,Load!K:K,0,)</f>
        <v>0</v>
      </c>
      <c r="K5801">
        <f>_xlfn.XLOOKUP($A5801,Load!$B:$B,Load!L:L,0,)</f>
        <v>0</v>
      </c>
      <c r="L5801">
        <f>_xlfn.XLOOKUP($A5801,Load!$B:$B,Load!M:M,0,)</f>
        <v>0</v>
      </c>
    </row>
    <row r="5802" spans="1:12" x14ac:dyDescent="0.25">
      <c r="A5802" t="s">
        <v>2</v>
      </c>
      <c r="B5802" t="str">
        <f>_xlfn.XLOOKUP($A5802,Load!$B:$B,Load!C:C,0,)</f>
        <v>Airheads</v>
      </c>
      <c r="C5802" t="str">
        <f>_xlfn.XLOOKUP($A5802,Load!$B:$B,Load!D:D,0,)</f>
        <v>Non-Chocolate Candy Only</v>
      </c>
      <c r="D5802" t="str">
        <f>_xlfn.XLOOKUP($A5802,Load!$B:$B,Load!E:E,0,)</f>
        <v>Variety / Mixed Flavors (Fruity, Sour, Seasonal Flavors)</v>
      </c>
      <c r="E5802" t="str">
        <f>_xlfn.XLOOKUP($A5802,Load!$B:$B,Load!F:F,0,)</f>
        <v>Chewy</v>
      </c>
      <c r="F5802" t="str">
        <f>_xlfn.XLOOKUP($A5802,Load!$B:$B,Load!G:G,0,)</f>
        <v>Medium Multipack (40–80 ct)</v>
      </c>
      <c r="G5802" t="str">
        <f>_xlfn.XLOOKUP($A5802,Load!$B:$B,Load!H:H,0,)</f>
        <v>Box (theatre box, gift box, carton)</v>
      </c>
      <c r="H5802" t="str">
        <f>_xlfn.XLOOKUP($A5802,Load!$B:$B,Load!I:I,0,)</f>
        <v>Everyday Candy Shapes (like Original, Gummy bear, Fruit, Jewels, etc.)</v>
      </c>
      <c r="I5802" t="str">
        <f>_xlfn.XLOOKUP($A5802,Load!$B:$B,Load!J:J,0,)</f>
        <v>Seasonal Graphics (Like Bat, Ghost, Pumpkin, Fall Leaves, Eyeballs, etc.)</v>
      </c>
      <c r="J5802" t="str">
        <f>_xlfn.XLOOKUP($A5802,Load!$B:$B,Load!K:K,0,)</f>
        <v>Fun Size / Treat Size</v>
      </c>
      <c r="K5802" t="str">
        <f>_xlfn.XLOOKUP($A5802,Load!$B:$B,Load!L:L,0,)</f>
        <v>Regular/Original Wrapping</v>
      </c>
      <c r="L5802" t="str">
        <f>_xlfn.XLOOKUP($A5802,Load!$B:$B,Load!M:M,0,)</f>
        <v>Single Brand / Variety Flavors or Form</v>
      </c>
    </row>
    <row r="5803" spans="1:12" x14ac:dyDescent="0.25">
      <c r="B5803">
        <f>_xlfn.XLOOKUP($A5803,Load!$B:$B,Load!C:C,0,)</f>
        <v>0</v>
      </c>
      <c r="C5803">
        <f>_xlfn.XLOOKUP($A5803,Load!$B:$B,Load!D:D,0,)</f>
        <v>0</v>
      </c>
      <c r="D5803">
        <f>_xlfn.XLOOKUP($A5803,Load!$B:$B,Load!E:E,0,)</f>
        <v>0</v>
      </c>
      <c r="E5803">
        <f>_xlfn.XLOOKUP($A5803,Load!$B:$B,Load!F:F,0,)</f>
        <v>0</v>
      </c>
      <c r="F5803">
        <f>_xlfn.XLOOKUP($A5803,Load!$B:$B,Load!G:G,0,)</f>
        <v>0</v>
      </c>
      <c r="G5803">
        <f>_xlfn.XLOOKUP($A5803,Load!$B:$B,Load!H:H,0,)</f>
        <v>0</v>
      </c>
      <c r="H5803">
        <f>_xlfn.XLOOKUP($A5803,Load!$B:$B,Load!I:I,0,)</f>
        <v>0</v>
      </c>
      <c r="I5803">
        <f>_xlfn.XLOOKUP($A5803,Load!$B:$B,Load!J:J,0,)</f>
        <v>0</v>
      </c>
      <c r="J5803">
        <f>_xlfn.XLOOKUP($A5803,Load!$B:$B,Load!K:K,0,)</f>
        <v>0</v>
      </c>
      <c r="K5803">
        <f>_xlfn.XLOOKUP($A5803,Load!$B:$B,Load!L:L,0,)</f>
        <v>0</v>
      </c>
      <c r="L5803">
        <f>_xlfn.XLOOKUP($A5803,Load!$B:$B,Load!M:M,0,)</f>
        <v>0</v>
      </c>
    </row>
    <row r="5804" spans="1:12" x14ac:dyDescent="0.25">
      <c r="A5804" t="s">
        <v>116</v>
      </c>
      <c r="B5804" t="str">
        <f>_xlfn.XLOOKUP($A5804,Load!$B:$B,Load!C:C,0,)</f>
        <v>George Howe</v>
      </c>
      <c r="C5804" t="str">
        <f>_xlfn.XLOOKUP($A5804,Load!$B:$B,Load!D:D,0,)</f>
        <v>Mix of Chocolate and Non-Chocolate Candy</v>
      </c>
      <c r="D5804" t="str">
        <f>_xlfn.XLOOKUP($A5804,Load!$B:$B,Load!E:E,0,)</f>
        <v>Fall / Seasonal Flavors (pumpkin spice, caramel apple, candy corn)</v>
      </c>
      <c r="E5804" t="str">
        <f>_xlfn.XLOOKUP($A5804,Load!$B:$B,Load!F:F,0,)</f>
        <v>Candy Pieces / Bites</v>
      </c>
      <c r="F5804" t="str">
        <f>_xlfn.XLOOKUP($A5804,Load!$B:$B,Load!G:G,0,)</f>
        <v>Single Pack</v>
      </c>
      <c r="G5804" t="str">
        <f>_xlfn.XLOOKUP($A5804,Load!$B:$B,Load!H:H,0,)</f>
        <v>Laydown Bag</v>
      </c>
      <c r="H5804" t="str">
        <f>_xlfn.XLOOKUP($A5804,Load!$B:$B,Load!I:I,0,)</f>
        <v>Seasonal Shapes (like pumpkins, candy corn, ghost, bats, etc.)</v>
      </c>
      <c r="I5804" t="str">
        <f>_xlfn.XLOOKUP($A5804,Load!$B:$B,Load!J:J,0,)</f>
        <v>Everyday Graphics</v>
      </c>
      <c r="J5804" t="str">
        <f>_xlfn.XLOOKUP($A5804,Load!$B:$B,Load!K:K,0,)</f>
        <v>Small Pieces (Tiny bite size candies)</v>
      </c>
      <c r="K5804" t="str">
        <f>_xlfn.XLOOKUP($A5804,Load!$B:$B,Load!L:L,0,)</f>
        <v>Unwrapped</v>
      </c>
      <c r="L5804" t="str">
        <f>_xlfn.XLOOKUP($A5804,Load!$B:$B,Load!M:M,0,)</f>
        <v>Single Brand / Variety Flavors or Form</v>
      </c>
    </row>
    <row r="5805" spans="1:12" x14ac:dyDescent="0.25">
      <c r="B5805">
        <f>_xlfn.XLOOKUP($A5805,Load!$B:$B,Load!C:C,0,)</f>
        <v>0</v>
      </c>
      <c r="C5805">
        <f>_xlfn.XLOOKUP($A5805,Load!$B:$B,Load!D:D,0,)</f>
        <v>0</v>
      </c>
      <c r="D5805">
        <f>_xlfn.XLOOKUP($A5805,Load!$B:$B,Load!E:E,0,)</f>
        <v>0</v>
      </c>
      <c r="E5805">
        <f>_xlfn.XLOOKUP($A5805,Load!$B:$B,Load!F:F,0,)</f>
        <v>0</v>
      </c>
      <c r="F5805">
        <f>_xlfn.XLOOKUP($A5805,Load!$B:$B,Load!G:G,0,)</f>
        <v>0</v>
      </c>
      <c r="G5805">
        <f>_xlfn.XLOOKUP($A5805,Load!$B:$B,Load!H:H,0,)</f>
        <v>0</v>
      </c>
      <c r="H5805">
        <f>_xlfn.XLOOKUP($A5805,Load!$B:$B,Load!I:I,0,)</f>
        <v>0</v>
      </c>
      <c r="I5805">
        <f>_xlfn.XLOOKUP($A5805,Load!$B:$B,Load!J:J,0,)</f>
        <v>0</v>
      </c>
      <c r="J5805">
        <f>_xlfn.XLOOKUP($A5805,Load!$B:$B,Load!K:K,0,)</f>
        <v>0</v>
      </c>
      <c r="K5805">
        <f>_xlfn.XLOOKUP($A5805,Load!$B:$B,Load!L:L,0,)</f>
        <v>0</v>
      </c>
      <c r="L5805">
        <f>_xlfn.XLOOKUP($A5805,Load!$B:$B,Load!M:M,0,)</f>
        <v>0</v>
      </c>
    </row>
    <row r="5806" spans="1:12" x14ac:dyDescent="0.25">
      <c r="A5806" t="s">
        <v>268</v>
      </c>
      <c r="B5806" t="str">
        <f>_xlfn.XLOOKUP($A5806,Load!$B:$B,Load!C:C,0,)</f>
        <v>Sour Patch Kids</v>
      </c>
      <c r="C5806" t="str">
        <f>_xlfn.XLOOKUP($A5806,Load!$B:$B,Load!D:D,0,)</f>
        <v>Non-Chocolate Candy Only</v>
      </c>
      <c r="D5806" t="str">
        <f>_xlfn.XLOOKUP($A5806,Load!$B:$B,Load!E:E,0,)</f>
        <v>Sour</v>
      </c>
      <c r="E5806" t="str">
        <f>_xlfn.XLOOKUP($A5806,Load!$B:$B,Load!F:F,0,)</f>
        <v>Chewy</v>
      </c>
      <c r="F5806" t="str">
        <f>_xlfn.XLOOKUP($A5806,Load!$B:$B,Load!G:G,0,)</f>
        <v>Small Multipack (Less than 40 ct)</v>
      </c>
      <c r="G5806" t="str">
        <f>_xlfn.XLOOKUP($A5806,Load!$B:$B,Load!H:H,0,)</f>
        <v>Laydown Bag</v>
      </c>
      <c r="H5806" t="str">
        <f>_xlfn.XLOOKUP($A5806,Load!$B:$B,Load!I:I,0,)</f>
        <v>Everyday Candy Shapes (like Original, Gummy bear, Fruit, Jewels, etc.)</v>
      </c>
      <c r="I5806" t="str">
        <f>_xlfn.XLOOKUP($A5806,Load!$B:$B,Load!J:J,0,)</f>
        <v>Seasonal Graphics (Like Bat, Ghost, Pumpkin, Fall Leaves, Eyeballs, etc.)</v>
      </c>
      <c r="J5806" t="str">
        <f>_xlfn.XLOOKUP($A5806,Load!$B:$B,Load!K:K,0,)</f>
        <v>Small Pieces (Tiny bite size candies)</v>
      </c>
      <c r="K5806" t="str">
        <f>_xlfn.XLOOKUP($A5806,Load!$B:$B,Load!L:L,0,)</f>
        <v>Regular/Original Wrapping</v>
      </c>
      <c r="L5806" t="str">
        <f>_xlfn.XLOOKUP($A5806,Load!$B:$B,Load!M:M,0,)</f>
        <v>Single Brand / Single Flavor or Form</v>
      </c>
    </row>
    <row r="5807" spans="1:12" x14ac:dyDescent="0.25">
      <c r="A5807" t="s">
        <v>267</v>
      </c>
      <c r="B5807" t="str">
        <f>_xlfn.XLOOKUP($A5807,Load!$B:$B,Load!C:C,0,)</f>
        <v>Sour Patch Kids</v>
      </c>
      <c r="C5807" t="str">
        <f>_xlfn.XLOOKUP($A5807,Load!$B:$B,Load!D:D,0,)</f>
        <v>Non-Chocolate Candy Only</v>
      </c>
      <c r="D5807" t="str">
        <f>_xlfn.XLOOKUP($A5807,Load!$B:$B,Load!E:E,0,)</f>
        <v>Sour</v>
      </c>
      <c r="E5807" t="str">
        <f>_xlfn.XLOOKUP($A5807,Load!$B:$B,Load!F:F,0,)</f>
        <v>Chewy</v>
      </c>
      <c r="F5807" t="str">
        <f>_xlfn.XLOOKUP($A5807,Load!$B:$B,Load!G:G,0,)</f>
        <v>Small Multipack (Less than 40 ct)</v>
      </c>
      <c r="G5807" t="str">
        <f>_xlfn.XLOOKUP($A5807,Load!$B:$B,Load!H:H,0,)</f>
        <v>Laydown Bag</v>
      </c>
      <c r="H5807" t="str">
        <f>_xlfn.XLOOKUP($A5807,Load!$B:$B,Load!I:I,0,)</f>
        <v>Everyday Candy Shapes (like Original, Gummy bear, Fruit, Jewels, etc.)</v>
      </c>
      <c r="I5807" t="str">
        <f>_xlfn.XLOOKUP($A5807,Load!$B:$B,Load!J:J,0,)</f>
        <v>Seasonal Graphics (Like Bat, Ghost, Pumpkin, Fall Leaves, Eyeballs, etc.)</v>
      </c>
      <c r="J5807" t="str">
        <f>_xlfn.XLOOKUP($A5807,Load!$B:$B,Load!K:K,0,)</f>
        <v>Small Pieces (Tiny bite size candies)</v>
      </c>
      <c r="K5807" t="str">
        <f>_xlfn.XLOOKUP($A5807,Load!$B:$B,Load!L:L,0,)</f>
        <v>Regular/Original Wrapping</v>
      </c>
      <c r="L5807" t="str">
        <f>_xlfn.XLOOKUP($A5807,Load!$B:$B,Load!M:M,0,)</f>
        <v>Single Brand / Variety Flavors or Form</v>
      </c>
    </row>
    <row r="5808" spans="1:12" x14ac:dyDescent="0.25">
      <c r="A5808" t="s">
        <v>77</v>
      </c>
      <c r="B5808" t="str">
        <f>_xlfn.XLOOKUP($A5808,Load!$B:$B,Load!C:C,0,)</f>
        <v>Ferrara Variety Pack</v>
      </c>
      <c r="C5808" t="str">
        <f>_xlfn.XLOOKUP($A5808,Load!$B:$B,Load!D:D,0,)</f>
        <v>Non-Chocolate Candy Only</v>
      </c>
      <c r="D5808" t="str">
        <f>_xlfn.XLOOKUP($A5808,Load!$B:$B,Load!E:E,0,)</f>
        <v>Variety / Mixed Flavors (Fruity, Sour, Seasonal Flavors)</v>
      </c>
      <c r="E5808" t="str">
        <f>_xlfn.XLOOKUP($A5808,Load!$B:$B,Load!F:F,0,)</f>
        <v>Mixed / Combo Packs (Gummy, Chewy, Taffy, etc.)</v>
      </c>
      <c r="F5808" t="str">
        <f>_xlfn.XLOOKUP($A5808,Load!$B:$B,Load!G:G,0,)</f>
        <v>Medium Multipack (40–80 ct)</v>
      </c>
      <c r="G5808" t="str">
        <f>_xlfn.XLOOKUP($A5808,Load!$B:$B,Load!H:H,0,)</f>
        <v>Stand-Up Bag</v>
      </c>
      <c r="H5808" t="str">
        <f>_xlfn.XLOOKUP($A5808,Load!$B:$B,Load!I:I,0,)</f>
        <v>Everyday Candy Shapes (like Original, Gummy bear, Fruit, Jewels, etc.)</v>
      </c>
      <c r="I5808" t="str">
        <f>_xlfn.XLOOKUP($A5808,Load!$B:$B,Load!J:J,0,)</f>
        <v>Seasonal Graphics (Like Bat, Ghost, Pumpkin, Fall Leaves, Eyeballs, etc.)</v>
      </c>
      <c r="J5808" t="str">
        <f>_xlfn.XLOOKUP($A5808,Load!$B:$B,Load!K:K,0,)</f>
        <v>Fun Size / Treat Size</v>
      </c>
      <c r="K5808" t="str">
        <f>_xlfn.XLOOKUP($A5808,Load!$B:$B,Load!L:L,0,)</f>
        <v>Regular/Original Wrapping</v>
      </c>
      <c r="L5808" t="str">
        <f>_xlfn.XLOOKUP($A5808,Load!$B:$B,Load!M:M,0,)</f>
        <v>Multiple Brands / Variety Flavors or Form</v>
      </c>
    </row>
    <row r="5809" spans="1:12" x14ac:dyDescent="0.25">
      <c r="A5809" t="s">
        <v>201</v>
      </c>
      <c r="B5809" t="str">
        <f>_xlfn.XLOOKUP($A5809,Load!$B:$B,Load!C:C,0,)</f>
        <v>Mars Variety Pack</v>
      </c>
      <c r="C5809" t="str">
        <f>_xlfn.XLOOKUP($A5809,Load!$B:$B,Load!D:D,0,)</f>
        <v>Non-Chocolate Candy Only</v>
      </c>
      <c r="D5809" t="str">
        <f>_xlfn.XLOOKUP($A5809,Load!$B:$B,Load!E:E,0,)</f>
        <v>Variety / Mixed Flavors (Fruity, Sour, Seasonal Flavors)</v>
      </c>
      <c r="E5809" t="str">
        <f>_xlfn.XLOOKUP($A5809,Load!$B:$B,Load!F:F,0,)</f>
        <v>Mixed / Combo Packs (Gummy, Chewy, Taffy, etc.)</v>
      </c>
      <c r="F5809" t="str">
        <f>_xlfn.XLOOKUP($A5809,Load!$B:$B,Load!G:G,0,)</f>
        <v>Large Multipack (More than 80 ct)</v>
      </c>
      <c r="G5809" t="str">
        <f>_xlfn.XLOOKUP($A5809,Load!$B:$B,Load!H:H,0,)</f>
        <v>Stand-Up Bag</v>
      </c>
      <c r="H5809" t="str">
        <f>_xlfn.XLOOKUP($A5809,Load!$B:$B,Load!I:I,0,)</f>
        <v>Everyday Candy Shapes (like Original, Gummy bear, Fruit, Jewels, etc.)</v>
      </c>
      <c r="I5809" t="str">
        <f>_xlfn.XLOOKUP($A5809,Load!$B:$B,Load!J:J,0,)</f>
        <v>Everyday Graphics</v>
      </c>
      <c r="J5809" t="str">
        <f>_xlfn.XLOOKUP($A5809,Load!$B:$B,Load!K:K,0,)</f>
        <v>Fun Size / Treat Size</v>
      </c>
      <c r="K5809" t="str">
        <f>_xlfn.XLOOKUP($A5809,Load!$B:$B,Load!L:L,0,)</f>
        <v>Regular/Original Wrapping</v>
      </c>
      <c r="L5809" t="str">
        <f>_xlfn.XLOOKUP($A5809,Load!$B:$B,Load!M:M,0,)</f>
        <v>Multiple Brands / Variety Flavors or Form</v>
      </c>
    </row>
    <row r="5810" spans="1:12" x14ac:dyDescent="0.25">
      <c r="A5810" t="s">
        <v>118</v>
      </c>
      <c r="B5810" t="str">
        <f>_xlfn.XLOOKUP($A5810,Load!$B:$B,Load!C:C,0,)</f>
        <v>Great Value</v>
      </c>
      <c r="C5810" t="str">
        <f>_xlfn.XLOOKUP($A5810,Load!$B:$B,Load!D:D,0,)</f>
        <v>Non-Chocolate Candy Only</v>
      </c>
      <c r="D5810" t="str">
        <f>_xlfn.XLOOKUP($A5810,Load!$B:$B,Load!E:E,0,)</f>
        <v>Fall / Seasonal Flavors (pumpkin spice, caramel apple, candy corn)</v>
      </c>
      <c r="E5810" t="str">
        <f>_xlfn.XLOOKUP($A5810,Load!$B:$B,Load!F:F,0,)</f>
        <v>Candy Pieces / Bites</v>
      </c>
      <c r="F5810" t="str">
        <f>_xlfn.XLOOKUP($A5810,Load!$B:$B,Load!G:G,0,)</f>
        <v>Single Pack</v>
      </c>
      <c r="G5810" t="str">
        <f>_xlfn.XLOOKUP($A5810,Load!$B:$B,Load!H:H,0,)</f>
        <v>Laydown Bag</v>
      </c>
      <c r="H5810" t="str">
        <f>_xlfn.XLOOKUP($A5810,Load!$B:$B,Load!I:I,0,)</f>
        <v>Everyday Candy Shapes (like Original, Gummy bear, Fruit, Jewels, etc.)</v>
      </c>
      <c r="I5810" t="str">
        <f>_xlfn.XLOOKUP($A5810,Load!$B:$B,Load!J:J,0,)</f>
        <v>Seasonal Graphics (Like Bat, Ghost, Pumpkin, Fall Leaves, Eyeballs, etc.)</v>
      </c>
      <c r="J5810" t="str">
        <f>_xlfn.XLOOKUP($A5810,Load!$B:$B,Load!K:K,0,)</f>
        <v>Small Pieces (Tiny bite size candies)</v>
      </c>
      <c r="K5810" t="str">
        <f>_xlfn.XLOOKUP($A5810,Load!$B:$B,Load!L:L,0,)</f>
        <v>Unwrapped</v>
      </c>
      <c r="L5810" t="str">
        <f>_xlfn.XLOOKUP($A5810,Load!$B:$B,Load!M:M,0,)</f>
        <v>Single Brand / Single Flavor or Form</v>
      </c>
    </row>
    <row r="5811" spans="1:12" x14ac:dyDescent="0.25">
      <c r="B5811">
        <f>_xlfn.XLOOKUP($A5811,Load!$B:$B,Load!C:C,0,)</f>
        <v>0</v>
      </c>
      <c r="C5811">
        <f>_xlfn.XLOOKUP($A5811,Load!$B:$B,Load!D:D,0,)</f>
        <v>0</v>
      </c>
      <c r="D5811">
        <f>_xlfn.XLOOKUP($A5811,Load!$B:$B,Load!E:E,0,)</f>
        <v>0</v>
      </c>
      <c r="E5811">
        <f>_xlfn.XLOOKUP($A5811,Load!$B:$B,Load!F:F,0,)</f>
        <v>0</v>
      </c>
      <c r="F5811">
        <f>_xlfn.XLOOKUP($A5811,Load!$B:$B,Load!G:G,0,)</f>
        <v>0</v>
      </c>
      <c r="G5811">
        <f>_xlfn.XLOOKUP($A5811,Load!$B:$B,Load!H:H,0,)</f>
        <v>0</v>
      </c>
      <c r="H5811">
        <f>_xlfn.XLOOKUP($A5811,Load!$B:$B,Load!I:I,0,)</f>
        <v>0</v>
      </c>
      <c r="I5811">
        <f>_xlfn.XLOOKUP($A5811,Load!$B:$B,Load!J:J,0,)</f>
        <v>0</v>
      </c>
      <c r="J5811">
        <f>_xlfn.XLOOKUP($A5811,Load!$B:$B,Load!K:K,0,)</f>
        <v>0</v>
      </c>
      <c r="K5811">
        <f>_xlfn.XLOOKUP($A5811,Load!$B:$B,Load!L:L,0,)</f>
        <v>0</v>
      </c>
      <c r="L5811">
        <f>_xlfn.XLOOKUP($A5811,Load!$B:$B,Load!M:M,0,)</f>
        <v>0</v>
      </c>
    </row>
    <row r="5812" spans="1:12" x14ac:dyDescent="0.25">
      <c r="B5812">
        <f>_xlfn.XLOOKUP($A5812,Load!$B:$B,Load!C:C,0,)</f>
        <v>0</v>
      </c>
      <c r="C5812">
        <f>_xlfn.XLOOKUP($A5812,Load!$B:$B,Load!D:D,0,)</f>
        <v>0</v>
      </c>
      <c r="D5812">
        <f>_xlfn.XLOOKUP($A5812,Load!$B:$B,Load!E:E,0,)</f>
        <v>0</v>
      </c>
      <c r="E5812">
        <f>_xlfn.XLOOKUP($A5812,Load!$B:$B,Load!F:F,0,)</f>
        <v>0</v>
      </c>
      <c r="F5812">
        <f>_xlfn.XLOOKUP($A5812,Load!$B:$B,Load!G:G,0,)</f>
        <v>0</v>
      </c>
      <c r="G5812">
        <f>_xlfn.XLOOKUP($A5812,Load!$B:$B,Load!H:H,0,)</f>
        <v>0</v>
      </c>
      <c r="H5812">
        <f>_xlfn.XLOOKUP($A5812,Load!$B:$B,Load!I:I,0,)</f>
        <v>0</v>
      </c>
      <c r="I5812">
        <f>_xlfn.XLOOKUP($A5812,Load!$B:$B,Load!J:J,0,)</f>
        <v>0</v>
      </c>
      <c r="J5812">
        <f>_xlfn.XLOOKUP($A5812,Load!$B:$B,Load!K:K,0,)</f>
        <v>0</v>
      </c>
      <c r="K5812">
        <f>_xlfn.XLOOKUP($A5812,Load!$B:$B,Load!L:L,0,)</f>
        <v>0</v>
      </c>
      <c r="L5812">
        <f>_xlfn.XLOOKUP($A5812,Load!$B:$B,Load!M:M,0,)</f>
        <v>0</v>
      </c>
    </row>
    <row r="5813" spans="1:12" x14ac:dyDescent="0.25">
      <c r="B5813">
        <f>_xlfn.XLOOKUP($A5813,Load!$B:$B,Load!C:C,0,)</f>
        <v>0</v>
      </c>
      <c r="C5813">
        <f>_xlfn.XLOOKUP($A5813,Load!$B:$B,Load!D:D,0,)</f>
        <v>0</v>
      </c>
      <c r="D5813">
        <f>_xlfn.XLOOKUP($A5813,Load!$B:$B,Load!E:E,0,)</f>
        <v>0</v>
      </c>
      <c r="E5813">
        <f>_xlfn.XLOOKUP($A5813,Load!$B:$B,Load!F:F,0,)</f>
        <v>0</v>
      </c>
      <c r="F5813">
        <f>_xlfn.XLOOKUP($A5813,Load!$B:$B,Load!G:G,0,)</f>
        <v>0</v>
      </c>
      <c r="G5813">
        <f>_xlfn.XLOOKUP($A5813,Load!$B:$B,Load!H:H,0,)</f>
        <v>0</v>
      </c>
      <c r="H5813">
        <f>_xlfn.XLOOKUP($A5813,Load!$B:$B,Load!I:I,0,)</f>
        <v>0</v>
      </c>
      <c r="I5813">
        <f>_xlfn.XLOOKUP($A5813,Load!$B:$B,Load!J:J,0,)</f>
        <v>0</v>
      </c>
      <c r="J5813">
        <f>_xlfn.XLOOKUP($A5813,Load!$B:$B,Load!K:K,0,)</f>
        <v>0</v>
      </c>
      <c r="K5813">
        <f>_xlfn.XLOOKUP($A5813,Load!$B:$B,Load!L:L,0,)</f>
        <v>0</v>
      </c>
      <c r="L5813">
        <f>_xlfn.XLOOKUP($A5813,Load!$B:$B,Load!M:M,0,)</f>
        <v>0</v>
      </c>
    </row>
    <row r="5814" spans="1:12" x14ac:dyDescent="0.25">
      <c r="A5814" t="s">
        <v>136</v>
      </c>
      <c r="B5814" t="str">
        <f>_xlfn.XLOOKUP($A5814,Load!$B:$B,Load!C:C,0,)</f>
        <v>Hershey's Variety Pack + Haribo</v>
      </c>
      <c r="C5814" t="str">
        <f>_xlfn.XLOOKUP($A5814,Load!$B:$B,Load!D:D,0,)</f>
        <v>Non-Chocolate Candy Only</v>
      </c>
      <c r="D5814" t="str">
        <f>_xlfn.XLOOKUP($A5814,Load!$B:$B,Load!E:E,0,)</f>
        <v>Variety / Mixed Flavors (Fruity, Sour, Seasonal Flavors)</v>
      </c>
      <c r="E5814" t="str">
        <f>_xlfn.XLOOKUP($A5814,Load!$B:$B,Load!F:F,0,)</f>
        <v>Mixed / Combo Packs (Gummy, Chewy, Taffy, etc.)</v>
      </c>
      <c r="F5814" t="str">
        <f>_xlfn.XLOOKUP($A5814,Load!$B:$B,Load!G:G,0,)</f>
        <v>Medium Multipack (40–80 ct)</v>
      </c>
      <c r="G5814" t="str">
        <f>_xlfn.XLOOKUP($A5814,Load!$B:$B,Load!H:H,0,)</f>
        <v>Laydown Bag</v>
      </c>
      <c r="H5814" t="str">
        <f>_xlfn.XLOOKUP($A5814,Load!$B:$B,Load!I:I,0,)</f>
        <v>Everyday Candy Shapes (like Original, Gummy bear, Fruit, Jewels, etc.)</v>
      </c>
      <c r="I5814" t="str">
        <f>_xlfn.XLOOKUP($A5814,Load!$B:$B,Load!J:J,0,)</f>
        <v>Seasonal Graphics (Like Bat, Ghost, Pumpkin, Fall Leaves, Eyeballs, etc.)</v>
      </c>
      <c r="J5814" t="str">
        <f>_xlfn.XLOOKUP($A5814,Load!$B:$B,Load!K:K,0,)</f>
        <v xml:space="preserve">Variety Candy Sizes </v>
      </c>
      <c r="K5814" t="str">
        <f>_xlfn.XLOOKUP($A5814,Load!$B:$B,Load!L:L,0,)</f>
        <v>Regular/Original Wrapping</v>
      </c>
      <c r="L5814" t="str">
        <f>_xlfn.XLOOKUP($A5814,Load!$B:$B,Load!M:M,0,)</f>
        <v>Multiple Brands / Variety Flavors or Form</v>
      </c>
    </row>
    <row r="5815" spans="1:12" x14ac:dyDescent="0.25">
      <c r="B5815">
        <f>_xlfn.XLOOKUP($A5815,Load!$B:$B,Load!C:C,0,)</f>
        <v>0</v>
      </c>
      <c r="C5815">
        <f>_xlfn.XLOOKUP($A5815,Load!$B:$B,Load!D:D,0,)</f>
        <v>0</v>
      </c>
      <c r="D5815">
        <f>_xlfn.XLOOKUP($A5815,Load!$B:$B,Load!E:E,0,)</f>
        <v>0</v>
      </c>
      <c r="E5815">
        <f>_xlfn.XLOOKUP($A5815,Load!$B:$B,Load!F:F,0,)</f>
        <v>0</v>
      </c>
      <c r="F5815">
        <f>_xlfn.XLOOKUP($A5815,Load!$B:$B,Load!G:G,0,)</f>
        <v>0</v>
      </c>
      <c r="G5815">
        <f>_xlfn.XLOOKUP($A5815,Load!$B:$B,Load!H:H,0,)</f>
        <v>0</v>
      </c>
      <c r="H5815">
        <f>_xlfn.XLOOKUP($A5815,Load!$B:$B,Load!I:I,0,)</f>
        <v>0</v>
      </c>
      <c r="I5815">
        <f>_xlfn.XLOOKUP($A5815,Load!$B:$B,Load!J:J,0,)</f>
        <v>0</v>
      </c>
      <c r="J5815">
        <f>_xlfn.XLOOKUP($A5815,Load!$B:$B,Load!K:K,0,)</f>
        <v>0</v>
      </c>
      <c r="K5815">
        <f>_xlfn.XLOOKUP($A5815,Load!$B:$B,Load!L:L,0,)</f>
        <v>0</v>
      </c>
      <c r="L5815">
        <f>_xlfn.XLOOKUP($A5815,Load!$B:$B,Load!M:M,0,)</f>
        <v>0</v>
      </c>
    </row>
    <row r="5816" spans="1:12" x14ac:dyDescent="0.25">
      <c r="A5816" t="s">
        <v>231</v>
      </c>
      <c r="B5816" t="str">
        <f>_xlfn.XLOOKUP($A5816,Load!$B:$B,Load!C:C,0,)</f>
        <v>Nerds</v>
      </c>
      <c r="C5816" t="str">
        <f>_xlfn.XLOOKUP($A5816,Load!$B:$B,Load!D:D,0,)</f>
        <v>Non-Chocolate Candy Only</v>
      </c>
      <c r="D5816" t="str">
        <f>_xlfn.XLOOKUP($A5816,Load!$B:$B,Load!E:E,0,)</f>
        <v>Sweet</v>
      </c>
      <c r="E5816" t="str">
        <f>_xlfn.XLOOKUP($A5816,Load!$B:$B,Load!F:F,0,)</f>
        <v>Gummy</v>
      </c>
      <c r="F5816" t="str">
        <f>_xlfn.XLOOKUP($A5816,Load!$B:$B,Load!G:G,0,)</f>
        <v>Large Multipack (More than 80 ct)</v>
      </c>
      <c r="G5816" t="str">
        <f>_xlfn.XLOOKUP($A5816,Load!$B:$B,Load!H:H,0,)</f>
        <v>Box (theatre box, gift box, carton)</v>
      </c>
      <c r="H5816" t="str">
        <f>_xlfn.XLOOKUP($A5816,Load!$B:$B,Load!I:I,0,)</f>
        <v>Everyday Candy Shapes (like Original, Gummy bear, Fruit, Jewels, etc.)</v>
      </c>
      <c r="I5816" t="str">
        <f>_xlfn.XLOOKUP($A5816,Load!$B:$B,Load!J:J,0,)</f>
        <v>Seasonal Graphics (Like Bat, Ghost, Pumpkin, Fall Leaves, Eyeballs, etc.)</v>
      </c>
      <c r="J5816" t="str">
        <f>_xlfn.XLOOKUP($A5816,Load!$B:$B,Load!K:K,0,)</f>
        <v>Small Pieces (Tiny bite size candies)</v>
      </c>
      <c r="K5816" t="str">
        <f>_xlfn.XLOOKUP($A5816,Load!$B:$B,Load!L:L,0,)</f>
        <v>Regular/Original Wrapping</v>
      </c>
      <c r="L5816" t="str">
        <f>_xlfn.XLOOKUP($A5816,Load!$B:$B,Load!M:M,0,)</f>
        <v>Single Brand / Single Flavor or Form</v>
      </c>
    </row>
    <row r="5817" spans="1:12" x14ac:dyDescent="0.25">
      <c r="B5817">
        <f>_xlfn.XLOOKUP($A5817,Load!$B:$B,Load!C:C,0,)</f>
        <v>0</v>
      </c>
      <c r="C5817">
        <f>_xlfn.XLOOKUP($A5817,Load!$B:$B,Load!D:D,0,)</f>
        <v>0</v>
      </c>
      <c r="D5817">
        <f>_xlfn.XLOOKUP($A5817,Load!$B:$B,Load!E:E,0,)</f>
        <v>0</v>
      </c>
      <c r="E5817">
        <f>_xlfn.XLOOKUP($A5817,Load!$B:$B,Load!F:F,0,)</f>
        <v>0</v>
      </c>
      <c r="F5817">
        <f>_xlfn.XLOOKUP($A5817,Load!$B:$B,Load!G:G,0,)</f>
        <v>0</v>
      </c>
      <c r="G5817">
        <f>_xlfn.XLOOKUP($A5817,Load!$B:$B,Load!H:H,0,)</f>
        <v>0</v>
      </c>
      <c r="H5817">
        <f>_xlfn.XLOOKUP($A5817,Load!$B:$B,Load!I:I,0,)</f>
        <v>0</v>
      </c>
      <c r="I5817">
        <f>_xlfn.XLOOKUP($A5817,Load!$B:$B,Load!J:J,0,)</f>
        <v>0</v>
      </c>
      <c r="J5817">
        <f>_xlfn.XLOOKUP($A5817,Load!$B:$B,Load!K:K,0,)</f>
        <v>0</v>
      </c>
      <c r="K5817">
        <f>_xlfn.XLOOKUP($A5817,Load!$B:$B,Load!L:L,0,)</f>
        <v>0</v>
      </c>
      <c r="L5817">
        <f>_xlfn.XLOOKUP($A5817,Load!$B:$B,Load!M:M,0,)</f>
        <v>0</v>
      </c>
    </row>
    <row r="5818" spans="1:12" x14ac:dyDescent="0.25">
      <c r="A5818" t="s">
        <v>173</v>
      </c>
      <c r="B5818" t="str">
        <f>_xlfn.XLOOKUP($A5818,Load!$B:$B,Load!C:C,0,)</f>
        <v>Mars Variety Pack</v>
      </c>
      <c r="C5818" t="str">
        <f>_xlfn.XLOOKUP($A5818,Load!$B:$B,Load!D:D,0,)</f>
        <v>Mix of Chocolate and Non-Chocolate Candy</v>
      </c>
      <c r="D5818" t="str">
        <f>_xlfn.XLOOKUP($A5818,Load!$B:$B,Load!E:E,0,)</f>
        <v>Variety / Mixed Flavors (Fruity, Sour, Seasonal Flavors)</v>
      </c>
      <c r="E5818" t="str">
        <f>_xlfn.XLOOKUP($A5818,Load!$B:$B,Load!F:F,0,)</f>
        <v>Mixed / Combo Packs (Gummy, Chewy, Taffy, etc.)</v>
      </c>
      <c r="F5818" t="str">
        <f>_xlfn.XLOOKUP($A5818,Load!$B:$B,Load!G:G,0,)</f>
        <v>Large Multipack (More than 80 ct)</v>
      </c>
      <c r="G5818" t="str">
        <f>_xlfn.XLOOKUP($A5818,Load!$B:$B,Load!H:H,0,)</f>
        <v>Stand-Up Bag</v>
      </c>
      <c r="H5818" t="str">
        <f>_xlfn.XLOOKUP($A5818,Load!$B:$B,Load!I:I,0,)</f>
        <v>Everyday Candy Shapes (like Original, Gummy bear, Fruit, Jewels, etc.)</v>
      </c>
      <c r="I5818" t="str">
        <f>_xlfn.XLOOKUP($A5818,Load!$B:$B,Load!J:J,0,)</f>
        <v>Seasonal Graphics (Like Bat, Ghost, Pumpkin, Fall Leaves, Eyeballs, etc.)</v>
      </c>
      <c r="J5818" t="str">
        <f>_xlfn.XLOOKUP($A5818,Load!$B:$B,Load!K:K,0,)</f>
        <v>Fun Size / Treat Size</v>
      </c>
      <c r="K5818" t="str">
        <f>_xlfn.XLOOKUP($A5818,Load!$B:$B,Load!L:L,0,)</f>
        <v>Regular/Original Wrapping</v>
      </c>
      <c r="L5818" t="str">
        <f>_xlfn.XLOOKUP($A5818,Load!$B:$B,Load!M:M,0,)</f>
        <v>Multiple Brands / Variety Flavors or Form</v>
      </c>
    </row>
    <row r="5819" spans="1:12" x14ac:dyDescent="0.25">
      <c r="B5819">
        <f>_xlfn.XLOOKUP($A5819,Load!$B:$B,Load!C:C,0,)</f>
        <v>0</v>
      </c>
      <c r="C5819">
        <f>_xlfn.XLOOKUP($A5819,Load!$B:$B,Load!D:D,0,)</f>
        <v>0</v>
      </c>
      <c r="D5819">
        <f>_xlfn.XLOOKUP($A5819,Load!$B:$B,Load!E:E,0,)</f>
        <v>0</v>
      </c>
      <c r="E5819">
        <f>_xlfn.XLOOKUP($A5819,Load!$B:$B,Load!F:F,0,)</f>
        <v>0</v>
      </c>
      <c r="F5819">
        <f>_xlfn.XLOOKUP($A5819,Load!$B:$B,Load!G:G,0,)</f>
        <v>0</v>
      </c>
      <c r="G5819">
        <f>_xlfn.XLOOKUP($A5819,Load!$B:$B,Load!H:H,0,)</f>
        <v>0</v>
      </c>
      <c r="H5819">
        <f>_xlfn.XLOOKUP($A5819,Load!$B:$B,Load!I:I,0,)</f>
        <v>0</v>
      </c>
      <c r="I5819">
        <f>_xlfn.XLOOKUP($A5819,Load!$B:$B,Load!J:J,0,)</f>
        <v>0</v>
      </c>
      <c r="J5819">
        <f>_xlfn.XLOOKUP($A5819,Load!$B:$B,Load!K:K,0,)</f>
        <v>0</v>
      </c>
      <c r="K5819">
        <f>_xlfn.XLOOKUP($A5819,Load!$B:$B,Load!L:L,0,)</f>
        <v>0</v>
      </c>
      <c r="L5819">
        <f>_xlfn.XLOOKUP($A5819,Load!$B:$B,Load!M:M,0,)</f>
        <v>0</v>
      </c>
    </row>
    <row r="5820" spans="1:12" x14ac:dyDescent="0.25">
      <c r="A5820" t="s">
        <v>30</v>
      </c>
      <c r="B5820" t="str">
        <f>_xlfn.XLOOKUP($A5820,Load!$B:$B,Load!C:C,0,)</f>
        <v>AMOS</v>
      </c>
      <c r="C5820" t="str">
        <f>_xlfn.XLOOKUP($A5820,Load!$B:$B,Load!D:D,0,)</f>
        <v>Non-Chocolate Candy Only</v>
      </c>
      <c r="D5820" t="str">
        <f>_xlfn.XLOOKUP($A5820,Load!$B:$B,Load!E:E,0,)</f>
        <v>Fruit Flavor (Cherry, Grape, Apple, Citrus, Tropical Fruit)</v>
      </c>
      <c r="E5820" t="str">
        <f>_xlfn.XLOOKUP($A5820,Load!$B:$B,Load!F:F,0,)</f>
        <v>Gummy</v>
      </c>
      <c r="F5820" t="str">
        <f>_xlfn.XLOOKUP($A5820,Load!$B:$B,Load!G:G,0,)</f>
        <v>Single Pack</v>
      </c>
      <c r="G5820" t="str">
        <f>_xlfn.XLOOKUP($A5820,Load!$B:$B,Load!H:H,0,)</f>
        <v>Peg Bag</v>
      </c>
      <c r="H5820" t="str">
        <f>_xlfn.XLOOKUP($A5820,Load!$B:$B,Load!I:I,0,)</f>
        <v>Seasonal Shapes (like pumpkins, candy corn, ghost, bats, etc.)</v>
      </c>
      <c r="I5820" t="str">
        <f>_xlfn.XLOOKUP($A5820,Load!$B:$B,Load!J:J,0,)</f>
        <v>Seasonal Graphics (Like Bat, Ghost, Pumpkin, Fall Leaves, Eyeballs, etc.)</v>
      </c>
      <c r="J5820" t="str">
        <f>_xlfn.XLOOKUP($A5820,Load!$B:$B,Load!K:K,0,)</f>
        <v>Small Pieces (Tiny bite size candies)</v>
      </c>
      <c r="K5820" t="str">
        <f>_xlfn.XLOOKUP($A5820,Load!$B:$B,Load!L:L,0,)</f>
        <v>Unwrapped</v>
      </c>
      <c r="L5820" t="str">
        <f>_xlfn.XLOOKUP($A5820,Load!$B:$B,Load!M:M,0,)</f>
        <v>Single Brand / Single Flavor or Form</v>
      </c>
    </row>
    <row r="5821" spans="1:12" x14ac:dyDescent="0.25">
      <c r="A5821" t="s">
        <v>148</v>
      </c>
      <c r="B5821" t="str">
        <f>_xlfn.XLOOKUP($A5821,Load!$B:$B,Load!C:C,0,)</f>
        <v>Jelly Belly</v>
      </c>
      <c r="C5821" t="str">
        <f>_xlfn.XLOOKUP($A5821,Load!$B:$B,Load!D:D,0,)</f>
        <v>Non-Chocolate Candy Only</v>
      </c>
      <c r="D5821" t="str">
        <f>_xlfn.XLOOKUP($A5821,Load!$B:$B,Load!E:E,0,)</f>
        <v>Variety / Mixed Flavors (Fruity, Sour, Seasonal Flavors)</v>
      </c>
      <c r="E5821" t="str">
        <f>_xlfn.XLOOKUP($A5821,Load!$B:$B,Load!F:F,0,)</f>
        <v>Candy Pieces / Bites</v>
      </c>
      <c r="F5821" t="str">
        <f>_xlfn.XLOOKUP($A5821,Load!$B:$B,Load!G:G,0,)</f>
        <v>Single Pack</v>
      </c>
      <c r="G5821" t="str">
        <f>_xlfn.XLOOKUP($A5821,Load!$B:$B,Load!H:H,0,)</f>
        <v>Stand-Up Bag</v>
      </c>
      <c r="H5821" t="str">
        <f>_xlfn.XLOOKUP($A5821,Load!$B:$B,Load!I:I,0,)</f>
        <v>Everyday Candy Shapes (like Original, Gummy bear, Fruit, Jewels, etc.)</v>
      </c>
      <c r="I5821" t="str">
        <f>_xlfn.XLOOKUP($A5821,Load!$B:$B,Load!J:J,0,)</f>
        <v>Seasonal Graphics (Like Bat, Ghost, Pumpkin, Fall Leaves, Eyeballs, etc.)</v>
      </c>
      <c r="J5821" t="str">
        <f>_xlfn.XLOOKUP($A5821,Load!$B:$B,Load!K:K,0,)</f>
        <v>Small Pieces (Tiny bite size candies)</v>
      </c>
      <c r="K5821" t="str">
        <f>_xlfn.XLOOKUP($A5821,Load!$B:$B,Load!L:L,0,)</f>
        <v>Unwrapped</v>
      </c>
      <c r="L5821" t="str">
        <f>_xlfn.XLOOKUP($A5821,Load!$B:$B,Load!M:M,0,)</f>
        <v>Single Brand / Variety Flavors or Form</v>
      </c>
    </row>
    <row r="5822" spans="1:12" x14ac:dyDescent="0.25">
      <c r="A5822" t="s">
        <v>222</v>
      </c>
      <c r="B5822" t="str">
        <f>_xlfn.XLOOKUP($A5822,Load!$B:$B,Load!C:C,0,)</f>
        <v>Nerds</v>
      </c>
      <c r="C5822" t="str">
        <f>_xlfn.XLOOKUP($A5822,Load!$B:$B,Load!D:D,0,)</f>
        <v>Non-Chocolate Candy Only</v>
      </c>
      <c r="D5822" t="str">
        <f>_xlfn.XLOOKUP($A5822,Load!$B:$B,Load!E:E,0,)</f>
        <v>Sweet</v>
      </c>
      <c r="E5822" t="str">
        <f>_xlfn.XLOOKUP($A5822,Load!$B:$B,Load!F:F,0,)</f>
        <v>Gummy</v>
      </c>
      <c r="F5822" t="str">
        <f>_xlfn.XLOOKUP($A5822,Load!$B:$B,Load!G:G,0,)</f>
        <v>Small Multipack (Less than 40 ct)</v>
      </c>
      <c r="G5822" t="str">
        <f>_xlfn.XLOOKUP($A5822,Load!$B:$B,Load!H:H,0,)</f>
        <v>Stand-Up Bag</v>
      </c>
      <c r="H5822" t="str">
        <f>_xlfn.XLOOKUP($A5822,Load!$B:$B,Load!I:I,0,)</f>
        <v>Everyday Candy Shapes (like Original, Gummy bear, Fruit, Jewels, etc.)</v>
      </c>
      <c r="I5822" t="str">
        <f>_xlfn.XLOOKUP($A5822,Load!$B:$B,Load!J:J,0,)</f>
        <v>Seasonal Graphics (Like Bat, Ghost, Pumpkin, Fall Leaves, Eyeballs, etc.)</v>
      </c>
      <c r="J5822" t="str">
        <f>_xlfn.XLOOKUP($A5822,Load!$B:$B,Load!K:K,0,)</f>
        <v>Fun Size / Treat Size</v>
      </c>
      <c r="K5822" t="str">
        <f>_xlfn.XLOOKUP($A5822,Load!$B:$B,Load!L:L,0,)</f>
        <v>Regular/Original Wrapping</v>
      </c>
      <c r="L5822" t="str">
        <f>_xlfn.XLOOKUP($A5822,Load!$B:$B,Load!M:M,0,)</f>
        <v>Single Brand / Variety Flavors or Form</v>
      </c>
    </row>
    <row r="5823" spans="1:12" x14ac:dyDescent="0.25">
      <c r="B5823">
        <f>_xlfn.XLOOKUP($A5823,Load!$B:$B,Load!C:C,0,)</f>
        <v>0</v>
      </c>
      <c r="C5823">
        <f>_xlfn.XLOOKUP($A5823,Load!$B:$B,Load!D:D,0,)</f>
        <v>0</v>
      </c>
      <c r="D5823">
        <f>_xlfn.XLOOKUP($A5823,Load!$B:$B,Load!E:E,0,)</f>
        <v>0</v>
      </c>
      <c r="E5823">
        <f>_xlfn.XLOOKUP($A5823,Load!$B:$B,Load!F:F,0,)</f>
        <v>0</v>
      </c>
      <c r="F5823">
        <f>_xlfn.XLOOKUP($A5823,Load!$B:$B,Load!G:G,0,)</f>
        <v>0</v>
      </c>
      <c r="G5823">
        <f>_xlfn.XLOOKUP($A5823,Load!$B:$B,Load!H:H,0,)</f>
        <v>0</v>
      </c>
      <c r="H5823">
        <f>_xlfn.XLOOKUP($A5823,Load!$B:$B,Load!I:I,0,)</f>
        <v>0</v>
      </c>
      <c r="I5823">
        <f>_xlfn.XLOOKUP($A5823,Load!$B:$B,Load!J:J,0,)</f>
        <v>0</v>
      </c>
      <c r="J5823">
        <f>_xlfn.XLOOKUP($A5823,Load!$B:$B,Load!K:K,0,)</f>
        <v>0</v>
      </c>
      <c r="K5823">
        <f>_xlfn.XLOOKUP($A5823,Load!$B:$B,Load!L:L,0,)</f>
        <v>0</v>
      </c>
      <c r="L5823">
        <f>_xlfn.XLOOKUP($A5823,Load!$B:$B,Load!M:M,0,)</f>
        <v>0</v>
      </c>
    </row>
    <row r="5824" spans="1:12" x14ac:dyDescent="0.25">
      <c r="A5824" t="s">
        <v>66</v>
      </c>
      <c r="B5824" t="str">
        <f>_xlfn.XLOOKUP($A5824,Load!$B:$B,Load!C:C,0,)</f>
        <v>Dots</v>
      </c>
      <c r="C5824" t="str">
        <f>_xlfn.XLOOKUP($A5824,Load!$B:$B,Load!D:D,0,)</f>
        <v>Non-Chocolate Candy Only</v>
      </c>
      <c r="D5824" t="str">
        <f>_xlfn.XLOOKUP($A5824,Load!$B:$B,Load!E:E,0,)</f>
        <v>Variety / Mixed Flavors (Fruity, Sour, Seasonal Flavors)</v>
      </c>
      <c r="E5824" t="str">
        <f>_xlfn.XLOOKUP($A5824,Load!$B:$B,Load!F:F,0,)</f>
        <v>Candy Pieces / Bites</v>
      </c>
      <c r="F5824" t="str">
        <f>_xlfn.XLOOKUP($A5824,Load!$B:$B,Load!G:G,0,)</f>
        <v>Small Multipack (Less than 40 ct)</v>
      </c>
      <c r="G5824" t="str">
        <f>_xlfn.XLOOKUP($A5824,Load!$B:$B,Load!H:H,0,)</f>
        <v>Stand-Up Bag</v>
      </c>
      <c r="H5824" t="str">
        <f>_xlfn.XLOOKUP($A5824,Load!$B:$B,Load!I:I,0,)</f>
        <v>Seasonal Shapes (like pumpkins, candy corn, ghost, bats, etc.)</v>
      </c>
      <c r="I5824" t="str">
        <f>_xlfn.XLOOKUP($A5824,Load!$B:$B,Load!J:J,0,)</f>
        <v>Seasonal Graphics (Like Bat, Ghost, Pumpkin, Fall Leaves, Eyeballs, etc.)</v>
      </c>
      <c r="J5824" t="str">
        <f>_xlfn.XLOOKUP($A5824,Load!$B:$B,Load!K:K,0,)</f>
        <v>Fun Size / Treat Size</v>
      </c>
      <c r="K5824" t="str">
        <f>_xlfn.XLOOKUP($A5824,Load!$B:$B,Load!L:L,0,)</f>
        <v>Regular/Original Wrapping</v>
      </c>
      <c r="L5824" t="str">
        <f>_xlfn.XLOOKUP($A5824,Load!$B:$B,Load!M:M,0,)</f>
        <v>Single Brand / Variety Flavors or Form</v>
      </c>
    </row>
    <row r="5825" spans="1:12" x14ac:dyDescent="0.25">
      <c r="A5825" t="s">
        <v>285</v>
      </c>
      <c r="B5825" t="str">
        <f>_xlfn.XLOOKUP($A5825,Load!$B:$B,Load!C:C,0,)</f>
        <v>Starburst</v>
      </c>
      <c r="C5825" t="str">
        <f>_xlfn.XLOOKUP($A5825,Load!$B:$B,Load!D:D,0,)</f>
        <v>Non-Chocolate Candy Only</v>
      </c>
      <c r="D5825" t="str">
        <f>_xlfn.XLOOKUP($A5825,Load!$B:$B,Load!E:E,0,)</f>
        <v>Fruit Flavor (Cherry, Grape, Apple, Citrus, Tropical Fruit)</v>
      </c>
      <c r="E5825" t="str">
        <f>_xlfn.XLOOKUP($A5825,Load!$B:$B,Load!F:F,0,)</f>
        <v>Chewy</v>
      </c>
      <c r="F5825" t="str">
        <f>_xlfn.XLOOKUP($A5825,Load!$B:$B,Load!G:G,0,)</f>
        <v>Small Multipack (Less than 40 ct)</v>
      </c>
      <c r="G5825" t="str">
        <f>_xlfn.XLOOKUP($A5825,Load!$B:$B,Load!H:H,0,)</f>
        <v>Laydown Bag</v>
      </c>
      <c r="H5825" t="str">
        <f>_xlfn.XLOOKUP($A5825,Load!$B:$B,Load!I:I,0,)</f>
        <v>Everyday Candy Shapes (like Original, Gummy bear, Fruit, Jewels, etc.)</v>
      </c>
      <c r="I5825" t="str">
        <f>_xlfn.XLOOKUP($A5825,Load!$B:$B,Load!J:J,0,)</f>
        <v>Everyday Graphics</v>
      </c>
      <c r="J5825" t="str">
        <f>_xlfn.XLOOKUP($A5825,Load!$B:$B,Load!K:K,0,)</f>
        <v>Small Pieces (Tiny bite size candies)</v>
      </c>
      <c r="K5825" t="str">
        <f>_xlfn.XLOOKUP($A5825,Load!$B:$B,Load!L:L,0,)</f>
        <v>Regular/Original Wrapping</v>
      </c>
      <c r="L5825" t="str">
        <f>_xlfn.XLOOKUP($A5825,Load!$B:$B,Load!M:M,0,)</f>
        <v>Single Brand / Variety Flavors or Form</v>
      </c>
    </row>
    <row r="5826" spans="1:12" x14ac:dyDescent="0.25">
      <c r="A5826" t="s">
        <v>191</v>
      </c>
      <c r="B5826" t="str">
        <f>_xlfn.XLOOKUP($A5826,Load!$B:$B,Load!C:C,0,)</f>
        <v>Mars Variety Pack</v>
      </c>
      <c r="C5826" t="str">
        <f>_xlfn.XLOOKUP($A5826,Load!$B:$B,Load!D:D,0,)</f>
        <v>Mix of Chocolate and Non-Chocolate Candy</v>
      </c>
      <c r="D5826" t="str">
        <f>_xlfn.XLOOKUP($A5826,Load!$B:$B,Load!E:E,0,)</f>
        <v>Variety / Mixed Flavors (Fruity, Sour, Seasonal Flavors)</v>
      </c>
      <c r="E5826" t="str">
        <f>_xlfn.XLOOKUP($A5826,Load!$B:$B,Load!F:F,0,)</f>
        <v>Mixed / Combo Packs (Gummy, Chewy, Taffy, etc.)</v>
      </c>
      <c r="F5826" t="str">
        <f>_xlfn.XLOOKUP($A5826,Load!$B:$B,Load!G:G,0,)</f>
        <v>Medium Multipack (40–80 ct)</v>
      </c>
      <c r="G5826" t="str">
        <f>_xlfn.XLOOKUP($A5826,Load!$B:$B,Load!H:H,0,)</f>
        <v>Stand-Up Bag</v>
      </c>
      <c r="H5826" t="str">
        <f>_xlfn.XLOOKUP($A5826,Load!$B:$B,Load!I:I,0,)</f>
        <v>Everyday Candy Shapes (like Original, Gummy bear, Fruit, Jewels, etc.)</v>
      </c>
      <c r="I5826" t="str">
        <f>_xlfn.XLOOKUP($A5826,Load!$B:$B,Load!J:J,0,)</f>
        <v>Seasonal Graphics (Like Bat, Ghost, Pumpkin, Fall Leaves, Eyeballs, etc.)</v>
      </c>
      <c r="J5826" t="str">
        <f>_xlfn.XLOOKUP($A5826,Load!$B:$B,Load!K:K,0,)</f>
        <v xml:space="preserve">Variety Candy Sizes </v>
      </c>
      <c r="K5826" t="str">
        <f>_xlfn.XLOOKUP($A5826,Load!$B:$B,Load!L:L,0,)</f>
        <v>Regular/Original Wrapping</v>
      </c>
      <c r="L5826" t="str">
        <f>_xlfn.XLOOKUP($A5826,Load!$B:$B,Load!M:M,0,)</f>
        <v>Multiple Brands / Variety Flavors or Form</v>
      </c>
    </row>
    <row r="5827" spans="1:12" x14ac:dyDescent="0.25">
      <c r="B5827">
        <f>_xlfn.XLOOKUP($A5827,Load!$B:$B,Load!C:C,0,)</f>
        <v>0</v>
      </c>
      <c r="C5827">
        <f>_xlfn.XLOOKUP($A5827,Load!$B:$B,Load!D:D,0,)</f>
        <v>0</v>
      </c>
      <c r="D5827">
        <f>_xlfn.XLOOKUP($A5827,Load!$B:$B,Load!E:E,0,)</f>
        <v>0</v>
      </c>
      <c r="E5827">
        <f>_xlfn.XLOOKUP($A5827,Load!$B:$B,Load!F:F,0,)</f>
        <v>0</v>
      </c>
      <c r="F5827">
        <f>_xlfn.XLOOKUP($A5827,Load!$B:$B,Load!G:G,0,)</f>
        <v>0</v>
      </c>
      <c r="G5827">
        <f>_xlfn.XLOOKUP($A5827,Load!$B:$B,Load!H:H,0,)</f>
        <v>0</v>
      </c>
      <c r="H5827">
        <f>_xlfn.XLOOKUP($A5827,Load!$B:$B,Load!I:I,0,)</f>
        <v>0</v>
      </c>
      <c r="I5827">
        <f>_xlfn.XLOOKUP($A5827,Load!$B:$B,Load!J:J,0,)</f>
        <v>0</v>
      </c>
      <c r="J5827">
        <f>_xlfn.XLOOKUP($A5827,Load!$B:$B,Load!K:K,0,)</f>
        <v>0</v>
      </c>
      <c r="K5827">
        <f>_xlfn.XLOOKUP($A5827,Load!$B:$B,Load!L:L,0,)</f>
        <v>0</v>
      </c>
      <c r="L5827">
        <f>_xlfn.XLOOKUP($A5827,Load!$B:$B,Load!M:M,0,)</f>
        <v>0</v>
      </c>
    </row>
    <row r="5828" spans="1:12" x14ac:dyDescent="0.25">
      <c r="A5828" t="s">
        <v>175</v>
      </c>
      <c r="B5828" t="str">
        <f>_xlfn.XLOOKUP($A5828,Load!$B:$B,Load!C:C,0,)</f>
        <v>Mars Variety Pack</v>
      </c>
      <c r="C5828" t="str">
        <f>_xlfn.XLOOKUP($A5828,Load!$B:$B,Load!D:D,0,)</f>
        <v>Mix of Chocolate and Non-Chocolate Candy</v>
      </c>
      <c r="D5828" t="str">
        <f>_xlfn.XLOOKUP($A5828,Load!$B:$B,Load!E:E,0,)</f>
        <v>Variety / Mixed Flavors (Fruity, Sour, Seasonal Flavors)</v>
      </c>
      <c r="E5828" t="str">
        <f>_xlfn.XLOOKUP($A5828,Load!$B:$B,Load!F:F,0,)</f>
        <v>Mixed / Combo Packs (Gummy, Chewy, Taffy, etc.)</v>
      </c>
      <c r="F5828" t="str">
        <f>_xlfn.XLOOKUP($A5828,Load!$B:$B,Load!G:G,0,)</f>
        <v>Large Multipack (More than 80 ct)</v>
      </c>
      <c r="G5828" t="str">
        <f>_xlfn.XLOOKUP($A5828,Load!$B:$B,Load!H:H,0,)</f>
        <v>Stand-Up Bag</v>
      </c>
      <c r="H5828" t="str">
        <f>_xlfn.XLOOKUP($A5828,Load!$B:$B,Load!I:I,0,)</f>
        <v>Everyday Candy Shapes (like Original, Gummy bear, Fruit, Jewels, etc.)</v>
      </c>
      <c r="I5828" t="str">
        <f>_xlfn.XLOOKUP($A5828,Load!$B:$B,Load!J:J,0,)</f>
        <v>Seasonal Graphics (Like Bat, Ghost, Pumpkin, Fall Leaves, Eyeballs, etc.)</v>
      </c>
      <c r="J5828" t="str">
        <f>_xlfn.XLOOKUP($A5828,Load!$B:$B,Load!K:K,0,)</f>
        <v xml:space="preserve">Variety Candy Sizes </v>
      </c>
      <c r="K5828" t="str">
        <f>_xlfn.XLOOKUP($A5828,Load!$B:$B,Load!L:L,0,)</f>
        <v>Regular/Original Wrapping</v>
      </c>
      <c r="L5828" t="str">
        <f>_xlfn.XLOOKUP($A5828,Load!$B:$B,Load!M:M,0,)</f>
        <v>Multiple Brands / Variety Flavors or Form</v>
      </c>
    </row>
    <row r="5829" spans="1:12" x14ac:dyDescent="0.25">
      <c r="A5829" t="s">
        <v>140</v>
      </c>
      <c r="B5829" t="str">
        <f>_xlfn.XLOOKUP($A5829,Load!$B:$B,Load!C:C,0,)</f>
        <v>Hershey's Variety Pack + Haribo</v>
      </c>
      <c r="C5829" t="str">
        <f>_xlfn.XLOOKUP($A5829,Load!$B:$B,Load!D:D,0,)</f>
        <v>Mix of Chocolate and Non-Chocolate Candy</v>
      </c>
      <c r="D5829" t="str">
        <f>_xlfn.XLOOKUP($A5829,Load!$B:$B,Load!E:E,0,)</f>
        <v>Variety / Mixed Flavors (Fruity, Sour, Seasonal Flavors)</v>
      </c>
      <c r="E5829" t="str">
        <f>_xlfn.XLOOKUP($A5829,Load!$B:$B,Load!F:F,0,)</f>
        <v>Mixed / Combo Packs (Gummy, Chewy, Taffy, etc.)</v>
      </c>
      <c r="F5829" t="str">
        <f>_xlfn.XLOOKUP($A5829,Load!$B:$B,Load!G:G,0,)</f>
        <v>Large Multipack (More than 80 ct)</v>
      </c>
      <c r="G5829" t="str">
        <f>_xlfn.XLOOKUP($A5829,Load!$B:$B,Load!H:H,0,)</f>
        <v>Stand-Up Bag</v>
      </c>
      <c r="H5829" t="str">
        <f>_xlfn.XLOOKUP($A5829,Load!$B:$B,Load!I:I,0,)</f>
        <v>Everyday Candy Shapes (like Original, Gummy bear, Fruit, Jewels, etc.)</v>
      </c>
      <c r="I5829" t="str">
        <f>_xlfn.XLOOKUP($A5829,Load!$B:$B,Load!J:J,0,)</f>
        <v>Seasonal Graphics (Like Bat, Ghost, Pumpkin, Fall Leaves, Eyeballs, etc.)</v>
      </c>
      <c r="J5829" t="str">
        <f>_xlfn.XLOOKUP($A5829,Load!$B:$B,Load!K:K,0,)</f>
        <v xml:space="preserve">Variety Candy Sizes </v>
      </c>
      <c r="K5829" t="str">
        <f>_xlfn.XLOOKUP($A5829,Load!$B:$B,Load!L:L,0,)</f>
        <v>Regular/Original Wrapping</v>
      </c>
      <c r="L5829" t="str">
        <f>_xlfn.XLOOKUP($A5829,Load!$B:$B,Load!M:M,0,)</f>
        <v>Multiple Brands / Variety Flavors or Form</v>
      </c>
    </row>
    <row r="5830" spans="1:12" x14ac:dyDescent="0.25">
      <c r="A5830" t="s">
        <v>59</v>
      </c>
      <c r="B5830" t="str">
        <f>_xlfn.XLOOKUP($A5830,Load!$B:$B,Load!C:C,0,)</f>
        <v>Charms</v>
      </c>
      <c r="C5830" t="str">
        <f>_xlfn.XLOOKUP($A5830,Load!$B:$B,Load!D:D,0,)</f>
        <v>Non-Chocolate Candy Only</v>
      </c>
      <c r="D5830" t="str">
        <f>_xlfn.XLOOKUP($A5830,Load!$B:$B,Load!E:E,0,)</f>
        <v>Variety / Mixed Flavors (Fruity, Sour, Seasonal Flavors)</v>
      </c>
      <c r="E5830" t="str">
        <f>_xlfn.XLOOKUP($A5830,Load!$B:$B,Load!F:F,0,)</f>
        <v>Mixed / Combo Packs (Gummy, Chewy, Taffy, etc.)</v>
      </c>
      <c r="F5830" t="str">
        <f>_xlfn.XLOOKUP($A5830,Load!$B:$B,Load!G:G,0,)</f>
        <v>Large Multipack (More than 80 ct)</v>
      </c>
      <c r="G5830" t="str">
        <f>_xlfn.XLOOKUP($A5830,Load!$B:$B,Load!H:H,0,)</f>
        <v>Laydown Bag</v>
      </c>
      <c r="H5830" t="str">
        <f>_xlfn.XLOOKUP($A5830,Load!$B:$B,Load!I:I,0,)</f>
        <v>Everyday Candy Shapes (like Original, Gummy bear, Fruit, Jewels, etc.)</v>
      </c>
      <c r="I5830" t="str">
        <f>_xlfn.XLOOKUP($A5830,Load!$B:$B,Load!J:J,0,)</f>
        <v>Seasonal Graphics (Like Bat, Ghost, Pumpkin, Fall Leaves, Eyeballs, etc.)</v>
      </c>
      <c r="J5830" t="str">
        <f>_xlfn.XLOOKUP($A5830,Load!$B:$B,Load!K:K,0,)</f>
        <v xml:space="preserve">Variety Candy Sizes </v>
      </c>
      <c r="K5830" t="str">
        <f>_xlfn.XLOOKUP($A5830,Load!$B:$B,Load!L:L,0,)</f>
        <v>Regular/Original Wrapping</v>
      </c>
      <c r="L5830" t="str">
        <f>_xlfn.XLOOKUP($A5830,Load!$B:$B,Load!M:M,0,)</f>
        <v>Single Brand / Variety Flavors or Form</v>
      </c>
    </row>
    <row r="5831" spans="1:12" x14ac:dyDescent="0.25">
      <c r="A5831" t="s">
        <v>107</v>
      </c>
      <c r="B5831" t="str">
        <f>_xlfn.XLOOKUP($A5831,Load!$B:$B,Load!C:C,0,)</f>
        <v>Frankford</v>
      </c>
      <c r="C5831" t="str">
        <f>_xlfn.XLOOKUP($A5831,Load!$B:$B,Load!D:D,0,)</f>
        <v>Non-Chocolate Candy Only</v>
      </c>
      <c r="D5831" t="str">
        <f>_xlfn.XLOOKUP($A5831,Load!$B:$B,Load!E:E,0,)</f>
        <v>Variety / Mixed Flavors (Fruity, Sour, Seasonal Flavors)</v>
      </c>
      <c r="E5831" t="str">
        <f>_xlfn.XLOOKUP($A5831,Load!$B:$B,Load!F:F,0,)</f>
        <v>Mixed / Combo Packs (Gummy, Chewy, Taffy, etc.)</v>
      </c>
      <c r="F5831" t="str">
        <f>_xlfn.XLOOKUP($A5831,Load!$B:$B,Load!G:G,0,)</f>
        <v>Large Multipack (More than 80 ct)</v>
      </c>
      <c r="G5831" t="str">
        <f>_xlfn.XLOOKUP($A5831,Load!$B:$B,Load!H:H,0,)</f>
        <v>Laydown Bag</v>
      </c>
      <c r="H5831" t="str">
        <f>_xlfn.XLOOKUP($A5831,Load!$B:$B,Load!I:I,0,)</f>
        <v>Everyday Candy Shapes (like Original, Gummy bear, Fruit, Jewels, etc.)</v>
      </c>
      <c r="I5831" t="str">
        <f>_xlfn.XLOOKUP($A5831,Load!$B:$B,Load!J:J,0,)</f>
        <v>Seasonal Graphics (Like Bat, Ghost, Pumpkin, Fall Leaves, Eyeballs, etc.)</v>
      </c>
      <c r="J5831" t="str">
        <f>_xlfn.XLOOKUP($A5831,Load!$B:$B,Load!K:K,0,)</f>
        <v xml:space="preserve">Variety Candy Sizes </v>
      </c>
      <c r="K5831" t="str">
        <f>_xlfn.XLOOKUP($A5831,Load!$B:$B,Load!L:L,0,)</f>
        <v>Regular/Original Wrapping</v>
      </c>
      <c r="L5831" t="str">
        <f>_xlfn.XLOOKUP($A5831,Load!$B:$B,Load!M:M,0,)</f>
        <v>Multiple Brands / Variety Flavors or Form</v>
      </c>
    </row>
    <row r="5832" spans="1:12" x14ac:dyDescent="0.25">
      <c r="A5832" t="s">
        <v>308</v>
      </c>
      <c r="B5832" t="str">
        <f>_xlfn.XLOOKUP($A5832,Load!$B:$B,Load!C:C,0,)</f>
        <v>Werther's Original</v>
      </c>
      <c r="C5832" t="str">
        <f>_xlfn.XLOOKUP($A5832,Load!$B:$B,Load!D:D,0,)</f>
        <v>Non-Chocolate Candy Only</v>
      </c>
      <c r="D5832" t="str">
        <f>_xlfn.XLOOKUP($A5832,Load!$B:$B,Load!E:E,0,)</f>
        <v>Fall / Seasonal Flavors (pumpkin spice, caramel apple, candy corn)</v>
      </c>
      <c r="E5832" t="str">
        <f>_xlfn.XLOOKUP($A5832,Load!$B:$B,Load!F:F,0,)</f>
        <v>Chewy</v>
      </c>
      <c r="F5832" t="str">
        <f>_xlfn.XLOOKUP($A5832,Load!$B:$B,Load!G:G,0,)</f>
        <v>Single Pack</v>
      </c>
      <c r="G5832" t="str">
        <f>_xlfn.XLOOKUP($A5832,Load!$B:$B,Load!H:H,0,)</f>
        <v>Laydown Bag</v>
      </c>
      <c r="H5832" t="str">
        <f>_xlfn.XLOOKUP($A5832,Load!$B:$B,Load!I:I,0,)</f>
        <v>Everyday Candy Shapes (like Original, Gummy bear, Fruit, Jewels, etc.)</v>
      </c>
      <c r="I5832" t="str">
        <f>_xlfn.XLOOKUP($A5832,Load!$B:$B,Load!J:J,0,)</f>
        <v>Everyday Graphics</v>
      </c>
      <c r="J5832" t="str">
        <f>_xlfn.XLOOKUP($A5832,Load!$B:$B,Load!K:K,0,)</f>
        <v>Fun Size / Treat Size</v>
      </c>
      <c r="K5832" t="str">
        <f>_xlfn.XLOOKUP($A5832,Load!$B:$B,Load!L:L,0,)</f>
        <v>Regular/Original Wrapping</v>
      </c>
      <c r="L5832" t="str">
        <f>_xlfn.XLOOKUP($A5832,Load!$B:$B,Load!M:M,0,)</f>
        <v>Single Brand / Single Flavor or Form</v>
      </c>
    </row>
    <row r="5833" spans="1:12" x14ac:dyDescent="0.25">
      <c r="A5833" t="s">
        <v>115</v>
      </c>
      <c r="B5833" t="str">
        <f>_xlfn.XLOOKUP($A5833,Load!$B:$B,Load!C:C,0,)</f>
        <v>George Howe</v>
      </c>
      <c r="C5833" t="str">
        <f>_xlfn.XLOOKUP($A5833,Load!$B:$B,Load!D:D,0,)</f>
        <v>Non-Chocolate Candy Only</v>
      </c>
      <c r="D5833" t="str">
        <f>_xlfn.XLOOKUP($A5833,Load!$B:$B,Load!E:E,0,)</f>
        <v>Fall / Seasonal Flavors (pumpkin spice, caramel apple, candy corn)</v>
      </c>
      <c r="E5833" t="str">
        <f>_xlfn.XLOOKUP($A5833,Load!$B:$B,Load!F:F,0,)</f>
        <v>Candy Pieces / Bites</v>
      </c>
      <c r="F5833" t="str">
        <f>_xlfn.XLOOKUP($A5833,Load!$B:$B,Load!G:G,0,)</f>
        <v>Single Pack</v>
      </c>
      <c r="G5833" t="str">
        <f>_xlfn.XLOOKUP($A5833,Load!$B:$B,Load!H:H,0,)</f>
        <v>Laydown Bag</v>
      </c>
      <c r="H5833" t="str">
        <f>_xlfn.XLOOKUP($A5833,Load!$B:$B,Load!I:I,0,)</f>
        <v>Seasonal Shapes (like pumpkins, candy corn, ghost, bats, etc.)</v>
      </c>
      <c r="I5833" t="str">
        <f>_xlfn.XLOOKUP($A5833,Load!$B:$B,Load!J:J,0,)</f>
        <v>Everyday Graphics</v>
      </c>
      <c r="J5833" t="str">
        <f>_xlfn.XLOOKUP($A5833,Load!$B:$B,Load!K:K,0,)</f>
        <v>Small Pieces (Tiny bite size candies)</v>
      </c>
      <c r="K5833" t="str">
        <f>_xlfn.XLOOKUP($A5833,Load!$B:$B,Load!L:L,0,)</f>
        <v>Unwrapped</v>
      </c>
      <c r="L5833" t="str">
        <f>_xlfn.XLOOKUP($A5833,Load!$B:$B,Load!M:M,0,)</f>
        <v>Single Brand / Single Flavor or Form</v>
      </c>
    </row>
    <row r="5834" spans="1:12" x14ac:dyDescent="0.25">
      <c r="A5834" t="s">
        <v>253</v>
      </c>
      <c r="B5834" t="str">
        <f>_xlfn.XLOOKUP($A5834,Load!$B:$B,Load!C:C,0,)</f>
        <v>Skittles</v>
      </c>
      <c r="C5834" t="str">
        <f>_xlfn.XLOOKUP($A5834,Load!$B:$B,Load!D:D,0,)</f>
        <v>Non-Chocolate Candy Only</v>
      </c>
      <c r="D5834" t="str">
        <f>_xlfn.XLOOKUP($A5834,Load!$B:$B,Load!E:E,0,)</f>
        <v>Variety / Mixed Flavors (Fruity, Sour, Seasonal Flavors)</v>
      </c>
      <c r="E5834" t="str">
        <f>_xlfn.XLOOKUP($A5834,Load!$B:$B,Load!F:F,0,)</f>
        <v>Mixed / Combo Packs (Gummy, Chewy, Taffy, etc.)</v>
      </c>
      <c r="F5834" t="str">
        <f>_xlfn.XLOOKUP($A5834,Load!$B:$B,Load!G:G,0,)</f>
        <v>Medium Multipack (40–80 ct)</v>
      </c>
      <c r="G5834" t="str">
        <f>_xlfn.XLOOKUP($A5834,Load!$B:$B,Load!H:H,0,)</f>
        <v>Stand-Up Bag</v>
      </c>
      <c r="H5834" t="str">
        <f>_xlfn.XLOOKUP($A5834,Load!$B:$B,Load!I:I,0,)</f>
        <v>Everyday Candy Shapes (like Original, Gummy bear, Fruit, Jewels, etc.)</v>
      </c>
      <c r="I5834" t="str">
        <f>_xlfn.XLOOKUP($A5834,Load!$B:$B,Load!J:J,0,)</f>
        <v>Seasonal Graphics (Like Bat, Ghost, Pumpkin, Fall Leaves, Eyeballs, etc.)</v>
      </c>
      <c r="J5834" t="str">
        <f>_xlfn.XLOOKUP($A5834,Load!$B:$B,Load!K:K,0,)</f>
        <v>Small Pieces (Tiny bite size candies)</v>
      </c>
      <c r="K5834" t="str">
        <f>_xlfn.XLOOKUP($A5834,Load!$B:$B,Load!L:L,0,)</f>
        <v>Regular/Original Wrapping</v>
      </c>
      <c r="L5834" t="str">
        <f>_xlfn.XLOOKUP($A5834,Load!$B:$B,Load!M:M,0,)</f>
        <v>Single Brand / Variety Flavors or Form</v>
      </c>
    </row>
    <row r="5835" spans="1:12" x14ac:dyDescent="0.25">
      <c r="B5835">
        <f>_xlfn.XLOOKUP($A5835,Load!$B:$B,Load!C:C,0,)</f>
        <v>0</v>
      </c>
      <c r="C5835">
        <f>_xlfn.XLOOKUP($A5835,Load!$B:$B,Load!D:D,0,)</f>
        <v>0</v>
      </c>
      <c r="D5835">
        <f>_xlfn.XLOOKUP($A5835,Load!$B:$B,Load!E:E,0,)</f>
        <v>0</v>
      </c>
      <c r="E5835">
        <f>_xlfn.XLOOKUP($A5835,Load!$B:$B,Load!F:F,0,)</f>
        <v>0</v>
      </c>
      <c r="F5835">
        <f>_xlfn.XLOOKUP($A5835,Load!$B:$B,Load!G:G,0,)</f>
        <v>0</v>
      </c>
      <c r="G5835">
        <f>_xlfn.XLOOKUP($A5835,Load!$B:$B,Load!H:H,0,)</f>
        <v>0</v>
      </c>
      <c r="H5835">
        <f>_xlfn.XLOOKUP($A5835,Load!$B:$B,Load!I:I,0,)</f>
        <v>0</v>
      </c>
      <c r="I5835">
        <f>_xlfn.XLOOKUP($A5835,Load!$B:$B,Load!J:J,0,)</f>
        <v>0</v>
      </c>
      <c r="J5835">
        <f>_xlfn.XLOOKUP($A5835,Load!$B:$B,Load!K:K,0,)</f>
        <v>0</v>
      </c>
      <c r="K5835">
        <f>_xlfn.XLOOKUP($A5835,Load!$B:$B,Load!L:L,0,)</f>
        <v>0</v>
      </c>
      <c r="L5835">
        <f>_xlfn.XLOOKUP($A5835,Load!$B:$B,Load!M:M,0,)</f>
        <v>0</v>
      </c>
    </row>
    <row r="5836" spans="1:12" x14ac:dyDescent="0.25">
      <c r="A5836" t="s">
        <v>227</v>
      </c>
      <c r="B5836" t="str">
        <f>_xlfn.XLOOKUP($A5836,Load!$B:$B,Load!C:C,0,)</f>
        <v>Nerds</v>
      </c>
      <c r="C5836" t="str">
        <f>_xlfn.XLOOKUP($A5836,Load!$B:$B,Load!D:D,0,)</f>
        <v>Non-Chocolate Candy Only</v>
      </c>
      <c r="D5836" t="str">
        <f>_xlfn.XLOOKUP($A5836,Load!$B:$B,Load!E:E,0,)</f>
        <v>Sweet</v>
      </c>
      <c r="E5836" t="str">
        <f>_xlfn.XLOOKUP($A5836,Load!$B:$B,Load!F:F,0,)</f>
        <v>Chewy</v>
      </c>
      <c r="F5836" t="str">
        <f>_xlfn.XLOOKUP($A5836,Load!$B:$B,Load!G:G,0,)</f>
        <v>Single Pack</v>
      </c>
      <c r="G5836" t="str">
        <f>_xlfn.XLOOKUP($A5836,Load!$B:$B,Load!H:H,0,)</f>
        <v>Laydown Bag</v>
      </c>
      <c r="H5836" t="str">
        <f>_xlfn.XLOOKUP($A5836,Load!$B:$B,Load!I:I,0,)</f>
        <v>Seasonal Shapes (like pumpkins, candy corn, ghost, bats, etc.)</v>
      </c>
      <c r="I5836" t="str">
        <f>_xlfn.XLOOKUP($A5836,Load!$B:$B,Load!J:J,0,)</f>
        <v>Seasonal Graphics (Like Bat, Ghost, Pumpkin, Fall Leaves, Eyeballs, etc.)</v>
      </c>
      <c r="J5836" t="str">
        <f>_xlfn.XLOOKUP($A5836,Load!$B:$B,Load!K:K,0,)</f>
        <v>Small Pieces (Tiny bite size candies)</v>
      </c>
      <c r="K5836" t="str">
        <f>_xlfn.XLOOKUP($A5836,Load!$B:$B,Load!L:L,0,)</f>
        <v>Unwrapped</v>
      </c>
      <c r="L5836" t="str">
        <f>_xlfn.XLOOKUP($A5836,Load!$B:$B,Load!M:M,0,)</f>
        <v>Single Brand / Variety Flavors or Form</v>
      </c>
    </row>
    <row r="5837" spans="1:12" x14ac:dyDescent="0.25">
      <c r="A5837" t="s">
        <v>217</v>
      </c>
      <c r="B5837" t="str">
        <f>_xlfn.XLOOKUP($A5837,Load!$B:$B,Load!C:C,0,)</f>
        <v>Mondelez Variety Pack</v>
      </c>
      <c r="C5837" t="str">
        <f>_xlfn.XLOOKUP($A5837,Load!$B:$B,Load!D:D,0,)</f>
        <v>Non-Chocolate Candy Only</v>
      </c>
      <c r="D5837" t="str">
        <f>_xlfn.XLOOKUP($A5837,Load!$B:$B,Load!E:E,0,)</f>
        <v>Sour</v>
      </c>
      <c r="E5837" t="str">
        <f>_xlfn.XLOOKUP($A5837,Load!$B:$B,Load!F:F,0,)</f>
        <v>Chewy</v>
      </c>
      <c r="F5837" t="str">
        <f>_xlfn.XLOOKUP($A5837,Load!$B:$B,Load!G:G,0,)</f>
        <v>Small Multipack (Less than 40 ct)</v>
      </c>
      <c r="G5837" t="str">
        <f>_xlfn.XLOOKUP($A5837,Load!$B:$B,Load!H:H,0,)</f>
        <v>Laydown Bag</v>
      </c>
      <c r="H5837" t="str">
        <f>_xlfn.XLOOKUP($A5837,Load!$B:$B,Load!I:I,0,)</f>
        <v>Seasonal Shapes (like pumpkins, candy corn, ghost, bats, etc.)</v>
      </c>
      <c r="I5837" t="str">
        <f>_xlfn.XLOOKUP($A5837,Load!$B:$B,Load!J:J,0,)</f>
        <v>Seasonal Graphics (Like Bat, Ghost, Pumpkin, Fall Leaves, Eyeballs, etc.)</v>
      </c>
      <c r="J5837" t="str">
        <f>_xlfn.XLOOKUP($A5837,Load!$B:$B,Load!K:K,0,)</f>
        <v>Small Pieces (Tiny bite size candies)</v>
      </c>
      <c r="K5837" t="str">
        <f>_xlfn.XLOOKUP($A5837,Load!$B:$B,Load!L:L,0,)</f>
        <v>Regular/Original Wrapping</v>
      </c>
      <c r="L5837" t="str">
        <f>_xlfn.XLOOKUP($A5837,Load!$B:$B,Load!M:M,0,)</f>
        <v>Multiple Brands / Variety Flavors or Form</v>
      </c>
    </row>
    <row r="5838" spans="1:12" x14ac:dyDescent="0.25">
      <c r="A5838" t="s">
        <v>49</v>
      </c>
      <c r="B5838" t="str">
        <f>_xlfn.XLOOKUP($A5838,Load!$B:$B,Load!C:C,0,)</f>
        <v>Brach's</v>
      </c>
      <c r="C5838" t="str">
        <f>_xlfn.XLOOKUP($A5838,Load!$B:$B,Load!D:D,0,)</f>
        <v>Non-Chocolate Candy Only</v>
      </c>
      <c r="D5838" t="str">
        <f>_xlfn.XLOOKUP($A5838,Load!$B:$B,Load!E:E,0,)</f>
        <v>Fall / Seasonal Flavors (pumpkin spice, caramel apple, candy corn)</v>
      </c>
      <c r="E5838" t="str">
        <f>_xlfn.XLOOKUP($A5838,Load!$B:$B,Load!F:F,0,)</f>
        <v>Candy Pieces / Bites</v>
      </c>
      <c r="F5838" t="str">
        <f>_xlfn.XLOOKUP($A5838,Load!$B:$B,Load!G:G,0,)</f>
        <v>Large Multipack (More than 80 ct)</v>
      </c>
      <c r="G5838" t="str">
        <f>_xlfn.XLOOKUP($A5838,Load!$B:$B,Load!H:H,0,)</f>
        <v>Laydown Bag</v>
      </c>
      <c r="H5838" t="str">
        <f>_xlfn.XLOOKUP($A5838,Load!$B:$B,Load!I:I,0,)</f>
        <v>Seasonal Shapes (like pumpkins, candy corn, ghost, bats, etc.)</v>
      </c>
      <c r="I5838" t="str">
        <f>_xlfn.XLOOKUP($A5838,Load!$B:$B,Load!J:J,0,)</f>
        <v>Seasonal Graphics (Like Bat, Ghost, Pumpkin, Fall Leaves, Eyeballs, etc.)</v>
      </c>
      <c r="J5838" t="str">
        <f>_xlfn.XLOOKUP($A5838,Load!$B:$B,Load!K:K,0,)</f>
        <v>Small Pieces (Tiny bite size candies)</v>
      </c>
      <c r="K5838" t="str">
        <f>_xlfn.XLOOKUP($A5838,Load!$B:$B,Load!L:L,0,)</f>
        <v>Unwrapped</v>
      </c>
      <c r="L5838" t="str">
        <f>_xlfn.XLOOKUP($A5838,Load!$B:$B,Load!M:M,0,)</f>
        <v>Single Brand / Single Flavor or Form</v>
      </c>
    </row>
    <row r="5839" spans="1:12" x14ac:dyDescent="0.25">
      <c r="B5839">
        <f>_xlfn.XLOOKUP($A5839,Load!$B:$B,Load!C:C,0,)</f>
        <v>0</v>
      </c>
      <c r="C5839">
        <f>_xlfn.XLOOKUP($A5839,Load!$B:$B,Load!D:D,0,)</f>
        <v>0</v>
      </c>
      <c r="D5839">
        <f>_xlfn.XLOOKUP($A5839,Load!$B:$B,Load!E:E,0,)</f>
        <v>0</v>
      </c>
      <c r="E5839">
        <f>_xlfn.XLOOKUP($A5839,Load!$B:$B,Load!F:F,0,)</f>
        <v>0</v>
      </c>
      <c r="F5839">
        <f>_xlfn.XLOOKUP($A5839,Load!$B:$B,Load!G:G,0,)</f>
        <v>0</v>
      </c>
      <c r="G5839">
        <f>_xlfn.XLOOKUP($A5839,Load!$B:$B,Load!H:H,0,)</f>
        <v>0</v>
      </c>
      <c r="H5839">
        <f>_xlfn.XLOOKUP($A5839,Load!$B:$B,Load!I:I,0,)</f>
        <v>0</v>
      </c>
      <c r="I5839">
        <f>_xlfn.XLOOKUP($A5839,Load!$B:$B,Load!J:J,0,)</f>
        <v>0</v>
      </c>
      <c r="J5839">
        <f>_xlfn.XLOOKUP($A5839,Load!$B:$B,Load!K:K,0,)</f>
        <v>0</v>
      </c>
      <c r="K5839">
        <f>_xlfn.XLOOKUP($A5839,Load!$B:$B,Load!L:L,0,)</f>
        <v>0</v>
      </c>
      <c r="L5839">
        <f>_xlfn.XLOOKUP($A5839,Load!$B:$B,Load!M:M,0,)</f>
        <v>0</v>
      </c>
    </row>
    <row r="5840" spans="1:12" x14ac:dyDescent="0.25">
      <c r="A5840" t="s">
        <v>185</v>
      </c>
      <c r="B5840" t="str">
        <f>_xlfn.XLOOKUP($A5840,Load!$B:$B,Load!C:C,0,)</f>
        <v>Mars Variety Pack</v>
      </c>
      <c r="C5840" t="str">
        <f>_xlfn.XLOOKUP($A5840,Load!$B:$B,Load!D:D,0,)</f>
        <v>Mix of Chocolate and Non-Chocolate Candy</v>
      </c>
      <c r="D5840" t="str">
        <f>_xlfn.XLOOKUP($A5840,Load!$B:$B,Load!E:E,0,)</f>
        <v>Variety / Mixed Flavors (Fruity, Sour, Seasonal Flavors)</v>
      </c>
      <c r="E5840" t="str">
        <f>_xlfn.XLOOKUP($A5840,Load!$B:$B,Load!F:F,0,)</f>
        <v>Mixed / Combo Packs (Gummy, Chewy, Taffy, etc.)</v>
      </c>
      <c r="F5840" t="str">
        <f>_xlfn.XLOOKUP($A5840,Load!$B:$B,Load!G:G,0,)</f>
        <v>Large Multipack (More than 80 ct)</v>
      </c>
      <c r="G5840" t="str">
        <f>_xlfn.XLOOKUP($A5840,Load!$B:$B,Load!H:H,0,)</f>
        <v>Stand-Up Bag</v>
      </c>
      <c r="H5840" t="str">
        <f>_xlfn.XLOOKUP($A5840,Load!$B:$B,Load!I:I,0,)</f>
        <v>Everyday Candy Shapes (like Original, Gummy bear, Fruit, Jewels, etc.)</v>
      </c>
      <c r="I5840" t="str">
        <f>_xlfn.XLOOKUP($A5840,Load!$B:$B,Load!J:J,0,)</f>
        <v>Seasonal Graphics (Like Bat, Ghost, Pumpkin, Fall Leaves, Eyeballs, etc.)</v>
      </c>
      <c r="J5840" t="str">
        <f>_xlfn.XLOOKUP($A5840,Load!$B:$B,Load!K:K,0,)</f>
        <v>Fun Size / Treat Size</v>
      </c>
      <c r="K5840" t="str">
        <f>_xlfn.XLOOKUP($A5840,Load!$B:$B,Load!L:L,0,)</f>
        <v>Regular/Original Wrapping</v>
      </c>
      <c r="L5840" t="str">
        <f>_xlfn.XLOOKUP($A5840,Load!$B:$B,Load!M:M,0,)</f>
        <v>Multiple Brands / Variety Flavors or Form</v>
      </c>
    </row>
    <row r="5841" spans="1:12" x14ac:dyDescent="0.25">
      <c r="B5841">
        <f>_xlfn.XLOOKUP($A5841,Load!$B:$B,Load!C:C,0,)</f>
        <v>0</v>
      </c>
      <c r="C5841">
        <f>_xlfn.XLOOKUP($A5841,Load!$B:$B,Load!D:D,0,)</f>
        <v>0</v>
      </c>
      <c r="D5841">
        <f>_xlfn.XLOOKUP($A5841,Load!$B:$B,Load!E:E,0,)</f>
        <v>0</v>
      </c>
      <c r="E5841">
        <f>_xlfn.XLOOKUP($A5841,Load!$B:$B,Load!F:F,0,)</f>
        <v>0</v>
      </c>
      <c r="F5841">
        <f>_xlfn.XLOOKUP($A5841,Load!$B:$B,Load!G:G,0,)</f>
        <v>0</v>
      </c>
      <c r="G5841">
        <f>_xlfn.XLOOKUP($A5841,Load!$B:$B,Load!H:H,0,)</f>
        <v>0</v>
      </c>
      <c r="H5841">
        <f>_xlfn.XLOOKUP($A5841,Load!$B:$B,Load!I:I,0,)</f>
        <v>0</v>
      </c>
      <c r="I5841">
        <f>_xlfn.XLOOKUP($A5841,Load!$B:$B,Load!J:J,0,)</f>
        <v>0</v>
      </c>
      <c r="J5841">
        <f>_xlfn.XLOOKUP($A5841,Load!$B:$B,Load!K:K,0,)</f>
        <v>0</v>
      </c>
      <c r="K5841">
        <f>_xlfn.XLOOKUP($A5841,Load!$B:$B,Load!L:L,0,)</f>
        <v>0</v>
      </c>
      <c r="L5841">
        <f>_xlfn.XLOOKUP($A5841,Load!$B:$B,Load!M:M,0,)</f>
        <v>0</v>
      </c>
    </row>
    <row r="5842" spans="1:12" x14ac:dyDescent="0.25">
      <c r="A5842" t="s">
        <v>222</v>
      </c>
      <c r="B5842" t="str">
        <f>_xlfn.XLOOKUP($A5842,Load!$B:$B,Load!C:C,0,)</f>
        <v>Nerds</v>
      </c>
      <c r="C5842" t="str">
        <f>_xlfn.XLOOKUP($A5842,Load!$B:$B,Load!D:D,0,)</f>
        <v>Non-Chocolate Candy Only</v>
      </c>
      <c r="D5842" t="str">
        <f>_xlfn.XLOOKUP($A5842,Load!$B:$B,Load!E:E,0,)</f>
        <v>Sweet</v>
      </c>
      <c r="E5842" t="str">
        <f>_xlfn.XLOOKUP($A5842,Load!$B:$B,Load!F:F,0,)</f>
        <v>Gummy</v>
      </c>
      <c r="F5842" t="str">
        <f>_xlfn.XLOOKUP($A5842,Load!$B:$B,Load!G:G,0,)</f>
        <v>Small Multipack (Less than 40 ct)</v>
      </c>
      <c r="G5842" t="str">
        <f>_xlfn.XLOOKUP($A5842,Load!$B:$B,Load!H:H,0,)</f>
        <v>Stand-Up Bag</v>
      </c>
      <c r="H5842" t="str">
        <f>_xlfn.XLOOKUP($A5842,Load!$B:$B,Load!I:I,0,)</f>
        <v>Everyday Candy Shapes (like Original, Gummy bear, Fruit, Jewels, etc.)</v>
      </c>
      <c r="I5842" t="str">
        <f>_xlfn.XLOOKUP($A5842,Load!$B:$B,Load!J:J,0,)</f>
        <v>Seasonal Graphics (Like Bat, Ghost, Pumpkin, Fall Leaves, Eyeballs, etc.)</v>
      </c>
      <c r="J5842" t="str">
        <f>_xlfn.XLOOKUP($A5842,Load!$B:$B,Load!K:K,0,)</f>
        <v>Fun Size / Treat Size</v>
      </c>
      <c r="K5842" t="str">
        <f>_xlfn.XLOOKUP($A5842,Load!$B:$B,Load!L:L,0,)</f>
        <v>Regular/Original Wrapping</v>
      </c>
      <c r="L5842" t="str">
        <f>_xlfn.XLOOKUP($A5842,Load!$B:$B,Load!M:M,0,)</f>
        <v>Single Brand / Variety Flavors or Form</v>
      </c>
    </row>
    <row r="5843" spans="1:12" x14ac:dyDescent="0.25">
      <c r="B5843">
        <f>_xlfn.XLOOKUP($A5843,Load!$B:$B,Load!C:C,0,)</f>
        <v>0</v>
      </c>
      <c r="C5843">
        <f>_xlfn.XLOOKUP($A5843,Load!$B:$B,Load!D:D,0,)</f>
        <v>0</v>
      </c>
      <c r="D5843">
        <f>_xlfn.XLOOKUP($A5843,Load!$B:$B,Load!E:E,0,)</f>
        <v>0</v>
      </c>
      <c r="E5843">
        <f>_xlfn.XLOOKUP($A5843,Load!$B:$B,Load!F:F,0,)</f>
        <v>0</v>
      </c>
      <c r="F5843">
        <f>_xlfn.XLOOKUP($A5843,Load!$B:$B,Load!G:G,0,)</f>
        <v>0</v>
      </c>
      <c r="G5843">
        <f>_xlfn.XLOOKUP($A5843,Load!$B:$B,Load!H:H,0,)</f>
        <v>0</v>
      </c>
      <c r="H5843">
        <f>_xlfn.XLOOKUP($A5843,Load!$B:$B,Load!I:I,0,)</f>
        <v>0</v>
      </c>
      <c r="I5843">
        <f>_xlfn.XLOOKUP($A5843,Load!$B:$B,Load!J:J,0,)</f>
        <v>0</v>
      </c>
      <c r="J5843">
        <f>_xlfn.XLOOKUP($A5843,Load!$B:$B,Load!K:K,0,)</f>
        <v>0</v>
      </c>
      <c r="K5843">
        <f>_xlfn.XLOOKUP($A5843,Load!$B:$B,Load!L:L,0,)</f>
        <v>0</v>
      </c>
      <c r="L5843">
        <f>_xlfn.XLOOKUP($A5843,Load!$B:$B,Load!M:M,0,)</f>
        <v>0</v>
      </c>
    </row>
    <row r="5844" spans="1:12" x14ac:dyDescent="0.25">
      <c r="B5844">
        <f>_xlfn.XLOOKUP($A5844,Load!$B:$B,Load!C:C,0,)</f>
        <v>0</v>
      </c>
      <c r="C5844">
        <f>_xlfn.XLOOKUP($A5844,Load!$B:$B,Load!D:D,0,)</f>
        <v>0</v>
      </c>
      <c r="D5844">
        <f>_xlfn.XLOOKUP($A5844,Load!$B:$B,Load!E:E,0,)</f>
        <v>0</v>
      </c>
      <c r="E5844">
        <f>_xlfn.XLOOKUP($A5844,Load!$B:$B,Load!F:F,0,)</f>
        <v>0</v>
      </c>
      <c r="F5844">
        <f>_xlfn.XLOOKUP($A5844,Load!$B:$B,Load!G:G,0,)</f>
        <v>0</v>
      </c>
      <c r="G5844">
        <f>_xlfn.XLOOKUP($A5844,Load!$B:$B,Load!H:H,0,)</f>
        <v>0</v>
      </c>
      <c r="H5844">
        <f>_xlfn.XLOOKUP($A5844,Load!$B:$B,Load!I:I,0,)</f>
        <v>0</v>
      </c>
      <c r="I5844">
        <f>_xlfn.XLOOKUP($A5844,Load!$B:$B,Load!J:J,0,)</f>
        <v>0</v>
      </c>
      <c r="J5844">
        <f>_xlfn.XLOOKUP($A5844,Load!$B:$B,Load!K:K,0,)</f>
        <v>0</v>
      </c>
      <c r="K5844">
        <f>_xlfn.XLOOKUP($A5844,Load!$B:$B,Load!L:L,0,)</f>
        <v>0</v>
      </c>
      <c r="L5844">
        <f>_xlfn.XLOOKUP($A5844,Load!$B:$B,Load!M:M,0,)</f>
        <v>0</v>
      </c>
    </row>
    <row r="5845" spans="1:12" x14ac:dyDescent="0.25">
      <c r="B5845">
        <f>_xlfn.XLOOKUP($A5845,Load!$B:$B,Load!C:C,0,)</f>
        <v>0</v>
      </c>
      <c r="C5845">
        <f>_xlfn.XLOOKUP($A5845,Load!$B:$B,Load!D:D,0,)</f>
        <v>0</v>
      </c>
      <c r="D5845">
        <f>_xlfn.XLOOKUP($A5845,Load!$B:$B,Load!E:E,0,)</f>
        <v>0</v>
      </c>
      <c r="E5845">
        <f>_xlfn.XLOOKUP($A5845,Load!$B:$B,Load!F:F,0,)</f>
        <v>0</v>
      </c>
      <c r="F5845">
        <f>_xlfn.XLOOKUP($A5845,Load!$B:$B,Load!G:G,0,)</f>
        <v>0</v>
      </c>
      <c r="G5845">
        <f>_xlfn.XLOOKUP($A5845,Load!$B:$B,Load!H:H,0,)</f>
        <v>0</v>
      </c>
      <c r="H5845">
        <f>_xlfn.XLOOKUP($A5845,Load!$B:$B,Load!I:I,0,)</f>
        <v>0</v>
      </c>
      <c r="I5845">
        <f>_xlfn.XLOOKUP($A5845,Load!$B:$B,Load!J:J,0,)</f>
        <v>0</v>
      </c>
      <c r="J5845">
        <f>_xlfn.XLOOKUP($A5845,Load!$B:$B,Load!K:K,0,)</f>
        <v>0</v>
      </c>
      <c r="K5845">
        <f>_xlfn.XLOOKUP($A5845,Load!$B:$B,Load!L:L,0,)</f>
        <v>0</v>
      </c>
      <c r="L5845">
        <f>_xlfn.XLOOKUP($A5845,Load!$B:$B,Load!M:M,0,)</f>
        <v>0</v>
      </c>
    </row>
    <row r="5846" spans="1:12" x14ac:dyDescent="0.25">
      <c r="B5846">
        <f>_xlfn.XLOOKUP($A5846,Load!$B:$B,Load!C:C,0,)</f>
        <v>0</v>
      </c>
      <c r="C5846">
        <f>_xlfn.XLOOKUP($A5846,Load!$B:$B,Load!D:D,0,)</f>
        <v>0</v>
      </c>
      <c r="D5846">
        <f>_xlfn.XLOOKUP($A5846,Load!$B:$B,Load!E:E,0,)</f>
        <v>0</v>
      </c>
      <c r="E5846">
        <f>_xlfn.XLOOKUP($A5846,Load!$B:$B,Load!F:F,0,)</f>
        <v>0</v>
      </c>
      <c r="F5846">
        <f>_xlfn.XLOOKUP($A5846,Load!$B:$B,Load!G:G,0,)</f>
        <v>0</v>
      </c>
      <c r="G5846">
        <f>_xlfn.XLOOKUP($A5846,Load!$B:$B,Load!H:H,0,)</f>
        <v>0</v>
      </c>
      <c r="H5846">
        <f>_xlfn.XLOOKUP($A5846,Load!$B:$B,Load!I:I,0,)</f>
        <v>0</v>
      </c>
      <c r="I5846">
        <f>_xlfn.XLOOKUP($A5846,Load!$B:$B,Load!J:J,0,)</f>
        <v>0</v>
      </c>
      <c r="J5846">
        <f>_xlfn.XLOOKUP($A5846,Load!$B:$B,Load!K:K,0,)</f>
        <v>0</v>
      </c>
      <c r="K5846">
        <f>_xlfn.XLOOKUP($A5846,Load!$B:$B,Load!L:L,0,)</f>
        <v>0</v>
      </c>
      <c r="L5846">
        <f>_xlfn.XLOOKUP($A5846,Load!$B:$B,Load!M:M,0,)</f>
        <v>0</v>
      </c>
    </row>
    <row r="5847" spans="1:12" x14ac:dyDescent="0.25">
      <c r="B5847">
        <f>_xlfn.XLOOKUP($A5847,Load!$B:$B,Load!C:C,0,)</f>
        <v>0</v>
      </c>
      <c r="C5847">
        <f>_xlfn.XLOOKUP($A5847,Load!$B:$B,Load!D:D,0,)</f>
        <v>0</v>
      </c>
      <c r="D5847">
        <f>_xlfn.XLOOKUP($A5847,Load!$B:$B,Load!E:E,0,)</f>
        <v>0</v>
      </c>
      <c r="E5847">
        <f>_xlfn.XLOOKUP($A5847,Load!$B:$B,Load!F:F,0,)</f>
        <v>0</v>
      </c>
      <c r="F5847">
        <f>_xlfn.XLOOKUP($A5847,Load!$B:$B,Load!G:G,0,)</f>
        <v>0</v>
      </c>
      <c r="G5847">
        <f>_xlfn.XLOOKUP($A5847,Load!$B:$B,Load!H:H,0,)</f>
        <v>0</v>
      </c>
      <c r="H5847">
        <f>_xlfn.XLOOKUP($A5847,Load!$B:$B,Load!I:I,0,)</f>
        <v>0</v>
      </c>
      <c r="I5847">
        <f>_xlfn.XLOOKUP($A5847,Load!$B:$B,Load!J:J,0,)</f>
        <v>0</v>
      </c>
      <c r="J5847">
        <f>_xlfn.XLOOKUP($A5847,Load!$B:$B,Load!K:K,0,)</f>
        <v>0</v>
      </c>
      <c r="K5847">
        <f>_xlfn.XLOOKUP($A5847,Load!$B:$B,Load!L:L,0,)</f>
        <v>0</v>
      </c>
      <c r="L5847">
        <f>_xlfn.XLOOKUP($A5847,Load!$B:$B,Load!M:M,0,)</f>
        <v>0</v>
      </c>
    </row>
    <row r="5848" spans="1:12" x14ac:dyDescent="0.25">
      <c r="A5848" t="s">
        <v>253</v>
      </c>
      <c r="B5848" t="str">
        <f>_xlfn.XLOOKUP($A5848,Load!$B:$B,Load!C:C,0,)</f>
        <v>Skittles</v>
      </c>
      <c r="C5848" t="str">
        <f>_xlfn.XLOOKUP($A5848,Load!$B:$B,Load!D:D,0,)</f>
        <v>Non-Chocolate Candy Only</v>
      </c>
      <c r="D5848" t="str">
        <f>_xlfn.XLOOKUP($A5848,Load!$B:$B,Load!E:E,0,)</f>
        <v>Variety / Mixed Flavors (Fruity, Sour, Seasonal Flavors)</v>
      </c>
      <c r="E5848" t="str">
        <f>_xlfn.XLOOKUP($A5848,Load!$B:$B,Load!F:F,0,)</f>
        <v>Mixed / Combo Packs (Gummy, Chewy, Taffy, etc.)</v>
      </c>
      <c r="F5848" t="str">
        <f>_xlfn.XLOOKUP($A5848,Load!$B:$B,Load!G:G,0,)</f>
        <v>Medium Multipack (40–80 ct)</v>
      </c>
      <c r="G5848" t="str">
        <f>_xlfn.XLOOKUP($A5848,Load!$B:$B,Load!H:H,0,)</f>
        <v>Stand-Up Bag</v>
      </c>
      <c r="H5848" t="str">
        <f>_xlfn.XLOOKUP($A5848,Load!$B:$B,Load!I:I,0,)</f>
        <v>Everyday Candy Shapes (like Original, Gummy bear, Fruit, Jewels, etc.)</v>
      </c>
      <c r="I5848" t="str">
        <f>_xlfn.XLOOKUP($A5848,Load!$B:$B,Load!J:J,0,)</f>
        <v>Seasonal Graphics (Like Bat, Ghost, Pumpkin, Fall Leaves, Eyeballs, etc.)</v>
      </c>
      <c r="J5848" t="str">
        <f>_xlfn.XLOOKUP($A5848,Load!$B:$B,Load!K:K,0,)</f>
        <v>Small Pieces (Tiny bite size candies)</v>
      </c>
      <c r="K5848" t="str">
        <f>_xlfn.XLOOKUP($A5848,Load!$B:$B,Load!L:L,0,)</f>
        <v>Regular/Original Wrapping</v>
      </c>
      <c r="L5848" t="str">
        <f>_xlfn.XLOOKUP($A5848,Load!$B:$B,Load!M:M,0,)</f>
        <v>Single Brand / Variety Flavors or Form</v>
      </c>
    </row>
    <row r="5849" spans="1:12" x14ac:dyDescent="0.25">
      <c r="A5849" t="s">
        <v>237</v>
      </c>
      <c r="B5849" t="str">
        <f>_xlfn.XLOOKUP($A5849,Load!$B:$B,Load!C:C,0,)</f>
        <v>Now &amp; Later</v>
      </c>
      <c r="C5849" t="str">
        <f>_xlfn.XLOOKUP($A5849,Load!$B:$B,Load!D:D,0,)</f>
        <v>Non-Chocolate Candy Only</v>
      </c>
      <c r="D5849" t="str">
        <f>_xlfn.XLOOKUP($A5849,Load!$B:$B,Load!E:E,0,)</f>
        <v>Fruit Flavor (Cherry, Grape, Apple, Citrus, Tropical Fruit)</v>
      </c>
      <c r="E5849" t="str">
        <f>_xlfn.XLOOKUP($A5849,Load!$B:$B,Load!F:F,0,)</f>
        <v>Chewy</v>
      </c>
      <c r="F5849" t="str">
        <f>_xlfn.XLOOKUP($A5849,Load!$B:$B,Load!G:G,0,)</f>
        <v>Medium Multipack (40–80 ct)</v>
      </c>
      <c r="G5849" t="str">
        <f>_xlfn.XLOOKUP($A5849,Load!$B:$B,Load!H:H,0,)</f>
        <v>Laydown Bag</v>
      </c>
      <c r="H5849" t="str">
        <f>_xlfn.XLOOKUP($A5849,Load!$B:$B,Load!I:I,0,)</f>
        <v>Everyday Candy Shapes (like Original, Gummy bear, Fruit, Jewels, etc.)</v>
      </c>
      <c r="I5849" t="str">
        <f>_xlfn.XLOOKUP($A5849,Load!$B:$B,Load!J:J,0,)</f>
        <v>Seasonal Graphics (Like Bat, Ghost, Pumpkin, Fall Leaves, Eyeballs, etc.)</v>
      </c>
      <c r="J5849" t="str">
        <f>_xlfn.XLOOKUP($A5849,Load!$B:$B,Load!K:K,0,)</f>
        <v>Small Pieces (Tiny bite size candies)</v>
      </c>
      <c r="K5849" t="str">
        <f>_xlfn.XLOOKUP($A5849,Load!$B:$B,Load!L:L,0,)</f>
        <v>Regular/Original Wrapping</v>
      </c>
      <c r="L5849" t="str">
        <f>_xlfn.XLOOKUP($A5849,Load!$B:$B,Load!M:M,0,)</f>
        <v>Single Brand / Variety Flavors or Form</v>
      </c>
    </row>
    <row r="5850" spans="1:12" x14ac:dyDescent="0.25">
      <c r="A5850" t="s">
        <v>283</v>
      </c>
      <c r="B5850" t="str">
        <f>_xlfn.XLOOKUP($A5850,Load!$B:$B,Load!C:C,0,)</f>
        <v>Sour Punch</v>
      </c>
      <c r="C5850" t="str">
        <f>_xlfn.XLOOKUP($A5850,Load!$B:$B,Load!D:D,0,)</f>
        <v>Non-Chocolate Candy Only</v>
      </c>
      <c r="D5850" t="str">
        <f>_xlfn.XLOOKUP($A5850,Load!$B:$B,Load!E:E,0,)</f>
        <v>Sour</v>
      </c>
      <c r="E5850" t="str">
        <f>_xlfn.XLOOKUP($A5850,Load!$B:$B,Load!F:F,0,)</f>
        <v>Chewy</v>
      </c>
      <c r="F5850" t="str">
        <f>_xlfn.XLOOKUP($A5850,Load!$B:$B,Load!G:G,0,)</f>
        <v>Large Multipack (More than 80 ct)</v>
      </c>
      <c r="G5850" t="str">
        <f>_xlfn.XLOOKUP($A5850,Load!$B:$B,Load!H:H,0,)</f>
        <v>Laydown Bag</v>
      </c>
      <c r="H5850" t="str">
        <f>_xlfn.XLOOKUP($A5850,Load!$B:$B,Load!I:I,0,)</f>
        <v>Seasonal Shapes (like pumpkins, candy corn, ghost, bats, etc.)</v>
      </c>
      <c r="I5850" t="str">
        <f>_xlfn.XLOOKUP($A5850,Load!$B:$B,Load!J:J,0,)</f>
        <v>Seasonal Graphics (Like Bat, Ghost, Pumpkin, Fall Leaves, Eyeballs, etc.)</v>
      </c>
      <c r="J5850" t="str">
        <f>_xlfn.XLOOKUP($A5850,Load!$B:$B,Load!K:K,0,)</f>
        <v>Small Pieces (Tiny bite size candies)</v>
      </c>
      <c r="K5850" t="str">
        <f>_xlfn.XLOOKUP($A5850,Load!$B:$B,Load!L:L,0,)</f>
        <v>Regular/Original Wrapping</v>
      </c>
      <c r="L5850" t="str">
        <f>_xlfn.XLOOKUP($A5850,Load!$B:$B,Load!M:M,0,)</f>
        <v>Single Brand / Variety Flavors or Form</v>
      </c>
    </row>
    <row r="5851" spans="1:12" x14ac:dyDescent="0.25">
      <c r="A5851" t="s">
        <v>285</v>
      </c>
      <c r="B5851" t="str">
        <f>_xlfn.XLOOKUP($A5851,Load!$B:$B,Load!C:C,0,)</f>
        <v>Starburst</v>
      </c>
      <c r="C5851" t="str">
        <f>_xlfn.XLOOKUP($A5851,Load!$B:$B,Load!D:D,0,)</f>
        <v>Non-Chocolate Candy Only</v>
      </c>
      <c r="D5851" t="str">
        <f>_xlfn.XLOOKUP($A5851,Load!$B:$B,Load!E:E,0,)</f>
        <v>Fruit Flavor (Cherry, Grape, Apple, Citrus, Tropical Fruit)</v>
      </c>
      <c r="E5851" t="str">
        <f>_xlfn.XLOOKUP($A5851,Load!$B:$B,Load!F:F,0,)</f>
        <v>Chewy</v>
      </c>
      <c r="F5851" t="str">
        <f>_xlfn.XLOOKUP($A5851,Load!$B:$B,Load!G:G,0,)</f>
        <v>Small Multipack (Less than 40 ct)</v>
      </c>
      <c r="G5851" t="str">
        <f>_xlfn.XLOOKUP($A5851,Load!$B:$B,Load!H:H,0,)</f>
        <v>Laydown Bag</v>
      </c>
      <c r="H5851" t="str">
        <f>_xlfn.XLOOKUP($A5851,Load!$B:$B,Load!I:I,0,)</f>
        <v>Everyday Candy Shapes (like Original, Gummy bear, Fruit, Jewels, etc.)</v>
      </c>
      <c r="I5851" t="str">
        <f>_xlfn.XLOOKUP($A5851,Load!$B:$B,Load!J:J,0,)</f>
        <v>Everyday Graphics</v>
      </c>
      <c r="J5851" t="str">
        <f>_xlfn.XLOOKUP($A5851,Load!$B:$B,Load!K:K,0,)</f>
        <v>Small Pieces (Tiny bite size candies)</v>
      </c>
      <c r="K5851" t="str">
        <f>_xlfn.XLOOKUP($A5851,Load!$B:$B,Load!L:L,0,)</f>
        <v>Regular/Original Wrapping</v>
      </c>
      <c r="L5851" t="str">
        <f>_xlfn.XLOOKUP($A5851,Load!$B:$B,Load!M:M,0,)</f>
        <v>Single Brand / Variety Flavors or Form</v>
      </c>
    </row>
    <row r="5852" spans="1:12" x14ac:dyDescent="0.25">
      <c r="A5852" t="s">
        <v>220</v>
      </c>
      <c r="B5852" t="str">
        <f>_xlfn.XLOOKUP($A5852,Load!$B:$B,Load!C:C,0,)</f>
        <v>Mondelez Variety Pack</v>
      </c>
      <c r="C5852" t="str">
        <f>_xlfn.XLOOKUP($A5852,Load!$B:$B,Load!D:D,0,)</f>
        <v>Non-Chocolate Candy Only</v>
      </c>
      <c r="D5852" t="str">
        <f>_xlfn.XLOOKUP($A5852,Load!$B:$B,Load!E:E,0,)</f>
        <v>Variety / Mixed Flavors (Fruity, Sour, Seasonal Flavors)</v>
      </c>
      <c r="E5852" t="str">
        <f>_xlfn.XLOOKUP($A5852,Load!$B:$B,Load!F:F,0,)</f>
        <v>Chewy</v>
      </c>
      <c r="F5852" t="str">
        <f>_xlfn.XLOOKUP($A5852,Load!$B:$B,Load!G:G,0,)</f>
        <v>Large Multipack (More than 80 ct)</v>
      </c>
      <c r="G5852" t="str">
        <f>_xlfn.XLOOKUP($A5852,Load!$B:$B,Load!H:H,0,)</f>
        <v>Stand-Up Bag</v>
      </c>
      <c r="H5852" t="str">
        <f>_xlfn.XLOOKUP($A5852,Load!$B:$B,Load!I:I,0,)</f>
        <v>Seasonal Shapes (like pumpkins, candy corn, ghost, bats, etc.)</v>
      </c>
      <c r="I5852" t="str">
        <f>_xlfn.XLOOKUP($A5852,Load!$B:$B,Load!J:J,0,)</f>
        <v>Seasonal Graphics (Like Bat, Ghost, Pumpkin, Fall Leaves, Eyeballs, etc.)</v>
      </c>
      <c r="J5852" t="str">
        <f>_xlfn.XLOOKUP($A5852,Load!$B:$B,Load!K:K,0,)</f>
        <v>Small Pieces (Tiny bite size candies)</v>
      </c>
      <c r="K5852" t="str">
        <f>_xlfn.XLOOKUP($A5852,Load!$B:$B,Load!L:L,0,)</f>
        <v>Regular/Original Wrapping</v>
      </c>
      <c r="L5852" t="str">
        <f>_xlfn.XLOOKUP($A5852,Load!$B:$B,Load!M:M,0,)</f>
        <v>Single Brand / Variety Flavors or Form</v>
      </c>
    </row>
    <row r="5853" spans="1:12" x14ac:dyDescent="0.25">
      <c r="B5853">
        <f>_xlfn.XLOOKUP($A5853,Load!$B:$B,Load!C:C,0,)</f>
        <v>0</v>
      </c>
      <c r="C5853">
        <f>_xlfn.XLOOKUP($A5853,Load!$B:$B,Load!D:D,0,)</f>
        <v>0</v>
      </c>
      <c r="D5853">
        <f>_xlfn.XLOOKUP($A5853,Load!$B:$B,Load!E:E,0,)</f>
        <v>0</v>
      </c>
      <c r="E5853">
        <f>_xlfn.XLOOKUP($A5853,Load!$B:$B,Load!F:F,0,)</f>
        <v>0</v>
      </c>
      <c r="F5853">
        <f>_xlfn.XLOOKUP($A5853,Load!$B:$B,Load!G:G,0,)</f>
        <v>0</v>
      </c>
      <c r="G5853">
        <f>_xlfn.XLOOKUP($A5853,Load!$B:$B,Load!H:H,0,)</f>
        <v>0</v>
      </c>
      <c r="H5853">
        <f>_xlfn.XLOOKUP($A5853,Load!$B:$B,Load!I:I,0,)</f>
        <v>0</v>
      </c>
      <c r="I5853">
        <f>_xlfn.XLOOKUP($A5853,Load!$B:$B,Load!J:J,0,)</f>
        <v>0</v>
      </c>
      <c r="J5853">
        <f>_xlfn.XLOOKUP($A5853,Load!$B:$B,Load!K:K,0,)</f>
        <v>0</v>
      </c>
      <c r="K5853">
        <f>_xlfn.XLOOKUP($A5853,Load!$B:$B,Load!L:L,0,)</f>
        <v>0</v>
      </c>
      <c r="L5853">
        <f>_xlfn.XLOOKUP($A5853,Load!$B:$B,Load!M:M,0,)</f>
        <v>0</v>
      </c>
    </row>
    <row r="5854" spans="1:12" x14ac:dyDescent="0.25">
      <c r="A5854" t="s">
        <v>157</v>
      </c>
      <c r="B5854" t="str">
        <f>_xlfn.XLOOKUP($A5854,Load!$B:$B,Load!C:C,0,)</f>
        <v>Jolly Rancher</v>
      </c>
      <c r="C5854" t="str">
        <f>_xlfn.XLOOKUP($A5854,Load!$B:$B,Load!D:D,0,)</f>
        <v>Non-Chocolate Candy Only</v>
      </c>
      <c r="D5854" t="str">
        <f>_xlfn.XLOOKUP($A5854,Load!$B:$B,Load!E:E,0,)</f>
        <v>Fruit Flavor (Cherry, Grape, Apple, Citrus, Tropical Fruit)</v>
      </c>
      <c r="E5854" t="str">
        <f>_xlfn.XLOOKUP($A5854,Load!$B:$B,Load!F:F,0,)</f>
        <v>Hard Candy</v>
      </c>
      <c r="F5854" t="str">
        <f>_xlfn.XLOOKUP($A5854,Load!$B:$B,Load!G:G,0,)</f>
        <v>Single Pack</v>
      </c>
      <c r="G5854" t="str">
        <f>_xlfn.XLOOKUP($A5854,Load!$B:$B,Load!H:H,0,)</f>
        <v>Laydown Bag</v>
      </c>
      <c r="H5854" t="str">
        <f>_xlfn.XLOOKUP($A5854,Load!$B:$B,Load!I:I,0,)</f>
        <v>Everyday Candy Shapes (like Original, Gummy bear, Fruit, Jewels, etc.)</v>
      </c>
      <c r="I5854" t="str">
        <f>_xlfn.XLOOKUP($A5854,Load!$B:$B,Load!J:J,0,)</f>
        <v>Everyday Graphics</v>
      </c>
      <c r="J5854" t="str">
        <f>_xlfn.XLOOKUP($A5854,Load!$B:$B,Load!K:K,0,)</f>
        <v>Small Pieces (Tiny bite size candies)</v>
      </c>
      <c r="K5854" t="str">
        <f>_xlfn.XLOOKUP($A5854,Load!$B:$B,Load!L:L,0,)</f>
        <v>Regular/Original Wrapping</v>
      </c>
      <c r="L5854" t="str">
        <f>_xlfn.XLOOKUP($A5854,Load!$B:$B,Load!M:M,0,)</f>
        <v>Single Brand / Variety Flavors or Form</v>
      </c>
    </row>
    <row r="5855" spans="1:12" x14ac:dyDescent="0.25">
      <c r="B5855">
        <f>_xlfn.XLOOKUP($A5855,Load!$B:$B,Load!C:C,0,)</f>
        <v>0</v>
      </c>
      <c r="C5855">
        <f>_xlfn.XLOOKUP($A5855,Load!$B:$B,Load!D:D,0,)</f>
        <v>0</v>
      </c>
      <c r="D5855">
        <f>_xlfn.XLOOKUP($A5855,Load!$B:$B,Load!E:E,0,)</f>
        <v>0</v>
      </c>
      <c r="E5855">
        <f>_xlfn.XLOOKUP($A5855,Load!$B:$B,Load!F:F,0,)</f>
        <v>0</v>
      </c>
      <c r="F5855">
        <f>_xlfn.XLOOKUP($A5855,Load!$B:$B,Load!G:G,0,)</f>
        <v>0</v>
      </c>
      <c r="G5855">
        <f>_xlfn.XLOOKUP($A5855,Load!$B:$B,Load!H:H,0,)</f>
        <v>0</v>
      </c>
      <c r="H5855">
        <f>_xlfn.XLOOKUP($A5855,Load!$B:$B,Load!I:I,0,)</f>
        <v>0</v>
      </c>
      <c r="I5855">
        <f>_xlfn.XLOOKUP($A5855,Load!$B:$B,Load!J:J,0,)</f>
        <v>0</v>
      </c>
      <c r="J5855">
        <f>_xlfn.XLOOKUP($A5855,Load!$B:$B,Load!K:K,0,)</f>
        <v>0</v>
      </c>
      <c r="K5855">
        <f>_xlfn.XLOOKUP($A5855,Load!$B:$B,Load!L:L,0,)</f>
        <v>0</v>
      </c>
      <c r="L5855">
        <f>_xlfn.XLOOKUP($A5855,Load!$B:$B,Load!M:M,0,)</f>
        <v>0</v>
      </c>
    </row>
    <row r="5856" spans="1:12" x14ac:dyDescent="0.25">
      <c r="A5856" t="s">
        <v>466</v>
      </c>
      <c r="B5856" t="str">
        <f>_xlfn.XLOOKUP($A5856,Load!$B:$B,Load!C:C,0,)</f>
        <v>Pez</v>
      </c>
      <c r="C5856" t="str">
        <f>_xlfn.XLOOKUP($A5856,Load!$B:$B,Load!D:D,0,)</f>
        <v>Non-Chocolate Candy Only</v>
      </c>
      <c r="D5856" t="str">
        <f>_xlfn.XLOOKUP($A5856,Load!$B:$B,Load!E:E,0,)</f>
        <v>Fruit Flavor (Cherry, Grape, Apple, Citrus, Tropical Fruit)</v>
      </c>
      <c r="E5856" t="str">
        <f>_xlfn.XLOOKUP($A5856,Load!$B:$B,Load!F:F,0,)</f>
        <v>Hard Candy</v>
      </c>
      <c r="F5856" t="str">
        <f>_xlfn.XLOOKUP($A5856,Load!$B:$B,Load!G:G,0,)</f>
        <v>Single Pack</v>
      </c>
      <c r="G5856" t="str">
        <f>_xlfn.XLOOKUP($A5856,Load!$B:$B,Load!H:H,0,)</f>
        <v>Peg Bag</v>
      </c>
      <c r="H5856" t="str">
        <f>_xlfn.XLOOKUP($A5856,Load!$B:$B,Load!I:I,0,)</f>
        <v>Everyday Candy Shapes (like Original, Gummy bear, Fruit, Jewels, etc.)</v>
      </c>
      <c r="I5856" t="str">
        <f>_xlfn.XLOOKUP($A5856,Load!$B:$B,Load!J:J,0,)</f>
        <v>Seasonal Graphics (Like Bat, Ghost, Pumpkin, Fall Leaves, Eyeballs, etc.)</v>
      </c>
      <c r="J5856" t="str">
        <f>_xlfn.XLOOKUP($A5856,Load!$B:$B,Load!K:K,0,)</f>
        <v>Small Pieces (Tiny bite size candies)</v>
      </c>
      <c r="K5856" t="str">
        <f>_xlfn.XLOOKUP($A5856,Load!$B:$B,Load!L:L,0,)</f>
        <v>Regular/Original Wrapping</v>
      </c>
      <c r="L5856" t="str">
        <f>_xlfn.XLOOKUP($A5856,Load!$B:$B,Load!M:M,0,)</f>
        <v>Single Brand / Variety Flavors or Form</v>
      </c>
    </row>
    <row r="5857" spans="1:12" x14ac:dyDescent="0.25">
      <c r="A5857" t="s">
        <v>278</v>
      </c>
      <c r="B5857" t="str">
        <f>_xlfn.XLOOKUP($A5857,Load!$B:$B,Load!C:C,0,)</f>
        <v>Sour Patch Kids</v>
      </c>
      <c r="C5857" t="str">
        <f>_xlfn.XLOOKUP($A5857,Load!$B:$B,Load!D:D,0,)</f>
        <v>Non-Chocolate Candy Only</v>
      </c>
      <c r="D5857" t="str">
        <f>_xlfn.XLOOKUP($A5857,Load!$B:$B,Load!E:E,0,)</f>
        <v>Sour</v>
      </c>
      <c r="E5857" t="str">
        <f>_xlfn.XLOOKUP($A5857,Load!$B:$B,Load!F:F,0,)</f>
        <v>Chewy</v>
      </c>
      <c r="F5857" t="str">
        <f>_xlfn.XLOOKUP($A5857,Load!$B:$B,Load!G:G,0,)</f>
        <v>Single Pack</v>
      </c>
      <c r="G5857" t="str">
        <f>_xlfn.XLOOKUP($A5857,Load!$B:$B,Load!H:H,0,)</f>
        <v>Peg Bag</v>
      </c>
      <c r="H5857" t="str">
        <f>_xlfn.XLOOKUP($A5857,Load!$B:$B,Load!I:I,0,)</f>
        <v>Everyday Candy Shapes (like Original, Gummy bear, Fruit, Jewels, etc.)</v>
      </c>
      <c r="I5857" t="str">
        <f>_xlfn.XLOOKUP($A5857,Load!$B:$B,Load!J:J,0,)</f>
        <v>Seasonal Graphics (Like Bat, Ghost, Pumpkin, Fall Leaves, Eyeballs, etc.)</v>
      </c>
      <c r="J5857" t="str">
        <f>_xlfn.XLOOKUP($A5857,Load!$B:$B,Load!K:K,0,)</f>
        <v>Small Pieces (Tiny bite size candies)</v>
      </c>
      <c r="K5857" t="str">
        <f>_xlfn.XLOOKUP($A5857,Load!$B:$B,Load!L:L,0,)</f>
        <v>Regular/Original Wrapping</v>
      </c>
      <c r="L5857" t="str">
        <f>_xlfn.XLOOKUP($A5857,Load!$B:$B,Load!M:M,0,)</f>
        <v>Single Brand / Variety Flavors or Form</v>
      </c>
    </row>
    <row r="5858" spans="1:12" x14ac:dyDescent="0.25">
      <c r="A5858" t="s">
        <v>463</v>
      </c>
      <c r="B5858" t="str">
        <f>_xlfn.XLOOKUP($A5858,Load!$B:$B,Load!C:C,0,)</f>
        <v>Mars Variety Pack</v>
      </c>
      <c r="C5858" t="str">
        <f>_xlfn.XLOOKUP($A5858,Load!$B:$B,Load!D:D,0,)</f>
        <v>Mix of Chocolate and Non-Chocolate Candy</v>
      </c>
      <c r="D5858" t="str">
        <f>_xlfn.XLOOKUP($A5858,Load!$B:$B,Load!E:E,0,)</f>
        <v>Variety / Mixed Flavors (Fruity, Sour, Seasonal Flavors)</v>
      </c>
      <c r="E5858" t="str">
        <f>_xlfn.XLOOKUP($A5858,Load!$B:$B,Load!F:F,0,)</f>
        <v>Mixed / Combo Packs (Gummy, Chewy, Taffy, etc.)</v>
      </c>
      <c r="F5858" t="str">
        <f>_xlfn.XLOOKUP($A5858,Load!$B:$B,Load!G:G,0,)</f>
        <v>Medium Multipack (40–80 ct)</v>
      </c>
      <c r="G5858" t="str">
        <f>_xlfn.XLOOKUP($A5858,Load!$B:$B,Load!H:H,0,)</f>
        <v>Stand-Up Bag</v>
      </c>
      <c r="H5858" t="str">
        <f>_xlfn.XLOOKUP($A5858,Load!$B:$B,Load!I:I,0,)</f>
        <v>Everyday Candy Shapes (like Original, Gummy bear, Fruit, Jewels, etc.)</v>
      </c>
      <c r="I5858" t="str">
        <f>_xlfn.XLOOKUP($A5858,Load!$B:$B,Load!J:J,0,)</f>
        <v>Seasonal Graphics (Like Bat, Ghost, Pumpkin, Fall Leaves, Eyeballs, etc.)</v>
      </c>
      <c r="J5858" t="str">
        <f>_xlfn.XLOOKUP($A5858,Load!$B:$B,Load!K:K,0,)</f>
        <v>Fun Size / Treat Size</v>
      </c>
      <c r="K5858" t="str">
        <f>_xlfn.XLOOKUP($A5858,Load!$B:$B,Load!L:L,0,)</f>
        <v>Regular/Original Wrapping</v>
      </c>
      <c r="L5858" t="str">
        <f>_xlfn.XLOOKUP($A5858,Load!$B:$B,Load!M:M,0,)</f>
        <v>Multiple Brands / Variety Flavors or Form</v>
      </c>
    </row>
    <row r="5859" spans="1:12" x14ac:dyDescent="0.25">
      <c r="A5859" t="s">
        <v>326</v>
      </c>
      <c r="B5859" t="str">
        <f>_xlfn.XLOOKUP($A5859,Load!$B:$B,Load!C:C,0,)</f>
        <v>Mondelez Variety Pack</v>
      </c>
      <c r="C5859" t="str">
        <f>_xlfn.XLOOKUP($A5859,Load!$B:$B,Load!D:D,0,)</f>
        <v>Mix of Chocolate and Non-Chocolate Candy</v>
      </c>
      <c r="D5859" t="str">
        <f>_xlfn.XLOOKUP($A5859,Load!$B:$B,Load!E:E,0,)</f>
        <v>Variety / Mixed Flavors (Fruity, Sour, Seasonal Flavors)</v>
      </c>
      <c r="E5859" t="str">
        <f>_xlfn.XLOOKUP($A5859,Load!$B:$B,Load!F:F,0,)</f>
        <v>Mixed / Combo Packs (Gummy, Chewy, Taffy, etc.)</v>
      </c>
      <c r="F5859" t="str">
        <f>_xlfn.XLOOKUP($A5859,Load!$B:$B,Load!G:G,0,)</f>
        <v>Medium Multipack (40–80 ct)</v>
      </c>
      <c r="G5859" t="str">
        <f>_xlfn.XLOOKUP($A5859,Load!$B:$B,Load!H:H,0,)</f>
        <v>Stand-Up Bag</v>
      </c>
      <c r="H5859" t="str">
        <f>_xlfn.XLOOKUP($A5859,Load!$B:$B,Load!I:I,0,)</f>
        <v>Everyday Candy Shapes (like Original, Gummy bear, Fruit, Jewels, etc.)</v>
      </c>
      <c r="I5859" t="str">
        <f>_xlfn.XLOOKUP($A5859,Load!$B:$B,Load!J:J,0,)</f>
        <v>Seasonal Graphics (Like Bat, Ghost, Pumpkin, Fall Leaves, Eyeballs, etc.)</v>
      </c>
      <c r="J5859" t="str">
        <f>_xlfn.XLOOKUP($A5859,Load!$B:$B,Load!K:K,0,)</f>
        <v xml:space="preserve">Variety Candy Sizes </v>
      </c>
      <c r="K5859" t="str">
        <f>_xlfn.XLOOKUP($A5859,Load!$B:$B,Load!L:L,0,)</f>
        <v>Regular/Original Wrapping</v>
      </c>
      <c r="L5859" t="str">
        <f>_xlfn.XLOOKUP($A5859,Load!$B:$B,Load!M:M,0,)</f>
        <v>Multiple Brands / Variety Flavors or Form</v>
      </c>
    </row>
    <row r="5860" spans="1:12" x14ac:dyDescent="0.25">
      <c r="A5860" t="s">
        <v>319</v>
      </c>
      <c r="B5860" t="str">
        <f>_xlfn.XLOOKUP($A5860,Load!$B:$B,Load!C:C,0,)</f>
        <v>YumEarth</v>
      </c>
      <c r="C5860" t="str">
        <f>_xlfn.XLOOKUP($A5860,Load!$B:$B,Load!D:D,0,)</f>
        <v>Non-Chocolate Candy Only</v>
      </c>
      <c r="D5860" t="str">
        <f>_xlfn.XLOOKUP($A5860,Load!$B:$B,Load!E:E,0,)</f>
        <v>Fruit Flavor (Cherry, Grape, Apple, Citrus, Tropical Fruit)</v>
      </c>
      <c r="E5860" t="str">
        <f>_xlfn.XLOOKUP($A5860,Load!$B:$B,Load!F:F,0,)</f>
        <v>Gummy</v>
      </c>
      <c r="F5860" t="str">
        <f>_xlfn.XLOOKUP($A5860,Load!$B:$B,Load!G:G,0,)</f>
        <v>Small Multipack (Less than 40 ct)</v>
      </c>
      <c r="G5860" t="str">
        <f>_xlfn.XLOOKUP($A5860,Load!$B:$B,Load!H:H,0,)</f>
        <v>Laydown Bag</v>
      </c>
      <c r="H5860" t="str">
        <f>_xlfn.XLOOKUP($A5860,Load!$B:$B,Load!I:I,0,)</f>
        <v>Seasonal Shapes (like pumpkins, candy corn, ghost, bats, etc.)</v>
      </c>
      <c r="I5860" t="str">
        <f>_xlfn.XLOOKUP($A5860,Load!$B:$B,Load!J:J,0,)</f>
        <v>Seasonal Graphics (Like Bat, Ghost, Pumpkin, Fall Leaves, Eyeballs, etc.)</v>
      </c>
      <c r="J5860" t="str">
        <f>_xlfn.XLOOKUP($A5860,Load!$B:$B,Load!K:K,0,)</f>
        <v>Small Pieces (Tiny bite size candies)</v>
      </c>
      <c r="K5860" t="str">
        <f>_xlfn.XLOOKUP($A5860,Load!$B:$B,Load!L:L,0,)</f>
        <v>Regular/Original Wrapping</v>
      </c>
      <c r="L5860" t="str">
        <f>_xlfn.XLOOKUP($A5860,Load!$B:$B,Load!M:M,0,)</f>
        <v>Single Brand / Variety Flavors or Form</v>
      </c>
    </row>
    <row r="5861" spans="1:12" x14ac:dyDescent="0.25">
      <c r="A5861" t="s">
        <v>223</v>
      </c>
      <c r="B5861" t="str">
        <f>_xlfn.XLOOKUP($A5861,Load!$B:$B,Load!C:C,0,)</f>
        <v>Nerds</v>
      </c>
      <c r="C5861" t="str">
        <f>_xlfn.XLOOKUP($A5861,Load!$B:$B,Load!D:D,0,)</f>
        <v>Non-Chocolate Candy Only</v>
      </c>
      <c r="D5861" t="str">
        <f>_xlfn.XLOOKUP($A5861,Load!$B:$B,Load!E:E,0,)</f>
        <v>Sweet</v>
      </c>
      <c r="E5861" t="str">
        <f>_xlfn.XLOOKUP($A5861,Load!$B:$B,Load!F:F,0,)</f>
        <v>Gummy</v>
      </c>
      <c r="F5861" t="str">
        <f>_xlfn.XLOOKUP($A5861,Load!$B:$B,Load!G:G,0,)</f>
        <v>Small Multipack (Less than 40 ct)</v>
      </c>
      <c r="G5861" t="str">
        <f>_xlfn.XLOOKUP($A5861,Load!$B:$B,Load!H:H,0,)</f>
        <v>Laydown Bag</v>
      </c>
      <c r="H5861" t="str">
        <f>_xlfn.XLOOKUP($A5861,Load!$B:$B,Load!I:I,0,)</f>
        <v>Everyday Candy Shapes (like Original, Gummy bear, Fruit, Jewels, etc.)</v>
      </c>
      <c r="I5861" t="str">
        <f>_xlfn.XLOOKUP($A5861,Load!$B:$B,Load!J:J,0,)</f>
        <v>Seasonal Graphics (Like Bat, Ghost, Pumpkin, Fall Leaves, Eyeballs, etc.)</v>
      </c>
      <c r="J5861" t="str">
        <f>_xlfn.XLOOKUP($A5861,Load!$B:$B,Load!K:K,0,)</f>
        <v>Small Pieces (Tiny bite size candies)</v>
      </c>
      <c r="K5861" t="str">
        <f>_xlfn.XLOOKUP($A5861,Load!$B:$B,Load!L:L,0,)</f>
        <v>Regular/Original Wrapping</v>
      </c>
      <c r="L5861" t="str">
        <f>_xlfn.XLOOKUP($A5861,Load!$B:$B,Load!M:M,0,)</f>
        <v>Single Brand / Variety Flavors or Form</v>
      </c>
    </row>
    <row r="5862" spans="1:12" x14ac:dyDescent="0.25">
      <c r="A5862" t="s">
        <v>283</v>
      </c>
      <c r="B5862" t="str">
        <f>_xlfn.XLOOKUP($A5862,Load!$B:$B,Load!C:C,0,)</f>
        <v>Sour Punch</v>
      </c>
      <c r="C5862" t="str">
        <f>_xlfn.XLOOKUP($A5862,Load!$B:$B,Load!D:D,0,)</f>
        <v>Non-Chocolate Candy Only</v>
      </c>
      <c r="D5862" t="str">
        <f>_xlfn.XLOOKUP($A5862,Load!$B:$B,Load!E:E,0,)</f>
        <v>Sour</v>
      </c>
      <c r="E5862" t="str">
        <f>_xlfn.XLOOKUP($A5862,Load!$B:$B,Load!F:F,0,)</f>
        <v>Chewy</v>
      </c>
      <c r="F5862" t="str">
        <f>_xlfn.XLOOKUP($A5862,Load!$B:$B,Load!G:G,0,)</f>
        <v>Large Multipack (More than 80 ct)</v>
      </c>
      <c r="G5862" t="str">
        <f>_xlfn.XLOOKUP($A5862,Load!$B:$B,Load!H:H,0,)</f>
        <v>Laydown Bag</v>
      </c>
      <c r="H5862" t="str">
        <f>_xlfn.XLOOKUP($A5862,Load!$B:$B,Load!I:I,0,)</f>
        <v>Seasonal Shapes (like pumpkins, candy corn, ghost, bats, etc.)</v>
      </c>
      <c r="I5862" t="str">
        <f>_xlfn.XLOOKUP($A5862,Load!$B:$B,Load!J:J,0,)</f>
        <v>Seasonal Graphics (Like Bat, Ghost, Pumpkin, Fall Leaves, Eyeballs, etc.)</v>
      </c>
      <c r="J5862" t="str">
        <f>_xlfn.XLOOKUP($A5862,Load!$B:$B,Load!K:K,0,)</f>
        <v>Small Pieces (Tiny bite size candies)</v>
      </c>
      <c r="K5862" t="str">
        <f>_xlfn.XLOOKUP($A5862,Load!$B:$B,Load!L:L,0,)</f>
        <v>Regular/Original Wrapping</v>
      </c>
      <c r="L5862" t="str">
        <f>_xlfn.XLOOKUP($A5862,Load!$B:$B,Load!M:M,0,)</f>
        <v>Single Brand / Variety Flavors or Form</v>
      </c>
    </row>
    <row r="5863" spans="1:12" x14ac:dyDescent="0.25">
      <c r="B5863">
        <f>_xlfn.XLOOKUP($A5863,Load!$B:$B,Load!C:C,0,)</f>
        <v>0</v>
      </c>
      <c r="C5863">
        <f>_xlfn.XLOOKUP($A5863,Load!$B:$B,Load!D:D,0,)</f>
        <v>0</v>
      </c>
      <c r="D5863">
        <f>_xlfn.XLOOKUP($A5863,Load!$B:$B,Load!E:E,0,)</f>
        <v>0</v>
      </c>
      <c r="E5863">
        <f>_xlfn.XLOOKUP($A5863,Load!$B:$B,Load!F:F,0,)</f>
        <v>0</v>
      </c>
      <c r="F5863">
        <f>_xlfn.XLOOKUP($A5863,Load!$B:$B,Load!G:G,0,)</f>
        <v>0</v>
      </c>
      <c r="G5863">
        <f>_xlfn.XLOOKUP($A5863,Load!$B:$B,Load!H:H,0,)</f>
        <v>0</v>
      </c>
      <c r="H5863">
        <f>_xlfn.XLOOKUP($A5863,Load!$B:$B,Load!I:I,0,)</f>
        <v>0</v>
      </c>
      <c r="I5863">
        <f>_xlfn.XLOOKUP($A5863,Load!$B:$B,Load!J:J,0,)</f>
        <v>0</v>
      </c>
      <c r="J5863">
        <f>_xlfn.XLOOKUP($A5863,Load!$B:$B,Load!K:K,0,)</f>
        <v>0</v>
      </c>
      <c r="K5863">
        <f>_xlfn.XLOOKUP($A5863,Load!$B:$B,Load!L:L,0,)</f>
        <v>0</v>
      </c>
      <c r="L5863">
        <f>_xlfn.XLOOKUP($A5863,Load!$B:$B,Load!M:M,0,)</f>
        <v>0</v>
      </c>
    </row>
    <row r="5864" spans="1:12" x14ac:dyDescent="0.25">
      <c r="A5864" t="s">
        <v>134</v>
      </c>
      <c r="B5864" t="str">
        <f>_xlfn.XLOOKUP($A5864,Load!$B:$B,Load!C:C,0,)</f>
        <v>Hershey's Variety Pack</v>
      </c>
      <c r="C5864" t="str">
        <f>_xlfn.XLOOKUP($A5864,Load!$B:$B,Load!D:D,0,)</f>
        <v>Non-Chocolate Candy Only</v>
      </c>
      <c r="D5864" t="str">
        <f>_xlfn.XLOOKUP($A5864,Load!$B:$B,Load!E:E,0,)</f>
        <v>Variety / Mixed Flavors (Fruity, Sour, Seasonal Flavors)</v>
      </c>
      <c r="E5864" t="str">
        <f>_xlfn.XLOOKUP($A5864,Load!$B:$B,Load!F:F,0,)</f>
        <v>Mixed / Combo Packs (Gummy, Chewy, Taffy, etc.)</v>
      </c>
      <c r="F5864" t="str">
        <f>_xlfn.XLOOKUP($A5864,Load!$B:$B,Load!G:G,0,)</f>
        <v>Large Multipack (More than 80 ct)</v>
      </c>
      <c r="G5864" t="str">
        <f>_xlfn.XLOOKUP($A5864,Load!$B:$B,Load!H:H,0,)</f>
        <v>Stand-Up Bag</v>
      </c>
      <c r="H5864" t="str">
        <f>_xlfn.XLOOKUP($A5864,Load!$B:$B,Load!I:I,0,)</f>
        <v>Everyday Candy Shapes (like Original, Gummy bear, Fruit, Jewels, etc.)</v>
      </c>
      <c r="I5864" t="str">
        <f>_xlfn.XLOOKUP($A5864,Load!$B:$B,Load!J:J,0,)</f>
        <v>Seasonal Graphics (Like Bat, Ghost, Pumpkin, Fall Leaves, Eyeballs, etc.)</v>
      </c>
      <c r="J5864" t="str">
        <f>_xlfn.XLOOKUP($A5864,Load!$B:$B,Load!K:K,0,)</f>
        <v xml:space="preserve">Variety Candy Sizes </v>
      </c>
      <c r="K5864" t="str">
        <f>_xlfn.XLOOKUP($A5864,Load!$B:$B,Load!L:L,0,)</f>
        <v>Regular/Original Wrapping</v>
      </c>
      <c r="L5864" t="str">
        <f>_xlfn.XLOOKUP($A5864,Load!$B:$B,Load!M:M,0,)</f>
        <v>Multiple Brands / Variety Flavors or Form</v>
      </c>
    </row>
    <row r="5865" spans="1:12" x14ac:dyDescent="0.25">
      <c r="B5865">
        <f>_xlfn.XLOOKUP($A5865,Load!$B:$B,Load!C:C,0,)</f>
        <v>0</v>
      </c>
      <c r="C5865">
        <f>_xlfn.XLOOKUP($A5865,Load!$B:$B,Load!D:D,0,)</f>
        <v>0</v>
      </c>
      <c r="D5865">
        <f>_xlfn.XLOOKUP($A5865,Load!$B:$B,Load!E:E,0,)</f>
        <v>0</v>
      </c>
      <c r="E5865">
        <f>_xlfn.XLOOKUP($A5865,Load!$B:$B,Load!F:F,0,)</f>
        <v>0</v>
      </c>
      <c r="F5865">
        <f>_xlfn.XLOOKUP($A5865,Load!$B:$B,Load!G:G,0,)</f>
        <v>0</v>
      </c>
      <c r="G5865">
        <f>_xlfn.XLOOKUP($A5865,Load!$B:$B,Load!H:H,0,)</f>
        <v>0</v>
      </c>
      <c r="H5865">
        <f>_xlfn.XLOOKUP($A5865,Load!$B:$B,Load!I:I,0,)</f>
        <v>0</v>
      </c>
      <c r="I5865">
        <f>_xlfn.XLOOKUP($A5865,Load!$B:$B,Load!J:J,0,)</f>
        <v>0</v>
      </c>
      <c r="J5865">
        <f>_xlfn.XLOOKUP($A5865,Load!$B:$B,Load!K:K,0,)</f>
        <v>0</v>
      </c>
      <c r="K5865">
        <f>_xlfn.XLOOKUP($A5865,Load!$B:$B,Load!L:L,0,)</f>
        <v>0</v>
      </c>
      <c r="L5865">
        <f>_xlfn.XLOOKUP($A5865,Load!$B:$B,Load!M:M,0,)</f>
        <v>0</v>
      </c>
    </row>
    <row r="5866" spans="1:12" x14ac:dyDescent="0.25">
      <c r="A5866" t="s">
        <v>138</v>
      </c>
      <c r="B5866" t="str">
        <f>_xlfn.XLOOKUP($A5866,Load!$B:$B,Load!C:C,0,)</f>
        <v>Hershey's Variety Pack + Haribo</v>
      </c>
      <c r="C5866" t="str">
        <f>_xlfn.XLOOKUP($A5866,Load!$B:$B,Load!D:D,0,)</f>
        <v>Non-Chocolate Candy Only</v>
      </c>
      <c r="D5866" t="str">
        <f>_xlfn.XLOOKUP($A5866,Load!$B:$B,Load!E:E,0,)</f>
        <v>Variety / Mixed Flavors (Fruity, Sour, Seasonal Flavors)</v>
      </c>
      <c r="E5866" t="str">
        <f>_xlfn.XLOOKUP($A5866,Load!$B:$B,Load!F:F,0,)</f>
        <v>Mixed / Combo Packs (Gummy, Chewy, Taffy, etc.)</v>
      </c>
      <c r="F5866" t="str">
        <f>_xlfn.XLOOKUP($A5866,Load!$B:$B,Load!G:G,0,)</f>
        <v>Medium Multipack (40–80 ct)</v>
      </c>
      <c r="G5866" t="str">
        <f>_xlfn.XLOOKUP($A5866,Load!$B:$B,Load!H:H,0,)</f>
        <v>Laydown Bag</v>
      </c>
      <c r="H5866" t="str">
        <f>_xlfn.XLOOKUP($A5866,Load!$B:$B,Load!I:I,0,)</f>
        <v>Everyday Candy Shapes (like Original, Gummy bear, Fruit, Jewels, etc.)</v>
      </c>
      <c r="I5866" t="str">
        <f>_xlfn.XLOOKUP($A5866,Load!$B:$B,Load!J:J,0,)</f>
        <v>Seasonal Graphics (Like Bat, Ghost, Pumpkin, Fall Leaves, Eyeballs, etc.)</v>
      </c>
      <c r="J5866" t="str">
        <f>_xlfn.XLOOKUP($A5866,Load!$B:$B,Load!K:K,0,)</f>
        <v>Fun Size / Treat Size</v>
      </c>
      <c r="K5866" t="str">
        <f>_xlfn.XLOOKUP($A5866,Load!$B:$B,Load!L:L,0,)</f>
        <v>Regular/Original Wrapping</v>
      </c>
      <c r="L5866" t="str">
        <f>_xlfn.XLOOKUP($A5866,Load!$B:$B,Load!M:M,0,)</f>
        <v>Multiple Brands / Variety Flavors or Form</v>
      </c>
    </row>
    <row r="5867" spans="1:12" x14ac:dyDescent="0.25">
      <c r="B5867">
        <f>_xlfn.XLOOKUP($A5867,Load!$B:$B,Load!C:C,0,)</f>
        <v>0</v>
      </c>
      <c r="C5867">
        <f>_xlfn.XLOOKUP($A5867,Load!$B:$B,Load!D:D,0,)</f>
        <v>0</v>
      </c>
      <c r="D5867">
        <f>_xlfn.XLOOKUP($A5867,Load!$B:$B,Load!E:E,0,)</f>
        <v>0</v>
      </c>
      <c r="E5867">
        <f>_xlfn.XLOOKUP($A5867,Load!$B:$B,Load!F:F,0,)</f>
        <v>0</v>
      </c>
      <c r="F5867">
        <f>_xlfn.XLOOKUP($A5867,Load!$B:$B,Load!G:G,0,)</f>
        <v>0</v>
      </c>
      <c r="G5867">
        <f>_xlfn.XLOOKUP($A5867,Load!$B:$B,Load!H:H,0,)</f>
        <v>0</v>
      </c>
      <c r="H5867">
        <f>_xlfn.XLOOKUP($A5867,Load!$B:$B,Load!I:I,0,)</f>
        <v>0</v>
      </c>
      <c r="I5867">
        <f>_xlfn.XLOOKUP($A5867,Load!$B:$B,Load!J:J,0,)</f>
        <v>0</v>
      </c>
      <c r="J5867">
        <f>_xlfn.XLOOKUP($A5867,Load!$B:$B,Load!K:K,0,)</f>
        <v>0</v>
      </c>
      <c r="K5867">
        <f>_xlfn.XLOOKUP($A5867,Load!$B:$B,Load!L:L,0,)</f>
        <v>0</v>
      </c>
      <c r="L5867">
        <f>_xlfn.XLOOKUP($A5867,Load!$B:$B,Load!M:M,0,)</f>
        <v>0</v>
      </c>
    </row>
    <row r="5868" spans="1:12" x14ac:dyDescent="0.25">
      <c r="B5868">
        <f>_xlfn.XLOOKUP($A5868,Load!$B:$B,Load!C:C,0,)</f>
        <v>0</v>
      </c>
      <c r="C5868">
        <f>_xlfn.XLOOKUP($A5868,Load!$B:$B,Load!D:D,0,)</f>
        <v>0</v>
      </c>
      <c r="D5868">
        <f>_xlfn.XLOOKUP($A5868,Load!$B:$B,Load!E:E,0,)</f>
        <v>0</v>
      </c>
      <c r="E5868">
        <f>_xlfn.XLOOKUP($A5868,Load!$B:$B,Load!F:F,0,)</f>
        <v>0</v>
      </c>
      <c r="F5868">
        <f>_xlfn.XLOOKUP($A5868,Load!$B:$B,Load!G:G,0,)</f>
        <v>0</v>
      </c>
      <c r="G5868">
        <f>_xlfn.XLOOKUP($A5868,Load!$B:$B,Load!H:H,0,)</f>
        <v>0</v>
      </c>
      <c r="H5868">
        <f>_xlfn.XLOOKUP($A5868,Load!$B:$B,Load!I:I,0,)</f>
        <v>0</v>
      </c>
      <c r="I5868">
        <f>_xlfn.XLOOKUP($A5868,Load!$B:$B,Load!J:J,0,)</f>
        <v>0</v>
      </c>
      <c r="J5868">
        <f>_xlfn.XLOOKUP($A5868,Load!$B:$B,Load!K:K,0,)</f>
        <v>0</v>
      </c>
      <c r="K5868">
        <f>_xlfn.XLOOKUP($A5868,Load!$B:$B,Load!L:L,0,)</f>
        <v>0</v>
      </c>
      <c r="L5868">
        <f>_xlfn.XLOOKUP($A5868,Load!$B:$B,Load!M:M,0,)</f>
        <v>0</v>
      </c>
    </row>
    <row r="5869" spans="1:12" x14ac:dyDescent="0.25">
      <c r="B5869">
        <f>_xlfn.XLOOKUP($A5869,Load!$B:$B,Load!C:C,0,)</f>
        <v>0</v>
      </c>
      <c r="C5869">
        <f>_xlfn.XLOOKUP($A5869,Load!$B:$B,Load!D:D,0,)</f>
        <v>0</v>
      </c>
      <c r="D5869">
        <f>_xlfn.XLOOKUP($A5869,Load!$B:$B,Load!E:E,0,)</f>
        <v>0</v>
      </c>
      <c r="E5869">
        <f>_xlfn.XLOOKUP($A5869,Load!$B:$B,Load!F:F,0,)</f>
        <v>0</v>
      </c>
      <c r="F5869">
        <f>_xlfn.XLOOKUP($A5869,Load!$B:$B,Load!G:G,0,)</f>
        <v>0</v>
      </c>
      <c r="G5869">
        <f>_xlfn.XLOOKUP($A5869,Load!$B:$B,Load!H:H,0,)</f>
        <v>0</v>
      </c>
      <c r="H5869">
        <f>_xlfn.XLOOKUP($A5869,Load!$B:$B,Load!I:I,0,)</f>
        <v>0</v>
      </c>
      <c r="I5869">
        <f>_xlfn.XLOOKUP($A5869,Load!$B:$B,Load!J:J,0,)</f>
        <v>0</v>
      </c>
      <c r="J5869">
        <f>_xlfn.XLOOKUP($A5869,Load!$B:$B,Load!K:K,0,)</f>
        <v>0</v>
      </c>
      <c r="K5869">
        <f>_xlfn.XLOOKUP($A5869,Load!$B:$B,Load!L:L,0,)</f>
        <v>0</v>
      </c>
      <c r="L5869">
        <f>_xlfn.XLOOKUP($A5869,Load!$B:$B,Load!M:M,0,)</f>
        <v>0</v>
      </c>
    </row>
    <row r="5870" spans="1:12" x14ac:dyDescent="0.25">
      <c r="A5870" t="s">
        <v>179</v>
      </c>
      <c r="B5870" t="str">
        <f>_xlfn.XLOOKUP($A5870,Load!$B:$B,Load!C:C,0,)</f>
        <v>Mars Variety Pack</v>
      </c>
      <c r="C5870" t="str">
        <f>_xlfn.XLOOKUP($A5870,Load!$B:$B,Load!D:D,0,)</f>
        <v>Non-Chocolate Candy Only</v>
      </c>
      <c r="D5870" t="str">
        <f>_xlfn.XLOOKUP($A5870,Load!$B:$B,Load!E:E,0,)</f>
        <v>Variety / Mixed Flavors (Fruity, Sour, Seasonal Flavors)</v>
      </c>
      <c r="E5870" t="str">
        <f>_xlfn.XLOOKUP($A5870,Load!$B:$B,Load!F:F,0,)</f>
        <v>Mixed / Combo Packs (Gummy, Chewy, Taffy, etc.)</v>
      </c>
      <c r="F5870" t="str">
        <f>_xlfn.XLOOKUP($A5870,Load!$B:$B,Load!G:G,0,)</f>
        <v>Medium Multipack (40–80 ct)</v>
      </c>
      <c r="G5870" t="str">
        <f>_xlfn.XLOOKUP($A5870,Load!$B:$B,Load!H:H,0,)</f>
        <v>Stand-Up Bag</v>
      </c>
      <c r="H5870" t="str">
        <f>_xlfn.XLOOKUP($A5870,Load!$B:$B,Load!I:I,0,)</f>
        <v>Everyday Candy Shapes (like Original, Gummy bear, Fruit, Jewels, etc.)</v>
      </c>
      <c r="I5870" t="str">
        <f>_xlfn.XLOOKUP($A5870,Load!$B:$B,Load!J:J,0,)</f>
        <v>Seasonal Graphics (Like Bat, Ghost, Pumpkin, Fall Leaves, Eyeballs, etc.)</v>
      </c>
      <c r="J5870" t="str">
        <f>_xlfn.XLOOKUP($A5870,Load!$B:$B,Load!K:K,0,)</f>
        <v>Fun Size / Treat Size</v>
      </c>
      <c r="K5870" t="str">
        <f>_xlfn.XLOOKUP($A5870,Load!$B:$B,Load!L:L,0,)</f>
        <v>Regular/Original Wrapping</v>
      </c>
      <c r="L5870" t="str">
        <f>_xlfn.XLOOKUP($A5870,Load!$B:$B,Load!M:M,0,)</f>
        <v>Multiple Brands / Variety Flavors or Form</v>
      </c>
    </row>
    <row r="5871" spans="1:12" x14ac:dyDescent="0.25">
      <c r="B5871">
        <f>_xlfn.XLOOKUP($A5871,Load!$B:$B,Load!C:C,0,)</f>
        <v>0</v>
      </c>
      <c r="C5871">
        <f>_xlfn.XLOOKUP($A5871,Load!$B:$B,Load!D:D,0,)</f>
        <v>0</v>
      </c>
      <c r="D5871">
        <f>_xlfn.XLOOKUP($A5871,Load!$B:$B,Load!E:E,0,)</f>
        <v>0</v>
      </c>
      <c r="E5871">
        <f>_xlfn.XLOOKUP($A5871,Load!$B:$B,Load!F:F,0,)</f>
        <v>0</v>
      </c>
      <c r="F5871">
        <f>_xlfn.XLOOKUP($A5871,Load!$B:$B,Load!G:G,0,)</f>
        <v>0</v>
      </c>
      <c r="G5871">
        <f>_xlfn.XLOOKUP($A5871,Load!$B:$B,Load!H:H,0,)</f>
        <v>0</v>
      </c>
      <c r="H5871">
        <f>_xlfn.XLOOKUP($A5871,Load!$B:$B,Load!I:I,0,)</f>
        <v>0</v>
      </c>
      <c r="I5871">
        <f>_xlfn.XLOOKUP($A5871,Load!$B:$B,Load!J:J,0,)</f>
        <v>0</v>
      </c>
      <c r="J5871">
        <f>_xlfn.XLOOKUP($A5871,Load!$B:$B,Load!K:K,0,)</f>
        <v>0</v>
      </c>
      <c r="K5871">
        <f>_xlfn.XLOOKUP($A5871,Load!$B:$B,Load!L:L,0,)</f>
        <v>0</v>
      </c>
      <c r="L5871">
        <f>_xlfn.XLOOKUP($A5871,Load!$B:$B,Load!M:M,0,)</f>
        <v>0</v>
      </c>
    </row>
    <row r="5872" spans="1:12" x14ac:dyDescent="0.25">
      <c r="A5872" t="s">
        <v>319</v>
      </c>
      <c r="B5872" t="str">
        <f>_xlfn.XLOOKUP($A5872,Load!$B:$B,Load!C:C,0,)</f>
        <v>YumEarth</v>
      </c>
      <c r="C5872" t="str">
        <f>_xlfn.XLOOKUP($A5872,Load!$B:$B,Load!D:D,0,)</f>
        <v>Non-Chocolate Candy Only</v>
      </c>
      <c r="D5872" t="str">
        <f>_xlfn.XLOOKUP($A5872,Load!$B:$B,Load!E:E,0,)</f>
        <v>Fruit Flavor (Cherry, Grape, Apple, Citrus, Tropical Fruit)</v>
      </c>
      <c r="E5872" t="str">
        <f>_xlfn.XLOOKUP($A5872,Load!$B:$B,Load!F:F,0,)</f>
        <v>Gummy</v>
      </c>
      <c r="F5872" t="str">
        <f>_xlfn.XLOOKUP($A5872,Load!$B:$B,Load!G:G,0,)</f>
        <v>Small Multipack (Less than 40 ct)</v>
      </c>
      <c r="G5872" t="str">
        <f>_xlfn.XLOOKUP($A5872,Load!$B:$B,Load!H:H,0,)</f>
        <v>Laydown Bag</v>
      </c>
      <c r="H5872" t="str">
        <f>_xlfn.XLOOKUP($A5872,Load!$B:$B,Load!I:I,0,)</f>
        <v>Seasonal Shapes (like pumpkins, candy corn, ghost, bats, etc.)</v>
      </c>
      <c r="I5872" t="str">
        <f>_xlfn.XLOOKUP($A5872,Load!$B:$B,Load!J:J,0,)</f>
        <v>Seasonal Graphics (Like Bat, Ghost, Pumpkin, Fall Leaves, Eyeballs, etc.)</v>
      </c>
      <c r="J5872" t="str">
        <f>_xlfn.XLOOKUP($A5872,Load!$B:$B,Load!K:K,0,)</f>
        <v>Small Pieces (Tiny bite size candies)</v>
      </c>
      <c r="K5872" t="str">
        <f>_xlfn.XLOOKUP($A5872,Load!$B:$B,Load!L:L,0,)</f>
        <v>Regular/Original Wrapping</v>
      </c>
      <c r="L5872" t="str">
        <f>_xlfn.XLOOKUP($A5872,Load!$B:$B,Load!M:M,0,)</f>
        <v>Single Brand / Variety Flavors or Form</v>
      </c>
    </row>
    <row r="5873" spans="1:12" x14ac:dyDescent="0.25">
      <c r="B5873">
        <f>_xlfn.XLOOKUP($A5873,Load!$B:$B,Load!C:C,0,)</f>
        <v>0</v>
      </c>
      <c r="C5873">
        <f>_xlfn.XLOOKUP($A5873,Load!$B:$B,Load!D:D,0,)</f>
        <v>0</v>
      </c>
      <c r="D5873">
        <f>_xlfn.XLOOKUP($A5873,Load!$B:$B,Load!E:E,0,)</f>
        <v>0</v>
      </c>
      <c r="E5873">
        <f>_xlfn.XLOOKUP($A5873,Load!$B:$B,Load!F:F,0,)</f>
        <v>0</v>
      </c>
      <c r="F5873">
        <f>_xlfn.XLOOKUP($A5873,Load!$B:$B,Load!G:G,0,)</f>
        <v>0</v>
      </c>
      <c r="G5873">
        <f>_xlfn.XLOOKUP($A5873,Load!$B:$B,Load!H:H,0,)</f>
        <v>0</v>
      </c>
      <c r="H5873">
        <f>_xlfn.XLOOKUP($A5873,Load!$B:$B,Load!I:I,0,)</f>
        <v>0</v>
      </c>
      <c r="I5873">
        <f>_xlfn.XLOOKUP($A5873,Load!$B:$B,Load!J:J,0,)</f>
        <v>0</v>
      </c>
      <c r="J5873">
        <f>_xlfn.XLOOKUP($A5873,Load!$B:$B,Load!K:K,0,)</f>
        <v>0</v>
      </c>
      <c r="K5873">
        <f>_xlfn.XLOOKUP($A5873,Load!$B:$B,Load!L:L,0,)</f>
        <v>0</v>
      </c>
      <c r="L5873">
        <f>_xlfn.XLOOKUP($A5873,Load!$B:$B,Load!M:M,0,)</f>
        <v>0</v>
      </c>
    </row>
    <row r="5874" spans="1:12" x14ac:dyDescent="0.25">
      <c r="A5874" t="s">
        <v>180</v>
      </c>
      <c r="B5874" t="str">
        <f>_xlfn.XLOOKUP($A5874,Load!$B:$B,Load!C:C,0,)</f>
        <v>Mars Variety Pack</v>
      </c>
      <c r="C5874" t="str">
        <f>_xlfn.XLOOKUP($A5874,Load!$B:$B,Load!D:D,0,)</f>
        <v>Mix of Chocolate and Non-Chocolate Candy</v>
      </c>
      <c r="D5874" t="str">
        <f>_xlfn.XLOOKUP($A5874,Load!$B:$B,Load!E:E,0,)</f>
        <v>Variety / Mixed Flavors (Fruity, Sour, Seasonal Flavors)</v>
      </c>
      <c r="E5874" t="str">
        <f>_xlfn.XLOOKUP($A5874,Load!$B:$B,Load!F:F,0,)</f>
        <v>Mixed / Combo Packs (Gummy, Chewy, Taffy, etc.)</v>
      </c>
      <c r="F5874" t="str">
        <f>_xlfn.XLOOKUP($A5874,Load!$B:$B,Load!G:G,0,)</f>
        <v>Large Multipack (More than 80 ct)</v>
      </c>
      <c r="G5874" t="str">
        <f>_xlfn.XLOOKUP($A5874,Load!$B:$B,Load!H:H,0,)</f>
        <v>Stand-Up Bag</v>
      </c>
      <c r="H5874" t="str">
        <f>_xlfn.XLOOKUP($A5874,Load!$B:$B,Load!I:I,0,)</f>
        <v>Everyday Candy Shapes (like Original, Gummy bear, Fruit, Jewels, etc.)</v>
      </c>
      <c r="I5874" t="str">
        <f>_xlfn.XLOOKUP($A5874,Load!$B:$B,Load!J:J,0,)</f>
        <v>Seasonal Graphics (Like Bat, Ghost, Pumpkin, Fall Leaves, Eyeballs, etc.)</v>
      </c>
      <c r="J5874" t="str">
        <f>_xlfn.XLOOKUP($A5874,Load!$B:$B,Load!K:K,0,)</f>
        <v>Fun Size / Treat Size</v>
      </c>
      <c r="K5874" t="str">
        <f>_xlfn.XLOOKUP($A5874,Load!$B:$B,Load!L:L,0,)</f>
        <v>Regular/Original Wrapping</v>
      </c>
      <c r="L5874" t="str">
        <f>_xlfn.XLOOKUP($A5874,Load!$B:$B,Load!M:M,0,)</f>
        <v>Multiple Brands / Variety Flavors or Form</v>
      </c>
    </row>
    <row r="5875" spans="1:12" x14ac:dyDescent="0.25">
      <c r="A5875" t="s">
        <v>202</v>
      </c>
      <c r="B5875" t="str">
        <f>_xlfn.XLOOKUP($A5875,Load!$B:$B,Load!C:C,0,)</f>
        <v>Mars Variety Pack</v>
      </c>
      <c r="C5875" t="str">
        <f>_xlfn.XLOOKUP($A5875,Load!$B:$B,Load!D:D,0,)</f>
        <v>Mix of Chocolate and Non-Chocolate Candy</v>
      </c>
      <c r="D5875" t="str">
        <f>_xlfn.XLOOKUP($A5875,Load!$B:$B,Load!E:E,0,)</f>
        <v>Variety / Mixed Flavors (Fruity, Sour, Seasonal Flavors)</v>
      </c>
      <c r="E5875" t="str">
        <f>_xlfn.XLOOKUP($A5875,Load!$B:$B,Load!F:F,0,)</f>
        <v>Mixed / Combo Packs (Gummy, Chewy, Taffy, etc.)</v>
      </c>
      <c r="F5875" t="str">
        <f>_xlfn.XLOOKUP($A5875,Load!$B:$B,Load!G:G,0,)</f>
        <v>Large Multipack (More than 80 ct)</v>
      </c>
      <c r="G5875" t="str">
        <f>_xlfn.XLOOKUP($A5875,Load!$B:$B,Load!H:H,0,)</f>
        <v>Stand-Up Bag</v>
      </c>
      <c r="H5875" t="str">
        <f>_xlfn.XLOOKUP($A5875,Load!$B:$B,Load!I:I,0,)</f>
        <v>Everyday Candy Shapes (like Original, Gummy bear, Fruit, Jewels, etc.)</v>
      </c>
      <c r="I5875" t="str">
        <f>_xlfn.XLOOKUP($A5875,Load!$B:$B,Load!J:J,0,)</f>
        <v>Everyday Graphics</v>
      </c>
      <c r="J5875" t="str">
        <f>_xlfn.XLOOKUP($A5875,Load!$B:$B,Load!K:K,0,)</f>
        <v>Fun Size / Treat Size</v>
      </c>
      <c r="K5875" t="str">
        <f>_xlfn.XLOOKUP($A5875,Load!$B:$B,Load!L:L,0,)</f>
        <v>Regular/Original Wrapping</v>
      </c>
      <c r="L5875" t="str">
        <f>_xlfn.XLOOKUP($A5875,Load!$B:$B,Load!M:M,0,)</f>
        <v>Multiple Brands / Variety Flavors or Form</v>
      </c>
    </row>
    <row r="5876" spans="1:12" x14ac:dyDescent="0.25">
      <c r="B5876">
        <f>_xlfn.XLOOKUP($A5876,Load!$B:$B,Load!C:C,0,)</f>
        <v>0</v>
      </c>
      <c r="C5876">
        <f>_xlfn.XLOOKUP($A5876,Load!$B:$B,Load!D:D,0,)</f>
        <v>0</v>
      </c>
      <c r="D5876">
        <f>_xlfn.XLOOKUP($A5876,Load!$B:$B,Load!E:E,0,)</f>
        <v>0</v>
      </c>
      <c r="E5876">
        <f>_xlfn.XLOOKUP($A5876,Load!$B:$B,Load!F:F,0,)</f>
        <v>0</v>
      </c>
      <c r="F5876">
        <f>_xlfn.XLOOKUP($A5876,Load!$B:$B,Load!G:G,0,)</f>
        <v>0</v>
      </c>
      <c r="G5876">
        <f>_xlfn.XLOOKUP($A5876,Load!$B:$B,Load!H:H,0,)</f>
        <v>0</v>
      </c>
      <c r="H5876">
        <f>_xlfn.XLOOKUP($A5876,Load!$B:$B,Load!I:I,0,)</f>
        <v>0</v>
      </c>
      <c r="I5876">
        <f>_xlfn.XLOOKUP($A5876,Load!$B:$B,Load!J:J,0,)</f>
        <v>0</v>
      </c>
      <c r="J5876">
        <f>_xlfn.XLOOKUP($A5876,Load!$B:$B,Load!K:K,0,)</f>
        <v>0</v>
      </c>
      <c r="K5876">
        <f>_xlfn.XLOOKUP($A5876,Load!$B:$B,Load!L:L,0,)</f>
        <v>0</v>
      </c>
      <c r="L5876">
        <f>_xlfn.XLOOKUP($A5876,Load!$B:$B,Load!M:M,0,)</f>
        <v>0</v>
      </c>
    </row>
    <row r="5877" spans="1:12" x14ac:dyDescent="0.25">
      <c r="B5877">
        <f>_xlfn.XLOOKUP($A5877,Load!$B:$B,Load!C:C,0,)</f>
        <v>0</v>
      </c>
      <c r="C5877">
        <f>_xlfn.XLOOKUP($A5877,Load!$B:$B,Load!D:D,0,)</f>
        <v>0</v>
      </c>
      <c r="D5877">
        <f>_xlfn.XLOOKUP($A5877,Load!$B:$B,Load!E:E,0,)</f>
        <v>0</v>
      </c>
      <c r="E5877">
        <f>_xlfn.XLOOKUP($A5877,Load!$B:$B,Load!F:F,0,)</f>
        <v>0</v>
      </c>
      <c r="F5877">
        <f>_xlfn.XLOOKUP($A5877,Load!$B:$B,Load!G:G,0,)</f>
        <v>0</v>
      </c>
      <c r="G5877">
        <f>_xlfn.XLOOKUP($A5877,Load!$B:$B,Load!H:H,0,)</f>
        <v>0</v>
      </c>
      <c r="H5877">
        <f>_xlfn.XLOOKUP($A5877,Load!$B:$B,Load!I:I,0,)</f>
        <v>0</v>
      </c>
      <c r="I5877">
        <f>_xlfn.XLOOKUP($A5877,Load!$B:$B,Load!J:J,0,)</f>
        <v>0</v>
      </c>
      <c r="J5877">
        <f>_xlfn.XLOOKUP($A5877,Load!$B:$B,Load!K:K,0,)</f>
        <v>0</v>
      </c>
      <c r="K5877">
        <f>_xlfn.XLOOKUP($A5877,Load!$B:$B,Load!L:L,0,)</f>
        <v>0</v>
      </c>
      <c r="L5877">
        <f>_xlfn.XLOOKUP($A5877,Load!$B:$B,Load!M:M,0,)</f>
        <v>0</v>
      </c>
    </row>
    <row r="5878" spans="1:12" x14ac:dyDescent="0.25">
      <c r="A5878" t="s">
        <v>311</v>
      </c>
      <c r="B5878" t="str">
        <f>_xlfn.XLOOKUP($A5878,Load!$B:$B,Load!C:C,0,)</f>
        <v>Werther's Original</v>
      </c>
      <c r="C5878" t="str">
        <f>_xlfn.XLOOKUP($A5878,Load!$B:$B,Load!D:D,0,)</f>
        <v>Non-Chocolate Candy Only</v>
      </c>
      <c r="D5878" t="str">
        <f>_xlfn.XLOOKUP($A5878,Load!$B:$B,Load!E:E,0,)</f>
        <v>Fall / Seasonal Flavors (pumpkin spice, caramel apple, candy corn)</v>
      </c>
      <c r="E5878" t="str">
        <f>_xlfn.XLOOKUP($A5878,Load!$B:$B,Load!F:F,0,)</f>
        <v>Chewy</v>
      </c>
      <c r="F5878" t="str">
        <f>_xlfn.XLOOKUP($A5878,Load!$B:$B,Load!G:G,0,)</f>
        <v>Single Pack</v>
      </c>
      <c r="G5878" t="str">
        <f>_xlfn.XLOOKUP($A5878,Load!$B:$B,Load!H:H,0,)</f>
        <v>Stand-Up Bag</v>
      </c>
      <c r="H5878" t="str">
        <f>_xlfn.XLOOKUP($A5878,Load!$B:$B,Load!I:I,0,)</f>
        <v>Everyday Candy Shapes (like Original, Gummy bear, Fruit, Jewels, etc.)</v>
      </c>
      <c r="I5878" t="str">
        <f>_xlfn.XLOOKUP($A5878,Load!$B:$B,Load!J:J,0,)</f>
        <v>Seasonal Graphics (Like Bat, Ghost, Pumpkin, Fall Leaves, Eyeballs, etc.)</v>
      </c>
      <c r="J5878" t="str">
        <f>_xlfn.XLOOKUP($A5878,Load!$B:$B,Load!K:K,0,)</f>
        <v>Fun Size / Treat Size</v>
      </c>
      <c r="K5878" t="str">
        <f>_xlfn.XLOOKUP($A5878,Load!$B:$B,Load!L:L,0,)</f>
        <v>Regular/Original Wrapping</v>
      </c>
      <c r="L5878" t="str">
        <f>_xlfn.XLOOKUP($A5878,Load!$B:$B,Load!M:M,0,)</f>
        <v>Single Brand / Variety Flavors or Form</v>
      </c>
    </row>
    <row r="5879" spans="1:12" x14ac:dyDescent="0.25">
      <c r="B5879">
        <f>_xlfn.XLOOKUP($A5879,Load!$B:$B,Load!C:C,0,)</f>
        <v>0</v>
      </c>
      <c r="C5879">
        <f>_xlfn.XLOOKUP($A5879,Load!$B:$B,Load!D:D,0,)</f>
        <v>0</v>
      </c>
      <c r="D5879">
        <f>_xlfn.XLOOKUP($A5879,Load!$B:$B,Load!E:E,0,)</f>
        <v>0</v>
      </c>
      <c r="E5879">
        <f>_xlfn.XLOOKUP($A5879,Load!$B:$B,Load!F:F,0,)</f>
        <v>0</v>
      </c>
      <c r="F5879">
        <f>_xlfn.XLOOKUP($A5879,Load!$B:$B,Load!G:G,0,)</f>
        <v>0</v>
      </c>
      <c r="G5879">
        <f>_xlfn.XLOOKUP($A5879,Load!$B:$B,Load!H:H,0,)</f>
        <v>0</v>
      </c>
      <c r="H5879">
        <f>_xlfn.XLOOKUP($A5879,Load!$B:$B,Load!I:I,0,)</f>
        <v>0</v>
      </c>
      <c r="I5879">
        <f>_xlfn.XLOOKUP($A5879,Load!$B:$B,Load!J:J,0,)</f>
        <v>0</v>
      </c>
      <c r="J5879">
        <f>_xlfn.XLOOKUP($A5879,Load!$B:$B,Load!K:K,0,)</f>
        <v>0</v>
      </c>
      <c r="K5879">
        <f>_xlfn.XLOOKUP($A5879,Load!$B:$B,Load!L:L,0,)</f>
        <v>0</v>
      </c>
      <c r="L5879">
        <f>_xlfn.XLOOKUP($A5879,Load!$B:$B,Load!M:M,0,)</f>
        <v>0</v>
      </c>
    </row>
    <row r="5880" spans="1:12" x14ac:dyDescent="0.25">
      <c r="B5880">
        <f>_xlfn.XLOOKUP($A5880,Load!$B:$B,Load!C:C,0,)</f>
        <v>0</v>
      </c>
      <c r="C5880">
        <f>_xlfn.XLOOKUP($A5880,Load!$B:$B,Load!D:D,0,)</f>
        <v>0</v>
      </c>
      <c r="D5880">
        <f>_xlfn.XLOOKUP($A5880,Load!$B:$B,Load!E:E,0,)</f>
        <v>0</v>
      </c>
      <c r="E5880">
        <f>_xlfn.XLOOKUP($A5880,Load!$B:$B,Load!F:F,0,)</f>
        <v>0</v>
      </c>
      <c r="F5880">
        <f>_xlfn.XLOOKUP($A5880,Load!$B:$B,Load!G:G,0,)</f>
        <v>0</v>
      </c>
      <c r="G5880">
        <f>_xlfn.XLOOKUP($A5880,Load!$B:$B,Load!H:H,0,)</f>
        <v>0</v>
      </c>
      <c r="H5880">
        <f>_xlfn.XLOOKUP($A5880,Load!$B:$B,Load!I:I,0,)</f>
        <v>0</v>
      </c>
      <c r="I5880">
        <f>_xlfn.XLOOKUP($A5880,Load!$B:$B,Load!J:J,0,)</f>
        <v>0</v>
      </c>
      <c r="J5880">
        <f>_xlfn.XLOOKUP($A5880,Load!$B:$B,Load!K:K,0,)</f>
        <v>0</v>
      </c>
      <c r="K5880">
        <f>_xlfn.XLOOKUP($A5880,Load!$B:$B,Load!L:L,0,)</f>
        <v>0</v>
      </c>
      <c r="L5880">
        <f>_xlfn.XLOOKUP($A5880,Load!$B:$B,Load!M:M,0,)</f>
        <v>0</v>
      </c>
    </row>
    <row r="5881" spans="1:12" x14ac:dyDescent="0.25">
      <c r="B5881">
        <f>_xlfn.XLOOKUP($A5881,Load!$B:$B,Load!C:C,0,)</f>
        <v>0</v>
      </c>
      <c r="C5881">
        <f>_xlfn.XLOOKUP($A5881,Load!$B:$B,Load!D:D,0,)</f>
        <v>0</v>
      </c>
      <c r="D5881">
        <f>_xlfn.XLOOKUP($A5881,Load!$B:$B,Load!E:E,0,)</f>
        <v>0</v>
      </c>
      <c r="E5881">
        <f>_xlfn.XLOOKUP($A5881,Load!$B:$B,Load!F:F,0,)</f>
        <v>0</v>
      </c>
      <c r="F5881">
        <f>_xlfn.XLOOKUP($A5881,Load!$B:$B,Load!G:G,0,)</f>
        <v>0</v>
      </c>
      <c r="G5881">
        <f>_xlfn.XLOOKUP($A5881,Load!$B:$B,Load!H:H,0,)</f>
        <v>0</v>
      </c>
      <c r="H5881">
        <f>_xlfn.XLOOKUP($A5881,Load!$B:$B,Load!I:I,0,)</f>
        <v>0</v>
      </c>
      <c r="I5881">
        <f>_xlfn.XLOOKUP($A5881,Load!$B:$B,Load!J:J,0,)</f>
        <v>0</v>
      </c>
      <c r="J5881">
        <f>_xlfn.XLOOKUP($A5881,Load!$B:$B,Load!K:K,0,)</f>
        <v>0</v>
      </c>
      <c r="K5881">
        <f>_xlfn.XLOOKUP($A5881,Load!$B:$B,Load!L:L,0,)</f>
        <v>0</v>
      </c>
      <c r="L5881">
        <f>_xlfn.XLOOKUP($A5881,Load!$B:$B,Load!M:M,0,)</f>
        <v>0</v>
      </c>
    </row>
    <row r="5882" spans="1:12" x14ac:dyDescent="0.25">
      <c r="A5882" t="s">
        <v>73</v>
      </c>
      <c r="B5882" t="str">
        <f>_xlfn.XLOOKUP($A5882,Load!$B:$B,Load!C:C,0,)</f>
        <v>Dum Dums</v>
      </c>
      <c r="C5882" t="str">
        <f>_xlfn.XLOOKUP($A5882,Load!$B:$B,Load!D:D,0,)</f>
        <v>Non-Chocolate Candy Only</v>
      </c>
      <c r="D5882" t="str">
        <f>_xlfn.XLOOKUP($A5882,Load!$B:$B,Load!E:E,0,)</f>
        <v>Variety / Mixed Flavors (Fruity, Sour, Seasonal Flavors)</v>
      </c>
      <c r="E5882" t="str">
        <f>_xlfn.XLOOKUP($A5882,Load!$B:$B,Load!F:F,0,)</f>
        <v>Lollipop (regular or lollipop rings)</v>
      </c>
      <c r="F5882" t="str">
        <f>_xlfn.XLOOKUP($A5882,Load!$B:$B,Load!G:G,0,)</f>
        <v>Single Pack</v>
      </c>
      <c r="G5882" t="str">
        <f>_xlfn.XLOOKUP($A5882,Load!$B:$B,Load!H:H,0,)</f>
        <v>Laydown Bag</v>
      </c>
      <c r="H5882" t="str">
        <f>_xlfn.XLOOKUP($A5882,Load!$B:$B,Load!I:I,0,)</f>
        <v>Everyday Candy Shapes (like Original, Gummy bear, Fruit, Jewels, etc.)</v>
      </c>
      <c r="I5882" t="str">
        <f>_xlfn.XLOOKUP($A5882,Load!$B:$B,Load!J:J,0,)</f>
        <v>Seasonal Graphics (Like Bat, Ghost, Pumpkin, Fall Leaves, Eyeballs, etc.)</v>
      </c>
      <c r="J5882" t="str">
        <f>_xlfn.XLOOKUP($A5882,Load!$B:$B,Load!K:K,0,)</f>
        <v>Regular Lollipop size (on sticks or rings)</v>
      </c>
      <c r="K5882" t="str">
        <f>_xlfn.XLOOKUP($A5882,Load!$B:$B,Load!L:L,0,)</f>
        <v>Regular/Original Wrapping</v>
      </c>
      <c r="L5882" t="str">
        <f>_xlfn.XLOOKUP($A5882,Load!$B:$B,Load!M:M,0,)</f>
        <v>Single Brand / Variety Flavors or Form</v>
      </c>
    </row>
    <row r="5883" spans="1:12" x14ac:dyDescent="0.25">
      <c r="B5883">
        <f>_xlfn.XLOOKUP($A5883,Load!$B:$B,Load!C:C,0,)</f>
        <v>0</v>
      </c>
      <c r="C5883">
        <f>_xlfn.XLOOKUP($A5883,Load!$B:$B,Load!D:D,0,)</f>
        <v>0</v>
      </c>
      <c r="D5883">
        <f>_xlfn.XLOOKUP($A5883,Load!$B:$B,Load!E:E,0,)</f>
        <v>0</v>
      </c>
      <c r="E5883">
        <f>_xlfn.XLOOKUP($A5883,Load!$B:$B,Load!F:F,0,)</f>
        <v>0</v>
      </c>
      <c r="F5883">
        <f>_xlfn.XLOOKUP($A5883,Load!$B:$B,Load!G:G,0,)</f>
        <v>0</v>
      </c>
      <c r="G5883">
        <f>_xlfn.XLOOKUP($A5883,Load!$B:$B,Load!H:H,0,)</f>
        <v>0</v>
      </c>
      <c r="H5883">
        <f>_xlfn.XLOOKUP($A5883,Load!$B:$B,Load!I:I,0,)</f>
        <v>0</v>
      </c>
      <c r="I5883">
        <f>_xlfn.XLOOKUP($A5883,Load!$B:$B,Load!J:J,0,)</f>
        <v>0</v>
      </c>
      <c r="J5883">
        <f>_xlfn.XLOOKUP($A5883,Load!$B:$B,Load!K:K,0,)</f>
        <v>0</v>
      </c>
      <c r="K5883">
        <f>_xlfn.XLOOKUP($A5883,Load!$B:$B,Load!L:L,0,)</f>
        <v>0</v>
      </c>
      <c r="L5883">
        <f>_xlfn.XLOOKUP($A5883,Load!$B:$B,Load!M:M,0,)</f>
        <v>0</v>
      </c>
    </row>
    <row r="5884" spans="1:12" x14ac:dyDescent="0.25">
      <c r="B5884">
        <f>_xlfn.XLOOKUP($A5884,Load!$B:$B,Load!C:C,0,)</f>
        <v>0</v>
      </c>
      <c r="C5884">
        <f>_xlfn.XLOOKUP($A5884,Load!$B:$B,Load!D:D,0,)</f>
        <v>0</v>
      </c>
      <c r="D5884">
        <f>_xlfn.XLOOKUP($A5884,Load!$B:$B,Load!E:E,0,)</f>
        <v>0</v>
      </c>
      <c r="E5884">
        <f>_xlfn.XLOOKUP($A5884,Load!$B:$B,Load!F:F,0,)</f>
        <v>0</v>
      </c>
      <c r="F5884">
        <f>_xlfn.XLOOKUP($A5884,Load!$B:$B,Load!G:G,0,)</f>
        <v>0</v>
      </c>
      <c r="G5884">
        <f>_xlfn.XLOOKUP($A5884,Load!$B:$B,Load!H:H,0,)</f>
        <v>0</v>
      </c>
      <c r="H5884">
        <f>_xlfn.XLOOKUP($A5884,Load!$B:$B,Load!I:I,0,)</f>
        <v>0</v>
      </c>
      <c r="I5884">
        <f>_xlfn.XLOOKUP($A5884,Load!$B:$B,Load!J:J,0,)</f>
        <v>0</v>
      </c>
      <c r="J5884">
        <f>_xlfn.XLOOKUP($A5884,Load!$B:$B,Load!K:K,0,)</f>
        <v>0</v>
      </c>
      <c r="K5884">
        <f>_xlfn.XLOOKUP($A5884,Load!$B:$B,Load!L:L,0,)</f>
        <v>0</v>
      </c>
      <c r="L5884">
        <f>_xlfn.XLOOKUP($A5884,Load!$B:$B,Load!M:M,0,)</f>
        <v>0</v>
      </c>
    </row>
    <row r="5885" spans="1:12" x14ac:dyDescent="0.25">
      <c r="B5885">
        <f>_xlfn.XLOOKUP($A5885,Load!$B:$B,Load!C:C,0,)</f>
        <v>0</v>
      </c>
      <c r="C5885">
        <f>_xlfn.XLOOKUP($A5885,Load!$B:$B,Load!D:D,0,)</f>
        <v>0</v>
      </c>
      <c r="D5885">
        <f>_xlfn.XLOOKUP($A5885,Load!$B:$B,Load!E:E,0,)</f>
        <v>0</v>
      </c>
      <c r="E5885">
        <f>_xlfn.XLOOKUP($A5885,Load!$B:$B,Load!F:F,0,)</f>
        <v>0</v>
      </c>
      <c r="F5885">
        <f>_xlfn.XLOOKUP($A5885,Load!$B:$B,Load!G:G,0,)</f>
        <v>0</v>
      </c>
      <c r="G5885">
        <f>_xlfn.XLOOKUP($A5885,Load!$B:$B,Load!H:H,0,)</f>
        <v>0</v>
      </c>
      <c r="H5885">
        <f>_xlfn.XLOOKUP($A5885,Load!$B:$B,Load!I:I,0,)</f>
        <v>0</v>
      </c>
      <c r="I5885">
        <f>_xlfn.XLOOKUP($A5885,Load!$B:$B,Load!J:J,0,)</f>
        <v>0</v>
      </c>
      <c r="J5885">
        <f>_xlfn.XLOOKUP($A5885,Load!$B:$B,Load!K:K,0,)</f>
        <v>0</v>
      </c>
      <c r="K5885">
        <f>_xlfn.XLOOKUP($A5885,Load!$B:$B,Load!L:L,0,)</f>
        <v>0</v>
      </c>
      <c r="L5885">
        <f>_xlfn.XLOOKUP($A5885,Load!$B:$B,Load!M:M,0,)</f>
        <v>0</v>
      </c>
    </row>
    <row r="5886" spans="1:12" x14ac:dyDescent="0.25">
      <c r="A5886" t="s">
        <v>219</v>
      </c>
      <c r="B5886" t="str">
        <f>_xlfn.XLOOKUP($A5886,Load!$B:$B,Load!C:C,0,)</f>
        <v>Mondelez Variety Pack</v>
      </c>
      <c r="C5886" t="str">
        <f>_xlfn.XLOOKUP($A5886,Load!$B:$B,Load!D:D,0,)</f>
        <v>Non-Chocolate Candy Only</v>
      </c>
      <c r="D5886" t="str">
        <f>_xlfn.XLOOKUP($A5886,Load!$B:$B,Load!E:E,0,)</f>
        <v>Sour</v>
      </c>
      <c r="E5886" t="str">
        <f>_xlfn.XLOOKUP($A5886,Load!$B:$B,Load!F:F,0,)</f>
        <v>Chewy</v>
      </c>
      <c r="F5886" t="str">
        <f>_xlfn.XLOOKUP($A5886,Load!$B:$B,Load!G:G,0,)</f>
        <v>Medium Multipack (40–80 ct)</v>
      </c>
      <c r="G5886" t="str">
        <f>_xlfn.XLOOKUP($A5886,Load!$B:$B,Load!H:H,0,)</f>
        <v>Stand-Up Bag</v>
      </c>
      <c r="H5886" t="str">
        <f>_xlfn.XLOOKUP($A5886,Load!$B:$B,Load!I:I,0,)</f>
        <v>Everyday Candy Shapes (like Original, Gummy bear, Fruit, Jewels, etc.)</v>
      </c>
      <c r="I5886" t="str">
        <f>_xlfn.XLOOKUP($A5886,Load!$B:$B,Load!J:J,0,)</f>
        <v>Seasonal Graphics (Like Bat, Ghost, Pumpkin, Fall Leaves, Eyeballs, etc.)</v>
      </c>
      <c r="J5886" t="str">
        <f>_xlfn.XLOOKUP($A5886,Load!$B:$B,Load!K:K,0,)</f>
        <v>Small Pieces (Tiny bite size candies)</v>
      </c>
      <c r="K5886" t="str">
        <f>_xlfn.XLOOKUP($A5886,Load!$B:$B,Load!L:L,0,)</f>
        <v>Regular/Original Wrapping</v>
      </c>
      <c r="L5886" t="str">
        <f>_xlfn.XLOOKUP($A5886,Load!$B:$B,Load!M:M,0,)</f>
        <v>Multiple Brands / Variety Flavors or Form</v>
      </c>
    </row>
    <row r="5887" spans="1:12" x14ac:dyDescent="0.25">
      <c r="B5887">
        <f>_xlfn.XLOOKUP($A5887,Load!$B:$B,Load!C:C,0,)</f>
        <v>0</v>
      </c>
      <c r="C5887">
        <f>_xlfn.XLOOKUP($A5887,Load!$B:$B,Load!D:D,0,)</f>
        <v>0</v>
      </c>
      <c r="D5887">
        <f>_xlfn.XLOOKUP($A5887,Load!$B:$B,Load!E:E,0,)</f>
        <v>0</v>
      </c>
      <c r="E5887">
        <f>_xlfn.XLOOKUP($A5887,Load!$B:$B,Load!F:F,0,)</f>
        <v>0</v>
      </c>
      <c r="F5887">
        <f>_xlfn.XLOOKUP($A5887,Load!$B:$B,Load!G:G,0,)</f>
        <v>0</v>
      </c>
      <c r="G5887">
        <f>_xlfn.XLOOKUP($A5887,Load!$B:$B,Load!H:H,0,)</f>
        <v>0</v>
      </c>
      <c r="H5887">
        <f>_xlfn.XLOOKUP($A5887,Load!$B:$B,Load!I:I,0,)</f>
        <v>0</v>
      </c>
      <c r="I5887">
        <f>_xlfn.XLOOKUP($A5887,Load!$B:$B,Load!J:J,0,)</f>
        <v>0</v>
      </c>
      <c r="J5887">
        <f>_xlfn.XLOOKUP($A5887,Load!$B:$B,Load!K:K,0,)</f>
        <v>0</v>
      </c>
      <c r="K5887">
        <f>_xlfn.XLOOKUP($A5887,Load!$B:$B,Load!L:L,0,)</f>
        <v>0</v>
      </c>
      <c r="L5887">
        <f>_xlfn.XLOOKUP($A5887,Load!$B:$B,Load!M:M,0,)</f>
        <v>0</v>
      </c>
    </row>
    <row r="5888" spans="1:12" x14ac:dyDescent="0.25">
      <c r="A5888" t="s">
        <v>214</v>
      </c>
      <c r="B5888" t="str">
        <f>_xlfn.XLOOKUP($A5888,Load!$B:$B,Load!C:C,0,)</f>
        <v>Mars Variety Pack</v>
      </c>
      <c r="C5888" t="str">
        <f>_xlfn.XLOOKUP($A5888,Load!$B:$B,Load!D:D,0,)</f>
        <v>Mix of Chocolate and Non-Chocolate Candy</v>
      </c>
      <c r="D5888" t="str">
        <f>_xlfn.XLOOKUP($A5888,Load!$B:$B,Load!E:E,0,)</f>
        <v>Variety / Mixed Flavors (Fruity, Sour, Seasonal Flavors)</v>
      </c>
      <c r="E5888" t="str">
        <f>_xlfn.XLOOKUP($A5888,Load!$B:$B,Load!F:F,0,)</f>
        <v>Mixed / Combo Packs (Gummy, Chewy, Taffy, etc.)</v>
      </c>
      <c r="F5888" t="str">
        <f>_xlfn.XLOOKUP($A5888,Load!$B:$B,Load!G:G,0,)</f>
        <v>Large Multipack (More than 80 ct)</v>
      </c>
      <c r="G5888" t="str">
        <f>_xlfn.XLOOKUP($A5888,Load!$B:$B,Load!H:H,0,)</f>
        <v>Stand-Up Bag</v>
      </c>
      <c r="H5888" t="str">
        <f>_xlfn.XLOOKUP($A5888,Load!$B:$B,Load!I:I,0,)</f>
        <v>Everyday Candy Shapes (like Original, Gummy bear, Fruit, Jewels, etc.)</v>
      </c>
      <c r="I5888" t="str">
        <f>_xlfn.XLOOKUP($A5888,Load!$B:$B,Load!J:J,0,)</f>
        <v>Seasonal Graphics (Like Bat, Ghost, Pumpkin, Fall Leaves, Eyeballs, etc.)</v>
      </c>
      <c r="J5888" t="str">
        <f>_xlfn.XLOOKUP($A5888,Load!$B:$B,Load!K:K,0,)</f>
        <v>Fun Size / Treat Size</v>
      </c>
      <c r="K5888" t="str">
        <f>_xlfn.XLOOKUP($A5888,Load!$B:$B,Load!L:L,0,)</f>
        <v>Regular/Original Wrapping</v>
      </c>
      <c r="L5888" t="str">
        <f>_xlfn.XLOOKUP($A5888,Load!$B:$B,Load!M:M,0,)</f>
        <v>Multiple Brands / Variety Flavors or Form</v>
      </c>
    </row>
    <row r="5889" spans="1:12" x14ac:dyDescent="0.25">
      <c r="A5889" t="s">
        <v>202</v>
      </c>
      <c r="B5889" t="str">
        <f>_xlfn.XLOOKUP($A5889,Load!$B:$B,Load!C:C,0,)</f>
        <v>Mars Variety Pack</v>
      </c>
      <c r="C5889" t="str">
        <f>_xlfn.XLOOKUP($A5889,Load!$B:$B,Load!D:D,0,)</f>
        <v>Mix of Chocolate and Non-Chocolate Candy</v>
      </c>
      <c r="D5889" t="str">
        <f>_xlfn.XLOOKUP($A5889,Load!$B:$B,Load!E:E,0,)</f>
        <v>Variety / Mixed Flavors (Fruity, Sour, Seasonal Flavors)</v>
      </c>
      <c r="E5889" t="str">
        <f>_xlfn.XLOOKUP($A5889,Load!$B:$B,Load!F:F,0,)</f>
        <v>Mixed / Combo Packs (Gummy, Chewy, Taffy, etc.)</v>
      </c>
      <c r="F5889" t="str">
        <f>_xlfn.XLOOKUP($A5889,Load!$B:$B,Load!G:G,0,)</f>
        <v>Large Multipack (More than 80 ct)</v>
      </c>
      <c r="G5889" t="str">
        <f>_xlfn.XLOOKUP($A5889,Load!$B:$B,Load!H:H,0,)</f>
        <v>Stand-Up Bag</v>
      </c>
      <c r="H5889" t="str">
        <f>_xlfn.XLOOKUP($A5889,Load!$B:$B,Load!I:I,0,)</f>
        <v>Everyday Candy Shapes (like Original, Gummy bear, Fruit, Jewels, etc.)</v>
      </c>
      <c r="I5889" t="str">
        <f>_xlfn.XLOOKUP($A5889,Load!$B:$B,Load!J:J,0,)</f>
        <v>Everyday Graphics</v>
      </c>
      <c r="J5889" t="str">
        <f>_xlfn.XLOOKUP($A5889,Load!$B:$B,Load!K:K,0,)</f>
        <v>Fun Size / Treat Size</v>
      </c>
      <c r="K5889" t="str">
        <f>_xlfn.XLOOKUP($A5889,Load!$B:$B,Load!L:L,0,)</f>
        <v>Regular/Original Wrapping</v>
      </c>
      <c r="L5889" t="str">
        <f>_xlfn.XLOOKUP($A5889,Load!$B:$B,Load!M:M,0,)</f>
        <v>Multiple Brands / Variety Flavors or Form</v>
      </c>
    </row>
    <row r="5890" spans="1:12" x14ac:dyDescent="0.25">
      <c r="A5890" t="s">
        <v>293</v>
      </c>
      <c r="B5890" t="str">
        <f>_xlfn.XLOOKUP($A5890,Load!$B:$B,Load!C:C,0,)</f>
        <v>Tootsie</v>
      </c>
      <c r="C5890" t="str">
        <f>_xlfn.XLOOKUP($A5890,Load!$B:$B,Load!D:D,0,)</f>
        <v>Mix of Chocolate and Non-Chocolate Candy</v>
      </c>
      <c r="D5890" t="str">
        <f>_xlfn.XLOOKUP($A5890,Load!$B:$B,Load!E:E,0,)</f>
        <v>Sweet</v>
      </c>
      <c r="E5890" t="str">
        <f>_xlfn.XLOOKUP($A5890,Load!$B:$B,Load!F:F,0,)</f>
        <v>Lollipop (regular or lollipop rings)</v>
      </c>
      <c r="F5890" t="str">
        <f>_xlfn.XLOOKUP($A5890,Load!$B:$B,Load!G:G,0,)</f>
        <v>Large Multipack (More than 80 ct)</v>
      </c>
      <c r="G5890" t="str">
        <f>_xlfn.XLOOKUP($A5890,Load!$B:$B,Load!H:H,0,)</f>
        <v>Laydown Bag</v>
      </c>
      <c r="H5890" t="str">
        <f>_xlfn.XLOOKUP($A5890,Load!$B:$B,Load!I:I,0,)</f>
        <v>Everyday Candy Shapes (like Original, Gummy bear, Fruit, Jewels, etc.)</v>
      </c>
      <c r="I5890" t="str">
        <f>_xlfn.XLOOKUP($A5890,Load!$B:$B,Load!J:J,0,)</f>
        <v>Everyday Graphics</v>
      </c>
      <c r="J5890" t="str">
        <f>_xlfn.XLOOKUP($A5890,Load!$B:$B,Load!K:K,0,)</f>
        <v>Regular Lollipop size (on sticks or rings)</v>
      </c>
      <c r="K5890" t="str">
        <f>_xlfn.XLOOKUP($A5890,Load!$B:$B,Load!L:L,0,)</f>
        <v>Regular/Original Wrapping</v>
      </c>
      <c r="L5890" t="str">
        <f>_xlfn.XLOOKUP($A5890,Load!$B:$B,Load!M:M,0,)</f>
        <v>Single Brand / Single Flavor or Form</v>
      </c>
    </row>
    <row r="5891" spans="1:12" x14ac:dyDescent="0.25">
      <c r="B5891">
        <f>_xlfn.XLOOKUP($A5891,Load!$B:$B,Load!C:C,0,)</f>
        <v>0</v>
      </c>
      <c r="C5891">
        <f>_xlfn.XLOOKUP($A5891,Load!$B:$B,Load!D:D,0,)</f>
        <v>0</v>
      </c>
      <c r="D5891">
        <f>_xlfn.XLOOKUP($A5891,Load!$B:$B,Load!E:E,0,)</f>
        <v>0</v>
      </c>
      <c r="E5891">
        <f>_xlfn.XLOOKUP($A5891,Load!$B:$B,Load!F:F,0,)</f>
        <v>0</v>
      </c>
      <c r="F5891">
        <f>_xlfn.XLOOKUP($A5891,Load!$B:$B,Load!G:G,0,)</f>
        <v>0</v>
      </c>
      <c r="G5891">
        <f>_xlfn.XLOOKUP($A5891,Load!$B:$B,Load!H:H,0,)</f>
        <v>0</v>
      </c>
      <c r="H5891">
        <f>_xlfn.XLOOKUP($A5891,Load!$B:$B,Load!I:I,0,)</f>
        <v>0</v>
      </c>
      <c r="I5891">
        <f>_xlfn.XLOOKUP($A5891,Load!$B:$B,Load!J:J,0,)</f>
        <v>0</v>
      </c>
      <c r="J5891">
        <f>_xlfn.XLOOKUP($A5891,Load!$B:$B,Load!K:K,0,)</f>
        <v>0</v>
      </c>
      <c r="K5891">
        <f>_xlfn.XLOOKUP($A5891,Load!$B:$B,Load!L:L,0,)</f>
        <v>0</v>
      </c>
      <c r="L5891">
        <f>_xlfn.XLOOKUP($A5891,Load!$B:$B,Load!M:M,0,)</f>
        <v>0</v>
      </c>
    </row>
    <row r="5892" spans="1:12" x14ac:dyDescent="0.25">
      <c r="A5892" t="s">
        <v>180</v>
      </c>
      <c r="B5892" t="str">
        <f>_xlfn.XLOOKUP($A5892,Load!$B:$B,Load!C:C,0,)</f>
        <v>Mars Variety Pack</v>
      </c>
      <c r="C5892" t="str">
        <f>_xlfn.XLOOKUP($A5892,Load!$B:$B,Load!D:D,0,)</f>
        <v>Mix of Chocolate and Non-Chocolate Candy</v>
      </c>
      <c r="D5892" t="str">
        <f>_xlfn.XLOOKUP($A5892,Load!$B:$B,Load!E:E,0,)</f>
        <v>Variety / Mixed Flavors (Fruity, Sour, Seasonal Flavors)</v>
      </c>
      <c r="E5892" t="str">
        <f>_xlfn.XLOOKUP($A5892,Load!$B:$B,Load!F:F,0,)</f>
        <v>Mixed / Combo Packs (Gummy, Chewy, Taffy, etc.)</v>
      </c>
      <c r="F5892" t="str">
        <f>_xlfn.XLOOKUP($A5892,Load!$B:$B,Load!G:G,0,)</f>
        <v>Large Multipack (More than 80 ct)</v>
      </c>
      <c r="G5892" t="str">
        <f>_xlfn.XLOOKUP($A5892,Load!$B:$B,Load!H:H,0,)</f>
        <v>Stand-Up Bag</v>
      </c>
      <c r="H5892" t="str">
        <f>_xlfn.XLOOKUP($A5892,Load!$B:$B,Load!I:I,0,)</f>
        <v>Everyday Candy Shapes (like Original, Gummy bear, Fruit, Jewels, etc.)</v>
      </c>
      <c r="I5892" t="str">
        <f>_xlfn.XLOOKUP($A5892,Load!$B:$B,Load!J:J,0,)</f>
        <v>Seasonal Graphics (Like Bat, Ghost, Pumpkin, Fall Leaves, Eyeballs, etc.)</v>
      </c>
      <c r="J5892" t="str">
        <f>_xlfn.XLOOKUP($A5892,Load!$B:$B,Load!K:K,0,)</f>
        <v>Fun Size / Treat Size</v>
      </c>
      <c r="K5892" t="str">
        <f>_xlfn.XLOOKUP($A5892,Load!$B:$B,Load!L:L,0,)</f>
        <v>Regular/Original Wrapping</v>
      </c>
      <c r="L5892" t="str">
        <f>_xlfn.XLOOKUP($A5892,Load!$B:$B,Load!M:M,0,)</f>
        <v>Multiple Brands / Variety Flavors or Form</v>
      </c>
    </row>
    <row r="5893" spans="1:12" x14ac:dyDescent="0.25">
      <c r="A5893" t="s">
        <v>201</v>
      </c>
      <c r="B5893" t="str">
        <f>_xlfn.XLOOKUP($A5893,Load!$B:$B,Load!C:C,0,)</f>
        <v>Mars Variety Pack</v>
      </c>
      <c r="C5893" t="str">
        <f>_xlfn.XLOOKUP($A5893,Load!$B:$B,Load!D:D,0,)</f>
        <v>Non-Chocolate Candy Only</v>
      </c>
      <c r="D5893" t="str">
        <f>_xlfn.XLOOKUP($A5893,Load!$B:$B,Load!E:E,0,)</f>
        <v>Variety / Mixed Flavors (Fruity, Sour, Seasonal Flavors)</v>
      </c>
      <c r="E5893" t="str">
        <f>_xlfn.XLOOKUP($A5893,Load!$B:$B,Load!F:F,0,)</f>
        <v>Mixed / Combo Packs (Gummy, Chewy, Taffy, etc.)</v>
      </c>
      <c r="F5893" t="str">
        <f>_xlfn.XLOOKUP($A5893,Load!$B:$B,Load!G:G,0,)</f>
        <v>Large Multipack (More than 80 ct)</v>
      </c>
      <c r="G5893" t="str">
        <f>_xlfn.XLOOKUP($A5893,Load!$B:$B,Load!H:H,0,)</f>
        <v>Stand-Up Bag</v>
      </c>
      <c r="H5893" t="str">
        <f>_xlfn.XLOOKUP($A5893,Load!$B:$B,Load!I:I,0,)</f>
        <v>Everyday Candy Shapes (like Original, Gummy bear, Fruit, Jewels, etc.)</v>
      </c>
      <c r="I5893" t="str">
        <f>_xlfn.XLOOKUP($A5893,Load!$B:$B,Load!J:J,0,)</f>
        <v>Everyday Graphics</v>
      </c>
      <c r="J5893" t="str">
        <f>_xlfn.XLOOKUP($A5893,Load!$B:$B,Load!K:K,0,)</f>
        <v>Fun Size / Treat Size</v>
      </c>
      <c r="K5893" t="str">
        <f>_xlfn.XLOOKUP($A5893,Load!$B:$B,Load!L:L,0,)</f>
        <v>Regular/Original Wrapping</v>
      </c>
      <c r="L5893" t="str">
        <f>_xlfn.XLOOKUP($A5893,Load!$B:$B,Load!M:M,0,)</f>
        <v>Multiple Brands / Variety Flavors or Form</v>
      </c>
    </row>
    <row r="5894" spans="1:12" x14ac:dyDescent="0.25">
      <c r="A5894" t="s">
        <v>183</v>
      </c>
      <c r="B5894" t="str">
        <f>_xlfn.XLOOKUP($A5894,Load!$B:$B,Load!C:C,0,)</f>
        <v>Mars Variety Pack</v>
      </c>
      <c r="C5894" t="str">
        <f>_xlfn.XLOOKUP($A5894,Load!$B:$B,Load!D:D,0,)</f>
        <v>Non-Chocolate Candy Only</v>
      </c>
      <c r="D5894" t="str">
        <f>_xlfn.XLOOKUP($A5894,Load!$B:$B,Load!E:E,0,)</f>
        <v>Variety / Mixed Flavors (Fruity, Sour, Seasonal Flavors)</v>
      </c>
      <c r="E5894" t="str">
        <f>_xlfn.XLOOKUP($A5894,Load!$B:$B,Load!F:F,0,)</f>
        <v>Mixed / Combo Packs (Gummy, Chewy, Taffy, etc.)</v>
      </c>
      <c r="F5894" t="str">
        <f>_xlfn.XLOOKUP($A5894,Load!$B:$B,Load!G:G,0,)</f>
        <v>Large Multipack (More than 80 ct)</v>
      </c>
      <c r="G5894" t="str">
        <f>_xlfn.XLOOKUP($A5894,Load!$B:$B,Load!H:H,0,)</f>
        <v>Stand-Up Bag</v>
      </c>
      <c r="H5894" t="str">
        <f>_xlfn.XLOOKUP($A5894,Load!$B:$B,Load!I:I,0,)</f>
        <v>Seasonal Shapes (like pumpkins, candy corn, ghost, bats, etc.)</v>
      </c>
      <c r="I5894" t="str">
        <f>_xlfn.XLOOKUP($A5894,Load!$B:$B,Load!J:J,0,)</f>
        <v>Seasonal Graphics (Like Bat, Ghost, Pumpkin, Fall Leaves, Eyeballs, etc.)</v>
      </c>
      <c r="J5894" t="str">
        <f>_xlfn.XLOOKUP($A5894,Load!$B:$B,Load!K:K,0,)</f>
        <v xml:space="preserve">Variety Candy Sizes </v>
      </c>
      <c r="K5894" t="str">
        <f>_xlfn.XLOOKUP($A5894,Load!$B:$B,Load!L:L,0,)</f>
        <v>Regular/Original Wrapping</v>
      </c>
      <c r="L5894" t="str">
        <f>_xlfn.XLOOKUP($A5894,Load!$B:$B,Load!M:M,0,)</f>
        <v>Multiple Brands / Variety Flavors or Form</v>
      </c>
    </row>
    <row r="5895" spans="1:12" x14ac:dyDescent="0.25">
      <c r="B5895">
        <f>_xlfn.XLOOKUP($A5895,Load!$B:$B,Load!C:C,0,)</f>
        <v>0</v>
      </c>
      <c r="C5895">
        <f>_xlfn.XLOOKUP($A5895,Load!$B:$B,Load!D:D,0,)</f>
        <v>0</v>
      </c>
      <c r="D5895">
        <f>_xlfn.XLOOKUP($A5895,Load!$B:$B,Load!E:E,0,)</f>
        <v>0</v>
      </c>
      <c r="E5895">
        <f>_xlfn.XLOOKUP($A5895,Load!$B:$B,Load!F:F,0,)</f>
        <v>0</v>
      </c>
      <c r="F5895">
        <f>_xlfn.XLOOKUP($A5895,Load!$B:$B,Load!G:G,0,)</f>
        <v>0</v>
      </c>
      <c r="G5895">
        <f>_xlfn.XLOOKUP($A5895,Load!$B:$B,Load!H:H,0,)</f>
        <v>0</v>
      </c>
      <c r="H5895">
        <f>_xlfn.XLOOKUP($A5895,Load!$B:$B,Load!I:I,0,)</f>
        <v>0</v>
      </c>
      <c r="I5895">
        <f>_xlfn.XLOOKUP($A5895,Load!$B:$B,Load!J:J,0,)</f>
        <v>0</v>
      </c>
      <c r="J5895">
        <f>_xlfn.XLOOKUP($A5895,Load!$B:$B,Load!K:K,0,)</f>
        <v>0</v>
      </c>
      <c r="K5895">
        <f>_xlfn.XLOOKUP($A5895,Load!$B:$B,Load!L:L,0,)</f>
        <v>0</v>
      </c>
      <c r="L5895">
        <f>_xlfn.XLOOKUP($A5895,Load!$B:$B,Load!M:M,0,)</f>
        <v>0</v>
      </c>
    </row>
    <row r="5896" spans="1:12" x14ac:dyDescent="0.25">
      <c r="A5896" t="s">
        <v>181</v>
      </c>
      <c r="B5896" t="str">
        <f>_xlfn.XLOOKUP($A5896,Load!$B:$B,Load!C:C,0,)</f>
        <v>Mars Variety Pack</v>
      </c>
      <c r="C5896" t="str">
        <f>_xlfn.XLOOKUP($A5896,Load!$B:$B,Load!D:D,0,)</f>
        <v>Mix of Chocolate and Non-Chocolate Candy</v>
      </c>
      <c r="D5896" t="str">
        <f>_xlfn.XLOOKUP($A5896,Load!$B:$B,Load!E:E,0,)</f>
        <v>Variety / Mixed Flavors (Fruity, Sour, Seasonal Flavors)</v>
      </c>
      <c r="E5896" t="str">
        <f>_xlfn.XLOOKUP($A5896,Load!$B:$B,Load!F:F,0,)</f>
        <v>Mixed / Combo Packs (Gummy, Chewy, Taffy, etc.)</v>
      </c>
      <c r="F5896" t="str">
        <f>_xlfn.XLOOKUP($A5896,Load!$B:$B,Load!G:G,0,)</f>
        <v>Large Multipack (More than 80 ct)</v>
      </c>
      <c r="G5896" t="str">
        <f>_xlfn.XLOOKUP($A5896,Load!$B:$B,Load!H:H,0,)</f>
        <v>Stand-Up Bag</v>
      </c>
      <c r="H5896" t="str">
        <f>_xlfn.XLOOKUP($A5896,Load!$B:$B,Load!I:I,0,)</f>
        <v>Everyday Candy Shapes (like Original, Gummy bear, Fruit, Jewels, etc.)</v>
      </c>
      <c r="I5896" t="str">
        <f>_xlfn.XLOOKUP($A5896,Load!$B:$B,Load!J:J,0,)</f>
        <v>Seasonal Graphics (Like Bat, Ghost, Pumpkin, Fall Leaves, Eyeballs, etc.)</v>
      </c>
      <c r="J5896" t="str">
        <f>_xlfn.XLOOKUP($A5896,Load!$B:$B,Load!K:K,0,)</f>
        <v>Fun Size / Treat Size</v>
      </c>
      <c r="K5896" t="str">
        <f>_xlfn.XLOOKUP($A5896,Load!$B:$B,Load!L:L,0,)</f>
        <v>Regular/Original Wrapping</v>
      </c>
      <c r="L5896" t="str">
        <f>_xlfn.XLOOKUP($A5896,Load!$B:$B,Load!M:M,0,)</f>
        <v>Multiple Brands / Variety Flavors or Form</v>
      </c>
    </row>
    <row r="5897" spans="1:12" x14ac:dyDescent="0.25">
      <c r="A5897" t="s">
        <v>204</v>
      </c>
      <c r="B5897" t="str">
        <f>_xlfn.XLOOKUP($A5897,Load!$B:$B,Load!C:C,0,)</f>
        <v>Mars Variety Pack</v>
      </c>
      <c r="C5897" t="str">
        <f>_xlfn.XLOOKUP($A5897,Load!$B:$B,Load!D:D,0,)</f>
        <v>Mix of Chocolate and Non-Chocolate Candy</v>
      </c>
      <c r="D5897" t="str">
        <f>_xlfn.XLOOKUP($A5897,Load!$B:$B,Load!E:E,0,)</f>
        <v>Variety / Mixed Flavors (Fruity, Sour, Seasonal Flavors)</v>
      </c>
      <c r="E5897" t="str">
        <f>_xlfn.XLOOKUP($A5897,Load!$B:$B,Load!F:F,0,)</f>
        <v>Mixed / Combo Packs (Gummy, Chewy, Taffy, etc.)</v>
      </c>
      <c r="F5897" t="str">
        <f>_xlfn.XLOOKUP($A5897,Load!$B:$B,Load!G:G,0,)</f>
        <v>Medium Multipack (40–80 ct)</v>
      </c>
      <c r="G5897" t="str">
        <f>_xlfn.XLOOKUP($A5897,Load!$B:$B,Load!H:H,0,)</f>
        <v>Stand-Up Bag</v>
      </c>
      <c r="H5897" t="str">
        <f>_xlfn.XLOOKUP($A5897,Load!$B:$B,Load!I:I,0,)</f>
        <v>Everyday Candy Shapes (like Original, Gummy bear, Fruit, Jewels, etc.)</v>
      </c>
      <c r="I5897" t="str">
        <f>_xlfn.XLOOKUP($A5897,Load!$B:$B,Load!J:J,0,)</f>
        <v>Everyday Graphics</v>
      </c>
      <c r="J5897" t="str">
        <f>_xlfn.XLOOKUP($A5897,Load!$B:$B,Load!K:K,0,)</f>
        <v>Fun Size / Treat Size</v>
      </c>
      <c r="K5897" t="str">
        <f>_xlfn.XLOOKUP($A5897,Load!$B:$B,Load!L:L,0,)</f>
        <v>Regular/Original Wrapping</v>
      </c>
      <c r="L5897" t="str">
        <f>_xlfn.XLOOKUP($A5897,Load!$B:$B,Load!M:M,0,)</f>
        <v>Multiple Brands / Variety Flavors or Form</v>
      </c>
    </row>
    <row r="5898" spans="1:12" x14ac:dyDescent="0.25">
      <c r="A5898" t="s">
        <v>217</v>
      </c>
      <c r="B5898" t="str">
        <f>_xlfn.XLOOKUP($A5898,Load!$B:$B,Load!C:C,0,)</f>
        <v>Mondelez Variety Pack</v>
      </c>
      <c r="C5898" t="str">
        <f>_xlfn.XLOOKUP($A5898,Load!$B:$B,Load!D:D,0,)</f>
        <v>Non-Chocolate Candy Only</v>
      </c>
      <c r="D5898" t="str">
        <f>_xlfn.XLOOKUP($A5898,Load!$B:$B,Load!E:E,0,)</f>
        <v>Sour</v>
      </c>
      <c r="E5898" t="str">
        <f>_xlfn.XLOOKUP($A5898,Load!$B:$B,Load!F:F,0,)</f>
        <v>Chewy</v>
      </c>
      <c r="F5898" t="str">
        <f>_xlfn.XLOOKUP($A5898,Load!$B:$B,Load!G:G,0,)</f>
        <v>Small Multipack (Less than 40 ct)</v>
      </c>
      <c r="G5898" t="str">
        <f>_xlfn.XLOOKUP($A5898,Load!$B:$B,Load!H:H,0,)</f>
        <v>Laydown Bag</v>
      </c>
      <c r="H5898" t="str">
        <f>_xlfn.XLOOKUP($A5898,Load!$B:$B,Load!I:I,0,)</f>
        <v>Seasonal Shapes (like pumpkins, candy corn, ghost, bats, etc.)</v>
      </c>
      <c r="I5898" t="str">
        <f>_xlfn.XLOOKUP($A5898,Load!$B:$B,Load!J:J,0,)</f>
        <v>Seasonal Graphics (Like Bat, Ghost, Pumpkin, Fall Leaves, Eyeballs, etc.)</v>
      </c>
      <c r="J5898" t="str">
        <f>_xlfn.XLOOKUP($A5898,Load!$B:$B,Load!K:K,0,)</f>
        <v>Small Pieces (Tiny bite size candies)</v>
      </c>
      <c r="K5898" t="str">
        <f>_xlfn.XLOOKUP($A5898,Load!$B:$B,Load!L:L,0,)</f>
        <v>Regular/Original Wrapping</v>
      </c>
      <c r="L5898" t="str">
        <f>_xlfn.XLOOKUP($A5898,Load!$B:$B,Load!M:M,0,)</f>
        <v>Multiple Brands / Variety Flavors or Form</v>
      </c>
    </row>
    <row r="5899" spans="1:12" x14ac:dyDescent="0.25">
      <c r="A5899" t="s">
        <v>32</v>
      </c>
      <c r="B5899" t="str">
        <f>_xlfn.XLOOKUP($A5899,Load!$B:$B,Load!C:C,0,)</f>
        <v>Bazooka Brands</v>
      </c>
      <c r="C5899" t="str">
        <f>_xlfn.XLOOKUP($A5899,Load!$B:$B,Load!D:D,0,)</f>
        <v>Non-Chocolate Candy Only</v>
      </c>
      <c r="D5899" t="str">
        <f>_xlfn.XLOOKUP($A5899,Load!$B:$B,Load!E:E,0,)</f>
        <v>Sweet</v>
      </c>
      <c r="E5899" t="str">
        <f>_xlfn.XLOOKUP($A5899,Load!$B:$B,Load!F:F,0,)</f>
        <v>Gummy</v>
      </c>
      <c r="F5899" t="str">
        <f>_xlfn.XLOOKUP($A5899,Load!$B:$B,Load!G:G,0,)</f>
        <v>Small Multipack (Less than 40 ct)</v>
      </c>
      <c r="G5899" t="str">
        <f>_xlfn.XLOOKUP($A5899,Load!$B:$B,Load!H:H,0,)</f>
        <v>Stand-Up Bag</v>
      </c>
      <c r="H5899" t="str">
        <f>_xlfn.XLOOKUP($A5899,Load!$B:$B,Load!I:I,0,)</f>
        <v>Seasonal Shapes (like pumpkins, candy corn, ghost, bats, etc.)</v>
      </c>
      <c r="I5899" t="str">
        <f>_xlfn.XLOOKUP($A5899,Load!$B:$B,Load!J:J,0,)</f>
        <v>Seasonal Graphics (Like Bat, Ghost, Pumpkin, Fall Leaves, Eyeballs, etc.)</v>
      </c>
      <c r="J5899" t="str">
        <f>_xlfn.XLOOKUP($A5899,Load!$B:$B,Load!K:K,0,)</f>
        <v>Fun Size / Treat Size</v>
      </c>
      <c r="K5899" t="str">
        <f>_xlfn.XLOOKUP($A5899,Load!$B:$B,Load!L:L,0,)</f>
        <v>Regular/Original Wrapping</v>
      </c>
      <c r="L5899" t="str">
        <f>_xlfn.XLOOKUP($A5899,Load!$B:$B,Load!M:M,0,)</f>
        <v>Multiple Brands / Variety Flavors or Form</v>
      </c>
    </row>
    <row r="5900" spans="1:12" x14ac:dyDescent="0.25">
      <c r="A5900" t="s">
        <v>298</v>
      </c>
      <c r="B5900" t="str">
        <f>_xlfn.XLOOKUP($A5900,Load!$B:$B,Load!C:C,0,)</f>
        <v>Trolli</v>
      </c>
      <c r="C5900" t="str">
        <f>_xlfn.XLOOKUP($A5900,Load!$B:$B,Load!D:D,0,)</f>
        <v>Non-Chocolate Candy Only</v>
      </c>
      <c r="D5900" t="str">
        <f>_xlfn.XLOOKUP($A5900,Load!$B:$B,Load!E:E,0,)</f>
        <v>Variety / Mixed Flavors (Fruity, Sour, Seasonal Flavors)</v>
      </c>
      <c r="E5900" t="str">
        <f>_xlfn.XLOOKUP($A5900,Load!$B:$B,Load!F:F,0,)</f>
        <v>Gummy</v>
      </c>
      <c r="F5900" t="str">
        <f>_xlfn.XLOOKUP($A5900,Load!$B:$B,Load!G:G,0,)</f>
        <v>Small Multipack (Less than 40 ct)</v>
      </c>
      <c r="G5900" t="str">
        <f>_xlfn.XLOOKUP($A5900,Load!$B:$B,Load!H:H,0,)</f>
        <v>Laydown Bag</v>
      </c>
      <c r="H5900" t="str">
        <f>_xlfn.XLOOKUP($A5900,Load!$B:$B,Load!I:I,0,)</f>
        <v>Everyday Candy Shapes (like Original, Gummy bear, Fruit, Jewels, etc.)</v>
      </c>
      <c r="I5900" t="str">
        <f>_xlfn.XLOOKUP($A5900,Load!$B:$B,Load!J:J,0,)</f>
        <v>Seasonal Graphics (Like Bat, Ghost, Pumpkin, Fall Leaves, Eyeballs, etc.)</v>
      </c>
      <c r="J5900" t="str">
        <f>_xlfn.XLOOKUP($A5900,Load!$B:$B,Load!K:K,0,)</f>
        <v>Small Pieces (Tiny bite size candies)</v>
      </c>
      <c r="K5900" t="str">
        <f>_xlfn.XLOOKUP($A5900,Load!$B:$B,Load!L:L,0,)</f>
        <v>Unwrapped</v>
      </c>
      <c r="L5900" t="str">
        <f>_xlfn.XLOOKUP($A5900,Load!$B:$B,Load!M:M,0,)</f>
        <v>Single Brand / Variety Flavors or Form</v>
      </c>
    </row>
    <row r="5901" spans="1:12" x14ac:dyDescent="0.25">
      <c r="B5901">
        <f>_xlfn.XLOOKUP($A5901,Load!$B:$B,Load!C:C,0,)</f>
        <v>0</v>
      </c>
      <c r="C5901">
        <f>_xlfn.XLOOKUP($A5901,Load!$B:$B,Load!D:D,0,)</f>
        <v>0</v>
      </c>
      <c r="D5901">
        <f>_xlfn.XLOOKUP($A5901,Load!$B:$B,Load!E:E,0,)</f>
        <v>0</v>
      </c>
      <c r="E5901">
        <f>_xlfn.XLOOKUP($A5901,Load!$B:$B,Load!F:F,0,)</f>
        <v>0</v>
      </c>
      <c r="F5901">
        <f>_xlfn.XLOOKUP($A5901,Load!$B:$B,Load!G:G,0,)</f>
        <v>0</v>
      </c>
      <c r="G5901">
        <f>_xlfn.XLOOKUP($A5901,Load!$B:$B,Load!H:H,0,)</f>
        <v>0</v>
      </c>
      <c r="H5901">
        <f>_xlfn.XLOOKUP($A5901,Load!$B:$B,Load!I:I,0,)</f>
        <v>0</v>
      </c>
      <c r="I5901">
        <f>_xlfn.XLOOKUP($A5901,Load!$B:$B,Load!J:J,0,)</f>
        <v>0</v>
      </c>
      <c r="J5901">
        <f>_xlfn.XLOOKUP($A5901,Load!$B:$B,Load!K:K,0,)</f>
        <v>0</v>
      </c>
      <c r="K5901">
        <f>_xlfn.XLOOKUP($A5901,Load!$B:$B,Load!L:L,0,)</f>
        <v>0</v>
      </c>
      <c r="L5901">
        <f>_xlfn.XLOOKUP($A5901,Load!$B:$B,Load!M:M,0,)</f>
        <v>0</v>
      </c>
    </row>
    <row r="5902" spans="1:12" x14ac:dyDescent="0.25">
      <c r="A5902" t="s">
        <v>85</v>
      </c>
      <c r="B5902" t="str">
        <f>_xlfn.XLOOKUP($A5902,Load!$B:$B,Load!C:C,0,)</f>
        <v>Ferrara Variety Pack</v>
      </c>
      <c r="C5902" t="str">
        <f>_xlfn.XLOOKUP($A5902,Load!$B:$B,Load!D:D,0,)</f>
        <v>Non-Chocolate Candy Only</v>
      </c>
      <c r="D5902" t="str">
        <f>_xlfn.XLOOKUP($A5902,Load!$B:$B,Load!E:E,0,)</f>
        <v>Variety / Mixed Flavors (Fruity, Sour, Seasonal Flavors)</v>
      </c>
      <c r="E5902" t="str">
        <f>_xlfn.XLOOKUP($A5902,Load!$B:$B,Load!F:F,0,)</f>
        <v>Mixed / Combo Packs (Gummy, Chewy, Taffy, etc.)</v>
      </c>
      <c r="F5902" t="str">
        <f>_xlfn.XLOOKUP($A5902,Load!$B:$B,Load!G:G,0,)</f>
        <v>Large Multipack (More than 80 ct)</v>
      </c>
      <c r="G5902" t="str">
        <f>_xlfn.XLOOKUP($A5902,Load!$B:$B,Load!H:H,0,)</f>
        <v>Stand-Up Bag</v>
      </c>
      <c r="H5902" t="str">
        <f>_xlfn.XLOOKUP($A5902,Load!$B:$B,Load!I:I,0,)</f>
        <v>Seasonal Shapes (like pumpkins, candy corn, ghost, bats, etc.)</v>
      </c>
      <c r="I5902" t="str">
        <f>_xlfn.XLOOKUP($A5902,Load!$B:$B,Load!J:J,0,)</f>
        <v>Seasonal Graphics (Like Bat, Ghost, Pumpkin, Fall Leaves, Eyeballs, etc.)</v>
      </c>
      <c r="J5902" t="str">
        <f>_xlfn.XLOOKUP($A5902,Load!$B:$B,Load!K:K,0,)</f>
        <v>Fun Size / Treat Size</v>
      </c>
      <c r="K5902" t="str">
        <f>_xlfn.XLOOKUP($A5902,Load!$B:$B,Load!L:L,0,)</f>
        <v>Regular/Original Wrapping</v>
      </c>
      <c r="L5902" t="str">
        <f>_xlfn.XLOOKUP($A5902,Load!$B:$B,Load!M:M,0,)</f>
        <v>Multiple Brands / Variety Flavors or Form</v>
      </c>
    </row>
    <row r="5903" spans="1:12" x14ac:dyDescent="0.25">
      <c r="A5903" t="s">
        <v>183</v>
      </c>
      <c r="B5903" t="str">
        <f>_xlfn.XLOOKUP($A5903,Load!$B:$B,Load!C:C,0,)</f>
        <v>Mars Variety Pack</v>
      </c>
      <c r="C5903" t="str">
        <f>_xlfn.XLOOKUP($A5903,Load!$B:$B,Load!D:D,0,)</f>
        <v>Non-Chocolate Candy Only</v>
      </c>
      <c r="D5903" t="str">
        <f>_xlfn.XLOOKUP($A5903,Load!$B:$B,Load!E:E,0,)</f>
        <v>Variety / Mixed Flavors (Fruity, Sour, Seasonal Flavors)</v>
      </c>
      <c r="E5903" t="str">
        <f>_xlfn.XLOOKUP($A5903,Load!$B:$B,Load!F:F,0,)</f>
        <v>Mixed / Combo Packs (Gummy, Chewy, Taffy, etc.)</v>
      </c>
      <c r="F5903" t="str">
        <f>_xlfn.XLOOKUP($A5903,Load!$B:$B,Load!G:G,0,)</f>
        <v>Large Multipack (More than 80 ct)</v>
      </c>
      <c r="G5903" t="str">
        <f>_xlfn.XLOOKUP($A5903,Load!$B:$B,Load!H:H,0,)</f>
        <v>Stand-Up Bag</v>
      </c>
      <c r="H5903" t="str">
        <f>_xlfn.XLOOKUP($A5903,Load!$B:$B,Load!I:I,0,)</f>
        <v>Seasonal Shapes (like pumpkins, candy corn, ghost, bats, etc.)</v>
      </c>
      <c r="I5903" t="str">
        <f>_xlfn.XLOOKUP($A5903,Load!$B:$B,Load!J:J,0,)</f>
        <v>Seasonal Graphics (Like Bat, Ghost, Pumpkin, Fall Leaves, Eyeballs, etc.)</v>
      </c>
      <c r="J5903" t="str">
        <f>_xlfn.XLOOKUP($A5903,Load!$B:$B,Load!K:K,0,)</f>
        <v xml:space="preserve">Variety Candy Sizes </v>
      </c>
      <c r="K5903" t="str">
        <f>_xlfn.XLOOKUP($A5903,Load!$B:$B,Load!L:L,0,)</f>
        <v>Regular/Original Wrapping</v>
      </c>
      <c r="L5903" t="str">
        <f>_xlfn.XLOOKUP($A5903,Load!$B:$B,Load!M:M,0,)</f>
        <v>Multiple Brands / Variety Flavors or Form</v>
      </c>
    </row>
    <row r="5904" spans="1:12" x14ac:dyDescent="0.25">
      <c r="A5904" t="s">
        <v>220</v>
      </c>
      <c r="B5904" t="str">
        <f>_xlfn.XLOOKUP($A5904,Load!$B:$B,Load!C:C,0,)</f>
        <v>Mondelez Variety Pack</v>
      </c>
      <c r="C5904" t="str">
        <f>_xlfn.XLOOKUP($A5904,Load!$B:$B,Load!D:D,0,)</f>
        <v>Non-Chocolate Candy Only</v>
      </c>
      <c r="D5904" t="str">
        <f>_xlfn.XLOOKUP($A5904,Load!$B:$B,Load!E:E,0,)</f>
        <v>Variety / Mixed Flavors (Fruity, Sour, Seasonal Flavors)</v>
      </c>
      <c r="E5904" t="str">
        <f>_xlfn.XLOOKUP($A5904,Load!$B:$B,Load!F:F,0,)</f>
        <v>Chewy</v>
      </c>
      <c r="F5904" t="str">
        <f>_xlfn.XLOOKUP($A5904,Load!$B:$B,Load!G:G,0,)</f>
        <v>Large Multipack (More than 80 ct)</v>
      </c>
      <c r="G5904" t="str">
        <f>_xlfn.XLOOKUP($A5904,Load!$B:$B,Load!H:H,0,)</f>
        <v>Stand-Up Bag</v>
      </c>
      <c r="H5904" t="str">
        <f>_xlfn.XLOOKUP($A5904,Load!$B:$B,Load!I:I,0,)</f>
        <v>Seasonal Shapes (like pumpkins, candy corn, ghost, bats, etc.)</v>
      </c>
      <c r="I5904" t="str">
        <f>_xlfn.XLOOKUP($A5904,Load!$B:$B,Load!J:J,0,)</f>
        <v>Seasonal Graphics (Like Bat, Ghost, Pumpkin, Fall Leaves, Eyeballs, etc.)</v>
      </c>
      <c r="J5904" t="str">
        <f>_xlfn.XLOOKUP($A5904,Load!$B:$B,Load!K:K,0,)</f>
        <v>Small Pieces (Tiny bite size candies)</v>
      </c>
      <c r="K5904" t="str">
        <f>_xlfn.XLOOKUP($A5904,Load!$B:$B,Load!L:L,0,)</f>
        <v>Regular/Original Wrapping</v>
      </c>
      <c r="L5904" t="str">
        <f>_xlfn.XLOOKUP($A5904,Load!$B:$B,Load!M:M,0,)</f>
        <v>Single Brand / Variety Flavors or Form</v>
      </c>
    </row>
    <row r="5905" spans="1:12" x14ac:dyDescent="0.25">
      <c r="B5905">
        <f>_xlfn.XLOOKUP($A5905,Load!$B:$B,Load!C:C,0,)</f>
        <v>0</v>
      </c>
      <c r="C5905">
        <f>_xlfn.XLOOKUP($A5905,Load!$B:$B,Load!D:D,0,)</f>
        <v>0</v>
      </c>
      <c r="D5905">
        <f>_xlfn.XLOOKUP($A5905,Load!$B:$B,Load!E:E,0,)</f>
        <v>0</v>
      </c>
      <c r="E5905">
        <f>_xlfn.XLOOKUP($A5905,Load!$B:$B,Load!F:F,0,)</f>
        <v>0</v>
      </c>
      <c r="F5905">
        <f>_xlfn.XLOOKUP($A5905,Load!$B:$B,Load!G:G,0,)</f>
        <v>0</v>
      </c>
      <c r="G5905">
        <f>_xlfn.XLOOKUP($A5905,Load!$B:$B,Load!H:H,0,)</f>
        <v>0</v>
      </c>
      <c r="H5905">
        <f>_xlfn.XLOOKUP($A5905,Load!$B:$B,Load!I:I,0,)</f>
        <v>0</v>
      </c>
      <c r="I5905">
        <f>_xlfn.XLOOKUP($A5905,Load!$B:$B,Load!J:J,0,)</f>
        <v>0</v>
      </c>
      <c r="J5905">
        <f>_xlfn.XLOOKUP($A5905,Load!$B:$B,Load!K:K,0,)</f>
        <v>0</v>
      </c>
      <c r="K5905">
        <f>_xlfn.XLOOKUP($A5905,Load!$B:$B,Load!L:L,0,)</f>
        <v>0</v>
      </c>
      <c r="L5905">
        <f>_xlfn.XLOOKUP($A5905,Load!$B:$B,Load!M:M,0,)</f>
        <v>0</v>
      </c>
    </row>
    <row r="5906" spans="1:12" x14ac:dyDescent="0.25">
      <c r="A5906" t="s">
        <v>226</v>
      </c>
      <c r="B5906" t="str">
        <f>_xlfn.XLOOKUP($A5906,Load!$B:$B,Load!C:C,0,)</f>
        <v>Nerds</v>
      </c>
      <c r="C5906" t="str">
        <f>_xlfn.XLOOKUP($A5906,Load!$B:$B,Load!D:D,0,)</f>
        <v>Non-Chocolate Candy Only</v>
      </c>
      <c r="D5906" t="str">
        <f>_xlfn.XLOOKUP($A5906,Load!$B:$B,Load!E:E,0,)</f>
        <v>Sweet</v>
      </c>
      <c r="E5906" t="str">
        <f>_xlfn.XLOOKUP($A5906,Load!$B:$B,Load!F:F,0,)</f>
        <v>Gummy</v>
      </c>
      <c r="F5906" t="str">
        <f>_xlfn.XLOOKUP($A5906,Load!$B:$B,Load!G:G,0,)</f>
        <v>Single Pack</v>
      </c>
      <c r="G5906" t="str">
        <f>_xlfn.XLOOKUP($A5906,Load!$B:$B,Load!H:H,0,)</f>
        <v>Laydown Bag</v>
      </c>
      <c r="H5906" t="str">
        <f>_xlfn.XLOOKUP($A5906,Load!$B:$B,Load!I:I,0,)</f>
        <v>Seasonal Shapes (like pumpkins, candy corn, ghost, bats, etc.)</v>
      </c>
      <c r="I5906" t="str">
        <f>_xlfn.XLOOKUP($A5906,Load!$B:$B,Load!J:J,0,)</f>
        <v>Seasonal Graphics (Like Bat, Ghost, Pumpkin, Fall Leaves, Eyeballs, etc.)</v>
      </c>
      <c r="J5906" t="str">
        <f>_xlfn.XLOOKUP($A5906,Load!$B:$B,Load!K:K,0,)</f>
        <v>Fun Size / Treat Size</v>
      </c>
      <c r="K5906" t="str">
        <f>_xlfn.XLOOKUP($A5906,Load!$B:$B,Load!L:L,0,)</f>
        <v>Unwrapped</v>
      </c>
      <c r="L5906" t="str">
        <f>_xlfn.XLOOKUP($A5906,Load!$B:$B,Load!M:M,0,)</f>
        <v>Single Brand / Single Flavor or Form</v>
      </c>
    </row>
    <row r="5907" spans="1:12" x14ac:dyDescent="0.25">
      <c r="A5907" t="s">
        <v>251</v>
      </c>
      <c r="B5907" t="str">
        <f>_xlfn.XLOOKUP($A5907,Load!$B:$B,Load!C:C,0,)</f>
        <v>Shaq-A-Licious</v>
      </c>
      <c r="C5907" t="str">
        <f>_xlfn.XLOOKUP($A5907,Load!$B:$B,Load!D:D,0,)</f>
        <v>Non-Chocolate Candy Only</v>
      </c>
      <c r="D5907" t="str">
        <f>_xlfn.XLOOKUP($A5907,Load!$B:$B,Load!E:E,0,)</f>
        <v>Fruit Flavor (Cherry, Grape, Apple, Citrus, Tropical Fruit)</v>
      </c>
      <c r="E5907" t="str">
        <f>_xlfn.XLOOKUP($A5907,Load!$B:$B,Load!F:F,0,)</f>
        <v>Gummy</v>
      </c>
      <c r="F5907" t="str">
        <f>_xlfn.XLOOKUP($A5907,Load!$B:$B,Load!G:G,0,)</f>
        <v>Small Multipack (Less than 40 ct)</v>
      </c>
      <c r="G5907" t="str">
        <f>_xlfn.XLOOKUP($A5907,Load!$B:$B,Load!H:H,0,)</f>
        <v>Laydown Bag</v>
      </c>
      <c r="H5907" t="str">
        <f>_xlfn.XLOOKUP($A5907,Load!$B:$B,Load!I:I,0,)</f>
        <v>Seasonal Shapes (like pumpkins, candy corn, ghost, bats, etc.)</v>
      </c>
      <c r="I5907" t="str">
        <f>_xlfn.XLOOKUP($A5907,Load!$B:$B,Load!J:J,0,)</f>
        <v>Seasonal Graphics (Like Bat, Ghost, Pumpkin, Fall Leaves, Eyeballs, etc.)</v>
      </c>
      <c r="J5907" t="str">
        <f>_xlfn.XLOOKUP($A5907,Load!$B:$B,Load!K:K,0,)</f>
        <v>Fun Size / Treat Size</v>
      </c>
      <c r="K5907" t="str">
        <f>_xlfn.XLOOKUP($A5907,Load!$B:$B,Load!L:L,0,)</f>
        <v>Regular/Original Wrapping</v>
      </c>
      <c r="L5907" t="str">
        <f>_xlfn.XLOOKUP($A5907,Load!$B:$B,Load!M:M,0,)</f>
        <v>Single Brand / Variety Flavors or Form</v>
      </c>
    </row>
    <row r="5908" spans="1:12" x14ac:dyDescent="0.25">
      <c r="A5908" t="s">
        <v>185</v>
      </c>
      <c r="B5908" t="str">
        <f>_xlfn.XLOOKUP($A5908,Load!$B:$B,Load!C:C,0,)</f>
        <v>Mars Variety Pack</v>
      </c>
      <c r="C5908" t="str">
        <f>_xlfn.XLOOKUP($A5908,Load!$B:$B,Load!D:D,0,)</f>
        <v>Mix of Chocolate and Non-Chocolate Candy</v>
      </c>
      <c r="D5908" t="str">
        <f>_xlfn.XLOOKUP($A5908,Load!$B:$B,Load!E:E,0,)</f>
        <v>Variety / Mixed Flavors (Fruity, Sour, Seasonal Flavors)</v>
      </c>
      <c r="E5908" t="str">
        <f>_xlfn.XLOOKUP($A5908,Load!$B:$B,Load!F:F,0,)</f>
        <v>Mixed / Combo Packs (Gummy, Chewy, Taffy, etc.)</v>
      </c>
      <c r="F5908" t="str">
        <f>_xlfn.XLOOKUP($A5908,Load!$B:$B,Load!G:G,0,)</f>
        <v>Large Multipack (More than 80 ct)</v>
      </c>
      <c r="G5908" t="str">
        <f>_xlfn.XLOOKUP($A5908,Load!$B:$B,Load!H:H,0,)</f>
        <v>Stand-Up Bag</v>
      </c>
      <c r="H5908" t="str">
        <f>_xlfn.XLOOKUP($A5908,Load!$B:$B,Load!I:I,0,)</f>
        <v>Everyday Candy Shapes (like Original, Gummy bear, Fruit, Jewels, etc.)</v>
      </c>
      <c r="I5908" t="str">
        <f>_xlfn.XLOOKUP($A5908,Load!$B:$B,Load!J:J,0,)</f>
        <v>Seasonal Graphics (Like Bat, Ghost, Pumpkin, Fall Leaves, Eyeballs, etc.)</v>
      </c>
      <c r="J5908" t="str">
        <f>_xlfn.XLOOKUP($A5908,Load!$B:$B,Load!K:K,0,)</f>
        <v>Fun Size / Treat Size</v>
      </c>
      <c r="K5908" t="str">
        <f>_xlfn.XLOOKUP($A5908,Load!$B:$B,Load!L:L,0,)</f>
        <v>Regular/Original Wrapping</v>
      </c>
      <c r="L5908" t="str">
        <f>_xlfn.XLOOKUP($A5908,Load!$B:$B,Load!M:M,0,)</f>
        <v>Multiple Brands / Variety Flavors or Form</v>
      </c>
    </row>
    <row r="5909" spans="1:12" x14ac:dyDescent="0.25">
      <c r="B5909">
        <f>_xlfn.XLOOKUP($A5909,Load!$B:$B,Load!C:C,0,)</f>
        <v>0</v>
      </c>
      <c r="C5909">
        <f>_xlfn.XLOOKUP($A5909,Load!$B:$B,Load!D:D,0,)</f>
        <v>0</v>
      </c>
      <c r="D5909">
        <f>_xlfn.XLOOKUP($A5909,Load!$B:$B,Load!E:E,0,)</f>
        <v>0</v>
      </c>
      <c r="E5909">
        <f>_xlfn.XLOOKUP($A5909,Load!$B:$B,Load!F:F,0,)</f>
        <v>0</v>
      </c>
      <c r="F5909">
        <f>_xlfn.XLOOKUP($A5909,Load!$B:$B,Load!G:G,0,)</f>
        <v>0</v>
      </c>
      <c r="G5909">
        <f>_xlfn.XLOOKUP($A5909,Load!$B:$B,Load!H:H,0,)</f>
        <v>0</v>
      </c>
      <c r="H5909">
        <f>_xlfn.XLOOKUP($A5909,Load!$B:$B,Load!I:I,0,)</f>
        <v>0</v>
      </c>
      <c r="I5909">
        <f>_xlfn.XLOOKUP($A5909,Load!$B:$B,Load!J:J,0,)</f>
        <v>0</v>
      </c>
      <c r="J5909">
        <f>_xlfn.XLOOKUP($A5909,Load!$B:$B,Load!K:K,0,)</f>
        <v>0</v>
      </c>
      <c r="K5909">
        <f>_xlfn.XLOOKUP($A5909,Load!$B:$B,Load!L:L,0,)</f>
        <v>0</v>
      </c>
      <c r="L5909">
        <f>_xlfn.XLOOKUP($A5909,Load!$B:$B,Load!M:M,0,)</f>
        <v>0</v>
      </c>
    </row>
    <row r="5910" spans="1:12" x14ac:dyDescent="0.25">
      <c r="A5910" t="s">
        <v>120</v>
      </c>
      <c r="B5910" t="str">
        <f>_xlfn.XLOOKUP($A5910,Load!$B:$B,Load!C:C,0,)</f>
        <v>HARIBO</v>
      </c>
      <c r="C5910" t="str">
        <f>_xlfn.XLOOKUP($A5910,Load!$B:$B,Load!D:D,0,)</f>
        <v>Non-Chocolate Candy Only</v>
      </c>
      <c r="D5910" t="str">
        <f>_xlfn.XLOOKUP($A5910,Load!$B:$B,Load!E:E,0,)</f>
        <v>Variety / Mixed Flavors (Fruity, Sour, Seasonal Flavors)</v>
      </c>
      <c r="E5910" t="str">
        <f>_xlfn.XLOOKUP($A5910,Load!$B:$B,Load!F:F,0,)</f>
        <v>Mixed / Combo Packs (Gummy, Chewy, Taffy, etc.)</v>
      </c>
      <c r="F5910" t="str">
        <f>_xlfn.XLOOKUP($A5910,Load!$B:$B,Load!G:G,0,)</f>
        <v>Medium Multipack (40–80 ct)</v>
      </c>
      <c r="G5910" t="str">
        <f>_xlfn.XLOOKUP($A5910,Load!$B:$B,Load!H:H,0,)</f>
        <v>Laydown Bag</v>
      </c>
      <c r="H5910" t="str">
        <f>_xlfn.XLOOKUP($A5910,Load!$B:$B,Load!I:I,0,)</f>
        <v>Seasonal Shapes (like pumpkins, candy corn, ghost, bats, etc.)</v>
      </c>
      <c r="I5910" t="str">
        <f>_xlfn.XLOOKUP($A5910,Load!$B:$B,Load!J:J,0,)</f>
        <v>Seasonal Graphics (Like Bat, Ghost, Pumpkin, Fall Leaves, Eyeballs, etc.)</v>
      </c>
      <c r="J5910" t="str">
        <f>_xlfn.XLOOKUP($A5910,Load!$B:$B,Load!K:K,0,)</f>
        <v>Small Pieces (Tiny bite size candies)</v>
      </c>
      <c r="K5910" t="str">
        <f>_xlfn.XLOOKUP($A5910,Load!$B:$B,Load!L:L,0,)</f>
        <v>Regular/Original Wrapping</v>
      </c>
      <c r="L5910" t="str">
        <f>_xlfn.XLOOKUP($A5910,Load!$B:$B,Load!M:M,0,)</f>
        <v>Single Brand / Variety Flavors or Form</v>
      </c>
    </row>
    <row r="5911" spans="1:12" x14ac:dyDescent="0.25">
      <c r="A5911" t="s">
        <v>237</v>
      </c>
      <c r="B5911" t="str">
        <f>_xlfn.XLOOKUP($A5911,Load!$B:$B,Load!C:C,0,)</f>
        <v>Now &amp; Later</v>
      </c>
      <c r="C5911" t="str">
        <f>_xlfn.XLOOKUP($A5911,Load!$B:$B,Load!D:D,0,)</f>
        <v>Non-Chocolate Candy Only</v>
      </c>
      <c r="D5911" t="str">
        <f>_xlfn.XLOOKUP($A5911,Load!$B:$B,Load!E:E,0,)</f>
        <v>Fruit Flavor (Cherry, Grape, Apple, Citrus, Tropical Fruit)</v>
      </c>
      <c r="E5911" t="str">
        <f>_xlfn.XLOOKUP($A5911,Load!$B:$B,Load!F:F,0,)</f>
        <v>Chewy</v>
      </c>
      <c r="F5911" t="str">
        <f>_xlfn.XLOOKUP($A5911,Load!$B:$B,Load!G:G,0,)</f>
        <v>Medium Multipack (40–80 ct)</v>
      </c>
      <c r="G5911" t="str">
        <f>_xlfn.XLOOKUP($A5911,Load!$B:$B,Load!H:H,0,)</f>
        <v>Laydown Bag</v>
      </c>
      <c r="H5911" t="str">
        <f>_xlfn.XLOOKUP($A5911,Load!$B:$B,Load!I:I,0,)</f>
        <v>Everyday Candy Shapes (like Original, Gummy bear, Fruit, Jewels, etc.)</v>
      </c>
      <c r="I5911" t="str">
        <f>_xlfn.XLOOKUP($A5911,Load!$B:$B,Load!J:J,0,)</f>
        <v>Seasonal Graphics (Like Bat, Ghost, Pumpkin, Fall Leaves, Eyeballs, etc.)</v>
      </c>
      <c r="J5911" t="str">
        <f>_xlfn.XLOOKUP($A5911,Load!$B:$B,Load!K:K,0,)</f>
        <v>Small Pieces (Tiny bite size candies)</v>
      </c>
      <c r="K5911" t="str">
        <f>_xlfn.XLOOKUP($A5911,Load!$B:$B,Load!L:L,0,)</f>
        <v>Regular/Original Wrapping</v>
      </c>
      <c r="L5911" t="str">
        <f>_xlfn.XLOOKUP($A5911,Load!$B:$B,Load!M:M,0,)</f>
        <v>Single Brand / Variety Flavors or Form</v>
      </c>
    </row>
    <row r="5912" spans="1:12" x14ac:dyDescent="0.25">
      <c r="A5912" t="s">
        <v>12</v>
      </c>
      <c r="B5912" t="str">
        <f>_xlfn.XLOOKUP($A5912,Load!$B:$B,Load!C:C,0,)</f>
        <v>Airheads</v>
      </c>
      <c r="C5912" t="str">
        <f>_xlfn.XLOOKUP($A5912,Load!$B:$B,Load!D:D,0,)</f>
        <v>Non-Chocolate Candy Only</v>
      </c>
      <c r="D5912" t="str">
        <f>_xlfn.XLOOKUP($A5912,Load!$B:$B,Load!E:E,0,)</f>
        <v>Berry Based (Raspberry, Strawberry, Medley, etc.)</v>
      </c>
      <c r="E5912" t="str">
        <f>_xlfn.XLOOKUP($A5912,Load!$B:$B,Load!F:F,0,)</f>
        <v>Chewy</v>
      </c>
      <c r="F5912" t="str">
        <f>_xlfn.XLOOKUP($A5912,Load!$B:$B,Load!G:G,0,)</f>
        <v>Single Pack</v>
      </c>
      <c r="G5912" t="str">
        <f>_xlfn.XLOOKUP($A5912,Load!$B:$B,Load!H:H,0,)</f>
        <v>Laydown Bag</v>
      </c>
      <c r="H5912" t="str">
        <f>_xlfn.XLOOKUP($A5912,Load!$B:$B,Load!I:I,0,)</f>
        <v>Everyday Candy Shapes (like Original, Gummy bear, Fruit, Jewels, etc.)</v>
      </c>
      <c r="I5912" t="str">
        <f>_xlfn.XLOOKUP($A5912,Load!$B:$B,Load!J:J,0,)</f>
        <v>Everyday Graphics</v>
      </c>
      <c r="J5912" t="str">
        <f>_xlfn.XLOOKUP($A5912,Load!$B:$B,Load!K:K,0,)</f>
        <v>Fun Size / Treat Size</v>
      </c>
      <c r="K5912" t="str">
        <f>_xlfn.XLOOKUP($A5912,Load!$B:$B,Load!L:L,0,)</f>
        <v>Unwrapped</v>
      </c>
      <c r="L5912" t="str">
        <f>_xlfn.XLOOKUP($A5912,Load!$B:$B,Load!M:M,0,)</f>
        <v>Single Brand / Single Flavor or Form</v>
      </c>
    </row>
    <row r="5913" spans="1:12" x14ac:dyDescent="0.25">
      <c r="B5913">
        <f>_xlfn.XLOOKUP($A5913,Load!$B:$B,Load!C:C,0,)</f>
        <v>0</v>
      </c>
      <c r="C5913">
        <f>_xlfn.XLOOKUP($A5913,Load!$B:$B,Load!D:D,0,)</f>
        <v>0</v>
      </c>
      <c r="D5913">
        <f>_xlfn.XLOOKUP($A5913,Load!$B:$B,Load!E:E,0,)</f>
        <v>0</v>
      </c>
      <c r="E5913">
        <f>_xlfn.XLOOKUP($A5913,Load!$B:$B,Load!F:F,0,)</f>
        <v>0</v>
      </c>
      <c r="F5913">
        <f>_xlfn.XLOOKUP($A5913,Load!$B:$B,Load!G:G,0,)</f>
        <v>0</v>
      </c>
      <c r="G5913">
        <f>_xlfn.XLOOKUP($A5913,Load!$B:$B,Load!H:H,0,)</f>
        <v>0</v>
      </c>
      <c r="H5913">
        <f>_xlfn.XLOOKUP($A5913,Load!$B:$B,Load!I:I,0,)</f>
        <v>0</v>
      </c>
      <c r="I5913">
        <f>_xlfn.XLOOKUP($A5913,Load!$B:$B,Load!J:J,0,)</f>
        <v>0</v>
      </c>
      <c r="J5913">
        <f>_xlfn.XLOOKUP($A5913,Load!$B:$B,Load!K:K,0,)</f>
        <v>0</v>
      </c>
      <c r="K5913">
        <f>_xlfn.XLOOKUP($A5913,Load!$B:$B,Load!L:L,0,)</f>
        <v>0</v>
      </c>
      <c r="L5913">
        <f>_xlfn.XLOOKUP($A5913,Load!$B:$B,Load!M:M,0,)</f>
        <v>0</v>
      </c>
    </row>
    <row r="5914" spans="1:12" x14ac:dyDescent="0.25">
      <c r="A5914" t="s">
        <v>319</v>
      </c>
      <c r="B5914" t="str">
        <f>_xlfn.XLOOKUP($A5914,Load!$B:$B,Load!C:C,0,)</f>
        <v>YumEarth</v>
      </c>
      <c r="C5914" t="str">
        <f>_xlfn.XLOOKUP($A5914,Load!$B:$B,Load!D:D,0,)</f>
        <v>Non-Chocolate Candy Only</v>
      </c>
      <c r="D5914" t="str">
        <f>_xlfn.XLOOKUP($A5914,Load!$B:$B,Load!E:E,0,)</f>
        <v>Fruit Flavor (Cherry, Grape, Apple, Citrus, Tropical Fruit)</v>
      </c>
      <c r="E5914" t="str">
        <f>_xlfn.XLOOKUP($A5914,Load!$B:$B,Load!F:F,0,)</f>
        <v>Gummy</v>
      </c>
      <c r="F5914" t="str">
        <f>_xlfn.XLOOKUP($A5914,Load!$B:$B,Load!G:G,0,)</f>
        <v>Small Multipack (Less than 40 ct)</v>
      </c>
      <c r="G5914" t="str">
        <f>_xlfn.XLOOKUP($A5914,Load!$B:$B,Load!H:H,0,)</f>
        <v>Laydown Bag</v>
      </c>
      <c r="H5914" t="str">
        <f>_xlfn.XLOOKUP($A5914,Load!$B:$B,Load!I:I,0,)</f>
        <v>Seasonal Shapes (like pumpkins, candy corn, ghost, bats, etc.)</v>
      </c>
      <c r="I5914" t="str">
        <f>_xlfn.XLOOKUP($A5914,Load!$B:$B,Load!J:J,0,)</f>
        <v>Seasonal Graphics (Like Bat, Ghost, Pumpkin, Fall Leaves, Eyeballs, etc.)</v>
      </c>
      <c r="J5914" t="str">
        <f>_xlfn.XLOOKUP($A5914,Load!$B:$B,Load!K:K,0,)</f>
        <v>Small Pieces (Tiny bite size candies)</v>
      </c>
      <c r="K5914" t="str">
        <f>_xlfn.XLOOKUP($A5914,Load!$B:$B,Load!L:L,0,)</f>
        <v>Regular/Original Wrapping</v>
      </c>
      <c r="L5914" t="str">
        <f>_xlfn.XLOOKUP($A5914,Load!$B:$B,Load!M:M,0,)</f>
        <v>Single Brand / Variety Flavors or Form</v>
      </c>
    </row>
    <row r="5915" spans="1:12" x14ac:dyDescent="0.25">
      <c r="A5915" t="s">
        <v>462</v>
      </c>
      <c r="B5915" t="str">
        <f>_xlfn.XLOOKUP($A5915,Load!$B:$B,Load!C:C,0,)</f>
        <v>Trolli</v>
      </c>
      <c r="C5915" t="str">
        <f>_xlfn.XLOOKUP($A5915,Load!$B:$B,Load!D:D,0,)</f>
        <v>Non-Chocolate Candy Only</v>
      </c>
      <c r="D5915" t="str">
        <f>_xlfn.XLOOKUP($A5915,Load!$B:$B,Load!E:E,0,)</f>
        <v>Sour</v>
      </c>
      <c r="E5915" t="str">
        <f>_xlfn.XLOOKUP($A5915,Load!$B:$B,Load!F:F,0,)</f>
        <v>Gummy</v>
      </c>
      <c r="F5915" t="str">
        <f>_xlfn.XLOOKUP($A5915,Load!$B:$B,Load!G:G,0,)</f>
        <v>Small Multipack (Less than 40 ct)</v>
      </c>
      <c r="G5915" t="str">
        <f>_xlfn.XLOOKUP($A5915,Load!$B:$B,Load!H:H,0,)</f>
        <v>Laydown Bag</v>
      </c>
      <c r="H5915" t="str">
        <f>_xlfn.XLOOKUP($A5915,Load!$B:$B,Load!I:I,0,)</f>
        <v>Seasonal Shapes (like pumpkins, candy corn, ghost, bats, etc.)</v>
      </c>
      <c r="I5915" t="str">
        <f>_xlfn.XLOOKUP($A5915,Load!$B:$B,Load!J:J,0,)</f>
        <v>Seasonal Graphics (Like Bat, Ghost, Pumpkin, Fall Leaves, Eyeballs, etc.)</v>
      </c>
      <c r="J5915" t="str">
        <f>_xlfn.XLOOKUP($A5915,Load!$B:$B,Load!K:K,0,)</f>
        <v>Fun Size / Treat Size</v>
      </c>
      <c r="K5915" t="str">
        <f>_xlfn.XLOOKUP($A5915,Load!$B:$B,Load!L:L,0,)</f>
        <v>Regular/Original Wrapping</v>
      </c>
      <c r="L5915" t="str">
        <f>_xlfn.XLOOKUP($A5915,Load!$B:$B,Load!M:M,0,)</f>
        <v>Single Brand / Variety Flavors or Form</v>
      </c>
    </row>
    <row r="5916" spans="1:12" x14ac:dyDescent="0.25">
      <c r="B5916">
        <f>_xlfn.XLOOKUP($A5916,Load!$B:$B,Load!C:C,0,)</f>
        <v>0</v>
      </c>
      <c r="C5916">
        <f>_xlfn.XLOOKUP($A5916,Load!$B:$B,Load!D:D,0,)</f>
        <v>0</v>
      </c>
      <c r="D5916">
        <f>_xlfn.XLOOKUP($A5916,Load!$B:$B,Load!E:E,0,)</f>
        <v>0</v>
      </c>
      <c r="E5916">
        <f>_xlfn.XLOOKUP($A5916,Load!$B:$B,Load!F:F,0,)</f>
        <v>0</v>
      </c>
      <c r="F5916">
        <f>_xlfn.XLOOKUP($A5916,Load!$B:$B,Load!G:G,0,)</f>
        <v>0</v>
      </c>
      <c r="G5916">
        <f>_xlfn.XLOOKUP($A5916,Load!$B:$B,Load!H:H,0,)</f>
        <v>0</v>
      </c>
      <c r="H5916">
        <f>_xlfn.XLOOKUP($A5916,Load!$B:$B,Load!I:I,0,)</f>
        <v>0</v>
      </c>
      <c r="I5916">
        <f>_xlfn.XLOOKUP($A5916,Load!$B:$B,Load!J:J,0,)</f>
        <v>0</v>
      </c>
      <c r="J5916">
        <f>_xlfn.XLOOKUP($A5916,Load!$B:$B,Load!K:K,0,)</f>
        <v>0</v>
      </c>
      <c r="K5916">
        <f>_xlfn.XLOOKUP($A5916,Load!$B:$B,Load!L:L,0,)</f>
        <v>0</v>
      </c>
      <c r="L5916">
        <f>_xlfn.XLOOKUP($A5916,Load!$B:$B,Load!M:M,0,)</f>
        <v>0</v>
      </c>
    </row>
    <row r="5917" spans="1:12" x14ac:dyDescent="0.25">
      <c r="B5917">
        <f>_xlfn.XLOOKUP($A5917,Load!$B:$B,Load!C:C,0,)</f>
        <v>0</v>
      </c>
      <c r="C5917">
        <f>_xlfn.XLOOKUP($A5917,Load!$B:$B,Load!D:D,0,)</f>
        <v>0</v>
      </c>
      <c r="D5917">
        <f>_xlfn.XLOOKUP($A5917,Load!$B:$B,Load!E:E,0,)</f>
        <v>0</v>
      </c>
      <c r="E5917">
        <f>_xlfn.XLOOKUP($A5917,Load!$B:$B,Load!F:F,0,)</f>
        <v>0</v>
      </c>
      <c r="F5917">
        <f>_xlfn.XLOOKUP($A5917,Load!$B:$B,Load!G:G,0,)</f>
        <v>0</v>
      </c>
      <c r="G5917">
        <f>_xlfn.XLOOKUP($A5917,Load!$B:$B,Load!H:H,0,)</f>
        <v>0</v>
      </c>
      <c r="H5917">
        <f>_xlfn.XLOOKUP($A5917,Load!$B:$B,Load!I:I,0,)</f>
        <v>0</v>
      </c>
      <c r="I5917">
        <f>_xlfn.XLOOKUP($A5917,Load!$B:$B,Load!J:J,0,)</f>
        <v>0</v>
      </c>
      <c r="J5917">
        <f>_xlfn.XLOOKUP($A5917,Load!$B:$B,Load!K:K,0,)</f>
        <v>0</v>
      </c>
      <c r="K5917">
        <f>_xlfn.XLOOKUP($A5917,Load!$B:$B,Load!L:L,0,)</f>
        <v>0</v>
      </c>
      <c r="L5917">
        <f>_xlfn.XLOOKUP($A5917,Load!$B:$B,Load!M:M,0,)</f>
        <v>0</v>
      </c>
    </row>
    <row r="5918" spans="1:12" x14ac:dyDescent="0.25">
      <c r="A5918" t="s">
        <v>235</v>
      </c>
      <c r="B5918" t="str">
        <f>_xlfn.XLOOKUP($A5918,Load!$B:$B,Load!C:C,0,)</f>
        <v>Nerds</v>
      </c>
      <c r="C5918" t="str">
        <f>_xlfn.XLOOKUP($A5918,Load!$B:$B,Load!D:D,0,)</f>
        <v>Non-Chocolate Candy Only</v>
      </c>
      <c r="D5918" t="str">
        <f>_xlfn.XLOOKUP($A5918,Load!$B:$B,Load!E:E,0,)</f>
        <v>Variety / Mixed Flavors (Fruity, Sour, Seasonal Flavors)</v>
      </c>
      <c r="E5918" t="str">
        <f>_xlfn.XLOOKUP($A5918,Load!$B:$B,Load!F:F,0,)</f>
        <v>Candy Pieces / Bites</v>
      </c>
      <c r="F5918" t="str">
        <f>_xlfn.XLOOKUP($A5918,Load!$B:$B,Load!G:G,0,)</f>
        <v>Small Multipack (Less than 40 ct)</v>
      </c>
      <c r="G5918" t="str">
        <f>_xlfn.XLOOKUP($A5918,Load!$B:$B,Load!H:H,0,)</f>
        <v>Peg Bag</v>
      </c>
      <c r="H5918" t="str">
        <f>_xlfn.XLOOKUP($A5918,Load!$B:$B,Load!I:I,0,)</f>
        <v>Everyday Candy Shapes (like Original, Gummy bear, Fruit, Jewels, etc.)</v>
      </c>
      <c r="I5918" t="str">
        <f>_xlfn.XLOOKUP($A5918,Load!$B:$B,Load!J:J,0,)</f>
        <v>Everyday Graphics</v>
      </c>
      <c r="J5918" t="str">
        <f>_xlfn.XLOOKUP($A5918,Load!$B:$B,Load!K:K,0,)</f>
        <v>Small Pieces (Tiny bite size candies)</v>
      </c>
      <c r="K5918" t="str">
        <f>_xlfn.XLOOKUP($A5918,Load!$B:$B,Load!L:L,0,)</f>
        <v>Unwrapped</v>
      </c>
      <c r="L5918" t="str">
        <f>_xlfn.XLOOKUP($A5918,Load!$B:$B,Load!M:M,0,)</f>
        <v>Single Brand / Variety Flavors or Form</v>
      </c>
    </row>
    <row r="5919" spans="1:12" x14ac:dyDescent="0.25">
      <c r="B5919">
        <f>_xlfn.XLOOKUP($A5919,Load!$B:$B,Load!C:C,0,)</f>
        <v>0</v>
      </c>
      <c r="C5919">
        <f>_xlfn.XLOOKUP($A5919,Load!$B:$B,Load!D:D,0,)</f>
        <v>0</v>
      </c>
      <c r="D5919">
        <f>_xlfn.XLOOKUP($A5919,Load!$B:$B,Load!E:E,0,)</f>
        <v>0</v>
      </c>
      <c r="E5919">
        <f>_xlfn.XLOOKUP($A5919,Load!$B:$B,Load!F:F,0,)</f>
        <v>0</v>
      </c>
      <c r="F5919">
        <f>_xlfn.XLOOKUP($A5919,Load!$B:$B,Load!G:G,0,)</f>
        <v>0</v>
      </c>
      <c r="G5919">
        <f>_xlfn.XLOOKUP($A5919,Load!$B:$B,Load!H:H,0,)</f>
        <v>0</v>
      </c>
      <c r="H5919">
        <f>_xlfn.XLOOKUP($A5919,Load!$B:$B,Load!I:I,0,)</f>
        <v>0</v>
      </c>
      <c r="I5919">
        <f>_xlfn.XLOOKUP($A5919,Load!$B:$B,Load!J:J,0,)</f>
        <v>0</v>
      </c>
      <c r="J5919">
        <f>_xlfn.XLOOKUP($A5919,Load!$B:$B,Load!K:K,0,)</f>
        <v>0</v>
      </c>
      <c r="K5919">
        <f>_xlfn.XLOOKUP($A5919,Load!$B:$B,Load!L:L,0,)</f>
        <v>0</v>
      </c>
      <c r="L5919">
        <f>_xlfn.XLOOKUP($A5919,Load!$B:$B,Load!M:M,0,)</f>
        <v>0</v>
      </c>
    </row>
    <row r="5920" spans="1:12" x14ac:dyDescent="0.25">
      <c r="A5920" t="s">
        <v>95</v>
      </c>
      <c r="B5920" t="str">
        <f>_xlfn.XLOOKUP($A5920,Load!$B:$B,Load!C:C,0,)</f>
        <v>Ferrara Variety Pack</v>
      </c>
      <c r="C5920" t="str">
        <f>_xlfn.XLOOKUP($A5920,Load!$B:$B,Load!D:D,0,)</f>
        <v>Non-Chocolate Candy Only</v>
      </c>
      <c r="D5920" t="str">
        <f>_xlfn.XLOOKUP($A5920,Load!$B:$B,Load!E:E,0,)</f>
        <v>Variety / Mixed Flavors (Fruity, Sour, Seasonal Flavors)</v>
      </c>
      <c r="E5920" t="str">
        <f>_xlfn.XLOOKUP($A5920,Load!$B:$B,Load!F:F,0,)</f>
        <v>Mixed / Combo Packs (Gummy, Chewy, Taffy, etc.)</v>
      </c>
      <c r="F5920" t="str">
        <f>_xlfn.XLOOKUP($A5920,Load!$B:$B,Load!G:G,0,)</f>
        <v>Medium Multipack (40–80 ct)</v>
      </c>
      <c r="G5920" t="str">
        <f>_xlfn.XLOOKUP($A5920,Load!$B:$B,Load!H:H,0,)</f>
        <v>Stand-Up Bag</v>
      </c>
      <c r="H5920" t="str">
        <f>_xlfn.XLOOKUP($A5920,Load!$B:$B,Load!I:I,0,)</f>
        <v>Everyday Candy Shapes (like Original, Gummy bear, Fruit, Jewels, etc.)</v>
      </c>
      <c r="I5920" t="str">
        <f>_xlfn.XLOOKUP($A5920,Load!$B:$B,Load!J:J,0,)</f>
        <v>Seasonal Graphics (Like Bat, Ghost, Pumpkin, Fall Leaves, Eyeballs, etc.)</v>
      </c>
      <c r="J5920" t="str">
        <f>_xlfn.XLOOKUP($A5920,Load!$B:$B,Load!K:K,0,)</f>
        <v xml:space="preserve">Variety Candy Sizes </v>
      </c>
      <c r="K5920" t="str">
        <f>_xlfn.XLOOKUP($A5920,Load!$B:$B,Load!L:L,0,)</f>
        <v>Regular/Original Wrapping</v>
      </c>
      <c r="L5920" t="str">
        <f>_xlfn.XLOOKUP($A5920,Load!$B:$B,Load!M:M,0,)</f>
        <v>Multiple Brands / Variety Flavors or Form</v>
      </c>
    </row>
    <row r="5921" spans="1:12" x14ac:dyDescent="0.25">
      <c r="A5921" t="s">
        <v>204</v>
      </c>
      <c r="B5921" t="str">
        <f>_xlfn.XLOOKUP($A5921,Load!$B:$B,Load!C:C,0,)</f>
        <v>Mars Variety Pack</v>
      </c>
      <c r="C5921" t="str">
        <f>_xlfn.XLOOKUP($A5921,Load!$B:$B,Load!D:D,0,)</f>
        <v>Mix of Chocolate and Non-Chocolate Candy</v>
      </c>
      <c r="D5921" t="str">
        <f>_xlfn.XLOOKUP($A5921,Load!$B:$B,Load!E:E,0,)</f>
        <v>Variety / Mixed Flavors (Fruity, Sour, Seasonal Flavors)</v>
      </c>
      <c r="E5921" t="str">
        <f>_xlfn.XLOOKUP($A5921,Load!$B:$B,Load!F:F,0,)</f>
        <v>Mixed / Combo Packs (Gummy, Chewy, Taffy, etc.)</v>
      </c>
      <c r="F5921" t="str">
        <f>_xlfn.XLOOKUP($A5921,Load!$B:$B,Load!G:G,0,)</f>
        <v>Medium Multipack (40–80 ct)</v>
      </c>
      <c r="G5921" t="str">
        <f>_xlfn.XLOOKUP($A5921,Load!$B:$B,Load!H:H,0,)</f>
        <v>Stand-Up Bag</v>
      </c>
      <c r="H5921" t="str">
        <f>_xlfn.XLOOKUP($A5921,Load!$B:$B,Load!I:I,0,)</f>
        <v>Everyday Candy Shapes (like Original, Gummy bear, Fruit, Jewels, etc.)</v>
      </c>
      <c r="I5921" t="str">
        <f>_xlfn.XLOOKUP($A5921,Load!$B:$B,Load!J:J,0,)</f>
        <v>Everyday Graphics</v>
      </c>
      <c r="J5921" t="str">
        <f>_xlfn.XLOOKUP($A5921,Load!$B:$B,Load!K:K,0,)</f>
        <v>Fun Size / Treat Size</v>
      </c>
      <c r="K5921" t="str">
        <f>_xlfn.XLOOKUP($A5921,Load!$B:$B,Load!L:L,0,)</f>
        <v>Regular/Original Wrapping</v>
      </c>
      <c r="L5921" t="str">
        <f>_xlfn.XLOOKUP($A5921,Load!$B:$B,Load!M:M,0,)</f>
        <v>Multiple Brands / Variety Flavors or Form</v>
      </c>
    </row>
    <row r="5922" spans="1:12" x14ac:dyDescent="0.25">
      <c r="B5922">
        <f>_xlfn.XLOOKUP($A5922,Load!$B:$B,Load!C:C,0,)</f>
        <v>0</v>
      </c>
      <c r="C5922">
        <f>_xlfn.XLOOKUP($A5922,Load!$B:$B,Load!D:D,0,)</f>
        <v>0</v>
      </c>
      <c r="D5922">
        <f>_xlfn.XLOOKUP($A5922,Load!$B:$B,Load!E:E,0,)</f>
        <v>0</v>
      </c>
      <c r="E5922">
        <f>_xlfn.XLOOKUP($A5922,Load!$B:$B,Load!F:F,0,)</f>
        <v>0</v>
      </c>
      <c r="F5922">
        <f>_xlfn.XLOOKUP($A5922,Load!$B:$B,Load!G:G,0,)</f>
        <v>0</v>
      </c>
      <c r="G5922">
        <f>_xlfn.XLOOKUP($A5922,Load!$B:$B,Load!H:H,0,)</f>
        <v>0</v>
      </c>
      <c r="H5922">
        <f>_xlfn.XLOOKUP($A5922,Load!$B:$B,Load!I:I,0,)</f>
        <v>0</v>
      </c>
      <c r="I5922">
        <f>_xlfn.XLOOKUP($A5922,Load!$B:$B,Load!J:J,0,)</f>
        <v>0</v>
      </c>
      <c r="J5922">
        <f>_xlfn.XLOOKUP($A5922,Load!$B:$B,Load!K:K,0,)</f>
        <v>0</v>
      </c>
      <c r="K5922">
        <f>_xlfn.XLOOKUP($A5922,Load!$B:$B,Load!L:L,0,)</f>
        <v>0</v>
      </c>
      <c r="L5922">
        <f>_xlfn.XLOOKUP($A5922,Load!$B:$B,Load!M:M,0,)</f>
        <v>0</v>
      </c>
    </row>
    <row r="5923" spans="1:12" x14ac:dyDescent="0.25">
      <c r="B5923">
        <f>_xlfn.XLOOKUP($A5923,Load!$B:$B,Load!C:C,0,)</f>
        <v>0</v>
      </c>
      <c r="C5923">
        <f>_xlfn.XLOOKUP($A5923,Load!$B:$B,Load!D:D,0,)</f>
        <v>0</v>
      </c>
      <c r="D5923">
        <f>_xlfn.XLOOKUP($A5923,Load!$B:$B,Load!E:E,0,)</f>
        <v>0</v>
      </c>
      <c r="E5923">
        <f>_xlfn.XLOOKUP($A5923,Load!$B:$B,Load!F:F,0,)</f>
        <v>0</v>
      </c>
      <c r="F5923">
        <f>_xlfn.XLOOKUP($A5923,Load!$B:$B,Load!G:G,0,)</f>
        <v>0</v>
      </c>
      <c r="G5923">
        <f>_xlfn.XLOOKUP($A5923,Load!$B:$B,Load!H:H,0,)</f>
        <v>0</v>
      </c>
      <c r="H5923">
        <f>_xlfn.XLOOKUP($A5923,Load!$B:$B,Load!I:I,0,)</f>
        <v>0</v>
      </c>
      <c r="I5923">
        <f>_xlfn.XLOOKUP($A5923,Load!$B:$B,Load!J:J,0,)</f>
        <v>0</v>
      </c>
      <c r="J5923">
        <f>_xlfn.XLOOKUP($A5923,Load!$B:$B,Load!K:K,0,)</f>
        <v>0</v>
      </c>
      <c r="K5923">
        <f>_xlfn.XLOOKUP($A5923,Load!$B:$B,Load!L:L,0,)</f>
        <v>0</v>
      </c>
      <c r="L5923">
        <f>_xlfn.XLOOKUP($A5923,Load!$B:$B,Load!M:M,0,)</f>
        <v>0</v>
      </c>
    </row>
    <row r="5924" spans="1:12" x14ac:dyDescent="0.25">
      <c r="A5924" t="s">
        <v>301</v>
      </c>
      <c r="B5924" t="str">
        <f>_xlfn.XLOOKUP($A5924,Load!$B:$B,Load!C:C,0,)</f>
        <v>Twizzlers</v>
      </c>
      <c r="C5924" t="str">
        <f>_xlfn.XLOOKUP($A5924,Load!$B:$B,Load!D:D,0,)</f>
        <v>Non-Chocolate Candy Only</v>
      </c>
      <c r="D5924" t="str">
        <f>_xlfn.XLOOKUP($A5924,Load!$B:$B,Load!E:E,0,)</f>
        <v>Variety / Mixed Flavors (Fruity, Sour, Seasonal Flavors)</v>
      </c>
      <c r="E5924" t="str">
        <f>_xlfn.XLOOKUP($A5924,Load!$B:$B,Load!F:F,0,)</f>
        <v>Mixed / Combo Packs (Gummy, Chewy, Taffy, etc.)</v>
      </c>
      <c r="F5924" t="str">
        <f>_xlfn.XLOOKUP($A5924,Load!$B:$B,Load!G:G,0,)</f>
        <v>Medium Multipack (40–80 ct)</v>
      </c>
      <c r="G5924" t="str">
        <f>_xlfn.XLOOKUP($A5924,Load!$B:$B,Load!H:H,0,)</f>
        <v>Laydown Bag</v>
      </c>
      <c r="H5924" t="str">
        <f>_xlfn.XLOOKUP($A5924,Load!$B:$B,Load!I:I,0,)</f>
        <v>Everyday Candy Shapes (like Original, Gummy bear, Fruit, Jewels, etc.)</v>
      </c>
      <c r="I5924" t="str">
        <f>_xlfn.XLOOKUP($A5924,Load!$B:$B,Load!J:J,0,)</f>
        <v>Seasonal Graphics (Like Bat, Ghost, Pumpkin, Fall Leaves, Eyeballs, etc.)</v>
      </c>
      <c r="J5924" t="str">
        <f>_xlfn.XLOOKUP($A5924,Load!$B:$B,Load!K:K,0,)</f>
        <v>Fun Size / Treat Size</v>
      </c>
      <c r="K5924" t="str">
        <f>_xlfn.XLOOKUP($A5924,Load!$B:$B,Load!L:L,0,)</f>
        <v>Regular/Original Wrapping</v>
      </c>
      <c r="L5924" t="str">
        <f>_xlfn.XLOOKUP($A5924,Load!$B:$B,Load!M:M,0,)</f>
        <v>Single Brand / Variety Flavors or Form</v>
      </c>
    </row>
    <row r="5925" spans="1:12" x14ac:dyDescent="0.25">
      <c r="B5925">
        <f>_xlfn.XLOOKUP($A5925,Load!$B:$B,Load!C:C,0,)</f>
        <v>0</v>
      </c>
      <c r="C5925">
        <f>_xlfn.XLOOKUP($A5925,Load!$B:$B,Load!D:D,0,)</f>
        <v>0</v>
      </c>
      <c r="D5925">
        <f>_xlfn.XLOOKUP($A5925,Load!$B:$B,Load!E:E,0,)</f>
        <v>0</v>
      </c>
      <c r="E5925">
        <f>_xlfn.XLOOKUP($A5925,Load!$B:$B,Load!F:F,0,)</f>
        <v>0</v>
      </c>
      <c r="F5925">
        <f>_xlfn.XLOOKUP($A5925,Load!$B:$B,Load!G:G,0,)</f>
        <v>0</v>
      </c>
      <c r="G5925">
        <f>_xlfn.XLOOKUP($A5925,Load!$B:$B,Load!H:H,0,)</f>
        <v>0</v>
      </c>
      <c r="H5925">
        <f>_xlfn.XLOOKUP($A5925,Load!$B:$B,Load!I:I,0,)</f>
        <v>0</v>
      </c>
      <c r="I5925">
        <f>_xlfn.XLOOKUP($A5925,Load!$B:$B,Load!J:J,0,)</f>
        <v>0</v>
      </c>
      <c r="J5925">
        <f>_xlfn.XLOOKUP($A5925,Load!$B:$B,Load!K:K,0,)</f>
        <v>0</v>
      </c>
      <c r="K5925">
        <f>_xlfn.XLOOKUP($A5925,Load!$B:$B,Load!L:L,0,)</f>
        <v>0</v>
      </c>
      <c r="L5925">
        <f>_xlfn.XLOOKUP($A5925,Load!$B:$B,Load!M:M,0,)</f>
        <v>0</v>
      </c>
    </row>
    <row r="5926" spans="1:12" x14ac:dyDescent="0.25">
      <c r="B5926">
        <f>_xlfn.XLOOKUP($A5926,Load!$B:$B,Load!C:C,0,)</f>
        <v>0</v>
      </c>
      <c r="C5926">
        <f>_xlfn.XLOOKUP($A5926,Load!$B:$B,Load!D:D,0,)</f>
        <v>0</v>
      </c>
      <c r="D5926">
        <f>_xlfn.XLOOKUP($A5926,Load!$B:$B,Load!E:E,0,)</f>
        <v>0</v>
      </c>
      <c r="E5926">
        <f>_xlfn.XLOOKUP($A5926,Load!$B:$B,Load!F:F,0,)</f>
        <v>0</v>
      </c>
      <c r="F5926">
        <f>_xlfn.XLOOKUP($A5926,Load!$B:$B,Load!G:G,0,)</f>
        <v>0</v>
      </c>
      <c r="G5926">
        <f>_xlfn.XLOOKUP($A5926,Load!$B:$B,Load!H:H,0,)</f>
        <v>0</v>
      </c>
      <c r="H5926">
        <f>_xlfn.XLOOKUP($A5926,Load!$B:$B,Load!I:I,0,)</f>
        <v>0</v>
      </c>
      <c r="I5926">
        <f>_xlfn.XLOOKUP($A5926,Load!$B:$B,Load!J:J,0,)</f>
        <v>0</v>
      </c>
      <c r="J5926">
        <f>_xlfn.XLOOKUP($A5926,Load!$B:$B,Load!K:K,0,)</f>
        <v>0</v>
      </c>
      <c r="K5926">
        <f>_xlfn.XLOOKUP($A5926,Load!$B:$B,Load!L:L,0,)</f>
        <v>0</v>
      </c>
      <c r="L5926">
        <f>_xlfn.XLOOKUP($A5926,Load!$B:$B,Load!M:M,0,)</f>
        <v>0</v>
      </c>
    </row>
    <row r="5927" spans="1:12" x14ac:dyDescent="0.25">
      <c r="B5927">
        <f>_xlfn.XLOOKUP($A5927,Load!$B:$B,Load!C:C,0,)</f>
        <v>0</v>
      </c>
      <c r="C5927">
        <f>_xlfn.XLOOKUP($A5927,Load!$B:$B,Load!D:D,0,)</f>
        <v>0</v>
      </c>
      <c r="D5927">
        <f>_xlfn.XLOOKUP($A5927,Load!$B:$B,Load!E:E,0,)</f>
        <v>0</v>
      </c>
      <c r="E5927">
        <f>_xlfn.XLOOKUP($A5927,Load!$B:$B,Load!F:F,0,)</f>
        <v>0</v>
      </c>
      <c r="F5927">
        <f>_xlfn.XLOOKUP($A5927,Load!$B:$B,Load!G:G,0,)</f>
        <v>0</v>
      </c>
      <c r="G5927">
        <f>_xlfn.XLOOKUP($A5927,Load!$B:$B,Load!H:H,0,)</f>
        <v>0</v>
      </c>
      <c r="H5927">
        <f>_xlfn.XLOOKUP($A5927,Load!$B:$B,Load!I:I,0,)</f>
        <v>0</v>
      </c>
      <c r="I5927">
        <f>_xlfn.XLOOKUP($A5927,Load!$B:$B,Load!J:J,0,)</f>
        <v>0</v>
      </c>
      <c r="J5927">
        <f>_xlfn.XLOOKUP($A5927,Load!$B:$B,Load!K:K,0,)</f>
        <v>0</v>
      </c>
      <c r="K5927">
        <f>_xlfn.XLOOKUP($A5927,Load!$B:$B,Load!L:L,0,)</f>
        <v>0</v>
      </c>
      <c r="L5927">
        <f>_xlfn.XLOOKUP($A5927,Load!$B:$B,Load!M:M,0,)</f>
        <v>0</v>
      </c>
    </row>
    <row r="5928" spans="1:12" x14ac:dyDescent="0.25">
      <c r="A5928" t="s">
        <v>179</v>
      </c>
      <c r="B5928" t="str">
        <f>_xlfn.XLOOKUP($A5928,Load!$B:$B,Load!C:C,0,)</f>
        <v>Mars Variety Pack</v>
      </c>
      <c r="C5928" t="str">
        <f>_xlfn.XLOOKUP($A5928,Load!$B:$B,Load!D:D,0,)</f>
        <v>Non-Chocolate Candy Only</v>
      </c>
      <c r="D5928" t="str">
        <f>_xlfn.XLOOKUP($A5928,Load!$B:$B,Load!E:E,0,)</f>
        <v>Variety / Mixed Flavors (Fruity, Sour, Seasonal Flavors)</v>
      </c>
      <c r="E5928" t="str">
        <f>_xlfn.XLOOKUP($A5928,Load!$B:$B,Load!F:F,0,)</f>
        <v>Mixed / Combo Packs (Gummy, Chewy, Taffy, etc.)</v>
      </c>
      <c r="F5928" t="str">
        <f>_xlfn.XLOOKUP($A5928,Load!$B:$B,Load!G:G,0,)</f>
        <v>Medium Multipack (40–80 ct)</v>
      </c>
      <c r="G5928" t="str">
        <f>_xlfn.XLOOKUP($A5928,Load!$B:$B,Load!H:H,0,)</f>
        <v>Stand-Up Bag</v>
      </c>
      <c r="H5928" t="str">
        <f>_xlfn.XLOOKUP($A5928,Load!$B:$B,Load!I:I,0,)</f>
        <v>Everyday Candy Shapes (like Original, Gummy bear, Fruit, Jewels, etc.)</v>
      </c>
      <c r="I5928" t="str">
        <f>_xlfn.XLOOKUP($A5928,Load!$B:$B,Load!J:J,0,)</f>
        <v>Seasonal Graphics (Like Bat, Ghost, Pumpkin, Fall Leaves, Eyeballs, etc.)</v>
      </c>
      <c r="J5928" t="str">
        <f>_xlfn.XLOOKUP($A5928,Load!$B:$B,Load!K:K,0,)</f>
        <v>Fun Size / Treat Size</v>
      </c>
      <c r="K5928" t="str">
        <f>_xlfn.XLOOKUP($A5928,Load!$B:$B,Load!L:L,0,)</f>
        <v>Regular/Original Wrapping</v>
      </c>
      <c r="L5928" t="str">
        <f>_xlfn.XLOOKUP($A5928,Load!$B:$B,Load!M:M,0,)</f>
        <v>Multiple Brands / Variety Flavors or Form</v>
      </c>
    </row>
    <row r="5929" spans="1:12" x14ac:dyDescent="0.25">
      <c r="B5929">
        <f>_xlfn.XLOOKUP($A5929,Load!$B:$B,Load!C:C,0,)</f>
        <v>0</v>
      </c>
      <c r="C5929">
        <f>_xlfn.XLOOKUP($A5929,Load!$B:$B,Load!D:D,0,)</f>
        <v>0</v>
      </c>
      <c r="D5929">
        <f>_xlfn.XLOOKUP($A5929,Load!$B:$B,Load!E:E,0,)</f>
        <v>0</v>
      </c>
      <c r="E5929">
        <f>_xlfn.XLOOKUP($A5929,Load!$B:$B,Load!F:F,0,)</f>
        <v>0</v>
      </c>
      <c r="F5929">
        <f>_xlfn.XLOOKUP($A5929,Load!$B:$B,Load!G:G,0,)</f>
        <v>0</v>
      </c>
      <c r="G5929">
        <f>_xlfn.XLOOKUP($A5929,Load!$B:$B,Load!H:H,0,)</f>
        <v>0</v>
      </c>
      <c r="H5929">
        <f>_xlfn.XLOOKUP($A5929,Load!$B:$B,Load!I:I,0,)</f>
        <v>0</v>
      </c>
      <c r="I5929">
        <f>_xlfn.XLOOKUP($A5929,Load!$B:$B,Load!J:J,0,)</f>
        <v>0</v>
      </c>
      <c r="J5929">
        <f>_xlfn.XLOOKUP($A5929,Load!$B:$B,Load!K:K,0,)</f>
        <v>0</v>
      </c>
      <c r="K5929">
        <f>_xlfn.XLOOKUP($A5929,Load!$B:$B,Load!L:L,0,)</f>
        <v>0</v>
      </c>
      <c r="L5929">
        <f>_xlfn.XLOOKUP($A5929,Load!$B:$B,Load!M:M,0,)</f>
        <v>0</v>
      </c>
    </row>
    <row r="5930" spans="1:12" x14ac:dyDescent="0.25">
      <c r="A5930" t="s">
        <v>4</v>
      </c>
      <c r="B5930" t="str">
        <f>_xlfn.XLOOKUP($A5930,Load!$B:$B,Load!C:C,0,)</f>
        <v>Airheads</v>
      </c>
      <c r="C5930" t="str">
        <f>_xlfn.XLOOKUP($A5930,Load!$B:$B,Load!D:D,0,)</f>
        <v>Non-Chocolate Candy Only</v>
      </c>
      <c r="D5930" t="str">
        <f>_xlfn.XLOOKUP($A5930,Load!$B:$B,Load!E:E,0,)</f>
        <v>Variety / Mixed Flavors (Fruity, Sour, Seasonal Flavors)</v>
      </c>
      <c r="E5930" t="str">
        <f>_xlfn.XLOOKUP($A5930,Load!$B:$B,Load!F:F,0,)</f>
        <v>Chewy</v>
      </c>
      <c r="F5930" t="str">
        <f>_xlfn.XLOOKUP($A5930,Load!$B:$B,Load!G:G,0,)</f>
        <v>Large Multipack (More than 80 ct)</v>
      </c>
      <c r="G5930" t="str">
        <f>_xlfn.XLOOKUP($A5930,Load!$B:$B,Load!H:H,0,)</f>
        <v>Box (theatre box, gift box, carton)</v>
      </c>
      <c r="H5930" t="str">
        <f>_xlfn.XLOOKUP($A5930,Load!$B:$B,Load!I:I,0,)</f>
        <v>Everyday Candy Shapes (like Original, Gummy bear, Fruit, Jewels, etc.)</v>
      </c>
      <c r="I5930" t="str">
        <f>_xlfn.XLOOKUP($A5930,Load!$B:$B,Load!J:J,0,)</f>
        <v>Seasonal Graphics (Like Bat, Ghost, Pumpkin, Fall Leaves, Eyeballs, etc.)</v>
      </c>
      <c r="J5930" t="str">
        <f>_xlfn.XLOOKUP($A5930,Load!$B:$B,Load!K:K,0,)</f>
        <v>Fun Size / Treat Size</v>
      </c>
      <c r="K5930" t="str">
        <f>_xlfn.XLOOKUP($A5930,Load!$B:$B,Load!L:L,0,)</f>
        <v>Regular/Original Wrapping</v>
      </c>
      <c r="L5930" t="str">
        <f>_xlfn.XLOOKUP($A5930,Load!$B:$B,Load!M:M,0,)</f>
        <v>Single Brand / Variety Flavors or Form</v>
      </c>
    </row>
    <row r="5931" spans="1:12" x14ac:dyDescent="0.25">
      <c r="A5931" t="s">
        <v>186</v>
      </c>
      <c r="B5931" t="str">
        <f>_xlfn.XLOOKUP($A5931,Load!$B:$B,Load!C:C,0,)</f>
        <v>Mars Variety Pack</v>
      </c>
      <c r="C5931" t="str">
        <f>_xlfn.XLOOKUP($A5931,Load!$B:$B,Load!D:D,0,)</f>
        <v>Mix of Chocolate and Non-Chocolate Candy</v>
      </c>
      <c r="D5931" t="str">
        <f>_xlfn.XLOOKUP($A5931,Load!$B:$B,Load!E:E,0,)</f>
        <v>Variety / Mixed Flavors (Fruity, Sour, Seasonal Flavors)</v>
      </c>
      <c r="E5931" t="str">
        <f>_xlfn.XLOOKUP($A5931,Load!$B:$B,Load!F:F,0,)</f>
        <v>Mixed / Combo Packs (Gummy, Chewy, Taffy, etc.)</v>
      </c>
      <c r="F5931" t="str">
        <f>_xlfn.XLOOKUP($A5931,Load!$B:$B,Load!G:G,0,)</f>
        <v>Large Multipack (More than 80 ct)</v>
      </c>
      <c r="G5931" t="str">
        <f>_xlfn.XLOOKUP($A5931,Load!$B:$B,Load!H:H,0,)</f>
        <v>Stand-Up Bag</v>
      </c>
      <c r="H5931" t="str">
        <f>_xlfn.XLOOKUP($A5931,Load!$B:$B,Load!I:I,0,)</f>
        <v>Everyday Candy Shapes (like Original, Gummy bear, Fruit, Jewels, etc.)</v>
      </c>
      <c r="I5931" t="str">
        <f>_xlfn.XLOOKUP($A5931,Load!$B:$B,Load!J:J,0,)</f>
        <v>Seasonal Graphics (Like Bat, Ghost, Pumpkin, Fall Leaves, Eyeballs, etc.)</v>
      </c>
      <c r="J5931" t="str">
        <f>_xlfn.XLOOKUP($A5931,Load!$B:$B,Load!K:K,0,)</f>
        <v>Fun Size / Treat Size</v>
      </c>
      <c r="K5931" t="str">
        <f>_xlfn.XLOOKUP($A5931,Load!$B:$B,Load!L:L,0,)</f>
        <v>Regular/Original Wrapping</v>
      </c>
      <c r="L5931" t="str">
        <f>_xlfn.XLOOKUP($A5931,Load!$B:$B,Load!M:M,0,)</f>
        <v>Multiple Brands / Variety Flavors or Form</v>
      </c>
    </row>
    <row r="5932" spans="1:12" x14ac:dyDescent="0.25">
      <c r="A5932" t="s">
        <v>139</v>
      </c>
      <c r="B5932" t="str">
        <f>_xlfn.XLOOKUP($A5932,Load!$B:$B,Load!C:C,0,)</f>
        <v>Hershey's Variety Pack + Haribo</v>
      </c>
      <c r="C5932" t="str">
        <f>_xlfn.XLOOKUP($A5932,Load!$B:$B,Load!D:D,0,)</f>
        <v>Mix of Chocolate and Non-Chocolate Candy</v>
      </c>
      <c r="D5932" t="str">
        <f>_xlfn.XLOOKUP($A5932,Load!$B:$B,Load!E:E,0,)</f>
        <v>Variety / Mixed Flavors (Fruity, Sour, Seasonal Flavors)</v>
      </c>
      <c r="E5932" t="str">
        <f>_xlfn.XLOOKUP($A5932,Load!$B:$B,Load!F:F,0,)</f>
        <v>Mixed / Combo Packs (Gummy, Chewy, Taffy, etc.)</v>
      </c>
      <c r="F5932" t="str">
        <f>_xlfn.XLOOKUP($A5932,Load!$B:$B,Load!G:G,0,)</f>
        <v>Large Multipack (More than 80 ct)</v>
      </c>
      <c r="G5932" t="str">
        <f>_xlfn.XLOOKUP($A5932,Load!$B:$B,Load!H:H,0,)</f>
        <v>Stand-Up Bag</v>
      </c>
      <c r="H5932" t="str">
        <f>_xlfn.XLOOKUP($A5932,Load!$B:$B,Load!I:I,0,)</f>
        <v>Everyday Candy Shapes (like Original, Gummy bear, Fruit, Jewels, etc.)</v>
      </c>
      <c r="I5932" t="str">
        <f>_xlfn.XLOOKUP($A5932,Load!$B:$B,Load!J:J,0,)</f>
        <v>Seasonal Graphics (Like Bat, Ghost, Pumpkin, Fall Leaves, Eyeballs, etc.)</v>
      </c>
      <c r="J5932" t="str">
        <f>_xlfn.XLOOKUP($A5932,Load!$B:$B,Load!K:K,0,)</f>
        <v>Fun Size / Treat Size</v>
      </c>
      <c r="K5932" t="str">
        <f>_xlfn.XLOOKUP($A5932,Load!$B:$B,Load!L:L,0,)</f>
        <v>Regular/Original Wrapping</v>
      </c>
      <c r="L5932" t="str">
        <f>_xlfn.XLOOKUP($A5932,Load!$B:$B,Load!M:M,0,)</f>
        <v>Multiple Brands / Variety Flavors or Form</v>
      </c>
    </row>
    <row r="5933" spans="1:12" x14ac:dyDescent="0.25">
      <c r="B5933">
        <f>_xlfn.XLOOKUP($A5933,Load!$B:$B,Load!C:C,0,)</f>
        <v>0</v>
      </c>
      <c r="C5933">
        <f>_xlfn.XLOOKUP($A5933,Load!$B:$B,Load!D:D,0,)</f>
        <v>0</v>
      </c>
      <c r="D5933">
        <f>_xlfn.XLOOKUP($A5933,Load!$B:$B,Load!E:E,0,)</f>
        <v>0</v>
      </c>
      <c r="E5933">
        <f>_xlfn.XLOOKUP($A5933,Load!$B:$B,Load!F:F,0,)</f>
        <v>0</v>
      </c>
      <c r="F5933">
        <f>_xlfn.XLOOKUP($A5933,Load!$B:$B,Load!G:G,0,)</f>
        <v>0</v>
      </c>
      <c r="G5933">
        <f>_xlfn.XLOOKUP($A5933,Load!$B:$B,Load!H:H,0,)</f>
        <v>0</v>
      </c>
      <c r="H5933">
        <f>_xlfn.XLOOKUP($A5933,Load!$B:$B,Load!I:I,0,)</f>
        <v>0</v>
      </c>
      <c r="I5933">
        <f>_xlfn.XLOOKUP($A5933,Load!$B:$B,Load!J:J,0,)</f>
        <v>0</v>
      </c>
      <c r="J5933">
        <f>_xlfn.XLOOKUP($A5933,Load!$B:$B,Load!K:K,0,)</f>
        <v>0</v>
      </c>
      <c r="K5933">
        <f>_xlfn.XLOOKUP($A5933,Load!$B:$B,Load!L:L,0,)</f>
        <v>0</v>
      </c>
      <c r="L5933">
        <f>_xlfn.XLOOKUP($A5933,Load!$B:$B,Load!M:M,0,)</f>
        <v>0</v>
      </c>
    </row>
    <row r="5934" spans="1:12" x14ac:dyDescent="0.25">
      <c r="A5934" t="s">
        <v>156</v>
      </c>
      <c r="B5934" t="str">
        <f>_xlfn.XLOOKUP($A5934,Load!$B:$B,Load!C:C,0,)</f>
        <v>Jolly Rancher</v>
      </c>
      <c r="C5934" t="str">
        <f>_xlfn.XLOOKUP($A5934,Load!$B:$B,Load!D:D,0,)</f>
        <v>Non-Chocolate Candy Only</v>
      </c>
      <c r="D5934" t="str">
        <f>_xlfn.XLOOKUP($A5934,Load!$B:$B,Load!E:E,0,)</f>
        <v>Fruit Flavor (Cherry, Grape, Apple, Citrus, Tropical Fruit)</v>
      </c>
      <c r="E5934" t="str">
        <f>_xlfn.XLOOKUP($A5934,Load!$B:$B,Load!F:F,0,)</f>
        <v>Gummy</v>
      </c>
      <c r="F5934" t="str">
        <f>_xlfn.XLOOKUP($A5934,Load!$B:$B,Load!G:G,0,)</f>
        <v>Single Pack</v>
      </c>
      <c r="G5934" t="str">
        <f>_xlfn.XLOOKUP($A5934,Load!$B:$B,Load!H:H,0,)</f>
        <v>Laydown Bag</v>
      </c>
      <c r="H5934" t="str">
        <f>_xlfn.XLOOKUP($A5934,Load!$B:$B,Load!I:I,0,)</f>
        <v>Everyday Candy Shapes (like Original, Gummy bear, Fruit, Jewels, etc.)</v>
      </c>
      <c r="I5934" t="str">
        <f>_xlfn.XLOOKUP($A5934,Load!$B:$B,Load!J:J,0,)</f>
        <v>Everyday Graphics</v>
      </c>
      <c r="J5934" t="str">
        <f>_xlfn.XLOOKUP($A5934,Load!$B:$B,Load!K:K,0,)</f>
        <v>Small Pieces (Tiny bite size candies)</v>
      </c>
      <c r="K5934" t="str">
        <f>_xlfn.XLOOKUP($A5934,Load!$B:$B,Load!L:L,0,)</f>
        <v>Unwrapped</v>
      </c>
      <c r="L5934" t="str">
        <f>_xlfn.XLOOKUP($A5934,Load!$B:$B,Load!M:M,0,)</f>
        <v>Single Brand / Variety Flavors or Form</v>
      </c>
    </row>
    <row r="5935" spans="1:12" x14ac:dyDescent="0.25">
      <c r="A5935" t="s">
        <v>149</v>
      </c>
      <c r="B5935" t="str">
        <f>_xlfn.XLOOKUP($A5935,Load!$B:$B,Load!C:C,0,)</f>
        <v>Jolly Rancher</v>
      </c>
      <c r="C5935" t="str">
        <f>_xlfn.XLOOKUP($A5935,Load!$B:$B,Load!D:D,0,)</f>
        <v>Non-Chocolate Candy Only</v>
      </c>
      <c r="D5935" t="str">
        <f>_xlfn.XLOOKUP($A5935,Load!$B:$B,Load!E:E,0,)</f>
        <v>Fruit Flavor (Cherry, Grape, Apple, Citrus, Tropical Fruit)</v>
      </c>
      <c r="E5935" t="str">
        <f>_xlfn.XLOOKUP($A5935,Load!$B:$B,Load!F:F,0,)</f>
        <v>Gummy</v>
      </c>
      <c r="F5935" t="str">
        <f>_xlfn.XLOOKUP($A5935,Load!$B:$B,Load!G:G,0,)</f>
        <v>Small Multipack (Less than 40 ct)</v>
      </c>
      <c r="G5935" t="str">
        <f>_xlfn.XLOOKUP($A5935,Load!$B:$B,Load!H:H,0,)</f>
        <v>Laydown Bag</v>
      </c>
      <c r="H5935" t="str">
        <f>_xlfn.XLOOKUP($A5935,Load!$B:$B,Load!I:I,0,)</f>
        <v>Everyday Candy Shapes (like Original, Gummy bear, Fruit, Jewels, etc.)</v>
      </c>
      <c r="I5935" t="str">
        <f>_xlfn.XLOOKUP($A5935,Load!$B:$B,Load!J:J,0,)</f>
        <v>Everyday Graphics</v>
      </c>
      <c r="J5935" t="str">
        <f>_xlfn.XLOOKUP($A5935,Load!$B:$B,Load!K:K,0,)</f>
        <v>Fun Size / Treat Size</v>
      </c>
      <c r="K5935" t="str">
        <f>_xlfn.XLOOKUP($A5935,Load!$B:$B,Load!L:L,0,)</f>
        <v>Regular/Original Wrapping</v>
      </c>
      <c r="L5935" t="str">
        <f>_xlfn.XLOOKUP($A5935,Load!$B:$B,Load!M:M,0,)</f>
        <v>Single Brand / Variety Flavors or Form</v>
      </c>
    </row>
    <row r="5936" spans="1:12" x14ac:dyDescent="0.25">
      <c r="A5936" t="s">
        <v>221</v>
      </c>
      <c r="B5936" t="str">
        <f>_xlfn.XLOOKUP($A5936,Load!$B:$B,Load!C:C,0,)</f>
        <v>Hershey's Variety Pack + Haribo</v>
      </c>
      <c r="C5936" t="str">
        <f>_xlfn.XLOOKUP($A5936,Load!$B:$B,Load!D:D,0,)</f>
        <v>Mix of Chocolate and Non-Chocolate Candy</v>
      </c>
      <c r="D5936" t="str">
        <f>_xlfn.XLOOKUP($A5936,Load!$B:$B,Load!E:E,0,)</f>
        <v>Variety / Mixed Flavors (Fruity, Sour, Seasonal Flavors)</v>
      </c>
      <c r="E5936" t="str">
        <f>_xlfn.XLOOKUP($A5936,Load!$B:$B,Load!F:F,0,)</f>
        <v>Mixed / Combo Packs (Gummy, Chewy, Taffy, etc.)</v>
      </c>
      <c r="F5936" t="str">
        <f>_xlfn.XLOOKUP($A5936,Load!$B:$B,Load!G:G,0,)</f>
        <v>Large Multipack (More than 80 ct)</v>
      </c>
      <c r="G5936" t="str">
        <f>_xlfn.XLOOKUP($A5936,Load!$B:$B,Load!H:H,0,)</f>
        <v>Stand-Up Bag</v>
      </c>
      <c r="H5936" t="str">
        <f>_xlfn.XLOOKUP($A5936,Load!$B:$B,Load!I:I,0,)</f>
        <v>Everyday Candy Shapes (like Original, Gummy bear, Fruit, Jewels, etc.)</v>
      </c>
      <c r="I5936" t="str">
        <f>_xlfn.XLOOKUP($A5936,Load!$B:$B,Load!J:J,0,)</f>
        <v>Seasonal Graphics (Like Bat, Ghost, Pumpkin, Fall Leaves, Eyeballs, etc.)</v>
      </c>
      <c r="J5936" t="str">
        <f>_xlfn.XLOOKUP($A5936,Load!$B:$B,Load!K:K,0,)</f>
        <v xml:space="preserve">Variety Candy Sizes </v>
      </c>
      <c r="K5936" t="str">
        <f>_xlfn.XLOOKUP($A5936,Load!$B:$B,Load!L:L,0,)</f>
        <v>Regular/Original Wrapping</v>
      </c>
      <c r="L5936" t="str">
        <f>_xlfn.XLOOKUP($A5936,Load!$B:$B,Load!M:M,0,)</f>
        <v>Multiple Brands / Variety Flavors or Form</v>
      </c>
    </row>
    <row r="5937" spans="1:12" x14ac:dyDescent="0.25">
      <c r="A5937" t="s">
        <v>140</v>
      </c>
      <c r="B5937" t="str">
        <f>_xlfn.XLOOKUP($A5937,Load!$B:$B,Load!C:C,0,)</f>
        <v>Hershey's Variety Pack + Haribo</v>
      </c>
      <c r="C5937" t="str">
        <f>_xlfn.XLOOKUP($A5937,Load!$B:$B,Load!D:D,0,)</f>
        <v>Mix of Chocolate and Non-Chocolate Candy</v>
      </c>
      <c r="D5937" t="str">
        <f>_xlfn.XLOOKUP($A5937,Load!$B:$B,Load!E:E,0,)</f>
        <v>Variety / Mixed Flavors (Fruity, Sour, Seasonal Flavors)</v>
      </c>
      <c r="E5937" t="str">
        <f>_xlfn.XLOOKUP($A5937,Load!$B:$B,Load!F:F,0,)</f>
        <v>Mixed / Combo Packs (Gummy, Chewy, Taffy, etc.)</v>
      </c>
      <c r="F5937" t="str">
        <f>_xlfn.XLOOKUP($A5937,Load!$B:$B,Load!G:G,0,)</f>
        <v>Large Multipack (More than 80 ct)</v>
      </c>
      <c r="G5937" t="str">
        <f>_xlfn.XLOOKUP($A5937,Load!$B:$B,Load!H:H,0,)</f>
        <v>Stand-Up Bag</v>
      </c>
      <c r="H5937" t="str">
        <f>_xlfn.XLOOKUP($A5937,Load!$B:$B,Load!I:I,0,)</f>
        <v>Everyday Candy Shapes (like Original, Gummy bear, Fruit, Jewels, etc.)</v>
      </c>
      <c r="I5937" t="str">
        <f>_xlfn.XLOOKUP($A5937,Load!$B:$B,Load!J:J,0,)</f>
        <v>Seasonal Graphics (Like Bat, Ghost, Pumpkin, Fall Leaves, Eyeballs, etc.)</v>
      </c>
      <c r="J5937" t="str">
        <f>_xlfn.XLOOKUP($A5937,Load!$B:$B,Load!K:K,0,)</f>
        <v xml:space="preserve">Variety Candy Sizes </v>
      </c>
      <c r="K5937" t="str">
        <f>_xlfn.XLOOKUP($A5937,Load!$B:$B,Load!L:L,0,)</f>
        <v>Regular/Original Wrapping</v>
      </c>
      <c r="L5937" t="str">
        <f>_xlfn.XLOOKUP($A5937,Load!$B:$B,Load!M:M,0,)</f>
        <v>Multiple Brands / Variety Flavors or Form</v>
      </c>
    </row>
    <row r="5938" spans="1:12" x14ac:dyDescent="0.25">
      <c r="A5938" t="s">
        <v>192</v>
      </c>
      <c r="B5938" t="str">
        <f>_xlfn.XLOOKUP($A5938,Load!$B:$B,Load!C:C,0,)</f>
        <v>Mars Variety Pack</v>
      </c>
      <c r="C5938" t="str">
        <f>_xlfn.XLOOKUP($A5938,Load!$B:$B,Load!D:D,0,)</f>
        <v>Non-Chocolate Candy Only</v>
      </c>
      <c r="D5938" t="str">
        <f>_xlfn.XLOOKUP($A5938,Load!$B:$B,Load!E:E,0,)</f>
        <v>Variety / Mixed Flavors (Fruity, Sour, Seasonal Flavors)</v>
      </c>
      <c r="E5938" t="str">
        <f>_xlfn.XLOOKUP($A5938,Load!$B:$B,Load!F:F,0,)</f>
        <v>Mixed / Combo Packs (Gummy, Chewy, Taffy, etc.)</v>
      </c>
      <c r="F5938" t="str">
        <f>_xlfn.XLOOKUP($A5938,Load!$B:$B,Load!G:G,0,)</f>
        <v>Medium Multipack (40–80 ct)</v>
      </c>
      <c r="G5938" t="str">
        <f>_xlfn.XLOOKUP($A5938,Load!$B:$B,Load!H:H,0,)</f>
        <v>Stand-Up Bag</v>
      </c>
      <c r="H5938" t="str">
        <f>_xlfn.XLOOKUP($A5938,Load!$B:$B,Load!I:I,0,)</f>
        <v>Everyday Candy Shapes (like Original, Gummy bear, Fruit, Jewels, etc.)</v>
      </c>
      <c r="I5938" t="str">
        <f>_xlfn.XLOOKUP($A5938,Load!$B:$B,Load!J:J,0,)</f>
        <v>Seasonal Graphics (Like Bat, Ghost, Pumpkin, Fall Leaves, Eyeballs, etc.)</v>
      </c>
      <c r="J5938" t="str">
        <f>_xlfn.XLOOKUP($A5938,Load!$B:$B,Load!K:K,0,)</f>
        <v>Fun Size / Treat Size</v>
      </c>
      <c r="K5938" t="str">
        <f>_xlfn.XLOOKUP($A5938,Load!$B:$B,Load!L:L,0,)</f>
        <v>Regular/Original Wrapping</v>
      </c>
      <c r="L5938" t="str">
        <f>_xlfn.XLOOKUP($A5938,Load!$B:$B,Load!M:M,0,)</f>
        <v>Multiple Brands / Variety Flavors or Form</v>
      </c>
    </row>
    <row r="5939" spans="1:12" x14ac:dyDescent="0.25">
      <c r="B5939">
        <f>_xlfn.XLOOKUP($A5939,Load!$B:$B,Load!C:C,0,)</f>
        <v>0</v>
      </c>
      <c r="C5939">
        <f>_xlfn.XLOOKUP($A5939,Load!$B:$B,Load!D:D,0,)</f>
        <v>0</v>
      </c>
      <c r="D5939">
        <f>_xlfn.XLOOKUP($A5939,Load!$B:$B,Load!E:E,0,)</f>
        <v>0</v>
      </c>
      <c r="E5939">
        <f>_xlfn.XLOOKUP($A5939,Load!$B:$B,Load!F:F,0,)</f>
        <v>0</v>
      </c>
      <c r="F5939">
        <f>_xlfn.XLOOKUP($A5939,Load!$B:$B,Load!G:G,0,)</f>
        <v>0</v>
      </c>
      <c r="G5939">
        <f>_xlfn.XLOOKUP($A5939,Load!$B:$B,Load!H:H,0,)</f>
        <v>0</v>
      </c>
      <c r="H5939">
        <f>_xlfn.XLOOKUP($A5939,Load!$B:$B,Load!I:I,0,)</f>
        <v>0</v>
      </c>
      <c r="I5939">
        <f>_xlfn.XLOOKUP($A5939,Load!$B:$B,Load!J:J,0,)</f>
        <v>0</v>
      </c>
      <c r="J5939">
        <f>_xlfn.XLOOKUP($A5939,Load!$B:$B,Load!K:K,0,)</f>
        <v>0</v>
      </c>
      <c r="K5939">
        <f>_xlfn.XLOOKUP($A5939,Load!$B:$B,Load!L:L,0,)</f>
        <v>0</v>
      </c>
      <c r="L5939">
        <f>_xlfn.XLOOKUP($A5939,Load!$B:$B,Load!M:M,0,)</f>
        <v>0</v>
      </c>
    </row>
    <row r="5940" spans="1:12" x14ac:dyDescent="0.25">
      <c r="A5940" t="s">
        <v>121</v>
      </c>
      <c r="B5940" t="str">
        <f>_xlfn.XLOOKUP($A5940,Load!$B:$B,Load!C:C,0,)</f>
        <v>HARIBO</v>
      </c>
      <c r="C5940" t="str">
        <f>_xlfn.XLOOKUP($A5940,Load!$B:$B,Load!D:D,0,)</f>
        <v>Non-Chocolate Candy Only</v>
      </c>
      <c r="D5940" t="str">
        <f>_xlfn.XLOOKUP($A5940,Load!$B:$B,Load!E:E,0,)</f>
        <v>Variety / Mixed Flavors (Fruity, Sour, Seasonal Flavors)</v>
      </c>
      <c r="E5940" t="str">
        <f>_xlfn.XLOOKUP($A5940,Load!$B:$B,Load!F:F,0,)</f>
        <v>Gummy</v>
      </c>
      <c r="F5940" t="str">
        <f>_xlfn.XLOOKUP($A5940,Load!$B:$B,Load!G:G,0,)</f>
        <v>Large Multipack (More than 80 ct)</v>
      </c>
      <c r="G5940" t="str">
        <f>_xlfn.XLOOKUP($A5940,Load!$B:$B,Load!H:H,0,)</f>
        <v>Stand-Up Bag</v>
      </c>
      <c r="H5940" t="str">
        <f>_xlfn.XLOOKUP($A5940,Load!$B:$B,Load!I:I,0,)</f>
        <v>Seasonal Shapes (like pumpkins, candy corn, ghost, bats, etc.)</v>
      </c>
      <c r="I5940" t="str">
        <f>_xlfn.XLOOKUP($A5940,Load!$B:$B,Load!J:J,0,)</f>
        <v>Seasonal Graphics (Like Bat, Ghost, Pumpkin, Fall Leaves, Eyeballs, etc.)</v>
      </c>
      <c r="J5940" t="str">
        <f>_xlfn.XLOOKUP($A5940,Load!$B:$B,Load!K:K,0,)</f>
        <v>Fun Size / Treat Size</v>
      </c>
      <c r="K5940" t="str">
        <f>_xlfn.XLOOKUP($A5940,Load!$B:$B,Load!L:L,0,)</f>
        <v>Regular/Original Wrapping</v>
      </c>
      <c r="L5940" t="str">
        <f>_xlfn.XLOOKUP($A5940,Load!$B:$B,Load!M:M,0,)</f>
        <v>Multiple Brands / Variety Flavors or Form</v>
      </c>
    </row>
    <row r="5941" spans="1:12" x14ac:dyDescent="0.25">
      <c r="B5941">
        <f>_xlfn.XLOOKUP($A5941,Load!$B:$B,Load!C:C,0,)</f>
        <v>0</v>
      </c>
      <c r="C5941">
        <f>_xlfn.XLOOKUP($A5941,Load!$B:$B,Load!D:D,0,)</f>
        <v>0</v>
      </c>
      <c r="D5941">
        <f>_xlfn.XLOOKUP($A5941,Load!$B:$B,Load!E:E,0,)</f>
        <v>0</v>
      </c>
      <c r="E5941">
        <f>_xlfn.XLOOKUP($A5941,Load!$B:$B,Load!F:F,0,)</f>
        <v>0</v>
      </c>
      <c r="F5941">
        <f>_xlfn.XLOOKUP($A5941,Load!$B:$B,Load!G:G,0,)</f>
        <v>0</v>
      </c>
      <c r="G5941">
        <f>_xlfn.XLOOKUP($A5941,Load!$B:$B,Load!H:H,0,)</f>
        <v>0</v>
      </c>
      <c r="H5941">
        <f>_xlfn.XLOOKUP($A5941,Load!$B:$B,Load!I:I,0,)</f>
        <v>0</v>
      </c>
      <c r="I5941">
        <f>_xlfn.XLOOKUP($A5941,Load!$B:$B,Load!J:J,0,)</f>
        <v>0</v>
      </c>
      <c r="J5941">
        <f>_xlfn.XLOOKUP($A5941,Load!$B:$B,Load!K:K,0,)</f>
        <v>0</v>
      </c>
      <c r="K5941">
        <f>_xlfn.XLOOKUP($A5941,Load!$B:$B,Load!L:L,0,)</f>
        <v>0</v>
      </c>
      <c r="L5941">
        <f>_xlfn.XLOOKUP($A5941,Load!$B:$B,Load!M:M,0,)</f>
        <v>0</v>
      </c>
    </row>
    <row r="5942" spans="1:12" x14ac:dyDescent="0.25">
      <c r="A5942" t="s">
        <v>255</v>
      </c>
      <c r="B5942" t="str">
        <f>_xlfn.XLOOKUP($A5942,Load!$B:$B,Load!C:C,0,)</f>
        <v>Skittles</v>
      </c>
      <c r="C5942" t="str">
        <f>_xlfn.XLOOKUP($A5942,Load!$B:$B,Load!D:D,0,)</f>
        <v>Non-Chocolate Candy Only</v>
      </c>
      <c r="D5942" t="str">
        <f>_xlfn.XLOOKUP($A5942,Load!$B:$B,Load!E:E,0,)</f>
        <v>Variety / Mixed Flavors (Fruity, Sour, Seasonal Flavors)</v>
      </c>
      <c r="E5942" t="str">
        <f>_xlfn.XLOOKUP($A5942,Load!$B:$B,Load!F:F,0,)</f>
        <v>Gummy</v>
      </c>
      <c r="F5942" t="str">
        <f>_xlfn.XLOOKUP($A5942,Load!$B:$B,Load!G:G,0,)</f>
        <v>Large Multipack (More than 80 ct)</v>
      </c>
      <c r="G5942" t="str">
        <f>_xlfn.XLOOKUP($A5942,Load!$B:$B,Load!H:H,0,)</f>
        <v>Stand-Up Bag</v>
      </c>
      <c r="H5942" t="str">
        <f>_xlfn.XLOOKUP($A5942,Load!$B:$B,Load!I:I,0,)</f>
        <v>Everyday Candy Shapes (like Original, Gummy bear, Fruit, Jewels, etc.)</v>
      </c>
      <c r="I5942" t="str">
        <f>_xlfn.XLOOKUP($A5942,Load!$B:$B,Load!J:J,0,)</f>
        <v>Everyday Graphics</v>
      </c>
      <c r="J5942" t="str">
        <f>_xlfn.XLOOKUP($A5942,Load!$B:$B,Load!K:K,0,)</f>
        <v>Fun Size / Treat Size</v>
      </c>
      <c r="K5942" t="str">
        <f>_xlfn.XLOOKUP($A5942,Load!$B:$B,Load!L:L,0,)</f>
        <v>Regular/Original Wrapping</v>
      </c>
      <c r="L5942" t="str">
        <f>_xlfn.XLOOKUP($A5942,Load!$B:$B,Load!M:M,0,)</f>
        <v>Single Brand / Variety Flavors or Form</v>
      </c>
    </row>
    <row r="5943" spans="1:12" x14ac:dyDescent="0.25">
      <c r="B5943">
        <f>_xlfn.XLOOKUP($A5943,Load!$B:$B,Load!C:C,0,)</f>
        <v>0</v>
      </c>
      <c r="C5943">
        <f>_xlfn.XLOOKUP($A5943,Load!$B:$B,Load!D:D,0,)</f>
        <v>0</v>
      </c>
      <c r="D5943">
        <f>_xlfn.XLOOKUP($A5943,Load!$B:$B,Load!E:E,0,)</f>
        <v>0</v>
      </c>
      <c r="E5943">
        <f>_xlfn.XLOOKUP($A5943,Load!$B:$B,Load!F:F,0,)</f>
        <v>0</v>
      </c>
      <c r="F5943">
        <f>_xlfn.XLOOKUP($A5943,Load!$B:$B,Load!G:G,0,)</f>
        <v>0</v>
      </c>
      <c r="G5943">
        <f>_xlfn.XLOOKUP($A5943,Load!$B:$B,Load!H:H,0,)</f>
        <v>0</v>
      </c>
      <c r="H5943">
        <f>_xlfn.XLOOKUP($A5943,Load!$B:$B,Load!I:I,0,)</f>
        <v>0</v>
      </c>
      <c r="I5943">
        <f>_xlfn.XLOOKUP($A5943,Load!$B:$B,Load!J:J,0,)</f>
        <v>0</v>
      </c>
      <c r="J5943">
        <f>_xlfn.XLOOKUP($A5943,Load!$B:$B,Load!K:K,0,)</f>
        <v>0</v>
      </c>
      <c r="K5943">
        <f>_xlfn.XLOOKUP($A5943,Load!$B:$B,Load!L:L,0,)</f>
        <v>0</v>
      </c>
      <c r="L5943">
        <f>_xlfn.XLOOKUP($A5943,Load!$B:$B,Load!M:M,0,)</f>
        <v>0</v>
      </c>
    </row>
    <row r="5944" spans="1:12" x14ac:dyDescent="0.25">
      <c r="A5944" t="s">
        <v>178</v>
      </c>
      <c r="B5944" t="str">
        <f>_xlfn.XLOOKUP($A5944,Load!$B:$B,Load!C:C,0,)</f>
        <v>Mars Variety Pack</v>
      </c>
      <c r="C5944" t="str">
        <f>_xlfn.XLOOKUP($A5944,Load!$B:$B,Load!D:D,0,)</f>
        <v>Mix of Chocolate and Non-Chocolate Candy</v>
      </c>
      <c r="D5944" t="str">
        <f>_xlfn.XLOOKUP($A5944,Load!$B:$B,Load!E:E,0,)</f>
        <v>Variety / Mixed Flavors (Fruity, Sour, Seasonal Flavors)</v>
      </c>
      <c r="E5944" t="str">
        <f>_xlfn.XLOOKUP($A5944,Load!$B:$B,Load!F:F,0,)</f>
        <v>Mixed / Combo Packs (Gummy, Chewy, Taffy, etc.)</v>
      </c>
      <c r="F5944" t="str">
        <f>_xlfn.XLOOKUP($A5944,Load!$B:$B,Load!G:G,0,)</f>
        <v>Small Multipack (Less than 40 ct)</v>
      </c>
      <c r="G5944" t="str">
        <f>_xlfn.XLOOKUP($A5944,Load!$B:$B,Load!H:H,0,)</f>
        <v>Laydown Bag</v>
      </c>
      <c r="H5944" t="str">
        <f>_xlfn.XLOOKUP($A5944,Load!$B:$B,Load!I:I,0,)</f>
        <v>Everyday Candy Shapes (like Original, Gummy bear, Fruit, Jewels, etc.)</v>
      </c>
      <c r="I5944" t="str">
        <f>_xlfn.XLOOKUP($A5944,Load!$B:$B,Load!J:J,0,)</f>
        <v>Seasonal Graphics (Like Bat, Ghost, Pumpkin, Fall Leaves, Eyeballs, etc.)</v>
      </c>
      <c r="J5944" t="str">
        <f>_xlfn.XLOOKUP($A5944,Load!$B:$B,Load!K:K,0,)</f>
        <v xml:space="preserve">Variety Candy Sizes </v>
      </c>
      <c r="K5944" t="str">
        <f>_xlfn.XLOOKUP($A5944,Load!$B:$B,Load!L:L,0,)</f>
        <v>Regular/Original Wrapping</v>
      </c>
      <c r="L5944" t="str">
        <f>_xlfn.XLOOKUP($A5944,Load!$B:$B,Load!M:M,0,)</f>
        <v>Multiple Brands / Variety Flavors or Form</v>
      </c>
    </row>
    <row r="5945" spans="1:12" x14ac:dyDescent="0.25">
      <c r="B5945">
        <f>_xlfn.XLOOKUP($A5945,Load!$B:$B,Load!C:C,0,)</f>
        <v>0</v>
      </c>
      <c r="C5945">
        <f>_xlfn.XLOOKUP($A5945,Load!$B:$B,Load!D:D,0,)</f>
        <v>0</v>
      </c>
      <c r="D5945">
        <f>_xlfn.XLOOKUP($A5945,Load!$B:$B,Load!E:E,0,)</f>
        <v>0</v>
      </c>
      <c r="E5945">
        <f>_xlfn.XLOOKUP($A5945,Load!$B:$B,Load!F:F,0,)</f>
        <v>0</v>
      </c>
      <c r="F5945">
        <f>_xlfn.XLOOKUP($A5945,Load!$B:$B,Load!G:G,0,)</f>
        <v>0</v>
      </c>
      <c r="G5945">
        <f>_xlfn.XLOOKUP($A5945,Load!$B:$B,Load!H:H,0,)</f>
        <v>0</v>
      </c>
      <c r="H5945">
        <f>_xlfn.XLOOKUP($A5945,Load!$B:$B,Load!I:I,0,)</f>
        <v>0</v>
      </c>
      <c r="I5945">
        <f>_xlfn.XLOOKUP($A5945,Load!$B:$B,Load!J:J,0,)</f>
        <v>0</v>
      </c>
      <c r="J5945">
        <f>_xlfn.XLOOKUP($A5945,Load!$B:$B,Load!K:K,0,)</f>
        <v>0</v>
      </c>
      <c r="K5945">
        <f>_xlfn.XLOOKUP($A5945,Load!$B:$B,Load!L:L,0,)</f>
        <v>0</v>
      </c>
      <c r="L5945">
        <f>_xlfn.XLOOKUP($A5945,Load!$B:$B,Load!M:M,0,)</f>
        <v>0</v>
      </c>
    </row>
    <row r="5946" spans="1:12" x14ac:dyDescent="0.25">
      <c r="A5946" t="s">
        <v>237</v>
      </c>
      <c r="B5946" t="str">
        <f>_xlfn.XLOOKUP($A5946,Load!$B:$B,Load!C:C,0,)</f>
        <v>Now &amp; Later</v>
      </c>
      <c r="C5946" t="str">
        <f>_xlfn.XLOOKUP($A5946,Load!$B:$B,Load!D:D,0,)</f>
        <v>Non-Chocolate Candy Only</v>
      </c>
      <c r="D5946" t="str">
        <f>_xlfn.XLOOKUP($A5946,Load!$B:$B,Load!E:E,0,)</f>
        <v>Fruit Flavor (Cherry, Grape, Apple, Citrus, Tropical Fruit)</v>
      </c>
      <c r="E5946" t="str">
        <f>_xlfn.XLOOKUP($A5946,Load!$B:$B,Load!F:F,0,)</f>
        <v>Chewy</v>
      </c>
      <c r="F5946" t="str">
        <f>_xlfn.XLOOKUP($A5946,Load!$B:$B,Load!G:G,0,)</f>
        <v>Medium Multipack (40–80 ct)</v>
      </c>
      <c r="G5946" t="str">
        <f>_xlfn.XLOOKUP($A5946,Load!$B:$B,Load!H:H,0,)</f>
        <v>Laydown Bag</v>
      </c>
      <c r="H5946" t="str">
        <f>_xlfn.XLOOKUP($A5946,Load!$B:$B,Load!I:I,0,)</f>
        <v>Everyday Candy Shapes (like Original, Gummy bear, Fruit, Jewels, etc.)</v>
      </c>
      <c r="I5946" t="str">
        <f>_xlfn.XLOOKUP($A5946,Load!$B:$B,Load!J:J,0,)</f>
        <v>Seasonal Graphics (Like Bat, Ghost, Pumpkin, Fall Leaves, Eyeballs, etc.)</v>
      </c>
      <c r="J5946" t="str">
        <f>_xlfn.XLOOKUP($A5946,Load!$B:$B,Load!K:K,0,)</f>
        <v>Small Pieces (Tiny bite size candies)</v>
      </c>
      <c r="K5946" t="str">
        <f>_xlfn.XLOOKUP($A5946,Load!$B:$B,Load!L:L,0,)</f>
        <v>Regular/Original Wrapping</v>
      </c>
      <c r="L5946" t="str">
        <f>_xlfn.XLOOKUP($A5946,Load!$B:$B,Load!M:M,0,)</f>
        <v>Single Brand / Variety Flavors or Form</v>
      </c>
    </row>
    <row r="5947" spans="1:12" x14ac:dyDescent="0.25">
      <c r="A5947" t="s">
        <v>259</v>
      </c>
      <c r="B5947" t="str">
        <f>_xlfn.XLOOKUP($A5947,Load!$B:$B,Load!C:C,0,)</f>
        <v>Skittles</v>
      </c>
      <c r="C5947" t="str">
        <f>_xlfn.XLOOKUP($A5947,Load!$B:$B,Load!D:D,0,)</f>
        <v>Non-Chocolate Candy Only</v>
      </c>
      <c r="D5947" t="str">
        <f>_xlfn.XLOOKUP($A5947,Load!$B:$B,Load!E:E,0,)</f>
        <v>Sour</v>
      </c>
      <c r="E5947" t="str">
        <f>_xlfn.XLOOKUP($A5947,Load!$B:$B,Load!F:F,0,)</f>
        <v>Chewy</v>
      </c>
      <c r="F5947" t="str">
        <f>_xlfn.XLOOKUP($A5947,Load!$B:$B,Load!G:G,0,)</f>
        <v>Small Multipack (Less than 40 ct)</v>
      </c>
      <c r="G5947" t="str">
        <f>_xlfn.XLOOKUP($A5947,Load!$B:$B,Load!H:H,0,)</f>
        <v>Laydown Bag</v>
      </c>
      <c r="H5947" t="str">
        <f>_xlfn.XLOOKUP($A5947,Load!$B:$B,Load!I:I,0,)</f>
        <v>Everyday Candy Shapes (like Original, Gummy bear, Fruit, Jewels, etc.)</v>
      </c>
      <c r="I5947" t="str">
        <f>_xlfn.XLOOKUP($A5947,Load!$B:$B,Load!J:J,0,)</f>
        <v>Seasonal Graphics (Like Bat, Ghost, Pumpkin, Fall Leaves, Eyeballs, etc.)</v>
      </c>
      <c r="J5947" t="str">
        <f>_xlfn.XLOOKUP($A5947,Load!$B:$B,Load!K:K,0,)</f>
        <v>Small Pieces (Tiny bite size candies)</v>
      </c>
      <c r="K5947" t="str">
        <f>_xlfn.XLOOKUP($A5947,Load!$B:$B,Load!L:L,0,)</f>
        <v>Regular/Original Wrapping</v>
      </c>
      <c r="L5947" t="str">
        <f>_xlfn.XLOOKUP($A5947,Load!$B:$B,Load!M:M,0,)</f>
        <v>Single Brand / Variety Flavors or Form</v>
      </c>
    </row>
    <row r="5948" spans="1:12" x14ac:dyDescent="0.25">
      <c r="A5948" t="s">
        <v>96</v>
      </c>
      <c r="B5948" t="str">
        <f>_xlfn.XLOOKUP($A5948,Load!$B:$B,Load!C:C,0,)</f>
        <v>Ferrero Variety Pack</v>
      </c>
      <c r="C5948" t="str">
        <f>_xlfn.XLOOKUP($A5948,Load!$B:$B,Load!D:D,0,)</f>
        <v>Mix of Chocolate and Non-Chocolate Candy</v>
      </c>
      <c r="D5948" t="str">
        <f>_xlfn.XLOOKUP($A5948,Load!$B:$B,Load!E:E,0,)</f>
        <v>Variety / Mixed Flavors (Fruity, Sour, Seasonal Flavors)</v>
      </c>
      <c r="E5948" t="str">
        <f>_xlfn.XLOOKUP($A5948,Load!$B:$B,Load!F:F,0,)</f>
        <v>Mixed / Combo Packs (Gummy, Chewy, Taffy, etc.)</v>
      </c>
      <c r="F5948" t="str">
        <f>_xlfn.XLOOKUP($A5948,Load!$B:$B,Load!G:G,0,)</f>
        <v>Large Multipack (More than 80 ct)</v>
      </c>
      <c r="G5948" t="str">
        <f>_xlfn.XLOOKUP($A5948,Load!$B:$B,Load!H:H,0,)</f>
        <v>Stand-Up Bag</v>
      </c>
      <c r="H5948" t="str">
        <f>_xlfn.XLOOKUP($A5948,Load!$B:$B,Load!I:I,0,)</f>
        <v>Everyday Candy Shapes (like Original, Gummy bear, Fruit, Jewels, etc.)</v>
      </c>
      <c r="I5948" t="str">
        <f>_xlfn.XLOOKUP($A5948,Load!$B:$B,Load!J:J,0,)</f>
        <v>Seasonal Graphics (Like Bat, Ghost, Pumpkin, Fall Leaves, Eyeballs, etc.)</v>
      </c>
      <c r="J5948" t="str">
        <f>_xlfn.XLOOKUP($A5948,Load!$B:$B,Load!K:K,0,)</f>
        <v>Fun Size / Treat Size</v>
      </c>
      <c r="K5948" t="str">
        <f>_xlfn.XLOOKUP($A5948,Load!$B:$B,Load!L:L,0,)</f>
        <v>Regular/Original Wrapping</v>
      </c>
      <c r="L5948" t="str">
        <f>_xlfn.XLOOKUP($A5948,Load!$B:$B,Load!M:M,0,)</f>
        <v>Multiple Brands / Variety Flavors or Form</v>
      </c>
    </row>
    <row r="5949" spans="1:12" x14ac:dyDescent="0.25">
      <c r="B5949">
        <f>_xlfn.XLOOKUP($A5949,Load!$B:$B,Load!C:C,0,)</f>
        <v>0</v>
      </c>
      <c r="C5949">
        <f>_xlfn.XLOOKUP($A5949,Load!$B:$B,Load!D:D,0,)</f>
        <v>0</v>
      </c>
      <c r="D5949">
        <f>_xlfn.XLOOKUP($A5949,Load!$B:$B,Load!E:E,0,)</f>
        <v>0</v>
      </c>
      <c r="E5949">
        <f>_xlfn.XLOOKUP($A5949,Load!$B:$B,Load!F:F,0,)</f>
        <v>0</v>
      </c>
      <c r="F5949">
        <f>_xlfn.XLOOKUP($A5949,Load!$B:$B,Load!G:G,0,)</f>
        <v>0</v>
      </c>
      <c r="G5949">
        <f>_xlfn.XLOOKUP($A5949,Load!$B:$B,Load!H:H,0,)</f>
        <v>0</v>
      </c>
      <c r="H5949">
        <f>_xlfn.XLOOKUP($A5949,Load!$B:$B,Load!I:I,0,)</f>
        <v>0</v>
      </c>
      <c r="I5949">
        <f>_xlfn.XLOOKUP($A5949,Load!$B:$B,Load!J:J,0,)</f>
        <v>0</v>
      </c>
      <c r="J5949">
        <f>_xlfn.XLOOKUP($A5949,Load!$B:$B,Load!K:K,0,)</f>
        <v>0</v>
      </c>
      <c r="K5949">
        <f>_xlfn.XLOOKUP($A5949,Load!$B:$B,Load!L:L,0,)</f>
        <v>0</v>
      </c>
      <c r="L5949">
        <f>_xlfn.XLOOKUP($A5949,Load!$B:$B,Load!M:M,0,)</f>
        <v>0</v>
      </c>
    </row>
    <row r="5950" spans="1:12" x14ac:dyDescent="0.25">
      <c r="A5950" t="s">
        <v>285</v>
      </c>
      <c r="B5950" t="str">
        <f>_xlfn.XLOOKUP($A5950,Load!$B:$B,Load!C:C,0,)</f>
        <v>Starburst</v>
      </c>
      <c r="C5950" t="str">
        <f>_xlfn.XLOOKUP($A5950,Load!$B:$B,Load!D:D,0,)</f>
        <v>Non-Chocolate Candy Only</v>
      </c>
      <c r="D5950" t="str">
        <f>_xlfn.XLOOKUP($A5950,Load!$B:$B,Load!E:E,0,)</f>
        <v>Fruit Flavor (Cherry, Grape, Apple, Citrus, Tropical Fruit)</v>
      </c>
      <c r="E5950" t="str">
        <f>_xlfn.XLOOKUP($A5950,Load!$B:$B,Load!F:F,0,)</f>
        <v>Chewy</v>
      </c>
      <c r="F5950" t="str">
        <f>_xlfn.XLOOKUP($A5950,Load!$B:$B,Load!G:G,0,)</f>
        <v>Small Multipack (Less than 40 ct)</v>
      </c>
      <c r="G5950" t="str">
        <f>_xlfn.XLOOKUP($A5950,Load!$B:$B,Load!H:H,0,)</f>
        <v>Laydown Bag</v>
      </c>
      <c r="H5950" t="str">
        <f>_xlfn.XLOOKUP($A5950,Load!$B:$B,Load!I:I,0,)</f>
        <v>Everyday Candy Shapes (like Original, Gummy bear, Fruit, Jewels, etc.)</v>
      </c>
      <c r="I5950" t="str">
        <f>_xlfn.XLOOKUP($A5950,Load!$B:$B,Load!J:J,0,)</f>
        <v>Everyday Graphics</v>
      </c>
      <c r="J5950" t="str">
        <f>_xlfn.XLOOKUP($A5950,Load!$B:$B,Load!K:K,0,)</f>
        <v>Small Pieces (Tiny bite size candies)</v>
      </c>
      <c r="K5950" t="str">
        <f>_xlfn.XLOOKUP($A5950,Load!$B:$B,Load!L:L,0,)</f>
        <v>Regular/Original Wrapping</v>
      </c>
      <c r="L5950" t="str">
        <f>_xlfn.XLOOKUP($A5950,Load!$B:$B,Load!M:M,0,)</f>
        <v>Single Brand / Variety Flavors or Form</v>
      </c>
    </row>
    <row r="5951" spans="1:12" x14ac:dyDescent="0.25">
      <c r="B5951">
        <f>_xlfn.XLOOKUP($A5951,Load!$B:$B,Load!C:C,0,)</f>
        <v>0</v>
      </c>
      <c r="C5951">
        <f>_xlfn.XLOOKUP($A5951,Load!$B:$B,Load!D:D,0,)</f>
        <v>0</v>
      </c>
      <c r="D5951">
        <f>_xlfn.XLOOKUP($A5951,Load!$B:$B,Load!E:E,0,)</f>
        <v>0</v>
      </c>
      <c r="E5951">
        <f>_xlfn.XLOOKUP($A5951,Load!$B:$B,Load!F:F,0,)</f>
        <v>0</v>
      </c>
      <c r="F5951">
        <f>_xlfn.XLOOKUP($A5951,Load!$B:$B,Load!G:G,0,)</f>
        <v>0</v>
      </c>
      <c r="G5951">
        <f>_xlfn.XLOOKUP($A5951,Load!$B:$B,Load!H:H,0,)</f>
        <v>0</v>
      </c>
      <c r="H5951">
        <f>_xlfn.XLOOKUP($A5951,Load!$B:$B,Load!I:I,0,)</f>
        <v>0</v>
      </c>
      <c r="I5951">
        <f>_xlfn.XLOOKUP($A5951,Load!$B:$B,Load!J:J,0,)</f>
        <v>0</v>
      </c>
      <c r="J5951">
        <f>_xlfn.XLOOKUP($A5951,Load!$B:$B,Load!K:K,0,)</f>
        <v>0</v>
      </c>
      <c r="K5951">
        <f>_xlfn.XLOOKUP($A5951,Load!$B:$B,Load!L:L,0,)</f>
        <v>0</v>
      </c>
      <c r="L5951">
        <f>_xlfn.XLOOKUP($A5951,Load!$B:$B,Load!M:M,0,)</f>
        <v>0</v>
      </c>
    </row>
    <row r="5952" spans="1:12" x14ac:dyDescent="0.25">
      <c r="A5952" t="s">
        <v>117</v>
      </c>
      <c r="B5952" t="str">
        <f>_xlfn.XLOOKUP($A5952,Load!$B:$B,Load!C:C,0,)</f>
        <v>Great Value</v>
      </c>
      <c r="C5952" t="str">
        <f>_xlfn.XLOOKUP($A5952,Load!$B:$B,Load!D:D,0,)</f>
        <v>Non-Chocolate Candy Only</v>
      </c>
      <c r="D5952" t="str">
        <f>_xlfn.XLOOKUP($A5952,Load!$B:$B,Load!E:E,0,)</f>
        <v>Fall / Seasonal Flavors (pumpkin spice, caramel apple, candy corn)</v>
      </c>
      <c r="E5952" t="str">
        <f>_xlfn.XLOOKUP($A5952,Load!$B:$B,Load!F:F,0,)</f>
        <v>Candy Pieces / Bites</v>
      </c>
      <c r="F5952" t="str">
        <f>_xlfn.XLOOKUP($A5952,Load!$B:$B,Load!G:G,0,)</f>
        <v>Single Pack</v>
      </c>
      <c r="G5952" t="str">
        <f>_xlfn.XLOOKUP($A5952,Load!$B:$B,Load!H:H,0,)</f>
        <v>Laydown Bag</v>
      </c>
      <c r="H5952" t="str">
        <f>_xlfn.XLOOKUP($A5952,Load!$B:$B,Load!I:I,0,)</f>
        <v>Seasonal Shapes (like pumpkins, candy corn, ghost, bats, etc.)</v>
      </c>
      <c r="I5952" t="str">
        <f>_xlfn.XLOOKUP($A5952,Load!$B:$B,Load!J:J,0,)</f>
        <v>Seasonal Graphics (Like Bat, Ghost, Pumpkin, Fall Leaves, Eyeballs, etc.)</v>
      </c>
      <c r="J5952" t="str">
        <f>_xlfn.XLOOKUP($A5952,Load!$B:$B,Load!K:K,0,)</f>
        <v>Small Pieces (Tiny bite size candies)</v>
      </c>
      <c r="K5952" t="str">
        <f>_xlfn.XLOOKUP($A5952,Load!$B:$B,Load!L:L,0,)</f>
        <v>Unwrapped</v>
      </c>
      <c r="L5952" t="str">
        <f>_xlfn.XLOOKUP($A5952,Load!$B:$B,Load!M:M,0,)</f>
        <v>Single Brand / Single Flavor or Form</v>
      </c>
    </row>
    <row r="5953" spans="1:12" x14ac:dyDescent="0.25">
      <c r="B5953">
        <f>_xlfn.XLOOKUP($A5953,Load!$B:$B,Load!C:C,0,)</f>
        <v>0</v>
      </c>
      <c r="C5953">
        <f>_xlfn.XLOOKUP($A5953,Load!$B:$B,Load!D:D,0,)</f>
        <v>0</v>
      </c>
      <c r="D5953">
        <f>_xlfn.XLOOKUP($A5953,Load!$B:$B,Load!E:E,0,)</f>
        <v>0</v>
      </c>
      <c r="E5953">
        <f>_xlfn.XLOOKUP($A5953,Load!$B:$B,Load!F:F,0,)</f>
        <v>0</v>
      </c>
      <c r="F5953">
        <f>_xlfn.XLOOKUP($A5953,Load!$B:$B,Load!G:G,0,)</f>
        <v>0</v>
      </c>
      <c r="G5953">
        <f>_xlfn.XLOOKUP($A5953,Load!$B:$B,Load!H:H,0,)</f>
        <v>0</v>
      </c>
      <c r="H5953">
        <f>_xlfn.XLOOKUP($A5953,Load!$B:$B,Load!I:I,0,)</f>
        <v>0</v>
      </c>
      <c r="I5953">
        <f>_xlfn.XLOOKUP($A5953,Load!$B:$B,Load!J:J,0,)</f>
        <v>0</v>
      </c>
      <c r="J5953">
        <f>_xlfn.XLOOKUP($A5953,Load!$B:$B,Load!K:K,0,)</f>
        <v>0</v>
      </c>
      <c r="K5953">
        <f>_xlfn.XLOOKUP($A5953,Load!$B:$B,Load!L:L,0,)</f>
        <v>0</v>
      </c>
      <c r="L5953">
        <f>_xlfn.XLOOKUP($A5953,Load!$B:$B,Load!M:M,0,)</f>
        <v>0</v>
      </c>
    </row>
    <row r="5954" spans="1:12" x14ac:dyDescent="0.25">
      <c r="A5954" t="s">
        <v>136</v>
      </c>
      <c r="B5954" t="str">
        <f>_xlfn.XLOOKUP($A5954,Load!$B:$B,Load!C:C,0,)</f>
        <v>Hershey's Variety Pack + Haribo</v>
      </c>
      <c r="C5954" t="str">
        <f>_xlfn.XLOOKUP($A5954,Load!$B:$B,Load!D:D,0,)</f>
        <v>Non-Chocolate Candy Only</v>
      </c>
      <c r="D5954" t="str">
        <f>_xlfn.XLOOKUP($A5954,Load!$B:$B,Load!E:E,0,)</f>
        <v>Variety / Mixed Flavors (Fruity, Sour, Seasonal Flavors)</v>
      </c>
      <c r="E5954" t="str">
        <f>_xlfn.XLOOKUP($A5954,Load!$B:$B,Load!F:F,0,)</f>
        <v>Mixed / Combo Packs (Gummy, Chewy, Taffy, etc.)</v>
      </c>
      <c r="F5954" t="str">
        <f>_xlfn.XLOOKUP($A5954,Load!$B:$B,Load!G:G,0,)</f>
        <v>Medium Multipack (40–80 ct)</v>
      </c>
      <c r="G5954" t="str">
        <f>_xlfn.XLOOKUP($A5954,Load!$B:$B,Load!H:H,0,)</f>
        <v>Laydown Bag</v>
      </c>
      <c r="H5954" t="str">
        <f>_xlfn.XLOOKUP($A5954,Load!$B:$B,Load!I:I,0,)</f>
        <v>Everyday Candy Shapes (like Original, Gummy bear, Fruit, Jewels, etc.)</v>
      </c>
      <c r="I5954" t="str">
        <f>_xlfn.XLOOKUP($A5954,Load!$B:$B,Load!J:J,0,)</f>
        <v>Seasonal Graphics (Like Bat, Ghost, Pumpkin, Fall Leaves, Eyeballs, etc.)</v>
      </c>
      <c r="J5954" t="str">
        <f>_xlfn.XLOOKUP($A5954,Load!$B:$B,Load!K:K,0,)</f>
        <v xml:space="preserve">Variety Candy Sizes </v>
      </c>
      <c r="K5954" t="str">
        <f>_xlfn.XLOOKUP($A5954,Load!$B:$B,Load!L:L,0,)</f>
        <v>Regular/Original Wrapping</v>
      </c>
      <c r="L5954" t="str">
        <f>_xlfn.XLOOKUP($A5954,Load!$B:$B,Load!M:M,0,)</f>
        <v>Multiple Brands / Variety Flavors or Form</v>
      </c>
    </row>
    <row r="5955" spans="1:12" x14ac:dyDescent="0.25">
      <c r="B5955">
        <f>_xlfn.XLOOKUP($A5955,Load!$B:$B,Load!C:C,0,)</f>
        <v>0</v>
      </c>
      <c r="C5955">
        <f>_xlfn.XLOOKUP($A5955,Load!$B:$B,Load!D:D,0,)</f>
        <v>0</v>
      </c>
      <c r="D5955">
        <f>_xlfn.XLOOKUP($A5955,Load!$B:$B,Load!E:E,0,)</f>
        <v>0</v>
      </c>
      <c r="E5955">
        <f>_xlfn.XLOOKUP($A5955,Load!$B:$B,Load!F:F,0,)</f>
        <v>0</v>
      </c>
      <c r="F5955">
        <f>_xlfn.XLOOKUP($A5955,Load!$B:$B,Load!G:G,0,)</f>
        <v>0</v>
      </c>
      <c r="G5955">
        <f>_xlfn.XLOOKUP($A5955,Load!$B:$B,Load!H:H,0,)</f>
        <v>0</v>
      </c>
      <c r="H5955">
        <f>_xlfn.XLOOKUP($A5955,Load!$B:$B,Load!I:I,0,)</f>
        <v>0</v>
      </c>
      <c r="I5955">
        <f>_xlfn.XLOOKUP($A5955,Load!$B:$B,Load!J:J,0,)</f>
        <v>0</v>
      </c>
      <c r="J5955">
        <f>_xlfn.XLOOKUP($A5955,Load!$B:$B,Load!K:K,0,)</f>
        <v>0</v>
      </c>
      <c r="K5955">
        <f>_xlfn.XLOOKUP($A5955,Load!$B:$B,Load!L:L,0,)</f>
        <v>0</v>
      </c>
      <c r="L5955">
        <f>_xlfn.XLOOKUP($A5955,Load!$B:$B,Load!M:M,0,)</f>
        <v>0</v>
      </c>
    </row>
    <row r="5956" spans="1:12" x14ac:dyDescent="0.25">
      <c r="A5956" t="s">
        <v>274</v>
      </c>
      <c r="B5956" t="str">
        <f>_xlfn.XLOOKUP($A5956,Load!$B:$B,Load!C:C,0,)</f>
        <v>Sour Patch Kids</v>
      </c>
      <c r="C5956" t="str">
        <f>_xlfn.XLOOKUP($A5956,Load!$B:$B,Load!D:D,0,)</f>
        <v>Non-Chocolate Candy Only</v>
      </c>
      <c r="D5956" t="str">
        <f>_xlfn.XLOOKUP($A5956,Load!$B:$B,Load!E:E,0,)</f>
        <v>Sour</v>
      </c>
      <c r="E5956" t="str">
        <f>_xlfn.XLOOKUP($A5956,Load!$B:$B,Load!F:F,0,)</f>
        <v>Chewy</v>
      </c>
      <c r="F5956" t="str">
        <f>_xlfn.XLOOKUP($A5956,Load!$B:$B,Load!G:G,0,)</f>
        <v>Small Multipack (Less than 40 ct)</v>
      </c>
      <c r="G5956" t="str">
        <f>_xlfn.XLOOKUP($A5956,Load!$B:$B,Load!H:H,0,)</f>
        <v>Stand-Up Bag</v>
      </c>
      <c r="H5956" t="str">
        <f>_xlfn.XLOOKUP($A5956,Load!$B:$B,Load!I:I,0,)</f>
        <v>Everyday Candy Shapes (like Original, Gummy bear, Fruit, Jewels, etc.)</v>
      </c>
      <c r="I5956" t="str">
        <f>_xlfn.XLOOKUP($A5956,Load!$B:$B,Load!J:J,0,)</f>
        <v>Everyday Graphics</v>
      </c>
      <c r="J5956" t="str">
        <f>_xlfn.XLOOKUP($A5956,Load!$B:$B,Load!K:K,0,)</f>
        <v>Small Pieces (Tiny bite size candies)</v>
      </c>
      <c r="K5956" t="str">
        <f>_xlfn.XLOOKUP($A5956,Load!$B:$B,Load!L:L,0,)</f>
        <v>Unwrapped</v>
      </c>
      <c r="L5956" t="str">
        <f>_xlfn.XLOOKUP($A5956,Load!$B:$B,Load!M:M,0,)</f>
        <v>Single Brand / Variety Flavors or Form</v>
      </c>
    </row>
    <row r="5957" spans="1:12" x14ac:dyDescent="0.25">
      <c r="B5957">
        <f>_xlfn.XLOOKUP($A5957,Load!$B:$B,Load!C:C,0,)</f>
        <v>0</v>
      </c>
      <c r="C5957">
        <f>_xlfn.XLOOKUP($A5957,Load!$B:$B,Load!D:D,0,)</f>
        <v>0</v>
      </c>
      <c r="D5957">
        <f>_xlfn.XLOOKUP($A5957,Load!$B:$B,Load!E:E,0,)</f>
        <v>0</v>
      </c>
      <c r="E5957">
        <f>_xlfn.XLOOKUP($A5957,Load!$B:$B,Load!F:F,0,)</f>
        <v>0</v>
      </c>
      <c r="F5957">
        <f>_xlfn.XLOOKUP($A5957,Load!$B:$B,Load!G:G,0,)</f>
        <v>0</v>
      </c>
      <c r="G5957">
        <f>_xlfn.XLOOKUP($A5957,Load!$B:$B,Load!H:H,0,)</f>
        <v>0</v>
      </c>
      <c r="H5957">
        <f>_xlfn.XLOOKUP($A5957,Load!$B:$B,Load!I:I,0,)</f>
        <v>0</v>
      </c>
      <c r="I5957">
        <f>_xlfn.XLOOKUP($A5957,Load!$B:$B,Load!J:J,0,)</f>
        <v>0</v>
      </c>
      <c r="J5957">
        <f>_xlfn.XLOOKUP($A5957,Load!$B:$B,Load!K:K,0,)</f>
        <v>0</v>
      </c>
      <c r="K5957">
        <f>_xlfn.XLOOKUP($A5957,Load!$B:$B,Load!L:L,0,)</f>
        <v>0</v>
      </c>
      <c r="L5957">
        <f>_xlfn.XLOOKUP($A5957,Load!$B:$B,Load!M:M,0,)</f>
        <v>0</v>
      </c>
    </row>
    <row r="5958" spans="1:12" x14ac:dyDescent="0.25">
      <c r="A5958" t="s">
        <v>204</v>
      </c>
      <c r="B5958" t="str">
        <f>_xlfn.XLOOKUP($A5958,Load!$B:$B,Load!C:C,0,)</f>
        <v>Mars Variety Pack</v>
      </c>
      <c r="C5958" t="str">
        <f>_xlfn.XLOOKUP($A5958,Load!$B:$B,Load!D:D,0,)</f>
        <v>Mix of Chocolate and Non-Chocolate Candy</v>
      </c>
      <c r="D5958" t="str">
        <f>_xlfn.XLOOKUP($A5958,Load!$B:$B,Load!E:E,0,)</f>
        <v>Variety / Mixed Flavors (Fruity, Sour, Seasonal Flavors)</v>
      </c>
      <c r="E5958" t="str">
        <f>_xlfn.XLOOKUP($A5958,Load!$B:$B,Load!F:F,0,)</f>
        <v>Mixed / Combo Packs (Gummy, Chewy, Taffy, etc.)</v>
      </c>
      <c r="F5958" t="str">
        <f>_xlfn.XLOOKUP($A5958,Load!$B:$B,Load!G:G,0,)</f>
        <v>Medium Multipack (40–80 ct)</v>
      </c>
      <c r="G5958" t="str">
        <f>_xlfn.XLOOKUP($A5958,Load!$B:$B,Load!H:H,0,)</f>
        <v>Stand-Up Bag</v>
      </c>
      <c r="H5958" t="str">
        <f>_xlfn.XLOOKUP($A5958,Load!$B:$B,Load!I:I,0,)</f>
        <v>Everyday Candy Shapes (like Original, Gummy bear, Fruit, Jewels, etc.)</v>
      </c>
      <c r="I5958" t="str">
        <f>_xlfn.XLOOKUP($A5958,Load!$B:$B,Load!J:J,0,)</f>
        <v>Everyday Graphics</v>
      </c>
      <c r="J5958" t="str">
        <f>_xlfn.XLOOKUP($A5958,Load!$B:$B,Load!K:K,0,)</f>
        <v>Fun Size / Treat Size</v>
      </c>
      <c r="K5958" t="str">
        <f>_xlfn.XLOOKUP($A5958,Load!$B:$B,Load!L:L,0,)</f>
        <v>Regular/Original Wrapping</v>
      </c>
      <c r="L5958" t="str">
        <f>_xlfn.XLOOKUP($A5958,Load!$B:$B,Load!M:M,0,)</f>
        <v>Multiple Brands / Variety Flavors or Form</v>
      </c>
    </row>
    <row r="5959" spans="1:12" x14ac:dyDescent="0.25">
      <c r="B5959">
        <f>_xlfn.XLOOKUP($A5959,Load!$B:$B,Load!C:C,0,)</f>
        <v>0</v>
      </c>
      <c r="C5959">
        <f>_xlfn.XLOOKUP($A5959,Load!$B:$B,Load!D:D,0,)</f>
        <v>0</v>
      </c>
      <c r="D5959">
        <f>_xlfn.XLOOKUP($A5959,Load!$B:$B,Load!E:E,0,)</f>
        <v>0</v>
      </c>
      <c r="E5959">
        <f>_xlfn.XLOOKUP($A5959,Load!$B:$B,Load!F:F,0,)</f>
        <v>0</v>
      </c>
      <c r="F5959">
        <f>_xlfn.XLOOKUP($A5959,Load!$B:$B,Load!G:G,0,)</f>
        <v>0</v>
      </c>
      <c r="G5959">
        <f>_xlfn.XLOOKUP($A5959,Load!$B:$B,Load!H:H,0,)</f>
        <v>0</v>
      </c>
      <c r="H5959">
        <f>_xlfn.XLOOKUP($A5959,Load!$B:$B,Load!I:I,0,)</f>
        <v>0</v>
      </c>
      <c r="I5959">
        <f>_xlfn.XLOOKUP($A5959,Load!$B:$B,Load!J:J,0,)</f>
        <v>0</v>
      </c>
      <c r="J5959">
        <f>_xlfn.XLOOKUP($A5959,Load!$B:$B,Load!K:K,0,)</f>
        <v>0</v>
      </c>
      <c r="K5959">
        <f>_xlfn.XLOOKUP($A5959,Load!$B:$B,Load!L:L,0,)</f>
        <v>0</v>
      </c>
      <c r="L5959">
        <f>_xlfn.XLOOKUP($A5959,Load!$B:$B,Load!M:M,0,)</f>
        <v>0</v>
      </c>
    </row>
    <row r="5960" spans="1:12" x14ac:dyDescent="0.25">
      <c r="A5960" t="s">
        <v>71</v>
      </c>
      <c r="B5960" t="str">
        <f>_xlfn.XLOOKUP($A5960,Load!$B:$B,Load!C:C,0,)</f>
        <v>Dum Dums</v>
      </c>
      <c r="C5960" t="str">
        <f>_xlfn.XLOOKUP($A5960,Load!$B:$B,Load!D:D,0,)</f>
        <v>Non-Chocolate Candy Only</v>
      </c>
      <c r="D5960" t="str">
        <f>_xlfn.XLOOKUP($A5960,Load!$B:$B,Load!E:E,0,)</f>
        <v>Sweet</v>
      </c>
      <c r="E5960" t="str">
        <f>_xlfn.XLOOKUP($A5960,Load!$B:$B,Load!F:F,0,)</f>
        <v>Lollipop (regular or lollipop rings)</v>
      </c>
      <c r="F5960" t="str">
        <f>_xlfn.XLOOKUP($A5960,Load!$B:$B,Load!G:G,0,)</f>
        <v>Large Multipack (More than 80 ct)</v>
      </c>
      <c r="G5960" t="str">
        <f>_xlfn.XLOOKUP($A5960,Load!$B:$B,Load!H:H,0,)</f>
        <v>Stand-Up Bag</v>
      </c>
      <c r="H5960" t="str">
        <f>_xlfn.XLOOKUP($A5960,Load!$B:$B,Load!I:I,0,)</f>
        <v>Everyday Candy Shapes (like Original, Gummy bear, Fruit, Jewels, etc.)</v>
      </c>
      <c r="I5960" t="str">
        <f>_xlfn.XLOOKUP($A5960,Load!$B:$B,Load!J:J,0,)</f>
        <v>Seasonal Graphics (Like Bat, Ghost, Pumpkin, Fall Leaves, Eyeballs, etc.)</v>
      </c>
      <c r="J5960" t="str">
        <f>_xlfn.XLOOKUP($A5960,Load!$B:$B,Load!K:K,0,)</f>
        <v>Regular Lollipop size (on sticks or rings)</v>
      </c>
      <c r="K5960" t="str">
        <f>_xlfn.XLOOKUP($A5960,Load!$B:$B,Load!L:L,0,)</f>
        <v>Regular/Original Wrapping</v>
      </c>
      <c r="L5960" t="str">
        <f>_xlfn.XLOOKUP($A5960,Load!$B:$B,Load!M:M,0,)</f>
        <v>Multiple Brands / Variety Flavors or Form</v>
      </c>
    </row>
    <row r="5961" spans="1:12" x14ac:dyDescent="0.25">
      <c r="B5961">
        <f>_xlfn.XLOOKUP($A5961,Load!$B:$B,Load!C:C,0,)</f>
        <v>0</v>
      </c>
      <c r="C5961">
        <f>_xlfn.XLOOKUP($A5961,Load!$B:$B,Load!D:D,0,)</f>
        <v>0</v>
      </c>
      <c r="D5961">
        <f>_xlfn.XLOOKUP($A5961,Load!$B:$B,Load!E:E,0,)</f>
        <v>0</v>
      </c>
      <c r="E5961">
        <f>_xlfn.XLOOKUP($A5961,Load!$B:$B,Load!F:F,0,)</f>
        <v>0</v>
      </c>
      <c r="F5961">
        <f>_xlfn.XLOOKUP($A5961,Load!$B:$B,Load!G:G,0,)</f>
        <v>0</v>
      </c>
      <c r="G5961">
        <f>_xlfn.XLOOKUP($A5961,Load!$B:$B,Load!H:H,0,)</f>
        <v>0</v>
      </c>
      <c r="H5961">
        <f>_xlfn.XLOOKUP($A5961,Load!$B:$B,Load!I:I,0,)</f>
        <v>0</v>
      </c>
      <c r="I5961">
        <f>_xlfn.XLOOKUP($A5961,Load!$B:$B,Load!J:J,0,)</f>
        <v>0</v>
      </c>
      <c r="J5961">
        <f>_xlfn.XLOOKUP($A5961,Load!$B:$B,Load!K:K,0,)</f>
        <v>0</v>
      </c>
      <c r="K5961">
        <f>_xlfn.XLOOKUP($A5961,Load!$B:$B,Load!L:L,0,)</f>
        <v>0</v>
      </c>
      <c r="L5961">
        <f>_xlfn.XLOOKUP($A5961,Load!$B:$B,Load!M:M,0,)</f>
        <v>0</v>
      </c>
    </row>
    <row r="5962" spans="1:12" x14ac:dyDescent="0.25">
      <c r="A5962" t="s">
        <v>204</v>
      </c>
      <c r="B5962" t="str">
        <f>_xlfn.XLOOKUP($A5962,Load!$B:$B,Load!C:C,0,)</f>
        <v>Mars Variety Pack</v>
      </c>
      <c r="C5962" t="str">
        <f>_xlfn.XLOOKUP($A5962,Load!$B:$B,Load!D:D,0,)</f>
        <v>Mix of Chocolate and Non-Chocolate Candy</v>
      </c>
      <c r="D5962" t="str">
        <f>_xlfn.XLOOKUP($A5962,Load!$B:$B,Load!E:E,0,)</f>
        <v>Variety / Mixed Flavors (Fruity, Sour, Seasonal Flavors)</v>
      </c>
      <c r="E5962" t="str">
        <f>_xlfn.XLOOKUP($A5962,Load!$B:$B,Load!F:F,0,)</f>
        <v>Mixed / Combo Packs (Gummy, Chewy, Taffy, etc.)</v>
      </c>
      <c r="F5962" t="str">
        <f>_xlfn.XLOOKUP($A5962,Load!$B:$B,Load!G:G,0,)</f>
        <v>Medium Multipack (40–80 ct)</v>
      </c>
      <c r="G5962" t="str">
        <f>_xlfn.XLOOKUP($A5962,Load!$B:$B,Load!H:H,0,)</f>
        <v>Stand-Up Bag</v>
      </c>
      <c r="H5962" t="str">
        <f>_xlfn.XLOOKUP($A5962,Load!$B:$B,Load!I:I,0,)</f>
        <v>Everyday Candy Shapes (like Original, Gummy bear, Fruit, Jewels, etc.)</v>
      </c>
      <c r="I5962" t="str">
        <f>_xlfn.XLOOKUP($A5962,Load!$B:$B,Load!J:J,0,)</f>
        <v>Everyday Graphics</v>
      </c>
      <c r="J5962" t="str">
        <f>_xlfn.XLOOKUP($A5962,Load!$B:$B,Load!K:K,0,)</f>
        <v>Fun Size / Treat Size</v>
      </c>
      <c r="K5962" t="str">
        <f>_xlfn.XLOOKUP($A5962,Load!$B:$B,Load!L:L,0,)</f>
        <v>Regular/Original Wrapping</v>
      </c>
      <c r="L5962" t="str">
        <f>_xlfn.XLOOKUP($A5962,Load!$B:$B,Load!M:M,0,)</f>
        <v>Multiple Brands / Variety Flavors or Form</v>
      </c>
    </row>
    <row r="5963" spans="1:12" x14ac:dyDescent="0.25">
      <c r="A5963" t="s">
        <v>290</v>
      </c>
      <c r="B5963" t="str">
        <f>_xlfn.XLOOKUP($A5963,Load!$B:$B,Load!C:C,0,)</f>
        <v>Tootsie</v>
      </c>
      <c r="C5963" t="str">
        <f>_xlfn.XLOOKUP($A5963,Load!$B:$B,Load!D:D,0,)</f>
        <v>Mix of Chocolate and Non-Chocolate Candy</v>
      </c>
      <c r="D5963" t="str">
        <f>_xlfn.XLOOKUP($A5963,Load!$B:$B,Load!E:E,0,)</f>
        <v>Variety / Mixed Flavors (Fruity, Sour, Seasonal Flavors)</v>
      </c>
      <c r="E5963" t="str">
        <f>_xlfn.XLOOKUP($A5963,Load!$B:$B,Load!F:F,0,)</f>
        <v>Mixed / Combo Packs (Gummy, Chewy, Taffy, etc.)</v>
      </c>
      <c r="F5963" t="str">
        <f>_xlfn.XLOOKUP($A5963,Load!$B:$B,Load!G:G,0,)</f>
        <v>Large Multipack (More than 80 ct)</v>
      </c>
      <c r="G5963" t="str">
        <f>_xlfn.XLOOKUP($A5963,Load!$B:$B,Load!H:H,0,)</f>
        <v>Laydown Bag</v>
      </c>
      <c r="H5963" t="str">
        <f>_xlfn.XLOOKUP($A5963,Load!$B:$B,Load!I:I,0,)</f>
        <v>Everyday Candy Shapes (like Original, Gummy bear, Fruit, Jewels, etc.)</v>
      </c>
      <c r="I5963" t="str">
        <f>_xlfn.XLOOKUP($A5963,Load!$B:$B,Load!J:J,0,)</f>
        <v>Everyday Graphics</v>
      </c>
      <c r="J5963" t="str">
        <f>_xlfn.XLOOKUP($A5963,Load!$B:$B,Load!K:K,0,)</f>
        <v>Fun Size / Treat Size</v>
      </c>
      <c r="K5963" t="str">
        <f>_xlfn.XLOOKUP($A5963,Load!$B:$B,Load!L:L,0,)</f>
        <v>Regular/Original Wrapping</v>
      </c>
      <c r="L5963" t="str">
        <f>_xlfn.XLOOKUP($A5963,Load!$B:$B,Load!M:M,0,)</f>
        <v>Single Brand / Variety Flavors or Form</v>
      </c>
    </row>
    <row r="5964" spans="1:12" x14ac:dyDescent="0.25">
      <c r="A5964" t="s">
        <v>285</v>
      </c>
      <c r="B5964" t="str">
        <f>_xlfn.XLOOKUP($A5964,Load!$B:$B,Load!C:C,0,)</f>
        <v>Starburst</v>
      </c>
      <c r="C5964" t="str">
        <f>_xlfn.XLOOKUP($A5964,Load!$B:$B,Load!D:D,0,)</f>
        <v>Non-Chocolate Candy Only</v>
      </c>
      <c r="D5964" t="str">
        <f>_xlfn.XLOOKUP($A5964,Load!$B:$B,Load!E:E,0,)</f>
        <v>Fruit Flavor (Cherry, Grape, Apple, Citrus, Tropical Fruit)</v>
      </c>
      <c r="E5964" t="str">
        <f>_xlfn.XLOOKUP($A5964,Load!$B:$B,Load!F:F,0,)</f>
        <v>Chewy</v>
      </c>
      <c r="F5964" t="str">
        <f>_xlfn.XLOOKUP($A5964,Load!$B:$B,Load!G:G,0,)</f>
        <v>Small Multipack (Less than 40 ct)</v>
      </c>
      <c r="G5964" t="str">
        <f>_xlfn.XLOOKUP($A5964,Load!$B:$B,Load!H:H,0,)</f>
        <v>Laydown Bag</v>
      </c>
      <c r="H5964" t="str">
        <f>_xlfn.XLOOKUP($A5964,Load!$B:$B,Load!I:I,0,)</f>
        <v>Everyday Candy Shapes (like Original, Gummy bear, Fruit, Jewels, etc.)</v>
      </c>
      <c r="I5964" t="str">
        <f>_xlfn.XLOOKUP($A5964,Load!$B:$B,Load!J:J,0,)</f>
        <v>Everyday Graphics</v>
      </c>
      <c r="J5964" t="str">
        <f>_xlfn.XLOOKUP($A5964,Load!$B:$B,Load!K:K,0,)</f>
        <v>Small Pieces (Tiny bite size candies)</v>
      </c>
      <c r="K5964" t="str">
        <f>_xlfn.XLOOKUP($A5964,Load!$B:$B,Load!L:L,0,)</f>
        <v>Regular/Original Wrapping</v>
      </c>
      <c r="L5964" t="str">
        <f>_xlfn.XLOOKUP($A5964,Load!$B:$B,Load!M:M,0,)</f>
        <v>Single Brand / Variety Flavors or Form</v>
      </c>
    </row>
    <row r="5965" spans="1:12" x14ac:dyDescent="0.25">
      <c r="B5965">
        <f>_xlfn.XLOOKUP($A5965,Load!$B:$B,Load!C:C,0,)</f>
        <v>0</v>
      </c>
      <c r="C5965">
        <f>_xlfn.XLOOKUP($A5965,Load!$B:$B,Load!D:D,0,)</f>
        <v>0</v>
      </c>
      <c r="D5965">
        <f>_xlfn.XLOOKUP($A5965,Load!$B:$B,Load!E:E,0,)</f>
        <v>0</v>
      </c>
      <c r="E5965">
        <f>_xlfn.XLOOKUP($A5965,Load!$B:$B,Load!F:F,0,)</f>
        <v>0</v>
      </c>
      <c r="F5965">
        <f>_xlfn.XLOOKUP($A5965,Load!$B:$B,Load!G:G,0,)</f>
        <v>0</v>
      </c>
      <c r="G5965">
        <f>_xlfn.XLOOKUP($A5965,Load!$B:$B,Load!H:H,0,)</f>
        <v>0</v>
      </c>
      <c r="H5965">
        <f>_xlfn.XLOOKUP($A5965,Load!$B:$B,Load!I:I,0,)</f>
        <v>0</v>
      </c>
      <c r="I5965">
        <f>_xlfn.XLOOKUP($A5965,Load!$B:$B,Load!J:J,0,)</f>
        <v>0</v>
      </c>
      <c r="J5965">
        <f>_xlfn.XLOOKUP($A5965,Load!$B:$B,Load!K:K,0,)</f>
        <v>0</v>
      </c>
      <c r="K5965">
        <f>_xlfn.XLOOKUP($A5965,Load!$B:$B,Load!L:L,0,)</f>
        <v>0</v>
      </c>
      <c r="L5965">
        <f>_xlfn.XLOOKUP($A5965,Load!$B:$B,Load!M:M,0,)</f>
        <v>0</v>
      </c>
    </row>
    <row r="5966" spans="1:12" x14ac:dyDescent="0.25">
      <c r="A5966" t="s">
        <v>41</v>
      </c>
      <c r="B5966" t="str">
        <f>_xlfn.XLOOKUP($A5966,Load!$B:$B,Load!C:C,0,)</f>
        <v>Brach's</v>
      </c>
      <c r="C5966" t="str">
        <f>_xlfn.XLOOKUP($A5966,Load!$B:$B,Load!D:D,0,)</f>
        <v>Non-Chocolate Candy Only</v>
      </c>
      <c r="D5966" t="str">
        <f>_xlfn.XLOOKUP($A5966,Load!$B:$B,Load!E:E,0,)</f>
        <v>Fall / Seasonal Flavors (pumpkin spice, caramel apple, candy corn)</v>
      </c>
      <c r="E5966" t="str">
        <f>_xlfn.XLOOKUP($A5966,Load!$B:$B,Load!F:F,0,)</f>
        <v>Candy Pieces / Bites</v>
      </c>
      <c r="F5966" t="str">
        <f>_xlfn.XLOOKUP($A5966,Load!$B:$B,Load!G:G,0,)</f>
        <v>Single Pack</v>
      </c>
      <c r="G5966" t="str">
        <f>_xlfn.XLOOKUP($A5966,Load!$B:$B,Load!H:H,0,)</f>
        <v>Stand-Up Bag</v>
      </c>
      <c r="H5966" t="str">
        <f>_xlfn.XLOOKUP($A5966,Load!$B:$B,Load!I:I,0,)</f>
        <v>Seasonal Shapes (like pumpkins, candy corn, ghost, bats, etc.)</v>
      </c>
      <c r="I5966" t="str">
        <f>_xlfn.XLOOKUP($A5966,Load!$B:$B,Load!J:J,0,)</f>
        <v>Seasonal Graphics (Like Bat, Ghost, Pumpkin, Fall Leaves, Eyeballs, etc.)</v>
      </c>
      <c r="J5966" t="str">
        <f>_xlfn.XLOOKUP($A5966,Load!$B:$B,Load!K:K,0,)</f>
        <v>Small Pieces (Tiny bite size candies)</v>
      </c>
      <c r="K5966" t="str">
        <f>_xlfn.XLOOKUP($A5966,Load!$B:$B,Load!L:L,0,)</f>
        <v>Unwrapped</v>
      </c>
      <c r="L5966" t="str">
        <f>_xlfn.XLOOKUP($A5966,Load!$B:$B,Load!M:M,0,)</f>
        <v>Single Brand / Variety Flavors or Form</v>
      </c>
    </row>
    <row r="5967" spans="1:12" x14ac:dyDescent="0.25">
      <c r="B5967">
        <f>_xlfn.XLOOKUP($A5967,Load!$B:$B,Load!C:C,0,)</f>
        <v>0</v>
      </c>
      <c r="C5967">
        <f>_xlfn.XLOOKUP($A5967,Load!$B:$B,Load!D:D,0,)</f>
        <v>0</v>
      </c>
      <c r="D5967">
        <f>_xlfn.XLOOKUP($A5967,Load!$B:$B,Load!E:E,0,)</f>
        <v>0</v>
      </c>
      <c r="E5967">
        <f>_xlfn.XLOOKUP($A5967,Load!$B:$B,Load!F:F,0,)</f>
        <v>0</v>
      </c>
      <c r="F5967">
        <f>_xlfn.XLOOKUP($A5967,Load!$B:$B,Load!G:G,0,)</f>
        <v>0</v>
      </c>
      <c r="G5967">
        <f>_xlfn.XLOOKUP($A5967,Load!$B:$B,Load!H:H,0,)</f>
        <v>0</v>
      </c>
      <c r="H5967">
        <f>_xlfn.XLOOKUP($A5967,Load!$B:$B,Load!I:I,0,)</f>
        <v>0</v>
      </c>
      <c r="I5967">
        <f>_xlfn.XLOOKUP($A5967,Load!$B:$B,Load!J:J,0,)</f>
        <v>0</v>
      </c>
      <c r="J5967">
        <f>_xlfn.XLOOKUP($A5967,Load!$B:$B,Load!K:K,0,)</f>
        <v>0</v>
      </c>
      <c r="K5967">
        <f>_xlfn.XLOOKUP($A5967,Load!$B:$B,Load!L:L,0,)</f>
        <v>0</v>
      </c>
      <c r="L5967">
        <f>_xlfn.XLOOKUP($A5967,Load!$B:$B,Load!M:M,0,)</f>
        <v>0</v>
      </c>
    </row>
    <row r="5968" spans="1:12" x14ac:dyDescent="0.25">
      <c r="A5968" t="s">
        <v>178</v>
      </c>
      <c r="B5968" t="str">
        <f>_xlfn.XLOOKUP($A5968,Load!$B:$B,Load!C:C,0,)</f>
        <v>Mars Variety Pack</v>
      </c>
      <c r="C5968" t="str">
        <f>_xlfn.XLOOKUP($A5968,Load!$B:$B,Load!D:D,0,)</f>
        <v>Mix of Chocolate and Non-Chocolate Candy</v>
      </c>
      <c r="D5968" t="str">
        <f>_xlfn.XLOOKUP($A5968,Load!$B:$B,Load!E:E,0,)</f>
        <v>Variety / Mixed Flavors (Fruity, Sour, Seasonal Flavors)</v>
      </c>
      <c r="E5968" t="str">
        <f>_xlfn.XLOOKUP($A5968,Load!$B:$B,Load!F:F,0,)</f>
        <v>Mixed / Combo Packs (Gummy, Chewy, Taffy, etc.)</v>
      </c>
      <c r="F5968" t="str">
        <f>_xlfn.XLOOKUP($A5968,Load!$B:$B,Load!G:G,0,)</f>
        <v>Small Multipack (Less than 40 ct)</v>
      </c>
      <c r="G5968" t="str">
        <f>_xlfn.XLOOKUP($A5968,Load!$B:$B,Load!H:H,0,)</f>
        <v>Laydown Bag</v>
      </c>
      <c r="H5968" t="str">
        <f>_xlfn.XLOOKUP($A5968,Load!$B:$B,Load!I:I,0,)</f>
        <v>Everyday Candy Shapes (like Original, Gummy bear, Fruit, Jewels, etc.)</v>
      </c>
      <c r="I5968" t="str">
        <f>_xlfn.XLOOKUP($A5968,Load!$B:$B,Load!J:J,0,)</f>
        <v>Seasonal Graphics (Like Bat, Ghost, Pumpkin, Fall Leaves, Eyeballs, etc.)</v>
      </c>
      <c r="J5968" t="str">
        <f>_xlfn.XLOOKUP($A5968,Load!$B:$B,Load!K:K,0,)</f>
        <v xml:space="preserve">Variety Candy Sizes </v>
      </c>
      <c r="K5968" t="str">
        <f>_xlfn.XLOOKUP($A5968,Load!$B:$B,Load!L:L,0,)</f>
        <v>Regular/Original Wrapping</v>
      </c>
      <c r="L5968" t="str">
        <f>_xlfn.XLOOKUP($A5968,Load!$B:$B,Load!M:M,0,)</f>
        <v>Multiple Brands / Variety Flavors or Form</v>
      </c>
    </row>
    <row r="5969" spans="1:12" x14ac:dyDescent="0.25">
      <c r="B5969">
        <f>_xlfn.XLOOKUP($A5969,Load!$B:$B,Load!C:C,0,)</f>
        <v>0</v>
      </c>
      <c r="C5969">
        <f>_xlfn.XLOOKUP($A5969,Load!$B:$B,Load!D:D,0,)</f>
        <v>0</v>
      </c>
      <c r="D5969">
        <f>_xlfn.XLOOKUP($A5969,Load!$B:$B,Load!E:E,0,)</f>
        <v>0</v>
      </c>
      <c r="E5969">
        <f>_xlfn.XLOOKUP($A5969,Load!$B:$B,Load!F:F,0,)</f>
        <v>0</v>
      </c>
      <c r="F5969">
        <f>_xlfn.XLOOKUP($A5969,Load!$B:$B,Load!G:G,0,)</f>
        <v>0</v>
      </c>
      <c r="G5969">
        <f>_xlfn.XLOOKUP($A5969,Load!$B:$B,Load!H:H,0,)</f>
        <v>0</v>
      </c>
      <c r="H5969">
        <f>_xlfn.XLOOKUP($A5969,Load!$B:$B,Load!I:I,0,)</f>
        <v>0</v>
      </c>
      <c r="I5969">
        <f>_xlfn.XLOOKUP($A5969,Load!$B:$B,Load!J:J,0,)</f>
        <v>0</v>
      </c>
      <c r="J5969">
        <f>_xlfn.XLOOKUP($A5969,Load!$B:$B,Load!K:K,0,)</f>
        <v>0</v>
      </c>
      <c r="K5969">
        <f>_xlfn.XLOOKUP($A5969,Load!$B:$B,Load!L:L,0,)</f>
        <v>0</v>
      </c>
      <c r="L5969">
        <f>_xlfn.XLOOKUP($A5969,Load!$B:$B,Load!M:M,0,)</f>
        <v>0</v>
      </c>
    </row>
    <row r="5970" spans="1:12" x14ac:dyDescent="0.25">
      <c r="A5970" t="s">
        <v>290</v>
      </c>
      <c r="B5970" t="str">
        <f>_xlfn.XLOOKUP($A5970,Load!$B:$B,Load!C:C,0,)</f>
        <v>Tootsie</v>
      </c>
      <c r="C5970" t="str">
        <f>_xlfn.XLOOKUP($A5970,Load!$B:$B,Load!D:D,0,)</f>
        <v>Mix of Chocolate and Non-Chocolate Candy</v>
      </c>
      <c r="D5970" t="str">
        <f>_xlfn.XLOOKUP($A5970,Load!$B:$B,Load!E:E,0,)</f>
        <v>Variety / Mixed Flavors (Fruity, Sour, Seasonal Flavors)</v>
      </c>
      <c r="E5970" t="str">
        <f>_xlfn.XLOOKUP($A5970,Load!$B:$B,Load!F:F,0,)</f>
        <v>Mixed / Combo Packs (Gummy, Chewy, Taffy, etc.)</v>
      </c>
      <c r="F5970" t="str">
        <f>_xlfn.XLOOKUP($A5970,Load!$B:$B,Load!G:G,0,)</f>
        <v>Large Multipack (More than 80 ct)</v>
      </c>
      <c r="G5970" t="str">
        <f>_xlfn.XLOOKUP($A5970,Load!$B:$B,Load!H:H,0,)</f>
        <v>Laydown Bag</v>
      </c>
      <c r="H5970" t="str">
        <f>_xlfn.XLOOKUP($A5970,Load!$B:$B,Load!I:I,0,)</f>
        <v>Everyday Candy Shapes (like Original, Gummy bear, Fruit, Jewels, etc.)</v>
      </c>
      <c r="I5970" t="str">
        <f>_xlfn.XLOOKUP($A5970,Load!$B:$B,Load!J:J,0,)</f>
        <v>Everyday Graphics</v>
      </c>
      <c r="J5970" t="str">
        <f>_xlfn.XLOOKUP($A5970,Load!$B:$B,Load!K:K,0,)</f>
        <v>Fun Size / Treat Size</v>
      </c>
      <c r="K5970" t="str">
        <f>_xlfn.XLOOKUP($A5970,Load!$B:$B,Load!L:L,0,)</f>
        <v>Regular/Original Wrapping</v>
      </c>
      <c r="L5970" t="str">
        <f>_xlfn.XLOOKUP($A5970,Load!$B:$B,Load!M:M,0,)</f>
        <v>Single Brand / Variety Flavors or Form</v>
      </c>
    </row>
    <row r="5971" spans="1:12" x14ac:dyDescent="0.25">
      <c r="A5971" t="s">
        <v>175</v>
      </c>
      <c r="B5971" t="str">
        <f>_xlfn.XLOOKUP($A5971,Load!$B:$B,Load!C:C,0,)</f>
        <v>Mars Variety Pack</v>
      </c>
      <c r="C5971" t="str">
        <f>_xlfn.XLOOKUP($A5971,Load!$B:$B,Load!D:D,0,)</f>
        <v>Mix of Chocolate and Non-Chocolate Candy</v>
      </c>
      <c r="D5971" t="str">
        <f>_xlfn.XLOOKUP($A5971,Load!$B:$B,Load!E:E,0,)</f>
        <v>Variety / Mixed Flavors (Fruity, Sour, Seasonal Flavors)</v>
      </c>
      <c r="E5971" t="str">
        <f>_xlfn.XLOOKUP($A5971,Load!$B:$B,Load!F:F,0,)</f>
        <v>Mixed / Combo Packs (Gummy, Chewy, Taffy, etc.)</v>
      </c>
      <c r="F5971" t="str">
        <f>_xlfn.XLOOKUP($A5971,Load!$B:$B,Load!G:G,0,)</f>
        <v>Large Multipack (More than 80 ct)</v>
      </c>
      <c r="G5971" t="str">
        <f>_xlfn.XLOOKUP($A5971,Load!$B:$B,Load!H:H,0,)</f>
        <v>Stand-Up Bag</v>
      </c>
      <c r="H5971" t="str">
        <f>_xlfn.XLOOKUP($A5971,Load!$B:$B,Load!I:I,0,)</f>
        <v>Everyday Candy Shapes (like Original, Gummy bear, Fruit, Jewels, etc.)</v>
      </c>
      <c r="I5971" t="str">
        <f>_xlfn.XLOOKUP($A5971,Load!$B:$B,Load!J:J,0,)</f>
        <v>Seasonal Graphics (Like Bat, Ghost, Pumpkin, Fall Leaves, Eyeballs, etc.)</v>
      </c>
      <c r="J5971" t="str">
        <f>_xlfn.XLOOKUP($A5971,Load!$B:$B,Load!K:K,0,)</f>
        <v xml:space="preserve">Variety Candy Sizes </v>
      </c>
      <c r="K5971" t="str">
        <f>_xlfn.XLOOKUP($A5971,Load!$B:$B,Load!L:L,0,)</f>
        <v>Regular/Original Wrapping</v>
      </c>
      <c r="L5971" t="str">
        <f>_xlfn.XLOOKUP($A5971,Load!$B:$B,Load!M:M,0,)</f>
        <v>Multiple Brands / Variety Flavors or Form</v>
      </c>
    </row>
    <row r="5972" spans="1:12" x14ac:dyDescent="0.25">
      <c r="B5972">
        <f>_xlfn.XLOOKUP($A5972,Load!$B:$B,Load!C:C,0,)</f>
        <v>0</v>
      </c>
      <c r="C5972">
        <f>_xlfn.XLOOKUP($A5972,Load!$B:$B,Load!D:D,0,)</f>
        <v>0</v>
      </c>
      <c r="D5972">
        <f>_xlfn.XLOOKUP($A5972,Load!$B:$B,Load!E:E,0,)</f>
        <v>0</v>
      </c>
      <c r="E5972">
        <f>_xlfn.XLOOKUP($A5972,Load!$B:$B,Load!F:F,0,)</f>
        <v>0</v>
      </c>
      <c r="F5972">
        <f>_xlfn.XLOOKUP($A5972,Load!$B:$B,Load!G:G,0,)</f>
        <v>0</v>
      </c>
      <c r="G5972">
        <f>_xlfn.XLOOKUP($A5972,Load!$B:$B,Load!H:H,0,)</f>
        <v>0</v>
      </c>
      <c r="H5972">
        <f>_xlfn.XLOOKUP($A5972,Load!$B:$B,Load!I:I,0,)</f>
        <v>0</v>
      </c>
      <c r="I5972">
        <f>_xlfn.XLOOKUP($A5972,Load!$B:$B,Load!J:J,0,)</f>
        <v>0</v>
      </c>
      <c r="J5972">
        <f>_xlfn.XLOOKUP($A5972,Load!$B:$B,Load!K:K,0,)</f>
        <v>0</v>
      </c>
      <c r="K5972">
        <f>_xlfn.XLOOKUP($A5972,Load!$B:$B,Load!L:L,0,)</f>
        <v>0</v>
      </c>
      <c r="L5972">
        <f>_xlfn.XLOOKUP($A5972,Load!$B:$B,Load!M:M,0,)</f>
        <v>0</v>
      </c>
    </row>
    <row r="5973" spans="1:12" x14ac:dyDescent="0.25">
      <c r="B5973">
        <f>_xlfn.XLOOKUP($A5973,Load!$B:$B,Load!C:C,0,)</f>
        <v>0</v>
      </c>
      <c r="C5973">
        <f>_xlfn.XLOOKUP($A5973,Load!$B:$B,Load!D:D,0,)</f>
        <v>0</v>
      </c>
      <c r="D5973">
        <f>_xlfn.XLOOKUP($A5973,Load!$B:$B,Load!E:E,0,)</f>
        <v>0</v>
      </c>
      <c r="E5973">
        <f>_xlfn.XLOOKUP($A5973,Load!$B:$B,Load!F:F,0,)</f>
        <v>0</v>
      </c>
      <c r="F5973">
        <f>_xlfn.XLOOKUP($A5973,Load!$B:$B,Load!G:G,0,)</f>
        <v>0</v>
      </c>
      <c r="G5973">
        <f>_xlfn.XLOOKUP($A5973,Load!$B:$B,Load!H:H,0,)</f>
        <v>0</v>
      </c>
      <c r="H5973">
        <f>_xlfn.XLOOKUP($A5973,Load!$B:$B,Load!I:I,0,)</f>
        <v>0</v>
      </c>
      <c r="I5973">
        <f>_xlfn.XLOOKUP($A5973,Load!$B:$B,Load!J:J,0,)</f>
        <v>0</v>
      </c>
      <c r="J5973">
        <f>_xlfn.XLOOKUP($A5973,Load!$B:$B,Load!K:K,0,)</f>
        <v>0</v>
      </c>
      <c r="K5973">
        <f>_xlfn.XLOOKUP($A5973,Load!$B:$B,Load!L:L,0,)</f>
        <v>0</v>
      </c>
      <c r="L5973">
        <f>_xlfn.XLOOKUP($A5973,Load!$B:$B,Load!M:M,0,)</f>
        <v>0</v>
      </c>
    </row>
    <row r="5974" spans="1:12" x14ac:dyDescent="0.25">
      <c r="A5974" t="s">
        <v>230</v>
      </c>
      <c r="B5974" t="str">
        <f>_xlfn.XLOOKUP($A5974,Load!$B:$B,Load!C:C,0,)</f>
        <v>Nerds</v>
      </c>
      <c r="C5974" t="str">
        <f>_xlfn.XLOOKUP($A5974,Load!$B:$B,Load!D:D,0,)</f>
        <v>Non-Chocolate Candy Only</v>
      </c>
      <c r="D5974" t="str">
        <f>_xlfn.XLOOKUP($A5974,Load!$B:$B,Load!E:E,0,)</f>
        <v>Sweet</v>
      </c>
      <c r="E5974" t="str">
        <f>_xlfn.XLOOKUP($A5974,Load!$B:$B,Load!F:F,0,)</f>
        <v>Chewy</v>
      </c>
      <c r="F5974" t="str">
        <f>_xlfn.XLOOKUP($A5974,Load!$B:$B,Load!G:G,0,)</f>
        <v>Single Pack</v>
      </c>
      <c r="G5974" t="str">
        <f>_xlfn.XLOOKUP($A5974,Load!$B:$B,Load!H:H,0,)</f>
        <v>Laydown Bag</v>
      </c>
      <c r="H5974" t="str">
        <f>_xlfn.XLOOKUP($A5974,Load!$B:$B,Load!I:I,0,)</f>
        <v>Everyday Candy Shapes (like Original, Gummy bear, Fruit, Jewels, etc.)</v>
      </c>
      <c r="I5974" t="str">
        <f>_xlfn.XLOOKUP($A5974,Load!$B:$B,Load!J:J,0,)</f>
        <v>Seasonal Graphics (Like Bat, Ghost, Pumpkin, Fall Leaves, Eyeballs, etc.)</v>
      </c>
      <c r="J5974" t="str">
        <f>_xlfn.XLOOKUP($A5974,Load!$B:$B,Load!K:K,0,)</f>
        <v>Fun Size / Treat Size</v>
      </c>
      <c r="K5974" t="str">
        <f>_xlfn.XLOOKUP($A5974,Load!$B:$B,Load!L:L,0,)</f>
        <v>Regular/Original Wrapping</v>
      </c>
      <c r="L5974" t="str">
        <f>_xlfn.XLOOKUP($A5974,Load!$B:$B,Load!M:M,0,)</f>
        <v>Single Brand / Single Flavor or Form</v>
      </c>
    </row>
    <row r="5975" spans="1:12" x14ac:dyDescent="0.25">
      <c r="B5975">
        <f>_xlfn.XLOOKUP($A5975,Load!$B:$B,Load!C:C,0,)</f>
        <v>0</v>
      </c>
      <c r="C5975">
        <f>_xlfn.XLOOKUP($A5975,Load!$B:$B,Load!D:D,0,)</f>
        <v>0</v>
      </c>
      <c r="D5975">
        <f>_xlfn.XLOOKUP($A5975,Load!$B:$B,Load!E:E,0,)</f>
        <v>0</v>
      </c>
      <c r="E5975">
        <f>_xlfn.XLOOKUP($A5975,Load!$B:$B,Load!F:F,0,)</f>
        <v>0</v>
      </c>
      <c r="F5975">
        <f>_xlfn.XLOOKUP($A5975,Load!$B:$B,Load!G:G,0,)</f>
        <v>0</v>
      </c>
      <c r="G5975">
        <f>_xlfn.XLOOKUP($A5975,Load!$B:$B,Load!H:H,0,)</f>
        <v>0</v>
      </c>
      <c r="H5975">
        <f>_xlfn.XLOOKUP($A5975,Load!$B:$B,Load!I:I,0,)</f>
        <v>0</v>
      </c>
      <c r="I5975">
        <f>_xlfn.XLOOKUP($A5975,Load!$B:$B,Load!J:J,0,)</f>
        <v>0</v>
      </c>
      <c r="J5975">
        <f>_xlfn.XLOOKUP($A5975,Load!$B:$B,Load!K:K,0,)</f>
        <v>0</v>
      </c>
      <c r="K5975">
        <f>_xlfn.XLOOKUP($A5975,Load!$B:$B,Load!L:L,0,)</f>
        <v>0</v>
      </c>
      <c r="L5975">
        <f>_xlfn.XLOOKUP($A5975,Load!$B:$B,Load!M:M,0,)</f>
        <v>0</v>
      </c>
    </row>
    <row r="5976" spans="1:12" x14ac:dyDescent="0.25">
      <c r="A5976" t="s">
        <v>270</v>
      </c>
      <c r="B5976" t="str">
        <f>_xlfn.XLOOKUP($A5976,Load!$B:$B,Load!C:C,0,)</f>
        <v>Sour Patch Kids</v>
      </c>
      <c r="C5976" t="str">
        <f>_xlfn.XLOOKUP($A5976,Load!$B:$B,Load!D:D,0,)</f>
        <v>Non-Chocolate Candy Only</v>
      </c>
      <c r="D5976" t="str">
        <f>_xlfn.XLOOKUP($A5976,Load!$B:$B,Load!E:E,0,)</f>
        <v>Fruit Flavor (Cherry, Grape, Apple, Citrus, Tropical Fruit)</v>
      </c>
      <c r="E5976" t="str">
        <f>_xlfn.XLOOKUP($A5976,Load!$B:$B,Load!F:F,0,)</f>
        <v>Chewy</v>
      </c>
      <c r="F5976" t="str">
        <f>_xlfn.XLOOKUP($A5976,Load!$B:$B,Load!G:G,0,)</f>
        <v>Small Multipack (Less than 40 ct)</v>
      </c>
      <c r="G5976" t="str">
        <f>_xlfn.XLOOKUP($A5976,Load!$B:$B,Load!H:H,0,)</f>
        <v>Box (theatre box, gift box, carton)</v>
      </c>
      <c r="H5976" t="str">
        <f>_xlfn.XLOOKUP($A5976,Load!$B:$B,Load!I:I,0,)</f>
        <v>Everyday Candy Shapes (like Original, Gummy bear, Fruit, Jewels, etc.)</v>
      </c>
      <c r="I5976" t="str">
        <f>_xlfn.XLOOKUP($A5976,Load!$B:$B,Load!J:J,0,)</f>
        <v>Seasonal Graphics (Like Bat, Ghost, Pumpkin, Fall Leaves, Eyeballs, etc.)</v>
      </c>
      <c r="J5976" t="str">
        <f>_xlfn.XLOOKUP($A5976,Load!$B:$B,Load!K:K,0,)</f>
        <v>Small Pieces (Tiny bite size candies)</v>
      </c>
      <c r="K5976" t="str">
        <f>_xlfn.XLOOKUP($A5976,Load!$B:$B,Load!L:L,0,)</f>
        <v>Unwrapped</v>
      </c>
      <c r="L5976" t="str">
        <f>_xlfn.XLOOKUP($A5976,Load!$B:$B,Load!M:M,0,)</f>
        <v>Single Brand / Variety Flavors or Form</v>
      </c>
    </row>
    <row r="5977" spans="1:12" x14ac:dyDescent="0.25">
      <c r="A5977" t="s">
        <v>169</v>
      </c>
      <c r="B5977" t="str">
        <f>_xlfn.XLOOKUP($A5977,Load!$B:$B,Load!C:C,0,)</f>
        <v>Laffy Taffy</v>
      </c>
      <c r="C5977" t="str">
        <f>_xlfn.XLOOKUP($A5977,Load!$B:$B,Load!D:D,0,)</f>
        <v>Non-Chocolate Candy Only</v>
      </c>
      <c r="D5977" t="str">
        <f>_xlfn.XLOOKUP($A5977,Load!$B:$B,Load!E:E,0,)</f>
        <v>Fruit Flavor (Cherry, Grape, Apple, Citrus, Tropical Fruit)</v>
      </c>
      <c r="E5977" t="str">
        <f>_xlfn.XLOOKUP($A5977,Load!$B:$B,Load!F:F,0,)</f>
        <v>Taffy</v>
      </c>
      <c r="F5977" t="str">
        <f>_xlfn.XLOOKUP($A5977,Load!$B:$B,Load!G:G,0,)</f>
        <v>Small Multipack (Less than 40 ct)</v>
      </c>
      <c r="G5977" t="str">
        <f>_xlfn.XLOOKUP($A5977,Load!$B:$B,Load!H:H,0,)</f>
        <v>Laydown Bag</v>
      </c>
      <c r="H5977" t="str">
        <f>_xlfn.XLOOKUP($A5977,Load!$B:$B,Load!I:I,0,)</f>
        <v>Everyday Candy Shapes (like Original, Gummy bear, Fruit, Jewels, etc.)</v>
      </c>
      <c r="I5977" t="str">
        <f>_xlfn.XLOOKUP($A5977,Load!$B:$B,Load!J:J,0,)</f>
        <v>Everyday Graphics</v>
      </c>
      <c r="J5977" t="str">
        <f>_xlfn.XLOOKUP($A5977,Load!$B:$B,Load!K:K,0,)</f>
        <v>Fun Size / Treat Size</v>
      </c>
      <c r="K5977" t="str">
        <f>_xlfn.XLOOKUP($A5977,Load!$B:$B,Load!L:L,0,)</f>
        <v>Regular/Original Wrapping</v>
      </c>
      <c r="L5977" t="str">
        <f>_xlfn.XLOOKUP($A5977,Load!$B:$B,Load!M:M,0,)</f>
        <v>Single Brand / Variety Flavors or Form</v>
      </c>
    </row>
    <row r="5978" spans="1:12" x14ac:dyDescent="0.25">
      <c r="A5978" t="s">
        <v>73</v>
      </c>
      <c r="B5978" t="str">
        <f>_xlfn.XLOOKUP($A5978,Load!$B:$B,Load!C:C,0,)</f>
        <v>Dum Dums</v>
      </c>
      <c r="C5978" t="str">
        <f>_xlfn.XLOOKUP($A5978,Load!$B:$B,Load!D:D,0,)</f>
        <v>Non-Chocolate Candy Only</v>
      </c>
      <c r="D5978" t="str">
        <f>_xlfn.XLOOKUP($A5978,Load!$B:$B,Load!E:E,0,)</f>
        <v>Variety / Mixed Flavors (Fruity, Sour, Seasonal Flavors)</v>
      </c>
      <c r="E5978" t="str">
        <f>_xlfn.XLOOKUP($A5978,Load!$B:$B,Load!F:F,0,)</f>
        <v>Lollipop (regular or lollipop rings)</v>
      </c>
      <c r="F5978" t="str">
        <f>_xlfn.XLOOKUP($A5978,Load!$B:$B,Load!G:G,0,)</f>
        <v>Single Pack</v>
      </c>
      <c r="G5978" t="str">
        <f>_xlfn.XLOOKUP($A5978,Load!$B:$B,Load!H:H,0,)</f>
        <v>Laydown Bag</v>
      </c>
      <c r="H5978" t="str">
        <f>_xlfn.XLOOKUP($A5978,Load!$B:$B,Load!I:I,0,)</f>
        <v>Everyday Candy Shapes (like Original, Gummy bear, Fruit, Jewels, etc.)</v>
      </c>
      <c r="I5978" t="str">
        <f>_xlfn.XLOOKUP($A5978,Load!$B:$B,Load!J:J,0,)</f>
        <v>Seasonal Graphics (Like Bat, Ghost, Pumpkin, Fall Leaves, Eyeballs, etc.)</v>
      </c>
      <c r="J5978" t="str">
        <f>_xlfn.XLOOKUP($A5978,Load!$B:$B,Load!K:K,0,)</f>
        <v>Regular Lollipop size (on sticks or rings)</v>
      </c>
      <c r="K5978" t="str">
        <f>_xlfn.XLOOKUP($A5978,Load!$B:$B,Load!L:L,0,)</f>
        <v>Regular/Original Wrapping</v>
      </c>
      <c r="L5978" t="str">
        <f>_xlfn.XLOOKUP($A5978,Load!$B:$B,Load!M:M,0,)</f>
        <v>Single Brand / Variety Flavors or Form</v>
      </c>
    </row>
    <row r="5979" spans="1:12" x14ac:dyDescent="0.25">
      <c r="A5979" t="s">
        <v>243</v>
      </c>
      <c r="B5979" t="str">
        <f>_xlfn.XLOOKUP($A5979,Load!$B:$B,Load!C:C,0,)</f>
        <v>Peeps</v>
      </c>
      <c r="C5979" t="str">
        <f>_xlfn.XLOOKUP($A5979,Load!$B:$B,Load!D:D,0,)</f>
        <v>Non-Chocolate Candy Only</v>
      </c>
      <c r="D5979" t="str">
        <f>_xlfn.XLOOKUP($A5979,Load!$B:$B,Load!E:E,0,)</f>
        <v>Fall / Seasonal Flavors (pumpkin spice, caramel apple, candy corn)</v>
      </c>
      <c r="E5979" t="str">
        <f>_xlfn.XLOOKUP($A5979,Load!$B:$B,Load!F:F,0,)</f>
        <v>Foamy / Aerated / Freeze Dried</v>
      </c>
      <c r="F5979" t="str">
        <f>_xlfn.XLOOKUP($A5979,Load!$B:$B,Load!G:G,0,)</f>
        <v>Single Pack</v>
      </c>
      <c r="G5979" t="str">
        <f>_xlfn.XLOOKUP($A5979,Load!$B:$B,Load!H:H,0,)</f>
        <v>Box (theatre box, gift box, carton)</v>
      </c>
      <c r="H5979" t="str">
        <f>_xlfn.XLOOKUP($A5979,Load!$B:$B,Load!I:I,0,)</f>
        <v>Seasonal Shapes (like pumpkins, candy corn, ghost, bats, etc.)</v>
      </c>
      <c r="I5979" t="str">
        <f>_xlfn.XLOOKUP($A5979,Load!$B:$B,Load!J:J,0,)</f>
        <v>Seasonal Graphics (Like Bat, Ghost, Pumpkin, Fall Leaves, Eyeballs, etc.)</v>
      </c>
      <c r="J5979" t="str">
        <f>_xlfn.XLOOKUP($A5979,Load!$B:$B,Load!K:K,0,)</f>
        <v>Fun Size / Treat Size</v>
      </c>
      <c r="K5979" t="str">
        <f>_xlfn.XLOOKUP($A5979,Load!$B:$B,Load!L:L,0,)</f>
        <v>Unwrapped</v>
      </c>
      <c r="L5979" t="str">
        <f>_xlfn.XLOOKUP($A5979,Load!$B:$B,Load!M:M,0,)</f>
        <v>Single Brand / Single Flavor or Form</v>
      </c>
    </row>
    <row r="5980" spans="1:12" x14ac:dyDescent="0.25">
      <c r="A5980" t="s">
        <v>187</v>
      </c>
      <c r="B5980" t="str">
        <f>_xlfn.XLOOKUP($A5980,Load!$B:$B,Load!C:C,0,)</f>
        <v>Mars Variety Pack</v>
      </c>
      <c r="C5980" t="str">
        <f>_xlfn.XLOOKUP($A5980,Load!$B:$B,Load!D:D,0,)</f>
        <v>Mix of Chocolate and Non-Chocolate Candy</v>
      </c>
      <c r="D5980" t="str">
        <f>_xlfn.XLOOKUP($A5980,Load!$B:$B,Load!E:E,0,)</f>
        <v>Variety / Mixed Flavors (Fruity, Sour, Seasonal Flavors)</v>
      </c>
      <c r="E5980" t="str">
        <f>_xlfn.XLOOKUP($A5980,Load!$B:$B,Load!F:F,0,)</f>
        <v>Mixed / Combo Packs (Gummy, Chewy, Taffy, etc.)</v>
      </c>
      <c r="F5980" t="str">
        <f>_xlfn.XLOOKUP($A5980,Load!$B:$B,Load!G:G,0,)</f>
        <v>Medium Multipack (40–80 ct)</v>
      </c>
      <c r="G5980" t="str">
        <f>_xlfn.XLOOKUP($A5980,Load!$B:$B,Load!H:H,0,)</f>
        <v>Stand-Up Bag</v>
      </c>
      <c r="H5980" t="str">
        <f>_xlfn.XLOOKUP($A5980,Load!$B:$B,Load!I:I,0,)</f>
        <v>Everyday Candy Shapes (like Original, Gummy bear, Fruit, Jewels, etc.)</v>
      </c>
      <c r="I5980" t="str">
        <f>_xlfn.XLOOKUP($A5980,Load!$B:$B,Load!J:J,0,)</f>
        <v>Seasonal Graphics (Like Bat, Ghost, Pumpkin, Fall Leaves, Eyeballs, etc.)</v>
      </c>
      <c r="J5980" t="str">
        <f>_xlfn.XLOOKUP($A5980,Load!$B:$B,Load!K:K,0,)</f>
        <v>Fun Size / Treat Size</v>
      </c>
      <c r="K5980" t="str">
        <f>_xlfn.XLOOKUP($A5980,Load!$B:$B,Load!L:L,0,)</f>
        <v>Regular/Original Wrapping</v>
      </c>
      <c r="L5980" t="str">
        <f>_xlfn.XLOOKUP($A5980,Load!$B:$B,Load!M:M,0,)</f>
        <v>Multiple Brands / Variety Flavors or Form</v>
      </c>
    </row>
    <row r="5981" spans="1:12" x14ac:dyDescent="0.25">
      <c r="A5981" t="s">
        <v>131</v>
      </c>
      <c r="B5981" t="str">
        <f>_xlfn.XLOOKUP($A5981,Load!$B:$B,Load!C:C,0,)</f>
        <v>Hershey's</v>
      </c>
      <c r="C5981" t="str">
        <f>_xlfn.XLOOKUP($A5981,Load!$B:$B,Load!D:D,0,)</f>
        <v>Mix of Chocolate and Non-Chocolate Candy</v>
      </c>
      <c r="D5981" t="str">
        <f>_xlfn.XLOOKUP($A5981,Load!$B:$B,Load!E:E,0,)</f>
        <v>Variety / Mixed Flavors (Fruity, Sour, Seasonal Flavors)</v>
      </c>
      <c r="E5981" t="str">
        <f>_xlfn.XLOOKUP($A5981,Load!$B:$B,Load!F:F,0,)</f>
        <v>Mixed / Combo Packs (Gummy, Chewy, Taffy, etc.)</v>
      </c>
      <c r="F5981" t="str">
        <f>_xlfn.XLOOKUP($A5981,Load!$B:$B,Load!G:G,0,)</f>
        <v>Large Multipack (More than 80 ct)</v>
      </c>
      <c r="G5981" t="str">
        <f>_xlfn.XLOOKUP($A5981,Load!$B:$B,Load!H:H,0,)</f>
        <v>Stand-Up Bag</v>
      </c>
      <c r="H5981" t="str">
        <f>_xlfn.XLOOKUP($A5981,Load!$B:$B,Load!I:I,0,)</f>
        <v>Everyday Candy Shapes (like Original, Gummy bear, Fruit, Jewels, etc.)</v>
      </c>
      <c r="I5981" t="str">
        <f>_xlfn.XLOOKUP($A5981,Load!$B:$B,Load!J:J,0,)</f>
        <v>Seasonal Graphics (Like Bat, Ghost, Pumpkin, Fall Leaves, Eyeballs, etc.)</v>
      </c>
      <c r="J5981" t="str">
        <f>_xlfn.XLOOKUP($A5981,Load!$B:$B,Load!K:K,0,)</f>
        <v>Fun Size / Treat Size</v>
      </c>
      <c r="K5981" t="str">
        <f>_xlfn.XLOOKUP($A5981,Load!$B:$B,Load!L:L,0,)</f>
        <v>Regular/Original Wrapping</v>
      </c>
      <c r="L5981" t="str">
        <f>_xlfn.XLOOKUP($A5981,Load!$B:$B,Load!M:M,0,)</f>
        <v>Multiple Brands / Variety Flavors or Form</v>
      </c>
    </row>
    <row r="5982" spans="1:12" x14ac:dyDescent="0.25">
      <c r="A5982" t="s">
        <v>76</v>
      </c>
      <c r="B5982" t="str">
        <f>_xlfn.XLOOKUP($A5982,Load!$B:$B,Load!C:C,0,)</f>
        <v>Dum Dums</v>
      </c>
      <c r="C5982" t="str">
        <f>_xlfn.XLOOKUP($A5982,Load!$B:$B,Load!D:D,0,)</f>
        <v>Non-Chocolate Candy Only</v>
      </c>
      <c r="D5982" t="str">
        <f>_xlfn.XLOOKUP($A5982,Load!$B:$B,Load!E:E,0,)</f>
        <v>Variety / Mixed Flavors (Fruity, Sour, Seasonal Flavors)</v>
      </c>
      <c r="E5982" t="str">
        <f>_xlfn.XLOOKUP($A5982,Load!$B:$B,Load!F:F,0,)</f>
        <v>Lollipop (regular or lollipop rings)</v>
      </c>
      <c r="F5982" t="str">
        <f>_xlfn.XLOOKUP($A5982,Load!$B:$B,Load!G:G,0,)</f>
        <v>Large Multipack (More than 80 ct)</v>
      </c>
      <c r="G5982" t="str">
        <f>_xlfn.XLOOKUP($A5982,Load!$B:$B,Load!H:H,0,)</f>
        <v>Stand-Up Bag</v>
      </c>
      <c r="H5982" t="str">
        <f>_xlfn.XLOOKUP($A5982,Load!$B:$B,Load!I:I,0,)</f>
        <v>Everyday Candy Shapes (like Original, Gummy bear, Fruit, Jewels, etc.)</v>
      </c>
      <c r="I5982" t="str">
        <f>_xlfn.XLOOKUP($A5982,Load!$B:$B,Load!J:J,0,)</f>
        <v>Everyday Graphics</v>
      </c>
      <c r="J5982" t="str">
        <f>_xlfn.XLOOKUP($A5982,Load!$B:$B,Load!K:K,0,)</f>
        <v>Regular Lollipop size (on sticks or rings)</v>
      </c>
      <c r="K5982" t="str">
        <f>_xlfn.XLOOKUP($A5982,Load!$B:$B,Load!L:L,0,)</f>
        <v>Regular/Original Wrapping</v>
      </c>
      <c r="L5982" t="str">
        <f>_xlfn.XLOOKUP($A5982,Load!$B:$B,Load!M:M,0,)</f>
        <v>Single Brand / Variety Flavors or Form</v>
      </c>
    </row>
    <row r="5983" spans="1:12" x14ac:dyDescent="0.25">
      <c r="A5983" t="s">
        <v>285</v>
      </c>
      <c r="B5983" t="str">
        <f>_xlfn.XLOOKUP($A5983,Load!$B:$B,Load!C:C,0,)</f>
        <v>Starburst</v>
      </c>
      <c r="C5983" t="str">
        <f>_xlfn.XLOOKUP($A5983,Load!$B:$B,Load!D:D,0,)</f>
        <v>Non-Chocolate Candy Only</v>
      </c>
      <c r="D5983" t="str">
        <f>_xlfn.XLOOKUP($A5983,Load!$B:$B,Load!E:E,0,)</f>
        <v>Fruit Flavor (Cherry, Grape, Apple, Citrus, Tropical Fruit)</v>
      </c>
      <c r="E5983" t="str">
        <f>_xlfn.XLOOKUP($A5983,Load!$B:$B,Load!F:F,0,)</f>
        <v>Chewy</v>
      </c>
      <c r="F5983" t="str">
        <f>_xlfn.XLOOKUP($A5983,Load!$B:$B,Load!G:G,0,)</f>
        <v>Small Multipack (Less than 40 ct)</v>
      </c>
      <c r="G5983" t="str">
        <f>_xlfn.XLOOKUP($A5983,Load!$B:$B,Load!H:H,0,)</f>
        <v>Laydown Bag</v>
      </c>
      <c r="H5983" t="str">
        <f>_xlfn.XLOOKUP($A5983,Load!$B:$B,Load!I:I,0,)</f>
        <v>Everyday Candy Shapes (like Original, Gummy bear, Fruit, Jewels, etc.)</v>
      </c>
      <c r="I5983" t="str">
        <f>_xlfn.XLOOKUP($A5983,Load!$B:$B,Load!J:J,0,)</f>
        <v>Everyday Graphics</v>
      </c>
      <c r="J5983" t="str">
        <f>_xlfn.XLOOKUP($A5983,Load!$B:$B,Load!K:K,0,)</f>
        <v>Small Pieces (Tiny bite size candies)</v>
      </c>
      <c r="K5983" t="str">
        <f>_xlfn.XLOOKUP($A5983,Load!$B:$B,Load!L:L,0,)</f>
        <v>Regular/Original Wrapping</v>
      </c>
      <c r="L5983" t="str">
        <f>_xlfn.XLOOKUP($A5983,Load!$B:$B,Load!M:M,0,)</f>
        <v>Single Brand / Variety Flavors or Form</v>
      </c>
    </row>
    <row r="5984" spans="1:12" x14ac:dyDescent="0.25">
      <c r="A5984" t="s">
        <v>289</v>
      </c>
      <c r="B5984" t="str">
        <f>_xlfn.XLOOKUP($A5984,Load!$B:$B,Load!C:C,0,)</f>
        <v>Tootsie</v>
      </c>
      <c r="C5984" t="str">
        <f>_xlfn.XLOOKUP($A5984,Load!$B:$B,Load!D:D,0,)</f>
        <v>Mix of Chocolate and Non-Chocolate Candy</v>
      </c>
      <c r="D5984" t="str">
        <f>_xlfn.XLOOKUP($A5984,Load!$B:$B,Load!E:E,0,)</f>
        <v>Variety / Mixed Flavors (Fruity, Sour, Seasonal Flavors)</v>
      </c>
      <c r="E5984" t="str">
        <f>_xlfn.XLOOKUP($A5984,Load!$B:$B,Load!F:F,0,)</f>
        <v>Mixed / Combo Packs (Gummy, Chewy, Taffy, etc.)</v>
      </c>
      <c r="F5984" t="str">
        <f>_xlfn.XLOOKUP($A5984,Load!$B:$B,Load!G:G,0,)</f>
        <v>Large Multipack (More than 80 ct)</v>
      </c>
      <c r="G5984" t="str">
        <f>_xlfn.XLOOKUP($A5984,Load!$B:$B,Load!H:H,0,)</f>
        <v>Laydown Bag</v>
      </c>
      <c r="H5984" t="str">
        <f>_xlfn.XLOOKUP($A5984,Load!$B:$B,Load!I:I,0,)</f>
        <v>Everyday Candy Shapes (like Original, Gummy bear, Fruit, Jewels, etc.)</v>
      </c>
      <c r="I5984" t="str">
        <f>_xlfn.XLOOKUP($A5984,Load!$B:$B,Load!J:J,0,)</f>
        <v>Everyday Graphics</v>
      </c>
      <c r="J5984" t="str">
        <f>_xlfn.XLOOKUP($A5984,Load!$B:$B,Load!K:K,0,)</f>
        <v xml:space="preserve">Variety Candy Sizes </v>
      </c>
      <c r="K5984" t="str">
        <f>_xlfn.XLOOKUP($A5984,Load!$B:$B,Load!L:L,0,)</f>
        <v>Regular/Original Wrapping</v>
      </c>
      <c r="L5984" t="str">
        <f>_xlfn.XLOOKUP($A5984,Load!$B:$B,Load!M:M,0,)</f>
        <v>Single Brand / Variety Flavors or Form</v>
      </c>
    </row>
    <row r="5985" spans="1:12" x14ac:dyDescent="0.25">
      <c r="A5985" t="s">
        <v>107</v>
      </c>
      <c r="B5985" t="str">
        <f>_xlfn.XLOOKUP($A5985,Load!$B:$B,Load!C:C,0,)</f>
        <v>Frankford</v>
      </c>
      <c r="C5985" t="str">
        <f>_xlfn.XLOOKUP($A5985,Load!$B:$B,Load!D:D,0,)</f>
        <v>Non-Chocolate Candy Only</v>
      </c>
      <c r="D5985" t="str">
        <f>_xlfn.XLOOKUP($A5985,Load!$B:$B,Load!E:E,0,)</f>
        <v>Variety / Mixed Flavors (Fruity, Sour, Seasonal Flavors)</v>
      </c>
      <c r="E5985" t="str">
        <f>_xlfn.XLOOKUP($A5985,Load!$B:$B,Load!F:F,0,)</f>
        <v>Mixed / Combo Packs (Gummy, Chewy, Taffy, etc.)</v>
      </c>
      <c r="F5985" t="str">
        <f>_xlfn.XLOOKUP($A5985,Load!$B:$B,Load!G:G,0,)</f>
        <v>Large Multipack (More than 80 ct)</v>
      </c>
      <c r="G5985" t="str">
        <f>_xlfn.XLOOKUP($A5985,Load!$B:$B,Load!H:H,0,)</f>
        <v>Laydown Bag</v>
      </c>
      <c r="H5985" t="str">
        <f>_xlfn.XLOOKUP($A5985,Load!$B:$B,Load!I:I,0,)</f>
        <v>Everyday Candy Shapes (like Original, Gummy bear, Fruit, Jewels, etc.)</v>
      </c>
      <c r="I5985" t="str">
        <f>_xlfn.XLOOKUP($A5985,Load!$B:$B,Load!J:J,0,)</f>
        <v>Seasonal Graphics (Like Bat, Ghost, Pumpkin, Fall Leaves, Eyeballs, etc.)</v>
      </c>
      <c r="J5985" t="str">
        <f>_xlfn.XLOOKUP($A5985,Load!$B:$B,Load!K:K,0,)</f>
        <v xml:space="preserve">Variety Candy Sizes </v>
      </c>
      <c r="K5985" t="str">
        <f>_xlfn.XLOOKUP($A5985,Load!$B:$B,Load!L:L,0,)</f>
        <v>Regular/Original Wrapping</v>
      </c>
      <c r="L5985" t="str">
        <f>_xlfn.XLOOKUP($A5985,Load!$B:$B,Load!M:M,0,)</f>
        <v>Multiple Brands / Variety Flavors or Form</v>
      </c>
    </row>
    <row r="5986" spans="1:12" x14ac:dyDescent="0.25">
      <c r="A5986" t="s">
        <v>266</v>
      </c>
      <c r="B5986" t="str">
        <f>_xlfn.XLOOKUP($A5986,Load!$B:$B,Load!C:C,0,)</f>
        <v>Smarties</v>
      </c>
      <c r="C5986" t="str">
        <f>_xlfn.XLOOKUP($A5986,Load!$B:$B,Load!D:D,0,)</f>
        <v>Non-Chocolate Candy Only</v>
      </c>
      <c r="D5986" t="str">
        <f>_xlfn.XLOOKUP($A5986,Load!$B:$B,Load!E:E,0,)</f>
        <v>Fruit Flavor (Cherry, Grape, Apple, Citrus, Tropical Fruit)</v>
      </c>
      <c r="E5986" t="str">
        <f>_xlfn.XLOOKUP($A5986,Load!$B:$B,Load!F:F,0,)</f>
        <v>Powder / Chalky</v>
      </c>
      <c r="F5986" t="str">
        <f>_xlfn.XLOOKUP($A5986,Load!$B:$B,Load!G:G,0,)</f>
        <v>Small Multipack (Less than 40 ct)</v>
      </c>
      <c r="G5986" t="str">
        <f>_xlfn.XLOOKUP($A5986,Load!$B:$B,Load!H:H,0,)</f>
        <v>Laydown Bag</v>
      </c>
      <c r="H5986" t="str">
        <f>_xlfn.XLOOKUP($A5986,Load!$B:$B,Load!I:I,0,)</f>
        <v>Everyday Candy Shapes (like Original, Gummy bear, Fruit, Jewels, etc.)</v>
      </c>
      <c r="I5986" t="str">
        <f>_xlfn.XLOOKUP($A5986,Load!$B:$B,Load!J:J,0,)</f>
        <v>Seasonal Graphics (Like Bat, Ghost, Pumpkin, Fall Leaves, Eyeballs, etc.)</v>
      </c>
      <c r="J5986" t="str">
        <f>_xlfn.XLOOKUP($A5986,Load!$B:$B,Load!K:K,0,)</f>
        <v>Small Pieces (Tiny bite size candies)</v>
      </c>
      <c r="K5986" t="str">
        <f>_xlfn.XLOOKUP($A5986,Load!$B:$B,Load!L:L,0,)</f>
        <v>Regular/Original Wrapping</v>
      </c>
      <c r="L5986" t="str">
        <f>_xlfn.XLOOKUP($A5986,Load!$B:$B,Load!M:M,0,)</f>
        <v>Single Brand / Single Flavor or Form</v>
      </c>
    </row>
    <row r="5987" spans="1:12" x14ac:dyDescent="0.25">
      <c r="A5987" t="s">
        <v>294</v>
      </c>
      <c r="B5987" t="str">
        <f>_xlfn.XLOOKUP($A5987,Load!$B:$B,Load!C:C,0,)</f>
        <v>Tootsie</v>
      </c>
      <c r="C5987" t="str">
        <f>_xlfn.XLOOKUP($A5987,Load!$B:$B,Load!D:D,0,)</f>
        <v>Non-Chocolate Candy Only</v>
      </c>
      <c r="D5987" t="str">
        <f>_xlfn.XLOOKUP($A5987,Load!$B:$B,Load!E:E,0,)</f>
        <v>Sweet</v>
      </c>
      <c r="E5987" t="str">
        <f>_xlfn.XLOOKUP($A5987,Load!$B:$B,Load!F:F,0,)</f>
        <v>Lollipop (regular or lollipop rings)</v>
      </c>
      <c r="F5987" t="str">
        <f>_xlfn.XLOOKUP($A5987,Load!$B:$B,Load!G:G,0,)</f>
        <v>Large Multipack (More than 80 ct)</v>
      </c>
      <c r="G5987" t="str">
        <f>_xlfn.XLOOKUP($A5987,Load!$B:$B,Load!H:H,0,)</f>
        <v>Laydown Bag</v>
      </c>
      <c r="H5987" t="str">
        <f>_xlfn.XLOOKUP($A5987,Load!$B:$B,Load!I:I,0,)</f>
        <v>Everyday Candy Shapes (like Original, Gummy bear, Fruit, Jewels, etc.)</v>
      </c>
      <c r="I5987" t="str">
        <f>_xlfn.XLOOKUP($A5987,Load!$B:$B,Load!J:J,0,)</f>
        <v>Everyday Graphics</v>
      </c>
      <c r="J5987" t="str">
        <f>_xlfn.XLOOKUP($A5987,Load!$B:$B,Load!K:K,0,)</f>
        <v>Regular Lollipop size (on sticks or rings)</v>
      </c>
      <c r="K5987" t="str">
        <f>_xlfn.XLOOKUP($A5987,Load!$B:$B,Load!L:L,0,)</f>
        <v>Regular/Original Wrapping</v>
      </c>
      <c r="L5987" t="str">
        <f>_xlfn.XLOOKUP($A5987,Load!$B:$B,Load!M:M,0,)</f>
        <v>Single Brand / Single Flavor or Form</v>
      </c>
    </row>
    <row r="5988" spans="1:12" x14ac:dyDescent="0.25">
      <c r="A5988" t="s">
        <v>293</v>
      </c>
      <c r="B5988" t="str">
        <f>_xlfn.XLOOKUP($A5988,Load!$B:$B,Load!C:C,0,)</f>
        <v>Tootsie</v>
      </c>
      <c r="C5988" t="str">
        <f>_xlfn.XLOOKUP($A5988,Load!$B:$B,Load!D:D,0,)</f>
        <v>Mix of Chocolate and Non-Chocolate Candy</v>
      </c>
      <c r="D5988" t="str">
        <f>_xlfn.XLOOKUP($A5988,Load!$B:$B,Load!E:E,0,)</f>
        <v>Sweet</v>
      </c>
      <c r="E5988" t="str">
        <f>_xlfn.XLOOKUP($A5988,Load!$B:$B,Load!F:F,0,)</f>
        <v>Lollipop (regular or lollipop rings)</v>
      </c>
      <c r="F5988" t="str">
        <f>_xlfn.XLOOKUP($A5988,Load!$B:$B,Load!G:G,0,)</f>
        <v>Large Multipack (More than 80 ct)</v>
      </c>
      <c r="G5988" t="str">
        <f>_xlfn.XLOOKUP($A5988,Load!$B:$B,Load!H:H,0,)</f>
        <v>Laydown Bag</v>
      </c>
      <c r="H5988" t="str">
        <f>_xlfn.XLOOKUP($A5988,Load!$B:$B,Load!I:I,0,)</f>
        <v>Everyday Candy Shapes (like Original, Gummy bear, Fruit, Jewels, etc.)</v>
      </c>
      <c r="I5988" t="str">
        <f>_xlfn.XLOOKUP($A5988,Load!$B:$B,Load!J:J,0,)</f>
        <v>Everyday Graphics</v>
      </c>
      <c r="J5988" t="str">
        <f>_xlfn.XLOOKUP($A5988,Load!$B:$B,Load!K:K,0,)</f>
        <v>Regular Lollipop size (on sticks or rings)</v>
      </c>
      <c r="K5988" t="str">
        <f>_xlfn.XLOOKUP($A5988,Load!$B:$B,Load!L:L,0,)</f>
        <v>Regular/Original Wrapping</v>
      </c>
      <c r="L5988" t="str">
        <f>_xlfn.XLOOKUP($A5988,Load!$B:$B,Load!M:M,0,)</f>
        <v>Single Brand / Single Flavor or Form</v>
      </c>
    </row>
    <row r="5989" spans="1:12" x14ac:dyDescent="0.25">
      <c r="B5989">
        <f>_xlfn.XLOOKUP($A5989,Load!$B:$B,Load!C:C,0,)</f>
        <v>0</v>
      </c>
      <c r="C5989">
        <f>_xlfn.XLOOKUP($A5989,Load!$B:$B,Load!D:D,0,)</f>
        <v>0</v>
      </c>
      <c r="D5989">
        <f>_xlfn.XLOOKUP($A5989,Load!$B:$B,Load!E:E,0,)</f>
        <v>0</v>
      </c>
      <c r="E5989">
        <f>_xlfn.XLOOKUP($A5989,Load!$B:$B,Load!F:F,0,)</f>
        <v>0</v>
      </c>
      <c r="F5989">
        <f>_xlfn.XLOOKUP($A5989,Load!$B:$B,Load!G:G,0,)</f>
        <v>0</v>
      </c>
      <c r="G5989">
        <f>_xlfn.XLOOKUP($A5989,Load!$B:$B,Load!H:H,0,)</f>
        <v>0</v>
      </c>
      <c r="H5989">
        <f>_xlfn.XLOOKUP($A5989,Load!$B:$B,Load!I:I,0,)</f>
        <v>0</v>
      </c>
      <c r="I5989">
        <f>_xlfn.XLOOKUP($A5989,Load!$B:$B,Load!J:J,0,)</f>
        <v>0</v>
      </c>
      <c r="J5989">
        <f>_xlfn.XLOOKUP($A5989,Load!$B:$B,Load!K:K,0,)</f>
        <v>0</v>
      </c>
      <c r="K5989">
        <f>_xlfn.XLOOKUP($A5989,Load!$B:$B,Load!L:L,0,)</f>
        <v>0</v>
      </c>
      <c r="L5989">
        <f>_xlfn.XLOOKUP($A5989,Load!$B:$B,Load!M:M,0,)</f>
        <v>0</v>
      </c>
    </row>
    <row r="5990" spans="1:12" x14ac:dyDescent="0.25">
      <c r="A5990" t="s">
        <v>293</v>
      </c>
      <c r="B5990" t="str">
        <f>_xlfn.XLOOKUP($A5990,Load!$B:$B,Load!C:C,0,)</f>
        <v>Tootsie</v>
      </c>
      <c r="C5990" t="str">
        <f>_xlfn.XLOOKUP($A5990,Load!$B:$B,Load!D:D,0,)</f>
        <v>Mix of Chocolate and Non-Chocolate Candy</v>
      </c>
      <c r="D5990" t="str">
        <f>_xlfn.XLOOKUP($A5990,Load!$B:$B,Load!E:E,0,)</f>
        <v>Sweet</v>
      </c>
      <c r="E5990" t="str">
        <f>_xlfn.XLOOKUP($A5990,Load!$B:$B,Load!F:F,0,)</f>
        <v>Lollipop (regular or lollipop rings)</v>
      </c>
      <c r="F5990" t="str">
        <f>_xlfn.XLOOKUP($A5990,Load!$B:$B,Load!G:G,0,)</f>
        <v>Large Multipack (More than 80 ct)</v>
      </c>
      <c r="G5990" t="str">
        <f>_xlfn.XLOOKUP($A5990,Load!$B:$B,Load!H:H,0,)</f>
        <v>Laydown Bag</v>
      </c>
      <c r="H5990" t="str">
        <f>_xlfn.XLOOKUP($A5990,Load!$B:$B,Load!I:I,0,)</f>
        <v>Everyday Candy Shapes (like Original, Gummy bear, Fruit, Jewels, etc.)</v>
      </c>
      <c r="I5990" t="str">
        <f>_xlfn.XLOOKUP($A5990,Load!$B:$B,Load!J:J,0,)</f>
        <v>Everyday Graphics</v>
      </c>
      <c r="J5990" t="str">
        <f>_xlfn.XLOOKUP($A5990,Load!$B:$B,Load!K:K,0,)</f>
        <v>Regular Lollipop size (on sticks or rings)</v>
      </c>
      <c r="K5990" t="str">
        <f>_xlfn.XLOOKUP($A5990,Load!$B:$B,Load!L:L,0,)</f>
        <v>Regular/Original Wrapping</v>
      </c>
      <c r="L5990" t="str">
        <f>_xlfn.XLOOKUP($A5990,Load!$B:$B,Load!M:M,0,)</f>
        <v>Single Brand / Single Flavor or Form</v>
      </c>
    </row>
    <row r="5991" spans="1:12" x14ac:dyDescent="0.25">
      <c r="B5991">
        <f>_xlfn.XLOOKUP($A5991,Load!$B:$B,Load!C:C,0,)</f>
        <v>0</v>
      </c>
      <c r="C5991">
        <f>_xlfn.XLOOKUP($A5991,Load!$B:$B,Load!D:D,0,)</f>
        <v>0</v>
      </c>
      <c r="D5991">
        <f>_xlfn.XLOOKUP($A5991,Load!$B:$B,Load!E:E,0,)</f>
        <v>0</v>
      </c>
      <c r="E5991">
        <f>_xlfn.XLOOKUP($A5991,Load!$B:$B,Load!F:F,0,)</f>
        <v>0</v>
      </c>
      <c r="F5991">
        <f>_xlfn.XLOOKUP($A5991,Load!$B:$B,Load!G:G,0,)</f>
        <v>0</v>
      </c>
      <c r="G5991">
        <f>_xlfn.XLOOKUP($A5991,Load!$B:$B,Load!H:H,0,)</f>
        <v>0</v>
      </c>
      <c r="H5991">
        <f>_xlfn.XLOOKUP($A5991,Load!$B:$B,Load!I:I,0,)</f>
        <v>0</v>
      </c>
      <c r="I5991">
        <f>_xlfn.XLOOKUP($A5991,Load!$B:$B,Load!J:J,0,)</f>
        <v>0</v>
      </c>
      <c r="J5991">
        <f>_xlfn.XLOOKUP($A5991,Load!$B:$B,Load!K:K,0,)</f>
        <v>0</v>
      </c>
      <c r="K5991">
        <f>_xlfn.XLOOKUP($A5991,Load!$B:$B,Load!L:L,0,)</f>
        <v>0</v>
      </c>
      <c r="L5991">
        <f>_xlfn.XLOOKUP($A5991,Load!$B:$B,Load!M:M,0,)</f>
        <v>0</v>
      </c>
    </row>
    <row r="5992" spans="1:12" x14ac:dyDescent="0.25">
      <c r="A5992" t="s">
        <v>144</v>
      </c>
      <c r="B5992" t="str">
        <f>_xlfn.XLOOKUP($A5992,Load!$B:$B,Load!C:C,0,)</f>
        <v>Hershey's Variety Pack + Haribo</v>
      </c>
      <c r="C5992" t="str">
        <f>_xlfn.XLOOKUP($A5992,Load!$B:$B,Load!D:D,0,)</f>
        <v>Mix of Chocolate and Non-Chocolate Candy</v>
      </c>
      <c r="D5992" t="str">
        <f>_xlfn.XLOOKUP($A5992,Load!$B:$B,Load!E:E,0,)</f>
        <v>Variety / Mixed Flavors (Fruity, Sour, Seasonal Flavors)</v>
      </c>
      <c r="E5992" t="str">
        <f>_xlfn.XLOOKUP($A5992,Load!$B:$B,Load!F:F,0,)</f>
        <v>Mixed / Combo Packs (Gummy, Chewy, Taffy, etc.)</v>
      </c>
      <c r="F5992" t="str">
        <f>_xlfn.XLOOKUP($A5992,Load!$B:$B,Load!G:G,0,)</f>
        <v>Large Multipack (More than 80 ct)</v>
      </c>
      <c r="G5992" t="str">
        <f>_xlfn.XLOOKUP($A5992,Load!$B:$B,Load!H:H,0,)</f>
        <v>Stand-Up Bag</v>
      </c>
      <c r="H5992" t="str">
        <f>_xlfn.XLOOKUP($A5992,Load!$B:$B,Load!I:I,0,)</f>
        <v>Everyday Candy Shapes (like Original, Gummy bear, Fruit, Jewels, etc.)</v>
      </c>
      <c r="I5992" t="str">
        <f>_xlfn.XLOOKUP($A5992,Load!$B:$B,Load!J:J,0,)</f>
        <v>Seasonal Graphics (Like Bat, Ghost, Pumpkin, Fall Leaves, Eyeballs, etc.)</v>
      </c>
      <c r="J5992" t="str">
        <f>_xlfn.XLOOKUP($A5992,Load!$B:$B,Load!K:K,0,)</f>
        <v>Fun Size / Treat Size</v>
      </c>
      <c r="K5992" t="str">
        <f>_xlfn.XLOOKUP($A5992,Load!$B:$B,Load!L:L,0,)</f>
        <v>Regular/Original Wrapping</v>
      </c>
      <c r="L5992" t="str">
        <f>_xlfn.XLOOKUP($A5992,Load!$B:$B,Load!M:M,0,)</f>
        <v>Multiple Brands / Variety Flavors or Form</v>
      </c>
    </row>
    <row r="5993" spans="1:12" x14ac:dyDescent="0.25">
      <c r="B5993">
        <f>_xlfn.XLOOKUP($A5993,Load!$B:$B,Load!C:C,0,)</f>
        <v>0</v>
      </c>
      <c r="C5993">
        <f>_xlfn.XLOOKUP($A5993,Load!$B:$B,Load!D:D,0,)</f>
        <v>0</v>
      </c>
      <c r="D5993">
        <f>_xlfn.XLOOKUP($A5993,Load!$B:$B,Load!E:E,0,)</f>
        <v>0</v>
      </c>
      <c r="E5993">
        <f>_xlfn.XLOOKUP($A5993,Load!$B:$B,Load!F:F,0,)</f>
        <v>0</v>
      </c>
      <c r="F5993">
        <f>_xlfn.XLOOKUP($A5993,Load!$B:$B,Load!G:G,0,)</f>
        <v>0</v>
      </c>
      <c r="G5993">
        <f>_xlfn.XLOOKUP($A5993,Load!$B:$B,Load!H:H,0,)</f>
        <v>0</v>
      </c>
      <c r="H5993">
        <f>_xlfn.XLOOKUP($A5993,Load!$B:$B,Load!I:I,0,)</f>
        <v>0</v>
      </c>
      <c r="I5993">
        <f>_xlfn.XLOOKUP($A5993,Load!$B:$B,Load!J:J,0,)</f>
        <v>0</v>
      </c>
      <c r="J5993">
        <f>_xlfn.XLOOKUP($A5993,Load!$B:$B,Load!K:K,0,)</f>
        <v>0</v>
      </c>
      <c r="K5993">
        <f>_xlfn.XLOOKUP($A5993,Load!$B:$B,Load!L:L,0,)</f>
        <v>0</v>
      </c>
      <c r="L5993">
        <f>_xlfn.XLOOKUP($A5993,Load!$B:$B,Load!M:M,0,)</f>
        <v>0</v>
      </c>
    </row>
    <row r="5994" spans="1:12" x14ac:dyDescent="0.25">
      <c r="A5994" t="s">
        <v>169</v>
      </c>
      <c r="B5994" t="str">
        <f>_xlfn.XLOOKUP($A5994,Load!$B:$B,Load!C:C,0,)</f>
        <v>Laffy Taffy</v>
      </c>
      <c r="C5994" t="str">
        <f>_xlfn.XLOOKUP($A5994,Load!$B:$B,Load!D:D,0,)</f>
        <v>Non-Chocolate Candy Only</v>
      </c>
      <c r="D5994" t="str">
        <f>_xlfn.XLOOKUP($A5994,Load!$B:$B,Load!E:E,0,)</f>
        <v>Fruit Flavor (Cherry, Grape, Apple, Citrus, Tropical Fruit)</v>
      </c>
      <c r="E5994" t="str">
        <f>_xlfn.XLOOKUP($A5994,Load!$B:$B,Load!F:F,0,)</f>
        <v>Taffy</v>
      </c>
      <c r="F5994" t="str">
        <f>_xlfn.XLOOKUP($A5994,Load!$B:$B,Load!G:G,0,)</f>
        <v>Small Multipack (Less than 40 ct)</v>
      </c>
      <c r="G5994" t="str">
        <f>_xlfn.XLOOKUP($A5994,Load!$B:$B,Load!H:H,0,)</f>
        <v>Laydown Bag</v>
      </c>
      <c r="H5994" t="str">
        <f>_xlfn.XLOOKUP($A5994,Load!$B:$B,Load!I:I,0,)</f>
        <v>Everyday Candy Shapes (like Original, Gummy bear, Fruit, Jewels, etc.)</v>
      </c>
      <c r="I5994" t="str">
        <f>_xlfn.XLOOKUP($A5994,Load!$B:$B,Load!J:J,0,)</f>
        <v>Everyday Graphics</v>
      </c>
      <c r="J5994" t="str">
        <f>_xlfn.XLOOKUP($A5994,Load!$B:$B,Load!K:K,0,)</f>
        <v>Fun Size / Treat Size</v>
      </c>
      <c r="K5994" t="str">
        <f>_xlfn.XLOOKUP($A5994,Load!$B:$B,Load!L:L,0,)</f>
        <v>Regular/Original Wrapping</v>
      </c>
      <c r="L5994" t="str">
        <f>_xlfn.XLOOKUP($A5994,Load!$B:$B,Load!M:M,0,)</f>
        <v>Single Brand / Variety Flavors or Form</v>
      </c>
    </row>
    <row r="5995" spans="1:12" x14ac:dyDescent="0.25">
      <c r="A5995" t="s">
        <v>140</v>
      </c>
      <c r="B5995" t="str">
        <f>_xlfn.XLOOKUP($A5995,Load!$B:$B,Load!C:C,0,)</f>
        <v>Hershey's Variety Pack + Haribo</v>
      </c>
      <c r="C5995" t="str">
        <f>_xlfn.XLOOKUP($A5995,Load!$B:$B,Load!D:D,0,)</f>
        <v>Mix of Chocolate and Non-Chocolate Candy</v>
      </c>
      <c r="D5995" t="str">
        <f>_xlfn.XLOOKUP($A5995,Load!$B:$B,Load!E:E,0,)</f>
        <v>Variety / Mixed Flavors (Fruity, Sour, Seasonal Flavors)</v>
      </c>
      <c r="E5995" t="str">
        <f>_xlfn.XLOOKUP($A5995,Load!$B:$B,Load!F:F,0,)</f>
        <v>Mixed / Combo Packs (Gummy, Chewy, Taffy, etc.)</v>
      </c>
      <c r="F5995" t="str">
        <f>_xlfn.XLOOKUP($A5995,Load!$B:$B,Load!G:G,0,)</f>
        <v>Large Multipack (More than 80 ct)</v>
      </c>
      <c r="G5995" t="str">
        <f>_xlfn.XLOOKUP($A5995,Load!$B:$B,Load!H:H,0,)</f>
        <v>Stand-Up Bag</v>
      </c>
      <c r="H5995" t="str">
        <f>_xlfn.XLOOKUP($A5995,Load!$B:$B,Load!I:I,0,)</f>
        <v>Everyday Candy Shapes (like Original, Gummy bear, Fruit, Jewels, etc.)</v>
      </c>
      <c r="I5995" t="str">
        <f>_xlfn.XLOOKUP($A5995,Load!$B:$B,Load!J:J,0,)</f>
        <v>Seasonal Graphics (Like Bat, Ghost, Pumpkin, Fall Leaves, Eyeballs, etc.)</v>
      </c>
      <c r="J5995" t="str">
        <f>_xlfn.XLOOKUP($A5995,Load!$B:$B,Load!K:K,0,)</f>
        <v xml:space="preserve">Variety Candy Sizes </v>
      </c>
      <c r="K5995" t="str">
        <f>_xlfn.XLOOKUP($A5995,Load!$B:$B,Load!L:L,0,)</f>
        <v>Regular/Original Wrapping</v>
      </c>
      <c r="L5995" t="str">
        <f>_xlfn.XLOOKUP($A5995,Load!$B:$B,Load!M:M,0,)</f>
        <v>Multiple Brands / Variety Flavors or Form</v>
      </c>
    </row>
    <row r="5996" spans="1:12" x14ac:dyDescent="0.25">
      <c r="A5996" t="s">
        <v>187</v>
      </c>
      <c r="B5996" t="str">
        <f>_xlfn.XLOOKUP($A5996,Load!$B:$B,Load!C:C,0,)</f>
        <v>Mars Variety Pack</v>
      </c>
      <c r="C5996" t="str">
        <f>_xlfn.XLOOKUP($A5996,Load!$B:$B,Load!D:D,0,)</f>
        <v>Mix of Chocolate and Non-Chocolate Candy</v>
      </c>
      <c r="D5996" t="str">
        <f>_xlfn.XLOOKUP($A5996,Load!$B:$B,Load!E:E,0,)</f>
        <v>Variety / Mixed Flavors (Fruity, Sour, Seasonal Flavors)</v>
      </c>
      <c r="E5996" t="str">
        <f>_xlfn.XLOOKUP($A5996,Load!$B:$B,Load!F:F,0,)</f>
        <v>Mixed / Combo Packs (Gummy, Chewy, Taffy, etc.)</v>
      </c>
      <c r="F5996" t="str">
        <f>_xlfn.XLOOKUP($A5996,Load!$B:$B,Load!G:G,0,)</f>
        <v>Medium Multipack (40–80 ct)</v>
      </c>
      <c r="G5996" t="str">
        <f>_xlfn.XLOOKUP($A5996,Load!$B:$B,Load!H:H,0,)</f>
        <v>Stand-Up Bag</v>
      </c>
      <c r="H5996" t="str">
        <f>_xlfn.XLOOKUP($A5996,Load!$B:$B,Load!I:I,0,)</f>
        <v>Everyday Candy Shapes (like Original, Gummy bear, Fruit, Jewels, etc.)</v>
      </c>
      <c r="I5996" t="str">
        <f>_xlfn.XLOOKUP($A5996,Load!$B:$B,Load!J:J,0,)</f>
        <v>Seasonal Graphics (Like Bat, Ghost, Pumpkin, Fall Leaves, Eyeballs, etc.)</v>
      </c>
      <c r="J5996" t="str">
        <f>_xlfn.XLOOKUP($A5996,Load!$B:$B,Load!K:K,0,)</f>
        <v>Fun Size / Treat Size</v>
      </c>
      <c r="K5996" t="str">
        <f>_xlfn.XLOOKUP($A5996,Load!$B:$B,Load!L:L,0,)</f>
        <v>Regular/Original Wrapping</v>
      </c>
      <c r="L5996" t="str">
        <f>_xlfn.XLOOKUP($A5996,Load!$B:$B,Load!M:M,0,)</f>
        <v>Multiple Brands / Variety Flavors or Form</v>
      </c>
    </row>
    <row r="5997" spans="1:12" x14ac:dyDescent="0.25">
      <c r="B5997">
        <f>_xlfn.XLOOKUP($A5997,Load!$B:$B,Load!C:C,0,)</f>
        <v>0</v>
      </c>
      <c r="C5997">
        <f>_xlfn.XLOOKUP($A5997,Load!$B:$B,Load!D:D,0,)</f>
        <v>0</v>
      </c>
      <c r="D5997">
        <f>_xlfn.XLOOKUP($A5997,Load!$B:$B,Load!E:E,0,)</f>
        <v>0</v>
      </c>
      <c r="E5997">
        <f>_xlfn.XLOOKUP($A5997,Load!$B:$B,Load!F:F,0,)</f>
        <v>0</v>
      </c>
      <c r="F5997">
        <f>_xlfn.XLOOKUP($A5997,Load!$B:$B,Load!G:G,0,)</f>
        <v>0</v>
      </c>
      <c r="G5997">
        <f>_xlfn.XLOOKUP($A5997,Load!$B:$B,Load!H:H,0,)</f>
        <v>0</v>
      </c>
      <c r="H5997">
        <f>_xlfn.XLOOKUP($A5997,Load!$B:$B,Load!I:I,0,)</f>
        <v>0</v>
      </c>
      <c r="I5997">
        <f>_xlfn.XLOOKUP($A5997,Load!$B:$B,Load!J:J,0,)</f>
        <v>0</v>
      </c>
      <c r="J5997">
        <f>_xlfn.XLOOKUP($A5997,Load!$B:$B,Load!K:K,0,)</f>
        <v>0</v>
      </c>
      <c r="K5997">
        <f>_xlfn.XLOOKUP($A5997,Load!$B:$B,Load!L:L,0,)</f>
        <v>0</v>
      </c>
      <c r="L5997">
        <f>_xlfn.XLOOKUP($A5997,Load!$B:$B,Load!M:M,0,)</f>
        <v>0</v>
      </c>
    </row>
    <row r="5998" spans="1:12" x14ac:dyDescent="0.25">
      <c r="A5998" t="s">
        <v>246</v>
      </c>
      <c r="B5998" t="str">
        <f>_xlfn.XLOOKUP($A5998,Load!$B:$B,Load!C:C,0,)</f>
        <v>Ring Pop</v>
      </c>
      <c r="C5998" t="str">
        <f>_xlfn.XLOOKUP($A5998,Load!$B:$B,Load!D:D,0,)</f>
        <v>Non-Chocolate Candy Only</v>
      </c>
      <c r="D5998" t="str">
        <f>_xlfn.XLOOKUP($A5998,Load!$B:$B,Load!E:E,0,)</f>
        <v>Variety / Mixed Flavors (Fruity, Sour, Seasonal Flavors)</v>
      </c>
      <c r="E5998" t="str">
        <f>_xlfn.XLOOKUP($A5998,Load!$B:$B,Load!F:F,0,)</f>
        <v>Lollipop (regular or lollipop rings)</v>
      </c>
      <c r="F5998" t="str">
        <f>_xlfn.XLOOKUP($A5998,Load!$B:$B,Load!G:G,0,)</f>
        <v>Single Pack</v>
      </c>
      <c r="G5998" t="str">
        <f>_xlfn.XLOOKUP($A5998,Load!$B:$B,Load!H:H,0,)</f>
        <v>Laydown Bag</v>
      </c>
      <c r="H5998" t="str">
        <f>_xlfn.XLOOKUP($A5998,Load!$B:$B,Load!I:I,0,)</f>
        <v>Everyday Candy Shapes (like Original, Gummy bear, Fruit, Jewels, etc.)</v>
      </c>
      <c r="I5998" t="str">
        <f>_xlfn.XLOOKUP($A5998,Load!$B:$B,Load!J:J,0,)</f>
        <v>Seasonal Graphics (Like Bat, Ghost, Pumpkin, Fall Leaves, Eyeballs, etc.)</v>
      </c>
      <c r="J5998" t="str">
        <f>_xlfn.XLOOKUP($A5998,Load!$B:$B,Load!K:K,0,)</f>
        <v>Regular Lollipop size (on sticks or rings)</v>
      </c>
      <c r="K5998" t="str">
        <f>_xlfn.XLOOKUP($A5998,Load!$B:$B,Load!L:L,0,)</f>
        <v>Regular/Original Wrapping</v>
      </c>
      <c r="L5998" t="str">
        <f>_xlfn.XLOOKUP($A5998,Load!$B:$B,Load!M:M,0,)</f>
        <v>Single Brand / Variety Flavors or Form</v>
      </c>
    </row>
    <row r="5999" spans="1:12" x14ac:dyDescent="0.25">
      <c r="B5999">
        <f>_xlfn.XLOOKUP($A5999,Load!$B:$B,Load!C:C,0,)</f>
        <v>0</v>
      </c>
      <c r="C5999">
        <f>_xlfn.XLOOKUP($A5999,Load!$B:$B,Load!D:D,0,)</f>
        <v>0</v>
      </c>
      <c r="D5999">
        <f>_xlfn.XLOOKUP($A5999,Load!$B:$B,Load!E:E,0,)</f>
        <v>0</v>
      </c>
      <c r="E5999">
        <f>_xlfn.XLOOKUP($A5999,Load!$B:$B,Load!F:F,0,)</f>
        <v>0</v>
      </c>
      <c r="F5999">
        <f>_xlfn.XLOOKUP($A5999,Load!$B:$B,Load!G:G,0,)</f>
        <v>0</v>
      </c>
      <c r="G5999">
        <f>_xlfn.XLOOKUP($A5999,Load!$B:$B,Load!H:H,0,)</f>
        <v>0</v>
      </c>
      <c r="H5999">
        <f>_xlfn.XLOOKUP($A5999,Load!$B:$B,Load!I:I,0,)</f>
        <v>0</v>
      </c>
      <c r="I5999">
        <f>_xlfn.XLOOKUP($A5999,Load!$B:$B,Load!J:J,0,)</f>
        <v>0</v>
      </c>
      <c r="J5999">
        <f>_xlfn.XLOOKUP($A5999,Load!$B:$B,Load!K:K,0,)</f>
        <v>0</v>
      </c>
      <c r="K5999">
        <f>_xlfn.XLOOKUP($A5999,Load!$B:$B,Load!L:L,0,)</f>
        <v>0</v>
      </c>
      <c r="L5999">
        <f>_xlfn.XLOOKUP($A5999,Load!$B:$B,Load!M:M,0,)</f>
        <v>0</v>
      </c>
    </row>
    <row r="6000" spans="1:12" x14ac:dyDescent="0.25">
      <c r="A6000" t="s">
        <v>139</v>
      </c>
      <c r="B6000" t="str">
        <f>_xlfn.XLOOKUP($A6000,Load!$B:$B,Load!C:C,0,)</f>
        <v>Hershey's Variety Pack + Haribo</v>
      </c>
      <c r="C6000" t="str">
        <f>_xlfn.XLOOKUP($A6000,Load!$B:$B,Load!D:D,0,)</f>
        <v>Mix of Chocolate and Non-Chocolate Candy</v>
      </c>
      <c r="D6000" t="str">
        <f>_xlfn.XLOOKUP($A6000,Load!$B:$B,Load!E:E,0,)</f>
        <v>Variety / Mixed Flavors (Fruity, Sour, Seasonal Flavors)</v>
      </c>
      <c r="E6000" t="str">
        <f>_xlfn.XLOOKUP($A6000,Load!$B:$B,Load!F:F,0,)</f>
        <v>Mixed / Combo Packs (Gummy, Chewy, Taffy, etc.)</v>
      </c>
      <c r="F6000" t="str">
        <f>_xlfn.XLOOKUP($A6000,Load!$B:$B,Load!G:G,0,)</f>
        <v>Large Multipack (More than 80 ct)</v>
      </c>
      <c r="G6000" t="str">
        <f>_xlfn.XLOOKUP($A6000,Load!$B:$B,Load!H:H,0,)</f>
        <v>Stand-Up Bag</v>
      </c>
      <c r="H6000" t="str">
        <f>_xlfn.XLOOKUP($A6000,Load!$B:$B,Load!I:I,0,)</f>
        <v>Everyday Candy Shapes (like Original, Gummy bear, Fruit, Jewels, etc.)</v>
      </c>
      <c r="I6000" t="str">
        <f>_xlfn.XLOOKUP($A6000,Load!$B:$B,Load!J:J,0,)</f>
        <v>Seasonal Graphics (Like Bat, Ghost, Pumpkin, Fall Leaves, Eyeballs, etc.)</v>
      </c>
      <c r="J6000" t="str">
        <f>_xlfn.XLOOKUP($A6000,Load!$B:$B,Load!K:K,0,)</f>
        <v>Fun Size / Treat Size</v>
      </c>
      <c r="K6000" t="str">
        <f>_xlfn.XLOOKUP($A6000,Load!$B:$B,Load!L:L,0,)</f>
        <v>Regular/Original Wrapping</v>
      </c>
      <c r="L6000" t="str">
        <f>_xlfn.XLOOKUP($A6000,Load!$B:$B,Load!M:M,0,)</f>
        <v>Multiple Brands / Variety Flavors or Form</v>
      </c>
    </row>
    <row r="6001" spans="2:12" x14ac:dyDescent="0.25">
      <c r="B6001">
        <f>_xlfn.XLOOKUP($A6001,Load!$B:$B,Load!C:C,0,)</f>
        <v>0</v>
      </c>
      <c r="C6001">
        <f>_xlfn.XLOOKUP($A6001,Load!$B:$B,Load!D:D,0,)</f>
        <v>0</v>
      </c>
      <c r="D6001">
        <f>_xlfn.XLOOKUP($A6001,Load!$B:$B,Load!E:E,0,)</f>
        <v>0</v>
      </c>
      <c r="E6001">
        <f>_xlfn.XLOOKUP($A6001,Load!$B:$B,Load!F:F,0,)</f>
        <v>0</v>
      </c>
      <c r="F6001">
        <f>_xlfn.XLOOKUP($A6001,Load!$B:$B,Load!G:G,0,)</f>
        <v>0</v>
      </c>
      <c r="G6001">
        <f>_xlfn.XLOOKUP($A6001,Load!$B:$B,Load!H:H,0,)</f>
        <v>0</v>
      </c>
      <c r="H6001">
        <f>_xlfn.XLOOKUP($A6001,Load!$B:$B,Load!I:I,0,)</f>
        <v>0</v>
      </c>
      <c r="I6001">
        <f>_xlfn.XLOOKUP($A6001,Load!$B:$B,Load!J:J,0,)</f>
        <v>0</v>
      </c>
      <c r="J6001">
        <f>_xlfn.XLOOKUP($A6001,Load!$B:$B,Load!K:K,0,)</f>
        <v>0</v>
      </c>
      <c r="K6001">
        <f>_xlfn.XLOOKUP($A6001,Load!$B:$B,Load!L:L,0,)</f>
        <v>0</v>
      </c>
      <c r="L6001">
        <f>_xlfn.XLOOKUP($A6001,Load!$B:$B,Load!M:M,0,)</f>
        <v>0</v>
      </c>
    </row>
  </sheetData>
  <autoFilter ref="A1:L6001" xr:uid="{9EE94588-3F24-4F95-A6D5-86ADE4391A25}"/>
  <conditionalFormatting sqref="B1:C1">
    <cfRule type="cellIs" dxfId="1" priority="1" operator="equal">
      <formula>"PRIVATE LABEL"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7.140625" customWidth="1"/>
    <col min="2" max="2" width="8.7109375" customWidth="1"/>
    <col min="3" max="3" width="17.140625" customWidth="1"/>
    <col min="4" max="4" width="12.7109375" customWidth="1"/>
    <col min="5" max="5" width="43.7109375" customWidth="1"/>
    <col min="6" max="26" width="8.7109375" customWidth="1"/>
  </cols>
  <sheetData>
    <row r="1" spans="1:26" ht="14.25" customHeight="1" x14ac:dyDescent="0.25">
      <c r="A1" s="2" t="e">
        <f t="array" aca="1" ref="A1" ca="1">_xludf.TEXTAFTER(CELL("filename",A1),"]")</f>
        <v>#NAME?</v>
      </c>
      <c r="B1" s="2" t="e">
        <f ca="1">ADDRESS(4,MATCH(A1,Load!#REF!,0),1,1,"Text Labels")&amp;":"&amp;ADDRESS(2000,MATCH(A1,Load!#REF!,0),1)</f>
        <v>#NAME?</v>
      </c>
      <c r="C1" s="2"/>
      <c r="D1" s="5" t="s">
        <v>451</v>
      </c>
      <c r="E1" s="6" t="s">
        <v>452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1" t="e">
        <f t="array" aca="1" ref="A2" ca="1">_xlws.SORT(_xludf.UNIQUE(INDIRECT($B$1),FALSE))</f>
        <v>#NAME?</v>
      </c>
      <c r="B2" s="1">
        <v>1</v>
      </c>
      <c r="C2" s="1" t="e">
        <f t="shared" ref="C2:C36" ca="1" si="0">A2</f>
        <v>#NAME?</v>
      </c>
      <c r="D2" s="7" t="e">
        <f t="shared" ref="D2:D36" ca="1" si="1">C2=E2</f>
        <v>#NAME?</v>
      </c>
      <c r="E2" s="8" t="s">
        <v>453</v>
      </c>
    </row>
    <row r="3" spans="1:26" ht="14.25" customHeight="1" x14ac:dyDescent="0.25">
      <c r="B3" s="1">
        <v>2</v>
      </c>
      <c r="C3" s="1">
        <f t="shared" si="0"/>
        <v>0</v>
      </c>
      <c r="D3" s="7" t="b">
        <f t="shared" si="1"/>
        <v>0</v>
      </c>
      <c r="E3" s="8" t="s">
        <v>454</v>
      </c>
    </row>
    <row r="4" spans="1:26" ht="14.25" customHeight="1" x14ac:dyDescent="0.25">
      <c r="B4" s="1">
        <v>3</v>
      </c>
      <c r="C4" s="1">
        <f t="shared" si="0"/>
        <v>0</v>
      </c>
      <c r="D4" s="7" t="b">
        <f t="shared" si="1"/>
        <v>0</v>
      </c>
      <c r="E4" s="8" t="s">
        <v>455</v>
      </c>
    </row>
    <row r="5" spans="1:26" ht="14.25" customHeight="1" x14ac:dyDescent="0.25">
      <c r="B5" s="1">
        <v>4</v>
      </c>
      <c r="C5" s="1">
        <f t="shared" si="0"/>
        <v>0</v>
      </c>
      <c r="D5" s="7" t="b">
        <f t="shared" si="1"/>
        <v>0</v>
      </c>
      <c r="E5" s="8" t="s">
        <v>456</v>
      </c>
    </row>
    <row r="6" spans="1:26" ht="14.25" customHeight="1" x14ac:dyDescent="0.25">
      <c r="B6" s="1">
        <v>5</v>
      </c>
      <c r="C6" s="1">
        <f t="shared" si="0"/>
        <v>0</v>
      </c>
      <c r="D6" s="7" t="b">
        <f t="shared" si="1"/>
        <v>1</v>
      </c>
      <c r="E6" s="8"/>
    </row>
    <row r="7" spans="1:26" ht="14.25" customHeight="1" x14ac:dyDescent="0.25">
      <c r="B7" s="1">
        <v>6</v>
      </c>
      <c r="C7" s="1">
        <f t="shared" si="0"/>
        <v>0</v>
      </c>
      <c r="D7" s="7" t="b">
        <f t="shared" si="1"/>
        <v>1</v>
      </c>
      <c r="E7" s="8"/>
    </row>
    <row r="8" spans="1:26" ht="14.25" customHeight="1" x14ac:dyDescent="0.25">
      <c r="B8" s="1">
        <v>7</v>
      </c>
      <c r="C8" s="1">
        <f t="shared" si="0"/>
        <v>0</v>
      </c>
      <c r="D8" s="7" t="b">
        <f t="shared" si="1"/>
        <v>1</v>
      </c>
      <c r="E8" s="8"/>
    </row>
    <row r="9" spans="1:26" ht="14.25" customHeight="1" x14ac:dyDescent="0.25">
      <c r="B9" s="1">
        <v>8</v>
      </c>
      <c r="C9" s="1">
        <f t="shared" si="0"/>
        <v>0</v>
      </c>
      <c r="D9" s="7" t="b">
        <f t="shared" si="1"/>
        <v>1</v>
      </c>
      <c r="E9" s="8"/>
    </row>
    <row r="10" spans="1:26" ht="14.25" customHeight="1" x14ac:dyDescent="0.25">
      <c r="B10" s="1">
        <v>9</v>
      </c>
      <c r="C10" s="1">
        <f t="shared" si="0"/>
        <v>0</v>
      </c>
      <c r="D10" s="7" t="b">
        <f t="shared" si="1"/>
        <v>1</v>
      </c>
      <c r="E10" s="8"/>
    </row>
    <row r="11" spans="1:26" ht="14.25" customHeight="1" x14ac:dyDescent="0.25">
      <c r="B11" s="1">
        <v>10</v>
      </c>
      <c r="C11" s="1">
        <f t="shared" si="0"/>
        <v>0</v>
      </c>
      <c r="D11" s="7" t="b">
        <f t="shared" si="1"/>
        <v>1</v>
      </c>
      <c r="E11" s="8"/>
    </row>
    <row r="12" spans="1:26" ht="14.25" customHeight="1" x14ac:dyDescent="0.25">
      <c r="B12" s="1">
        <v>11</v>
      </c>
      <c r="C12" s="1">
        <f t="shared" si="0"/>
        <v>0</v>
      </c>
      <c r="D12" s="7" t="b">
        <f t="shared" si="1"/>
        <v>1</v>
      </c>
      <c r="E12" s="8"/>
    </row>
    <row r="13" spans="1:26" ht="14.25" customHeight="1" x14ac:dyDescent="0.25">
      <c r="B13" s="1">
        <v>12</v>
      </c>
      <c r="C13" s="1">
        <f t="shared" si="0"/>
        <v>0</v>
      </c>
      <c r="D13" s="7" t="b">
        <f t="shared" si="1"/>
        <v>1</v>
      </c>
      <c r="E13" s="8"/>
    </row>
    <row r="14" spans="1:26" ht="14.25" customHeight="1" x14ac:dyDescent="0.25">
      <c r="B14" s="1">
        <v>13</v>
      </c>
      <c r="C14" s="1">
        <f t="shared" si="0"/>
        <v>0</v>
      </c>
      <c r="D14" s="7" t="b">
        <f t="shared" si="1"/>
        <v>1</v>
      </c>
      <c r="E14" s="8"/>
    </row>
    <row r="15" spans="1:26" ht="14.25" customHeight="1" x14ac:dyDescent="0.25">
      <c r="B15" s="1">
        <v>14</v>
      </c>
      <c r="C15" s="1">
        <f t="shared" si="0"/>
        <v>0</v>
      </c>
      <c r="D15" s="7" t="b">
        <f t="shared" si="1"/>
        <v>1</v>
      </c>
      <c r="E15" s="8"/>
    </row>
    <row r="16" spans="1:26" ht="14.25" customHeight="1" x14ac:dyDescent="0.25">
      <c r="B16" s="1">
        <v>15</v>
      </c>
      <c r="C16" s="1">
        <f t="shared" si="0"/>
        <v>0</v>
      </c>
      <c r="D16" s="7" t="b">
        <f t="shared" si="1"/>
        <v>1</v>
      </c>
      <c r="E16" s="8"/>
    </row>
    <row r="17" spans="2:5" ht="14.25" customHeight="1" x14ac:dyDescent="0.25">
      <c r="B17" s="1">
        <v>16</v>
      </c>
      <c r="C17" s="1">
        <f t="shared" si="0"/>
        <v>0</v>
      </c>
      <c r="D17" s="7" t="b">
        <f t="shared" si="1"/>
        <v>1</v>
      </c>
      <c r="E17" s="8"/>
    </row>
    <row r="18" spans="2:5" ht="14.25" customHeight="1" x14ac:dyDescent="0.25">
      <c r="B18" s="1">
        <v>17</v>
      </c>
      <c r="C18" s="1">
        <f t="shared" si="0"/>
        <v>0</v>
      </c>
      <c r="D18" s="7" t="b">
        <f t="shared" si="1"/>
        <v>1</v>
      </c>
      <c r="E18" s="8"/>
    </row>
    <row r="19" spans="2:5" ht="14.25" customHeight="1" x14ac:dyDescent="0.25">
      <c r="B19" s="1">
        <v>18</v>
      </c>
      <c r="C19" s="1">
        <f t="shared" si="0"/>
        <v>0</v>
      </c>
      <c r="D19" s="7" t="b">
        <f t="shared" si="1"/>
        <v>1</v>
      </c>
      <c r="E19" s="8"/>
    </row>
    <row r="20" spans="2:5" ht="14.25" customHeight="1" x14ac:dyDescent="0.25">
      <c r="B20" s="1">
        <v>19</v>
      </c>
      <c r="C20" s="1">
        <f t="shared" si="0"/>
        <v>0</v>
      </c>
      <c r="D20" s="7" t="b">
        <f t="shared" si="1"/>
        <v>1</v>
      </c>
      <c r="E20" s="8"/>
    </row>
    <row r="21" spans="2:5" ht="14.25" customHeight="1" x14ac:dyDescent="0.25">
      <c r="B21" s="1">
        <v>20</v>
      </c>
      <c r="C21" s="1">
        <f t="shared" si="0"/>
        <v>0</v>
      </c>
      <c r="D21" s="7" t="b">
        <f t="shared" si="1"/>
        <v>1</v>
      </c>
      <c r="E21" s="8"/>
    </row>
    <row r="22" spans="2:5" ht="14.25" customHeight="1" x14ac:dyDescent="0.25">
      <c r="B22" s="1">
        <v>21</v>
      </c>
      <c r="C22" s="1">
        <f t="shared" si="0"/>
        <v>0</v>
      </c>
      <c r="D22" s="7" t="b">
        <f t="shared" si="1"/>
        <v>1</v>
      </c>
      <c r="E22" s="8"/>
    </row>
    <row r="23" spans="2:5" ht="14.25" customHeight="1" x14ac:dyDescent="0.25">
      <c r="B23" s="1">
        <v>22</v>
      </c>
      <c r="C23" s="1">
        <f t="shared" si="0"/>
        <v>0</v>
      </c>
      <c r="D23" s="7" t="b">
        <f t="shared" si="1"/>
        <v>1</v>
      </c>
      <c r="E23" s="8"/>
    </row>
    <row r="24" spans="2:5" ht="14.25" customHeight="1" x14ac:dyDescent="0.25">
      <c r="B24" s="1">
        <v>23</v>
      </c>
      <c r="C24" s="1">
        <f t="shared" si="0"/>
        <v>0</v>
      </c>
      <c r="D24" s="7" t="b">
        <f t="shared" si="1"/>
        <v>1</v>
      </c>
      <c r="E24" s="8"/>
    </row>
    <row r="25" spans="2:5" ht="14.25" customHeight="1" x14ac:dyDescent="0.25">
      <c r="B25" s="1">
        <v>24</v>
      </c>
      <c r="C25" s="1">
        <f t="shared" si="0"/>
        <v>0</v>
      </c>
      <c r="D25" s="7" t="b">
        <f t="shared" si="1"/>
        <v>1</v>
      </c>
      <c r="E25" s="8"/>
    </row>
    <row r="26" spans="2:5" ht="14.25" customHeight="1" x14ac:dyDescent="0.25">
      <c r="B26" s="1">
        <v>25</v>
      </c>
      <c r="C26" s="1">
        <f t="shared" si="0"/>
        <v>0</v>
      </c>
      <c r="D26" s="7" t="b">
        <f t="shared" si="1"/>
        <v>1</v>
      </c>
      <c r="E26" s="8"/>
    </row>
    <row r="27" spans="2:5" ht="14.25" customHeight="1" x14ac:dyDescent="0.25">
      <c r="B27" s="1">
        <v>26</v>
      </c>
      <c r="C27" s="1">
        <f t="shared" si="0"/>
        <v>0</v>
      </c>
      <c r="D27" s="7" t="b">
        <f t="shared" si="1"/>
        <v>1</v>
      </c>
      <c r="E27" s="8"/>
    </row>
    <row r="28" spans="2:5" ht="14.25" customHeight="1" x14ac:dyDescent="0.25">
      <c r="B28" s="1">
        <v>27</v>
      </c>
      <c r="C28" s="1">
        <f t="shared" si="0"/>
        <v>0</v>
      </c>
      <c r="D28" s="7" t="b">
        <f t="shared" si="1"/>
        <v>1</v>
      </c>
      <c r="E28" s="8"/>
    </row>
    <row r="29" spans="2:5" ht="14.25" customHeight="1" x14ac:dyDescent="0.25">
      <c r="B29" s="1">
        <v>28</v>
      </c>
      <c r="C29" s="1">
        <f t="shared" si="0"/>
        <v>0</v>
      </c>
      <c r="D29" s="7" t="b">
        <f t="shared" si="1"/>
        <v>1</v>
      </c>
      <c r="E29" s="8"/>
    </row>
    <row r="30" spans="2:5" ht="14.25" customHeight="1" x14ac:dyDescent="0.25">
      <c r="B30" s="1">
        <v>29</v>
      </c>
      <c r="C30" s="1">
        <f t="shared" si="0"/>
        <v>0</v>
      </c>
      <c r="D30" s="7" t="b">
        <f t="shared" si="1"/>
        <v>1</v>
      </c>
      <c r="E30" s="8"/>
    </row>
    <row r="31" spans="2:5" ht="14.25" customHeight="1" x14ac:dyDescent="0.25">
      <c r="B31" s="1">
        <v>30</v>
      </c>
      <c r="C31" s="1">
        <f t="shared" si="0"/>
        <v>0</v>
      </c>
      <c r="D31" s="7" t="b">
        <f t="shared" si="1"/>
        <v>1</v>
      </c>
      <c r="E31" s="8"/>
    </row>
    <row r="32" spans="2:5" ht="14.25" customHeight="1" x14ac:dyDescent="0.25">
      <c r="B32" s="1">
        <v>31</v>
      </c>
      <c r="C32" s="1">
        <f t="shared" si="0"/>
        <v>0</v>
      </c>
      <c r="D32" s="7" t="b">
        <f t="shared" si="1"/>
        <v>1</v>
      </c>
      <c r="E32" s="8"/>
    </row>
    <row r="33" spans="2:5" ht="14.25" customHeight="1" x14ac:dyDescent="0.25">
      <c r="B33" s="1">
        <v>32</v>
      </c>
      <c r="C33" s="1">
        <f t="shared" si="0"/>
        <v>0</v>
      </c>
      <c r="D33" s="7" t="b">
        <f t="shared" si="1"/>
        <v>1</v>
      </c>
      <c r="E33" s="8"/>
    </row>
    <row r="34" spans="2:5" ht="14.25" customHeight="1" x14ac:dyDescent="0.25">
      <c r="B34" s="1">
        <v>33</v>
      </c>
      <c r="C34" s="1">
        <f t="shared" si="0"/>
        <v>0</v>
      </c>
      <c r="D34" s="7" t="b">
        <f t="shared" si="1"/>
        <v>1</v>
      </c>
      <c r="E34" s="8"/>
    </row>
    <row r="35" spans="2:5" ht="14.25" customHeight="1" x14ac:dyDescent="0.25">
      <c r="B35" s="1">
        <v>34</v>
      </c>
      <c r="C35" s="1">
        <f t="shared" si="0"/>
        <v>0</v>
      </c>
      <c r="D35" s="7" t="b">
        <f t="shared" si="1"/>
        <v>1</v>
      </c>
      <c r="E35" s="8"/>
    </row>
    <row r="36" spans="2:5" ht="14.25" customHeight="1" x14ac:dyDescent="0.25">
      <c r="B36" s="1">
        <v>35</v>
      </c>
      <c r="C36" s="1">
        <f t="shared" si="0"/>
        <v>0</v>
      </c>
      <c r="D36" s="7" t="b">
        <f t="shared" si="1"/>
        <v>1</v>
      </c>
      <c r="E36" s="8"/>
    </row>
    <row r="37" spans="2:5" ht="14.25" customHeight="1" x14ac:dyDescent="0.25">
      <c r="D37" s="7"/>
      <c r="E37" s="8"/>
    </row>
    <row r="38" spans="2:5" ht="14.25" customHeight="1" x14ac:dyDescent="0.25">
      <c r="D38" s="7"/>
      <c r="E38" s="8"/>
    </row>
    <row r="39" spans="2:5" ht="14.25" customHeight="1" x14ac:dyDescent="0.25">
      <c r="D39" s="7"/>
      <c r="E39" s="8"/>
    </row>
    <row r="40" spans="2:5" ht="14.25" customHeight="1" x14ac:dyDescent="0.25">
      <c r="D40" s="7"/>
      <c r="E40" s="8"/>
    </row>
    <row r="41" spans="2:5" ht="14.25" customHeight="1" x14ac:dyDescent="0.25">
      <c r="D41" s="7"/>
      <c r="E41" s="8"/>
    </row>
    <row r="42" spans="2:5" ht="14.25" customHeight="1" x14ac:dyDescent="0.25">
      <c r="D42" s="7"/>
      <c r="E42" s="8"/>
    </row>
    <row r="43" spans="2:5" ht="14.25" customHeight="1" x14ac:dyDescent="0.25">
      <c r="D43" s="7"/>
      <c r="E43" s="8"/>
    </row>
    <row r="44" spans="2:5" ht="14.25" customHeight="1" x14ac:dyDescent="0.25">
      <c r="D44" s="7"/>
      <c r="E44" s="8"/>
    </row>
    <row r="45" spans="2:5" ht="14.25" customHeight="1" x14ac:dyDescent="0.25">
      <c r="D45" s="7"/>
      <c r="E45" s="8"/>
    </row>
    <row r="46" spans="2:5" ht="14.25" customHeight="1" x14ac:dyDescent="0.25">
      <c r="D46" s="7"/>
      <c r="E46" s="8"/>
    </row>
    <row r="47" spans="2:5" ht="14.25" customHeight="1" x14ac:dyDescent="0.25">
      <c r="D47" s="7"/>
      <c r="E47" s="8"/>
    </row>
    <row r="48" spans="2:5" ht="14.25" customHeight="1" x14ac:dyDescent="0.25">
      <c r="D48" s="7"/>
      <c r="E48" s="8"/>
    </row>
    <row r="49" spans="4:5" ht="14.25" customHeight="1" x14ac:dyDescent="0.25">
      <c r="D49" s="7"/>
      <c r="E49" s="8"/>
    </row>
    <row r="50" spans="4:5" ht="14.25" customHeight="1" x14ac:dyDescent="0.25">
      <c r="D50" s="7"/>
      <c r="E50" s="8"/>
    </row>
    <row r="51" spans="4:5" ht="14.25" customHeight="1" x14ac:dyDescent="0.25">
      <c r="D51" s="7"/>
      <c r="E51" s="8"/>
    </row>
    <row r="52" spans="4:5" ht="14.25" customHeight="1" x14ac:dyDescent="0.25">
      <c r="D52" s="7"/>
      <c r="E52" s="8"/>
    </row>
    <row r="53" spans="4:5" ht="14.25" customHeight="1" x14ac:dyDescent="0.25">
      <c r="D53" s="7"/>
      <c r="E53" s="8"/>
    </row>
    <row r="54" spans="4:5" ht="14.25" customHeight="1" x14ac:dyDescent="0.25">
      <c r="D54" s="7"/>
      <c r="E54" s="8"/>
    </row>
    <row r="55" spans="4:5" ht="14.25" customHeight="1" x14ac:dyDescent="0.25">
      <c r="D55" s="7"/>
      <c r="E55" s="8"/>
    </row>
    <row r="56" spans="4:5" ht="14.25" customHeight="1" x14ac:dyDescent="0.25">
      <c r="D56" s="7"/>
      <c r="E56" s="8"/>
    </row>
    <row r="57" spans="4:5" ht="14.25" customHeight="1" x14ac:dyDescent="0.25">
      <c r="D57" s="7"/>
      <c r="E57" s="8"/>
    </row>
    <row r="58" spans="4:5" ht="14.25" customHeight="1" x14ac:dyDescent="0.25">
      <c r="D58" s="7"/>
      <c r="E58" s="8"/>
    </row>
    <row r="59" spans="4:5" ht="14.25" customHeight="1" x14ac:dyDescent="0.25">
      <c r="D59" s="7"/>
      <c r="E59" s="8"/>
    </row>
    <row r="60" spans="4:5" ht="14.25" customHeight="1" x14ac:dyDescent="0.25">
      <c r="D60" s="7"/>
      <c r="E60" s="8"/>
    </row>
    <row r="61" spans="4:5" ht="14.25" customHeight="1" x14ac:dyDescent="0.25">
      <c r="D61" s="7"/>
      <c r="E61" s="8"/>
    </row>
    <row r="62" spans="4:5" ht="14.25" customHeight="1" x14ac:dyDescent="0.25">
      <c r="D62" s="7"/>
      <c r="E62" s="8"/>
    </row>
    <row r="63" spans="4:5" ht="14.25" customHeight="1" x14ac:dyDescent="0.25">
      <c r="D63" s="7"/>
      <c r="E63" s="8"/>
    </row>
    <row r="64" spans="4:5" ht="14.25" customHeight="1" x14ac:dyDescent="0.25">
      <c r="D64" s="7"/>
      <c r="E64" s="8"/>
    </row>
    <row r="65" spans="4:5" ht="14.25" customHeight="1" x14ac:dyDescent="0.25">
      <c r="D65" s="7"/>
      <c r="E65" s="8"/>
    </row>
    <row r="66" spans="4:5" ht="14.25" customHeight="1" x14ac:dyDescent="0.25">
      <c r="D66" s="7"/>
      <c r="E66" s="8"/>
    </row>
    <row r="67" spans="4:5" ht="14.25" customHeight="1" x14ac:dyDescent="0.25">
      <c r="D67" s="7"/>
      <c r="E67" s="8"/>
    </row>
    <row r="68" spans="4:5" ht="14.25" customHeight="1" x14ac:dyDescent="0.25">
      <c r="D68" s="7"/>
      <c r="E68" s="8"/>
    </row>
    <row r="69" spans="4:5" ht="14.25" customHeight="1" x14ac:dyDescent="0.25">
      <c r="D69" s="7"/>
      <c r="E69" s="8"/>
    </row>
    <row r="70" spans="4:5" ht="14.25" customHeight="1" x14ac:dyDescent="0.25">
      <c r="D70" s="7"/>
      <c r="E70" s="8"/>
    </row>
    <row r="71" spans="4:5" ht="14.25" customHeight="1" x14ac:dyDescent="0.25">
      <c r="D71" s="7"/>
      <c r="E71" s="8"/>
    </row>
    <row r="72" spans="4:5" ht="14.25" customHeight="1" x14ac:dyDescent="0.25">
      <c r="D72" s="7"/>
      <c r="E72" s="8"/>
    </row>
    <row r="73" spans="4:5" ht="14.25" customHeight="1" x14ac:dyDescent="0.25">
      <c r="D73" s="7"/>
      <c r="E73" s="8"/>
    </row>
    <row r="74" spans="4:5" ht="14.25" customHeight="1" x14ac:dyDescent="0.25">
      <c r="D74" s="7"/>
      <c r="E74" s="8"/>
    </row>
    <row r="75" spans="4:5" ht="14.25" customHeight="1" x14ac:dyDescent="0.25">
      <c r="D75" s="7"/>
      <c r="E75" s="8"/>
    </row>
    <row r="76" spans="4:5" ht="14.25" customHeight="1" x14ac:dyDescent="0.25">
      <c r="D76" s="7"/>
      <c r="E76" s="8"/>
    </row>
    <row r="77" spans="4:5" ht="14.25" customHeight="1" x14ac:dyDescent="0.25">
      <c r="D77" s="7"/>
      <c r="E77" s="8"/>
    </row>
    <row r="78" spans="4:5" ht="14.25" customHeight="1" x14ac:dyDescent="0.25">
      <c r="D78" s="7"/>
      <c r="E78" s="8"/>
    </row>
    <row r="79" spans="4:5" ht="14.25" customHeight="1" x14ac:dyDescent="0.25">
      <c r="D79" s="7"/>
      <c r="E79" s="8"/>
    </row>
    <row r="80" spans="4:5" ht="14.25" customHeight="1" x14ac:dyDescent="0.25">
      <c r="D80" s="7"/>
      <c r="E80" s="8"/>
    </row>
    <row r="81" spans="4:5" ht="14.25" customHeight="1" x14ac:dyDescent="0.25">
      <c r="D81" s="7"/>
      <c r="E81" s="8"/>
    </row>
    <row r="82" spans="4:5" ht="14.25" customHeight="1" x14ac:dyDescent="0.25">
      <c r="D82" s="7"/>
      <c r="E82" s="8"/>
    </row>
    <row r="83" spans="4:5" ht="14.25" customHeight="1" x14ac:dyDescent="0.25">
      <c r="D83" s="7"/>
      <c r="E83" s="8"/>
    </row>
    <row r="84" spans="4:5" ht="14.25" customHeight="1" x14ac:dyDescent="0.25">
      <c r="D84" s="7"/>
      <c r="E84" s="8"/>
    </row>
    <row r="85" spans="4:5" ht="14.25" customHeight="1" x14ac:dyDescent="0.25">
      <c r="D85" s="7"/>
      <c r="E85" s="8"/>
    </row>
    <row r="86" spans="4:5" ht="14.25" customHeight="1" x14ac:dyDescent="0.25">
      <c r="D86" s="7"/>
      <c r="E86" s="8"/>
    </row>
    <row r="87" spans="4:5" ht="14.25" customHeight="1" x14ac:dyDescent="0.25">
      <c r="D87" s="7"/>
      <c r="E87" s="8"/>
    </row>
    <row r="88" spans="4:5" ht="14.25" customHeight="1" x14ac:dyDescent="0.25">
      <c r="D88" s="7"/>
      <c r="E88" s="8"/>
    </row>
    <row r="89" spans="4:5" ht="14.25" customHeight="1" x14ac:dyDescent="0.25">
      <c r="D89" s="7"/>
      <c r="E89" s="8"/>
    </row>
    <row r="90" spans="4:5" ht="14.25" customHeight="1" x14ac:dyDescent="0.25">
      <c r="D90" s="7"/>
      <c r="E90" s="8"/>
    </row>
    <row r="91" spans="4:5" ht="14.25" customHeight="1" x14ac:dyDescent="0.25">
      <c r="D91" s="7"/>
      <c r="E91" s="8"/>
    </row>
    <row r="92" spans="4:5" ht="14.25" customHeight="1" x14ac:dyDescent="0.25">
      <c r="D92" s="7"/>
      <c r="E92" s="8"/>
    </row>
    <row r="93" spans="4:5" ht="14.25" customHeight="1" x14ac:dyDescent="0.25">
      <c r="D93" s="7"/>
      <c r="E93" s="8"/>
    </row>
    <row r="94" spans="4:5" ht="14.25" customHeight="1" x14ac:dyDescent="0.25">
      <c r="D94" s="7"/>
      <c r="E94" s="8"/>
    </row>
    <row r="95" spans="4:5" ht="14.25" customHeight="1" x14ac:dyDescent="0.25">
      <c r="D95" s="7"/>
      <c r="E95" s="8"/>
    </row>
    <row r="96" spans="4:5" ht="14.25" customHeight="1" x14ac:dyDescent="0.25">
      <c r="D96" s="7"/>
      <c r="E96" s="8"/>
    </row>
    <row r="97" spans="4:5" ht="14.25" customHeight="1" x14ac:dyDescent="0.25">
      <c r="D97" s="7"/>
      <c r="E97" s="8"/>
    </row>
    <row r="98" spans="4:5" ht="14.25" customHeight="1" x14ac:dyDescent="0.25">
      <c r="D98" s="7"/>
      <c r="E98" s="8"/>
    </row>
    <row r="99" spans="4:5" ht="14.25" customHeight="1" x14ac:dyDescent="0.25">
      <c r="D99" s="7"/>
      <c r="E99" s="8"/>
    </row>
    <row r="100" spans="4:5" ht="14.25" customHeight="1" x14ac:dyDescent="0.25">
      <c r="D100" s="7"/>
      <c r="E100" s="8"/>
    </row>
    <row r="101" spans="4:5" ht="14.25" customHeight="1" x14ac:dyDescent="0.25">
      <c r="D101" s="7"/>
      <c r="E101" s="8"/>
    </row>
    <row r="102" spans="4:5" ht="14.25" customHeight="1" x14ac:dyDescent="0.25">
      <c r="D102" s="7"/>
      <c r="E102" s="8"/>
    </row>
    <row r="103" spans="4:5" ht="14.25" customHeight="1" x14ac:dyDescent="0.25">
      <c r="D103" s="7"/>
      <c r="E103" s="8"/>
    </row>
    <row r="104" spans="4:5" ht="14.25" customHeight="1" x14ac:dyDescent="0.25">
      <c r="D104" s="7"/>
      <c r="E104" s="8"/>
    </row>
    <row r="105" spans="4:5" ht="14.25" customHeight="1" x14ac:dyDescent="0.25">
      <c r="D105" s="7"/>
      <c r="E105" s="8"/>
    </row>
    <row r="106" spans="4:5" ht="14.25" customHeight="1" x14ac:dyDescent="0.25">
      <c r="D106" s="7"/>
      <c r="E106" s="8"/>
    </row>
    <row r="107" spans="4:5" ht="14.25" customHeight="1" x14ac:dyDescent="0.25">
      <c r="D107" s="7"/>
      <c r="E107" s="8"/>
    </row>
    <row r="108" spans="4:5" ht="14.25" customHeight="1" x14ac:dyDescent="0.25">
      <c r="D108" s="7"/>
      <c r="E108" s="8"/>
    </row>
    <row r="109" spans="4:5" ht="14.25" customHeight="1" x14ac:dyDescent="0.25">
      <c r="D109" s="7"/>
      <c r="E109" s="8"/>
    </row>
    <row r="110" spans="4:5" ht="14.25" customHeight="1" x14ac:dyDescent="0.25">
      <c r="D110" s="7"/>
      <c r="E110" s="8"/>
    </row>
    <row r="111" spans="4:5" ht="14.25" customHeight="1" x14ac:dyDescent="0.25">
      <c r="D111" s="7"/>
      <c r="E111" s="8"/>
    </row>
    <row r="112" spans="4:5" ht="14.25" customHeight="1" x14ac:dyDescent="0.25">
      <c r="D112" s="7"/>
      <c r="E112" s="8"/>
    </row>
    <row r="113" spans="4:5" ht="14.25" customHeight="1" x14ac:dyDescent="0.25">
      <c r="D113" s="7"/>
      <c r="E113" s="8"/>
    </row>
    <row r="114" spans="4:5" ht="14.25" customHeight="1" x14ac:dyDescent="0.25">
      <c r="D114" s="7"/>
      <c r="E114" s="8"/>
    </row>
    <row r="115" spans="4:5" ht="14.25" customHeight="1" x14ac:dyDescent="0.25">
      <c r="D115" s="7"/>
      <c r="E115" s="8"/>
    </row>
    <row r="116" spans="4:5" ht="14.25" customHeight="1" x14ac:dyDescent="0.25">
      <c r="D116" s="7"/>
      <c r="E116" s="8"/>
    </row>
    <row r="117" spans="4:5" ht="14.25" customHeight="1" x14ac:dyDescent="0.25">
      <c r="D117" s="7"/>
      <c r="E117" s="8"/>
    </row>
    <row r="118" spans="4:5" ht="14.25" customHeight="1" x14ac:dyDescent="0.25">
      <c r="D118" s="7"/>
      <c r="E118" s="8"/>
    </row>
    <row r="119" spans="4:5" ht="14.25" customHeight="1" x14ac:dyDescent="0.25">
      <c r="D119" s="7"/>
      <c r="E119" s="8"/>
    </row>
    <row r="120" spans="4:5" ht="14.25" customHeight="1" x14ac:dyDescent="0.25">
      <c r="D120" s="7"/>
      <c r="E120" s="8"/>
    </row>
    <row r="121" spans="4:5" ht="14.25" customHeight="1" x14ac:dyDescent="0.25">
      <c r="D121" s="7"/>
      <c r="E121" s="8"/>
    </row>
    <row r="122" spans="4:5" ht="14.25" customHeight="1" x14ac:dyDescent="0.25">
      <c r="D122" s="7"/>
      <c r="E122" s="8"/>
    </row>
    <row r="123" spans="4:5" ht="14.25" customHeight="1" x14ac:dyDescent="0.25">
      <c r="D123" s="7"/>
      <c r="E123" s="8"/>
    </row>
    <row r="124" spans="4:5" ht="14.25" customHeight="1" x14ac:dyDescent="0.25">
      <c r="D124" s="7"/>
      <c r="E124" s="8"/>
    </row>
    <row r="125" spans="4:5" ht="14.25" customHeight="1" x14ac:dyDescent="0.25">
      <c r="D125" s="7"/>
      <c r="E125" s="8"/>
    </row>
    <row r="126" spans="4:5" ht="14.25" customHeight="1" x14ac:dyDescent="0.25">
      <c r="D126" s="7"/>
      <c r="E126" s="8"/>
    </row>
    <row r="127" spans="4:5" ht="14.25" customHeight="1" x14ac:dyDescent="0.25">
      <c r="D127" s="7"/>
      <c r="E127" s="8"/>
    </row>
    <row r="128" spans="4:5" ht="14.25" customHeight="1" x14ac:dyDescent="0.25">
      <c r="D128" s="7"/>
      <c r="E128" s="8"/>
    </row>
    <row r="129" spans="4:5" ht="14.25" customHeight="1" x14ac:dyDescent="0.25">
      <c r="D129" s="7"/>
      <c r="E129" s="8"/>
    </row>
    <row r="130" spans="4:5" ht="14.25" customHeight="1" x14ac:dyDescent="0.25">
      <c r="D130" s="7"/>
      <c r="E130" s="8"/>
    </row>
    <row r="131" spans="4:5" ht="14.25" customHeight="1" x14ac:dyDescent="0.25">
      <c r="D131" s="7"/>
      <c r="E131" s="8"/>
    </row>
    <row r="132" spans="4:5" ht="14.25" customHeight="1" x14ac:dyDescent="0.25">
      <c r="D132" s="7"/>
      <c r="E132" s="8"/>
    </row>
    <row r="133" spans="4:5" ht="14.25" customHeight="1" x14ac:dyDescent="0.25">
      <c r="D133" s="7"/>
      <c r="E133" s="8"/>
    </row>
    <row r="134" spans="4:5" ht="14.25" customHeight="1" x14ac:dyDescent="0.25">
      <c r="D134" s="7"/>
      <c r="E134" s="8"/>
    </row>
    <row r="135" spans="4:5" ht="14.25" customHeight="1" x14ac:dyDescent="0.25">
      <c r="D135" s="7"/>
      <c r="E135" s="8"/>
    </row>
    <row r="136" spans="4:5" ht="14.25" customHeight="1" x14ac:dyDescent="0.25">
      <c r="D136" s="7"/>
      <c r="E136" s="8"/>
    </row>
    <row r="137" spans="4:5" ht="14.25" customHeight="1" x14ac:dyDescent="0.25">
      <c r="D137" s="7"/>
      <c r="E137" s="8"/>
    </row>
    <row r="138" spans="4:5" ht="14.25" customHeight="1" x14ac:dyDescent="0.25">
      <c r="D138" s="7"/>
      <c r="E138" s="8"/>
    </row>
    <row r="139" spans="4:5" ht="14.25" customHeight="1" x14ac:dyDescent="0.25">
      <c r="D139" s="7"/>
      <c r="E139" s="8"/>
    </row>
    <row r="140" spans="4:5" ht="14.25" customHeight="1" x14ac:dyDescent="0.25">
      <c r="D140" s="7"/>
      <c r="E140" s="8"/>
    </row>
    <row r="141" spans="4:5" ht="14.25" customHeight="1" x14ac:dyDescent="0.25">
      <c r="D141" s="7"/>
      <c r="E141" s="8"/>
    </row>
    <row r="142" spans="4:5" ht="14.25" customHeight="1" x14ac:dyDescent="0.25">
      <c r="D142" s="7"/>
      <c r="E142" s="8"/>
    </row>
    <row r="143" spans="4:5" ht="14.25" customHeight="1" x14ac:dyDescent="0.25">
      <c r="D143" s="7"/>
      <c r="E143" s="8"/>
    </row>
    <row r="144" spans="4:5" ht="14.25" customHeight="1" x14ac:dyDescent="0.25">
      <c r="D144" s="7"/>
      <c r="E144" s="8"/>
    </row>
    <row r="145" spans="4:5" ht="14.25" customHeight="1" x14ac:dyDescent="0.25">
      <c r="D145" s="7"/>
      <c r="E145" s="8"/>
    </row>
    <row r="146" spans="4:5" ht="14.25" customHeight="1" x14ac:dyDescent="0.25">
      <c r="D146" s="7"/>
      <c r="E146" s="8"/>
    </row>
    <row r="147" spans="4:5" ht="14.25" customHeight="1" x14ac:dyDescent="0.25">
      <c r="D147" s="7"/>
      <c r="E147" s="8"/>
    </row>
    <row r="148" spans="4:5" ht="14.25" customHeight="1" x14ac:dyDescent="0.25">
      <c r="D148" s="7"/>
      <c r="E148" s="8"/>
    </row>
    <row r="149" spans="4:5" ht="14.25" customHeight="1" x14ac:dyDescent="0.25">
      <c r="D149" s="7"/>
      <c r="E149" s="8"/>
    </row>
    <row r="150" spans="4:5" ht="14.25" customHeight="1" x14ac:dyDescent="0.25">
      <c r="D150" s="7"/>
      <c r="E150" s="8"/>
    </row>
    <row r="151" spans="4:5" ht="14.25" customHeight="1" x14ac:dyDescent="0.25">
      <c r="D151" s="7"/>
      <c r="E151" s="8"/>
    </row>
    <row r="152" spans="4:5" ht="14.25" customHeight="1" x14ac:dyDescent="0.25">
      <c r="D152" s="7"/>
      <c r="E152" s="8"/>
    </row>
    <row r="153" spans="4:5" ht="14.25" customHeight="1" x14ac:dyDescent="0.25">
      <c r="D153" s="7"/>
      <c r="E153" s="8"/>
    </row>
    <row r="154" spans="4:5" ht="14.25" customHeight="1" x14ac:dyDescent="0.25">
      <c r="D154" s="7"/>
      <c r="E154" s="8"/>
    </row>
    <row r="155" spans="4:5" ht="14.25" customHeight="1" x14ac:dyDescent="0.25">
      <c r="D155" s="7"/>
      <c r="E155" s="8"/>
    </row>
    <row r="156" spans="4:5" ht="14.25" customHeight="1" x14ac:dyDescent="0.25">
      <c r="D156" s="7"/>
      <c r="E156" s="8"/>
    </row>
    <row r="157" spans="4:5" ht="14.25" customHeight="1" x14ac:dyDescent="0.25">
      <c r="D157" s="7"/>
      <c r="E157" s="8"/>
    </row>
    <row r="158" spans="4:5" ht="14.25" customHeight="1" x14ac:dyDescent="0.25">
      <c r="D158" s="7"/>
      <c r="E158" s="8"/>
    </row>
    <row r="159" spans="4:5" ht="14.25" customHeight="1" x14ac:dyDescent="0.25">
      <c r="D159" s="7"/>
      <c r="E159" s="8"/>
    </row>
    <row r="160" spans="4:5" ht="14.25" customHeight="1" x14ac:dyDescent="0.25">
      <c r="D160" s="7"/>
      <c r="E160" s="8"/>
    </row>
    <row r="161" spans="4:5" ht="14.25" customHeight="1" x14ac:dyDescent="0.25">
      <c r="D161" s="7"/>
      <c r="E161" s="8"/>
    </row>
    <row r="162" spans="4:5" ht="14.25" customHeight="1" x14ac:dyDescent="0.25">
      <c r="D162" s="7"/>
      <c r="E162" s="8"/>
    </row>
    <row r="163" spans="4:5" ht="14.25" customHeight="1" x14ac:dyDescent="0.25">
      <c r="D163" s="7"/>
      <c r="E163" s="8"/>
    </row>
    <row r="164" spans="4:5" ht="14.25" customHeight="1" x14ac:dyDescent="0.25">
      <c r="D164" s="7"/>
      <c r="E164" s="8"/>
    </row>
    <row r="165" spans="4:5" ht="14.25" customHeight="1" x14ac:dyDescent="0.25">
      <c r="D165" s="7"/>
      <c r="E165" s="8"/>
    </row>
    <row r="166" spans="4:5" ht="14.25" customHeight="1" x14ac:dyDescent="0.25">
      <c r="D166" s="7"/>
      <c r="E166" s="8"/>
    </row>
    <row r="167" spans="4:5" ht="14.25" customHeight="1" x14ac:dyDescent="0.25">
      <c r="D167" s="7"/>
      <c r="E167" s="8"/>
    </row>
    <row r="168" spans="4:5" ht="14.25" customHeight="1" x14ac:dyDescent="0.25">
      <c r="D168" s="7"/>
      <c r="E168" s="8"/>
    </row>
    <row r="169" spans="4:5" ht="14.25" customHeight="1" x14ac:dyDescent="0.25">
      <c r="D169" s="7"/>
      <c r="E169" s="8"/>
    </row>
    <row r="170" spans="4:5" ht="14.25" customHeight="1" x14ac:dyDescent="0.25">
      <c r="D170" s="7"/>
      <c r="E170" s="8"/>
    </row>
    <row r="171" spans="4:5" ht="14.25" customHeight="1" x14ac:dyDescent="0.25">
      <c r="D171" s="7"/>
      <c r="E171" s="8"/>
    </row>
    <row r="172" spans="4:5" ht="14.25" customHeight="1" x14ac:dyDescent="0.25">
      <c r="D172" s="7"/>
      <c r="E172" s="8"/>
    </row>
    <row r="173" spans="4:5" ht="14.25" customHeight="1" x14ac:dyDescent="0.25">
      <c r="D173" s="7"/>
      <c r="E173" s="8"/>
    </row>
    <row r="174" spans="4:5" ht="14.25" customHeight="1" x14ac:dyDescent="0.25">
      <c r="D174" s="7"/>
      <c r="E174" s="8"/>
    </row>
    <row r="175" spans="4:5" ht="14.25" customHeight="1" x14ac:dyDescent="0.25">
      <c r="D175" s="7"/>
      <c r="E175" s="8"/>
    </row>
    <row r="176" spans="4:5" ht="14.25" customHeight="1" x14ac:dyDescent="0.25">
      <c r="D176" s="7"/>
      <c r="E176" s="8"/>
    </row>
    <row r="177" spans="4:5" ht="14.25" customHeight="1" x14ac:dyDescent="0.25">
      <c r="D177" s="7"/>
      <c r="E177" s="8"/>
    </row>
    <row r="178" spans="4:5" ht="14.25" customHeight="1" x14ac:dyDescent="0.25">
      <c r="D178" s="7"/>
      <c r="E178" s="8"/>
    </row>
    <row r="179" spans="4:5" ht="14.25" customHeight="1" x14ac:dyDescent="0.25">
      <c r="D179" s="7"/>
      <c r="E179" s="8"/>
    </row>
    <row r="180" spans="4:5" ht="14.25" customHeight="1" x14ac:dyDescent="0.25">
      <c r="D180" s="7"/>
      <c r="E180" s="8"/>
    </row>
    <row r="181" spans="4:5" ht="14.25" customHeight="1" x14ac:dyDescent="0.25">
      <c r="D181" s="7"/>
      <c r="E181" s="8"/>
    </row>
    <row r="182" spans="4:5" ht="14.25" customHeight="1" x14ac:dyDescent="0.25">
      <c r="D182" s="7"/>
      <c r="E182" s="8"/>
    </row>
    <row r="183" spans="4:5" ht="14.25" customHeight="1" x14ac:dyDescent="0.25">
      <c r="D183" s="7"/>
      <c r="E183" s="8"/>
    </row>
    <row r="184" spans="4:5" ht="14.25" customHeight="1" x14ac:dyDescent="0.25">
      <c r="D184" s="7"/>
      <c r="E184" s="8"/>
    </row>
    <row r="185" spans="4:5" ht="14.25" customHeight="1" x14ac:dyDescent="0.25">
      <c r="D185" s="7"/>
      <c r="E185" s="8"/>
    </row>
    <row r="186" spans="4:5" ht="14.25" customHeight="1" x14ac:dyDescent="0.25">
      <c r="D186" s="7"/>
      <c r="E186" s="8"/>
    </row>
    <row r="187" spans="4:5" ht="14.25" customHeight="1" x14ac:dyDescent="0.25">
      <c r="D187" s="7"/>
      <c r="E187" s="8"/>
    </row>
    <row r="188" spans="4:5" ht="14.25" customHeight="1" x14ac:dyDescent="0.25">
      <c r="D188" s="7"/>
      <c r="E188" s="8"/>
    </row>
    <row r="189" spans="4:5" ht="14.25" customHeight="1" x14ac:dyDescent="0.25">
      <c r="D189" s="7"/>
      <c r="E189" s="8"/>
    </row>
    <row r="190" spans="4:5" ht="14.25" customHeight="1" x14ac:dyDescent="0.25">
      <c r="D190" s="7"/>
      <c r="E190" s="8"/>
    </row>
    <row r="191" spans="4:5" ht="14.25" customHeight="1" x14ac:dyDescent="0.25">
      <c r="D191" s="7"/>
      <c r="E191" s="8"/>
    </row>
    <row r="192" spans="4:5" ht="14.25" customHeight="1" x14ac:dyDescent="0.25">
      <c r="D192" s="7"/>
      <c r="E192" s="8"/>
    </row>
    <row r="193" spans="4:5" ht="14.25" customHeight="1" x14ac:dyDescent="0.25">
      <c r="D193" s="7"/>
      <c r="E193" s="8"/>
    </row>
    <row r="194" spans="4:5" ht="14.25" customHeight="1" x14ac:dyDescent="0.25">
      <c r="D194" s="7"/>
      <c r="E194" s="8"/>
    </row>
    <row r="195" spans="4:5" ht="14.25" customHeight="1" x14ac:dyDescent="0.25">
      <c r="D195" s="7"/>
      <c r="E195" s="8"/>
    </row>
    <row r="196" spans="4:5" ht="14.25" customHeight="1" x14ac:dyDescent="0.25">
      <c r="D196" s="7"/>
      <c r="E196" s="8"/>
    </row>
    <row r="197" spans="4:5" ht="14.25" customHeight="1" x14ac:dyDescent="0.25">
      <c r="D197" s="7"/>
      <c r="E197" s="8"/>
    </row>
    <row r="198" spans="4:5" ht="14.25" customHeight="1" x14ac:dyDescent="0.25">
      <c r="D198" s="7"/>
      <c r="E198" s="8"/>
    </row>
    <row r="199" spans="4:5" ht="14.25" customHeight="1" x14ac:dyDescent="0.25">
      <c r="D199" s="7"/>
      <c r="E199" s="8"/>
    </row>
    <row r="200" spans="4:5" ht="14.25" customHeight="1" x14ac:dyDescent="0.25">
      <c r="D200" s="7"/>
      <c r="E200" s="8"/>
    </row>
    <row r="201" spans="4:5" ht="14.25" customHeight="1" x14ac:dyDescent="0.25">
      <c r="D201" s="7"/>
      <c r="E201" s="8"/>
    </row>
    <row r="202" spans="4:5" ht="14.25" customHeight="1" x14ac:dyDescent="0.25">
      <c r="D202" s="7"/>
      <c r="E202" s="8"/>
    </row>
    <row r="203" spans="4:5" ht="14.25" customHeight="1" x14ac:dyDescent="0.25">
      <c r="D203" s="7"/>
      <c r="E203" s="8"/>
    </row>
    <row r="204" spans="4:5" ht="14.25" customHeight="1" x14ac:dyDescent="0.25">
      <c r="D204" s="7"/>
      <c r="E204" s="8"/>
    </row>
    <row r="205" spans="4:5" ht="14.25" customHeight="1" x14ac:dyDescent="0.25">
      <c r="D205" s="7"/>
      <c r="E205" s="8"/>
    </row>
    <row r="206" spans="4:5" ht="14.25" customHeight="1" x14ac:dyDescent="0.25">
      <c r="D206" s="7"/>
      <c r="E206" s="8"/>
    </row>
    <row r="207" spans="4:5" ht="14.25" customHeight="1" x14ac:dyDescent="0.25">
      <c r="D207" s="7"/>
      <c r="E207" s="8"/>
    </row>
    <row r="208" spans="4:5" ht="14.25" customHeight="1" x14ac:dyDescent="0.25">
      <c r="D208" s="7"/>
      <c r="E208" s="8"/>
    </row>
    <row r="209" spans="4:5" ht="14.25" customHeight="1" x14ac:dyDescent="0.25">
      <c r="D209" s="7"/>
      <c r="E209" s="8"/>
    </row>
    <row r="210" spans="4:5" ht="14.25" customHeight="1" x14ac:dyDescent="0.25">
      <c r="D210" s="7"/>
      <c r="E210" s="8"/>
    </row>
    <row r="211" spans="4:5" ht="14.25" customHeight="1" x14ac:dyDescent="0.25">
      <c r="D211" s="7"/>
      <c r="E211" s="8"/>
    </row>
    <row r="212" spans="4:5" ht="14.25" customHeight="1" x14ac:dyDescent="0.25">
      <c r="D212" s="7"/>
      <c r="E212" s="8"/>
    </row>
    <row r="213" spans="4:5" ht="14.25" customHeight="1" x14ac:dyDescent="0.25">
      <c r="D213" s="7"/>
      <c r="E213" s="8"/>
    </row>
    <row r="214" spans="4:5" ht="14.25" customHeight="1" x14ac:dyDescent="0.25">
      <c r="D214" s="7"/>
      <c r="E214" s="8"/>
    </row>
    <row r="215" spans="4:5" ht="14.25" customHeight="1" x14ac:dyDescent="0.25">
      <c r="D215" s="7"/>
      <c r="E215" s="8"/>
    </row>
    <row r="216" spans="4:5" ht="14.25" customHeight="1" x14ac:dyDescent="0.25">
      <c r="D216" s="7"/>
      <c r="E216" s="8"/>
    </row>
    <row r="217" spans="4:5" ht="14.25" customHeight="1" x14ac:dyDescent="0.25">
      <c r="D217" s="7"/>
      <c r="E217" s="8"/>
    </row>
    <row r="218" spans="4:5" ht="14.25" customHeight="1" x14ac:dyDescent="0.25">
      <c r="D218" s="7"/>
      <c r="E218" s="8"/>
    </row>
    <row r="219" spans="4:5" ht="14.25" customHeight="1" x14ac:dyDescent="0.25">
      <c r="D219" s="7"/>
      <c r="E219" s="8"/>
    </row>
    <row r="220" spans="4:5" ht="14.25" customHeight="1" x14ac:dyDescent="0.25">
      <c r="D220" s="7"/>
      <c r="E220" s="8"/>
    </row>
    <row r="221" spans="4:5" ht="14.25" customHeight="1" x14ac:dyDescent="0.25">
      <c r="D221" s="7"/>
      <c r="E221" s="8"/>
    </row>
    <row r="222" spans="4:5" ht="14.25" customHeight="1" x14ac:dyDescent="0.25">
      <c r="D222" s="7"/>
      <c r="E222" s="8"/>
    </row>
    <row r="223" spans="4:5" ht="14.25" customHeight="1" x14ac:dyDescent="0.25">
      <c r="D223" s="7"/>
      <c r="E223" s="8"/>
    </row>
    <row r="224" spans="4:5" ht="14.25" customHeight="1" x14ac:dyDescent="0.25">
      <c r="D224" s="7"/>
      <c r="E224" s="8"/>
    </row>
    <row r="225" spans="4:5" ht="14.25" customHeight="1" x14ac:dyDescent="0.25">
      <c r="D225" s="7"/>
      <c r="E225" s="8"/>
    </row>
    <row r="226" spans="4:5" ht="14.25" customHeight="1" x14ac:dyDescent="0.25">
      <c r="D226" s="7"/>
      <c r="E226" s="8"/>
    </row>
    <row r="227" spans="4:5" ht="14.25" customHeight="1" x14ac:dyDescent="0.25">
      <c r="D227" s="7"/>
      <c r="E227" s="8"/>
    </row>
    <row r="228" spans="4:5" ht="14.25" customHeight="1" x14ac:dyDescent="0.25">
      <c r="D228" s="7"/>
      <c r="E228" s="8"/>
    </row>
    <row r="229" spans="4:5" ht="14.25" customHeight="1" x14ac:dyDescent="0.25">
      <c r="D229" s="7"/>
      <c r="E229" s="8"/>
    </row>
    <row r="230" spans="4:5" ht="14.25" customHeight="1" x14ac:dyDescent="0.25">
      <c r="D230" s="7"/>
      <c r="E230" s="8"/>
    </row>
    <row r="231" spans="4:5" ht="14.25" customHeight="1" x14ac:dyDescent="0.25">
      <c r="D231" s="7"/>
      <c r="E231" s="8"/>
    </row>
    <row r="232" spans="4:5" ht="14.25" customHeight="1" x14ac:dyDescent="0.25">
      <c r="D232" s="7"/>
      <c r="E232" s="8"/>
    </row>
    <row r="233" spans="4:5" ht="14.25" customHeight="1" x14ac:dyDescent="0.25">
      <c r="D233" s="7"/>
      <c r="E233" s="8"/>
    </row>
    <row r="234" spans="4:5" ht="14.25" customHeight="1" x14ac:dyDescent="0.25">
      <c r="D234" s="7"/>
      <c r="E234" s="8"/>
    </row>
    <row r="235" spans="4:5" ht="14.25" customHeight="1" x14ac:dyDescent="0.25">
      <c r="D235" s="7"/>
      <c r="E235" s="8"/>
    </row>
    <row r="236" spans="4:5" ht="14.25" customHeight="1" x14ac:dyDescent="0.25">
      <c r="D236" s="7"/>
      <c r="E236" s="8"/>
    </row>
    <row r="237" spans="4:5" ht="14.25" customHeight="1" x14ac:dyDescent="0.25">
      <c r="D237" s="7"/>
      <c r="E237" s="8"/>
    </row>
    <row r="238" spans="4:5" ht="14.25" customHeight="1" x14ac:dyDescent="0.25">
      <c r="D238" s="7"/>
      <c r="E238" s="8"/>
    </row>
    <row r="239" spans="4:5" ht="14.25" customHeight="1" x14ac:dyDescent="0.25">
      <c r="D239" s="7"/>
      <c r="E239" s="8"/>
    </row>
    <row r="240" spans="4:5" ht="14.25" customHeight="1" x14ac:dyDescent="0.25">
      <c r="D240" s="7"/>
      <c r="E240" s="8"/>
    </row>
    <row r="241" spans="4:5" ht="14.25" customHeight="1" x14ac:dyDescent="0.25">
      <c r="D241" s="7"/>
      <c r="E241" s="8"/>
    </row>
    <row r="242" spans="4:5" ht="14.25" customHeight="1" x14ac:dyDescent="0.25">
      <c r="D242" s="7"/>
      <c r="E242" s="8"/>
    </row>
    <row r="243" spans="4:5" ht="14.25" customHeight="1" x14ac:dyDescent="0.25">
      <c r="D243" s="7"/>
      <c r="E243" s="8"/>
    </row>
    <row r="244" spans="4:5" ht="14.25" customHeight="1" x14ac:dyDescent="0.25">
      <c r="D244" s="7"/>
      <c r="E244" s="8"/>
    </row>
    <row r="245" spans="4:5" ht="14.25" customHeight="1" x14ac:dyDescent="0.25">
      <c r="D245" s="7"/>
      <c r="E245" s="8"/>
    </row>
    <row r="246" spans="4:5" ht="14.25" customHeight="1" x14ac:dyDescent="0.25">
      <c r="D246" s="7"/>
      <c r="E246" s="8"/>
    </row>
    <row r="247" spans="4:5" ht="14.25" customHeight="1" x14ac:dyDescent="0.25">
      <c r="D247" s="7"/>
      <c r="E247" s="8"/>
    </row>
    <row r="248" spans="4:5" ht="14.25" customHeight="1" x14ac:dyDescent="0.25">
      <c r="D248" s="7"/>
      <c r="E248" s="8"/>
    </row>
    <row r="249" spans="4:5" ht="14.25" customHeight="1" x14ac:dyDescent="0.25">
      <c r="D249" s="7"/>
      <c r="E249" s="8"/>
    </row>
    <row r="250" spans="4:5" ht="14.25" customHeight="1" x14ac:dyDescent="0.25">
      <c r="D250" s="7"/>
      <c r="E250" s="8"/>
    </row>
    <row r="251" spans="4:5" ht="14.25" customHeight="1" x14ac:dyDescent="0.25">
      <c r="D251" s="7"/>
      <c r="E251" s="8"/>
    </row>
    <row r="252" spans="4:5" ht="14.25" customHeight="1" x14ac:dyDescent="0.25">
      <c r="D252" s="7"/>
      <c r="E252" s="8"/>
    </row>
    <row r="253" spans="4:5" ht="14.25" customHeight="1" x14ac:dyDescent="0.25">
      <c r="D253" s="7"/>
      <c r="E253" s="8"/>
    </row>
    <row r="254" spans="4:5" ht="14.25" customHeight="1" x14ac:dyDescent="0.25">
      <c r="D254" s="7"/>
      <c r="E254" s="8"/>
    </row>
    <row r="255" spans="4:5" ht="14.25" customHeight="1" x14ac:dyDescent="0.25">
      <c r="D255" s="7"/>
      <c r="E255" s="8"/>
    </row>
    <row r="256" spans="4:5" ht="14.25" customHeight="1" x14ac:dyDescent="0.25">
      <c r="D256" s="7"/>
      <c r="E256" s="8"/>
    </row>
    <row r="257" spans="4:5" ht="14.25" customHeight="1" x14ac:dyDescent="0.25">
      <c r="D257" s="7"/>
      <c r="E257" s="8"/>
    </row>
    <row r="258" spans="4:5" ht="14.25" customHeight="1" x14ac:dyDescent="0.25">
      <c r="D258" s="7"/>
      <c r="E258" s="8"/>
    </row>
    <row r="259" spans="4:5" ht="14.25" customHeight="1" x14ac:dyDescent="0.25">
      <c r="D259" s="7"/>
      <c r="E259" s="8"/>
    </row>
    <row r="260" spans="4:5" ht="14.25" customHeight="1" x14ac:dyDescent="0.25">
      <c r="D260" s="7"/>
      <c r="E260" s="8"/>
    </row>
    <row r="261" spans="4:5" ht="14.25" customHeight="1" x14ac:dyDescent="0.25">
      <c r="D261" s="7"/>
      <c r="E261" s="8"/>
    </row>
    <row r="262" spans="4:5" ht="14.25" customHeight="1" x14ac:dyDescent="0.25">
      <c r="D262" s="7"/>
      <c r="E262" s="8"/>
    </row>
    <row r="263" spans="4:5" ht="14.25" customHeight="1" x14ac:dyDescent="0.25">
      <c r="D263" s="7"/>
      <c r="E263" s="8"/>
    </row>
    <row r="264" spans="4:5" ht="14.25" customHeight="1" x14ac:dyDescent="0.25">
      <c r="D264" s="7"/>
      <c r="E264" s="8"/>
    </row>
    <row r="265" spans="4:5" ht="14.25" customHeight="1" x14ac:dyDescent="0.25">
      <c r="D265" s="7"/>
      <c r="E265" s="8"/>
    </row>
    <row r="266" spans="4:5" ht="14.25" customHeight="1" x14ac:dyDescent="0.25">
      <c r="D266" s="7"/>
      <c r="E266" s="8"/>
    </row>
    <row r="267" spans="4:5" ht="14.25" customHeight="1" x14ac:dyDescent="0.25">
      <c r="D267" s="7"/>
      <c r="E267" s="8"/>
    </row>
    <row r="268" spans="4:5" ht="14.25" customHeight="1" x14ac:dyDescent="0.25">
      <c r="D268" s="7"/>
      <c r="E268" s="8"/>
    </row>
    <row r="269" spans="4:5" ht="14.25" customHeight="1" x14ac:dyDescent="0.25">
      <c r="D269" s="7"/>
      <c r="E269" s="8"/>
    </row>
    <row r="270" spans="4:5" ht="14.25" customHeight="1" x14ac:dyDescent="0.25">
      <c r="D270" s="7"/>
      <c r="E270" s="8"/>
    </row>
    <row r="271" spans="4:5" ht="14.25" customHeight="1" x14ac:dyDescent="0.25">
      <c r="D271" s="7"/>
      <c r="E271" s="8"/>
    </row>
    <row r="272" spans="4:5" ht="14.25" customHeight="1" x14ac:dyDescent="0.25">
      <c r="D272" s="7"/>
      <c r="E272" s="8"/>
    </row>
    <row r="273" spans="4:5" ht="14.25" customHeight="1" x14ac:dyDescent="0.25">
      <c r="D273" s="7"/>
      <c r="E273" s="8"/>
    </row>
    <row r="274" spans="4:5" ht="14.25" customHeight="1" x14ac:dyDescent="0.25">
      <c r="D274" s="7"/>
      <c r="E274" s="8"/>
    </row>
    <row r="275" spans="4:5" ht="14.25" customHeight="1" x14ac:dyDescent="0.25">
      <c r="D275" s="7"/>
      <c r="E275" s="8"/>
    </row>
    <row r="276" spans="4:5" ht="14.25" customHeight="1" x14ac:dyDescent="0.25">
      <c r="D276" s="7"/>
      <c r="E276" s="8"/>
    </row>
    <row r="277" spans="4:5" ht="14.25" customHeight="1" x14ac:dyDescent="0.25">
      <c r="D277" s="7"/>
      <c r="E277" s="8"/>
    </row>
    <row r="278" spans="4:5" ht="14.25" customHeight="1" x14ac:dyDescent="0.25">
      <c r="D278" s="7"/>
      <c r="E278" s="8"/>
    </row>
    <row r="279" spans="4:5" ht="14.25" customHeight="1" x14ac:dyDescent="0.25">
      <c r="D279" s="7"/>
      <c r="E279" s="8"/>
    </row>
    <row r="280" spans="4:5" ht="14.25" customHeight="1" x14ac:dyDescent="0.25">
      <c r="D280" s="7"/>
      <c r="E280" s="8"/>
    </row>
    <row r="281" spans="4:5" ht="14.25" customHeight="1" x14ac:dyDescent="0.25">
      <c r="D281" s="7"/>
      <c r="E281" s="8"/>
    </row>
    <row r="282" spans="4:5" ht="14.25" customHeight="1" x14ac:dyDescent="0.25">
      <c r="D282" s="7"/>
      <c r="E282" s="8"/>
    </row>
    <row r="283" spans="4:5" ht="14.25" customHeight="1" x14ac:dyDescent="0.25">
      <c r="D283" s="7"/>
      <c r="E283" s="8"/>
    </row>
    <row r="284" spans="4:5" ht="14.25" customHeight="1" x14ac:dyDescent="0.25">
      <c r="D284" s="7"/>
      <c r="E284" s="8"/>
    </row>
    <row r="285" spans="4:5" ht="14.25" customHeight="1" x14ac:dyDescent="0.25">
      <c r="D285" s="7"/>
      <c r="E285" s="8"/>
    </row>
    <row r="286" spans="4:5" ht="14.25" customHeight="1" x14ac:dyDescent="0.25">
      <c r="D286" s="7"/>
      <c r="E286" s="8"/>
    </row>
    <row r="287" spans="4:5" ht="14.25" customHeight="1" x14ac:dyDescent="0.25">
      <c r="D287" s="7"/>
      <c r="E287" s="8"/>
    </row>
    <row r="288" spans="4:5" ht="14.25" customHeight="1" x14ac:dyDescent="0.25">
      <c r="D288" s="7"/>
      <c r="E288" s="8"/>
    </row>
    <row r="289" spans="4:5" ht="14.25" customHeight="1" x14ac:dyDescent="0.25">
      <c r="D289" s="7"/>
      <c r="E289" s="8"/>
    </row>
    <row r="290" spans="4:5" ht="14.25" customHeight="1" x14ac:dyDescent="0.25">
      <c r="D290" s="7"/>
      <c r="E290" s="8"/>
    </row>
    <row r="291" spans="4:5" ht="14.25" customHeight="1" x14ac:dyDescent="0.25">
      <c r="D291" s="7"/>
      <c r="E291" s="8"/>
    </row>
    <row r="292" spans="4:5" ht="14.25" customHeight="1" x14ac:dyDescent="0.25">
      <c r="D292" s="7"/>
      <c r="E292" s="8"/>
    </row>
    <row r="293" spans="4:5" ht="14.25" customHeight="1" x14ac:dyDescent="0.25">
      <c r="D293" s="7"/>
      <c r="E293" s="8"/>
    </row>
    <row r="294" spans="4:5" ht="14.25" customHeight="1" x14ac:dyDescent="0.25">
      <c r="D294" s="7"/>
      <c r="E294" s="8"/>
    </row>
    <row r="295" spans="4:5" ht="14.25" customHeight="1" x14ac:dyDescent="0.25">
      <c r="D295" s="7"/>
      <c r="E295" s="8"/>
    </row>
    <row r="296" spans="4:5" ht="14.25" customHeight="1" x14ac:dyDescent="0.25">
      <c r="D296" s="7"/>
      <c r="E296" s="8"/>
    </row>
    <row r="297" spans="4:5" ht="14.25" customHeight="1" x14ac:dyDescent="0.25">
      <c r="D297" s="7"/>
      <c r="E297" s="8"/>
    </row>
    <row r="298" spans="4:5" ht="14.25" customHeight="1" x14ac:dyDescent="0.25">
      <c r="D298" s="7"/>
      <c r="E298" s="8"/>
    </row>
    <row r="299" spans="4:5" ht="14.25" customHeight="1" x14ac:dyDescent="0.25">
      <c r="D299" s="7"/>
      <c r="E299" s="8"/>
    </row>
    <row r="300" spans="4:5" ht="14.25" customHeight="1" x14ac:dyDescent="0.25">
      <c r="D300" s="7"/>
      <c r="E300" s="8"/>
    </row>
    <row r="301" spans="4:5" ht="14.25" customHeight="1" x14ac:dyDescent="0.25">
      <c r="D301" s="7"/>
      <c r="E301" s="8"/>
    </row>
    <row r="302" spans="4:5" ht="14.25" customHeight="1" x14ac:dyDescent="0.25">
      <c r="D302" s="7"/>
      <c r="E302" s="8"/>
    </row>
    <row r="303" spans="4:5" ht="14.25" customHeight="1" x14ac:dyDescent="0.25">
      <c r="D303" s="7"/>
      <c r="E303" s="8"/>
    </row>
    <row r="304" spans="4:5" ht="14.25" customHeight="1" x14ac:dyDescent="0.25">
      <c r="D304" s="7"/>
      <c r="E304" s="8"/>
    </row>
    <row r="305" spans="4:5" ht="14.25" customHeight="1" x14ac:dyDescent="0.25">
      <c r="D305" s="7"/>
      <c r="E305" s="8"/>
    </row>
    <row r="306" spans="4:5" ht="14.25" customHeight="1" x14ac:dyDescent="0.25">
      <c r="D306" s="7"/>
      <c r="E306" s="8"/>
    </row>
    <row r="307" spans="4:5" ht="14.25" customHeight="1" x14ac:dyDescent="0.25">
      <c r="D307" s="7"/>
      <c r="E307" s="8"/>
    </row>
    <row r="308" spans="4:5" ht="14.25" customHeight="1" x14ac:dyDescent="0.25">
      <c r="D308" s="7"/>
      <c r="E308" s="8"/>
    </row>
    <row r="309" spans="4:5" ht="14.25" customHeight="1" x14ac:dyDescent="0.25">
      <c r="D309" s="7"/>
      <c r="E309" s="8"/>
    </row>
    <row r="310" spans="4:5" ht="14.25" customHeight="1" x14ac:dyDescent="0.25">
      <c r="D310" s="7"/>
      <c r="E310" s="8"/>
    </row>
    <row r="311" spans="4:5" ht="14.25" customHeight="1" x14ac:dyDescent="0.25">
      <c r="D311" s="7"/>
      <c r="E311" s="8"/>
    </row>
    <row r="312" spans="4:5" ht="14.25" customHeight="1" x14ac:dyDescent="0.25">
      <c r="D312" s="7"/>
      <c r="E312" s="8"/>
    </row>
    <row r="313" spans="4:5" ht="14.25" customHeight="1" x14ac:dyDescent="0.25">
      <c r="D313" s="7"/>
      <c r="E313" s="8"/>
    </row>
    <row r="314" spans="4:5" ht="14.25" customHeight="1" x14ac:dyDescent="0.25">
      <c r="D314" s="7"/>
      <c r="E314" s="8"/>
    </row>
    <row r="315" spans="4:5" ht="14.25" customHeight="1" x14ac:dyDescent="0.25">
      <c r="D315" s="7"/>
      <c r="E315" s="8"/>
    </row>
    <row r="316" spans="4:5" ht="14.25" customHeight="1" x14ac:dyDescent="0.25">
      <c r="D316" s="7"/>
      <c r="E316" s="8"/>
    </row>
    <row r="317" spans="4:5" ht="14.25" customHeight="1" x14ac:dyDescent="0.25">
      <c r="D317" s="7"/>
      <c r="E317" s="8"/>
    </row>
    <row r="318" spans="4:5" ht="14.25" customHeight="1" x14ac:dyDescent="0.25">
      <c r="D318" s="7"/>
      <c r="E318" s="8"/>
    </row>
    <row r="319" spans="4:5" ht="14.25" customHeight="1" x14ac:dyDescent="0.25">
      <c r="D319" s="7"/>
      <c r="E319" s="8"/>
    </row>
    <row r="320" spans="4:5" ht="14.25" customHeight="1" x14ac:dyDescent="0.25">
      <c r="D320" s="7"/>
      <c r="E320" s="8"/>
    </row>
    <row r="321" spans="4:5" ht="14.25" customHeight="1" x14ac:dyDescent="0.25">
      <c r="D321" s="7"/>
      <c r="E321" s="8"/>
    </row>
    <row r="322" spans="4:5" ht="14.25" customHeight="1" x14ac:dyDescent="0.25">
      <c r="D322" s="7"/>
      <c r="E322" s="8"/>
    </row>
    <row r="323" spans="4:5" ht="14.25" customHeight="1" x14ac:dyDescent="0.25">
      <c r="D323" s="7"/>
      <c r="E323" s="8"/>
    </row>
    <row r="324" spans="4:5" ht="14.25" customHeight="1" x14ac:dyDescent="0.25">
      <c r="D324" s="7"/>
      <c r="E324" s="8"/>
    </row>
    <row r="325" spans="4:5" ht="14.25" customHeight="1" x14ac:dyDescent="0.25">
      <c r="D325" s="7"/>
      <c r="E325" s="8"/>
    </row>
    <row r="326" spans="4:5" ht="14.25" customHeight="1" x14ac:dyDescent="0.25">
      <c r="D326" s="7"/>
      <c r="E326" s="8"/>
    </row>
    <row r="327" spans="4:5" ht="14.25" customHeight="1" x14ac:dyDescent="0.25">
      <c r="D327" s="7"/>
      <c r="E327" s="8"/>
    </row>
    <row r="328" spans="4:5" ht="14.25" customHeight="1" x14ac:dyDescent="0.25">
      <c r="D328" s="7"/>
      <c r="E328" s="8"/>
    </row>
    <row r="329" spans="4:5" ht="14.25" customHeight="1" x14ac:dyDescent="0.25">
      <c r="D329" s="7"/>
      <c r="E329" s="8"/>
    </row>
    <row r="330" spans="4:5" ht="14.25" customHeight="1" x14ac:dyDescent="0.25">
      <c r="D330" s="7"/>
      <c r="E330" s="8"/>
    </row>
    <row r="331" spans="4:5" ht="14.25" customHeight="1" x14ac:dyDescent="0.25">
      <c r="D331" s="7"/>
      <c r="E331" s="8"/>
    </row>
    <row r="332" spans="4:5" ht="14.25" customHeight="1" x14ac:dyDescent="0.25">
      <c r="D332" s="7"/>
      <c r="E332" s="8"/>
    </row>
    <row r="333" spans="4:5" ht="14.25" customHeight="1" x14ac:dyDescent="0.25">
      <c r="D333" s="7"/>
      <c r="E333" s="8"/>
    </row>
    <row r="334" spans="4:5" ht="14.25" customHeight="1" x14ac:dyDescent="0.25">
      <c r="D334" s="7"/>
      <c r="E334" s="8"/>
    </row>
    <row r="335" spans="4:5" ht="14.25" customHeight="1" x14ac:dyDescent="0.25">
      <c r="D335" s="7"/>
      <c r="E335" s="8"/>
    </row>
    <row r="336" spans="4:5" ht="14.25" customHeight="1" x14ac:dyDescent="0.25">
      <c r="D336" s="7"/>
      <c r="E336" s="8"/>
    </row>
    <row r="337" spans="4:5" ht="14.25" customHeight="1" x14ac:dyDescent="0.25">
      <c r="D337" s="7"/>
      <c r="E337" s="8"/>
    </row>
    <row r="338" spans="4:5" ht="14.25" customHeight="1" x14ac:dyDescent="0.25">
      <c r="D338" s="7"/>
      <c r="E338" s="8"/>
    </row>
    <row r="339" spans="4:5" ht="14.25" customHeight="1" x14ac:dyDescent="0.25">
      <c r="D339" s="7"/>
      <c r="E339" s="8"/>
    </row>
    <row r="340" spans="4:5" ht="14.25" customHeight="1" x14ac:dyDescent="0.25">
      <c r="D340" s="7"/>
      <c r="E340" s="8"/>
    </row>
    <row r="341" spans="4:5" ht="14.25" customHeight="1" x14ac:dyDescent="0.25">
      <c r="D341" s="7"/>
      <c r="E341" s="8"/>
    </row>
    <row r="342" spans="4:5" ht="14.25" customHeight="1" x14ac:dyDescent="0.25">
      <c r="D342" s="7"/>
      <c r="E342" s="8"/>
    </row>
    <row r="343" spans="4:5" ht="14.25" customHeight="1" x14ac:dyDescent="0.25">
      <c r="D343" s="7"/>
      <c r="E343" s="8"/>
    </row>
    <row r="344" spans="4:5" ht="14.25" customHeight="1" x14ac:dyDescent="0.25">
      <c r="D344" s="7"/>
      <c r="E344" s="8"/>
    </row>
    <row r="345" spans="4:5" ht="14.25" customHeight="1" x14ac:dyDescent="0.25">
      <c r="D345" s="7"/>
      <c r="E345" s="8"/>
    </row>
    <row r="346" spans="4:5" ht="14.25" customHeight="1" x14ac:dyDescent="0.25">
      <c r="D346" s="7"/>
      <c r="E346" s="8"/>
    </row>
    <row r="347" spans="4:5" ht="14.25" customHeight="1" x14ac:dyDescent="0.25">
      <c r="D347" s="7"/>
      <c r="E347" s="8"/>
    </row>
    <row r="348" spans="4:5" ht="14.25" customHeight="1" x14ac:dyDescent="0.25">
      <c r="D348" s="7"/>
      <c r="E348" s="8"/>
    </row>
    <row r="349" spans="4:5" ht="14.25" customHeight="1" x14ac:dyDescent="0.25">
      <c r="D349" s="7"/>
      <c r="E349" s="8"/>
    </row>
    <row r="350" spans="4:5" ht="14.25" customHeight="1" x14ac:dyDescent="0.25">
      <c r="D350" s="7"/>
      <c r="E350" s="8"/>
    </row>
    <row r="351" spans="4:5" ht="14.25" customHeight="1" x14ac:dyDescent="0.25">
      <c r="D351" s="7"/>
      <c r="E351" s="8"/>
    </row>
    <row r="352" spans="4:5" ht="14.25" customHeight="1" x14ac:dyDescent="0.25">
      <c r="D352" s="7"/>
      <c r="E352" s="8"/>
    </row>
    <row r="353" spans="4:5" ht="14.25" customHeight="1" x14ac:dyDescent="0.25">
      <c r="D353" s="7"/>
      <c r="E353" s="8"/>
    </row>
    <row r="354" spans="4:5" ht="14.25" customHeight="1" x14ac:dyDescent="0.25">
      <c r="D354" s="7"/>
      <c r="E354" s="8"/>
    </row>
    <row r="355" spans="4:5" ht="14.25" customHeight="1" x14ac:dyDescent="0.25">
      <c r="D355" s="7"/>
      <c r="E355" s="8"/>
    </row>
    <row r="356" spans="4:5" ht="14.25" customHeight="1" x14ac:dyDescent="0.25">
      <c r="D356" s="7"/>
      <c r="E356" s="8"/>
    </row>
    <row r="357" spans="4:5" ht="14.25" customHeight="1" x14ac:dyDescent="0.25">
      <c r="D357" s="7"/>
      <c r="E357" s="8"/>
    </row>
    <row r="358" spans="4:5" ht="14.25" customHeight="1" x14ac:dyDescent="0.25">
      <c r="D358" s="7"/>
      <c r="E358" s="8"/>
    </row>
    <row r="359" spans="4:5" ht="14.25" customHeight="1" x14ac:dyDescent="0.25">
      <c r="D359" s="7"/>
      <c r="E359" s="8"/>
    </row>
    <row r="360" spans="4:5" ht="14.25" customHeight="1" x14ac:dyDescent="0.25">
      <c r="D360" s="7"/>
      <c r="E360" s="8"/>
    </row>
    <row r="361" spans="4:5" ht="14.25" customHeight="1" x14ac:dyDescent="0.25">
      <c r="D361" s="7"/>
      <c r="E361" s="8"/>
    </row>
    <row r="362" spans="4:5" ht="14.25" customHeight="1" x14ac:dyDescent="0.25">
      <c r="D362" s="7"/>
      <c r="E362" s="8"/>
    </row>
    <row r="363" spans="4:5" ht="14.25" customHeight="1" x14ac:dyDescent="0.25">
      <c r="D363" s="7"/>
      <c r="E363" s="8"/>
    </row>
    <row r="364" spans="4:5" ht="14.25" customHeight="1" x14ac:dyDescent="0.25">
      <c r="D364" s="7"/>
      <c r="E364" s="8"/>
    </row>
    <row r="365" spans="4:5" ht="14.25" customHeight="1" x14ac:dyDescent="0.25">
      <c r="D365" s="7"/>
      <c r="E365" s="8"/>
    </row>
    <row r="366" spans="4:5" ht="14.25" customHeight="1" x14ac:dyDescent="0.25">
      <c r="D366" s="7"/>
      <c r="E366" s="8"/>
    </row>
    <row r="367" spans="4:5" ht="14.25" customHeight="1" x14ac:dyDescent="0.25">
      <c r="D367" s="7"/>
      <c r="E367" s="8"/>
    </row>
    <row r="368" spans="4:5" ht="14.25" customHeight="1" x14ac:dyDescent="0.25">
      <c r="D368" s="7"/>
      <c r="E368" s="8"/>
    </row>
    <row r="369" spans="4:5" ht="14.25" customHeight="1" x14ac:dyDescent="0.25">
      <c r="D369" s="7"/>
      <c r="E369" s="8"/>
    </row>
    <row r="370" spans="4:5" ht="14.25" customHeight="1" x14ac:dyDescent="0.25">
      <c r="D370" s="7"/>
      <c r="E370" s="8"/>
    </row>
    <row r="371" spans="4:5" ht="14.25" customHeight="1" x14ac:dyDescent="0.25">
      <c r="D371" s="7"/>
      <c r="E371" s="8"/>
    </row>
    <row r="372" spans="4:5" ht="14.25" customHeight="1" x14ac:dyDescent="0.25">
      <c r="D372" s="7"/>
      <c r="E372" s="8"/>
    </row>
    <row r="373" spans="4:5" ht="14.25" customHeight="1" x14ac:dyDescent="0.25">
      <c r="D373" s="7"/>
      <c r="E373" s="8"/>
    </row>
    <row r="374" spans="4:5" ht="14.25" customHeight="1" x14ac:dyDescent="0.25">
      <c r="D374" s="7"/>
      <c r="E374" s="8"/>
    </row>
    <row r="375" spans="4:5" ht="14.25" customHeight="1" x14ac:dyDescent="0.25">
      <c r="D375" s="7"/>
      <c r="E375" s="8"/>
    </row>
    <row r="376" spans="4:5" ht="14.25" customHeight="1" x14ac:dyDescent="0.25">
      <c r="D376" s="7"/>
      <c r="E376" s="8"/>
    </row>
    <row r="377" spans="4:5" ht="14.25" customHeight="1" x14ac:dyDescent="0.25">
      <c r="D377" s="7"/>
      <c r="E377" s="8"/>
    </row>
    <row r="378" spans="4:5" ht="14.25" customHeight="1" x14ac:dyDescent="0.25">
      <c r="D378" s="7"/>
      <c r="E378" s="8"/>
    </row>
    <row r="379" spans="4:5" ht="14.25" customHeight="1" x14ac:dyDescent="0.25">
      <c r="D379" s="7"/>
      <c r="E379" s="8"/>
    </row>
    <row r="380" spans="4:5" ht="14.25" customHeight="1" x14ac:dyDescent="0.25">
      <c r="D380" s="7"/>
      <c r="E380" s="8"/>
    </row>
    <row r="381" spans="4:5" ht="14.25" customHeight="1" x14ac:dyDescent="0.25">
      <c r="D381" s="7"/>
      <c r="E381" s="8"/>
    </row>
    <row r="382" spans="4:5" ht="14.25" customHeight="1" x14ac:dyDescent="0.25">
      <c r="D382" s="7"/>
      <c r="E382" s="8"/>
    </row>
    <row r="383" spans="4:5" ht="14.25" customHeight="1" x14ac:dyDescent="0.25">
      <c r="D383" s="7"/>
      <c r="E383" s="8"/>
    </row>
    <row r="384" spans="4:5" ht="14.25" customHeight="1" x14ac:dyDescent="0.25">
      <c r="D384" s="7"/>
      <c r="E384" s="8"/>
    </row>
    <row r="385" spans="4:5" ht="14.25" customHeight="1" x14ac:dyDescent="0.25">
      <c r="D385" s="7"/>
      <c r="E385" s="8"/>
    </row>
    <row r="386" spans="4:5" ht="14.25" customHeight="1" x14ac:dyDescent="0.25">
      <c r="D386" s="7"/>
      <c r="E386" s="8"/>
    </row>
    <row r="387" spans="4:5" ht="14.25" customHeight="1" x14ac:dyDescent="0.25">
      <c r="D387" s="7"/>
      <c r="E387" s="8"/>
    </row>
    <row r="388" spans="4:5" ht="14.25" customHeight="1" x14ac:dyDescent="0.25">
      <c r="D388" s="7"/>
      <c r="E388" s="8"/>
    </row>
    <row r="389" spans="4:5" ht="14.25" customHeight="1" x14ac:dyDescent="0.25">
      <c r="D389" s="7"/>
      <c r="E389" s="8"/>
    </row>
    <row r="390" spans="4:5" ht="14.25" customHeight="1" x14ac:dyDescent="0.25">
      <c r="D390" s="7"/>
      <c r="E390" s="8"/>
    </row>
    <row r="391" spans="4:5" ht="14.25" customHeight="1" x14ac:dyDescent="0.25">
      <c r="D391" s="7"/>
      <c r="E391" s="8"/>
    </row>
    <row r="392" spans="4:5" ht="14.25" customHeight="1" x14ac:dyDescent="0.25">
      <c r="D392" s="7"/>
      <c r="E392" s="8"/>
    </row>
    <row r="393" spans="4:5" ht="14.25" customHeight="1" x14ac:dyDescent="0.25">
      <c r="D393" s="7"/>
      <c r="E393" s="8"/>
    </row>
    <row r="394" spans="4:5" ht="14.25" customHeight="1" x14ac:dyDescent="0.25">
      <c r="D394" s="7"/>
      <c r="E394" s="8"/>
    </row>
    <row r="395" spans="4:5" ht="14.25" customHeight="1" x14ac:dyDescent="0.25">
      <c r="D395" s="7"/>
      <c r="E395" s="8"/>
    </row>
    <row r="396" spans="4:5" ht="14.25" customHeight="1" x14ac:dyDescent="0.25">
      <c r="D396" s="7"/>
      <c r="E396" s="8"/>
    </row>
    <row r="397" spans="4:5" ht="14.25" customHeight="1" x14ac:dyDescent="0.25">
      <c r="D397" s="7"/>
      <c r="E397" s="8"/>
    </row>
    <row r="398" spans="4:5" ht="14.25" customHeight="1" x14ac:dyDescent="0.25">
      <c r="D398" s="7"/>
      <c r="E398" s="8"/>
    </row>
    <row r="399" spans="4:5" ht="14.25" customHeight="1" x14ac:dyDescent="0.25">
      <c r="D399" s="7"/>
      <c r="E399" s="8"/>
    </row>
    <row r="400" spans="4:5" ht="14.25" customHeight="1" x14ac:dyDescent="0.25">
      <c r="D400" s="7"/>
      <c r="E400" s="8"/>
    </row>
    <row r="401" spans="4:5" ht="14.25" customHeight="1" x14ac:dyDescent="0.25">
      <c r="D401" s="7"/>
      <c r="E401" s="8"/>
    </row>
    <row r="402" spans="4:5" ht="14.25" customHeight="1" x14ac:dyDescent="0.25">
      <c r="D402" s="7"/>
      <c r="E402" s="8"/>
    </row>
    <row r="403" spans="4:5" ht="14.25" customHeight="1" x14ac:dyDescent="0.25">
      <c r="D403" s="7"/>
      <c r="E403" s="8"/>
    </row>
    <row r="404" spans="4:5" ht="14.25" customHeight="1" x14ac:dyDescent="0.25">
      <c r="D404" s="7"/>
      <c r="E404" s="8"/>
    </row>
    <row r="405" spans="4:5" ht="14.25" customHeight="1" x14ac:dyDescent="0.25">
      <c r="D405" s="7"/>
      <c r="E405" s="8"/>
    </row>
    <row r="406" spans="4:5" ht="14.25" customHeight="1" x14ac:dyDescent="0.25">
      <c r="D406" s="7"/>
      <c r="E406" s="8"/>
    </row>
    <row r="407" spans="4:5" ht="14.25" customHeight="1" x14ac:dyDescent="0.25">
      <c r="D407" s="7"/>
      <c r="E407" s="8"/>
    </row>
    <row r="408" spans="4:5" ht="14.25" customHeight="1" x14ac:dyDescent="0.25">
      <c r="D408" s="7"/>
      <c r="E408" s="8"/>
    </row>
    <row r="409" spans="4:5" ht="14.25" customHeight="1" x14ac:dyDescent="0.25">
      <c r="D409" s="7"/>
      <c r="E409" s="8"/>
    </row>
    <row r="410" spans="4:5" ht="14.25" customHeight="1" x14ac:dyDescent="0.25">
      <c r="D410" s="7"/>
      <c r="E410" s="8"/>
    </row>
    <row r="411" spans="4:5" ht="14.25" customHeight="1" x14ac:dyDescent="0.25">
      <c r="D411" s="7"/>
      <c r="E411" s="8"/>
    </row>
    <row r="412" spans="4:5" ht="14.25" customHeight="1" x14ac:dyDescent="0.25">
      <c r="D412" s="7"/>
      <c r="E412" s="8"/>
    </row>
    <row r="413" spans="4:5" ht="14.25" customHeight="1" x14ac:dyDescent="0.25">
      <c r="D413" s="7"/>
      <c r="E413" s="8"/>
    </row>
    <row r="414" spans="4:5" ht="14.25" customHeight="1" x14ac:dyDescent="0.25">
      <c r="D414" s="7"/>
      <c r="E414" s="8"/>
    </row>
    <row r="415" spans="4:5" ht="14.25" customHeight="1" x14ac:dyDescent="0.25">
      <c r="D415" s="7"/>
      <c r="E415" s="8"/>
    </row>
    <row r="416" spans="4:5" ht="14.25" customHeight="1" x14ac:dyDescent="0.25">
      <c r="D416" s="7"/>
      <c r="E416" s="8"/>
    </row>
    <row r="417" spans="4:5" ht="14.25" customHeight="1" x14ac:dyDescent="0.25">
      <c r="D417" s="7"/>
      <c r="E417" s="8"/>
    </row>
    <row r="418" spans="4:5" ht="14.25" customHeight="1" x14ac:dyDescent="0.25">
      <c r="D418" s="7"/>
      <c r="E418" s="8"/>
    </row>
    <row r="419" spans="4:5" ht="14.25" customHeight="1" x14ac:dyDescent="0.25">
      <c r="D419" s="7"/>
      <c r="E419" s="8"/>
    </row>
    <row r="420" spans="4:5" ht="14.25" customHeight="1" x14ac:dyDescent="0.25">
      <c r="D420" s="7"/>
      <c r="E420" s="8"/>
    </row>
    <row r="421" spans="4:5" ht="14.25" customHeight="1" x14ac:dyDescent="0.25">
      <c r="D421" s="7"/>
      <c r="E421" s="8"/>
    </row>
    <row r="422" spans="4:5" ht="14.25" customHeight="1" x14ac:dyDescent="0.25">
      <c r="D422" s="7"/>
      <c r="E422" s="8"/>
    </row>
    <row r="423" spans="4:5" ht="14.25" customHeight="1" x14ac:dyDescent="0.25">
      <c r="D423" s="7"/>
      <c r="E423" s="8"/>
    </row>
    <row r="424" spans="4:5" ht="14.25" customHeight="1" x14ac:dyDescent="0.25">
      <c r="D424" s="7"/>
      <c r="E424" s="8"/>
    </row>
    <row r="425" spans="4:5" ht="14.25" customHeight="1" x14ac:dyDescent="0.25">
      <c r="D425" s="7"/>
      <c r="E425" s="8"/>
    </row>
    <row r="426" spans="4:5" ht="14.25" customHeight="1" x14ac:dyDescent="0.25">
      <c r="D426" s="7"/>
      <c r="E426" s="8"/>
    </row>
    <row r="427" spans="4:5" ht="14.25" customHeight="1" x14ac:dyDescent="0.25">
      <c r="D427" s="7"/>
      <c r="E427" s="8"/>
    </row>
    <row r="428" spans="4:5" ht="14.25" customHeight="1" x14ac:dyDescent="0.25">
      <c r="D428" s="7"/>
      <c r="E428" s="8"/>
    </row>
    <row r="429" spans="4:5" ht="14.25" customHeight="1" x14ac:dyDescent="0.25">
      <c r="D429" s="7"/>
      <c r="E429" s="8"/>
    </row>
    <row r="430" spans="4:5" ht="14.25" customHeight="1" x14ac:dyDescent="0.25">
      <c r="D430" s="7"/>
      <c r="E430" s="8"/>
    </row>
    <row r="431" spans="4:5" ht="14.25" customHeight="1" x14ac:dyDescent="0.25">
      <c r="D431" s="7"/>
      <c r="E431" s="8"/>
    </row>
    <row r="432" spans="4:5" ht="14.25" customHeight="1" x14ac:dyDescent="0.25">
      <c r="D432" s="7"/>
      <c r="E432" s="8"/>
    </row>
    <row r="433" spans="4:5" ht="14.25" customHeight="1" x14ac:dyDescent="0.25">
      <c r="D433" s="7"/>
      <c r="E433" s="8"/>
    </row>
    <row r="434" spans="4:5" ht="14.25" customHeight="1" x14ac:dyDescent="0.25">
      <c r="D434" s="7"/>
      <c r="E434" s="8"/>
    </row>
    <row r="435" spans="4:5" ht="14.25" customHeight="1" x14ac:dyDescent="0.25">
      <c r="D435" s="7"/>
      <c r="E435" s="8"/>
    </row>
    <row r="436" spans="4:5" ht="14.25" customHeight="1" x14ac:dyDescent="0.25">
      <c r="D436" s="7"/>
      <c r="E436" s="8"/>
    </row>
    <row r="437" spans="4:5" ht="14.25" customHeight="1" x14ac:dyDescent="0.25">
      <c r="D437" s="7"/>
      <c r="E437" s="8"/>
    </row>
    <row r="438" spans="4:5" ht="14.25" customHeight="1" x14ac:dyDescent="0.25">
      <c r="D438" s="7"/>
      <c r="E438" s="8"/>
    </row>
    <row r="439" spans="4:5" ht="14.25" customHeight="1" x14ac:dyDescent="0.25">
      <c r="D439" s="7"/>
      <c r="E439" s="8"/>
    </row>
    <row r="440" spans="4:5" ht="14.25" customHeight="1" x14ac:dyDescent="0.25">
      <c r="D440" s="7"/>
      <c r="E440" s="8"/>
    </row>
    <row r="441" spans="4:5" ht="14.25" customHeight="1" x14ac:dyDescent="0.25">
      <c r="D441" s="7"/>
      <c r="E441" s="8"/>
    </row>
    <row r="442" spans="4:5" ht="14.25" customHeight="1" x14ac:dyDescent="0.25">
      <c r="D442" s="7"/>
      <c r="E442" s="8"/>
    </row>
    <row r="443" spans="4:5" ht="14.25" customHeight="1" x14ac:dyDescent="0.25">
      <c r="D443" s="7"/>
      <c r="E443" s="8"/>
    </row>
    <row r="444" spans="4:5" ht="14.25" customHeight="1" x14ac:dyDescent="0.25">
      <c r="D444" s="7"/>
      <c r="E444" s="8"/>
    </row>
    <row r="445" spans="4:5" ht="14.25" customHeight="1" x14ac:dyDescent="0.25">
      <c r="D445" s="7"/>
      <c r="E445" s="8"/>
    </row>
    <row r="446" spans="4:5" ht="14.25" customHeight="1" x14ac:dyDescent="0.25">
      <c r="D446" s="7"/>
      <c r="E446" s="8"/>
    </row>
    <row r="447" spans="4:5" ht="14.25" customHeight="1" x14ac:dyDescent="0.25">
      <c r="D447" s="7"/>
      <c r="E447" s="8"/>
    </row>
    <row r="448" spans="4:5" ht="14.25" customHeight="1" x14ac:dyDescent="0.25">
      <c r="D448" s="7"/>
      <c r="E448" s="8"/>
    </row>
    <row r="449" spans="4:5" ht="14.25" customHeight="1" x14ac:dyDescent="0.25">
      <c r="D449" s="7"/>
      <c r="E449" s="8"/>
    </row>
    <row r="450" spans="4:5" ht="14.25" customHeight="1" x14ac:dyDescent="0.25">
      <c r="D450" s="7"/>
      <c r="E450" s="8"/>
    </row>
    <row r="451" spans="4:5" ht="14.25" customHeight="1" x14ac:dyDescent="0.25">
      <c r="D451" s="7"/>
      <c r="E451" s="8"/>
    </row>
    <row r="452" spans="4:5" ht="14.25" customHeight="1" x14ac:dyDescent="0.25">
      <c r="D452" s="7"/>
      <c r="E452" s="8"/>
    </row>
    <row r="453" spans="4:5" ht="14.25" customHeight="1" x14ac:dyDescent="0.25">
      <c r="D453" s="7"/>
      <c r="E453" s="8"/>
    </row>
    <row r="454" spans="4:5" ht="14.25" customHeight="1" x14ac:dyDescent="0.25">
      <c r="D454" s="7"/>
      <c r="E454" s="8"/>
    </row>
    <row r="455" spans="4:5" ht="14.25" customHeight="1" x14ac:dyDescent="0.25">
      <c r="D455" s="7"/>
      <c r="E455" s="8"/>
    </row>
    <row r="456" spans="4:5" ht="14.25" customHeight="1" x14ac:dyDescent="0.25">
      <c r="D456" s="7"/>
      <c r="E456" s="8"/>
    </row>
    <row r="457" spans="4:5" ht="14.25" customHeight="1" x14ac:dyDescent="0.25">
      <c r="D457" s="7"/>
      <c r="E457" s="8"/>
    </row>
    <row r="458" spans="4:5" ht="14.25" customHeight="1" x14ac:dyDescent="0.25">
      <c r="D458" s="7"/>
      <c r="E458" s="8"/>
    </row>
    <row r="459" spans="4:5" ht="14.25" customHeight="1" x14ac:dyDescent="0.25">
      <c r="D459" s="7"/>
      <c r="E459" s="8"/>
    </row>
    <row r="460" spans="4:5" ht="14.25" customHeight="1" x14ac:dyDescent="0.25">
      <c r="D460" s="7"/>
      <c r="E460" s="8"/>
    </row>
    <row r="461" spans="4:5" ht="14.25" customHeight="1" x14ac:dyDescent="0.25">
      <c r="D461" s="7"/>
      <c r="E461" s="8"/>
    </row>
    <row r="462" spans="4:5" ht="14.25" customHeight="1" x14ac:dyDescent="0.25">
      <c r="D462" s="7"/>
      <c r="E462" s="8"/>
    </row>
    <row r="463" spans="4:5" ht="14.25" customHeight="1" x14ac:dyDescent="0.25">
      <c r="D463" s="7"/>
      <c r="E463" s="8"/>
    </row>
    <row r="464" spans="4:5" ht="14.25" customHeight="1" x14ac:dyDescent="0.25">
      <c r="D464" s="7"/>
      <c r="E464" s="8"/>
    </row>
    <row r="465" spans="4:5" ht="14.25" customHeight="1" x14ac:dyDescent="0.25">
      <c r="D465" s="7"/>
      <c r="E465" s="8"/>
    </row>
    <row r="466" spans="4:5" ht="14.25" customHeight="1" x14ac:dyDescent="0.25">
      <c r="D466" s="7"/>
      <c r="E466" s="8"/>
    </row>
    <row r="467" spans="4:5" ht="14.25" customHeight="1" x14ac:dyDescent="0.25">
      <c r="D467" s="7"/>
      <c r="E467" s="8"/>
    </row>
    <row r="468" spans="4:5" ht="14.25" customHeight="1" x14ac:dyDescent="0.25">
      <c r="D468" s="7"/>
      <c r="E468" s="8"/>
    </row>
    <row r="469" spans="4:5" ht="14.25" customHeight="1" x14ac:dyDescent="0.25">
      <c r="D469" s="7"/>
      <c r="E469" s="8"/>
    </row>
    <row r="470" spans="4:5" ht="14.25" customHeight="1" x14ac:dyDescent="0.25">
      <c r="D470" s="7"/>
      <c r="E470" s="8"/>
    </row>
    <row r="471" spans="4:5" ht="14.25" customHeight="1" x14ac:dyDescent="0.25">
      <c r="D471" s="7"/>
      <c r="E471" s="8"/>
    </row>
    <row r="472" spans="4:5" ht="14.25" customHeight="1" x14ac:dyDescent="0.25">
      <c r="D472" s="7"/>
      <c r="E472" s="8"/>
    </row>
    <row r="473" spans="4:5" ht="14.25" customHeight="1" x14ac:dyDescent="0.25">
      <c r="D473" s="7"/>
      <c r="E473" s="8"/>
    </row>
    <row r="474" spans="4:5" ht="14.25" customHeight="1" x14ac:dyDescent="0.25">
      <c r="D474" s="7"/>
      <c r="E474" s="8"/>
    </row>
    <row r="475" spans="4:5" ht="14.25" customHeight="1" x14ac:dyDescent="0.25">
      <c r="D475" s="7"/>
      <c r="E475" s="8"/>
    </row>
    <row r="476" spans="4:5" ht="14.25" customHeight="1" x14ac:dyDescent="0.25">
      <c r="D476" s="7"/>
      <c r="E476" s="8"/>
    </row>
    <row r="477" spans="4:5" ht="14.25" customHeight="1" x14ac:dyDescent="0.25">
      <c r="D477" s="7"/>
      <c r="E477" s="8"/>
    </row>
    <row r="478" spans="4:5" ht="14.25" customHeight="1" x14ac:dyDescent="0.25">
      <c r="D478" s="7"/>
      <c r="E478" s="8"/>
    </row>
    <row r="479" spans="4:5" ht="14.25" customHeight="1" x14ac:dyDescent="0.25">
      <c r="D479" s="7"/>
      <c r="E479" s="8"/>
    </row>
    <row r="480" spans="4:5" ht="14.25" customHeight="1" x14ac:dyDescent="0.25">
      <c r="D480" s="7"/>
      <c r="E480" s="8"/>
    </row>
    <row r="481" spans="4:5" ht="14.25" customHeight="1" x14ac:dyDescent="0.25">
      <c r="D481" s="7"/>
      <c r="E481" s="8"/>
    </row>
    <row r="482" spans="4:5" ht="14.25" customHeight="1" x14ac:dyDescent="0.25">
      <c r="D482" s="7"/>
      <c r="E482" s="8"/>
    </row>
    <row r="483" spans="4:5" ht="14.25" customHeight="1" x14ac:dyDescent="0.25">
      <c r="D483" s="7"/>
      <c r="E483" s="8"/>
    </row>
    <row r="484" spans="4:5" ht="14.25" customHeight="1" x14ac:dyDescent="0.25">
      <c r="D484" s="7"/>
      <c r="E484" s="8"/>
    </row>
    <row r="485" spans="4:5" ht="14.25" customHeight="1" x14ac:dyDescent="0.25">
      <c r="D485" s="7"/>
      <c r="E485" s="8"/>
    </row>
    <row r="486" spans="4:5" ht="14.25" customHeight="1" x14ac:dyDescent="0.25">
      <c r="D486" s="7"/>
      <c r="E486" s="8"/>
    </row>
    <row r="487" spans="4:5" ht="14.25" customHeight="1" x14ac:dyDescent="0.25">
      <c r="D487" s="7"/>
      <c r="E487" s="8"/>
    </row>
    <row r="488" spans="4:5" ht="14.25" customHeight="1" x14ac:dyDescent="0.25">
      <c r="D488" s="7"/>
      <c r="E488" s="8"/>
    </row>
    <row r="489" spans="4:5" ht="14.25" customHeight="1" x14ac:dyDescent="0.25">
      <c r="D489" s="7"/>
      <c r="E489" s="8"/>
    </row>
    <row r="490" spans="4:5" ht="14.25" customHeight="1" x14ac:dyDescent="0.25">
      <c r="D490" s="7"/>
      <c r="E490" s="8"/>
    </row>
    <row r="491" spans="4:5" ht="14.25" customHeight="1" x14ac:dyDescent="0.25">
      <c r="D491" s="7"/>
      <c r="E491" s="8"/>
    </row>
    <row r="492" spans="4:5" ht="14.25" customHeight="1" x14ac:dyDescent="0.25">
      <c r="D492" s="7"/>
      <c r="E492" s="8"/>
    </row>
    <row r="493" spans="4:5" ht="14.25" customHeight="1" x14ac:dyDescent="0.25">
      <c r="D493" s="7"/>
      <c r="E493" s="8"/>
    </row>
    <row r="494" spans="4:5" ht="14.25" customHeight="1" x14ac:dyDescent="0.25">
      <c r="D494" s="7"/>
      <c r="E494" s="8"/>
    </row>
    <row r="495" spans="4:5" ht="14.25" customHeight="1" x14ac:dyDescent="0.25">
      <c r="D495" s="7"/>
      <c r="E495" s="8"/>
    </row>
    <row r="496" spans="4:5" ht="14.25" customHeight="1" x14ac:dyDescent="0.25">
      <c r="D496" s="7"/>
      <c r="E496" s="8"/>
    </row>
    <row r="497" spans="4:5" ht="14.25" customHeight="1" x14ac:dyDescent="0.25">
      <c r="D497" s="7"/>
      <c r="E497" s="8"/>
    </row>
    <row r="498" spans="4:5" ht="14.25" customHeight="1" x14ac:dyDescent="0.25">
      <c r="D498" s="7"/>
      <c r="E498" s="8"/>
    </row>
    <row r="499" spans="4:5" ht="14.25" customHeight="1" x14ac:dyDescent="0.25">
      <c r="D499" s="7"/>
      <c r="E499" s="8"/>
    </row>
    <row r="500" spans="4:5" ht="14.25" customHeight="1" x14ac:dyDescent="0.25">
      <c r="D500" s="7"/>
      <c r="E500" s="8"/>
    </row>
    <row r="501" spans="4:5" ht="14.25" customHeight="1" x14ac:dyDescent="0.25">
      <c r="D501" s="7"/>
      <c r="E501" s="8"/>
    </row>
    <row r="502" spans="4:5" ht="14.25" customHeight="1" x14ac:dyDescent="0.25">
      <c r="D502" s="7"/>
      <c r="E502" s="8"/>
    </row>
    <row r="503" spans="4:5" ht="14.25" customHeight="1" x14ac:dyDescent="0.25">
      <c r="D503" s="7"/>
      <c r="E503" s="8"/>
    </row>
    <row r="504" spans="4:5" ht="14.25" customHeight="1" x14ac:dyDescent="0.25">
      <c r="D504" s="7"/>
      <c r="E504" s="8"/>
    </row>
    <row r="505" spans="4:5" ht="14.25" customHeight="1" x14ac:dyDescent="0.25">
      <c r="D505" s="7"/>
      <c r="E505" s="8"/>
    </row>
    <row r="506" spans="4:5" ht="14.25" customHeight="1" x14ac:dyDescent="0.25">
      <c r="D506" s="7"/>
      <c r="E506" s="8"/>
    </row>
    <row r="507" spans="4:5" ht="14.25" customHeight="1" x14ac:dyDescent="0.25">
      <c r="D507" s="7"/>
      <c r="E507" s="8"/>
    </row>
    <row r="508" spans="4:5" ht="14.25" customHeight="1" x14ac:dyDescent="0.25">
      <c r="D508" s="7"/>
      <c r="E508" s="8"/>
    </row>
    <row r="509" spans="4:5" ht="14.25" customHeight="1" x14ac:dyDescent="0.25">
      <c r="D509" s="7"/>
      <c r="E509" s="8"/>
    </row>
    <row r="510" spans="4:5" ht="14.25" customHeight="1" x14ac:dyDescent="0.25">
      <c r="D510" s="7"/>
      <c r="E510" s="8"/>
    </row>
    <row r="511" spans="4:5" ht="14.25" customHeight="1" x14ac:dyDescent="0.25">
      <c r="D511" s="7"/>
      <c r="E511" s="8"/>
    </row>
    <row r="512" spans="4:5" ht="14.25" customHeight="1" x14ac:dyDescent="0.25">
      <c r="D512" s="7"/>
      <c r="E512" s="8"/>
    </row>
    <row r="513" spans="4:5" ht="14.25" customHeight="1" x14ac:dyDescent="0.25">
      <c r="D513" s="7"/>
      <c r="E513" s="8"/>
    </row>
    <row r="514" spans="4:5" ht="14.25" customHeight="1" x14ac:dyDescent="0.25">
      <c r="D514" s="7"/>
      <c r="E514" s="8"/>
    </row>
    <row r="515" spans="4:5" ht="14.25" customHeight="1" x14ac:dyDescent="0.25">
      <c r="D515" s="7"/>
      <c r="E515" s="8"/>
    </row>
    <row r="516" spans="4:5" ht="14.25" customHeight="1" x14ac:dyDescent="0.25">
      <c r="D516" s="7"/>
      <c r="E516" s="8"/>
    </row>
    <row r="517" spans="4:5" ht="14.25" customHeight="1" x14ac:dyDescent="0.25">
      <c r="D517" s="7"/>
      <c r="E517" s="8"/>
    </row>
    <row r="518" spans="4:5" ht="14.25" customHeight="1" x14ac:dyDescent="0.25">
      <c r="D518" s="7"/>
      <c r="E518" s="8"/>
    </row>
    <row r="519" spans="4:5" ht="14.25" customHeight="1" x14ac:dyDescent="0.25">
      <c r="D519" s="7"/>
      <c r="E519" s="8"/>
    </row>
    <row r="520" spans="4:5" ht="14.25" customHeight="1" x14ac:dyDescent="0.25">
      <c r="D520" s="7"/>
      <c r="E520" s="8"/>
    </row>
    <row r="521" spans="4:5" ht="14.25" customHeight="1" x14ac:dyDescent="0.25">
      <c r="D521" s="7"/>
      <c r="E521" s="8"/>
    </row>
    <row r="522" spans="4:5" ht="14.25" customHeight="1" x14ac:dyDescent="0.25">
      <c r="D522" s="7"/>
      <c r="E522" s="8"/>
    </row>
    <row r="523" spans="4:5" ht="14.25" customHeight="1" x14ac:dyDescent="0.25">
      <c r="D523" s="7"/>
      <c r="E523" s="8"/>
    </row>
    <row r="524" spans="4:5" ht="14.25" customHeight="1" x14ac:dyDescent="0.25">
      <c r="D524" s="7"/>
      <c r="E524" s="8"/>
    </row>
    <row r="525" spans="4:5" ht="14.25" customHeight="1" x14ac:dyDescent="0.25">
      <c r="D525" s="7"/>
      <c r="E525" s="8"/>
    </row>
    <row r="526" spans="4:5" ht="14.25" customHeight="1" x14ac:dyDescent="0.25">
      <c r="D526" s="7"/>
      <c r="E526" s="8"/>
    </row>
    <row r="527" spans="4:5" ht="14.25" customHeight="1" x14ac:dyDescent="0.25">
      <c r="D527" s="7"/>
      <c r="E527" s="8"/>
    </row>
    <row r="528" spans="4:5" ht="14.25" customHeight="1" x14ac:dyDescent="0.25">
      <c r="D528" s="7"/>
      <c r="E528" s="8"/>
    </row>
    <row r="529" spans="4:5" ht="14.25" customHeight="1" x14ac:dyDescent="0.25">
      <c r="D529" s="7"/>
      <c r="E529" s="8"/>
    </row>
    <row r="530" spans="4:5" ht="14.25" customHeight="1" x14ac:dyDescent="0.25">
      <c r="D530" s="7"/>
      <c r="E530" s="8"/>
    </row>
    <row r="531" spans="4:5" ht="14.25" customHeight="1" x14ac:dyDescent="0.25">
      <c r="D531" s="7"/>
      <c r="E531" s="8"/>
    </row>
    <row r="532" spans="4:5" ht="14.25" customHeight="1" x14ac:dyDescent="0.25">
      <c r="D532" s="7"/>
      <c r="E532" s="8"/>
    </row>
    <row r="533" spans="4:5" ht="14.25" customHeight="1" x14ac:dyDescent="0.25">
      <c r="D533" s="7"/>
      <c r="E533" s="8"/>
    </row>
    <row r="534" spans="4:5" ht="14.25" customHeight="1" x14ac:dyDescent="0.25">
      <c r="D534" s="7"/>
      <c r="E534" s="8"/>
    </row>
    <row r="535" spans="4:5" ht="14.25" customHeight="1" x14ac:dyDescent="0.25">
      <c r="D535" s="7"/>
      <c r="E535" s="8"/>
    </row>
    <row r="536" spans="4:5" ht="14.25" customHeight="1" x14ac:dyDescent="0.25">
      <c r="D536" s="7"/>
      <c r="E536" s="8"/>
    </row>
    <row r="537" spans="4:5" ht="14.25" customHeight="1" x14ac:dyDescent="0.25">
      <c r="D537" s="7"/>
      <c r="E537" s="8"/>
    </row>
    <row r="538" spans="4:5" ht="14.25" customHeight="1" x14ac:dyDescent="0.25">
      <c r="D538" s="7"/>
      <c r="E538" s="8"/>
    </row>
    <row r="539" spans="4:5" ht="14.25" customHeight="1" x14ac:dyDescent="0.25">
      <c r="D539" s="7"/>
      <c r="E539" s="8"/>
    </row>
    <row r="540" spans="4:5" ht="14.25" customHeight="1" x14ac:dyDescent="0.25">
      <c r="D540" s="7"/>
      <c r="E540" s="8"/>
    </row>
    <row r="541" spans="4:5" ht="14.25" customHeight="1" x14ac:dyDescent="0.25">
      <c r="D541" s="7"/>
      <c r="E541" s="8"/>
    </row>
    <row r="542" spans="4:5" ht="14.25" customHeight="1" x14ac:dyDescent="0.25">
      <c r="D542" s="7"/>
      <c r="E542" s="8"/>
    </row>
    <row r="543" spans="4:5" ht="14.25" customHeight="1" x14ac:dyDescent="0.25">
      <c r="D543" s="7"/>
      <c r="E543" s="8"/>
    </row>
    <row r="544" spans="4:5" ht="14.25" customHeight="1" x14ac:dyDescent="0.25">
      <c r="D544" s="7"/>
      <c r="E544" s="8"/>
    </row>
    <row r="545" spans="4:5" ht="14.25" customHeight="1" x14ac:dyDescent="0.25">
      <c r="D545" s="7"/>
      <c r="E545" s="8"/>
    </row>
    <row r="546" spans="4:5" ht="14.25" customHeight="1" x14ac:dyDescent="0.25">
      <c r="D546" s="7"/>
      <c r="E546" s="8"/>
    </row>
    <row r="547" spans="4:5" ht="14.25" customHeight="1" x14ac:dyDescent="0.25">
      <c r="D547" s="7"/>
      <c r="E547" s="8"/>
    </row>
    <row r="548" spans="4:5" ht="14.25" customHeight="1" x14ac:dyDescent="0.25">
      <c r="D548" s="7"/>
      <c r="E548" s="8"/>
    </row>
    <row r="549" spans="4:5" ht="14.25" customHeight="1" x14ac:dyDescent="0.25">
      <c r="D549" s="7"/>
      <c r="E549" s="8"/>
    </row>
    <row r="550" spans="4:5" ht="14.25" customHeight="1" x14ac:dyDescent="0.25">
      <c r="D550" s="7"/>
      <c r="E550" s="8"/>
    </row>
    <row r="551" spans="4:5" ht="14.25" customHeight="1" x14ac:dyDescent="0.25">
      <c r="D551" s="7"/>
      <c r="E551" s="8"/>
    </row>
    <row r="552" spans="4:5" ht="14.25" customHeight="1" x14ac:dyDescent="0.25">
      <c r="D552" s="7"/>
      <c r="E552" s="8"/>
    </row>
    <row r="553" spans="4:5" ht="14.25" customHeight="1" x14ac:dyDescent="0.25">
      <c r="D553" s="7"/>
      <c r="E553" s="8"/>
    </row>
    <row r="554" spans="4:5" ht="14.25" customHeight="1" x14ac:dyDescent="0.25">
      <c r="D554" s="7"/>
      <c r="E554" s="8"/>
    </row>
    <row r="555" spans="4:5" ht="14.25" customHeight="1" x14ac:dyDescent="0.25">
      <c r="D555" s="7"/>
      <c r="E555" s="8"/>
    </row>
    <row r="556" spans="4:5" ht="14.25" customHeight="1" x14ac:dyDescent="0.25">
      <c r="D556" s="7"/>
      <c r="E556" s="8"/>
    </row>
    <row r="557" spans="4:5" ht="14.25" customHeight="1" x14ac:dyDescent="0.25">
      <c r="D557" s="7"/>
      <c r="E557" s="8"/>
    </row>
    <row r="558" spans="4:5" ht="14.25" customHeight="1" x14ac:dyDescent="0.25">
      <c r="D558" s="7"/>
      <c r="E558" s="8"/>
    </row>
    <row r="559" spans="4:5" ht="14.25" customHeight="1" x14ac:dyDescent="0.25">
      <c r="D559" s="7"/>
      <c r="E559" s="8"/>
    </row>
    <row r="560" spans="4:5" ht="14.25" customHeight="1" x14ac:dyDescent="0.25">
      <c r="D560" s="7"/>
      <c r="E560" s="8"/>
    </row>
    <row r="561" spans="4:5" ht="14.25" customHeight="1" x14ac:dyDescent="0.25">
      <c r="D561" s="7"/>
      <c r="E561" s="8"/>
    </row>
    <row r="562" spans="4:5" ht="14.25" customHeight="1" x14ac:dyDescent="0.25">
      <c r="D562" s="7"/>
      <c r="E562" s="8"/>
    </row>
    <row r="563" spans="4:5" ht="14.25" customHeight="1" x14ac:dyDescent="0.25">
      <c r="D563" s="7"/>
      <c r="E563" s="8"/>
    </row>
    <row r="564" spans="4:5" ht="14.25" customHeight="1" x14ac:dyDescent="0.25">
      <c r="D564" s="7"/>
      <c r="E564" s="8"/>
    </row>
    <row r="565" spans="4:5" ht="14.25" customHeight="1" x14ac:dyDescent="0.25">
      <c r="D565" s="7"/>
      <c r="E565" s="8"/>
    </row>
    <row r="566" spans="4:5" ht="14.25" customHeight="1" x14ac:dyDescent="0.25">
      <c r="D566" s="7"/>
      <c r="E566" s="8"/>
    </row>
    <row r="567" spans="4:5" ht="14.25" customHeight="1" x14ac:dyDescent="0.25">
      <c r="D567" s="7"/>
      <c r="E567" s="8"/>
    </row>
    <row r="568" spans="4:5" ht="14.25" customHeight="1" x14ac:dyDescent="0.25">
      <c r="D568" s="7"/>
      <c r="E568" s="8"/>
    </row>
    <row r="569" spans="4:5" ht="14.25" customHeight="1" x14ac:dyDescent="0.25">
      <c r="D569" s="7"/>
      <c r="E569" s="8"/>
    </row>
    <row r="570" spans="4:5" ht="14.25" customHeight="1" x14ac:dyDescent="0.25">
      <c r="D570" s="7"/>
      <c r="E570" s="8"/>
    </row>
    <row r="571" spans="4:5" ht="14.25" customHeight="1" x14ac:dyDescent="0.25">
      <c r="D571" s="7"/>
      <c r="E571" s="8"/>
    </row>
    <row r="572" spans="4:5" ht="14.25" customHeight="1" x14ac:dyDescent="0.25">
      <c r="D572" s="7"/>
      <c r="E572" s="8"/>
    </row>
    <row r="573" spans="4:5" ht="14.25" customHeight="1" x14ac:dyDescent="0.25">
      <c r="D573" s="7"/>
      <c r="E573" s="8"/>
    </row>
    <row r="574" spans="4:5" ht="14.25" customHeight="1" x14ac:dyDescent="0.25">
      <c r="D574" s="7"/>
      <c r="E574" s="8"/>
    </row>
    <row r="575" spans="4:5" ht="14.25" customHeight="1" x14ac:dyDescent="0.25">
      <c r="D575" s="7"/>
      <c r="E575" s="8"/>
    </row>
    <row r="576" spans="4:5" ht="14.25" customHeight="1" x14ac:dyDescent="0.25">
      <c r="D576" s="7"/>
      <c r="E576" s="8"/>
    </row>
    <row r="577" spans="4:5" ht="14.25" customHeight="1" x14ac:dyDescent="0.25">
      <c r="D577" s="7"/>
      <c r="E577" s="8"/>
    </row>
    <row r="578" spans="4:5" ht="14.25" customHeight="1" x14ac:dyDescent="0.25">
      <c r="D578" s="7"/>
      <c r="E578" s="8"/>
    </row>
    <row r="579" spans="4:5" ht="14.25" customHeight="1" x14ac:dyDescent="0.25">
      <c r="D579" s="7"/>
      <c r="E579" s="8"/>
    </row>
    <row r="580" spans="4:5" ht="14.25" customHeight="1" x14ac:dyDescent="0.25">
      <c r="D580" s="7"/>
      <c r="E580" s="8"/>
    </row>
    <row r="581" spans="4:5" ht="14.25" customHeight="1" x14ac:dyDescent="0.25">
      <c r="D581" s="7"/>
      <c r="E581" s="8"/>
    </row>
    <row r="582" spans="4:5" ht="14.25" customHeight="1" x14ac:dyDescent="0.25">
      <c r="D582" s="7"/>
      <c r="E582" s="8"/>
    </row>
    <row r="583" spans="4:5" ht="14.25" customHeight="1" x14ac:dyDescent="0.25">
      <c r="D583" s="7"/>
      <c r="E583" s="8"/>
    </row>
    <row r="584" spans="4:5" ht="14.25" customHeight="1" x14ac:dyDescent="0.25">
      <c r="D584" s="7"/>
      <c r="E584" s="8"/>
    </row>
    <row r="585" spans="4:5" ht="14.25" customHeight="1" x14ac:dyDescent="0.25">
      <c r="D585" s="7"/>
      <c r="E585" s="8"/>
    </row>
    <row r="586" spans="4:5" ht="14.25" customHeight="1" x14ac:dyDescent="0.25">
      <c r="D586" s="7"/>
      <c r="E586" s="8"/>
    </row>
    <row r="587" spans="4:5" ht="14.25" customHeight="1" x14ac:dyDescent="0.25">
      <c r="D587" s="7"/>
      <c r="E587" s="8"/>
    </row>
    <row r="588" spans="4:5" ht="14.25" customHeight="1" x14ac:dyDescent="0.25">
      <c r="D588" s="7"/>
      <c r="E588" s="8"/>
    </row>
    <row r="589" spans="4:5" ht="14.25" customHeight="1" x14ac:dyDescent="0.25">
      <c r="D589" s="7"/>
      <c r="E589" s="8"/>
    </row>
    <row r="590" spans="4:5" ht="14.25" customHeight="1" x14ac:dyDescent="0.25">
      <c r="D590" s="7"/>
      <c r="E590" s="8"/>
    </row>
    <row r="591" spans="4:5" ht="14.25" customHeight="1" x14ac:dyDescent="0.25">
      <c r="D591" s="7"/>
      <c r="E591" s="8"/>
    </row>
    <row r="592" spans="4:5" ht="14.25" customHeight="1" x14ac:dyDescent="0.25">
      <c r="D592" s="7"/>
      <c r="E592" s="8"/>
    </row>
    <row r="593" spans="4:5" ht="14.25" customHeight="1" x14ac:dyDescent="0.25">
      <c r="D593" s="7"/>
      <c r="E593" s="8"/>
    </row>
    <row r="594" spans="4:5" ht="14.25" customHeight="1" x14ac:dyDescent="0.25">
      <c r="D594" s="7"/>
      <c r="E594" s="8"/>
    </row>
    <row r="595" spans="4:5" ht="14.25" customHeight="1" x14ac:dyDescent="0.25">
      <c r="D595" s="7"/>
      <c r="E595" s="8"/>
    </row>
    <row r="596" spans="4:5" ht="14.25" customHeight="1" x14ac:dyDescent="0.25">
      <c r="D596" s="7"/>
      <c r="E596" s="8"/>
    </row>
    <row r="597" spans="4:5" ht="14.25" customHeight="1" x14ac:dyDescent="0.25">
      <c r="D597" s="7"/>
      <c r="E597" s="8"/>
    </row>
    <row r="598" spans="4:5" ht="14.25" customHeight="1" x14ac:dyDescent="0.25">
      <c r="D598" s="7"/>
      <c r="E598" s="8"/>
    </row>
    <row r="599" spans="4:5" ht="14.25" customHeight="1" x14ac:dyDescent="0.25">
      <c r="D599" s="7"/>
      <c r="E599" s="8"/>
    </row>
    <row r="600" spans="4:5" ht="14.25" customHeight="1" x14ac:dyDescent="0.25">
      <c r="D600" s="7"/>
      <c r="E600" s="8"/>
    </row>
    <row r="601" spans="4:5" ht="14.25" customHeight="1" x14ac:dyDescent="0.25">
      <c r="D601" s="7"/>
      <c r="E601" s="8"/>
    </row>
    <row r="602" spans="4:5" ht="14.25" customHeight="1" x14ac:dyDescent="0.25">
      <c r="D602" s="7"/>
      <c r="E602" s="8"/>
    </row>
    <row r="603" spans="4:5" ht="14.25" customHeight="1" x14ac:dyDescent="0.25">
      <c r="D603" s="7"/>
      <c r="E603" s="8"/>
    </row>
    <row r="604" spans="4:5" ht="14.25" customHeight="1" x14ac:dyDescent="0.25">
      <c r="D604" s="7"/>
      <c r="E604" s="8"/>
    </row>
    <row r="605" spans="4:5" ht="14.25" customHeight="1" x14ac:dyDescent="0.25">
      <c r="D605" s="7"/>
      <c r="E605" s="8"/>
    </row>
    <row r="606" spans="4:5" ht="14.25" customHeight="1" x14ac:dyDescent="0.25">
      <c r="D606" s="7"/>
      <c r="E606" s="8"/>
    </row>
    <row r="607" spans="4:5" ht="14.25" customHeight="1" x14ac:dyDescent="0.25">
      <c r="D607" s="7"/>
      <c r="E607" s="8"/>
    </row>
    <row r="608" spans="4:5" ht="14.25" customHeight="1" x14ac:dyDescent="0.25">
      <c r="D608" s="7"/>
      <c r="E608" s="8"/>
    </row>
    <row r="609" spans="4:5" ht="14.25" customHeight="1" x14ac:dyDescent="0.25">
      <c r="D609" s="7"/>
      <c r="E609" s="8"/>
    </row>
    <row r="610" spans="4:5" ht="14.25" customHeight="1" x14ac:dyDescent="0.25">
      <c r="D610" s="7"/>
      <c r="E610" s="8"/>
    </row>
    <row r="611" spans="4:5" ht="14.25" customHeight="1" x14ac:dyDescent="0.25">
      <c r="D611" s="7"/>
      <c r="E611" s="8"/>
    </row>
    <row r="612" spans="4:5" ht="14.25" customHeight="1" x14ac:dyDescent="0.25">
      <c r="D612" s="7"/>
      <c r="E612" s="8"/>
    </row>
    <row r="613" spans="4:5" ht="14.25" customHeight="1" x14ac:dyDescent="0.25">
      <c r="D613" s="7"/>
      <c r="E613" s="8"/>
    </row>
    <row r="614" spans="4:5" ht="14.25" customHeight="1" x14ac:dyDescent="0.25">
      <c r="D614" s="7"/>
      <c r="E614" s="8"/>
    </row>
    <row r="615" spans="4:5" ht="14.25" customHeight="1" x14ac:dyDescent="0.25">
      <c r="D615" s="7"/>
      <c r="E615" s="8"/>
    </row>
    <row r="616" spans="4:5" ht="14.25" customHeight="1" x14ac:dyDescent="0.25">
      <c r="D616" s="7"/>
      <c r="E616" s="8"/>
    </row>
    <row r="617" spans="4:5" ht="14.25" customHeight="1" x14ac:dyDescent="0.25">
      <c r="D617" s="7"/>
      <c r="E617" s="8"/>
    </row>
    <row r="618" spans="4:5" ht="14.25" customHeight="1" x14ac:dyDescent="0.25">
      <c r="D618" s="7"/>
      <c r="E618" s="8"/>
    </row>
    <row r="619" spans="4:5" ht="14.25" customHeight="1" x14ac:dyDescent="0.25">
      <c r="D619" s="7"/>
      <c r="E619" s="8"/>
    </row>
    <row r="620" spans="4:5" ht="14.25" customHeight="1" x14ac:dyDescent="0.25">
      <c r="D620" s="7"/>
      <c r="E620" s="8"/>
    </row>
    <row r="621" spans="4:5" ht="14.25" customHeight="1" x14ac:dyDescent="0.25">
      <c r="D621" s="7"/>
      <c r="E621" s="8"/>
    </row>
    <row r="622" spans="4:5" ht="14.25" customHeight="1" x14ac:dyDescent="0.25">
      <c r="D622" s="7"/>
      <c r="E622" s="8"/>
    </row>
    <row r="623" spans="4:5" ht="14.25" customHeight="1" x14ac:dyDescent="0.25">
      <c r="D623" s="7"/>
      <c r="E623" s="8"/>
    </row>
    <row r="624" spans="4:5" ht="14.25" customHeight="1" x14ac:dyDescent="0.25">
      <c r="D624" s="7"/>
      <c r="E624" s="8"/>
    </row>
    <row r="625" spans="4:5" ht="14.25" customHeight="1" x14ac:dyDescent="0.25">
      <c r="D625" s="7"/>
      <c r="E625" s="8"/>
    </row>
    <row r="626" spans="4:5" ht="14.25" customHeight="1" x14ac:dyDescent="0.25">
      <c r="D626" s="7"/>
      <c r="E626" s="8"/>
    </row>
    <row r="627" spans="4:5" ht="14.25" customHeight="1" x14ac:dyDescent="0.25">
      <c r="D627" s="7"/>
      <c r="E627" s="8"/>
    </row>
    <row r="628" spans="4:5" ht="14.25" customHeight="1" x14ac:dyDescent="0.25">
      <c r="D628" s="7"/>
      <c r="E628" s="8"/>
    </row>
    <row r="629" spans="4:5" ht="14.25" customHeight="1" x14ac:dyDescent="0.25">
      <c r="D629" s="7"/>
      <c r="E629" s="8"/>
    </row>
    <row r="630" spans="4:5" ht="14.25" customHeight="1" x14ac:dyDescent="0.25">
      <c r="D630" s="7"/>
      <c r="E630" s="8"/>
    </row>
    <row r="631" spans="4:5" ht="14.25" customHeight="1" x14ac:dyDescent="0.25">
      <c r="D631" s="7"/>
      <c r="E631" s="8"/>
    </row>
    <row r="632" spans="4:5" ht="14.25" customHeight="1" x14ac:dyDescent="0.25">
      <c r="D632" s="7"/>
      <c r="E632" s="8"/>
    </row>
    <row r="633" spans="4:5" ht="14.25" customHeight="1" x14ac:dyDescent="0.25">
      <c r="D633" s="7"/>
      <c r="E633" s="8"/>
    </row>
    <row r="634" spans="4:5" ht="14.25" customHeight="1" x14ac:dyDescent="0.25">
      <c r="D634" s="7"/>
      <c r="E634" s="8"/>
    </row>
    <row r="635" spans="4:5" ht="14.25" customHeight="1" x14ac:dyDescent="0.25">
      <c r="D635" s="7"/>
      <c r="E635" s="8"/>
    </row>
    <row r="636" spans="4:5" ht="14.25" customHeight="1" x14ac:dyDescent="0.25">
      <c r="D636" s="7"/>
      <c r="E636" s="8"/>
    </row>
    <row r="637" spans="4:5" ht="14.25" customHeight="1" x14ac:dyDescent="0.25">
      <c r="D637" s="7"/>
      <c r="E637" s="8"/>
    </row>
    <row r="638" spans="4:5" ht="14.25" customHeight="1" x14ac:dyDescent="0.25">
      <c r="D638" s="7"/>
      <c r="E638" s="8"/>
    </row>
    <row r="639" spans="4:5" ht="14.25" customHeight="1" x14ac:dyDescent="0.25">
      <c r="D639" s="7"/>
      <c r="E639" s="8"/>
    </row>
    <row r="640" spans="4:5" ht="14.25" customHeight="1" x14ac:dyDescent="0.25">
      <c r="D640" s="7"/>
      <c r="E640" s="8"/>
    </row>
    <row r="641" spans="4:5" ht="14.25" customHeight="1" x14ac:dyDescent="0.25">
      <c r="D641" s="7"/>
      <c r="E641" s="8"/>
    </row>
    <row r="642" spans="4:5" ht="14.25" customHeight="1" x14ac:dyDescent="0.25">
      <c r="D642" s="7"/>
      <c r="E642" s="8"/>
    </row>
    <row r="643" spans="4:5" ht="14.25" customHeight="1" x14ac:dyDescent="0.25">
      <c r="D643" s="7"/>
      <c r="E643" s="8"/>
    </row>
    <row r="644" spans="4:5" ht="14.25" customHeight="1" x14ac:dyDescent="0.25">
      <c r="D644" s="7"/>
      <c r="E644" s="8"/>
    </row>
    <row r="645" spans="4:5" ht="14.25" customHeight="1" x14ac:dyDescent="0.25">
      <c r="D645" s="7"/>
      <c r="E645" s="8"/>
    </row>
    <row r="646" spans="4:5" ht="14.25" customHeight="1" x14ac:dyDescent="0.25">
      <c r="D646" s="7"/>
      <c r="E646" s="8"/>
    </row>
    <row r="647" spans="4:5" ht="14.25" customHeight="1" x14ac:dyDescent="0.25">
      <c r="D647" s="7"/>
      <c r="E647" s="8"/>
    </row>
    <row r="648" spans="4:5" ht="14.25" customHeight="1" x14ac:dyDescent="0.25">
      <c r="D648" s="7"/>
      <c r="E648" s="8"/>
    </row>
    <row r="649" spans="4:5" ht="14.25" customHeight="1" x14ac:dyDescent="0.25">
      <c r="D649" s="7"/>
      <c r="E649" s="8"/>
    </row>
    <row r="650" spans="4:5" ht="14.25" customHeight="1" x14ac:dyDescent="0.25">
      <c r="D650" s="7"/>
      <c r="E650" s="8"/>
    </row>
    <row r="651" spans="4:5" ht="14.25" customHeight="1" x14ac:dyDescent="0.25">
      <c r="D651" s="7"/>
      <c r="E651" s="8"/>
    </row>
    <row r="652" spans="4:5" ht="14.25" customHeight="1" x14ac:dyDescent="0.25">
      <c r="D652" s="7"/>
      <c r="E652" s="8"/>
    </row>
    <row r="653" spans="4:5" ht="14.25" customHeight="1" x14ac:dyDescent="0.25">
      <c r="D653" s="7"/>
      <c r="E653" s="8"/>
    </row>
    <row r="654" spans="4:5" ht="14.25" customHeight="1" x14ac:dyDescent="0.25">
      <c r="D654" s="7"/>
      <c r="E654" s="8"/>
    </row>
    <row r="655" spans="4:5" ht="14.25" customHeight="1" x14ac:dyDescent="0.25">
      <c r="D655" s="7"/>
      <c r="E655" s="8"/>
    </row>
    <row r="656" spans="4:5" ht="14.25" customHeight="1" x14ac:dyDescent="0.25">
      <c r="D656" s="7"/>
      <c r="E656" s="8"/>
    </row>
    <row r="657" spans="4:5" ht="14.25" customHeight="1" x14ac:dyDescent="0.25">
      <c r="D657" s="7"/>
      <c r="E657" s="8"/>
    </row>
    <row r="658" spans="4:5" ht="14.25" customHeight="1" x14ac:dyDescent="0.25">
      <c r="D658" s="7"/>
      <c r="E658" s="8"/>
    </row>
    <row r="659" spans="4:5" ht="14.25" customHeight="1" x14ac:dyDescent="0.25">
      <c r="D659" s="7"/>
      <c r="E659" s="8"/>
    </row>
    <row r="660" spans="4:5" ht="14.25" customHeight="1" x14ac:dyDescent="0.25">
      <c r="D660" s="7"/>
      <c r="E660" s="8"/>
    </row>
    <row r="661" spans="4:5" ht="14.25" customHeight="1" x14ac:dyDescent="0.25">
      <c r="D661" s="7"/>
      <c r="E661" s="8"/>
    </row>
    <row r="662" spans="4:5" ht="14.25" customHeight="1" x14ac:dyDescent="0.25">
      <c r="D662" s="7"/>
      <c r="E662" s="8"/>
    </row>
    <row r="663" spans="4:5" ht="14.25" customHeight="1" x14ac:dyDescent="0.25">
      <c r="D663" s="7"/>
      <c r="E663" s="8"/>
    </row>
    <row r="664" spans="4:5" ht="14.25" customHeight="1" x14ac:dyDescent="0.25">
      <c r="D664" s="7"/>
      <c r="E664" s="8"/>
    </row>
    <row r="665" spans="4:5" ht="14.25" customHeight="1" x14ac:dyDescent="0.25">
      <c r="D665" s="7"/>
      <c r="E665" s="8"/>
    </row>
    <row r="666" spans="4:5" ht="14.25" customHeight="1" x14ac:dyDescent="0.25">
      <c r="D666" s="7"/>
      <c r="E666" s="8"/>
    </row>
    <row r="667" spans="4:5" ht="14.25" customHeight="1" x14ac:dyDescent="0.25">
      <c r="D667" s="7"/>
      <c r="E667" s="8"/>
    </row>
    <row r="668" spans="4:5" ht="14.25" customHeight="1" x14ac:dyDescent="0.25">
      <c r="D668" s="7"/>
      <c r="E668" s="8"/>
    </row>
    <row r="669" spans="4:5" ht="14.25" customHeight="1" x14ac:dyDescent="0.25">
      <c r="D669" s="7"/>
      <c r="E669" s="8"/>
    </row>
    <row r="670" spans="4:5" ht="14.25" customHeight="1" x14ac:dyDescent="0.25">
      <c r="D670" s="7"/>
      <c r="E670" s="8"/>
    </row>
    <row r="671" spans="4:5" ht="14.25" customHeight="1" x14ac:dyDescent="0.25">
      <c r="D671" s="7"/>
      <c r="E671" s="8"/>
    </row>
    <row r="672" spans="4:5" ht="14.25" customHeight="1" x14ac:dyDescent="0.25">
      <c r="D672" s="7"/>
      <c r="E672" s="8"/>
    </row>
    <row r="673" spans="4:5" ht="14.25" customHeight="1" x14ac:dyDescent="0.25">
      <c r="D673" s="7"/>
      <c r="E673" s="8"/>
    </row>
    <row r="674" spans="4:5" ht="14.25" customHeight="1" x14ac:dyDescent="0.25">
      <c r="D674" s="7"/>
      <c r="E674" s="8"/>
    </row>
    <row r="675" spans="4:5" ht="14.25" customHeight="1" x14ac:dyDescent="0.25">
      <c r="D675" s="7"/>
      <c r="E675" s="8"/>
    </row>
    <row r="676" spans="4:5" ht="14.25" customHeight="1" x14ac:dyDescent="0.25">
      <c r="D676" s="7"/>
      <c r="E676" s="8"/>
    </row>
    <row r="677" spans="4:5" ht="14.25" customHeight="1" x14ac:dyDescent="0.25">
      <c r="D677" s="7"/>
      <c r="E677" s="8"/>
    </row>
    <row r="678" spans="4:5" ht="14.25" customHeight="1" x14ac:dyDescent="0.25">
      <c r="D678" s="7"/>
      <c r="E678" s="8"/>
    </row>
    <row r="679" spans="4:5" ht="14.25" customHeight="1" x14ac:dyDescent="0.25">
      <c r="D679" s="7"/>
      <c r="E679" s="8"/>
    </row>
    <row r="680" spans="4:5" ht="14.25" customHeight="1" x14ac:dyDescent="0.25">
      <c r="D680" s="7"/>
      <c r="E680" s="8"/>
    </row>
    <row r="681" spans="4:5" ht="14.25" customHeight="1" x14ac:dyDescent="0.25">
      <c r="D681" s="7"/>
      <c r="E681" s="8"/>
    </row>
    <row r="682" spans="4:5" ht="14.25" customHeight="1" x14ac:dyDescent="0.25">
      <c r="D682" s="7"/>
      <c r="E682" s="8"/>
    </row>
    <row r="683" spans="4:5" ht="14.25" customHeight="1" x14ac:dyDescent="0.25">
      <c r="D683" s="7"/>
      <c r="E683" s="8"/>
    </row>
    <row r="684" spans="4:5" ht="14.25" customHeight="1" x14ac:dyDescent="0.25">
      <c r="D684" s="7"/>
      <c r="E684" s="8"/>
    </row>
    <row r="685" spans="4:5" ht="14.25" customHeight="1" x14ac:dyDescent="0.25">
      <c r="D685" s="7"/>
      <c r="E685" s="8"/>
    </row>
    <row r="686" spans="4:5" ht="14.25" customHeight="1" x14ac:dyDescent="0.25">
      <c r="D686" s="7"/>
      <c r="E686" s="8"/>
    </row>
    <row r="687" spans="4:5" ht="14.25" customHeight="1" x14ac:dyDescent="0.25">
      <c r="D687" s="7"/>
      <c r="E687" s="8"/>
    </row>
    <row r="688" spans="4:5" ht="14.25" customHeight="1" x14ac:dyDescent="0.25">
      <c r="D688" s="7"/>
      <c r="E688" s="8"/>
    </row>
    <row r="689" spans="4:5" ht="14.25" customHeight="1" x14ac:dyDescent="0.25">
      <c r="D689" s="7"/>
      <c r="E689" s="8"/>
    </row>
    <row r="690" spans="4:5" ht="14.25" customHeight="1" x14ac:dyDescent="0.25">
      <c r="D690" s="7"/>
      <c r="E690" s="8"/>
    </row>
    <row r="691" spans="4:5" ht="14.25" customHeight="1" x14ac:dyDescent="0.25">
      <c r="D691" s="7"/>
      <c r="E691" s="8"/>
    </row>
    <row r="692" spans="4:5" ht="14.25" customHeight="1" x14ac:dyDescent="0.25">
      <c r="D692" s="7"/>
      <c r="E692" s="8"/>
    </row>
    <row r="693" spans="4:5" ht="14.25" customHeight="1" x14ac:dyDescent="0.25">
      <c r="D693" s="7"/>
      <c r="E693" s="8"/>
    </row>
    <row r="694" spans="4:5" ht="14.25" customHeight="1" x14ac:dyDescent="0.25">
      <c r="D694" s="7"/>
      <c r="E694" s="8"/>
    </row>
    <row r="695" spans="4:5" ht="14.25" customHeight="1" x14ac:dyDescent="0.25">
      <c r="D695" s="7"/>
      <c r="E695" s="8"/>
    </row>
    <row r="696" spans="4:5" ht="14.25" customHeight="1" x14ac:dyDescent="0.25">
      <c r="D696" s="7"/>
      <c r="E696" s="8"/>
    </row>
    <row r="697" spans="4:5" ht="14.25" customHeight="1" x14ac:dyDescent="0.25">
      <c r="D697" s="7"/>
      <c r="E697" s="8"/>
    </row>
    <row r="698" spans="4:5" ht="14.25" customHeight="1" x14ac:dyDescent="0.25">
      <c r="D698" s="7"/>
      <c r="E698" s="8"/>
    </row>
    <row r="699" spans="4:5" ht="14.25" customHeight="1" x14ac:dyDescent="0.25">
      <c r="D699" s="7"/>
      <c r="E699" s="8"/>
    </row>
    <row r="700" spans="4:5" ht="14.25" customHeight="1" x14ac:dyDescent="0.25">
      <c r="D700" s="7"/>
      <c r="E700" s="8"/>
    </row>
    <row r="701" spans="4:5" ht="14.25" customHeight="1" x14ac:dyDescent="0.25">
      <c r="D701" s="7"/>
      <c r="E701" s="8"/>
    </row>
    <row r="702" spans="4:5" ht="14.25" customHeight="1" x14ac:dyDescent="0.25">
      <c r="D702" s="7"/>
      <c r="E702" s="8"/>
    </row>
    <row r="703" spans="4:5" ht="14.25" customHeight="1" x14ac:dyDescent="0.25">
      <c r="D703" s="7"/>
      <c r="E703" s="8"/>
    </row>
    <row r="704" spans="4:5" ht="14.25" customHeight="1" x14ac:dyDescent="0.25">
      <c r="D704" s="7"/>
      <c r="E704" s="8"/>
    </row>
    <row r="705" spans="4:5" ht="14.25" customHeight="1" x14ac:dyDescent="0.25">
      <c r="D705" s="7"/>
      <c r="E705" s="8"/>
    </row>
    <row r="706" spans="4:5" ht="14.25" customHeight="1" x14ac:dyDescent="0.25">
      <c r="D706" s="7"/>
      <c r="E706" s="8"/>
    </row>
    <row r="707" spans="4:5" ht="14.25" customHeight="1" x14ac:dyDescent="0.25">
      <c r="D707" s="7"/>
      <c r="E707" s="8"/>
    </row>
    <row r="708" spans="4:5" ht="14.25" customHeight="1" x14ac:dyDescent="0.25">
      <c r="D708" s="7"/>
      <c r="E708" s="8"/>
    </row>
    <row r="709" spans="4:5" ht="14.25" customHeight="1" x14ac:dyDescent="0.25">
      <c r="D709" s="7"/>
      <c r="E709" s="8"/>
    </row>
    <row r="710" spans="4:5" ht="14.25" customHeight="1" x14ac:dyDescent="0.25">
      <c r="D710" s="7"/>
      <c r="E710" s="8"/>
    </row>
    <row r="711" spans="4:5" ht="14.25" customHeight="1" x14ac:dyDescent="0.25">
      <c r="D711" s="7"/>
      <c r="E711" s="8"/>
    </row>
    <row r="712" spans="4:5" ht="14.25" customHeight="1" x14ac:dyDescent="0.25">
      <c r="D712" s="7"/>
      <c r="E712" s="8"/>
    </row>
    <row r="713" spans="4:5" ht="14.25" customHeight="1" x14ac:dyDescent="0.25">
      <c r="D713" s="7"/>
      <c r="E713" s="8"/>
    </row>
    <row r="714" spans="4:5" ht="14.25" customHeight="1" x14ac:dyDescent="0.25">
      <c r="D714" s="7"/>
      <c r="E714" s="8"/>
    </row>
    <row r="715" spans="4:5" ht="14.25" customHeight="1" x14ac:dyDescent="0.25">
      <c r="D715" s="7"/>
      <c r="E715" s="8"/>
    </row>
    <row r="716" spans="4:5" ht="14.25" customHeight="1" x14ac:dyDescent="0.25">
      <c r="D716" s="7"/>
      <c r="E716" s="8"/>
    </row>
    <row r="717" spans="4:5" ht="14.25" customHeight="1" x14ac:dyDescent="0.25">
      <c r="D717" s="7"/>
      <c r="E717" s="8"/>
    </row>
    <row r="718" spans="4:5" ht="14.25" customHeight="1" x14ac:dyDescent="0.25">
      <c r="D718" s="7"/>
      <c r="E718" s="8"/>
    </row>
    <row r="719" spans="4:5" ht="14.25" customHeight="1" x14ac:dyDescent="0.25">
      <c r="D719" s="7"/>
      <c r="E719" s="8"/>
    </row>
    <row r="720" spans="4:5" ht="14.25" customHeight="1" x14ac:dyDescent="0.25">
      <c r="D720" s="7"/>
      <c r="E720" s="8"/>
    </row>
    <row r="721" spans="4:5" ht="14.25" customHeight="1" x14ac:dyDescent="0.25">
      <c r="D721" s="7"/>
      <c r="E721" s="8"/>
    </row>
    <row r="722" spans="4:5" ht="14.25" customHeight="1" x14ac:dyDescent="0.25">
      <c r="D722" s="7"/>
      <c r="E722" s="8"/>
    </row>
    <row r="723" spans="4:5" ht="14.25" customHeight="1" x14ac:dyDescent="0.25">
      <c r="D723" s="7"/>
      <c r="E723" s="8"/>
    </row>
    <row r="724" spans="4:5" ht="14.25" customHeight="1" x14ac:dyDescent="0.25">
      <c r="D724" s="7"/>
      <c r="E724" s="8"/>
    </row>
    <row r="725" spans="4:5" ht="14.25" customHeight="1" x14ac:dyDescent="0.25">
      <c r="D725" s="7"/>
      <c r="E725" s="8"/>
    </row>
    <row r="726" spans="4:5" ht="14.25" customHeight="1" x14ac:dyDescent="0.25">
      <c r="D726" s="7"/>
      <c r="E726" s="8"/>
    </row>
    <row r="727" spans="4:5" ht="14.25" customHeight="1" x14ac:dyDescent="0.25">
      <c r="D727" s="7"/>
      <c r="E727" s="8"/>
    </row>
    <row r="728" spans="4:5" ht="14.25" customHeight="1" x14ac:dyDescent="0.25">
      <c r="D728" s="7"/>
      <c r="E728" s="8"/>
    </row>
    <row r="729" spans="4:5" ht="14.25" customHeight="1" x14ac:dyDescent="0.25">
      <c r="D729" s="7"/>
      <c r="E729" s="8"/>
    </row>
    <row r="730" spans="4:5" ht="14.25" customHeight="1" x14ac:dyDescent="0.25">
      <c r="D730" s="7"/>
      <c r="E730" s="8"/>
    </row>
    <row r="731" spans="4:5" ht="14.25" customHeight="1" x14ac:dyDescent="0.25">
      <c r="D731" s="7"/>
      <c r="E731" s="8"/>
    </row>
    <row r="732" spans="4:5" ht="14.25" customHeight="1" x14ac:dyDescent="0.25">
      <c r="D732" s="7"/>
      <c r="E732" s="8"/>
    </row>
    <row r="733" spans="4:5" ht="14.25" customHeight="1" x14ac:dyDescent="0.25">
      <c r="D733" s="7"/>
      <c r="E733" s="8"/>
    </row>
    <row r="734" spans="4:5" ht="14.25" customHeight="1" x14ac:dyDescent="0.25">
      <c r="D734" s="7"/>
      <c r="E734" s="8"/>
    </row>
    <row r="735" spans="4:5" ht="14.25" customHeight="1" x14ac:dyDescent="0.25">
      <c r="D735" s="7"/>
      <c r="E735" s="8"/>
    </row>
    <row r="736" spans="4:5" ht="14.25" customHeight="1" x14ac:dyDescent="0.25">
      <c r="D736" s="7"/>
      <c r="E736" s="8"/>
    </row>
    <row r="737" spans="4:5" ht="14.25" customHeight="1" x14ac:dyDescent="0.25">
      <c r="D737" s="7"/>
      <c r="E737" s="8"/>
    </row>
    <row r="738" spans="4:5" ht="14.25" customHeight="1" x14ac:dyDescent="0.25">
      <c r="D738" s="7"/>
      <c r="E738" s="8"/>
    </row>
    <row r="739" spans="4:5" ht="14.25" customHeight="1" x14ac:dyDescent="0.25">
      <c r="D739" s="7"/>
      <c r="E739" s="8"/>
    </row>
    <row r="740" spans="4:5" ht="14.25" customHeight="1" x14ac:dyDescent="0.25">
      <c r="D740" s="7"/>
      <c r="E740" s="8"/>
    </row>
    <row r="741" spans="4:5" ht="14.25" customHeight="1" x14ac:dyDescent="0.25">
      <c r="D741" s="7"/>
      <c r="E741" s="8"/>
    </row>
    <row r="742" spans="4:5" ht="14.25" customHeight="1" x14ac:dyDescent="0.25">
      <c r="D742" s="7"/>
      <c r="E742" s="8"/>
    </row>
    <row r="743" spans="4:5" ht="14.25" customHeight="1" x14ac:dyDescent="0.25">
      <c r="D743" s="7"/>
      <c r="E743" s="8"/>
    </row>
    <row r="744" spans="4:5" ht="14.25" customHeight="1" x14ac:dyDescent="0.25">
      <c r="D744" s="7"/>
      <c r="E744" s="8"/>
    </row>
    <row r="745" spans="4:5" ht="14.25" customHeight="1" x14ac:dyDescent="0.25">
      <c r="D745" s="7"/>
      <c r="E745" s="8"/>
    </row>
    <row r="746" spans="4:5" ht="14.25" customHeight="1" x14ac:dyDescent="0.25">
      <c r="D746" s="7"/>
      <c r="E746" s="8"/>
    </row>
    <row r="747" spans="4:5" ht="14.25" customHeight="1" x14ac:dyDescent="0.25">
      <c r="D747" s="7"/>
      <c r="E747" s="8"/>
    </row>
    <row r="748" spans="4:5" ht="14.25" customHeight="1" x14ac:dyDescent="0.25">
      <c r="D748" s="7"/>
      <c r="E748" s="8"/>
    </row>
    <row r="749" spans="4:5" ht="14.25" customHeight="1" x14ac:dyDescent="0.25">
      <c r="D749" s="7"/>
      <c r="E749" s="8"/>
    </row>
    <row r="750" spans="4:5" ht="14.25" customHeight="1" x14ac:dyDescent="0.25">
      <c r="D750" s="7"/>
      <c r="E750" s="8"/>
    </row>
    <row r="751" spans="4:5" ht="14.25" customHeight="1" x14ac:dyDescent="0.25">
      <c r="D751" s="7"/>
      <c r="E751" s="8"/>
    </row>
    <row r="752" spans="4:5" ht="14.25" customHeight="1" x14ac:dyDescent="0.25">
      <c r="D752" s="7"/>
      <c r="E752" s="8"/>
    </row>
    <row r="753" spans="4:5" ht="14.25" customHeight="1" x14ac:dyDescent="0.25">
      <c r="D753" s="7"/>
      <c r="E753" s="8"/>
    </row>
    <row r="754" spans="4:5" ht="14.25" customHeight="1" x14ac:dyDescent="0.25">
      <c r="D754" s="7"/>
      <c r="E754" s="8"/>
    </row>
    <row r="755" spans="4:5" ht="14.25" customHeight="1" x14ac:dyDescent="0.25">
      <c r="D755" s="7"/>
      <c r="E755" s="8"/>
    </row>
    <row r="756" spans="4:5" ht="14.25" customHeight="1" x14ac:dyDescent="0.25">
      <c r="D756" s="7"/>
      <c r="E756" s="8"/>
    </row>
    <row r="757" spans="4:5" ht="14.25" customHeight="1" x14ac:dyDescent="0.25">
      <c r="D757" s="7"/>
      <c r="E757" s="8"/>
    </row>
    <row r="758" spans="4:5" ht="14.25" customHeight="1" x14ac:dyDescent="0.25">
      <c r="D758" s="7"/>
      <c r="E758" s="8"/>
    </row>
    <row r="759" spans="4:5" ht="14.25" customHeight="1" x14ac:dyDescent="0.25">
      <c r="D759" s="7"/>
      <c r="E759" s="8"/>
    </row>
    <row r="760" spans="4:5" ht="14.25" customHeight="1" x14ac:dyDescent="0.25">
      <c r="D760" s="7"/>
      <c r="E760" s="8"/>
    </row>
    <row r="761" spans="4:5" ht="14.25" customHeight="1" x14ac:dyDescent="0.25">
      <c r="D761" s="7"/>
      <c r="E761" s="8"/>
    </row>
    <row r="762" spans="4:5" ht="14.25" customHeight="1" x14ac:dyDescent="0.25">
      <c r="D762" s="7"/>
      <c r="E762" s="8"/>
    </row>
    <row r="763" spans="4:5" ht="14.25" customHeight="1" x14ac:dyDescent="0.25">
      <c r="D763" s="7"/>
      <c r="E763" s="8"/>
    </row>
    <row r="764" spans="4:5" ht="14.25" customHeight="1" x14ac:dyDescent="0.25">
      <c r="D764" s="7"/>
      <c r="E764" s="8"/>
    </row>
    <row r="765" spans="4:5" ht="14.25" customHeight="1" x14ac:dyDescent="0.25">
      <c r="D765" s="7"/>
      <c r="E765" s="8"/>
    </row>
    <row r="766" spans="4:5" ht="14.25" customHeight="1" x14ac:dyDescent="0.25">
      <c r="D766" s="7"/>
      <c r="E766" s="8"/>
    </row>
    <row r="767" spans="4:5" ht="14.25" customHeight="1" x14ac:dyDescent="0.25">
      <c r="D767" s="7"/>
      <c r="E767" s="8"/>
    </row>
    <row r="768" spans="4:5" ht="14.25" customHeight="1" x14ac:dyDescent="0.25">
      <c r="D768" s="7"/>
      <c r="E768" s="8"/>
    </row>
    <row r="769" spans="4:5" ht="14.25" customHeight="1" x14ac:dyDescent="0.25">
      <c r="D769" s="7"/>
      <c r="E769" s="8"/>
    </row>
    <row r="770" spans="4:5" ht="14.25" customHeight="1" x14ac:dyDescent="0.25">
      <c r="D770" s="7"/>
      <c r="E770" s="8"/>
    </row>
    <row r="771" spans="4:5" ht="14.25" customHeight="1" x14ac:dyDescent="0.25">
      <c r="D771" s="7"/>
      <c r="E771" s="8"/>
    </row>
    <row r="772" spans="4:5" ht="14.25" customHeight="1" x14ac:dyDescent="0.25">
      <c r="D772" s="7"/>
      <c r="E772" s="8"/>
    </row>
    <row r="773" spans="4:5" ht="14.25" customHeight="1" x14ac:dyDescent="0.25">
      <c r="D773" s="7"/>
      <c r="E773" s="8"/>
    </row>
    <row r="774" spans="4:5" ht="14.25" customHeight="1" x14ac:dyDescent="0.25">
      <c r="D774" s="7"/>
      <c r="E774" s="8"/>
    </row>
    <row r="775" spans="4:5" ht="14.25" customHeight="1" x14ac:dyDescent="0.25">
      <c r="D775" s="7"/>
      <c r="E775" s="8"/>
    </row>
    <row r="776" spans="4:5" ht="14.25" customHeight="1" x14ac:dyDescent="0.25">
      <c r="D776" s="7"/>
      <c r="E776" s="8"/>
    </row>
    <row r="777" spans="4:5" ht="14.25" customHeight="1" x14ac:dyDescent="0.25">
      <c r="D777" s="7"/>
      <c r="E777" s="8"/>
    </row>
    <row r="778" spans="4:5" ht="14.25" customHeight="1" x14ac:dyDescent="0.25">
      <c r="D778" s="7"/>
      <c r="E778" s="8"/>
    </row>
    <row r="779" spans="4:5" ht="14.25" customHeight="1" x14ac:dyDescent="0.25">
      <c r="D779" s="7"/>
      <c r="E779" s="8"/>
    </row>
    <row r="780" spans="4:5" ht="14.25" customHeight="1" x14ac:dyDescent="0.25">
      <c r="D780" s="7"/>
      <c r="E780" s="8"/>
    </row>
    <row r="781" spans="4:5" ht="14.25" customHeight="1" x14ac:dyDescent="0.25">
      <c r="D781" s="7"/>
      <c r="E781" s="8"/>
    </row>
    <row r="782" spans="4:5" ht="14.25" customHeight="1" x14ac:dyDescent="0.25">
      <c r="D782" s="7"/>
      <c r="E782" s="8"/>
    </row>
    <row r="783" spans="4:5" ht="14.25" customHeight="1" x14ac:dyDescent="0.25">
      <c r="D783" s="7"/>
      <c r="E783" s="8"/>
    </row>
    <row r="784" spans="4:5" ht="14.25" customHeight="1" x14ac:dyDescent="0.25">
      <c r="D784" s="7"/>
      <c r="E784" s="8"/>
    </row>
    <row r="785" spans="4:5" ht="14.25" customHeight="1" x14ac:dyDescent="0.25">
      <c r="D785" s="7"/>
      <c r="E785" s="8"/>
    </row>
    <row r="786" spans="4:5" ht="14.25" customHeight="1" x14ac:dyDescent="0.25">
      <c r="D786" s="7"/>
      <c r="E786" s="8"/>
    </row>
    <row r="787" spans="4:5" ht="14.25" customHeight="1" x14ac:dyDescent="0.25">
      <c r="D787" s="7"/>
      <c r="E787" s="8"/>
    </row>
    <row r="788" spans="4:5" ht="14.25" customHeight="1" x14ac:dyDescent="0.25">
      <c r="D788" s="7"/>
      <c r="E788" s="8"/>
    </row>
    <row r="789" spans="4:5" ht="14.25" customHeight="1" x14ac:dyDescent="0.25">
      <c r="D789" s="7"/>
      <c r="E789" s="8"/>
    </row>
    <row r="790" spans="4:5" ht="14.25" customHeight="1" x14ac:dyDescent="0.25">
      <c r="D790" s="7"/>
      <c r="E790" s="8"/>
    </row>
    <row r="791" spans="4:5" ht="14.25" customHeight="1" x14ac:dyDescent="0.25">
      <c r="D791" s="7"/>
      <c r="E791" s="8"/>
    </row>
    <row r="792" spans="4:5" ht="14.25" customHeight="1" x14ac:dyDescent="0.25">
      <c r="D792" s="7"/>
      <c r="E792" s="8"/>
    </row>
    <row r="793" spans="4:5" ht="14.25" customHeight="1" x14ac:dyDescent="0.25">
      <c r="D793" s="7"/>
      <c r="E793" s="8"/>
    </row>
    <row r="794" spans="4:5" ht="14.25" customHeight="1" x14ac:dyDescent="0.25">
      <c r="D794" s="7"/>
      <c r="E794" s="8"/>
    </row>
    <row r="795" spans="4:5" ht="14.25" customHeight="1" x14ac:dyDescent="0.25">
      <c r="D795" s="7"/>
      <c r="E795" s="8"/>
    </row>
    <row r="796" spans="4:5" ht="14.25" customHeight="1" x14ac:dyDescent="0.25">
      <c r="D796" s="7"/>
      <c r="E796" s="8"/>
    </row>
    <row r="797" spans="4:5" ht="14.25" customHeight="1" x14ac:dyDescent="0.25">
      <c r="D797" s="7"/>
      <c r="E797" s="8"/>
    </row>
    <row r="798" spans="4:5" ht="14.25" customHeight="1" x14ac:dyDescent="0.25">
      <c r="D798" s="7"/>
      <c r="E798" s="8"/>
    </row>
    <row r="799" spans="4:5" ht="14.25" customHeight="1" x14ac:dyDescent="0.25">
      <c r="D799" s="7"/>
      <c r="E799" s="8"/>
    </row>
    <row r="800" spans="4:5" ht="14.25" customHeight="1" x14ac:dyDescent="0.25">
      <c r="D800" s="7"/>
      <c r="E800" s="8"/>
    </row>
    <row r="801" spans="4:5" ht="14.25" customHeight="1" x14ac:dyDescent="0.25">
      <c r="D801" s="7"/>
      <c r="E801" s="8"/>
    </row>
    <row r="802" spans="4:5" ht="14.25" customHeight="1" x14ac:dyDescent="0.25">
      <c r="D802" s="7"/>
      <c r="E802" s="8"/>
    </row>
    <row r="803" spans="4:5" ht="14.25" customHeight="1" x14ac:dyDescent="0.25">
      <c r="D803" s="7"/>
      <c r="E803" s="8"/>
    </row>
    <row r="804" spans="4:5" ht="14.25" customHeight="1" x14ac:dyDescent="0.25">
      <c r="D804" s="7"/>
      <c r="E804" s="8"/>
    </row>
    <row r="805" spans="4:5" ht="14.25" customHeight="1" x14ac:dyDescent="0.25">
      <c r="D805" s="7"/>
      <c r="E805" s="8"/>
    </row>
    <row r="806" spans="4:5" ht="14.25" customHeight="1" x14ac:dyDescent="0.25">
      <c r="D806" s="7"/>
      <c r="E806" s="8"/>
    </row>
    <row r="807" spans="4:5" ht="14.25" customHeight="1" x14ac:dyDescent="0.25">
      <c r="D807" s="7"/>
      <c r="E807" s="8"/>
    </row>
    <row r="808" spans="4:5" ht="14.25" customHeight="1" x14ac:dyDescent="0.25">
      <c r="D808" s="7"/>
      <c r="E808" s="8"/>
    </row>
    <row r="809" spans="4:5" ht="14.25" customHeight="1" x14ac:dyDescent="0.25">
      <c r="D809" s="7"/>
      <c r="E809" s="8"/>
    </row>
    <row r="810" spans="4:5" ht="14.25" customHeight="1" x14ac:dyDescent="0.25">
      <c r="D810" s="7"/>
      <c r="E810" s="8"/>
    </row>
    <row r="811" spans="4:5" ht="14.25" customHeight="1" x14ac:dyDescent="0.25">
      <c r="D811" s="7"/>
      <c r="E811" s="8"/>
    </row>
    <row r="812" spans="4:5" ht="14.25" customHeight="1" x14ac:dyDescent="0.25">
      <c r="D812" s="7"/>
      <c r="E812" s="8"/>
    </row>
    <row r="813" spans="4:5" ht="14.25" customHeight="1" x14ac:dyDescent="0.25">
      <c r="D813" s="7"/>
      <c r="E813" s="8"/>
    </row>
    <row r="814" spans="4:5" ht="14.25" customHeight="1" x14ac:dyDescent="0.25">
      <c r="D814" s="7"/>
      <c r="E814" s="8"/>
    </row>
    <row r="815" spans="4:5" ht="14.25" customHeight="1" x14ac:dyDescent="0.25">
      <c r="D815" s="7"/>
      <c r="E815" s="8"/>
    </row>
    <row r="816" spans="4:5" ht="14.25" customHeight="1" x14ac:dyDescent="0.25">
      <c r="D816" s="7"/>
      <c r="E816" s="8"/>
    </row>
    <row r="817" spans="4:5" ht="14.25" customHeight="1" x14ac:dyDescent="0.25">
      <c r="D817" s="7"/>
      <c r="E817" s="8"/>
    </row>
    <row r="818" spans="4:5" ht="14.25" customHeight="1" x14ac:dyDescent="0.25">
      <c r="D818" s="7"/>
      <c r="E818" s="8"/>
    </row>
    <row r="819" spans="4:5" ht="14.25" customHeight="1" x14ac:dyDescent="0.25">
      <c r="D819" s="7"/>
      <c r="E819" s="8"/>
    </row>
    <row r="820" spans="4:5" ht="14.25" customHeight="1" x14ac:dyDescent="0.25">
      <c r="D820" s="7"/>
      <c r="E820" s="8"/>
    </row>
    <row r="821" spans="4:5" ht="14.25" customHeight="1" x14ac:dyDescent="0.25">
      <c r="D821" s="7"/>
      <c r="E821" s="8"/>
    </row>
    <row r="822" spans="4:5" ht="14.25" customHeight="1" x14ac:dyDescent="0.25">
      <c r="D822" s="7"/>
      <c r="E822" s="8"/>
    </row>
    <row r="823" spans="4:5" ht="14.25" customHeight="1" x14ac:dyDescent="0.25">
      <c r="D823" s="7"/>
      <c r="E823" s="8"/>
    </row>
    <row r="824" spans="4:5" ht="14.25" customHeight="1" x14ac:dyDescent="0.25">
      <c r="D824" s="7"/>
      <c r="E824" s="8"/>
    </row>
    <row r="825" spans="4:5" ht="14.25" customHeight="1" x14ac:dyDescent="0.25">
      <c r="D825" s="7"/>
      <c r="E825" s="8"/>
    </row>
    <row r="826" spans="4:5" ht="14.25" customHeight="1" x14ac:dyDescent="0.25">
      <c r="D826" s="7"/>
      <c r="E826" s="8"/>
    </row>
    <row r="827" spans="4:5" ht="14.25" customHeight="1" x14ac:dyDescent="0.25">
      <c r="D827" s="7"/>
      <c r="E827" s="8"/>
    </row>
    <row r="828" spans="4:5" ht="14.25" customHeight="1" x14ac:dyDescent="0.25">
      <c r="D828" s="7"/>
      <c r="E828" s="8"/>
    </row>
    <row r="829" spans="4:5" ht="14.25" customHeight="1" x14ac:dyDescent="0.25">
      <c r="D829" s="7"/>
      <c r="E829" s="8"/>
    </row>
    <row r="830" spans="4:5" ht="14.25" customHeight="1" x14ac:dyDescent="0.25">
      <c r="D830" s="7"/>
      <c r="E830" s="8"/>
    </row>
    <row r="831" spans="4:5" ht="14.25" customHeight="1" x14ac:dyDescent="0.25">
      <c r="D831" s="7"/>
      <c r="E831" s="8"/>
    </row>
    <row r="832" spans="4:5" ht="14.25" customHeight="1" x14ac:dyDescent="0.25">
      <c r="D832" s="7"/>
      <c r="E832" s="8"/>
    </row>
    <row r="833" spans="4:5" ht="14.25" customHeight="1" x14ac:dyDescent="0.25">
      <c r="D833" s="7"/>
      <c r="E833" s="8"/>
    </row>
    <row r="834" spans="4:5" ht="14.25" customHeight="1" x14ac:dyDescent="0.25">
      <c r="D834" s="7"/>
      <c r="E834" s="8"/>
    </row>
    <row r="835" spans="4:5" ht="14.25" customHeight="1" x14ac:dyDescent="0.25">
      <c r="D835" s="7"/>
      <c r="E835" s="8"/>
    </row>
    <row r="836" spans="4:5" ht="14.25" customHeight="1" x14ac:dyDescent="0.25">
      <c r="D836" s="7"/>
      <c r="E836" s="8"/>
    </row>
    <row r="837" spans="4:5" ht="14.25" customHeight="1" x14ac:dyDescent="0.25">
      <c r="D837" s="7"/>
      <c r="E837" s="8"/>
    </row>
    <row r="838" spans="4:5" ht="14.25" customHeight="1" x14ac:dyDescent="0.25">
      <c r="D838" s="7"/>
      <c r="E838" s="8"/>
    </row>
    <row r="839" spans="4:5" ht="14.25" customHeight="1" x14ac:dyDescent="0.25">
      <c r="D839" s="7"/>
      <c r="E839" s="8"/>
    </row>
    <row r="840" spans="4:5" ht="14.25" customHeight="1" x14ac:dyDescent="0.25">
      <c r="D840" s="7"/>
      <c r="E840" s="8"/>
    </row>
    <row r="841" spans="4:5" ht="14.25" customHeight="1" x14ac:dyDescent="0.25">
      <c r="D841" s="7"/>
      <c r="E841" s="8"/>
    </row>
    <row r="842" spans="4:5" ht="14.25" customHeight="1" x14ac:dyDescent="0.25">
      <c r="D842" s="7"/>
      <c r="E842" s="8"/>
    </row>
    <row r="843" spans="4:5" ht="14.25" customHeight="1" x14ac:dyDescent="0.25">
      <c r="D843" s="7"/>
      <c r="E843" s="8"/>
    </row>
    <row r="844" spans="4:5" ht="14.25" customHeight="1" x14ac:dyDescent="0.25">
      <c r="D844" s="7"/>
      <c r="E844" s="8"/>
    </row>
    <row r="845" spans="4:5" ht="14.25" customHeight="1" x14ac:dyDescent="0.25">
      <c r="D845" s="7"/>
      <c r="E845" s="8"/>
    </row>
    <row r="846" spans="4:5" ht="14.25" customHeight="1" x14ac:dyDescent="0.25">
      <c r="D846" s="7"/>
      <c r="E846" s="8"/>
    </row>
    <row r="847" spans="4:5" ht="14.25" customHeight="1" x14ac:dyDescent="0.25">
      <c r="D847" s="7"/>
      <c r="E847" s="8"/>
    </row>
    <row r="848" spans="4:5" ht="14.25" customHeight="1" x14ac:dyDescent="0.25">
      <c r="D848" s="7"/>
      <c r="E848" s="8"/>
    </row>
    <row r="849" spans="4:5" ht="14.25" customHeight="1" x14ac:dyDescent="0.25">
      <c r="D849" s="7"/>
      <c r="E849" s="8"/>
    </row>
    <row r="850" spans="4:5" ht="14.25" customHeight="1" x14ac:dyDescent="0.25">
      <c r="D850" s="7"/>
      <c r="E850" s="8"/>
    </row>
    <row r="851" spans="4:5" ht="14.25" customHeight="1" x14ac:dyDescent="0.25">
      <c r="D851" s="7"/>
      <c r="E851" s="8"/>
    </row>
    <row r="852" spans="4:5" ht="14.25" customHeight="1" x14ac:dyDescent="0.25">
      <c r="D852" s="7"/>
      <c r="E852" s="8"/>
    </row>
    <row r="853" spans="4:5" ht="14.25" customHeight="1" x14ac:dyDescent="0.25">
      <c r="D853" s="7"/>
      <c r="E853" s="8"/>
    </row>
    <row r="854" spans="4:5" ht="14.25" customHeight="1" x14ac:dyDescent="0.25">
      <c r="D854" s="7"/>
      <c r="E854" s="8"/>
    </row>
    <row r="855" spans="4:5" ht="14.25" customHeight="1" x14ac:dyDescent="0.25">
      <c r="D855" s="7"/>
      <c r="E855" s="8"/>
    </row>
    <row r="856" spans="4:5" ht="14.25" customHeight="1" x14ac:dyDescent="0.25">
      <c r="D856" s="7"/>
      <c r="E856" s="8"/>
    </row>
    <row r="857" spans="4:5" ht="14.25" customHeight="1" x14ac:dyDescent="0.25">
      <c r="D857" s="7"/>
      <c r="E857" s="8"/>
    </row>
    <row r="858" spans="4:5" ht="14.25" customHeight="1" x14ac:dyDescent="0.25">
      <c r="D858" s="7"/>
      <c r="E858" s="8"/>
    </row>
    <row r="859" spans="4:5" ht="14.25" customHeight="1" x14ac:dyDescent="0.25">
      <c r="D859" s="7"/>
      <c r="E859" s="8"/>
    </row>
    <row r="860" spans="4:5" ht="14.25" customHeight="1" x14ac:dyDescent="0.25">
      <c r="D860" s="7"/>
      <c r="E860" s="8"/>
    </row>
    <row r="861" spans="4:5" ht="14.25" customHeight="1" x14ac:dyDescent="0.25">
      <c r="D861" s="7"/>
      <c r="E861" s="8"/>
    </row>
    <row r="862" spans="4:5" ht="14.25" customHeight="1" x14ac:dyDescent="0.25">
      <c r="D862" s="7"/>
      <c r="E862" s="8"/>
    </row>
    <row r="863" spans="4:5" ht="14.25" customHeight="1" x14ac:dyDescent="0.25">
      <c r="D863" s="7"/>
      <c r="E863" s="8"/>
    </row>
    <row r="864" spans="4:5" ht="14.25" customHeight="1" x14ac:dyDescent="0.25">
      <c r="D864" s="7"/>
      <c r="E864" s="8"/>
    </row>
    <row r="865" spans="4:5" ht="14.25" customHeight="1" x14ac:dyDescent="0.25">
      <c r="D865" s="7"/>
      <c r="E865" s="8"/>
    </row>
    <row r="866" spans="4:5" ht="14.25" customHeight="1" x14ac:dyDescent="0.25">
      <c r="D866" s="7"/>
      <c r="E866" s="8"/>
    </row>
    <row r="867" spans="4:5" ht="14.25" customHeight="1" x14ac:dyDescent="0.25">
      <c r="D867" s="7"/>
      <c r="E867" s="8"/>
    </row>
    <row r="868" spans="4:5" ht="14.25" customHeight="1" x14ac:dyDescent="0.25">
      <c r="D868" s="7"/>
      <c r="E868" s="8"/>
    </row>
    <row r="869" spans="4:5" ht="14.25" customHeight="1" x14ac:dyDescent="0.25">
      <c r="D869" s="7"/>
      <c r="E869" s="8"/>
    </row>
    <row r="870" spans="4:5" ht="14.25" customHeight="1" x14ac:dyDescent="0.25">
      <c r="D870" s="7"/>
      <c r="E870" s="8"/>
    </row>
    <row r="871" spans="4:5" ht="14.25" customHeight="1" x14ac:dyDescent="0.25">
      <c r="D871" s="7"/>
      <c r="E871" s="8"/>
    </row>
    <row r="872" spans="4:5" ht="14.25" customHeight="1" x14ac:dyDescent="0.25">
      <c r="D872" s="7"/>
      <c r="E872" s="8"/>
    </row>
    <row r="873" spans="4:5" ht="14.25" customHeight="1" x14ac:dyDescent="0.25">
      <c r="D873" s="7"/>
      <c r="E873" s="8"/>
    </row>
    <row r="874" spans="4:5" ht="14.25" customHeight="1" x14ac:dyDescent="0.25">
      <c r="D874" s="7"/>
      <c r="E874" s="8"/>
    </row>
    <row r="875" spans="4:5" ht="14.25" customHeight="1" x14ac:dyDescent="0.25">
      <c r="D875" s="7"/>
      <c r="E875" s="8"/>
    </row>
    <row r="876" spans="4:5" ht="14.25" customHeight="1" x14ac:dyDescent="0.25">
      <c r="D876" s="7"/>
      <c r="E876" s="8"/>
    </row>
    <row r="877" spans="4:5" ht="14.25" customHeight="1" x14ac:dyDescent="0.25">
      <c r="D877" s="7"/>
      <c r="E877" s="8"/>
    </row>
    <row r="878" spans="4:5" ht="14.25" customHeight="1" x14ac:dyDescent="0.25">
      <c r="D878" s="7"/>
      <c r="E878" s="8"/>
    </row>
    <row r="879" spans="4:5" ht="14.25" customHeight="1" x14ac:dyDescent="0.25">
      <c r="D879" s="7"/>
      <c r="E879" s="8"/>
    </row>
    <row r="880" spans="4:5" ht="14.25" customHeight="1" x14ac:dyDescent="0.25">
      <c r="D880" s="7"/>
      <c r="E880" s="8"/>
    </row>
    <row r="881" spans="4:5" ht="14.25" customHeight="1" x14ac:dyDescent="0.25">
      <c r="D881" s="7"/>
      <c r="E881" s="8"/>
    </row>
    <row r="882" spans="4:5" ht="14.25" customHeight="1" x14ac:dyDescent="0.25">
      <c r="D882" s="7"/>
      <c r="E882" s="8"/>
    </row>
    <row r="883" spans="4:5" ht="14.25" customHeight="1" x14ac:dyDescent="0.25">
      <c r="D883" s="7"/>
      <c r="E883" s="8"/>
    </row>
    <row r="884" spans="4:5" ht="14.25" customHeight="1" x14ac:dyDescent="0.25">
      <c r="D884" s="7"/>
      <c r="E884" s="8"/>
    </row>
    <row r="885" spans="4:5" ht="14.25" customHeight="1" x14ac:dyDescent="0.25">
      <c r="D885" s="7"/>
      <c r="E885" s="8"/>
    </row>
    <row r="886" spans="4:5" ht="14.25" customHeight="1" x14ac:dyDescent="0.25">
      <c r="D886" s="7"/>
      <c r="E886" s="8"/>
    </row>
    <row r="887" spans="4:5" ht="14.25" customHeight="1" x14ac:dyDescent="0.25">
      <c r="D887" s="7"/>
      <c r="E887" s="8"/>
    </row>
    <row r="888" spans="4:5" ht="14.25" customHeight="1" x14ac:dyDescent="0.25">
      <c r="D888" s="7"/>
      <c r="E888" s="8"/>
    </row>
    <row r="889" spans="4:5" ht="14.25" customHeight="1" x14ac:dyDescent="0.25">
      <c r="D889" s="7"/>
      <c r="E889" s="8"/>
    </row>
    <row r="890" spans="4:5" ht="14.25" customHeight="1" x14ac:dyDescent="0.25">
      <c r="D890" s="7"/>
      <c r="E890" s="8"/>
    </row>
    <row r="891" spans="4:5" ht="14.25" customHeight="1" x14ac:dyDescent="0.25">
      <c r="D891" s="7"/>
      <c r="E891" s="8"/>
    </row>
    <row r="892" spans="4:5" ht="14.25" customHeight="1" x14ac:dyDescent="0.25">
      <c r="D892" s="7"/>
      <c r="E892" s="8"/>
    </row>
    <row r="893" spans="4:5" ht="14.25" customHeight="1" x14ac:dyDescent="0.25">
      <c r="D893" s="7"/>
      <c r="E893" s="8"/>
    </row>
    <row r="894" spans="4:5" ht="14.25" customHeight="1" x14ac:dyDescent="0.25">
      <c r="D894" s="7"/>
      <c r="E894" s="8"/>
    </row>
    <row r="895" spans="4:5" ht="14.25" customHeight="1" x14ac:dyDescent="0.25">
      <c r="D895" s="7"/>
      <c r="E895" s="8"/>
    </row>
    <row r="896" spans="4:5" ht="14.25" customHeight="1" x14ac:dyDescent="0.25">
      <c r="D896" s="7"/>
      <c r="E896" s="8"/>
    </row>
    <row r="897" spans="4:5" ht="14.25" customHeight="1" x14ac:dyDescent="0.25">
      <c r="D897" s="7"/>
      <c r="E897" s="8"/>
    </row>
    <row r="898" spans="4:5" ht="14.25" customHeight="1" x14ac:dyDescent="0.25">
      <c r="D898" s="7"/>
      <c r="E898" s="8"/>
    </row>
    <row r="899" spans="4:5" ht="14.25" customHeight="1" x14ac:dyDescent="0.25">
      <c r="D899" s="7"/>
      <c r="E899" s="8"/>
    </row>
    <row r="900" spans="4:5" ht="14.25" customHeight="1" x14ac:dyDescent="0.25">
      <c r="D900" s="7"/>
      <c r="E900" s="8"/>
    </row>
    <row r="901" spans="4:5" ht="14.25" customHeight="1" x14ac:dyDescent="0.25">
      <c r="D901" s="7"/>
      <c r="E901" s="8"/>
    </row>
    <row r="902" spans="4:5" ht="14.25" customHeight="1" x14ac:dyDescent="0.25">
      <c r="D902" s="7"/>
      <c r="E902" s="8"/>
    </row>
    <row r="903" spans="4:5" ht="14.25" customHeight="1" x14ac:dyDescent="0.25">
      <c r="D903" s="7"/>
      <c r="E903" s="8"/>
    </row>
    <row r="904" spans="4:5" ht="14.25" customHeight="1" x14ac:dyDescent="0.25">
      <c r="D904" s="7"/>
      <c r="E904" s="8"/>
    </row>
    <row r="905" spans="4:5" ht="14.25" customHeight="1" x14ac:dyDescent="0.25">
      <c r="D905" s="7"/>
      <c r="E905" s="8"/>
    </row>
    <row r="906" spans="4:5" ht="14.25" customHeight="1" x14ac:dyDescent="0.25">
      <c r="D906" s="7"/>
      <c r="E906" s="8"/>
    </row>
    <row r="907" spans="4:5" ht="14.25" customHeight="1" x14ac:dyDescent="0.25">
      <c r="D907" s="7"/>
      <c r="E907" s="8"/>
    </row>
    <row r="908" spans="4:5" ht="14.25" customHeight="1" x14ac:dyDescent="0.25">
      <c r="D908" s="7"/>
      <c r="E908" s="8"/>
    </row>
    <row r="909" spans="4:5" ht="14.25" customHeight="1" x14ac:dyDescent="0.25">
      <c r="D909" s="7"/>
      <c r="E909" s="8"/>
    </row>
    <row r="910" spans="4:5" ht="14.25" customHeight="1" x14ac:dyDescent="0.25">
      <c r="D910" s="7"/>
      <c r="E910" s="8"/>
    </row>
    <row r="911" spans="4:5" ht="14.25" customHeight="1" x14ac:dyDescent="0.25">
      <c r="D911" s="7"/>
      <c r="E911" s="8"/>
    </row>
    <row r="912" spans="4:5" ht="14.25" customHeight="1" x14ac:dyDescent="0.25">
      <c r="D912" s="7"/>
      <c r="E912" s="8"/>
    </row>
    <row r="913" spans="4:5" ht="14.25" customHeight="1" x14ac:dyDescent="0.25">
      <c r="D913" s="7"/>
      <c r="E913" s="8"/>
    </row>
    <row r="914" spans="4:5" ht="14.25" customHeight="1" x14ac:dyDescent="0.25">
      <c r="D914" s="7"/>
      <c r="E914" s="8"/>
    </row>
    <row r="915" spans="4:5" ht="14.25" customHeight="1" x14ac:dyDescent="0.25">
      <c r="D915" s="7"/>
      <c r="E915" s="8"/>
    </row>
    <row r="916" spans="4:5" ht="14.25" customHeight="1" x14ac:dyDescent="0.25">
      <c r="D916" s="7"/>
      <c r="E916" s="8"/>
    </row>
    <row r="917" spans="4:5" ht="14.25" customHeight="1" x14ac:dyDescent="0.25">
      <c r="D917" s="7"/>
      <c r="E917" s="8"/>
    </row>
    <row r="918" spans="4:5" ht="14.25" customHeight="1" x14ac:dyDescent="0.25">
      <c r="D918" s="7"/>
      <c r="E918" s="8"/>
    </row>
    <row r="919" spans="4:5" ht="14.25" customHeight="1" x14ac:dyDescent="0.25">
      <c r="D919" s="7"/>
      <c r="E919" s="8"/>
    </row>
    <row r="920" spans="4:5" ht="14.25" customHeight="1" x14ac:dyDescent="0.25">
      <c r="D920" s="7"/>
      <c r="E920" s="8"/>
    </row>
    <row r="921" spans="4:5" ht="14.25" customHeight="1" x14ac:dyDescent="0.25">
      <c r="D921" s="7"/>
      <c r="E921" s="8"/>
    </row>
    <row r="922" spans="4:5" ht="14.25" customHeight="1" x14ac:dyDescent="0.25">
      <c r="D922" s="7"/>
      <c r="E922" s="8"/>
    </row>
    <row r="923" spans="4:5" ht="14.25" customHeight="1" x14ac:dyDescent="0.25">
      <c r="D923" s="7"/>
      <c r="E923" s="8"/>
    </row>
    <row r="924" spans="4:5" ht="14.25" customHeight="1" x14ac:dyDescent="0.25">
      <c r="D924" s="7"/>
      <c r="E924" s="8"/>
    </row>
    <row r="925" spans="4:5" ht="14.25" customHeight="1" x14ac:dyDescent="0.25">
      <c r="D925" s="7"/>
      <c r="E925" s="8"/>
    </row>
    <row r="926" spans="4:5" ht="14.25" customHeight="1" x14ac:dyDescent="0.25">
      <c r="D926" s="7"/>
      <c r="E926" s="8"/>
    </row>
    <row r="927" spans="4:5" ht="14.25" customHeight="1" x14ac:dyDescent="0.25">
      <c r="D927" s="7"/>
      <c r="E927" s="8"/>
    </row>
    <row r="928" spans="4:5" ht="14.25" customHeight="1" x14ac:dyDescent="0.25">
      <c r="D928" s="7"/>
      <c r="E928" s="8"/>
    </row>
    <row r="929" spans="4:5" ht="14.25" customHeight="1" x14ac:dyDescent="0.25">
      <c r="D929" s="7"/>
      <c r="E929" s="8"/>
    </row>
    <row r="930" spans="4:5" ht="14.25" customHeight="1" x14ac:dyDescent="0.25">
      <c r="D930" s="7"/>
      <c r="E930" s="8"/>
    </row>
    <row r="931" spans="4:5" ht="14.25" customHeight="1" x14ac:dyDescent="0.25">
      <c r="D931" s="7"/>
      <c r="E931" s="8"/>
    </row>
    <row r="932" spans="4:5" ht="14.25" customHeight="1" x14ac:dyDescent="0.25">
      <c r="D932" s="7"/>
      <c r="E932" s="8"/>
    </row>
    <row r="933" spans="4:5" ht="14.25" customHeight="1" x14ac:dyDescent="0.25">
      <c r="D933" s="7"/>
      <c r="E933" s="8"/>
    </row>
    <row r="934" spans="4:5" ht="14.25" customHeight="1" x14ac:dyDescent="0.25">
      <c r="D934" s="7"/>
      <c r="E934" s="8"/>
    </row>
    <row r="935" spans="4:5" ht="14.25" customHeight="1" x14ac:dyDescent="0.25">
      <c r="D935" s="7"/>
      <c r="E935" s="8"/>
    </row>
    <row r="936" spans="4:5" ht="14.25" customHeight="1" x14ac:dyDescent="0.25">
      <c r="D936" s="7"/>
      <c r="E936" s="8"/>
    </row>
    <row r="937" spans="4:5" ht="14.25" customHeight="1" x14ac:dyDescent="0.25">
      <c r="D937" s="7"/>
      <c r="E937" s="8"/>
    </row>
    <row r="938" spans="4:5" ht="14.25" customHeight="1" x14ac:dyDescent="0.25">
      <c r="D938" s="7"/>
      <c r="E938" s="8"/>
    </row>
    <row r="939" spans="4:5" ht="14.25" customHeight="1" x14ac:dyDescent="0.25">
      <c r="D939" s="7"/>
      <c r="E939" s="8"/>
    </row>
    <row r="940" spans="4:5" ht="14.25" customHeight="1" x14ac:dyDescent="0.25">
      <c r="D940" s="7"/>
      <c r="E940" s="8"/>
    </row>
    <row r="941" spans="4:5" ht="14.25" customHeight="1" x14ac:dyDescent="0.25">
      <c r="D941" s="7"/>
      <c r="E941" s="8"/>
    </row>
    <row r="942" spans="4:5" ht="14.25" customHeight="1" x14ac:dyDescent="0.25">
      <c r="D942" s="7"/>
      <c r="E942" s="8"/>
    </row>
    <row r="943" spans="4:5" ht="14.25" customHeight="1" x14ac:dyDescent="0.25">
      <c r="D943" s="7"/>
      <c r="E943" s="8"/>
    </row>
    <row r="944" spans="4:5" ht="14.25" customHeight="1" x14ac:dyDescent="0.25">
      <c r="D944" s="7"/>
      <c r="E944" s="8"/>
    </row>
    <row r="945" spans="4:5" ht="14.25" customHeight="1" x14ac:dyDescent="0.25">
      <c r="D945" s="7"/>
      <c r="E945" s="8"/>
    </row>
    <row r="946" spans="4:5" ht="14.25" customHeight="1" x14ac:dyDescent="0.25">
      <c r="D946" s="7"/>
      <c r="E946" s="8"/>
    </row>
    <row r="947" spans="4:5" ht="14.25" customHeight="1" x14ac:dyDescent="0.25">
      <c r="D947" s="7"/>
      <c r="E947" s="8"/>
    </row>
    <row r="948" spans="4:5" ht="14.25" customHeight="1" x14ac:dyDescent="0.25">
      <c r="D948" s="7"/>
      <c r="E948" s="8"/>
    </row>
    <row r="949" spans="4:5" ht="14.25" customHeight="1" x14ac:dyDescent="0.25">
      <c r="D949" s="7"/>
      <c r="E949" s="8"/>
    </row>
    <row r="950" spans="4:5" ht="14.25" customHeight="1" x14ac:dyDescent="0.25">
      <c r="D950" s="7"/>
      <c r="E950" s="8"/>
    </row>
    <row r="951" spans="4:5" ht="14.25" customHeight="1" x14ac:dyDescent="0.25">
      <c r="D951" s="7"/>
      <c r="E951" s="8"/>
    </row>
    <row r="952" spans="4:5" ht="14.25" customHeight="1" x14ac:dyDescent="0.25">
      <c r="D952" s="7"/>
      <c r="E952" s="8"/>
    </row>
    <row r="953" spans="4:5" ht="14.25" customHeight="1" x14ac:dyDescent="0.25">
      <c r="D953" s="7"/>
      <c r="E953" s="8"/>
    </row>
    <row r="954" spans="4:5" ht="14.25" customHeight="1" x14ac:dyDescent="0.25">
      <c r="D954" s="7"/>
      <c r="E954" s="8"/>
    </row>
    <row r="955" spans="4:5" ht="14.25" customHeight="1" x14ac:dyDescent="0.25">
      <c r="D955" s="7"/>
      <c r="E955" s="8"/>
    </row>
    <row r="956" spans="4:5" ht="14.25" customHeight="1" x14ac:dyDescent="0.25">
      <c r="D956" s="7"/>
      <c r="E956" s="8"/>
    </row>
    <row r="957" spans="4:5" ht="14.25" customHeight="1" x14ac:dyDescent="0.25">
      <c r="D957" s="7"/>
      <c r="E957" s="8"/>
    </row>
    <row r="958" spans="4:5" ht="14.25" customHeight="1" x14ac:dyDescent="0.25">
      <c r="D958" s="7"/>
      <c r="E958" s="8"/>
    </row>
    <row r="959" spans="4:5" ht="14.25" customHeight="1" x14ac:dyDescent="0.25">
      <c r="D959" s="7"/>
      <c r="E959" s="8"/>
    </row>
    <row r="960" spans="4:5" ht="14.25" customHeight="1" x14ac:dyDescent="0.25">
      <c r="D960" s="7"/>
      <c r="E960" s="8"/>
    </row>
    <row r="961" spans="4:5" ht="14.25" customHeight="1" x14ac:dyDescent="0.25">
      <c r="D961" s="7"/>
      <c r="E961" s="8"/>
    </row>
    <row r="962" spans="4:5" ht="14.25" customHeight="1" x14ac:dyDescent="0.25">
      <c r="D962" s="7"/>
      <c r="E962" s="8"/>
    </row>
    <row r="963" spans="4:5" ht="14.25" customHeight="1" x14ac:dyDescent="0.25">
      <c r="D963" s="7"/>
      <c r="E963" s="8"/>
    </row>
    <row r="964" spans="4:5" ht="14.25" customHeight="1" x14ac:dyDescent="0.25">
      <c r="D964" s="7"/>
      <c r="E964" s="8"/>
    </row>
    <row r="965" spans="4:5" ht="14.25" customHeight="1" x14ac:dyDescent="0.25">
      <c r="D965" s="7"/>
      <c r="E965" s="8"/>
    </row>
    <row r="966" spans="4:5" ht="14.25" customHeight="1" x14ac:dyDescent="0.25">
      <c r="D966" s="7"/>
      <c r="E966" s="8"/>
    </row>
    <row r="967" spans="4:5" ht="14.25" customHeight="1" x14ac:dyDescent="0.25">
      <c r="D967" s="7"/>
      <c r="E967" s="8"/>
    </row>
    <row r="968" spans="4:5" ht="14.25" customHeight="1" x14ac:dyDescent="0.25">
      <c r="D968" s="7"/>
      <c r="E968" s="8"/>
    </row>
    <row r="969" spans="4:5" ht="14.25" customHeight="1" x14ac:dyDescent="0.25">
      <c r="D969" s="7"/>
      <c r="E969" s="8"/>
    </row>
    <row r="970" spans="4:5" ht="14.25" customHeight="1" x14ac:dyDescent="0.25">
      <c r="D970" s="7"/>
      <c r="E970" s="8"/>
    </row>
    <row r="971" spans="4:5" ht="14.25" customHeight="1" x14ac:dyDescent="0.25">
      <c r="D971" s="7"/>
      <c r="E971" s="8"/>
    </row>
    <row r="972" spans="4:5" ht="14.25" customHeight="1" x14ac:dyDescent="0.25">
      <c r="D972" s="7"/>
      <c r="E972" s="8"/>
    </row>
    <row r="973" spans="4:5" ht="14.25" customHeight="1" x14ac:dyDescent="0.25">
      <c r="D973" s="7"/>
      <c r="E973" s="8"/>
    </row>
    <row r="974" spans="4:5" ht="14.25" customHeight="1" x14ac:dyDescent="0.25">
      <c r="D974" s="7"/>
      <c r="E974" s="8"/>
    </row>
    <row r="975" spans="4:5" ht="14.25" customHeight="1" x14ac:dyDescent="0.25">
      <c r="D975" s="7"/>
      <c r="E975" s="8"/>
    </row>
    <row r="976" spans="4:5" ht="14.25" customHeight="1" x14ac:dyDescent="0.25">
      <c r="D976" s="7"/>
      <c r="E976" s="8"/>
    </row>
    <row r="977" spans="4:5" ht="14.25" customHeight="1" x14ac:dyDescent="0.25">
      <c r="D977" s="7"/>
      <c r="E977" s="8"/>
    </row>
    <row r="978" spans="4:5" ht="14.25" customHeight="1" x14ac:dyDescent="0.25">
      <c r="D978" s="7"/>
      <c r="E978" s="8"/>
    </row>
    <row r="979" spans="4:5" ht="14.25" customHeight="1" x14ac:dyDescent="0.25">
      <c r="D979" s="7"/>
      <c r="E979" s="8"/>
    </row>
    <row r="980" spans="4:5" ht="14.25" customHeight="1" x14ac:dyDescent="0.25">
      <c r="D980" s="7"/>
      <c r="E980" s="8"/>
    </row>
    <row r="981" spans="4:5" ht="14.25" customHeight="1" x14ac:dyDescent="0.25">
      <c r="D981" s="7"/>
      <c r="E981" s="8"/>
    </row>
    <row r="982" spans="4:5" ht="14.25" customHeight="1" x14ac:dyDescent="0.25">
      <c r="D982" s="7"/>
      <c r="E982" s="8"/>
    </row>
    <row r="983" spans="4:5" ht="14.25" customHeight="1" x14ac:dyDescent="0.25">
      <c r="D983" s="7"/>
      <c r="E983" s="8"/>
    </row>
    <row r="984" spans="4:5" ht="14.25" customHeight="1" x14ac:dyDescent="0.25">
      <c r="D984" s="7"/>
      <c r="E984" s="8"/>
    </row>
    <row r="985" spans="4:5" ht="14.25" customHeight="1" x14ac:dyDescent="0.25">
      <c r="D985" s="7"/>
      <c r="E985" s="8"/>
    </row>
    <row r="986" spans="4:5" ht="14.25" customHeight="1" x14ac:dyDescent="0.25">
      <c r="D986" s="7"/>
      <c r="E986" s="8"/>
    </row>
    <row r="987" spans="4:5" ht="14.25" customHeight="1" x14ac:dyDescent="0.25">
      <c r="D987" s="7"/>
      <c r="E987" s="8"/>
    </row>
    <row r="988" spans="4:5" ht="14.25" customHeight="1" x14ac:dyDescent="0.25">
      <c r="D988" s="7"/>
      <c r="E988" s="8"/>
    </row>
    <row r="989" spans="4:5" ht="14.25" customHeight="1" x14ac:dyDescent="0.25">
      <c r="D989" s="7"/>
      <c r="E989" s="8"/>
    </row>
    <row r="990" spans="4:5" ht="14.25" customHeight="1" x14ac:dyDescent="0.25">
      <c r="D990" s="7"/>
      <c r="E990" s="8"/>
    </row>
    <row r="991" spans="4:5" ht="14.25" customHeight="1" x14ac:dyDescent="0.25">
      <c r="D991" s="7"/>
      <c r="E991" s="8"/>
    </row>
    <row r="992" spans="4:5" ht="14.25" customHeight="1" x14ac:dyDescent="0.25">
      <c r="D992" s="7"/>
      <c r="E992" s="8"/>
    </row>
    <row r="993" spans="4:5" ht="14.25" customHeight="1" x14ac:dyDescent="0.25">
      <c r="D993" s="7"/>
      <c r="E993" s="8"/>
    </row>
    <row r="994" spans="4:5" ht="14.25" customHeight="1" x14ac:dyDescent="0.25">
      <c r="D994" s="7"/>
      <c r="E994" s="8"/>
    </row>
    <row r="995" spans="4:5" ht="14.25" customHeight="1" x14ac:dyDescent="0.25">
      <c r="D995" s="7"/>
      <c r="E995" s="8"/>
    </row>
    <row r="996" spans="4:5" ht="14.25" customHeight="1" x14ac:dyDescent="0.25">
      <c r="D996" s="7"/>
      <c r="E996" s="8"/>
    </row>
    <row r="997" spans="4:5" ht="14.25" customHeight="1" x14ac:dyDescent="0.25">
      <c r="D997" s="7"/>
      <c r="E997" s="8"/>
    </row>
    <row r="998" spans="4:5" ht="14.25" customHeight="1" x14ac:dyDescent="0.25">
      <c r="D998" s="7"/>
      <c r="E998" s="8"/>
    </row>
    <row r="999" spans="4:5" ht="14.25" customHeight="1" x14ac:dyDescent="0.25">
      <c r="D999" s="7"/>
      <c r="E999" s="8"/>
    </row>
    <row r="1000" spans="4:5" ht="14.25" customHeight="1" x14ac:dyDescent="0.25">
      <c r="D1000" s="7"/>
      <c r="E1000" s="8"/>
    </row>
  </sheetData>
  <autoFilter ref="A1:E36" xr:uid="{00000000-0009-0000-0000-00000F000000}"/>
  <conditionalFormatting sqref="D2:D36">
    <cfRule type="cellIs" dxfId="0" priority="1" operator="equal">
      <formula>"FALSE"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</vt:lpstr>
      <vt:lpstr>Sheet1</vt:lpstr>
      <vt:lpstr>O1_12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Llerena</dc:creator>
  <cp:lastModifiedBy>Derrick Grimpo</cp:lastModifiedBy>
  <dcterms:created xsi:type="dcterms:W3CDTF">2023-02-01T22:22:18Z</dcterms:created>
  <dcterms:modified xsi:type="dcterms:W3CDTF">2025-11-18T17:17:59Z</dcterms:modified>
</cp:coreProperties>
</file>